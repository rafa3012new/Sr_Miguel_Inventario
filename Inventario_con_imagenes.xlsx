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imagenes/HALIFAX_WOMENS_119000008_BLK_1.jpg" TargetMode="External" Id="rId1"/><Relationship Type="http://schemas.openxmlformats.org/officeDocument/2006/relationships/hyperlink" Target="imagenes/HALIFAX_WOMENS_119000008_BLK_2.jpg" TargetMode="External" Id="rId2"/><Relationship Type="http://schemas.openxmlformats.org/officeDocument/2006/relationships/hyperlink" Target="imagenes/HALIFAX_WOMENS_119000008_BLK_3.jpg" TargetMode="External" Id="rId3"/><Relationship Type="http://schemas.openxmlformats.org/officeDocument/2006/relationships/hyperlink" Target="imagenes/HALIFAX_WOMENS_119000008_BLK_1.jpg" TargetMode="External" Id="rId4"/><Relationship Type="http://schemas.openxmlformats.org/officeDocument/2006/relationships/hyperlink" Target="imagenes/HALIFAX_WOMENS_119000008_BLK_2.jpg" TargetMode="External" Id="rId5"/><Relationship Type="http://schemas.openxmlformats.org/officeDocument/2006/relationships/hyperlink" Target="imagenes/HALIFAX_WOMENS_119000008_BLK_3.jpg" TargetMode="External" Id="rId6"/><Relationship Type="http://schemas.openxmlformats.org/officeDocument/2006/relationships/hyperlink" Target="imagenes/HALIFAX_WOMENS_119000008_BLK_1.jpg" TargetMode="External" Id="rId7"/><Relationship Type="http://schemas.openxmlformats.org/officeDocument/2006/relationships/hyperlink" Target="imagenes/HALIFAX_WOMENS_119000008_BLK_2.jpg" TargetMode="External" Id="rId8"/><Relationship Type="http://schemas.openxmlformats.org/officeDocument/2006/relationships/hyperlink" Target="imagenes/HALIFAX_WOMENS_119000008_BLK_3.jpg" TargetMode="External" Id="rId9"/><Relationship Type="http://schemas.openxmlformats.org/officeDocument/2006/relationships/hyperlink" Target="imagenes/HALIFAX_WOMENS_119000008_BLK_1.jpg" TargetMode="External" Id="rId10"/><Relationship Type="http://schemas.openxmlformats.org/officeDocument/2006/relationships/hyperlink" Target="imagenes/HALIFAX_WOMENS_119000008_BLK_2.jpg" TargetMode="External" Id="rId11"/><Relationship Type="http://schemas.openxmlformats.org/officeDocument/2006/relationships/hyperlink" Target="imagenes/HALIFAX_WOMENS_119000008_BLK_3.jpg" TargetMode="External" Id="rId12"/><Relationship Type="http://schemas.openxmlformats.org/officeDocument/2006/relationships/hyperlink" Target="imagenes/HALIFAX_WOMENS_119000008_BLK_1.jpg" TargetMode="External" Id="rId13"/><Relationship Type="http://schemas.openxmlformats.org/officeDocument/2006/relationships/hyperlink" Target="imagenes/HALIFAX_WOMENS_119000008_BLK_2.jpg" TargetMode="External" Id="rId14"/><Relationship Type="http://schemas.openxmlformats.org/officeDocument/2006/relationships/hyperlink" Target="imagenes/HALIFAX_WOMENS_119000008_BLK_3.jpg" TargetMode="External" Id="rId15"/><Relationship Type="http://schemas.openxmlformats.org/officeDocument/2006/relationships/hyperlink" Target="imagenes/HALIFAX_WOMENS_119000008_BLK_1.jpg" TargetMode="External" Id="rId16"/><Relationship Type="http://schemas.openxmlformats.org/officeDocument/2006/relationships/hyperlink" Target="imagenes/HALIFAX_WOMENS_119000008_BLK_2.jpg" TargetMode="External" Id="rId17"/><Relationship Type="http://schemas.openxmlformats.org/officeDocument/2006/relationships/hyperlink" Target="imagenes/HALIFAX_WOMENS_119000008_BLK_3.jpg" TargetMode="External" Id="rId18"/><Relationship Type="http://schemas.openxmlformats.org/officeDocument/2006/relationships/hyperlink" Target="imagenes/HALIFAX_WOMENS_119000008_ESP_1.jpg" TargetMode="External" Id="rId19"/><Relationship Type="http://schemas.openxmlformats.org/officeDocument/2006/relationships/hyperlink" Target="imagenes/HALIFAX_WOMENS_119000008_ESP_2.jpg" TargetMode="External" Id="rId20"/><Relationship Type="http://schemas.openxmlformats.org/officeDocument/2006/relationships/hyperlink" Target="imagenes/HALIFAX_WOMENS_119000008_ESP_3.jpg" TargetMode="External" Id="rId21"/><Relationship Type="http://schemas.openxmlformats.org/officeDocument/2006/relationships/hyperlink" Target="imagenes/HALIFAX_WOMENS_119000008_ESP_1.jpg" TargetMode="External" Id="rId22"/><Relationship Type="http://schemas.openxmlformats.org/officeDocument/2006/relationships/hyperlink" Target="imagenes/HALIFAX_WOMENS_119000008_ESP_2.jpg" TargetMode="External" Id="rId23"/><Relationship Type="http://schemas.openxmlformats.org/officeDocument/2006/relationships/hyperlink" Target="imagenes/HALIFAX_WOMENS_119000008_ESP_3.jpg" TargetMode="External" Id="rId24"/><Relationship Type="http://schemas.openxmlformats.org/officeDocument/2006/relationships/hyperlink" Target="imagenes/HALIFAX_WOMENS_119000008_ESP_1.jpg" TargetMode="External" Id="rId25"/><Relationship Type="http://schemas.openxmlformats.org/officeDocument/2006/relationships/hyperlink" Target="imagenes/HALIFAX_WOMENS_119000008_ESP_2.jpg" TargetMode="External" Id="rId26"/><Relationship Type="http://schemas.openxmlformats.org/officeDocument/2006/relationships/hyperlink" Target="imagenes/HALIFAX_WOMENS_119000008_ESP_3.jpg" TargetMode="External" Id="rId27"/><Relationship Type="http://schemas.openxmlformats.org/officeDocument/2006/relationships/hyperlink" Target="imagenes/HALIFAX_WOMENS_119000008_ESP_1.jpg" TargetMode="External" Id="rId28"/><Relationship Type="http://schemas.openxmlformats.org/officeDocument/2006/relationships/hyperlink" Target="imagenes/HALIFAX_WOMENS_119000008_ESP_2.jpg" TargetMode="External" Id="rId29"/><Relationship Type="http://schemas.openxmlformats.org/officeDocument/2006/relationships/hyperlink" Target="imagenes/HALIFAX_WOMENS_119000008_ESP_3.jpg" TargetMode="External" Id="rId30"/><Relationship Type="http://schemas.openxmlformats.org/officeDocument/2006/relationships/hyperlink" Target="imagenes/HALIFAX_WOMENS_119000008_ESP_1.jpg" TargetMode="External" Id="rId31"/><Relationship Type="http://schemas.openxmlformats.org/officeDocument/2006/relationships/hyperlink" Target="imagenes/HALIFAX_WOMENS_119000008_ESP_2.jpg" TargetMode="External" Id="rId32"/><Relationship Type="http://schemas.openxmlformats.org/officeDocument/2006/relationships/hyperlink" Target="imagenes/HALIFAX_WOMENS_119000008_ESP_3.jpg" TargetMode="External" Id="rId33"/><Relationship Type="http://schemas.openxmlformats.org/officeDocument/2006/relationships/hyperlink" Target="imagenes/HALIFAX_WOMENS_119000008_ESP_1.jpg" TargetMode="External" Id="rId34"/><Relationship Type="http://schemas.openxmlformats.org/officeDocument/2006/relationships/hyperlink" Target="imagenes/HALIFAX_WOMENS_119000008_ESP_2.jpg" TargetMode="External" Id="rId35"/><Relationship Type="http://schemas.openxmlformats.org/officeDocument/2006/relationships/hyperlink" Target="imagenes/HALIFAX_WOMENS_119000008_ESP_3.jpg" TargetMode="External" Id="rId36"/><Relationship Type="http://schemas.openxmlformats.org/officeDocument/2006/relationships/hyperlink" Target="imagenes/HALIFAX_WOMENS_119000008_ESP_1.jpg" TargetMode="External" Id="rId37"/><Relationship Type="http://schemas.openxmlformats.org/officeDocument/2006/relationships/hyperlink" Target="imagenes/HALIFAX_WOMENS_119000008_ESP_2.jpg" TargetMode="External" Id="rId38"/><Relationship Type="http://schemas.openxmlformats.org/officeDocument/2006/relationships/hyperlink" Target="imagenes/HALIFAX_WOMENS_119000008_ESP_3.jpg" TargetMode="External" Id="rId39"/><Relationship Type="http://schemas.openxmlformats.org/officeDocument/2006/relationships/hyperlink" Target="imagenes/HALIFAX_WOMENS_119000008_ESP_1.jpg" TargetMode="External" Id="rId40"/><Relationship Type="http://schemas.openxmlformats.org/officeDocument/2006/relationships/hyperlink" Target="imagenes/HALIFAX_WOMENS_119000008_ESP_2.jpg" TargetMode="External" Id="rId41"/><Relationship Type="http://schemas.openxmlformats.org/officeDocument/2006/relationships/hyperlink" Target="imagenes/HALIFAX_WOMENS_119000008_ESP_3.jpg" TargetMode="External" Id="rId42"/><Relationship Type="http://schemas.openxmlformats.org/officeDocument/2006/relationships/hyperlink" Target="imagenes/HALIFAX_WOMENS_119000008_ESP_1.jpg" TargetMode="External" Id="rId43"/><Relationship Type="http://schemas.openxmlformats.org/officeDocument/2006/relationships/hyperlink" Target="imagenes/HALIFAX_WOMENS_119000008_ESP_2.jpg" TargetMode="External" Id="rId44"/><Relationship Type="http://schemas.openxmlformats.org/officeDocument/2006/relationships/hyperlink" Target="imagenes/HALIFAX_WOMENS_119000008_ESP_3.jpg" TargetMode="External" Id="rId45"/><Relationship Type="http://schemas.openxmlformats.org/officeDocument/2006/relationships/hyperlink" Target="imagenes/HALIFAX_WOMENS_119000008_NVY_1.jpg" TargetMode="External" Id="rId46"/><Relationship Type="http://schemas.openxmlformats.org/officeDocument/2006/relationships/hyperlink" Target="imagenes/HALIFAX_WOMENS_119000008_NVY_2.jpg" TargetMode="External" Id="rId47"/><Relationship Type="http://schemas.openxmlformats.org/officeDocument/2006/relationships/hyperlink" Target="imagenes/HALIFAX_WOMENS_119000008_NVY_3.jpg" TargetMode="External" Id="rId48"/><Relationship Type="http://schemas.openxmlformats.org/officeDocument/2006/relationships/hyperlink" Target="imagenes/HALIFAX_WOMENS_119000008_NVY_1.jpg" TargetMode="External" Id="rId49"/><Relationship Type="http://schemas.openxmlformats.org/officeDocument/2006/relationships/hyperlink" Target="imagenes/HALIFAX_WOMENS_119000008_NVY_2.jpg" TargetMode="External" Id="rId50"/><Relationship Type="http://schemas.openxmlformats.org/officeDocument/2006/relationships/hyperlink" Target="imagenes/HALIFAX_WOMENS_119000008_NVY_3.jpg" TargetMode="External" Id="rId51"/><Relationship Type="http://schemas.openxmlformats.org/officeDocument/2006/relationships/hyperlink" Target="imagenes/HALIFAX_WOMENS_119000008_NVY_1.jpg" TargetMode="External" Id="rId52"/><Relationship Type="http://schemas.openxmlformats.org/officeDocument/2006/relationships/hyperlink" Target="imagenes/HALIFAX_WOMENS_119000008_NVY_2.jpg" TargetMode="External" Id="rId53"/><Relationship Type="http://schemas.openxmlformats.org/officeDocument/2006/relationships/hyperlink" Target="imagenes/HALIFAX_WOMENS_119000008_NVY_3.jpg" TargetMode="External" Id="rId54"/><Relationship Type="http://schemas.openxmlformats.org/officeDocument/2006/relationships/hyperlink" Target="imagenes/HALIFAX_WOMENS_119000008_NVY_1.jpg" TargetMode="External" Id="rId55"/><Relationship Type="http://schemas.openxmlformats.org/officeDocument/2006/relationships/hyperlink" Target="imagenes/HALIFAX_WOMENS_119000008_NVY_2.jpg" TargetMode="External" Id="rId56"/><Relationship Type="http://schemas.openxmlformats.org/officeDocument/2006/relationships/hyperlink" Target="imagenes/HALIFAX_WOMENS_119000008_NVY_3.jpg" TargetMode="External" Id="rId57"/><Relationship Type="http://schemas.openxmlformats.org/officeDocument/2006/relationships/hyperlink" Target="imagenes/HALIFAX_WOMENS_119000008_NVY_1.jpg" TargetMode="External" Id="rId58"/><Relationship Type="http://schemas.openxmlformats.org/officeDocument/2006/relationships/hyperlink" Target="imagenes/HALIFAX_WOMENS_119000008_NVY_2.jpg" TargetMode="External" Id="rId59"/><Relationship Type="http://schemas.openxmlformats.org/officeDocument/2006/relationships/hyperlink" Target="imagenes/HALIFAX_WOMENS_119000008_NVY_3.jpg" TargetMode="External" Id="rId60"/><Relationship Type="http://schemas.openxmlformats.org/officeDocument/2006/relationships/hyperlink" Target="imagenes/HALIFAX_WOMENS_119000008_OLI_1.jpg" TargetMode="External" Id="rId61"/><Relationship Type="http://schemas.openxmlformats.org/officeDocument/2006/relationships/hyperlink" Target="imagenes/HALIFAX_WOMENS_119000008_OLI_2.jpg" TargetMode="External" Id="rId62"/><Relationship Type="http://schemas.openxmlformats.org/officeDocument/2006/relationships/hyperlink" Target="imagenes/HALIFAX_WOMENS_119000008_OLI_3.jpg" TargetMode="External" Id="rId63"/><Relationship Type="http://schemas.openxmlformats.org/officeDocument/2006/relationships/hyperlink" Target="imagenes/HALIFAX_WOMENS_119000008_OLI_1.jpg" TargetMode="External" Id="rId64"/><Relationship Type="http://schemas.openxmlformats.org/officeDocument/2006/relationships/hyperlink" Target="imagenes/HALIFAX_WOMENS_119000008_OLI_2.jpg" TargetMode="External" Id="rId65"/><Relationship Type="http://schemas.openxmlformats.org/officeDocument/2006/relationships/hyperlink" Target="imagenes/HALIFAX_WOMENS_119000008_OLI_3.jpg" TargetMode="External" Id="rId66"/><Relationship Type="http://schemas.openxmlformats.org/officeDocument/2006/relationships/hyperlink" Target="imagenes/HALIFAX_WOMENS_119000008_OLI_1.jpg" TargetMode="External" Id="rId67"/><Relationship Type="http://schemas.openxmlformats.org/officeDocument/2006/relationships/hyperlink" Target="imagenes/HALIFAX_WOMENS_119000008_OLI_2.jpg" TargetMode="External" Id="rId68"/><Relationship Type="http://schemas.openxmlformats.org/officeDocument/2006/relationships/hyperlink" Target="imagenes/HALIFAX_WOMENS_119000008_OLI_3.jpg" TargetMode="External" Id="rId69"/><Relationship Type="http://schemas.openxmlformats.org/officeDocument/2006/relationships/hyperlink" Target="imagenes/HALIFAX_WOMENS_119000008_OLI_1.jpg" TargetMode="External" Id="rId70"/><Relationship Type="http://schemas.openxmlformats.org/officeDocument/2006/relationships/hyperlink" Target="imagenes/HALIFAX_WOMENS_119000008_OLI_2.jpg" TargetMode="External" Id="rId71"/><Relationship Type="http://schemas.openxmlformats.org/officeDocument/2006/relationships/hyperlink" Target="imagenes/HALIFAX_WOMENS_119000008_OLI_3.jpg" TargetMode="External" Id="rId72"/><Relationship Type="http://schemas.openxmlformats.org/officeDocument/2006/relationships/hyperlink" Target="imagenes/HALIFAX_WOMENS_119000008_OLI_1.jpg" TargetMode="External" Id="rId73"/><Relationship Type="http://schemas.openxmlformats.org/officeDocument/2006/relationships/hyperlink" Target="imagenes/HALIFAX_WOMENS_119000008_OLI_2.jpg" TargetMode="External" Id="rId74"/><Relationship Type="http://schemas.openxmlformats.org/officeDocument/2006/relationships/hyperlink" Target="imagenes/HALIFAX_WOMENS_119000008_OLI_3.jpg" TargetMode="External" Id="rId75"/><Relationship Type="http://schemas.openxmlformats.org/officeDocument/2006/relationships/hyperlink" Target="imagenes/HALIFAX_WOMENS_119000008_OLI_1.jpg" TargetMode="External" Id="rId76"/><Relationship Type="http://schemas.openxmlformats.org/officeDocument/2006/relationships/hyperlink" Target="imagenes/HALIFAX_WOMENS_119000008_OLI_2.jpg" TargetMode="External" Id="rId77"/><Relationship Type="http://schemas.openxmlformats.org/officeDocument/2006/relationships/hyperlink" Target="imagenes/HALIFAX_WOMENS_119000008_OLI_3.jpg" TargetMode="External" Id="rId78"/><Relationship Type="http://schemas.openxmlformats.org/officeDocument/2006/relationships/hyperlink" Target="imagenes/HALIFAX_WOMENS_119000214_ADR_1.jpg" TargetMode="External" Id="rId79"/><Relationship Type="http://schemas.openxmlformats.org/officeDocument/2006/relationships/hyperlink" Target="imagenes/HALIFAX_WOMENS_119000214_ADR_2.jpg" TargetMode="External" Id="rId80"/><Relationship Type="http://schemas.openxmlformats.org/officeDocument/2006/relationships/hyperlink" Target="imagenes/HALIFAX_WOMENS_119000214_ADR_3.jpg" TargetMode="External" Id="rId81"/><Relationship Type="http://schemas.openxmlformats.org/officeDocument/2006/relationships/hyperlink" Target="imagenes/HALIFAX_WOMENS_119000214_BLK_1.jpg" TargetMode="External" Id="rId82"/><Relationship Type="http://schemas.openxmlformats.org/officeDocument/2006/relationships/hyperlink" Target="imagenes/HALIFAX_WOMENS_119000214_BLK_2.jpg" TargetMode="External" Id="rId83"/><Relationship Type="http://schemas.openxmlformats.org/officeDocument/2006/relationships/hyperlink" Target="imagenes/HALIFAX_WOMENS_119000214_BLK_3.jpg" TargetMode="External" Id="rId84"/><Relationship Type="http://schemas.openxmlformats.org/officeDocument/2006/relationships/hyperlink" Target="imagenes/HALIFAX_WOMENS_119000214_BLK_1.jpg" TargetMode="External" Id="rId85"/><Relationship Type="http://schemas.openxmlformats.org/officeDocument/2006/relationships/hyperlink" Target="imagenes/HALIFAX_WOMENS_119000214_BLK_2.jpg" TargetMode="External" Id="rId86"/><Relationship Type="http://schemas.openxmlformats.org/officeDocument/2006/relationships/hyperlink" Target="imagenes/HALIFAX_WOMENS_119000214_BLK_3.jpg" TargetMode="External" Id="rId87"/><Relationship Type="http://schemas.openxmlformats.org/officeDocument/2006/relationships/hyperlink" Target="imagenes/HALIFAX_WOMENS_119000214_BLK_1.jpg" TargetMode="External" Id="rId88"/><Relationship Type="http://schemas.openxmlformats.org/officeDocument/2006/relationships/hyperlink" Target="imagenes/HALIFAX_WOMENS_119000214_BLK_2.jpg" TargetMode="External" Id="rId89"/><Relationship Type="http://schemas.openxmlformats.org/officeDocument/2006/relationships/hyperlink" Target="imagenes/HALIFAX_WOMENS_119000214_BLK_3.jpg" TargetMode="External" Id="rId90"/><Relationship Type="http://schemas.openxmlformats.org/officeDocument/2006/relationships/hyperlink" Target="imagenes/HALIFAX_WOMENS_119000214_BLK_1.jpg" TargetMode="External" Id="rId91"/><Relationship Type="http://schemas.openxmlformats.org/officeDocument/2006/relationships/hyperlink" Target="imagenes/HALIFAX_WOMENS_119000214_BLK_2.jpg" TargetMode="External" Id="rId92"/><Relationship Type="http://schemas.openxmlformats.org/officeDocument/2006/relationships/hyperlink" Target="imagenes/HALIFAX_WOMENS_119000214_BLK_3.jpg" TargetMode="External" Id="rId93"/><Relationship Type="http://schemas.openxmlformats.org/officeDocument/2006/relationships/hyperlink" Target="imagenes/HALIFAX_WOMENS_119000214_BLK_1.jpg" TargetMode="External" Id="rId94"/><Relationship Type="http://schemas.openxmlformats.org/officeDocument/2006/relationships/hyperlink" Target="imagenes/HALIFAX_WOMENS_119000214_BLK_2.jpg" TargetMode="External" Id="rId95"/><Relationship Type="http://schemas.openxmlformats.org/officeDocument/2006/relationships/hyperlink" Target="imagenes/HALIFAX_WOMENS_119000214_BLK_3.jpg" TargetMode="External" Id="rId96"/><Relationship Type="http://schemas.openxmlformats.org/officeDocument/2006/relationships/hyperlink" Target="imagenes/HALIFAX_WOMENS_119000214_BLK_1.jpg" TargetMode="External" Id="rId97"/><Relationship Type="http://schemas.openxmlformats.org/officeDocument/2006/relationships/hyperlink" Target="imagenes/HALIFAX_WOMENS_119000214_BLK_2.jpg" TargetMode="External" Id="rId98"/><Relationship Type="http://schemas.openxmlformats.org/officeDocument/2006/relationships/hyperlink" Target="imagenes/HALIFAX_WOMENS_119000214_BLK_3.jpg" TargetMode="External" Id="rId99"/><Relationship Type="http://schemas.openxmlformats.org/officeDocument/2006/relationships/hyperlink" Target="imagenes/HALIFAX_WOMENS_119000214_BLK_1.jpg" TargetMode="External" Id="rId100"/><Relationship Type="http://schemas.openxmlformats.org/officeDocument/2006/relationships/hyperlink" Target="imagenes/HALIFAX_WOMENS_119000214_BLK_2.jpg" TargetMode="External" Id="rId101"/><Relationship Type="http://schemas.openxmlformats.org/officeDocument/2006/relationships/hyperlink" Target="imagenes/HALIFAX_WOMENS_119000214_BLK_3.jpg" TargetMode="External" Id="rId102"/><Relationship Type="http://schemas.openxmlformats.org/officeDocument/2006/relationships/hyperlink" Target="imagenes/HALIFAX_WOMENS_119000214_BLK_1.jpg" TargetMode="External" Id="rId103"/><Relationship Type="http://schemas.openxmlformats.org/officeDocument/2006/relationships/hyperlink" Target="imagenes/HALIFAX_WOMENS_119000214_BLK_2.jpg" TargetMode="External" Id="rId104"/><Relationship Type="http://schemas.openxmlformats.org/officeDocument/2006/relationships/hyperlink" Target="imagenes/HALIFAX_WOMENS_119000214_BLK_3.jpg" TargetMode="External" Id="rId105"/><Relationship Type="http://schemas.openxmlformats.org/officeDocument/2006/relationships/hyperlink" Target="imagenes/HALIFAX_WOMENS_119000214_BLK_1.jpg" TargetMode="External" Id="rId106"/><Relationship Type="http://schemas.openxmlformats.org/officeDocument/2006/relationships/hyperlink" Target="imagenes/HALIFAX_WOMENS_119000214_BLK_2.jpg" TargetMode="External" Id="rId107"/><Relationship Type="http://schemas.openxmlformats.org/officeDocument/2006/relationships/hyperlink" Target="imagenes/HALIFAX_WOMENS_119000214_BLK_3.jpg" TargetMode="External" Id="rId108"/><Relationship Type="http://schemas.openxmlformats.org/officeDocument/2006/relationships/hyperlink" Target="imagenes/HALIFAX_WOMENS_119000214_BLK_1.jpg" TargetMode="External" Id="rId109"/><Relationship Type="http://schemas.openxmlformats.org/officeDocument/2006/relationships/hyperlink" Target="imagenes/HALIFAX_WOMENS_119000214_BLK_2.jpg" TargetMode="External" Id="rId110"/><Relationship Type="http://schemas.openxmlformats.org/officeDocument/2006/relationships/hyperlink" Target="imagenes/HALIFAX_WOMENS_119000214_BLK_3.jpg" TargetMode="External" Id="rId111"/><Relationship Type="http://schemas.openxmlformats.org/officeDocument/2006/relationships/hyperlink" Target="imagenes/HALIFAX_WOMENS_119000214_CAM_1.jpg" TargetMode="External" Id="rId112"/><Relationship Type="http://schemas.openxmlformats.org/officeDocument/2006/relationships/hyperlink" Target="imagenes/HALIFAX_WOMENS_119000214_CAM_2.jpg" TargetMode="External" Id="rId113"/><Relationship Type="http://schemas.openxmlformats.org/officeDocument/2006/relationships/hyperlink" Target="imagenes/HALIFAX_WOMENS_119000214_CAM_3.jpg" TargetMode="External" Id="rId114"/><Relationship Type="http://schemas.openxmlformats.org/officeDocument/2006/relationships/hyperlink" Target="imagenes/HALIFAX_WOMENS_119000214_CAM_1.jpg" TargetMode="External" Id="rId115"/><Relationship Type="http://schemas.openxmlformats.org/officeDocument/2006/relationships/hyperlink" Target="imagenes/HALIFAX_WOMENS_119000214_CAM_2.jpg" TargetMode="External" Id="rId116"/><Relationship Type="http://schemas.openxmlformats.org/officeDocument/2006/relationships/hyperlink" Target="imagenes/HALIFAX_WOMENS_119000214_CAM_3.jpg" TargetMode="External" Id="rId117"/><Relationship Type="http://schemas.openxmlformats.org/officeDocument/2006/relationships/hyperlink" Target="imagenes/HALIFAX_WOMENS_119000214_CAM_1.jpg" TargetMode="External" Id="rId118"/><Relationship Type="http://schemas.openxmlformats.org/officeDocument/2006/relationships/hyperlink" Target="imagenes/HALIFAX_WOMENS_119000214_CAM_2.jpg" TargetMode="External" Id="rId119"/><Relationship Type="http://schemas.openxmlformats.org/officeDocument/2006/relationships/hyperlink" Target="imagenes/HALIFAX_WOMENS_119000214_CAM_3.jpg" TargetMode="External" Id="rId120"/><Relationship Type="http://schemas.openxmlformats.org/officeDocument/2006/relationships/hyperlink" Target="imagenes/HALIFAX_WOMENS_119000214_CAM_1.jpg" TargetMode="External" Id="rId121"/><Relationship Type="http://schemas.openxmlformats.org/officeDocument/2006/relationships/hyperlink" Target="imagenes/HALIFAX_WOMENS_119000214_CAM_2.jpg" TargetMode="External" Id="rId122"/><Relationship Type="http://schemas.openxmlformats.org/officeDocument/2006/relationships/hyperlink" Target="imagenes/HALIFAX_WOMENS_119000214_CAM_3.jpg" TargetMode="External" Id="rId123"/><Relationship Type="http://schemas.openxmlformats.org/officeDocument/2006/relationships/hyperlink" Target="imagenes/HALIFAX_WOMENS_119000214_CAM_1.jpg" TargetMode="External" Id="rId124"/><Relationship Type="http://schemas.openxmlformats.org/officeDocument/2006/relationships/hyperlink" Target="imagenes/HALIFAX_WOMENS_119000214_CAM_2.jpg" TargetMode="External" Id="rId125"/><Relationship Type="http://schemas.openxmlformats.org/officeDocument/2006/relationships/hyperlink" Target="imagenes/HALIFAX_WOMENS_119000214_CAM_3.jpg" TargetMode="External" Id="rId126"/><Relationship Type="http://schemas.openxmlformats.org/officeDocument/2006/relationships/hyperlink" Target="imagenes/HALIFAX_WOMENS_119000214_CAM_1.jpg" TargetMode="External" Id="rId127"/><Relationship Type="http://schemas.openxmlformats.org/officeDocument/2006/relationships/hyperlink" Target="imagenes/HALIFAX_WOMENS_119000214_CAM_2.jpg" TargetMode="External" Id="rId128"/><Relationship Type="http://schemas.openxmlformats.org/officeDocument/2006/relationships/hyperlink" Target="imagenes/HALIFAX_WOMENS_119000214_CAM_3.jpg" TargetMode="External" Id="rId129"/><Relationship Type="http://schemas.openxmlformats.org/officeDocument/2006/relationships/hyperlink" Target="imagenes/HALIFAX_WOMENS_119000214_CAM_1.jpg" TargetMode="External" Id="rId130"/><Relationship Type="http://schemas.openxmlformats.org/officeDocument/2006/relationships/hyperlink" Target="imagenes/HALIFAX_WOMENS_119000214_CAM_2.jpg" TargetMode="External" Id="rId131"/><Relationship Type="http://schemas.openxmlformats.org/officeDocument/2006/relationships/hyperlink" Target="imagenes/HALIFAX_WOMENS_119000214_CAM_3.jpg" TargetMode="External" Id="rId132"/><Relationship Type="http://schemas.openxmlformats.org/officeDocument/2006/relationships/hyperlink" Target="imagenes/HALIFAX_WOMENS_119000214_CAM_1.jpg" TargetMode="External" Id="rId133"/><Relationship Type="http://schemas.openxmlformats.org/officeDocument/2006/relationships/hyperlink" Target="imagenes/HALIFAX_WOMENS_119000214_CAM_2.jpg" TargetMode="External" Id="rId134"/><Relationship Type="http://schemas.openxmlformats.org/officeDocument/2006/relationships/hyperlink" Target="imagenes/HALIFAX_WOMENS_119000214_CAM_3.jpg" TargetMode="External" Id="rId135"/><Relationship Type="http://schemas.openxmlformats.org/officeDocument/2006/relationships/hyperlink" Target="imagenes/HALIFAX_WOMENS_119000214_CAM_1.jpg" TargetMode="External" Id="rId136"/><Relationship Type="http://schemas.openxmlformats.org/officeDocument/2006/relationships/hyperlink" Target="imagenes/HALIFAX_WOMENS_119000214_CAM_2.jpg" TargetMode="External" Id="rId137"/><Relationship Type="http://schemas.openxmlformats.org/officeDocument/2006/relationships/hyperlink" Target="imagenes/HALIFAX_WOMENS_119000214_CAM_3.jpg" TargetMode="External" Id="rId138"/><Relationship Type="http://schemas.openxmlformats.org/officeDocument/2006/relationships/hyperlink" Target="imagenes/HALIFAX_WOMENS_119000214_CAM_1.jpg" TargetMode="External" Id="rId139"/><Relationship Type="http://schemas.openxmlformats.org/officeDocument/2006/relationships/hyperlink" Target="imagenes/HALIFAX_WOMENS_119000214_CAM_2.jpg" TargetMode="External" Id="rId140"/><Relationship Type="http://schemas.openxmlformats.org/officeDocument/2006/relationships/hyperlink" Target="imagenes/HALIFAX_WOMENS_119000214_CAM_3.jpg" TargetMode="External" Id="rId141"/><Relationship Type="http://schemas.openxmlformats.org/officeDocument/2006/relationships/hyperlink" Target="imagenes/HALIFAX_WOMENS_119000214_CAM_1.jpg" TargetMode="External" Id="rId142"/><Relationship Type="http://schemas.openxmlformats.org/officeDocument/2006/relationships/hyperlink" Target="imagenes/HALIFAX_WOMENS_119000214_CAM_2.jpg" TargetMode="External" Id="rId143"/><Relationship Type="http://schemas.openxmlformats.org/officeDocument/2006/relationships/hyperlink" Target="imagenes/HALIFAX_WOMENS_119000214_CAM_3.jpg" TargetMode="External" Id="rId144"/><Relationship Type="http://schemas.openxmlformats.org/officeDocument/2006/relationships/hyperlink" Target="imagenes/HALIFAX_WOMENS_119000214_CHO_1.jpg" TargetMode="External" Id="rId145"/><Relationship Type="http://schemas.openxmlformats.org/officeDocument/2006/relationships/hyperlink" Target="imagenes/HALIFAX_WOMENS_119000214_CHO_2.jpg" TargetMode="External" Id="rId146"/><Relationship Type="http://schemas.openxmlformats.org/officeDocument/2006/relationships/hyperlink" Target="imagenes/HALIFAX_WOMENS_119000214_CHO_3.jpg" TargetMode="External" Id="rId147"/><Relationship Type="http://schemas.openxmlformats.org/officeDocument/2006/relationships/hyperlink" Target="imagenes/HALIFAX_WOMENS_119000214_CHO_1.jpg" TargetMode="External" Id="rId148"/><Relationship Type="http://schemas.openxmlformats.org/officeDocument/2006/relationships/hyperlink" Target="imagenes/HALIFAX_WOMENS_119000214_CHO_2.jpg" TargetMode="External" Id="rId149"/><Relationship Type="http://schemas.openxmlformats.org/officeDocument/2006/relationships/hyperlink" Target="imagenes/HALIFAX_WOMENS_119000214_CHO_3.jpg" TargetMode="External" Id="rId150"/><Relationship Type="http://schemas.openxmlformats.org/officeDocument/2006/relationships/hyperlink" Target="imagenes/HALIFAX_WOMENS_119000214_GNH_1.jpg" TargetMode="External" Id="rId151"/><Relationship Type="http://schemas.openxmlformats.org/officeDocument/2006/relationships/hyperlink" Target="imagenes/HALIFAX_WOMENS_119000214_GNH_2.jpg" TargetMode="External" Id="rId152"/><Relationship Type="http://schemas.openxmlformats.org/officeDocument/2006/relationships/hyperlink" Target="imagenes/HALIFAX_WOMENS_119000214_GNH_3.jpg" TargetMode="External" Id="rId153"/><Relationship Type="http://schemas.openxmlformats.org/officeDocument/2006/relationships/hyperlink" Target="imagenes/HALIFAX_WOMENS_119000214_MAU_1.jpg" TargetMode="External" Id="rId154"/><Relationship Type="http://schemas.openxmlformats.org/officeDocument/2006/relationships/hyperlink" Target="imagenes/HALIFAX_WOMENS_119000214_MAU_2.jpg" TargetMode="External" Id="rId155"/><Relationship Type="http://schemas.openxmlformats.org/officeDocument/2006/relationships/hyperlink" Target="imagenes/HALIFAX_WOMENS_119000214_MAU_3.jpg" TargetMode="External" Id="rId156"/><Relationship Type="http://schemas.openxmlformats.org/officeDocument/2006/relationships/hyperlink" Target="imagenes/HALIFAX_WOMENS_119000214_MAU_1.jpg" TargetMode="External" Id="rId157"/><Relationship Type="http://schemas.openxmlformats.org/officeDocument/2006/relationships/hyperlink" Target="imagenes/HALIFAX_WOMENS_119000214_MAU_2.jpg" TargetMode="External" Id="rId158"/><Relationship Type="http://schemas.openxmlformats.org/officeDocument/2006/relationships/hyperlink" Target="imagenes/HALIFAX_WOMENS_119000214_MAU_3.jpg" TargetMode="External" Id="rId159"/><Relationship Type="http://schemas.openxmlformats.org/officeDocument/2006/relationships/hyperlink" Target="imagenes/HALIFAX_WOMENS_119000214_MAU_1.jpg" TargetMode="External" Id="rId160"/><Relationship Type="http://schemas.openxmlformats.org/officeDocument/2006/relationships/hyperlink" Target="imagenes/HALIFAX_WOMENS_119000214_MAU_2.jpg" TargetMode="External" Id="rId161"/><Relationship Type="http://schemas.openxmlformats.org/officeDocument/2006/relationships/hyperlink" Target="imagenes/HALIFAX_WOMENS_119000214_MAU_3.jpg" TargetMode="External" Id="rId162"/><Relationship Type="http://schemas.openxmlformats.org/officeDocument/2006/relationships/hyperlink" Target="imagenes/HALIFAX_WOMENS_119000214_MAU_1.jpg" TargetMode="External" Id="rId163"/><Relationship Type="http://schemas.openxmlformats.org/officeDocument/2006/relationships/hyperlink" Target="imagenes/HALIFAX_WOMENS_119000214_MAU_2.jpg" TargetMode="External" Id="rId164"/><Relationship Type="http://schemas.openxmlformats.org/officeDocument/2006/relationships/hyperlink" Target="imagenes/HALIFAX_WOMENS_119000214_MAU_3.jpg" TargetMode="External" Id="rId165"/><Relationship Type="http://schemas.openxmlformats.org/officeDocument/2006/relationships/hyperlink" Target="imagenes/HALIFAX_WOMENS_119000214_MAU_1.jpg" TargetMode="External" Id="rId166"/><Relationship Type="http://schemas.openxmlformats.org/officeDocument/2006/relationships/hyperlink" Target="imagenes/HALIFAX_WOMENS_119000214_MAU_2.jpg" TargetMode="External" Id="rId167"/><Relationship Type="http://schemas.openxmlformats.org/officeDocument/2006/relationships/hyperlink" Target="imagenes/HALIFAX_WOMENS_119000214_MAU_3.jpg" TargetMode="External" Id="rId168"/><Relationship Type="http://schemas.openxmlformats.org/officeDocument/2006/relationships/hyperlink" Target="imagenes/HALIFAX_WOMENS_119000214_MSG_1.jpg" TargetMode="External" Id="rId169"/><Relationship Type="http://schemas.openxmlformats.org/officeDocument/2006/relationships/hyperlink" Target="imagenes/HALIFAX_WOMENS_119000214_MSG_2.jpg" TargetMode="External" Id="rId170"/><Relationship Type="http://schemas.openxmlformats.org/officeDocument/2006/relationships/hyperlink" Target="imagenes/HALIFAX_WOMENS_119000214_MSG_3.jpg" TargetMode="External" Id="rId171"/><Relationship Type="http://schemas.openxmlformats.org/officeDocument/2006/relationships/hyperlink" Target="imagenes/HALIFAX_WOMENS_119000214_MSG_1.jpg" TargetMode="External" Id="rId172"/><Relationship Type="http://schemas.openxmlformats.org/officeDocument/2006/relationships/hyperlink" Target="imagenes/HALIFAX_WOMENS_119000214_MSG_2.jpg" TargetMode="External" Id="rId173"/><Relationship Type="http://schemas.openxmlformats.org/officeDocument/2006/relationships/hyperlink" Target="imagenes/HALIFAX_WOMENS_119000214_MSG_3.jpg" TargetMode="External" Id="rId174"/><Relationship Type="http://schemas.openxmlformats.org/officeDocument/2006/relationships/hyperlink" Target="imagenes/HALIFAX_WOMENS_119000214_MSG_1.jpg" TargetMode="External" Id="rId175"/><Relationship Type="http://schemas.openxmlformats.org/officeDocument/2006/relationships/hyperlink" Target="imagenes/HALIFAX_WOMENS_119000214_MSG_2.jpg" TargetMode="External" Id="rId176"/><Relationship Type="http://schemas.openxmlformats.org/officeDocument/2006/relationships/hyperlink" Target="imagenes/HALIFAX_WOMENS_119000214_MSG_3.jpg" TargetMode="External" Id="rId177"/><Relationship Type="http://schemas.openxmlformats.org/officeDocument/2006/relationships/hyperlink" Target="imagenes/HALIFAX_WOMENS_119000214_MSG_1.jpg" TargetMode="External" Id="rId178"/><Relationship Type="http://schemas.openxmlformats.org/officeDocument/2006/relationships/hyperlink" Target="imagenes/HALIFAX_WOMENS_119000214_MSG_2.jpg" TargetMode="External" Id="rId179"/><Relationship Type="http://schemas.openxmlformats.org/officeDocument/2006/relationships/hyperlink" Target="imagenes/HALIFAX_WOMENS_119000214_MSG_3.jpg" TargetMode="External" Id="rId180"/><Relationship Type="http://schemas.openxmlformats.org/officeDocument/2006/relationships/hyperlink" Target="imagenes/HALIFAX_WOMENS_119000214_MSG_1.jpg" TargetMode="External" Id="rId181"/><Relationship Type="http://schemas.openxmlformats.org/officeDocument/2006/relationships/hyperlink" Target="imagenes/HALIFAX_WOMENS_119000214_MSG_2.jpg" TargetMode="External" Id="rId182"/><Relationship Type="http://schemas.openxmlformats.org/officeDocument/2006/relationships/hyperlink" Target="imagenes/HALIFAX_WOMENS_119000214_MSG_3.jpg" TargetMode="External" Id="rId183"/><Relationship Type="http://schemas.openxmlformats.org/officeDocument/2006/relationships/hyperlink" Target="imagenes/HALIFAX_WOMENS_119000214_MSG_1.jpg" TargetMode="External" Id="rId184"/><Relationship Type="http://schemas.openxmlformats.org/officeDocument/2006/relationships/hyperlink" Target="imagenes/HALIFAX_WOMENS_119000214_MSG_2.jpg" TargetMode="External" Id="rId185"/><Relationship Type="http://schemas.openxmlformats.org/officeDocument/2006/relationships/hyperlink" Target="imagenes/HALIFAX_WOMENS_119000214_MSG_3.jpg" TargetMode="External" Id="rId186"/><Relationship Type="http://schemas.openxmlformats.org/officeDocument/2006/relationships/hyperlink" Target="imagenes/HALIFAX_WOMENS_119000214_MSG_1.jpg" TargetMode="External" Id="rId187"/><Relationship Type="http://schemas.openxmlformats.org/officeDocument/2006/relationships/hyperlink" Target="imagenes/HALIFAX_WOMENS_119000214_MSG_2.jpg" TargetMode="External" Id="rId188"/><Relationship Type="http://schemas.openxmlformats.org/officeDocument/2006/relationships/hyperlink" Target="imagenes/HALIFAX_WOMENS_119000214_MSG_3.jpg" TargetMode="External" Id="rId189"/><Relationship Type="http://schemas.openxmlformats.org/officeDocument/2006/relationships/hyperlink" Target="imagenes/HALIFAX_WOMENS_119000214_MSG_1.jpg" TargetMode="External" Id="rId190"/><Relationship Type="http://schemas.openxmlformats.org/officeDocument/2006/relationships/hyperlink" Target="imagenes/HALIFAX_WOMENS_119000214_MSG_2.jpg" TargetMode="External" Id="rId191"/><Relationship Type="http://schemas.openxmlformats.org/officeDocument/2006/relationships/hyperlink" Target="imagenes/HALIFAX_WOMENS_119000214_MSG_3.jpg" TargetMode="External" Id="rId192"/><Relationship Type="http://schemas.openxmlformats.org/officeDocument/2006/relationships/hyperlink" Target="imagenes/HALIFAX_WOMENS_119000214_NVY_1.jpg" TargetMode="External" Id="rId193"/><Relationship Type="http://schemas.openxmlformats.org/officeDocument/2006/relationships/hyperlink" Target="imagenes/HALIFAX_WOMENS_119000214_NVY_2.jpg" TargetMode="External" Id="rId194"/><Relationship Type="http://schemas.openxmlformats.org/officeDocument/2006/relationships/hyperlink" Target="imagenes/HALIFAX_WOMENS_119000214_NVY_3.jpg" TargetMode="External" Id="rId195"/><Relationship Type="http://schemas.openxmlformats.org/officeDocument/2006/relationships/hyperlink" Target="imagenes/HALIFAX_WOMENS_119000214_NVY_1.jpg" TargetMode="External" Id="rId196"/><Relationship Type="http://schemas.openxmlformats.org/officeDocument/2006/relationships/hyperlink" Target="imagenes/HALIFAX_WOMENS_119000214_NVY_2.jpg" TargetMode="External" Id="rId197"/><Relationship Type="http://schemas.openxmlformats.org/officeDocument/2006/relationships/hyperlink" Target="imagenes/HALIFAX_WOMENS_119000214_NVY_3.jpg" TargetMode="External" Id="rId198"/><Relationship Type="http://schemas.openxmlformats.org/officeDocument/2006/relationships/hyperlink" Target="imagenes/HALIFAX_WOMENS_119000214_NVY_1.jpg" TargetMode="External" Id="rId199"/><Relationship Type="http://schemas.openxmlformats.org/officeDocument/2006/relationships/hyperlink" Target="imagenes/HALIFAX_WOMENS_119000214_NVY_2.jpg" TargetMode="External" Id="rId200"/><Relationship Type="http://schemas.openxmlformats.org/officeDocument/2006/relationships/hyperlink" Target="imagenes/HALIFAX_WOMENS_119000214_NVY_3.jpg" TargetMode="External" Id="rId201"/><Relationship Type="http://schemas.openxmlformats.org/officeDocument/2006/relationships/hyperlink" Target="imagenes/HALIFAX_WOMENS_119000214_NVY_1.jpg" TargetMode="External" Id="rId202"/><Relationship Type="http://schemas.openxmlformats.org/officeDocument/2006/relationships/hyperlink" Target="imagenes/HALIFAX_WOMENS_119000214_NVY_2.jpg" TargetMode="External" Id="rId203"/><Relationship Type="http://schemas.openxmlformats.org/officeDocument/2006/relationships/hyperlink" Target="imagenes/HALIFAX_WOMENS_119000214_NVY_3.jpg" TargetMode="External" Id="rId204"/><Relationship Type="http://schemas.openxmlformats.org/officeDocument/2006/relationships/hyperlink" Target="imagenes/HALIFAX_WOMENS_119000214_NVY_1.jpg" TargetMode="External" Id="rId205"/><Relationship Type="http://schemas.openxmlformats.org/officeDocument/2006/relationships/hyperlink" Target="imagenes/HALIFAX_WOMENS_119000214_NVY_2.jpg" TargetMode="External" Id="rId206"/><Relationship Type="http://schemas.openxmlformats.org/officeDocument/2006/relationships/hyperlink" Target="imagenes/HALIFAX_WOMENS_119000214_NVY_3.jpg" TargetMode="External" Id="rId207"/><Relationship Type="http://schemas.openxmlformats.org/officeDocument/2006/relationships/hyperlink" Target="imagenes/HALIFAX_WOMENS_119000214_NVY_1.jpg" TargetMode="External" Id="rId208"/><Relationship Type="http://schemas.openxmlformats.org/officeDocument/2006/relationships/hyperlink" Target="imagenes/HALIFAX_WOMENS_119000214_NVY_2.jpg" TargetMode="External" Id="rId209"/><Relationship Type="http://schemas.openxmlformats.org/officeDocument/2006/relationships/hyperlink" Target="imagenes/HALIFAX_WOMENS_119000214_NVY_3.jpg" TargetMode="External" Id="rId210"/><Relationship Type="http://schemas.openxmlformats.org/officeDocument/2006/relationships/hyperlink" Target="imagenes/HALIFAX_WOMENS_119000214_NVY_1.jpg" TargetMode="External" Id="rId211"/><Relationship Type="http://schemas.openxmlformats.org/officeDocument/2006/relationships/hyperlink" Target="imagenes/HALIFAX_WOMENS_119000214_NVY_2.jpg" TargetMode="External" Id="rId212"/><Relationship Type="http://schemas.openxmlformats.org/officeDocument/2006/relationships/hyperlink" Target="imagenes/HALIFAX_WOMENS_119000214_NVY_3.jpg" TargetMode="External" Id="rId213"/><Relationship Type="http://schemas.openxmlformats.org/officeDocument/2006/relationships/hyperlink" Target="imagenes/HALIFAX_WOMENS_119000214_NVY_1.jpg" TargetMode="External" Id="rId214"/><Relationship Type="http://schemas.openxmlformats.org/officeDocument/2006/relationships/hyperlink" Target="imagenes/HALIFAX_WOMENS_119000214_NVY_2.jpg" TargetMode="External" Id="rId215"/><Relationship Type="http://schemas.openxmlformats.org/officeDocument/2006/relationships/hyperlink" Target="imagenes/HALIFAX_WOMENS_119000214_NVY_3.jpg" TargetMode="External" Id="rId216"/><Relationship Type="http://schemas.openxmlformats.org/officeDocument/2006/relationships/hyperlink" Target="imagenes/HALIFAX_WOMENS_119000214_NVY_1.jpg" TargetMode="External" Id="rId217"/><Relationship Type="http://schemas.openxmlformats.org/officeDocument/2006/relationships/hyperlink" Target="imagenes/HALIFAX_WOMENS_119000214_NVY_2.jpg" TargetMode="External" Id="rId218"/><Relationship Type="http://schemas.openxmlformats.org/officeDocument/2006/relationships/hyperlink" Target="imagenes/HALIFAX_WOMENS_119000214_NVY_3.jpg" TargetMode="External" Id="rId219"/><Relationship Type="http://schemas.openxmlformats.org/officeDocument/2006/relationships/hyperlink" Target="imagenes/HALIFAX_WOMENS_119000214_NVY_1.jpg" TargetMode="External" Id="rId220"/><Relationship Type="http://schemas.openxmlformats.org/officeDocument/2006/relationships/hyperlink" Target="imagenes/HALIFAX_WOMENS_119000214_NVY_2.jpg" TargetMode="External" Id="rId221"/><Relationship Type="http://schemas.openxmlformats.org/officeDocument/2006/relationships/hyperlink" Target="imagenes/HALIFAX_WOMENS_119000214_NVY_3.jpg" TargetMode="External" Id="rId222"/><Relationship Type="http://schemas.openxmlformats.org/officeDocument/2006/relationships/hyperlink" Target="imagenes/HALIFAX_WOMENS_119000214_NVY_1.jpg" TargetMode="External" Id="rId223"/><Relationship Type="http://schemas.openxmlformats.org/officeDocument/2006/relationships/hyperlink" Target="imagenes/HALIFAX_WOMENS_119000214_NVY_2.jpg" TargetMode="External" Id="rId224"/><Relationship Type="http://schemas.openxmlformats.org/officeDocument/2006/relationships/hyperlink" Target="imagenes/HALIFAX_WOMENS_119000214_NVY_3.jpg" TargetMode="External" Id="rId225"/><Relationship Type="http://schemas.openxmlformats.org/officeDocument/2006/relationships/hyperlink" Target="imagenes/HALIFAX_WOMENS_119000214_SOM_1.jpg" TargetMode="External" Id="rId226"/><Relationship Type="http://schemas.openxmlformats.org/officeDocument/2006/relationships/hyperlink" Target="imagenes/HALIFAX_WOMENS_119000214_SOM_2.jpg" TargetMode="External" Id="rId227"/><Relationship Type="http://schemas.openxmlformats.org/officeDocument/2006/relationships/hyperlink" Target="imagenes/HALIFAX_WOMENS_119000214_SOM_3.jpg" TargetMode="External" Id="rId228"/><Relationship Type="http://schemas.openxmlformats.org/officeDocument/2006/relationships/hyperlink" Target="imagenes/HALIFAX_WOMENS_119000282_BLK_2.jpg" TargetMode="External" Id="rId229"/><Relationship Type="http://schemas.openxmlformats.org/officeDocument/2006/relationships/hyperlink" Target="imagenes/HALIFAX_WOMENS_119000282_BLK_3.jpg" TargetMode="External" Id="rId230"/><Relationship Type="http://schemas.openxmlformats.org/officeDocument/2006/relationships/hyperlink" Target="imagenes/HALIFAX_WOMENS_119000282_BLK_2.jpg" TargetMode="External" Id="rId231"/><Relationship Type="http://schemas.openxmlformats.org/officeDocument/2006/relationships/hyperlink" Target="imagenes/HALIFAX_WOMENS_119000282_BLK_3.jpg" TargetMode="External" Id="rId232"/><Relationship Type="http://schemas.openxmlformats.org/officeDocument/2006/relationships/hyperlink" Target="imagenes/HALIFAX_WOMENS_119000282_BLK_2.jpg" TargetMode="External" Id="rId233"/><Relationship Type="http://schemas.openxmlformats.org/officeDocument/2006/relationships/hyperlink" Target="imagenes/HALIFAX_WOMENS_119000282_BLK_3.jpg" TargetMode="External" Id="rId234"/><Relationship Type="http://schemas.openxmlformats.org/officeDocument/2006/relationships/hyperlink" Target="imagenes/HALIFAX_WOMENS_119000282_BLK_2.jpg" TargetMode="External" Id="rId235"/><Relationship Type="http://schemas.openxmlformats.org/officeDocument/2006/relationships/hyperlink" Target="imagenes/HALIFAX_WOMENS_119000282_BLK_3.jpg" TargetMode="External" Id="rId236"/><Relationship Type="http://schemas.openxmlformats.org/officeDocument/2006/relationships/hyperlink" Target="imagenes/HALIFAX_WOMENS_119000282_BLK_2.jpg" TargetMode="External" Id="rId237"/><Relationship Type="http://schemas.openxmlformats.org/officeDocument/2006/relationships/hyperlink" Target="imagenes/HALIFAX_WOMENS_119000282_BLK_3.jpg" TargetMode="External" Id="rId238"/><Relationship Type="http://schemas.openxmlformats.org/officeDocument/2006/relationships/hyperlink" Target="imagenes/HALIFAX_WOMENS_119000282_BLK_2.jpg" TargetMode="External" Id="rId239"/><Relationship Type="http://schemas.openxmlformats.org/officeDocument/2006/relationships/hyperlink" Target="imagenes/HALIFAX_WOMENS_119000282_BLK_3.jpg" TargetMode="External" Id="rId240"/><Relationship Type="http://schemas.openxmlformats.org/officeDocument/2006/relationships/hyperlink" Target="imagenes/HALIFAX_WOMENS_119000282_BLK_2.jpg" TargetMode="External" Id="rId241"/><Relationship Type="http://schemas.openxmlformats.org/officeDocument/2006/relationships/hyperlink" Target="imagenes/HALIFAX_WOMENS_119000282_BLK_3.jpg" TargetMode="External" Id="rId242"/><Relationship Type="http://schemas.openxmlformats.org/officeDocument/2006/relationships/hyperlink" Target="imagenes/HALIFAX_WOMENS_119000282_BON_2.jpg" TargetMode="External" Id="rId243"/><Relationship Type="http://schemas.openxmlformats.org/officeDocument/2006/relationships/hyperlink" Target="imagenes/HALIFAX_WOMENS_119000282_BON_3.jpg" TargetMode="External" Id="rId244"/><Relationship Type="http://schemas.openxmlformats.org/officeDocument/2006/relationships/hyperlink" Target="imagenes/HALIFAX_WOMENS_119000282_BON_2.jpg" TargetMode="External" Id="rId245"/><Relationship Type="http://schemas.openxmlformats.org/officeDocument/2006/relationships/hyperlink" Target="imagenes/HALIFAX_WOMENS_119000282_BON_3.jpg" TargetMode="External" Id="rId246"/><Relationship Type="http://schemas.openxmlformats.org/officeDocument/2006/relationships/hyperlink" Target="imagenes/HALIFAX_WOMENS_119000282_BON_2.jpg" TargetMode="External" Id="rId247"/><Relationship Type="http://schemas.openxmlformats.org/officeDocument/2006/relationships/hyperlink" Target="imagenes/HALIFAX_WOMENS_119000282_BON_3.jpg" TargetMode="External" Id="rId248"/><Relationship Type="http://schemas.openxmlformats.org/officeDocument/2006/relationships/hyperlink" Target="imagenes/HALIFAX_WOMENS_119000282_GNT_2.jpg" TargetMode="External" Id="rId249"/><Relationship Type="http://schemas.openxmlformats.org/officeDocument/2006/relationships/hyperlink" Target="imagenes/HALIFAX_WOMENS_119000282_GNT_3.jpg" TargetMode="External" Id="rId250"/><Relationship Type="http://schemas.openxmlformats.org/officeDocument/2006/relationships/hyperlink" Target="imagenes/HALIFAX_WOMENS_119000282_GNT_2.jpg" TargetMode="External" Id="rId251"/><Relationship Type="http://schemas.openxmlformats.org/officeDocument/2006/relationships/hyperlink" Target="imagenes/HALIFAX_WOMENS_119000282_GNT_3.jpg" TargetMode="External" Id="rId252"/><Relationship Type="http://schemas.openxmlformats.org/officeDocument/2006/relationships/hyperlink" Target="imagenes/HALIFAX_WOMENS_119000282_GNT_2.jpg" TargetMode="External" Id="rId253"/><Relationship Type="http://schemas.openxmlformats.org/officeDocument/2006/relationships/hyperlink" Target="imagenes/HALIFAX_WOMENS_119000282_GNT_3.jpg" TargetMode="External" Id="rId254"/><Relationship Type="http://schemas.openxmlformats.org/officeDocument/2006/relationships/hyperlink" Target="imagenes/HALIFAX_WOMENS_119000282_GNT_2.jpg" TargetMode="External" Id="rId255"/><Relationship Type="http://schemas.openxmlformats.org/officeDocument/2006/relationships/hyperlink" Target="imagenes/HALIFAX_WOMENS_119000282_GNT_3.jpg" TargetMode="External" Id="rId256"/><Relationship Type="http://schemas.openxmlformats.org/officeDocument/2006/relationships/hyperlink" Target="imagenes/HALIFAX_WOMENS_119000282_GNT_2.jpg" TargetMode="External" Id="rId257"/><Relationship Type="http://schemas.openxmlformats.org/officeDocument/2006/relationships/hyperlink" Target="imagenes/HALIFAX_WOMENS_119000282_GNT_3.jpg" TargetMode="External" Id="rId258"/><Relationship Type="http://schemas.openxmlformats.org/officeDocument/2006/relationships/hyperlink" Target="imagenes/HALIFAX_WOMENS_119000282_GNT_2.jpg" TargetMode="External" Id="rId259"/><Relationship Type="http://schemas.openxmlformats.org/officeDocument/2006/relationships/hyperlink" Target="imagenes/HALIFAX_WOMENS_119000282_GNT_3.jpg" TargetMode="External" Id="rId260"/><Relationship Type="http://schemas.openxmlformats.org/officeDocument/2006/relationships/hyperlink" Target="imagenes/HALIFAX_WOMENS_119000282_GNT_2.jpg" TargetMode="External" Id="rId261"/><Relationship Type="http://schemas.openxmlformats.org/officeDocument/2006/relationships/hyperlink" Target="imagenes/HALIFAX_WOMENS_119000282_GNT_3.jpg" TargetMode="External" Id="rId262"/><Relationship Type="http://schemas.openxmlformats.org/officeDocument/2006/relationships/hyperlink" Target="imagenes/HALIFAX_WOMENS_119000282_GNT_2.jpg" TargetMode="External" Id="rId263"/><Relationship Type="http://schemas.openxmlformats.org/officeDocument/2006/relationships/hyperlink" Target="imagenes/HALIFAX_WOMENS_119000282_GNT_3.jpg" TargetMode="External" Id="rId264"/><Relationship Type="http://schemas.openxmlformats.org/officeDocument/2006/relationships/hyperlink" Target="imagenes/HALIFAX_WOMENS_119000282_GNT_2.jpg" TargetMode="External" Id="rId265"/><Relationship Type="http://schemas.openxmlformats.org/officeDocument/2006/relationships/hyperlink" Target="imagenes/HALIFAX_WOMENS_119000282_GNT_3.jpg" TargetMode="External" Id="rId266"/><Relationship Type="http://schemas.openxmlformats.org/officeDocument/2006/relationships/hyperlink" Target="imagenes/HALIFAX_WOMENS_119000282_GNT_2.jpg" TargetMode="External" Id="rId267"/><Relationship Type="http://schemas.openxmlformats.org/officeDocument/2006/relationships/hyperlink" Target="imagenes/HALIFAX_WOMENS_119000282_GNT_3.jpg" TargetMode="External" Id="rId268"/><Relationship Type="http://schemas.openxmlformats.org/officeDocument/2006/relationships/hyperlink" Target="imagenes/HALIFAX_WOMENS_119000282_GNT_2.jpg" TargetMode="External" Id="rId269"/><Relationship Type="http://schemas.openxmlformats.org/officeDocument/2006/relationships/hyperlink" Target="imagenes/HALIFAX_WOMENS_119000282_GNT_3.jpg" TargetMode="External" Id="rId270"/><Relationship Type="http://schemas.openxmlformats.org/officeDocument/2006/relationships/hyperlink" Target="imagenes/HALIFAX_WOMENS_119000282_OLI_2.jpg" TargetMode="External" Id="rId271"/><Relationship Type="http://schemas.openxmlformats.org/officeDocument/2006/relationships/hyperlink" Target="imagenes/HALIFAX_WOMENS_119000282_OLI_3.jpg" TargetMode="External" Id="rId272"/><Relationship Type="http://schemas.openxmlformats.org/officeDocument/2006/relationships/hyperlink" Target="imagenes/HALIFAX_WOMENS_119000282_OLI_2.jpg" TargetMode="External" Id="rId273"/><Relationship Type="http://schemas.openxmlformats.org/officeDocument/2006/relationships/hyperlink" Target="imagenes/HALIFAX_WOMENS_119000282_OLI_3.jpg" TargetMode="External" Id="rId274"/><Relationship Type="http://schemas.openxmlformats.org/officeDocument/2006/relationships/hyperlink" Target="imagenes/HALIFAX_WOMENS_119000282_OLI_2.jpg" TargetMode="External" Id="rId275"/><Relationship Type="http://schemas.openxmlformats.org/officeDocument/2006/relationships/hyperlink" Target="imagenes/HALIFAX_WOMENS_119000282_OLI_3.jpg" TargetMode="External" Id="rId276"/><Relationship Type="http://schemas.openxmlformats.org/officeDocument/2006/relationships/hyperlink" Target="imagenes/HALIFAX_WOMENS_119000282_OLI_2.jpg" TargetMode="External" Id="rId277"/><Relationship Type="http://schemas.openxmlformats.org/officeDocument/2006/relationships/hyperlink" Target="imagenes/HALIFAX_WOMENS_119000282_OLI_3.jpg" TargetMode="External" Id="rId278"/><Relationship Type="http://schemas.openxmlformats.org/officeDocument/2006/relationships/hyperlink" Target="imagenes/HALIFAX_WOMENS_119000282_OLI_2.jpg" TargetMode="External" Id="rId279"/><Relationship Type="http://schemas.openxmlformats.org/officeDocument/2006/relationships/hyperlink" Target="imagenes/HALIFAX_WOMENS_119000282_OLI_3.jpg" TargetMode="External" Id="rId280"/><Relationship Type="http://schemas.openxmlformats.org/officeDocument/2006/relationships/hyperlink" Target="imagenes/HALIFAX_WOMENS_119000282_OLI_2.jpg" TargetMode="External" Id="rId281"/><Relationship Type="http://schemas.openxmlformats.org/officeDocument/2006/relationships/hyperlink" Target="imagenes/HALIFAX_WOMENS_119000282_OLI_3.jpg" TargetMode="External" Id="rId282"/><Relationship Type="http://schemas.openxmlformats.org/officeDocument/2006/relationships/hyperlink" Target="imagenes/HALIFAX_WOMENS_119000455_ESP_3.jpg" TargetMode="External" Id="rId283"/><Relationship Type="http://schemas.openxmlformats.org/officeDocument/2006/relationships/hyperlink" Target="imagenes/HALIFAX_WOMENS_119000455_GNT_3.jpg" TargetMode="External" Id="rId284"/><Relationship Type="http://schemas.openxmlformats.org/officeDocument/2006/relationships/hyperlink" Target="imagenes/HALIFAX_WOMENS_119000455_GNT_3.jpg" TargetMode="External" Id="rId285"/><Relationship Type="http://schemas.openxmlformats.org/officeDocument/2006/relationships/hyperlink" Target="imagenes/HALIFAX_WOMENS_119000455_GNT_3.jpg" TargetMode="External" Id="rId286"/><Relationship Type="http://schemas.openxmlformats.org/officeDocument/2006/relationships/hyperlink" Target="imagenes/HALIFAX_WOMENS_119000455_GNT_3.jpg" TargetMode="External" Id="rId287"/><Relationship Type="http://schemas.openxmlformats.org/officeDocument/2006/relationships/hyperlink" Target="imagenes/HALIFAX_WOMENS_119000455_GNT_3.jpg" TargetMode="External" Id="rId288"/><Relationship Type="http://schemas.openxmlformats.org/officeDocument/2006/relationships/hyperlink" Target="imagenes/HALIFAX_WOMENS_119000599_B24_1.jpg" TargetMode="External" Id="rId289"/><Relationship Type="http://schemas.openxmlformats.org/officeDocument/2006/relationships/hyperlink" Target="imagenes/HALIFAX_WOMENS_119000599_B24_2.jpg" TargetMode="External" Id="rId290"/><Relationship Type="http://schemas.openxmlformats.org/officeDocument/2006/relationships/hyperlink" Target="imagenes/HALIFAX_WOMENS_119000599_B24_3.jpg" TargetMode="External" Id="rId291"/><Relationship Type="http://schemas.openxmlformats.org/officeDocument/2006/relationships/hyperlink" Target="imagenes/HALIFAX_WOMENS_119000599_B24_1.jpg" TargetMode="External" Id="rId292"/><Relationship Type="http://schemas.openxmlformats.org/officeDocument/2006/relationships/hyperlink" Target="imagenes/HALIFAX_WOMENS_119000599_B24_2.jpg" TargetMode="External" Id="rId293"/><Relationship Type="http://schemas.openxmlformats.org/officeDocument/2006/relationships/hyperlink" Target="imagenes/HALIFAX_WOMENS_119000599_B24_3.jpg" TargetMode="External" Id="rId294"/><Relationship Type="http://schemas.openxmlformats.org/officeDocument/2006/relationships/hyperlink" Target="imagenes/HALIFAX_WOMENS_119000599_B24_1.jpg" TargetMode="External" Id="rId295"/><Relationship Type="http://schemas.openxmlformats.org/officeDocument/2006/relationships/hyperlink" Target="imagenes/HALIFAX_WOMENS_119000599_B24_2.jpg" TargetMode="External" Id="rId296"/><Relationship Type="http://schemas.openxmlformats.org/officeDocument/2006/relationships/hyperlink" Target="imagenes/HALIFAX_WOMENS_119000599_B24_3.jpg" TargetMode="External" Id="rId297"/><Relationship Type="http://schemas.openxmlformats.org/officeDocument/2006/relationships/hyperlink" Target="imagenes/HALIFAX_WOMENS_119000599_B24_1.jpg" TargetMode="External" Id="rId298"/><Relationship Type="http://schemas.openxmlformats.org/officeDocument/2006/relationships/hyperlink" Target="imagenes/HALIFAX_WOMENS_119000599_B24_2.jpg" TargetMode="External" Id="rId299"/><Relationship Type="http://schemas.openxmlformats.org/officeDocument/2006/relationships/hyperlink" Target="imagenes/HALIFAX_WOMENS_119000599_B24_3.jpg" TargetMode="External" Id="rId300"/><Relationship Type="http://schemas.openxmlformats.org/officeDocument/2006/relationships/hyperlink" Target="imagenes/HALIFAX_WOMENS_119000599_B24_1.jpg" TargetMode="External" Id="rId301"/><Relationship Type="http://schemas.openxmlformats.org/officeDocument/2006/relationships/hyperlink" Target="imagenes/HALIFAX_WOMENS_119000599_B24_2.jpg" TargetMode="External" Id="rId302"/><Relationship Type="http://schemas.openxmlformats.org/officeDocument/2006/relationships/hyperlink" Target="imagenes/HALIFAX_WOMENS_119000599_B24_3.jpg" TargetMode="External" Id="rId303"/><Relationship Type="http://schemas.openxmlformats.org/officeDocument/2006/relationships/hyperlink" Target="imagenes/HALIFAX_WOMENS_119000599_B24_1.jpg" TargetMode="External" Id="rId304"/><Relationship Type="http://schemas.openxmlformats.org/officeDocument/2006/relationships/hyperlink" Target="imagenes/HALIFAX_WOMENS_119000599_B24_2.jpg" TargetMode="External" Id="rId305"/><Relationship Type="http://schemas.openxmlformats.org/officeDocument/2006/relationships/hyperlink" Target="imagenes/HALIFAX_WOMENS_119000599_B24_3.jpg" TargetMode="External" Id="rId306"/><Relationship Type="http://schemas.openxmlformats.org/officeDocument/2006/relationships/hyperlink" Target="imagenes/HALIFAX_WOMENS_119000599_B24_1.jpg" TargetMode="External" Id="rId307"/><Relationship Type="http://schemas.openxmlformats.org/officeDocument/2006/relationships/hyperlink" Target="imagenes/HALIFAX_WOMENS_119000599_B24_2.jpg" TargetMode="External" Id="rId308"/><Relationship Type="http://schemas.openxmlformats.org/officeDocument/2006/relationships/hyperlink" Target="imagenes/HALIFAX_WOMENS_119000599_B24_3.jpg" TargetMode="External" Id="rId309"/><Relationship Type="http://schemas.openxmlformats.org/officeDocument/2006/relationships/hyperlink" Target="imagenes/HALIFAX_WOMENS_119000599_BLK_1.jpg" TargetMode="External" Id="rId310"/><Relationship Type="http://schemas.openxmlformats.org/officeDocument/2006/relationships/hyperlink" Target="imagenes/HALIFAX_WOMENS_119000599_BLK_2.jpg" TargetMode="External" Id="rId311"/><Relationship Type="http://schemas.openxmlformats.org/officeDocument/2006/relationships/hyperlink" Target="imagenes/HALIFAX_WOMENS_119000599_BLK_3.jpg" TargetMode="External" Id="rId312"/><Relationship Type="http://schemas.openxmlformats.org/officeDocument/2006/relationships/hyperlink" Target="imagenes/HALIFAX_WOMENS_119000599_BLK_1.jpg" TargetMode="External" Id="rId313"/><Relationship Type="http://schemas.openxmlformats.org/officeDocument/2006/relationships/hyperlink" Target="imagenes/HALIFAX_WOMENS_119000599_BLK_2.jpg" TargetMode="External" Id="rId314"/><Relationship Type="http://schemas.openxmlformats.org/officeDocument/2006/relationships/hyperlink" Target="imagenes/HALIFAX_WOMENS_119000599_BLK_3.jpg" TargetMode="External" Id="rId315"/><Relationship Type="http://schemas.openxmlformats.org/officeDocument/2006/relationships/hyperlink" Target="imagenes/HALIFAX_WOMENS_119000599_BLK_1.jpg" TargetMode="External" Id="rId316"/><Relationship Type="http://schemas.openxmlformats.org/officeDocument/2006/relationships/hyperlink" Target="imagenes/HALIFAX_WOMENS_119000599_BLK_2.jpg" TargetMode="External" Id="rId317"/><Relationship Type="http://schemas.openxmlformats.org/officeDocument/2006/relationships/hyperlink" Target="imagenes/HALIFAX_WOMENS_119000599_BLK_3.jpg" TargetMode="External" Id="rId318"/><Relationship Type="http://schemas.openxmlformats.org/officeDocument/2006/relationships/hyperlink" Target="imagenes/HALIFAX_WOMENS_119000599_BLK_1.jpg" TargetMode="External" Id="rId319"/><Relationship Type="http://schemas.openxmlformats.org/officeDocument/2006/relationships/hyperlink" Target="imagenes/HALIFAX_WOMENS_119000599_BLK_2.jpg" TargetMode="External" Id="rId320"/><Relationship Type="http://schemas.openxmlformats.org/officeDocument/2006/relationships/hyperlink" Target="imagenes/HALIFAX_WOMENS_119000599_BLK_3.jpg" TargetMode="External" Id="rId321"/><Relationship Type="http://schemas.openxmlformats.org/officeDocument/2006/relationships/hyperlink" Target="imagenes/HALIFAX_WOMENS_119000599_BLK_1.jpg" TargetMode="External" Id="rId322"/><Relationship Type="http://schemas.openxmlformats.org/officeDocument/2006/relationships/hyperlink" Target="imagenes/HALIFAX_WOMENS_119000599_BLK_2.jpg" TargetMode="External" Id="rId323"/><Relationship Type="http://schemas.openxmlformats.org/officeDocument/2006/relationships/hyperlink" Target="imagenes/HALIFAX_WOMENS_119000599_BLK_3.jpg" TargetMode="External" Id="rId324"/><Relationship Type="http://schemas.openxmlformats.org/officeDocument/2006/relationships/hyperlink" Target="imagenes/HALIFAX_WOMENS_119000599_BLK_1.jpg" TargetMode="External" Id="rId325"/><Relationship Type="http://schemas.openxmlformats.org/officeDocument/2006/relationships/hyperlink" Target="imagenes/HALIFAX_WOMENS_119000599_BLK_2.jpg" TargetMode="External" Id="rId326"/><Relationship Type="http://schemas.openxmlformats.org/officeDocument/2006/relationships/hyperlink" Target="imagenes/HALIFAX_WOMENS_119000599_BLK_3.jpg" TargetMode="External" Id="rId327"/><Relationship Type="http://schemas.openxmlformats.org/officeDocument/2006/relationships/hyperlink" Target="imagenes/HALIFAX_WOMENS_119000599_BLK_1.jpg" TargetMode="External" Id="rId328"/><Relationship Type="http://schemas.openxmlformats.org/officeDocument/2006/relationships/hyperlink" Target="imagenes/HALIFAX_WOMENS_119000599_BLK_2.jpg" TargetMode="External" Id="rId329"/><Relationship Type="http://schemas.openxmlformats.org/officeDocument/2006/relationships/hyperlink" Target="imagenes/HALIFAX_WOMENS_119000599_BLK_3.jpg" TargetMode="External" Id="rId330"/><Relationship Type="http://schemas.openxmlformats.org/officeDocument/2006/relationships/hyperlink" Target="imagenes/HALIFAX_WOMENS_119000599_BLK_1.jpg" TargetMode="External" Id="rId331"/><Relationship Type="http://schemas.openxmlformats.org/officeDocument/2006/relationships/hyperlink" Target="imagenes/HALIFAX_WOMENS_119000599_BLK_2.jpg" TargetMode="External" Id="rId332"/><Relationship Type="http://schemas.openxmlformats.org/officeDocument/2006/relationships/hyperlink" Target="imagenes/HALIFAX_WOMENS_119000599_BLK_3.jpg" TargetMode="External" Id="rId333"/><Relationship Type="http://schemas.openxmlformats.org/officeDocument/2006/relationships/hyperlink" Target="imagenes/HALIFAX_WOMENS_119000599_BON_1.jpg" TargetMode="External" Id="rId334"/><Relationship Type="http://schemas.openxmlformats.org/officeDocument/2006/relationships/hyperlink" Target="imagenes/HALIFAX_WOMENS_119000599_BON_2.jpg" TargetMode="External" Id="rId335"/><Relationship Type="http://schemas.openxmlformats.org/officeDocument/2006/relationships/hyperlink" Target="imagenes/HALIFAX_WOMENS_119000599_BON_3.jpg" TargetMode="External" Id="rId336"/><Relationship Type="http://schemas.openxmlformats.org/officeDocument/2006/relationships/hyperlink" Target="imagenes/HALIFAX_WOMENS_119000599_BON_1.jpg" TargetMode="External" Id="rId337"/><Relationship Type="http://schemas.openxmlformats.org/officeDocument/2006/relationships/hyperlink" Target="imagenes/HALIFAX_WOMENS_119000599_BON_2.jpg" TargetMode="External" Id="rId338"/><Relationship Type="http://schemas.openxmlformats.org/officeDocument/2006/relationships/hyperlink" Target="imagenes/HALIFAX_WOMENS_119000599_BON_3.jpg" TargetMode="External" Id="rId339"/><Relationship Type="http://schemas.openxmlformats.org/officeDocument/2006/relationships/hyperlink" Target="imagenes/HALIFAX_WOMENS_119000599_BON_1.jpg" TargetMode="External" Id="rId340"/><Relationship Type="http://schemas.openxmlformats.org/officeDocument/2006/relationships/hyperlink" Target="imagenes/HALIFAX_WOMENS_119000599_BON_2.jpg" TargetMode="External" Id="rId341"/><Relationship Type="http://schemas.openxmlformats.org/officeDocument/2006/relationships/hyperlink" Target="imagenes/HALIFAX_WOMENS_119000599_BON_3.jpg" TargetMode="External" Id="rId342"/><Relationship Type="http://schemas.openxmlformats.org/officeDocument/2006/relationships/hyperlink" Target="imagenes/HALIFAX_WOMENS_119000599_BON_1.jpg" TargetMode="External" Id="rId343"/><Relationship Type="http://schemas.openxmlformats.org/officeDocument/2006/relationships/hyperlink" Target="imagenes/HALIFAX_WOMENS_119000599_BON_2.jpg" TargetMode="External" Id="rId344"/><Relationship Type="http://schemas.openxmlformats.org/officeDocument/2006/relationships/hyperlink" Target="imagenes/HALIFAX_WOMENS_119000599_BON_3.jpg" TargetMode="External" Id="rId345"/><Relationship Type="http://schemas.openxmlformats.org/officeDocument/2006/relationships/hyperlink" Target="imagenes/HALIFAX_WOMENS_119000599_BON_1.jpg" TargetMode="External" Id="rId346"/><Relationship Type="http://schemas.openxmlformats.org/officeDocument/2006/relationships/hyperlink" Target="imagenes/HALIFAX_WOMENS_119000599_BON_2.jpg" TargetMode="External" Id="rId347"/><Relationship Type="http://schemas.openxmlformats.org/officeDocument/2006/relationships/hyperlink" Target="imagenes/HALIFAX_WOMENS_119000599_BON_3.jpg" TargetMode="External" Id="rId348"/><Relationship Type="http://schemas.openxmlformats.org/officeDocument/2006/relationships/hyperlink" Target="imagenes/HALIFAX_WOMENS_119000599_BON_1.jpg" TargetMode="External" Id="rId349"/><Relationship Type="http://schemas.openxmlformats.org/officeDocument/2006/relationships/hyperlink" Target="imagenes/HALIFAX_WOMENS_119000599_BON_2.jpg" TargetMode="External" Id="rId350"/><Relationship Type="http://schemas.openxmlformats.org/officeDocument/2006/relationships/hyperlink" Target="imagenes/HALIFAX_WOMENS_119000599_BON_3.jpg" TargetMode="External" Id="rId351"/><Relationship Type="http://schemas.openxmlformats.org/officeDocument/2006/relationships/hyperlink" Target="imagenes/HALIFAX_WOMENS_119000599_CHO_1.jpg" TargetMode="External" Id="rId352"/><Relationship Type="http://schemas.openxmlformats.org/officeDocument/2006/relationships/hyperlink" Target="imagenes/HALIFAX_WOMENS_119000599_CHO_2.jpg" TargetMode="External" Id="rId353"/><Relationship Type="http://schemas.openxmlformats.org/officeDocument/2006/relationships/hyperlink" Target="imagenes/HALIFAX_WOMENS_119000599_CHO_3.jpg" TargetMode="External" Id="rId354"/><Relationship Type="http://schemas.openxmlformats.org/officeDocument/2006/relationships/hyperlink" Target="imagenes/HALIFAX_WOMENS_119000599_GNT_1.jpg" TargetMode="External" Id="rId355"/><Relationship Type="http://schemas.openxmlformats.org/officeDocument/2006/relationships/hyperlink" Target="imagenes/HALIFAX_WOMENS_119000599_GNT_2.jpg" TargetMode="External" Id="rId356"/><Relationship Type="http://schemas.openxmlformats.org/officeDocument/2006/relationships/hyperlink" Target="imagenes/HALIFAX_WOMENS_119000599_GNT_3.jpg" TargetMode="External" Id="rId357"/><Relationship Type="http://schemas.openxmlformats.org/officeDocument/2006/relationships/hyperlink" Target="imagenes/HALIFAX_WOMENS_119000599_GNT_1.jpg" TargetMode="External" Id="rId358"/><Relationship Type="http://schemas.openxmlformats.org/officeDocument/2006/relationships/hyperlink" Target="imagenes/HALIFAX_WOMENS_119000599_GNT_2.jpg" TargetMode="External" Id="rId359"/><Relationship Type="http://schemas.openxmlformats.org/officeDocument/2006/relationships/hyperlink" Target="imagenes/HALIFAX_WOMENS_119000599_GNT_3.jpg" TargetMode="External" Id="rId360"/><Relationship Type="http://schemas.openxmlformats.org/officeDocument/2006/relationships/hyperlink" Target="imagenes/HALIFAX_WOMENS_119000599_GNT_1.jpg" TargetMode="External" Id="rId361"/><Relationship Type="http://schemas.openxmlformats.org/officeDocument/2006/relationships/hyperlink" Target="imagenes/HALIFAX_WOMENS_119000599_GNT_2.jpg" TargetMode="External" Id="rId362"/><Relationship Type="http://schemas.openxmlformats.org/officeDocument/2006/relationships/hyperlink" Target="imagenes/HALIFAX_WOMENS_119000599_GNT_3.jpg" TargetMode="External" Id="rId363"/><Relationship Type="http://schemas.openxmlformats.org/officeDocument/2006/relationships/hyperlink" Target="imagenes/HALIFAX_WOMENS_119000599_GNT_1.jpg" TargetMode="External" Id="rId364"/><Relationship Type="http://schemas.openxmlformats.org/officeDocument/2006/relationships/hyperlink" Target="imagenes/HALIFAX_WOMENS_119000599_GNT_2.jpg" TargetMode="External" Id="rId365"/><Relationship Type="http://schemas.openxmlformats.org/officeDocument/2006/relationships/hyperlink" Target="imagenes/HALIFAX_WOMENS_119000599_GNT_3.jpg" TargetMode="External" Id="rId366"/><Relationship Type="http://schemas.openxmlformats.org/officeDocument/2006/relationships/hyperlink" Target="imagenes/HALIFAX_WOMENS_119000599_GNT_1.jpg" TargetMode="External" Id="rId367"/><Relationship Type="http://schemas.openxmlformats.org/officeDocument/2006/relationships/hyperlink" Target="imagenes/HALIFAX_WOMENS_119000599_GNT_2.jpg" TargetMode="External" Id="rId368"/><Relationship Type="http://schemas.openxmlformats.org/officeDocument/2006/relationships/hyperlink" Target="imagenes/HALIFAX_WOMENS_119000599_GNT_3.jpg" TargetMode="External" Id="rId369"/><Relationship Type="http://schemas.openxmlformats.org/officeDocument/2006/relationships/hyperlink" Target="imagenes/HALIFAX_WOMENS_119000599_GNT_1.jpg" TargetMode="External" Id="rId370"/><Relationship Type="http://schemas.openxmlformats.org/officeDocument/2006/relationships/hyperlink" Target="imagenes/HALIFAX_WOMENS_119000599_GNT_2.jpg" TargetMode="External" Id="rId371"/><Relationship Type="http://schemas.openxmlformats.org/officeDocument/2006/relationships/hyperlink" Target="imagenes/HALIFAX_WOMENS_119000599_GNT_3.jpg" TargetMode="External" Id="rId372"/><Relationship Type="http://schemas.openxmlformats.org/officeDocument/2006/relationships/hyperlink" Target="imagenes/HALIFAX_WOMENS_119000599_RBY_1.jpg" TargetMode="External" Id="rId373"/><Relationship Type="http://schemas.openxmlformats.org/officeDocument/2006/relationships/hyperlink" Target="imagenes/HALIFAX_WOMENS_119000599_RBY_2.jpg" TargetMode="External" Id="rId374"/><Relationship Type="http://schemas.openxmlformats.org/officeDocument/2006/relationships/hyperlink" Target="imagenes/HALIFAX_WOMENS_119000599_RBY_3.jpg" TargetMode="External" Id="rId375"/><Relationship Type="http://schemas.openxmlformats.org/officeDocument/2006/relationships/hyperlink" Target="imagenes/HALIFAX_WOMENS_119001137_BLK_1.jpg" TargetMode="External" Id="rId376"/><Relationship Type="http://schemas.openxmlformats.org/officeDocument/2006/relationships/hyperlink" Target="imagenes/HALIFAX_WOMENS_119001137_BLK_2.jpg" TargetMode="External" Id="rId377"/><Relationship Type="http://schemas.openxmlformats.org/officeDocument/2006/relationships/hyperlink" Target="imagenes/HALIFAX_WOMENS_119001137_BLK_3.jpg" TargetMode="External" Id="rId378"/><Relationship Type="http://schemas.openxmlformats.org/officeDocument/2006/relationships/hyperlink" Target="imagenes/HALIFAX_WOMENS_119001137_BLK_1.jpg" TargetMode="External" Id="rId379"/><Relationship Type="http://schemas.openxmlformats.org/officeDocument/2006/relationships/hyperlink" Target="imagenes/HALIFAX_WOMENS_119001137_BLK_2.jpg" TargetMode="External" Id="rId380"/><Relationship Type="http://schemas.openxmlformats.org/officeDocument/2006/relationships/hyperlink" Target="imagenes/HALIFAX_WOMENS_119001137_BLK_3.jpg" TargetMode="External" Id="rId381"/><Relationship Type="http://schemas.openxmlformats.org/officeDocument/2006/relationships/hyperlink" Target="imagenes/HALIFAX_WOMENS_119001137_BLK_1.jpg" TargetMode="External" Id="rId382"/><Relationship Type="http://schemas.openxmlformats.org/officeDocument/2006/relationships/hyperlink" Target="imagenes/HALIFAX_WOMENS_119001137_BLK_2.jpg" TargetMode="External" Id="rId383"/><Relationship Type="http://schemas.openxmlformats.org/officeDocument/2006/relationships/hyperlink" Target="imagenes/HALIFAX_WOMENS_119001137_BLK_3.jpg" TargetMode="External" Id="rId384"/><Relationship Type="http://schemas.openxmlformats.org/officeDocument/2006/relationships/hyperlink" Target="imagenes/HALIFAX_WOMENS_119001137_BLK_1.jpg" TargetMode="External" Id="rId385"/><Relationship Type="http://schemas.openxmlformats.org/officeDocument/2006/relationships/hyperlink" Target="imagenes/HALIFAX_WOMENS_119001137_BLK_2.jpg" TargetMode="External" Id="rId386"/><Relationship Type="http://schemas.openxmlformats.org/officeDocument/2006/relationships/hyperlink" Target="imagenes/HALIFAX_WOMENS_119001137_BLK_3.jpg" TargetMode="External" Id="rId387"/><Relationship Type="http://schemas.openxmlformats.org/officeDocument/2006/relationships/hyperlink" Target="imagenes/HALIFAX_WOMENS_119001137_BON_2.jpg" TargetMode="External" Id="rId388"/><Relationship Type="http://schemas.openxmlformats.org/officeDocument/2006/relationships/hyperlink" Target="imagenes/HALIFAX_WOMENS_119001137_BON_3.jpg" TargetMode="External" Id="rId389"/><Relationship Type="http://schemas.openxmlformats.org/officeDocument/2006/relationships/hyperlink" Target="imagenes/HALIFAX_WOMENS_119001137_BON_2.jpg" TargetMode="External" Id="rId390"/><Relationship Type="http://schemas.openxmlformats.org/officeDocument/2006/relationships/hyperlink" Target="imagenes/HALIFAX_WOMENS_119001137_BON_3.jpg" TargetMode="External" Id="rId391"/><Relationship Type="http://schemas.openxmlformats.org/officeDocument/2006/relationships/hyperlink" Target="imagenes/HALIFAX_WOMENS_119001137_CHO_1.jpg" TargetMode="External" Id="rId392"/><Relationship Type="http://schemas.openxmlformats.org/officeDocument/2006/relationships/hyperlink" Target="imagenes/HALIFAX_WOMENS_119001137_CHO_2.jpg" TargetMode="External" Id="rId393"/><Relationship Type="http://schemas.openxmlformats.org/officeDocument/2006/relationships/hyperlink" Target="imagenes/HALIFAX_WOMENS_119001137_CHO_3.jpg" TargetMode="External" Id="rId394"/><Relationship Type="http://schemas.openxmlformats.org/officeDocument/2006/relationships/hyperlink" Target="imagenes/HALIFAX_WOMENS_119001138_BLK_1.jpg" TargetMode="External" Id="rId395"/><Relationship Type="http://schemas.openxmlformats.org/officeDocument/2006/relationships/hyperlink" Target="imagenes/HALIFAX_WOMENS_119001138_BLK_2.jpg" TargetMode="External" Id="rId396"/><Relationship Type="http://schemas.openxmlformats.org/officeDocument/2006/relationships/hyperlink" Target="imagenes/HALIFAX_WOMENS_119001138_BLK_3.jpg" TargetMode="External" Id="rId397"/><Relationship Type="http://schemas.openxmlformats.org/officeDocument/2006/relationships/hyperlink" Target="imagenes/HALIFAX_WOMENS_119001138_BLK_1.jpg" TargetMode="External" Id="rId398"/><Relationship Type="http://schemas.openxmlformats.org/officeDocument/2006/relationships/hyperlink" Target="imagenes/HALIFAX_WOMENS_119001138_BLK_2.jpg" TargetMode="External" Id="rId399"/><Relationship Type="http://schemas.openxmlformats.org/officeDocument/2006/relationships/hyperlink" Target="imagenes/HALIFAX_WOMENS_119001138_BLK_3.jpg" TargetMode="External" Id="rId400"/><Relationship Type="http://schemas.openxmlformats.org/officeDocument/2006/relationships/hyperlink" Target="imagenes/HALIFAX_WOMENS_119001138_BLK_1.jpg" TargetMode="External" Id="rId401"/><Relationship Type="http://schemas.openxmlformats.org/officeDocument/2006/relationships/hyperlink" Target="imagenes/HALIFAX_WOMENS_119001138_BLK_2.jpg" TargetMode="External" Id="rId402"/><Relationship Type="http://schemas.openxmlformats.org/officeDocument/2006/relationships/hyperlink" Target="imagenes/HALIFAX_WOMENS_119001138_BLK_3.jpg" TargetMode="External" Id="rId403"/><Relationship Type="http://schemas.openxmlformats.org/officeDocument/2006/relationships/hyperlink" Target="imagenes/HALIFAX_WOMENS_119001138_BLK_1.jpg" TargetMode="External" Id="rId404"/><Relationship Type="http://schemas.openxmlformats.org/officeDocument/2006/relationships/hyperlink" Target="imagenes/HALIFAX_WOMENS_119001138_BLK_2.jpg" TargetMode="External" Id="rId405"/><Relationship Type="http://schemas.openxmlformats.org/officeDocument/2006/relationships/hyperlink" Target="imagenes/HALIFAX_WOMENS_119001138_BLK_3.jpg" TargetMode="External" Id="rId406"/><Relationship Type="http://schemas.openxmlformats.org/officeDocument/2006/relationships/hyperlink" Target="imagenes/HALIFAX_WOMENS_119001138_BLK_1.jpg" TargetMode="External" Id="rId407"/><Relationship Type="http://schemas.openxmlformats.org/officeDocument/2006/relationships/hyperlink" Target="imagenes/HALIFAX_WOMENS_119001138_BLK_2.jpg" TargetMode="External" Id="rId408"/><Relationship Type="http://schemas.openxmlformats.org/officeDocument/2006/relationships/hyperlink" Target="imagenes/HALIFAX_WOMENS_119001138_BLK_3.jpg" TargetMode="External" Id="rId409"/><Relationship Type="http://schemas.openxmlformats.org/officeDocument/2006/relationships/hyperlink" Target="imagenes/HALIFAX_WOMENS_119001138_NVY_1.jpg" TargetMode="External" Id="rId410"/><Relationship Type="http://schemas.openxmlformats.org/officeDocument/2006/relationships/hyperlink" Target="imagenes/HALIFAX_WOMENS_119001138_NVY_2.jpg" TargetMode="External" Id="rId411"/><Relationship Type="http://schemas.openxmlformats.org/officeDocument/2006/relationships/hyperlink" Target="imagenes/HALIFAX_WOMENS_119001138_NVY_3.jpg" TargetMode="External" Id="rId412"/><Relationship Type="http://schemas.openxmlformats.org/officeDocument/2006/relationships/hyperlink" Target="imagenes/HALIFAX_WOMENS_119001138_NVY_1.jpg" TargetMode="External" Id="rId413"/><Relationship Type="http://schemas.openxmlformats.org/officeDocument/2006/relationships/hyperlink" Target="imagenes/HALIFAX_WOMENS_119001138_NVY_2.jpg" TargetMode="External" Id="rId414"/><Relationship Type="http://schemas.openxmlformats.org/officeDocument/2006/relationships/hyperlink" Target="imagenes/HALIFAX_WOMENS_119001138_NVY_3.jpg" TargetMode="External" Id="rId415"/><Relationship Type="http://schemas.openxmlformats.org/officeDocument/2006/relationships/hyperlink" Target="imagenes/HALIFAX_WOMENS_119001138_NVY_1.jpg" TargetMode="External" Id="rId416"/><Relationship Type="http://schemas.openxmlformats.org/officeDocument/2006/relationships/hyperlink" Target="imagenes/HALIFAX_WOMENS_119001138_NVY_2.jpg" TargetMode="External" Id="rId417"/><Relationship Type="http://schemas.openxmlformats.org/officeDocument/2006/relationships/hyperlink" Target="imagenes/HALIFAX_WOMENS_119001138_NVY_3.jpg" TargetMode="External" Id="rId418"/><Relationship Type="http://schemas.openxmlformats.org/officeDocument/2006/relationships/hyperlink" Target="imagenes/HALIFAX_WOMENS_119001138_NVY_1.jpg" TargetMode="External" Id="rId419"/><Relationship Type="http://schemas.openxmlformats.org/officeDocument/2006/relationships/hyperlink" Target="imagenes/HALIFAX_WOMENS_119001138_NVY_2.jpg" TargetMode="External" Id="rId420"/><Relationship Type="http://schemas.openxmlformats.org/officeDocument/2006/relationships/hyperlink" Target="imagenes/HALIFAX_WOMENS_119001138_NVY_3.jpg" TargetMode="External" Id="rId421"/><Relationship Type="http://schemas.openxmlformats.org/officeDocument/2006/relationships/hyperlink" Target="imagenes/HALIFAX_WOMENS_119001138_NVY_1.jpg" TargetMode="External" Id="rId422"/><Relationship Type="http://schemas.openxmlformats.org/officeDocument/2006/relationships/hyperlink" Target="imagenes/HALIFAX_WOMENS_119001138_NVY_2.jpg" TargetMode="External" Id="rId423"/><Relationship Type="http://schemas.openxmlformats.org/officeDocument/2006/relationships/hyperlink" Target="imagenes/HALIFAX_WOMENS_119001138_NVY_3.jpg" TargetMode="External" Id="rId424"/><Relationship Type="http://schemas.openxmlformats.org/officeDocument/2006/relationships/hyperlink" Target="imagenes/HALIFAX_WOMENS_119001138_OLI_1.jpg" TargetMode="External" Id="rId425"/><Relationship Type="http://schemas.openxmlformats.org/officeDocument/2006/relationships/hyperlink" Target="imagenes/HALIFAX_WOMENS_119001138_OLI_2.jpg" TargetMode="External" Id="rId426"/><Relationship Type="http://schemas.openxmlformats.org/officeDocument/2006/relationships/hyperlink" Target="imagenes/HALIFAX_WOMENS_119001138_OLI_3.jpg" TargetMode="External" Id="rId427"/><Relationship Type="http://schemas.openxmlformats.org/officeDocument/2006/relationships/hyperlink" Target="imagenes/HALIFAX_WOMENS_119001138_OLI_1.jpg" TargetMode="External" Id="rId428"/><Relationship Type="http://schemas.openxmlformats.org/officeDocument/2006/relationships/hyperlink" Target="imagenes/HALIFAX_WOMENS_119001138_OLI_2.jpg" TargetMode="External" Id="rId429"/><Relationship Type="http://schemas.openxmlformats.org/officeDocument/2006/relationships/hyperlink" Target="imagenes/HALIFAX_WOMENS_119001138_OLI_3.jpg" TargetMode="External" Id="rId430"/><Relationship Type="http://schemas.openxmlformats.org/officeDocument/2006/relationships/hyperlink" Target="imagenes/HALIFAX_WOMENS_119001138_OLI_1.jpg" TargetMode="External" Id="rId431"/><Relationship Type="http://schemas.openxmlformats.org/officeDocument/2006/relationships/hyperlink" Target="imagenes/HALIFAX_WOMENS_119001138_OLI_2.jpg" TargetMode="External" Id="rId432"/><Relationship Type="http://schemas.openxmlformats.org/officeDocument/2006/relationships/hyperlink" Target="imagenes/HALIFAX_WOMENS_119001138_OLI_3.jpg" TargetMode="External" Id="rId433"/><Relationship Type="http://schemas.openxmlformats.org/officeDocument/2006/relationships/hyperlink" Target="imagenes/HALIFAX_WOMENS_119001326_BLK_1.jpg" TargetMode="External" Id="rId434"/><Relationship Type="http://schemas.openxmlformats.org/officeDocument/2006/relationships/hyperlink" Target="imagenes/HALIFAX_WOMENS_119001326_BLK_2.jpg" TargetMode="External" Id="rId435"/><Relationship Type="http://schemas.openxmlformats.org/officeDocument/2006/relationships/hyperlink" Target="imagenes/HALIFAX_WOMENS_119001326_BLK_3.jpg" TargetMode="External" Id="rId436"/><Relationship Type="http://schemas.openxmlformats.org/officeDocument/2006/relationships/hyperlink" Target="imagenes/HALIFAX_WOMENS_119001326_IVY_1.jpg" TargetMode="External" Id="rId437"/><Relationship Type="http://schemas.openxmlformats.org/officeDocument/2006/relationships/hyperlink" Target="imagenes/HALIFAX_WOMENS_119001326_IVY_2.jpg" TargetMode="External" Id="rId438"/><Relationship Type="http://schemas.openxmlformats.org/officeDocument/2006/relationships/hyperlink" Target="imagenes/HALIFAX_WOMENS_119001326_IVY_3.jpg" TargetMode="External" Id="rId439"/><Relationship Type="http://schemas.openxmlformats.org/officeDocument/2006/relationships/hyperlink" Target="imagenes/HALIFAX_WOMENS_119001328_BLK_1.jpg" TargetMode="External" Id="rId440"/><Relationship Type="http://schemas.openxmlformats.org/officeDocument/2006/relationships/hyperlink" Target="imagenes/HALIFAX_WOMENS_119001328_BLK_2.jpg" TargetMode="External" Id="rId441"/><Relationship Type="http://schemas.openxmlformats.org/officeDocument/2006/relationships/hyperlink" Target="imagenes/HALIFAX_WOMENS_119001328_BLK_3.jpg" TargetMode="External" Id="rId442"/><Relationship Type="http://schemas.openxmlformats.org/officeDocument/2006/relationships/hyperlink" Target="imagenes/HALIFAX_WOMENS_119001328_BLK_1.jpg" TargetMode="External" Id="rId443"/><Relationship Type="http://schemas.openxmlformats.org/officeDocument/2006/relationships/hyperlink" Target="imagenes/HALIFAX_WOMENS_119001328_BLK_2.jpg" TargetMode="External" Id="rId444"/><Relationship Type="http://schemas.openxmlformats.org/officeDocument/2006/relationships/hyperlink" Target="imagenes/HALIFAX_WOMENS_119001328_BLK_3.jpg" TargetMode="External" Id="rId445"/><Relationship Type="http://schemas.openxmlformats.org/officeDocument/2006/relationships/hyperlink" Target="imagenes/HALIFAX_WOMENS_119001328_BLK_1.jpg" TargetMode="External" Id="rId446"/><Relationship Type="http://schemas.openxmlformats.org/officeDocument/2006/relationships/hyperlink" Target="imagenes/HALIFAX_WOMENS_119001328_BLK_2.jpg" TargetMode="External" Id="rId447"/><Relationship Type="http://schemas.openxmlformats.org/officeDocument/2006/relationships/hyperlink" Target="imagenes/HALIFAX_WOMENS_119001328_BLK_3.jpg" TargetMode="External" Id="rId448"/><Relationship Type="http://schemas.openxmlformats.org/officeDocument/2006/relationships/hyperlink" Target="imagenes/HALIFAX_WOMENS_119001328_BLK_1.jpg" TargetMode="External" Id="rId449"/><Relationship Type="http://schemas.openxmlformats.org/officeDocument/2006/relationships/hyperlink" Target="imagenes/HALIFAX_WOMENS_119001328_BLK_2.jpg" TargetMode="External" Id="rId450"/><Relationship Type="http://schemas.openxmlformats.org/officeDocument/2006/relationships/hyperlink" Target="imagenes/HALIFAX_WOMENS_119001328_BLK_3.jpg" TargetMode="External" Id="rId451"/><Relationship Type="http://schemas.openxmlformats.org/officeDocument/2006/relationships/hyperlink" Target="imagenes/HALIFAX_WOMENS_119001328_BLK_1.jpg" TargetMode="External" Id="rId452"/><Relationship Type="http://schemas.openxmlformats.org/officeDocument/2006/relationships/hyperlink" Target="imagenes/HALIFAX_WOMENS_119001328_BLK_2.jpg" TargetMode="External" Id="rId453"/><Relationship Type="http://schemas.openxmlformats.org/officeDocument/2006/relationships/hyperlink" Target="imagenes/HALIFAX_WOMENS_119001328_BLK_3.jpg" TargetMode="External" Id="rId454"/><Relationship Type="http://schemas.openxmlformats.org/officeDocument/2006/relationships/hyperlink" Target="imagenes/HALIFAX_WOMENS_119001328_FOS_1.jpg" TargetMode="External" Id="rId455"/><Relationship Type="http://schemas.openxmlformats.org/officeDocument/2006/relationships/hyperlink" Target="imagenes/HALIFAX_WOMENS_119001328_FOS_2.jpg" TargetMode="External" Id="rId456"/><Relationship Type="http://schemas.openxmlformats.org/officeDocument/2006/relationships/hyperlink" Target="imagenes/HALIFAX_WOMENS_119001328_FOS_3.jpg" TargetMode="External" Id="rId457"/><Relationship Type="http://schemas.openxmlformats.org/officeDocument/2006/relationships/hyperlink" Target="imagenes/HALIFAX_WOMENS_119001328_FOS_1.jpg" TargetMode="External" Id="rId458"/><Relationship Type="http://schemas.openxmlformats.org/officeDocument/2006/relationships/hyperlink" Target="imagenes/HALIFAX_WOMENS_119001328_FOS_2.jpg" TargetMode="External" Id="rId459"/><Relationship Type="http://schemas.openxmlformats.org/officeDocument/2006/relationships/hyperlink" Target="imagenes/HALIFAX_WOMENS_119001328_FOS_3.jpg" TargetMode="External" Id="rId460"/><Relationship Type="http://schemas.openxmlformats.org/officeDocument/2006/relationships/hyperlink" Target="imagenes/HALIFAX_WOMENS_119001328_FOS_1.jpg" TargetMode="External" Id="rId461"/><Relationship Type="http://schemas.openxmlformats.org/officeDocument/2006/relationships/hyperlink" Target="imagenes/HALIFAX_WOMENS_119001328_FOS_2.jpg" TargetMode="External" Id="rId462"/><Relationship Type="http://schemas.openxmlformats.org/officeDocument/2006/relationships/hyperlink" Target="imagenes/HALIFAX_WOMENS_119001328_FOS_3.jpg" TargetMode="External" Id="rId463"/><Relationship Type="http://schemas.openxmlformats.org/officeDocument/2006/relationships/hyperlink" Target="imagenes/HALIFAX_WOMENS_119001328_FOS_1.jpg" TargetMode="External" Id="rId464"/><Relationship Type="http://schemas.openxmlformats.org/officeDocument/2006/relationships/hyperlink" Target="imagenes/HALIFAX_WOMENS_119001328_FOS_2.jpg" TargetMode="External" Id="rId465"/><Relationship Type="http://schemas.openxmlformats.org/officeDocument/2006/relationships/hyperlink" Target="imagenes/HALIFAX_WOMENS_119001328_FOS_3.jpg" TargetMode="External" Id="rId466"/><Relationship Type="http://schemas.openxmlformats.org/officeDocument/2006/relationships/hyperlink" Target="imagenes/HALIFAX_WOMENS_119001328_FOS_1.jpg" TargetMode="External" Id="rId467"/><Relationship Type="http://schemas.openxmlformats.org/officeDocument/2006/relationships/hyperlink" Target="imagenes/HALIFAX_WOMENS_119001328_FOS_2.jpg" TargetMode="External" Id="rId468"/><Relationship Type="http://schemas.openxmlformats.org/officeDocument/2006/relationships/hyperlink" Target="imagenes/HALIFAX_WOMENS_119001328_FOS_3.jpg" TargetMode="External" Id="rId469"/><Relationship Type="http://schemas.openxmlformats.org/officeDocument/2006/relationships/hyperlink" Target="imagenes/HALIFAX_WOMENS_119001328_FOS_1.jpg" TargetMode="External" Id="rId470"/><Relationship Type="http://schemas.openxmlformats.org/officeDocument/2006/relationships/hyperlink" Target="imagenes/HALIFAX_WOMENS_119001328_FOS_2.jpg" TargetMode="External" Id="rId471"/><Relationship Type="http://schemas.openxmlformats.org/officeDocument/2006/relationships/hyperlink" Target="imagenes/HALIFAX_WOMENS_119001328_FOS_3.jpg" TargetMode="External" Id="rId472"/><Relationship Type="http://schemas.openxmlformats.org/officeDocument/2006/relationships/hyperlink" Target="imagenes/HALIFAX_WOMENS_119001328_GNT_1.jpg" TargetMode="External" Id="rId473"/><Relationship Type="http://schemas.openxmlformats.org/officeDocument/2006/relationships/hyperlink" Target="imagenes/HALIFAX_WOMENS_119001328_GNT_2.jpg" TargetMode="External" Id="rId474"/><Relationship Type="http://schemas.openxmlformats.org/officeDocument/2006/relationships/hyperlink" Target="imagenes/HALIFAX_WOMENS_119001328_GNT_3.jpg" TargetMode="External" Id="rId475"/><Relationship Type="http://schemas.openxmlformats.org/officeDocument/2006/relationships/hyperlink" Target="imagenes/HALIFAX_WOMENS_119001328_GNT_1.jpg" TargetMode="External" Id="rId476"/><Relationship Type="http://schemas.openxmlformats.org/officeDocument/2006/relationships/hyperlink" Target="imagenes/HALIFAX_WOMENS_119001328_GNT_2.jpg" TargetMode="External" Id="rId477"/><Relationship Type="http://schemas.openxmlformats.org/officeDocument/2006/relationships/hyperlink" Target="imagenes/HALIFAX_WOMENS_119001328_GNT_3.jpg" TargetMode="External" Id="rId478"/><Relationship Type="http://schemas.openxmlformats.org/officeDocument/2006/relationships/hyperlink" Target="imagenes/HALIFAX_WOMENS_119001328_GNT_1.jpg" TargetMode="External" Id="rId479"/><Relationship Type="http://schemas.openxmlformats.org/officeDocument/2006/relationships/hyperlink" Target="imagenes/HALIFAX_WOMENS_119001328_GNT_2.jpg" TargetMode="External" Id="rId480"/><Relationship Type="http://schemas.openxmlformats.org/officeDocument/2006/relationships/hyperlink" Target="imagenes/HALIFAX_WOMENS_119001328_GNT_3.jpg" TargetMode="External" Id="rId481"/><Relationship Type="http://schemas.openxmlformats.org/officeDocument/2006/relationships/hyperlink" Target="imagenes/HALIFAX_WOMENS_119001328_GNT_1.jpg" TargetMode="External" Id="rId482"/><Relationship Type="http://schemas.openxmlformats.org/officeDocument/2006/relationships/hyperlink" Target="imagenes/HALIFAX_WOMENS_119001328_GNT_2.jpg" TargetMode="External" Id="rId483"/><Relationship Type="http://schemas.openxmlformats.org/officeDocument/2006/relationships/hyperlink" Target="imagenes/HALIFAX_WOMENS_119001328_GNT_3.jpg" TargetMode="External" Id="rId484"/><Relationship Type="http://schemas.openxmlformats.org/officeDocument/2006/relationships/hyperlink" Target="imagenes/HALIFAX_WOMENS_119001328_GNT_1.jpg" TargetMode="External" Id="rId485"/><Relationship Type="http://schemas.openxmlformats.org/officeDocument/2006/relationships/hyperlink" Target="imagenes/HALIFAX_WOMENS_119001328_GNT_2.jpg" TargetMode="External" Id="rId486"/><Relationship Type="http://schemas.openxmlformats.org/officeDocument/2006/relationships/hyperlink" Target="imagenes/HALIFAX_WOMENS_119001328_GNT_3.jpg" TargetMode="External" Id="rId487"/><Relationship Type="http://schemas.openxmlformats.org/officeDocument/2006/relationships/hyperlink" Target="imagenes/HALIFAX_WOMENS_119001328_IVY_1.jpg" TargetMode="External" Id="rId488"/><Relationship Type="http://schemas.openxmlformats.org/officeDocument/2006/relationships/hyperlink" Target="imagenes/HALIFAX_WOMENS_119001328_IVY_2.jpg" TargetMode="External" Id="rId489"/><Relationship Type="http://schemas.openxmlformats.org/officeDocument/2006/relationships/hyperlink" Target="imagenes/HALIFAX_WOMENS_119001328_IVY_3.jpg" TargetMode="External" Id="rId490"/><Relationship Type="http://schemas.openxmlformats.org/officeDocument/2006/relationships/hyperlink" Target="imagenes/HALIFAX_WOMENS_119001328_IVY_1.jpg" TargetMode="External" Id="rId491"/><Relationship Type="http://schemas.openxmlformats.org/officeDocument/2006/relationships/hyperlink" Target="imagenes/HALIFAX_WOMENS_119001328_IVY_2.jpg" TargetMode="External" Id="rId492"/><Relationship Type="http://schemas.openxmlformats.org/officeDocument/2006/relationships/hyperlink" Target="imagenes/HALIFAX_WOMENS_119001328_IVY_3.jpg" TargetMode="External" Id="rId493"/><Relationship Type="http://schemas.openxmlformats.org/officeDocument/2006/relationships/hyperlink" Target="imagenes/HALIFAX_WOMENS_119001328_MSG_1.jpg" TargetMode="External" Id="rId494"/><Relationship Type="http://schemas.openxmlformats.org/officeDocument/2006/relationships/hyperlink" Target="imagenes/HALIFAX_WOMENS_119001328_MSG_2.jpg" TargetMode="External" Id="rId495"/><Relationship Type="http://schemas.openxmlformats.org/officeDocument/2006/relationships/hyperlink" Target="imagenes/HALIFAX_WOMENS_119001328_MSG_3.jpg" TargetMode="External" Id="rId496"/><Relationship Type="http://schemas.openxmlformats.org/officeDocument/2006/relationships/hyperlink" Target="imagenes/HALIFAX_WOMENS_119001328_MSG_1.jpg" TargetMode="External" Id="rId497"/><Relationship Type="http://schemas.openxmlformats.org/officeDocument/2006/relationships/hyperlink" Target="imagenes/HALIFAX_WOMENS_119001328_MSG_2.jpg" TargetMode="External" Id="rId498"/><Relationship Type="http://schemas.openxmlformats.org/officeDocument/2006/relationships/hyperlink" Target="imagenes/HALIFAX_WOMENS_119001328_MSG_3.jpg" TargetMode="External" Id="rId499"/><Relationship Type="http://schemas.openxmlformats.org/officeDocument/2006/relationships/hyperlink" Target="imagenes/HALIFAX_WOMENS_119001328_MSG_1.jpg" TargetMode="External" Id="rId500"/><Relationship Type="http://schemas.openxmlformats.org/officeDocument/2006/relationships/hyperlink" Target="imagenes/HALIFAX_WOMENS_119001328_MSG_2.jpg" TargetMode="External" Id="rId501"/><Relationship Type="http://schemas.openxmlformats.org/officeDocument/2006/relationships/hyperlink" Target="imagenes/HALIFAX_WOMENS_119001328_MSG_3.jpg" TargetMode="External" Id="rId502"/><Relationship Type="http://schemas.openxmlformats.org/officeDocument/2006/relationships/hyperlink" Target="imagenes/HALIFAX_WOMENS_119001328_MSG_1.jpg" TargetMode="External" Id="rId503"/><Relationship Type="http://schemas.openxmlformats.org/officeDocument/2006/relationships/hyperlink" Target="imagenes/HALIFAX_WOMENS_119001328_MSG_2.jpg" TargetMode="External" Id="rId504"/><Relationship Type="http://schemas.openxmlformats.org/officeDocument/2006/relationships/hyperlink" Target="imagenes/HALIFAX_WOMENS_119001328_MSG_3.jpg" TargetMode="External" Id="rId505"/><Relationship Type="http://schemas.openxmlformats.org/officeDocument/2006/relationships/hyperlink" Target="imagenes/HALIFAX_WOMENS_119001328_MSG_1.jpg" TargetMode="External" Id="rId506"/><Relationship Type="http://schemas.openxmlformats.org/officeDocument/2006/relationships/hyperlink" Target="imagenes/HALIFAX_WOMENS_119001328_MSG_2.jpg" TargetMode="External" Id="rId507"/><Relationship Type="http://schemas.openxmlformats.org/officeDocument/2006/relationships/hyperlink" Target="imagenes/HALIFAX_WOMENS_119001328_MSG_3.jpg" TargetMode="External" Id="rId508"/><Relationship Type="http://schemas.openxmlformats.org/officeDocument/2006/relationships/hyperlink" Target="imagenes/HALIFAX_WOMENS_119001328_NVY_1.jpg" TargetMode="External" Id="rId509"/><Relationship Type="http://schemas.openxmlformats.org/officeDocument/2006/relationships/hyperlink" Target="imagenes/HALIFAX_WOMENS_119001328_NVY_2.jpg" TargetMode="External" Id="rId510"/><Relationship Type="http://schemas.openxmlformats.org/officeDocument/2006/relationships/hyperlink" Target="imagenes/HALIFAX_WOMENS_119001328_NVY_3.jpg" TargetMode="External" Id="rId511"/><Relationship Type="http://schemas.openxmlformats.org/officeDocument/2006/relationships/hyperlink" Target="imagenes/HALIFAX_WOMENS_119001328_NVY_1.jpg" TargetMode="External" Id="rId512"/><Relationship Type="http://schemas.openxmlformats.org/officeDocument/2006/relationships/hyperlink" Target="imagenes/HALIFAX_WOMENS_119001328_NVY_2.jpg" TargetMode="External" Id="rId513"/><Relationship Type="http://schemas.openxmlformats.org/officeDocument/2006/relationships/hyperlink" Target="imagenes/HALIFAX_WOMENS_119001328_NVY_3.jpg" TargetMode="External" Id="rId514"/><Relationship Type="http://schemas.openxmlformats.org/officeDocument/2006/relationships/hyperlink" Target="imagenes/HALIFAX_WOMENS_119001328_NVY_1.jpg" TargetMode="External" Id="rId515"/><Relationship Type="http://schemas.openxmlformats.org/officeDocument/2006/relationships/hyperlink" Target="imagenes/HALIFAX_WOMENS_119001328_NVY_2.jpg" TargetMode="External" Id="rId516"/><Relationship Type="http://schemas.openxmlformats.org/officeDocument/2006/relationships/hyperlink" Target="imagenes/HALIFAX_WOMENS_119001328_NVY_3.jpg" TargetMode="External" Id="rId517"/><Relationship Type="http://schemas.openxmlformats.org/officeDocument/2006/relationships/hyperlink" Target="imagenes/HALIFAX_WOMENS_119001328_NVY_1.jpg" TargetMode="External" Id="rId518"/><Relationship Type="http://schemas.openxmlformats.org/officeDocument/2006/relationships/hyperlink" Target="imagenes/HALIFAX_WOMENS_119001328_NVY_2.jpg" TargetMode="External" Id="rId519"/><Relationship Type="http://schemas.openxmlformats.org/officeDocument/2006/relationships/hyperlink" Target="imagenes/HALIFAX_WOMENS_119001328_NVY_3.jpg" TargetMode="External" Id="rId520"/><Relationship Type="http://schemas.openxmlformats.org/officeDocument/2006/relationships/hyperlink" Target="imagenes/HALIFAX_WOMENS_119001328_NVY_1.jpg" TargetMode="External" Id="rId521"/><Relationship Type="http://schemas.openxmlformats.org/officeDocument/2006/relationships/hyperlink" Target="imagenes/HALIFAX_WOMENS_119001328_NVY_2.jpg" TargetMode="External" Id="rId522"/><Relationship Type="http://schemas.openxmlformats.org/officeDocument/2006/relationships/hyperlink" Target="imagenes/HALIFAX_WOMENS_119001328_NVY_3.jpg" TargetMode="External" Id="rId523"/><Relationship Type="http://schemas.openxmlformats.org/officeDocument/2006/relationships/hyperlink" Target="imagenes/HALIFAX_WOMENS_119001328_OLI_1.jpg" TargetMode="External" Id="rId524"/><Relationship Type="http://schemas.openxmlformats.org/officeDocument/2006/relationships/hyperlink" Target="imagenes/HALIFAX_WOMENS_119001328_OLI_2.jpg" TargetMode="External" Id="rId525"/><Relationship Type="http://schemas.openxmlformats.org/officeDocument/2006/relationships/hyperlink" Target="imagenes/HALIFAX_WOMENS_119001328_OLI_3.jpg" TargetMode="External" Id="rId526"/><Relationship Type="http://schemas.openxmlformats.org/officeDocument/2006/relationships/hyperlink" Target="imagenes/HALIFAX_WOMENS_119001328_OLI_1.jpg" TargetMode="External" Id="rId527"/><Relationship Type="http://schemas.openxmlformats.org/officeDocument/2006/relationships/hyperlink" Target="imagenes/HALIFAX_WOMENS_119001328_OLI_2.jpg" TargetMode="External" Id="rId528"/><Relationship Type="http://schemas.openxmlformats.org/officeDocument/2006/relationships/hyperlink" Target="imagenes/HALIFAX_WOMENS_119001328_OLI_3.jpg" TargetMode="External" Id="rId529"/><Relationship Type="http://schemas.openxmlformats.org/officeDocument/2006/relationships/hyperlink" Target="imagenes/HALIFAX_WOMENS_119001328_OLI_1.jpg" TargetMode="External" Id="rId530"/><Relationship Type="http://schemas.openxmlformats.org/officeDocument/2006/relationships/hyperlink" Target="imagenes/HALIFAX_WOMENS_119001328_OLI_2.jpg" TargetMode="External" Id="rId531"/><Relationship Type="http://schemas.openxmlformats.org/officeDocument/2006/relationships/hyperlink" Target="imagenes/HALIFAX_WOMENS_119001328_OLI_3.jpg" TargetMode="External" Id="rId532"/><Relationship Type="http://schemas.openxmlformats.org/officeDocument/2006/relationships/hyperlink" Target="imagenes/HALIFAX_WOMENS_119001328_OLI_1.jpg" TargetMode="External" Id="rId533"/><Relationship Type="http://schemas.openxmlformats.org/officeDocument/2006/relationships/hyperlink" Target="imagenes/HALIFAX_WOMENS_119001328_OLI_2.jpg" TargetMode="External" Id="rId534"/><Relationship Type="http://schemas.openxmlformats.org/officeDocument/2006/relationships/hyperlink" Target="imagenes/HALIFAX_WOMENS_119001328_OLI_3.jpg" TargetMode="External" Id="rId535"/><Relationship Type="http://schemas.openxmlformats.org/officeDocument/2006/relationships/hyperlink" Target="imagenes/HALIFAX_WOMENS_119001328_OLI_1.jpg" TargetMode="External" Id="rId536"/><Relationship Type="http://schemas.openxmlformats.org/officeDocument/2006/relationships/hyperlink" Target="imagenes/HALIFAX_WOMENS_119001328_OLI_2.jpg" TargetMode="External" Id="rId537"/><Relationship Type="http://schemas.openxmlformats.org/officeDocument/2006/relationships/hyperlink" Target="imagenes/HALIFAX_WOMENS_119001328_OLI_3.jpg" TargetMode="External" Id="rId538"/><Relationship Type="http://schemas.openxmlformats.org/officeDocument/2006/relationships/hyperlink" Target="imagenes/HALIFAX_WOMENS_119001328_OLI_1.jpg" TargetMode="External" Id="rId539"/><Relationship Type="http://schemas.openxmlformats.org/officeDocument/2006/relationships/hyperlink" Target="imagenes/HALIFAX_WOMENS_119001328_OLI_2.jpg" TargetMode="External" Id="rId540"/><Relationship Type="http://schemas.openxmlformats.org/officeDocument/2006/relationships/hyperlink" Target="imagenes/HALIFAX_WOMENS_119001328_OLI_3.jpg" TargetMode="External" Id="rId541"/><Relationship Type="http://schemas.openxmlformats.org/officeDocument/2006/relationships/hyperlink" Target="imagenes/HALIFAX_WOMENS_119001566_BU4_1.jpg" TargetMode="External" Id="rId542"/><Relationship Type="http://schemas.openxmlformats.org/officeDocument/2006/relationships/hyperlink" Target="imagenes/HALIFAX_WOMENS_119001566_BU4_2.jpg" TargetMode="External" Id="rId543"/><Relationship Type="http://schemas.openxmlformats.org/officeDocument/2006/relationships/hyperlink" Target="imagenes/HALIFAX_WOMENS_119001566_BU4_3.jpg" TargetMode="External" Id="rId544"/><Relationship Type="http://schemas.openxmlformats.org/officeDocument/2006/relationships/hyperlink" Target="imagenes/HALIFAX_WOMENS_119001566_BU4_1.jpg" TargetMode="External" Id="rId545"/><Relationship Type="http://schemas.openxmlformats.org/officeDocument/2006/relationships/hyperlink" Target="imagenes/HALIFAX_WOMENS_119001566_BU4_2.jpg" TargetMode="External" Id="rId546"/><Relationship Type="http://schemas.openxmlformats.org/officeDocument/2006/relationships/hyperlink" Target="imagenes/HALIFAX_WOMENS_119001566_BU4_3.jpg" TargetMode="External" Id="rId547"/><Relationship Type="http://schemas.openxmlformats.org/officeDocument/2006/relationships/hyperlink" Target="imagenes/HALIFAX_WOMENS_119001566_BU4_1.jpg" TargetMode="External" Id="rId548"/><Relationship Type="http://schemas.openxmlformats.org/officeDocument/2006/relationships/hyperlink" Target="imagenes/HALIFAX_WOMENS_119001566_BU4_2.jpg" TargetMode="External" Id="rId549"/><Relationship Type="http://schemas.openxmlformats.org/officeDocument/2006/relationships/hyperlink" Target="imagenes/HALIFAX_WOMENS_119001566_BU4_3.jpg" TargetMode="External" Id="rId550"/><Relationship Type="http://schemas.openxmlformats.org/officeDocument/2006/relationships/hyperlink" Target="imagenes/HALIFAX_WOMENS_119001566_GEY_1.jpg" TargetMode="External" Id="rId551"/><Relationship Type="http://schemas.openxmlformats.org/officeDocument/2006/relationships/hyperlink" Target="imagenes/HALIFAX_WOMENS_119001566_GEY_2.jpg" TargetMode="External" Id="rId552"/><Relationship Type="http://schemas.openxmlformats.org/officeDocument/2006/relationships/hyperlink" Target="imagenes/HALIFAX_WOMENS_119001566_GEY_3.jpg" TargetMode="External" Id="rId553"/><Relationship Type="http://schemas.openxmlformats.org/officeDocument/2006/relationships/hyperlink" Target="imagenes/HALIFAX_WOMENS_119001566_GEY_1.jpg" TargetMode="External" Id="rId554"/><Relationship Type="http://schemas.openxmlformats.org/officeDocument/2006/relationships/hyperlink" Target="imagenes/HALIFAX_WOMENS_119001566_GEY_2.jpg" TargetMode="External" Id="rId555"/><Relationship Type="http://schemas.openxmlformats.org/officeDocument/2006/relationships/hyperlink" Target="imagenes/HALIFAX_WOMENS_119001566_GEY_3.jpg" TargetMode="External" Id="rId556"/><Relationship Type="http://schemas.openxmlformats.org/officeDocument/2006/relationships/hyperlink" Target="imagenes/HALIFAX_WOMENS_119001566_GEY_1.jpg" TargetMode="External" Id="rId557"/><Relationship Type="http://schemas.openxmlformats.org/officeDocument/2006/relationships/hyperlink" Target="imagenes/HALIFAX_WOMENS_119001566_GEY_2.jpg" TargetMode="External" Id="rId558"/><Relationship Type="http://schemas.openxmlformats.org/officeDocument/2006/relationships/hyperlink" Target="imagenes/HALIFAX_WOMENS_119001566_GEY_3.jpg" TargetMode="External" Id="rId559"/><Relationship Type="http://schemas.openxmlformats.org/officeDocument/2006/relationships/hyperlink" Target="imagenes/HALIFAX_WOMENS_119001566_GEY_1.jpg" TargetMode="External" Id="rId560"/><Relationship Type="http://schemas.openxmlformats.org/officeDocument/2006/relationships/hyperlink" Target="imagenes/HALIFAX_WOMENS_119001566_GEY_2.jpg" TargetMode="External" Id="rId561"/><Relationship Type="http://schemas.openxmlformats.org/officeDocument/2006/relationships/hyperlink" Target="imagenes/HALIFAX_WOMENS_119001566_GEY_3.jpg" TargetMode="External" Id="rId562"/><Relationship Type="http://schemas.openxmlformats.org/officeDocument/2006/relationships/hyperlink" Target="imagenes/HALIFAX_WOMENS_119001566_GRN_1.jpg" TargetMode="External" Id="rId563"/><Relationship Type="http://schemas.openxmlformats.org/officeDocument/2006/relationships/hyperlink" Target="imagenes/HALIFAX_WOMENS_119001566_GRN_2.jpg" TargetMode="External" Id="rId564"/><Relationship Type="http://schemas.openxmlformats.org/officeDocument/2006/relationships/hyperlink" Target="imagenes/HALIFAX_WOMENS_119001566_GRN_3.jpg" TargetMode="External" Id="rId565"/><Relationship Type="http://schemas.openxmlformats.org/officeDocument/2006/relationships/hyperlink" Target="imagenes/HALIFAX_WOMENS_119001566_GRN_1.jpg" TargetMode="External" Id="rId566"/><Relationship Type="http://schemas.openxmlformats.org/officeDocument/2006/relationships/hyperlink" Target="imagenes/HALIFAX_WOMENS_119001566_GRN_2.jpg" TargetMode="External" Id="rId567"/><Relationship Type="http://schemas.openxmlformats.org/officeDocument/2006/relationships/hyperlink" Target="imagenes/HALIFAX_WOMENS_119001566_GRN_3.jpg" TargetMode="External" Id="rId568"/><Relationship Type="http://schemas.openxmlformats.org/officeDocument/2006/relationships/hyperlink" Target="imagenes/HALIFAX_WOMENS_119001566_GRN_1.jpg" TargetMode="External" Id="rId569"/><Relationship Type="http://schemas.openxmlformats.org/officeDocument/2006/relationships/hyperlink" Target="imagenes/HALIFAX_WOMENS_119001566_GRN_2.jpg" TargetMode="External" Id="rId570"/><Relationship Type="http://schemas.openxmlformats.org/officeDocument/2006/relationships/hyperlink" Target="imagenes/HALIFAX_WOMENS_119001566_GRN_3.jpg" TargetMode="External" Id="rId571"/><Relationship Type="http://schemas.openxmlformats.org/officeDocument/2006/relationships/hyperlink" Target="imagenes/HALIFAX_WOMENS_119001566_MAU_1.jpg" TargetMode="External" Id="rId572"/><Relationship Type="http://schemas.openxmlformats.org/officeDocument/2006/relationships/hyperlink" Target="imagenes/HALIFAX_WOMENS_119001566_MAU_2.jpg" TargetMode="External" Id="rId573"/><Relationship Type="http://schemas.openxmlformats.org/officeDocument/2006/relationships/hyperlink" Target="imagenes/HALIFAX_WOMENS_119001566_MAU_3.jpg" TargetMode="External" Id="rId574"/><Relationship Type="http://schemas.openxmlformats.org/officeDocument/2006/relationships/hyperlink" Target="imagenes/HALIFAX_WOMENS_119001566_MAU_1.jpg" TargetMode="External" Id="rId575"/><Relationship Type="http://schemas.openxmlformats.org/officeDocument/2006/relationships/hyperlink" Target="imagenes/HALIFAX_WOMENS_119001566_MAU_2.jpg" TargetMode="External" Id="rId576"/><Relationship Type="http://schemas.openxmlformats.org/officeDocument/2006/relationships/hyperlink" Target="imagenes/HALIFAX_WOMENS_119001566_MAU_3.jpg" TargetMode="External" Id="rId577"/><Relationship Type="http://schemas.openxmlformats.org/officeDocument/2006/relationships/hyperlink" Target="imagenes/HALIFAX_WOMENS_119001566_MAU_1.jpg" TargetMode="External" Id="rId578"/><Relationship Type="http://schemas.openxmlformats.org/officeDocument/2006/relationships/hyperlink" Target="imagenes/HALIFAX_WOMENS_119001566_MAU_2.jpg" TargetMode="External" Id="rId579"/><Relationship Type="http://schemas.openxmlformats.org/officeDocument/2006/relationships/hyperlink" Target="imagenes/HALIFAX_WOMENS_119001566_MAU_3.jpg" TargetMode="External" Id="rId580"/><Relationship Type="http://schemas.openxmlformats.org/officeDocument/2006/relationships/hyperlink" Target="imagenes/HALIFAX_WOMENS_119001566_MAU_1.jpg" TargetMode="External" Id="rId581"/><Relationship Type="http://schemas.openxmlformats.org/officeDocument/2006/relationships/hyperlink" Target="imagenes/HALIFAX_WOMENS_119001566_MAU_2.jpg" TargetMode="External" Id="rId582"/><Relationship Type="http://schemas.openxmlformats.org/officeDocument/2006/relationships/hyperlink" Target="imagenes/HALIFAX_WOMENS_119001566_MAU_3.jpg" TargetMode="External" Id="rId583"/><Relationship Type="http://schemas.openxmlformats.org/officeDocument/2006/relationships/hyperlink" Target="imagenes/HALIFAX_WOMENS_119001566_MAU_1.jpg" TargetMode="External" Id="rId584"/><Relationship Type="http://schemas.openxmlformats.org/officeDocument/2006/relationships/hyperlink" Target="imagenes/HALIFAX_WOMENS_119001566_MAU_2.jpg" TargetMode="External" Id="rId585"/><Relationship Type="http://schemas.openxmlformats.org/officeDocument/2006/relationships/hyperlink" Target="imagenes/HALIFAX_WOMENS_119001566_MAU_3.jpg" TargetMode="External" Id="rId586"/><Relationship Type="http://schemas.openxmlformats.org/officeDocument/2006/relationships/hyperlink" Target="imagenes/HALIFAX_WOMENS_119001566_MAU_1.jpg" TargetMode="External" Id="rId587"/><Relationship Type="http://schemas.openxmlformats.org/officeDocument/2006/relationships/hyperlink" Target="imagenes/HALIFAX_WOMENS_119001566_MAU_2.jpg" TargetMode="External" Id="rId588"/><Relationship Type="http://schemas.openxmlformats.org/officeDocument/2006/relationships/hyperlink" Target="imagenes/HALIFAX_WOMENS_119001566_MAU_3.jpg" TargetMode="External" Id="rId589"/><Relationship Type="http://schemas.openxmlformats.org/officeDocument/2006/relationships/hyperlink" Target="imagenes/HALIFAX_WOMENS_119001566_PNK_1.jpg" TargetMode="External" Id="rId590"/><Relationship Type="http://schemas.openxmlformats.org/officeDocument/2006/relationships/hyperlink" Target="imagenes/HALIFAX_WOMENS_119001566_PNK_2.jpg" TargetMode="External" Id="rId591"/><Relationship Type="http://schemas.openxmlformats.org/officeDocument/2006/relationships/hyperlink" Target="imagenes/HALIFAX_WOMENS_119001566_PNK_3.jpg" TargetMode="External" Id="rId592"/><Relationship Type="http://schemas.openxmlformats.org/officeDocument/2006/relationships/hyperlink" Target="imagenes/HALIFAX_WOMENS_119001566_PNK_1.jpg" TargetMode="External" Id="rId593"/><Relationship Type="http://schemas.openxmlformats.org/officeDocument/2006/relationships/hyperlink" Target="imagenes/HALIFAX_WOMENS_119001566_PNK_2.jpg" TargetMode="External" Id="rId594"/><Relationship Type="http://schemas.openxmlformats.org/officeDocument/2006/relationships/hyperlink" Target="imagenes/HALIFAX_WOMENS_119001566_PNK_3.jpg" TargetMode="External" Id="rId595"/><Relationship Type="http://schemas.openxmlformats.org/officeDocument/2006/relationships/hyperlink" Target="imagenes/HALIFAX_WOMENS_119001566_PNK_1.jpg" TargetMode="External" Id="rId596"/><Relationship Type="http://schemas.openxmlformats.org/officeDocument/2006/relationships/hyperlink" Target="imagenes/HALIFAX_WOMENS_119001566_PNK_2.jpg" TargetMode="External" Id="rId597"/><Relationship Type="http://schemas.openxmlformats.org/officeDocument/2006/relationships/hyperlink" Target="imagenes/HALIFAX_WOMENS_119001566_PNK_3.jpg" TargetMode="External" Id="rId598"/><Relationship Type="http://schemas.openxmlformats.org/officeDocument/2006/relationships/hyperlink" Target="imagenes/HALIFAX_WOMENS_119001566_PUR_1.jpg" TargetMode="External" Id="rId599"/><Relationship Type="http://schemas.openxmlformats.org/officeDocument/2006/relationships/hyperlink" Target="imagenes/HALIFAX_WOMENS_119001566_PUR_2.jpg" TargetMode="External" Id="rId600"/><Relationship Type="http://schemas.openxmlformats.org/officeDocument/2006/relationships/hyperlink" Target="imagenes/HALIFAX_WOMENS_119001566_PUR_3.jpg" TargetMode="External" Id="rId601"/><Relationship Type="http://schemas.openxmlformats.org/officeDocument/2006/relationships/hyperlink" Target="imagenes/HALIFAX_WOMENS_119001566_PUR_1.jpg" TargetMode="External" Id="rId602"/><Relationship Type="http://schemas.openxmlformats.org/officeDocument/2006/relationships/hyperlink" Target="imagenes/HALIFAX_WOMENS_119001566_PUR_2.jpg" TargetMode="External" Id="rId603"/><Relationship Type="http://schemas.openxmlformats.org/officeDocument/2006/relationships/hyperlink" Target="imagenes/HALIFAX_WOMENS_119001566_PUR_3.jpg" TargetMode="External" Id="rId604"/><Relationship Type="http://schemas.openxmlformats.org/officeDocument/2006/relationships/hyperlink" Target="imagenes/HALIFAX_WOMENS_119001566_PUR_1.jpg" TargetMode="External" Id="rId605"/><Relationship Type="http://schemas.openxmlformats.org/officeDocument/2006/relationships/hyperlink" Target="imagenes/HALIFAX_WOMENS_119001566_PUR_2.jpg" TargetMode="External" Id="rId606"/><Relationship Type="http://schemas.openxmlformats.org/officeDocument/2006/relationships/hyperlink" Target="imagenes/HALIFAX_WOMENS_119001566_PUR_3.jpg" TargetMode="External" Id="rId607"/><Relationship Type="http://schemas.openxmlformats.org/officeDocument/2006/relationships/hyperlink" Target="imagenes/HALIFAX_WOMENS_119001566_SAG_1.jpg" TargetMode="External" Id="rId608"/><Relationship Type="http://schemas.openxmlformats.org/officeDocument/2006/relationships/hyperlink" Target="imagenes/HALIFAX_WOMENS_119001566_SAG_2.jpg" TargetMode="External" Id="rId609"/><Relationship Type="http://schemas.openxmlformats.org/officeDocument/2006/relationships/hyperlink" Target="imagenes/HALIFAX_WOMENS_119001566_SAG_3.jpg" TargetMode="External" Id="rId610"/><Relationship Type="http://schemas.openxmlformats.org/officeDocument/2006/relationships/hyperlink" Target="imagenes/HALIFAX_WOMENS_119001566_SAG_1.jpg" TargetMode="External" Id="rId611"/><Relationship Type="http://schemas.openxmlformats.org/officeDocument/2006/relationships/hyperlink" Target="imagenes/HALIFAX_WOMENS_119001566_SAG_2.jpg" TargetMode="External" Id="rId612"/><Relationship Type="http://schemas.openxmlformats.org/officeDocument/2006/relationships/hyperlink" Target="imagenes/HALIFAX_WOMENS_119001566_SAG_3.jpg" TargetMode="External" Id="rId613"/><Relationship Type="http://schemas.openxmlformats.org/officeDocument/2006/relationships/hyperlink" Target="imagenes/HALIFAX_WOMENS_119001566_SAG_1.jpg" TargetMode="External" Id="rId614"/><Relationship Type="http://schemas.openxmlformats.org/officeDocument/2006/relationships/hyperlink" Target="imagenes/HALIFAX_WOMENS_119001566_SAG_2.jpg" TargetMode="External" Id="rId615"/><Relationship Type="http://schemas.openxmlformats.org/officeDocument/2006/relationships/hyperlink" Target="imagenes/HALIFAX_WOMENS_119001566_SAG_3.jpg" TargetMode="External" Id="rId616"/><Relationship Type="http://schemas.openxmlformats.org/officeDocument/2006/relationships/hyperlink" Target="imagenes/HALIFAX_WOMENS_119001566_SAG_1.jpg" TargetMode="External" Id="rId617"/><Relationship Type="http://schemas.openxmlformats.org/officeDocument/2006/relationships/hyperlink" Target="imagenes/HALIFAX_WOMENS_119001566_SAG_2.jpg" TargetMode="External" Id="rId618"/><Relationship Type="http://schemas.openxmlformats.org/officeDocument/2006/relationships/hyperlink" Target="imagenes/HALIFAX_WOMENS_119001566_SAG_3.jpg" TargetMode="External" Id="rId619"/><Relationship Type="http://schemas.openxmlformats.org/officeDocument/2006/relationships/hyperlink" Target="imagenes/HALIFAX_WOMENS_119001566_TAN_1.jpg" TargetMode="External" Id="rId620"/><Relationship Type="http://schemas.openxmlformats.org/officeDocument/2006/relationships/hyperlink" Target="imagenes/HALIFAX_WOMENS_119001566_TAN_2.jpg" TargetMode="External" Id="rId621"/><Relationship Type="http://schemas.openxmlformats.org/officeDocument/2006/relationships/hyperlink" Target="imagenes/HALIFAX_WOMENS_119001566_TAN_3.jpg" TargetMode="External" Id="rId622"/><Relationship Type="http://schemas.openxmlformats.org/officeDocument/2006/relationships/hyperlink" Target="imagenes/HALIFAX_WOMENS_119001566_TAN_1.jpg" TargetMode="External" Id="rId623"/><Relationship Type="http://schemas.openxmlformats.org/officeDocument/2006/relationships/hyperlink" Target="imagenes/HALIFAX_WOMENS_119001566_TAN_2.jpg" TargetMode="External" Id="rId624"/><Relationship Type="http://schemas.openxmlformats.org/officeDocument/2006/relationships/hyperlink" Target="imagenes/HALIFAX_WOMENS_119001566_TAN_3.jpg" TargetMode="External" Id="rId625"/><Relationship Type="http://schemas.openxmlformats.org/officeDocument/2006/relationships/hyperlink" Target="imagenes/HALIFAX_WOMENS_119001566_TAN_1.jpg" TargetMode="External" Id="rId626"/><Relationship Type="http://schemas.openxmlformats.org/officeDocument/2006/relationships/hyperlink" Target="imagenes/HALIFAX_WOMENS_119001566_TAN_2.jpg" TargetMode="External" Id="rId627"/><Relationship Type="http://schemas.openxmlformats.org/officeDocument/2006/relationships/hyperlink" Target="imagenes/HALIFAX_WOMENS_119001566_TAN_3.jpg" TargetMode="External" Id="rId628"/><Relationship Type="http://schemas.openxmlformats.org/officeDocument/2006/relationships/hyperlink" Target="imagenes/HALIFAX_WOMENS_119001566_TAN_1.jpg" TargetMode="External" Id="rId629"/><Relationship Type="http://schemas.openxmlformats.org/officeDocument/2006/relationships/hyperlink" Target="imagenes/HALIFAX_WOMENS_119001566_TAN_2.jpg" TargetMode="External" Id="rId630"/><Relationship Type="http://schemas.openxmlformats.org/officeDocument/2006/relationships/hyperlink" Target="imagenes/HALIFAX_WOMENS_119001566_TAN_3.jpg" TargetMode="External" Id="rId631"/><Relationship Type="http://schemas.openxmlformats.org/officeDocument/2006/relationships/hyperlink" Target="imagenes/HALIFAX_WOMENS_119001566_TAN_1.jpg" TargetMode="External" Id="rId632"/><Relationship Type="http://schemas.openxmlformats.org/officeDocument/2006/relationships/hyperlink" Target="imagenes/HALIFAX_WOMENS_119001566_TAN_2.jpg" TargetMode="External" Id="rId633"/><Relationship Type="http://schemas.openxmlformats.org/officeDocument/2006/relationships/hyperlink" Target="imagenes/HALIFAX_WOMENS_119001566_TAN_3.jpg" TargetMode="External" Id="rId634"/><Relationship Type="http://schemas.openxmlformats.org/officeDocument/2006/relationships/hyperlink" Target="imagenes/HALIFAX_WOMENS_119001566_TAN_1.jpg" TargetMode="External" Id="rId635"/><Relationship Type="http://schemas.openxmlformats.org/officeDocument/2006/relationships/hyperlink" Target="imagenes/HALIFAX_WOMENS_119001566_TAN_2.jpg" TargetMode="External" Id="rId636"/><Relationship Type="http://schemas.openxmlformats.org/officeDocument/2006/relationships/hyperlink" Target="imagenes/HALIFAX_WOMENS_119001566_TAN_3.jpg" TargetMode="External" Id="rId637"/><Relationship Type="http://schemas.openxmlformats.org/officeDocument/2006/relationships/hyperlink" Target="imagenes/HALIFAX_WOMENS_119004414_BLK_1.jpg" TargetMode="External" Id="rId638"/><Relationship Type="http://schemas.openxmlformats.org/officeDocument/2006/relationships/hyperlink" Target="imagenes/HALIFAX_WOMENS_119004414_BLK_2.jpg" TargetMode="External" Id="rId639"/><Relationship Type="http://schemas.openxmlformats.org/officeDocument/2006/relationships/hyperlink" Target="imagenes/HALIFAX_WOMENS_119004414_BLK_3.jpg" TargetMode="External" Id="rId640"/><Relationship Type="http://schemas.openxmlformats.org/officeDocument/2006/relationships/hyperlink" Target="imagenes/HALIFAX_WOMENS_119004414_BLK_1.jpg" TargetMode="External" Id="rId641"/><Relationship Type="http://schemas.openxmlformats.org/officeDocument/2006/relationships/hyperlink" Target="imagenes/HALIFAX_WOMENS_119004414_BLK_2.jpg" TargetMode="External" Id="rId642"/><Relationship Type="http://schemas.openxmlformats.org/officeDocument/2006/relationships/hyperlink" Target="imagenes/HALIFAX_WOMENS_119004414_BLK_3.jpg" TargetMode="External" Id="rId643"/><Relationship Type="http://schemas.openxmlformats.org/officeDocument/2006/relationships/hyperlink" Target="imagenes/HALIFAX_WOMENS_119004414_BLK_1.jpg" TargetMode="External" Id="rId644"/><Relationship Type="http://schemas.openxmlformats.org/officeDocument/2006/relationships/hyperlink" Target="imagenes/HALIFAX_WOMENS_119004414_BLK_2.jpg" TargetMode="External" Id="rId645"/><Relationship Type="http://schemas.openxmlformats.org/officeDocument/2006/relationships/hyperlink" Target="imagenes/HALIFAX_WOMENS_119004414_BLK_3.jpg" TargetMode="External" Id="rId646"/><Relationship Type="http://schemas.openxmlformats.org/officeDocument/2006/relationships/hyperlink" Target="imagenes/HALIFAX_WOMENS_119004414_BLK_1.jpg" TargetMode="External" Id="rId647"/><Relationship Type="http://schemas.openxmlformats.org/officeDocument/2006/relationships/hyperlink" Target="imagenes/HALIFAX_WOMENS_119004414_BLK_2.jpg" TargetMode="External" Id="rId648"/><Relationship Type="http://schemas.openxmlformats.org/officeDocument/2006/relationships/hyperlink" Target="imagenes/HALIFAX_WOMENS_119004414_BLK_3.jpg" TargetMode="External" Id="rId649"/><Relationship Type="http://schemas.openxmlformats.org/officeDocument/2006/relationships/hyperlink" Target="imagenes/HALIFAX_WOMENS_119004414_BLK_1.jpg" TargetMode="External" Id="rId650"/><Relationship Type="http://schemas.openxmlformats.org/officeDocument/2006/relationships/hyperlink" Target="imagenes/HALIFAX_WOMENS_119004414_BLK_2.jpg" TargetMode="External" Id="rId651"/><Relationship Type="http://schemas.openxmlformats.org/officeDocument/2006/relationships/hyperlink" Target="imagenes/HALIFAX_WOMENS_119004414_BLK_3.jpg" TargetMode="External" Id="rId652"/><Relationship Type="http://schemas.openxmlformats.org/officeDocument/2006/relationships/hyperlink" Target="imagenes/HALIFAX_WOMENS_119004414_BLK_1.jpg" TargetMode="External" Id="rId653"/><Relationship Type="http://schemas.openxmlformats.org/officeDocument/2006/relationships/hyperlink" Target="imagenes/HALIFAX_WOMENS_119004414_BLK_2.jpg" TargetMode="External" Id="rId654"/><Relationship Type="http://schemas.openxmlformats.org/officeDocument/2006/relationships/hyperlink" Target="imagenes/HALIFAX_WOMENS_119004414_BLK_3.jpg" TargetMode="External" Id="rId655"/><Relationship Type="http://schemas.openxmlformats.org/officeDocument/2006/relationships/hyperlink" Target="imagenes/HALIFAX_WOMENS_119004414_MSG_2.jpg" TargetMode="External" Id="rId656"/><Relationship Type="http://schemas.openxmlformats.org/officeDocument/2006/relationships/hyperlink" Target="imagenes/HALIFAX_WOMENS_119004414_MSG_3.jpg" TargetMode="External" Id="rId657"/><Relationship Type="http://schemas.openxmlformats.org/officeDocument/2006/relationships/hyperlink" Target="imagenes/HALIFAX_WOMENS_119004414_MSG_2.jpg" TargetMode="External" Id="rId658"/><Relationship Type="http://schemas.openxmlformats.org/officeDocument/2006/relationships/hyperlink" Target="imagenes/HALIFAX_WOMENS_119004414_MSG_3.jpg" TargetMode="External" Id="rId659"/><Relationship Type="http://schemas.openxmlformats.org/officeDocument/2006/relationships/hyperlink" Target="imagenes/HALIFAX_WOMENS_119004414_MSG_2.jpg" TargetMode="External" Id="rId660"/><Relationship Type="http://schemas.openxmlformats.org/officeDocument/2006/relationships/hyperlink" Target="imagenes/HALIFAX_WOMENS_119004414_MSG_3.jpg" TargetMode="External" Id="rId661"/><Relationship Type="http://schemas.openxmlformats.org/officeDocument/2006/relationships/hyperlink" Target="imagenes/HALIFAX_WOMENS_119004414_MSG_2.jpg" TargetMode="External" Id="rId662"/><Relationship Type="http://schemas.openxmlformats.org/officeDocument/2006/relationships/hyperlink" Target="imagenes/HALIFAX_WOMENS_119004414_MSG_3.jpg" TargetMode="External" Id="rId663"/><Relationship Type="http://schemas.openxmlformats.org/officeDocument/2006/relationships/hyperlink" Target="imagenes/HALIFAX_WOMENS_119004414_MSG_2.jpg" TargetMode="External" Id="rId664"/><Relationship Type="http://schemas.openxmlformats.org/officeDocument/2006/relationships/hyperlink" Target="imagenes/HALIFAX_WOMENS_119004414_MSG_3.jpg" TargetMode="External" Id="rId665"/><Relationship Type="http://schemas.openxmlformats.org/officeDocument/2006/relationships/hyperlink" Target="imagenes/HALIFAX_WOMENS_119004414_PEB_1.jpg" TargetMode="External" Id="rId666"/><Relationship Type="http://schemas.openxmlformats.org/officeDocument/2006/relationships/hyperlink" Target="imagenes/HALIFAX_WOMENS_119004414_PEB_3.jpg" TargetMode="External" Id="rId667"/><Relationship Type="http://schemas.openxmlformats.org/officeDocument/2006/relationships/hyperlink" Target="imagenes/HALIFAX_WOMENS_119004414_PEB_1.jpg" TargetMode="External" Id="rId668"/><Relationship Type="http://schemas.openxmlformats.org/officeDocument/2006/relationships/hyperlink" Target="imagenes/HALIFAX_WOMENS_119004414_PEB_3.jpg" TargetMode="External" Id="rId669"/><Relationship Type="http://schemas.openxmlformats.org/officeDocument/2006/relationships/hyperlink" Target="imagenes/HALIFAX_WOMENS_119004414_PEB_1.jpg" TargetMode="External" Id="rId670"/><Relationship Type="http://schemas.openxmlformats.org/officeDocument/2006/relationships/hyperlink" Target="imagenes/HALIFAX_WOMENS_119004414_PEB_3.jpg" TargetMode="External" Id="rId671"/><Relationship Type="http://schemas.openxmlformats.org/officeDocument/2006/relationships/hyperlink" Target="imagenes/HALIFAX_WOMENS_119004414_PEB_1.jpg" TargetMode="External" Id="rId672"/><Relationship Type="http://schemas.openxmlformats.org/officeDocument/2006/relationships/hyperlink" Target="imagenes/HALIFAX_WOMENS_119004414_PEB_3.jpg" TargetMode="External" Id="rId673"/><Relationship Type="http://schemas.openxmlformats.org/officeDocument/2006/relationships/hyperlink" Target="imagenes/HALIFAX_WOMENS_119004767_BLK_1.jpg" TargetMode="External" Id="rId674"/><Relationship Type="http://schemas.openxmlformats.org/officeDocument/2006/relationships/hyperlink" Target="imagenes/HALIFAX_WOMENS_119004767_BLK_2.jpg" TargetMode="External" Id="rId675"/><Relationship Type="http://schemas.openxmlformats.org/officeDocument/2006/relationships/hyperlink" Target="imagenes/HALIFAX_WOMENS_119004767_BLK_3.jpg" TargetMode="External" Id="rId676"/><Relationship Type="http://schemas.openxmlformats.org/officeDocument/2006/relationships/hyperlink" Target="imagenes/HALIFAX_WOMENS_119004767_BLK_1.jpg" TargetMode="External" Id="rId677"/><Relationship Type="http://schemas.openxmlformats.org/officeDocument/2006/relationships/hyperlink" Target="imagenes/HALIFAX_WOMENS_119004767_BLK_2.jpg" TargetMode="External" Id="rId678"/><Relationship Type="http://schemas.openxmlformats.org/officeDocument/2006/relationships/hyperlink" Target="imagenes/HALIFAX_WOMENS_119004767_BLK_3.jpg" TargetMode="External" Id="rId679"/><Relationship Type="http://schemas.openxmlformats.org/officeDocument/2006/relationships/hyperlink" Target="imagenes/HALIFAX_WOMENS_119004767_BLK_1.jpg" TargetMode="External" Id="rId680"/><Relationship Type="http://schemas.openxmlformats.org/officeDocument/2006/relationships/hyperlink" Target="imagenes/HALIFAX_WOMENS_119004767_BLK_2.jpg" TargetMode="External" Id="rId681"/><Relationship Type="http://schemas.openxmlformats.org/officeDocument/2006/relationships/hyperlink" Target="imagenes/HALIFAX_WOMENS_119004767_BLK_3.jpg" TargetMode="External" Id="rId682"/><Relationship Type="http://schemas.openxmlformats.org/officeDocument/2006/relationships/hyperlink" Target="imagenes/HALIFAX_WOMENS_119004767_BLK_1.jpg" TargetMode="External" Id="rId683"/><Relationship Type="http://schemas.openxmlformats.org/officeDocument/2006/relationships/hyperlink" Target="imagenes/HALIFAX_WOMENS_119004767_BLK_2.jpg" TargetMode="External" Id="rId684"/><Relationship Type="http://schemas.openxmlformats.org/officeDocument/2006/relationships/hyperlink" Target="imagenes/HALIFAX_WOMENS_119004767_BLK_3.jpg" TargetMode="External" Id="rId685"/><Relationship Type="http://schemas.openxmlformats.org/officeDocument/2006/relationships/hyperlink" Target="imagenes/HALIFAX_WOMENS_119004767_BLK_1.jpg" TargetMode="External" Id="rId686"/><Relationship Type="http://schemas.openxmlformats.org/officeDocument/2006/relationships/hyperlink" Target="imagenes/HALIFAX_WOMENS_119004767_BLK_2.jpg" TargetMode="External" Id="rId687"/><Relationship Type="http://schemas.openxmlformats.org/officeDocument/2006/relationships/hyperlink" Target="imagenes/HALIFAX_WOMENS_119004767_BLK_3.jpg" TargetMode="External" Id="rId688"/><Relationship Type="http://schemas.openxmlformats.org/officeDocument/2006/relationships/hyperlink" Target="imagenes/HALIFAX_WOMENS_119004767_DES_1.jpg" TargetMode="External" Id="rId689"/><Relationship Type="http://schemas.openxmlformats.org/officeDocument/2006/relationships/hyperlink" Target="imagenes/HALIFAX_WOMENS_119004767_DES_2.jpg" TargetMode="External" Id="rId690"/><Relationship Type="http://schemas.openxmlformats.org/officeDocument/2006/relationships/hyperlink" Target="imagenes/HALIFAX_WOMENS_119004767_DES_3.jpg" TargetMode="External" Id="rId691"/><Relationship Type="http://schemas.openxmlformats.org/officeDocument/2006/relationships/hyperlink" Target="imagenes/HALIFAX_WOMENS_119004767_DES_1.jpg" TargetMode="External" Id="rId692"/><Relationship Type="http://schemas.openxmlformats.org/officeDocument/2006/relationships/hyperlink" Target="imagenes/HALIFAX_WOMENS_119004767_DES_2.jpg" TargetMode="External" Id="rId693"/><Relationship Type="http://schemas.openxmlformats.org/officeDocument/2006/relationships/hyperlink" Target="imagenes/HALIFAX_WOMENS_119004767_DES_3.jpg" TargetMode="External" Id="rId694"/><Relationship Type="http://schemas.openxmlformats.org/officeDocument/2006/relationships/hyperlink" Target="imagenes/HALIFAX_WOMENS_119004767_DES_1.jpg" TargetMode="External" Id="rId695"/><Relationship Type="http://schemas.openxmlformats.org/officeDocument/2006/relationships/hyperlink" Target="imagenes/HALIFAX_WOMENS_119004767_DES_2.jpg" TargetMode="External" Id="rId696"/><Relationship Type="http://schemas.openxmlformats.org/officeDocument/2006/relationships/hyperlink" Target="imagenes/HALIFAX_WOMENS_119004767_DES_3.jpg" TargetMode="External" Id="rId697"/><Relationship Type="http://schemas.openxmlformats.org/officeDocument/2006/relationships/hyperlink" Target="imagenes/HALIFAX_WOMENS_119004767_DES_1.jpg" TargetMode="External" Id="rId698"/><Relationship Type="http://schemas.openxmlformats.org/officeDocument/2006/relationships/hyperlink" Target="imagenes/HALIFAX_WOMENS_119004767_DES_2.jpg" TargetMode="External" Id="rId699"/><Relationship Type="http://schemas.openxmlformats.org/officeDocument/2006/relationships/hyperlink" Target="imagenes/HALIFAX_WOMENS_119004767_DES_3.jpg" TargetMode="External" Id="rId700"/><Relationship Type="http://schemas.openxmlformats.org/officeDocument/2006/relationships/hyperlink" Target="imagenes/HALIFAX_WOMENS_119004767_DES_1.jpg" TargetMode="External" Id="rId701"/><Relationship Type="http://schemas.openxmlformats.org/officeDocument/2006/relationships/hyperlink" Target="imagenes/HALIFAX_WOMENS_119004767_DES_2.jpg" TargetMode="External" Id="rId702"/><Relationship Type="http://schemas.openxmlformats.org/officeDocument/2006/relationships/hyperlink" Target="imagenes/HALIFAX_WOMENS_119004767_DES_3.jpg" TargetMode="External" Id="rId703"/><Relationship Type="http://schemas.openxmlformats.org/officeDocument/2006/relationships/hyperlink" Target="imagenes/HALIFAX_WOMENS_119004767_DGN_1.jpg" TargetMode="External" Id="rId704"/><Relationship Type="http://schemas.openxmlformats.org/officeDocument/2006/relationships/hyperlink" Target="imagenes/HALIFAX_WOMENS_119004767_DGN_2.jpg" TargetMode="External" Id="rId705"/><Relationship Type="http://schemas.openxmlformats.org/officeDocument/2006/relationships/hyperlink" Target="imagenes/HALIFAX_WOMENS_119004767_DGN_1.jpg" TargetMode="External" Id="rId706"/><Relationship Type="http://schemas.openxmlformats.org/officeDocument/2006/relationships/hyperlink" Target="imagenes/HALIFAX_WOMENS_119004767_DGN_2.jpg" TargetMode="External" Id="rId707"/><Relationship Type="http://schemas.openxmlformats.org/officeDocument/2006/relationships/hyperlink" Target="imagenes/HALIFAX_WOMENS_119004767_DGN_1.jpg" TargetMode="External" Id="rId708"/><Relationship Type="http://schemas.openxmlformats.org/officeDocument/2006/relationships/hyperlink" Target="imagenes/HALIFAX_WOMENS_119004767_DGN_2.jpg" TargetMode="External" Id="rId709"/><Relationship Type="http://schemas.openxmlformats.org/officeDocument/2006/relationships/hyperlink" Target="imagenes/HALIFAX_WOMENS_119004767_DGN_1.jpg" TargetMode="External" Id="rId710"/><Relationship Type="http://schemas.openxmlformats.org/officeDocument/2006/relationships/hyperlink" Target="imagenes/HALIFAX_WOMENS_119004767_DGN_2.jpg" TargetMode="External" Id="rId711"/><Relationship Type="http://schemas.openxmlformats.org/officeDocument/2006/relationships/hyperlink" Target="imagenes/HALIFAX_WOMENS_119004767_DGN_1.jpg" TargetMode="External" Id="rId712"/><Relationship Type="http://schemas.openxmlformats.org/officeDocument/2006/relationships/hyperlink" Target="imagenes/HALIFAX_WOMENS_119004767_DGN_2.jpg" TargetMode="External" Id="rId713"/><Relationship Type="http://schemas.openxmlformats.org/officeDocument/2006/relationships/hyperlink" Target="imagenes/HALIFAX_WOMENS_119004767_PRL_1.jpg" TargetMode="External" Id="rId714"/><Relationship Type="http://schemas.openxmlformats.org/officeDocument/2006/relationships/hyperlink" Target="imagenes/HALIFAX_WOMENS_119004767_PRL_2.jpg" TargetMode="External" Id="rId715"/><Relationship Type="http://schemas.openxmlformats.org/officeDocument/2006/relationships/hyperlink" Target="imagenes/HALIFAX_WOMENS_119004767_PRL_3.jpg" TargetMode="External" Id="rId716"/><Relationship Type="http://schemas.openxmlformats.org/officeDocument/2006/relationships/hyperlink" Target="imagenes/HALIFAX_WOMENS_119004767_PRL_1.jpg" TargetMode="External" Id="rId717"/><Relationship Type="http://schemas.openxmlformats.org/officeDocument/2006/relationships/hyperlink" Target="imagenes/HALIFAX_WOMENS_119004767_PRL_2.jpg" TargetMode="External" Id="rId718"/><Relationship Type="http://schemas.openxmlformats.org/officeDocument/2006/relationships/hyperlink" Target="imagenes/HALIFAX_WOMENS_119004767_PRL_3.jpg" TargetMode="External" Id="rId719"/><Relationship Type="http://schemas.openxmlformats.org/officeDocument/2006/relationships/hyperlink" Target="imagenes/HALIFAX_WOMENS_119004767_PRL_1.jpg" TargetMode="External" Id="rId720"/><Relationship Type="http://schemas.openxmlformats.org/officeDocument/2006/relationships/hyperlink" Target="imagenes/HALIFAX_WOMENS_119004767_PRL_2.jpg" TargetMode="External" Id="rId721"/><Relationship Type="http://schemas.openxmlformats.org/officeDocument/2006/relationships/hyperlink" Target="imagenes/HALIFAX_WOMENS_119004767_PRL_3.jpg" TargetMode="External" Id="rId722"/><Relationship Type="http://schemas.openxmlformats.org/officeDocument/2006/relationships/hyperlink" Target="imagenes/HALIFAX_WOMENS_119004767_PRL_1.jpg" TargetMode="External" Id="rId723"/><Relationship Type="http://schemas.openxmlformats.org/officeDocument/2006/relationships/hyperlink" Target="imagenes/HALIFAX_WOMENS_119004767_PRL_2.jpg" TargetMode="External" Id="rId724"/><Relationship Type="http://schemas.openxmlformats.org/officeDocument/2006/relationships/hyperlink" Target="imagenes/HALIFAX_WOMENS_119004767_PRL_3.jpg" TargetMode="External" Id="rId725"/><Relationship Type="http://schemas.openxmlformats.org/officeDocument/2006/relationships/hyperlink" Target="imagenes/HALIFAX_WOMENS_119004767_PRL_1.jpg" TargetMode="External" Id="rId726"/><Relationship Type="http://schemas.openxmlformats.org/officeDocument/2006/relationships/hyperlink" Target="imagenes/HALIFAX_WOMENS_119004767_PRL_2.jpg" TargetMode="External" Id="rId727"/><Relationship Type="http://schemas.openxmlformats.org/officeDocument/2006/relationships/hyperlink" Target="imagenes/HALIFAX_WOMENS_119004767_PRL_3.jpg" TargetMode="External" Id="rId728"/><Relationship Type="http://schemas.openxmlformats.org/officeDocument/2006/relationships/hyperlink" Target="imagenes/HALIFAX_WOMENS_119004773_BLK_1.jpg" TargetMode="External" Id="rId729"/><Relationship Type="http://schemas.openxmlformats.org/officeDocument/2006/relationships/hyperlink" Target="imagenes/HALIFAX_WOMENS_119004773_BLK_2.jpg" TargetMode="External" Id="rId730"/><Relationship Type="http://schemas.openxmlformats.org/officeDocument/2006/relationships/hyperlink" Target="imagenes/HALIFAX_WOMENS_119004773_BLK_3.jpg" TargetMode="External" Id="rId731"/><Relationship Type="http://schemas.openxmlformats.org/officeDocument/2006/relationships/hyperlink" Target="imagenes/HALIFAX_WOMENS_119004773_BLK_1.jpg" TargetMode="External" Id="rId732"/><Relationship Type="http://schemas.openxmlformats.org/officeDocument/2006/relationships/hyperlink" Target="imagenes/HALIFAX_WOMENS_119004773_BLK_2.jpg" TargetMode="External" Id="rId733"/><Relationship Type="http://schemas.openxmlformats.org/officeDocument/2006/relationships/hyperlink" Target="imagenes/HALIFAX_WOMENS_119004773_BLK_3.jpg" TargetMode="External" Id="rId734"/><Relationship Type="http://schemas.openxmlformats.org/officeDocument/2006/relationships/hyperlink" Target="imagenes/HALIFAX_WOMENS_119004773_BLK_1.jpg" TargetMode="External" Id="rId735"/><Relationship Type="http://schemas.openxmlformats.org/officeDocument/2006/relationships/hyperlink" Target="imagenes/HALIFAX_WOMENS_119004773_BLK_2.jpg" TargetMode="External" Id="rId736"/><Relationship Type="http://schemas.openxmlformats.org/officeDocument/2006/relationships/hyperlink" Target="imagenes/HALIFAX_WOMENS_119004773_BLK_3.jpg" TargetMode="External" Id="rId737"/><Relationship Type="http://schemas.openxmlformats.org/officeDocument/2006/relationships/hyperlink" Target="imagenes/HALIFAX_WOMENS_119004773_BLK_1.jpg" TargetMode="External" Id="rId738"/><Relationship Type="http://schemas.openxmlformats.org/officeDocument/2006/relationships/hyperlink" Target="imagenes/HALIFAX_WOMENS_119004773_BLK_2.jpg" TargetMode="External" Id="rId739"/><Relationship Type="http://schemas.openxmlformats.org/officeDocument/2006/relationships/hyperlink" Target="imagenes/HALIFAX_WOMENS_119004773_BLK_3.jpg" TargetMode="External" Id="rId740"/><Relationship Type="http://schemas.openxmlformats.org/officeDocument/2006/relationships/hyperlink" Target="imagenes/HALIFAX_WOMENS_119004773_BLK_1.jpg" TargetMode="External" Id="rId741"/><Relationship Type="http://schemas.openxmlformats.org/officeDocument/2006/relationships/hyperlink" Target="imagenes/HALIFAX_WOMENS_119004773_BLK_2.jpg" TargetMode="External" Id="rId742"/><Relationship Type="http://schemas.openxmlformats.org/officeDocument/2006/relationships/hyperlink" Target="imagenes/HALIFAX_WOMENS_119004773_BLK_3.jpg" TargetMode="External" Id="rId743"/><Relationship Type="http://schemas.openxmlformats.org/officeDocument/2006/relationships/hyperlink" Target="imagenes/HALIFAX_WOMENS_119004773_BLK_1.jpg" TargetMode="External" Id="rId744"/><Relationship Type="http://schemas.openxmlformats.org/officeDocument/2006/relationships/hyperlink" Target="imagenes/HALIFAX_WOMENS_119004773_BLK_2.jpg" TargetMode="External" Id="rId745"/><Relationship Type="http://schemas.openxmlformats.org/officeDocument/2006/relationships/hyperlink" Target="imagenes/HALIFAX_WOMENS_119004773_BLK_3.jpg" TargetMode="External" Id="rId746"/><Relationship Type="http://schemas.openxmlformats.org/officeDocument/2006/relationships/hyperlink" Target="imagenes/HALIFAX_WOMENS_119004773_BLK_1.jpg" TargetMode="External" Id="rId747"/><Relationship Type="http://schemas.openxmlformats.org/officeDocument/2006/relationships/hyperlink" Target="imagenes/HALIFAX_WOMENS_119004773_BLK_2.jpg" TargetMode="External" Id="rId748"/><Relationship Type="http://schemas.openxmlformats.org/officeDocument/2006/relationships/hyperlink" Target="imagenes/HALIFAX_WOMENS_119004773_BLK_3.jpg" TargetMode="External" Id="rId749"/><Relationship Type="http://schemas.openxmlformats.org/officeDocument/2006/relationships/hyperlink" Target="imagenes/HALIFAX_WOMENS_119004773_MSG_1.jpg" TargetMode="External" Id="rId750"/><Relationship Type="http://schemas.openxmlformats.org/officeDocument/2006/relationships/hyperlink" Target="imagenes/HALIFAX_WOMENS_119004773_MSG_2.jpg" TargetMode="External" Id="rId751"/><Relationship Type="http://schemas.openxmlformats.org/officeDocument/2006/relationships/hyperlink" Target="imagenes/HALIFAX_WOMENS_119004773_MSG_3.jpg" TargetMode="External" Id="rId752"/><Relationship Type="http://schemas.openxmlformats.org/officeDocument/2006/relationships/hyperlink" Target="imagenes/HALIFAX_WOMENS_119004773_MSG_1.jpg" TargetMode="External" Id="rId753"/><Relationship Type="http://schemas.openxmlformats.org/officeDocument/2006/relationships/hyperlink" Target="imagenes/HALIFAX_WOMENS_119004773_MSG_2.jpg" TargetMode="External" Id="rId754"/><Relationship Type="http://schemas.openxmlformats.org/officeDocument/2006/relationships/hyperlink" Target="imagenes/HALIFAX_WOMENS_119004773_MSG_3.jpg" TargetMode="External" Id="rId755"/><Relationship Type="http://schemas.openxmlformats.org/officeDocument/2006/relationships/hyperlink" Target="imagenes/HALIFAX_WOMENS_119004773_MSG_1.jpg" TargetMode="External" Id="rId756"/><Relationship Type="http://schemas.openxmlformats.org/officeDocument/2006/relationships/hyperlink" Target="imagenes/HALIFAX_WOMENS_119004773_MSG_2.jpg" TargetMode="External" Id="rId757"/><Relationship Type="http://schemas.openxmlformats.org/officeDocument/2006/relationships/hyperlink" Target="imagenes/HALIFAX_WOMENS_119004773_MSG_3.jpg" TargetMode="External" Id="rId758"/><Relationship Type="http://schemas.openxmlformats.org/officeDocument/2006/relationships/hyperlink" Target="imagenes/HALIFAX_WOMENS_119004773_MSG_1.jpg" TargetMode="External" Id="rId759"/><Relationship Type="http://schemas.openxmlformats.org/officeDocument/2006/relationships/hyperlink" Target="imagenes/HALIFAX_WOMENS_119004773_MSG_2.jpg" TargetMode="External" Id="rId760"/><Relationship Type="http://schemas.openxmlformats.org/officeDocument/2006/relationships/hyperlink" Target="imagenes/HALIFAX_WOMENS_119004773_MSG_3.jpg" TargetMode="External" Id="rId761"/><Relationship Type="http://schemas.openxmlformats.org/officeDocument/2006/relationships/hyperlink" Target="imagenes/HALIFAX_WOMENS_119004773_MSG_1.jpg" TargetMode="External" Id="rId762"/><Relationship Type="http://schemas.openxmlformats.org/officeDocument/2006/relationships/hyperlink" Target="imagenes/HALIFAX_WOMENS_119004773_MSG_2.jpg" TargetMode="External" Id="rId763"/><Relationship Type="http://schemas.openxmlformats.org/officeDocument/2006/relationships/hyperlink" Target="imagenes/HALIFAX_WOMENS_119004773_MSG_3.jpg" TargetMode="External" Id="rId764"/><Relationship Type="http://schemas.openxmlformats.org/officeDocument/2006/relationships/hyperlink" Target="imagenes/HALIFAX_WOMENS_119004773_NVY_1.jpg" TargetMode="External" Id="rId765"/><Relationship Type="http://schemas.openxmlformats.org/officeDocument/2006/relationships/hyperlink" Target="imagenes/HALIFAX_WOMENS_119004773_NVY_2.jpg" TargetMode="External" Id="rId766"/><Relationship Type="http://schemas.openxmlformats.org/officeDocument/2006/relationships/hyperlink" Target="imagenes/HALIFAX_WOMENS_119004773_NVY_3.jpg" TargetMode="External" Id="rId767"/><Relationship Type="http://schemas.openxmlformats.org/officeDocument/2006/relationships/hyperlink" Target="imagenes/HALIFAX_WOMENS_119004773_NVY_1.jpg" TargetMode="External" Id="rId768"/><Relationship Type="http://schemas.openxmlformats.org/officeDocument/2006/relationships/hyperlink" Target="imagenes/HALIFAX_WOMENS_119004773_NVY_2.jpg" TargetMode="External" Id="rId769"/><Relationship Type="http://schemas.openxmlformats.org/officeDocument/2006/relationships/hyperlink" Target="imagenes/HALIFAX_WOMENS_119004773_NVY_3.jpg" TargetMode="External" Id="rId770"/><Relationship Type="http://schemas.openxmlformats.org/officeDocument/2006/relationships/hyperlink" Target="imagenes/HALIFAX_WOMENS_119004773_NVY_1.jpg" TargetMode="External" Id="rId771"/><Relationship Type="http://schemas.openxmlformats.org/officeDocument/2006/relationships/hyperlink" Target="imagenes/HALIFAX_WOMENS_119004773_NVY_2.jpg" TargetMode="External" Id="rId772"/><Relationship Type="http://schemas.openxmlformats.org/officeDocument/2006/relationships/hyperlink" Target="imagenes/HALIFAX_WOMENS_119004773_NVY_3.jpg" TargetMode="External" Id="rId773"/><Relationship Type="http://schemas.openxmlformats.org/officeDocument/2006/relationships/hyperlink" Target="imagenes/HALIFAX_WOMENS_119004774_B24_1.jpg" TargetMode="External" Id="rId774"/><Relationship Type="http://schemas.openxmlformats.org/officeDocument/2006/relationships/hyperlink" Target="imagenes/HALIFAX_WOMENS_119004774_B24_2.jpg" TargetMode="External" Id="rId775"/><Relationship Type="http://schemas.openxmlformats.org/officeDocument/2006/relationships/hyperlink" Target="imagenes/HALIFAX_WOMENS_119004774_B24_3.jpg" TargetMode="External" Id="rId776"/><Relationship Type="http://schemas.openxmlformats.org/officeDocument/2006/relationships/hyperlink" Target="imagenes/HALIFAX_WOMENS_119004774_B24_1.jpg" TargetMode="External" Id="rId777"/><Relationship Type="http://schemas.openxmlformats.org/officeDocument/2006/relationships/hyperlink" Target="imagenes/HALIFAX_WOMENS_119004774_B24_2.jpg" TargetMode="External" Id="rId778"/><Relationship Type="http://schemas.openxmlformats.org/officeDocument/2006/relationships/hyperlink" Target="imagenes/HALIFAX_WOMENS_119004774_B24_3.jpg" TargetMode="External" Id="rId779"/><Relationship Type="http://schemas.openxmlformats.org/officeDocument/2006/relationships/hyperlink" Target="imagenes/HALIFAX_WOMENS_119004774_B24_1.jpg" TargetMode="External" Id="rId780"/><Relationship Type="http://schemas.openxmlformats.org/officeDocument/2006/relationships/hyperlink" Target="imagenes/HALIFAX_WOMENS_119004774_B24_2.jpg" TargetMode="External" Id="rId781"/><Relationship Type="http://schemas.openxmlformats.org/officeDocument/2006/relationships/hyperlink" Target="imagenes/HALIFAX_WOMENS_119004774_B24_3.jpg" TargetMode="External" Id="rId782"/><Relationship Type="http://schemas.openxmlformats.org/officeDocument/2006/relationships/hyperlink" Target="imagenes/HALIFAX_WOMENS_119004774_B24_1.jpg" TargetMode="External" Id="rId783"/><Relationship Type="http://schemas.openxmlformats.org/officeDocument/2006/relationships/hyperlink" Target="imagenes/HALIFAX_WOMENS_119004774_B24_2.jpg" TargetMode="External" Id="rId784"/><Relationship Type="http://schemas.openxmlformats.org/officeDocument/2006/relationships/hyperlink" Target="imagenes/HALIFAX_WOMENS_119004774_B24_3.jpg" TargetMode="External" Id="rId785"/><Relationship Type="http://schemas.openxmlformats.org/officeDocument/2006/relationships/hyperlink" Target="imagenes/HALIFAX_WOMENS_119004774_B24_1.jpg" TargetMode="External" Id="rId786"/><Relationship Type="http://schemas.openxmlformats.org/officeDocument/2006/relationships/hyperlink" Target="imagenes/HALIFAX_WOMENS_119004774_B24_2.jpg" TargetMode="External" Id="rId787"/><Relationship Type="http://schemas.openxmlformats.org/officeDocument/2006/relationships/hyperlink" Target="imagenes/HALIFAX_WOMENS_119004774_B24_3.jpg" TargetMode="External" Id="rId788"/><Relationship Type="http://schemas.openxmlformats.org/officeDocument/2006/relationships/hyperlink" Target="imagenes/HALIFAX_WOMENS_119004774_B24_1.jpg" TargetMode="External" Id="rId789"/><Relationship Type="http://schemas.openxmlformats.org/officeDocument/2006/relationships/hyperlink" Target="imagenes/HALIFAX_WOMENS_119004774_B24_2.jpg" TargetMode="External" Id="rId790"/><Relationship Type="http://schemas.openxmlformats.org/officeDocument/2006/relationships/hyperlink" Target="imagenes/HALIFAX_WOMENS_119004774_B24_3.jpg" TargetMode="External" Id="rId791"/><Relationship Type="http://schemas.openxmlformats.org/officeDocument/2006/relationships/hyperlink" Target="imagenes/HALIFAX_WOMENS_119004774_BLK_1.jpg" TargetMode="External" Id="rId792"/><Relationship Type="http://schemas.openxmlformats.org/officeDocument/2006/relationships/hyperlink" Target="imagenes/HALIFAX_WOMENS_119004774_BLK_2.jpg" TargetMode="External" Id="rId793"/><Relationship Type="http://schemas.openxmlformats.org/officeDocument/2006/relationships/hyperlink" Target="imagenes/HALIFAX_WOMENS_119004774_BLK_3.jpg" TargetMode="External" Id="rId794"/><Relationship Type="http://schemas.openxmlformats.org/officeDocument/2006/relationships/hyperlink" Target="imagenes/HALIFAX_WOMENS_119004774_BLK_1.jpg" TargetMode="External" Id="rId795"/><Relationship Type="http://schemas.openxmlformats.org/officeDocument/2006/relationships/hyperlink" Target="imagenes/HALIFAX_WOMENS_119004774_BLK_2.jpg" TargetMode="External" Id="rId796"/><Relationship Type="http://schemas.openxmlformats.org/officeDocument/2006/relationships/hyperlink" Target="imagenes/HALIFAX_WOMENS_119004774_BLK_3.jpg" TargetMode="External" Id="rId797"/><Relationship Type="http://schemas.openxmlformats.org/officeDocument/2006/relationships/hyperlink" Target="imagenes/HALIFAX_WOMENS_119004774_BLK_1.jpg" TargetMode="External" Id="rId798"/><Relationship Type="http://schemas.openxmlformats.org/officeDocument/2006/relationships/hyperlink" Target="imagenes/HALIFAX_WOMENS_119004774_BLK_2.jpg" TargetMode="External" Id="rId799"/><Relationship Type="http://schemas.openxmlformats.org/officeDocument/2006/relationships/hyperlink" Target="imagenes/HALIFAX_WOMENS_119004774_BLK_3.jpg" TargetMode="External" Id="rId800"/><Relationship Type="http://schemas.openxmlformats.org/officeDocument/2006/relationships/hyperlink" Target="imagenes/HALIFAX_WOMENS_119004774_BLK_1.jpg" TargetMode="External" Id="rId801"/><Relationship Type="http://schemas.openxmlformats.org/officeDocument/2006/relationships/hyperlink" Target="imagenes/HALIFAX_WOMENS_119004774_BLK_2.jpg" TargetMode="External" Id="rId802"/><Relationship Type="http://schemas.openxmlformats.org/officeDocument/2006/relationships/hyperlink" Target="imagenes/HALIFAX_WOMENS_119004774_BLK_3.jpg" TargetMode="External" Id="rId803"/><Relationship Type="http://schemas.openxmlformats.org/officeDocument/2006/relationships/hyperlink" Target="imagenes/HALIFAX_WOMENS_119004774_BLK_1.jpg" TargetMode="External" Id="rId804"/><Relationship Type="http://schemas.openxmlformats.org/officeDocument/2006/relationships/hyperlink" Target="imagenes/HALIFAX_WOMENS_119004774_BLK_2.jpg" TargetMode="External" Id="rId805"/><Relationship Type="http://schemas.openxmlformats.org/officeDocument/2006/relationships/hyperlink" Target="imagenes/HALIFAX_WOMENS_119004774_BLK_3.jpg" TargetMode="External" Id="rId806"/><Relationship Type="http://schemas.openxmlformats.org/officeDocument/2006/relationships/hyperlink" Target="imagenes/HALIFAX_WOMENS_119004774_BLK_1.jpg" TargetMode="External" Id="rId807"/><Relationship Type="http://schemas.openxmlformats.org/officeDocument/2006/relationships/hyperlink" Target="imagenes/HALIFAX_WOMENS_119004774_BLK_2.jpg" TargetMode="External" Id="rId808"/><Relationship Type="http://schemas.openxmlformats.org/officeDocument/2006/relationships/hyperlink" Target="imagenes/HALIFAX_WOMENS_119004774_BLK_3.jpg" TargetMode="External" Id="rId809"/><Relationship Type="http://schemas.openxmlformats.org/officeDocument/2006/relationships/hyperlink" Target="imagenes/HALIFAX_WOMENS_119004774_BLK_1.jpg" TargetMode="External" Id="rId810"/><Relationship Type="http://schemas.openxmlformats.org/officeDocument/2006/relationships/hyperlink" Target="imagenes/HALIFAX_WOMENS_119004774_BLK_2.jpg" TargetMode="External" Id="rId811"/><Relationship Type="http://schemas.openxmlformats.org/officeDocument/2006/relationships/hyperlink" Target="imagenes/HALIFAX_WOMENS_119004774_BLK_3.jpg" TargetMode="External" Id="rId812"/><Relationship Type="http://schemas.openxmlformats.org/officeDocument/2006/relationships/hyperlink" Target="imagenes/HALIFAX_WOMENS_119004774_CAM_1.jpg" TargetMode="External" Id="rId813"/><Relationship Type="http://schemas.openxmlformats.org/officeDocument/2006/relationships/hyperlink" Target="imagenes/HALIFAX_WOMENS_119004774_CAM_2.jpg" TargetMode="External" Id="rId814"/><Relationship Type="http://schemas.openxmlformats.org/officeDocument/2006/relationships/hyperlink" Target="imagenes/HALIFAX_WOMENS_119004774_CAM_3.jpg" TargetMode="External" Id="rId815"/><Relationship Type="http://schemas.openxmlformats.org/officeDocument/2006/relationships/hyperlink" Target="imagenes/HALIFAX_WOMENS_119004774_CAM_1.jpg" TargetMode="External" Id="rId816"/><Relationship Type="http://schemas.openxmlformats.org/officeDocument/2006/relationships/hyperlink" Target="imagenes/HALIFAX_WOMENS_119004774_CAM_2.jpg" TargetMode="External" Id="rId817"/><Relationship Type="http://schemas.openxmlformats.org/officeDocument/2006/relationships/hyperlink" Target="imagenes/HALIFAX_WOMENS_119004774_CAM_3.jpg" TargetMode="External" Id="rId818"/><Relationship Type="http://schemas.openxmlformats.org/officeDocument/2006/relationships/hyperlink" Target="imagenes/HALIFAX_WOMENS_119004774_CAM_1.jpg" TargetMode="External" Id="rId819"/><Relationship Type="http://schemas.openxmlformats.org/officeDocument/2006/relationships/hyperlink" Target="imagenes/HALIFAX_WOMENS_119004774_CAM_2.jpg" TargetMode="External" Id="rId820"/><Relationship Type="http://schemas.openxmlformats.org/officeDocument/2006/relationships/hyperlink" Target="imagenes/HALIFAX_WOMENS_119004774_CAM_3.jpg" TargetMode="External" Id="rId821"/><Relationship Type="http://schemas.openxmlformats.org/officeDocument/2006/relationships/hyperlink" Target="imagenes/HALIFAX_WOMENS_119004774_CAM_1.jpg" TargetMode="External" Id="rId822"/><Relationship Type="http://schemas.openxmlformats.org/officeDocument/2006/relationships/hyperlink" Target="imagenes/HALIFAX_WOMENS_119004774_CAM_2.jpg" TargetMode="External" Id="rId823"/><Relationship Type="http://schemas.openxmlformats.org/officeDocument/2006/relationships/hyperlink" Target="imagenes/HALIFAX_WOMENS_119004774_CAM_3.jpg" TargetMode="External" Id="rId824"/><Relationship Type="http://schemas.openxmlformats.org/officeDocument/2006/relationships/hyperlink" Target="imagenes/HALIFAX_WOMENS_119004774_CAM_1.jpg" TargetMode="External" Id="rId825"/><Relationship Type="http://schemas.openxmlformats.org/officeDocument/2006/relationships/hyperlink" Target="imagenes/HALIFAX_WOMENS_119004774_CAM_2.jpg" TargetMode="External" Id="rId826"/><Relationship Type="http://schemas.openxmlformats.org/officeDocument/2006/relationships/hyperlink" Target="imagenes/HALIFAX_WOMENS_119004774_CAM_3.jpg" TargetMode="External" Id="rId827"/><Relationship Type="http://schemas.openxmlformats.org/officeDocument/2006/relationships/hyperlink" Target="imagenes/HALIFAX_WOMENS_119005341_BLK_1.jpg" TargetMode="External" Id="rId828"/><Relationship Type="http://schemas.openxmlformats.org/officeDocument/2006/relationships/hyperlink" Target="imagenes/HALIFAX_WOMENS_119005341_BLK_2.jpg" TargetMode="External" Id="rId829"/><Relationship Type="http://schemas.openxmlformats.org/officeDocument/2006/relationships/hyperlink" Target="imagenes/HALIFAX_WOMENS_119005341_BLK_3.jpg" TargetMode="External" Id="rId830"/><Relationship Type="http://schemas.openxmlformats.org/officeDocument/2006/relationships/hyperlink" Target="imagenes/HALIFAX_WOMENS_119005341_BLK_1.jpg" TargetMode="External" Id="rId831"/><Relationship Type="http://schemas.openxmlformats.org/officeDocument/2006/relationships/hyperlink" Target="imagenes/HALIFAX_WOMENS_119005341_BLK_2.jpg" TargetMode="External" Id="rId832"/><Relationship Type="http://schemas.openxmlformats.org/officeDocument/2006/relationships/hyperlink" Target="imagenes/HALIFAX_WOMENS_119005341_BLK_3.jpg" TargetMode="External" Id="rId833"/><Relationship Type="http://schemas.openxmlformats.org/officeDocument/2006/relationships/hyperlink" Target="imagenes/HALIFAX_WOMENS_119005341_BLK_1.jpg" TargetMode="External" Id="rId834"/><Relationship Type="http://schemas.openxmlformats.org/officeDocument/2006/relationships/hyperlink" Target="imagenes/HALIFAX_WOMENS_119005341_BLK_2.jpg" TargetMode="External" Id="rId835"/><Relationship Type="http://schemas.openxmlformats.org/officeDocument/2006/relationships/hyperlink" Target="imagenes/HALIFAX_WOMENS_119005341_BLK_3.jpg" TargetMode="External" Id="rId836"/><Relationship Type="http://schemas.openxmlformats.org/officeDocument/2006/relationships/hyperlink" Target="imagenes/HALIFAX_WOMENS_119005341_BLK_1.jpg" TargetMode="External" Id="rId837"/><Relationship Type="http://schemas.openxmlformats.org/officeDocument/2006/relationships/hyperlink" Target="imagenes/HALIFAX_WOMENS_119005341_BLK_2.jpg" TargetMode="External" Id="rId838"/><Relationship Type="http://schemas.openxmlformats.org/officeDocument/2006/relationships/hyperlink" Target="imagenes/HALIFAX_WOMENS_119005341_BLK_3.jpg" TargetMode="External" Id="rId839"/><Relationship Type="http://schemas.openxmlformats.org/officeDocument/2006/relationships/hyperlink" Target="imagenes/HALIFAX_WOMENS_119005341_BLK_1.jpg" TargetMode="External" Id="rId840"/><Relationship Type="http://schemas.openxmlformats.org/officeDocument/2006/relationships/hyperlink" Target="imagenes/HALIFAX_WOMENS_119005341_BLK_2.jpg" TargetMode="External" Id="rId841"/><Relationship Type="http://schemas.openxmlformats.org/officeDocument/2006/relationships/hyperlink" Target="imagenes/HALIFAX_WOMENS_119005341_BLK_3.jpg" TargetMode="External" Id="rId842"/><Relationship Type="http://schemas.openxmlformats.org/officeDocument/2006/relationships/hyperlink" Target="imagenes/HALIFAX_WOMENS_119005341_BLK_1.jpg" TargetMode="External" Id="rId843"/><Relationship Type="http://schemas.openxmlformats.org/officeDocument/2006/relationships/hyperlink" Target="imagenes/HALIFAX_WOMENS_119005341_BLK_2.jpg" TargetMode="External" Id="rId844"/><Relationship Type="http://schemas.openxmlformats.org/officeDocument/2006/relationships/hyperlink" Target="imagenes/HALIFAX_WOMENS_119005341_BLK_3.jpg" TargetMode="External" Id="rId845"/><Relationship Type="http://schemas.openxmlformats.org/officeDocument/2006/relationships/hyperlink" Target="imagenes/HALIFAX_WOMENS_119005341_BLK_1.jpg" TargetMode="External" Id="rId846"/><Relationship Type="http://schemas.openxmlformats.org/officeDocument/2006/relationships/hyperlink" Target="imagenes/HALIFAX_WOMENS_119005341_BLK_2.jpg" TargetMode="External" Id="rId847"/><Relationship Type="http://schemas.openxmlformats.org/officeDocument/2006/relationships/hyperlink" Target="imagenes/HALIFAX_WOMENS_119005341_BLK_3.jpg" TargetMode="External" Id="rId848"/><Relationship Type="http://schemas.openxmlformats.org/officeDocument/2006/relationships/hyperlink" Target="imagenes/HALIFAX_WOMENS_119005341_BON_1.jpg" TargetMode="External" Id="rId849"/><Relationship Type="http://schemas.openxmlformats.org/officeDocument/2006/relationships/hyperlink" Target="imagenes/HALIFAX_WOMENS_119005341_BON_2.jpg" TargetMode="External" Id="rId850"/><Relationship Type="http://schemas.openxmlformats.org/officeDocument/2006/relationships/hyperlink" Target="imagenes/HALIFAX_WOMENS_119005341_BON_3.jpg" TargetMode="External" Id="rId851"/><Relationship Type="http://schemas.openxmlformats.org/officeDocument/2006/relationships/hyperlink" Target="imagenes/HALIFAX_WOMENS_119005341_BON_1.jpg" TargetMode="External" Id="rId852"/><Relationship Type="http://schemas.openxmlformats.org/officeDocument/2006/relationships/hyperlink" Target="imagenes/HALIFAX_WOMENS_119005341_BON_2.jpg" TargetMode="External" Id="rId853"/><Relationship Type="http://schemas.openxmlformats.org/officeDocument/2006/relationships/hyperlink" Target="imagenes/HALIFAX_WOMENS_119005341_BON_3.jpg" TargetMode="External" Id="rId854"/><Relationship Type="http://schemas.openxmlformats.org/officeDocument/2006/relationships/hyperlink" Target="imagenes/HALIFAX_WOMENS_119005341_BON_1.jpg" TargetMode="External" Id="rId855"/><Relationship Type="http://schemas.openxmlformats.org/officeDocument/2006/relationships/hyperlink" Target="imagenes/HALIFAX_WOMENS_119005341_BON_2.jpg" TargetMode="External" Id="rId856"/><Relationship Type="http://schemas.openxmlformats.org/officeDocument/2006/relationships/hyperlink" Target="imagenes/HALIFAX_WOMENS_119005341_BON_3.jpg" TargetMode="External" Id="rId857"/><Relationship Type="http://schemas.openxmlformats.org/officeDocument/2006/relationships/hyperlink" Target="imagenes/HALIFAX_WOMENS_119005341_BON_1.jpg" TargetMode="External" Id="rId858"/><Relationship Type="http://schemas.openxmlformats.org/officeDocument/2006/relationships/hyperlink" Target="imagenes/HALIFAX_WOMENS_119005341_BON_2.jpg" TargetMode="External" Id="rId859"/><Relationship Type="http://schemas.openxmlformats.org/officeDocument/2006/relationships/hyperlink" Target="imagenes/HALIFAX_WOMENS_119005341_BON_3.jpg" TargetMode="External" Id="rId860"/><Relationship Type="http://schemas.openxmlformats.org/officeDocument/2006/relationships/hyperlink" Target="imagenes/HALIFAX_WOMENS_119005341_BON_1.jpg" TargetMode="External" Id="rId861"/><Relationship Type="http://schemas.openxmlformats.org/officeDocument/2006/relationships/hyperlink" Target="imagenes/HALIFAX_WOMENS_119005341_BON_2.jpg" TargetMode="External" Id="rId862"/><Relationship Type="http://schemas.openxmlformats.org/officeDocument/2006/relationships/hyperlink" Target="imagenes/HALIFAX_WOMENS_119005341_BON_3.jpg" TargetMode="External" Id="rId863"/><Relationship Type="http://schemas.openxmlformats.org/officeDocument/2006/relationships/hyperlink" Target="imagenes/HALIFAX_WOMENS_119005341_MSG_1.jpg" TargetMode="External" Id="rId864"/><Relationship Type="http://schemas.openxmlformats.org/officeDocument/2006/relationships/hyperlink" Target="imagenes/HALIFAX_WOMENS_119005341_MSG_2.jpg" TargetMode="External" Id="rId865"/><Relationship Type="http://schemas.openxmlformats.org/officeDocument/2006/relationships/hyperlink" Target="imagenes/HALIFAX_WOMENS_119005341_MSG_3.jpg" TargetMode="External" Id="rId866"/><Relationship Type="http://schemas.openxmlformats.org/officeDocument/2006/relationships/hyperlink" Target="imagenes/HALIFAX_WOMENS_119005341_MSG_1.jpg" TargetMode="External" Id="rId867"/><Relationship Type="http://schemas.openxmlformats.org/officeDocument/2006/relationships/hyperlink" Target="imagenes/HALIFAX_WOMENS_119005341_MSG_2.jpg" TargetMode="External" Id="rId868"/><Relationship Type="http://schemas.openxmlformats.org/officeDocument/2006/relationships/hyperlink" Target="imagenes/HALIFAX_WOMENS_119005341_MSG_3.jpg" TargetMode="External" Id="rId869"/><Relationship Type="http://schemas.openxmlformats.org/officeDocument/2006/relationships/hyperlink" Target="imagenes/HALIFAX_WOMENS_119005341_MSG_1.jpg" TargetMode="External" Id="rId870"/><Relationship Type="http://schemas.openxmlformats.org/officeDocument/2006/relationships/hyperlink" Target="imagenes/HALIFAX_WOMENS_119005341_MSG_2.jpg" TargetMode="External" Id="rId871"/><Relationship Type="http://schemas.openxmlformats.org/officeDocument/2006/relationships/hyperlink" Target="imagenes/HALIFAX_WOMENS_119005341_MSG_3.jpg" TargetMode="External" Id="rId872"/><Relationship Type="http://schemas.openxmlformats.org/officeDocument/2006/relationships/hyperlink" Target="imagenes/HALIFAX_WOMENS_119005341_MSG_1.jpg" TargetMode="External" Id="rId873"/><Relationship Type="http://schemas.openxmlformats.org/officeDocument/2006/relationships/hyperlink" Target="imagenes/HALIFAX_WOMENS_119005341_MSG_2.jpg" TargetMode="External" Id="rId874"/><Relationship Type="http://schemas.openxmlformats.org/officeDocument/2006/relationships/hyperlink" Target="imagenes/HALIFAX_WOMENS_119005341_MSG_3.jpg" TargetMode="External" Id="rId875"/><Relationship Type="http://schemas.openxmlformats.org/officeDocument/2006/relationships/hyperlink" Target="imagenes/HALIFAX_WOMENS_119005341_MSG_1.jpg" TargetMode="External" Id="rId876"/><Relationship Type="http://schemas.openxmlformats.org/officeDocument/2006/relationships/hyperlink" Target="imagenes/HALIFAX_WOMENS_119005341_MSG_2.jpg" TargetMode="External" Id="rId877"/><Relationship Type="http://schemas.openxmlformats.org/officeDocument/2006/relationships/hyperlink" Target="imagenes/HALIFAX_WOMENS_119005341_MSG_3.jpg" TargetMode="External" Id="rId878"/><Relationship Type="http://schemas.openxmlformats.org/officeDocument/2006/relationships/hyperlink" Target="imagenes/HALIFAX_WOMENS_119005383_BLK_1.jpg" TargetMode="External" Id="rId879"/><Relationship Type="http://schemas.openxmlformats.org/officeDocument/2006/relationships/hyperlink" Target="imagenes/HALIFAX_WOMENS_119005383_BLK_2.jpg" TargetMode="External" Id="rId880"/><Relationship Type="http://schemas.openxmlformats.org/officeDocument/2006/relationships/hyperlink" Target="imagenes/HALIFAX_WOMENS_119005383_BLK_3.jpg" TargetMode="External" Id="rId881"/><Relationship Type="http://schemas.openxmlformats.org/officeDocument/2006/relationships/hyperlink" Target="imagenes/HALIFAX_WOMENS_119005383_BLK_1.jpg" TargetMode="External" Id="rId882"/><Relationship Type="http://schemas.openxmlformats.org/officeDocument/2006/relationships/hyperlink" Target="imagenes/HALIFAX_WOMENS_119005383_BLK_2.jpg" TargetMode="External" Id="rId883"/><Relationship Type="http://schemas.openxmlformats.org/officeDocument/2006/relationships/hyperlink" Target="imagenes/HALIFAX_WOMENS_119005383_BLK_3.jpg" TargetMode="External" Id="rId884"/><Relationship Type="http://schemas.openxmlformats.org/officeDocument/2006/relationships/hyperlink" Target="imagenes/HALIFAX_WOMENS_119005383_BLK_1.jpg" TargetMode="External" Id="rId885"/><Relationship Type="http://schemas.openxmlformats.org/officeDocument/2006/relationships/hyperlink" Target="imagenes/HALIFAX_WOMENS_119005383_BLK_2.jpg" TargetMode="External" Id="rId886"/><Relationship Type="http://schemas.openxmlformats.org/officeDocument/2006/relationships/hyperlink" Target="imagenes/HALIFAX_WOMENS_119005383_BLK_3.jpg" TargetMode="External" Id="rId887"/><Relationship Type="http://schemas.openxmlformats.org/officeDocument/2006/relationships/hyperlink" Target="imagenes/HALIFAX_WOMENS_119005383_BLK_1.jpg" TargetMode="External" Id="rId888"/><Relationship Type="http://schemas.openxmlformats.org/officeDocument/2006/relationships/hyperlink" Target="imagenes/HALIFAX_WOMENS_119005383_BLK_2.jpg" TargetMode="External" Id="rId889"/><Relationship Type="http://schemas.openxmlformats.org/officeDocument/2006/relationships/hyperlink" Target="imagenes/HALIFAX_WOMENS_119005383_BLK_3.jpg" TargetMode="External" Id="rId890"/><Relationship Type="http://schemas.openxmlformats.org/officeDocument/2006/relationships/hyperlink" Target="imagenes/HALIFAX_WOMENS_119005383_BLK_1.jpg" TargetMode="External" Id="rId891"/><Relationship Type="http://schemas.openxmlformats.org/officeDocument/2006/relationships/hyperlink" Target="imagenes/HALIFAX_WOMENS_119005383_BLK_2.jpg" TargetMode="External" Id="rId892"/><Relationship Type="http://schemas.openxmlformats.org/officeDocument/2006/relationships/hyperlink" Target="imagenes/HALIFAX_WOMENS_119005383_BLK_3.jpg" TargetMode="External" Id="rId893"/><Relationship Type="http://schemas.openxmlformats.org/officeDocument/2006/relationships/hyperlink" Target="imagenes/HALIFAX_WOMENS_119005383_BLK_1.jpg" TargetMode="External" Id="rId894"/><Relationship Type="http://schemas.openxmlformats.org/officeDocument/2006/relationships/hyperlink" Target="imagenes/HALIFAX_WOMENS_119005383_BLK_2.jpg" TargetMode="External" Id="rId895"/><Relationship Type="http://schemas.openxmlformats.org/officeDocument/2006/relationships/hyperlink" Target="imagenes/HALIFAX_WOMENS_119005383_BLK_3.jpg" TargetMode="External" Id="rId896"/><Relationship Type="http://schemas.openxmlformats.org/officeDocument/2006/relationships/hyperlink" Target="imagenes/HALIFAX_WOMENS_119005383_BLK_1.jpg" TargetMode="External" Id="rId897"/><Relationship Type="http://schemas.openxmlformats.org/officeDocument/2006/relationships/hyperlink" Target="imagenes/HALIFAX_WOMENS_119005383_BLK_2.jpg" TargetMode="External" Id="rId898"/><Relationship Type="http://schemas.openxmlformats.org/officeDocument/2006/relationships/hyperlink" Target="imagenes/HALIFAX_WOMENS_119005383_BLK_3.jpg" TargetMode="External" Id="rId899"/><Relationship Type="http://schemas.openxmlformats.org/officeDocument/2006/relationships/hyperlink" Target="imagenes/HALIFAX_WOMENS_119005383_BON_1.jpg" TargetMode="External" Id="rId900"/><Relationship Type="http://schemas.openxmlformats.org/officeDocument/2006/relationships/hyperlink" Target="imagenes/HALIFAX_WOMENS_119005383_BON_2.jpg" TargetMode="External" Id="rId901"/><Relationship Type="http://schemas.openxmlformats.org/officeDocument/2006/relationships/hyperlink" Target="imagenes/HALIFAX_WOMENS_119005383_BON_3.jpg" TargetMode="External" Id="rId902"/><Relationship Type="http://schemas.openxmlformats.org/officeDocument/2006/relationships/hyperlink" Target="imagenes/HALIFAX_WOMENS_119005383_BON_1.jpg" TargetMode="External" Id="rId903"/><Relationship Type="http://schemas.openxmlformats.org/officeDocument/2006/relationships/hyperlink" Target="imagenes/HALIFAX_WOMENS_119005383_BON_2.jpg" TargetMode="External" Id="rId904"/><Relationship Type="http://schemas.openxmlformats.org/officeDocument/2006/relationships/hyperlink" Target="imagenes/HALIFAX_WOMENS_119005383_BON_3.jpg" TargetMode="External" Id="rId905"/><Relationship Type="http://schemas.openxmlformats.org/officeDocument/2006/relationships/hyperlink" Target="imagenes/HALIFAX_WOMENS_119005383_BON_1.jpg" TargetMode="External" Id="rId906"/><Relationship Type="http://schemas.openxmlformats.org/officeDocument/2006/relationships/hyperlink" Target="imagenes/HALIFAX_WOMENS_119005383_BON_2.jpg" TargetMode="External" Id="rId907"/><Relationship Type="http://schemas.openxmlformats.org/officeDocument/2006/relationships/hyperlink" Target="imagenes/HALIFAX_WOMENS_119005383_BON_3.jpg" TargetMode="External" Id="rId908"/><Relationship Type="http://schemas.openxmlformats.org/officeDocument/2006/relationships/hyperlink" Target="imagenes/HALIFAX_WOMENS_119005383_BON_1.jpg" TargetMode="External" Id="rId909"/><Relationship Type="http://schemas.openxmlformats.org/officeDocument/2006/relationships/hyperlink" Target="imagenes/HALIFAX_WOMENS_119005383_BON_2.jpg" TargetMode="External" Id="rId910"/><Relationship Type="http://schemas.openxmlformats.org/officeDocument/2006/relationships/hyperlink" Target="imagenes/HALIFAX_WOMENS_119005383_BON_3.jpg" TargetMode="External" Id="rId911"/><Relationship Type="http://schemas.openxmlformats.org/officeDocument/2006/relationships/hyperlink" Target="imagenes/HALIFAX_WOMENS_119005383_BON_1.jpg" TargetMode="External" Id="rId912"/><Relationship Type="http://schemas.openxmlformats.org/officeDocument/2006/relationships/hyperlink" Target="imagenes/HALIFAX_WOMENS_119005383_BON_2.jpg" TargetMode="External" Id="rId913"/><Relationship Type="http://schemas.openxmlformats.org/officeDocument/2006/relationships/hyperlink" Target="imagenes/HALIFAX_WOMENS_119005383_BON_3.jpg" TargetMode="External" Id="rId914"/><Relationship Type="http://schemas.openxmlformats.org/officeDocument/2006/relationships/hyperlink" Target="imagenes/HALIFAX_WOMENS_119005383_MSG_1.jpg" TargetMode="External" Id="rId915"/><Relationship Type="http://schemas.openxmlformats.org/officeDocument/2006/relationships/hyperlink" Target="imagenes/HALIFAX_WOMENS_119005383_MSG_2.jpg" TargetMode="External" Id="rId916"/><Relationship Type="http://schemas.openxmlformats.org/officeDocument/2006/relationships/hyperlink" Target="imagenes/HALIFAX_WOMENS_119005383_MSG_3.jpg" TargetMode="External" Id="rId917"/><Relationship Type="http://schemas.openxmlformats.org/officeDocument/2006/relationships/hyperlink" Target="imagenes/HALIFAX_WOMENS_119005383_MSG_1.jpg" TargetMode="External" Id="rId918"/><Relationship Type="http://schemas.openxmlformats.org/officeDocument/2006/relationships/hyperlink" Target="imagenes/HALIFAX_WOMENS_119005383_MSG_2.jpg" TargetMode="External" Id="rId919"/><Relationship Type="http://schemas.openxmlformats.org/officeDocument/2006/relationships/hyperlink" Target="imagenes/HALIFAX_WOMENS_119005383_MSG_3.jpg" TargetMode="External" Id="rId920"/><Relationship Type="http://schemas.openxmlformats.org/officeDocument/2006/relationships/hyperlink" Target="imagenes/HALIFAX_WOMENS_119005383_MSG_1.jpg" TargetMode="External" Id="rId921"/><Relationship Type="http://schemas.openxmlformats.org/officeDocument/2006/relationships/hyperlink" Target="imagenes/HALIFAX_WOMENS_119005383_MSG_2.jpg" TargetMode="External" Id="rId922"/><Relationship Type="http://schemas.openxmlformats.org/officeDocument/2006/relationships/hyperlink" Target="imagenes/HALIFAX_WOMENS_119005383_MSG_3.jpg" TargetMode="External" Id="rId923"/><Relationship Type="http://schemas.openxmlformats.org/officeDocument/2006/relationships/hyperlink" Target="imagenes/HALIFAX_WOMENS_119005383_MSG_1.jpg" TargetMode="External" Id="rId924"/><Relationship Type="http://schemas.openxmlformats.org/officeDocument/2006/relationships/hyperlink" Target="imagenes/HALIFAX_WOMENS_119005383_MSG_2.jpg" TargetMode="External" Id="rId925"/><Relationship Type="http://schemas.openxmlformats.org/officeDocument/2006/relationships/hyperlink" Target="imagenes/HALIFAX_WOMENS_119005383_MSG_3.jpg" TargetMode="External" Id="rId926"/><Relationship Type="http://schemas.openxmlformats.org/officeDocument/2006/relationships/hyperlink" Target="imagenes/HALIFAX_WOMENS_119005383_MSG_1.jpg" TargetMode="External" Id="rId927"/><Relationship Type="http://schemas.openxmlformats.org/officeDocument/2006/relationships/hyperlink" Target="imagenes/HALIFAX_WOMENS_119005383_MSG_2.jpg" TargetMode="External" Id="rId928"/><Relationship Type="http://schemas.openxmlformats.org/officeDocument/2006/relationships/hyperlink" Target="imagenes/HALIFAX_WOMENS_119005383_MSG_3.jpg" TargetMode="External" Id="rId929"/><Relationship Type="http://schemas.openxmlformats.org/officeDocument/2006/relationships/hyperlink" Target="imagenes/HALIFAX_WOMENS_119005383_MSG_1.jpg" TargetMode="External" Id="rId930"/><Relationship Type="http://schemas.openxmlformats.org/officeDocument/2006/relationships/hyperlink" Target="imagenes/HALIFAX_WOMENS_119005383_MSG_2.jpg" TargetMode="External" Id="rId931"/><Relationship Type="http://schemas.openxmlformats.org/officeDocument/2006/relationships/hyperlink" Target="imagenes/HALIFAX_WOMENS_119005383_MSG_3.jpg" TargetMode="External" Id="rId932"/><Relationship Type="http://schemas.openxmlformats.org/officeDocument/2006/relationships/hyperlink" Target="imagenes/HALIFAX_WOMENS_119005384_BEG_1.jpg" TargetMode="External" Id="rId933"/><Relationship Type="http://schemas.openxmlformats.org/officeDocument/2006/relationships/hyperlink" Target="imagenes/HALIFAX_WOMENS_119005384_BEG_2.jpg" TargetMode="External" Id="rId934"/><Relationship Type="http://schemas.openxmlformats.org/officeDocument/2006/relationships/hyperlink" Target="imagenes/HALIFAX_WOMENS_119005384_BEG_3.jpg" TargetMode="External" Id="rId935"/><Relationship Type="http://schemas.openxmlformats.org/officeDocument/2006/relationships/hyperlink" Target="imagenes/HALIFAX_WOMENS_119005384_BEG_1.jpg" TargetMode="External" Id="rId936"/><Relationship Type="http://schemas.openxmlformats.org/officeDocument/2006/relationships/hyperlink" Target="imagenes/HALIFAX_WOMENS_119005384_BEG_2.jpg" TargetMode="External" Id="rId937"/><Relationship Type="http://schemas.openxmlformats.org/officeDocument/2006/relationships/hyperlink" Target="imagenes/HALIFAX_WOMENS_119005384_BEG_3.jpg" TargetMode="External" Id="rId938"/><Relationship Type="http://schemas.openxmlformats.org/officeDocument/2006/relationships/hyperlink" Target="imagenes/HALIFAX_WOMENS_119005384_BEG_1.jpg" TargetMode="External" Id="rId939"/><Relationship Type="http://schemas.openxmlformats.org/officeDocument/2006/relationships/hyperlink" Target="imagenes/HALIFAX_WOMENS_119005384_BEG_2.jpg" TargetMode="External" Id="rId940"/><Relationship Type="http://schemas.openxmlformats.org/officeDocument/2006/relationships/hyperlink" Target="imagenes/HALIFAX_WOMENS_119005384_BEG_3.jpg" TargetMode="External" Id="rId941"/><Relationship Type="http://schemas.openxmlformats.org/officeDocument/2006/relationships/hyperlink" Target="imagenes/HALIFAX_WOMENS_119005384_BEG_1.jpg" TargetMode="External" Id="rId942"/><Relationship Type="http://schemas.openxmlformats.org/officeDocument/2006/relationships/hyperlink" Target="imagenes/HALIFAX_WOMENS_119005384_BEG_2.jpg" TargetMode="External" Id="rId943"/><Relationship Type="http://schemas.openxmlformats.org/officeDocument/2006/relationships/hyperlink" Target="imagenes/HALIFAX_WOMENS_119005384_BEG_3.jpg" TargetMode="External" Id="rId944"/><Relationship Type="http://schemas.openxmlformats.org/officeDocument/2006/relationships/hyperlink" Target="imagenes/HALIFAX_WOMENS_119005384_BLK_1.jpg" TargetMode="External" Id="rId945"/><Relationship Type="http://schemas.openxmlformats.org/officeDocument/2006/relationships/hyperlink" Target="imagenes/HALIFAX_WOMENS_119005384_BLK_2.jpg" TargetMode="External" Id="rId946"/><Relationship Type="http://schemas.openxmlformats.org/officeDocument/2006/relationships/hyperlink" Target="imagenes/HALIFAX_WOMENS_119005384_BLK_3.jpg" TargetMode="External" Id="rId947"/><Relationship Type="http://schemas.openxmlformats.org/officeDocument/2006/relationships/hyperlink" Target="imagenes/HALIFAX_WOMENS_119005384_BLK_1.jpg" TargetMode="External" Id="rId948"/><Relationship Type="http://schemas.openxmlformats.org/officeDocument/2006/relationships/hyperlink" Target="imagenes/HALIFAX_WOMENS_119005384_BLK_2.jpg" TargetMode="External" Id="rId949"/><Relationship Type="http://schemas.openxmlformats.org/officeDocument/2006/relationships/hyperlink" Target="imagenes/HALIFAX_WOMENS_119005384_BLK_3.jpg" TargetMode="External" Id="rId950"/><Relationship Type="http://schemas.openxmlformats.org/officeDocument/2006/relationships/hyperlink" Target="imagenes/HALIFAX_WOMENS_119005384_BLK_1.jpg" TargetMode="External" Id="rId951"/><Relationship Type="http://schemas.openxmlformats.org/officeDocument/2006/relationships/hyperlink" Target="imagenes/HALIFAX_WOMENS_119005384_BLK_2.jpg" TargetMode="External" Id="rId952"/><Relationship Type="http://schemas.openxmlformats.org/officeDocument/2006/relationships/hyperlink" Target="imagenes/HALIFAX_WOMENS_119005384_BLK_3.jpg" TargetMode="External" Id="rId953"/><Relationship Type="http://schemas.openxmlformats.org/officeDocument/2006/relationships/hyperlink" Target="imagenes/HALIFAX_WOMENS_119005384_BLK_1.jpg" TargetMode="External" Id="rId954"/><Relationship Type="http://schemas.openxmlformats.org/officeDocument/2006/relationships/hyperlink" Target="imagenes/HALIFAX_WOMENS_119005384_BLK_2.jpg" TargetMode="External" Id="rId955"/><Relationship Type="http://schemas.openxmlformats.org/officeDocument/2006/relationships/hyperlink" Target="imagenes/HALIFAX_WOMENS_119005384_BLK_3.jpg" TargetMode="External" Id="rId956"/><Relationship Type="http://schemas.openxmlformats.org/officeDocument/2006/relationships/hyperlink" Target="imagenes/HALIFAX_WOMENS_119005384_BLK_1.jpg" TargetMode="External" Id="rId957"/><Relationship Type="http://schemas.openxmlformats.org/officeDocument/2006/relationships/hyperlink" Target="imagenes/HALIFAX_WOMENS_119005384_BLK_2.jpg" TargetMode="External" Id="rId958"/><Relationship Type="http://schemas.openxmlformats.org/officeDocument/2006/relationships/hyperlink" Target="imagenes/HALIFAX_WOMENS_119005384_BLK_3.jpg" TargetMode="External" Id="rId959"/><Relationship Type="http://schemas.openxmlformats.org/officeDocument/2006/relationships/hyperlink" Target="imagenes/HALIFAX_WOMENS_119005384_BLK_1.jpg" TargetMode="External" Id="rId960"/><Relationship Type="http://schemas.openxmlformats.org/officeDocument/2006/relationships/hyperlink" Target="imagenes/HALIFAX_WOMENS_119005384_BLK_2.jpg" TargetMode="External" Id="rId961"/><Relationship Type="http://schemas.openxmlformats.org/officeDocument/2006/relationships/hyperlink" Target="imagenes/HALIFAX_WOMENS_119005384_BLK_3.jpg" TargetMode="External" Id="rId962"/><Relationship Type="http://schemas.openxmlformats.org/officeDocument/2006/relationships/hyperlink" Target="imagenes/HALIFAX_WOMENS_119005384_MSG_1.jpg" TargetMode="External" Id="rId963"/><Relationship Type="http://schemas.openxmlformats.org/officeDocument/2006/relationships/hyperlink" Target="imagenes/HALIFAX_WOMENS_119005384_MSG_2.jpg" TargetMode="External" Id="rId964"/><Relationship Type="http://schemas.openxmlformats.org/officeDocument/2006/relationships/hyperlink" Target="imagenes/HALIFAX_WOMENS_119005384_MSG_3.jpg" TargetMode="External" Id="rId965"/><Relationship Type="http://schemas.openxmlformats.org/officeDocument/2006/relationships/hyperlink" Target="imagenes/HALIFAX_WOMENS_119005384_MSG_1.jpg" TargetMode="External" Id="rId966"/><Relationship Type="http://schemas.openxmlformats.org/officeDocument/2006/relationships/hyperlink" Target="imagenes/HALIFAX_WOMENS_119005384_MSG_2.jpg" TargetMode="External" Id="rId967"/><Relationship Type="http://schemas.openxmlformats.org/officeDocument/2006/relationships/hyperlink" Target="imagenes/HALIFAX_WOMENS_119005384_MSG_3.jpg" TargetMode="External" Id="rId968"/><Relationship Type="http://schemas.openxmlformats.org/officeDocument/2006/relationships/hyperlink" Target="imagenes/HALIFAX_WOMENS_119005384_MSG_1.jpg" TargetMode="External" Id="rId969"/><Relationship Type="http://schemas.openxmlformats.org/officeDocument/2006/relationships/hyperlink" Target="imagenes/HALIFAX_WOMENS_119005384_MSG_2.jpg" TargetMode="External" Id="rId970"/><Relationship Type="http://schemas.openxmlformats.org/officeDocument/2006/relationships/hyperlink" Target="imagenes/HALIFAX_WOMENS_119005384_MSG_3.jpg" TargetMode="External" Id="rId971"/><Relationship Type="http://schemas.openxmlformats.org/officeDocument/2006/relationships/hyperlink" Target="imagenes/HALIFAX_WOMENS_119005384_MSG_1.jpg" TargetMode="External" Id="rId972"/><Relationship Type="http://schemas.openxmlformats.org/officeDocument/2006/relationships/hyperlink" Target="imagenes/HALIFAX_WOMENS_119005384_MSG_2.jpg" TargetMode="External" Id="rId973"/><Relationship Type="http://schemas.openxmlformats.org/officeDocument/2006/relationships/hyperlink" Target="imagenes/HALIFAX_WOMENS_119005384_MSG_3.jpg" TargetMode="External" Id="rId974"/><Relationship Type="http://schemas.openxmlformats.org/officeDocument/2006/relationships/hyperlink" Target="imagenes/HALIFAX_WOMENS_119005384_MSG_1.jpg" TargetMode="External" Id="rId975"/><Relationship Type="http://schemas.openxmlformats.org/officeDocument/2006/relationships/hyperlink" Target="imagenes/HALIFAX_WOMENS_119005384_MSG_2.jpg" TargetMode="External" Id="rId976"/><Relationship Type="http://schemas.openxmlformats.org/officeDocument/2006/relationships/hyperlink" Target="imagenes/HALIFAX_WOMENS_119005384_MSG_3.jpg" TargetMode="External" Id="rId977"/><Relationship Type="http://schemas.openxmlformats.org/officeDocument/2006/relationships/hyperlink" Target="imagenes/HALIFAX_WOMENS_119005384_MSG_1.jpg" TargetMode="External" Id="rId978"/><Relationship Type="http://schemas.openxmlformats.org/officeDocument/2006/relationships/hyperlink" Target="imagenes/HALIFAX_WOMENS_119005384_MSG_2.jpg" TargetMode="External" Id="rId979"/><Relationship Type="http://schemas.openxmlformats.org/officeDocument/2006/relationships/hyperlink" Target="imagenes/HALIFAX_WOMENS_119005384_MSG_3.jpg" TargetMode="External" Id="rId980"/><Relationship Type="http://schemas.openxmlformats.org/officeDocument/2006/relationships/hyperlink" Target="imagenes/HALIFAX_WOMENS_119005385_BLK_2.jpg" TargetMode="External" Id="rId981"/><Relationship Type="http://schemas.openxmlformats.org/officeDocument/2006/relationships/hyperlink" Target="imagenes/HALIFAX_WOMENS_119005385_BLK_3.jpg" TargetMode="External" Id="rId982"/><Relationship Type="http://schemas.openxmlformats.org/officeDocument/2006/relationships/hyperlink" Target="imagenes/HALIFAX_WOMENS_119005385_BLK_2.jpg" TargetMode="External" Id="rId983"/><Relationship Type="http://schemas.openxmlformats.org/officeDocument/2006/relationships/hyperlink" Target="imagenes/HALIFAX_WOMENS_119005385_BLK_3.jpg" TargetMode="External" Id="rId984"/><Relationship Type="http://schemas.openxmlformats.org/officeDocument/2006/relationships/hyperlink" Target="imagenes/HALIFAX_WOMENS_119005385_MSG_2.jpg" TargetMode="External" Id="rId985"/><Relationship Type="http://schemas.openxmlformats.org/officeDocument/2006/relationships/hyperlink" Target="imagenes/HALIFAX_WOMENS_119005385_MSG_3.jpg" TargetMode="External" Id="rId986"/><Relationship Type="http://schemas.openxmlformats.org/officeDocument/2006/relationships/hyperlink" Target="imagenes/HALIFAX_WOMENS_119005385_MSG_2.jpg" TargetMode="External" Id="rId987"/><Relationship Type="http://schemas.openxmlformats.org/officeDocument/2006/relationships/hyperlink" Target="imagenes/HALIFAX_WOMENS_119005385_MSG_3.jpg" TargetMode="External" Id="rId988"/><Relationship Type="http://schemas.openxmlformats.org/officeDocument/2006/relationships/hyperlink" Target="imagenes/HALIFAX_WOMENS_119005385_MSG_2.jpg" TargetMode="External" Id="rId989"/><Relationship Type="http://schemas.openxmlformats.org/officeDocument/2006/relationships/hyperlink" Target="imagenes/HALIFAX_WOMENS_119005385_MSG_3.jpg" TargetMode="External" Id="rId990"/><Relationship Type="http://schemas.openxmlformats.org/officeDocument/2006/relationships/hyperlink" Target="imagenes/HALIFAX_WOMENS_119005385_MSG_2.jpg" TargetMode="External" Id="rId991"/><Relationship Type="http://schemas.openxmlformats.org/officeDocument/2006/relationships/hyperlink" Target="imagenes/HALIFAX_WOMENS_119005385_MSG_3.jpg" TargetMode="External" Id="rId992"/><Relationship Type="http://schemas.openxmlformats.org/officeDocument/2006/relationships/hyperlink" Target="imagenes/HALIFAX_WOMENS_119005385_MSG_2.jpg" TargetMode="External" Id="rId993"/><Relationship Type="http://schemas.openxmlformats.org/officeDocument/2006/relationships/hyperlink" Target="imagenes/HALIFAX_WOMENS_119005385_MSG_3.jpg" TargetMode="External" Id="rId994"/><Relationship Type="http://schemas.openxmlformats.org/officeDocument/2006/relationships/hyperlink" Target="imagenes/HALIFAX_WOMENS_119005385_OLI_2.jpg" TargetMode="External" Id="rId995"/><Relationship Type="http://schemas.openxmlformats.org/officeDocument/2006/relationships/hyperlink" Target="imagenes/HALIFAX_WOMENS_119005385_OLI_3.jpg" TargetMode="External" Id="rId996"/><Relationship Type="http://schemas.openxmlformats.org/officeDocument/2006/relationships/hyperlink" Target="imagenes/HALIFAX_WOMENS_119005385_RBY_2.jpg" TargetMode="External" Id="rId997"/><Relationship Type="http://schemas.openxmlformats.org/officeDocument/2006/relationships/hyperlink" Target="imagenes/HALIFAX_WOMENS_119005385_RBY_3.jpg" TargetMode="External" Id="rId998"/><Relationship Type="http://schemas.openxmlformats.org/officeDocument/2006/relationships/hyperlink" Target="imagenes/HALIFAX_WOMENS_119005385_TAU_2.jpg" TargetMode="External" Id="rId999"/><Relationship Type="http://schemas.openxmlformats.org/officeDocument/2006/relationships/hyperlink" Target="imagenes/HALIFAX_WOMENS_119005385_TAU_3.jpg" TargetMode="External" Id="rId1000"/><Relationship Type="http://schemas.openxmlformats.org/officeDocument/2006/relationships/hyperlink" Target="imagenes/HALIFAX_WOMENS_119005385_TAU_2.jpg" TargetMode="External" Id="rId1001"/><Relationship Type="http://schemas.openxmlformats.org/officeDocument/2006/relationships/hyperlink" Target="imagenes/HALIFAX_WOMENS_119005385_TAU_3.jpg" TargetMode="External" Id="rId1002"/><Relationship Type="http://schemas.openxmlformats.org/officeDocument/2006/relationships/hyperlink" Target="imagenes/HALIFAX_WOMENS_119005385_TAU_2.jpg" TargetMode="External" Id="rId1003"/><Relationship Type="http://schemas.openxmlformats.org/officeDocument/2006/relationships/hyperlink" Target="imagenes/HALIFAX_WOMENS_119005385_TAU_3.jpg" TargetMode="External" Id="rId1004"/><Relationship Type="http://schemas.openxmlformats.org/officeDocument/2006/relationships/hyperlink" Target="imagenes/HALIFAX_WOMENS_119005385_TAU_2.jpg" TargetMode="External" Id="rId1005"/><Relationship Type="http://schemas.openxmlformats.org/officeDocument/2006/relationships/hyperlink" Target="imagenes/HALIFAX_WOMENS_119005385_TAU_3.jpg" TargetMode="External" Id="rId1006"/><Relationship Type="http://schemas.openxmlformats.org/officeDocument/2006/relationships/hyperlink" Target="imagenes/HALIFAX_WOMENS_119005385_TAU_2.jpg" TargetMode="External" Id="rId1007"/><Relationship Type="http://schemas.openxmlformats.org/officeDocument/2006/relationships/hyperlink" Target="imagenes/HALIFAX_WOMENS_119005385_TAU_3.jpg" TargetMode="External" Id="rId1008"/><Relationship Type="http://schemas.openxmlformats.org/officeDocument/2006/relationships/hyperlink" Target="imagenes/HALIFAX_WOMENS_119005385_TAU_2.jpg" TargetMode="External" Id="rId1009"/><Relationship Type="http://schemas.openxmlformats.org/officeDocument/2006/relationships/hyperlink" Target="imagenes/HALIFAX_WOMENS_119005385_TAU_3.jpg" TargetMode="External" Id="rId1010"/><Relationship Type="http://schemas.openxmlformats.org/officeDocument/2006/relationships/hyperlink" Target="imagenes/HALIFAX_WOMENS_119005387_BLK_1.jpg" TargetMode="External" Id="rId1011"/><Relationship Type="http://schemas.openxmlformats.org/officeDocument/2006/relationships/hyperlink" Target="imagenes/HALIFAX_WOMENS_119005387_BLK_2.jpg" TargetMode="External" Id="rId1012"/><Relationship Type="http://schemas.openxmlformats.org/officeDocument/2006/relationships/hyperlink" Target="imagenes/HALIFAX_WOMENS_119005387_BLK_3.jpg" TargetMode="External" Id="rId1013"/><Relationship Type="http://schemas.openxmlformats.org/officeDocument/2006/relationships/hyperlink" Target="imagenes/HALIFAX_WOMENS_119005387_BLK_1.jpg" TargetMode="External" Id="rId1014"/><Relationship Type="http://schemas.openxmlformats.org/officeDocument/2006/relationships/hyperlink" Target="imagenes/HALIFAX_WOMENS_119005387_BLK_2.jpg" TargetMode="External" Id="rId1015"/><Relationship Type="http://schemas.openxmlformats.org/officeDocument/2006/relationships/hyperlink" Target="imagenes/HALIFAX_WOMENS_119005387_BLK_3.jpg" TargetMode="External" Id="rId1016"/><Relationship Type="http://schemas.openxmlformats.org/officeDocument/2006/relationships/hyperlink" Target="imagenes/HALIFAX_WOMENS_119005387_BLK_1.jpg" TargetMode="External" Id="rId1017"/><Relationship Type="http://schemas.openxmlformats.org/officeDocument/2006/relationships/hyperlink" Target="imagenes/HALIFAX_WOMENS_119005387_BLK_2.jpg" TargetMode="External" Id="rId1018"/><Relationship Type="http://schemas.openxmlformats.org/officeDocument/2006/relationships/hyperlink" Target="imagenes/HALIFAX_WOMENS_119005387_BLK_3.jpg" TargetMode="External" Id="rId1019"/><Relationship Type="http://schemas.openxmlformats.org/officeDocument/2006/relationships/hyperlink" Target="imagenes/HALIFAX_WOMENS_119005387_BLK_1.jpg" TargetMode="External" Id="rId1020"/><Relationship Type="http://schemas.openxmlformats.org/officeDocument/2006/relationships/hyperlink" Target="imagenes/HALIFAX_WOMENS_119005387_BLK_2.jpg" TargetMode="External" Id="rId1021"/><Relationship Type="http://schemas.openxmlformats.org/officeDocument/2006/relationships/hyperlink" Target="imagenes/HALIFAX_WOMENS_119005387_BLK_3.jpg" TargetMode="External" Id="rId1022"/><Relationship Type="http://schemas.openxmlformats.org/officeDocument/2006/relationships/hyperlink" Target="imagenes/HALIFAX_WOMENS_119005387_BLK_1.jpg" TargetMode="External" Id="rId1023"/><Relationship Type="http://schemas.openxmlformats.org/officeDocument/2006/relationships/hyperlink" Target="imagenes/HALIFAX_WOMENS_119005387_BLK_2.jpg" TargetMode="External" Id="rId1024"/><Relationship Type="http://schemas.openxmlformats.org/officeDocument/2006/relationships/hyperlink" Target="imagenes/HALIFAX_WOMENS_119005387_BLK_3.jpg" TargetMode="External" Id="rId1025"/><Relationship Type="http://schemas.openxmlformats.org/officeDocument/2006/relationships/hyperlink" Target="imagenes/HALIFAX_WOMENS_119005387_MGN_1.jpg" TargetMode="External" Id="rId1026"/><Relationship Type="http://schemas.openxmlformats.org/officeDocument/2006/relationships/hyperlink" Target="imagenes/HALIFAX_WOMENS_119005387_MGN_2.jpg" TargetMode="External" Id="rId1027"/><Relationship Type="http://schemas.openxmlformats.org/officeDocument/2006/relationships/hyperlink" Target="imagenes/HALIFAX_WOMENS_119005387_MGN_3.jpg" TargetMode="External" Id="rId1028"/><Relationship Type="http://schemas.openxmlformats.org/officeDocument/2006/relationships/hyperlink" Target="imagenes/HALIFAX_WOMENS_119005387_MGN_1.jpg" TargetMode="External" Id="rId1029"/><Relationship Type="http://schemas.openxmlformats.org/officeDocument/2006/relationships/hyperlink" Target="imagenes/HALIFAX_WOMENS_119005387_MGN_2.jpg" TargetMode="External" Id="rId1030"/><Relationship Type="http://schemas.openxmlformats.org/officeDocument/2006/relationships/hyperlink" Target="imagenes/HALIFAX_WOMENS_119005387_MGN_3.jpg" TargetMode="External" Id="rId1031"/><Relationship Type="http://schemas.openxmlformats.org/officeDocument/2006/relationships/hyperlink" Target="imagenes/HALIFAX_WOMENS_119005387_MGN_1.jpg" TargetMode="External" Id="rId1032"/><Relationship Type="http://schemas.openxmlformats.org/officeDocument/2006/relationships/hyperlink" Target="imagenes/HALIFAX_WOMENS_119005387_MGN_2.jpg" TargetMode="External" Id="rId1033"/><Relationship Type="http://schemas.openxmlformats.org/officeDocument/2006/relationships/hyperlink" Target="imagenes/HALIFAX_WOMENS_119005387_MGN_3.jpg" TargetMode="External" Id="rId1034"/><Relationship Type="http://schemas.openxmlformats.org/officeDocument/2006/relationships/hyperlink" Target="imagenes/HALIFAX_WOMENS_119005387_MGN_1.jpg" TargetMode="External" Id="rId1035"/><Relationship Type="http://schemas.openxmlformats.org/officeDocument/2006/relationships/hyperlink" Target="imagenes/HALIFAX_WOMENS_119005387_MGN_2.jpg" TargetMode="External" Id="rId1036"/><Relationship Type="http://schemas.openxmlformats.org/officeDocument/2006/relationships/hyperlink" Target="imagenes/HALIFAX_WOMENS_119005387_MGN_3.jpg" TargetMode="External" Id="rId1037"/><Relationship Type="http://schemas.openxmlformats.org/officeDocument/2006/relationships/hyperlink" Target="imagenes/HALIFAX_WOMENS_119005387_MGN_1.jpg" TargetMode="External" Id="rId1038"/><Relationship Type="http://schemas.openxmlformats.org/officeDocument/2006/relationships/hyperlink" Target="imagenes/HALIFAX_WOMENS_119005387_MGN_2.jpg" TargetMode="External" Id="rId1039"/><Relationship Type="http://schemas.openxmlformats.org/officeDocument/2006/relationships/hyperlink" Target="imagenes/HALIFAX_WOMENS_119005387_MGN_3.jpg" TargetMode="External" Id="rId1040"/><Relationship Type="http://schemas.openxmlformats.org/officeDocument/2006/relationships/hyperlink" Target="imagenes/HALIFAX_WOMENS_119005387_MGN_1.jpg" TargetMode="External" Id="rId1041"/><Relationship Type="http://schemas.openxmlformats.org/officeDocument/2006/relationships/hyperlink" Target="imagenes/HALIFAX_WOMENS_119005387_MGN_2.jpg" TargetMode="External" Id="rId1042"/><Relationship Type="http://schemas.openxmlformats.org/officeDocument/2006/relationships/hyperlink" Target="imagenes/HALIFAX_WOMENS_119005387_MGN_3.jpg" TargetMode="External" Id="rId1043"/><Relationship Type="http://schemas.openxmlformats.org/officeDocument/2006/relationships/hyperlink" Target="imagenes/HALIFAX_WOMENS_119005387_MGN_1.jpg" TargetMode="External" Id="rId1044"/><Relationship Type="http://schemas.openxmlformats.org/officeDocument/2006/relationships/hyperlink" Target="imagenes/HALIFAX_WOMENS_119005387_MGN_2.jpg" TargetMode="External" Id="rId1045"/><Relationship Type="http://schemas.openxmlformats.org/officeDocument/2006/relationships/hyperlink" Target="imagenes/HALIFAX_WOMENS_119005387_MGN_3.jpg" TargetMode="External" Id="rId1046"/><Relationship Type="http://schemas.openxmlformats.org/officeDocument/2006/relationships/hyperlink" Target="imagenes/HALIFAX_WOMENS_119005387_MGN_1.jpg" TargetMode="External" Id="rId1047"/><Relationship Type="http://schemas.openxmlformats.org/officeDocument/2006/relationships/hyperlink" Target="imagenes/HALIFAX_WOMENS_119005387_MGN_2.jpg" TargetMode="External" Id="rId1048"/><Relationship Type="http://schemas.openxmlformats.org/officeDocument/2006/relationships/hyperlink" Target="imagenes/HALIFAX_WOMENS_119005387_MGN_3.jpg" TargetMode="External" Id="rId1049"/><Relationship Type="http://schemas.openxmlformats.org/officeDocument/2006/relationships/hyperlink" Target="imagenes/HALIFAX_WOMENS_119005387_MGN_1.jpg" TargetMode="External" Id="rId1050"/><Relationship Type="http://schemas.openxmlformats.org/officeDocument/2006/relationships/hyperlink" Target="imagenes/HALIFAX_WOMENS_119005387_MGN_2.jpg" TargetMode="External" Id="rId1051"/><Relationship Type="http://schemas.openxmlformats.org/officeDocument/2006/relationships/hyperlink" Target="imagenes/HALIFAX_WOMENS_119005387_MGN_3.jpg" TargetMode="External" Id="rId1052"/><Relationship Type="http://schemas.openxmlformats.org/officeDocument/2006/relationships/hyperlink" Target="imagenes/HALIFAX_WOMENS_119005387_MGN_1.jpg" TargetMode="External" Id="rId1053"/><Relationship Type="http://schemas.openxmlformats.org/officeDocument/2006/relationships/hyperlink" Target="imagenes/HALIFAX_WOMENS_119005387_MGN_2.jpg" TargetMode="External" Id="rId1054"/><Relationship Type="http://schemas.openxmlformats.org/officeDocument/2006/relationships/hyperlink" Target="imagenes/HALIFAX_WOMENS_119005387_MGN_3.jpg" TargetMode="External" Id="rId1055"/><Relationship Type="http://schemas.openxmlformats.org/officeDocument/2006/relationships/hyperlink" Target="imagenes/HALIFAX_WOMENS_119005387_ROS_1.jpg" TargetMode="External" Id="rId1056"/><Relationship Type="http://schemas.openxmlformats.org/officeDocument/2006/relationships/hyperlink" Target="imagenes/HALIFAX_WOMENS_119005387_ROS_2.jpg" TargetMode="External" Id="rId1057"/><Relationship Type="http://schemas.openxmlformats.org/officeDocument/2006/relationships/hyperlink" Target="imagenes/HALIFAX_WOMENS_119005387_ROS_3.jpg" TargetMode="External" Id="rId1058"/><Relationship Type="http://schemas.openxmlformats.org/officeDocument/2006/relationships/hyperlink" Target="imagenes/HALIFAX_WOMENS_119005387_ROS_1.jpg" TargetMode="External" Id="rId1059"/><Relationship Type="http://schemas.openxmlformats.org/officeDocument/2006/relationships/hyperlink" Target="imagenes/HALIFAX_WOMENS_119005387_ROS_2.jpg" TargetMode="External" Id="rId1060"/><Relationship Type="http://schemas.openxmlformats.org/officeDocument/2006/relationships/hyperlink" Target="imagenes/HALIFAX_WOMENS_119005387_ROS_3.jpg" TargetMode="External" Id="rId1061"/><Relationship Type="http://schemas.openxmlformats.org/officeDocument/2006/relationships/hyperlink" Target="imagenes/HALIFAX_WOMENS_119005387_ROS_1.jpg" TargetMode="External" Id="rId1062"/><Relationship Type="http://schemas.openxmlformats.org/officeDocument/2006/relationships/hyperlink" Target="imagenes/HALIFAX_WOMENS_119005387_ROS_2.jpg" TargetMode="External" Id="rId1063"/><Relationship Type="http://schemas.openxmlformats.org/officeDocument/2006/relationships/hyperlink" Target="imagenes/HALIFAX_WOMENS_119005387_ROS_3.jpg" TargetMode="External" Id="rId1064"/><Relationship Type="http://schemas.openxmlformats.org/officeDocument/2006/relationships/hyperlink" Target="imagenes/HALIFAX_WOMENS_119005387_ROS_1.jpg" TargetMode="External" Id="rId1065"/><Relationship Type="http://schemas.openxmlformats.org/officeDocument/2006/relationships/hyperlink" Target="imagenes/HALIFAX_WOMENS_119005387_ROS_2.jpg" TargetMode="External" Id="rId1066"/><Relationship Type="http://schemas.openxmlformats.org/officeDocument/2006/relationships/hyperlink" Target="imagenes/HALIFAX_WOMENS_119005387_ROS_3.jpg" TargetMode="External" Id="rId1067"/><Relationship Type="http://schemas.openxmlformats.org/officeDocument/2006/relationships/hyperlink" Target="imagenes/HALIFAX_WOMENS_119005387_ROS_1.jpg" TargetMode="External" Id="rId1068"/><Relationship Type="http://schemas.openxmlformats.org/officeDocument/2006/relationships/hyperlink" Target="imagenes/HALIFAX_WOMENS_119005387_ROS_2.jpg" TargetMode="External" Id="rId1069"/><Relationship Type="http://schemas.openxmlformats.org/officeDocument/2006/relationships/hyperlink" Target="imagenes/HALIFAX_WOMENS_119005387_ROS_3.jpg" TargetMode="External" Id="rId1070"/><Relationship Type="http://schemas.openxmlformats.org/officeDocument/2006/relationships/hyperlink" Target="imagenes/HALIFAX_WOMENS_119005387_ROS_1.jpg" TargetMode="External" Id="rId1071"/><Relationship Type="http://schemas.openxmlformats.org/officeDocument/2006/relationships/hyperlink" Target="imagenes/HALIFAX_WOMENS_119005387_ROS_2.jpg" TargetMode="External" Id="rId1072"/><Relationship Type="http://schemas.openxmlformats.org/officeDocument/2006/relationships/hyperlink" Target="imagenes/HALIFAX_WOMENS_119005387_ROS_3.jpg" TargetMode="External" Id="rId1073"/><Relationship Type="http://schemas.openxmlformats.org/officeDocument/2006/relationships/hyperlink" Target="imagenes/HALIFAX_WOMENS_119005387_ROS_1.jpg" TargetMode="External" Id="rId1074"/><Relationship Type="http://schemas.openxmlformats.org/officeDocument/2006/relationships/hyperlink" Target="imagenes/HALIFAX_WOMENS_119005387_ROS_2.jpg" TargetMode="External" Id="rId1075"/><Relationship Type="http://schemas.openxmlformats.org/officeDocument/2006/relationships/hyperlink" Target="imagenes/HALIFAX_WOMENS_119005387_ROS_3.jpg" TargetMode="External" Id="rId1076"/><Relationship Type="http://schemas.openxmlformats.org/officeDocument/2006/relationships/hyperlink" Target="imagenes/HALIFAX_WOMENS_119005387_ROS_1.jpg" TargetMode="External" Id="rId1077"/><Relationship Type="http://schemas.openxmlformats.org/officeDocument/2006/relationships/hyperlink" Target="imagenes/HALIFAX_WOMENS_119005387_ROS_2.jpg" TargetMode="External" Id="rId1078"/><Relationship Type="http://schemas.openxmlformats.org/officeDocument/2006/relationships/hyperlink" Target="imagenes/HALIFAX_WOMENS_119005387_ROS_3.jpg" TargetMode="External" Id="rId1079"/><Relationship Type="http://schemas.openxmlformats.org/officeDocument/2006/relationships/hyperlink" Target="imagenes/HALIFAX_WOMENS_119005387_TAP_1.jpg" TargetMode="External" Id="rId1080"/><Relationship Type="http://schemas.openxmlformats.org/officeDocument/2006/relationships/hyperlink" Target="imagenes/HALIFAX_WOMENS_119005387_TAP_2.jpg" TargetMode="External" Id="rId1081"/><Relationship Type="http://schemas.openxmlformats.org/officeDocument/2006/relationships/hyperlink" Target="imagenes/HALIFAX_WOMENS_119005387_TAP_3.jpg" TargetMode="External" Id="rId1082"/><Relationship Type="http://schemas.openxmlformats.org/officeDocument/2006/relationships/hyperlink" Target="imagenes/HALIFAX_WOMENS_119005387_TAP_1.jpg" TargetMode="External" Id="rId1083"/><Relationship Type="http://schemas.openxmlformats.org/officeDocument/2006/relationships/hyperlink" Target="imagenes/HALIFAX_WOMENS_119005387_TAP_2.jpg" TargetMode="External" Id="rId1084"/><Relationship Type="http://schemas.openxmlformats.org/officeDocument/2006/relationships/hyperlink" Target="imagenes/HALIFAX_WOMENS_119005387_TAP_3.jpg" TargetMode="External" Id="rId1085"/><Relationship Type="http://schemas.openxmlformats.org/officeDocument/2006/relationships/hyperlink" Target="imagenes/HALIFAX_WOMENS_119005387_TAP_1.jpg" TargetMode="External" Id="rId1086"/><Relationship Type="http://schemas.openxmlformats.org/officeDocument/2006/relationships/hyperlink" Target="imagenes/HALIFAX_WOMENS_119005387_TAP_2.jpg" TargetMode="External" Id="rId1087"/><Relationship Type="http://schemas.openxmlformats.org/officeDocument/2006/relationships/hyperlink" Target="imagenes/HALIFAX_WOMENS_119005387_TAP_3.jpg" TargetMode="External" Id="rId1088"/><Relationship Type="http://schemas.openxmlformats.org/officeDocument/2006/relationships/hyperlink" Target="imagenes/HALIFAX_WOMENS_119005387_TAP_1.jpg" TargetMode="External" Id="rId1089"/><Relationship Type="http://schemas.openxmlformats.org/officeDocument/2006/relationships/hyperlink" Target="imagenes/HALIFAX_WOMENS_119005387_TAP_2.jpg" TargetMode="External" Id="rId1090"/><Relationship Type="http://schemas.openxmlformats.org/officeDocument/2006/relationships/hyperlink" Target="imagenes/HALIFAX_WOMENS_119005387_TAP_3.jpg" TargetMode="External" Id="rId1091"/><Relationship Type="http://schemas.openxmlformats.org/officeDocument/2006/relationships/hyperlink" Target="imagenes/HALIFAX_WOMENS_119005387_TAP_1.jpg" TargetMode="External" Id="rId1092"/><Relationship Type="http://schemas.openxmlformats.org/officeDocument/2006/relationships/hyperlink" Target="imagenes/HALIFAX_WOMENS_119005387_TAP_2.jpg" TargetMode="External" Id="rId1093"/><Relationship Type="http://schemas.openxmlformats.org/officeDocument/2006/relationships/hyperlink" Target="imagenes/HALIFAX_WOMENS_119005387_TAP_3.jpg" TargetMode="External" Id="rId1094"/><Relationship Type="http://schemas.openxmlformats.org/officeDocument/2006/relationships/hyperlink" Target="imagenes/HALIFAX_WOMENS_119005387_TAP_1.jpg" TargetMode="External" Id="rId1095"/><Relationship Type="http://schemas.openxmlformats.org/officeDocument/2006/relationships/hyperlink" Target="imagenes/HALIFAX_WOMENS_119005387_TAP_2.jpg" TargetMode="External" Id="rId1096"/><Relationship Type="http://schemas.openxmlformats.org/officeDocument/2006/relationships/hyperlink" Target="imagenes/HALIFAX_WOMENS_119005387_TAP_3.jpg" TargetMode="External" Id="rId1097"/><Relationship Type="http://schemas.openxmlformats.org/officeDocument/2006/relationships/hyperlink" Target="imagenes/HALIFAX_WOMENS_119005387_TAP_1.jpg" TargetMode="External" Id="rId1098"/><Relationship Type="http://schemas.openxmlformats.org/officeDocument/2006/relationships/hyperlink" Target="imagenes/HALIFAX_WOMENS_119005387_TAP_2.jpg" TargetMode="External" Id="rId1099"/><Relationship Type="http://schemas.openxmlformats.org/officeDocument/2006/relationships/hyperlink" Target="imagenes/HALIFAX_WOMENS_119005387_TAP_3.jpg" TargetMode="External" Id="rId1100"/><Relationship Type="http://schemas.openxmlformats.org/officeDocument/2006/relationships/hyperlink" Target="imagenes/HALIFAX_WOMENS_119005387_TAP_1.jpg" TargetMode="External" Id="rId1101"/><Relationship Type="http://schemas.openxmlformats.org/officeDocument/2006/relationships/hyperlink" Target="imagenes/HALIFAX_WOMENS_119005387_TAP_2.jpg" TargetMode="External" Id="rId1102"/><Relationship Type="http://schemas.openxmlformats.org/officeDocument/2006/relationships/hyperlink" Target="imagenes/HALIFAX_WOMENS_119005387_TAP_3.jpg" TargetMode="External" Id="rId1103"/><Relationship Type="http://schemas.openxmlformats.org/officeDocument/2006/relationships/hyperlink" Target="imagenes/HALIFAX_WOMENS_119005507_BLK_1.jpg" TargetMode="External" Id="rId1104"/><Relationship Type="http://schemas.openxmlformats.org/officeDocument/2006/relationships/hyperlink" Target="imagenes/HALIFAX_WOMENS_119005507_BLK_2.jpg" TargetMode="External" Id="rId1105"/><Relationship Type="http://schemas.openxmlformats.org/officeDocument/2006/relationships/hyperlink" Target="imagenes/HALIFAX_WOMENS_119005507_BLK_3.jpg" TargetMode="External" Id="rId1106"/><Relationship Type="http://schemas.openxmlformats.org/officeDocument/2006/relationships/hyperlink" Target="imagenes/HALIFAX_WOMENS_119005526_BLK_1.jpg" TargetMode="External" Id="rId1107"/><Relationship Type="http://schemas.openxmlformats.org/officeDocument/2006/relationships/hyperlink" Target="imagenes/HALIFAX_WOMENS_119005526_BLK_3.jpg" TargetMode="External" Id="rId1108"/><Relationship Type="http://schemas.openxmlformats.org/officeDocument/2006/relationships/hyperlink" Target="imagenes/HALIFAX_WOMENS_119005526_BLK_1.jpg" TargetMode="External" Id="rId1109"/><Relationship Type="http://schemas.openxmlformats.org/officeDocument/2006/relationships/hyperlink" Target="imagenes/HALIFAX_WOMENS_119005526_BLK_3.jpg" TargetMode="External" Id="rId1110"/><Relationship Type="http://schemas.openxmlformats.org/officeDocument/2006/relationships/hyperlink" Target="imagenes/HALIFAX_WOMENS_119005526_BLK_1.jpg" TargetMode="External" Id="rId1111"/><Relationship Type="http://schemas.openxmlformats.org/officeDocument/2006/relationships/hyperlink" Target="imagenes/HALIFAX_WOMENS_119005526_BLK_3.jpg" TargetMode="External" Id="rId1112"/><Relationship Type="http://schemas.openxmlformats.org/officeDocument/2006/relationships/hyperlink" Target="imagenes/HALIFAX_WOMENS_119005526_BLK_1.jpg" TargetMode="External" Id="rId1113"/><Relationship Type="http://schemas.openxmlformats.org/officeDocument/2006/relationships/hyperlink" Target="imagenes/HALIFAX_WOMENS_119005526_BLK_3.jpg" TargetMode="External" Id="rId1114"/><Relationship Type="http://schemas.openxmlformats.org/officeDocument/2006/relationships/hyperlink" Target="imagenes/HALIFAX_WOMENS_119005526_BLK_1.jpg" TargetMode="External" Id="rId1115"/><Relationship Type="http://schemas.openxmlformats.org/officeDocument/2006/relationships/hyperlink" Target="imagenes/HALIFAX_WOMENS_119005526_BLK_3.jpg" TargetMode="External" Id="rId1116"/><Relationship Type="http://schemas.openxmlformats.org/officeDocument/2006/relationships/hyperlink" Target="imagenes/HALIFAX_WOMENS_119005526_BLK_1.jpg" TargetMode="External" Id="rId1117"/><Relationship Type="http://schemas.openxmlformats.org/officeDocument/2006/relationships/hyperlink" Target="imagenes/HALIFAX_WOMENS_119005526_BLK_3.jpg" TargetMode="External" Id="rId1118"/><Relationship Type="http://schemas.openxmlformats.org/officeDocument/2006/relationships/hyperlink" Target="imagenes/HALIFAX_WOMENS_119005526_BLK_1.jpg" TargetMode="External" Id="rId1119"/><Relationship Type="http://schemas.openxmlformats.org/officeDocument/2006/relationships/hyperlink" Target="imagenes/HALIFAX_WOMENS_119005526_BLK_3.jpg" TargetMode="External" Id="rId1120"/><Relationship Type="http://schemas.openxmlformats.org/officeDocument/2006/relationships/hyperlink" Target="imagenes/HALIFAX_WOMENS_119005526_BLK_1.jpg" TargetMode="External" Id="rId1121"/><Relationship Type="http://schemas.openxmlformats.org/officeDocument/2006/relationships/hyperlink" Target="imagenes/HALIFAX_WOMENS_119005526_BLK_3.jpg" TargetMode="External" Id="rId1122"/><Relationship Type="http://schemas.openxmlformats.org/officeDocument/2006/relationships/hyperlink" Target="imagenes/HALIFAX_WOMENS_119005526_MSG_1.jpg" TargetMode="External" Id="rId1123"/><Relationship Type="http://schemas.openxmlformats.org/officeDocument/2006/relationships/hyperlink" Target="imagenes/HALIFAX_WOMENS_119005526_MSG_2.jpg" TargetMode="External" Id="rId1124"/><Relationship Type="http://schemas.openxmlformats.org/officeDocument/2006/relationships/hyperlink" Target="imagenes/HALIFAX_WOMENS_119005526_MSG_3.jpg" TargetMode="External" Id="rId1125"/><Relationship Type="http://schemas.openxmlformats.org/officeDocument/2006/relationships/hyperlink" Target="imagenes/HALIFAX_WOMENS_119005526_MSG_1.jpg" TargetMode="External" Id="rId1126"/><Relationship Type="http://schemas.openxmlformats.org/officeDocument/2006/relationships/hyperlink" Target="imagenes/HALIFAX_WOMENS_119005526_MSG_2.jpg" TargetMode="External" Id="rId1127"/><Relationship Type="http://schemas.openxmlformats.org/officeDocument/2006/relationships/hyperlink" Target="imagenes/HALIFAX_WOMENS_119005526_MSG_3.jpg" TargetMode="External" Id="rId1128"/><Relationship Type="http://schemas.openxmlformats.org/officeDocument/2006/relationships/hyperlink" Target="imagenes/HALIFAX_WOMENS_119005526_MSG_1.jpg" TargetMode="External" Id="rId1129"/><Relationship Type="http://schemas.openxmlformats.org/officeDocument/2006/relationships/hyperlink" Target="imagenes/HALIFAX_WOMENS_119005526_MSG_2.jpg" TargetMode="External" Id="rId1130"/><Relationship Type="http://schemas.openxmlformats.org/officeDocument/2006/relationships/hyperlink" Target="imagenes/HALIFAX_WOMENS_119005526_MSG_3.jpg" TargetMode="External" Id="rId1131"/><Relationship Type="http://schemas.openxmlformats.org/officeDocument/2006/relationships/hyperlink" Target="imagenes/HALIFAX_WOMENS_119005526_MSG_1.jpg" TargetMode="External" Id="rId1132"/><Relationship Type="http://schemas.openxmlformats.org/officeDocument/2006/relationships/hyperlink" Target="imagenes/HALIFAX_WOMENS_119005526_MSG_2.jpg" TargetMode="External" Id="rId1133"/><Relationship Type="http://schemas.openxmlformats.org/officeDocument/2006/relationships/hyperlink" Target="imagenes/HALIFAX_WOMENS_119005526_MSG_3.jpg" TargetMode="External" Id="rId1134"/><Relationship Type="http://schemas.openxmlformats.org/officeDocument/2006/relationships/hyperlink" Target="imagenes/HALIFAX_WOMENS_119005526_MSG_1.jpg" TargetMode="External" Id="rId1135"/><Relationship Type="http://schemas.openxmlformats.org/officeDocument/2006/relationships/hyperlink" Target="imagenes/HALIFAX_WOMENS_119005526_MSG_2.jpg" TargetMode="External" Id="rId1136"/><Relationship Type="http://schemas.openxmlformats.org/officeDocument/2006/relationships/hyperlink" Target="imagenes/HALIFAX_WOMENS_119005526_MSG_3.jpg" TargetMode="External" Id="rId1137"/><Relationship Type="http://schemas.openxmlformats.org/officeDocument/2006/relationships/hyperlink" Target="imagenes/HALIFAX_WOMENS_119005526_MSG_1.jpg" TargetMode="External" Id="rId1138"/><Relationship Type="http://schemas.openxmlformats.org/officeDocument/2006/relationships/hyperlink" Target="imagenes/HALIFAX_WOMENS_119005526_MSG_2.jpg" TargetMode="External" Id="rId1139"/><Relationship Type="http://schemas.openxmlformats.org/officeDocument/2006/relationships/hyperlink" Target="imagenes/HALIFAX_WOMENS_119005526_MSG_3.jpg" TargetMode="External" Id="rId1140"/><Relationship Type="http://schemas.openxmlformats.org/officeDocument/2006/relationships/hyperlink" Target="imagenes/HALIFAX_WOMENS_119005526_MSG_1.jpg" TargetMode="External" Id="rId1141"/><Relationship Type="http://schemas.openxmlformats.org/officeDocument/2006/relationships/hyperlink" Target="imagenes/HALIFAX_WOMENS_119005526_MSG_2.jpg" TargetMode="External" Id="rId1142"/><Relationship Type="http://schemas.openxmlformats.org/officeDocument/2006/relationships/hyperlink" Target="imagenes/HALIFAX_WOMENS_119005526_MSG_3.jpg" TargetMode="External" Id="rId1143"/><Relationship Type="http://schemas.openxmlformats.org/officeDocument/2006/relationships/hyperlink" Target="imagenes/HALIFAX_WOMENS_119005585_B24_1.jpg" TargetMode="External" Id="rId1144"/><Relationship Type="http://schemas.openxmlformats.org/officeDocument/2006/relationships/hyperlink" Target="imagenes/HALIFAX_WOMENS_119005585_B24_2.jpg" TargetMode="External" Id="rId1145"/><Relationship Type="http://schemas.openxmlformats.org/officeDocument/2006/relationships/hyperlink" Target="imagenes/HALIFAX_WOMENS_119005585_B24_3.jpg" TargetMode="External" Id="rId1146"/><Relationship Type="http://schemas.openxmlformats.org/officeDocument/2006/relationships/hyperlink" Target="imagenes/HALIFAX_WOMENS_119005585_B24_1.jpg" TargetMode="External" Id="rId1147"/><Relationship Type="http://schemas.openxmlformats.org/officeDocument/2006/relationships/hyperlink" Target="imagenes/HALIFAX_WOMENS_119005585_B24_2.jpg" TargetMode="External" Id="rId1148"/><Relationship Type="http://schemas.openxmlformats.org/officeDocument/2006/relationships/hyperlink" Target="imagenes/HALIFAX_WOMENS_119005585_B24_3.jpg" TargetMode="External" Id="rId1149"/><Relationship Type="http://schemas.openxmlformats.org/officeDocument/2006/relationships/hyperlink" Target="imagenes/HALIFAX_WOMENS_119005585_B24_1.jpg" TargetMode="External" Id="rId1150"/><Relationship Type="http://schemas.openxmlformats.org/officeDocument/2006/relationships/hyperlink" Target="imagenes/HALIFAX_WOMENS_119005585_B24_2.jpg" TargetMode="External" Id="rId1151"/><Relationship Type="http://schemas.openxmlformats.org/officeDocument/2006/relationships/hyperlink" Target="imagenes/HALIFAX_WOMENS_119005585_B24_3.jpg" TargetMode="External" Id="rId1152"/><Relationship Type="http://schemas.openxmlformats.org/officeDocument/2006/relationships/hyperlink" Target="imagenes/HALIFAX_WOMENS_119005585_B24_1.jpg" TargetMode="External" Id="rId1153"/><Relationship Type="http://schemas.openxmlformats.org/officeDocument/2006/relationships/hyperlink" Target="imagenes/HALIFAX_WOMENS_119005585_B24_2.jpg" TargetMode="External" Id="rId1154"/><Relationship Type="http://schemas.openxmlformats.org/officeDocument/2006/relationships/hyperlink" Target="imagenes/HALIFAX_WOMENS_119005585_B24_3.jpg" TargetMode="External" Id="rId1155"/><Relationship Type="http://schemas.openxmlformats.org/officeDocument/2006/relationships/hyperlink" Target="imagenes/HALIFAX_WOMENS_119005585_B24_1.jpg" TargetMode="External" Id="rId1156"/><Relationship Type="http://schemas.openxmlformats.org/officeDocument/2006/relationships/hyperlink" Target="imagenes/HALIFAX_WOMENS_119005585_B24_2.jpg" TargetMode="External" Id="rId1157"/><Relationship Type="http://schemas.openxmlformats.org/officeDocument/2006/relationships/hyperlink" Target="imagenes/HALIFAX_WOMENS_119005585_B24_3.jpg" TargetMode="External" Id="rId1158"/><Relationship Type="http://schemas.openxmlformats.org/officeDocument/2006/relationships/hyperlink" Target="imagenes/HALIFAX_WOMENS_119005585_B24_1.jpg" TargetMode="External" Id="rId1159"/><Relationship Type="http://schemas.openxmlformats.org/officeDocument/2006/relationships/hyperlink" Target="imagenes/HALIFAX_WOMENS_119005585_B24_2.jpg" TargetMode="External" Id="rId1160"/><Relationship Type="http://schemas.openxmlformats.org/officeDocument/2006/relationships/hyperlink" Target="imagenes/HALIFAX_WOMENS_119005585_B24_3.jpg" TargetMode="External" Id="rId1161"/><Relationship Type="http://schemas.openxmlformats.org/officeDocument/2006/relationships/hyperlink" Target="imagenes/HALIFAX_WOMENS_119005585_BLK_1.jpg" TargetMode="External" Id="rId1162"/><Relationship Type="http://schemas.openxmlformats.org/officeDocument/2006/relationships/hyperlink" Target="imagenes/HALIFAX_WOMENS_119005585_BLK_2.jpg" TargetMode="External" Id="rId1163"/><Relationship Type="http://schemas.openxmlformats.org/officeDocument/2006/relationships/hyperlink" Target="imagenes/HALIFAX_WOMENS_119005585_BLK_3.jpg" TargetMode="External" Id="rId1164"/><Relationship Type="http://schemas.openxmlformats.org/officeDocument/2006/relationships/hyperlink" Target="imagenes/HALIFAX_WOMENS_119005585_BLK_1.jpg" TargetMode="External" Id="rId1165"/><Relationship Type="http://schemas.openxmlformats.org/officeDocument/2006/relationships/hyperlink" Target="imagenes/HALIFAX_WOMENS_119005585_BLK_2.jpg" TargetMode="External" Id="rId1166"/><Relationship Type="http://schemas.openxmlformats.org/officeDocument/2006/relationships/hyperlink" Target="imagenes/HALIFAX_WOMENS_119005585_BLK_3.jpg" TargetMode="External" Id="rId1167"/><Relationship Type="http://schemas.openxmlformats.org/officeDocument/2006/relationships/hyperlink" Target="imagenes/HALIFAX_WOMENS_119005585_BLK_1.jpg" TargetMode="External" Id="rId1168"/><Relationship Type="http://schemas.openxmlformats.org/officeDocument/2006/relationships/hyperlink" Target="imagenes/HALIFAX_WOMENS_119005585_BLK_2.jpg" TargetMode="External" Id="rId1169"/><Relationship Type="http://schemas.openxmlformats.org/officeDocument/2006/relationships/hyperlink" Target="imagenes/HALIFAX_WOMENS_119005585_BLK_3.jpg" TargetMode="External" Id="rId1170"/><Relationship Type="http://schemas.openxmlformats.org/officeDocument/2006/relationships/hyperlink" Target="imagenes/HALIFAX_WOMENS_119005585_BLK_1.jpg" TargetMode="External" Id="rId1171"/><Relationship Type="http://schemas.openxmlformats.org/officeDocument/2006/relationships/hyperlink" Target="imagenes/HALIFAX_WOMENS_119005585_BLK_2.jpg" TargetMode="External" Id="rId1172"/><Relationship Type="http://schemas.openxmlformats.org/officeDocument/2006/relationships/hyperlink" Target="imagenes/HALIFAX_WOMENS_119005585_BLK_3.jpg" TargetMode="External" Id="rId1173"/><Relationship Type="http://schemas.openxmlformats.org/officeDocument/2006/relationships/hyperlink" Target="imagenes/HALIFAX_WOMENS_119005585_BLK_1.jpg" TargetMode="External" Id="rId1174"/><Relationship Type="http://schemas.openxmlformats.org/officeDocument/2006/relationships/hyperlink" Target="imagenes/HALIFAX_WOMENS_119005585_BLK_2.jpg" TargetMode="External" Id="rId1175"/><Relationship Type="http://schemas.openxmlformats.org/officeDocument/2006/relationships/hyperlink" Target="imagenes/HALIFAX_WOMENS_119005585_BLK_3.jpg" TargetMode="External" Id="rId1176"/><Relationship Type="http://schemas.openxmlformats.org/officeDocument/2006/relationships/hyperlink" Target="imagenes/HALIFAX_WOMENS_119005585_BLK_1.jpg" TargetMode="External" Id="rId1177"/><Relationship Type="http://schemas.openxmlformats.org/officeDocument/2006/relationships/hyperlink" Target="imagenes/HALIFAX_WOMENS_119005585_BLK_2.jpg" TargetMode="External" Id="rId1178"/><Relationship Type="http://schemas.openxmlformats.org/officeDocument/2006/relationships/hyperlink" Target="imagenes/HALIFAX_WOMENS_119005585_BLK_3.jpg" TargetMode="External" Id="rId1179"/><Relationship Type="http://schemas.openxmlformats.org/officeDocument/2006/relationships/hyperlink" Target="imagenes/HALIFAX_WOMENS_119005585_BLK_1.jpg" TargetMode="External" Id="rId1180"/><Relationship Type="http://schemas.openxmlformats.org/officeDocument/2006/relationships/hyperlink" Target="imagenes/HALIFAX_WOMENS_119005585_BLK_2.jpg" TargetMode="External" Id="rId1181"/><Relationship Type="http://schemas.openxmlformats.org/officeDocument/2006/relationships/hyperlink" Target="imagenes/HALIFAX_WOMENS_119005585_BLK_3.jpg" TargetMode="External" Id="rId1182"/><Relationship Type="http://schemas.openxmlformats.org/officeDocument/2006/relationships/hyperlink" Target="imagenes/HALIFAX_WOMENS_119005585_BLK_1.jpg" TargetMode="External" Id="rId1183"/><Relationship Type="http://schemas.openxmlformats.org/officeDocument/2006/relationships/hyperlink" Target="imagenes/HALIFAX_WOMENS_119005585_BLK_2.jpg" TargetMode="External" Id="rId1184"/><Relationship Type="http://schemas.openxmlformats.org/officeDocument/2006/relationships/hyperlink" Target="imagenes/HALIFAX_WOMENS_119005585_BLK_3.jpg" TargetMode="External" Id="rId1185"/><Relationship Type="http://schemas.openxmlformats.org/officeDocument/2006/relationships/hyperlink" Target="imagenes/HALIFAX_WOMENS_119005585_CAM_1.jpg" TargetMode="External" Id="rId1186"/><Relationship Type="http://schemas.openxmlformats.org/officeDocument/2006/relationships/hyperlink" Target="imagenes/HALIFAX_WOMENS_119005585_CAM_2.jpg" TargetMode="External" Id="rId1187"/><Relationship Type="http://schemas.openxmlformats.org/officeDocument/2006/relationships/hyperlink" Target="imagenes/HALIFAX_WOMENS_119005585_NVY_1.jpg" TargetMode="External" Id="rId1188"/><Relationship Type="http://schemas.openxmlformats.org/officeDocument/2006/relationships/hyperlink" Target="imagenes/HALIFAX_WOMENS_119005585_NVY_2.jpg" TargetMode="External" Id="rId1189"/><Relationship Type="http://schemas.openxmlformats.org/officeDocument/2006/relationships/hyperlink" Target="imagenes/HALIFAX_WOMENS_119005585_NVY_3.jpg" TargetMode="External" Id="rId1190"/><Relationship Type="http://schemas.openxmlformats.org/officeDocument/2006/relationships/hyperlink" Target="imagenes/HALIFAX_WOMENS_119005585_NVY_1.jpg" TargetMode="External" Id="rId1191"/><Relationship Type="http://schemas.openxmlformats.org/officeDocument/2006/relationships/hyperlink" Target="imagenes/HALIFAX_WOMENS_119005585_NVY_2.jpg" TargetMode="External" Id="rId1192"/><Relationship Type="http://schemas.openxmlformats.org/officeDocument/2006/relationships/hyperlink" Target="imagenes/HALIFAX_WOMENS_119005585_NVY_3.jpg" TargetMode="External" Id="rId1193"/><Relationship Type="http://schemas.openxmlformats.org/officeDocument/2006/relationships/hyperlink" Target="imagenes/HALIFAX_WOMENS_119005585_NVY_1.jpg" TargetMode="External" Id="rId1194"/><Relationship Type="http://schemas.openxmlformats.org/officeDocument/2006/relationships/hyperlink" Target="imagenes/HALIFAX_WOMENS_119005585_NVY_2.jpg" TargetMode="External" Id="rId1195"/><Relationship Type="http://schemas.openxmlformats.org/officeDocument/2006/relationships/hyperlink" Target="imagenes/HALIFAX_WOMENS_119005585_NVY_3.jpg" TargetMode="External" Id="rId1196"/><Relationship Type="http://schemas.openxmlformats.org/officeDocument/2006/relationships/hyperlink" Target="imagenes/HALIFAX_WOMENS_119005585_NVY_1.jpg" TargetMode="External" Id="rId1197"/><Relationship Type="http://schemas.openxmlformats.org/officeDocument/2006/relationships/hyperlink" Target="imagenes/HALIFAX_WOMENS_119005585_NVY_2.jpg" TargetMode="External" Id="rId1198"/><Relationship Type="http://schemas.openxmlformats.org/officeDocument/2006/relationships/hyperlink" Target="imagenes/HALIFAX_WOMENS_119005585_NVY_3.jpg" TargetMode="External" Id="rId1199"/><Relationship Type="http://schemas.openxmlformats.org/officeDocument/2006/relationships/hyperlink" Target="imagenes/HALIFAX_WOMENS_119005585_NVY_1.jpg" TargetMode="External" Id="rId1200"/><Relationship Type="http://schemas.openxmlformats.org/officeDocument/2006/relationships/hyperlink" Target="imagenes/HALIFAX_WOMENS_119005585_NVY_2.jpg" TargetMode="External" Id="rId1201"/><Relationship Type="http://schemas.openxmlformats.org/officeDocument/2006/relationships/hyperlink" Target="imagenes/HALIFAX_WOMENS_119005585_NVY_3.jpg" TargetMode="External" Id="rId1202"/><Relationship Type="http://schemas.openxmlformats.org/officeDocument/2006/relationships/hyperlink" Target="imagenes/HALIFAX_WOMENS_119005585_SLV_1.jpg" TargetMode="External" Id="rId1203"/><Relationship Type="http://schemas.openxmlformats.org/officeDocument/2006/relationships/hyperlink" Target="imagenes/HALIFAX_WOMENS_119005585_SLV_2.jpg" TargetMode="External" Id="rId1204"/><Relationship Type="http://schemas.openxmlformats.org/officeDocument/2006/relationships/hyperlink" Target="imagenes/HALIFAX_WOMENS_119005585_SLV_3.jpg" TargetMode="External" Id="rId1205"/><Relationship Type="http://schemas.openxmlformats.org/officeDocument/2006/relationships/hyperlink" Target="imagenes/HALIFAX_WOMENS_119005585_SLV_1.jpg" TargetMode="External" Id="rId1206"/><Relationship Type="http://schemas.openxmlformats.org/officeDocument/2006/relationships/hyperlink" Target="imagenes/HALIFAX_WOMENS_119005585_SLV_2.jpg" TargetMode="External" Id="rId1207"/><Relationship Type="http://schemas.openxmlformats.org/officeDocument/2006/relationships/hyperlink" Target="imagenes/HALIFAX_WOMENS_119005585_SLV_3.jpg" TargetMode="External" Id="rId1208"/><Relationship Type="http://schemas.openxmlformats.org/officeDocument/2006/relationships/hyperlink" Target="imagenes/HALIFAX_WOMENS_119005585_SLV_1.jpg" TargetMode="External" Id="rId1209"/><Relationship Type="http://schemas.openxmlformats.org/officeDocument/2006/relationships/hyperlink" Target="imagenes/HALIFAX_WOMENS_119005585_SLV_2.jpg" TargetMode="External" Id="rId1210"/><Relationship Type="http://schemas.openxmlformats.org/officeDocument/2006/relationships/hyperlink" Target="imagenes/HALIFAX_WOMENS_119005585_SLV_3.jpg" TargetMode="External" Id="rId1211"/><Relationship Type="http://schemas.openxmlformats.org/officeDocument/2006/relationships/hyperlink" Target="imagenes/HALIFAX_WOMENS_119005585_SLV_1.jpg" TargetMode="External" Id="rId1212"/><Relationship Type="http://schemas.openxmlformats.org/officeDocument/2006/relationships/hyperlink" Target="imagenes/HALIFAX_WOMENS_119005585_SLV_2.jpg" TargetMode="External" Id="rId1213"/><Relationship Type="http://schemas.openxmlformats.org/officeDocument/2006/relationships/hyperlink" Target="imagenes/HALIFAX_WOMENS_119005585_SLV_3.jpg" TargetMode="External" Id="rId1214"/><Relationship Type="http://schemas.openxmlformats.org/officeDocument/2006/relationships/hyperlink" Target="imagenes/HALIFAX_WOMENS_119005585_SLV_1.jpg" TargetMode="External" Id="rId1215"/><Relationship Type="http://schemas.openxmlformats.org/officeDocument/2006/relationships/hyperlink" Target="imagenes/HALIFAX_WOMENS_119005585_SLV_2.jpg" TargetMode="External" Id="rId1216"/><Relationship Type="http://schemas.openxmlformats.org/officeDocument/2006/relationships/hyperlink" Target="imagenes/HALIFAX_WOMENS_119005585_SLV_3.jpg" TargetMode="External" Id="rId1217"/><Relationship Type="http://schemas.openxmlformats.org/officeDocument/2006/relationships/hyperlink" Target="imagenes/HALIFAX_WOMENS_119005587_B24_1.jpg" TargetMode="External" Id="rId1218"/><Relationship Type="http://schemas.openxmlformats.org/officeDocument/2006/relationships/hyperlink" Target="imagenes/HALIFAX_WOMENS_119005587_B24_2.jpg" TargetMode="External" Id="rId1219"/><Relationship Type="http://schemas.openxmlformats.org/officeDocument/2006/relationships/hyperlink" Target="imagenes/HALIFAX_WOMENS_119005587_B24_3.jpg" TargetMode="External" Id="rId1220"/><Relationship Type="http://schemas.openxmlformats.org/officeDocument/2006/relationships/hyperlink" Target="imagenes/HALIFAX_WOMENS_119005587_B24_1.jpg" TargetMode="External" Id="rId1221"/><Relationship Type="http://schemas.openxmlformats.org/officeDocument/2006/relationships/hyperlink" Target="imagenes/HALIFAX_WOMENS_119005587_B24_2.jpg" TargetMode="External" Id="rId1222"/><Relationship Type="http://schemas.openxmlformats.org/officeDocument/2006/relationships/hyperlink" Target="imagenes/HALIFAX_WOMENS_119005587_B24_3.jpg" TargetMode="External" Id="rId1223"/><Relationship Type="http://schemas.openxmlformats.org/officeDocument/2006/relationships/hyperlink" Target="imagenes/HALIFAX_WOMENS_119005587_B24_1.jpg" TargetMode="External" Id="rId1224"/><Relationship Type="http://schemas.openxmlformats.org/officeDocument/2006/relationships/hyperlink" Target="imagenes/HALIFAX_WOMENS_119005587_B24_2.jpg" TargetMode="External" Id="rId1225"/><Relationship Type="http://schemas.openxmlformats.org/officeDocument/2006/relationships/hyperlink" Target="imagenes/HALIFAX_WOMENS_119005587_B24_3.jpg" TargetMode="External" Id="rId1226"/><Relationship Type="http://schemas.openxmlformats.org/officeDocument/2006/relationships/hyperlink" Target="imagenes/HALIFAX_WOMENS_119005587_BLK_1.jpg" TargetMode="External" Id="rId1227"/><Relationship Type="http://schemas.openxmlformats.org/officeDocument/2006/relationships/hyperlink" Target="imagenes/HALIFAX_WOMENS_119005587_BLK_2.jpg" TargetMode="External" Id="rId1228"/><Relationship Type="http://schemas.openxmlformats.org/officeDocument/2006/relationships/hyperlink" Target="imagenes/HALIFAX_WOMENS_119005587_BLK_3.jpg" TargetMode="External" Id="rId1229"/><Relationship Type="http://schemas.openxmlformats.org/officeDocument/2006/relationships/hyperlink" Target="imagenes/HALIFAX_WOMENS_119005587_BLK_1.jpg" TargetMode="External" Id="rId1230"/><Relationship Type="http://schemas.openxmlformats.org/officeDocument/2006/relationships/hyperlink" Target="imagenes/HALIFAX_WOMENS_119005587_BLK_2.jpg" TargetMode="External" Id="rId1231"/><Relationship Type="http://schemas.openxmlformats.org/officeDocument/2006/relationships/hyperlink" Target="imagenes/HALIFAX_WOMENS_119005587_BLK_3.jpg" TargetMode="External" Id="rId1232"/><Relationship Type="http://schemas.openxmlformats.org/officeDocument/2006/relationships/hyperlink" Target="imagenes/HALIFAX_WOMENS_119005587_BLK_1.jpg" TargetMode="External" Id="rId1233"/><Relationship Type="http://schemas.openxmlformats.org/officeDocument/2006/relationships/hyperlink" Target="imagenes/HALIFAX_WOMENS_119005587_BLK_2.jpg" TargetMode="External" Id="rId1234"/><Relationship Type="http://schemas.openxmlformats.org/officeDocument/2006/relationships/hyperlink" Target="imagenes/HALIFAX_WOMENS_119005587_BLK_3.jpg" TargetMode="External" Id="rId1235"/><Relationship Type="http://schemas.openxmlformats.org/officeDocument/2006/relationships/hyperlink" Target="imagenes/HALIFAX_WOMENS_119005587_BLK_1.jpg" TargetMode="External" Id="rId1236"/><Relationship Type="http://schemas.openxmlformats.org/officeDocument/2006/relationships/hyperlink" Target="imagenes/HALIFAX_WOMENS_119005587_BLK_2.jpg" TargetMode="External" Id="rId1237"/><Relationship Type="http://schemas.openxmlformats.org/officeDocument/2006/relationships/hyperlink" Target="imagenes/HALIFAX_WOMENS_119005587_BLK_3.jpg" TargetMode="External" Id="rId1238"/><Relationship Type="http://schemas.openxmlformats.org/officeDocument/2006/relationships/hyperlink" Target="imagenes/HALIFAX_WOMENS_119005587_BLK_1.jpg" TargetMode="External" Id="rId1239"/><Relationship Type="http://schemas.openxmlformats.org/officeDocument/2006/relationships/hyperlink" Target="imagenes/HALIFAX_WOMENS_119005587_BLK_2.jpg" TargetMode="External" Id="rId1240"/><Relationship Type="http://schemas.openxmlformats.org/officeDocument/2006/relationships/hyperlink" Target="imagenes/HALIFAX_WOMENS_119005587_BLK_3.jpg" TargetMode="External" Id="rId1241"/><Relationship Type="http://schemas.openxmlformats.org/officeDocument/2006/relationships/hyperlink" Target="imagenes/HALIFAX_WOMENS_119005587_NVY_3.jpg" TargetMode="External" Id="rId1242"/><Relationship Type="http://schemas.openxmlformats.org/officeDocument/2006/relationships/hyperlink" Target="imagenes/HALIFAX_WOMENS_119005587_NVY_3.jpg" TargetMode="External" Id="rId1243"/><Relationship Type="http://schemas.openxmlformats.org/officeDocument/2006/relationships/hyperlink" Target="imagenes/HALIFAX_WOMENS_119005587_NVY_3.jpg" TargetMode="External" Id="rId1244"/><Relationship Type="http://schemas.openxmlformats.org/officeDocument/2006/relationships/hyperlink" Target="imagenes/HALIFAX_WOMENS_119005587_SLV_1.jpg" TargetMode="External" Id="rId1245"/><Relationship Type="http://schemas.openxmlformats.org/officeDocument/2006/relationships/hyperlink" Target="imagenes/HALIFAX_WOMENS_119005587_SLV_2.jpg" TargetMode="External" Id="rId1246"/><Relationship Type="http://schemas.openxmlformats.org/officeDocument/2006/relationships/hyperlink" Target="imagenes/HALIFAX_WOMENS_119005587_SLV_3.jpg" TargetMode="External" Id="rId1247"/><Relationship Type="http://schemas.openxmlformats.org/officeDocument/2006/relationships/hyperlink" Target="imagenes/HALIFAX_WOMENS_119005587_SLV_1.jpg" TargetMode="External" Id="rId1248"/><Relationship Type="http://schemas.openxmlformats.org/officeDocument/2006/relationships/hyperlink" Target="imagenes/HALIFAX_WOMENS_119005587_SLV_2.jpg" TargetMode="External" Id="rId1249"/><Relationship Type="http://schemas.openxmlformats.org/officeDocument/2006/relationships/hyperlink" Target="imagenes/HALIFAX_WOMENS_119005587_SLV_3.jpg" TargetMode="External" Id="rId1250"/><Relationship Type="http://schemas.openxmlformats.org/officeDocument/2006/relationships/hyperlink" Target="imagenes/HALIFAX_WOMENS_119007795_BLK_1.jpg" TargetMode="External" Id="rId1251"/><Relationship Type="http://schemas.openxmlformats.org/officeDocument/2006/relationships/hyperlink" Target="imagenes/HALIFAX_WOMENS_119007795_BLK_2.jpg" TargetMode="External" Id="rId1252"/><Relationship Type="http://schemas.openxmlformats.org/officeDocument/2006/relationships/hyperlink" Target="imagenes/HALIFAX_WOMENS_119007795_BLK_3.jpg" TargetMode="External" Id="rId1253"/><Relationship Type="http://schemas.openxmlformats.org/officeDocument/2006/relationships/hyperlink" Target="imagenes/HALIFAX_WOMENS_119007795_BLK_1.jpg" TargetMode="External" Id="rId1254"/><Relationship Type="http://schemas.openxmlformats.org/officeDocument/2006/relationships/hyperlink" Target="imagenes/HALIFAX_WOMENS_119007795_BLK_2.jpg" TargetMode="External" Id="rId1255"/><Relationship Type="http://schemas.openxmlformats.org/officeDocument/2006/relationships/hyperlink" Target="imagenes/HALIFAX_WOMENS_119007795_BLK_3.jpg" TargetMode="External" Id="rId1256"/><Relationship Type="http://schemas.openxmlformats.org/officeDocument/2006/relationships/hyperlink" Target="imagenes/HALIFAX_WOMENS_119007795_BLK_1.jpg" TargetMode="External" Id="rId1257"/><Relationship Type="http://schemas.openxmlformats.org/officeDocument/2006/relationships/hyperlink" Target="imagenes/HALIFAX_WOMENS_119007795_BLK_2.jpg" TargetMode="External" Id="rId1258"/><Relationship Type="http://schemas.openxmlformats.org/officeDocument/2006/relationships/hyperlink" Target="imagenes/HALIFAX_WOMENS_119007795_BLK_3.jpg" TargetMode="External" Id="rId1259"/><Relationship Type="http://schemas.openxmlformats.org/officeDocument/2006/relationships/hyperlink" Target="imagenes/HALIFAX_WOMENS_119007795_BLK_1.jpg" TargetMode="External" Id="rId1260"/><Relationship Type="http://schemas.openxmlformats.org/officeDocument/2006/relationships/hyperlink" Target="imagenes/HALIFAX_WOMENS_119007795_BLK_2.jpg" TargetMode="External" Id="rId1261"/><Relationship Type="http://schemas.openxmlformats.org/officeDocument/2006/relationships/hyperlink" Target="imagenes/HALIFAX_WOMENS_119007795_BLK_3.jpg" TargetMode="External" Id="rId1262"/><Relationship Type="http://schemas.openxmlformats.org/officeDocument/2006/relationships/hyperlink" Target="imagenes/HALIFAX_WOMENS_119007795_BLK_1.jpg" TargetMode="External" Id="rId1263"/><Relationship Type="http://schemas.openxmlformats.org/officeDocument/2006/relationships/hyperlink" Target="imagenes/HALIFAX_WOMENS_119007795_BLK_2.jpg" TargetMode="External" Id="rId1264"/><Relationship Type="http://schemas.openxmlformats.org/officeDocument/2006/relationships/hyperlink" Target="imagenes/HALIFAX_WOMENS_119007795_BLK_3.jpg" TargetMode="External" Id="rId1265"/><Relationship Type="http://schemas.openxmlformats.org/officeDocument/2006/relationships/hyperlink" Target="imagenes/HALIFAX_WOMENS_119007795_BLK_1.jpg" TargetMode="External" Id="rId1266"/><Relationship Type="http://schemas.openxmlformats.org/officeDocument/2006/relationships/hyperlink" Target="imagenes/HALIFAX_WOMENS_119007795_BLK_2.jpg" TargetMode="External" Id="rId1267"/><Relationship Type="http://schemas.openxmlformats.org/officeDocument/2006/relationships/hyperlink" Target="imagenes/HALIFAX_WOMENS_119007795_BLK_3.jpg" TargetMode="External" Id="rId1268"/><Relationship Type="http://schemas.openxmlformats.org/officeDocument/2006/relationships/hyperlink" Target="imagenes/HALIFAX_WOMENS_119007795_GC1_1.jpg" TargetMode="External" Id="rId1269"/><Relationship Type="http://schemas.openxmlformats.org/officeDocument/2006/relationships/hyperlink" Target="imagenes/HALIFAX_WOMENS_119007795_GC1_2.jpg" TargetMode="External" Id="rId1270"/><Relationship Type="http://schemas.openxmlformats.org/officeDocument/2006/relationships/hyperlink" Target="imagenes/HALIFAX_WOMENS_119007795_GC1_3.jpg" TargetMode="External" Id="rId1271"/><Relationship Type="http://schemas.openxmlformats.org/officeDocument/2006/relationships/hyperlink" Target="imagenes/HALIFAX_WOMENS_119007795_GC1_1.jpg" TargetMode="External" Id="rId1272"/><Relationship Type="http://schemas.openxmlformats.org/officeDocument/2006/relationships/hyperlink" Target="imagenes/HALIFAX_WOMENS_119007795_GC1_2.jpg" TargetMode="External" Id="rId1273"/><Relationship Type="http://schemas.openxmlformats.org/officeDocument/2006/relationships/hyperlink" Target="imagenes/HALIFAX_WOMENS_119007795_GC1_3.jpg" TargetMode="External" Id="rId1274"/><Relationship Type="http://schemas.openxmlformats.org/officeDocument/2006/relationships/hyperlink" Target="imagenes/HALIFAX_WOMENS_119007795_GC1_1.jpg" TargetMode="External" Id="rId1275"/><Relationship Type="http://schemas.openxmlformats.org/officeDocument/2006/relationships/hyperlink" Target="imagenes/HALIFAX_WOMENS_119007795_GC1_2.jpg" TargetMode="External" Id="rId1276"/><Relationship Type="http://schemas.openxmlformats.org/officeDocument/2006/relationships/hyperlink" Target="imagenes/HALIFAX_WOMENS_119007795_GC1_3.jpg" TargetMode="External" Id="rId1277"/><Relationship Type="http://schemas.openxmlformats.org/officeDocument/2006/relationships/hyperlink" Target="imagenes/HALIFAX_WOMENS_119007795_GC1_1.jpg" TargetMode="External" Id="rId1278"/><Relationship Type="http://schemas.openxmlformats.org/officeDocument/2006/relationships/hyperlink" Target="imagenes/HALIFAX_WOMENS_119007795_GC1_2.jpg" TargetMode="External" Id="rId1279"/><Relationship Type="http://schemas.openxmlformats.org/officeDocument/2006/relationships/hyperlink" Target="imagenes/HALIFAX_WOMENS_119007795_GC1_3.jpg" TargetMode="External" Id="rId1280"/><Relationship Type="http://schemas.openxmlformats.org/officeDocument/2006/relationships/hyperlink" Target="imagenes/HALIFAX_WOMENS_119007795_GC1_1.jpg" TargetMode="External" Id="rId1281"/><Relationship Type="http://schemas.openxmlformats.org/officeDocument/2006/relationships/hyperlink" Target="imagenes/HALIFAX_WOMENS_119007795_GC1_2.jpg" TargetMode="External" Id="rId1282"/><Relationship Type="http://schemas.openxmlformats.org/officeDocument/2006/relationships/hyperlink" Target="imagenes/HALIFAX_WOMENS_119007795_GC1_3.jpg" TargetMode="External" Id="rId1283"/><Relationship Type="http://schemas.openxmlformats.org/officeDocument/2006/relationships/hyperlink" Target="imagenes/HALIFAX_WOMENS_119007795_GC1_1.jpg" TargetMode="External" Id="rId1284"/><Relationship Type="http://schemas.openxmlformats.org/officeDocument/2006/relationships/hyperlink" Target="imagenes/HALIFAX_WOMENS_119007795_GC1_2.jpg" TargetMode="External" Id="rId1285"/><Relationship Type="http://schemas.openxmlformats.org/officeDocument/2006/relationships/hyperlink" Target="imagenes/HALIFAX_WOMENS_119007795_GC1_3.jpg" TargetMode="External" Id="rId1286"/><Relationship Type="http://schemas.openxmlformats.org/officeDocument/2006/relationships/hyperlink" Target="imagenes/HALIFAX_WOMENS_119007795_LAT_1.jpg" TargetMode="External" Id="rId1287"/><Relationship Type="http://schemas.openxmlformats.org/officeDocument/2006/relationships/hyperlink" Target="imagenes/HALIFAX_WOMENS_119007795_LAT_2.jpg" TargetMode="External" Id="rId1288"/><Relationship Type="http://schemas.openxmlformats.org/officeDocument/2006/relationships/hyperlink" Target="imagenes/HALIFAX_WOMENS_119007795_LAT_3.jpg" TargetMode="External" Id="rId1289"/><Relationship Type="http://schemas.openxmlformats.org/officeDocument/2006/relationships/hyperlink" Target="imagenes/HALIFAX_WOMENS_119007795_LAT_1.jpg" TargetMode="External" Id="rId1290"/><Relationship Type="http://schemas.openxmlformats.org/officeDocument/2006/relationships/hyperlink" Target="imagenes/HALIFAX_WOMENS_119007795_LAT_2.jpg" TargetMode="External" Id="rId1291"/><Relationship Type="http://schemas.openxmlformats.org/officeDocument/2006/relationships/hyperlink" Target="imagenes/HALIFAX_WOMENS_119007795_LAT_3.jpg" TargetMode="External" Id="rId1292"/><Relationship Type="http://schemas.openxmlformats.org/officeDocument/2006/relationships/hyperlink" Target="imagenes/HALIFAX_WOMENS_119007795_LAT_1.jpg" TargetMode="External" Id="rId1293"/><Relationship Type="http://schemas.openxmlformats.org/officeDocument/2006/relationships/hyperlink" Target="imagenes/HALIFAX_WOMENS_119007795_LAT_2.jpg" TargetMode="External" Id="rId1294"/><Relationship Type="http://schemas.openxmlformats.org/officeDocument/2006/relationships/hyperlink" Target="imagenes/HALIFAX_WOMENS_119007795_LAT_3.jpg" TargetMode="External" Id="rId1295"/><Relationship Type="http://schemas.openxmlformats.org/officeDocument/2006/relationships/hyperlink" Target="imagenes/HALIFAX_WOMENS_119007795_LAT_1.jpg" TargetMode="External" Id="rId1296"/><Relationship Type="http://schemas.openxmlformats.org/officeDocument/2006/relationships/hyperlink" Target="imagenes/HALIFAX_WOMENS_119007795_LAT_2.jpg" TargetMode="External" Id="rId1297"/><Relationship Type="http://schemas.openxmlformats.org/officeDocument/2006/relationships/hyperlink" Target="imagenes/HALIFAX_WOMENS_119007795_LAT_3.jpg" TargetMode="External" Id="rId1298"/><Relationship Type="http://schemas.openxmlformats.org/officeDocument/2006/relationships/hyperlink" Target="imagenes/HALIFAX_WOMENS_119007795_SOM_1.jpg" TargetMode="External" Id="rId1299"/><Relationship Type="http://schemas.openxmlformats.org/officeDocument/2006/relationships/hyperlink" Target="imagenes/HALIFAX_WOMENS_119007795_SOM_2.jpg" TargetMode="External" Id="rId1300"/><Relationship Type="http://schemas.openxmlformats.org/officeDocument/2006/relationships/hyperlink" Target="imagenes/HALIFAX_WOMENS_119007795_SOM_3.jpg" TargetMode="External" Id="rId1301"/><Relationship Type="http://schemas.openxmlformats.org/officeDocument/2006/relationships/hyperlink" Target="imagenes/HALIFAX_WOMENS_119007795_SOM_1.jpg" TargetMode="External" Id="rId1302"/><Relationship Type="http://schemas.openxmlformats.org/officeDocument/2006/relationships/hyperlink" Target="imagenes/HALIFAX_WOMENS_119007795_SOM_2.jpg" TargetMode="External" Id="rId1303"/><Relationship Type="http://schemas.openxmlformats.org/officeDocument/2006/relationships/hyperlink" Target="imagenes/HALIFAX_WOMENS_119007795_SOM_3.jpg" TargetMode="External" Id="rId1304"/><Relationship Type="http://schemas.openxmlformats.org/officeDocument/2006/relationships/hyperlink" Target="imagenes/HALIFAX_WOMENS_119007795_SOM_1.jpg" TargetMode="External" Id="rId1305"/><Relationship Type="http://schemas.openxmlformats.org/officeDocument/2006/relationships/hyperlink" Target="imagenes/HALIFAX_WOMENS_119007795_SOM_2.jpg" TargetMode="External" Id="rId1306"/><Relationship Type="http://schemas.openxmlformats.org/officeDocument/2006/relationships/hyperlink" Target="imagenes/HALIFAX_WOMENS_119007795_SOM_3.jpg" TargetMode="External" Id="rId1307"/><Relationship Type="http://schemas.openxmlformats.org/officeDocument/2006/relationships/hyperlink" Target="imagenes/HALIFAX_WOMENS_119008968_ADR_1.jpg" TargetMode="External" Id="rId1308"/><Relationship Type="http://schemas.openxmlformats.org/officeDocument/2006/relationships/hyperlink" Target="imagenes/HALIFAX_WOMENS_119008968_ADR_2.jpg" TargetMode="External" Id="rId1309"/><Relationship Type="http://schemas.openxmlformats.org/officeDocument/2006/relationships/hyperlink" Target="imagenes/HALIFAX_WOMENS_119008968_ADR_3.jpg" TargetMode="External" Id="rId1310"/><Relationship Type="http://schemas.openxmlformats.org/officeDocument/2006/relationships/hyperlink" Target="imagenes/HALIFAX_WOMENS_119008968_ADR_1.jpg" TargetMode="External" Id="rId1311"/><Relationship Type="http://schemas.openxmlformats.org/officeDocument/2006/relationships/hyperlink" Target="imagenes/HALIFAX_WOMENS_119008968_ADR_2.jpg" TargetMode="External" Id="rId1312"/><Relationship Type="http://schemas.openxmlformats.org/officeDocument/2006/relationships/hyperlink" Target="imagenes/HALIFAX_WOMENS_119008968_ADR_3.jpg" TargetMode="External" Id="rId1313"/><Relationship Type="http://schemas.openxmlformats.org/officeDocument/2006/relationships/hyperlink" Target="imagenes/HALIFAX_WOMENS_119008968_ADR_1.jpg" TargetMode="External" Id="rId1314"/><Relationship Type="http://schemas.openxmlformats.org/officeDocument/2006/relationships/hyperlink" Target="imagenes/HALIFAX_WOMENS_119008968_ADR_2.jpg" TargetMode="External" Id="rId1315"/><Relationship Type="http://schemas.openxmlformats.org/officeDocument/2006/relationships/hyperlink" Target="imagenes/HALIFAX_WOMENS_119008968_ADR_3.jpg" TargetMode="External" Id="rId1316"/><Relationship Type="http://schemas.openxmlformats.org/officeDocument/2006/relationships/hyperlink" Target="imagenes/HALIFAX_WOMENS_119008968_ADR_1.jpg" TargetMode="External" Id="rId1317"/><Relationship Type="http://schemas.openxmlformats.org/officeDocument/2006/relationships/hyperlink" Target="imagenes/HALIFAX_WOMENS_119008968_ADR_2.jpg" TargetMode="External" Id="rId1318"/><Relationship Type="http://schemas.openxmlformats.org/officeDocument/2006/relationships/hyperlink" Target="imagenes/HALIFAX_WOMENS_119008968_ADR_3.jpg" TargetMode="External" Id="rId1319"/><Relationship Type="http://schemas.openxmlformats.org/officeDocument/2006/relationships/hyperlink" Target="imagenes/HALIFAX_WOMENS_119008968_ADR_1.jpg" TargetMode="External" Id="rId1320"/><Relationship Type="http://schemas.openxmlformats.org/officeDocument/2006/relationships/hyperlink" Target="imagenes/HALIFAX_WOMENS_119008968_ADR_2.jpg" TargetMode="External" Id="rId1321"/><Relationship Type="http://schemas.openxmlformats.org/officeDocument/2006/relationships/hyperlink" Target="imagenes/HALIFAX_WOMENS_119008968_ADR_3.jpg" TargetMode="External" Id="rId1322"/><Relationship Type="http://schemas.openxmlformats.org/officeDocument/2006/relationships/hyperlink" Target="imagenes/HALIFAX_WOMENS_119008968_ADR_1.jpg" TargetMode="External" Id="rId1323"/><Relationship Type="http://schemas.openxmlformats.org/officeDocument/2006/relationships/hyperlink" Target="imagenes/HALIFAX_WOMENS_119008968_ADR_2.jpg" TargetMode="External" Id="rId1324"/><Relationship Type="http://schemas.openxmlformats.org/officeDocument/2006/relationships/hyperlink" Target="imagenes/HALIFAX_WOMENS_119008968_ADR_3.jpg" TargetMode="External" Id="rId1325"/><Relationship Type="http://schemas.openxmlformats.org/officeDocument/2006/relationships/hyperlink" Target="imagenes/HALIFAX_WOMENS_119008968_BLK_1.jpg" TargetMode="External" Id="rId1326"/><Relationship Type="http://schemas.openxmlformats.org/officeDocument/2006/relationships/hyperlink" Target="imagenes/HALIFAX_WOMENS_119008968_BLK_2.jpg" TargetMode="External" Id="rId1327"/><Relationship Type="http://schemas.openxmlformats.org/officeDocument/2006/relationships/hyperlink" Target="imagenes/HALIFAX_WOMENS_119008968_BLK_3.jpg" TargetMode="External" Id="rId1328"/><Relationship Type="http://schemas.openxmlformats.org/officeDocument/2006/relationships/hyperlink" Target="imagenes/HALIFAX_WOMENS_119008968_BLK_1.jpg" TargetMode="External" Id="rId1329"/><Relationship Type="http://schemas.openxmlformats.org/officeDocument/2006/relationships/hyperlink" Target="imagenes/HALIFAX_WOMENS_119008968_BLK_2.jpg" TargetMode="External" Id="rId1330"/><Relationship Type="http://schemas.openxmlformats.org/officeDocument/2006/relationships/hyperlink" Target="imagenes/HALIFAX_WOMENS_119008968_BLK_3.jpg" TargetMode="External" Id="rId1331"/><Relationship Type="http://schemas.openxmlformats.org/officeDocument/2006/relationships/hyperlink" Target="imagenes/HALIFAX_WOMENS_119008968_BLK_1.jpg" TargetMode="External" Id="rId1332"/><Relationship Type="http://schemas.openxmlformats.org/officeDocument/2006/relationships/hyperlink" Target="imagenes/HALIFAX_WOMENS_119008968_BLK_2.jpg" TargetMode="External" Id="rId1333"/><Relationship Type="http://schemas.openxmlformats.org/officeDocument/2006/relationships/hyperlink" Target="imagenes/HALIFAX_WOMENS_119008968_BLK_3.jpg" TargetMode="External" Id="rId1334"/><Relationship Type="http://schemas.openxmlformats.org/officeDocument/2006/relationships/hyperlink" Target="imagenes/HALIFAX_WOMENS_119008968_BLK_1.jpg" TargetMode="External" Id="rId1335"/><Relationship Type="http://schemas.openxmlformats.org/officeDocument/2006/relationships/hyperlink" Target="imagenes/HALIFAX_WOMENS_119008968_BLK_2.jpg" TargetMode="External" Id="rId1336"/><Relationship Type="http://schemas.openxmlformats.org/officeDocument/2006/relationships/hyperlink" Target="imagenes/HALIFAX_WOMENS_119008968_BLK_3.jpg" TargetMode="External" Id="rId1337"/><Relationship Type="http://schemas.openxmlformats.org/officeDocument/2006/relationships/hyperlink" Target="imagenes/HALIFAX_WOMENS_119008968_BLK_1.jpg" TargetMode="External" Id="rId1338"/><Relationship Type="http://schemas.openxmlformats.org/officeDocument/2006/relationships/hyperlink" Target="imagenes/HALIFAX_WOMENS_119008968_BLK_2.jpg" TargetMode="External" Id="rId1339"/><Relationship Type="http://schemas.openxmlformats.org/officeDocument/2006/relationships/hyperlink" Target="imagenes/HALIFAX_WOMENS_119008968_BLK_3.jpg" TargetMode="External" Id="rId1340"/><Relationship Type="http://schemas.openxmlformats.org/officeDocument/2006/relationships/hyperlink" Target="imagenes/HALIFAX_WOMENS_119008968_BLK_1.jpg" TargetMode="External" Id="rId1341"/><Relationship Type="http://schemas.openxmlformats.org/officeDocument/2006/relationships/hyperlink" Target="imagenes/HALIFAX_WOMENS_119008968_BLK_2.jpg" TargetMode="External" Id="rId1342"/><Relationship Type="http://schemas.openxmlformats.org/officeDocument/2006/relationships/hyperlink" Target="imagenes/HALIFAX_WOMENS_119008968_BLK_3.jpg" TargetMode="External" Id="rId1343"/><Relationship Type="http://schemas.openxmlformats.org/officeDocument/2006/relationships/hyperlink" Target="imagenes/HALIFAX_WOMENS_119008968_SOM_1.jpg" TargetMode="External" Id="rId1344"/><Relationship Type="http://schemas.openxmlformats.org/officeDocument/2006/relationships/hyperlink" Target="imagenes/HALIFAX_WOMENS_119008968_SOM_2.jpg" TargetMode="External" Id="rId1345"/><Relationship Type="http://schemas.openxmlformats.org/officeDocument/2006/relationships/hyperlink" Target="imagenes/HALIFAX_WOMENS_119008968_SOM_3.jpg" TargetMode="External" Id="rId1346"/><Relationship Type="http://schemas.openxmlformats.org/officeDocument/2006/relationships/hyperlink" Target="imagenes/HALIFAX_WOMENS_119008968_SOM_1.jpg" TargetMode="External" Id="rId1347"/><Relationship Type="http://schemas.openxmlformats.org/officeDocument/2006/relationships/hyperlink" Target="imagenes/HALIFAX_WOMENS_119008968_SOM_2.jpg" TargetMode="External" Id="rId1348"/><Relationship Type="http://schemas.openxmlformats.org/officeDocument/2006/relationships/hyperlink" Target="imagenes/HALIFAX_WOMENS_119008968_SOM_3.jpg" TargetMode="External" Id="rId1349"/><Relationship Type="http://schemas.openxmlformats.org/officeDocument/2006/relationships/hyperlink" Target="imagenes/HALIFAX_WOMENS_119008968_SOM_1.jpg" TargetMode="External" Id="rId1350"/><Relationship Type="http://schemas.openxmlformats.org/officeDocument/2006/relationships/hyperlink" Target="imagenes/HALIFAX_WOMENS_119008968_SOM_2.jpg" TargetMode="External" Id="rId1351"/><Relationship Type="http://schemas.openxmlformats.org/officeDocument/2006/relationships/hyperlink" Target="imagenes/HALIFAX_WOMENS_119008968_SOM_3.jpg" TargetMode="External" Id="rId1352"/><Relationship Type="http://schemas.openxmlformats.org/officeDocument/2006/relationships/hyperlink" Target="imagenes/HALIFAX_WOMENS_119008968_SOM_1.jpg" TargetMode="External" Id="rId1353"/><Relationship Type="http://schemas.openxmlformats.org/officeDocument/2006/relationships/hyperlink" Target="imagenes/HALIFAX_WOMENS_119008968_SOM_2.jpg" TargetMode="External" Id="rId1354"/><Relationship Type="http://schemas.openxmlformats.org/officeDocument/2006/relationships/hyperlink" Target="imagenes/HALIFAX_WOMENS_119008968_SOM_3.jpg" TargetMode="External" Id="rId1355"/><Relationship Type="http://schemas.openxmlformats.org/officeDocument/2006/relationships/hyperlink" Target="imagenes/HALIFAX_WOMENS_119008968_SOM_1.jpg" TargetMode="External" Id="rId1356"/><Relationship Type="http://schemas.openxmlformats.org/officeDocument/2006/relationships/hyperlink" Target="imagenes/HALIFAX_WOMENS_119008968_SOM_2.jpg" TargetMode="External" Id="rId1357"/><Relationship Type="http://schemas.openxmlformats.org/officeDocument/2006/relationships/hyperlink" Target="imagenes/HALIFAX_WOMENS_119008968_SOM_3.jpg" TargetMode="External" Id="rId1358"/><Relationship Type="http://schemas.openxmlformats.org/officeDocument/2006/relationships/hyperlink" Target="imagenes/HALIFAX_WOMENS_119008968_SOM_1.jpg" TargetMode="External" Id="rId1359"/><Relationship Type="http://schemas.openxmlformats.org/officeDocument/2006/relationships/hyperlink" Target="imagenes/HALIFAX_WOMENS_119008968_SOM_2.jpg" TargetMode="External" Id="rId1360"/><Relationship Type="http://schemas.openxmlformats.org/officeDocument/2006/relationships/hyperlink" Target="imagenes/HALIFAX_WOMENS_119008968_SOM_3.jpg" TargetMode="External" Id="rId1361"/><Relationship Type="http://schemas.openxmlformats.org/officeDocument/2006/relationships/hyperlink" Target="imagenes/HALIFAX_WOMENS_119009542_BLK_1.jpg" TargetMode="External" Id="rId1362"/><Relationship Type="http://schemas.openxmlformats.org/officeDocument/2006/relationships/hyperlink" Target="imagenes/HALIFAX_WOMENS_119009542_BLK_2.jpg" TargetMode="External" Id="rId1363"/><Relationship Type="http://schemas.openxmlformats.org/officeDocument/2006/relationships/hyperlink" Target="imagenes/HALIFAX_WOMENS_119009542_BLK_3.jpg" TargetMode="External" Id="rId1364"/><Relationship Type="http://schemas.openxmlformats.org/officeDocument/2006/relationships/hyperlink" Target="imagenes/HALIFAX_WOMENS_119009542_BLK_1.jpg" TargetMode="External" Id="rId1365"/><Relationship Type="http://schemas.openxmlformats.org/officeDocument/2006/relationships/hyperlink" Target="imagenes/HALIFAX_WOMENS_119009542_BLK_2.jpg" TargetMode="External" Id="rId1366"/><Relationship Type="http://schemas.openxmlformats.org/officeDocument/2006/relationships/hyperlink" Target="imagenes/HALIFAX_WOMENS_119009542_BLK_3.jpg" TargetMode="External" Id="rId1367"/><Relationship Type="http://schemas.openxmlformats.org/officeDocument/2006/relationships/hyperlink" Target="imagenes/HALIFAX_WOMENS_119009542_BLK_1.jpg" TargetMode="External" Id="rId1368"/><Relationship Type="http://schemas.openxmlformats.org/officeDocument/2006/relationships/hyperlink" Target="imagenes/HALIFAX_WOMENS_119009542_BLK_2.jpg" TargetMode="External" Id="rId1369"/><Relationship Type="http://schemas.openxmlformats.org/officeDocument/2006/relationships/hyperlink" Target="imagenes/HALIFAX_WOMENS_119009542_BLK_3.jpg" TargetMode="External" Id="rId1370"/><Relationship Type="http://schemas.openxmlformats.org/officeDocument/2006/relationships/hyperlink" Target="imagenes/HALIFAX_WOMENS_119009542_BLK_1.jpg" TargetMode="External" Id="rId1371"/><Relationship Type="http://schemas.openxmlformats.org/officeDocument/2006/relationships/hyperlink" Target="imagenes/HALIFAX_WOMENS_119009542_BLK_2.jpg" TargetMode="External" Id="rId1372"/><Relationship Type="http://schemas.openxmlformats.org/officeDocument/2006/relationships/hyperlink" Target="imagenes/HALIFAX_WOMENS_119009542_BLK_3.jpg" TargetMode="External" Id="rId1373"/><Relationship Type="http://schemas.openxmlformats.org/officeDocument/2006/relationships/hyperlink" Target="imagenes/HALIFAX_WOMENS_119009542_BLK_1.jpg" TargetMode="External" Id="rId1374"/><Relationship Type="http://schemas.openxmlformats.org/officeDocument/2006/relationships/hyperlink" Target="imagenes/HALIFAX_WOMENS_119009542_BLK_2.jpg" TargetMode="External" Id="rId1375"/><Relationship Type="http://schemas.openxmlformats.org/officeDocument/2006/relationships/hyperlink" Target="imagenes/HALIFAX_WOMENS_119009542_BLK_3.jpg" TargetMode="External" Id="rId1376"/><Relationship Type="http://schemas.openxmlformats.org/officeDocument/2006/relationships/hyperlink" Target="imagenes/HALIFAX_WOMENS_119009542_GEY_1.jpg" TargetMode="External" Id="rId1377"/><Relationship Type="http://schemas.openxmlformats.org/officeDocument/2006/relationships/hyperlink" Target="imagenes/HALIFAX_WOMENS_119009542_GEY_2.jpg" TargetMode="External" Id="rId1378"/><Relationship Type="http://schemas.openxmlformats.org/officeDocument/2006/relationships/hyperlink" Target="imagenes/HALIFAX_WOMENS_119009542_GEY_3.jpg" TargetMode="External" Id="rId1379"/><Relationship Type="http://schemas.openxmlformats.org/officeDocument/2006/relationships/hyperlink" Target="imagenes/HALIFAX_WOMENS_119009542_GEY_1.jpg" TargetMode="External" Id="rId1380"/><Relationship Type="http://schemas.openxmlformats.org/officeDocument/2006/relationships/hyperlink" Target="imagenes/HALIFAX_WOMENS_119009542_GEY_2.jpg" TargetMode="External" Id="rId1381"/><Relationship Type="http://schemas.openxmlformats.org/officeDocument/2006/relationships/hyperlink" Target="imagenes/HALIFAX_WOMENS_119009542_GEY_3.jpg" TargetMode="External" Id="rId1382"/><Relationship Type="http://schemas.openxmlformats.org/officeDocument/2006/relationships/hyperlink" Target="imagenes/HALIFAX_WOMENS_119009542_GEY_1.jpg" TargetMode="External" Id="rId1383"/><Relationship Type="http://schemas.openxmlformats.org/officeDocument/2006/relationships/hyperlink" Target="imagenes/HALIFAX_WOMENS_119009542_GEY_2.jpg" TargetMode="External" Id="rId1384"/><Relationship Type="http://schemas.openxmlformats.org/officeDocument/2006/relationships/hyperlink" Target="imagenes/HALIFAX_WOMENS_119009542_GEY_3.jpg" TargetMode="External" Id="rId1385"/><Relationship Type="http://schemas.openxmlformats.org/officeDocument/2006/relationships/hyperlink" Target="imagenes/HALIFAX_WOMENS_119009542_GEY_1.jpg" TargetMode="External" Id="rId1386"/><Relationship Type="http://schemas.openxmlformats.org/officeDocument/2006/relationships/hyperlink" Target="imagenes/HALIFAX_WOMENS_119009542_GEY_2.jpg" TargetMode="External" Id="rId1387"/><Relationship Type="http://schemas.openxmlformats.org/officeDocument/2006/relationships/hyperlink" Target="imagenes/HALIFAX_WOMENS_119009542_GEY_3.jpg" TargetMode="External" Id="rId1388"/><Relationship Type="http://schemas.openxmlformats.org/officeDocument/2006/relationships/hyperlink" Target="imagenes/HALIFAX_WOMENS_119009542_GEY_1.jpg" TargetMode="External" Id="rId1389"/><Relationship Type="http://schemas.openxmlformats.org/officeDocument/2006/relationships/hyperlink" Target="imagenes/HALIFAX_WOMENS_119009542_GEY_2.jpg" TargetMode="External" Id="rId1390"/><Relationship Type="http://schemas.openxmlformats.org/officeDocument/2006/relationships/hyperlink" Target="imagenes/HALIFAX_WOMENS_119009542_GEY_3.jpg" TargetMode="External" Id="rId1391"/><Relationship Type="http://schemas.openxmlformats.org/officeDocument/2006/relationships/hyperlink" Target="imagenes/HALIFAX_WOMENS_119009542_WHT_1.jpg" TargetMode="External" Id="rId1392"/><Relationship Type="http://schemas.openxmlformats.org/officeDocument/2006/relationships/hyperlink" Target="imagenes/HALIFAX_WOMENS_119009542_WHT_2.jpg" TargetMode="External" Id="rId1393"/><Relationship Type="http://schemas.openxmlformats.org/officeDocument/2006/relationships/hyperlink" Target="imagenes/HALIFAX_WOMENS_119009542_WHT_3.jpg" TargetMode="External" Id="rId1394"/><Relationship Type="http://schemas.openxmlformats.org/officeDocument/2006/relationships/hyperlink" Target="imagenes/HALIFAX_WOMENS_119009542_WHT_1.jpg" TargetMode="External" Id="rId1395"/><Relationship Type="http://schemas.openxmlformats.org/officeDocument/2006/relationships/hyperlink" Target="imagenes/HALIFAX_WOMENS_119009542_WHT_2.jpg" TargetMode="External" Id="rId1396"/><Relationship Type="http://schemas.openxmlformats.org/officeDocument/2006/relationships/hyperlink" Target="imagenes/HALIFAX_WOMENS_119009542_WHT_3.jpg" TargetMode="External" Id="rId1397"/><Relationship Type="http://schemas.openxmlformats.org/officeDocument/2006/relationships/hyperlink" Target="imagenes/HALIFAX_WOMENS_119009542_WHT_1.jpg" TargetMode="External" Id="rId1398"/><Relationship Type="http://schemas.openxmlformats.org/officeDocument/2006/relationships/hyperlink" Target="imagenes/HALIFAX_WOMENS_119009542_WHT_2.jpg" TargetMode="External" Id="rId1399"/><Relationship Type="http://schemas.openxmlformats.org/officeDocument/2006/relationships/hyperlink" Target="imagenes/HALIFAX_WOMENS_119009542_WHT_3.jpg" TargetMode="External" Id="rId1400"/><Relationship Type="http://schemas.openxmlformats.org/officeDocument/2006/relationships/hyperlink" Target="imagenes/HALIFAX_WOMENS_119009542_WHT_1.jpg" TargetMode="External" Id="rId1401"/><Relationship Type="http://schemas.openxmlformats.org/officeDocument/2006/relationships/hyperlink" Target="imagenes/HALIFAX_WOMENS_119009542_WHT_2.jpg" TargetMode="External" Id="rId1402"/><Relationship Type="http://schemas.openxmlformats.org/officeDocument/2006/relationships/hyperlink" Target="imagenes/HALIFAX_WOMENS_119009542_WHT_3.jpg" TargetMode="External" Id="rId1403"/><Relationship Type="http://schemas.openxmlformats.org/officeDocument/2006/relationships/hyperlink" Target="imagenes/HALIFAX_WOMENS_119009542_WHT_1.jpg" TargetMode="External" Id="rId1404"/><Relationship Type="http://schemas.openxmlformats.org/officeDocument/2006/relationships/hyperlink" Target="imagenes/HALIFAX_WOMENS_119009542_WHT_2.jpg" TargetMode="External" Id="rId1405"/><Relationship Type="http://schemas.openxmlformats.org/officeDocument/2006/relationships/hyperlink" Target="imagenes/HALIFAX_WOMENS_119009542_WHT_3.jpg" TargetMode="External" Id="rId1406"/><Relationship Type="http://schemas.openxmlformats.org/officeDocument/2006/relationships/hyperlink" Target="imagenes/HALIFAX_WOMENS_119009546_BLK_1.jpg" TargetMode="External" Id="rId1407"/><Relationship Type="http://schemas.openxmlformats.org/officeDocument/2006/relationships/hyperlink" Target="imagenes/HALIFAX_WOMENS_119009546_BLK_2.jpg" TargetMode="External" Id="rId1408"/><Relationship Type="http://schemas.openxmlformats.org/officeDocument/2006/relationships/hyperlink" Target="imagenes/HALIFAX_WOMENS_119009546_BLK_3.jpg" TargetMode="External" Id="rId1409"/><Relationship Type="http://schemas.openxmlformats.org/officeDocument/2006/relationships/hyperlink" Target="imagenes/HALIFAX_WOMENS_119009546_BLK_1.jpg" TargetMode="External" Id="rId1410"/><Relationship Type="http://schemas.openxmlformats.org/officeDocument/2006/relationships/hyperlink" Target="imagenes/HALIFAX_WOMENS_119009546_BLK_2.jpg" TargetMode="External" Id="rId1411"/><Relationship Type="http://schemas.openxmlformats.org/officeDocument/2006/relationships/hyperlink" Target="imagenes/HALIFAX_WOMENS_119009546_BLK_3.jpg" TargetMode="External" Id="rId1412"/><Relationship Type="http://schemas.openxmlformats.org/officeDocument/2006/relationships/hyperlink" Target="imagenes/HALIFAX_WOMENS_119009546_BLK_1.jpg" TargetMode="External" Id="rId1413"/><Relationship Type="http://schemas.openxmlformats.org/officeDocument/2006/relationships/hyperlink" Target="imagenes/HALIFAX_WOMENS_119009546_BLK_2.jpg" TargetMode="External" Id="rId1414"/><Relationship Type="http://schemas.openxmlformats.org/officeDocument/2006/relationships/hyperlink" Target="imagenes/HALIFAX_WOMENS_119009546_BLK_3.jpg" TargetMode="External" Id="rId1415"/><Relationship Type="http://schemas.openxmlformats.org/officeDocument/2006/relationships/hyperlink" Target="imagenes/HALIFAX_WOMENS_119009546_BLK_1.jpg" TargetMode="External" Id="rId1416"/><Relationship Type="http://schemas.openxmlformats.org/officeDocument/2006/relationships/hyperlink" Target="imagenes/HALIFAX_WOMENS_119009546_BLK_2.jpg" TargetMode="External" Id="rId1417"/><Relationship Type="http://schemas.openxmlformats.org/officeDocument/2006/relationships/hyperlink" Target="imagenes/HALIFAX_WOMENS_119009546_BLK_3.jpg" TargetMode="External" Id="rId1418"/><Relationship Type="http://schemas.openxmlformats.org/officeDocument/2006/relationships/hyperlink" Target="imagenes/HALIFAX_WOMENS_119009546_BLK_1.jpg" TargetMode="External" Id="rId1419"/><Relationship Type="http://schemas.openxmlformats.org/officeDocument/2006/relationships/hyperlink" Target="imagenes/HALIFAX_WOMENS_119009546_BLK_2.jpg" TargetMode="External" Id="rId1420"/><Relationship Type="http://schemas.openxmlformats.org/officeDocument/2006/relationships/hyperlink" Target="imagenes/HALIFAX_WOMENS_119009546_BLK_3.jpg" TargetMode="External" Id="rId1421"/><Relationship Type="http://schemas.openxmlformats.org/officeDocument/2006/relationships/hyperlink" Target="imagenes/HALIFAX_WOMENS_119009546_GEY_1.jpg" TargetMode="External" Id="rId1422"/><Relationship Type="http://schemas.openxmlformats.org/officeDocument/2006/relationships/hyperlink" Target="imagenes/HALIFAX_WOMENS_119009546_GEY_2.jpg" TargetMode="External" Id="rId1423"/><Relationship Type="http://schemas.openxmlformats.org/officeDocument/2006/relationships/hyperlink" Target="imagenes/HALIFAX_WOMENS_119009546_GEY_3.jpg" TargetMode="External" Id="rId1424"/><Relationship Type="http://schemas.openxmlformats.org/officeDocument/2006/relationships/hyperlink" Target="imagenes/HALIFAX_WOMENS_119009546_GEY_1.jpg" TargetMode="External" Id="rId1425"/><Relationship Type="http://schemas.openxmlformats.org/officeDocument/2006/relationships/hyperlink" Target="imagenes/HALIFAX_WOMENS_119009546_GEY_2.jpg" TargetMode="External" Id="rId1426"/><Relationship Type="http://schemas.openxmlformats.org/officeDocument/2006/relationships/hyperlink" Target="imagenes/HALIFAX_WOMENS_119009546_GEY_3.jpg" TargetMode="External" Id="rId1427"/><Relationship Type="http://schemas.openxmlformats.org/officeDocument/2006/relationships/hyperlink" Target="imagenes/HALIFAX_WOMENS_119009546_GEY_1.jpg" TargetMode="External" Id="rId1428"/><Relationship Type="http://schemas.openxmlformats.org/officeDocument/2006/relationships/hyperlink" Target="imagenes/HALIFAX_WOMENS_119009546_GEY_2.jpg" TargetMode="External" Id="rId1429"/><Relationship Type="http://schemas.openxmlformats.org/officeDocument/2006/relationships/hyperlink" Target="imagenes/HALIFAX_WOMENS_119009546_GEY_3.jpg" TargetMode="External" Id="rId1430"/><Relationship Type="http://schemas.openxmlformats.org/officeDocument/2006/relationships/hyperlink" Target="imagenes/HALIFAX_WOMENS_119009546_GEY_1.jpg" TargetMode="External" Id="rId1431"/><Relationship Type="http://schemas.openxmlformats.org/officeDocument/2006/relationships/hyperlink" Target="imagenes/HALIFAX_WOMENS_119009546_GEY_2.jpg" TargetMode="External" Id="rId1432"/><Relationship Type="http://schemas.openxmlformats.org/officeDocument/2006/relationships/hyperlink" Target="imagenes/HALIFAX_WOMENS_119009546_GEY_3.jpg" TargetMode="External" Id="rId1433"/><Relationship Type="http://schemas.openxmlformats.org/officeDocument/2006/relationships/hyperlink" Target="imagenes/HALIFAX_WOMENS_119009546_GEY_1.jpg" TargetMode="External" Id="rId1434"/><Relationship Type="http://schemas.openxmlformats.org/officeDocument/2006/relationships/hyperlink" Target="imagenes/HALIFAX_WOMENS_119009546_GEY_2.jpg" TargetMode="External" Id="rId1435"/><Relationship Type="http://schemas.openxmlformats.org/officeDocument/2006/relationships/hyperlink" Target="imagenes/HALIFAX_WOMENS_119009546_GEY_3.jpg" TargetMode="External" Id="rId1436"/><Relationship Type="http://schemas.openxmlformats.org/officeDocument/2006/relationships/hyperlink" Target="imagenes/HALIFAX_WOMENS_119009546_WHT_1.jpg" TargetMode="External" Id="rId1437"/><Relationship Type="http://schemas.openxmlformats.org/officeDocument/2006/relationships/hyperlink" Target="imagenes/HALIFAX_WOMENS_119009546_WHT_2.jpg" TargetMode="External" Id="rId1438"/><Relationship Type="http://schemas.openxmlformats.org/officeDocument/2006/relationships/hyperlink" Target="imagenes/HALIFAX_WOMENS_119009546_WHT_3.jpg" TargetMode="External" Id="rId1439"/><Relationship Type="http://schemas.openxmlformats.org/officeDocument/2006/relationships/hyperlink" Target="imagenes/HALIFAX_WOMENS_119009546_WHT_1.jpg" TargetMode="External" Id="rId1440"/><Relationship Type="http://schemas.openxmlformats.org/officeDocument/2006/relationships/hyperlink" Target="imagenes/HALIFAX_WOMENS_119009546_WHT_2.jpg" TargetMode="External" Id="rId1441"/><Relationship Type="http://schemas.openxmlformats.org/officeDocument/2006/relationships/hyperlink" Target="imagenes/HALIFAX_WOMENS_119009546_WHT_3.jpg" TargetMode="External" Id="rId1442"/><Relationship Type="http://schemas.openxmlformats.org/officeDocument/2006/relationships/hyperlink" Target="imagenes/HALIFAX_WOMENS_119009546_WHT_1.jpg" TargetMode="External" Id="rId1443"/><Relationship Type="http://schemas.openxmlformats.org/officeDocument/2006/relationships/hyperlink" Target="imagenes/HALIFAX_WOMENS_119009546_WHT_2.jpg" TargetMode="External" Id="rId1444"/><Relationship Type="http://schemas.openxmlformats.org/officeDocument/2006/relationships/hyperlink" Target="imagenes/HALIFAX_WOMENS_119009546_WHT_3.jpg" TargetMode="External" Id="rId1445"/><Relationship Type="http://schemas.openxmlformats.org/officeDocument/2006/relationships/hyperlink" Target="imagenes/HALIFAX_WOMENS_119009546_WHT_1.jpg" TargetMode="External" Id="rId1446"/><Relationship Type="http://schemas.openxmlformats.org/officeDocument/2006/relationships/hyperlink" Target="imagenes/HALIFAX_WOMENS_119009546_WHT_2.jpg" TargetMode="External" Id="rId1447"/><Relationship Type="http://schemas.openxmlformats.org/officeDocument/2006/relationships/hyperlink" Target="imagenes/HALIFAX_WOMENS_119009546_WHT_3.jpg" TargetMode="External" Id="rId1448"/><Relationship Type="http://schemas.openxmlformats.org/officeDocument/2006/relationships/hyperlink" Target="imagenes/HALIFAX_WOMENS_119009546_WHT_1.jpg" TargetMode="External" Id="rId1449"/><Relationship Type="http://schemas.openxmlformats.org/officeDocument/2006/relationships/hyperlink" Target="imagenes/HALIFAX_WOMENS_119009546_WHT_2.jpg" TargetMode="External" Id="rId1450"/><Relationship Type="http://schemas.openxmlformats.org/officeDocument/2006/relationships/hyperlink" Target="imagenes/HALIFAX_WOMENS_119009546_WHT_3.jpg" TargetMode="External" Id="rId1451"/><Relationship Type="http://schemas.openxmlformats.org/officeDocument/2006/relationships/hyperlink" Target="imagenes/HALIFAX_WOMENS_119009671_BLK_1.jpg" TargetMode="External" Id="rId1452"/><Relationship Type="http://schemas.openxmlformats.org/officeDocument/2006/relationships/hyperlink" Target="imagenes/HALIFAX_WOMENS_119009671_BLK_2.jpg" TargetMode="External" Id="rId1453"/><Relationship Type="http://schemas.openxmlformats.org/officeDocument/2006/relationships/hyperlink" Target="imagenes/HALIFAX_WOMENS_119009671_BLK_3.jpg" TargetMode="External" Id="rId1454"/><Relationship Type="http://schemas.openxmlformats.org/officeDocument/2006/relationships/hyperlink" Target="imagenes/HALIFAX_WOMENS_119009671_BLK_1.jpg" TargetMode="External" Id="rId1455"/><Relationship Type="http://schemas.openxmlformats.org/officeDocument/2006/relationships/hyperlink" Target="imagenes/HALIFAX_WOMENS_119009671_BLK_2.jpg" TargetMode="External" Id="rId1456"/><Relationship Type="http://schemas.openxmlformats.org/officeDocument/2006/relationships/hyperlink" Target="imagenes/HALIFAX_WOMENS_119009671_BLK_3.jpg" TargetMode="External" Id="rId1457"/><Relationship Type="http://schemas.openxmlformats.org/officeDocument/2006/relationships/hyperlink" Target="imagenes/HALIFAX_WOMENS_119009671_BLK_1.jpg" TargetMode="External" Id="rId1458"/><Relationship Type="http://schemas.openxmlformats.org/officeDocument/2006/relationships/hyperlink" Target="imagenes/HALIFAX_WOMENS_119009671_BLK_2.jpg" TargetMode="External" Id="rId1459"/><Relationship Type="http://schemas.openxmlformats.org/officeDocument/2006/relationships/hyperlink" Target="imagenes/HALIFAX_WOMENS_119009671_BLK_3.jpg" TargetMode="External" Id="rId1460"/><Relationship Type="http://schemas.openxmlformats.org/officeDocument/2006/relationships/hyperlink" Target="imagenes/HALIFAX_WOMENS_119009671_GEY_1.jpg" TargetMode="External" Id="rId1461"/><Relationship Type="http://schemas.openxmlformats.org/officeDocument/2006/relationships/hyperlink" Target="imagenes/HALIFAX_WOMENS_119009671_GEY_2.jpg" TargetMode="External" Id="rId1462"/><Relationship Type="http://schemas.openxmlformats.org/officeDocument/2006/relationships/hyperlink" Target="imagenes/HALIFAX_WOMENS_119009671_GEY_3.jpg" TargetMode="External" Id="rId1463"/><Relationship Type="http://schemas.openxmlformats.org/officeDocument/2006/relationships/hyperlink" Target="imagenes/HALIFAX_WOMENS_119009671_GEY_1.jpg" TargetMode="External" Id="rId1464"/><Relationship Type="http://schemas.openxmlformats.org/officeDocument/2006/relationships/hyperlink" Target="imagenes/HALIFAX_WOMENS_119009671_GEY_2.jpg" TargetMode="External" Id="rId1465"/><Relationship Type="http://schemas.openxmlformats.org/officeDocument/2006/relationships/hyperlink" Target="imagenes/HALIFAX_WOMENS_119009671_GEY_3.jpg" TargetMode="External" Id="rId1466"/><Relationship Type="http://schemas.openxmlformats.org/officeDocument/2006/relationships/hyperlink" Target="imagenes/HALIFAX_WOMENS_119009671_GEY_1.jpg" TargetMode="External" Id="rId1467"/><Relationship Type="http://schemas.openxmlformats.org/officeDocument/2006/relationships/hyperlink" Target="imagenes/HALIFAX_WOMENS_119009671_GEY_2.jpg" TargetMode="External" Id="rId1468"/><Relationship Type="http://schemas.openxmlformats.org/officeDocument/2006/relationships/hyperlink" Target="imagenes/HALIFAX_WOMENS_119009671_GEY_3.jpg" TargetMode="External" Id="rId1469"/><Relationship Type="http://schemas.openxmlformats.org/officeDocument/2006/relationships/hyperlink" Target="imagenes/HALIFAX_WOMENS_119009671_WHT_1.jpg" TargetMode="External" Id="rId1470"/><Relationship Type="http://schemas.openxmlformats.org/officeDocument/2006/relationships/hyperlink" Target="imagenes/HALIFAX_WOMENS_119009671_WHT_2.jpg" TargetMode="External" Id="rId1471"/><Relationship Type="http://schemas.openxmlformats.org/officeDocument/2006/relationships/hyperlink" Target="imagenes/HALIFAX_WOMENS_119009671_WHT_3.jpg" TargetMode="External" Id="rId1472"/><Relationship Type="http://schemas.openxmlformats.org/officeDocument/2006/relationships/hyperlink" Target="imagenes/HALIFAX_WOMENS_119009671_WHT_1.jpg" TargetMode="External" Id="rId1473"/><Relationship Type="http://schemas.openxmlformats.org/officeDocument/2006/relationships/hyperlink" Target="imagenes/HALIFAX_WOMENS_119009671_WHT_2.jpg" TargetMode="External" Id="rId1474"/><Relationship Type="http://schemas.openxmlformats.org/officeDocument/2006/relationships/hyperlink" Target="imagenes/HALIFAX_WOMENS_119009671_WHT_3.jpg" TargetMode="External" Id="rId1475"/><Relationship Type="http://schemas.openxmlformats.org/officeDocument/2006/relationships/hyperlink" Target="imagenes/HALIFAX_WOMENS_119009671_WHT_1.jpg" TargetMode="External" Id="rId1476"/><Relationship Type="http://schemas.openxmlformats.org/officeDocument/2006/relationships/hyperlink" Target="imagenes/HALIFAX_WOMENS_119009671_WHT_2.jpg" TargetMode="External" Id="rId1477"/><Relationship Type="http://schemas.openxmlformats.org/officeDocument/2006/relationships/hyperlink" Target="imagenes/HALIFAX_WOMENS_119009671_WHT_3.jpg" TargetMode="External" Id="rId1478"/><Relationship Type="http://schemas.openxmlformats.org/officeDocument/2006/relationships/hyperlink" Target="imagenes/HALIFAX_WOMENS_119009672_BLK_1.jpg" TargetMode="External" Id="rId1479"/><Relationship Type="http://schemas.openxmlformats.org/officeDocument/2006/relationships/hyperlink" Target="imagenes/HALIFAX_WOMENS_119009672_BLK_2.jpg" TargetMode="External" Id="rId1480"/><Relationship Type="http://schemas.openxmlformats.org/officeDocument/2006/relationships/hyperlink" Target="imagenes/HALIFAX_WOMENS_119009672_BLK_3.jpg" TargetMode="External" Id="rId1481"/><Relationship Type="http://schemas.openxmlformats.org/officeDocument/2006/relationships/hyperlink" Target="imagenes/HALIFAX_WOMENS_119009672_BLK_1.jpg" TargetMode="External" Id="rId1482"/><Relationship Type="http://schemas.openxmlformats.org/officeDocument/2006/relationships/hyperlink" Target="imagenes/HALIFAX_WOMENS_119009672_BLK_2.jpg" TargetMode="External" Id="rId1483"/><Relationship Type="http://schemas.openxmlformats.org/officeDocument/2006/relationships/hyperlink" Target="imagenes/HALIFAX_WOMENS_119009672_BLK_3.jpg" TargetMode="External" Id="rId1484"/><Relationship Type="http://schemas.openxmlformats.org/officeDocument/2006/relationships/hyperlink" Target="imagenes/HALIFAX_WOMENS_119009672_BLK_1.jpg" TargetMode="External" Id="rId1485"/><Relationship Type="http://schemas.openxmlformats.org/officeDocument/2006/relationships/hyperlink" Target="imagenes/HALIFAX_WOMENS_119009672_BLK_2.jpg" TargetMode="External" Id="rId1486"/><Relationship Type="http://schemas.openxmlformats.org/officeDocument/2006/relationships/hyperlink" Target="imagenes/HALIFAX_WOMENS_119009672_BLK_3.jpg" TargetMode="External" Id="rId1487"/><Relationship Type="http://schemas.openxmlformats.org/officeDocument/2006/relationships/hyperlink" Target="imagenes/HALIFAX_WOMENS_119009672_GEY_1.jpg" TargetMode="External" Id="rId1488"/><Relationship Type="http://schemas.openxmlformats.org/officeDocument/2006/relationships/hyperlink" Target="imagenes/HALIFAX_WOMENS_119009672_GEY_2.jpg" TargetMode="External" Id="rId1489"/><Relationship Type="http://schemas.openxmlformats.org/officeDocument/2006/relationships/hyperlink" Target="imagenes/HALIFAX_WOMENS_119009672_GEY_3.jpg" TargetMode="External" Id="rId1490"/><Relationship Type="http://schemas.openxmlformats.org/officeDocument/2006/relationships/hyperlink" Target="imagenes/HALIFAX_WOMENS_119009672_GEY_1.jpg" TargetMode="External" Id="rId1491"/><Relationship Type="http://schemas.openxmlformats.org/officeDocument/2006/relationships/hyperlink" Target="imagenes/HALIFAX_WOMENS_119009672_GEY_2.jpg" TargetMode="External" Id="rId1492"/><Relationship Type="http://schemas.openxmlformats.org/officeDocument/2006/relationships/hyperlink" Target="imagenes/HALIFAX_WOMENS_119009672_GEY_3.jpg" TargetMode="External" Id="rId1493"/><Relationship Type="http://schemas.openxmlformats.org/officeDocument/2006/relationships/hyperlink" Target="imagenes/HALIFAX_WOMENS_119009672_GEY_1.jpg" TargetMode="External" Id="rId1494"/><Relationship Type="http://schemas.openxmlformats.org/officeDocument/2006/relationships/hyperlink" Target="imagenes/HALIFAX_WOMENS_119009672_GEY_2.jpg" TargetMode="External" Id="rId1495"/><Relationship Type="http://schemas.openxmlformats.org/officeDocument/2006/relationships/hyperlink" Target="imagenes/HALIFAX_WOMENS_119009672_GEY_3.jpg" TargetMode="External" Id="rId1496"/><Relationship Type="http://schemas.openxmlformats.org/officeDocument/2006/relationships/hyperlink" Target="imagenes/HALIFAX_WOMENS_119009672_WHT_1.jpg" TargetMode="External" Id="rId1497"/><Relationship Type="http://schemas.openxmlformats.org/officeDocument/2006/relationships/hyperlink" Target="imagenes/HALIFAX_WOMENS_119009672_WHT_2.jpg" TargetMode="External" Id="rId1498"/><Relationship Type="http://schemas.openxmlformats.org/officeDocument/2006/relationships/hyperlink" Target="imagenes/HALIFAX_WOMENS_119009672_WHT_3.jpg" TargetMode="External" Id="rId1499"/><Relationship Type="http://schemas.openxmlformats.org/officeDocument/2006/relationships/hyperlink" Target="imagenes/HALIFAX_WOMENS_119009672_WHT_1.jpg" TargetMode="External" Id="rId1500"/><Relationship Type="http://schemas.openxmlformats.org/officeDocument/2006/relationships/hyperlink" Target="imagenes/HALIFAX_WOMENS_119009672_WHT_2.jpg" TargetMode="External" Id="rId1501"/><Relationship Type="http://schemas.openxmlformats.org/officeDocument/2006/relationships/hyperlink" Target="imagenes/HALIFAX_WOMENS_119009672_WHT_3.jpg" TargetMode="External" Id="rId1502"/><Relationship Type="http://schemas.openxmlformats.org/officeDocument/2006/relationships/hyperlink" Target="imagenes/HALIFAX_WOMENS_119009672_WHT_1.jpg" TargetMode="External" Id="rId1503"/><Relationship Type="http://schemas.openxmlformats.org/officeDocument/2006/relationships/hyperlink" Target="imagenes/HALIFAX_WOMENS_119009672_WHT_2.jpg" TargetMode="External" Id="rId1504"/><Relationship Type="http://schemas.openxmlformats.org/officeDocument/2006/relationships/hyperlink" Target="imagenes/HALIFAX_WOMENS_119009672_WHT_3.jpg" TargetMode="External" Id="rId1505"/><Relationship Type="http://schemas.openxmlformats.org/officeDocument/2006/relationships/hyperlink" Target="imagenes/HALIFAX_WOMENS_119009992_ADR_1.jpg" TargetMode="External" Id="rId1506"/><Relationship Type="http://schemas.openxmlformats.org/officeDocument/2006/relationships/hyperlink" Target="imagenes/HALIFAX_WOMENS_119009992_ADR_2.jpg" TargetMode="External" Id="rId1507"/><Relationship Type="http://schemas.openxmlformats.org/officeDocument/2006/relationships/hyperlink" Target="imagenes/HALIFAX_WOMENS_119009992_ADR_3.jpg" TargetMode="External" Id="rId1508"/><Relationship Type="http://schemas.openxmlformats.org/officeDocument/2006/relationships/hyperlink" Target="imagenes/HALIFAX_WOMENS_119009992_ADR_1.jpg" TargetMode="External" Id="rId1509"/><Relationship Type="http://schemas.openxmlformats.org/officeDocument/2006/relationships/hyperlink" Target="imagenes/HALIFAX_WOMENS_119009992_ADR_2.jpg" TargetMode="External" Id="rId1510"/><Relationship Type="http://schemas.openxmlformats.org/officeDocument/2006/relationships/hyperlink" Target="imagenes/HALIFAX_WOMENS_119009992_ADR_3.jpg" TargetMode="External" Id="rId1511"/><Relationship Type="http://schemas.openxmlformats.org/officeDocument/2006/relationships/hyperlink" Target="imagenes/HALIFAX_WOMENS_119009992_ADR_1.jpg" TargetMode="External" Id="rId1512"/><Relationship Type="http://schemas.openxmlformats.org/officeDocument/2006/relationships/hyperlink" Target="imagenes/HALIFAX_WOMENS_119009992_ADR_2.jpg" TargetMode="External" Id="rId1513"/><Relationship Type="http://schemas.openxmlformats.org/officeDocument/2006/relationships/hyperlink" Target="imagenes/HALIFAX_WOMENS_119009992_ADR_3.jpg" TargetMode="External" Id="rId1514"/><Relationship Type="http://schemas.openxmlformats.org/officeDocument/2006/relationships/hyperlink" Target="imagenes/HALIFAX_WOMENS_119009992_ADR_1.jpg" TargetMode="External" Id="rId1515"/><Relationship Type="http://schemas.openxmlformats.org/officeDocument/2006/relationships/hyperlink" Target="imagenes/HALIFAX_WOMENS_119009992_ADR_2.jpg" TargetMode="External" Id="rId1516"/><Relationship Type="http://schemas.openxmlformats.org/officeDocument/2006/relationships/hyperlink" Target="imagenes/HALIFAX_WOMENS_119009992_ADR_3.jpg" TargetMode="External" Id="rId1517"/><Relationship Type="http://schemas.openxmlformats.org/officeDocument/2006/relationships/hyperlink" Target="imagenes/HALIFAX_WOMENS_119009992_ADR_1.jpg" TargetMode="External" Id="rId1518"/><Relationship Type="http://schemas.openxmlformats.org/officeDocument/2006/relationships/hyperlink" Target="imagenes/HALIFAX_WOMENS_119009992_ADR_2.jpg" TargetMode="External" Id="rId1519"/><Relationship Type="http://schemas.openxmlformats.org/officeDocument/2006/relationships/hyperlink" Target="imagenes/HALIFAX_WOMENS_119009992_ADR_3.jpg" TargetMode="External" Id="rId1520"/><Relationship Type="http://schemas.openxmlformats.org/officeDocument/2006/relationships/hyperlink" Target="imagenes/HALIFAX_WOMENS_119009992_BLK_1.jpg" TargetMode="External" Id="rId1521"/><Relationship Type="http://schemas.openxmlformats.org/officeDocument/2006/relationships/hyperlink" Target="imagenes/HALIFAX_WOMENS_119009992_BLK_2.jpg" TargetMode="External" Id="rId1522"/><Relationship Type="http://schemas.openxmlformats.org/officeDocument/2006/relationships/hyperlink" Target="imagenes/HALIFAX_WOMENS_119009992_BLK_3.jpg" TargetMode="External" Id="rId1523"/><Relationship Type="http://schemas.openxmlformats.org/officeDocument/2006/relationships/hyperlink" Target="imagenes/HALIFAX_WOMENS_119009992_BLK_1.jpg" TargetMode="External" Id="rId1524"/><Relationship Type="http://schemas.openxmlformats.org/officeDocument/2006/relationships/hyperlink" Target="imagenes/HALIFAX_WOMENS_119009992_BLK_2.jpg" TargetMode="External" Id="rId1525"/><Relationship Type="http://schemas.openxmlformats.org/officeDocument/2006/relationships/hyperlink" Target="imagenes/HALIFAX_WOMENS_119009992_BLK_3.jpg" TargetMode="External" Id="rId1526"/><Relationship Type="http://schemas.openxmlformats.org/officeDocument/2006/relationships/hyperlink" Target="imagenes/HALIFAX_WOMENS_119009992_BLK_1.jpg" TargetMode="External" Id="rId1527"/><Relationship Type="http://schemas.openxmlformats.org/officeDocument/2006/relationships/hyperlink" Target="imagenes/HALIFAX_WOMENS_119009992_BLK_2.jpg" TargetMode="External" Id="rId1528"/><Relationship Type="http://schemas.openxmlformats.org/officeDocument/2006/relationships/hyperlink" Target="imagenes/HALIFAX_WOMENS_119009992_BLK_3.jpg" TargetMode="External" Id="rId1529"/><Relationship Type="http://schemas.openxmlformats.org/officeDocument/2006/relationships/hyperlink" Target="imagenes/HALIFAX_WOMENS_119009992_BLK_1.jpg" TargetMode="External" Id="rId1530"/><Relationship Type="http://schemas.openxmlformats.org/officeDocument/2006/relationships/hyperlink" Target="imagenes/HALIFAX_WOMENS_119009992_BLK_2.jpg" TargetMode="External" Id="rId1531"/><Relationship Type="http://schemas.openxmlformats.org/officeDocument/2006/relationships/hyperlink" Target="imagenes/HALIFAX_WOMENS_119009992_BLK_3.jpg" TargetMode="External" Id="rId1532"/><Relationship Type="http://schemas.openxmlformats.org/officeDocument/2006/relationships/hyperlink" Target="imagenes/HALIFAX_WOMENS_119009992_BLK_1.jpg" TargetMode="External" Id="rId1533"/><Relationship Type="http://schemas.openxmlformats.org/officeDocument/2006/relationships/hyperlink" Target="imagenes/HALIFAX_WOMENS_119009992_BLK_2.jpg" TargetMode="External" Id="rId1534"/><Relationship Type="http://schemas.openxmlformats.org/officeDocument/2006/relationships/hyperlink" Target="imagenes/HALIFAX_WOMENS_119009992_BLK_3.jpg" TargetMode="External" Id="rId1535"/><Relationship Type="http://schemas.openxmlformats.org/officeDocument/2006/relationships/hyperlink" Target="imagenes/HALIFAX_WOMENS_119010132_ADR_1.jpg" TargetMode="External" Id="rId1536"/><Relationship Type="http://schemas.openxmlformats.org/officeDocument/2006/relationships/hyperlink" Target="imagenes/HALIFAX_WOMENS_119010132_ADR_2.jpg" TargetMode="External" Id="rId1537"/><Relationship Type="http://schemas.openxmlformats.org/officeDocument/2006/relationships/hyperlink" Target="imagenes/HALIFAX_WOMENS_119010132_ADR_3.jpg" TargetMode="External" Id="rId1538"/><Relationship Type="http://schemas.openxmlformats.org/officeDocument/2006/relationships/hyperlink" Target="imagenes/HALIFAX_WOMENS_119010132_BLK_1.jpg" TargetMode="External" Id="rId1539"/><Relationship Type="http://schemas.openxmlformats.org/officeDocument/2006/relationships/hyperlink" Target="imagenes/HALIFAX_WOMENS_119010132_BLK_2.jpg" TargetMode="External" Id="rId1540"/><Relationship Type="http://schemas.openxmlformats.org/officeDocument/2006/relationships/hyperlink" Target="imagenes/HALIFAX_WOMENS_119010132_BLK_3.jpg" TargetMode="External" Id="rId1541"/><Relationship Type="http://schemas.openxmlformats.org/officeDocument/2006/relationships/hyperlink" Target="imagenes/HALIFAX_WOMENS_119010132_SOM_1.jpg" TargetMode="External" Id="rId1542"/><Relationship Type="http://schemas.openxmlformats.org/officeDocument/2006/relationships/hyperlink" Target="imagenes/HALIFAX_WOMENS_119010132_SOM_2.jpg" TargetMode="External" Id="rId1543"/><Relationship Type="http://schemas.openxmlformats.org/officeDocument/2006/relationships/hyperlink" Target="imagenes/HALIFAX_WOMENS_119010132_SOM_3.jpg" TargetMode="External" Id="rId1544"/><Relationship Type="http://schemas.openxmlformats.org/officeDocument/2006/relationships/hyperlink" Target="imagenes/HALIFAX_WOMENS_J031024_BA6_1.jpg" TargetMode="External" Id="rId1545"/><Relationship Type="http://schemas.openxmlformats.org/officeDocument/2006/relationships/hyperlink" Target="imagenes/HALIFAX_WOMENS_J031024_BA6_2.jpg" TargetMode="External" Id="rId1546"/><Relationship Type="http://schemas.openxmlformats.org/officeDocument/2006/relationships/hyperlink" Target="imagenes/HALIFAX_WOMENS_J031024_BA6_3.jpg" TargetMode="External" Id="rId1547"/><Relationship Type="http://schemas.openxmlformats.org/officeDocument/2006/relationships/hyperlink" Target="imagenes/HALIFAX_WOMENS_J031024_PE1_1.jpg" TargetMode="External" Id="rId1548"/><Relationship Type="http://schemas.openxmlformats.org/officeDocument/2006/relationships/hyperlink" Target="imagenes/HALIFAX_WOMENS_J031024_PE1_2.jpg" TargetMode="External" Id="rId1549"/><Relationship Type="http://schemas.openxmlformats.org/officeDocument/2006/relationships/hyperlink" Target="imagenes/HALIFAX_WOMENS_J031024_PE1_3.jpg" TargetMode="External" Id="rId1550"/><Relationship Type="http://schemas.openxmlformats.org/officeDocument/2006/relationships/hyperlink" Target="imagenes/HALIFAX_WOMENS_J424135_THO_1.jpg" TargetMode="External" Id="rId1551"/><Relationship Type="http://schemas.openxmlformats.org/officeDocument/2006/relationships/hyperlink" Target="imagenes/HALIFAX_WOMENS_J424135_THO_2.jpg" TargetMode="External" Id="rId1552"/><Relationship Type="http://schemas.openxmlformats.org/officeDocument/2006/relationships/hyperlink" Target="imagenes/HALIFAX_WOMENS_J424135_THO_3.jpg" TargetMode="External" Id="rId1553"/><Relationship Type="http://schemas.openxmlformats.org/officeDocument/2006/relationships/hyperlink" Target="imagenes/HALIFAX_WOMENS_J631004_BOR_1.jpg" TargetMode="External" Id="rId1554"/><Relationship Type="http://schemas.openxmlformats.org/officeDocument/2006/relationships/hyperlink" Target="imagenes/HALIFAX_WOMENS_J631004_BOR_2.jpg" TargetMode="External" Id="rId1555"/><Relationship Type="http://schemas.openxmlformats.org/officeDocument/2006/relationships/hyperlink" Target="imagenes/HALIFAX_WOMENS_J631004_BOR_3.jpg" TargetMode="External" Id="rId1556"/><Relationship Type="http://schemas.openxmlformats.org/officeDocument/2006/relationships/hyperlink" Target="imagenes/HALIFAX_WOMENS_J631004_BOR_1.jpg" TargetMode="External" Id="rId1557"/><Relationship Type="http://schemas.openxmlformats.org/officeDocument/2006/relationships/hyperlink" Target="imagenes/HALIFAX_WOMENS_J631004_BOR_2.jpg" TargetMode="External" Id="rId1558"/><Relationship Type="http://schemas.openxmlformats.org/officeDocument/2006/relationships/hyperlink" Target="imagenes/HALIFAX_WOMENS_J631004_BOR_3.jpg" TargetMode="External" Id="rId1559"/><Relationship Type="http://schemas.openxmlformats.org/officeDocument/2006/relationships/hyperlink" Target="imagenes/HALIFAX_WOMENS_J820824_BLK_1.jpg" TargetMode="External" Id="rId1560"/><Relationship Type="http://schemas.openxmlformats.org/officeDocument/2006/relationships/hyperlink" Target="imagenes/HALIFAX_WOMENS_J820824_BLK_2.jpg" TargetMode="External" Id="rId1561"/><Relationship Type="http://schemas.openxmlformats.org/officeDocument/2006/relationships/hyperlink" Target="imagenes/HALIFAX_WOMENS_J820824_BLK_3.jpg" TargetMode="External" Id="rId1562"/><Relationship Type="http://schemas.openxmlformats.org/officeDocument/2006/relationships/hyperlink" Target="imagenes/HALIFAX_WOMENS_J820824_MAA_1.jpg" TargetMode="External" Id="rId1563"/><Relationship Type="http://schemas.openxmlformats.org/officeDocument/2006/relationships/hyperlink" Target="imagenes/HALIFAX_WOMENS_J820824_MAA_2.jpg" TargetMode="External" Id="rId1564"/><Relationship Type="http://schemas.openxmlformats.org/officeDocument/2006/relationships/hyperlink" Target="imagenes/HALIFAX_WOMENS_J820824_MAA_3.jpg" TargetMode="External" Id="rId1565"/><Relationship Type="http://schemas.openxmlformats.org/officeDocument/2006/relationships/hyperlink" Target="imagenes/HALIFAX_WOMENS_J825523_CCS_1.jpg" TargetMode="External" Id="rId1566"/><Relationship Type="http://schemas.openxmlformats.org/officeDocument/2006/relationships/hyperlink" Target="imagenes/HALIFAX_WOMENS_J825523_CCS_2.jpg" TargetMode="External" Id="rId1567"/><Relationship Type="http://schemas.openxmlformats.org/officeDocument/2006/relationships/hyperlink" Target="imagenes/HALIFAX_WOMENS_J825523_CCS_3.jpg" TargetMode="External" Id="rId1568"/><Relationship Type="http://schemas.openxmlformats.org/officeDocument/2006/relationships/hyperlink" Target="imagenes/HALIFAX_WOMENS_J828840_SAG_2.jpg" TargetMode="External" Id="rId1569"/><Relationship Type="http://schemas.openxmlformats.org/officeDocument/2006/relationships/hyperlink" Target="imagenes/HALIFAX_WOMENS_J828840_SAG_3.jpg" TargetMode="External" Id="rId1570"/><Relationship Type="http://schemas.openxmlformats.org/officeDocument/2006/relationships/hyperlink" Target="imagenes/HALIFAX_WOMENS_J828840_SAG_2.jpg" TargetMode="External" Id="rId1571"/><Relationship Type="http://schemas.openxmlformats.org/officeDocument/2006/relationships/hyperlink" Target="imagenes/HALIFAX_WOMENS_J828840_SAG_3.jpg" TargetMode="External" Id="rId1572"/><Relationship Type="http://schemas.openxmlformats.org/officeDocument/2006/relationships/hyperlink" Target="imagenes/HALIFAX_WOMENS_J830800_RED_1.jpg" TargetMode="External" Id="rId1573"/><Relationship Type="http://schemas.openxmlformats.org/officeDocument/2006/relationships/hyperlink" Target="imagenes/HALIFAX_WOMENS_J830800_RED_2.jpg" TargetMode="External" Id="rId1574"/><Relationship Type="http://schemas.openxmlformats.org/officeDocument/2006/relationships/hyperlink" Target="imagenes/HALIFAX_WOMENS_J830800_RED_3.jpg" TargetMode="External" Id="rId1575"/><Relationship Type="http://schemas.openxmlformats.org/officeDocument/2006/relationships/hyperlink" Target="imagenes/LAUNDRY_BY_DESIGN_121000411_MGN_1.jpg" TargetMode="External" Id="rId1576"/><Relationship Type="http://schemas.openxmlformats.org/officeDocument/2006/relationships/hyperlink" Target="imagenes/LAUNDRY_BY_DESIGN_121000411_MGN_2.jpg" TargetMode="External" Id="rId1577"/><Relationship Type="http://schemas.openxmlformats.org/officeDocument/2006/relationships/hyperlink" Target="imagenes/LAUNDRY_BY_DESIGN_121000411_MGN_3.jpg" TargetMode="External" Id="rId1578"/><Relationship Type="http://schemas.openxmlformats.org/officeDocument/2006/relationships/hyperlink" Target="imagenes/LAUNDRY_BY_DESIGN_121000428_BLK_1.jpg" TargetMode="External" Id="rId1579"/><Relationship Type="http://schemas.openxmlformats.org/officeDocument/2006/relationships/hyperlink" Target="imagenes/LAUNDRY_BY_DESIGN_121000428_BLK_2.jpg" TargetMode="External" Id="rId1580"/><Relationship Type="http://schemas.openxmlformats.org/officeDocument/2006/relationships/hyperlink" Target="imagenes/LAUNDRY_BY_DESIGN_121000428_BLK_3.jpg" TargetMode="External" Id="rId1581"/><Relationship Type="http://schemas.openxmlformats.org/officeDocument/2006/relationships/hyperlink" Target="imagenes/LAUNDRY_BY_DESIGN_121000428_BLK_1.jpg" TargetMode="External" Id="rId1582"/><Relationship Type="http://schemas.openxmlformats.org/officeDocument/2006/relationships/hyperlink" Target="imagenes/LAUNDRY_BY_DESIGN_121000428_BLK_2.jpg" TargetMode="External" Id="rId1583"/><Relationship Type="http://schemas.openxmlformats.org/officeDocument/2006/relationships/hyperlink" Target="imagenes/LAUNDRY_BY_DESIGN_121000428_BLK_3.jpg" TargetMode="External" Id="rId1584"/><Relationship Type="http://schemas.openxmlformats.org/officeDocument/2006/relationships/hyperlink" Target="imagenes/LAUNDRY_BY_DESIGN_121000428_BLK_1.jpg" TargetMode="External" Id="rId1585"/><Relationship Type="http://schemas.openxmlformats.org/officeDocument/2006/relationships/hyperlink" Target="imagenes/LAUNDRY_BY_DESIGN_121000428_BLK_2.jpg" TargetMode="External" Id="rId1586"/><Relationship Type="http://schemas.openxmlformats.org/officeDocument/2006/relationships/hyperlink" Target="imagenes/LAUNDRY_BY_DESIGN_121000428_BLK_3.jpg" TargetMode="External" Id="rId1587"/><Relationship Type="http://schemas.openxmlformats.org/officeDocument/2006/relationships/hyperlink" Target="imagenes/LAUNDRY_BY_DESIGN_121000428_BLK_1.jpg" TargetMode="External" Id="rId1588"/><Relationship Type="http://schemas.openxmlformats.org/officeDocument/2006/relationships/hyperlink" Target="imagenes/LAUNDRY_BY_DESIGN_121000428_BLK_2.jpg" TargetMode="External" Id="rId1589"/><Relationship Type="http://schemas.openxmlformats.org/officeDocument/2006/relationships/hyperlink" Target="imagenes/LAUNDRY_BY_DESIGN_121000428_BLK_3.jpg" TargetMode="External" Id="rId1590"/><Relationship Type="http://schemas.openxmlformats.org/officeDocument/2006/relationships/hyperlink" Target="imagenes/LAUNDRY_BY_DESIGN_121000428_CAM_1.jpg" TargetMode="External" Id="rId1591"/><Relationship Type="http://schemas.openxmlformats.org/officeDocument/2006/relationships/hyperlink" Target="imagenes/LAUNDRY_BY_DESIGN_121000428_CAM_2.jpg" TargetMode="External" Id="rId1592"/><Relationship Type="http://schemas.openxmlformats.org/officeDocument/2006/relationships/hyperlink" Target="imagenes/LAUNDRY_BY_DESIGN_121000428_CAM_1.jpg" TargetMode="External" Id="rId1593"/><Relationship Type="http://schemas.openxmlformats.org/officeDocument/2006/relationships/hyperlink" Target="imagenes/LAUNDRY_BY_DESIGN_121000428_CAM_2.jpg" TargetMode="External" Id="rId1594"/><Relationship Type="http://schemas.openxmlformats.org/officeDocument/2006/relationships/hyperlink" Target="imagenes/LAUNDRY_BY_DESIGN_121000428_CAM_1.jpg" TargetMode="External" Id="rId1595"/><Relationship Type="http://schemas.openxmlformats.org/officeDocument/2006/relationships/hyperlink" Target="imagenes/LAUNDRY_BY_DESIGN_121000428_CAM_2.jpg" TargetMode="External" Id="rId1596"/><Relationship Type="http://schemas.openxmlformats.org/officeDocument/2006/relationships/hyperlink" Target="imagenes/LAUNDRY_BY_DESIGN_121000428_CAM_1.jpg" TargetMode="External" Id="rId1597"/><Relationship Type="http://schemas.openxmlformats.org/officeDocument/2006/relationships/hyperlink" Target="imagenes/LAUNDRY_BY_DESIGN_121000428_CAM_2.jpg" TargetMode="External" Id="rId1598"/><Relationship Type="http://schemas.openxmlformats.org/officeDocument/2006/relationships/hyperlink" Target="imagenes/LAUNDRY_BY_DESIGN_121000428_ICE_1.jpg" TargetMode="External" Id="rId1599"/><Relationship Type="http://schemas.openxmlformats.org/officeDocument/2006/relationships/hyperlink" Target="imagenes/LAUNDRY_BY_DESIGN_121000428_ICE_2.jpg" TargetMode="External" Id="rId1600"/><Relationship Type="http://schemas.openxmlformats.org/officeDocument/2006/relationships/hyperlink" Target="imagenes/LAUNDRY_BY_DESIGN_121000428_ICE_3.jpg" TargetMode="External" Id="rId1601"/><Relationship Type="http://schemas.openxmlformats.org/officeDocument/2006/relationships/hyperlink" Target="imagenes/LAUNDRY_BY_DESIGN_121000428_ICE_1.jpg" TargetMode="External" Id="rId1602"/><Relationship Type="http://schemas.openxmlformats.org/officeDocument/2006/relationships/hyperlink" Target="imagenes/LAUNDRY_BY_DESIGN_121000428_ICE_2.jpg" TargetMode="External" Id="rId1603"/><Relationship Type="http://schemas.openxmlformats.org/officeDocument/2006/relationships/hyperlink" Target="imagenes/LAUNDRY_BY_DESIGN_121000428_ICE_3.jpg" TargetMode="External" Id="rId1604"/><Relationship Type="http://schemas.openxmlformats.org/officeDocument/2006/relationships/hyperlink" Target="imagenes/LAUNDRY_BY_DESIGN_121000428_ICE_1.jpg" TargetMode="External" Id="rId1605"/><Relationship Type="http://schemas.openxmlformats.org/officeDocument/2006/relationships/hyperlink" Target="imagenes/LAUNDRY_BY_DESIGN_121000428_ICE_2.jpg" TargetMode="External" Id="rId1606"/><Relationship Type="http://schemas.openxmlformats.org/officeDocument/2006/relationships/hyperlink" Target="imagenes/LAUNDRY_BY_DESIGN_121000428_ICE_3.jpg" TargetMode="External" Id="rId1607"/><Relationship Type="http://schemas.openxmlformats.org/officeDocument/2006/relationships/hyperlink" Target="imagenes/LAUNDRY_BY_DESIGN_121000428_ICE_1.jpg" TargetMode="External" Id="rId1608"/><Relationship Type="http://schemas.openxmlformats.org/officeDocument/2006/relationships/hyperlink" Target="imagenes/LAUNDRY_BY_DESIGN_121000428_ICE_2.jpg" TargetMode="External" Id="rId1609"/><Relationship Type="http://schemas.openxmlformats.org/officeDocument/2006/relationships/hyperlink" Target="imagenes/LAUNDRY_BY_DESIGN_121000428_ICE_3.jpg" TargetMode="External" Id="rId1610"/><Relationship Type="http://schemas.openxmlformats.org/officeDocument/2006/relationships/hyperlink" Target="imagenes/LAUNDRY_BY_DESIGN_121000428_ICE_1.jpg" TargetMode="External" Id="rId1611"/><Relationship Type="http://schemas.openxmlformats.org/officeDocument/2006/relationships/hyperlink" Target="imagenes/LAUNDRY_BY_DESIGN_121000428_ICE_2.jpg" TargetMode="External" Id="rId1612"/><Relationship Type="http://schemas.openxmlformats.org/officeDocument/2006/relationships/hyperlink" Target="imagenes/LAUNDRY_BY_DESIGN_121000428_ICE_3.jpg" TargetMode="External" Id="rId1613"/><Relationship Type="http://schemas.openxmlformats.org/officeDocument/2006/relationships/hyperlink" Target="imagenes/LAUNDRY_BY_DESIGN_121000428_RWI_1.jpg" TargetMode="External" Id="rId1614"/><Relationship Type="http://schemas.openxmlformats.org/officeDocument/2006/relationships/hyperlink" Target="imagenes/LAUNDRY_BY_DESIGN_121000428_RWI_2.jpg" TargetMode="External" Id="rId1615"/><Relationship Type="http://schemas.openxmlformats.org/officeDocument/2006/relationships/hyperlink" Target="imagenes/LAUNDRY_BY_DESIGN_121000428_RWI_3.jpg" TargetMode="External" Id="rId1616"/><Relationship Type="http://schemas.openxmlformats.org/officeDocument/2006/relationships/hyperlink" Target="imagenes/LAUNDRY_BY_DESIGN_121000428_RWI_1.jpg" TargetMode="External" Id="rId1617"/><Relationship Type="http://schemas.openxmlformats.org/officeDocument/2006/relationships/hyperlink" Target="imagenes/LAUNDRY_BY_DESIGN_121000428_RWI_2.jpg" TargetMode="External" Id="rId1618"/><Relationship Type="http://schemas.openxmlformats.org/officeDocument/2006/relationships/hyperlink" Target="imagenes/LAUNDRY_BY_DESIGN_121000428_RWI_3.jpg" TargetMode="External" Id="rId1619"/><Relationship Type="http://schemas.openxmlformats.org/officeDocument/2006/relationships/hyperlink" Target="imagenes/LAUNDRY_BY_DESIGN_121000428_RWI_1.jpg" TargetMode="External" Id="rId1620"/><Relationship Type="http://schemas.openxmlformats.org/officeDocument/2006/relationships/hyperlink" Target="imagenes/LAUNDRY_BY_DESIGN_121000428_RWI_2.jpg" TargetMode="External" Id="rId1621"/><Relationship Type="http://schemas.openxmlformats.org/officeDocument/2006/relationships/hyperlink" Target="imagenes/LAUNDRY_BY_DESIGN_121000428_RWI_3.jpg" TargetMode="External" Id="rId1622"/><Relationship Type="http://schemas.openxmlformats.org/officeDocument/2006/relationships/hyperlink" Target="imagenes/LAUNDRY_BY_DESIGN_121000428_RWI_1.jpg" TargetMode="External" Id="rId1623"/><Relationship Type="http://schemas.openxmlformats.org/officeDocument/2006/relationships/hyperlink" Target="imagenes/LAUNDRY_BY_DESIGN_121000428_RWI_2.jpg" TargetMode="External" Id="rId1624"/><Relationship Type="http://schemas.openxmlformats.org/officeDocument/2006/relationships/hyperlink" Target="imagenes/LAUNDRY_BY_DESIGN_121000428_RWI_3.jpg" TargetMode="External" Id="rId1625"/><Relationship Type="http://schemas.openxmlformats.org/officeDocument/2006/relationships/hyperlink" Target="imagenes/LAUNDRY_BY_DESIGN_121000428_RWI_1.jpg" TargetMode="External" Id="rId1626"/><Relationship Type="http://schemas.openxmlformats.org/officeDocument/2006/relationships/hyperlink" Target="imagenes/LAUNDRY_BY_DESIGN_121000428_RWI_2.jpg" TargetMode="External" Id="rId1627"/><Relationship Type="http://schemas.openxmlformats.org/officeDocument/2006/relationships/hyperlink" Target="imagenes/LAUNDRY_BY_DESIGN_121000428_RWI_3.jpg" TargetMode="External" Id="rId1628"/><Relationship Type="http://schemas.openxmlformats.org/officeDocument/2006/relationships/hyperlink" Target="imagenes/LAUNDRY_BY_DESIGN_121001155_BLK_1.jpg" TargetMode="External" Id="rId1629"/><Relationship Type="http://schemas.openxmlformats.org/officeDocument/2006/relationships/hyperlink" Target="imagenes/LAUNDRY_BY_DESIGN_121001155_BLK_2.jpg" TargetMode="External" Id="rId1630"/><Relationship Type="http://schemas.openxmlformats.org/officeDocument/2006/relationships/hyperlink" Target="imagenes/LAUNDRY_BY_DESIGN_121001155_BLK_3.jpg" TargetMode="External" Id="rId1631"/><Relationship Type="http://schemas.openxmlformats.org/officeDocument/2006/relationships/hyperlink" Target="imagenes/LAUNDRY_BY_DESIGN_121001155_BLK_1.jpg" TargetMode="External" Id="rId1632"/><Relationship Type="http://schemas.openxmlformats.org/officeDocument/2006/relationships/hyperlink" Target="imagenes/LAUNDRY_BY_DESIGN_121001155_BLK_2.jpg" TargetMode="External" Id="rId1633"/><Relationship Type="http://schemas.openxmlformats.org/officeDocument/2006/relationships/hyperlink" Target="imagenes/LAUNDRY_BY_DESIGN_121001155_BLK_3.jpg" TargetMode="External" Id="rId1634"/><Relationship Type="http://schemas.openxmlformats.org/officeDocument/2006/relationships/hyperlink" Target="imagenes/LAUNDRY_BY_DESIGN_121001155_BLK_1.jpg" TargetMode="External" Id="rId1635"/><Relationship Type="http://schemas.openxmlformats.org/officeDocument/2006/relationships/hyperlink" Target="imagenes/LAUNDRY_BY_DESIGN_121001155_BLK_2.jpg" TargetMode="External" Id="rId1636"/><Relationship Type="http://schemas.openxmlformats.org/officeDocument/2006/relationships/hyperlink" Target="imagenes/LAUNDRY_BY_DESIGN_121001155_BLK_3.jpg" TargetMode="External" Id="rId1637"/><Relationship Type="http://schemas.openxmlformats.org/officeDocument/2006/relationships/hyperlink" Target="imagenes/LAUNDRY_BY_DESIGN_121001155_BLK_1.jpg" TargetMode="External" Id="rId1638"/><Relationship Type="http://schemas.openxmlformats.org/officeDocument/2006/relationships/hyperlink" Target="imagenes/LAUNDRY_BY_DESIGN_121001155_BLK_2.jpg" TargetMode="External" Id="rId1639"/><Relationship Type="http://schemas.openxmlformats.org/officeDocument/2006/relationships/hyperlink" Target="imagenes/LAUNDRY_BY_DESIGN_121001155_BLK_3.jpg" TargetMode="External" Id="rId1640"/><Relationship Type="http://schemas.openxmlformats.org/officeDocument/2006/relationships/hyperlink" Target="imagenes/LAUNDRY_BY_DESIGN_121001155_MNK_1.jpg" TargetMode="External" Id="rId1641"/><Relationship Type="http://schemas.openxmlformats.org/officeDocument/2006/relationships/hyperlink" Target="imagenes/LAUNDRY_BY_DESIGN_121001155_MNK_2.jpg" TargetMode="External" Id="rId1642"/><Relationship Type="http://schemas.openxmlformats.org/officeDocument/2006/relationships/hyperlink" Target="imagenes/LAUNDRY_BY_DESIGN_121001155_MNK_3.jpg" TargetMode="External" Id="rId1643"/><Relationship Type="http://schemas.openxmlformats.org/officeDocument/2006/relationships/hyperlink" Target="imagenes/LAUNDRY_BY_DESIGN_121001155_MNK_1.jpg" TargetMode="External" Id="rId1644"/><Relationship Type="http://schemas.openxmlformats.org/officeDocument/2006/relationships/hyperlink" Target="imagenes/LAUNDRY_BY_DESIGN_121001155_MNK_2.jpg" TargetMode="External" Id="rId1645"/><Relationship Type="http://schemas.openxmlformats.org/officeDocument/2006/relationships/hyperlink" Target="imagenes/LAUNDRY_BY_DESIGN_121001155_MNK_3.jpg" TargetMode="External" Id="rId1646"/><Relationship Type="http://schemas.openxmlformats.org/officeDocument/2006/relationships/hyperlink" Target="imagenes/LAUNDRY_BY_DESIGN_121001155_MNK_1.jpg" TargetMode="External" Id="rId1647"/><Relationship Type="http://schemas.openxmlformats.org/officeDocument/2006/relationships/hyperlink" Target="imagenes/LAUNDRY_BY_DESIGN_121001155_MNK_2.jpg" TargetMode="External" Id="rId1648"/><Relationship Type="http://schemas.openxmlformats.org/officeDocument/2006/relationships/hyperlink" Target="imagenes/LAUNDRY_BY_DESIGN_121001155_MNK_3.jpg" TargetMode="External" Id="rId1649"/><Relationship Type="http://schemas.openxmlformats.org/officeDocument/2006/relationships/hyperlink" Target="imagenes/LAUNDRY_BY_DESIGN_121001155_MNK_1.jpg" TargetMode="External" Id="rId1650"/><Relationship Type="http://schemas.openxmlformats.org/officeDocument/2006/relationships/hyperlink" Target="imagenes/LAUNDRY_BY_DESIGN_121001155_MNK_2.jpg" TargetMode="External" Id="rId1651"/><Relationship Type="http://schemas.openxmlformats.org/officeDocument/2006/relationships/hyperlink" Target="imagenes/LAUNDRY_BY_DESIGN_121001155_MNK_3.jpg" TargetMode="External" Id="rId1652"/><Relationship Type="http://schemas.openxmlformats.org/officeDocument/2006/relationships/hyperlink" Target="imagenes/LAUNDRY_BY_DESIGN_121001176_BLK_1.jpg" TargetMode="External" Id="rId1653"/><Relationship Type="http://schemas.openxmlformats.org/officeDocument/2006/relationships/hyperlink" Target="imagenes/LAUNDRY_BY_DESIGN_121001176_BLK_2.jpg" TargetMode="External" Id="rId1654"/><Relationship Type="http://schemas.openxmlformats.org/officeDocument/2006/relationships/hyperlink" Target="imagenes/LAUNDRY_BY_DESIGN_121001176_BLK_3.jpg" TargetMode="External" Id="rId1655"/><Relationship Type="http://schemas.openxmlformats.org/officeDocument/2006/relationships/hyperlink" Target="imagenes/LAUNDRY_BY_DESIGN_121001176_PN1_1.jpg" TargetMode="External" Id="rId1656"/><Relationship Type="http://schemas.openxmlformats.org/officeDocument/2006/relationships/hyperlink" Target="imagenes/LAUNDRY_BY_DESIGN_121001176_PN1_2.jpg" TargetMode="External" Id="rId1657"/><Relationship Type="http://schemas.openxmlformats.org/officeDocument/2006/relationships/hyperlink" Target="imagenes/LAUNDRY_BY_DESIGN_121001176_PN1_3.jpg" TargetMode="External" Id="rId1658"/><Relationship Type="http://schemas.openxmlformats.org/officeDocument/2006/relationships/hyperlink" Target="imagenes/LAUNDRY_BY_DESIGN_121001394_BLK_1.jpg" TargetMode="External" Id="rId1659"/><Relationship Type="http://schemas.openxmlformats.org/officeDocument/2006/relationships/hyperlink" Target="imagenes/LAUNDRY_BY_DESIGN_121001394_BLK_2.jpg" TargetMode="External" Id="rId1660"/><Relationship Type="http://schemas.openxmlformats.org/officeDocument/2006/relationships/hyperlink" Target="imagenes/LAUNDRY_BY_DESIGN_121001394_BLK_3.jpg" TargetMode="External" Id="rId1661"/><Relationship Type="http://schemas.openxmlformats.org/officeDocument/2006/relationships/hyperlink" Target="imagenes/LAUNDRY_BY_DESIGN_121001394_BLK_1.jpg" TargetMode="External" Id="rId1662"/><Relationship Type="http://schemas.openxmlformats.org/officeDocument/2006/relationships/hyperlink" Target="imagenes/LAUNDRY_BY_DESIGN_121001394_BLK_2.jpg" TargetMode="External" Id="rId1663"/><Relationship Type="http://schemas.openxmlformats.org/officeDocument/2006/relationships/hyperlink" Target="imagenes/LAUNDRY_BY_DESIGN_121001394_BLK_3.jpg" TargetMode="External" Id="rId1664"/><Relationship Type="http://schemas.openxmlformats.org/officeDocument/2006/relationships/hyperlink" Target="imagenes/LAUNDRY_BY_DESIGN_121001394_PN1_1.jpg" TargetMode="External" Id="rId1665"/><Relationship Type="http://schemas.openxmlformats.org/officeDocument/2006/relationships/hyperlink" Target="imagenes/LAUNDRY_BY_DESIGN_121001394_PN1_2.jpg" TargetMode="External" Id="rId1666"/><Relationship Type="http://schemas.openxmlformats.org/officeDocument/2006/relationships/hyperlink" Target="imagenes/LAUNDRY_BY_DESIGN_121001394_PN1_3.jpg" TargetMode="External" Id="rId1667"/><Relationship Type="http://schemas.openxmlformats.org/officeDocument/2006/relationships/hyperlink" Target="imagenes/LAUNDRY_BY_DESIGN_121001394_PN1_1.jpg" TargetMode="External" Id="rId1668"/><Relationship Type="http://schemas.openxmlformats.org/officeDocument/2006/relationships/hyperlink" Target="imagenes/LAUNDRY_BY_DESIGN_121001394_PN1_2.jpg" TargetMode="External" Id="rId1669"/><Relationship Type="http://schemas.openxmlformats.org/officeDocument/2006/relationships/hyperlink" Target="imagenes/LAUNDRY_BY_DESIGN_121001394_PN1_3.jpg" TargetMode="External" Id="rId1670"/><Relationship Type="http://schemas.openxmlformats.org/officeDocument/2006/relationships/hyperlink" Target="imagenes/LAUNDRY_BY_DESIGN_121001394_PN1_1.jpg" TargetMode="External" Id="rId1671"/><Relationship Type="http://schemas.openxmlformats.org/officeDocument/2006/relationships/hyperlink" Target="imagenes/LAUNDRY_BY_DESIGN_121001394_PN1_2.jpg" TargetMode="External" Id="rId1672"/><Relationship Type="http://schemas.openxmlformats.org/officeDocument/2006/relationships/hyperlink" Target="imagenes/LAUNDRY_BY_DESIGN_121001394_PN1_3.jpg" TargetMode="External" Id="rId1673"/><Relationship Type="http://schemas.openxmlformats.org/officeDocument/2006/relationships/hyperlink" Target="imagenes/LAUNDRY_BY_DESIGN_121001394_PN1_1.jpg" TargetMode="External" Id="rId1674"/><Relationship Type="http://schemas.openxmlformats.org/officeDocument/2006/relationships/hyperlink" Target="imagenes/LAUNDRY_BY_DESIGN_121001394_PN1_2.jpg" TargetMode="External" Id="rId1675"/><Relationship Type="http://schemas.openxmlformats.org/officeDocument/2006/relationships/hyperlink" Target="imagenes/LAUNDRY_BY_DESIGN_121001394_PN1_3.jpg" TargetMode="External" Id="rId1676"/><Relationship Type="http://schemas.openxmlformats.org/officeDocument/2006/relationships/hyperlink" Target="imagenes/LAUNDRY_BY_DESIGN_121001401_BLK_1.jpg" TargetMode="External" Id="rId1677"/><Relationship Type="http://schemas.openxmlformats.org/officeDocument/2006/relationships/hyperlink" Target="imagenes/LAUNDRY_BY_DESIGN_121001401_BLK_2.jpg" TargetMode="External" Id="rId1678"/><Relationship Type="http://schemas.openxmlformats.org/officeDocument/2006/relationships/hyperlink" Target="imagenes/LAUNDRY_BY_DESIGN_121001401_BLK_3.jpg" TargetMode="External" Id="rId1679"/><Relationship Type="http://schemas.openxmlformats.org/officeDocument/2006/relationships/hyperlink" Target="imagenes/LAUNDRY_BY_DESIGN_121001401_BLK_1.jpg" TargetMode="External" Id="rId1680"/><Relationship Type="http://schemas.openxmlformats.org/officeDocument/2006/relationships/hyperlink" Target="imagenes/LAUNDRY_BY_DESIGN_121001401_BLK_2.jpg" TargetMode="External" Id="rId1681"/><Relationship Type="http://schemas.openxmlformats.org/officeDocument/2006/relationships/hyperlink" Target="imagenes/LAUNDRY_BY_DESIGN_121001401_BLK_3.jpg" TargetMode="External" Id="rId1682"/><Relationship Type="http://schemas.openxmlformats.org/officeDocument/2006/relationships/hyperlink" Target="imagenes/LAUNDRY_BY_DESIGN_121001401_BLK_1.jpg" TargetMode="External" Id="rId1683"/><Relationship Type="http://schemas.openxmlformats.org/officeDocument/2006/relationships/hyperlink" Target="imagenes/LAUNDRY_BY_DESIGN_121001401_BLK_2.jpg" TargetMode="External" Id="rId1684"/><Relationship Type="http://schemas.openxmlformats.org/officeDocument/2006/relationships/hyperlink" Target="imagenes/LAUNDRY_BY_DESIGN_121001401_BLK_3.jpg" TargetMode="External" Id="rId1685"/><Relationship Type="http://schemas.openxmlformats.org/officeDocument/2006/relationships/hyperlink" Target="imagenes/LAUNDRY_BY_DESIGN_121001401_PN1_1.jpg" TargetMode="External" Id="rId1686"/><Relationship Type="http://schemas.openxmlformats.org/officeDocument/2006/relationships/hyperlink" Target="imagenes/LAUNDRY_BY_DESIGN_121001401_PN1_2.jpg" TargetMode="External" Id="rId1687"/><Relationship Type="http://schemas.openxmlformats.org/officeDocument/2006/relationships/hyperlink" Target="imagenes/LAUNDRY_BY_DESIGN_121001401_PN1_3.jpg" TargetMode="External" Id="rId1688"/><Relationship Type="http://schemas.openxmlformats.org/officeDocument/2006/relationships/hyperlink" Target="imagenes/LAUNDRY_BY_DESIGN_121001401_PN1_1.jpg" TargetMode="External" Id="rId1689"/><Relationship Type="http://schemas.openxmlformats.org/officeDocument/2006/relationships/hyperlink" Target="imagenes/LAUNDRY_BY_DESIGN_121001401_PN1_2.jpg" TargetMode="External" Id="rId1690"/><Relationship Type="http://schemas.openxmlformats.org/officeDocument/2006/relationships/hyperlink" Target="imagenes/LAUNDRY_BY_DESIGN_121001401_PN1_3.jpg" TargetMode="External" Id="rId1691"/><Relationship Type="http://schemas.openxmlformats.org/officeDocument/2006/relationships/hyperlink" Target="imagenes/LAUNDRY_BY_DESIGN_121001401_PN1_1.jpg" TargetMode="External" Id="rId1692"/><Relationship Type="http://schemas.openxmlformats.org/officeDocument/2006/relationships/hyperlink" Target="imagenes/LAUNDRY_BY_DESIGN_121001401_PN1_2.jpg" TargetMode="External" Id="rId1693"/><Relationship Type="http://schemas.openxmlformats.org/officeDocument/2006/relationships/hyperlink" Target="imagenes/LAUNDRY_BY_DESIGN_121001401_PN1_3.jpg" TargetMode="External" Id="rId1694"/><Relationship Type="http://schemas.openxmlformats.org/officeDocument/2006/relationships/hyperlink" Target="imagenes/LAUNDRY_BY_DESIGN_121001401_PN1_1.jpg" TargetMode="External" Id="rId1695"/><Relationship Type="http://schemas.openxmlformats.org/officeDocument/2006/relationships/hyperlink" Target="imagenes/LAUNDRY_BY_DESIGN_121001401_PN1_2.jpg" TargetMode="External" Id="rId1696"/><Relationship Type="http://schemas.openxmlformats.org/officeDocument/2006/relationships/hyperlink" Target="imagenes/LAUNDRY_BY_DESIGN_121001401_PN1_3.jpg" TargetMode="External" Id="rId1697"/><Relationship Type="http://schemas.openxmlformats.org/officeDocument/2006/relationships/hyperlink" Target="imagenes/LAUNDRY_BY_DESIGN_121001913_BLK_1.jpg" TargetMode="External" Id="rId1698"/><Relationship Type="http://schemas.openxmlformats.org/officeDocument/2006/relationships/hyperlink" Target="imagenes/LAUNDRY_BY_DESIGN_121001913_BLK_2.jpg" TargetMode="External" Id="rId1699"/><Relationship Type="http://schemas.openxmlformats.org/officeDocument/2006/relationships/hyperlink" Target="imagenes/LAUNDRY_BY_DESIGN_121001913_BLK_3.jpg" TargetMode="External" Id="rId1700"/><Relationship Type="http://schemas.openxmlformats.org/officeDocument/2006/relationships/hyperlink" Target="imagenes/LAUNDRY_BY_DESIGN_121001913_BLK_1.jpg" TargetMode="External" Id="rId1701"/><Relationship Type="http://schemas.openxmlformats.org/officeDocument/2006/relationships/hyperlink" Target="imagenes/LAUNDRY_BY_DESIGN_121001913_BLK_2.jpg" TargetMode="External" Id="rId1702"/><Relationship Type="http://schemas.openxmlformats.org/officeDocument/2006/relationships/hyperlink" Target="imagenes/LAUNDRY_BY_DESIGN_121001913_BLK_3.jpg" TargetMode="External" Id="rId1703"/><Relationship Type="http://schemas.openxmlformats.org/officeDocument/2006/relationships/hyperlink" Target="imagenes/LAUNDRY_BY_DESIGN_121001913_BLK_1.jpg" TargetMode="External" Id="rId1704"/><Relationship Type="http://schemas.openxmlformats.org/officeDocument/2006/relationships/hyperlink" Target="imagenes/LAUNDRY_BY_DESIGN_121001913_BLK_2.jpg" TargetMode="External" Id="rId1705"/><Relationship Type="http://schemas.openxmlformats.org/officeDocument/2006/relationships/hyperlink" Target="imagenes/LAUNDRY_BY_DESIGN_121001913_BLK_3.jpg" TargetMode="External" Id="rId1706"/><Relationship Type="http://schemas.openxmlformats.org/officeDocument/2006/relationships/hyperlink" Target="imagenes/LAUNDRY_BY_DESIGN_121001913_BLK_1.jpg" TargetMode="External" Id="rId1707"/><Relationship Type="http://schemas.openxmlformats.org/officeDocument/2006/relationships/hyperlink" Target="imagenes/LAUNDRY_BY_DESIGN_121001913_BLK_2.jpg" TargetMode="External" Id="rId1708"/><Relationship Type="http://schemas.openxmlformats.org/officeDocument/2006/relationships/hyperlink" Target="imagenes/LAUNDRY_BY_DESIGN_121001913_BLK_3.jpg" TargetMode="External" Id="rId1709"/><Relationship Type="http://schemas.openxmlformats.org/officeDocument/2006/relationships/hyperlink" Target="imagenes/LAUNDRY_BY_DESIGN_121001913_CAM_1.jpg" TargetMode="External" Id="rId1710"/><Relationship Type="http://schemas.openxmlformats.org/officeDocument/2006/relationships/hyperlink" Target="imagenes/LAUNDRY_BY_DESIGN_121001913_CAM_2.jpg" TargetMode="External" Id="rId1711"/><Relationship Type="http://schemas.openxmlformats.org/officeDocument/2006/relationships/hyperlink" Target="imagenes/LAUNDRY_BY_DESIGN_121001913_CAM_1.jpg" TargetMode="External" Id="rId1712"/><Relationship Type="http://schemas.openxmlformats.org/officeDocument/2006/relationships/hyperlink" Target="imagenes/LAUNDRY_BY_DESIGN_121001913_CAM_2.jpg" TargetMode="External" Id="rId1713"/><Relationship Type="http://schemas.openxmlformats.org/officeDocument/2006/relationships/hyperlink" Target="imagenes/LAUNDRY_BY_DESIGN_121001913_CAM_1.jpg" TargetMode="External" Id="rId1714"/><Relationship Type="http://schemas.openxmlformats.org/officeDocument/2006/relationships/hyperlink" Target="imagenes/LAUNDRY_BY_DESIGN_121001913_CAM_2.jpg" TargetMode="External" Id="rId1715"/><Relationship Type="http://schemas.openxmlformats.org/officeDocument/2006/relationships/hyperlink" Target="imagenes/LAUNDRY_BY_DESIGN_121001913_CAM_1.jpg" TargetMode="External" Id="rId1716"/><Relationship Type="http://schemas.openxmlformats.org/officeDocument/2006/relationships/hyperlink" Target="imagenes/LAUNDRY_BY_DESIGN_121001913_CAM_2.jpg" TargetMode="External" Id="rId1717"/><Relationship Type="http://schemas.openxmlformats.org/officeDocument/2006/relationships/hyperlink" Target="imagenes/LAUNDRY_BY_DESIGN_121001913_ICE_1.jpg" TargetMode="External" Id="rId1718"/><Relationship Type="http://schemas.openxmlformats.org/officeDocument/2006/relationships/hyperlink" Target="imagenes/LAUNDRY_BY_DESIGN_121001913_ICE_2.jpg" TargetMode="External" Id="rId1719"/><Relationship Type="http://schemas.openxmlformats.org/officeDocument/2006/relationships/hyperlink" Target="imagenes/LAUNDRY_BY_DESIGN_121001913_ICE_3.jpg" TargetMode="External" Id="rId1720"/><Relationship Type="http://schemas.openxmlformats.org/officeDocument/2006/relationships/hyperlink" Target="imagenes/LAUNDRY_BY_DESIGN_121001913_ICE_1.jpg" TargetMode="External" Id="rId1721"/><Relationship Type="http://schemas.openxmlformats.org/officeDocument/2006/relationships/hyperlink" Target="imagenes/LAUNDRY_BY_DESIGN_121001913_ICE_2.jpg" TargetMode="External" Id="rId1722"/><Relationship Type="http://schemas.openxmlformats.org/officeDocument/2006/relationships/hyperlink" Target="imagenes/LAUNDRY_BY_DESIGN_121001913_ICE_3.jpg" TargetMode="External" Id="rId1723"/><Relationship Type="http://schemas.openxmlformats.org/officeDocument/2006/relationships/hyperlink" Target="imagenes/LAUNDRY_BY_DESIGN_121001913_ICE_1.jpg" TargetMode="External" Id="rId1724"/><Relationship Type="http://schemas.openxmlformats.org/officeDocument/2006/relationships/hyperlink" Target="imagenes/LAUNDRY_BY_DESIGN_121001913_ICE_2.jpg" TargetMode="External" Id="rId1725"/><Relationship Type="http://schemas.openxmlformats.org/officeDocument/2006/relationships/hyperlink" Target="imagenes/LAUNDRY_BY_DESIGN_121001913_ICE_3.jpg" TargetMode="External" Id="rId1726"/><Relationship Type="http://schemas.openxmlformats.org/officeDocument/2006/relationships/hyperlink" Target="imagenes/LAUNDRY_BY_DESIGN_121001913_ICE_1.jpg" TargetMode="External" Id="rId1727"/><Relationship Type="http://schemas.openxmlformats.org/officeDocument/2006/relationships/hyperlink" Target="imagenes/LAUNDRY_BY_DESIGN_121001913_ICE_2.jpg" TargetMode="External" Id="rId1728"/><Relationship Type="http://schemas.openxmlformats.org/officeDocument/2006/relationships/hyperlink" Target="imagenes/LAUNDRY_BY_DESIGN_121001913_ICE_3.jpg" TargetMode="External" Id="rId1729"/><Relationship Type="http://schemas.openxmlformats.org/officeDocument/2006/relationships/hyperlink" Target="imagenes/LAUNDRY_BY_DESIGN_121001913_RWI_1.jpg" TargetMode="External" Id="rId1730"/><Relationship Type="http://schemas.openxmlformats.org/officeDocument/2006/relationships/hyperlink" Target="imagenes/LAUNDRY_BY_DESIGN_121001913_RWI_2.jpg" TargetMode="External" Id="rId1731"/><Relationship Type="http://schemas.openxmlformats.org/officeDocument/2006/relationships/hyperlink" Target="imagenes/LAUNDRY_BY_DESIGN_121001913_RWI_3.jpg" TargetMode="External" Id="rId1732"/><Relationship Type="http://schemas.openxmlformats.org/officeDocument/2006/relationships/hyperlink" Target="imagenes/LAUNDRY_BY_DESIGN_121001913_RWI_1.jpg" TargetMode="External" Id="rId1733"/><Relationship Type="http://schemas.openxmlformats.org/officeDocument/2006/relationships/hyperlink" Target="imagenes/LAUNDRY_BY_DESIGN_121001913_RWI_2.jpg" TargetMode="External" Id="rId1734"/><Relationship Type="http://schemas.openxmlformats.org/officeDocument/2006/relationships/hyperlink" Target="imagenes/LAUNDRY_BY_DESIGN_121001913_RWI_3.jpg" TargetMode="External" Id="rId1735"/><Relationship Type="http://schemas.openxmlformats.org/officeDocument/2006/relationships/hyperlink" Target="imagenes/LAUNDRY_BY_DESIGN_121001913_RWI_1.jpg" TargetMode="External" Id="rId1736"/><Relationship Type="http://schemas.openxmlformats.org/officeDocument/2006/relationships/hyperlink" Target="imagenes/LAUNDRY_BY_DESIGN_121001913_RWI_2.jpg" TargetMode="External" Id="rId1737"/><Relationship Type="http://schemas.openxmlformats.org/officeDocument/2006/relationships/hyperlink" Target="imagenes/LAUNDRY_BY_DESIGN_121001913_RWI_3.jpg" TargetMode="External" Id="rId1738"/><Relationship Type="http://schemas.openxmlformats.org/officeDocument/2006/relationships/hyperlink" Target="imagenes/LAUNDRY_BY_DESIGN_121001913_RWI_1.jpg" TargetMode="External" Id="rId1739"/><Relationship Type="http://schemas.openxmlformats.org/officeDocument/2006/relationships/hyperlink" Target="imagenes/LAUNDRY_BY_DESIGN_121001913_RWI_2.jpg" TargetMode="External" Id="rId1740"/><Relationship Type="http://schemas.openxmlformats.org/officeDocument/2006/relationships/hyperlink" Target="imagenes/LAUNDRY_BY_DESIGN_121001913_RWI_3.jpg" TargetMode="External" Id="rId1741"/><Relationship Type="http://schemas.openxmlformats.org/officeDocument/2006/relationships/hyperlink" Target="imagenes/LAUNDRY_BY_DESIGN_121004097_BLK_1.jpg" TargetMode="External" Id="rId1742"/><Relationship Type="http://schemas.openxmlformats.org/officeDocument/2006/relationships/hyperlink" Target="imagenes/LAUNDRY_BY_DESIGN_121004097_BLK_2.jpg" TargetMode="External" Id="rId1743"/><Relationship Type="http://schemas.openxmlformats.org/officeDocument/2006/relationships/hyperlink" Target="imagenes/LAUNDRY_BY_DESIGN_121004097_BLK_3.jpg" TargetMode="External" Id="rId1744"/><Relationship Type="http://schemas.openxmlformats.org/officeDocument/2006/relationships/hyperlink" Target="imagenes/LAUNDRY_BY_DESIGN_121004097_BLK_1.jpg" TargetMode="External" Id="rId1745"/><Relationship Type="http://schemas.openxmlformats.org/officeDocument/2006/relationships/hyperlink" Target="imagenes/LAUNDRY_BY_DESIGN_121004097_BLK_2.jpg" TargetMode="External" Id="rId1746"/><Relationship Type="http://schemas.openxmlformats.org/officeDocument/2006/relationships/hyperlink" Target="imagenes/LAUNDRY_BY_DESIGN_121004097_BLK_3.jpg" TargetMode="External" Id="rId1747"/><Relationship Type="http://schemas.openxmlformats.org/officeDocument/2006/relationships/hyperlink" Target="imagenes/LAUNDRY_BY_DESIGN_121004097_BLK_1.jpg" TargetMode="External" Id="rId1748"/><Relationship Type="http://schemas.openxmlformats.org/officeDocument/2006/relationships/hyperlink" Target="imagenes/LAUNDRY_BY_DESIGN_121004097_BLK_2.jpg" TargetMode="External" Id="rId1749"/><Relationship Type="http://schemas.openxmlformats.org/officeDocument/2006/relationships/hyperlink" Target="imagenes/LAUNDRY_BY_DESIGN_121004097_BLK_3.jpg" TargetMode="External" Id="rId1750"/><Relationship Type="http://schemas.openxmlformats.org/officeDocument/2006/relationships/hyperlink" Target="imagenes/LAUNDRY_BY_DESIGN_121004097_BLK_1.jpg" TargetMode="External" Id="rId1751"/><Relationship Type="http://schemas.openxmlformats.org/officeDocument/2006/relationships/hyperlink" Target="imagenes/LAUNDRY_BY_DESIGN_121004097_BLK_2.jpg" TargetMode="External" Id="rId1752"/><Relationship Type="http://schemas.openxmlformats.org/officeDocument/2006/relationships/hyperlink" Target="imagenes/LAUNDRY_BY_DESIGN_121004097_BLK_3.jpg" TargetMode="External" Id="rId1753"/><Relationship Type="http://schemas.openxmlformats.org/officeDocument/2006/relationships/hyperlink" Target="imagenes/LAUNDRY_BY_DESIGN_121004097_DES_1.jpg" TargetMode="External" Id="rId1754"/><Relationship Type="http://schemas.openxmlformats.org/officeDocument/2006/relationships/hyperlink" Target="imagenes/LAUNDRY_BY_DESIGN_121004097_DES_2.jpg" TargetMode="External" Id="rId1755"/><Relationship Type="http://schemas.openxmlformats.org/officeDocument/2006/relationships/hyperlink" Target="imagenes/LAUNDRY_BY_DESIGN_121004097_DES_3.jpg" TargetMode="External" Id="rId1756"/><Relationship Type="http://schemas.openxmlformats.org/officeDocument/2006/relationships/hyperlink" Target="imagenes/LAUNDRY_BY_DESIGN_121004097_DES_1.jpg" TargetMode="External" Id="rId1757"/><Relationship Type="http://schemas.openxmlformats.org/officeDocument/2006/relationships/hyperlink" Target="imagenes/LAUNDRY_BY_DESIGN_121004097_DES_2.jpg" TargetMode="External" Id="rId1758"/><Relationship Type="http://schemas.openxmlformats.org/officeDocument/2006/relationships/hyperlink" Target="imagenes/LAUNDRY_BY_DESIGN_121004097_DES_3.jpg" TargetMode="External" Id="rId1759"/><Relationship Type="http://schemas.openxmlformats.org/officeDocument/2006/relationships/hyperlink" Target="imagenes/LAUNDRY_BY_DESIGN_121004097_DES_1.jpg" TargetMode="External" Id="rId1760"/><Relationship Type="http://schemas.openxmlformats.org/officeDocument/2006/relationships/hyperlink" Target="imagenes/LAUNDRY_BY_DESIGN_121004097_DES_2.jpg" TargetMode="External" Id="rId1761"/><Relationship Type="http://schemas.openxmlformats.org/officeDocument/2006/relationships/hyperlink" Target="imagenes/LAUNDRY_BY_DESIGN_121004097_DES_3.jpg" TargetMode="External" Id="rId1762"/><Relationship Type="http://schemas.openxmlformats.org/officeDocument/2006/relationships/hyperlink" Target="imagenes/LAUNDRY_BY_DESIGN_121004097_DES_1.jpg" TargetMode="External" Id="rId1763"/><Relationship Type="http://schemas.openxmlformats.org/officeDocument/2006/relationships/hyperlink" Target="imagenes/LAUNDRY_BY_DESIGN_121004097_DES_2.jpg" TargetMode="External" Id="rId1764"/><Relationship Type="http://schemas.openxmlformats.org/officeDocument/2006/relationships/hyperlink" Target="imagenes/LAUNDRY_BY_DESIGN_121004097_DES_3.jpg" TargetMode="External" Id="rId1765"/><Relationship Type="http://schemas.openxmlformats.org/officeDocument/2006/relationships/hyperlink" Target="imagenes/LAUNDRY_BY_DESIGN_121004097_DGN_1.jpg" TargetMode="External" Id="rId1766"/><Relationship Type="http://schemas.openxmlformats.org/officeDocument/2006/relationships/hyperlink" Target="imagenes/LAUNDRY_BY_DESIGN_121004097_DGN_2.jpg" TargetMode="External" Id="rId1767"/><Relationship Type="http://schemas.openxmlformats.org/officeDocument/2006/relationships/hyperlink" Target="imagenes/LAUNDRY_BY_DESIGN_121004097_DGN_3.jpg" TargetMode="External" Id="rId1768"/><Relationship Type="http://schemas.openxmlformats.org/officeDocument/2006/relationships/hyperlink" Target="imagenes/LAUNDRY_BY_DESIGN_121004097_DGN_1.jpg" TargetMode="External" Id="rId1769"/><Relationship Type="http://schemas.openxmlformats.org/officeDocument/2006/relationships/hyperlink" Target="imagenes/LAUNDRY_BY_DESIGN_121004097_DGN_2.jpg" TargetMode="External" Id="rId1770"/><Relationship Type="http://schemas.openxmlformats.org/officeDocument/2006/relationships/hyperlink" Target="imagenes/LAUNDRY_BY_DESIGN_121004097_DGN_3.jpg" TargetMode="External" Id="rId1771"/><Relationship Type="http://schemas.openxmlformats.org/officeDocument/2006/relationships/hyperlink" Target="imagenes/LAUNDRY_BY_DESIGN_121004097_DGN_1.jpg" TargetMode="External" Id="rId1772"/><Relationship Type="http://schemas.openxmlformats.org/officeDocument/2006/relationships/hyperlink" Target="imagenes/LAUNDRY_BY_DESIGN_121004097_DGN_2.jpg" TargetMode="External" Id="rId1773"/><Relationship Type="http://schemas.openxmlformats.org/officeDocument/2006/relationships/hyperlink" Target="imagenes/LAUNDRY_BY_DESIGN_121004097_DGN_3.jpg" TargetMode="External" Id="rId1774"/><Relationship Type="http://schemas.openxmlformats.org/officeDocument/2006/relationships/hyperlink" Target="imagenes/LAUNDRY_BY_DESIGN_121004097_DGN_1.jpg" TargetMode="External" Id="rId1775"/><Relationship Type="http://schemas.openxmlformats.org/officeDocument/2006/relationships/hyperlink" Target="imagenes/LAUNDRY_BY_DESIGN_121004097_DGN_2.jpg" TargetMode="External" Id="rId1776"/><Relationship Type="http://schemas.openxmlformats.org/officeDocument/2006/relationships/hyperlink" Target="imagenes/LAUNDRY_BY_DESIGN_121004097_DGN_3.jpg" TargetMode="External" Id="rId1777"/><Relationship Type="http://schemas.openxmlformats.org/officeDocument/2006/relationships/hyperlink" Target="imagenes/LAUNDRY_BY_DESIGN_121004097_DGN_1.jpg" TargetMode="External" Id="rId1778"/><Relationship Type="http://schemas.openxmlformats.org/officeDocument/2006/relationships/hyperlink" Target="imagenes/LAUNDRY_BY_DESIGN_121004097_DGN_2.jpg" TargetMode="External" Id="rId1779"/><Relationship Type="http://schemas.openxmlformats.org/officeDocument/2006/relationships/hyperlink" Target="imagenes/LAUNDRY_BY_DESIGN_121004097_DGN_3.jpg" TargetMode="External" Id="rId1780"/><Relationship Type="http://schemas.openxmlformats.org/officeDocument/2006/relationships/hyperlink" Target="imagenes/LAUNDRY_BY_DESIGN_121004097_PRL_1.jpg" TargetMode="External" Id="rId1781"/><Relationship Type="http://schemas.openxmlformats.org/officeDocument/2006/relationships/hyperlink" Target="imagenes/LAUNDRY_BY_DESIGN_121004097_PRL_2.jpg" TargetMode="External" Id="rId1782"/><Relationship Type="http://schemas.openxmlformats.org/officeDocument/2006/relationships/hyperlink" Target="imagenes/LAUNDRY_BY_DESIGN_121004097_PRL_3.jpg" TargetMode="External" Id="rId1783"/><Relationship Type="http://schemas.openxmlformats.org/officeDocument/2006/relationships/hyperlink" Target="imagenes/LAUNDRY_BY_DESIGN_121004097_PRL_1.jpg" TargetMode="External" Id="rId1784"/><Relationship Type="http://schemas.openxmlformats.org/officeDocument/2006/relationships/hyperlink" Target="imagenes/LAUNDRY_BY_DESIGN_121004097_PRL_2.jpg" TargetMode="External" Id="rId1785"/><Relationship Type="http://schemas.openxmlformats.org/officeDocument/2006/relationships/hyperlink" Target="imagenes/LAUNDRY_BY_DESIGN_121004097_PRL_3.jpg" TargetMode="External" Id="rId1786"/><Relationship Type="http://schemas.openxmlformats.org/officeDocument/2006/relationships/hyperlink" Target="imagenes/LAUNDRY_BY_DESIGN_121004460_BLK_1.jpg" TargetMode="External" Id="rId1787"/><Relationship Type="http://schemas.openxmlformats.org/officeDocument/2006/relationships/hyperlink" Target="imagenes/LAUNDRY_BY_DESIGN_121004460_BLK_2.jpg" TargetMode="External" Id="rId1788"/><Relationship Type="http://schemas.openxmlformats.org/officeDocument/2006/relationships/hyperlink" Target="imagenes/LAUNDRY_BY_DESIGN_121004460_BLK_3.jpg" TargetMode="External" Id="rId1789"/><Relationship Type="http://schemas.openxmlformats.org/officeDocument/2006/relationships/hyperlink" Target="imagenes/LAUNDRY_BY_DESIGN_121004460_MGN_1.jpg" TargetMode="External" Id="rId1790"/><Relationship Type="http://schemas.openxmlformats.org/officeDocument/2006/relationships/hyperlink" Target="imagenes/LAUNDRY_BY_DESIGN_121004460_MGN_2.jpg" TargetMode="External" Id="rId1791"/><Relationship Type="http://schemas.openxmlformats.org/officeDocument/2006/relationships/hyperlink" Target="imagenes/LAUNDRY_BY_DESIGN_121004460_MGN_3.jpg" TargetMode="External" Id="rId1792"/><Relationship Type="http://schemas.openxmlformats.org/officeDocument/2006/relationships/hyperlink" Target="imagenes/LAUNDRY_BY_DESIGN_121004460_MGN_1.jpg" TargetMode="External" Id="rId1793"/><Relationship Type="http://schemas.openxmlformats.org/officeDocument/2006/relationships/hyperlink" Target="imagenes/LAUNDRY_BY_DESIGN_121004460_MGN_2.jpg" TargetMode="External" Id="rId1794"/><Relationship Type="http://schemas.openxmlformats.org/officeDocument/2006/relationships/hyperlink" Target="imagenes/LAUNDRY_BY_DESIGN_121004460_MGN_3.jpg" TargetMode="External" Id="rId1795"/><Relationship Type="http://schemas.openxmlformats.org/officeDocument/2006/relationships/hyperlink" Target="imagenes/LAUNDRY_BY_DESIGN_121004460_MGN_1.jpg" TargetMode="External" Id="rId1796"/><Relationship Type="http://schemas.openxmlformats.org/officeDocument/2006/relationships/hyperlink" Target="imagenes/LAUNDRY_BY_DESIGN_121004460_MGN_2.jpg" TargetMode="External" Id="rId1797"/><Relationship Type="http://schemas.openxmlformats.org/officeDocument/2006/relationships/hyperlink" Target="imagenes/LAUNDRY_BY_DESIGN_121004460_MGN_3.jpg" TargetMode="External" Id="rId1798"/><Relationship Type="http://schemas.openxmlformats.org/officeDocument/2006/relationships/hyperlink" Target="imagenes/LAUNDRY_BY_DESIGN_121004460_MGN_1.jpg" TargetMode="External" Id="rId1799"/><Relationship Type="http://schemas.openxmlformats.org/officeDocument/2006/relationships/hyperlink" Target="imagenes/LAUNDRY_BY_DESIGN_121004460_MGN_2.jpg" TargetMode="External" Id="rId1800"/><Relationship Type="http://schemas.openxmlformats.org/officeDocument/2006/relationships/hyperlink" Target="imagenes/LAUNDRY_BY_DESIGN_121004460_MGN_3.jpg" TargetMode="External" Id="rId1801"/><Relationship Type="http://schemas.openxmlformats.org/officeDocument/2006/relationships/hyperlink" Target="imagenes/LAUNDRY_BY_DESIGN_121004653_BLK_1.jpg" TargetMode="External" Id="rId1802"/><Relationship Type="http://schemas.openxmlformats.org/officeDocument/2006/relationships/hyperlink" Target="imagenes/LAUNDRY_BY_DESIGN_121004653_BLK_2.jpg" TargetMode="External" Id="rId1803"/><Relationship Type="http://schemas.openxmlformats.org/officeDocument/2006/relationships/hyperlink" Target="imagenes/LAUNDRY_BY_DESIGN_121004653_BLK_3.jpg" TargetMode="External" Id="rId1804"/><Relationship Type="http://schemas.openxmlformats.org/officeDocument/2006/relationships/hyperlink" Target="imagenes/LAUNDRY_BY_DESIGN_121004653_BLK_1.jpg" TargetMode="External" Id="rId1805"/><Relationship Type="http://schemas.openxmlformats.org/officeDocument/2006/relationships/hyperlink" Target="imagenes/LAUNDRY_BY_DESIGN_121004653_BLK_2.jpg" TargetMode="External" Id="rId1806"/><Relationship Type="http://schemas.openxmlformats.org/officeDocument/2006/relationships/hyperlink" Target="imagenes/LAUNDRY_BY_DESIGN_121004653_BLK_3.jpg" TargetMode="External" Id="rId1807"/><Relationship Type="http://schemas.openxmlformats.org/officeDocument/2006/relationships/hyperlink" Target="imagenes/LAUNDRY_BY_DESIGN_121004653_BLK_1.jpg" TargetMode="External" Id="rId1808"/><Relationship Type="http://schemas.openxmlformats.org/officeDocument/2006/relationships/hyperlink" Target="imagenes/LAUNDRY_BY_DESIGN_121004653_BLK_2.jpg" TargetMode="External" Id="rId1809"/><Relationship Type="http://schemas.openxmlformats.org/officeDocument/2006/relationships/hyperlink" Target="imagenes/LAUNDRY_BY_DESIGN_121004653_BLK_3.jpg" TargetMode="External" Id="rId1810"/><Relationship Type="http://schemas.openxmlformats.org/officeDocument/2006/relationships/hyperlink" Target="imagenes/LAUNDRY_BY_DESIGN_121004653_BLK_1.jpg" TargetMode="External" Id="rId1811"/><Relationship Type="http://schemas.openxmlformats.org/officeDocument/2006/relationships/hyperlink" Target="imagenes/LAUNDRY_BY_DESIGN_121004653_BLK_2.jpg" TargetMode="External" Id="rId1812"/><Relationship Type="http://schemas.openxmlformats.org/officeDocument/2006/relationships/hyperlink" Target="imagenes/LAUNDRY_BY_DESIGN_121004653_BLK_3.jpg" TargetMode="External" Id="rId1813"/><Relationship Type="http://schemas.openxmlformats.org/officeDocument/2006/relationships/hyperlink" Target="imagenes/LAUNDRY_BY_DESIGN_121004653_BLK_1.jpg" TargetMode="External" Id="rId1814"/><Relationship Type="http://schemas.openxmlformats.org/officeDocument/2006/relationships/hyperlink" Target="imagenes/LAUNDRY_BY_DESIGN_121004653_BLK_2.jpg" TargetMode="External" Id="rId1815"/><Relationship Type="http://schemas.openxmlformats.org/officeDocument/2006/relationships/hyperlink" Target="imagenes/LAUNDRY_BY_DESIGN_121004653_BLK_3.jpg" TargetMode="External" Id="rId1816"/><Relationship Type="http://schemas.openxmlformats.org/officeDocument/2006/relationships/hyperlink" Target="imagenes/LAUNDRY_BY_DESIGN_121004653_DES_1.jpg" TargetMode="External" Id="rId1817"/><Relationship Type="http://schemas.openxmlformats.org/officeDocument/2006/relationships/hyperlink" Target="imagenes/LAUNDRY_BY_DESIGN_121004653_DES_2.jpg" TargetMode="External" Id="rId1818"/><Relationship Type="http://schemas.openxmlformats.org/officeDocument/2006/relationships/hyperlink" Target="imagenes/LAUNDRY_BY_DESIGN_121004653_DES_3.jpg" TargetMode="External" Id="rId1819"/><Relationship Type="http://schemas.openxmlformats.org/officeDocument/2006/relationships/hyperlink" Target="imagenes/LAUNDRY_BY_DESIGN_121004653_DES_1.jpg" TargetMode="External" Id="rId1820"/><Relationship Type="http://schemas.openxmlformats.org/officeDocument/2006/relationships/hyperlink" Target="imagenes/LAUNDRY_BY_DESIGN_121004653_DES_2.jpg" TargetMode="External" Id="rId1821"/><Relationship Type="http://schemas.openxmlformats.org/officeDocument/2006/relationships/hyperlink" Target="imagenes/LAUNDRY_BY_DESIGN_121004653_DES_3.jpg" TargetMode="External" Id="rId1822"/><Relationship Type="http://schemas.openxmlformats.org/officeDocument/2006/relationships/hyperlink" Target="imagenes/LAUNDRY_BY_DESIGN_121004653_DES_1.jpg" TargetMode="External" Id="rId1823"/><Relationship Type="http://schemas.openxmlformats.org/officeDocument/2006/relationships/hyperlink" Target="imagenes/LAUNDRY_BY_DESIGN_121004653_DES_2.jpg" TargetMode="External" Id="rId1824"/><Relationship Type="http://schemas.openxmlformats.org/officeDocument/2006/relationships/hyperlink" Target="imagenes/LAUNDRY_BY_DESIGN_121004653_DES_3.jpg" TargetMode="External" Id="rId1825"/><Relationship Type="http://schemas.openxmlformats.org/officeDocument/2006/relationships/hyperlink" Target="imagenes/LAUNDRY_BY_DESIGN_121004653_DES_1.jpg" TargetMode="External" Id="rId1826"/><Relationship Type="http://schemas.openxmlformats.org/officeDocument/2006/relationships/hyperlink" Target="imagenes/LAUNDRY_BY_DESIGN_121004653_DES_2.jpg" TargetMode="External" Id="rId1827"/><Relationship Type="http://schemas.openxmlformats.org/officeDocument/2006/relationships/hyperlink" Target="imagenes/LAUNDRY_BY_DESIGN_121004653_DES_3.jpg" TargetMode="External" Id="rId1828"/><Relationship Type="http://schemas.openxmlformats.org/officeDocument/2006/relationships/hyperlink" Target="imagenes/LAUNDRY_BY_DESIGN_121004998_B2W_1.jpg" TargetMode="External" Id="rId1829"/><Relationship Type="http://schemas.openxmlformats.org/officeDocument/2006/relationships/hyperlink" Target="imagenes/LAUNDRY_BY_DESIGN_121004998_B2W_2.jpg" TargetMode="External" Id="rId1830"/><Relationship Type="http://schemas.openxmlformats.org/officeDocument/2006/relationships/hyperlink" Target="imagenes/LAUNDRY_BY_DESIGN_121004998_B2W_3.jpg" TargetMode="External" Id="rId1831"/><Relationship Type="http://schemas.openxmlformats.org/officeDocument/2006/relationships/hyperlink" Target="imagenes/LAUNDRY_BY_DESIGN_121004998_B2W_1.jpg" TargetMode="External" Id="rId1832"/><Relationship Type="http://schemas.openxmlformats.org/officeDocument/2006/relationships/hyperlink" Target="imagenes/LAUNDRY_BY_DESIGN_121004998_B2W_2.jpg" TargetMode="External" Id="rId1833"/><Relationship Type="http://schemas.openxmlformats.org/officeDocument/2006/relationships/hyperlink" Target="imagenes/LAUNDRY_BY_DESIGN_121004998_B2W_3.jpg" TargetMode="External" Id="rId1834"/><Relationship Type="http://schemas.openxmlformats.org/officeDocument/2006/relationships/hyperlink" Target="imagenes/LAUNDRY_BY_DESIGN_121004998_B2W_1.jpg" TargetMode="External" Id="rId1835"/><Relationship Type="http://schemas.openxmlformats.org/officeDocument/2006/relationships/hyperlink" Target="imagenes/LAUNDRY_BY_DESIGN_121004998_B2W_2.jpg" TargetMode="External" Id="rId1836"/><Relationship Type="http://schemas.openxmlformats.org/officeDocument/2006/relationships/hyperlink" Target="imagenes/LAUNDRY_BY_DESIGN_121004998_B2W_3.jpg" TargetMode="External" Id="rId1837"/><Relationship Type="http://schemas.openxmlformats.org/officeDocument/2006/relationships/hyperlink" Target="imagenes/LAUNDRY_BY_DESIGN_121004998_B2W_1.jpg" TargetMode="External" Id="rId1838"/><Relationship Type="http://schemas.openxmlformats.org/officeDocument/2006/relationships/hyperlink" Target="imagenes/LAUNDRY_BY_DESIGN_121004998_B2W_2.jpg" TargetMode="External" Id="rId1839"/><Relationship Type="http://schemas.openxmlformats.org/officeDocument/2006/relationships/hyperlink" Target="imagenes/LAUNDRY_BY_DESIGN_121004998_B2W_3.jpg" TargetMode="External" Id="rId1840"/><Relationship Type="http://schemas.openxmlformats.org/officeDocument/2006/relationships/hyperlink" Target="imagenes/LAUNDRY_BY_DESIGN_121004998_BEG_1.jpg" TargetMode="External" Id="rId1841"/><Relationship Type="http://schemas.openxmlformats.org/officeDocument/2006/relationships/hyperlink" Target="imagenes/LAUNDRY_BY_DESIGN_121004998_BEG_2.jpg" TargetMode="External" Id="rId1842"/><Relationship Type="http://schemas.openxmlformats.org/officeDocument/2006/relationships/hyperlink" Target="imagenes/LAUNDRY_BY_DESIGN_121004998_BEG_3.jpg" TargetMode="External" Id="rId1843"/><Relationship Type="http://schemas.openxmlformats.org/officeDocument/2006/relationships/hyperlink" Target="imagenes/LAUNDRY_BY_DESIGN_121004998_BEG_1.jpg" TargetMode="External" Id="rId1844"/><Relationship Type="http://schemas.openxmlformats.org/officeDocument/2006/relationships/hyperlink" Target="imagenes/LAUNDRY_BY_DESIGN_121004998_BEG_2.jpg" TargetMode="External" Id="rId1845"/><Relationship Type="http://schemas.openxmlformats.org/officeDocument/2006/relationships/hyperlink" Target="imagenes/LAUNDRY_BY_DESIGN_121004998_BEG_3.jpg" TargetMode="External" Id="rId1846"/><Relationship Type="http://schemas.openxmlformats.org/officeDocument/2006/relationships/hyperlink" Target="imagenes/LAUNDRY_BY_DESIGN_121004998_BEG_1.jpg" TargetMode="External" Id="rId1847"/><Relationship Type="http://schemas.openxmlformats.org/officeDocument/2006/relationships/hyperlink" Target="imagenes/LAUNDRY_BY_DESIGN_121004998_BEG_2.jpg" TargetMode="External" Id="rId1848"/><Relationship Type="http://schemas.openxmlformats.org/officeDocument/2006/relationships/hyperlink" Target="imagenes/LAUNDRY_BY_DESIGN_121004998_BEG_3.jpg" TargetMode="External" Id="rId1849"/><Relationship Type="http://schemas.openxmlformats.org/officeDocument/2006/relationships/hyperlink" Target="imagenes/LAUNDRY_BY_DESIGN_121004999_HGR_1.jpg" TargetMode="External" Id="rId1850"/><Relationship Type="http://schemas.openxmlformats.org/officeDocument/2006/relationships/hyperlink" Target="imagenes/LAUNDRY_BY_DESIGN_121004999_HGR_2.jpg" TargetMode="External" Id="rId1851"/><Relationship Type="http://schemas.openxmlformats.org/officeDocument/2006/relationships/hyperlink" Target="imagenes/LAUNDRY_BY_DESIGN_121004999_HGR_3.jpg" TargetMode="External" Id="rId1852"/><Relationship Type="http://schemas.openxmlformats.org/officeDocument/2006/relationships/hyperlink" Target="imagenes/LAUNDRY_BY_DESIGN_121004999_HGR_1.jpg" TargetMode="External" Id="rId1853"/><Relationship Type="http://schemas.openxmlformats.org/officeDocument/2006/relationships/hyperlink" Target="imagenes/LAUNDRY_BY_DESIGN_121004999_HGR_2.jpg" TargetMode="External" Id="rId1854"/><Relationship Type="http://schemas.openxmlformats.org/officeDocument/2006/relationships/hyperlink" Target="imagenes/LAUNDRY_BY_DESIGN_121004999_HGR_3.jpg" TargetMode="External" Id="rId1855"/><Relationship Type="http://schemas.openxmlformats.org/officeDocument/2006/relationships/hyperlink" Target="imagenes/LAUNDRY_BY_DESIGN_121004999_HGR_1.jpg" TargetMode="External" Id="rId1856"/><Relationship Type="http://schemas.openxmlformats.org/officeDocument/2006/relationships/hyperlink" Target="imagenes/LAUNDRY_BY_DESIGN_121004999_HGR_2.jpg" TargetMode="External" Id="rId1857"/><Relationship Type="http://schemas.openxmlformats.org/officeDocument/2006/relationships/hyperlink" Target="imagenes/LAUNDRY_BY_DESIGN_121004999_HGR_3.jpg" TargetMode="External" Id="rId1858"/><Relationship Type="http://schemas.openxmlformats.org/officeDocument/2006/relationships/hyperlink" Target="imagenes/LAUNDRY_BY_DESIGN_121004999_HGR_1.jpg" TargetMode="External" Id="rId1859"/><Relationship Type="http://schemas.openxmlformats.org/officeDocument/2006/relationships/hyperlink" Target="imagenes/LAUNDRY_BY_DESIGN_121004999_HGR_2.jpg" TargetMode="External" Id="rId1860"/><Relationship Type="http://schemas.openxmlformats.org/officeDocument/2006/relationships/hyperlink" Target="imagenes/LAUNDRY_BY_DESIGN_121004999_HGR_3.jpg" TargetMode="External" Id="rId1861"/><Relationship Type="http://schemas.openxmlformats.org/officeDocument/2006/relationships/hyperlink" Target="imagenes/LAUNDRY_BY_DESIGN_121004999_HGR_1.jpg" TargetMode="External" Id="rId1862"/><Relationship Type="http://schemas.openxmlformats.org/officeDocument/2006/relationships/hyperlink" Target="imagenes/LAUNDRY_BY_DESIGN_121004999_HGR_2.jpg" TargetMode="External" Id="rId1863"/><Relationship Type="http://schemas.openxmlformats.org/officeDocument/2006/relationships/hyperlink" Target="imagenes/LAUNDRY_BY_DESIGN_121004999_HGR_3.jpg" TargetMode="External" Id="rId1864"/><Relationship Type="http://schemas.openxmlformats.org/officeDocument/2006/relationships/hyperlink" Target="imagenes/LAUNDRY_BY_DESIGN_121004999_HGR_1.jpg" TargetMode="External" Id="rId1865"/><Relationship Type="http://schemas.openxmlformats.org/officeDocument/2006/relationships/hyperlink" Target="imagenes/LAUNDRY_BY_DESIGN_121004999_HGR_2.jpg" TargetMode="External" Id="rId1866"/><Relationship Type="http://schemas.openxmlformats.org/officeDocument/2006/relationships/hyperlink" Target="imagenes/LAUNDRY_BY_DESIGN_121004999_HGR_3.jpg" TargetMode="External" Id="rId1867"/><Relationship Type="http://schemas.openxmlformats.org/officeDocument/2006/relationships/hyperlink" Target="imagenes/LAUNDRY_BY_DESIGN_121004999_HGY_1.jpg" TargetMode="External" Id="rId1868"/><Relationship Type="http://schemas.openxmlformats.org/officeDocument/2006/relationships/hyperlink" Target="imagenes/LAUNDRY_BY_DESIGN_121004999_HGY_2.jpg" TargetMode="External" Id="rId1869"/><Relationship Type="http://schemas.openxmlformats.org/officeDocument/2006/relationships/hyperlink" Target="imagenes/LAUNDRY_BY_DESIGN_121004999_HGY_3.jpg" TargetMode="External" Id="rId1870"/><Relationship Type="http://schemas.openxmlformats.org/officeDocument/2006/relationships/hyperlink" Target="imagenes/LAUNDRY_BY_DESIGN_121004999_HGY_1.jpg" TargetMode="External" Id="rId1871"/><Relationship Type="http://schemas.openxmlformats.org/officeDocument/2006/relationships/hyperlink" Target="imagenes/LAUNDRY_BY_DESIGN_121004999_HGY_2.jpg" TargetMode="External" Id="rId1872"/><Relationship Type="http://schemas.openxmlformats.org/officeDocument/2006/relationships/hyperlink" Target="imagenes/LAUNDRY_BY_DESIGN_121004999_HGY_3.jpg" TargetMode="External" Id="rId1873"/><Relationship Type="http://schemas.openxmlformats.org/officeDocument/2006/relationships/hyperlink" Target="imagenes/LAUNDRY_BY_DESIGN_121004999_HGY_1.jpg" TargetMode="External" Id="rId1874"/><Relationship Type="http://schemas.openxmlformats.org/officeDocument/2006/relationships/hyperlink" Target="imagenes/LAUNDRY_BY_DESIGN_121004999_HGY_2.jpg" TargetMode="External" Id="rId1875"/><Relationship Type="http://schemas.openxmlformats.org/officeDocument/2006/relationships/hyperlink" Target="imagenes/LAUNDRY_BY_DESIGN_121004999_HGY_3.jpg" TargetMode="External" Id="rId1876"/><Relationship Type="http://schemas.openxmlformats.org/officeDocument/2006/relationships/hyperlink" Target="imagenes/LAUNDRY_BY_DESIGN_121004999_HGY_1.jpg" TargetMode="External" Id="rId1877"/><Relationship Type="http://schemas.openxmlformats.org/officeDocument/2006/relationships/hyperlink" Target="imagenes/LAUNDRY_BY_DESIGN_121004999_HGY_2.jpg" TargetMode="External" Id="rId1878"/><Relationship Type="http://schemas.openxmlformats.org/officeDocument/2006/relationships/hyperlink" Target="imagenes/LAUNDRY_BY_DESIGN_121004999_HGY_3.jpg" TargetMode="External" Id="rId1879"/><Relationship Type="http://schemas.openxmlformats.org/officeDocument/2006/relationships/hyperlink" Target="imagenes/LAUNDRY_BY_DESIGN_121004999_HGY_1.jpg" TargetMode="External" Id="rId1880"/><Relationship Type="http://schemas.openxmlformats.org/officeDocument/2006/relationships/hyperlink" Target="imagenes/LAUNDRY_BY_DESIGN_121004999_HGY_2.jpg" TargetMode="External" Id="rId1881"/><Relationship Type="http://schemas.openxmlformats.org/officeDocument/2006/relationships/hyperlink" Target="imagenes/LAUNDRY_BY_DESIGN_121004999_HGY_3.jpg" TargetMode="External" Id="rId1882"/><Relationship Type="http://schemas.openxmlformats.org/officeDocument/2006/relationships/hyperlink" Target="imagenes/LAUNDRY_BY_DESIGN_121004999_HGY_1.jpg" TargetMode="External" Id="rId1883"/><Relationship Type="http://schemas.openxmlformats.org/officeDocument/2006/relationships/hyperlink" Target="imagenes/LAUNDRY_BY_DESIGN_121004999_HGY_2.jpg" TargetMode="External" Id="rId1884"/><Relationship Type="http://schemas.openxmlformats.org/officeDocument/2006/relationships/hyperlink" Target="imagenes/LAUNDRY_BY_DESIGN_121004999_HGY_3.jpg" TargetMode="External" Id="rId1885"/><Relationship Type="http://schemas.openxmlformats.org/officeDocument/2006/relationships/hyperlink" Target="imagenes/LAUNDRY_BY_DESIGN_121005003_B2W_1.jpg" TargetMode="External" Id="rId1886"/><Relationship Type="http://schemas.openxmlformats.org/officeDocument/2006/relationships/hyperlink" Target="imagenes/LAUNDRY_BY_DESIGN_121005003_B2W_2.jpg" TargetMode="External" Id="rId1887"/><Relationship Type="http://schemas.openxmlformats.org/officeDocument/2006/relationships/hyperlink" Target="imagenes/LAUNDRY_BY_DESIGN_121005003_B2W_3.jpg" TargetMode="External" Id="rId1888"/><Relationship Type="http://schemas.openxmlformats.org/officeDocument/2006/relationships/hyperlink" Target="imagenes/LAUNDRY_BY_DESIGN_121005003_B2W_1.jpg" TargetMode="External" Id="rId1889"/><Relationship Type="http://schemas.openxmlformats.org/officeDocument/2006/relationships/hyperlink" Target="imagenes/LAUNDRY_BY_DESIGN_121005003_B2W_2.jpg" TargetMode="External" Id="rId1890"/><Relationship Type="http://schemas.openxmlformats.org/officeDocument/2006/relationships/hyperlink" Target="imagenes/LAUNDRY_BY_DESIGN_121005003_B2W_3.jpg" TargetMode="External" Id="rId1891"/><Relationship Type="http://schemas.openxmlformats.org/officeDocument/2006/relationships/hyperlink" Target="imagenes/LAUNDRY_BY_DESIGN_121005003_B2W_1.jpg" TargetMode="External" Id="rId1892"/><Relationship Type="http://schemas.openxmlformats.org/officeDocument/2006/relationships/hyperlink" Target="imagenes/LAUNDRY_BY_DESIGN_121005003_B2W_2.jpg" TargetMode="External" Id="rId1893"/><Relationship Type="http://schemas.openxmlformats.org/officeDocument/2006/relationships/hyperlink" Target="imagenes/LAUNDRY_BY_DESIGN_121005003_B2W_3.jpg" TargetMode="External" Id="rId1894"/><Relationship Type="http://schemas.openxmlformats.org/officeDocument/2006/relationships/hyperlink" Target="imagenes/LAUNDRY_BY_DESIGN_121005003_B2W_1.jpg" TargetMode="External" Id="rId1895"/><Relationship Type="http://schemas.openxmlformats.org/officeDocument/2006/relationships/hyperlink" Target="imagenes/LAUNDRY_BY_DESIGN_121005003_B2W_2.jpg" TargetMode="External" Id="rId1896"/><Relationship Type="http://schemas.openxmlformats.org/officeDocument/2006/relationships/hyperlink" Target="imagenes/LAUNDRY_BY_DESIGN_121005003_B2W_3.jpg" TargetMode="External" Id="rId1897"/><Relationship Type="http://schemas.openxmlformats.org/officeDocument/2006/relationships/hyperlink" Target="imagenes/LAUNDRY_BY_DESIGN_121005003_B2W_1.jpg" TargetMode="External" Id="rId1898"/><Relationship Type="http://schemas.openxmlformats.org/officeDocument/2006/relationships/hyperlink" Target="imagenes/LAUNDRY_BY_DESIGN_121005003_B2W_2.jpg" TargetMode="External" Id="rId1899"/><Relationship Type="http://schemas.openxmlformats.org/officeDocument/2006/relationships/hyperlink" Target="imagenes/LAUNDRY_BY_DESIGN_121005003_B2W_3.jpg" TargetMode="External" Id="rId1900"/><Relationship Type="http://schemas.openxmlformats.org/officeDocument/2006/relationships/hyperlink" Target="imagenes/LAUNDRY_BY_DESIGN_121005003_B2W_1.jpg" TargetMode="External" Id="rId1901"/><Relationship Type="http://schemas.openxmlformats.org/officeDocument/2006/relationships/hyperlink" Target="imagenes/LAUNDRY_BY_DESIGN_121005003_B2W_2.jpg" TargetMode="External" Id="rId1902"/><Relationship Type="http://schemas.openxmlformats.org/officeDocument/2006/relationships/hyperlink" Target="imagenes/LAUNDRY_BY_DESIGN_121005003_B2W_3.jpg" TargetMode="External" Id="rId1903"/><Relationship Type="http://schemas.openxmlformats.org/officeDocument/2006/relationships/hyperlink" Target="imagenes/LAUNDRY_BY_DESIGN_121005003_B2W_1.jpg" TargetMode="External" Id="rId1904"/><Relationship Type="http://schemas.openxmlformats.org/officeDocument/2006/relationships/hyperlink" Target="imagenes/LAUNDRY_BY_DESIGN_121005003_B2W_2.jpg" TargetMode="External" Id="rId1905"/><Relationship Type="http://schemas.openxmlformats.org/officeDocument/2006/relationships/hyperlink" Target="imagenes/LAUNDRY_BY_DESIGN_121005003_B2W_3.jpg" TargetMode="External" Id="rId1906"/><Relationship Type="http://schemas.openxmlformats.org/officeDocument/2006/relationships/hyperlink" Target="imagenes/LAUNDRY_BY_DESIGN_121005003_B2W_1.jpg" TargetMode="External" Id="rId1907"/><Relationship Type="http://schemas.openxmlformats.org/officeDocument/2006/relationships/hyperlink" Target="imagenes/LAUNDRY_BY_DESIGN_121005003_B2W_2.jpg" TargetMode="External" Id="rId1908"/><Relationship Type="http://schemas.openxmlformats.org/officeDocument/2006/relationships/hyperlink" Target="imagenes/LAUNDRY_BY_DESIGN_121005003_B2W_3.jpg" TargetMode="External" Id="rId1909"/><Relationship Type="http://schemas.openxmlformats.org/officeDocument/2006/relationships/hyperlink" Target="imagenes/LAUNDRY_BY_DESIGN_121005003_B2W_1.jpg" TargetMode="External" Id="rId1910"/><Relationship Type="http://schemas.openxmlformats.org/officeDocument/2006/relationships/hyperlink" Target="imagenes/LAUNDRY_BY_DESIGN_121005003_B2W_2.jpg" TargetMode="External" Id="rId1911"/><Relationship Type="http://schemas.openxmlformats.org/officeDocument/2006/relationships/hyperlink" Target="imagenes/LAUNDRY_BY_DESIGN_121005003_B2W_3.jpg" TargetMode="External" Id="rId1912"/><Relationship Type="http://schemas.openxmlformats.org/officeDocument/2006/relationships/hyperlink" Target="imagenes/LAUNDRY_BY_DESIGN_121005003_B2W_1.jpg" TargetMode="External" Id="rId1913"/><Relationship Type="http://schemas.openxmlformats.org/officeDocument/2006/relationships/hyperlink" Target="imagenes/LAUNDRY_BY_DESIGN_121005003_B2W_2.jpg" TargetMode="External" Id="rId1914"/><Relationship Type="http://schemas.openxmlformats.org/officeDocument/2006/relationships/hyperlink" Target="imagenes/LAUNDRY_BY_DESIGN_121005003_B2W_3.jpg" TargetMode="External" Id="rId1915"/><Relationship Type="http://schemas.openxmlformats.org/officeDocument/2006/relationships/hyperlink" Target="imagenes/LAUNDRY_BY_DESIGN_121005003_BEG_1.jpg" TargetMode="External" Id="rId1916"/><Relationship Type="http://schemas.openxmlformats.org/officeDocument/2006/relationships/hyperlink" Target="imagenes/LAUNDRY_BY_DESIGN_121005003_BEG_2.jpg" TargetMode="External" Id="rId1917"/><Relationship Type="http://schemas.openxmlformats.org/officeDocument/2006/relationships/hyperlink" Target="imagenes/LAUNDRY_BY_DESIGN_121005003_BEG_3.jpg" TargetMode="External" Id="rId1918"/><Relationship Type="http://schemas.openxmlformats.org/officeDocument/2006/relationships/hyperlink" Target="imagenes/LAUNDRY_BY_DESIGN_121005003_BEG_1.jpg" TargetMode="External" Id="rId1919"/><Relationship Type="http://schemas.openxmlformats.org/officeDocument/2006/relationships/hyperlink" Target="imagenes/LAUNDRY_BY_DESIGN_121005003_BEG_2.jpg" TargetMode="External" Id="rId1920"/><Relationship Type="http://schemas.openxmlformats.org/officeDocument/2006/relationships/hyperlink" Target="imagenes/LAUNDRY_BY_DESIGN_121005003_BEG_3.jpg" TargetMode="External" Id="rId1921"/><Relationship Type="http://schemas.openxmlformats.org/officeDocument/2006/relationships/hyperlink" Target="imagenes/LAUNDRY_BY_DESIGN_121005003_BEG_1.jpg" TargetMode="External" Id="rId1922"/><Relationship Type="http://schemas.openxmlformats.org/officeDocument/2006/relationships/hyperlink" Target="imagenes/LAUNDRY_BY_DESIGN_121005003_BEG_2.jpg" TargetMode="External" Id="rId1923"/><Relationship Type="http://schemas.openxmlformats.org/officeDocument/2006/relationships/hyperlink" Target="imagenes/LAUNDRY_BY_DESIGN_121005003_BEG_3.jpg" TargetMode="External" Id="rId1924"/><Relationship Type="http://schemas.openxmlformats.org/officeDocument/2006/relationships/hyperlink" Target="imagenes/LAUNDRY_BY_DESIGN_121005003_BEG_1.jpg" TargetMode="External" Id="rId1925"/><Relationship Type="http://schemas.openxmlformats.org/officeDocument/2006/relationships/hyperlink" Target="imagenes/LAUNDRY_BY_DESIGN_121005003_BEG_2.jpg" TargetMode="External" Id="rId1926"/><Relationship Type="http://schemas.openxmlformats.org/officeDocument/2006/relationships/hyperlink" Target="imagenes/LAUNDRY_BY_DESIGN_121005003_BEG_3.jpg" TargetMode="External" Id="rId1927"/><Relationship Type="http://schemas.openxmlformats.org/officeDocument/2006/relationships/hyperlink" Target="imagenes/LAUNDRY_BY_DESIGN_121005003_BEG_1.jpg" TargetMode="External" Id="rId1928"/><Relationship Type="http://schemas.openxmlformats.org/officeDocument/2006/relationships/hyperlink" Target="imagenes/LAUNDRY_BY_DESIGN_121005003_BEG_2.jpg" TargetMode="External" Id="rId1929"/><Relationship Type="http://schemas.openxmlformats.org/officeDocument/2006/relationships/hyperlink" Target="imagenes/LAUNDRY_BY_DESIGN_121005003_BEG_3.jpg" TargetMode="External" Id="rId1930"/><Relationship Type="http://schemas.openxmlformats.org/officeDocument/2006/relationships/hyperlink" Target="imagenes/LAUNDRY_BY_DESIGN_121005003_BEG_1.jpg" TargetMode="External" Id="rId1931"/><Relationship Type="http://schemas.openxmlformats.org/officeDocument/2006/relationships/hyperlink" Target="imagenes/LAUNDRY_BY_DESIGN_121005003_BEG_2.jpg" TargetMode="External" Id="rId1932"/><Relationship Type="http://schemas.openxmlformats.org/officeDocument/2006/relationships/hyperlink" Target="imagenes/LAUNDRY_BY_DESIGN_121005003_BEG_3.jpg" TargetMode="External" Id="rId1933"/><Relationship Type="http://schemas.openxmlformats.org/officeDocument/2006/relationships/hyperlink" Target="imagenes/LAUNDRY_BY_DESIGN_121005003_BEG_1.jpg" TargetMode="External" Id="rId1934"/><Relationship Type="http://schemas.openxmlformats.org/officeDocument/2006/relationships/hyperlink" Target="imagenes/LAUNDRY_BY_DESIGN_121005003_BEG_2.jpg" TargetMode="External" Id="rId1935"/><Relationship Type="http://schemas.openxmlformats.org/officeDocument/2006/relationships/hyperlink" Target="imagenes/LAUNDRY_BY_DESIGN_121005003_BEG_3.jpg" TargetMode="External" Id="rId1936"/><Relationship Type="http://schemas.openxmlformats.org/officeDocument/2006/relationships/hyperlink" Target="imagenes/LAUNDRY_BY_DESIGN_121005003_BEG_1.jpg" TargetMode="External" Id="rId1937"/><Relationship Type="http://schemas.openxmlformats.org/officeDocument/2006/relationships/hyperlink" Target="imagenes/LAUNDRY_BY_DESIGN_121005003_BEG_2.jpg" TargetMode="External" Id="rId1938"/><Relationship Type="http://schemas.openxmlformats.org/officeDocument/2006/relationships/hyperlink" Target="imagenes/LAUNDRY_BY_DESIGN_121005003_BEG_3.jpg" TargetMode="External" Id="rId1939"/><Relationship Type="http://schemas.openxmlformats.org/officeDocument/2006/relationships/hyperlink" Target="imagenes/LAUNDRY_BY_DESIGN_121005003_BEG_1.jpg" TargetMode="External" Id="rId1940"/><Relationship Type="http://schemas.openxmlformats.org/officeDocument/2006/relationships/hyperlink" Target="imagenes/LAUNDRY_BY_DESIGN_121005003_BEG_2.jpg" TargetMode="External" Id="rId1941"/><Relationship Type="http://schemas.openxmlformats.org/officeDocument/2006/relationships/hyperlink" Target="imagenes/LAUNDRY_BY_DESIGN_121005003_BEG_3.jpg" TargetMode="External" Id="rId1942"/><Relationship Type="http://schemas.openxmlformats.org/officeDocument/2006/relationships/hyperlink" Target="imagenes/LAUNDRY_BY_DESIGN_121005004_BLK_1.jpg" TargetMode="External" Id="rId1943"/><Relationship Type="http://schemas.openxmlformats.org/officeDocument/2006/relationships/hyperlink" Target="imagenes/LAUNDRY_BY_DESIGN_121005004_BLK_2.jpg" TargetMode="External" Id="rId1944"/><Relationship Type="http://schemas.openxmlformats.org/officeDocument/2006/relationships/hyperlink" Target="imagenes/LAUNDRY_BY_DESIGN_121005004_BLK_3.jpg" TargetMode="External" Id="rId1945"/><Relationship Type="http://schemas.openxmlformats.org/officeDocument/2006/relationships/hyperlink" Target="imagenes/LAUNDRY_BY_DESIGN_121005004_BLK_1.jpg" TargetMode="External" Id="rId1946"/><Relationship Type="http://schemas.openxmlformats.org/officeDocument/2006/relationships/hyperlink" Target="imagenes/LAUNDRY_BY_DESIGN_121005004_BLK_2.jpg" TargetMode="External" Id="rId1947"/><Relationship Type="http://schemas.openxmlformats.org/officeDocument/2006/relationships/hyperlink" Target="imagenes/LAUNDRY_BY_DESIGN_121005004_BLK_3.jpg" TargetMode="External" Id="rId1948"/><Relationship Type="http://schemas.openxmlformats.org/officeDocument/2006/relationships/hyperlink" Target="imagenes/LAUNDRY_BY_DESIGN_121005007_BLK_1.jpg" TargetMode="External" Id="rId1949"/><Relationship Type="http://schemas.openxmlformats.org/officeDocument/2006/relationships/hyperlink" Target="imagenes/LAUNDRY_BY_DESIGN_121005007_BLK_3.jpg" TargetMode="External" Id="rId1950"/><Relationship Type="http://schemas.openxmlformats.org/officeDocument/2006/relationships/hyperlink" Target="imagenes/LAUNDRY_BY_DESIGN_121005007_BLK_1.jpg" TargetMode="External" Id="rId1951"/><Relationship Type="http://schemas.openxmlformats.org/officeDocument/2006/relationships/hyperlink" Target="imagenes/LAUNDRY_BY_DESIGN_121005007_BLK_3.jpg" TargetMode="External" Id="rId1952"/><Relationship Type="http://schemas.openxmlformats.org/officeDocument/2006/relationships/hyperlink" Target="imagenes/LAUNDRY_BY_DESIGN_121005008_MGN_1.jpg" TargetMode="External" Id="rId1953"/><Relationship Type="http://schemas.openxmlformats.org/officeDocument/2006/relationships/hyperlink" Target="imagenes/LAUNDRY_BY_DESIGN_121005008_MGN_2.jpg" TargetMode="External" Id="rId1954"/><Relationship Type="http://schemas.openxmlformats.org/officeDocument/2006/relationships/hyperlink" Target="imagenes/LAUNDRY_BY_DESIGN_121005008_MGN_3.jpg" TargetMode="External" Id="rId1955"/><Relationship Type="http://schemas.openxmlformats.org/officeDocument/2006/relationships/hyperlink" Target="imagenes/LAUNDRY_BY_DESIGN_121005008_MGN_1.jpg" TargetMode="External" Id="rId1956"/><Relationship Type="http://schemas.openxmlformats.org/officeDocument/2006/relationships/hyperlink" Target="imagenes/LAUNDRY_BY_DESIGN_121005008_MGN_2.jpg" TargetMode="External" Id="rId1957"/><Relationship Type="http://schemas.openxmlformats.org/officeDocument/2006/relationships/hyperlink" Target="imagenes/LAUNDRY_BY_DESIGN_121005008_MGN_3.jpg" TargetMode="External" Id="rId1958"/><Relationship Type="http://schemas.openxmlformats.org/officeDocument/2006/relationships/hyperlink" Target="imagenes/LAUNDRY_BY_DESIGN_121005008_MGN_1.jpg" TargetMode="External" Id="rId1959"/><Relationship Type="http://schemas.openxmlformats.org/officeDocument/2006/relationships/hyperlink" Target="imagenes/LAUNDRY_BY_DESIGN_121005008_MGN_2.jpg" TargetMode="External" Id="rId1960"/><Relationship Type="http://schemas.openxmlformats.org/officeDocument/2006/relationships/hyperlink" Target="imagenes/LAUNDRY_BY_DESIGN_121005008_MGN_3.jpg" TargetMode="External" Id="rId1961"/><Relationship Type="http://schemas.openxmlformats.org/officeDocument/2006/relationships/hyperlink" Target="imagenes/LAUNDRY_BY_DESIGN_121005008_MGN_1.jpg" TargetMode="External" Id="rId1962"/><Relationship Type="http://schemas.openxmlformats.org/officeDocument/2006/relationships/hyperlink" Target="imagenes/LAUNDRY_BY_DESIGN_121005008_MGN_2.jpg" TargetMode="External" Id="rId1963"/><Relationship Type="http://schemas.openxmlformats.org/officeDocument/2006/relationships/hyperlink" Target="imagenes/LAUNDRY_BY_DESIGN_121005008_MGN_3.jpg" TargetMode="External" Id="rId1964"/><Relationship Type="http://schemas.openxmlformats.org/officeDocument/2006/relationships/hyperlink" Target="imagenes/LAUNDRY_BY_DESIGN_121005008_MGN_1.jpg" TargetMode="External" Id="rId1965"/><Relationship Type="http://schemas.openxmlformats.org/officeDocument/2006/relationships/hyperlink" Target="imagenes/LAUNDRY_BY_DESIGN_121005008_MGN_2.jpg" TargetMode="External" Id="rId1966"/><Relationship Type="http://schemas.openxmlformats.org/officeDocument/2006/relationships/hyperlink" Target="imagenes/LAUNDRY_BY_DESIGN_121005008_MGN_3.jpg" TargetMode="External" Id="rId1967"/><Relationship Type="http://schemas.openxmlformats.org/officeDocument/2006/relationships/hyperlink" Target="imagenes/LAUNDRY_BY_DESIGN_121005008_MGN_1.jpg" TargetMode="External" Id="rId1968"/><Relationship Type="http://schemas.openxmlformats.org/officeDocument/2006/relationships/hyperlink" Target="imagenes/LAUNDRY_BY_DESIGN_121005008_MGN_2.jpg" TargetMode="External" Id="rId1969"/><Relationship Type="http://schemas.openxmlformats.org/officeDocument/2006/relationships/hyperlink" Target="imagenes/LAUNDRY_BY_DESIGN_121005008_MGN_3.jpg" TargetMode="External" Id="rId1970"/><Relationship Type="http://schemas.openxmlformats.org/officeDocument/2006/relationships/hyperlink" Target="imagenes/LAUNDRY_BY_DESIGN_121005008_MGN_1.jpg" TargetMode="External" Id="rId1971"/><Relationship Type="http://schemas.openxmlformats.org/officeDocument/2006/relationships/hyperlink" Target="imagenes/LAUNDRY_BY_DESIGN_121005008_MGN_2.jpg" TargetMode="External" Id="rId1972"/><Relationship Type="http://schemas.openxmlformats.org/officeDocument/2006/relationships/hyperlink" Target="imagenes/LAUNDRY_BY_DESIGN_121005008_MGN_3.jpg" TargetMode="External" Id="rId1973"/><Relationship Type="http://schemas.openxmlformats.org/officeDocument/2006/relationships/hyperlink" Target="imagenes/LAUNDRY_BY_DESIGN_121005008_MGN_1.jpg" TargetMode="External" Id="rId1974"/><Relationship Type="http://schemas.openxmlformats.org/officeDocument/2006/relationships/hyperlink" Target="imagenes/LAUNDRY_BY_DESIGN_121005008_MGN_2.jpg" TargetMode="External" Id="rId1975"/><Relationship Type="http://schemas.openxmlformats.org/officeDocument/2006/relationships/hyperlink" Target="imagenes/LAUNDRY_BY_DESIGN_121005008_MGN_3.jpg" TargetMode="External" Id="rId1976"/><Relationship Type="http://schemas.openxmlformats.org/officeDocument/2006/relationships/hyperlink" Target="imagenes/LAUNDRY_BY_DESIGN_121005008_MGN_1.jpg" TargetMode="External" Id="rId1977"/><Relationship Type="http://schemas.openxmlformats.org/officeDocument/2006/relationships/hyperlink" Target="imagenes/LAUNDRY_BY_DESIGN_121005008_MGN_2.jpg" TargetMode="External" Id="rId1978"/><Relationship Type="http://schemas.openxmlformats.org/officeDocument/2006/relationships/hyperlink" Target="imagenes/LAUNDRY_BY_DESIGN_121005008_MGN_3.jpg" TargetMode="External" Id="rId1979"/><Relationship Type="http://schemas.openxmlformats.org/officeDocument/2006/relationships/hyperlink" Target="imagenes/LAUNDRY_BY_DESIGN_121005009_BLK_1.jpg" TargetMode="External" Id="rId1980"/><Relationship Type="http://schemas.openxmlformats.org/officeDocument/2006/relationships/hyperlink" Target="imagenes/LAUNDRY_BY_DESIGN_121005009_BLK_2.jpg" TargetMode="External" Id="rId1981"/><Relationship Type="http://schemas.openxmlformats.org/officeDocument/2006/relationships/hyperlink" Target="imagenes/LAUNDRY_BY_DESIGN_121005009_BLK_3.jpg" TargetMode="External" Id="rId1982"/><Relationship Type="http://schemas.openxmlformats.org/officeDocument/2006/relationships/hyperlink" Target="imagenes/LAUNDRY_BY_DESIGN_121005009_BLK_1.jpg" TargetMode="External" Id="rId1983"/><Relationship Type="http://schemas.openxmlformats.org/officeDocument/2006/relationships/hyperlink" Target="imagenes/LAUNDRY_BY_DESIGN_121005009_BLK_2.jpg" TargetMode="External" Id="rId1984"/><Relationship Type="http://schemas.openxmlformats.org/officeDocument/2006/relationships/hyperlink" Target="imagenes/LAUNDRY_BY_DESIGN_121005009_BLK_3.jpg" TargetMode="External" Id="rId1985"/><Relationship Type="http://schemas.openxmlformats.org/officeDocument/2006/relationships/hyperlink" Target="imagenes/LAUNDRY_BY_DESIGN_121005009_BLK_1.jpg" TargetMode="External" Id="rId1986"/><Relationship Type="http://schemas.openxmlformats.org/officeDocument/2006/relationships/hyperlink" Target="imagenes/LAUNDRY_BY_DESIGN_121005009_BLK_2.jpg" TargetMode="External" Id="rId1987"/><Relationship Type="http://schemas.openxmlformats.org/officeDocument/2006/relationships/hyperlink" Target="imagenes/LAUNDRY_BY_DESIGN_121005009_BLK_3.jpg" TargetMode="External" Id="rId1988"/><Relationship Type="http://schemas.openxmlformats.org/officeDocument/2006/relationships/hyperlink" Target="imagenes/LAUNDRY_BY_DESIGN_121005009_BLK_1.jpg" TargetMode="External" Id="rId1989"/><Relationship Type="http://schemas.openxmlformats.org/officeDocument/2006/relationships/hyperlink" Target="imagenes/LAUNDRY_BY_DESIGN_121005009_BLK_2.jpg" TargetMode="External" Id="rId1990"/><Relationship Type="http://schemas.openxmlformats.org/officeDocument/2006/relationships/hyperlink" Target="imagenes/LAUNDRY_BY_DESIGN_121005009_BLK_3.jpg" TargetMode="External" Id="rId1991"/><Relationship Type="http://schemas.openxmlformats.org/officeDocument/2006/relationships/hyperlink" Target="imagenes/LAUNDRY_BY_DESIGN_121005009_BLK_1.jpg" TargetMode="External" Id="rId1992"/><Relationship Type="http://schemas.openxmlformats.org/officeDocument/2006/relationships/hyperlink" Target="imagenes/LAUNDRY_BY_DESIGN_121005009_BLK_2.jpg" TargetMode="External" Id="rId1993"/><Relationship Type="http://schemas.openxmlformats.org/officeDocument/2006/relationships/hyperlink" Target="imagenes/LAUNDRY_BY_DESIGN_121005009_BLK_3.jpg" TargetMode="External" Id="rId1994"/><Relationship Type="http://schemas.openxmlformats.org/officeDocument/2006/relationships/hyperlink" Target="imagenes/LAUNDRY_BY_DESIGN_121005009_CRM_1.jpg" TargetMode="External" Id="rId1995"/><Relationship Type="http://schemas.openxmlformats.org/officeDocument/2006/relationships/hyperlink" Target="imagenes/LAUNDRY_BY_DESIGN_121005009_CRM_2.jpg" TargetMode="External" Id="rId1996"/><Relationship Type="http://schemas.openxmlformats.org/officeDocument/2006/relationships/hyperlink" Target="imagenes/LAUNDRY_BY_DESIGN_121005009_CRM_3.jpg" TargetMode="External" Id="rId1997"/><Relationship Type="http://schemas.openxmlformats.org/officeDocument/2006/relationships/hyperlink" Target="imagenes/LAUNDRY_BY_DESIGN_121005009_CRM_1.jpg" TargetMode="External" Id="rId1998"/><Relationship Type="http://schemas.openxmlformats.org/officeDocument/2006/relationships/hyperlink" Target="imagenes/LAUNDRY_BY_DESIGN_121005009_CRM_2.jpg" TargetMode="External" Id="rId1999"/><Relationship Type="http://schemas.openxmlformats.org/officeDocument/2006/relationships/hyperlink" Target="imagenes/LAUNDRY_BY_DESIGN_121005009_CRM_3.jpg" TargetMode="External" Id="rId2000"/><Relationship Type="http://schemas.openxmlformats.org/officeDocument/2006/relationships/hyperlink" Target="imagenes/LAUNDRY_BY_DESIGN_121005009_CRM_1.jpg" TargetMode="External" Id="rId2001"/><Relationship Type="http://schemas.openxmlformats.org/officeDocument/2006/relationships/hyperlink" Target="imagenes/LAUNDRY_BY_DESIGN_121005009_CRM_2.jpg" TargetMode="External" Id="rId2002"/><Relationship Type="http://schemas.openxmlformats.org/officeDocument/2006/relationships/hyperlink" Target="imagenes/LAUNDRY_BY_DESIGN_121005009_CRM_3.jpg" TargetMode="External" Id="rId2003"/><Relationship Type="http://schemas.openxmlformats.org/officeDocument/2006/relationships/hyperlink" Target="imagenes/LAUNDRY_BY_DESIGN_121005009_CRM_1.jpg" TargetMode="External" Id="rId2004"/><Relationship Type="http://schemas.openxmlformats.org/officeDocument/2006/relationships/hyperlink" Target="imagenes/LAUNDRY_BY_DESIGN_121005009_CRM_2.jpg" TargetMode="External" Id="rId2005"/><Relationship Type="http://schemas.openxmlformats.org/officeDocument/2006/relationships/hyperlink" Target="imagenes/LAUNDRY_BY_DESIGN_121005009_CRM_3.jpg" TargetMode="External" Id="rId2006"/><Relationship Type="http://schemas.openxmlformats.org/officeDocument/2006/relationships/hyperlink" Target="imagenes/LAUNDRY_BY_DESIGN_121005069_BLK_1.jpg" TargetMode="External" Id="rId2007"/><Relationship Type="http://schemas.openxmlformats.org/officeDocument/2006/relationships/hyperlink" Target="imagenes/LAUNDRY_BY_DESIGN_121005069_BLK_2.jpg" TargetMode="External" Id="rId2008"/><Relationship Type="http://schemas.openxmlformats.org/officeDocument/2006/relationships/hyperlink" Target="imagenes/LAUNDRY_BY_DESIGN_121005069_BLK_3.jpg" TargetMode="External" Id="rId2009"/><Relationship Type="http://schemas.openxmlformats.org/officeDocument/2006/relationships/hyperlink" Target="imagenes/LAUNDRY_BY_DESIGN_121005069_BLK_1.jpg" TargetMode="External" Id="rId2010"/><Relationship Type="http://schemas.openxmlformats.org/officeDocument/2006/relationships/hyperlink" Target="imagenes/LAUNDRY_BY_DESIGN_121005069_BLK_2.jpg" TargetMode="External" Id="rId2011"/><Relationship Type="http://schemas.openxmlformats.org/officeDocument/2006/relationships/hyperlink" Target="imagenes/LAUNDRY_BY_DESIGN_121005069_BLK_3.jpg" TargetMode="External" Id="rId2012"/><Relationship Type="http://schemas.openxmlformats.org/officeDocument/2006/relationships/hyperlink" Target="imagenes/LAUNDRY_BY_DESIGN_121005069_BLK_1.jpg" TargetMode="External" Id="rId2013"/><Relationship Type="http://schemas.openxmlformats.org/officeDocument/2006/relationships/hyperlink" Target="imagenes/LAUNDRY_BY_DESIGN_121005069_BLK_2.jpg" TargetMode="External" Id="rId2014"/><Relationship Type="http://schemas.openxmlformats.org/officeDocument/2006/relationships/hyperlink" Target="imagenes/LAUNDRY_BY_DESIGN_121005069_BLK_3.jpg" TargetMode="External" Id="rId2015"/><Relationship Type="http://schemas.openxmlformats.org/officeDocument/2006/relationships/hyperlink" Target="imagenes/LAUNDRY_BY_DESIGN_121005069_BLK_1.jpg" TargetMode="External" Id="rId2016"/><Relationship Type="http://schemas.openxmlformats.org/officeDocument/2006/relationships/hyperlink" Target="imagenes/LAUNDRY_BY_DESIGN_121005069_BLK_2.jpg" TargetMode="External" Id="rId2017"/><Relationship Type="http://schemas.openxmlformats.org/officeDocument/2006/relationships/hyperlink" Target="imagenes/LAUNDRY_BY_DESIGN_121005069_BLK_3.jpg" TargetMode="External" Id="rId2018"/><Relationship Type="http://schemas.openxmlformats.org/officeDocument/2006/relationships/hyperlink" Target="imagenes/LAUNDRY_BY_DESIGN_121005069_BLK_1.jpg" TargetMode="External" Id="rId2019"/><Relationship Type="http://schemas.openxmlformats.org/officeDocument/2006/relationships/hyperlink" Target="imagenes/LAUNDRY_BY_DESIGN_121005069_BLK_2.jpg" TargetMode="External" Id="rId2020"/><Relationship Type="http://schemas.openxmlformats.org/officeDocument/2006/relationships/hyperlink" Target="imagenes/LAUNDRY_BY_DESIGN_121005069_BLK_3.jpg" TargetMode="External" Id="rId2021"/><Relationship Type="http://schemas.openxmlformats.org/officeDocument/2006/relationships/hyperlink" Target="imagenes/LAUNDRY_BY_DESIGN_121005069_BLK_1.jpg" TargetMode="External" Id="rId2022"/><Relationship Type="http://schemas.openxmlformats.org/officeDocument/2006/relationships/hyperlink" Target="imagenes/LAUNDRY_BY_DESIGN_121005069_BLK_2.jpg" TargetMode="External" Id="rId2023"/><Relationship Type="http://schemas.openxmlformats.org/officeDocument/2006/relationships/hyperlink" Target="imagenes/LAUNDRY_BY_DESIGN_121005069_BLK_3.jpg" TargetMode="External" Id="rId2024"/><Relationship Type="http://schemas.openxmlformats.org/officeDocument/2006/relationships/hyperlink" Target="imagenes/LAUNDRY_BY_DESIGN_121005069_BLK_1.jpg" TargetMode="External" Id="rId2025"/><Relationship Type="http://schemas.openxmlformats.org/officeDocument/2006/relationships/hyperlink" Target="imagenes/LAUNDRY_BY_DESIGN_121005069_BLK_2.jpg" TargetMode="External" Id="rId2026"/><Relationship Type="http://schemas.openxmlformats.org/officeDocument/2006/relationships/hyperlink" Target="imagenes/LAUNDRY_BY_DESIGN_121005069_BLK_3.jpg" TargetMode="External" Id="rId2027"/><Relationship Type="http://schemas.openxmlformats.org/officeDocument/2006/relationships/hyperlink" Target="imagenes/LAUNDRY_BY_DESIGN_121005069_LTC_1.jpg" TargetMode="External" Id="rId2028"/><Relationship Type="http://schemas.openxmlformats.org/officeDocument/2006/relationships/hyperlink" Target="imagenes/LAUNDRY_BY_DESIGN_121005069_LTC_2.jpg" TargetMode="External" Id="rId2029"/><Relationship Type="http://schemas.openxmlformats.org/officeDocument/2006/relationships/hyperlink" Target="imagenes/LAUNDRY_BY_DESIGN_121005069_LTC_3.jpg" TargetMode="External" Id="rId2030"/><Relationship Type="http://schemas.openxmlformats.org/officeDocument/2006/relationships/hyperlink" Target="imagenes/LAUNDRY_BY_DESIGN_121005069_LTC_1.jpg" TargetMode="External" Id="rId2031"/><Relationship Type="http://schemas.openxmlformats.org/officeDocument/2006/relationships/hyperlink" Target="imagenes/LAUNDRY_BY_DESIGN_121005069_LTC_2.jpg" TargetMode="External" Id="rId2032"/><Relationship Type="http://schemas.openxmlformats.org/officeDocument/2006/relationships/hyperlink" Target="imagenes/LAUNDRY_BY_DESIGN_121005069_LTC_3.jpg" TargetMode="External" Id="rId2033"/><Relationship Type="http://schemas.openxmlformats.org/officeDocument/2006/relationships/hyperlink" Target="imagenes/LAUNDRY_BY_DESIGN_121005069_LTC_1.jpg" TargetMode="External" Id="rId2034"/><Relationship Type="http://schemas.openxmlformats.org/officeDocument/2006/relationships/hyperlink" Target="imagenes/LAUNDRY_BY_DESIGN_121005069_LTC_2.jpg" TargetMode="External" Id="rId2035"/><Relationship Type="http://schemas.openxmlformats.org/officeDocument/2006/relationships/hyperlink" Target="imagenes/LAUNDRY_BY_DESIGN_121005069_LTC_3.jpg" TargetMode="External" Id="rId2036"/><Relationship Type="http://schemas.openxmlformats.org/officeDocument/2006/relationships/hyperlink" Target="imagenes/LAUNDRY_BY_DESIGN_121005069_LTC_1.jpg" TargetMode="External" Id="rId2037"/><Relationship Type="http://schemas.openxmlformats.org/officeDocument/2006/relationships/hyperlink" Target="imagenes/LAUNDRY_BY_DESIGN_121005069_LTC_2.jpg" TargetMode="External" Id="rId2038"/><Relationship Type="http://schemas.openxmlformats.org/officeDocument/2006/relationships/hyperlink" Target="imagenes/LAUNDRY_BY_DESIGN_121005069_LTC_3.jpg" TargetMode="External" Id="rId2039"/><Relationship Type="http://schemas.openxmlformats.org/officeDocument/2006/relationships/hyperlink" Target="imagenes/LAUNDRY_BY_DESIGN_121005069_LTC_1.jpg" TargetMode="External" Id="rId2040"/><Relationship Type="http://schemas.openxmlformats.org/officeDocument/2006/relationships/hyperlink" Target="imagenes/LAUNDRY_BY_DESIGN_121005069_LTC_2.jpg" TargetMode="External" Id="rId2041"/><Relationship Type="http://schemas.openxmlformats.org/officeDocument/2006/relationships/hyperlink" Target="imagenes/LAUNDRY_BY_DESIGN_121005069_LTC_3.jpg" TargetMode="External" Id="rId2042"/><Relationship Type="http://schemas.openxmlformats.org/officeDocument/2006/relationships/hyperlink" Target="imagenes/LAUNDRY_BY_DESIGN_121005069_LTC_1.jpg" TargetMode="External" Id="rId2043"/><Relationship Type="http://schemas.openxmlformats.org/officeDocument/2006/relationships/hyperlink" Target="imagenes/LAUNDRY_BY_DESIGN_121005069_LTC_2.jpg" TargetMode="External" Id="rId2044"/><Relationship Type="http://schemas.openxmlformats.org/officeDocument/2006/relationships/hyperlink" Target="imagenes/LAUNDRY_BY_DESIGN_121005069_LTC_3.jpg" TargetMode="External" Id="rId2045"/><Relationship Type="http://schemas.openxmlformats.org/officeDocument/2006/relationships/hyperlink" Target="imagenes/LAUNDRY_BY_DESIGN_121005069_MGN_1.jpg" TargetMode="External" Id="rId2046"/><Relationship Type="http://schemas.openxmlformats.org/officeDocument/2006/relationships/hyperlink" Target="imagenes/LAUNDRY_BY_DESIGN_121005069_MGN_2.jpg" TargetMode="External" Id="rId2047"/><Relationship Type="http://schemas.openxmlformats.org/officeDocument/2006/relationships/hyperlink" Target="imagenes/LAUNDRY_BY_DESIGN_121005069_MGN_3.jpg" TargetMode="External" Id="rId2048"/><Relationship Type="http://schemas.openxmlformats.org/officeDocument/2006/relationships/hyperlink" Target="imagenes/LAUNDRY_BY_DESIGN_121005069_MGN_1.jpg" TargetMode="External" Id="rId2049"/><Relationship Type="http://schemas.openxmlformats.org/officeDocument/2006/relationships/hyperlink" Target="imagenes/LAUNDRY_BY_DESIGN_121005069_MGN_2.jpg" TargetMode="External" Id="rId2050"/><Relationship Type="http://schemas.openxmlformats.org/officeDocument/2006/relationships/hyperlink" Target="imagenes/LAUNDRY_BY_DESIGN_121005069_MGN_3.jpg" TargetMode="External" Id="rId2051"/><Relationship Type="http://schemas.openxmlformats.org/officeDocument/2006/relationships/hyperlink" Target="imagenes/LAUNDRY_BY_DESIGN_121005069_MGN_1.jpg" TargetMode="External" Id="rId2052"/><Relationship Type="http://schemas.openxmlformats.org/officeDocument/2006/relationships/hyperlink" Target="imagenes/LAUNDRY_BY_DESIGN_121005069_MGN_2.jpg" TargetMode="External" Id="rId2053"/><Relationship Type="http://schemas.openxmlformats.org/officeDocument/2006/relationships/hyperlink" Target="imagenes/LAUNDRY_BY_DESIGN_121005069_MGN_3.jpg" TargetMode="External" Id="rId2054"/><Relationship Type="http://schemas.openxmlformats.org/officeDocument/2006/relationships/hyperlink" Target="imagenes/LAUNDRY_BY_DESIGN_121005069_MGN_1.jpg" TargetMode="External" Id="rId2055"/><Relationship Type="http://schemas.openxmlformats.org/officeDocument/2006/relationships/hyperlink" Target="imagenes/LAUNDRY_BY_DESIGN_121005069_MGN_2.jpg" TargetMode="External" Id="rId2056"/><Relationship Type="http://schemas.openxmlformats.org/officeDocument/2006/relationships/hyperlink" Target="imagenes/LAUNDRY_BY_DESIGN_121005069_MGN_3.jpg" TargetMode="External" Id="rId2057"/><Relationship Type="http://schemas.openxmlformats.org/officeDocument/2006/relationships/hyperlink" Target="imagenes/LAUNDRY_BY_DESIGN_121005069_MGN_1.jpg" TargetMode="External" Id="rId2058"/><Relationship Type="http://schemas.openxmlformats.org/officeDocument/2006/relationships/hyperlink" Target="imagenes/LAUNDRY_BY_DESIGN_121005069_MGN_2.jpg" TargetMode="External" Id="rId2059"/><Relationship Type="http://schemas.openxmlformats.org/officeDocument/2006/relationships/hyperlink" Target="imagenes/LAUNDRY_BY_DESIGN_121005069_MGN_3.jpg" TargetMode="External" Id="rId2060"/><Relationship Type="http://schemas.openxmlformats.org/officeDocument/2006/relationships/hyperlink" Target="imagenes/LAUNDRY_BY_DESIGN_121005069_MGN_1.jpg" TargetMode="External" Id="rId2061"/><Relationship Type="http://schemas.openxmlformats.org/officeDocument/2006/relationships/hyperlink" Target="imagenes/LAUNDRY_BY_DESIGN_121005069_MGN_2.jpg" TargetMode="External" Id="rId2062"/><Relationship Type="http://schemas.openxmlformats.org/officeDocument/2006/relationships/hyperlink" Target="imagenes/LAUNDRY_BY_DESIGN_121005069_MGN_3.jpg" TargetMode="External" Id="rId2063"/><Relationship Type="http://schemas.openxmlformats.org/officeDocument/2006/relationships/hyperlink" Target="imagenes/LAUNDRY_BY_DESIGN_121005069_MGN_1.jpg" TargetMode="External" Id="rId2064"/><Relationship Type="http://schemas.openxmlformats.org/officeDocument/2006/relationships/hyperlink" Target="imagenes/LAUNDRY_BY_DESIGN_121005069_MGN_2.jpg" TargetMode="External" Id="rId2065"/><Relationship Type="http://schemas.openxmlformats.org/officeDocument/2006/relationships/hyperlink" Target="imagenes/LAUNDRY_BY_DESIGN_121005069_MGN_3.jpg" TargetMode="External" Id="rId2066"/><Relationship Type="http://schemas.openxmlformats.org/officeDocument/2006/relationships/hyperlink" Target="imagenes/LAUNDRY_BY_DESIGN_121005069_MGN_1.jpg" TargetMode="External" Id="rId2067"/><Relationship Type="http://schemas.openxmlformats.org/officeDocument/2006/relationships/hyperlink" Target="imagenes/LAUNDRY_BY_DESIGN_121005069_MGN_2.jpg" TargetMode="External" Id="rId2068"/><Relationship Type="http://schemas.openxmlformats.org/officeDocument/2006/relationships/hyperlink" Target="imagenes/LAUNDRY_BY_DESIGN_121005069_MGN_3.jpg" TargetMode="External" Id="rId2069"/><Relationship Type="http://schemas.openxmlformats.org/officeDocument/2006/relationships/hyperlink" Target="imagenes/LAUNDRY_BY_DESIGN_121005087_OAH_1.jpg" TargetMode="External" Id="rId2070"/><Relationship Type="http://schemas.openxmlformats.org/officeDocument/2006/relationships/hyperlink" Target="imagenes/LAUNDRY_BY_DESIGN_121005087_OAH_2.jpg" TargetMode="External" Id="rId2071"/><Relationship Type="http://schemas.openxmlformats.org/officeDocument/2006/relationships/hyperlink" Target="imagenes/LAUNDRY_BY_DESIGN_121005087_OAH_3.jpg" TargetMode="External" Id="rId2072"/><Relationship Type="http://schemas.openxmlformats.org/officeDocument/2006/relationships/hyperlink" Target="imagenes/LAUNDRY_BY_DESIGN_121005087_OAH_1.jpg" TargetMode="External" Id="rId2073"/><Relationship Type="http://schemas.openxmlformats.org/officeDocument/2006/relationships/hyperlink" Target="imagenes/LAUNDRY_BY_DESIGN_121005087_OAH_2.jpg" TargetMode="External" Id="rId2074"/><Relationship Type="http://schemas.openxmlformats.org/officeDocument/2006/relationships/hyperlink" Target="imagenes/LAUNDRY_BY_DESIGN_121005087_OAH_3.jpg" TargetMode="External" Id="rId2075"/><Relationship Type="http://schemas.openxmlformats.org/officeDocument/2006/relationships/hyperlink" Target="imagenes/LAUNDRY_BY_DESIGN_121005087_OAH_1.jpg" TargetMode="External" Id="rId2076"/><Relationship Type="http://schemas.openxmlformats.org/officeDocument/2006/relationships/hyperlink" Target="imagenes/LAUNDRY_BY_DESIGN_121005087_OAH_2.jpg" TargetMode="External" Id="rId2077"/><Relationship Type="http://schemas.openxmlformats.org/officeDocument/2006/relationships/hyperlink" Target="imagenes/LAUNDRY_BY_DESIGN_121005087_OAH_3.jpg" TargetMode="External" Id="rId2078"/><Relationship Type="http://schemas.openxmlformats.org/officeDocument/2006/relationships/hyperlink" Target="imagenes/LAUNDRY_BY_DESIGN_121005087_OAH_1.jpg" TargetMode="External" Id="rId2079"/><Relationship Type="http://schemas.openxmlformats.org/officeDocument/2006/relationships/hyperlink" Target="imagenes/LAUNDRY_BY_DESIGN_121005087_OAH_2.jpg" TargetMode="External" Id="rId2080"/><Relationship Type="http://schemas.openxmlformats.org/officeDocument/2006/relationships/hyperlink" Target="imagenes/LAUNDRY_BY_DESIGN_121005087_OAH_3.jpg" TargetMode="External" Id="rId2081"/><Relationship Type="http://schemas.openxmlformats.org/officeDocument/2006/relationships/hyperlink" Target="imagenes/LAUNDRY_BY_DESIGN_121005087_OAH_1.jpg" TargetMode="External" Id="rId2082"/><Relationship Type="http://schemas.openxmlformats.org/officeDocument/2006/relationships/hyperlink" Target="imagenes/LAUNDRY_BY_DESIGN_121005087_OAH_2.jpg" TargetMode="External" Id="rId2083"/><Relationship Type="http://schemas.openxmlformats.org/officeDocument/2006/relationships/hyperlink" Target="imagenes/LAUNDRY_BY_DESIGN_121005087_OAH_3.jpg" TargetMode="External" Id="rId2084"/><Relationship Type="http://schemas.openxmlformats.org/officeDocument/2006/relationships/hyperlink" Target="imagenes/LAUNDRY_BY_DESIGN_121005373_DGN_1.jpg" TargetMode="External" Id="rId2085"/><Relationship Type="http://schemas.openxmlformats.org/officeDocument/2006/relationships/hyperlink" Target="imagenes/LAUNDRY_BY_DESIGN_121005373_DGN_2.jpg" TargetMode="External" Id="rId2086"/><Relationship Type="http://schemas.openxmlformats.org/officeDocument/2006/relationships/hyperlink" Target="imagenes/LAUNDRY_BY_DESIGN_121005373_DGN_3.jpg" TargetMode="External" Id="rId2087"/><Relationship Type="http://schemas.openxmlformats.org/officeDocument/2006/relationships/hyperlink" Target="imagenes/LAUNDRY_BY_DESIGN_121005373_DGN_1.jpg" TargetMode="External" Id="rId2088"/><Relationship Type="http://schemas.openxmlformats.org/officeDocument/2006/relationships/hyperlink" Target="imagenes/LAUNDRY_BY_DESIGN_121005373_DGN_2.jpg" TargetMode="External" Id="rId2089"/><Relationship Type="http://schemas.openxmlformats.org/officeDocument/2006/relationships/hyperlink" Target="imagenes/LAUNDRY_BY_DESIGN_121005373_DGN_3.jpg" TargetMode="External" Id="rId2090"/><Relationship Type="http://schemas.openxmlformats.org/officeDocument/2006/relationships/hyperlink" Target="imagenes/LAUNDRY_BY_DESIGN_121005373_DGN_1.jpg" TargetMode="External" Id="rId2091"/><Relationship Type="http://schemas.openxmlformats.org/officeDocument/2006/relationships/hyperlink" Target="imagenes/LAUNDRY_BY_DESIGN_121005373_DGN_2.jpg" TargetMode="External" Id="rId2092"/><Relationship Type="http://schemas.openxmlformats.org/officeDocument/2006/relationships/hyperlink" Target="imagenes/LAUNDRY_BY_DESIGN_121005373_DGN_3.jpg" TargetMode="External" Id="rId2093"/><Relationship Type="http://schemas.openxmlformats.org/officeDocument/2006/relationships/hyperlink" Target="imagenes/LAUNDRY_BY_DESIGN_121005373_DGN_1.jpg" TargetMode="External" Id="rId2094"/><Relationship Type="http://schemas.openxmlformats.org/officeDocument/2006/relationships/hyperlink" Target="imagenes/LAUNDRY_BY_DESIGN_121005373_DGN_2.jpg" TargetMode="External" Id="rId2095"/><Relationship Type="http://schemas.openxmlformats.org/officeDocument/2006/relationships/hyperlink" Target="imagenes/LAUNDRY_BY_DESIGN_121005373_DGN_3.jpg" TargetMode="External" Id="rId2096"/><Relationship Type="http://schemas.openxmlformats.org/officeDocument/2006/relationships/hyperlink" Target="imagenes/LAUNDRY_BY_DESIGN_121005373_DGN_1.jpg" TargetMode="External" Id="rId2097"/><Relationship Type="http://schemas.openxmlformats.org/officeDocument/2006/relationships/hyperlink" Target="imagenes/LAUNDRY_BY_DESIGN_121005373_DGN_2.jpg" TargetMode="External" Id="rId2098"/><Relationship Type="http://schemas.openxmlformats.org/officeDocument/2006/relationships/hyperlink" Target="imagenes/LAUNDRY_BY_DESIGN_121005373_DGN_3.jpg" TargetMode="External" Id="rId2099"/><Relationship Type="http://schemas.openxmlformats.org/officeDocument/2006/relationships/hyperlink" Target="imagenes/LAUNDRY_BY_DESIGN_121005373_DGN_1.jpg" TargetMode="External" Id="rId2100"/><Relationship Type="http://schemas.openxmlformats.org/officeDocument/2006/relationships/hyperlink" Target="imagenes/LAUNDRY_BY_DESIGN_121005373_DGN_2.jpg" TargetMode="External" Id="rId2101"/><Relationship Type="http://schemas.openxmlformats.org/officeDocument/2006/relationships/hyperlink" Target="imagenes/LAUNDRY_BY_DESIGN_121005373_DGN_3.jpg" TargetMode="External" Id="rId2102"/><Relationship Type="http://schemas.openxmlformats.org/officeDocument/2006/relationships/hyperlink" Target="imagenes/LAUNDRY_BY_DESIGN_121005373_DGN_1.jpg" TargetMode="External" Id="rId2103"/><Relationship Type="http://schemas.openxmlformats.org/officeDocument/2006/relationships/hyperlink" Target="imagenes/LAUNDRY_BY_DESIGN_121005373_DGN_2.jpg" TargetMode="External" Id="rId2104"/><Relationship Type="http://schemas.openxmlformats.org/officeDocument/2006/relationships/hyperlink" Target="imagenes/LAUNDRY_BY_DESIGN_121005373_DGN_3.jpg" TargetMode="External" Id="rId2105"/><Relationship Type="http://schemas.openxmlformats.org/officeDocument/2006/relationships/hyperlink" Target="imagenes/LAUNDRY_BY_DESIGN_121005487_CRM_2.jpg" TargetMode="External" Id="rId2106"/><Relationship Type="http://schemas.openxmlformats.org/officeDocument/2006/relationships/hyperlink" Target="imagenes/LAUNDRY_BY_DESIGN_121005487_CRM_3.jpg" TargetMode="External" Id="rId2107"/><Relationship Type="http://schemas.openxmlformats.org/officeDocument/2006/relationships/hyperlink" Target="imagenes/LAUNDRY_BY_DESIGN_121005487_CRM_2.jpg" TargetMode="External" Id="rId2108"/><Relationship Type="http://schemas.openxmlformats.org/officeDocument/2006/relationships/hyperlink" Target="imagenes/LAUNDRY_BY_DESIGN_121005487_CRM_3.jpg" TargetMode="External" Id="rId2109"/><Relationship Type="http://schemas.openxmlformats.org/officeDocument/2006/relationships/hyperlink" Target="imagenes/LAUNDRY_BY_DESIGN_121005487_CRM_2.jpg" TargetMode="External" Id="rId2110"/><Relationship Type="http://schemas.openxmlformats.org/officeDocument/2006/relationships/hyperlink" Target="imagenes/LAUNDRY_BY_DESIGN_121005487_CRM_3.jpg" TargetMode="External" Id="rId2111"/><Relationship Type="http://schemas.openxmlformats.org/officeDocument/2006/relationships/hyperlink" Target="imagenes/LAUNDRY_BY_DESIGN_121005487_CRM_2.jpg" TargetMode="External" Id="rId2112"/><Relationship Type="http://schemas.openxmlformats.org/officeDocument/2006/relationships/hyperlink" Target="imagenes/LAUNDRY_BY_DESIGN_121005487_CRM_3.jpg" TargetMode="External" Id="rId2113"/><Relationship Type="http://schemas.openxmlformats.org/officeDocument/2006/relationships/hyperlink" Target="imagenes/LAUNDRY_BY_DESIGN_121005487_ROS_1.jpg" TargetMode="External" Id="rId2114"/><Relationship Type="http://schemas.openxmlformats.org/officeDocument/2006/relationships/hyperlink" Target="imagenes/LAUNDRY_BY_DESIGN_121005487_ROS_2.jpg" TargetMode="External" Id="rId2115"/><Relationship Type="http://schemas.openxmlformats.org/officeDocument/2006/relationships/hyperlink" Target="imagenes/LAUNDRY_BY_DESIGN_121005487_ROS_3.jpg" TargetMode="External" Id="rId2116"/><Relationship Type="http://schemas.openxmlformats.org/officeDocument/2006/relationships/hyperlink" Target="imagenes/LAUNDRY_BY_DESIGN_121005487_ROS_1.jpg" TargetMode="External" Id="rId2117"/><Relationship Type="http://schemas.openxmlformats.org/officeDocument/2006/relationships/hyperlink" Target="imagenes/LAUNDRY_BY_DESIGN_121005487_ROS_2.jpg" TargetMode="External" Id="rId2118"/><Relationship Type="http://schemas.openxmlformats.org/officeDocument/2006/relationships/hyperlink" Target="imagenes/LAUNDRY_BY_DESIGN_121005487_ROS_3.jpg" TargetMode="External" Id="rId2119"/><Relationship Type="http://schemas.openxmlformats.org/officeDocument/2006/relationships/hyperlink" Target="imagenes/LAUNDRY_BY_DESIGN_121005487_ROS_1.jpg" TargetMode="External" Id="rId2120"/><Relationship Type="http://schemas.openxmlformats.org/officeDocument/2006/relationships/hyperlink" Target="imagenes/LAUNDRY_BY_DESIGN_121005487_ROS_2.jpg" TargetMode="External" Id="rId2121"/><Relationship Type="http://schemas.openxmlformats.org/officeDocument/2006/relationships/hyperlink" Target="imagenes/LAUNDRY_BY_DESIGN_121005487_ROS_3.jpg" TargetMode="External" Id="rId2122"/><Relationship Type="http://schemas.openxmlformats.org/officeDocument/2006/relationships/hyperlink" Target="imagenes/LAUNDRY_BY_DESIGN_121005487_ROS_1.jpg" TargetMode="External" Id="rId2123"/><Relationship Type="http://schemas.openxmlformats.org/officeDocument/2006/relationships/hyperlink" Target="imagenes/LAUNDRY_BY_DESIGN_121005487_ROS_2.jpg" TargetMode="External" Id="rId2124"/><Relationship Type="http://schemas.openxmlformats.org/officeDocument/2006/relationships/hyperlink" Target="imagenes/LAUNDRY_BY_DESIGN_121005487_ROS_3.jpg" TargetMode="External" Id="rId2125"/><Relationship Type="http://schemas.openxmlformats.org/officeDocument/2006/relationships/hyperlink" Target="imagenes/LAUNDRY_BY_DESIGN_121005487_ROS_1.jpg" TargetMode="External" Id="rId2126"/><Relationship Type="http://schemas.openxmlformats.org/officeDocument/2006/relationships/hyperlink" Target="imagenes/LAUNDRY_BY_DESIGN_121005487_ROS_2.jpg" TargetMode="External" Id="rId2127"/><Relationship Type="http://schemas.openxmlformats.org/officeDocument/2006/relationships/hyperlink" Target="imagenes/LAUNDRY_BY_DESIGN_121005487_ROS_3.jpg" TargetMode="External" Id="rId2128"/><Relationship Type="http://schemas.openxmlformats.org/officeDocument/2006/relationships/hyperlink" Target="imagenes/LAUNDRY_BY_DESIGN_121005487_SAG_1.jpg" TargetMode="External" Id="rId2129"/><Relationship Type="http://schemas.openxmlformats.org/officeDocument/2006/relationships/hyperlink" Target="imagenes/LAUNDRY_BY_DESIGN_121005487_SAG_2.jpg" TargetMode="External" Id="rId2130"/><Relationship Type="http://schemas.openxmlformats.org/officeDocument/2006/relationships/hyperlink" Target="imagenes/LAUNDRY_BY_DESIGN_121005487_SAG_3.jpg" TargetMode="External" Id="rId2131"/><Relationship Type="http://schemas.openxmlformats.org/officeDocument/2006/relationships/hyperlink" Target="imagenes/LAUNDRY_BY_DESIGN_121005487_SAG_1.jpg" TargetMode="External" Id="rId2132"/><Relationship Type="http://schemas.openxmlformats.org/officeDocument/2006/relationships/hyperlink" Target="imagenes/LAUNDRY_BY_DESIGN_121005487_SAG_2.jpg" TargetMode="External" Id="rId2133"/><Relationship Type="http://schemas.openxmlformats.org/officeDocument/2006/relationships/hyperlink" Target="imagenes/LAUNDRY_BY_DESIGN_121005487_SAG_3.jpg" TargetMode="External" Id="rId2134"/><Relationship Type="http://schemas.openxmlformats.org/officeDocument/2006/relationships/hyperlink" Target="imagenes/LAUNDRY_BY_DESIGN_121005487_SAG_1.jpg" TargetMode="External" Id="rId2135"/><Relationship Type="http://schemas.openxmlformats.org/officeDocument/2006/relationships/hyperlink" Target="imagenes/LAUNDRY_BY_DESIGN_121005487_SAG_2.jpg" TargetMode="External" Id="rId2136"/><Relationship Type="http://schemas.openxmlformats.org/officeDocument/2006/relationships/hyperlink" Target="imagenes/LAUNDRY_BY_DESIGN_121005487_SAG_3.jpg" TargetMode="External" Id="rId2137"/><Relationship Type="http://schemas.openxmlformats.org/officeDocument/2006/relationships/hyperlink" Target="imagenes/LAUNDRY_BY_DESIGN_121005487_SAG_1.jpg" TargetMode="External" Id="rId2138"/><Relationship Type="http://schemas.openxmlformats.org/officeDocument/2006/relationships/hyperlink" Target="imagenes/LAUNDRY_BY_DESIGN_121005487_SAG_2.jpg" TargetMode="External" Id="rId2139"/><Relationship Type="http://schemas.openxmlformats.org/officeDocument/2006/relationships/hyperlink" Target="imagenes/LAUNDRY_BY_DESIGN_121005487_SAG_3.jpg" TargetMode="External" Id="rId2140"/><Relationship Type="http://schemas.openxmlformats.org/officeDocument/2006/relationships/hyperlink" Target="imagenes/LAUNDRY_BY_DESIGN_121005487_SAG_1.jpg" TargetMode="External" Id="rId2141"/><Relationship Type="http://schemas.openxmlformats.org/officeDocument/2006/relationships/hyperlink" Target="imagenes/LAUNDRY_BY_DESIGN_121005487_SAG_2.jpg" TargetMode="External" Id="rId2142"/><Relationship Type="http://schemas.openxmlformats.org/officeDocument/2006/relationships/hyperlink" Target="imagenes/LAUNDRY_BY_DESIGN_121005487_SAG_3.jpg" TargetMode="External" Id="rId2143"/><Relationship Type="http://schemas.openxmlformats.org/officeDocument/2006/relationships/hyperlink" Target="imagenes/LAUNDRY_BY_DESIGN_121006245_BLK_1.jpg" TargetMode="External" Id="rId2144"/><Relationship Type="http://schemas.openxmlformats.org/officeDocument/2006/relationships/hyperlink" Target="imagenes/LAUNDRY_BY_DESIGN_121006245_BLK_2.jpg" TargetMode="External" Id="rId2145"/><Relationship Type="http://schemas.openxmlformats.org/officeDocument/2006/relationships/hyperlink" Target="imagenes/LAUNDRY_BY_DESIGN_121006245_BLK_3.jpg" TargetMode="External" Id="rId2146"/><Relationship Type="http://schemas.openxmlformats.org/officeDocument/2006/relationships/hyperlink" Target="imagenes/LAUNDRY_BY_DESIGN_121006245_BLK_1.jpg" TargetMode="External" Id="rId2147"/><Relationship Type="http://schemas.openxmlformats.org/officeDocument/2006/relationships/hyperlink" Target="imagenes/LAUNDRY_BY_DESIGN_121006245_BLK_2.jpg" TargetMode="External" Id="rId2148"/><Relationship Type="http://schemas.openxmlformats.org/officeDocument/2006/relationships/hyperlink" Target="imagenes/LAUNDRY_BY_DESIGN_121006245_BLK_3.jpg" TargetMode="External" Id="rId2149"/><Relationship Type="http://schemas.openxmlformats.org/officeDocument/2006/relationships/hyperlink" Target="imagenes/LAUNDRY_BY_DESIGN_121006245_BLK_1.jpg" TargetMode="External" Id="rId2150"/><Relationship Type="http://schemas.openxmlformats.org/officeDocument/2006/relationships/hyperlink" Target="imagenes/LAUNDRY_BY_DESIGN_121006245_BLK_2.jpg" TargetMode="External" Id="rId2151"/><Relationship Type="http://schemas.openxmlformats.org/officeDocument/2006/relationships/hyperlink" Target="imagenes/LAUNDRY_BY_DESIGN_121006245_BLK_3.jpg" TargetMode="External" Id="rId2152"/><Relationship Type="http://schemas.openxmlformats.org/officeDocument/2006/relationships/hyperlink" Target="imagenes/LAUNDRY_BY_DESIGN_121006245_BLK_1.jpg" TargetMode="External" Id="rId2153"/><Relationship Type="http://schemas.openxmlformats.org/officeDocument/2006/relationships/hyperlink" Target="imagenes/LAUNDRY_BY_DESIGN_121006245_BLK_2.jpg" TargetMode="External" Id="rId2154"/><Relationship Type="http://schemas.openxmlformats.org/officeDocument/2006/relationships/hyperlink" Target="imagenes/LAUNDRY_BY_DESIGN_121006245_BLK_3.jpg" TargetMode="External" Id="rId2155"/><Relationship Type="http://schemas.openxmlformats.org/officeDocument/2006/relationships/hyperlink" Target="imagenes/LAUNDRY_BY_DESIGN_121006245_TFF_1.jpg" TargetMode="External" Id="rId2156"/><Relationship Type="http://schemas.openxmlformats.org/officeDocument/2006/relationships/hyperlink" Target="imagenes/LAUNDRY_BY_DESIGN_121006245_TFF_2.jpg" TargetMode="External" Id="rId2157"/><Relationship Type="http://schemas.openxmlformats.org/officeDocument/2006/relationships/hyperlink" Target="imagenes/LAUNDRY_BY_DESIGN_121006245_TFF_3.jpg" TargetMode="External" Id="rId2158"/><Relationship Type="http://schemas.openxmlformats.org/officeDocument/2006/relationships/hyperlink" Target="imagenes/LAUNDRY_BY_DESIGN_121006245_TFF_1.jpg" TargetMode="External" Id="rId2159"/><Relationship Type="http://schemas.openxmlformats.org/officeDocument/2006/relationships/hyperlink" Target="imagenes/LAUNDRY_BY_DESIGN_121006245_TFF_2.jpg" TargetMode="External" Id="rId2160"/><Relationship Type="http://schemas.openxmlformats.org/officeDocument/2006/relationships/hyperlink" Target="imagenes/LAUNDRY_BY_DESIGN_121006245_TFF_3.jpg" TargetMode="External" Id="rId2161"/><Relationship Type="http://schemas.openxmlformats.org/officeDocument/2006/relationships/hyperlink" Target="imagenes/LAUNDRY_BY_DESIGN_121006245_TFF_1.jpg" TargetMode="External" Id="rId2162"/><Relationship Type="http://schemas.openxmlformats.org/officeDocument/2006/relationships/hyperlink" Target="imagenes/LAUNDRY_BY_DESIGN_121006245_TFF_2.jpg" TargetMode="External" Id="rId2163"/><Relationship Type="http://schemas.openxmlformats.org/officeDocument/2006/relationships/hyperlink" Target="imagenes/LAUNDRY_BY_DESIGN_121006245_TFF_3.jpg" TargetMode="External" Id="rId2164"/><Relationship Type="http://schemas.openxmlformats.org/officeDocument/2006/relationships/hyperlink" Target="imagenes/LAUNDRY_BY_DESIGN_121006245_TFF_1.jpg" TargetMode="External" Id="rId2165"/><Relationship Type="http://schemas.openxmlformats.org/officeDocument/2006/relationships/hyperlink" Target="imagenes/LAUNDRY_BY_DESIGN_121006245_TFF_2.jpg" TargetMode="External" Id="rId2166"/><Relationship Type="http://schemas.openxmlformats.org/officeDocument/2006/relationships/hyperlink" Target="imagenes/LAUNDRY_BY_DESIGN_121006245_TFF_3.jpg" TargetMode="External" Id="rId2167"/><Relationship Type="http://schemas.openxmlformats.org/officeDocument/2006/relationships/hyperlink" Target="imagenes/LAUNDRY_BY_DESIGN_121006245_TFF_1.jpg" TargetMode="External" Id="rId2168"/><Relationship Type="http://schemas.openxmlformats.org/officeDocument/2006/relationships/hyperlink" Target="imagenes/LAUNDRY_BY_DESIGN_121006245_TFF_2.jpg" TargetMode="External" Id="rId2169"/><Relationship Type="http://schemas.openxmlformats.org/officeDocument/2006/relationships/hyperlink" Target="imagenes/LAUNDRY_BY_DESIGN_121006245_TFF_3.jpg" TargetMode="External" Id="rId2170"/><Relationship Type="http://schemas.openxmlformats.org/officeDocument/2006/relationships/hyperlink" Target="imagenes/LAUNDRY_BY_DESIGN_121009841_BLK_1.jpg" TargetMode="External" Id="rId2171"/><Relationship Type="http://schemas.openxmlformats.org/officeDocument/2006/relationships/hyperlink" Target="imagenes/LAUNDRY_BY_DESIGN_121009841_BLK_2.jpg" TargetMode="External" Id="rId2172"/><Relationship Type="http://schemas.openxmlformats.org/officeDocument/2006/relationships/hyperlink" Target="imagenes/LAUNDRY_BY_DESIGN_121009841_BLK_3.jpg" TargetMode="External" Id="rId2173"/><Relationship Type="http://schemas.openxmlformats.org/officeDocument/2006/relationships/hyperlink" Target="imagenes/LAUNDRY_BY_DESIGN_121009841_BLK_1.jpg" TargetMode="External" Id="rId2174"/><Relationship Type="http://schemas.openxmlformats.org/officeDocument/2006/relationships/hyperlink" Target="imagenes/LAUNDRY_BY_DESIGN_121009841_BLK_2.jpg" TargetMode="External" Id="rId2175"/><Relationship Type="http://schemas.openxmlformats.org/officeDocument/2006/relationships/hyperlink" Target="imagenes/LAUNDRY_BY_DESIGN_121009841_BLK_3.jpg" TargetMode="External" Id="rId2176"/><Relationship Type="http://schemas.openxmlformats.org/officeDocument/2006/relationships/hyperlink" Target="imagenes/LAUNDRY_BY_DESIGN_121009841_BLK_1.jpg" TargetMode="External" Id="rId2177"/><Relationship Type="http://schemas.openxmlformats.org/officeDocument/2006/relationships/hyperlink" Target="imagenes/LAUNDRY_BY_DESIGN_121009841_BLK_2.jpg" TargetMode="External" Id="rId2178"/><Relationship Type="http://schemas.openxmlformats.org/officeDocument/2006/relationships/hyperlink" Target="imagenes/LAUNDRY_BY_DESIGN_121009841_BLK_3.jpg" TargetMode="External" Id="rId2179"/><Relationship Type="http://schemas.openxmlformats.org/officeDocument/2006/relationships/hyperlink" Target="imagenes/LAUNDRY_BY_DESIGN_121009841_BLK_1.jpg" TargetMode="External" Id="rId2180"/><Relationship Type="http://schemas.openxmlformats.org/officeDocument/2006/relationships/hyperlink" Target="imagenes/LAUNDRY_BY_DESIGN_121009841_BLK_2.jpg" TargetMode="External" Id="rId2181"/><Relationship Type="http://schemas.openxmlformats.org/officeDocument/2006/relationships/hyperlink" Target="imagenes/LAUNDRY_BY_DESIGN_121009841_BLK_3.jpg" TargetMode="External" Id="rId2182"/><Relationship Type="http://schemas.openxmlformats.org/officeDocument/2006/relationships/hyperlink" Target="imagenes/LAUNDRY_BY_DESIGN_121009841_BLK_1.jpg" TargetMode="External" Id="rId2183"/><Relationship Type="http://schemas.openxmlformats.org/officeDocument/2006/relationships/hyperlink" Target="imagenes/LAUNDRY_BY_DESIGN_121009841_BLK_2.jpg" TargetMode="External" Id="rId2184"/><Relationship Type="http://schemas.openxmlformats.org/officeDocument/2006/relationships/hyperlink" Target="imagenes/LAUNDRY_BY_DESIGN_121009841_BLK_3.jpg" TargetMode="External" Id="rId2185"/><Relationship Type="http://schemas.openxmlformats.org/officeDocument/2006/relationships/hyperlink" Target="imagenes/LAUNDRY_BY_DESIGN_121009841_BLK_1.jpg" TargetMode="External" Id="rId2186"/><Relationship Type="http://schemas.openxmlformats.org/officeDocument/2006/relationships/hyperlink" Target="imagenes/LAUNDRY_BY_DESIGN_121009841_BLK_2.jpg" TargetMode="External" Id="rId2187"/><Relationship Type="http://schemas.openxmlformats.org/officeDocument/2006/relationships/hyperlink" Target="imagenes/LAUNDRY_BY_DESIGN_121009841_BLK_3.jpg" TargetMode="External" Id="rId2188"/><Relationship Type="http://schemas.openxmlformats.org/officeDocument/2006/relationships/hyperlink" Target="imagenes/LAUNDRY_BY_DESIGN_121009841_CHO_1.jpg" TargetMode="External" Id="rId2189"/><Relationship Type="http://schemas.openxmlformats.org/officeDocument/2006/relationships/hyperlink" Target="imagenes/LAUNDRY_BY_DESIGN_121009841_CHO_2.jpg" TargetMode="External" Id="rId2190"/><Relationship Type="http://schemas.openxmlformats.org/officeDocument/2006/relationships/hyperlink" Target="imagenes/LAUNDRY_BY_DESIGN_121009841_CHO_3.jpg" TargetMode="External" Id="rId2191"/><Relationship Type="http://schemas.openxmlformats.org/officeDocument/2006/relationships/hyperlink" Target="imagenes/LAUNDRY_BY_DESIGN_121009841_CHO_1.jpg" TargetMode="External" Id="rId2192"/><Relationship Type="http://schemas.openxmlformats.org/officeDocument/2006/relationships/hyperlink" Target="imagenes/LAUNDRY_BY_DESIGN_121009841_CHO_2.jpg" TargetMode="External" Id="rId2193"/><Relationship Type="http://schemas.openxmlformats.org/officeDocument/2006/relationships/hyperlink" Target="imagenes/LAUNDRY_BY_DESIGN_121009841_CHO_3.jpg" TargetMode="External" Id="rId2194"/><Relationship Type="http://schemas.openxmlformats.org/officeDocument/2006/relationships/hyperlink" Target="imagenes/LAUNDRY_BY_DESIGN_121009841_CHO_1.jpg" TargetMode="External" Id="rId2195"/><Relationship Type="http://schemas.openxmlformats.org/officeDocument/2006/relationships/hyperlink" Target="imagenes/LAUNDRY_BY_DESIGN_121009841_CHO_2.jpg" TargetMode="External" Id="rId2196"/><Relationship Type="http://schemas.openxmlformats.org/officeDocument/2006/relationships/hyperlink" Target="imagenes/LAUNDRY_BY_DESIGN_121009841_CHO_3.jpg" TargetMode="External" Id="rId2197"/><Relationship Type="http://schemas.openxmlformats.org/officeDocument/2006/relationships/hyperlink" Target="imagenes/LAUNDRY_BY_DESIGN_121009841_CHO_1.jpg" TargetMode="External" Id="rId2198"/><Relationship Type="http://schemas.openxmlformats.org/officeDocument/2006/relationships/hyperlink" Target="imagenes/LAUNDRY_BY_DESIGN_121009841_CHO_2.jpg" TargetMode="External" Id="rId2199"/><Relationship Type="http://schemas.openxmlformats.org/officeDocument/2006/relationships/hyperlink" Target="imagenes/LAUNDRY_BY_DESIGN_121009841_CHO_3.jpg" TargetMode="External" Id="rId2200"/><Relationship Type="http://schemas.openxmlformats.org/officeDocument/2006/relationships/hyperlink" Target="imagenes/LAUNDRY_BY_DESIGN_121009841_CHO_1.jpg" TargetMode="External" Id="rId2201"/><Relationship Type="http://schemas.openxmlformats.org/officeDocument/2006/relationships/hyperlink" Target="imagenes/LAUNDRY_BY_DESIGN_121009841_CHO_2.jpg" TargetMode="External" Id="rId2202"/><Relationship Type="http://schemas.openxmlformats.org/officeDocument/2006/relationships/hyperlink" Target="imagenes/LAUNDRY_BY_DESIGN_121009841_CHO_3.jpg" TargetMode="External" Id="rId2203"/><Relationship Type="http://schemas.openxmlformats.org/officeDocument/2006/relationships/hyperlink" Target="imagenes/LAUNDRY_BY_DESIGN_121009843_BLK_1.jpg" TargetMode="External" Id="rId2204"/><Relationship Type="http://schemas.openxmlformats.org/officeDocument/2006/relationships/hyperlink" Target="imagenes/LAUNDRY_BY_DESIGN_121009843_BLK_2.jpg" TargetMode="External" Id="rId2205"/><Relationship Type="http://schemas.openxmlformats.org/officeDocument/2006/relationships/hyperlink" Target="imagenes/LAUNDRY_BY_DESIGN_121009843_BLK_3.jpg" TargetMode="External" Id="rId2206"/><Relationship Type="http://schemas.openxmlformats.org/officeDocument/2006/relationships/hyperlink" Target="imagenes/LAUNDRY_BY_DESIGN_121009843_BLK_1.jpg" TargetMode="External" Id="rId2207"/><Relationship Type="http://schemas.openxmlformats.org/officeDocument/2006/relationships/hyperlink" Target="imagenes/LAUNDRY_BY_DESIGN_121009843_BLK_2.jpg" TargetMode="External" Id="rId2208"/><Relationship Type="http://schemas.openxmlformats.org/officeDocument/2006/relationships/hyperlink" Target="imagenes/LAUNDRY_BY_DESIGN_121009843_BLK_3.jpg" TargetMode="External" Id="rId2209"/><Relationship Type="http://schemas.openxmlformats.org/officeDocument/2006/relationships/hyperlink" Target="imagenes/LAUNDRY_BY_DESIGN_121009843_BLK_1.jpg" TargetMode="External" Id="rId2210"/><Relationship Type="http://schemas.openxmlformats.org/officeDocument/2006/relationships/hyperlink" Target="imagenes/LAUNDRY_BY_DESIGN_121009843_BLK_2.jpg" TargetMode="External" Id="rId2211"/><Relationship Type="http://schemas.openxmlformats.org/officeDocument/2006/relationships/hyperlink" Target="imagenes/LAUNDRY_BY_DESIGN_121009843_BLK_3.jpg" TargetMode="External" Id="rId2212"/><Relationship Type="http://schemas.openxmlformats.org/officeDocument/2006/relationships/hyperlink" Target="imagenes/LAUNDRY_BY_DESIGN_121009843_BLK_1.jpg" TargetMode="External" Id="rId2213"/><Relationship Type="http://schemas.openxmlformats.org/officeDocument/2006/relationships/hyperlink" Target="imagenes/LAUNDRY_BY_DESIGN_121009843_BLK_2.jpg" TargetMode="External" Id="rId2214"/><Relationship Type="http://schemas.openxmlformats.org/officeDocument/2006/relationships/hyperlink" Target="imagenes/LAUNDRY_BY_DESIGN_121009843_BLK_3.jpg" TargetMode="External" Id="rId2215"/><Relationship Type="http://schemas.openxmlformats.org/officeDocument/2006/relationships/hyperlink" Target="imagenes/LAUNDRY_BY_DESIGN_121009843_BLK_1.jpg" TargetMode="External" Id="rId2216"/><Relationship Type="http://schemas.openxmlformats.org/officeDocument/2006/relationships/hyperlink" Target="imagenes/LAUNDRY_BY_DESIGN_121009843_BLK_2.jpg" TargetMode="External" Id="rId2217"/><Relationship Type="http://schemas.openxmlformats.org/officeDocument/2006/relationships/hyperlink" Target="imagenes/LAUNDRY_BY_DESIGN_121009843_BLK_3.jpg" TargetMode="External" Id="rId2218"/><Relationship Type="http://schemas.openxmlformats.org/officeDocument/2006/relationships/hyperlink" Target="imagenes/LAUNDRY_BY_DESIGN_121009843_BLK_1.jpg" TargetMode="External" Id="rId2219"/><Relationship Type="http://schemas.openxmlformats.org/officeDocument/2006/relationships/hyperlink" Target="imagenes/LAUNDRY_BY_DESIGN_121009843_BLK_2.jpg" TargetMode="External" Id="rId2220"/><Relationship Type="http://schemas.openxmlformats.org/officeDocument/2006/relationships/hyperlink" Target="imagenes/LAUNDRY_BY_DESIGN_121009843_BLK_3.jpg" TargetMode="External" Id="rId2221"/><Relationship Type="http://schemas.openxmlformats.org/officeDocument/2006/relationships/hyperlink" Target="imagenes/LAUNDRY_BY_DESIGN_121009843_CHO_1.jpg" TargetMode="External" Id="rId2222"/><Relationship Type="http://schemas.openxmlformats.org/officeDocument/2006/relationships/hyperlink" Target="imagenes/LAUNDRY_BY_DESIGN_121009843_CHO_2.jpg" TargetMode="External" Id="rId2223"/><Relationship Type="http://schemas.openxmlformats.org/officeDocument/2006/relationships/hyperlink" Target="imagenes/LAUNDRY_BY_DESIGN_121009843_CHO_3.jpg" TargetMode="External" Id="rId2224"/><Relationship Type="http://schemas.openxmlformats.org/officeDocument/2006/relationships/hyperlink" Target="imagenes/LAUNDRY_BY_DESIGN_121009843_CHO_1.jpg" TargetMode="External" Id="rId2225"/><Relationship Type="http://schemas.openxmlformats.org/officeDocument/2006/relationships/hyperlink" Target="imagenes/LAUNDRY_BY_DESIGN_121009843_CHO_2.jpg" TargetMode="External" Id="rId2226"/><Relationship Type="http://schemas.openxmlformats.org/officeDocument/2006/relationships/hyperlink" Target="imagenes/LAUNDRY_BY_DESIGN_121009843_CHO_3.jpg" TargetMode="External" Id="rId2227"/><Relationship Type="http://schemas.openxmlformats.org/officeDocument/2006/relationships/hyperlink" Target="imagenes/LAUNDRY_BY_DESIGN_121009843_CHO_1.jpg" TargetMode="External" Id="rId2228"/><Relationship Type="http://schemas.openxmlformats.org/officeDocument/2006/relationships/hyperlink" Target="imagenes/LAUNDRY_BY_DESIGN_121009843_CHO_2.jpg" TargetMode="External" Id="rId2229"/><Relationship Type="http://schemas.openxmlformats.org/officeDocument/2006/relationships/hyperlink" Target="imagenes/LAUNDRY_BY_DESIGN_121009843_CHO_3.jpg" TargetMode="External" Id="rId2230"/><Relationship Type="http://schemas.openxmlformats.org/officeDocument/2006/relationships/hyperlink" Target="imagenes/LAUNDRY_BY_DESIGN_121009843_CHO_1.jpg" TargetMode="External" Id="rId2231"/><Relationship Type="http://schemas.openxmlformats.org/officeDocument/2006/relationships/hyperlink" Target="imagenes/LAUNDRY_BY_DESIGN_121009843_CHO_2.jpg" TargetMode="External" Id="rId2232"/><Relationship Type="http://schemas.openxmlformats.org/officeDocument/2006/relationships/hyperlink" Target="imagenes/LAUNDRY_BY_DESIGN_121009843_CHO_3.jpg" TargetMode="External" Id="rId2233"/><Relationship Type="http://schemas.openxmlformats.org/officeDocument/2006/relationships/hyperlink" Target="imagenes/LAUNDRY_BY_DESIGN_121009843_CHO_1.jpg" TargetMode="External" Id="rId2234"/><Relationship Type="http://schemas.openxmlformats.org/officeDocument/2006/relationships/hyperlink" Target="imagenes/LAUNDRY_BY_DESIGN_121009843_CHO_2.jpg" TargetMode="External" Id="rId2235"/><Relationship Type="http://schemas.openxmlformats.org/officeDocument/2006/relationships/hyperlink" Target="imagenes/LAUNDRY_BY_DESIGN_121009843_CHO_3.jpg" TargetMode="External" Id="rId2236"/><Relationship Type="http://schemas.openxmlformats.org/officeDocument/2006/relationships/hyperlink" Target="imagenes/LAUNDRY_BY_DESIGN_121009843_CHO_1.jpg" TargetMode="External" Id="rId2237"/><Relationship Type="http://schemas.openxmlformats.org/officeDocument/2006/relationships/hyperlink" Target="imagenes/LAUNDRY_BY_DESIGN_121009843_CHO_2.jpg" TargetMode="External" Id="rId2238"/><Relationship Type="http://schemas.openxmlformats.org/officeDocument/2006/relationships/hyperlink" Target="imagenes/LAUNDRY_BY_DESIGN_121009843_CHO_3.jpg" TargetMode="External" Id="rId2239"/><Relationship Type="http://schemas.openxmlformats.org/officeDocument/2006/relationships/hyperlink" Target="imagenes/LAUNDRY_BY_DESIGN_121009843_NVY_1.jpg" TargetMode="External" Id="rId2240"/><Relationship Type="http://schemas.openxmlformats.org/officeDocument/2006/relationships/hyperlink" Target="imagenes/LAUNDRY_BY_DESIGN_121009843_NVY_2.jpg" TargetMode="External" Id="rId2241"/><Relationship Type="http://schemas.openxmlformats.org/officeDocument/2006/relationships/hyperlink" Target="imagenes/LAUNDRY_BY_DESIGN_121009843_NVY_3.jpg" TargetMode="External" Id="rId2242"/><Relationship Type="http://schemas.openxmlformats.org/officeDocument/2006/relationships/hyperlink" Target="imagenes/LAUNDRY_BY_DESIGN_121009843_NVY_1.jpg" TargetMode="External" Id="rId2243"/><Relationship Type="http://schemas.openxmlformats.org/officeDocument/2006/relationships/hyperlink" Target="imagenes/LAUNDRY_BY_DESIGN_121009843_NVY_2.jpg" TargetMode="External" Id="rId2244"/><Relationship Type="http://schemas.openxmlformats.org/officeDocument/2006/relationships/hyperlink" Target="imagenes/LAUNDRY_BY_DESIGN_121009843_NVY_3.jpg" TargetMode="External" Id="rId2245"/><Relationship Type="http://schemas.openxmlformats.org/officeDocument/2006/relationships/hyperlink" Target="imagenes/LAUNDRY_BY_DESIGN_121009843_NVY_1.jpg" TargetMode="External" Id="rId2246"/><Relationship Type="http://schemas.openxmlformats.org/officeDocument/2006/relationships/hyperlink" Target="imagenes/LAUNDRY_BY_DESIGN_121009843_NVY_2.jpg" TargetMode="External" Id="rId2247"/><Relationship Type="http://schemas.openxmlformats.org/officeDocument/2006/relationships/hyperlink" Target="imagenes/LAUNDRY_BY_DESIGN_121009843_NVY_3.jpg" TargetMode="External" Id="rId2248"/><Relationship Type="http://schemas.openxmlformats.org/officeDocument/2006/relationships/hyperlink" Target="imagenes/LAUNDRY_BY_DESIGN_121009843_NVY_1.jpg" TargetMode="External" Id="rId2249"/><Relationship Type="http://schemas.openxmlformats.org/officeDocument/2006/relationships/hyperlink" Target="imagenes/LAUNDRY_BY_DESIGN_121009843_NVY_2.jpg" TargetMode="External" Id="rId2250"/><Relationship Type="http://schemas.openxmlformats.org/officeDocument/2006/relationships/hyperlink" Target="imagenes/LAUNDRY_BY_DESIGN_121009843_NVY_3.jpg" TargetMode="External" Id="rId2251"/><Relationship Type="http://schemas.openxmlformats.org/officeDocument/2006/relationships/hyperlink" Target="imagenes/LAUNDRY_BY_DESIGN_121009843_NVY_1.jpg" TargetMode="External" Id="rId2252"/><Relationship Type="http://schemas.openxmlformats.org/officeDocument/2006/relationships/hyperlink" Target="imagenes/LAUNDRY_BY_DESIGN_121009843_NVY_2.jpg" TargetMode="External" Id="rId2253"/><Relationship Type="http://schemas.openxmlformats.org/officeDocument/2006/relationships/hyperlink" Target="imagenes/LAUNDRY_BY_DESIGN_121009843_NVY_3.jpg" TargetMode="External" Id="rId2254"/><Relationship Type="http://schemas.openxmlformats.org/officeDocument/2006/relationships/hyperlink" Target="imagenes/LAUNDRY_BY_DESIGN_121009843_NVY_1.jpg" TargetMode="External" Id="rId2255"/><Relationship Type="http://schemas.openxmlformats.org/officeDocument/2006/relationships/hyperlink" Target="imagenes/LAUNDRY_BY_DESIGN_121009843_NVY_2.jpg" TargetMode="External" Id="rId2256"/><Relationship Type="http://schemas.openxmlformats.org/officeDocument/2006/relationships/hyperlink" Target="imagenes/LAUNDRY_BY_DESIGN_121009843_NVY_3.jpg" TargetMode="External" Id="rId2257"/><Relationship Type="http://schemas.openxmlformats.org/officeDocument/2006/relationships/hyperlink" Target="imagenes/LAUNDRY_BY_DESIGN_121009844_BLK_1.jpg" TargetMode="External" Id="rId2258"/><Relationship Type="http://schemas.openxmlformats.org/officeDocument/2006/relationships/hyperlink" Target="imagenes/LAUNDRY_BY_DESIGN_121009844_BLK_2.jpg" TargetMode="External" Id="rId2259"/><Relationship Type="http://schemas.openxmlformats.org/officeDocument/2006/relationships/hyperlink" Target="imagenes/LAUNDRY_BY_DESIGN_121009844_BLK_3.jpg" TargetMode="External" Id="rId2260"/><Relationship Type="http://schemas.openxmlformats.org/officeDocument/2006/relationships/hyperlink" Target="imagenes/LAUNDRY_BY_DESIGN_121009844_BLK_1.jpg" TargetMode="External" Id="rId2261"/><Relationship Type="http://schemas.openxmlformats.org/officeDocument/2006/relationships/hyperlink" Target="imagenes/LAUNDRY_BY_DESIGN_121009844_BLK_2.jpg" TargetMode="External" Id="rId2262"/><Relationship Type="http://schemas.openxmlformats.org/officeDocument/2006/relationships/hyperlink" Target="imagenes/LAUNDRY_BY_DESIGN_121009844_BLK_3.jpg" TargetMode="External" Id="rId2263"/><Relationship Type="http://schemas.openxmlformats.org/officeDocument/2006/relationships/hyperlink" Target="imagenes/LAUNDRY_BY_DESIGN_121009844_BLK_1.jpg" TargetMode="External" Id="rId2264"/><Relationship Type="http://schemas.openxmlformats.org/officeDocument/2006/relationships/hyperlink" Target="imagenes/LAUNDRY_BY_DESIGN_121009844_BLK_2.jpg" TargetMode="External" Id="rId2265"/><Relationship Type="http://schemas.openxmlformats.org/officeDocument/2006/relationships/hyperlink" Target="imagenes/LAUNDRY_BY_DESIGN_121009844_BLK_3.jpg" TargetMode="External" Id="rId2266"/><Relationship Type="http://schemas.openxmlformats.org/officeDocument/2006/relationships/hyperlink" Target="imagenes/LAUNDRY_BY_DESIGN_121009844_BLK_1.jpg" TargetMode="External" Id="rId2267"/><Relationship Type="http://schemas.openxmlformats.org/officeDocument/2006/relationships/hyperlink" Target="imagenes/LAUNDRY_BY_DESIGN_121009844_BLK_2.jpg" TargetMode="External" Id="rId2268"/><Relationship Type="http://schemas.openxmlformats.org/officeDocument/2006/relationships/hyperlink" Target="imagenes/LAUNDRY_BY_DESIGN_121009844_BLK_3.jpg" TargetMode="External" Id="rId2269"/><Relationship Type="http://schemas.openxmlformats.org/officeDocument/2006/relationships/hyperlink" Target="imagenes/LAUNDRY_BY_DESIGN_121009844_BLK_1.jpg" TargetMode="External" Id="rId2270"/><Relationship Type="http://schemas.openxmlformats.org/officeDocument/2006/relationships/hyperlink" Target="imagenes/LAUNDRY_BY_DESIGN_121009844_BLK_2.jpg" TargetMode="External" Id="rId2271"/><Relationship Type="http://schemas.openxmlformats.org/officeDocument/2006/relationships/hyperlink" Target="imagenes/LAUNDRY_BY_DESIGN_121009844_BLK_3.jpg" TargetMode="External" Id="rId2272"/><Relationship Type="http://schemas.openxmlformats.org/officeDocument/2006/relationships/hyperlink" Target="imagenes/LAUNDRY_BY_DESIGN_121009844_NVY_1.jpg" TargetMode="External" Id="rId2273"/><Relationship Type="http://schemas.openxmlformats.org/officeDocument/2006/relationships/hyperlink" Target="imagenes/LAUNDRY_BY_DESIGN_121009844_NVY_2.jpg" TargetMode="External" Id="rId2274"/><Relationship Type="http://schemas.openxmlformats.org/officeDocument/2006/relationships/hyperlink" Target="imagenes/LAUNDRY_BY_DESIGN_121009844_NVY_3.jpg" TargetMode="External" Id="rId2275"/><Relationship Type="http://schemas.openxmlformats.org/officeDocument/2006/relationships/hyperlink" Target="imagenes/LAUNDRY_BY_DESIGN_121009844_NVY_1.jpg" TargetMode="External" Id="rId2276"/><Relationship Type="http://schemas.openxmlformats.org/officeDocument/2006/relationships/hyperlink" Target="imagenes/LAUNDRY_BY_DESIGN_121009844_NVY_2.jpg" TargetMode="External" Id="rId2277"/><Relationship Type="http://schemas.openxmlformats.org/officeDocument/2006/relationships/hyperlink" Target="imagenes/LAUNDRY_BY_DESIGN_121009844_NVY_3.jpg" TargetMode="External" Id="rId2278"/><Relationship Type="http://schemas.openxmlformats.org/officeDocument/2006/relationships/hyperlink" Target="imagenes/LAUNDRY_BY_DESIGN_121009844_NVY_1.jpg" TargetMode="External" Id="rId2279"/><Relationship Type="http://schemas.openxmlformats.org/officeDocument/2006/relationships/hyperlink" Target="imagenes/LAUNDRY_BY_DESIGN_121009844_NVY_2.jpg" TargetMode="External" Id="rId2280"/><Relationship Type="http://schemas.openxmlformats.org/officeDocument/2006/relationships/hyperlink" Target="imagenes/LAUNDRY_BY_DESIGN_121009844_NVY_3.jpg" TargetMode="External" Id="rId2281"/><Relationship Type="http://schemas.openxmlformats.org/officeDocument/2006/relationships/hyperlink" Target="imagenes/LAUNDRY_BY_DESIGN_121009844_NVY_1.jpg" TargetMode="External" Id="rId2282"/><Relationship Type="http://schemas.openxmlformats.org/officeDocument/2006/relationships/hyperlink" Target="imagenes/LAUNDRY_BY_DESIGN_121009844_NVY_2.jpg" TargetMode="External" Id="rId2283"/><Relationship Type="http://schemas.openxmlformats.org/officeDocument/2006/relationships/hyperlink" Target="imagenes/LAUNDRY_BY_DESIGN_121009844_NVY_3.jpg" TargetMode="External" Id="rId2284"/><Relationship Type="http://schemas.openxmlformats.org/officeDocument/2006/relationships/hyperlink" Target="imagenes/LAUNDRY_BY_DESIGN_121009844_NVY_1.jpg" TargetMode="External" Id="rId2285"/><Relationship Type="http://schemas.openxmlformats.org/officeDocument/2006/relationships/hyperlink" Target="imagenes/LAUNDRY_BY_DESIGN_121009844_NVY_2.jpg" TargetMode="External" Id="rId2286"/><Relationship Type="http://schemas.openxmlformats.org/officeDocument/2006/relationships/hyperlink" Target="imagenes/LAUNDRY_BY_DESIGN_121009844_NVY_3.jpg" TargetMode="External" Id="rId2287"/><Relationship Type="http://schemas.openxmlformats.org/officeDocument/2006/relationships/hyperlink" Target="imagenes/LAUNDRY_BY_DESIGN_121009845_BLK_1.jpg" TargetMode="External" Id="rId2288"/><Relationship Type="http://schemas.openxmlformats.org/officeDocument/2006/relationships/hyperlink" Target="imagenes/LAUNDRY_BY_DESIGN_121009845_BLK_2.jpg" TargetMode="External" Id="rId2289"/><Relationship Type="http://schemas.openxmlformats.org/officeDocument/2006/relationships/hyperlink" Target="imagenes/LAUNDRY_BY_DESIGN_121009845_BLK_3.jpg" TargetMode="External" Id="rId2290"/><Relationship Type="http://schemas.openxmlformats.org/officeDocument/2006/relationships/hyperlink" Target="imagenes/LAUNDRY_BY_DESIGN_121009845_BLK_1.jpg" TargetMode="External" Id="rId2291"/><Relationship Type="http://schemas.openxmlformats.org/officeDocument/2006/relationships/hyperlink" Target="imagenes/LAUNDRY_BY_DESIGN_121009845_BLK_2.jpg" TargetMode="External" Id="rId2292"/><Relationship Type="http://schemas.openxmlformats.org/officeDocument/2006/relationships/hyperlink" Target="imagenes/LAUNDRY_BY_DESIGN_121009845_BLK_3.jpg" TargetMode="External" Id="rId2293"/><Relationship Type="http://schemas.openxmlformats.org/officeDocument/2006/relationships/hyperlink" Target="imagenes/LAUNDRY_BY_DESIGN_121009845_BLK_1.jpg" TargetMode="External" Id="rId2294"/><Relationship Type="http://schemas.openxmlformats.org/officeDocument/2006/relationships/hyperlink" Target="imagenes/LAUNDRY_BY_DESIGN_121009845_BLK_2.jpg" TargetMode="External" Id="rId2295"/><Relationship Type="http://schemas.openxmlformats.org/officeDocument/2006/relationships/hyperlink" Target="imagenes/LAUNDRY_BY_DESIGN_121009845_BLK_3.jpg" TargetMode="External" Id="rId2296"/><Relationship Type="http://schemas.openxmlformats.org/officeDocument/2006/relationships/hyperlink" Target="imagenes/LAUNDRY_BY_DESIGN_121009845_BLK_1.jpg" TargetMode="External" Id="rId2297"/><Relationship Type="http://schemas.openxmlformats.org/officeDocument/2006/relationships/hyperlink" Target="imagenes/LAUNDRY_BY_DESIGN_121009845_BLK_2.jpg" TargetMode="External" Id="rId2298"/><Relationship Type="http://schemas.openxmlformats.org/officeDocument/2006/relationships/hyperlink" Target="imagenes/LAUNDRY_BY_DESIGN_121009845_BLK_3.jpg" TargetMode="External" Id="rId2299"/><Relationship Type="http://schemas.openxmlformats.org/officeDocument/2006/relationships/hyperlink" Target="imagenes/LAUNDRY_BY_DESIGN_121009845_CHO_1.jpg" TargetMode="External" Id="rId2300"/><Relationship Type="http://schemas.openxmlformats.org/officeDocument/2006/relationships/hyperlink" Target="imagenes/LAUNDRY_BY_DESIGN_121009845_CHO_2.jpg" TargetMode="External" Id="rId2301"/><Relationship Type="http://schemas.openxmlformats.org/officeDocument/2006/relationships/hyperlink" Target="imagenes/LAUNDRY_BY_DESIGN_121009845_CHO_3.jpg" TargetMode="External" Id="rId2302"/><Relationship Type="http://schemas.openxmlformats.org/officeDocument/2006/relationships/hyperlink" Target="imagenes/LAUNDRY_BY_DESIGN_121009845_CHO_1.jpg" TargetMode="External" Id="rId2303"/><Relationship Type="http://schemas.openxmlformats.org/officeDocument/2006/relationships/hyperlink" Target="imagenes/LAUNDRY_BY_DESIGN_121009845_CHO_2.jpg" TargetMode="External" Id="rId2304"/><Relationship Type="http://schemas.openxmlformats.org/officeDocument/2006/relationships/hyperlink" Target="imagenes/LAUNDRY_BY_DESIGN_121009845_CHO_3.jpg" TargetMode="External" Id="rId2305"/><Relationship Type="http://schemas.openxmlformats.org/officeDocument/2006/relationships/hyperlink" Target="imagenes/LAUNDRY_BY_DESIGN_121009845_CHO_1.jpg" TargetMode="External" Id="rId2306"/><Relationship Type="http://schemas.openxmlformats.org/officeDocument/2006/relationships/hyperlink" Target="imagenes/LAUNDRY_BY_DESIGN_121009845_CHO_2.jpg" TargetMode="External" Id="rId2307"/><Relationship Type="http://schemas.openxmlformats.org/officeDocument/2006/relationships/hyperlink" Target="imagenes/LAUNDRY_BY_DESIGN_121009845_CHO_3.jpg" TargetMode="External" Id="rId2308"/><Relationship Type="http://schemas.openxmlformats.org/officeDocument/2006/relationships/hyperlink" Target="imagenes/LAUNDRY_BY_DESIGN_121009845_CHO_1.jpg" TargetMode="External" Id="rId2309"/><Relationship Type="http://schemas.openxmlformats.org/officeDocument/2006/relationships/hyperlink" Target="imagenes/LAUNDRY_BY_DESIGN_121009845_CHO_2.jpg" TargetMode="External" Id="rId2310"/><Relationship Type="http://schemas.openxmlformats.org/officeDocument/2006/relationships/hyperlink" Target="imagenes/LAUNDRY_BY_DESIGN_121009845_CHO_3.jpg" TargetMode="External" Id="rId2311"/><Relationship Type="http://schemas.openxmlformats.org/officeDocument/2006/relationships/hyperlink" Target="imagenes/LAUNDRY_BY_DESIGN_121009845_CHO_1.jpg" TargetMode="External" Id="rId2312"/><Relationship Type="http://schemas.openxmlformats.org/officeDocument/2006/relationships/hyperlink" Target="imagenes/LAUNDRY_BY_DESIGN_121009845_CHO_2.jpg" TargetMode="External" Id="rId2313"/><Relationship Type="http://schemas.openxmlformats.org/officeDocument/2006/relationships/hyperlink" Target="imagenes/LAUNDRY_BY_DESIGN_121009845_CHO_3.jpg" TargetMode="External" Id="rId2314"/><Relationship Type="http://schemas.openxmlformats.org/officeDocument/2006/relationships/hyperlink" Target="imagenes/LAUNDRY_BY_DESIGN_121009845_OLI_1.jpg" TargetMode="External" Id="rId2315"/><Relationship Type="http://schemas.openxmlformats.org/officeDocument/2006/relationships/hyperlink" Target="imagenes/LAUNDRY_BY_DESIGN_121009845_OLI_2.jpg" TargetMode="External" Id="rId2316"/><Relationship Type="http://schemas.openxmlformats.org/officeDocument/2006/relationships/hyperlink" Target="imagenes/LAUNDRY_BY_DESIGN_121009845_OLI_3.jpg" TargetMode="External" Id="rId2317"/><Relationship Type="http://schemas.openxmlformats.org/officeDocument/2006/relationships/hyperlink" Target="imagenes/LAUNDRY_BY_DESIGN_121009845_OLI_1.jpg" TargetMode="External" Id="rId2318"/><Relationship Type="http://schemas.openxmlformats.org/officeDocument/2006/relationships/hyperlink" Target="imagenes/LAUNDRY_BY_DESIGN_121009845_OLI_2.jpg" TargetMode="External" Id="rId2319"/><Relationship Type="http://schemas.openxmlformats.org/officeDocument/2006/relationships/hyperlink" Target="imagenes/LAUNDRY_BY_DESIGN_121009845_OLI_3.jpg" TargetMode="External" Id="rId2320"/><Relationship Type="http://schemas.openxmlformats.org/officeDocument/2006/relationships/hyperlink" Target="imagenes/LAUNDRY_BY_DESIGN_121009845_OLI_1.jpg" TargetMode="External" Id="rId2321"/><Relationship Type="http://schemas.openxmlformats.org/officeDocument/2006/relationships/hyperlink" Target="imagenes/LAUNDRY_BY_DESIGN_121009845_OLI_2.jpg" TargetMode="External" Id="rId2322"/><Relationship Type="http://schemas.openxmlformats.org/officeDocument/2006/relationships/hyperlink" Target="imagenes/LAUNDRY_BY_DESIGN_121009845_OLI_3.jpg" TargetMode="External" Id="rId2323"/><Relationship Type="http://schemas.openxmlformats.org/officeDocument/2006/relationships/hyperlink" Target="imagenes/LAUNDRY_BY_DESIGN_121009845_OLI_1.jpg" TargetMode="External" Id="rId2324"/><Relationship Type="http://schemas.openxmlformats.org/officeDocument/2006/relationships/hyperlink" Target="imagenes/LAUNDRY_BY_DESIGN_121009845_OLI_2.jpg" TargetMode="External" Id="rId2325"/><Relationship Type="http://schemas.openxmlformats.org/officeDocument/2006/relationships/hyperlink" Target="imagenes/LAUNDRY_BY_DESIGN_121009845_OLI_3.jpg" TargetMode="External" Id="rId2326"/><Relationship Type="http://schemas.openxmlformats.org/officeDocument/2006/relationships/hyperlink" Target="imagenes/LAUNDRY_BY_DESIGN_121009845_OLI_1.jpg" TargetMode="External" Id="rId2327"/><Relationship Type="http://schemas.openxmlformats.org/officeDocument/2006/relationships/hyperlink" Target="imagenes/LAUNDRY_BY_DESIGN_121009845_OLI_2.jpg" TargetMode="External" Id="rId2328"/><Relationship Type="http://schemas.openxmlformats.org/officeDocument/2006/relationships/hyperlink" Target="imagenes/LAUNDRY_BY_DESIGN_121009845_OLI_3.jpg" TargetMode="External" Id="rId2329"/><Relationship Type="http://schemas.openxmlformats.org/officeDocument/2006/relationships/hyperlink" Target="imagenes/LAUNDRY_BY_DESIGN_121009846_BLK_1.jpg" TargetMode="External" Id="rId2330"/><Relationship Type="http://schemas.openxmlformats.org/officeDocument/2006/relationships/hyperlink" Target="imagenes/LAUNDRY_BY_DESIGN_121009846_BLK_2.jpg" TargetMode="External" Id="rId2331"/><Relationship Type="http://schemas.openxmlformats.org/officeDocument/2006/relationships/hyperlink" Target="imagenes/LAUNDRY_BY_DESIGN_121009846_BLK_3.jpg" TargetMode="External" Id="rId2332"/><Relationship Type="http://schemas.openxmlformats.org/officeDocument/2006/relationships/hyperlink" Target="imagenes/LAUNDRY_BY_DESIGN_121009846_BLK_1.jpg" TargetMode="External" Id="rId2333"/><Relationship Type="http://schemas.openxmlformats.org/officeDocument/2006/relationships/hyperlink" Target="imagenes/LAUNDRY_BY_DESIGN_121009846_BLK_2.jpg" TargetMode="External" Id="rId2334"/><Relationship Type="http://schemas.openxmlformats.org/officeDocument/2006/relationships/hyperlink" Target="imagenes/LAUNDRY_BY_DESIGN_121009846_BLK_3.jpg" TargetMode="External" Id="rId2335"/><Relationship Type="http://schemas.openxmlformats.org/officeDocument/2006/relationships/hyperlink" Target="imagenes/LAUNDRY_BY_DESIGN_121009846_BLK_1.jpg" TargetMode="External" Id="rId2336"/><Relationship Type="http://schemas.openxmlformats.org/officeDocument/2006/relationships/hyperlink" Target="imagenes/LAUNDRY_BY_DESIGN_121009846_BLK_2.jpg" TargetMode="External" Id="rId2337"/><Relationship Type="http://schemas.openxmlformats.org/officeDocument/2006/relationships/hyperlink" Target="imagenes/LAUNDRY_BY_DESIGN_121009846_BLK_3.jpg" TargetMode="External" Id="rId2338"/><Relationship Type="http://schemas.openxmlformats.org/officeDocument/2006/relationships/hyperlink" Target="imagenes/LAUNDRY_BY_DESIGN_121009846_BLK_1.jpg" TargetMode="External" Id="rId2339"/><Relationship Type="http://schemas.openxmlformats.org/officeDocument/2006/relationships/hyperlink" Target="imagenes/LAUNDRY_BY_DESIGN_121009846_BLK_2.jpg" TargetMode="External" Id="rId2340"/><Relationship Type="http://schemas.openxmlformats.org/officeDocument/2006/relationships/hyperlink" Target="imagenes/LAUNDRY_BY_DESIGN_121009846_BLK_3.jpg" TargetMode="External" Id="rId2341"/><Relationship Type="http://schemas.openxmlformats.org/officeDocument/2006/relationships/hyperlink" Target="imagenes/LAUNDRY_BY_DESIGN_121009846_BLK_1.jpg" TargetMode="External" Id="rId2342"/><Relationship Type="http://schemas.openxmlformats.org/officeDocument/2006/relationships/hyperlink" Target="imagenes/LAUNDRY_BY_DESIGN_121009846_BLK_2.jpg" TargetMode="External" Id="rId2343"/><Relationship Type="http://schemas.openxmlformats.org/officeDocument/2006/relationships/hyperlink" Target="imagenes/LAUNDRY_BY_DESIGN_121009846_BLK_3.jpg" TargetMode="External" Id="rId2344"/><Relationship Type="http://schemas.openxmlformats.org/officeDocument/2006/relationships/hyperlink" Target="imagenes/LAUNDRY_BY_DESIGN_121009846_BLK_1.jpg" TargetMode="External" Id="rId2345"/><Relationship Type="http://schemas.openxmlformats.org/officeDocument/2006/relationships/hyperlink" Target="imagenes/LAUNDRY_BY_DESIGN_121009846_BLK_2.jpg" TargetMode="External" Id="rId2346"/><Relationship Type="http://schemas.openxmlformats.org/officeDocument/2006/relationships/hyperlink" Target="imagenes/LAUNDRY_BY_DESIGN_121009846_BLK_3.jpg" TargetMode="External" Id="rId2347"/><Relationship Type="http://schemas.openxmlformats.org/officeDocument/2006/relationships/hyperlink" Target="imagenes/LAUNDRY_BY_DESIGN_121009846_CHO_1.jpg" TargetMode="External" Id="rId2348"/><Relationship Type="http://schemas.openxmlformats.org/officeDocument/2006/relationships/hyperlink" Target="imagenes/LAUNDRY_BY_DESIGN_121009846_CHO_2.jpg" TargetMode="External" Id="rId2349"/><Relationship Type="http://schemas.openxmlformats.org/officeDocument/2006/relationships/hyperlink" Target="imagenes/LAUNDRY_BY_DESIGN_121009846_CHO_3.jpg" TargetMode="External" Id="rId2350"/><Relationship Type="http://schemas.openxmlformats.org/officeDocument/2006/relationships/hyperlink" Target="imagenes/LAUNDRY_BY_DESIGN_121009846_CHO_1.jpg" TargetMode="External" Id="rId2351"/><Relationship Type="http://schemas.openxmlformats.org/officeDocument/2006/relationships/hyperlink" Target="imagenes/LAUNDRY_BY_DESIGN_121009846_CHO_2.jpg" TargetMode="External" Id="rId2352"/><Relationship Type="http://schemas.openxmlformats.org/officeDocument/2006/relationships/hyperlink" Target="imagenes/LAUNDRY_BY_DESIGN_121009846_CHO_3.jpg" TargetMode="External" Id="rId2353"/><Relationship Type="http://schemas.openxmlformats.org/officeDocument/2006/relationships/hyperlink" Target="imagenes/LAUNDRY_BY_DESIGN_121009846_CHO_1.jpg" TargetMode="External" Id="rId2354"/><Relationship Type="http://schemas.openxmlformats.org/officeDocument/2006/relationships/hyperlink" Target="imagenes/LAUNDRY_BY_DESIGN_121009846_CHO_2.jpg" TargetMode="External" Id="rId2355"/><Relationship Type="http://schemas.openxmlformats.org/officeDocument/2006/relationships/hyperlink" Target="imagenes/LAUNDRY_BY_DESIGN_121009846_CHO_3.jpg" TargetMode="External" Id="rId2356"/><Relationship Type="http://schemas.openxmlformats.org/officeDocument/2006/relationships/hyperlink" Target="imagenes/LAUNDRY_BY_DESIGN_121009846_CHO_1.jpg" TargetMode="External" Id="rId2357"/><Relationship Type="http://schemas.openxmlformats.org/officeDocument/2006/relationships/hyperlink" Target="imagenes/LAUNDRY_BY_DESIGN_121009846_CHO_2.jpg" TargetMode="External" Id="rId2358"/><Relationship Type="http://schemas.openxmlformats.org/officeDocument/2006/relationships/hyperlink" Target="imagenes/LAUNDRY_BY_DESIGN_121009846_CHO_3.jpg" TargetMode="External" Id="rId2359"/><Relationship Type="http://schemas.openxmlformats.org/officeDocument/2006/relationships/hyperlink" Target="imagenes/LAUNDRY_BY_DESIGN_121009846_CHO_1.jpg" TargetMode="External" Id="rId2360"/><Relationship Type="http://schemas.openxmlformats.org/officeDocument/2006/relationships/hyperlink" Target="imagenes/LAUNDRY_BY_DESIGN_121009846_CHO_2.jpg" TargetMode="External" Id="rId2361"/><Relationship Type="http://schemas.openxmlformats.org/officeDocument/2006/relationships/hyperlink" Target="imagenes/LAUNDRY_BY_DESIGN_121009846_CHO_3.jpg" TargetMode="External" Id="rId2362"/><Relationship Type="http://schemas.openxmlformats.org/officeDocument/2006/relationships/hyperlink" Target="imagenes/LAUNDRY_BY_DESIGN_121009847_BLK_1.jpg" TargetMode="External" Id="rId2363"/><Relationship Type="http://schemas.openxmlformats.org/officeDocument/2006/relationships/hyperlink" Target="imagenes/LAUNDRY_BY_DESIGN_121009847_BLK_2.jpg" TargetMode="External" Id="rId2364"/><Relationship Type="http://schemas.openxmlformats.org/officeDocument/2006/relationships/hyperlink" Target="imagenes/LAUNDRY_BY_DESIGN_121009847_BLK_3.jpg" TargetMode="External" Id="rId2365"/><Relationship Type="http://schemas.openxmlformats.org/officeDocument/2006/relationships/hyperlink" Target="imagenes/LAUNDRY_BY_DESIGN_121009847_BLK_1.jpg" TargetMode="External" Id="rId2366"/><Relationship Type="http://schemas.openxmlformats.org/officeDocument/2006/relationships/hyperlink" Target="imagenes/LAUNDRY_BY_DESIGN_121009847_BLK_2.jpg" TargetMode="External" Id="rId2367"/><Relationship Type="http://schemas.openxmlformats.org/officeDocument/2006/relationships/hyperlink" Target="imagenes/LAUNDRY_BY_DESIGN_121009847_BLK_3.jpg" TargetMode="External" Id="rId2368"/><Relationship Type="http://schemas.openxmlformats.org/officeDocument/2006/relationships/hyperlink" Target="imagenes/LAUNDRY_BY_DESIGN_121009847_BLK_1.jpg" TargetMode="External" Id="rId2369"/><Relationship Type="http://schemas.openxmlformats.org/officeDocument/2006/relationships/hyperlink" Target="imagenes/LAUNDRY_BY_DESIGN_121009847_BLK_2.jpg" TargetMode="External" Id="rId2370"/><Relationship Type="http://schemas.openxmlformats.org/officeDocument/2006/relationships/hyperlink" Target="imagenes/LAUNDRY_BY_DESIGN_121009847_BLK_3.jpg" TargetMode="External" Id="rId2371"/><Relationship Type="http://schemas.openxmlformats.org/officeDocument/2006/relationships/hyperlink" Target="imagenes/LAUNDRY_BY_DESIGN_121009847_BLK_1.jpg" TargetMode="External" Id="rId2372"/><Relationship Type="http://schemas.openxmlformats.org/officeDocument/2006/relationships/hyperlink" Target="imagenes/LAUNDRY_BY_DESIGN_121009847_BLK_2.jpg" TargetMode="External" Id="rId2373"/><Relationship Type="http://schemas.openxmlformats.org/officeDocument/2006/relationships/hyperlink" Target="imagenes/LAUNDRY_BY_DESIGN_121009847_BLK_3.jpg" TargetMode="External" Id="rId2374"/><Relationship Type="http://schemas.openxmlformats.org/officeDocument/2006/relationships/hyperlink" Target="imagenes/LAUNDRY_BY_DESIGN_121009847_BLK_1.jpg" TargetMode="External" Id="rId2375"/><Relationship Type="http://schemas.openxmlformats.org/officeDocument/2006/relationships/hyperlink" Target="imagenes/LAUNDRY_BY_DESIGN_121009847_BLK_2.jpg" TargetMode="External" Id="rId2376"/><Relationship Type="http://schemas.openxmlformats.org/officeDocument/2006/relationships/hyperlink" Target="imagenes/LAUNDRY_BY_DESIGN_121009847_BLK_3.jpg" TargetMode="External" Id="rId2377"/><Relationship Type="http://schemas.openxmlformats.org/officeDocument/2006/relationships/hyperlink" Target="imagenes/LAUNDRY_BY_DESIGN_121009847_BLK_1.jpg" TargetMode="External" Id="rId2378"/><Relationship Type="http://schemas.openxmlformats.org/officeDocument/2006/relationships/hyperlink" Target="imagenes/LAUNDRY_BY_DESIGN_121009847_BLK_2.jpg" TargetMode="External" Id="rId2379"/><Relationship Type="http://schemas.openxmlformats.org/officeDocument/2006/relationships/hyperlink" Target="imagenes/LAUNDRY_BY_DESIGN_121009847_BLK_3.jpg" TargetMode="External" Id="rId2380"/><Relationship Type="http://schemas.openxmlformats.org/officeDocument/2006/relationships/hyperlink" Target="imagenes/LAUNDRY_BY_DESIGN_121009847_MLB_1.jpg" TargetMode="External" Id="rId2381"/><Relationship Type="http://schemas.openxmlformats.org/officeDocument/2006/relationships/hyperlink" Target="imagenes/LAUNDRY_BY_DESIGN_121009847_MLB_2.jpg" TargetMode="External" Id="rId2382"/><Relationship Type="http://schemas.openxmlformats.org/officeDocument/2006/relationships/hyperlink" Target="imagenes/LAUNDRY_BY_DESIGN_121009847_MLB_3.jpg" TargetMode="External" Id="rId2383"/><Relationship Type="http://schemas.openxmlformats.org/officeDocument/2006/relationships/hyperlink" Target="imagenes/LAUNDRY_BY_DESIGN_121009847_MLB_1.jpg" TargetMode="External" Id="rId2384"/><Relationship Type="http://schemas.openxmlformats.org/officeDocument/2006/relationships/hyperlink" Target="imagenes/LAUNDRY_BY_DESIGN_121009847_MLB_2.jpg" TargetMode="External" Id="rId2385"/><Relationship Type="http://schemas.openxmlformats.org/officeDocument/2006/relationships/hyperlink" Target="imagenes/LAUNDRY_BY_DESIGN_121009847_MLB_3.jpg" TargetMode="External" Id="rId2386"/><Relationship Type="http://schemas.openxmlformats.org/officeDocument/2006/relationships/hyperlink" Target="imagenes/LAUNDRY_BY_DESIGN_121009847_MLB_1.jpg" TargetMode="External" Id="rId2387"/><Relationship Type="http://schemas.openxmlformats.org/officeDocument/2006/relationships/hyperlink" Target="imagenes/LAUNDRY_BY_DESIGN_121009847_MLB_2.jpg" TargetMode="External" Id="rId2388"/><Relationship Type="http://schemas.openxmlformats.org/officeDocument/2006/relationships/hyperlink" Target="imagenes/LAUNDRY_BY_DESIGN_121009847_MLB_3.jpg" TargetMode="External" Id="rId2389"/><Relationship Type="http://schemas.openxmlformats.org/officeDocument/2006/relationships/hyperlink" Target="imagenes/LAUNDRY_BY_DESIGN_121009847_MLB_1.jpg" TargetMode="External" Id="rId2390"/><Relationship Type="http://schemas.openxmlformats.org/officeDocument/2006/relationships/hyperlink" Target="imagenes/LAUNDRY_BY_DESIGN_121009847_MLB_2.jpg" TargetMode="External" Id="rId2391"/><Relationship Type="http://schemas.openxmlformats.org/officeDocument/2006/relationships/hyperlink" Target="imagenes/LAUNDRY_BY_DESIGN_121009847_MLB_3.jpg" TargetMode="External" Id="rId2392"/><Relationship Type="http://schemas.openxmlformats.org/officeDocument/2006/relationships/hyperlink" Target="imagenes/LAUNDRY_BY_DESIGN_121009847_MLB_1.jpg" TargetMode="External" Id="rId2393"/><Relationship Type="http://schemas.openxmlformats.org/officeDocument/2006/relationships/hyperlink" Target="imagenes/LAUNDRY_BY_DESIGN_121009847_MLB_2.jpg" TargetMode="External" Id="rId2394"/><Relationship Type="http://schemas.openxmlformats.org/officeDocument/2006/relationships/hyperlink" Target="imagenes/LAUNDRY_BY_DESIGN_121009847_MLB_3.jpg" TargetMode="External" Id="rId2395"/><Relationship Type="http://schemas.openxmlformats.org/officeDocument/2006/relationships/hyperlink" Target="imagenes/LAUNDRY_BY_DESIGN_121009847_MLB_1.jpg" TargetMode="External" Id="rId2396"/><Relationship Type="http://schemas.openxmlformats.org/officeDocument/2006/relationships/hyperlink" Target="imagenes/LAUNDRY_BY_DESIGN_121009847_MLB_2.jpg" TargetMode="External" Id="rId2397"/><Relationship Type="http://schemas.openxmlformats.org/officeDocument/2006/relationships/hyperlink" Target="imagenes/LAUNDRY_BY_DESIGN_121009847_MLB_3.jpg" TargetMode="External" Id="rId2398"/><Relationship Type="http://schemas.openxmlformats.org/officeDocument/2006/relationships/hyperlink" Target="imagenes/LAUNDRY_BY_DESIGN_121009847_OLI_1.jpg" TargetMode="External" Id="rId2399"/><Relationship Type="http://schemas.openxmlformats.org/officeDocument/2006/relationships/hyperlink" Target="imagenes/LAUNDRY_BY_DESIGN_121009847_OLI_2.jpg" TargetMode="External" Id="rId2400"/><Relationship Type="http://schemas.openxmlformats.org/officeDocument/2006/relationships/hyperlink" Target="imagenes/LAUNDRY_BY_DESIGN_121009847_OLI_3.jpg" TargetMode="External" Id="rId2401"/><Relationship Type="http://schemas.openxmlformats.org/officeDocument/2006/relationships/hyperlink" Target="imagenes/LAUNDRY_BY_DESIGN_121009847_OLI_1.jpg" TargetMode="External" Id="rId2402"/><Relationship Type="http://schemas.openxmlformats.org/officeDocument/2006/relationships/hyperlink" Target="imagenes/LAUNDRY_BY_DESIGN_121009847_OLI_2.jpg" TargetMode="External" Id="rId2403"/><Relationship Type="http://schemas.openxmlformats.org/officeDocument/2006/relationships/hyperlink" Target="imagenes/LAUNDRY_BY_DESIGN_121009847_OLI_3.jpg" TargetMode="External" Id="rId2404"/><Relationship Type="http://schemas.openxmlformats.org/officeDocument/2006/relationships/hyperlink" Target="imagenes/LAUNDRY_BY_DESIGN_121009847_OLI_1.jpg" TargetMode="External" Id="rId2405"/><Relationship Type="http://schemas.openxmlformats.org/officeDocument/2006/relationships/hyperlink" Target="imagenes/LAUNDRY_BY_DESIGN_121009847_OLI_2.jpg" TargetMode="External" Id="rId2406"/><Relationship Type="http://schemas.openxmlformats.org/officeDocument/2006/relationships/hyperlink" Target="imagenes/LAUNDRY_BY_DESIGN_121009847_OLI_3.jpg" TargetMode="External" Id="rId2407"/><Relationship Type="http://schemas.openxmlformats.org/officeDocument/2006/relationships/hyperlink" Target="imagenes/LAUNDRY_BY_DESIGN_121009847_OLI_1.jpg" TargetMode="External" Id="rId2408"/><Relationship Type="http://schemas.openxmlformats.org/officeDocument/2006/relationships/hyperlink" Target="imagenes/LAUNDRY_BY_DESIGN_121009847_OLI_2.jpg" TargetMode="External" Id="rId2409"/><Relationship Type="http://schemas.openxmlformats.org/officeDocument/2006/relationships/hyperlink" Target="imagenes/LAUNDRY_BY_DESIGN_121009847_OLI_3.jpg" TargetMode="External" Id="rId2410"/><Relationship Type="http://schemas.openxmlformats.org/officeDocument/2006/relationships/hyperlink" Target="imagenes/LAUNDRY_BY_DESIGN_121009847_OLI_1.jpg" TargetMode="External" Id="rId2411"/><Relationship Type="http://schemas.openxmlformats.org/officeDocument/2006/relationships/hyperlink" Target="imagenes/LAUNDRY_BY_DESIGN_121009847_OLI_2.jpg" TargetMode="External" Id="rId2412"/><Relationship Type="http://schemas.openxmlformats.org/officeDocument/2006/relationships/hyperlink" Target="imagenes/LAUNDRY_BY_DESIGN_121009847_OLI_3.jpg" TargetMode="External" Id="rId2413"/><Relationship Type="http://schemas.openxmlformats.org/officeDocument/2006/relationships/hyperlink" Target="imagenes/LAUNDRY_BY_DESIGN_121009848_BLK_1.jpg" TargetMode="External" Id="rId2414"/><Relationship Type="http://schemas.openxmlformats.org/officeDocument/2006/relationships/hyperlink" Target="imagenes/LAUNDRY_BY_DESIGN_121009848_BLK_2.jpg" TargetMode="External" Id="rId2415"/><Relationship Type="http://schemas.openxmlformats.org/officeDocument/2006/relationships/hyperlink" Target="imagenes/LAUNDRY_BY_DESIGN_121009848_BLK_3.jpg" TargetMode="External" Id="rId2416"/><Relationship Type="http://schemas.openxmlformats.org/officeDocument/2006/relationships/hyperlink" Target="imagenes/LAUNDRY_BY_DESIGN_121009848_BLK_1.jpg" TargetMode="External" Id="rId2417"/><Relationship Type="http://schemas.openxmlformats.org/officeDocument/2006/relationships/hyperlink" Target="imagenes/LAUNDRY_BY_DESIGN_121009848_BLK_2.jpg" TargetMode="External" Id="rId2418"/><Relationship Type="http://schemas.openxmlformats.org/officeDocument/2006/relationships/hyperlink" Target="imagenes/LAUNDRY_BY_DESIGN_121009848_BLK_3.jpg" TargetMode="External" Id="rId2419"/><Relationship Type="http://schemas.openxmlformats.org/officeDocument/2006/relationships/hyperlink" Target="imagenes/LAUNDRY_BY_DESIGN_121009848_BLK_1.jpg" TargetMode="External" Id="rId2420"/><Relationship Type="http://schemas.openxmlformats.org/officeDocument/2006/relationships/hyperlink" Target="imagenes/LAUNDRY_BY_DESIGN_121009848_BLK_2.jpg" TargetMode="External" Id="rId2421"/><Relationship Type="http://schemas.openxmlformats.org/officeDocument/2006/relationships/hyperlink" Target="imagenes/LAUNDRY_BY_DESIGN_121009848_BLK_3.jpg" TargetMode="External" Id="rId2422"/><Relationship Type="http://schemas.openxmlformats.org/officeDocument/2006/relationships/hyperlink" Target="imagenes/LAUNDRY_BY_DESIGN_121009848_BLK_1.jpg" TargetMode="External" Id="rId2423"/><Relationship Type="http://schemas.openxmlformats.org/officeDocument/2006/relationships/hyperlink" Target="imagenes/LAUNDRY_BY_DESIGN_121009848_BLK_2.jpg" TargetMode="External" Id="rId2424"/><Relationship Type="http://schemas.openxmlformats.org/officeDocument/2006/relationships/hyperlink" Target="imagenes/LAUNDRY_BY_DESIGN_121009848_BLK_3.jpg" TargetMode="External" Id="rId2425"/><Relationship Type="http://schemas.openxmlformats.org/officeDocument/2006/relationships/hyperlink" Target="imagenes/LAUNDRY_BY_DESIGN_121009848_BLK_1.jpg" TargetMode="External" Id="rId2426"/><Relationship Type="http://schemas.openxmlformats.org/officeDocument/2006/relationships/hyperlink" Target="imagenes/LAUNDRY_BY_DESIGN_121009848_BLK_2.jpg" TargetMode="External" Id="rId2427"/><Relationship Type="http://schemas.openxmlformats.org/officeDocument/2006/relationships/hyperlink" Target="imagenes/LAUNDRY_BY_DESIGN_121009848_BLK_3.jpg" TargetMode="External" Id="rId2428"/><Relationship Type="http://schemas.openxmlformats.org/officeDocument/2006/relationships/hyperlink" Target="imagenes/LAUNDRY_BY_DESIGN_121009848_BLK_1.jpg" TargetMode="External" Id="rId2429"/><Relationship Type="http://schemas.openxmlformats.org/officeDocument/2006/relationships/hyperlink" Target="imagenes/LAUNDRY_BY_DESIGN_121009848_BLK_2.jpg" TargetMode="External" Id="rId2430"/><Relationship Type="http://schemas.openxmlformats.org/officeDocument/2006/relationships/hyperlink" Target="imagenes/LAUNDRY_BY_DESIGN_121009848_BLK_3.jpg" TargetMode="External" Id="rId2431"/><Relationship Type="http://schemas.openxmlformats.org/officeDocument/2006/relationships/hyperlink" Target="imagenes/LAUNDRY_BY_DESIGN_121009848_CRM_1.jpg" TargetMode="External" Id="rId2432"/><Relationship Type="http://schemas.openxmlformats.org/officeDocument/2006/relationships/hyperlink" Target="imagenes/LAUNDRY_BY_DESIGN_121009848_CRM_2.jpg" TargetMode="External" Id="rId2433"/><Relationship Type="http://schemas.openxmlformats.org/officeDocument/2006/relationships/hyperlink" Target="imagenes/LAUNDRY_BY_DESIGN_121009848_CRM_3.jpg" TargetMode="External" Id="rId2434"/><Relationship Type="http://schemas.openxmlformats.org/officeDocument/2006/relationships/hyperlink" Target="imagenes/LAUNDRY_BY_DESIGN_121009848_CRM_1.jpg" TargetMode="External" Id="rId2435"/><Relationship Type="http://schemas.openxmlformats.org/officeDocument/2006/relationships/hyperlink" Target="imagenes/LAUNDRY_BY_DESIGN_121009848_CRM_2.jpg" TargetMode="External" Id="rId2436"/><Relationship Type="http://schemas.openxmlformats.org/officeDocument/2006/relationships/hyperlink" Target="imagenes/LAUNDRY_BY_DESIGN_121009848_CRM_3.jpg" TargetMode="External" Id="rId2437"/><Relationship Type="http://schemas.openxmlformats.org/officeDocument/2006/relationships/hyperlink" Target="imagenes/LAUNDRY_BY_DESIGN_121009848_CRM_1.jpg" TargetMode="External" Id="rId2438"/><Relationship Type="http://schemas.openxmlformats.org/officeDocument/2006/relationships/hyperlink" Target="imagenes/LAUNDRY_BY_DESIGN_121009848_CRM_2.jpg" TargetMode="External" Id="rId2439"/><Relationship Type="http://schemas.openxmlformats.org/officeDocument/2006/relationships/hyperlink" Target="imagenes/LAUNDRY_BY_DESIGN_121009848_CRM_3.jpg" TargetMode="External" Id="rId2440"/><Relationship Type="http://schemas.openxmlformats.org/officeDocument/2006/relationships/hyperlink" Target="imagenes/LAUNDRY_BY_DESIGN_121009848_CRM_1.jpg" TargetMode="External" Id="rId2441"/><Relationship Type="http://schemas.openxmlformats.org/officeDocument/2006/relationships/hyperlink" Target="imagenes/LAUNDRY_BY_DESIGN_121009848_CRM_2.jpg" TargetMode="External" Id="rId2442"/><Relationship Type="http://schemas.openxmlformats.org/officeDocument/2006/relationships/hyperlink" Target="imagenes/LAUNDRY_BY_DESIGN_121009848_CRM_3.jpg" TargetMode="External" Id="rId2443"/><Relationship Type="http://schemas.openxmlformats.org/officeDocument/2006/relationships/hyperlink" Target="imagenes/LAUNDRY_BY_DESIGN_121009848_CRM_1.jpg" TargetMode="External" Id="rId2444"/><Relationship Type="http://schemas.openxmlformats.org/officeDocument/2006/relationships/hyperlink" Target="imagenes/LAUNDRY_BY_DESIGN_121009848_CRM_2.jpg" TargetMode="External" Id="rId2445"/><Relationship Type="http://schemas.openxmlformats.org/officeDocument/2006/relationships/hyperlink" Target="imagenes/LAUNDRY_BY_DESIGN_121009848_CRM_3.jpg" TargetMode="External" Id="rId2446"/><Relationship Type="http://schemas.openxmlformats.org/officeDocument/2006/relationships/hyperlink" Target="imagenes/LAUNDRY_BY_DESIGN_121009848_CRM_1.jpg" TargetMode="External" Id="rId2447"/><Relationship Type="http://schemas.openxmlformats.org/officeDocument/2006/relationships/hyperlink" Target="imagenes/LAUNDRY_BY_DESIGN_121009848_CRM_2.jpg" TargetMode="External" Id="rId2448"/><Relationship Type="http://schemas.openxmlformats.org/officeDocument/2006/relationships/hyperlink" Target="imagenes/LAUNDRY_BY_DESIGN_121009848_CRM_3.jpg" TargetMode="External" Id="rId2449"/><Relationship Type="http://schemas.openxmlformats.org/officeDocument/2006/relationships/hyperlink" Target="imagenes/LAUNDRY_BY_DESIGN_121009848_NVY_1.jpg" TargetMode="External" Id="rId2450"/><Relationship Type="http://schemas.openxmlformats.org/officeDocument/2006/relationships/hyperlink" Target="imagenes/LAUNDRY_BY_DESIGN_121009848_NVY_2.jpg" TargetMode="External" Id="rId2451"/><Relationship Type="http://schemas.openxmlformats.org/officeDocument/2006/relationships/hyperlink" Target="imagenes/LAUNDRY_BY_DESIGN_121009848_NVY_3.jpg" TargetMode="External" Id="rId2452"/><Relationship Type="http://schemas.openxmlformats.org/officeDocument/2006/relationships/hyperlink" Target="imagenes/LAUNDRY_BY_DESIGN_121009848_NVY_1.jpg" TargetMode="External" Id="rId2453"/><Relationship Type="http://schemas.openxmlformats.org/officeDocument/2006/relationships/hyperlink" Target="imagenes/LAUNDRY_BY_DESIGN_121009848_NVY_2.jpg" TargetMode="External" Id="rId2454"/><Relationship Type="http://schemas.openxmlformats.org/officeDocument/2006/relationships/hyperlink" Target="imagenes/LAUNDRY_BY_DESIGN_121009848_NVY_3.jpg" TargetMode="External" Id="rId2455"/><Relationship Type="http://schemas.openxmlformats.org/officeDocument/2006/relationships/hyperlink" Target="imagenes/LAUNDRY_BY_DESIGN_121009848_NVY_1.jpg" TargetMode="External" Id="rId2456"/><Relationship Type="http://schemas.openxmlformats.org/officeDocument/2006/relationships/hyperlink" Target="imagenes/LAUNDRY_BY_DESIGN_121009848_NVY_2.jpg" TargetMode="External" Id="rId2457"/><Relationship Type="http://schemas.openxmlformats.org/officeDocument/2006/relationships/hyperlink" Target="imagenes/LAUNDRY_BY_DESIGN_121009848_NVY_3.jpg" TargetMode="External" Id="rId2458"/><Relationship Type="http://schemas.openxmlformats.org/officeDocument/2006/relationships/hyperlink" Target="imagenes/LAUNDRY_BY_DESIGN_121009848_NVY_1.jpg" TargetMode="External" Id="rId2459"/><Relationship Type="http://schemas.openxmlformats.org/officeDocument/2006/relationships/hyperlink" Target="imagenes/LAUNDRY_BY_DESIGN_121009848_NVY_2.jpg" TargetMode="External" Id="rId2460"/><Relationship Type="http://schemas.openxmlformats.org/officeDocument/2006/relationships/hyperlink" Target="imagenes/LAUNDRY_BY_DESIGN_121009848_NVY_3.jpg" TargetMode="External" Id="rId2461"/><Relationship Type="http://schemas.openxmlformats.org/officeDocument/2006/relationships/hyperlink" Target="imagenes/LAUNDRY_BY_DESIGN_121009848_NVY_1.jpg" TargetMode="External" Id="rId2462"/><Relationship Type="http://schemas.openxmlformats.org/officeDocument/2006/relationships/hyperlink" Target="imagenes/LAUNDRY_BY_DESIGN_121009848_NVY_2.jpg" TargetMode="External" Id="rId2463"/><Relationship Type="http://schemas.openxmlformats.org/officeDocument/2006/relationships/hyperlink" Target="imagenes/LAUNDRY_BY_DESIGN_121009848_NVY_3.jpg" TargetMode="External" Id="rId2464"/><Relationship Type="http://schemas.openxmlformats.org/officeDocument/2006/relationships/hyperlink" Target="imagenes/LAUNDRY_BY_DESIGN_121009848_NVY_1.jpg" TargetMode="External" Id="rId2465"/><Relationship Type="http://schemas.openxmlformats.org/officeDocument/2006/relationships/hyperlink" Target="imagenes/LAUNDRY_BY_DESIGN_121009848_NVY_2.jpg" TargetMode="External" Id="rId2466"/><Relationship Type="http://schemas.openxmlformats.org/officeDocument/2006/relationships/hyperlink" Target="imagenes/LAUNDRY_BY_DESIGN_121009848_NVY_3.jpg" TargetMode="External" Id="rId2467"/><Relationship Type="http://schemas.openxmlformats.org/officeDocument/2006/relationships/hyperlink" Target="imagenes/LAUNDRY_BY_DESIGN_121009849_BLK_1.jpg" TargetMode="External" Id="rId2468"/><Relationship Type="http://schemas.openxmlformats.org/officeDocument/2006/relationships/hyperlink" Target="imagenes/LAUNDRY_BY_DESIGN_121009849_BLK_2.jpg" TargetMode="External" Id="rId2469"/><Relationship Type="http://schemas.openxmlformats.org/officeDocument/2006/relationships/hyperlink" Target="imagenes/LAUNDRY_BY_DESIGN_121009849_BLK_3.jpg" TargetMode="External" Id="rId2470"/><Relationship Type="http://schemas.openxmlformats.org/officeDocument/2006/relationships/hyperlink" Target="imagenes/LAUNDRY_BY_DESIGN_121009849_BLK_1.jpg" TargetMode="External" Id="rId2471"/><Relationship Type="http://schemas.openxmlformats.org/officeDocument/2006/relationships/hyperlink" Target="imagenes/LAUNDRY_BY_DESIGN_121009849_BLK_2.jpg" TargetMode="External" Id="rId2472"/><Relationship Type="http://schemas.openxmlformats.org/officeDocument/2006/relationships/hyperlink" Target="imagenes/LAUNDRY_BY_DESIGN_121009849_BLK_3.jpg" TargetMode="External" Id="rId2473"/><Relationship Type="http://schemas.openxmlformats.org/officeDocument/2006/relationships/hyperlink" Target="imagenes/LAUNDRY_BY_DESIGN_121009849_BLK_1.jpg" TargetMode="External" Id="rId2474"/><Relationship Type="http://schemas.openxmlformats.org/officeDocument/2006/relationships/hyperlink" Target="imagenes/LAUNDRY_BY_DESIGN_121009849_BLK_2.jpg" TargetMode="External" Id="rId2475"/><Relationship Type="http://schemas.openxmlformats.org/officeDocument/2006/relationships/hyperlink" Target="imagenes/LAUNDRY_BY_DESIGN_121009849_BLK_3.jpg" TargetMode="External" Id="rId2476"/><Relationship Type="http://schemas.openxmlformats.org/officeDocument/2006/relationships/hyperlink" Target="imagenes/LAUNDRY_BY_DESIGN_121009849_BLK_1.jpg" TargetMode="External" Id="rId2477"/><Relationship Type="http://schemas.openxmlformats.org/officeDocument/2006/relationships/hyperlink" Target="imagenes/LAUNDRY_BY_DESIGN_121009849_BLK_2.jpg" TargetMode="External" Id="rId2478"/><Relationship Type="http://schemas.openxmlformats.org/officeDocument/2006/relationships/hyperlink" Target="imagenes/LAUNDRY_BY_DESIGN_121009849_BLK_3.jpg" TargetMode="External" Id="rId2479"/><Relationship Type="http://schemas.openxmlformats.org/officeDocument/2006/relationships/hyperlink" Target="imagenes/LAUNDRY_BY_DESIGN_121009849_BLK_1.jpg" TargetMode="External" Id="rId2480"/><Relationship Type="http://schemas.openxmlformats.org/officeDocument/2006/relationships/hyperlink" Target="imagenes/LAUNDRY_BY_DESIGN_121009849_BLK_2.jpg" TargetMode="External" Id="rId2481"/><Relationship Type="http://schemas.openxmlformats.org/officeDocument/2006/relationships/hyperlink" Target="imagenes/LAUNDRY_BY_DESIGN_121009849_BLK_3.jpg" TargetMode="External" Id="rId2482"/><Relationship Type="http://schemas.openxmlformats.org/officeDocument/2006/relationships/hyperlink" Target="imagenes/LAUNDRY_BY_DESIGN_121009849_BLK_1.jpg" TargetMode="External" Id="rId2483"/><Relationship Type="http://schemas.openxmlformats.org/officeDocument/2006/relationships/hyperlink" Target="imagenes/LAUNDRY_BY_DESIGN_121009849_BLK_2.jpg" TargetMode="External" Id="rId2484"/><Relationship Type="http://schemas.openxmlformats.org/officeDocument/2006/relationships/hyperlink" Target="imagenes/LAUNDRY_BY_DESIGN_121009849_BLK_3.jpg" TargetMode="External" Id="rId2485"/><Relationship Type="http://schemas.openxmlformats.org/officeDocument/2006/relationships/hyperlink" Target="imagenes/LAUNDRY_BY_DESIGN_121009849_PET_1.jpg" TargetMode="External" Id="rId2486"/><Relationship Type="http://schemas.openxmlformats.org/officeDocument/2006/relationships/hyperlink" Target="imagenes/LAUNDRY_BY_DESIGN_121009849_PET_2.jpg" TargetMode="External" Id="rId2487"/><Relationship Type="http://schemas.openxmlformats.org/officeDocument/2006/relationships/hyperlink" Target="imagenes/LAUNDRY_BY_DESIGN_121009849_PET_3.jpg" TargetMode="External" Id="rId2488"/><Relationship Type="http://schemas.openxmlformats.org/officeDocument/2006/relationships/hyperlink" Target="imagenes/LAUNDRY_BY_DESIGN_121009849_PET_1.jpg" TargetMode="External" Id="rId2489"/><Relationship Type="http://schemas.openxmlformats.org/officeDocument/2006/relationships/hyperlink" Target="imagenes/LAUNDRY_BY_DESIGN_121009849_PET_2.jpg" TargetMode="External" Id="rId2490"/><Relationship Type="http://schemas.openxmlformats.org/officeDocument/2006/relationships/hyperlink" Target="imagenes/LAUNDRY_BY_DESIGN_121009849_PET_3.jpg" TargetMode="External" Id="rId2491"/><Relationship Type="http://schemas.openxmlformats.org/officeDocument/2006/relationships/hyperlink" Target="imagenes/LAUNDRY_BY_DESIGN_121009849_PET_1.jpg" TargetMode="External" Id="rId2492"/><Relationship Type="http://schemas.openxmlformats.org/officeDocument/2006/relationships/hyperlink" Target="imagenes/LAUNDRY_BY_DESIGN_121009849_PET_2.jpg" TargetMode="External" Id="rId2493"/><Relationship Type="http://schemas.openxmlformats.org/officeDocument/2006/relationships/hyperlink" Target="imagenes/LAUNDRY_BY_DESIGN_121009849_PET_3.jpg" TargetMode="External" Id="rId2494"/><Relationship Type="http://schemas.openxmlformats.org/officeDocument/2006/relationships/hyperlink" Target="imagenes/LAUNDRY_BY_DESIGN_121009849_PET_1.jpg" TargetMode="External" Id="rId2495"/><Relationship Type="http://schemas.openxmlformats.org/officeDocument/2006/relationships/hyperlink" Target="imagenes/LAUNDRY_BY_DESIGN_121009849_PET_2.jpg" TargetMode="External" Id="rId2496"/><Relationship Type="http://schemas.openxmlformats.org/officeDocument/2006/relationships/hyperlink" Target="imagenes/LAUNDRY_BY_DESIGN_121009849_PET_3.jpg" TargetMode="External" Id="rId2497"/><Relationship Type="http://schemas.openxmlformats.org/officeDocument/2006/relationships/hyperlink" Target="imagenes/LAUNDRY_BY_DESIGN_121009849_PET_1.jpg" TargetMode="External" Id="rId2498"/><Relationship Type="http://schemas.openxmlformats.org/officeDocument/2006/relationships/hyperlink" Target="imagenes/LAUNDRY_BY_DESIGN_121009849_PET_2.jpg" TargetMode="External" Id="rId2499"/><Relationship Type="http://schemas.openxmlformats.org/officeDocument/2006/relationships/hyperlink" Target="imagenes/LAUNDRY_BY_DESIGN_121009849_PET_3.jpg" TargetMode="External" Id="rId2500"/><Relationship Type="http://schemas.openxmlformats.org/officeDocument/2006/relationships/hyperlink" Target="imagenes/LAUNDRY_BY_DESIGN_121009849_PET_1.jpg" TargetMode="External" Id="rId2501"/><Relationship Type="http://schemas.openxmlformats.org/officeDocument/2006/relationships/hyperlink" Target="imagenes/LAUNDRY_BY_DESIGN_121009849_PET_2.jpg" TargetMode="External" Id="rId2502"/><Relationship Type="http://schemas.openxmlformats.org/officeDocument/2006/relationships/hyperlink" Target="imagenes/LAUNDRY_BY_DESIGN_121009849_PET_3.jpg" TargetMode="External" Id="rId2503"/><Relationship Type="http://schemas.openxmlformats.org/officeDocument/2006/relationships/hyperlink" Target="imagenes/LAUNDRY_BY_DESIGN_121009850_BLK_1.jpg" TargetMode="External" Id="rId2504"/><Relationship Type="http://schemas.openxmlformats.org/officeDocument/2006/relationships/hyperlink" Target="imagenes/LAUNDRY_BY_DESIGN_121009850_BLK_2.jpg" TargetMode="External" Id="rId2505"/><Relationship Type="http://schemas.openxmlformats.org/officeDocument/2006/relationships/hyperlink" Target="imagenes/LAUNDRY_BY_DESIGN_121009850_BLK_3.jpg" TargetMode="External" Id="rId2506"/><Relationship Type="http://schemas.openxmlformats.org/officeDocument/2006/relationships/hyperlink" Target="imagenes/LAUNDRY_BY_DESIGN_121009850_BLK_1.jpg" TargetMode="External" Id="rId2507"/><Relationship Type="http://schemas.openxmlformats.org/officeDocument/2006/relationships/hyperlink" Target="imagenes/LAUNDRY_BY_DESIGN_121009850_BLK_2.jpg" TargetMode="External" Id="rId2508"/><Relationship Type="http://schemas.openxmlformats.org/officeDocument/2006/relationships/hyperlink" Target="imagenes/LAUNDRY_BY_DESIGN_121009850_BLK_3.jpg" TargetMode="External" Id="rId2509"/><Relationship Type="http://schemas.openxmlformats.org/officeDocument/2006/relationships/hyperlink" Target="imagenes/LAUNDRY_BY_DESIGN_121009850_BLK_1.jpg" TargetMode="External" Id="rId2510"/><Relationship Type="http://schemas.openxmlformats.org/officeDocument/2006/relationships/hyperlink" Target="imagenes/LAUNDRY_BY_DESIGN_121009850_BLK_2.jpg" TargetMode="External" Id="rId2511"/><Relationship Type="http://schemas.openxmlformats.org/officeDocument/2006/relationships/hyperlink" Target="imagenes/LAUNDRY_BY_DESIGN_121009850_BLK_3.jpg" TargetMode="External" Id="rId2512"/><Relationship Type="http://schemas.openxmlformats.org/officeDocument/2006/relationships/hyperlink" Target="imagenes/LAUNDRY_BY_DESIGN_121009850_BLK_1.jpg" TargetMode="External" Id="rId2513"/><Relationship Type="http://schemas.openxmlformats.org/officeDocument/2006/relationships/hyperlink" Target="imagenes/LAUNDRY_BY_DESIGN_121009850_BLK_2.jpg" TargetMode="External" Id="rId2514"/><Relationship Type="http://schemas.openxmlformats.org/officeDocument/2006/relationships/hyperlink" Target="imagenes/LAUNDRY_BY_DESIGN_121009850_BLK_3.jpg" TargetMode="External" Id="rId2515"/><Relationship Type="http://schemas.openxmlformats.org/officeDocument/2006/relationships/hyperlink" Target="imagenes/LAUNDRY_BY_DESIGN_121009850_BLK_1.jpg" TargetMode="External" Id="rId2516"/><Relationship Type="http://schemas.openxmlformats.org/officeDocument/2006/relationships/hyperlink" Target="imagenes/LAUNDRY_BY_DESIGN_121009850_BLK_2.jpg" TargetMode="External" Id="rId2517"/><Relationship Type="http://schemas.openxmlformats.org/officeDocument/2006/relationships/hyperlink" Target="imagenes/LAUNDRY_BY_DESIGN_121009850_BLK_3.jpg" TargetMode="External" Id="rId2518"/><Relationship Type="http://schemas.openxmlformats.org/officeDocument/2006/relationships/hyperlink" Target="imagenes/LAUNDRY_BY_DESIGN_121009850_BLK_1.jpg" TargetMode="External" Id="rId2519"/><Relationship Type="http://schemas.openxmlformats.org/officeDocument/2006/relationships/hyperlink" Target="imagenes/LAUNDRY_BY_DESIGN_121009850_BLK_2.jpg" TargetMode="External" Id="rId2520"/><Relationship Type="http://schemas.openxmlformats.org/officeDocument/2006/relationships/hyperlink" Target="imagenes/LAUNDRY_BY_DESIGN_121009850_BLK_3.jpg" TargetMode="External" Id="rId2521"/><Relationship Type="http://schemas.openxmlformats.org/officeDocument/2006/relationships/hyperlink" Target="imagenes/LAUNDRY_BY_DESIGN_121009850_D96_1.jpg" TargetMode="External" Id="rId2522"/><Relationship Type="http://schemas.openxmlformats.org/officeDocument/2006/relationships/hyperlink" Target="imagenes/LAUNDRY_BY_DESIGN_121009850_D96_2.jpg" TargetMode="External" Id="rId2523"/><Relationship Type="http://schemas.openxmlformats.org/officeDocument/2006/relationships/hyperlink" Target="imagenes/LAUNDRY_BY_DESIGN_121009850_D96_3.jpg" TargetMode="External" Id="rId2524"/><Relationship Type="http://schemas.openxmlformats.org/officeDocument/2006/relationships/hyperlink" Target="imagenes/LAUNDRY_BY_DESIGN_121009850_D96_1.jpg" TargetMode="External" Id="rId2525"/><Relationship Type="http://schemas.openxmlformats.org/officeDocument/2006/relationships/hyperlink" Target="imagenes/LAUNDRY_BY_DESIGN_121009850_D96_2.jpg" TargetMode="External" Id="rId2526"/><Relationship Type="http://schemas.openxmlformats.org/officeDocument/2006/relationships/hyperlink" Target="imagenes/LAUNDRY_BY_DESIGN_121009850_D96_3.jpg" TargetMode="External" Id="rId2527"/><Relationship Type="http://schemas.openxmlformats.org/officeDocument/2006/relationships/hyperlink" Target="imagenes/LAUNDRY_BY_DESIGN_121009850_D96_1.jpg" TargetMode="External" Id="rId2528"/><Relationship Type="http://schemas.openxmlformats.org/officeDocument/2006/relationships/hyperlink" Target="imagenes/LAUNDRY_BY_DESIGN_121009850_D96_2.jpg" TargetMode="External" Id="rId2529"/><Relationship Type="http://schemas.openxmlformats.org/officeDocument/2006/relationships/hyperlink" Target="imagenes/LAUNDRY_BY_DESIGN_121009850_D96_3.jpg" TargetMode="External" Id="rId2530"/><Relationship Type="http://schemas.openxmlformats.org/officeDocument/2006/relationships/hyperlink" Target="imagenes/LAUNDRY_BY_DESIGN_121009850_D96_1.jpg" TargetMode="External" Id="rId2531"/><Relationship Type="http://schemas.openxmlformats.org/officeDocument/2006/relationships/hyperlink" Target="imagenes/LAUNDRY_BY_DESIGN_121009850_D96_2.jpg" TargetMode="External" Id="rId2532"/><Relationship Type="http://schemas.openxmlformats.org/officeDocument/2006/relationships/hyperlink" Target="imagenes/LAUNDRY_BY_DESIGN_121009850_D96_3.jpg" TargetMode="External" Id="rId2533"/><Relationship Type="http://schemas.openxmlformats.org/officeDocument/2006/relationships/hyperlink" Target="imagenes/LAUNDRY_BY_DESIGN_121009850_D96_1.jpg" TargetMode="External" Id="rId2534"/><Relationship Type="http://schemas.openxmlformats.org/officeDocument/2006/relationships/hyperlink" Target="imagenes/LAUNDRY_BY_DESIGN_121009850_D96_2.jpg" TargetMode="External" Id="rId2535"/><Relationship Type="http://schemas.openxmlformats.org/officeDocument/2006/relationships/hyperlink" Target="imagenes/LAUNDRY_BY_DESIGN_121009850_D96_3.jpg" TargetMode="External" Id="rId2536"/><Relationship Type="http://schemas.openxmlformats.org/officeDocument/2006/relationships/hyperlink" Target="imagenes/LAUNDRY_BY_DESIGN_121009850_MGR_1.jpg" TargetMode="External" Id="rId2537"/><Relationship Type="http://schemas.openxmlformats.org/officeDocument/2006/relationships/hyperlink" Target="imagenes/LAUNDRY_BY_DESIGN_121009850_MGR_2.jpg" TargetMode="External" Id="rId2538"/><Relationship Type="http://schemas.openxmlformats.org/officeDocument/2006/relationships/hyperlink" Target="imagenes/LAUNDRY_BY_DESIGN_121009850_MGR_3.jpg" TargetMode="External" Id="rId2539"/><Relationship Type="http://schemas.openxmlformats.org/officeDocument/2006/relationships/hyperlink" Target="imagenes/LAUNDRY_BY_DESIGN_121009850_MGR_1.jpg" TargetMode="External" Id="rId2540"/><Relationship Type="http://schemas.openxmlformats.org/officeDocument/2006/relationships/hyperlink" Target="imagenes/LAUNDRY_BY_DESIGN_121009850_MGR_2.jpg" TargetMode="External" Id="rId2541"/><Relationship Type="http://schemas.openxmlformats.org/officeDocument/2006/relationships/hyperlink" Target="imagenes/LAUNDRY_BY_DESIGN_121009850_MGR_3.jpg" TargetMode="External" Id="rId2542"/><Relationship Type="http://schemas.openxmlformats.org/officeDocument/2006/relationships/hyperlink" Target="imagenes/LAUNDRY_BY_DESIGN_121009850_MGR_1.jpg" TargetMode="External" Id="rId2543"/><Relationship Type="http://schemas.openxmlformats.org/officeDocument/2006/relationships/hyperlink" Target="imagenes/LAUNDRY_BY_DESIGN_121009850_MGR_2.jpg" TargetMode="External" Id="rId2544"/><Relationship Type="http://schemas.openxmlformats.org/officeDocument/2006/relationships/hyperlink" Target="imagenes/LAUNDRY_BY_DESIGN_121009850_MGR_3.jpg" TargetMode="External" Id="rId2545"/><Relationship Type="http://schemas.openxmlformats.org/officeDocument/2006/relationships/hyperlink" Target="imagenes/LAUNDRY_BY_DESIGN_121009850_MGR_1.jpg" TargetMode="External" Id="rId2546"/><Relationship Type="http://schemas.openxmlformats.org/officeDocument/2006/relationships/hyperlink" Target="imagenes/LAUNDRY_BY_DESIGN_121009850_MGR_2.jpg" TargetMode="External" Id="rId2547"/><Relationship Type="http://schemas.openxmlformats.org/officeDocument/2006/relationships/hyperlink" Target="imagenes/LAUNDRY_BY_DESIGN_121009850_MGR_3.jpg" TargetMode="External" Id="rId2548"/><Relationship Type="http://schemas.openxmlformats.org/officeDocument/2006/relationships/hyperlink" Target="imagenes/LAUNDRY_BY_DESIGN_121009850_MGR_1.jpg" TargetMode="External" Id="rId2549"/><Relationship Type="http://schemas.openxmlformats.org/officeDocument/2006/relationships/hyperlink" Target="imagenes/LAUNDRY_BY_DESIGN_121009850_MGR_2.jpg" TargetMode="External" Id="rId2550"/><Relationship Type="http://schemas.openxmlformats.org/officeDocument/2006/relationships/hyperlink" Target="imagenes/LAUNDRY_BY_DESIGN_121009850_MGR_3.jpg" TargetMode="External" Id="rId2551"/><Relationship Type="http://schemas.openxmlformats.org/officeDocument/2006/relationships/hyperlink" Target="imagenes/LAUNDRY_BY_DESIGN_121009850_MGR_1.jpg" TargetMode="External" Id="rId2552"/><Relationship Type="http://schemas.openxmlformats.org/officeDocument/2006/relationships/hyperlink" Target="imagenes/LAUNDRY_BY_DESIGN_121009850_MGR_2.jpg" TargetMode="External" Id="rId2553"/><Relationship Type="http://schemas.openxmlformats.org/officeDocument/2006/relationships/hyperlink" Target="imagenes/LAUNDRY_BY_DESIGN_121009850_MGR_3.jpg" TargetMode="External" Id="rId2554"/><Relationship Type="http://schemas.openxmlformats.org/officeDocument/2006/relationships/hyperlink" Target="imagenes/LAUNDRY_BY_DESIGN_121009851_BLK_1.jpg" TargetMode="External" Id="rId2555"/><Relationship Type="http://schemas.openxmlformats.org/officeDocument/2006/relationships/hyperlink" Target="imagenes/LAUNDRY_BY_DESIGN_121009851_BLK_2.jpg" TargetMode="External" Id="rId2556"/><Relationship Type="http://schemas.openxmlformats.org/officeDocument/2006/relationships/hyperlink" Target="imagenes/LAUNDRY_BY_DESIGN_121009851_BLK_3.jpg" TargetMode="External" Id="rId2557"/><Relationship Type="http://schemas.openxmlformats.org/officeDocument/2006/relationships/hyperlink" Target="imagenes/LAUNDRY_BY_DESIGN_121009851_BLK_1.jpg" TargetMode="External" Id="rId2558"/><Relationship Type="http://schemas.openxmlformats.org/officeDocument/2006/relationships/hyperlink" Target="imagenes/LAUNDRY_BY_DESIGN_121009851_BLK_2.jpg" TargetMode="External" Id="rId2559"/><Relationship Type="http://schemas.openxmlformats.org/officeDocument/2006/relationships/hyperlink" Target="imagenes/LAUNDRY_BY_DESIGN_121009851_BLK_3.jpg" TargetMode="External" Id="rId2560"/><Relationship Type="http://schemas.openxmlformats.org/officeDocument/2006/relationships/hyperlink" Target="imagenes/LAUNDRY_BY_DESIGN_121009851_BLK_1.jpg" TargetMode="External" Id="rId2561"/><Relationship Type="http://schemas.openxmlformats.org/officeDocument/2006/relationships/hyperlink" Target="imagenes/LAUNDRY_BY_DESIGN_121009851_BLK_2.jpg" TargetMode="External" Id="rId2562"/><Relationship Type="http://schemas.openxmlformats.org/officeDocument/2006/relationships/hyperlink" Target="imagenes/LAUNDRY_BY_DESIGN_121009851_BLK_3.jpg" TargetMode="External" Id="rId2563"/><Relationship Type="http://schemas.openxmlformats.org/officeDocument/2006/relationships/hyperlink" Target="imagenes/LAUNDRY_BY_DESIGN_121009851_BLK_1.jpg" TargetMode="External" Id="rId2564"/><Relationship Type="http://schemas.openxmlformats.org/officeDocument/2006/relationships/hyperlink" Target="imagenes/LAUNDRY_BY_DESIGN_121009851_BLK_2.jpg" TargetMode="External" Id="rId2565"/><Relationship Type="http://schemas.openxmlformats.org/officeDocument/2006/relationships/hyperlink" Target="imagenes/LAUNDRY_BY_DESIGN_121009851_BLK_3.jpg" TargetMode="External" Id="rId2566"/><Relationship Type="http://schemas.openxmlformats.org/officeDocument/2006/relationships/hyperlink" Target="imagenes/LAUNDRY_BY_DESIGN_121009851_BLK_1.jpg" TargetMode="External" Id="rId2567"/><Relationship Type="http://schemas.openxmlformats.org/officeDocument/2006/relationships/hyperlink" Target="imagenes/LAUNDRY_BY_DESIGN_121009851_BLK_2.jpg" TargetMode="External" Id="rId2568"/><Relationship Type="http://schemas.openxmlformats.org/officeDocument/2006/relationships/hyperlink" Target="imagenes/LAUNDRY_BY_DESIGN_121009851_BLK_3.jpg" TargetMode="External" Id="rId2569"/><Relationship Type="http://schemas.openxmlformats.org/officeDocument/2006/relationships/hyperlink" Target="imagenes/LAUNDRY_BY_DESIGN_121009851_CHO_1.jpg" TargetMode="External" Id="rId2570"/><Relationship Type="http://schemas.openxmlformats.org/officeDocument/2006/relationships/hyperlink" Target="imagenes/LAUNDRY_BY_DESIGN_121009851_CHO_2.jpg" TargetMode="External" Id="rId2571"/><Relationship Type="http://schemas.openxmlformats.org/officeDocument/2006/relationships/hyperlink" Target="imagenes/LAUNDRY_BY_DESIGN_121009851_CHO_3.jpg" TargetMode="External" Id="rId2572"/><Relationship Type="http://schemas.openxmlformats.org/officeDocument/2006/relationships/hyperlink" Target="imagenes/LAUNDRY_BY_DESIGN_121009851_CHO_1.jpg" TargetMode="External" Id="rId2573"/><Relationship Type="http://schemas.openxmlformats.org/officeDocument/2006/relationships/hyperlink" Target="imagenes/LAUNDRY_BY_DESIGN_121009851_CHO_2.jpg" TargetMode="External" Id="rId2574"/><Relationship Type="http://schemas.openxmlformats.org/officeDocument/2006/relationships/hyperlink" Target="imagenes/LAUNDRY_BY_DESIGN_121009851_CHO_3.jpg" TargetMode="External" Id="rId2575"/><Relationship Type="http://schemas.openxmlformats.org/officeDocument/2006/relationships/hyperlink" Target="imagenes/LAUNDRY_BY_DESIGN_121009851_CHO_1.jpg" TargetMode="External" Id="rId2576"/><Relationship Type="http://schemas.openxmlformats.org/officeDocument/2006/relationships/hyperlink" Target="imagenes/LAUNDRY_BY_DESIGN_121009851_CHO_2.jpg" TargetMode="External" Id="rId2577"/><Relationship Type="http://schemas.openxmlformats.org/officeDocument/2006/relationships/hyperlink" Target="imagenes/LAUNDRY_BY_DESIGN_121009851_CHO_3.jpg" TargetMode="External" Id="rId2578"/><Relationship Type="http://schemas.openxmlformats.org/officeDocument/2006/relationships/hyperlink" Target="imagenes/LAUNDRY_BY_DESIGN_121009851_CHO_1.jpg" TargetMode="External" Id="rId2579"/><Relationship Type="http://schemas.openxmlformats.org/officeDocument/2006/relationships/hyperlink" Target="imagenes/LAUNDRY_BY_DESIGN_121009851_CHO_2.jpg" TargetMode="External" Id="rId2580"/><Relationship Type="http://schemas.openxmlformats.org/officeDocument/2006/relationships/hyperlink" Target="imagenes/LAUNDRY_BY_DESIGN_121009851_CHO_3.jpg" TargetMode="External" Id="rId2581"/><Relationship Type="http://schemas.openxmlformats.org/officeDocument/2006/relationships/hyperlink" Target="imagenes/LAUNDRY_BY_DESIGN_121009851_CHO_1.jpg" TargetMode="External" Id="rId2582"/><Relationship Type="http://schemas.openxmlformats.org/officeDocument/2006/relationships/hyperlink" Target="imagenes/LAUNDRY_BY_DESIGN_121009851_CHO_2.jpg" TargetMode="External" Id="rId2583"/><Relationship Type="http://schemas.openxmlformats.org/officeDocument/2006/relationships/hyperlink" Target="imagenes/LAUNDRY_BY_DESIGN_121009851_CHO_3.jpg" TargetMode="External" Id="rId2584"/><Relationship Type="http://schemas.openxmlformats.org/officeDocument/2006/relationships/hyperlink" Target="imagenes/LAUNDRY_BY_DESIGN_121009851_OLI_1.jpg" TargetMode="External" Id="rId2585"/><Relationship Type="http://schemas.openxmlformats.org/officeDocument/2006/relationships/hyperlink" Target="imagenes/LAUNDRY_BY_DESIGN_121009851_OLI_2.jpg" TargetMode="External" Id="rId2586"/><Relationship Type="http://schemas.openxmlformats.org/officeDocument/2006/relationships/hyperlink" Target="imagenes/LAUNDRY_BY_DESIGN_121009851_OLI_3.jpg" TargetMode="External" Id="rId2587"/><Relationship Type="http://schemas.openxmlformats.org/officeDocument/2006/relationships/hyperlink" Target="imagenes/LAUNDRY_BY_DESIGN_121009851_OLI_1.jpg" TargetMode="External" Id="rId2588"/><Relationship Type="http://schemas.openxmlformats.org/officeDocument/2006/relationships/hyperlink" Target="imagenes/LAUNDRY_BY_DESIGN_121009851_OLI_2.jpg" TargetMode="External" Id="rId2589"/><Relationship Type="http://schemas.openxmlformats.org/officeDocument/2006/relationships/hyperlink" Target="imagenes/LAUNDRY_BY_DESIGN_121009851_OLI_3.jpg" TargetMode="External" Id="rId2590"/><Relationship Type="http://schemas.openxmlformats.org/officeDocument/2006/relationships/hyperlink" Target="imagenes/LAUNDRY_BY_DESIGN_121009851_OLI_1.jpg" TargetMode="External" Id="rId2591"/><Relationship Type="http://schemas.openxmlformats.org/officeDocument/2006/relationships/hyperlink" Target="imagenes/LAUNDRY_BY_DESIGN_121009851_OLI_2.jpg" TargetMode="External" Id="rId2592"/><Relationship Type="http://schemas.openxmlformats.org/officeDocument/2006/relationships/hyperlink" Target="imagenes/LAUNDRY_BY_DESIGN_121009851_OLI_3.jpg" TargetMode="External" Id="rId2593"/><Relationship Type="http://schemas.openxmlformats.org/officeDocument/2006/relationships/hyperlink" Target="imagenes/LAUNDRY_BY_DESIGN_121009851_OLI_1.jpg" TargetMode="External" Id="rId2594"/><Relationship Type="http://schemas.openxmlformats.org/officeDocument/2006/relationships/hyperlink" Target="imagenes/LAUNDRY_BY_DESIGN_121009851_OLI_2.jpg" TargetMode="External" Id="rId2595"/><Relationship Type="http://schemas.openxmlformats.org/officeDocument/2006/relationships/hyperlink" Target="imagenes/LAUNDRY_BY_DESIGN_121009851_OLI_3.jpg" TargetMode="External" Id="rId2596"/><Relationship Type="http://schemas.openxmlformats.org/officeDocument/2006/relationships/hyperlink" Target="imagenes/LAUNDRY_BY_DESIGN_121009851_OLI_1.jpg" TargetMode="External" Id="rId2597"/><Relationship Type="http://schemas.openxmlformats.org/officeDocument/2006/relationships/hyperlink" Target="imagenes/LAUNDRY_BY_DESIGN_121009851_OLI_2.jpg" TargetMode="External" Id="rId2598"/><Relationship Type="http://schemas.openxmlformats.org/officeDocument/2006/relationships/hyperlink" Target="imagenes/LAUNDRY_BY_DESIGN_121009851_OLI_3.jpg" TargetMode="External" Id="rId2599"/><Relationship Type="http://schemas.openxmlformats.org/officeDocument/2006/relationships/hyperlink" Target="imagenes/LAUNDRY_BY_DESIGN_121009852_BLK_1.jpg" TargetMode="External" Id="rId2600"/><Relationship Type="http://schemas.openxmlformats.org/officeDocument/2006/relationships/hyperlink" Target="imagenes/LAUNDRY_BY_DESIGN_121009852_BLK_2.jpg" TargetMode="External" Id="rId2601"/><Relationship Type="http://schemas.openxmlformats.org/officeDocument/2006/relationships/hyperlink" Target="imagenes/LAUNDRY_BY_DESIGN_121009852_BLK_3.jpg" TargetMode="External" Id="rId2602"/><Relationship Type="http://schemas.openxmlformats.org/officeDocument/2006/relationships/hyperlink" Target="imagenes/LAUNDRY_BY_DESIGN_121009852_BLK_1.jpg" TargetMode="External" Id="rId2603"/><Relationship Type="http://schemas.openxmlformats.org/officeDocument/2006/relationships/hyperlink" Target="imagenes/LAUNDRY_BY_DESIGN_121009852_BLK_2.jpg" TargetMode="External" Id="rId2604"/><Relationship Type="http://schemas.openxmlformats.org/officeDocument/2006/relationships/hyperlink" Target="imagenes/LAUNDRY_BY_DESIGN_121009852_BLK_3.jpg" TargetMode="External" Id="rId2605"/><Relationship Type="http://schemas.openxmlformats.org/officeDocument/2006/relationships/hyperlink" Target="imagenes/LAUNDRY_BY_DESIGN_121009852_BLK_1.jpg" TargetMode="External" Id="rId2606"/><Relationship Type="http://schemas.openxmlformats.org/officeDocument/2006/relationships/hyperlink" Target="imagenes/LAUNDRY_BY_DESIGN_121009852_BLK_2.jpg" TargetMode="External" Id="rId2607"/><Relationship Type="http://schemas.openxmlformats.org/officeDocument/2006/relationships/hyperlink" Target="imagenes/LAUNDRY_BY_DESIGN_121009852_BLK_3.jpg" TargetMode="External" Id="rId2608"/><Relationship Type="http://schemas.openxmlformats.org/officeDocument/2006/relationships/hyperlink" Target="imagenes/LAUNDRY_BY_DESIGN_121009852_BLK_1.jpg" TargetMode="External" Id="rId2609"/><Relationship Type="http://schemas.openxmlformats.org/officeDocument/2006/relationships/hyperlink" Target="imagenes/LAUNDRY_BY_DESIGN_121009852_BLK_2.jpg" TargetMode="External" Id="rId2610"/><Relationship Type="http://schemas.openxmlformats.org/officeDocument/2006/relationships/hyperlink" Target="imagenes/LAUNDRY_BY_DESIGN_121009852_BLK_3.jpg" TargetMode="External" Id="rId2611"/><Relationship Type="http://schemas.openxmlformats.org/officeDocument/2006/relationships/hyperlink" Target="imagenes/LAUNDRY_BY_DESIGN_121009852_BLK_1.jpg" TargetMode="External" Id="rId2612"/><Relationship Type="http://schemas.openxmlformats.org/officeDocument/2006/relationships/hyperlink" Target="imagenes/LAUNDRY_BY_DESIGN_121009852_BLK_2.jpg" TargetMode="External" Id="rId2613"/><Relationship Type="http://schemas.openxmlformats.org/officeDocument/2006/relationships/hyperlink" Target="imagenes/LAUNDRY_BY_DESIGN_121009852_BLK_3.jpg" TargetMode="External" Id="rId2614"/><Relationship Type="http://schemas.openxmlformats.org/officeDocument/2006/relationships/hyperlink" Target="imagenes/LAUNDRY_BY_DESIGN_121009852_BLK_1.jpg" TargetMode="External" Id="rId2615"/><Relationship Type="http://schemas.openxmlformats.org/officeDocument/2006/relationships/hyperlink" Target="imagenes/LAUNDRY_BY_DESIGN_121009852_BLK_2.jpg" TargetMode="External" Id="rId2616"/><Relationship Type="http://schemas.openxmlformats.org/officeDocument/2006/relationships/hyperlink" Target="imagenes/LAUNDRY_BY_DESIGN_121009852_BLK_3.jpg" TargetMode="External" Id="rId2617"/><Relationship Type="http://schemas.openxmlformats.org/officeDocument/2006/relationships/hyperlink" Target="imagenes/LAUNDRY_BY_DESIGN_121009852_D96_1.jpg" TargetMode="External" Id="rId2618"/><Relationship Type="http://schemas.openxmlformats.org/officeDocument/2006/relationships/hyperlink" Target="imagenes/LAUNDRY_BY_DESIGN_121009852_D96_2.jpg" TargetMode="External" Id="rId2619"/><Relationship Type="http://schemas.openxmlformats.org/officeDocument/2006/relationships/hyperlink" Target="imagenes/LAUNDRY_BY_DESIGN_121009852_D96_3.jpg" TargetMode="External" Id="rId2620"/><Relationship Type="http://schemas.openxmlformats.org/officeDocument/2006/relationships/hyperlink" Target="imagenes/LAUNDRY_BY_DESIGN_121009852_D96_1.jpg" TargetMode="External" Id="rId2621"/><Relationship Type="http://schemas.openxmlformats.org/officeDocument/2006/relationships/hyperlink" Target="imagenes/LAUNDRY_BY_DESIGN_121009852_D96_2.jpg" TargetMode="External" Id="rId2622"/><Relationship Type="http://schemas.openxmlformats.org/officeDocument/2006/relationships/hyperlink" Target="imagenes/LAUNDRY_BY_DESIGN_121009852_D96_3.jpg" TargetMode="External" Id="rId2623"/><Relationship Type="http://schemas.openxmlformats.org/officeDocument/2006/relationships/hyperlink" Target="imagenes/LAUNDRY_BY_DESIGN_121009852_D96_1.jpg" TargetMode="External" Id="rId2624"/><Relationship Type="http://schemas.openxmlformats.org/officeDocument/2006/relationships/hyperlink" Target="imagenes/LAUNDRY_BY_DESIGN_121009852_D96_2.jpg" TargetMode="External" Id="rId2625"/><Relationship Type="http://schemas.openxmlformats.org/officeDocument/2006/relationships/hyperlink" Target="imagenes/LAUNDRY_BY_DESIGN_121009852_D96_3.jpg" TargetMode="External" Id="rId2626"/><Relationship Type="http://schemas.openxmlformats.org/officeDocument/2006/relationships/hyperlink" Target="imagenes/LAUNDRY_BY_DESIGN_121009852_D96_1.jpg" TargetMode="External" Id="rId2627"/><Relationship Type="http://schemas.openxmlformats.org/officeDocument/2006/relationships/hyperlink" Target="imagenes/LAUNDRY_BY_DESIGN_121009852_D96_2.jpg" TargetMode="External" Id="rId2628"/><Relationship Type="http://schemas.openxmlformats.org/officeDocument/2006/relationships/hyperlink" Target="imagenes/LAUNDRY_BY_DESIGN_121009852_D96_3.jpg" TargetMode="External" Id="rId2629"/><Relationship Type="http://schemas.openxmlformats.org/officeDocument/2006/relationships/hyperlink" Target="imagenes/LAUNDRY_BY_DESIGN_121009852_D96_1.jpg" TargetMode="External" Id="rId2630"/><Relationship Type="http://schemas.openxmlformats.org/officeDocument/2006/relationships/hyperlink" Target="imagenes/LAUNDRY_BY_DESIGN_121009852_D96_2.jpg" TargetMode="External" Id="rId2631"/><Relationship Type="http://schemas.openxmlformats.org/officeDocument/2006/relationships/hyperlink" Target="imagenes/LAUNDRY_BY_DESIGN_121009852_D96_3.jpg" TargetMode="External" Id="rId2632"/><Relationship Type="http://schemas.openxmlformats.org/officeDocument/2006/relationships/hyperlink" Target="imagenes/LAUNDRY_BY_DESIGN_121009852_D96_1.jpg" TargetMode="External" Id="rId2633"/><Relationship Type="http://schemas.openxmlformats.org/officeDocument/2006/relationships/hyperlink" Target="imagenes/LAUNDRY_BY_DESIGN_121009852_D96_2.jpg" TargetMode="External" Id="rId2634"/><Relationship Type="http://schemas.openxmlformats.org/officeDocument/2006/relationships/hyperlink" Target="imagenes/LAUNDRY_BY_DESIGN_121009852_D96_3.jpg" TargetMode="External" Id="rId2635"/><Relationship Type="http://schemas.openxmlformats.org/officeDocument/2006/relationships/hyperlink" Target="imagenes/LAUNDRY_BY_DESIGN_121009852_NVY_1.jpg" TargetMode="External" Id="rId2636"/><Relationship Type="http://schemas.openxmlformats.org/officeDocument/2006/relationships/hyperlink" Target="imagenes/LAUNDRY_BY_DESIGN_121009852_NVY_2.jpg" TargetMode="External" Id="rId2637"/><Relationship Type="http://schemas.openxmlformats.org/officeDocument/2006/relationships/hyperlink" Target="imagenes/LAUNDRY_BY_DESIGN_121009852_NVY_3.jpg" TargetMode="External" Id="rId2638"/><Relationship Type="http://schemas.openxmlformats.org/officeDocument/2006/relationships/hyperlink" Target="imagenes/LAUNDRY_BY_DESIGN_121009852_NVY_1.jpg" TargetMode="External" Id="rId2639"/><Relationship Type="http://schemas.openxmlformats.org/officeDocument/2006/relationships/hyperlink" Target="imagenes/LAUNDRY_BY_DESIGN_121009852_NVY_2.jpg" TargetMode="External" Id="rId2640"/><Relationship Type="http://schemas.openxmlformats.org/officeDocument/2006/relationships/hyperlink" Target="imagenes/LAUNDRY_BY_DESIGN_121009852_NVY_3.jpg" TargetMode="External" Id="rId2641"/><Relationship Type="http://schemas.openxmlformats.org/officeDocument/2006/relationships/hyperlink" Target="imagenes/LAUNDRY_BY_DESIGN_121009852_NVY_1.jpg" TargetMode="External" Id="rId2642"/><Relationship Type="http://schemas.openxmlformats.org/officeDocument/2006/relationships/hyperlink" Target="imagenes/LAUNDRY_BY_DESIGN_121009852_NVY_2.jpg" TargetMode="External" Id="rId2643"/><Relationship Type="http://schemas.openxmlformats.org/officeDocument/2006/relationships/hyperlink" Target="imagenes/LAUNDRY_BY_DESIGN_121009852_NVY_3.jpg" TargetMode="External" Id="rId2644"/><Relationship Type="http://schemas.openxmlformats.org/officeDocument/2006/relationships/hyperlink" Target="imagenes/LAUNDRY_BY_DESIGN_121009852_NVY_1.jpg" TargetMode="External" Id="rId2645"/><Relationship Type="http://schemas.openxmlformats.org/officeDocument/2006/relationships/hyperlink" Target="imagenes/LAUNDRY_BY_DESIGN_121009852_NVY_2.jpg" TargetMode="External" Id="rId2646"/><Relationship Type="http://schemas.openxmlformats.org/officeDocument/2006/relationships/hyperlink" Target="imagenes/LAUNDRY_BY_DESIGN_121009852_NVY_3.jpg" TargetMode="External" Id="rId2647"/><Relationship Type="http://schemas.openxmlformats.org/officeDocument/2006/relationships/hyperlink" Target="imagenes/LAUNDRY_BY_DESIGN_121009852_NVY_1.jpg" TargetMode="External" Id="rId2648"/><Relationship Type="http://schemas.openxmlformats.org/officeDocument/2006/relationships/hyperlink" Target="imagenes/LAUNDRY_BY_DESIGN_121009852_NVY_2.jpg" TargetMode="External" Id="rId2649"/><Relationship Type="http://schemas.openxmlformats.org/officeDocument/2006/relationships/hyperlink" Target="imagenes/LAUNDRY_BY_DESIGN_121009852_NVY_3.jpg" TargetMode="External" Id="rId2650"/><Relationship Type="http://schemas.openxmlformats.org/officeDocument/2006/relationships/hyperlink" Target="imagenes/LAUNDRY_BY_DESIGN_121009853_BLK_1.jpg" TargetMode="External" Id="rId2651"/><Relationship Type="http://schemas.openxmlformats.org/officeDocument/2006/relationships/hyperlink" Target="imagenes/LAUNDRY_BY_DESIGN_121009853_BLK_2.jpg" TargetMode="External" Id="rId2652"/><Relationship Type="http://schemas.openxmlformats.org/officeDocument/2006/relationships/hyperlink" Target="imagenes/LAUNDRY_BY_DESIGN_121009853_BLK_3.jpg" TargetMode="External" Id="rId2653"/><Relationship Type="http://schemas.openxmlformats.org/officeDocument/2006/relationships/hyperlink" Target="imagenes/LAUNDRY_BY_DESIGN_121009853_BLK_1.jpg" TargetMode="External" Id="rId2654"/><Relationship Type="http://schemas.openxmlformats.org/officeDocument/2006/relationships/hyperlink" Target="imagenes/LAUNDRY_BY_DESIGN_121009853_BLK_2.jpg" TargetMode="External" Id="rId2655"/><Relationship Type="http://schemas.openxmlformats.org/officeDocument/2006/relationships/hyperlink" Target="imagenes/LAUNDRY_BY_DESIGN_121009853_BLK_3.jpg" TargetMode="External" Id="rId2656"/><Relationship Type="http://schemas.openxmlformats.org/officeDocument/2006/relationships/hyperlink" Target="imagenes/LAUNDRY_BY_DESIGN_121009853_BLK_1.jpg" TargetMode="External" Id="rId2657"/><Relationship Type="http://schemas.openxmlformats.org/officeDocument/2006/relationships/hyperlink" Target="imagenes/LAUNDRY_BY_DESIGN_121009853_BLK_2.jpg" TargetMode="External" Id="rId2658"/><Relationship Type="http://schemas.openxmlformats.org/officeDocument/2006/relationships/hyperlink" Target="imagenes/LAUNDRY_BY_DESIGN_121009853_BLK_3.jpg" TargetMode="External" Id="rId2659"/><Relationship Type="http://schemas.openxmlformats.org/officeDocument/2006/relationships/hyperlink" Target="imagenes/LAUNDRY_BY_DESIGN_121009853_BLK_1.jpg" TargetMode="External" Id="rId2660"/><Relationship Type="http://schemas.openxmlformats.org/officeDocument/2006/relationships/hyperlink" Target="imagenes/LAUNDRY_BY_DESIGN_121009853_BLK_2.jpg" TargetMode="External" Id="rId2661"/><Relationship Type="http://schemas.openxmlformats.org/officeDocument/2006/relationships/hyperlink" Target="imagenes/LAUNDRY_BY_DESIGN_121009853_BLK_3.jpg" TargetMode="External" Id="rId2662"/><Relationship Type="http://schemas.openxmlformats.org/officeDocument/2006/relationships/hyperlink" Target="imagenes/LAUNDRY_BY_DESIGN_121009853_BLK_1.jpg" TargetMode="External" Id="rId2663"/><Relationship Type="http://schemas.openxmlformats.org/officeDocument/2006/relationships/hyperlink" Target="imagenes/LAUNDRY_BY_DESIGN_121009853_BLK_2.jpg" TargetMode="External" Id="rId2664"/><Relationship Type="http://schemas.openxmlformats.org/officeDocument/2006/relationships/hyperlink" Target="imagenes/LAUNDRY_BY_DESIGN_121009853_BLK_3.jpg" TargetMode="External" Id="rId2665"/><Relationship Type="http://schemas.openxmlformats.org/officeDocument/2006/relationships/hyperlink" Target="imagenes/LAUNDRY_BY_DESIGN_121009853_BLK_1.jpg" TargetMode="External" Id="rId2666"/><Relationship Type="http://schemas.openxmlformats.org/officeDocument/2006/relationships/hyperlink" Target="imagenes/LAUNDRY_BY_DESIGN_121009853_BLK_2.jpg" TargetMode="External" Id="rId2667"/><Relationship Type="http://schemas.openxmlformats.org/officeDocument/2006/relationships/hyperlink" Target="imagenes/LAUNDRY_BY_DESIGN_121009853_BLK_3.jpg" TargetMode="External" Id="rId2668"/><Relationship Type="http://schemas.openxmlformats.org/officeDocument/2006/relationships/hyperlink" Target="imagenes/LAUNDRY_BY_DESIGN_121009853_CHO_1.jpg" TargetMode="External" Id="rId2669"/><Relationship Type="http://schemas.openxmlformats.org/officeDocument/2006/relationships/hyperlink" Target="imagenes/LAUNDRY_BY_DESIGN_121009853_CHO_2.jpg" TargetMode="External" Id="rId2670"/><Relationship Type="http://schemas.openxmlformats.org/officeDocument/2006/relationships/hyperlink" Target="imagenes/LAUNDRY_BY_DESIGN_121009853_CHO_3.jpg" TargetMode="External" Id="rId2671"/><Relationship Type="http://schemas.openxmlformats.org/officeDocument/2006/relationships/hyperlink" Target="imagenes/LAUNDRY_BY_DESIGN_121009853_CHO_1.jpg" TargetMode="External" Id="rId2672"/><Relationship Type="http://schemas.openxmlformats.org/officeDocument/2006/relationships/hyperlink" Target="imagenes/LAUNDRY_BY_DESIGN_121009853_CHO_2.jpg" TargetMode="External" Id="rId2673"/><Relationship Type="http://schemas.openxmlformats.org/officeDocument/2006/relationships/hyperlink" Target="imagenes/LAUNDRY_BY_DESIGN_121009853_CHO_3.jpg" TargetMode="External" Id="rId2674"/><Relationship Type="http://schemas.openxmlformats.org/officeDocument/2006/relationships/hyperlink" Target="imagenes/LAUNDRY_BY_DESIGN_121009853_CHO_1.jpg" TargetMode="External" Id="rId2675"/><Relationship Type="http://schemas.openxmlformats.org/officeDocument/2006/relationships/hyperlink" Target="imagenes/LAUNDRY_BY_DESIGN_121009853_CHO_2.jpg" TargetMode="External" Id="rId2676"/><Relationship Type="http://schemas.openxmlformats.org/officeDocument/2006/relationships/hyperlink" Target="imagenes/LAUNDRY_BY_DESIGN_121009853_CHO_3.jpg" TargetMode="External" Id="rId2677"/><Relationship Type="http://schemas.openxmlformats.org/officeDocument/2006/relationships/hyperlink" Target="imagenes/LAUNDRY_BY_DESIGN_121009853_CHO_1.jpg" TargetMode="External" Id="rId2678"/><Relationship Type="http://schemas.openxmlformats.org/officeDocument/2006/relationships/hyperlink" Target="imagenes/LAUNDRY_BY_DESIGN_121009853_CHO_2.jpg" TargetMode="External" Id="rId2679"/><Relationship Type="http://schemas.openxmlformats.org/officeDocument/2006/relationships/hyperlink" Target="imagenes/LAUNDRY_BY_DESIGN_121009853_CHO_3.jpg" TargetMode="External" Id="rId2680"/><Relationship Type="http://schemas.openxmlformats.org/officeDocument/2006/relationships/hyperlink" Target="imagenes/LAUNDRY_BY_DESIGN_121009853_CHO_1.jpg" TargetMode="External" Id="rId2681"/><Relationship Type="http://schemas.openxmlformats.org/officeDocument/2006/relationships/hyperlink" Target="imagenes/LAUNDRY_BY_DESIGN_121009853_CHO_2.jpg" TargetMode="External" Id="rId2682"/><Relationship Type="http://schemas.openxmlformats.org/officeDocument/2006/relationships/hyperlink" Target="imagenes/LAUNDRY_BY_DESIGN_121009853_CHO_3.jpg" TargetMode="External" Id="rId2683"/><Relationship Type="http://schemas.openxmlformats.org/officeDocument/2006/relationships/hyperlink" Target="imagenes/LAUNDRY_BY_DESIGN_121009853_CHO_1.jpg" TargetMode="External" Id="rId2684"/><Relationship Type="http://schemas.openxmlformats.org/officeDocument/2006/relationships/hyperlink" Target="imagenes/LAUNDRY_BY_DESIGN_121009853_CHO_2.jpg" TargetMode="External" Id="rId2685"/><Relationship Type="http://schemas.openxmlformats.org/officeDocument/2006/relationships/hyperlink" Target="imagenes/LAUNDRY_BY_DESIGN_121009853_CHO_3.jpg" TargetMode="External" Id="rId2686"/><Relationship Type="http://schemas.openxmlformats.org/officeDocument/2006/relationships/hyperlink" Target="imagenes/LAUNDRY_BY_DESIGN_121009858_BLK_1.jpg" TargetMode="External" Id="rId2687"/><Relationship Type="http://schemas.openxmlformats.org/officeDocument/2006/relationships/hyperlink" Target="imagenes/LAUNDRY_BY_DESIGN_121009858_BLK_2.jpg" TargetMode="External" Id="rId2688"/><Relationship Type="http://schemas.openxmlformats.org/officeDocument/2006/relationships/hyperlink" Target="imagenes/LAUNDRY_BY_DESIGN_121009858_BLK_3.jpg" TargetMode="External" Id="rId2689"/><Relationship Type="http://schemas.openxmlformats.org/officeDocument/2006/relationships/hyperlink" Target="imagenes/LAUNDRY_BY_DESIGN_121009858_BLK_1.jpg" TargetMode="External" Id="rId2690"/><Relationship Type="http://schemas.openxmlformats.org/officeDocument/2006/relationships/hyperlink" Target="imagenes/LAUNDRY_BY_DESIGN_121009858_BLK_2.jpg" TargetMode="External" Id="rId2691"/><Relationship Type="http://schemas.openxmlformats.org/officeDocument/2006/relationships/hyperlink" Target="imagenes/LAUNDRY_BY_DESIGN_121009858_BLK_3.jpg" TargetMode="External" Id="rId2692"/><Relationship Type="http://schemas.openxmlformats.org/officeDocument/2006/relationships/hyperlink" Target="imagenes/LAUNDRY_BY_DESIGN_121009858_BLK_1.jpg" TargetMode="External" Id="rId2693"/><Relationship Type="http://schemas.openxmlformats.org/officeDocument/2006/relationships/hyperlink" Target="imagenes/LAUNDRY_BY_DESIGN_121009858_BLK_2.jpg" TargetMode="External" Id="rId2694"/><Relationship Type="http://schemas.openxmlformats.org/officeDocument/2006/relationships/hyperlink" Target="imagenes/LAUNDRY_BY_DESIGN_121009858_BLK_3.jpg" TargetMode="External" Id="rId2695"/><Relationship Type="http://schemas.openxmlformats.org/officeDocument/2006/relationships/hyperlink" Target="imagenes/LAUNDRY_BY_DESIGN_121009858_BLK_1.jpg" TargetMode="External" Id="rId2696"/><Relationship Type="http://schemas.openxmlformats.org/officeDocument/2006/relationships/hyperlink" Target="imagenes/LAUNDRY_BY_DESIGN_121009858_BLK_2.jpg" TargetMode="External" Id="rId2697"/><Relationship Type="http://schemas.openxmlformats.org/officeDocument/2006/relationships/hyperlink" Target="imagenes/LAUNDRY_BY_DESIGN_121009858_BLK_3.jpg" TargetMode="External" Id="rId2698"/><Relationship Type="http://schemas.openxmlformats.org/officeDocument/2006/relationships/hyperlink" Target="imagenes/LAUNDRY_BY_DESIGN_121009858_BLK_1.jpg" TargetMode="External" Id="rId2699"/><Relationship Type="http://schemas.openxmlformats.org/officeDocument/2006/relationships/hyperlink" Target="imagenes/LAUNDRY_BY_DESIGN_121009858_BLK_2.jpg" TargetMode="External" Id="rId2700"/><Relationship Type="http://schemas.openxmlformats.org/officeDocument/2006/relationships/hyperlink" Target="imagenes/LAUNDRY_BY_DESIGN_121009858_BLK_3.jpg" TargetMode="External" Id="rId2701"/><Relationship Type="http://schemas.openxmlformats.org/officeDocument/2006/relationships/hyperlink" Target="imagenes/LAUNDRY_BY_DESIGN_121009858_CHO_1.jpg" TargetMode="External" Id="rId2702"/><Relationship Type="http://schemas.openxmlformats.org/officeDocument/2006/relationships/hyperlink" Target="imagenes/LAUNDRY_BY_DESIGN_121009858_CHO_2.jpg" TargetMode="External" Id="rId2703"/><Relationship Type="http://schemas.openxmlformats.org/officeDocument/2006/relationships/hyperlink" Target="imagenes/LAUNDRY_BY_DESIGN_121009858_CHO_3.jpg" TargetMode="External" Id="rId2704"/><Relationship Type="http://schemas.openxmlformats.org/officeDocument/2006/relationships/hyperlink" Target="imagenes/LAUNDRY_BY_DESIGN_121009858_CHO_1.jpg" TargetMode="External" Id="rId2705"/><Relationship Type="http://schemas.openxmlformats.org/officeDocument/2006/relationships/hyperlink" Target="imagenes/LAUNDRY_BY_DESIGN_121009858_CHO_2.jpg" TargetMode="External" Id="rId2706"/><Relationship Type="http://schemas.openxmlformats.org/officeDocument/2006/relationships/hyperlink" Target="imagenes/LAUNDRY_BY_DESIGN_121009858_CHO_3.jpg" TargetMode="External" Id="rId2707"/><Relationship Type="http://schemas.openxmlformats.org/officeDocument/2006/relationships/hyperlink" Target="imagenes/LAUNDRY_BY_DESIGN_121009858_CHO_1.jpg" TargetMode="External" Id="rId2708"/><Relationship Type="http://schemas.openxmlformats.org/officeDocument/2006/relationships/hyperlink" Target="imagenes/LAUNDRY_BY_DESIGN_121009858_CHO_2.jpg" TargetMode="External" Id="rId2709"/><Relationship Type="http://schemas.openxmlformats.org/officeDocument/2006/relationships/hyperlink" Target="imagenes/LAUNDRY_BY_DESIGN_121009858_CHO_3.jpg" TargetMode="External" Id="rId2710"/><Relationship Type="http://schemas.openxmlformats.org/officeDocument/2006/relationships/hyperlink" Target="imagenes/LAUNDRY_BY_DESIGN_121009858_CHO_1.jpg" TargetMode="External" Id="rId2711"/><Relationship Type="http://schemas.openxmlformats.org/officeDocument/2006/relationships/hyperlink" Target="imagenes/LAUNDRY_BY_DESIGN_121009858_CHO_2.jpg" TargetMode="External" Id="rId2712"/><Relationship Type="http://schemas.openxmlformats.org/officeDocument/2006/relationships/hyperlink" Target="imagenes/LAUNDRY_BY_DESIGN_121009858_CHO_3.jpg" TargetMode="External" Id="rId2713"/><Relationship Type="http://schemas.openxmlformats.org/officeDocument/2006/relationships/hyperlink" Target="imagenes/LAUNDRY_BY_DESIGN_121009858_CHO_1.jpg" TargetMode="External" Id="rId2714"/><Relationship Type="http://schemas.openxmlformats.org/officeDocument/2006/relationships/hyperlink" Target="imagenes/LAUNDRY_BY_DESIGN_121009858_CHO_2.jpg" TargetMode="External" Id="rId2715"/><Relationship Type="http://schemas.openxmlformats.org/officeDocument/2006/relationships/hyperlink" Target="imagenes/LAUNDRY_BY_DESIGN_121009858_CHO_3.jpg" TargetMode="External" Id="rId2716"/><Relationship Type="http://schemas.openxmlformats.org/officeDocument/2006/relationships/hyperlink" Target="imagenes/LAUNDRY_BY_DESIGN_121009858_CHO_1.jpg" TargetMode="External" Id="rId2717"/><Relationship Type="http://schemas.openxmlformats.org/officeDocument/2006/relationships/hyperlink" Target="imagenes/LAUNDRY_BY_DESIGN_121009858_CHO_2.jpg" TargetMode="External" Id="rId2718"/><Relationship Type="http://schemas.openxmlformats.org/officeDocument/2006/relationships/hyperlink" Target="imagenes/LAUNDRY_BY_DESIGN_121009858_CHO_3.jpg" TargetMode="External" Id="rId2719"/><Relationship Type="http://schemas.openxmlformats.org/officeDocument/2006/relationships/hyperlink" Target="imagenes/LAUNDRY_BY_DESIGN_121009858_DES_1.jpg" TargetMode="External" Id="rId2720"/><Relationship Type="http://schemas.openxmlformats.org/officeDocument/2006/relationships/hyperlink" Target="imagenes/LAUNDRY_BY_DESIGN_121009858_DES_2.jpg" TargetMode="External" Id="rId2721"/><Relationship Type="http://schemas.openxmlformats.org/officeDocument/2006/relationships/hyperlink" Target="imagenes/LAUNDRY_BY_DESIGN_121009858_DES_3.jpg" TargetMode="External" Id="rId2722"/><Relationship Type="http://schemas.openxmlformats.org/officeDocument/2006/relationships/hyperlink" Target="imagenes/LAUNDRY_BY_DESIGN_121009858_DES_1.jpg" TargetMode="External" Id="rId2723"/><Relationship Type="http://schemas.openxmlformats.org/officeDocument/2006/relationships/hyperlink" Target="imagenes/LAUNDRY_BY_DESIGN_121009858_DES_2.jpg" TargetMode="External" Id="rId2724"/><Relationship Type="http://schemas.openxmlformats.org/officeDocument/2006/relationships/hyperlink" Target="imagenes/LAUNDRY_BY_DESIGN_121009858_DES_3.jpg" TargetMode="External" Id="rId2725"/><Relationship Type="http://schemas.openxmlformats.org/officeDocument/2006/relationships/hyperlink" Target="imagenes/LAUNDRY_BY_DESIGN_121009858_DES_1.jpg" TargetMode="External" Id="rId2726"/><Relationship Type="http://schemas.openxmlformats.org/officeDocument/2006/relationships/hyperlink" Target="imagenes/LAUNDRY_BY_DESIGN_121009858_DES_2.jpg" TargetMode="External" Id="rId2727"/><Relationship Type="http://schemas.openxmlformats.org/officeDocument/2006/relationships/hyperlink" Target="imagenes/LAUNDRY_BY_DESIGN_121009858_DES_3.jpg" TargetMode="External" Id="rId2728"/><Relationship Type="http://schemas.openxmlformats.org/officeDocument/2006/relationships/hyperlink" Target="imagenes/LAUNDRY_BY_DESIGN_121009858_DES_1.jpg" TargetMode="External" Id="rId2729"/><Relationship Type="http://schemas.openxmlformats.org/officeDocument/2006/relationships/hyperlink" Target="imagenes/LAUNDRY_BY_DESIGN_121009858_DES_2.jpg" TargetMode="External" Id="rId2730"/><Relationship Type="http://schemas.openxmlformats.org/officeDocument/2006/relationships/hyperlink" Target="imagenes/LAUNDRY_BY_DESIGN_121009858_DES_3.jpg" TargetMode="External" Id="rId2731"/><Relationship Type="http://schemas.openxmlformats.org/officeDocument/2006/relationships/hyperlink" Target="imagenes/LAUNDRY_BY_DESIGN_121009858_DES_1.jpg" TargetMode="External" Id="rId2732"/><Relationship Type="http://schemas.openxmlformats.org/officeDocument/2006/relationships/hyperlink" Target="imagenes/LAUNDRY_BY_DESIGN_121009858_DES_2.jpg" TargetMode="External" Id="rId2733"/><Relationship Type="http://schemas.openxmlformats.org/officeDocument/2006/relationships/hyperlink" Target="imagenes/LAUNDRY_BY_DESIGN_121009858_DES_3.jpg" TargetMode="External" Id="rId2734"/><Relationship Type="http://schemas.openxmlformats.org/officeDocument/2006/relationships/hyperlink" Target="imagenes/LAUNDRY_BY_DESIGN_121009858_DES_1.jpg" TargetMode="External" Id="rId2735"/><Relationship Type="http://schemas.openxmlformats.org/officeDocument/2006/relationships/hyperlink" Target="imagenes/LAUNDRY_BY_DESIGN_121009858_DES_2.jpg" TargetMode="External" Id="rId2736"/><Relationship Type="http://schemas.openxmlformats.org/officeDocument/2006/relationships/hyperlink" Target="imagenes/LAUNDRY_BY_DESIGN_121009858_DES_3.jpg" TargetMode="External" Id="rId2737"/><Relationship Type="http://schemas.openxmlformats.org/officeDocument/2006/relationships/hyperlink" Target="imagenes/LAUNDRY_BY_DESIGN_121DAMAGE_ASD_1.jpg" TargetMode="External" Id="rId2738"/><Relationship Type="http://schemas.openxmlformats.org/officeDocument/2006/relationships/hyperlink" Target="imagenes/LAUNDRY_BY_DESIGN_121DAMAGE_ASD_2.jpg" TargetMode="External" Id="rId2739"/><Relationship Type="http://schemas.openxmlformats.org/officeDocument/2006/relationships/hyperlink" Target="imagenes/LAUNDRY_BY_DESIGN_121DAMAGE_ASD_3.jpg" TargetMode="External" Id="rId2740"/><Relationship Type="http://schemas.openxmlformats.org/officeDocument/2006/relationships/hyperlink" Target="imagenes/LAUNDRY_BY_DESIGN_T022120_PTR_1.jpg" TargetMode="External" Id="rId2741"/><Relationship Type="http://schemas.openxmlformats.org/officeDocument/2006/relationships/hyperlink" Target="imagenes/LAUNDRY_BY_DESIGN_T022120_PTR_2.jpg" TargetMode="External" Id="rId2742"/><Relationship Type="http://schemas.openxmlformats.org/officeDocument/2006/relationships/hyperlink" Target="imagenes/LAUNDRY_BY_DESIGN_T022120_PTR_3.jpg" TargetMode="External" Id="rId2743"/><Relationship Type="http://schemas.openxmlformats.org/officeDocument/2006/relationships/hyperlink" Target="imagenes/LAUNDRY_BY_DESIGN_T024456_BLK_1.jpg" TargetMode="External" Id="rId2744"/><Relationship Type="http://schemas.openxmlformats.org/officeDocument/2006/relationships/hyperlink" Target="imagenes/LAUNDRY_BY_DESIGN_T024456_BLK_2.jpg" TargetMode="External" Id="rId2745"/><Relationship Type="http://schemas.openxmlformats.org/officeDocument/2006/relationships/hyperlink" Target="imagenes/LAUNDRY_BY_DESIGN_T024456_BLK_3.jpg" TargetMode="External" Id="rId2746"/><Relationship Type="http://schemas.openxmlformats.org/officeDocument/2006/relationships/hyperlink" Target="imagenes/LAUNDRY_BY_DESIGN_T224210_BLK_1.jpg" TargetMode="External" Id="rId2747"/><Relationship Type="http://schemas.openxmlformats.org/officeDocument/2006/relationships/hyperlink" Target="imagenes/LAUNDRY_BY_DESIGN_T224210_BLK_2.jpg" TargetMode="External" Id="rId2748"/><Relationship Type="http://schemas.openxmlformats.org/officeDocument/2006/relationships/hyperlink" Target="imagenes/LAUNDRY_BY_DESIGN_T224210_BLK_3.jpg" TargetMode="External" Id="rId2749"/><Relationship Type="http://schemas.openxmlformats.org/officeDocument/2006/relationships/hyperlink" Target="imagenes/LAUNDRY_BY_DESIGN_T224210_BLK_1.jpg" TargetMode="External" Id="rId2750"/><Relationship Type="http://schemas.openxmlformats.org/officeDocument/2006/relationships/hyperlink" Target="imagenes/LAUNDRY_BY_DESIGN_T224210_BLK_2.jpg" TargetMode="External" Id="rId2751"/><Relationship Type="http://schemas.openxmlformats.org/officeDocument/2006/relationships/hyperlink" Target="imagenes/LAUNDRY_BY_DESIGN_T224210_BLK_3.jpg" TargetMode="External" Id="rId2752"/><Relationship Type="http://schemas.openxmlformats.org/officeDocument/2006/relationships/hyperlink" Target="imagenes/LAUNDRY_BY_DESIGN_T224210_CB1_1.jpg" TargetMode="External" Id="rId2753"/><Relationship Type="http://schemas.openxmlformats.org/officeDocument/2006/relationships/hyperlink" Target="imagenes/LAUNDRY_BY_DESIGN_T224210_CB1_2.jpg" TargetMode="External" Id="rId2754"/><Relationship Type="http://schemas.openxmlformats.org/officeDocument/2006/relationships/hyperlink" Target="imagenes/LAUNDRY_BY_DESIGN_T224210_CB1_3.jpg" TargetMode="External" Id="rId2755"/><Relationship Type="http://schemas.openxmlformats.org/officeDocument/2006/relationships/hyperlink" Target="imagenes/LAUNDRY_BY_DESIGN_T227654_BLK_1.jpg" TargetMode="External" Id="rId2756"/><Relationship Type="http://schemas.openxmlformats.org/officeDocument/2006/relationships/hyperlink" Target="imagenes/LAUNDRY_BY_DESIGN_T227654_BLK_2.jpg" TargetMode="External" Id="rId2757"/><Relationship Type="http://schemas.openxmlformats.org/officeDocument/2006/relationships/hyperlink" Target="imagenes/LAUNDRY_BY_DESIGN_T227654_BLK_3.jpg" TargetMode="External" Id="rId2758"/><Relationship Type="http://schemas.openxmlformats.org/officeDocument/2006/relationships/hyperlink" Target="imagenes/LAUNDRY_BY_DESIGN_T227679_BLK_1.jpg" TargetMode="External" Id="rId2759"/><Relationship Type="http://schemas.openxmlformats.org/officeDocument/2006/relationships/hyperlink" Target="imagenes/LAUNDRY_BY_DESIGN_T227679_BLK_2.jpg" TargetMode="External" Id="rId2760"/><Relationship Type="http://schemas.openxmlformats.org/officeDocument/2006/relationships/hyperlink" Target="imagenes/LAUNDRY_BY_DESIGN_T227679_BLK_3.jpg" TargetMode="External" Id="rId2761"/><Relationship Type="http://schemas.openxmlformats.org/officeDocument/2006/relationships/hyperlink" Target="imagenes/LAUNDRY_BY_DESIGN_T424456_BLK_1.jpg" TargetMode="External" Id="rId2762"/><Relationship Type="http://schemas.openxmlformats.org/officeDocument/2006/relationships/hyperlink" Target="imagenes/LAUNDRY_BY_DESIGN_T424456_BLK_2.jpg" TargetMode="External" Id="rId2763"/><Relationship Type="http://schemas.openxmlformats.org/officeDocument/2006/relationships/hyperlink" Target="imagenes/LAUNDRY_BY_DESIGN_T424456_BLK_3.jpg" TargetMode="External" Id="rId2764"/><Relationship Type="http://schemas.openxmlformats.org/officeDocument/2006/relationships/hyperlink" Target="imagenes/LAUNDRY_BY_DESIGN_T427690_AUB_1.jpg" TargetMode="External" Id="rId2765"/><Relationship Type="http://schemas.openxmlformats.org/officeDocument/2006/relationships/hyperlink" Target="imagenes/LAUNDRY_BY_DESIGN_T427690_AUB_2.jpg" TargetMode="External" Id="rId2766"/><Relationship Type="http://schemas.openxmlformats.org/officeDocument/2006/relationships/hyperlink" Target="imagenes/LAUNDRY_BY_DESIGN_T427690_AUB_3.jpg" TargetMode="External" Id="rId2767"/><Relationship Type="http://schemas.openxmlformats.org/officeDocument/2006/relationships/hyperlink" Target="imagenes/LAUNDRY_BY_DESIGN_T427690_BLK_1.jpg" TargetMode="External" Id="rId2768"/><Relationship Type="http://schemas.openxmlformats.org/officeDocument/2006/relationships/hyperlink" Target="imagenes/LAUNDRY_BY_DESIGN_T427690_BLK_2.jpg" TargetMode="External" Id="rId2769"/><Relationship Type="http://schemas.openxmlformats.org/officeDocument/2006/relationships/hyperlink" Target="imagenes/LAUNDRY_BY_DESIGN_T427690_BLK_3.jpg" TargetMode="External" Id="rId2770"/><Relationship Type="http://schemas.openxmlformats.org/officeDocument/2006/relationships/hyperlink" Target="imagenes/LAUNDRY_BY_DESIGN_T427690_BLK_1.jpg" TargetMode="External" Id="rId2771"/><Relationship Type="http://schemas.openxmlformats.org/officeDocument/2006/relationships/hyperlink" Target="imagenes/LAUNDRY_BY_DESIGN_T427690_BLK_2.jpg" TargetMode="External" Id="rId2772"/><Relationship Type="http://schemas.openxmlformats.org/officeDocument/2006/relationships/hyperlink" Target="imagenes/LAUNDRY_BY_DESIGN_T427690_BLK_3.jpg" TargetMode="External" Id="rId2773"/><Relationship Type="http://schemas.openxmlformats.org/officeDocument/2006/relationships/hyperlink" Target="imagenes/LAUNDRY_BY_DESIGN_T427690_FOR_1.jpg" TargetMode="External" Id="rId2774"/><Relationship Type="http://schemas.openxmlformats.org/officeDocument/2006/relationships/hyperlink" Target="imagenes/LAUNDRY_BY_DESIGN_T427690_FOR_2.jpg" TargetMode="External" Id="rId2775"/><Relationship Type="http://schemas.openxmlformats.org/officeDocument/2006/relationships/hyperlink" Target="imagenes/LAUNDRY_BY_DESIGN_T427690_FOR_3.jpg" TargetMode="External" Id="rId2776"/><Relationship Type="http://schemas.openxmlformats.org/officeDocument/2006/relationships/hyperlink" Target="imagenes/LAUNDRY_BY_DESIGN_T427690_NVY_1.jpg" TargetMode="External" Id="rId2777"/><Relationship Type="http://schemas.openxmlformats.org/officeDocument/2006/relationships/hyperlink" Target="imagenes/LAUNDRY_BY_DESIGN_T427690_NVY_2.jpg" TargetMode="External" Id="rId2778"/><Relationship Type="http://schemas.openxmlformats.org/officeDocument/2006/relationships/hyperlink" Target="imagenes/LAUNDRY_BY_DESIGN_T427690_NVY_3.jpg" TargetMode="External" Id="rId2779"/><Relationship Type="http://schemas.openxmlformats.org/officeDocument/2006/relationships/hyperlink" Target="imagenes/LAUNDRY_BY_DESIGN_T427697_BLK_1.jpg" TargetMode="External" Id="rId2780"/><Relationship Type="http://schemas.openxmlformats.org/officeDocument/2006/relationships/hyperlink" Target="imagenes/LAUNDRY_BY_DESIGN_T427697_BLK_2.jpg" TargetMode="External" Id="rId2781"/><Relationship Type="http://schemas.openxmlformats.org/officeDocument/2006/relationships/hyperlink" Target="imagenes/LAUNDRY_BY_DESIGN_T427697_BLK_3.jpg" TargetMode="External" Id="rId2782"/><Relationship Type="http://schemas.openxmlformats.org/officeDocument/2006/relationships/hyperlink" Target="imagenes/LAUNDRY_BY_DESIGN_T432133_PTR_1.jpg" TargetMode="External" Id="rId2783"/><Relationship Type="http://schemas.openxmlformats.org/officeDocument/2006/relationships/hyperlink" Target="imagenes/LAUNDRY_BY_DESIGN_T432133_PTR_2.jpg" TargetMode="External" Id="rId2784"/><Relationship Type="http://schemas.openxmlformats.org/officeDocument/2006/relationships/hyperlink" Target="imagenes/LAUNDRY_BY_DESIGN_T432133_PTR_3.jpg" TargetMode="External" Id="rId2785"/><Relationship Type="http://schemas.openxmlformats.org/officeDocument/2006/relationships/hyperlink" Target="imagenes/LAUNDRY_BY_DESIGN_T720472_SPA_2.jpg" TargetMode="External" Id="rId2786"/><Relationship Type="http://schemas.openxmlformats.org/officeDocument/2006/relationships/hyperlink" Target="imagenes/LAUNDRY_BY_DESIGN_T720472_SPA_3.jpg" TargetMode="External" Id="rId2787"/><Relationship Type="http://schemas.openxmlformats.org/officeDocument/2006/relationships/hyperlink" Target="imagenes/LAUNDRY_BY_DESIGN_T720594_CFG_1.jpg" TargetMode="External" Id="rId2788"/><Relationship Type="http://schemas.openxmlformats.org/officeDocument/2006/relationships/hyperlink" Target="imagenes/LAUNDRY_BY_DESIGN_T720594_CFG_2.jpg" TargetMode="External" Id="rId2789"/><Relationship Type="http://schemas.openxmlformats.org/officeDocument/2006/relationships/hyperlink" Target="imagenes/LAUNDRY_BY_DESIGN_T720594_CFG_3.jpg" TargetMode="External" Id="rId2790"/><Relationship Type="http://schemas.openxmlformats.org/officeDocument/2006/relationships/hyperlink" Target="imagenes/LAUNDRY_BY_DESIGN_T720594_CFG_1.jpg" TargetMode="External" Id="rId2791"/><Relationship Type="http://schemas.openxmlformats.org/officeDocument/2006/relationships/hyperlink" Target="imagenes/LAUNDRY_BY_DESIGN_T720594_CFG_2.jpg" TargetMode="External" Id="rId2792"/><Relationship Type="http://schemas.openxmlformats.org/officeDocument/2006/relationships/hyperlink" Target="imagenes/LAUNDRY_BY_DESIGN_T720594_CFG_3.jpg" TargetMode="External" Id="rId2793"/><Relationship Type="http://schemas.openxmlformats.org/officeDocument/2006/relationships/hyperlink" Target="imagenes/LAUNDRY_BY_DESIGN_T724860_BA7_1.jpg" TargetMode="External" Id="rId2794"/><Relationship Type="http://schemas.openxmlformats.org/officeDocument/2006/relationships/hyperlink" Target="imagenes/LAUNDRY_BY_DESIGN_T724860_BA7_2.jpg" TargetMode="External" Id="rId2795"/><Relationship Type="http://schemas.openxmlformats.org/officeDocument/2006/relationships/hyperlink" Target="imagenes/LAUNDRY_BY_DESIGN_T724860_BA7_3.jpg" TargetMode="External" Id="rId2796"/><Relationship Type="http://schemas.openxmlformats.org/officeDocument/2006/relationships/hyperlink" Target="imagenes/LAUNDRY_BY_DESIGN_T724860_BA7_1.jpg" TargetMode="External" Id="rId2797"/><Relationship Type="http://schemas.openxmlformats.org/officeDocument/2006/relationships/hyperlink" Target="imagenes/LAUNDRY_BY_DESIGN_T724860_BA7_2.jpg" TargetMode="External" Id="rId2798"/><Relationship Type="http://schemas.openxmlformats.org/officeDocument/2006/relationships/hyperlink" Target="imagenes/LAUNDRY_BY_DESIGN_T724860_BA7_3.jpg" TargetMode="External" Id="rId2799"/><Relationship Type="http://schemas.openxmlformats.org/officeDocument/2006/relationships/hyperlink" Target="imagenes/LAUNDRY_BY_DESIGN_T724860_BA7_1.jpg" TargetMode="External" Id="rId2800"/><Relationship Type="http://schemas.openxmlformats.org/officeDocument/2006/relationships/hyperlink" Target="imagenes/LAUNDRY_BY_DESIGN_T724860_BA7_2.jpg" TargetMode="External" Id="rId2801"/><Relationship Type="http://schemas.openxmlformats.org/officeDocument/2006/relationships/hyperlink" Target="imagenes/LAUNDRY_BY_DESIGN_T724860_BA7_3.jpg" TargetMode="External" Id="rId2802"/><Relationship Type="http://schemas.openxmlformats.org/officeDocument/2006/relationships/hyperlink" Target="imagenes/LAUNDRY_BY_DESIGN_T724860_BA7_1.jpg" TargetMode="External" Id="rId2803"/><Relationship Type="http://schemas.openxmlformats.org/officeDocument/2006/relationships/hyperlink" Target="imagenes/LAUNDRY_BY_DESIGN_T724860_BA7_2.jpg" TargetMode="External" Id="rId2804"/><Relationship Type="http://schemas.openxmlformats.org/officeDocument/2006/relationships/hyperlink" Target="imagenes/LAUNDRY_BY_DESIGN_T724860_BA7_3.jpg" TargetMode="External" Id="rId2805"/><Relationship Type="http://schemas.openxmlformats.org/officeDocument/2006/relationships/hyperlink" Target="imagenes/LAUNDRY_BY_DESIGN_T724860_BA7_1.jpg" TargetMode="External" Id="rId2806"/><Relationship Type="http://schemas.openxmlformats.org/officeDocument/2006/relationships/hyperlink" Target="imagenes/LAUNDRY_BY_DESIGN_T724860_BA7_2.jpg" TargetMode="External" Id="rId2807"/><Relationship Type="http://schemas.openxmlformats.org/officeDocument/2006/relationships/hyperlink" Target="imagenes/LAUNDRY_BY_DESIGN_T724860_BA7_3.jpg" TargetMode="External" Id="rId2808"/><Relationship Type="http://schemas.openxmlformats.org/officeDocument/2006/relationships/hyperlink" Target="imagenes/LAUNDRY_BY_DESIGN_T812185_MGN_1.jpg" TargetMode="External" Id="rId2809"/><Relationship Type="http://schemas.openxmlformats.org/officeDocument/2006/relationships/hyperlink" Target="imagenes/LAUNDRY_BY_DESIGN_T812185_MGN_2.jpg" TargetMode="External" Id="rId2810"/><Relationship Type="http://schemas.openxmlformats.org/officeDocument/2006/relationships/hyperlink" Target="imagenes/LAUNDRY_BY_DESIGN_T812185_MGN_3.jpg" TargetMode="External" Id="rId2811"/><Relationship Type="http://schemas.openxmlformats.org/officeDocument/2006/relationships/hyperlink" Target="imagenes/LAUNDRY_BY_DESIGN_T812185_MGN_1.jpg" TargetMode="External" Id="rId2812"/><Relationship Type="http://schemas.openxmlformats.org/officeDocument/2006/relationships/hyperlink" Target="imagenes/LAUNDRY_BY_DESIGN_T812185_MGN_2.jpg" TargetMode="External" Id="rId2813"/><Relationship Type="http://schemas.openxmlformats.org/officeDocument/2006/relationships/hyperlink" Target="imagenes/LAUNDRY_BY_DESIGN_T812185_MGN_3.jpg" TargetMode="External" Id="rId2814"/><Relationship Type="http://schemas.openxmlformats.org/officeDocument/2006/relationships/hyperlink" Target="imagenes/LAUNDRY_BY_DESIGN_T825090_LUS_1.jpg" TargetMode="External" Id="rId2815"/><Relationship Type="http://schemas.openxmlformats.org/officeDocument/2006/relationships/hyperlink" Target="imagenes/LAUNDRY_BY_DESIGN_T825090_LUS_2.jpg" TargetMode="External" Id="rId2816"/><Relationship Type="http://schemas.openxmlformats.org/officeDocument/2006/relationships/hyperlink" Target="imagenes/LAUNDRY_BY_DESIGN_T825090_LUS_3.jpg" TargetMode="External" Id="rId2817"/><Relationship Type="http://schemas.openxmlformats.org/officeDocument/2006/relationships/hyperlink" Target="imagenes/LAUNDRY_BY_DESIGN_T827690_LCL_1.jpg" TargetMode="External" Id="rId2818"/><Relationship Type="http://schemas.openxmlformats.org/officeDocument/2006/relationships/hyperlink" Target="imagenes/LAUNDRY_BY_DESIGN_T827690_LCL_2.jpg" TargetMode="External" Id="rId2819"/><Relationship Type="http://schemas.openxmlformats.org/officeDocument/2006/relationships/hyperlink" Target="imagenes/LAUNDRY_BY_DESIGN_T827690_LCL_3.jpg" TargetMode="External" Id="rId2820"/><Relationship Type="http://schemas.openxmlformats.org/officeDocument/2006/relationships/hyperlink" Target="imagenes/LAUNDRY_BY_DESIGN_T827690_LCL_1.jpg" TargetMode="External" Id="rId2821"/><Relationship Type="http://schemas.openxmlformats.org/officeDocument/2006/relationships/hyperlink" Target="imagenes/LAUNDRY_BY_DESIGN_T827690_LCL_2.jpg" TargetMode="External" Id="rId2822"/><Relationship Type="http://schemas.openxmlformats.org/officeDocument/2006/relationships/hyperlink" Target="imagenes/LAUNDRY_BY_DESIGN_T827690_LCL_3.jpg" TargetMode="External" Id="rId2823"/><Relationship Type="http://schemas.openxmlformats.org/officeDocument/2006/relationships/hyperlink" Target="imagenes/LAUNDRY_BY_DESIGN_T829590_FNC_1.jpg" TargetMode="External" Id="rId2824"/><Relationship Type="http://schemas.openxmlformats.org/officeDocument/2006/relationships/hyperlink" Target="imagenes/LAUNDRY_BY_DESIGN_T829590_FNC_2.jpg" TargetMode="External" Id="rId2825"/><Relationship Type="http://schemas.openxmlformats.org/officeDocument/2006/relationships/hyperlink" Target="imagenes/LAUNDRY_BY_DESIGN_T829590_FNC_3.jpg" TargetMode="External" Id="rId2826"/><Relationship Type="http://schemas.openxmlformats.org/officeDocument/2006/relationships/hyperlink" Target="imagenes/LAUNDRY_BY_DESIGN_T829991_SLA_1.jpg" TargetMode="External" Id="rId2827"/><Relationship Type="http://schemas.openxmlformats.org/officeDocument/2006/relationships/hyperlink" Target="imagenes/LAUNDRY_BY_DESIGN_T829991_SLA_2.jpg" TargetMode="External" Id="rId2828"/><Relationship Type="http://schemas.openxmlformats.org/officeDocument/2006/relationships/hyperlink" Target="imagenes/LAUNDRY_BY_DESIGN_T829991_SLA_3.jpg" TargetMode="External" Id="rId2829"/><Relationship Type="http://schemas.openxmlformats.org/officeDocument/2006/relationships/hyperlink" Target="imagenes/LAUNDRY_BY_DESIGN_T829991_SLA_1.jpg" TargetMode="External" Id="rId2830"/><Relationship Type="http://schemas.openxmlformats.org/officeDocument/2006/relationships/hyperlink" Target="imagenes/LAUNDRY_BY_DESIGN_T829991_SLA_2.jpg" TargetMode="External" Id="rId2831"/><Relationship Type="http://schemas.openxmlformats.org/officeDocument/2006/relationships/hyperlink" Target="imagenes/LAUNDRY_BY_DESIGN_T829991_SLA_3.jpg" TargetMode="External" Id="rId2832"/><Relationship Type="http://schemas.openxmlformats.org/officeDocument/2006/relationships/hyperlink" Target="imagenes/LAUNDRY_BY_DESIGN_T829991_SLA_1.jpg" TargetMode="External" Id="rId2833"/><Relationship Type="http://schemas.openxmlformats.org/officeDocument/2006/relationships/hyperlink" Target="imagenes/LAUNDRY_BY_DESIGN_T829991_SLA_2.jpg" TargetMode="External" Id="rId2834"/><Relationship Type="http://schemas.openxmlformats.org/officeDocument/2006/relationships/hyperlink" Target="imagenes/LAUNDRY_BY_DESIGN_T829991_SLA_3.jpg" TargetMode="External" Id="rId2835"/><Relationship Type="http://schemas.openxmlformats.org/officeDocument/2006/relationships/hyperlink" Target="imagenes/LAUNDRY_BY_DESIGN_T829991_SLA_1.jpg" TargetMode="External" Id="rId2836"/><Relationship Type="http://schemas.openxmlformats.org/officeDocument/2006/relationships/hyperlink" Target="imagenes/LAUNDRY_BY_DESIGN_T829991_SLA_2.jpg" TargetMode="External" Id="rId2837"/><Relationship Type="http://schemas.openxmlformats.org/officeDocument/2006/relationships/hyperlink" Target="imagenes/LAUNDRY_BY_DESIGN_T829991_SLA_3.jpg" TargetMode="External" Id="rId2838"/><Relationship Type="http://schemas.openxmlformats.org/officeDocument/2006/relationships/hyperlink" Target="imagenes/LAUNDRY_BY_DESIGN_T829991_SLA_1.jpg" TargetMode="External" Id="rId2839"/><Relationship Type="http://schemas.openxmlformats.org/officeDocument/2006/relationships/hyperlink" Target="imagenes/LAUNDRY_BY_DESIGN_T829991_SLA_2.jpg" TargetMode="External" Id="rId2840"/><Relationship Type="http://schemas.openxmlformats.org/officeDocument/2006/relationships/hyperlink" Target="imagenes/LAUNDRY_BY_DESIGN_T829991_SLA_3.jpg" TargetMode="External" Id="rId2841"/><Relationship Type="http://schemas.openxmlformats.org/officeDocument/2006/relationships/hyperlink" Target="imagenes/NAUTICA_CLASSICS_117000481_BLK_1.jpg" TargetMode="External" Id="rId2842"/><Relationship Type="http://schemas.openxmlformats.org/officeDocument/2006/relationships/hyperlink" Target="imagenes/NAUTICA_CLASSICS_117000481_BLK_2.jpg" TargetMode="External" Id="rId2843"/><Relationship Type="http://schemas.openxmlformats.org/officeDocument/2006/relationships/hyperlink" Target="imagenes/NAUTICA_CLASSICS_117000481_BLK_3.jpg" TargetMode="External" Id="rId2844"/><Relationship Type="http://schemas.openxmlformats.org/officeDocument/2006/relationships/hyperlink" Target="imagenes/NAUTICA_CLASSICS_117000481_BLK_1.jpg" TargetMode="External" Id="rId2845"/><Relationship Type="http://schemas.openxmlformats.org/officeDocument/2006/relationships/hyperlink" Target="imagenes/NAUTICA_CLASSICS_117000481_BLK_2.jpg" TargetMode="External" Id="rId2846"/><Relationship Type="http://schemas.openxmlformats.org/officeDocument/2006/relationships/hyperlink" Target="imagenes/NAUTICA_CLASSICS_117000481_BLK_3.jpg" TargetMode="External" Id="rId2847"/><Relationship Type="http://schemas.openxmlformats.org/officeDocument/2006/relationships/hyperlink" Target="imagenes/NAUTICA_CLASSICS_117000481_NSS_1.jpg" TargetMode="External" Id="rId2848"/><Relationship Type="http://schemas.openxmlformats.org/officeDocument/2006/relationships/hyperlink" Target="imagenes/NAUTICA_CLASSICS_117000481_NSS_2.jpg" TargetMode="External" Id="rId2849"/><Relationship Type="http://schemas.openxmlformats.org/officeDocument/2006/relationships/hyperlink" Target="imagenes/NAUTICA_CLASSICS_117000481_NSS_3.jpg" TargetMode="External" Id="rId2850"/><Relationship Type="http://schemas.openxmlformats.org/officeDocument/2006/relationships/hyperlink" Target="imagenes/NAUTICA_CLASSICS_117000481_NSS_1.jpg" TargetMode="External" Id="rId2851"/><Relationship Type="http://schemas.openxmlformats.org/officeDocument/2006/relationships/hyperlink" Target="imagenes/NAUTICA_CLASSICS_117000481_NSS_2.jpg" TargetMode="External" Id="rId2852"/><Relationship Type="http://schemas.openxmlformats.org/officeDocument/2006/relationships/hyperlink" Target="imagenes/NAUTICA_CLASSICS_117000481_NSS_3.jpg" TargetMode="External" Id="rId2853"/><Relationship Type="http://schemas.openxmlformats.org/officeDocument/2006/relationships/hyperlink" Target="imagenes/NAUTICA_CLASSICS_117000481_NSS_1.jpg" TargetMode="External" Id="rId2854"/><Relationship Type="http://schemas.openxmlformats.org/officeDocument/2006/relationships/hyperlink" Target="imagenes/NAUTICA_CLASSICS_117000481_NSS_2.jpg" TargetMode="External" Id="rId2855"/><Relationship Type="http://schemas.openxmlformats.org/officeDocument/2006/relationships/hyperlink" Target="imagenes/NAUTICA_CLASSICS_117000481_NSS_3.jpg" TargetMode="External" Id="rId2856"/><Relationship Type="http://schemas.openxmlformats.org/officeDocument/2006/relationships/hyperlink" Target="imagenes/NAUTICA_CLASSICS_117000481_NSS_1.jpg" TargetMode="External" Id="rId2857"/><Relationship Type="http://schemas.openxmlformats.org/officeDocument/2006/relationships/hyperlink" Target="imagenes/NAUTICA_CLASSICS_117000481_NSS_2.jpg" TargetMode="External" Id="rId2858"/><Relationship Type="http://schemas.openxmlformats.org/officeDocument/2006/relationships/hyperlink" Target="imagenes/NAUTICA_CLASSICS_117000481_NSS_3.jpg" TargetMode="External" Id="rId2859"/><Relationship Type="http://schemas.openxmlformats.org/officeDocument/2006/relationships/hyperlink" Target="imagenes/NAUTICA_CLASSICS_117000481_NSS_1.jpg" TargetMode="External" Id="rId2860"/><Relationship Type="http://schemas.openxmlformats.org/officeDocument/2006/relationships/hyperlink" Target="imagenes/NAUTICA_CLASSICS_117000481_NSS_2.jpg" TargetMode="External" Id="rId2861"/><Relationship Type="http://schemas.openxmlformats.org/officeDocument/2006/relationships/hyperlink" Target="imagenes/NAUTICA_CLASSICS_117000481_NSS_3.jpg" TargetMode="External" Id="rId2862"/><Relationship Type="http://schemas.openxmlformats.org/officeDocument/2006/relationships/hyperlink" Target="imagenes/NAUTICA_CLASSICS_117000482_BLK_1.jpg" TargetMode="External" Id="rId2863"/><Relationship Type="http://schemas.openxmlformats.org/officeDocument/2006/relationships/hyperlink" Target="imagenes/NAUTICA_CLASSICS_117000482_BLK_2.jpg" TargetMode="External" Id="rId2864"/><Relationship Type="http://schemas.openxmlformats.org/officeDocument/2006/relationships/hyperlink" Target="imagenes/NAUTICA_CLASSICS_117000482_BLK_3.jpg" TargetMode="External" Id="rId2865"/><Relationship Type="http://schemas.openxmlformats.org/officeDocument/2006/relationships/hyperlink" Target="imagenes/NAUTICA_CLASSICS_117000488_C2B_1.jpg" TargetMode="External" Id="rId2866"/><Relationship Type="http://schemas.openxmlformats.org/officeDocument/2006/relationships/hyperlink" Target="imagenes/NAUTICA_CLASSICS_117000488_C2B_2.jpg" TargetMode="External" Id="rId2867"/><Relationship Type="http://schemas.openxmlformats.org/officeDocument/2006/relationships/hyperlink" Target="imagenes/NAUTICA_CLASSICS_117000488_C2B_3.jpg" TargetMode="External" Id="rId2868"/><Relationship Type="http://schemas.openxmlformats.org/officeDocument/2006/relationships/hyperlink" Target="imagenes/NAUTICA_CLASSICS_117000488_LMS_1.jpg" TargetMode="External" Id="rId2869"/><Relationship Type="http://schemas.openxmlformats.org/officeDocument/2006/relationships/hyperlink" Target="imagenes/NAUTICA_CLASSICS_117000488_LMS_2.jpg" TargetMode="External" Id="rId2870"/><Relationship Type="http://schemas.openxmlformats.org/officeDocument/2006/relationships/hyperlink" Target="imagenes/NAUTICA_CLASSICS_117000488_LMS_3.jpg" TargetMode="External" Id="rId2871"/><Relationship Type="http://schemas.openxmlformats.org/officeDocument/2006/relationships/hyperlink" Target="imagenes/NAUTICA_CLASSICS_117000489_AYB_1.jpg" TargetMode="External" Id="rId2872"/><Relationship Type="http://schemas.openxmlformats.org/officeDocument/2006/relationships/hyperlink" Target="imagenes/NAUTICA_CLASSICS_117000489_AYB_2.jpg" TargetMode="External" Id="rId2873"/><Relationship Type="http://schemas.openxmlformats.org/officeDocument/2006/relationships/hyperlink" Target="imagenes/NAUTICA_CLASSICS_117000489_AYB_3.jpg" TargetMode="External" Id="rId2874"/><Relationship Type="http://schemas.openxmlformats.org/officeDocument/2006/relationships/hyperlink" Target="imagenes/NAUTICA_CLASSICS_117000489_VDE_1.jpg" TargetMode="External" Id="rId2875"/><Relationship Type="http://schemas.openxmlformats.org/officeDocument/2006/relationships/hyperlink" Target="imagenes/NAUTICA_CLASSICS_117000489_VDE_2.jpg" TargetMode="External" Id="rId2876"/><Relationship Type="http://schemas.openxmlformats.org/officeDocument/2006/relationships/hyperlink" Target="imagenes/NAUTICA_CLASSICS_117000489_VDE_3.jpg" TargetMode="External" Id="rId2877"/><Relationship Type="http://schemas.openxmlformats.org/officeDocument/2006/relationships/hyperlink" Target="imagenes/NAUTICA_CLASSICS_117000490_BLK_1.jpg" TargetMode="External" Id="rId2878"/><Relationship Type="http://schemas.openxmlformats.org/officeDocument/2006/relationships/hyperlink" Target="imagenes/NAUTICA_CLASSICS_117000490_BLK_2.jpg" TargetMode="External" Id="rId2879"/><Relationship Type="http://schemas.openxmlformats.org/officeDocument/2006/relationships/hyperlink" Target="imagenes/NAUTICA_CLASSICS_117000490_BLK_3.jpg" TargetMode="External" Id="rId2880"/><Relationship Type="http://schemas.openxmlformats.org/officeDocument/2006/relationships/hyperlink" Target="imagenes/NAUTICA_CLASSICS_117000492_BLK_1.jpg" TargetMode="External" Id="rId2881"/><Relationship Type="http://schemas.openxmlformats.org/officeDocument/2006/relationships/hyperlink" Target="imagenes/NAUTICA_CLASSICS_117000492_BLK_2.jpg" TargetMode="External" Id="rId2882"/><Relationship Type="http://schemas.openxmlformats.org/officeDocument/2006/relationships/hyperlink" Target="imagenes/NAUTICA_CLASSICS_117000492_BLK_3.jpg" TargetMode="External" Id="rId2883"/><Relationship Type="http://schemas.openxmlformats.org/officeDocument/2006/relationships/hyperlink" Target="imagenes/NAUTICA_CLASSICS_117000492_NAR_1.jpg" TargetMode="External" Id="rId2884"/><Relationship Type="http://schemas.openxmlformats.org/officeDocument/2006/relationships/hyperlink" Target="imagenes/NAUTICA_CLASSICS_117000492_NAR_2.jpg" TargetMode="External" Id="rId2885"/><Relationship Type="http://schemas.openxmlformats.org/officeDocument/2006/relationships/hyperlink" Target="imagenes/NAUTICA_CLASSICS_117000492_NAR_3.jpg" TargetMode="External" Id="rId2886"/><Relationship Type="http://schemas.openxmlformats.org/officeDocument/2006/relationships/hyperlink" Target="imagenes/NAUTICA_CLASSICS_117000492_NAR_1.jpg" TargetMode="External" Id="rId2887"/><Relationship Type="http://schemas.openxmlformats.org/officeDocument/2006/relationships/hyperlink" Target="imagenes/NAUTICA_CLASSICS_117000492_NAR_2.jpg" TargetMode="External" Id="rId2888"/><Relationship Type="http://schemas.openxmlformats.org/officeDocument/2006/relationships/hyperlink" Target="imagenes/NAUTICA_CLASSICS_117000492_NAR_3.jpg" TargetMode="External" Id="rId2889"/><Relationship Type="http://schemas.openxmlformats.org/officeDocument/2006/relationships/hyperlink" Target="imagenes/NAUTICA_CLASSICS_117000492_SPQ_1.jpg" TargetMode="External" Id="rId2890"/><Relationship Type="http://schemas.openxmlformats.org/officeDocument/2006/relationships/hyperlink" Target="imagenes/NAUTICA_CLASSICS_117000492_SPQ_2.jpg" TargetMode="External" Id="rId2891"/><Relationship Type="http://schemas.openxmlformats.org/officeDocument/2006/relationships/hyperlink" Target="imagenes/NAUTICA_CLASSICS_117000492_SPQ_3.jpg" TargetMode="External" Id="rId2892"/><Relationship Type="http://schemas.openxmlformats.org/officeDocument/2006/relationships/hyperlink" Target="imagenes/NAUTICA_CLASSICS_117000492_SPQ_1.jpg" TargetMode="External" Id="rId2893"/><Relationship Type="http://schemas.openxmlformats.org/officeDocument/2006/relationships/hyperlink" Target="imagenes/NAUTICA_CLASSICS_117000492_SPQ_2.jpg" TargetMode="External" Id="rId2894"/><Relationship Type="http://schemas.openxmlformats.org/officeDocument/2006/relationships/hyperlink" Target="imagenes/NAUTICA_CLASSICS_117000492_SPQ_3.jpg" TargetMode="External" Id="rId2895"/><Relationship Type="http://schemas.openxmlformats.org/officeDocument/2006/relationships/hyperlink" Target="imagenes/NAUTICA_CLASSICS_117000492_SPQ_1.jpg" TargetMode="External" Id="rId2896"/><Relationship Type="http://schemas.openxmlformats.org/officeDocument/2006/relationships/hyperlink" Target="imagenes/NAUTICA_CLASSICS_117000492_SPQ_2.jpg" TargetMode="External" Id="rId2897"/><Relationship Type="http://schemas.openxmlformats.org/officeDocument/2006/relationships/hyperlink" Target="imagenes/NAUTICA_CLASSICS_117000492_SPQ_3.jpg" TargetMode="External" Id="rId2898"/><Relationship Type="http://schemas.openxmlformats.org/officeDocument/2006/relationships/hyperlink" Target="imagenes/NAUTICA_CLASSICS_117000492_SPQ_1.jpg" TargetMode="External" Id="rId2899"/><Relationship Type="http://schemas.openxmlformats.org/officeDocument/2006/relationships/hyperlink" Target="imagenes/NAUTICA_CLASSICS_117000492_SPQ_2.jpg" TargetMode="External" Id="rId2900"/><Relationship Type="http://schemas.openxmlformats.org/officeDocument/2006/relationships/hyperlink" Target="imagenes/NAUTICA_CLASSICS_117000492_SPQ_3.jpg" TargetMode="External" Id="rId2901"/><Relationship Type="http://schemas.openxmlformats.org/officeDocument/2006/relationships/hyperlink" Target="imagenes/NAUTICA_CLASSICS_117000673_1111_1.jpg" TargetMode="External" Id="rId2902"/><Relationship Type="http://schemas.openxmlformats.org/officeDocument/2006/relationships/hyperlink" Target="imagenes/NAUTICA_CLASSICS_117000673_1111_2.jpg" TargetMode="External" Id="rId2903"/><Relationship Type="http://schemas.openxmlformats.org/officeDocument/2006/relationships/hyperlink" Target="imagenes/NAUTICA_CLASSICS_117000673_1111_3.jpg" TargetMode="External" Id="rId2904"/><Relationship Type="http://schemas.openxmlformats.org/officeDocument/2006/relationships/hyperlink" Target="imagenes/NAUTICA_CLASSICS_117000673_AYB_1.jpg" TargetMode="External" Id="rId2905"/><Relationship Type="http://schemas.openxmlformats.org/officeDocument/2006/relationships/hyperlink" Target="imagenes/NAUTICA_CLASSICS_117000673_AYB_2.jpg" TargetMode="External" Id="rId2906"/><Relationship Type="http://schemas.openxmlformats.org/officeDocument/2006/relationships/hyperlink" Target="imagenes/NAUTICA_CLASSICS_117000673_AYB_3.jpg" TargetMode="External" Id="rId2907"/><Relationship Type="http://schemas.openxmlformats.org/officeDocument/2006/relationships/hyperlink" Target="imagenes/NAUTICA_CLASSICS_117000673_AYB_1.jpg" TargetMode="External" Id="rId2908"/><Relationship Type="http://schemas.openxmlformats.org/officeDocument/2006/relationships/hyperlink" Target="imagenes/NAUTICA_CLASSICS_117000673_AYB_2.jpg" TargetMode="External" Id="rId2909"/><Relationship Type="http://schemas.openxmlformats.org/officeDocument/2006/relationships/hyperlink" Target="imagenes/NAUTICA_CLASSICS_117000673_AYB_3.jpg" TargetMode="External" Id="rId2910"/><Relationship Type="http://schemas.openxmlformats.org/officeDocument/2006/relationships/hyperlink" Target="imagenes/NAUTICA_CLASSICS_117000673_AYB_1.jpg" TargetMode="External" Id="rId2911"/><Relationship Type="http://schemas.openxmlformats.org/officeDocument/2006/relationships/hyperlink" Target="imagenes/NAUTICA_CLASSICS_117000673_AYB_2.jpg" TargetMode="External" Id="rId2912"/><Relationship Type="http://schemas.openxmlformats.org/officeDocument/2006/relationships/hyperlink" Target="imagenes/NAUTICA_CLASSICS_117000673_AYB_3.jpg" TargetMode="External" Id="rId2913"/><Relationship Type="http://schemas.openxmlformats.org/officeDocument/2006/relationships/hyperlink" Target="imagenes/NAUTICA_CLASSICS_117000673_AYB_1.jpg" TargetMode="External" Id="rId2914"/><Relationship Type="http://schemas.openxmlformats.org/officeDocument/2006/relationships/hyperlink" Target="imagenes/NAUTICA_CLASSICS_117000673_AYB_2.jpg" TargetMode="External" Id="rId2915"/><Relationship Type="http://schemas.openxmlformats.org/officeDocument/2006/relationships/hyperlink" Target="imagenes/NAUTICA_CLASSICS_117000673_AYB_3.jpg" TargetMode="External" Id="rId2916"/><Relationship Type="http://schemas.openxmlformats.org/officeDocument/2006/relationships/hyperlink" Target="imagenes/NAUTICA_CLASSICS_117000673_BLK_1.jpg" TargetMode="External" Id="rId2917"/><Relationship Type="http://schemas.openxmlformats.org/officeDocument/2006/relationships/hyperlink" Target="imagenes/NAUTICA_CLASSICS_117000673_BLK_2.jpg" TargetMode="External" Id="rId2918"/><Relationship Type="http://schemas.openxmlformats.org/officeDocument/2006/relationships/hyperlink" Target="imagenes/NAUTICA_CLASSICS_117000673_BLK_3.jpg" TargetMode="External" Id="rId2919"/><Relationship Type="http://schemas.openxmlformats.org/officeDocument/2006/relationships/hyperlink" Target="imagenes/NAUTICA_CLASSICS_117000673_BLK_1.jpg" TargetMode="External" Id="rId2920"/><Relationship Type="http://schemas.openxmlformats.org/officeDocument/2006/relationships/hyperlink" Target="imagenes/NAUTICA_CLASSICS_117000673_BLK_2.jpg" TargetMode="External" Id="rId2921"/><Relationship Type="http://schemas.openxmlformats.org/officeDocument/2006/relationships/hyperlink" Target="imagenes/NAUTICA_CLASSICS_117000673_BLK_3.jpg" TargetMode="External" Id="rId2922"/><Relationship Type="http://schemas.openxmlformats.org/officeDocument/2006/relationships/hyperlink" Target="imagenes/NAUTICA_CLASSICS_117000673_BLK_1.jpg" TargetMode="External" Id="rId2923"/><Relationship Type="http://schemas.openxmlformats.org/officeDocument/2006/relationships/hyperlink" Target="imagenes/NAUTICA_CLASSICS_117000673_BLK_2.jpg" TargetMode="External" Id="rId2924"/><Relationship Type="http://schemas.openxmlformats.org/officeDocument/2006/relationships/hyperlink" Target="imagenes/NAUTICA_CLASSICS_117000673_BLK_3.jpg" TargetMode="External" Id="rId2925"/><Relationship Type="http://schemas.openxmlformats.org/officeDocument/2006/relationships/hyperlink" Target="imagenes/NAUTICA_CLASSICS_117000673_NSS_1.jpg" TargetMode="External" Id="rId2926"/><Relationship Type="http://schemas.openxmlformats.org/officeDocument/2006/relationships/hyperlink" Target="imagenes/NAUTICA_CLASSICS_117000673_NSS_2.jpg" TargetMode="External" Id="rId2927"/><Relationship Type="http://schemas.openxmlformats.org/officeDocument/2006/relationships/hyperlink" Target="imagenes/NAUTICA_CLASSICS_117000673_NSS_3.jpg" TargetMode="External" Id="rId2928"/><Relationship Type="http://schemas.openxmlformats.org/officeDocument/2006/relationships/hyperlink" Target="imagenes/NAUTICA_CLASSICS_117000673_SAG_1.jpg" TargetMode="External" Id="rId2929"/><Relationship Type="http://schemas.openxmlformats.org/officeDocument/2006/relationships/hyperlink" Target="imagenes/NAUTICA_CLASSICS_117000673_SAG_2.jpg" TargetMode="External" Id="rId2930"/><Relationship Type="http://schemas.openxmlformats.org/officeDocument/2006/relationships/hyperlink" Target="imagenes/NAUTICA_CLASSICS_117000673_SAG_3.jpg" TargetMode="External" Id="rId2931"/><Relationship Type="http://schemas.openxmlformats.org/officeDocument/2006/relationships/hyperlink" Target="imagenes/NAUTICA_CLASSICS_117000679_BLK_1.jpg" TargetMode="External" Id="rId2932"/><Relationship Type="http://schemas.openxmlformats.org/officeDocument/2006/relationships/hyperlink" Target="imagenes/NAUTICA_CLASSICS_117000679_BLK_2.jpg" TargetMode="External" Id="rId2933"/><Relationship Type="http://schemas.openxmlformats.org/officeDocument/2006/relationships/hyperlink" Target="imagenes/NAUTICA_CLASSICS_117000679_BLK_3.jpg" TargetMode="External" Id="rId2934"/><Relationship Type="http://schemas.openxmlformats.org/officeDocument/2006/relationships/hyperlink" Target="imagenes/NAUTICA_CLASSICS_117000679_BLK_1.jpg" TargetMode="External" Id="rId2935"/><Relationship Type="http://schemas.openxmlformats.org/officeDocument/2006/relationships/hyperlink" Target="imagenes/NAUTICA_CLASSICS_117000679_BLK_2.jpg" TargetMode="External" Id="rId2936"/><Relationship Type="http://schemas.openxmlformats.org/officeDocument/2006/relationships/hyperlink" Target="imagenes/NAUTICA_CLASSICS_117000679_BLK_3.jpg" TargetMode="External" Id="rId2937"/><Relationship Type="http://schemas.openxmlformats.org/officeDocument/2006/relationships/hyperlink" Target="imagenes/NAUTICA_CLASSICS_117000679_BLK_1.jpg" TargetMode="External" Id="rId2938"/><Relationship Type="http://schemas.openxmlformats.org/officeDocument/2006/relationships/hyperlink" Target="imagenes/NAUTICA_CLASSICS_117000679_BLK_2.jpg" TargetMode="External" Id="rId2939"/><Relationship Type="http://schemas.openxmlformats.org/officeDocument/2006/relationships/hyperlink" Target="imagenes/NAUTICA_CLASSICS_117000679_BLK_3.jpg" TargetMode="External" Id="rId2940"/><Relationship Type="http://schemas.openxmlformats.org/officeDocument/2006/relationships/hyperlink" Target="imagenes/NAUTICA_CLASSICS_117000679_BLU_1.jpg" TargetMode="External" Id="rId2941"/><Relationship Type="http://schemas.openxmlformats.org/officeDocument/2006/relationships/hyperlink" Target="imagenes/NAUTICA_CLASSICS_117000679_BLU_2.jpg" TargetMode="External" Id="rId2942"/><Relationship Type="http://schemas.openxmlformats.org/officeDocument/2006/relationships/hyperlink" Target="imagenes/NAUTICA_CLASSICS_117000679_BLU_3.jpg" TargetMode="External" Id="rId2943"/><Relationship Type="http://schemas.openxmlformats.org/officeDocument/2006/relationships/hyperlink" Target="imagenes/NAUTICA_CLASSICS_117000679_BLU_1.jpg" TargetMode="External" Id="rId2944"/><Relationship Type="http://schemas.openxmlformats.org/officeDocument/2006/relationships/hyperlink" Target="imagenes/NAUTICA_CLASSICS_117000679_BLU_2.jpg" TargetMode="External" Id="rId2945"/><Relationship Type="http://schemas.openxmlformats.org/officeDocument/2006/relationships/hyperlink" Target="imagenes/NAUTICA_CLASSICS_117000679_BLU_3.jpg" TargetMode="External" Id="rId2946"/><Relationship Type="http://schemas.openxmlformats.org/officeDocument/2006/relationships/hyperlink" Target="imagenes/NAUTICA_CLASSICS_117000684_BLK_1.jpg" TargetMode="External" Id="rId2947"/><Relationship Type="http://schemas.openxmlformats.org/officeDocument/2006/relationships/hyperlink" Target="imagenes/NAUTICA_CLASSICS_117000684_BLK_2.jpg" TargetMode="External" Id="rId2948"/><Relationship Type="http://schemas.openxmlformats.org/officeDocument/2006/relationships/hyperlink" Target="imagenes/NAUTICA_CLASSICS_117000684_BLK_3.jpg" TargetMode="External" Id="rId2949"/><Relationship Type="http://schemas.openxmlformats.org/officeDocument/2006/relationships/hyperlink" Target="imagenes/NAUTICA_CLASSICS_117000688_BLK_1.jpg" TargetMode="External" Id="rId2950"/><Relationship Type="http://schemas.openxmlformats.org/officeDocument/2006/relationships/hyperlink" Target="imagenes/NAUTICA_CLASSICS_117000688_BLK_2.jpg" TargetMode="External" Id="rId2951"/><Relationship Type="http://schemas.openxmlformats.org/officeDocument/2006/relationships/hyperlink" Target="imagenes/NAUTICA_CLASSICS_117000688_BLK_3.jpg" TargetMode="External" Id="rId2952"/><Relationship Type="http://schemas.openxmlformats.org/officeDocument/2006/relationships/hyperlink" Target="imagenes/NAUTICA_CLASSICS_117000690_NSS_1.jpg" TargetMode="External" Id="rId2953"/><Relationship Type="http://schemas.openxmlformats.org/officeDocument/2006/relationships/hyperlink" Target="imagenes/NAUTICA_CLASSICS_117000690_NSS_2.jpg" TargetMode="External" Id="rId2954"/><Relationship Type="http://schemas.openxmlformats.org/officeDocument/2006/relationships/hyperlink" Target="imagenes/NAUTICA_CLASSICS_117000690_NSS_3.jpg" TargetMode="External" Id="rId2955"/><Relationship Type="http://schemas.openxmlformats.org/officeDocument/2006/relationships/hyperlink" Target="imagenes/NAUTICA_CLASSICS_117000691_BLK_1.jpg" TargetMode="External" Id="rId2956"/><Relationship Type="http://schemas.openxmlformats.org/officeDocument/2006/relationships/hyperlink" Target="imagenes/NAUTICA_CLASSICS_117000691_BLK_3.jpg" TargetMode="External" Id="rId2957"/><Relationship Type="http://schemas.openxmlformats.org/officeDocument/2006/relationships/hyperlink" Target="imagenes/NAUTICA_CLASSICS_117000691_LMS_1.jpg" TargetMode="External" Id="rId2958"/><Relationship Type="http://schemas.openxmlformats.org/officeDocument/2006/relationships/hyperlink" Target="imagenes/NAUTICA_CLASSICS_117000691_LMS_2.jpg" TargetMode="External" Id="rId2959"/><Relationship Type="http://schemas.openxmlformats.org/officeDocument/2006/relationships/hyperlink" Target="imagenes/NAUTICA_CLASSICS_117000691_LMS_3.jpg" TargetMode="External" Id="rId2960"/><Relationship Type="http://schemas.openxmlformats.org/officeDocument/2006/relationships/hyperlink" Target="imagenes/NAUTICA_CLASSICS_117000691_LMS_1.jpg" TargetMode="External" Id="rId2961"/><Relationship Type="http://schemas.openxmlformats.org/officeDocument/2006/relationships/hyperlink" Target="imagenes/NAUTICA_CLASSICS_117000691_LMS_2.jpg" TargetMode="External" Id="rId2962"/><Relationship Type="http://schemas.openxmlformats.org/officeDocument/2006/relationships/hyperlink" Target="imagenes/NAUTICA_CLASSICS_117000691_LMS_3.jpg" TargetMode="External" Id="rId2963"/><Relationship Type="http://schemas.openxmlformats.org/officeDocument/2006/relationships/hyperlink" Target="imagenes/NAUTICA_CLASSICS_117000691_LMS_1.jpg" TargetMode="External" Id="rId2964"/><Relationship Type="http://schemas.openxmlformats.org/officeDocument/2006/relationships/hyperlink" Target="imagenes/NAUTICA_CLASSICS_117000691_LMS_2.jpg" TargetMode="External" Id="rId2965"/><Relationship Type="http://schemas.openxmlformats.org/officeDocument/2006/relationships/hyperlink" Target="imagenes/NAUTICA_CLASSICS_117000691_LMS_3.jpg" TargetMode="External" Id="rId2966"/><Relationship Type="http://schemas.openxmlformats.org/officeDocument/2006/relationships/hyperlink" Target="imagenes/NAUTICA_CLASSICS_117000691_SPQ_1.jpg" TargetMode="External" Id="rId2967"/><Relationship Type="http://schemas.openxmlformats.org/officeDocument/2006/relationships/hyperlink" Target="imagenes/NAUTICA_CLASSICS_117000691_SPQ_2.jpg" TargetMode="External" Id="rId2968"/><Relationship Type="http://schemas.openxmlformats.org/officeDocument/2006/relationships/hyperlink" Target="imagenes/NAUTICA_CLASSICS_117000691_SPQ_3.jpg" TargetMode="External" Id="rId2969"/><Relationship Type="http://schemas.openxmlformats.org/officeDocument/2006/relationships/hyperlink" Target="imagenes/NAUTICA_CLASSICS_117000691_SPQ_1.jpg" TargetMode="External" Id="rId2970"/><Relationship Type="http://schemas.openxmlformats.org/officeDocument/2006/relationships/hyperlink" Target="imagenes/NAUTICA_CLASSICS_117000691_SPQ_2.jpg" TargetMode="External" Id="rId2971"/><Relationship Type="http://schemas.openxmlformats.org/officeDocument/2006/relationships/hyperlink" Target="imagenes/NAUTICA_CLASSICS_117000691_SPQ_3.jpg" TargetMode="External" Id="rId2972"/><Relationship Type="http://schemas.openxmlformats.org/officeDocument/2006/relationships/hyperlink" Target="imagenes/NAUTICA_CLASSICS_117000709_BLK_1.jpg" TargetMode="External" Id="rId2973"/><Relationship Type="http://schemas.openxmlformats.org/officeDocument/2006/relationships/hyperlink" Target="imagenes/NAUTICA_CLASSICS_117000709_BLK_2.jpg" TargetMode="External" Id="rId2974"/><Relationship Type="http://schemas.openxmlformats.org/officeDocument/2006/relationships/hyperlink" Target="imagenes/NAUTICA_CLASSICS_117000709_BLK_3.jpg" TargetMode="External" Id="rId2975"/><Relationship Type="http://schemas.openxmlformats.org/officeDocument/2006/relationships/hyperlink" Target="imagenes/NAUTICA_CLASSICS_117000709_BLK_1.jpg" TargetMode="External" Id="rId2976"/><Relationship Type="http://schemas.openxmlformats.org/officeDocument/2006/relationships/hyperlink" Target="imagenes/NAUTICA_CLASSICS_117000709_BLK_2.jpg" TargetMode="External" Id="rId2977"/><Relationship Type="http://schemas.openxmlformats.org/officeDocument/2006/relationships/hyperlink" Target="imagenes/NAUTICA_CLASSICS_117000709_BLK_3.jpg" TargetMode="External" Id="rId2978"/><Relationship Type="http://schemas.openxmlformats.org/officeDocument/2006/relationships/hyperlink" Target="imagenes/NAUTICA_CLASSICS_117000709_BLK_1.jpg" TargetMode="External" Id="rId2979"/><Relationship Type="http://schemas.openxmlformats.org/officeDocument/2006/relationships/hyperlink" Target="imagenes/NAUTICA_CLASSICS_117000709_BLK_2.jpg" TargetMode="External" Id="rId2980"/><Relationship Type="http://schemas.openxmlformats.org/officeDocument/2006/relationships/hyperlink" Target="imagenes/NAUTICA_CLASSICS_117000709_BLK_3.jpg" TargetMode="External" Id="rId2981"/><Relationship Type="http://schemas.openxmlformats.org/officeDocument/2006/relationships/hyperlink" Target="imagenes/NAUTICA_CLASSICS_117000709_BLK_1.jpg" TargetMode="External" Id="rId2982"/><Relationship Type="http://schemas.openxmlformats.org/officeDocument/2006/relationships/hyperlink" Target="imagenes/NAUTICA_CLASSICS_117000709_BLK_2.jpg" TargetMode="External" Id="rId2983"/><Relationship Type="http://schemas.openxmlformats.org/officeDocument/2006/relationships/hyperlink" Target="imagenes/NAUTICA_CLASSICS_117000709_BLK_3.jpg" TargetMode="External" Id="rId2984"/><Relationship Type="http://schemas.openxmlformats.org/officeDocument/2006/relationships/hyperlink" Target="imagenes/NAUTICA_CLASSICS_117000709_VDE_1.jpg" TargetMode="External" Id="rId2985"/><Relationship Type="http://schemas.openxmlformats.org/officeDocument/2006/relationships/hyperlink" Target="imagenes/NAUTICA_CLASSICS_117000709_VDE_2.jpg" TargetMode="External" Id="rId2986"/><Relationship Type="http://schemas.openxmlformats.org/officeDocument/2006/relationships/hyperlink" Target="imagenes/NAUTICA_CLASSICS_117000709_VDE_3.jpg" TargetMode="External" Id="rId2987"/><Relationship Type="http://schemas.openxmlformats.org/officeDocument/2006/relationships/hyperlink" Target="imagenes/NAUTICA_CLASSICS_117000709_WTW_1.jpg" TargetMode="External" Id="rId2988"/><Relationship Type="http://schemas.openxmlformats.org/officeDocument/2006/relationships/hyperlink" Target="imagenes/NAUTICA_CLASSICS_117000709_WTW_2.jpg" TargetMode="External" Id="rId2989"/><Relationship Type="http://schemas.openxmlformats.org/officeDocument/2006/relationships/hyperlink" Target="imagenes/NAUTICA_CLASSICS_117000709_WTW_3.jpg" TargetMode="External" Id="rId2990"/><Relationship Type="http://schemas.openxmlformats.org/officeDocument/2006/relationships/hyperlink" Target="imagenes/NAUTICA_CLASSICS_117000709_WTW_1.jpg" TargetMode="External" Id="rId2991"/><Relationship Type="http://schemas.openxmlformats.org/officeDocument/2006/relationships/hyperlink" Target="imagenes/NAUTICA_CLASSICS_117000709_WTW_2.jpg" TargetMode="External" Id="rId2992"/><Relationship Type="http://schemas.openxmlformats.org/officeDocument/2006/relationships/hyperlink" Target="imagenes/NAUTICA_CLASSICS_117000709_WTW_3.jpg" TargetMode="External" Id="rId2993"/><Relationship Type="http://schemas.openxmlformats.org/officeDocument/2006/relationships/hyperlink" Target="imagenes/NAUTICA_CLASSICS_117000710_WTW_1.jpg" TargetMode="External" Id="rId2994"/><Relationship Type="http://schemas.openxmlformats.org/officeDocument/2006/relationships/hyperlink" Target="imagenes/NAUTICA_CLASSICS_117000710_WTW_2.jpg" TargetMode="External" Id="rId2995"/><Relationship Type="http://schemas.openxmlformats.org/officeDocument/2006/relationships/hyperlink" Target="imagenes/NAUTICA_CLASSICS_117000710_WTW_3.jpg" TargetMode="External" Id="rId2996"/><Relationship Type="http://schemas.openxmlformats.org/officeDocument/2006/relationships/hyperlink" Target="imagenes/NAUTICA_CLASSICS_117000711_BLK_1.jpg" TargetMode="External" Id="rId2997"/><Relationship Type="http://schemas.openxmlformats.org/officeDocument/2006/relationships/hyperlink" Target="imagenes/NAUTICA_CLASSICS_117000711_BLK_2.jpg" TargetMode="External" Id="rId2998"/><Relationship Type="http://schemas.openxmlformats.org/officeDocument/2006/relationships/hyperlink" Target="imagenes/NAUTICA_CLASSICS_117000711_BLK_3.jpg" TargetMode="External" Id="rId2999"/><Relationship Type="http://schemas.openxmlformats.org/officeDocument/2006/relationships/hyperlink" Target="imagenes/NAUTICA_CLASSICS_117000711_BLK_1.jpg" TargetMode="External" Id="rId3000"/><Relationship Type="http://schemas.openxmlformats.org/officeDocument/2006/relationships/hyperlink" Target="imagenes/NAUTICA_CLASSICS_117000711_BLK_2.jpg" TargetMode="External" Id="rId3001"/><Relationship Type="http://schemas.openxmlformats.org/officeDocument/2006/relationships/hyperlink" Target="imagenes/NAUTICA_CLASSICS_117000711_BLK_3.jpg" TargetMode="External" Id="rId3002"/><Relationship Type="http://schemas.openxmlformats.org/officeDocument/2006/relationships/hyperlink" Target="imagenes/NAUTICA_CLASSICS_117000711_CST_1.jpg" TargetMode="External" Id="rId3003"/><Relationship Type="http://schemas.openxmlformats.org/officeDocument/2006/relationships/hyperlink" Target="imagenes/NAUTICA_CLASSICS_117000711_CST_2.jpg" TargetMode="External" Id="rId3004"/><Relationship Type="http://schemas.openxmlformats.org/officeDocument/2006/relationships/hyperlink" Target="imagenes/NAUTICA_CLASSICS_117000711_CST_3.jpg" TargetMode="External" Id="rId3005"/><Relationship Type="http://schemas.openxmlformats.org/officeDocument/2006/relationships/hyperlink" Target="imagenes/NAUTICA_CLASSICS_117000711_CST_1.jpg" TargetMode="External" Id="rId3006"/><Relationship Type="http://schemas.openxmlformats.org/officeDocument/2006/relationships/hyperlink" Target="imagenes/NAUTICA_CLASSICS_117000711_CST_2.jpg" TargetMode="External" Id="rId3007"/><Relationship Type="http://schemas.openxmlformats.org/officeDocument/2006/relationships/hyperlink" Target="imagenes/NAUTICA_CLASSICS_117000711_CST_3.jpg" TargetMode="External" Id="rId3008"/><Relationship Type="http://schemas.openxmlformats.org/officeDocument/2006/relationships/hyperlink" Target="imagenes/NAUTICA_CLASSICS_117000711_PS3_1.jpg" TargetMode="External" Id="rId3009"/><Relationship Type="http://schemas.openxmlformats.org/officeDocument/2006/relationships/hyperlink" Target="imagenes/NAUTICA_CLASSICS_117000711_PS3_2.jpg" TargetMode="External" Id="rId3010"/><Relationship Type="http://schemas.openxmlformats.org/officeDocument/2006/relationships/hyperlink" Target="imagenes/NAUTICA_CLASSICS_117000711_PS3_3.jpg" TargetMode="External" Id="rId3011"/><Relationship Type="http://schemas.openxmlformats.org/officeDocument/2006/relationships/hyperlink" Target="imagenes/NAUTICA_CLASSICS_117000711_PS3_1.jpg" TargetMode="External" Id="rId3012"/><Relationship Type="http://schemas.openxmlformats.org/officeDocument/2006/relationships/hyperlink" Target="imagenes/NAUTICA_CLASSICS_117000711_PS3_2.jpg" TargetMode="External" Id="rId3013"/><Relationship Type="http://schemas.openxmlformats.org/officeDocument/2006/relationships/hyperlink" Target="imagenes/NAUTICA_CLASSICS_117000711_PS3_3.jpg" TargetMode="External" Id="rId3014"/><Relationship Type="http://schemas.openxmlformats.org/officeDocument/2006/relationships/hyperlink" Target="imagenes/NAUTICA_CLASSICS_117000711_PS3_1.jpg" TargetMode="External" Id="rId3015"/><Relationship Type="http://schemas.openxmlformats.org/officeDocument/2006/relationships/hyperlink" Target="imagenes/NAUTICA_CLASSICS_117000711_PS3_2.jpg" TargetMode="External" Id="rId3016"/><Relationship Type="http://schemas.openxmlformats.org/officeDocument/2006/relationships/hyperlink" Target="imagenes/NAUTICA_CLASSICS_117000711_PS3_3.jpg" TargetMode="External" Id="rId3017"/><Relationship Type="http://schemas.openxmlformats.org/officeDocument/2006/relationships/hyperlink" Target="imagenes/NAUTICA_CLASSICS_117000711_PS3_1.jpg" TargetMode="External" Id="rId3018"/><Relationship Type="http://schemas.openxmlformats.org/officeDocument/2006/relationships/hyperlink" Target="imagenes/NAUTICA_CLASSICS_117000711_PS3_2.jpg" TargetMode="External" Id="rId3019"/><Relationship Type="http://schemas.openxmlformats.org/officeDocument/2006/relationships/hyperlink" Target="imagenes/NAUTICA_CLASSICS_117000711_PS3_3.jpg" TargetMode="External" Id="rId3020"/><Relationship Type="http://schemas.openxmlformats.org/officeDocument/2006/relationships/hyperlink" Target="imagenes/NAUTICA_CLASSICS_117000711_PS3_1.jpg" TargetMode="External" Id="rId3021"/><Relationship Type="http://schemas.openxmlformats.org/officeDocument/2006/relationships/hyperlink" Target="imagenes/NAUTICA_CLASSICS_117000711_PS3_2.jpg" TargetMode="External" Id="rId3022"/><Relationship Type="http://schemas.openxmlformats.org/officeDocument/2006/relationships/hyperlink" Target="imagenes/NAUTICA_CLASSICS_117000711_PS3_3.jpg" TargetMode="External" Id="rId3023"/><Relationship Type="http://schemas.openxmlformats.org/officeDocument/2006/relationships/hyperlink" Target="imagenes/NAUTICA_CLASSICS_117000711_WIL_1.jpg" TargetMode="External" Id="rId3024"/><Relationship Type="http://schemas.openxmlformats.org/officeDocument/2006/relationships/hyperlink" Target="imagenes/NAUTICA_CLASSICS_117000711_WIL_2.jpg" TargetMode="External" Id="rId3025"/><Relationship Type="http://schemas.openxmlformats.org/officeDocument/2006/relationships/hyperlink" Target="imagenes/NAUTICA_CLASSICS_117000711_WIL_3.jpg" TargetMode="External" Id="rId3026"/><Relationship Type="http://schemas.openxmlformats.org/officeDocument/2006/relationships/hyperlink" Target="imagenes/NAUTICA_CLASSICS_117000711_WIL_1.jpg" TargetMode="External" Id="rId3027"/><Relationship Type="http://schemas.openxmlformats.org/officeDocument/2006/relationships/hyperlink" Target="imagenes/NAUTICA_CLASSICS_117000711_WIL_2.jpg" TargetMode="External" Id="rId3028"/><Relationship Type="http://schemas.openxmlformats.org/officeDocument/2006/relationships/hyperlink" Target="imagenes/NAUTICA_CLASSICS_117000711_WIL_3.jpg" TargetMode="External" Id="rId3029"/><Relationship Type="http://schemas.openxmlformats.org/officeDocument/2006/relationships/hyperlink" Target="imagenes/NAUTICA_CLASSICS_117000711_WIL_1.jpg" TargetMode="External" Id="rId3030"/><Relationship Type="http://schemas.openxmlformats.org/officeDocument/2006/relationships/hyperlink" Target="imagenes/NAUTICA_CLASSICS_117000711_WIL_2.jpg" TargetMode="External" Id="rId3031"/><Relationship Type="http://schemas.openxmlformats.org/officeDocument/2006/relationships/hyperlink" Target="imagenes/NAUTICA_CLASSICS_117000711_WIL_3.jpg" TargetMode="External" Id="rId3032"/><Relationship Type="http://schemas.openxmlformats.org/officeDocument/2006/relationships/hyperlink" Target="imagenes/NAUTICA_CLASSICS_117000711_WIL_1.jpg" TargetMode="External" Id="rId3033"/><Relationship Type="http://schemas.openxmlformats.org/officeDocument/2006/relationships/hyperlink" Target="imagenes/NAUTICA_CLASSICS_117000711_WIL_2.jpg" TargetMode="External" Id="rId3034"/><Relationship Type="http://schemas.openxmlformats.org/officeDocument/2006/relationships/hyperlink" Target="imagenes/NAUTICA_CLASSICS_117000711_WIL_3.jpg" TargetMode="External" Id="rId3035"/><Relationship Type="http://schemas.openxmlformats.org/officeDocument/2006/relationships/hyperlink" Target="imagenes/NAUTICA_CLASSICS_117000711_WIL_1.jpg" TargetMode="External" Id="rId3036"/><Relationship Type="http://schemas.openxmlformats.org/officeDocument/2006/relationships/hyperlink" Target="imagenes/NAUTICA_CLASSICS_117000711_WIL_2.jpg" TargetMode="External" Id="rId3037"/><Relationship Type="http://schemas.openxmlformats.org/officeDocument/2006/relationships/hyperlink" Target="imagenes/NAUTICA_CLASSICS_117000711_WIL_3.jpg" TargetMode="External" Id="rId3038"/><Relationship Type="http://schemas.openxmlformats.org/officeDocument/2006/relationships/hyperlink" Target="imagenes/NAUTICA_CLASSICS_117000711_WIL_1.jpg" TargetMode="External" Id="rId3039"/><Relationship Type="http://schemas.openxmlformats.org/officeDocument/2006/relationships/hyperlink" Target="imagenes/NAUTICA_CLASSICS_117000711_WIL_2.jpg" TargetMode="External" Id="rId3040"/><Relationship Type="http://schemas.openxmlformats.org/officeDocument/2006/relationships/hyperlink" Target="imagenes/NAUTICA_CLASSICS_117000711_WIL_3.jpg" TargetMode="External" Id="rId3041"/><Relationship Type="http://schemas.openxmlformats.org/officeDocument/2006/relationships/hyperlink" Target="imagenes/NAUTICA_CLASSICS_117000711_WIL_1.jpg" TargetMode="External" Id="rId3042"/><Relationship Type="http://schemas.openxmlformats.org/officeDocument/2006/relationships/hyperlink" Target="imagenes/NAUTICA_CLASSICS_117000711_WIL_2.jpg" TargetMode="External" Id="rId3043"/><Relationship Type="http://schemas.openxmlformats.org/officeDocument/2006/relationships/hyperlink" Target="imagenes/NAUTICA_CLASSICS_117000711_WIL_3.jpg" TargetMode="External" Id="rId3044"/><Relationship Type="http://schemas.openxmlformats.org/officeDocument/2006/relationships/hyperlink" Target="imagenes/NAUTICA_CLASSICS_117000711_WIL_1.jpg" TargetMode="External" Id="rId3045"/><Relationship Type="http://schemas.openxmlformats.org/officeDocument/2006/relationships/hyperlink" Target="imagenes/NAUTICA_CLASSICS_117000711_WIL_2.jpg" TargetMode="External" Id="rId3046"/><Relationship Type="http://schemas.openxmlformats.org/officeDocument/2006/relationships/hyperlink" Target="imagenes/NAUTICA_CLASSICS_117000711_WIL_3.jpg" TargetMode="External" Id="rId3047"/><Relationship Type="http://schemas.openxmlformats.org/officeDocument/2006/relationships/hyperlink" Target="imagenes/NAUTICA_CLASSICS_117000711_WIL_1.jpg" TargetMode="External" Id="rId3048"/><Relationship Type="http://schemas.openxmlformats.org/officeDocument/2006/relationships/hyperlink" Target="imagenes/NAUTICA_CLASSICS_117000711_WIL_2.jpg" TargetMode="External" Id="rId3049"/><Relationship Type="http://schemas.openxmlformats.org/officeDocument/2006/relationships/hyperlink" Target="imagenes/NAUTICA_CLASSICS_117000711_WIL_3.jpg" TargetMode="External" Id="rId3050"/><Relationship Type="http://schemas.openxmlformats.org/officeDocument/2006/relationships/hyperlink" Target="imagenes/NAUTICA_CLASSICS_117000712_BLK_1.jpg" TargetMode="External" Id="rId3051"/><Relationship Type="http://schemas.openxmlformats.org/officeDocument/2006/relationships/hyperlink" Target="imagenes/NAUTICA_CLASSICS_117000712_BLK_2.jpg" TargetMode="External" Id="rId3052"/><Relationship Type="http://schemas.openxmlformats.org/officeDocument/2006/relationships/hyperlink" Target="imagenes/NAUTICA_CLASSICS_117000712_BLK_3.jpg" TargetMode="External" Id="rId3053"/><Relationship Type="http://schemas.openxmlformats.org/officeDocument/2006/relationships/hyperlink" Target="imagenes/NAUTICA_CLASSICS_117000712_BLK_1.jpg" TargetMode="External" Id="rId3054"/><Relationship Type="http://schemas.openxmlformats.org/officeDocument/2006/relationships/hyperlink" Target="imagenes/NAUTICA_CLASSICS_117000712_BLK_2.jpg" TargetMode="External" Id="rId3055"/><Relationship Type="http://schemas.openxmlformats.org/officeDocument/2006/relationships/hyperlink" Target="imagenes/NAUTICA_CLASSICS_117000712_BLK_3.jpg" TargetMode="External" Id="rId3056"/><Relationship Type="http://schemas.openxmlformats.org/officeDocument/2006/relationships/hyperlink" Target="imagenes/NAUTICA_CLASSICS_117000712_BLK_1.jpg" TargetMode="External" Id="rId3057"/><Relationship Type="http://schemas.openxmlformats.org/officeDocument/2006/relationships/hyperlink" Target="imagenes/NAUTICA_CLASSICS_117000712_BLK_2.jpg" TargetMode="External" Id="rId3058"/><Relationship Type="http://schemas.openxmlformats.org/officeDocument/2006/relationships/hyperlink" Target="imagenes/NAUTICA_CLASSICS_117000712_BLK_3.jpg" TargetMode="External" Id="rId3059"/><Relationship Type="http://schemas.openxmlformats.org/officeDocument/2006/relationships/hyperlink" Target="imagenes/NAUTICA_CLASSICS_117000712_LMS_1.jpg" TargetMode="External" Id="rId3060"/><Relationship Type="http://schemas.openxmlformats.org/officeDocument/2006/relationships/hyperlink" Target="imagenes/NAUTICA_CLASSICS_117000712_LMS_2.jpg" TargetMode="External" Id="rId3061"/><Relationship Type="http://schemas.openxmlformats.org/officeDocument/2006/relationships/hyperlink" Target="imagenes/NAUTICA_CLASSICS_117000712_LMS_3.jpg" TargetMode="External" Id="rId3062"/><Relationship Type="http://schemas.openxmlformats.org/officeDocument/2006/relationships/hyperlink" Target="imagenes/NAUTICA_CLASSICS_117000712_NAR_1.jpg" TargetMode="External" Id="rId3063"/><Relationship Type="http://schemas.openxmlformats.org/officeDocument/2006/relationships/hyperlink" Target="imagenes/NAUTICA_CLASSICS_117000712_NAR_2.jpg" TargetMode="External" Id="rId3064"/><Relationship Type="http://schemas.openxmlformats.org/officeDocument/2006/relationships/hyperlink" Target="imagenes/NAUTICA_CLASSICS_117000712_NAR_3.jpg" TargetMode="External" Id="rId3065"/><Relationship Type="http://schemas.openxmlformats.org/officeDocument/2006/relationships/hyperlink" Target="imagenes/NAUTICA_CLASSICS_117000712_NAR_1.jpg" TargetMode="External" Id="rId3066"/><Relationship Type="http://schemas.openxmlformats.org/officeDocument/2006/relationships/hyperlink" Target="imagenes/NAUTICA_CLASSICS_117000712_NAR_2.jpg" TargetMode="External" Id="rId3067"/><Relationship Type="http://schemas.openxmlformats.org/officeDocument/2006/relationships/hyperlink" Target="imagenes/NAUTICA_CLASSICS_117000712_NAR_3.jpg" TargetMode="External" Id="rId3068"/><Relationship Type="http://schemas.openxmlformats.org/officeDocument/2006/relationships/hyperlink" Target="imagenes/NAUTICA_CLASSICS_117000712_NAR_1.jpg" TargetMode="External" Id="rId3069"/><Relationship Type="http://schemas.openxmlformats.org/officeDocument/2006/relationships/hyperlink" Target="imagenes/NAUTICA_CLASSICS_117000712_NAR_2.jpg" TargetMode="External" Id="rId3070"/><Relationship Type="http://schemas.openxmlformats.org/officeDocument/2006/relationships/hyperlink" Target="imagenes/NAUTICA_CLASSICS_117000712_NAR_3.jpg" TargetMode="External" Id="rId3071"/><Relationship Type="http://schemas.openxmlformats.org/officeDocument/2006/relationships/hyperlink" Target="imagenes/NAUTICA_CLASSICS_117000712_NAR_1.jpg" TargetMode="External" Id="rId3072"/><Relationship Type="http://schemas.openxmlformats.org/officeDocument/2006/relationships/hyperlink" Target="imagenes/NAUTICA_CLASSICS_117000712_NAR_2.jpg" TargetMode="External" Id="rId3073"/><Relationship Type="http://schemas.openxmlformats.org/officeDocument/2006/relationships/hyperlink" Target="imagenes/NAUTICA_CLASSICS_117000712_NAR_3.jpg" TargetMode="External" Id="rId3074"/><Relationship Type="http://schemas.openxmlformats.org/officeDocument/2006/relationships/hyperlink" Target="imagenes/NAUTICA_CLASSICS_117000713_BLK_1.jpg" TargetMode="External" Id="rId3075"/><Relationship Type="http://schemas.openxmlformats.org/officeDocument/2006/relationships/hyperlink" Target="imagenes/NAUTICA_CLASSICS_117000713_BLK_2.jpg" TargetMode="External" Id="rId3076"/><Relationship Type="http://schemas.openxmlformats.org/officeDocument/2006/relationships/hyperlink" Target="imagenes/NAUTICA_CLASSICS_117000713_BLK_3.jpg" TargetMode="External" Id="rId3077"/><Relationship Type="http://schemas.openxmlformats.org/officeDocument/2006/relationships/hyperlink" Target="imagenes/NAUTICA_CLASSICS_117000717_BLK_2.jpg" TargetMode="External" Id="rId3078"/><Relationship Type="http://schemas.openxmlformats.org/officeDocument/2006/relationships/hyperlink" Target="imagenes/NAUTICA_CLASSICS_117000717_BLK_3.jpg" TargetMode="External" Id="rId3079"/><Relationship Type="http://schemas.openxmlformats.org/officeDocument/2006/relationships/hyperlink" Target="imagenes/NAUTICA_CLASSICS_117000717_BLK_2.jpg" TargetMode="External" Id="rId3080"/><Relationship Type="http://schemas.openxmlformats.org/officeDocument/2006/relationships/hyperlink" Target="imagenes/NAUTICA_CLASSICS_117000717_BLK_3.jpg" TargetMode="External" Id="rId3081"/><Relationship Type="http://schemas.openxmlformats.org/officeDocument/2006/relationships/hyperlink" Target="imagenes/NAUTICA_CLASSICS_117000722_BLK_1.jpg" TargetMode="External" Id="rId3082"/><Relationship Type="http://schemas.openxmlformats.org/officeDocument/2006/relationships/hyperlink" Target="imagenes/NAUTICA_CLASSICS_117000722_BLK_2.jpg" TargetMode="External" Id="rId3083"/><Relationship Type="http://schemas.openxmlformats.org/officeDocument/2006/relationships/hyperlink" Target="imagenes/NAUTICA_CLASSICS_117000722_BLK_3.jpg" TargetMode="External" Id="rId3084"/><Relationship Type="http://schemas.openxmlformats.org/officeDocument/2006/relationships/hyperlink" Target="imagenes/NAUTICA_CLASSICS_117000722_BLK_1.jpg" TargetMode="External" Id="rId3085"/><Relationship Type="http://schemas.openxmlformats.org/officeDocument/2006/relationships/hyperlink" Target="imagenes/NAUTICA_CLASSICS_117000722_BLK_2.jpg" TargetMode="External" Id="rId3086"/><Relationship Type="http://schemas.openxmlformats.org/officeDocument/2006/relationships/hyperlink" Target="imagenes/NAUTICA_CLASSICS_117000722_BLK_3.jpg" TargetMode="External" Id="rId3087"/><Relationship Type="http://schemas.openxmlformats.org/officeDocument/2006/relationships/hyperlink" Target="imagenes/NAUTICA_CLASSICS_117000722_BLK_1.jpg" TargetMode="External" Id="rId3088"/><Relationship Type="http://schemas.openxmlformats.org/officeDocument/2006/relationships/hyperlink" Target="imagenes/NAUTICA_CLASSICS_117000722_BLK_2.jpg" TargetMode="External" Id="rId3089"/><Relationship Type="http://schemas.openxmlformats.org/officeDocument/2006/relationships/hyperlink" Target="imagenes/NAUTICA_CLASSICS_117000722_BLK_3.jpg" TargetMode="External" Id="rId3090"/><Relationship Type="http://schemas.openxmlformats.org/officeDocument/2006/relationships/hyperlink" Target="imagenes/NAUTICA_CLASSICS_117000722_NSS_1.jpg" TargetMode="External" Id="rId3091"/><Relationship Type="http://schemas.openxmlformats.org/officeDocument/2006/relationships/hyperlink" Target="imagenes/NAUTICA_CLASSICS_117000722_NSS_2.jpg" TargetMode="External" Id="rId3092"/><Relationship Type="http://schemas.openxmlformats.org/officeDocument/2006/relationships/hyperlink" Target="imagenes/NAUTICA_CLASSICS_117000722_NSS_3.jpg" TargetMode="External" Id="rId3093"/><Relationship Type="http://schemas.openxmlformats.org/officeDocument/2006/relationships/hyperlink" Target="imagenes/NAUTICA_CLASSICS_117001128_BLK_1.jpg" TargetMode="External" Id="rId3094"/><Relationship Type="http://schemas.openxmlformats.org/officeDocument/2006/relationships/hyperlink" Target="imagenes/NAUTICA_CLASSICS_117001128_BLK_2.jpg" TargetMode="External" Id="rId3095"/><Relationship Type="http://schemas.openxmlformats.org/officeDocument/2006/relationships/hyperlink" Target="imagenes/NAUTICA_CLASSICS_117001128_BLK_3.jpg" TargetMode="External" Id="rId3096"/><Relationship Type="http://schemas.openxmlformats.org/officeDocument/2006/relationships/hyperlink" Target="imagenes/NAUTICA_CLASSICS_117001128_BLK_1.jpg" TargetMode="External" Id="rId3097"/><Relationship Type="http://schemas.openxmlformats.org/officeDocument/2006/relationships/hyperlink" Target="imagenes/NAUTICA_CLASSICS_117001128_BLK_2.jpg" TargetMode="External" Id="rId3098"/><Relationship Type="http://schemas.openxmlformats.org/officeDocument/2006/relationships/hyperlink" Target="imagenes/NAUTICA_CLASSICS_117001128_BLK_3.jpg" TargetMode="External" Id="rId3099"/><Relationship Type="http://schemas.openxmlformats.org/officeDocument/2006/relationships/hyperlink" Target="imagenes/NAUTICA_CLASSICS_117001128_BLK_1.jpg" TargetMode="External" Id="rId3100"/><Relationship Type="http://schemas.openxmlformats.org/officeDocument/2006/relationships/hyperlink" Target="imagenes/NAUTICA_CLASSICS_117001128_BLK_2.jpg" TargetMode="External" Id="rId3101"/><Relationship Type="http://schemas.openxmlformats.org/officeDocument/2006/relationships/hyperlink" Target="imagenes/NAUTICA_CLASSICS_117001128_BLK_3.jpg" TargetMode="External" Id="rId3102"/><Relationship Type="http://schemas.openxmlformats.org/officeDocument/2006/relationships/hyperlink" Target="imagenes/NAUTICA_CLASSICS_117001128_C2B_1.jpg" TargetMode="External" Id="rId3103"/><Relationship Type="http://schemas.openxmlformats.org/officeDocument/2006/relationships/hyperlink" Target="imagenes/NAUTICA_CLASSICS_117001128_C2B_2.jpg" TargetMode="External" Id="rId3104"/><Relationship Type="http://schemas.openxmlformats.org/officeDocument/2006/relationships/hyperlink" Target="imagenes/NAUTICA_CLASSICS_117001128_C2B_3.jpg" TargetMode="External" Id="rId3105"/><Relationship Type="http://schemas.openxmlformats.org/officeDocument/2006/relationships/hyperlink" Target="imagenes/NAUTICA_CLASSICS_117001128_C2B_1.jpg" TargetMode="External" Id="rId3106"/><Relationship Type="http://schemas.openxmlformats.org/officeDocument/2006/relationships/hyperlink" Target="imagenes/NAUTICA_CLASSICS_117001128_C2B_2.jpg" TargetMode="External" Id="rId3107"/><Relationship Type="http://schemas.openxmlformats.org/officeDocument/2006/relationships/hyperlink" Target="imagenes/NAUTICA_CLASSICS_117001128_C2B_3.jpg" TargetMode="External" Id="rId3108"/><Relationship Type="http://schemas.openxmlformats.org/officeDocument/2006/relationships/hyperlink" Target="imagenes/NAUTICA_CLASSICS_117001128_C2B_1.jpg" TargetMode="External" Id="rId3109"/><Relationship Type="http://schemas.openxmlformats.org/officeDocument/2006/relationships/hyperlink" Target="imagenes/NAUTICA_CLASSICS_117001128_C2B_2.jpg" TargetMode="External" Id="rId3110"/><Relationship Type="http://schemas.openxmlformats.org/officeDocument/2006/relationships/hyperlink" Target="imagenes/NAUTICA_CLASSICS_117001128_C2B_3.jpg" TargetMode="External" Id="rId3111"/><Relationship Type="http://schemas.openxmlformats.org/officeDocument/2006/relationships/hyperlink" Target="imagenes/NAUTICA_CLASSICS_117001128_C2B_1.jpg" TargetMode="External" Id="rId3112"/><Relationship Type="http://schemas.openxmlformats.org/officeDocument/2006/relationships/hyperlink" Target="imagenes/NAUTICA_CLASSICS_117001128_C2B_2.jpg" TargetMode="External" Id="rId3113"/><Relationship Type="http://schemas.openxmlformats.org/officeDocument/2006/relationships/hyperlink" Target="imagenes/NAUTICA_CLASSICS_117001128_C2B_3.jpg" TargetMode="External" Id="rId3114"/><Relationship Type="http://schemas.openxmlformats.org/officeDocument/2006/relationships/hyperlink" Target="imagenes/NAUTICA_CLASSICS_117001128_LMS_1.jpg" TargetMode="External" Id="rId3115"/><Relationship Type="http://schemas.openxmlformats.org/officeDocument/2006/relationships/hyperlink" Target="imagenes/NAUTICA_CLASSICS_117001128_LMS_2.jpg" TargetMode="External" Id="rId3116"/><Relationship Type="http://schemas.openxmlformats.org/officeDocument/2006/relationships/hyperlink" Target="imagenes/NAUTICA_CLASSICS_117001128_LMS_3.jpg" TargetMode="External" Id="rId3117"/><Relationship Type="http://schemas.openxmlformats.org/officeDocument/2006/relationships/hyperlink" Target="imagenes/NAUTICA_CLASSICS_117001128_LMS_1.jpg" TargetMode="External" Id="rId3118"/><Relationship Type="http://schemas.openxmlformats.org/officeDocument/2006/relationships/hyperlink" Target="imagenes/NAUTICA_CLASSICS_117001128_LMS_2.jpg" TargetMode="External" Id="rId3119"/><Relationship Type="http://schemas.openxmlformats.org/officeDocument/2006/relationships/hyperlink" Target="imagenes/NAUTICA_CLASSICS_117001128_LMS_3.jpg" TargetMode="External" Id="rId3120"/><Relationship Type="http://schemas.openxmlformats.org/officeDocument/2006/relationships/hyperlink" Target="imagenes/NAUTICA_CLASSICS_117001128_LMS_1.jpg" TargetMode="External" Id="rId3121"/><Relationship Type="http://schemas.openxmlformats.org/officeDocument/2006/relationships/hyperlink" Target="imagenes/NAUTICA_CLASSICS_117001128_LMS_2.jpg" TargetMode="External" Id="rId3122"/><Relationship Type="http://schemas.openxmlformats.org/officeDocument/2006/relationships/hyperlink" Target="imagenes/NAUTICA_CLASSICS_117001128_LMS_3.jpg" TargetMode="External" Id="rId3123"/><Relationship Type="http://schemas.openxmlformats.org/officeDocument/2006/relationships/hyperlink" Target="imagenes/NAUTICA_CLASSICS_117001128_LMS_1.jpg" TargetMode="External" Id="rId3124"/><Relationship Type="http://schemas.openxmlformats.org/officeDocument/2006/relationships/hyperlink" Target="imagenes/NAUTICA_CLASSICS_117001128_LMS_2.jpg" TargetMode="External" Id="rId3125"/><Relationship Type="http://schemas.openxmlformats.org/officeDocument/2006/relationships/hyperlink" Target="imagenes/NAUTICA_CLASSICS_117001128_LMS_3.jpg" TargetMode="External" Id="rId3126"/><Relationship Type="http://schemas.openxmlformats.org/officeDocument/2006/relationships/hyperlink" Target="imagenes/NAUTICA_CLASSICS_117001128_LMS_1.jpg" TargetMode="External" Id="rId3127"/><Relationship Type="http://schemas.openxmlformats.org/officeDocument/2006/relationships/hyperlink" Target="imagenes/NAUTICA_CLASSICS_117001128_LMS_2.jpg" TargetMode="External" Id="rId3128"/><Relationship Type="http://schemas.openxmlformats.org/officeDocument/2006/relationships/hyperlink" Target="imagenes/NAUTICA_CLASSICS_117001128_LMS_3.jpg" TargetMode="External" Id="rId3129"/><Relationship Type="http://schemas.openxmlformats.org/officeDocument/2006/relationships/hyperlink" Target="imagenes/NAUTICA_CLASSICS_117001128_NSS_1.jpg" TargetMode="External" Id="rId3130"/><Relationship Type="http://schemas.openxmlformats.org/officeDocument/2006/relationships/hyperlink" Target="imagenes/NAUTICA_CLASSICS_117001128_NSS_2.jpg" TargetMode="External" Id="rId3131"/><Relationship Type="http://schemas.openxmlformats.org/officeDocument/2006/relationships/hyperlink" Target="imagenes/NAUTICA_CLASSICS_117001128_NSS_3.jpg" TargetMode="External" Id="rId3132"/><Relationship Type="http://schemas.openxmlformats.org/officeDocument/2006/relationships/hyperlink" Target="imagenes/NAUTICA_CLASSICS_117001128_NSS_1.jpg" TargetMode="External" Id="rId3133"/><Relationship Type="http://schemas.openxmlformats.org/officeDocument/2006/relationships/hyperlink" Target="imagenes/NAUTICA_CLASSICS_117001128_NSS_2.jpg" TargetMode="External" Id="rId3134"/><Relationship Type="http://schemas.openxmlformats.org/officeDocument/2006/relationships/hyperlink" Target="imagenes/NAUTICA_CLASSICS_117001128_NSS_3.jpg" TargetMode="External" Id="rId3135"/><Relationship Type="http://schemas.openxmlformats.org/officeDocument/2006/relationships/hyperlink" Target="imagenes/NAUTICA_CLASSICS_117001128_S8E_1.jpg" TargetMode="External" Id="rId3136"/><Relationship Type="http://schemas.openxmlformats.org/officeDocument/2006/relationships/hyperlink" Target="imagenes/NAUTICA_CLASSICS_117001128_S8E_2.jpg" TargetMode="External" Id="rId3137"/><Relationship Type="http://schemas.openxmlformats.org/officeDocument/2006/relationships/hyperlink" Target="imagenes/NAUTICA_CLASSICS_117001128_S8E_3.jpg" TargetMode="External" Id="rId3138"/><Relationship Type="http://schemas.openxmlformats.org/officeDocument/2006/relationships/hyperlink" Target="imagenes/NAUTICA_CLASSICS_117001128_SPQ_1.jpg" TargetMode="External" Id="rId3139"/><Relationship Type="http://schemas.openxmlformats.org/officeDocument/2006/relationships/hyperlink" Target="imagenes/NAUTICA_CLASSICS_117001128_SPQ_2.jpg" TargetMode="External" Id="rId3140"/><Relationship Type="http://schemas.openxmlformats.org/officeDocument/2006/relationships/hyperlink" Target="imagenes/NAUTICA_CLASSICS_117001128_SPQ_3.jpg" TargetMode="External" Id="rId3141"/><Relationship Type="http://schemas.openxmlformats.org/officeDocument/2006/relationships/hyperlink" Target="imagenes/NAUTICA_CLASSICS_117001128_SPQ_1.jpg" TargetMode="External" Id="rId3142"/><Relationship Type="http://schemas.openxmlformats.org/officeDocument/2006/relationships/hyperlink" Target="imagenes/NAUTICA_CLASSICS_117001128_SPQ_2.jpg" TargetMode="External" Id="rId3143"/><Relationship Type="http://schemas.openxmlformats.org/officeDocument/2006/relationships/hyperlink" Target="imagenes/NAUTICA_CLASSICS_117001128_SPQ_3.jpg" TargetMode="External" Id="rId3144"/><Relationship Type="http://schemas.openxmlformats.org/officeDocument/2006/relationships/hyperlink" Target="imagenes/NAUTICA_CLASSICS_117001128_SPQ_1.jpg" TargetMode="External" Id="rId3145"/><Relationship Type="http://schemas.openxmlformats.org/officeDocument/2006/relationships/hyperlink" Target="imagenes/NAUTICA_CLASSICS_117001128_SPQ_2.jpg" TargetMode="External" Id="rId3146"/><Relationship Type="http://schemas.openxmlformats.org/officeDocument/2006/relationships/hyperlink" Target="imagenes/NAUTICA_CLASSICS_117001128_SPQ_3.jpg" TargetMode="External" Id="rId3147"/><Relationship Type="http://schemas.openxmlformats.org/officeDocument/2006/relationships/hyperlink" Target="imagenes/NAUTICA_CLASSICS_117001128_SPQ_1.jpg" TargetMode="External" Id="rId3148"/><Relationship Type="http://schemas.openxmlformats.org/officeDocument/2006/relationships/hyperlink" Target="imagenes/NAUTICA_CLASSICS_117001128_SPQ_2.jpg" TargetMode="External" Id="rId3149"/><Relationship Type="http://schemas.openxmlformats.org/officeDocument/2006/relationships/hyperlink" Target="imagenes/NAUTICA_CLASSICS_117001128_SPQ_3.jpg" TargetMode="External" Id="rId3150"/><Relationship Type="http://schemas.openxmlformats.org/officeDocument/2006/relationships/hyperlink" Target="imagenes/NAUTICA_CLASSICS_117001128_SPQ_1.jpg" TargetMode="External" Id="rId3151"/><Relationship Type="http://schemas.openxmlformats.org/officeDocument/2006/relationships/hyperlink" Target="imagenes/NAUTICA_CLASSICS_117001128_SPQ_2.jpg" TargetMode="External" Id="rId3152"/><Relationship Type="http://schemas.openxmlformats.org/officeDocument/2006/relationships/hyperlink" Target="imagenes/NAUTICA_CLASSICS_117001128_SPQ_3.jpg" TargetMode="External" Id="rId3153"/><Relationship Type="http://schemas.openxmlformats.org/officeDocument/2006/relationships/hyperlink" Target="imagenes/NAUTICA_CLASSICS_117001128_SPQ_1.jpg" TargetMode="External" Id="rId3154"/><Relationship Type="http://schemas.openxmlformats.org/officeDocument/2006/relationships/hyperlink" Target="imagenes/NAUTICA_CLASSICS_117001128_SPQ_2.jpg" TargetMode="External" Id="rId3155"/><Relationship Type="http://schemas.openxmlformats.org/officeDocument/2006/relationships/hyperlink" Target="imagenes/NAUTICA_CLASSICS_117001128_SPQ_3.jpg" TargetMode="External" Id="rId3156"/><Relationship Type="http://schemas.openxmlformats.org/officeDocument/2006/relationships/hyperlink" Target="imagenes/NAUTICA_CLASSICS_117001173_BLK_1.jpg" TargetMode="External" Id="rId3157"/><Relationship Type="http://schemas.openxmlformats.org/officeDocument/2006/relationships/hyperlink" Target="imagenes/NAUTICA_CLASSICS_117001173_BLK_2.jpg" TargetMode="External" Id="rId3158"/><Relationship Type="http://schemas.openxmlformats.org/officeDocument/2006/relationships/hyperlink" Target="imagenes/NAUTICA_CLASSICS_117001173_BLK_3.jpg" TargetMode="External" Id="rId3159"/><Relationship Type="http://schemas.openxmlformats.org/officeDocument/2006/relationships/hyperlink" Target="imagenes/NAUTICA_CLASSICS_117001173_BLK_1.jpg" TargetMode="External" Id="rId3160"/><Relationship Type="http://schemas.openxmlformats.org/officeDocument/2006/relationships/hyperlink" Target="imagenes/NAUTICA_CLASSICS_117001173_BLK_2.jpg" TargetMode="External" Id="rId3161"/><Relationship Type="http://schemas.openxmlformats.org/officeDocument/2006/relationships/hyperlink" Target="imagenes/NAUTICA_CLASSICS_117001173_BLK_3.jpg" TargetMode="External" Id="rId3162"/><Relationship Type="http://schemas.openxmlformats.org/officeDocument/2006/relationships/hyperlink" Target="imagenes/NAUTICA_CLASSICS_117001173_BLK_1.jpg" TargetMode="External" Id="rId3163"/><Relationship Type="http://schemas.openxmlformats.org/officeDocument/2006/relationships/hyperlink" Target="imagenes/NAUTICA_CLASSICS_117001173_BLK_2.jpg" TargetMode="External" Id="rId3164"/><Relationship Type="http://schemas.openxmlformats.org/officeDocument/2006/relationships/hyperlink" Target="imagenes/NAUTICA_CLASSICS_117001173_BLK_3.jpg" TargetMode="External" Id="rId3165"/><Relationship Type="http://schemas.openxmlformats.org/officeDocument/2006/relationships/hyperlink" Target="imagenes/NAUTICA_CLASSICS_117001253_B4K_1.jpg" TargetMode="External" Id="rId3166"/><Relationship Type="http://schemas.openxmlformats.org/officeDocument/2006/relationships/hyperlink" Target="imagenes/NAUTICA_CLASSICS_117001253_B4K_2.jpg" TargetMode="External" Id="rId3167"/><Relationship Type="http://schemas.openxmlformats.org/officeDocument/2006/relationships/hyperlink" Target="imagenes/NAUTICA_CLASSICS_117001253_B4K_3.jpg" TargetMode="External" Id="rId3168"/><Relationship Type="http://schemas.openxmlformats.org/officeDocument/2006/relationships/hyperlink" Target="imagenes/NAUTICA_CLASSICS_117001253_B4K_1.jpg" TargetMode="External" Id="rId3169"/><Relationship Type="http://schemas.openxmlformats.org/officeDocument/2006/relationships/hyperlink" Target="imagenes/NAUTICA_CLASSICS_117001253_B4K_2.jpg" TargetMode="External" Id="rId3170"/><Relationship Type="http://schemas.openxmlformats.org/officeDocument/2006/relationships/hyperlink" Target="imagenes/NAUTICA_CLASSICS_117001253_B4K_3.jpg" TargetMode="External" Id="rId3171"/><Relationship Type="http://schemas.openxmlformats.org/officeDocument/2006/relationships/hyperlink" Target="imagenes/NAUTICA_CLASSICS_117001253_B4K_1.jpg" TargetMode="External" Id="rId3172"/><Relationship Type="http://schemas.openxmlformats.org/officeDocument/2006/relationships/hyperlink" Target="imagenes/NAUTICA_CLASSICS_117001253_B4K_2.jpg" TargetMode="External" Id="rId3173"/><Relationship Type="http://schemas.openxmlformats.org/officeDocument/2006/relationships/hyperlink" Target="imagenes/NAUTICA_CLASSICS_117001253_B4K_3.jpg" TargetMode="External" Id="rId3174"/><Relationship Type="http://schemas.openxmlformats.org/officeDocument/2006/relationships/hyperlink" Target="imagenes/NAUTICA_CLASSICS_117001253_B4K_1.jpg" TargetMode="External" Id="rId3175"/><Relationship Type="http://schemas.openxmlformats.org/officeDocument/2006/relationships/hyperlink" Target="imagenes/NAUTICA_CLASSICS_117001253_B4K_2.jpg" TargetMode="External" Id="rId3176"/><Relationship Type="http://schemas.openxmlformats.org/officeDocument/2006/relationships/hyperlink" Target="imagenes/NAUTICA_CLASSICS_117001253_B4K_3.jpg" TargetMode="External" Id="rId3177"/><Relationship Type="http://schemas.openxmlformats.org/officeDocument/2006/relationships/hyperlink" Target="imagenes/NAUTICA_CLASSICS_117001253_B4K_1.jpg" TargetMode="External" Id="rId3178"/><Relationship Type="http://schemas.openxmlformats.org/officeDocument/2006/relationships/hyperlink" Target="imagenes/NAUTICA_CLASSICS_117001253_B4K_2.jpg" TargetMode="External" Id="rId3179"/><Relationship Type="http://schemas.openxmlformats.org/officeDocument/2006/relationships/hyperlink" Target="imagenes/NAUTICA_CLASSICS_117001253_B4K_3.jpg" TargetMode="External" Id="rId3180"/><Relationship Type="http://schemas.openxmlformats.org/officeDocument/2006/relationships/hyperlink" Target="imagenes/NAUTICA_CLASSICS_117001253_B4K_1.jpg" TargetMode="External" Id="rId3181"/><Relationship Type="http://schemas.openxmlformats.org/officeDocument/2006/relationships/hyperlink" Target="imagenes/NAUTICA_CLASSICS_117001253_B4K_2.jpg" TargetMode="External" Id="rId3182"/><Relationship Type="http://schemas.openxmlformats.org/officeDocument/2006/relationships/hyperlink" Target="imagenes/NAUTICA_CLASSICS_117001253_B4K_3.jpg" TargetMode="External" Id="rId3183"/><Relationship Type="http://schemas.openxmlformats.org/officeDocument/2006/relationships/hyperlink" Target="imagenes/NAUTICA_CLASSICS_117001253_BLK_1.jpg" TargetMode="External" Id="rId3184"/><Relationship Type="http://schemas.openxmlformats.org/officeDocument/2006/relationships/hyperlink" Target="imagenes/NAUTICA_CLASSICS_117001253_BLK_2.jpg" TargetMode="External" Id="rId3185"/><Relationship Type="http://schemas.openxmlformats.org/officeDocument/2006/relationships/hyperlink" Target="imagenes/NAUTICA_CLASSICS_117001253_BLK_3.jpg" TargetMode="External" Id="rId3186"/><Relationship Type="http://schemas.openxmlformats.org/officeDocument/2006/relationships/hyperlink" Target="imagenes/NAUTICA_CLASSICS_117001253_BLK_1.jpg" TargetMode="External" Id="rId3187"/><Relationship Type="http://schemas.openxmlformats.org/officeDocument/2006/relationships/hyperlink" Target="imagenes/NAUTICA_CLASSICS_117001253_BLK_2.jpg" TargetMode="External" Id="rId3188"/><Relationship Type="http://schemas.openxmlformats.org/officeDocument/2006/relationships/hyperlink" Target="imagenes/NAUTICA_CLASSICS_117001253_BLK_3.jpg" TargetMode="External" Id="rId3189"/><Relationship Type="http://schemas.openxmlformats.org/officeDocument/2006/relationships/hyperlink" Target="imagenes/NAUTICA_CLASSICS_117001253_BLK_1.jpg" TargetMode="External" Id="rId3190"/><Relationship Type="http://schemas.openxmlformats.org/officeDocument/2006/relationships/hyperlink" Target="imagenes/NAUTICA_CLASSICS_117001253_BLK_2.jpg" TargetMode="External" Id="rId3191"/><Relationship Type="http://schemas.openxmlformats.org/officeDocument/2006/relationships/hyperlink" Target="imagenes/NAUTICA_CLASSICS_117001253_BLK_3.jpg" TargetMode="External" Id="rId3192"/><Relationship Type="http://schemas.openxmlformats.org/officeDocument/2006/relationships/hyperlink" Target="imagenes/NAUTICA_CLASSICS_117001253_BLK_1.jpg" TargetMode="External" Id="rId3193"/><Relationship Type="http://schemas.openxmlformats.org/officeDocument/2006/relationships/hyperlink" Target="imagenes/NAUTICA_CLASSICS_117001253_BLK_2.jpg" TargetMode="External" Id="rId3194"/><Relationship Type="http://schemas.openxmlformats.org/officeDocument/2006/relationships/hyperlink" Target="imagenes/NAUTICA_CLASSICS_117001253_BLK_3.jpg" TargetMode="External" Id="rId3195"/><Relationship Type="http://schemas.openxmlformats.org/officeDocument/2006/relationships/hyperlink" Target="imagenes/NAUTICA_CLASSICS_117001253_BLK_1.jpg" TargetMode="External" Id="rId3196"/><Relationship Type="http://schemas.openxmlformats.org/officeDocument/2006/relationships/hyperlink" Target="imagenes/NAUTICA_CLASSICS_117001253_BLK_2.jpg" TargetMode="External" Id="rId3197"/><Relationship Type="http://schemas.openxmlformats.org/officeDocument/2006/relationships/hyperlink" Target="imagenes/NAUTICA_CLASSICS_117001253_BLK_3.jpg" TargetMode="External" Id="rId3198"/><Relationship Type="http://schemas.openxmlformats.org/officeDocument/2006/relationships/hyperlink" Target="imagenes/NAUTICA_CLASSICS_117001253_BLK_1.jpg" TargetMode="External" Id="rId3199"/><Relationship Type="http://schemas.openxmlformats.org/officeDocument/2006/relationships/hyperlink" Target="imagenes/NAUTICA_CLASSICS_117001253_BLK_2.jpg" TargetMode="External" Id="rId3200"/><Relationship Type="http://schemas.openxmlformats.org/officeDocument/2006/relationships/hyperlink" Target="imagenes/NAUTICA_CLASSICS_117001253_BLK_3.jpg" TargetMode="External" Id="rId3201"/><Relationship Type="http://schemas.openxmlformats.org/officeDocument/2006/relationships/hyperlink" Target="imagenes/NAUTICA_CLASSICS_117001253_BLK_1.jpg" TargetMode="External" Id="rId3202"/><Relationship Type="http://schemas.openxmlformats.org/officeDocument/2006/relationships/hyperlink" Target="imagenes/NAUTICA_CLASSICS_117001253_BLK_2.jpg" TargetMode="External" Id="rId3203"/><Relationship Type="http://schemas.openxmlformats.org/officeDocument/2006/relationships/hyperlink" Target="imagenes/NAUTICA_CLASSICS_117001253_BLK_3.jpg" TargetMode="External" Id="rId3204"/><Relationship Type="http://schemas.openxmlformats.org/officeDocument/2006/relationships/hyperlink" Target="imagenes/NAUTICA_CLASSICS_117001253_OXA_2.jpg" TargetMode="External" Id="rId3205"/><Relationship Type="http://schemas.openxmlformats.org/officeDocument/2006/relationships/hyperlink" Target="imagenes/NAUTICA_CLASSICS_117001253_OXA_3.jpg" TargetMode="External" Id="rId3206"/><Relationship Type="http://schemas.openxmlformats.org/officeDocument/2006/relationships/hyperlink" Target="imagenes/NAUTICA_CLASSICS_117001253_OXA_2.jpg" TargetMode="External" Id="rId3207"/><Relationship Type="http://schemas.openxmlformats.org/officeDocument/2006/relationships/hyperlink" Target="imagenes/NAUTICA_CLASSICS_117001253_OXA_3.jpg" TargetMode="External" Id="rId3208"/><Relationship Type="http://schemas.openxmlformats.org/officeDocument/2006/relationships/hyperlink" Target="imagenes/NAUTICA_CLASSICS_117001253_OXA_2.jpg" TargetMode="External" Id="rId3209"/><Relationship Type="http://schemas.openxmlformats.org/officeDocument/2006/relationships/hyperlink" Target="imagenes/NAUTICA_CLASSICS_117001253_OXA_3.jpg" TargetMode="External" Id="rId3210"/><Relationship Type="http://schemas.openxmlformats.org/officeDocument/2006/relationships/hyperlink" Target="imagenes/NAUTICA_CLASSICS_117001253_OXA_2.jpg" TargetMode="External" Id="rId3211"/><Relationship Type="http://schemas.openxmlformats.org/officeDocument/2006/relationships/hyperlink" Target="imagenes/NAUTICA_CLASSICS_117001253_OXA_3.jpg" TargetMode="External" Id="rId3212"/><Relationship Type="http://schemas.openxmlformats.org/officeDocument/2006/relationships/hyperlink" Target="imagenes/NAUTICA_CLASSICS_117001253_OXA_2.jpg" TargetMode="External" Id="rId3213"/><Relationship Type="http://schemas.openxmlformats.org/officeDocument/2006/relationships/hyperlink" Target="imagenes/NAUTICA_CLASSICS_117001253_OXA_3.jpg" TargetMode="External" Id="rId3214"/><Relationship Type="http://schemas.openxmlformats.org/officeDocument/2006/relationships/hyperlink" Target="imagenes/NAUTICA_CLASSICS_117001253_OXA_2.jpg" TargetMode="External" Id="rId3215"/><Relationship Type="http://schemas.openxmlformats.org/officeDocument/2006/relationships/hyperlink" Target="imagenes/NAUTICA_CLASSICS_117001253_OXA_3.jpg" TargetMode="External" Id="rId3216"/><Relationship Type="http://schemas.openxmlformats.org/officeDocument/2006/relationships/hyperlink" Target="imagenes/NAUTICA_CLASSICS_117001253_OXA_2.jpg" TargetMode="External" Id="rId3217"/><Relationship Type="http://schemas.openxmlformats.org/officeDocument/2006/relationships/hyperlink" Target="imagenes/NAUTICA_CLASSICS_117001253_OXA_3.jpg" TargetMode="External" Id="rId3218"/><Relationship Type="http://schemas.openxmlformats.org/officeDocument/2006/relationships/hyperlink" Target="imagenes/NAUTICA_CLASSICS_117001619_BLK_1.jpg" TargetMode="External" Id="rId3219"/><Relationship Type="http://schemas.openxmlformats.org/officeDocument/2006/relationships/hyperlink" Target="imagenes/NAUTICA_CLASSICS_117001619_BLK_2.jpg" TargetMode="External" Id="rId3220"/><Relationship Type="http://schemas.openxmlformats.org/officeDocument/2006/relationships/hyperlink" Target="imagenes/NAUTICA_CLASSICS_117001619_BLK_3.jpg" TargetMode="External" Id="rId3221"/><Relationship Type="http://schemas.openxmlformats.org/officeDocument/2006/relationships/hyperlink" Target="imagenes/NAUTICA_CLASSICS_117001619_BLK_1.jpg" TargetMode="External" Id="rId3222"/><Relationship Type="http://schemas.openxmlformats.org/officeDocument/2006/relationships/hyperlink" Target="imagenes/NAUTICA_CLASSICS_117001619_BLK_2.jpg" TargetMode="External" Id="rId3223"/><Relationship Type="http://schemas.openxmlformats.org/officeDocument/2006/relationships/hyperlink" Target="imagenes/NAUTICA_CLASSICS_117001619_BLK_3.jpg" TargetMode="External" Id="rId3224"/><Relationship Type="http://schemas.openxmlformats.org/officeDocument/2006/relationships/hyperlink" Target="imagenes/NAUTICA_CLASSICS_117001619_BLK_1.jpg" TargetMode="External" Id="rId3225"/><Relationship Type="http://schemas.openxmlformats.org/officeDocument/2006/relationships/hyperlink" Target="imagenes/NAUTICA_CLASSICS_117001619_BLK_2.jpg" TargetMode="External" Id="rId3226"/><Relationship Type="http://schemas.openxmlformats.org/officeDocument/2006/relationships/hyperlink" Target="imagenes/NAUTICA_CLASSICS_117001619_BLK_3.jpg" TargetMode="External" Id="rId3227"/><Relationship Type="http://schemas.openxmlformats.org/officeDocument/2006/relationships/hyperlink" Target="imagenes/NAUTICA_CLASSICS_117001619_NSS_1.jpg" TargetMode="External" Id="rId3228"/><Relationship Type="http://schemas.openxmlformats.org/officeDocument/2006/relationships/hyperlink" Target="imagenes/NAUTICA_CLASSICS_117001619_NSS_2.jpg" TargetMode="External" Id="rId3229"/><Relationship Type="http://schemas.openxmlformats.org/officeDocument/2006/relationships/hyperlink" Target="imagenes/NAUTICA_CLASSICS_117001619_NSS_3.jpg" TargetMode="External" Id="rId3230"/><Relationship Type="http://schemas.openxmlformats.org/officeDocument/2006/relationships/hyperlink" Target="imagenes/NAUTICA_CLASSICS_117001619_NSS_1.jpg" TargetMode="External" Id="rId3231"/><Relationship Type="http://schemas.openxmlformats.org/officeDocument/2006/relationships/hyperlink" Target="imagenes/NAUTICA_CLASSICS_117001619_NSS_2.jpg" TargetMode="External" Id="rId3232"/><Relationship Type="http://schemas.openxmlformats.org/officeDocument/2006/relationships/hyperlink" Target="imagenes/NAUTICA_CLASSICS_117001619_NSS_3.jpg" TargetMode="External" Id="rId3233"/><Relationship Type="http://schemas.openxmlformats.org/officeDocument/2006/relationships/hyperlink" Target="imagenes/NAUTICA_CLASSICS_117001619_NSS_1.jpg" TargetMode="External" Id="rId3234"/><Relationship Type="http://schemas.openxmlformats.org/officeDocument/2006/relationships/hyperlink" Target="imagenes/NAUTICA_CLASSICS_117001619_NSS_2.jpg" TargetMode="External" Id="rId3235"/><Relationship Type="http://schemas.openxmlformats.org/officeDocument/2006/relationships/hyperlink" Target="imagenes/NAUTICA_CLASSICS_117001619_NSS_3.jpg" TargetMode="External" Id="rId3236"/><Relationship Type="http://schemas.openxmlformats.org/officeDocument/2006/relationships/hyperlink" Target="imagenes/NAUTICA_CLASSICS_117001619_SPQ_1.jpg" TargetMode="External" Id="rId3237"/><Relationship Type="http://schemas.openxmlformats.org/officeDocument/2006/relationships/hyperlink" Target="imagenes/NAUTICA_CLASSICS_117001619_SPQ_2.jpg" TargetMode="External" Id="rId3238"/><Relationship Type="http://schemas.openxmlformats.org/officeDocument/2006/relationships/hyperlink" Target="imagenes/NAUTICA_CLASSICS_117001619_SPQ_3.jpg" TargetMode="External" Id="rId3239"/><Relationship Type="http://schemas.openxmlformats.org/officeDocument/2006/relationships/hyperlink" Target="imagenes/NAUTICA_CLASSICS_117001619_SPQ_1.jpg" TargetMode="External" Id="rId3240"/><Relationship Type="http://schemas.openxmlformats.org/officeDocument/2006/relationships/hyperlink" Target="imagenes/NAUTICA_CLASSICS_117001619_SPQ_2.jpg" TargetMode="External" Id="rId3241"/><Relationship Type="http://schemas.openxmlformats.org/officeDocument/2006/relationships/hyperlink" Target="imagenes/NAUTICA_CLASSICS_117001619_SPQ_3.jpg" TargetMode="External" Id="rId3242"/><Relationship Type="http://schemas.openxmlformats.org/officeDocument/2006/relationships/hyperlink" Target="imagenes/NAUTICA_CLASSICS_117001619_SPQ_1.jpg" TargetMode="External" Id="rId3243"/><Relationship Type="http://schemas.openxmlformats.org/officeDocument/2006/relationships/hyperlink" Target="imagenes/NAUTICA_CLASSICS_117001619_SPQ_2.jpg" TargetMode="External" Id="rId3244"/><Relationship Type="http://schemas.openxmlformats.org/officeDocument/2006/relationships/hyperlink" Target="imagenes/NAUTICA_CLASSICS_117001619_SPQ_3.jpg" TargetMode="External" Id="rId3245"/><Relationship Type="http://schemas.openxmlformats.org/officeDocument/2006/relationships/hyperlink" Target="imagenes/NAUTICA_CLASSICS_117001645_BLK_1.jpg" TargetMode="External" Id="rId3246"/><Relationship Type="http://schemas.openxmlformats.org/officeDocument/2006/relationships/hyperlink" Target="imagenes/NAUTICA_CLASSICS_117001645_BLK_2.jpg" TargetMode="External" Id="rId3247"/><Relationship Type="http://schemas.openxmlformats.org/officeDocument/2006/relationships/hyperlink" Target="imagenes/NAUTICA_CLASSICS_117001645_BLK_3.jpg" TargetMode="External" Id="rId3248"/><Relationship Type="http://schemas.openxmlformats.org/officeDocument/2006/relationships/hyperlink" Target="imagenes/NAUTICA_CLASSICS_117001645_BLK_1.jpg" TargetMode="External" Id="rId3249"/><Relationship Type="http://schemas.openxmlformats.org/officeDocument/2006/relationships/hyperlink" Target="imagenes/NAUTICA_CLASSICS_117001645_BLK_2.jpg" TargetMode="External" Id="rId3250"/><Relationship Type="http://schemas.openxmlformats.org/officeDocument/2006/relationships/hyperlink" Target="imagenes/NAUTICA_CLASSICS_117001645_BLK_3.jpg" TargetMode="External" Id="rId3251"/><Relationship Type="http://schemas.openxmlformats.org/officeDocument/2006/relationships/hyperlink" Target="imagenes/NAUTICA_CLASSICS_117001645_BLK_1.jpg" TargetMode="External" Id="rId3252"/><Relationship Type="http://schemas.openxmlformats.org/officeDocument/2006/relationships/hyperlink" Target="imagenes/NAUTICA_CLASSICS_117001645_BLK_2.jpg" TargetMode="External" Id="rId3253"/><Relationship Type="http://schemas.openxmlformats.org/officeDocument/2006/relationships/hyperlink" Target="imagenes/NAUTICA_CLASSICS_117001645_BLK_3.jpg" TargetMode="External" Id="rId3254"/><Relationship Type="http://schemas.openxmlformats.org/officeDocument/2006/relationships/hyperlink" Target="imagenes/NAUTICA_CLASSICS_117001645_BLK_1.jpg" TargetMode="External" Id="rId3255"/><Relationship Type="http://schemas.openxmlformats.org/officeDocument/2006/relationships/hyperlink" Target="imagenes/NAUTICA_CLASSICS_117001645_BLK_2.jpg" TargetMode="External" Id="rId3256"/><Relationship Type="http://schemas.openxmlformats.org/officeDocument/2006/relationships/hyperlink" Target="imagenes/NAUTICA_CLASSICS_117001645_BLK_3.jpg" TargetMode="External" Id="rId3257"/><Relationship Type="http://schemas.openxmlformats.org/officeDocument/2006/relationships/hyperlink" Target="imagenes/NAUTICA_CLASSICS_117001645_NSS_1.jpg" TargetMode="External" Id="rId3258"/><Relationship Type="http://schemas.openxmlformats.org/officeDocument/2006/relationships/hyperlink" Target="imagenes/NAUTICA_CLASSICS_117001645_NSS_2.jpg" TargetMode="External" Id="rId3259"/><Relationship Type="http://schemas.openxmlformats.org/officeDocument/2006/relationships/hyperlink" Target="imagenes/NAUTICA_CLASSICS_117001645_NSS_3.jpg" TargetMode="External" Id="rId3260"/><Relationship Type="http://schemas.openxmlformats.org/officeDocument/2006/relationships/hyperlink" Target="imagenes/NAUTICA_CLASSICS_117001645_NSS_1.jpg" TargetMode="External" Id="rId3261"/><Relationship Type="http://schemas.openxmlformats.org/officeDocument/2006/relationships/hyperlink" Target="imagenes/NAUTICA_CLASSICS_117001645_NSS_2.jpg" TargetMode="External" Id="rId3262"/><Relationship Type="http://schemas.openxmlformats.org/officeDocument/2006/relationships/hyperlink" Target="imagenes/NAUTICA_CLASSICS_117001645_NSS_3.jpg" TargetMode="External" Id="rId3263"/><Relationship Type="http://schemas.openxmlformats.org/officeDocument/2006/relationships/hyperlink" Target="imagenes/NAUTICA_CLASSICS_117001645_NSS_1.jpg" TargetMode="External" Id="rId3264"/><Relationship Type="http://schemas.openxmlformats.org/officeDocument/2006/relationships/hyperlink" Target="imagenes/NAUTICA_CLASSICS_117001645_NSS_2.jpg" TargetMode="External" Id="rId3265"/><Relationship Type="http://schemas.openxmlformats.org/officeDocument/2006/relationships/hyperlink" Target="imagenes/NAUTICA_CLASSICS_117001645_NSS_3.jpg" TargetMode="External" Id="rId3266"/><Relationship Type="http://schemas.openxmlformats.org/officeDocument/2006/relationships/hyperlink" Target="imagenes/NAUTICA_CLASSICS_117001645_NSS_1.jpg" TargetMode="External" Id="rId3267"/><Relationship Type="http://schemas.openxmlformats.org/officeDocument/2006/relationships/hyperlink" Target="imagenes/NAUTICA_CLASSICS_117001645_NSS_2.jpg" TargetMode="External" Id="rId3268"/><Relationship Type="http://schemas.openxmlformats.org/officeDocument/2006/relationships/hyperlink" Target="imagenes/NAUTICA_CLASSICS_117001645_NSS_3.jpg" TargetMode="External" Id="rId3269"/><Relationship Type="http://schemas.openxmlformats.org/officeDocument/2006/relationships/hyperlink" Target="imagenes/NAUTICA_CLASSICS_117001645_NSS_1.jpg" TargetMode="External" Id="rId3270"/><Relationship Type="http://schemas.openxmlformats.org/officeDocument/2006/relationships/hyperlink" Target="imagenes/NAUTICA_CLASSICS_117001645_NSS_2.jpg" TargetMode="External" Id="rId3271"/><Relationship Type="http://schemas.openxmlformats.org/officeDocument/2006/relationships/hyperlink" Target="imagenes/NAUTICA_CLASSICS_117001645_NSS_3.jpg" TargetMode="External" Id="rId3272"/><Relationship Type="http://schemas.openxmlformats.org/officeDocument/2006/relationships/hyperlink" Target="imagenes/NAUTICA_CLASSICS_117001646_BLK_1.jpg" TargetMode="External" Id="rId3273"/><Relationship Type="http://schemas.openxmlformats.org/officeDocument/2006/relationships/hyperlink" Target="imagenes/NAUTICA_CLASSICS_117001646_BLK_2.jpg" TargetMode="External" Id="rId3274"/><Relationship Type="http://schemas.openxmlformats.org/officeDocument/2006/relationships/hyperlink" Target="imagenes/NAUTICA_CLASSICS_117001646_BLK_3.jpg" TargetMode="External" Id="rId3275"/><Relationship Type="http://schemas.openxmlformats.org/officeDocument/2006/relationships/hyperlink" Target="imagenes/NAUTICA_CLASSICS_117001646_BLK_1.jpg" TargetMode="External" Id="rId3276"/><Relationship Type="http://schemas.openxmlformats.org/officeDocument/2006/relationships/hyperlink" Target="imagenes/NAUTICA_CLASSICS_117001646_BLK_2.jpg" TargetMode="External" Id="rId3277"/><Relationship Type="http://schemas.openxmlformats.org/officeDocument/2006/relationships/hyperlink" Target="imagenes/NAUTICA_CLASSICS_117001646_BLK_3.jpg" TargetMode="External" Id="rId3278"/><Relationship Type="http://schemas.openxmlformats.org/officeDocument/2006/relationships/hyperlink" Target="imagenes/NAUTICA_CLASSICS_117001646_BLK_1.jpg" TargetMode="External" Id="rId3279"/><Relationship Type="http://schemas.openxmlformats.org/officeDocument/2006/relationships/hyperlink" Target="imagenes/NAUTICA_CLASSICS_117001646_BLK_2.jpg" TargetMode="External" Id="rId3280"/><Relationship Type="http://schemas.openxmlformats.org/officeDocument/2006/relationships/hyperlink" Target="imagenes/NAUTICA_CLASSICS_117001646_BLK_3.jpg" TargetMode="External" Id="rId3281"/><Relationship Type="http://schemas.openxmlformats.org/officeDocument/2006/relationships/hyperlink" Target="imagenes/NAUTICA_CLASSICS_117001646_BLK_1.jpg" TargetMode="External" Id="rId3282"/><Relationship Type="http://schemas.openxmlformats.org/officeDocument/2006/relationships/hyperlink" Target="imagenes/NAUTICA_CLASSICS_117001646_BLK_2.jpg" TargetMode="External" Id="rId3283"/><Relationship Type="http://schemas.openxmlformats.org/officeDocument/2006/relationships/hyperlink" Target="imagenes/NAUTICA_CLASSICS_117001646_BLK_3.jpg" TargetMode="External" Id="rId3284"/><Relationship Type="http://schemas.openxmlformats.org/officeDocument/2006/relationships/hyperlink" Target="imagenes/NAUTICA_CLASSICS_117001646_BLK_1.jpg" TargetMode="External" Id="rId3285"/><Relationship Type="http://schemas.openxmlformats.org/officeDocument/2006/relationships/hyperlink" Target="imagenes/NAUTICA_CLASSICS_117001646_BLK_2.jpg" TargetMode="External" Id="rId3286"/><Relationship Type="http://schemas.openxmlformats.org/officeDocument/2006/relationships/hyperlink" Target="imagenes/NAUTICA_CLASSICS_117001646_BLK_3.jpg" TargetMode="External" Id="rId3287"/><Relationship Type="http://schemas.openxmlformats.org/officeDocument/2006/relationships/hyperlink" Target="imagenes/NAUTICA_CLASSICS_117001646_LMS_1.jpg" TargetMode="External" Id="rId3288"/><Relationship Type="http://schemas.openxmlformats.org/officeDocument/2006/relationships/hyperlink" Target="imagenes/NAUTICA_CLASSICS_117001646_LMS_2.jpg" TargetMode="External" Id="rId3289"/><Relationship Type="http://schemas.openxmlformats.org/officeDocument/2006/relationships/hyperlink" Target="imagenes/NAUTICA_CLASSICS_117001646_LMS_3.jpg" TargetMode="External" Id="rId3290"/><Relationship Type="http://schemas.openxmlformats.org/officeDocument/2006/relationships/hyperlink" Target="imagenes/NAUTICA_CLASSICS_117001646_LMS_1.jpg" TargetMode="External" Id="rId3291"/><Relationship Type="http://schemas.openxmlformats.org/officeDocument/2006/relationships/hyperlink" Target="imagenes/NAUTICA_CLASSICS_117001646_LMS_2.jpg" TargetMode="External" Id="rId3292"/><Relationship Type="http://schemas.openxmlformats.org/officeDocument/2006/relationships/hyperlink" Target="imagenes/NAUTICA_CLASSICS_117001646_LMS_3.jpg" TargetMode="External" Id="rId3293"/><Relationship Type="http://schemas.openxmlformats.org/officeDocument/2006/relationships/hyperlink" Target="imagenes/NAUTICA_CLASSICS_117001710_NSS_1.jpg" TargetMode="External" Id="rId3294"/><Relationship Type="http://schemas.openxmlformats.org/officeDocument/2006/relationships/hyperlink" Target="imagenes/NAUTICA_CLASSICS_117001710_NSS_2.jpg" TargetMode="External" Id="rId3295"/><Relationship Type="http://schemas.openxmlformats.org/officeDocument/2006/relationships/hyperlink" Target="imagenes/NAUTICA_CLASSICS_117001710_NSS_3.jpg" TargetMode="External" Id="rId3296"/><Relationship Type="http://schemas.openxmlformats.org/officeDocument/2006/relationships/hyperlink" Target="imagenes/NAUTICA_CLASSICS_117001710_VDE_1.jpg" TargetMode="External" Id="rId3297"/><Relationship Type="http://schemas.openxmlformats.org/officeDocument/2006/relationships/hyperlink" Target="imagenes/NAUTICA_CLASSICS_117001710_VDE_2.jpg" TargetMode="External" Id="rId3298"/><Relationship Type="http://schemas.openxmlformats.org/officeDocument/2006/relationships/hyperlink" Target="imagenes/NAUTICA_CLASSICS_117001710_VDE_3.jpg" TargetMode="External" Id="rId3299"/><Relationship Type="http://schemas.openxmlformats.org/officeDocument/2006/relationships/hyperlink" Target="imagenes/NAUTICA_CLASSICS_117001802_B4K_1.jpg" TargetMode="External" Id="rId3300"/><Relationship Type="http://schemas.openxmlformats.org/officeDocument/2006/relationships/hyperlink" Target="imagenes/NAUTICA_CLASSICS_117001802_B4K_2.jpg" TargetMode="External" Id="rId3301"/><Relationship Type="http://schemas.openxmlformats.org/officeDocument/2006/relationships/hyperlink" Target="imagenes/NAUTICA_CLASSICS_117001802_B4K_3.jpg" TargetMode="External" Id="rId3302"/><Relationship Type="http://schemas.openxmlformats.org/officeDocument/2006/relationships/hyperlink" Target="imagenes/NAUTICA_CLASSICS_117001802_BLK_1.jpg" TargetMode="External" Id="rId3303"/><Relationship Type="http://schemas.openxmlformats.org/officeDocument/2006/relationships/hyperlink" Target="imagenes/NAUTICA_CLASSICS_117001802_BLK_2.jpg" TargetMode="External" Id="rId3304"/><Relationship Type="http://schemas.openxmlformats.org/officeDocument/2006/relationships/hyperlink" Target="imagenes/NAUTICA_CLASSICS_117001802_BLK_3.jpg" TargetMode="External" Id="rId3305"/><Relationship Type="http://schemas.openxmlformats.org/officeDocument/2006/relationships/hyperlink" Target="imagenes/NAUTICA_CLASSICS_117001802_BLK_1.jpg" TargetMode="External" Id="rId3306"/><Relationship Type="http://schemas.openxmlformats.org/officeDocument/2006/relationships/hyperlink" Target="imagenes/NAUTICA_CLASSICS_117001802_BLK_2.jpg" TargetMode="External" Id="rId3307"/><Relationship Type="http://schemas.openxmlformats.org/officeDocument/2006/relationships/hyperlink" Target="imagenes/NAUTICA_CLASSICS_117001802_BLK_3.jpg" TargetMode="External" Id="rId3308"/><Relationship Type="http://schemas.openxmlformats.org/officeDocument/2006/relationships/hyperlink" Target="imagenes/NAUTICA_CLASSICS_117001802_BLK_1.jpg" TargetMode="External" Id="rId3309"/><Relationship Type="http://schemas.openxmlformats.org/officeDocument/2006/relationships/hyperlink" Target="imagenes/NAUTICA_CLASSICS_117001802_BLK_2.jpg" TargetMode="External" Id="rId3310"/><Relationship Type="http://schemas.openxmlformats.org/officeDocument/2006/relationships/hyperlink" Target="imagenes/NAUTICA_CLASSICS_117001802_BLK_3.jpg" TargetMode="External" Id="rId3311"/><Relationship Type="http://schemas.openxmlformats.org/officeDocument/2006/relationships/hyperlink" Target="imagenes/NAUTICA_CLASSICS_117001802_BLK_1.jpg" TargetMode="External" Id="rId3312"/><Relationship Type="http://schemas.openxmlformats.org/officeDocument/2006/relationships/hyperlink" Target="imagenes/NAUTICA_CLASSICS_117001802_BLK_2.jpg" TargetMode="External" Id="rId3313"/><Relationship Type="http://schemas.openxmlformats.org/officeDocument/2006/relationships/hyperlink" Target="imagenes/NAUTICA_CLASSICS_117001802_BLK_3.jpg" TargetMode="External" Id="rId3314"/><Relationship Type="http://schemas.openxmlformats.org/officeDocument/2006/relationships/hyperlink" Target="imagenes/NAUTICA_CLASSICS_117001802_BLK_1.jpg" TargetMode="External" Id="rId3315"/><Relationship Type="http://schemas.openxmlformats.org/officeDocument/2006/relationships/hyperlink" Target="imagenes/NAUTICA_CLASSICS_117001802_BLK_2.jpg" TargetMode="External" Id="rId3316"/><Relationship Type="http://schemas.openxmlformats.org/officeDocument/2006/relationships/hyperlink" Target="imagenes/NAUTICA_CLASSICS_117001802_BLK_3.jpg" TargetMode="External" Id="rId3317"/><Relationship Type="http://schemas.openxmlformats.org/officeDocument/2006/relationships/hyperlink" Target="imagenes/NAUTICA_CLASSICS_117001802_BLK_1.jpg" TargetMode="External" Id="rId3318"/><Relationship Type="http://schemas.openxmlformats.org/officeDocument/2006/relationships/hyperlink" Target="imagenes/NAUTICA_CLASSICS_117001802_BLK_2.jpg" TargetMode="External" Id="rId3319"/><Relationship Type="http://schemas.openxmlformats.org/officeDocument/2006/relationships/hyperlink" Target="imagenes/NAUTICA_CLASSICS_117001802_BLK_3.jpg" TargetMode="External" Id="rId3320"/><Relationship Type="http://schemas.openxmlformats.org/officeDocument/2006/relationships/hyperlink" Target="imagenes/NAUTICA_CLASSICS_117001802_BLK_1.jpg" TargetMode="External" Id="rId3321"/><Relationship Type="http://schemas.openxmlformats.org/officeDocument/2006/relationships/hyperlink" Target="imagenes/NAUTICA_CLASSICS_117001802_BLK_2.jpg" TargetMode="External" Id="rId3322"/><Relationship Type="http://schemas.openxmlformats.org/officeDocument/2006/relationships/hyperlink" Target="imagenes/NAUTICA_CLASSICS_117001802_BLK_3.jpg" TargetMode="External" Id="rId3323"/><Relationship Type="http://schemas.openxmlformats.org/officeDocument/2006/relationships/hyperlink" Target="imagenes/NAUTICA_CLASSICS_117001802_BLK_1.jpg" TargetMode="External" Id="rId3324"/><Relationship Type="http://schemas.openxmlformats.org/officeDocument/2006/relationships/hyperlink" Target="imagenes/NAUTICA_CLASSICS_117001802_BLK_2.jpg" TargetMode="External" Id="rId3325"/><Relationship Type="http://schemas.openxmlformats.org/officeDocument/2006/relationships/hyperlink" Target="imagenes/NAUTICA_CLASSICS_117001802_BLK_3.jpg" TargetMode="External" Id="rId3326"/><Relationship Type="http://schemas.openxmlformats.org/officeDocument/2006/relationships/hyperlink" Target="imagenes/NAUTICA_CLASSICS_117001802_BLK_1.jpg" TargetMode="External" Id="rId3327"/><Relationship Type="http://schemas.openxmlformats.org/officeDocument/2006/relationships/hyperlink" Target="imagenes/NAUTICA_CLASSICS_117001802_BLK_2.jpg" TargetMode="External" Id="rId3328"/><Relationship Type="http://schemas.openxmlformats.org/officeDocument/2006/relationships/hyperlink" Target="imagenes/NAUTICA_CLASSICS_117001802_BLK_3.jpg" TargetMode="External" Id="rId3329"/><Relationship Type="http://schemas.openxmlformats.org/officeDocument/2006/relationships/hyperlink" Target="imagenes/NAUTICA_CLASSICS_117001802_BLK_1.jpg" TargetMode="External" Id="rId3330"/><Relationship Type="http://schemas.openxmlformats.org/officeDocument/2006/relationships/hyperlink" Target="imagenes/NAUTICA_CLASSICS_117001802_BLK_2.jpg" TargetMode="External" Id="rId3331"/><Relationship Type="http://schemas.openxmlformats.org/officeDocument/2006/relationships/hyperlink" Target="imagenes/NAUTICA_CLASSICS_117001802_BLK_3.jpg" TargetMode="External" Id="rId3332"/><Relationship Type="http://schemas.openxmlformats.org/officeDocument/2006/relationships/hyperlink" Target="imagenes/NAUTICA_CLASSICS_117001802_BLK_1.jpg" TargetMode="External" Id="rId3333"/><Relationship Type="http://schemas.openxmlformats.org/officeDocument/2006/relationships/hyperlink" Target="imagenes/NAUTICA_CLASSICS_117001802_BLK_2.jpg" TargetMode="External" Id="rId3334"/><Relationship Type="http://schemas.openxmlformats.org/officeDocument/2006/relationships/hyperlink" Target="imagenes/NAUTICA_CLASSICS_117001802_BLK_3.jpg" TargetMode="External" Id="rId3335"/><Relationship Type="http://schemas.openxmlformats.org/officeDocument/2006/relationships/hyperlink" Target="imagenes/NAUTICA_CLASSICS_117001802_BLK_1.jpg" TargetMode="External" Id="rId3336"/><Relationship Type="http://schemas.openxmlformats.org/officeDocument/2006/relationships/hyperlink" Target="imagenes/NAUTICA_CLASSICS_117001802_BLK_2.jpg" TargetMode="External" Id="rId3337"/><Relationship Type="http://schemas.openxmlformats.org/officeDocument/2006/relationships/hyperlink" Target="imagenes/NAUTICA_CLASSICS_117001802_BLK_3.jpg" TargetMode="External" Id="rId3338"/><Relationship Type="http://schemas.openxmlformats.org/officeDocument/2006/relationships/hyperlink" Target="imagenes/NAUTICA_CLASSICS_117001802_HBE_1.jpg" TargetMode="External" Id="rId3339"/><Relationship Type="http://schemas.openxmlformats.org/officeDocument/2006/relationships/hyperlink" Target="imagenes/NAUTICA_CLASSICS_117001802_HBE_2.jpg" TargetMode="External" Id="rId3340"/><Relationship Type="http://schemas.openxmlformats.org/officeDocument/2006/relationships/hyperlink" Target="imagenes/NAUTICA_CLASSICS_117001802_HBE_3.jpg" TargetMode="External" Id="rId3341"/><Relationship Type="http://schemas.openxmlformats.org/officeDocument/2006/relationships/hyperlink" Target="imagenes/NAUTICA_CLASSICS_117001802_PS3_1.jpg" TargetMode="External" Id="rId3342"/><Relationship Type="http://schemas.openxmlformats.org/officeDocument/2006/relationships/hyperlink" Target="imagenes/NAUTICA_CLASSICS_117001802_PS3_2.jpg" TargetMode="External" Id="rId3343"/><Relationship Type="http://schemas.openxmlformats.org/officeDocument/2006/relationships/hyperlink" Target="imagenes/NAUTICA_CLASSICS_117001802_PS3_3.jpg" TargetMode="External" Id="rId3344"/><Relationship Type="http://schemas.openxmlformats.org/officeDocument/2006/relationships/hyperlink" Target="imagenes/NAUTICA_CLASSICS_117001802_PS3_1.jpg" TargetMode="External" Id="rId3345"/><Relationship Type="http://schemas.openxmlformats.org/officeDocument/2006/relationships/hyperlink" Target="imagenes/NAUTICA_CLASSICS_117001802_PS3_2.jpg" TargetMode="External" Id="rId3346"/><Relationship Type="http://schemas.openxmlformats.org/officeDocument/2006/relationships/hyperlink" Target="imagenes/NAUTICA_CLASSICS_117001802_PS3_3.jpg" TargetMode="External" Id="rId3347"/><Relationship Type="http://schemas.openxmlformats.org/officeDocument/2006/relationships/hyperlink" Target="imagenes/NAUTICA_CLASSICS_117001802_PS3_1.jpg" TargetMode="External" Id="rId3348"/><Relationship Type="http://schemas.openxmlformats.org/officeDocument/2006/relationships/hyperlink" Target="imagenes/NAUTICA_CLASSICS_117001802_PS3_2.jpg" TargetMode="External" Id="rId3349"/><Relationship Type="http://schemas.openxmlformats.org/officeDocument/2006/relationships/hyperlink" Target="imagenes/NAUTICA_CLASSICS_117001802_PS3_3.jpg" TargetMode="External" Id="rId3350"/><Relationship Type="http://schemas.openxmlformats.org/officeDocument/2006/relationships/hyperlink" Target="imagenes/NAUTICA_CLASSICS_117001802_PS3_1.jpg" TargetMode="External" Id="rId3351"/><Relationship Type="http://schemas.openxmlformats.org/officeDocument/2006/relationships/hyperlink" Target="imagenes/NAUTICA_CLASSICS_117001802_PS3_2.jpg" TargetMode="External" Id="rId3352"/><Relationship Type="http://schemas.openxmlformats.org/officeDocument/2006/relationships/hyperlink" Target="imagenes/NAUTICA_CLASSICS_117001802_PS3_3.jpg" TargetMode="External" Id="rId3353"/><Relationship Type="http://schemas.openxmlformats.org/officeDocument/2006/relationships/hyperlink" Target="imagenes/NAUTICA_CLASSICS_117001802_PS3_1.jpg" TargetMode="External" Id="rId3354"/><Relationship Type="http://schemas.openxmlformats.org/officeDocument/2006/relationships/hyperlink" Target="imagenes/NAUTICA_CLASSICS_117001802_PS3_2.jpg" TargetMode="External" Id="rId3355"/><Relationship Type="http://schemas.openxmlformats.org/officeDocument/2006/relationships/hyperlink" Target="imagenes/NAUTICA_CLASSICS_117001802_PS3_3.jpg" TargetMode="External" Id="rId3356"/><Relationship Type="http://schemas.openxmlformats.org/officeDocument/2006/relationships/hyperlink" Target="imagenes/NAUTICA_CLASSICS_117001802_PS3_1.jpg" TargetMode="External" Id="rId3357"/><Relationship Type="http://schemas.openxmlformats.org/officeDocument/2006/relationships/hyperlink" Target="imagenes/NAUTICA_CLASSICS_117001802_PS3_2.jpg" TargetMode="External" Id="rId3358"/><Relationship Type="http://schemas.openxmlformats.org/officeDocument/2006/relationships/hyperlink" Target="imagenes/NAUTICA_CLASSICS_117001802_PS3_3.jpg" TargetMode="External" Id="rId3359"/><Relationship Type="http://schemas.openxmlformats.org/officeDocument/2006/relationships/hyperlink" Target="imagenes/NAUTICA_CLASSICS_117001802_PS3_1.jpg" TargetMode="External" Id="rId3360"/><Relationship Type="http://schemas.openxmlformats.org/officeDocument/2006/relationships/hyperlink" Target="imagenes/NAUTICA_CLASSICS_117001802_PS3_2.jpg" TargetMode="External" Id="rId3361"/><Relationship Type="http://schemas.openxmlformats.org/officeDocument/2006/relationships/hyperlink" Target="imagenes/NAUTICA_CLASSICS_117001802_PS3_3.jpg" TargetMode="External" Id="rId3362"/><Relationship Type="http://schemas.openxmlformats.org/officeDocument/2006/relationships/hyperlink" Target="imagenes/NAUTICA_CLASSICS_117001802_PS3_1.jpg" TargetMode="External" Id="rId3363"/><Relationship Type="http://schemas.openxmlformats.org/officeDocument/2006/relationships/hyperlink" Target="imagenes/NAUTICA_CLASSICS_117001802_PS3_2.jpg" TargetMode="External" Id="rId3364"/><Relationship Type="http://schemas.openxmlformats.org/officeDocument/2006/relationships/hyperlink" Target="imagenes/NAUTICA_CLASSICS_117001802_PS3_3.jpg" TargetMode="External" Id="rId3365"/><Relationship Type="http://schemas.openxmlformats.org/officeDocument/2006/relationships/hyperlink" Target="imagenes/NAUTICA_CLASSICS_117001802_PS3_1.jpg" TargetMode="External" Id="rId3366"/><Relationship Type="http://schemas.openxmlformats.org/officeDocument/2006/relationships/hyperlink" Target="imagenes/NAUTICA_CLASSICS_117001802_PS3_2.jpg" TargetMode="External" Id="rId3367"/><Relationship Type="http://schemas.openxmlformats.org/officeDocument/2006/relationships/hyperlink" Target="imagenes/NAUTICA_CLASSICS_117001802_PS3_3.jpg" TargetMode="External" Id="rId3368"/><Relationship Type="http://schemas.openxmlformats.org/officeDocument/2006/relationships/hyperlink" Target="imagenes/NAUTICA_CLASSICS_117001802_PS3_1.jpg" TargetMode="External" Id="rId3369"/><Relationship Type="http://schemas.openxmlformats.org/officeDocument/2006/relationships/hyperlink" Target="imagenes/NAUTICA_CLASSICS_117001802_PS3_2.jpg" TargetMode="External" Id="rId3370"/><Relationship Type="http://schemas.openxmlformats.org/officeDocument/2006/relationships/hyperlink" Target="imagenes/NAUTICA_CLASSICS_117001802_PS3_3.jpg" TargetMode="External" Id="rId3371"/><Relationship Type="http://schemas.openxmlformats.org/officeDocument/2006/relationships/hyperlink" Target="imagenes/NAUTICA_CLASSICS_117001802_ZCR_1.jpg" TargetMode="External" Id="rId3372"/><Relationship Type="http://schemas.openxmlformats.org/officeDocument/2006/relationships/hyperlink" Target="imagenes/NAUTICA_CLASSICS_117001802_ZCR_2.jpg" TargetMode="External" Id="rId3373"/><Relationship Type="http://schemas.openxmlformats.org/officeDocument/2006/relationships/hyperlink" Target="imagenes/NAUTICA_CLASSICS_117001802_ZCR_3.jpg" TargetMode="External" Id="rId3374"/><Relationship Type="http://schemas.openxmlformats.org/officeDocument/2006/relationships/hyperlink" Target="imagenes/NAUTICA_CLASSICS_117001802_ZCR_1.jpg" TargetMode="External" Id="rId3375"/><Relationship Type="http://schemas.openxmlformats.org/officeDocument/2006/relationships/hyperlink" Target="imagenes/NAUTICA_CLASSICS_117001802_ZCR_2.jpg" TargetMode="External" Id="rId3376"/><Relationship Type="http://schemas.openxmlformats.org/officeDocument/2006/relationships/hyperlink" Target="imagenes/NAUTICA_CLASSICS_117001802_ZCR_3.jpg" TargetMode="External" Id="rId3377"/><Relationship Type="http://schemas.openxmlformats.org/officeDocument/2006/relationships/hyperlink" Target="imagenes/NAUTICA_CLASSICS_117001802_ZCR_1.jpg" TargetMode="External" Id="rId3378"/><Relationship Type="http://schemas.openxmlformats.org/officeDocument/2006/relationships/hyperlink" Target="imagenes/NAUTICA_CLASSICS_117001802_ZCR_2.jpg" TargetMode="External" Id="rId3379"/><Relationship Type="http://schemas.openxmlformats.org/officeDocument/2006/relationships/hyperlink" Target="imagenes/NAUTICA_CLASSICS_117001802_ZCR_3.jpg" TargetMode="External" Id="rId3380"/><Relationship Type="http://schemas.openxmlformats.org/officeDocument/2006/relationships/hyperlink" Target="imagenes/NAUTICA_CLASSICS_117001802_ZCR_1.jpg" TargetMode="External" Id="rId3381"/><Relationship Type="http://schemas.openxmlformats.org/officeDocument/2006/relationships/hyperlink" Target="imagenes/NAUTICA_CLASSICS_117001802_ZCR_2.jpg" TargetMode="External" Id="rId3382"/><Relationship Type="http://schemas.openxmlformats.org/officeDocument/2006/relationships/hyperlink" Target="imagenes/NAUTICA_CLASSICS_117001802_ZCR_3.jpg" TargetMode="External" Id="rId3383"/><Relationship Type="http://schemas.openxmlformats.org/officeDocument/2006/relationships/hyperlink" Target="imagenes/NAUTICA_CLASSICS_117001802_ZCR_1.jpg" TargetMode="External" Id="rId3384"/><Relationship Type="http://schemas.openxmlformats.org/officeDocument/2006/relationships/hyperlink" Target="imagenes/NAUTICA_CLASSICS_117001802_ZCR_2.jpg" TargetMode="External" Id="rId3385"/><Relationship Type="http://schemas.openxmlformats.org/officeDocument/2006/relationships/hyperlink" Target="imagenes/NAUTICA_CLASSICS_117001802_ZCR_3.jpg" TargetMode="External" Id="rId3386"/><Relationship Type="http://schemas.openxmlformats.org/officeDocument/2006/relationships/hyperlink" Target="imagenes/NAUTICA_CLASSICS_117001802_ZCR_1.jpg" TargetMode="External" Id="rId3387"/><Relationship Type="http://schemas.openxmlformats.org/officeDocument/2006/relationships/hyperlink" Target="imagenes/NAUTICA_CLASSICS_117001802_ZCR_2.jpg" TargetMode="External" Id="rId3388"/><Relationship Type="http://schemas.openxmlformats.org/officeDocument/2006/relationships/hyperlink" Target="imagenes/NAUTICA_CLASSICS_117001802_ZCR_3.jpg" TargetMode="External" Id="rId3389"/><Relationship Type="http://schemas.openxmlformats.org/officeDocument/2006/relationships/hyperlink" Target="imagenes/NAUTICA_CLASSICS_117001802P_B4K_1.jpg" TargetMode="External" Id="rId3390"/><Relationship Type="http://schemas.openxmlformats.org/officeDocument/2006/relationships/hyperlink" Target="imagenes/NAUTICA_CLASSICS_117001802P_B4K_2.jpg" TargetMode="External" Id="rId3391"/><Relationship Type="http://schemas.openxmlformats.org/officeDocument/2006/relationships/hyperlink" Target="imagenes/NAUTICA_CLASSICS_117001802P_B4K_3.jpg" TargetMode="External" Id="rId3392"/><Relationship Type="http://schemas.openxmlformats.org/officeDocument/2006/relationships/hyperlink" Target="imagenes/NAUTICA_CLASSICS_117001802P_BLK_2.jpg" TargetMode="External" Id="rId3393"/><Relationship Type="http://schemas.openxmlformats.org/officeDocument/2006/relationships/hyperlink" Target="imagenes/NAUTICA_CLASSICS_117001802P_BLK_3.jpg" TargetMode="External" Id="rId3394"/><Relationship Type="http://schemas.openxmlformats.org/officeDocument/2006/relationships/hyperlink" Target="imagenes/NAUTICA_CLASSICS_117001802P_HBE_1.jpg" TargetMode="External" Id="rId3395"/><Relationship Type="http://schemas.openxmlformats.org/officeDocument/2006/relationships/hyperlink" Target="imagenes/NAUTICA_CLASSICS_117001802P_HBE_3.jpg" TargetMode="External" Id="rId3396"/><Relationship Type="http://schemas.openxmlformats.org/officeDocument/2006/relationships/hyperlink" Target="imagenes/NAUTICA_CLASSICS_117001802P_PRY_1.jpg" TargetMode="External" Id="rId3397"/><Relationship Type="http://schemas.openxmlformats.org/officeDocument/2006/relationships/hyperlink" Target="imagenes/NAUTICA_CLASSICS_117001802P_PRY_2.jpg" TargetMode="External" Id="rId3398"/><Relationship Type="http://schemas.openxmlformats.org/officeDocument/2006/relationships/hyperlink" Target="imagenes/NAUTICA_CLASSICS_117001802P_PRY_3.jpg" TargetMode="External" Id="rId3399"/><Relationship Type="http://schemas.openxmlformats.org/officeDocument/2006/relationships/hyperlink" Target="imagenes/NAUTICA_CLASSICS_117001807_B4K_1.jpg" TargetMode="External" Id="rId3400"/><Relationship Type="http://schemas.openxmlformats.org/officeDocument/2006/relationships/hyperlink" Target="imagenes/NAUTICA_CLASSICS_117001807_B4K_2.jpg" TargetMode="External" Id="rId3401"/><Relationship Type="http://schemas.openxmlformats.org/officeDocument/2006/relationships/hyperlink" Target="imagenes/NAUTICA_CLASSICS_117001807_B4K_3.jpg" TargetMode="External" Id="rId3402"/><Relationship Type="http://schemas.openxmlformats.org/officeDocument/2006/relationships/hyperlink" Target="imagenes/NAUTICA_CLASSICS_117001807_B4K_1.jpg" TargetMode="External" Id="rId3403"/><Relationship Type="http://schemas.openxmlformats.org/officeDocument/2006/relationships/hyperlink" Target="imagenes/NAUTICA_CLASSICS_117001807_B4K_2.jpg" TargetMode="External" Id="rId3404"/><Relationship Type="http://schemas.openxmlformats.org/officeDocument/2006/relationships/hyperlink" Target="imagenes/NAUTICA_CLASSICS_117001807_B4K_3.jpg" TargetMode="External" Id="rId3405"/><Relationship Type="http://schemas.openxmlformats.org/officeDocument/2006/relationships/hyperlink" Target="imagenes/NAUTICA_CLASSICS_117001807_B4K_1.jpg" TargetMode="External" Id="rId3406"/><Relationship Type="http://schemas.openxmlformats.org/officeDocument/2006/relationships/hyperlink" Target="imagenes/NAUTICA_CLASSICS_117001807_B4K_2.jpg" TargetMode="External" Id="rId3407"/><Relationship Type="http://schemas.openxmlformats.org/officeDocument/2006/relationships/hyperlink" Target="imagenes/NAUTICA_CLASSICS_117001807_B4K_3.jpg" TargetMode="External" Id="rId3408"/><Relationship Type="http://schemas.openxmlformats.org/officeDocument/2006/relationships/hyperlink" Target="imagenes/NAUTICA_CLASSICS_117001807_B4K_1.jpg" TargetMode="External" Id="rId3409"/><Relationship Type="http://schemas.openxmlformats.org/officeDocument/2006/relationships/hyperlink" Target="imagenes/NAUTICA_CLASSICS_117001807_B4K_2.jpg" TargetMode="External" Id="rId3410"/><Relationship Type="http://schemas.openxmlformats.org/officeDocument/2006/relationships/hyperlink" Target="imagenes/NAUTICA_CLASSICS_117001807_B4K_3.jpg" TargetMode="External" Id="rId3411"/><Relationship Type="http://schemas.openxmlformats.org/officeDocument/2006/relationships/hyperlink" Target="imagenes/NAUTICA_CLASSICS_117001807_BLK_2.jpg" TargetMode="External" Id="rId3412"/><Relationship Type="http://schemas.openxmlformats.org/officeDocument/2006/relationships/hyperlink" Target="imagenes/NAUTICA_CLASSICS_117001807_BLK_3.jpg" TargetMode="External" Id="rId3413"/><Relationship Type="http://schemas.openxmlformats.org/officeDocument/2006/relationships/hyperlink" Target="imagenes/NAUTICA_CLASSICS_117001807_BLK_2.jpg" TargetMode="External" Id="rId3414"/><Relationship Type="http://schemas.openxmlformats.org/officeDocument/2006/relationships/hyperlink" Target="imagenes/NAUTICA_CLASSICS_117001807_BLK_3.jpg" TargetMode="External" Id="rId3415"/><Relationship Type="http://schemas.openxmlformats.org/officeDocument/2006/relationships/hyperlink" Target="imagenes/NAUTICA_CLASSICS_117001807_BLK_2.jpg" TargetMode="External" Id="rId3416"/><Relationship Type="http://schemas.openxmlformats.org/officeDocument/2006/relationships/hyperlink" Target="imagenes/NAUTICA_CLASSICS_117001807_BLK_3.jpg" TargetMode="External" Id="rId3417"/><Relationship Type="http://schemas.openxmlformats.org/officeDocument/2006/relationships/hyperlink" Target="imagenes/NAUTICA_CLASSICS_117001807_BLK_2.jpg" TargetMode="External" Id="rId3418"/><Relationship Type="http://schemas.openxmlformats.org/officeDocument/2006/relationships/hyperlink" Target="imagenes/NAUTICA_CLASSICS_117001807_BLK_3.jpg" TargetMode="External" Id="rId3419"/><Relationship Type="http://schemas.openxmlformats.org/officeDocument/2006/relationships/hyperlink" Target="imagenes/NAUTICA_CLASSICS_117001807_BLK_2.jpg" TargetMode="External" Id="rId3420"/><Relationship Type="http://schemas.openxmlformats.org/officeDocument/2006/relationships/hyperlink" Target="imagenes/NAUTICA_CLASSICS_117001807_BLK_3.jpg" TargetMode="External" Id="rId3421"/><Relationship Type="http://schemas.openxmlformats.org/officeDocument/2006/relationships/hyperlink" Target="imagenes/NAUTICA_CLASSICS_117001807_BLK_2.jpg" TargetMode="External" Id="rId3422"/><Relationship Type="http://schemas.openxmlformats.org/officeDocument/2006/relationships/hyperlink" Target="imagenes/NAUTICA_CLASSICS_117001807_BLK_3.jpg" TargetMode="External" Id="rId3423"/><Relationship Type="http://schemas.openxmlformats.org/officeDocument/2006/relationships/hyperlink" Target="imagenes/NAUTICA_CLASSICS_117001807_BLK_2.jpg" TargetMode="External" Id="rId3424"/><Relationship Type="http://schemas.openxmlformats.org/officeDocument/2006/relationships/hyperlink" Target="imagenes/NAUTICA_CLASSICS_117001807_BLK_3.jpg" TargetMode="External" Id="rId3425"/><Relationship Type="http://schemas.openxmlformats.org/officeDocument/2006/relationships/hyperlink" Target="imagenes/NAUTICA_CLASSICS_117001807_BLK_2.jpg" TargetMode="External" Id="rId3426"/><Relationship Type="http://schemas.openxmlformats.org/officeDocument/2006/relationships/hyperlink" Target="imagenes/NAUTICA_CLASSICS_117001807_BLK_3.jpg" TargetMode="External" Id="rId3427"/><Relationship Type="http://schemas.openxmlformats.org/officeDocument/2006/relationships/hyperlink" Target="imagenes/NAUTICA_CLASSICS_117001807_DEF_1.jpg" TargetMode="External" Id="rId3428"/><Relationship Type="http://schemas.openxmlformats.org/officeDocument/2006/relationships/hyperlink" Target="imagenes/NAUTICA_CLASSICS_117001807_DEF_3.jpg" TargetMode="External" Id="rId3429"/><Relationship Type="http://schemas.openxmlformats.org/officeDocument/2006/relationships/hyperlink" Target="imagenes/NAUTICA_CLASSICS_117001807_DEF_1.jpg" TargetMode="External" Id="rId3430"/><Relationship Type="http://schemas.openxmlformats.org/officeDocument/2006/relationships/hyperlink" Target="imagenes/NAUTICA_CLASSICS_117001807_DEF_3.jpg" TargetMode="External" Id="rId3431"/><Relationship Type="http://schemas.openxmlformats.org/officeDocument/2006/relationships/hyperlink" Target="imagenes/NAUTICA_CLASSICS_117001807_DEF_1.jpg" TargetMode="External" Id="rId3432"/><Relationship Type="http://schemas.openxmlformats.org/officeDocument/2006/relationships/hyperlink" Target="imagenes/NAUTICA_CLASSICS_117001807_DEF_3.jpg" TargetMode="External" Id="rId3433"/><Relationship Type="http://schemas.openxmlformats.org/officeDocument/2006/relationships/hyperlink" Target="imagenes/NAUTICA_CLASSICS_117001807_DEF_1.jpg" TargetMode="External" Id="rId3434"/><Relationship Type="http://schemas.openxmlformats.org/officeDocument/2006/relationships/hyperlink" Target="imagenes/NAUTICA_CLASSICS_117001807_DEF_3.jpg" TargetMode="External" Id="rId3435"/><Relationship Type="http://schemas.openxmlformats.org/officeDocument/2006/relationships/hyperlink" Target="imagenes/NAUTICA_CLASSICS_117001807_DEF_1.jpg" TargetMode="External" Id="rId3436"/><Relationship Type="http://schemas.openxmlformats.org/officeDocument/2006/relationships/hyperlink" Target="imagenes/NAUTICA_CLASSICS_117001807_DEF_3.jpg" TargetMode="External" Id="rId3437"/><Relationship Type="http://schemas.openxmlformats.org/officeDocument/2006/relationships/hyperlink" Target="imagenes/NAUTICA_CLASSICS_117001807_PRY_1.jpg" TargetMode="External" Id="rId3438"/><Relationship Type="http://schemas.openxmlformats.org/officeDocument/2006/relationships/hyperlink" Target="imagenes/NAUTICA_CLASSICS_117001807_PRY_2.jpg" TargetMode="External" Id="rId3439"/><Relationship Type="http://schemas.openxmlformats.org/officeDocument/2006/relationships/hyperlink" Target="imagenes/NAUTICA_CLASSICS_117001807_PRY_3.jpg" TargetMode="External" Id="rId3440"/><Relationship Type="http://schemas.openxmlformats.org/officeDocument/2006/relationships/hyperlink" Target="imagenes/NAUTICA_CLASSICS_117001807_PRY_1.jpg" TargetMode="External" Id="rId3441"/><Relationship Type="http://schemas.openxmlformats.org/officeDocument/2006/relationships/hyperlink" Target="imagenes/NAUTICA_CLASSICS_117001807_PRY_2.jpg" TargetMode="External" Id="rId3442"/><Relationship Type="http://schemas.openxmlformats.org/officeDocument/2006/relationships/hyperlink" Target="imagenes/NAUTICA_CLASSICS_117001807_PRY_3.jpg" TargetMode="External" Id="rId3443"/><Relationship Type="http://schemas.openxmlformats.org/officeDocument/2006/relationships/hyperlink" Target="imagenes/NAUTICA_CLASSICS_117001807_PRY_1.jpg" TargetMode="External" Id="rId3444"/><Relationship Type="http://schemas.openxmlformats.org/officeDocument/2006/relationships/hyperlink" Target="imagenes/NAUTICA_CLASSICS_117001807_PRY_2.jpg" TargetMode="External" Id="rId3445"/><Relationship Type="http://schemas.openxmlformats.org/officeDocument/2006/relationships/hyperlink" Target="imagenes/NAUTICA_CLASSICS_117001807_PRY_3.jpg" TargetMode="External" Id="rId3446"/><Relationship Type="http://schemas.openxmlformats.org/officeDocument/2006/relationships/hyperlink" Target="imagenes/NAUTICA_CLASSICS_117001807_PRY_1.jpg" TargetMode="External" Id="rId3447"/><Relationship Type="http://schemas.openxmlformats.org/officeDocument/2006/relationships/hyperlink" Target="imagenes/NAUTICA_CLASSICS_117001807_PRY_2.jpg" TargetMode="External" Id="rId3448"/><Relationship Type="http://schemas.openxmlformats.org/officeDocument/2006/relationships/hyperlink" Target="imagenes/NAUTICA_CLASSICS_117001807_PRY_3.jpg" TargetMode="External" Id="rId3449"/><Relationship Type="http://schemas.openxmlformats.org/officeDocument/2006/relationships/hyperlink" Target="imagenes/NAUTICA_CLASSICS_117001807_PRY_1.jpg" TargetMode="External" Id="rId3450"/><Relationship Type="http://schemas.openxmlformats.org/officeDocument/2006/relationships/hyperlink" Target="imagenes/NAUTICA_CLASSICS_117001807_PRY_2.jpg" TargetMode="External" Id="rId3451"/><Relationship Type="http://schemas.openxmlformats.org/officeDocument/2006/relationships/hyperlink" Target="imagenes/NAUTICA_CLASSICS_117001807_PRY_3.jpg" TargetMode="External" Id="rId3452"/><Relationship Type="http://schemas.openxmlformats.org/officeDocument/2006/relationships/hyperlink" Target="imagenes/NAUTICA_CLASSICS_117001836_BLK_2.jpg" TargetMode="External" Id="rId3453"/><Relationship Type="http://schemas.openxmlformats.org/officeDocument/2006/relationships/hyperlink" Target="imagenes/NAUTICA_CLASSICS_117001836_BLK_3.jpg" TargetMode="External" Id="rId3454"/><Relationship Type="http://schemas.openxmlformats.org/officeDocument/2006/relationships/hyperlink" Target="imagenes/NAUTICA_CLASSICS_117001836_BLK_2.jpg" TargetMode="External" Id="rId3455"/><Relationship Type="http://schemas.openxmlformats.org/officeDocument/2006/relationships/hyperlink" Target="imagenes/NAUTICA_CLASSICS_117001836_BLK_3.jpg" TargetMode="External" Id="rId3456"/><Relationship Type="http://schemas.openxmlformats.org/officeDocument/2006/relationships/hyperlink" Target="imagenes/NAUTICA_CLASSICS_117001836_BLK_2.jpg" TargetMode="External" Id="rId3457"/><Relationship Type="http://schemas.openxmlformats.org/officeDocument/2006/relationships/hyperlink" Target="imagenes/NAUTICA_CLASSICS_117001836_BLK_3.jpg" TargetMode="External" Id="rId3458"/><Relationship Type="http://schemas.openxmlformats.org/officeDocument/2006/relationships/hyperlink" Target="imagenes/NAUTICA_CLASSICS_117001836_BLK_2.jpg" TargetMode="External" Id="rId3459"/><Relationship Type="http://schemas.openxmlformats.org/officeDocument/2006/relationships/hyperlink" Target="imagenes/NAUTICA_CLASSICS_117001836_BLK_3.jpg" TargetMode="External" Id="rId3460"/><Relationship Type="http://schemas.openxmlformats.org/officeDocument/2006/relationships/hyperlink" Target="imagenes/NAUTICA_CLASSICS_117001836_BLK_2.jpg" TargetMode="External" Id="rId3461"/><Relationship Type="http://schemas.openxmlformats.org/officeDocument/2006/relationships/hyperlink" Target="imagenes/NAUTICA_CLASSICS_117001836_BLK_3.jpg" TargetMode="External" Id="rId3462"/><Relationship Type="http://schemas.openxmlformats.org/officeDocument/2006/relationships/hyperlink" Target="imagenes/NAUTICA_CLASSICS_117001836_BLK_2.jpg" TargetMode="External" Id="rId3463"/><Relationship Type="http://schemas.openxmlformats.org/officeDocument/2006/relationships/hyperlink" Target="imagenes/NAUTICA_CLASSICS_117001836_BLK_3.jpg" TargetMode="External" Id="rId3464"/><Relationship Type="http://schemas.openxmlformats.org/officeDocument/2006/relationships/hyperlink" Target="imagenes/NAUTICA_CLASSICS_117001836_BLK_2.jpg" TargetMode="External" Id="rId3465"/><Relationship Type="http://schemas.openxmlformats.org/officeDocument/2006/relationships/hyperlink" Target="imagenes/NAUTICA_CLASSICS_117001836_BLK_3.jpg" TargetMode="External" Id="rId3466"/><Relationship Type="http://schemas.openxmlformats.org/officeDocument/2006/relationships/hyperlink" Target="imagenes/NAUTICA_CLASSICS_117001836_BLK_2.jpg" TargetMode="External" Id="rId3467"/><Relationship Type="http://schemas.openxmlformats.org/officeDocument/2006/relationships/hyperlink" Target="imagenes/NAUTICA_CLASSICS_117001836_BLK_3.jpg" TargetMode="External" Id="rId3468"/><Relationship Type="http://schemas.openxmlformats.org/officeDocument/2006/relationships/hyperlink" Target="imagenes/NAUTICA_CLASSICS_117001836_BM0_1.jpg" TargetMode="External" Id="rId3469"/><Relationship Type="http://schemas.openxmlformats.org/officeDocument/2006/relationships/hyperlink" Target="imagenes/NAUTICA_CLASSICS_117001836_BM0_2.jpg" TargetMode="External" Id="rId3470"/><Relationship Type="http://schemas.openxmlformats.org/officeDocument/2006/relationships/hyperlink" Target="imagenes/NAUTICA_CLASSICS_117001836_BM0_3.jpg" TargetMode="External" Id="rId3471"/><Relationship Type="http://schemas.openxmlformats.org/officeDocument/2006/relationships/hyperlink" Target="imagenes/NAUTICA_CLASSICS_117001836_BM0_1.jpg" TargetMode="External" Id="rId3472"/><Relationship Type="http://schemas.openxmlformats.org/officeDocument/2006/relationships/hyperlink" Target="imagenes/NAUTICA_CLASSICS_117001836_BM0_2.jpg" TargetMode="External" Id="rId3473"/><Relationship Type="http://schemas.openxmlformats.org/officeDocument/2006/relationships/hyperlink" Target="imagenes/NAUTICA_CLASSICS_117001836_BM0_3.jpg" TargetMode="External" Id="rId3474"/><Relationship Type="http://schemas.openxmlformats.org/officeDocument/2006/relationships/hyperlink" Target="imagenes/NAUTICA_CLASSICS_117001836_BM0_1.jpg" TargetMode="External" Id="rId3475"/><Relationship Type="http://schemas.openxmlformats.org/officeDocument/2006/relationships/hyperlink" Target="imagenes/NAUTICA_CLASSICS_117001836_BM0_2.jpg" TargetMode="External" Id="rId3476"/><Relationship Type="http://schemas.openxmlformats.org/officeDocument/2006/relationships/hyperlink" Target="imagenes/NAUTICA_CLASSICS_117001836_BM0_3.jpg" TargetMode="External" Id="rId3477"/><Relationship Type="http://schemas.openxmlformats.org/officeDocument/2006/relationships/hyperlink" Target="imagenes/NAUTICA_CLASSICS_117001836_BM0_1.jpg" TargetMode="External" Id="rId3478"/><Relationship Type="http://schemas.openxmlformats.org/officeDocument/2006/relationships/hyperlink" Target="imagenes/NAUTICA_CLASSICS_117001836_BM0_2.jpg" TargetMode="External" Id="rId3479"/><Relationship Type="http://schemas.openxmlformats.org/officeDocument/2006/relationships/hyperlink" Target="imagenes/NAUTICA_CLASSICS_117001836_BM0_3.jpg" TargetMode="External" Id="rId3480"/><Relationship Type="http://schemas.openxmlformats.org/officeDocument/2006/relationships/hyperlink" Target="imagenes/NAUTICA_CLASSICS_117001836_BM0_1.jpg" TargetMode="External" Id="rId3481"/><Relationship Type="http://schemas.openxmlformats.org/officeDocument/2006/relationships/hyperlink" Target="imagenes/NAUTICA_CLASSICS_117001836_BM0_2.jpg" TargetMode="External" Id="rId3482"/><Relationship Type="http://schemas.openxmlformats.org/officeDocument/2006/relationships/hyperlink" Target="imagenes/NAUTICA_CLASSICS_117001836_BM0_3.jpg" TargetMode="External" Id="rId3483"/><Relationship Type="http://schemas.openxmlformats.org/officeDocument/2006/relationships/hyperlink" Target="imagenes/NAUTICA_CLASSICS_117001836_BM0_1.jpg" TargetMode="External" Id="rId3484"/><Relationship Type="http://schemas.openxmlformats.org/officeDocument/2006/relationships/hyperlink" Target="imagenes/NAUTICA_CLASSICS_117001836_BM0_2.jpg" TargetMode="External" Id="rId3485"/><Relationship Type="http://schemas.openxmlformats.org/officeDocument/2006/relationships/hyperlink" Target="imagenes/NAUTICA_CLASSICS_117001836_BM0_3.jpg" TargetMode="External" Id="rId3486"/><Relationship Type="http://schemas.openxmlformats.org/officeDocument/2006/relationships/hyperlink" Target="imagenes/NAUTICA_CLASSICS_117001836_BM0_1.jpg" TargetMode="External" Id="rId3487"/><Relationship Type="http://schemas.openxmlformats.org/officeDocument/2006/relationships/hyperlink" Target="imagenes/NAUTICA_CLASSICS_117001836_BM0_2.jpg" TargetMode="External" Id="rId3488"/><Relationship Type="http://schemas.openxmlformats.org/officeDocument/2006/relationships/hyperlink" Target="imagenes/NAUTICA_CLASSICS_117001836_BM0_3.jpg" TargetMode="External" Id="rId3489"/><Relationship Type="http://schemas.openxmlformats.org/officeDocument/2006/relationships/hyperlink" Target="imagenes/NAUTICA_CLASSICS_117001836P_BLK_1.jpg" TargetMode="External" Id="rId3490"/><Relationship Type="http://schemas.openxmlformats.org/officeDocument/2006/relationships/hyperlink" Target="imagenes/NAUTICA_CLASSICS_117001836P_BLK_2.jpg" TargetMode="External" Id="rId3491"/><Relationship Type="http://schemas.openxmlformats.org/officeDocument/2006/relationships/hyperlink" Target="imagenes/NAUTICA_CLASSICS_117001836P_BLK_3.jpg" TargetMode="External" Id="rId3492"/><Relationship Type="http://schemas.openxmlformats.org/officeDocument/2006/relationships/hyperlink" Target="imagenes/NAUTICA_CLASSICS_117001836P_BM0_1.jpg" TargetMode="External" Id="rId3493"/><Relationship Type="http://schemas.openxmlformats.org/officeDocument/2006/relationships/hyperlink" Target="imagenes/NAUTICA_CLASSICS_117001836P_BM0_2.jpg" TargetMode="External" Id="rId3494"/><Relationship Type="http://schemas.openxmlformats.org/officeDocument/2006/relationships/hyperlink" Target="imagenes/NAUTICA_CLASSICS_117001836P_BM0_3.jpg" TargetMode="External" Id="rId3495"/><Relationship Type="http://schemas.openxmlformats.org/officeDocument/2006/relationships/hyperlink" Target="imagenes/NAUTICA_CLASSICS_117001872_BLK_2.jpg" TargetMode="External" Id="rId3496"/><Relationship Type="http://schemas.openxmlformats.org/officeDocument/2006/relationships/hyperlink" Target="imagenes/NAUTICA_CLASSICS_117001872_BLK_3.jpg" TargetMode="External" Id="rId3497"/><Relationship Type="http://schemas.openxmlformats.org/officeDocument/2006/relationships/hyperlink" Target="imagenes/NAUTICA_CLASSICS_117001872_BLK_2.jpg" TargetMode="External" Id="rId3498"/><Relationship Type="http://schemas.openxmlformats.org/officeDocument/2006/relationships/hyperlink" Target="imagenes/NAUTICA_CLASSICS_117001872_BLK_3.jpg" TargetMode="External" Id="rId3499"/><Relationship Type="http://schemas.openxmlformats.org/officeDocument/2006/relationships/hyperlink" Target="imagenes/NAUTICA_CLASSICS_117001872_BLK_2.jpg" TargetMode="External" Id="rId3500"/><Relationship Type="http://schemas.openxmlformats.org/officeDocument/2006/relationships/hyperlink" Target="imagenes/NAUTICA_CLASSICS_117001872_BLK_3.jpg" TargetMode="External" Id="rId3501"/><Relationship Type="http://schemas.openxmlformats.org/officeDocument/2006/relationships/hyperlink" Target="imagenes/NAUTICA_CLASSICS_117001872_BLK_2.jpg" TargetMode="External" Id="rId3502"/><Relationship Type="http://schemas.openxmlformats.org/officeDocument/2006/relationships/hyperlink" Target="imagenes/NAUTICA_CLASSICS_117001872_BLK_3.jpg" TargetMode="External" Id="rId3503"/><Relationship Type="http://schemas.openxmlformats.org/officeDocument/2006/relationships/hyperlink" Target="imagenes/NAUTICA_CLASSICS_117001872_BLK_2.jpg" TargetMode="External" Id="rId3504"/><Relationship Type="http://schemas.openxmlformats.org/officeDocument/2006/relationships/hyperlink" Target="imagenes/NAUTICA_CLASSICS_117001872_BLK_3.jpg" TargetMode="External" Id="rId3505"/><Relationship Type="http://schemas.openxmlformats.org/officeDocument/2006/relationships/hyperlink" Target="imagenes/NAUTICA_CLASSICS_117001872_BLK_2.jpg" TargetMode="External" Id="rId3506"/><Relationship Type="http://schemas.openxmlformats.org/officeDocument/2006/relationships/hyperlink" Target="imagenes/NAUTICA_CLASSICS_117001872_BLK_3.jpg" TargetMode="External" Id="rId3507"/><Relationship Type="http://schemas.openxmlformats.org/officeDocument/2006/relationships/hyperlink" Target="imagenes/NAUTICA_CLASSICS_117001872_BLK_2.jpg" TargetMode="External" Id="rId3508"/><Relationship Type="http://schemas.openxmlformats.org/officeDocument/2006/relationships/hyperlink" Target="imagenes/NAUTICA_CLASSICS_117001872_BLK_3.jpg" TargetMode="External" Id="rId3509"/><Relationship Type="http://schemas.openxmlformats.org/officeDocument/2006/relationships/hyperlink" Target="imagenes/NAUTICA_CLASSICS_117001872_BLK_2.jpg" TargetMode="External" Id="rId3510"/><Relationship Type="http://schemas.openxmlformats.org/officeDocument/2006/relationships/hyperlink" Target="imagenes/NAUTICA_CLASSICS_117001872_BLK_3.jpg" TargetMode="External" Id="rId3511"/><Relationship Type="http://schemas.openxmlformats.org/officeDocument/2006/relationships/hyperlink" Target="imagenes/NAUTICA_CLASSICS_117001872_BLK_2.jpg" TargetMode="External" Id="rId3512"/><Relationship Type="http://schemas.openxmlformats.org/officeDocument/2006/relationships/hyperlink" Target="imagenes/NAUTICA_CLASSICS_117001872_BLK_3.jpg" TargetMode="External" Id="rId3513"/><Relationship Type="http://schemas.openxmlformats.org/officeDocument/2006/relationships/hyperlink" Target="imagenes/NAUTICA_CLASSICS_117001872_BLK_2.jpg" TargetMode="External" Id="rId3514"/><Relationship Type="http://schemas.openxmlformats.org/officeDocument/2006/relationships/hyperlink" Target="imagenes/NAUTICA_CLASSICS_117001872_BLK_3.jpg" TargetMode="External" Id="rId3515"/><Relationship Type="http://schemas.openxmlformats.org/officeDocument/2006/relationships/hyperlink" Target="imagenes/NAUTICA_CLASSICS_117001872_PRY_2.jpg" TargetMode="External" Id="rId3516"/><Relationship Type="http://schemas.openxmlformats.org/officeDocument/2006/relationships/hyperlink" Target="imagenes/NAUTICA_CLASSICS_117001872_PRY_2.jpg" TargetMode="External" Id="rId3517"/><Relationship Type="http://schemas.openxmlformats.org/officeDocument/2006/relationships/hyperlink" Target="imagenes/NAUTICA_CLASSICS_117001872_PRY_2.jpg" TargetMode="External" Id="rId3518"/><Relationship Type="http://schemas.openxmlformats.org/officeDocument/2006/relationships/hyperlink" Target="imagenes/NAUTICA_CLASSICS_117001872_PRY_2.jpg" TargetMode="External" Id="rId3519"/><Relationship Type="http://schemas.openxmlformats.org/officeDocument/2006/relationships/hyperlink" Target="imagenes/NAUTICA_CLASSICS_117001872_PRY_2.jpg" TargetMode="External" Id="rId3520"/><Relationship Type="http://schemas.openxmlformats.org/officeDocument/2006/relationships/hyperlink" Target="imagenes/NAUTICA_CLASSICS_117001872_PRY_2.jpg" TargetMode="External" Id="rId3521"/><Relationship Type="http://schemas.openxmlformats.org/officeDocument/2006/relationships/hyperlink" Target="imagenes/NAUTICA_CLASSICS_117001877_B4K_1.jpg" TargetMode="External" Id="rId3522"/><Relationship Type="http://schemas.openxmlformats.org/officeDocument/2006/relationships/hyperlink" Target="imagenes/NAUTICA_CLASSICS_117001877_B4K_2.jpg" TargetMode="External" Id="rId3523"/><Relationship Type="http://schemas.openxmlformats.org/officeDocument/2006/relationships/hyperlink" Target="imagenes/NAUTICA_CLASSICS_117001877_B4K_3.jpg" TargetMode="External" Id="rId3524"/><Relationship Type="http://schemas.openxmlformats.org/officeDocument/2006/relationships/hyperlink" Target="imagenes/NAUTICA_CLASSICS_117001877_B4K_1.jpg" TargetMode="External" Id="rId3525"/><Relationship Type="http://schemas.openxmlformats.org/officeDocument/2006/relationships/hyperlink" Target="imagenes/NAUTICA_CLASSICS_117001877_B4K_2.jpg" TargetMode="External" Id="rId3526"/><Relationship Type="http://schemas.openxmlformats.org/officeDocument/2006/relationships/hyperlink" Target="imagenes/NAUTICA_CLASSICS_117001877_B4K_3.jpg" TargetMode="External" Id="rId3527"/><Relationship Type="http://schemas.openxmlformats.org/officeDocument/2006/relationships/hyperlink" Target="imagenes/NAUTICA_CLASSICS_117001877_B4K_1.jpg" TargetMode="External" Id="rId3528"/><Relationship Type="http://schemas.openxmlformats.org/officeDocument/2006/relationships/hyperlink" Target="imagenes/NAUTICA_CLASSICS_117001877_B4K_2.jpg" TargetMode="External" Id="rId3529"/><Relationship Type="http://schemas.openxmlformats.org/officeDocument/2006/relationships/hyperlink" Target="imagenes/NAUTICA_CLASSICS_117001877_B4K_3.jpg" TargetMode="External" Id="rId3530"/><Relationship Type="http://schemas.openxmlformats.org/officeDocument/2006/relationships/hyperlink" Target="imagenes/NAUTICA_CLASSICS_117001877_B4K_1.jpg" TargetMode="External" Id="rId3531"/><Relationship Type="http://schemas.openxmlformats.org/officeDocument/2006/relationships/hyperlink" Target="imagenes/NAUTICA_CLASSICS_117001877_B4K_2.jpg" TargetMode="External" Id="rId3532"/><Relationship Type="http://schemas.openxmlformats.org/officeDocument/2006/relationships/hyperlink" Target="imagenes/NAUTICA_CLASSICS_117001877_B4K_3.jpg" TargetMode="External" Id="rId3533"/><Relationship Type="http://schemas.openxmlformats.org/officeDocument/2006/relationships/hyperlink" Target="imagenes/NAUTICA_CLASSICS_117001877_B4K_1.jpg" TargetMode="External" Id="rId3534"/><Relationship Type="http://schemas.openxmlformats.org/officeDocument/2006/relationships/hyperlink" Target="imagenes/NAUTICA_CLASSICS_117001877_B4K_2.jpg" TargetMode="External" Id="rId3535"/><Relationship Type="http://schemas.openxmlformats.org/officeDocument/2006/relationships/hyperlink" Target="imagenes/NAUTICA_CLASSICS_117001877_B4K_3.jpg" TargetMode="External" Id="rId3536"/><Relationship Type="http://schemas.openxmlformats.org/officeDocument/2006/relationships/hyperlink" Target="imagenes/NAUTICA_CLASSICS_117001877_BLK_1.jpg" TargetMode="External" Id="rId3537"/><Relationship Type="http://schemas.openxmlformats.org/officeDocument/2006/relationships/hyperlink" Target="imagenes/NAUTICA_CLASSICS_117001877_BLK_2.jpg" TargetMode="External" Id="rId3538"/><Relationship Type="http://schemas.openxmlformats.org/officeDocument/2006/relationships/hyperlink" Target="imagenes/NAUTICA_CLASSICS_117001877_BLK_3.jpg" TargetMode="External" Id="rId3539"/><Relationship Type="http://schemas.openxmlformats.org/officeDocument/2006/relationships/hyperlink" Target="imagenes/NAUTICA_CLASSICS_117001877_BLK_1.jpg" TargetMode="External" Id="rId3540"/><Relationship Type="http://schemas.openxmlformats.org/officeDocument/2006/relationships/hyperlink" Target="imagenes/NAUTICA_CLASSICS_117001877_BLK_2.jpg" TargetMode="External" Id="rId3541"/><Relationship Type="http://schemas.openxmlformats.org/officeDocument/2006/relationships/hyperlink" Target="imagenes/NAUTICA_CLASSICS_117001877_BLK_3.jpg" TargetMode="External" Id="rId3542"/><Relationship Type="http://schemas.openxmlformats.org/officeDocument/2006/relationships/hyperlink" Target="imagenes/NAUTICA_CLASSICS_117001877_BLK_1.jpg" TargetMode="External" Id="rId3543"/><Relationship Type="http://schemas.openxmlformats.org/officeDocument/2006/relationships/hyperlink" Target="imagenes/NAUTICA_CLASSICS_117001877_BLK_2.jpg" TargetMode="External" Id="rId3544"/><Relationship Type="http://schemas.openxmlformats.org/officeDocument/2006/relationships/hyperlink" Target="imagenes/NAUTICA_CLASSICS_117001877_BLK_3.jpg" TargetMode="External" Id="rId3545"/><Relationship Type="http://schemas.openxmlformats.org/officeDocument/2006/relationships/hyperlink" Target="imagenes/NAUTICA_CLASSICS_117001877_BLK_1.jpg" TargetMode="External" Id="rId3546"/><Relationship Type="http://schemas.openxmlformats.org/officeDocument/2006/relationships/hyperlink" Target="imagenes/NAUTICA_CLASSICS_117001877_BLK_2.jpg" TargetMode="External" Id="rId3547"/><Relationship Type="http://schemas.openxmlformats.org/officeDocument/2006/relationships/hyperlink" Target="imagenes/NAUTICA_CLASSICS_117001877_BLK_3.jpg" TargetMode="External" Id="rId3548"/><Relationship Type="http://schemas.openxmlformats.org/officeDocument/2006/relationships/hyperlink" Target="imagenes/NAUTICA_CLASSICS_117001877_BLK_1.jpg" TargetMode="External" Id="rId3549"/><Relationship Type="http://schemas.openxmlformats.org/officeDocument/2006/relationships/hyperlink" Target="imagenes/NAUTICA_CLASSICS_117001877_BLK_2.jpg" TargetMode="External" Id="rId3550"/><Relationship Type="http://schemas.openxmlformats.org/officeDocument/2006/relationships/hyperlink" Target="imagenes/NAUTICA_CLASSICS_117001877_BLK_3.jpg" TargetMode="External" Id="rId3551"/><Relationship Type="http://schemas.openxmlformats.org/officeDocument/2006/relationships/hyperlink" Target="imagenes/NAUTICA_CLASSICS_117001877_BLK_1.jpg" TargetMode="External" Id="rId3552"/><Relationship Type="http://schemas.openxmlformats.org/officeDocument/2006/relationships/hyperlink" Target="imagenes/NAUTICA_CLASSICS_117001877_BLK_2.jpg" TargetMode="External" Id="rId3553"/><Relationship Type="http://schemas.openxmlformats.org/officeDocument/2006/relationships/hyperlink" Target="imagenes/NAUTICA_CLASSICS_117001877_BLK_3.jpg" TargetMode="External" Id="rId3554"/><Relationship Type="http://schemas.openxmlformats.org/officeDocument/2006/relationships/hyperlink" Target="imagenes/NAUTICA_CLASSICS_117001877_OXA_1.jpg" TargetMode="External" Id="rId3555"/><Relationship Type="http://schemas.openxmlformats.org/officeDocument/2006/relationships/hyperlink" Target="imagenes/NAUTICA_CLASSICS_117001877_OXA_2.jpg" TargetMode="External" Id="rId3556"/><Relationship Type="http://schemas.openxmlformats.org/officeDocument/2006/relationships/hyperlink" Target="imagenes/NAUTICA_CLASSICS_117001877_OXA_3.jpg" TargetMode="External" Id="rId3557"/><Relationship Type="http://schemas.openxmlformats.org/officeDocument/2006/relationships/hyperlink" Target="imagenes/NAUTICA_CLASSICS_117001877_OXA_1.jpg" TargetMode="External" Id="rId3558"/><Relationship Type="http://schemas.openxmlformats.org/officeDocument/2006/relationships/hyperlink" Target="imagenes/NAUTICA_CLASSICS_117001877_OXA_2.jpg" TargetMode="External" Id="rId3559"/><Relationship Type="http://schemas.openxmlformats.org/officeDocument/2006/relationships/hyperlink" Target="imagenes/NAUTICA_CLASSICS_117001877_OXA_3.jpg" TargetMode="External" Id="rId3560"/><Relationship Type="http://schemas.openxmlformats.org/officeDocument/2006/relationships/hyperlink" Target="imagenes/NAUTICA_CLASSICS_117001877_OXA_1.jpg" TargetMode="External" Id="rId3561"/><Relationship Type="http://schemas.openxmlformats.org/officeDocument/2006/relationships/hyperlink" Target="imagenes/NAUTICA_CLASSICS_117001877_OXA_2.jpg" TargetMode="External" Id="rId3562"/><Relationship Type="http://schemas.openxmlformats.org/officeDocument/2006/relationships/hyperlink" Target="imagenes/NAUTICA_CLASSICS_117001877_OXA_3.jpg" TargetMode="External" Id="rId3563"/><Relationship Type="http://schemas.openxmlformats.org/officeDocument/2006/relationships/hyperlink" Target="imagenes/NAUTICA_CLASSICS_117001877_OXA_1.jpg" TargetMode="External" Id="rId3564"/><Relationship Type="http://schemas.openxmlformats.org/officeDocument/2006/relationships/hyperlink" Target="imagenes/NAUTICA_CLASSICS_117001877_OXA_2.jpg" TargetMode="External" Id="rId3565"/><Relationship Type="http://schemas.openxmlformats.org/officeDocument/2006/relationships/hyperlink" Target="imagenes/NAUTICA_CLASSICS_117001877_OXA_3.jpg" TargetMode="External" Id="rId3566"/><Relationship Type="http://schemas.openxmlformats.org/officeDocument/2006/relationships/hyperlink" Target="imagenes/NAUTICA_CLASSICS_117001877_OXA_1.jpg" TargetMode="External" Id="rId3567"/><Relationship Type="http://schemas.openxmlformats.org/officeDocument/2006/relationships/hyperlink" Target="imagenes/NAUTICA_CLASSICS_117001877_OXA_2.jpg" TargetMode="External" Id="rId3568"/><Relationship Type="http://schemas.openxmlformats.org/officeDocument/2006/relationships/hyperlink" Target="imagenes/NAUTICA_CLASSICS_117001877_OXA_3.jpg" TargetMode="External" Id="rId3569"/><Relationship Type="http://schemas.openxmlformats.org/officeDocument/2006/relationships/hyperlink" Target="imagenes/NAUTICA_CLASSICS_117001922_BLK_1.jpg" TargetMode="External" Id="rId3570"/><Relationship Type="http://schemas.openxmlformats.org/officeDocument/2006/relationships/hyperlink" Target="imagenes/NAUTICA_CLASSICS_117001922_BLK_2.jpg" TargetMode="External" Id="rId3571"/><Relationship Type="http://schemas.openxmlformats.org/officeDocument/2006/relationships/hyperlink" Target="imagenes/NAUTICA_CLASSICS_117001922_BLK_3.jpg" TargetMode="External" Id="rId3572"/><Relationship Type="http://schemas.openxmlformats.org/officeDocument/2006/relationships/hyperlink" Target="imagenes/NAUTICA_CLASSICS_117001922_WIL_1.jpg" TargetMode="External" Id="rId3573"/><Relationship Type="http://schemas.openxmlformats.org/officeDocument/2006/relationships/hyperlink" Target="imagenes/NAUTICA_CLASSICS_117001922_WIL_2.jpg" TargetMode="External" Id="rId3574"/><Relationship Type="http://schemas.openxmlformats.org/officeDocument/2006/relationships/hyperlink" Target="imagenes/NAUTICA_CLASSICS_117001922_WIL_3.jpg" TargetMode="External" Id="rId3575"/><Relationship Type="http://schemas.openxmlformats.org/officeDocument/2006/relationships/hyperlink" Target="imagenes/NAUTICA_CLASSICS_117002333M_BLK_1.jpg" TargetMode="External" Id="rId3576"/><Relationship Type="http://schemas.openxmlformats.org/officeDocument/2006/relationships/hyperlink" Target="imagenes/NAUTICA_CLASSICS_117002333M_BLK_2.jpg" TargetMode="External" Id="rId3577"/><Relationship Type="http://schemas.openxmlformats.org/officeDocument/2006/relationships/hyperlink" Target="imagenes/NAUTICA_CLASSICS_117002333M_BLK_3.jpg" TargetMode="External" Id="rId3578"/><Relationship Type="http://schemas.openxmlformats.org/officeDocument/2006/relationships/hyperlink" Target="imagenes/NAUTICA_CLASSICS_117002333M_BLK_1.jpg" TargetMode="External" Id="rId3579"/><Relationship Type="http://schemas.openxmlformats.org/officeDocument/2006/relationships/hyperlink" Target="imagenes/NAUTICA_CLASSICS_117002333M_BLK_2.jpg" TargetMode="External" Id="rId3580"/><Relationship Type="http://schemas.openxmlformats.org/officeDocument/2006/relationships/hyperlink" Target="imagenes/NAUTICA_CLASSICS_117002333M_BLK_3.jpg" TargetMode="External" Id="rId3581"/><Relationship Type="http://schemas.openxmlformats.org/officeDocument/2006/relationships/hyperlink" Target="imagenes/NAUTICA_CLASSICS_117002333M_BLK_1.jpg" TargetMode="External" Id="rId3582"/><Relationship Type="http://schemas.openxmlformats.org/officeDocument/2006/relationships/hyperlink" Target="imagenes/NAUTICA_CLASSICS_117002333M_BLK_2.jpg" TargetMode="External" Id="rId3583"/><Relationship Type="http://schemas.openxmlformats.org/officeDocument/2006/relationships/hyperlink" Target="imagenes/NAUTICA_CLASSICS_117002333M_BLK_3.jpg" TargetMode="External" Id="rId3584"/><Relationship Type="http://schemas.openxmlformats.org/officeDocument/2006/relationships/hyperlink" Target="imagenes/NAUTICA_CLASSICS_117002333P_BHQ_1.jpg" TargetMode="External" Id="rId3585"/><Relationship Type="http://schemas.openxmlformats.org/officeDocument/2006/relationships/hyperlink" Target="imagenes/NAUTICA_CLASSICS_117002333P_BHQ_2.jpg" TargetMode="External" Id="rId3586"/><Relationship Type="http://schemas.openxmlformats.org/officeDocument/2006/relationships/hyperlink" Target="imagenes/NAUTICA_CLASSICS_117002333P_BHQ_3.jpg" TargetMode="External" Id="rId3587"/><Relationship Type="http://schemas.openxmlformats.org/officeDocument/2006/relationships/hyperlink" Target="imagenes/NAUTICA_CLASSICS_117002333P_BHQ_1.jpg" TargetMode="External" Id="rId3588"/><Relationship Type="http://schemas.openxmlformats.org/officeDocument/2006/relationships/hyperlink" Target="imagenes/NAUTICA_CLASSICS_117002333P_BHQ_2.jpg" TargetMode="External" Id="rId3589"/><Relationship Type="http://schemas.openxmlformats.org/officeDocument/2006/relationships/hyperlink" Target="imagenes/NAUTICA_CLASSICS_117002333P_BHQ_3.jpg" TargetMode="External" Id="rId3590"/><Relationship Type="http://schemas.openxmlformats.org/officeDocument/2006/relationships/hyperlink" Target="imagenes/NAUTICA_CLASSICS_117002333P_BHQ_1.jpg" TargetMode="External" Id="rId3591"/><Relationship Type="http://schemas.openxmlformats.org/officeDocument/2006/relationships/hyperlink" Target="imagenes/NAUTICA_CLASSICS_117002333P_BHQ_2.jpg" TargetMode="External" Id="rId3592"/><Relationship Type="http://schemas.openxmlformats.org/officeDocument/2006/relationships/hyperlink" Target="imagenes/NAUTICA_CLASSICS_117002333P_BHQ_3.jpg" TargetMode="External" Id="rId3593"/><Relationship Type="http://schemas.openxmlformats.org/officeDocument/2006/relationships/hyperlink" Target="imagenes/NAUTICA_CLASSICS_117002333P_BLK_1.jpg" TargetMode="External" Id="rId3594"/><Relationship Type="http://schemas.openxmlformats.org/officeDocument/2006/relationships/hyperlink" Target="imagenes/NAUTICA_CLASSICS_117002333P_BLK_2.jpg" TargetMode="External" Id="rId3595"/><Relationship Type="http://schemas.openxmlformats.org/officeDocument/2006/relationships/hyperlink" Target="imagenes/NAUTICA_CLASSICS_117002333P_BLK_3.jpg" TargetMode="External" Id="rId3596"/><Relationship Type="http://schemas.openxmlformats.org/officeDocument/2006/relationships/hyperlink" Target="imagenes/NAUTICA_CLASSICS_117002333P_BLK_1.jpg" TargetMode="External" Id="rId3597"/><Relationship Type="http://schemas.openxmlformats.org/officeDocument/2006/relationships/hyperlink" Target="imagenes/NAUTICA_CLASSICS_117002333P_BLK_2.jpg" TargetMode="External" Id="rId3598"/><Relationship Type="http://schemas.openxmlformats.org/officeDocument/2006/relationships/hyperlink" Target="imagenes/NAUTICA_CLASSICS_117002333P_BLK_3.jpg" TargetMode="External" Id="rId3599"/><Relationship Type="http://schemas.openxmlformats.org/officeDocument/2006/relationships/hyperlink" Target="imagenes/NAUTICA_CLASSICS_117002748_BLK_2.jpg" TargetMode="External" Id="rId3600"/><Relationship Type="http://schemas.openxmlformats.org/officeDocument/2006/relationships/hyperlink" Target="imagenes/NAUTICA_CLASSICS_117002748_BLK_3.jpg" TargetMode="External" Id="rId3601"/><Relationship Type="http://schemas.openxmlformats.org/officeDocument/2006/relationships/hyperlink" Target="imagenes/NAUTICA_CLASSICS_117002748_BLK_2.jpg" TargetMode="External" Id="rId3602"/><Relationship Type="http://schemas.openxmlformats.org/officeDocument/2006/relationships/hyperlink" Target="imagenes/NAUTICA_CLASSICS_117002748_BLK_3.jpg" TargetMode="External" Id="rId3603"/><Relationship Type="http://schemas.openxmlformats.org/officeDocument/2006/relationships/hyperlink" Target="imagenes/NAUTICA_CLASSICS_117002748_BLK_2.jpg" TargetMode="External" Id="rId3604"/><Relationship Type="http://schemas.openxmlformats.org/officeDocument/2006/relationships/hyperlink" Target="imagenes/NAUTICA_CLASSICS_117002748_BLK_3.jpg" TargetMode="External" Id="rId3605"/><Relationship Type="http://schemas.openxmlformats.org/officeDocument/2006/relationships/hyperlink" Target="imagenes/NAUTICA_CLASSICS_117002748_BLK_2.jpg" TargetMode="External" Id="rId3606"/><Relationship Type="http://schemas.openxmlformats.org/officeDocument/2006/relationships/hyperlink" Target="imagenes/NAUTICA_CLASSICS_117002748_BLK_3.jpg" TargetMode="External" Id="rId3607"/><Relationship Type="http://schemas.openxmlformats.org/officeDocument/2006/relationships/hyperlink" Target="imagenes/NAUTICA_CLASSICS_117002748_BLK_2.jpg" TargetMode="External" Id="rId3608"/><Relationship Type="http://schemas.openxmlformats.org/officeDocument/2006/relationships/hyperlink" Target="imagenes/NAUTICA_CLASSICS_117002748_BLK_3.jpg" TargetMode="External" Id="rId3609"/><Relationship Type="http://schemas.openxmlformats.org/officeDocument/2006/relationships/hyperlink" Target="imagenes/NAUTICA_CLASSICS_117002748_BLK_2.jpg" TargetMode="External" Id="rId3610"/><Relationship Type="http://schemas.openxmlformats.org/officeDocument/2006/relationships/hyperlink" Target="imagenes/NAUTICA_CLASSICS_117002748_BLK_3.jpg" TargetMode="External" Id="rId3611"/><Relationship Type="http://schemas.openxmlformats.org/officeDocument/2006/relationships/hyperlink" Target="imagenes/NAUTICA_CLASSICS_117002748_BLK_2.jpg" TargetMode="External" Id="rId3612"/><Relationship Type="http://schemas.openxmlformats.org/officeDocument/2006/relationships/hyperlink" Target="imagenes/NAUTICA_CLASSICS_117002748_BLK_3.jpg" TargetMode="External" Id="rId3613"/><Relationship Type="http://schemas.openxmlformats.org/officeDocument/2006/relationships/hyperlink" Target="imagenes/NAUTICA_CLASSICS_117002748_BLK_2.jpg" TargetMode="External" Id="rId3614"/><Relationship Type="http://schemas.openxmlformats.org/officeDocument/2006/relationships/hyperlink" Target="imagenes/NAUTICA_CLASSICS_117002748_BLK_3.jpg" TargetMode="External" Id="rId3615"/><Relationship Type="http://schemas.openxmlformats.org/officeDocument/2006/relationships/hyperlink" Target="imagenes/NAUTICA_CLASSICS_117002748_BLK_2.jpg" TargetMode="External" Id="rId3616"/><Relationship Type="http://schemas.openxmlformats.org/officeDocument/2006/relationships/hyperlink" Target="imagenes/NAUTICA_CLASSICS_117002748_BLK_3.jpg" TargetMode="External" Id="rId3617"/><Relationship Type="http://schemas.openxmlformats.org/officeDocument/2006/relationships/hyperlink" Target="imagenes/NAUTICA_CLASSICS_117002748_BLK_2.jpg" TargetMode="External" Id="rId3618"/><Relationship Type="http://schemas.openxmlformats.org/officeDocument/2006/relationships/hyperlink" Target="imagenes/NAUTICA_CLASSICS_117002748_BLK_3.jpg" TargetMode="External" Id="rId3619"/><Relationship Type="http://schemas.openxmlformats.org/officeDocument/2006/relationships/hyperlink" Target="imagenes/NAUTICA_CLASSICS_117002748_NAR_1.jpg" TargetMode="External" Id="rId3620"/><Relationship Type="http://schemas.openxmlformats.org/officeDocument/2006/relationships/hyperlink" Target="imagenes/NAUTICA_CLASSICS_117002748_NAR_2.jpg" TargetMode="External" Id="rId3621"/><Relationship Type="http://schemas.openxmlformats.org/officeDocument/2006/relationships/hyperlink" Target="imagenes/NAUTICA_CLASSICS_117002748_NAR_3.jpg" TargetMode="External" Id="rId3622"/><Relationship Type="http://schemas.openxmlformats.org/officeDocument/2006/relationships/hyperlink" Target="imagenes/NAUTICA_CLASSICS_117002748_NAR_1.jpg" TargetMode="External" Id="rId3623"/><Relationship Type="http://schemas.openxmlformats.org/officeDocument/2006/relationships/hyperlink" Target="imagenes/NAUTICA_CLASSICS_117002748_NAR_2.jpg" TargetMode="External" Id="rId3624"/><Relationship Type="http://schemas.openxmlformats.org/officeDocument/2006/relationships/hyperlink" Target="imagenes/NAUTICA_CLASSICS_117002748_NAR_3.jpg" TargetMode="External" Id="rId3625"/><Relationship Type="http://schemas.openxmlformats.org/officeDocument/2006/relationships/hyperlink" Target="imagenes/NAUTICA_CLASSICS_117002748_NAR_1.jpg" TargetMode="External" Id="rId3626"/><Relationship Type="http://schemas.openxmlformats.org/officeDocument/2006/relationships/hyperlink" Target="imagenes/NAUTICA_CLASSICS_117002748_NAR_2.jpg" TargetMode="External" Id="rId3627"/><Relationship Type="http://schemas.openxmlformats.org/officeDocument/2006/relationships/hyperlink" Target="imagenes/NAUTICA_CLASSICS_117002748_NAR_3.jpg" TargetMode="External" Id="rId3628"/><Relationship Type="http://schemas.openxmlformats.org/officeDocument/2006/relationships/hyperlink" Target="imagenes/NAUTICA_CLASSICS_117002748_NAR_1.jpg" TargetMode="External" Id="rId3629"/><Relationship Type="http://schemas.openxmlformats.org/officeDocument/2006/relationships/hyperlink" Target="imagenes/NAUTICA_CLASSICS_117002748_NAR_2.jpg" TargetMode="External" Id="rId3630"/><Relationship Type="http://schemas.openxmlformats.org/officeDocument/2006/relationships/hyperlink" Target="imagenes/NAUTICA_CLASSICS_117002748_NAR_3.jpg" TargetMode="External" Id="rId3631"/><Relationship Type="http://schemas.openxmlformats.org/officeDocument/2006/relationships/hyperlink" Target="imagenes/NAUTICA_CLASSICS_117002748_NAR_1.jpg" TargetMode="External" Id="rId3632"/><Relationship Type="http://schemas.openxmlformats.org/officeDocument/2006/relationships/hyperlink" Target="imagenes/NAUTICA_CLASSICS_117002748_NAR_2.jpg" TargetMode="External" Id="rId3633"/><Relationship Type="http://schemas.openxmlformats.org/officeDocument/2006/relationships/hyperlink" Target="imagenes/NAUTICA_CLASSICS_117002748_NAR_3.jpg" TargetMode="External" Id="rId3634"/><Relationship Type="http://schemas.openxmlformats.org/officeDocument/2006/relationships/hyperlink" Target="imagenes/NAUTICA_CLASSICS_117002748_NAR_1.jpg" TargetMode="External" Id="rId3635"/><Relationship Type="http://schemas.openxmlformats.org/officeDocument/2006/relationships/hyperlink" Target="imagenes/NAUTICA_CLASSICS_117002748_NAR_2.jpg" TargetMode="External" Id="rId3636"/><Relationship Type="http://schemas.openxmlformats.org/officeDocument/2006/relationships/hyperlink" Target="imagenes/NAUTICA_CLASSICS_117002748_NAR_3.jpg" TargetMode="External" Id="rId3637"/><Relationship Type="http://schemas.openxmlformats.org/officeDocument/2006/relationships/hyperlink" Target="imagenes/NAUTICA_CLASSICS_117002748_NAR_1.jpg" TargetMode="External" Id="rId3638"/><Relationship Type="http://schemas.openxmlformats.org/officeDocument/2006/relationships/hyperlink" Target="imagenes/NAUTICA_CLASSICS_117002748_NAR_2.jpg" TargetMode="External" Id="rId3639"/><Relationship Type="http://schemas.openxmlformats.org/officeDocument/2006/relationships/hyperlink" Target="imagenes/NAUTICA_CLASSICS_117002748_NAR_3.jpg" TargetMode="External" Id="rId3640"/><Relationship Type="http://schemas.openxmlformats.org/officeDocument/2006/relationships/hyperlink" Target="imagenes/NAUTICA_CLASSICS_117002748_NAR_1.jpg" TargetMode="External" Id="rId3641"/><Relationship Type="http://schemas.openxmlformats.org/officeDocument/2006/relationships/hyperlink" Target="imagenes/NAUTICA_CLASSICS_117002748_NAR_2.jpg" TargetMode="External" Id="rId3642"/><Relationship Type="http://schemas.openxmlformats.org/officeDocument/2006/relationships/hyperlink" Target="imagenes/NAUTICA_CLASSICS_117002748_NAR_3.jpg" TargetMode="External" Id="rId3643"/><Relationship Type="http://schemas.openxmlformats.org/officeDocument/2006/relationships/hyperlink" Target="imagenes/NAUTICA_CLASSICS_117002748_NAR_1.jpg" TargetMode="External" Id="rId3644"/><Relationship Type="http://schemas.openxmlformats.org/officeDocument/2006/relationships/hyperlink" Target="imagenes/NAUTICA_CLASSICS_117002748_NAR_2.jpg" TargetMode="External" Id="rId3645"/><Relationship Type="http://schemas.openxmlformats.org/officeDocument/2006/relationships/hyperlink" Target="imagenes/NAUTICA_CLASSICS_117002748_NAR_3.jpg" TargetMode="External" Id="rId3646"/><Relationship Type="http://schemas.openxmlformats.org/officeDocument/2006/relationships/hyperlink" Target="imagenes/NAUTICA_CLASSICS_117003388M_BLK_1.jpg" TargetMode="External" Id="rId3647"/><Relationship Type="http://schemas.openxmlformats.org/officeDocument/2006/relationships/hyperlink" Target="imagenes/NAUTICA_CLASSICS_117003388M_BLK_2.jpg" TargetMode="External" Id="rId3648"/><Relationship Type="http://schemas.openxmlformats.org/officeDocument/2006/relationships/hyperlink" Target="imagenes/NAUTICA_CLASSICS_117003388M_BLK_3.jpg" TargetMode="External" Id="rId3649"/><Relationship Type="http://schemas.openxmlformats.org/officeDocument/2006/relationships/hyperlink" Target="imagenes/NAUTICA_CLASSICS_117003388M_BLK_1.jpg" TargetMode="External" Id="rId3650"/><Relationship Type="http://schemas.openxmlformats.org/officeDocument/2006/relationships/hyperlink" Target="imagenes/NAUTICA_CLASSICS_117003388M_BLK_2.jpg" TargetMode="External" Id="rId3651"/><Relationship Type="http://schemas.openxmlformats.org/officeDocument/2006/relationships/hyperlink" Target="imagenes/NAUTICA_CLASSICS_117003388M_BLK_3.jpg" TargetMode="External" Id="rId3652"/><Relationship Type="http://schemas.openxmlformats.org/officeDocument/2006/relationships/hyperlink" Target="imagenes/NAUTICA_CLASSICS_117003388M_BLU_1.jpg" TargetMode="External" Id="rId3653"/><Relationship Type="http://schemas.openxmlformats.org/officeDocument/2006/relationships/hyperlink" Target="imagenes/NAUTICA_CLASSICS_117003388M_BLU_2.jpg" TargetMode="External" Id="rId3654"/><Relationship Type="http://schemas.openxmlformats.org/officeDocument/2006/relationships/hyperlink" Target="imagenes/NAUTICA_CLASSICS_117003388M_BLU_3.jpg" TargetMode="External" Id="rId3655"/><Relationship Type="http://schemas.openxmlformats.org/officeDocument/2006/relationships/hyperlink" Target="imagenes/NAUTICA_CLASSICS_117003388M_BLU_1.jpg" TargetMode="External" Id="rId3656"/><Relationship Type="http://schemas.openxmlformats.org/officeDocument/2006/relationships/hyperlink" Target="imagenes/NAUTICA_CLASSICS_117003388M_BLU_2.jpg" TargetMode="External" Id="rId3657"/><Relationship Type="http://schemas.openxmlformats.org/officeDocument/2006/relationships/hyperlink" Target="imagenes/NAUTICA_CLASSICS_117003388M_BLU_3.jpg" TargetMode="External" Id="rId3658"/><Relationship Type="http://schemas.openxmlformats.org/officeDocument/2006/relationships/hyperlink" Target="imagenes/NAUTICA_CLASSICS_117003388PT_BLU_1.jpg" TargetMode="External" Id="rId3659"/><Relationship Type="http://schemas.openxmlformats.org/officeDocument/2006/relationships/hyperlink" Target="imagenes/NAUTICA_CLASSICS_117003388PT_BLU_2.jpg" TargetMode="External" Id="rId3660"/><Relationship Type="http://schemas.openxmlformats.org/officeDocument/2006/relationships/hyperlink" Target="imagenes/NAUTICA_CLASSICS_117003388PT_BLU_3.jpg" TargetMode="External" Id="rId3661"/><Relationship Type="http://schemas.openxmlformats.org/officeDocument/2006/relationships/hyperlink" Target="imagenes/NAUTICA_CLASSICS_117003388PT_BLU_1.jpg" TargetMode="External" Id="rId3662"/><Relationship Type="http://schemas.openxmlformats.org/officeDocument/2006/relationships/hyperlink" Target="imagenes/NAUTICA_CLASSICS_117003388PT_BLU_2.jpg" TargetMode="External" Id="rId3663"/><Relationship Type="http://schemas.openxmlformats.org/officeDocument/2006/relationships/hyperlink" Target="imagenes/NAUTICA_CLASSICS_117003388PT_BLU_3.jpg" TargetMode="External" Id="rId3664"/><Relationship Type="http://schemas.openxmlformats.org/officeDocument/2006/relationships/hyperlink" Target="imagenes/NAUTICA_CLASSICS_117003388PT_BLU_1.jpg" TargetMode="External" Id="rId3665"/><Relationship Type="http://schemas.openxmlformats.org/officeDocument/2006/relationships/hyperlink" Target="imagenes/NAUTICA_CLASSICS_117003388PT_BLU_2.jpg" TargetMode="External" Id="rId3666"/><Relationship Type="http://schemas.openxmlformats.org/officeDocument/2006/relationships/hyperlink" Target="imagenes/NAUTICA_CLASSICS_117003388PT_BLU_3.jpg" TargetMode="External" Id="rId3667"/><Relationship Type="http://schemas.openxmlformats.org/officeDocument/2006/relationships/hyperlink" Target="imagenes/NAUTICA_CLASSICS_117003388PT_BLU_1.jpg" TargetMode="External" Id="rId3668"/><Relationship Type="http://schemas.openxmlformats.org/officeDocument/2006/relationships/hyperlink" Target="imagenes/NAUTICA_CLASSICS_117003388PT_BLU_2.jpg" TargetMode="External" Id="rId3669"/><Relationship Type="http://schemas.openxmlformats.org/officeDocument/2006/relationships/hyperlink" Target="imagenes/NAUTICA_CLASSICS_117003388PT_BLU_3.jpg" TargetMode="External" Id="rId3670"/><Relationship Type="http://schemas.openxmlformats.org/officeDocument/2006/relationships/hyperlink" Target="imagenes/NAUTICA_CLASSICS_117003388PT_NSS_1.jpg" TargetMode="External" Id="rId3671"/><Relationship Type="http://schemas.openxmlformats.org/officeDocument/2006/relationships/hyperlink" Target="imagenes/NAUTICA_CLASSICS_117003388PT_NSS_2.jpg" TargetMode="External" Id="rId3672"/><Relationship Type="http://schemas.openxmlformats.org/officeDocument/2006/relationships/hyperlink" Target="imagenes/NAUTICA_CLASSICS_117003388PT_NSS_3.jpg" TargetMode="External" Id="rId3673"/><Relationship Type="http://schemas.openxmlformats.org/officeDocument/2006/relationships/hyperlink" Target="imagenes/NAUTICA_CLASSICS_117003388PT_NSS_1.jpg" TargetMode="External" Id="rId3674"/><Relationship Type="http://schemas.openxmlformats.org/officeDocument/2006/relationships/hyperlink" Target="imagenes/NAUTICA_CLASSICS_117003388PT_NSS_2.jpg" TargetMode="External" Id="rId3675"/><Relationship Type="http://schemas.openxmlformats.org/officeDocument/2006/relationships/hyperlink" Target="imagenes/NAUTICA_CLASSICS_117003388PT_NSS_3.jpg" TargetMode="External" Id="rId3676"/><Relationship Type="http://schemas.openxmlformats.org/officeDocument/2006/relationships/hyperlink" Target="imagenes/NAUTICA_CLASSICS_117003389_BHQ_1.jpg" TargetMode="External" Id="rId3677"/><Relationship Type="http://schemas.openxmlformats.org/officeDocument/2006/relationships/hyperlink" Target="imagenes/NAUTICA_CLASSICS_117003389_BHQ_2.jpg" TargetMode="External" Id="rId3678"/><Relationship Type="http://schemas.openxmlformats.org/officeDocument/2006/relationships/hyperlink" Target="imagenes/NAUTICA_CLASSICS_117003389_BHQ_3.jpg" TargetMode="External" Id="rId3679"/><Relationship Type="http://schemas.openxmlformats.org/officeDocument/2006/relationships/hyperlink" Target="imagenes/NAUTICA_CLASSICS_117003389_MAW_1.jpg" TargetMode="External" Id="rId3680"/><Relationship Type="http://schemas.openxmlformats.org/officeDocument/2006/relationships/hyperlink" Target="imagenes/NAUTICA_CLASSICS_117003389_MAW_2.jpg" TargetMode="External" Id="rId3681"/><Relationship Type="http://schemas.openxmlformats.org/officeDocument/2006/relationships/hyperlink" Target="imagenes/NAUTICA_CLASSICS_117003389_MAW_3.jpg" TargetMode="External" Id="rId3682"/><Relationship Type="http://schemas.openxmlformats.org/officeDocument/2006/relationships/hyperlink" Target="imagenes/NAUTICA_CLASSICS_117003389_MAW_1.jpg" TargetMode="External" Id="rId3683"/><Relationship Type="http://schemas.openxmlformats.org/officeDocument/2006/relationships/hyperlink" Target="imagenes/NAUTICA_CLASSICS_117003389_MAW_2.jpg" TargetMode="External" Id="rId3684"/><Relationship Type="http://schemas.openxmlformats.org/officeDocument/2006/relationships/hyperlink" Target="imagenes/NAUTICA_CLASSICS_117003389_MAW_3.jpg" TargetMode="External" Id="rId3685"/><Relationship Type="http://schemas.openxmlformats.org/officeDocument/2006/relationships/hyperlink" Target="imagenes/NAUTICA_CLASSICS_117003389_MAW_1.jpg" TargetMode="External" Id="rId3686"/><Relationship Type="http://schemas.openxmlformats.org/officeDocument/2006/relationships/hyperlink" Target="imagenes/NAUTICA_CLASSICS_117003389_MAW_2.jpg" TargetMode="External" Id="rId3687"/><Relationship Type="http://schemas.openxmlformats.org/officeDocument/2006/relationships/hyperlink" Target="imagenes/NAUTICA_CLASSICS_117003389_MAW_3.jpg" TargetMode="External" Id="rId3688"/><Relationship Type="http://schemas.openxmlformats.org/officeDocument/2006/relationships/hyperlink" Target="imagenes/NAUTICA_CLASSICS_117003389_MAW_1.jpg" TargetMode="External" Id="rId3689"/><Relationship Type="http://schemas.openxmlformats.org/officeDocument/2006/relationships/hyperlink" Target="imagenes/NAUTICA_CLASSICS_117003389_MAW_2.jpg" TargetMode="External" Id="rId3690"/><Relationship Type="http://schemas.openxmlformats.org/officeDocument/2006/relationships/hyperlink" Target="imagenes/NAUTICA_CLASSICS_117003389_MAW_3.jpg" TargetMode="External" Id="rId3691"/><Relationship Type="http://schemas.openxmlformats.org/officeDocument/2006/relationships/hyperlink" Target="imagenes/NAUTICA_CLASSICS_117003389_MAW_1.jpg" TargetMode="External" Id="rId3692"/><Relationship Type="http://schemas.openxmlformats.org/officeDocument/2006/relationships/hyperlink" Target="imagenes/NAUTICA_CLASSICS_117003389_MAW_2.jpg" TargetMode="External" Id="rId3693"/><Relationship Type="http://schemas.openxmlformats.org/officeDocument/2006/relationships/hyperlink" Target="imagenes/NAUTICA_CLASSICS_117003389_MAW_3.jpg" TargetMode="External" Id="rId3694"/><Relationship Type="http://schemas.openxmlformats.org/officeDocument/2006/relationships/hyperlink" Target="imagenes/NAUTICA_CLASSICS_117003389_NSS_1.jpg" TargetMode="External" Id="rId3695"/><Relationship Type="http://schemas.openxmlformats.org/officeDocument/2006/relationships/hyperlink" Target="imagenes/NAUTICA_CLASSICS_117003389_NSS_2.jpg" TargetMode="External" Id="rId3696"/><Relationship Type="http://schemas.openxmlformats.org/officeDocument/2006/relationships/hyperlink" Target="imagenes/NAUTICA_CLASSICS_117003389_NSS_3.jpg" TargetMode="External" Id="rId3697"/><Relationship Type="http://schemas.openxmlformats.org/officeDocument/2006/relationships/hyperlink" Target="imagenes/NAUTICA_CLASSICS_117003389_NSS_1.jpg" TargetMode="External" Id="rId3698"/><Relationship Type="http://schemas.openxmlformats.org/officeDocument/2006/relationships/hyperlink" Target="imagenes/NAUTICA_CLASSICS_117003389_NSS_2.jpg" TargetMode="External" Id="rId3699"/><Relationship Type="http://schemas.openxmlformats.org/officeDocument/2006/relationships/hyperlink" Target="imagenes/NAUTICA_CLASSICS_117003389_NSS_3.jpg" TargetMode="External" Id="rId3700"/><Relationship Type="http://schemas.openxmlformats.org/officeDocument/2006/relationships/hyperlink" Target="imagenes/NAUTICA_CLASSICS_117003389_NSS_1.jpg" TargetMode="External" Id="rId3701"/><Relationship Type="http://schemas.openxmlformats.org/officeDocument/2006/relationships/hyperlink" Target="imagenes/NAUTICA_CLASSICS_117003389_NSS_2.jpg" TargetMode="External" Id="rId3702"/><Relationship Type="http://schemas.openxmlformats.org/officeDocument/2006/relationships/hyperlink" Target="imagenes/NAUTICA_CLASSICS_117003389_NSS_3.jpg" TargetMode="External" Id="rId3703"/><Relationship Type="http://schemas.openxmlformats.org/officeDocument/2006/relationships/hyperlink" Target="imagenes/NAUTICA_CLASSICS_117003391_BLK_1.jpg" TargetMode="External" Id="rId3704"/><Relationship Type="http://schemas.openxmlformats.org/officeDocument/2006/relationships/hyperlink" Target="imagenes/NAUTICA_CLASSICS_117003391_BLK_2.jpg" TargetMode="External" Id="rId3705"/><Relationship Type="http://schemas.openxmlformats.org/officeDocument/2006/relationships/hyperlink" Target="imagenes/NAUTICA_CLASSICS_117003391_BLK_3.jpg" TargetMode="External" Id="rId3706"/><Relationship Type="http://schemas.openxmlformats.org/officeDocument/2006/relationships/hyperlink" Target="imagenes/NAUTICA_CLASSICS_117003391_BLK_1.jpg" TargetMode="External" Id="rId3707"/><Relationship Type="http://schemas.openxmlformats.org/officeDocument/2006/relationships/hyperlink" Target="imagenes/NAUTICA_CLASSICS_117003391_BLK_2.jpg" TargetMode="External" Id="rId3708"/><Relationship Type="http://schemas.openxmlformats.org/officeDocument/2006/relationships/hyperlink" Target="imagenes/NAUTICA_CLASSICS_117003391_BLK_3.jpg" TargetMode="External" Id="rId3709"/><Relationship Type="http://schemas.openxmlformats.org/officeDocument/2006/relationships/hyperlink" Target="imagenes/NAUTICA_CLASSICS_117003391_NSS_1.jpg" TargetMode="External" Id="rId3710"/><Relationship Type="http://schemas.openxmlformats.org/officeDocument/2006/relationships/hyperlink" Target="imagenes/NAUTICA_CLASSICS_117003391_NSS_2.jpg" TargetMode="External" Id="rId3711"/><Relationship Type="http://schemas.openxmlformats.org/officeDocument/2006/relationships/hyperlink" Target="imagenes/NAUTICA_CLASSICS_117003391_NSS_3.jpg" TargetMode="External" Id="rId3712"/><Relationship Type="http://schemas.openxmlformats.org/officeDocument/2006/relationships/hyperlink" Target="imagenes/NAUTICA_CLASSICS_117003391_NSS_1.jpg" TargetMode="External" Id="rId3713"/><Relationship Type="http://schemas.openxmlformats.org/officeDocument/2006/relationships/hyperlink" Target="imagenes/NAUTICA_CLASSICS_117003391_NSS_2.jpg" TargetMode="External" Id="rId3714"/><Relationship Type="http://schemas.openxmlformats.org/officeDocument/2006/relationships/hyperlink" Target="imagenes/NAUTICA_CLASSICS_117003391_NSS_3.jpg" TargetMode="External" Id="rId3715"/><Relationship Type="http://schemas.openxmlformats.org/officeDocument/2006/relationships/hyperlink" Target="imagenes/NAUTICA_CLASSICS_117003391_NSS_1.jpg" TargetMode="External" Id="rId3716"/><Relationship Type="http://schemas.openxmlformats.org/officeDocument/2006/relationships/hyperlink" Target="imagenes/NAUTICA_CLASSICS_117003391_NSS_2.jpg" TargetMode="External" Id="rId3717"/><Relationship Type="http://schemas.openxmlformats.org/officeDocument/2006/relationships/hyperlink" Target="imagenes/NAUTICA_CLASSICS_117003391_NSS_3.jpg" TargetMode="External" Id="rId3718"/><Relationship Type="http://schemas.openxmlformats.org/officeDocument/2006/relationships/hyperlink" Target="imagenes/NAUTICA_CLASSICS_117003391_SW4_1.jpg" TargetMode="External" Id="rId3719"/><Relationship Type="http://schemas.openxmlformats.org/officeDocument/2006/relationships/hyperlink" Target="imagenes/NAUTICA_CLASSICS_117003391_SW4_3.jpg" TargetMode="External" Id="rId3720"/><Relationship Type="http://schemas.openxmlformats.org/officeDocument/2006/relationships/hyperlink" Target="imagenes/NAUTICA_CLASSICS_117003391_SW4_1.jpg" TargetMode="External" Id="rId3721"/><Relationship Type="http://schemas.openxmlformats.org/officeDocument/2006/relationships/hyperlink" Target="imagenes/NAUTICA_CLASSICS_117003391_SW4_3.jpg" TargetMode="External" Id="rId3722"/><Relationship Type="http://schemas.openxmlformats.org/officeDocument/2006/relationships/hyperlink" Target="imagenes/NAUTICA_CLASSICS_117003391_SW4_1.jpg" TargetMode="External" Id="rId3723"/><Relationship Type="http://schemas.openxmlformats.org/officeDocument/2006/relationships/hyperlink" Target="imagenes/NAUTICA_CLASSICS_117003391_SW4_3.jpg" TargetMode="External" Id="rId3724"/><Relationship Type="http://schemas.openxmlformats.org/officeDocument/2006/relationships/hyperlink" Target="imagenes/NAUTICA_CLASSICS_117003391_SW4_1.jpg" TargetMode="External" Id="rId3725"/><Relationship Type="http://schemas.openxmlformats.org/officeDocument/2006/relationships/hyperlink" Target="imagenes/NAUTICA_CLASSICS_117003391_SW4_3.jpg" TargetMode="External" Id="rId3726"/><Relationship Type="http://schemas.openxmlformats.org/officeDocument/2006/relationships/hyperlink" Target="imagenes/NAUTICA_CLASSICS_117003391_SW4_1.jpg" TargetMode="External" Id="rId3727"/><Relationship Type="http://schemas.openxmlformats.org/officeDocument/2006/relationships/hyperlink" Target="imagenes/NAUTICA_CLASSICS_117003391_SW4_3.jpg" TargetMode="External" Id="rId3728"/><Relationship Type="http://schemas.openxmlformats.org/officeDocument/2006/relationships/hyperlink" Target="imagenes/NAUTICA_CLASSICS_117003450_BLK_1.jpg" TargetMode="External" Id="rId3729"/><Relationship Type="http://schemas.openxmlformats.org/officeDocument/2006/relationships/hyperlink" Target="imagenes/NAUTICA_CLASSICS_117003450_BLK_2.jpg" TargetMode="External" Id="rId3730"/><Relationship Type="http://schemas.openxmlformats.org/officeDocument/2006/relationships/hyperlink" Target="imagenes/NAUTICA_CLASSICS_117003450_BLK_3.jpg" TargetMode="External" Id="rId3731"/><Relationship Type="http://schemas.openxmlformats.org/officeDocument/2006/relationships/hyperlink" Target="imagenes/NAUTICA_CLASSICS_117003450_PRY_1.jpg" TargetMode="External" Id="rId3732"/><Relationship Type="http://schemas.openxmlformats.org/officeDocument/2006/relationships/hyperlink" Target="imagenes/NAUTICA_CLASSICS_117003450_PRY_2.jpg" TargetMode="External" Id="rId3733"/><Relationship Type="http://schemas.openxmlformats.org/officeDocument/2006/relationships/hyperlink" Target="imagenes/NAUTICA_CLASSICS_117003450_PRY_3.jpg" TargetMode="External" Id="rId3734"/><Relationship Type="http://schemas.openxmlformats.org/officeDocument/2006/relationships/hyperlink" Target="imagenes/NAUTICA_CLASSICS_117003450_ZCR_1.jpg" TargetMode="External" Id="rId3735"/><Relationship Type="http://schemas.openxmlformats.org/officeDocument/2006/relationships/hyperlink" Target="imagenes/NAUTICA_CLASSICS_117003450_ZCR_2.jpg" TargetMode="External" Id="rId3736"/><Relationship Type="http://schemas.openxmlformats.org/officeDocument/2006/relationships/hyperlink" Target="imagenes/NAUTICA_CLASSICS_117003450_ZCR_3.jpg" TargetMode="External" Id="rId3737"/><Relationship Type="http://schemas.openxmlformats.org/officeDocument/2006/relationships/hyperlink" Target="imagenes/NAUTICA_CLASSICS_117003535_BLK_1.jpg" TargetMode="External" Id="rId3738"/><Relationship Type="http://schemas.openxmlformats.org/officeDocument/2006/relationships/hyperlink" Target="imagenes/NAUTICA_CLASSICS_117003535_BLK_2.jpg" TargetMode="External" Id="rId3739"/><Relationship Type="http://schemas.openxmlformats.org/officeDocument/2006/relationships/hyperlink" Target="imagenes/NAUTICA_CLASSICS_117003535_BLK_3.jpg" TargetMode="External" Id="rId3740"/><Relationship Type="http://schemas.openxmlformats.org/officeDocument/2006/relationships/hyperlink" Target="imagenes/NAUTICA_CLASSICS_117003535_BLK_1.jpg" TargetMode="External" Id="rId3741"/><Relationship Type="http://schemas.openxmlformats.org/officeDocument/2006/relationships/hyperlink" Target="imagenes/NAUTICA_CLASSICS_117003535_BLK_2.jpg" TargetMode="External" Id="rId3742"/><Relationship Type="http://schemas.openxmlformats.org/officeDocument/2006/relationships/hyperlink" Target="imagenes/NAUTICA_CLASSICS_117003535_BLK_3.jpg" TargetMode="External" Id="rId3743"/><Relationship Type="http://schemas.openxmlformats.org/officeDocument/2006/relationships/hyperlink" Target="imagenes/NAUTICA_CLASSICS_117003535_BLK_1.jpg" TargetMode="External" Id="rId3744"/><Relationship Type="http://schemas.openxmlformats.org/officeDocument/2006/relationships/hyperlink" Target="imagenes/NAUTICA_CLASSICS_117003535_BLK_2.jpg" TargetMode="External" Id="rId3745"/><Relationship Type="http://schemas.openxmlformats.org/officeDocument/2006/relationships/hyperlink" Target="imagenes/NAUTICA_CLASSICS_117003535_BLK_3.jpg" TargetMode="External" Id="rId3746"/><Relationship Type="http://schemas.openxmlformats.org/officeDocument/2006/relationships/hyperlink" Target="imagenes/NAUTICA_CLASSICS_117003535_BLK_1.jpg" TargetMode="External" Id="rId3747"/><Relationship Type="http://schemas.openxmlformats.org/officeDocument/2006/relationships/hyperlink" Target="imagenes/NAUTICA_CLASSICS_117003535_BLK_2.jpg" TargetMode="External" Id="rId3748"/><Relationship Type="http://schemas.openxmlformats.org/officeDocument/2006/relationships/hyperlink" Target="imagenes/NAUTICA_CLASSICS_117003535_BLK_3.jpg" TargetMode="External" Id="rId3749"/><Relationship Type="http://schemas.openxmlformats.org/officeDocument/2006/relationships/hyperlink" Target="imagenes/NAUTICA_CLASSICS_117003535_BLU_1.jpg" TargetMode="External" Id="rId3750"/><Relationship Type="http://schemas.openxmlformats.org/officeDocument/2006/relationships/hyperlink" Target="imagenes/NAUTICA_CLASSICS_117003535_BLU_2.jpg" TargetMode="External" Id="rId3751"/><Relationship Type="http://schemas.openxmlformats.org/officeDocument/2006/relationships/hyperlink" Target="imagenes/NAUTICA_CLASSICS_117003535_BLU_3.jpg" TargetMode="External" Id="rId3752"/><Relationship Type="http://schemas.openxmlformats.org/officeDocument/2006/relationships/hyperlink" Target="imagenes/NAUTICA_CLASSICS_117003535_BLU_1.jpg" TargetMode="External" Id="rId3753"/><Relationship Type="http://schemas.openxmlformats.org/officeDocument/2006/relationships/hyperlink" Target="imagenes/NAUTICA_CLASSICS_117003535_BLU_2.jpg" TargetMode="External" Id="rId3754"/><Relationship Type="http://schemas.openxmlformats.org/officeDocument/2006/relationships/hyperlink" Target="imagenes/NAUTICA_CLASSICS_117003535_BLU_3.jpg" TargetMode="External" Id="rId3755"/><Relationship Type="http://schemas.openxmlformats.org/officeDocument/2006/relationships/hyperlink" Target="imagenes/NAUTICA_CLASSICS_117003535_BLU_1.jpg" TargetMode="External" Id="rId3756"/><Relationship Type="http://schemas.openxmlformats.org/officeDocument/2006/relationships/hyperlink" Target="imagenes/NAUTICA_CLASSICS_117003535_BLU_2.jpg" TargetMode="External" Id="rId3757"/><Relationship Type="http://schemas.openxmlformats.org/officeDocument/2006/relationships/hyperlink" Target="imagenes/NAUTICA_CLASSICS_117003535_BLU_3.jpg" TargetMode="External" Id="rId3758"/><Relationship Type="http://schemas.openxmlformats.org/officeDocument/2006/relationships/hyperlink" Target="imagenes/NAUTICA_CLASSICS_117003535_PRP_1.jpg" TargetMode="External" Id="rId3759"/><Relationship Type="http://schemas.openxmlformats.org/officeDocument/2006/relationships/hyperlink" Target="imagenes/NAUTICA_CLASSICS_117003535_PRP_2.jpg" TargetMode="External" Id="rId3760"/><Relationship Type="http://schemas.openxmlformats.org/officeDocument/2006/relationships/hyperlink" Target="imagenes/NAUTICA_CLASSICS_117003535_PRP_3.jpg" TargetMode="External" Id="rId3761"/><Relationship Type="http://schemas.openxmlformats.org/officeDocument/2006/relationships/hyperlink" Target="imagenes/NAUTICA_CLASSICS_117003535_PRP_1.jpg" TargetMode="External" Id="rId3762"/><Relationship Type="http://schemas.openxmlformats.org/officeDocument/2006/relationships/hyperlink" Target="imagenes/NAUTICA_CLASSICS_117003535_PRP_2.jpg" TargetMode="External" Id="rId3763"/><Relationship Type="http://schemas.openxmlformats.org/officeDocument/2006/relationships/hyperlink" Target="imagenes/NAUTICA_CLASSICS_117003535_PRP_3.jpg" TargetMode="External" Id="rId3764"/><Relationship Type="http://schemas.openxmlformats.org/officeDocument/2006/relationships/hyperlink" Target="imagenes/NAUTICA_CLASSICS_117003762_BLK_1.jpg" TargetMode="External" Id="rId3765"/><Relationship Type="http://schemas.openxmlformats.org/officeDocument/2006/relationships/hyperlink" Target="imagenes/NAUTICA_CLASSICS_117003762_BLK_2.jpg" TargetMode="External" Id="rId3766"/><Relationship Type="http://schemas.openxmlformats.org/officeDocument/2006/relationships/hyperlink" Target="imagenes/NAUTICA_CLASSICS_117003762_BLK_3.jpg" TargetMode="External" Id="rId3767"/><Relationship Type="http://schemas.openxmlformats.org/officeDocument/2006/relationships/hyperlink" Target="imagenes/NAUTICA_CLASSICS_117003762_BLK_1.jpg" TargetMode="External" Id="rId3768"/><Relationship Type="http://schemas.openxmlformats.org/officeDocument/2006/relationships/hyperlink" Target="imagenes/NAUTICA_CLASSICS_117003762_BLK_2.jpg" TargetMode="External" Id="rId3769"/><Relationship Type="http://schemas.openxmlformats.org/officeDocument/2006/relationships/hyperlink" Target="imagenes/NAUTICA_CLASSICS_117003762_BLK_3.jpg" TargetMode="External" Id="rId3770"/><Relationship Type="http://schemas.openxmlformats.org/officeDocument/2006/relationships/hyperlink" Target="imagenes/NAUTICA_CLASSICS_117003762_BLK_1.jpg" TargetMode="External" Id="rId3771"/><Relationship Type="http://schemas.openxmlformats.org/officeDocument/2006/relationships/hyperlink" Target="imagenes/NAUTICA_CLASSICS_117003762_BLK_2.jpg" TargetMode="External" Id="rId3772"/><Relationship Type="http://schemas.openxmlformats.org/officeDocument/2006/relationships/hyperlink" Target="imagenes/NAUTICA_CLASSICS_117003762_BLK_3.jpg" TargetMode="External" Id="rId3773"/><Relationship Type="http://schemas.openxmlformats.org/officeDocument/2006/relationships/hyperlink" Target="imagenes/NAUTICA_CLASSICS_117003762_BLK_1.jpg" TargetMode="External" Id="rId3774"/><Relationship Type="http://schemas.openxmlformats.org/officeDocument/2006/relationships/hyperlink" Target="imagenes/NAUTICA_CLASSICS_117003762_BLK_2.jpg" TargetMode="External" Id="rId3775"/><Relationship Type="http://schemas.openxmlformats.org/officeDocument/2006/relationships/hyperlink" Target="imagenes/NAUTICA_CLASSICS_117003762_BLK_3.jpg" TargetMode="External" Id="rId3776"/><Relationship Type="http://schemas.openxmlformats.org/officeDocument/2006/relationships/hyperlink" Target="imagenes/NAUTICA_CLASSICS_117003762_BLK_1.jpg" TargetMode="External" Id="rId3777"/><Relationship Type="http://schemas.openxmlformats.org/officeDocument/2006/relationships/hyperlink" Target="imagenes/NAUTICA_CLASSICS_117003762_BLK_2.jpg" TargetMode="External" Id="rId3778"/><Relationship Type="http://schemas.openxmlformats.org/officeDocument/2006/relationships/hyperlink" Target="imagenes/NAUTICA_CLASSICS_117003762_BLK_3.jpg" TargetMode="External" Id="rId3779"/><Relationship Type="http://schemas.openxmlformats.org/officeDocument/2006/relationships/hyperlink" Target="imagenes/NAUTICA_CLASSICS_117003762_NSS_1.jpg" TargetMode="External" Id="rId3780"/><Relationship Type="http://schemas.openxmlformats.org/officeDocument/2006/relationships/hyperlink" Target="imagenes/NAUTICA_CLASSICS_117003762_NSS_2.jpg" TargetMode="External" Id="rId3781"/><Relationship Type="http://schemas.openxmlformats.org/officeDocument/2006/relationships/hyperlink" Target="imagenes/NAUTICA_CLASSICS_117003762_NSS_3.jpg" TargetMode="External" Id="rId3782"/><Relationship Type="http://schemas.openxmlformats.org/officeDocument/2006/relationships/hyperlink" Target="imagenes/NAUTICA_CLASSICS_117003762_NSS_1.jpg" TargetMode="External" Id="rId3783"/><Relationship Type="http://schemas.openxmlformats.org/officeDocument/2006/relationships/hyperlink" Target="imagenes/NAUTICA_CLASSICS_117003762_NSS_2.jpg" TargetMode="External" Id="rId3784"/><Relationship Type="http://schemas.openxmlformats.org/officeDocument/2006/relationships/hyperlink" Target="imagenes/NAUTICA_CLASSICS_117003762_NSS_3.jpg" TargetMode="External" Id="rId3785"/><Relationship Type="http://schemas.openxmlformats.org/officeDocument/2006/relationships/hyperlink" Target="imagenes/NAUTICA_CLASSICS_117003762_NSS_1.jpg" TargetMode="External" Id="rId3786"/><Relationship Type="http://schemas.openxmlformats.org/officeDocument/2006/relationships/hyperlink" Target="imagenes/NAUTICA_CLASSICS_117003762_NSS_2.jpg" TargetMode="External" Id="rId3787"/><Relationship Type="http://schemas.openxmlformats.org/officeDocument/2006/relationships/hyperlink" Target="imagenes/NAUTICA_CLASSICS_117003762_NSS_3.jpg" TargetMode="External" Id="rId3788"/><Relationship Type="http://schemas.openxmlformats.org/officeDocument/2006/relationships/hyperlink" Target="imagenes/NAUTICA_CLASSICS_117003762_NSS_1.jpg" TargetMode="External" Id="rId3789"/><Relationship Type="http://schemas.openxmlformats.org/officeDocument/2006/relationships/hyperlink" Target="imagenes/NAUTICA_CLASSICS_117003762_NSS_2.jpg" TargetMode="External" Id="rId3790"/><Relationship Type="http://schemas.openxmlformats.org/officeDocument/2006/relationships/hyperlink" Target="imagenes/NAUTICA_CLASSICS_117003762_NSS_3.jpg" TargetMode="External" Id="rId3791"/><Relationship Type="http://schemas.openxmlformats.org/officeDocument/2006/relationships/hyperlink" Target="imagenes/NAUTICA_CLASSICS_117003762_NSS_1.jpg" TargetMode="External" Id="rId3792"/><Relationship Type="http://schemas.openxmlformats.org/officeDocument/2006/relationships/hyperlink" Target="imagenes/NAUTICA_CLASSICS_117003762_NSS_2.jpg" TargetMode="External" Id="rId3793"/><Relationship Type="http://schemas.openxmlformats.org/officeDocument/2006/relationships/hyperlink" Target="imagenes/NAUTICA_CLASSICS_117003762_NSS_3.jpg" TargetMode="External" Id="rId3794"/><Relationship Type="http://schemas.openxmlformats.org/officeDocument/2006/relationships/hyperlink" Target="imagenes/NAUTICA_CLASSICS_117003875_BLK_1.jpg" TargetMode="External" Id="rId3795"/><Relationship Type="http://schemas.openxmlformats.org/officeDocument/2006/relationships/hyperlink" Target="imagenes/NAUTICA_CLASSICS_117003875_BLK_2.jpg" TargetMode="External" Id="rId3796"/><Relationship Type="http://schemas.openxmlformats.org/officeDocument/2006/relationships/hyperlink" Target="imagenes/NAUTICA_CLASSICS_117003875_BLK_3.jpg" TargetMode="External" Id="rId3797"/><Relationship Type="http://schemas.openxmlformats.org/officeDocument/2006/relationships/hyperlink" Target="imagenes/NAUTICA_CLASSICS_117003875_BLK_1.jpg" TargetMode="External" Id="rId3798"/><Relationship Type="http://schemas.openxmlformats.org/officeDocument/2006/relationships/hyperlink" Target="imagenes/NAUTICA_CLASSICS_117003875_BLK_2.jpg" TargetMode="External" Id="rId3799"/><Relationship Type="http://schemas.openxmlformats.org/officeDocument/2006/relationships/hyperlink" Target="imagenes/NAUTICA_CLASSICS_117003875_BLK_3.jpg" TargetMode="External" Id="rId3800"/><Relationship Type="http://schemas.openxmlformats.org/officeDocument/2006/relationships/hyperlink" Target="imagenes/NAUTICA_CLASSICS_117003875_BLK_1.jpg" TargetMode="External" Id="rId3801"/><Relationship Type="http://schemas.openxmlformats.org/officeDocument/2006/relationships/hyperlink" Target="imagenes/NAUTICA_CLASSICS_117003875_BLK_2.jpg" TargetMode="External" Id="rId3802"/><Relationship Type="http://schemas.openxmlformats.org/officeDocument/2006/relationships/hyperlink" Target="imagenes/NAUTICA_CLASSICS_117003875_BLK_3.jpg" TargetMode="External" Id="rId3803"/><Relationship Type="http://schemas.openxmlformats.org/officeDocument/2006/relationships/hyperlink" Target="imagenes/NAUTICA_CLASSICS_117003875_BLK_1.jpg" TargetMode="External" Id="rId3804"/><Relationship Type="http://schemas.openxmlformats.org/officeDocument/2006/relationships/hyperlink" Target="imagenes/NAUTICA_CLASSICS_117003875_BLK_2.jpg" TargetMode="External" Id="rId3805"/><Relationship Type="http://schemas.openxmlformats.org/officeDocument/2006/relationships/hyperlink" Target="imagenes/NAUTICA_CLASSICS_117003875_BLK_3.jpg" TargetMode="External" Id="rId3806"/><Relationship Type="http://schemas.openxmlformats.org/officeDocument/2006/relationships/hyperlink" Target="imagenes/NAUTICA_CLASSICS_117003875_CTI_1.jpg" TargetMode="External" Id="rId3807"/><Relationship Type="http://schemas.openxmlformats.org/officeDocument/2006/relationships/hyperlink" Target="imagenes/NAUTICA_CLASSICS_117003875_CTI_2.jpg" TargetMode="External" Id="rId3808"/><Relationship Type="http://schemas.openxmlformats.org/officeDocument/2006/relationships/hyperlink" Target="imagenes/NAUTICA_CLASSICS_117003875_CTI_3.jpg" TargetMode="External" Id="rId3809"/><Relationship Type="http://schemas.openxmlformats.org/officeDocument/2006/relationships/hyperlink" Target="imagenes/NAUTICA_CLASSICS_117003875_CTI_1.jpg" TargetMode="External" Id="rId3810"/><Relationship Type="http://schemas.openxmlformats.org/officeDocument/2006/relationships/hyperlink" Target="imagenes/NAUTICA_CLASSICS_117003875_CTI_2.jpg" TargetMode="External" Id="rId3811"/><Relationship Type="http://schemas.openxmlformats.org/officeDocument/2006/relationships/hyperlink" Target="imagenes/NAUTICA_CLASSICS_117003875_CTI_3.jpg" TargetMode="External" Id="rId3812"/><Relationship Type="http://schemas.openxmlformats.org/officeDocument/2006/relationships/hyperlink" Target="imagenes/NAUTICA_CLASSICS_117003875_CTI_1.jpg" TargetMode="External" Id="rId3813"/><Relationship Type="http://schemas.openxmlformats.org/officeDocument/2006/relationships/hyperlink" Target="imagenes/NAUTICA_CLASSICS_117003875_CTI_2.jpg" TargetMode="External" Id="rId3814"/><Relationship Type="http://schemas.openxmlformats.org/officeDocument/2006/relationships/hyperlink" Target="imagenes/NAUTICA_CLASSICS_117003875_CTI_3.jpg" TargetMode="External" Id="rId3815"/><Relationship Type="http://schemas.openxmlformats.org/officeDocument/2006/relationships/hyperlink" Target="imagenes/NAUTICA_CLASSICS_117003875_PLF_1.jpg" TargetMode="External" Id="rId3816"/><Relationship Type="http://schemas.openxmlformats.org/officeDocument/2006/relationships/hyperlink" Target="imagenes/NAUTICA_CLASSICS_117003875_PLF_2.jpg" TargetMode="External" Id="rId3817"/><Relationship Type="http://schemas.openxmlformats.org/officeDocument/2006/relationships/hyperlink" Target="imagenes/NAUTICA_CLASSICS_117003875_PLF_3.jpg" TargetMode="External" Id="rId3818"/><Relationship Type="http://schemas.openxmlformats.org/officeDocument/2006/relationships/hyperlink" Target="imagenes/NAUTICA_CLASSICS_117003875_PS3_1.jpg" TargetMode="External" Id="rId3819"/><Relationship Type="http://schemas.openxmlformats.org/officeDocument/2006/relationships/hyperlink" Target="imagenes/NAUTICA_CLASSICS_117003875_PS3_2.jpg" TargetMode="External" Id="rId3820"/><Relationship Type="http://schemas.openxmlformats.org/officeDocument/2006/relationships/hyperlink" Target="imagenes/NAUTICA_CLASSICS_117003875_PS3_3.jpg" TargetMode="External" Id="rId3821"/><Relationship Type="http://schemas.openxmlformats.org/officeDocument/2006/relationships/hyperlink" Target="imagenes/NAUTICA_CLASSICS_117003875_SAG_1.jpg" TargetMode="External" Id="rId3822"/><Relationship Type="http://schemas.openxmlformats.org/officeDocument/2006/relationships/hyperlink" Target="imagenes/NAUTICA_CLASSICS_117003875_SAG_2.jpg" TargetMode="External" Id="rId3823"/><Relationship Type="http://schemas.openxmlformats.org/officeDocument/2006/relationships/hyperlink" Target="imagenes/NAUTICA_CLASSICS_117003875_SAG_3.jpg" TargetMode="External" Id="rId3824"/><Relationship Type="http://schemas.openxmlformats.org/officeDocument/2006/relationships/hyperlink" Target="imagenes/NAUTICA_CLASSICS_117003875_SAG_1.jpg" TargetMode="External" Id="rId3825"/><Relationship Type="http://schemas.openxmlformats.org/officeDocument/2006/relationships/hyperlink" Target="imagenes/NAUTICA_CLASSICS_117003875_SAG_2.jpg" TargetMode="External" Id="rId3826"/><Relationship Type="http://schemas.openxmlformats.org/officeDocument/2006/relationships/hyperlink" Target="imagenes/NAUTICA_CLASSICS_117003875_SAG_3.jpg" TargetMode="External" Id="rId3827"/><Relationship Type="http://schemas.openxmlformats.org/officeDocument/2006/relationships/hyperlink" Target="imagenes/NAUTICA_CLASSICS_117003875_WIL_1.jpg" TargetMode="External" Id="rId3828"/><Relationship Type="http://schemas.openxmlformats.org/officeDocument/2006/relationships/hyperlink" Target="imagenes/NAUTICA_CLASSICS_117003875_WIL_2.jpg" TargetMode="External" Id="rId3829"/><Relationship Type="http://schemas.openxmlformats.org/officeDocument/2006/relationships/hyperlink" Target="imagenes/NAUTICA_CLASSICS_117003875_WIL_3.jpg" TargetMode="External" Id="rId3830"/><Relationship Type="http://schemas.openxmlformats.org/officeDocument/2006/relationships/hyperlink" Target="imagenes/NAUTICA_CLASSICS_117003876_BLK_1.jpg" TargetMode="External" Id="rId3831"/><Relationship Type="http://schemas.openxmlformats.org/officeDocument/2006/relationships/hyperlink" Target="imagenes/NAUTICA_CLASSICS_117003876_BLK_2.jpg" TargetMode="External" Id="rId3832"/><Relationship Type="http://schemas.openxmlformats.org/officeDocument/2006/relationships/hyperlink" Target="imagenes/NAUTICA_CLASSICS_117003876_BLK_3.jpg" TargetMode="External" Id="rId3833"/><Relationship Type="http://schemas.openxmlformats.org/officeDocument/2006/relationships/hyperlink" Target="imagenes/NAUTICA_CLASSICS_117003876_BLK_1.jpg" TargetMode="External" Id="rId3834"/><Relationship Type="http://schemas.openxmlformats.org/officeDocument/2006/relationships/hyperlink" Target="imagenes/NAUTICA_CLASSICS_117003876_BLK_2.jpg" TargetMode="External" Id="rId3835"/><Relationship Type="http://schemas.openxmlformats.org/officeDocument/2006/relationships/hyperlink" Target="imagenes/NAUTICA_CLASSICS_117003876_BLK_3.jpg" TargetMode="External" Id="rId3836"/><Relationship Type="http://schemas.openxmlformats.org/officeDocument/2006/relationships/hyperlink" Target="imagenes/NAUTICA_CLASSICS_117003876_BLK_1.jpg" TargetMode="External" Id="rId3837"/><Relationship Type="http://schemas.openxmlformats.org/officeDocument/2006/relationships/hyperlink" Target="imagenes/NAUTICA_CLASSICS_117003876_BLK_2.jpg" TargetMode="External" Id="rId3838"/><Relationship Type="http://schemas.openxmlformats.org/officeDocument/2006/relationships/hyperlink" Target="imagenes/NAUTICA_CLASSICS_117003876_BLK_3.jpg" TargetMode="External" Id="rId3839"/><Relationship Type="http://schemas.openxmlformats.org/officeDocument/2006/relationships/hyperlink" Target="imagenes/NAUTICA_CLASSICS_117003876_BLK_1.jpg" TargetMode="External" Id="rId3840"/><Relationship Type="http://schemas.openxmlformats.org/officeDocument/2006/relationships/hyperlink" Target="imagenes/NAUTICA_CLASSICS_117003876_BLK_2.jpg" TargetMode="External" Id="rId3841"/><Relationship Type="http://schemas.openxmlformats.org/officeDocument/2006/relationships/hyperlink" Target="imagenes/NAUTICA_CLASSICS_117003876_BLK_3.jpg" TargetMode="External" Id="rId3842"/><Relationship Type="http://schemas.openxmlformats.org/officeDocument/2006/relationships/hyperlink" Target="imagenes/NAUTICA_CLASSICS_117003876_BLK_1.jpg" TargetMode="External" Id="rId3843"/><Relationship Type="http://schemas.openxmlformats.org/officeDocument/2006/relationships/hyperlink" Target="imagenes/NAUTICA_CLASSICS_117003876_BLK_2.jpg" TargetMode="External" Id="rId3844"/><Relationship Type="http://schemas.openxmlformats.org/officeDocument/2006/relationships/hyperlink" Target="imagenes/NAUTICA_CLASSICS_117003876_BLK_3.jpg" TargetMode="External" Id="rId3845"/><Relationship Type="http://schemas.openxmlformats.org/officeDocument/2006/relationships/hyperlink" Target="imagenes/NAUTICA_CLASSICS_117003876_LMS_1.jpg" TargetMode="External" Id="rId3846"/><Relationship Type="http://schemas.openxmlformats.org/officeDocument/2006/relationships/hyperlink" Target="imagenes/NAUTICA_CLASSICS_117003876_LMS_2.jpg" TargetMode="External" Id="rId3847"/><Relationship Type="http://schemas.openxmlformats.org/officeDocument/2006/relationships/hyperlink" Target="imagenes/NAUTICA_CLASSICS_117003876_LMS_3.jpg" TargetMode="External" Id="rId3848"/><Relationship Type="http://schemas.openxmlformats.org/officeDocument/2006/relationships/hyperlink" Target="imagenes/NAUTICA_CLASSICS_117003876_LMS_1.jpg" TargetMode="External" Id="rId3849"/><Relationship Type="http://schemas.openxmlformats.org/officeDocument/2006/relationships/hyperlink" Target="imagenes/NAUTICA_CLASSICS_117003876_LMS_2.jpg" TargetMode="External" Id="rId3850"/><Relationship Type="http://schemas.openxmlformats.org/officeDocument/2006/relationships/hyperlink" Target="imagenes/NAUTICA_CLASSICS_117003876_LMS_3.jpg" TargetMode="External" Id="rId3851"/><Relationship Type="http://schemas.openxmlformats.org/officeDocument/2006/relationships/hyperlink" Target="imagenes/NAUTICA_CLASSICS_117003879_BLK_1.jpg" TargetMode="External" Id="rId3852"/><Relationship Type="http://schemas.openxmlformats.org/officeDocument/2006/relationships/hyperlink" Target="imagenes/NAUTICA_CLASSICS_117003879_BLK_2.jpg" TargetMode="External" Id="rId3853"/><Relationship Type="http://schemas.openxmlformats.org/officeDocument/2006/relationships/hyperlink" Target="imagenes/NAUTICA_CLASSICS_117003879_BLK_3.jpg" TargetMode="External" Id="rId3854"/><Relationship Type="http://schemas.openxmlformats.org/officeDocument/2006/relationships/hyperlink" Target="imagenes/NAUTICA_CLASSICS_117003879_BLK_1.jpg" TargetMode="External" Id="rId3855"/><Relationship Type="http://schemas.openxmlformats.org/officeDocument/2006/relationships/hyperlink" Target="imagenes/NAUTICA_CLASSICS_117003879_BLK_2.jpg" TargetMode="External" Id="rId3856"/><Relationship Type="http://schemas.openxmlformats.org/officeDocument/2006/relationships/hyperlink" Target="imagenes/NAUTICA_CLASSICS_117003879_BLK_3.jpg" TargetMode="External" Id="rId3857"/><Relationship Type="http://schemas.openxmlformats.org/officeDocument/2006/relationships/hyperlink" Target="imagenes/NAUTICA_CLASSICS_117003879_BLK_1.jpg" TargetMode="External" Id="rId3858"/><Relationship Type="http://schemas.openxmlformats.org/officeDocument/2006/relationships/hyperlink" Target="imagenes/NAUTICA_CLASSICS_117003879_BLK_2.jpg" TargetMode="External" Id="rId3859"/><Relationship Type="http://schemas.openxmlformats.org/officeDocument/2006/relationships/hyperlink" Target="imagenes/NAUTICA_CLASSICS_117003879_BLK_3.jpg" TargetMode="External" Id="rId3860"/><Relationship Type="http://schemas.openxmlformats.org/officeDocument/2006/relationships/hyperlink" Target="imagenes/NAUTICA_CLASSICS_117003879_BLK_1.jpg" TargetMode="External" Id="rId3861"/><Relationship Type="http://schemas.openxmlformats.org/officeDocument/2006/relationships/hyperlink" Target="imagenes/NAUTICA_CLASSICS_117003879_BLK_2.jpg" TargetMode="External" Id="rId3862"/><Relationship Type="http://schemas.openxmlformats.org/officeDocument/2006/relationships/hyperlink" Target="imagenes/NAUTICA_CLASSICS_117003879_BLK_3.jpg" TargetMode="External" Id="rId3863"/><Relationship Type="http://schemas.openxmlformats.org/officeDocument/2006/relationships/hyperlink" Target="imagenes/NAUTICA_CLASSICS_117003879_CTI_1.jpg" TargetMode="External" Id="rId3864"/><Relationship Type="http://schemas.openxmlformats.org/officeDocument/2006/relationships/hyperlink" Target="imagenes/NAUTICA_CLASSICS_117003879_CTI_3.jpg" TargetMode="External" Id="rId3865"/><Relationship Type="http://schemas.openxmlformats.org/officeDocument/2006/relationships/hyperlink" Target="imagenes/NAUTICA_CLASSICS_117003879_CTI_1.jpg" TargetMode="External" Id="rId3866"/><Relationship Type="http://schemas.openxmlformats.org/officeDocument/2006/relationships/hyperlink" Target="imagenes/NAUTICA_CLASSICS_117003879_CTI_3.jpg" TargetMode="External" Id="rId3867"/><Relationship Type="http://schemas.openxmlformats.org/officeDocument/2006/relationships/hyperlink" Target="imagenes/NAUTICA_CLASSICS_117003879_CTI_1.jpg" TargetMode="External" Id="rId3868"/><Relationship Type="http://schemas.openxmlformats.org/officeDocument/2006/relationships/hyperlink" Target="imagenes/NAUTICA_CLASSICS_117003879_CTI_3.jpg" TargetMode="External" Id="rId3869"/><Relationship Type="http://schemas.openxmlformats.org/officeDocument/2006/relationships/hyperlink" Target="imagenes/NAUTICA_CLASSICS_117003879_CTI_1.jpg" TargetMode="External" Id="rId3870"/><Relationship Type="http://schemas.openxmlformats.org/officeDocument/2006/relationships/hyperlink" Target="imagenes/NAUTICA_CLASSICS_117003879_CTI_3.jpg" TargetMode="External" Id="rId3871"/><Relationship Type="http://schemas.openxmlformats.org/officeDocument/2006/relationships/hyperlink" Target="imagenes/NAUTICA_CLASSICS_117003879_NSS_1.jpg" TargetMode="External" Id="rId3872"/><Relationship Type="http://schemas.openxmlformats.org/officeDocument/2006/relationships/hyperlink" Target="imagenes/NAUTICA_CLASSICS_117003879_NSS_2.jpg" TargetMode="External" Id="rId3873"/><Relationship Type="http://schemas.openxmlformats.org/officeDocument/2006/relationships/hyperlink" Target="imagenes/NAUTICA_CLASSICS_117003879_NSS_3.jpg" TargetMode="External" Id="rId3874"/><Relationship Type="http://schemas.openxmlformats.org/officeDocument/2006/relationships/hyperlink" Target="imagenes/NAUTICA_CLASSICS_117003879_NSS_1.jpg" TargetMode="External" Id="rId3875"/><Relationship Type="http://schemas.openxmlformats.org/officeDocument/2006/relationships/hyperlink" Target="imagenes/NAUTICA_CLASSICS_117003879_NSS_2.jpg" TargetMode="External" Id="rId3876"/><Relationship Type="http://schemas.openxmlformats.org/officeDocument/2006/relationships/hyperlink" Target="imagenes/NAUTICA_CLASSICS_117003879_NSS_3.jpg" TargetMode="External" Id="rId3877"/><Relationship Type="http://schemas.openxmlformats.org/officeDocument/2006/relationships/hyperlink" Target="imagenes/NAUTICA_CLASSICS_117003879_NSS_1.jpg" TargetMode="External" Id="rId3878"/><Relationship Type="http://schemas.openxmlformats.org/officeDocument/2006/relationships/hyperlink" Target="imagenes/NAUTICA_CLASSICS_117003879_NSS_2.jpg" TargetMode="External" Id="rId3879"/><Relationship Type="http://schemas.openxmlformats.org/officeDocument/2006/relationships/hyperlink" Target="imagenes/NAUTICA_CLASSICS_117003879_NSS_3.jpg" TargetMode="External" Id="rId3880"/><Relationship Type="http://schemas.openxmlformats.org/officeDocument/2006/relationships/hyperlink" Target="imagenes/NAUTICA_CLASSICS_117003879_NSS_1.jpg" TargetMode="External" Id="rId3881"/><Relationship Type="http://schemas.openxmlformats.org/officeDocument/2006/relationships/hyperlink" Target="imagenes/NAUTICA_CLASSICS_117003879_NSS_2.jpg" TargetMode="External" Id="rId3882"/><Relationship Type="http://schemas.openxmlformats.org/officeDocument/2006/relationships/hyperlink" Target="imagenes/NAUTICA_CLASSICS_117003879_NSS_3.jpg" TargetMode="External" Id="rId3883"/><Relationship Type="http://schemas.openxmlformats.org/officeDocument/2006/relationships/hyperlink" Target="imagenes/NAUTICA_CLASSICS_117003882_BLK_1.jpg" TargetMode="External" Id="rId3884"/><Relationship Type="http://schemas.openxmlformats.org/officeDocument/2006/relationships/hyperlink" Target="imagenes/NAUTICA_CLASSICS_117003882_BLK_2.jpg" TargetMode="External" Id="rId3885"/><Relationship Type="http://schemas.openxmlformats.org/officeDocument/2006/relationships/hyperlink" Target="imagenes/NAUTICA_CLASSICS_117003882_BLK_3.jpg" TargetMode="External" Id="rId3886"/><Relationship Type="http://schemas.openxmlformats.org/officeDocument/2006/relationships/hyperlink" Target="imagenes/NAUTICA_CLASSICS_117003882_BLK_1.jpg" TargetMode="External" Id="rId3887"/><Relationship Type="http://schemas.openxmlformats.org/officeDocument/2006/relationships/hyperlink" Target="imagenes/NAUTICA_CLASSICS_117003882_BLK_2.jpg" TargetMode="External" Id="rId3888"/><Relationship Type="http://schemas.openxmlformats.org/officeDocument/2006/relationships/hyperlink" Target="imagenes/NAUTICA_CLASSICS_117003882_BLK_3.jpg" TargetMode="External" Id="rId3889"/><Relationship Type="http://schemas.openxmlformats.org/officeDocument/2006/relationships/hyperlink" Target="imagenes/NAUTICA_CLASSICS_117003882_NAR_1.jpg" TargetMode="External" Id="rId3890"/><Relationship Type="http://schemas.openxmlformats.org/officeDocument/2006/relationships/hyperlink" Target="imagenes/NAUTICA_CLASSICS_117003882_NAR_2.jpg" TargetMode="External" Id="rId3891"/><Relationship Type="http://schemas.openxmlformats.org/officeDocument/2006/relationships/hyperlink" Target="imagenes/NAUTICA_CLASSICS_117003882_NAR_3.jpg" TargetMode="External" Id="rId3892"/><Relationship Type="http://schemas.openxmlformats.org/officeDocument/2006/relationships/hyperlink" Target="imagenes/NAUTICA_CLASSICS_117003882_NAR_1.jpg" TargetMode="External" Id="rId3893"/><Relationship Type="http://schemas.openxmlformats.org/officeDocument/2006/relationships/hyperlink" Target="imagenes/NAUTICA_CLASSICS_117003882_NAR_2.jpg" TargetMode="External" Id="rId3894"/><Relationship Type="http://schemas.openxmlformats.org/officeDocument/2006/relationships/hyperlink" Target="imagenes/NAUTICA_CLASSICS_117003882_NAR_3.jpg" TargetMode="External" Id="rId3895"/><Relationship Type="http://schemas.openxmlformats.org/officeDocument/2006/relationships/hyperlink" Target="imagenes/NAUTICA_CLASSICS_117003882_NAR_1.jpg" TargetMode="External" Id="rId3896"/><Relationship Type="http://schemas.openxmlformats.org/officeDocument/2006/relationships/hyperlink" Target="imagenes/NAUTICA_CLASSICS_117003882_NAR_2.jpg" TargetMode="External" Id="rId3897"/><Relationship Type="http://schemas.openxmlformats.org/officeDocument/2006/relationships/hyperlink" Target="imagenes/NAUTICA_CLASSICS_117003882_NAR_3.jpg" TargetMode="External" Id="rId3898"/><Relationship Type="http://schemas.openxmlformats.org/officeDocument/2006/relationships/hyperlink" Target="imagenes/NAUTICA_CLASSICS_117003882_NSS_1.jpg" TargetMode="External" Id="rId3899"/><Relationship Type="http://schemas.openxmlformats.org/officeDocument/2006/relationships/hyperlink" Target="imagenes/NAUTICA_CLASSICS_117003882_NSS_2.jpg" TargetMode="External" Id="rId3900"/><Relationship Type="http://schemas.openxmlformats.org/officeDocument/2006/relationships/hyperlink" Target="imagenes/NAUTICA_CLASSICS_117003882_NSS_3.jpg" TargetMode="External" Id="rId3901"/><Relationship Type="http://schemas.openxmlformats.org/officeDocument/2006/relationships/hyperlink" Target="imagenes/NAUTICA_CLASSICS_117003882_NSS_1.jpg" TargetMode="External" Id="rId3902"/><Relationship Type="http://schemas.openxmlformats.org/officeDocument/2006/relationships/hyperlink" Target="imagenes/NAUTICA_CLASSICS_117003882_NSS_2.jpg" TargetMode="External" Id="rId3903"/><Relationship Type="http://schemas.openxmlformats.org/officeDocument/2006/relationships/hyperlink" Target="imagenes/NAUTICA_CLASSICS_117003882_NSS_3.jpg" TargetMode="External" Id="rId3904"/><Relationship Type="http://schemas.openxmlformats.org/officeDocument/2006/relationships/hyperlink" Target="imagenes/NAUTICA_CLASSICS_117003891_B4K_1.jpg" TargetMode="External" Id="rId3905"/><Relationship Type="http://schemas.openxmlformats.org/officeDocument/2006/relationships/hyperlink" Target="imagenes/NAUTICA_CLASSICS_117003891_B4K_2.jpg" TargetMode="External" Id="rId3906"/><Relationship Type="http://schemas.openxmlformats.org/officeDocument/2006/relationships/hyperlink" Target="imagenes/NAUTICA_CLASSICS_117003891_B4K_3.jpg" TargetMode="External" Id="rId3907"/><Relationship Type="http://schemas.openxmlformats.org/officeDocument/2006/relationships/hyperlink" Target="imagenes/NAUTICA_CLASSICS_117003891_BLK_1.jpg" TargetMode="External" Id="rId3908"/><Relationship Type="http://schemas.openxmlformats.org/officeDocument/2006/relationships/hyperlink" Target="imagenes/NAUTICA_CLASSICS_117003891_BLK_2.jpg" TargetMode="External" Id="rId3909"/><Relationship Type="http://schemas.openxmlformats.org/officeDocument/2006/relationships/hyperlink" Target="imagenes/NAUTICA_CLASSICS_117003891_BLK_3.jpg" TargetMode="External" Id="rId3910"/><Relationship Type="http://schemas.openxmlformats.org/officeDocument/2006/relationships/hyperlink" Target="imagenes/NAUTICA_CLASSICS_117003891_BLK_1.jpg" TargetMode="External" Id="rId3911"/><Relationship Type="http://schemas.openxmlformats.org/officeDocument/2006/relationships/hyperlink" Target="imagenes/NAUTICA_CLASSICS_117003891_BLK_2.jpg" TargetMode="External" Id="rId3912"/><Relationship Type="http://schemas.openxmlformats.org/officeDocument/2006/relationships/hyperlink" Target="imagenes/NAUTICA_CLASSICS_117003891_BLK_3.jpg" TargetMode="External" Id="rId3913"/><Relationship Type="http://schemas.openxmlformats.org/officeDocument/2006/relationships/hyperlink" Target="imagenes/NAUTICA_CLASSICS_117003891_BUE_1.jpg" TargetMode="External" Id="rId3914"/><Relationship Type="http://schemas.openxmlformats.org/officeDocument/2006/relationships/hyperlink" Target="imagenes/NAUTICA_CLASSICS_117003891_BUE_2.jpg" TargetMode="External" Id="rId3915"/><Relationship Type="http://schemas.openxmlformats.org/officeDocument/2006/relationships/hyperlink" Target="imagenes/NAUTICA_CLASSICS_117003891_BUE_3.jpg" TargetMode="External" Id="rId3916"/><Relationship Type="http://schemas.openxmlformats.org/officeDocument/2006/relationships/hyperlink" Target="imagenes/NAUTICA_CLASSICS_117003891_BUE_1.jpg" TargetMode="External" Id="rId3917"/><Relationship Type="http://schemas.openxmlformats.org/officeDocument/2006/relationships/hyperlink" Target="imagenes/NAUTICA_CLASSICS_117003891_BUE_2.jpg" TargetMode="External" Id="rId3918"/><Relationship Type="http://schemas.openxmlformats.org/officeDocument/2006/relationships/hyperlink" Target="imagenes/NAUTICA_CLASSICS_117003891_BUE_3.jpg" TargetMode="External" Id="rId3919"/><Relationship Type="http://schemas.openxmlformats.org/officeDocument/2006/relationships/hyperlink" Target="imagenes/NAUTICA_CLASSICS_117003891_LMS_1.jpg" TargetMode="External" Id="rId3920"/><Relationship Type="http://schemas.openxmlformats.org/officeDocument/2006/relationships/hyperlink" Target="imagenes/NAUTICA_CLASSICS_117003891_LMS_2.jpg" TargetMode="External" Id="rId3921"/><Relationship Type="http://schemas.openxmlformats.org/officeDocument/2006/relationships/hyperlink" Target="imagenes/NAUTICA_CLASSICS_117003891_LMS_3.jpg" TargetMode="External" Id="rId3922"/><Relationship Type="http://schemas.openxmlformats.org/officeDocument/2006/relationships/hyperlink" Target="imagenes/NAUTICA_CLASSICS_117003891_LMS_1.jpg" TargetMode="External" Id="rId3923"/><Relationship Type="http://schemas.openxmlformats.org/officeDocument/2006/relationships/hyperlink" Target="imagenes/NAUTICA_CLASSICS_117003891_LMS_2.jpg" TargetMode="External" Id="rId3924"/><Relationship Type="http://schemas.openxmlformats.org/officeDocument/2006/relationships/hyperlink" Target="imagenes/NAUTICA_CLASSICS_117003891_LMS_3.jpg" TargetMode="External" Id="rId3925"/><Relationship Type="http://schemas.openxmlformats.org/officeDocument/2006/relationships/hyperlink" Target="imagenes/NAUTICA_CLASSICS_117003891_PRP_1.jpg" TargetMode="External" Id="rId3926"/><Relationship Type="http://schemas.openxmlformats.org/officeDocument/2006/relationships/hyperlink" Target="imagenes/NAUTICA_CLASSICS_117003891_PRP_2.jpg" TargetMode="External" Id="rId3927"/><Relationship Type="http://schemas.openxmlformats.org/officeDocument/2006/relationships/hyperlink" Target="imagenes/NAUTICA_CLASSICS_117003891_PRP_3.jpg" TargetMode="External" Id="rId3928"/><Relationship Type="http://schemas.openxmlformats.org/officeDocument/2006/relationships/hyperlink" Target="imagenes/NAUTICA_CLASSICS_117003891_PRY_1.jpg" TargetMode="External" Id="rId3929"/><Relationship Type="http://schemas.openxmlformats.org/officeDocument/2006/relationships/hyperlink" Target="imagenes/NAUTICA_CLASSICS_117003891_PRY_2.jpg" TargetMode="External" Id="rId3930"/><Relationship Type="http://schemas.openxmlformats.org/officeDocument/2006/relationships/hyperlink" Target="imagenes/NAUTICA_CLASSICS_117003891_PRY_3.jpg" TargetMode="External" Id="rId3931"/><Relationship Type="http://schemas.openxmlformats.org/officeDocument/2006/relationships/hyperlink" Target="imagenes/NAUTICA_CLASSICS_117003974_HBE_1.jpg" TargetMode="External" Id="rId3932"/><Relationship Type="http://schemas.openxmlformats.org/officeDocument/2006/relationships/hyperlink" Target="imagenes/NAUTICA_CLASSICS_117003974_HBE_2.jpg" TargetMode="External" Id="rId3933"/><Relationship Type="http://schemas.openxmlformats.org/officeDocument/2006/relationships/hyperlink" Target="imagenes/NAUTICA_CLASSICS_117003974_HBE_3.jpg" TargetMode="External" Id="rId3934"/><Relationship Type="http://schemas.openxmlformats.org/officeDocument/2006/relationships/hyperlink" Target="imagenes/NAUTICA_CLASSICS_117003974_LMS_1.jpg" TargetMode="External" Id="rId3935"/><Relationship Type="http://schemas.openxmlformats.org/officeDocument/2006/relationships/hyperlink" Target="imagenes/NAUTICA_CLASSICS_117003974_LMS_2.jpg" TargetMode="External" Id="rId3936"/><Relationship Type="http://schemas.openxmlformats.org/officeDocument/2006/relationships/hyperlink" Target="imagenes/NAUTICA_CLASSICS_117003974_LMS_3.jpg" TargetMode="External" Id="rId3937"/><Relationship Type="http://schemas.openxmlformats.org/officeDocument/2006/relationships/hyperlink" Target="imagenes/NAUTICA_CLASSICS_117003974_LMS_1.jpg" TargetMode="External" Id="rId3938"/><Relationship Type="http://schemas.openxmlformats.org/officeDocument/2006/relationships/hyperlink" Target="imagenes/NAUTICA_CLASSICS_117003974_LMS_2.jpg" TargetMode="External" Id="rId3939"/><Relationship Type="http://schemas.openxmlformats.org/officeDocument/2006/relationships/hyperlink" Target="imagenes/NAUTICA_CLASSICS_117003974_LMS_3.jpg" TargetMode="External" Id="rId3940"/><Relationship Type="http://schemas.openxmlformats.org/officeDocument/2006/relationships/hyperlink" Target="imagenes/NAUTICA_CLASSICS_117003974_LMS_1.jpg" TargetMode="External" Id="rId3941"/><Relationship Type="http://schemas.openxmlformats.org/officeDocument/2006/relationships/hyperlink" Target="imagenes/NAUTICA_CLASSICS_117003974_LMS_2.jpg" TargetMode="External" Id="rId3942"/><Relationship Type="http://schemas.openxmlformats.org/officeDocument/2006/relationships/hyperlink" Target="imagenes/NAUTICA_CLASSICS_117003974_LMS_3.jpg" TargetMode="External" Id="rId3943"/><Relationship Type="http://schemas.openxmlformats.org/officeDocument/2006/relationships/hyperlink" Target="imagenes/NAUTICA_CLASSICS_117003975_BLK_2.jpg" TargetMode="External" Id="rId3944"/><Relationship Type="http://schemas.openxmlformats.org/officeDocument/2006/relationships/hyperlink" Target="imagenes/NAUTICA_CLASSICS_117003975_BLK_3.jpg" TargetMode="External" Id="rId3945"/><Relationship Type="http://schemas.openxmlformats.org/officeDocument/2006/relationships/hyperlink" Target="imagenes/NAUTICA_CLASSICS_117003975_BLK_2.jpg" TargetMode="External" Id="rId3946"/><Relationship Type="http://schemas.openxmlformats.org/officeDocument/2006/relationships/hyperlink" Target="imagenes/NAUTICA_CLASSICS_117003975_BLK_3.jpg" TargetMode="External" Id="rId3947"/><Relationship Type="http://schemas.openxmlformats.org/officeDocument/2006/relationships/hyperlink" Target="imagenes/NAUTICA_CLASSICS_117003975_BLU_1.jpg" TargetMode="External" Id="rId3948"/><Relationship Type="http://schemas.openxmlformats.org/officeDocument/2006/relationships/hyperlink" Target="imagenes/NAUTICA_CLASSICS_117003975_BLU_2.jpg" TargetMode="External" Id="rId3949"/><Relationship Type="http://schemas.openxmlformats.org/officeDocument/2006/relationships/hyperlink" Target="imagenes/NAUTICA_CLASSICS_117003975_BLU_3.jpg" TargetMode="External" Id="rId3950"/><Relationship Type="http://schemas.openxmlformats.org/officeDocument/2006/relationships/hyperlink" Target="imagenes/NAUTICA_CLASSICS_117003975_BLU_1.jpg" TargetMode="External" Id="rId3951"/><Relationship Type="http://schemas.openxmlformats.org/officeDocument/2006/relationships/hyperlink" Target="imagenes/NAUTICA_CLASSICS_117003975_BLU_2.jpg" TargetMode="External" Id="rId3952"/><Relationship Type="http://schemas.openxmlformats.org/officeDocument/2006/relationships/hyperlink" Target="imagenes/NAUTICA_CLASSICS_117003975_BLU_3.jpg" TargetMode="External" Id="rId3953"/><Relationship Type="http://schemas.openxmlformats.org/officeDocument/2006/relationships/hyperlink" Target="imagenes/NAUTICA_CLASSICS_117003975_BLU_1.jpg" TargetMode="External" Id="rId3954"/><Relationship Type="http://schemas.openxmlformats.org/officeDocument/2006/relationships/hyperlink" Target="imagenes/NAUTICA_CLASSICS_117003975_BLU_2.jpg" TargetMode="External" Id="rId3955"/><Relationship Type="http://schemas.openxmlformats.org/officeDocument/2006/relationships/hyperlink" Target="imagenes/NAUTICA_CLASSICS_117003975_BLU_3.jpg" TargetMode="External" Id="rId3956"/><Relationship Type="http://schemas.openxmlformats.org/officeDocument/2006/relationships/hyperlink" Target="imagenes/NAUTICA_CLASSICS_117003975_CTI_1.jpg" TargetMode="External" Id="rId3957"/><Relationship Type="http://schemas.openxmlformats.org/officeDocument/2006/relationships/hyperlink" Target="imagenes/NAUTICA_CLASSICS_117003975_CTI_2.jpg" TargetMode="External" Id="rId3958"/><Relationship Type="http://schemas.openxmlformats.org/officeDocument/2006/relationships/hyperlink" Target="imagenes/NAUTICA_CLASSICS_117003975_CTI_3.jpg" TargetMode="External" Id="rId3959"/><Relationship Type="http://schemas.openxmlformats.org/officeDocument/2006/relationships/hyperlink" Target="imagenes/NAUTICA_CLASSICS_117003975_OLI_1.jpg" TargetMode="External" Id="rId3960"/><Relationship Type="http://schemas.openxmlformats.org/officeDocument/2006/relationships/hyperlink" Target="imagenes/NAUTICA_CLASSICS_117003975_OLI_2.jpg" TargetMode="External" Id="rId3961"/><Relationship Type="http://schemas.openxmlformats.org/officeDocument/2006/relationships/hyperlink" Target="imagenes/NAUTICA_CLASSICS_117003975_OLI_3.jpg" TargetMode="External" Id="rId3962"/><Relationship Type="http://schemas.openxmlformats.org/officeDocument/2006/relationships/hyperlink" Target="imagenes/NAUTICA_CLASSICS_117003975_OLI_1.jpg" TargetMode="External" Id="rId3963"/><Relationship Type="http://schemas.openxmlformats.org/officeDocument/2006/relationships/hyperlink" Target="imagenes/NAUTICA_CLASSICS_117003975_OLI_2.jpg" TargetMode="External" Id="rId3964"/><Relationship Type="http://schemas.openxmlformats.org/officeDocument/2006/relationships/hyperlink" Target="imagenes/NAUTICA_CLASSICS_117003975_OLI_3.jpg" TargetMode="External" Id="rId3965"/><Relationship Type="http://schemas.openxmlformats.org/officeDocument/2006/relationships/hyperlink" Target="imagenes/NAUTICA_CLASSICS_117003975_OLI_1.jpg" TargetMode="External" Id="rId3966"/><Relationship Type="http://schemas.openxmlformats.org/officeDocument/2006/relationships/hyperlink" Target="imagenes/NAUTICA_CLASSICS_117003975_OLI_2.jpg" TargetMode="External" Id="rId3967"/><Relationship Type="http://schemas.openxmlformats.org/officeDocument/2006/relationships/hyperlink" Target="imagenes/NAUTICA_CLASSICS_117003975_OLI_3.jpg" TargetMode="External" Id="rId3968"/><Relationship Type="http://schemas.openxmlformats.org/officeDocument/2006/relationships/hyperlink" Target="imagenes/NAUTICA_CLASSICS_117003975_OLI_1.jpg" TargetMode="External" Id="rId3969"/><Relationship Type="http://schemas.openxmlformats.org/officeDocument/2006/relationships/hyperlink" Target="imagenes/NAUTICA_CLASSICS_117003975_OLI_2.jpg" TargetMode="External" Id="rId3970"/><Relationship Type="http://schemas.openxmlformats.org/officeDocument/2006/relationships/hyperlink" Target="imagenes/NAUTICA_CLASSICS_117003975_OLI_3.jpg" TargetMode="External" Id="rId3971"/><Relationship Type="http://schemas.openxmlformats.org/officeDocument/2006/relationships/hyperlink" Target="imagenes/NAUTICA_CLASSICS_117003975_OLI_1.jpg" TargetMode="External" Id="rId3972"/><Relationship Type="http://schemas.openxmlformats.org/officeDocument/2006/relationships/hyperlink" Target="imagenes/NAUTICA_CLASSICS_117003975_OLI_2.jpg" TargetMode="External" Id="rId3973"/><Relationship Type="http://schemas.openxmlformats.org/officeDocument/2006/relationships/hyperlink" Target="imagenes/NAUTICA_CLASSICS_117003975_OLI_3.jpg" TargetMode="External" Id="rId3974"/><Relationship Type="http://schemas.openxmlformats.org/officeDocument/2006/relationships/hyperlink" Target="imagenes/NAUTICA_CLASSICS_117003975P_BLK_2.jpg" TargetMode="External" Id="rId3975"/><Relationship Type="http://schemas.openxmlformats.org/officeDocument/2006/relationships/hyperlink" Target="imagenes/NAUTICA_CLASSICS_117003975P_BLK_3.jpg" TargetMode="External" Id="rId3976"/><Relationship Type="http://schemas.openxmlformats.org/officeDocument/2006/relationships/hyperlink" Target="imagenes/NAUTICA_CLASSICS_117003975P_BLK_2.jpg" TargetMode="External" Id="rId3977"/><Relationship Type="http://schemas.openxmlformats.org/officeDocument/2006/relationships/hyperlink" Target="imagenes/NAUTICA_CLASSICS_117003975P_BLK_3.jpg" TargetMode="External" Id="rId3978"/><Relationship Type="http://schemas.openxmlformats.org/officeDocument/2006/relationships/hyperlink" Target="imagenes/NAUTICA_CLASSICS_117003975P_BLK_2.jpg" TargetMode="External" Id="rId3979"/><Relationship Type="http://schemas.openxmlformats.org/officeDocument/2006/relationships/hyperlink" Target="imagenes/NAUTICA_CLASSICS_117003975P_BLK_3.jpg" TargetMode="External" Id="rId3980"/><Relationship Type="http://schemas.openxmlformats.org/officeDocument/2006/relationships/hyperlink" Target="imagenes/NAUTICA_CLASSICS_117003975P_BLU_1.jpg" TargetMode="External" Id="rId3981"/><Relationship Type="http://schemas.openxmlformats.org/officeDocument/2006/relationships/hyperlink" Target="imagenes/NAUTICA_CLASSICS_117003975P_BLU_2.jpg" TargetMode="External" Id="rId3982"/><Relationship Type="http://schemas.openxmlformats.org/officeDocument/2006/relationships/hyperlink" Target="imagenes/NAUTICA_CLASSICS_117003975P_BLU_3.jpg" TargetMode="External" Id="rId3983"/><Relationship Type="http://schemas.openxmlformats.org/officeDocument/2006/relationships/hyperlink" Target="imagenes/NAUTICA_CLASSICS_117003975P_BLU_1.jpg" TargetMode="External" Id="rId3984"/><Relationship Type="http://schemas.openxmlformats.org/officeDocument/2006/relationships/hyperlink" Target="imagenes/NAUTICA_CLASSICS_117003975P_BLU_2.jpg" TargetMode="External" Id="rId3985"/><Relationship Type="http://schemas.openxmlformats.org/officeDocument/2006/relationships/hyperlink" Target="imagenes/NAUTICA_CLASSICS_117003975P_BLU_3.jpg" TargetMode="External" Id="rId3986"/><Relationship Type="http://schemas.openxmlformats.org/officeDocument/2006/relationships/hyperlink" Target="imagenes/NAUTICA_CLASSICS_117003975P_BLU_1.jpg" TargetMode="External" Id="rId3987"/><Relationship Type="http://schemas.openxmlformats.org/officeDocument/2006/relationships/hyperlink" Target="imagenes/NAUTICA_CLASSICS_117003975P_BLU_2.jpg" TargetMode="External" Id="rId3988"/><Relationship Type="http://schemas.openxmlformats.org/officeDocument/2006/relationships/hyperlink" Target="imagenes/NAUTICA_CLASSICS_117003975P_BLU_3.jpg" TargetMode="External" Id="rId3989"/><Relationship Type="http://schemas.openxmlformats.org/officeDocument/2006/relationships/hyperlink" Target="imagenes/NAUTICA_CLASSICS_117003975P_CTI_1.jpg" TargetMode="External" Id="rId3990"/><Relationship Type="http://schemas.openxmlformats.org/officeDocument/2006/relationships/hyperlink" Target="imagenes/NAUTICA_CLASSICS_117003975P_CTI_2.jpg" TargetMode="External" Id="rId3991"/><Relationship Type="http://schemas.openxmlformats.org/officeDocument/2006/relationships/hyperlink" Target="imagenes/NAUTICA_CLASSICS_117003975P_CTI_3.jpg" TargetMode="External" Id="rId3992"/><Relationship Type="http://schemas.openxmlformats.org/officeDocument/2006/relationships/hyperlink" Target="imagenes/NAUTICA_CLASSICS_117003975P_CTI_1.jpg" TargetMode="External" Id="rId3993"/><Relationship Type="http://schemas.openxmlformats.org/officeDocument/2006/relationships/hyperlink" Target="imagenes/NAUTICA_CLASSICS_117003975P_CTI_2.jpg" TargetMode="External" Id="rId3994"/><Relationship Type="http://schemas.openxmlformats.org/officeDocument/2006/relationships/hyperlink" Target="imagenes/NAUTICA_CLASSICS_117003975P_CTI_3.jpg" TargetMode="External" Id="rId3995"/><Relationship Type="http://schemas.openxmlformats.org/officeDocument/2006/relationships/hyperlink" Target="imagenes/NAUTICA_CLASSICS_117003975P_CTI_1.jpg" TargetMode="External" Id="rId3996"/><Relationship Type="http://schemas.openxmlformats.org/officeDocument/2006/relationships/hyperlink" Target="imagenes/NAUTICA_CLASSICS_117003975P_CTI_2.jpg" TargetMode="External" Id="rId3997"/><Relationship Type="http://schemas.openxmlformats.org/officeDocument/2006/relationships/hyperlink" Target="imagenes/NAUTICA_CLASSICS_117003975P_CTI_3.jpg" TargetMode="External" Id="rId3998"/><Relationship Type="http://schemas.openxmlformats.org/officeDocument/2006/relationships/hyperlink" Target="imagenes/NAUTICA_CLASSICS_117003977_BLK_1.jpg" TargetMode="External" Id="rId3999"/><Relationship Type="http://schemas.openxmlformats.org/officeDocument/2006/relationships/hyperlink" Target="imagenes/NAUTICA_CLASSICS_117003977_BLK_2.jpg" TargetMode="External" Id="rId4000"/><Relationship Type="http://schemas.openxmlformats.org/officeDocument/2006/relationships/hyperlink" Target="imagenes/NAUTICA_CLASSICS_117003977_BLK_3.jpg" TargetMode="External" Id="rId4001"/><Relationship Type="http://schemas.openxmlformats.org/officeDocument/2006/relationships/hyperlink" Target="imagenes/NAUTICA_CLASSICS_117003977_BLK_1.jpg" TargetMode="External" Id="rId4002"/><Relationship Type="http://schemas.openxmlformats.org/officeDocument/2006/relationships/hyperlink" Target="imagenes/NAUTICA_CLASSICS_117003977_BLK_2.jpg" TargetMode="External" Id="rId4003"/><Relationship Type="http://schemas.openxmlformats.org/officeDocument/2006/relationships/hyperlink" Target="imagenes/NAUTICA_CLASSICS_117003977_BLK_3.jpg" TargetMode="External" Id="rId4004"/><Relationship Type="http://schemas.openxmlformats.org/officeDocument/2006/relationships/hyperlink" Target="imagenes/NAUTICA_CLASSICS_117003977_BLK_1.jpg" TargetMode="External" Id="rId4005"/><Relationship Type="http://schemas.openxmlformats.org/officeDocument/2006/relationships/hyperlink" Target="imagenes/NAUTICA_CLASSICS_117003977_BLK_2.jpg" TargetMode="External" Id="rId4006"/><Relationship Type="http://schemas.openxmlformats.org/officeDocument/2006/relationships/hyperlink" Target="imagenes/NAUTICA_CLASSICS_117003977_BLK_3.jpg" TargetMode="External" Id="rId4007"/><Relationship Type="http://schemas.openxmlformats.org/officeDocument/2006/relationships/hyperlink" Target="imagenes/NAUTICA_CLASSICS_117003977_BLK_1.jpg" TargetMode="External" Id="rId4008"/><Relationship Type="http://schemas.openxmlformats.org/officeDocument/2006/relationships/hyperlink" Target="imagenes/NAUTICA_CLASSICS_117003977_BLK_2.jpg" TargetMode="External" Id="rId4009"/><Relationship Type="http://schemas.openxmlformats.org/officeDocument/2006/relationships/hyperlink" Target="imagenes/NAUTICA_CLASSICS_117003977_BLK_3.jpg" TargetMode="External" Id="rId4010"/><Relationship Type="http://schemas.openxmlformats.org/officeDocument/2006/relationships/hyperlink" Target="imagenes/NAUTICA_CLASSICS_117003977_BLK_1.jpg" TargetMode="External" Id="rId4011"/><Relationship Type="http://schemas.openxmlformats.org/officeDocument/2006/relationships/hyperlink" Target="imagenes/NAUTICA_CLASSICS_117003977_BLK_2.jpg" TargetMode="External" Id="rId4012"/><Relationship Type="http://schemas.openxmlformats.org/officeDocument/2006/relationships/hyperlink" Target="imagenes/NAUTICA_CLASSICS_117003977_BLK_3.jpg" TargetMode="External" Id="rId4013"/><Relationship Type="http://schemas.openxmlformats.org/officeDocument/2006/relationships/hyperlink" Target="imagenes/NAUTICA_CLASSICS_117003977_BLK_1.jpg" TargetMode="External" Id="rId4014"/><Relationship Type="http://schemas.openxmlformats.org/officeDocument/2006/relationships/hyperlink" Target="imagenes/NAUTICA_CLASSICS_117003977_BLK_2.jpg" TargetMode="External" Id="rId4015"/><Relationship Type="http://schemas.openxmlformats.org/officeDocument/2006/relationships/hyperlink" Target="imagenes/NAUTICA_CLASSICS_117003977_BLK_3.jpg" TargetMode="External" Id="rId4016"/><Relationship Type="http://schemas.openxmlformats.org/officeDocument/2006/relationships/hyperlink" Target="imagenes/NAUTICA_CLASSICS_117003977_BLK_1.jpg" TargetMode="External" Id="rId4017"/><Relationship Type="http://schemas.openxmlformats.org/officeDocument/2006/relationships/hyperlink" Target="imagenes/NAUTICA_CLASSICS_117003977_BLK_2.jpg" TargetMode="External" Id="rId4018"/><Relationship Type="http://schemas.openxmlformats.org/officeDocument/2006/relationships/hyperlink" Target="imagenes/NAUTICA_CLASSICS_117003977_BLK_3.jpg" TargetMode="External" Id="rId4019"/><Relationship Type="http://schemas.openxmlformats.org/officeDocument/2006/relationships/hyperlink" Target="imagenes/NAUTICA_CLASSICS_117003977_BLK_1.jpg" TargetMode="External" Id="rId4020"/><Relationship Type="http://schemas.openxmlformats.org/officeDocument/2006/relationships/hyperlink" Target="imagenes/NAUTICA_CLASSICS_117003977_BLK_2.jpg" TargetMode="External" Id="rId4021"/><Relationship Type="http://schemas.openxmlformats.org/officeDocument/2006/relationships/hyperlink" Target="imagenes/NAUTICA_CLASSICS_117003977_BLK_3.jpg" TargetMode="External" Id="rId4022"/><Relationship Type="http://schemas.openxmlformats.org/officeDocument/2006/relationships/hyperlink" Target="imagenes/NAUTICA_CLASSICS_117003977_BLK_1.jpg" TargetMode="External" Id="rId4023"/><Relationship Type="http://schemas.openxmlformats.org/officeDocument/2006/relationships/hyperlink" Target="imagenes/NAUTICA_CLASSICS_117003977_BLK_2.jpg" TargetMode="External" Id="rId4024"/><Relationship Type="http://schemas.openxmlformats.org/officeDocument/2006/relationships/hyperlink" Target="imagenes/NAUTICA_CLASSICS_117003977_BLK_3.jpg" TargetMode="External" Id="rId4025"/><Relationship Type="http://schemas.openxmlformats.org/officeDocument/2006/relationships/hyperlink" Target="imagenes/NAUTICA_CLASSICS_117003977_BLK_1.jpg" TargetMode="External" Id="rId4026"/><Relationship Type="http://schemas.openxmlformats.org/officeDocument/2006/relationships/hyperlink" Target="imagenes/NAUTICA_CLASSICS_117003977_BLK_2.jpg" TargetMode="External" Id="rId4027"/><Relationship Type="http://schemas.openxmlformats.org/officeDocument/2006/relationships/hyperlink" Target="imagenes/NAUTICA_CLASSICS_117003977_BLK_3.jpg" TargetMode="External" Id="rId4028"/><Relationship Type="http://schemas.openxmlformats.org/officeDocument/2006/relationships/hyperlink" Target="imagenes/NAUTICA_CLASSICS_117003977_BLK_1.jpg" TargetMode="External" Id="rId4029"/><Relationship Type="http://schemas.openxmlformats.org/officeDocument/2006/relationships/hyperlink" Target="imagenes/NAUTICA_CLASSICS_117003977_BLK_2.jpg" TargetMode="External" Id="rId4030"/><Relationship Type="http://schemas.openxmlformats.org/officeDocument/2006/relationships/hyperlink" Target="imagenes/NAUTICA_CLASSICS_117003977_BLK_3.jpg" TargetMode="External" Id="rId4031"/><Relationship Type="http://schemas.openxmlformats.org/officeDocument/2006/relationships/hyperlink" Target="imagenes/NAUTICA_CLASSICS_117003977_BLK_1.jpg" TargetMode="External" Id="rId4032"/><Relationship Type="http://schemas.openxmlformats.org/officeDocument/2006/relationships/hyperlink" Target="imagenes/NAUTICA_CLASSICS_117003977_BLK_2.jpg" TargetMode="External" Id="rId4033"/><Relationship Type="http://schemas.openxmlformats.org/officeDocument/2006/relationships/hyperlink" Target="imagenes/NAUTICA_CLASSICS_117003977_BLK_3.jpg" TargetMode="External" Id="rId4034"/><Relationship Type="http://schemas.openxmlformats.org/officeDocument/2006/relationships/hyperlink" Target="imagenes/NAUTICA_CLASSICS_117003977_BLK_1.jpg" TargetMode="External" Id="rId4035"/><Relationship Type="http://schemas.openxmlformats.org/officeDocument/2006/relationships/hyperlink" Target="imagenes/NAUTICA_CLASSICS_117003977_BLK_2.jpg" TargetMode="External" Id="rId4036"/><Relationship Type="http://schemas.openxmlformats.org/officeDocument/2006/relationships/hyperlink" Target="imagenes/NAUTICA_CLASSICS_117003977_BLK_3.jpg" TargetMode="External" Id="rId4037"/><Relationship Type="http://schemas.openxmlformats.org/officeDocument/2006/relationships/hyperlink" Target="imagenes/NAUTICA_CLASSICS_117003977_HT1_1.jpg" TargetMode="External" Id="rId4038"/><Relationship Type="http://schemas.openxmlformats.org/officeDocument/2006/relationships/hyperlink" Target="imagenes/NAUTICA_CLASSICS_117003977_HT1_2.jpg" TargetMode="External" Id="rId4039"/><Relationship Type="http://schemas.openxmlformats.org/officeDocument/2006/relationships/hyperlink" Target="imagenes/NAUTICA_CLASSICS_117003977_HT1_3.jpg" TargetMode="External" Id="rId4040"/><Relationship Type="http://schemas.openxmlformats.org/officeDocument/2006/relationships/hyperlink" Target="imagenes/NAUTICA_CLASSICS_117003977_NSS_1.jpg" TargetMode="External" Id="rId4041"/><Relationship Type="http://schemas.openxmlformats.org/officeDocument/2006/relationships/hyperlink" Target="imagenes/NAUTICA_CLASSICS_117003977_NSS_2.jpg" TargetMode="External" Id="rId4042"/><Relationship Type="http://schemas.openxmlformats.org/officeDocument/2006/relationships/hyperlink" Target="imagenes/NAUTICA_CLASSICS_117003977_NSS_3.jpg" TargetMode="External" Id="rId4043"/><Relationship Type="http://schemas.openxmlformats.org/officeDocument/2006/relationships/hyperlink" Target="imagenes/NAUTICA_CLASSICS_117003977_NSS_1.jpg" TargetMode="External" Id="rId4044"/><Relationship Type="http://schemas.openxmlformats.org/officeDocument/2006/relationships/hyperlink" Target="imagenes/NAUTICA_CLASSICS_117003977_NSS_2.jpg" TargetMode="External" Id="rId4045"/><Relationship Type="http://schemas.openxmlformats.org/officeDocument/2006/relationships/hyperlink" Target="imagenes/NAUTICA_CLASSICS_117003977_NSS_3.jpg" TargetMode="External" Id="rId4046"/><Relationship Type="http://schemas.openxmlformats.org/officeDocument/2006/relationships/hyperlink" Target="imagenes/NAUTICA_CLASSICS_117003977_NSS_1.jpg" TargetMode="External" Id="rId4047"/><Relationship Type="http://schemas.openxmlformats.org/officeDocument/2006/relationships/hyperlink" Target="imagenes/NAUTICA_CLASSICS_117003977_NSS_2.jpg" TargetMode="External" Id="rId4048"/><Relationship Type="http://schemas.openxmlformats.org/officeDocument/2006/relationships/hyperlink" Target="imagenes/NAUTICA_CLASSICS_117003977_NSS_3.jpg" TargetMode="External" Id="rId4049"/><Relationship Type="http://schemas.openxmlformats.org/officeDocument/2006/relationships/hyperlink" Target="imagenes/NAUTICA_CLASSICS_117003977_NSS_1.jpg" TargetMode="External" Id="rId4050"/><Relationship Type="http://schemas.openxmlformats.org/officeDocument/2006/relationships/hyperlink" Target="imagenes/NAUTICA_CLASSICS_117003977_NSS_2.jpg" TargetMode="External" Id="rId4051"/><Relationship Type="http://schemas.openxmlformats.org/officeDocument/2006/relationships/hyperlink" Target="imagenes/NAUTICA_CLASSICS_117003977_NSS_3.jpg" TargetMode="External" Id="rId4052"/><Relationship Type="http://schemas.openxmlformats.org/officeDocument/2006/relationships/hyperlink" Target="imagenes/NAUTICA_CLASSICS_117003977_NSS_1.jpg" TargetMode="External" Id="rId4053"/><Relationship Type="http://schemas.openxmlformats.org/officeDocument/2006/relationships/hyperlink" Target="imagenes/NAUTICA_CLASSICS_117003977_NSS_2.jpg" TargetMode="External" Id="rId4054"/><Relationship Type="http://schemas.openxmlformats.org/officeDocument/2006/relationships/hyperlink" Target="imagenes/NAUTICA_CLASSICS_117003977_NSS_3.jpg" TargetMode="External" Id="rId4055"/><Relationship Type="http://schemas.openxmlformats.org/officeDocument/2006/relationships/hyperlink" Target="imagenes/NAUTICA_CLASSICS_117003977_NSS_1.jpg" TargetMode="External" Id="rId4056"/><Relationship Type="http://schemas.openxmlformats.org/officeDocument/2006/relationships/hyperlink" Target="imagenes/NAUTICA_CLASSICS_117003977_NSS_2.jpg" TargetMode="External" Id="rId4057"/><Relationship Type="http://schemas.openxmlformats.org/officeDocument/2006/relationships/hyperlink" Target="imagenes/NAUTICA_CLASSICS_117003977_NSS_3.jpg" TargetMode="External" Id="rId4058"/><Relationship Type="http://schemas.openxmlformats.org/officeDocument/2006/relationships/hyperlink" Target="imagenes/NAUTICA_CLASSICS_117003977_SW4_1.jpg" TargetMode="External" Id="rId4059"/><Relationship Type="http://schemas.openxmlformats.org/officeDocument/2006/relationships/hyperlink" Target="imagenes/NAUTICA_CLASSICS_117003977_SW4_2.jpg" TargetMode="External" Id="rId4060"/><Relationship Type="http://schemas.openxmlformats.org/officeDocument/2006/relationships/hyperlink" Target="imagenes/NAUTICA_CLASSICS_117003977_SW4_3.jpg" TargetMode="External" Id="rId4061"/><Relationship Type="http://schemas.openxmlformats.org/officeDocument/2006/relationships/hyperlink" Target="imagenes/NAUTICA_CLASSICS_117003977_SW4_1.jpg" TargetMode="External" Id="rId4062"/><Relationship Type="http://schemas.openxmlformats.org/officeDocument/2006/relationships/hyperlink" Target="imagenes/NAUTICA_CLASSICS_117003977_SW4_2.jpg" TargetMode="External" Id="rId4063"/><Relationship Type="http://schemas.openxmlformats.org/officeDocument/2006/relationships/hyperlink" Target="imagenes/NAUTICA_CLASSICS_117003977_SW4_3.jpg" TargetMode="External" Id="rId4064"/><Relationship Type="http://schemas.openxmlformats.org/officeDocument/2006/relationships/hyperlink" Target="imagenes/NAUTICA_CLASSICS_117003977_SW4_1.jpg" TargetMode="External" Id="rId4065"/><Relationship Type="http://schemas.openxmlformats.org/officeDocument/2006/relationships/hyperlink" Target="imagenes/NAUTICA_CLASSICS_117003977_SW4_2.jpg" TargetMode="External" Id="rId4066"/><Relationship Type="http://schemas.openxmlformats.org/officeDocument/2006/relationships/hyperlink" Target="imagenes/NAUTICA_CLASSICS_117003977_SW4_3.jpg" TargetMode="External" Id="rId4067"/><Relationship Type="http://schemas.openxmlformats.org/officeDocument/2006/relationships/hyperlink" Target="imagenes/NAUTICA_CLASSICS_117003977_SW4_1.jpg" TargetMode="External" Id="rId4068"/><Relationship Type="http://schemas.openxmlformats.org/officeDocument/2006/relationships/hyperlink" Target="imagenes/NAUTICA_CLASSICS_117003977_SW4_2.jpg" TargetMode="External" Id="rId4069"/><Relationship Type="http://schemas.openxmlformats.org/officeDocument/2006/relationships/hyperlink" Target="imagenes/NAUTICA_CLASSICS_117003977_SW4_3.jpg" TargetMode="External" Id="rId4070"/><Relationship Type="http://schemas.openxmlformats.org/officeDocument/2006/relationships/hyperlink" Target="imagenes/NAUTICA_CLASSICS_117003977_SW4_1.jpg" TargetMode="External" Id="rId4071"/><Relationship Type="http://schemas.openxmlformats.org/officeDocument/2006/relationships/hyperlink" Target="imagenes/NAUTICA_CLASSICS_117003977_SW4_2.jpg" TargetMode="External" Id="rId4072"/><Relationship Type="http://schemas.openxmlformats.org/officeDocument/2006/relationships/hyperlink" Target="imagenes/NAUTICA_CLASSICS_117003977_SW4_3.jpg" TargetMode="External" Id="rId4073"/><Relationship Type="http://schemas.openxmlformats.org/officeDocument/2006/relationships/hyperlink" Target="imagenes/NAUTICA_CLASSICS_117003977_SW4_1.jpg" TargetMode="External" Id="rId4074"/><Relationship Type="http://schemas.openxmlformats.org/officeDocument/2006/relationships/hyperlink" Target="imagenes/NAUTICA_CLASSICS_117003977_SW4_2.jpg" TargetMode="External" Id="rId4075"/><Relationship Type="http://schemas.openxmlformats.org/officeDocument/2006/relationships/hyperlink" Target="imagenes/NAUTICA_CLASSICS_117003977_SW4_3.jpg" TargetMode="External" Id="rId4076"/><Relationship Type="http://schemas.openxmlformats.org/officeDocument/2006/relationships/hyperlink" Target="imagenes/NAUTICA_CLASSICS_117003977_SW4_1.jpg" TargetMode="External" Id="rId4077"/><Relationship Type="http://schemas.openxmlformats.org/officeDocument/2006/relationships/hyperlink" Target="imagenes/NAUTICA_CLASSICS_117003977_SW4_2.jpg" TargetMode="External" Id="rId4078"/><Relationship Type="http://schemas.openxmlformats.org/officeDocument/2006/relationships/hyperlink" Target="imagenes/NAUTICA_CLASSICS_117003977_SW4_3.jpg" TargetMode="External" Id="rId4079"/><Relationship Type="http://schemas.openxmlformats.org/officeDocument/2006/relationships/hyperlink" Target="imagenes/NAUTICA_CLASSICS_117003977_WIL_1.jpg" TargetMode="External" Id="rId4080"/><Relationship Type="http://schemas.openxmlformats.org/officeDocument/2006/relationships/hyperlink" Target="imagenes/NAUTICA_CLASSICS_117003977_WIL_2.jpg" TargetMode="External" Id="rId4081"/><Relationship Type="http://schemas.openxmlformats.org/officeDocument/2006/relationships/hyperlink" Target="imagenes/NAUTICA_CLASSICS_117003977_WIL_3.jpg" TargetMode="External" Id="rId4082"/><Relationship Type="http://schemas.openxmlformats.org/officeDocument/2006/relationships/hyperlink" Target="imagenes/NAUTICA_CLASSICS_117003977_WIL_1.jpg" TargetMode="External" Id="rId4083"/><Relationship Type="http://schemas.openxmlformats.org/officeDocument/2006/relationships/hyperlink" Target="imagenes/NAUTICA_CLASSICS_117003977_WIL_2.jpg" TargetMode="External" Id="rId4084"/><Relationship Type="http://schemas.openxmlformats.org/officeDocument/2006/relationships/hyperlink" Target="imagenes/NAUTICA_CLASSICS_117003977_WIL_3.jpg" TargetMode="External" Id="rId4085"/><Relationship Type="http://schemas.openxmlformats.org/officeDocument/2006/relationships/hyperlink" Target="imagenes/NAUTICA_CLASSICS_117003977_WIL_1.jpg" TargetMode="External" Id="rId4086"/><Relationship Type="http://schemas.openxmlformats.org/officeDocument/2006/relationships/hyperlink" Target="imagenes/NAUTICA_CLASSICS_117003977_WIL_2.jpg" TargetMode="External" Id="rId4087"/><Relationship Type="http://schemas.openxmlformats.org/officeDocument/2006/relationships/hyperlink" Target="imagenes/NAUTICA_CLASSICS_117003977_WIL_3.jpg" TargetMode="External" Id="rId4088"/><Relationship Type="http://schemas.openxmlformats.org/officeDocument/2006/relationships/hyperlink" Target="imagenes/NAUTICA_CLASSICS_117003977_WIL_1.jpg" TargetMode="External" Id="rId4089"/><Relationship Type="http://schemas.openxmlformats.org/officeDocument/2006/relationships/hyperlink" Target="imagenes/NAUTICA_CLASSICS_117003977_WIL_2.jpg" TargetMode="External" Id="rId4090"/><Relationship Type="http://schemas.openxmlformats.org/officeDocument/2006/relationships/hyperlink" Target="imagenes/NAUTICA_CLASSICS_117003977_WIL_3.jpg" TargetMode="External" Id="rId4091"/><Relationship Type="http://schemas.openxmlformats.org/officeDocument/2006/relationships/hyperlink" Target="imagenes/NAUTICA_CLASSICS_117003977_WIL_1.jpg" TargetMode="External" Id="rId4092"/><Relationship Type="http://schemas.openxmlformats.org/officeDocument/2006/relationships/hyperlink" Target="imagenes/NAUTICA_CLASSICS_117003977_WIL_2.jpg" TargetMode="External" Id="rId4093"/><Relationship Type="http://schemas.openxmlformats.org/officeDocument/2006/relationships/hyperlink" Target="imagenes/NAUTICA_CLASSICS_117003977_WIL_3.jpg" TargetMode="External" Id="rId4094"/><Relationship Type="http://schemas.openxmlformats.org/officeDocument/2006/relationships/hyperlink" Target="imagenes/NAUTICA_CLASSICS_117003977_WIL_1.jpg" TargetMode="External" Id="rId4095"/><Relationship Type="http://schemas.openxmlformats.org/officeDocument/2006/relationships/hyperlink" Target="imagenes/NAUTICA_CLASSICS_117003977_WIL_2.jpg" TargetMode="External" Id="rId4096"/><Relationship Type="http://schemas.openxmlformats.org/officeDocument/2006/relationships/hyperlink" Target="imagenes/NAUTICA_CLASSICS_117003977_WIL_3.jpg" TargetMode="External" Id="rId4097"/><Relationship Type="http://schemas.openxmlformats.org/officeDocument/2006/relationships/hyperlink" Target="imagenes/NAUTICA_CLASSICS_117003977P_BLK_1.jpg" TargetMode="External" Id="rId4098"/><Relationship Type="http://schemas.openxmlformats.org/officeDocument/2006/relationships/hyperlink" Target="imagenes/NAUTICA_CLASSICS_117003977P_BLK_2.jpg" TargetMode="External" Id="rId4099"/><Relationship Type="http://schemas.openxmlformats.org/officeDocument/2006/relationships/hyperlink" Target="imagenes/NAUTICA_CLASSICS_117003977P_BLK_3.jpg" TargetMode="External" Id="rId4100"/><Relationship Type="http://schemas.openxmlformats.org/officeDocument/2006/relationships/hyperlink" Target="imagenes/NAUTICA_CLASSICS_117003977P_BLK_1.jpg" TargetMode="External" Id="rId4101"/><Relationship Type="http://schemas.openxmlformats.org/officeDocument/2006/relationships/hyperlink" Target="imagenes/NAUTICA_CLASSICS_117003977P_BLK_2.jpg" TargetMode="External" Id="rId4102"/><Relationship Type="http://schemas.openxmlformats.org/officeDocument/2006/relationships/hyperlink" Target="imagenes/NAUTICA_CLASSICS_117003977P_BLK_3.jpg" TargetMode="External" Id="rId4103"/><Relationship Type="http://schemas.openxmlformats.org/officeDocument/2006/relationships/hyperlink" Target="imagenes/NAUTICA_CLASSICS_117003977P_BLK_1.jpg" TargetMode="External" Id="rId4104"/><Relationship Type="http://schemas.openxmlformats.org/officeDocument/2006/relationships/hyperlink" Target="imagenes/NAUTICA_CLASSICS_117003977P_BLK_2.jpg" TargetMode="External" Id="rId4105"/><Relationship Type="http://schemas.openxmlformats.org/officeDocument/2006/relationships/hyperlink" Target="imagenes/NAUTICA_CLASSICS_117003977P_BLK_3.jpg" TargetMode="External" Id="rId4106"/><Relationship Type="http://schemas.openxmlformats.org/officeDocument/2006/relationships/hyperlink" Target="imagenes/NAUTICA_CLASSICS_117003977P_BLK_1.jpg" TargetMode="External" Id="rId4107"/><Relationship Type="http://schemas.openxmlformats.org/officeDocument/2006/relationships/hyperlink" Target="imagenes/NAUTICA_CLASSICS_117003977P_BLK_2.jpg" TargetMode="External" Id="rId4108"/><Relationship Type="http://schemas.openxmlformats.org/officeDocument/2006/relationships/hyperlink" Target="imagenes/NAUTICA_CLASSICS_117003977P_BLK_3.jpg" TargetMode="External" Id="rId4109"/><Relationship Type="http://schemas.openxmlformats.org/officeDocument/2006/relationships/hyperlink" Target="imagenes/NAUTICA_CLASSICS_117003977P_BLK_1.jpg" TargetMode="External" Id="rId4110"/><Relationship Type="http://schemas.openxmlformats.org/officeDocument/2006/relationships/hyperlink" Target="imagenes/NAUTICA_CLASSICS_117003977P_BLK_2.jpg" TargetMode="External" Id="rId4111"/><Relationship Type="http://schemas.openxmlformats.org/officeDocument/2006/relationships/hyperlink" Target="imagenes/NAUTICA_CLASSICS_117003977P_BLK_3.jpg" TargetMode="External" Id="rId4112"/><Relationship Type="http://schemas.openxmlformats.org/officeDocument/2006/relationships/hyperlink" Target="imagenes/NAUTICA_CLASSICS_117003977P_SW4_1.jpg" TargetMode="External" Id="rId4113"/><Relationship Type="http://schemas.openxmlformats.org/officeDocument/2006/relationships/hyperlink" Target="imagenes/NAUTICA_CLASSICS_117003977P_SW4_2.jpg" TargetMode="External" Id="rId4114"/><Relationship Type="http://schemas.openxmlformats.org/officeDocument/2006/relationships/hyperlink" Target="imagenes/NAUTICA_CLASSICS_117003977P_SW4_3.jpg" TargetMode="External" Id="rId4115"/><Relationship Type="http://schemas.openxmlformats.org/officeDocument/2006/relationships/hyperlink" Target="imagenes/NAUTICA_CLASSICS_117003977P_SW4_1.jpg" TargetMode="External" Id="rId4116"/><Relationship Type="http://schemas.openxmlformats.org/officeDocument/2006/relationships/hyperlink" Target="imagenes/NAUTICA_CLASSICS_117003977P_SW4_2.jpg" TargetMode="External" Id="rId4117"/><Relationship Type="http://schemas.openxmlformats.org/officeDocument/2006/relationships/hyperlink" Target="imagenes/NAUTICA_CLASSICS_117003977P_SW4_3.jpg" TargetMode="External" Id="rId4118"/><Relationship Type="http://schemas.openxmlformats.org/officeDocument/2006/relationships/hyperlink" Target="imagenes/NAUTICA_CLASSICS_117003977P_SW4_1.jpg" TargetMode="External" Id="rId4119"/><Relationship Type="http://schemas.openxmlformats.org/officeDocument/2006/relationships/hyperlink" Target="imagenes/NAUTICA_CLASSICS_117003977P_SW4_2.jpg" TargetMode="External" Id="rId4120"/><Relationship Type="http://schemas.openxmlformats.org/officeDocument/2006/relationships/hyperlink" Target="imagenes/NAUTICA_CLASSICS_117003977P_SW4_3.jpg" TargetMode="External" Id="rId4121"/><Relationship Type="http://schemas.openxmlformats.org/officeDocument/2006/relationships/hyperlink" Target="imagenes/NAUTICA_CLASSICS_117003977P_SW4_1.jpg" TargetMode="External" Id="rId4122"/><Relationship Type="http://schemas.openxmlformats.org/officeDocument/2006/relationships/hyperlink" Target="imagenes/NAUTICA_CLASSICS_117003977P_SW4_2.jpg" TargetMode="External" Id="rId4123"/><Relationship Type="http://schemas.openxmlformats.org/officeDocument/2006/relationships/hyperlink" Target="imagenes/NAUTICA_CLASSICS_117003977P_SW4_3.jpg" TargetMode="External" Id="rId4124"/><Relationship Type="http://schemas.openxmlformats.org/officeDocument/2006/relationships/hyperlink" Target="imagenes/NAUTICA_CLASSICS_117003977P_SW4_1.jpg" TargetMode="External" Id="rId4125"/><Relationship Type="http://schemas.openxmlformats.org/officeDocument/2006/relationships/hyperlink" Target="imagenes/NAUTICA_CLASSICS_117003977P_SW4_2.jpg" TargetMode="External" Id="rId4126"/><Relationship Type="http://schemas.openxmlformats.org/officeDocument/2006/relationships/hyperlink" Target="imagenes/NAUTICA_CLASSICS_117003977P_SW4_3.jpg" TargetMode="External" Id="rId4127"/><Relationship Type="http://schemas.openxmlformats.org/officeDocument/2006/relationships/hyperlink" Target="imagenes/NAUTICA_CLASSICS_117004036_BLK_2.jpg" TargetMode="External" Id="rId4128"/><Relationship Type="http://schemas.openxmlformats.org/officeDocument/2006/relationships/hyperlink" Target="imagenes/NAUTICA_CLASSICS_117004036_BLK_3.jpg" TargetMode="External" Id="rId4129"/><Relationship Type="http://schemas.openxmlformats.org/officeDocument/2006/relationships/hyperlink" Target="imagenes/NAUTICA_CLASSICS_117004036_BLK_2.jpg" TargetMode="External" Id="rId4130"/><Relationship Type="http://schemas.openxmlformats.org/officeDocument/2006/relationships/hyperlink" Target="imagenes/NAUTICA_CLASSICS_117004036_BLK_3.jpg" TargetMode="External" Id="rId4131"/><Relationship Type="http://schemas.openxmlformats.org/officeDocument/2006/relationships/hyperlink" Target="imagenes/NAUTICA_CLASSICS_117004036_BLK_2.jpg" TargetMode="External" Id="rId4132"/><Relationship Type="http://schemas.openxmlformats.org/officeDocument/2006/relationships/hyperlink" Target="imagenes/NAUTICA_CLASSICS_117004036_BLK_3.jpg" TargetMode="External" Id="rId4133"/><Relationship Type="http://schemas.openxmlformats.org/officeDocument/2006/relationships/hyperlink" Target="imagenes/NAUTICA_CLASSICS_117004036_BLK_2.jpg" TargetMode="External" Id="rId4134"/><Relationship Type="http://schemas.openxmlformats.org/officeDocument/2006/relationships/hyperlink" Target="imagenes/NAUTICA_CLASSICS_117004036_BLK_3.jpg" TargetMode="External" Id="rId4135"/><Relationship Type="http://schemas.openxmlformats.org/officeDocument/2006/relationships/hyperlink" Target="imagenes/NAUTICA_CLASSICS_117004036_BLK_2.jpg" TargetMode="External" Id="rId4136"/><Relationship Type="http://schemas.openxmlformats.org/officeDocument/2006/relationships/hyperlink" Target="imagenes/NAUTICA_CLASSICS_117004036_BLK_3.jpg" TargetMode="External" Id="rId4137"/><Relationship Type="http://schemas.openxmlformats.org/officeDocument/2006/relationships/hyperlink" Target="imagenes/NAUTICA_CLASSICS_117004036_BLK_2.jpg" TargetMode="External" Id="rId4138"/><Relationship Type="http://schemas.openxmlformats.org/officeDocument/2006/relationships/hyperlink" Target="imagenes/NAUTICA_CLASSICS_117004036_BLK_3.jpg" TargetMode="External" Id="rId4139"/><Relationship Type="http://schemas.openxmlformats.org/officeDocument/2006/relationships/hyperlink" Target="imagenes/NAUTICA_CLASSICS_117004036_NAR_1.jpg" TargetMode="External" Id="rId4140"/><Relationship Type="http://schemas.openxmlformats.org/officeDocument/2006/relationships/hyperlink" Target="imagenes/NAUTICA_CLASSICS_117004036_NAR_2.jpg" TargetMode="External" Id="rId4141"/><Relationship Type="http://schemas.openxmlformats.org/officeDocument/2006/relationships/hyperlink" Target="imagenes/NAUTICA_CLASSICS_117004036_NAR_3.jpg" TargetMode="External" Id="rId4142"/><Relationship Type="http://schemas.openxmlformats.org/officeDocument/2006/relationships/hyperlink" Target="imagenes/NAUTICA_CLASSICS_117004036_NAR_1.jpg" TargetMode="External" Id="rId4143"/><Relationship Type="http://schemas.openxmlformats.org/officeDocument/2006/relationships/hyperlink" Target="imagenes/NAUTICA_CLASSICS_117004036_NAR_2.jpg" TargetMode="External" Id="rId4144"/><Relationship Type="http://schemas.openxmlformats.org/officeDocument/2006/relationships/hyperlink" Target="imagenes/NAUTICA_CLASSICS_117004036_NAR_3.jpg" TargetMode="External" Id="rId4145"/><Relationship Type="http://schemas.openxmlformats.org/officeDocument/2006/relationships/hyperlink" Target="imagenes/NAUTICA_CLASSICS_117004036_NAR_1.jpg" TargetMode="External" Id="rId4146"/><Relationship Type="http://schemas.openxmlformats.org/officeDocument/2006/relationships/hyperlink" Target="imagenes/NAUTICA_CLASSICS_117004036_NAR_2.jpg" TargetMode="External" Id="rId4147"/><Relationship Type="http://schemas.openxmlformats.org/officeDocument/2006/relationships/hyperlink" Target="imagenes/NAUTICA_CLASSICS_117004036_NAR_3.jpg" TargetMode="External" Id="rId4148"/><Relationship Type="http://schemas.openxmlformats.org/officeDocument/2006/relationships/hyperlink" Target="imagenes/NAUTICA_CLASSICS_117004036_NAR_1.jpg" TargetMode="External" Id="rId4149"/><Relationship Type="http://schemas.openxmlformats.org/officeDocument/2006/relationships/hyperlink" Target="imagenes/NAUTICA_CLASSICS_117004036_NAR_2.jpg" TargetMode="External" Id="rId4150"/><Relationship Type="http://schemas.openxmlformats.org/officeDocument/2006/relationships/hyperlink" Target="imagenes/NAUTICA_CLASSICS_117004036_NAR_3.jpg" TargetMode="External" Id="rId4151"/><Relationship Type="http://schemas.openxmlformats.org/officeDocument/2006/relationships/hyperlink" Target="imagenes/NAUTICA_CLASSICS_117004036_NAR_1.jpg" TargetMode="External" Id="rId4152"/><Relationship Type="http://schemas.openxmlformats.org/officeDocument/2006/relationships/hyperlink" Target="imagenes/NAUTICA_CLASSICS_117004036_NAR_2.jpg" TargetMode="External" Id="rId4153"/><Relationship Type="http://schemas.openxmlformats.org/officeDocument/2006/relationships/hyperlink" Target="imagenes/NAUTICA_CLASSICS_117004036_NAR_3.jpg" TargetMode="External" Id="rId4154"/><Relationship Type="http://schemas.openxmlformats.org/officeDocument/2006/relationships/hyperlink" Target="imagenes/NAUTICA_CLASSICS_117004036_NAR_1.jpg" TargetMode="External" Id="rId4155"/><Relationship Type="http://schemas.openxmlformats.org/officeDocument/2006/relationships/hyperlink" Target="imagenes/NAUTICA_CLASSICS_117004036_NAR_2.jpg" TargetMode="External" Id="rId4156"/><Relationship Type="http://schemas.openxmlformats.org/officeDocument/2006/relationships/hyperlink" Target="imagenes/NAUTICA_CLASSICS_117004036_NAR_3.jpg" TargetMode="External" Id="rId4157"/><Relationship Type="http://schemas.openxmlformats.org/officeDocument/2006/relationships/hyperlink" Target="imagenes/NAUTICA_CLASSICS_117004036_NSS_1.jpg" TargetMode="External" Id="rId4158"/><Relationship Type="http://schemas.openxmlformats.org/officeDocument/2006/relationships/hyperlink" Target="imagenes/NAUTICA_CLASSICS_117004036_NSS_2.jpg" TargetMode="External" Id="rId4159"/><Relationship Type="http://schemas.openxmlformats.org/officeDocument/2006/relationships/hyperlink" Target="imagenes/NAUTICA_CLASSICS_117004036_NSS_3.jpg" TargetMode="External" Id="rId4160"/><Relationship Type="http://schemas.openxmlformats.org/officeDocument/2006/relationships/hyperlink" Target="imagenes/NAUTICA_CLASSICS_117004036_SW4_1.jpg" TargetMode="External" Id="rId4161"/><Relationship Type="http://schemas.openxmlformats.org/officeDocument/2006/relationships/hyperlink" Target="imagenes/NAUTICA_CLASSICS_117004036_SW4_2.jpg" TargetMode="External" Id="rId4162"/><Relationship Type="http://schemas.openxmlformats.org/officeDocument/2006/relationships/hyperlink" Target="imagenes/NAUTICA_CLASSICS_117004036_SW4_3.jpg" TargetMode="External" Id="rId4163"/><Relationship Type="http://schemas.openxmlformats.org/officeDocument/2006/relationships/hyperlink" Target="imagenes/NAUTICA_CLASSICS_117004036_WIL_1.jpg" TargetMode="External" Id="rId4164"/><Relationship Type="http://schemas.openxmlformats.org/officeDocument/2006/relationships/hyperlink" Target="imagenes/NAUTICA_CLASSICS_117004036_WIL_2.jpg" TargetMode="External" Id="rId4165"/><Relationship Type="http://schemas.openxmlformats.org/officeDocument/2006/relationships/hyperlink" Target="imagenes/NAUTICA_CLASSICS_117004036_WIL_3.jpg" TargetMode="External" Id="rId4166"/><Relationship Type="http://schemas.openxmlformats.org/officeDocument/2006/relationships/hyperlink" Target="imagenes/NAUTICA_CLASSICS_117004038_BLK_1.jpg" TargetMode="External" Id="rId4167"/><Relationship Type="http://schemas.openxmlformats.org/officeDocument/2006/relationships/hyperlink" Target="imagenes/NAUTICA_CLASSICS_117004038_BLK_2.jpg" TargetMode="External" Id="rId4168"/><Relationship Type="http://schemas.openxmlformats.org/officeDocument/2006/relationships/hyperlink" Target="imagenes/NAUTICA_CLASSICS_117004038_BLK_3.jpg" TargetMode="External" Id="rId4169"/><Relationship Type="http://schemas.openxmlformats.org/officeDocument/2006/relationships/hyperlink" Target="imagenes/NAUTICA_CLASSICS_117004038_SIG_1.jpg" TargetMode="External" Id="rId4170"/><Relationship Type="http://schemas.openxmlformats.org/officeDocument/2006/relationships/hyperlink" Target="imagenes/NAUTICA_CLASSICS_117004038_SIG_2.jpg" TargetMode="External" Id="rId4171"/><Relationship Type="http://schemas.openxmlformats.org/officeDocument/2006/relationships/hyperlink" Target="imagenes/NAUTICA_CLASSICS_117004038_SIG_3.jpg" TargetMode="External" Id="rId4172"/><Relationship Type="http://schemas.openxmlformats.org/officeDocument/2006/relationships/hyperlink" Target="imagenes/NAUTICA_CLASSICS_117004040_BLK_1.jpg" TargetMode="External" Id="rId4173"/><Relationship Type="http://schemas.openxmlformats.org/officeDocument/2006/relationships/hyperlink" Target="imagenes/NAUTICA_CLASSICS_117004040_BLK_2.jpg" TargetMode="External" Id="rId4174"/><Relationship Type="http://schemas.openxmlformats.org/officeDocument/2006/relationships/hyperlink" Target="imagenes/NAUTICA_CLASSICS_117004040_BLK_3.jpg" TargetMode="External" Id="rId4175"/><Relationship Type="http://schemas.openxmlformats.org/officeDocument/2006/relationships/hyperlink" Target="imagenes/NAUTICA_CLASSICS_117004040_NSS_1.jpg" TargetMode="External" Id="rId4176"/><Relationship Type="http://schemas.openxmlformats.org/officeDocument/2006/relationships/hyperlink" Target="imagenes/NAUTICA_CLASSICS_117004040_NSS_2.jpg" TargetMode="External" Id="rId4177"/><Relationship Type="http://schemas.openxmlformats.org/officeDocument/2006/relationships/hyperlink" Target="imagenes/NAUTICA_CLASSICS_117004040_NSS_3.jpg" TargetMode="External" Id="rId4178"/><Relationship Type="http://schemas.openxmlformats.org/officeDocument/2006/relationships/hyperlink" Target="imagenes/NAUTICA_CLASSICS_117004074_BLK_1.jpg" TargetMode="External" Id="rId4179"/><Relationship Type="http://schemas.openxmlformats.org/officeDocument/2006/relationships/hyperlink" Target="imagenes/NAUTICA_CLASSICS_117004074_BLK_2.jpg" TargetMode="External" Id="rId4180"/><Relationship Type="http://schemas.openxmlformats.org/officeDocument/2006/relationships/hyperlink" Target="imagenes/NAUTICA_CLASSICS_117004074_BLK_3.jpg" TargetMode="External" Id="rId4181"/><Relationship Type="http://schemas.openxmlformats.org/officeDocument/2006/relationships/hyperlink" Target="imagenes/NAUTICA_CLASSICS_117004074_BLK_1.jpg" TargetMode="External" Id="rId4182"/><Relationship Type="http://schemas.openxmlformats.org/officeDocument/2006/relationships/hyperlink" Target="imagenes/NAUTICA_CLASSICS_117004074_BLK_2.jpg" TargetMode="External" Id="rId4183"/><Relationship Type="http://schemas.openxmlformats.org/officeDocument/2006/relationships/hyperlink" Target="imagenes/NAUTICA_CLASSICS_117004074_BLK_3.jpg" TargetMode="External" Id="rId4184"/><Relationship Type="http://schemas.openxmlformats.org/officeDocument/2006/relationships/hyperlink" Target="imagenes/NAUTICA_CLASSICS_117004074_BLK_1.jpg" TargetMode="External" Id="rId4185"/><Relationship Type="http://schemas.openxmlformats.org/officeDocument/2006/relationships/hyperlink" Target="imagenes/NAUTICA_CLASSICS_117004074_BLK_2.jpg" TargetMode="External" Id="rId4186"/><Relationship Type="http://schemas.openxmlformats.org/officeDocument/2006/relationships/hyperlink" Target="imagenes/NAUTICA_CLASSICS_117004074_BLK_3.jpg" TargetMode="External" Id="rId4187"/><Relationship Type="http://schemas.openxmlformats.org/officeDocument/2006/relationships/hyperlink" Target="imagenes/NAUTICA_CLASSICS_117004074_BLK_1.jpg" TargetMode="External" Id="rId4188"/><Relationship Type="http://schemas.openxmlformats.org/officeDocument/2006/relationships/hyperlink" Target="imagenes/NAUTICA_CLASSICS_117004074_BLK_2.jpg" TargetMode="External" Id="rId4189"/><Relationship Type="http://schemas.openxmlformats.org/officeDocument/2006/relationships/hyperlink" Target="imagenes/NAUTICA_CLASSICS_117004074_BLK_3.jpg" TargetMode="External" Id="rId4190"/><Relationship Type="http://schemas.openxmlformats.org/officeDocument/2006/relationships/hyperlink" Target="imagenes/NAUTICA_CLASSICS_117004074_BLK_1.jpg" TargetMode="External" Id="rId4191"/><Relationship Type="http://schemas.openxmlformats.org/officeDocument/2006/relationships/hyperlink" Target="imagenes/NAUTICA_CLASSICS_117004074_BLK_2.jpg" TargetMode="External" Id="rId4192"/><Relationship Type="http://schemas.openxmlformats.org/officeDocument/2006/relationships/hyperlink" Target="imagenes/NAUTICA_CLASSICS_117004074_BLK_3.jpg" TargetMode="External" Id="rId4193"/><Relationship Type="http://schemas.openxmlformats.org/officeDocument/2006/relationships/hyperlink" Target="imagenes/NAUTICA_CLASSICS_117004074_BLK_1.jpg" TargetMode="External" Id="rId4194"/><Relationship Type="http://schemas.openxmlformats.org/officeDocument/2006/relationships/hyperlink" Target="imagenes/NAUTICA_CLASSICS_117004074_BLK_2.jpg" TargetMode="External" Id="rId4195"/><Relationship Type="http://schemas.openxmlformats.org/officeDocument/2006/relationships/hyperlink" Target="imagenes/NAUTICA_CLASSICS_117004074_BLK_3.jpg" TargetMode="External" Id="rId4196"/><Relationship Type="http://schemas.openxmlformats.org/officeDocument/2006/relationships/hyperlink" Target="imagenes/NAUTICA_CLASSICS_117004074_BLK_1.jpg" TargetMode="External" Id="rId4197"/><Relationship Type="http://schemas.openxmlformats.org/officeDocument/2006/relationships/hyperlink" Target="imagenes/NAUTICA_CLASSICS_117004074_BLK_2.jpg" TargetMode="External" Id="rId4198"/><Relationship Type="http://schemas.openxmlformats.org/officeDocument/2006/relationships/hyperlink" Target="imagenes/NAUTICA_CLASSICS_117004074_BLK_3.jpg" TargetMode="External" Id="rId4199"/><Relationship Type="http://schemas.openxmlformats.org/officeDocument/2006/relationships/hyperlink" Target="imagenes/NAUTICA_CLASSICS_117004074_BLK_1.jpg" TargetMode="External" Id="rId4200"/><Relationship Type="http://schemas.openxmlformats.org/officeDocument/2006/relationships/hyperlink" Target="imagenes/NAUTICA_CLASSICS_117004074_BLK_2.jpg" TargetMode="External" Id="rId4201"/><Relationship Type="http://schemas.openxmlformats.org/officeDocument/2006/relationships/hyperlink" Target="imagenes/NAUTICA_CLASSICS_117004074_BLK_3.jpg" TargetMode="External" Id="rId4202"/><Relationship Type="http://schemas.openxmlformats.org/officeDocument/2006/relationships/hyperlink" Target="imagenes/NAUTICA_CLASSICS_117004074_BLK_1.jpg" TargetMode="External" Id="rId4203"/><Relationship Type="http://schemas.openxmlformats.org/officeDocument/2006/relationships/hyperlink" Target="imagenes/NAUTICA_CLASSICS_117004074_BLK_2.jpg" TargetMode="External" Id="rId4204"/><Relationship Type="http://schemas.openxmlformats.org/officeDocument/2006/relationships/hyperlink" Target="imagenes/NAUTICA_CLASSICS_117004074_BLK_3.jpg" TargetMode="External" Id="rId4205"/><Relationship Type="http://schemas.openxmlformats.org/officeDocument/2006/relationships/hyperlink" Target="imagenes/NAUTICA_CLASSICS_117004074_BLK_1.jpg" TargetMode="External" Id="rId4206"/><Relationship Type="http://schemas.openxmlformats.org/officeDocument/2006/relationships/hyperlink" Target="imagenes/NAUTICA_CLASSICS_117004074_BLK_2.jpg" TargetMode="External" Id="rId4207"/><Relationship Type="http://schemas.openxmlformats.org/officeDocument/2006/relationships/hyperlink" Target="imagenes/NAUTICA_CLASSICS_117004074_BLK_3.jpg" TargetMode="External" Id="rId4208"/><Relationship Type="http://schemas.openxmlformats.org/officeDocument/2006/relationships/hyperlink" Target="imagenes/NAUTICA_CLASSICS_117004074_CTI_1.jpg" TargetMode="External" Id="rId4209"/><Relationship Type="http://schemas.openxmlformats.org/officeDocument/2006/relationships/hyperlink" Target="imagenes/NAUTICA_CLASSICS_117004074_CTI_2.jpg" TargetMode="External" Id="rId4210"/><Relationship Type="http://schemas.openxmlformats.org/officeDocument/2006/relationships/hyperlink" Target="imagenes/NAUTICA_CLASSICS_117004074_CTI_3.jpg" TargetMode="External" Id="rId4211"/><Relationship Type="http://schemas.openxmlformats.org/officeDocument/2006/relationships/hyperlink" Target="imagenes/NAUTICA_CLASSICS_117004074_CTI_1.jpg" TargetMode="External" Id="rId4212"/><Relationship Type="http://schemas.openxmlformats.org/officeDocument/2006/relationships/hyperlink" Target="imagenes/NAUTICA_CLASSICS_117004074_CTI_2.jpg" TargetMode="External" Id="rId4213"/><Relationship Type="http://schemas.openxmlformats.org/officeDocument/2006/relationships/hyperlink" Target="imagenes/NAUTICA_CLASSICS_117004074_CTI_3.jpg" TargetMode="External" Id="rId4214"/><Relationship Type="http://schemas.openxmlformats.org/officeDocument/2006/relationships/hyperlink" Target="imagenes/NAUTICA_CLASSICS_117004074_CTI_1.jpg" TargetMode="External" Id="rId4215"/><Relationship Type="http://schemas.openxmlformats.org/officeDocument/2006/relationships/hyperlink" Target="imagenes/NAUTICA_CLASSICS_117004074_CTI_2.jpg" TargetMode="External" Id="rId4216"/><Relationship Type="http://schemas.openxmlformats.org/officeDocument/2006/relationships/hyperlink" Target="imagenes/NAUTICA_CLASSICS_117004074_CTI_3.jpg" TargetMode="External" Id="rId4217"/><Relationship Type="http://schemas.openxmlformats.org/officeDocument/2006/relationships/hyperlink" Target="imagenes/NAUTICA_CLASSICS_117004074_CTI_1.jpg" TargetMode="External" Id="rId4218"/><Relationship Type="http://schemas.openxmlformats.org/officeDocument/2006/relationships/hyperlink" Target="imagenes/NAUTICA_CLASSICS_117004074_CTI_2.jpg" TargetMode="External" Id="rId4219"/><Relationship Type="http://schemas.openxmlformats.org/officeDocument/2006/relationships/hyperlink" Target="imagenes/NAUTICA_CLASSICS_117004074_CTI_3.jpg" TargetMode="External" Id="rId4220"/><Relationship Type="http://schemas.openxmlformats.org/officeDocument/2006/relationships/hyperlink" Target="imagenes/NAUTICA_CLASSICS_117004074_CTI_1.jpg" TargetMode="External" Id="rId4221"/><Relationship Type="http://schemas.openxmlformats.org/officeDocument/2006/relationships/hyperlink" Target="imagenes/NAUTICA_CLASSICS_117004074_CTI_2.jpg" TargetMode="External" Id="rId4222"/><Relationship Type="http://schemas.openxmlformats.org/officeDocument/2006/relationships/hyperlink" Target="imagenes/NAUTICA_CLASSICS_117004074_CTI_3.jpg" TargetMode="External" Id="rId4223"/><Relationship Type="http://schemas.openxmlformats.org/officeDocument/2006/relationships/hyperlink" Target="imagenes/NAUTICA_CLASSICS_117004074_CTI_1.jpg" TargetMode="External" Id="rId4224"/><Relationship Type="http://schemas.openxmlformats.org/officeDocument/2006/relationships/hyperlink" Target="imagenes/NAUTICA_CLASSICS_117004074_CTI_2.jpg" TargetMode="External" Id="rId4225"/><Relationship Type="http://schemas.openxmlformats.org/officeDocument/2006/relationships/hyperlink" Target="imagenes/NAUTICA_CLASSICS_117004074_CTI_3.jpg" TargetMode="External" Id="rId4226"/><Relationship Type="http://schemas.openxmlformats.org/officeDocument/2006/relationships/hyperlink" Target="imagenes/NAUTICA_CLASSICS_117004074_HT1_1.jpg" TargetMode="External" Id="rId4227"/><Relationship Type="http://schemas.openxmlformats.org/officeDocument/2006/relationships/hyperlink" Target="imagenes/NAUTICA_CLASSICS_117004074_HT1_2.jpg" TargetMode="External" Id="rId4228"/><Relationship Type="http://schemas.openxmlformats.org/officeDocument/2006/relationships/hyperlink" Target="imagenes/NAUTICA_CLASSICS_117004074_HT1_3.jpg" TargetMode="External" Id="rId4229"/><Relationship Type="http://schemas.openxmlformats.org/officeDocument/2006/relationships/hyperlink" Target="imagenes/NAUTICA_CLASSICS_117004074_HT1_1.jpg" TargetMode="External" Id="rId4230"/><Relationship Type="http://schemas.openxmlformats.org/officeDocument/2006/relationships/hyperlink" Target="imagenes/NAUTICA_CLASSICS_117004074_HT1_2.jpg" TargetMode="External" Id="rId4231"/><Relationship Type="http://schemas.openxmlformats.org/officeDocument/2006/relationships/hyperlink" Target="imagenes/NAUTICA_CLASSICS_117004074_HT1_3.jpg" TargetMode="External" Id="rId4232"/><Relationship Type="http://schemas.openxmlformats.org/officeDocument/2006/relationships/hyperlink" Target="imagenes/NAUTICA_CLASSICS_117004074_HT1_1.jpg" TargetMode="External" Id="rId4233"/><Relationship Type="http://schemas.openxmlformats.org/officeDocument/2006/relationships/hyperlink" Target="imagenes/NAUTICA_CLASSICS_117004074_HT1_2.jpg" TargetMode="External" Id="rId4234"/><Relationship Type="http://schemas.openxmlformats.org/officeDocument/2006/relationships/hyperlink" Target="imagenes/NAUTICA_CLASSICS_117004074_HT1_3.jpg" TargetMode="External" Id="rId4235"/><Relationship Type="http://schemas.openxmlformats.org/officeDocument/2006/relationships/hyperlink" Target="imagenes/NAUTICA_CLASSICS_117004074_HT1_1.jpg" TargetMode="External" Id="rId4236"/><Relationship Type="http://schemas.openxmlformats.org/officeDocument/2006/relationships/hyperlink" Target="imagenes/NAUTICA_CLASSICS_117004074_HT1_2.jpg" TargetMode="External" Id="rId4237"/><Relationship Type="http://schemas.openxmlformats.org/officeDocument/2006/relationships/hyperlink" Target="imagenes/NAUTICA_CLASSICS_117004074_HT1_3.jpg" TargetMode="External" Id="rId4238"/><Relationship Type="http://schemas.openxmlformats.org/officeDocument/2006/relationships/hyperlink" Target="imagenes/NAUTICA_CLASSICS_117004074_HT1_1.jpg" TargetMode="External" Id="rId4239"/><Relationship Type="http://schemas.openxmlformats.org/officeDocument/2006/relationships/hyperlink" Target="imagenes/NAUTICA_CLASSICS_117004074_HT1_2.jpg" TargetMode="External" Id="rId4240"/><Relationship Type="http://schemas.openxmlformats.org/officeDocument/2006/relationships/hyperlink" Target="imagenes/NAUTICA_CLASSICS_117004074_HT1_3.jpg" TargetMode="External" Id="rId4241"/><Relationship Type="http://schemas.openxmlformats.org/officeDocument/2006/relationships/hyperlink" Target="imagenes/NAUTICA_CLASSICS_117004074_HT1_1.jpg" TargetMode="External" Id="rId4242"/><Relationship Type="http://schemas.openxmlformats.org/officeDocument/2006/relationships/hyperlink" Target="imagenes/NAUTICA_CLASSICS_117004074_HT1_2.jpg" TargetMode="External" Id="rId4243"/><Relationship Type="http://schemas.openxmlformats.org/officeDocument/2006/relationships/hyperlink" Target="imagenes/NAUTICA_CLASSICS_117004074_HT1_3.jpg" TargetMode="External" Id="rId4244"/><Relationship Type="http://schemas.openxmlformats.org/officeDocument/2006/relationships/hyperlink" Target="imagenes/NAUTICA_CLASSICS_117004074_HT1_1.jpg" TargetMode="External" Id="rId4245"/><Relationship Type="http://schemas.openxmlformats.org/officeDocument/2006/relationships/hyperlink" Target="imagenes/NAUTICA_CLASSICS_117004074_HT1_2.jpg" TargetMode="External" Id="rId4246"/><Relationship Type="http://schemas.openxmlformats.org/officeDocument/2006/relationships/hyperlink" Target="imagenes/NAUTICA_CLASSICS_117004074_HT1_3.jpg" TargetMode="External" Id="rId4247"/><Relationship Type="http://schemas.openxmlformats.org/officeDocument/2006/relationships/hyperlink" Target="imagenes/NAUTICA_CLASSICS_117004074_NAR_1.jpg" TargetMode="External" Id="rId4248"/><Relationship Type="http://schemas.openxmlformats.org/officeDocument/2006/relationships/hyperlink" Target="imagenes/NAUTICA_CLASSICS_117004074_NAR_2.jpg" TargetMode="External" Id="rId4249"/><Relationship Type="http://schemas.openxmlformats.org/officeDocument/2006/relationships/hyperlink" Target="imagenes/NAUTICA_CLASSICS_117004074_NAR_3.jpg" TargetMode="External" Id="rId4250"/><Relationship Type="http://schemas.openxmlformats.org/officeDocument/2006/relationships/hyperlink" Target="imagenes/NAUTICA_CLASSICS_117004074_NAR_1.jpg" TargetMode="External" Id="rId4251"/><Relationship Type="http://schemas.openxmlformats.org/officeDocument/2006/relationships/hyperlink" Target="imagenes/NAUTICA_CLASSICS_117004074_NAR_2.jpg" TargetMode="External" Id="rId4252"/><Relationship Type="http://schemas.openxmlformats.org/officeDocument/2006/relationships/hyperlink" Target="imagenes/NAUTICA_CLASSICS_117004074_NAR_3.jpg" TargetMode="External" Id="rId4253"/><Relationship Type="http://schemas.openxmlformats.org/officeDocument/2006/relationships/hyperlink" Target="imagenes/NAUTICA_CLASSICS_117004074_NAR_1.jpg" TargetMode="External" Id="rId4254"/><Relationship Type="http://schemas.openxmlformats.org/officeDocument/2006/relationships/hyperlink" Target="imagenes/NAUTICA_CLASSICS_117004074_NAR_2.jpg" TargetMode="External" Id="rId4255"/><Relationship Type="http://schemas.openxmlformats.org/officeDocument/2006/relationships/hyperlink" Target="imagenes/NAUTICA_CLASSICS_117004074_NAR_3.jpg" TargetMode="External" Id="rId4256"/><Relationship Type="http://schemas.openxmlformats.org/officeDocument/2006/relationships/hyperlink" Target="imagenes/NAUTICA_CLASSICS_117004074_NAR_1.jpg" TargetMode="External" Id="rId4257"/><Relationship Type="http://schemas.openxmlformats.org/officeDocument/2006/relationships/hyperlink" Target="imagenes/NAUTICA_CLASSICS_117004074_NAR_2.jpg" TargetMode="External" Id="rId4258"/><Relationship Type="http://schemas.openxmlformats.org/officeDocument/2006/relationships/hyperlink" Target="imagenes/NAUTICA_CLASSICS_117004074_NAR_3.jpg" TargetMode="External" Id="rId4259"/><Relationship Type="http://schemas.openxmlformats.org/officeDocument/2006/relationships/hyperlink" Target="imagenes/NAUTICA_CLASSICS_117004074_NAR_1.jpg" TargetMode="External" Id="rId4260"/><Relationship Type="http://schemas.openxmlformats.org/officeDocument/2006/relationships/hyperlink" Target="imagenes/NAUTICA_CLASSICS_117004074_NAR_2.jpg" TargetMode="External" Id="rId4261"/><Relationship Type="http://schemas.openxmlformats.org/officeDocument/2006/relationships/hyperlink" Target="imagenes/NAUTICA_CLASSICS_117004074_NAR_3.jpg" TargetMode="External" Id="rId4262"/><Relationship Type="http://schemas.openxmlformats.org/officeDocument/2006/relationships/hyperlink" Target="imagenes/NAUTICA_CLASSICS_117004074_NAR_1.jpg" TargetMode="External" Id="rId4263"/><Relationship Type="http://schemas.openxmlformats.org/officeDocument/2006/relationships/hyperlink" Target="imagenes/NAUTICA_CLASSICS_117004074_NAR_2.jpg" TargetMode="External" Id="rId4264"/><Relationship Type="http://schemas.openxmlformats.org/officeDocument/2006/relationships/hyperlink" Target="imagenes/NAUTICA_CLASSICS_117004074_NAR_3.jpg" TargetMode="External" Id="rId4265"/><Relationship Type="http://schemas.openxmlformats.org/officeDocument/2006/relationships/hyperlink" Target="imagenes/NAUTICA_CLASSICS_117004074_ZCR_1.jpg" TargetMode="External" Id="rId4266"/><Relationship Type="http://schemas.openxmlformats.org/officeDocument/2006/relationships/hyperlink" Target="imagenes/NAUTICA_CLASSICS_117004074_ZCR_2.jpg" TargetMode="External" Id="rId4267"/><Relationship Type="http://schemas.openxmlformats.org/officeDocument/2006/relationships/hyperlink" Target="imagenes/NAUTICA_CLASSICS_117004074_ZCR_3.jpg" TargetMode="External" Id="rId4268"/><Relationship Type="http://schemas.openxmlformats.org/officeDocument/2006/relationships/hyperlink" Target="imagenes/NAUTICA_CLASSICS_117004074_ZCR_1.jpg" TargetMode="External" Id="rId4269"/><Relationship Type="http://schemas.openxmlformats.org/officeDocument/2006/relationships/hyperlink" Target="imagenes/NAUTICA_CLASSICS_117004074_ZCR_2.jpg" TargetMode="External" Id="rId4270"/><Relationship Type="http://schemas.openxmlformats.org/officeDocument/2006/relationships/hyperlink" Target="imagenes/NAUTICA_CLASSICS_117004074_ZCR_3.jpg" TargetMode="External" Id="rId4271"/><Relationship Type="http://schemas.openxmlformats.org/officeDocument/2006/relationships/hyperlink" Target="imagenes/NAUTICA_CLASSICS_117004074_ZCR_1.jpg" TargetMode="External" Id="rId4272"/><Relationship Type="http://schemas.openxmlformats.org/officeDocument/2006/relationships/hyperlink" Target="imagenes/NAUTICA_CLASSICS_117004074_ZCR_2.jpg" TargetMode="External" Id="rId4273"/><Relationship Type="http://schemas.openxmlformats.org/officeDocument/2006/relationships/hyperlink" Target="imagenes/NAUTICA_CLASSICS_117004074_ZCR_3.jpg" TargetMode="External" Id="rId4274"/><Relationship Type="http://schemas.openxmlformats.org/officeDocument/2006/relationships/hyperlink" Target="imagenes/NAUTICA_CLASSICS_117004074_ZCR_1.jpg" TargetMode="External" Id="rId4275"/><Relationship Type="http://schemas.openxmlformats.org/officeDocument/2006/relationships/hyperlink" Target="imagenes/NAUTICA_CLASSICS_117004074_ZCR_2.jpg" TargetMode="External" Id="rId4276"/><Relationship Type="http://schemas.openxmlformats.org/officeDocument/2006/relationships/hyperlink" Target="imagenes/NAUTICA_CLASSICS_117004074_ZCR_3.jpg" TargetMode="External" Id="rId4277"/><Relationship Type="http://schemas.openxmlformats.org/officeDocument/2006/relationships/hyperlink" Target="imagenes/NAUTICA_CLASSICS_117004074_ZCR_1.jpg" TargetMode="External" Id="rId4278"/><Relationship Type="http://schemas.openxmlformats.org/officeDocument/2006/relationships/hyperlink" Target="imagenes/NAUTICA_CLASSICS_117004074_ZCR_2.jpg" TargetMode="External" Id="rId4279"/><Relationship Type="http://schemas.openxmlformats.org/officeDocument/2006/relationships/hyperlink" Target="imagenes/NAUTICA_CLASSICS_117004074_ZCR_3.jpg" TargetMode="External" Id="rId4280"/><Relationship Type="http://schemas.openxmlformats.org/officeDocument/2006/relationships/hyperlink" Target="imagenes/NAUTICA_CLASSICS_117004074P_BLK_1.jpg" TargetMode="External" Id="rId4281"/><Relationship Type="http://schemas.openxmlformats.org/officeDocument/2006/relationships/hyperlink" Target="imagenes/NAUTICA_CLASSICS_117004074P_BLK_2.jpg" TargetMode="External" Id="rId4282"/><Relationship Type="http://schemas.openxmlformats.org/officeDocument/2006/relationships/hyperlink" Target="imagenes/NAUTICA_CLASSICS_117004074P_BLK_3.jpg" TargetMode="External" Id="rId4283"/><Relationship Type="http://schemas.openxmlformats.org/officeDocument/2006/relationships/hyperlink" Target="imagenes/NAUTICA_CLASSICS_117004074P_BLK_1.jpg" TargetMode="External" Id="rId4284"/><Relationship Type="http://schemas.openxmlformats.org/officeDocument/2006/relationships/hyperlink" Target="imagenes/NAUTICA_CLASSICS_117004074P_BLK_2.jpg" TargetMode="External" Id="rId4285"/><Relationship Type="http://schemas.openxmlformats.org/officeDocument/2006/relationships/hyperlink" Target="imagenes/NAUTICA_CLASSICS_117004074P_BLK_3.jpg" TargetMode="External" Id="rId4286"/><Relationship Type="http://schemas.openxmlformats.org/officeDocument/2006/relationships/hyperlink" Target="imagenes/NAUTICA_CLASSICS_117004074P_BLK_1.jpg" TargetMode="External" Id="rId4287"/><Relationship Type="http://schemas.openxmlformats.org/officeDocument/2006/relationships/hyperlink" Target="imagenes/NAUTICA_CLASSICS_117004074P_BLK_2.jpg" TargetMode="External" Id="rId4288"/><Relationship Type="http://schemas.openxmlformats.org/officeDocument/2006/relationships/hyperlink" Target="imagenes/NAUTICA_CLASSICS_117004074P_BLK_3.jpg" TargetMode="External" Id="rId4289"/><Relationship Type="http://schemas.openxmlformats.org/officeDocument/2006/relationships/hyperlink" Target="imagenes/NAUTICA_CLASSICS_117004074P_BLK_1.jpg" TargetMode="External" Id="rId4290"/><Relationship Type="http://schemas.openxmlformats.org/officeDocument/2006/relationships/hyperlink" Target="imagenes/NAUTICA_CLASSICS_117004074P_BLK_2.jpg" TargetMode="External" Id="rId4291"/><Relationship Type="http://schemas.openxmlformats.org/officeDocument/2006/relationships/hyperlink" Target="imagenes/NAUTICA_CLASSICS_117004074P_BLK_3.jpg" TargetMode="External" Id="rId4292"/><Relationship Type="http://schemas.openxmlformats.org/officeDocument/2006/relationships/hyperlink" Target="imagenes/NAUTICA_CLASSICS_117004074P_BLK_1.jpg" TargetMode="External" Id="rId4293"/><Relationship Type="http://schemas.openxmlformats.org/officeDocument/2006/relationships/hyperlink" Target="imagenes/NAUTICA_CLASSICS_117004074P_BLK_2.jpg" TargetMode="External" Id="rId4294"/><Relationship Type="http://schemas.openxmlformats.org/officeDocument/2006/relationships/hyperlink" Target="imagenes/NAUTICA_CLASSICS_117004074P_BLK_3.jpg" TargetMode="External" Id="rId4295"/><Relationship Type="http://schemas.openxmlformats.org/officeDocument/2006/relationships/hyperlink" Target="imagenes/NAUTICA_CLASSICS_117004074P_CTI_1.jpg" TargetMode="External" Id="rId4296"/><Relationship Type="http://schemas.openxmlformats.org/officeDocument/2006/relationships/hyperlink" Target="imagenes/NAUTICA_CLASSICS_117004074P_CTI_2.jpg" TargetMode="External" Id="rId4297"/><Relationship Type="http://schemas.openxmlformats.org/officeDocument/2006/relationships/hyperlink" Target="imagenes/NAUTICA_CLASSICS_117004074P_CTI_3.jpg" TargetMode="External" Id="rId4298"/><Relationship Type="http://schemas.openxmlformats.org/officeDocument/2006/relationships/hyperlink" Target="imagenes/NAUTICA_CLASSICS_117004074P_CTI_1.jpg" TargetMode="External" Id="rId4299"/><Relationship Type="http://schemas.openxmlformats.org/officeDocument/2006/relationships/hyperlink" Target="imagenes/NAUTICA_CLASSICS_117004074P_CTI_2.jpg" TargetMode="External" Id="rId4300"/><Relationship Type="http://schemas.openxmlformats.org/officeDocument/2006/relationships/hyperlink" Target="imagenes/NAUTICA_CLASSICS_117004074P_CTI_3.jpg" TargetMode="External" Id="rId4301"/><Relationship Type="http://schemas.openxmlformats.org/officeDocument/2006/relationships/hyperlink" Target="imagenes/NAUTICA_CLASSICS_117004074P_CTI_1.jpg" TargetMode="External" Id="rId4302"/><Relationship Type="http://schemas.openxmlformats.org/officeDocument/2006/relationships/hyperlink" Target="imagenes/NAUTICA_CLASSICS_117004074P_CTI_2.jpg" TargetMode="External" Id="rId4303"/><Relationship Type="http://schemas.openxmlformats.org/officeDocument/2006/relationships/hyperlink" Target="imagenes/NAUTICA_CLASSICS_117004074P_CTI_3.jpg" TargetMode="External" Id="rId4304"/><Relationship Type="http://schemas.openxmlformats.org/officeDocument/2006/relationships/hyperlink" Target="imagenes/NAUTICA_CLASSICS_117004074P_CTI_1.jpg" TargetMode="External" Id="rId4305"/><Relationship Type="http://schemas.openxmlformats.org/officeDocument/2006/relationships/hyperlink" Target="imagenes/NAUTICA_CLASSICS_117004074P_CTI_2.jpg" TargetMode="External" Id="rId4306"/><Relationship Type="http://schemas.openxmlformats.org/officeDocument/2006/relationships/hyperlink" Target="imagenes/NAUTICA_CLASSICS_117004074P_CTI_3.jpg" TargetMode="External" Id="rId4307"/><Relationship Type="http://schemas.openxmlformats.org/officeDocument/2006/relationships/hyperlink" Target="imagenes/NAUTICA_CLASSICS_117004074P_CTI_1.jpg" TargetMode="External" Id="rId4308"/><Relationship Type="http://schemas.openxmlformats.org/officeDocument/2006/relationships/hyperlink" Target="imagenes/NAUTICA_CLASSICS_117004074P_CTI_2.jpg" TargetMode="External" Id="rId4309"/><Relationship Type="http://schemas.openxmlformats.org/officeDocument/2006/relationships/hyperlink" Target="imagenes/NAUTICA_CLASSICS_117004074P_CTI_3.jpg" TargetMode="External" Id="rId4310"/><Relationship Type="http://schemas.openxmlformats.org/officeDocument/2006/relationships/hyperlink" Target="imagenes/NAUTICA_CLASSICS_117004075_BLK_1.jpg" TargetMode="External" Id="rId4311"/><Relationship Type="http://schemas.openxmlformats.org/officeDocument/2006/relationships/hyperlink" Target="imagenes/NAUTICA_CLASSICS_117004075_BLK_2.jpg" TargetMode="External" Id="rId4312"/><Relationship Type="http://schemas.openxmlformats.org/officeDocument/2006/relationships/hyperlink" Target="imagenes/NAUTICA_CLASSICS_117004075_BLK_3.jpg" TargetMode="External" Id="rId4313"/><Relationship Type="http://schemas.openxmlformats.org/officeDocument/2006/relationships/hyperlink" Target="imagenes/NAUTICA_CLASSICS_117004075_BLK_1.jpg" TargetMode="External" Id="rId4314"/><Relationship Type="http://schemas.openxmlformats.org/officeDocument/2006/relationships/hyperlink" Target="imagenes/NAUTICA_CLASSICS_117004075_BLK_2.jpg" TargetMode="External" Id="rId4315"/><Relationship Type="http://schemas.openxmlformats.org/officeDocument/2006/relationships/hyperlink" Target="imagenes/NAUTICA_CLASSICS_117004075_BLK_3.jpg" TargetMode="External" Id="rId4316"/><Relationship Type="http://schemas.openxmlformats.org/officeDocument/2006/relationships/hyperlink" Target="imagenes/NAUTICA_CLASSICS_117004075_BLK_1.jpg" TargetMode="External" Id="rId4317"/><Relationship Type="http://schemas.openxmlformats.org/officeDocument/2006/relationships/hyperlink" Target="imagenes/NAUTICA_CLASSICS_117004075_BLK_2.jpg" TargetMode="External" Id="rId4318"/><Relationship Type="http://schemas.openxmlformats.org/officeDocument/2006/relationships/hyperlink" Target="imagenes/NAUTICA_CLASSICS_117004075_BLK_3.jpg" TargetMode="External" Id="rId4319"/><Relationship Type="http://schemas.openxmlformats.org/officeDocument/2006/relationships/hyperlink" Target="imagenes/NAUTICA_CLASSICS_117004075_BLK_1.jpg" TargetMode="External" Id="rId4320"/><Relationship Type="http://schemas.openxmlformats.org/officeDocument/2006/relationships/hyperlink" Target="imagenes/NAUTICA_CLASSICS_117004075_BLK_2.jpg" TargetMode="External" Id="rId4321"/><Relationship Type="http://schemas.openxmlformats.org/officeDocument/2006/relationships/hyperlink" Target="imagenes/NAUTICA_CLASSICS_117004075_BLK_3.jpg" TargetMode="External" Id="rId4322"/><Relationship Type="http://schemas.openxmlformats.org/officeDocument/2006/relationships/hyperlink" Target="imagenes/NAUTICA_CLASSICS_117004075_NAR_1.jpg" TargetMode="External" Id="rId4323"/><Relationship Type="http://schemas.openxmlformats.org/officeDocument/2006/relationships/hyperlink" Target="imagenes/NAUTICA_CLASSICS_117004075_NAR_2.jpg" TargetMode="External" Id="rId4324"/><Relationship Type="http://schemas.openxmlformats.org/officeDocument/2006/relationships/hyperlink" Target="imagenes/NAUTICA_CLASSICS_117004075_NAR_3.jpg" TargetMode="External" Id="rId4325"/><Relationship Type="http://schemas.openxmlformats.org/officeDocument/2006/relationships/hyperlink" Target="imagenes/NAUTICA_CLASSICS_117004075_NAR_1.jpg" TargetMode="External" Id="rId4326"/><Relationship Type="http://schemas.openxmlformats.org/officeDocument/2006/relationships/hyperlink" Target="imagenes/NAUTICA_CLASSICS_117004075_NAR_2.jpg" TargetMode="External" Id="rId4327"/><Relationship Type="http://schemas.openxmlformats.org/officeDocument/2006/relationships/hyperlink" Target="imagenes/NAUTICA_CLASSICS_117004075_NAR_3.jpg" TargetMode="External" Id="rId4328"/><Relationship Type="http://schemas.openxmlformats.org/officeDocument/2006/relationships/hyperlink" Target="imagenes/NAUTICA_CLASSICS_117004075_NAR_1.jpg" TargetMode="External" Id="rId4329"/><Relationship Type="http://schemas.openxmlformats.org/officeDocument/2006/relationships/hyperlink" Target="imagenes/NAUTICA_CLASSICS_117004075_NAR_2.jpg" TargetMode="External" Id="rId4330"/><Relationship Type="http://schemas.openxmlformats.org/officeDocument/2006/relationships/hyperlink" Target="imagenes/NAUTICA_CLASSICS_117004075_NAR_3.jpg" TargetMode="External" Id="rId4331"/><Relationship Type="http://schemas.openxmlformats.org/officeDocument/2006/relationships/hyperlink" Target="imagenes/NAUTICA_CLASSICS_117004075_NAR_1.jpg" TargetMode="External" Id="rId4332"/><Relationship Type="http://schemas.openxmlformats.org/officeDocument/2006/relationships/hyperlink" Target="imagenes/NAUTICA_CLASSICS_117004075_NAR_2.jpg" TargetMode="External" Id="rId4333"/><Relationship Type="http://schemas.openxmlformats.org/officeDocument/2006/relationships/hyperlink" Target="imagenes/NAUTICA_CLASSICS_117004075_NAR_3.jpg" TargetMode="External" Id="rId4334"/><Relationship Type="http://schemas.openxmlformats.org/officeDocument/2006/relationships/hyperlink" Target="imagenes/NAUTICA_CLASSICS_117004075_NAR_1.jpg" TargetMode="External" Id="rId4335"/><Relationship Type="http://schemas.openxmlformats.org/officeDocument/2006/relationships/hyperlink" Target="imagenes/NAUTICA_CLASSICS_117004075_NAR_2.jpg" TargetMode="External" Id="rId4336"/><Relationship Type="http://schemas.openxmlformats.org/officeDocument/2006/relationships/hyperlink" Target="imagenes/NAUTICA_CLASSICS_117004075_NAR_3.jpg" TargetMode="External" Id="rId4337"/><Relationship Type="http://schemas.openxmlformats.org/officeDocument/2006/relationships/hyperlink" Target="imagenes/NAUTICA_CLASSICS_117004075_SW4_1.jpg" TargetMode="External" Id="rId4338"/><Relationship Type="http://schemas.openxmlformats.org/officeDocument/2006/relationships/hyperlink" Target="imagenes/NAUTICA_CLASSICS_117004075_SW4_2.jpg" TargetMode="External" Id="rId4339"/><Relationship Type="http://schemas.openxmlformats.org/officeDocument/2006/relationships/hyperlink" Target="imagenes/NAUTICA_CLASSICS_117004075_SW4_3.jpg" TargetMode="External" Id="rId4340"/><Relationship Type="http://schemas.openxmlformats.org/officeDocument/2006/relationships/hyperlink" Target="imagenes/NAUTICA_CLASSICS_117004075_SW4_1.jpg" TargetMode="External" Id="rId4341"/><Relationship Type="http://schemas.openxmlformats.org/officeDocument/2006/relationships/hyperlink" Target="imagenes/NAUTICA_CLASSICS_117004075_SW4_2.jpg" TargetMode="External" Id="rId4342"/><Relationship Type="http://schemas.openxmlformats.org/officeDocument/2006/relationships/hyperlink" Target="imagenes/NAUTICA_CLASSICS_117004075_SW4_3.jpg" TargetMode="External" Id="rId4343"/><Relationship Type="http://schemas.openxmlformats.org/officeDocument/2006/relationships/hyperlink" Target="imagenes/NAUTICA_CLASSICS_117004075_SW4_1.jpg" TargetMode="External" Id="rId4344"/><Relationship Type="http://schemas.openxmlformats.org/officeDocument/2006/relationships/hyperlink" Target="imagenes/NAUTICA_CLASSICS_117004075_SW4_2.jpg" TargetMode="External" Id="rId4345"/><Relationship Type="http://schemas.openxmlformats.org/officeDocument/2006/relationships/hyperlink" Target="imagenes/NAUTICA_CLASSICS_117004075_SW4_3.jpg" TargetMode="External" Id="rId4346"/><Relationship Type="http://schemas.openxmlformats.org/officeDocument/2006/relationships/hyperlink" Target="imagenes/NAUTICA_CLASSICS_117004075_SW4_1.jpg" TargetMode="External" Id="rId4347"/><Relationship Type="http://schemas.openxmlformats.org/officeDocument/2006/relationships/hyperlink" Target="imagenes/NAUTICA_CLASSICS_117004075_SW4_2.jpg" TargetMode="External" Id="rId4348"/><Relationship Type="http://schemas.openxmlformats.org/officeDocument/2006/relationships/hyperlink" Target="imagenes/NAUTICA_CLASSICS_117004075_SW4_3.jpg" TargetMode="External" Id="rId4349"/><Relationship Type="http://schemas.openxmlformats.org/officeDocument/2006/relationships/hyperlink" Target="imagenes/NAUTICA_CLASSICS_117004075_SW4_1.jpg" TargetMode="External" Id="rId4350"/><Relationship Type="http://schemas.openxmlformats.org/officeDocument/2006/relationships/hyperlink" Target="imagenes/NAUTICA_CLASSICS_117004075_SW4_2.jpg" TargetMode="External" Id="rId4351"/><Relationship Type="http://schemas.openxmlformats.org/officeDocument/2006/relationships/hyperlink" Target="imagenes/NAUTICA_CLASSICS_117004075_SW4_3.jpg" TargetMode="External" Id="rId4352"/><Relationship Type="http://schemas.openxmlformats.org/officeDocument/2006/relationships/hyperlink" Target="imagenes/NAUTICA_CLASSICS_117004078_BLK_1.jpg" TargetMode="External" Id="rId4353"/><Relationship Type="http://schemas.openxmlformats.org/officeDocument/2006/relationships/hyperlink" Target="imagenes/NAUTICA_CLASSICS_117004078_BLK_2.jpg" TargetMode="External" Id="rId4354"/><Relationship Type="http://schemas.openxmlformats.org/officeDocument/2006/relationships/hyperlink" Target="imagenes/NAUTICA_CLASSICS_117004078_BLK_3.jpg" TargetMode="External" Id="rId4355"/><Relationship Type="http://schemas.openxmlformats.org/officeDocument/2006/relationships/hyperlink" Target="imagenes/NAUTICA_CLASSICS_117004078_BLK_1.jpg" TargetMode="External" Id="rId4356"/><Relationship Type="http://schemas.openxmlformats.org/officeDocument/2006/relationships/hyperlink" Target="imagenes/NAUTICA_CLASSICS_117004078_BLK_2.jpg" TargetMode="External" Id="rId4357"/><Relationship Type="http://schemas.openxmlformats.org/officeDocument/2006/relationships/hyperlink" Target="imagenes/NAUTICA_CLASSICS_117004078_BLK_3.jpg" TargetMode="External" Id="rId4358"/><Relationship Type="http://schemas.openxmlformats.org/officeDocument/2006/relationships/hyperlink" Target="imagenes/NAUTICA_CLASSICS_117004078_BLK_1.jpg" TargetMode="External" Id="rId4359"/><Relationship Type="http://schemas.openxmlformats.org/officeDocument/2006/relationships/hyperlink" Target="imagenes/NAUTICA_CLASSICS_117004078_BLK_2.jpg" TargetMode="External" Id="rId4360"/><Relationship Type="http://schemas.openxmlformats.org/officeDocument/2006/relationships/hyperlink" Target="imagenes/NAUTICA_CLASSICS_117004078_BLK_3.jpg" TargetMode="External" Id="rId4361"/><Relationship Type="http://schemas.openxmlformats.org/officeDocument/2006/relationships/hyperlink" Target="imagenes/NAUTICA_CLASSICS_117004078_BLK_1.jpg" TargetMode="External" Id="rId4362"/><Relationship Type="http://schemas.openxmlformats.org/officeDocument/2006/relationships/hyperlink" Target="imagenes/NAUTICA_CLASSICS_117004078_BLK_2.jpg" TargetMode="External" Id="rId4363"/><Relationship Type="http://schemas.openxmlformats.org/officeDocument/2006/relationships/hyperlink" Target="imagenes/NAUTICA_CLASSICS_117004078_BLK_3.jpg" TargetMode="External" Id="rId4364"/><Relationship Type="http://schemas.openxmlformats.org/officeDocument/2006/relationships/hyperlink" Target="imagenes/NAUTICA_CLASSICS_117004078_BLK_1.jpg" TargetMode="External" Id="rId4365"/><Relationship Type="http://schemas.openxmlformats.org/officeDocument/2006/relationships/hyperlink" Target="imagenes/NAUTICA_CLASSICS_117004078_BLK_2.jpg" TargetMode="External" Id="rId4366"/><Relationship Type="http://schemas.openxmlformats.org/officeDocument/2006/relationships/hyperlink" Target="imagenes/NAUTICA_CLASSICS_117004078_BLK_3.jpg" TargetMode="External" Id="rId4367"/><Relationship Type="http://schemas.openxmlformats.org/officeDocument/2006/relationships/hyperlink" Target="imagenes/NAUTICA_CLASSICS_117004078_BLK_1.jpg" TargetMode="External" Id="rId4368"/><Relationship Type="http://schemas.openxmlformats.org/officeDocument/2006/relationships/hyperlink" Target="imagenes/NAUTICA_CLASSICS_117004078_BLK_2.jpg" TargetMode="External" Id="rId4369"/><Relationship Type="http://schemas.openxmlformats.org/officeDocument/2006/relationships/hyperlink" Target="imagenes/NAUTICA_CLASSICS_117004078_BLK_3.jpg" TargetMode="External" Id="rId4370"/><Relationship Type="http://schemas.openxmlformats.org/officeDocument/2006/relationships/hyperlink" Target="imagenes/NAUTICA_CLASSICS_117004078_BLK_1.jpg" TargetMode="External" Id="rId4371"/><Relationship Type="http://schemas.openxmlformats.org/officeDocument/2006/relationships/hyperlink" Target="imagenes/NAUTICA_CLASSICS_117004078_BLK_2.jpg" TargetMode="External" Id="rId4372"/><Relationship Type="http://schemas.openxmlformats.org/officeDocument/2006/relationships/hyperlink" Target="imagenes/NAUTICA_CLASSICS_117004078_BLK_3.jpg" TargetMode="External" Id="rId4373"/><Relationship Type="http://schemas.openxmlformats.org/officeDocument/2006/relationships/hyperlink" Target="imagenes/NAUTICA_CLASSICS_117004078_NSS_1.jpg" TargetMode="External" Id="rId4374"/><Relationship Type="http://schemas.openxmlformats.org/officeDocument/2006/relationships/hyperlink" Target="imagenes/NAUTICA_CLASSICS_117004078_NSS_2.jpg" TargetMode="External" Id="rId4375"/><Relationship Type="http://schemas.openxmlformats.org/officeDocument/2006/relationships/hyperlink" Target="imagenes/NAUTICA_CLASSICS_117004078_NSS_3.jpg" TargetMode="External" Id="rId4376"/><Relationship Type="http://schemas.openxmlformats.org/officeDocument/2006/relationships/hyperlink" Target="imagenes/NAUTICA_CLASSICS_117004078_NSS_1.jpg" TargetMode="External" Id="rId4377"/><Relationship Type="http://schemas.openxmlformats.org/officeDocument/2006/relationships/hyperlink" Target="imagenes/NAUTICA_CLASSICS_117004078_NSS_2.jpg" TargetMode="External" Id="rId4378"/><Relationship Type="http://schemas.openxmlformats.org/officeDocument/2006/relationships/hyperlink" Target="imagenes/NAUTICA_CLASSICS_117004078_NSS_3.jpg" TargetMode="External" Id="rId4379"/><Relationship Type="http://schemas.openxmlformats.org/officeDocument/2006/relationships/hyperlink" Target="imagenes/NAUTICA_CLASSICS_117004078_NSS_1.jpg" TargetMode="External" Id="rId4380"/><Relationship Type="http://schemas.openxmlformats.org/officeDocument/2006/relationships/hyperlink" Target="imagenes/NAUTICA_CLASSICS_117004078_NSS_2.jpg" TargetMode="External" Id="rId4381"/><Relationship Type="http://schemas.openxmlformats.org/officeDocument/2006/relationships/hyperlink" Target="imagenes/NAUTICA_CLASSICS_117004078_NSS_3.jpg" TargetMode="External" Id="rId4382"/><Relationship Type="http://schemas.openxmlformats.org/officeDocument/2006/relationships/hyperlink" Target="imagenes/NAUTICA_CLASSICS_117004078_NSS_1.jpg" TargetMode="External" Id="rId4383"/><Relationship Type="http://schemas.openxmlformats.org/officeDocument/2006/relationships/hyperlink" Target="imagenes/NAUTICA_CLASSICS_117004078_NSS_2.jpg" TargetMode="External" Id="rId4384"/><Relationship Type="http://schemas.openxmlformats.org/officeDocument/2006/relationships/hyperlink" Target="imagenes/NAUTICA_CLASSICS_117004078_NSS_3.jpg" TargetMode="External" Id="rId4385"/><Relationship Type="http://schemas.openxmlformats.org/officeDocument/2006/relationships/hyperlink" Target="imagenes/NAUTICA_CLASSICS_117004078_NSS_1.jpg" TargetMode="External" Id="rId4386"/><Relationship Type="http://schemas.openxmlformats.org/officeDocument/2006/relationships/hyperlink" Target="imagenes/NAUTICA_CLASSICS_117004078_NSS_2.jpg" TargetMode="External" Id="rId4387"/><Relationship Type="http://schemas.openxmlformats.org/officeDocument/2006/relationships/hyperlink" Target="imagenes/NAUTICA_CLASSICS_117004078_NSS_3.jpg" TargetMode="External" Id="rId4388"/><Relationship Type="http://schemas.openxmlformats.org/officeDocument/2006/relationships/hyperlink" Target="imagenes/NAUTICA_CLASSICS_117004078_NSS_1.jpg" TargetMode="External" Id="rId4389"/><Relationship Type="http://schemas.openxmlformats.org/officeDocument/2006/relationships/hyperlink" Target="imagenes/NAUTICA_CLASSICS_117004078_NSS_2.jpg" TargetMode="External" Id="rId4390"/><Relationship Type="http://schemas.openxmlformats.org/officeDocument/2006/relationships/hyperlink" Target="imagenes/NAUTICA_CLASSICS_117004078_NSS_3.jpg" TargetMode="External" Id="rId4391"/><Relationship Type="http://schemas.openxmlformats.org/officeDocument/2006/relationships/hyperlink" Target="imagenes/NAUTICA_CLASSICS_117004078_NSS_1.jpg" TargetMode="External" Id="rId4392"/><Relationship Type="http://schemas.openxmlformats.org/officeDocument/2006/relationships/hyperlink" Target="imagenes/NAUTICA_CLASSICS_117004078_NSS_2.jpg" TargetMode="External" Id="rId4393"/><Relationship Type="http://schemas.openxmlformats.org/officeDocument/2006/relationships/hyperlink" Target="imagenes/NAUTICA_CLASSICS_117004078_NSS_3.jpg" TargetMode="External" Id="rId4394"/><Relationship Type="http://schemas.openxmlformats.org/officeDocument/2006/relationships/hyperlink" Target="imagenes/NAUTICA_CLASSICS_117004079_BLK_1.jpg" TargetMode="External" Id="rId4395"/><Relationship Type="http://schemas.openxmlformats.org/officeDocument/2006/relationships/hyperlink" Target="imagenes/NAUTICA_CLASSICS_117004079_BLK_2.jpg" TargetMode="External" Id="rId4396"/><Relationship Type="http://schemas.openxmlformats.org/officeDocument/2006/relationships/hyperlink" Target="imagenes/NAUTICA_CLASSICS_117004079_BLK_3.jpg" TargetMode="External" Id="rId4397"/><Relationship Type="http://schemas.openxmlformats.org/officeDocument/2006/relationships/hyperlink" Target="imagenes/NAUTICA_CLASSICS_117004079_BLK_1.jpg" TargetMode="External" Id="rId4398"/><Relationship Type="http://schemas.openxmlformats.org/officeDocument/2006/relationships/hyperlink" Target="imagenes/NAUTICA_CLASSICS_117004079_BLK_2.jpg" TargetMode="External" Id="rId4399"/><Relationship Type="http://schemas.openxmlformats.org/officeDocument/2006/relationships/hyperlink" Target="imagenes/NAUTICA_CLASSICS_117004079_BLK_3.jpg" TargetMode="External" Id="rId4400"/><Relationship Type="http://schemas.openxmlformats.org/officeDocument/2006/relationships/hyperlink" Target="imagenes/NAUTICA_CLASSICS_117004079_LMS_1.jpg" TargetMode="External" Id="rId4401"/><Relationship Type="http://schemas.openxmlformats.org/officeDocument/2006/relationships/hyperlink" Target="imagenes/NAUTICA_CLASSICS_117004079_LMS_2.jpg" TargetMode="External" Id="rId4402"/><Relationship Type="http://schemas.openxmlformats.org/officeDocument/2006/relationships/hyperlink" Target="imagenes/NAUTICA_CLASSICS_117004079_LMS_3.jpg" TargetMode="External" Id="rId4403"/><Relationship Type="http://schemas.openxmlformats.org/officeDocument/2006/relationships/hyperlink" Target="imagenes/NAUTICA_CLASSICS_117004079_LMS_1.jpg" TargetMode="External" Id="rId4404"/><Relationship Type="http://schemas.openxmlformats.org/officeDocument/2006/relationships/hyperlink" Target="imagenes/NAUTICA_CLASSICS_117004079_LMS_2.jpg" TargetMode="External" Id="rId4405"/><Relationship Type="http://schemas.openxmlformats.org/officeDocument/2006/relationships/hyperlink" Target="imagenes/NAUTICA_CLASSICS_117004079_LMS_3.jpg" TargetMode="External" Id="rId4406"/><Relationship Type="http://schemas.openxmlformats.org/officeDocument/2006/relationships/hyperlink" Target="imagenes/NAUTICA_CLASSICS_117004080_BLK_1.jpg" TargetMode="External" Id="rId4407"/><Relationship Type="http://schemas.openxmlformats.org/officeDocument/2006/relationships/hyperlink" Target="imagenes/NAUTICA_CLASSICS_117004080_BLK_2.jpg" TargetMode="External" Id="rId4408"/><Relationship Type="http://schemas.openxmlformats.org/officeDocument/2006/relationships/hyperlink" Target="imagenes/NAUTICA_CLASSICS_117004080_BLK_3.jpg" TargetMode="External" Id="rId4409"/><Relationship Type="http://schemas.openxmlformats.org/officeDocument/2006/relationships/hyperlink" Target="imagenes/NAUTICA_CLASSICS_117004080_NSS_1.jpg" TargetMode="External" Id="rId4410"/><Relationship Type="http://schemas.openxmlformats.org/officeDocument/2006/relationships/hyperlink" Target="imagenes/NAUTICA_CLASSICS_117004080_NSS_2.jpg" TargetMode="External" Id="rId4411"/><Relationship Type="http://schemas.openxmlformats.org/officeDocument/2006/relationships/hyperlink" Target="imagenes/NAUTICA_CLASSICS_117004080_NSS_3.jpg" TargetMode="External" Id="rId4412"/><Relationship Type="http://schemas.openxmlformats.org/officeDocument/2006/relationships/hyperlink" Target="imagenes/NAUTICA_CLASSICS_117004080_NSS_1.jpg" TargetMode="External" Id="rId4413"/><Relationship Type="http://schemas.openxmlformats.org/officeDocument/2006/relationships/hyperlink" Target="imagenes/NAUTICA_CLASSICS_117004080_NSS_2.jpg" TargetMode="External" Id="rId4414"/><Relationship Type="http://schemas.openxmlformats.org/officeDocument/2006/relationships/hyperlink" Target="imagenes/NAUTICA_CLASSICS_117004080_NSS_3.jpg" TargetMode="External" Id="rId4415"/><Relationship Type="http://schemas.openxmlformats.org/officeDocument/2006/relationships/hyperlink" Target="imagenes/NAUTICA_CLASSICS_117004080_NSS_1.jpg" TargetMode="External" Id="rId4416"/><Relationship Type="http://schemas.openxmlformats.org/officeDocument/2006/relationships/hyperlink" Target="imagenes/NAUTICA_CLASSICS_117004080_NSS_2.jpg" TargetMode="External" Id="rId4417"/><Relationship Type="http://schemas.openxmlformats.org/officeDocument/2006/relationships/hyperlink" Target="imagenes/NAUTICA_CLASSICS_117004080_NSS_3.jpg" TargetMode="External" Id="rId4418"/><Relationship Type="http://schemas.openxmlformats.org/officeDocument/2006/relationships/hyperlink" Target="imagenes/NAUTICA_CLASSICS_117004080_R0S_1.jpg" TargetMode="External" Id="rId4419"/><Relationship Type="http://schemas.openxmlformats.org/officeDocument/2006/relationships/hyperlink" Target="imagenes/NAUTICA_CLASSICS_117004080_R0S_2.jpg" TargetMode="External" Id="rId4420"/><Relationship Type="http://schemas.openxmlformats.org/officeDocument/2006/relationships/hyperlink" Target="imagenes/NAUTICA_CLASSICS_117004080_R0S_3.jpg" TargetMode="External" Id="rId4421"/><Relationship Type="http://schemas.openxmlformats.org/officeDocument/2006/relationships/hyperlink" Target="imagenes/NAUTICA_CLASSICS_117004080_R0S_1.jpg" TargetMode="External" Id="rId4422"/><Relationship Type="http://schemas.openxmlformats.org/officeDocument/2006/relationships/hyperlink" Target="imagenes/NAUTICA_CLASSICS_117004080_R0S_2.jpg" TargetMode="External" Id="rId4423"/><Relationship Type="http://schemas.openxmlformats.org/officeDocument/2006/relationships/hyperlink" Target="imagenes/NAUTICA_CLASSICS_117004080_R0S_3.jpg" TargetMode="External" Id="rId4424"/><Relationship Type="http://schemas.openxmlformats.org/officeDocument/2006/relationships/hyperlink" Target="imagenes/NAUTICA_CLASSICS_117004080_R0S_1.jpg" TargetMode="External" Id="rId4425"/><Relationship Type="http://schemas.openxmlformats.org/officeDocument/2006/relationships/hyperlink" Target="imagenes/NAUTICA_CLASSICS_117004080_R0S_2.jpg" TargetMode="External" Id="rId4426"/><Relationship Type="http://schemas.openxmlformats.org/officeDocument/2006/relationships/hyperlink" Target="imagenes/NAUTICA_CLASSICS_117004080_R0S_3.jpg" TargetMode="External" Id="rId4427"/><Relationship Type="http://schemas.openxmlformats.org/officeDocument/2006/relationships/hyperlink" Target="imagenes/NAUTICA_CLASSICS_117004080_R0S_1.jpg" TargetMode="External" Id="rId4428"/><Relationship Type="http://schemas.openxmlformats.org/officeDocument/2006/relationships/hyperlink" Target="imagenes/NAUTICA_CLASSICS_117004080_R0S_2.jpg" TargetMode="External" Id="rId4429"/><Relationship Type="http://schemas.openxmlformats.org/officeDocument/2006/relationships/hyperlink" Target="imagenes/NAUTICA_CLASSICS_117004080_R0S_3.jpg" TargetMode="External" Id="rId4430"/><Relationship Type="http://schemas.openxmlformats.org/officeDocument/2006/relationships/hyperlink" Target="imagenes/NAUTICA_CLASSICS_117004082_BLK_1.jpg" TargetMode="External" Id="rId4431"/><Relationship Type="http://schemas.openxmlformats.org/officeDocument/2006/relationships/hyperlink" Target="imagenes/NAUTICA_CLASSICS_117004082_BLK_2.jpg" TargetMode="External" Id="rId4432"/><Relationship Type="http://schemas.openxmlformats.org/officeDocument/2006/relationships/hyperlink" Target="imagenes/NAUTICA_CLASSICS_117004082_BLK_3.jpg" TargetMode="External" Id="rId4433"/><Relationship Type="http://schemas.openxmlformats.org/officeDocument/2006/relationships/hyperlink" Target="imagenes/NAUTICA_CLASSICS_117004082_BLK_1.jpg" TargetMode="External" Id="rId4434"/><Relationship Type="http://schemas.openxmlformats.org/officeDocument/2006/relationships/hyperlink" Target="imagenes/NAUTICA_CLASSICS_117004082_BLK_2.jpg" TargetMode="External" Id="rId4435"/><Relationship Type="http://schemas.openxmlformats.org/officeDocument/2006/relationships/hyperlink" Target="imagenes/NAUTICA_CLASSICS_117004082_BLK_3.jpg" TargetMode="External" Id="rId4436"/><Relationship Type="http://schemas.openxmlformats.org/officeDocument/2006/relationships/hyperlink" Target="imagenes/NAUTICA_CLASSICS_117004082_BLK_1.jpg" TargetMode="External" Id="rId4437"/><Relationship Type="http://schemas.openxmlformats.org/officeDocument/2006/relationships/hyperlink" Target="imagenes/NAUTICA_CLASSICS_117004082_BLK_2.jpg" TargetMode="External" Id="rId4438"/><Relationship Type="http://schemas.openxmlformats.org/officeDocument/2006/relationships/hyperlink" Target="imagenes/NAUTICA_CLASSICS_117004082_BLK_3.jpg" TargetMode="External" Id="rId4439"/><Relationship Type="http://schemas.openxmlformats.org/officeDocument/2006/relationships/hyperlink" Target="imagenes/NAUTICA_CLASSICS_117004082_BUE_1.jpg" TargetMode="External" Id="rId4440"/><Relationship Type="http://schemas.openxmlformats.org/officeDocument/2006/relationships/hyperlink" Target="imagenes/NAUTICA_CLASSICS_117004082_BUE_2.jpg" TargetMode="External" Id="rId4441"/><Relationship Type="http://schemas.openxmlformats.org/officeDocument/2006/relationships/hyperlink" Target="imagenes/NAUTICA_CLASSICS_117004082_BUE_3.jpg" TargetMode="External" Id="rId4442"/><Relationship Type="http://schemas.openxmlformats.org/officeDocument/2006/relationships/hyperlink" Target="imagenes/NAUTICA_CLASSICS_117004082_BUE_1.jpg" TargetMode="External" Id="rId4443"/><Relationship Type="http://schemas.openxmlformats.org/officeDocument/2006/relationships/hyperlink" Target="imagenes/NAUTICA_CLASSICS_117004082_BUE_2.jpg" TargetMode="External" Id="rId4444"/><Relationship Type="http://schemas.openxmlformats.org/officeDocument/2006/relationships/hyperlink" Target="imagenes/NAUTICA_CLASSICS_117004082_BUE_3.jpg" TargetMode="External" Id="rId4445"/><Relationship Type="http://schemas.openxmlformats.org/officeDocument/2006/relationships/hyperlink" Target="imagenes/NAUTICA_CLASSICS_117004082_BUE_1.jpg" TargetMode="External" Id="rId4446"/><Relationship Type="http://schemas.openxmlformats.org/officeDocument/2006/relationships/hyperlink" Target="imagenes/NAUTICA_CLASSICS_117004082_BUE_2.jpg" TargetMode="External" Id="rId4447"/><Relationship Type="http://schemas.openxmlformats.org/officeDocument/2006/relationships/hyperlink" Target="imagenes/NAUTICA_CLASSICS_117004082_BUE_3.jpg" TargetMode="External" Id="rId4448"/><Relationship Type="http://schemas.openxmlformats.org/officeDocument/2006/relationships/hyperlink" Target="imagenes/NAUTICA_CLASSICS_117004093_BLK_1.jpg" TargetMode="External" Id="rId4449"/><Relationship Type="http://schemas.openxmlformats.org/officeDocument/2006/relationships/hyperlink" Target="imagenes/NAUTICA_CLASSICS_117004093_BLK_2.jpg" TargetMode="External" Id="rId4450"/><Relationship Type="http://schemas.openxmlformats.org/officeDocument/2006/relationships/hyperlink" Target="imagenes/NAUTICA_CLASSICS_117004093_BLK_3.jpg" TargetMode="External" Id="rId4451"/><Relationship Type="http://schemas.openxmlformats.org/officeDocument/2006/relationships/hyperlink" Target="imagenes/NAUTICA_CLASSICS_117004093_BLK_1.jpg" TargetMode="External" Id="rId4452"/><Relationship Type="http://schemas.openxmlformats.org/officeDocument/2006/relationships/hyperlink" Target="imagenes/NAUTICA_CLASSICS_117004093_BLK_2.jpg" TargetMode="External" Id="rId4453"/><Relationship Type="http://schemas.openxmlformats.org/officeDocument/2006/relationships/hyperlink" Target="imagenes/NAUTICA_CLASSICS_117004093_BLK_3.jpg" TargetMode="External" Id="rId4454"/><Relationship Type="http://schemas.openxmlformats.org/officeDocument/2006/relationships/hyperlink" Target="imagenes/NAUTICA_CLASSICS_117004093_BLK_1.jpg" TargetMode="External" Id="rId4455"/><Relationship Type="http://schemas.openxmlformats.org/officeDocument/2006/relationships/hyperlink" Target="imagenes/NAUTICA_CLASSICS_117004093_BLK_2.jpg" TargetMode="External" Id="rId4456"/><Relationship Type="http://schemas.openxmlformats.org/officeDocument/2006/relationships/hyperlink" Target="imagenes/NAUTICA_CLASSICS_117004093_BLK_3.jpg" TargetMode="External" Id="rId4457"/><Relationship Type="http://schemas.openxmlformats.org/officeDocument/2006/relationships/hyperlink" Target="imagenes/NAUTICA_CLASSICS_117004093_BLK_1.jpg" TargetMode="External" Id="rId4458"/><Relationship Type="http://schemas.openxmlformats.org/officeDocument/2006/relationships/hyperlink" Target="imagenes/NAUTICA_CLASSICS_117004093_BLK_2.jpg" TargetMode="External" Id="rId4459"/><Relationship Type="http://schemas.openxmlformats.org/officeDocument/2006/relationships/hyperlink" Target="imagenes/NAUTICA_CLASSICS_117004093_BLK_3.jpg" TargetMode="External" Id="rId4460"/><Relationship Type="http://schemas.openxmlformats.org/officeDocument/2006/relationships/hyperlink" Target="imagenes/NAUTICA_CLASSICS_117004093_BLK_1.jpg" TargetMode="External" Id="rId4461"/><Relationship Type="http://schemas.openxmlformats.org/officeDocument/2006/relationships/hyperlink" Target="imagenes/NAUTICA_CLASSICS_117004093_BLK_2.jpg" TargetMode="External" Id="rId4462"/><Relationship Type="http://schemas.openxmlformats.org/officeDocument/2006/relationships/hyperlink" Target="imagenes/NAUTICA_CLASSICS_117004093_BLK_3.jpg" TargetMode="External" Id="rId4463"/><Relationship Type="http://schemas.openxmlformats.org/officeDocument/2006/relationships/hyperlink" Target="imagenes/NAUTICA_CLASSICS_117004093_BLK_1.jpg" TargetMode="External" Id="rId4464"/><Relationship Type="http://schemas.openxmlformats.org/officeDocument/2006/relationships/hyperlink" Target="imagenes/NAUTICA_CLASSICS_117004093_BLK_2.jpg" TargetMode="External" Id="rId4465"/><Relationship Type="http://schemas.openxmlformats.org/officeDocument/2006/relationships/hyperlink" Target="imagenes/NAUTICA_CLASSICS_117004093_BLK_3.jpg" TargetMode="External" Id="rId4466"/><Relationship Type="http://schemas.openxmlformats.org/officeDocument/2006/relationships/hyperlink" Target="imagenes/NAUTICA_CLASSICS_117004093_BLK_1.jpg" TargetMode="External" Id="rId4467"/><Relationship Type="http://schemas.openxmlformats.org/officeDocument/2006/relationships/hyperlink" Target="imagenes/NAUTICA_CLASSICS_117004093_BLK_2.jpg" TargetMode="External" Id="rId4468"/><Relationship Type="http://schemas.openxmlformats.org/officeDocument/2006/relationships/hyperlink" Target="imagenes/NAUTICA_CLASSICS_117004093_BLK_3.jpg" TargetMode="External" Id="rId4469"/><Relationship Type="http://schemas.openxmlformats.org/officeDocument/2006/relationships/hyperlink" Target="imagenes/NAUTICA_CLASSICS_117004093_BLK_1.jpg" TargetMode="External" Id="rId4470"/><Relationship Type="http://schemas.openxmlformats.org/officeDocument/2006/relationships/hyperlink" Target="imagenes/NAUTICA_CLASSICS_117004093_BLK_2.jpg" TargetMode="External" Id="rId4471"/><Relationship Type="http://schemas.openxmlformats.org/officeDocument/2006/relationships/hyperlink" Target="imagenes/NAUTICA_CLASSICS_117004093_BLK_3.jpg" TargetMode="External" Id="rId4472"/><Relationship Type="http://schemas.openxmlformats.org/officeDocument/2006/relationships/hyperlink" Target="imagenes/NAUTICA_CLASSICS_117004093_BLK_1.jpg" TargetMode="External" Id="rId4473"/><Relationship Type="http://schemas.openxmlformats.org/officeDocument/2006/relationships/hyperlink" Target="imagenes/NAUTICA_CLASSICS_117004093_BLK_2.jpg" TargetMode="External" Id="rId4474"/><Relationship Type="http://schemas.openxmlformats.org/officeDocument/2006/relationships/hyperlink" Target="imagenes/NAUTICA_CLASSICS_117004093_BLK_3.jpg" TargetMode="External" Id="rId4475"/><Relationship Type="http://schemas.openxmlformats.org/officeDocument/2006/relationships/hyperlink" Target="imagenes/NAUTICA_CLASSICS_117004093_BLK_1.jpg" TargetMode="External" Id="rId4476"/><Relationship Type="http://schemas.openxmlformats.org/officeDocument/2006/relationships/hyperlink" Target="imagenes/NAUTICA_CLASSICS_117004093_BLK_2.jpg" TargetMode="External" Id="rId4477"/><Relationship Type="http://schemas.openxmlformats.org/officeDocument/2006/relationships/hyperlink" Target="imagenes/NAUTICA_CLASSICS_117004093_BLK_3.jpg" TargetMode="External" Id="rId4478"/><Relationship Type="http://schemas.openxmlformats.org/officeDocument/2006/relationships/hyperlink" Target="imagenes/NAUTICA_CLASSICS_117004093_BLK_1.jpg" TargetMode="External" Id="rId4479"/><Relationship Type="http://schemas.openxmlformats.org/officeDocument/2006/relationships/hyperlink" Target="imagenes/NAUTICA_CLASSICS_117004093_BLK_2.jpg" TargetMode="External" Id="rId4480"/><Relationship Type="http://schemas.openxmlformats.org/officeDocument/2006/relationships/hyperlink" Target="imagenes/NAUTICA_CLASSICS_117004093_BLK_3.jpg" TargetMode="External" Id="rId4481"/><Relationship Type="http://schemas.openxmlformats.org/officeDocument/2006/relationships/hyperlink" Target="imagenes/NAUTICA_CLASSICS_117004093_BLK_1.jpg" TargetMode="External" Id="rId4482"/><Relationship Type="http://schemas.openxmlformats.org/officeDocument/2006/relationships/hyperlink" Target="imagenes/NAUTICA_CLASSICS_117004093_BLK_2.jpg" TargetMode="External" Id="rId4483"/><Relationship Type="http://schemas.openxmlformats.org/officeDocument/2006/relationships/hyperlink" Target="imagenes/NAUTICA_CLASSICS_117004093_BLK_3.jpg" TargetMode="External" Id="rId4484"/><Relationship Type="http://schemas.openxmlformats.org/officeDocument/2006/relationships/hyperlink" Target="imagenes/NAUTICA_CLASSICS_117004093_BLK_1.jpg" TargetMode="External" Id="rId4485"/><Relationship Type="http://schemas.openxmlformats.org/officeDocument/2006/relationships/hyperlink" Target="imagenes/NAUTICA_CLASSICS_117004093_BLK_2.jpg" TargetMode="External" Id="rId4486"/><Relationship Type="http://schemas.openxmlformats.org/officeDocument/2006/relationships/hyperlink" Target="imagenes/NAUTICA_CLASSICS_117004093_BLK_3.jpg" TargetMode="External" Id="rId4487"/><Relationship Type="http://schemas.openxmlformats.org/officeDocument/2006/relationships/hyperlink" Target="imagenes/NAUTICA_CLASSICS_117004093_BLK_1.jpg" TargetMode="External" Id="rId4488"/><Relationship Type="http://schemas.openxmlformats.org/officeDocument/2006/relationships/hyperlink" Target="imagenes/NAUTICA_CLASSICS_117004093_BLK_2.jpg" TargetMode="External" Id="rId4489"/><Relationship Type="http://schemas.openxmlformats.org/officeDocument/2006/relationships/hyperlink" Target="imagenes/NAUTICA_CLASSICS_117004093_BLK_3.jpg" TargetMode="External" Id="rId4490"/><Relationship Type="http://schemas.openxmlformats.org/officeDocument/2006/relationships/hyperlink" Target="imagenes/NAUTICA_CLASSICS_117004093_BLK_1.jpg" TargetMode="External" Id="rId4491"/><Relationship Type="http://schemas.openxmlformats.org/officeDocument/2006/relationships/hyperlink" Target="imagenes/NAUTICA_CLASSICS_117004093_BLK_2.jpg" TargetMode="External" Id="rId4492"/><Relationship Type="http://schemas.openxmlformats.org/officeDocument/2006/relationships/hyperlink" Target="imagenes/NAUTICA_CLASSICS_117004093_BLK_3.jpg" TargetMode="External" Id="rId4493"/><Relationship Type="http://schemas.openxmlformats.org/officeDocument/2006/relationships/hyperlink" Target="imagenes/NAUTICA_CLASSICS_117004093_BLK_1.jpg" TargetMode="External" Id="rId4494"/><Relationship Type="http://schemas.openxmlformats.org/officeDocument/2006/relationships/hyperlink" Target="imagenes/NAUTICA_CLASSICS_117004093_BLK_2.jpg" TargetMode="External" Id="rId4495"/><Relationship Type="http://schemas.openxmlformats.org/officeDocument/2006/relationships/hyperlink" Target="imagenes/NAUTICA_CLASSICS_117004093_BLK_3.jpg" TargetMode="External" Id="rId4496"/><Relationship Type="http://schemas.openxmlformats.org/officeDocument/2006/relationships/hyperlink" Target="imagenes/NAUTICA_CLASSICS_117004093_BLK_1.jpg" TargetMode="External" Id="rId4497"/><Relationship Type="http://schemas.openxmlformats.org/officeDocument/2006/relationships/hyperlink" Target="imagenes/NAUTICA_CLASSICS_117004093_BLK_2.jpg" TargetMode="External" Id="rId4498"/><Relationship Type="http://schemas.openxmlformats.org/officeDocument/2006/relationships/hyperlink" Target="imagenes/NAUTICA_CLASSICS_117004093_BLK_3.jpg" TargetMode="External" Id="rId4499"/><Relationship Type="http://schemas.openxmlformats.org/officeDocument/2006/relationships/hyperlink" Target="imagenes/NAUTICA_CLASSICS_117004093_BLK_1.jpg" TargetMode="External" Id="rId4500"/><Relationship Type="http://schemas.openxmlformats.org/officeDocument/2006/relationships/hyperlink" Target="imagenes/NAUTICA_CLASSICS_117004093_BLK_2.jpg" TargetMode="External" Id="rId4501"/><Relationship Type="http://schemas.openxmlformats.org/officeDocument/2006/relationships/hyperlink" Target="imagenes/NAUTICA_CLASSICS_117004093_BLK_3.jpg" TargetMode="External" Id="rId4502"/><Relationship Type="http://schemas.openxmlformats.org/officeDocument/2006/relationships/hyperlink" Target="imagenes/NAUTICA_CLASSICS_117004093_CTI_1.jpg" TargetMode="External" Id="rId4503"/><Relationship Type="http://schemas.openxmlformats.org/officeDocument/2006/relationships/hyperlink" Target="imagenes/NAUTICA_CLASSICS_117004093_CTI_2.jpg" TargetMode="External" Id="rId4504"/><Relationship Type="http://schemas.openxmlformats.org/officeDocument/2006/relationships/hyperlink" Target="imagenes/NAUTICA_CLASSICS_117004093_CTI_3.jpg" TargetMode="External" Id="rId4505"/><Relationship Type="http://schemas.openxmlformats.org/officeDocument/2006/relationships/hyperlink" Target="imagenes/NAUTICA_CLASSICS_117004093_CTI_1.jpg" TargetMode="External" Id="rId4506"/><Relationship Type="http://schemas.openxmlformats.org/officeDocument/2006/relationships/hyperlink" Target="imagenes/NAUTICA_CLASSICS_117004093_CTI_2.jpg" TargetMode="External" Id="rId4507"/><Relationship Type="http://schemas.openxmlformats.org/officeDocument/2006/relationships/hyperlink" Target="imagenes/NAUTICA_CLASSICS_117004093_CTI_3.jpg" TargetMode="External" Id="rId4508"/><Relationship Type="http://schemas.openxmlformats.org/officeDocument/2006/relationships/hyperlink" Target="imagenes/NAUTICA_CLASSICS_117004093_CTI_1.jpg" TargetMode="External" Id="rId4509"/><Relationship Type="http://schemas.openxmlformats.org/officeDocument/2006/relationships/hyperlink" Target="imagenes/NAUTICA_CLASSICS_117004093_CTI_2.jpg" TargetMode="External" Id="rId4510"/><Relationship Type="http://schemas.openxmlformats.org/officeDocument/2006/relationships/hyperlink" Target="imagenes/NAUTICA_CLASSICS_117004093_CTI_3.jpg" TargetMode="External" Id="rId4511"/><Relationship Type="http://schemas.openxmlformats.org/officeDocument/2006/relationships/hyperlink" Target="imagenes/NAUTICA_CLASSICS_117004093_CTI_1.jpg" TargetMode="External" Id="rId4512"/><Relationship Type="http://schemas.openxmlformats.org/officeDocument/2006/relationships/hyperlink" Target="imagenes/NAUTICA_CLASSICS_117004093_CTI_2.jpg" TargetMode="External" Id="rId4513"/><Relationship Type="http://schemas.openxmlformats.org/officeDocument/2006/relationships/hyperlink" Target="imagenes/NAUTICA_CLASSICS_117004093_CTI_3.jpg" TargetMode="External" Id="rId4514"/><Relationship Type="http://schemas.openxmlformats.org/officeDocument/2006/relationships/hyperlink" Target="imagenes/NAUTICA_CLASSICS_117004093_CTI_1.jpg" TargetMode="External" Id="rId4515"/><Relationship Type="http://schemas.openxmlformats.org/officeDocument/2006/relationships/hyperlink" Target="imagenes/NAUTICA_CLASSICS_117004093_CTI_2.jpg" TargetMode="External" Id="rId4516"/><Relationship Type="http://schemas.openxmlformats.org/officeDocument/2006/relationships/hyperlink" Target="imagenes/NAUTICA_CLASSICS_117004093_CTI_3.jpg" TargetMode="External" Id="rId4517"/><Relationship Type="http://schemas.openxmlformats.org/officeDocument/2006/relationships/hyperlink" Target="imagenes/NAUTICA_CLASSICS_117004093_CTI_1.jpg" TargetMode="External" Id="rId4518"/><Relationship Type="http://schemas.openxmlformats.org/officeDocument/2006/relationships/hyperlink" Target="imagenes/NAUTICA_CLASSICS_117004093_CTI_2.jpg" TargetMode="External" Id="rId4519"/><Relationship Type="http://schemas.openxmlformats.org/officeDocument/2006/relationships/hyperlink" Target="imagenes/NAUTICA_CLASSICS_117004093_CTI_3.jpg" TargetMode="External" Id="rId4520"/><Relationship Type="http://schemas.openxmlformats.org/officeDocument/2006/relationships/hyperlink" Target="imagenes/NAUTICA_CLASSICS_117004093_CTI_1.jpg" TargetMode="External" Id="rId4521"/><Relationship Type="http://schemas.openxmlformats.org/officeDocument/2006/relationships/hyperlink" Target="imagenes/NAUTICA_CLASSICS_117004093_CTI_2.jpg" TargetMode="External" Id="rId4522"/><Relationship Type="http://schemas.openxmlformats.org/officeDocument/2006/relationships/hyperlink" Target="imagenes/NAUTICA_CLASSICS_117004093_CTI_3.jpg" TargetMode="External" Id="rId4523"/><Relationship Type="http://schemas.openxmlformats.org/officeDocument/2006/relationships/hyperlink" Target="imagenes/NAUTICA_CLASSICS_117004093_CTI_1.jpg" TargetMode="External" Id="rId4524"/><Relationship Type="http://schemas.openxmlformats.org/officeDocument/2006/relationships/hyperlink" Target="imagenes/NAUTICA_CLASSICS_117004093_CTI_2.jpg" TargetMode="External" Id="rId4525"/><Relationship Type="http://schemas.openxmlformats.org/officeDocument/2006/relationships/hyperlink" Target="imagenes/NAUTICA_CLASSICS_117004093_CTI_3.jpg" TargetMode="External" Id="rId4526"/><Relationship Type="http://schemas.openxmlformats.org/officeDocument/2006/relationships/hyperlink" Target="imagenes/NAUTICA_CLASSICS_117004093_LMS_1.jpg" TargetMode="External" Id="rId4527"/><Relationship Type="http://schemas.openxmlformats.org/officeDocument/2006/relationships/hyperlink" Target="imagenes/NAUTICA_CLASSICS_117004093_LMS_2.jpg" TargetMode="External" Id="rId4528"/><Relationship Type="http://schemas.openxmlformats.org/officeDocument/2006/relationships/hyperlink" Target="imagenes/NAUTICA_CLASSICS_117004093_LMS_3.jpg" TargetMode="External" Id="rId4529"/><Relationship Type="http://schemas.openxmlformats.org/officeDocument/2006/relationships/hyperlink" Target="imagenes/NAUTICA_CLASSICS_117004093_LMS_1.jpg" TargetMode="External" Id="rId4530"/><Relationship Type="http://schemas.openxmlformats.org/officeDocument/2006/relationships/hyperlink" Target="imagenes/NAUTICA_CLASSICS_117004093_LMS_2.jpg" TargetMode="External" Id="rId4531"/><Relationship Type="http://schemas.openxmlformats.org/officeDocument/2006/relationships/hyperlink" Target="imagenes/NAUTICA_CLASSICS_117004093_LMS_3.jpg" TargetMode="External" Id="rId4532"/><Relationship Type="http://schemas.openxmlformats.org/officeDocument/2006/relationships/hyperlink" Target="imagenes/NAUTICA_CLASSICS_117004093_LMS_1.jpg" TargetMode="External" Id="rId4533"/><Relationship Type="http://schemas.openxmlformats.org/officeDocument/2006/relationships/hyperlink" Target="imagenes/NAUTICA_CLASSICS_117004093_LMS_2.jpg" TargetMode="External" Id="rId4534"/><Relationship Type="http://schemas.openxmlformats.org/officeDocument/2006/relationships/hyperlink" Target="imagenes/NAUTICA_CLASSICS_117004093_LMS_3.jpg" TargetMode="External" Id="rId4535"/><Relationship Type="http://schemas.openxmlformats.org/officeDocument/2006/relationships/hyperlink" Target="imagenes/NAUTICA_CLASSICS_117004093_LMS_1.jpg" TargetMode="External" Id="rId4536"/><Relationship Type="http://schemas.openxmlformats.org/officeDocument/2006/relationships/hyperlink" Target="imagenes/NAUTICA_CLASSICS_117004093_LMS_2.jpg" TargetMode="External" Id="rId4537"/><Relationship Type="http://schemas.openxmlformats.org/officeDocument/2006/relationships/hyperlink" Target="imagenes/NAUTICA_CLASSICS_117004093_LMS_3.jpg" TargetMode="External" Id="rId4538"/><Relationship Type="http://schemas.openxmlformats.org/officeDocument/2006/relationships/hyperlink" Target="imagenes/NAUTICA_CLASSICS_117004093_NSS_1.jpg" TargetMode="External" Id="rId4539"/><Relationship Type="http://schemas.openxmlformats.org/officeDocument/2006/relationships/hyperlink" Target="imagenes/NAUTICA_CLASSICS_117004093_NSS_2.jpg" TargetMode="External" Id="rId4540"/><Relationship Type="http://schemas.openxmlformats.org/officeDocument/2006/relationships/hyperlink" Target="imagenes/NAUTICA_CLASSICS_117004093_NSS_3.jpg" TargetMode="External" Id="rId4541"/><Relationship Type="http://schemas.openxmlformats.org/officeDocument/2006/relationships/hyperlink" Target="imagenes/NAUTICA_CLASSICS_117004093_NSS_1.jpg" TargetMode="External" Id="rId4542"/><Relationship Type="http://schemas.openxmlformats.org/officeDocument/2006/relationships/hyperlink" Target="imagenes/NAUTICA_CLASSICS_117004093_NSS_2.jpg" TargetMode="External" Id="rId4543"/><Relationship Type="http://schemas.openxmlformats.org/officeDocument/2006/relationships/hyperlink" Target="imagenes/NAUTICA_CLASSICS_117004093_NSS_3.jpg" TargetMode="External" Id="rId4544"/><Relationship Type="http://schemas.openxmlformats.org/officeDocument/2006/relationships/hyperlink" Target="imagenes/NAUTICA_CLASSICS_117004093_NSS_1.jpg" TargetMode="External" Id="rId4545"/><Relationship Type="http://schemas.openxmlformats.org/officeDocument/2006/relationships/hyperlink" Target="imagenes/NAUTICA_CLASSICS_117004093_NSS_2.jpg" TargetMode="External" Id="rId4546"/><Relationship Type="http://schemas.openxmlformats.org/officeDocument/2006/relationships/hyperlink" Target="imagenes/NAUTICA_CLASSICS_117004093_NSS_3.jpg" TargetMode="External" Id="rId4547"/><Relationship Type="http://schemas.openxmlformats.org/officeDocument/2006/relationships/hyperlink" Target="imagenes/NAUTICA_CLASSICS_117004093_NSS_1.jpg" TargetMode="External" Id="rId4548"/><Relationship Type="http://schemas.openxmlformats.org/officeDocument/2006/relationships/hyperlink" Target="imagenes/NAUTICA_CLASSICS_117004093_NSS_2.jpg" TargetMode="External" Id="rId4549"/><Relationship Type="http://schemas.openxmlformats.org/officeDocument/2006/relationships/hyperlink" Target="imagenes/NAUTICA_CLASSICS_117004093_NSS_3.jpg" TargetMode="External" Id="rId4550"/><Relationship Type="http://schemas.openxmlformats.org/officeDocument/2006/relationships/hyperlink" Target="imagenes/NAUTICA_CLASSICS_117004093_NSS_1.jpg" TargetMode="External" Id="rId4551"/><Relationship Type="http://schemas.openxmlformats.org/officeDocument/2006/relationships/hyperlink" Target="imagenes/NAUTICA_CLASSICS_117004093_NSS_2.jpg" TargetMode="External" Id="rId4552"/><Relationship Type="http://schemas.openxmlformats.org/officeDocument/2006/relationships/hyperlink" Target="imagenes/NAUTICA_CLASSICS_117004093_NSS_3.jpg" TargetMode="External" Id="rId4553"/><Relationship Type="http://schemas.openxmlformats.org/officeDocument/2006/relationships/hyperlink" Target="imagenes/NAUTICA_CLASSICS_117004093_NSS_1.jpg" TargetMode="External" Id="rId4554"/><Relationship Type="http://schemas.openxmlformats.org/officeDocument/2006/relationships/hyperlink" Target="imagenes/NAUTICA_CLASSICS_117004093_NSS_2.jpg" TargetMode="External" Id="rId4555"/><Relationship Type="http://schemas.openxmlformats.org/officeDocument/2006/relationships/hyperlink" Target="imagenes/NAUTICA_CLASSICS_117004093_NSS_3.jpg" TargetMode="External" Id="rId4556"/><Relationship Type="http://schemas.openxmlformats.org/officeDocument/2006/relationships/hyperlink" Target="imagenes/NAUTICA_CLASSICS_117004093_NSS_1.jpg" TargetMode="External" Id="rId4557"/><Relationship Type="http://schemas.openxmlformats.org/officeDocument/2006/relationships/hyperlink" Target="imagenes/NAUTICA_CLASSICS_117004093_NSS_2.jpg" TargetMode="External" Id="rId4558"/><Relationship Type="http://schemas.openxmlformats.org/officeDocument/2006/relationships/hyperlink" Target="imagenes/NAUTICA_CLASSICS_117004093_NSS_3.jpg" TargetMode="External" Id="rId4559"/><Relationship Type="http://schemas.openxmlformats.org/officeDocument/2006/relationships/hyperlink" Target="imagenes/NAUTICA_CLASSICS_117004093_NSS_1.jpg" TargetMode="External" Id="rId4560"/><Relationship Type="http://schemas.openxmlformats.org/officeDocument/2006/relationships/hyperlink" Target="imagenes/NAUTICA_CLASSICS_117004093_NSS_2.jpg" TargetMode="External" Id="rId4561"/><Relationship Type="http://schemas.openxmlformats.org/officeDocument/2006/relationships/hyperlink" Target="imagenes/NAUTICA_CLASSICS_117004093_NSS_3.jpg" TargetMode="External" Id="rId4562"/><Relationship Type="http://schemas.openxmlformats.org/officeDocument/2006/relationships/hyperlink" Target="imagenes/NAUTICA_CLASSICS_117004093_NSS_1.jpg" TargetMode="External" Id="rId4563"/><Relationship Type="http://schemas.openxmlformats.org/officeDocument/2006/relationships/hyperlink" Target="imagenes/NAUTICA_CLASSICS_117004093_NSS_2.jpg" TargetMode="External" Id="rId4564"/><Relationship Type="http://schemas.openxmlformats.org/officeDocument/2006/relationships/hyperlink" Target="imagenes/NAUTICA_CLASSICS_117004093_NSS_3.jpg" TargetMode="External" Id="rId4565"/><Relationship Type="http://schemas.openxmlformats.org/officeDocument/2006/relationships/hyperlink" Target="imagenes/NAUTICA_CLASSICS_117004093_NSS_1.jpg" TargetMode="External" Id="rId4566"/><Relationship Type="http://schemas.openxmlformats.org/officeDocument/2006/relationships/hyperlink" Target="imagenes/NAUTICA_CLASSICS_117004093_NSS_2.jpg" TargetMode="External" Id="rId4567"/><Relationship Type="http://schemas.openxmlformats.org/officeDocument/2006/relationships/hyperlink" Target="imagenes/NAUTICA_CLASSICS_117004093_NSS_3.jpg" TargetMode="External" Id="rId4568"/><Relationship Type="http://schemas.openxmlformats.org/officeDocument/2006/relationships/hyperlink" Target="imagenes/NAUTICA_CLASSICS_117004093_NSS_1.jpg" TargetMode="External" Id="rId4569"/><Relationship Type="http://schemas.openxmlformats.org/officeDocument/2006/relationships/hyperlink" Target="imagenes/NAUTICA_CLASSICS_117004093_NSS_2.jpg" TargetMode="External" Id="rId4570"/><Relationship Type="http://schemas.openxmlformats.org/officeDocument/2006/relationships/hyperlink" Target="imagenes/NAUTICA_CLASSICS_117004093_NSS_3.jpg" TargetMode="External" Id="rId4571"/><Relationship Type="http://schemas.openxmlformats.org/officeDocument/2006/relationships/hyperlink" Target="imagenes/NAUTICA_CLASSICS_117004093_NSS_1.jpg" TargetMode="External" Id="rId4572"/><Relationship Type="http://schemas.openxmlformats.org/officeDocument/2006/relationships/hyperlink" Target="imagenes/NAUTICA_CLASSICS_117004093_NSS_2.jpg" TargetMode="External" Id="rId4573"/><Relationship Type="http://schemas.openxmlformats.org/officeDocument/2006/relationships/hyperlink" Target="imagenes/NAUTICA_CLASSICS_117004093_NSS_3.jpg" TargetMode="External" Id="rId4574"/><Relationship Type="http://schemas.openxmlformats.org/officeDocument/2006/relationships/hyperlink" Target="imagenes/NAUTICA_CLASSICS_117004093_NSS_1.jpg" TargetMode="External" Id="rId4575"/><Relationship Type="http://schemas.openxmlformats.org/officeDocument/2006/relationships/hyperlink" Target="imagenes/NAUTICA_CLASSICS_117004093_NSS_2.jpg" TargetMode="External" Id="rId4576"/><Relationship Type="http://schemas.openxmlformats.org/officeDocument/2006/relationships/hyperlink" Target="imagenes/NAUTICA_CLASSICS_117004093_NSS_3.jpg" TargetMode="External" Id="rId4577"/><Relationship Type="http://schemas.openxmlformats.org/officeDocument/2006/relationships/hyperlink" Target="imagenes/NAUTICA_CLASSICS_117004093_SW4_1.jpg" TargetMode="External" Id="rId4578"/><Relationship Type="http://schemas.openxmlformats.org/officeDocument/2006/relationships/hyperlink" Target="imagenes/NAUTICA_CLASSICS_117004093_SW4_2.jpg" TargetMode="External" Id="rId4579"/><Relationship Type="http://schemas.openxmlformats.org/officeDocument/2006/relationships/hyperlink" Target="imagenes/NAUTICA_CLASSICS_117004093_SW4_3.jpg" TargetMode="External" Id="rId4580"/><Relationship Type="http://schemas.openxmlformats.org/officeDocument/2006/relationships/hyperlink" Target="imagenes/NAUTICA_CLASSICS_117004093_SW4_1.jpg" TargetMode="External" Id="rId4581"/><Relationship Type="http://schemas.openxmlformats.org/officeDocument/2006/relationships/hyperlink" Target="imagenes/NAUTICA_CLASSICS_117004093_SW4_2.jpg" TargetMode="External" Id="rId4582"/><Relationship Type="http://schemas.openxmlformats.org/officeDocument/2006/relationships/hyperlink" Target="imagenes/NAUTICA_CLASSICS_117004093_SW4_3.jpg" TargetMode="External" Id="rId4583"/><Relationship Type="http://schemas.openxmlformats.org/officeDocument/2006/relationships/hyperlink" Target="imagenes/NAUTICA_CLASSICS_117004093_SW4_1.jpg" TargetMode="External" Id="rId4584"/><Relationship Type="http://schemas.openxmlformats.org/officeDocument/2006/relationships/hyperlink" Target="imagenes/NAUTICA_CLASSICS_117004093_SW4_2.jpg" TargetMode="External" Id="rId4585"/><Relationship Type="http://schemas.openxmlformats.org/officeDocument/2006/relationships/hyperlink" Target="imagenes/NAUTICA_CLASSICS_117004093_SW4_3.jpg" TargetMode="External" Id="rId4586"/><Relationship Type="http://schemas.openxmlformats.org/officeDocument/2006/relationships/hyperlink" Target="imagenes/NAUTICA_CLASSICS_117004093_SW4_1.jpg" TargetMode="External" Id="rId4587"/><Relationship Type="http://schemas.openxmlformats.org/officeDocument/2006/relationships/hyperlink" Target="imagenes/NAUTICA_CLASSICS_117004093_SW4_2.jpg" TargetMode="External" Id="rId4588"/><Relationship Type="http://schemas.openxmlformats.org/officeDocument/2006/relationships/hyperlink" Target="imagenes/NAUTICA_CLASSICS_117004093_SW4_3.jpg" TargetMode="External" Id="rId4589"/><Relationship Type="http://schemas.openxmlformats.org/officeDocument/2006/relationships/hyperlink" Target="imagenes/NAUTICA_CLASSICS_117004093_SW4_1.jpg" TargetMode="External" Id="rId4590"/><Relationship Type="http://schemas.openxmlformats.org/officeDocument/2006/relationships/hyperlink" Target="imagenes/NAUTICA_CLASSICS_117004093_SW4_2.jpg" TargetMode="External" Id="rId4591"/><Relationship Type="http://schemas.openxmlformats.org/officeDocument/2006/relationships/hyperlink" Target="imagenes/NAUTICA_CLASSICS_117004093_SW4_3.jpg" TargetMode="External" Id="rId4592"/><Relationship Type="http://schemas.openxmlformats.org/officeDocument/2006/relationships/hyperlink" Target="imagenes/NAUTICA_CLASSICS_117004093_SW4_1.jpg" TargetMode="External" Id="rId4593"/><Relationship Type="http://schemas.openxmlformats.org/officeDocument/2006/relationships/hyperlink" Target="imagenes/NAUTICA_CLASSICS_117004093_SW4_2.jpg" TargetMode="External" Id="rId4594"/><Relationship Type="http://schemas.openxmlformats.org/officeDocument/2006/relationships/hyperlink" Target="imagenes/NAUTICA_CLASSICS_117004093_SW4_3.jpg" TargetMode="External" Id="rId4595"/><Relationship Type="http://schemas.openxmlformats.org/officeDocument/2006/relationships/hyperlink" Target="imagenes/NAUTICA_CLASSICS_117004093_SW4_1.jpg" TargetMode="External" Id="rId4596"/><Relationship Type="http://schemas.openxmlformats.org/officeDocument/2006/relationships/hyperlink" Target="imagenes/NAUTICA_CLASSICS_117004093_SW4_2.jpg" TargetMode="External" Id="rId4597"/><Relationship Type="http://schemas.openxmlformats.org/officeDocument/2006/relationships/hyperlink" Target="imagenes/NAUTICA_CLASSICS_117004093_SW4_3.jpg" TargetMode="External" Id="rId4598"/><Relationship Type="http://schemas.openxmlformats.org/officeDocument/2006/relationships/hyperlink" Target="imagenes/NAUTICA_CLASSICS_117004093_SW4_1.jpg" TargetMode="External" Id="rId4599"/><Relationship Type="http://schemas.openxmlformats.org/officeDocument/2006/relationships/hyperlink" Target="imagenes/NAUTICA_CLASSICS_117004093_SW4_2.jpg" TargetMode="External" Id="rId4600"/><Relationship Type="http://schemas.openxmlformats.org/officeDocument/2006/relationships/hyperlink" Target="imagenes/NAUTICA_CLASSICS_117004093_SW4_3.jpg" TargetMode="External" Id="rId4601"/><Relationship Type="http://schemas.openxmlformats.org/officeDocument/2006/relationships/hyperlink" Target="imagenes/NAUTICA_CLASSICS_117004093_SW4_1.jpg" TargetMode="External" Id="rId4602"/><Relationship Type="http://schemas.openxmlformats.org/officeDocument/2006/relationships/hyperlink" Target="imagenes/NAUTICA_CLASSICS_117004093_SW4_2.jpg" TargetMode="External" Id="rId4603"/><Relationship Type="http://schemas.openxmlformats.org/officeDocument/2006/relationships/hyperlink" Target="imagenes/NAUTICA_CLASSICS_117004093_SW4_3.jpg" TargetMode="External" Id="rId4604"/><Relationship Type="http://schemas.openxmlformats.org/officeDocument/2006/relationships/hyperlink" Target="imagenes/NAUTICA_CLASSICS_117004093_SW4_1.jpg" TargetMode="External" Id="rId4605"/><Relationship Type="http://schemas.openxmlformats.org/officeDocument/2006/relationships/hyperlink" Target="imagenes/NAUTICA_CLASSICS_117004093_SW4_2.jpg" TargetMode="External" Id="rId4606"/><Relationship Type="http://schemas.openxmlformats.org/officeDocument/2006/relationships/hyperlink" Target="imagenes/NAUTICA_CLASSICS_117004093_SW4_3.jpg" TargetMode="External" Id="rId4607"/><Relationship Type="http://schemas.openxmlformats.org/officeDocument/2006/relationships/hyperlink" Target="imagenes/NAUTICA_CLASSICS_117004093_SW4_1.jpg" TargetMode="External" Id="rId4608"/><Relationship Type="http://schemas.openxmlformats.org/officeDocument/2006/relationships/hyperlink" Target="imagenes/NAUTICA_CLASSICS_117004093_SW4_2.jpg" TargetMode="External" Id="rId4609"/><Relationship Type="http://schemas.openxmlformats.org/officeDocument/2006/relationships/hyperlink" Target="imagenes/NAUTICA_CLASSICS_117004093_SW4_3.jpg" TargetMode="External" Id="rId4610"/><Relationship Type="http://schemas.openxmlformats.org/officeDocument/2006/relationships/hyperlink" Target="imagenes/NAUTICA_CLASSICS_117004093_SW4_1.jpg" TargetMode="External" Id="rId4611"/><Relationship Type="http://schemas.openxmlformats.org/officeDocument/2006/relationships/hyperlink" Target="imagenes/NAUTICA_CLASSICS_117004093_SW4_2.jpg" TargetMode="External" Id="rId4612"/><Relationship Type="http://schemas.openxmlformats.org/officeDocument/2006/relationships/hyperlink" Target="imagenes/NAUTICA_CLASSICS_117004093_SW4_3.jpg" TargetMode="External" Id="rId4613"/><Relationship Type="http://schemas.openxmlformats.org/officeDocument/2006/relationships/hyperlink" Target="imagenes/NAUTICA_CLASSICS_117004093_SW4_1.jpg" TargetMode="External" Id="rId4614"/><Relationship Type="http://schemas.openxmlformats.org/officeDocument/2006/relationships/hyperlink" Target="imagenes/NAUTICA_CLASSICS_117004093_SW4_2.jpg" TargetMode="External" Id="rId4615"/><Relationship Type="http://schemas.openxmlformats.org/officeDocument/2006/relationships/hyperlink" Target="imagenes/NAUTICA_CLASSICS_117004093_SW4_3.jpg" TargetMode="External" Id="rId4616"/><Relationship Type="http://schemas.openxmlformats.org/officeDocument/2006/relationships/hyperlink" Target="imagenes/NAUTICA_CLASSICS_117004093_SW4_1.jpg" TargetMode="External" Id="rId4617"/><Relationship Type="http://schemas.openxmlformats.org/officeDocument/2006/relationships/hyperlink" Target="imagenes/NAUTICA_CLASSICS_117004093_SW4_2.jpg" TargetMode="External" Id="rId4618"/><Relationship Type="http://schemas.openxmlformats.org/officeDocument/2006/relationships/hyperlink" Target="imagenes/NAUTICA_CLASSICS_117004093_SW4_3.jpg" TargetMode="External" Id="rId4619"/><Relationship Type="http://schemas.openxmlformats.org/officeDocument/2006/relationships/hyperlink" Target="imagenes/NAUTICA_CLASSICS_117004093_SW4_1.jpg" TargetMode="External" Id="rId4620"/><Relationship Type="http://schemas.openxmlformats.org/officeDocument/2006/relationships/hyperlink" Target="imagenes/NAUTICA_CLASSICS_117004093_SW4_2.jpg" TargetMode="External" Id="rId4621"/><Relationship Type="http://schemas.openxmlformats.org/officeDocument/2006/relationships/hyperlink" Target="imagenes/NAUTICA_CLASSICS_117004093_SW4_3.jpg" TargetMode="External" Id="rId4622"/><Relationship Type="http://schemas.openxmlformats.org/officeDocument/2006/relationships/hyperlink" Target="imagenes/NAUTICA_CLASSICS_117004093_SW4_1.jpg" TargetMode="External" Id="rId4623"/><Relationship Type="http://schemas.openxmlformats.org/officeDocument/2006/relationships/hyperlink" Target="imagenes/NAUTICA_CLASSICS_117004093_SW4_2.jpg" TargetMode="External" Id="rId4624"/><Relationship Type="http://schemas.openxmlformats.org/officeDocument/2006/relationships/hyperlink" Target="imagenes/NAUTICA_CLASSICS_117004093_SW4_3.jpg" TargetMode="External" Id="rId4625"/><Relationship Type="http://schemas.openxmlformats.org/officeDocument/2006/relationships/hyperlink" Target="imagenes/NAUTICA_CLASSICS_117004093_SW4_1.jpg" TargetMode="External" Id="rId4626"/><Relationship Type="http://schemas.openxmlformats.org/officeDocument/2006/relationships/hyperlink" Target="imagenes/NAUTICA_CLASSICS_117004093_SW4_2.jpg" TargetMode="External" Id="rId4627"/><Relationship Type="http://schemas.openxmlformats.org/officeDocument/2006/relationships/hyperlink" Target="imagenes/NAUTICA_CLASSICS_117004093_SW4_3.jpg" TargetMode="External" Id="rId4628"/><Relationship Type="http://schemas.openxmlformats.org/officeDocument/2006/relationships/hyperlink" Target="imagenes/NAUTICA_CLASSICS_117004093_SW4_1.jpg" TargetMode="External" Id="rId4629"/><Relationship Type="http://schemas.openxmlformats.org/officeDocument/2006/relationships/hyperlink" Target="imagenes/NAUTICA_CLASSICS_117004093_SW4_2.jpg" TargetMode="External" Id="rId4630"/><Relationship Type="http://schemas.openxmlformats.org/officeDocument/2006/relationships/hyperlink" Target="imagenes/NAUTICA_CLASSICS_117004093_SW4_3.jpg" TargetMode="External" Id="rId4631"/><Relationship Type="http://schemas.openxmlformats.org/officeDocument/2006/relationships/hyperlink" Target="imagenes/NAUTICA_CLASSICS_117004220_B4K_1.jpg" TargetMode="External" Id="rId4632"/><Relationship Type="http://schemas.openxmlformats.org/officeDocument/2006/relationships/hyperlink" Target="imagenes/NAUTICA_CLASSICS_117004220_B4K_2.jpg" TargetMode="External" Id="rId4633"/><Relationship Type="http://schemas.openxmlformats.org/officeDocument/2006/relationships/hyperlink" Target="imagenes/NAUTICA_CLASSICS_117004220_B4K_3.jpg" TargetMode="External" Id="rId4634"/><Relationship Type="http://schemas.openxmlformats.org/officeDocument/2006/relationships/hyperlink" Target="imagenes/NAUTICA_CLASSICS_117004220_B4K_1.jpg" TargetMode="External" Id="rId4635"/><Relationship Type="http://schemas.openxmlformats.org/officeDocument/2006/relationships/hyperlink" Target="imagenes/NAUTICA_CLASSICS_117004220_B4K_2.jpg" TargetMode="External" Id="rId4636"/><Relationship Type="http://schemas.openxmlformats.org/officeDocument/2006/relationships/hyperlink" Target="imagenes/NAUTICA_CLASSICS_117004220_B4K_3.jpg" TargetMode="External" Id="rId4637"/><Relationship Type="http://schemas.openxmlformats.org/officeDocument/2006/relationships/hyperlink" Target="imagenes/NAUTICA_CLASSICS_117004220_BLK_1.jpg" TargetMode="External" Id="rId4638"/><Relationship Type="http://schemas.openxmlformats.org/officeDocument/2006/relationships/hyperlink" Target="imagenes/NAUTICA_CLASSICS_117004220_BLK_2.jpg" TargetMode="External" Id="rId4639"/><Relationship Type="http://schemas.openxmlformats.org/officeDocument/2006/relationships/hyperlink" Target="imagenes/NAUTICA_CLASSICS_117004220_BLK_3.jpg" TargetMode="External" Id="rId4640"/><Relationship Type="http://schemas.openxmlformats.org/officeDocument/2006/relationships/hyperlink" Target="imagenes/NAUTICA_CLASSICS_117004220_BLK_1.jpg" TargetMode="External" Id="rId4641"/><Relationship Type="http://schemas.openxmlformats.org/officeDocument/2006/relationships/hyperlink" Target="imagenes/NAUTICA_CLASSICS_117004220_BLK_2.jpg" TargetMode="External" Id="rId4642"/><Relationship Type="http://schemas.openxmlformats.org/officeDocument/2006/relationships/hyperlink" Target="imagenes/NAUTICA_CLASSICS_117004220_BLK_3.jpg" TargetMode="External" Id="rId4643"/><Relationship Type="http://schemas.openxmlformats.org/officeDocument/2006/relationships/hyperlink" Target="imagenes/NAUTICA_CLASSICS_117004220_BLK_1.jpg" TargetMode="External" Id="rId4644"/><Relationship Type="http://schemas.openxmlformats.org/officeDocument/2006/relationships/hyperlink" Target="imagenes/NAUTICA_CLASSICS_117004220_BLK_2.jpg" TargetMode="External" Id="rId4645"/><Relationship Type="http://schemas.openxmlformats.org/officeDocument/2006/relationships/hyperlink" Target="imagenes/NAUTICA_CLASSICS_117004220_BLK_3.jpg" TargetMode="External" Id="rId4646"/><Relationship Type="http://schemas.openxmlformats.org/officeDocument/2006/relationships/hyperlink" Target="imagenes/NAUTICA_CLASSICS_117004220_BLK_1.jpg" TargetMode="External" Id="rId4647"/><Relationship Type="http://schemas.openxmlformats.org/officeDocument/2006/relationships/hyperlink" Target="imagenes/NAUTICA_CLASSICS_117004220_BLK_2.jpg" TargetMode="External" Id="rId4648"/><Relationship Type="http://schemas.openxmlformats.org/officeDocument/2006/relationships/hyperlink" Target="imagenes/NAUTICA_CLASSICS_117004220_BLK_3.jpg" TargetMode="External" Id="rId4649"/><Relationship Type="http://schemas.openxmlformats.org/officeDocument/2006/relationships/hyperlink" Target="imagenes/NAUTICA_CLASSICS_117004220_BLK_1.jpg" TargetMode="External" Id="rId4650"/><Relationship Type="http://schemas.openxmlformats.org/officeDocument/2006/relationships/hyperlink" Target="imagenes/NAUTICA_CLASSICS_117004220_BLK_2.jpg" TargetMode="External" Id="rId4651"/><Relationship Type="http://schemas.openxmlformats.org/officeDocument/2006/relationships/hyperlink" Target="imagenes/NAUTICA_CLASSICS_117004220_BLK_3.jpg" TargetMode="External" Id="rId4652"/><Relationship Type="http://schemas.openxmlformats.org/officeDocument/2006/relationships/hyperlink" Target="imagenes/NAUTICA_CLASSICS_117004220_BLK_1.jpg" TargetMode="External" Id="rId4653"/><Relationship Type="http://schemas.openxmlformats.org/officeDocument/2006/relationships/hyperlink" Target="imagenes/NAUTICA_CLASSICS_117004220_BLK_2.jpg" TargetMode="External" Id="rId4654"/><Relationship Type="http://schemas.openxmlformats.org/officeDocument/2006/relationships/hyperlink" Target="imagenes/NAUTICA_CLASSICS_117004220_BLK_3.jpg" TargetMode="External" Id="rId4655"/><Relationship Type="http://schemas.openxmlformats.org/officeDocument/2006/relationships/hyperlink" Target="imagenes/NAUTICA_CLASSICS_117004220_BLK_1.jpg" TargetMode="External" Id="rId4656"/><Relationship Type="http://schemas.openxmlformats.org/officeDocument/2006/relationships/hyperlink" Target="imagenes/NAUTICA_CLASSICS_117004220_BLK_2.jpg" TargetMode="External" Id="rId4657"/><Relationship Type="http://schemas.openxmlformats.org/officeDocument/2006/relationships/hyperlink" Target="imagenes/NAUTICA_CLASSICS_117004220_BLK_3.jpg" TargetMode="External" Id="rId4658"/><Relationship Type="http://schemas.openxmlformats.org/officeDocument/2006/relationships/hyperlink" Target="imagenes/NAUTICA_CLASSICS_117004220_BLK_1.jpg" TargetMode="External" Id="rId4659"/><Relationship Type="http://schemas.openxmlformats.org/officeDocument/2006/relationships/hyperlink" Target="imagenes/NAUTICA_CLASSICS_117004220_BLK_2.jpg" TargetMode="External" Id="rId4660"/><Relationship Type="http://schemas.openxmlformats.org/officeDocument/2006/relationships/hyperlink" Target="imagenes/NAUTICA_CLASSICS_117004220_BLK_3.jpg" TargetMode="External" Id="rId4661"/><Relationship Type="http://schemas.openxmlformats.org/officeDocument/2006/relationships/hyperlink" Target="imagenes/NAUTICA_CLASSICS_117004220_BLK_1.jpg" TargetMode="External" Id="rId4662"/><Relationship Type="http://schemas.openxmlformats.org/officeDocument/2006/relationships/hyperlink" Target="imagenes/NAUTICA_CLASSICS_117004220_BLK_2.jpg" TargetMode="External" Id="rId4663"/><Relationship Type="http://schemas.openxmlformats.org/officeDocument/2006/relationships/hyperlink" Target="imagenes/NAUTICA_CLASSICS_117004220_BLK_3.jpg" TargetMode="External" Id="rId4664"/><Relationship Type="http://schemas.openxmlformats.org/officeDocument/2006/relationships/hyperlink" Target="imagenes/NAUTICA_CLASSICS_117004220_BLK_1.jpg" TargetMode="External" Id="rId4665"/><Relationship Type="http://schemas.openxmlformats.org/officeDocument/2006/relationships/hyperlink" Target="imagenes/NAUTICA_CLASSICS_117004220_BLK_2.jpg" TargetMode="External" Id="rId4666"/><Relationship Type="http://schemas.openxmlformats.org/officeDocument/2006/relationships/hyperlink" Target="imagenes/NAUTICA_CLASSICS_117004220_BLK_3.jpg" TargetMode="External" Id="rId4667"/><Relationship Type="http://schemas.openxmlformats.org/officeDocument/2006/relationships/hyperlink" Target="imagenes/NAUTICA_CLASSICS_117004220_BLK_1.jpg" TargetMode="External" Id="rId4668"/><Relationship Type="http://schemas.openxmlformats.org/officeDocument/2006/relationships/hyperlink" Target="imagenes/NAUTICA_CLASSICS_117004220_BLK_2.jpg" TargetMode="External" Id="rId4669"/><Relationship Type="http://schemas.openxmlformats.org/officeDocument/2006/relationships/hyperlink" Target="imagenes/NAUTICA_CLASSICS_117004220_BLK_3.jpg" TargetMode="External" Id="rId4670"/><Relationship Type="http://schemas.openxmlformats.org/officeDocument/2006/relationships/hyperlink" Target="imagenes/NAUTICA_CLASSICS_117004220_NAR_1.jpg" TargetMode="External" Id="rId4671"/><Relationship Type="http://schemas.openxmlformats.org/officeDocument/2006/relationships/hyperlink" Target="imagenes/NAUTICA_CLASSICS_117004220_NAR_2.jpg" TargetMode="External" Id="rId4672"/><Relationship Type="http://schemas.openxmlformats.org/officeDocument/2006/relationships/hyperlink" Target="imagenes/NAUTICA_CLASSICS_117004220_NAR_3.jpg" TargetMode="External" Id="rId4673"/><Relationship Type="http://schemas.openxmlformats.org/officeDocument/2006/relationships/hyperlink" Target="imagenes/NAUTICA_CLASSICS_117004220_NAR_1.jpg" TargetMode="External" Id="rId4674"/><Relationship Type="http://schemas.openxmlformats.org/officeDocument/2006/relationships/hyperlink" Target="imagenes/NAUTICA_CLASSICS_117004220_NAR_2.jpg" TargetMode="External" Id="rId4675"/><Relationship Type="http://schemas.openxmlformats.org/officeDocument/2006/relationships/hyperlink" Target="imagenes/NAUTICA_CLASSICS_117004220_NAR_3.jpg" TargetMode="External" Id="rId4676"/><Relationship Type="http://schemas.openxmlformats.org/officeDocument/2006/relationships/hyperlink" Target="imagenes/NAUTICA_CLASSICS_117004220_NAR_1.jpg" TargetMode="External" Id="rId4677"/><Relationship Type="http://schemas.openxmlformats.org/officeDocument/2006/relationships/hyperlink" Target="imagenes/NAUTICA_CLASSICS_117004220_NAR_2.jpg" TargetMode="External" Id="rId4678"/><Relationship Type="http://schemas.openxmlformats.org/officeDocument/2006/relationships/hyperlink" Target="imagenes/NAUTICA_CLASSICS_117004220_NAR_3.jpg" TargetMode="External" Id="rId4679"/><Relationship Type="http://schemas.openxmlformats.org/officeDocument/2006/relationships/hyperlink" Target="imagenes/NAUTICA_CLASSICS_117004220_NAR_1.jpg" TargetMode="External" Id="rId4680"/><Relationship Type="http://schemas.openxmlformats.org/officeDocument/2006/relationships/hyperlink" Target="imagenes/NAUTICA_CLASSICS_117004220_NAR_2.jpg" TargetMode="External" Id="rId4681"/><Relationship Type="http://schemas.openxmlformats.org/officeDocument/2006/relationships/hyperlink" Target="imagenes/NAUTICA_CLASSICS_117004220_NAR_3.jpg" TargetMode="External" Id="rId4682"/><Relationship Type="http://schemas.openxmlformats.org/officeDocument/2006/relationships/hyperlink" Target="imagenes/NAUTICA_CLASSICS_117004220_NAR_1.jpg" TargetMode="External" Id="rId4683"/><Relationship Type="http://schemas.openxmlformats.org/officeDocument/2006/relationships/hyperlink" Target="imagenes/NAUTICA_CLASSICS_117004220_NAR_2.jpg" TargetMode="External" Id="rId4684"/><Relationship Type="http://schemas.openxmlformats.org/officeDocument/2006/relationships/hyperlink" Target="imagenes/NAUTICA_CLASSICS_117004220_NAR_3.jpg" TargetMode="External" Id="rId4685"/><Relationship Type="http://schemas.openxmlformats.org/officeDocument/2006/relationships/hyperlink" Target="imagenes/NAUTICA_CLASSICS_117004220_NAR_1.jpg" TargetMode="External" Id="rId4686"/><Relationship Type="http://schemas.openxmlformats.org/officeDocument/2006/relationships/hyperlink" Target="imagenes/NAUTICA_CLASSICS_117004220_NAR_2.jpg" TargetMode="External" Id="rId4687"/><Relationship Type="http://schemas.openxmlformats.org/officeDocument/2006/relationships/hyperlink" Target="imagenes/NAUTICA_CLASSICS_117004220_NAR_3.jpg" TargetMode="External" Id="rId4688"/><Relationship Type="http://schemas.openxmlformats.org/officeDocument/2006/relationships/hyperlink" Target="imagenes/NAUTICA_CLASSICS_117004220_NAR_1.jpg" TargetMode="External" Id="rId4689"/><Relationship Type="http://schemas.openxmlformats.org/officeDocument/2006/relationships/hyperlink" Target="imagenes/NAUTICA_CLASSICS_117004220_NAR_2.jpg" TargetMode="External" Id="rId4690"/><Relationship Type="http://schemas.openxmlformats.org/officeDocument/2006/relationships/hyperlink" Target="imagenes/NAUTICA_CLASSICS_117004220_NAR_3.jpg" TargetMode="External" Id="rId4691"/><Relationship Type="http://schemas.openxmlformats.org/officeDocument/2006/relationships/hyperlink" Target="imagenes/NAUTICA_CLASSICS_117004220_NAR_1.jpg" TargetMode="External" Id="rId4692"/><Relationship Type="http://schemas.openxmlformats.org/officeDocument/2006/relationships/hyperlink" Target="imagenes/NAUTICA_CLASSICS_117004220_NAR_2.jpg" TargetMode="External" Id="rId4693"/><Relationship Type="http://schemas.openxmlformats.org/officeDocument/2006/relationships/hyperlink" Target="imagenes/NAUTICA_CLASSICS_117004220_NAR_3.jpg" TargetMode="External" Id="rId4694"/><Relationship Type="http://schemas.openxmlformats.org/officeDocument/2006/relationships/hyperlink" Target="imagenes/NAUTICA_CLASSICS_117004220_NAR_1.jpg" TargetMode="External" Id="rId4695"/><Relationship Type="http://schemas.openxmlformats.org/officeDocument/2006/relationships/hyperlink" Target="imagenes/NAUTICA_CLASSICS_117004220_NAR_2.jpg" TargetMode="External" Id="rId4696"/><Relationship Type="http://schemas.openxmlformats.org/officeDocument/2006/relationships/hyperlink" Target="imagenes/NAUTICA_CLASSICS_117004220_NAR_3.jpg" TargetMode="External" Id="rId4697"/><Relationship Type="http://schemas.openxmlformats.org/officeDocument/2006/relationships/hyperlink" Target="imagenes/NAUTICA_CLASSICS_117004220_NAR_1.jpg" TargetMode="External" Id="rId4698"/><Relationship Type="http://schemas.openxmlformats.org/officeDocument/2006/relationships/hyperlink" Target="imagenes/NAUTICA_CLASSICS_117004220_NAR_2.jpg" TargetMode="External" Id="rId4699"/><Relationship Type="http://schemas.openxmlformats.org/officeDocument/2006/relationships/hyperlink" Target="imagenes/NAUTICA_CLASSICS_117004220_NAR_3.jpg" TargetMode="External" Id="rId4700"/><Relationship Type="http://schemas.openxmlformats.org/officeDocument/2006/relationships/hyperlink" Target="imagenes/NAUTICA_CLASSICS_117004220_NSS_1.jpg" TargetMode="External" Id="rId4701"/><Relationship Type="http://schemas.openxmlformats.org/officeDocument/2006/relationships/hyperlink" Target="imagenes/NAUTICA_CLASSICS_117004220_NSS_2.jpg" TargetMode="External" Id="rId4702"/><Relationship Type="http://schemas.openxmlformats.org/officeDocument/2006/relationships/hyperlink" Target="imagenes/NAUTICA_CLASSICS_117004220_NSS_3.jpg" TargetMode="External" Id="rId4703"/><Relationship Type="http://schemas.openxmlformats.org/officeDocument/2006/relationships/hyperlink" Target="imagenes/NAUTICA_CLASSICS_117004220_OLI_1.jpg" TargetMode="External" Id="rId4704"/><Relationship Type="http://schemas.openxmlformats.org/officeDocument/2006/relationships/hyperlink" Target="imagenes/NAUTICA_CLASSICS_117004220_OLI_2.jpg" TargetMode="External" Id="rId4705"/><Relationship Type="http://schemas.openxmlformats.org/officeDocument/2006/relationships/hyperlink" Target="imagenes/NAUTICA_CLASSICS_117004220_OLI_3.jpg" TargetMode="External" Id="rId4706"/><Relationship Type="http://schemas.openxmlformats.org/officeDocument/2006/relationships/hyperlink" Target="imagenes/NAUTICA_CLASSICS_117004220_OLI_1.jpg" TargetMode="External" Id="rId4707"/><Relationship Type="http://schemas.openxmlformats.org/officeDocument/2006/relationships/hyperlink" Target="imagenes/NAUTICA_CLASSICS_117004220_OLI_2.jpg" TargetMode="External" Id="rId4708"/><Relationship Type="http://schemas.openxmlformats.org/officeDocument/2006/relationships/hyperlink" Target="imagenes/NAUTICA_CLASSICS_117004220_OLI_3.jpg" TargetMode="External" Id="rId4709"/><Relationship Type="http://schemas.openxmlformats.org/officeDocument/2006/relationships/hyperlink" Target="imagenes/NAUTICA_CLASSICS_117004220_OLI_1.jpg" TargetMode="External" Id="rId4710"/><Relationship Type="http://schemas.openxmlformats.org/officeDocument/2006/relationships/hyperlink" Target="imagenes/NAUTICA_CLASSICS_117004220_OLI_2.jpg" TargetMode="External" Id="rId4711"/><Relationship Type="http://schemas.openxmlformats.org/officeDocument/2006/relationships/hyperlink" Target="imagenes/NAUTICA_CLASSICS_117004220_OLI_3.jpg" TargetMode="External" Id="rId4712"/><Relationship Type="http://schemas.openxmlformats.org/officeDocument/2006/relationships/hyperlink" Target="imagenes/NAUTICA_CLASSICS_117004220_OLI_1.jpg" TargetMode="External" Id="rId4713"/><Relationship Type="http://schemas.openxmlformats.org/officeDocument/2006/relationships/hyperlink" Target="imagenes/NAUTICA_CLASSICS_117004220_OLI_2.jpg" TargetMode="External" Id="rId4714"/><Relationship Type="http://schemas.openxmlformats.org/officeDocument/2006/relationships/hyperlink" Target="imagenes/NAUTICA_CLASSICS_117004220_OLI_3.jpg" TargetMode="External" Id="rId4715"/><Relationship Type="http://schemas.openxmlformats.org/officeDocument/2006/relationships/hyperlink" Target="imagenes/NAUTICA_CLASSICS_117004220_OLI_1.jpg" TargetMode="External" Id="rId4716"/><Relationship Type="http://schemas.openxmlformats.org/officeDocument/2006/relationships/hyperlink" Target="imagenes/NAUTICA_CLASSICS_117004220_OLI_2.jpg" TargetMode="External" Id="rId4717"/><Relationship Type="http://schemas.openxmlformats.org/officeDocument/2006/relationships/hyperlink" Target="imagenes/NAUTICA_CLASSICS_117004220_OLI_3.jpg" TargetMode="External" Id="rId4718"/><Relationship Type="http://schemas.openxmlformats.org/officeDocument/2006/relationships/hyperlink" Target="imagenes/NAUTICA_CLASSICS_117004220_SW4_1.jpg" TargetMode="External" Id="rId4719"/><Relationship Type="http://schemas.openxmlformats.org/officeDocument/2006/relationships/hyperlink" Target="imagenes/NAUTICA_CLASSICS_117004220_SW4_2.jpg" TargetMode="External" Id="rId4720"/><Relationship Type="http://schemas.openxmlformats.org/officeDocument/2006/relationships/hyperlink" Target="imagenes/NAUTICA_CLASSICS_117004220_SW4_3.jpg" TargetMode="External" Id="rId4721"/><Relationship Type="http://schemas.openxmlformats.org/officeDocument/2006/relationships/hyperlink" Target="imagenes/NAUTICA_CLASSICS_117004220_SW4_1.jpg" TargetMode="External" Id="rId4722"/><Relationship Type="http://schemas.openxmlformats.org/officeDocument/2006/relationships/hyperlink" Target="imagenes/NAUTICA_CLASSICS_117004220_SW4_2.jpg" TargetMode="External" Id="rId4723"/><Relationship Type="http://schemas.openxmlformats.org/officeDocument/2006/relationships/hyperlink" Target="imagenes/NAUTICA_CLASSICS_117004220_SW4_3.jpg" TargetMode="External" Id="rId4724"/><Relationship Type="http://schemas.openxmlformats.org/officeDocument/2006/relationships/hyperlink" Target="imagenes/NAUTICA_CLASSICS_117004220_SW4_1.jpg" TargetMode="External" Id="rId4725"/><Relationship Type="http://schemas.openxmlformats.org/officeDocument/2006/relationships/hyperlink" Target="imagenes/NAUTICA_CLASSICS_117004220_SW4_2.jpg" TargetMode="External" Id="rId4726"/><Relationship Type="http://schemas.openxmlformats.org/officeDocument/2006/relationships/hyperlink" Target="imagenes/NAUTICA_CLASSICS_117004220_SW4_3.jpg" TargetMode="External" Id="rId4727"/><Relationship Type="http://schemas.openxmlformats.org/officeDocument/2006/relationships/hyperlink" Target="imagenes/NAUTICA_CLASSICS_117004220_SW4_1.jpg" TargetMode="External" Id="rId4728"/><Relationship Type="http://schemas.openxmlformats.org/officeDocument/2006/relationships/hyperlink" Target="imagenes/NAUTICA_CLASSICS_117004220_SW4_2.jpg" TargetMode="External" Id="rId4729"/><Relationship Type="http://schemas.openxmlformats.org/officeDocument/2006/relationships/hyperlink" Target="imagenes/NAUTICA_CLASSICS_117004220_SW4_3.jpg" TargetMode="External" Id="rId4730"/><Relationship Type="http://schemas.openxmlformats.org/officeDocument/2006/relationships/hyperlink" Target="imagenes/NAUTICA_CLASSICS_117004220_SW4_1.jpg" TargetMode="External" Id="rId4731"/><Relationship Type="http://schemas.openxmlformats.org/officeDocument/2006/relationships/hyperlink" Target="imagenes/NAUTICA_CLASSICS_117004220_SW4_2.jpg" TargetMode="External" Id="rId4732"/><Relationship Type="http://schemas.openxmlformats.org/officeDocument/2006/relationships/hyperlink" Target="imagenes/NAUTICA_CLASSICS_117004220_SW4_3.jpg" TargetMode="External" Id="rId4733"/><Relationship Type="http://schemas.openxmlformats.org/officeDocument/2006/relationships/hyperlink" Target="imagenes/NAUTICA_CLASSICS_117004220_SW4_1.jpg" TargetMode="External" Id="rId4734"/><Relationship Type="http://schemas.openxmlformats.org/officeDocument/2006/relationships/hyperlink" Target="imagenes/NAUTICA_CLASSICS_117004220_SW4_2.jpg" TargetMode="External" Id="rId4735"/><Relationship Type="http://schemas.openxmlformats.org/officeDocument/2006/relationships/hyperlink" Target="imagenes/NAUTICA_CLASSICS_117004220_SW4_3.jpg" TargetMode="External" Id="rId4736"/><Relationship Type="http://schemas.openxmlformats.org/officeDocument/2006/relationships/hyperlink" Target="imagenes/NAUTICA_CLASSICS_117004220_SW4_1.jpg" TargetMode="External" Id="rId4737"/><Relationship Type="http://schemas.openxmlformats.org/officeDocument/2006/relationships/hyperlink" Target="imagenes/NAUTICA_CLASSICS_117004220_SW4_2.jpg" TargetMode="External" Id="rId4738"/><Relationship Type="http://schemas.openxmlformats.org/officeDocument/2006/relationships/hyperlink" Target="imagenes/NAUTICA_CLASSICS_117004220_SW4_3.jpg" TargetMode="External" Id="rId4739"/><Relationship Type="http://schemas.openxmlformats.org/officeDocument/2006/relationships/hyperlink" Target="imagenes/NAUTICA_CLASSICS_117004220_ZCR_1.jpg" TargetMode="External" Id="rId4740"/><Relationship Type="http://schemas.openxmlformats.org/officeDocument/2006/relationships/hyperlink" Target="imagenes/NAUTICA_CLASSICS_117004220_ZCR_2.jpg" TargetMode="External" Id="rId4741"/><Relationship Type="http://schemas.openxmlformats.org/officeDocument/2006/relationships/hyperlink" Target="imagenes/NAUTICA_CLASSICS_117004220_ZCR_3.jpg" TargetMode="External" Id="rId4742"/><Relationship Type="http://schemas.openxmlformats.org/officeDocument/2006/relationships/hyperlink" Target="imagenes/NAUTICA_CLASSICS_117004220_ZCR_1.jpg" TargetMode="External" Id="rId4743"/><Relationship Type="http://schemas.openxmlformats.org/officeDocument/2006/relationships/hyperlink" Target="imagenes/NAUTICA_CLASSICS_117004220_ZCR_2.jpg" TargetMode="External" Id="rId4744"/><Relationship Type="http://schemas.openxmlformats.org/officeDocument/2006/relationships/hyperlink" Target="imagenes/NAUTICA_CLASSICS_117004220_ZCR_3.jpg" TargetMode="External" Id="rId4745"/><Relationship Type="http://schemas.openxmlformats.org/officeDocument/2006/relationships/hyperlink" Target="imagenes/NAUTICA_CLASSICS_117004220_ZCR_1.jpg" TargetMode="External" Id="rId4746"/><Relationship Type="http://schemas.openxmlformats.org/officeDocument/2006/relationships/hyperlink" Target="imagenes/NAUTICA_CLASSICS_117004220_ZCR_2.jpg" TargetMode="External" Id="rId4747"/><Relationship Type="http://schemas.openxmlformats.org/officeDocument/2006/relationships/hyperlink" Target="imagenes/NAUTICA_CLASSICS_117004220_ZCR_3.jpg" TargetMode="External" Id="rId4748"/><Relationship Type="http://schemas.openxmlformats.org/officeDocument/2006/relationships/hyperlink" Target="imagenes/NAUTICA_CLASSICS_117004254_BLK_1.jpg" TargetMode="External" Id="rId4749"/><Relationship Type="http://schemas.openxmlformats.org/officeDocument/2006/relationships/hyperlink" Target="imagenes/NAUTICA_CLASSICS_117004254_BLK_2.jpg" TargetMode="External" Id="rId4750"/><Relationship Type="http://schemas.openxmlformats.org/officeDocument/2006/relationships/hyperlink" Target="imagenes/NAUTICA_CLASSICS_117004254_BLK_3.jpg" TargetMode="External" Id="rId4751"/><Relationship Type="http://schemas.openxmlformats.org/officeDocument/2006/relationships/hyperlink" Target="imagenes/NAUTICA_CLASSICS_117004254_BLK_1.jpg" TargetMode="External" Id="rId4752"/><Relationship Type="http://schemas.openxmlformats.org/officeDocument/2006/relationships/hyperlink" Target="imagenes/NAUTICA_CLASSICS_117004254_BLK_2.jpg" TargetMode="External" Id="rId4753"/><Relationship Type="http://schemas.openxmlformats.org/officeDocument/2006/relationships/hyperlink" Target="imagenes/NAUTICA_CLASSICS_117004254_BLK_3.jpg" TargetMode="External" Id="rId4754"/><Relationship Type="http://schemas.openxmlformats.org/officeDocument/2006/relationships/hyperlink" Target="imagenes/NAUTICA_CLASSICS_117004254_CTI_1.jpg" TargetMode="External" Id="rId4755"/><Relationship Type="http://schemas.openxmlformats.org/officeDocument/2006/relationships/hyperlink" Target="imagenes/NAUTICA_CLASSICS_117004254_CTI_2.jpg" TargetMode="External" Id="rId4756"/><Relationship Type="http://schemas.openxmlformats.org/officeDocument/2006/relationships/hyperlink" Target="imagenes/NAUTICA_CLASSICS_117004254_CTI_3.jpg" TargetMode="External" Id="rId4757"/><Relationship Type="http://schemas.openxmlformats.org/officeDocument/2006/relationships/hyperlink" Target="imagenes/NAUTICA_CLASSICS_117004254_CTI_1.jpg" TargetMode="External" Id="rId4758"/><Relationship Type="http://schemas.openxmlformats.org/officeDocument/2006/relationships/hyperlink" Target="imagenes/NAUTICA_CLASSICS_117004254_CTI_2.jpg" TargetMode="External" Id="rId4759"/><Relationship Type="http://schemas.openxmlformats.org/officeDocument/2006/relationships/hyperlink" Target="imagenes/NAUTICA_CLASSICS_117004254_CTI_3.jpg" TargetMode="External" Id="rId4760"/><Relationship Type="http://schemas.openxmlformats.org/officeDocument/2006/relationships/hyperlink" Target="imagenes/NAUTICA_CLASSICS_117004254_LMS_1.jpg" TargetMode="External" Id="rId4761"/><Relationship Type="http://schemas.openxmlformats.org/officeDocument/2006/relationships/hyperlink" Target="imagenes/NAUTICA_CLASSICS_117004254_LMS_2.jpg" TargetMode="External" Id="rId4762"/><Relationship Type="http://schemas.openxmlformats.org/officeDocument/2006/relationships/hyperlink" Target="imagenes/NAUTICA_CLASSICS_117004254_LMS_3.jpg" TargetMode="External" Id="rId4763"/><Relationship Type="http://schemas.openxmlformats.org/officeDocument/2006/relationships/hyperlink" Target="imagenes/NAUTICA_CLASSICS_117004254_LMS_1.jpg" TargetMode="External" Id="rId4764"/><Relationship Type="http://schemas.openxmlformats.org/officeDocument/2006/relationships/hyperlink" Target="imagenes/NAUTICA_CLASSICS_117004254_LMS_2.jpg" TargetMode="External" Id="rId4765"/><Relationship Type="http://schemas.openxmlformats.org/officeDocument/2006/relationships/hyperlink" Target="imagenes/NAUTICA_CLASSICS_117004254_LMS_3.jpg" TargetMode="External" Id="rId4766"/><Relationship Type="http://schemas.openxmlformats.org/officeDocument/2006/relationships/hyperlink" Target="imagenes/NAUTICA_CLASSICS_117004254_LMS_1.jpg" TargetMode="External" Id="rId4767"/><Relationship Type="http://schemas.openxmlformats.org/officeDocument/2006/relationships/hyperlink" Target="imagenes/NAUTICA_CLASSICS_117004254_LMS_2.jpg" TargetMode="External" Id="rId4768"/><Relationship Type="http://schemas.openxmlformats.org/officeDocument/2006/relationships/hyperlink" Target="imagenes/NAUTICA_CLASSICS_117004254_LMS_3.jpg" TargetMode="External" Id="rId4769"/><Relationship Type="http://schemas.openxmlformats.org/officeDocument/2006/relationships/hyperlink" Target="imagenes/NAUTICA_CLASSICS_117004254_LMS_1.jpg" TargetMode="External" Id="rId4770"/><Relationship Type="http://schemas.openxmlformats.org/officeDocument/2006/relationships/hyperlink" Target="imagenes/NAUTICA_CLASSICS_117004254_LMS_2.jpg" TargetMode="External" Id="rId4771"/><Relationship Type="http://schemas.openxmlformats.org/officeDocument/2006/relationships/hyperlink" Target="imagenes/NAUTICA_CLASSICS_117004254_LMS_3.jpg" TargetMode="External" Id="rId4772"/><Relationship Type="http://schemas.openxmlformats.org/officeDocument/2006/relationships/hyperlink" Target="imagenes/NAUTICA_CLASSICS_117004254_NSS_1.jpg" TargetMode="External" Id="rId4773"/><Relationship Type="http://schemas.openxmlformats.org/officeDocument/2006/relationships/hyperlink" Target="imagenes/NAUTICA_CLASSICS_117004254_NSS_2.jpg" TargetMode="External" Id="rId4774"/><Relationship Type="http://schemas.openxmlformats.org/officeDocument/2006/relationships/hyperlink" Target="imagenes/NAUTICA_CLASSICS_117004254_NSS_3.jpg" TargetMode="External" Id="rId4775"/><Relationship Type="http://schemas.openxmlformats.org/officeDocument/2006/relationships/hyperlink" Target="imagenes/NAUTICA_CLASSICS_117004254_NSS_1.jpg" TargetMode="External" Id="rId4776"/><Relationship Type="http://schemas.openxmlformats.org/officeDocument/2006/relationships/hyperlink" Target="imagenes/NAUTICA_CLASSICS_117004254_NSS_2.jpg" TargetMode="External" Id="rId4777"/><Relationship Type="http://schemas.openxmlformats.org/officeDocument/2006/relationships/hyperlink" Target="imagenes/NAUTICA_CLASSICS_117004254_NSS_3.jpg" TargetMode="External" Id="rId4778"/><Relationship Type="http://schemas.openxmlformats.org/officeDocument/2006/relationships/hyperlink" Target="imagenes/NAUTICA_CLASSICS_117004410_BLK_1.jpg" TargetMode="External" Id="rId4779"/><Relationship Type="http://schemas.openxmlformats.org/officeDocument/2006/relationships/hyperlink" Target="imagenes/NAUTICA_CLASSICS_117004410_BLK_2.jpg" TargetMode="External" Id="rId4780"/><Relationship Type="http://schemas.openxmlformats.org/officeDocument/2006/relationships/hyperlink" Target="imagenes/NAUTICA_CLASSICS_117004410_BLK_3.jpg" TargetMode="External" Id="rId4781"/><Relationship Type="http://schemas.openxmlformats.org/officeDocument/2006/relationships/hyperlink" Target="imagenes/NAUTICA_CLASSICS_117004410_BLK_1.jpg" TargetMode="External" Id="rId4782"/><Relationship Type="http://schemas.openxmlformats.org/officeDocument/2006/relationships/hyperlink" Target="imagenes/NAUTICA_CLASSICS_117004410_BLK_2.jpg" TargetMode="External" Id="rId4783"/><Relationship Type="http://schemas.openxmlformats.org/officeDocument/2006/relationships/hyperlink" Target="imagenes/NAUTICA_CLASSICS_117004410_BLK_3.jpg" TargetMode="External" Id="rId4784"/><Relationship Type="http://schemas.openxmlformats.org/officeDocument/2006/relationships/hyperlink" Target="imagenes/NAUTICA_CLASSICS_117004410_BLK_1.jpg" TargetMode="External" Id="rId4785"/><Relationship Type="http://schemas.openxmlformats.org/officeDocument/2006/relationships/hyperlink" Target="imagenes/NAUTICA_CLASSICS_117004410_BLK_2.jpg" TargetMode="External" Id="rId4786"/><Relationship Type="http://schemas.openxmlformats.org/officeDocument/2006/relationships/hyperlink" Target="imagenes/NAUTICA_CLASSICS_117004410_BLK_3.jpg" TargetMode="External" Id="rId4787"/><Relationship Type="http://schemas.openxmlformats.org/officeDocument/2006/relationships/hyperlink" Target="imagenes/NAUTICA_CLASSICS_117004410_BLK_1.jpg" TargetMode="External" Id="rId4788"/><Relationship Type="http://schemas.openxmlformats.org/officeDocument/2006/relationships/hyperlink" Target="imagenes/NAUTICA_CLASSICS_117004410_BLK_2.jpg" TargetMode="External" Id="rId4789"/><Relationship Type="http://schemas.openxmlformats.org/officeDocument/2006/relationships/hyperlink" Target="imagenes/NAUTICA_CLASSICS_117004410_BLK_3.jpg" TargetMode="External" Id="rId4790"/><Relationship Type="http://schemas.openxmlformats.org/officeDocument/2006/relationships/hyperlink" Target="imagenes/NAUTICA_CLASSICS_117004410_BLK_1.jpg" TargetMode="External" Id="rId4791"/><Relationship Type="http://schemas.openxmlformats.org/officeDocument/2006/relationships/hyperlink" Target="imagenes/NAUTICA_CLASSICS_117004410_BLK_2.jpg" TargetMode="External" Id="rId4792"/><Relationship Type="http://schemas.openxmlformats.org/officeDocument/2006/relationships/hyperlink" Target="imagenes/NAUTICA_CLASSICS_117004410_BLK_3.jpg" TargetMode="External" Id="rId4793"/><Relationship Type="http://schemas.openxmlformats.org/officeDocument/2006/relationships/hyperlink" Target="imagenes/NAUTICA_CLASSICS_117004410_BLK_1.jpg" TargetMode="External" Id="rId4794"/><Relationship Type="http://schemas.openxmlformats.org/officeDocument/2006/relationships/hyperlink" Target="imagenes/NAUTICA_CLASSICS_117004410_BLK_2.jpg" TargetMode="External" Id="rId4795"/><Relationship Type="http://schemas.openxmlformats.org/officeDocument/2006/relationships/hyperlink" Target="imagenes/NAUTICA_CLASSICS_117004410_BLK_3.jpg" TargetMode="External" Id="rId4796"/><Relationship Type="http://schemas.openxmlformats.org/officeDocument/2006/relationships/hyperlink" Target="imagenes/NAUTICA_CLASSICS_117004410_D96_1.jpg" TargetMode="External" Id="rId4797"/><Relationship Type="http://schemas.openxmlformats.org/officeDocument/2006/relationships/hyperlink" Target="imagenes/NAUTICA_CLASSICS_117004410_D96_2.jpg" TargetMode="External" Id="rId4798"/><Relationship Type="http://schemas.openxmlformats.org/officeDocument/2006/relationships/hyperlink" Target="imagenes/NAUTICA_CLASSICS_117004410_D96_3.jpg" TargetMode="External" Id="rId4799"/><Relationship Type="http://schemas.openxmlformats.org/officeDocument/2006/relationships/hyperlink" Target="imagenes/NAUTICA_CLASSICS_117004410_D96_1.jpg" TargetMode="External" Id="rId4800"/><Relationship Type="http://schemas.openxmlformats.org/officeDocument/2006/relationships/hyperlink" Target="imagenes/NAUTICA_CLASSICS_117004410_D96_2.jpg" TargetMode="External" Id="rId4801"/><Relationship Type="http://schemas.openxmlformats.org/officeDocument/2006/relationships/hyperlink" Target="imagenes/NAUTICA_CLASSICS_117004410_D96_3.jpg" TargetMode="External" Id="rId4802"/><Relationship Type="http://schemas.openxmlformats.org/officeDocument/2006/relationships/hyperlink" Target="imagenes/NAUTICA_CLASSICS_117004410_D96_1.jpg" TargetMode="External" Id="rId4803"/><Relationship Type="http://schemas.openxmlformats.org/officeDocument/2006/relationships/hyperlink" Target="imagenes/NAUTICA_CLASSICS_117004410_D96_2.jpg" TargetMode="External" Id="rId4804"/><Relationship Type="http://schemas.openxmlformats.org/officeDocument/2006/relationships/hyperlink" Target="imagenes/NAUTICA_CLASSICS_117004410_D96_3.jpg" TargetMode="External" Id="rId4805"/><Relationship Type="http://schemas.openxmlformats.org/officeDocument/2006/relationships/hyperlink" Target="imagenes/NAUTICA_CLASSICS_117004410_D96_1.jpg" TargetMode="External" Id="rId4806"/><Relationship Type="http://schemas.openxmlformats.org/officeDocument/2006/relationships/hyperlink" Target="imagenes/NAUTICA_CLASSICS_117004410_D96_2.jpg" TargetMode="External" Id="rId4807"/><Relationship Type="http://schemas.openxmlformats.org/officeDocument/2006/relationships/hyperlink" Target="imagenes/NAUTICA_CLASSICS_117004410_D96_3.jpg" TargetMode="External" Id="rId4808"/><Relationship Type="http://schemas.openxmlformats.org/officeDocument/2006/relationships/hyperlink" Target="imagenes/NAUTICA_CLASSICS_117004410_D96_1.jpg" TargetMode="External" Id="rId4809"/><Relationship Type="http://schemas.openxmlformats.org/officeDocument/2006/relationships/hyperlink" Target="imagenes/NAUTICA_CLASSICS_117004410_D96_2.jpg" TargetMode="External" Id="rId4810"/><Relationship Type="http://schemas.openxmlformats.org/officeDocument/2006/relationships/hyperlink" Target="imagenes/NAUTICA_CLASSICS_117004410_D96_3.jpg" TargetMode="External" Id="rId4811"/><Relationship Type="http://schemas.openxmlformats.org/officeDocument/2006/relationships/hyperlink" Target="imagenes/NAUTICA_CLASSICS_117004410_D96_1.jpg" TargetMode="External" Id="rId4812"/><Relationship Type="http://schemas.openxmlformats.org/officeDocument/2006/relationships/hyperlink" Target="imagenes/NAUTICA_CLASSICS_117004410_D96_2.jpg" TargetMode="External" Id="rId4813"/><Relationship Type="http://schemas.openxmlformats.org/officeDocument/2006/relationships/hyperlink" Target="imagenes/NAUTICA_CLASSICS_117004410_D96_3.jpg" TargetMode="External" Id="rId4814"/><Relationship Type="http://schemas.openxmlformats.org/officeDocument/2006/relationships/hyperlink" Target="imagenes/NAUTICA_CLASSICS_117004417_LMS_1.jpg" TargetMode="External" Id="rId4815"/><Relationship Type="http://schemas.openxmlformats.org/officeDocument/2006/relationships/hyperlink" Target="imagenes/NAUTICA_CLASSICS_117004417_LMS_2.jpg" TargetMode="External" Id="rId4816"/><Relationship Type="http://schemas.openxmlformats.org/officeDocument/2006/relationships/hyperlink" Target="imagenes/NAUTICA_CLASSICS_117004417_LMS_3.jpg" TargetMode="External" Id="rId4817"/><Relationship Type="http://schemas.openxmlformats.org/officeDocument/2006/relationships/hyperlink" Target="imagenes/NAUTICA_CLASSICS_117004417_LMS_1.jpg" TargetMode="External" Id="rId4818"/><Relationship Type="http://schemas.openxmlformats.org/officeDocument/2006/relationships/hyperlink" Target="imagenes/NAUTICA_CLASSICS_117004417_LMS_2.jpg" TargetMode="External" Id="rId4819"/><Relationship Type="http://schemas.openxmlformats.org/officeDocument/2006/relationships/hyperlink" Target="imagenes/NAUTICA_CLASSICS_117004417_LMS_3.jpg" TargetMode="External" Id="rId4820"/><Relationship Type="http://schemas.openxmlformats.org/officeDocument/2006/relationships/hyperlink" Target="imagenes/NAUTICA_CLASSICS_117004554_BLK_1.jpg" TargetMode="External" Id="rId4821"/><Relationship Type="http://schemas.openxmlformats.org/officeDocument/2006/relationships/hyperlink" Target="imagenes/NAUTICA_CLASSICS_117004554_BLK_2.jpg" TargetMode="External" Id="rId4822"/><Relationship Type="http://schemas.openxmlformats.org/officeDocument/2006/relationships/hyperlink" Target="imagenes/NAUTICA_CLASSICS_117004554_BLK_3.jpg" TargetMode="External" Id="rId4823"/><Relationship Type="http://schemas.openxmlformats.org/officeDocument/2006/relationships/hyperlink" Target="imagenes/NAUTICA_CLASSICS_117004554_BLK_1.jpg" TargetMode="External" Id="rId4824"/><Relationship Type="http://schemas.openxmlformats.org/officeDocument/2006/relationships/hyperlink" Target="imagenes/NAUTICA_CLASSICS_117004554_BLK_2.jpg" TargetMode="External" Id="rId4825"/><Relationship Type="http://schemas.openxmlformats.org/officeDocument/2006/relationships/hyperlink" Target="imagenes/NAUTICA_CLASSICS_117004554_BLK_3.jpg" TargetMode="External" Id="rId4826"/><Relationship Type="http://schemas.openxmlformats.org/officeDocument/2006/relationships/hyperlink" Target="imagenes/NAUTICA_CLASSICS_117004554_BLK_1.jpg" TargetMode="External" Id="rId4827"/><Relationship Type="http://schemas.openxmlformats.org/officeDocument/2006/relationships/hyperlink" Target="imagenes/NAUTICA_CLASSICS_117004554_BLK_2.jpg" TargetMode="External" Id="rId4828"/><Relationship Type="http://schemas.openxmlformats.org/officeDocument/2006/relationships/hyperlink" Target="imagenes/NAUTICA_CLASSICS_117004554_BLK_3.jpg" TargetMode="External" Id="rId4829"/><Relationship Type="http://schemas.openxmlformats.org/officeDocument/2006/relationships/hyperlink" Target="imagenes/NAUTICA_CLASSICS_117004554_BLK_1.jpg" TargetMode="External" Id="rId4830"/><Relationship Type="http://schemas.openxmlformats.org/officeDocument/2006/relationships/hyperlink" Target="imagenes/NAUTICA_CLASSICS_117004554_BLK_2.jpg" TargetMode="External" Id="rId4831"/><Relationship Type="http://schemas.openxmlformats.org/officeDocument/2006/relationships/hyperlink" Target="imagenes/NAUTICA_CLASSICS_117004554_BLK_3.jpg" TargetMode="External" Id="rId4832"/><Relationship Type="http://schemas.openxmlformats.org/officeDocument/2006/relationships/hyperlink" Target="imagenes/NAUTICA_CLASSICS_117004554_BLK_1.jpg" TargetMode="External" Id="rId4833"/><Relationship Type="http://schemas.openxmlformats.org/officeDocument/2006/relationships/hyperlink" Target="imagenes/NAUTICA_CLASSICS_117004554_BLK_2.jpg" TargetMode="External" Id="rId4834"/><Relationship Type="http://schemas.openxmlformats.org/officeDocument/2006/relationships/hyperlink" Target="imagenes/NAUTICA_CLASSICS_117004554_BLK_3.jpg" TargetMode="External" Id="rId4835"/><Relationship Type="http://schemas.openxmlformats.org/officeDocument/2006/relationships/hyperlink" Target="imagenes/NAUTICA_CLASSICS_117004554_LMS_1.jpg" TargetMode="External" Id="rId4836"/><Relationship Type="http://schemas.openxmlformats.org/officeDocument/2006/relationships/hyperlink" Target="imagenes/NAUTICA_CLASSICS_117004554_LMS_2.jpg" TargetMode="External" Id="rId4837"/><Relationship Type="http://schemas.openxmlformats.org/officeDocument/2006/relationships/hyperlink" Target="imagenes/NAUTICA_CLASSICS_117004554_LMS_3.jpg" TargetMode="External" Id="rId4838"/><Relationship Type="http://schemas.openxmlformats.org/officeDocument/2006/relationships/hyperlink" Target="imagenes/NAUTICA_CLASSICS_117004554_LMS_1.jpg" TargetMode="External" Id="rId4839"/><Relationship Type="http://schemas.openxmlformats.org/officeDocument/2006/relationships/hyperlink" Target="imagenes/NAUTICA_CLASSICS_117004554_LMS_2.jpg" TargetMode="External" Id="rId4840"/><Relationship Type="http://schemas.openxmlformats.org/officeDocument/2006/relationships/hyperlink" Target="imagenes/NAUTICA_CLASSICS_117004554_LMS_3.jpg" TargetMode="External" Id="rId4841"/><Relationship Type="http://schemas.openxmlformats.org/officeDocument/2006/relationships/hyperlink" Target="imagenes/NAUTICA_CLASSICS_117004554_LMS_1.jpg" TargetMode="External" Id="rId4842"/><Relationship Type="http://schemas.openxmlformats.org/officeDocument/2006/relationships/hyperlink" Target="imagenes/NAUTICA_CLASSICS_117004554_LMS_2.jpg" TargetMode="External" Id="rId4843"/><Relationship Type="http://schemas.openxmlformats.org/officeDocument/2006/relationships/hyperlink" Target="imagenes/NAUTICA_CLASSICS_117004554_LMS_3.jpg" TargetMode="External" Id="rId4844"/><Relationship Type="http://schemas.openxmlformats.org/officeDocument/2006/relationships/hyperlink" Target="imagenes/NAUTICA_CLASSICS_117004554_LMS_1.jpg" TargetMode="External" Id="rId4845"/><Relationship Type="http://schemas.openxmlformats.org/officeDocument/2006/relationships/hyperlink" Target="imagenes/NAUTICA_CLASSICS_117004554_LMS_2.jpg" TargetMode="External" Id="rId4846"/><Relationship Type="http://schemas.openxmlformats.org/officeDocument/2006/relationships/hyperlink" Target="imagenes/NAUTICA_CLASSICS_117004554_LMS_3.jpg" TargetMode="External" Id="rId4847"/><Relationship Type="http://schemas.openxmlformats.org/officeDocument/2006/relationships/hyperlink" Target="imagenes/NAUTICA_CLASSICS_117004554_LMS_1.jpg" TargetMode="External" Id="rId4848"/><Relationship Type="http://schemas.openxmlformats.org/officeDocument/2006/relationships/hyperlink" Target="imagenes/NAUTICA_CLASSICS_117004554_LMS_2.jpg" TargetMode="External" Id="rId4849"/><Relationship Type="http://schemas.openxmlformats.org/officeDocument/2006/relationships/hyperlink" Target="imagenes/NAUTICA_CLASSICS_117004554_LMS_3.jpg" TargetMode="External" Id="rId4850"/><Relationship Type="http://schemas.openxmlformats.org/officeDocument/2006/relationships/hyperlink" Target="imagenes/NAUTICA_CLASSICS_117004648_BLK_1.jpg" TargetMode="External" Id="rId4851"/><Relationship Type="http://schemas.openxmlformats.org/officeDocument/2006/relationships/hyperlink" Target="imagenes/NAUTICA_CLASSICS_117004648_BLK_2.jpg" TargetMode="External" Id="rId4852"/><Relationship Type="http://schemas.openxmlformats.org/officeDocument/2006/relationships/hyperlink" Target="imagenes/NAUTICA_CLASSICS_117004648_BLK_3.jpg" TargetMode="External" Id="rId4853"/><Relationship Type="http://schemas.openxmlformats.org/officeDocument/2006/relationships/hyperlink" Target="imagenes/NAUTICA_CLASSICS_117004648_BLK_1.jpg" TargetMode="External" Id="rId4854"/><Relationship Type="http://schemas.openxmlformats.org/officeDocument/2006/relationships/hyperlink" Target="imagenes/NAUTICA_CLASSICS_117004648_BLK_2.jpg" TargetMode="External" Id="rId4855"/><Relationship Type="http://schemas.openxmlformats.org/officeDocument/2006/relationships/hyperlink" Target="imagenes/NAUTICA_CLASSICS_117004648_BLK_3.jpg" TargetMode="External" Id="rId4856"/><Relationship Type="http://schemas.openxmlformats.org/officeDocument/2006/relationships/hyperlink" Target="imagenes/NAUTICA_CLASSICS_117004648_BLK_1.jpg" TargetMode="External" Id="rId4857"/><Relationship Type="http://schemas.openxmlformats.org/officeDocument/2006/relationships/hyperlink" Target="imagenes/NAUTICA_CLASSICS_117004648_BLK_2.jpg" TargetMode="External" Id="rId4858"/><Relationship Type="http://schemas.openxmlformats.org/officeDocument/2006/relationships/hyperlink" Target="imagenes/NAUTICA_CLASSICS_117004648_BLK_3.jpg" TargetMode="External" Id="rId4859"/><Relationship Type="http://schemas.openxmlformats.org/officeDocument/2006/relationships/hyperlink" Target="imagenes/NAUTICA_CLASSICS_117004648_BLK_1.jpg" TargetMode="External" Id="rId4860"/><Relationship Type="http://schemas.openxmlformats.org/officeDocument/2006/relationships/hyperlink" Target="imagenes/NAUTICA_CLASSICS_117004648_BLK_2.jpg" TargetMode="External" Id="rId4861"/><Relationship Type="http://schemas.openxmlformats.org/officeDocument/2006/relationships/hyperlink" Target="imagenes/NAUTICA_CLASSICS_117004648_BLK_3.jpg" TargetMode="External" Id="rId4862"/><Relationship Type="http://schemas.openxmlformats.org/officeDocument/2006/relationships/hyperlink" Target="imagenes/NAUTICA_CLASSICS_117004648_NSS_1.jpg" TargetMode="External" Id="rId4863"/><Relationship Type="http://schemas.openxmlformats.org/officeDocument/2006/relationships/hyperlink" Target="imagenes/NAUTICA_CLASSICS_117004648_NSS_3.jpg" TargetMode="External" Id="rId4864"/><Relationship Type="http://schemas.openxmlformats.org/officeDocument/2006/relationships/hyperlink" Target="imagenes/NAUTICA_CLASSICS_117004742_BLK_1.jpg" TargetMode="External" Id="rId4865"/><Relationship Type="http://schemas.openxmlformats.org/officeDocument/2006/relationships/hyperlink" Target="imagenes/NAUTICA_CLASSICS_117004742_BLK_2.jpg" TargetMode="External" Id="rId4866"/><Relationship Type="http://schemas.openxmlformats.org/officeDocument/2006/relationships/hyperlink" Target="imagenes/NAUTICA_CLASSICS_117004742_BLK_3.jpg" TargetMode="External" Id="rId4867"/><Relationship Type="http://schemas.openxmlformats.org/officeDocument/2006/relationships/hyperlink" Target="imagenes/NAUTICA_CLASSICS_117004742_BLK_1.jpg" TargetMode="External" Id="rId4868"/><Relationship Type="http://schemas.openxmlformats.org/officeDocument/2006/relationships/hyperlink" Target="imagenes/NAUTICA_CLASSICS_117004742_BLK_2.jpg" TargetMode="External" Id="rId4869"/><Relationship Type="http://schemas.openxmlformats.org/officeDocument/2006/relationships/hyperlink" Target="imagenes/NAUTICA_CLASSICS_117004742_BLK_3.jpg" TargetMode="External" Id="rId4870"/><Relationship Type="http://schemas.openxmlformats.org/officeDocument/2006/relationships/hyperlink" Target="imagenes/NAUTICA_CLASSICS_117004742_BLK_1.jpg" TargetMode="External" Id="rId4871"/><Relationship Type="http://schemas.openxmlformats.org/officeDocument/2006/relationships/hyperlink" Target="imagenes/NAUTICA_CLASSICS_117004742_BLK_2.jpg" TargetMode="External" Id="rId4872"/><Relationship Type="http://schemas.openxmlformats.org/officeDocument/2006/relationships/hyperlink" Target="imagenes/NAUTICA_CLASSICS_117004742_BLK_3.jpg" TargetMode="External" Id="rId4873"/><Relationship Type="http://schemas.openxmlformats.org/officeDocument/2006/relationships/hyperlink" Target="imagenes/NAUTICA_CLASSICS_117004742_BLK_1.jpg" TargetMode="External" Id="rId4874"/><Relationship Type="http://schemas.openxmlformats.org/officeDocument/2006/relationships/hyperlink" Target="imagenes/NAUTICA_CLASSICS_117004742_BLK_2.jpg" TargetMode="External" Id="rId4875"/><Relationship Type="http://schemas.openxmlformats.org/officeDocument/2006/relationships/hyperlink" Target="imagenes/NAUTICA_CLASSICS_117004742_BLK_3.jpg" TargetMode="External" Id="rId4876"/><Relationship Type="http://schemas.openxmlformats.org/officeDocument/2006/relationships/hyperlink" Target="imagenes/NAUTICA_CLASSICS_117004742_BLK_1.jpg" TargetMode="External" Id="rId4877"/><Relationship Type="http://schemas.openxmlformats.org/officeDocument/2006/relationships/hyperlink" Target="imagenes/NAUTICA_CLASSICS_117004742_BLK_2.jpg" TargetMode="External" Id="rId4878"/><Relationship Type="http://schemas.openxmlformats.org/officeDocument/2006/relationships/hyperlink" Target="imagenes/NAUTICA_CLASSICS_117004742_BLK_3.jpg" TargetMode="External" Id="rId4879"/><Relationship Type="http://schemas.openxmlformats.org/officeDocument/2006/relationships/hyperlink" Target="imagenes/NAUTICA_CLASSICS_117004742_SAG_1.jpg" TargetMode="External" Id="rId4880"/><Relationship Type="http://schemas.openxmlformats.org/officeDocument/2006/relationships/hyperlink" Target="imagenes/NAUTICA_CLASSICS_117004742_SAG_2.jpg" TargetMode="External" Id="rId4881"/><Relationship Type="http://schemas.openxmlformats.org/officeDocument/2006/relationships/hyperlink" Target="imagenes/NAUTICA_CLASSICS_117004742_SAG_3.jpg" TargetMode="External" Id="rId4882"/><Relationship Type="http://schemas.openxmlformats.org/officeDocument/2006/relationships/hyperlink" Target="imagenes/NAUTICA_CLASSICS_117004742_SAG_1.jpg" TargetMode="External" Id="rId4883"/><Relationship Type="http://schemas.openxmlformats.org/officeDocument/2006/relationships/hyperlink" Target="imagenes/NAUTICA_CLASSICS_117004742_SAG_2.jpg" TargetMode="External" Id="rId4884"/><Relationship Type="http://schemas.openxmlformats.org/officeDocument/2006/relationships/hyperlink" Target="imagenes/NAUTICA_CLASSICS_117004742_SAG_3.jpg" TargetMode="External" Id="rId4885"/><Relationship Type="http://schemas.openxmlformats.org/officeDocument/2006/relationships/hyperlink" Target="imagenes/NAUTICA_CLASSICS_117004742_SAG_1.jpg" TargetMode="External" Id="rId4886"/><Relationship Type="http://schemas.openxmlformats.org/officeDocument/2006/relationships/hyperlink" Target="imagenes/NAUTICA_CLASSICS_117004742_SAG_2.jpg" TargetMode="External" Id="rId4887"/><Relationship Type="http://schemas.openxmlformats.org/officeDocument/2006/relationships/hyperlink" Target="imagenes/NAUTICA_CLASSICS_117004742_SAG_3.jpg" TargetMode="External" Id="rId4888"/><Relationship Type="http://schemas.openxmlformats.org/officeDocument/2006/relationships/hyperlink" Target="imagenes/NAUTICA_CLASSICS_117004742_SAG_1.jpg" TargetMode="External" Id="rId4889"/><Relationship Type="http://schemas.openxmlformats.org/officeDocument/2006/relationships/hyperlink" Target="imagenes/NAUTICA_CLASSICS_117004742_SAG_2.jpg" TargetMode="External" Id="rId4890"/><Relationship Type="http://schemas.openxmlformats.org/officeDocument/2006/relationships/hyperlink" Target="imagenes/NAUTICA_CLASSICS_117004742_SAG_3.jpg" TargetMode="External" Id="rId4891"/><Relationship Type="http://schemas.openxmlformats.org/officeDocument/2006/relationships/hyperlink" Target="imagenes/NAUTICA_CLASSICS_117004742_SAG_1.jpg" TargetMode="External" Id="rId4892"/><Relationship Type="http://schemas.openxmlformats.org/officeDocument/2006/relationships/hyperlink" Target="imagenes/NAUTICA_CLASSICS_117004742_SAG_2.jpg" TargetMode="External" Id="rId4893"/><Relationship Type="http://schemas.openxmlformats.org/officeDocument/2006/relationships/hyperlink" Target="imagenes/NAUTICA_CLASSICS_117004742_SAG_3.jpg" TargetMode="External" Id="rId4894"/><Relationship Type="http://schemas.openxmlformats.org/officeDocument/2006/relationships/hyperlink" Target="imagenes/NAUTICA_CLASSICS_117004745_BLK_1.jpg" TargetMode="External" Id="rId4895"/><Relationship Type="http://schemas.openxmlformats.org/officeDocument/2006/relationships/hyperlink" Target="imagenes/NAUTICA_CLASSICS_117004745_BLK_2.jpg" TargetMode="External" Id="rId4896"/><Relationship Type="http://schemas.openxmlformats.org/officeDocument/2006/relationships/hyperlink" Target="imagenes/NAUTICA_CLASSICS_117004745_BLK_3.jpg" TargetMode="External" Id="rId4897"/><Relationship Type="http://schemas.openxmlformats.org/officeDocument/2006/relationships/hyperlink" Target="imagenes/NAUTICA_CLASSICS_117004745_BLK_1.jpg" TargetMode="External" Id="rId4898"/><Relationship Type="http://schemas.openxmlformats.org/officeDocument/2006/relationships/hyperlink" Target="imagenes/NAUTICA_CLASSICS_117004745_BLK_2.jpg" TargetMode="External" Id="rId4899"/><Relationship Type="http://schemas.openxmlformats.org/officeDocument/2006/relationships/hyperlink" Target="imagenes/NAUTICA_CLASSICS_117004745_BLK_3.jpg" TargetMode="External" Id="rId4900"/><Relationship Type="http://schemas.openxmlformats.org/officeDocument/2006/relationships/hyperlink" Target="imagenes/NAUTICA_CLASSICS_117004745_BLK_1.jpg" TargetMode="External" Id="rId4901"/><Relationship Type="http://schemas.openxmlformats.org/officeDocument/2006/relationships/hyperlink" Target="imagenes/NAUTICA_CLASSICS_117004745_BLK_2.jpg" TargetMode="External" Id="rId4902"/><Relationship Type="http://schemas.openxmlformats.org/officeDocument/2006/relationships/hyperlink" Target="imagenes/NAUTICA_CLASSICS_117004745_BLK_3.jpg" TargetMode="External" Id="rId4903"/><Relationship Type="http://schemas.openxmlformats.org/officeDocument/2006/relationships/hyperlink" Target="imagenes/NAUTICA_CLASSICS_117004745_NSS_1.jpg" TargetMode="External" Id="rId4904"/><Relationship Type="http://schemas.openxmlformats.org/officeDocument/2006/relationships/hyperlink" Target="imagenes/NAUTICA_CLASSICS_117004745_NSS_2.jpg" TargetMode="External" Id="rId4905"/><Relationship Type="http://schemas.openxmlformats.org/officeDocument/2006/relationships/hyperlink" Target="imagenes/NAUTICA_CLASSICS_117004745_NSS_3.jpg" TargetMode="External" Id="rId4906"/><Relationship Type="http://schemas.openxmlformats.org/officeDocument/2006/relationships/hyperlink" Target="imagenes/NAUTICA_CLASSICS_117004745_NSS_1.jpg" TargetMode="External" Id="rId4907"/><Relationship Type="http://schemas.openxmlformats.org/officeDocument/2006/relationships/hyperlink" Target="imagenes/NAUTICA_CLASSICS_117004745_NSS_2.jpg" TargetMode="External" Id="rId4908"/><Relationship Type="http://schemas.openxmlformats.org/officeDocument/2006/relationships/hyperlink" Target="imagenes/NAUTICA_CLASSICS_117004745_NSS_3.jpg" TargetMode="External" Id="rId4909"/><Relationship Type="http://schemas.openxmlformats.org/officeDocument/2006/relationships/hyperlink" Target="imagenes/NAUTICA_CLASSICS_117004745_NSS_1.jpg" TargetMode="External" Id="rId4910"/><Relationship Type="http://schemas.openxmlformats.org/officeDocument/2006/relationships/hyperlink" Target="imagenes/NAUTICA_CLASSICS_117004745_NSS_2.jpg" TargetMode="External" Id="rId4911"/><Relationship Type="http://schemas.openxmlformats.org/officeDocument/2006/relationships/hyperlink" Target="imagenes/NAUTICA_CLASSICS_117004745_NSS_3.jpg" TargetMode="External" Id="rId4912"/><Relationship Type="http://schemas.openxmlformats.org/officeDocument/2006/relationships/hyperlink" Target="imagenes/NAUTICA_CLASSICS_117004745_NSS_1.jpg" TargetMode="External" Id="rId4913"/><Relationship Type="http://schemas.openxmlformats.org/officeDocument/2006/relationships/hyperlink" Target="imagenes/NAUTICA_CLASSICS_117004745_NSS_2.jpg" TargetMode="External" Id="rId4914"/><Relationship Type="http://schemas.openxmlformats.org/officeDocument/2006/relationships/hyperlink" Target="imagenes/NAUTICA_CLASSICS_117004745_NSS_3.jpg" TargetMode="External" Id="rId4915"/><Relationship Type="http://schemas.openxmlformats.org/officeDocument/2006/relationships/hyperlink" Target="imagenes/NAUTICA_CLASSICS_117004745_PRY_1.jpg" TargetMode="External" Id="rId4916"/><Relationship Type="http://schemas.openxmlformats.org/officeDocument/2006/relationships/hyperlink" Target="imagenes/NAUTICA_CLASSICS_117004745_PRY_2.jpg" TargetMode="External" Id="rId4917"/><Relationship Type="http://schemas.openxmlformats.org/officeDocument/2006/relationships/hyperlink" Target="imagenes/NAUTICA_CLASSICS_117004745_PRY_3.jpg" TargetMode="External" Id="rId4918"/><Relationship Type="http://schemas.openxmlformats.org/officeDocument/2006/relationships/hyperlink" Target="imagenes/NAUTICA_CLASSICS_117004746_BLK_1.jpg" TargetMode="External" Id="rId4919"/><Relationship Type="http://schemas.openxmlformats.org/officeDocument/2006/relationships/hyperlink" Target="imagenes/NAUTICA_CLASSICS_117004746_BLK_2.jpg" TargetMode="External" Id="rId4920"/><Relationship Type="http://schemas.openxmlformats.org/officeDocument/2006/relationships/hyperlink" Target="imagenes/NAUTICA_CLASSICS_117004746_BLK_3.jpg" TargetMode="External" Id="rId4921"/><Relationship Type="http://schemas.openxmlformats.org/officeDocument/2006/relationships/hyperlink" Target="imagenes/NAUTICA_CLASSICS_117004746_BLK_1.jpg" TargetMode="External" Id="rId4922"/><Relationship Type="http://schemas.openxmlformats.org/officeDocument/2006/relationships/hyperlink" Target="imagenes/NAUTICA_CLASSICS_117004746_BLK_2.jpg" TargetMode="External" Id="rId4923"/><Relationship Type="http://schemas.openxmlformats.org/officeDocument/2006/relationships/hyperlink" Target="imagenes/NAUTICA_CLASSICS_117004746_BLK_3.jpg" TargetMode="External" Id="rId4924"/><Relationship Type="http://schemas.openxmlformats.org/officeDocument/2006/relationships/hyperlink" Target="imagenes/NAUTICA_CLASSICS_117004746_NSS_1.jpg" TargetMode="External" Id="rId4925"/><Relationship Type="http://schemas.openxmlformats.org/officeDocument/2006/relationships/hyperlink" Target="imagenes/NAUTICA_CLASSICS_117004746_NSS_2.jpg" TargetMode="External" Id="rId4926"/><Relationship Type="http://schemas.openxmlformats.org/officeDocument/2006/relationships/hyperlink" Target="imagenes/NAUTICA_CLASSICS_117004746_NSS_3.jpg" TargetMode="External" Id="rId4927"/><Relationship Type="http://schemas.openxmlformats.org/officeDocument/2006/relationships/hyperlink" Target="imagenes/NAUTICA_CLASSICS_117004746_NSS_1.jpg" TargetMode="External" Id="rId4928"/><Relationship Type="http://schemas.openxmlformats.org/officeDocument/2006/relationships/hyperlink" Target="imagenes/NAUTICA_CLASSICS_117004746_NSS_2.jpg" TargetMode="External" Id="rId4929"/><Relationship Type="http://schemas.openxmlformats.org/officeDocument/2006/relationships/hyperlink" Target="imagenes/NAUTICA_CLASSICS_117004746_NSS_3.jpg" TargetMode="External" Id="rId4930"/><Relationship Type="http://schemas.openxmlformats.org/officeDocument/2006/relationships/hyperlink" Target="imagenes/NAUTICA_CLASSICS_117004771_BLK_1.jpg" TargetMode="External" Id="rId4931"/><Relationship Type="http://schemas.openxmlformats.org/officeDocument/2006/relationships/hyperlink" Target="imagenes/NAUTICA_CLASSICS_117004771_BLK_2.jpg" TargetMode="External" Id="rId4932"/><Relationship Type="http://schemas.openxmlformats.org/officeDocument/2006/relationships/hyperlink" Target="imagenes/NAUTICA_CLASSICS_117004771_BLK_3.jpg" TargetMode="External" Id="rId4933"/><Relationship Type="http://schemas.openxmlformats.org/officeDocument/2006/relationships/hyperlink" Target="imagenes/NAUTICA_CLASSICS_117004771_BLK_1.jpg" TargetMode="External" Id="rId4934"/><Relationship Type="http://schemas.openxmlformats.org/officeDocument/2006/relationships/hyperlink" Target="imagenes/NAUTICA_CLASSICS_117004771_BLK_2.jpg" TargetMode="External" Id="rId4935"/><Relationship Type="http://schemas.openxmlformats.org/officeDocument/2006/relationships/hyperlink" Target="imagenes/NAUTICA_CLASSICS_117004771_BLK_3.jpg" TargetMode="External" Id="rId4936"/><Relationship Type="http://schemas.openxmlformats.org/officeDocument/2006/relationships/hyperlink" Target="imagenes/NAUTICA_CLASSICS_117004771_BLK_1.jpg" TargetMode="External" Id="rId4937"/><Relationship Type="http://schemas.openxmlformats.org/officeDocument/2006/relationships/hyperlink" Target="imagenes/NAUTICA_CLASSICS_117004771_BLK_2.jpg" TargetMode="External" Id="rId4938"/><Relationship Type="http://schemas.openxmlformats.org/officeDocument/2006/relationships/hyperlink" Target="imagenes/NAUTICA_CLASSICS_117004771_BLK_3.jpg" TargetMode="External" Id="rId4939"/><Relationship Type="http://schemas.openxmlformats.org/officeDocument/2006/relationships/hyperlink" Target="imagenes/NAUTICA_CLASSICS_117004771_BLK_1.jpg" TargetMode="External" Id="rId4940"/><Relationship Type="http://schemas.openxmlformats.org/officeDocument/2006/relationships/hyperlink" Target="imagenes/NAUTICA_CLASSICS_117004771_BLK_2.jpg" TargetMode="External" Id="rId4941"/><Relationship Type="http://schemas.openxmlformats.org/officeDocument/2006/relationships/hyperlink" Target="imagenes/NAUTICA_CLASSICS_117004771_BLK_3.jpg" TargetMode="External" Id="rId4942"/><Relationship Type="http://schemas.openxmlformats.org/officeDocument/2006/relationships/hyperlink" Target="imagenes/NAUTICA_CLASSICS_117004771_BLK_1.jpg" TargetMode="External" Id="rId4943"/><Relationship Type="http://schemas.openxmlformats.org/officeDocument/2006/relationships/hyperlink" Target="imagenes/NAUTICA_CLASSICS_117004771_BLK_2.jpg" TargetMode="External" Id="rId4944"/><Relationship Type="http://schemas.openxmlformats.org/officeDocument/2006/relationships/hyperlink" Target="imagenes/NAUTICA_CLASSICS_117004771_BLK_3.jpg" TargetMode="External" Id="rId4945"/><Relationship Type="http://schemas.openxmlformats.org/officeDocument/2006/relationships/hyperlink" Target="imagenes/NAUTICA_CLASSICS_117004795_BLK_1.jpg" TargetMode="External" Id="rId4946"/><Relationship Type="http://schemas.openxmlformats.org/officeDocument/2006/relationships/hyperlink" Target="imagenes/NAUTICA_CLASSICS_117004795_BLK_2.jpg" TargetMode="External" Id="rId4947"/><Relationship Type="http://schemas.openxmlformats.org/officeDocument/2006/relationships/hyperlink" Target="imagenes/NAUTICA_CLASSICS_117004795_BLK_3.jpg" TargetMode="External" Id="rId4948"/><Relationship Type="http://schemas.openxmlformats.org/officeDocument/2006/relationships/hyperlink" Target="imagenes/NAUTICA_CLASSICS_117004795_BLK_1.jpg" TargetMode="External" Id="rId4949"/><Relationship Type="http://schemas.openxmlformats.org/officeDocument/2006/relationships/hyperlink" Target="imagenes/NAUTICA_CLASSICS_117004795_BLK_2.jpg" TargetMode="External" Id="rId4950"/><Relationship Type="http://schemas.openxmlformats.org/officeDocument/2006/relationships/hyperlink" Target="imagenes/NAUTICA_CLASSICS_117004795_BLK_3.jpg" TargetMode="External" Id="rId4951"/><Relationship Type="http://schemas.openxmlformats.org/officeDocument/2006/relationships/hyperlink" Target="imagenes/NAUTICA_CLASSICS_117004795_BLK_1.jpg" TargetMode="External" Id="rId4952"/><Relationship Type="http://schemas.openxmlformats.org/officeDocument/2006/relationships/hyperlink" Target="imagenes/NAUTICA_CLASSICS_117004795_BLK_2.jpg" TargetMode="External" Id="rId4953"/><Relationship Type="http://schemas.openxmlformats.org/officeDocument/2006/relationships/hyperlink" Target="imagenes/NAUTICA_CLASSICS_117004795_BLK_3.jpg" TargetMode="External" Id="rId4954"/><Relationship Type="http://schemas.openxmlformats.org/officeDocument/2006/relationships/hyperlink" Target="imagenes/NAUTICA_CLASSICS_117004795_BLK_1.jpg" TargetMode="External" Id="rId4955"/><Relationship Type="http://schemas.openxmlformats.org/officeDocument/2006/relationships/hyperlink" Target="imagenes/NAUTICA_CLASSICS_117004795_BLK_2.jpg" TargetMode="External" Id="rId4956"/><Relationship Type="http://schemas.openxmlformats.org/officeDocument/2006/relationships/hyperlink" Target="imagenes/NAUTICA_CLASSICS_117004795_BLK_3.jpg" TargetMode="External" Id="rId4957"/><Relationship Type="http://schemas.openxmlformats.org/officeDocument/2006/relationships/hyperlink" Target="imagenes/NAUTICA_CLASSICS_117004795_BLK_1.jpg" TargetMode="External" Id="rId4958"/><Relationship Type="http://schemas.openxmlformats.org/officeDocument/2006/relationships/hyperlink" Target="imagenes/NAUTICA_CLASSICS_117004795_BLK_2.jpg" TargetMode="External" Id="rId4959"/><Relationship Type="http://schemas.openxmlformats.org/officeDocument/2006/relationships/hyperlink" Target="imagenes/NAUTICA_CLASSICS_117004795_BLK_3.jpg" TargetMode="External" Id="rId4960"/><Relationship Type="http://schemas.openxmlformats.org/officeDocument/2006/relationships/hyperlink" Target="imagenes/NAUTICA_CLASSICS_117004795_BLK_1.jpg" TargetMode="External" Id="rId4961"/><Relationship Type="http://schemas.openxmlformats.org/officeDocument/2006/relationships/hyperlink" Target="imagenes/NAUTICA_CLASSICS_117004795_BLK_2.jpg" TargetMode="External" Id="rId4962"/><Relationship Type="http://schemas.openxmlformats.org/officeDocument/2006/relationships/hyperlink" Target="imagenes/NAUTICA_CLASSICS_117004795_BLK_3.jpg" TargetMode="External" Id="rId4963"/><Relationship Type="http://schemas.openxmlformats.org/officeDocument/2006/relationships/hyperlink" Target="imagenes/NAUTICA_CLASSICS_117004795_BLK_1.jpg" TargetMode="External" Id="rId4964"/><Relationship Type="http://schemas.openxmlformats.org/officeDocument/2006/relationships/hyperlink" Target="imagenes/NAUTICA_CLASSICS_117004795_BLK_2.jpg" TargetMode="External" Id="rId4965"/><Relationship Type="http://schemas.openxmlformats.org/officeDocument/2006/relationships/hyperlink" Target="imagenes/NAUTICA_CLASSICS_117004795_BLK_3.jpg" TargetMode="External" Id="rId4966"/><Relationship Type="http://schemas.openxmlformats.org/officeDocument/2006/relationships/hyperlink" Target="imagenes/NAUTICA_CLASSICS_117004795_BLK_1.jpg" TargetMode="External" Id="rId4967"/><Relationship Type="http://schemas.openxmlformats.org/officeDocument/2006/relationships/hyperlink" Target="imagenes/NAUTICA_CLASSICS_117004795_BLK_2.jpg" TargetMode="External" Id="rId4968"/><Relationship Type="http://schemas.openxmlformats.org/officeDocument/2006/relationships/hyperlink" Target="imagenes/NAUTICA_CLASSICS_117004795_BLK_3.jpg" TargetMode="External" Id="rId4969"/><Relationship Type="http://schemas.openxmlformats.org/officeDocument/2006/relationships/hyperlink" Target="imagenes/NAUTICA_CLASSICS_117004817_BLK_1.jpg" TargetMode="External" Id="rId4970"/><Relationship Type="http://schemas.openxmlformats.org/officeDocument/2006/relationships/hyperlink" Target="imagenes/NAUTICA_CLASSICS_117004817_BLK_2.jpg" TargetMode="External" Id="rId4971"/><Relationship Type="http://schemas.openxmlformats.org/officeDocument/2006/relationships/hyperlink" Target="imagenes/NAUTICA_CLASSICS_117004817_BLK_3.jpg" TargetMode="External" Id="rId4972"/><Relationship Type="http://schemas.openxmlformats.org/officeDocument/2006/relationships/hyperlink" Target="imagenes/NAUTICA_CLASSICS_117004817_BLK_1.jpg" TargetMode="External" Id="rId4973"/><Relationship Type="http://schemas.openxmlformats.org/officeDocument/2006/relationships/hyperlink" Target="imagenes/NAUTICA_CLASSICS_117004817_BLK_2.jpg" TargetMode="External" Id="rId4974"/><Relationship Type="http://schemas.openxmlformats.org/officeDocument/2006/relationships/hyperlink" Target="imagenes/NAUTICA_CLASSICS_117004817_BLK_3.jpg" TargetMode="External" Id="rId4975"/><Relationship Type="http://schemas.openxmlformats.org/officeDocument/2006/relationships/hyperlink" Target="imagenes/NAUTICA_CLASSICS_117004817_BLK_1.jpg" TargetMode="External" Id="rId4976"/><Relationship Type="http://schemas.openxmlformats.org/officeDocument/2006/relationships/hyperlink" Target="imagenes/NAUTICA_CLASSICS_117004817_BLK_2.jpg" TargetMode="External" Id="rId4977"/><Relationship Type="http://schemas.openxmlformats.org/officeDocument/2006/relationships/hyperlink" Target="imagenes/NAUTICA_CLASSICS_117004817_BLK_3.jpg" TargetMode="External" Id="rId4978"/><Relationship Type="http://schemas.openxmlformats.org/officeDocument/2006/relationships/hyperlink" Target="imagenes/NAUTICA_CLASSICS_117004817_CTI_1.jpg" TargetMode="External" Id="rId4979"/><Relationship Type="http://schemas.openxmlformats.org/officeDocument/2006/relationships/hyperlink" Target="imagenes/NAUTICA_CLASSICS_117004817_CTI_2.jpg" TargetMode="External" Id="rId4980"/><Relationship Type="http://schemas.openxmlformats.org/officeDocument/2006/relationships/hyperlink" Target="imagenes/NAUTICA_CLASSICS_117004817_CTI_3.jpg" TargetMode="External" Id="rId4981"/><Relationship Type="http://schemas.openxmlformats.org/officeDocument/2006/relationships/hyperlink" Target="imagenes/NAUTICA_CLASSICS_117004817_SW4_1.jpg" TargetMode="External" Id="rId4982"/><Relationship Type="http://schemas.openxmlformats.org/officeDocument/2006/relationships/hyperlink" Target="imagenes/NAUTICA_CLASSICS_117004817_SW4_2.jpg" TargetMode="External" Id="rId4983"/><Relationship Type="http://schemas.openxmlformats.org/officeDocument/2006/relationships/hyperlink" Target="imagenes/NAUTICA_CLASSICS_117004817_SW4_3.jpg" TargetMode="External" Id="rId4984"/><Relationship Type="http://schemas.openxmlformats.org/officeDocument/2006/relationships/hyperlink" Target="imagenes/NAUTICA_CLASSICS_117004817_SW4_1.jpg" TargetMode="External" Id="rId4985"/><Relationship Type="http://schemas.openxmlformats.org/officeDocument/2006/relationships/hyperlink" Target="imagenes/NAUTICA_CLASSICS_117004817_SW4_2.jpg" TargetMode="External" Id="rId4986"/><Relationship Type="http://schemas.openxmlformats.org/officeDocument/2006/relationships/hyperlink" Target="imagenes/NAUTICA_CLASSICS_117004817_SW4_3.jpg" TargetMode="External" Id="rId4987"/><Relationship Type="http://schemas.openxmlformats.org/officeDocument/2006/relationships/hyperlink" Target="imagenes/NAUTICA_CLASSICS_117004817_SW4_1.jpg" TargetMode="External" Id="rId4988"/><Relationship Type="http://schemas.openxmlformats.org/officeDocument/2006/relationships/hyperlink" Target="imagenes/NAUTICA_CLASSICS_117004817_SW4_2.jpg" TargetMode="External" Id="rId4989"/><Relationship Type="http://schemas.openxmlformats.org/officeDocument/2006/relationships/hyperlink" Target="imagenes/NAUTICA_CLASSICS_117004817_SW4_3.jpg" TargetMode="External" Id="rId4990"/><Relationship Type="http://schemas.openxmlformats.org/officeDocument/2006/relationships/hyperlink" Target="imagenes/NAUTICA_CLASSICS_117004817_SW4_1.jpg" TargetMode="External" Id="rId4991"/><Relationship Type="http://schemas.openxmlformats.org/officeDocument/2006/relationships/hyperlink" Target="imagenes/NAUTICA_CLASSICS_117004817_SW4_2.jpg" TargetMode="External" Id="rId4992"/><Relationship Type="http://schemas.openxmlformats.org/officeDocument/2006/relationships/hyperlink" Target="imagenes/NAUTICA_CLASSICS_117004817_SW4_3.jpg" TargetMode="External" Id="rId4993"/><Relationship Type="http://schemas.openxmlformats.org/officeDocument/2006/relationships/hyperlink" Target="imagenes/NAUTICA_CLASSICS_117005001_BLK_1.jpg" TargetMode="External" Id="rId4994"/><Relationship Type="http://schemas.openxmlformats.org/officeDocument/2006/relationships/hyperlink" Target="imagenes/NAUTICA_CLASSICS_117005001_BLK_2.jpg" TargetMode="External" Id="rId4995"/><Relationship Type="http://schemas.openxmlformats.org/officeDocument/2006/relationships/hyperlink" Target="imagenes/NAUTICA_CLASSICS_117005001_BLK_3.jpg" TargetMode="External" Id="rId4996"/><Relationship Type="http://schemas.openxmlformats.org/officeDocument/2006/relationships/hyperlink" Target="imagenes/NAUTICA_CLASSICS_117005001_BLK_1.jpg" TargetMode="External" Id="rId4997"/><Relationship Type="http://schemas.openxmlformats.org/officeDocument/2006/relationships/hyperlink" Target="imagenes/NAUTICA_CLASSICS_117005001_BLK_2.jpg" TargetMode="External" Id="rId4998"/><Relationship Type="http://schemas.openxmlformats.org/officeDocument/2006/relationships/hyperlink" Target="imagenes/NAUTICA_CLASSICS_117005001_BLK_3.jpg" TargetMode="External" Id="rId4999"/><Relationship Type="http://schemas.openxmlformats.org/officeDocument/2006/relationships/hyperlink" Target="imagenes/NAUTICA_CLASSICS_117005001_BLK_1.jpg" TargetMode="External" Id="rId5000"/><Relationship Type="http://schemas.openxmlformats.org/officeDocument/2006/relationships/hyperlink" Target="imagenes/NAUTICA_CLASSICS_117005001_BLK_2.jpg" TargetMode="External" Id="rId5001"/><Relationship Type="http://schemas.openxmlformats.org/officeDocument/2006/relationships/hyperlink" Target="imagenes/NAUTICA_CLASSICS_117005001_BLK_3.jpg" TargetMode="External" Id="rId5002"/><Relationship Type="http://schemas.openxmlformats.org/officeDocument/2006/relationships/hyperlink" Target="imagenes/NAUTICA_CLASSICS_117005001_BLK_1.jpg" TargetMode="External" Id="rId5003"/><Relationship Type="http://schemas.openxmlformats.org/officeDocument/2006/relationships/hyperlink" Target="imagenes/NAUTICA_CLASSICS_117005001_BLK_2.jpg" TargetMode="External" Id="rId5004"/><Relationship Type="http://schemas.openxmlformats.org/officeDocument/2006/relationships/hyperlink" Target="imagenes/NAUTICA_CLASSICS_117005001_BLK_3.jpg" TargetMode="External" Id="rId5005"/><Relationship Type="http://schemas.openxmlformats.org/officeDocument/2006/relationships/hyperlink" Target="imagenes/NAUTICA_CLASSICS_117005001_HBE_1.jpg" TargetMode="External" Id="rId5006"/><Relationship Type="http://schemas.openxmlformats.org/officeDocument/2006/relationships/hyperlink" Target="imagenes/NAUTICA_CLASSICS_117005001_HBE_2.jpg" TargetMode="External" Id="rId5007"/><Relationship Type="http://schemas.openxmlformats.org/officeDocument/2006/relationships/hyperlink" Target="imagenes/NAUTICA_CLASSICS_117005001_HBE_3.jpg" TargetMode="External" Id="rId5008"/><Relationship Type="http://schemas.openxmlformats.org/officeDocument/2006/relationships/hyperlink" Target="imagenes/NAUTICA_CLASSICS_117005001_HBE_1.jpg" TargetMode="External" Id="rId5009"/><Relationship Type="http://schemas.openxmlformats.org/officeDocument/2006/relationships/hyperlink" Target="imagenes/NAUTICA_CLASSICS_117005001_HBE_2.jpg" TargetMode="External" Id="rId5010"/><Relationship Type="http://schemas.openxmlformats.org/officeDocument/2006/relationships/hyperlink" Target="imagenes/NAUTICA_CLASSICS_117005001_HBE_3.jpg" TargetMode="External" Id="rId5011"/><Relationship Type="http://schemas.openxmlformats.org/officeDocument/2006/relationships/hyperlink" Target="imagenes/NAUTICA_CLASSICS_117005001_HBE_1.jpg" TargetMode="External" Id="rId5012"/><Relationship Type="http://schemas.openxmlformats.org/officeDocument/2006/relationships/hyperlink" Target="imagenes/NAUTICA_CLASSICS_117005001_HBE_2.jpg" TargetMode="External" Id="rId5013"/><Relationship Type="http://schemas.openxmlformats.org/officeDocument/2006/relationships/hyperlink" Target="imagenes/NAUTICA_CLASSICS_117005001_HBE_3.jpg" TargetMode="External" Id="rId5014"/><Relationship Type="http://schemas.openxmlformats.org/officeDocument/2006/relationships/hyperlink" Target="imagenes/NAUTICA_CLASSICS_117005001_HBE_1.jpg" TargetMode="External" Id="rId5015"/><Relationship Type="http://schemas.openxmlformats.org/officeDocument/2006/relationships/hyperlink" Target="imagenes/NAUTICA_CLASSICS_117005001_HBE_2.jpg" TargetMode="External" Id="rId5016"/><Relationship Type="http://schemas.openxmlformats.org/officeDocument/2006/relationships/hyperlink" Target="imagenes/NAUTICA_CLASSICS_117005001_HBE_3.jpg" TargetMode="External" Id="rId5017"/><Relationship Type="http://schemas.openxmlformats.org/officeDocument/2006/relationships/hyperlink" Target="imagenes/NAUTICA_CLASSICS_117005001_LMS_1.jpg" TargetMode="External" Id="rId5018"/><Relationship Type="http://schemas.openxmlformats.org/officeDocument/2006/relationships/hyperlink" Target="imagenes/NAUTICA_CLASSICS_117005001_LMS_2.jpg" TargetMode="External" Id="rId5019"/><Relationship Type="http://schemas.openxmlformats.org/officeDocument/2006/relationships/hyperlink" Target="imagenes/NAUTICA_CLASSICS_117005001_LMS_3.jpg" TargetMode="External" Id="rId5020"/><Relationship Type="http://schemas.openxmlformats.org/officeDocument/2006/relationships/hyperlink" Target="imagenes/NAUTICA_CLASSICS_117005001_LMS_1.jpg" TargetMode="External" Id="rId5021"/><Relationship Type="http://schemas.openxmlformats.org/officeDocument/2006/relationships/hyperlink" Target="imagenes/NAUTICA_CLASSICS_117005001_LMS_2.jpg" TargetMode="External" Id="rId5022"/><Relationship Type="http://schemas.openxmlformats.org/officeDocument/2006/relationships/hyperlink" Target="imagenes/NAUTICA_CLASSICS_117005001_LMS_3.jpg" TargetMode="External" Id="rId5023"/><Relationship Type="http://schemas.openxmlformats.org/officeDocument/2006/relationships/hyperlink" Target="imagenes/NAUTICA_CLASSICS_117005001_LMS_1.jpg" TargetMode="External" Id="rId5024"/><Relationship Type="http://schemas.openxmlformats.org/officeDocument/2006/relationships/hyperlink" Target="imagenes/NAUTICA_CLASSICS_117005001_LMS_2.jpg" TargetMode="External" Id="rId5025"/><Relationship Type="http://schemas.openxmlformats.org/officeDocument/2006/relationships/hyperlink" Target="imagenes/NAUTICA_CLASSICS_117005001_LMS_3.jpg" TargetMode="External" Id="rId5026"/><Relationship Type="http://schemas.openxmlformats.org/officeDocument/2006/relationships/hyperlink" Target="imagenes/NAUTICA_CLASSICS_117005001_LMS_1.jpg" TargetMode="External" Id="rId5027"/><Relationship Type="http://schemas.openxmlformats.org/officeDocument/2006/relationships/hyperlink" Target="imagenes/NAUTICA_CLASSICS_117005001_LMS_2.jpg" TargetMode="External" Id="rId5028"/><Relationship Type="http://schemas.openxmlformats.org/officeDocument/2006/relationships/hyperlink" Target="imagenes/NAUTICA_CLASSICS_117005001_LMS_3.jpg" TargetMode="External" Id="rId5029"/><Relationship Type="http://schemas.openxmlformats.org/officeDocument/2006/relationships/hyperlink" Target="imagenes/NAUTICA_CLASSICS_117005001_LMS_1.jpg" TargetMode="External" Id="rId5030"/><Relationship Type="http://schemas.openxmlformats.org/officeDocument/2006/relationships/hyperlink" Target="imagenes/NAUTICA_CLASSICS_117005001_LMS_2.jpg" TargetMode="External" Id="rId5031"/><Relationship Type="http://schemas.openxmlformats.org/officeDocument/2006/relationships/hyperlink" Target="imagenes/NAUTICA_CLASSICS_117005001_LMS_3.jpg" TargetMode="External" Id="rId5032"/><Relationship Type="http://schemas.openxmlformats.org/officeDocument/2006/relationships/hyperlink" Target="imagenes/NAUTICA_CLASSICS_117005001_LMS_1.jpg" TargetMode="External" Id="rId5033"/><Relationship Type="http://schemas.openxmlformats.org/officeDocument/2006/relationships/hyperlink" Target="imagenes/NAUTICA_CLASSICS_117005001_LMS_2.jpg" TargetMode="External" Id="rId5034"/><Relationship Type="http://schemas.openxmlformats.org/officeDocument/2006/relationships/hyperlink" Target="imagenes/NAUTICA_CLASSICS_117005001_LMS_3.jpg" TargetMode="External" Id="rId5035"/><Relationship Type="http://schemas.openxmlformats.org/officeDocument/2006/relationships/hyperlink" Target="imagenes/NAUTICA_CLASSICS_117005001_LMS_1.jpg" TargetMode="External" Id="rId5036"/><Relationship Type="http://schemas.openxmlformats.org/officeDocument/2006/relationships/hyperlink" Target="imagenes/NAUTICA_CLASSICS_117005001_LMS_2.jpg" TargetMode="External" Id="rId5037"/><Relationship Type="http://schemas.openxmlformats.org/officeDocument/2006/relationships/hyperlink" Target="imagenes/NAUTICA_CLASSICS_117005001_LMS_3.jpg" TargetMode="External" Id="rId5038"/><Relationship Type="http://schemas.openxmlformats.org/officeDocument/2006/relationships/hyperlink" Target="imagenes/NAUTICA_CLASSICS_117005001_LMS_1.jpg" TargetMode="External" Id="rId5039"/><Relationship Type="http://schemas.openxmlformats.org/officeDocument/2006/relationships/hyperlink" Target="imagenes/NAUTICA_CLASSICS_117005001_LMS_2.jpg" TargetMode="External" Id="rId5040"/><Relationship Type="http://schemas.openxmlformats.org/officeDocument/2006/relationships/hyperlink" Target="imagenes/NAUTICA_CLASSICS_117005001_LMS_3.jpg" TargetMode="External" Id="rId5041"/><Relationship Type="http://schemas.openxmlformats.org/officeDocument/2006/relationships/hyperlink" Target="imagenes/NAUTICA_CLASSICS_117005001_LMS_1.jpg" TargetMode="External" Id="rId5042"/><Relationship Type="http://schemas.openxmlformats.org/officeDocument/2006/relationships/hyperlink" Target="imagenes/NAUTICA_CLASSICS_117005001_LMS_2.jpg" TargetMode="External" Id="rId5043"/><Relationship Type="http://schemas.openxmlformats.org/officeDocument/2006/relationships/hyperlink" Target="imagenes/NAUTICA_CLASSICS_117005001_LMS_3.jpg" TargetMode="External" Id="rId5044"/><Relationship Type="http://schemas.openxmlformats.org/officeDocument/2006/relationships/hyperlink" Target="imagenes/NAUTICA_CLASSICS_117005001_LMS_1.jpg" TargetMode="External" Id="rId5045"/><Relationship Type="http://schemas.openxmlformats.org/officeDocument/2006/relationships/hyperlink" Target="imagenes/NAUTICA_CLASSICS_117005001_LMS_2.jpg" TargetMode="External" Id="rId5046"/><Relationship Type="http://schemas.openxmlformats.org/officeDocument/2006/relationships/hyperlink" Target="imagenes/NAUTICA_CLASSICS_117005001_LMS_3.jpg" TargetMode="External" Id="rId5047"/><Relationship Type="http://schemas.openxmlformats.org/officeDocument/2006/relationships/hyperlink" Target="imagenes/NAUTICA_CLASSICS_117005001_PLF_1.jpg" TargetMode="External" Id="rId5048"/><Relationship Type="http://schemas.openxmlformats.org/officeDocument/2006/relationships/hyperlink" Target="imagenes/NAUTICA_CLASSICS_117005001_PLF_2.jpg" TargetMode="External" Id="rId5049"/><Relationship Type="http://schemas.openxmlformats.org/officeDocument/2006/relationships/hyperlink" Target="imagenes/NAUTICA_CLASSICS_117005001_PLF_3.jpg" TargetMode="External" Id="rId5050"/><Relationship Type="http://schemas.openxmlformats.org/officeDocument/2006/relationships/hyperlink" Target="imagenes/NAUTICA_CLASSICS_117005001P_BLK_1.jpg" TargetMode="External" Id="rId5051"/><Relationship Type="http://schemas.openxmlformats.org/officeDocument/2006/relationships/hyperlink" Target="imagenes/NAUTICA_CLASSICS_117005001P_BLK_2.jpg" TargetMode="External" Id="rId5052"/><Relationship Type="http://schemas.openxmlformats.org/officeDocument/2006/relationships/hyperlink" Target="imagenes/NAUTICA_CLASSICS_117005001P_BLK_3.jpg" TargetMode="External" Id="rId5053"/><Relationship Type="http://schemas.openxmlformats.org/officeDocument/2006/relationships/hyperlink" Target="imagenes/NAUTICA_CLASSICS_117005001P_HBE_1.jpg" TargetMode="External" Id="rId5054"/><Relationship Type="http://schemas.openxmlformats.org/officeDocument/2006/relationships/hyperlink" Target="imagenes/NAUTICA_CLASSICS_117005001P_HBE_2.jpg" TargetMode="External" Id="rId5055"/><Relationship Type="http://schemas.openxmlformats.org/officeDocument/2006/relationships/hyperlink" Target="imagenes/NAUTICA_CLASSICS_117005001P_HBE_3.jpg" TargetMode="External" Id="rId5056"/><Relationship Type="http://schemas.openxmlformats.org/officeDocument/2006/relationships/hyperlink" Target="imagenes/NAUTICA_CLASSICS_117005001P_PLF_1.jpg" TargetMode="External" Id="rId5057"/><Relationship Type="http://schemas.openxmlformats.org/officeDocument/2006/relationships/hyperlink" Target="imagenes/NAUTICA_CLASSICS_117005001P_PLF_2.jpg" TargetMode="External" Id="rId5058"/><Relationship Type="http://schemas.openxmlformats.org/officeDocument/2006/relationships/hyperlink" Target="imagenes/NAUTICA_CLASSICS_117005001P_PLF_3.jpg" TargetMode="External" Id="rId5059"/><Relationship Type="http://schemas.openxmlformats.org/officeDocument/2006/relationships/hyperlink" Target="imagenes/NAUTICA_CLASSICS_117005002_BLK_1.jpg" TargetMode="External" Id="rId5060"/><Relationship Type="http://schemas.openxmlformats.org/officeDocument/2006/relationships/hyperlink" Target="imagenes/NAUTICA_CLASSICS_117005002_BLK_2.jpg" TargetMode="External" Id="rId5061"/><Relationship Type="http://schemas.openxmlformats.org/officeDocument/2006/relationships/hyperlink" Target="imagenes/NAUTICA_CLASSICS_117005002_BLK_3.jpg" TargetMode="External" Id="rId5062"/><Relationship Type="http://schemas.openxmlformats.org/officeDocument/2006/relationships/hyperlink" Target="imagenes/NAUTICA_CLASSICS_117005002_HBE_1.jpg" TargetMode="External" Id="rId5063"/><Relationship Type="http://schemas.openxmlformats.org/officeDocument/2006/relationships/hyperlink" Target="imagenes/NAUTICA_CLASSICS_117005002_HBE_2.jpg" TargetMode="External" Id="rId5064"/><Relationship Type="http://schemas.openxmlformats.org/officeDocument/2006/relationships/hyperlink" Target="imagenes/NAUTICA_CLASSICS_117005002_HBE_3.jpg" TargetMode="External" Id="rId5065"/><Relationship Type="http://schemas.openxmlformats.org/officeDocument/2006/relationships/hyperlink" Target="imagenes/NAUTICA_CLASSICS_117005002_NSS_1.jpg" TargetMode="External" Id="rId5066"/><Relationship Type="http://schemas.openxmlformats.org/officeDocument/2006/relationships/hyperlink" Target="imagenes/NAUTICA_CLASSICS_117005002_NSS_2.jpg" TargetMode="External" Id="rId5067"/><Relationship Type="http://schemas.openxmlformats.org/officeDocument/2006/relationships/hyperlink" Target="imagenes/NAUTICA_CLASSICS_117005002_NSS_3.jpg" TargetMode="External" Id="rId5068"/><Relationship Type="http://schemas.openxmlformats.org/officeDocument/2006/relationships/hyperlink" Target="imagenes/NAUTICA_CLASSICS_117005002_WTW_1.jpg" TargetMode="External" Id="rId5069"/><Relationship Type="http://schemas.openxmlformats.org/officeDocument/2006/relationships/hyperlink" Target="imagenes/NAUTICA_CLASSICS_117005002_WTW_2.jpg" TargetMode="External" Id="rId5070"/><Relationship Type="http://schemas.openxmlformats.org/officeDocument/2006/relationships/hyperlink" Target="imagenes/NAUTICA_CLASSICS_117005002_WTW_3.jpg" TargetMode="External" Id="rId5071"/><Relationship Type="http://schemas.openxmlformats.org/officeDocument/2006/relationships/hyperlink" Target="imagenes/NAUTICA_CLASSICS_117005043_BLK_1.jpg" TargetMode="External" Id="rId5072"/><Relationship Type="http://schemas.openxmlformats.org/officeDocument/2006/relationships/hyperlink" Target="imagenes/NAUTICA_CLASSICS_117005043_BLK_2.jpg" TargetMode="External" Id="rId5073"/><Relationship Type="http://schemas.openxmlformats.org/officeDocument/2006/relationships/hyperlink" Target="imagenes/NAUTICA_CLASSICS_117005043_BLK_3.jpg" TargetMode="External" Id="rId5074"/><Relationship Type="http://schemas.openxmlformats.org/officeDocument/2006/relationships/hyperlink" Target="imagenes/NAUTICA_CLASSICS_117005043_BLK_1.jpg" TargetMode="External" Id="rId5075"/><Relationship Type="http://schemas.openxmlformats.org/officeDocument/2006/relationships/hyperlink" Target="imagenes/NAUTICA_CLASSICS_117005043_BLK_2.jpg" TargetMode="External" Id="rId5076"/><Relationship Type="http://schemas.openxmlformats.org/officeDocument/2006/relationships/hyperlink" Target="imagenes/NAUTICA_CLASSICS_117005043_BLK_3.jpg" TargetMode="External" Id="rId5077"/><Relationship Type="http://schemas.openxmlformats.org/officeDocument/2006/relationships/hyperlink" Target="imagenes/NAUTICA_CLASSICS_117005043_BLK_1.jpg" TargetMode="External" Id="rId5078"/><Relationship Type="http://schemas.openxmlformats.org/officeDocument/2006/relationships/hyperlink" Target="imagenes/NAUTICA_CLASSICS_117005043_BLK_2.jpg" TargetMode="External" Id="rId5079"/><Relationship Type="http://schemas.openxmlformats.org/officeDocument/2006/relationships/hyperlink" Target="imagenes/NAUTICA_CLASSICS_117005043_BLK_3.jpg" TargetMode="External" Id="rId5080"/><Relationship Type="http://schemas.openxmlformats.org/officeDocument/2006/relationships/hyperlink" Target="imagenes/NAUTICA_CLASSICS_117005043_BLU_1.jpg" TargetMode="External" Id="rId5081"/><Relationship Type="http://schemas.openxmlformats.org/officeDocument/2006/relationships/hyperlink" Target="imagenes/NAUTICA_CLASSICS_117005043_BLU_2.jpg" TargetMode="External" Id="rId5082"/><Relationship Type="http://schemas.openxmlformats.org/officeDocument/2006/relationships/hyperlink" Target="imagenes/NAUTICA_CLASSICS_117005043_BLU_1.jpg" TargetMode="External" Id="rId5083"/><Relationship Type="http://schemas.openxmlformats.org/officeDocument/2006/relationships/hyperlink" Target="imagenes/NAUTICA_CLASSICS_117005043_BLU_2.jpg" TargetMode="External" Id="rId5084"/><Relationship Type="http://schemas.openxmlformats.org/officeDocument/2006/relationships/hyperlink" Target="imagenes/NAUTICA_CLASSICS_117005043_CST_1.jpg" TargetMode="External" Id="rId5085"/><Relationship Type="http://schemas.openxmlformats.org/officeDocument/2006/relationships/hyperlink" Target="imagenes/NAUTICA_CLASSICS_117005043_CST_2.jpg" TargetMode="External" Id="rId5086"/><Relationship Type="http://schemas.openxmlformats.org/officeDocument/2006/relationships/hyperlink" Target="imagenes/NAUTICA_CLASSICS_117005043_CST_3.jpg" TargetMode="External" Id="rId5087"/><Relationship Type="http://schemas.openxmlformats.org/officeDocument/2006/relationships/hyperlink" Target="imagenes/NAUTICA_CLASSICS_117005043_CST_1.jpg" TargetMode="External" Id="rId5088"/><Relationship Type="http://schemas.openxmlformats.org/officeDocument/2006/relationships/hyperlink" Target="imagenes/NAUTICA_CLASSICS_117005043_CST_2.jpg" TargetMode="External" Id="rId5089"/><Relationship Type="http://schemas.openxmlformats.org/officeDocument/2006/relationships/hyperlink" Target="imagenes/NAUTICA_CLASSICS_117005043_CST_3.jpg" TargetMode="External" Id="rId5090"/><Relationship Type="http://schemas.openxmlformats.org/officeDocument/2006/relationships/hyperlink" Target="imagenes/NAUTICA_CLASSICS_117005043_CST_1.jpg" TargetMode="External" Id="rId5091"/><Relationship Type="http://schemas.openxmlformats.org/officeDocument/2006/relationships/hyperlink" Target="imagenes/NAUTICA_CLASSICS_117005043_CST_2.jpg" TargetMode="External" Id="rId5092"/><Relationship Type="http://schemas.openxmlformats.org/officeDocument/2006/relationships/hyperlink" Target="imagenes/NAUTICA_CLASSICS_117005043_CST_3.jpg" TargetMode="External" Id="rId5093"/><Relationship Type="http://schemas.openxmlformats.org/officeDocument/2006/relationships/hyperlink" Target="imagenes/NAUTICA_CLASSICS_117005127_B4K_2.jpg" TargetMode="External" Id="rId5094"/><Relationship Type="http://schemas.openxmlformats.org/officeDocument/2006/relationships/hyperlink" Target="imagenes/NAUTICA_CLASSICS_117005127_B4K_3.jpg" TargetMode="External" Id="rId5095"/><Relationship Type="http://schemas.openxmlformats.org/officeDocument/2006/relationships/hyperlink" Target="imagenes/NAUTICA_CLASSICS_117005127_ZCR_2.jpg" TargetMode="External" Id="rId5096"/><Relationship Type="http://schemas.openxmlformats.org/officeDocument/2006/relationships/hyperlink" Target="imagenes/NAUTICA_CLASSICS_117005127_ZCR_3.jpg" TargetMode="External" Id="rId5097"/><Relationship Type="http://schemas.openxmlformats.org/officeDocument/2006/relationships/hyperlink" Target="imagenes/NAUTICA_CLASSICS_117005131_B4K_1.jpg" TargetMode="External" Id="rId5098"/><Relationship Type="http://schemas.openxmlformats.org/officeDocument/2006/relationships/hyperlink" Target="imagenes/NAUTICA_CLASSICS_117005131_B4K_2.jpg" TargetMode="External" Id="rId5099"/><Relationship Type="http://schemas.openxmlformats.org/officeDocument/2006/relationships/hyperlink" Target="imagenes/NAUTICA_CLASSICS_117005131_B4K_3.jpg" TargetMode="External" Id="rId5100"/><Relationship Type="http://schemas.openxmlformats.org/officeDocument/2006/relationships/hyperlink" Target="imagenes/NAUTICA_CLASSICS_117005131_B4K_1.jpg" TargetMode="External" Id="rId5101"/><Relationship Type="http://schemas.openxmlformats.org/officeDocument/2006/relationships/hyperlink" Target="imagenes/NAUTICA_CLASSICS_117005131_B4K_2.jpg" TargetMode="External" Id="rId5102"/><Relationship Type="http://schemas.openxmlformats.org/officeDocument/2006/relationships/hyperlink" Target="imagenes/NAUTICA_CLASSICS_117005131_B4K_3.jpg" TargetMode="External" Id="rId5103"/><Relationship Type="http://schemas.openxmlformats.org/officeDocument/2006/relationships/hyperlink" Target="imagenes/NAUTICA_CLASSICS_117005131_B4K_1.jpg" TargetMode="External" Id="rId5104"/><Relationship Type="http://schemas.openxmlformats.org/officeDocument/2006/relationships/hyperlink" Target="imagenes/NAUTICA_CLASSICS_117005131_B4K_2.jpg" TargetMode="External" Id="rId5105"/><Relationship Type="http://schemas.openxmlformats.org/officeDocument/2006/relationships/hyperlink" Target="imagenes/NAUTICA_CLASSICS_117005131_B4K_3.jpg" TargetMode="External" Id="rId5106"/><Relationship Type="http://schemas.openxmlformats.org/officeDocument/2006/relationships/hyperlink" Target="imagenes/NAUTICA_CLASSICS_117005131_BLK_1.jpg" TargetMode="External" Id="rId5107"/><Relationship Type="http://schemas.openxmlformats.org/officeDocument/2006/relationships/hyperlink" Target="imagenes/NAUTICA_CLASSICS_117005131_BLK_2.jpg" TargetMode="External" Id="rId5108"/><Relationship Type="http://schemas.openxmlformats.org/officeDocument/2006/relationships/hyperlink" Target="imagenes/NAUTICA_CLASSICS_117005131_BLK_3.jpg" TargetMode="External" Id="rId5109"/><Relationship Type="http://schemas.openxmlformats.org/officeDocument/2006/relationships/hyperlink" Target="imagenes/NAUTICA_CLASSICS_117005131_BLK_1.jpg" TargetMode="External" Id="rId5110"/><Relationship Type="http://schemas.openxmlformats.org/officeDocument/2006/relationships/hyperlink" Target="imagenes/NAUTICA_CLASSICS_117005131_BLK_2.jpg" TargetMode="External" Id="rId5111"/><Relationship Type="http://schemas.openxmlformats.org/officeDocument/2006/relationships/hyperlink" Target="imagenes/NAUTICA_CLASSICS_117005131_BLK_3.jpg" TargetMode="External" Id="rId5112"/><Relationship Type="http://schemas.openxmlformats.org/officeDocument/2006/relationships/hyperlink" Target="imagenes/NAUTICA_CLASSICS_117005131_BLK_1.jpg" TargetMode="External" Id="rId5113"/><Relationship Type="http://schemas.openxmlformats.org/officeDocument/2006/relationships/hyperlink" Target="imagenes/NAUTICA_CLASSICS_117005131_BLK_2.jpg" TargetMode="External" Id="rId5114"/><Relationship Type="http://schemas.openxmlformats.org/officeDocument/2006/relationships/hyperlink" Target="imagenes/NAUTICA_CLASSICS_117005131_BLK_3.jpg" TargetMode="External" Id="rId5115"/><Relationship Type="http://schemas.openxmlformats.org/officeDocument/2006/relationships/hyperlink" Target="imagenes/NAUTICA_CLASSICS_117005131_BLK_1.jpg" TargetMode="External" Id="rId5116"/><Relationship Type="http://schemas.openxmlformats.org/officeDocument/2006/relationships/hyperlink" Target="imagenes/NAUTICA_CLASSICS_117005131_BLK_2.jpg" TargetMode="External" Id="rId5117"/><Relationship Type="http://schemas.openxmlformats.org/officeDocument/2006/relationships/hyperlink" Target="imagenes/NAUTICA_CLASSICS_117005131_BLK_3.jpg" TargetMode="External" Id="rId5118"/><Relationship Type="http://schemas.openxmlformats.org/officeDocument/2006/relationships/hyperlink" Target="imagenes/NAUTICA_CLASSICS_117005131_VDE_1.jpg" TargetMode="External" Id="rId5119"/><Relationship Type="http://schemas.openxmlformats.org/officeDocument/2006/relationships/hyperlink" Target="imagenes/NAUTICA_CLASSICS_117005131_VDE_2.jpg" TargetMode="External" Id="rId5120"/><Relationship Type="http://schemas.openxmlformats.org/officeDocument/2006/relationships/hyperlink" Target="imagenes/NAUTICA_CLASSICS_117005131_VDE_3.jpg" TargetMode="External" Id="rId5121"/><Relationship Type="http://schemas.openxmlformats.org/officeDocument/2006/relationships/hyperlink" Target="imagenes/NAUTICA_CLASSICS_117005414_B4K_1.jpg" TargetMode="External" Id="rId5122"/><Relationship Type="http://schemas.openxmlformats.org/officeDocument/2006/relationships/hyperlink" Target="imagenes/NAUTICA_CLASSICS_117005414_B4K_2.jpg" TargetMode="External" Id="rId5123"/><Relationship Type="http://schemas.openxmlformats.org/officeDocument/2006/relationships/hyperlink" Target="imagenes/NAUTICA_CLASSICS_117005414_B4K_3.jpg" TargetMode="External" Id="rId5124"/><Relationship Type="http://schemas.openxmlformats.org/officeDocument/2006/relationships/hyperlink" Target="imagenes/NAUTICA_CLASSICS_117005414_B4K_1.jpg" TargetMode="External" Id="rId5125"/><Relationship Type="http://schemas.openxmlformats.org/officeDocument/2006/relationships/hyperlink" Target="imagenes/NAUTICA_CLASSICS_117005414_B4K_2.jpg" TargetMode="External" Id="rId5126"/><Relationship Type="http://schemas.openxmlformats.org/officeDocument/2006/relationships/hyperlink" Target="imagenes/NAUTICA_CLASSICS_117005414_B4K_3.jpg" TargetMode="External" Id="rId5127"/><Relationship Type="http://schemas.openxmlformats.org/officeDocument/2006/relationships/hyperlink" Target="imagenes/NAUTICA_CLASSICS_117005414_B4K_1.jpg" TargetMode="External" Id="rId5128"/><Relationship Type="http://schemas.openxmlformats.org/officeDocument/2006/relationships/hyperlink" Target="imagenes/NAUTICA_CLASSICS_117005414_B4K_2.jpg" TargetMode="External" Id="rId5129"/><Relationship Type="http://schemas.openxmlformats.org/officeDocument/2006/relationships/hyperlink" Target="imagenes/NAUTICA_CLASSICS_117005414_B4K_3.jpg" TargetMode="External" Id="rId5130"/><Relationship Type="http://schemas.openxmlformats.org/officeDocument/2006/relationships/hyperlink" Target="imagenes/NAUTICA_CLASSICS_117005414_B4K_1.jpg" TargetMode="External" Id="rId5131"/><Relationship Type="http://schemas.openxmlformats.org/officeDocument/2006/relationships/hyperlink" Target="imagenes/NAUTICA_CLASSICS_117005414_B4K_2.jpg" TargetMode="External" Id="rId5132"/><Relationship Type="http://schemas.openxmlformats.org/officeDocument/2006/relationships/hyperlink" Target="imagenes/NAUTICA_CLASSICS_117005414_B4K_3.jpg" TargetMode="External" Id="rId5133"/><Relationship Type="http://schemas.openxmlformats.org/officeDocument/2006/relationships/hyperlink" Target="imagenes/NAUTICA_CLASSICS_117005414_B4K_1.jpg" TargetMode="External" Id="rId5134"/><Relationship Type="http://schemas.openxmlformats.org/officeDocument/2006/relationships/hyperlink" Target="imagenes/NAUTICA_CLASSICS_117005414_B4K_2.jpg" TargetMode="External" Id="rId5135"/><Relationship Type="http://schemas.openxmlformats.org/officeDocument/2006/relationships/hyperlink" Target="imagenes/NAUTICA_CLASSICS_117005414_B4K_3.jpg" TargetMode="External" Id="rId5136"/><Relationship Type="http://schemas.openxmlformats.org/officeDocument/2006/relationships/hyperlink" Target="imagenes/NAUTICA_CLASSICS_117005414_B4K_1.jpg" TargetMode="External" Id="rId5137"/><Relationship Type="http://schemas.openxmlformats.org/officeDocument/2006/relationships/hyperlink" Target="imagenes/NAUTICA_CLASSICS_117005414_B4K_2.jpg" TargetMode="External" Id="rId5138"/><Relationship Type="http://schemas.openxmlformats.org/officeDocument/2006/relationships/hyperlink" Target="imagenes/NAUTICA_CLASSICS_117005414_B4K_3.jpg" TargetMode="External" Id="rId5139"/><Relationship Type="http://schemas.openxmlformats.org/officeDocument/2006/relationships/hyperlink" Target="imagenes/NAUTICA_CLASSICS_117005414_BLK_1.jpg" TargetMode="External" Id="rId5140"/><Relationship Type="http://schemas.openxmlformats.org/officeDocument/2006/relationships/hyperlink" Target="imagenes/NAUTICA_CLASSICS_117005414_BLK_2.jpg" TargetMode="External" Id="rId5141"/><Relationship Type="http://schemas.openxmlformats.org/officeDocument/2006/relationships/hyperlink" Target="imagenes/NAUTICA_CLASSICS_117005414_BLK_3.jpg" TargetMode="External" Id="rId5142"/><Relationship Type="http://schemas.openxmlformats.org/officeDocument/2006/relationships/hyperlink" Target="imagenes/NAUTICA_CLASSICS_117005414_BLK_1.jpg" TargetMode="External" Id="rId5143"/><Relationship Type="http://schemas.openxmlformats.org/officeDocument/2006/relationships/hyperlink" Target="imagenes/NAUTICA_CLASSICS_117005414_BLK_2.jpg" TargetMode="External" Id="rId5144"/><Relationship Type="http://schemas.openxmlformats.org/officeDocument/2006/relationships/hyperlink" Target="imagenes/NAUTICA_CLASSICS_117005414_BLK_3.jpg" TargetMode="External" Id="rId5145"/><Relationship Type="http://schemas.openxmlformats.org/officeDocument/2006/relationships/hyperlink" Target="imagenes/NAUTICA_CLASSICS_117005414_BLK_1.jpg" TargetMode="External" Id="rId5146"/><Relationship Type="http://schemas.openxmlformats.org/officeDocument/2006/relationships/hyperlink" Target="imagenes/NAUTICA_CLASSICS_117005414_BLK_2.jpg" TargetMode="External" Id="rId5147"/><Relationship Type="http://schemas.openxmlformats.org/officeDocument/2006/relationships/hyperlink" Target="imagenes/NAUTICA_CLASSICS_117005414_BLK_3.jpg" TargetMode="External" Id="rId5148"/><Relationship Type="http://schemas.openxmlformats.org/officeDocument/2006/relationships/hyperlink" Target="imagenes/NAUTICA_CLASSICS_117005414_BLK_1.jpg" TargetMode="External" Id="rId5149"/><Relationship Type="http://schemas.openxmlformats.org/officeDocument/2006/relationships/hyperlink" Target="imagenes/NAUTICA_CLASSICS_117005414_BLK_2.jpg" TargetMode="External" Id="rId5150"/><Relationship Type="http://schemas.openxmlformats.org/officeDocument/2006/relationships/hyperlink" Target="imagenes/NAUTICA_CLASSICS_117005414_BLK_3.jpg" TargetMode="External" Id="rId5151"/><Relationship Type="http://schemas.openxmlformats.org/officeDocument/2006/relationships/hyperlink" Target="imagenes/NAUTICA_CLASSICS_117005414_BLK_1.jpg" TargetMode="External" Id="rId5152"/><Relationship Type="http://schemas.openxmlformats.org/officeDocument/2006/relationships/hyperlink" Target="imagenes/NAUTICA_CLASSICS_117005414_BLK_2.jpg" TargetMode="External" Id="rId5153"/><Relationship Type="http://schemas.openxmlformats.org/officeDocument/2006/relationships/hyperlink" Target="imagenes/NAUTICA_CLASSICS_117005414_BLK_3.jpg" TargetMode="External" Id="rId5154"/><Relationship Type="http://schemas.openxmlformats.org/officeDocument/2006/relationships/hyperlink" Target="imagenes/NAUTICA_CLASSICS_117005414_BLK_1.jpg" TargetMode="External" Id="rId5155"/><Relationship Type="http://schemas.openxmlformats.org/officeDocument/2006/relationships/hyperlink" Target="imagenes/NAUTICA_CLASSICS_117005414_BLK_2.jpg" TargetMode="External" Id="rId5156"/><Relationship Type="http://schemas.openxmlformats.org/officeDocument/2006/relationships/hyperlink" Target="imagenes/NAUTICA_CLASSICS_117005414_BLK_3.jpg" TargetMode="External" Id="rId5157"/><Relationship Type="http://schemas.openxmlformats.org/officeDocument/2006/relationships/hyperlink" Target="imagenes/NAUTICA_CLASSICS_117005414_OXA_1.jpg" TargetMode="External" Id="rId5158"/><Relationship Type="http://schemas.openxmlformats.org/officeDocument/2006/relationships/hyperlink" Target="imagenes/NAUTICA_CLASSICS_117005414_OXA_2.jpg" TargetMode="External" Id="rId5159"/><Relationship Type="http://schemas.openxmlformats.org/officeDocument/2006/relationships/hyperlink" Target="imagenes/NAUTICA_CLASSICS_117005414_OXA_3.jpg" TargetMode="External" Id="rId5160"/><Relationship Type="http://schemas.openxmlformats.org/officeDocument/2006/relationships/hyperlink" Target="imagenes/NAUTICA_CLASSICS_117005414_OXA_1.jpg" TargetMode="External" Id="rId5161"/><Relationship Type="http://schemas.openxmlformats.org/officeDocument/2006/relationships/hyperlink" Target="imagenes/NAUTICA_CLASSICS_117005414_OXA_2.jpg" TargetMode="External" Id="rId5162"/><Relationship Type="http://schemas.openxmlformats.org/officeDocument/2006/relationships/hyperlink" Target="imagenes/NAUTICA_CLASSICS_117005414_OXA_3.jpg" TargetMode="External" Id="rId5163"/><Relationship Type="http://schemas.openxmlformats.org/officeDocument/2006/relationships/hyperlink" Target="imagenes/NAUTICA_CLASSICS_117005414_OXA_1.jpg" TargetMode="External" Id="rId5164"/><Relationship Type="http://schemas.openxmlformats.org/officeDocument/2006/relationships/hyperlink" Target="imagenes/NAUTICA_CLASSICS_117005414_OXA_2.jpg" TargetMode="External" Id="rId5165"/><Relationship Type="http://schemas.openxmlformats.org/officeDocument/2006/relationships/hyperlink" Target="imagenes/NAUTICA_CLASSICS_117005414_OXA_3.jpg" TargetMode="External" Id="rId5166"/><Relationship Type="http://schemas.openxmlformats.org/officeDocument/2006/relationships/hyperlink" Target="imagenes/NAUTICA_CLASSICS_117005414_OXA_1.jpg" TargetMode="External" Id="rId5167"/><Relationship Type="http://schemas.openxmlformats.org/officeDocument/2006/relationships/hyperlink" Target="imagenes/NAUTICA_CLASSICS_117005414_OXA_2.jpg" TargetMode="External" Id="rId5168"/><Relationship Type="http://schemas.openxmlformats.org/officeDocument/2006/relationships/hyperlink" Target="imagenes/NAUTICA_CLASSICS_117005414_OXA_3.jpg" TargetMode="External" Id="rId5169"/><Relationship Type="http://schemas.openxmlformats.org/officeDocument/2006/relationships/hyperlink" Target="imagenes/NAUTICA_CLASSICS_117005414_OXA_1.jpg" TargetMode="External" Id="rId5170"/><Relationship Type="http://schemas.openxmlformats.org/officeDocument/2006/relationships/hyperlink" Target="imagenes/NAUTICA_CLASSICS_117005414_OXA_2.jpg" TargetMode="External" Id="rId5171"/><Relationship Type="http://schemas.openxmlformats.org/officeDocument/2006/relationships/hyperlink" Target="imagenes/NAUTICA_CLASSICS_117005414_OXA_3.jpg" TargetMode="External" Id="rId5172"/><Relationship Type="http://schemas.openxmlformats.org/officeDocument/2006/relationships/hyperlink" Target="imagenes/NAUTICA_CLASSICS_117005414_OXA_1.jpg" TargetMode="External" Id="rId5173"/><Relationship Type="http://schemas.openxmlformats.org/officeDocument/2006/relationships/hyperlink" Target="imagenes/NAUTICA_CLASSICS_117005414_OXA_2.jpg" TargetMode="External" Id="rId5174"/><Relationship Type="http://schemas.openxmlformats.org/officeDocument/2006/relationships/hyperlink" Target="imagenes/NAUTICA_CLASSICS_117005414_OXA_3.jpg" TargetMode="External" Id="rId5175"/><Relationship Type="http://schemas.openxmlformats.org/officeDocument/2006/relationships/hyperlink" Target="imagenes/NAUTICA_CLASSICS_117005573_BLK_1.jpg" TargetMode="External" Id="rId5176"/><Relationship Type="http://schemas.openxmlformats.org/officeDocument/2006/relationships/hyperlink" Target="imagenes/NAUTICA_CLASSICS_117005573_BLK_2.jpg" TargetMode="External" Id="rId5177"/><Relationship Type="http://schemas.openxmlformats.org/officeDocument/2006/relationships/hyperlink" Target="imagenes/NAUTICA_CLASSICS_117005573_BLK_3.jpg" TargetMode="External" Id="rId5178"/><Relationship Type="http://schemas.openxmlformats.org/officeDocument/2006/relationships/hyperlink" Target="imagenes/NAUTICA_CLASSICS_117005573_BLK_1.jpg" TargetMode="External" Id="rId5179"/><Relationship Type="http://schemas.openxmlformats.org/officeDocument/2006/relationships/hyperlink" Target="imagenes/NAUTICA_CLASSICS_117005573_BLK_2.jpg" TargetMode="External" Id="rId5180"/><Relationship Type="http://schemas.openxmlformats.org/officeDocument/2006/relationships/hyperlink" Target="imagenes/NAUTICA_CLASSICS_117005573_BLK_3.jpg" TargetMode="External" Id="rId5181"/><Relationship Type="http://schemas.openxmlformats.org/officeDocument/2006/relationships/hyperlink" Target="imagenes/NAUTICA_CLASSICS_117005573_BLK_1.jpg" TargetMode="External" Id="rId5182"/><Relationship Type="http://schemas.openxmlformats.org/officeDocument/2006/relationships/hyperlink" Target="imagenes/NAUTICA_CLASSICS_117005573_BLK_2.jpg" TargetMode="External" Id="rId5183"/><Relationship Type="http://schemas.openxmlformats.org/officeDocument/2006/relationships/hyperlink" Target="imagenes/NAUTICA_CLASSICS_117005573_BLK_3.jpg" TargetMode="External" Id="rId5184"/><Relationship Type="http://schemas.openxmlformats.org/officeDocument/2006/relationships/hyperlink" Target="imagenes/NAUTICA_CLASSICS_117005573_BLK_1.jpg" TargetMode="External" Id="rId5185"/><Relationship Type="http://schemas.openxmlformats.org/officeDocument/2006/relationships/hyperlink" Target="imagenes/NAUTICA_CLASSICS_117005573_BLK_2.jpg" TargetMode="External" Id="rId5186"/><Relationship Type="http://schemas.openxmlformats.org/officeDocument/2006/relationships/hyperlink" Target="imagenes/NAUTICA_CLASSICS_117005573_BLK_3.jpg" TargetMode="External" Id="rId5187"/><Relationship Type="http://schemas.openxmlformats.org/officeDocument/2006/relationships/hyperlink" Target="imagenes/NAUTICA_CLASSICS_117005820_B7H_1.jpg" TargetMode="External" Id="rId5188"/><Relationship Type="http://schemas.openxmlformats.org/officeDocument/2006/relationships/hyperlink" Target="imagenes/NAUTICA_CLASSICS_117005820_B7H_2.jpg" TargetMode="External" Id="rId5189"/><Relationship Type="http://schemas.openxmlformats.org/officeDocument/2006/relationships/hyperlink" Target="imagenes/NAUTICA_CLASSICS_117005820_B7H_3.jpg" TargetMode="External" Id="rId5190"/><Relationship Type="http://schemas.openxmlformats.org/officeDocument/2006/relationships/hyperlink" Target="imagenes/NAUTICA_CLASSICS_117005820_B7H_1.jpg" TargetMode="External" Id="rId5191"/><Relationship Type="http://schemas.openxmlformats.org/officeDocument/2006/relationships/hyperlink" Target="imagenes/NAUTICA_CLASSICS_117005820_B7H_2.jpg" TargetMode="External" Id="rId5192"/><Relationship Type="http://schemas.openxmlformats.org/officeDocument/2006/relationships/hyperlink" Target="imagenes/NAUTICA_CLASSICS_117005820_B7H_3.jpg" TargetMode="External" Id="rId5193"/><Relationship Type="http://schemas.openxmlformats.org/officeDocument/2006/relationships/hyperlink" Target="imagenes/NAUTICA_CLASSICS_117005820_B7H_1.jpg" TargetMode="External" Id="rId5194"/><Relationship Type="http://schemas.openxmlformats.org/officeDocument/2006/relationships/hyperlink" Target="imagenes/NAUTICA_CLASSICS_117005820_B7H_2.jpg" TargetMode="External" Id="rId5195"/><Relationship Type="http://schemas.openxmlformats.org/officeDocument/2006/relationships/hyperlink" Target="imagenes/NAUTICA_CLASSICS_117005820_B7H_3.jpg" TargetMode="External" Id="rId5196"/><Relationship Type="http://schemas.openxmlformats.org/officeDocument/2006/relationships/hyperlink" Target="imagenes/NAUTICA_CLASSICS_117005820_B7H_1.jpg" TargetMode="External" Id="rId5197"/><Relationship Type="http://schemas.openxmlformats.org/officeDocument/2006/relationships/hyperlink" Target="imagenes/NAUTICA_CLASSICS_117005820_B7H_2.jpg" TargetMode="External" Id="rId5198"/><Relationship Type="http://schemas.openxmlformats.org/officeDocument/2006/relationships/hyperlink" Target="imagenes/NAUTICA_CLASSICS_117005820_B7H_3.jpg" TargetMode="External" Id="rId5199"/><Relationship Type="http://schemas.openxmlformats.org/officeDocument/2006/relationships/hyperlink" Target="imagenes/NAUTICA_CLASSICS_117005820_B7H_1.jpg" TargetMode="External" Id="rId5200"/><Relationship Type="http://schemas.openxmlformats.org/officeDocument/2006/relationships/hyperlink" Target="imagenes/NAUTICA_CLASSICS_117005820_B7H_2.jpg" TargetMode="External" Id="rId5201"/><Relationship Type="http://schemas.openxmlformats.org/officeDocument/2006/relationships/hyperlink" Target="imagenes/NAUTICA_CLASSICS_117005820_B7H_3.jpg" TargetMode="External" Id="rId5202"/><Relationship Type="http://schemas.openxmlformats.org/officeDocument/2006/relationships/hyperlink" Target="imagenes/NAUTICA_CLASSICS_117005820_BLK_1.jpg" TargetMode="External" Id="rId5203"/><Relationship Type="http://schemas.openxmlformats.org/officeDocument/2006/relationships/hyperlink" Target="imagenes/NAUTICA_CLASSICS_117005820_BLK_2.jpg" TargetMode="External" Id="rId5204"/><Relationship Type="http://schemas.openxmlformats.org/officeDocument/2006/relationships/hyperlink" Target="imagenes/NAUTICA_CLASSICS_117005820_BLK_3.jpg" TargetMode="External" Id="rId5205"/><Relationship Type="http://schemas.openxmlformats.org/officeDocument/2006/relationships/hyperlink" Target="imagenes/NAUTICA_CLASSICS_117005820_BLK_1.jpg" TargetMode="External" Id="rId5206"/><Relationship Type="http://schemas.openxmlformats.org/officeDocument/2006/relationships/hyperlink" Target="imagenes/NAUTICA_CLASSICS_117005820_BLK_2.jpg" TargetMode="External" Id="rId5207"/><Relationship Type="http://schemas.openxmlformats.org/officeDocument/2006/relationships/hyperlink" Target="imagenes/NAUTICA_CLASSICS_117005820_BLK_3.jpg" TargetMode="External" Id="rId5208"/><Relationship Type="http://schemas.openxmlformats.org/officeDocument/2006/relationships/hyperlink" Target="imagenes/NAUTICA_CLASSICS_117005820_BLK_1.jpg" TargetMode="External" Id="rId5209"/><Relationship Type="http://schemas.openxmlformats.org/officeDocument/2006/relationships/hyperlink" Target="imagenes/NAUTICA_CLASSICS_117005820_BLK_2.jpg" TargetMode="External" Id="rId5210"/><Relationship Type="http://schemas.openxmlformats.org/officeDocument/2006/relationships/hyperlink" Target="imagenes/NAUTICA_CLASSICS_117005820_BLK_3.jpg" TargetMode="External" Id="rId5211"/><Relationship Type="http://schemas.openxmlformats.org/officeDocument/2006/relationships/hyperlink" Target="imagenes/NAUTICA_CLASSICS_117005820_BLK_1.jpg" TargetMode="External" Id="rId5212"/><Relationship Type="http://schemas.openxmlformats.org/officeDocument/2006/relationships/hyperlink" Target="imagenes/NAUTICA_CLASSICS_117005820_BLK_2.jpg" TargetMode="External" Id="rId5213"/><Relationship Type="http://schemas.openxmlformats.org/officeDocument/2006/relationships/hyperlink" Target="imagenes/NAUTICA_CLASSICS_117005820_BLK_3.jpg" TargetMode="External" Id="rId5214"/><Relationship Type="http://schemas.openxmlformats.org/officeDocument/2006/relationships/hyperlink" Target="imagenes/NAUTICA_CLASSICS_117005820_BLK_1.jpg" TargetMode="External" Id="rId5215"/><Relationship Type="http://schemas.openxmlformats.org/officeDocument/2006/relationships/hyperlink" Target="imagenes/NAUTICA_CLASSICS_117005820_BLK_2.jpg" TargetMode="External" Id="rId5216"/><Relationship Type="http://schemas.openxmlformats.org/officeDocument/2006/relationships/hyperlink" Target="imagenes/NAUTICA_CLASSICS_117005820_BLK_3.jpg" TargetMode="External" Id="rId5217"/><Relationship Type="http://schemas.openxmlformats.org/officeDocument/2006/relationships/hyperlink" Target="imagenes/NAUTICA_CLASSICS_117007712_BLK_1.jpg" TargetMode="External" Id="rId5218"/><Relationship Type="http://schemas.openxmlformats.org/officeDocument/2006/relationships/hyperlink" Target="imagenes/NAUTICA_CLASSICS_117007712_BLK_2.jpg" TargetMode="External" Id="rId5219"/><Relationship Type="http://schemas.openxmlformats.org/officeDocument/2006/relationships/hyperlink" Target="imagenes/NAUTICA_CLASSICS_117007712_BLK_3.jpg" TargetMode="External" Id="rId5220"/><Relationship Type="http://schemas.openxmlformats.org/officeDocument/2006/relationships/hyperlink" Target="imagenes/NAUTICA_CLASSICS_117008345_BLK_1.jpg" TargetMode="External" Id="rId5221"/><Relationship Type="http://schemas.openxmlformats.org/officeDocument/2006/relationships/hyperlink" Target="imagenes/NAUTICA_CLASSICS_117008345_BLK_2.jpg" TargetMode="External" Id="rId5222"/><Relationship Type="http://schemas.openxmlformats.org/officeDocument/2006/relationships/hyperlink" Target="imagenes/NAUTICA_CLASSICS_117008345_BLK_3.jpg" TargetMode="External" Id="rId5223"/><Relationship Type="http://schemas.openxmlformats.org/officeDocument/2006/relationships/hyperlink" Target="imagenes/NAUTICA_CLASSICS_117008345_BLK_1.jpg" TargetMode="External" Id="rId5224"/><Relationship Type="http://schemas.openxmlformats.org/officeDocument/2006/relationships/hyperlink" Target="imagenes/NAUTICA_CLASSICS_117008345_BLK_2.jpg" TargetMode="External" Id="rId5225"/><Relationship Type="http://schemas.openxmlformats.org/officeDocument/2006/relationships/hyperlink" Target="imagenes/NAUTICA_CLASSICS_117008345_BLK_3.jpg" TargetMode="External" Id="rId5226"/><Relationship Type="http://schemas.openxmlformats.org/officeDocument/2006/relationships/hyperlink" Target="imagenes/NAUTICA_CLASSICS_117008345_BLK_1.jpg" TargetMode="External" Id="rId5227"/><Relationship Type="http://schemas.openxmlformats.org/officeDocument/2006/relationships/hyperlink" Target="imagenes/NAUTICA_CLASSICS_117008345_BLK_2.jpg" TargetMode="External" Id="rId5228"/><Relationship Type="http://schemas.openxmlformats.org/officeDocument/2006/relationships/hyperlink" Target="imagenes/NAUTICA_CLASSICS_117008345_BLK_3.jpg" TargetMode="External" Id="rId5229"/><Relationship Type="http://schemas.openxmlformats.org/officeDocument/2006/relationships/hyperlink" Target="imagenes/NAUTICA_CLASSICS_117008345_BLK_1.jpg" TargetMode="External" Id="rId5230"/><Relationship Type="http://schemas.openxmlformats.org/officeDocument/2006/relationships/hyperlink" Target="imagenes/NAUTICA_CLASSICS_117008345_BLK_2.jpg" TargetMode="External" Id="rId5231"/><Relationship Type="http://schemas.openxmlformats.org/officeDocument/2006/relationships/hyperlink" Target="imagenes/NAUTICA_CLASSICS_117008345_BLK_3.jpg" TargetMode="External" Id="rId5232"/><Relationship Type="http://schemas.openxmlformats.org/officeDocument/2006/relationships/hyperlink" Target="imagenes/NAUTICA_CLASSICS_117008345_CRM_1.jpg" TargetMode="External" Id="rId5233"/><Relationship Type="http://schemas.openxmlformats.org/officeDocument/2006/relationships/hyperlink" Target="imagenes/NAUTICA_CLASSICS_117008345_CRM_2.jpg" TargetMode="External" Id="rId5234"/><Relationship Type="http://schemas.openxmlformats.org/officeDocument/2006/relationships/hyperlink" Target="imagenes/NAUTICA_CLASSICS_117008345_CRM_3.jpg" TargetMode="External" Id="rId5235"/><Relationship Type="http://schemas.openxmlformats.org/officeDocument/2006/relationships/hyperlink" Target="imagenes/NAUTICA_CLASSICS_117008345_CRM_1.jpg" TargetMode="External" Id="rId5236"/><Relationship Type="http://schemas.openxmlformats.org/officeDocument/2006/relationships/hyperlink" Target="imagenes/NAUTICA_CLASSICS_117008345_CRM_2.jpg" TargetMode="External" Id="rId5237"/><Relationship Type="http://schemas.openxmlformats.org/officeDocument/2006/relationships/hyperlink" Target="imagenes/NAUTICA_CLASSICS_117008345_CRM_3.jpg" TargetMode="External" Id="rId5238"/><Relationship Type="http://schemas.openxmlformats.org/officeDocument/2006/relationships/hyperlink" Target="imagenes/NAUTICA_CLASSICS_117008345_CRM_1.jpg" TargetMode="External" Id="rId5239"/><Relationship Type="http://schemas.openxmlformats.org/officeDocument/2006/relationships/hyperlink" Target="imagenes/NAUTICA_CLASSICS_117008345_CRM_2.jpg" TargetMode="External" Id="rId5240"/><Relationship Type="http://schemas.openxmlformats.org/officeDocument/2006/relationships/hyperlink" Target="imagenes/NAUTICA_CLASSICS_117008345_CRM_3.jpg" TargetMode="External" Id="rId5241"/><Relationship Type="http://schemas.openxmlformats.org/officeDocument/2006/relationships/hyperlink" Target="imagenes/NAUTICA_CLASSICS_117008345_CRM_1.jpg" TargetMode="External" Id="rId5242"/><Relationship Type="http://schemas.openxmlformats.org/officeDocument/2006/relationships/hyperlink" Target="imagenes/NAUTICA_CLASSICS_117008345_CRM_2.jpg" TargetMode="External" Id="rId5243"/><Relationship Type="http://schemas.openxmlformats.org/officeDocument/2006/relationships/hyperlink" Target="imagenes/NAUTICA_CLASSICS_117008345_CRM_3.jpg" TargetMode="External" Id="rId5244"/><Relationship Type="http://schemas.openxmlformats.org/officeDocument/2006/relationships/hyperlink" Target="imagenes/NAUTICA_CLASSICS_117008345_CRM_1.jpg" TargetMode="External" Id="rId5245"/><Relationship Type="http://schemas.openxmlformats.org/officeDocument/2006/relationships/hyperlink" Target="imagenes/NAUTICA_CLASSICS_117008345_CRM_2.jpg" TargetMode="External" Id="rId5246"/><Relationship Type="http://schemas.openxmlformats.org/officeDocument/2006/relationships/hyperlink" Target="imagenes/NAUTICA_CLASSICS_117008345_CRM_3.jpg" TargetMode="External" Id="rId5247"/><Relationship Type="http://schemas.openxmlformats.org/officeDocument/2006/relationships/hyperlink" Target="imagenes/NAUTICA_CLASSICS_117008345_PRY_1.jpg" TargetMode="External" Id="rId5248"/><Relationship Type="http://schemas.openxmlformats.org/officeDocument/2006/relationships/hyperlink" Target="imagenes/NAUTICA_CLASSICS_117008345_PRY_2.jpg" TargetMode="External" Id="rId5249"/><Relationship Type="http://schemas.openxmlformats.org/officeDocument/2006/relationships/hyperlink" Target="imagenes/NAUTICA_CLASSICS_117008345_PRY_3.jpg" TargetMode="External" Id="rId5250"/><Relationship Type="http://schemas.openxmlformats.org/officeDocument/2006/relationships/hyperlink" Target="imagenes/NAUTICA_CLASSICS_117008345_PRY_1.jpg" TargetMode="External" Id="rId5251"/><Relationship Type="http://schemas.openxmlformats.org/officeDocument/2006/relationships/hyperlink" Target="imagenes/NAUTICA_CLASSICS_117008345_PRY_2.jpg" TargetMode="External" Id="rId5252"/><Relationship Type="http://schemas.openxmlformats.org/officeDocument/2006/relationships/hyperlink" Target="imagenes/NAUTICA_CLASSICS_117008345_PRY_3.jpg" TargetMode="External" Id="rId5253"/><Relationship Type="http://schemas.openxmlformats.org/officeDocument/2006/relationships/hyperlink" Target="imagenes/NAUTICA_CLASSICS_117008345_PRY_1.jpg" TargetMode="External" Id="rId5254"/><Relationship Type="http://schemas.openxmlformats.org/officeDocument/2006/relationships/hyperlink" Target="imagenes/NAUTICA_CLASSICS_117008345_PRY_2.jpg" TargetMode="External" Id="rId5255"/><Relationship Type="http://schemas.openxmlformats.org/officeDocument/2006/relationships/hyperlink" Target="imagenes/NAUTICA_CLASSICS_117008345_PRY_3.jpg" TargetMode="External" Id="rId5256"/><Relationship Type="http://schemas.openxmlformats.org/officeDocument/2006/relationships/hyperlink" Target="imagenes/NAUTICA_CLASSICS_117009131_B4K_1.jpg" TargetMode="External" Id="rId5257"/><Relationship Type="http://schemas.openxmlformats.org/officeDocument/2006/relationships/hyperlink" Target="imagenes/NAUTICA_CLASSICS_117009131_B4K_2.jpg" TargetMode="External" Id="rId5258"/><Relationship Type="http://schemas.openxmlformats.org/officeDocument/2006/relationships/hyperlink" Target="imagenes/NAUTICA_CLASSICS_117009131_B4K_3.jpg" TargetMode="External" Id="rId5259"/><Relationship Type="http://schemas.openxmlformats.org/officeDocument/2006/relationships/hyperlink" Target="imagenes/NAUTICA_CLASSICS_117009131_B4K_1.jpg" TargetMode="External" Id="rId5260"/><Relationship Type="http://schemas.openxmlformats.org/officeDocument/2006/relationships/hyperlink" Target="imagenes/NAUTICA_CLASSICS_117009131_B4K_2.jpg" TargetMode="External" Id="rId5261"/><Relationship Type="http://schemas.openxmlformats.org/officeDocument/2006/relationships/hyperlink" Target="imagenes/NAUTICA_CLASSICS_117009131_B4K_3.jpg" TargetMode="External" Id="rId5262"/><Relationship Type="http://schemas.openxmlformats.org/officeDocument/2006/relationships/hyperlink" Target="imagenes/NAUTICA_CLASSICS_117009131_B4K_1.jpg" TargetMode="External" Id="rId5263"/><Relationship Type="http://schemas.openxmlformats.org/officeDocument/2006/relationships/hyperlink" Target="imagenes/NAUTICA_CLASSICS_117009131_B4K_2.jpg" TargetMode="External" Id="rId5264"/><Relationship Type="http://schemas.openxmlformats.org/officeDocument/2006/relationships/hyperlink" Target="imagenes/NAUTICA_CLASSICS_117009131_B4K_3.jpg" TargetMode="External" Id="rId5265"/><Relationship Type="http://schemas.openxmlformats.org/officeDocument/2006/relationships/hyperlink" Target="imagenes/NAUTICA_CLASSICS_117009131_B4K_1.jpg" TargetMode="External" Id="rId5266"/><Relationship Type="http://schemas.openxmlformats.org/officeDocument/2006/relationships/hyperlink" Target="imagenes/NAUTICA_CLASSICS_117009131_B4K_2.jpg" TargetMode="External" Id="rId5267"/><Relationship Type="http://schemas.openxmlformats.org/officeDocument/2006/relationships/hyperlink" Target="imagenes/NAUTICA_CLASSICS_117009131_B4K_3.jpg" TargetMode="External" Id="rId5268"/><Relationship Type="http://schemas.openxmlformats.org/officeDocument/2006/relationships/hyperlink" Target="imagenes/NAUTICA_CLASSICS_117009131_B4K_1.jpg" TargetMode="External" Id="rId5269"/><Relationship Type="http://schemas.openxmlformats.org/officeDocument/2006/relationships/hyperlink" Target="imagenes/NAUTICA_CLASSICS_117009131_B4K_2.jpg" TargetMode="External" Id="rId5270"/><Relationship Type="http://schemas.openxmlformats.org/officeDocument/2006/relationships/hyperlink" Target="imagenes/NAUTICA_CLASSICS_117009131_B4K_3.jpg" TargetMode="External" Id="rId5271"/><Relationship Type="http://schemas.openxmlformats.org/officeDocument/2006/relationships/hyperlink" Target="imagenes/NAUTICA_CLASSICS_117009131_B4K_1.jpg" TargetMode="External" Id="rId5272"/><Relationship Type="http://schemas.openxmlformats.org/officeDocument/2006/relationships/hyperlink" Target="imagenes/NAUTICA_CLASSICS_117009131_B4K_2.jpg" TargetMode="External" Id="rId5273"/><Relationship Type="http://schemas.openxmlformats.org/officeDocument/2006/relationships/hyperlink" Target="imagenes/NAUTICA_CLASSICS_117009131_B4K_3.jpg" TargetMode="External" Id="rId5274"/><Relationship Type="http://schemas.openxmlformats.org/officeDocument/2006/relationships/hyperlink" Target="imagenes/NAUTICA_CLASSICS_117009131_B4K_1.jpg" TargetMode="External" Id="rId5275"/><Relationship Type="http://schemas.openxmlformats.org/officeDocument/2006/relationships/hyperlink" Target="imagenes/NAUTICA_CLASSICS_117009131_B4K_2.jpg" TargetMode="External" Id="rId5276"/><Relationship Type="http://schemas.openxmlformats.org/officeDocument/2006/relationships/hyperlink" Target="imagenes/NAUTICA_CLASSICS_117009131_B4K_3.jpg" TargetMode="External" Id="rId5277"/><Relationship Type="http://schemas.openxmlformats.org/officeDocument/2006/relationships/hyperlink" Target="imagenes/NAUTICA_CLASSICS_117009131_BLK_1.jpg" TargetMode="External" Id="rId5278"/><Relationship Type="http://schemas.openxmlformats.org/officeDocument/2006/relationships/hyperlink" Target="imagenes/NAUTICA_CLASSICS_117009131_BLK_2.jpg" TargetMode="External" Id="rId5279"/><Relationship Type="http://schemas.openxmlformats.org/officeDocument/2006/relationships/hyperlink" Target="imagenes/NAUTICA_CLASSICS_117009131_BLK_1.jpg" TargetMode="External" Id="rId5280"/><Relationship Type="http://schemas.openxmlformats.org/officeDocument/2006/relationships/hyperlink" Target="imagenes/NAUTICA_CLASSICS_117009131_BLK_2.jpg" TargetMode="External" Id="rId5281"/><Relationship Type="http://schemas.openxmlformats.org/officeDocument/2006/relationships/hyperlink" Target="imagenes/NAUTICA_CLASSICS_117009131_BLK_1.jpg" TargetMode="External" Id="rId5282"/><Relationship Type="http://schemas.openxmlformats.org/officeDocument/2006/relationships/hyperlink" Target="imagenes/NAUTICA_CLASSICS_117009131_BLK_2.jpg" TargetMode="External" Id="rId5283"/><Relationship Type="http://schemas.openxmlformats.org/officeDocument/2006/relationships/hyperlink" Target="imagenes/NAUTICA_CLASSICS_117009131_BLK_1.jpg" TargetMode="External" Id="rId5284"/><Relationship Type="http://schemas.openxmlformats.org/officeDocument/2006/relationships/hyperlink" Target="imagenes/NAUTICA_CLASSICS_117009131_BLK_2.jpg" TargetMode="External" Id="rId5285"/><Relationship Type="http://schemas.openxmlformats.org/officeDocument/2006/relationships/hyperlink" Target="imagenes/NAUTICA_CLASSICS_117009131_BLK_1.jpg" TargetMode="External" Id="rId5286"/><Relationship Type="http://schemas.openxmlformats.org/officeDocument/2006/relationships/hyperlink" Target="imagenes/NAUTICA_CLASSICS_117009131_BLK_2.jpg" TargetMode="External" Id="rId5287"/><Relationship Type="http://schemas.openxmlformats.org/officeDocument/2006/relationships/hyperlink" Target="imagenes/NAUTICA_CLASSICS_117009131_BLK_1.jpg" TargetMode="External" Id="rId5288"/><Relationship Type="http://schemas.openxmlformats.org/officeDocument/2006/relationships/hyperlink" Target="imagenes/NAUTICA_CLASSICS_117009131_BLK_2.jpg" TargetMode="External" Id="rId5289"/><Relationship Type="http://schemas.openxmlformats.org/officeDocument/2006/relationships/hyperlink" Target="imagenes/NAUTICA_CLASSICS_117009131_BLK_1.jpg" TargetMode="External" Id="rId5290"/><Relationship Type="http://schemas.openxmlformats.org/officeDocument/2006/relationships/hyperlink" Target="imagenes/NAUTICA_CLASSICS_117009131_BLK_2.jpg" TargetMode="External" Id="rId5291"/><Relationship Type="http://schemas.openxmlformats.org/officeDocument/2006/relationships/hyperlink" Target="imagenes/NAUTICA_CLASSICS_117009170_BLK_1.jpg" TargetMode="External" Id="rId5292"/><Relationship Type="http://schemas.openxmlformats.org/officeDocument/2006/relationships/hyperlink" Target="imagenes/NAUTICA_CLASSICS_117009170_BLK_2.jpg" TargetMode="External" Id="rId5293"/><Relationship Type="http://schemas.openxmlformats.org/officeDocument/2006/relationships/hyperlink" Target="imagenes/NAUTICA_CLASSICS_117009170_BLK_3.jpg" TargetMode="External" Id="rId5294"/><Relationship Type="http://schemas.openxmlformats.org/officeDocument/2006/relationships/hyperlink" Target="imagenes/NAUTICA_CLASSICS_117009170_BLK_1.jpg" TargetMode="External" Id="rId5295"/><Relationship Type="http://schemas.openxmlformats.org/officeDocument/2006/relationships/hyperlink" Target="imagenes/NAUTICA_CLASSICS_117009170_BLK_2.jpg" TargetMode="External" Id="rId5296"/><Relationship Type="http://schemas.openxmlformats.org/officeDocument/2006/relationships/hyperlink" Target="imagenes/NAUTICA_CLASSICS_117009170_BLK_3.jpg" TargetMode="External" Id="rId5297"/><Relationship Type="http://schemas.openxmlformats.org/officeDocument/2006/relationships/hyperlink" Target="imagenes/NAUTICA_CLASSICS_117009170_BLK_1.jpg" TargetMode="External" Id="rId5298"/><Relationship Type="http://schemas.openxmlformats.org/officeDocument/2006/relationships/hyperlink" Target="imagenes/NAUTICA_CLASSICS_117009170_BLK_2.jpg" TargetMode="External" Id="rId5299"/><Relationship Type="http://schemas.openxmlformats.org/officeDocument/2006/relationships/hyperlink" Target="imagenes/NAUTICA_CLASSICS_117009170_BLK_3.jpg" TargetMode="External" Id="rId5300"/><Relationship Type="http://schemas.openxmlformats.org/officeDocument/2006/relationships/hyperlink" Target="imagenes/NAUTICA_CLASSICS_117009170_BLK_1.jpg" TargetMode="External" Id="rId5301"/><Relationship Type="http://schemas.openxmlformats.org/officeDocument/2006/relationships/hyperlink" Target="imagenes/NAUTICA_CLASSICS_117009170_BLK_2.jpg" TargetMode="External" Id="rId5302"/><Relationship Type="http://schemas.openxmlformats.org/officeDocument/2006/relationships/hyperlink" Target="imagenes/NAUTICA_CLASSICS_117009170_BLK_3.jpg" TargetMode="External" Id="rId5303"/><Relationship Type="http://schemas.openxmlformats.org/officeDocument/2006/relationships/hyperlink" Target="imagenes/NAUTICA_CLASSICS_117009170_BLK_1.jpg" TargetMode="External" Id="rId5304"/><Relationship Type="http://schemas.openxmlformats.org/officeDocument/2006/relationships/hyperlink" Target="imagenes/NAUTICA_CLASSICS_117009170_BLK_2.jpg" TargetMode="External" Id="rId5305"/><Relationship Type="http://schemas.openxmlformats.org/officeDocument/2006/relationships/hyperlink" Target="imagenes/NAUTICA_CLASSICS_117009170_BLK_3.jpg" TargetMode="External" Id="rId5306"/><Relationship Type="http://schemas.openxmlformats.org/officeDocument/2006/relationships/hyperlink" Target="imagenes/NAUTICA_CLASSICS_117009170_NSS_1.jpg" TargetMode="External" Id="rId5307"/><Relationship Type="http://schemas.openxmlformats.org/officeDocument/2006/relationships/hyperlink" Target="imagenes/NAUTICA_CLASSICS_117009170_NSS_2.jpg" TargetMode="External" Id="rId5308"/><Relationship Type="http://schemas.openxmlformats.org/officeDocument/2006/relationships/hyperlink" Target="imagenes/NAUTICA_CLASSICS_117009170_NSS_3.jpg" TargetMode="External" Id="rId5309"/><Relationship Type="http://schemas.openxmlformats.org/officeDocument/2006/relationships/hyperlink" Target="imagenes/NAUTICA_CLASSICS_117009170_NSS_1.jpg" TargetMode="External" Id="rId5310"/><Relationship Type="http://schemas.openxmlformats.org/officeDocument/2006/relationships/hyperlink" Target="imagenes/NAUTICA_CLASSICS_117009170_NSS_2.jpg" TargetMode="External" Id="rId5311"/><Relationship Type="http://schemas.openxmlformats.org/officeDocument/2006/relationships/hyperlink" Target="imagenes/NAUTICA_CLASSICS_117009170_NSS_3.jpg" TargetMode="External" Id="rId5312"/><Relationship Type="http://schemas.openxmlformats.org/officeDocument/2006/relationships/hyperlink" Target="imagenes/NAUTICA_CLASSICS_117009170_NSS_1.jpg" TargetMode="External" Id="rId5313"/><Relationship Type="http://schemas.openxmlformats.org/officeDocument/2006/relationships/hyperlink" Target="imagenes/NAUTICA_CLASSICS_117009170_NSS_2.jpg" TargetMode="External" Id="rId5314"/><Relationship Type="http://schemas.openxmlformats.org/officeDocument/2006/relationships/hyperlink" Target="imagenes/NAUTICA_CLASSICS_117009170_NSS_3.jpg" TargetMode="External" Id="rId5315"/><Relationship Type="http://schemas.openxmlformats.org/officeDocument/2006/relationships/hyperlink" Target="imagenes/NAUTICA_CLASSICS_117009170_NSS_1.jpg" TargetMode="External" Id="rId5316"/><Relationship Type="http://schemas.openxmlformats.org/officeDocument/2006/relationships/hyperlink" Target="imagenes/NAUTICA_CLASSICS_117009170_NSS_2.jpg" TargetMode="External" Id="rId5317"/><Relationship Type="http://schemas.openxmlformats.org/officeDocument/2006/relationships/hyperlink" Target="imagenes/NAUTICA_CLASSICS_117009170_NSS_3.jpg" TargetMode="External" Id="rId5318"/><Relationship Type="http://schemas.openxmlformats.org/officeDocument/2006/relationships/hyperlink" Target="imagenes/NAUTICA_CLASSICS_117009170_NSS_1.jpg" TargetMode="External" Id="rId5319"/><Relationship Type="http://schemas.openxmlformats.org/officeDocument/2006/relationships/hyperlink" Target="imagenes/NAUTICA_CLASSICS_117009170_NSS_2.jpg" TargetMode="External" Id="rId5320"/><Relationship Type="http://schemas.openxmlformats.org/officeDocument/2006/relationships/hyperlink" Target="imagenes/NAUTICA_CLASSICS_117009170_NSS_3.jpg" TargetMode="External" Id="rId5321"/><Relationship Type="http://schemas.openxmlformats.org/officeDocument/2006/relationships/hyperlink" Target="imagenes/NAUTICA_CLASSICS_117009170_PRY_1.jpg" TargetMode="External" Id="rId5322"/><Relationship Type="http://schemas.openxmlformats.org/officeDocument/2006/relationships/hyperlink" Target="imagenes/NAUTICA_CLASSICS_117009170_PRY_2.jpg" TargetMode="External" Id="rId5323"/><Relationship Type="http://schemas.openxmlformats.org/officeDocument/2006/relationships/hyperlink" Target="imagenes/NAUTICA_CLASSICS_117009170_PRY_3.jpg" TargetMode="External" Id="rId5324"/><Relationship Type="http://schemas.openxmlformats.org/officeDocument/2006/relationships/hyperlink" Target="imagenes/NAUTICA_CLASSICS_117009170_PRY_1.jpg" TargetMode="External" Id="rId5325"/><Relationship Type="http://schemas.openxmlformats.org/officeDocument/2006/relationships/hyperlink" Target="imagenes/NAUTICA_CLASSICS_117009170_PRY_2.jpg" TargetMode="External" Id="rId5326"/><Relationship Type="http://schemas.openxmlformats.org/officeDocument/2006/relationships/hyperlink" Target="imagenes/NAUTICA_CLASSICS_117009170_PRY_3.jpg" TargetMode="External" Id="rId5327"/><Relationship Type="http://schemas.openxmlformats.org/officeDocument/2006/relationships/hyperlink" Target="imagenes/NAUTICA_CLASSICS_117009171_B4K_1.jpg" TargetMode="External" Id="rId5328"/><Relationship Type="http://schemas.openxmlformats.org/officeDocument/2006/relationships/hyperlink" Target="imagenes/NAUTICA_CLASSICS_117009171_B4K_2.jpg" TargetMode="External" Id="rId5329"/><Relationship Type="http://schemas.openxmlformats.org/officeDocument/2006/relationships/hyperlink" Target="imagenes/NAUTICA_CLASSICS_117009171_B4K_3.jpg" TargetMode="External" Id="rId5330"/><Relationship Type="http://schemas.openxmlformats.org/officeDocument/2006/relationships/hyperlink" Target="imagenes/NAUTICA_CLASSICS_117009171_B4K_1.jpg" TargetMode="External" Id="rId5331"/><Relationship Type="http://schemas.openxmlformats.org/officeDocument/2006/relationships/hyperlink" Target="imagenes/NAUTICA_CLASSICS_117009171_B4K_2.jpg" TargetMode="External" Id="rId5332"/><Relationship Type="http://schemas.openxmlformats.org/officeDocument/2006/relationships/hyperlink" Target="imagenes/NAUTICA_CLASSICS_117009171_B4K_3.jpg" TargetMode="External" Id="rId5333"/><Relationship Type="http://schemas.openxmlformats.org/officeDocument/2006/relationships/hyperlink" Target="imagenes/NAUTICA_CLASSICS_117009171_B4K_1.jpg" TargetMode="External" Id="rId5334"/><Relationship Type="http://schemas.openxmlformats.org/officeDocument/2006/relationships/hyperlink" Target="imagenes/NAUTICA_CLASSICS_117009171_B4K_2.jpg" TargetMode="External" Id="rId5335"/><Relationship Type="http://schemas.openxmlformats.org/officeDocument/2006/relationships/hyperlink" Target="imagenes/NAUTICA_CLASSICS_117009171_B4K_3.jpg" TargetMode="External" Id="rId5336"/><Relationship Type="http://schemas.openxmlformats.org/officeDocument/2006/relationships/hyperlink" Target="imagenes/NAUTICA_CLASSICS_117009171_B4K_1.jpg" TargetMode="External" Id="rId5337"/><Relationship Type="http://schemas.openxmlformats.org/officeDocument/2006/relationships/hyperlink" Target="imagenes/NAUTICA_CLASSICS_117009171_B4K_2.jpg" TargetMode="External" Id="rId5338"/><Relationship Type="http://schemas.openxmlformats.org/officeDocument/2006/relationships/hyperlink" Target="imagenes/NAUTICA_CLASSICS_117009171_B4K_3.jpg" TargetMode="External" Id="rId5339"/><Relationship Type="http://schemas.openxmlformats.org/officeDocument/2006/relationships/hyperlink" Target="imagenes/NAUTICA_CLASSICS_117009171_B4K_1.jpg" TargetMode="External" Id="rId5340"/><Relationship Type="http://schemas.openxmlformats.org/officeDocument/2006/relationships/hyperlink" Target="imagenes/NAUTICA_CLASSICS_117009171_B4K_2.jpg" TargetMode="External" Id="rId5341"/><Relationship Type="http://schemas.openxmlformats.org/officeDocument/2006/relationships/hyperlink" Target="imagenes/NAUTICA_CLASSICS_117009171_B4K_3.jpg" TargetMode="External" Id="rId5342"/><Relationship Type="http://schemas.openxmlformats.org/officeDocument/2006/relationships/hyperlink" Target="imagenes/NAUTICA_CLASSICS_117009171_B4K_1.jpg" TargetMode="External" Id="rId5343"/><Relationship Type="http://schemas.openxmlformats.org/officeDocument/2006/relationships/hyperlink" Target="imagenes/NAUTICA_CLASSICS_117009171_B4K_2.jpg" TargetMode="External" Id="rId5344"/><Relationship Type="http://schemas.openxmlformats.org/officeDocument/2006/relationships/hyperlink" Target="imagenes/NAUTICA_CLASSICS_117009171_B4K_3.jpg" TargetMode="External" Id="rId5345"/><Relationship Type="http://schemas.openxmlformats.org/officeDocument/2006/relationships/hyperlink" Target="imagenes/NAUTICA_CLASSICS_117009171_B4K_1.jpg" TargetMode="External" Id="rId5346"/><Relationship Type="http://schemas.openxmlformats.org/officeDocument/2006/relationships/hyperlink" Target="imagenes/NAUTICA_CLASSICS_117009171_B4K_2.jpg" TargetMode="External" Id="rId5347"/><Relationship Type="http://schemas.openxmlformats.org/officeDocument/2006/relationships/hyperlink" Target="imagenes/NAUTICA_CLASSICS_117009171_B4K_3.jpg" TargetMode="External" Id="rId5348"/><Relationship Type="http://schemas.openxmlformats.org/officeDocument/2006/relationships/hyperlink" Target="imagenes/NAUTICA_CLASSICS_117009171_B4K_1.jpg" TargetMode="External" Id="rId5349"/><Relationship Type="http://schemas.openxmlformats.org/officeDocument/2006/relationships/hyperlink" Target="imagenes/NAUTICA_CLASSICS_117009171_B4K_2.jpg" TargetMode="External" Id="rId5350"/><Relationship Type="http://schemas.openxmlformats.org/officeDocument/2006/relationships/hyperlink" Target="imagenes/NAUTICA_CLASSICS_117009171_B4K_3.jpg" TargetMode="External" Id="rId5351"/><Relationship Type="http://schemas.openxmlformats.org/officeDocument/2006/relationships/hyperlink" Target="imagenes/NAUTICA_CLASSICS_117009171_B4K_1.jpg" TargetMode="External" Id="rId5352"/><Relationship Type="http://schemas.openxmlformats.org/officeDocument/2006/relationships/hyperlink" Target="imagenes/NAUTICA_CLASSICS_117009171_B4K_2.jpg" TargetMode="External" Id="rId5353"/><Relationship Type="http://schemas.openxmlformats.org/officeDocument/2006/relationships/hyperlink" Target="imagenes/NAUTICA_CLASSICS_117009171_B4K_3.jpg" TargetMode="External" Id="rId5354"/><Relationship Type="http://schemas.openxmlformats.org/officeDocument/2006/relationships/hyperlink" Target="imagenes/NAUTICA_CLASSICS_117009171_BLK_1.jpg" TargetMode="External" Id="rId5355"/><Relationship Type="http://schemas.openxmlformats.org/officeDocument/2006/relationships/hyperlink" Target="imagenes/NAUTICA_CLASSICS_117009171_BLK_2.jpg" TargetMode="External" Id="rId5356"/><Relationship Type="http://schemas.openxmlformats.org/officeDocument/2006/relationships/hyperlink" Target="imagenes/NAUTICA_CLASSICS_117009171_BLK_3.jpg" TargetMode="External" Id="rId5357"/><Relationship Type="http://schemas.openxmlformats.org/officeDocument/2006/relationships/hyperlink" Target="imagenes/NAUTICA_CLASSICS_117009171_BLK_1.jpg" TargetMode="External" Id="rId5358"/><Relationship Type="http://schemas.openxmlformats.org/officeDocument/2006/relationships/hyperlink" Target="imagenes/NAUTICA_CLASSICS_117009171_BLK_2.jpg" TargetMode="External" Id="rId5359"/><Relationship Type="http://schemas.openxmlformats.org/officeDocument/2006/relationships/hyperlink" Target="imagenes/NAUTICA_CLASSICS_117009171_BLK_3.jpg" TargetMode="External" Id="rId5360"/><Relationship Type="http://schemas.openxmlformats.org/officeDocument/2006/relationships/hyperlink" Target="imagenes/NAUTICA_CLASSICS_117009171_BLK_1.jpg" TargetMode="External" Id="rId5361"/><Relationship Type="http://schemas.openxmlformats.org/officeDocument/2006/relationships/hyperlink" Target="imagenes/NAUTICA_CLASSICS_117009171_BLK_2.jpg" TargetMode="External" Id="rId5362"/><Relationship Type="http://schemas.openxmlformats.org/officeDocument/2006/relationships/hyperlink" Target="imagenes/NAUTICA_CLASSICS_117009171_BLK_3.jpg" TargetMode="External" Id="rId5363"/><Relationship Type="http://schemas.openxmlformats.org/officeDocument/2006/relationships/hyperlink" Target="imagenes/NAUTICA_CLASSICS_117009171_BLK_1.jpg" TargetMode="External" Id="rId5364"/><Relationship Type="http://schemas.openxmlformats.org/officeDocument/2006/relationships/hyperlink" Target="imagenes/NAUTICA_CLASSICS_117009171_BLK_2.jpg" TargetMode="External" Id="rId5365"/><Relationship Type="http://schemas.openxmlformats.org/officeDocument/2006/relationships/hyperlink" Target="imagenes/NAUTICA_CLASSICS_117009171_BLK_3.jpg" TargetMode="External" Id="rId5366"/><Relationship Type="http://schemas.openxmlformats.org/officeDocument/2006/relationships/hyperlink" Target="imagenes/NAUTICA_CLASSICS_117009171_BLK_1.jpg" TargetMode="External" Id="rId5367"/><Relationship Type="http://schemas.openxmlformats.org/officeDocument/2006/relationships/hyperlink" Target="imagenes/NAUTICA_CLASSICS_117009171_BLK_2.jpg" TargetMode="External" Id="rId5368"/><Relationship Type="http://schemas.openxmlformats.org/officeDocument/2006/relationships/hyperlink" Target="imagenes/NAUTICA_CLASSICS_117009171_BLK_3.jpg" TargetMode="External" Id="rId5369"/><Relationship Type="http://schemas.openxmlformats.org/officeDocument/2006/relationships/hyperlink" Target="imagenes/NAUTICA_CLASSICS_117009171_BLK_1.jpg" TargetMode="External" Id="rId5370"/><Relationship Type="http://schemas.openxmlformats.org/officeDocument/2006/relationships/hyperlink" Target="imagenes/NAUTICA_CLASSICS_117009171_BLK_2.jpg" TargetMode="External" Id="rId5371"/><Relationship Type="http://schemas.openxmlformats.org/officeDocument/2006/relationships/hyperlink" Target="imagenes/NAUTICA_CLASSICS_117009171_BLK_3.jpg" TargetMode="External" Id="rId5372"/><Relationship Type="http://schemas.openxmlformats.org/officeDocument/2006/relationships/hyperlink" Target="imagenes/NAUTICA_CLASSICS_117009171_BLK_1.jpg" TargetMode="External" Id="rId5373"/><Relationship Type="http://schemas.openxmlformats.org/officeDocument/2006/relationships/hyperlink" Target="imagenes/NAUTICA_CLASSICS_117009171_BLK_2.jpg" TargetMode="External" Id="rId5374"/><Relationship Type="http://schemas.openxmlformats.org/officeDocument/2006/relationships/hyperlink" Target="imagenes/NAUTICA_CLASSICS_117009171_BLK_3.jpg" TargetMode="External" Id="rId5375"/><Relationship Type="http://schemas.openxmlformats.org/officeDocument/2006/relationships/hyperlink" Target="imagenes/NAUTICA_CLASSICS_117009171_BLK_1.jpg" TargetMode="External" Id="rId5376"/><Relationship Type="http://schemas.openxmlformats.org/officeDocument/2006/relationships/hyperlink" Target="imagenes/NAUTICA_CLASSICS_117009171_BLK_2.jpg" TargetMode="External" Id="rId5377"/><Relationship Type="http://schemas.openxmlformats.org/officeDocument/2006/relationships/hyperlink" Target="imagenes/NAUTICA_CLASSICS_117009171_BLK_3.jpg" TargetMode="External" Id="rId5378"/><Relationship Type="http://schemas.openxmlformats.org/officeDocument/2006/relationships/hyperlink" Target="imagenes/NAUTICA_CLASSICS_117009171_BLK_1.jpg" TargetMode="External" Id="rId5379"/><Relationship Type="http://schemas.openxmlformats.org/officeDocument/2006/relationships/hyperlink" Target="imagenes/NAUTICA_CLASSICS_117009171_BLK_2.jpg" TargetMode="External" Id="rId5380"/><Relationship Type="http://schemas.openxmlformats.org/officeDocument/2006/relationships/hyperlink" Target="imagenes/NAUTICA_CLASSICS_117009171_BLK_3.jpg" TargetMode="External" Id="rId5381"/><Relationship Type="http://schemas.openxmlformats.org/officeDocument/2006/relationships/hyperlink" Target="imagenes/NAUTICA_CLASSICS_117009171_BLK_1.jpg" TargetMode="External" Id="rId5382"/><Relationship Type="http://schemas.openxmlformats.org/officeDocument/2006/relationships/hyperlink" Target="imagenes/NAUTICA_CLASSICS_117009171_BLK_2.jpg" TargetMode="External" Id="rId5383"/><Relationship Type="http://schemas.openxmlformats.org/officeDocument/2006/relationships/hyperlink" Target="imagenes/NAUTICA_CLASSICS_117009171_BLK_3.jpg" TargetMode="External" Id="rId5384"/><Relationship Type="http://schemas.openxmlformats.org/officeDocument/2006/relationships/hyperlink" Target="imagenes/NAUTICA_CLASSICS_117009171_SW4_1.jpg" TargetMode="External" Id="rId5385"/><Relationship Type="http://schemas.openxmlformats.org/officeDocument/2006/relationships/hyperlink" Target="imagenes/NAUTICA_CLASSICS_117009171_SW4_2.jpg" TargetMode="External" Id="rId5386"/><Relationship Type="http://schemas.openxmlformats.org/officeDocument/2006/relationships/hyperlink" Target="imagenes/NAUTICA_CLASSICS_117009171_SW4_3.jpg" TargetMode="External" Id="rId5387"/><Relationship Type="http://schemas.openxmlformats.org/officeDocument/2006/relationships/hyperlink" Target="imagenes/NAUTICA_CLASSICS_117009171_SW4_1.jpg" TargetMode="External" Id="rId5388"/><Relationship Type="http://schemas.openxmlformats.org/officeDocument/2006/relationships/hyperlink" Target="imagenes/NAUTICA_CLASSICS_117009171_SW4_2.jpg" TargetMode="External" Id="rId5389"/><Relationship Type="http://schemas.openxmlformats.org/officeDocument/2006/relationships/hyperlink" Target="imagenes/NAUTICA_CLASSICS_117009171_SW4_3.jpg" TargetMode="External" Id="rId5390"/><Relationship Type="http://schemas.openxmlformats.org/officeDocument/2006/relationships/hyperlink" Target="imagenes/NAUTICA_CLASSICS_117009171_SW4_1.jpg" TargetMode="External" Id="rId5391"/><Relationship Type="http://schemas.openxmlformats.org/officeDocument/2006/relationships/hyperlink" Target="imagenes/NAUTICA_CLASSICS_117009171_SW4_2.jpg" TargetMode="External" Id="rId5392"/><Relationship Type="http://schemas.openxmlformats.org/officeDocument/2006/relationships/hyperlink" Target="imagenes/NAUTICA_CLASSICS_117009171_SW4_3.jpg" TargetMode="External" Id="rId5393"/><Relationship Type="http://schemas.openxmlformats.org/officeDocument/2006/relationships/hyperlink" Target="imagenes/NAUTICA_CLASSICS_117009171_SW4_1.jpg" TargetMode="External" Id="rId5394"/><Relationship Type="http://schemas.openxmlformats.org/officeDocument/2006/relationships/hyperlink" Target="imagenes/NAUTICA_CLASSICS_117009171_SW4_2.jpg" TargetMode="External" Id="rId5395"/><Relationship Type="http://schemas.openxmlformats.org/officeDocument/2006/relationships/hyperlink" Target="imagenes/NAUTICA_CLASSICS_117009171_SW4_3.jpg" TargetMode="External" Id="rId5396"/><Relationship Type="http://schemas.openxmlformats.org/officeDocument/2006/relationships/hyperlink" Target="imagenes/NAUTICA_CLASSICS_117009171_SW4_1.jpg" TargetMode="External" Id="rId5397"/><Relationship Type="http://schemas.openxmlformats.org/officeDocument/2006/relationships/hyperlink" Target="imagenes/NAUTICA_CLASSICS_117009171_SW4_2.jpg" TargetMode="External" Id="rId5398"/><Relationship Type="http://schemas.openxmlformats.org/officeDocument/2006/relationships/hyperlink" Target="imagenes/NAUTICA_CLASSICS_117009171_SW4_3.jpg" TargetMode="External" Id="rId5399"/><Relationship Type="http://schemas.openxmlformats.org/officeDocument/2006/relationships/hyperlink" Target="imagenes/NAUTICA_CLASSICS_117009171_SW4_1.jpg" TargetMode="External" Id="rId5400"/><Relationship Type="http://schemas.openxmlformats.org/officeDocument/2006/relationships/hyperlink" Target="imagenes/NAUTICA_CLASSICS_117009171_SW4_2.jpg" TargetMode="External" Id="rId5401"/><Relationship Type="http://schemas.openxmlformats.org/officeDocument/2006/relationships/hyperlink" Target="imagenes/NAUTICA_CLASSICS_117009171_SW4_3.jpg" TargetMode="External" Id="rId5402"/><Relationship Type="http://schemas.openxmlformats.org/officeDocument/2006/relationships/hyperlink" Target="imagenes/NAUTICA_CLASSICS_117009171_SW4_1.jpg" TargetMode="External" Id="rId5403"/><Relationship Type="http://schemas.openxmlformats.org/officeDocument/2006/relationships/hyperlink" Target="imagenes/NAUTICA_CLASSICS_117009171_SW4_2.jpg" TargetMode="External" Id="rId5404"/><Relationship Type="http://schemas.openxmlformats.org/officeDocument/2006/relationships/hyperlink" Target="imagenes/NAUTICA_CLASSICS_117009171_SW4_3.jpg" TargetMode="External" Id="rId5405"/><Relationship Type="http://schemas.openxmlformats.org/officeDocument/2006/relationships/hyperlink" Target="imagenes/NAUTICA_CLASSICS_117009171_SW4_1.jpg" TargetMode="External" Id="rId5406"/><Relationship Type="http://schemas.openxmlformats.org/officeDocument/2006/relationships/hyperlink" Target="imagenes/NAUTICA_CLASSICS_117009171_SW4_2.jpg" TargetMode="External" Id="rId5407"/><Relationship Type="http://schemas.openxmlformats.org/officeDocument/2006/relationships/hyperlink" Target="imagenes/NAUTICA_CLASSICS_117009171_SW4_3.jpg" TargetMode="External" Id="rId5408"/><Relationship Type="http://schemas.openxmlformats.org/officeDocument/2006/relationships/hyperlink" Target="imagenes/NAUTICA_CLASSICS_117009171_SW4_1.jpg" TargetMode="External" Id="rId5409"/><Relationship Type="http://schemas.openxmlformats.org/officeDocument/2006/relationships/hyperlink" Target="imagenes/NAUTICA_CLASSICS_117009171_SW4_2.jpg" TargetMode="External" Id="rId5410"/><Relationship Type="http://schemas.openxmlformats.org/officeDocument/2006/relationships/hyperlink" Target="imagenes/NAUTICA_CLASSICS_117009171_SW4_3.jpg" TargetMode="External" Id="rId5411"/><Relationship Type="http://schemas.openxmlformats.org/officeDocument/2006/relationships/hyperlink" Target="imagenes/NAUTICA_CLASSICS_117009201_BLK_2.jpg" TargetMode="External" Id="rId5412"/><Relationship Type="http://schemas.openxmlformats.org/officeDocument/2006/relationships/hyperlink" Target="imagenes/NAUTICA_CLASSICS_117009201_BLK_3.jpg" TargetMode="External" Id="rId5413"/><Relationship Type="http://schemas.openxmlformats.org/officeDocument/2006/relationships/hyperlink" Target="imagenes/NAUTICA_CLASSICS_117009201_BLK_2.jpg" TargetMode="External" Id="rId5414"/><Relationship Type="http://schemas.openxmlformats.org/officeDocument/2006/relationships/hyperlink" Target="imagenes/NAUTICA_CLASSICS_117009201_BLK_3.jpg" TargetMode="External" Id="rId5415"/><Relationship Type="http://schemas.openxmlformats.org/officeDocument/2006/relationships/hyperlink" Target="imagenes/NAUTICA_CLASSICS_117009201_BLK_2.jpg" TargetMode="External" Id="rId5416"/><Relationship Type="http://schemas.openxmlformats.org/officeDocument/2006/relationships/hyperlink" Target="imagenes/NAUTICA_CLASSICS_117009201_BLK_3.jpg" TargetMode="External" Id="rId5417"/><Relationship Type="http://schemas.openxmlformats.org/officeDocument/2006/relationships/hyperlink" Target="imagenes/NAUTICA_CLASSICS_117009201_BLK_2.jpg" TargetMode="External" Id="rId5418"/><Relationship Type="http://schemas.openxmlformats.org/officeDocument/2006/relationships/hyperlink" Target="imagenes/NAUTICA_CLASSICS_117009201_BLK_3.jpg" TargetMode="External" Id="rId5419"/><Relationship Type="http://schemas.openxmlformats.org/officeDocument/2006/relationships/hyperlink" Target="imagenes/NAUTICA_CLASSICS_117009201_BLK_2.jpg" TargetMode="External" Id="rId5420"/><Relationship Type="http://schemas.openxmlformats.org/officeDocument/2006/relationships/hyperlink" Target="imagenes/NAUTICA_CLASSICS_117009201_BLK_3.jpg" TargetMode="External" Id="rId5421"/><Relationship Type="http://schemas.openxmlformats.org/officeDocument/2006/relationships/hyperlink" Target="imagenes/NAUTICA_CLASSICS_117009201_BLK_2.jpg" TargetMode="External" Id="rId5422"/><Relationship Type="http://schemas.openxmlformats.org/officeDocument/2006/relationships/hyperlink" Target="imagenes/NAUTICA_CLASSICS_117009201_BLK_3.jpg" TargetMode="External" Id="rId5423"/><Relationship Type="http://schemas.openxmlformats.org/officeDocument/2006/relationships/hyperlink" Target="imagenes/NAUTICA_CLASSICS_117009201_BLK_2.jpg" TargetMode="External" Id="rId5424"/><Relationship Type="http://schemas.openxmlformats.org/officeDocument/2006/relationships/hyperlink" Target="imagenes/NAUTICA_CLASSICS_117009201_BLK_3.jpg" TargetMode="External" Id="rId5425"/><Relationship Type="http://schemas.openxmlformats.org/officeDocument/2006/relationships/hyperlink" Target="imagenes/NAUTICA_CLASSICS_117009201_BLK_2.jpg" TargetMode="External" Id="rId5426"/><Relationship Type="http://schemas.openxmlformats.org/officeDocument/2006/relationships/hyperlink" Target="imagenes/NAUTICA_CLASSICS_117009201_BLK_3.jpg" TargetMode="External" Id="rId5427"/><Relationship Type="http://schemas.openxmlformats.org/officeDocument/2006/relationships/hyperlink" Target="imagenes/NAUTICA_CLASSICS_117009201_BLK_2.jpg" TargetMode="External" Id="rId5428"/><Relationship Type="http://schemas.openxmlformats.org/officeDocument/2006/relationships/hyperlink" Target="imagenes/NAUTICA_CLASSICS_117009201_BLK_3.jpg" TargetMode="External" Id="rId5429"/><Relationship Type="http://schemas.openxmlformats.org/officeDocument/2006/relationships/hyperlink" Target="imagenes/NAUTICA_CLASSICS_117009201_BLK_2.jpg" TargetMode="External" Id="rId5430"/><Relationship Type="http://schemas.openxmlformats.org/officeDocument/2006/relationships/hyperlink" Target="imagenes/NAUTICA_CLASSICS_117009201_BLK_3.jpg" TargetMode="External" Id="rId5431"/><Relationship Type="http://schemas.openxmlformats.org/officeDocument/2006/relationships/hyperlink" Target="imagenes/NAUTICA_CLASSICS_117009201_BLK_2.jpg" TargetMode="External" Id="rId5432"/><Relationship Type="http://schemas.openxmlformats.org/officeDocument/2006/relationships/hyperlink" Target="imagenes/NAUTICA_CLASSICS_117009201_BLK_3.jpg" TargetMode="External" Id="rId5433"/><Relationship Type="http://schemas.openxmlformats.org/officeDocument/2006/relationships/hyperlink" Target="imagenes/NAUTICA_CLASSICS_117009201_BLK_2.jpg" TargetMode="External" Id="rId5434"/><Relationship Type="http://schemas.openxmlformats.org/officeDocument/2006/relationships/hyperlink" Target="imagenes/NAUTICA_CLASSICS_117009201_BLK_3.jpg" TargetMode="External" Id="rId5435"/><Relationship Type="http://schemas.openxmlformats.org/officeDocument/2006/relationships/hyperlink" Target="imagenes/NAUTICA_CLASSICS_117009201_BLK_2.jpg" TargetMode="External" Id="rId5436"/><Relationship Type="http://schemas.openxmlformats.org/officeDocument/2006/relationships/hyperlink" Target="imagenes/NAUTICA_CLASSICS_117009201_BLK_3.jpg" TargetMode="External" Id="rId5437"/><Relationship Type="http://schemas.openxmlformats.org/officeDocument/2006/relationships/hyperlink" Target="imagenes/NAUTICA_CLASSICS_117009201_BLK_2.jpg" TargetMode="External" Id="rId5438"/><Relationship Type="http://schemas.openxmlformats.org/officeDocument/2006/relationships/hyperlink" Target="imagenes/NAUTICA_CLASSICS_117009201_BLK_3.jpg" TargetMode="External" Id="rId5439"/><Relationship Type="http://schemas.openxmlformats.org/officeDocument/2006/relationships/hyperlink" Target="imagenes/NAUTICA_CLASSICS_117009201_NAR_2.jpg" TargetMode="External" Id="rId5440"/><Relationship Type="http://schemas.openxmlformats.org/officeDocument/2006/relationships/hyperlink" Target="imagenes/NAUTICA_CLASSICS_117009201_NAR_3.jpg" TargetMode="External" Id="rId5441"/><Relationship Type="http://schemas.openxmlformats.org/officeDocument/2006/relationships/hyperlink" Target="imagenes/NAUTICA_CLASSICS_117009201_NAR_2.jpg" TargetMode="External" Id="rId5442"/><Relationship Type="http://schemas.openxmlformats.org/officeDocument/2006/relationships/hyperlink" Target="imagenes/NAUTICA_CLASSICS_117009201_NAR_3.jpg" TargetMode="External" Id="rId5443"/><Relationship Type="http://schemas.openxmlformats.org/officeDocument/2006/relationships/hyperlink" Target="imagenes/NAUTICA_CLASSICS_117009201_NAR_2.jpg" TargetMode="External" Id="rId5444"/><Relationship Type="http://schemas.openxmlformats.org/officeDocument/2006/relationships/hyperlink" Target="imagenes/NAUTICA_CLASSICS_117009201_NAR_3.jpg" TargetMode="External" Id="rId5445"/><Relationship Type="http://schemas.openxmlformats.org/officeDocument/2006/relationships/hyperlink" Target="imagenes/NAUTICA_CLASSICS_117009201_NAR_2.jpg" TargetMode="External" Id="rId5446"/><Relationship Type="http://schemas.openxmlformats.org/officeDocument/2006/relationships/hyperlink" Target="imagenes/NAUTICA_CLASSICS_117009201_NAR_3.jpg" TargetMode="External" Id="rId5447"/><Relationship Type="http://schemas.openxmlformats.org/officeDocument/2006/relationships/hyperlink" Target="imagenes/NAUTICA_CLASSICS_117009201_NAR_2.jpg" TargetMode="External" Id="rId5448"/><Relationship Type="http://schemas.openxmlformats.org/officeDocument/2006/relationships/hyperlink" Target="imagenes/NAUTICA_CLASSICS_117009201_NAR_3.jpg" TargetMode="External" Id="rId5449"/><Relationship Type="http://schemas.openxmlformats.org/officeDocument/2006/relationships/hyperlink" Target="imagenes/NAUTICA_CLASSICS_117009201_NAR_2.jpg" TargetMode="External" Id="rId5450"/><Relationship Type="http://schemas.openxmlformats.org/officeDocument/2006/relationships/hyperlink" Target="imagenes/NAUTICA_CLASSICS_117009201_NAR_3.jpg" TargetMode="External" Id="rId5451"/><Relationship Type="http://schemas.openxmlformats.org/officeDocument/2006/relationships/hyperlink" Target="imagenes/NAUTICA_CLASSICS_117009201_NAR_2.jpg" TargetMode="External" Id="rId5452"/><Relationship Type="http://schemas.openxmlformats.org/officeDocument/2006/relationships/hyperlink" Target="imagenes/NAUTICA_CLASSICS_117009201_NAR_3.jpg" TargetMode="External" Id="rId5453"/><Relationship Type="http://schemas.openxmlformats.org/officeDocument/2006/relationships/hyperlink" Target="imagenes/NAUTICA_CLASSICS_117009201_NAR_2.jpg" TargetMode="External" Id="rId5454"/><Relationship Type="http://schemas.openxmlformats.org/officeDocument/2006/relationships/hyperlink" Target="imagenes/NAUTICA_CLASSICS_117009201_NAR_3.jpg" TargetMode="External" Id="rId5455"/><Relationship Type="http://schemas.openxmlformats.org/officeDocument/2006/relationships/hyperlink" Target="imagenes/NAUTICA_CLASSICS_117009201_NAR_2.jpg" TargetMode="External" Id="rId5456"/><Relationship Type="http://schemas.openxmlformats.org/officeDocument/2006/relationships/hyperlink" Target="imagenes/NAUTICA_CLASSICS_117009201_NAR_3.jpg" TargetMode="External" Id="rId5457"/><Relationship Type="http://schemas.openxmlformats.org/officeDocument/2006/relationships/hyperlink" Target="imagenes/NAUTICA_CLASSICS_117009201_NAR_2.jpg" TargetMode="External" Id="rId5458"/><Relationship Type="http://schemas.openxmlformats.org/officeDocument/2006/relationships/hyperlink" Target="imagenes/NAUTICA_CLASSICS_117009201_NAR_3.jpg" TargetMode="External" Id="rId5459"/><Relationship Type="http://schemas.openxmlformats.org/officeDocument/2006/relationships/hyperlink" Target="imagenes/NAUTICA_CLASSICS_117009201_NAR_2.jpg" TargetMode="External" Id="rId5460"/><Relationship Type="http://schemas.openxmlformats.org/officeDocument/2006/relationships/hyperlink" Target="imagenes/NAUTICA_CLASSICS_117009201_NAR_3.jpg" TargetMode="External" Id="rId5461"/><Relationship Type="http://schemas.openxmlformats.org/officeDocument/2006/relationships/hyperlink" Target="imagenes/NAUTICA_CLASSICS_117009201_NAR_2.jpg" TargetMode="External" Id="rId5462"/><Relationship Type="http://schemas.openxmlformats.org/officeDocument/2006/relationships/hyperlink" Target="imagenes/NAUTICA_CLASSICS_117009201_NAR_3.jpg" TargetMode="External" Id="rId5463"/><Relationship Type="http://schemas.openxmlformats.org/officeDocument/2006/relationships/hyperlink" Target="imagenes/NAUTICA_CLASSICS_117009201_NAR_2.jpg" TargetMode="External" Id="rId5464"/><Relationship Type="http://schemas.openxmlformats.org/officeDocument/2006/relationships/hyperlink" Target="imagenes/NAUTICA_CLASSICS_117009201_NAR_3.jpg" TargetMode="External" Id="rId5465"/><Relationship Type="http://schemas.openxmlformats.org/officeDocument/2006/relationships/hyperlink" Target="imagenes/NAUTICA_CLASSICS_117009201_NAR_2.jpg" TargetMode="External" Id="rId5466"/><Relationship Type="http://schemas.openxmlformats.org/officeDocument/2006/relationships/hyperlink" Target="imagenes/NAUTICA_CLASSICS_117009201_NAR_3.jpg" TargetMode="External" Id="rId5467"/><Relationship Type="http://schemas.openxmlformats.org/officeDocument/2006/relationships/hyperlink" Target="imagenes/NAUTICA_CLASSICS_117009201_NAR_2.jpg" TargetMode="External" Id="rId5468"/><Relationship Type="http://schemas.openxmlformats.org/officeDocument/2006/relationships/hyperlink" Target="imagenes/NAUTICA_CLASSICS_117009201_NAR_3.jpg" TargetMode="External" Id="rId5469"/><Relationship Type="http://schemas.openxmlformats.org/officeDocument/2006/relationships/hyperlink" Target="imagenes/NAUTICA_CLASSICS_117009201_PLF_2.jpg" TargetMode="External" Id="rId5470"/><Relationship Type="http://schemas.openxmlformats.org/officeDocument/2006/relationships/hyperlink" Target="imagenes/NAUTICA_CLASSICS_117009201_PLF_3.jpg" TargetMode="External" Id="rId5471"/><Relationship Type="http://schemas.openxmlformats.org/officeDocument/2006/relationships/hyperlink" Target="imagenes/NAUTICA_CLASSICS_117009201_PLF_2.jpg" TargetMode="External" Id="rId5472"/><Relationship Type="http://schemas.openxmlformats.org/officeDocument/2006/relationships/hyperlink" Target="imagenes/NAUTICA_CLASSICS_117009201_PLF_3.jpg" TargetMode="External" Id="rId5473"/><Relationship Type="http://schemas.openxmlformats.org/officeDocument/2006/relationships/hyperlink" Target="imagenes/NAUTICA_CLASSICS_117009201_PLF_2.jpg" TargetMode="External" Id="rId5474"/><Relationship Type="http://schemas.openxmlformats.org/officeDocument/2006/relationships/hyperlink" Target="imagenes/NAUTICA_CLASSICS_117009201_PLF_3.jpg" TargetMode="External" Id="rId5475"/><Relationship Type="http://schemas.openxmlformats.org/officeDocument/2006/relationships/hyperlink" Target="imagenes/NAUTICA_CLASSICS_117009201_PLF_2.jpg" TargetMode="External" Id="rId5476"/><Relationship Type="http://schemas.openxmlformats.org/officeDocument/2006/relationships/hyperlink" Target="imagenes/NAUTICA_CLASSICS_117009201_PLF_3.jpg" TargetMode="External" Id="rId5477"/><Relationship Type="http://schemas.openxmlformats.org/officeDocument/2006/relationships/hyperlink" Target="imagenes/NAUTICA_CLASSICS_117009201_PLF_2.jpg" TargetMode="External" Id="rId5478"/><Relationship Type="http://schemas.openxmlformats.org/officeDocument/2006/relationships/hyperlink" Target="imagenes/NAUTICA_CLASSICS_117009201_PLF_3.jpg" TargetMode="External" Id="rId5479"/><Relationship Type="http://schemas.openxmlformats.org/officeDocument/2006/relationships/hyperlink" Target="imagenes/NAUTICA_CLASSICS_117009201_PLF_2.jpg" TargetMode="External" Id="rId5480"/><Relationship Type="http://schemas.openxmlformats.org/officeDocument/2006/relationships/hyperlink" Target="imagenes/NAUTICA_CLASSICS_117009201_PLF_3.jpg" TargetMode="External" Id="rId5481"/><Relationship Type="http://schemas.openxmlformats.org/officeDocument/2006/relationships/hyperlink" Target="imagenes/NAUTICA_CLASSICS_117009201_SW4_2.jpg" TargetMode="External" Id="rId5482"/><Relationship Type="http://schemas.openxmlformats.org/officeDocument/2006/relationships/hyperlink" Target="imagenes/NAUTICA_CLASSICS_117009201_SW4_3.jpg" TargetMode="External" Id="rId5483"/><Relationship Type="http://schemas.openxmlformats.org/officeDocument/2006/relationships/hyperlink" Target="imagenes/NAUTICA_CLASSICS_117009201_SW4_2.jpg" TargetMode="External" Id="rId5484"/><Relationship Type="http://schemas.openxmlformats.org/officeDocument/2006/relationships/hyperlink" Target="imagenes/NAUTICA_CLASSICS_117009201_SW4_3.jpg" TargetMode="External" Id="rId5485"/><Relationship Type="http://schemas.openxmlformats.org/officeDocument/2006/relationships/hyperlink" Target="imagenes/NAUTICA_CLASSICS_117009201_SW4_2.jpg" TargetMode="External" Id="rId5486"/><Relationship Type="http://schemas.openxmlformats.org/officeDocument/2006/relationships/hyperlink" Target="imagenes/NAUTICA_CLASSICS_117009201_SW4_3.jpg" TargetMode="External" Id="rId5487"/><Relationship Type="http://schemas.openxmlformats.org/officeDocument/2006/relationships/hyperlink" Target="imagenes/NAUTICA_CLASSICS_117009201_SW4_2.jpg" TargetMode="External" Id="rId5488"/><Relationship Type="http://schemas.openxmlformats.org/officeDocument/2006/relationships/hyperlink" Target="imagenes/NAUTICA_CLASSICS_117009201_SW4_3.jpg" TargetMode="External" Id="rId5489"/><Relationship Type="http://schemas.openxmlformats.org/officeDocument/2006/relationships/hyperlink" Target="imagenes/NAUTICA_CLASSICS_117009201_SW4_2.jpg" TargetMode="External" Id="rId5490"/><Relationship Type="http://schemas.openxmlformats.org/officeDocument/2006/relationships/hyperlink" Target="imagenes/NAUTICA_CLASSICS_117009201_SW4_3.jpg" TargetMode="External" Id="rId5491"/><Relationship Type="http://schemas.openxmlformats.org/officeDocument/2006/relationships/hyperlink" Target="imagenes/NAUTICA_CLASSICS_117009201_SW4_2.jpg" TargetMode="External" Id="rId5492"/><Relationship Type="http://schemas.openxmlformats.org/officeDocument/2006/relationships/hyperlink" Target="imagenes/NAUTICA_CLASSICS_117009201_SW4_3.jpg" TargetMode="External" Id="rId5493"/><Relationship Type="http://schemas.openxmlformats.org/officeDocument/2006/relationships/hyperlink" Target="imagenes/NAUTICA_CLASSICS_117009201_SW4_2.jpg" TargetMode="External" Id="rId5494"/><Relationship Type="http://schemas.openxmlformats.org/officeDocument/2006/relationships/hyperlink" Target="imagenes/NAUTICA_CLASSICS_117009201_SW4_3.jpg" TargetMode="External" Id="rId5495"/><Relationship Type="http://schemas.openxmlformats.org/officeDocument/2006/relationships/hyperlink" Target="imagenes/NAUTICA_CLASSICS_117009201_VNT_2.jpg" TargetMode="External" Id="rId5496"/><Relationship Type="http://schemas.openxmlformats.org/officeDocument/2006/relationships/hyperlink" Target="imagenes/NAUTICA_CLASSICS_117009201_VNT_3.jpg" TargetMode="External" Id="rId5497"/><Relationship Type="http://schemas.openxmlformats.org/officeDocument/2006/relationships/hyperlink" Target="imagenes/NAUTICA_CLASSICS_117009201_VNT_2.jpg" TargetMode="External" Id="rId5498"/><Relationship Type="http://schemas.openxmlformats.org/officeDocument/2006/relationships/hyperlink" Target="imagenes/NAUTICA_CLASSICS_117009201_VNT_3.jpg" TargetMode="External" Id="rId5499"/><Relationship Type="http://schemas.openxmlformats.org/officeDocument/2006/relationships/hyperlink" Target="imagenes/NAUTICA_CLASSICS_117009201_VNT_2.jpg" TargetMode="External" Id="rId5500"/><Relationship Type="http://schemas.openxmlformats.org/officeDocument/2006/relationships/hyperlink" Target="imagenes/NAUTICA_CLASSICS_117009201_VNT_3.jpg" TargetMode="External" Id="rId5501"/><Relationship Type="http://schemas.openxmlformats.org/officeDocument/2006/relationships/hyperlink" Target="imagenes/NAUTICA_CLASSICS_117009201_VNT_2.jpg" TargetMode="External" Id="rId5502"/><Relationship Type="http://schemas.openxmlformats.org/officeDocument/2006/relationships/hyperlink" Target="imagenes/NAUTICA_CLASSICS_117009201_VNT_3.jpg" TargetMode="External" Id="rId5503"/><Relationship Type="http://schemas.openxmlformats.org/officeDocument/2006/relationships/hyperlink" Target="imagenes/NAUTICA_CLASSICS_117009201_VNT_2.jpg" TargetMode="External" Id="rId5504"/><Relationship Type="http://schemas.openxmlformats.org/officeDocument/2006/relationships/hyperlink" Target="imagenes/NAUTICA_CLASSICS_117009201_VNT_3.jpg" TargetMode="External" Id="rId5505"/><Relationship Type="http://schemas.openxmlformats.org/officeDocument/2006/relationships/hyperlink" Target="imagenes/NAUTICA_CLASSICS_117009201_VNT_2.jpg" TargetMode="External" Id="rId5506"/><Relationship Type="http://schemas.openxmlformats.org/officeDocument/2006/relationships/hyperlink" Target="imagenes/NAUTICA_CLASSICS_117009201_VNT_3.jpg" TargetMode="External" Id="rId5507"/><Relationship Type="http://schemas.openxmlformats.org/officeDocument/2006/relationships/hyperlink" Target="imagenes/NAUTICA_CLASSICS_117009201_VNT_2.jpg" TargetMode="External" Id="rId5508"/><Relationship Type="http://schemas.openxmlformats.org/officeDocument/2006/relationships/hyperlink" Target="imagenes/NAUTICA_CLASSICS_117009201_VNT_3.jpg" TargetMode="External" Id="rId5509"/><Relationship Type="http://schemas.openxmlformats.org/officeDocument/2006/relationships/hyperlink" Target="imagenes/NAUTICA_CLASSICS_117009201_VNT_2.jpg" TargetMode="External" Id="rId5510"/><Relationship Type="http://schemas.openxmlformats.org/officeDocument/2006/relationships/hyperlink" Target="imagenes/NAUTICA_CLASSICS_117009201_VNT_3.jpg" TargetMode="External" Id="rId5511"/><Relationship Type="http://schemas.openxmlformats.org/officeDocument/2006/relationships/hyperlink" Target="imagenes/NAUTICA_CLASSICS_117009201_VNT_2.jpg" TargetMode="External" Id="rId5512"/><Relationship Type="http://schemas.openxmlformats.org/officeDocument/2006/relationships/hyperlink" Target="imagenes/NAUTICA_CLASSICS_117009201_VNT_3.jpg" TargetMode="External" Id="rId5513"/><Relationship Type="http://schemas.openxmlformats.org/officeDocument/2006/relationships/hyperlink" Target="imagenes/NAUTICA_CLASSICS_117009201_VNT_2.jpg" TargetMode="External" Id="rId5514"/><Relationship Type="http://schemas.openxmlformats.org/officeDocument/2006/relationships/hyperlink" Target="imagenes/NAUTICA_CLASSICS_117009201_VNT_3.jpg" TargetMode="External" Id="rId5515"/><Relationship Type="http://schemas.openxmlformats.org/officeDocument/2006/relationships/hyperlink" Target="imagenes/NAUTICA_CLASSICS_117009224_BLK_1.jpg" TargetMode="External" Id="rId5516"/><Relationship Type="http://schemas.openxmlformats.org/officeDocument/2006/relationships/hyperlink" Target="imagenes/NAUTICA_CLASSICS_117009224_BLK_2.jpg" TargetMode="External" Id="rId5517"/><Relationship Type="http://schemas.openxmlformats.org/officeDocument/2006/relationships/hyperlink" Target="imagenes/NAUTICA_CLASSICS_117009224_BLK_3.jpg" TargetMode="External" Id="rId5518"/><Relationship Type="http://schemas.openxmlformats.org/officeDocument/2006/relationships/hyperlink" Target="imagenes/NAUTICA_CLASSICS_117009224_BLK_1.jpg" TargetMode="External" Id="rId5519"/><Relationship Type="http://schemas.openxmlformats.org/officeDocument/2006/relationships/hyperlink" Target="imagenes/NAUTICA_CLASSICS_117009224_BLK_2.jpg" TargetMode="External" Id="rId5520"/><Relationship Type="http://schemas.openxmlformats.org/officeDocument/2006/relationships/hyperlink" Target="imagenes/NAUTICA_CLASSICS_117009224_BLK_3.jpg" TargetMode="External" Id="rId5521"/><Relationship Type="http://schemas.openxmlformats.org/officeDocument/2006/relationships/hyperlink" Target="imagenes/NAUTICA_CLASSICS_117009224_BLK_1.jpg" TargetMode="External" Id="rId5522"/><Relationship Type="http://schemas.openxmlformats.org/officeDocument/2006/relationships/hyperlink" Target="imagenes/NAUTICA_CLASSICS_117009224_BLK_2.jpg" TargetMode="External" Id="rId5523"/><Relationship Type="http://schemas.openxmlformats.org/officeDocument/2006/relationships/hyperlink" Target="imagenes/NAUTICA_CLASSICS_117009224_BLK_3.jpg" TargetMode="External" Id="rId5524"/><Relationship Type="http://schemas.openxmlformats.org/officeDocument/2006/relationships/hyperlink" Target="imagenes/NAUTICA_CLASSICS_117009224_BLK_1.jpg" TargetMode="External" Id="rId5525"/><Relationship Type="http://schemas.openxmlformats.org/officeDocument/2006/relationships/hyperlink" Target="imagenes/NAUTICA_CLASSICS_117009224_BLK_2.jpg" TargetMode="External" Id="rId5526"/><Relationship Type="http://schemas.openxmlformats.org/officeDocument/2006/relationships/hyperlink" Target="imagenes/NAUTICA_CLASSICS_117009224_BLK_3.jpg" TargetMode="External" Id="rId5527"/><Relationship Type="http://schemas.openxmlformats.org/officeDocument/2006/relationships/hyperlink" Target="imagenes/NAUTICA_CLASSICS_117009224_BLK_1.jpg" TargetMode="External" Id="rId5528"/><Relationship Type="http://schemas.openxmlformats.org/officeDocument/2006/relationships/hyperlink" Target="imagenes/NAUTICA_CLASSICS_117009224_BLK_2.jpg" TargetMode="External" Id="rId5529"/><Relationship Type="http://schemas.openxmlformats.org/officeDocument/2006/relationships/hyperlink" Target="imagenes/NAUTICA_CLASSICS_117009224_BLK_3.jpg" TargetMode="External" Id="rId5530"/><Relationship Type="http://schemas.openxmlformats.org/officeDocument/2006/relationships/hyperlink" Target="imagenes/NAUTICA_CLASSICS_117009224_BLK_1.jpg" TargetMode="External" Id="rId5531"/><Relationship Type="http://schemas.openxmlformats.org/officeDocument/2006/relationships/hyperlink" Target="imagenes/NAUTICA_CLASSICS_117009224_BLK_2.jpg" TargetMode="External" Id="rId5532"/><Relationship Type="http://schemas.openxmlformats.org/officeDocument/2006/relationships/hyperlink" Target="imagenes/NAUTICA_CLASSICS_117009224_BLK_3.jpg" TargetMode="External" Id="rId5533"/><Relationship Type="http://schemas.openxmlformats.org/officeDocument/2006/relationships/hyperlink" Target="imagenes/NAUTICA_CLASSICS_117009224_BLK_1.jpg" TargetMode="External" Id="rId5534"/><Relationship Type="http://schemas.openxmlformats.org/officeDocument/2006/relationships/hyperlink" Target="imagenes/NAUTICA_CLASSICS_117009224_BLK_2.jpg" TargetMode="External" Id="rId5535"/><Relationship Type="http://schemas.openxmlformats.org/officeDocument/2006/relationships/hyperlink" Target="imagenes/NAUTICA_CLASSICS_117009224_BLK_3.jpg" TargetMode="External" Id="rId5536"/><Relationship Type="http://schemas.openxmlformats.org/officeDocument/2006/relationships/hyperlink" Target="imagenes/NAUTICA_CLASSICS_117009224_BLK_1.jpg" TargetMode="External" Id="rId5537"/><Relationship Type="http://schemas.openxmlformats.org/officeDocument/2006/relationships/hyperlink" Target="imagenes/NAUTICA_CLASSICS_117009224_BLK_2.jpg" TargetMode="External" Id="rId5538"/><Relationship Type="http://schemas.openxmlformats.org/officeDocument/2006/relationships/hyperlink" Target="imagenes/NAUTICA_CLASSICS_117009224_BLK_3.jpg" TargetMode="External" Id="rId5539"/><Relationship Type="http://schemas.openxmlformats.org/officeDocument/2006/relationships/hyperlink" Target="imagenes/NAUTICA_CLASSICS_117009224_BLK_1.jpg" TargetMode="External" Id="rId5540"/><Relationship Type="http://schemas.openxmlformats.org/officeDocument/2006/relationships/hyperlink" Target="imagenes/NAUTICA_CLASSICS_117009224_BLK_2.jpg" TargetMode="External" Id="rId5541"/><Relationship Type="http://schemas.openxmlformats.org/officeDocument/2006/relationships/hyperlink" Target="imagenes/NAUTICA_CLASSICS_117009224_BLK_3.jpg" TargetMode="External" Id="rId5542"/><Relationship Type="http://schemas.openxmlformats.org/officeDocument/2006/relationships/hyperlink" Target="imagenes/NAUTICA_CLASSICS_117009224_BLK_1.jpg" TargetMode="External" Id="rId5543"/><Relationship Type="http://schemas.openxmlformats.org/officeDocument/2006/relationships/hyperlink" Target="imagenes/NAUTICA_CLASSICS_117009224_BLK_2.jpg" TargetMode="External" Id="rId5544"/><Relationship Type="http://schemas.openxmlformats.org/officeDocument/2006/relationships/hyperlink" Target="imagenes/NAUTICA_CLASSICS_117009224_BLK_3.jpg" TargetMode="External" Id="rId5545"/><Relationship Type="http://schemas.openxmlformats.org/officeDocument/2006/relationships/hyperlink" Target="imagenes/NAUTICA_CLASSICS_117009224_PLF_1.jpg" TargetMode="External" Id="rId5546"/><Relationship Type="http://schemas.openxmlformats.org/officeDocument/2006/relationships/hyperlink" Target="imagenes/NAUTICA_CLASSICS_117009224_PLF_2.jpg" TargetMode="External" Id="rId5547"/><Relationship Type="http://schemas.openxmlformats.org/officeDocument/2006/relationships/hyperlink" Target="imagenes/NAUTICA_CLASSICS_117009224_PLF_3.jpg" TargetMode="External" Id="rId5548"/><Relationship Type="http://schemas.openxmlformats.org/officeDocument/2006/relationships/hyperlink" Target="imagenes/NAUTICA_CLASSICS_117009224_PLF_1.jpg" TargetMode="External" Id="rId5549"/><Relationship Type="http://schemas.openxmlformats.org/officeDocument/2006/relationships/hyperlink" Target="imagenes/NAUTICA_CLASSICS_117009224_PLF_2.jpg" TargetMode="External" Id="rId5550"/><Relationship Type="http://schemas.openxmlformats.org/officeDocument/2006/relationships/hyperlink" Target="imagenes/NAUTICA_CLASSICS_117009224_PLF_3.jpg" TargetMode="External" Id="rId5551"/><Relationship Type="http://schemas.openxmlformats.org/officeDocument/2006/relationships/hyperlink" Target="imagenes/NAUTICA_CLASSICS_117009224_PLF_1.jpg" TargetMode="External" Id="rId5552"/><Relationship Type="http://schemas.openxmlformats.org/officeDocument/2006/relationships/hyperlink" Target="imagenes/NAUTICA_CLASSICS_117009224_PLF_2.jpg" TargetMode="External" Id="rId5553"/><Relationship Type="http://schemas.openxmlformats.org/officeDocument/2006/relationships/hyperlink" Target="imagenes/NAUTICA_CLASSICS_117009224_PLF_3.jpg" TargetMode="External" Id="rId5554"/><Relationship Type="http://schemas.openxmlformats.org/officeDocument/2006/relationships/hyperlink" Target="imagenes/NAUTICA_CLASSICS_117009224_PLF_1.jpg" TargetMode="External" Id="rId5555"/><Relationship Type="http://schemas.openxmlformats.org/officeDocument/2006/relationships/hyperlink" Target="imagenes/NAUTICA_CLASSICS_117009224_PLF_2.jpg" TargetMode="External" Id="rId5556"/><Relationship Type="http://schemas.openxmlformats.org/officeDocument/2006/relationships/hyperlink" Target="imagenes/NAUTICA_CLASSICS_117009224_PLF_3.jpg" TargetMode="External" Id="rId5557"/><Relationship Type="http://schemas.openxmlformats.org/officeDocument/2006/relationships/hyperlink" Target="imagenes/NAUTICA_CLASSICS_117009224_PLF_1.jpg" TargetMode="External" Id="rId5558"/><Relationship Type="http://schemas.openxmlformats.org/officeDocument/2006/relationships/hyperlink" Target="imagenes/NAUTICA_CLASSICS_117009224_PLF_2.jpg" TargetMode="External" Id="rId5559"/><Relationship Type="http://schemas.openxmlformats.org/officeDocument/2006/relationships/hyperlink" Target="imagenes/NAUTICA_CLASSICS_117009224_PLF_3.jpg" TargetMode="External" Id="rId5560"/><Relationship Type="http://schemas.openxmlformats.org/officeDocument/2006/relationships/hyperlink" Target="imagenes/NAUTICA_CLASSICS_117009224_ZCR_1.jpg" TargetMode="External" Id="rId5561"/><Relationship Type="http://schemas.openxmlformats.org/officeDocument/2006/relationships/hyperlink" Target="imagenes/NAUTICA_CLASSICS_117009224_ZCR_2.jpg" TargetMode="External" Id="rId5562"/><Relationship Type="http://schemas.openxmlformats.org/officeDocument/2006/relationships/hyperlink" Target="imagenes/NAUTICA_CLASSICS_117009224_ZCR_3.jpg" TargetMode="External" Id="rId5563"/><Relationship Type="http://schemas.openxmlformats.org/officeDocument/2006/relationships/hyperlink" Target="imagenes/NAUTICA_CLASSICS_117009224_ZCR_1.jpg" TargetMode="External" Id="rId5564"/><Relationship Type="http://schemas.openxmlformats.org/officeDocument/2006/relationships/hyperlink" Target="imagenes/NAUTICA_CLASSICS_117009224_ZCR_2.jpg" TargetMode="External" Id="rId5565"/><Relationship Type="http://schemas.openxmlformats.org/officeDocument/2006/relationships/hyperlink" Target="imagenes/NAUTICA_CLASSICS_117009224_ZCR_3.jpg" TargetMode="External" Id="rId5566"/><Relationship Type="http://schemas.openxmlformats.org/officeDocument/2006/relationships/hyperlink" Target="imagenes/NAUTICA_CLASSICS_117009224_ZCR_1.jpg" TargetMode="External" Id="rId5567"/><Relationship Type="http://schemas.openxmlformats.org/officeDocument/2006/relationships/hyperlink" Target="imagenes/NAUTICA_CLASSICS_117009224_ZCR_2.jpg" TargetMode="External" Id="rId5568"/><Relationship Type="http://schemas.openxmlformats.org/officeDocument/2006/relationships/hyperlink" Target="imagenes/NAUTICA_CLASSICS_117009224_ZCR_3.jpg" TargetMode="External" Id="rId5569"/><Relationship Type="http://schemas.openxmlformats.org/officeDocument/2006/relationships/hyperlink" Target="imagenes/NAUTICA_CLASSICS_117009224_ZCR_1.jpg" TargetMode="External" Id="rId5570"/><Relationship Type="http://schemas.openxmlformats.org/officeDocument/2006/relationships/hyperlink" Target="imagenes/NAUTICA_CLASSICS_117009224_ZCR_2.jpg" TargetMode="External" Id="rId5571"/><Relationship Type="http://schemas.openxmlformats.org/officeDocument/2006/relationships/hyperlink" Target="imagenes/NAUTICA_CLASSICS_117009224_ZCR_3.jpg" TargetMode="External" Id="rId5572"/><Relationship Type="http://schemas.openxmlformats.org/officeDocument/2006/relationships/hyperlink" Target="imagenes/NAUTICA_CLASSICS_117009224_ZCR_1.jpg" TargetMode="External" Id="rId5573"/><Relationship Type="http://schemas.openxmlformats.org/officeDocument/2006/relationships/hyperlink" Target="imagenes/NAUTICA_CLASSICS_117009224_ZCR_2.jpg" TargetMode="External" Id="rId5574"/><Relationship Type="http://schemas.openxmlformats.org/officeDocument/2006/relationships/hyperlink" Target="imagenes/NAUTICA_CLASSICS_117009224_ZCR_3.jpg" TargetMode="External" Id="rId5575"/><Relationship Type="http://schemas.openxmlformats.org/officeDocument/2006/relationships/hyperlink" Target="imagenes/NAUTICA_CLASSICS_117009224_ZCR_1.jpg" TargetMode="External" Id="rId5576"/><Relationship Type="http://schemas.openxmlformats.org/officeDocument/2006/relationships/hyperlink" Target="imagenes/NAUTICA_CLASSICS_117009224_ZCR_2.jpg" TargetMode="External" Id="rId5577"/><Relationship Type="http://schemas.openxmlformats.org/officeDocument/2006/relationships/hyperlink" Target="imagenes/NAUTICA_CLASSICS_117009224_ZCR_3.jpg" TargetMode="External" Id="rId5578"/><Relationship Type="http://schemas.openxmlformats.org/officeDocument/2006/relationships/hyperlink" Target="imagenes/NAUTICA_CLASSICS_117009224_ZCR_1.jpg" TargetMode="External" Id="rId5579"/><Relationship Type="http://schemas.openxmlformats.org/officeDocument/2006/relationships/hyperlink" Target="imagenes/NAUTICA_CLASSICS_117009224_ZCR_2.jpg" TargetMode="External" Id="rId5580"/><Relationship Type="http://schemas.openxmlformats.org/officeDocument/2006/relationships/hyperlink" Target="imagenes/NAUTICA_CLASSICS_117009224_ZCR_3.jpg" TargetMode="External" Id="rId5581"/><Relationship Type="http://schemas.openxmlformats.org/officeDocument/2006/relationships/hyperlink" Target="imagenes/NAUTICA_CLASSICS_117009224_ZCR_1.jpg" TargetMode="External" Id="rId5582"/><Relationship Type="http://schemas.openxmlformats.org/officeDocument/2006/relationships/hyperlink" Target="imagenes/NAUTICA_CLASSICS_117009224_ZCR_2.jpg" TargetMode="External" Id="rId5583"/><Relationship Type="http://schemas.openxmlformats.org/officeDocument/2006/relationships/hyperlink" Target="imagenes/NAUTICA_CLASSICS_117009224_ZCR_3.jpg" TargetMode="External" Id="rId5584"/><Relationship Type="http://schemas.openxmlformats.org/officeDocument/2006/relationships/hyperlink" Target="imagenes/NAUTICA_CLASSICS_117009224_ZCR_1.jpg" TargetMode="External" Id="rId5585"/><Relationship Type="http://schemas.openxmlformats.org/officeDocument/2006/relationships/hyperlink" Target="imagenes/NAUTICA_CLASSICS_117009224_ZCR_2.jpg" TargetMode="External" Id="rId5586"/><Relationship Type="http://schemas.openxmlformats.org/officeDocument/2006/relationships/hyperlink" Target="imagenes/NAUTICA_CLASSICS_117009224_ZCR_3.jpg" TargetMode="External" Id="rId5587"/><Relationship Type="http://schemas.openxmlformats.org/officeDocument/2006/relationships/hyperlink" Target="imagenes/NAUTICA_CLASSICS_117009700_BDN_1.jpg" TargetMode="External" Id="rId5588"/><Relationship Type="http://schemas.openxmlformats.org/officeDocument/2006/relationships/hyperlink" Target="imagenes/NAUTICA_CLASSICS_117009700_BDN_2.jpg" TargetMode="External" Id="rId5589"/><Relationship Type="http://schemas.openxmlformats.org/officeDocument/2006/relationships/hyperlink" Target="imagenes/NAUTICA_CLASSICS_117009700_BDN_3.jpg" TargetMode="External" Id="rId5590"/><Relationship Type="http://schemas.openxmlformats.org/officeDocument/2006/relationships/hyperlink" Target="imagenes/NAUTICA_CLASSICS_117009700_BLK_1.jpg" TargetMode="External" Id="rId5591"/><Relationship Type="http://schemas.openxmlformats.org/officeDocument/2006/relationships/hyperlink" Target="imagenes/NAUTICA_CLASSICS_117009700_BLK_2.jpg" TargetMode="External" Id="rId5592"/><Relationship Type="http://schemas.openxmlformats.org/officeDocument/2006/relationships/hyperlink" Target="imagenes/NAUTICA_CLASSICS_117009700_BLK_3.jpg" TargetMode="External" Id="rId5593"/><Relationship Type="http://schemas.openxmlformats.org/officeDocument/2006/relationships/hyperlink" Target="imagenes/NAUTICA_CLASSICS_117009700_ZCR_1.jpg" TargetMode="External" Id="rId5594"/><Relationship Type="http://schemas.openxmlformats.org/officeDocument/2006/relationships/hyperlink" Target="imagenes/NAUTICA_CLASSICS_117009700_ZCR_2.jpg" TargetMode="External" Id="rId5595"/><Relationship Type="http://schemas.openxmlformats.org/officeDocument/2006/relationships/hyperlink" Target="imagenes/NAUTICA_CLASSICS_117009700_ZCR_3.jpg" TargetMode="External" Id="rId5596"/><Relationship Type="http://schemas.openxmlformats.org/officeDocument/2006/relationships/hyperlink" Target="imagenes/NAUTICA_CLASSICS_117DAMAGE_ASD_1.jpg" TargetMode="External" Id="rId5597"/><Relationship Type="http://schemas.openxmlformats.org/officeDocument/2006/relationships/hyperlink" Target="imagenes/NAUTICA_CLASSICS_117DAMAGE_ASD_2.jpg" TargetMode="External" Id="rId5598"/><Relationship Type="http://schemas.openxmlformats.org/officeDocument/2006/relationships/hyperlink" Target="imagenes/NAUTICA_CLASSICS_117DAMAGE_ASD_3.jpg" TargetMode="External" Id="rId5599"/><Relationship Type="http://schemas.openxmlformats.org/officeDocument/2006/relationships/hyperlink" Target="imagenes/NAUTICA_CLASSICS_Q020351_BLK_1.jpg" TargetMode="External" Id="rId5600"/><Relationship Type="http://schemas.openxmlformats.org/officeDocument/2006/relationships/hyperlink" Target="imagenes/NAUTICA_CLASSICS_Q020351_BLK_2.jpg" TargetMode="External" Id="rId5601"/><Relationship Type="http://schemas.openxmlformats.org/officeDocument/2006/relationships/hyperlink" Target="imagenes/NAUTICA_CLASSICS_Q020351_BLK_3.jpg" TargetMode="External" Id="rId5602"/><Relationship Type="http://schemas.openxmlformats.org/officeDocument/2006/relationships/hyperlink" Target="imagenes/NAUTICA_CLASSICS_Q021823U_BLK_1.jpg" TargetMode="External" Id="rId5603"/><Relationship Type="http://schemas.openxmlformats.org/officeDocument/2006/relationships/hyperlink" Target="imagenes/NAUTICA_CLASSICS_Q021823U_BLK_2.jpg" TargetMode="External" Id="rId5604"/><Relationship Type="http://schemas.openxmlformats.org/officeDocument/2006/relationships/hyperlink" Target="imagenes/NAUTICA_CLASSICS_Q021823U_BLK_3.jpg" TargetMode="External" Id="rId5605"/><Relationship Type="http://schemas.openxmlformats.org/officeDocument/2006/relationships/hyperlink" Target="imagenes/NAUTICA_CLASSICS_Q021879_NSS_1.jpg" TargetMode="External" Id="rId5606"/><Relationship Type="http://schemas.openxmlformats.org/officeDocument/2006/relationships/hyperlink" Target="imagenes/NAUTICA_CLASSICS_Q021879_NSS_2.jpg" TargetMode="External" Id="rId5607"/><Relationship Type="http://schemas.openxmlformats.org/officeDocument/2006/relationships/hyperlink" Target="imagenes/NAUTICA_CLASSICS_Q021879_NSS_3.jpg" TargetMode="External" Id="rId5608"/><Relationship Type="http://schemas.openxmlformats.org/officeDocument/2006/relationships/hyperlink" Target="imagenes/NAUTICA_CLASSICS_Q021886_B68_1.jpg" TargetMode="External" Id="rId5609"/><Relationship Type="http://schemas.openxmlformats.org/officeDocument/2006/relationships/hyperlink" Target="imagenes/NAUTICA_CLASSICS_Q021886_B68_2.jpg" TargetMode="External" Id="rId5610"/><Relationship Type="http://schemas.openxmlformats.org/officeDocument/2006/relationships/hyperlink" Target="imagenes/NAUTICA_CLASSICS_Q021886_B68_3.jpg" TargetMode="External" Id="rId5611"/><Relationship Type="http://schemas.openxmlformats.org/officeDocument/2006/relationships/hyperlink" Target="imagenes/NAUTICA_CLASSICS_Q021886_BLK_1.jpg" TargetMode="External" Id="rId5612"/><Relationship Type="http://schemas.openxmlformats.org/officeDocument/2006/relationships/hyperlink" Target="imagenes/NAUTICA_CLASSICS_Q021886_BLK_2.jpg" TargetMode="External" Id="rId5613"/><Relationship Type="http://schemas.openxmlformats.org/officeDocument/2006/relationships/hyperlink" Target="imagenes/NAUTICA_CLASSICS_Q021886_BLK_3.jpg" TargetMode="External" Id="rId5614"/><Relationship Type="http://schemas.openxmlformats.org/officeDocument/2006/relationships/hyperlink" Target="imagenes/NAUTICA_CLASSICS_Q022053_BLK_1.jpg" TargetMode="External" Id="rId5615"/><Relationship Type="http://schemas.openxmlformats.org/officeDocument/2006/relationships/hyperlink" Target="imagenes/NAUTICA_CLASSICS_Q022053_BLK_2.jpg" TargetMode="External" Id="rId5616"/><Relationship Type="http://schemas.openxmlformats.org/officeDocument/2006/relationships/hyperlink" Target="imagenes/NAUTICA_CLASSICS_Q022053_BLK_3.jpg" TargetMode="External" Id="rId5617"/><Relationship Type="http://schemas.openxmlformats.org/officeDocument/2006/relationships/hyperlink" Target="imagenes/NAUTICA_CLASSICS_Q022053_BLK_1.jpg" TargetMode="External" Id="rId5618"/><Relationship Type="http://schemas.openxmlformats.org/officeDocument/2006/relationships/hyperlink" Target="imagenes/NAUTICA_CLASSICS_Q022053_BLK_2.jpg" TargetMode="External" Id="rId5619"/><Relationship Type="http://schemas.openxmlformats.org/officeDocument/2006/relationships/hyperlink" Target="imagenes/NAUTICA_CLASSICS_Q022053_BLK_3.jpg" TargetMode="External" Id="rId5620"/><Relationship Type="http://schemas.openxmlformats.org/officeDocument/2006/relationships/hyperlink" Target="imagenes/NAUTICA_CLASSICS_Q022053_BLK_1.jpg" TargetMode="External" Id="rId5621"/><Relationship Type="http://schemas.openxmlformats.org/officeDocument/2006/relationships/hyperlink" Target="imagenes/NAUTICA_CLASSICS_Q022053_BLK_2.jpg" TargetMode="External" Id="rId5622"/><Relationship Type="http://schemas.openxmlformats.org/officeDocument/2006/relationships/hyperlink" Target="imagenes/NAUTICA_CLASSICS_Q022053_BLK_3.jpg" TargetMode="External" Id="rId5623"/><Relationship Type="http://schemas.openxmlformats.org/officeDocument/2006/relationships/hyperlink" Target="imagenes/NAUTICA_CLASSICS_Q022053_NSS_1.jpg" TargetMode="External" Id="rId5624"/><Relationship Type="http://schemas.openxmlformats.org/officeDocument/2006/relationships/hyperlink" Target="imagenes/NAUTICA_CLASSICS_Q022053_NSS_2.jpg" TargetMode="External" Id="rId5625"/><Relationship Type="http://schemas.openxmlformats.org/officeDocument/2006/relationships/hyperlink" Target="imagenes/NAUTICA_CLASSICS_Q022053_NSS_3.jpg" TargetMode="External" Id="rId5626"/><Relationship Type="http://schemas.openxmlformats.org/officeDocument/2006/relationships/hyperlink" Target="imagenes/NAUTICA_CLASSICS_Q022053_NSS_1.jpg" TargetMode="External" Id="rId5627"/><Relationship Type="http://schemas.openxmlformats.org/officeDocument/2006/relationships/hyperlink" Target="imagenes/NAUTICA_CLASSICS_Q022053_NSS_2.jpg" TargetMode="External" Id="rId5628"/><Relationship Type="http://schemas.openxmlformats.org/officeDocument/2006/relationships/hyperlink" Target="imagenes/NAUTICA_CLASSICS_Q022053_NSS_3.jpg" TargetMode="External" Id="rId5629"/><Relationship Type="http://schemas.openxmlformats.org/officeDocument/2006/relationships/hyperlink" Target="imagenes/NAUTICA_CLASSICS_Q022053_NSS_1.jpg" TargetMode="External" Id="rId5630"/><Relationship Type="http://schemas.openxmlformats.org/officeDocument/2006/relationships/hyperlink" Target="imagenes/NAUTICA_CLASSICS_Q022053_NSS_2.jpg" TargetMode="External" Id="rId5631"/><Relationship Type="http://schemas.openxmlformats.org/officeDocument/2006/relationships/hyperlink" Target="imagenes/NAUTICA_CLASSICS_Q022053_NSS_3.jpg" TargetMode="External" Id="rId5632"/><Relationship Type="http://schemas.openxmlformats.org/officeDocument/2006/relationships/hyperlink" Target="imagenes/NAUTICA_CLASSICS_Q022053_NSS_1.jpg" TargetMode="External" Id="rId5633"/><Relationship Type="http://schemas.openxmlformats.org/officeDocument/2006/relationships/hyperlink" Target="imagenes/NAUTICA_CLASSICS_Q022053_NSS_2.jpg" TargetMode="External" Id="rId5634"/><Relationship Type="http://schemas.openxmlformats.org/officeDocument/2006/relationships/hyperlink" Target="imagenes/NAUTICA_CLASSICS_Q022053_NSS_3.jpg" TargetMode="External" Id="rId5635"/><Relationship Type="http://schemas.openxmlformats.org/officeDocument/2006/relationships/hyperlink" Target="imagenes/NAUTICA_CLASSICS_Q022053_OLI_1.jpg" TargetMode="External" Id="rId5636"/><Relationship Type="http://schemas.openxmlformats.org/officeDocument/2006/relationships/hyperlink" Target="imagenes/NAUTICA_CLASSICS_Q022053_OLI_2.jpg" TargetMode="External" Id="rId5637"/><Relationship Type="http://schemas.openxmlformats.org/officeDocument/2006/relationships/hyperlink" Target="imagenes/NAUTICA_CLASSICS_Q022053_OLI_3.jpg" TargetMode="External" Id="rId5638"/><Relationship Type="http://schemas.openxmlformats.org/officeDocument/2006/relationships/hyperlink" Target="imagenes/NAUTICA_CLASSICS_Q022053_OLI_1.jpg" TargetMode="External" Id="rId5639"/><Relationship Type="http://schemas.openxmlformats.org/officeDocument/2006/relationships/hyperlink" Target="imagenes/NAUTICA_CLASSICS_Q022053_OLI_2.jpg" TargetMode="External" Id="rId5640"/><Relationship Type="http://schemas.openxmlformats.org/officeDocument/2006/relationships/hyperlink" Target="imagenes/NAUTICA_CLASSICS_Q022053_OLI_3.jpg" TargetMode="External" Id="rId5641"/><Relationship Type="http://schemas.openxmlformats.org/officeDocument/2006/relationships/hyperlink" Target="imagenes/NAUTICA_CLASSICS_Q022053_OLI_1.jpg" TargetMode="External" Id="rId5642"/><Relationship Type="http://schemas.openxmlformats.org/officeDocument/2006/relationships/hyperlink" Target="imagenes/NAUTICA_CLASSICS_Q022053_OLI_2.jpg" TargetMode="External" Id="rId5643"/><Relationship Type="http://schemas.openxmlformats.org/officeDocument/2006/relationships/hyperlink" Target="imagenes/NAUTICA_CLASSICS_Q022053_OLI_3.jpg" TargetMode="External" Id="rId5644"/><Relationship Type="http://schemas.openxmlformats.org/officeDocument/2006/relationships/hyperlink" Target="imagenes/NAUTICA_CLASSICS_Q022053_OLI_1.jpg" TargetMode="External" Id="rId5645"/><Relationship Type="http://schemas.openxmlformats.org/officeDocument/2006/relationships/hyperlink" Target="imagenes/NAUTICA_CLASSICS_Q022053_OLI_2.jpg" TargetMode="External" Id="rId5646"/><Relationship Type="http://schemas.openxmlformats.org/officeDocument/2006/relationships/hyperlink" Target="imagenes/NAUTICA_CLASSICS_Q022053_OLI_3.jpg" TargetMode="External" Id="rId5647"/><Relationship Type="http://schemas.openxmlformats.org/officeDocument/2006/relationships/hyperlink" Target="imagenes/NAUTICA_CLASSICS_Q022053_OLI_1.jpg" TargetMode="External" Id="rId5648"/><Relationship Type="http://schemas.openxmlformats.org/officeDocument/2006/relationships/hyperlink" Target="imagenes/NAUTICA_CLASSICS_Q022053_OLI_2.jpg" TargetMode="External" Id="rId5649"/><Relationship Type="http://schemas.openxmlformats.org/officeDocument/2006/relationships/hyperlink" Target="imagenes/NAUTICA_CLASSICS_Q022053_OLI_3.jpg" TargetMode="External" Id="rId5650"/><Relationship Type="http://schemas.openxmlformats.org/officeDocument/2006/relationships/hyperlink" Target="imagenes/NAUTICA_CLASSICS_Q022053_OLI_1.jpg" TargetMode="External" Id="rId5651"/><Relationship Type="http://schemas.openxmlformats.org/officeDocument/2006/relationships/hyperlink" Target="imagenes/NAUTICA_CLASSICS_Q022053_OLI_2.jpg" TargetMode="External" Id="rId5652"/><Relationship Type="http://schemas.openxmlformats.org/officeDocument/2006/relationships/hyperlink" Target="imagenes/NAUTICA_CLASSICS_Q022053_OLI_3.jpg" TargetMode="External" Id="rId5653"/><Relationship Type="http://schemas.openxmlformats.org/officeDocument/2006/relationships/hyperlink" Target="imagenes/NAUTICA_CLASSICS_Q022056_BLK_2.jpg" TargetMode="External" Id="rId5654"/><Relationship Type="http://schemas.openxmlformats.org/officeDocument/2006/relationships/hyperlink" Target="imagenes/NAUTICA_CLASSICS_Q022056_BLK_3.jpg" TargetMode="External" Id="rId5655"/><Relationship Type="http://schemas.openxmlformats.org/officeDocument/2006/relationships/hyperlink" Target="imagenes/NAUTICA_CLASSICS_Q022098_BLK_1.jpg" TargetMode="External" Id="rId5656"/><Relationship Type="http://schemas.openxmlformats.org/officeDocument/2006/relationships/hyperlink" Target="imagenes/NAUTICA_CLASSICS_Q022098_BLK_2.jpg" TargetMode="External" Id="rId5657"/><Relationship Type="http://schemas.openxmlformats.org/officeDocument/2006/relationships/hyperlink" Target="imagenes/NAUTICA_CLASSICS_Q022098_BLK_3.jpg" TargetMode="External" Id="rId5658"/><Relationship Type="http://schemas.openxmlformats.org/officeDocument/2006/relationships/hyperlink" Target="imagenes/NAUTICA_CLASSICS_Q022924_CHR_1.jpg" TargetMode="External" Id="rId5659"/><Relationship Type="http://schemas.openxmlformats.org/officeDocument/2006/relationships/hyperlink" Target="imagenes/NAUTICA_CLASSICS_Q022924_CHR_2.jpg" TargetMode="External" Id="rId5660"/><Relationship Type="http://schemas.openxmlformats.org/officeDocument/2006/relationships/hyperlink" Target="imagenes/NAUTICA_CLASSICS_Q022924_CHR_3.jpg" TargetMode="External" Id="rId5661"/><Relationship Type="http://schemas.openxmlformats.org/officeDocument/2006/relationships/hyperlink" Target="imagenes/NAUTICA_CLASSICS_Q022924_CHR_1.jpg" TargetMode="External" Id="rId5662"/><Relationship Type="http://schemas.openxmlformats.org/officeDocument/2006/relationships/hyperlink" Target="imagenes/NAUTICA_CLASSICS_Q022924_CHR_2.jpg" TargetMode="External" Id="rId5663"/><Relationship Type="http://schemas.openxmlformats.org/officeDocument/2006/relationships/hyperlink" Target="imagenes/NAUTICA_CLASSICS_Q022924_CHR_3.jpg" TargetMode="External" Id="rId5664"/><Relationship Type="http://schemas.openxmlformats.org/officeDocument/2006/relationships/hyperlink" Target="imagenes/NAUTICA_CLASSICS_Q024135_PTU_1.jpg" TargetMode="External" Id="rId5665"/><Relationship Type="http://schemas.openxmlformats.org/officeDocument/2006/relationships/hyperlink" Target="imagenes/NAUTICA_CLASSICS_Q024135_PTU_2.jpg" TargetMode="External" Id="rId5666"/><Relationship Type="http://schemas.openxmlformats.org/officeDocument/2006/relationships/hyperlink" Target="imagenes/NAUTICA_CLASSICS_Q024135_PTU_3.jpg" TargetMode="External" Id="rId5667"/><Relationship Type="http://schemas.openxmlformats.org/officeDocument/2006/relationships/hyperlink" Target="imagenes/NAUTICA_CLASSICS_Q026566_BLK_1.jpg" TargetMode="External" Id="rId5668"/><Relationship Type="http://schemas.openxmlformats.org/officeDocument/2006/relationships/hyperlink" Target="imagenes/NAUTICA_CLASSICS_Q026566_BLK_2.jpg" TargetMode="External" Id="rId5669"/><Relationship Type="http://schemas.openxmlformats.org/officeDocument/2006/relationships/hyperlink" Target="imagenes/NAUTICA_CLASSICS_Q026566_BLK_3.jpg" TargetMode="External" Id="rId5670"/><Relationship Type="http://schemas.openxmlformats.org/officeDocument/2006/relationships/hyperlink" Target="imagenes/NAUTICA_CLASSICS_Q121810_NSS_1.jpg" TargetMode="External" Id="rId5671"/><Relationship Type="http://schemas.openxmlformats.org/officeDocument/2006/relationships/hyperlink" Target="imagenes/NAUTICA_CLASSICS_Q121810_NSS_2.jpg" TargetMode="External" Id="rId5672"/><Relationship Type="http://schemas.openxmlformats.org/officeDocument/2006/relationships/hyperlink" Target="imagenes/NAUTICA_CLASSICS_Q121810_NSS_3.jpg" TargetMode="External" Id="rId5673"/><Relationship Type="http://schemas.openxmlformats.org/officeDocument/2006/relationships/hyperlink" Target="imagenes/NAUTICA_CLASSICS_Q121838_BLK_1.jpg" TargetMode="External" Id="rId5674"/><Relationship Type="http://schemas.openxmlformats.org/officeDocument/2006/relationships/hyperlink" Target="imagenes/NAUTICA_CLASSICS_Q121838_BLK_2.jpg" TargetMode="External" Id="rId5675"/><Relationship Type="http://schemas.openxmlformats.org/officeDocument/2006/relationships/hyperlink" Target="imagenes/NAUTICA_CLASSICS_Q121838_BLK_3.jpg" TargetMode="External" Id="rId5676"/><Relationship Type="http://schemas.openxmlformats.org/officeDocument/2006/relationships/hyperlink" Target="imagenes/NAUTICA_CLASSICS_Q121838_NSS_1.jpg" TargetMode="External" Id="rId5677"/><Relationship Type="http://schemas.openxmlformats.org/officeDocument/2006/relationships/hyperlink" Target="imagenes/NAUTICA_CLASSICS_Q121838_NSS_2.jpg" TargetMode="External" Id="rId5678"/><Relationship Type="http://schemas.openxmlformats.org/officeDocument/2006/relationships/hyperlink" Target="imagenes/NAUTICA_CLASSICS_Q121838_NSS_3.jpg" TargetMode="External" Id="rId5679"/><Relationship Type="http://schemas.openxmlformats.org/officeDocument/2006/relationships/hyperlink" Target="imagenes/NAUTICA_CLASSICS_Q121838_NSS_1.jpg" TargetMode="External" Id="rId5680"/><Relationship Type="http://schemas.openxmlformats.org/officeDocument/2006/relationships/hyperlink" Target="imagenes/NAUTICA_CLASSICS_Q121838_NSS_2.jpg" TargetMode="External" Id="rId5681"/><Relationship Type="http://schemas.openxmlformats.org/officeDocument/2006/relationships/hyperlink" Target="imagenes/NAUTICA_CLASSICS_Q121838_NSS_3.jpg" TargetMode="External" Id="rId5682"/><Relationship Type="http://schemas.openxmlformats.org/officeDocument/2006/relationships/hyperlink" Target="imagenes/NAUTICA_CLASSICS_Q122053_MCA_1.jpg" TargetMode="External" Id="rId5683"/><Relationship Type="http://schemas.openxmlformats.org/officeDocument/2006/relationships/hyperlink" Target="imagenes/NAUTICA_CLASSICS_Q122053_MCA_2.jpg" TargetMode="External" Id="rId5684"/><Relationship Type="http://schemas.openxmlformats.org/officeDocument/2006/relationships/hyperlink" Target="imagenes/NAUTICA_CLASSICS_Q122053_MCA_3.jpg" TargetMode="External" Id="rId5685"/><Relationship Type="http://schemas.openxmlformats.org/officeDocument/2006/relationships/hyperlink" Target="imagenes/NAUTICA_CLASSICS_Q122053_PC3_2.jpg" TargetMode="External" Id="rId5686"/><Relationship Type="http://schemas.openxmlformats.org/officeDocument/2006/relationships/hyperlink" Target="imagenes/NAUTICA_CLASSICS_Q122053_PC3_3.jpg" TargetMode="External" Id="rId5687"/><Relationship Type="http://schemas.openxmlformats.org/officeDocument/2006/relationships/hyperlink" Target="imagenes/NAUTICA_CLASSICS_Q122053_PC3_2.jpg" TargetMode="External" Id="rId5688"/><Relationship Type="http://schemas.openxmlformats.org/officeDocument/2006/relationships/hyperlink" Target="imagenes/NAUTICA_CLASSICS_Q122053_PC3_3.jpg" TargetMode="External" Id="rId5689"/><Relationship Type="http://schemas.openxmlformats.org/officeDocument/2006/relationships/hyperlink" Target="imagenes/NAUTICA_CLASSICS_Q221879_B68_1.jpg" TargetMode="External" Id="rId5690"/><Relationship Type="http://schemas.openxmlformats.org/officeDocument/2006/relationships/hyperlink" Target="imagenes/NAUTICA_CLASSICS_Q221879_B68_2.jpg" TargetMode="External" Id="rId5691"/><Relationship Type="http://schemas.openxmlformats.org/officeDocument/2006/relationships/hyperlink" Target="imagenes/NAUTICA_CLASSICS_Q221879_B68_3.jpg" TargetMode="External" Id="rId5692"/><Relationship Type="http://schemas.openxmlformats.org/officeDocument/2006/relationships/hyperlink" Target="imagenes/NAUTICA_CLASSICS_Q221879_B68_1.jpg" TargetMode="External" Id="rId5693"/><Relationship Type="http://schemas.openxmlformats.org/officeDocument/2006/relationships/hyperlink" Target="imagenes/NAUTICA_CLASSICS_Q221879_B68_2.jpg" TargetMode="External" Id="rId5694"/><Relationship Type="http://schemas.openxmlformats.org/officeDocument/2006/relationships/hyperlink" Target="imagenes/NAUTICA_CLASSICS_Q221879_B68_3.jpg" TargetMode="External" Id="rId5695"/><Relationship Type="http://schemas.openxmlformats.org/officeDocument/2006/relationships/hyperlink" Target="imagenes/NAUTICA_CLASSICS_Q221886_BLK_1.jpg" TargetMode="External" Id="rId5696"/><Relationship Type="http://schemas.openxmlformats.org/officeDocument/2006/relationships/hyperlink" Target="imagenes/NAUTICA_CLASSICS_Q221886_BLK_2.jpg" TargetMode="External" Id="rId5697"/><Relationship Type="http://schemas.openxmlformats.org/officeDocument/2006/relationships/hyperlink" Target="imagenes/NAUTICA_CLASSICS_Q221886_BLK_3.jpg" TargetMode="External" Id="rId5698"/><Relationship Type="http://schemas.openxmlformats.org/officeDocument/2006/relationships/hyperlink" Target="imagenes/NAUTICA_CLASSICS_Q221886_MGR_1.jpg" TargetMode="External" Id="rId5699"/><Relationship Type="http://schemas.openxmlformats.org/officeDocument/2006/relationships/hyperlink" Target="imagenes/NAUTICA_CLASSICS_Q221886_MGR_2.jpg" TargetMode="External" Id="rId5700"/><Relationship Type="http://schemas.openxmlformats.org/officeDocument/2006/relationships/hyperlink" Target="imagenes/NAUTICA_CLASSICS_Q221886_MGR_3.jpg" TargetMode="External" Id="rId5701"/><Relationship Type="http://schemas.openxmlformats.org/officeDocument/2006/relationships/hyperlink" Target="imagenes/NAUTICA_CLASSICS_Q221886_MGR_1.jpg" TargetMode="External" Id="rId5702"/><Relationship Type="http://schemas.openxmlformats.org/officeDocument/2006/relationships/hyperlink" Target="imagenes/NAUTICA_CLASSICS_Q221886_MGR_2.jpg" TargetMode="External" Id="rId5703"/><Relationship Type="http://schemas.openxmlformats.org/officeDocument/2006/relationships/hyperlink" Target="imagenes/NAUTICA_CLASSICS_Q221886_MGR_3.jpg" TargetMode="External" Id="rId5704"/><Relationship Type="http://schemas.openxmlformats.org/officeDocument/2006/relationships/hyperlink" Target="imagenes/NAUTICA_CLASSICS_Q221886_NSS_1.jpg" TargetMode="External" Id="rId5705"/><Relationship Type="http://schemas.openxmlformats.org/officeDocument/2006/relationships/hyperlink" Target="imagenes/NAUTICA_CLASSICS_Q221886_NSS_2.jpg" TargetMode="External" Id="rId5706"/><Relationship Type="http://schemas.openxmlformats.org/officeDocument/2006/relationships/hyperlink" Target="imagenes/NAUTICA_CLASSICS_Q221886_NSS_3.jpg" TargetMode="External" Id="rId5707"/><Relationship Type="http://schemas.openxmlformats.org/officeDocument/2006/relationships/hyperlink" Target="imagenes/NAUTICA_CLASSICS_Q221895_BLK_1.jpg" TargetMode="External" Id="rId5708"/><Relationship Type="http://schemas.openxmlformats.org/officeDocument/2006/relationships/hyperlink" Target="imagenes/NAUTICA_CLASSICS_Q221895_BLK_2.jpg" TargetMode="External" Id="rId5709"/><Relationship Type="http://schemas.openxmlformats.org/officeDocument/2006/relationships/hyperlink" Target="imagenes/NAUTICA_CLASSICS_Q221895_BLK_3.jpg" TargetMode="External" Id="rId5710"/><Relationship Type="http://schemas.openxmlformats.org/officeDocument/2006/relationships/hyperlink" Target="imagenes/NAUTICA_CLASSICS_Q221895_MGR_1.jpg" TargetMode="External" Id="rId5711"/><Relationship Type="http://schemas.openxmlformats.org/officeDocument/2006/relationships/hyperlink" Target="imagenes/NAUTICA_CLASSICS_Q221895_MGR_2.jpg" TargetMode="External" Id="rId5712"/><Relationship Type="http://schemas.openxmlformats.org/officeDocument/2006/relationships/hyperlink" Target="imagenes/NAUTICA_CLASSICS_Q221895_MGR_3.jpg" TargetMode="External" Id="rId5713"/><Relationship Type="http://schemas.openxmlformats.org/officeDocument/2006/relationships/hyperlink" Target="imagenes/NAUTICA_CLASSICS_Q221899_ROV_1.jpg" TargetMode="External" Id="rId5714"/><Relationship Type="http://schemas.openxmlformats.org/officeDocument/2006/relationships/hyperlink" Target="imagenes/NAUTICA_CLASSICS_Q221899_ROV_2.jpg" TargetMode="External" Id="rId5715"/><Relationship Type="http://schemas.openxmlformats.org/officeDocument/2006/relationships/hyperlink" Target="imagenes/NAUTICA_CLASSICS_Q221899_ROV_3.jpg" TargetMode="External" Id="rId5716"/><Relationship Type="http://schemas.openxmlformats.org/officeDocument/2006/relationships/hyperlink" Target="imagenes/NAUTICA_CLASSICS_Q221899_RUS_1.jpg" TargetMode="External" Id="rId5717"/><Relationship Type="http://schemas.openxmlformats.org/officeDocument/2006/relationships/hyperlink" Target="imagenes/NAUTICA_CLASSICS_Q221899_RUS_2.jpg" TargetMode="External" Id="rId5718"/><Relationship Type="http://schemas.openxmlformats.org/officeDocument/2006/relationships/hyperlink" Target="imagenes/NAUTICA_CLASSICS_Q221899_RUS_3.jpg" TargetMode="External" Id="rId5719"/><Relationship Type="http://schemas.openxmlformats.org/officeDocument/2006/relationships/hyperlink" Target="imagenes/NAUTICA_CLASSICS_Q222058_BLK_1.jpg" TargetMode="External" Id="rId5720"/><Relationship Type="http://schemas.openxmlformats.org/officeDocument/2006/relationships/hyperlink" Target="imagenes/NAUTICA_CLASSICS_Q222058_BLK_2.jpg" TargetMode="External" Id="rId5721"/><Relationship Type="http://schemas.openxmlformats.org/officeDocument/2006/relationships/hyperlink" Target="imagenes/NAUTICA_CLASSICS_Q222058_BLK_3.jpg" TargetMode="External" Id="rId5722"/><Relationship Type="http://schemas.openxmlformats.org/officeDocument/2006/relationships/hyperlink" Target="imagenes/NAUTICA_CLASSICS_Q222058_OLI_1.jpg" TargetMode="External" Id="rId5723"/><Relationship Type="http://schemas.openxmlformats.org/officeDocument/2006/relationships/hyperlink" Target="imagenes/NAUTICA_CLASSICS_Q222058_OLI_2.jpg" TargetMode="External" Id="rId5724"/><Relationship Type="http://schemas.openxmlformats.org/officeDocument/2006/relationships/hyperlink" Target="imagenes/NAUTICA_CLASSICS_Q222098_BLK_1.jpg" TargetMode="External" Id="rId5725"/><Relationship Type="http://schemas.openxmlformats.org/officeDocument/2006/relationships/hyperlink" Target="imagenes/NAUTICA_CLASSICS_Q222098_BLK_2.jpg" TargetMode="External" Id="rId5726"/><Relationship Type="http://schemas.openxmlformats.org/officeDocument/2006/relationships/hyperlink" Target="imagenes/NAUTICA_CLASSICS_Q222098_BLK_3.jpg" TargetMode="External" Id="rId5727"/><Relationship Type="http://schemas.openxmlformats.org/officeDocument/2006/relationships/hyperlink" Target="imagenes/NAUTICA_CLASSICS_Q222098_BLK_1.jpg" TargetMode="External" Id="rId5728"/><Relationship Type="http://schemas.openxmlformats.org/officeDocument/2006/relationships/hyperlink" Target="imagenes/NAUTICA_CLASSICS_Q222098_BLK_2.jpg" TargetMode="External" Id="rId5729"/><Relationship Type="http://schemas.openxmlformats.org/officeDocument/2006/relationships/hyperlink" Target="imagenes/NAUTICA_CLASSICS_Q222098_BLK_3.jpg" TargetMode="External" Id="rId5730"/><Relationship Type="http://schemas.openxmlformats.org/officeDocument/2006/relationships/hyperlink" Target="imagenes/NAUTICA_CLASSICS_Q222098_BLK_1.jpg" TargetMode="External" Id="rId5731"/><Relationship Type="http://schemas.openxmlformats.org/officeDocument/2006/relationships/hyperlink" Target="imagenes/NAUTICA_CLASSICS_Q222098_BLK_2.jpg" TargetMode="External" Id="rId5732"/><Relationship Type="http://schemas.openxmlformats.org/officeDocument/2006/relationships/hyperlink" Target="imagenes/NAUTICA_CLASSICS_Q222098_BLK_3.jpg" TargetMode="External" Id="rId5733"/><Relationship Type="http://schemas.openxmlformats.org/officeDocument/2006/relationships/hyperlink" Target="imagenes/NAUTICA_CLASSICS_Q224086_CHR_1.jpg" TargetMode="External" Id="rId5734"/><Relationship Type="http://schemas.openxmlformats.org/officeDocument/2006/relationships/hyperlink" Target="imagenes/NAUTICA_CLASSICS_Q224086_CHR_2.jpg" TargetMode="External" Id="rId5735"/><Relationship Type="http://schemas.openxmlformats.org/officeDocument/2006/relationships/hyperlink" Target="imagenes/NAUTICA_CLASSICS_Q224086_CHR_3.jpg" TargetMode="External" Id="rId5736"/><Relationship Type="http://schemas.openxmlformats.org/officeDocument/2006/relationships/hyperlink" Target="imagenes/NAUTICA_CLASSICS_Q224086_CHR_1.jpg" TargetMode="External" Id="rId5737"/><Relationship Type="http://schemas.openxmlformats.org/officeDocument/2006/relationships/hyperlink" Target="imagenes/NAUTICA_CLASSICS_Q224086_CHR_2.jpg" TargetMode="External" Id="rId5738"/><Relationship Type="http://schemas.openxmlformats.org/officeDocument/2006/relationships/hyperlink" Target="imagenes/NAUTICA_CLASSICS_Q224086_CHR_3.jpg" TargetMode="External" Id="rId5739"/><Relationship Type="http://schemas.openxmlformats.org/officeDocument/2006/relationships/hyperlink" Target="imagenes/NAUTICA_CLASSICS_Q225096_BLK_1.jpg" TargetMode="External" Id="rId5740"/><Relationship Type="http://schemas.openxmlformats.org/officeDocument/2006/relationships/hyperlink" Target="imagenes/NAUTICA_CLASSICS_Q225096_BLK_2.jpg" TargetMode="External" Id="rId5741"/><Relationship Type="http://schemas.openxmlformats.org/officeDocument/2006/relationships/hyperlink" Target="imagenes/NAUTICA_CLASSICS_Q225096_BLK_3.jpg" TargetMode="External" Id="rId5742"/><Relationship Type="http://schemas.openxmlformats.org/officeDocument/2006/relationships/hyperlink" Target="imagenes/NAUTICA_CLASSICS_Q225096_BLK_1.jpg" TargetMode="External" Id="rId5743"/><Relationship Type="http://schemas.openxmlformats.org/officeDocument/2006/relationships/hyperlink" Target="imagenes/NAUTICA_CLASSICS_Q225096_BLK_2.jpg" TargetMode="External" Id="rId5744"/><Relationship Type="http://schemas.openxmlformats.org/officeDocument/2006/relationships/hyperlink" Target="imagenes/NAUTICA_CLASSICS_Q225096_BLK_3.jpg" TargetMode="External" Id="rId5745"/><Relationship Type="http://schemas.openxmlformats.org/officeDocument/2006/relationships/hyperlink" Target="imagenes/NAUTICA_CLASSICS_Q225096_NSS_1.jpg" TargetMode="External" Id="rId5746"/><Relationship Type="http://schemas.openxmlformats.org/officeDocument/2006/relationships/hyperlink" Target="imagenes/NAUTICA_CLASSICS_Q225096_NSS_2.jpg" TargetMode="External" Id="rId5747"/><Relationship Type="http://schemas.openxmlformats.org/officeDocument/2006/relationships/hyperlink" Target="imagenes/NAUTICA_CLASSICS_Q225096_NSS_3.jpg" TargetMode="External" Id="rId5748"/><Relationship Type="http://schemas.openxmlformats.org/officeDocument/2006/relationships/hyperlink" Target="imagenes/NAUTICA_CLASSICS_Q225266_CHR_1.jpg" TargetMode="External" Id="rId5749"/><Relationship Type="http://schemas.openxmlformats.org/officeDocument/2006/relationships/hyperlink" Target="imagenes/NAUTICA_CLASSICS_Q225266_CHR_2.jpg" TargetMode="External" Id="rId5750"/><Relationship Type="http://schemas.openxmlformats.org/officeDocument/2006/relationships/hyperlink" Target="imagenes/NAUTICA_CLASSICS_Q226566_BLK_1.jpg" TargetMode="External" Id="rId5751"/><Relationship Type="http://schemas.openxmlformats.org/officeDocument/2006/relationships/hyperlink" Target="imagenes/NAUTICA_CLASSICS_Q226566_BLK_2.jpg" TargetMode="External" Id="rId5752"/><Relationship Type="http://schemas.openxmlformats.org/officeDocument/2006/relationships/hyperlink" Target="imagenes/NAUTICA_CLASSICS_Q226566_BLK_3.jpg" TargetMode="External" Id="rId5753"/><Relationship Type="http://schemas.openxmlformats.org/officeDocument/2006/relationships/hyperlink" Target="imagenes/NAUTICA_CLASSICS_Q226566_BLK_1.jpg" TargetMode="External" Id="rId5754"/><Relationship Type="http://schemas.openxmlformats.org/officeDocument/2006/relationships/hyperlink" Target="imagenes/NAUTICA_CLASSICS_Q226566_BLK_2.jpg" TargetMode="External" Id="rId5755"/><Relationship Type="http://schemas.openxmlformats.org/officeDocument/2006/relationships/hyperlink" Target="imagenes/NAUTICA_CLASSICS_Q226566_BLK_3.jpg" TargetMode="External" Id="rId5756"/><Relationship Type="http://schemas.openxmlformats.org/officeDocument/2006/relationships/hyperlink" Target="imagenes/NAUTICA_CLASSICS_Q232945_BLK_1.jpg" TargetMode="External" Id="rId5757"/><Relationship Type="http://schemas.openxmlformats.org/officeDocument/2006/relationships/hyperlink" Target="imagenes/NAUTICA_CLASSICS_Q232945_BLK_2.jpg" TargetMode="External" Id="rId5758"/><Relationship Type="http://schemas.openxmlformats.org/officeDocument/2006/relationships/hyperlink" Target="imagenes/NAUTICA_CLASSICS_Q232945_BLK_3.jpg" TargetMode="External" Id="rId5759"/><Relationship Type="http://schemas.openxmlformats.org/officeDocument/2006/relationships/hyperlink" Target="imagenes/NAUTICA_CLASSICS_Q232945_NRE_1.jpg" TargetMode="External" Id="rId5760"/><Relationship Type="http://schemas.openxmlformats.org/officeDocument/2006/relationships/hyperlink" Target="imagenes/NAUTICA_CLASSICS_Q232945_NRE_2.jpg" TargetMode="External" Id="rId5761"/><Relationship Type="http://schemas.openxmlformats.org/officeDocument/2006/relationships/hyperlink" Target="imagenes/NAUTICA_CLASSICS_Q232945_NRE_3.jpg" TargetMode="External" Id="rId5762"/><Relationship Type="http://schemas.openxmlformats.org/officeDocument/2006/relationships/hyperlink" Target="imagenes/NAUTICA_CLASSICS_Q232945_NRE_1.jpg" TargetMode="External" Id="rId5763"/><Relationship Type="http://schemas.openxmlformats.org/officeDocument/2006/relationships/hyperlink" Target="imagenes/NAUTICA_CLASSICS_Q232945_NRE_2.jpg" TargetMode="External" Id="rId5764"/><Relationship Type="http://schemas.openxmlformats.org/officeDocument/2006/relationships/hyperlink" Target="imagenes/NAUTICA_CLASSICS_Q232945_NRE_3.jpg" TargetMode="External" Id="rId5765"/><Relationship Type="http://schemas.openxmlformats.org/officeDocument/2006/relationships/hyperlink" Target="imagenes/NAUTICA_CLASSICS_Q232945_NRE_1.jpg" TargetMode="External" Id="rId5766"/><Relationship Type="http://schemas.openxmlformats.org/officeDocument/2006/relationships/hyperlink" Target="imagenes/NAUTICA_CLASSICS_Q232945_NRE_2.jpg" TargetMode="External" Id="rId5767"/><Relationship Type="http://schemas.openxmlformats.org/officeDocument/2006/relationships/hyperlink" Target="imagenes/NAUTICA_CLASSICS_Q232945_NRE_3.jpg" TargetMode="External" Id="rId5768"/><Relationship Type="http://schemas.openxmlformats.org/officeDocument/2006/relationships/hyperlink" Target="imagenes/NAUTICA_CLASSICS_Q321803_BLK_1.jpg" TargetMode="External" Id="rId5769"/><Relationship Type="http://schemas.openxmlformats.org/officeDocument/2006/relationships/hyperlink" Target="imagenes/NAUTICA_CLASSICS_Q321803_BLK_2.jpg" TargetMode="External" Id="rId5770"/><Relationship Type="http://schemas.openxmlformats.org/officeDocument/2006/relationships/hyperlink" Target="imagenes/NAUTICA_CLASSICS_Q321803_BLK_3.jpg" TargetMode="External" Id="rId5771"/><Relationship Type="http://schemas.openxmlformats.org/officeDocument/2006/relationships/hyperlink" Target="imagenes/NAUTICA_CLASSICS_Q321823_BLK_1.jpg" TargetMode="External" Id="rId5772"/><Relationship Type="http://schemas.openxmlformats.org/officeDocument/2006/relationships/hyperlink" Target="imagenes/NAUTICA_CLASSICS_Q321823_BLK_2.jpg" TargetMode="External" Id="rId5773"/><Relationship Type="http://schemas.openxmlformats.org/officeDocument/2006/relationships/hyperlink" Target="imagenes/NAUTICA_CLASSICS_Q321823_BLK_3.jpg" TargetMode="External" Id="rId5774"/><Relationship Type="http://schemas.openxmlformats.org/officeDocument/2006/relationships/hyperlink" Target="imagenes/NAUTICA_CLASSICS_Q321885_BLK_1.jpg" TargetMode="External" Id="rId5775"/><Relationship Type="http://schemas.openxmlformats.org/officeDocument/2006/relationships/hyperlink" Target="imagenes/NAUTICA_CLASSICS_Q321885_BLK_2.jpg" TargetMode="External" Id="rId5776"/><Relationship Type="http://schemas.openxmlformats.org/officeDocument/2006/relationships/hyperlink" Target="imagenes/NAUTICA_CLASSICS_Q321885_BLK_3.jpg" TargetMode="External" Id="rId5777"/><Relationship Type="http://schemas.openxmlformats.org/officeDocument/2006/relationships/hyperlink" Target="imagenes/NAUTICA_CLASSICS_Q321885_NSS_1.jpg" TargetMode="External" Id="rId5778"/><Relationship Type="http://schemas.openxmlformats.org/officeDocument/2006/relationships/hyperlink" Target="imagenes/NAUTICA_CLASSICS_Q321885_NSS_2.jpg" TargetMode="External" Id="rId5779"/><Relationship Type="http://schemas.openxmlformats.org/officeDocument/2006/relationships/hyperlink" Target="imagenes/NAUTICA_CLASSICS_Q321885_NSS_3.jpg" TargetMode="External" Id="rId5780"/><Relationship Type="http://schemas.openxmlformats.org/officeDocument/2006/relationships/hyperlink" Target="imagenes/NAUTICA_CLASSICS_Q420399_BLK_1.jpg" TargetMode="External" Id="rId5781"/><Relationship Type="http://schemas.openxmlformats.org/officeDocument/2006/relationships/hyperlink" Target="imagenes/NAUTICA_CLASSICS_Q420399_BLK_2.jpg" TargetMode="External" Id="rId5782"/><Relationship Type="http://schemas.openxmlformats.org/officeDocument/2006/relationships/hyperlink" Target="imagenes/NAUTICA_CLASSICS_Q420399_BLK_3.jpg" TargetMode="External" Id="rId5783"/><Relationship Type="http://schemas.openxmlformats.org/officeDocument/2006/relationships/hyperlink" Target="imagenes/NAUTICA_CLASSICS_Q420399_BLK_1.jpg" TargetMode="External" Id="rId5784"/><Relationship Type="http://schemas.openxmlformats.org/officeDocument/2006/relationships/hyperlink" Target="imagenes/NAUTICA_CLASSICS_Q420399_BLK_2.jpg" TargetMode="External" Id="rId5785"/><Relationship Type="http://schemas.openxmlformats.org/officeDocument/2006/relationships/hyperlink" Target="imagenes/NAUTICA_CLASSICS_Q420399_BLK_3.jpg" TargetMode="External" Id="rId5786"/><Relationship Type="http://schemas.openxmlformats.org/officeDocument/2006/relationships/hyperlink" Target="imagenes/NAUTICA_CLASSICS_Q420399_BLK_1.jpg" TargetMode="External" Id="rId5787"/><Relationship Type="http://schemas.openxmlformats.org/officeDocument/2006/relationships/hyperlink" Target="imagenes/NAUTICA_CLASSICS_Q420399_BLK_2.jpg" TargetMode="External" Id="rId5788"/><Relationship Type="http://schemas.openxmlformats.org/officeDocument/2006/relationships/hyperlink" Target="imagenes/NAUTICA_CLASSICS_Q420399_BLK_3.jpg" TargetMode="External" Id="rId5789"/><Relationship Type="http://schemas.openxmlformats.org/officeDocument/2006/relationships/hyperlink" Target="imagenes/NAUTICA_CLASSICS_Q420399_ESP_1.jpg" TargetMode="External" Id="rId5790"/><Relationship Type="http://schemas.openxmlformats.org/officeDocument/2006/relationships/hyperlink" Target="imagenes/NAUTICA_CLASSICS_Q420399_ESP_2.jpg" TargetMode="External" Id="rId5791"/><Relationship Type="http://schemas.openxmlformats.org/officeDocument/2006/relationships/hyperlink" Target="imagenes/NAUTICA_CLASSICS_Q420399_ESP_3.jpg" TargetMode="External" Id="rId5792"/><Relationship Type="http://schemas.openxmlformats.org/officeDocument/2006/relationships/hyperlink" Target="imagenes/NAUTICA_CLASSICS_Q421834_BLK_1.jpg" TargetMode="External" Id="rId5793"/><Relationship Type="http://schemas.openxmlformats.org/officeDocument/2006/relationships/hyperlink" Target="imagenes/NAUTICA_CLASSICS_Q421834_BLK_2.jpg" TargetMode="External" Id="rId5794"/><Relationship Type="http://schemas.openxmlformats.org/officeDocument/2006/relationships/hyperlink" Target="imagenes/NAUTICA_CLASSICS_Q421834_BLK_3.jpg" TargetMode="External" Id="rId5795"/><Relationship Type="http://schemas.openxmlformats.org/officeDocument/2006/relationships/hyperlink" Target="imagenes/NAUTICA_CLASSICS_Q421834_MGR_1.jpg" TargetMode="External" Id="rId5796"/><Relationship Type="http://schemas.openxmlformats.org/officeDocument/2006/relationships/hyperlink" Target="imagenes/NAUTICA_CLASSICS_Q421834_MGR_2.jpg" TargetMode="External" Id="rId5797"/><Relationship Type="http://schemas.openxmlformats.org/officeDocument/2006/relationships/hyperlink" Target="imagenes/NAUTICA_CLASSICS_Q421834_MGR_3.jpg" TargetMode="External" Id="rId5798"/><Relationship Type="http://schemas.openxmlformats.org/officeDocument/2006/relationships/hyperlink" Target="imagenes/NAUTICA_CLASSICS_Q421834_PTU_1.jpg" TargetMode="External" Id="rId5799"/><Relationship Type="http://schemas.openxmlformats.org/officeDocument/2006/relationships/hyperlink" Target="imagenes/NAUTICA_CLASSICS_Q421834_PTU_2.jpg" TargetMode="External" Id="rId5800"/><Relationship Type="http://schemas.openxmlformats.org/officeDocument/2006/relationships/hyperlink" Target="imagenes/NAUTICA_CLASSICS_Q421834_PTU_3.jpg" TargetMode="External" Id="rId5801"/><Relationship Type="http://schemas.openxmlformats.org/officeDocument/2006/relationships/hyperlink" Target="imagenes/NAUTICA_CLASSICS_Q421869_BLK_1.jpg" TargetMode="External" Id="rId5802"/><Relationship Type="http://schemas.openxmlformats.org/officeDocument/2006/relationships/hyperlink" Target="imagenes/NAUTICA_CLASSICS_Q421869_BLK_2.jpg" TargetMode="External" Id="rId5803"/><Relationship Type="http://schemas.openxmlformats.org/officeDocument/2006/relationships/hyperlink" Target="imagenes/NAUTICA_CLASSICS_Q421869_BLK_3.jpg" TargetMode="External" Id="rId5804"/><Relationship Type="http://schemas.openxmlformats.org/officeDocument/2006/relationships/hyperlink" Target="imagenes/NAUTICA_CLASSICS_Q421869_NSS_1.jpg" TargetMode="External" Id="rId5805"/><Relationship Type="http://schemas.openxmlformats.org/officeDocument/2006/relationships/hyperlink" Target="imagenes/NAUTICA_CLASSICS_Q421869_NSS_2.jpg" TargetMode="External" Id="rId5806"/><Relationship Type="http://schemas.openxmlformats.org/officeDocument/2006/relationships/hyperlink" Target="imagenes/NAUTICA_CLASSICS_Q421869_NSS_3.jpg" TargetMode="External" Id="rId5807"/><Relationship Type="http://schemas.openxmlformats.org/officeDocument/2006/relationships/hyperlink" Target="imagenes/NAUTICA_CLASSICS_Q421875_CTI_1.jpg" TargetMode="External" Id="rId5808"/><Relationship Type="http://schemas.openxmlformats.org/officeDocument/2006/relationships/hyperlink" Target="imagenes/NAUTICA_CLASSICS_Q421875_CTI_2.jpg" TargetMode="External" Id="rId5809"/><Relationship Type="http://schemas.openxmlformats.org/officeDocument/2006/relationships/hyperlink" Target="imagenes/NAUTICA_CLASSICS_Q421875_CTI_3.jpg" TargetMode="External" Id="rId5810"/><Relationship Type="http://schemas.openxmlformats.org/officeDocument/2006/relationships/hyperlink" Target="imagenes/NAUTICA_CLASSICS_Q422945_CAM_1.jpg" TargetMode="External" Id="rId5811"/><Relationship Type="http://schemas.openxmlformats.org/officeDocument/2006/relationships/hyperlink" Target="imagenes/NAUTICA_CLASSICS_Q422945_CAM_2.jpg" TargetMode="External" Id="rId5812"/><Relationship Type="http://schemas.openxmlformats.org/officeDocument/2006/relationships/hyperlink" Target="imagenes/NAUTICA_CLASSICS_Q422945_CAM_3.jpg" TargetMode="External" Id="rId5813"/><Relationship Type="http://schemas.openxmlformats.org/officeDocument/2006/relationships/hyperlink" Target="imagenes/NAUTICA_CLASSICS_Q422945_CAM_1.jpg" TargetMode="External" Id="rId5814"/><Relationship Type="http://schemas.openxmlformats.org/officeDocument/2006/relationships/hyperlink" Target="imagenes/NAUTICA_CLASSICS_Q422945_CAM_2.jpg" TargetMode="External" Id="rId5815"/><Relationship Type="http://schemas.openxmlformats.org/officeDocument/2006/relationships/hyperlink" Target="imagenes/NAUTICA_CLASSICS_Q422945_CAM_3.jpg" TargetMode="External" Id="rId5816"/><Relationship Type="http://schemas.openxmlformats.org/officeDocument/2006/relationships/hyperlink" Target="imagenes/NAUTICA_CLASSICS_Q422945_CAM_1.jpg" TargetMode="External" Id="rId5817"/><Relationship Type="http://schemas.openxmlformats.org/officeDocument/2006/relationships/hyperlink" Target="imagenes/NAUTICA_CLASSICS_Q422945_CAM_2.jpg" TargetMode="External" Id="rId5818"/><Relationship Type="http://schemas.openxmlformats.org/officeDocument/2006/relationships/hyperlink" Target="imagenes/NAUTICA_CLASSICS_Q422945_CAM_3.jpg" TargetMode="External" Id="rId5819"/><Relationship Type="http://schemas.openxmlformats.org/officeDocument/2006/relationships/hyperlink" Target="imagenes/NAUTICA_CLASSICS_Q422945_CAM_1.jpg" TargetMode="External" Id="rId5820"/><Relationship Type="http://schemas.openxmlformats.org/officeDocument/2006/relationships/hyperlink" Target="imagenes/NAUTICA_CLASSICS_Q422945_CAM_2.jpg" TargetMode="External" Id="rId5821"/><Relationship Type="http://schemas.openxmlformats.org/officeDocument/2006/relationships/hyperlink" Target="imagenes/NAUTICA_CLASSICS_Q422945_CAM_3.jpg" TargetMode="External" Id="rId5822"/><Relationship Type="http://schemas.openxmlformats.org/officeDocument/2006/relationships/hyperlink" Target="imagenes/NAUTICA_CLASSICS_Q422945_CHR_1.jpg" TargetMode="External" Id="rId5823"/><Relationship Type="http://schemas.openxmlformats.org/officeDocument/2006/relationships/hyperlink" Target="imagenes/NAUTICA_CLASSICS_Q422945_CHR_2.jpg" TargetMode="External" Id="rId5824"/><Relationship Type="http://schemas.openxmlformats.org/officeDocument/2006/relationships/hyperlink" Target="imagenes/NAUTICA_CLASSICS_Q422945_CHR_3.jpg" TargetMode="External" Id="rId5825"/><Relationship Type="http://schemas.openxmlformats.org/officeDocument/2006/relationships/hyperlink" Target="imagenes/NAUTICA_CLASSICS_Q422945_CHR_1.jpg" TargetMode="External" Id="rId5826"/><Relationship Type="http://schemas.openxmlformats.org/officeDocument/2006/relationships/hyperlink" Target="imagenes/NAUTICA_CLASSICS_Q422945_CHR_2.jpg" TargetMode="External" Id="rId5827"/><Relationship Type="http://schemas.openxmlformats.org/officeDocument/2006/relationships/hyperlink" Target="imagenes/NAUTICA_CLASSICS_Q422945_CHR_3.jpg" TargetMode="External" Id="rId5828"/><Relationship Type="http://schemas.openxmlformats.org/officeDocument/2006/relationships/hyperlink" Target="imagenes/NAUTICA_CLASSICS_Q422945_CHR_1.jpg" TargetMode="External" Id="rId5829"/><Relationship Type="http://schemas.openxmlformats.org/officeDocument/2006/relationships/hyperlink" Target="imagenes/NAUTICA_CLASSICS_Q422945_CHR_2.jpg" TargetMode="External" Id="rId5830"/><Relationship Type="http://schemas.openxmlformats.org/officeDocument/2006/relationships/hyperlink" Target="imagenes/NAUTICA_CLASSICS_Q422945_CHR_3.jpg" TargetMode="External" Id="rId5831"/><Relationship Type="http://schemas.openxmlformats.org/officeDocument/2006/relationships/hyperlink" Target="imagenes/NAUTICA_CLASSICS_Q422945_CHR_1.jpg" TargetMode="External" Id="rId5832"/><Relationship Type="http://schemas.openxmlformats.org/officeDocument/2006/relationships/hyperlink" Target="imagenes/NAUTICA_CLASSICS_Q422945_CHR_2.jpg" TargetMode="External" Id="rId5833"/><Relationship Type="http://schemas.openxmlformats.org/officeDocument/2006/relationships/hyperlink" Target="imagenes/NAUTICA_CLASSICS_Q422945_CHR_3.jpg" TargetMode="External" Id="rId5834"/><Relationship Type="http://schemas.openxmlformats.org/officeDocument/2006/relationships/hyperlink" Target="imagenes/NAUTICA_CLASSICS_Q422945_CHR_1.jpg" TargetMode="External" Id="rId5835"/><Relationship Type="http://schemas.openxmlformats.org/officeDocument/2006/relationships/hyperlink" Target="imagenes/NAUTICA_CLASSICS_Q422945_CHR_2.jpg" TargetMode="External" Id="rId5836"/><Relationship Type="http://schemas.openxmlformats.org/officeDocument/2006/relationships/hyperlink" Target="imagenes/NAUTICA_CLASSICS_Q422945_CHR_3.jpg" TargetMode="External" Id="rId5837"/><Relationship Type="http://schemas.openxmlformats.org/officeDocument/2006/relationships/hyperlink" Target="imagenes/NAUTICA_CLASSICS_Q422945_CHR_1.jpg" TargetMode="External" Id="rId5838"/><Relationship Type="http://schemas.openxmlformats.org/officeDocument/2006/relationships/hyperlink" Target="imagenes/NAUTICA_CLASSICS_Q422945_CHR_2.jpg" TargetMode="External" Id="rId5839"/><Relationship Type="http://schemas.openxmlformats.org/officeDocument/2006/relationships/hyperlink" Target="imagenes/NAUTICA_CLASSICS_Q422945_CHR_3.jpg" TargetMode="External" Id="rId5840"/><Relationship Type="http://schemas.openxmlformats.org/officeDocument/2006/relationships/hyperlink" Target="imagenes/NAUTICA_CLASSICS_Q422945_HGY_1.jpg" TargetMode="External" Id="rId5841"/><Relationship Type="http://schemas.openxmlformats.org/officeDocument/2006/relationships/hyperlink" Target="imagenes/NAUTICA_CLASSICS_Q422945_HGY_2.jpg" TargetMode="External" Id="rId5842"/><Relationship Type="http://schemas.openxmlformats.org/officeDocument/2006/relationships/hyperlink" Target="imagenes/NAUTICA_CLASSICS_Q422945_HGY_3.jpg" TargetMode="External" Id="rId5843"/><Relationship Type="http://schemas.openxmlformats.org/officeDocument/2006/relationships/hyperlink" Target="imagenes/NAUTICA_CLASSICS_Q422945_MGR_1.jpg" TargetMode="External" Id="rId5844"/><Relationship Type="http://schemas.openxmlformats.org/officeDocument/2006/relationships/hyperlink" Target="imagenes/NAUTICA_CLASSICS_Q422945_MGR_2.jpg" TargetMode="External" Id="rId5845"/><Relationship Type="http://schemas.openxmlformats.org/officeDocument/2006/relationships/hyperlink" Target="imagenes/NAUTICA_CLASSICS_Q422945_MGR_3.jpg" TargetMode="External" Id="rId5846"/><Relationship Type="http://schemas.openxmlformats.org/officeDocument/2006/relationships/hyperlink" Target="imagenes/NAUTICA_CLASSICS_Q422945_NAR_1.jpg" TargetMode="External" Id="rId5847"/><Relationship Type="http://schemas.openxmlformats.org/officeDocument/2006/relationships/hyperlink" Target="imagenes/NAUTICA_CLASSICS_Q422945_NAR_2.jpg" TargetMode="External" Id="rId5848"/><Relationship Type="http://schemas.openxmlformats.org/officeDocument/2006/relationships/hyperlink" Target="imagenes/NAUTICA_CLASSICS_Q422945_NAR_3.jpg" TargetMode="External" Id="rId5849"/><Relationship Type="http://schemas.openxmlformats.org/officeDocument/2006/relationships/hyperlink" Target="imagenes/NAUTICA_CLASSICS_Q422945_NAR_1.jpg" TargetMode="External" Id="rId5850"/><Relationship Type="http://schemas.openxmlformats.org/officeDocument/2006/relationships/hyperlink" Target="imagenes/NAUTICA_CLASSICS_Q422945_NAR_2.jpg" TargetMode="External" Id="rId5851"/><Relationship Type="http://schemas.openxmlformats.org/officeDocument/2006/relationships/hyperlink" Target="imagenes/NAUTICA_CLASSICS_Q422945_NAR_3.jpg" TargetMode="External" Id="rId5852"/><Relationship Type="http://schemas.openxmlformats.org/officeDocument/2006/relationships/hyperlink" Target="imagenes/NAUTICA_CLASSICS_Q424077_CHR_1.jpg" TargetMode="External" Id="rId5853"/><Relationship Type="http://schemas.openxmlformats.org/officeDocument/2006/relationships/hyperlink" Target="imagenes/NAUTICA_CLASSICS_Q424077_CHR_2.jpg" TargetMode="External" Id="rId5854"/><Relationship Type="http://schemas.openxmlformats.org/officeDocument/2006/relationships/hyperlink" Target="imagenes/NAUTICA_CLASSICS_Q424077_CHR_3.jpg" TargetMode="External" Id="rId5855"/><Relationship Type="http://schemas.openxmlformats.org/officeDocument/2006/relationships/hyperlink" Target="imagenes/NAUTICA_CLASSICS_Q425266_CHR_1.jpg" TargetMode="External" Id="rId5856"/><Relationship Type="http://schemas.openxmlformats.org/officeDocument/2006/relationships/hyperlink" Target="imagenes/NAUTICA_CLASSICS_Q425266_CHR_2.jpg" TargetMode="External" Id="rId5857"/><Relationship Type="http://schemas.openxmlformats.org/officeDocument/2006/relationships/hyperlink" Target="imagenes/NAUTICA_CLASSICS_Q425266_CHR_3.jpg" TargetMode="External" Id="rId5858"/><Relationship Type="http://schemas.openxmlformats.org/officeDocument/2006/relationships/hyperlink" Target="imagenes/NAUTICA_CLASSICS_Q425266_CHR_1.jpg" TargetMode="External" Id="rId5859"/><Relationship Type="http://schemas.openxmlformats.org/officeDocument/2006/relationships/hyperlink" Target="imagenes/NAUTICA_CLASSICS_Q425266_CHR_2.jpg" TargetMode="External" Id="rId5860"/><Relationship Type="http://schemas.openxmlformats.org/officeDocument/2006/relationships/hyperlink" Target="imagenes/NAUTICA_CLASSICS_Q425266_CHR_3.jpg" TargetMode="External" Id="rId5861"/><Relationship Type="http://schemas.openxmlformats.org/officeDocument/2006/relationships/hyperlink" Target="imagenes/NAUTICA_CLASSICS_Q426509_LMS_1.jpg" TargetMode="External" Id="rId5862"/><Relationship Type="http://schemas.openxmlformats.org/officeDocument/2006/relationships/hyperlink" Target="imagenes/NAUTICA_CLASSICS_Q426509_LMS_2.jpg" TargetMode="External" Id="rId5863"/><Relationship Type="http://schemas.openxmlformats.org/officeDocument/2006/relationships/hyperlink" Target="imagenes/NAUTICA_CLASSICS_Q426509_LMS_3.jpg" TargetMode="External" Id="rId5864"/><Relationship Type="http://schemas.openxmlformats.org/officeDocument/2006/relationships/hyperlink" Target="imagenes/NAUTICA_CLASSICS_Q426509_LMS_1.jpg" TargetMode="External" Id="rId5865"/><Relationship Type="http://schemas.openxmlformats.org/officeDocument/2006/relationships/hyperlink" Target="imagenes/NAUTICA_CLASSICS_Q426509_LMS_2.jpg" TargetMode="External" Id="rId5866"/><Relationship Type="http://schemas.openxmlformats.org/officeDocument/2006/relationships/hyperlink" Target="imagenes/NAUTICA_CLASSICS_Q426509_LMS_3.jpg" TargetMode="External" Id="rId5867"/><Relationship Type="http://schemas.openxmlformats.org/officeDocument/2006/relationships/hyperlink" Target="imagenes/NAUTICA_CLASSICS_Q426509_LMS_1.jpg" TargetMode="External" Id="rId5868"/><Relationship Type="http://schemas.openxmlformats.org/officeDocument/2006/relationships/hyperlink" Target="imagenes/NAUTICA_CLASSICS_Q426509_LMS_2.jpg" TargetMode="External" Id="rId5869"/><Relationship Type="http://schemas.openxmlformats.org/officeDocument/2006/relationships/hyperlink" Target="imagenes/NAUTICA_CLASSICS_Q426509_LMS_3.jpg" TargetMode="External" Id="rId5870"/><Relationship Type="http://schemas.openxmlformats.org/officeDocument/2006/relationships/hyperlink" Target="imagenes/NAUTICA_CLASSICS_Q426509_LMS_1.jpg" TargetMode="External" Id="rId5871"/><Relationship Type="http://schemas.openxmlformats.org/officeDocument/2006/relationships/hyperlink" Target="imagenes/NAUTICA_CLASSICS_Q426509_LMS_2.jpg" TargetMode="External" Id="rId5872"/><Relationship Type="http://schemas.openxmlformats.org/officeDocument/2006/relationships/hyperlink" Target="imagenes/NAUTICA_CLASSICS_Q426509_LMS_3.jpg" TargetMode="External" Id="rId5873"/><Relationship Type="http://schemas.openxmlformats.org/officeDocument/2006/relationships/hyperlink" Target="imagenes/NAUTICA_CLASSICS_Q426509_LMS_1.jpg" TargetMode="External" Id="rId5874"/><Relationship Type="http://schemas.openxmlformats.org/officeDocument/2006/relationships/hyperlink" Target="imagenes/NAUTICA_CLASSICS_Q426509_LMS_2.jpg" TargetMode="External" Id="rId5875"/><Relationship Type="http://schemas.openxmlformats.org/officeDocument/2006/relationships/hyperlink" Target="imagenes/NAUTICA_CLASSICS_Q426509_LMS_3.jpg" TargetMode="External" Id="rId5876"/><Relationship Type="http://schemas.openxmlformats.org/officeDocument/2006/relationships/hyperlink" Target="imagenes/NAUTICA_CLASSICS_Q426509_NAR_1.jpg" TargetMode="External" Id="rId5877"/><Relationship Type="http://schemas.openxmlformats.org/officeDocument/2006/relationships/hyperlink" Target="imagenes/NAUTICA_CLASSICS_Q426509_NAR_2.jpg" TargetMode="External" Id="rId5878"/><Relationship Type="http://schemas.openxmlformats.org/officeDocument/2006/relationships/hyperlink" Target="imagenes/NAUTICA_CLASSICS_Q426509_NAR_3.jpg" TargetMode="External" Id="rId5879"/><Relationship Type="http://schemas.openxmlformats.org/officeDocument/2006/relationships/hyperlink" Target="imagenes/NAUTICA_CLASSICS_Q426509_NAR_1.jpg" TargetMode="External" Id="rId5880"/><Relationship Type="http://schemas.openxmlformats.org/officeDocument/2006/relationships/hyperlink" Target="imagenes/NAUTICA_CLASSICS_Q426509_NAR_2.jpg" TargetMode="External" Id="rId5881"/><Relationship Type="http://schemas.openxmlformats.org/officeDocument/2006/relationships/hyperlink" Target="imagenes/NAUTICA_CLASSICS_Q426509_NAR_3.jpg" TargetMode="External" Id="rId5882"/><Relationship Type="http://schemas.openxmlformats.org/officeDocument/2006/relationships/hyperlink" Target="imagenes/NAUTICA_CLASSICS_Q426509_NAR_1.jpg" TargetMode="External" Id="rId5883"/><Relationship Type="http://schemas.openxmlformats.org/officeDocument/2006/relationships/hyperlink" Target="imagenes/NAUTICA_CLASSICS_Q426509_NAR_2.jpg" TargetMode="External" Id="rId5884"/><Relationship Type="http://schemas.openxmlformats.org/officeDocument/2006/relationships/hyperlink" Target="imagenes/NAUTICA_CLASSICS_Q426509_NAR_3.jpg" TargetMode="External" Id="rId5885"/><Relationship Type="http://schemas.openxmlformats.org/officeDocument/2006/relationships/hyperlink" Target="imagenes/NAUTICA_CLASSICS_Q426509_WTW_1.jpg" TargetMode="External" Id="rId5886"/><Relationship Type="http://schemas.openxmlformats.org/officeDocument/2006/relationships/hyperlink" Target="imagenes/NAUTICA_CLASSICS_Q426509_WTW_2.jpg" TargetMode="External" Id="rId5887"/><Relationship Type="http://schemas.openxmlformats.org/officeDocument/2006/relationships/hyperlink" Target="imagenes/NAUTICA_CLASSICS_Q426509_WTW_3.jpg" TargetMode="External" Id="rId5888"/><Relationship Type="http://schemas.openxmlformats.org/officeDocument/2006/relationships/hyperlink" Target="imagenes/NAUTICA_CLASSICS_Q426509_WTW_1.jpg" TargetMode="External" Id="rId5889"/><Relationship Type="http://schemas.openxmlformats.org/officeDocument/2006/relationships/hyperlink" Target="imagenes/NAUTICA_CLASSICS_Q426509_WTW_2.jpg" TargetMode="External" Id="rId5890"/><Relationship Type="http://schemas.openxmlformats.org/officeDocument/2006/relationships/hyperlink" Target="imagenes/NAUTICA_CLASSICS_Q426509_WTW_3.jpg" TargetMode="External" Id="rId5891"/><Relationship Type="http://schemas.openxmlformats.org/officeDocument/2006/relationships/hyperlink" Target="imagenes/NAUTICA_CLASSICS_Q426509_WTW_1.jpg" TargetMode="External" Id="rId5892"/><Relationship Type="http://schemas.openxmlformats.org/officeDocument/2006/relationships/hyperlink" Target="imagenes/NAUTICA_CLASSICS_Q426509_WTW_2.jpg" TargetMode="External" Id="rId5893"/><Relationship Type="http://schemas.openxmlformats.org/officeDocument/2006/relationships/hyperlink" Target="imagenes/NAUTICA_CLASSICS_Q426509_WTW_3.jpg" TargetMode="External" Id="rId5894"/><Relationship Type="http://schemas.openxmlformats.org/officeDocument/2006/relationships/hyperlink" Target="imagenes/NAUTICA_CLASSICS_Q426509_WTW_1.jpg" TargetMode="External" Id="rId5895"/><Relationship Type="http://schemas.openxmlformats.org/officeDocument/2006/relationships/hyperlink" Target="imagenes/NAUTICA_CLASSICS_Q426509_WTW_2.jpg" TargetMode="External" Id="rId5896"/><Relationship Type="http://schemas.openxmlformats.org/officeDocument/2006/relationships/hyperlink" Target="imagenes/NAUTICA_CLASSICS_Q426509_WTW_3.jpg" TargetMode="External" Id="rId5897"/><Relationship Type="http://schemas.openxmlformats.org/officeDocument/2006/relationships/hyperlink" Target="imagenes/NAUTICA_CLASSICS_Q426509_WTW_1.jpg" TargetMode="External" Id="rId5898"/><Relationship Type="http://schemas.openxmlformats.org/officeDocument/2006/relationships/hyperlink" Target="imagenes/NAUTICA_CLASSICS_Q426509_WTW_2.jpg" TargetMode="External" Id="rId5899"/><Relationship Type="http://schemas.openxmlformats.org/officeDocument/2006/relationships/hyperlink" Target="imagenes/NAUTICA_CLASSICS_Q426509_WTW_3.jpg" TargetMode="External" Id="rId5900"/><Relationship Type="http://schemas.openxmlformats.org/officeDocument/2006/relationships/hyperlink" Target="imagenes/NAUTICA_CLASSICS_Q426566_BLK_1.jpg" TargetMode="External" Id="rId5901"/><Relationship Type="http://schemas.openxmlformats.org/officeDocument/2006/relationships/hyperlink" Target="imagenes/NAUTICA_CLASSICS_Q426566_BLK_2.jpg" TargetMode="External" Id="rId5902"/><Relationship Type="http://schemas.openxmlformats.org/officeDocument/2006/relationships/hyperlink" Target="imagenes/NAUTICA_CLASSICS_Q426566_BLK_3.jpg" TargetMode="External" Id="rId5903"/><Relationship Type="http://schemas.openxmlformats.org/officeDocument/2006/relationships/hyperlink" Target="imagenes/NAUTICA_CLASSICS_Q426566_BLK_1.jpg" TargetMode="External" Id="rId5904"/><Relationship Type="http://schemas.openxmlformats.org/officeDocument/2006/relationships/hyperlink" Target="imagenes/NAUTICA_CLASSICS_Q426566_BLK_2.jpg" TargetMode="External" Id="rId5905"/><Relationship Type="http://schemas.openxmlformats.org/officeDocument/2006/relationships/hyperlink" Target="imagenes/NAUTICA_CLASSICS_Q426566_BLK_3.jpg" TargetMode="External" Id="rId5906"/><Relationship Type="http://schemas.openxmlformats.org/officeDocument/2006/relationships/hyperlink" Target="imagenes/NAUTICA_CLASSICS_Q426573_BLK_1.jpg" TargetMode="External" Id="rId5907"/><Relationship Type="http://schemas.openxmlformats.org/officeDocument/2006/relationships/hyperlink" Target="imagenes/NAUTICA_CLASSICS_Q426573_BLK_2.jpg" TargetMode="External" Id="rId5908"/><Relationship Type="http://schemas.openxmlformats.org/officeDocument/2006/relationships/hyperlink" Target="imagenes/NAUTICA_CLASSICS_Q426573_BLK_3.jpg" TargetMode="External" Id="rId5909"/><Relationship Type="http://schemas.openxmlformats.org/officeDocument/2006/relationships/hyperlink" Target="imagenes/NAUTICA_CLASSICS_Q426573_NSS_2.jpg" TargetMode="External" Id="rId5910"/><Relationship Type="http://schemas.openxmlformats.org/officeDocument/2006/relationships/hyperlink" Target="imagenes/NAUTICA_CLASSICS_Q426573_NSS_3.jpg" TargetMode="External" Id="rId5911"/><Relationship Type="http://schemas.openxmlformats.org/officeDocument/2006/relationships/hyperlink" Target="imagenes/NAUTICA_CLASSICS_Q426573_NSS_2.jpg" TargetMode="External" Id="rId5912"/><Relationship Type="http://schemas.openxmlformats.org/officeDocument/2006/relationships/hyperlink" Target="imagenes/NAUTICA_CLASSICS_Q426573_NSS_3.jpg" TargetMode="External" Id="rId5913"/><Relationship Type="http://schemas.openxmlformats.org/officeDocument/2006/relationships/hyperlink" Target="imagenes/NAUTICA_CLASSICS_Q426573_SAG_2.jpg" TargetMode="External" Id="rId5914"/><Relationship Type="http://schemas.openxmlformats.org/officeDocument/2006/relationships/hyperlink" Target="imagenes/NAUTICA_CLASSICS_Q426573_SAG_3.jpg" TargetMode="External" Id="rId5915"/><Relationship Type="http://schemas.openxmlformats.org/officeDocument/2006/relationships/hyperlink" Target="imagenes/NAUTICA_CLASSICS_Q431031_PGL_1.jpg" TargetMode="External" Id="rId5916"/><Relationship Type="http://schemas.openxmlformats.org/officeDocument/2006/relationships/hyperlink" Target="imagenes/NAUTICA_CLASSICS_Q431031_PGL_2.jpg" TargetMode="External" Id="rId5917"/><Relationship Type="http://schemas.openxmlformats.org/officeDocument/2006/relationships/hyperlink" Target="imagenes/NAUTICA_CLASSICS_Q431031_PGL_3.jpg" TargetMode="External" Id="rId5918"/><Relationship Type="http://schemas.openxmlformats.org/officeDocument/2006/relationships/hyperlink" Target="imagenes/NAUTICA_CLASSICS_Q521033_PRP_1.jpg" TargetMode="External" Id="rId5919"/><Relationship Type="http://schemas.openxmlformats.org/officeDocument/2006/relationships/hyperlink" Target="imagenes/NAUTICA_CLASSICS_Q521033_PRP_2.jpg" TargetMode="External" Id="rId5920"/><Relationship Type="http://schemas.openxmlformats.org/officeDocument/2006/relationships/hyperlink" Target="imagenes/NAUTICA_CLASSICS_Q521033_PRP_3.jpg" TargetMode="External" Id="rId5921"/><Relationship Type="http://schemas.openxmlformats.org/officeDocument/2006/relationships/hyperlink" Target="imagenes/NAUTICA_CLASSICS_Q521836_PRP_1.jpg" TargetMode="External" Id="rId5922"/><Relationship Type="http://schemas.openxmlformats.org/officeDocument/2006/relationships/hyperlink" Target="imagenes/NAUTICA_CLASSICS_Q521836_PRP_2.jpg" TargetMode="External" Id="rId5923"/><Relationship Type="http://schemas.openxmlformats.org/officeDocument/2006/relationships/hyperlink" Target="imagenes/NAUTICA_CLASSICS_Q521836_PRP_3.jpg" TargetMode="External" Id="rId5924"/><Relationship Type="http://schemas.openxmlformats.org/officeDocument/2006/relationships/hyperlink" Target="imagenes/NAUTICA_CLASSICS_Q521836_PRP_1.jpg" TargetMode="External" Id="rId5925"/><Relationship Type="http://schemas.openxmlformats.org/officeDocument/2006/relationships/hyperlink" Target="imagenes/NAUTICA_CLASSICS_Q521836_PRP_2.jpg" TargetMode="External" Id="rId5926"/><Relationship Type="http://schemas.openxmlformats.org/officeDocument/2006/relationships/hyperlink" Target="imagenes/NAUTICA_CLASSICS_Q521836_PRP_3.jpg" TargetMode="External" Id="rId5927"/><Relationship Type="http://schemas.openxmlformats.org/officeDocument/2006/relationships/hyperlink" Target="imagenes/NAUTICA_CLASSICS_Q521886_BLK_1.jpg" TargetMode="External" Id="rId5928"/><Relationship Type="http://schemas.openxmlformats.org/officeDocument/2006/relationships/hyperlink" Target="imagenes/NAUTICA_CLASSICS_Q521886_BLK_2.jpg" TargetMode="External" Id="rId5929"/><Relationship Type="http://schemas.openxmlformats.org/officeDocument/2006/relationships/hyperlink" Target="imagenes/NAUTICA_CLASSICS_Q521886_BLK_3.jpg" TargetMode="External" Id="rId5930"/><Relationship Type="http://schemas.openxmlformats.org/officeDocument/2006/relationships/hyperlink" Target="imagenes/NAUTICA_CLASSICS_Q521886_BLK_1.jpg" TargetMode="External" Id="rId5931"/><Relationship Type="http://schemas.openxmlformats.org/officeDocument/2006/relationships/hyperlink" Target="imagenes/NAUTICA_CLASSICS_Q521886_BLK_2.jpg" TargetMode="External" Id="rId5932"/><Relationship Type="http://schemas.openxmlformats.org/officeDocument/2006/relationships/hyperlink" Target="imagenes/NAUTICA_CLASSICS_Q521886_BLK_3.jpg" TargetMode="External" Id="rId5933"/><Relationship Type="http://schemas.openxmlformats.org/officeDocument/2006/relationships/hyperlink" Target="imagenes/NAUTICA_CLASSICS_Q521898_BLK_1.jpg" TargetMode="External" Id="rId5934"/><Relationship Type="http://schemas.openxmlformats.org/officeDocument/2006/relationships/hyperlink" Target="imagenes/NAUTICA_CLASSICS_Q521898_BLK_2.jpg" TargetMode="External" Id="rId5935"/><Relationship Type="http://schemas.openxmlformats.org/officeDocument/2006/relationships/hyperlink" Target="imagenes/NAUTICA_CLASSICS_Q521898_BLK_3.jpg" TargetMode="External" Id="rId5936"/><Relationship Type="http://schemas.openxmlformats.org/officeDocument/2006/relationships/hyperlink" Target="imagenes/NAUTICA_CLASSICS_Q521898_BLK_1.jpg" TargetMode="External" Id="rId5937"/><Relationship Type="http://schemas.openxmlformats.org/officeDocument/2006/relationships/hyperlink" Target="imagenes/NAUTICA_CLASSICS_Q521898_BLK_2.jpg" TargetMode="External" Id="rId5938"/><Relationship Type="http://schemas.openxmlformats.org/officeDocument/2006/relationships/hyperlink" Target="imagenes/NAUTICA_CLASSICS_Q521898_BLK_3.jpg" TargetMode="External" Id="rId5939"/><Relationship Type="http://schemas.openxmlformats.org/officeDocument/2006/relationships/hyperlink" Target="imagenes/NAUTICA_CLASSICS_Q524471_CHR_1.jpg" TargetMode="External" Id="rId5940"/><Relationship Type="http://schemas.openxmlformats.org/officeDocument/2006/relationships/hyperlink" Target="imagenes/NAUTICA_CLASSICS_Q524471_CHR_2.jpg" TargetMode="External" Id="rId5941"/><Relationship Type="http://schemas.openxmlformats.org/officeDocument/2006/relationships/hyperlink" Target="imagenes/NAUTICA_CLASSICS_Q524471_CHR_3.jpg" TargetMode="External" Id="rId5942"/><Relationship Type="http://schemas.openxmlformats.org/officeDocument/2006/relationships/hyperlink" Target="imagenes/NAUTICA_CLASSICS_Q529081_B75_1.jpg" TargetMode="External" Id="rId5943"/><Relationship Type="http://schemas.openxmlformats.org/officeDocument/2006/relationships/hyperlink" Target="imagenes/NAUTICA_CLASSICS_Q529081_B75_2.jpg" TargetMode="External" Id="rId5944"/><Relationship Type="http://schemas.openxmlformats.org/officeDocument/2006/relationships/hyperlink" Target="imagenes/NAUTICA_CLASSICS_Q529081_B75_3.jpg" TargetMode="External" Id="rId5945"/><Relationship Type="http://schemas.openxmlformats.org/officeDocument/2006/relationships/hyperlink" Target="imagenes/NAUTICA_CLASSICS_Q529081_B75_1.jpg" TargetMode="External" Id="rId5946"/><Relationship Type="http://schemas.openxmlformats.org/officeDocument/2006/relationships/hyperlink" Target="imagenes/NAUTICA_CLASSICS_Q529081_B75_2.jpg" TargetMode="External" Id="rId5947"/><Relationship Type="http://schemas.openxmlformats.org/officeDocument/2006/relationships/hyperlink" Target="imagenes/NAUTICA_CLASSICS_Q529081_B75_3.jpg" TargetMode="External" Id="rId5948"/><Relationship Type="http://schemas.openxmlformats.org/officeDocument/2006/relationships/hyperlink" Target="imagenes/NAUTICA_CLASSICS_Q621805_MGR_2.jpg" TargetMode="External" Id="rId5949"/><Relationship Type="http://schemas.openxmlformats.org/officeDocument/2006/relationships/hyperlink" Target="imagenes/NAUTICA_CLASSICS_Q621805_MGR_3.jpg" TargetMode="External" Id="rId5950"/><Relationship Type="http://schemas.openxmlformats.org/officeDocument/2006/relationships/hyperlink" Target="imagenes/NAUTICA_CLASSICS_Q621807_WTW_1.jpg" TargetMode="External" Id="rId5951"/><Relationship Type="http://schemas.openxmlformats.org/officeDocument/2006/relationships/hyperlink" Target="imagenes/NAUTICA_CLASSICS_Q621807_WTW_2.jpg" TargetMode="External" Id="rId5952"/><Relationship Type="http://schemas.openxmlformats.org/officeDocument/2006/relationships/hyperlink" Target="imagenes/NAUTICA_CLASSICS_Q621807_WTW_3.jpg" TargetMode="External" Id="rId5953"/><Relationship Type="http://schemas.openxmlformats.org/officeDocument/2006/relationships/hyperlink" Target="imagenes/NAUTICA_CLASSICS_Q621808_EGG_1.jpg" TargetMode="External" Id="rId5954"/><Relationship Type="http://schemas.openxmlformats.org/officeDocument/2006/relationships/hyperlink" Target="imagenes/NAUTICA_CLASSICS_Q621808_EGG_2.jpg" TargetMode="External" Id="rId5955"/><Relationship Type="http://schemas.openxmlformats.org/officeDocument/2006/relationships/hyperlink" Target="imagenes/NAUTICA_CLASSICS_Q621808_EGG_3.jpg" TargetMode="External" Id="rId5956"/><Relationship Type="http://schemas.openxmlformats.org/officeDocument/2006/relationships/hyperlink" Target="imagenes/NAUTICA_CLASSICS_Q621808_EGG_1.jpg" TargetMode="External" Id="rId5957"/><Relationship Type="http://schemas.openxmlformats.org/officeDocument/2006/relationships/hyperlink" Target="imagenes/NAUTICA_CLASSICS_Q621808_EGG_2.jpg" TargetMode="External" Id="rId5958"/><Relationship Type="http://schemas.openxmlformats.org/officeDocument/2006/relationships/hyperlink" Target="imagenes/NAUTICA_CLASSICS_Q621808_EGG_3.jpg" TargetMode="External" Id="rId5959"/><Relationship Type="http://schemas.openxmlformats.org/officeDocument/2006/relationships/hyperlink" Target="imagenes/NAUTICA_CLASSICS_Q621829_MGR_1.jpg" TargetMode="External" Id="rId5960"/><Relationship Type="http://schemas.openxmlformats.org/officeDocument/2006/relationships/hyperlink" Target="imagenes/NAUTICA_CLASSICS_Q621829_MGR_2.jpg" TargetMode="External" Id="rId5961"/><Relationship Type="http://schemas.openxmlformats.org/officeDocument/2006/relationships/hyperlink" Target="imagenes/NAUTICA_CLASSICS_Q621829_MGR_3.jpg" TargetMode="External" Id="rId5962"/><Relationship Type="http://schemas.openxmlformats.org/officeDocument/2006/relationships/hyperlink" Target="imagenes/NAUTICA_CLASSICS_Q621836_NSS_1.jpg" TargetMode="External" Id="rId5963"/><Relationship Type="http://schemas.openxmlformats.org/officeDocument/2006/relationships/hyperlink" Target="imagenes/NAUTICA_CLASSICS_Q621836_NSS_2.jpg" TargetMode="External" Id="rId5964"/><Relationship Type="http://schemas.openxmlformats.org/officeDocument/2006/relationships/hyperlink" Target="imagenes/NAUTICA_CLASSICS_Q621836_NSS_3.jpg" TargetMode="External" Id="rId5965"/><Relationship Type="http://schemas.openxmlformats.org/officeDocument/2006/relationships/hyperlink" Target="imagenes/NAUTICA_CLASSICS_Q621836_WTW_1.jpg" TargetMode="External" Id="rId5966"/><Relationship Type="http://schemas.openxmlformats.org/officeDocument/2006/relationships/hyperlink" Target="imagenes/NAUTICA_CLASSICS_Q621836_WTW_2.jpg" TargetMode="External" Id="rId5967"/><Relationship Type="http://schemas.openxmlformats.org/officeDocument/2006/relationships/hyperlink" Target="imagenes/NAUTICA_CLASSICS_Q621836_WTW_3.jpg" TargetMode="External" Id="rId5968"/><Relationship Type="http://schemas.openxmlformats.org/officeDocument/2006/relationships/hyperlink" Target="imagenes/NAUTICA_CLASSICS_Q621836_WTW_1.jpg" TargetMode="External" Id="rId5969"/><Relationship Type="http://schemas.openxmlformats.org/officeDocument/2006/relationships/hyperlink" Target="imagenes/NAUTICA_CLASSICS_Q621836_WTW_2.jpg" TargetMode="External" Id="rId5970"/><Relationship Type="http://schemas.openxmlformats.org/officeDocument/2006/relationships/hyperlink" Target="imagenes/NAUTICA_CLASSICS_Q621836_WTW_3.jpg" TargetMode="External" Id="rId5971"/><Relationship Type="http://schemas.openxmlformats.org/officeDocument/2006/relationships/hyperlink" Target="imagenes/NAUTICA_CLASSICS_Q621836_WTW_1.jpg" TargetMode="External" Id="rId5972"/><Relationship Type="http://schemas.openxmlformats.org/officeDocument/2006/relationships/hyperlink" Target="imagenes/NAUTICA_CLASSICS_Q621836_WTW_2.jpg" TargetMode="External" Id="rId5973"/><Relationship Type="http://schemas.openxmlformats.org/officeDocument/2006/relationships/hyperlink" Target="imagenes/NAUTICA_CLASSICS_Q621836_WTW_3.jpg" TargetMode="External" Id="rId5974"/><Relationship Type="http://schemas.openxmlformats.org/officeDocument/2006/relationships/hyperlink" Target="imagenes/NAUTICA_CLASSICS_Q621855_BLK_1.jpg" TargetMode="External" Id="rId5975"/><Relationship Type="http://schemas.openxmlformats.org/officeDocument/2006/relationships/hyperlink" Target="imagenes/NAUTICA_CLASSICS_Q621855_BLK_2.jpg" TargetMode="External" Id="rId5976"/><Relationship Type="http://schemas.openxmlformats.org/officeDocument/2006/relationships/hyperlink" Target="imagenes/NAUTICA_CLASSICS_Q621855_BLK_3.jpg" TargetMode="External" Id="rId5977"/><Relationship Type="http://schemas.openxmlformats.org/officeDocument/2006/relationships/hyperlink" Target="imagenes/NAUTICA_CLASSICS_Q621855_BLK_1.jpg" TargetMode="External" Id="rId5978"/><Relationship Type="http://schemas.openxmlformats.org/officeDocument/2006/relationships/hyperlink" Target="imagenes/NAUTICA_CLASSICS_Q621855_BLK_2.jpg" TargetMode="External" Id="rId5979"/><Relationship Type="http://schemas.openxmlformats.org/officeDocument/2006/relationships/hyperlink" Target="imagenes/NAUTICA_CLASSICS_Q621855_BLK_3.jpg" TargetMode="External" Id="rId5980"/><Relationship Type="http://schemas.openxmlformats.org/officeDocument/2006/relationships/hyperlink" Target="imagenes/NAUTICA_CLASSICS_Q621872_BLK_1.jpg" TargetMode="External" Id="rId5981"/><Relationship Type="http://schemas.openxmlformats.org/officeDocument/2006/relationships/hyperlink" Target="imagenes/NAUTICA_CLASSICS_Q621872_BLK_2.jpg" TargetMode="External" Id="rId5982"/><Relationship Type="http://schemas.openxmlformats.org/officeDocument/2006/relationships/hyperlink" Target="imagenes/NAUTICA_CLASSICS_Q621872_BLK_3.jpg" TargetMode="External" Id="rId5983"/><Relationship Type="http://schemas.openxmlformats.org/officeDocument/2006/relationships/hyperlink" Target="imagenes/NAUTICA_CLASSICS_Q621895_BLK_1.jpg" TargetMode="External" Id="rId5984"/><Relationship Type="http://schemas.openxmlformats.org/officeDocument/2006/relationships/hyperlink" Target="imagenes/NAUTICA_CLASSICS_Q621895_BLK_2.jpg" TargetMode="External" Id="rId5985"/><Relationship Type="http://schemas.openxmlformats.org/officeDocument/2006/relationships/hyperlink" Target="imagenes/NAUTICA_CLASSICS_Q621895_BLK_3.jpg" TargetMode="External" Id="rId5986"/><Relationship Type="http://schemas.openxmlformats.org/officeDocument/2006/relationships/hyperlink" Target="imagenes/NAUTICA_CLASSICS_Q621895_DPS_2.jpg" TargetMode="External" Id="rId5987"/><Relationship Type="http://schemas.openxmlformats.org/officeDocument/2006/relationships/hyperlink" Target="imagenes/NAUTICA_CLASSICS_Q621895_DPS_3.jpg" TargetMode="External" Id="rId5988"/><Relationship Type="http://schemas.openxmlformats.org/officeDocument/2006/relationships/hyperlink" Target="imagenes/NAUTICA_CLASSICS_Q621895_DPS_2.jpg" TargetMode="External" Id="rId5989"/><Relationship Type="http://schemas.openxmlformats.org/officeDocument/2006/relationships/hyperlink" Target="imagenes/NAUTICA_CLASSICS_Q621895_DPS_3.jpg" TargetMode="External" Id="rId5990"/><Relationship Type="http://schemas.openxmlformats.org/officeDocument/2006/relationships/hyperlink" Target="imagenes/NAUTICA_CLASSICS_Q621895_EBY_1.jpg" TargetMode="External" Id="rId5991"/><Relationship Type="http://schemas.openxmlformats.org/officeDocument/2006/relationships/hyperlink" Target="imagenes/NAUTICA_CLASSICS_Q621895_EBY_2.jpg" TargetMode="External" Id="rId5992"/><Relationship Type="http://schemas.openxmlformats.org/officeDocument/2006/relationships/hyperlink" Target="imagenes/NAUTICA_CLASSICS_Q621895_EBY_3.jpg" TargetMode="External" Id="rId5993"/><Relationship Type="http://schemas.openxmlformats.org/officeDocument/2006/relationships/hyperlink" Target="imagenes/NAUTICA_CLASSICS_Q621895_SAG_1.jpg" TargetMode="External" Id="rId5994"/><Relationship Type="http://schemas.openxmlformats.org/officeDocument/2006/relationships/hyperlink" Target="imagenes/NAUTICA_CLASSICS_Q621895_SAG_2.jpg" TargetMode="External" Id="rId5995"/><Relationship Type="http://schemas.openxmlformats.org/officeDocument/2006/relationships/hyperlink" Target="imagenes/NAUTICA_CLASSICS_Q621895_SAG_3.jpg" TargetMode="External" Id="rId5996"/><Relationship Type="http://schemas.openxmlformats.org/officeDocument/2006/relationships/hyperlink" Target="imagenes/NAUTICA_CLASSICS_Q621895_SAG_1.jpg" TargetMode="External" Id="rId5997"/><Relationship Type="http://schemas.openxmlformats.org/officeDocument/2006/relationships/hyperlink" Target="imagenes/NAUTICA_CLASSICS_Q621895_SAG_2.jpg" TargetMode="External" Id="rId5998"/><Relationship Type="http://schemas.openxmlformats.org/officeDocument/2006/relationships/hyperlink" Target="imagenes/NAUTICA_CLASSICS_Q621895_SAG_3.jpg" TargetMode="External" Id="rId5999"/><Relationship Type="http://schemas.openxmlformats.org/officeDocument/2006/relationships/hyperlink" Target="imagenes/NAUTICA_CLASSICS_Q621895_WTW_1.jpg" TargetMode="External" Id="rId6000"/><Relationship Type="http://schemas.openxmlformats.org/officeDocument/2006/relationships/hyperlink" Target="imagenes/NAUTICA_CLASSICS_Q621895_WTW_2.jpg" TargetMode="External" Id="rId6001"/><Relationship Type="http://schemas.openxmlformats.org/officeDocument/2006/relationships/hyperlink" Target="imagenes/NAUTICA_CLASSICS_Q621895_WTW_3.jpg" TargetMode="External" Id="rId6002"/><Relationship Type="http://schemas.openxmlformats.org/officeDocument/2006/relationships/hyperlink" Target="imagenes/NAUTICA_CLASSICS_Q621895_WTW_1.jpg" TargetMode="External" Id="rId6003"/><Relationship Type="http://schemas.openxmlformats.org/officeDocument/2006/relationships/hyperlink" Target="imagenes/NAUTICA_CLASSICS_Q621895_WTW_2.jpg" TargetMode="External" Id="rId6004"/><Relationship Type="http://schemas.openxmlformats.org/officeDocument/2006/relationships/hyperlink" Target="imagenes/NAUTICA_CLASSICS_Q621895_WTW_3.jpg" TargetMode="External" Id="rId6005"/><Relationship Type="http://schemas.openxmlformats.org/officeDocument/2006/relationships/hyperlink" Target="imagenes/NAUTICA_CLASSICS_Q621895_WTW_1.jpg" TargetMode="External" Id="rId6006"/><Relationship Type="http://schemas.openxmlformats.org/officeDocument/2006/relationships/hyperlink" Target="imagenes/NAUTICA_CLASSICS_Q621895_WTW_2.jpg" TargetMode="External" Id="rId6007"/><Relationship Type="http://schemas.openxmlformats.org/officeDocument/2006/relationships/hyperlink" Target="imagenes/NAUTICA_CLASSICS_Q621895_WTW_3.jpg" TargetMode="External" Id="rId6008"/><Relationship Type="http://schemas.openxmlformats.org/officeDocument/2006/relationships/hyperlink" Target="imagenes/NAUTICA_CLASSICS_Q621895_WTW_1.jpg" TargetMode="External" Id="rId6009"/><Relationship Type="http://schemas.openxmlformats.org/officeDocument/2006/relationships/hyperlink" Target="imagenes/NAUTICA_CLASSICS_Q621895_WTW_2.jpg" TargetMode="External" Id="rId6010"/><Relationship Type="http://schemas.openxmlformats.org/officeDocument/2006/relationships/hyperlink" Target="imagenes/NAUTICA_CLASSICS_Q621895_WTW_3.jpg" TargetMode="External" Id="rId6011"/><Relationship Type="http://schemas.openxmlformats.org/officeDocument/2006/relationships/hyperlink" Target="imagenes/NAUTICA_CLASSICS_Q621895_WTW_1.jpg" TargetMode="External" Id="rId6012"/><Relationship Type="http://schemas.openxmlformats.org/officeDocument/2006/relationships/hyperlink" Target="imagenes/NAUTICA_CLASSICS_Q621895_WTW_2.jpg" TargetMode="External" Id="rId6013"/><Relationship Type="http://schemas.openxmlformats.org/officeDocument/2006/relationships/hyperlink" Target="imagenes/NAUTICA_CLASSICS_Q621895_WTW_3.jpg" TargetMode="External" Id="rId6014"/><Relationship Type="http://schemas.openxmlformats.org/officeDocument/2006/relationships/hyperlink" Target="imagenes/NAUTICA_CLASSICS_Q622088_BFG_1.jpg" TargetMode="External" Id="rId6015"/><Relationship Type="http://schemas.openxmlformats.org/officeDocument/2006/relationships/hyperlink" Target="imagenes/NAUTICA_CLASSICS_Q622088_BFG_2.jpg" TargetMode="External" Id="rId6016"/><Relationship Type="http://schemas.openxmlformats.org/officeDocument/2006/relationships/hyperlink" Target="imagenes/NAUTICA_CLASSICS_Q622088_BFG_3.jpg" TargetMode="External" Id="rId6017"/><Relationship Type="http://schemas.openxmlformats.org/officeDocument/2006/relationships/hyperlink" Target="imagenes/NAUTICA_CLASSICS_Q622088_BLK_1.jpg" TargetMode="External" Id="rId6018"/><Relationship Type="http://schemas.openxmlformats.org/officeDocument/2006/relationships/hyperlink" Target="imagenes/NAUTICA_CLASSICS_Q622088_BLK_2.jpg" TargetMode="External" Id="rId6019"/><Relationship Type="http://schemas.openxmlformats.org/officeDocument/2006/relationships/hyperlink" Target="imagenes/NAUTICA_CLASSICS_Q622088_BLK_3.jpg" TargetMode="External" Id="rId6020"/><Relationship Type="http://schemas.openxmlformats.org/officeDocument/2006/relationships/hyperlink" Target="imagenes/NAUTICA_CLASSICS_Q622945_BLK_1.jpg" TargetMode="External" Id="rId6021"/><Relationship Type="http://schemas.openxmlformats.org/officeDocument/2006/relationships/hyperlink" Target="imagenes/NAUTICA_CLASSICS_Q622945_BLK_2.jpg" TargetMode="External" Id="rId6022"/><Relationship Type="http://schemas.openxmlformats.org/officeDocument/2006/relationships/hyperlink" Target="imagenes/NAUTICA_CLASSICS_Q622945_BLK_3.jpg" TargetMode="External" Id="rId6023"/><Relationship Type="http://schemas.openxmlformats.org/officeDocument/2006/relationships/hyperlink" Target="imagenes/NAUTICA_CLASSICS_Q622945_BLK_1.jpg" TargetMode="External" Id="rId6024"/><Relationship Type="http://schemas.openxmlformats.org/officeDocument/2006/relationships/hyperlink" Target="imagenes/NAUTICA_CLASSICS_Q622945_BLK_2.jpg" TargetMode="External" Id="rId6025"/><Relationship Type="http://schemas.openxmlformats.org/officeDocument/2006/relationships/hyperlink" Target="imagenes/NAUTICA_CLASSICS_Q622945_BLK_3.jpg" TargetMode="External" Id="rId6026"/><Relationship Type="http://schemas.openxmlformats.org/officeDocument/2006/relationships/hyperlink" Target="imagenes/NAUTICA_CLASSICS_Q622945_CHR_1.jpg" TargetMode="External" Id="rId6027"/><Relationship Type="http://schemas.openxmlformats.org/officeDocument/2006/relationships/hyperlink" Target="imagenes/NAUTICA_CLASSICS_Q622945_CHR_2.jpg" TargetMode="External" Id="rId6028"/><Relationship Type="http://schemas.openxmlformats.org/officeDocument/2006/relationships/hyperlink" Target="imagenes/NAUTICA_CLASSICS_Q622945_CHR_3.jpg" TargetMode="External" Id="rId6029"/><Relationship Type="http://schemas.openxmlformats.org/officeDocument/2006/relationships/hyperlink" Target="imagenes/NAUTICA_CLASSICS_Q622945_NAR_1.jpg" TargetMode="External" Id="rId6030"/><Relationship Type="http://schemas.openxmlformats.org/officeDocument/2006/relationships/hyperlink" Target="imagenes/NAUTICA_CLASSICS_Q622945_NAR_2.jpg" TargetMode="External" Id="rId6031"/><Relationship Type="http://schemas.openxmlformats.org/officeDocument/2006/relationships/hyperlink" Target="imagenes/NAUTICA_CLASSICS_Q622945_NAR_3.jpg" TargetMode="External" Id="rId6032"/><Relationship Type="http://schemas.openxmlformats.org/officeDocument/2006/relationships/hyperlink" Target="imagenes/NAUTICA_CLASSICS_Q622945_NSS_1.jpg" TargetMode="External" Id="rId6033"/><Relationship Type="http://schemas.openxmlformats.org/officeDocument/2006/relationships/hyperlink" Target="imagenes/NAUTICA_CLASSICS_Q622945_NSS_2.jpg" TargetMode="External" Id="rId6034"/><Relationship Type="http://schemas.openxmlformats.org/officeDocument/2006/relationships/hyperlink" Target="imagenes/NAUTICA_CLASSICS_Q622945_NSS_3.jpg" TargetMode="External" Id="rId6035"/><Relationship Type="http://schemas.openxmlformats.org/officeDocument/2006/relationships/hyperlink" Target="imagenes/NAUTICA_CLASSICS_Q622952_CHR_1.jpg" TargetMode="External" Id="rId6036"/><Relationship Type="http://schemas.openxmlformats.org/officeDocument/2006/relationships/hyperlink" Target="imagenes/NAUTICA_CLASSICS_Q622952_CHR_2.jpg" TargetMode="External" Id="rId6037"/><Relationship Type="http://schemas.openxmlformats.org/officeDocument/2006/relationships/hyperlink" Target="imagenes/NAUTICA_CLASSICS_Q622952_CHR_3.jpg" TargetMode="External" Id="rId6038"/><Relationship Type="http://schemas.openxmlformats.org/officeDocument/2006/relationships/hyperlink" Target="imagenes/NAUTICA_CLASSICS_Q622952_CHR_1.jpg" TargetMode="External" Id="rId6039"/><Relationship Type="http://schemas.openxmlformats.org/officeDocument/2006/relationships/hyperlink" Target="imagenes/NAUTICA_CLASSICS_Q622952_CHR_2.jpg" TargetMode="External" Id="rId6040"/><Relationship Type="http://schemas.openxmlformats.org/officeDocument/2006/relationships/hyperlink" Target="imagenes/NAUTICA_CLASSICS_Q622952_CHR_3.jpg" TargetMode="External" Id="rId6041"/><Relationship Type="http://schemas.openxmlformats.org/officeDocument/2006/relationships/hyperlink" Target="imagenes/NAUTICA_CLASSICS_Q622952_CHR_1.jpg" TargetMode="External" Id="rId6042"/><Relationship Type="http://schemas.openxmlformats.org/officeDocument/2006/relationships/hyperlink" Target="imagenes/NAUTICA_CLASSICS_Q622952_CHR_2.jpg" TargetMode="External" Id="rId6043"/><Relationship Type="http://schemas.openxmlformats.org/officeDocument/2006/relationships/hyperlink" Target="imagenes/NAUTICA_CLASSICS_Q622952_CHR_3.jpg" TargetMode="External" Id="rId6044"/><Relationship Type="http://schemas.openxmlformats.org/officeDocument/2006/relationships/hyperlink" Target="imagenes/NAUTICA_CLASSICS_Q622952_CHR_1.jpg" TargetMode="External" Id="rId6045"/><Relationship Type="http://schemas.openxmlformats.org/officeDocument/2006/relationships/hyperlink" Target="imagenes/NAUTICA_CLASSICS_Q622952_CHR_2.jpg" TargetMode="External" Id="rId6046"/><Relationship Type="http://schemas.openxmlformats.org/officeDocument/2006/relationships/hyperlink" Target="imagenes/NAUTICA_CLASSICS_Q622952_CHR_3.jpg" TargetMode="External" Id="rId6047"/><Relationship Type="http://schemas.openxmlformats.org/officeDocument/2006/relationships/hyperlink" Target="imagenes/NAUTICA_CLASSICS_Q622952_NSS_1.jpg" TargetMode="External" Id="rId6048"/><Relationship Type="http://schemas.openxmlformats.org/officeDocument/2006/relationships/hyperlink" Target="imagenes/NAUTICA_CLASSICS_Q622952_NSS_2.jpg" TargetMode="External" Id="rId6049"/><Relationship Type="http://schemas.openxmlformats.org/officeDocument/2006/relationships/hyperlink" Target="imagenes/NAUTICA_CLASSICS_Q622952_NSS_3.jpg" TargetMode="External" Id="rId6050"/><Relationship Type="http://schemas.openxmlformats.org/officeDocument/2006/relationships/hyperlink" Target="imagenes/NAUTICA_CLASSICS_Q624110X_BLK_1.jpg" TargetMode="External" Id="rId6051"/><Relationship Type="http://schemas.openxmlformats.org/officeDocument/2006/relationships/hyperlink" Target="imagenes/NAUTICA_CLASSICS_Q624110X_BLK_2.jpg" TargetMode="External" Id="rId6052"/><Relationship Type="http://schemas.openxmlformats.org/officeDocument/2006/relationships/hyperlink" Target="imagenes/NAUTICA_CLASSICS_Q624110X_BLK_3.jpg" TargetMode="External" Id="rId6053"/><Relationship Type="http://schemas.openxmlformats.org/officeDocument/2006/relationships/hyperlink" Target="imagenes/NAUTICA_CLASSICS_Q624137_BLK_1.jpg" TargetMode="External" Id="rId6054"/><Relationship Type="http://schemas.openxmlformats.org/officeDocument/2006/relationships/hyperlink" Target="imagenes/NAUTICA_CLASSICS_Q624137_BLK_2.jpg" TargetMode="External" Id="rId6055"/><Relationship Type="http://schemas.openxmlformats.org/officeDocument/2006/relationships/hyperlink" Target="imagenes/NAUTICA_CLASSICS_Q624137_BLK_3.jpg" TargetMode="External" Id="rId6056"/><Relationship Type="http://schemas.openxmlformats.org/officeDocument/2006/relationships/hyperlink" Target="imagenes/NAUTICA_CLASSICS_Q624137_BLK_1.jpg" TargetMode="External" Id="rId6057"/><Relationship Type="http://schemas.openxmlformats.org/officeDocument/2006/relationships/hyperlink" Target="imagenes/NAUTICA_CLASSICS_Q624137_BLK_2.jpg" TargetMode="External" Id="rId6058"/><Relationship Type="http://schemas.openxmlformats.org/officeDocument/2006/relationships/hyperlink" Target="imagenes/NAUTICA_CLASSICS_Q624137_BLK_3.jpg" TargetMode="External" Id="rId6059"/><Relationship Type="http://schemas.openxmlformats.org/officeDocument/2006/relationships/hyperlink" Target="imagenes/NAUTICA_CLASSICS_Q624137_BLK_1.jpg" TargetMode="External" Id="rId6060"/><Relationship Type="http://schemas.openxmlformats.org/officeDocument/2006/relationships/hyperlink" Target="imagenes/NAUTICA_CLASSICS_Q624137_BLK_2.jpg" TargetMode="External" Id="rId6061"/><Relationship Type="http://schemas.openxmlformats.org/officeDocument/2006/relationships/hyperlink" Target="imagenes/NAUTICA_CLASSICS_Q624137_BLK_3.jpg" TargetMode="External" Id="rId6062"/><Relationship Type="http://schemas.openxmlformats.org/officeDocument/2006/relationships/hyperlink" Target="imagenes/NAUTICA_CLASSICS_Q624137_BLK_1.jpg" TargetMode="External" Id="rId6063"/><Relationship Type="http://schemas.openxmlformats.org/officeDocument/2006/relationships/hyperlink" Target="imagenes/NAUTICA_CLASSICS_Q624137_BLK_2.jpg" TargetMode="External" Id="rId6064"/><Relationship Type="http://schemas.openxmlformats.org/officeDocument/2006/relationships/hyperlink" Target="imagenes/NAUTICA_CLASSICS_Q624137_BLK_3.jpg" TargetMode="External" Id="rId6065"/><Relationship Type="http://schemas.openxmlformats.org/officeDocument/2006/relationships/hyperlink" Target="imagenes/NAUTICA_CLASSICS_Q624137_BLK_1.jpg" TargetMode="External" Id="rId6066"/><Relationship Type="http://schemas.openxmlformats.org/officeDocument/2006/relationships/hyperlink" Target="imagenes/NAUTICA_CLASSICS_Q624137_BLK_2.jpg" TargetMode="External" Id="rId6067"/><Relationship Type="http://schemas.openxmlformats.org/officeDocument/2006/relationships/hyperlink" Target="imagenes/NAUTICA_CLASSICS_Q624137_BLK_3.jpg" TargetMode="External" Id="rId6068"/><Relationship Type="http://schemas.openxmlformats.org/officeDocument/2006/relationships/hyperlink" Target="imagenes/NAUTICA_CLASSICS_Q624137_BLK_1.jpg" TargetMode="External" Id="rId6069"/><Relationship Type="http://schemas.openxmlformats.org/officeDocument/2006/relationships/hyperlink" Target="imagenes/NAUTICA_CLASSICS_Q624137_BLK_2.jpg" TargetMode="External" Id="rId6070"/><Relationship Type="http://schemas.openxmlformats.org/officeDocument/2006/relationships/hyperlink" Target="imagenes/NAUTICA_CLASSICS_Q624137_BLK_3.jpg" TargetMode="External" Id="rId6071"/><Relationship Type="http://schemas.openxmlformats.org/officeDocument/2006/relationships/hyperlink" Target="imagenes/NAUTICA_CLASSICS_Q624421_BLK_1.jpg" TargetMode="External" Id="rId6072"/><Relationship Type="http://schemas.openxmlformats.org/officeDocument/2006/relationships/hyperlink" Target="imagenes/NAUTICA_CLASSICS_Q624421_BLK_3.jpg" TargetMode="External" Id="rId6073"/><Relationship Type="http://schemas.openxmlformats.org/officeDocument/2006/relationships/hyperlink" Target="imagenes/NAUTICA_CLASSICS_Q624421_CHR_1.jpg" TargetMode="External" Id="rId6074"/><Relationship Type="http://schemas.openxmlformats.org/officeDocument/2006/relationships/hyperlink" Target="imagenes/NAUTICA_CLASSICS_Q624421_CHR_2.jpg" TargetMode="External" Id="rId6075"/><Relationship Type="http://schemas.openxmlformats.org/officeDocument/2006/relationships/hyperlink" Target="imagenes/NAUTICA_CLASSICS_Q624421_CHR_3.jpg" TargetMode="External" Id="rId6076"/><Relationship Type="http://schemas.openxmlformats.org/officeDocument/2006/relationships/hyperlink" Target="imagenes/NAUTICA_CLASSICS_Q624421_NSS_1.jpg" TargetMode="External" Id="rId6077"/><Relationship Type="http://schemas.openxmlformats.org/officeDocument/2006/relationships/hyperlink" Target="imagenes/NAUTICA_CLASSICS_Q624421_NSS_2.jpg" TargetMode="External" Id="rId6078"/><Relationship Type="http://schemas.openxmlformats.org/officeDocument/2006/relationships/hyperlink" Target="imagenes/NAUTICA_CLASSICS_Q624421_NSS_3.jpg" TargetMode="External" Id="rId6079"/><Relationship Type="http://schemas.openxmlformats.org/officeDocument/2006/relationships/hyperlink" Target="imagenes/NAUTICA_CLASSICS_Q625037_NSS_1.jpg" TargetMode="External" Id="rId6080"/><Relationship Type="http://schemas.openxmlformats.org/officeDocument/2006/relationships/hyperlink" Target="imagenes/NAUTICA_CLASSICS_Q625037_NSS_2.jpg" TargetMode="External" Id="rId6081"/><Relationship Type="http://schemas.openxmlformats.org/officeDocument/2006/relationships/hyperlink" Target="imagenes/NAUTICA_CLASSICS_Q625037_NSS_3.jpg" TargetMode="External" Id="rId6082"/><Relationship Type="http://schemas.openxmlformats.org/officeDocument/2006/relationships/hyperlink" Target="imagenes/NAUTICA_CLASSICS_Q625096_MGR_1.jpg" TargetMode="External" Id="rId6083"/><Relationship Type="http://schemas.openxmlformats.org/officeDocument/2006/relationships/hyperlink" Target="imagenes/NAUTICA_CLASSICS_Q625096_MGR_2.jpg" TargetMode="External" Id="rId6084"/><Relationship Type="http://schemas.openxmlformats.org/officeDocument/2006/relationships/hyperlink" Target="imagenes/NAUTICA_CLASSICS_Q625096_MGR_3.jpg" TargetMode="External" Id="rId6085"/><Relationship Type="http://schemas.openxmlformats.org/officeDocument/2006/relationships/hyperlink" Target="imagenes/NAUTICA_CLASSICS_Q626473_SAG_1.jpg" TargetMode="External" Id="rId6086"/><Relationship Type="http://schemas.openxmlformats.org/officeDocument/2006/relationships/hyperlink" Target="imagenes/NAUTICA_CLASSICS_Q626473_SAG_2.jpg" TargetMode="External" Id="rId6087"/><Relationship Type="http://schemas.openxmlformats.org/officeDocument/2006/relationships/hyperlink" Target="imagenes/NAUTICA_CLASSICS_Q626473_SAG_3.jpg" TargetMode="External" Id="rId6088"/><Relationship Type="http://schemas.openxmlformats.org/officeDocument/2006/relationships/hyperlink" Target="imagenes/NAUTICA_CLASSICS_Q626519_BLK_1.jpg" TargetMode="External" Id="rId6089"/><Relationship Type="http://schemas.openxmlformats.org/officeDocument/2006/relationships/hyperlink" Target="imagenes/NAUTICA_CLASSICS_Q626519_BLK_2.jpg" TargetMode="External" Id="rId6090"/><Relationship Type="http://schemas.openxmlformats.org/officeDocument/2006/relationships/hyperlink" Target="imagenes/NAUTICA_CLASSICS_Q626519_BLK_3.jpg" TargetMode="External" Id="rId6091"/><Relationship Type="http://schemas.openxmlformats.org/officeDocument/2006/relationships/hyperlink" Target="imagenes/NAUTICA_CLASSICS_Q626519_BLK_1.jpg" TargetMode="External" Id="rId6092"/><Relationship Type="http://schemas.openxmlformats.org/officeDocument/2006/relationships/hyperlink" Target="imagenes/NAUTICA_CLASSICS_Q626519_BLK_2.jpg" TargetMode="External" Id="rId6093"/><Relationship Type="http://schemas.openxmlformats.org/officeDocument/2006/relationships/hyperlink" Target="imagenes/NAUTICA_CLASSICS_Q626519_BLK_3.jpg" TargetMode="External" Id="rId6094"/><Relationship Type="http://schemas.openxmlformats.org/officeDocument/2006/relationships/hyperlink" Target="imagenes/NAUTICA_CLASSICS_Q626519_BLK_1.jpg" TargetMode="External" Id="rId6095"/><Relationship Type="http://schemas.openxmlformats.org/officeDocument/2006/relationships/hyperlink" Target="imagenes/NAUTICA_CLASSICS_Q626519_BLK_2.jpg" TargetMode="External" Id="rId6096"/><Relationship Type="http://schemas.openxmlformats.org/officeDocument/2006/relationships/hyperlink" Target="imagenes/NAUTICA_CLASSICS_Q626519_BLK_3.jpg" TargetMode="External" Id="rId6097"/><Relationship Type="http://schemas.openxmlformats.org/officeDocument/2006/relationships/hyperlink" Target="imagenes/NAUTICA_CLASSICS_Q626519_BLK_1.jpg" TargetMode="External" Id="rId6098"/><Relationship Type="http://schemas.openxmlformats.org/officeDocument/2006/relationships/hyperlink" Target="imagenes/NAUTICA_CLASSICS_Q626519_BLK_2.jpg" TargetMode="External" Id="rId6099"/><Relationship Type="http://schemas.openxmlformats.org/officeDocument/2006/relationships/hyperlink" Target="imagenes/NAUTICA_CLASSICS_Q626519_BLK_3.jpg" TargetMode="External" Id="rId6100"/><Relationship Type="http://schemas.openxmlformats.org/officeDocument/2006/relationships/hyperlink" Target="imagenes/NAUTICA_CLASSICS_Q626519_BLK_1.jpg" TargetMode="External" Id="rId6101"/><Relationship Type="http://schemas.openxmlformats.org/officeDocument/2006/relationships/hyperlink" Target="imagenes/NAUTICA_CLASSICS_Q626519_BLK_2.jpg" TargetMode="External" Id="rId6102"/><Relationship Type="http://schemas.openxmlformats.org/officeDocument/2006/relationships/hyperlink" Target="imagenes/NAUTICA_CLASSICS_Q626519_BLK_3.jpg" TargetMode="External" Id="rId6103"/><Relationship Type="http://schemas.openxmlformats.org/officeDocument/2006/relationships/hyperlink" Target="imagenes/NAUTICA_CLASSICS_Q626519_SIG_1.jpg" TargetMode="External" Id="rId6104"/><Relationship Type="http://schemas.openxmlformats.org/officeDocument/2006/relationships/hyperlink" Target="imagenes/NAUTICA_CLASSICS_Q626519_SIG_2.jpg" TargetMode="External" Id="rId6105"/><Relationship Type="http://schemas.openxmlformats.org/officeDocument/2006/relationships/hyperlink" Target="imagenes/NAUTICA_CLASSICS_Q626519_SIG_3.jpg" TargetMode="External" Id="rId6106"/><Relationship Type="http://schemas.openxmlformats.org/officeDocument/2006/relationships/hyperlink" Target="imagenes/NAUTICA_CLASSICS_Q626519_SIG_1.jpg" TargetMode="External" Id="rId6107"/><Relationship Type="http://schemas.openxmlformats.org/officeDocument/2006/relationships/hyperlink" Target="imagenes/NAUTICA_CLASSICS_Q626519_SIG_2.jpg" TargetMode="External" Id="rId6108"/><Relationship Type="http://schemas.openxmlformats.org/officeDocument/2006/relationships/hyperlink" Target="imagenes/NAUTICA_CLASSICS_Q626519_SIG_3.jpg" TargetMode="External" Id="rId6109"/><Relationship Type="http://schemas.openxmlformats.org/officeDocument/2006/relationships/hyperlink" Target="imagenes/NAUTICA_CLASSICS_Q626519_SIG_1.jpg" TargetMode="External" Id="rId6110"/><Relationship Type="http://schemas.openxmlformats.org/officeDocument/2006/relationships/hyperlink" Target="imagenes/NAUTICA_CLASSICS_Q626519_SIG_2.jpg" TargetMode="External" Id="rId6111"/><Relationship Type="http://schemas.openxmlformats.org/officeDocument/2006/relationships/hyperlink" Target="imagenes/NAUTICA_CLASSICS_Q626519_SIG_3.jpg" TargetMode="External" Id="rId6112"/><Relationship Type="http://schemas.openxmlformats.org/officeDocument/2006/relationships/hyperlink" Target="imagenes/NAUTICA_CLASSICS_Q626519_SIG_1.jpg" TargetMode="External" Id="rId6113"/><Relationship Type="http://schemas.openxmlformats.org/officeDocument/2006/relationships/hyperlink" Target="imagenes/NAUTICA_CLASSICS_Q626519_SIG_2.jpg" TargetMode="External" Id="rId6114"/><Relationship Type="http://schemas.openxmlformats.org/officeDocument/2006/relationships/hyperlink" Target="imagenes/NAUTICA_CLASSICS_Q626519_SIG_3.jpg" TargetMode="External" Id="rId6115"/><Relationship Type="http://schemas.openxmlformats.org/officeDocument/2006/relationships/hyperlink" Target="imagenes/NAUTICA_CLASSICS_Q626519_SIG_1.jpg" TargetMode="External" Id="rId6116"/><Relationship Type="http://schemas.openxmlformats.org/officeDocument/2006/relationships/hyperlink" Target="imagenes/NAUTICA_CLASSICS_Q626519_SIG_2.jpg" TargetMode="External" Id="rId6117"/><Relationship Type="http://schemas.openxmlformats.org/officeDocument/2006/relationships/hyperlink" Target="imagenes/NAUTICA_CLASSICS_Q626519_SIG_3.jpg" TargetMode="External" Id="rId6118"/><Relationship Type="http://schemas.openxmlformats.org/officeDocument/2006/relationships/hyperlink" Target="imagenes/NAUTICA_CLASSICS_Q626519_SIG_1.jpg" TargetMode="External" Id="rId6119"/><Relationship Type="http://schemas.openxmlformats.org/officeDocument/2006/relationships/hyperlink" Target="imagenes/NAUTICA_CLASSICS_Q626519_SIG_2.jpg" TargetMode="External" Id="rId6120"/><Relationship Type="http://schemas.openxmlformats.org/officeDocument/2006/relationships/hyperlink" Target="imagenes/NAUTICA_CLASSICS_Q626519_SIG_3.jpg" TargetMode="External" Id="rId6121"/><Relationship Type="http://schemas.openxmlformats.org/officeDocument/2006/relationships/hyperlink" Target="imagenes/NAUTICA_CLASSICS_Q626594K_BLK_2.jpg" TargetMode="External" Id="rId6122"/><Relationship Type="http://schemas.openxmlformats.org/officeDocument/2006/relationships/hyperlink" Target="imagenes/NAUTICA_CLASSICS_Q626594K_BLK_3.jpg" TargetMode="External" Id="rId6123"/><Relationship Type="http://schemas.openxmlformats.org/officeDocument/2006/relationships/hyperlink" Target="imagenes/NAUTICA_CLASSICS_Q632952_BLK_2.jpg" TargetMode="External" Id="rId6124"/><Relationship Type="http://schemas.openxmlformats.org/officeDocument/2006/relationships/hyperlink" Target="imagenes/NAUTICA_CLASSICS_Q632952_BLK_3.jpg" TargetMode="External" Id="rId6125"/><Relationship Type="http://schemas.openxmlformats.org/officeDocument/2006/relationships/hyperlink" Target="imagenes/NAUTICA_CLASSICS_Q632952_CHR_1.jpg" TargetMode="External" Id="rId6126"/><Relationship Type="http://schemas.openxmlformats.org/officeDocument/2006/relationships/hyperlink" Target="imagenes/NAUTICA_CLASSICS_Q632952_CHR_2.jpg" TargetMode="External" Id="rId6127"/><Relationship Type="http://schemas.openxmlformats.org/officeDocument/2006/relationships/hyperlink" Target="imagenes/NAUTICA_CLASSICS_Q632952_CHR_3.jpg" TargetMode="External" Id="rId6128"/><Relationship Type="http://schemas.openxmlformats.org/officeDocument/2006/relationships/hyperlink" Target="imagenes/NAUTICA_CLASSICS_Q632952_CHR_1.jpg" TargetMode="External" Id="rId6129"/><Relationship Type="http://schemas.openxmlformats.org/officeDocument/2006/relationships/hyperlink" Target="imagenes/NAUTICA_CLASSICS_Q632952_CHR_2.jpg" TargetMode="External" Id="rId6130"/><Relationship Type="http://schemas.openxmlformats.org/officeDocument/2006/relationships/hyperlink" Target="imagenes/NAUTICA_CLASSICS_Q632952_CHR_3.jpg" TargetMode="External" Id="rId6131"/><Relationship Type="http://schemas.openxmlformats.org/officeDocument/2006/relationships/hyperlink" Target="imagenes/NAUTICA_CLASSICS_Q721015_NSS_1.jpg" TargetMode="External" Id="rId6132"/><Relationship Type="http://schemas.openxmlformats.org/officeDocument/2006/relationships/hyperlink" Target="imagenes/NAUTICA_CLASSICS_Q721015_NSS_2.jpg" TargetMode="External" Id="rId6133"/><Relationship Type="http://schemas.openxmlformats.org/officeDocument/2006/relationships/hyperlink" Target="imagenes/NAUTICA_CLASSICS_Q721015_NSS_3.jpg" TargetMode="External" Id="rId6134"/><Relationship Type="http://schemas.openxmlformats.org/officeDocument/2006/relationships/hyperlink" Target="imagenes/NAUTICA_CLASSICS_Q721015_NSS_1.jpg" TargetMode="External" Id="rId6135"/><Relationship Type="http://schemas.openxmlformats.org/officeDocument/2006/relationships/hyperlink" Target="imagenes/NAUTICA_CLASSICS_Q721015_NSS_2.jpg" TargetMode="External" Id="rId6136"/><Relationship Type="http://schemas.openxmlformats.org/officeDocument/2006/relationships/hyperlink" Target="imagenes/NAUTICA_CLASSICS_Q721015_NSS_3.jpg" TargetMode="External" Id="rId6137"/><Relationship Type="http://schemas.openxmlformats.org/officeDocument/2006/relationships/hyperlink" Target="imagenes/NAUTICA_CLASSICS_Q721015_SIG_1.jpg" TargetMode="External" Id="rId6138"/><Relationship Type="http://schemas.openxmlformats.org/officeDocument/2006/relationships/hyperlink" Target="imagenes/NAUTICA_CLASSICS_Q721015_SIG_2.jpg" TargetMode="External" Id="rId6139"/><Relationship Type="http://schemas.openxmlformats.org/officeDocument/2006/relationships/hyperlink" Target="imagenes/NAUTICA_CLASSICS_Q721015_SIG_3.jpg" TargetMode="External" Id="rId6140"/><Relationship Type="http://schemas.openxmlformats.org/officeDocument/2006/relationships/hyperlink" Target="imagenes/NAUTICA_CLASSICS_Q721015_SIG_1.jpg" TargetMode="External" Id="rId6141"/><Relationship Type="http://schemas.openxmlformats.org/officeDocument/2006/relationships/hyperlink" Target="imagenes/NAUTICA_CLASSICS_Q721015_SIG_2.jpg" TargetMode="External" Id="rId6142"/><Relationship Type="http://schemas.openxmlformats.org/officeDocument/2006/relationships/hyperlink" Target="imagenes/NAUTICA_CLASSICS_Q721015_SIG_3.jpg" TargetMode="External" Id="rId6143"/><Relationship Type="http://schemas.openxmlformats.org/officeDocument/2006/relationships/hyperlink" Target="imagenes/NAUTICA_CLASSICS_Q721134_NSS_1.jpg" TargetMode="External" Id="rId6144"/><Relationship Type="http://schemas.openxmlformats.org/officeDocument/2006/relationships/hyperlink" Target="imagenes/NAUTICA_CLASSICS_Q721134_NSS_2.jpg" TargetMode="External" Id="rId6145"/><Relationship Type="http://schemas.openxmlformats.org/officeDocument/2006/relationships/hyperlink" Target="imagenes/NAUTICA_CLASSICS_Q721134_NSS_3.jpg" TargetMode="External" Id="rId6146"/><Relationship Type="http://schemas.openxmlformats.org/officeDocument/2006/relationships/hyperlink" Target="imagenes/NAUTICA_CLASSICS_Q724415_NSS_1.jpg" TargetMode="External" Id="rId6147"/><Relationship Type="http://schemas.openxmlformats.org/officeDocument/2006/relationships/hyperlink" Target="imagenes/NAUTICA_CLASSICS_Q724415_NSS_2.jpg" TargetMode="External" Id="rId6148"/><Relationship Type="http://schemas.openxmlformats.org/officeDocument/2006/relationships/hyperlink" Target="imagenes/NAUTICA_CLASSICS_Q724415_NSS_3.jpg" TargetMode="External" Id="rId6149"/><Relationship Type="http://schemas.openxmlformats.org/officeDocument/2006/relationships/hyperlink" Target="imagenes/NAUTICA_CLASSICS_Q812959M_PO1_1.jpg" TargetMode="External" Id="rId6150"/><Relationship Type="http://schemas.openxmlformats.org/officeDocument/2006/relationships/hyperlink" Target="imagenes/NAUTICA_CLASSICS_Q812959M_PO1_2.jpg" TargetMode="External" Id="rId6151"/><Relationship Type="http://schemas.openxmlformats.org/officeDocument/2006/relationships/hyperlink" Target="imagenes/NAUTICA_CLASSICS_Q812959M_PO1_3.jpg" TargetMode="External" Id="rId6152"/><Relationship Type="http://schemas.openxmlformats.org/officeDocument/2006/relationships/hyperlink" Target="imagenes/NAUTICA_CLASSICS_Q821823_BLK_1.jpg" TargetMode="External" Id="rId6153"/><Relationship Type="http://schemas.openxmlformats.org/officeDocument/2006/relationships/hyperlink" Target="imagenes/NAUTICA_CLASSICS_Q821823_BLK_2.jpg" TargetMode="External" Id="rId6154"/><Relationship Type="http://schemas.openxmlformats.org/officeDocument/2006/relationships/hyperlink" Target="imagenes/NAUTICA_CLASSICS_Q821823_BLK_3.jpg" TargetMode="External" Id="rId6155"/><Relationship Type="http://schemas.openxmlformats.org/officeDocument/2006/relationships/hyperlink" Target="imagenes/NAUTICA_CLASSICS_Q821842_BLK_1.jpg" TargetMode="External" Id="rId6156"/><Relationship Type="http://schemas.openxmlformats.org/officeDocument/2006/relationships/hyperlink" Target="imagenes/NAUTICA_CLASSICS_Q821842_BLK_2.jpg" TargetMode="External" Id="rId6157"/><Relationship Type="http://schemas.openxmlformats.org/officeDocument/2006/relationships/hyperlink" Target="imagenes/NAUTICA_CLASSICS_Q821842_BLK_3.jpg" TargetMode="External" Id="rId6158"/><Relationship Type="http://schemas.openxmlformats.org/officeDocument/2006/relationships/hyperlink" Target="imagenes/NAUTICA_CLASSICS_Q821842_BLK_1.jpg" TargetMode="External" Id="rId6159"/><Relationship Type="http://schemas.openxmlformats.org/officeDocument/2006/relationships/hyperlink" Target="imagenes/NAUTICA_CLASSICS_Q821842_BLK_2.jpg" TargetMode="External" Id="rId6160"/><Relationship Type="http://schemas.openxmlformats.org/officeDocument/2006/relationships/hyperlink" Target="imagenes/NAUTICA_CLASSICS_Q821842_BLK_3.jpg" TargetMode="External" Id="rId6161"/><Relationship Type="http://schemas.openxmlformats.org/officeDocument/2006/relationships/hyperlink" Target="imagenes/NAUTICA_CLASSICS_Q821842_CM8_1.jpg" TargetMode="External" Id="rId6162"/><Relationship Type="http://schemas.openxmlformats.org/officeDocument/2006/relationships/hyperlink" Target="imagenes/NAUTICA_CLASSICS_Q821842_CM8_2.jpg" TargetMode="External" Id="rId6163"/><Relationship Type="http://schemas.openxmlformats.org/officeDocument/2006/relationships/hyperlink" Target="imagenes/NAUTICA_CLASSICS_Q821842_CM8_3.jpg" TargetMode="External" Id="rId6164"/><Relationship Type="http://schemas.openxmlformats.org/officeDocument/2006/relationships/hyperlink" Target="imagenes/NAUTICA_CLASSICS_Q821842_CM8_1.jpg" TargetMode="External" Id="rId6165"/><Relationship Type="http://schemas.openxmlformats.org/officeDocument/2006/relationships/hyperlink" Target="imagenes/NAUTICA_CLASSICS_Q821842_CM8_2.jpg" TargetMode="External" Id="rId6166"/><Relationship Type="http://schemas.openxmlformats.org/officeDocument/2006/relationships/hyperlink" Target="imagenes/NAUTICA_CLASSICS_Q821842_CM8_3.jpg" TargetMode="External" Id="rId6167"/><Relationship Type="http://schemas.openxmlformats.org/officeDocument/2006/relationships/hyperlink" Target="imagenes/NAUTICA_CLASSICS_Q821842_NSS_1.jpg" TargetMode="External" Id="rId6168"/><Relationship Type="http://schemas.openxmlformats.org/officeDocument/2006/relationships/hyperlink" Target="imagenes/NAUTICA_CLASSICS_Q821842_NSS_2.jpg" TargetMode="External" Id="rId6169"/><Relationship Type="http://schemas.openxmlformats.org/officeDocument/2006/relationships/hyperlink" Target="imagenes/NAUTICA_CLASSICS_Q821842_NSS_3.jpg" TargetMode="External" Id="rId6170"/><Relationship Type="http://schemas.openxmlformats.org/officeDocument/2006/relationships/hyperlink" Target="imagenes/NAUTICA_CLASSICS_Q822053_BLK_1.jpg" TargetMode="External" Id="rId6171"/><Relationship Type="http://schemas.openxmlformats.org/officeDocument/2006/relationships/hyperlink" Target="imagenes/NAUTICA_CLASSICS_Q822053_BLK_2.jpg" TargetMode="External" Id="rId6172"/><Relationship Type="http://schemas.openxmlformats.org/officeDocument/2006/relationships/hyperlink" Target="imagenes/NAUTICA_CLASSICS_Q822053_BLK_3.jpg" TargetMode="External" Id="rId6173"/><Relationship Type="http://schemas.openxmlformats.org/officeDocument/2006/relationships/hyperlink" Target="imagenes/NAUTICA_CLASSICS_Q822053_BLK_1.jpg" TargetMode="External" Id="rId6174"/><Relationship Type="http://schemas.openxmlformats.org/officeDocument/2006/relationships/hyperlink" Target="imagenes/NAUTICA_CLASSICS_Q822053_BLK_2.jpg" TargetMode="External" Id="rId6175"/><Relationship Type="http://schemas.openxmlformats.org/officeDocument/2006/relationships/hyperlink" Target="imagenes/NAUTICA_CLASSICS_Q822053_BLK_3.jpg" TargetMode="External" Id="rId6176"/><Relationship Type="http://schemas.openxmlformats.org/officeDocument/2006/relationships/hyperlink" Target="imagenes/NAUTICA_CLASSICS_Q822053_BLK_1.jpg" TargetMode="External" Id="rId6177"/><Relationship Type="http://schemas.openxmlformats.org/officeDocument/2006/relationships/hyperlink" Target="imagenes/NAUTICA_CLASSICS_Q822053_BLK_2.jpg" TargetMode="External" Id="rId6178"/><Relationship Type="http://schemas.openxmlformats.org/officeDocument/2006/relationships/hyperlink" Target="imagenes/NAUTICA_CLASSICS_Q822053_BLK_3.jpg" TargetMode="External" Id="rId6179"/><Relationship Type="http://schemas.openxmlformats.org/officeDocument/2006/relationships/hyperlink" Target="imagenes/NAUTICA_CLASSICS_Q822053_BLK_1.jpg" TargetMode="External" Id="rId6180"/><Relationship Type="http://schemas.openxmlformats.org/officeDocument/2006/relationships/hyperlink" Target="imagenes/NAUTICA_CLASSICS_Q822053_BLK_2.jpg" TargetMode="External" Id="rId6181"/><Relationship Type="http://schemas.openxmlformats.org/officeDocument/2006/relationships/hyperlink" Target="imagenes/NAUTICA_CLASSICS_Q822053_BLK_3.jpg" TargetMode="External" Id="rId6182"/><Relationship Type="http://schemas.openxmlformats.org/officeDocument/2006/relationships/hyperlink" Target="imagenes/NAUTICA_CLASSICS_Q822053_BLK_1.jpg" TargetMode="External" Id="rId6183"/><Relationship Type="http://schemas.openxmlformats.org/officeDocument/2006/relationships/hyperlink" Target="imagenes/NAUTICA_CLASSICS_Q822053_BLK_2.jpg" TargetMode="External" Id="rId6184"/><Relationship Type="http://schemas.openxmlformats.org/officeDocument/2006/relationships/hyperlink" Target="imagenes/NAUTICA_CLASSICS_Q822053_BLK_3.jpg" TargetMode="External" Id="rId6185"/><Relationship Type="http://schemas.openxmlformats.org/officeDocument/2006/relationships/hyperlink" Target="imagenes/NAUTICA_CLASSICS_Q822053_DPN_2.jpg" TargetMode="External" Id="rId6186"/><Relationship Type="http://schemas.openxmlformats.org/officeDocument/2006/relationships/hyperlink" Target="imagenes/NAUTICA_CLASSICS_Q822053_DPN_3.jpg" TargetMode="External" Id="rId6187"/><Relationship Type="http://schemas.openxmlformats.org/officeDocument/2006/relationships/hyperlink" Target="imagenes/NAUTICA_CLASSICS_Q822053_DPN_2.jpg" TargetMode="External" Id="rId6188"/><Relationship Type="http://schemas.openxmlformats.org/officeDocument/2006/relationships/hyperlink" Target="imagenes/NAUTICA_CLASSICS_Q822053_DPN_3.jpg" TargetMode="External" Id="rId6189"/><Relationship Type="http://schemas.openxmlformats.org/officeDocument/2006/relationships/hyperlink" Target="imagenes/NAUTICA_CLASSICS_Q822053_NSS_2.jpg" TargetMode="External" Id="rId6190"/><Relationship Type="http://schemas.openxmlformats.org/officeDocument/2006/relationships/hyperlink" Target="imagenes/NAUTICA_CLASSICS_Q822053_NSS_3.jpg" TargetMode="External" Id="rId6191"/><Relationship Type="http://schemas.openxmlformats.org/officeDocument/2006/relationships/hyperlink" Target="imagenes/NAUTICA_CLASSICS_Q822053_NVY_1.jpg" TargetMode="External" Id="rId6192"/><Relationship Type="http://schemas.openxmlformats.org/officeDocument/2006/relationships/hyperlink" Target="imagenes/NAUTICA_CLASSICS_Q822053_NVY_2.jpg" TargetMode="External" Id="rId6193"/><Relationship Type="http://schemas.openxmlformats.org/officeDocument/2006/relationships/hyperlink" Target="imagenes/NAUTICA_CLASSICS_Q822053_NVY_3.jpg" TargetMode="External" Id="rId6194"/><Relationship Type="http://schemas.openxmlformats.org/officeDocument/2006/relationships/hyperlink" Target="imagenes/NAUTICA_CLASSICS_Q822053_OLI_1.jpg" TargetMode="External" Id="rId6195"/><Relationship Type="http://schemas.openxmlformats.org/officeDocument/2006/relationships/hyperlink" Target="imagenes/NAUTICA_CLASSICS_Q822053_OLI_2.jpg" TargetMode="External" Id="rId6196"/><Relationship Type="http://schemas.openxmlformats.org/officeDocument/2006/relationships/hyperlink" Target="imagenes/NAUTICA_CLASSICS_Q822053_OLI_3.jpg" TargetMode="External" Id="rId6197"/><Relationship Type="http://schemas.openxmlformats.org/officeDocument/2006/relationships/hyperlink" Target="imagenes/NAUTICA_CLASSICS_Q822053_OLI_1.jpg" TargetMode="External" Id="rId6198"/><Relationship Type="http://schemas.openxmlformats.org/officeDocument/2006/relationships/hyperlink" Target="imagenes/NAUTICA_CLASSICS_Q822053_OLI_2.jpg" TargetMode="External" Id="rId6199"/><Relationship Type="http://schemas.openxmlformats.org/officeDocument/2006/relationships/hyperlink" Target="imagenes/NAUTICA_CLASSICS_Q822053_OLI_3.jpg" TargetMode="External" Id="rId6200"/><Relationship Type="http://schemas.openxmlformats.org/officeDocument/2006/relationships/hyperlink" Target="imagenes/NAUTICA_CLASSICS_Q822053_OLI_1.jpg" TargetMode="External" Id="rId6201"/><Relationship Type="http://schemas.openxmlformats.org/officeDocument/2006/relationships/hyperlink" Target="imagenes/NAUTICA_CLASSICS_Q822053_OLI_2.jpg" TargetMode="External" Id="rId6202"/><Relationship Type="http://schemas.openxmlformats.org/officeDocument/2006/relationships/hyperlink" Target="imagenes/NAUTICA_CLASSICS_Q822053_OLI_3.jpg" TargetMode="External" Id="rId6203"/><Relationship Type="http://schemas.openxmlformats.org/officeDocument/2006/relationships/hyperlink" Target="imagenes/NAUTICA_CLASSICS_Q822593_BLK_1.jpg" TargetMode="External" Id="rId6204"/><Relationship Type="http://schemas.openxmlformats.org/officeDocument/2006/relationships/hyperlink" Target="imagenes/NAUTICA_CLASSICS_Q822593_BLK_2.jpg" TargetMode="External" Id="rId6205"/><Relationship Type="http://schemas.openxmlformats.org/officeDocument/2006/relationships/hyperlink" Target="imagenes/NAUTICA_CLASSICS_Q822593_BLK_3.jpg" TargetMode="External" Id="rId6206"/><Relationship Type="http://schemas.openxmlformats.org/officeDocument/2006/relationships/hyperlink" Target="imagenes/NAUTICA_CLASSICS_Q822593_BLK_1.jpg" TargetMode="External" Id="rId6207"/><Relationship Type="http://schemas.openxmlformats.org/officeDocument/2006/relationships/hyperlink" Target="imagenes/NAUTICA_CLASSICS_Q822593_BLK_2.jpg" TargetMode="External" Id="rId6208"/><Relationship Type="http://schemas.openxmlformats.org/officeDocument/2006/relationships/hyperlink" Target="imagenes/NAUTICA_CLASSICS_Q822593_BLK_3.jpg" TargetMode="External" Id="rId6209"/><Relationship Type="http://schemas.openxmlformats.org/officeDocument/2006/relationships/hyperlink" Target="imagenes/NAUTICA_CLASSICS_Q822597_BLK_1.jpg" TargetMode="External" Id="rId6210"/><Relationship Type="http://schemas.openxmlformats.org/officeDocument/2006/relationships/hyperlink" Target="imagenes/NAUTICA_CLASSICS_Q822597_BLK_2.jpg" TargetMode="External" Id="rId6211"/><Relationship Type="http://schemas.openxmlformats.org/officeDocument/2006/relationships/hyperlink" Target="imagenes/NAUTICA_CLASSICS_Q822597_BLK_3.jpg" TargetMode="External" Id="rId6212"/><Relationship Type="http://schemas.openxmlformats.org/officeDocument/2006/relationships/hyperlink" Target="imagenes/NAUTICA_CLASSICS_Q822905M_VLR_1.jpg" TargetMode="External" Id="rId6213"/><Relationship Type="http://schemas.openxmlformats.org/officeDocument/2006/relationships/hyperlink" Target="imagenes/NAUTICA_CLASSICS_Q822905M_VLR_2.jpg" TargetMode="External" Id="rId6214"/><Relationship Type="http://schemas.openxmlformats.org/officeDocument/2006/relationships/hyperlink" Target="imagenes/NAUTICA_CLASSICS_Q822905M_VLR_3.jpg" TargetMode="External" Id="rId6215"/><Relationship Type="http://schemas.openxmlformats.org/officeDocument/2006/relationships/hyperlink" Target="imagenes/NAUTICA_CLASSICS_Q822924E_CHR_1.jpg" TargetMode="External" Id="rId6216"/><Relationship Type="http://schemas.openxmlformats.org/officeDocument/2006/relationships/hyperlink" Target="imagenes/NAUTICA_CLASSICS_Q822924E_CHR_2.jpg" TargetMode="External" Id="rId6217"/><Relationship Type="http://schemas.openxmlformats.org/officeDocument/2006/relationships/hyperlink" Target="imagenes/NAUTICA_CLASSICS_Q822924E_CHR_3.jpg" TargetMode="External" Id="rId6218"/><Relationship Type="http://schemas.openxmlformats.org/officeDocument/2006/relationships/hyperlink" Target="imagenes/NAUTICA_CLASSICS_Q822924E_NVY_1.jpg" TargetMode="External" Id="rId6219"/><Relationship Type="http://schemas.openxmlformats.org/officeDocument/2006/relationships/hyperlink" Target="imagenes/NAUTICA_CLASSICS_Q822924E_NVY_2.jpg" TargetMode="External" Id="rId6220"/><Relationship Type="http://schemas.openxmlformats.org/officeDocument/2006/relationships/hyperlink" Target="imagenes/NAUTICA_CLASSICS_Q822924E_NVY_3.jpg" TargetMode="External" Id="rId6221"/><Relationship Type="http://schemas.openxmlformats.org/officeDocument/2006/relationships/hyperlink" Target="imagenes/NAUTICA_CLASSICS_Q822924E_NVY_1.jpg" TargetMode="External" Id="rId6222"/><Relationship Type="http://schemas.openxmlformats.org/officeDocument/2006/relationships/hyperlink" Target="imagenes/NAUTICA_CLASSICS_Q822924E_NVY_2.jpg" TargetMode="External" Id="rId6223"/><Relationship Type="http://schemas.openxmlformats.org/officeDocument/2006/relationships/hyperlink" Target="imagenes/NAUTICA_CLASSICS_Q822924E_NVY_3.jpg" TargetMode="External" Id="rId6224"/><Relationship Type="http://schemas.openxmlformats.org/officeDocument/2006/relationships/hyperlink" Target="imagenes/NAUTICA_CLASSICS_Q822969M_CHR_1.jpg" TargetMode="External" Id="rId6225"/><Relationship Type="http://schemas.openxmlformats.org/officeDocument/2006/relationships/hyperlink" Target="imagenes/NAUTICA_CLASSICS_Q822969M_CHR_2.jpg" TargetMode="External" Id="rId6226"/><Relationship Type="http://schemas.openxmlformats.org/officeDocument/2006/relationships/hyperlink" Target="imagenes/NAUTICA_CLASSICS_Q822969M_CHR_3.jpg" TargetMode="External" Id="rId6227"/><Relationship Type="http://schemas.openxmlformats.org/officeDocument/2006/relationships/hyperlink" Target="imagenes/NAUTICA_CLASSICS_Q824416_CHR_1.jpg" TargetMode="External" Id="rId6228"/><Relationship Type="http://schemas.openxmlformats.org/officeDocument/2006/relationships/hyperlink" Target="imagenes/NAUTICA_CLASSICS_Q824416_CHR_2.jpg" TargetMode="External" Id="rId6229"/><Relationship Type="http://schemas.openxmlformats.org/officeDocument/2006/relationships/hyperlink" Target="imagenes/NAUTICA_CLASSICS_Q824416_CHR_3.jpg" TargetMode="External" Id="rId6230"/><Relationship Type="http://schemas.openxmlformats.org/officeDocument/2006/relationships/hyperlink" Target="imagenes/NAUTICA_CLASSICS_Q824416_CHR_1.jpg" TargetMode="External" Id="rId6231"/><Relationship Type="http://schemas.openxmlformats.org/officeDocument/2006/relationships/hyperlink" Target="imagenes/NAUTICA_CLASSICS_Q824416_CHR_2.jpg" TargetMode="External" Id="rId6232"/><Relationship Type="http://schemas.openxmlformats.org/officeDocument/2006/relationships/hyperlink" Target="imagenes/NAUTICA_CLASSICS_Q824416_CHR_3.jpg" TargetMode="External" Id="rId6233"/><Relationship Type="http://schemas.openxmlformats.org/officeDocument/2006/relationships/hyperlink" Target="imagenes/NAUTICA_CLASSICS_Q824416_NSS_1.jpg" TargetMode="External" Id="rId6234"/><Relationship Type="http://schemas.openxmlformats.org/officeDocument/2006/relationships/hyperlink" Target="imagenes/NAUTICA_CLASSICS_Q824416_NSS_2.jpg" TargetMode="External" Id="rId6235"/><Relationship Type="http://schemas.openxmlformats.org/officeDocument/2006/relationships/hyperlink" Target="imagenes/NAUTICA_CLASSICS_Q824416_NSS_3.jpg" TargetMode="External" Id="rId6236"/><Relationship Type="http://schemas.openxmlformats.org/officeDocument/2006/relationships/hyperlink" Target="imagenes/NAUTICA_CLASSICS_Q825005_BLK_1.jpg" TargetMode="External" Id="rId6237"/><Relationship Type="http://schemas.openxmlformats.org/officeDocument/2006/relationships/hyperlink" Target="imagenes/NAUTICA_CLASSICS_Q825005_BLK_2.jpg" TargetMode="External" Id="rId6238"/><Relationship Type="http://schemas.openxmlformats.org/officeDocument/2006/relationships/hyperlink" Target="imagenes/NAUTICA_CLASSICS_Q825005_BLK_3.jpg" TargetMode="External" Id="rId6239"/><Relationship Type="http://schemas.openxmlformats.org/officeDocument/2006/relationships/hyperlink" Target="imagenes/NAUTICA_CLASSICS_Q825005_BLK_1.jpg" TargetMode="External" Id="rId6240"/><Relationship Type="http://schemas.openxmlformats.org/officeDocument/2006/relationships/hyperlink" Target="imagenes/NAUTICA_CLASSICS_Q825005_BLK_2.jpg" TargetMode="External" Id="rId6241"/><Relationship Type="http://schemas.openxmlformats.org/officeDocument/2006/relationships/hyperlink" Target="imagenes/NAUTICA_CLASSICS_Q825005_BLK_3.jpg" TargetMode="External" Id="rId6242"/><Relationship Type="http://schemas.openxmlformats.org/officeDocument/2006/relationships/hyperlink" Target="imagenes/NAUTICA_CLASSICS_Q825005_BLK_1.jpg" TargetMode="External" Id="rId6243"/><Relationship Type="http://schemas.openxmlformats.org/officeDocument/2006/relationships/hyperlink" Target="imagenes/NAUTICA_CLASSICS_Q825005_BLK_2.jpg" TargetMode="External" Id="rId6244"/><Relationship Type="http://schemas.openxmlformats.org/officeDocument/2006/relationships/hyperlink" Target="imagenes/NAUTICA_CLASSICS_Q825005_BLK_3.jpg" TargetMode="External" Id="rId6245"/><Relationship Type="http://schemas.openxmlformats.org/officeDocument/2006/relationships/hyperlink" Target="imagenes/NAUTICA_CLASSICS_Q825005_MGR_2.jpg" TargetMode="External" Id="rId6246"/><Relationship Type="http://schemas.openxmlformats.org/officeDocument/2006/relationships/hyperlink" Target="imagenes/NAUTICA_CLASSICS_Q825005_MGR_3.jpg" TargetMode="External" Id="rId6247"/><Relationship Type="http://schemas.openxmlformats.org/officeDocument/2006/relationships/hyperlink" Target="imagenes/NAUTICA_CLASSICS_Q825005_MGR_2.jpg" TargetMode="External" Id="rId6248"/><Relationship Type="http://schemas.openxmlformats.org/officeDocument/2006/relationships/hyperlink" Target="imagenes/NAUTICA_CLASSICS_Q825005_MGR_3.jpg" TargetMode="External" Id="rId6249"/><Relationship Type="http://schemas.openxmlformats.org/officeDocument/2006/relationships/hyperlink" Target="imagenes/NAUTICA_CLASSICS_Q825005_MGR_2.jpg" TargetMode="External" Id="rId6250"/><Relationship Type="http://schemas.openxmlformats.org/officeDocument/2006/relationships/hyperlink" Target="imagenes/NAUTICA_CLASSICS_Q825005_MGR_3.jpg" TargetMode="External" Id="rId6251"/><Relationship Type="http://schemas.openxmlformats.org/officeDocument/2006/relationships/hyperlink" Target="imagenes/NAUTICA_CLASSICS_Q825096_BLK_1.jpg" TargetMode="External" Id="rId6252"/><Relationship Type="http://schemas.openxmlformats.org/officeDocument/2006/relationships/hyperlink" Target="imagenes/NAUTICA_CLASSICS_Q825096_BLK_2.jpg" TargetMode="External" Id="rId6253"/><Relationship Type="http://schemas.openxmlformats.org/officeDocument/2006/relationships/hyperlink" Target="imagenes/NAUTICA_CLASSICS_Q825096_BLK_3.jpg" TargetMode="External" Id="rId6254"/><Relationship Type="http://schemas.openxmlformats.org/officeDocument/2006/relationships/hyperlink" Target="imagenes/NAUTICA_CLASSICS_Q826550_BLK_1.jpg" TargetMode="External" Id="rId6255"/><Relationship Type="http://schemas.openxmlformats.org/officeDocument/2006/relationships/hyperlink" Target="imagenes/NAUTICA_CLASSICS_Q826550_BLK_2.jpg" TargetMode="External" Id="rId6256"/><Relationship Type="http://schemas.openxmlformats.org/officeDocument/2006/relationships/hyperlink" Target="imagenes/NAUTICA_CLASSICS_Q826550_BLK_3.jpg" TargetMode="External" Id="rId6257"/><Relationship Type="http://schemas.openxmlformats.org/officeDocument/2006/relationships/hyperlink" Target="imagenes/NAUTICA_CLASSICS_Q826566_B68_1.jpg" TargetMode="External" Id="rId6258"/><Relationship Type="http://schemas.openxmlformats.org/officeDocument/2006/relationships/hyperlink" Target="imagenes/NAUTICA_CLASSICS_Q826566_B68_2.jpg" TargetMode="External" Id="rId6259"/><Relationship Type="http://schemas.openxmlformats.org/officeDocument/2006/relationships/hyperlink" Target="imagenes/NAUTICA_CLASSICS_Q826566_B68_3.jpg" TargetMode="External" Id="rId6260"/><Relationship Type="http://schemas.openxmlformats.org/officeDocument/2006/relationships/hyperlink" Target="imagenes/NAUTICA_CLASSICS_Q829565_BLK_1.jpg" TargetMode="External" Id="rId6261"/><Relationship Type="http://schemas.openxmlformats.org/officeDocument/2006/relationships/hyperlink" Target="imagenes/NAUTICA_CLASSICS_Q829565_BLK_2.jpg" TargetMode="External" Id="rId6262"/><Relationship Type="http://schemas.openxmlformats.org/officeDocument/2006/relationships/hyperlink" Target="imagenes/NAUTICA_CLASSICS_Q829565_BLK_3.jpg" TargetMode="External" Id="rId6263"/><Relationship Type="http://schemas.openxmlformats.org/officeDocument/2006/relationships/hyperlink" Target="imagenes/NAUTICA_CLASSICS_Q831876X_BLK_1.jpg" TargetMode="External" Id="rId6264"/><Relationship Type="http://schemas.openxmlformats.org/officeDocument/2006/relationships/hyperlink" Target="imagenes/NAUTICA_CLASSICS_Q831876X_BLK_2.jpg" TargetMode="External" Id="rId6265"/><Relationship Type="http://schemas.openxmlformats.org/officeDocument/2006/relationships/hyperlink" Target="imagenes/NAUTICA_CLASSICS_Q831876X_BLK_3.jpg" TargetMode="External" Id="rId6266"/><Relationship Type="http://schemas.openxmlformats.org/officeDocument/2006/relationships/hyperlink" Target="imagenes/NAUTICA_CLASSICS_Q832945_CHR_1.jpg" TargetMode="External" Id="rId6267"/><Relationship Type="http://schemas.openxmlformats.org/officeDocument/2006/relationships/hyperlink" Target="imagenes/NAUTICA_CLASSICS_Q832945_CHR_2.jpg" TargetMode="External" Id="rId6268"/><Relationship Type="http://schemas.openxmlformats.org/officeDocument/2006/relationships/hyperlink" Target="imagenes/NAUTICA_CLASSICS_Q832945_CHR_3.jpg" TargetMode="External" Id="rId6269"/><Relationship Type="http://schemas.openxmlformats.org/officeDocument/2006/relationships/hyperlink" Target="imagenes/NAUTICA_CLASSICS_Q911212_SMA_1.jpg" TargetMode="External" Id="rId6270"/><Relationship Type="http://schemas.openxmlformats.org/officeDocument/2006/relationships/hyperlink" Target="imagenes/NAUTICA_CLASSICS_Q911212_SMA_2.jpg" TargetMode="External" Id="rId6271"/><Relationship Type="http://schemas.openxmlformats.org/officeDocument/2006/relationships/hyperlink" Target="imagenes/NAUTICA_CLASSICS_Q911212_SMA_3.jpg" TargetMode="External" Id="rId6272"/><Relationship Type="http://schemas.openxmlformats.org/officeDocument/2006/relationships/hyperlink" Target="imagenes/NAUTICA_CLASSICS_Q921033_DPN_1.jpg" TargetMode="External" Id="rId6273"/><Relationship Type="http://schemas.openxmlformats.org/officeDocument/2006/relationships/hyperlink" Target="imagenes/NAUTICA_CLASSICS_Q921033_DPN_2.jpg" TargetMode="External" Id="rId6274"/><Relationship Type="http://schemas.openxmlformats.org/officeDocument/2006/relationships/hyperlink" Target="imagenes/NAUTICA_CLASSICS_Q921033_DPN_3.jpg" TargetMode="External" Id="rId6275"/><Relationship Type="http://schemas.openxmlformats.org/officeDocument/2006/relationships/hyperlink" Target="imagenes/NAUTICA_CLASSICS_Q921033_DPN_1.jpg" TargetMode="External" Id="rId6276"/><Relationship Type="http://schemas.openxmlformats.org/officeDocument/2006/relationships/hyperlink" Target="imagenes/NAUTICA_CLASSICS_Q921033_DPN_2.jpg" TargetMode="External" Id="rId6277"/><Relationship Type="http://schemas.openxmlformats.org/officeDocument/2006/relationships/hyperlink" Target="imagenes/NAUTICA_CLASSICS_Q921033_DPN_3.jpg" TargetMode="External" Id="rId6278"/><Relationship Type="http://schemas.openxmlformats.org/officeDocument/2006/relationships/hyperlink" Target="imagenes/NAUTICA_CLASSICS_Q921033_DPN_1.jpg" TargetMode="External" Id="rId6279"/><Relationship Type="http://schemas.openxmlformats.org/officeDocument/2006/relationships/hyperlink" Target="imagenes/NAUTICA_CLASSICS_Q921033_DPN_2.jpg" TargetMode="External" Id="rId6280"/><Relationship Type="http://schemas.openxmlformats.org/officeDocument/2006/relationships/hyperlink" Target="imagenes/NAUTICA_CLASSICS_Q921033_DPN_3.jpg" TargetMode="External" Id="rId6281"/><Relationship Type="http://schemas.openxmlformats.org/officeDocument/2006/relationships/hyperlink" Target="imagenes/NAUTICA_CLASSICS_Q921033_DPN_1.jpg" TargetMode="External" Id="rId6282"/><Relationship Type="http://schemas.openxmlformats.org/officeDocument/2006/relationships/hyperlink" Target="imagenes/NAUTICA_CLASSICS_Q921033_DPN_2.jpg" TargetMode="External" Id="rId6283"/><Relationship Type="http://schemas.openxmlformats.org/officeDocument/2006/relationships/hyperlink" Target="imagenes/NAUTICA_CLASSICS_Q921033_DPN_3.jpg" TargetMode="External" Id="rId6284"/><Relationship Type="http://schemas.openxmlformats.org/officeDocument/2006/relationships/hyperlink" Target="imagenes/NAUTICA_CLASSICS_Q921033_DPN_1.jpg" TargetMode="External" Id="rId6285"/><Relationship Type="http://schemas.openxmlformats.org/officeDocument/2006/relationships/hyperlink" Target="imagenes/NAUTICA_CLASSICS_Q921033_DPN_2.jpg" TargetMode="External" Id="rId6286"/><Relationship Type="http://schemas.openxmlformats.org/officeDocument/2006/relationships/hyperlink" Target="imagenes/NAUTICA_CLASSICS_Q921033_DPN_3.jpg" TargetMode="External" Id="rId6287"/><Relationship Type="http://schemas.openxmlformats.org/officeDocument/2006/relationships/hyperlink" Target="imagenes/NAUTICA_CLASSICS_Q921033_DPN_1.jpg" TargetMode="External" Id="rId6288"/><Relationship Type="http://schemas.openxmlformats.org/officeDocument/2006/relationships/hyperlink" Target="imagenes/NAUTICA_CLASSICS_Q921033_DPN_2.jpg" TargetMode="External" Id="rId6289"/><Relationship Type="http://schemas.openxmlformats.org/officeDocument/2006/relationships/hyperlink" Target="imagenes/NAUTICA_CLASSICS_Q921033_DPN_3.jpg" TargetMode="External" Id="rId6290"/><Relationship Type="http://schemas.openxmlformats.org/officeDocument/2006/relationships/hyperlink" Target="imagenes/NAUTICA_CLASSICS_Q921074_BKB_1.jpg" TargetMode="External" Id="rId6291"/><Relationship Type="http://schemas.openxmlformats.org/officeDocument/2006/relationships/hyperlink" Target="imagenes/NAUTICA_CLASSICS_Q921074_BKB_2.jpg" TargetMode="External" Id="rId6292"/><Relationship Type="http://schemas.openxmlformats.org/officeDocument/2006/relationships/hyperlink" Target="imagenes/NAUTICA_CLASSICS_Q921074_BKB_3.jpg" TargetMode="External" Id="rId6293"/><Relationship Type="http://schemas.openxmlformats.org/officeDocument/2006/relationships/hyperlink" Target="imagenes/NAUTICA_CLASSICS_Q921074_BKB_1.jpg" TargetMode="External" Id="rId6294"/><Relationship Type="http://schemas.openxmlformats.org/officeDocument/2006/relationships/hyperlink" Target="imagenes/NAUTICA_CLASSICS_Q921074_BKB_2.jpg" TargetMode="External" Id="rId6295"/><Relationship Type="http://schemas.openxmlformats.org/officeDocument/2006/relationships/hyperlink" Target="imagenes/NAUTICA_CLASSICS_Q921074_BKB_3.jpg" TargetMode="External" Id="rId6296"/><Relationship Type="http://schemas.openxmlformats.org/officeDocument/2006/relationships/hyperlink" Target="imagenes/NAUTICA_CLASSICS_Q924402_BP7_1.jpg" TargetMode="External" Id="rId6297"/><Relationship Type="http://schemas.openxmlformats.org/officeDocument/2006/relationships/hyperlink" Target="imagenes/NAUTICA_CLASSICS_Q924402_BP7_2.jpg" TargetMode="External" Id="rId6298"/><Relationship Type="http://schemas.openxmlformats.org/officeDocument/2006/relationships/hyperlink" Target="imagenes/NAUTICA_CLASSICS_Q924402_BP7_3.jpg" TargetMode="External" Id="rId6299"/><Relationship Type="http://schemas.openxmlformats.org/officeDocument/2006/relationships/hyperlink" Target="imagenes/NAUTICA_CLASSICS_Q924402_BP7_1.jpg" TargetMode="External" Id="rId6300"/><Relationship Type="http://schemas.openxmlformats.org/officeDocument/2006/relationships/hyperlink" Target="imagenes/NAUTICA_CLASSICS_Q924402_BP7_2.jpg" TargetMode="External" Id="rId6301"/><Relationship Type="http://schemas.openxmlformats.org/officeDocument/2006/relationships/hyperlink" Target="imagenes/NAUTICA_CLASSICS_Q924402_BP7_3.jpg" TargetMode="External" Id="rId6302"/><Relationship Type="http://schemas.openxmlformats.org/officeDocument/2006/relationships/hyperlink" Target="imagenes/NAUTICA_CLASSICS_Q924402_BP7_1.jpg" TargetMode="External" Id="rId6303"/><Relationship Type="http://schemas.openxmlformats.org/officeDocument/2006/relationships/hyperlink" Target="imagenes/NAUTICA_CLASSICS_Q924402_BP7_2.jpg" TargetMode="External" Id="rId6304"/><Relationship Type="http://schemas.openxmlformats.org/officeDocument/2006/relationships/hyperlink" Target="imagenes/NAUTICA_CLASSICS_Q924402_BP7_3.jpg" TargetMode="External" Id="rId6305"/><Relationship Type="http://schemas.openxmlformats.org/officeDocument/2006/relationships/hyperlink" Target="imagenes/NAUTICA_CLASSICS_Q929537_NSS_1.jpg" TargetMode="External" Id="rId6306"/><Relationship Type="http://schemas.openxmlformats.org/officeDocument/2006/relationships/hyperlink" Target="imagenes/NAUTICA_CLASSICS_Q929537_NSS_2.jpg" TargetMode="External" Id="rId6307"/><Relationship Type="http://schemas.openxmlformats.org/officeDocument/2006/relationships/hyperlink" Target="imagenes/NAUTICA_CLASSICS_Q929537_NSS_3.jpg" TargetMode="External" Id="rId6308"/><Relationship Type="http://schemas.openxmlformats.org/officeDocument/2006/relationships/hyperlink" Target="imagenes/NAUTICA_MENS_208000554_B31_1.jpg" TargetMode="External" Id="rId6309"/><Relationship Type="http://schemas.openxmlformats.org/officeDocument/2006/relationships/hyperlink" Target="imagenes/NAUTICA_MENS_208000554_B31_2.jpg" TargetMode="External" Id="rId6310"/><Relationship Type="http://schemas.openxmlformats.org/officeDocument/2006/relationships/hyperlink" Target="imagenes/NAUTICA_MENS_208000554_B31_3.jpg" TargetMode="External" Id="rId6311"/><Relationship Type="http://schemas.openxmlformats.org/officeDocument/2006/relationships/hyperlink" Target="imagenes/NAUTICA_MENS_208000554_B31_1.jpg" TargetMode="External" Id="rId6312"/><Relationship Type="http://schemas.openxmlformats.org/officeDocument/2006/relationships/hyperlink" Target="imagenes/NAUTICA_MENS_208000554_B31_2.jpg" TargetMode="External" Id="rId6313"/><Relationship Type="http://schemas.openxmlformats.org/officeDocument/2006/relationships/hyperlink" Target="imagenes/NAUTICA_MENS_208000554_B31_3.jpg" TargetMode="External" Id="rId6314"/><Relationship Type="http://schemas.openxmlformats.org/officeDocument/2006/relationships/hyperlink" Target="imagenes/NAUTICA_MENS_208000554_B31_1.jpg" TargetMode="External" Id="rId6315"/><Relationship Type="http://schemas.openxmlformats.org/officeDocument/2006/relationships/hyperlink" Target="imagenes/NAUTICA_MENS_208000554_B31_2.jpg" TargetMode="External" Id="rId6316"/><Relationship Type="http://schemas.openxmlformats.org/officeDocument/2006/relationships/hyperlink" Target="imagenes/NAUTICA_MENS_208000554_B31_3.jpg" TargetMode="External" Id="rId6317"/><Relationship Type="http://schemas.openxmlformats.org/officeDocument/2006/relationships/hyperlink" Target="imagenes/NAUTICA_MENS_208000554_B31_1.jpg" TargetMode="External" Id="rId6318"/><Relationship Type="http://schemas.openxmlformats.org/officeDocument/2006/relationships/hyperlink" Target="imagenes/NAUTICA_MENS_208000554_B31_2.jpg" TargetMode="External" Id="rId6319"/><Relationship Type="http://schemas.openxmlformats.org/officeDocument/2006/relationships/hyperlink" Target="imagenes/NAUTICA_MENS_208000554_B31_3.jpg" TargetMode="External" Id="rId6320"/><Relationship Type="http://schemas.openxmlformats.org/officeDocument/2006/relationships/hyperlink" Target="imagenes/NAUTICA_MENS_208000554_B31_1.jpg" TargetMode="External" Id="rId6321"/><Relationship Type="http://schemas.openxmlformats.org/officeDocument/2006/relationships/hyperlink" Target="imagenes/NAUTICA_MENS_208000554_B31_2.jpg" TargetMode="External" Id="rId6322"/><Relationship Type="http://schemas.openxmlformats.org/officeDocument/2006/relationships/hyperlink" Target="imagenes/NAUTICA_MENS_208000554_B31_3.jpg" TargetMode="External" Id="rId6323"/><Relationship Type="http://schemas.openxmlformats.org/officeDocument/2006/relationships/hyperlink" Target="imagenes/NAUTICA_MENS_208000554_B31_1.jpg" TargetMode="External" Id="rId6324"/><Relationship Type="http://schemas.openxmlformats.org/officeDocument/2006/relationships/hyperlink" Target="imagenes/NAUTICA_MENS_208000554_B31_2.jpg" TargetMode="External" Id="rId6325"/><Relationship Type="http://schemas.openxmlformats.org/officeDocument/2006/relationships/hyperlink" Target="imagenes/NAUTICA_MENS_208000554_B31_3.jpg" TargetMode="External" Id="rId6326"/><Relationship Type="http://schemas.openxmlformats.org/officeDocument/2006/relationships/hyperlink" Target="imagenes/NAUTICA_MENS_208000554_B31_1.jpg" TargetMode="External" Id="rId6327"/><Relationship Type="http://schemas.openxmlformats.org/officeDocument/2006/relationships/hyperlink" Target="imagenes/NAUTICA_MENS_208000554_B31_2.jpg" TargetMode="External" Id="rId6328"/><Relationship Type="http://schemas.openxmlformats.org/officeDocument/2006/relationships/hyperlink" Target="imagenes/NAUTICA_MENS_208000554_B31_3.jpg" TargetMode="External" Id="rId6329"/><Relationship Type="http://schemas.openxmlformats.org/officeDocument/2006/relationships/hyperlink" Target="imagenes/NAUTICA_MENS_208000554_BLK_1.jpg" TargetMode="External" Id="rId6330"/><Relationship Type="http://schemas.openxmlformats.org/officeDocument/2006/relationships/hyperlink" Target="imagenes/NAUTICA_MENS_208000554_BLK_2.jpg" TargetMode="External" Id="rId6331"/><Relationship Type="http://schemas.openxmlformats.org/officeDocument/2006/relationships/hyperlink" Target="imagenes/NAUTICA_MENS_208000554_BLK_3.jpg" TargetMode="External" Id="rId6332"/><Relationship Type="http://schemas.openxmlformats.org/officeDocument/2006/relationships/hyperlink" Target="imagenes/NAUTICA_MENS_208000554_BLK_1.jpg" TargetMode="External" Id="rId6333"/><Relationship Type="http://schemas.openxmlformats.org/officeDocument/2006/relationships/hyperlink" Target="imagenes/NAUTICA_MENS_208000554_BLK_2.jpg" TargetMode="External" Id="rId6334"/><Relationship Type="http://schemas.openxmlformats.org/officeDocument/2006/relationships/hyperlink" Target="imagenes/NAUTICA_MENS_208000554_BLK_3.jpg" TargetMode="External" Id="rId6335"/><Relationship Type="http://schemas.openxmlformats.org/officeDocument/2006/relationships/hyperlink" Target="imagenes/NAUTICA_MENS_208000554_BLK_1.jpg" TargetMode="External" Id="rId6336"/><Relationship Type="http://schemas.openxmlformats.org/officeDocument/2006/relationships/hyperlink" Target="imagenes/NAUTICA_MENS_208000554_BLK_2.jpg" TargetMode="External" Id="rId6337"/><Relationship Type="http://schemas.openxmlformats.org/officeDocument/2006/relationships/hyperlink" Target="imagenes/NAUTICA_MENS_208000554_BLK_3.jpg" TargetMode="External" Id="rId6338"/><Relationship Type="http://schemas.openxmlformats.org/officeDocument/2006/relationships/hyperlink" Target="imagenes/NAUTICA_MENS_208000554_BLK_1.jpg" TargetMode="External" Id="rId6339"/><Relationship Type="http://schemas.openxmlformats.org/officeDocument/2006/relationships/hyperlink" Target="imagenes/NAUTICA_MENS_208000554_BLK_2.jpg" TargetMode="External" Id="rId6340"/><Relationship Type="http://schemas.openxmlformats.org/officeDocument/2006/relationships/hyperlink" Target="imagenes/NAUTICA_MENS_208000554_BLK_3.jpg" TargetMode="External" Id="rId6341"/><Relationship Type="http://schemas.openxmlformats.org/officeDocument/2006/relationships/hyperlink" Target="imagenes/NAUTICA_MENS_208000554_BLK_1.jpg" TargetMode="External" Id="rId6342"/><Relationship Type="http://schemas.openxmlformats.org/officeDocument/2006/relationships/hyperlink" Target="imagenes/NAUTICA_MENS_208000554_BLK_2.jpg" TargetMode="External" Id="rId6343"/><Relationship Type="http://schemas.openxmlformats.org/officeDocument/2006/relationships/hyperlink" Target="imagenes/NAUTICA_MENS_208000554_BLK_3.jpg" TargetMode="External" Id="rId6344"/><Relationship Type="http://schemas.openxmlformats.org/officeDocument/2006/relationships/hyperlink" Target="imagenes/NAUTICA_MENS_208000554_BLK_1.jpg" TargetMode="External" Id="rId6345"/><Relationship Type="http://schemas.openxmlformats.org/officeDocument/2006/relationships/hyperlink" Target="imagenes/NAUTICA_MENS_208000554_BLK_2.jpg" TargetMode="External" Id="rId6346"/><Relationship Type="http://schemas.openxmlformats.org/officeDocument/2006/relationships/hyperlink" Target="imagenes/NAUTICA_MENS_208000554_BLK_3.jpg" TargetMode="External" Id="rId6347"/><Relationship Type="http://schemas.openxmlformats.org/officeDocument/2006/relationships/hyperlink" Target="imagenes/NAUTICA_MENS_208000554_BLK_1.jpg" TargetMode="External" Id="rId6348"/><Relationship Type="http://schemas.openxmlformats.org/officeDocument/2006/relationships/hyperlink" Target="imagenes/NAUTICA_MENS_208000554_BLK_2.jpg" TargetMode="External" Id="rId6349"/><Relationship Type="http://schemas.openxmlformats.org/officeDocument/2006/relationships/hyperlink" Target="imagenes/NAUTICA_MENS_208000554_BLK_3.jpg" TargetMode="External" Id="rId6350"/><Relationship Type="http://schemas.openxmlformats.org/officeDocument/2006/relationships/hyperlink" Target="imagenes/NAUTICA_MENS_208000554_BLK_1.jpg" TargetMode="External" Id="rId6351"/><Relationship Type="http://schemas.openxmlformats.org/officeDocument/2006/relationships/hyperlink" Target="imagenes/NAUTICA_MENS_208000554_BLK_2.jpg" TargetMode="External" Id="rId6352"/><Relationship Type="http://schemas.openxmlformats.org/officeDocument/2006/relationships/hyperlink" Target="imagenes/NAUTICA_MENS_208000554_BLK_3.jpg" TargetMode="External" Id="rId6353"/><Relationship Type="http://schemas.openxmlformats.org/officeDocument/2006/relationships/hyperlink" Target="imagenes/NAUTICA_MENS_208000554_BLK_1.jpg" TargetMode="External" Id="rId6354"/><Relationship Type="http://schemas.openxmlformats.org/officeDocument/2006/relationships/hyperlink" Target="imagenes/NAUTICA_MENS_208000554_BLK_2.jpg" TargetMode="External" Id="rId6355"/><Relationship Type="http://schemas.openxmlformats.org/officeDocument/2006/relationships/hyperlink" Target="imagenes/NAUTICA_MENS_208000554_BLK_3.jpg" TargetMode="External" Id="rId6356"/><Relationship Type="http://schemas.openxmlformats.org/officeDocument/2006/relationships/hyperlink" Target="imagenes/NAUTICA_MENS_208000554_BLK_1.jpg" TargetMode="External" Id="rId6357"/><Relationship Type="http://schemas.openxmlformats.org/officeDocument/2006/relationships/hyperlink" Target="imagenes/NAUTICA_MENS_208000554_BLK_2.jpg" TargetMode="External" Id="rId6358"/><Relationship Type="http://schemas.openxmlformats.org/officeDocument/2006/relationships/hyperlink" Target="imagenes/NAUTICA_MENS_208000554_BLK_3.jpg" TargetMode="External" Id="rId6359"/><Relationship Type="http://schemas.openxmlformats.org/officeDocument/2006/relationships/hyperlink" Target="imagenes/NAUTICA_MENS_208000554_DFS_1.jpg" TargetMode="External" Id="rId6360"/><Relationship Type="http://schemas.openxmlformats.org/officeDocument/2006/relationships/hyperlink" Target="imagenes/NAUTICA_MENS_208000554_DFS_2.jpg" TargetMode="External" Id="rId6361"/><Relationship Type="http://schemas.openxmlformats.org/officeDocument/2006/relationships/hyperlink" Target="imagenes/NAUTICA_MENS_208000554_DFS_1.jpg" TargetMode="External" Id="rId6362"/><Relationship Type="http://schemas.openxmlformats.org/officeDocument/2006/relationships/hyperlink" Target="imagenes/NAUTICA_MENS_208000554_DFS_2.jpg" TargetMode="External" Id="rId6363"/><Relationship Type="http://schemas.openxmlformats.org/officeDocument/2006/relationships/hyperlink" Target="imagenes/NAUTICA_MENS_208000554_DFS_1.jpg" TargetMode="External" Id="rId6364"/><Relationship Type="http://schemas.openxmlformats.org/officeDocument/2006/relationships/hyperlink" Target="imagenes/NAUTICA_MENS_208000554_DFS_2.jpg" TargetMode="External" Id="rId6365"/><Relationship Type="http://schemas.openxmlformats.org/officeDocument/2006/relationships/hyperlink" Target="imagenes/NAUTICA_MENS_208000554_DFS_1.jpg" TargetMode="External" Id="rId6366"/><Relationship Type="http://schemas.openxmlformats.org/officeDocument/2006/relationships/hyperlink" Target="imagenes/NAUTICA_MENS_208000554_DFS_2.jpg" TargetMode="External" Id="rId6367"/><Relationship Type="http://schemas.openxmlformats.org/officeDocument/2006/relationships/hyperlink" Target="imagenes/NAUTICA_MENS_208000554_DFS_1.jpg" TargetMode="External" Id="rId6368"/><Relationship Type="http://schemas.openxmlformats.org/officeDocument/2006/relationships/hyperlink" Target="imagenes/NAUTICA_MENS_208000554_DFS_2.jpg" TargetMode="External" Id="rId6369"/><Relationship Type="http://schemas.openxmlformats.org/officeDocument/2006/relationships/hyperlink" Target="imagenes/NAUTICA_MENS_208000554_DFS_1.jpg" TargetMode="External" Id="rId6370"/><Relationship Type="http://schemas.openxmlformats.org/officeDocument/2006/relationships/hyperlink" Target="imagenes/NAUTICA_MENS_208000554_DFS_2.jpg" TargetMode="External" Id="rId6371"/><Relationship Type="http://schemas.openxmlformats.org/officeDocument/2006/relationships/hyperlink" Target="imagenes/NAUTICA_MENS_208000554_DFS_1.jpg" TargetMode="External" Id="rId6372"/><Relationship Type="http://schemas.openxmlformats.org/officeDocument/2006/relationships/hyperlink" Target="imagenes/NAUTICA_MENS_208000554_DFS_2.jpg" TargetMode="External" Id="rId6373"/><Relationship Type="http://schemas.openxmlformats.org/officeDocument/2006/relationships/hyperlink" Target="imagenes/NAUTICA_MENS_208000554_DFS_1.jpg" TargetMode="External" Id="rId6374"/><Relationship Type="http://schemas.openxmlformats.org/officeDocument/2006/relationships/hyperlink" Target="imagenes/NAUTICA_MENS_208000554_DFS_2.jpg" TargetMode="External" Id="rId6375"/><Relationship Type="http://schemas.openxmlformats.org/officeDocument/2006/relationships/hyperlink" Target="imagenes/NAUTICA_MENS_208000554_MTA_1.jpg" TargetMode="External" Id="rId6376"/><Relationship Type="http://schemas.openxmlformats.org/officeDocument/2006/relationships/hyperlink" Target="imagenes/NAUTICA_MENS_208000554_MTA_2.jpg" TargetMode="External" Id="rId6377"/><Relationship Type="http://schemas.openxmlformats.org/officeDocument/2006/relationships/hyperlink" Target="imagenes/NAUTICA_MENS_208000554_MTA_3.jpg" TargetMode="External" Id="rId6378"/><Relationship Type="http://schemas.openxmlformats.org/officeDocument/2006/relationships/hyperlink" Target="imagenes/NAUTICA_MENS_208000554_MTA_1.jpg" TargetMode="External" Id="rId6379"/><Relationship Type="http://schemas.openxmlformats.org/officeDocument/2006/relationships/hyperlink" Target="imagenes/NAUTICA_MENS_208000554_MTA_2.jpg" TargetMode="External" Id="rId6380"/><Relationship Type="http://schemas.openxmlformats.org/officeDocument/2006/relationships/hyperlink" Target="imagenes/NAUTICA_MENS_208000554_MTA_3.jpg" TargetMode="External" Id="rId6381"/><Relationship Type="http://schemas.openxmlformats.org/officeDocument/2006/relationships/hyperlink" Target="imagenes/NAUTICA_MENS_208000554_MTA_1.jpg" TargetMode="External" Id="rId6382"/><Relationship Type="http://schemas.openxmlformats.org/officeDocument/2006/relationships/hyperlink" Target="imagenes/NAUTICA_MENS_208000554_MTA_2.jpg" TargetMode="External" Id="rId6383"/><Relationship Type="http://schemas.openxmlformats.org/officeDocument/2006/relationships/hyperlink" Target="imagenes/NAUTICA_MENS_208000554_MTA_3.jpg" TargetMode="External" Id="rId6384"/><Relationship Type="http://schemas.openxmlformats.org/officeDocument/2006/relationships/hyperlink" Target="imagenes/NAUTICA_MENS_208000554_MTA_1.jpg" TargetMode="External" Id="rId6385"/><Relationship Type="http://schemas.openxmlformats.org/officeDocument/2006/relationships/hyperlink" Target="imagenes/NAUTICA_MENS_208000554_MTA_2.jpg" TargetMode="External" Id="rId6386"/><Relationship Type="http://schemas.openxmlformats.org/officeDocument/2006/relationships/hyperlink" Target="imagenes/NAUTICA_MENS_208000554_MTA_3.jpg" TargetMode="External" Id="rId6387"/><Relationship Type="http://schemas.openxmlformats.org/officeDocument/2006/relationships/hyperlink" Target="imagenes/NAUTICA_MENS_208000554_MTA_1.jpg" TargetMode="External" Id="rId6388"/><Relationship Type="http://schemas.openxmlformats.org/officeDocument/2006/relationships/hyperlink" Target="imagenes/NAUTICA_MENS_208000554_MTA_2.jpg" TargetMode="External" Id="rId6389"/><Relationship Type="http://schemas.openxmlformats.org/officeDocument/2006/relationships/hyperlink" Target="imagenes/NAUTICA_MENS_208000554_MTA_3.jpg" TargetMode="External" Id="rId6390"/><Relationship Type="http://schemas.openxmlformats.org/officeDocument/2006/relationships/hyperlink" Target="imagenes/NAUTICA_MENS_208000554_MTA_1.jpg" TargetMode="External" Id="rId6391"/><Relationship Type="http://schemas.openxmlformats.org/officeDocument/2006/relationships/hyperlink" Target="imagenes/NAUTICA_MENS_208000554_MTA_2.jpg" TargetMode="External" Id="rId6392"/><Relationship Type="http://schemas.openxmlformats.org/officeDocument/2006/relationships/hyperlink" Target="imagenes/NAUTICA_MENS_208000554_MTA_3.jpg" TargetMode="External" Id="rId6393"/><Relationship Type="http://schemas.openxmlformats.org/officeDocument/2006/relationships/hyperlink" Target="imagenes/NAUTICA_MENS_208000554_MTA_1.jpg" TargetMode="External" Id="rId6394"/><Relationship Type="http://schemas.openxmlformats.org/officeDocument/2006/relationships/hyperlink" Target="imagenes/NAUTICA_MENS_208000554_MTA_2.jpg" TargetMode="External" Id="rId6395"/><Relationship Type="http://schemas.openxmlformats.org/officeDocument/2006/relationships/hyperlink" Target="imagenes/NAUTICA_MENS_208000554_MTA_3.jpg" TargetMode="External" Id="rId6396"/><Relationship Type="http://schemas.openxmlformats.org/officeDocument/2006/relationships/hyperlink" Target="imagenes/NAUTICA_MENS_208000554_MTA_1.jpg" TargetMode="External" Id="rId6397"/><Relationship Type="http://schemas.openxmlformats.org/officeDocument/2006/relationships/hyperlink" Target="imagenes/NAUTICA_MENS_208000554_MTA_2.jpg" TargetMode="External" Id="rId6398"/><Relationship Type="http://schemas.openxmlformats.org/officeDocument/2006/relationships/hyperlink" Target="imagenes/NAUTICA_MENS_208000554_MTA_3.jpg" TargetMode="External" Id="rId6399"/><Relationship Type="http://schemas.openxmlformats.org/officeDocument/2006/relationships/hyperlink" Target="imagenes/NAUTICA_MENS_208000554_MTA_1.jpg" TargetMode="External" Id="rId6400"/><Relationship Type="http://schemas.openxmlformats.org/officeDocument/2006/relationships/hyperlink" Target="imagenes/NAUTICA_MENS_208000554_MTA_2.jpg" TargetMode="External" Id="rId6401"/><Relationship Type="http://schemas.openxmlformats.org/officeDocument/2006/relationships/hyperlink" Target="imagenes/NAUTICA_MENS_208000554_MTA_3.jpg" TargetMode="External" Id="rId6402"/><Relationship Type="http://schemas.openxmlformats.org/officeDocument/2006/relationships/hyperlink" Target="imagenes/NAUTICA_MENS_208000554_MTA_1.jpg" TargetMode="External" Id="rId6403"/><Relationship Type="http://schemas.openxmlformats.org/officeDocument/2006/relationships/hyperlink" Target="imagenes/NAUTICA_MENS_208000554_MTA_2.jpg" TargetMode="External" Id="rId6404"/><Relationship Type="http://schemas.openxmlformats.org/officeDocument/2006/relationships/hyperlink" Target="imagenes/NAUTICA_MENS_208000554_MTA_3.jpg" TargetMode="External" Id="rId6405"/><Relationship Type="http://schemas.openxmlformats.org/officeDocument/2006/relationships/hyperlink" Target="imagenes/NAUTICA_MENS_208000554_NSS_1.jpg" TargetMode="External" Id="rId6406"/><Relationship Type="http://schemas.openxmlformats.org/officeDocument/2006/relationships/hyperlink" Target="imagenes/NAUTICA_MENS_208000554_NSS_2.jpg" TargetMode="External" Id="rId6407"/><Relationship Type="http://schemas.openxmlformats.org/officeDocument/2006/relationships/hyperlink" Target="imagenes/NAUTICA_MENS_208000554_NSS_3.jpg" TargetMode="External" Id="rId6408"/><Relationship Type="http://schemas.openxmlformats.org/officeDocument/2006/relationships/hyperlink" Target="imagenes/NAUTICA_MENS_208000554_NSS_1.jpg" TargetMode="External" Id="rId6409"/><Relationship Type="http://schemas.openxmlformats.org/officeDocument/2006/relationships/hyperlink" Target="imagenes/NAUTICA_MENS_208000554_NSS_2.jpg" TargetMode="External" Id="rId6410"/><Relationship Type="http://schemas.openxmlformats.org/officeDocument/2006/relationships/hyperlink" Target="imagenes/NAUTICA_MENS_208000554_NSS_3.jpg" TargetMode="External" Id="rId6411"/><Relationship Type="http://schemas.openxmlformats.org/officeDocument/2006/relationships/hyperlink" Target="imagenes/NAUTICA_MENS_208000554_NSS_1.jpg" TargetMode="External" Id="rId6412"/><Relationship Type="http://schemas.openxmlformats.org/officeDocument/2006/relationships/hyperlink" Target="imagenes/NAUTICA_MENS_208000554_NSS_2.jpg" TargetMode="External" Id="rId6413"/><Relationship Type="http://schemas.openxmlformats.org/officeDocument/2006/relationships/hyperlink" Target="imagenes/NAUTICA_MENS_208000554_NSS_3.jpg" TargetMode="External" Id="rId6414"/><Relationship Type="http://schemas.openxmlformats.org/officeDocument/2006/relationships/hyperlink" Target="imagenes/NAUTICA_MENS_208000554_NSS_1.jpg" TargetMode="External" Id="rId6415"/><Relationship Type="http://schemas.openxmlformats.org/officeDocument/2006/relationships/hyperlink" Target="imagenes/NAUTICA_MENS_208000554_NSS_2.jpg" TargetMode="External" Id="rId6416"/><Relationship Type="http://schemas.openxmlformats.org/officeDocument/2006/relationships/hyperlink" Target="imagenes/NAUTICA_MENS_208000554_NSS_3.jpg" TargetMode="External" Id="rId6417"/><Relationship Type="http://schemas.openxmlformats.org/officeDocument/2006/relationships/hyperlink" Target="imagenes/NAUTICA_MENS_208000554_NVY_1.jpg" TargetMode="External" Id="rId6418"/><Relationship Type="http://schemas.openxmlformats.org/officeDocument/2006/relationships/hyperlink" Target="imagenes/NAUTICA_MENS_208000554_NVY_2.jpg" TargetMode="External" Id="rId6419"/><Relationship Type="http://schemas.openxmlformats.org/officeDocument/2006/relationships/hyperlink" Target="imagenes/NAUTICA_MENS_208000554_NVY_3.jpg" TargetMode="External" Id="rId6420"/><Relationship Type="http://schemas.openxmlformats.org/officeDocument/2006/relationships/hyperlink" Target="imagenes/NAUTICA_MENS_208000554_NVY_1.jpg" TargetMode="External" Id="rId6421"/><Relationship Type="http://schemas.openxmlformats.org/officeDocument/2006/relationships/hyperlink" Target="imagenes/NAUTICA_MENS_208000554_NVY_2.jpg" TargetMode="External" Id="rId6422"/><Relationship Type="http://schemas.openxmlformats.org/officeDocument/2006/relationships/hyperlink" Target="imagenes/NAUTICA_MENS_208000554_NVY_3.jpg" TargetMode="External" Id="rId6423"/><Relationship Type="http://schemas.openxmlformats.org/officeDocument/2006/relationships/hyperlink" Target="imagenes/NAUTICA_MENS_208000554_NVY_1.jpg" TargetMode="External" Id="rId6424"/><Relationship Type="http://schemas.openxmlformats.org/officeDocument/2006/relationships/hyperlink" Target="imagenes/NAUTICA_MENS_208000554_NVY_2.jpg" TargetMode="External" Id="rId6425"/><Relationship Type="http://schemas.openxmlformats.org/officeDocument/2006/relationships/hyperlink" Target="imagenes/NAUTICA_MENS_208000554_NVY_3.jpg" TargetMode="External" Id="rId6426"/><Relationship Type="http://schemas.openxmlformats.org/officeDocument/2006/relationships/hyperlink" Target="imagenes/NAUTICA_MENS_208000554_NVY_1.jpg" TargetMode="External" Id="rId6427"/><Relationship Type="http://schemas.openxmlformats.org/officeDocument/2006/relationships/hyperlink" Target="imagenes/NAUTICA_MENS_208000554_NVY_2.jpg" TargetMode="External" Id="rId6428"/><Relationship Type="http://schemas.openxmlformats.org/officeDocument/2006/relationships/hyperlink" Target="imagenes/NAUTICA_MENS_208000554_NVY_3.jpg" TargetMode="External" Id="rId6429"/><Relationship Type="http://schemas.openxmlformats.org/officeDocument/2006/relationships/hyperlink" Target="imagenes/NAUTICA_MENS_208000554_NVY_1.jpg" TargetMode="External" Id="rId6430"/><Relationship Type="http://schemas.openxmlformats.org/officeDocument/2006/relationships/hyperlink" Target="imagenes/NAUTICA_MENS_208000554_NVY_2.jpg" TargetMode="External" Id="rId6431"/><Relationship Type="http://schemas.openxmlformats.org/officeDocument/2006/relationships/hyperlink" Target="imagenes/NAUTICA_MENS_208000554_NVY_3.jpg" TargetMode="External" Id="rId6432"/><Relationship Type="http://schemas.openxmlformats.org/officeDocument/2006/relationships/hyperlink" Target="imagenes/NAUTICA_MENS_208000554_NVY_1.jpg" TargetMode="External" Id="rId6433"/><Relationship Type="http://schemas.openxmlformats.org/officeDocument/2006/relationships/hyperlink" Target="imagenes/NAUTICA_MENS_208000554_NVY_2.jpg" TargetMode="External" Id="rId6434"/><Relationship Type="http://schemas.openxmlformats.org/officeDocument/2006/relationships/hyperlink" Target="imagenes/NAUTICA_MENS_208000554_NVY_3.jpg" TargetMode="External" Id="rId6435"/><Relationship Type="http://schemas.openxmlformats.org/officeDocument/2006/relationships/hyperlink" Target="imagenes/NAUTICA_MENS_208000554_WPG_1.jpg" TargetMode="External" Id="rId6436"/><Relationship Type="http://schemas.openxmlformats.org/officeDocument/2006/relationships/hyperlink" Target="imagenes/NAUTICA_MENS_208000554_WPG_2.jpg" TargetMode="External" Id="rId6437"/><Relationship Type="http://schemas.openxmlformats.org/officeDocument/2006/relationships/hyperlink" Target="imagenes/NAUTICA_MENS_208000554_WPG_3.jpg" TargetMode="External" Id="rId6438"/><Relationship Type="http://schemas.openxmlformats.org/officeDocument/2006/relationships/hyperlink" Target="imagenes/NAUTICA_MENS_208000554_WPG_1.jpg" TargetMode="External" Id="rId6439"/><Relationship Type="http://schemas.openxmlformats.org/officeDocument/2006/relationships/hyperlink" Target="imagenes/NAUTICA_MENS_208000554_WPG_2.jpg" TargetMode="External" Id="rId6440"/><Relationship Type="http://schemas.openxmlformats.org/officeDocument/2006/relationships/hyperlink" Target="imagenes/NAUTICA_MENS_208000554_WPG_3.jpg" TargetMode="External" Id="rId6441"/><Relationship Type="http://schemas.openxmlformats.org/officeDocument/2006/relationships/hyperlink" Target="imagenes/NAUTICA_MENS_208000554_WPG_1.jpg" TargetMode="External" Id="rId6442"/><Relationship Type="http://schemas.openxmlformats.org/officeDocument/2006/relationships/hyperlink" Target="imagenes/NAUTICA_MENS_208000554_WPG_2.jpg" TargetMode="External" Id="rId6443"/><Relationship Type="http://schemas.openxmlformats.org/officeDocument/2006/relationships/hyperlink" Target="imagenes/NAUTICA_MENS_208000554_WPG_3.jpg" TargetMode="External" Id="rId6444"/><Relationship Type="http://schemas.openxmlformats.org/officeDocument/2006/relationships/hyperlink" Target="imagenes/NAUTICA_MENS_208000554_WPG_1.jpg" TargetMode="External" Id="rId6445"/><Relationship Type="http://schemas.openxmlformats.org/officeDocument/2006/relationships/hyperlink" Target="imagenes/NAUTICA_MENS_208000554_WPG_2.jpg" TargetMode="External" Id="rId6446"/><Relationship Type="http://schemas.openxmlformats.org/officeDocument/2006/relationships/hyperlink" Target="imagenes/NAUTICA_MENS_208000554_WPG_3.jpg" TargetMode="External" Id="rId6447"/><Relationship Type="http://schemas.openxmlformats.org/officeDocument/2006/relationships/hyperlink" Target="imagenes/NAUTICA_MENS_208000555_BLK_1.jpg" TargetMode="External" Id="rId6448"/><Relationship Type="http://schemas.openxmlformats.org/officeDocument/2006/relationships/hyperlink" Target="imagenes/NAUTICA_MENS_208000555_BLK_2.jpg" TargetMode="External" Id="rId6449"/><Relationship Type="http://schemas.openxmlformats.org/officeDocument/2006/relationships/hyperlink" Target="imagenes/NAUTICA_MENS_208000555_BLK_3.jpg" TargetMode="External" Id="rId6450"/><Relationship Type="http://schemas.openxmlformats.org/officeDocument/2006/relationships/hyperlink" Target="imagenes/NAUTICA_MENS_208000555_BLK_1.jpg" TargetMode="External" Id="rId6451"/><Relationship Type="http://schemas.openxmlformats.org/officeDocument/2006/relationships/hyperlink" Target="imagenes/NAUTICA_MENS_208000555_BLK_2.jpg" TargetMode="External" Id="rId6452"/><Relationship Type="http://schemas.openxmlformats.org/officeDocument/2006/relationships/hyperlink" Target="imagenes/NAUTICA_MENS_208000555_BLK_3.jpg" TargetMode="External" Id="rId6453"/><Relationship Type="http://schemas.openxmlformats.org/officeDocument/2006/relationships/hyperlink" Target="imagenes/NAUTICA_MENS_208000555_BLK_1.jpg" TargetMode="External" Id="rId6454"/><Relationship Type="http://schemas.openxmlformats.org/officeDocument/2006/relationships/hyperlink" Target="imagenes/NAUTICA_MENS_208000555_BLK_2.jpg" TargetMode="External" Id="rId6455"/><Relationship Type="http://schemas.openxmlformats.org/officeDocument/2006/relationships/hyperlink" Target="imagenes/NAUTICA_MENS_208000555_BLK_3.jpg" TargetMode="External" Id="rId6456"/><Relationship Type="http://schemas.openxmlformats.org/officeDocument/2006/relationships/hyperlink" Target="imagenes/NAUTICA_MENS_208000555_BLK_1.jpg" TargetMode="External" Id="rId6457"/><Relationship Type="http://schemas.openxmlformats.org/officeDocument/2006/relationships/hyperlink" Target="imagenes/NAUTICA_MENS_208000555_BLK_2.jpg" TargetMode="External" Id="rId6458"/><Relationship Type="http://schemas.openxmlformats.org/officeDocument/2006/relationships/hyperlink" Target="imagenes/NAUTICA_MENS_208000555_BLK_3.jpg" TargetMode="External" Id="rId6459"/><Relationship Type="http://schemas.openxmlformats.org/officeDocument/2006/relationships/hyperlink" Target="imagenes/NAUTICA_MENS_208000555_BLK_1.jpg" TargetMode="External" Id="rId6460"/><Relationship Type="http://schemas.openxmlformats.org/officeDocument/2006/relationships/hyperlink" Target="imagenes/NAUTICA_MENS_208000555_BLK_2.jpg" TargetMode="External" Id="rId6461"/><Relationship Type="http://schemas.openxmlformats.org/officeDocument/2006/relationships/hyperlink" Target="imagenes/NAUTICA_MENS_208000555_BLK_3.jpg" TargetMode="External" Id="rId6462"/><Relationship Type="http://schemas.openxmlformats.org/officeDocument/2006/relationships/hyperlink" Target="imagenes/NAUTICA_MENS_208000555_GYH_1.jpg" TargetMode="External" Id="rId6463"/><Relationship Type="http://schemas.openxmlformats.org/officeDocument/2006/relationships/hyperlink" Target="imagenes/NAUTICA_MENS_208000555_GYH_2.jpg" TargetMode="External" Id="rId6464"/><Relationship Type="http://schemas.openxmlformats.org/officeDocument/2006/relationships/hyperlink" Target="imagenes/NAUTICA_MENS_208000555_GYH_3.jpg" TargetMode="External" Id="rId6465"/><Relationship Type="http://schemas.openxmlformats.org/officeDocument/2006/relationships/hyperlink" Target="imagenes/NAUTICA_MENS_208000555_GYH_1.jpg" TargetMode="External" Id="rId6466"/><Relationship Type="http://schemas.openxmlformats.org/officeDocument/2006/relationships/hyperlink" Target="imagenes/NAUTICA_MENS_208000555_GYH_2.jpg" TargetMode="External" Id="rId6467"/><Relationship Type="http://schemas.openxmlformats.org/officeDocument/2006/relationships/hyperlink" Target="imagenes/NAUTICA_MENS_208000555_GYH_3.jpg" TargetMode="External" Id="rId6468"/><Relationship Type="http://schemas.openxmlformats.org/officeDocument/2006/relationships/hyperlink" Target="imagenes/NAUTICA_MENS_208000555_GYH_1.jpg" TargetMode="External" Id="rId6469"/><Relationship Type="http://schemas.openxmlformats.org/officeDocument/2006/relationships/hyperlink" Target="imagenes/NAUTICA_MENS_208000555_GYH_2.jpg" TargetMode="External" Id="rId6470"/><Relationship Type="http://schemas.openxmlformats.org/officeDocument/2006/relationships/hyperlink" Target="imagenes/NAUTICA_MENS_208000555_GYH_3.jpg" TargetMode="External" Id="rId6471"/><Relationship Type="http://schemas.openxmlformats.org/officeDocument/2006/relationships/hyperlink" Target="imagenes/NAUTICA_MENS_208000555_GYH_1.jpg" TargetMode="External" Id="rId6472"/><Relationship Type="http://schemas.openxmlformats.org/officeDocument/2006/relationships/hyperlink" Target="imagenes/NAUTICA_MENS_208000555_GYH_2.jpg" TargetMode="External" Id="rId6473"/><Relationship Type="http://schemas.openxmlformats.org/officeDocument/2006/relationships/hyperlink" Target="imagenes/NAUTICA_MENS_208000555_GYH_3.jpg" TargetMode="External" Id="rId6474"/><Relationship Type="http://schemas.openxmlformats.org/officeDocument/2006/relationships/hyperlink" Target="imagenes/NAUTICA_MENS_208000555_GYH_1.jpg" TargetMode="External" Id="rId6475"/><Relationship Type="http://schemas.openxmlformats.org/officeDocument/2006/relationships/hyperlink" Target="imagenes/NAUTICA_MENS_208000555_GYH_2.jpg" TargetMode="External" Id="rId6476"/><Relationship Type="http://schemas.openxmlformats.org/officeDocument/2006/relationships/hyperlink" Target="imagenes/NAUTICA_MENS_208000555_GYH_3.jpg" TargetMode="External" Id="rId6477"/><Relationship Type="http://schemas.openxmlformats.org/officeDocument/2006/relationships/hyperlink" Target="imagenes/NAUTICA_MENS_208000555_MTA_1.jpg" TargetMode="External" Id="rId6478"/><Relationship Type="http://schemas.openxmlformats.org/officeDocument/2006/relationships/hyperlink" Target="imagenes/NAUTICA_MENS_208000555_MTA_2.jpg" TargetMode="External" Id="rId6479"/><Relationship Type="http://schemas.openxmlformats.org/officeDocument/2006/relationships/hyperlink" Target="imagenes/NAUTICA_MENS_208000555_MTA_3.jpg" TargetMode="External" Id="rId6480"/><Relationship Type="http://schemas.openxmlformats.org/officeDocument/2006/relationships/hyperlink" Target="imagenes/NAUTICA_MENS_208000555_NVY_1.jpg" TargetMode="External" Id="rId6481"/><Relationship Type="http://schemas.openxmlformats.org/officeDocument/2006/relationships/hyperlink" Target="imagenes/NAUTICA_MENS_208000555_NVY_2.jpg" TargetMode="External" Id="rId6482"/><Relationship Type="http://schemas.openxmlformats.org/officeDocument/2006/relationships/hyperlink" Target="imagenes/NAUTICA_MENS_208000555_NVY_3.jpg" TargetMode="External" Id="rId6483"/><Relationship Type="http://schemas.openxmlformats.org/officeDocument/2006/relationships/hyperlink" Target="imagenes/NAUTICA_MENS_208000555_NVY_1.jpg" TargetMode="External" Id="rId6484"/><Relationship Type="http://schemas.openxmlformats.org/officeDocument/2006/relationships/hyperlink" Target="imagenes/NAUTICA_MENS_208000555_NVY_2.jpg" TargetMode="External" Id="rId6485"/><Relationship Type="http://schemas.openxmlformats.org/officeDocument/2006/relationships/hyperlink" Target="imagenes/NAUTICA_MENS_208000555_NVY_3.jpg" TargetMode="External" Id="rId6486"/><Relationship Type="http://schemas.openxmlformats.org/officeDocument/2006/relationships/hyperlink" Target="imagenes/NAUTICA_MENS_208000561_B1B_1.jpg" TargetMode="External" Id="rId6487"/><Relationship Type="http://schemas.openxmlformats.org/officeDocument/2006/relationships/hyperlink" Target="imagenes/NAUTICA_MENS_208000561_B1B_2.jpg" TargetMode="External" Id="rId6488"/><Relationship Type="http://schemas.openxmlformats.org/officeDocument/2006/relationships/hyperlink" Target="imagenes/NAUTICA_MENS_208000561_B1B_3.jpg" TargetMode="External" Id="rId6489"/><Relationship Type="http://schemas.openxmlformats.org/officeDocument/2006/relationships/hyperlink" Target="imagenes/NAUTICA_MENS_208000561_B1B_1.jpg" TargetMode="External" Id="rId6490"/><Relationship Type="http://schemas.openxmlformats.org/officeDocument/2006/relationships/hyperlink" Target="imagenes/NAUTICA_MENS_208000561_B1B_2.jpg" TargetMode="External" Id="rId6491"/><Relationship Type="http://schemas.openxmlformats.org/officeDocument/2006/relationships/hyperlink" Target="imagenes/NAUTICA_MENS_208000561_B1B_3.jpg" TargetMode="External" Id="rId6492"/><Relationship Type="http://schemas.openxmlformats.org/officeDocument/2006/relationships/hyperlink" Target="imagenes/NAUTICA_MENS_208000561_NVY_1.jpg" TargetMode="External" Id="rId6493"/><Relationship Type="http://schemas.openxmlformats.org/officeDocument/2006/relationships/hyperlink" Target="imagenes/NAUTICA_MENS_208000561_NVY_2.jpg" TargetMode="External" Id="rId6494"/><Relationship Type="http://schemas.openxmlformats.org/officeDocument/2006/relationships/hyperlink" Target="imagenes/NAUTICA_MENS_208000561_NVY_3.jpg" TargetMode="External" Id="rId6495"/><Relationship Type="http://schemas.openxmlformats.org/officeDocument/2006/relationships/hyperlink" Target="imagenes/NAUTICA_MENS_208000563_BLK_1.jpg" TargetMode="External" Id="rId6496"/><Relationship Type="http://schemas.openxmlformats.org/officeDocument/2006/relationships/hyperlink" Target="imagenes/NAUTICA_MENS_208000563_BLK_2.jpg" TargetMode="External" Id="rId6497"/><Relationship Type="http://schemas.openxmlformats.org/officeDocument/2006/relationships/hyperlink" Target="imagenes/NAUTICA_MENS_208000563_BLK_3.jpg" TargetMode="External" Id="rId6498"/><Relationship Type="http://schemas.openxmlformats.org/officeDocument/2006/relationships/hyperlink" Target="imagenes/NAUTICA_MENS_208000606_B7H_1.jpg" TargetMode="External" Id="rId6499"/><Relationship Type="http://schemas.openxmlformats.org/officeDocument/2006/relationships/hyperlink" Target="imagenes/NAUTICA_MENS_208000606_B7H_2.jpg" TargetMode="External" Id="rId6500"/><Relationship Type="http://schemas.openxmlformats.org/officeDocument/2006/relationships/hyperlink" Target="imagenes/NAUTICA_MENS_208000606_B7H_3.jpg" TargetMode="External" Id="rId6501"/><Relationship Type="http://schemas.openxmlformats.org/officeDocument/2006/relationships/hyperlink" Target="imagenes/NAUTICA_MENS_208000606_B7H_1.jpg" TargetMode="External" Id="rId6502"/><Relationship Type="http://schemas.openxmlformats.org/officeDocument/2006/relationships/hyperlink" Target="imagenes/NAUTICA_MENS_208000606_B7H_2.jpg" TargetMode="External" Id="rId6503"/><Relationship Type="http://schemas.openxmlformats.org/officeDocument/2006/relationships/hyperlink" Target="imagenes/NAUTICA_MENS_208000606_B7H_3.jpg" TargetMode="External" Id="rId6504"/><Relationship Type="http://schemas.openxmlformats.org/officeDocument/2006/relationships/hyperlink" Target="imagenes/NAUTICA_MENS_208000606_B7H_1.jpg" TargetMode="External" Id="rId6505"/><Relationship Type="http://schemas.openxmlformats.org/officeDocument/2006/relationships/hyperlink" Target="imagenes/NAUTICA_MENS_208000606_B7H_2.jpg" TargetMode="External" Id="rId6506"/><Relationship Type="http://schemas.openxmlformats.org/officeDocument/2006/relationships/hyperlink" Target="imagenes/NAUTICA_MENS_208000606_B7H_3.jpg" TargetMode="External" Id="rId6507"/><Relationship Type="http://schemas.openxmlformats.org/officeDocument/2006/relationships/hyperlink" Target="imagenes/NAUTICA_MENS_208000606_B7H_1.jpg" TargetMode="External" Id="rId6508"/><Relationship Type="http://schemas.openxmlformats.org/officeDocument/2006/relationships/hyperlink" Target="imagenes/NAUTICA_MENS_208000606_B7H_2.jpg" TargetMode="External" Id="rId6509"/><Relationship Type="http://schemas.openxmlformats.org/officeDocument/2006/relationships/hyperlink" Target="imagenes/NAUTICA_MENS_208000606_B7H_3.jpg" TargetMode="External" Id="rId6510"/><Relationship Type="http://schemas.openxmlformats.org/officeDocument/2006/relationships/hyperlink" Target="imagenes/NAUTICA_MENS_208000606_BLK_1.jpg" TargetMode="External" Id="rId6511"/><Relationship Type="http://schemas.openxmlformats.org/officeDocument/2006/relationships/hyperlink" Target="imagenes/NAUTICA_MENS_208000606_BLK_2.jpg" TargetMode="External" Id="rId6512"/><Relationship Type="http://schemas.openxmlformats.org/officeDocument/2006/relationships/hyperlink" Target="imagenes/NAUTICA_MENS_208000606_BLK_3.jpg" TargetMode="External" Id="rId6513"/><Relationship Type="http://schemas.openxmlformats.org/officeDocument/2006/relationships/hyperlink" Target="imagenes/NAUTICA_MENS_208000606_BLK_1.jpg" TargetMode="External" Id="rId6514"/><Relationship Type="http://schemas.openxmlformats.org/officeDocument/2006/relationships/hyperlink" Target="imagenes/NAUTICA_MENS_208000606_BLK_2.jpg" TargetMode="External" Id="rId6515"/><Relationship Type="http://schemas.openxmlformats.org/officeDocument/2006/relationships/hyperlink" Target="imagenes/NAUTICA_MENS_208000606_BLK_3.jpg" TargetMode="External" Id="rId6516"/><Relationship Type="http://schemas.openxmlformats.org/officeDocument/2006/relationships/hyperlink" Target="imagenes/NAUTICA_MENS_208000606_BLK_1.jpg" TargetMode="External" Id="rId6517"/><Relationship Type="http://schemas.openxmlformats.org/officeDocument/2006/relationships/hyperlink" Target="imagenes/NAUTICA_MENS_208000606_BLK_2.jpg" TargetMode="External" Id="rId6518"/><Relationship Type="http://schemas.openxmlformats.org/officeDocument/2006/relationships/hyperlink" Target="imagenes/NAUTICA_MENS_208000606_BLK_3.jpg" TargetMode="External" Id="rId6519"/><Relationship Type="http://schemas.openxmlformats.org/officeDocument/2006/relationships/hyperlink" Target="imagenes/NAUTICA_MENS_208000606_BLK_1.jpg" TargetMode="External" Id="rId6520"/><Relationship Type="http://schemas.openxmlformats.org/officeDocument/2006/relationships/hyperlink" Target="imagenes/NAUTICA_MENS_208000606_BLK_2.jpg" TargetMode="External" Id="rId6521"/><Relationship Type="http://schemas.openxmlformats.org/officeDocument/2006/relationships/hyperlink" Target="imagenes/NAUTICA_MENS_208000606_BLK_3.jpg" TargetMode="External" Id="rId6522"/><Relationship Type="http://schemas.openxmlformats.org/officeDocument/2006/relationships/hyperlink" Target="imagenes/NAUTICA_MENS_208000606_BLK_1.jpg" TargetMode="External" Id="rId6523"/><Relationship Type="http://schemas.openxmlformats.org/officeDocument/2006/relationships/hyperlink" Target="imagenes/NAUTICA_MENS_208000606_BLK_2.jpg" TargetMode="External" Id="rId6524"/><Relationship Type="http://schemas.openxmlformats.org/officeDocument/2006/relationships/hyperlink" Target="imagenes/NAUTICA_MENS_208000606_BLK_3.jpg" TargetMode="External" Id="rId6525"/><Relationship Type="http://schemas.openxmlformats.org/officeDocument/2006/relationships/hyperlink" Target="imagenes/NAUTICA_MENS_208000606_DFS_1.jpg" TargetMode="External" Id="rId6526"/><Relationship Type="http://schemas.openxmlformats.org/officeDocument/2006/relationships/hyperlink" Target="imagenes/NAUTICA_MENS_208000606_DFS_2.jpg" TargetMode="External" Id="rId6527"/><Relationship Type="http://schemas.openxmlformats.org/officeDocument/2006/relationships/hyperlink" Target="imagenes/NAUTICA_MENS_208000606_DFS_3.jpg" TargetMode="External" Id="rId6528"/><Relationship Type="http://schemas.openxmlformats.org/officeDocument/2006/relationships/hyperlink" Target="imagenes/NAUTICA_MENS_208000606_DFS_1.jpg" TargetMode="External" Id="rId6529"/><Relationship Type="http://schemas.openxmlformats.org/officeDocument/2006/relationships/hyperlink" Target="imagenes/NAUTICA_MENS_208000606_DFS_2.jpg" TargetMode="External" Id="rId6530"/><Relationship Type="http://schemas.openxmlformats.org/officeDocument/2006/relationships/hyperlink" Target="imagenes/NAUTICA_MENS_208000606_DFS_3.jpg" TargetMode="External" Id="rId6531"/><Relationship Type="http://schemas.openxmlformats.org/officeDocument/2006/relationships/hyperlink" Target="imagenes/NAUTICA_MENS_208000606_GYH_1.jpg" TargetMode="External" Id="rId6532"/><Relationship Type="http://schemas.openxmlformats.org/officeDocument/2006/relationships/hyperlink" Target="imagenes/NAUTICA_MENS_208000606_GYH_2.jpg" TargetMode="External" Id="rId6533"/><Relationship Type="http://schemas.openxmlformats.org/officeDocument/2006/relationships/hyperlink" Target="imagenes/NAUTICA_MENS_208000606_GYH_3.jpg" TargetMode="External" Id="rId6534"/><Relationship Type="http://schemas.openxmlformats.org/officeDocument/2006/relationships/hyperlink" Target="imagenes/NAUTICA_MENS_208000606_GYH_1.jpg" TargetMode="External" Id="rId6535"/><Relationship Type="http://schemas.openxmlformats.org/officeDocument/2006/relationships/hyperlink" Target="imagenes/NAUTICA_MENS_208000606_GYH_2.jpg" TargetMode="External" Id="rId6536"/><Relationship Type="http://schemas.openxmlformats.org/officeDocument/2006/relationships/hyperlink" Target="imagenes/NAUTICA_MENS_208000606_GYH_3.jpg" TargetMode="External" Id="rId6537"/><Relationship Type="http://schemas.openxmlformats.org/officeDocument/2006/relationships/hyperlink" Target="imagenes/NAUTICA_MENS_208000606_GYH_1.jpg" TargetMode="External" Id="rId6538"/><Relationship Type="http://schemas.openxmlformats.org/officeDocument/2006/relationships/hyperlink" Target="imagenes/NAUTICA_MENS_208000606_GYH_2.jpg" TargetMode="External" Id="rId6539"/><Relationship Type="http://schemas.openxmlformats.org/officeDocument/2006/relationships/hyperlink" Target="imagenes/NAUTICA_MENS_208000606_GYH_3.jpg" TargetMode="External" Id="rId6540"/><Relationship Type="http://schemas.openxmlformats.org/officeDocument/2006/relationships/hyperlink" Target="imagenes/NAUTICA_MENS_208000606_GYH_1.jpg" TargetMode="External" Id="rId6541"/><Relationship Type="http://schemas.openxmlformats.org/officeDocument/2006/relationships/hyperlink" Target="imagenes/NAUTICA_MENS_208000606_GYH_2.jpg" TargetMode="External" Id="rId6542"/><Relationship Type="http://schemas.openxmlformats.org/officeDocument/2006/relationships/hyperlink" Target="imagenes/NAUTICA_MENS_208000606_GYH_3.jpg" TargetMode="External" Id="rId6543"/><Relationship Type="http://schemas.openxmlformats.org/officeDocument/2006/relationships/hyperlink" Target="imagenes/NAUTICA_MENS_208000606_NVY_1.jpg" TargetMode="External" Id="rId6544"/><Relationship Type="http://schemas.openxmlformats.org/officeDocument/2006/relationships/hyperlink" Target="imagenes/NAUTICA_MENS_208000606_NVY_2.jpg" TargetMode="External" Id="rId6545"/><Relationship Type="http://schemas.openxmlformats.org/officeDocument/2006/relationships/hyperlink" Target="imagenes/NAUTICA_MENS_208000606_NVY_3.jpg" TargetMode="External" Id="rId6546"/><Relationship Type="http://schemas.openxmlformats.org/officeDocument/2006/relationships/hyperlink" Target="imagenes/NAUTICA_MENS_208000606_OLB_1.jpg" TargetMode="External" Id="rId6547"/><Relationship Type="http://schemas.openxmlformats.org/officeDocument/2006/relationships/hyperlink" Target="imagenes/NAUTICA_MENS_208000606_OLB_2.jpg" TargetMode="External" Id="rId6548"/><Relationship Type="http://schemas.openxmlformats.org/officeDocument/2006/relationships/hyperlink" Target="imagenes/NAUTICA_MENS_208000606_OLB_3.jpg" TargetMode="External" Id="rId6549"/><Relationship Type="http://schemas.openxmlformats.org/officeDocument/2006/relationships/hyperlink" Target="imagenes/NAUTICA_MENS_208000606_OLB_1.jpg" TargetMode="External" Id="rId6550"/><Relationship Type="http://schemas.openxmlformats.org/officeDocument/2006/relationships/hyperlink" Target="imagenes/NAUTICA_MENS_208000606_OLB_2.jpg" TargetMode="External" Id="rId6551"/><Relationship Type="http://schemas.openxmlformats.org/officeDocument/2006/relationships/hyperlink" Target="imagenes/NAUTICA_MENS_208000606_OLB_3.jpg" TargetMode="External" Id="rId6552"/><Relationship Type="http://schemas.openxmlformats.org/officeDocument/2006/relationships/hyperlink" Target="imagenes/NAUTICA_MENS_208000606_OLB_1.jpg" TargetMode="External" Id="rId6553"/><Relationship Type="http://schemas.openxmlformats.org/officeDocument/2006/relationships/hyperlink" Target="imagenes/NAUTICA_MENS_208000606_OLB_2.jpg" TargetMode="External" Id="rId6554"/><Relationship Type="http://schemas.openxmlformats.org/officeDocument/2006/relationships/hyperlink" Target="imagenes/NAUTICA_MENS_208000606_OLB_3.jpg" TargetMode="External" Id="rId6555"/><Relationship Type="http://schemas.openxmlformats.org/officeDocument/2006/relationships/hyperlink" Target="imagenes/NAUTICA_MENS_208000606_SMG_1.jpg" TargetMode="External" Id="rId6556"/><Relationship Type="http://schemas.openxmlformats.org/officeDocument/2006/relationships/hyperlink" Target="imagenes/NAUTICA_MENS_208000606_SMG_2.jpg" TargetMode="External" Id="rId6557"/><Relationship Type="http://schemas.openxmlformats.org/officeDocument/2006/relationships/hyperlink" Target="imagenes/NAUTICA_MENS_208000606_SMG_3.jpg" TargetMode="External" Id="rId6558"/><Relationship Type="http://schemas.openxmlformats.org/officeDocument/2006/relationships/hyperlink" Target="imagenes/NAUTICA_MENS_208000606_SMG_1.jpg" TargetMode="External" Id="rId6559"/><Relationship Type="http://schemas.openxmlformats.org/officeDocument/2006/relationships/hyperlink" Target="imagenes/NAUTICA_MENS_208000606_SMG_2.jpg" TargetMode="External" Id="rId6560"/><Relationship Type="http://schemas.openxmlformats.org/officeDocument/2006/relationships/hyperlink" Target="imagenes/NAUTICA_MENS_208000606_SMG_3.jpg" TargetMode="External" Id="rId6561"/><Relationship Type="http://schemas.openxmlformats.org/officeDocument/2006/relationships/hyperlink" Target="imagenes/NAUTICA_MENS_208000606_SMG_1.jpg" TargetMode="External" Id="rId6562"/><Relationship Type="http://schemas.openxmlformats.org/officeDocument/2006/relationships/hyperlink" Target="imagenes/NAUTICA_MENS_208000606_SMG_2.jpg" TargetMode="External" Id="rId6563"/><Relationship Type="http://schemas.openxmlformats.org/officeDocument/2006/relationships/hyperlink" Target="imagenes/NAUTICA_MENS_208000606_SMG_3.jpg" TargetMode="External" Id="rId6564"/><Relationship Type="http://schemas.openxmlformats.org/officeDocument/2006/relationships/hyperlink" Target="imagenes/NAUTICA_MENS_208000606_TAU_1.jpg" TargetMode="External" Id="rId6565"/><Relationship Type="http://schemas.openxmlformats.org/officeDocument/2006/relationships/hyperlink" Target="imagenes/NAUTICA_MENS_208000606_TAU_2.jpg" TargetMode="External" Id="rId6566"/><Relationship Type="http://schemas.openxmlformats.org/officeDocument/2006/relationships/hyperlink" Target="imagenes/NAUTICA_MENS_208000606_TAU_3.jpg" TargetMode="External" Id="rId6567"/><Relationship Type="http://schemas.openxmlformats.org/officeDocument/2006/relationships/hyperlink" Target="imagenes/NAUTICA_MENS_208000607_B31_1.jpg" TargetMode="External" Id="rId6568"/><Relationship Type="http://schemas.openxmlformats.org/officeDocument/2006/relationships/hyperlink" Target="imagenes/NAUTICA_MENS_208000607_B31_2.jpg" TargetMode="External" Id="rId6569"/><Relationship Type="http://schemas.openxmlformats.org/officeDocument/2006/relationships/hyperlink" Target="imagenes/NAUTICA_MENS_208000607_B31_3.jpg" TargetMode="External" Id="rId6570"/><Relationship Type="http://schemas.openxmlformats.org/officeDocument/2006/relationships/hyperlink" Target="imagenes/NAUTICA_MENS_208000607_B31_1.jpg" TargetMode="External" Id="rId6571"/><Relationship Type="http://schemas.openxmlformats.org/officeDocument/2006/relationships/hyperlink" Target="imagenes/NAUTICA_MENS_208000607_B31_2.jpg" TargetMode="External" Id="rId6572"/><Relationship Type="http://schemas.openxmlformats.org/officeDocument/2006/relationships/hyperlink" Target="imagenes/NAUTICA_MENS_208000607_B31_3.jpg" TargetMode="External" Id="rId6573"/><Relationship Type="http://schemas.openxmlformats.org/officeDocument/2006/relationships/hyperlink" Target="imagenes/NAUTICA_MENS_208000607_B31_1.jpg" TargetMode="External" Id="rId6574"/><Relationship Type="http://schemas.openxmlformats.org/officeDocument/2006/relationships/hyperlink" Target="imagenes/NAUTICA_MENS_208000607_B31_2.jpg" TargetMode="External" Id="rId6575"/><Relationship Type="http://schemas.openxmlformats.org/officeDocument/2006/relationships/hyperlink" Target="imagenes/NAUTICA_MENS_208000607_B31_3.jpg" TargetMode="External" Id="rId6576"/><Relationship Type="http://schemas.openxmlformats.org/officeDocument/2006/relationships/hyperlink" Target="imagenes/NAUTICA_MENS_208000607_B31_1.jpg" TargetMode="External" Id="rId6577"/><Relationship Type="http://schemas.openxmlformats.org/officeDocument/2006/relationships/hyperlink" Target="imagenes/NAUTICA_MENS_208000607_B31_2.jpg" TargetMode="External" Id="rId6578"/><Relationship Type="http://schemas.openxmlformats.org/officeDocument/2006/relationships/hyperlink" Target="imagenes/NAUTICA_MENS_208000607_B31_3.jpg" TargetMode="External" Id="rId6579"/><Relationship Type="http://schemas.openxmlformats.org/officeDocument/2006/relationships/hyperlink" Target="imagenes/NAUTICA_MENS_208000607_B31_1.jpg" TargetMode="External" Id="rId6580"/><Relationship Type="http://schemas.openxmlformats.org/officeDocument/2006/relationships/hyperlink" Target="imagenes/NAUTICA_MENS_208000607_B31_2.jpg" TargetMode="External" Id="rId6581"/><Relationship Type="http://schemas.openxmlformats.org/officeDocument/2006/relationships/hyperlink" Target="imagenes/NAUTICA_MENS_208000607_B31_3.jpg" TargetMode="External" Id="rId6582"/><Relationship Type="http://schemas.openxmlformats.org/officeDocument/2006/relationships/hyperlink" Target="imagenes/NAUTICA_MENS_208000607_B31_1.jpg" TargetMode="External" Id="rId6583"/><Relationship Type="http://schemas.openxmlformats.org/officeDocument/2006/relationships/hyperlink" Target="imagenes/NAUTICA_MENS_208000607_B31_2.jpg" TargetMode="External" Id="rId6584"/><Relationship Type="http://schemas.openxmlformats.org/officeDocument/2006/relationships/hyperlink" Target="imagenes/NAUTICA_MENS_208000607_B31_3.jpg" TargetMode="External" Id="rId6585"/><Relationship Type="http://schemas.openxmlformats.org/officeDocument/2006/relationships/hyperlink" Target="imagenes/NAUTICA_MENS_208000607_BLK_1.jpg" TargetMode="External" Id="rId6586"/><Relationship Type="http://schemas.openxmlformats.org/officeDocument/2006/relationships/hyperlink" Target="imagenes/NAUTICA_MENS_208000607_BLK_2.jpg" TargetMode="External" Id="rId6587"/><Relationship Type="http://schemas.openxmlformats.org/officeDocument/2006/relationships/hyperlink" Target="imagenes/NAUTICA_MENS_208000607_BLK_3.jpg" TargetMode="External" Id="rId6588"/><Relationship Type="http://schemas.openxmlformats.org/officeDocument/2006/relationships/hyperlink" Target="imagenes/NAUTICA_MENS_208000607_BLK_1.jpg" TargetMode="External" Id="rId6589"/><Relationship Type="http://schemas.openxmlformats.org/officeDocument/2006/relationships/hyperlink" Target="imagenes/NAUTICA_MENS_208000607_BLK_2.jpg" TargetMode="External" Id="rId6590"/><Relationship Type="http://schemas.openxmlformats.org/officeDocument/2006/relationships/hyperlink" Target="imagenes/NAUTICA_MENS_208000607_BLK_3.jpg" TargetMode="External" Id="rId6591"/><Relationship Type="http://schemas.openxmlformats.org/officeDocument/2006/relationships/hyperlink" Target="imagenes/NAUTICA_MENS_208000607_BLK_1.jpg" TargetMode="External" Id="rId6592"/><Relationship Type="http://schemas.openxmlformats.org/officeDocument/2006/relationships/hyperlink" Target="imagenes/NAUTICA_MENS_208000607_BLK_2.jpg" TargetMode="External" Id="rId6593"/><Relationship Type="http://schemas.openxmlformats.org/officeDocument/2006/relationships/hyperlink" Target="imagenes/NAUTICA_MENS_208000607_BLK_3.jpg" TargetMode="External" Id="rId6594"/><Relationship Type="http://schemas.openxmlformats.org/officeDocument/2006/relationships/hyperlink" Target="imagenes/NAUTICA_MENS_208000607_BLK_1.jpg" TargetMode="External" Id="rId6595"/><Relationship Type="http://schemas.openxmlformats.org/officeDocument/2006/relationships/hyperlink" Target="imagenes/NAUTICA_MENS_208000607_BLK_2.jpg" TargetMode="External" Id="rId6596"/><Relationship Type="http://schemas.openxmlformats.org/officeDocument/2006/relationships/hyperlink" Target="imagenes/NAUTICA_MENS_208000607_BLK_3.jpg" TargetMode="External" Id="rId6597"/><Relationship Type="http://schemas.openxmlformats.org/officeDocument/2006/relationships/hyperlink" Target="imagenes/NAUTICA_MENS_208000607_BLK_1.jpg" TargetMode="External" Id="rId6598"/><Relationship Type="http://schemas.openxmlformats.org/officeDocument/2006/relationships/hyperlink" Target="imagenes/NAUTICA_MENS_208000607_BLK_2.jpg" TargetMode="External" Id="rId6599"/><Relationship Type="http://schemas.openxmlformats.org/officeDocument/2006/relationships/hyperlink" Target="imagenes/NAUTICA_MENS_208000607_BLK_3.jpg" TargetMode="External" Id="rId6600"/><Relationship Type="http://schemas.openxmlformats.org/officeDocument/2006/relationships/hyperlink" Target="imagenes/NAUTICA_MENS_208000607_BLK_1.jpg" TargetMode="External" Id="rId6601"/><Relationship Type="http://schemas.openxmlformats.org/officeDocument/2006/relationships/hyperlink" Target="imagenes/NAUTICA_MENS_208000607_BLK_2.jpg" TargetMode="External" Id="rId6602"/><Relationship Type="http://schemas.openxmlformats.org/officeDocument/2006/relationships/hyperlink" Target="imagenes/NAUTICA_MENS_208000607_BLK_3.jpg" TargetMode="External" Id="rId6603"/><Relationship Type="http://schemas.openxmlformats.org/officeDocument/2006/relationships/hyperlink" Target="imagenes/NAUTICA_MENS_208000607_CLG_1.jpg" TargetMode="External" Id="rId6604"/><Relationship Type="http://schemas.openxmlformats.org/officeDocument/2006/relationships/hyperlink" Target="imagenes/NAUTICA_MENS_208000607_CLG_2.jpg" TargetMode="External" Id="rId6605"/><Relationship Type="http://schemas.openxmlformats.org/officeDocument/2006/relationships/hyperlink" Target="imagenes/NAUTICA_MENS_208000607_CLG_3.jpg" TargetMode="External" Id="rId6606"/><Relationship Type="http://schemas.openxmlformats.org/officeDocument/2006/relationships/hyperlink" Target="imagenes/NAUTICA_MENS_208000607_CLG_1.jpg" TargetMode="External" Id="rId6607"/><Relationship Type="http://schemas.openxmlformats.org/officeDocument/2006/relationships/hyperlink" Target="imagenes/NAUTICA_MENS_208000607_CLG_2.jpg" TargetMode="External" Id="rId6608"/><Relationship Type="http://schemas.openxmlformats.org/officeDocument/2006/relationships/hyperlink" Target="imagenes/NAUTICA_MENS_208000607_CLG_3.jpg" TargetMode="External" Id="rId6609"/><Relationship Type="http://schemas.openxmlformats.org/officeDocument/2006/relationships/hyperlink" Target="imagenes/NAUTICA_MENS_208000607_CLG_1.jpg" TargetMode="External" Id="rId6610"/><Relationship Type="http://schemas.openxmlformats.org/officeDocument/2006/relationships/hyperlink" Target="imagenes/NAUTICA_MENS_208000607_CLG_2.jpg" TargetMode="External" Id="rId6611"/><Relationship Type="http://schemas.openxmlformats.org/officeDocument/2006/relationships/hyperlink" Target="imagenes/NAUTICA_MENS_208000607_CLG_3.jpg" TargetMode="External" Id="rId6612"/><Relationship Type="http://schemas.openxmlformats.org/officeDocument/2006/relationships/hyperlink" Target="imagenes/NAUTICA_MENS_208000607_CLG_1.jpg" TargetMode="External" Id="rId6613"/><Relationship Type="http://schemas.openxmlformats.org/officeDocument/2006/relationships/hyperlink" Target="imagenes/NAUTICA_MENS_208000607_CLG_2.jpg" TargetMode="External" Id="rId6614"/><Relationship Type="http://schemas.openxmlformats.org/officeDocument/2006/relationships/hyperlink" Target="imagenes/NAUTICA_MENS_208000607_CLG_3.jpg" TargetMode="External" Id="rId6615"/><Relationship Type="http://schemas.openxmlformats.org/officeDocument/2006/relationships/hyperlink" Target="imagenes/NAUTICA_MENS_208000607_DDN_1.jpg" TargetMode="External" Id="rId6616"/><Relationship Type="http://schemas.openxmlformats.org/officeDocument/2006/relationships/hyperlink" Target="imagenes/NAUTICA_MENS_208000607_DDN_2.jpg" TargetMode="External" Id="rId6617"/><Relationship Type="http://schemas.openxmlformats.org/officeDocument/2006/relationships/hyperlink" Target="imagenes/NAUTICA_MENS_208000607_DDN_3.jpg" TargetMode="External" Id="rId6618"/><Relationship Type="http://schemas.openxmlformats.org/officeDocument/2006/relationships/hyperlink" Target="imagenes/NAUTICA_MENS_208000607_DDN_1.jpg" TargetMode="External" Id="rId6619"/><Relationship Type="http://schemas.openxmlformats.org/officeDocument/2006/relationships/hyperlink" Target="imagenes/NAUTICA_MENS_208000607_DDN_2.jpg" TargetMode="External" Id="rId6620"/><Relationship Type="http://schemas.openxmlformats.org/officeDocument/2006/relationships/hyperlink" Target="imagenes/NAUTICA_MENS_208000607_DDN_3.jpg" TargetMode="External" Id="rId6621"/><Relationship Type="http://schemas.openxmlformats.org/officeDocument/2006/relationships/hyperlink" Target="imagenes/NAUTICA_MENS_208000607_DDN_1.jpg" TargetMode="External" Id="rId6622"/><Relationship Type="http://schemas.openxmlformats.org/officeDocument/2006/relationships/hyperlink" Target="imagenes/NAUTICA_MENS_208000607_DDN_2.jpg" TargetMode="External" Id="rId6623"/><Relationship Type="http://schemas.openxmlformats.org/officeDocument/2006/relationships/hyperlink" Target="imagenes/NAUTICA_MENS_208000607_DDN_3.jpg" TargetMode="External" Id="rId6624"/><Relationship Type="http://schemas.openxmlformats.org/officeDocument/2006/relationships/hyperlink" Target="imagenes/NAUTICA_MENS_208000607_DDN_1.jpg" TargetMode="External" Id="rId6625"/><Relationship Type="http://schemas.openxmlformats.org/officeDocument/2006/relationships/hyperlink" Target="imagenes/NAUTICA_MENS_208000607_DDN_2.jpg" TargetMode="External" Id="rId6626"/><Relationship Type="http://schemas.openxmlformats.org/officeDocument/2006/relationships/hyperlink" Target="imagenes/NAUTICA_MENS_208000607_DDN_3.jpg" TargetMode="External" Id="rId6627"/><Relationship Type="http://schemas.openxmlformats.org/officeDocument/2006/relationships/hyperlink" Target="imagenes/NAUTICA_MENS_208000607_DDN_1.jpg" TargetMode="External" Id="rId6628"/><Relationship Type="http://schemas.openxmlformats.org/officeDocument/2006/relationships/hyperlink" Target="imagenes/NAUTICA_MENS_208000607_DDN_2.jpg" TargetMode="External" Id="rId6629"/><Relationship Type="http://schemas.openxmlformats.org/officeDocument/2006/relationships/hyperlink" Target="imagenes/NAUTICA_MENS_208000607_DDN_3.jpg" TargetMode="External" Id="rId6630"/><Relationship Type="http://schemas.openxmlformats.org/officeDocument/2006/relationships/hyperlink" Target="imagenes/NAUTICA_MENS_208000607_DDN_1.jpg" TargetMode="External" Id="rId6631"/><Relationship Type="http://schemas.openxmlformats.org/officeDocument/2006/relationships/hyperlink" Target="imagenes/NAUTICA_MENS_208000607_DDN_2.jpg" TargetMode="External" Id="rId6632"/><Relationship Type="http://schemas.openxmlformats.org/officeDocument/2006/relationships/hyperlink" Target="imagenes/NAUTICA_MENS_208000607_DDN_3.jpg" TargetMode="External" Id="rId6633"/><Relationship Type="http://schemas.openxmlformats.org/officeDocument/2006/relationships/hyperlink" Target="imagenes/NAUTICA_MENS_208000607_DDN_1.jpg" TargetMode="External" Id="rId6634"/><Relationship Type="http://schemas.openxmlformats.org/officeDocument/2006/relationships/hyperlink" Target="imagenes/NAUTICA_MENS_208000607_DDN_2.jpg" TargetMode="External" Id="rId6635"/><Relationship Type="http://schemas.openxmlformats.org/officeDocument/2006/relationships/hyperlink" Target="imagenes/NAUTICA_MENS_208000607_DDN_3.jpg" TargetMode="External" Id="rId6636"/><Relationship Type="http://schemas.openxmlformats.org/officeDocument/2006/relationships/hyperlink" Target="imagenes/NAUTICA_MENS_208000607_ERM_1.jpg" TargetMode="External" Id="rId6637"/><Relationship Type="http://schemas.openxmlformats.org/officeDocument/2006/relationships/hyperlink" Target="imagenes/NAUTICA_MENS_208000607_ERM_2.jpg" TargetMode="External" Id="rId6638"/><Relationship Type="http://schemas.openxmlformats.org/officeDocument/2006/relationships/hyperlink" Target="imagenes/NAUTICA_MENS_208000607_ERM_3.jpg" TargetMode="External" Id="rId6639"/><Relationship Type="http://schemas.openxmlformats.org/officeDocument/2006/relationships/hyperlink" Target="imagenes/NAUTICA_MENS_208000607_ERM_1.jpg" TargetMode="External" Id="rId6640"/><Relationship Type="http://schemas.openxmlformats.org/officeDocument/2006/relationships/hyperlink" Target="imagenes/NAUTICA_MENS_208000607_ERM_2.jpg" TargetMode="External" Id="rId6641"/><Relationship Type="http://schemas.openxmlformats.org/officeDocument/2006/relationships/hyperlink" Target="imagenes/NAUTICA_MENS_208000607_ERM_3.jpg" TargetMode="External" Id="rId6642"/><Relationship Type="http://schemas.openxmlformats.org/officeDocument/2006/relationships/hyperlink" Target="imagenes/NAUTICA_MENS_208000607_ERM_1.jpg" TargetMode="External" Id="rId6643"/><Relationship Type="http://schemas.openxmlformats.org/officeDocument/2006/relationships/hyperlink" Target="imagenes/NAUTICA_MENS_208000607_ERM_2.jpg" TargetMode="External" Id="rId6644"/><Relationship Type="http://schemas.openxmlformats.org/officeDocument/2006/relationships/hyperlink" Target="imagenes/NAUTICA_MENS_208000607_ERM_3.jpg" TargetMode="External" Id="rId6645"/><Relationship Type="http://schemas.openxmlformats.org/officeDocument/2006/relationships/hyperlink" Target="imagenes/NAUTICA_MENS_208000607_ERM_1.jpg" TargetMode="External" Id="rId6646"/><Relationship Type="http://schemas.openxmlformats.org/officeDocument/2006/relationships/hyperlink" Target="imagenes/NAUTICA_MENS_208000607_ERM_2.jpg" TargetMode="External" Id="rId6647"/><Relationship Type="http://schemas.openxmlformats.org/officeDocument/2006/relationships/hyperlink" Target="imagenes/NAUTICA_MENS_208000607_ERM_3.jpg" TargetMode="External" Id="rId6648"/><Relationship Type="http://schemas.openxmlformats.org/officeDocument/2006/relationships/hyperlink" Target="imagenes/NAUTICA_MENS_208000607_MTA_1.jpg" TargetMode="External" Id="rId6649"/><Relationship Type="http://schemas.openxmlformats.org/officeDocument/2006/relationships/hyperlink" Target="imagenes/NAUTICA_MENS_208000607_MTA_2.jpg" TargetMode="External" Id="rId6650"/><Relationship Type="http://schemas.openxmlformats.org/officeDocument/2006/relationships/hyperlink" Target="imagenes/NAUTICA_MENS_208000607_MTA_3.jpg" TargetMode="External" Id="rId6651"/><Relationship Type="http://schemas.openxmlformats.org/officeDocument/2006/relationships/hyperlink" Target="imagenes/NAUTICA_MENS_208000607_MTA_1.jpg" TargetMode="External" Id="rId6652"/><Relationship Type="http://schemas.openxmlformats.org/officeDocument/2006/relationships/hyperlink" Target="imagenes/NAUTICA_MENS_208000607_MTA_2.jpg" TargetMode="External" Id="rId6653"/><Relationship Type="http://schemas.openxmlformats.org/officeDocument/2006/relationships/hyperlink" Target="imagenes/NAUTICA_MENS_208000607_MTA_3.jpg" TargetMode="External" Id="rId6654"/><Relationship Type="http://schemas.openxmlformats.org/officeDocument/2006/relationships/hyperlink" Target="imagenes/NAUTICA_MENS_208000607_MTA_1.jpg" TargetMode="External" Id="rId6655"/><Relationship Type="http://schemas.openxmlformats.org/officeDocument/2006/relationships/hyperlink" Target="imagenes/NAUTICA_MENS_208000607_MTA_2.jpg" TargetMode="External" Id="rId6656"/><Relationship Type="http://schemas.openxmlformats.org/officeDocument/2006/relationships/hyperlink" Target="imagenes/NAUTICA_MENS_208000607_MTA_3.jpg" TargetMode="External" Id="rId6657"/><Relationship Type="http://schemas.openxmlformats.org/officeDocument/2006/relationships/hyperlink" Target="imagenes/NAUTICA_MENS_208000607_MTA_1.jpg" TargetMode="External" Id="rId6658"/><Relationship Type="http://schemas.openxmlformats.org/officeDocument/2006/relationships/hyperlink" Target="imagenes/NAUTICA_MENS_208000607_MTA_2.jpg" TargetMode="External" Id="rId6659"/><Relationship Type="http://schemas.openxmlformats.org/officeDocument/2006/relationships/hyperlink" Target="imagenes/NAUTICA_MENS_208000607_MTA_3.jpg" TargetMode="External" Id="rId6660"/><Relationship Type="http://schemas.openxmlformats.org/officeDocument/2006/relationships/hyperlink" Target="imagenes/NAUTICA_MENS_208000607_MTA_1.jpg" TargetMode="External" Id="rId6661"/><Relationship Type="http://schemas.openxmlformats.org/officeDocument/2006/relationships/hyperlink" Target="imagenes/NAUTICA_MENS_208000607_MTA_2.jpg" TargetMode="External" Id="rId6662"/><Relationship Type="http://schemas.openxmlformats.org/officeDocument/2006/relationships/hyperlink" Target="imagenes/NAUTICA_MENS_208000607_MTA_3.jpg" TargetMode="External" Id="rId6663"/><Relationship Type="http://schemas.openxmlformats.org/officeDocument/2006/relationships/hyperlink" Target="imagenes/NAUTICA_MENS_208000607_MTA_1.jpg" TargetMode="External" Id="rId6664"/><Relationship Type="http://schemas.openxmlformats.org/officeDocument/2006/relationships/hyperlink" Target="imagenes/NAUTICA_MENS_208000607_MTA_2.jpg" TargetMode="External" Id="rId6665"/><Relationship Type="http://schemas.openxmlformats.org/officeDocument/2006/relationships/hyperlink" Target="imagenes/NAUTICA_MENS_208000607_MTA_3.jpg" TargetMode="External" Id="rId6666"/><Relationship Type="http://schemas.openxmlformats.org/officeDocument/2006/relationships/hyperlink" Target="imagenes/NAUTICA_MENS_208000607_SMG_1.jpg" TargetMode="External" Id="rId6667"/><Relationship Type="http://schemas.openxmlformats.org/officeDocument/2006/relationships/hyperlink" Target="imagenes/NAUTICA_MENS_208000607_SMG_2.jpg" TargetMode="External" Id="rId6668"/><Relationship Type="http://schemas.openxmlformats.org/officeDocument/2006/relationships/hyperlink" Target="imagenes/NAUTICA_MENS_208000607_SMG_3.jpg" TargetMode="External" Id="rId6669"/><Relationship Type="http://schemas.openxmlformats.org/officeDocument/2006/relationships/hyperlink" Target="imagenes/NAUTICA_MENS_208000607_SMG_1.jpg" TargetMode="External" Id="rId6670"/><Relationship Type="http://schemas.openxmlformats.org/officeDocument/2006/relationships/hyperlink" Target="imagenes/NAUTICA_MENS_208000607_SMG_2.jpg" TargetMode="External" Id="rId6671"/><Relationship Type="http://schemas.openxmlformats.org/officeDocument/2006/relationships/hyperlink" Target="imagenes/NAUTICA_MENS_208000607_SMG_3.jpg" TargetMode="External" Id="rId6672"/><Relationship Type="http://schemas.openxmlformats.org/officeDocument/2006/relationships/hyperlink" Target="imagenes/NAUTICA_MENS_208000607_SMG_1.jpg" TargetMode="External" Id="rId6673"/><Relationship Type="http://schemas.openxmlformats.org/officeDocument/2006/relationships/hyperlink" Target="imagenes/NAUTICA_MENS_208000607_SMG_2.jpg" TargetMode="External" Id="rId6674"/><Relationship Type="http://schemas.openxmlformats.org/officeDocument/2006/relationships/hyperlink" Target="imagenes/NAUTICA_MENS_208000607_SMG_3.jpg" TargetMode="External" Id="rId6675"/><Relationship Type="http://schemas.openxmlformats.org/officeDocument/2006/relationships/hyperlink" Target="imagenes/NAUTICA_MENS_208000607_SMG_1.jpg" TargetMode="External" Id="rId6676"/><Relationship Type="http://schemas.openxmlformats.org/officeDocument/2006/relationships/hyperlink" Target="imagenes/NAUTICA_MENS_208000607_SMG_2.jpg" TargetMode="External" Id="rId6677"/><Relationship Type="http://schemas.openxmlformats.org/officeDocument/2006/relationships/hyperlink" Target="imagenes/NAUTICA_MENS_208000607_SMG_3.jpg" TargetMode="External" Id="rId6678"/><Relationship Type="http://schemas.openxmlformats.org/officeDocument/2006/relationships/hyperlink" Target="imagenes/NAUTICA_MENS_208000607_TAU_1.jpg" TargetMode="External" Id="rId6679"/><Relationship Type="http://schemas.openxmlformats.org/officeDocument/2006/relationships/hyperlink" Target="imagenes/NAUTICA_MENS_208000607_TAU_2.jpg" TargetMode="External" Id="rId6680"/><Relationship Type="http://schemas.openxmlformats.org/officeDocument/2006/relationships/hyperlink" Target="imagenes/NAUTICA_MENS_208000607_TAU_3.jpg" TargetMode="External" Id="rId6681"/><Relationship Type="http://schemas.openxmlformats.org/officeDocument/2006/relationships/hyperlink" Target="imagenes/NAUTICA_MENS_208000607_TAU_1.jpg" TargetMode="External" Id="rId6682"/><Relationship Type="http://schemas.openxmlformats.org/officeDocument/2006/relationships/hyperlink" Target="imagenes/NAUTICA_MENS_208000607_TAU_2.jpg" TargetMode="External" Id="rId6683"/><Relationship Type="http://schemas.openxmlformats.org/officeDocument/2006/relationships/hyperlink" Target="imagenes/NAUTICA_MENS_208000607_TAU_3.jpg" TargetMode="External" Id="rId6684"/><Relationship Type="http://schemas.openxmlformats.org/officeDocument/2006/relationships/hyperlink" Target="imagenes/NAUTICA_MENS_208000607_TAU_1.jpg" TargetMode="External" Id="rId6685"/><Relationship Type="http://schemas.openxmlformats.org/officeDocument/2006/relationships/hyperlink" Target="imagenes/NAUTICA_MENS_208000607_TAU_2.jpg" TargetMode="External" Id="rId6686"/><Relationship Type="http://schemas.openxmlformats.org/officeDocument/2006/relationships/hyperlink" Target="imagenes/NAUTICA_MENS_208000607_TAU_3.jpg" TargetMode="External" Id="rId6687"/><Relationship Type="http://schemas.openxmlformats.org/officeDocument/2006/relationships/hyperlink" Target="imagenes/NAUTICA_MENS_208000607_TAU_1.jpg" TargetMode="External" Id="rId6688"/><Relationship Type="http://schemas.openxmlformats.org/officeDocument/2006/relationships/hyperlink" Target="imagenes/NAUTICA_MENS_208000607_TAU_2.jpg" TargetMode="External" Id="rId6689"/><Relationship Type="http://schemas.openxmlformats.org/officeDocument/2006/relationships/hyperlink" Target="imagenes/NAUTICA_MENS_208000607_TAU_3.jpg" TargetMode="External" Id="rId6690"/><Relationship Type="http://schemas.openxmlformats.org/officeDocument/2006/relationships/hyperlink" Target="imagenes/NAUTICA_MENS_208000607_TAU_1.jpg" TargetMode="External" Id="rId6691"/><Relationship Type="http://schemas.openxmlformats.org/officeDocument/2006/relationships/hyperlink" Target="imagenes/NAUTICA_MENS_208000607_TAU_2.jpg" TargetMode="External" Id="rId6692"/><Relationship Type="http://schemas.openxmlformats.org/officeDocument/2006/relationships/hyperlink" Target="imagenes/NAUTICA_MENS_208000607_TAU_3.jpg" TargetMode="External" Id="rId6693"/><Relationship Type="http://schemas.openxmlformats.org/officeDocument/2006/relationships/hyperlink" Target="imagenes/NAUTICA_MENS_208000607_TAU_1.jpg" TargetMode="External" Id="rId6694"/><Relationship Type="http://schemas.openxmlformats.org/officeDocument/2006/relationships/hyperlink" Target="imagenes/NAUTICA_MENS_208000607_TAU_2.jpg" TargetMode="External" Id="rId6695"/><Relationship Type="http://schemas.openxmlformats.org/officeDocument/2006/relationships/hyperlink" Target="imagenes/NAUTICA_MENS_208000607_TAU_3.jpg" TargetMode="External" Id="rId6696"/><Relationship Type="http://schemas.openxmlformats.org/officeDocument/2006/relationships/hyperlink" Target="imagenes/NAUTICA_MENS_208000654_NSS_1.jpg" TargetMode="External" Id="rId6697"/><Relationship Type="http://schemas.openxmlformats.org/officeDocument/2006/relationships/hyperlink" Target="imagenes/NAUTICA_MENS_208000654_NSS_2.jpg" TargetMode="External" Id="rId6698"/><Relationship Type="http://schemas.openxmlformats.org/officeDocument/2006/relationships/hyperlink" Target="imagenes/NAUTICA_MENS_208000654_NSS_3.jpg" TargetMode="External" Id="rId6699"/><Relationship Type="http://schemas.openxmlformats.org/officeDocument/2006/relationships/hyperlink" Target="imagenes/NAUTICA_MENS_208000654_NSS_1.jpg" TargetMode="External" Id="rId6700"/><Relationship Type="http://schemas.openxmlformats.org/officeDocument/2006/relationships/hyperlink" Target="imagenes/NAUTICA_MENS_208000654_NSS_2.jpg" TargetMode="External" Id="rId6701"/><Relationship Type="http://schemas.openxmlformats.org/officeDocument/2006/relationships/hyperlink" Target="imagenes/NAUTICA_MENS_208000654_NSS_3.jpg" TargetMode="External" Id="rId6702"/><Relationship Type="http://schemas.openxmlformats.org/officeDocument/2006/relationships/hyperlink" Target="imagenes/NAUTICA_MENS_208000654_NSS_1.jpg" TargetMode="External" Id="rId6703"/><Relationship Type="http://schemas.openxmlformats.org/officeDocument/2006/relationships/hyperlink" Target="imagenes/NAUTICA_MENS_208000654_NSS_2.jpg" TargetMode="External" Id="rId6704"/><Relationship Type="http://schemas.openxmlformats.org/officeDocument/2006/relationships/hyperlink" Target="imagenes/NAUTICA_MENS_208000654_NSS_3.jpg" TargetMode="External" Id="rId6705"/><Relationship Type="http://schemas.openxmlformats.org/officeDocument/2006/relationships/hyperlink" Target="imagenes/NAUTICA_MENS_208000654_NSS_1.jpg" TargetMode="External" Id="rId6706"/><Relationship Type="http://schemas.openxmlformats.org/officeDocument/2006/relationships/hyperlink" Target="imagenes/NAUTICA_MENS_208000654_NSS_2.jpg" TargetMode="External" Id="rId6707"/><Relationship Type="http://schemas.openxmlformats.org/officeDocument/2006/relationships/hyperlink" Target="imagenes/NAUTICA_MENS_208000654_NSS_3.jpg" TargetMode="External" Id="rId6708"/><Relationship Type="http://schemas.openxmlformats.org/officeDocument/2006/relationships/hyperlink" Target="imagenes/NAUTICA_MENS_208000654_OLB_1.jpg" TargetMode="External" Id="rId6709"/><Relationship Type="http://schemas.openxmlformats.org/officeDocument/2006/relationships/hyperlink" Target="imagenes/NAUTICA_MENS_208000654_OLB_2.jpg" TargetMode="External" Id="rId6710"/><Relationship Type="http://schemas.openxmlformats.org/officeDocument/2006/relationships/hyperlink" Target="imagenes/NAUTICA_MENS_208000654_OLB_3.jpg" TargetMode="External" Id="rId6711"/><Relationship Type="http://schemas.openxmlformats.org/officeDocument/2006/relationships/hyperlink" Target="imagenes/NAUTICA_MENS_208000654_OLB_1.jpg" TargetMode="External" Id="rId6712"/><Relationship Type="http://schemas.openxmlformats.org/officeDocument/2006/relationships/hyperlink" Target="imagenes/NAUTICA_MENS_208000654_OLB_2.jpg" TargetMode="External" Id="rId6713"/><Relationship Type="http://schemas.openxmlformats.org/officeDocument/2006/relationships/hyperlink" Target="imagenes/NAUTICA_MENS_208000654_OLB_3.jpg" TargetMode="External" Id="rId6714"/><Relationship Type="http://schemas.openxmlformats.org/officeDocument/2006/relationships/hyperlink" Target="imagenes/NAUTICA_MENS_208000654_OLB_1.jpg" TargetMode="External" Id="rId6715"/><Relationship Type="http://schemas.openxmlformats.org/officeDocument/2006/relationships/hyperlink" Target="imagenes/NAUTICA_MENS_208000654_OLB_2.jpg" TargetMode="External" Id="rId6716"/><Relationship Type="http://schemas.openxmlformats.org/officeDocument/2006/relationships/hyperlink" Target="imagenes/NAUTICA_MENS_208000654_OLB_3.jpg" TargetMode="External" Id="rId6717"/><Relationship Type="http://schemas.openxmlformats.org/officeDocument/2006/relationships/hyperlink" Target="imagenes/NAUTICA_MENS_208000654_OLB_1.jpg" TargetMode="External" Id="rId6718"/><Relationship Type="http://schemas.openxmlformats.org/officeDocument/2006/relationships/hyperlink" Target="imagenes/NAUTICA_MENS_208000654_OLB_2.jpg" TargetMode="External" Id="rId6719"/><Relationship Type="http://schemas.openxmlformats.org/officeDocument/2006/relationships/hyperlink" Target="imagenes/NAUTICA_MENS_208000654_OLB_3.jpg" TargetMode="External" Id="rId6720"/><Relationship Type="http://schemas.openxmlformats.org/officeDocument/2006/relationships/hyperlink" Target="imagenes/NAUTICA_MENS_208000952_BLK_1.jpg" TargetMode="External" Id="rId6721"/><Relationship Type="http://schemas.openxmlformats.org/officeDocument/2006/relationships/hyperlink" Target="imagenes/NAUTICA_MENS_208000952_BLK_2.jpg" TargetMode="External" Id="rId6722"/><Relationship Type="http://schemas.openxmlformats.org/officeDocument/2006/relationships/hyperlink" Target="imagenes/NAUTICA_MENS_208000952_BLK_3.jpg" TargetMode="External" Id="rId6723"/><Relationship Type="http://schemas.openxmlformats.org/officeDocument/2006/relationships/hyperlink" Target="imagenes/NAUTICA_MENS_208000952_NVY_1.jpg" TargetMode="External" Id="rId6724"/><Relationship Type="http://schemas.openxmlformats.org/officeDocument/2006/relationships/hyperlink" Target="imagenes/NAUTICA_MENS_208000952_NVY_2.jpg" TargetMode="External" Id="rId6725"/><Relationship Type="http://schemas.openxmlformats.org/officeDocument/2006/relationships/hyperlink" Target="imagenes/NAUTICA_MENS_208000952_NVY_3.jpg" TargetMode="External" Id="rId6726"/><Relationship Type="http://schemas.openxmlformats.org/officeDocument/2006/relationships/hyperlink" Target="imagenes/NAUTICA_MENS_208000952_NVY_1.jpg" TargetMode="External" Id="rId6727"/><Relationship Type="http://schemas.openxmlformats.org/officeDocument/2006/relationships/hyperlink" Target="imagenes/NAUTICA_MENS_208000952_NVY_2.jpg" TargetMode="External" Id="rId6728"/><Relationship Type="http://schemas.openxmlformats.org/officeDocument/2006/relationships/hyperlink" Target="imagenes/NAUTICA_MENS_208000952_NVY_3.jpg" TargetMode="External" Id="rId6729"/><Relationship Type="http://schemas.openxmlformats.org/officeDocument/2006/relationships/hyperlink" Target="imagenes/NAUTICA_MENS_208000953_BLK_1.jpg" TargetMode="External" Id="rId6730"/><Relationship Type="http://schemas.openxmlformats.org/officeDocument/2006/relationships/hyperlink" Target="imagenes/NAUTICA_MENS_208000953_BLK_2.jpg" TargetMode="External" Id="rId6731"/><Relationship Type="http://schemas.openxmlformats.org/officeDocument/2006/relationships/hyperlink" Target="imagenes/NAUTICA_MENS_208000953_BLK_3.jpg" TargetMode="External" Id="rId6732"/><Relationship Type="http://schemas.openxmlformats.org/officeDocument/2006/relationships/hyperlink" Target="imagenes/NAUTICA_MENS_208001051_BLK_1.jpg" TargetMode="External" Id="rId6733"/><Relationship Type="http://schemas.openxmlformats.org/officeDocument/2006/relationships/hyperlink" Target="imagenes/NAUTICA_MENS_208001051_BLK_2.jpg" TargetMode="External" Id="rId6734"/><Relationship Type="http://schemas.openxmlformats.org/officeDocument/2006/relationships/hyperlink" Target="imagenes/NAUTICA_MENS_208001051_BLK_3.jpg" TargetMode="External" Id="rId6735"/><Relationship Type="http://schemas.openxmlformats.org/officeDocument/2006/relationships/hyperlink" Target="imagenes/NAUTICA_MENS_208001051_BLK_1.jpg" TargetMode="External" Id="rId6736"/><Relationship Type="http://schemas.openxmlformats.org/officeDocument/2006/relationships/hyperlink" Target="imagenes/NAUTICA_MENS_208001051_BLK_2.jpg" TargetMode="External" Id="rId6737"/><Relationship Type="http://schemas.openxmlformats.org/officeDocument/2006/relationships/hyperlink" Target="imagenes/NAUTICA_MENS_208001051_BLK_3.jpg" TargetMode="External" Id="rId6738"/><Relationship Type="http://schemas.openxmlformats.org/officeDocument/2006/relationships/hyperlink" Target="imagenes/NAUTICA_MENS_208001051_NVY_1.jpg" TargetMode="External" Id="rId6739"/><Relationship Type="http://schemas.openxmlformats.org/officeDocument/2006/relationships/hyperlink" Target="imagenes/NAUTICA_MENS_208001051_NVY_2.jpg" TargetMode="External" Id="rId6740"/><Relationship Type="http://schemas.openxmlformats.org/officeDocument/2006/relationships/hyperlink" Target="imagenes/NAUTICA_MENS_208001051_NVY_3.jpg" TargetMode="External" Id="rId6741"/><Relationship Type="http://schemas.openxmlformats.org/officeDocument/2006/relationships/hyperlink" Target="imagenes/NAUTICA_MENS_208001051_NVY_1.jpg" TargetMode="External" Id="rId6742"/><Relationship Type="http://schemas.openxmlformats.org/officeDocument/2006/relationships/hyperlink" Target="imagenes/NAUTICA_MENS_208001051_NVY_2.jpg" TargetMode="External" Id="rId6743"/><Relationship Type="http://schemas.openxmlformats.org/officeDocument/2006/relationships/hyperlink" Target="imagenes/NAUTICA_MENS_208001051_NVY_3.jpg" TargetMode="External" Id="rId6744"/><Relationship Type="http://schemas.openxmlformats.org/officeDocument/2006/relationships/hyperlink" Target="imagenes/NAUTICA_MENS_208001052_B1B_1.jpg" TargetMode="External" Id="rId6745"/><Relationship Type="http://schemas.openxmlformats.org/officeDocument/2006/relationships/hyperlink" Target="imagenes/NAUTICA_MENS_208001052_B1B_2.jpg" TargetMode="External" Id="rId6746"/><Relationship Type="http://schemas.openxmlformats.org/officeDocument/2006/relationships/hyperlink" Target="imagenes/NAUTICA_MENS_208001052_B1B_3.jpg" TargetMode="External" Id="rId6747"/><Relationship Type="http://schemas.openxmlformats.org/officeDocument/2006/relationships/hyperlink" Target="imagenes/NAUTICA_MENS_208001052_B1B_1.jpg" TargetMode="External" Id="rId6748"/><Relationship Type="http://schemas.openxmlformats.org/officeDocument/2006/relationships/hyperlink" Target="imagenes/NAUTICA_MENS_208001052_B1B_2.jpg" TargetMode="External" Id="rId6749"/><Relationship Type="http://schemas.openxmlformats.org/officeDocument/2006/relationships/hyperlink" Target="imagenes/NAUTICA_MENS_208001052_B1B_3.jpg" TargetMode="External" Id="rId6750"/><Relationship Type="http://schemas.openxmlformats.org/officeDocument/2006/relationships/hyperlink" Target="imagenes/NAUTICA_MENS_208001052_BLK_2.jpg" TargetMode="External" Id="rId6751"/><Relationship Type="http://schemas.openxmlformats.org/officeDocument/2006/relationships/hyperlink" Target="imagenes/NAUTICA_MENS_208001052_BLK_3.jpg" TargetMode="External" Id="rId6752"/><Relationship Type="http://schemas.openxmlformats.org/officeDocument/2006/relationships/hyperlink" Target="imagenes/NAUTICA_MENS_208001052_NVY_1.jpg" TargetMode="External" Id="rId6753"/><Relationship Type="http://schemas.openxmlformats.org/officeDocument/2006/relationships/hyperlink" Target="imagenes/NAUTICA_MENS_208001052_NVY_2.jpg" TargetMode="External" Id="rId6754"/><Relationship Type="http://schemas.openxmlformats.org/officeDocument/2006/relationships/hyperlink" Target="imagenes/NAUTICA_MENS_208001052_NVY_3.jpg" TargetMode="External" Id="rId6755"/><Relationship Type="http://schemas.openxmlformats.org/officeDocument/2006/relationships/hyperlink" Target="imagenes/NAUTICA_MENS_208001200_BLK_1.jpg" TargetMode="External" Id="rId6756"/><Relationship Type="http://schemas.openxmlformats.org/officeDocument/2006/relationships/hyperlink" Target="imagenes/NAUTICA_MENS_208001200_BLK_2.jpg" TargetMode="External" Id="rId6757"/><Relationship Type="http://schemas.openxmlformats.org/officeDocument/2006/relationships/hyperlink" Target="imagenes/NAUTICA_MENS_208001200_BLK_3.jpg" TargetMode="External" Id="rId6758"/><Relationship Type="http://schemas.openxmlformats.org/officeDocument/2006/relationships/hyperlink" Target="imagenes/NAUTICA_MENS_208001201_BLK_1.jpg" TargetMode="External" Id="rId6759"/><Relationship Type="http://schemas.openxmlformats.org/officeDocument/2006/relationships/hyperlink" Target="imagenes/NAUTICA_MENS_208001201_BLK_2.jpg" TargetMode="External" Id="rId6760"/><Relationship Type="http://schemas.openxmlformats.org/officeDocument/2006/relationships/hyperlink" Target="imagenes/NAUTICA_MENS_208001201_BLK_3.jpg" TargetMode="External" Id="rId6761"/><Relationship Type="http://schemas.openxmlformats.org/officeDocument/2006/relationships/hyperlink" Target="imagenes/NAUTICA_MENS_208001201_BLK_1.jpg" TargetMode="External" Id="rId6762"/><Relationship Type="http://schemas.openxmlformats.org/officeDocument/2006/relationships/hyperlink" Target="imagenes/NAUTICA_MENS_208001201_BLK_2.jpg" TargetMode="External" Id="rId6763"/><Relationship Type="http://schemas.openxmlformats.org/officeDocument/2006/relationships/hyperlink" Target="imagenes/NAUTICA_MENS_208001201_BLK_3.jpg" TargetMode="External" Id="rId6764"/><Relationship Type="http://schemas.openxmlformats.org/officeDocument/2006/relationships/hyperlink" Target="imagenes/NAUTICA_MENS_208001201_BLK_1.jpg" TargetMode="External" Id="rId6765"/><Relationship Type="http://schemas.openxmlformats.org/officeDocument/2006/relationships/hyperlink" Target="imagenes/NAUTICA_MENS_208001201_BLK_2.jpg" TargetMode="External" Id="rId6766"/><Relationship Type="http://schemas.openxmlformats.org/officeDocument/2006/relationships/hyperlink" Target="imagenes/NAUTICA_MENS_208001201_BLK_3.jpg" TargetMode="External" Id="rId6767"/><Relationship Type="http://schemas.openxmlformats.org/officeDocument/2006/relationships/hyperlink" Target="imagenes/NAUTICA_MENS_208001201_BLK_1.jpg" TargetMode="External" Id="rId6768"/><Relationship Type="http://schemas.openxmlformats.org/officeDocument/2006/relationships/hyperlink" Target="imagenes/NAUTICA_MENS_208001201_BLK_2.jpg" TargetMode="External" Id="rId6769"/><Relationship Type="http://schemas.openxmlformats.org/officeDocument/2006/relationships/hyperlink" Target="imagenes/NAUTICA_MENS_208001201_BLK_3.jpg" TargetMode="External" Id="rId6770"/><Relationship Type="http://schemas.openxmlformats.org/officeDocument/2006/relationships/hyperlink" Target="imagenes/NAUTICA_MENS_208001201_NVY_1.jpg" TargetMode="External" Id="rId6771"/><Relationship Type="http://schemas.openxmlformats.org/officeDocument/2006/relationships/hyperlink" Target="imagenes/NAUTICA_MENS_208001201_NVY_2.jpg" TargetMode="External" Id="rId6772"/><Relationship Type="http://schemas.openxmlformats.org/officeDocument/2006/relationships/hyperlink" Target="imagenes/NAUTICA_MENS_208001201_NVY_3.jpg" TargetMode="External" Id="rId6773"/><Relationship Type="http://schemas.openxmlformats.org/officeDocument/2006/relationships/hyperlink" Target="imagenes/NAUTICA_MENS_208001201_NVY_1.jpg" TargetMode="External" Id="rId6774"/><Relationship Type="http://schemas.openxmlformats.org/officeDocument/2006/relationships/hyperlink" Target="imagenes/NAUTICA_MENS_208001201_NVY_2.jpg" TargetMode="External" Id="rId6775"/><Relationship Type="http://schemas.openxmlformats.org/officeDocument/2006/relationships/hyperlink" Target="imagenes/NAUTICA_MENS_208001201_NVY_3.jpg" TargetMode="External" Id="rId6776"/><Relationship Type="http://schemas.openxmlformats.org/officeDocument/2006/relationships/hyperlink" Target="imagenes/NAUTICA_MENS_208001201_NVY_1.jpg" TargetMode="External" Id="rId6777"/><Relationship Type="http://schemas.openxmlformats.org/officeDocument/2006/relationships/hyperlink" Target="imagenes/NAUTICA_MENS_208001201_NVY_2.jpg" TargetMode="External" Id="rId6778"/><Relationship Type="http://schemas.openxmlformats.org/officeDocument/2006/relationships/hyperlink" Target="imagenes/NAUTICA_MENS_208001201_NVY_3.jpg" TargetMode="External" Id="rId6779"/><Relationship Type="http://schemas.openxmlformats.org/officeDocument/2006/relationships/hyperlink" Target="imagenes/NAUTICA_MENS_208001201_NVY_1.jpg" TargetMode="External" Id="rId6780"/><Relationship Type="http://schemas.openxmlformats.org/officeDocument/2006/relationships/hyperlink" Target="imagenes/NAUTICA_MENS_208001201_NVY_2.jpg" TargetMode="External" Id="rId6781"/><Relationship Type="http://schemas.openxmlformats.org/officeDocument/2006/relationships/hyperlink" Target="imagenes/NAUTICA_MENS_208001201_NVY_3.jpg" TargetMode="External" Id="rId6782"/><Relationship Type="http://schemas.openxmlformats.org/officeDocument/2006/relationships/hyperlink" Target="imagenes/NAUTICA_MENS_208001201_NVY_1.jpg" TargetMode="External" Id="rId6783"/><Relationship Type="http://schemas.openxmlformats.org/officeDocument/2006/relationships/hyperlink" Target="imagenes/NAUTICA_MENS_208001201_NVY_2.jpg" TargetMode="External" Id="rId6784"/><Relationship Type="http://schemas.openxmlformats.org/officeDocument/2006/relationships/hyperlink" Target="imagenes/NAUTICA_MENS_208001201_NVY_3.jpg" TargetMode="External" Id="rId6785"/><Relationship Type="http://schemas.openxmlformats.org/officeDocument/2006/relationships/hyperlink" Target="imagenes/NAUTICA_MENS_208001211_B31_1.jpg" TargetMode="External" Id="rId6786"/><Relationship Type="http://schemas.openxmlformats.org/officeDocument/2006/relationships/hyperlink" Target="imagenes/NAUTICA_MENS_208001211_B31_2.jpg" TargetMode="External" Id="rId6787"/><Relationship Type="http://schemas.openxmlformats.org/officeDocument/2006/relationships/hyperlink" Target="imagenes/NAUTICA_MENS_208001211_B31_3.jpg" TargetMode="External" Id="rId6788"/><Relationship Type="http://schemas.openxmlformats.org/officeDocument/2006/relationships/hyperlink" Target="imagenes/NAUTICA_MENS_208001211_B31_1.jpg" TargetMode="External" Id="rId6789"/><Relationship Type="http://schemas.openxmlformats.org/officeDocument/2006/relationships/hyperlink" Target="imagenes/NAUTICA_MENS_208001211_B31_2.jpg" TargetMode="External" Id="rId6790"/><Relationship Type="http://schemas.openxmlformats.org/officeDocument/2006/relationships/hyperlink" Target="imagenes/NAUTICA_MENS_208001211_B31_3.jpg" TargetMode="External" Id="rId6791"/><Relationship Type="http://schemas.openxmlformats.org/officeDocument/2006/relationships/hyperlink" Target="imagenes/NAUTICA_MENS_208001211_B31_1.jpg" TargetMode="External" Id="rId6792"/><Relationship Type="http://schemas.openxmlformats.org/officeDocument/2006/relationships/hyperlink" Target="imagenes/NAUTICA_MENS_208001211_B31_2.jpg" TargetMode="External" Id="rId6793"/><Relationship Type="http://schemas.openxmlformats.org/officeDocument/2006/relationships/hyperlink" Target="imagenes/NAUTICA_MENS_208001211_B31_3.jpg" TargetMode="External" Id="rId6794"/><Relationship Type="http://schemas.openxmlformats.org/officeDocument/2006/relationships/hyperlink" Target="imagenes/NAUTICA_MENS_208001211_BLK_2.jpg" TargetMode="External" Id="rId6795"/><Relationship Type="http://schemas.openxmlformats.org/officeDocument/2006/relationships/hyperlink" Target="imagenes/NAUTICA_MENS_208001211_BLK_3.jpg" TargetMode="External" Id="rId6796"/><Relationship Type="http://schemas.openxmlformats.org/officeDocument/2006/relationships/hyperlink" Target="imagenes/NAUTICA_MENS_208001211_BLK_2.jpg" TargetMode="External" Id="rId6797"/><Relationship Type="http://schemas.openxmlformats.org/officeDocument/2006/relationships/hyperlink" Target="imagenes/NAUTICA_MENS_208001211_BLK_3.jpg" TargetMode="External" Id="rId6798"/><Relationship Type="http://schemas.openxmlformats.org/officeDocument/2006/relationships/hyperlink" Target="imagenes/NAUTICA_MENS_208001211_BLK_2.jpg" TargetMode="External" Id="rId6799"/><Relationship Type="http://schemas.openxmlformats.org/officeDocument/2006/relationships/hyperlink" Target="imagenes/NAUTICA_MENS_208001211_BLK_3.jpg" TargetMode="External" Id="rId6800"/><Relationship Type="http://schemas.openxmlformats.org/officeDocument/2006/relationships/hyperlink" Target="imagenes/NAUTICA_MENS_208001211_BLK_2.jpg" TargetMode="External" Id="rId6801"/><Relationship Type="http://schemas.openxmlformats.org/officeDocument/2006/relationships/hyperlink" Target="imagenes/NAUTICA_MENS_208001211_BLK_3.jpg" TargetMode="External" Id="rId6802"/><Relationship Type="http://schemas.openxmlformats.org/officeDocument/2006/relationships/hyperlink" Target="imagenes/NAUTICA_MENS_208001211_BLK_2.jpg" TargetMode="External" Id="rId6803"/><Relationship Type="http://schemas.openxmlformats.org/officeDocument/2006/relationships/hyperlink" Target="imagenes/NAUTICA_MENS_208001211_BLK_3.jpg" TargetMode="External" Id="rId6804"/><Relationship Type="http://schemas.openxmlformats.org/officeDocument/2006/relationships/hyperlink" Target="imagenes/NAUTICA_MENS_208001211_BLK_2.jpg" TargetMode="External" Id="rId6805"/><Relationship Type="http://schemas.openxmlformats.org/officeDocument/2006/relationships/hyperlink" Target="imagenes/NAUTICA_MENS_208001211_BLK_3.jpg" TargetMode="External" Id="rId6806"/><Relationship Type="http://schemas.openxmlformats.org/officeDocument/2006/relationships/hyperlink" Target="imagenes/NAUTICA_MENS_208001211_BLK_2.jpg" TargetMode="External" Id="rId6807"/><Relationship Type="http://schemas.openxmlformats.org/officeDocument/2006/relationships/hyperlink" Target="imagenes/NAUTICA_MENS_208001211_BLK_3.jpg" TargetMode="External" Id="rId6808"/><Relationship Type="http://schemas.openxmlformats.org/officeDocument/2006/relationships/hyperlink" Target="imagenes/NAUTICA_MENS_208001211_CLG_1.jpg" TargetMode="External" Id="rId6809"/><Relationship Type="http://schemas.openxmlformats.org/officeDocument/2006/relationships/hyperlink" Target="imagenes/NAUTICA_MENS_208001211_CLG_2.jpg" TargetMode="External" Id="rId6810"/><Relationship Type="http://schemas.openxmlformats.org/officeDocument/2006/relationships/hyperlink" Target="imagenes/NAUTICA_MENS_208001211_CLG_3.jpg" TargetMode="External" Id="rId6811"/><Relationship Type="http://schemas.openxmlformats.org/officeDocument/2006/relationships/hyperlink" Target="imagenes/NAUTICA_MENS_208001211_CLG_1.jpg" TargetMode="External" Id="rId6812"/><Relationship Type="http://schemas.openxmlformats.org/officeDocument/2006/relationships/hyperlink" Target="imagenes/NAUTICA_MENS_208001211_CLG_2.jpg" TargetMode="External" Id="rId6813"/><Relationship Type="http://schemas.openxmlformats.org/officeDocument/2006/relationships/hyperlink" Target="imagenes/NAUTICA_MENS_208001211_CLG_3.jpg" TargetMode="External" Id="rId6814"/><Relationship Type="http://schemas.openxmlformats.org/officeDocument/2006/relationships/hyperlink" Target="imagenes/NAUTICA_MENS_208001211_CLG_1.jpg" TargetMode="External" Id="rId6815"/><Relationship Type="http://schemas.openxmlformats.org/officeDocument/2006/relationships/hyperlink" Target="imagenes/NAUTICA_MENS_208001211_CLG_2.jpg" TargetMode="External" Id="rId6816"/><Relationship Type="http://schemas.openxmlformats.org/officeDocument/2006/relationships/hyperlink" Target="imagenes/NAUTICA_MENS_208001211_CLG_3.jpg" TargetMode="External" Id="rId6817"/><Relationship Type="http://schemas.openxmlformats.org/officeDocument/2006/relationships/hyperlink" Target="imagenes/NAUTICA_MENS_208001211_CLG_1.jpg" TargetMode="External" Id="rId6818"/><Relationship Type="http://schemas.openxmlformats.org/officeDocument/2006/relationships/hyperlink" Target="imagenes/NAUTICA_MENS_208001211_CLG_2.jpg" TargetMode="External" Id="rId6819"/><Relationship Type="http://schemas.openxmlformats.org/officeDocument/2006/relationships/hyperlink" Target="imagenes/NAUTICA_MENS_208001211_CLG_3.jpg" TargetMode="External" Id="rId6820"/><Relationship Type="http://schemas.openxmlformats.org/officeDocument/2006/relationships/hyperlink" Target="imagenes/NAUTICA_MENS_208001211_CLG_1.jpg" TargetMode="External" Id="rId6821"/><Relationship Type="http://schemas.openxmlformats.org/officeDocument/2006/relationships/hyperlink" Target="imagenes/NAUTICA_MENS_208001211_CLG_2.jpg" TargetMode="External" Id="rId6822"/><Relationship Type="http://schemas.openxmlformats.org/officeDocument/2006/relationships/hyperlink" Target="imagenes/NAUTICA_MENS_208001211_CLG_3.jpg" TargetMode="External" Id="rId6823"/><Relationship Type="http://schemas.openxmlformats.org/officeDocument/2006/relationships/hyperlink" Target="imagenes/NAUTICA_MENS_208001211_CLG_1.jpg" TargetMode="External" Id="rId6824"/><Relationship Type="http://schemas.openxmlformats.org/officeDocument/2006/relationships/hyperlink" Target="imagenes/NAUTICA_MENS_208001211_CLG_2.jpg" TargetMode="External" Id="rId6825"/><Relationship Type="http://schemas.openxmlformats.org/officeDocument/2006/relationships/hyperlink" Target="imagenes/NAUTICA_MENS_208001211_CLG_3.jpg" TargetMode="External" Id="rId6826"/><Relationship Type="http://schemas.openxmlformats.org/officeDocument/2006/relationships/hyperlink" Target="imagenes/NAUTICA_MENS_208001211_CLG_1.jpg" TargetMode="External" Id="rId6827"/><Relationship Type="http://schemas.openxmlformats.org/officeDocument/2006/relationships/hyperlink" Target="imagenes/NAUTICA_MENS_208001211_CLG_2.jpg" TargetMode="External" Id="rId6828"/><Relationship Type="http://schemas.openxmlformats.org/officeDocument/2006/relationships/hyperlink" Target="imagenes/NAUTICA_MENS_208001211_CLG_3.jpg" TargetMode="External" Id="rId6829"/><Relationship Type="http://schemas.openxmlformats.org/officeDocument/2006/relationships/hyperlink" Target="imagenes/NAUTICA_MENS_208001211_CLG_1.jpg" TargetMode="External" Id="rId6830"/><Relationship Type="http://schemas.openxmlformats.org/officeDocument/2006/relationships/hyperlink" Target="imagenes/NAUTICA_MENS_208001211_CLG_2.jpg" TargetMode="External" Id="rId6831"/><Relationship Type="http://schemas.openxmlformats.org/officeDocument/2006/relationships/hyperlink" Target="imagenes/NAUTICA_MENS_208001211_CLG_3.jpg" TargetMode="External" Id="rId6832"/><Relationship Type="http://schemas.openxmlformats.org/officeDocument/2006/relationships/hyperlink" Target="imagenes/NAUTICA_MENS_208001211_DDN_1.jpg" TargetMode="External" Id="rId6833"/><Relationship Type="http://schemas.openxmlformats.org/officeDocument/2006/relationships/hyperlink" Target="imagenes/NAUTICA_MENS_208001211_DDN_2.jpg" TargetMode="External" Id="rId6834"/><Relationship Type="http://schemas.openxmlformats.org/officeDocument/2006/relationships/hyperlink" Target="imagenes/NAUTICA_MENS_208001211_DDN_3.jpg" TargetMode="External" Id="rId6835"/><Relationship Type="http://schemas.openxmlformats.org/officeDocument/2006/relationships/hyperlink" Target="imagenes/NAUTICA_MENS_208001211_DDN_1.jpg" TargetMode="External" Id="rId6836"/><Relationship Type="http://schemas.openxmlformats.org/officeDocument/2006/relationships/hyperlink" Target="imagenes/NAUTICA_MENS_208001211_DDN_2.jpg" TargetMode="External" Id="rId6837"/><Relationship Type="http://schemas.openxmlformats.org/officeDocument/2006/relationships/hyperlink" Target="imagenes/NAUTICA_MENS_208001211_DDN_3.jpg" TargetMode="External" Id="rId6838"/><Relationship Type="http://schemas.openxmlformats.org/officeDocument/2006/relationships/hyperlink" Target="imagenes/NAUTICA_MENS_208001211_DDN_1.jpg" TargetMode="External" Id="rId6839"/><Relationship Type="http://schemas.openxmlformats.org/officeDocument/2006/relationships/hyperlink" Target="imagenes/NAUTICA_MENS_208001211_DDN_2.jpg" TargetMode="External" Id="rId6840"/><Relationship Type="http://schemas.openxmlformats.org/officeDocument/2006/relationships/hyperlink" Target="imagenes/NAUTICA_MENS_208001211_DDN_3.jpg" TargetMode="External" Id="rId6841"/><Relationship Type="http://schemas.openxmlformats.org/officeDocument/2006/relationships/hyperlink" Target="imagenes/NAUTICA_MENS_208001211_DDN_1.jpg" TargetMode="External" Id="rId6842"/><Relationship Type="http://schemas.openxmlformats.org/officeDocument/2006/relationships/hyperlink" Target="imagenes/NAUTICA_MENS_208001211_DDN_2.jpg" TargetMode="External" Id="rId6843"/><Relationship Type="http://schemas.openxmlformats.org/officeDocument/2006/relationships/hyperlink" Target="imagenes/NAUTICA_MENS_208001211_DDN_3.jpg" TargetMode="External" Id="rId6844"/><Relationship Type="http://schemas.openxmlformats.org/officeDocument/2006/relationships/hyperlink" Target="imagenes/NAUTICA_MENS_208001211_DDN_1.jpg" TargetMode="External" Id="rId6845"/><Relationship Type="http://schemas.openxmlformats.org/officeDocument/2006/relationships/hyperlink" Target="imagenes/NAUTICA_MENS_208001211_DDN_2.jpg" TargetMode="External" Id="rId6846"/><Relationship Type="http://schemas.openxmlformats.org/officeDocument/2006/relationships/hyperlink" Target="imagenes/NAUTICA_MENS_208001211_DDN_3.jpg" TargetMode="External" Id="rId6847"/><Relationship Type="http://schemas.openxmlformats.org/officeDocument/2006/relationships/hyperlink" Target="imagenes/NAUTICA_MENS_208001211_DFS_1.jpg" TargetMode="External" Id="rId6848"/><Relationship Type="http://schemas.openxmlformats.org/officeDocument/2006/relationships/hyperlink" Target="imagenes/NAUTICA_MENS_208001211_DFS_2.jpg" TargetMode="External" Id="rId6849"/><Relationship Type="http://schemas.openxmlformats.org/officeDocument/2006/relationships/hyperlink" Target="imagenes/NAUTICA_MENS_208001211_DFS_3.jpg" TargetMode="External" Id="rId6850"/><Relationship Type="http://schemas.openxmlformats.org/officeDocument/2006/relationships/hyperlink" Target="imagenes/NAUTICA_MENS_208001211_DFS_1.jpg" TargetMode="External" Id="rId6851"/><Relationship Type="http://schemas.openxmlformats.org/officeDocument/2006/relationships/hyperlink" Target="imagenes/NAUTICA_MENS_208001211_DFS_2.jpg" TargetMode="External" Id="rId6852"/><Relationship Type="http://schemas.openxmlformats.org/officeDocument/2006/relationships/hyperlink" Target="imagenes/NAUTICA_MENS_208001211_DFS_3.jpg" TargetMode="External" Id="rId6853"/><Relationship Type="http://schemas.openxmlformats.org/officeDocument/2006/relationships/hyperlink" Target="imagenes/NAUTICA_MENS_208001211_DFS_1.jpg" TargetMode="External" Id="rId6854"/><Relationship Type="http://schemas.openxmlformats.org/officeDocument/2006/relationships/hyperlink" Target="imagenes/NAUTICA_MENS_208001211_DFS_2.jpg" TargetMode="External" Id="rId6855"/><Relationship Type="http://schemas.openxmlformats.org/officeDocument/2006/relationships/hyperlink" Target="imagenes/NAUTICA_MENS_208001211_DFS_3.jpg" TargetMode="External" Id="rId6856"/><Relationship Type="http://schemas.openxmlformats.org/officeDocument/2006/relationships/hyperlink" Target="imagenes/NAUTICA_MENS_208001211_DFS_1.jpg" TargetMode="External" Id="rId6857"/><Relationship Type="http://schemas.openxmlformats.org/officeDocument/2006/relationships/hyperlink" Target="imagenes/NAUTICA_MENS_208001211_DFS_2.jpg" TargetMode="External" Id="rId6858"/><Relationship Type="http://schemas.openxmlformats.org/officeDocument/2006/relationships/hyperlink" Target="imagenes/NAUTICA_MENS_208001211_DFS_3.jpg" TargetMode="External" Id="rId6859"/><Relationship Type="http://schemas.openxmlformats.org/officeDocument/2006/relationships/hyperlink" Target="imagenes/NAUTICA_MENS_208001211_DFS_1.jpg" TargetMode="External" Id="rId6860"/><Relationship Type="http://schemas.openxmlformats.org/officeDocument/2006/relationships/hyperlink" Target="imagenes/NAUTICA_MENS_208001211_DFS_2.jpg" TargetMode="External" Id="rId6861"/><Relationship Type="http://schemas.openxmlformats.org/officeDocument/2006/relationships/hyperlink" Target="imagenes/NAUTICA_MENS_208001211_DFS_3.jpg" TargetMode="External" Id="rId6862"/><Relationship Type="http://schemas.openxmlformats.org/officeDocument/2006/relationships/hyperlink" Target="imagenes/NAUTICA_MENS_208001211_DFS_1.jpg" TargetMode="External" Id="rId6863"/><Relationship Type="http://schemas.openxmlformats.org/officeDocument/2006/relationships/hyperlink" Target="imagenes/NAUTICA_MENS_208001211_DFS_2.jpg" TargetMode="External" Id="rId6864"/><Relationship Type="http://schemas.openxmlformats.org/officeDocument/2006/relationships/hyperlink" Target="imagenes/NAUTICA_MENS_208001211_DFS_3.jpg" TargetMode="External" Id="rId6865"/><Relationship Type="http://schemas.openxmlformats.org/officeDocument/2006/relationships/hyperlink" Target="imagenes/NAUTICA_MENS_208001211_NVY_1.jpg" TargetMode="External" Id="rId6866"/><Relationship Type="http://schemas.openxmlformats.org/officeDocument/2006/relationships/hyperlink" Target="imagenes/NAUTICA_MENS_208001211_NVY_2.jpg" TargetMode="External" Id="rId6867"/><Relationship Type="http://schemas.openxmlformats.org/officeDocument/2006/relationships/hyperlink" Target="imagenes/NAUTICA_MENS_208001211_NVY_3.jpg" TargetMode="External" Id="rId6868"/><Relationship Type="http://schemas.openxmlformats.org/officeDocument/2006/relationships/hyperlink" Target="imagenes/NAUTICA_MENS_208001211_NVY_1.jpg" TargetMode="External" Id="rId6869"/><Relationship Type="http://schemas.openxmlformats.org/officeDocument/2006/relationships/hyperlink" Target="imagenes/NAUTICA_MENS_208001211_NVY_2.jpg" TargetMode="External" Id="rId6870"/><Relationship Type="http://schemas.openxmlformats.org/officeDocument/2006/relationships/hyperlink" Target="imagenes/NAUTICA_MENS_208001211_NVY_3.jpg" TargetMode="External" Id="rId6871"/><Relationship Type="http://schemas.openxmlformats.org/officeDocument/2006/relationships/hyperlink" Target="imagenes/NAUTICA_MENS_208001211_NVY_1.jpg" TargetMode="External" Id="rId6872"/><Relationship Type="http://schemas.openxmlformats.org/officeDocument/2006/relationships/hyperlink" Target="imagenes/NAUTICA_MENS_208001211_NVY_2.jpg" TargetMode="External" Id="rId6873"/><Relationship Type="http://schemas.openxmlformats.org/officeDocument/2006/relationships/hyperlink" Target="imagenes/NAUTICA_MENS_208001211_NVY_3.jpg" TargetMode="External" Id="rId6874"/><Relationship Type="http://schemas.openxmlformats.org/officeDocument/2006/relationships/hyperlink" Target="imagenes/NAUTICA_MENS_208001211_NVY_1.jpg" TargetMode="External" Id="rId6875"/><Relationship Type="http://schemas.openxmlformats.org/officeDocument/2006/relationships/hyperlink" Target="imagenes/NAUTICA_MENS_208001211_NVY_2.jpg" TargetMode="External" Id="rId6876"/><Relationship Type="http://schemas.openxmlformats.org/officeDocument/2006/relationships/hyperlink" Target="imagenes/NAUTICA_MENS_208001211_NVY_3.jpg" TargetMode="External" Id="rId6877"/><Relationship Type="http://schemas.openxmlformats.org/officeDocument/2006/relationships/hyperlink" Target="imagenes/NAUTICA_MENS_208001211_NVY_1.jpg" TargetMode="External" Id="rId6878"/><Relationship Type="http://schemas.openxmlformats.org/officeDocument/2006/relationships/hyperlink" Target="imagenes/NAUTICA_MENS_208001211_NVY_2.jpg" TargetMode="External" Id="rId6879"/><Relationship Type="http://schemas.openxmlformats.org/officeDocument/2006/relationships/hyperlink" Target="imagenes/NAUTICA_MENS_208001211_NVY_3.jpg" TargetMode="External" Id="rId6880"/><Relationship Type="http://schemas.openxmlformats.org/officeDocument/2006/relationships/hyperlink" Target="imagenes/NAUTICA_MENS_208001212_BLK_1.jpg" TargetMode="External" Id="rId6881"/><Relationship Type="http://schemas.openxmlformats.org/officeDocument/2006/relationships/hyperlink" Target="imagenes/NAUTICA_MENS_208001212_BLK_2.jpg" TargetMode="External" Id="rId6882"/><Relationship Type="http://schemas.openxmlformats.org/officeDocument/2006/relationships/hyperlink" Target="imagenes/NAUTICA_MENS_208001212_BLK_3.jpg" TargetMode="External" Id="rId6883"/><Relationship Type="http://schemas.openxmlformats.org/officeDocument/2006/relationships/hyperlink" Target="imagenes/NAUTICA_MENS_208001212_MTA_1.jpg" TargetMode="External" Id="rId6884"/><Relationship Type="http://schemas.openxmlformats.org/officeDocument/2006/relationships/hyperlink" Target="imagenes/NAUTICA_MENS_208001212_MTA_2.jpg" TargetMode="External" Id="rId6885"/><Relationship Type="http://schemas.openxmlformats.org/officeDocument/2006/relationships/hyperlink" Target="imagenes/NAUTICA_MENS_208001212_MTA_3.jpg" TargetMode="External" Id="rId6886"/><Relationship Type="http://schemas.openxmlformats.org/officeDocument/2006/relationships/hyperlink" Target="imagenes/NAUTICA_MENS_208001212_NVY_1.jpg" TargetMode="External" Id="rId6887"/><Relationship Type="http://schemas.openxmlformats.org/officeDocument/2006/relationships/hyperlink" Target="imagenes/NAUTICA_MENS_208001212_NVY_2.jpg" TargetMode="External" Id="rId6888"/><Relationship Type="http://schemas.openxmlformats.org/officeDocument/2006/relationships/hyperlink" Target="imagenes/NAUTICA_MENS_208001212_NVY_3.jpg" TargetMode="External" Id="rId6889"/><Relationship Type="http://schemas.openxmlformats.org/officeDocument/2006/relationships/hyperlink" Target="imagenes/NAUTICA_MENS_208001223_B31_1.jpg" TargetMode="External" Id="rId6890"/><Relationship Type="http://schemas.openxmlformats.org/officeDocument/2006/relationships/hyperlink" Target="imagenes/NAUTICA_MENS_208001223_B31_2.jpg" TargetMode="External" Id="rId6891"/><Relationship Type="http://schemas.openxmlformats.org/officeDocument/2006/relationships/hyperlink" Target="imagenes/NAUTICA_MENS_208001223_B31_3.jpg" TargetMode="External" Id="rId6892"/><Relationship Type="http://schemas.openxmlformats.org/officeDocument/2006/relationships/hyperlink" Target="imagenes/NAUTICA_MENS_208001223_BLK_1.jpg" TargetMode="External" Id="rId6893"/><Relationship Type="http://schemas.openxmlformats.org/officeDocument/2006/relationships/hyperlink" Target="imagenes/NAUTICA_MENS_208001223_BLK_2.jpg" TargetMode="External" Id="rId6894"/><Relationship Type="http://schemas.openxmlformats.org/officeDocument/2006/relationships/hyperlink" Target="imagenes/NAUTICA_MENS_208001223_BLK_3.jpg" TargetMode="External" Id="rId6895"/><Relationship Type="http://schemas.openxmlformats.org/officeDocument/2006/relationships/hyperlink" Target="imagenes/NAUTICA_MENS_208001223_DDN_1.jpg" TargetMode="External" Id="rId6896"/><Relationship Type="http://schemas.openxmlformats.org/officeDocument/2006/relationships/hyperlink" Target="imagenes/NAUTICA_MENS_208001223_DDN_2.jpg" TargetMode="External" Id="rId6897"/><Relationship Type="http://schemas.openxmlformats.org/officeDocument/2006/relationships/hyperlink" Target="imagenes/NAUTICA_MENS_208001223_DDN_3.jpg" TargetMode="External" Id="rId6898"/><Relationship Type="http://schemas.openxmlformats.org/officeDocument/2006/relationships/hyperlink" Target="imagenes/NAUTICA_MENS_208001223_MTA_1.jpg" TargetMode="External" Id="rId6899"/><Relationship Type="http://schemas.openxmlformats.org/officeDocument/2006/relationships/hyperlink" Target="imagenes/NAUTICA_MENS_208001223_MTA_2.jpg" TargetMode="External" Id="rId6900"/><Relationship Type="http://schemas.openxmlformats.org/officeDocument/2006/relationships/hyperlink" Target="imagenes/NAUTICA_MENS_208001223_MTA_3.jpg" TargetMode="External" Id="rId6901"/><Relationship Type="http://schemas.openxmlformats.org/officeDocument/2006/relationships/hyperlink" Target="imagenes/NAUTICA_MENS_208001223_MTA_1.jpg" TargetMode="External" Id="rId6902"/><Relationship Type="http://schemas.openxmlformats.org/officeDocument/2006/relationships/hyperlink" Target="imagenes/NAUTICA_MENS_208001223_MTA_2.jpg" TargetMode="External" Id="rId6903"/><Relationship Type="http://schemas.openxmlformats.org/officeDocument/2006/relationships/hyperlink" Target="imagenes/NAUTICA_MENS_208001223_MTA_3.jpg" TargetMode="External" Id="rId6904"/><Relationship Type="http://schemas.openxmlformats.org/officeDocument/2006/relationships/hyperlink" Target="imagenes/NAUTICA_MENS_208001223_MTA_1.jpg" TargetMode="External" Id="rId6905"/><Relationship Type="http://schemas.openxmlformats.org/officeDocument/2006/relationships/hyperlink" Target="imagenes/NAUTICA_MENS_208001223_MTA_2.jpg" TargetMode="External" Id="rId6906"/><Relationship Type="http://schemas.openxmlformats.org/officeDocument/2006/relationships/hyperlink" Target="imagenes/NAUTICA_MENS_208001223_MTA_3.jpg" TargetMode="External" Id="rId6907"/><Relationship Type="http://schemas.openxmlformats.org/officeDocument/2006/relationships/hyperlink" Target="imagenes/NAUTICA_MENS_208001223_MTA_1.jpg" TargetMode="External" Id="rId6908"/><Relationship Type="http://schemas.openxmlformats.org/officeDocument/2006/relationships/hyperlink" Target="imagenes/NAUTICA_MENS_208001223_MTA_2.jpg" TargetMode="External" Id="rId6909"/><Relationship Type="http://schemas.openxmlformats.org/officeDocument/2006/relationships/hyperlink" Target="imagenes/NAUTICA_MENS_208001223_MTA_3.jpg" TargetMode="External" Id="rId6910"/><Relationship Type="http://schemas.openxmlformats.org/officeDocument/2006/relationships/hyperlink" Target="imagenes/NAUTICA_MENS_208001223_MTA_1.jpg" TargetMode="External" Id="rId6911"/><Relationship Type="http://schemas.openxmlformats.org/officeDocument/2006/relationships/hyperlink" Target="imagenes/NAUTICA_MENS_208001223_MTA_2.jpg" TargetMode="External" Id="rId6912"/><Relationship Type="http://schemas.openxmlformats.org/officeDocument/2006/relationships/hyperlink" Target="imagenes/NAUTICA_MENS_208001223_MTA_3.jpg" TargetMode="External" Id="rId6913"/><Relationship Type="http://schemas.openxmlformats.org/officeDocument/2006/relationships/hyperlink" Target="imagenes/NAUTICA_MENS_208001223_NVY_1.jpg" TargetMode="External" Id="rId6914"/><Relationship Type="http://schemas.openxmlformats.org/officeDocument/2006/relationships/hyperlink" Target="imagenes/NAUTICA_MENS_208001223_NVY_2.jpg" TargetMode="External" Id="rId6915"/><Relationship Type="http://schemas.openxmlformats.org/officeDocument/2006/relationships/hyperlink" Target="imagenes/NAUTICA_MENS_208001223_NVY_3.jpg" TargetMode="External" Id="rId6916"/><Relationship Type="http://schemas.openxmlformats.org/officeDocument/2006/relationships/hyperlink" Target="imagenes/NAUTICA_MENS_208001353_BBY_1.jpg" TargetMode="External" Id="rId6917"/><Relationship Type="http://schemas.openxmlformats.org/officeDocument/2006/relationships/hyperlink" Target="imagenes/NAUTICA_MENS_208001353_BBY_2.jpg" TargetMode="External" Id="rId6918"/><Relationship Type="http://schemas.openxmlformats.org/officeDocument/2006/relationships/hyperlink" Target="imagenes/NAUTICA_MENS_208001353_BBY_3.jpg" TargetMode="External" Id="rId6919"/><Relationship Type="http://schemas.openxmlformats.org/officeDocument/2006/relationships/hyperlink" Target="imagenes/NAUTICA_MENS_208001353_CO8_1.jpg" TargetMode="External" Id="rId6920"/><Relationship Type="http://schemas.openxmlformats.org/officeDocument/2006/relationships/hyperlink" Target="imagenes/NAUTICA_MENS_208001353_CO8_2.jpg" TargetMode="External" Id="rId6921"/><Relationship Type="http://schemas.openxmlformats.org/officeDocument/2006/relationships/hyperlink" Target="imagenes/NAUTICA_MENS_208001353_CO8_3.jpg" TargetMode="External" Id="rId6922"/><Relationship Type="http://schemas.openxmlformats.org/officeDocument/2006/relationships/hyperlink" Target="imagenes/NAUTICA_MENS_208001353_CO8_1.jpg" TargetMode="External" Id="rId6923"/><Relationship Type="http://schemas.openxmlformats.org/officeDocument/2006/relationships/hyperlink" Target="imagenes/NAUTICA_MENS_208001353_CO8_2.jpg" TargetMode="External" Id="rId6924"/><Relationship Type="http://schemas.openxmlformats.org/officeDocument/2006/relationships/hyperlink" Target="imagenes/NAUTICA_MENS_208001353_CO8_3.jpg" TargetMode="External" Id="rId6925"/><Relationship Type="http://schemas.openxmlformats.org/officeDocument/2006/relationships/hyperlink" Target="imagenes/NAUTICA_MENS_208001353_GBU_1.jpg" TargetMode="External" Id="rId6926"/><Relationship Type="http://schemas.openxmlformats.org/officeDocument/2006/relationships/hyperlink" Target="imagenes/NAUTICA_MENS_208001353_GBU_2.jpg" TargetMode="External" Id="rId6927"/><Relationship Type="http://schemas.openxmlformats.org/officeDocument/2006/relationships/hyperlink" Target="imagenes/NAUTICA_MENS_208001353_GBU_3.jpg" TargetMode="External" Id="rId6928"/><Relationship Type="http://schemas.openxmlformats.org/officeDocument/2006/relationships/hyperlink" Target="imagenes/NAUTICA_MENS_208001353_NTA_1.jpg" TargetMode="External" Id="rId6929"/><Relationship Type="http://schemas.openxmlformats.org/officeDocument/2006/relationships/hyperlink" Target="imagenes/NAUTICA_MENS_208001353_NTA_2.jpg" TargetMode="External" Id="rId6930"/><Relationship Type="http://schemas.openxmlformats.org/officeDocument/2006/relationships/hyperlink" Target="imagenes/NAUTICA_MENS_208001353_NTA_3.jpg" TargetMode="External" Id="rId6931"/><Relationship Type="http://schemas.openxmlformats.org/officeDocument/2006/relationships/hyperlink" Target="imagenes/NAUTICA_MENS_208001354_BBY_1.jpg" TargetMode="External" Id="rId6932"/><Relationship Type="http://schemas.openxmlformats.org/officeDocument/2006/relationships/hyperlink" Target="imagenes/NAUTICA_MENS_208001354_BBY_2.jpg" TargetMode="External" Id="rId6933"/><Relationship Type="http://schemas.openxmlformats.org/officeDocument/2006/relationships/hyperlink" Target="imagenes/NAUTICA_MENS_208001354_BBY_3.jpg" TargetMode="External" Id="rId6934"/><Relationship Type="http://schemas.openxmlformats.org/officeDocument/2006/relationships/hyperlink" Target="imagenes/NAUTICA_MENS_208001354_CO8_1.jpg" TargetMode="External" Id="rId6935"/><Relationship Type="http://schemas.openxmlformats.org/officeDocument/2006/relationships/hyperlink" Target="imagenes/NAUTICA_MENS_208001354_CO8_2.jpg" TargetMode="External" Id="rId6936"/><Relationship Type="http://schemas.openxmlformats.org/officeDocument/2006/relationships/hyperlink" Target="imagenes/NAUTICA_MENS_208001354_CO8_3.jpg" TargetMode="External" Id="rId6937"/><Relationship Type="http://schemas.openxmlformats.org/officeDocument/2006/relationships/hyperlink" Target="imagenes/NAUTICA_MENS_208001354_GBU_1.jpg" TargetMode="External" Id="rId6938"/><Relationship Type="http://schemas.openxmlformats.org/officeDocument/2006/relationships/hyperlink" Target="imagenes/NAUTICA_MENS_208001354_GBU_2.jpg" TargetMode="External" Id="rId6939"/><Relationship Type="http://schemas.openxmlformats.org/officeDocument/2006/relationships/hyperlink" Target="imagenes/NAUTICA_MENS_208001354_GBU_3.jpg" TargetMode="External" Id="rId6940"/><Relationship Type="http://schemas.openxmlformats.org/officeDocument/2006/relationships/hyperlink" Target="imagenes/NAUTICA_MENS_208001355_BLK_1.jpg" TargetMode="External" Id="rId6941"/><Relationship Type="http://schemas.openxmlformats.org/officeDocument/2006/relationships/hyperlink" Target="imagenes/NAUTICA_MENS_208001355_BLK_2.jpg" TargetMode="External" Id="rId6942"/><Relationship Type="http://schemas.openxmlformats.org/officeDocument/2006/relationships/hyperlink" Target="imagenes/NAUTICA_MENS_208001355_BLK_3.jpg" TargetMode="External" Id="rId6943"/><Relationship Type="http://schemas.openxmlformats.org/officeDocument/2006/relationships/hyperlink" Target="imagenes/NAUTICA_MENS_208001355_BLK_1.jpg" TargetMode="External" Id="rId6944"/><Relationship Type="http://schemas.openxmlformats.org/officeDocument/2006/relationships/hyperlink" Target="imagenes/NAUTICA_MENS_208001355_BLK_2.jpg" TargetMode="External" Id="rId6945"/><Relationship Type="http://schemas.openxmlformats.org/officeDocument/2006/relationships/hyperlink" Target="imagenes/NAUTICA_MENS_208001355_BLK_3.jpg" TargetMode="External" Id="rId6946"/><Relationship Type="http://schemas.openxmlformats.org/officeDocument/2006/relationships/hyperlink" Target="imagenes/NAUTICA_MENS_208001355_BLK_1.jpg" TargetMode="External" Id="rId6947"/><Relationship Type="http://schemas.openxmlformats.org/officeDocument/2006/relationships/hyperlink" Target="imagenes/NAUTICA_MENS_208001355_BLK_2.jpg" TargetMode="External" Id="rId6948"/><Relationship Type="http://schemas.openxmlformats.org/officeDocument/2006/relationships/hyperlink" Target="imagenes/NAUTICA_MENS_208001355_BLK_3.jpg" TargetMode="External" Id="rId6949"/><Relationship Type="http://schemas.openxmlformats.org/officeDocument/2006/relationships/hyperlink" Target="imagenes/NAUTICA_MENS_208001355_MTA_1.jpg" TargetMode="External" Id="rId6950"/><Relationship Type="http://schemas.openxmlformats.org/officeDocument/2006/relationships/hyperlink" Target="imagenes/NAUTICA_MENS_208001355_MTA_2.jpg" TargetMode="External" Id="rId6951"/><Relationship Type="http://schemas.openxmlformats.org/officeDocument/2006/relationships/hyperlink" Target="imagenes/NAUTICA_MENS_208001355_MTA_3.jpg" TargetMode="External" Id="rId6952"/><Relationship Type="http://schemas.openxmlformats.org/officeDocument/2006/relationships/hyperlink" Target="imagenes/NAUTICA_MENS_208001355_MTA_1.jpg" TargetMode="External" Id="rId6953"/><Relationship Type="http://schemas.openxmlformats.org/officeDocument/2006/relationships/hyperlink" Target="imagenes/NAUTICA_MENS_208001355_MTA_2.jpg" TargetMode="External" Id="rId6954"/><Relationship Type="http://schemas.openxmlformats.org/officeDocument/2006/relationships/hyperlink" Target="imagenes/NAUTICA_MENS_208001355_MTA_3.jpg" TargetMode="External" Id="rId6955"/><Relationship Type="http://schemas.openxmlformats.org/officeDocument/2006/relationships/hyperlink" Target="imagenes/NAUTICA_MENS_208001355_MTA_1.jpg" TargetMode="External" Id="rId6956"/><Relationship Type="http://schemas.openxmlformats.org/officeDocument/2006/relationships/hyperlink" Target="imagenes/NAUTICA_MENS_208001355_MTA_2.jpg" TargetMode="External" Id="rId6957"/><Relationship Type="http://schemas.openxmlformats.org/officeDocument/2006/relationships/hyperlink" Target="imagenes/NAUTICA_MENS_208001355_MTA_3.jpg" TargetMode="External" Id="rId6958"/><Relationship Type="http://schemas.openxmlformats.org/officeDocument/2006/relationships/hyperlink" Target="imagenes/NAUTICA_MENS_208001355_MTA_1.jpg" TargetMode="External" Id="rId6959"/><Relationship Type="http://schemas.openxmlformats.org/officeDocument/2006/relationships/hyperlink" Target="imagenes/NAUTICA_MENS_208001355_MTA_2.jpg" TargetMode="External" Id="rId6960"/><Relationship Type="http://schemas.openxmlformats.org/officeDocument/2006/relationships/hyperlink" Target="imagenes/NAUTICA_MENS_208001355_MTA_3.jpg" TargetMode="External" Id="rId6961"/><Relationship Type="http://schemas.openxmlformats.org/officeDocument/2006/relationships/hyperlink" Target="imagenes/NAUTICA_MENS_208001355_NVY_1.jpg" TargetMode="External" Id="rId6962"/><Relationship Type="http://schemas.openxmlformats.org/officeDocument/2006/relationships/hyperlink" Target="imagenes/NAUTICA_MENS_208001355_NVY_2.jpg" TargetMode="External" Id="rId6963"/><Relationship Type="http://schemas.openxmlformats.org/officeDocument/2006/relationships/hyperlink" Target="imagenes/NAUTICA_MENS_208001355_NVY_3.jpg" TargetMode="External" Id="rId6964"/><Relationship Type="http://schemas.openxmlformats.org/officeDocument/2006/relationships/hyperlink" Target="imagenes/NAUTICA_MENS_208001359_BLK_1.jpg" TargetMode="External" Id="rId6965"/><Relationship Type="http://schemas.openxmlformats.org/officeDocument/2006/relationships/hyperlink" Target="imagenes/NAUTICA_MENS_208001359_BLK_2.jpg" TargetMode="External" Id="rId6966"/><Relationship Type="http://schemas.openxmlformats.org/officeDocument/2006/relationships/hyperlink" Target="imagenes/NAUTICA_MENS_208001359_BLK_3.jpg" TargetMode="External" Id="rId6967"/><Relationship Type="http://schemas.openxmlformats.org/officeDocument/2006/relationships/hyperlink" Target="imagenes/NAUTICA_MENS_208001360_BLK_1.jpg" TargetMode="External" Id="rId6968"/><Relationship Type="http://schemas.openxmlformats.org/officeDocument/2006/relationships/hyperlink" Target="imagenes/NAUTICA_MENS_208001360_BLK_2.jpg" TargetMode="External" Id="rId6969"/><Relationship Type="http://schemas.openxmlformats.org/officeDocument/2006/relationships/hyperlink" Target="imagenes/NAUTICA_MENS_208001360_BLK_3.jpg" TargetMode="External" Id="rId6970"/><Relationship Type="http://schemas.openxmlformats.org/officeDocument/2006/relationships/hyperlink" Target="imagenes/NAUTICA_MENS_208001378_B31_1.jpg" TargetMode="External" Id="rId6971"/><Relationship Type="http://schemas.openxmlformats.org/officeDocument/2006/relationships/hyperlink" Target="imagenes/NAUTICA_MENS_208001378_B31_2.jpg" TargetMode="External" Id="rId6972"/><Relationship Type="http://schemas.openxmlformats.org/officeDocument/2006/relationships/hyperlink" Target="imagenes/NAUTICA_MENS_208001378_B31_3.jpg" TargetMode="External" Id="rId6973"/><Relationship Type="http://schemas.openxmlformats.org/officeDocument/2006/relationships/hyperlink" Target="imagenes/NAUTICA_MENS_208001378_B31_1.jpg" TargetMode="External" Id="rId6974"/><Relationship Type="http://schemas.openxmlformats.org/officeDocument/2006/relationships/hyperlink" Target="imagenes/NAUTICA_MENS_208001378_B31_2.jpg" TargetMode="External" Id="rId6975"/><Relationship Type="http://schemas.openxmlformats.org/officeDocument/2006/relationships/hyperlink" Target="imagenes/NAUTICA_MENS_208001378_B31_3.jpg" TargetMode="External" Id="rId6976"/><Relationship Type="http://schemas.openxmlformats.org/officeDocument/2006/relationships/hyperlink" Target="imagenes/NAUTICA_MENS_208001378_B31_1.jpg" TargetMode="External" Id="rId6977"/><Relationship Type="http://schemas.openxmlformats.org/officeDocument/2006/relationships/hyperlink" Target="imagenes/NAUTICA_MENS_208001378_B31_2.jpg" TargetMode="External" Id="rId6978"/><Relationship Type="http://schemas.openxmlformats.org/officeDocument/2006/relationships/hyperlink" Target="imagenes/NAUTICA_MENS_208001378_B31_3.jpg" TargetMode="External" Id="rId6979"/><Relationship Type="http://schemas.openxmlformats.org/officeDocument/2006/relationships/hyperlink" Target="imagenes/NAUTICA_MENS_208001378_B31_1.jpg" TargetMode="External" Id="rId6980"/><Relationship Type="http://schemas.openxmlformats.org/officeDocument/2006/relationships/hyperlink" Target="imagenes/NAUTICA_MENS_208001378_B31_2.jpg" TargetMode="External" Id="rId6981"/><Relationship Type="http://schemas.openxmlformats.org/officeDocument/2006/relationships/hyperlink" Target="imagenes/NAUTICA_MENS_208001378_B31_3.jpg" TargetMode="External" Id="rId6982"/><Relationship Type="http://schemas.openxmlformats.org/officeDocument/2006/relationships/hyperlink" Target="imagenes/NAUTICA_MENS_208001378_B31_1.jpg" TargetMode="External" Id="rId6983"/><Relationship Type="http://schemas.openxmlformats.org/officeDocument/2006/relationships/hyperlink" Target="imagenes/NAUTICA_MENS_208001378_B31_2.jpg" TargetMode="External" Id="rId6984"/><Relationship Type="http://schemas.openxmlformats.org/officeDocument/2006/relationships/hyperlink" Target="imagenes/NAUTICA_MENS_208001378_B31_3.jpg" TargetMode="External" Id="rId6985"/><Relationship Type="http://schemas.openxmlformats.org/officeDocument/2006/relationships/hyperlink" Target="imagenes/NAUTICA_MENS_208001378_B31_1.jpg" TargetMode="External" Id="rId6986"/><Relationship Type="http://schemas.openxmlformats.org/officeDocument/2006/relationships/hyperlink" Target="imagenes/NAUTICA_MENS_208001378_B31_2.jpg" TargetMode="External" Id="rId6987"/><Relationship Type="http://schemas.openxmlformats.org/officeDocument/2006/relationships/hyperlink" Target="imagenes/NAUTICA_MENS_208001378_B31_3.jpg" TargetMode="External" Id="rId6988"/><Relationship Type="http://schemas.openxmlformats.org/officeDocument/2006/relationships/hyperlink" Target="imagenes/NAUTICA_MENS_208001378_B31_1.jpg" TargetMode="External" Id="rId6989"/><Relationship Type="http://schemas.openxmlformats.org/officeDocument/2006/relationships/hyperlink" Target="imagenes/NAUTICA_MENS_208001378_B31_2.jpg" TargetMode="External" Id="rId6990"/><Relationship Type="http://schemas.openxmlformats.org/officeDocument/2006/relationships/hyperlink" Target="imagenes/NAUTICA_MENS_208001378_B31_3.jpg" TargetMode="External" Id="rId6991"/><Relationship Type="http://schemas.openxmlformats.org/officeDocument/2006/relationships/hyperlink" Target="imagenes/NAUTICA_MENS_208001378_BLK_1.jpg" TargetMode="External" Id="rId6992"/><Relationship Type="http://schemas.openxmlformats.org/officeDocument/2006/relationships/hyperlink" Target="imagenes/NAUTICA_MENS_208001378_BLK_2.jpg" TargetMode="External" Id="rId6993"/><Relationship Type="http://schemas.openxmlformats.org/officeDocument/2006/relationships/hyperlink" Target="imagenes/NAUTICA_MENS_208001378_BLK_3.jpg" TargetMode="External" Id="rId6994"/><Relationship Type="http://schemas.openxmlformats.org/officeDocument/2006/relationships/hyperlink" Target="imagenes/NAUTICA_MENS_208001378_BLK_1.jpg" TargetMode="External" Id="rId6995"/><Relationship Type="http://schemas.openxmlformats.org/officeDocument/2006/relationships/hyperlink" Target="imagenes/NAUTICA_MENS_208001378_BLK_2.jpg" TargetMode="External" Id="rId6996"/><Relationship Type="http://schemas.openxmlformats.org/officeDocument/2006/relationships/hyperlink" Target="imagenes/NAUTICA_MENS_208001378_BLK_3.jpg" TargetMode="External" Id="rId6997"/><Relationship Type="http://schemas.openxmlformats.org/officeDocument/2006/relationships/hyperlink" Target="imagenes/NAUTICA_MENS_208001378_BLK_1.jpg" TargetMode="External" Id="rId6998"/><Relationship Type="http://schemas.openxmlformats.org/officeDocument/2006/relationships/hyperlink" Target="imagenes/NAUTICA_MENS_208001378_BLK_2.jpg" TargetMode="External" Id="rId6999"/><Relationship Type="http://schemas.openxmlformats.org/officeDocument/2006/relationships/hyperlink" Target="imagenes/NAUTICA_MENS_208001378_BLK_3.jpg" TargetMode="External" Id="rId7000"/><Relationship Type="http://schemas.openxmlformats.org/officeDocument/2006/relationships/hyperlink" Target="imagenes/NAUTICA_MENS_208001378_DDN_1.jpg" TargetMode="External" Id="rId7001"/><Relationship Type="http://schemas.openxmlformats.org/officeDocument/2006/relationships/hyperlink" Target="imagenes/NAUTICA_MENS_208001378_DDN_2.jpg" TargetMode="External" Id="rId7002"/><Relationship Type="http://schemas.openxmlformats.org/officeDocument/2006/relationships/hyperlink" Target="imagenes/NAUTICA_MENS_208001378_DDN_3.jpg" TargetMode="External" Id="rId7003"/><Relationship Type="http://schemas.openxmlformats.org/officeDocument/2006/relationships/hyperlink" Target="imagenes/NAUTICA_MENS_208001378_DDN_1.jpg" TargetMode="External" Id="rId7004"/><Relationship Type="http://schemas.openxmlformats.org/officeDocument/2006/relationships/hyperlink" Target="imagenes/NAUTICA_MENS_208001378_DDN_2.jpg" TargetMode="External" Id="rId7005"/><Relationship Type="http://schemas.openxmlformats.org/officeDocument/2006/relationships/hyperlink" Target="imagenes/NAUTICA_MENS_208001378_DDN_3.jpg" TargetMode="External" Id="rId7006"/><Relationship Type="http://schemas.openxmlformats.org/officeDocument/2006/relationships/hyperlink" Target="imagenes/NAUTICA_MENS_208001378_DDN_1.jpg" TargetMode="External" Id="rId7007"/><Relationship Type="http://schemas.openxmlformats.org/officeDocument/2006/relationships/hyperlink" Target="imagenes/NAUTICA_MENS_208001378_DDN_2.jpg" TargetMode="External" Id="rId7008"/><Relationship Type="http://schemas.openxmlformats.org/officeDocument/2006/relationships/hyperlink" Target="imagenes/NAUTICA_MENS_208001378_DDN_3.jpg" TargetMode="External" Id="rId7009"/><Relationship Type="http://schemas.openxmlformats.org/officeDocument/2006/relationships/hyperlink" Target="imagenes/NAUTICA_MENS_208001378_DDN_1.jpg" TargetMode="External" Id="rId7010"/><Relationship Type="http://schemas.openxmlformats.org/officeDocument/2006/relationships/hyperlink" Target="imagenes/NAUTICA_MENS_208001378_DDN_2.jpg" TargetMode="External" Id="rId7011"/><Relationship Type="http://schemas.openxmlformats.org/officeDocument/2006/relationships/hyperlink" Target="imagenes/NAUTICA_MENS_208001378_DDN_3.jpg" TargetMode="External" Id="rId7012"/><Relationship Type="http://schemas.openxmlformats.org/officeDocument/2006/relationships/hyperlink" Target="imagenes/NAUTICA_MENS_208001378_DDN_1.jpg" TargetMode="External" Id="rId7013"/><Relationship Type="http://schemas.openxmlformats.org/officeDocument/2006/relationships/hyperlink" Target="imagenes/NAUTICA_MENS_208001378_DDN_2.jpg" TargetMode="External" Id="rId7014"/><Relationship Type="http://schemas.openxmlformats.org/officeDocument/2006/relationships/hyperlink" Target="imagenes/NAUTICA_MENS_208001378_DDN_3.jpg" TargetMode="External" Id="rId7015"/><Relationship Type="http://schemas.openxmlformats.org/officeDocument/2006/relationships/hyperlink" Target="imagenes/NAUTICA_MENS_208001378_DDN_1.jpg" TargetMode="External" Id="rId7016"/><Relationship Type="http://schemas.openxmlformats.org/officeDocument/2006/relationships/hyperlink" Target="imagenes/NAUTICA_MENS_208001378_DDN_2.jpg" TargetMode="External" Id="rId7017"/><Relationship Type="http://schemas.openxmlformats.org/officeDocument/2006/relationships/hyperlink" Target="imagenes/NAUTICA_MENS_208001378_DDN_3.jpg" TargetMode="External" Id="rId7018"/><Relationship Type="http://schemas.openxmlformats.org/officeDocument/2006/relationships/hyperlink" Target="imagenes/NAUTICA_MENS_208001378_DDN_1.jpg" TargetMode="External" Id="rId7019"/><Relationship Type="http://schemas.openxmlformats.org/officeDocument/2006/relationships/hyperlink" Target="imagenes/NAUTICA_MENS_208001378_DDN_2.jpg" TargetMode="External" Id="rId7020"/><Relationship Type="http://schemas.openxmlformats.org/officeDocument/2006/relationships/hyperlink" Target="imagenes/NAUTICA_MENS_208001378_DDN_3.jpg" TargetMode="External" Id="rId7021"/><Relationship Type="http://schemas.openxmlformats.org/officeDocument/2006/relationships/hyperlink" Target="imagenes/NAUTICA_MENS_208001378_GBN_1.jpg" TargetMode="External" Id="rId7022"/><Relationship Type="http://schemas.openxmlformats.org/officeDocument/2006/relationships/hyperlink" Target="imagenes/NAUTICA_MENS_208001378_GBN_2.jpg" TargetMode="External" Id="rId7023"/><Relationship Type="http://schemas.openxmlformats.org/officeDocument/2006/relationships/hyperlink" Target="imagenes/NAUTICA_MENS_208001378_GBN_3.jpg" TargetMode="External" Id="rId7024"/><Relationship Type="http://schemas.openxmlformats.org/officeDocument/2006/relationships/hyperlink" Target="imagenes/NAUTICA_MENS_208001378_GBN_1.jpg" TargetMode="External" Id="rId7025"/><Relationship Type="http://schemas.openxmlformats.org/officeDocument/2006/relationships/hyperlink" Target="imagenes/NAUTICA_MENS_208001378_GBN_2.jpg" TargetMode="External" Id="rId7026"/><Relationship Type="http://schemas.openxmlformats.org/officeDocument/2006/relationships/hyperlink" Target="imagenes/NAUTICA_MENS_208001378_GBN_3.jpg" TargetMode="External" Id="rId7027"/><Relationship Type="http://schemas.openxmlformats.org/officeDocument/2006/relationships/hyperlink" Target="imagenes/NAUTICA_MENS_208001378_GBN_1.jpg" TargetMode="External" Id="rId7028"/><Relationship Type="http://schemas.openxmlformats.org/officeDocument/2006/relationships/hyperlink" Target="imagenes/NAUTICA_MENS_208001378_GBN_2.jpg" TargetMode="External" Id="rId7029"/><Relationship Type="http://schemas.openxmlformats.org/officeDocument/2006/relationships/hyperlink" Target="imagenes/NAUTICA_MENS_208001378_GBN_3.jpg" TargetMode="External" Id="rId7030"/><Relationship Type="http://schemas.openxmlformats.org/officeDocument/2006/relationships/hyperlink" Target="imagenes/NAUTICA_MENS_208001378_GBN_1.jpg" TargetMode="External" Id="rId7031"/><Relationship Type="http://schemas.openxmlformats.org/officeDocument/2006/relationships/hyperlink" Target="imagenes/NAUTICA_MENS_208001378_GBN_2.jpg" TargetMode="External" Id="rId7032"/><Relationship Type="http://schemas.openxmlformats.org/officeDocument/2006/relationships/hyperlink" Target="imagenes/NAUTICA_MENS_208001378_GBN_3.jpg" TargetMode="External" Id="rId7033"/><Relationship Type="http://schemas.openxmlformats.org/officeDocument/2006/relationships/hyperlink" Target="imagenes/NAUTICA_MENS_208001378_GBN_1.jpg" TargetMode="External" Id="rId7034"/><Relationship Type="http://schemas.openxmlformats.org/officeDocument/2006/relationships/hyperlink" Target="imagenes/NAUTICA_MENS_208001378_GBN_2.jpg" TargetMode="External" Id="rId7035"/><Relationship Type="http://schemas.openxmlformats.org/officeDocument/2006/relationships/hyperlink" Target="imagenes/NAUTICA_MENS_208001378_GBN_3.jpg" TargetMode="External" Id="rId7036"/><Relationship Type="http://schemas.openxmlformats.org/officeDocument/2006/relationships/hyperlink" Target="imagenes/NAUTICA_MENS_208001378_GBN_1.jpg" TargetMode="External" Id="rId7037"/><Relationship Type="http://schemas.openxmlformats.org/officeDocument/2006/relationships/hyperlink" Target="imagenes/NAUTICA_MENS_208001378_GBN_2.jpg" TargetMode="External" Id="rId7038"/><Relationship Type="http://schemas.openxmlformats.org/officeDocument/2006/relationships/hyperlink" Target="imagenes/NAUTICA_MENS_208001378_GBN_3.jpg" TargetMode="External" Id="rId7039"/><Relationship Type="http://schemas.openxmlformats.org/officeDocument/2006/relationships/hyperlink" Target="imagenes/NAUTICA_MENS_208001378_GBN_1.jpg" TargetMode="External" Id="rId7040"/><Relationship Type="http://schemas.openxmlformats.org/officeDocument/2006/relationships/hyperlink" Target="imagenes/NAUTICA_MENS_208001378_GBN_2.jpg" TargetMode="External" Id="rId7041"/><Relationship Type="http://schemas.openxmlformats.org/officeDocument/2006/relationships/hyperlink" Target="imagenes/NAUTICA_MENS_208001378_GBN_3.jpg" TargetMode="External" Id="rId7042"/><Relationship Type="http://schemas.openxmlformats.org/officeDocument/2006/relationships/hyperlink" Target="imagenes/NAUTICA_MENS_208001378_MTA_1.jpg" TargetMode="External" Id="rId7043"/><Relationship Type="http://schemas.openxmlformats.org/officeDocument/2006/relationships/hyperlink" Target="imagenes/NAUTICA_MENS_208001378_MTA_2.jpg" TargetMode="External" Id="rId7044"/><Relationship Type="http://schemas.openxmlformats.org/officeDocument/2006/relationships/hyperlink" Target="imagenes/NAUTICA_MENS_208001378_MTA_3.jpg" TargetMode="External" Id="rId7045"/><Relationship Type="http://schemas.openxmlformats.org/officeDocument/2006/relationships/hyperlink" Target="imagenes/NAUTICA_MENS_208001378_MTA_1.jpg" TargetMode="External" Id="rId7046"/><Relationship Type="http://schemas.openxmlformats.org/officeDocument/2006/relationships/hyperlink" Target="imagenes/NAUTICA_MENS_208001378_MTA_2.jpg" TargetMode="External" Id="rId7047"/><Relationship Type="http://schemas.openxmlformats.org/officeDocument/2006/relationships/hyperlink" Target="imagenes/NAUTICA_MENS_208001378_MTA_3.jpg" TargetMode="External" Id="rId7048"/><Relationship Type="http://schemas.openxmlformats.org/officeDocument/2006/relationships/hyperlink" Target="imagenes/NAUTICA_MENS_208001378_MTA_1.jpg" TargetMode="External" Id="rId7049"/><Relationship Type="http://schemas.openxmlformats.org/officeDocument/2006/relationships/hyperlink" Target="imagenes/NAUTICA_MENS_208001378_MTA_2.jpg" TargetMode="External" Id="rId7050"/><Relationship Type="http://schemas.openxmlformats.org/officeDocument/2006/relationships/hyperlink" Target="imagenes/NAUTICA_MENS_208001378_MTA_3.jpg" TargetMode="External" Id="rId7051"/><Relationship Type="http://schemas.openxmlformats.org/officeDocument/2006/relationships/hyperlink" Target="imagenes/NAUTICA_MENS_208001378_MTA_1.jpg" TargetMode="External" Id="rId7052"/><Relationship Type="http://schemas.openxmlformats.org/officeDocument/2006/relationships/hyperlink" Target="imagenes/NAUTICA_MENS_208001378_MTA_2.jpg" TargetMode="External" Id="rId7053"/><Relationship Type="http://schemas.openxmlformats.org/officeDocument/2006/relationships/hyperlink" Target="imagenes/NAUTICA_MENS_208001378_MTA_3.jpg" TargetMode="External" Id="rId7054"/><Relationship Type="http://schemas.openxmlformats.org/officeDocument/2006/relationships/hyperlink" Target="imagenes/NAUTICA_MENS_208001378_MTA_1.jpg" TargetMode="External" Id="rId7055"/><Relationship Type="http://schemas.openxmlformats.org/officeDocument/2006/relationships/hyperlink" Target="imagenes/NAUTICA_MENS_208001378_MTA_2.jpg" TargetMode="External" Id="rId7056"/><Relationship Type="http://schemas.openxmlformats.org/officeDocument/2006/relationships/hyperlink" Target="imagenes/NAUTICA_MENS_208001378_MTA_3.jpg" TargetMode="External" Id="rId7057"/><Relationship Type="http://schemas.openxmlformats.org/officeDocument/2006/relationships/hyperlink" Target="imagenes/NAUTICA_MENS_208001378_MTA_1.jpg" TargetMode="External" Id="rId7058"/><Relationship Type="http://schemas.openxmlformats.org/officeDocument/2006/relationships/hyperlink" Target="imagenes/NAUTICA_MENS_208001378_MTA_2.jpg" TargetMode="External" Id="rId7059"/><Relationship Type="http://schemas.openxmlformats.org/officeDocument/2006/relationships/hyperlink" Target="imagenes/NAUTICA_MENS_208001378_MTA_3.jpg" TargetMode="External" Id="rId7060"/><Relationship Type="http://schemas.openxmlformats.org/officeDocument/2006/relationships/hyperlink" Target="imagenes/NAUTICA_MENS_208001378_NVY_1.jpg" TargetMode="External" Id="rId7061"/><Relationship Type="http://schemas.openxmlformats.org/officeDocument/2006/relationships/hyperlink" Target="imagenes/NAUTICA_MENS_208001378_NVY_2.jpg" TargetMode="External" Id="rId7062"/><Relationship Type="http://schemas.openxmlformats.org/officeDocument/2006/relationships/hyperlink" Target="imagenes/NAUTICA_MENS_208001378_NVY_3.jpg" TargetMode="External" Id="rId7063"/><Relationship Type="http://schemas.openxmlformats.org/officeDocument/2006/relationships/hyperlink" Target="imagenes/NAUTICA_MENS_208001378_NVY_1.jpg" TargetMode="External" Id="rId7064"/><Relationship Type="http://schemas.openxmlformats.org/officeDocument/2006/relationships/hyperlink" Target="imagenes/NAUTICA_MENS_208001378_NVY_2.jpg" TargetMode="External" Id="rId7065"/><Relationship Type="http://schemas.openxmlformats.org/officeDocument/2006/relationships/hyperlink" Target="imagenes/NAUTICA_MENS_208001378_NVY_3.jpg" TargetMode="External" Id="rId7066"/><Relationship Type="http://schemas.openxmlformats.org/officeDocument/2006/relationships/hyperlink" Target="imagenes/NAUTICA_MENS_208001378_NVY_1.jpg" TargetMode="External" Id="rId7067"/><Relationship Type="http://schemas.openxmlformats.org/officeDocument/2006/relationships/hyperlink" Target="imagenes/NAUTICA_MENS_208001378_NVY_2.jpg" TargetMode="External" Id="rId7068"/><Relationship Type="http://schemas.openxmlformats.org/officeDocument/2006/relationships/hyperlink" Target="imagenes/NAUTICA_MENS_208001378_NVY_3.jpg" TargetMode="External" Id="rId7069"/><Relationship Type="http://schemas.openxmlformats.org/officeDocument/2006/relationships/hyperlink" Target="imagenes/NAUTICA_MENS_208001378_NVY_1.jpg" TargetMode="External" Id="rId7070"/><Relationship Type="http://schemas.openxmlformats.org/officeDocument/2006/relationships/hyperlink" Target="imagenes/NAUTICA_MENS_208001378_NVY_2.jpg" TargetMode="External" Id="rId7071"/><Relationship Type="http://schemas.openxmlformats.org/officeDocument/2006/relationships/hyperlink" Target="imagenes/NAUTICA_MENS_208001378_NVY_3.jpg" TargetMode="External" Id="rId7072"/><Relationship Type="http://schemas.openxmlformats.org/officeDocument/2006/relationships/hyperlink" Target="imagenes/NAUTICA_MENS_208001378_NVY_1.jpg" TargetMode="External" Id="rId7073"/><Relationship Type="http://schemas.openxmlformats.org/officeDocument/2006/relationships/hyperlink" Target="imagenes/NAUTICA_MENS_208001378_NVY_2.jpg" TargetMode="External" Id="rId7074"/><Relationship Type="http://schemas.openxmlformats.org/officeDocument/2006/relationships/hyperlink" Target="imagenes/NAUTICA_MENS_208001378_NVY_3.jpg" TargetMode="External" Id="rId7075"/><Relationship Type="http://schemas.openxmlformats.org/officeDocument/2006/relationships/hyperlink" Target="imagenes/NAUTICA_MENS_208001378_NVY_1.jpg" TargetMode="External" Id="rId7076"/><Relationship Type="http://schemas.openxmlformats.org/officeDocument/2006/relationships/hyperlink" Target="imagenes/NAUTICA_MENS_208001378_NVY_2.jpg" TargetMode="External" Id="rId7077"/><Relationship Type="http://schemas.openxmlformats.org/officeDocument/2006/relationships/hyperlink" Target="imagenes/NAUTICA_MENS_208001378_NVY_3.jpg" TargetMode="External" Id="rId7078"/><Relationship Type="http://schemas.openxmlformats.org/officeDocument/2006/relationships/hyperlink" Target="imagenes/NAUTICA_MENS_208001378_NVY_1.jpg" TargetMode="External" Id="rId7079"/><Relationship Type="http://schemas.openxmlformats.org/officeDocument/2006/relationships/hyperlink" Target="imagenes/NAUTICA_MENS_208001378_NVY_2.jpg" TargetMode="External" Id="rId7080"/><Relationship Type="http://schemas.openxmlformats.org/officeDocument/2006/relationships/hyperlink" Target="imagenes/NAUTICA_MENS_208001378_NVY_3.jpg" TargetMode="External" Id="rId7081"/><Relationship Type="http://schemas.openxmlformats.org/officeDocument/2006/relationships/hyperlink" Target="imagenes/NAUTICA_MENS_208001378_OLB_1.jpg" TargetMode="External" Id="rId7082"/><Relationship Type="http://schemas.openxmlformats.org/officeDocument/2006/relationships/hyperlink" Target="imagenes/NAUTICA_MENS_208001378_OLB_2.jpg" TargetMode="External" Id="rId7083"/><Relationship Type="http://schemas.openxmlformats.org/officeDocument/2006/relationships/hyperlink" Target="imagenes/NAUTICA_MENS_208001378_OLB_3.jpg" TargetMode="External" Id="rId7084"/><Relationship Type="http://schemas.openxmlformats.org/officeDocument/2006/relationships/hyperlink" Target="imagenes/NAUTICA_MENS_208001378_OLB_1.jpg" TargetMode="External" Id="rId7085"/><Relationship Type="http://schemas.openxmlformats.org/officeDocument/2006/relationships/hyperlink" Target="imagenes/NAUTICA_MENS_208001378_OLB_2.jpg" TargetMode="External" Id="rId7086"/><Relationship Type="http://schemas.openxmlformats.org/officeDocument/2006/relationships/hyperlink" Target="imagenes/NAUTICA_MENS_208001378_OLB_3.jpg" TargetMode="External" Id="rId7087"/><Relationship Type="http://schemas.openxmlformats.org/officeDocument/2006/relationships/hyperlink" Target="imagenes/NAUTICA_MENS_208001378_OLB_1.jpg" TargetMode="External" Id="rId7088"/><Relationship Type="http://schemas.openxmlformats.org/officeDocument/2006/relationships/hyperlink" Target="imagenes/NAUTICA_MENS_208001378_OLB_2.jpg" TargetMode="External" Id="rId7089"/><Relationship Type="http://schemas.openxmlformats.org/officeDocument/2006/relationships/hyperlink" Target="imagenes/NAUTICA_MENS_208001378_OLB_3.jpg" TargetMode="External" Id="rId7090"/><Relationship Type="http://schemas.openxmlformats.org/officeDocument/2006/relationships/hyperlink" Target="imagenes/NAUTICA_MENS_208001378_OLB_1.jpg" TargetMode="External" Id="rId7091"/><Relationship Type="http://schemas.openxmlformats.org/officeDocument/2006/relationships/hyperlink" Target="imagenes/NAUTICA_MENS_208001378_OLB_2.jpg" TargetMode="External" Id="rId7092"/><Relationship Type="http://schemas.openxmlformats.org/officeDocument/2006/relationships/hyperlink" Target="imagenes/NAUTICA_MENS_208001378_OLB_3.jpg" TargetMode="External" Id="rId7093"/><Relationship Type="http://schemas.openxmlformats.org/officeDocument/2006/relationships/hyperlink" Target="imagenes/NAUTICA_MENS_208001378_OLB_1.jpg" TargetMode="External" Id="rId7094"/><Relationship Type="http://schemas.openxmlformats.org/officeDocument/2006/relationships/hyperlink" Target="imagenes/NAUTICA_MENS_208001378_OLB_2.jpg" TargetMode="External" Id="rId7095"/><Relationship Type="http://schemas.openxmlformats.org/officeDocument/2006/relationships/hyperlink" Target="imagenes/NAUTICA_MENS_208001378_OLB_3.jpg" TargetMode="External" Id="rId7096"/><Relationship Type="http://schemas.openxmlformats.org/officeDocument/2006/relationships/hyperlink" Target="imagenes/NAUTICA_MENS_208001530_BLK_1.jpg" TargetMode="External" Id="rId7097"/><Relationship Type="http://schemas.openxmlformats.org/officeDocument/2006/relationships/hyperlink" Target="imagenes/NAUTICA_MENS_208001530_BLK_2.jpg" TargetMode="External" Id="rId7098"/><Relationship Type="http://schemas.openxmlformats.org/officeDocument/2006/relationships/hyperlink" Target="imagenes/NAUTICA_MENS_208001530_BLK_3.jpg" TargetMode="External" Id="rId7099"/><Relationship Type="http://schemas.openxmlformats.org/officeDocument/2006/relationships/hyperlink" Target="imagenes/NAUTICA_MENS_208001530_BLK_1.jpg" TargetMode="External" Id="rId7100"/><Relationship Type="http://schemas.openxmlformats.org/officeDocument/2006/relationships/hyperlink" Target="imagenes/NAUTICA_MENS_208001530_BLK_2.jpg" TargetMode="External" Id="rId7101"/><Relationship Type="http://schemas.openxmlformats.org/officeDocument/2006/relationships/hyperlink" Target="imagenes/NAUTICA_MENS_208001530_BLK_3.jpg" TargetMode="External" Id="rId7102"/><Relationship Type="http://schemas.openxmlformats.org/officeDocument/2006/relationships/hyperlink" Target="imagenes/NAUTICA_MENS_208001530_CTR_1.jpg" TargetMode="External" Id="rId7103"/><Relationship Type="http://schemas.openxmlformats.org/officeDocument/2006/relationships/hyperlink" Target="imagenes/NAUTICA_MENS_208001530_CTR_2.jpg" TargetMode="External" Id="rId7104"/><Relationship Type="http://schemas.openxmlformats.org/officeDocument/2006/relationships/hyperlink" Target="imagenes/NAUTICA_MENS_208001530_CTR_3.jpg" TargetMode="External" Id="rId7105"/><Relationship Type="http://schemas.openxmlformats.org/officeDocument/2006/relationships/hyperlink" Target="imagenes/NAUTICA_MENS_208001603_BLK_1.jpg" TargetMode="External" Id="rId7106"/><Relationship Type="http://schemas.openxmlformats.org/officeDocument/2006/relationships/hyperlink" Target="imagenes/NAUTICA_MENS_208001603_BLK_2.jpg" TargetMode="External" Id="rId7107"/><Relationship Type="http://schemas.openxmlformats.org/officeDocument/2006/relationships/hyperlink" Target="imagenes/NAUTICA_MENS_208001603_BLK_3.jpg" TargetMode="External" Id="rId7108"/><Relationship Type="http://schemas.openxmlformats.org/officeDocument/2006/relationships/hyperlink" Target="imagenes/NAUTICA_MENS_208001603_DBR_1.jpg" TargetMode="External" Id="rId7109"/><Relationship Type="http://schemas.openxmlformats.org/officeDocument/2006/relationships/hyperlink" Target="imagenes/NAUTICA_MENS_208001603_DBR_2.jpg" TargetMode="External" Id="rId7110"/><Relationship Type="http://schemas.openxmlformats.org/officeDocument/2006/relationships/hyperlink" Target="imagenes/NAUTICA_MENS_208001603_DBR_3.jpg" TargetMode="External" Id="rId7111"/><Relationship Type="http://schemas.openxmlformats.org/officeDocument/2006/relationships/hyperlink" Target="imagenes/NAUTICA_MENS_208001603_DFS_1.jpg" TargetMode="External" Id="rId7112"/><Relationship Type="http://schemas.openxmlformats.org/officeDocument/2006/relationships/hyperlink" Target="imagenes/NAUTICA_MENS_208001603_DFS_2.jpg" TargetMode="External" Id="rId7113"/><Relationship Type="http://schemas.openxmlformats.org/officeDocument/2006/relationships/hyperlink" Target="imagenes/NAUTICA_MENS_208001603_DFS_3.jpg" TargetMode="External" Id="rId7114"/><Relationship Type="http://schemas.openxmlformats.org/officeDocument/2006/relationships/hyperlink" Target="imagenes/NAUTICA_MENS_208001603_MTA_1.jpg" TargetMode="External" Id="rId7115"/><Relationship Type="http://schemas.openxmlformats.org/officeDocument/2006/relationships/hyperlink" Target="imagenes/NAUTICA_MENS_208001603_MTA_2.jpg" TargetMode="External" Id="rId7116"/><Relationship Type="http://schemas.openxmlformats.org/officeDocument/2006/relationships/hyperlink" Target="imagenes/NAUTICA_MENS_208001603_MTA_3.jpg" TargetMode="External" Id="rId7117"/><Relationship Type="http://schemas.openxmlformats.org/officeDocument/2006/relationships/hyperlink" Target="imagenes/NAUTICA_MENS_208002223_EBN_1.jpg" TargetMode="External" Id="rId7118"/><Relationship Type="http://schemas.openxmlformats.org/officeDocument/2006/relationships/hyperlink" Target="imagenes/NAUTICA_MENS_208002223_EBN_2.jpg" TargetMode="External" Id="rId7119"/><Relationship Type="http://schemas.openxmlformats.org/officeDocument/2006/relationships/hyperlink" Target="imagenes/NAUTICA_MENS_208002223_EBN_3.jpg" TargetMode="External" Id="rId7120"/><Relationship Type="http://schemas.openxmlformats.org/officeDocument/2006/relationships/hyperlink" Target="imagenes/NAUTICA_MENS_208002223_EBN_1.jpg" TargetMode="External" Id="rId7121"/><Relationship Type="http://schemas.openxmlformats.org/officeDocument/2006/relationships/hyperlink" Target="imagenes/NAUTICA_MENS_208002223_EBN_2.jpg" TargetMode="External" Id="rId7122"/><Relationship Type="http://schemas.openxmlformats.org/officeDocument/2006/relationships/hyperlink" Target="imagenes/NAUTICA_MENS_208002223_EBN_3.jpg" TargetMode="External" Id="rId7123"/><Relationship Type="http://schemas.openxmlformats.org/officeDocument/2006/relationships/hyperlink" Target="imagenes/NAUTICA_MENS_208002223_EBN_1.jpg" TargetMode="External" Id="rId7124"/><Relationship Type="http://schemas.openxmlformats.org/officeDocument/2006/relationships/hyperlink" Target="imagenes/NAUTICA_MENS_208002223_EBN_2.jpg" TargetMode="External" Id="rId7125"/><Relationship Type="http://schemas.openxmlformats.org/officeDocument/2006/relationships/hyperlink" Target="imagenes/NAUTICA_MENS_208002223_EBN_3.jpg" TargetMode="External" Id="rId7126"/><Relationship Type="http://schemas.openxmlformats.org/officeDocument/2006/relationships/hyperlink" Target="imagenes/NAUTICA_MENS_208002223_EBN_1.jpg" TargetMode="External" Id="rId7127"/><Relationship Type="http://schemas.openxmlformats.org/officeDocument/2006/relationships/hyperlink" Target="imagenes/NAUTICA_MENS_208002223_EBN_2.jpg" TargetMode="External" Id="rId7128"/><Relationship Type="http://schemas.openxmlformats.org/officeDocument/2006/relationships/hyperlink" Target="imagenes/NAUTICA_MENS_208002223_EBN_3.jpg" TargetMode="External" Id="rId7129"/><Relationship Type="http://schemas.openxmlformats.org/officeDocument/2006/relationships/hyperlink" Target="imagenes/NAUTICA_MENS_208002223_MTA_1.jpg" TargetMode="External" Id="rId7130"/><Relationship Type="http://schemas.openxmlformats.org/officeDocument/2006/relationships/hyperlink" Target="imagenes/NAUTICA_MENS_208002223_MTA_2.jpg" TargetMode="External" Id="rId7131"/><Relationship Type="http://schemas.openxmlformats.org/officeDocument/2006/relationships/hyperlink" Target="imagenes/NAUTICA_MENS_208002223_MTA_3.jpg" TargetMode="External" Id="rId7132"/><Relationship Type="http://schemas.openxmlformats.org/officeDocument/2006/relationships/hyperlink" Target="imagenes/NAUTICA_MENS_208002223_MTA_1.jpg" TargetMode="External" Id="rId7133"/><Relationship Type="http://schemas.openxmlformats.org/officeDocument/2006/relationships/hyperlink" Target="imagenes/NAUTICA_MENS_208002223_MTA_2.jpg" TargetMode="External" Id="rId7134"/><Relationship Type="http://schemas.openxmlformats.org/officeDocument/2006/relationships/hyperlink" Target="imagenes/NAUTICA_MENS_208002223_MTA_3.jpg" TargetMode="External" Id="rId7135"/><Relationship Type="http://schemas.openxmlformats.org/officeDocument/2006/relationships/hyperlink" Target="imagenes/NAUTICA_MENS_208002538_CLG_1.jpg" TargetMode="External" Id="rId7136"/><Relationship Type="http://schemas.openxmlformats.org/officeDocument/2006/relationships/hyperlink" Target="imagenes/NAUTICA_MENS_208002538_CLG_2.jpg" TargetMode="External" Id="rId7137"/><Relationship Type="http://schemas.openxmlformats.org/officeDocument/2006/relationships/hyperlink" Target="imagenes/NAUTICA_MENS_208002538_CLG_3.jpg" TargetMode="External" Id="rId7138"/><Relationship Type="http://schemas.openxmlformats.org/officeDocument/2006/relationships/hyperlink" Target="imagenes/NAUTICA_MENS_208002538_CLG_1.jpg" TargetMode="External" Id="rId7139"/><Relationship Type="http://schemas.openxmlformats.org/officeDocument/2006/relationships/hyperlink" Target="imagenes/NAUTICA_MENS_208002538_CLG_2.jpg" TargetMode="External" Id="rId7140"/><Relationship Type="http://schemas.openxmlformats.org/officeDocument/2006/relationships/hyperlink" Target="imagenes/NAUTICA_MENS_208002538_CLG_3.jpg" TargetMode="External" Id="rId7141"/><Relationship Type="http://schemas.openxmlformats.org/officeDocument/2006/relationships/hyperlink" Target="imagenes/NAUTICA_MENS_208002538_CLG_1.jpg" TargetMode="External" Id="rId7142"/><Relationship Type="http://schemas.openxmlformats.org/officeDocument/2006/relationships/hyperlink" Target="imagenes/NAUTICA_MENS_208002538_CLG_2.jpg" TargetMode="External" Id="rId7143"/><Relationship Type="http://schemas.openxmlformats.org/officeDocument/2006/relationships/hyperlink" Target="imagenes/NAUTICA_MENS_208002538_CLG_3.jpg" TargetMode="External" Id="rId7144"/><Relationship Type="http://schemas.openxmlformats.org/officeDocument/2006/relationships/hyperlink" Target="imagenes/NAUTICA_MENS_208002538_CLG_1.jpg" TargetMode="External" Id="rId7145"/><Relationship Type="http://schemas.openxmlformats.org/officeDocument/2006/relationships/hyperlink" Target="imagenes/NAUTICA_MENS_208002538_CLG_2.jpg" TargetMode="External" Id="rId7146"/><Relationship Type="http://schemas.openxmlformats.org/officeDocument/2006/relationships/hyperlink" Target="imagenes/NAUTICA_MENS_208002538_CLG_3.jpg" TargetMode="External" Id="rId7147"/><Relationship Type="http://schemas.openxmlformats.org/officeDocument/2006/relationships/hyperlink" Target="imagenes/NAUTICA_MENS_208002538_CLG_1.jpg" TargetMode="External" Id="rId7148"/><Relationship Type="http://schemas.openxmlformats.org/officeDocument/2006/relationships/hyperlink" Target="imagenes/NAUTICA_MENS_208002538_CLG_2.jpg" TargetMode="External" Id="rId7149"/><Relationship Type="http://schemas.openxmlformats.org/officeDocument/2006/relationships/hyperlink" Target="imagenes/NAUTICA_MENS_208002538_CLG_3.jpg" TargetMode="External" Id="rId7150"/><Relationship Type="http://schemas.openxmlformats.org/officeDocument/2006/relationships/hyperlink" Target="imagenes/NAUTICA_MENS_208002538_CLG_1.jpg" TargetMode="External" Id="rId7151"/><Relationship Type="http://schemas.openxmlformats.org/officeDocument/2006/relationships/hyperlink" Target="imagenes/NAUTICA_MENS_208002538_CLG_2.jpg" TargetMode="External" Id="rId7152"/><Relationship Type="http://schemas.openxmlformats.org/officeDocument/2006/relationships/hyperlink" Target="imagenes/NAUTICA_MENS_208002538_CLG_3.jpg" TargetMode="External" Id="rId7153"/><Relationship Type="http://schemas.openxmlformats.org/officeDocument/2006/relationships/hyperlink" Target="imagenes/NAUTICA_MENS_208002538_CLG_1.jpg" TargetMode="External" Id="rId7154"/><Relationship Type="http://schemas.openxmlformats.org/officeDocument/2006/relationships/hyperlink" Target="imagenes/NAUTICA_MENS_208002538_CLG_2.jpg" TargetMode="External" Id="rId7155"/><Relationship Type="http://schemas.openxmlformats.org/officeDocument/2006/relationships/hyperlink" Target="imagenes/NAUTICA_MENS_208002538_CLG_3.jpg" TargetMode="External" Id="rId7156"/><Relationship Type="http://schemas.openxmlformats.org/officeDocument/2006/relationships/hyperlink" Target="imagenes/NAUTICA_MENS_208002538_NSS_1.jpg" TargetMode="External" Id="rId7157"/><Relationship Type="http://schemas.openxmlformats.org/officeDocument/2006/relationships/hyperlink" Target="imagenes/NAUTICA_MENS_208002538_NSS_2.jpg" TargetMode="External" Id="rId7158"/><Relationship Type="http://schemas.openxmlformats.org/officeDocument/2006/relationships/hyperlink" Target="imagenes/NAUTICA_MENS_208002538_NSS_3.jpg" TargetMode="External" Id="rId7159"/><Relationship Type="http://schemas.openxmlformats.org/officeDocument/2006/relationships/hyperlink" Target="imagenes/NAUTICA_MENS_208002538_NSS_1.jpg" TargetMode="External" Id="rId7160"/><Relationship Type="http://schemas.openxmlformats.org/officeDocument/2006/relationships/hyperlink" Target="imagenes/NAUTICA_MENS_208002538_NSS_2.jpg" TargetMode="External" Id="rId7161"/><Relationship Type="http://schemas.openxmlformats.org/officeDocument/2006/relationships/hyperlink" Target="imagenes/NAUTICA_MENS_208002538_NSS_3.jpg" TargetMode="External" Id="rId7162"/><Relationship Type="http://schemas.openxmlformats.org/officeDocument/2006/relationships/hyperlink" Target="imagenes/NAUTICA_MENS_208002538_NSS_1.jpg" TargetMode="External" Id="rId7163"/><Relationship Type="http://schemas.openxmlformats.org/officeDocument/2006/relationships/hyperlink" Target="imagenes/NAUTICA_MENS_208002538_NSS_2.jpg" TargetMode="External" Id="rId7164"/><Relationship Type="http://schemas.openxmlformats.org/officeDocument/2006/relationships/hyperlink" Target="imagenes/NAUTICA_MENS_208002538_NSS_3.jpg" TargetMode="External" Id="rId7165"/><Relationship Type="http://schemas.openxmlformats.org/officeDocument/2006/relationships/hyperlink" Target="imagenes/NAUTICA_MENS_208002538_NSS_1.jpg" TargetMode="External" Id="rId7166"/><Relationship Type="http://schemas.openxmlformats.org/officeDocument/2006/relationships/hyperlink" Target="imagenes/NAUTICA_MENS_208002538_NSS_2.jpg" TargetMode="External" Id="rId7167"/><Relationship Type="http://schemas.openxmlformats.org/officeDocument/2006/relationships/hyperlink" Target="imagenes/NAUTICA_MENS_208002538_NSS_3.jpg" TargetMode="External" Id="rId7168"/><Relationship Type="http://schemas.openxmlformats.org/officeDocument/2006/relationships/hyperlink" Target="imagenes/NAUTICA_MENS_208002538_NSS_1.jpg" TargetMode="External" Id="rId7169"/><Relationship Type="http://schemas.openxmlformats.org/officeDocument/2006/relationships/hyperlink" Target="imagenes/NAUTICA_MENS_208002538_NSS_2.jpg" TargetMode="External" Id="rId7170"/><Relationship Type="http://schemas.openxmlformats.org/officeDocument/2006/relationships/hyperlink" Target="imagenes/NAUTICA_MENS_208002538_NSS_3.jpg" TargetMode="External" Id="rId7171"/><Relationship Type="http://schemas.openxmlformats.org/officeDocument/2006/relationships/hyperlink" Target="imagenes/NAUTICA_MENS_208002538_NSS_1.jpg" TargetMode="External" Id="rId7172"/><Relationship Type="http://schemas.openxmlformats.org/officeDocument/2006/relationships/hyperlink" Target="imagenes/NAUTICA_MENS_208002538_NSS_2.jpg" TargetMode="External" Id="rId7173"/><Relationship Type="http://schemas.openxmlformats.org/officeDocument/2006/relationships/hyperlink" Target="imagenes/NAUTICA_MENS_208002538_NSS_3.jpg" TargetMode="External" Id="rId7174"/><Relationship Type="http://schemas.openxmlformats.org/officeDocument/2006/relationships/hyperlink" Target="imagenes/NAUTICA_MENS_208002538_NSS_1.jpg" TargetMode="External" Id="rId7175"/><Relationship Type="http://schemas.openxmlformats.org/officeDocument/2006/relationships/hyperlink" Target="imagenes/NAUTICA_MENS_208002538_NSS_2.jpg" TargetMode="External" Id="rId7176"/><Relationship Type="http://schemas.openxmlformats.org/officeDocument/2006/relationships/hyperlink" Target="imagenes/NAUTICA_MENS_208002538_NSS_3.jpg" TargetMode="External" Id="rId7177"/><Relationship Type="http://schemas.openxmlformats.org/officeDocument/2006/relationships/hyperlink" Target="imagenes/NAUTICA_MENS_208003174_BGI_1.jpg" TargetMode="External" Id="rId7178"/><Relationship Type="http://schemas.openxmlformats.org/officeDocument/2006/relationships/hyperlink" Target="imagenes/NAUTICA_MENS_208003174_BGI_2.jpg" TargetMode="External" Id="rId7179"/><Relationship Type="http://schemas.openxmlformats.org/officeDocument/2006/relationships/hyperlink" Target="imagenes/NAUTICA_MENS_208003174_BGI_3.jpg" TargetMode="External" Id="rId7180"/><Relationship Type="http://schemas.openxmlformats.org/officeDocument/2006/relationships/hyperlink" Target="imagenes/NAUTICA_MENS_208003174_BGI_1.jpg" TargetMode="External" Id="rId7181"/><Relationship Type="http://schemas.openxmlformats.org/officeDocument/2006/relationships/hyperlink" Target="imagenes/NAUTICA_MENS_208003174_BGI_2.jpg" TargetMode="External" Id="rId7182"/><Relationship Type="http://schemas.openxmlformats.org/officeDocument/2006/relationships/hyperlink" Target="imagenes/NAUTICA_MENS_208003174_BGI_3.jpg" TargetMode="External" Id="rId7183"/><Relationship Type="http://schemas.openxmlformats.org/officeDocument/2006/relationships/hyperlink" Target="imagenes/NAUTICA_MENS_208003174_BGI_1.jpg" TargetMode="External" Id="rId7184"/><Relationship Type="http://schemas.openxmlformats.org/officeDocument/2006/relationships/hyperlink" Target="imagenes/NAUTICA_MENS_208003174_BGI_2.jpg" TargetMode="External" Id="rId7185"/><Relationship Type="http://schemas.openxmlformats.org/officeDocument/2006/relationships/hyperlink" Target="imagenes/NAUTICA_MENS_208003174_BGI_3.jpg" TargetMode="External" Id="rId7186"/><Relationship Type="http://schemas.openxmlformats.org/officeDocument/2006/relationships/hyperlink" Target="imagenes/NAUTICA_MENS_208003174_BGI_1.jpg" TargetMode="External" Id="rId7187"/><Relationship Type="http://schemas.openxmlformats.org/officeDocument/2006/relationships/hyperlink" Target="imagenes/NAUTICA_MENS_208003174_BGI_2.jpg" TargetMode="External" Id="rId7188"/><Relationship Type="http://schemas.openxmlformats.org/officeDocument/2006/relationships/hyperlink" Target="imagenes/NAUTICA_MENS_208003174_BGI_3.jpg" TargetMode="External" Id="rId7189"/><Relationship Type="http://schemas.openxmlformats.org/officeDocument/2006/relationships/hyperlink" Target="imagenes/NAUTICA_MENS_208003174_BGI_1.jpg" TargetMode="External" Id="rId7190"/><Relationship Type="http://schemas.openxmlformats.org/officeDocument/2006/relationships/hyperlink" Target="imagenes/NAUTICA_MENS_208003174_BGI_2.jpg" TargetMode="External" Id="rId7191"/><Relationship Type="http://schemas.openxmlformats.org/officeDocument/2006/relationships/hyperlink" Target="imagenes/NAUTICA_MENS_208003174_BGI_3.jpg" TargetMode="External" Id="rId7192"/><Relationship Type="http://schemas.openxmlformats.org/officeDocument/2006/relationships/hyperlink" Target="imagenes/NAUTICA_MENS_208003174_BGI_1.jpg" TargetMode="External" Id="rId7193"/><Relationship Type="http://schemas.openxmlformats.org/officeDocument/2006/relationships/hyperlink" Target="imagenes/NAUTICA_MENS_208003174_BGI_2.jpg" TargetMode="External" Id="rId7194"/><Relationship Type="http://schemas.openxmlformats.org/officeDocument/2006/relationships/hyperlink" Target="imagenes/NAUTICA_MENS_208003174_BGI_3.jpg" TargetMode="External" Id="rId7195"/><Relationship Type="http://schemas.openxmlformats.org/officeDocument/2006/relationships/hyperlink" Target="imagenes/NAUTICA_MENS_208003174_BGI_1.jpg" TargetMode="External" Id="rId7196"/><Relationship Type="http://schemas.openxmlformats.org/officeDocument/2006/relationships/hyperlink" Target="imagenes/NAUTICA_MENS_208003174_BGI_2.jpg" TargetMode="External" Id="rId7197"/><Relationship Type="http://schemas.openxmlformats.org/officeDocument/2006/relationships/hyperlink" Target="imagenes/NAUTICA_MENS_208003174_BGI_3.jpg" TargetMode="External" Id="rId7198"/><Relationship Type="http://schemas.openxmlformats.org/officeDocument/2006/relationships/hyperlink" Target="imagenes/NAUTICA_MENS_208003174_NVY_1.jpg" TargetMode="External" Id="rId7199"/><Relationship Type="http://schemas.openxmlformats.org/officeDocument/2006/relationships/hyperlink" Target="imagenes/NAUTICA_MENS_208003174_NVY_2.jpg" TargetMode="External" Id="rId7200"/><Relationship Type="http://schemas.openxmlformats.org/officeDocument/2006/relationships/hyperlink" Target="imagenes/NAUTICA_MENS_208003174_NVY_3.jpg" TargetMode="External" Id="rId7201"/><Relationship Type="http://schemas.openxmlformats.org/officeDocument/2006/relationships/hyperlink" Target="imagenes/NAUTICA_MENS_208003174_NVY_1.jpg" TargetMode="External" Id="rId7202"/><Relationship Type="http://schemas.openxmlformats.org/officeDocument/2006/relationships/hyperlink" Target="imagenes/NAUTICA_MENS_208003174_NVY_2.jpg" TargetMode="External" Id="rId7203"/><Relationship Type="http://schemas.openxmlformats.org/officeDocument/2006/relationships/hyperlink" Target="imagenes/NAUTICA_MENS_208003174_NVY_3.jpg" TargetMode="External" Id="rId7204"/><Relationship Type="http://schemas.openxmlformats.org/officeDocument/2006/relationships/hyperlink" Target="imagenes/NAUTICA_MENS_208003174_NVY_1.jpg" TargetMode="External" Id="rId7205"/><Relationship Type="http://schemas.openxmlformats.org/officeDocument/2006/relationships/hyperlink" Target="imagenes/NAUTICA_MENS_208003174_NVY_2.jpg" TargetMode="External" Id="rId7206"/><Relationship Type="http://schemas.openxmlformats.org/officeDocument/2006/relationships/hyperlink" Target="imagenes/NAUTICA_MENS_208003174_NVY_3.jpg" TargetMode="External" Id="rId7207"/><Relationship Type="http://schemas.openxmlformats.org/officeDocument/2006/relationships/hyperlink" Target="imagenes/NAUTICA_MENS_208003174_NVY_1.jpg" TargetMode="External" Id="rId7208"/><Relationship Type="http://schemas.openxmlformats.org/officeDocument/2006/relationships/hyperlink" Target="imagenes/NAUTICA_MENS_208003174_NVY_2.jpg" TargetMode="External" Id="rId7209"/><Relationship Type="http://schemas.openxmlformats.org/officeDocument/2006/relationships/hyperlink" Target="imagenes/NAUTICA_MENS_208003174_NVY_3.jpg" TargetMode="External" Id="rId7210"/><Relationship Type="http://schemas.openxmlformats.org/officeDocument/2006/relationships/hyperlink" Target="imagenes/NAUTICA_MENS_208003174_NVY_1.jpg" TargetMode="External" Id="rId7211"/><Relationship Type="http://schemas.openxmlformats.org/officeDocument/2006/relationships/hyperlink" Target="imagenes/NAUTICA_MENS_208003174_NVY_2.jpg" TargetMode="External" Id="rId7212"/><Relationship Type="http://schemas.openxmlformats.org/officeDocument/2006/relationships/hyperlink" Target="imagenes/NAUTICA_MENS_208003174_NVY_3.jpg" TargetMode="External" Id="rId7213"/><Relationship Type="http://schemas.openxmlformats.org/officeDocument/2006/relationships/hyperlink" Target="imagenes/NAUTICA_MENS_208003174_NVY_1.jpg" TargetMode="External" Id="rId7214"/><Relationship Type="http://schemas.openxmlformats.org/officeDocument/2006/relationships/hyperlink" Target="imagenes/NAUTICA_MENS_208003174_NVY_2.jpg" TargetMode="External" Id="rId7215"/><Relationship Type="http://schemas.openxmlformats.org/officeDocument/2006/relationships/hyperlink" Target="imagenes/NAUTICA_MENS_208003174_NVY_3.jpg" TargetMode="External" Id="rId7216"/><Relationship Type="http://schemas.openxmlformats.org/officeDocument/2006/relationships/hyperlink" Target="imagenes/NAUTICA_MENS_208003174_NVY_1.jpg" TargetMode="External" Id="rId7217"/><Relationship Type="http://schemas.openxmlformats.org/officeDocument/2006/relationships/hyperlink" Target="imagenes/NAUTICA_MENS_208003174_NVY_2.jpg" TargetMode="External" Id="rId7218"/><Relationship Type="http://schemas.openxmlformats.org/officeDocument/2006/relationships/hyperlink" Target="imagenes/NAUTICA_MENS_208003174_NVY_3.jpg" TargetMode="External" Id="rId7219"/><Relationship Type="http://schemas.openxmlformats.org/officeDocument/2006/relationships/hyperlink" Target="imagenes/NAUTICA_MENS_208003174_NVY_1.jpg" TargetMode="External" Id="rId7220"/><Relationship Type="http://schemas.openxmlformats.org/officeDocument/2006/relationships/hyperlink" Target="imagenes/NAUTICA_MENS_208003174_NVY_2.jpg" TargetMode="External" Id="rId7221"/><Relationship Type="http://schemas.openxmlformats.org/officeDocument/2006/relationships/hyperlink" Target="imagenes/NAUTICA_MENS_208003174_NVY_3.jpg" TargetMode="External" Id="rId7222"/><Relationship Type="http://schemas.openxmlformats.org/officeDocument/2006/relationships/hyperlink" Target="imagenes/NAUTICA_MENS_208003174_NVY_1.jpg" TargetMode="External" Id="rId7223"/><Relationship Type="http://schemas.openxmlformats.org/officeDocument/2006/relationships/hyperlink" Target="imagenes/NAUTICA_MENS_208003174_NVY_2.jpg" TargetMode="External" Id="rId7224"/><Relationship Type="http://schemas.openxmlformats.org/officeDocument/2006/relationships/hyperlink" Target="imagenes/NAUTICA_MENS_208003174_NVY_3.jpg" TargetMode="External" Id="rId7225"/><Relationship Type="http://schemas.openxmlformats.org/officeDocument/2006/relationships/hyperlink" Target="imagenes/NAUTICA_MENS_208003174_NVY_1.jpg" TargetMode="External" Id="rId7226"/><Relationship Type="http://schemas.openxmlformats.org/officeDocument/2006/relationships/hyperlink" Target="imagenes/NAUTICA_MENS_208003174_NVY_2.jpg" TargetMode="External" Id="rId7227"/><Relationship Type="http://schemas.openxmlformats.org/officeDocument/2006/relationships/hyperlink" Target="imagenes/NAUTICA_MENS_208003174_NVY_3.jpg" TargetMode="External" Id="rId7228"/><Relationship Type="http://schemas.openxmlformats.org/officeDocument/2006/relationships/hyperlink" Target="imagenes/NAUTICA_MENS_208003174_NVY_1.jpg" TargetMode="External" Id="rId7229"/><Relationship Type="http://schemas.openxmlformats.org/officeDocument/2006/relationships/hyperlink" Target="imagenes/NAUTICA_MENS_208003174_NVY_2.jpg" TargetMode="External" Id="rId7230"/><Relationship Type="http://schemas.openxmlformats.org/officeDocument/2006/relationships/hyperlink" Target="imagenes/NAUTICA_MENS_208003174_NVY_3.jpg" TargetMode="External" Id="rId7231"/><Relationship Type="http://schemas.openxmlformats.org/officeDocument/2006/relationships/hyperlink" Target="imagenes/NAUTICA_MENS_208003174_NVY_1.jpg" TargetMode="External" Id="rId7232"/><Relationship Type="http://schemas.openxmlformats.org/officeDocument/2006/relationships/hyperlink" Target="imagenes/NAUTICA_MENS_208003174_NVY_2.jpg" TargetMode="External" Id="rId7233"/><Relationship Type="http://schemas.openxmlformats.org/officeDocument/2006/relationships/hyperlink" Target="imagenes/NAUTICA_MENS_208003174_NVY_3.jpg" TargetMode="External" Id="rId7234"/><Relationship Type="http://schemas.openxmlformats.org/officeDocument/2006/relationships/hyperlink" Target="imagenes/NAUTICA_MENS_208003174_NVY_1.jpg" TargetMode="External" Id="rId7235"/><Relationship Type="http://schemas.openxmlformats.org/officeDocument/2006/relationships/hyperlink" Target="imagenes/NAUTICA_MENS_208003174_NVY_2.jpg" TargetMode="External" Id="rId7236"/><Relationship Type="http://schemas.openxmlformats.org/officeDocument/2006/relationships/hyperlink" Target="imagenes/NAUTICA_MENS_208003174_NVY_3.jpg" TargetMode="External" Id="rId7237"/><Relationship Type="http://schemas.openxmlformats.org/officeDocument/2006/relationships/hyperlink" Target="imagenes/NAUTICA_MENS_208003174_NVY_1.jpg" TargetMode="External" Id="rId7238"/><Relationship Type="http://schemas.openxmlformats.org/officeDocument/2006/relationships/hyperlink" Target="imagenes/NAUTICA_MENS_208003174_NVY_2.jpg" TargetMode="External" Id="rId7239"/><Relationship Type="http://schemas.openxmlformats.org/officeDocument/2006/relationships/hyperlink" Target="imagenes/NAUTICA_MENS_208003174_NVY_3.jpg" TargetMode="External" Id="rId7240"/><Relationship Type="http://schemas.openxmlformats.org/officeDocument/2006/relationships/hyperlink" Target="imagenes/NAUTICA_MENS_208003174_RPD_1.jpg" TargetMode="External" Id="rId7241"/><Relationship Type="http://schemas.openxmlformats.org/officeDocument/2006/relationships/hyperlink" Target="imagenes/NAUTICA_MENS_208003174_RPD_2.jpg" TargetMode="External" Id="rId7242"/><Relationship Type="http://schemas.openxmlformats.org/officeDocument/2006/relationships/hyperlink" Target="imagenes/NAUTICA_MENS_208003174_RPD_3.jpg" TargetMode="External" Id="rId7243"/><Relationship Type="http://schemas.openxmlformats.org/officeDocument/2006/relationships/hyperlink" Target="imagenes/NAUTICA_MENS_208003174_RPD_1.jpg" TargetMode="External" Id="rId7244"/><Relationship Type="http://schemas.openxmlformats.org/officeDocument/2006/relationships/hyperlink" Target="imagenes/NAUTICA_MENS_208003174_RPD_2.jpg" TargetMode="External" Id="rId7245"/><Relationship Type="http://schemas.openxmlformats.org/officeDocument/2006/relationships/hyperlink" Target="imagenes/NAUTICA_MENS_208003174_RPD_3.jpg" TargetMode="External" Id="rId7246"/><Relationship Type="http://schemas.openxmlformats.org/officeDocument/2006/relationships/hyperlink" Target="imagenes/NAUTICA_MENS_208003174_RPD_1.jpg" TargetMode="External" Id="rId7247"/><Relationship Type="http://schemas.openxmlformats.org/officeDocument/2006/relationships/hyperlink" Target="imagenes/NAUTICA_MENS_208003174_RPD_2.jpg" TargetMode="External" Id="rId7248"/><Relationship Type="http://schemas.openxmlformats.org/officeDocument/2006/relationships/hyperlink" Target="imagenes/NAUTICA_MENS_208003174_RPD_3.jpg" TargetMode="External" Id="rId7249"/><Relationship Type="http://schemas.openxmlformats.org/officeDocument/2006/relationships/hyperlink" Target="imagenes/NAUTICA_MENS_208003174_RPD_1.jpg" TargetMode="External" Id="rId7250"/><Relationship Type="http://schemas.openxmlformats.org/officeDocument/2006/relationships/hyperlink" Target="imagenes/NAUTICA_MENS_208003174_RPD_2.jpg" TargetMode="External" Id="rId7251"/><Relationship Type="http://schemas.openxmlformats.org/officeDocument/2006/relationships/hyperlink" Target="imagenes/NAUTICA_MENS_208003174_RPD_3.jpg" TargetMode="External" Id="rId7252"/><Relationship Type="http://schemas.openxmlformats.org/officeDocument/2006/relationships/hyperlink" Target="imagenes/NAUTICA_MENS_208003174_RPD_1.jpg" TargetMode="External" Id="rId7253"/><Relationship Type="http://schemas.openxmlformats.org/officeDocument/2006/relationships/hyperlink" Target="imagenes/NAUTICA_MENS_208003174_RPD_2.jpg" TargetMode="External" Id="rId7254"/><Relationship Type="http://schemas.openxmlformats.org/officeDocument/2006/relationships/hyperlink" Target="imagenes/NAUTICA_MENS_208003174_RPD_3.jpg" TargetMode="External" Id="rId7255"/><Relationship Type="http://schemas.openxmlformats.org/officeDocument/2006/relationships/hyperlink" Target="imagenes/NAUTICA_MENS_208003174_RPD_1.jpg" TargetMode="External" Id="rId7256"/><Relationship Type="http://schemas.openxmlformats.org/officeDocument/2006/relationships/hyperlink" Target="imagenes/NAUTICA_MENS_208003174_RPD_2.jpg" TargetMode="External" Id="rId7257"/><Relationship Type="http://schemas.openxmlformats.org/officeDocument/2006/relationships/hyperlink" Target="imagenes/NAUTICA_MENS_208003174_RPD_3.jpg" TargetMode="External" Id="rId7258"/><Relationship Type="http://schemas.openxmlformats.org/officeDocument/2006/relationships/hyperlink" Target="imagenes/NAUTICA_MENS_208003174_RPD_1.jpg" TargetMode="External" Id="rId7259"/><Relationship Type="http://schemas.openxmlformats.org/officeDocument/2006/relationships/hyperlink" Target="imagenes/NAUTICA_MENS_208003174_RPD_2.jpg" TargetMode="External" Id="rId7260"/><Relationship Type="http://schemas.openxmlformats.org/officeDocument/2006/relationships/hyperlink" Target="imagenes/NAUTICA_MENS_208003174_RPD_3.jpg" TargetMode="External" Id="rId7261"/><Relationship Type="http://schemas.openxmlformats.org/officeDocument/2006/relationships/hyperlink" Target="imagenes/NAUTICA_MENS_208003174_RPD_1.jpg" TargetMode="External" Id="rId7262"/><Relationship Type="http://schemas.openxmlformats.org/officeDocument/2006/relationships/hyperlink" Target="imagenes/NAUTICA_MENS_208003174_RPD_2.jpg" TargetMode="External" Id="rId7263"/><Relationship Type="http://schemas.openxmlformats.org/officeDocument/2006/relationships/hyperlink" Target="imagenes/NAUTICA_MENS_208003174_RPD_3.jpg" TargetMode="External" Id="rId7264"/><Relationship Type="http://schemas.openxmlformats.org/officeDocument/2006/relationships/hyperlink" Target="imagenes/NAUTICA_MENS_208003174_RPD_1.jpg" TargetMode="External" Id="rId7265"/><Relationship Type="http://schemas.openxmlformats.org/officeDocument/2006/relationships/hyperlink" Target="imagenes/NAUTICA_MENS_208003174_RPD_2.jpg" TargetMode="External" Id="rId7266"/><Relationship Type="http://schemas.openxmlformats.org/officeDocument/2006/relationships/hyperlink" Target="imagenes/NAUTICA_MENS_208003174_RPD_3.jpg" TargetMode="External" Id="rId7267"/><Relationship Type="http://schemas.openxmlformats.org/officeDocument/2006/relationships/hyperlink" Target="imagenes/NAUTICA_MENS_208003174_RPD_1.jpg" TargetMode="External" Id="rId7268"/><Relationship Type="http://schemas.openxmlformats.org/officeDocument/2006/relationships/hyperlink" Target="imagenes/NAUTICA_MENS_208003174_RPD_2.jpg" TargetMode="External" Id="rId7269"/><Relationship Type="http://schemas.openxmlformats.org/officeDocument/2006/relationships/hyperlink" Target="imagenes/NAUTICA_MENS_208003174_RPD_3.jpg" TargetMode="External" Id="rId7270"/><Relationship Type="http://schemas.openxmlformats.org/officeDocument/2006/relationships/hyperlink" Target="imagenes/NAUTICA_MENS_208003174_RPD_1.jpg" TargetMode="External" Id="rId7271"/><Relationship Type="http://schemas.openxmlformats.org/officeDocument/2006/relationships/hyperlink" Target="imagenes/NAUTICA_MENS_208003174_RPD_2.jpg" TargetMode="External" Id="rId7272"/><Relationship Type="http://schemas.openxmlformats.org/officeDocument/2006/relationships/hyperlink" Target="imagenes/NAUTICA_MENS_208003174_RPD_3.jpg" TargetMode="External" Id="rId7273"/><Relationship Type="http://schemas.openxmlformats.org/officeDocument/2006/relationships/hyperlink" Target="imagenes/NAUTICA_MENS_208003174_RPD_1.jpg" TargetMode="External" Id="rId7274"/><Relationship Type="http://schemas.openxmlformats.org/officeDocument/2006/relationships/hyperlink" Target="imagenes/NAUTICA_MENS_208003174_RPD_2.jpg" TargetMode="External" Id="rId7275"/><Relationship Type="http://schemas.openxmlformats.org/officeDocument/2006/relationships/hyperlink" Target="imagenes/NAUTICA_MENS_208003174_RPD_3.jpg" TargetMode="External" Id="rId7276"/><Relationship Type="http://schemas.openxmlformats.org/officeDocument/2006/relationships/hyperlink" Target="imagenes/NAUTICA_MENS_208003347_BGI_2.jpg" TargetMode="External" Id="rId7277"/><Relationship Type="http://schemas.openxmlformats.org/officeDocument/2006/relationships/hyperlink" Target="imagenes/NAUTICA_MENS_208003347_BGI_3.jpg" TargetMode="External" Id="rId7278"/><Relationship Type="http://schemas.openxmlformats.org/officeDocument/2006/relationships/hyperlink" Target="imagenes/NAUTICA_MENS_208003347_BGI_2.jpg" TargetMode="External" Id="rId7279"/><Relationship Type="http://schemas.openxmlformats.org/officeDocument/2006/relationships/hyperlink" Target="imagenes/NAUTICA_MENS_208003347_BGI_3.jpg" TargetMode="External" Id="rId7280"/><Relationship Type="http://schemas.openxmlformats.org/officeDocument/2006/relationships/hyperlink" Target="imagenes/NAUTICA_MENS_208003347_BGI_2.jpg" TargetMode="External" Id="rId7281"/><Relationship Type="http://schemas.openxmlformats.org/officeDocument/2006/relationships/hyperlink" Target="imagenes/NAUTICA_MENS_208003347_BGI_3.jpg" TargetMode="External" Id="rId7282"/><Relationship Type="http://schemas.openxmlformats.org/officeDocument/2006/relationships/hyperlink" Target="imagenes/NAUTICA_MENS_208003347_BGI_2.jpg" TargetMode="External" Id="rId7283"/><Relationship Type="http://schemas.openxmlformats.org/officeDocument/2006/relationships/hyperlink" Target="imagenes/NAUTICA_MENS_208003347_BGI_3.jpg" TargetMode="External" Id="rId7284"/><Relationship Type="http://schemas.openxmlformats.org/officeDocument/2006/relationships/hyperlink" Target="imagenes/NAUTICA_MENS_208003347_BUE_2.jpg" TargetMode="External" Id="rId7285"/><Relationship Type="http://schemas.openxmlformats.org/officeDocument/2006/relationships/hyperlink" Target="imagenes/NAUTICA_MENS_208003347_BUE_3.jpg" TargetMode="External" Id="rId7286"/><Relationship Type="http://schemas.openxmlformats.org/officeDocument/2006/relationships/hyperlink" Target="imagenes/NAUTICA_MENS_208003347_BUE_2.jpg" TargetMode="External" Id="rId7287"/><Relationship Type="http://schemas.openxmlformats.org/officeDocument/2006/relationships/hyperlink" Target="imagenes/NAUTICA_MENS_208003347_BUE_3.jpg" TargetMode="External" Id="rId7288"/><Relationship Type="http://schemas.openxmlformats.org/officeDocument/2006/relationships/hyperlink" Target="imagenes/NAUTICA_MENS_208003347_BUE_2.jpg" TargetMode="External" Id="rId7289"/><Relationship Type="http://schemas.openxmlformats.org/officeDocument/2006/relationships/hyperlink" Target="imagenes/NAUTICA_MENS_208003347_BUE_3.jpg" TargetMode="External" Id="rId7290"/><Relationship Type="http://schemas.openxmlformats.org/officeDocument/2006/relationships/hyperlink" Target="imagenes/NAUTICA_MENS_208003347_BUE_2.jpg" TargetMode="External" Id="rId7291"/><Relationship Type="http://schemas.openxmlformats.org/officeDocument/2006/relationships/hyperlink" Target="imagenes/NAUTICA_MENS_208003347_BUE_3.jpg" TargetMode="External" Id="rId7292"/><Relationship Type="http://schemas.openxmlformats.org/officeDocument/2006/relationships/hyperlink" Target="imagenes/NAUTICA_MENS_208003347_BUE_2.jpg" TargetMode="External" Id="rId7293"/><Relationship Type="http://schemas.openxmlformats.org/officeDocument/2006/relationships/hyperlink" Target="imagenes/NAUTICA_MENS_208003347_BUE_3.jpg" TargetMode="External" Id="rId7294"/><Relationship Type="http://schemas.openxmlformats.org/officeDocument/2006/relationships/hyperlink" Target="imagenes/NAUTICA_MENS_208003347_NSS_2.jpg" TargetMode="External" Id="rId7295"/><Relationship Type="http://schemas.openxmlformats.org/officeDocument/2006/relationships/hyperlink" Target="imagenes/NAUTICA_MENS_208003347_NSS_3.jpg" TargetMode="External" Id="rId7296"/><Relationship Type="http://schemas.openxmlformats.org/officeDocument/2006/relationships/hyperlink" Target="imagenes/NAUTICA_MENS_208003347_NSS_2.jpg" TargetMode="External" Id="rId7297"/><Relationship Type="http://schemas.openxmlformats.org/officeDocument/2006/relationships/hyperlink" Target="imagenes/NAUTICA_MENS_208003347_NSS_3.jpg" TargetMode="External" Id="rId7298"/><Relationship Type="http://schemas.openxmlformats.org/officeDocument/2006/relationships/hyperlink" Target="imagenes/NAUTICA_MENS_208003347_NSS_2.jpg" TargetMode="External" Id="rId7299"/><Relationship Type="http://schemas.openxmlformats.org/officeDocument/2006/relationships/hyperlink" Target="imagenes/NAUTICA_MENS_208003347_NSS_3.jpg" TargetMode="External" Id="rId7300"/><Relationship Type="http://schemas.openxmlformats.org/officeDocument/2006/relationships/hyperlink" Target="imagenes/NAUTICA_MENS_208003347_NSS_2.jpg" TargetMode="External" Id="rId7301"/><Relationship Type="http://schemas.openxmlformats.org/officeDocument/2006/relationships/hyperlink" Target="imagenes/NAUTICA_MENS_208003347_NSS_3.jpg" TargetMode="External" Id="rId7302"/><Relationship Type="http://schemas.openxmlformats.org/officeDocument/2006/relationships/hyperlink" Target="imagenes/NAUTICA_MENS_208003347_NSS_2.jpg" TargetMode="External" Id="rId7303"/><Relationship Type="http://schemas.openxmlformats.org/officeDocument/2006/relationships/hyperlink" Target="imagenes/NAUTICA_MENS_208003347_NSS_3.jpg" TargetMode="External" Id="rId7304"/><Relationship Type="http://schemas.openxmlformats.org/officeDocument/2006/relationships/hyperlink" Target="imagenes/NAUTICA_MENS_208003350_BLK_1.jpg" TargetMode="External" Id="rId7305"/><Relationship Type="http://schemas.openxmlformats.org/officeDocument/2006/relationships/hyperlink" Target="imagenes/NAUTICA_MENS_208003350_BLK_2.jpg" TargetMode="External" Id="rId7306"/><Relationship Type="http://schemas.openxmlformats.org/officeDocument/2006/relationships/hyperlink" Target="imagenes/NAUTICA_MENS_208003350_BLK_3.jpg" TargetMode="External" Id="rId7307"/><Relationship Type="http://schemas.openxmlformats.org/officeDocument/2006/relationships/hyperlink" Target="imagenes/NAUTICA_MENS_208003350_BLK_1.jpg" TargetMode="External" Id="rId7308"/><Relationship Type="http://schemas.openxmlformats.org/officeDocument/2006/relationships/hyperlink" Target="imagenes/NAUTICA_MENS_208003350_BLK_2.jpg" TargetMode="External" Id="rId7309"/><Relationship Type="http://schemas.openxmlformats.org/officeDocument/2006/relationships/hyperlink" Target="imagenes/NAUTICA_MENS_208003350_BLK_3.jpg" TargetMode="External" Id="rId7310"/><Relationship Type="http://schemas.openxmlformats.org/officeDocument/2006/relationships/hyperlink" Target="imagenes/NAUTICA_MENS_208003350_BLK_1.jpg" TargetMode="External" Id="rId7311"/><Relationship Type="http://schemas.openxmlformats.org/officeDocument/2006/relationships/hyperlink" Target="imagenes/NAUTICA_MENS_208003350_BLK_2.jpg" TargetMode="External" Id="rId7312"/><Relationship Type="http://schemas.openxmlformats.org/officeDocument/2006/relationships/hyperlink" Target="imagenes/NAUTICA_MENS_208003350_BLK_3.jpg" TargetMode="External" Id="rId7313"/><Relationship Type="http://schemas.openxmlformats.org/officeDocument/2006/relationships/hyperlink" Target="imagenes/NAUTICA_MENS_208003350_BLK_1.jpg" TargetMode="External" Id="rId7314"/><Relationship Type="http://schemas.openxmlformats.org/officeDocument/2006/relationships/hyperlink" Target="imagenes/NAUTICA_MENS_208003350_BLK_2.jpg" TargetMode="External" Id="rId7315"/><Relationship Type="http://schemas.openxmlformats.org/officeDocument/2006/relationships/hyperlink" Target="imagenes/NAUTICA_MENS_208003350_BLK_3.jpg" TargetMode="External" Id="rId7316"/><Relationship Type="http://schemas.openxmlformats.org/officeDocument/2006/relationships/hyperlink" Target="imagenes/NAUTICA_MENS_208003350_BLK_1.jpg" TargetMode="External" Id="rId7317"/><Relationship Type="http://schemas.openxmlformats.org/officeDocument/2006/relationships/hyperlink" Target="imagenes/NAUTICA_MENS_208003350_BLK_2.jpg" TargetMode="External" Id="rId7318"/><Relationship Type="http://schemas.openxmlformats.org/officeDocument/2006/relationships/hyperlink" Target="imagenes/NAUTICA_MENS_208003350_BLK_3.jpg" TargetMode="External" Id="rId7319"/><Relationship Type="http://schemas.openxmlformats.org/officeDocument/2006/relationships/hyperlink" Target="imagenes/NAUTICA_MENS_208003350_NSS_1.jpg" TargetMode="External" Id="rId7320"/><Relationship Type="http://schemas.openxmlformats.org/officeDocument/2006/relationships/hyperlink" Target="imagenes/NAUTICA_MENS_208003350_NSS_2.jpg" TargetMode="External" Id="rId7321"/><Relationship Type="http://schemas.openxmlformats.org/officeDocument/2006/relationships/hyperlink" Target="imagenes/NAUTICA_MENS_208003350_NSS_3.jpg" TargetMode="External" Id="rId7322"/><Relationship Type="http://schemas.openxmlformats.org/officeDocument/2006/relationships/hyperlink" Target="imagenes/NAUTICA_MENS_208003350_NSS_1.jpg" TargetMode="External" Id="rId7323"/><Relationship Type="http://schemas.openxmlformats.org/officeDocument/2006/relationships/hyperlink" Target="imagenes/NAUTICA_MENS_208003350_NSS_2.jpg" TargetMode="External" Id="rId7324"/><Relationship Type="http://schemas.openxmlformats.org/officeDocument/2006/relationships/hyperlink" Target="imagenes/NAUTICA_MENS_208003350_NSS_3.jpg" TargetMode="External" Id="rId7325"/><Relationship Type="http://schemas.openxmlformats.org/officeDocument/2006/relationships/hyperlink" Target="imagenes/NAUTICA_MENS_208003350_NSS_1.jpg" TargetMode="External" Id="rId7326"/><Relationship Type="http://schemas.openxmlformats.org/officeDocument/2006/relationships/hyperlink" Target="imagenes/NAUTICA_MENS_208003350_NSS_2.jpg" TargetMode="External" Id="rId7327"/><Relationship Type="http://schemas.openxmlformats.org/officeDocument/2006/relationships/hyperlink" Target="imagenes/NAUTICA_MENS_208003350_NSS_3.jpg" TargetMode="External" Id="rId7328"/><Relationship Type="http://schemas.openxmlformats.org/officeDocument/2006/relationships/hyperlink" Target="imagenes/NAUTICA_MENS_208003350_NSS_1.jpg" TargetMode="External" Id="rId7329"/><Relationship Type="http://schemas.openxmlformats.org/officeDocument/2006/relationships/hyperlink" Target="imagenes/NAUTICA_MENS_208003350_NSS_2.jpg" TargetMode="External" Id="rId7330"/><Relationship Type="http://schemas.openxmlformats.org/officeDocument/2006/relationships/hyperlink" Target="imagenes/NAUTICA_MENS_208003350_NSS_3.jpg" TargetMode="External" Id="rId7331"/><Relationship Type="http://schemas.openxmlformats.org/officeDocument/2006/relationships/hyperlink" Target="imagenes/NAUTICA_MENS_208003350_NSS_1.jpg" TargetMode="External" Id="rId7332"/><Relationship Type="http://schemas.openxmlformats.org/officeDocument/2006/relationships/hyperlink" Target="imagenes/NAUTICA_MENS_208003350_NSS_2.jpg" TargetMode="External" Id="rId7333"/><Relationship Type="http://schemas.openxmlformats.org/officeDocument/2006/relationships/hyperlink" Target="imagenes/NAUTICA_MENS_208003350_NSS_3.jpg" TargetMode="External" Id="rId7334"/><Relationship Type="http://schemas.openxmlformats.org/officeDocument/2006/relationships/hyperlink" Target="imagenes/NAUTICA_MENS_208003351_BLK_1.jpg" TargetMode="External" Id="rId7335"/><Relationship Type="http://schemas.openxmlformats.org/officeDocument/2006/relationships/hyperlink" Target="imagenes/NAUTICA_MENS_208003351_BLK_2.jpg" TargetMode="External" Id="rId7336"/><Relationship Type="http://schemas.openxmlformats.org/officeDocument/2006/relationships/hyperlink" Target="imagenes/NAUTICA_MENS_208003351_BLK_3.jpg" TargetMode="External" Id="rId7337"/><Relationship Type="http://schemas.openxmlformats.org/officeDocument/2006/relationships/hyperlink" Target="imagenes/NAUTICA_MENS_208003351_BLK_1.jpg" TargetMode="External" Id="rId7338"/><Relationship Type="http://schemas.openxmlformats.org/officeDocument/2006/relationships/hyperlink" Target="imagenes/NAUTICA_MENS_208003351_BLK_2.jpg" TargetMode="External" Id="rId7339"/><Relationship Type="http://schemas.openxmlformats.org/officeDocument/2006/relationships/hyperlink" Target="imagenes/NAUTICA_MENS_208003351_BLK_3.jpg" TargetMode="External" Id="rId7340"/><Relationship Type="http://schemas.openxmlformats.org/officeDocument/2006/relationships/hyperlink" Target="imagenes/NAUTICA_MENS_208003351_BLK_1.jpg" TargetMode="External" Id="rId7341"/><Relationship Type="http://schemas.openxmlformats.org/officeDocument/2006/relationships/hyperlink" Target="imagenes/NAUTICA_MENS_208003351_BLK_2.jpg" TargetMode="External" Id="rId7342"/><Relationship Type="http://schemas.openxmlformats.org/officeDocument/2006/relationships/hyperlink" Target="imagenes/NAUTICA_MENS_208003351_BLK_3.jpg" TargetMode="External" Id="rId7343"/><Relationship Type="http://schemas.openxmlformats.org/officeDocument/2006/relationships/hyperlink" Target="imagenes/NAUTICA_MENS_208003351_BLK_1.jpg" TargetMode="External" Id="rId7344"/><Relationship Type="http://schemas.openxmlformats.org/officeDocument/2006/relationships/hyperlink" Target="imagenes/NAUTICA_MENS_208003351_BLK_2.jpg" TargetMode="External" Id="rId7345"/><Relationship Type="http://schemas.openxmlformats.org/officeDocument/2006/relationships/hyperlink" Target="imagenes/NAUTICA_MENS_208003351_BLK_3.jpg" TargetMode="External" Id="rId7346"/><Relationship Type="http://schemas.openxmlformats.org/officeDocument/2006/relationships/hyperlink" Target="imagenes/NAUTICA_MENS_208003351_BLK_1.jpg" TargetMode="External" Id="rId7347"/><Relationship Type="http://schemas.openxmlformats.org/officeDocument/2006/relationships/hyperlink" Target="imagenes/NAUTICA_MENS_208003351_BLK_2.jpg" TargetMode="External" Id="rId7348"/><Relationship Type="http://schemas.openxmlformats.org/officeDocument/2006/relationships/hyperlink" Target="imagenes/NAUTICA_MENS_208003351_BLK_3.jpg" TargetMode="External" Id="rId7349"/><Relationship Type="http://schemas.openxmlformats.org/officeDocument/2006/relationships/hyperlink" Target="imagenes/NAUTICA_MENS_208003351_NSS_1.jpg" TargetMode="External" Id="rId7350"/><Relationship Type="http://schemas.openxmlformats.org/officeDocument/2006/relationships/hyperlink" Target="imagenes/NAUTICA_MENS_208003351_NSS_2.jpg" TargetMode="External" Id="rId7351"/><Relationship Type="http://schemas.openxmlformats.org/officeDocument/2006/relationships/hyperlink" Target="imagenes/NAUTICA_MENS_208003351_NSS_3.jpg" TargetMode="External" Id="rId7352"/><Relationship Type="http://schemas.openxmlformats.org/officeDocument/2006/relationships/hyperlink" Target="imagenes/NAUTICA_MENS_208003351_NSS_1.jpg" TargetMode="External" Id="rId7353"/><Relationship Type="http://schemas.openxmlformats.org/officeDocument/2006/relationships/hyperlink" Target="imagenes/NAUTICA_MENS_208003351_NSS_2.jpg" TargetMode="External" Id="rId7354"/><Relationship Type="http://schemas.openxmlformats.org/officeDocument/2006/relationships/hyperlink" Target="imagenes/NAUTICA_MENS_208003351_NSS_3.jpg" TargetMode="External" Id="rId7355"/><Relationship Type="http://schemas.openxmlformats.org/officeDocument/2006/relationships/hyperlink" Target="imagenes/NAUTICA_MENS_208003351_NSS_1.jpg" TargetMode="External" Id="rId7356"/><Relationship Type="http://schemas.openxmlformats.org/officeDocument/2006/relationships/hyperlink" Target="imagenes/NAUTICA_MENS_208003351_NSS_2.jpg" TargetMode="External" Id="rId7357"/><Relationship Type="http://schemas.openxmlformats.org/officeDocument/2006/relationships/hyperlink" Target="imagenes/NAUTICA_MENS_208003351_NSS_3.jpg" TargetMode="External" Id="rId7358"/><Relationship Type="http://schemas.openxmlformats.org/officeDocument/2006/relationships/hyperlink" Target="imagenes/NAUTICA_MENS_208003351_NSS_1.jpg" TargetMode="External" Id="rId7359"/><Relationship Type="http://schemas.openxmlformats.org/officeDocument/2006/relationships/hyperlink" Target="imagenes/NAUTICA_MENS_208003351_NSS_2.jpg" TargetMode="External" Id="rId7360"/><Relationship Type="http://schemas.openxmlformats.org/officeDocument/2006/relationships/hyperlink" Target="imagenes/NAUTICA_MENS_208003351_NSS_3.jpg" TargetMode="External" Id="rId7361"/><Relationship Type="http://schemas.openxmlformats.org/officeDocument/2006/relationships/hyperlink" Target="imagenes/NAUTICA_MENS_208003351_NSS_1.jpg" TargetMode="External" Id="rId7362"/><Relationship Type="http://schemas.openxmlformats.org/officeDocument/2006/relationships/hyperlink" Target="imagenes/NAUTICA_MENS_208003351_NSS_2.jpg" TargetMode="External" Id="rId7363"/><Relationship Type="http://schemas.openxmlformats.org/officeDocument/2006/relationships/hyperlink" Target="imagenes/NAUTICA_MENS_208003351_NSS_3.jpg" TargetMode="External" Id="rId7364"/><Relationship Type="http://schemas.openxmlformats.org/officeDocument/2006/relationships/hyperlink" Target="imagenes/NAUTICA_MENS_208003351_RN1_1.jpg" TargetMode="External" Id="rId7365"/><Relationship Type="http://schemas.openxmlformats.org/officeDocument/2006/relationships/hyperlink" Target="imagenes/NAUTICA_MENS_208003351_RN1_2.jpg" TargetMode="External" Id="rId7366"/><Relationship Type="http://schemas.openxmlformats.org/officeDocument/2006/relationships/hyperlink" Target="imagenes/NAUTICA_MENS_208003351_RN1_3.jpg" TargetMode="External" Id="rId7367"/><Relationship Type="http://schemas.openxmlformats.org/officeDocument/2006/relationships/hyperlink" Target="imagenes/NAUTICA_MENS_208003351_RN1_1.jpg" TargetMode="External" Id="rId7368"/><Relationship Type="http://schemas.openxmlformats.org/officeDocument/2006/relationships/hyperlink" Target="imagenes/NAUTICA_MENS_208003351_RN1_2.jpg" TargetMode="External" Id="rId7369"/><Relationship Type="http://schemas.openxmlformats.org/officeDocument/2006/relationships/hyperlink" Target="imagenes/NAUTICA_MENS_208003351_RN1_3.jpg" TargetMode="External" Id="rId7370"/><Relationship Type="http://schemas.openxmlformats.org/officeDocument/2006/relationships/hyperlink" Target="imagenes/NAUTICA_MENS_208003351_RN1_1.jpg" TargetMode="External" Id="rId7371"/><Relationship Type="http://schemas.openxmlformats.org/officeDocument/2006/relationships/hyperlink" Target="imagenes/NAUTICA_MENS_208003351_RN1_2.jpg" TargetMode="External" Id="rId7372"/><Relationship Type="http://schemas.openxmlformats.org/officeDocument/2006/relationships/hyperlink" Target="imagenes/NAUTICA_MENS_208003351_RN1_3.jpg" TargetMode="External" Id="rId7373"/><Relationship Type="http://schemas.openxmlformats.org/officeDocument/2006/relationships/hyperlink" Target="imagenes/NAUTICA_MENS_208003351_RN1_1.jpg" TargetMode="External" Id="rId7374"/><Relationship Type="http://schemas.openxmlformats.org/officeDocument/2006/relationships/hyperlink" Target="imagenes/NAUTICA_MENS_208003351_RN1_2.jpg" TargetMode="External" Id="rId7375"/><Relationship Type="http://schemas.openxmlformats.org/officeDocument/2006/relationships/hyperlink" Target="imagenes/NAUTICA_MENS_208003351_RN1_3.jpg" TargetMode="External" Id="rId7376"/><Relationship Type="http://schemas.openxmlformats.org/officeDocument/2006/relationships/hyperlink" Target="imagenes/NAUTICA_MENS_208003355_BLK_1.jpg" TargetMode="External" Id="rId7377"/><Relationship Type="http://schemas.openxmlformats.org/officeDocument/2006/relationships/hyperlink" Target="imagenes/NAUTICA_MENS_208003355_BLK_2.jpg" TargetMode="External" Id="rId7378"/><Relationship Type="http://schemas.openxmlformats.org/officeDocument/2006/relationships/hyperlink" Target="imagenes/NAUTICA_MENS_208003355_BLK_3.jpg" TargetMode="External" Id="rId7379"/><Relationship Type="http://schemas.openxmlformats.org/officeDocument/2006/relationships/hyperlink" Target="imagenes/NAUTICA_MENS_208003355_BLK_1.jpg" TargetMode="External" Id="rId7380"/><Relationship Type="http://schemas.openxmlformats.org/officeDocument/2006/relationships/hyperlink" Target="imagenes/NAUTICA_MENS_208003355_BLK_2.jpg" TargetMode="External" Id="rId7381"/><Relationship Type="http://schemas.openxmlformats.org/officeDocument/2006/relationships/hyperlink" Target="imagenes/NAUTICA_MENS_208003355_BLK_3.jpg" TargetMode="External" Id="rId7382"/><Relationship Type="http://schemas.openxmlformats.org/officeDocument/2006/relationships/hyperlink" Target="imagenes/NAUTICA_MENS_208003355_BLK_1.jpg" TargetMode="External" Id="rId7383"/><Relationship Type="http://schemas.openxmlformats.org/officeDocument/2006/relationships/hyperlink" Target="imagenes/NAUTICA_MENS_208003355_BLK_2.jpg" TargetMode="External" Id="rId7384"/><Relationship Type="http://schemas.openxmlformats.org/officeDocument/2006/relationships/hyperlink" Target="imagenes/NAUTICA_MENS_208003355_BLK_3.jpg" TargetMode="External" Id="rId7385"/><Relationship Type="http://schemas.openxmlformats.org/officeDocument/2006/relationships/hyperlink" Target="imagenes/NAUTICA_MENS_208003355_BLK_1.jpg" TargetMode="External" Id="rId7386"/><Relationship Type="http://schemas.openxmlformats.org/officeDocument/2006/relationships/hyperlink" Target="imagenes/NAUTICA_MENS_208003355_BLK_2.jpg" TargetMode="External" Id="rId7387"/><Relationship Type="http://schemas.openxmlformats.org/officeDocument/2006/relationships/hyperlink" Target="imagenes/NAUTICA_MENS_208003355_BLK_3.jpg" TargetMode="External" Id="rId7388"/><Relationship Type="http://schemas.openxmlformats.org/officeDocument/2006/relationships/hyperlink" Target="imagenes/NAUTICA_MENS_208003355_CLG_1.jpg" TargetMode="External" Id="rId7389"/><Relationship Type="http://schemas.openxmlformats.org/officeDocument/2006/relationships/hyperlink" Target="imagenes/NAUTICA_MENS_208003355_CLG_2.jpg" TargetMode="External" Id="rId7390"/><Relationship Type="http://schemas.openxmlformats.org/officeDocument/2006/relationships/hyperlink" Target="imagenes/NAUTICA_MENS_208003355_CLG_3.jpg" TargetMode="External" Id="rId7391"/><Relationship Type="http://schemas.openxmlformats.org/officeDocument/2006/relationships/hyperlink" Target="imagenes/NAUTICA_MENS_208003355_CLG_1.jpg" TargetMode="External" Id="rId7392"/><Relationship Type="http://schemas.openxmlformats.org/officeDocument/2006/relationships/hyperlink" Target="imagenes/NAUTICA_MENS_208003355_CLG_2.jpg" TargetMode="External" Id="rId7393"/><Relationship Type="http://schemas.openxmlformats.org/officeDocument/2006/relationships/hyperlink" Target="imagenes/NAUTICA_MENS_208003355_CLG_3.jpg" TargetMode="External" Id="rId7394"/><Relationship Type="http://schemas.openxmlformats.org/officeDocument/2006/relationships/hyperlink" Target="imagenes/NAUTICA_MENS_208003355_CLG_1.jpg" TargetMode="External" Id="rId7395"/><Relationship Type="http://schemas.openxmlformats.org/officeDocument/2006/relationships/hyperlink" Target="imagenes/NAUTICA_MENS_208003355_CLG_2.jpg" TargetMode="External" Id="rId7396"/><Relationship Type="http://schemas.openxmlformats.org/officeDocument/2006/relationships/hyperlink" Target="imagenes/NAUTICA_MENS_208003355_CLG_3.jpg" TargetMode="External" Id="rId7397"/><Relationship Type="http://schemas.openxmlformats.org/officeDocument/2006/relationships/hyperlink" Target="imagenes/NAUTICA_MENS_208003355_CLG_1.jpg" TargetMode="External" Id="rId7398"/><Relationship Type="http://schemas.openxmlformats.org/officeDocument/2006/relationships/hyperlink" Target="imagenes/NAUTICA_MENS_208003355_CLG_2.jpg" TargetMode="External" Id="rId7399"/><Relationship Type="http://schemas.openxmlformats.org/officeDocument/2006/relationships/hyperlink" Target="imagenes/NAUTICA_MENS_208003355_CLG_3.jpg" TargetMode="External" Id="rId7400"/><Relationship Type="http://schemas.openxmlformats.org/officeDocument/2006/relationships/hyperlink" Target="imagenes/NAUTICA_MENS_208003355_CLG_1.jpg" TargetMode="External" Id="rId7401"/><Relationship Type="http://schemas.openxmlformats.org/officeDocument/2006/relationships/hyperlink" Target="imagenes/NAUTICA_MENS_208003355_CLG_2.jpg" TargetMode="External" Id="rId7402"/><Relationship Type="http://schemas.openxmlformats.org/officeDocument/2006/relationships/hyperlink" Target="imagenes/NAUTICA_MENS_208003355_CLG_3.jpg" TargetMode="External" Id="rId7403"/><Relationship Type="http://schemas.openxmlformats.org/officeDocument/2006/relationships/hyperlink" Target="imagenes/NAUTICA_MENS_208003355_NVY_1.jpg" TargetMode="External" Id="rId7404"/><Relationship Type="http://schemas.openxmlformats.org/officeDocument/2006/relationships/hyperlink" Target="imagenes/NAUTICA_MENS_208003355_NVY_2.jpg" TargetMode="External" Id="rId7405"/><Relationship Type="http://schemas.openxmlformats.org/officeDocument/2006/relationships/hyperlink" Target="imagenes/NAUTICA_MENS_208003355_NVY_3.jpg" TargetMode="External" Id="rId7406"/><Relationship Type="http://schemas.openxmlformats.org/officeDocument/2006/relationships/hyperlink" Target="imagenes/NAUTICA_MENS_208003355_NVY_1.jpg" TargetMode="External" Id="rId7407"/><Relationship Type="http://schemas.openxmlformats.org/officeDocument/2006/relationships/hyperlink" Target="imagenes/NAUTICA_MENS_208003355_NVY_2.jpg" TargetMode="External" Id="rId7408"/><Relationship Type="http://schemas.openxmlformats.org/officeDocument/2006/relationships/hyperlink" Target="imagenes/NAUTICA_MENS_208003355_NVY_3.jpg" TargetMode="External" Id="rId7409"/><Relationship Type="http://schemas.openxmlformats.org/officeDocument/2006/relationships/hyperlink" Target="imagenes/NAUTICA_MENS_208003355_NVY_1.jpg" TargetMode="External" Id="rId7410"/><Relationship Type="http://schemas.openxmlformats.org/officeDocument/2006/relationships/hyperlink" Target="imagenes/NAUTICA_MENS_208003355_NVY_2.jpg" TargetMode="External" Id="rId7411"/><Relationship Type="http://schemas.openxmlformats.org/officeDocument/2006/relationships/hyperlink" Target="imagenes/NAUTICA_MENS_208003355_NVY_3.jpg" TargetMode="External" Id="rId7412"/><Relationship Type="http://schemas.openxmlformats.org/officeDocument/2006/relationships/hyperlink" Target="imagenes/NAUTICA_MENS_208003355_NVY_1.jpg" TargetMode="External" Id="rId7413"/><Relationship Type="http://schemas.openxmlformats.org/officeDocument/2006/relationships/hyperlink" Target="imagenes/NAUTICA_MENS_208003355_NVY_2.jpg" TargetMode="External" Id="rId7414"/><Relationship Type="http://schemas.openxmlformats.org/officeDocument/2006/relationships/hyperlink" Target="imagenes/NAUTICA_MENS_208003355_NVY_3.jpg" TargetMode="External" Id="rId7415"/><Relationship Type="http://schemas.openxmlformats.org/officeDocument/2006/relationships/hyperlink" Target="imagenes/NAUTICA_MENS_208003355_NVY_1.jpg" TargetMode="External" Id="rId7416"/><Relationship Type="http://schemas.openxmlformats.org/officeDocument/2006/relationships/hyperlink" Target="imagenes/NAUTICA_MENS_208003355_NVY_2.jpg" TargetMode="External" Id="rId7417"/><Relationship Type="http://schemas.openxmlformats.org/officeDocument/2006/relationships/hyperlink" Target="imagenes/NAUTICA_MENS_208003355_NVY_3.jpg" TargetMode="External" Id="rId7418"/><Relationship Type="http://schemas.openxmlformats.org/officeDocument/2006/relationships/hyperlink" Target="imagenes/NAUTICA_MENS_208003376_BGI_1.jpg" TargetMode="External" Id="rId7419"/><Relationship Type="http://schemas.openxmlformats.org/officeDocument/2006/relationships/hyperlink" Target="imagenes/NAUTICA_MENS_208003376_BGI_2.jpg" TargetMode="External" Id="rId7420"/><Relationship Type="http://schemas.openxmlformats.org/officeDocument/2006/relationships/hyperlink" Target="imagenes/NAUTICA_MENS_208003376_BGI_3.jpg" TargetMode="External" Id="rId7421"/><Relationship Type="http://schemas.openxmlformats.org/officeDocument/2006/relationships/hyperlink" Target="imagenes/NAUTICA_MENS_208003376_BGI_1.jpg" TargetMode="External" Id="rId7422"/><Relationship Type="http://schemas.openxmlformats.org/officeDocument/2006/relationships/hyperlink" Target="imagenes/NAUTICA_MENS_208003376_BGI_2.jpg" TargetMode="External" Id="rId7423"/><Relationship Type="http://schemas.openxmlformats.org/officeDocument/2006/relationships/hyperlink" Target="imagenes/NAUTICA_MENS_208003376_BGI_3.jpg" TargetMode="External" Id="rId7424"/><Relationship Type="http://schemas.openxmlformats.org/officeDocument/2006/relationships/hyperlink" Target="imagenes/NAUTICA_MENS_208003376_BGI_1.jpg" TargetMode="External" Id="rId7425"/><Relationship Type="http://schemas.openxmlformats.org/officeDocument/2006/relationships/hyperlink" Target="imagenes/NAUTICA_MENS_208003376_BGI_2.jpg" TargetMode="External" Id="rId7426"/><Relationship Type="http://schemas.openxmlformats.org/officeDocument/2006/relationships/hyperlink" Target="imagenes/NAUTICA_MENS_208003376_BGI_3.jpg" TargetMode="External" Id="rId7427"/><Relationship Type="http://schemas.openxmlformats.org/officeDocument/2006/relationships/hyperlink" Target="imagenes/NAUTICA_MENS_208003376_BGI_1.jpg" TargetMode="External" Id="rId7428"/><Relationship Type="http://schemas.openxmlformats.org/officeDocument/2006/relationships/hyperlink" Target="imagenes/NAUTICA_MENS_208003376_BGI_2.jpg" TargetMode="External" Id="rId7429"/><Relationship Type="http://schemas.openxmlformats.org/officeDocument/2006/relationships/hyperlink" Target="imagenes/NAUTICA_MENS_208003376_BGI_3.jpg" TargetMode="External" Id="rId7430"/><Relationship Type="http://schemas.openxmlformats.org/officeDocument/2006/relationships/hyperlink" Target="imagenes/NAUTICA_MENS_208003376_BGI_1.jpg" TargetMode="External" Id="rId7431"/><Relationship Type="http://schemas.openxmlformats.org/officeDocument/2006/relationships/hyperlink" Target="imagenes/NAUTICA_MENS_208003376_BGI_2.jpg" TargetMode="External" Id="rId7432"/><Relationship Type="http://schemas.openxmlformats.org/officeDocument/2006/relationships/hyperlink" Target="imagenes/NAUTICA_MENS_208003376_BGI_3.jpg" TargetMode="External" Id="rId7433"/><Relationship Type="http://schemas.openxmlformats.org/officeDocument/2006/relationships/hyperlink" Target="imagenes/NAUTICA_MENS_208003396_BGI_2.jpg" TargetMode="External" Id="rId7434"/><Relationship Type="http://schemas.openxmlformats.org/officeDocument/2006/relationships/hyperlink" Target="imagenes/NAUTICA_MENS_208003396_BGI_3.jpg" TargetMode="External" Id="rId7435"/><Relationship Type="http://schemas.openxmlformats.org/officeDocument/2006/relationships/hyperlink" Target="imagenes/NAUTICA_MENS_208003396_BGI_2.jpg" TargetMode="External" Id="rId7436"/><Relationship Type="http://schemas.openxmlformats.org/officeDocument/2006/relationships/hyperlink" Target="imagenes/NAUTICA_MENS_208003396_BGI_3.jpg" TargetMode="External" Id="rId7437"/><Relationship Type="http://schemas.openxmlformats.org/officeDocument/2006/relationships/hyperlink" Target="imagenes/NAUTICA_MENS_208003396_BGI_2.jpg" TargetMode="External" Id="rId7438"/><Relationship Type="http://schemas.openxmlformats.org/officeDocument/2006/relationships/hyperlink" Target="imagenes/NAUTICA_MENS_208003396_BGI_3.jpg" TargetMode="External" Id="rId7439"/><Relationship Type="http://schemas.openxmlformats.org/officeDocument/2006/relationships/hyperlink" Target="imagenes/NAUTICA_MENS_208003396_BGI_2.jpg" TargetMode="External" Id="rId7440"/><Relationship Type="http://schemas.openxmlformats.org/officeDocument/2006/relationships/hyperlink" Target="imagenes/NAUTICA_MENS_208003396_BGI_3.jpg" TargetMode="External" Id="rId7441"/><Relationship Type="http://schemas.openxmlformats.org/officeDocument/2006/relationships/hyperlink" Target="imagenes/NAUTICA_MENS_208003396_NVY_1.jpg" TargetMode="External" Id="rId7442"/><Relationship Type="http://schemas.openxmlformats.org/officeDocument/2006/relationships/hyperlink" Target="imagenes/NAUTICA_MENS_208003396_NVY_2.jpg" TargetMode="External" Id="rId7443"/><Relationship Type="http://schemas.openxmlformats.org/officeDocument/2006/relationships/hyperlink" Target="imagenes/NAUTICA_MENS_208003396_NVY_3.jpg" TargetMode="External" Id="rId7444"/><Relationship Type="http://schemas.openxmlformats.org/officeDocument/2006/relationships/hyperlink" Target="imagenes/NAUTICA_MENS_208003396_NVY_1.jpg" TargetMode="External" Id="rId7445"/><Relationship Type="http://schemas.openxmlformats.org/officeDocument/2006/relationships/hyperlink" Target="imagenes/NAUTICA_MENS_208003396_NVY_2.jpg" TargetMode="External" Id="rId7446"/><Relationship Type="http://schemas.openxmlformats.org/officeDocument/2006/relationships/hyperlink" Target="imagenes/NAUTICA_MENS_208003396_NVY_3.jpg" TargetMode="External" Id="rId7447"/><Relationship Type="http://schemas.openxmlformats.org/officeDocument/2006/relationships/hyperlink" Target="imagenes/NAUTICA_MENS_208003401_BGI_2.jpg" TargetMode="External" Id="rId7448"/><Relationship Type="http://schemas.openxmlformats.org/officeDocument/2006/relationships/hyperlink" Target="imagenes/NAUTICA_MENS_208003401_BGI_3.jpg" TargetMode="External" Id="rId7449"/><Relationship Type="http://schemas.openxmlformats.org/officeDocument/2006/relationships/hyperlink" Target="imagenes/NAUTICA_MENS_208003401_NVY_1.jpg" TargetMode="External" Id="rId7450"/><Relationship Type="http://schemas.openxmlformats.org/officeDocument/2006/relationships/hyperlink" Target="imagenes/NAUTICA_MENS_208003401_NVY_2.jpg" TargetMode="External" Id="rId7451"/><Relationship Type="http://schemas.openxmlformats.org/officeDocument/2006/relationships/hyperlink" Target="imagenes/NAUTICA_MENS_208003401_NVY_3.jpg" TargetMode="External" Id="rId7452"/><Relationship Type="http://schemas.openxmlformats.org/officeDocument/2006/relationships/hyperlink" Target="imagenes/NAUTICA_MENS_208003402_BGI_1.jpg" TargetMode="External" Id="rId7453"/><Relationship Type="http://schemas.openxmlformats.org/officeDocument/2006/relationships/hyperlink" Target="imagenes/NAUTICA_MENS_208003402_BGI_2.jpg" TargetMode="External" Id="rId7454"/><Relationship Type="http://schemas.openxmlformats.org/officeDocument/2006/relationships/hyperlink" Target="imagenes/NAUTICA_MENS_208003402_BGI_3.jpg" TargetMode="External" Id="rId7455"/><Relationship Type="http://schemas.openxmlformats.org/officeDocument/2006/relationships/hyperlink" Target="imagenes/NAUTICA_MENS_208003402_BGI_1.jpg" TargetMode="External" Id="rId7456"/><Relationship Type="http://schemas.openxmlformats.org/officeDocument/2006/relationships/hyperlink" Target="imagenes/NAUTICA_MENS_208003402_BGI_2.jpg" TargetMode="External" Id="rId7457"/><Relationship Type="http://schemas.openxmlformats.org/officeDocument/2006/relationships/hyperlink" Target="imagenes/NAUTICA_MENS_208003402_BGI_3.jpg" TargetMode="External" Id="rId7458"/><Relationship Type="http://schemas.openxmlformats.org/officeDocument/2006/relationships/hyperlink" Target="imagenes/NAUTICA_MENS_208003402_BGI_1.jpg" TargetMode="External" Id="rId7459"/><Relationship Type="http://schemas.openxmlformats.org/officeDocument/2006/relationships/hyperlink" Target="imagenes/NAUTICA_MENS_208003402_BGI_2.jpg" TargetMode="External" Id="rId7460"/><Relationship Type="http://schemas.openxmlformats.org/officeDocument/2006/relationships/hyperlink" Target="imagenes/NAUTICA_MENS_208003402_BGI_3.jpg" TargetMode="External" Id="rId7461"/><Relationship Type="http://schemas.openxmlformats.org/officeDocument/2006/relationships/hyperlink" Target="imagenes/NAUTICA_MENS_208003402_BGI_1.jpg" TargetMode="External" Id="rId7462"/><Relationship Type="http://schemas.openxmlformats.org/officeDocument/2006/relationships/hyperlink" Target="imagenes/NAUTICA_MENS_208003402_BGI_2.jpg" TargetMode="External" Id="rId7463"/><Relationship Type="http://schemas.openxmlformats.org/officeDocument/2006/relationships/hyperlink" Target="imagenes/NAUTICA_MENS_208003402_BGI_3.jpg" TargetMode="External" Id="rId7464"/><Relationship Type="http://schemas.openxmlformats.org/officeDocument/2006/relationships/hyperlink" Target="imagenes/NAUTICA_MENS_208003402_BGI_1.jpg" TargetMode="External" Id="rId7465"/><Relationship Type="http://schemas.openxmlformats.org/officeDocument/2006/relationships/hyperlink" Target="imagenes/NAUTICA_MENS_208003402_BGI_2.jpg" TargetMode="External" Id="rId7466"/><Relationship Type="http://schemas.openxmlformats.org/officeDocument/2006/relationships/hyperlink" Target="imagenes/NAUTICA_MENS_208003402_BGI_3.jpg" TargetMode="External" Id="rId7467"/><Relationship Type="http://schemas.openxmlformats.org/officeDocument/2006/relationships/hyperlink" Target="imagenes/NAUTICA_MENS_208003402_BGI_1.jpg" TargetMode="External" Id="rId7468"/><Relationship Type="http://schemas.openxmlformats.org/officeDocument/2006/relationships/hyperlink" Target="imagenes/NAUTICA_MENS_208003402_BGI_2.jpg" TargetMode="External" Id="rId7469"/><Relationship Type="http://schemas.openxmlformats.org/officeDocument/2006/relationships/hyperlink" Target="imagenes/NAUTICA_MENS_208003402_BGI_3.jpg" TargetMode="External" Id="rId7470"/><Relationship Type="http://schemas.openxmlformats.org/officeDocument/2006/relationships/hyperlink" Target="imagenes/NAUTICA_MENS_208003402_NVY_1.jpg" TargetMode="External" Id="rId7471"/><Relationship Type="http://schemas.openxmlformats.org/officeDocument/2006/relationships/hyperlink" Target="imagenes/NAUTICA_MENS_208003402_NVY_2.jpg" TargetMode="External" Id="rId7472"/><Relationship Type="http://schemas.openxmlformats.org/officeDocument/2006/relationships/hyperlink" Target="imagenes/NAUTICA_MENS_208003402_NVY_3.jpg" TargetMode="External" Id="rId7473"/><Relationship Type="http://schemas.openxmlformats.org/officeDocument/2006/relationships/hyperlink" Target="imagenes/NAUTICA_MENS_208003402_NVY_1.jpg" TargetMode="External" Id="rId7474"/><Relationship Type="http://schemas.openxmlformats.org/officeDocument/2006/relationships/hyperlink" Target="imagenes/NAUTICA_MENS_208003402_NVY_2.jpg" TargetMode="External" Id="rId7475"/><Relationship Type="http://schemas.openxmlformats.org/officeDocument/2006/relationships/hyperlink" Target="imagenes/NAUTICA_MENS_208003402_NVY_3.jpg" TargetMode="External" Id="rId7476"/><Relationship Type="http://schemas.openxmlformats.org/officeDocument/2006/relationships/hyperlink" Target="imagenes/NAUTICA_MENS_208003402_NVY_1.jpg" TargetMode="External" Id="rId7477"/><Relationship Type="http://schemas.openxmlformats.org/officeDocument/2006/relationships/hyperlink" Target="imagenes/NAUTICA_MENS_208003402_NVY_2.jpg" TargetMode="External" Id="rId7478"/><Relationship Type="http://schemas.openxmlformats.org/officeDocument/2006/relationships/hyperlink" Target="imagenes/NAUTICA_MENS_208003402_NVY_3.jpg" TargetMode="External" Id="rId7479"/><Relationship Type="http://schemas.openxmlformats.org/officeDocument/2006/relationships/hyperlink" Target="imagenes/NAUTICA_MENS_208003402_NVY_1.jpg" TargetMode="External" Id="rId7480"/><Relationship Type="http://schemas.openxmlformats.org/officeDocument/2006/relationships/hyperlink" Target="imagenes/NAUTICA_MENS_208003402_NVY_2.jpg" TargetMode="External" Id="rId7481"/><Relationship Type="http://schemas.openxmlformats.org/officeDocument/2006/relationships/hyperlink" Target="imagenes/NAUTICA_MENS_208003402_NVY_3.jpg" TargetMode="External" Id="rId7482"/><Relationship Type="http://schemas.openxmlformats.org/officeDocument/2006/relationships/hyperlink" Target="imagenes/NAUTICA_MENS_208003402_NVY_1.jpg" TargetMode="External" Id="rId7483"/><Relationship Type="http://schemas.openxmlformats.org/officeDocument/2006/relationships/hyperlink" Target="imagenes/NAUTICA_MENS_208003402_NVY_2.jpg" TargetMode="External" Id="rId7484"/><Relationship Type="http://schemas.openxmlformats.org/officeDocument/2006/relationships/hyperlink" Target="imagenes/NAUTICA_MENS_208003402_NVY_3.jpg" TargetMode="External" Id="rId7485"/><Relationship Type="http://schemas.openxmlformats.org/officeDocument/2006/relationships/hyperlink" Target="imagenes/NAUTICA_MENS_208003402_NVY_1.jpg" TargetMode="External" Id="rId7486"/><Relationship Type="http://schemas.openxmlformats.org/officeDocument/2006/relationships/hyperlink" Target="imagenes/NAUTICA_MENS_208003402_NVY_2.jpg" TargetMode="External" Id="rId7487"/><Relationship Type="http://schemas.openxmlformats.org/officeDocument/2006/relationships/hyperlink" Target="imagenes/NAUTICA_MENS_208003402_NVY_3.jpg" TargetMode="External" Id="rId7488"/><Relationship Type="http://schemas.openxmlformats.org/officeDocument/2006/relationships/hyperlink" Target="imagenes/NAUTICA_MENS_208003402_NVY_1.jpg" TargetMode="External" Id="rId7489"/><Relationship Type="http://schemas.openxmlformats.org/officeDocument/2006/relationships/hyperlink" Target="imagenes/NAUTICA_MENS_208003402_NVY_2.jpg" TargetMode="External" Id="rId7490"/><Relationship Type="http://schemas.openxmlformats.org/officeDocument/2006/relationships/hyperlink" Target="imagenes/NAUTICA_MENS_208003402_NVY_3.jpg" TargetMode="External" Id="rId7491"/><Relationship Type="http://schemas.openxmlformats.org/officeDocument/2006/relationships/hyperlink" Target="imagenes/NAUTICA_MENS_208003402_NVY_1.jpg" TargetMode="External" Id="rId7492"/><Relationship Type="http://schemas.openxmlformats.org/officeDocument/2006/relationships/hyperlink" Target="imagenes/NAUTICA_MENS_208003402_NVY_2.jpg" TargetMode="External" Id="rId7493"/><Relationship Type="http://schemas.openxmlformats.org/officeDocument/2006/relationships/hyperlink" Target="imagenes/NAUTICA_MENS_208003402_NVY_3.jpg" TargetMode="External" Id="rId7494"/><Relationship Type="http://schemas.openxmlformats.org/officeDocument/2006/relationships/hyperlink" Target="imagenes/NAUTICA_MENS_208003402_NVY_1.jpg" TargetMode="External" Id="rId7495"/><Relationship Type="http://schemas.openxmlformats.org/officeDocument/2006/relationships/hyperlink" Target="imagenes/NAUTICA_MENS_208003402_NVY_2.jpg" TargetMode="External" Id="rId7496"/><Relationship Type="http://schemas.openxmlformats.org/officeDocument/2006/relationships/hyperlink" Target="imagenes/NAUTICA_MENS_208003402_NVY_3.jpg" TargetMode="External" Id="rId7497"/><Relationship Type="http://schemas.openxmlformats.org/officeDocument/2006/relationships/hyperlink" Target="imagenes/NAUTICA_MENS_208003402_NVY_1.jpg" TargetMode="External" Id="rId7498"/><Relationship Type="http://schemas.openxmlformats.org/officeDocument/2006/relationships/hyperlink" Target="imagenes/NAUTICA_MENS_208003402_NVY_2.jpg" TargetMode="External" Id="rId7499"/><Relationship Type="http://schemas.openxmlformats.org/officeDocument/2006/relationships/hyperlink" Target="imagenes/NAUTICA_MENS_208003402_NVY_3.jpg" TargetMode="External" Id="rId7500"/><Relationship Type="http://schemas.openxmlformats.org/officeDocument/2006/relationships/hyperlink" Target="imagenes/NAUTICA_MENS_208003402_NVY_1.jpg" TargetMode="External" Id="rId7501"/><Relationship Type="http://schemas.openxmlformats.org/officeDocument/2006/relationships/hyperlink" Target="imagenes/NAUTICA_MENS_208003402_NVY_2.jpg" TargetMode="External" Id="rId7502"/><Relationship Type="http://schemas.openxmlformats.org/officeDocument/2006/relationships/hyperlink" Target="imagenes/NAUTICA_MENS_208003402_NVY_3.jpg" TargetMode="External" Id="rId7503"/><Relationship Type="http://schemas.openxmlformats.org/officeDocument/2006/relationships/hyperlink" Target="imagenes/NAUTICA_MENS_208003402_NVY_1.jpg" TargetMode="External" Id="rId7504"/><Relationship Type="http://schemas.openxmlformats.org/officeDocument/2006/relationships/hyperlink" Target="imagenes/NAUTICA_MENS_208003402_NVY_2.jpg" TargetMode="External" Id="rId7505"/><Relationship Type="http://schemas.openxmlformats.org/officeDocument/2006/relationships/hyperlink" Target="imagenes/NAUTICA_MENS_208003402_NVY_3.jpg" TargetMode="External" Id="rId7506"/><Relationship Type="http://schemas.openxmlformats.org/officeDocument/2006/relationships/hyperlink" Target="imagenes/NAUTICA_MENS_208003402_RPD_1.jpg" TargetMode="External" Id="rId7507"/><Relationship Type="http://schemas.openxmlformats.org/officeDocument/2006/relationships/hyperlink" Target="imagenes/NAUTICA_MENS_208003402_RPD_2.jpg" TargetMode="External" Id="rId7508"/><Relationship Type="http://schemas.openxmlformats.org/officeDocument/2006/relationships/hyperlink" Target="imagenes/NAUTICA_MENS_208003402_RPD_3.jpg" TargetMode="External" Id="rId7509"/><Relationship Type="http://schemas.openxmlformats.org/officeDocument/2006/relationships/hyperlink" Target="imagenes/NAUTICA_MENS_208003402_RPD_1.jpg" TargetMode="External" Id="rId7510"/><Relationship Type="http://schemas.openxmlformats.org/officeDocument/2006/relationships/hyperlink" Target="imagenes/NAUTICA_MENS_208003402_RPD_2.jpg" TargetMode="External" Id="rId7511"/><Relationship Type="http://schemas.openxmlformats.org/officeDocument/2006/relationships/hyperlink" Target="imagenes/NAUTICA_MENS_208003402_RPD_3.jpg" TargetMode="External" Id="rId7512"/><Relationship Type="http://schemas.openxmlformats.org/officeDocument/2006/relationships/hyperlink" Target="imagenes/NAUTICA_MENS_208003402_RPD_1.jpg" TargetMode="External" Id="rId7513"/><Relationship Type="http://schemas.openxmlformats.org/officeDocument/2006/relationships/hyperlink" Target="imagenes/NAUTICA_MENS_208003402_RPD_2.jpg" TargetMode="External" Id="rId7514"/><Relationship Type="http://schemas.openxmlformats.org/officeDocument/2006/relationships/hyperlink" Target="imagenes/NAUTICA_MENS_208003402_RPD_3.jpg" TargetMode="External" Id="rId7515"/><Relationship Type="http://schemas.openxmlformats.org/officeDocument/2006/relationships/hyperlink" Target="imagenes/NAUTICA_MENS_208003402_RPD_1.jpg" TargetMode="External" Id="rId7516"/><Relationship Type="http://schemas.openxmlformats.org/officeDocument/2006/relationships/hyperlink" Target="imagenes/NAUTICA_MENS_208003402_RPD_2.jpg" TargetMode="External" Id="rId7517"/><Relationship Type="http://schemas.openxmlformats.org/officeDocument/2006/relationships/hyperlink" Target="imagenes/NAUTICA_MENS_208003402_RPD_3.jpg" TargetMode="External" Id="rId7518"/><Relationship Type="http://schemas.openxmlformats.org/officeDocument/2006/relationships/hyperlink" Target="imagenes/NAUTICA_MENS_208003402_RPD_1.jpg" TargetMode="External" Id="rId7519"/><Relationship Type="http://schemas.openxmlformats.org/officeDocument/2006/relationships/hyperlink" Target="imagenes/NAUTICA_MENS_208003402_RPD_2.jpg" TargetMode="External" Id="rId7520"/><Relationship Type="http://schemas.openxmlformats.org/officeDocument/2006/relationships/hyperlink" Target="imagenes/NAUTICA_MENS_208003402_RPD_3.jpg" TargetMode="External" Id="rId7521"/><Relationship Type="http://schemas.openxmlformats.org/officeDocument/2006/relationships/hyperlink" Target="imagenes/NAUTICA_MENS_208003402_RPD_1.jpg" TargetMode="External" Id="rId7522"/><Relationship Type="http://schemas.openxmlformats.org/officeDocument/2006/relationships/hyperlink" Target="imagenes/NAUTICA_MENS_208003402_RPD_2.jpg" TargetMode="External" Id="rId7523"/><Relationship Type="http://schemas.openxmlformats.org/officeDocument/2006/relationships/hyperlink" Target="imagenes/NAUTICA_MENS_208003402_RPD_3.jpg" TargetMode="External" Id="rId7524"/><Relationship Type="http://schemas.openxmlformats.org/officeDocument/2006/relationships/hyperlink" Target="imagenes/NAUTICA_MENS_208003403_BGI_1.jpg" TargetMode="External" Id="rId7525"/><Relationship Type="http://schemas.openxmlformats.org/officeDocument/2006/relationships/hyperlink" Target="imagenes/NAUTICA_MENS_208003403_BGI_2.jpg" TargetMode="External" Id="rId7526"/><Relationship Type="http://schemas.openxmlformats.org/officeDocument/2006/relationships/hyperlink" Target="imagenes/NAUTICA_MENS_208003403_BGI_3.jpg" TargetMode="External" Id="rId7527"/><Relationship Type="http://schemas.openxmlformats.org/officeDocument/2006/relationships/hyperlink" Target="imagenes/NAUTICA_MENS_208003403_BGI_1.jpg" TargetMode="External" Id="rId7528"/><Relationship Type="http://schemas.openxmlformats.org/officeDocument/2006/relationships/hyperlink" Target="imagenes/NAUTICA_MENS_208003403_BGI_2.jpg" TargetMode="External" Id="rId7529"/><Relationship Type="http://schemas.openxmlformats.org/officeDocument/2006/relationships/hyperlink" Target="imagenes/NAUTICA_MENS_208003403_BGI_3.jpg" TargetMode="External" Id="rId7530"/><Relationship Type="http://schemas.openxmlformats.org/officeDocument/2006/relationships/hyperlink" Target="imagenes/NAUTICA_MENS_208003403_BGI_1.jpg" TargetMode="External" Id="rId7531"/><Relationship Type="http://schemas.openxmlformats.org/officeDocument/2006/relationships/hyperlink" Target="imagenes/NAUTICA_MENS_208003403_BGI_2.jpg" TargetMode="External" Id="rId7532"/><Relationship Type="http://schemas.openxmlformats.org/officeDocument/2006/relationships/hyperlink" Target="imagenes/NAUTICA_MENS_208003403_BGI_3.jpg" TargetMode="External" Id="rId7533"/><Relationship Type="http://schemas.openxmlformats.org/officeDocument/2006/relationships/hyperlink" Target="imagenes/NAUTICA_MENS_208003403_BGI_1.jpg" TargetMode="External" Id="rId7534"/><Relationship Type="http://schemas.openxmlformats.org/officeDocument/2006/relationships/hyperlink" Target="imagenes/NAUTICA_MENS_208003403_BGI_2.jpg" TargetMode="External" Id="rId7535"/><Relationship Type="http://schemas.openxmlformats.org/officeDocument/2006/relationships/hyperlink" Target="imagenes/NAUTICA_MENS_208003403_BGI_3.jpg" TargetMode="External" Id="rId7536"/><Relationship Type="http://schemas.openxmlformats.org/officeDocument/2006/relationships/hyperlink" Target="imagenes/NAUTICA_MENS_208003403_BGI_1.jpg" TargetMode="External" Id="rId7537"/><Relationship Type="http://schemas.openxmlformats.org/officeDocument/2006/relationships/hyperlink" Target="imagenes/NAUTICA_MENS_208003403_BGI_2.jpg" TargetMode="External" Id="rId7538"/><Relationship Type="http://schemas.openxmlformats.org/officeDocument/2006/relationships/hyperlink" Target="imagenes/NAUTICA_MENS_208003403_BGI_3.jpg" TargetMode="External" Id="rId7539"/><Relationship Type="http://schemas.openxmlformats.org/officeDocument/2006/relationships/hyperlink" Target="imagenes/NAUTICA_MENS_208003403_BGI_1.jpg" TargetMode="External" Id="rId7540"/><Relationship Type="http://schemas.openxmlformats.org/officeDocument/2006/relationships/hyperlink" Target="imagenes/NAUTICA_MENS_208003403_BGI_2.jpg" TargetMode="External" Id="rId7541"/><Relationship Type="http://schemas.openxmlformats.org/officeDocument/2006/relationships/hyperlink" Target="imagenes/NAUTICA_MENS_208003403_BGI_3.jpg" TargetMode="External" Id="rId7542"/><Relationship Type="http://schemas.openxmlformats.org/officeDocument/2006/relationships/hyperlink" Target="imagenes/NAUTICA_MENS_208003403_BGI_1.jpg" TargetMode="External" Id="rId7543"/><Relationship Type="http://schemas.openxmlformats.org/officeDocument/2006/relationships/hyperlink" Target="imagenes/NAUTICA_MENS_208003403_BGI_2.jpg" TargetMode="External" Id="rId7544"/><Relationship Type="http://schemas.openxmlformats.org/officeDocument/2006/relationships/hyperlink" Target="imagenes/NAUTICA_MENS_208003403_BGI_3.jpg" TargetMode="External" Id="rId7545"/><Relationship Type="http://schemas.openxmlformats.org/officeDocument/2006/relationships/hyperlink" Target="imagenes/NAUTICA_MENS_208003403_BGI_1.jpg" TargetMode="External" Id="rId7546"/><Relationship Type="http://schemas.openxmlformats.org/officeDocument/2006/relationships/hyperlink" Target="imagenes/NAUTICA_MENS_208003403_BGI_2.jpg" TargetMode="External" Id="rId7547"/><Relationship Type="http://schemas.openxmlformats.org/officeDocument/2006/relationships/hyperlink" Target="imagenes/NAUTICA_MENS_208003403_BGI_3.jpg" TargetMode="External" Id="rId7548"/><Relationship Type="http://schemas.openxmlformats.org/officeDocument/2006/relationships/hyperlink" Target="imagenes/NAUTICA_MENS_208003403_BGI_1.jpg" TargetMode="External" Id="rId7549"/><Relationship Type="http://schemas.openxmlformats.org/officeDocument/2006/relationships/hyperlink" Target="imagenes/NAUTICA_MENS_208003403_BGI_2.jpg" TargetMode="External" Id="rId7550"/><Relationship Type="http://schemas.openxmlformats.org/officeDocument/2006/relationships/hyperlink" Target="imagenes/NAUTICA_MENS_208003403_BGI_3.jpg" TargetMode="External" Id="rId7551"/><Relationship Type="http://schemas.openxmlformats.org/officeDocument/2006/relationships/hyperlink" Target="imagenes/NAUTICA_MENS_208003403_BGI_1.jpg" TargetMode="External" Id="rId7552"/><Relationship Type="http://schemas.openxmlformats.org/officeDocument/2006/relationships/hyperlink" Target="imagenes/NAUTICA_MENS_208003403_BGI_2.jpg" TargetMode="External" Id="rId7553"/><Relationship Type="http://schemas.openxmlformats.org/officeDocument/2006/relationships/hyperlink" Target="imagenes/NAUTICA_MENS_208003403_BGI_3.jpg" TargetMode="External" Id="rId7554"/><Relationship Type="http://schemas.openxmlformats.org/officeDocument/2006/relationships/hyperlink" Target="imagenes/NAUTICA_MENS_208003403_BGI_1.jpg" TargetMode="External" Id="rId7555"/><Relationship Type="http://schemas.openxmlformats.org/officeDocument/2006/relationships/hyperlink" Target="imagenes/NAUTICA_MENS_208003403_BGI_2.jpg" TargetMode="External" Id="rId7556"/><Relationship Type="http://schemas.openxmlformats.org/officeDocument/2006/relationships/hyperlink" Target="imagenes/NAUTICA_MENS_208003403_BGI_3.jpg" TargetMode="External" Id="rId7557"/><Relationship Type="http://schemas.openxmlformats.org/officeDocument/2006/relationships/hyperlink" Target="imagenes/NAUTICA_MENS_208003403_BGI_1.jpg" TargetMode="External" Id="rId7558"/><Relationship Type="http://schemas.openxmlformats.org/officeDocument/2006/relationships/hyperlink" Target="imagenes/NAUTICA_MENS_208003403_BGI_2.jpg" TargetMode="External" Id="rId7559"/><Relationship Type="http://schemas.openxmlformats.org/officeDocument/2006/relationships/hyperlink" Target="imagenes/NAUTICA_MENS_208003403_BGI_3.jpg" TargetMode="External" Id="rId7560"/><Relationship Type="http://schemas.openxmlformats.org/officeDocument/2006/relationships/hyperlink" Target="imagenes/NAUTICA_MENS_208003403_NVY_1.jpg" TargetMode="External" Id="rId7561"/><Relationship Type="http://schemas.openxmlformats.org/officeDocument/2006/relationships/hyperlink" Target="imagenes/NAUTICA_MENS_208003403_NVY_2.jpg" TargetMode="External" Id="rId7562"/><Relationship Type="http://schemas.openxmlformats.org/officeDocument/2006/relationships/hyperlink" Target="imagenes/NAUTICA_MENS_208003403_NVY_3.jpg" TargetMode="External" Id="rId7563"/><Relationship Type="http://schemas.openxmlformats.org/officeDocument/2006/relationships/hyperlink" Target="imagenes/NAUTICA_MENS_208003403_NVY_1.jpg" TargetMode="External" Id="rId7564"/><Relationship Type="http://schemas.openxmlformats.org/officeDocument/2006/relationships/hyperlink" Target="imagenes/NAUTICA_MENS_208003403_NVY_2.jpg" TargetMode="External" Id="rId7565"/><Relationship Type="http://schemas.openxmlformats.org/officeDocument/2006/relationships/hyperlink" Target="imagenes/NAUTICA_MENS_208003403_NVY_3.jpg" TargetMode="External" Id="rId7566"/><Relationship Type="http://schemas.openxmlformats.org/officeDocument/2006/relationships/hyperlink" Target="imagenes/NAUTICA_MENS_208003403_NVY_1.jpg" TargetMode="External" Id="rId7567"/><Relationship Type="http://schemas.openxmlformats.org/officeDocument/2006/relationships/hyperlink" Target="imagenes/NAUTICA_MENS_208003403_NVY_2.jpg" TargetMode="External" Id="rId7568"/><Relationship Type="http://schemas.openxmlformats.org/officeDocument/2006/relationships/hyperlink" Target="imagenes/NAUTICA_MENS_208003403_NVY_3.jpg" TargetMode="External" Id="rId7569"/><Relationship Type="http://schemas.openxmlformats.org/officeDocument/2006/relationships/hyperlink" Target="imagenes/NAUTICA_MENS_208003403_NVY_1.jpg" TargetMode="External" Id="rId7570"/><Relationship Type="http://schemas.openxmlformats.org/officeDocument/2006/relationships/hyperlink" Target="imagenes/NAUTICA_MENS_208003403_NVY_2.jpg" TargetMode="External" Id="rId7571"/><Relationship Type="http://schemas.openxmlformats.org/officeDocument/2006/relationships/hyperlink" Target="imagenes/NAUTICA_MENS_208003403_NVY_3.jpg" TargetMode="External" Id="rId7572"/><Relationship Type="http://schemas.openxmlformats.org/officeDocument/2006/relationships/hyperlink" Target="imagenes/NAUTICA_MENS_208003403_NVY_1.jpg" TargetMode="External" Id="rId7573"/><Relationship Type="http://schemas.openxmlformats.org/officeDocument/2006/relationships/hyperlink" Target="imagenes/NAUTICA_MENS_208003403_NVY_2.jpg" TargetMode="External" Id="rId7574"/><Relationship Type="http://schemas.openxmlformats.org/officeDocument/2006/relationships/hyperlink" Target="imagenes/NAUTICA_MENS_208003403_NVY_3.jpg" TargetMode="External" Id="rId7575"/><Relationship Type="http://schemas.openxmlformats.org/officeDocument/2006/relationships/hyperlink" Target="imagenes/NAUTICA_MENS_208003403_NVY_1.jpg" TargetMode="External" Id="rId7576"/><Relationship Type="http://schemas.openxmlformats.org/officeDocument/2006/relationships/hyperlink" Target="imagenes/NAUTICA_MENS_208003403_NVY_2.jpg" TargetMode="External" Id="rId7577"/><Relationship Type="http://schemas.openxmlformats.org/officeDocument/2006/relationships/hyperlink" Target="imagenes/NAUTICA_MENS_208003403_NVY_3.jpg" TargetMode="External" Id="rId7578"/><Relationship Type="http://schemas.openxmlformats.org/officeDocument/2006/relationships/hyperlink" Target="imagenes/NAUTICA_MENS_208003403_NVY_1.jpg" TargetMode="External" Id="rId7579"/><Relationship Type="http://schemas.openxmlformats.org/officeDocument/2006/relationships/hyperlink" Target="imagenes/NAUTICA_MENS_208003403_NVY_2.jpg" TargetMode="External" Id="rId7580"/><Relationship Type="http://schemas.openxmlformats.org/officeDocument/2006/relationships/hyperlink" Target="imagenes/NAUTICA_MENS_208003403_NVY_3.jpg" TargetMode="External" Id="rId7581"/><Relationship Type="http://schemas.openxmlformats.org/officeDocument/2006/relationships/hyperlink" Target="imagenes/NAUTICA_MENS_208003403_NVY_1.jpg" TargetMode="External" Id="rId7582"/><Relationship Type="http://schemas.openxmlformats.org/officeDocument/2006/relationships/hyperlink" Target="imagenes/NAUTICA_MENS_208003403_NVY_2.jpg" TargetMode="External" Id="rId7583"/><Relationship Type="http://schemas.openxmlformats.org/officeDocument/2006/relationships/hyperlink" Target="imagenes/NAUTICA_MENS_208003403_NVY_3.jpg" TargetMode="External" Id="rId7584"/><Relationship Type="http://schemas.openxmlformats.org/officeDocument/2006/relationships/hyperlink" Target="imagenes/NAUTICA_MENS_208003403_NVY_1.jpg" TargetMode="External" Id="rId7585"/><Relationship Type="http://schemas.openxmlformats.org/officeDocument/2006/relationships/hyperlink" Target="imagenes/NAUTICA_MENS_208003403_NVY_2.jpg" TargetMode="External" Id="rId7586"/><Relationship Type="http://schemas.openxmlformats.org/officeDocument/2006/relationships/hyperlink" Target="imagenes/NAUTICA_MENS_208003403_NVY_3.jpg" TargetMode="External" Id="rId7587"/><Relationship Type="http://schemas.openxmlformats.org/officeDocument/2006/relationships/hyperlink" Target="imagenes/NAUTICA_MENS_208003403_NVY_1.jpg" TargetMode="External" Id="rId7588"/><Relationship Type="http://schemas.openxmlformats.org/officeDocument/2006/relationships/hyperlink" Target="imagenes/NAUTICA_MENS_208003403_NVY_2.jpg" TargetMode="External" Id="rId7589"/><Relationship Type="http://schemas.openxmlformats.org/officeDocument/2006/relationships/hyperlink" Target="imagenes/NAUTICA_MENS_208003403_NVY_3.jpg" TargetMode="External" Id="rId7590"/><Relationship Type="http://schemas.openxmlformats.org/officeDocument/2006/relationships/hyperlink" Target="imagenes/NAUTICA_MENS_208003403_NVY_1.jpg" TargetMode="External" Id="rId7591"/><Relationship Type="http://schemas.openxmlformats.org/officeDocument/2006/relationships/hyperlink" Target="imagenes/NAUTICA_MENS_208003403_NVY_2.jpg" TargetMode="External" Id="rId7592"/><Relationship Type="http://schemas.openxmlformats.org/officeDocument/2006/relationships/hyperlink" Target="imagenes/NAUTICA_MENS_208003403_NVY_3.jpg" TargetMode="External" Id="rId7593"/><Relationship Type="http://schemas.openxmlformats.org/officeDocument/2006/relationships/hyperlink" Target="imagenes/NAUTICA_MENS_208003403_RPD_1.jpg" TargetMode="External" Id="rId7594"/><Relationship Type="http://schemas.openxmlformats.org/officeDocument/2006/relationships/hyperlink" Target="imagenes/NAUTICA_MENS_208003403_RPD_2.jpg" TargetMode="External" Id="rId7595"/><Relationship Type="http://schemas.openxmlformats.org/officeDocument/2006/relationships/hyperlink" Target="imagenes/NAUTICA_MENS_208003403_RPD_3.jpg" TargetMode="External" Id="rId7596"/><Relationship Type="http://schemas.openxmlformats.org/officeDocument/2006/relationships/hyperlink" Target="imagenes/NAUTICA_MENS_208003403_RPD_1.jpg" TargetMode="External" Id="rId7597"/><Relationship Type="http://schemas.openxmlformats.org/officeDocument/2006/relationships/hyperlink" Target="imagenes/NAUTICA_MENS_208003403_RPD_2.jpg" TargetMode="External" Id="rId7598"/><Relationship Type="http://schemas.openxmlformats.org/officeDocument/2006/relationships/hyperlink" Target="imagenes/NAUTICA_MENS_208003403_RPD_3.jpg" TargetMode="External" Id="rId7599"/><Relationship Type="http://schemas.openxmlformats.org/officeDocument/2006/relationships/hyperlink" Target="imagenes/NAUTICA_MENS_208003403_RPD_1.jpg" TargetMode="External" Id="rId7600"/><Relationship Type="http://schemas.openxmlformats.org/officeDocument/2006/relationships/hyperlink" Target="imagenes/NAUTICA_MENS_208003403_RPD_2.jpg" TargetMode="External" Id="rId7601"/><Relationship Type="http://schemas.openxmlformats.org/officeDocument/2006/relationships/hyperlink" Target="imagenes/NAUTICA_MENS_208003403_RPD_3.jpg" TargetMode="External" Id="rId7602"/><Relationship Type="http://schemas.openxmlformats.org/officeDocument/2006/relationships/hyperlink" Target="imagenes/NAUTICA_MENS_208003403_RPD_1.jpg" TargetMode="External" Id="rId7603"/><Relationship Type="http://schemas.openxmlformats.org/officeDocument/2006/relationships/hyperlink" Target="imagenes/NAUTICA_MENS_208003403_RPD_2.jpg" TargetMode="External" Id="rId7604"/><Relationship Type="http://schemas.openxmlformats.org/officeDocument/2006/relationships/hyperlink" Target="imagenes/NAUTICA_MENS_208003403_RPD_3.jpg" TargetMode="External" Id="rId7605"/><Relationship Type="http://schemas.openxmlformats.org/officeDocument/2006/relationships/hyperlink" Target="imagenes/NAUTICA_MENS_208003403_RPD_1.jpg" TargetMode="External" Id="rId7606"/><Relationship Type="http://schemas.openxmlformats.org/officeDocument/2006/relationships/hyperlink" Target="imagenes/NAUTICA_MENS_208003403_RPD_2.jpg" TargetMode="External" Id="rId7607"/><Relationship Type="http://schemas.openxmlformats.org/officeDocument/2006/relationships/hyperlink" Target="imagenes/NAUTICA_MENS_208003403_RPD_3.jpg" TargetMode="External" Id="rId7608"/><Relationship Type="http://schemas.openxmlformats.org/officeDocument/2006/relationships/hyperlink" Target="imagenes/NAUTICA_MENS_208003403_RPD_1.jpg" TargetMode="External" Id="rId7609"/><Relationship Type="http://schemas.openxmlformats.org/officeDocument/2006/relationships/hyperlink" Target="imagenes/NAUTICA_MENS_208003403_RPD_2.jpg" TargetMode="External" Id="rId7610"/><Relationship Type="http://schemas.openxmlformats.org/officeDocument/2006/relationships/hyperlink" Target="imagenes/NAUTICA_MENS_208003403_RPD_3.jpg" TargetMode="External" Id="rId7611"/><Relationship Type="http://schemas.openxmlformats.org/officeDocument/2006/relationships/hyperlink" Target="imagenes/NAUTICA_MENS_208003415_TRK_1.jpg" TargetMode="External" Id="rId7612"/><Relationship Type="http://schemas.openxmlformats.org/officeDocument/2006/relationships/hyperlink" Target="imagenes/NAUTICA_MENS_208003415_TRK_2.jpg" TargetMode="External" Id="rId7613"/><Relationship Type="http://schemas.openxmlformats.org/officeDocument/2006/relationships/hyperlink" Target="imagenes/NAUTICA_MENS_208003415_TRK_3.jpg" TargetMode="External" Id="rId7614"/><Relationship Type="http://schemas.openxmlformats.org/officeDocument/2006/relationships/hyperlink" Target="imagenes/NAUTICA_MENS_208003415_TRU_1.jpg" TargetMode="External" Id="rId7615"/><Relationship Type="http://schemas.openxmlformats.org/officeDocument/2006/relationships/hyperlink" Target="imagenes/NAUTICA_MENS_208003415_TRU_2.jpg" TargetMode="External" Id="rId7616"/><Relationship Type="http://schemas.openxmlformats.org/officeDocument/2006/relationships/hyperlink" Target="imagenes/NAUTICA_MENS_208003415_TRU_3.jpg" TargetMode="External" Id="rId7617"/><Relationship Type="http://schemas.openxmlformats.org/officeDocument/2006/relationships/hyperlink" Target="imagenes/NAUTICA_MENS_208003415_TRU_1.jpg" TargetMode="External" Id="rId7618"/><Relationship Type="http://schemas.openxmlformats.org/officeDocument/2006/relationships/hyperlink" Target="imagenes/NAUTICA_MENS_208003415_TRU_2.jpg" TargetMode="External" Id="rId7619"/><Relationship Type="http://schemas.openxmlformats.org/officeDocument/2006/relationships/hyperlink" Target="imagenes/NAUTICA_MENS_208003415_TRU_3.jpg" TargetMode="External" Id="rId7620"/><Relationship Type="http://schemas.openxmlformats.org/officeDocument/2006/relationships/hyperlink" Target="imagenes/NAUTICA_MENS_208003415_TRU_1.jpg" TargetMode="External" Id="rId7621"/><Relationship Type="http://schemas.openxmlformats.org/officeDocument/2006/relationships/hyperlink" Target="imagenes/NAUTICA_MENS_208003415_TRU_2.jpg" TargetMode="External" Id="rId7622"/><Relationship Type="http://schemas.openxmlformats.org/officeDocument/2006/relationships/hyperlink" Target="imagenes/NAUTICA_MENS_208003415_TRU_3.jpg" TargetMode="External" Id="rId7623"/><Relationship Type="http://schemas.openxmlformats.org/officeDocument/2006/relationships/hyperlink" Target="imagenes/NAUTICA_MENS_208004155_B31_1.jpg" TargetMode="External" Id="rId7624"/><Relationship Type="http://schemas.openxmlformats.org/officeDocument/2006/relationships/hyperlink" Target="imagenes/NAUTICA_MENS_208004155_B31_2.jpg" TargetMode="External" Id="rId7625"/><Relationship Type="http://schemas.openxmlformats.org/officeDocument/2006/relationships/hyperlink" Target="imagenes/NAUTICA_MENS_208004155_B31_3.jpg" TargetMode="External" Id="rId7626"/><Relationship Type="http://schemas.openxmlformats.org/officeDocument/2006/relationships/hyperlink" Target="imagenes/NAUTICA_MENS_208004155_B31_1.jpg" TargetMode="External" Id="rId7627"/><Relationship Type="http://schemas.openxmlformats.org/officeDocument/2006/relationships/hyperlink" Target="imagenes/NAUTICA_MENS_208004155_B31_2.jpg" TargetMode="External" Id="rId7628"/><Relationship Type="http://schemas.openxmlformats.org/officeDocument/2006/relationships/hyperlink" Target="imagenes/NAUTICA_MENS_208004155_B31_3.jpg" TargetMode="External" Id="rId7629"/><Relationship Type="http://schemas.openxmlformats.org/officeDocument/2006/relationships/hyperlink" Target="imagenes/NAUTICA_MENS_208004155_B31_1.jpg" TargetMode="External" Id="rId7630"/><Relationship Type="http://schemas.openxmlformats.org/officeDocument/2006/relationships/hyperlink" Target="imagenes/NAUTICA_MENS_208004155_B31_2.jpg" TargetMode="External" Id="rId7631"/><Relationship Type="http://schemas.openxmlformats.org/officeDocument/2006/relationships/hyperlink" Target="imagenes/NAUTICA_MENS_208004155_B31_3.jpg" TargetMode="External" Id="rId7632"/><Relationship Type="http://schemas.openxmlformats.org/officeDocument/2006/relationships/hyperlink" Target="imagenes/NAUTICA_MENS_208004155_B31_1.jpg" TargetMode="External" Id="rId7633"/><Relationship Type="http://schemas.openxmlformats.org/officeDocument/2006/relationships/hyperlink" Target="imagenes/NAUTICA_MENS_208004155_B31_2.jpg" TargetMode="External" Id="rId7634"/><Relationship Type="http://schemas.openxmlformats.org/officeDocument/2006/relationships/hyperlink" Target="imagenes/NAUTICA_MENS_208004155_B31_3.jpg" TargetMode="External" Id="rId7635"/><Relationship Type="http://schemas.openxmlformats.org/officeDocument/2006/relationships/hyperlink" Target="imagenes/NAUTICA_MENS_208004155_B31_1.jpg" TargetMode="External" Id="rId7636"/><Relationship Type="http://schemas.openxmlformats.org/officeDocument/2006/relationships/hyperlink" Target="imagenes/NAUTICA_MENS_208004155_B31_2.jpg" TargetMode="External" Id="rId7637"/><Relationship Type="http://schemas.openxmlformats.org/officeDocument/2006/relationships/hyperlink" Target="imagenes/NAUTICA_MENS_208004155_B31_3.jpg" TargetMode="External" Id="rId7638"/><Relationship Type="http://schemas.openxmlformats.org/officeDocument/2006/relationships/hyperlink" Target="imagenes/NAUTICA_MENS_208004155_B31_1.jpg" TargetMode="External" Id="rId7639"/><Relationship Type="http://schemas.openxmlformats.org/officeDocument/2006/relationships/hyperlink" Target="imagenes/NAUTICA_MENS_208004155_B31_2.jpg" TargetMode="External" Id="rId7640"/><Relationship Type="http://schemas.openxmlformats.org/officeDocument/2006/relationships/hyperlink" Target="imagenes/NAUTICA_MENS_208004155_B31_3.jpg" TargetMode="External" Id="rId7641"/><Relationship Type="http://schemas.openxmlformats.org/officeDocument/2006/relationships/hyperlink" Target="imagenes/NAUTICA_MENS_208004155_B31_1.jpg" TargetMode="External" Id="rId7642"/><Relationship Type="http://schemas.openxmlformats.org/officeDocument/2006/relationships/hyperlink" Target="imagenes/NAUTICA_MENS_208004155_B31_2.jpg" TargetMode="External" Id="rId7643"/><Relationship Type="http://schemas.openxmlformats.org/officeDocument/2006/relationships/hyperlink" Target="imagenes/NAUTICA_MENS_208004155_B31_3.jpg" TargetMode="External" Id="rId7644"/><Relationship Type="http://schemas.openxmlformats.org/officeDocument/2006/relationships/hyperlink" Target="imagenes/NAUTICA_MENS_208004155_B31_1.jpg" TargetMode="External" Id="rId7645"/><Relationship Type="http://schemas.openxmlformats.org/officeDocument/2006/relationships/hyperlink" Target="imagenes/NAUTICA_MENS_208004155_B31_2.jpg" TargetMode="External" Id="rId7646"/><Relationship Type="http://schemas.openxmlformats.org/officeDocument/2006/relationships/hyperlink" Target="imagenes/NAUTICA_MENS_208004155_B31_3.jpg" TargetMode="External" Id="rId7647"/><Relationship Type="http://schemas.openxmlformats.org/officeDocument/2006/relationships/hyperlink" Target="imagenes/NAUTICA_MENS_208004155_B31_1.jpg" TargetMode="External" Id="rId7648"/><Relationship Type="http://schemas.openxmlformats.org/officeDocument/2006/relationships/hyperlink" Target="imagenes/NAUTICA_MENS_208004155_B31_2.jpg" TargetMode="External" Id="rId7649"/><Relationship Type="http://schemas.openxmlformats.org/officeDocument/2006/relationships/hyperlink" Target="imagenes/NAUTICA_MENS_208004155_B31_3.jpg" TargetMode="External" Id="rId7650"/><Relationship Type="http://schemas.openxmlformats.org/officeDocument/2006/relationships/hyperlink" Target="imagenes/NAUTICA_MENS_208004155_B31_1.jpg" TargetMode="External" Id="rId7651"/><Relationship Type="http://schemas.openxmlformats.org/officeDocument/2006/relationships/hyperlink" Target="imagenes/NAUTICA_MENS_208004155_B31_2.jpg" TargetMode="External" Id="rId7652"/><Relationship Type="http://schemas.openxmlformats.org/officeDocument/2006/relationships/hyperlink" Target="imagenes/NAUTICA_MENS_208004155_B31_3.jpg" TargetMode="External" Id="rId7653"/><Relationship Type="http://schemas.openxmlformats.org/officeDocument/2006/relationships/hyperlink" Target="imagenes/NAUTICA_MENS_208004155_BLK_1.jpg" TargetMode="External" Id="rId7654"/><Relationship Type="http://schemas.openxmlformats.org/officeDocument/2006/relationships/hyperlink" Target="imagenes/NAUTICA_MENS_208004155_BLK_2.jpg" TargetMode="External" Id="rId7655"/><Relationship Type="http://schemas.openxmlformats.org/officeDocument/2006/relationships/hyperlink" Target="imagenes/NAUTICA_MENS_208004155_BLK_3.jpg" TargetMode="External" Id="rId7656"/><Relationship Type="http://schemas.openxmlformats.org/officeDocument/2006/relationships/hyperlink" Target="imagenes/NAUTICA_MENS_208004155_BLK_1.jpg" TargetMode="External" Id="rId7657"/><Relationship Type="http://schemas.openxmlformats.org/officeDocument/2006/relationships/hyperlink" Target="imagenes/NAUTICA_MENS_208004155_BLK_2.jpg" TargetMode="External" Id="rId7658"/><Relationship Type="http://schemas.openxmlformats.org/officeDocument/2006/relationships/hyperlink" Target="imagenes/NAUTICA_MENS_208004155_BLK_3.jpg" TargetMode="External" Id="rId7659"/><Relationship Type="http://schemas.openxmlformats.org/officeDocument/2006/relationships/hyperlink" Target="imagenes/NAUTICA_MENS_208004155_BLK_1.jpg" TargetMode="External" Id="rId7660"/><Relationship Type="http://schemas.openxmlformats.org/officeDocument/2006/relationships/hyperlink" Target="imagenes/NAUTICA_MENS_208004155_BLK_2.jpg" TargetMode="External" Id="rId7661"/><Relationship Type="http://schemas.openxmlformats.org/officeDocument/2006/relationships/hyperlink" Target="imagenes/NAUTICA_MENS_208004155_BLK_3.jpg" TargetMode="External" Id="rId7662"/><Relationship Type="http://schemas.openxmlformats.org/officeDocument/2006/relationships/hyperlink" Target="imagenes/NAUTICA_MENS_208004155_BLK_1.jpg" TargetMode="External" Id="rId7663"/><Relationship Type="http://schemas.openxmlformats.org/officeDocument/2006/relationships/hyperlink" Target="imagenes/NAUTICA_MENS_208004155_BLK_2.jpg" TargetMode="External" Id="rId7664"/><Relationship Type="http://schemas.openxmlformats.org/officeDocument/2006/relationships/hyperlink" Target="imagenes/NAUTICA_MENS_208004155_BLK_3.jpg" TargetMode="External" Id="rId7665"/><Relationship Type="http://schemas.openxmlformats.org/officeDocument/2006/relationships/hyperlink" Target="imagenes/NAUTICA_MENS_208004155_BLK_1.jpg" TargetMode="External" Id="rId7666"/><Relationship Type="http://schemas.openxmlformats.org/officeDocument/2006/relationships/hyperlink" Target="imagenes/NAUTICA_MENS_208004155_BLK_2.jpg" TargetMode="External" Id="rId7667"/><Relationship Type="http://schemas.openxmlformats.org/officeDocument/2006/relationships/hyperlink" Target="imagenes/NAUTICA_MENS_208004155_BLK_3.jpg" TargetMode="External" Id="rId7668"/><Relationship Type="http://schemas.openxmlformats.org/officeDocument/2006/relationships/hyperlink" Target="imagenes/NAUTICA_MENS_208004155_BLK_1.jpg" TargetMode="External" Id="rId7669"/><Relationship Type="http://schemas.openxmlformats.org/officeDocument/2006/relationships/hyperlink" Target="imagenes/NAUTICA_MENS_208004155_BLK_2.jpg" TargetMode="External" Id="rId7670"/><Relationship Type="http://schemas.openxmlformats.org/officeDocument/2006/relationships/hyperlink" Target="imagenes/NAUTICA_MENS_208004155_BLK_3.jpg" TargetMode="External" Id="rId7671"/><Relationship Type="http://schemas.openxmlformats.org/officeDocument/2006/relationships/hyperlink" Target="imagenes/NAUTICA_MENS_208004155_BLK_1.jpg" TargetMode="External" Id="rId7672"/><Relationship Type="http://schemas.openxmlformats.org/officeDocument/2006/relationships/hyperlink" Target="imagenes/NAUTICA_MENS_208004155_BLK_2.jpg" TargetMode="External" Id="rId7673"/><Relationship Type="http://schemas.openxmlformats.org/officeDocument/2006/relationships/hyperlink" Target="imagenes/NAUTICA_MENS_208004155_BLK_3.jpg" TargetMode="External" Id="rId7674"/><Relationship Type="http://schemas.openxmlformats.org/officeDocument/2006/relationships/hyperlink" Target="imagenes/NAUTICA_MENS_208004155_BLK_1.jpg" TargetMode="External" Id="rId7675"/><Relationship Type="http://schemas.openxmlformats.org/officeDocument/2006/relationships/hyperlink" Target="imagenes/NAUTICA_MENS_208004155_BLK_2.jpg" TargetMode="External" Id="rId7676"/><Relationship Type="http://schemas.openxmlformats.org/officeDocument/2006/relationships/hyperlink" Target="imagenes/NAUTICA_MENS_208004155_BLK_3.jpg" TargetMode="External" Id="rId7677"/><Relationship Type="http://schemas.openxmlformats.org/officeDocument/2006/relationships/hyperlink" Target="imagenes/NAUTICA_MENS_208004155_BLK_1.jpg" TargetMode="External" Id="rId7678"/><Relationship Type="http://schemas.openxmlformats.org/officeDocument/2006/relationships/hyperlink" Target="imagenes/NAUTICA_MENS_208004155_BLK_2.jpg" TargetMode="External" Id="rId7679"/><Relationship Type="http://schemas.openxmlformats.org/officeDocument/2006/relationships/hyperlink" Target="imagenes/NAUTICA_MENS_208004155_BLK_3.jpg" TargetMode="External" Id="rId7680"/><Relationship Type="http://schemas.openxmlformats.org/officeDocument/2006/relationships/hyperlink" Target="imagenes/NAUTICA_MENS_208004155_BLK_1.jpg" TargetMode="External" Id="rId7681"/><Relationship Type="http://schemas.openxmlformats.org/officeDocument/2006/relationships/hyperlink" Target="imagenes/NAUTICA_MENS_208004155_BLK_2.jpg" TargetMode="External" Id="rId7682"/><Relationship Type="http://schemas.openxmlformats.org/officeDocument/2006/relationships/hyperlink" Target="imagenes/NAUTICA_MENS_208004155_BLK_3.jpg" TargetMode="External" Id="rId7683"/><Relationship Type="http://schemas.openxmlformats.org/officeDocument/2006/relationships/hyperlink" Target="imagenes/NAUTICA_MENS_208004155_BLK_1.jpg" TargetMode="External" Id="rId7684"/><Relationship Type="http://schemas.openxmlformats.org/officeDocument/2006/relationships/hyperlink" Target="imagenes/NAUTICA_MENS_208004155_BLK_2.jpg" TargetMode="External" Id="rId7685"/><Relationship Type="http://schemas.openxmlformats.org/officeDocument/2006/relationships/hyperlink" Target="imagenes/NAUTICA_MENS_208004155_BLK_3.jpg" TargetMode="External" Id="rId7686"/><Relationship Type="http://schemas.openxmlformats.org/officeDocument/2006/relationships/hyperlink" Target="imagenes/NAUTICA_MENS_208004155_DDN_1.jpg" TargetMode="External" Id="rId7687"/><Relationship Type="http://schemas.openxmlformats.org/officeDocument/2006/relationships/hyperlink" Target="imagenes/NAUTICA_MENS_208004155_DDN_2.jpg" TargetMode="External" Id="rId7688"/><Relationship Type="http://schemas.openxmlformats.org/officeDocument/2006/relationships/hyperlink" Target="imagenes/NAUTICA_MENS_208004155_DDN_3.jpg" TargetMode="External" Id="rId7689"/><Relationship Type="http://schemas.openxmlformats.org/officeDocument/2006/relationships/hyperlink" Target="imagenes/NAUTICA_MENS_208004155_DDN_1.jpg" TargetMode="External" Id="rId7690"/><Relationship Type="http://schemas.openxmlformats.org/officeDocument/2006/relationships/hyperlink" Target="imagenes/NAUTICA_MENS_208004155_DDN_2.jpg" TargetMode="External" Id="rId7691"/><Relationship Type="http://schemas.openxmlformats.org/officeDocument/2006/relationships/hyperlink" Target="imagenes/NAUTICA_MENS_208004155_DDN_3.jpg" TargetMode="External" Id="rId7692"/><Relationship Type="http://schemas.openxmlformats.org/officeDocument/2006/relationships/hyperlink" Target="imagenes/NAUTICA_MENS_208004155_DDN_1.jpg" TargetMode="External" Id="rId7693"/><Relationship Type="http://schemas.openxmlformats.org/officeDocument/2006/relationships/hyperlink" Target="imagenes/NAUTICA_MENS_208004155_DDN_2.jpg" TargetMode="External" Id="rId7694"/><Relationship Type="http://schemas.openxmlformats.org/officeDocument/2006/relationships/hyperlink" Target="imagenes/NAUTICA_MENS_208004155_DDN_3.jpg" TargetMode="External" Id="rId7695"/><Relationship Type="http://schemas.openxmlformats.org/officeDocument/2006/relationships/hyperlink" Target="imagenes/NAUTICA_MENS_208004155_DDN_1.jpg" TargetMode="External" Id="rId7696"/><Relationship Type="http://schemas.openxmlformats.org/officeDocument/2006/relationships/hyperlink" Target="imagenes/NAUTICA_MENS_208004155_DDN_2.jpg" TargetMode="External" Id="rId7697"/><Relationship Type="http://schemas.openxmlformats.org/officeDocument/2006/relationships/hyperlink" Target="imagenes/NAUTICA_MENS_208004155_DDN_3.jpg" TargetMode="External" Id="rId7698"/><Relationship Type="http://schemas.openxmlformats.org/officeDocument/2006/relationships/hyperlink" Target="imagenes/NAUTICA_MENS_208004155_DDN_1.jpg" TargetMode="External" Id="rId7699"/><Relationship Type="http://schemas.openxmlformats.org/officeDocument/2006/relationships/hyperlink" Target="imagenes/NAUTICA_MENS_208004155_DDN_2.jpg" TargetMode="External" Id="rId7700"/><Relationship Type="http://schemas.openxmlformats.org/officeDocument/2006/relationships/hyperlink" Target="imagenes/NAUTICA_MENS_208004155_DDN_3.jpg" TargetMode="External" Id="rId7701"/><Relationship Type="http://schemas.openxmlformats.org/officeDocument/2006/relationships/hyperlink" Target="imagenes/NAUTICA_MENS_208004155_DDN_1.jpg" TargetMode="External" Id="rId7702"/><Relationship Type="http://schemas.openxmlformats.org/officeDocument/2006/relationships/hyperlink" Target="imagenes/NAUTICA_MENS_208004155_DDN_2.jpg" TargetMode="External" Id="rId7703"/><Relationship Type="http://schemas.openxmlformats.org/officeDocument/2006/relationships/hyperlink" Target="imagenes/NAUTICA_MENS_208004155_DDN_3.jpg" TargetMode="External" Id="rId7704"/><Relationship Type="http://schemas.openxmlformats.org/officeDocument/2006/relationships/hyperlink" Target="imagenes/NAUTICA_MENS_208004155_DDN_1.jpg" TargetMode="External" Id="rId7705"/><Relationship Type="http://schemas.openxmlformats.org/officeDocument/2006/relationships/hyperlink" Target="imagenes/NAUTICA_MENS_208004155_DDN_2.jpg" TargetMode="External" Id="rId7706"/><Relationship Type="http://schemas.openxmlformats.org/officeDocument/2006/relationships/hyperlink" Target="imagenes/NAUTICA_MENS_208004155_DDN_3.jpg" TargetMode="External" Id="rId7707"/><Relationship Type="http://schemas.openxmlformats.org/officeDocument/2006/relationships/hyperlink" Target="imagenes/NAUTICA_MENS_208004155_DDN_1.jpg" TargetMode="External" Id="rId7708"/><Relationship Type="http://schemas.openxmlformats.org/officeDocument/2006/relationships/hyperlink" Target="imagenes/NAUTICA_MENS_208004155_DDN_2.jpg" TargetMode="External" Id="rId7709"/><Relationship Type="http://schemas.openxmlformats.org/officeDocument/2006/relationships/hyperlink" Target="imagenes/NAUTICA_MENS_208004155_DDN_3.jpg" TargetMode="External" Id="rId7710"/><Relationship Type="http://schemas.openxmlformats.org/officeDocument/2006/relationships/hyperlink" Target="imagenes/NAUTICA_MENS_208004155_DDN_1.jpg" TargetMode="External" Id="rId7711"/><Relationship Type="http://schemas.openxmlformats.org/officeDocument/2006/relationships/hyperlink" Target="imagenes/NAUTICA_MENS_208004155_DDN_2.jpg" TargetMode="External" Id="rId7712"/><Relationship Type="http://schemas.openxmlformats.org/officeDocument/2006/relationships/hyperlink" Target="imagenes/NAUTICA_MENS_208004155_DDN_3.jpg" TargetMode="External" Id="rId7713"/><Relationship Type="http://schemas.openxmlformats.org/officeDocument/2006/relationships/hyperlink" Target="imagenes/NAUTICA_MENS_208004155_MTA_1.jpg" TargetMode="External" Id="rId7714"/><Relationship Type="http://schemas.openxmlformats.org/officeDocument/2006/relationships/hyperlink" Target="imagenes/NAUTICA_MENS_208004155_MTA_2.jpg" TargetMode="External" Id="rId7715"/><Relationship Type="http://schemas.openxmlformats.org/officeDocument/2006/relationships/hyperlink" Target="imagenes/NAUTICA_MENS_208004155_MTA_3.jpg" TargetMode="External" Id="rId7716"/><Relationship Type="http://schemas.openxmlformats.org/officeDocument/2006/relationships/hyperlink" Target="imagenes/NAUTICA_MENS_208004155_MTA_1.jpg" TargetMode="External" Id="rId7717"/><Relationship Type="http://schemas.openxmlformats.org/officeDocument/2006/relationships/hyperlink" Target="imagenes/NAUTICA_MENS_208004155_MTA_2.jpg" TargetMode="External" Id="rId7718"/><Relationship Type="http://schemas.openxmlformats.org/officeDocument/2006/relationships/hyperlink" Target="imagenes/NAUTICA_MENS_208004155_MTA_3.jpg" TargetMode="External" Id="rId7719"/><Relationship Type="http://schemas.openxmlformats.org/officeDocument/2006/relationships/hyperlink" Target="imagenes/NAUTICA_MENS_208004155_MTA_1.jpg" TargetMode="External" Id="rId7720"/><Relationship Type="http://schemas.openxmlformats.org/officeDocument/2006/relationships/hyperlink" Target="imagenes/NAUTICA_MENS_208004155_MTA_2.jpg" TargetMode="External" Id="rId7721"/><Relationship Type="http://schemas.openxmlformats.org/officeDocument/2006/relationships/hyperlink" Target="imagenes/NAUTICA_MENS_208004155_MTA_3.jpg" TargetMode="External" Id="rId7722"/><Relationship Type="http://schemas.openxmlformats.org/officeDocument/2006/relationships/hyperlink" Target="imagenes/NAUTICA_MENS_208004155_MTA_1.jpg" TargetMode="External" Id="rId7723"/><Relationship Type="http://schemas.openxmlformats.org/officeDocument/2006/relationships/hyperlink" Target="imagenes/NAUTICA_MENS_208004155_MTA_2.jpg" TargetMode="External" Id="rId7724"/><Relationship Type="http://schemas.openxmlformats.org/officeDocument/2006/relationships/hyperlink" Target="imagenes/NAUTICA_MENS_208004155_MTA_3.jpg" TargetMode="External" Id="rId7725"/><Relationship Type="http://schemas.openxmlformats.org/officeDocument/2006/relationships/hyperlink" Target="imagenes/NAUTICA_MENS_208004155_MTA_1.jpg" TargetMode="External" Id="rId7726"/><Relationship Type="http://schemas.openxmlformats.org/officeDocument/2006/relationships/hyperlink" Target="imagenes/NAUTICA_MENS_208004155_MTA_2.jpg" TargetMode="External" Id="rId7727"/><Relationship Type="http://schemas.openxmlformats.org/officeDocument/2006/relationships/hyperlink" Target="imagenes/NAUTICA_MENS_208004155_MTA_3.jpg" TargetMode="External" Id="rId7728"/><Relationship Type="http://schemas.openxmlformats.org/officeDocument/2006/relationships/hyperlink" Target="imagenes/NAUTICA_MENS_208004155_NSS_1.jpg" TargetMode="External" Id="rId7729"/><Relationship Type="http://schemas.openxmlformats.org/officeDocument/2006/relationships/hyperlink" Target="imagenes/NAUTICA_MENS_208004155_NSS_2.jpg" TargetMode="External" Id="rId7730"/><Relationship Type="http://schemas.openxmlformats.org/officeDocument/2006/relationships/hyperlink" Target="imagenes/NAUTICA_MENS_208004155_NSS_3.jpg" TargetMode="External" Id="rId7731"/><Relationship Type="http://schemas.openxmlformats.org/officeDocument/2006/relationships/hyperlink" Target="imagenes/NAUTICA_MENS_208004155_NSS_1.jpg" TargetMode="External" Id="rId7732"/><Relationship Type="http://schemas.openxmlformats.org/officeDocument/2006/relationships/hyperlink" Target="imagenes/NAUTICA_MENS_208004155_NSS_2.jpg" TargetMode="External" Id="rId7733"/><Relationship Type="http://schemas.openxmlformats.org/officeDocument/2006/relationships/hyperlink" Target="imagenes/NAUTICA_MENS_208004155_NSS_3.jpg" TargetMode="External" Id="rId7734"/><Relationship Type="http://schemas.openxmlformats.org/officeDocument/2006/relationships/hyperlink" Target="imagenes/NAUTICA_MENS_208004155_NSS_1.jpg" TargetMode="External" Id="rId7735"/><Relationship Type="http://schemas.openxmlformats.org/officeDocument/2006/relationships/hyperlink" Target="imagenes/NAUTICA_MENS_208004155_NSS_2.jpg" TargetMode="External" Id="rId7736"/><Relationship Type="http://schemas.openxmlformats.org/officeDocument/2006/relationships/hyperlink" Target="imagenes/NAUTICA_MENS_208004155_NSS_3.jpg" TargetMode="External" Id="rId7737"/><Relationship Type="http://schemas.openxmlformats.org/officeDocument/2006/relationships/hyperlink" Target="imagenes/NAUTICA_MENS_208004155_NSS_1.jpg" TargetMode="External" Id="rId7738"/><Relationship Type="http://schemas.openxmlformats.org/officeDocument/2006/relationships/hyperlink" Target="imagenes/NAUTICA_MENS_208004155_NSS_2.jpg" TargetMode="External" Id="rId7739"/><Relationship Type="http://schemas.openxmlformats.org/officeDocument/2006/relationships/hyperlink" Target="imagenes/NAUTICA_MENS_208004155_NSS_3.jpg" TargetMode="External" Id="rId7740"/><Relationship Type="http://schemas.openxmlformats.org/officeDocument/2006/relationships/hyperlink" Target="imagenes/NAUTICA_MENS_208004155_NSS_1.jpg" TargetMode="External" Id="rId7741"/><Relationship Type="http://schemas.openxmlformats.org/officeDocument/2006/relationships/hyperlink" Target="imagenes/NAUTICA_MENS_208004155_NSS_2.jpg" TargetMode="External" Id="rId7742"/><Relationship Type="http://schemas.openxmlformats.org/officeDocument/2006/relationships/hyperlink" Target="imagenes/NAUTICA_MENS_208004155_NSS_3.jpg" TargetMode="External" Id="rId7743"/><Relationship Type="http://schemas.openxmlformats.org/officeDocument/2006/relationships/hyperlink" Target="imagenes/NAUTICA_MENS_208004155_NVY_1.jpg" TargetMode="External" Id="rId7744"/><Relationship Type="http://schemas.openxmlformats.org/officeDocument/2006/relationships/hyperlink" Target="imagenes/NAUTICA_MENS_208004155_NVY_2.jpg" TargetMode="External" Id="rId7745"/><Relationship Type="http://schemas.openxmlformats.org/officeDocument/2006/relationships/hyperlink" Target="imagenes/NAUTICA_MENS_208004155_NVY_3.jpg" TargetMode="External" Id="rId7746"/><Relationship Type="http://schemas.openxmlformats.org/officeDocument/2006/relationships/hyperlink" Target="imagenes/NAUTICA_MENS_208004155_NVY_1.jpg" TargetMode="External" Id="rId7747"/><Relationship Type="http://schemas.openxmlformats.org/officeDocument/2006/relationships/hyperlink" Target="imagenes/NAUTICA_MENS_208004155_NVY_2.jpg" TargetMode="External" Id="rId7748"/><Relationship Type="http://schemas.openxmlformats.org/officeDocument/2006/relationships/hyperlink" Target="imagenes/NAUTICA_MENS_208004155_NVY_3.jpg" TargetMode="External" Id="rId7749"/><Relationship Type="http://schemas.openxmlformats.org/officeDocument/2006/relationships/hyperlink" Target="imagenes/NAUTICA_MENS_208004155_NVY_1.jpg" TargetMode="External" Id="rId7750"/><Relationship Type="http://schemas.openxmlformats.org/officeDocument/2006/relationships/hyperlink" Target="imagenes/NAUTICA_MENS_208004155_NVY_2.jpg" TargetMode="External" Id="rId7751"/><Relationship Type="http://schemas.openxmlformats.org/officeDocument/2006/relationships/hyperlink" Target="imagenes/NAUTICA_MENS_208004155_NVY_3.jpg" TargetMode="External" Id="rId7752"/><Relationship Type="http://schemas.openxmlformats.org/officeDocument/2006/relationships/hyperlink" Target="imagenes/NAUTICA_MENS_208004155_NVY_1.jpg" TargetMode="External" Id="rId7753"/><Relationship Type="http://schemas.openxmlformats.org/officeDocument/2006/relationships/hyperlink" Target="imagenes/NAUTICA_MENS_208004155_NVY_2.jpg" TargetMode="External" Id="rId7754"/><Relationship Type="http://schemas.openxmlformats.org/officeDocument/2006/relationships/hyperlink" Target="imagenes/NAUTICA_MENS_208004155_NVY_3.jpg" TargetMode="External" Id="rId7755"/><Relationship Type="http://schemas.openxmlformats.org/officeDocument/2006/relationships/hyperlink" Target="imagenes/NAUTICA_MENS_208004155_NVY_1.jpg" TargetMode="External" Id="rId7756"/><Relationship Type="http://schemas.openxmlformats.org/officeDocument/2006/relationships/hyperlink" Target="imagenes/NAUTICA_MENS_208004155_NVY_2.jpg" TargetMode="External" Id="rId7757"/><Relationship Type="http://schemas.openxmlformats.org/officeDocument/2006/relationships/hyperlink" Target="imagenes/NAUTICA_MENS_208004155_NVY_3.jpg" TargetMode="External" Id="rId7758"/><Relationship Type="http://schemas.openxmlformats.org/officeDocument/2006/relationships/hyperlink" Target="imagenes/NAUTICA_MENS_208004155_NVY_1.jpg" TargetMode="External" Id="rId7759"/><Relationship Type="http://schemas.openxmlformats.org/officeDocument/2006/relationships/hyperlink" Target="imagenes/NAUTICA_MENS_208004155_NVY_2.jpg" TargetMode="External" Id="rId7760"/><Relationship Type="http://schemas.openxmlformats.org/officeDocument/2006/relationships/hyperlink" Target="imagenes/NAUTICA_MENS_208004155_NVY_3.jpg" TargetMode="External" Id="rId7761"/><Relationship Type="http://schemas.openxmlformats.org/officeDocument/2006/relationships/hyperlink" Target="imagenes/NAUTICA_MENS_208004155_NVY_1.jpg" TargetMode="External" Id="rId7762"/><Relationship Type="http://schemas.openxmlformats.org/officeDocument/2006/relationships/hyperlink" Target="imagenes/NAUTICA_MENS_208004155_NVY_2.jpg" TargetMode="External" Id="rId7763"/><Relationship Type="http://schemas.openxmlformats.org/officeDocument/2006/relationships/hyperlink" Target="imagenes/NAUTICA_MENS_208004155_NVY_3.jpg" TargetMode="External" Id="rId7764"/><Relationship Type="http://schemas.openxmlformats.org/officeDocument/2006/relationships/hyperlink" Target="imagenes/NAUTICA_MENS_208004155_NVY_1.jpg" TargetMode="External" Id="rId7765"/><Relationship Type="http://schemas.openxmlformats.org/officeDocument/2006/relationships/hyperlink" Target="imagenes/NAUTICA_MENS_208004155_NVY_2.jpg" TargetMode="External" Id="rId7766"/><Relationship Type="http://schemas.openxmlformats.org/officeDocument/2006/relationships/hyperlink" Target="imagenes/NAUTICA_MENS_208004155_NVY_3.jpg" TargetMode="External" Id="rId7767"/><Relationship Type="http://schemas.openxmlformats.org/officeDocument/2006/relationships/hyperlink" Target="imagenes/NAUTICA_MENS_208004155_NVY_1.jpg" TargetMode="External" Id="rId7768"/><Relationship Type="http://schemas.openxmlformats.org/officeDocument/2006/relationships/hyperlink" Target="imagenes/NAUTICA_MENS_208004155_NVY_2.jpg" TargetMode="External" Id="rId7769"/><Relationship Type="http://schemas.openxmlformats.org/officeDocument/2006/relationships/hyperlink" Target="imagenes/NAUTICA_MENS_208004155_NVY_3.jpg" TargetMode="External" Id="rId7770"/><Relationship Type="http://schemas.openxmlformats.org/officeDocument/2006/relationships/hyperlink" Target="imagenes/NAUTICA_MENS_208004155_NVY_1.jpg" TargetMode="External" Id="rId7771"/><Relationship Type="http://schemas.openxmlformats.org/officeDocument/2006/relationships/hyperlink" Target="imagenes/NAUTICA_MENS_208004155_NVY_2.jpg" TargetMode="External" Id="rId7772"/><Relationship Type="http://schemas.openxmlformats.org/officeDocument/2006/relationships/hyperlink" Target="imagenes/NAUTICA_MENS_208004155_NVY_3.jpg" TargetMode="External" Id="rId7773"/><Relationship Type="http://schemas.openxmlformats.org/officeDocument/2006/relationships/hyperlink" Target="imagenes/NAUTICA_MENS_208004158_BGI_1.jpg" TargetMode="External" Id="rId7774"/><Relationship Type="http://schemas.openxmlformats.org/officeDocument/2006/relationships/hyperlink" Target="imagenes/NAUTICA_MENS_208004158_BGI_2.jpg" TargetMode="External" Id="rId7775"/><Relationship Type="http://schemas.openxmlformats.org/officeDocument/2006/relationships/hyperlink" Target="imagenes/NAUTICA_MENS_208004158_BGI_3.jpg" TargetMode="External" Id="rId7776"/><Relationship Type="http://schemas.openxmlformats.org/officeDocument/2006/relationships/hyperlink" Target="imagenes/NAUTICA_MENS_208004158_BGI_1.jpg" TargetMode="External" Id="rId7777"/><Relationship Type="http://schemas.openxmlformats.org/officeDocument/2006/relationships/hyperlink" Target="imagenes/NAUTICA_MENS_208004158_BGI_2.jpg" TargetMode="External" Id="rId7778"/><Relationship Type="http://schemas.openxmlformats.org/officeDocument/2006/relationships/hyperlink" Target="imagenes/NAUTICA_MENS_208004158_BGI_3.jpg" TargetMode="External" Id="rId7779"/><Relationship Type="http://schemas.openxmlformats.org/officeDocument/2006/relationships/hyperlink" Target="imagenes/NAUTICA_MENS_208004158_BGI_1.jpg" TargetMode="External" Id="rId7780"/><Relationship Type="http://schemas.openxmlformats.org/officeDocument/2006/relationships/hyperlink" Target="imagenes/NAUTICA_MENS_208004158_BGI_2.jpg" TargetMode="External" Id="rId7781"/><Relationship Type="http://schemas.openxmlformats.org/officeDocument/2006/relationships/hyperlink" Target="imagenes/NAUTICA_MENS_208004158_BGI_3.jpg" TargetMode="External" Id="rId7782"/><Relationship Type="http://schemas.openxmlformats.org/officeDocument/2006/relationships/hyperlink" Target="imagenes/NAUTICA_MENS_208004158_BGI_1.jpg" TargetMode="External" Id="rId7783"/><Relationship Type="http://schemas.openxmlformats.org/officeDocument/2006/relationships/hyperlink" Target="imagenes/NAUTICA_MENS_208004158_BGI_2.jpg" TargetMode="External" Id="rId7784"/><Relationship Type="http://schemas.openxmlformats.org/officeDocument/2006/relationships/hyperlink" Target="imagenes/NAUTICA_MENS_208004158_BGI_3.jpg" TargetMode="External" Id="rId7785"/><Relationship Type="http://schemas.openxmlformats.org/officeDocument/2006/relationships/hyperlink" Target="imagenes/NAUTICA_MENS_208004158_BGI_1.jpg" TargetMode="External" Id="rId7786"/><Relationship Type="http://schemas.openxmlformats.org/officeDocument/2006/relationships/hyperlink" Target="imagenes/NAUTICA_MENS_208004158_BGI_2.jpg" TargetMode="External" Id="rId7787"/><Relationship Type="http://schemas.openxmlformats.org/officeDocument/2006/relationships/hyperlink" Target="imagenes/NAUTICA_MENS_208004158_BGI_3.jpg" TargetMode="External" Id="rId7788"/><Relationship Type="http://schemas.openxmlformats.org/officeDocument/2006/relationships/hyperlink" Target="imagenes/NAUTICA_MENS_208004158_BGI_1.jpg" TargetMode="External" Id="rId7789"/><Relationship Type="http://schemas.openxmlformats.org/officeDocument/2006/relationships/hyperlink" Target="imagenes/NAUTICA_MENS_208004158_BGI_2.jpg" TargetMode="External" Id="rId7790"/><Relationship Type="http://schemas.openxmlformats.org/officeDocument/2006/relationships/hyperlink" Target="imagenes/NAUTICA_MENS_208004158_BGI_3.jpg" TargetMode="External" Id="rId7791"/><Relationship Type="http://schemas.openxmlformats.org/officeDocument/2006/relationships/hyperlink" Target="imagenes/NAUTICA_MENS_208004158_BGI_1.jpg" TargetMode="External" Id="rId7792"/><Relationship Type="http://schemas.openxmlformats.org/officeDocument/2006/relationships/hyperlink" Target="imagenes/NAUTICA_MENS_208004158_BGI_2.jpg" TargetMode="External" Id="rId7793"/><Relationship Type="http://schemas.openxmlformats.org/officeDocument/2006/relationships/hyperlink" Target="imagenes/NAUTICA_MENS_208004158_BGI_3.jpg" TargetMode="External" Id="rId7794"/><Relationship Type="http://schemas.openxmlformats.org/officeDocument/2006/relationships/hyperlink" Target="imagenes/NAUTICA_MENS_208004158_BGI_1.jpg" TargetMode="External" Id="rId7795"/><Relationship Type="http://schemas.openxmlformats.org/officeDocument/2006/relationships/hyperlink" Target="imagenes/NAUTICA_MENS_208004158_BGI_2.jpg" TargetMode="External" Id="rId7796"/><Relationship Type="http://schemas.openxmlformats.org/officeDocument/2006/relationships/hyperlink" Target="imagenes/NAUTICA_MENS_208004158_BGI_3.jpg" TargetMode="External" Id="rId7797"/><Relationship Type="http://schemas.openxmlformats.org/officeDocument/2006/relationships/hyperlink" Target="imagenes/NAUTICA_MENS_208004158_BGI_1.jpg" TargetMode="External" Id="rId7798"/><Relationship Type="http://schemas.openxmlformats.org/officeDocument/2006/relationships/hyperlink" Target="imagenes/NAUTICA_MENS_208004158_BGI_2.jpg" TargetMode="External" Id="rId7799"/><Relationship Type="http://schemas.openxmlformats.org/officeDocument/2006/relationships/hyperlink" Target="imagenes/NAUTICA_MENS_208004158_BGI_3.jpg" TargetMode="External" Id="rId7800"/><Relationship Type="http://schemas.openxmlformats.org/officeDocument/2006/relationships/hyperlink" Target="imagenes/NAUTICA_MENS_208004158_BGI_1.jpg" TargetMode="External" Id="rId7801"/><Relationship Type="http://schemas.openxmlformats.org/officeDocument/2006/relationships/hyperlink" Target="imagenes/NAUTICA_MENS_208004158_BGI_2.jpg" TargetMode="External" Id="rId7802"/><Relationship Type="http://schemas.openxmlformats.org/officeDocument/2006/relationships/hyperlink" Target="imagenes/NAUTICA_MENS_208004158_BGI_3.jpg" TargetMode="External" Id="rId7803"/><Relationship Type="http://schemas.openxmlformats.org/officeDocument/2006/relationships/hyperlink" Target="imagenes/NAUTICA_MENS_208004158_BGI_1.jpg" TargetMode="External" Id="rId7804"/><Relationship Type="http://schemas.openxmlformats.org/officeDocument/2006/relationships/hyperlink" Target="imagenes/NAUTICA_MENS_208004158_BGI_2.jpg" TargetMode="External" Id="rId7805"/><Relationship Type="http://schemas.openxmlformats.org/officeDocument/2006/relationships/hyperlink" Target="imagenes/NAUTICA_MENS_208004158_BGI_3.jpg" TargetMode="External" Id="rId7806"/><Relationship Type="http://schemas.openxmlformats.org/officeDocument/2006/relationships/hyperlink" Target="imagenes/NAUTICA_MENS_208004158_BGI_1.jpg" TargetMode="External" Id="rId7807"/><Relationship Type="http://schemas.openxmlformats.org/officeDocument/2006/relationships/hyperlink" Target="imagenes/NAUTICA_MENS_208004158_BGI_2.jpg" TargetMode="External" Id="rId7808"/><Relationship Type="http://schemas.openxmlformats.org/officeDocument/2006/relationships/hyperlink" Target="imagenes/NAUTICA_MENS_208004158_BGI_3.jpg" TargetMode="External" Id="rId7809"/><Relationship Type="http://schemas.openxmlformats.org/officeDocument/2006/relationships/hyperlink" Target="imagenes/NAUTICA_MENS_208004158_DDN_1.jpg" TargetMode="External" Id="rId7810"/><Relationship Type="http://schemas.openxmlformats.org/officeDocument/2006/relationships/hyperlink" Target="imagenes/NAUTICA_MENS_208004158_DDN_2.jpg" TargetMode="External" Id="rId7811"/><Relationship Type="http://schemas.openxmlformats.org/officeDocument/2006/relationships/hyperlink" Target="imagenes/NAUTICA_MENS_208004158_DDN_3.jpg" TargetMode="External" Id="rId7812"/><Relationship Type="http://schemas.openxmlformats.org/officeDocument/2006/relationships/hyperlink" Target="imagenes/NAUTICA_MENS_208004158_DDN_1.jpg" TargetMode="External" Id="rId7813"/><Relationship Type="http://schemas.openxmlformats.org/officeDocument/2006/relationships/hyperlink" Target="imagenes/NAUTICA_MENS_208004158_DDN_2.jpg" TargetMode="External" Id="rId7814"/><Relationship Type="http://schemas.openxmlformats.org/officeDocument/2006/relationships/hyperlink" Target="imagenes/NAUTICA_MENS_208004158_DDN_3.jpg" TargetMode="External" Id="rId7815"/><Relationship Type="http://schemas.openxmlformats.org/officeDocument/2006/relationships/hyperlink" Target="imagenes/NAUTICA_MENS_208004158_DDN_1.jpg" TargetMode="External" Id="rId7816"/><Relationship Type="http://schemas.openxmlformats.org/officeDocument/2006/relationships/hyperlink" Target="imagenes/NAUTICA_MENS_208004158_DDN_2.jpg" TargetMode="External" Id="rId7817"/><Relationship Type="http://schemas.openxmlformats.org/officeDocument/2006/relationships/hyperlink" Target="imagenes/NAUTICA_MENS_208004158_DDN_3.jpg" TargetMode="External" Id="rId7818"/><Relationship Type="http://schemas.openxmlformats.org/officeDocument/2006/relationships/hyperlink" Target="imagenes/NAUTICA_MENS_208004158_DDN_1.jpg" TargetMode="External" Id="rId7819"/><Relationship Type="http://schemas.openxmlformats.org/officeDocument/2006/relationships/hyperlink" Target="imagenes/NAUTICA_MENS_208004158_DDN_2.jpg" TargetMode="External" Id="rId7820"/><Relationship Type="http://schemas.openxmlformats.org/officeDocument/2006/relationships/hyperlink" Target="imagenes/NAUTICA_MENS_208004158_DDN_3.jpg" TargetMode="External" Id="rId7821"/><Relationship Type="http://schemas.openxmlformats.org/officeDocument/2006/relationships/hyperlink" Target="imagenes/NAUTICA_MENS_208004158_DDN_1.jpg" TargetMode="External" Id="rId7822"/><Relationship Type="http://schemas.openxmlformats.org/officeDocument/2006/relationships/hyperlink" Target="imagenes/NAUTICA_MENS_208004158_DDN_2.jpg" TargetMode="External" Id="rId7823"/><Relationship Type="http://schemas.openxmlformats.org/officeDocument/2006/relationships/hyperlink" Target="imagenes/NAUTICA_MENS_208004158_DDN_3.jpg" TargetMode="External" Id="rId7824"/><Relationship Type="http://schemas.openxmlformats.org/officeDocument/2006/relationships/hyperlink" Target="imagenes/NAUTICA_MENS_208004158_DDN_1.jpg" TargetMode="External" Id="rId7825"/><Relationship Type="http://schemas.openxmlformats.org/officeDocument/2006/relationships/hyperlink" Target="imagenes/NAUTICA_MENS_208004158_DDN_2.jpg" TargetMode="External" Id="rId7826"/><Relationship Type="http://schemas.openxmlformats.org/officeDocument/2006/relationships/hyperlink" Target="imagenes/NAUTICA_MENS_208004158_DDN_3.jpg" TargetMode="External" Id="rId7827"/><Relationship Type="http://schemas.openxmlformats.org/officeDocument/2006/relationships/hyperlink" Target="imagenes/NAUTICA_MENS_208004158_DDN_1.jpg" TargetMode="External" Id="rId7828"/><Relationship Type="http://schemas.openxmlformats.org/officeDocument/2006/relationships/hyperlink" Target="imagenes/NAUTICA_MENS_208004158_DDN_2.jpg" TargetMode="External" Id="rId7829"/><Relationship Type="http://schemas.openxmlformats.org/officeDocument/2006/relationships/hyperlink" Target="imagenes/NAUTICA_MENS_208004158_DDN_3.jpg" TargetMode="External" Id="rId7830"/><Relationship Type="http://schemas.openxmlformats.org/officeDocument/2006/relationships/hyperlink" Target="imagenes/NAUTICA_MENS_208004158_DDN_1.jpg" TargetMode="External" Id="rId7831"/><Relationship Type="http://schemas.openxmlformats.org/officeDocument/2006/relationships/hyperlink" Target="imagenes/NAUTICA_MENS_208004158_DDN_2.jpg" TargetMode="External" Id="rId7832"/><Relationship Type="http://schemas.openxmlformats.org/officeDocument/2006/relationships/hyperlink" Target="imagenes/NAUTICA_MENS_208004158_DDN_3.jpg" TargetMode="External" Id="rId7833"/><Relationship Type="http://schemas.openxmlformats.org/officeDocument/2006/relationships/hyperlink" Target="imagenes/NAUTICA_MENS_208004158_DDN_1.jpg" TargetMode="External" Id="rId7834"/><Relationship Type="http://schemas.openxmlformats.org/officeDocument/2006/relationships/hyperlink" Target="imagenes/NAUTICA_MENS_208004158_DDN_2.jpg" TargetMode="External" Id="rId7835"/><Relationship Type="http://schemas.openxmlformats.org/officeDocument/2006/relationships/hyperlink" Target="imagenes/NAUTICA_MENS_208004158_DDN_3.jpg" TargetMode="External" Id="rId7836"/><Relationship Type="http://schemas.openxmlformats.org/officeDocument/2006/relationships/hyperlink" Target="imagenes/NAUTICA_MENS_208004158_DDN_1.jpg" TargetMode="External" Id="rId7837"/><Relationship Type="http://schemas.openxmlformats.org/officeDocument/2006/relationships/hyperlink" Target="imagenes/NAUTICA_MENS_208004158_DDN_2.jpg" TargetMode="External" Id="rId7838"/><Relationship Type="http://schemas.openxmlformats.org/officeDocument/2006/relationships/hyperlink" Target="imagenes/NAUTICA_MENS_208004158_DDN_3.jpg" TargetMode="External" Id="rId7839"/><Relationship Type="http://schemas.openxmlformats.org/officeDocument/2006/relationships/hyperlink" Target="imagenes/NAUTICA_MENS_208004327_BLK_1.jpg" TargetMode="External" Id="rId7840"/><Relationship Type="http://schemas.openxmlformats.org/officeDocument/2006/relationships/hyperlink" Target="imagenes/NAUTICA_MENS_208004327_BLK_2.jpg" TargetMode="External" Id="rId7841"/><Relationship Type="http://schemas.openxmlformats.org/officeDocument/2006/relationships/hyperlink" Target="imagenes/NAUTICA_MENS_208004327_BLK_3.jpg" TargetMode="External" Id="rId7842"/><Relationship Type="http://schemas.openxmlformats.org/officeDocument/2006/relationships/hyperlink" Target="imagenes/NAUTICA_MENS_208004327_BLK_1.jpg" TargetMode="External" Id="rId7843"/><Relationship Type="http://schemas.openxmlformats.org/officeDocument/2006/relationships/hyperlink" Target="imagenes/NAUTICA_MENS_208004327_BLK_2.jpg" TargetMode="External" Id="rId7844"/><Relationship Type="http://schemas.openxmlformats.org/officeDocument/2006/relationships/hyperlink" Target="imagenes/NAUTICA_MENS_208004327_BLK_3.jpg" TargetMode="External" Id="rId7845"/><Relationship Type="http://schemas.openxmlformats.org/officeDocument/2006/relationships/hyperlink" Target="imagenes/NAUTICA_MENS_208004327_MTA_1.jpg" TargetMode="External" Id="rId7846"/><Relationship Type="http://schemas.openxmlformats.org/officeDocument/2006/relationships/hyperlink" Target="imagenes/NAUTICA_MENS_208004327_MTA_2.jpg" TargetMode="External" Id="rId7847"/><Relationship Type="http://schemas.openxmlformats.org/officeDocument/2006/relationships/hyperlink" Target="imagenes/NAUTICA_MENS_208004327_MTA_3.jpg" TargetMode="External" Id="rId7848"/><Relationship Type="http://schemas.openxmlformats.org/officeDocument/2006/relationships/hyperlink" Target="imagenes/NAUTICA_MENS_208004327_MTA_1.jpg" TargetMode="External" Id="rId7849"/><Relationship Type="http://schemas.openxmlformats.org/officeDocument/2006/relationships/hyperlink" Target="imagenes/NAUTICA_MENS_208004327_MTA_2.jpg" TargetMode="External" Id="rId7850"/><Relationship Type="http://schemas.openxmlformats.org/officeDocument/2006/relationships/hyperlink" Target="imagenes/NAUTICA_MENS_208004327_MTA_3.jpg" TargetMode="External" Id="rId7851"/><Relationship Type="http://schemas.openxmlformats.org/officeDocument/2006/relationships/hyperlink" Target="imagenes/NAUTICA_MENS_208004327_MTA_1.jpg" TargetMode="External" Id="rId7852"/><Relationship Type="http://schemas.openxmlformats.org/officeDocument/2006/relationships/hyperlink" Target="imagenes/NAUTICA_MENS_208004327_MTA_2.jpg" TargetMode="External" Id="rId7853"/><Relationship Type="http://schemas.openxmlformats.org/officeDocument/2006/relationships/hyperlink" Target="imagenes/NAUTICA_MENS_208004327_MTA_3.jpg" TargetMode="External" Id="rId7854"/><Relationship Type="http://schemas.openxmlformats.org/officeDocument/2006/relationships/hyperlink" Target="imagenes/NAUTICA_MENS_208004327_MTA_1.jpg" TargetMode="External" Id="rId7855"/><Relationship Type="http://schemas.openxmlformats.org/officeDocument/2006/relationships/hyperlink" Target="imagenes/NAUTICA_MENS_208004327_MTA_2.jpg" TargetMode="External" Id="rId7856"/><Relationship Type="http://schemas.openxmlformats.org/officeDocument/2006/relationships/hyperlink" Target="imagenes/NAUTICA_MENS_208004327_MTA_3.jpg" TargetMode="External" Id="rId7857"/><Relationship Type="http://schemas.openxmlformats.org/officeDocument/2006/relationships/hyperlink" Target="imagenes/NAUTICA_MENS_208004327_MTA_1.jpg" TargetMode="External" Id="rId7858"/><Relationship Type="http://schemas.openxmlformats.org/officeDocument/2006/relationships/hyperlink" Target="imagenes/NAUTICA_MENS_208004327_MTA_2.jpg" TargetMode="External" Id="rId7859"/><Relationship Type="http://schemas.openxmlformats.org/officeDocument/2006/relationships/hyperlink" Target="imagenes/NAUTICA_MENS_208004327_MTA_3.jpg" TargetMode="External" Id="rId7860"/><Relationship Type="http://schemas.openxmlformats.org/officeDocument/2006/relationships/hyperlink" Target="imagenes/NAUTICA_MENS_208004327_OLB_1.jpg" TargetMode="External" Id="rId7861"/><Relationship Type="http://schemas.openxmlformats.org/officeDocument/2006/relationships/hyperlink" Target="imagenes/NAUTICA_MENS_208004327_OLB_2.jpg" TargetMode="External" Id="rId7862"/><Relationship Type="http://schemas.openxmlformats.org/officeDocument/2006/relationships/hyperlink" Target="imagenes/NAUTICA_MENS_208004327_OLB_3.jpg" TargetMode="External" Id="rId7863"/><Relationship Type="http://schemas.openxmlformats.org/officeDocument/2006/relationships/hyperlink" Target="imagenes/NAUTICA_MENS_208004327_OLB_1.jpg" TargetMode="External" Id="rId7864"/><Relationship Type="http://schemas.openxmlformats.org/officeDocument/2006/relationships/hyperlink" Target="imagenes/NAUTICA_MENS_208004327_OLB_2.jpg" TargetMode="External" Id="rId7865"/><Relationship Type="http://schemas.openxmlformats.org/officeDocument/2006/relationships/hyperlink" Target="imagenes/NAUTICA_MENS_208004327_OLB_3.jpg" TargetMode="External" Id="rId7866"/><Relationship Type="http://schemas.openxmlformats.org/officeDocument/2006/relationships/hyperlink" Target="imagenes/NAUTICA_MENS_208004327_OLB_1.jpg" TargetMode="External" Id="rId7867"/><Relationship Type="http://schemas.openxmlformats.org/officeDocument/2006/relationships/hyperlink" Target="imagenes/NAUTICA_MENS_208004327_OLB_2.jpg" TargetMode="External" Id="rId7868"/><Relationship Type="http://schemas.openxmlformats.org/officeDocument/2006/relationships/hyperlink" Target="imagenes/NAUTICA_MENS_208004327_OLB_3.jpg" TargetMode="External" Id="rId7869"/><Relationship Type="http://schemas.openxmlformats.org/officeDocument/2006/relationships/hyperlink" Target="imagenes/NAUTICA_MENS_208004327_OLB_1.jpg" TargetMode="External" Id="rId7870"/><Relationship Type="http://schemas.openxmlformats.org/officeDocument/2006/relationships/hyperlink" Target="imagenes/NAUTICA_MENS_208004327_OLB_2.jpg" TargetMode="External" Id="rId7871"/><Relationship Type="http://schemas.openxmlformats.org/officeDocument/2006/relationships/hyperlink" Target="imagenes/NAUTICA_MENS_208004327_OLB_3.jpg" TargetMode="External" Id="rId7872"/><Relationship Type="http://schemas.openxmlformats.org/officeDocument/2006/relationships/hyperlink" Target="imagenes/NAUTICA_MENS_208004399_MTA_1.jpg" TargetMode="External" Id="rId7873"/><Relationship Type="http://schemas.openxmlformats.org/officeDocument/2006/relationships/hyperlink" Target="imagenes/NAUTICA_MENS_208004399_MTA_2.jpg" TargetMode="External" Id="rId7874"/><Relationship Type="http://schemas.openxmlformats.org/officeDocument/2006/relationships/hyperlink" Target="imagenes/NAUTICA_MENS_208004399_MTA_3.jpg" TargetMode="External" Id="rId7875"/><Relationship Type="http://schemas.openxmlformats.org/officeDocument/2006/relationships/hyperlink" Target="imagenes/NAUTICA_MENS_208004399_NSS_1.jpg" TargetMode="External" Id="rId7876"/><Relationship Type="http://schemas.openxmlformats.org/officeDocument/2006/relationships/hyperlink" Target="imagenes/NAUTICA_MENS_208004399_NSS_2.jpg" TargetMode="External" Id="rId7877"/><Relationship Type="http://schemas.openxmlformats.org/officeDocument/2006/relationships/hyperlink" Target="imagenes/NAUTICA_MENS_208004399_NSS_3.jpg" TargetMode="External" Id="rId7878"/><Relationship Type="http://schemas.openxmlformats.org/officeDocument/2006/relationships/hyperlink" Target="imagenes/NAUTICA_MENS_208004399_NSS_1.jpg" TargetMode="External" Id="rId7879"/><Relationship Type="http://schemas.openxmlformats.org/officeDocument/2006/relationships/hyperlink" Target="imagenes/NAUTICA_MENS_208004399_NSS_2.jpg" TargetMode="External" Id="rId7880"/><Relationship Type="http://schemas.openxmlformats.org/officeDocument/2006/relationships/hyperlink" Target="imagenes/NAUTICA_MENS_208004399_NSS_3.jpg" TargetMode="External" Id="rId7881"/><Relationship Type="http://schemas.openxmlformats.org/officeDocument/2006/relationships/hyperlink" Target="imagenes/NAUTICA_MENS_208004961_BLK_1.jpg" TargetMode="External" Id="rId7882"/><Relationship Type="http://schemas.openxmlformats.org/officeDocument/2006/relationships/hyperlink" Target="imagenes/NAUTICA_MENS_208004961_BLK_2.jpg" TargetMode="External" Id="rId7883"/><Relationship Type="http://schemas.openxmlformats.org/officeDocument/2006/relationships/hyperlink" Target="imagenes/NAUTICA_MENS_208004961_BLK_3.jpg" TargetMode="External" Id="rId7884"/><Relationship Type="http://schemas.openxmlformats.org/officeDocument/2006/relationships/hyperlink" Target="imagenes/NAUTICA_MENS_208004962_BLK_1.jpg" TargetMode="External" Id="rId7885"/><Relationship Type="http://schemas.openxmlformats.org/officeDocument/2006/relationships/hyperlink" Target="imagenes/NAUTICA_MENS_208004962_BLK_2.jpg" TargetMode="External" Id="rId7886"/><Relationship Type="http://schemas.openxmlformats.org/officeDocument/2006/relationships/hyperlink" Target="imagenes/NAUTICA_MENS_208004962_BLK_3.jpg" TargetMode="External" Id="rId7887"/><Relationship Type="http://schemas.openxmlformats.org/officeDocument/2006/relationships/hyperlink" Target="imagenes/NAUTICA_MENS_208005015_BLK_1.jpg" TargetMode="External" Id="rId7888"/><Relationship Type="http://schemas.openxmlformats.org/officeDocument/2006/relationships/hyperlink" Target="imagenes/NAUTICA_MENS_208005015_BLK_2.jpg" TargetMode="External" Id="rId7889"/><Relationship Type="http://schemas.openxmlformats.org/officeDocument/2006/relationships/hyperlink" Target="imagenes/NAUTICA_MENS_208005015_BLK_3.jpg" TargetMode="External" Id="rId7890"/><Relationship Type="http://schemas.openxmlformats.org/officeDocument/2006/relationships/hyperlink" Target="imagenes/NAUTICA_MENS_208005137_CB1_1.jpg" TargetMode="External" Id="rId7891"/><Relationship Type="http://schemas.openxmlformats.org/officeDocument/2006/relationships/hyperlink" Target="imagenes/NAUTICA_MENS_208005137_CB1_2.jpg" TargetMode="External" Id="rId7892"/><Relationship Type="http://schemas.openxmlformats.org/officeDocument/2006/relationships/hyperlink" Target="imagenes/NAUTICA_MENS_208005137_CB1_3.jpg" TargetMode="External" Id="rId7893"/><Relationship Type="http://schemas.openxmlformats.org/officeDocument/2006/relationships/hyperlink" Target="imagenes/NAUTICA_MENS_208005137_CB1_1.jpg" TargetMode="External" Id="rId7894"/><Relationship Type="http://schemas.openxmlformats.org/officeDocument/2006/relationships/hyperlink" Target="imagenes/NAUTICA_MENS_208005137_CB1_2.jpg" TargetMode="External" Id="rId7895"/><Relationship Type="http://schemas.openxmlformats.org/officeDocument/2006/relationships/hyperlink" Target="imagenes/NAUTICA_MENS_208005137_CB1_3.jpg" TargetMode="External" Id="rId7896"/><Relationship Type="http://schemas.openxmlformats.org/officeDocument/2006/relationships/hyperlink" Target="imagenes/NAUTICA_MENS_208005137_NSS_1.jpg" TargetMode="External" Id="rId7897"/><Relationship Type="http://schemas.openxmlformats.org/officeDocument/2006/relationships/hyperlink" Target="imagenes/NAUTICA_MENS_208005137_NSS_2.jpg" TargetMode="External" Id="rId7898"/><Relationship Type="http://schemas.openxmlformats.org/officeDocument/2006/relationships/hyperlink" Target="imagenes/NAUTICA_MENS_208005137_NSS_3.jpg" TargetMode="External" Id="rId7899"/><Relationship Type="http://schemas.openxmlformats.org/officeDocument/2006/relationships/hyperlink" Target="imagenes/NAUTICA_MENS_208005137_NSS_1.jpg" TargetMode="External" Id="rId7900"/><Relationship Type="http://schemas.openxmlformats.org/officeDocument/2006/relationships/hyperlink" Target="imagenes/NAUTICA_MENS_208005137_NSS_2.jpg" TargetMode="External" Id="rId7901"/><Relationship Type="http://schemas.openxmlformats.org/officeDocument/2006/relationships/hyperlink" Target="imagenes/NAUTICA_MENS_208005137_NSS_3.jpg" TargetMode="External" Id="rId7902"/><Relationship Type="http://schemas.openxmlformats.org/officeDocument/2006/relationships/hyperlink" Target="imagenes/NAUTICA_MENS_208005137_NSS_1.jpg" TargetMode="External" Id="rId7903"/><Relationship Type="http://schemas.openxmlformats.org/officeDocument/2006/relationships/hyperlink" Target="imagenes/NAUTICA_MENS_208005137_NSS_2.jpg" TargetMode="External" Id="rId7904"/><Relationship Type="http://schemas.openxmlformats.org/officeDocument/2006/relationships/hyperlink" Target="imagenes/NAUTICA_MENS_208005137_NSS_3.jpg" TargetMode="External" Id="rId7905"/><Relationship Type="http://schemas.openxmlformats.org/officeDocument/2006/relationships/hyperlink" Target="imagenes/NAUTICA_MENS_208005137_NSS_1.jpg" TargetMode="External" Id="rId7906"/><Relationship Type="http://schemas.openxmlformats.org/officeDocument/2006/relationships/hyperlink" Target="imagenes/NAUTICA_MENS_208005137_NSS_2.jpg" TargetMode="External" Id="rId7907"/><Relationship Type="http://schemas.openxmlformats.org/officeDocument/2006/relationships/hyperlink" Target="imagenes/NAUTICA_MENS_208005137_NSS_3.jpg" TargetMode="External" Id="rId7908"/><Relationship Type="http://schemas.openxmlformats.org/officeDocument/2006/relationships/hyperlink" Target="imagenes/NAUTICA_MENS_208005137_NSS_1.jpg" TargetMode="External" Id="rId7909"/><Relationship Type="http://schemas.openxmlformats.org/officeDocument/2006/relationships/hyperlink" Target="imagenes/NAUTICA_MENS_208005137_NSS_2.jpg" TargetMode="External" Id="rId7910"/><Relationship Type="http://schemas.openxmlformats.org/officeDocument/2006/relationships/hyperlink" Target="imagenes/NAUTICA_MENS_208005137_NSS_3.jpg" TargetMode="External" Id="rId7911"/><Relationship Type="http://schemas.openxmlformats.org/officeDocument/2006/relationships/hyperlink" Target="imagenes/NAUTICA_MENS_208005137_NSS_1.jpg" TargetMode="External" Id="rId7912"/><Relationship Type="http://schemas.openxmlformats.org/officeDocument/2006/relationships/hyperlink" Target="imagenes/NAUTICA_MENS_208005137_NSS_2.jpg" TargetMode="External" Id="rId7913"/><Relationship Type="http://schemas.openxmlformats.org/officeDocument/2006/relationships/hyperlink" Target="imagenes/NAUTICA_MENS_208005137_NSS_3.jpg" TargetMode="External" Id="rId7914"/><Relationship Type="http://schemas.openxmlformats.org/officeDocument/2006/relationships/hyperlink" Target="imagenes/NAUTICA_MENS_208005137_TRU_1.jpg" TargetMode="External" Id="rId7915"/><Relationship Type="http://schemas.openxmlformats.org/officeDocument/2006/relationships/hyperlink" Target="imagenes/NAUTICA_MENS_208005137_TRU_2.jpg" TargetMode="External" Id="rId7916"/><Relationship Type="http://schemas.openxmlformats.org/officeDocument/2006/relationships/hyperlink" Target="imagenes/NAUTICA_MENS_208005137_TRU_3.jpg" TargetMode="External" Id="rId7917"/><Relationship Type="http://schemas.openxmlformats.org/officeDocument/2006/relationships/hyperlink" Target="imagenes/NAUTICA_MENS_208005175_CLG_1.jpg" TargetMode="External" Id="rId7918"/><Relationship Type="http://schemas.openxmlformats.org/officeDocument/2006/relationships/hyperlink" Target="imagenes/NAUTICA_MENS_208005175_CLG_2.jpg" TargetMode="External" Id="rId7919"/><Relationship Type="http://schemas.openxmlformats.org/officeDocument/2006/relationships/hyperlink" Target="imagenes/NAUTICA_MENS_208005175_CLG_3.jpg" TargetMode="External" Id="rId7920"/><Relationship Type="http://schemas.openxmlformats.org/officeDocument/2006/relationships/hyperlink" Target="imagenes/NAUTICA_MENS_208005175_F6N_1.jpg" TargetMode="External" Id="rId7921"/><Relationship Type="http://schemas.openxmlformats.org/officeDocument/2006/relationships/hyperlink" Target="imagenes/NAUTICA_MENS_208005175_F6N_2.jpg" TargetMode="External" Id="rId7922"/><Relationship Type="http://schemas.openxmlformats.org/officeDocument/2006/relationships/hyperlink" Target="imagenes/NAUTICA_MENS_208005175_F6N_3.jpg" TargetMode="External" Id="rId7923"/><Relationship Type="http://schemas.openxmlformats.org/officeDocument/2006/relationships/hyperlink" Target="imagenes/NAUTICA_MENS_208005175_GVT_1.jpg" TargetMode="External" Id="rId7924"/><Relationship Type="http://schemas.openxmlformats.org/officeDocument/2006/relationships/hyperlink" Target="imagenes/NAUTICA_MENS_208005175_GVT_2.jpg" TargetMode="External" Id="rId7925"/><Relationship Type="http://schemas.openxmlformats.org/officeDocument/2006/relationships/hyperlink" Target="imagenes/NAUTICA_MENS_208005175_GVT_3.jpg" TargetMode="External" Id="rId7926"/><Relationship Type="http://schemas.openxmlformats.org/officeDocument/2006/relationships/hyperlink" Target="imagenes/NAUTICA_MENS_208005175_NSS_1.jpg" TargetMode="External" Id="rId7927"/><Relationship Type="http://schemas.openxmlformats.org/officeDocument/2006/relationships/hyperlink" Target="imagenes/NAUTICA_MENS_208005175_NSS_2.jpg" TargetMode="External" Id="rId7928"/><Relationship Type="http://schemas.openxmlformats.org/officeDocument/2006/relationships/hyperlink" Target="imagenes/NAUTICA_MENS_208005175_NSS_3.jpg" TargetMode="External" Id="rId7929"/><Relationship Type="http://schemas.openxmlformats.org/officeDocument/2006/relationships/hyperlink" Target="imagenes/NAUTICA_MENS_208005175_NSS_1.jpg" TargetMode="External" Id="rId7930"/><Relationship Type="http://schemas.openxmlformats.org/officeDocument/2006/relationships/hyperlink" Target="imagenes/NAUTICA_MENS_208005175_NSS_2.jpg" TargetMode="External" Id="rId7931"/><Relationship Type="http://schemas.openxmlformats.org/officeDocument/2006/relationships/hyperlink" Target="imagenes/NAUTICA_MENS_208005175_NSS_3.jpg" TargetMode="External" Id="rId7932"/><Relationship Type="http://schemas.openxmlformats.org/officeDocument/2006/relationships/hyperlink" Target="imagenes/NAUTICA_MENS_208005175_NSS_1.jpg" TargetMode="External" Id="rId7933"/><Relationship Type="http://schemas.openxmlformats.org/officeDocument/2006/relationships/hyperlink" Target="imagenes/NAUTICA_MENS_208005175_NSS_2.jpg" TargetMode="External" Id="rId7934"/><Relationship Type="http://schemas.openxmlformats.org/officeDocument/2006/relationships/hyperlink" Target="imagenes/NAUTICA_MENS_208005175_NSS_3.jpg" TargetMode="External" Id="rId7935"/><Relationship Type="http://schemas.openxmlformats.org/officeDocument/2006/relationships/hyperlink" Target="imagenes/NAUTICA_MENS_208005175_NSS_1.jpg" TargetMode="External" Id="rId7936"/><Relationship Type="http://schemas.openxmlformats.org/officeDocument/2006/relationships/hyperlink" Target="imagenes/NAUTICA_MENS_208005175_NSS_2.jpg" TargetMode="External" Id="rId7937"/><Relationship Type="http://schemas.openxmlformats.org/officeDocument/2006/relationships/hyperlink" Target="imagenes/NAUTICA_MENS_208005175_NSS_3.jpg" TargetMode="External" Id="rId7938"/><Relationship Type="http://schemas.openxmlformats.org/officeDocument/2006/relationships/hyperlink" Target="imagenes/NAUTICA_MENS_208005187_BLK_1.jpg" TargetMode="External" Id="rId7939"/><Relationship Type="http://schemas.openxmlformats.org/officeDocument/2006/relationships/hyperlink" Target="imagenes/NAUTICA_MENS_208005187_BLK_2.jpg" TargetMode="External" Id="rId7940"/><Relationship Type="http://schemas.openxmlformats.org/officeDocument/2006/relationships/hyperlink" Target="imagenes/NAUTICA_MENS_208005187_BLK_3.jpg" TargetMode="External" Id="rId7941"/><Relationship Type="http://schemas.openxmlformats.org/officeDocument/2006/relationships/hyperlink" Target="imagenes/NAUTICA_MENS_208005187_BLK_1.jpg" TargetMode="External" Id="rId7942"/><Relationship Type="http://schemas.openxmlformats.org/officeDocument/2006/relationships/hyperlink" Target="imagenes/NAUTICA_MENS_208005187_BLK_2.jpg" TargetMode="External" Id="rId7943"/><Relationship Type="http://schemas.openxmlformats.org/officeDocument/2006/relationships/hyperlink" Target="imagenes/NAUTICA_MENS_208005187_BLK_3.jpg" TargetMode="External" Id="rId7944"/><Relationship Type="http://schemas.openxmlformats.org/officeDocument/2006/relationships/hyperlink" Target="imagenes/NAUTICA_MENS_208005187_BLK_1.jpg" TargetMode="External" Id="rId7945"/><Relationship Type="http://schemas.openxmlformats.org/officeDocument/2006/relationships/hyperlink" Target="imagenes/NAUTICA_MENS_208005187_BLK_2.jpg" TargetMode="External" Id="rId7946"/><Relationship Type="http://schemas.openxmlformats.org/officeDocument/2006/relationships/hyperlink" Target="imagenes/NAUTICA_MENS_208005187_BLK_3.jpg" TargetMode="External" Id="rId7947"/><Relationship Type="http://schemas.openxmlformats.org/officeDocument/2006/relationships/hyperlink" Target="imagenes/NAUTICA_MENS_208005187_BLK_1.jpg" TargetMode="External" Id="rId7948"/><Relationship Type="http://schemas.openxmlformats.org/officeDocument/2006/relationships/hyperlink" Target="imagenes/NAUTICA_MENS_208005187_BLK_2.jpg" TargetMode="External" Id="rId7949"/><Relationship Type="http://schemas.openxmlformats.org/officeDocument/2006/relationships/hyperlink" Target="imagenes/NAUTICA_MENS_208005187_BLK_3.jpg" TargetMode="External" Id="rId7950"/><Relationship Type="http://schemas.openxmlformats.org/officeDocument/2006/relationships/hyperlink" Target="imagenes/NAUTICA_MENS_208005187_BLK_1.jpg" TargetMode="External" Id="rId7951"/><Relationship Type="http://schemas.openxmlformats.org/officeDocument/2006/relationships/hyperlink" Target="imagenes/NAUTICA_MENS_208005187_BLK_2.jpg" TargetMode="External" Id="rId7952"/><Relationship Type="http://schemas.openxmlformats.org/officeDocument/2006/relationships/hyperlink" Target="imagenes/NAUTICA_MENS_208005187_BLK_3.jpg" TargetMode="External" Id="rId7953"/><Relationship Type="http://schemas.openxmlformats.org/officeDocument/2006/relationships/hyperlink" Target="imagenes/NAUTICA_MENS_208005187_BLK_1.jpg" TargetMode="External" Id="rId7954"/><Relationship Type="http://schemas.openxmlformats.org/officeDocument/2006/relationships/hyperlink" Target="imagenes/NAUTICA_MENS_208005187_BLK_2.jpg" TargetMode="External" Id="rId7955"/><Relationship Type="http://schemas.openxmlformats.org/officeDocument/2006/relationships/hyperlink" Target="imagenes/NAUTICA_MENS_208005187_BLK_3.jpg" TargetMode="External" Id="rId7956"/><Relationship Type="http://schemas.openxmlformats.org/officeDocument/2006/relationships/hyperlink" Target="imagenes/NAUTICA_MENS_208005187_BLK_1.jpg" TargetMode="External" Id="rId7957"/><Relationship Type="http://schemas.openxmlformats.org/officeDocument/2006/relationships/hyperlink" Target="imagenes/NAUTICA_MENS_208005187_BLK_2.jpg" TargetMode="External" Id="rId7958"/><Relationship Type="http://schemas.openxmlformats.org/officeDocument/2006/relationships/hyperlink" Target="imagenes/NAUTICA_MENS_208005187_BLK_3.jpg" TargetMode="External" Id="rId7959"/><Relationship Type="http://schemas.openxmlformats.org/officeDocument/2006/relationships/hyperlink" Target="imagenes/NAUTICA_MENS_208005187_BLK_1.jpg" TargetMode="External" Id="rId7960"/><Relationship Type="http://schemas.openxmlformats.org/officeDocument/2006/relationships/hyperlink" Target="imagenes/NAUTICA_MENS_208005187_BLK_2.jpg" TargetMode="External" Id="rId7961"/><Relationship Type="http://schemas.openxmlformats.org/officeDocument/2006/relationships/hyperlink" Target="imagenes/NAUTICA_MENS_208005187_BLK_3.jpg" TargetMode="External" Id="rId7962"/><Relationship Type="http://schemas.openxmlformats.org/officeDocument/2006/relationships/hyperlink" Target="imagenes/NAUTICA_MENS_208005187_BLK_1.jpg" TargetMode="External" Id="rId7963"/><Relationship Type="http://schemas.openxmlformats.org/officeDocument/2006/relationships/hyperlink" Target="imagenes/NAUTICA_MENS_208005187_BLK_2.jpg" TargetMode="External" Id="rId7964"/><Relationship Type="http://schemas.openxmlformats.org/officeDocument/2006/relationships/hyperlink" Target="imagenes/NAUTICA_MENS_208005187_BLK_3.jpg" TargetMode="External" Id="rId7965"/><Relationship Type="http://schemas.openxmlformats.org/officeDocument/2006/relationships/hyperlink" Target="imagenes/NAUTICA_MENS_208005187_BLK_1.jpg" TargetMode="External" Id="rId7966"/><Relationship Type="http://schemas.openxmlformats.org/officeDocument/2006/relationships/hyperlink" Target="imagenes/NAUTICA_MENS_208005187_BLK_2.jpg" TargetMode="External" Id="rId7967"/><Relationship Type="http://schemas.openxmlformats.org/officeDocument/2006/relationships/hyperlink" Target="imagenes/NAUTICA_MENS_208005187_BLK_3.jpg" TargetMode="External" Id="rId7968"/><Relationship Type="http://schemas.openxmlformats.org/officeDocument/2006/relationships/hyperlink" Target="imagenes/NAUTICA_MENS_208005187_BLK_1.jpg" TargetMode="External" Id="rId7969"/><Relationship Type="http://schemas.openxmlformats.org/officeDocument/2006/relationships/hyperlink" Target="imagenes/NAUTICA_MENS_208005187_BLK_2.jpg" TargetMode="External" Id="rId7970"/><Relationship Type="http://schemas.openxmlformats.org/officeDocument/2006/relationships/hyperlink" Target="imagenes/NAUTICA_MENS_208005187_BLK_3.jpg" TargetMode="External" Id="rId7971"/><Relationship Type="http://schemas.openxmlformats.org/officeDocument/2006/relationships/hyperlink" Target="imagenes/NAUTICA_MENS_208005187_BLK_1.jpg" TargetMode="External" Id="rId7972"/><Relationship Type="http://schemas.openxmlformats.org/officeDocument/2006/relationships/hyperlink" Target="imagenes/NAUTICA_MENS_208005187_BLK_2.jpg" TargetMode="External" Id="rId7973"/><Relationship Type="http://schemas.openxmlformats.org/officeDocument/2006/relationships/hyperlink" Target="imagenes/NAUTICA_MENS_208005187_BLK_3.jpg" TargetMode="External" Id="rId7974"/><Relationship Type="http://schemas.openxmlformats.org/officeDocument/2006/relationships/hyperlink" Target="imagenes/NAUTICA_MENS_208005187_NSS_1.jpg" TargetMode="External" Id="rId7975"/><Relationship Type="http://schemas.openxmlformats.org/officeDocument/2006/relationships/hyperlink" Target="imagenes/NAUTICA_MENS_208005187_NSS_2.jpg" TargetMode="External" Id="rId7976"/><Relationship Type="http://schemas.openxmlformats.org/officeDocument/2006/relationships/hyperlink" Target="imagenes/NAUTICA_MENS_208005187_NSS_3.jpg" TargetMode="External" Id="rId7977"/><Relationship Type="http://schemas.openxmlformats.org/officeDocument/2006/relationships/hyperlink" Target="imagenes/NAUTICA_MENS_208005187_NSS_1.jpg" TargetMode="External" Id="rId7978"/><Relationship Type="http://schemas.openxmlformats.org/officeDocument/2006/relationships/hyperlink" Target="imagenes/NAUTICA_MENS_208005187_NSS_2.jpg" TargetMode="External" Id="rId7979"/><Relationship Type="http://schemas.openxmlformats.org/officeDocument/2006/relationships/hyperlink" Target="imagenes/NAUTICA_MENS_208005187_NSS_3.jpg" TargetMode="External" Id="rId7980"/><Relationship Type="http://schemas.openxmlformats.org/officeDocument/2006/relationships/hyperlink" Target="imagenes/NAUTICA_MENS_208005187_NSS_1.jpg" TargetMode="External" Id="rId7981"/><Relationship Type="http://schemas.openxmlformats.org/officeDocument/2006/relationships/hyperlink" Target="imagenes/NAUTICA_MENS_208005187_NSS_2.jpg" TargetMode="External" Id="rId7982"/><Relationship Type="http://schemas.openxmlformats.org/officeDocument/2006/relationships/hyperlink" Target="imagenes/NAUTICA_MENS_208005187_NSS_3.jpg" TargetMode="External" Id="rId7983"/><Relationship Type="http://schemas.openxmlformats.org/officeDocument/2006/relationships/hyperlink" Target="imagenes/NAUTICA_MENS_208005187_NSS_1.jpg" TargetMode="External" Id="rId7984"/><Relationship Type="http://schemas.openxmlformats.org/officeDocument/2006/relationships/hyperlink" Target="imagenes/NAUTICA_MENS_208005187_NSS_2.jpg" TargetMode="External" Id="rId7985"/><Relationship Type="http://schemas.openxmlformats.org/officeDocument/2006/relationships/hyperlink" Target="imagenes/NAUTICA_MENS_208005187_NSS_3.jpg" TargetMode="External" Id="rId7986"/><Relationship Type="http://schemas.openxmlformats.org/officeDocument/2006/relationships/hyperlink" Target="imagenes/NAUTICA_MENS_208005187_NSS_1.jpg" TargetMode="External" Id="rId7987"/><Relationship Type="http://schemas.openxmlformats.org/officeDocument/2006/relationships/hyperlink" Target="imagenes/NAUTICA_MENS_208005187_NSS_2.jpg" TargetMode="External" Id="rId7988"/><Relationship Type="http://schemas.openxmlformats.org/officeDocument/2006/relationships/hyperlink" Target="imagenes/NAUTICA_MENS_208005187_NSS_3.jpg" TargetMode="External" Id="rId7989"/><Relationship Type="http://schemas.openxmlformats.org/officeDocument/2006/relationships/hyperlink" Target="imagenes/NAUTICA_MENS_208005269_ALU_1.jpg" TargetMode="External" Id="rId7990"/><Relationship Type="http://schemas.openxmlformats.org/officeDocument/2006/relationships/hyperlink" Target="imagenes/NAUTICA_MENS_208005269_ALU_2.jpg" TargetMode="External" Id="rId7991"/><Relationship Type="http://schemas.openxmlformats.org/officeDocument/2006/relationships/hyperlink" Target="imagenes/NAUTICA_MENS_208005269_ALU_3.jpg" TargetMode="External" Id="rId7992"/><Relationship Type="http://schemas.openxmlformats.org/officeDocument/2006/relationships/hyperlink" Target="imagenes/NAUTICA_MENS_208005269_ALU_1.jpg" TargetMode="External" Id="rId7993"/><Relationship Type="http://schemas.openxmlformats.org/officeDocument/2006/relationships/hyperlink" Target="imagenes/NAUTICA_MENS_208005269_ALU_2.jpg" TargetMode="External" Id="rId7994"/><Relationship Type="http://schemas.openxmlformats.org/officeDocument/2006/relationships/hyperlink" Target="imagenes/NAUTICA_MENS_208005269_ALU_3.jpg" TargetMode="External" Id="rId7995"/><Relationship Type="http://schemas.openxmlformats.org/officeDocument/2006/relationships/hyperlink" Target="imagenes/NAUTICA_MENS_208005269_ALU_1.jpg" TargetMode="External" Id="rId7996"/><Relationship Type="http://schemas.openxmlformats.org/officeDocument/2006/relationships/hyperlink" Target="imagenes/NAUTICA_MENS_208005269_ALU_2.jpg" TargetMode="External" Id="rId7997"/><Relationship Type="http://schemas.openxmlformats.org/officeDocument/2006/relationships/hyperlink" Target="imagenes/NAUTICA_MENS_208005269_ALU_3.jpg" TargetMode="External" Id="rId7998"/><Relationship Type="http://schemas.openxmlformats.org/officeDocument/2006/relationships/hyperlink" Target="imagenes/NAUTICA_MENS_208005269_ALU_1.jpg" TargetMode="External" Id="rId7999"/><Relationship Type="http://schemas.openxmlformats.org/officeDocument/2006/relationships/hyperlink" Target="imagenes/NAUTICA_MENS_208005269_ALU_2.jpg" TargetMode="External" Id="rId8000"/><Relationship Type="http://schemas.openxmlformats.org/officeDocument/2006/relationships/hyperlink" Target="imagenes/NAUTICA_MENS_208005269_ALU_3.jpg" TargetMode="External" Id="rId8001"/><Relationship Type="http://schemas.openxmlformats.org/officeDocument/2006/relationships/hyperlink" Target="imagenes/NAUTICA_MENS_208005269_ALU_1.jpg" TargetMode="External" Id="rId8002"/><Relationship Type="http://schemas.openxmlformats.org/officeDocument/2006/relationships/hyperlink" Target="imagenes/NAUTICA_MENS_208005269_ALU_2.jpg" TargetMode="External" Id="rId8003"/><Relationship Type="http://schemas.openxmlformats.org/officeDocument/2006/relationships/hyperlink" Target="imagenes/NAUTICA_MENS_208005269_ALU_3.jpg" TargetMode="External" Id="rId8004"/><Relationship Type="http://schemas.openxmlformats.org/officeDocument/2006/relationships/hyperlink" Target="imagenes/NAUTICA_MENS_208005269_BLK_1.jpg" TargetMode="External" Id="rId8005"/><Relationship Type="http://schemas.openxmlformats.org/officeDocument/2006/relationships/hyperlink" Target="imagenes/NAUTICA_MENS_208005269_BLK_2.jpg" TargetMode="External" Id="rId8006"/><Relationship Type="http://schemas.openxmlformats.org/officeDocument/2006/relationships/hyperlink" Target="imagenes/NAUTICA_MENS_208005269_BLK_3.jpg" TargetMode="External" Id="rId8007"/><Relationship Type="http://schemas.openxmlformats.org/officeDocument/2006/relationships/hyperlink" Target="imagenes/NAUTICA_MENS_208005269_BLK_1.jpg" TargetMode="External" Id="rId8008"/><Relationship Type="http://schemas.openxmlformats.org/officeDocument/2006/relationships/hyperlink" Target="imagenes/NAUTICA_MENS_208005269_BLK_2.jpg" TargetMode="External" Id="rId8009"/><Relationship Type="http://schemas.openxmlformats.org/officeDocument/2006/relationships/hyperlink" Target="imagenes/NAUTICA_MENS_208005269_BLK_3.jpg" TargetMode="External" Id="rId8010"/><Relationship Type="http://schemas.openxmlformats.org/officeDocument/2006/relationships/hyperlink" Target="imagenes/NAUTICA_MENS_208005269_BLK_1.jpg" TargetMode="External" Id="rId8011"/><Relationship Type="http://schemas.openxmlformats.org/officeDocument/2006/relationships/hyperlink" Target="imagenes/NAUTICA_MENS_208005269_BLK_2.jpg" TargetMode="External" Id="rId8012"/><Relationship Type="http://schemas.openxmlformats.org/officeDocument/2006/relationships/hyperlink" Target="imagenes/NAUTICA_MENS_208005269_BLK_3.jpg" TargetMode="External" Id="rId8013"/><Relationship Type="http://schemas.openxmlformats.org/officeDocument/2006/relationships/hyperlink" Target="imagenes/NAUTICA_MENS_208005269_BLK_1.jpg" TargetMode="External" Id="rId8014"/><Relationship Type="http://schemas.openxmlformats.org/officeDocument/2006/relationships/hyperlink" Target="imagenes/NAUTICA_MENS_208005269_BLK_2.jpg" TargetMode="External" Id="rId8015"/><Relationship Type="http://schemas.openxmlformats.org/officeDocument/2006/relationships/hyperlink" Target="imagenes/NAUTICA_MENS_208005269_BLK_3.jpg" TargetMode="External" Id="rId8016"/><Relationship Type="http://schemas.openxmlformats.org/officeDocument/2006/relationships/hyperlink" Target="imagenes/NAUTICA_MENS_208005269_BLK_1.jpg" TargetMode="External" Id="rId8017"/><Relationship Type="http://schemas.openxmlformats.org/officeDocument/2006/relationships/hyperlink" Target="imagenes/NAUTICA_MENS_208005269_BLK_2.jpg" TargetMode="External" Id="rId8018"/><Relationship Type="http://schemas.openxmlformats.org/officeDocument/2006/relationships/hyperlink" Target="imagenes/NAUTICA_MENS_208005269_BLK_3.jpg" TargetMode="External" Id="rId8019"/><Relationship Type="http://schemas.openxmlformats.org/officeDocument/2006/relationships/hyperlink" Target="imagenes/NAUTICA_MENS_208005269_NVY_1.jpg" TargetMode="External" Id="rId8020"/><Relationship Type="http://schemas.openxmlformats.org/officeDocument/2006/relationships/hyperlink" Target="imagenes/NAUTICA_MENS_208005269_NVY_2.jpg" TargetMode="External" Id="rId8021"/><Relationship Type="http://schemas.openxmlformats.org/officeDocument/2006/relationships/hyperlink" Target="imagenes/NAUTICA_MENS_208005269_NVY_3.jpg" TargetMode="External" Id="rId8022"/><Relationship Type="http://schemas.openxmlformats.org/officeDocument/2006/relationships/hyperlink" Target="imagenes/NAUTICA_MENS_208005269_NVY_1.jpg" TargetMode="External" Id="rId8023"/><Relationship Type="http://schemas.openxmlformats.org/officeDocument/2006/relationships/hyperlink" Target="imagenes/NAUTICA_MENS_208005269_NVY_2.jpg" TargetMode="External" Id="rId8024"/><Relationship Type="http://schemas.openxmlformats.org/officeDocument/2006/relationships/hyperlink" Target="imagenes/NAUTICA_MENS_208005269_NVY_3.jpg" TargetMode="External" Id="rId8025"/><Relationship Type="http://schemas.openxmlformats.org/officeDocument/2006/relationships/hyperlink" Target="imagenes/NAUTICA_MENS_208005269_NVY_1.jpg" TargetMode="External" Id="rId8026"/><Relationship Type="http://schemas.openxmlformats.org/officeDocument/2006/relationships/hyperlink" Target="imagenes/NAUTICA_MENS_208005269_NVY_2.jpg" TargetMode="External" Id="rId8027"/><Relationship Type="http://schemas.openxmlformats.org/officeDocument/2006/relationships/hyperlink" Target="imagenes/NAUTICA_MENS_208005269_NVY_3.jpg" TargetMode="External" Id="rId8028"/><Relationship Type="http://schemas.openxmlformats.org/officeDocument/2006/relationships/hyperlink" Target="imagenes/NAUTICA_MENS_208005269_NVY_1.jpg" TargetMode="External" Id="rId8029"/><Relationship Type="http://schemas.openxmlformats.org/officeDocument/2006/relationships/hyperlink" Target="imagenes/NAUTICA_MENS_208005269_NVY_2.jpg" TargetMode="External" Id="rId8030"/><Relationship Type="http://schemas.openxmlformats.org/officeDocument/2006/relationships/hyperlink" Target="imagenes/NAUTICA_MENS_208005269_NVY_3.jpg" TargetMode="External" Id="rId8031"/><Relationship Type="http://schemas.openxmlformats.org/officeDocument/2006/relationships/hyperlink" Target="imagenes/NAUTICA_MENS_208005269_NVY_1.jpg" TargetMode="External" Id="rId8032"/><Relationship Type="http://schemas.openxmlformats.org/officeDocument/2006/relationships/hyperlink" Target="imagenes/NAUTICA_MENS_208005269_NVY_2.jpg" TargetMode="External" Id="rId8033"/><Relationship Type="http://schemas.openxmlformats.org/officeDocument/2006/relationships/hyperlink" Target="imagenes/NAUTICA_MENS_208005269_NVY_3.jpg" TargetMode="External" Id="rId8034"/><Relationship Type="http://schemas.openxmlformats.org/officeDocument/2006/relationships/hyperlink" Target="imagenes/NAUTICA_MENS_208005782_BLK_1.jpg" TargetMode="External" Id="rId8035"/><Relationship Type="http://schemas.openxmlformats.org/officeDocument/2006/relationships/hyperlink" Target="imagenes/NAUTICA_MENS_208005782_BLK_2.jpg" TargetMode="External" Id="rId8036"/><Relationship Type="http://schemas.openxmlformats.org/officeDocument/2006/relationships/hyperlink" Target="imagenes/NAUTICA_MENS_208005782_BLK_3.jpg" TargetMode="External" Id="rId8037"/><Relationship Type="http://schemas.openxmlformats.org/officeDocument/2006/relationships/hyperlink" Target="imagenes/NAUTICA_MENS_208005782_BLK_1.jpg" TargetMode="External" Id="rId8038"/><Relationship Type="http://schemas.openxmlformats.org/officeDocument/2006/relationships/hyperlink" Target="imagenes/NAUTICA_MENS_208005782_BLK_2.jpg" TargetMode="External" Id="rId8039"/><Relationship Type="http://schemas.openxmlformats.org/officeDocument/2006/relationships/hyperlink" Target="imagenes/NAUTICA_MENS_208005782_BLK_3.jpg" TargetMode="External" Id="rId8040"/><Relationship Type="http://schemas.openxmlformats.org/officeDocument/2006/relationships/hyperlink" Target="imagenes/NAUTICA_MENS_208005782_BLK_1.jpg" TargetMode="External" Id="rId8041"/><Relationship Type="http://schemas.openxmlformats.org/officeDocument/2006/relationships/hyperlink" Target="imagenes/NAUTICA_MENS_208005782_BLK_2.jpg" TargetMode="External" Id="rId8042"/><Relationship Type="http://schemas.openxmlformats.org/officeDocument/2006/relationships/hyperlink" Target="imagenes/NAUTICA_MENS_208005782_BLK_3.jpg" TargetMode="External" Id="rId8043"/><Relationship Type="http://schemas.openxmlformats.org/officeDocument/2006/relationships/hyperlink" Target="imagenes/NAUTICA_MENS_208005782_BLK_1.jpg" TargetMode="External" Id="rId8044"/><Relationship Type="http://schemas.openxmlformats.org/officeDocument/2006/relationships/hyperlink" Target="imagenes/NAUTICA_MENS_208005782_BLK_2.jpg" TargetMode="External" Id="rId8045"/><Relationship Type="http://schemas.openxmlformats.org/officeDocument/2006/relationships/hyperlink" Target="imagenes/NAUTICA_MENS_208005782_BLK_3.jpg" TargetMode="External" Id="rId8046"/><Relationship Type="http://schemas.openxmlformats.org/officeDocument/2006/relationships/hyperlink" Target="imagenes/NAUTICA_MENS_208005782_BLK_1.jpg" TargetMode="External" Id="rId8047"/><Relationship Type="http://schemas.openxmlformats.org/officeDocument/2006/relationships/hyperlink" Target="imagenes/NAUTICA_MENS_208005782_BLK_2.jpg" TargetMode="External" Id="rId8048"/><Relationship Type="http://schemas.openxmlformats.org/officeDocument/2006/relationships/hyperlink" Target="imagenes/NAUTICA_MENS_208005782_BLK_3.jpg" TargetMode="External" Id="rId8049"/><Relationship Type="http://schemas.openxmlformats.org/officeDocument/2006/relationships/hyperlink" Target="imagenes/NAUTICA_MENS_208005782_BLK_1.jpg" TargetMode="External" Id="rId8050"/><Relationship Type="http://schemas.openxmlformats.org/officeDocument/2006/relationships/hyperlink" Target="imagenes/NAUTICA_MENS_208005782_BLK_2.jpg" TargetMode="External" Id="rId8051"/><Relationship Type="http://schemas.openxmlformats.org/officeDocument/2006/relationships/hyperlink" Target="imagenes/NAUTICA_MENS_208005782_BLK_3.jpg" TargetMode="External" Id="rId8052"/><Relationship Type="http://schemas.openxmlformats.org/officeDocument/2006/relationships/hyperlink" Target="imagenes/NAUTICA_MENS_208005782_BLK_1.jpg" TargetMode="External" Id="rId8053"/><Relationship Type="http://schemas.openxmlformats.org/officeDocument/2006/relationships/hyperlink" Target="imagenes/NAUTICA_MENS_208005782_BLK_2.jpg" TargetMode="External" Id="rId8054"/><Relationship Type="http://schemas.openxmlformats.org/officeDocument/2006/relationships/hyperlink" Target="imagenes/NAUTICA_MENS_208005782_BLK_3.jpg" TargetMode="External" Id="rId8055"/><Relationship Type="http://schemas.openxmlformats.org/officeDocument/2006/relationships/hyperlink" Target="imagenes/NAUTICA_MENS_208005782_BLK_1.jpg" TargetMode="External" Id="rId8056"/><Relationship Type="http://schemas.openxmlformats.org/officeDocument/2006/relationships/hyperlink" Target="imagenes/NAUTICA_MENS_208005782_BLK_2.jpg" TargetMode="External" Id="rId8057"/><Relationship Type="http://schemas.openxmlformats.org/officeDocument/2006/relationships/hyperlink" Target="imagenes/NAUTICA_MENS_208005782_BLK_3.jpg" TargetMode="External" Id="rId8058"/><Relationship Type="http://schemas.openxmlformats.org/officeDocument/2006/relationships/hyperlink" Target="imagenes/NAUTICA_MENS_208005782_BLK_1.jpg" TargetMode="External" Id="rId8059"/><Relationship Type="http://schemas.openxmlformats.org/officeDocument/2006/relationships/hyperlink" Target="imagenes/NAUTICA_MENS_208005782_BLK_2.jpg" TargetMode="External" Id="rId8060"/><Relationship Type="http://schemas.openxmlformats.org/officeDocument/2006/relationships/hyperlink" Target="imagenes/NAUTICA_MENS_208005782_BLK_3.jpg" TargetMode="External" Id="rId8061"/><Relationship Type="http://schemas.openxmlformats.org/officeDocument/2006/relationships/hyperlink" Target="imagenes/NAUTICA_MENS_208005782_BLK_1.jpg" TargetMode="External" Id="rId8062"/><Relationship Type="http://schemas.openxmlformats.org/officeDocument/2006/relationships/hyperlink" Target="imagenes/NAUTICA_MENS_208005782_BLK_2.jpg" TargetMode="External" Id="rId8063"/><Relationship Type="http://schemas.openxmlformats.org/officeDocument/2006/relationships/hyperlink" Target="imagenes/NAUTICA_MENS_208005782_BLK_3.jpg" TargetMode="External" Id="rId8064"/><Relationship Type="http://schemas.openxmlformats.org/officeDocument/2006/relationships/hyperlink" Target="imagenes/NAUTICA_MENS_208005782_BLK_1.jpg" TargetMode="External" Id="rId8065"/><Relationship Type="http://schemas.openxmlformats.org/officeDocument/2006/relationships/hyperlink" Target="imagenes/NAUTICA_MENS_208005782_BLK_2.jpg" TargetMode="External" Id="rId8066"/><Relationship Type="http://schemas.openxmlformats.org/officeDocument/2006/relationships/hyperlink" Target="imagenes/NAUTICA_MENS_208005782_BLK_3.jpg" TargetMode="External" Id="rId8067"/><Relationship Type="http://schemas.openxmlformats.org/officeDocument/2006/relationships/hyperlink" Target="imagenes/NAUTICA_MENS_208005783_BLK_1.jpg" TargetMode="External" Id="rId8068"/><Relationship Type="http://schemas.openxmlformats.org/officeDocument/2006/relationships/hyperlink" Target="imagenes/NAUTICA_MENS_208005783_BLK_2.jpg" TargetMode="External" Id="rId8069"/><Relationship Type="http://schemas.openxmlformats.org/officeDocument/2006/relationships/hyperlink" Target="imagenes/NAUTICA_MENS_208005783_BLK_3.jpg" TargetMode="External" Id="rId8070"/><Relationship Type="http://schemas.openxmlformats.org/officeDocument/2006/relationships/hyperlink" Target="imagenes/NAUTICA_MENS_208005783_BLK_1.jpg" TargetMode="External" Id="rId8071"/><Relationship Type="http://schemas.openxmlformats.org/officeDocument/2006/relationships/hyperlink" Target="imagenes/NAUTICA_MENS_208005783_BLK_2.jpg" TargetMode="External" Id="rId8072"/><Relationship Type="http://schemas.openxmlformats.org/officeDocument/2006/relationships/hyperlink" Target="imagenes/NAUTICA_MENS_208005783_BLK_3.jpg" TargetMode="External" Id="rId8073"/><Relationship Type="http://schemas.openxmlformats.org/officeDocument/2006/relationships/hyperlink" Target="imagenes/NAUTICA_MENS_208005783_BLK_1.jpg" TargetMode="External" Id="rId8074"/><Relationship Type="http://schemas.openxmlformats.org/officeDocument/2006/relationships/hyperlink" Target="imagenes/NAUTICA_MENS_208005783_BLK_2.jpg" TargetMode="External" Id="rId8075"/><Relationship Type="http://schemas.openxmlformats.org/officeDocument/2006/relationships/hyperlink" Target="imagenes/NAUTICA_MENS_208005783_BLK_3.jpg" TargetMode="External" Id="rId8076"/><Relationship Type="http://schemas.openxmlformats.org/officeDocument/2006/relationships/hyperlink" Target="imagenes/NAUTICA_MENS_208005783_BLK_1.jpg" TargetMode="External" Id="rId8077"/><Relationship Type="http://schemas.openxmlformats.org/officeDocument/2006/relationships/hyperlink" Target="imagenes/NAUTICA_MENS_208005783_BLK_2.jpg" TargetMode="External" Id="rId8078"/><Relationship Type="http://schemas.openxmlformats.org/officeDocument/2006/relationships/hyperlink" Target="imagenes/NAUTICA_MENS_208005783_BLK_3.jpg" TargetMode="External" Id="rId8079"/><Relationship Type="http://schemas.openxmlformats.org/officeDocument/2006/relationships/hyperlink" Target="imagenes/NAUTICA_MENS_208005783_BLK_1.jpg" TargetMode="External" Id="rId8080"/><Relationship Type="http://schemas.openxmlformats.org/officeDocument/2006/relationships/hyperlink" Target="imagenes/NAUTICA_MENS_208005783_BLK_2.jpg" TargetMode="External" Id="rId8081"/><Relationship Type="http://schemas.openxmlformats.org/officeDocument/2006/relationships/hyperlink" Target="imagenes/NAUTICA_MENS_208005783_BLK_3.jpg" TargetMode="External" Id="rId8082"/><Relationship Type="http://schemas.openxmlformats.org/officeDocument/2006/relationships/hyperlink" Target="imagenes/NAUTICA_MENS_208005783_BLK_1.jpg" TargetMode="External" Id="rId8083"/><Relationship Type="http://schemas.openxmlformats.org/officeDocument/2006/relationships/hyperlink" Target="imagenes/NAUTICA_MENS_208005783_BLK_2.jpg" TargetMode="External" Id="rId8084"/><Relationship Type="http://schemas.openxmlformats.org/officeDocument/2006/relationships/hyperlink" Target="imagenes/NAUTICA_MENS_208005783_BLK_3.jpg" TargetMode="External" Id="rId8085"/><Relationship Type="http://schemas.openxmlformats.org/officeDocument/2006/relationships/hyperlink" Target="imagenes/NAUTICA_MENS_208005783_BLK_1.jpg" TargetMode="External" Id="rId8086"/><Relationship Type="http://schemas.openxmlformats.org/officeDocument/2006/relationships/hyperlink" Target="imagenes/NAUTICA_MENS_208005783_BLK_2.jpg" TargetMode="External" Id="rId8087"/><Relationship Type="http://schemas.openxmlformats.org/officeDocument/2006/relationships/hyperlink" Target="imagenes/NAUTICA_MENS_208005783_BLK_3.jpg" TargetMode="External" Id="rId8088"/><Relationship Type="http://schemas.openxmlformats.org/officeDocument/2006/relationships/hyperlink" Target="imagenes/NAUTICA_MENS_208005876_BLK_1.jpg" TargetMode="External" Id="rId8089"/><Relationship Type="http://schemas.openxmlformats.org/officeDocument/2006/relationships/hyperlink" Target="imagenes/NAUTICA_MENS_208005876_BLK_2.jpg" TargetMode="External" Id="rId8090"/><Relationship Type="http://schemas.openxmlformats.org/officeDocument/2006/relationships/hyperlink" Target="imagenes/NAUTICA_MENS_208005876_BLK_3.jpg" TargetMode="External" Id="rId8091"/><Relationship Type="http://schemas.openxmlformats.org/officeDocument/2006/relationships/hyperlink" Target="imagenes/NAUTICA_MENS_208005876_BLK_1.jpg" TargetMode="External" Id="rId8092"/><Relationship Type="http://schemas.openxmlformats.org/officeDocument/2006/relationships/hyperlink" Target="imagenes/NAUTICA_MENS_208005876_BLK_2.jpg" TargetMode="External" Id="rId8093"/><Relationship Type="http://schemas.openxmlformats.org/officeDocument/2006/relationships/hyperlink" Target="imagenes/NAUTICA_MENS_208005876_BLK_3.jpg" TargetMode="External" Id="rId8094"/><Relationship Type="http://schemas.openxmlformats.org/officeDocument/2006/relationships/hyperlink" Target="imagenes/NAUTICA_MENS_208005876_BLK_1.jpg" TargetMode="External" Id="rId8095"/><Relationship Type="http://schemas.openxmlformats.org/officeDocument/2006/relationships/hyperlink" Target="imagenes/NAUTICA_MENS_208005876_BLK_2.jpg" TargetMode="External" Id="rId8096"/><Relationship Type="http://schemas.openxmlformats.org/officeDocument/2006/relationships/hyperlink" Target="imagenes/NAUTICA_MENS_208005876_BLK_3.jpg" TargetMode="External" Id="rId8097"/><Relationship Type="http://schemas.openxmlformats.org/officeDocument/2006/relationships/hyperlink" Target="imagenes/NAUTICA_MENS_208005876_BLK_1.jpg" TargetMode="External" Id="rId8098"/><Relationship Type="http://schemas.openxmlformats.org/officeDocument/2006/relationships/hyperlink" Target="imagenes/NAUTICA_MENS_208005876_BLK_2.jpg" TargetMode="External" Id="rId8099"/><Relationship Type="http://schemas.openxmlformats.org/officeDocument/2006/relationships/hyperlink" Target="imagenes/NAUTICA_MENS_208005876_BLK_3.jpg" TargetMode="External" Id="rId8100"/><Relationship Type="http://schemas.openxmlformats.org/officeDocument/2006/relationships/hyperlink" Target="imagenes/NAUTICA_MENS_208005876_BLK_1.jpg" TargetMode="External" Id="rId8101"/><Relationship Type="http://schemas.openxmlformats.org/officeDocument/2006/relationships/hyperlink" Target="imagenes/NAUTICA_MENS_208005876_BLK_2.jpg" TargetMode="External" Id="rId8102"/><Relationship Type="http://schemas.openxmlformats.org/officeDocument/2006/relationships/hyperlink" Target="imagenes/NAUTICA_MENS_208005876_BLK_3.jpg" TargetMode="External" Id="rId8103"/><Relationship Type="http://schemas.openxmlformats.org/officeDocument/2006/relationships/hyperlink" Target="imagenes/NAUTICA_MENS_208005876_BLK_1.jpg" TargetMode="External" Id="rId8104"/><Relationship Type="http://schemas.openxmlformats.org/officeDocument/2006/relationships/hyperlink" Target="imagenes/NAUTICA_MENS_208005876_BLK_2.jpg" TargetMode="External" Id="rId8105"/><Relationship Type="http://schemas.openxmlformats.org/officeDocument/2006/relationships/hyperlink" Target="imagenes/NAUTICA_MENS_208005876_BLK_3.jpg" TargetMode="External" Id="rId8106"/><Relationship Type="http://schemas.openxmlformats.org/officeDocument/2006/relationships/hyperlink" Target="imagenes/NAUTICA_MENS_208005876_BLK_1.jpg" TargetMode="External" Id="rId8107"/><Relationship Type="http://schemas.openxmlformats.org/officeDocument/2006/relationships/hyperlink" Target="imagenes/NAUTICA_MENS_208005876_BLK_2.jpg" TargetMode="External" Id="rId8108"/><Relationship Type="http://schemas.openxmlformats.org/officeDocument/2006/relationships/hyperlink" Target="imagenes/NAUTICA_MENS_208005876_BLK_3.jpg" TargetMode="External" Id="rId8109"/><Relationship Type="http://schemas.openxmlformats.org/officeDocument/2006/relationships/hyperlink" Target="imagenes/NAUTICA_MENS_208005876_BLK_1.jpg" TargetMode="External" Id="rId8110"/><Relationship Type="http://schemas.openxmlformats.org/officeDocument/2006/relationships/hyperlink" Target="imagenes/NAUTICA_MENS_208005876_BLK_2.jpg" TargetMode="External" Id="rId8111"/><Relationship Type="http://schemas.openxmlformats.org/officeDocument/2006/relationships/hyperlink" Target="imagenes/NAUTICA_MENS_208005876_BLK_3.jpg" TargetMode="External" Id="rId8112"/><Relationship Type="http://schemas.openxmlformats.org/officeDocument/2006/relationships/hyperlink" Target="imagenes/NAUTICA_MENS_208005876_BLK_1.jpg" TargetMode="External" Id="rId8113"/><Relationship Type="http://schemas.openxmlformats.org/officeDocument/2006/relationships/hyperlink" Target="imagenes/NAUTICA_MENS_208005876_BLK_2.jpg" TargetMode="External" Id="rId8114"/><Relationship Type="http://schemas.openxmlformats.org/officeDocument/2006/relationships/hyperlink" Target="imagenes/NAUTICA_MENS_208005876_BLK_3.jpg" TargetMode="External" Id="rId8115"/><Relationship Type="http://schemas.openxmlformats.org/officeDocument/2006/relationships/hyperlink" Target="imagenes/NAUTICA_MENS_208005876_BLK_1.jpg" TargetMode="External" Id="rId8116"/><Relationship Type="http://schemas.openxmlformats.org/officeDocument/2006/relationships/hyperlink" Target="imagenes/NAUTICA_MENS_208005876_BLK_2.jpg" TargetMode="External" Id="rId8117"/><Relationship Type="http://schemas.openxmlformats.org/officeDocument/2006/relationships/hyperlink" Target="imagenes/NAUTICA_MENS_208005876_BLK_3.jpg" TargetMode="External" Id="rId8118"/><Relationship Type="http://schemas.openxmlformats.org/officeDocument/2006/relationships/hyperlink" Target="imagenes/NAUTICA_MENS_208005876_BLK_1.jpg" TargetMode="External" Id="rId8119"/><Relationship Type="http://schemas.openxmlformats.org/officeDocument/2006/relationships/hyperlink" Target="imagenes/NAUTICA_MENS_208005876_BLK_2.jpg" TargetMode="External" Id="rId8120"/><Relationship Type="http://schemas.openxmlformats.org/officeDocument/2006/relationships/hyperlink" Target="imagenes/NAUTICA_MENS_208005876_BLK_3.jpg" TargetMode="External" Id="rId8121"/><Relationship Type="http://schemas.openxmlformats.org/officeDocument/2006/relationships/hyperlink" Target="imagenes/NAUTICA_MENS_208005876_BLK_1.jpg" TargetMode="External" Id="rId8122"/><Relationship Type="http://schemas.openxmlformats.org/officeDocument/2006/relationships/hyperlink" Target="imagenes/NAUTICA_MENS_208005876_BLK_2.jpg" TargetMode="External" Id="rId8123"/><Relationship Type="http://schemas.openxmlformats.org/officeDocument/2006/relationships/hyperlink" Target="imagenes/NAUTICA_MENS_208005876_BLK_3.jpg" TargetMode="External" Id="rId8124"/><Relationship Type="http://schemas.openxmlformats.org/officeDocument/2006/relationships/hyperlink" Target="imagenes/NAUTICA_MENS_208005876_BLK_1.jpg" TargetMode="External" Id="rId8125"/><Relationship Type="http://schemas.openxmlformats.org/officeDocument/2006/relationships/hyperlink" Target="imagenes/NAUTICA_MENS_208005876_BLK_2.jpg" TargetMode="External" Id="rId8126"/><Relationship Type="http://schemas.openxmlformats.org/officeDocument/2006/relationships/hyperlink" Target="imagenes/NAUTICA_MENS_208005876_BLK_3.jpg" TargetMode="External" Id="rId8127"/><Relationship Type="http://schemas.openxmlformats.org/officeDocument/2006/relationships/hyperlink" Target="imagenes/NAUTICA_MENS_208005876_BLK_1.jpg" TargetMode="External" Id="rId8128"/><Relationship Type="http://schemas.openxmlformats.org/officeDocument/2006/relationships/hyperlink" Target="imagenes/NAUTICA_MENS_208005876_BLK_2.jpg" TargetMode="External" Id="rId8129"/><Relationship Type="http://schemas.openxmlformats.org/officeDocument/2006/relationships/hyperlink" Target="imagenes/NAUTICA_MENS_208005876_BLK_3.jpg" TargetMode="External" Id="rId8130"/><Relationship Type="http://schemas.openxmlformats.org/officeDocument/2006/relationships/hyperlink" Target="imagenes/NAUTICA_MENS_208005876_BLK_1.jpg" TargetMode="External" Id="rId8131"/><Relationship Type="http://schemas.openxmlformats.org/officeDocument/2006/relationships/hyperlink" Target="imagenes/NAUTICA_MENS_208005876_BLK_2.jpg" TargetMode="External" Id="rId8132"/><Relationship Type="http://schemas.openxmlformats.org/officeDocument/2006/relationships/hyperlink" Target="imagenes/NAUTICA_MENS_208005876_BLK_3.jpg" TargetMode="External" Id="rId8133"/><Relationship Type="http://schemas.openxmlformats.org/officeDocument/2006/relationships/hyperlink" Target="imagenes/NAUTICA_MENS_208005876_BPR_1.jpg" TargetMode="External" Id="rId8134"/><Relationship Type="http://schemas.openxmlformats.org/officeDocument/2006/relationships/hyperlink" Target="imagenes/NAUTICA_MENS_208005876_BPR_2.jpg" TargetMode="External" Id="rId8135"/><Relationship Type="http://schemas.openxmlformats.org/officeDocument/2006/relationships/hyperlink" Target="imagenes/NAUTICA_MENS_208005876_BPR_3.jpg" TargetMode="External" Id="rId8136"/><Relationship Type="http://schemas.openxmlformats.org/officeDocument/2006/relationships/hyperlink" Target="imagenes/NAUTICA_MENS_208005876_BPR_1.jpg" TargetMode="External" Id="rId8137"/><Relationship Type="http://schemas.openxmlformats.org/officeDocument/2006/relationships/hyperlink" Target="imagenes/NAUTICA_MENS_208005876_BPR_2.jpg" TargetMode="External" Id="rId8138"/><Relationship Type="http://schemas.openxmlformats.org/officeDocument/2006/relationships/hyperlink" Target="imagenes/NAUTICA_MENS_208005876_BPR_3.jpg" TargetMode="External" Id="rId8139"/><Relationship Type="http://schemas.openxmlformats.org/officeDocument/2006/relationships/hyperlink" Target="imagenes/NAUTICA_MENS_208005876_BPR_1.jpg" TargetMode="External" Id="rId8140"/><Relationship Type="http://schemas.openxmlformats.org/officeDocument/2006/relationships/hyperlink" Target="imagenes/NAUTICA_MENS_208005876_BPR_2.jpg" TargetMode="External" Id="rId8141"/><Relationship Type="http://schemas.openxmlformats.org/officeDocument/2006/relationships/hyperlink" Target="imagenes/NAUTICA_MENS_208005876_BPR_3.jpg" TargetMode="External" Id="rId8142"/><Relationship Type="http://schemas.openxmlformats.org/officeDocument/2006/relationships/hyperlink" Target="imagenes/NAUTICA_MENS_208005876_BPR_1.jpg" TargetMode="External" Id="rId8143"/><Relationship Type="http://schemas.openxmlformats.org/officeDocument/2006/relationships/hyperlink" Target="imagenes/NAUTICA_MENS_208005876_BPR_2.jpg" TargetMode="External" Id="rId8144"/><Relationship Type="http://schemas.openxmlformats.org/officeDocument/2006/relationships/hyperlink" Target="imagenes/NAUTICA_MENS_208005876_BPR_3.jpg" TargetMode="External" Id="rId8145"/><Relationship Type="http://schemas.openxmlformats.org/officeDocument/2006/relationships/hyperlink" Target="imagenes/NAUTICA_MENS_208005876_BPR_1.jpg" TargetMode="External" Id="rId8146"/><Relationship Type="http://schemas.openxmlformats.org/officeDocument/2006/relationships/hyperlink" Target="imagenes/NAUTICA_MENS_208005876_BPR_2.jpg" TargetMode="External" Id="rId8147"/><Relationship Type="http://schemas.openxmlformats.org/officeDocument/2006/relationships/hyperlink" Target="imagenes/NAUTICA_MENS_208005876_BPR_3.jpg" TargetMode="External" Id="rId8148"/><Relationship Type="http://schemas.openxmlformats.org/officeDocument/2006/relationships/hyperlink" Target="imagenes/NAUTICA_MENS_208005876_BPR_1.jpg" TargetMode="External" Id="rId8149"/><Relationship Type="http://schemas.openxmlformats.org/officeDocument/2006/relationships/hyperlink" Target="imagenes/NAUTICA_MENS_208005876_BPR_2.jpg" TargetMode="External" Id="rId8150"/><Relationship Type="http://schemas.openxmlformats.org/officeDocument/2006/relationships/hyperlink" Target="imagenes/NAUTICA_MENS_208005876_BPR_3.jpg" TargetMode="External" Id="rId8151"/><Relationship Type="http://schemas.openxmlformats.org/officeDocument/2006/relationships/hyperlink" Target="imagenes/NAUTICA_MENS_208005876_BPR_1.jpg" TargetMode="External" Id="rId8152"/><Relationship Type="http://schemas.openxmlformats.org/officeDocument/2006/relationships/hyperlink" Target="imagenes/NAUTICA_MENS_208005876_BPR_2.jpg" TargetMode="External" Id="rId8153"/><Relationship Type="http://schemas.openxmlformats.org/officeDocument/2006/relationships/hyperlink" Target="imagenes/NAUTICA_MENS_208005876_BPR_3.jpg" TargetMode="External" Id="rId8154"/><Relationship Type="http://schemas.openxmlformats.org/officeDocument/2006/relationships/hyperlink" Target="imagenes/NAUTICA_MENS_208005876_BPR_1.jpg" TargetMode="External" Id="rId8155"/><Relationship Type="http://schemas.openxmlformats.org/officeDocument/2006/relationships/hyperlink" Target="imagenes/NAUTICA_MENS_208005876_BPR_2.jpg" TargetMode="External" Id="rId8156"/><Relationship Type="http://schemas.openxmlformats.org/officeDocument/2006/relationships/hyperlink" Target="imagenes/NAUTICA_MENS_208005876_BPR_3.jpg" TargetMode="External" Id="rId8157"/><Relationship Type="http://schemas.openxmlformats.org/officeDocument/2006/relationships/hyperlink" Target="imagenes/NAUTICA_MENS_208005876_BPR_1.jpg" TargetMode="External" Id="rId8158"/><Relationship Type="http://schemas.openxmlformats.org/officeDocument/2006/relationships/hyperlink" Target="imagenes/NAUTICA_MENS_208005876_BPR_2.jpg" TargetMode="External" Id="rId8159"/><Relationship Type="http://schemas.openxmlformats.org/officeDocument/2006/relationships/hyperlink" Target="imagenes/NAUTICA_MENS_208005876_BPR_3.jpg" TargetMode="External" Id="rId8160"/><Relationship Type="http://schemas.openxmlformats.org/officeDocument/2006/relationships/hyperlink" Target="imagenes/NAUTICA_MENS_208005876_BPR_1.jpg" TargetMode="External" Id="rId8161"/><Relationship Type="http://schemas.openxmlformats.org/officeDocument/2006/relationships/hyperlink" Target="imagenes/NAUTICA_MENS_208005876_BPR_2.jpg" TargetMode="External" Id="rId8162"/><Relationship Type="http://schemas.openxmlformats.org/officeDocument/2006/relationships/hyperlink" Target="imagenes/NAUTICA_MENS_208005876_BPR_3.jpg" TargetMode="External" Id="rId8163"/><Relationship Type="http://schemas.openxmlformats.org/officeDocument/2006/relationships/hyperlink" Target="imagenes/NAUTICA_MENS_208005876_BPR_1.jpg" TargetMode="External" Id="rId8164"/><Relationship Type="http://schemas.openxmlformats.org/officeDocument/2006/relationships/hyperlink" Target="imagenes/NAUTICA_MENS_208005876_BPR_2.jpg" TargetMode="External" Id="rId8165"/><Relationship Type="http://schemas.openxmlformats.org/officeDocument/2006/relationships/hyperlink" Target="imagenes/NAUTICA_MENS_208005876_BPR_3.jpg" TargetMode="External" Id="rId8166"/><Relationship Type="http://schemas.openxmlformats.org/officeDocument/2006/relationships/hyperlink" Target="imagenes/NAUTICA_MENS_208005876_BPR_1.jpg" TargetMode="External" Id="rId8167"/><Relationship Type="http://schemas.openxmlformats.org/officeDocument/2006/relationships/hyperlink" Target="imagenes/NAUTICA_MENS_208005876_BPR_2.jpg" TargetMode="External" Id="rId8168"/><Relationship Type="http://schemas.openxmlformats.org/officeDocument/2006/relationships/hyperlink" Target="imagenes/NAUTICA_MENS_208005876_BPR_3.jpg" TargetMode="External" Id="rId8169"/><Relationship Type="http://schemas.openxmlformats.org/officeDocument/2006/relationships/hyperlink" Target="imagenes/NAUTICA_MENS_208005876_BPR_1.jpg" TargetMode="External" Id="rId8170"/><Relationship Type="http://schemas.openxmlformats.org/officeDocument/2006/relationships/hyperlink" Target="imagenes/NAUTICA_MENS_208005876_BPR_2.jpg" TargetMode="External" Id="rId8171"/><Relationship Type="http://schemas.openxmlformats.org/officeDocument/2006/relationships/hyperlink" Target="imagenes/NAUTICA_MENS_208005876_BPR_3.jpg" TargetMode="External" Id="rId8172"/><Relationship Type="http://schemas.openxmlformats.org/officeDocument/2006/relationships/hyperlink" Target="imagenes/NAUTICA_MENS_208005876_BPR_1.jpg" TargetMode="External" Id="rId8173"/><Relationship Type="http://schemas.openxmlformats.org/officeDocument/2006/relationships/hyperlink" Target="imagenes/NAUTICA_MENS_208005876_BPR_2.jpg" TargetMode="External" Id="rId8174"/><Relationship Type="http://schemas.openxmlformats.org/officeDocument/2006/relationships/hyperlink" Target="imagenes/NAUTICA_MENS_208005876_BPR_3.jpg" TargetMode="External" Id="rId8175"/><Relationship Type="http://schemas.openxmlformats.org/officeDocument/2006/relationships/hyperlink" Target="imagenes/NAUTICA_MENS_208005876_BPR_1.jpg" TargetMode="External" Id="rId8176"/><Relationship Type="http://schemas.openxmlformats.org/officeDocument/2006/relationships/hyperlink" Target="imagenes/NAUTICA_MENS_208005876_BPR_2.jpg" TargetMode="External" Id="rId8177"/><Relationship Type="http://schemas.openxmlformats.org/officeDocument/2006/relationships/hyperlink" Target="imagenes/NAUTICA_MENS_208005876_BPR_3.jpg" TargetMode="External" Id="rId8178"/><Relationship Type="http://schemas.openxmlformats.org/officeDocument/2006/relationships/hyperlink" Target="imagenes/NAUTICA_MENS_208005876_RED_1.jpg" TargetMode="External" Id="rId8179"/><Relationship Type="http://schemas.openxmlformats.org/officeDocument/2006/relationships/hyperlink" Target="imagenes/NAUTICA_MENS_208005876_RED_2.jpg" TargetMode="External" Id="rId8180"/><Relationship Type="http://schemas.openxmlformats.org/officeDocument/2006/relationships/hyperlink" Target="imagenes/NAUTICA_MENS_208005876_RED_3.jpg" TargetMode="External" Id="rId8181"/><Relationship Type="http://schemas.openxmlformats.org/officeDocument/2006/relationships/hyperlink" Target="imagenes/NAUTICA_MENS_208005876_RED_1.jpg" TargetMode="External" Id="rId8182"/><Relationship Type="http://schemas.openxmlformats.org/officeDocument/2006/relationships/hyperlink" Target="imagenes/NAUTICA_MENS_208005876_RED_2.jpg" TargetMode="External" Id="rId8183"/><Relationship Type="http://schemas.openxmlformats.org/officeDocument/2006/relationships/hyperlink" Target="imagenes/NAUTICA_MENS_208005876_RED_3.jpg" TargetMode="External" Id="rId8184"/><Relationship Type="http://schemas.openxmlformats.org/officeDocument/2006/relationships/hyperlink" Target="imagenes/NAUTICA_MENS_208005876_RED_1.jpg" TargetMode="External" Id="rId8185"/><Relationship Type="http://schemas.openxmlformats.org/officeDocument/2006/relationships/hyperlink" Target="imagenes/NAUTICA_MENS_208005876_RED_2.jpg" TargetMode="External" Id="rId8186"/><Relationship Type="http://schemas.openxmlformats.org/officeDocument/2006/relationships/hyperlink" Target="imagenes/NAUTICA_MENS_208005876_RED_3.jpg" TargetMode="External" Id="rId8187"/><Relationship Type="http://schemas.openxmlformats.org/officeDocument/2006/relationships/hyperlink" Target="imagenes/NAUTICA_MENS_208005876_RED_1.jpg" TargetMode="External" Id="rId8188"/><Relationship Type="http://schemas.openxmlformats.org/officeDocument/2006/relationships/hyperlink" Target="imagenes/NAUTICA_MENS_208005876_RED_2.jpg" TargetMode="External" Id="rId8189"/><Relationship Type="http://schemas.openxmlformats.org/officeDocument/2006/relationships/hyperlink" Target="imagenes/NAUTICA_MENS_208005876_RED_3.jpg" TargetMode="External" Id="rId8190"/><Relationship Type="http://schemas.openxmlformats.org/officeDocument/2006/relationships/hyperlink" Target="imagenes/NAUTICA_MENS_208005876_RED_1.jpg" TargetMode="External" Id="rId8191"/><Relationship Type="http://schemas.openxmlformats.org/officeDocument/2006/relationships/hyperlink" Target="imagenes/NAUTICA_MENS_208005876_RED_2.jpg" TargetMode="External" Id="rId8192"/><Relationship Type="http://schemas.openxmlformats.org/officeDocument/2006/relationships/hyperlink" Target="imagenes/NAUTICA_MENS_208005876_RED_3.jpg" TargetMode="External" Id="rId8193"/><Relationship Type="http://schemas.openxmlformats.org/officeDocument/2006/relationships/hyperlink" Target="imagenes/NAUTICA_MENS_208005876_RED_1.jpg" TargetMode="External" Id="rId8194"/><Relationship Type="http://schemas.openxmlformats.org/officeDocument/2006/relationships/hyperlink" Target="imagenes/NAUTICA_MENS_208005876_RED_2.jpg" TargetMode="External" Id="rId8195"/><Relationship Type="http://schemas.openxmlformats.org/officeDocument/2006/relationships/hyperlink" Target="imagenes/NAUTICA_MENS_208005876_RED_3.jpg" TargetMode="External" Id="rId8196"/><Relationship Type="http://schemas.openxmlformats.org/officeDocument/2006/relationships/hyperlink" Target="imagenes/NAUTICA_MENS_208005876_RED_1.jpg" TargetMode="External" Id="rId8197"/><Relationship Type="http://schemas.openxmlformats.org/officeDocument/2006/relationships/hyperlink" Target="imagenes/NAUTICA_MENS_208005876_RED_2.jpg" TargetMode="External" Id="rId8198"/><Relationship Type="http://schemas.openxmlformats.org/officeDocument/2006/relationships/hyperlink" Target="imagenes/NAUTICA_MENS_208005876_RED_3.jpg" TargetMode="External" Id="rId8199"/><Relationship Type="http://schemas.openxmlformats.org/officeDocument/2006/relationships/hyperlink" Target="imagenes/NAUTICA_MENS_208005876_RED_1.jpg" TargetMode="External" Id="rId8200"/><Relationship Type="http://schemas.openxmlformats.org/officeDocument/2006/relationships/hyperlink" Target="imagenes/NAUTICA_MENS_208005876_RED_2.jpg" TargetMode="External" Id="rId8201"/><Relationship Type="http://schemas.openxmlformats.org/officeDocument/2006/relationships/hyperlink" Target="imagenes/NAUTICA_MENS_208005876_RED_3.jpg" TargetMode="External" Id="rId8202"/><Relationship Type="http://schemas.openxmlformats.org/officeDocument/2006/relationships/hyperlink" Target="imagenes/NAUTICA_MENS_208005876_RED_1.jpg" TargetMode="External" Id="rId8203"/><Relationship Type="http://schemas.openxmlformats.org/officeDocument/2006/relationships/hyperlink" Target="imagenes/NAUTICA_MENS_208005876_RED_2.jpg" TargetMode="External" Id="rId8204"/><Relationship Type="http://schemas.openxmlformats.org/officeDocument/2006/relationships/hyperlink" Target="imagenes/NAUTICA_MENS_208005876_RED_3.jpg" TargetMode="External" Id="rId8205"/><Relationship Type="http://schemas.openxmlformats.org/officeDocument/2006/relationships/hyperlink" Target="imagenes/NAUTICA_MENS_208005876_RED_1.jpg" TargetMode="External" Id="rId8206"/><Relationship Type="http://schemas.openxmlformats.org/officeDocument/2006/relationships/hyperlink" Target="imagenes/NAUTICA_MENS_208005876_RED_2.jpg" TargetMode="External" Id="rId8207"/><Relationship Type="http://schemas.openxmlformats.org/officeDocument/2006/relationships/hyperlink" Target="imagenes/NAUTICA_MENS_208005876_RED_3.jpg" TargetMode="External" Id="rId8208"/><Relationship Type="http://schemas.openxmlformats.org/officeDocument/2006/relationships/hyperlink" Target="imagenes/NAUTICA_MENS_208005876_RED_1.jpg" TargetMode="External" Id="rId8209"/><Relationship Type="http://schemas.openxmlformats.org/officeDocument/2006/relationships/hyperlink" Target="imagenes/NAUTICA_MENS_208005876_RED_2.jpg" TargetMode="External" Id="rId8210"/><Relationship Type="http://schemas.openxmlformats.org/officeDocument/2006/relationships/hyperlink" Target="imagenes/NAUTICA_MENS_208005876_RED_3.jpg" TargetMode="External" Id="rId8211"/><Relationship Type="http://schemas.openxmlformats.org/officeDocument/2006/relationships/hyperlink" Target="imagenes/NAUTICA_MENS_208005876_RED_1.jpg" TargetMode="External" Id="rId8212"/><Relationship Type="http://schemas.openxmlformats.org/officeDocument/2006/relationships/hyperlink" Target="imagenes/NAUTICA_MENS_208005876_RED_2.jpg" TargetMode="External" Id="rId8213"/><Relationship Type="http://schemas.openxmlformats.org/officeDocument/2006/relationships/hyperlink" Target="imagenes/NAUTICA_MENS_208005876_RED_3.jpg" TargetMode="External" Id="rId8214"/><Relationship Type="http://schemas.openxmlformats.org/officeDocument/2006/relationships/hyperlink" Target="imagenes/NAUTICA_MENS_208005876_SFB_1.jpg" TargetMode="External" Id="rId8215"/><Relationship Type="http://schemas.openxmlformats.org/officeDocument/2006/relationships/hyperlink" Target="imagenes/NAUTICA_MENS_208005876_SFB_2.jpg" TargetMode="External" Id="rId8216"/><Relationship Type="http://schemas.openxmlformats.org/officeDocument/2006/relationships/hyperlink" Target="imagenes/NAUTICA_MENS_208005876_SFB_3.jpg" TargetMode="External" Id="rId8217"/><Relationship Type="http://schemas.openxmlformats.org/officeDocument/2006/relationships/hyperlink" Target="imagenes/NAUTICA_MENS_208005876_SFB_1.jpg" TargetMode="External" Id="rId8218"/><Relationship Type="http://schemas.openxmlformats.org/officeDocument/2006/relationships/hyperlink" Target="imagenes/NAUTICA_MENS_208005876_SFB_2.jpg" TargetMode="External" Id="rId8219"/><Relationship Type="http://schemas.openxmlformats.org/officeDocument/2006/relationships/hyperlink" Target="imagenes/NAUTICA_MENS_208005876_SFB_3.jpg" TargetMode="External" Id="rId8220"/><Relationship Type="http://schemas.openxmlformats.org/officeDocument/2006/relationships/hyperlink" Target="imagenes/NAUTICA_MENS_208005876_SFB_1.jpg" TargetMode="External" Id="rId8221"/><Relationship Type="http://schemas.openxmlformats.org/officeDocument/2006/relationships/hyperlink" Target="imagenes/NAUTICA_MENS_208005876_SFB_2.jpg" TargetMode="External" Id="rId8222"/><Relationship Type="http://schemas.openxmlformats.org/officeDocument/2006/relationships/hyperlink" Target="imagenes/NAUTICA_MENS_208005876_SFB_3.jpg" TargetMode="External" Id="rId8223"/><Relationship Type="http://schemas.openxmlformats.org/officeDocument/2006/relationships/hyperlink" Target="imagenes/NAUTICA_MENS_208005876_SFB_1.jpg" TargetMode="External" Id="rId8224"/><Relationship Type="http://schemas.openxmlformats.org/officeDocument/2006/relationships/hyperlink" Target="imagenes/NAUTICA_MENS_208005876_SFB_2.jpg" TargetMode="External" Id="rId8225"/><Relationship Type="http://schemas.openxmlformats.org/officeDocument/2006/relationships/hyperlink" Target="imagenes/NAUTICA_MENS_208005876_SFB_3.jpg" TargetMode="External" Id="rId8226"/><Relationship Type="http://schemas.openxmlformats.org/officeDocument/2006/relationships/hyperlink" Target="imagenes/NAUTICA_MENS_208005876_SFB_1.jpg" TargetMode="External" Id="rId8227"/><Relationship Type="http://schemas.openxmlformats.org/officeDocument/2006/relationships/hyperlink" Target="imagenes/NAUTICA_MENS_208005876_SFB_2.jpg" TargetMode="External" Id="rId8228"/><Relationship Type="http://schemas.openxmlformats.org/officeDocument/2006/relationships/hyperlink" Target="imagenes/NAUTICA_MENS_208005876_SFB_3.jpg" TargetMode="External" Id="rId8229"/><Relationship Type="http://schemas.openxmlformats.org/officeDocument/2006/relationships/hyperlink" Target="imagenes/NAUTICA_MENS_208005876_SFB_1.jpg" TargetMode="External" Id="rId8230"/><Relationship Type="http://schemas.openxmlformats.org/officeDocument/2006/relationships/hyperlink" Target="imagenes/NAUTICA_MENS_208005876_SFB_2.jpg" TargetMode="External" Id="rId8231"/><Relationship Type="http://schemas.openxmlformats.org/officeDocument/2006/relationships/hyperlink" Target="imagenes/NAUTICA_MENS_208005876_SFB_3.jpg" TargetMode="External" Id="rId8232"/><Relationship Type="http://schemas.openxmlformats.org/officeDocument/2006/relationships/hyperlink" Target="imagenes/NAUTICA_MENS_208005876_SFB_1.jpg" TargetMode="External" Id="rId8233"/><Relationship Type="http://schemas.openxmlformats.org/officeDocument/2006/relationships/hyperlink" Target="imagenes/NAUTICA_MENS_208005876_SFB_2.jpg" TargetMode="External" Id="rId8234"/><Relationship Type="http://schemas.openxmlformats.org/officeDocument/2006/relationships/hyperlink" Target="imagenes/NAUTICA_MENS_208005876_SFB_3.jpg" TargetMode="External" Id="rId8235"/><Relationship Type="http://schemas.openxmlformats.org/officeDocument/2006/relationships/hyperlink" Target="imagenes/NAUTICA_MENS_208005876_SFB_1.jpg" TargetMode="External" Id="rId8236"/><Relationship Type="http://schemas.openxmlformats.org/officeDocument/2006/relationships/hyperlink" Target="imagenes/NAUTICA_MENS_208005876_SFB_2.jpg" TargetMode="External" Id="rId8237"/><Relationship Type="http://schemas.openxmlformats.org/officeDocument/2006/relationships/hyperlink" Target="imagenes/NAUTICA_MENS_208005876_SFB_3.jpg" TargetMode="External" Id="rId8238"/><Relationship Type="http://schemas.openxmlformats.org/officeDocument/2006/relationships/hyperlink" Target="imagenes/NAUTICA_MENS_208005876_SFB_1.jpg" TargetMode="External" Id="rId8239"/><Relationship Type="http://schemas.openxmlformats.org/officeDocument/2006/relationships/hyperlink" Target="imagenes/NAUTICA_MENS_208005876_SFB_2.jpg" TargetMode="External" Id="rId8240"/><Relationship Type="http://schemas.openxmlformats.org/officeDocument/2006/relationships/hyperlink" Target="imagenes/NAUTICA_MENS_208005876_SFB_3.jpg" TargetMode="External" Id="rId8241"/><Relationship Type="http://schemas.openxmlformats.org/officeDocument/2006/relationships/hyperlink" Target="imagenes/NAUTICA_MENS_208005876_SFB_1.jpg" TargetMode="External" Id="rId8242"/><Relationship Type="http://schemas.openxmlformats.org/officeDocument/2006/relationships/hyperlink" Target="imagenes/NAUTICA_MENS_208005876_SFB_2.jpg" TargetMode="External" Id="rId8243"/><Relationship Type="http://schemas.openxmlformats.org/officeDocument/2006/relationships/hyperlink" Target="imagenes/NAUTICA_MENS_208005876_SFB_3.jpg" TargetMode="External" Id="rId8244"/><Relationship Type="http://schemas.openxmlformats.org/officeDocument/2006/relationships/hyperlink" Target="imagenes/NAUTICA_MENS_208005876_SFB_1.jpg" TargetMode="External" Id="rId8245"/><Relationship Type="http://schemas.openxmlformats.org/officeDocument/2006/relationships/hyperlink" Target="imagenes/NAUTICA_MENS_208005876_SFB_2.jpg" TargetMode="External" Id="rId8246"/><Relationship Type="http://schemas.openxmlformats.org/officeDocument/2006/relationships/hyperlink" Target="imagenes/NAUTICA_MENS_208005876_SFB_3.jpg" TargetMode="External" Id="rId8247"/><Relationship Type="http://schemas.openxmlformats.org/officeDocument/2006/relationships/hyperlink" Target="imagenes/NAUTICA_MENS_208005876_SFB_1.jpg" TargetMode="External" Id="rId8248"/><Relationship Type="http://schemas.openxmlformats.org/officeDocument/2006/relationships/hyperlink" Target="imagenes/NAUTICA_MENS_208005876_SFB_2.jpg" TargetMode="External" Id="rId8249"/><Relationship Type="http://schemas.openxmlformats.org/officeDocument/2006/relationships/hyperlink" Target="imagenes/NAUTICA_MENS_208005876_SFB_3.jpg" TargetMode="External" Id="rId8250"/><Relationship Type="http://schemas.openxmlformats.org/officeDocument/2006/relationships/hyperlink" Target="imagenes/NAUTICA_MENS_208007574_BLK_1.jpg" TargetMode="External" Id="rId8251"/><Relationship Type="http://schemas.openxmlformats.org/officeDocument/2006/relationships/hyperlink" Target="imagenes/NAUTICA_MENS_208007574_BLK_2.jpg" TargetMode="External" Id="rId8252"/><Relationship Type="http://schemas.openxmlformats.org/officeDocument/2006/relationships/hyperlink" Target="imagenes/NAUTICA_MENS_208007574_BLK_3.jpg" TargetMode="External" Id="rId8253"/><Relationship Type="http://schemas.openxmlformats.org/officeDocument/2006/relationships/hyperlink" Target="imagenes/NAUTICA_MENS_208007574_BLK_1.jpg" TargetMode="External" Id="rId8254"/><Relationship Type="http://schemas.openxmlformats.org/officeDocument/2006/relationships/hyperlink" Target="imagenes/NAUTICA_MENS_208007574_BLK_2.jpg" TargetMode="External" Id="rId8255"/><Relationship Type="http://schemas.openxmlformats.org/officeDocument/2006/relationships/hyperlink" Target="imagenes/NAUTICA_MENS_208007574_BLK_3.jpg" TargetMode="External" Id="rId8256"/><Relationship Type="http://schemas.openxmlformats.org/officeDocument/2006/relationships/hyperlink" Target="imagenes/NAUTICA_MENS_208007574_BLK_1.jpg" TargetMode="External" Id="rId8257"/><Relationship Type="http://schemas.openxmlformats.org/officeDocument/2006/relationships/hyperlink" Target="imagenes/NAUTICA_MENS_208007574_BLK_2.jpg" TargetMode="External" Id="rId8258"/><Relationship Type="http://schemas.openxmlformats.org/officeDocument/2006/relationships/hyperlink" Target="imagenes/NAUTICA_MENS_208007574_BLK_3.jpg" TargetMode="External" Id="rId8259"/><Relationship Type="http://schemas.openxmlformats.org/officeDocument/2006/relationships/hyperlink" Target="imagenes/NAUTICA_MENS_208007574_BLK_1.jpg" TargetMode="External" Id="rId8260"/><Relationship Type="http://schemas.openxmlformats.org/officeDocument/2006/relationships/hyperlink" Target="imagenes/NAUTICA_MENS_208007574_BLK_2.jpg" TargetMode="External" Id="rId8261"/><Relationship Type="http://schemas.openxmlformats.org/officeDocument/2006/relationships/hyperlink" Target="imagenes/NAUTICA_MENS_208007574_BLK_3.jpg" TargetMode="External" Id="rId8262"/><Relationship Type="http://schemas.openxmlformats.org/officeDocument/2006/relationships/hyperlink" Target="imagenes/NAUTICA_MENS_208007574_BLK_1.jpg" TargetMode="External" Id="rId8263"/><Relationship Type="http://schemas.openxmlformats.org/officeDocument/2006/relationships/hyperlink" Target="imagenes/NAUTICA_MENS_208007574_BLK_2.jpg" TargetMode="External" Id="rId8264"/><Relationship Type="http://schemas.openxmlformats.org/officeDocument/2006/relationships/hyperlink" Target="imagenes/NAUTICA_MENS_208007574_BLK_3.jpg" TargetMode="External" Id="rId8265"/><Relationship Type="http://schemas.openxmlformats.org/officeDocument/2006/relationships/hyperlink" Target="imagenes/NAUTICA_MENS_208007574_BLK_1.jpg" TargetMode="External" Id="rId8266"/><Relationship Type="http://schemas.openxmlformats.org/officeDocument/2006/relationships/hyperlink" Target="imagenes/NAUTICA_MENS_208007574_BLK_2.jpg" TargetMode="External" Id="rId8267"/><Relationship Type="http://schemas.openxmlformats.org/officeDocument/2006/relationships/hyperlink" Target="imagenes/NAUTICA_MENS_208007574_BLK_3.jpg" TargetMode="External" Id="rId8268"/><Relationship Type="http://schemas.openxmlformats.org/officeDocument/2006/relationships/hyperlink" Target="imagenes/NAUTICA_MENS_208007574_BLK_1.jpg" TargetMode="External" Id="rId8269"/><Relationship Type="http://schemas.openxmlformats.org/officeDocument/2006/relationships/hyperlink" Target="imagenes/NAUTICA_MENS_208007574_BLK_2.jpg" TargetMode="External" Id="rId8270"/><Relationship Type="http://schemas.openxmlformats.org/officeDocument/2006/relationships/hyperlink" Target="imagenes/NAUTICA_MENS_208007574_BLK_3.jpg" TargetMode="External" Id="rId8271"/><Relationship Type="http://schemas.openxmlformats.org/officeDocument/2006/relationships/hyperlink" Target="imagenes/NAUTICA_MENS_208007574_BLK_1.jpg" TargetMode="External" Id="rId8272"/><Relationship Type="http://schemas.openxmlformats.org/officeDocument/2006/relationships/hyperlink" Target="imagenes/NAUTICA_MENS_208007574_BLK_2.jpg" TargetMode="External" Id="rId8273"/><Relationship Type="http://schemas.openxmlformats.org/officeDocument/2006/relationships/hyperlink" Target="imagenes/NAUTICA_MENS_208007574_BLK_3.jpg" TargetMode="External" Id="rId8274"/><Relationship Type="http://schemas.openxmlformats.org/officeDocument/2006/relationships/hyperlink" Target="imagenes/NAUTICA_MENS_208007574_BLK_1.jpg" TargetMode="External" Id="rId8275"/><Relationship Type="http://schemas.openxmlformats.org/officeDocument/2006/relationships/hyperlink" Target="imagenes/NAUTICA_MENS_208007574_BLK_2.jpg" TargetMode="External" Id="rId8276"/><Relationship Type="http://schemas.openxmlformats.org/officeDocument/2006/relationships/hyperlink" Target="imagenes/NAUTICA_MENS_208007574_BLK_3.jpg" TargetMode="External" Id="rId8277"/><Relationship Type="http://schemas.openxmlformats.org/officeDocument/2006/relationships/hyperlink" Target="imagenes/NAUTICA_MENS_208007574_BLK_1.jpg" TargetMode="External" Id="rId8278"/><Relationship Type="http://schemas.openxmlformats.org/officeDocument/2006/relationships/hyperlink" Target="imagenes/NAUTICA_MENS_208007574_BLK_2.jpg" TargetMode="External" Id="rId8279"/><Relationship Type="http://schemas.openxmlformats.org/officeDocument/2006/relationships/hyperlink" Target="imagenes/NAUTICA_MENS_208007574_BLK_3.jpg" TargetMode="External" Id="rId8280"/><Relationship Type="http://schemas.openxmlformats.org/officeDocument/2006/relationships/hyperlink" Target="imagenes/NAUTICA_MENS_208007574_DFS_1.jpg" TargetMode="External" Id="rId8281"/><Relationship Type="http://schemas.openxmlformats.org/officeDocument/2006/relationships/hyperlink" Target="imagenes/NAUTICA_MENS_208007574_DFS_2.jpg" TargetMode="External" Id="rId8282"/><Relationship Type="http://schemas.openxmlformats.org/officeDocument/2006/relationships/hyperlink" Target="imagenes/NAUTICA_MENS_208007574_DFS_3.jpg" TargetMode="External" Id="rId8283"/><Relationship Type="http://schemas.openxmlformats.org/officeDocument/2006/relationships/hyperlink" Target="imagenes/NAUTICA_MENS_208007574_DFS_1.jpg" TargetMode="External" Id="rId8284"/><Relationship Type="http://schemas.openxmlformats.org/officeDocument/2006/relationships/hyperlink" Target="imagenes/NAUTICA_MENS_208007574_DFS_2.jpg" TargetMode="External" Id="rId8285"/><Relationship Type="http://schemas.openxmlformats.org/officeDocument/2006/relationships/hyperlink" Target="imagenes/NAUTICA_MENS_208007574_DFS_3.jpg" TargetMode="External" Id="rId8286"/><Relationship Type="http://schemas.openxmlformats.org/officeDocument/2006/relationships/hyperlink" Target="imagenes/NAUTICA_MENS_208007574_DFS_1.jpg" TargetMode="External" Id="rId8287"/><Relationship Type="http://schemas.openxmlformats.org/officeDocument/2006/relationships/hyperlink" Target="imagenes/NAUTICA_MENS_208007574_DFS_2.jpg" TargetMode="External" Id="rId8288"/><Relationship Type="http://schemas.openxmlformats.org/officeDocument/2006/relationships/hyperlink" Target="imagenes/NAUTICA_MENS_208007574_DFS_3.jpg" TargetMode="External" Id="rId8289"/><Relationship Type="http://schemas.openxmlformats.org/officeDocument/2006/relationships/hyperlink" Target="imagenes/NAUTICA_MENS_208007574_DFS_1.jpg" TargetMode="External" Id="rId8290"/><Relationship Type="http://schemas.openxmlformats.org/officeDocument/2006/relationships/hyperlink" Target="imagenes/NAUTICA_MENS_208007574_DFS_2.jpg" TargetMode="External" Id="rId8291"/><Relationship Type="http://schemas.openxmlformats.org/officeDocument/2006/relationships/hyperlink" Target="imagenes/NAUTICA_MENS_208007574_DFS_3.jpg" TargetMode="External" Id="rId8292"/><Relationship Type="http://schemas.openxmlformats.org/officeDocument/2006/relationships/hyperlink" Target="imagenes/NAUTICA_MENS_208007574_DFS_1.jpg" TargetMode="External" Id="rId8293"/><Relationship Type="http://schemas.openxmlformats.org/officeDocument/2006/relationships/hyperlink" Target="imagenes/NAUTICA_MENS_208007574_DFS_2.jpg" TargetMode="External" Id="rId8294"/><Relationship Type="http://schemas.openxmlformats.org/officeDocument/2006/relationships/hyperlink" Target="imagenes/NAUTICA_MENS_208007574_DFS_3.jpg" TargetMode="External" Id="rId8295"/><Relationship Type="http://schemas.openxmlformats.org/officeDocument/2006/relationships/hyperlink" Target="imagenes/NAUTICA_MENS_208007574_DFS_1.jpg" TargetMode="External" Id="rId8296"/><Relationship Type="http://schemas.openxmlformats.org/officeDocument/2006/relationships/hyperlink" Target="imagenes/NAUTICA_MENS_208007574_DFS_2.jpg" TargetMode="External" Id="rId8297"/><Relationship Type="http://schemas.openxmlformats.org/officeDocument/2006/relationships/hyperlink" Target="imagenes/NAUTICA_MENS_208007574_DFS_3.jpg" TargetMode="External" Id="rId8298"/><Relationship Type="http://schemas.openxmlformats.org/officeDocument/2006/relationships/hyperlink" Target="imagenes/NAUTICA_MENS_208007574_DFS_1.jpg" TargetMode="External" Id="rId8299"/><Relationship Type="http://schemas.openxmlformats.org/officeDocument/2006/relationships/hyperlink" Target="imagenes/NAUTICA_MENS_208007574_DFS_2.jpg" TargetMode="External" Id="rId8300"/><Relationship Type="http://schemas.openxmlformats.org/officeDocument/2006/relationships/hyperlink" Target="imagenes/NAUTICA_MENS_208007574_DFS_3.jpg" TargetMode="External" Id="rId8301"/><Relationship Type="http://schemas.openxmlformats.org/officeDocument/2006/relationships/hyperlink" Target="imagenes/NAUTICA_MENS_208007574_DFS_1.jpg" TargetMode="External" Id="rId8302"/><Relationship Type="http://schemas.openxmlformats.org/officeDocument/2006/relationships/hyperlink" Target="imagenes/NAUTICA_MENS_208007574_DFS_2.jpg" TargetMode="External" Id="rId8303"/><Relationship Type="http://schemas.openxmlformats.org/officeDocument/2006/relationships/hyperlink" Target="imagenes/NAUTICA_MENS_208007574_DFS_3.jpg" TargetMode="External" Id="rId8304"/><Relationship Type="http://schemas.openxmlformats.org/officeDocument/2006/relationships/hyperlink" Target="imagenes/NAUTICA_MENS_208007574_DFS_1.jpg" TargetMode="External" Id="rId8305"/><Relationship Type="http://schemas.openxmlformats.org/officeDocument/2006/relationships/hyperlink" Target="imagenes/NAUTICA_MENS_208007574_DFS_2.jpg" TargetMode="External" Id="rId8306"/><Relationship Type="http://schemas.openxmlformats.org/officeDocument/2006/relationships/hyperlink" Target="imagenes/NAUTICA_MENS_208007574_DFS_3.jpg" TargetMode="External" Id="rId8307"/><Relationship Type="http://schemas.openxmlformats.org/officeDocument/2006/relationships/hyperlink" Target="imagenes/NAUTICA_MENS_208007574_DFS_1.jpg" TargetMode="External" Id="rId8308"/><Relationship Type="http://schemas.openxmlformats.org/officeDocument/2006/relationships/hyperlink" Target="imagenes/NAUTICA_MENS_208007574_DFS_2.jpg" TargetMode="External" Id="rId8309"/><Relationship Type="http://schemas.openxmlformats.org/officeDocument/2006/relationships/hyperlink" Target="imagenes/NAUTICA_MENS_208007574_DFS_3.jpg" TargetMode="External" Id="rId8310"/><Relationship Type="http://schemas.openxmlformats.org/officeDocument/2006/relationships/hyperlink" Target="imagenes/NAUTICA_MENS_208007574_TAU_1.jpg" TargetMode="External" Id="rId8311"/><Relationship Type="http://schemas.openxmlformats.org/officeDocument/2006/relationships/hyperlink" Target="imagenes/NAUTICA_MENS_208007574_TAU_2.jpg" TargetMode="External" Id="rId8312"/><Relationship Type="http://schemas.openxmlformats.org/officeDocument/2006/relationships/hyperlink" Target="imagenes/NAUTICA_MENS_208007574_TAU_3.jpg" TargetMode="External" Id="rId8313"/><Relationship Type="http://schemas.openxmlformats.org/officeDocument/2006/relationships/hyperlink" Target="imagenes/NAUTICA_MENS_208007574_TAU_1.jpg" TargetMode="External" Id="rId8314"/><Relationship Type="http://schemas.openxmlformats.org/officeDocument/2006/relationships/hyperlink" Target="imagenes/NAUTICA_MENS_208007574_TAU_2.jpg" TargetMode="External" Id="rId8315"/><Relationship Type="http://schemas.openxmlformats.org/officeDocument/2006/relationships/hyperlink" Target="imagenes/NAUTICA_MENS_208007574_TAU_3.jpg" TargetMode="External" Id="rId8316"/><Relationship Type="http://schemas.openxmlformats.org/officeDocument/2006/relationships/hyperlink" Target="imagenes/NAUTICA_MENS_208007574_TAU_1.jpg" TargetMode="External" Id="rId8317"/><Relationship Type="http://schemas.openxmlformats.org/officeDocument/2006/relationships/hyperlink" Target="imagenes/NAUTICA_MENS_208007574_TAU_2.jpg" TargetMode="External" Id="rId8318"/><Relationship Type="http://schemas.openxmlformats.org/officeDocument/2006/relationships/hyperlink" Target="imagenes/NAUTICA_MENS_208007574_TAU_3.jpg" TargetMode="External" Id="rId8319"/><Relationship Type="http://schemas.openxmlformats.org/officeDocument/2006/relationships/hyperlink" Target="imagenes/NAUTICA_MENS_208007574_TAU_1.jpg" TargetMode="External" Id="rId8320"/><Relationship Type="http://schemas.openxmlformats.org/officeDocument/2006/relationships/hyperlink" Target="imagenes/NAUTICA_MENS_208007574_TAU_2.jpg" TargetMode="External" Id="rId8321"/><Relationship Type="http://schemas.openxmlformats.org/officeDocument/2006/relationships/hyperlink" Target="imagenes/NAUTICA_MENS_208007574_TAU_3.jpg" TargetMode="External" Id="rId8322"/><Relationship Type="http://schemas.openxmlformats.org/officeDocument/2006/relationships/hyperlink" Target="imagenes/NAUTICA_MENS_208007574_TAU_1.jpg" TargetMode="External" Id="rId8323"/><Relationship Type="http://schemas.openxmlformats.org/officeDocument/2006/relationships/hyperlink" Target="imagenes/NAUTICA_MENS_208007574_TAU_2.jpg" TargetMode="External" Id="rId8324"/><Relationship Type="http://schemas.openxmlformats.org/officeDocument/2006/relationships/hyperlink" Target="imagenes/NAUTICA_MENS_208007574_TAU_3.jpg" TargetMode="External" Id="rId8325"/><Relationship Type="http://schemas.openxmlformats.org/officeDocument/2006/relationships/hyperlink" Target="imagenes/NAUTICA_MENS_208007574_TAU_1.jpg" TargetMode="External" Id="rId8326"/><Relationship Type="http://schemas.openxmlformats.org/officeDocument/2006/relationships/hyperlink" Target="imagenes/NAUTICA_MENS_208007574_TAU_2.jpg" TargetMode="External" Id="rId8327"/><Relationship Type="http://schemas.openxmlformats.org/officeDocument/2006/relationships/hyperlink" Target="imagenes/NAUTICA_MENS_208007574_TAU_3.jpg" TargetMode="External" Id="rId8328"/><Relationship Type="http://schemas.openxmlformats.org/officeDocument/2006/relationships/hyperlink" Target="imagenes/NAUTICA_MENS_208007574_TAU_1.jpg" TargetMode="External" Id="rId8329"/><Relationship Type="http://schemas.openxmlformats.org/officeDocument/2006/relationships/hyperlink" Target="imagenes/NAUTICA_MENS_208007574_TAU_2.jpg" TargetMode="External" Id="rId8330"/><Relationship Type="http://schemas.openxmlformats.org/officeDocument/2006/relationships/hyperlink" Target="imagenes/NAUTICA_MENS_208007574_TAU_3.jpg" TargetMode="External" Id="rId8331"/><Relationship Type="http://schemas.openxmlformats.org/officeDocument/2006/relationships/hyperlink" Target="imagenes/NAUTICA_MENS_208007574_TAU_1.jpg" TargetMode="External" Id="rId8332"/><Relationship Type="http://schemas.openxmlformats.org/officeDocument/2006/relationships/hyperlink" Target="imagenes/NAUTICA_MENS_208007574_TAU_2.jpg" TargetMode="External" Id="rId8333"/><Relationship Type="http://schemas.openxmlformats.org/officeDocument/2006/relationships/hyperlink" Target="imagenes/NAUTICA_MENS_208007574_TAU_3.jpg" TargetMode="External" Id="rId8334"/><Relationship Type="http://schemas.openxmlformats.org/officeDocument/2006/relationships/hyperlink" Target="imagenes/NAUTICA_MENS_208007574_TAU_1.jpg" TargetMode="External" Id="rId8335"/><Relationship Type="http://schemas.openxmlformats.org/officeDocument/2006/relationships/hyperlink" Target="imagenes/NAUTICA_MENS_208007574_TAU_2.jpg" TargetMode="External" Id="rId8336"/><Relationship Type="http://schemas.openxmlformats.org/officeDocument/2006/relationships/hyperlink" Target="imagenes/NAUTICA_MENS_208007574_TAU_3.jpg" TargetMode="External" Id="rId8337"/><Relationship Type="http://schemas.openxmlformats.org/officeDocument/2006/relationships/hyperlink" Target="imagenes/NAUTICA_MENS_208007574_TAU_1.jpg" TargetMode="External" Id="rId8338"/><Relationship Type="http://schemas.openxmlformats.org/officeDocument/2006/relationships/hyperlink" Target="imagenes/NAUTICA_MENS_208007574_TAU_2.jpg" TargetMode="External" Id="rId8339"/><Relationship Type="http://schemas.openxmlformats.org/officeDocument/2006/relationships/hyperlink" Target="imagenes/NAUTICA_MENS_208007574_TAU_3.jpg" TargetMode="External" Id="rId8340"/><Relationship Type="http://schemas.openxmlformats.org/officeDocument/2006/relationships/hyperlink" Target="imagenes/NAUTICA_MENS_208007850_TRK_1.jpg" TargetMode="External" Id="rId8341"/><Relationship Type="http://schemas.openxmlformats.org/officeDocument/2006/relationships/hyperlink" Target="imagenes/NAUTICA_MENS_208007850_TRK_2.jpg" TargetMode="External" Id="rId8342"/><Relationship Type="http://schemas.openxmlformats.org/officeDocument/2006/relationships/hyperlink" Target="imagenes/NAUTICA_MENS_208007850_TRK_3.jpg" TargetMode="External" Id="rId8343"/><Relationship Type="http://schemas.openxmlformats.org/officeDocument/2006/relationships/hyperlink" Target="imagenes/NAUTICA_MENS_208007876_BLK_1.jpg" TargetMode="External" Id="rId8344"/><Relationship Type="http://schemas.openxmlformats.org/officeDocument/2006/relationships/hyperlink" Target="imagenes/NAUTICA_MENS_208007876_BLK_2.jpg" TargetMode="External" Id="rId8345"/><Relationship Type="http://schemas.openxmlformats.org/officeDocument/2006/relationships/hyperlink" Target="imagenes/NAUTICA_MENS_208007876_BLK_3.jpg" TargetMode="External" Id="rId8346"/><Relationship Type="http://schemas.openxmlformats.org/officeDocument/2006/relationships/hyperlink" Target="imagenes/NAUTICA_MENS_208007876_BLK_1.jpg" TargetMode="External" Id="rId8347"/><Relationship Type="http://schemas.openxmlformats.org/officeDocument/2006/relationships/hyperlink" Target="imagenes/NAUTICA_MENS_208007876_BLK_2.jpg" TargetMode="External" Id="rId8348"/><Relationship Type="http://schemas.openxmlformats.org/officeDocument/2006/relationships/hyperlink" Target="imagenes/NAUTICA_MENS_208007876_BLK_3.jpg" TargetMode="External" Id="rId8349"/><Relationship Type="http://schemas.openxmlformats.org/officeDocument/2006/relationships/hyperlink" Target="imagenes/NAUTICA_MENS_208007876_BLK_1.jpg" TargetMode="External" Id="rId8350"/><Relationship Type="http://schemas.openxmlformats.org/officeDocument/2006/relationships/hyperlink" Target="imagenes/NAUTICA_MENS_208007876_BLK_2.jpg" TargetMode="External" Id="rId8351"/><Relationship Type="http://schemas.openxmlformats.org/officeDocument/2006/relationships/hyperlink" Target="imagenes/NAUTICA_MENS_208007876_BLK_3.jpg" TargetMode="External" Id="rId8352"/><Relationship Type="http://schemas.openxmlformats.org/officeDocument/2006/relationships/hyperlink" Target="imagenes/NAUTICA_MENS_208007876_BLK_1.jpg" TargetMode="External" Id="rId8353"/><Relationship Type="http://schemas.openxmlformats.org/officeDocument/2006/relationships/hyperlink" Target="imagenes/NAUTICA_MENS_208007876_BLK_2.jpg" TargetMode="External" Id="rId8354"/><Relationship Type="http://schemas.openxmlformats.org/officeDocument/2006/relationships/hyperlink" Target="imagenes/NAUTICA_MENS_208007876_BLK_3.jpg" TargetMode="External" Id="rId8355"/><Relationship Type="http://schemas.openxmlformats.org/officeDocument/2006/relationships/hyperlink" Target="imagenes/NAUTICA_MENS_208007876_BLK_1.jpg" TargetMode="External" Id="rId8356"/><Relationship Type="http://schemas.openxmlformats.org/officeDocument/2006/relationships/hyperlink" Target="imagenes/NAUTICA_MENS_208007876_BLK_2.jpg" TargetMode="External" Id="rId8357"/><Relationship Type="http://schemas.openxmlformats.org/officeDocument/2006/relationships/hyperlink" Target="imagenes/NAUTICA_MENS_208007876_BLK_3.jpg" TargetMode="External" Id="rId8358"/><Relationship Type="http://schemas.openxmlformats.org/officeDocument/2006/relationships/hyperlink" Target="imagenes/NAUTICA_MENS_208007876_BLK_1.jpg" TargetMode="External" Id="rId8359"/><Relationship Type="http://schemas.openxmlformats.org/officeDocument/2006/relationships/hyperlink" Target="imagenes/NAUTICA_MENS_208007876_BLK_2.jpg" TargetMode="External" Id="rId8360"/><Relationship Type="http://schemas.openxmlformats.org/officeDocument/2006/relationships/hyperlink" Target="imagenes/NAUTICA_MENS_208007876_BLK_3.jpg" TargetMode="External" Id="rId8361"/><Relationship Type="http://schemas.openxmlformats.org/officeDocument/2006/relationships/hyperlink" Target="imagenes/NAUTICA_MENS_208007876_BPR_1.jpg" TargetMode="External" Id="rId8362"/><Relationship Type="http://schemas.openxmlformats.org/officeDocument/2006/relationships/hyperlink" Target="imagenes/NAUTICA_MENS_208007876_BPR_2.jpg" TargetMode="External" Id="rId8363"/><Relationship Type="http://schemas.openxmlformats.org/officeDocument/2006/relationships/hyperlink" Target="imagenes/NAUTICA_MENS_208007876_BPR_3.jpg" TargetMode="External" Id="rId8364"/><Relationship Type="http://schemas.openxmlformats.org/officeDocument/2006/relationships/hyperlink" Target="imagenes/NAUTICA_MENS_208007876_BPR_1.jpg" TargetMode="External" Id="rId8365"/><Relationship Type="http://schemas.openxmlformats.org/officeDocument/2006/relationships/hyperlink" Target="imagenes/NAUTICA_MENS_208007876_BPR_2.jpg" TargetMode="External" Id="rId8366"/><Relationship Type="http://schemas.openxmlformats.org/officeDocument/2006/relationships/hyperlink" Target="imagenes/NAUTICA_MENS_208007876_BPR_3.jpg" TargetMode="External" Id="rId8367"/><Relationship Type="http://schemas.openxmlformats.org/officeDocument/2006/relationships/hyperlink" Target="imagenes/NAUTICA_MENS_208007876_BPR_1.jpg" TargetMode="External" Id="rId8368"/><Relationship Type="http://schemas.openxmlformats.org/officeDocument/2006/relationships/hyperlink" Target="imagenes/NAUTICA_MENS_208007876_BPR_2.jpg" TargetMode="External" Id="rId8369"/><Relationship Type="http://schemas.openxmlformats.org/officeDocument/2006/relationships/hyperlink" Target="imagenes/NAUTICA_MENS_208007876_BPR_3.jpg" TargetMode="External" Id="rId8370"/><Relationship Type="http://schemas.openxmlformats.org/officeDocument/2006/relationships/hyperlink" Target="imagenes/NAUTICA_MENS_208007876_BPR_1.jpg" TargetMode="External" Id="rId8371"/><Relationship Type="http://schemas.openxmlformats.org/officeDocument/2006/relationships/hyperlink" Target="imagenes/NAUTICA_MENS_208007876_BPR_2.jpg" TargetMode="External" Id="rId8372"/><Relationship Type="http://schemas.openxmlformats.org/officeDocument/2006/relationships/hyperlink" Target="imagenes/NAUTICA_MENS_208007876_BPR_3.jpg" TargetMode="External" Id="rId8373"/><Relationship Type="http://schemas.openxmlformats.org/officeDocument/2006/relationships/hyperlink" Target="imagenes/NAUTICA_MENS_208007876_BPR_1.jpg" TargetMode="External" Id="rId8374"/><Relationship Type="http://schemas.openxmlformats.org/officeDocument/2006/relationships/hyperlink" Target="imagenes/NAUTICA_MENS_208007876_BPR_2.jpg" TargetMode="External" Id="rId8375"/><Relationship Type="http://schemas.openxmlformats.org/officeDocument/2006/relationships/hyperlink" Target="imagenes/NAUTICA_MENS_208007876_BPR_3.jpg" TargetMode="External" Id="rId8376"/><Relationship Type="http://schemas.openxmlformats.org/officeDocument/2006/relationships/hyperlink" Target="imagenes/NAUTICA_MENS_208007876_BPR_1.jpg" TargetMode="External" Id="rId8377"/><Relationship Type="http://schemas.openxmlformats.org/officeDocument/2006/relationships/hyperlink" Target="imagenes/NAUTICA_MENS_208007876_BPR_2.jpg" TargetMode="External" Id="rId8378"/><Relationship Type="http://schemas.openxmlformats.org/officeDocument/2006/relationships/hyperlink" Target="imagenes/NAUTICA_MENS_208007876_BPR_3.jpg" TargetMode="External" Id="rId8379"/><Relationship Type="http://schemas.openxmlformats.org/officeDocument/2006/relationships/hyperlink" Target="imagenes/NAUTICA_MENS_208007876_BPR_1.jpg" TargetMode="External" Id="rId8380"/><Relationship Type="http://schemas.openxmlformats.org/officeDocument/2006/relationships/hyperlink" Target="imagenes/NAUTICA_MENS_208007876_BPR_2.jpg" TargetMode="External" Id="rId8381"/><Relationship Type="http://schemas.openxmlformats.org/officeDocument/2006/relationships/hyperlink" Target="imagenes/NAUTICA_MENS_208007876_BPR_3.jpg" TargetMode="External" Id="rId8382"/><Relationship Type="http://schemas.openxmlformats.org/officeDocument/2006/relationships/hyperlink" Target="imagenes/NAUTICA_MENS_208007876_BPR_1.jpg" TargetMode="External" Id="rId8383"/><Relationship Type="http://schemas.openxmlformats.org/officeDocument/2006/relationships/hyperlink" Target="imagenes/NAUTICA_MENS_208007876_BPR_2.jpg" TargetMode="External" Id="rId8384"/><Relationship Type="http://schemas.openxmlformats.org/officeDocument/2006/relationships/hyperlink" Target="imagenes/NAUTICA_MENS_208007876_BPR_3.jpg" TargetMode="External" Id="rId8385"/><Relationship Type="http://schemas.openxmlformats.org/officeDocument/2006/relationships/hyperlink" Target="imagenes/NAUTICA_MENS_208007876_RED_1.jpg" TargetMode="External" Id="rId8386"/><Relationship Type="http://schemas.openxmlformats.org/officeDocument/2006/relationships/hyperlink" Target="imagenes/NAUTICA_MENS_208007876_RED_2.jpg" TargetMode="External" Id="rId8387"/><Relationship Type="http://schemas.openxmlformats.org/officeDocument/2006/relationships/hyperlink" Target="imagenes/NAUTICA_MENS_208007876_RED_3.jpg" TargetMode="External" Id="rId8388"/><Relationship Type="http://schemas.openxmlformats.org/officeDocument/2006/relationships/hyperlink" Target="imagenes/NAUTICA_MENS_208007876_RED_1.jpg" TargetMode="External" Id="rId8389"/><Relationship Type="http://schemas.openxmlformats.org/officeDocument/2006/relationships/hyperlink" Target="imagenes/NAUTICA_MENS_208007876_RED_2.jpg" TargetMode="External" Id="rId8390"/><Relationship Type="http://schemas.openxmlformats.org/officeDocument/2006/relationships/hyperlink" Target="imagenes/NAUTICA_MENS_208007876_RED_3.jpg" TargetMode="External" Id="rId8391"/><Relationship Type="http://schemas.openxmlformats.org/officeDocument/2006/relationships/hyperlink" Target="imagenes/NAUTICA_MENS_208007876_RED_1.jpg" TargetMode="External" Id="rId8392"/><Relationship Type="http://schemas.openxmlformats.org/officeDocument/2006/relationships/hyperlink" Target="imagenes/NAUTICA_MENS_208007876_RED_2.jpg" TargetMode="External" Id="rId8393"/><Relationship Type="http://schemas.openxmlformats.org/officeDocument/2006/relationships/hyperlink" Target="imagenes/NAUTICA_MENS_208007876_RED_3.jpg" TargetMode="External" Id="rId8394"/><Relationship Type="http://schemas.openxmlformats.org/officeDocument/2006/relationships/hyperlink" Target="imagenes/NAUTICA_MENS_208007876_RED_1.jpg" TargetMode="External" Id="rId8395"/><Relationship Type="http://schemas.openxmlformats.org/officeDocument/2006/relationships/hyperlink" Target="imagenes/NAUTICA_MENS_208007876_RED_2.jpg" TargetMode="External" Id="rId8396"/><Relationship Type="http://schemas.openxmlformats.org/officeDocument/2006/relationships/hyperlink" Target="imagenes/NAUTICA_MENS_208007876_RED_3.jpg" TargetMode="External" Id="rId8397"/><Relationship Type="http://schemas.openxmlformats.org/officeDocument/2006/relationships/hyperlink" Target="imagenes/NAUTICA_MENS_208007876_RED_1.jpg" TargetMode="External" Id="rId8398"/><Relationship Type="http://schemas.openxmlformats.org/officeDocument/2006/relationships/hyperlink" Target="imagenes/NAUTICA_MENS_208007876_RED_2.jpg" TargetMode="External" Id="rId8399"/><Relationship Type="http://schemas.openxmlformats.org/officeDocument/2006/relationships/hyperlink" Target="imagenes/NAUTICA_MENS_208007876_RED_3.jpg" TargetMode="External" Id="rId8400"/><Relationship Type="http://schemas.openxmlformats.org/officeDocument/2006/relationships/hyperlink" Target="imagenes/NAUTICA_MENS_208007876_RED_1.jpg" TargetMode="External" Id="rId8401"/><Relationship Type="http://schemas.openxmlformats.org/officeDocument/2006/relationships/hyperlink" Target="imagenes/NAUTICA_MENS_208007876_RED_2.jpg" TargetMode="External" Id="rId8402"/><Relationship Type="http://schemas.openxmlformats.org/officeDocument/2006/relationships/hyperlink" Target="imagenes/NAUTICA_MENS_208007876_RED_3.jpg" TargetMode="External" Id="rId8403"/><Relationship Type="http://schemas.openxmlformats.org/officeDocument/2006/relationships/hyperlink" Target="imagenes/NAUTICA_MENS_208007876_RED_1.jpg" TargetMode="External" Id="rId8404"/><Relationship Type="http://schemas.openxmlformats.org/officeDocument/2006/relationships/hyperlink" Target="imagenes/NAUTICA_MENS_208007876_RED_2.jpg" TargetMode="External" Id="rId8405"/><Relationship Type="http://schemas.openxmlformats.org/officeDocument/2006/relationships/hyperlink" Target="imagenes/NAUTICA_MENS_208007876_RED_3.jpg" TargetMode="External" Id="rId8406"/><Relationship Type="http://schemas.openxmlformats.org/officeDocument/2006/relationships/hyperlink" Target="imagenes/NAUTICA_MENS_208007876_RED_1.jpg" TargetMode="External" Id="rId8407"/><Relationship Type="http://schemas.openxmlformats.org/officeDocument/2006/relationships/hyperlink" Target="imagenes/NAUTICA_MENS_208007876_RED_2.jpg" TargetMode="External" Id="rId8408"/><Relationship Type="http://schemas.openxmlformats.org/officeDocument/2006/relationships/hyperlink" Target="imagenes/NAUTICA_MENS_208007876_RED_3.jpg" TargetMode="External" Id="rId8409"/><Relationship Type="http://schemas.openxmlformats.org/officeDocument/2006/relationships/hyperlink" Target="imagenes/NAUTICA_MENS_208007877_BLK_1.jpg" TargetMode="External" Id="rId8410"/><Relationship Type="http://schemas.openxmlformats.org/officeDocument/2006/relationships/hyperlink" Target="imagenes/NAUTICA_MENS_208007877_BLK_2.jpg" TargetMode="External" Id="rId8411"/><Relationship Type="http://schemas.openxmlformats.org/officeDocument/2006/relationships/hyperlink" Target="imagenes/NAUTICA_MENS_208007877_BLK_3.jpg" TargetMode="External" Id="rId8412"/><Relationship Type="http://schemas.openxmlformats.org/officeDocument/2006/relationships/hyperlink" Target="imagenes/NAUTICA_MENS_208007877_BLK_1.jpg" TargetMode="External" Id="rId8413"/><Relationship Type="http://schemas.openxmlformats.org/officeDocument/2006/relationships/hyperlink" Target="imagenes/NAUTICA_MENS_208007877_BLK_2.jpg" TargetMode="External" Id="rId8414"/><Relationship Type="http://schemas.openxmlformats.org/officeDocument/2006/relationships/hyperlink" Target="imagenes/NAUTICA_MENS_208007877_BLK_3.jpg" TargetMode="External" Id="rId8415"/><Relationship Type="http://schemas.openxmlformats.org/officeDocument/2006/relationships/hyperlink" Target="imagenes/NAUTICA_MENS_208007877_BPR_1.jpg" TargetMode="External" Id="rId8416"/><Relationship Type="http://schemas.openxmlformats.org/officeDocument/2006/relationships/hyperlink" Target="imagenes/NAUTICA_MENS_208007877_BPR_2.jpg" TargetMode="External" Id="rId8417"/><Relationship Type="http://schemas.openxmlformats.org/officeDocument/2006/relationships/hyperlink" Target="imagenes/NAUTICA_MENS_208007877_BPR_3.jpg" TargetMode="External" Id="rId8418"/><Relationship Type="http://schemas.openxmlformats.org/officeDocument/2006/relationships/hyperlink" Target="imagenes/NAUTICA_MENS_208007877_BPR_1.jpg" TargetMode="External" Id="rId8419"/><Relationship Type="http://schemas.openxmlformats.org/officeDocument/2006/relationships/hyperlink" Target="imagenes/NAUTICA_MENS_208007877_BPR_2.jpg" TargetMode="External" Id="rId8420"/><Relationship Type="http://schemas.openxmlformats.org/officeDocument/2006/relationships/hyperlink" Target="imagenes/NAUTICA_MENS_208007877_BPR_3.jpg" TargetMode="External" Id="rId8421"/><Relationship Type="http://schemas.openxmlformats.org/officeDocument/2006/relationships/hyperlink" Target="imagenes/NAUTICA_MENS_208007877_BPR_1.jpg" TargetMode="External" Id="rId8422"/><Relationship Type="http://schemas.openxmlformats.org/officeDocument/2006/relationships/hyperlink" Target="imagenes/NAUTICA_MENS_208007877_BPR_2.jpg" TargetMode="External" Id="rId8423"/><Relationship Type="http://schemas.openxmlformats.org/officeDocument/2006/relationships/hyperlink" Target="imagenes/NAUTICA_MENS_208007877_BPR_3.jpg" TargetMode="External" Id="rId8424"/><Relationship Type="http://schemas.openxmlformats.org/officeDocument/2006/relationships/hyperlink" Target="imagenes/NAUTICA_MENS_208007877_BPR_1.jpg" TargetMode="External" Id="rId8425"/><Relationship Type="http://schemas.openxmlformats.org/officeDocument/2006/relationships/hyperlink" Target="imagenes/NAUTICA_MENS_208007877_BPR_2.jpg" TargetMode="External" Id="rId8426"/><Relationship Type="http://schemas.openxmlformats.org/officeDocument/2006/relationships/hyperlink" Target="imagenes/NAUTICA_MENS_208007877_BPR_3.jpg" TargetMode="External" Id="rId8427"/><Relationship Type="http://schemas.openxmlformats.org/officeDocument/2006/relationships/hyperlink" Target="imagenes/NAUTICA_MENS_208007877_BPR_1.jpg" TargetMode="External" Id="rId8428"/><Relationship Type="http://schemas.openxmlformats.org/officeDocument/2006/relationships/hyperlink" Target="imagenes/NAUTICA_MENS_208007877_BPR_2.jpg" TargetMode="External" Id="rId8429"/><Relationship Type="http://schemas.openxmlformats.org/officeDocument/2006/relationships/hyperlink" Target="imagenes/NAUTICA_MENS_208007877_BPR_3.jpg" TargetMode="External" Id="rId8430"/><Relationship Type="http://schemas.openxmlformats.org/officeDocument/2006/relationships/hyperlink" Target="imagenes/NAUTICA_MENS_208007877_BPR_1.jpg" TargetMode="External" Id="rId8431"/><Relationship Type="http://schemas.openxmlformats.org/officeDocument/2006/relationships/hyperlink" Target="imagenes/NAUTICA_MENS_208007877_BPR_2.jpg" TargetMode="External" Id="rId8432"/><Relationship Type="http://schemas.openxmlformats.org/officeDocument/2006/relationships/hyperlink" Target="imagenes/NAUTICA_MENS_208007877_BPR_3.jpg" TargetMode="External" Id="rId8433"/><Relationship Type="http://schemas.openxmlformats.org/officeDocument/2006/relationships/hyperlink" Target="imagenes/NAUTICA_MENS_208007877_BPR_1.jpg" TargetMode="External" Id="rId8434"/><Relationship Type="http://schemas.openxmlformats.org/officeDocument/2006/relationships/hyperlink" Target="imagenes/NAUTICA_MENS_208007877_BPR_2.jpg" TargetMode="External" Id="rId8435"/><Relationship Type="http://schemas.openxmlformats.org/officeDocument/2006/relationships/hyperlink" Target="imagenes/NAUTICA_MENS_208007877_BPR_3.jpg" TargetMode="External" Id="rId8436"/><Relationship Type="http://schemas.openxmlformats.org/officeDocument/2006/relationships/hyperlink" Target="imagenes/NAUTICA_MENS_208007877_BPR_1.jpg" TargetMode="External" Id="rId8437"/><Relationship Type="http://schemas.openxmlformats.org/officeDocument/2006/relationships/hyperlink" Target="imagenes/NAUTICA_MENS_208007877_BPR_2.jpg" TargetMode="External" Id="rId8438"/><Relationship Type="http://schemas.openxmlformats.org/officeDocument/2006/relationships/hyperlink" Target="imagenes/NAUTICA_MENS_208007877_BPR_3.jpg" TargetMode="External" Id="rId8439"/><Relationship Type="http://schemas.openxmlformats.org/officeDocument/2006/relationships/hyperlink" Target="imagenes/NAUTICA_MENS_208007877_BPR_1.jpg" TargetMode="External" Id="rId8440"/><Relationship Type="http://schemas.openxmlformats.org/officeDocument/2006/relationships/hyperlink" Target="imagenes/NAUTICA_MENS_208007877_BPR_2.jpg" TargetMode="External" Id="rId8441"/><Relationship Type="http://schemas.openxmlformats.org/officeDocument/2006/relationships/hyperlink" Target="imagenes/NAUTICA_MENS_208007877_BPR_3.jpg" TargetMode="External" Id="rId8442"/><Relationship Type="http://schemas.openxmlformats.org/officeDocument/2006/relationships/hyperlink" Target="imagenes/NAUTICA_MENS_208007877_RED_1.jpg" TargetMode="External" Id="rId8443"/><Relationship Type="http://schemas.openxmlformats.org/officeDocument/2006/relationships/hyperlink" Target="imagenes/NAUTICA_MENS_208007877_RED_2.jpg" TargetMode="External" Id="rId8444"/><Relationship Type="http://schemas.openxmlformats.org/officeDocument/2006/relationships/hyperlink" Target="imagenes/NAUTICA_MENS_208007877_RED_3.jpg" TargetMode="External" Id="rId8445"/><Relationship Type="http://schemas.openxmlformats.org/officeDocument/2006/relationships/hyperlink" Target="imagenes/NAUTICA_MENS_208007877_RED_1.jpg" TargetMode="External" Id="rId8446"/><Relationship Type="http://schemas.openxmlformats.org/officeDocument/2006/relationships/hyperlink" Target="imagenes/NAUTICA_MENS_208007877_RED_2.jpg" TargetMode="External" Id="rId8447"/><Relationship Type="http://schemas.openxmlformats.org/officeDocument/2006/relationships/hyperlink" Target="imagenes/NAUTICA_MENS_208007877_RED_3.jpg" TargetMode="External" Id="rId8448"/><Relationship Type="http://schemas.openxmlformats.org/officeDocument/2006/relationships/hyperlink" Target="imagenes/NAUTICA_MENS_208007877_RED_1.jpg" TargetMode="External" Id="rId8449"/><Relationship Type="http://schemas.openxmlformats.org/officeDocument/2006/relationships/hyperlink" Target="imagenes/NAUTICA_MENS_208007877_RED_2.jpg" TargetMode="External" Id="rId8450"/><Relationship Type="http://schemas.openxmlformats.org/officeDocument/2006/relationships/hyperlink" Target="imagenes/NAUTICA_MENS_208007877_RED_3.jpg" TargetMode="External" Id="rId8451"/><Relationship Type="http://schemas.openxmlformats.org/officeDocument/2006/relationships/hyperlink" Target="imagenes/NAUTICA_MENS_208007877_RED_1.jpg" TargetMode="External" Id="rId8452"/><Relationship Type="http://schemas.openxmlformats.org/officeDocument/2006/relationships/hyperlink" Target="imagenes/NAUTICA_MENS_208007877_RED_2.jpg" TargetMode="External" Id="rId8453"/><Relationship Type="http://schemas.openxmlformats.org/officeDocument/2006/relationships/hyperlink" Target="imagenes/NAUTICA_MENS_208007877_RED_3.jpg" TargetMode="External" Id="rId8454"/><Relationship Type="http://schemas.openxmlformats.org/officeDocument/2006/relationships/hyperlink" Target="imagenes/NAUTICA_MENS_208007877_RED_1.jpg" TargetMode="External" Id="rId8455"/><Relationship Type="http://schemas.openxmlformats.org/officeDocument/2006/relationships/hyperlink" Target="imagenes/NAUTICA_MENS_208007877_RED_2.jpg" TargetMode="External" Id="rId8456"/><Relationship Type="http://schemas.openxmlformats.org/officeDocument/2006/relationships/hyperlink" Target="imagenes/NAUTICA_MENS_208007877_RED_3.jpg" TargetMode="External" Id="rId8457"/><Relationship Type="http://schemas.openxmlformats.org/officeDocument/2006/relationships/hyperlink" Target="imagenes/NAUTICA_MENS_208007877_RED_1.jpg" TargetMode="External" Id="rId8458"/><Relationship Type="http://schemas.openxmlformats.org/officeDocument/2006/relationships/hyperlink" Target="imagenes/NAUTICA_MENS_208007877_RED_2.jpg" TargetMode="External" Id="rId8459"/><Relationship Type="http://schemas.openxmlformats.org/officeDocument/2006/relationships/hyperlink" Target="imagenes/NAUTICA_MENS_208007877_RED_3.jpg" TargetMode="External" Id="rId8460"/><Relationship Type="http://schemas.openxmlformats.org/officeDocument/2006/relationships/hyperlink" Target="imagenes/NAUTICA_MENS_208007877_RED_1.jpg" TargetMode="External" Id="rId8461"/><Relationship Type="http://schemas.openxmlformats.org/officeDocument/2006/relationships/hyperlink" Target="imagenes/NAUTICA_MENS_208007877_RED_2.jpg" TargetMode="External" Id="rId8462"/><Relationship Type="http://schemas.openxmlformats.org/officeDocument/2006/relationships/hyperlink" Target="imagenes/NAUTICA_MENS_208007877_RED_3.jpg" TargetMode="External" Id="rId8463"/><Relationship Type="http://schemas.openxmlformats.org/officeDocument/2006/relationships/hyperlink" Target="imagenes/NAUTICA_MENS_208007877_RED_1.jpg" TargetMode="External" Id="rId8464"/><Relationship Type="http://schemas.openxmlformats.org/officeDocument/2006/relationships/hyperlink" Target="imagenes/NAUTICA_MENS_208007877_RED_2.jpg" TargetMode="External" Id="rId8465"/><Relationship Type="http://schemas.openxmlformats.org/officeDocument/2006/relationships/hyperlink" Target="imagenes/NAUTICA_MENS_208007877_RED_3.jpg" TargetMode="External" Id="rId8466"/><Relationship Type="http://schemas.openxmlformats.org/officeDocument/2006/relationships/hyperlink" Target="imagenes/NAUTICA_MENS_208007877_RED_1.jpg" TargetMode="External" Id="rId8467"/><Relationship Type="http://schemas.openxmlformats.org/officeDocument/2006/relationships/hyperlink" Target="imagenes/NAUTICA_MENS_208007877_RED_2.jpg" TargetMode="External" Id="rId8468"/><Relationship Type="http://schemas.openxmlformats.org/officeDocument/2006/relationships/hyperlink" Target="imagenes/NAUTICA_MENS_208007877_RED_3.jpg" TargetMode="External" Id="rId8469"/><Relationship Type="http://schemas.openxmlformats.org/officeDocument/2006/relationships/hyperlink" Target="imagenes/NAUTICA_MENS_208008601_BLK_2.jpg" TargetMode="External" Id="rId8470"/><Relationship Type="http://schemas.openxmlformats.org/officeDocument/2006/relationships/hyperlink" Target="imagenes/NAUTICA_MENS_208008601_BLK_3.jpg" TargetMode="External" Id="rId8471"/><Relationship Type="http://schemas.openxmlformats.org/officeDocument/2006/relationships/hyperlink" Target="imagenes/NAUTICA_MENS_208008601_BLK_2.jpg" TargetMode="External" Id="rId8472"/><Relationship Type="http://schemas.openxmlformats.org/officeDocument/2006/relationships/hyperlink" Target="imagenes/NAUTICA_MENS_208008601_BLK_3.jpg" TargetMode="External" Id="rId8473"/><Relationship Type="http://schemas.openxmlformats.org/officeDocument/2006/relationships/hyperlink" Target="imagenes/NAUTICA_MENS_208008601_BLK_2.jpg" TargetMode="External" Id="rId8474"/><Relationship Type="http://schemas.openxmlformats.org/officeDocument/2006/relationships/hyperlink" Target="imagenes/NAUTICA_MENS_208008601_BLK_3.jpg" TargetMode="External" Id="rId8475"/><Relationship Type="http://schemas.openxmlformats.org/officeDocument/2006/relationships/hyperlink" Target="imagenes/NAUTICA_MENS_208008601_BLK_2.jpg" TargetMode="External" Id="rId8476"/><Relationship Type="http://schemas.openxmlformats.org/officeDocument/2006/relationships/hyperlink" Target="imagenes/NAUTICA_MENS_208008601_BLK_3.jpg" TargetMode="External" Id="rId8477"/><Relationship Type="http://schemas.openxmlformats.org/officeDocument/2006/relationships/hyperlink" Target="imagenes/NAUTICA_MENS_208008601_BLK_2.jpg" TargetMode="External" Id="rId8478"/><Relationship Type="http://schemas.openxmlformats.org/officeDocument/2006/relationships/hyperlink" Target="imagenes/NAUTICA_MENS_208008601_BLK_3.jpg" TargetMode="External" Id="rId8479"/><Relationship Type="http://schemas.openxmlformats.org/officeDocument/2006/relationships/hyperlink" Target="imagenes/NAUTICA_MENS_208008601_BLK_2.jpg" TargetMode="External" Id="rId8480"/><Relationship Type="http://schemas.openxmlformats.org/officeDocument/2006/relationships/hyperlink" Target="imagenes/NAUTICA_MENS_208008601_BLK_3.jpg" TargetMode="External" Id="rId8481"/><Relationship Type="http://schemas.openxmlformats.org/officeDocument/2006/relationships/hyperlink" Target="imagenes/NAUTICA_MENS_208008601_BLK_2.jpg" TargetMode="External" Id="rId8482"/><Relationship Type="http://schemas.openxmlformats.org/officeDocument/2006/relationships/hyperlink" Target="imagenes/NAUTICA_MENS_208008601_BLK_3.jpg" TargetMode="External" Id="rId8483"/><Relationship Type="http://schemas.openxmlformats.org/officeDocument/2006/relationships/hyperlink" Target="imagenes/NAUTICA_MENS_208008601_BLK_2.jpg" TargetMode="External" Id="rId8484"/><Relationship Type="http://schemas.openxmlformats.org/officeDocument/2006/relationships/hyperlink" Target="imagenes/NAUTICA_MENS_208008601_BLK_3.jpg" TargetMode="External" Id="rId8485"/><Relationship Type="http://schemas.openxmlformats.org/officeDocument/2006/relationships/hyperlink" Target="imagenes/NAUTICA_MENS_208008601_BLK_2.jpg" TargetMode="External" Id="rId8486"/><Relationship Type="http://schemas.openxmlformats.org/officeDocument/2006/relationships/hyperlink" Target="imagenes/NAUTICA_MENS_208008601_BLK_3.jpg" TargetMode="External" Id="rId8487"/><Relationship Type="http://schemas.openxmlformats.org/officeDocument/2006/relationships/hyperlink" Target="imagenes/NAUTICA_MENS_208008601_NVY_1.jpg" TargetMode="External" Id="rId8488"/><Relationship Type="http://schemas.openxmlformats.org/officeDocument/2006/relationships/hyperlink" Target="imagenes/NAUTICA_MENS_208008601_NVY_2.jpg" TargetMode="External" Id="rId8489"/><Relationship Type="http://schemas.openxmlformats.org/officeDocument/2006/relationships/hyperlink" Target="imagenes/NAUTICA_MENS_208008601_NVY_3.jpg" TargetMode="External" Id="rId8490"/><Relationship Type="http://schemas.openxmlformats.org/officeDocument/2006/relationships/hyperlink" Target="imagenes/NAUTICA_MENS_208008601_NVY_1.jpg" TargetMode="External" Id="rId8491"/><Relationship Type="http://schemas.openxmlformats.org/officeDocument/2006/relationships/hyperlink" Target="imagenes/NAUTICA_MENS_208008601_NVY_2.jpg" TargetMode="External" Id="rId8492"/><Relationship Type="http://schemas.openxmlformats.org/officeDocument/2006/relationships/hyperlink" Target="imagenes/NAUTICA_MENS_208008601_NVY_3.jpg" TargetMode="External" Id="rId8493"/><Relationship Type="http://schemas.openxmlformats.org/officeDocument/2006/relationships/hyperlink" Target="imagenes/NAUTICA_MENS_208008601_NVY_1.jpg" TargetMode="External" Id="rId8494"/><Relationship Type="http://schemas.openxmlformats.org/officeDocument/2006/relationships/hyperlink" Target="imagenes/NAUTICA_MENS_208008601_NVY_2.jpg" TargetMode="External" Id="rId8495"/><Relationship Type="http://schemas.openxmlformats.org/officeDocument/2006/relationships/hyperlink" Target="imagenes/NAUTICA_MENS_208008601_NVY_3.jpg" TargetMode="External" Id="rId8496"/><Relationship Type="http://schemas.openxmlformats.org/officeDocument/2006/relationships/hyperlink" Target="imagenes/NAUTICA_MENS_208008601_NVY_1.jpg" TargetMode="External" Id="rId8497"/><Relationship Type="http://schemas.openxmlformats.org/officeDocument/2006/relationships/hyperlink" Target="imagenes/NAUTICA_MENS_208008601_NVY_2.jpg" TargetMode="External" Id="rId8498"/><Relationship Type="http://schemas.openxmlformats.org/officeDocument/2006/relationships/hyperlink" Target="imagenes/NAUTICA_MENS_208008601_NVY_3.jpg" TargetMode="External" Id="rId8499"/><Relationship Type="http://schemas.openxmlformats.org/officeDocument/2006/relationships/hyperlink" Target="imagenes/NAUTICA_MENS_208008601_NVY_1.jpg" TargetMode="External" Id="rId8500"/><Relationship Type="http://schemas.openxmlformats.org/officeDocument/2006/relationships/hyperlink" Target="imagenes/NAUTICA_MENS_208008601_NVY_2.jpg" TargetMode="External" Id="rId8501"/><Relationship Type="http://schemas.openxmlformats.org/officeDocument/2006/relationships/hyperlink" Target="imagenes/NAUTICA_MENS_208008601_NVY_3.jpg" TargetMode="External" Id="rId8502"/><Relationship Type="http://schemas.openxmlformats.org/officeDocument/2006/relationships/hyperlink" Target="imagenes/NAUTICA_MENS_208008601_NVY_1.jpg" TargetMode="External" Id="rId8503"/><Relationship Type="http://schemas.openxmlformats.org/officeDocument/2006/relationships/hyperlink" Target="imagenes/NAUTICA_MENS_208008601_NVY_2.jpg" TargetMode="External" Id="rId8504"/><Relationship Type="http://schemas.openxmlformats.org/officeDocument/2006/relationships/hyperlink" Target="imagenes/NAUTICA_MENS_208008601_NVY_3.jpg" TargetMode="External" Id="rId8505"/><Relationship Type="http://schemas.openxmlformats.org/officeDocument/2006/relationships/hyperlink" Target="imagenes/NAUTICA_MENS_208008601_NVY_1.jpg" TargetMode="External" Id="rId8506"/><Relationship Type="http://schemas.openxmlformats.org/officeDocument/2006/relationships/hyperlink" Target="imagenes/NAUTICA_MENS_208008601_NVY_2.jpg" TargetMode="External" Id="rId8507"/><Relationship Type="http://schemas.openxmlformats.org/officeDocument/2006/relationships/hyperlink" Target="imagenes/NAUTICA_MENS_208008601_NVY_3.jpg" TargetMode="External" Id="rId8508"/><Relationship Type="http://schemas.openxmlformats.org/officeDocument/2006/relationships/hyperlink" Target="imagenes/NAUTICA_MENS_208008601_NVY_1.jpg" TargetMode="External" Id="rId8509"/><Relationship Type="http://schemas.openxmlformats.org/officeDocument/2006/relationships/hyperlink" Target="imagenes/NAUTICA_MENS_208008601_NVY_2.jpg" TargetMode="External" Id="rId8510"/><Relationship Type="http://schemas.openxmlformats.org/officeDocument/2006/relationships/hyperlink" Target="imagenes/NAUTICA_MENS_208008601_NVY_3.jpg" TargetMode="External" Id="rId8511"/><Relationship Type="http://schemas.openxmlformats.org/officeDocument/2006/relationships/hyperlink" Target="imagenes/NAUTICA_MENS_208008601_NVY_1.jpg" TargetMode="External" Id="rId8512"/><Relationship Type="http://schemas.openxmlformats.org/officeDocument/2006/relationships/hyperlink" Target="imagenes/NAUTICA_MENS_208008601_NVY_2.jpg" TargetMode="External" Id="rId8513"/><Relationship Type="http://schemas.openxmlformats.org/officeDocument/2006/relationships/hyperlink" Target="imagenes/NAUTICA_MENS_208008601_NVY_3.jpg" TargetMode="External" Id="rId8514"/><Relationship Type="http://schemas.openxmlformats.org/officeDocument/2006/relationships/hyperlink" Target="imagenes/NAUTICA_MENS_208008601_NVY_1.jpg" TargetMode="External" Id="rId8515"/><Relationship Type="http://schemas.openxmlformats.org/officeDocument/2006/relationships/hyperlink" Target="imagenes/NAUTICA_MENS_208008601_NVY_2.jpg" TargetMode="External" Id="rId8516"/><Relationship Type="http://schemas.openxmlformats.org/officeDocument/2006/relationships/hyperlink" Target="imagenes/NAUTICA_MENS_208008601_NVY_3.jpg" TargetMode="External" Id="rId8517"/><Relationship Type="http://schemas.openxmlformats.org/officeDocument/2006/relationships/hyperlink" Target="imagenes/NAUTICA_MENS_208008601_NVY_1.jpg" TargetMode="External" Id="rId8518"/><Relationship Type="http://schemas.openxmlformats.org/officeDocument/2006/relationships/hyperlink" Target="imagenes/NAUTICA_MENS_208008601_NVY_2.jpg" TargetMode="External" Id="rId8519"/><Relationship Type="http://schemas.openxmlformats.org/officeDocument/2006/relationships/hyperlink" Target="imagenes/NAUTICA_MENS_208008601_NVY_3.jpg" TargetMode="External" Id="rId8520"/><Relationship Type="http://schemas.openxmlformats.org/officeDocument/2006/relationships/hyperlink" Target="imagenes/NAUTICA_MENS_208008601_RED_1.jpg" TargetMode="External" Id="rId8521"/><Relationship Type="http://schemas.openxmlformats.org/officeDocument/2006/relationships/hyperlink" Target="imagenes/NAUTICA_MENS_208008601_RED_2.jpg" TargetMode="External" Id="rId8522"/><Relationship Type="http://schemas.openxmlformats.org/officeDocument/2006/relationships/hyperlink" Target="imagenes/NAUTICA_MENS_208008601_RED_3.jpg" TargetMode="External" Id="rId8523"/><Relationship Type="http://schemas.openxmlformats.org/officeDocument/2006/relationships/hyperlink" Target="imagenes/NAUTICA_MENS_208008601_RED_1.jpg" TargetMode="External" Id="rId8524"/><Relationship Type="http://schemas.openxmlformats.org/officeDocument/2006/relationships/hyperlink" Target="imagenes/NAUTICA_MENS_208008601_RED_2.jpg" TargetMode="External" Id="rId8525"/><Relationship Type="http://schemas.openxmlformats.org/officeDocument/2006/relationships/hyperlink" Target="imagenes/NAUTICA_MENS_208008601_RED_3.jpg" TargetMode="External" Id="rId8526"/><Relationship Type="http://schemas.openxmlformats.org/officeDocument/2006/relationships/hyperlink" Target="imagenes/NAUTICA_MENS_208008601_RED_1.jpg" TargetMode="External" Id="rId8527"/><Relationship Type="http://schemas.openxmlformats.org/officeDocument/2006/relationships/hyperlink" Target="imagenes/NAUTICA_MENS_208008601_RED_2.jpg" TargetMode="External" Id="rId8528"/><Relationship Type="http://schemas.openxmlformats.org/officeDocument/2006/relationships/hyperlink" Target="imagenes/NAUTICA_MENS_208008601_RED_3.jpg" TargetMode="External" Id="rId8529"/><Relationship Type="http://schemas.openxmlformats.org/officeDocument/2006/relationships/hyperlink" Target="imagenes/NAUTICA_MENS_208008601_RED_1.jpg" TargetMode="External" Id="rId8530"/><Relationship Type="http://schemas.openxmlformats.org/officeDocument/2006/relationships/hyperlink" Target="imagenes/NAUTICA_MENS_208008601_RED_2.jpg" TargetMode="External" Id="rId8531"/><Relationship Type="http://schemas.openxmlformats.org/officeDocument/2006/relationships/hyperlink" Target="imagenes/NAUTICA_MENS_208008601_RED_3.jpg" TargetMode="External" Id="rId8532"/><Relationship Type="http://schemas.openxmlformats.org/officeDocument/2006/relationships/hyperlink" Target="imagenes/NAUTICA_MENS_208008601_RED_1.jpg" TargetMode="External" Id="rId8533"/><Relationship Type="http://schemas.openxmlformats.org/officeDocument/2006/relationships/hyperlink" Target="imagenes/NAUTICA_MENS_208008601_RED_2.jpg" TargetMode="External" Id="rId8534"/><Relationship Type="http://schemas.openxmlformats.org/officeDocument/2006/relationships/hyperlink" Target="imagenes/NAUTICA_MENS_208008601_RED_3.jpg" TargetMode="External" Id="rId8535"/><Relationship Type="http://schemas.openxmlformats.org/officeDocument/2006/relationships/hyperlink" Target="imagenes/NAUTICA_MENS_208008601_RED_1.jpg" TargetMode="External" Id="rId8536"/><Relationship Type="http://schemas.openxmlformats.org/officeDocument/2006/relationships/hyperlink" Target="imagenes/NAUTICA_MENS_208008601_RED_2.jpg" TargetMode="External" Id="rId8537"/><Relationship Type="http://schemas.openxmlformats.org/officeDocument/2006/relationships/hyperlink" Target="imagenes/NAUTICA_MENS_208008601_RED_3.jpg" TargetMode="External" Id="rId8538"/><Relationship Type="http://schemas.openxmlformats.org/officeDocument/2006/relationships/hyperlink" Target="imagenes/NAUTICA_MENS_208008601_RED_1.jpg" TargetMode="External" Id="rId8539"/><Relationship Type="http://schemas.openxmlformats.org/officeDocument/2006/relationships/hyperlink" Target="imagenes/NAUTICA_MENS_208008601_RED_2.jpg" TargetMode="External" Id="rId8540"/><Relationship Type="http://schemas.openxmlformats.org/officeDocument/2006/relationships/hyperlink" Target="imagenes/NAUTICA_MENS_208008601_RED_3.jpg" TargetMode="External" Id="rId8541"/><Relationship Type="http://schemas.openxmlformats.org/officeDocument/2006/relationships/hyperlink" Target="imagenes/NAUTICA_MENS_208008601_RED_1.jpg" TargetMode="External" Id="rId8542"/><Relationship Type="http://schemas.openxmlformats.org/officeDocument/2006/relationships/hyperlink" Target="imagenes/NAUTICA_MENS_208008601_RED_2.jpg" TargetMode="External" Id="rId8543"/><Relationship Type="http://schemas.openxmlformats.org/officeDocument/2006/relationships/hyperlink" Target="imagenes/NAUTICA_MENS_208008601_RED_3.jpg" TargetMode="External" Id="rId8544"/><Relationship Type="http://schemas.openxmlformats.org/officeDocument/2006/relationships/hyperlink" Target="imagenes/NAUTICA_MENS_208008601_RED_1.jpg" TargetMode="External" Id="rId8545"/><Relationship Type="http://schemas.openxmlformats.org/officeDocument/2006/relationships/hyperlink" Target="imagenes/NAUTICA_MENS_208008601_RED_2.jpg" TargetMode="External" Id="rId8546"/><Relationship Type="http://schemas.openxmlformats.org/officeDocument/2006/relationships/hyperlink" Target="imagenes/NAUTICA_MENS_208008601_RED_3.jpg" TargetMode="External" Id="rId8547"/><Relationship Type="http://schemas.openxmlformats.org/officeDocument/2006/relationships/hyperlink" Target="imagenes/NAUTICA_MENS_208009117_BLK_1.jpg" TargetMode="External" Id="rId8548"/><Relationship Type="http://schemas.openxmlformats.org/officeDocument/2006/relationships/hyperlink" Target="imagenes/NAUTICA_MENS_208009117_BLK_2.jpg" TargetMode="External" Id="rId8549"/><Relationship Type="http://schemas.openxmlformats.org/officeDocument/2006/relationships/hyperlink" Target="imagenes/NAUTICA_MENS_208009117_BLK_3.jpg" TargetMode="External" Id="rId8550"/><Relationship Type="http://schemas.openxmlformats.org/officeDocument/2006/relationships/hyperlink" Target="imagenes/NAUTICA_MENS_208009117_BLK_1.jpg" TargetMode="External" Id="rId8551"/><Relationship Type="http://schemas.openxmlformats.org/officeDocument/2006/relationships/hyperlink" Target="imagenes/NAUTICA_MENS_208009117_BLK_2.jpg" TargetMode="External" Id="rId8552"/><Relationship Type="http://schemas.openxmlformats.org/officeDocument/2006/relationships/hyperlink" Target="imagenes/NAUTICA_MENS_208009117_BLK_3.jpg" TargetMode="External" Id="rId8553"/><Relationship Type="http://schemas.openxmlformats.org/officeDocument/2006/relationships/hyperlink" Target="imagenes/NAUTICA_MENS_208009117_BLK_1.jpg" TargetMode="External" Id="rId8554"/><Relationship Type="http://schemas.openxmlformats.org/officeDocument/2006/relationships/hyperlink" Target="imagenes/NAUTICA_MENS_208009117_BLK_2.jpg" TargetMode="External" Id="rId8555"/><Relationship Type="http://schemas.openxmlformats.org/officeDocument/2006/relationships/hyperlink" Target="imagenes/NAUTICA_MENS_208009117_BLK_3.jpg" TargetMode="External" Id="rId8556"/><Relationship Type="http://schemas.openxmlformats.org/officeDocument/2006/relationships/hyperlink" Target="imagenes/NAUTICA_MENS_208009117_BLK_1.jpg" TargetMode="External" Id="rId8557"/><Relationship Type="http://schemas.openxmlformats.org/officeDocument/2006/relationships/hyperlink" Target="imagenes/NAUTICA_MENS_208009117_BLK_2.jpg" TargetMode="External" Id="rId8558"/><Relationship Type="http://schemas.openxmlformats.org/officeDocument/2006/relationships/hyperlink" Target="imagenes/NAUTICA_MENS_208009117_BLK_3.jpg" TargetMode="External" Id="rId8559"/><Relationship Type="http://schemas.openxmlformats.org/officeDocument/2006/relationships/hyperlink" Target="imagenes/NAUTICA_MENS_208009117_BLK_1.jpg" TargetMode="External" Id="rId8560"/><Relationship Type="http://schemas.openxmlformats.org/officeDocument/2006/relationships/hyperlink" Target="imagenes/NAUTICA_MENS_208009117_BLK_2.jpg" TargetMode="External" Id="rId8561"/><Relationship Type="http://schemas.openxmlformats.org/officeDocument/2006/relationships/hyperlink" Target="imagenes/NAUTICA_MENS_208009117_BLK_3.jpg" TargetMode="External" Id="rId8562"/><Relationship Type="http://schemas.openxmlformats.org/officeDocument/2006/relationships/hyperlink" Target="imagenes/NAUTICA_MENS_208009117_BLK_1.jpg" TargetMode="External" Id="rId8563"/><Relationship Type="http://schemas.openxmlformats.org/officeDocument/2006/relationships/hyperlink" Target="imagenes/NAUTICA_MENS_208009117_BLK_2.jpg" TargetMode="External" Id="rId8564"/><Relationship Type="http://schemas.openxmlformats.org/officeDocument/2006/relationships/hyperlink" Target="imagenes/NAUTICA_MENS_208009117_BLK_3.jpg" TargetMode="External" Id="rId8565"/><Relationship Type="http://schemas.openxmlformats.org/officeDocument/2006/relationships/hyperlink" Target="imagenes/NAUTICA_MENS_208009117_BLK_1.jpg" TargetMode="External" Id="rId8566"/><Relationship Type="http://schemas.openxmlformats.org/officeDocument/2006/relationships/hyperlink" Target="imagenes/NAUTICA_MENS_208009117_BLK_2.jpg" TargetMode="External" Id="rId8567"/><Relationship Type="http://schemas.openxmlformats.org/officeDocument/2006/relationships/hyperlink" Target="imagenes/NAUTICA_MENS_208009117_BLK_3.jpg" TargetMode="External" Id="rId8568"/><Relationship Type="http://schemas.openxmlformats.org/officeDocument/2006/relationships/hyperlink" Target="imagenes/NAUTICA_MENS_208009117_BLK_1.jpg" TargetMode="External" Id="rId8569"/><Relationship Type="http://schemas.openxmlformats.org/officeDocument/2006/relationships/hyperlink" Target="imagenes/NAUTICA_MENS_208009117_BLK_2.jpg" TargetMode="External" Id="rId8570"/><Relationship Type="http://schemas.openxmlformats.org/officeDocument/2006/relationships/hyperlink" Target="imagenes/NAUTICA_MENS_208009117_BLK_3.jpg" TargetMode="External" Id="rId8571"/><Relationship Type="http://schemas.openxmlformats.org/officeDocument/2006/relationships/hyperlink" Target="imagenes/NAUTICA_MENS_208009117_BLK_1.jpg" TargetMode="External" Id="rId8572"/><Relationship Type="http://schemas.openxmlformats.org/officeDocument/2006/relationships/hyperlink" Target="imagenes/NAUTICA_MENS_208009117_BLK_2.jpg" TargetMode="External" Id="rId8573"/><Relationship Type="http://schemas.openxmlformats.org/officeDocument/2006/relationships/hyperlink" Target="imagenes/NAUTICA_MENS_208009117_BLK_3.jpg" TargetMode="External" Id="rId8574"/><Relationship Type="http://schemas.openxmlformats.org/officeDocument/2006/relationships/hyperlink" Target="imagenes/NAUTICA_MENS_208009117_BLK_1.jpg" TargetMode="External" Id="rId8575"/><Relationship Type="http://schemas.openxmlformats.org/officeDocument/2006/relationships/hyperlink" Target="imagenes/NAUTICA_MENS_208009117_BLK_2.jpg" TargetMode="External" Id="rId8576"/><Relationship Type="http://schemas.openxmlformats.org/officeDocument/2006/relationships/hyperlink" Target="imagenes/NAUTICA_MENS_208009117_BLK_3.jpg" TargetMode="External" Id="rId8577"/><Relationship Type="http://schemas.openxmlformats.org/officeDocument/2006/relationships/hyperlink" Target="imagenes/NAUTICA_MENS_208009117_NVY_1.jpg" TargetMode="External" Id="rId8578"/><Relationship Type="http://schemas.openxmlformats.org/officeDocument/2006/relationships/hyperlink" Target="imagenes/NAUTICA_MENS_208009117_NVY_2.jpg" TargetMode="External" Id="rId8579"/><Relationship Type="http://schemas.openxmlformats.org/officeDocument/2006/relationships/hyperlink" Target="imagenes/NAUTICA_MENS_208009117_NVY_3.jpg" TargetMode="External" Id="rId8580"/><Relationship Type="http://schemas.openxmlformats.org/officeDocument/2006/relationships/hyperlink" Target="imagenes/NAUTICA_MENS_208009117_NVY_1.jpg" TargetMode="External" Id="rId8581"/><Relationship Type="http://schemas.openxmlformats.org/officeDocument/2006/relationships/hyperlink" Target="imagenes/NAUTICA_MENS_208009117_NVY_2.jpg" TargetMode="External" Id="rId8582"/><Relationship Type="http://schemas.openxmlformats.org/officeDocument/2006/relationships/hyperlink" Target="imagenes/NAUTICA_MENS_208009117_NVY_3.jpg" TargetMode="External" Id="rId8583"/><Relationship Type="http://schemas.openxmlformats.org/officeDocument/2006/relationships/hyperlink" Target="imagenes/NAUTICA_MENS_208009117_NVY_1.jpg" TargetMode="External" Id="rId8584"/><Relationship Type="http://schemas.openxmlformats.org/officeDocument/2006/relationships/hyperlink" Target="imagenes/NAUTICA_MENS_208009117_NVY_2.jpg" TargetMode="External" Id="rId8585"/><Relationship Type="http://schemas.openxmlformats.org/officeDocument/2006/relationships/hyperlink" Target="imagenes/NAUTICA_MENS_208009117_NVY_3.jpg" TargetMode="External" Id="rId8586"/><Relationship Type="http://schemas.openxmlformats.org/officeDocument/2006/relationships/hyperlink" Target="imagenes/NAUTICA_MENS_208009117_NVY_1.jpg" TargetMode="External" Id="rId8587"/><Relationship Type="http://schemas.openxmlformats.org/officeDocument/2006/relationships/hyperlink" Target="imagenes/NAUTICA_MENS_208009117_NVY_2.jpg" TargetMode="External" Id="rId8588"/><Relationship Type="http://schemas.openxmlformats.org/officeDocument/2006/relationships/hyperlink" Target="imagenes/NAUTICA_MENS_208009117_NVY_3.jpg" TargetMode="External" Id="rId8589"/><Relationship Type="http://schemas.openxmlformats.org/officeDocument/2006/relationships/hyperlink" Target="imagenes/NAUTICA_MENS_208009117_NVY_1.jpg" TargetMode="External" Id="rId8590"/><Relationship Type="http://schemas.openxmlformats.org/officeDocument/2006/relationships/hyperlink" Target="imagenes/NAUTICA_MENS_208009117_NVY_2.jpg" TargetMode="External" Id="rId8591"/><Relationship Type="http://schemas.openxmlformats.org/officeDocument/2006/relationships/hyperlink" Target="imagenes/NAUTICA_MENS_208009117_NVY_3.jpg" TargetMode="External" Id="rId8592"/><Relationship Type="http://schemas.openxmlformats.org/officeDocument/2006/relationships/hyperlink" Target="imagenes/NAUTICA_MENS_208009117_NVY_1.jpg" TargetMode="External" Id="rId8593"/><Relationship Type="http://schemas.openxmlformats.org/officeDocument/2006/relationships/hyperlink" Target="imagenes/NAUTICA_MENS_208009117_NVY_2.jpg" TargetMode="External" Id="rId8594"/><Relationship Type="http://schemas.openxmlformats.org/officeDocument/2006/relationships/hyperlink" Target="imagenes/NAUTICA_MENS_208009117_NVY_3.jpg" TargetMode="External" Id="rId8595"/><Relationship Type="http://schemas.openxmlformats.org/officeDocument/2006/relationships/hyperlink" Target="imagenes/NAUTICA_MENS_208009117_NVY_1.jpg" TargetMode="External" Id="rId8596"/><Relationship Type="http://schemas.openxmlformats.org/officeDocument/2006/relationships/hyperlink" Target="imagenes/NAUTICA_MENS_208009117_NVY_2.jpg" TargetMode="External" Id="rId8597"/><Relationship Type="http://schemas.openxmlformats.org/officeDocument/2006/relationships/hyperlink" Target="imagenes/NAUTICA_MENS_208009117_NVY_3.jpg" TargetMode="External" Id="rId8598"/><Relationship Type="http://schemas.openxmlformats.org/officeDocument/2006/relationships/hyperlink" Target="imagenes/NAUTICA_MENS_208009117_NVY_1.jpg" TargetMode="External" Id="rId8599"/><Relationship Type="http://schemas.openxmlformats.org/officeDocument/2006/relationships/hyperlink" Target="imagenes/NAUTICA_MENS_208009117_NVY_2.jpg" TargetMode="External" Id="rId8600"/><Relationship Type="http://schemas.openxmlformats.org/officeDocument/2006/relationships/hyperlink" Target="imagenes/NAUTICA_MENS_208009117_NVY_3.jpg" TargetMode="External" Id="rId8601"/><Relationship Type="http://schemas.openxmlformats.org/officeDocument/2006/relationships/hyperlink" Target="imagenes/NAUTICA_MENS_208009117_NVY_1.jpg" TargetMode="External" Id="rId8602"/><Relationship Type="http://schemas.openxmlformats.org/officeDocument/2006/relationships/hyperlink" Target="imagenes/NAUTICA_MENS_208009117_NVY_2.jpg" TargetMode="External" Id="rId8603"/><Relationship Type="http://schemas.openxmlformats.org/officeDocument/2006/relationships/hyperlink" Target="imagenes/NAUTICA_MENS_208009117_NVY_3.jpg" TargetMode="External" Id="rId8604"/><Relationship Type="http://schemas.openxmlformats.org/officeDocument/2006/relationships/hyperlink" Target="imagenes/NAUTICA_MENS_208009117_NVY_1.jpg" TargetMode="External" Id="rId8605"/><Relationship Type="http://schemas.openxmlformats.org/officeDocument/2006/relationships/hyperlink" Target="imagenes/NAUTICA_MENS_208009117_NVY_2.jpg" TargetMode="External" Id="rId8606"/><Relationship Type="http://schemas.openxmlformats.org/officeDocument/2006/relationships/hyperlink" Target="imagenes/NAUTICA_MENS_208009117_NVY_3.jpg" TargetMode="External" Id="rId8607"/><Relationship Type="http://schemas.openxmlformats.org/officeDocument/2006/relationships/hyperlink" Target="imagenes/NAUTICA_MENS_208009117_OTR_1.jpg" TargetMode="External" Id="rId8608"/><Relationship Type="http://schemas.openxmlformats.org/officeDocument/2006/relationships/hyperlink" Target="imagenes/NAUTICA_MENS_208009117_OTR_2.jpg" TargetMode="External" Id="rId8609"/><Relationship Type="http://schemas.openxmlformats.org/officeDocument/2006/relationships/hyperlink" Target="imagenes/NAUTICA_MENS_208009117_OTR_3.jpg" TargetMode="External" Id="rId8610"/><Relationship Type="http://schemas.openxmlformats.org/officeDocument/2006/relationships/hyperlink" Target="imagenes/NAUTICA_MENS_208009117_OTR_1.jpg" TargetMode="External" Id="rId8611"/><Relationship Type="http://schemas.openxmlformats.org/officeDocument/2006/relationships/hyperlink" Target="imagenes/NAUTICA_MENS_208009117_OTR_2.jpg" TargetMode="External" Id="rId8612"/><Relationship Type="http://schemas.openxmlformats.org/officeDocument/2006/relationships/hyperlink" Target="imagenes/NAUTICA_MENS_208009117_OTR_3.jpg" TargetMode="External" Id="rId8613"/><Relationship Type="http://schemas.openxmlformats.org/officeDocument/2006/relationships/hyperlink" Target="imagenes/NAUTICA_MENS_208009117_OTR_1.jpg" TargetMode="External" Id="rId8614"/><Relationship Type="http://schemas.openxmlformats.org/officeDocument/2006/relationships/hyperlink" Target="imagenes/NAUTICA_MENS_208009117_OTR_2.jpg" TargetMode="External" Id="rId8615"/><Relationship Type="http://schemas.openxmlformats.org/officeDocument/2006/relationships/hyperlink" Target="imagenes/NAUTICA_MENS_208009117_OTR_3.jpg" TargetMode="External" Id="rId8616"/><Relationship Type="http://schemas.openxmlformats.org/officeDocument/2006/relationships/hyperlink" Target="imagenes/NAUTICA_MENS_208009117_OTR_1.jpg" TargetMode="External" Id="rId8617"/><Relationship Type="http://schemas.openxmlformats.org/officeDocument/2006/relationships/hyperlink" Target="imagenes/NAUTICA_MENS_208009117_OTR_2.jpg" TargetMode="External" Id="rId8618"/><Relationship Type="http://schemas.openxmlformats.org/officeDocument/2006/relationships/hyperlink" Target="imagenes/NAUTICA_MENS_208009117_OTR_3.jpg" TargetMode="External" Id="rId8619"/><Relationship Type="http://schemas.openxmlformats.org/officeDocument/2006/relationships/hyperlink" Target="imagenes/NAUTICA_MENS_208009117_OTR_1.jpg" TargetMode="External" Id="rId8620"/><Relationship Type="http://schemas.openxmlformats.org/officeDocument/2006/relationships/hyperlink" Target="imagenes/NAUTICA_MENS_208009117_OTR_2.jpg" TargetMode="External" Id="rId8621"/><Relationship Type="http://schemas.openxmlformats.org/officeDocument/2006/relationships/hyperlink" Target="imagenes/NAUTICA_MENS_208009117_OTR_3.jpg" TargetMode="External" Id="rId8622"/><Relationship Type="http://schemas.openxmlformats.org/officeDocument/2006/relationships/hyperlink" Target="imagenes/NAUTICA_MENS_208009117_OTR_1.jpg" TargetMode="External" Id="rId8623"/><Relationship Type="http://schemas.openxmlformats.org/officeDocument/2006/relationships/hyperlink" Target="imagenes/NAUTICA_MENS_208009117_OTR_2.jpg" TargetMode="External" Id="rId8624"/><Relationship Type="http://schemas.openxmlformats.org/officeDocument/2006/relationships/hyperlink" Target="imagenes/NAUTICA_MENS_208009117_OTR_3.jpg" TargetMode="External" Id="rId8625"/><Relationship Type="http://schemas.openxmlformats.org/officeDocument/2006/relationships/hyperlink" Target="imagenes/NAUTICA_MENS_208009117_OTR_1.jpg" TargetMode="External" Id="rId8626"/><Relationship Type="http://schemas.openxmlformats.org/officeDocument/2006/relationships/hyperlink" Target="imagenes/NAUTICA_MENS_208009117_OTR_2.jpg" TargetMode="External" Id="rId8627"/><Relationship Type="http://schemas.openxmlformats.org/officeDocument/2006/relationships/hyperlink" Target="imagenes/NAUTICA_MENS_208009117_OTR_3.jpg" TargetMode="External" Id="rId8628"/><Relationship Type="http://schemas.openxmlformats.org/officeDocument/2006/relationships/hyperlink" Target="imagenes/NAUTICA_MENS_208009117_OTR_1.jpg" TargetMode="External" Id="rId8629"/><Relationship Type="http://schemas.openxmlformats.org/officeDocument/2006/relationships/hyperlink" Target="imagenes/NAUTICA_MENS_208009117_OTR_2.jpg" TargetMode="External" Id="rId8630"/><Relationship Type="http://schemas.openxmlformats.org/officeDocument/2006/relationships/hyperlink" Target="imagenes/NAUTICA_MENS_208009117_OTR_3.jpg" TargetMode="External" Id="rId8631"/><Relationship Type="http://schemas.openxmlformats.org/officeDocument/2006/relationships/hyperlink" Target="imagenes/NAUTICA_MENS_208009117_OTR_1.jpg" TargetMode="External" Id="rId8632"/><Relationship Type="http://schemas.openxmlformats.org/officeDocument/2006/relationships/hyperlink" Target="imagenes/NAUTICA_MENS_208009117_OTR_2.jpg" TargetMode="External" Id="rId8633"/><Relationship Type="http://schemas.openxmlformats.org/officeDocument/2006/relationships/hyperlink" Target="imagenes/NAUTICA_MENS_208009117_OTR_3.jpg" TargetMode="External" Id="rId8634"/><Relationship Type="http://schemas.openxmlformats.org/officeDocument/2006/relationships/hyperlink" Target="imagenes/NAUTICA_MENS_208009117_OTR_1.jpg" TargetMode="External" Id="rId8635"/><Relationship Type="http://schemas.openxmlformats.org/officeDocument/2006/relationships/hyperlink" Target="imagenes/NAUTICA_MENS_208009117_OTR_2.jpg" TargetMode="External" Id="rId8636"/><Relationship Type="http://schemas.openxmlformats.org/officeDocument/2006/relationships/hyperlink" Target="imagenes/NAUTICA_MENS_208009117_OTR_3.jpg" TargetMode="External" Id="rId8637"/><Relationship Type="http://schemas.openxmlformats.org/officeDocument/2006/relationships/hyperlink" Target="imagenes/NAUTICA_MENS_208009177_BLK_1.jpg" TargetMode="External" Id="rId8638"/><Relationship Type="http://schemas.openxmlformats.org/officeDocument/2006/relationships/hyperlink" Target="imagenes/NAUTICA_MENS_208009177_BLK_2.jpg" TargetMode="External" Id="rId8639"/><Relationship Type="http://schemas.openxmlformats.org/officeDocument/2006/relationships/hyperlink" Target="imagenes/NAUTICA_MENS_208009177_BLK_3.jpg" TargetMode="External" Id="rId8640"/><Relationship Type="http://schemas.openxmlformats.org/officeDocument/2006/relationships/hyperlink" Target="imagenes/NAUTICA_MENS_208009177_BLK_1.jpg" TargetMode="External" Id="rId8641"/><Relationship Type="http://schemas.openxmlformats.org/officeDocument/2006/relationships/hyperlink" Target="imagenes/NAUTICA_MENS_208009177_BLK_2.jpg" TargetMode="External" Id="rId8642"/><Relationship Type="http://schemas.openxmlformats.org/officeDocument/2006/relationships/hyperlink" Target="imagenes/NAUTICA_MENS_208009177_BLK_3.jpg" TargetMode="External" Id="rId8643"/><Relationship Type="http://schemas.openxmlformats.org/officeDocument/2006/relationships/hyperlink" Target="imagenes/NAUTICA_MENS_208009177_BLK_1.jpg" TargetMode="External" Id="rId8644"/><Relationship Type="http://schemas.openxmlformats.org/officeDocument/2006/relationships/hyperlink" Target="imagenes/NAUTICA_MENS_208009177_BLK_2.jpg" TargetMode="External" Id="rId8645"/><Relationship Type="http://schemas.openxmlformats.org/officeDocument/2006/relationships/hyperlink" Target="imagenes/NAUTICA_MENS_208009177_BLK_3.jpg" TargetMode="External" Id="rId8646"/><Relationship Type="http://schemas.openxmlformats.org/officeDocument/2006/relationships/hyperlink" Target="imagenes/NAUTICA_MENS_208009177_BLK_1.jpg" TargetMode="External" Id="rId8647"/><Relationship Type="http://schemas.openxmlformats.org/officeDocument/2006/relationships/hyperlink" Target="imagenes/NAUTICA_MENS_208009177_BLK_2.jpg" TargetMode="External" Id="rId8648"/><Relationship Type="http://schemas.openxmlformats.org/officeDocument/2006/relationships/hyperlink" Target="imagenes/NAUTICA_MENS_208009177_BLK_3.jpg" TargetMode="External" Id="rId8649"/><Relationship Type="http://schemas.openxmlformats.org/officeDocument/2006/relationships/hyperlink" Target="imagenes/NAUTICA_MENS_208009177_BLK_1.jpg" TargetMode="External" Id="rId8650"/><Relationship Type="http://schemas.openxmlformats.org/officeDocument/2006/relationships/hyperlink" Target="imagenes/NAUTICA_MENS_208009177_BLK_2.jpg" TargetMode="External" Id="rId8651"/><Relationship Type="http://schemas.openxmlformats.org/officeDocument/2006/relationships/hyperlink" Target="imagenes/NAUTICA_MENS_208009177_BLK_3.jpg" TargetMode="External" Id="rId8652"/><Relationship Type="http://schemas.openxmlformats.org/officeDocument/2006/relationships/hyperlink" Target="imagenes/NAUTICA_MENS_208009177_BLK_1.jpg" TargetMode="External" Id="rId8653"/><Relationship Type="http://schemas.openxmlformats.org/officeDocument/2006/relationships/hyperlink" Target="imagenes/NAUTICA_MENS_208009177_BLK_2.jpg" TargetMode="External" Id="rId8654"/><Relationship Type="http://schemas.openxmlformats.org/officeDocument/2006/relationships/hyperlink" Target="imagenes/NAUTICA_MENS_208009177_BLK_3.jpg" TargetMode="External" Id="rId8655"/><Relationship Type="http://schemas.openxmlformats.org/officeDocument/2006/relationships/hyperlink" Target="imagenes/NAUTICA_MENS_208009177_BLK_1.jpg" TargetMode="External" Id="rId8656"/><Relationship Type="http://schemas.openxmlformats.org/officeDocument/2006/relationships/hyperlink" Target="imagenes/NAUTICA_MENS_208009177_BLK_2.jpg" TargetMode="External" Id="rId8657"/><Relationship Type="http://schemas.openxmlformats.org/officeDocument/2006/relationships/hyperlink" Target="imagenes/NAUTICA_MENS_208009177_BLK_3.jpg" TargetMode="External" Id="rId8658"/><Relationship Type="http://schemas.openxmlformats.org/officeDocument/2006/relationships/hyperlink" Target="imagenes/NAUTICA_MENS_208009177_BLK_1.jpg" TargetMode="External" Id="rId8659"/><Relationship Type="http://schemas.openxmlformats.org/officeDocument/2006/relationships/hyperlink" Target="imagenes/NAUTICA_MENS_208009177_BLK_2.jpg" TargetMode="External" Id="rId8660"/><Relationship Type="http://schemas.openxmlformats.org/officeDocument/2006/relationships/hyperlink" Target="imagenes/NAUTICA_MENS_208009177_BLK_3.jpg" TargetMode="External" Id="rId8661"/><Relationship Type="http://schemas.openxmlformats.org/officeDocument/2006/relationships/hyperlink" Target="imagenes/NAUTICA_MENS_208009177_BLK_1.jpg" TargetMode="External" Id="rId8662"/><Relationship Type="http://schemas.openxmlformats.org/officeDocument/2006/relationships/hyperlink" Target="imagenes/NAUTICA_MENS_208009177_BLK_2.jpg" TargetMode="External" Id="rId8663"/><Relationship Type="http://schemas.openxmlformats.org/officeDocument/2006/relationships/hyperlink" Target="imagenes/NAUTICA_MENS_208009177_BLK_3.jpg" TargetMode="External" Id="rId8664"/><Relationship Type="http://schemas.openxmlformats.org/officeDocument/2006/relationships/hyperlink" Target="imagenes/NAUTICA_MENS_208009177_BLK_1.jpg" TargetMode="External" Id="rId8665"/><Relationship Type="http://schemas.openxmlformats.org/officeDocument/2006/relationships/hyperlink" Target="imagenes/NAUTICA_MENS_208009177_BLK_2.jpg" TargetMode="External" Id="rId8666"/><Relationship Type="http://schemas.openxmlformats.org/officeDocument/2006/relationships/hyperlink" Target="imagenes/NAUTICA_MENS_208009177_BLK_3.jpg" TargetMode="External" Id="rId8667"/><Relationship Type="http://schemas.openxmlformats.org/officeDocument/2006/relationships/hyperlink" Target="imagenes/NAUTICA_MENS_208009177_NVY_1.jpg" TargetMode="External" Id="rId8668"/><Relationship Type="http://schemas.openxmlformats.org/officeDocument/2006/relationships/hyperlink" Target="imagenes/NAUTICA_MENS_208009177_NVY_2.jpg" TargetMode="External" Id="rId8669"/><Relationship Type="http://schemas.openxmlformats.org/officeDocument/2006/relationships/hyperlink" Target="imagenes/NAUTICA_MENS_208009177_NVY_3.jpg" TargetMode="External" Id="rId8670"/><Relationship Type="http://schemas.openxmlformats.org/officeDocument/2006/relationships/hyperlink" Target="imagenes/NAUTICA_MENS_208009177_NVY_1.jpg" TargetMode="External" Id="rId8671"/><Relationship Type="http://schemas.openxmlformats.org/officeDocument/2006/relationships/hyperlink" Target="imagenes/NAUTICA_MENS_208009177_NVY_2.jpg" TargetMode="External" Id="rId8672"/><Relationship Type="http://schemas.openxmlformats.org/officeDocument/2006/relationships/hyperlink" Target="imagenes/NAUTICA_MENS_208009177_NVY_3.jpg" TargetMode="External" Id="rId8673"/><Relationship Type="http://schemas.openxmlformats.org/officeDocument/2006/relationships/hyperlink" Target="imagenes/NAUTICA_MENS_208009177_NVY_1.jpg" TargetMode="External" Id="rId8674"/><Relationship Type="http://schemas.openxmlformats.org/officeDocument/2006/relationships/hyperlink" Target="imagenes/NAUTICA_MENS_208009177_NVY_2.jpg" TargetMode="External" Id="rId8675"/><Relationship Type="http://schemas.openxmlformats.org/officeDocument/2006/relationships/hyperlink" Target="imagenes/NAUTICA_MENS_208009177_NVY_3.jpg" TargetMode="External" Id="rId8676"/><Relationship Type="http://schemas.openxmlformats.org/officeDocument/2006/relationships/hyperlink" Target="imagenes/NAUTICA_MENS_208009177_NVY_1.jpg" TargetMode="External" Id="rId8677"/><Relationship Type="http://schemas.openxmlformats.org/officeDocument/2006/relationships/hyperlink" Target="imagenes/NAUTICA_MENS_208009177_NVY_2.jpg" TargetMode="External" Id="rId8678"/><Relationship Type="http://schemas.openxmlformats.org/officeDocument/2006/relationships/hyperlink" Target="imagenes/NAUTICA_MENS_208009177_NVY_3.jpg" TargetMode="External" Id="rId8679"/><Relationship Type="http://schemas.openxmlformats.org/officeDocument/2006/relationships/hyperlink" Target="imagenes/NAUTICA_MENS_208009177_NVY_1.jpg" TargetMode="External" Id="rId8680"/><Relationship Type="http://schemas.openxmlformats.org/officeDocument/2006/relationships/hyperlink" Target="imagenes/NAUTICA_MENS_208009177_NVY_2.jpg" TargetMode="External" Id="rId8681"/><Relationship Type="http://schemas.openxmlformats.org/officeDocument/2006/relationships/hyperlink" Target="imagenes/NAUTICA_MENS_208009177_NVY_3.jpg" TargetMode="External" Id="rId8682"/><Relationship Type="http://schemas.openxmlformats.org/officeDocument/2006/relationships/hyperlink" Target="imagenes/NAUTICA_MENS_208009177_OLB_1.jpg" TargetMode="External" Id="rId8683"/><Relationship Type="http://schemas.openxmlformats.org/officeDocument/2006/relationships/hyperlink" Target="imagenes/NAUTICA_MENS_208009177_OLB_2.jpg" TargetMode="External" Id="rId8684"/><Relationship Type="http://schemas.openxmlformats.org/officeDocument/2006/relationships/hyperlink" Target="imagenes/NAUTICA_MENS_208009177_OLB_3.jpg" TargetMode="External" Id="rId8685"/><Relationship Type="http://schemas.openxmlformats.org/officeDocument/2006/relationships/hyperlink" Target="imagenes/NAUTICA_MENS_208009177_OLB_1.jpg" TargetMode="External" Id="rId8686"/><Relationship Type="http://schemas.openxmlformats.org/officeDocument/2006/relationships/hyperlink" Target="imagenes/NAUTICA_MENS_208009177_OLB_2.jpg" TargetMode="External" Id="rId8687"/><Relationship Type="http://schemas.openxmlformats.org/officeDocument/2006/relationships/hyperlink" Target="imagenes/NAUTICA_MENS_208009177_OLB_3.jpg" TargetMode="External" Id="rId8688"/><Relationship Type="http://schemas.openxmlformats.org/officeDocument/2006/relationships/hyperlink" Target="imagenes/NAUTICA_MENS_208009177_OLB_1.jpg" TargetMode="External" Id="rId8689"/><Relationship Type="http://schemas.openxmlformats.org/officeDocument/2006/relationships/hyperlink" Target="imagenes/NAUTICA_MENS_208009177_OLB_2.jpg" TargetMode="External" Id="rId8690"/><Relationship Type="http://schemas.openxmlformats.org/officeDocument/2006/relationships/hyperlink" Target="imagenes/NAUTICA_MENS_208009177_OLB_3.jpg" TargetMode="External" Id="rId8691"/><Relationship Type="http://schemas.openxmlformats.org/officeDocument/2006/relationships/hyperlink" Target="imagenes/NAUTICA_MENS_208009177_OLB_1.jpg" TargetMode="External" Id="rId8692"/><Relationship Type="http://schemas.openxmlformats.org/officeDocument/2006/relationships/hyperlink" Target="imagenes/NAUTICA_MENS_208009177_OLB_2.jpg" TargetMode="External" Id="rId8693"/><Relationship Type="http://schemas.openxmlformats.org/officeDocument/2006/relationships/hyperlink" Target="imagenes/NAUTICA_MENS_208009177_OLB_3.jpg" TargetMode="External" Id="rId8694"/><Relationship Type="http://schemas.openxmlformats.org/officeDocument/2006/relationships/hyperlink" Target="imagenes/NAUTICA_MENS_208009177_OLB_1.jpg" TargetMode="External" Id="rId8695"/><Relationship Type="http://schemas.openxmlformats.org/officeDocument/2006/relationships/hyperlink" Target="imagenes/NAUTICA_MENS_208009177_OLB_2.jpg" TargetMode="External" Id="rId8696"/><Relationship Type="http://schemas.openxmlformats.org/officeDocument/2006/relationships/hyperlink" Target="imagenes/NAUTICA_MENS_208009177_OLB_3.jpg" TargetMode="External" Id="rId8697"/><Relationship Type="http://schemas.openxmlformats.org/officeDocument/2006/relationships/hyperlink" Target="imagenes/NAUTICA_MENS_208009177_OLB_1.jpg" TargetMode="External" Id="rId8698"/><Relationship Type="http://schemas.openxmlformats.org/officeDocument/2006/relationships/hyperlink" Target="imagenes/NAUTICA_MENS_208009177_OLB_2.jpg" TargetMode="External" Id="rId8699"/><Relationship Type="http://schemas.openxmlformats.org/officeDocument/2006/relationships/hyperlink" Target="imagenes/NAUTICA_MENS_208009177_OLB_3.jpg" TargetMode="External" Id="rId8700"/><Relationship Type="http://schemas.openxmlformats.org/officeDocument/2006/relationships/hyperlink" Target="imagenes/NAUTICA_MENS_208009177_OLB_1.jpg" TargetMode="External" Id="rId8701"/><Relationship Type="http://schemas.openxmlformats.org/officeDocument/2006/relationships/hyperlink" Target="imagenes/NAUTICA_MENS_208009177_OLB_2.jpg" TargetMode="External" Id="rId8702"/><Relationship Type="http://schemas.openxmlformats.org/officeDocument/2006/relationships/hyperlink" Target="imagenes/NAUTICA_MENS_208009177_OLB_3.jpg" TargetMode="External" Id="rId8703"/><Relationship Type="http://schemas.openxmlformats.org/officeDocument/2006/relationships/hyperlink" Target="imagenes/NAUTICA_MENS_208009177_OLB_1.jpg" TargetMode="External" Id="rId8704"/><Relationship Type="http://schemas.openxmlformats.org/officeDocument/2006/relationships/hyperlink" Target="imagenes/NAUTICA_MENS_208009177_OLB_2.jpg" TargetMode="External" Id="rId8705"/><Relationship Type="http://schemas.openxmlformats.org/officeDocument/2006/relationships/hyperlink" Target="imagenes/NAUTICA_MENS_208009177_OLB_3.jpg" TargetMode="External" Id="rId8706"/><Relationship Type="http://schemas.openxmlformats.org/officeDocument/2006/relationships/hyperlink" Target="imagenes/NAUTICA_MENS_208009177_OLB_1.jpg" TargetMode="External" Id="rId8707"/><Relationship Type="http://schemas.openxmlformats.org/officeDocument/2006/relationships/hyperlink" Target="imagenes/NAUTICA_MENS_208009177_OLB_2.jpg" TargetMode="External" Id="rId8708"/><Relationship Type="http://schemas.openxmlformats.org/officeDocument/2006/relationships/hyperlink" Target="imagenes/NAUTICA_MENS_208009177_OLB_3.jpg" TargetMode="External" Id="rId8709"/><Relationship Type="http://schemas.openxmlformats.org/officeDocument/2006/relationships/hyperlink" Target="imagenes/NAUTICA_MENS_208009288_BLK_1.jpg" TargetMode="External" Id="rId8710"/><Relationship Type="http://schemas.openxmlformats.org/officeDocument/2006/relationships/hyperlink" Target="imagenes/NAUTICA_MENS_208009288_BLK_2.jpg" TargetMode="External" Id="rId8711"/><Relationship Type="http://schemas.openxmlformats.org/officeDocument/2006/relationships/hyperlink" Target="imagenes/NAUTICA_MENS_208009288_BLK_3.jpg" TargetMode="External" Id="rId8712"/><Relationship Type="http://schemas.openxmlformats.org/officeDocument/2006/relationships/hyperlink" Target="imagenes/NAUTICA_MENS_208009288_BLK_1.jpg" TargetMode="External" Id="rId8713"/><Relationship Type="http://schemas.openxmlformats.org/officeDocument/2006/relationships/hyperlink" Target="imagenes/NAUTICA_MENS_208009288_BLK_2.jpg" TargetMode="External" Id="rId8714"/><Relationship Type="http://schemas.openxmlformats.org/officeDocument/2006/relationships/hyperlink" Target="imagenes/NAUTICA_MENS_208009288_BLK_3.jpg" TargetMode="External" Id="rId8715"/><Relationship Type="http://schemas.openxmlformats.org/officeDocument/2006/relationships/hyperlink" Target="imagenes/NAUTICA_MENS_208009288_BLK_1.jpg" TargetMode="External" Id="rId8716"/><Relationship Type="http://schemas.openxmlformats.org/officeDocument/2006/relationships/hyperlink" Target="imagenes/NAUTICA_MENS_208009288_BLK_2.jpg" TargetMode="External" Id="rId8717"/><Relationship Type="http://schemas.openxmlformats.org/officeDocument/2006/relationships/hyperlink" Target="imagenes/NAUTICA_MENS_208009288_BLK_3.jpg" TargetMode="External" Id="rId8718"/><Relationship Type="http://schemas.openxmlformats.org/officeDocument/2006/relationships/hyperlink" Target="imagenes/NAUTICA_MENS_208009288_BLK_1.jpg" TargetMode="External" Id="rId8719"/><Relationship Type="http://schemas.openxmlformats.org/officeDocument/2006/relationships/hyperlink" Target="imagenes/NAUTICA_MENS_208009288_BLK_2.jpg" TargetMode="External" Id="rId8720"/><Relationship Type="http://schemas.openxmlformats.org/officeDocument/2006/relationships/hyperlink" Target="imagenes/NAUTICA_MENS_208009288_BLK_3.jpg" TargetMode="External" Id="rId8721"/><Relationship Type="http://schemas.openxmlformats.org/officeDocument/2006/relationships/hyperlink" Target="imagenes/NAUTICA_MENS_208009288_BLK_1.jpg" TargetMode="External" Id="rId8722"/><Relationship Type="http://schemas.openxmlformats.org/officeDocument/2006/relationships/hyperlink" Target="imagenes/NAUTICA_MENS_208009288_BLK_2.jpg" TargetMode="External" Id="rId8723"/><Relationship Type="http://schemas.openxmlformats.org/officeDocument/2006/relationships/hyperlink" Target="imagenes/NAUTICA_MENS_208009288_BLK_3.jpg" TargetMode="External" Id="rId8724"/><Relationship Type="http://schemas.openxmlformats.org/officeDocument/2006/relationships/hyperlink" Target="imagenes/NAUTICA_MENS_208009288_BLK_1.jpg" TargetMode="External" Id="rId8725"/><Relationship Type="http://schemas.openxmlformats.org/officeDocument/2006/relationships/hyperlink" Target="imagenes/NAUTICA_MENS_208009288_BLK_2.jpg" TargetMode="External" Id="rId8726"/><Relationship Type="http://schemas.openxmlformats.org/officeDocument/2006/relationships/hyperlink" Target="imagenes/NAUTICA_MENS_208009288_BLK_3.jpg" TargetMode="External" Id="rId8727"/><Relationship Type="http://schemas.openxmlformats.org/officeDocument/2006/relationships/hyperlink" Target="imagenes/NAUTICA_MENS_208009288_ERM_1.jpg" TargetMode="External" Id="rId8728"/><Relationship Type="http://schemas.openxmlformats.org/officeDocument/2006/relationships/hyperlink" Target="imagenes/NAUTICA_MENS_208009288_ERM_2.jpg" TargetMode="External" Id="rId8729"/><Relationship Type="http://schemas.openxmlformats.org/officeDocument/2006/relationships/hyperlink" Target="imagenes/NAUTICA_MENS_208009288_ERM_3.jpg" TargetMode="External" Id="rId8730"/><Relationship Type="http://schemas.openxmlformats.org/officeDocument/2006/relationships/hyperlink" Target="imagenes/NAUTICA_MENS_208009288_ERM_1.jpg" TargetMode="External" Id="rId8731"/><Relationship Type="http://schemas.openxmlformats.org/officeDocument/2006/relationships/hyperlink" Target="imagenes/NAUTICA_MENS_208009288_ERM_2.jpg" TargetMode="External" Id="rId8732"/><Relationship Type="http://schemas.openxmlformats.org/officeDocument/2006/relationships/hyperlink" Target="imagenes/NAUTICA_MENS_208009288_ERM_3.jpg" TargetMode="External" Id="rId8733"/><Relationship Type="http://schemas.openxmlformats.org/officeDocument/2006/relationships/hyperlink" Target="imagenes/NAUTICA_MENS_208009288_ERM_1.jpg" TargetMode="External" Id="rId8734"/><Relationship Type="http://schemas.openxmlformats.org/officeDocument/2006/relationships/hyperlink" Target="imagenes/NAUTICA_MENS_208009288_ERM_2.jpg" TargetMode="External" Id="rId8735"/><Relationship Type="http://schemas.openxmlformats.org/officeDocument/2006/relationships/hyperlink" Target="imagenes/NAUTICA_MENS_208009288_ERM_3.jpg" TargetMode="External" Id="rId8736"/><Relationship Type="http://schemas.openxmlformats.org/officeDocument/2006/relationships/hyperlink" Target="imagenes/NAUTICA_MENS_208009288_ERM_1.jpg" TargetMode="External" Id="rId8737"/><Relationship Type="http://schemas.openxmlformats.org/officeDocument/2006/relationships/hyperlink" Target="imagenes/NAUTICA_MENS_208009288_ERM_2.jpg" TargetMode="External" Id="rId8738"/><Relationship Type="http://schemas.openxmlformats.org/officeDocument/2006/relationships/hyperlink" Target="imagenes/NAUTICA_MENS_208009288_ERM_3.jpg" TargetMode="External" Id="rId8739"/><Relationship Type="http://schemas.openxmlformats.org/officeDocument/2006/relationships/hyperlink" Target="imagenes/NAUTICA_MENS_208009288_ERM_1.jpg" TargetMode="External" Id="rId8740"/><Relationship Type="http://schemas.openxmlformats.org/officeDocument/2006/relationships/hyperlink" Target="imagenes/NAUTICA_MENS_208009288_ERM_2.jpg" TargetMode="External" Id="rId8741"/><Relationship Type="http://schemas.openxmlformats.org/officeDocument/2006/relationships/hyperlink" Target="imagenes/NAUTICA_MENS_208009288_ERM_3.jpg" TargetMode="External" Id="rId8742"/><Relationship Type="http://schemas.openxmlformats.org/officeDocument/2006/relationships/hyperlink" Target="imagenes/NAUTICA_MENS_208009288_NVY_1.jpg" TargetMode="External" Id="rId8743"/><Relationship Type="http://schemas.openxmlformats.org/officeDocument/2006/relationships/hyperlink" Target="imagenes/NAUTICA_MENS_208009288_NVY_2.jpg" TargetMode="External" Id="rId8744"/><Relationship Type="http://schemas.openxmlformats.org/officeDocument/2006/relationships/hyperlink" Target="imagenes/NAUTICA_MENS_208009288_NVY_3.jpg" TargetMode="External" Id="rId8745"/><Relationship Type="http://schemas.openxmlformats.org/officeDocument/2006/relationships/hyperlink" Target="imagenes/NAUTICA_MENS_208009288_NVY_1.jpg" TargetMode="External" Id="rId8746"/><Relationship Type="http://schemas.openxmlformats.org/officeDocument/2006/relationships/hyperlink" Target="imagenes/NAUTICA_MENS_208009288_NVY_2.jpg" TargetMode="External" Id="rId8747"/><Relationship Type="http://schemas.openxmlformats.org/officeDocument/2006/relationships/hyperlink" Target="imagenes/NAUTICA_MENS_208009288_NVY_3.jpg" TargetMode="External" Id="rId8748"/><Relationship Type="http://schemas.openxmlformats.org/officeDocument/2006/relationships/hyperlink" Target="imagenes/NAUTICA_MENS_208009288_NVY_1.jpg" TargetMode="External" Id="rId8749"/><Relationship Type="http://schemas.openxmlformats.org/officeDocument/2006/relationships/hyperlink" Target="imagenes/NAUTICA_MENS_208009288_NVY_2.jpg" TargetMode="External" Id="rId8750"/><Relationship Type="http://schemas.openxmlformats.org/officeDocument/2006/relationships/hyperlink" Target="imagenes/NAUTICA_MENS_208009288_NVY_3.jpg" TargetMode="External" Id="rId8751"/><Relationship Type="http://schemas.openxmlformats.org/officeDocument/2006/relationships/hyperlink" Target="imagenes/NAUTICA_MENS_208009288_NVY_1.jpg" TargetMode="External" Id="rId8752"/><Relationship Type="http://schemas.openxmlformats.org/officeDocument/2006/relationships/hyperlink" Target="imagenes/NAUTICA_MENS_208009288_NVY_2.jpg" TargetMode="External" Id="rId8753"/><Relationship Type="http://schemas.openxmlformats.org/officeDocument/2006/relationships/hyperlink" Target="imagenes/NAUTICA_MENS_208009288_NVY_3.jpg" TargetMode="External" Id="rId8754"/><Relationship Type="http://schemas.openxmlformats.org/officeDocument/2006/relationships/hyperlink" Target="imagenes/NAUTICA_MENS_208009288_NVY_1.jpg" TargetMode="External" Id="rId8755"/><Relationship Type="http://schemas.openxmlformats.org/officeDocument/2006/relationships/hyperlink" Target="imagenes/NAUTICA_MENS_208009288_NVY_2.jpg" TargetMode="External" Id="rId8756"/><Relationship Type="http://schemas.openxmlformats.org/officeDocument/2006/relationships/hyperlink" Target="imagenes/NAUTICA_MENS_208009288_NVY_3.jpg" TargetMode="External" Id="rId8757"/><Relationship Type="http://schemas.openxmlformats.org/officeDocument/2006/relationships/hyperlink" Target="imagenes/NAUTICA_MENS_208009288_NVY_1.jpg" TargetMode="External" Id="rId8758"/><Relationship Type="http://schemas.openxmlformats.org/officeDocument/2006/relationships/hyperlink" Target="imagenes/NAUTICA_MENS_208009288_NVY_2.jpg" TargetMode="External" Id="rId8759"/><Relationship Type="http://schemas.openxmlformats.org/officeDocument/2006/relationships/hyperlink" Target="imagenes/NAUTICA_MENS_208009288_NVY_3.jpg" TargetMode="External" Id="rId8760"/><Relationship Type="http://schemas.openxmlformats.org/officeDocument/2006/relationships/hyperlink" Target="imagenes/NAUTICA_MENS_208009294_CB1_1.jpg" TargetMode="External" Id="rId8761"/><Relationship Type="http://schemas.openxmlformats.org/officeDocument/2006/relationships/hyperlink" Target="imagenes/NAUTICA_MENS_208009294_CB1_2.jpg" TargetMode="External" Id="rId8762"/><Relationship Type="http://schemas.openxmlformats.org/officeDocument/2006/relationships/hyperlink" Target="imagenes/NAUTICA_MENS_208009294_CB1_3.jpg" TargetMode="External" Id="rId8763"/><Relationship Type="http://schemas.openxmlformats.org/officeDocument/2006/relationships/hyperlink" Target="imagenes/NAUTICA_MENS_208009294_F6N_1.jpg" TargetMode="External" Id="rId8764"/><Relationship Type="http://schemas.openxmlformats.org/officeDocument/2006/relationships/hyperlink" Target="imagenes/NAUTICA_MENS_208009294_F6N_2.jpg" TargetMode="External" Id="rId8765"/><Relationship Type="http://schemas.openxmlformats.org/officeDocument/2006/relationships/hyperlink" Target="imagenes/NAUTICA_MENS_208009294_F6N_3.jpg" TargetMode="External" Id="rId8766"/><Relationship Type="http://schemas.openxmlformats.org/officeDocument/2006/relationships/hyperlink" Target="imagenes/NAUTICA_MENS_208009334_DDN_1.jpg" TargetMode="External" Id="rId8767"/><Relationship Type="http://schemas.openxmlformats.org/officeDocument/2006/relationships/hyperlink" Target="imagenes/NAUTICA_MENS_208009334_DDN_2.jpg" TargetMode="External" Id="rId8768"/><Relationship Type="http://schemas.openxmlformats.org/officeDocument/2006/relationships/hyperlink" Target="imagenes/NAUTICA_MENS_208009334_DDN_3.jpg" TargetMode="External" Id="rId8769"/><Relationship Type="http://schemas.openxmlformats.org/officeDocument/2006/relationships/hyperlink" Target="imagenes/NAUTICA_MENS_208009334_DDN_1.jpg" TargetMode="External" Id="rId8770"/><Relationship Type="http://schemas.openxmlformats.org/officeDocument/2006/relationships/hyperlink" Target="imagenes/NAUTICA_MENS_208009334_DDN_2.jpg" TargetMode="External" Id="rId8771"/><Relationship Type="http://schemas.openxmlformats.org/officeDocument/2006/relationships/hyperlink" Target="imagenes/NAUTICA_MENS_208009334_DDN_3.jpg" TargetMode="External" Id="rId8772"/><Relationship Type="http://schemas.openxmlformats.org/officeDocument/2006/relationships/hyperlink" Target="imagenes/NAUTICA_MENS_208009334_DDN_1.jpg" TargetMode="External" Id="rId8773"/><Relationship Type="http://schemas.openxmlformats.org/officeDocument/2006/relationships/hyperlink" Target="imagenes/NAUTICA_MENS_208009334_DDN_2.jpg" TargetMode="External" Id="rId8774"/><Relationship Type="http://schemas.openxmlformats.org/officeDocument/2006/relationships/hyperlink" Target="imagenes/NAUTICA_MENS_208009334_DDN_3.jpg" TargetMode="External" Id="rId8775"/><Relationship Type="http://schemas.openxmlformats.org/officeDocument/2006/relationships/hyperlink" Target="imagenes/NAUTICA_MENS_208009334_DDN_1.jpg" TargetMode="External" Id="rId8776"/><Relationship Type="http://schemas.openxmlformats.org/officeDocument/2006/relationships/hyperlink" Target="imagenes/NAUTICA_MENS_208009334_DDN_2.jpg" TargetMode="External" Id="rId8777"/><Relationship Type="http://schemas.openxmlformats.org/officeDocument/2006/relationships/hyperlink" Target="imagenes/NAUTICA_MENS_208009334_DDN_3.jpg" TargetMode="External" Id="rId8778"/><Relationship Type="http://schemas.openxmlformats.org/officeDocument/2006/relationships/hyperlink" Target="imagenes/NAUTICA_MENS_208009334_DDN_1.jpg" TargetMode="External" Id="rId8779"/><Relationship Type="http://schemas.openxmlformats.org/officeDocument/2006/relationships/hyperlink" Target="imagenes/NAUTICA_MENS_208009334_DDN_2.jpg" TargetMode="External" Id="rId8780"/><Relationship Type="http://schemas.openxmlformats.org/officeDocument/2006/relationships/hyperlink" Target="imagenes/NAUTICA_MENS_208009334_DDN_3.jpg" TargetMode="External" Id="rId8781"/><Relationship Type="http://schemas.openxmlformats.org/officeDocument/2006/relationships/hyperlink" Target="imagenes/NAUTICA_MENS_208009334_DDN_1.jpg" TargetMode="External" Id="rId8782"/><Relationship Type="http://schemas.openxmlformats.org/officeDocument/2006/relationships/hyperlink" Target="imagenes/NAUTICA_MENS_208009334_DDN_2.jpg" TargetMode="External" Id="rId8783"/><Relationship Type="http://schemas.openxmlformats.org/officeDocument/2006/relationships/hyperlink" Target="imagenes/NAUTICA_MENS_208009334_DDN_3.jpg" TargetMode="External" Id="rId8784"/><Relationship Type="http://schemas.openxmlformats.org/officeDocument/2006/relationships/hyperlink" Target="imagenes/NAUTICA_MENS_208009334_DDN_1.jpg" TargetMode="External" Id="rId8785"/><Relationship Type="http://schemas.openxmlformats.org/officeDocument/2006/relationships/hyperlink" Target="imagenes/NAUTICA_MENS_208009334_DDN_2.jpg" TargetMode="External" Id="rId8786"/><Relationship Type="http://schemas.openxmlformats.org/officeDocument/2006/relationships/hyperlink" Target="imagenes/NAUTICA_MENS_208009334_DDN_3.jpg" TargetMode="External" Id="rId8787"/><Relationship Type="http://schemas.openxmlformats.org/officeDocument/2006/relationships/hyperlink" Target="imagenes/NAUTICA_MENS_208009334_DDN_1.jpg" TargetMode="External" Id="rId8788"/><Relationship Type="http://schemas.openxmlformats.org/officeDocument/2006/relationships/hyperlink" Target="imagenes/NAUTICA_MENS_208009334_DDN_2.jpg" TargetMode="External" Id="rId8789"/><Relationship Type="http://schemas.openxmlformats.org/officeDocument/2006/relationships/hyperlink" Target="imagenes/NAUTICA_MENS_208009334_DDN_3.jpg" TargetMode="External" Id="rId8790"/><Relationship Type="http://schemas.openxmlformats.org/officeDocument/2006/relationships/hyperlink" Target="imagenes/NAUTICA_MENS_208009334_DDN_1.jpg" TargetMode="External" Id="rId8791"/><Relationship Type="http://schemas.openxmlformats.org/officeDocument/2006/relationships/hyperlink" Target="imagenes/NAUTICA_MENS_208009334_DDN_2.jpg" TargetMode="External" Id="rId8792"/><Relationship Type="http://schemas.openxmlformats.org/officeDocument/2006/relationships/hyperlink" Target="imagenes/NAUTICA_MENS_208009334_DDN_3.jpg" TargetMode="External" Id="rId8793"/><Relationship Type="http://schemas.openxmlformats.org/officeDocument/2006/relationships/hyperlink" Target="imagenes/NAUTICA_MENS_208009334_NVY_1.jpg" TargetMode="External" Id="rId8794"/><Relationship Type="http://schemas.openxmlformats.org/officeDocument/2006/relationships/hyperlink" Target="imagenes/NAUTICA_MENS_208009334_NVY_2.jpg" TargetMode="External" Id="rId8795"/><Relationship Type="http://schemas.openxmlformats.org/officeDocument/2006/relationships/hyperlink" Target="imagenes/NAUTICA_MENS_208009334_NVY_3.jpg" TargetMode="External" Id="rId8796"/><Relationship Type="http://schemas.openxmlformats.org/officeDocument/2006/relationships/hyperlink" Target="imagenes/NAUTICA_MENS_208009334_NVY_1.jpg" TargetMode="External" Id="rId8797"/><Relationship Type="http://schemas.openxmlformats.org/officeDocument/2006/relationships/hyperlink" Target="imagenes/NAUTICA_MENS_208009334_NVY_2.jpg" TargetMode="External" Id="rId8798"/><Relationship Type="http://schemas.openxmlformats.org/officeDocument/2006/relationships/hyperlink" Target="imagenes/NAUTICA_MENS_208009334_NVY_3.jpg" TargetMode="External" Id="rId8799"/><Relationship Type="http://schemas.openxmlformats.org/officeDocument/2006/relationships/hyperlink" Target="imagenes/NAUTICA_MENS_208009334_NVY_1.jpg" TargetMode="External" Id="rId8800"/><Relationship Type="http://schemas.openxmlformats.org/officeDocument/2006/relationships/hyperlink" Target="imagenes/NAUTICA_MENS_208009334_NVY_2.jpg" TargetMode="External" Id="rId8801"/><Relationship Type="http://schemas.openxmlformats.org/officeDocument/2006/relationships/hyperlink" Target="imagenes/NAUTICA_MENS_208009334_NVY_3.jpg" TargetMode="External" Id="rId8802"/><Relationship Type="http://schemas.openxmlformats.org/officeDocument/2006/relationships/hyperlink" Target="imagenes/NAUTICA_MENS_208009334_NVY_1.jpg" TargetMode="External" Id="rId8803"/><Relationship Type="http://schemas.openxmlformats.org/officeDocument/2006/relationships/hyperlink" Target="imagenes/NAUTICA_MENS_208009334_NVY_2.jpg" TargetMode="External" Id="rId8804"/><Relationship Type="http://schemas.openxmlformats.org/officeDocument/2006/relationships/hyperlink" Target="imagenes/NAUTICA_MENS_208009334_NVY_3.jpg" TargetMode="External" Id="rId8805"/><Relationship Type="http://schemas.openxmlformats.org/officeDocument/2006/relationships/hyperlink" Target="imagenes/NAUTICA_MENS_208009334_NVY_1.jpg" TargetMode="External" Id="rId8806"/><Relationship Type="http://schemas.openxmlformats.org/officeDocument/2006/relationships/hyperlink" Target="imagenes/NAUTICA_MENS_208009334_NVY_2.jpg" TargetMode="External" Id="rId8807"/><Relationship Type="http://schemas.openxmlformats.org/officeDocument/2006/relationships/hyperlink" Target="imagenes/NAUTICA_MENS_208009334_NVY_3.jpg" TargetMode="External" Id="rId8808"/><Relationship Type="http://schemas.openxmlformats.org/officeDocument/2006/relationships/hyperlink" Target="imagenes/NAUTICA_MENS_208009334_NVY_1.jpg" TargetMode="External" Id="rId8809"/><Relationship Type="http://schemas.openxmlformats.org/officeDocument/2006/relationships/hyperlink" Target="imagenes/NAUTICA_MENS_208009334_NVY_2.jpg" TargetMode="External" Id="rId8810"/><Relationship Type="http://schemas.openxmlformats.org/officeDocument/2006/relationships/hyperlink" Target="imagenes/NAUTICA_MENS_208009334_NVY_3.jpg" TargetMode="External" Id="rId8811"/><Relationship Type="http://schemas.openxmlformats.org/officeDocument/2006/relationships/hyperlink" Target="imagenes/NAUTICA_MENS_208009334_NVY_1.jpg" TargetMode="External" Id="rId8812"/><Relationship Type="http://schemas.openxmlformats.org/officeDocument/2006/relationships/hyperlink" Target="imagenes/NAUTICA_MENS_208009334_NVY_2.jpg" TargetMode="External" Id="rId8813"/><Relationship Type="http://schemas.openxmlformats.org/officeDocument/2006/relationships/hyperlink" Target="imagenes/NAUTICA_MENS_208009334_NVY_3.jpg" TargetMode="External" Id="rId8814"/><Relationship Type="http://schemas.openxmlformats.org/officeDocument/2006/relationships/hyperlink" Target="imagenes/NAUTICA_MENS_208009334_NVY_1.jpg" TargetMode="External" Id="rId8815"/><Relationship Type="http://schemas.openxmlformats.org/officeDocument/2006/relationships/hyperlink" Target="imagenes/NAUTICA_MENS_208009334_NVY_2.jpg" TargetMode="External" Id="rId8816"/><Relationship Type="http://schemas.openxmlformats.org/officeDocument/2006/relationships/hyperlink" Target="imagenes/NAUTICA_MENS_208009334_NVY_3.jpg" TargetMode="External" Id="rId8817"/><Relationship Type="http://schemas.openxmlformats.org/officeDocument/2006/relationships/hyperlink" Target="imagenes/NAUTICA_MENS_208009334_NVY_1.jpg" TargetMode="External" Id="rId8818"/><Relationship Type="http://schemas.openxmlformats.org/officeDocument/2006/relationships/hyperlink" Target="imagenes/NAUTICA_MENS_208009334_NVY_2.jpg" TargetMode="External" Id="rId8819"/><Relationship Type="http://schemas.openxmlformats.org/officeDocument/2006/relationships/hyperlink" Target="imagenes/NAUTICA_MENS_208009334_NVY_3.jpg" TargetMode="External" Id="rId8820"/><Relationship Type="http://schemas.openxmlformats.org/officeDocument/2006/relationships/hyperlink" Target="imagenes/NAUTICA_MENS_208009334_NVY_1.jpg" TargetMode="External" Id="rId8821"/><Relationship Type="http://schemas.openxmlformats.org/officeDocument/2006/relationships/hyperlink" Target="imagenes/NAUTICA_MENS_208009334_NVY_2.jpg" TargetMode="External" Id="rId8822"/><Relationship Type="http://schemas.openxmlformats.org/officeDocument/2006/relationships/hyperlink" Target="imagenes/NAUTICA_MENS_208009334_NVY_3.jpg" TargetMode="External" Id="rId8823"/><Relationship Type="http://schemas.openxmlformats.org/officeDocument/2006/relationships/hyperlink" Target="imagenes/NAUTICA_MENS_208009334_RED_1.jpg" TargetMode="External" Id="rId8824"/><Relationship Type="http://schemas.openxmlformats.org/officeDocument/2006/relationships/hyperlink" Target="imagenes/NAUTICA_MENS_208009334_RED_2.jpg" TargetMode="External" Id="rId8825"/><Relationship Type="http://schemas.openxmlformats.org/officeDocument/2006/relationships/hyperlink" Target="imagenes/NAUTICA_MENS_208009334_RED_3.jpg" TargetMode="External" Id="rId8826"/><Relationship Type="http://schemas.openxmlformats.org/officeDocument/2006/relationships/hyperlink" Target="imagenes/NAUTICA_MENS_208009334_RED_1.jpg" TargetMode="External" Id="rId8827"/><Relationship Type="http://schemas.openxmlformats.org/officeDocument/2006/relationships/hyperlink" Target="imagenes/NAUTICA_MENS_208009334_RED_2.jpg" TargetMode="External" Id="rId8828"/><Relationship Type="http://schemas.openxmlformats.org/officeDocument/2006/relationships/hyperlink" Target="imagenes/NAUTICA_MENS_208009334_RED_3.jpg" TargetMode="External" Id="rId8829"/><Relationship Type="http://schemas.openxmlformats.org/officeDocument/2006/relationships/hyperlink" Target="imagenes/NAUTICA_MENS_208009334_RED_1.jpg" TargetMode="External" Id="rId8830"/><Relationship Type="http://schemas.openxmlformats.org/officeDocument/2006/relationships/hyperlink" Target="imagenes/NAUTICA_MENS_208009334_RED_2.jpg" TargetMode="External" Id="rId8831"/><Relationship Type="http://schemas.openxmlformats.org/officeDocument/2006/relationships/hyperlink" Target="imagenes/NAUTICA_MENS_208009334_RED_3.jpg" TargetMode="External" Id="rId8832"/><Relationship Type="http://schemas.openxmlformats.org/officeDocument/2006/relationships/hyperlink" Target="imagenes/NAUTICA_MENS_208009334_RED_1.jpg" TargetMode="External" Id="rId8833"/><Relationship Type="http://schemas.openxmlformats.org/officeDocument/2006/relationships/hyperlink" Target="imagenes/NAUTICA_MENS_208009334_RED_2.jpg" TargetMode="External" Id="rId8834"/><Relationship Type="http://schemas.openxmlformats.org/officeDocument/2006/relationships/hyperlink" Target="imagenes/NAUTICA_MENS_208009334_RED_3.jpg" TargetMode="External" Id="rId8835"/><Relationship Type="http://schemas.openxmlformats.org/officeDocument/2006/relationships/hyperlink" Target="imagenes/NAUTICA_MENS_208009334_RED_1.jpg" TargetMode="External" Id="rId8836"/><Relationship Type="http://schemas.openxmlformats.org/officeDocument/2006/relationships/hyperlink" Target="imagenes/NAUTICA_MENS_208009334_RED_2.jpg" TargetMode="External" Id="rId8837"/><Relationship Type="http://schemas.openxmlformats.org/officeDocument/2006/relationships/hyperlink" Target="imagenes/NAUTICA_MENS_208009334_RED_3.jpg" TargetMode="External" Id="rId8838"/><Relationship Type="http://schemas.openxmlformats.org/officeDocument/2006/relationships/hyperlink" Target="imagenes/NAUTICA_MENS_208009334_RED_1.jpg" TargetMode="External" Id="rId8839"/><Relationship Type="http://schemas.openxmlformats.org/officeDocument/2006/relationships/hyperlink" Target="imagenes/NAUTICA_MENS_208009334_RED_2.jpg" TargetMode="External" Id="rId8840"/><Relationship Type="http://schemas.openxmlformats.org/officeDocument/2006/relationships/hyperlink" Target="imagenes/NAUTICA_MENS_208009334_RED_3.jpg" TargetMode="External" Id="rId8841"/><Relationship Type="http://schemas.openxmlformats.org/officeDocument/2006/relationships/hyperlink" Target="imagenes/NAUTICA_MENS_208009334_RED_1.jpg" TargetMode="External" Id="rId8842"/><Relationship Type="http://schemas.openxmlformats.org/officeDocument/2006/relationships/hyperlink" Target="imagenes/NAUTICA_MENS_208009334_RED_2.jpg" TargetMode="External" Id="rId8843"/><Relationship Type="http://schemas.openxmlformats.org/officeDocument/2006/relationships/hyperlink" Target="imagenes/NAUTICA_MENS_208009334_RED_3.jpg" TargetMode="External" Id="rId8844"/><Relationship Type="http://schemas.openxmlformats.org/officeDocument/2006/relationships/hyperlink" Target="imagenes/NAUTICA_MENS_208009334_RED_1.jpg" TargetMode="External" Id="rId8845"/><Relationship Type="http://schemas.openxmlformats.org/officeDocument/2006/relationships/hyperlink" Target="imagenes/NAUTICA_MENS_208009334_RED_2.jpg" TargetMode="External" Id="rId8846"/><Relationship Type="http://schemas.openxmlformats.org/officeDocument/2006/relationships/hyperlink" Target="imagenes/NAUTICA_MENS_208009334_RED_3.jpg" TargetMode="External" Id="rId8847"/><Relationship Type="http://schemas.openxmlformats.org/officeDocument/2006/relationships/hyperlink" Target="imagenes/NAUTICA_MENS_208009334_RED_1.jpg" TargetMode="External" Id="rId8848"/><Relationship Type="http://schemas.openxmlformats.org/officeDocument/2006/relationships/hyperlink" Target="imagenes/NAUTICA_MENS_208009334_RED_2.jpg" TargetMode="External" Id="rId8849"/><Relationship Type="http://schemas.openxmlformats.org/officeDocument/2006/relationships/hyperlink" Target="imagenes/NAUTICA_MENS_208009334_RED_3.jpg" TargetMode="External" Id="rId8850"/><Relationship Type="http://schemas.openxmlformats.org/officeDocument/2006/relationships/hyperlink" Target="imagenes/NAUTICA_MENS_208009334_RED_1.jpg" TargetMode="External" Id="rId8851"/><Relationship Type="http://schemas.openxmlformats.org/officeDocument/2006/relationships/hyperlink" Target="imagenes/NAUTICA_MENS_208009334_RED_2.jpg" TargetMode="External" Id="rId8852"/><Relationship Type="http://schemas.openxmlformats.org/officeDocument/2006/relationships/hyperlink" Target="imagenes/NAUTICA_MENS_208009334_RED_3.jpg" TargetMode="External" Id="rId8853"/><Relationship Type="http://schemas.openxmlformats.org/officeDocument/2006/relationships/hyperlink" Target="imagenes/NAUTICA_MENS_208009470_BGI_1.jpg" TargetMode="External" Id="rId8854"/><Relationship Type="http://schemas.openxmlformats.org/officeDocument/2006/relationships/hyperlink" Target="imagenes/NAUTICA_MENS_208009470_BGI_2.jpg" TargetMode="External" Id="rId8855"/><Relationship Type="http://schemas.openxmlformats.org/officeDocument/2006/relationships/hyperlink" Target="imagenes/NAUTICA_MENS_208009470_BGI_3.jpg" TargetMode="External" Id="rId8856"/><Relationship Type="http://schemas.openxmlformats.org/officeDocument/2006/relationships/hyperlink" Target="imagenes/NAUTICA_MENS_208009470_BGI_1.jpg" TargetMode="External" Id="rId8857"/><Relationship Type="http://schemas.openxmlformats.org/officeDocument/2006/relationships/hyperlink" Target="imagenes/NAUTICA_MENS_208009470_BGI_2.jpg" TargetMode="External" Id="rId8858"/><Relationship Type="http://schemas.openxmlformats.org/officeDocument/2006/relationships/hyperlink" Target="imagenes/NAUTICA_MENS_208009470_BGI_3.jpg" TargetMode="External" Id="rId8859"/><Relationship Type="http://schemas.openxmlformats.org/officeDocument/2006/relationships/hyperlink" Target="imagenes/NAUTICA_MENS_208009470_BGI_1.jpg" TargetMode="External" Id="rId8860"/><Relationship Type="http://schemas.openxmlformats.org/officeDocument/2006/relationships/hyperlink" Target="imagenes/NAUTICA_MENS_208009470_BGI_2.jpg" TargetMode="External" Id="rId8861"/><Relationship Type="http://schemas.openxmlformats.org/officeDocument/2006/relationships/hyperlink" Target="imagenes/NAUTICA_MENS_208009470_BGI_3.jpg" TargetMode="External" Id="rId8862"/><Relationship Type="http://schemas.openxmlformats.org/officeDocument/2006/relationships/hyperlink" Target="imagenes/NAUTICA_MENS_208009470_BGI_1.jpg" TargetMode="External" Id="rId8863"/><Relationship Type="http://schemas.openxmlformats.org/officeDocument/2006/relationships/hyperlink" Target="imagenes/NAUTICA_MENS_208009470_BGI_2.jpg" TargetMode="External" Id="rId8864"/><Relationship Type="http://schemas.openxmlformats.org/officeDocument/2006/relationships/hyperlink" Target="imagenes/NAUTICA_MENS_208009470_BGI_3.jpg" TargetMode="External" Id="rId8865"/><Relationship Type="http://schemas.openxmlformats.org/officeDocument/2006/relationships/hyperlink" Target="imagenes/NAUTICA_MENS_208009470_BGI_1.jpg" TargetMode="External" Id="rId8866"/><Relationship Type="http://schemas.openxmlformats.org/officeDocument/2006/relationships/hyperlink" Target="imagenes/NAUTICA_MENS_208009470_BGI_2.jpg" TargetMode="External" Id="rId8867"/><Relationship Type="http://schemas.openxmlformats.org/officeDocument/2006/relationships/hyperlink" Target="imagenes/NAUTICA_MENS_208009470_BGI_3.jpg" TargetMode="External" Id="rId8868"/><Relationship Type="http://schemas.openxmlformats.org/officeDocument/2006/relationships/hyperlink" Target="imagenes/NAUTICA_MENS_208009470_BGI_1.jpg" TargetMode="External" Id="rId8869"/><Relationship Type="http://schemas.openxmlformats.org/officeDocument/2006/relationships/hyperlink" Target="imagenes/NAUTICA_MENS_208009470_BGI_2.jpg" TargetMode="External" Id="rId8870"/><Relationship Type="http://schemas.openxmlformats.org/officeDocument/2006/relationships/hyperlink" Target="imagenes/NAUTICA_MENS_208009470_BGI_3.jpg" TargetMode="External" Id="rId8871"/><Relationship Type="http://schemas.openxmlformats.org/officeDocument/2006/relationships/hyperlink" Target="imagenes/NAUTICA_MENS_208009470_BLK_1.jpg" TargetMode="External" Id="rId8872"/><Relationship Type="http://schemas.openxmlformats.org/officeDocument/2006/relationships/hyperlink" Target="imagenes/NAUTICA_MENS_208009470_BLK_2.jpg" TargetMode="External" Id="rId8873"/><Relationship Type="http://schemas.openxmlformats.org/officeDocument/2006/relationships/hyperlink" Target="imagenes/NAUTICA_MENS_208009470_BLK_3.jpg" TargetMode="External" Id="rId8874"/><Relationship Type="http://schemas.openxmlformats.org/officeDocument/2006/relationships/hyperlink" Target="imagenes/NAUTICA_MENS_208009470_BLK_1.jpg" TargetMode="External" Id="rId8875"/><Relationship Type="http://schemas.openxmlformats.org/officeDocument/2006/relationships/hyperlink" Target="imagenes/NAUTICA_MENS_208009470_BLK_2.jpg" TargetMode="External" Id="rId8876"/><Relationship Type="http://schemas.openxmlformats.org/officeDocument/2006/relationships/hyperlink" Target="imagenes/NAUTICA_MENS_208009470_BLK_3.jpg" TargetMode="External" Id="rId8877"/><Relationship Type="http://schemas.openxmlformats.org/officeDocument/2006/relationships/hyperlink" Target="imagenes/NAUTICA_MENS_208009470_BLK_1.jpg" TargetMode="External" Id="rId8878"/><Relationship Type="http://schemas.openxmlformats.org/officeDocument/2006/relationships/hyperlink" Target="imagenes/NAUTICA_MENS_208009470_BLK_2.jpg" TargetMode="External" Id="rId8879"/><Relationship Type="http://schemas.openxmlformats.org/officeDocument/2006/relationships/hyperlink" Target="imagenes/NAUTICA_MENS_208009470_BLK_3.jpg" TargetMode="External" Id="rId8880"/><Relationship Type="http://schemas.openxmlformats.org/officeDocument/2006/relationships/hyperlink" Target="imagenes/NAUTICA_MENS_208009470_BLK_1.jpg" TargetMode="External" Id="rId8881"/><Relationship Type="http://schemas.openxmlformats.org/officeDocument/2006/relationships/hyperlink" Target="imagenes/NAUTICA_MENS_208009470_BLK_2.jpg" TargetMode="External" Id="rId8882"/><Relationship Type="http://schemas.openxmlformats.org/officeDocument/2006/relationships/hyperlink" Target="imagenes/NAUTICA_MENS_208009470_BLK_3.jpg" TargetMode="External" Id="rId8883"/><Relationship Type="http://schemas.openxmlformats.org/officeDocument/2006/relationships/hyperlink" Target="imagenes/NAUTICA_MENS_208009470_BLK_1.jpg" TargetMode="External" Id="rId8884"/><Relationship Type="http://schemas.openxmlformats.org/officeDocument/2006/relationships/hyperlink" Target="imagenes/NAUTICA_MENS_208009470_BLK_2.jpg" TargetMode="External" Id="rId8885"/><Relationship Type="http://schemas.openxmlformats.org/officeDocument/2006/relationships/hyperlink" Target="imagenes/NAUTICA_MENS_208009470_BLK_3.jpg" TargetMode="External" Id="rId8886"/><Relationship Type="http://schemas.openxmlformats.org/officeDocument/2006/relationships/hyperlink" Target="imagenes/NAUTICA_MENS_208009470_NVY_1.jpg" TargetMode="External" Id="rId8887"/><Relationship Type="http://schemas.openxmlformats.org/officeDocument/2006/relationships/hyperlink" Target="imagenes/NAUTICA_MENS_208009470_NVY_2.jpg" TargetMode="External" Id="rId8888"/><Relationship Type="http://schemas.openxmlformats.org/officeDocument/2006/relationships/hyperlink" Target="imagenes/NAUTICA_MENS_208009470_NVY_3.jpg" TargetMode="External" Id="rId8889"/><Relationship Type="http://schemas.openxmlformats.org/officeDocument/2006/relationships/hyperlink" Target="imagenes/NAUTICA_MENS_208009470_NVY_1.jpg" TargetMode="External" Id="rId8890"/><Relationship Type="http://schemas.openxmlformats.org/officeDocument/2006/relationships/hyperlink" Target="imagenes/NAUTICA_MENS_208009470_NVY_2.jpg" TargetMode="External" Id="rId8891"/><Relationship Type="http://schemas.openxmlformats.org/officeDocument/2006/relationships/hyperlink" Target="imagenes/NAUTICA_MENS_208009470_NVY_3.jpg" TargetMode="External" Id="rId8892"/><Relationship Type="http://schemas.openxmlformats.org/officeDocument/2006/relationships/hyperlink" Target="imagenes/NAUTICA_MENS_208009470_NVY_1.jpg" TargetMode="External" Id="rId8893"/><Relationship Type="http://schemas.openxmlformats.org/officeDocument/2006/relationships/hyperlink" Target="imagenes/NAUTICA_MENS_208009470_NVY_2.jpg" TargetMode="External" Id="rId8894"/><Relationship Type="http://schemas.openxmlformats.org/officeDocument/2006/relationships/hyperlink" Target="imagenes/NAUTICA_MENS_208009470_NVY_3.jpg" TargetMode="External" Id="rId8895"/><Relationship Type="http://schemas.openxmlformats.org/officeDocument/2006/relationships/hyperlink" Target="imagenes/NAUTICA_MENS_208009470_NVY_1.jpg" TargetMode="External" Id="rId8896"/><Relationship Type="http://schemas.openxmlformats.org/officeDocument/2006/relationships/hyperlink" Target="imagenes/NAUTICA_MENS_208009470_NVY_2.jpg" TargetMode="External" Id="rId8897"/><Relationship Type="http://schemas.openxmlformats.org/officeDocument/2006/relationships/hyperlink" Target="imagenes/NAUTICA_MENS_208009470_NVY_3.jpg" TargetMode="External" Id="rId8898"/><Relationship Type="http://schemas.openxmlformats.org/officeDocument/2006/relationships/hyperlink" Target="imagenes/NAUTICA_MENS_208009470_NVY_1.jpg" TargetMode="External" Id="rId8899"/><Relationship Type="http://schemas.openxmlformats.org/officeDocument/2006/relationships/hyperlink" Target="imagenes/NAUTICA_MENS_208009470_NVY_2.jpg" TargetMode="External" Id="rId8900"/><Relationship Type="http://schemas.openxmlformats.org/officeDocument/2006/relationships/hyperlink" Target="imagenes/NAUTICA_MENS_208009470_NVY_3.jpg" TargetMode="External" Id="rId8901"/><Relationship Type="http://schemas.openxmlformats.org/officeDocument/2006/relationships/hyperlink" Target="imagenes/NAUTICA_MENS_208009537_GYH_1.jpg" TargetMode="External" Id="rId8902"/><Relationship Type="http://schemas.openxmlformats.org/officeDocument/2006/relationships/hyperlink" Target="imagenes/NAUTICA_MENS_208009537_GYH_2.jpg" TargetMode="External" Id="rId8903"/><Relationship Type="http://schemas.openxmlformats.org/officeDocument/2006/relationships/hyperlink" Target="imagenes/NAUTICA_MENS_208009537_GYH_3.jpg" TargetMode="External" Id="rId8904"/><Relationship Type="http://schemas.openxmlformats.org/officeDocument/2006/relationships/hyperlink" Target="imagenes/NAUTICA_MENS_208009537_GYH_1.jpg" TargetMode="External" Id="rId8905"/><Relationship Type="http://schemas.openxmlformats.org/officeDocument/2006/relationships/hyperlink" Target="imagenes/NAUTICA_MENS_208009537_GYH_2.jpg" TargetMode="External" Id="rId8906"/><Relationship Type="http://schemas.openxmlformats.org/officeDocument/2006/relationships/hyperlink" Target="imagenes/NAUTICA_MENS_208009537_GYH_3.jpg" TargetMode="External" Id="rId8907"/><Relationship Type="http://schemas.openxmlformats.org/officeDocument/2006/relationships/hyperlink" Target="imagenes/NAUTICA_MENS_208009537_GYH_1.jpg" TargetMode="External" Id="rId8908"/><Relationship Type="http://schemas.openxmlformats.org/officeDocument/2006/relationships/hyperlink" Target="imagenes/NAUTICA_MENS_208009537_GYH_2.jpg" TargetMode="External" Id="rId8909"/><Relationship Type="http://schemas.openxmlformats.org/officeDocument/2006/relationships/hyperlink" Target="imagenes/NAUTICA_MENS_208009537_GYH_3.jpg" TargetMode="External" Id="rId8910"/><Relationship Type="http://schemas.openxmlformats.org/officeDocument/2006/relationships/hyperlink" Target="imagenes/NAUTICA_MENS_208009537_GYH_1.jpg" TargetMode="External" Id="rId8911"/><Relationship Type="http://schemas.openxmlformats.org/officeDocument/2006/relationships/hyperlink" Target="imagenes/NAUTICA_MENS_208009537_GYH_2.jpg" TargetMode="External" Id="rId8912"/><Relationship Type="http://schemas.openxmlformats.org/officeDocument/2006/relationships/hyperlink" Target="imagenes/NAUTICA_MENS_208009537_GYH_3.jpg" TargetMode="External" Id="rId8913"/><Relationship Type="http://schemas.openxmlformats.org/officeDocument/2006/relationships/hyperlink" Target="imagenes/NAUTICA_MENS_208009537_GYH_1.jpg" TargetMode="External" Id="rId8914"/><Relationship Type="http://schemas.openxmlformats.org/officeDocument/2006/relationships/hyperlink" Target="imagenes/NAUTICA_MENS_208009537_GYH_2.jpg" TargetMode="External" Id="rId8915"/><Relationship Type="http://schemas.openxmlformats.org/officeDocument/2006/relationships/hyperlink" Target="imagenes/NAUTICA_MENS_208009537_GYH_3.jpg" TargetMode="External" Id="rId8916"/><Relationship Type="http://schemas.openxmlformats.org/officeDocument/2006/relationships/hyperlink" Target="imagenes/NAUTICA_MENS_208009537_GYH_1.jpg" TargetMode="External" Id="rId8917"/><Relationship Type="http://schemas.openxmlformats.org/officeDocument/2006/relationships/hyperlink" Target="imagenes/NAUTICA_MENS_208009537_GYH_2.jpg" TargetMode="External" Id="rId8918"/><Relationship Type="http://schemas.openxmlformats.org/officeDocument/2006/relationships/hyperlink" Target="imagenes/NAUTICA_MENS_208009537_GYH_3.jpg" TargetMode="External" Id="rId8919"/><Relationship Type="http://schemas.openxmlformats.org/officeDocument/2006/relationships/hyperlink" Target="imagenes/NAUTICA_MENS_208009537_GYH_1.jpg" TargetMode="External" Id="rId8920"/><Relationship Type="http://schemas.openxmlformats.org/officeDocument/2006/relationships/hyperlink" Target="imagenes/NAUTICA_MENS_208009537_GYH_2.jpg" TargetMode="External" Id="rId8921"/><Relationship Type="http://schemas.openxmlformats.org/officeDocument/2006/relationships/hyperlink" Target="imagenes/NAUTICA_MENS_208009537_GYH_3.jpg" TargetMode="External" Id="rId8922"/><Relationship Type="http://schemas.openxmlformats.org/officeDocument/2006/relationships/hyperlink" Target="imagenes/NAUTICA_MENS_208009696_BLK_1.jpg" TargetMode="External" Id="rId8923"/><Relationship Type="http://schemas.openxmlformats.org/officeDocument/2006/relationships/hyperlink" Target="imagenes/NAUTICA_MENS_208009696_BLK_2.jpg" TargetMode="External" Id="rId8924"/><Relationship Type="http://schemas.openxmlformats.org/officeDocument/2006/relationships/hyperlink" Target="imagenes/NAUTICA_MENS_208009696_BLK_3.jpg" TargetMode="External" Id="rId8925"/><Relationship Type="http://schemas.openxmlformats.org/officeDocument/2006/relationships/hyperlink" Target="imagenes/NAUTICA_MENS_208009696_BLK_1.jpg" TargetMode="External" Id="rId8926"/><Relationship Type="http://schemas.openxmlformats.org/officeDocument/2006/relationships/hyperlink" Target="imagenes/NAUTICA_MENS_208009696_BLK_2.jpg" TargetMode="External" Id="rId8927"/><Relationship Type="http://schemas.openxmlformats.org/officeDocument/2006/relationships/hyperlink" Target="imagenes/NAUTICA_MENS_208009696_BLK_3.jpg" TargetMode="External" Id="rId8928"/><Relationship Type="http://schemas.openxmlformats.org/officeDocument/2006/relationships/hyperlink" Target="imagenes/NAUTICA_MENS_208009696_BLK_1.jpg" TargetMode="External" Id="rId8929"/><Relationship Type="http://schemas.openxmlformats.org/officeDocument/2006/relationships/hyperlink" Target="imagenes/NAUTICA_MENS_208009696_BLK_2.jpg" TargetMode="External" Id="rId8930"/><Relationship Type="http://schemas.openxmlformats.org/officeDocument/2006/relationships/hyperlink" Target="imagenes/NAUTICA_MENS_208009696_BLK_3.jpg" TargetMode="External" Id="rId8931"/><Relationship Type="http://schemas.openxmlformats.org/officeDocument/2006/relationships/hyperlink" Target="imagenes/NAUTICA_MENS_208009696_MTA_1.jpg" TargetMode="External" Id="rId8932"/><Relationship Type="http://schemas.openxmlformats.org/officeDocument/2006/relationships/hyperlink" Target="imagenes/NAUTICA_MENS_208009696_MTA_2.jpg" TargetMode="External" Id="rId8933"/><Relationship Type="http://schemas.openxmlformats.org/officeDocument/2006/relationships/hyperlink" Target="imagenes/NAUTICA_MENS_208009696_MTA_3.jpg" TargetMode="External" Id="rId8934"/><Relationship Type="http://schemas.openxmlformats.org/officeDocument/2006/relationships/hyperlink" Target="imagenes/NAUTICA_MENS_208009696_NVY_1.jpg" TargetMode="External" Id="rId8935"/><Relationship Type="http://schemas.openxmlformats.org/officeDocument/2006/relationships/hyperlink" Target="imagenes/NAUTICA_MENS_208009696_NVY_2.jpg" TargetMode="External" Id="rId8936"/><Relationship Type="http://schemas.openxmlformats.org/officeDocument/2006/relationships/hyperlink" Target="imagenes/NAUTICA_MENS_208009696_NVY_3.jpg" TargetMode="External" Id="rId8937"/><Relationship Type="http://schemas.openxmlformats.org/officeDocument/2006/relationships/hyperlink" Target="imagenes/NAUTICA_MENS_208009696_NVY_1.jpg" TargetMode="External" Id="rId8938"/><Relationship Type="http://schemas.openxmlformats.org/officeDocument/2006/relationships/hyperlink" Target="imagenes/NAUTICA_MENS_208009696_NVY_2.jpg" TargetMode="External" Id="rId8939"/><Relationship Type="http://schemas.openxmlformats.org/officeDocument/2006/relationships/hyperlink" Target="imagenes/NAUTICA_MENS_208009696_NVY_3.jpg" TargetMode="External" Id="rId8940"/><Relationship Type="http://schemas.openxmlformats.org/officeDocument/2006/relationships/hyperlink" Target="imagenes/NAUTICA_MENS_208009696_NVY_1.jpg" TargetMode="External" Id="rId8941"/><Relationship Type="http://schemas.openxmlformats.org/officeDocument/2006/relationships/hyperlink" Target="imagenes/NAUTICA_MENS_208009696_NVY_2.jpg" TargetMode="External" Id="rId8942"/><Relationship Type="http://schemas.openxmlformats.org/officeDocument/2006/relationships/hyperlink" Target="imagenes/NAUTICA_MENS_208009696_NVY_3.jpg" TargetMode="External" Id="rId8943"/><Relationship Type="http://schemas.openxmlformats.org/officeDocument/2006/relationships/hyperlink" Target="imagenes/NAUTICA_MENS_208009696_NVY_1.jpg" TargetMode="External" Id="rId8944"/><Relationship Type="http://schemas.openxmlformats.org/officeDocument/2006/relationships/hyperlink" Target="imagenes/NAUTICA_MENS_208009696_NVY_2.jpg" TargetMode="External" Id="rId8945"/><Relationship Type="http://schemas.openxmlformats.org/officeDocument/2006/relationships/hyperlink" Target="imagenes/NAUTICA_MENS_208009696_NVY_3.jpg" TargetMode="External" Id="rId8946"/><Relationship Type="http://schemas.openxmlformats.org/officeDocument/2006/relationships/hyperlink" Target="imagenes/NAUTICA_MENS_208009696_NWB_1.jpg" TargetMode="External" Id="rId8947"/><Relationship Type="http://schemas.openxmlformats.org/officeDocument/2006/relationships/hyperlink" Target="imagenes/NAUTICA_MENS_208009696_NWB_2.jpg" TargetMode="External" Id="rId8948"/><Relationship Type="http://schemas.openxmlformats.org/officeDocument/2006/relationships/hyperlink" Target="imagenes/NAUTICA_MENS_208009696_NWB_3.jpg" TargetMode="External" Id="rId8949"/><Relationship Type="http://schemas.openxmlformats.org/officeDocument/2006/relationships/hyperlink" Target="imagenes/NAUTICA_MENS_208009961_BLK_1.jpg" TargetMode="External" Id="rId8950"/><Relationship Type="http://schemas.openxmlformats.org/officeDocument/2006/relationships/hyperlink" Target="imagenes/NAUTICA_MENS_208009961_BLK_2.jpg" TargetMode="External" Id="rId8951"/><Relationship Type="http://schemas.openxmlformats.org/officeDocument/2006/relationships/hyperlink" Target="imagenes/NAUTICA_MENS_208009961_BLK_3.jpg" TargetMode="External" Id="rId8952"/><Relationship Type="http://schemas.openxmlformats.org/officeDocument/2006/relationships/hyperlink" Target="imagenes/NAUTICA_MENS_208009961_BLK_1.jpg" TargetMode="External" Id="rId8953"/><Relationship Type="http://schemas.openxmlformats.org/officeDocument/2006/relationships/hyperlink" Target="imagenes/NAUTICA_MENS_208009961_BLK_2.jpg" TargetMode="External" Id="rId8954"/><Relationship Type="http://schemas.openxmlformats.org/officeDocument/2006/relationships/hyperlink" Target="imagenes/NAUTICA_MENS_208009961_BLK_3.jpg" TargetMode="External" Id="rId8955"/><Relationship Type="http://schemas.openxmlformats.org/officeDocument/2006/relationships/hyperlink" Target="imagenes/NAUTICA_MENS_208009961_NVY_1.jpg" TargetMode="External" Id="rId8956"/><Relationship Type="http://schemas.openxmlformats.org/officeDocument/2006/relationships/hyperlink" Target="imagenes/NAUTICA_MENS_208009961_NVY_2.jpg" TargetMode="External" Id="rId8957"/><Relationship Type="http://schemas.openxmlformats.org/officeDocument/2006/relationships/hyperlink" Target="imagenes/NAUTICA_MENS_208009961_NVY_3.jpg" TargetMode="External" Id="rId8958"/><Relationship Type="http://schemas.openxmlformats.org/officeDocument/2006/relationships/hyperlink" Target="imagenes/NAUTICA_MENS_208009961_NVY_1.jpg" TargetMode="External" Id="rId8959"/><Relationship Type="http://schemas.openxmlformats.org/officeDocument/2006/relationships/hyperlink" Target="imagenes/NAUTICA_MENS_208009961_NVY_2.jpg" TargetMode="External" Id="rId8960"/><Relationship Type="http://schemas.openxmlformats.org/officeDocument/2006/relationships/hyperlink" Target="imagenes/NAUTICA_MENS_208009961_NVY_3.jpg" TargetMode="External" Id="rId8961"/><Relationship Type="http://schemas.openxmlformats.org/officeDocument/2006/relationships/hyperlink" Target="imagenes/NAUTICA_MENS_208009962_NVY_2.jpg" TargetMode="External" Id="rId8962"/><Relationship Type="http://schemas.openxmlformats.org/officeDocument/2006/relationships/hyperlink" Target="imagenes/NAUTICA_MENS_208009962_NVY_3.jpg" TargetMode="External" Id="rId8963"/><Relationship Type="http://schemas.openxmlformats.org/officeDocument/2006/relationships/hyperlink" Target="imagenes/NAUTICA_MENS_208009962_NVY_2.jpg" TargetMode="External" Id="rId8964"/><Relationship Type="http://schemas.openxmlformats.org/officeDocument/2006/relationships/hyperlink" Target="imagenes/NAUTICA_MENS_208009962_NVY_3.jpg" TargetMode="External" Id="rId8965"/><Relationship Type="http://schemas.openxmlformats.org/officeDocument/2006/relationships/hyperlink" Target="imagenes/NAUTICA_MENS_208010020_BGI_1.jpg" TargetMode="External" Id="rId8966"/><Relationship Type="http://schemas.openxmlformats.org/officeDocument/2006/relationships/hyperlink" Target="imagenes/NAUTICA_MENS_208010020_BGI_2.jpg" TargetMode="External" Id="rId8967"/><Relationship Type="http://schemas.openxmlformats.org/officeDocument/2006/relationships/hyperlink" Target="imagenes/NAUTICA_MENS_208010020_BGI_3.jpg" TargetMode="External" Id="rId8968"/><Relationship Type="http://schemas.openxmlformats.org/officeDocument/2006/relationships/hyperlink" Target="imagenes/NAUTICA_MENS_208010020_BGI_1.jpg" TargetMode="External" Id="rId8969"/><Relationship Type="http://schemas.openxmlformats.org/officeDocument/2006/relationships/hyperlink" Target="imagenes/NAUTICA_MENS_208010020_BGI_2.jpg" TargetMode="External" Id="rId8970"/><Relationship Type="http://schemas.openxmlformats.org/officeDocument/2006/relationships/hyperlink" Target="imagenes/NAUTICA_MENS_208010020_BGI_3.jpg" TargetMode="External" Id="rId8971"/><Relationship Type="http://schemas.openxmlformats.org/officeDocument/2006/relationships/hyperlink" Target="imagenes/NAUTICA_MENS_208010020_BGI_1.jpg" TargetMode="External" Id="rId8972"/><Relationship Type="http://schemas.openxmlformats.org/officeDocument/2006/relationships/hyperlink" Target="imagenes/NAUTICA_MENS_208010020_BGI_2.jpg" TargetMode="External" Id="rId8973"/><Relationship Type="http://schemas.openxmlformats.org/officeDocument/2006/relationships/hyperlink" Target="imagenes/NAUTICA_MENS_208010020_BGI_3.jpg" TargetMode="External" Id="rId8974"/><Relationship Type="http://schemas.openxmlformats.org/officeDocument/2006/relationships/hyperlink" Target="imagenes/NAUTICA_MENS_208010020_BGI_1.jpg" TargetMode="External" Id="rId8975"/><Relationship Type="http://schemas.openxmlformats.org/officeDocument/2006/relationships/hyperlink" Target="imagenes/NAUTICA_MENS_208010020_BGI_2.jpg" TargetMode="External" Id="rId8976"/><Relationship Type="http://schemas.openxmlformats.org/officeDocument/2006/relationships/hyperlink" Target="imagenes/NAUTICA_MENS_208010020_BGI_3.jpg" TargetMode="External" Id="rId8977"/><Relationship Type="http://schemas.openxmlformats.org/officeDocument/2006/relationships/hyperlink" Target="imagenes/NAUTICA_MENS_208010020_BGI_1.jpg" TargetMode="External" Id="rId8978"/><Relationship Type="http://schemas.openxmlformats.org/officeDocument/2006/relationships/hyperlink" Target="imagenes/NAUTICA_MENS_208010020_BGI_2.jpg" TargetMode="External" Id="rId8979"/><Relationship Type="http://schemas.openxmlformats.org/officeDocument/2006/relationships/hyperlink" Target="imagenes/NAUTICA_MENS_208010020_BGI_3.jpg" TargetMode="External" Id="rId8980"/><Relationship Type="http://schemas.openxmlformats.org/officeDocument/2006/relationships/hyperlink" Target="imagenes/NAUTICA_MENS_208010020_BGI_1.jpg" TargetMode="External" Id="rId8981"/><Relationship Type="http://schemas.openxmlformats.org/officeDocument/2006/relationships/hyperlink" Target="imagenes/NAUTICA_MENS_208010020_BGI_2.jpg" TargetMode="External" Id="rId8982"/><Relationship Type="http://schemas.openxmlformats.org/officeDocument/2006/relationships/hyperlink" Target="imagenes/NAUTICA_MENS_208010020_BGI_3.jpg" TargetMode="External" Id="rId8983"/><Relationship Type="http://schemas.openxmlformats.org/officeDocument/2006/relationships/hyperlink" Target="imagenes/NAUTICA_MENS_208010020_BGI_1.jpg" TargetMode="External" Id="rId8984"/><Relationship Type="http://schemas.openxmlformats.org/officeDocument/2006/relationships/hyperlink" Target="imagenes/NAUTICA_MENS_208010020_BGI_2.jpg" TargetMode="External" Id="rId8985"/><Relationship Type="http://schemas.openxmlformats.org/officeDocument/2006/relationships/hyperlink" Target="imagenes/NAUTICA_MENS_208010020_BGI_3.jpg" TargetMode="External" Id="rId8986"/><Relationship Type="http://schemas.openxmlformats.org/officeDocument/2006/relationships/hyperlink" Target="imagenes/NAUTICA_MENS_208010020_BGI_1.jpg" TargetMode="External" Id="rId8987"/><Relationship Type="http://schemas.openxmlformats.org/officeDocument/2006/relationships/hyperlink" Target="imagenes/NAUTICA_MENS_208010020_BGI_2.jpg" TargetMode="External" Id="rId8988"/><Relationship Type="http://schemas.openxmlformats.org/officeDocument/2006/relationships/hyperlink" Target="imagenes/NAUTICA_MENS_208010020_BGI_3.jpg" TargetMode="External" Id="rId8989"/><Relationship Type="http://schemas.openxmlformats.org/officeDocument/2006/relationships/hyperlink" Target="imagenes/NAUTICA_MENS_208010020_BGI_1.jpg" TargetMode="External" Id="rId8990"/><Relationship Type="http://schemas.openxmlformats.org/officeDocument/2006/relationships/hyperlink" Target="imagenes/NAUTICA_MENS_208010020_BGI_2.jpg" TargetMode="External" Id="rId8991"/><Relationship Type="http://schemas.openxmlformats.org/officeDocument/2006/relationships/hyperlink" Target="imagenes/NAUTICA_MENS_208010020_BGI_3.jpg" TargetMode="External" Id="rId8992"/><Relationship Type="http://schemas.openxmlformats.org/officeDocument/2006/relationships/hyperlink" Target="imagenes/NAUTICA_MENS_208010020_BGI_1.jpg" TargetMode="External" Id="rId8993"/><Relationship Type="http://schemas.openxmlformats.org/officeDocument/2006/relationships/hyperlink" Target="imagenes/NAUTICA_MENS_208010020_BGI_2.jpg" TargetMode="External" Id="rId8994"/><Relationship Type="http://schemas.openxmlformats.org/officeDocument/2006/relationships/hyperlink" Target="imagenes/NAUTICA_MENS_208010020_BGI_3.jpg" TargetMode="External" Id="rId8995"/><Relationship Type="http://schemas.openxmlformats.org/officeDocument/2006/relationships/hyperlink" Target="imagenes/NAUTICA_MENS_208010020_BGI_1.jpg" TargetMode="External" Id="rId8996"/><Relationship Type="http://schemas.openxmlformats.org/officeDocument/2006/relationships/hyperlink" Target="imagenes/NAUTICA_MENS_208010020_BGI_2.jpg" TargetMode="External" Id="rId8997"/><Relationship Type="http://schemas.openxmlformats.org/officeDocument/2006/relationships/hyperlink" Target="imagenes/NAUTICA_MENS_208010020_BGI_3.jpg" TargetMode="External" Id="rId8998"/><Relationship Type="http://schemas.openxmlformats.org/officeDocument/2006/relationships/hyperlink" Target="imagenes/NAUTICA_MENS_208010020_BGI_1.jpg" TargetMode="External" Id="rId8999"/><Relationship Type="http://schemas.openxmlformats.org/officeDocument/2006/relationships/hyperlink" Target="imagenes/NAUTICA_MENS_208010020_BGI_2.jpg" TargetMode="External" Id="rId9000"/><Relationship Type="http://schemas.openxmlformats.org/officeDocument/2006/relationships/hyperlink" Target="imagenes/NAUTICA_MENS_208010020_BGI_3.jpg" TargetMode="External" Id="rId9001"/><Relationship Type="http://schemas.openxmlformats.org/officeDocument/2006/relationships/hyperlink" Target="imagenes/NAUTICA_MENS_208010041_F6N_1.jpg" TargetMode="External" Id="rId9002"/><Relationship Type="http://schemas.openxmlformats.org/officeDocument/2006/relationships/hyperlink" Target="imagenes/NAUTICA_MENS_208010041_F6N_2.jpg" TargetMode="External" Id="rId9003"/><Relationship Type="http://schemas.openxmlformats.org/officeDocument/2006/relationships/hyperlink" Target="imagenes/NAUTICA_MENS_208010041_F6N_3.jpg" TargetMode="External" Id="rId9004"/><Relationship Type="http://schemas.openxmlformats.org/officeDocument/2006/relationships/hyperlink" Target="imagenes/NAUTICA_MENS_208010041_F6N_1.jpg" TargetMode="External" Id="rId9005"/><Relationship Type="http://schemas.openxmlformats.org/officeDocument/2006/relationships/hyperlink" Target="imagenes/NAUTICA_MENS_208010041_F6N_2.jpg" TargetMode="External" Id="rId9006"/><Relationship Type="http://schemas.openxmlformats.org/officeDocument/2006/relationships/hyperlink" Target="imagenes/NAUTICA_MENS_208010041_F6N_3.jpg" TargetMode="External" Id="rId9007"/><Relationship Type="http://schemas.openxmlformats.org/officeDocument/2006/relationships/hyperlink" Target="imagenes/NAUTICA_MENS_208010041_F6N_1.jpg" TargetMode="External" Id="rId9008"/><Relationship Type="http://schemas.openxmlformats.org/officeDocument/2006/relationships/hyperlink" Target="imagenes/NAUTICA_MENS_208010041_F6N_2.jpg" TargetMode="External" Id="rId9009"/><Relationship Type="http://schemas.openxmlformats.org/officeDocument/2006/relationships/hyperlink" Target="imagenes/NAUTICA_MENS_208010041_F6N_3.jpg" TargetMode="External" Id="rId9010"/><Relationship Type="http://schemas.openxmlformats.org/officeDocument/2006/relationships/hyperlink" Target="imagenes/NAUTICA_MENS_208010041_NSS_1.jpg" TargetMode="External" Id="rId9011"/><Relationship Type="http://schemas.openxmlformats.org/officeDocument/2006/relationships/hyperlink" Target="imagenes/NAUTICA_MENS_208010041_NSS_2.jpg" TargetMode="External" Id="rId9012"/><Relationship Type="http://schemas.openxmlformats.org/officeDocument/2006/relationships/hyperlink" Target="imagenes/NAUTICA_MENS_208010041_NSS_3.jpg" TargetMode="External" Id="rId9013"/><Relationship Type="http://schemas.openxmlformats.org/officeDocument/2006/relationships/hyperlink" Target="imagenes/NAUTICA_MENS_208010041_TRU_1.jpg" TargetMode="External" Id="rId9014"/><Relationship Type="http://schemas.openxmlformats.org/officeDocument/2006/relationships/hyperlink" Target="imagenes/NAUTICA_MENS_208010041_TRU_2.jpg" TargetMode="External" Id="rId9015"/><Relationship Type="http://schemas.openxmlformats.org/officeDocument/2006/relationships/hyperlink" Target="imagenes/NAUTICA_MENS_208010041_TRU_3.jpg" TargetMode="External" Id="rId9016"/><Relationship Type="http://schemas.openxmlformats.org/officeDocument/2006/relationships/hyperlink" Target="imagenes/NAUTICA_MENS_208010041_TRU_1.jpg" TargetMode="External" Id="rId9017"/><Relationship Type="http://schemas.openxmlformats.org/officeDocument/2006/relationships/hyperlink" Target="imagenes/NAUTICA_MENS_208010041_TRU_2.jpg" TargetMode="External" Id="rId9018"/><Relationship Type="http://schemas.openxmlformats.org/officeDocument/2006/relationships/hyperlink" Target="imagenes/NAUTICA_MENS_208010041_TRU_3.jpg" TargetMode="External" Id="rId9019"/><Relationship Type="http://schemas.openxmlformats.org/officeDocument/2006/relationships/hyperlink" Target="imagenes/NAUTICA_MENS_208010041_TRU_1.jpg" TargetMode="External" Id="rId9020"/><Relationship Type="http://schemas.openxmlformats.org/officeDocument/2006/relationships/hyperlink" Target="imagenes/NAUTICA_MENS_208010041_TRU_2.jpg" TargetMode="External" Id="rId9021"/><Relationship Type="http://schemas.openxmlformats.org/officeDocument/2006/relationships/hyperlink" Target="imagenes/NAUTICA_MENS_208010041_TRU_3.jpg" TargetMode="External" Id="rId9022"/><Relationship Type="http://schemas.openxmlformats.org/officeDocument/2006/relationships/hyperlink" Target="imagenes/NAUTICA_MENS_208010041_TRU_1.jpg" TargetMode="External" Id="rId9023"/><Relationship Type="http://schemas.openxmlformats.org/officeDocument/2006/relationships/hyperlink" Target="imagenes/NAUTICA_MENS_208010041_TRU_2.jpg" TargetMode="External" Id="rId9024"/><Relationship Type="http://schemas.openxmlformats.org/officeDocument/2006/relationships/hyperlink" Target="imagenes/NAUTICA_MENS_208010041_TRU_3.jpg" TargetMode="External" Id="rId9025"/><Relationship Type="http://schemas.openxmlformats.org/officeDocument/2006/relationships/hyperlink" Target="imagenes/NAUTICA_MENS_208010041_TRU_1.jpg" TargetMode="External" Id="rId9026"/><Relationship Type="http://schemas.openxmlformats.org/officeDocument/2006/relationships/hyperlink" Target="imagenes/NAUTICA_MENS_208010041_TRU_2.jpg" TargetMode="External" Id="rId9027"/><Relationship Type="http://schemas.openxmlformats.org/officeDocument/2006/relationships/hyperlink" Target="imagenes/NAUTICA_MENS_208010041_TRU_3.jpg" TargetMode="External" Id="rId9028"/><Relationship Type="http://schemas.openxmlformats.org/officeDocument/2006/relationships/hyperlink" Target="imagenes/NAUTICA_MENS_208010041_TRU_1.jpg" TargetMode="External" Id="rId9029"/><Relationship Type="http://schemas.openxmlformats.org/officeDocument/2006/relationships/hyperlink" Target="imagenes/NAUTICA_MENS_208010041_TRU_2.jpg" TargetMode="External" Id="rId9030"/><Relationship Type="http://schemas.openxmlformats.org/officeDocument/2006/relationships/hyperlink" Target="imagenes/NAUTICA_MENS_208010041_TRU_3.jpg" TargetMode="External" Id="rId9031"/><Relationship Type="http://schemas.openxmlformats.org/officeDocument/2006/relationships/hyperlink" Target="imagenes/NAUTICA_MENS_208010041_TRU_1.jpg" TargetMode="External" Id="rId9032"/><Relationship Type="http://schemas.openxmlformats.org/officeDocument/2006/relationships/hyperlink" Target="imagenes/NAUTICA_MENS_208010041_TRU_2.jpg" TargetMode="External" Id="rId9033"/><Relationship Type="http://schemas.openxmlformats.org/officeDocument/2006/relationships/hyperlink" Target="imagenes/NAUTICA_MENS_208010041_TRU_3.jpg" TargetMode="External" Id="rId9034"/><Relationship Type="http://schemas.openxmlformats.org/officeDocument/2006/relationships/hyperlink" Target="imagenes/NAUTICA_MENS_208DAMAGE_ASD_1.jpg" TargetMode="External" Id="rId9035"/><Relationship Type="http://schemas.openxmlformats.org/officeDocument/2006/relationships/hyperlink" Target="imagenes/NAUTICA_MENS_208DAMAGE_ASD_2.jpg" TargetMode="External" Id="rId9036"/><Relationship Type="http://schemas.openxmlformats.org/officeDocument/2006/relationships/hyperlink" Target="imagenes/NAUTICA_MENS_208DAMAGE_ASD_3.jpg" TargetMode="External" Id="rId9037"/><Relationship Type="http://schemas.openxmlformats.org/officeDocument/2006/relationships/hyperlink" Target="imagenes/NAUTICA_MENS_V022744_BLK_1.jpg" TargetMode="External" Id="rId9038"/><Relationship Type="http://schemas.openxmlformats.org/officeDocument/2006/relationships/hyperlink" Target="imagenes/NAUTICA_MENS_V022744_BLK_2.jpg" TargetMode="External" Id="rId9039"/><Relationship Type="http://schemas.openxmlformats.org/officeDocument/2006/relationships/hyperlink" Target="imagenes/NAUTICA_MENS_V022744_BLK_3.jpg" TargetMode="External" Id="rId9040"/><Relationship Type="http://schemas.openxmlformats.org/officeDocument/2006/relationships/hyperlink" Target="imagenes/NAUTICA_MENS_V022744_BLK_1.jpg" TargetMode="External" Id="rId9041"/><Relationship Type="http://schemas.openxmlformats.org/officeDocument/2006/relationships/hyperlink" Target="imagenes/NAUTICA_MENS_V022744_BLK_2.jpg" TargetMode="External" Id="rId9042"/><Relationship Type="http://schemas.openxmlformats.org/officeDocument/2006/relationships/hyperlink" Target="imagenes/NAUTICA_MENS_V022744_BLK_3.jpg" TargetMode="External" Id="rId9043"/><Relationship Type="http://schemas.openxmlformats.org/officeDocument/2006/relationships/hyperlink" Target="imagenes/NAUTICA_MENS_V022744_RED_1.jpg" TargetMode="External" Id="rId9044"/><Relationship Type="http://schemas.openxmlformats.org/officeDocument/2006/relationships/hyperlink" Target="imagenes/NAUTICA_MENS_V022744_RED_2.jpg" TargetMode="External" Id="rId9045"/><Relationship Type="http://schemas.openxmlformats.org/officeDocument/2006/relationships/hyperlink" Target="imagenes/NAUTICA_MENS_V022744_RED_3.jpg" TargetMode="External" Id="rId9046"/><Relationship Type="http://schemas.openxmlformats.org/officeDocument/2006/relationships/hyperlink" Target="imagenes/NAUTICA_MENS_V022744_RED_1.jpg" TargetMode="External" Id="rId9047"/><Relationship Type="http://schemas.openxmlformats.org/officeDocument/2006/relationships/hyperlink" Target="imagenes/NAUTICA_MENS_V022744_RED_2.jpg" TargetMode="External" Id="rId9048"/><Relationship Type="http://schemas.openxmlformats.org/officeDocument/2006/relationships/hyperlink" Target="imagenes/NAUTICA_MENS_V022744_RED_3.jpg" TargetMode="External" Id="rId9049"/><Relationship Type="http://schemas.openxmlformats.org/officeDocument/2006/relationships/hyperlink" Target="imagenes/NAUTICA_MENS_V022744_RED_1.jpg" TargetMode="External" Id="rId9050"/><Relationship Type="http://schemas.openxmlformats.org/officeDocument/2006/relationships/hyperlink" Target="imagenes/NAUTICA_MENS_V022744_RED_2.jpg" TargetMode="External" Id="rId9051"/><Relationship Type="http://schemas.openxmlformats.org/officeDocument/2006/relationships/hyperlink" Target="imagenes/NAUTICA_MENS_V022744_RED_3.jpg" TargetMode="External" Id="rId9052"/><Relationship Type="http://schemas.openxmlformats.org/officeDocument/2006/relationships/hyperlink" Target="imagenes/NAUTICA_MENS_V032744B_NVY_1.jpg" TargetMode="External" Id="rId9053"/><Relationship Type="http://schemas.openxmlformats.org/officeDocument/2006/relationships/hyperlink" Target="imagenes/NAUTICA_MENS_V032744B_NVY_2.jpg" TargetMode="External" Id="rId9054"/><Relationship Type="http://schemas.openxmlformats.org/officeDocument/2006/relationships/hyperlink" Target="imagenes/NAUTICA_MENS_V032744B_NVY_3.jpg" TargetMode="External" Id="rId9055"/><Relationship Type="http://schemas.openxmlformats.org/officeDocument/2006/relationships/hyperlink" Target="imagenes/NAUTICA_MENS_V032744B_NVY_1.jpg" TargetMode="External" Id="rId9056"/><Relationship Type="http://schemas.openxmlformats.org/officeDocument/2006/relationships/hyperlink" Target="imagenes/NAUTICA_MENS_V032744B_NVY_2.jpg" TargetMode="External" Id="rId9057"/><Relationship Type="http://schemas.openxmlformats.org/officeDocument/2006/relationships/hyperlink" Target="imagenes/NAUTICA_MENS_V032744B_NVY_3.jpg" TargetMode="External" Id="rId9058"/><Relationship Type="http://schemas.openxmlformats.org/officeDocument/2006/relationships/hyperlink" Target="imagenes/NAUTICA_MENS_V035548_CAM_1.jpg" TargetMode="External" Id="rId9059"/><Relationship Type="http://schemas.openxmlformats.org/officeDocument/2006/relationships/hyperlink" Target="imagenes/NAUTICA_MENS_V035548_CAM_2.jpg" TargetMode="External" Id="rId9060"/><Relationship Type="http://schemas.openxmlformats.org/officeDocument/2006/relationships/hyperlink" Target="imagenes/NAUTICA_MENS_V035548_CAM_3.jpg" TargetMode="External" Id="rId9061"/><Relationship Type="http://schemas.openxmlformats.org/officeDocument/2006/relationships/hyperlink" Target="imagenes/NAUTICA_MENS_V042744_HGY_1.jpg" TargetMode="External" Id="rId9062"/><Relationship Type="http://schemas.openxmlformats.org/officeDocument/2006/relationships/hyperlink" Target="imagenes/NAUTICA_MENS_V042744_HGY_2.jpg" TargetMode="External" Id="rId9063"/><Relationship Type="http://schemas.openxmlformats.org/officeDocument/2006/relationships/hyperlink" Target="imagenes/NAUTICA_MENS_V042744_HGY_3.jpg" TargetMode="External" Id="rId9064"/><Relationship Type="http://schemas.openxmlformats.org/officeDocument/2006/relationships/hyperlink" Target="imagenes/NAUTICA_MENS_V042744_HGY_1.jpg" TargetMode="External" Id="rId9065"/><Relationship Type="http://schemas.openxmlformats.org/officeDocument/2006/relationships/hyperlink" Target="imagenes/NAUTICA_MENS_V042744_HGY_2.jpg" TargetMode="External" Id="rId9066"/><Relationship Type="http://schemas.openxmlformats.org/officeDocument/2006/relationships/hyperlink" Target="imagenes/NAUTICA_MENS_V042744_HGY_3.jpg" TargetMode="External" Id="rId9067"/><Relationship Type="http://schemas.openxmlformats.org/officeDocument/2006/relationships/hyperlink" Target="imagenes/NAUTICA_MENS_V042744_HGY_1.jpg" TargetMode="External" Id="rId9068"/><Relationship Type="http://schemas.openxmlformats.org/officeDocument/2006/relationships/hyperlink" Target="imagenes/NAUTICA_MENS_V042744_HGY_2.jpg" TargetMode="External" Id="rId9069"/><Relationship Type="http://schemas.openxmlformats.org/officeDocument/2006/relationships/hyperlink" Target="imagenes/NAUTICA_MENS_V042744_HGY_3.jpg" TargetMode="External" Id="rId9070"/><Relationship Type="http://schemas.openxmlformats.org/officeDocument/2006/relationships/hyperlink" Target="imagenes/NAUTICA_MENS_V042744_HGY_1.jpg" TargetMode="External" Id="rId9071"/><Relationship Type="http://schemas.openxmlformats.org/officeDocument/2006/relationships/hyperlink" Target="imagenes/NAUTICA_MENS_V042744_HGY_2.jpg" TargetMode="External" Id="rId9072"/><Relationship Type="http://schemas.openxmlformats.org/officeDocument/2006/relationships/hyperlink" Target="imagenes/NAUTICA_MENS_V042744_HGY_3.jpg" TargetMode="External" Id="rId9073"/><Relationship Type="http://schemas.openxmlformats.org/officeDocument/2006/relationships/hyperlink" Target="imagenes/NAUTICA_MENS_V045548_BLK_1.jpg" TargetMode="External" Id="rId9074"/><Relationship Type="http://schemas.openxmlformats.org/officeDocument/2006/relationships/hyperlink" Target="imagenes/NAUTICA_MENS_V045548_BLK_2.jpg" TargetMode="External" Id="rId9075"/><Relationship Type="http://schemas.openxmlformats.org/officeDocument/2006/relationships/hyperlink" Target="imagenes/NAUTICA_MENS_V045548_BLK_3.jpg" TargetMode="External" Id="rId9076"/><Relationship Type="http://schemas.openxmlformats.org/officeDocument/2006/relationships/hyperlink" Target="imagenes/NAUTICA_MENS_V045548_BLK_1.jpg" TargetMode="External" Id="rId9077"/><Relationship Type="http://schemas.openxmlformats.org/officeDocument/2006/relationships/hyperlink" Target="imagenes/NAUTICA_MENS_V045548_BLK_2.jpg" TargetMode="External" Id="rId9078"/><Relationship Type="http://schemas.openxmlformats.org/officeDocument/2006/relationships/hyperlink" Target="imagenes/NAUTICA_MENS_V045548_BLK_3.jpg" TargetMode="External" Id="rId9079"/><Relationship Type="http://schemas.openxmlformats.org/officeDocument/2006/relationships/hyperlink" Target="imagenes/NAUTICA_MENS_V045548_CHR_1.jpg" TargetMode="External" Id="rId9080"/><Relationship Type="http://schemas.openxmlformats.org/officeDocument/2006/relationships/hyperlink" Target="imagenes/NAUTICA_MENS_V045548_CHR_2.jpg" TargetMode="External" Id="rId9081"/><Relationship Type="http://schemas.openxmlformats.org/officeDocument/2006/relationships/hyperlink" Target="imagenes/NAUTICA_MENS_V045548_CHR_3.jpg" TargetMode="External" Id="rId9082"/><Relationship Type="http://schemas.openxmlformats.org/officeDocument/2006/relationships/hyperlink" Target="imagenes/NAUTICA_MENS_V122021_NVY_1.jpg" TargetMode="External" Id="rId9083"/><Relationship Type="http://schemas.openxmlformats.org/officeDocument/2006/relationships/hyperlink" Target="imagenes/NAUTICA_MENS_V122021_NVY_2.jpg" TargetMode="External" Id="rId9084"/><Relationship Type="http://schemas.openxmlformats.org/officeDocument/2006/relationships/hyperlink" Target="imagenes/NAUTICA_MENS_V122021_NVY_3.jpg" TargetMode="External" Id="rId9085"/><Relationship Type="http://schemas.openxmlformats.org/officeDocument/2006/relationships/hyperlink" Target="imagenes/NAUTICA_MENS_V132023_SIL_1.jpg" TargetMode="External" Id="rId9086"/><Relationship Type="http://schemas.openxmlformats.org/officeDocument/2006/relationships/hyperlink" Target="imagenes/NAUTICA_MENS_V132023_SIL_2.jpg" TargetMode="External" Id="rId9087"/><Relationship Type="http://schemas.openxmlformats.org/officeDocument/2006/relationships/hyperlink" Target="imagenes/NAUTICA_MENS_V132023_SIL_3.jpg" TargetMode="External" Id="rId9088"/><Relationship Type="http://schemas.openxmlformats.org/officeDocument/2006/relationships/hyperlink" Target="imagenes/NAUTICA_MENS_V142023_BVA_1.jpg" TargetMode="External" Id="rId9089"/><Relationship Type="http://schemas.openxmlformats.org/officeDocument/2006/relationships/hyperlink" Target="imagenes/NAUTICA_MENS_V142023_BVA_2.jpg" TargetMode="External" Id="rId9090"/><Relationship Type="http://schemas.openxmlformats.org/officeDocument/2006/relationships/hyperlink" Target="imagenes/NAUTICA_MENS_V142023_BVA_3.jpg" TargetMode="External" Id="rId9091"/><Relationship Type="http://schemas.openxmlformats.org/officeDocument/2006/relationships/hyperlink" Target="imagenes/NAUTICA_MENS_V142023_SCA_1.jpg" TargetMode="External" Id="rId9092"/><Relationship Type="http://schemas.openxmlformats.org/officeDocument/2006/relationships/hyperlink" Target="imagenes/NAUTICA_MENS_V142023_SCA_2.jpg" TargetMode="External" Id="rId9093"/><Relationship Type="http://schemas.openxmlformats.org/officeDocument/2006/relationships/hyperlink" Target="imagenes/NAUTICA_MENS_V142023_SCA_3.jpg" TargetMode="External" Id="rId9094"/><Relationship Type="http://schemas.openxmlformats.org/officeDocument/2006/relationships/hyperlink" Target="imagenes/NAUTICA_MENS_V142023_SCA_1.jpg" TargetMode="External" Id="rId9095"/><Relationship Type="http://schemas.openxmlformats.org/officeDocument/2006/relationships/hyperlink" Target="imagenes/NAUTICA_MENS_V142023_SCA_2.jpg" TargetMode="External" Id="rId9096"/><Relationship Type="http://schemas.openxmlformats.org/officeDocument/2006/relationships/hyperlink" Target="imagenes/NAUTICA_MENS_V142023_SCA_3.jpg" TargetMode="External" Id="rId9097"/><Relationship Type="http://schemas.openxmlformats.org/officeDocument/2006/relationships/hyperlink" Target="imagenes/NAUTICA_MENS_V142023_SIL_1.jpg" TargetMode="External" Id="rId9098"/><Relationship Type="http://schemas.openxmlformats.org/officeDocument/2006/relationships/hyperlink" Target="imagenes/NAUTICA_MENS_V142023_SIL_2.jpg" TargetMode="External" Id="rId9099"/><Relationship Type="http://schemas.openxmlformats.org/officeDocument/2006/relationships/hyperlink" Target="imagenes/NAUTICA_MENS_V142023_SIL_3.jpg" TargetMode="External" Id="rId9100"/><Relationship Type="http://schemas.openxmlformats.org/officeDocument/2006/relationships/hyperlink" Target="imagenes/NAUTICA_MENS_V142023_SIL_1.jpg" TargetMode="External" Id="rId9101"/><Relationship Type="http://schemas.openxmlformats.org/officeDocument/2006/relationships/hyperlink" Target="imagenes/NAUTICA_MENS_V142023_SIL_2.jpg" TargetMode="External" Id="rId9102"/><Relationship Type="http://schemas.openxmlformats.org/officeDocument/2006/relationships/hyperlink" Target="imagenes/NAUTICA_MENS_V142023_SIL_3.jpg" TargetMode="External" Id="rId9103"/><Relationship Type="http://schemas.openxmlformats.org/officeDocument/2006/relationships/hyperlink" Target="imagenes/NAUTICA_MENS_V220252H_BLK_1.jpg" TargetMode="External" Id="rId9104"/><Relationship Type="http://schemas.openxmlformats.org/officeDocument/2006/relationships/hyperlink" Target="imagenes/NAUTICA_MENS_V220252H_BLK_2.jpg" TargetMode="External" Id="rId9105"/><Relationship Type="http://schemas.openxmlformats.org/officeDocument/2006/relationships/hyperlink" Target="imagenes/NAUTICA_MENS_V220252H_BLK_3.jpg" TargetMode="External" Id="rId9106"/><Relationship Type="http://schemas.openxmlformats.org/officeDocument/2006/relationships/hyperlink" Target="imagenes/NAUTICA_MENS_V220252H_BLK_1.jpg" TargetMode="External" Id="rId9107"/><Relationship Type="http://schemas.openxmlformats.org/officeDocument/2006/relationships/hyperlink" Target="imagenes/NAUTICA_MENS_V220252H_BLK_2.jpg" TargetMode="External" Id="rId9108"/><Relationship Type="http://schemas.openxmlformats.org/officeDocument/2006/relationships/hyperlink" Target="imagenes/NAUTICA_MENS_V220252H_BLK_3.jpg" TargetMode="External" Id="rId9109"/><Relationship Type="http://schemas.openxmlformats.org/officeDocument/2006/relationships/hyperlink" Target="imagenes/NAUTICA_MENS_V220252H_BLK_1.jpg" TargetMode="External" Id="rId9110"/><Relationship Type="http://schemas.openxmlformats.org/officeDocument/2006/relationships/hyperlink" Target="imagenes/NAUTICA_MENS_V220252H_BLK_2.jpg" TargetMode="External" Id="rId9111"/><Relationship Type="http://schemas.openxmlformats.org/officeDocument/2006/relationships/hyperlink" Target="imagenes/NAUTICA_MENS_V220252H_BLK_3.jpg" TargetMode="External" Id="rId9112"/><Relationship Type="http://schemas.openxmlformats.org/officeDocument/2006/relationships/hyperlink" Target="imagenes/NAUTICA_MENS_V220252H_BLK_1.jpg" TargetMode="External" Id="rId9113"/><Relationship Type="http://schemas.openxmlformats.org/officeDocument/2006/relationships/hyperlink" Target="imagenes/NAUTICA_MENS_V220252H_BLK_2.jpg" TargetMode="External" Id="rId9114"/><Relationship Type="http://schemas.openxmlformats.org/officeDocument/2006/relationships/hyperlink" Target="imagenes/NAUTICA_MENS_V220252H_BLK_3.jpg" TargetMode="External" Id="rId9115"/><Relationship Type="http://schemas.openxmlformats.org/officeDocument/2006/relationships/hyperlink" Target="imagenes/NAUTICA_MENS_V220252H_BLK_1.jpg" TargetMode="External" Id="rId9116"/><Relationship Type="http://schemas.openxmlformats.org/officeDocument/2006/relationships/hyperlink" Target="imagenes/NAUTICA_MENS_V220252H_BLK_2.jpg" TargetMode="External" Id="rId9117"/><Relationship Type="http://schemas.openxmlformats.org/officeDocument/2006/relationships/hyperlink" Target="imagenes/NAUTICA_MENS_V220252H_BLK_3.jpg" TargetMode="External" Id="rId9118"/><Relationship Type="http://schemas.openxmlformats.org/officeDocument/2006/relationships/hyperlink" Target="imagenes/NAUTICA_MENS_V220252H_BLK_1.jpg" TargetMode="External" Id="rId9119"/><Relationship Type="http://schemas.openxmlformats.org/officeDocument/2006/relationships/hyperlink" Target="imagenes/NAUTICA_MENS_V220252H_BLK_2.jpg" TargetMode="External" Id="rId9120"/><Relationship Type="http://schemas.openxmlformats.org/officeDocument/2006/relationships/hyperlink" Target="imagenes/NAUTICA_MENS_V220252H_BLK_3.jpg" TargetMode="External" Id="rId9121"/><Relationship Type="http://schemas.openxmlformats.org/officeDocument/2006/relationships/hyperlink" Target="imagenes/NAUTICA_MENS_V220252H_CLG_1.jpg" TargetMode="External" Id="rId9122"/><Relationship Type="http://schemas.openxmlformats.org/officeDocument/2006/relationships/hyperlink" Target="imagenes/NAUTICA_MENS_V220252H_CLG_2.jpg" TargetMode="External" Id="rId9123"/><Relationship Type="http://schemas.openxmlformats.org/officeDocument/2006/relationships/hyperlink" Target="imagenes/NAUTICA_MENS_V220252H_CLG_3.jpg" TargetMode="External" Id="rId9124"/><Relationship Type="http://schemas.openxmlformats.org/officeDocument/2006/relationships/hyperlink" Target="imagenes/NAUTICA_MENS_V220252H_CLG_1.jpg" TargetMode="External" Id="rId9125"/><Relationship Type="http://schemas.openxmlformats.org/officeDocument/2006/relationships/hyperlink" Target="imagenes/NAUTICA_MENS_V220252H_CLG_2.jpg" TargetMode="External" Id="rId9126"/><Relationship Type="http://schemas.openxmlformats.org/officeDocument/2006/relationships/hyperlink" Target="imagenes/NAUTICA_MENS_V220252H_CLG_3.jpg" TargetMode="External" Id="rId9127"/><Relationship Type="http://schemas.openxmlformats.org/officeDocument/2006/relationships/hyperlink" Target="imagenes/NAUTICA_MENS_V220252H_CLG_1.jpg" TargetMode="External" Id="rId9128"/><Relationship Type="http://schemas.openxmlformats.org/officeDocument/2006/relationships/hyperlink" Target="imagenes/NAUTICA_MENS_V220252H_CLG_2.jpg" TargetMode="External" Id="rId9129"/><Relationship Type="http://schemas.openxmlformats.org/officeDocument/2006/relationships/hyperlink" Target="imagenes/NAUTICA_MENS_V220252H_CLG_3.jpg" TargetMode="External" Id="rId9130"/><Relationship Type="http://schemas.openxmlformats.org/officeDocument/2006/relationships/hyperlink" Target="imagenes/NAUTICA_MENS_V220252H_CLG_1.jpg" TargetMode="External" Id="rId9131"/><Relationship Type="http://schemas.openxmlformats.org/officeDocument/2006/relationships/hyperlink" Target="imagenes/NAUTICA_MENS_V220252H_CLG_2.jpg" TargetMode="External" Id="rId9132"/><Relationship Type="http://schemas.openxmlformats.org/officeDocument/2006/relationships/hyperlink" Target="imagenes/NAUTICA_MENS_V220252H_CLG_3.jpg" TargetMode="External" Id="rId9133"/><Relationship Type="http://schemas.openxmlformats.org/officeDocument/2006/relationships/hyperlink" Target="imagenes/NAUTICA_MENS_V220252H_CLG_1.jpg" TargetMode="External" Id="rId9134"/><Relationship Type="http://schemas.openxmlformats.org/officeDocument/2006/relationships/hyperlink" Target="imagenes/NAUTICA_MENS_V220252H_CLG_2.jpg" TargetMode="External" Id="rId9135"/><Relationship Type="http://schemas.openxmlformats.org/officeDocument/2006/relationships/hyperlink" Target="imagenes/NAUTICA_MENS_V220252H_CLG_3.jpg" TargetMode="External" Id="rId9136"/><Relationship Type="http://schemas.openxmlformats.org/officeDocument/2006/relationships/hyperlink" Target="imagenes/NAUTICA_MENS_V220252H_HGY_1.jpg" TargetMode="External" Id="rId9137"/><Relationship Type="http://schemas.openxmlformats.org/officeDocument/2006/relationships/hyperlink" Target="imagenes/NAUTICA_MENS_V220252H_HGY_2.jpg" TargetMode="External" Id="rId9138"/><Relationship Type="http://schemas.openxmlformats.org/officeDocument/2006/relationships/hyperlink" Target="imagenes/NAUTICA_MENS_V220252H_HGY_3.jpg" TargetMode="External" Id="rId9139"/><Relationship Type="http://schemas.openxmlformats.org/officeDocument/2006/relationships/hyperlink" Target="imagenes/NAUTICA_MENS_V220252H_HGY_1.jpg" TargetMode="External" Id="rId9140"/><Relationship Type="http://schemas.openxmlformats.org/officeDocument/2006/relationships/hyperlink" Target="imagenes/NAUTICA_MENS_V220252H_HGY_2.jpg" TargetMode="External" Id="rId9141"/><Relationship Type="http://schemas.openxmlformats.org/officeDocument/2006/relationships/hyperlink" Target="imagenes/NAUTICA_MENS_V220252H_HGY_3.jpg" TargetMode="External" Id="rId9142"/><Relationship Type="http://schemas.openxmlformats.org/officeDocument/2006/relationships/hyperlink" Target="imagenes/NAUTICA_MENS_V220252H_HGY_1.jpg" TargetMode="External" Id="rId9143"/><Relationship Type="http://schemas.openxmlformats.org/officeDocument/2006/relationships/hyperlink" Target="imagenes/NAUTICA_MENS_V220252H_HGY_2.jpg" TargetMode="External" Id="rId9144"/><Relationship Type="http://schemas.openxmlformats.org/officeDocument/2006/relationships/hyperlink" Target="imagenes/NAUTICA_MENS_V220252H_HGY_3.jpg" TargetMode="External" Id="rId9145"/><Relationship Type="http://schemas.openxmlformats.org/officeDocument/2006/relationships/hyperlink" Target="imagenes/NAUTICA_MENS_V220252H_HGY_1.jpg" TargetMode="External" Id="rId9146"/><Relationship Type="http://schemas.openxmlformats.org/officeDocument/2006/relationships/hyperlink" Target="imagenes/NAUTICA_MENS_V220252H_HGY_2.jpg" TargetMode="External" Id="rId9147"/><Relationship Type="http://schemas.openxmlformats.org/officeDocument/2006/relationships/hyperlink" Target="imagenes/NAUTICA_MENS_V220252H_HGY_3.jpg" TargetMode="External" Id="rId9148"/><Relationship Type="http://schemas.openxmlformats.org/officeDocument/2006/relationships/hyperlink" Target="imagenes/NAUTICA_MENS_V220252H_NVY_1.jpg" TargetMode="External" Id="rId9149"/><Relationship Type="http://schemas.openxmlformats.org/officeDocument/2006/relationships/hyperlink" Target="imagenes/NAUTICA_MENS_V220252H_NVY_2.jpg" TargetMode="External" Id="rId9150"/><Relationship Type="http://schemas.openxmlformats.org/officeDocument/2006/relationships/hyperlink" Target="imagenes/NAUTICA_MENS_V220252H_NVY_3.jpg" TargetMode="External" Id="rId9151"/><Relationship Type="http://schemas.openxmlformats.org/officeDocument/2006/relationships/hyperlink" Target="imagenes/NAUTICA_MENS_V220252H_NVY_1.jpg" TargetMode="External" Id="rId9152"/><Relationship Type="http://schemas.openxmlformats.org/officeDocument/2006/relationships/hyperlink" Target="imagenes/NAUTICA_MENS_V220252H_NVY_2.jpg" TargetMode="External" Id="rId9153"/><Relationship Type="http://schemas.openxmlformats.org/officeDocument/2006/relationships/hyperlink" Target="imagenes/NAUTICA_MENS_V220252H_NVY_3.jpg" TargetMode="External" Id="rId9154"/><Relationship Type="http://schemas.openxmlformats.org/officeDocument/2006/relationships/hyperlink" Target="imagenes/NAUTICA_MENS_V220252H_NVY_1.jpg" TargetMode="External" Id="rId9155"/><Relationship Type="http://schemas.openxmlformats.org/officeDocument/2006/relationships/hyperlink" Target="imagenes/NAUTICA_MENS_V220252H_NVY_2.jpg" TargetMode="External" Id="rId9156"/><Relationship Type="http://schemas.openxmlformats.org/officeDocument/2006/relationships/hyperlink" Target="imagenes/NAUTICA_MENS_V220252H_NVY_3.jpg" TargetMode="External" Id="rId9157"/><Relationship Type="http://schemas.openxmlformats.org/officeDocument/2006/relationships/hyperlink" Target="imagenes/NAUTICA_MENS_V220252H_NVY_1.jpg" TargetMode="External" Id="rId9158"/><Relationship Type="http://schemas.openxmlformats.org/officeDocument/2006/relationships/hyperlink" Target="imagenes/NAUTICA_MENS_V220252H_NVY_2.jpg" TargetMode="External" Id="rId9159"/><Relationship Type="http://schemas.openxmlformats.org/officeDocument/2006/relationships/hyperlink" Target="imagenes/NAUTICA_MENS_V220252H_NVY_3.jpg" TargetMode="External" Id="rId9160"/><Relationship Type="http://schemas.openxmlformats.org/officeDocument/2006/relationships/hyperlink" Target="imagenes/NAUTICA_MENS_V220252H_NVY_1.jpg" TargetMode="External" Id="rId9161"/><Relationship Type="http://schemas.openxmlformats.org/officeDocument/2006/relationships/hyperlink" Target="imagenes/NAUTICA_MENS_V220252H_NVY_2.jpg" TargetMode="External" Id="rId9162"/><Relationship Type="http://schemas.openxmlformats.org/officeDocument/2006/relationships/hyperlink" Target="imagenes/NAUTICA_MENS_V220252H_NVY_3.jpg" TargetMode="External" Id="rId9163"/><Relationship Type="http://schemas.openxmlformats.org/officeDocument/2006/relationships/hyperlink" Target="imagenes/NAUTICA_MENS_V220252H_NVY_1.jpg" TargetMode="External" Id="rId9164"/><Relationship Type="http://schemas.openxmlformats.org/officeDocument/2006/relationships/hyperlink" Target="imagenes/NAUTICA_MENS_V220252H_NVY_2.jpg" TargetMode="External" Id="rId9165"/><Relationship Type="http://schemas.openxmlformats.org/officeDocument/2006/relationships/hyperlink" Target="imagenes/NAUTICA_MENS_V220252H_NVY_3.jpg" TargetMode="External" Id="rId9166"/><Relationship Type="http://schemas.openxmlformats.org/officeDocument/2006/relationships/hyperlink" Target="imagenes/NAUTICA_MENS_V220252H_OLB_1.jpg" TargetMode="External" Id="rId9167"/><Relationship Type="http://schemas.openxmlformats.org/officeDocument/2006/relationships/hyperlink" Target="imagenes/NAUTICA_MENS_V220252H_OLB_2.jpg" TargetMode="External" Id="rId9168"/><Relationship Type="http://schemas.openxmlformats.org/officeDocument/2006/relationships/hyperlink" Target="imagenes/NAUTICA_MENS_V220252H_OLB_3.jpg" TargetMode="External" Id="rId9169"/><Relationship Type="http://schemas.openxmlformats.org/officeDocument/2006/relationships/hyperlink" Target="imagenes/NAUTICA_MENS_V220252H_OLB_1.jpg" TargetMode="External" Id="rId9170"/><Relationship Type="http://schemas.openxmlformats.org/officeDocument/2006/relationships/hyperlink" Target="imagenes/NAUTICA_MENS_V220252H_OLB_2.jpg" TargetMode="External" Id="rId9171"/><Relationship Type="http://schemas.openxmlformats.org/officeDocument/2006/relationships/hyperlink" Target="imagenes/NAUTICA_MENS_V220252H_OLB_3.jpg" TargetMode="External" Id="rId9172"/><Relationship Type="http://schemas.openxmlformats.org/officeDocument/2006/relationships/hyperlink" Target="imagenes/NAUTICA_MENS_V220252H_OLB_1.jpg" TargetMode="External" Id="rId9173"/><Relationship Type="http://schemas.openxmlformats.org/officeDocument/2006/relationships/hyperlink" Target="imagenes/NAUTICA_MENS_V220252H_OLB_2.jpg" TargetMode="External" Id="rId9174"/><Relationship Type="http://schemas.openxmlformats.org/officeDocument/2006/relationships/hyperlink" Target="imagenes/NAUTICA_MENS_V220252H_OLB_3.jpg" TargetMode="External" Id="rId9175"/><Relationship Type="http://schemas.openxmlformats.org/officeDocument/2006/relationships/hyperlink" Target="imagenes/NAUTICA_MENS_V220252H_OLB_1.jpg" TargetMode="External" Id="rId9176"/><Relationship Type="http://schemas.openxmlformats.org/officeDocument/2006/relationships/hyperlink" Target="imagenes/NAUTICA_MENS_V220252H_OLB_2.jpg" TargetMode="External" Id="rId9177"/><Relationship Type="http://schemas.openxmlformats.org/officeDocument/2006/relationships/hyperlink" Target="imagenes/NAUTICA_MENS_V220252H_OLB_3.jpg" TargetMode="External" Id="rId9178"/><Relationship Type="http://schemas.openxmlformats.org/officeDocument/2006/relationships/hyperlink" Target="imagenes/NAUTICA_MENS_V220252H_OLB_1.jpg" TargetMode="External" Id="rId9179"/><Relationship Type="http://schemas.openxmlformats.org/officeDocument/2006/relationships/hyperlink" Target="imagenes/NAUTICA_MENS_V220252H_OLB_2.jpg" TargetMode="External" Id="rId9180"/><Relationship Type="http://schemas.openxmlformats.org/officeDocument/2006/relationships/hyperlink" Target="imagenes/NAUTICA_MENS_V220252H_OLB_3.jpg" TargetMode="External" Id="rId9181"/><Relationship Type="http://schemas.openxmlformats.org/officeDocument/2006/relationships/hyperlink" Target="imagenes/NAUTICA_MENS_V220320_BLK_1.jpg" TargetMode="External" Id="rId9182"/><Relationship Type="http://schemas.openxmlformats.org/officeDocument/2006/relationships/hyperlink" Target="imagenes/NAUTICA_MENS_V220320_BLK_2.jpg" TargetMode="External" Id="rId9183"/><Relationship Type="http://schemas.openxmlformats.org/officeDocument/2006/relationships/hyperlink" Target="imagenes/NAUTICA_MENS_V220320_BLK_3.jpg" TargetMode="External" Id="rId9184"/><Relationship Type="http://schemas.openxmlformats.org/officeDocument/2006/relationships/hyperlink" Target="imagenes/NAUTICA_MENS_V220320_MCH_1.jpg" TargetMode="External" Id="rId9185"/><Relationship Type="http://schemas.openxmlformats.org/officeDocument/2006/relationships/hyperlink" Target="imagenes/NAUTICA_MENS_V220320_MCH_2.jpg" TargetMode="External" Id="rId9186"/><Relationship Type="http://schemas.openxmlformats.org/officeDocument/2006/relationships/hyperlink" Target="imagenes/NAUTICA_MENS_V220320_MCH_3.jpg" TargetMode="External" Id="rId9187"/><Relationship Type="http://schemas.openxmlformats.org/officeDocument/2006/relationships/hyperlink" Target="imagenes/NAUTICA_MENS_V222744_RED_1.jpg" TargetMode="External" Id="rId9188"/><Relationship Type="http://schemas.openxmlformats.org/officeDocument/2006/relationships/hyperlink" Target="imagenes/NAUTICA_MENS_V222744_RED_2.jpg" TargetMode="External" Id="rId9189"/><Relationship Type="http://schemas.openxmlformats.org/officeDocument/2006/relationships/hyperlink" Target="imagenes/NAUTICA_MENS_V222744_RED_3.jpg" TargetMode="External" Id="rId9190"/><Relationship Type="http://schemas.openxmlformats.org/officeDocument/2006/relationships/hyperlink" Target="imagenes/NAUTICA_MENS_V225598K_CHR_1.jpg" TargetMode="External" Id="rId9191"/><Relationship Type="http://schemas.openxmlformats.org/officeDocument/2006/relationships/hyperlink" Target="imagenes/NAUTICA_MENS_V225598K_CHR_2.jpg" TargetMode="External" Id="rId9192"/><Relationship Type="http://schemas.openxmlformats.org/officeDocument/2006/relationships/hyperlink" Target="imagenes/NAUTICA_MENS_V225598K_CHR_3.jpg" TargetMode="External" Id="rId9193"/><Relationship Type="http://schemas.openxmlformats.org/officeDocument/2006/relationships/hyperlink" Target="imagenes/NAUTICA_MENS_V225598K_CHR_1.jpg" TargetMode="External" Id="rId9194"/><Relationship Type="http://schemas.openxmlformats.org/officeDocument/2006/relationships/hyperlink" Target="imagenes/NAUTICA_MENS_V225598K_CHR_2.jpg" TargetMode="External" Id="rId9195"/><Relationship Type="http://schemas.openxmlformats.org/officeDocument/2006/relationships/hyperlink" Target="imagenes/NAUTICA_MENS_V225598K_CHR_3.jpg" TargetMode="External" Id="rId9196"/><Relationship Type="http://schemas.openxmlformats.org/officeDocument/2006/relationships/hyperlink" Target="imagenes/NAUTICA_MENS_V225598K_CHR_1.jpg" TargetMode="External" Id="rId9197"/><Relationship Type="http://schemas.openxmlformats.org/officeDocument/2006/relationships/hyperlink" Target="imagenes/NAUTICA_MENS_V225598K_CHR_2.jpg" TargetMode="External" Id="rId9198"/><Relationship Type="http://schemas.openxmlformats.org/officeDocument/2006/relationships/hyperlink" Target="imagenes/NAUTICA_MENS_V225598K_CHR_3.jpg" TargetMode="External" Id="rId9199"/><Relationship Type="http://schemas.openxmlformats.org/officeDocument/2006/relationships/hyperlink" Target="imagenes/NAUTICA_MENS_V230322_BLK_1.jpg" TargetMode="External" Id="rId9200"/><Relationship Type="http://schemas.openxmlformats.org/officeDocument/2006/relationships/hyperlink" Target="imagenes/NAUTICA_MENS_V230322_BLK_2.jpg" TargetMode="External" Id="rId9201"/><Relationship Type="http://schemas.openxmlformats.org/officeDocument/2006/relationships/hyperlink" Target="imagenes/NAUTICA_MENS_V230322_BLK_3.jpg" TargetMode="External" Id="rId9202"/><Relationship Type="http://schemas.openxmlformats.org/officeDocument/2006/relationships/hyperlink" Target="imagenes/NAUTICA_MENS_V231201_NVY_1.jpg" TargetMode="External" Id="rId9203"/><Relationship Type="http://schemas.openxmlformats.org/officeDocument/2006/relationships/hyperlink" Target="imagenes/NAUTICA_MENS_V231201_NVY_2.jpg" TargetMode="External" Id="rId9204"/><Relationship Type="http://schemas.openxmlformats.org/officeDocument/2006/relationships/hyperlink" Target="imagenes/NAUTICA_MENS_V231201_NVY_3.jpg" TargetMode="External" Id="rId9205"/><Relationship Type="http://schemas.openxmlformats.org/officeDocument/2006/relationships/hyperlink" Target="imagenes/NAUTICA_MENS_V231201_TML_1.jpg" TargetMode="External" Id="rId9206"/><Relationship Type="http://schemas.openxmlformats.org/officeDocument/2006/relationships/hyperlink" Target="imagenes/NAUTICA_MENS_V231201_TML_2.jpg" TargetMode="External" Id="rId9207"/><Relationship Type="http://schemas.openxmlformats.org/officeDocument/2006/relationships/hyperlink" Target="imagenes/NAUTICA_MENS_V231201_TML_3.jpg" TargetMode="External" Id="rId9208"/><Relationship Type="http://schemas.openxmlformats.org/officeDocument/2006/relationships/hyperlink" Target="imagenes/NAUTICA_MENS_V231823K_BLK_2.jpg" TargetMode="External" Id="rId9209"/><Relationship Type="http://schemas.openxmlformats.org/officeDocument/2006/relationships/hyperlink" Target="imagenes/NAUTICA_MENS_V231823K_BLK_3.jpg" TargetMode="External" Id="rId9210"/><Relationship Type="http://schemas.openxmlformats.org/officeDocument/2006/relationships/hyperlink" Target="imagenes/NAUTICA_MENS_V232744_BCM_1.jpg" TargetMode="External" Id="rId9211"/><Relationship Type="http://schemas.openxmlformats.org/officeDocument/2006/relationships/hyperlink" Target="imagenes/NAUTICA_MENS_V232744_BCM_2.jpg" TargetMode="External" Id="rId9212"/><Relationship Type="http://schemas.openxmlformats.org/officeDocument/2006/relationships/hyperlink" Target="imagenes/NAUTICA_MENS_V232744_BCM_3.jpg" TargetMode="External" Id="rId9213"/><Relationship Type="http://schemas.openxmlformats.org/officeDocument/2006/relationships/hyperlink" Target="imagenes/NAUTICA_MENS_V232744_BCM_1.jpg" TargetMode="External" Id="rId9214"/><Relationship Type="http://schemas.openxmlformats.org/officeDocument/2006/relationships/hyperlink" Target="imagenes/NAUTICA_MENS_V232744_BCM_2.jpg" TargetMode="External" Id="rId9215"/><Relationship Type="http://schemas.openxmlformats.org/officeDocument/2006/relationships/hyperlink" Target="imagenes/NAUTICA_MENS_V232744_BCM_3.jpg" TargetMode="External" Id="rId9216"/><Relationship Type="http://schemas.openxmlformats.org/officeDocument/2006/relationships/hyperlink" Target="imagenes/NAUTICA_MENS_V232744_BCM_1.jpg" TargetMode="External" Id="rId9217"/><Relationship Type="http://schemas.openxmlformats.org/officeDocument/2006/relationships/hyperlink" Target="imagenes/NAUTICA_MENS_V232744_BCM_2.jpg" TargetMode="External" Id="rId9218"/><Relationship Type="http://schemas.openxmlformats.org/officeDocument/2006/relationships/hyperlink" Target="imagenes/NAUTICA_MENS_V232744_BCM_3.jpg" TargetMode="External" Id="rId9219"/><Relationship Type="http://schemas.openxmlformats.org/officeDocument/2006/relationships/hyperlink" Target="imagenes/NAUTICA_MENS_V232744_BLK_1.jpg" TargetMode="External" Id="rId9220"/><Relationship Type="http://schemas.openxmlformats.org/officeDocument/2006/relationships/hyperlink" Target="imagenes/NAUTICA_MENS_V232744_BLK_2.jpg" TargetMode="External" Id="rId9221"/><Relationship Type="http://schemas.openxmlformats.org/officeDocument/2006/relationships/hyperlink" Target="imagenes/NAUTICA_MENS_V232744_BLK_3.jpg" TargetMode="External" Id="rId9222"/><Relationship Type="http://schemas.openxmlformats.org/officeDocument/2006/relationships/hyperlink" Target="imagenes/NAUTICA_MENS_V232744_BLK_1.jpg" TargetMode="External" Id="rId9223"/><Relationship Type="http://schemas.openxmlformats.org/officeDocument/2006/relationships/hyperlink" Target="imagenes/NAUTICA_MENS_V232744_BLK_2.jpg" TargetMode="External" Id="rId9224"/><Relationship Type="http://schemas.openxmlformats.org/officeDocument/2006/relationships/hyperlink" Target="imagenes/NAUTICA_MENS_V232744_BLK_3.jpg" TargetMode="External" Id="rId9225"/><Relationship Type="http://schemas.openxmlformats.org/officeDocument/2006/relationships/hyperlink" Target="imagenes/NAUTICA_MENS_V232744_BLK_1.jpg" TargetMode="External" Id="rId9226"/><Relationship Type="http://schemas.openxmlformats.org/officeDocument/2006/relationships/hyperlink" Target="imagenes/NAUTICA_MENS_V232744_BLK_2.jpg" TargetMode="External" Id="rId9227"/><Relationship Type="http://schemas.openxmlformats.org/officeDocument/2006/relationships/hyperlink" Target="imagenes/NAUTICA_MENS_V232744_BLK_3.jpg" TargetMode="External" Id="rId9228"/><Relationship Type="http://schemas.openxmlformats.org/officeDocument/2006/relationships/hyperlink" Target="imagenes/NAUTICA_MENS_V232744_NVY_1.jpg" TargetMode="External" Id="rId9229"/><Relationship Type="http://schemas.openxmlformats.org/officeDocument/2006/relationships/hyperlink" Target="imagenes/NAUTICA_MENS_V232744_NVY_2.jpg" TargetMode="External" Id="rId9230"/><Relationship Type="http://schemas.openxmlformats.org/officeDocument/2006/relationships/hyperlink" Target="imagenes/NAUTICA_MENS_V232744_NVY_3.jpg" TargetMode="External" Id="rId9231"/><Relationship Type="http://schemas.openxmlformats.org/officeDocument/2006/relationships/hyperlink" Target="imagenes/NAUTICA_MENS_V232744_NVY_1.jpg" TargetMode="External" Id="rId9232"/><Relationship Type="http://schemas.openxmlformats.org/officeDocument/2006/relationships/hyperlink" Target="imagenes/NAUTICA_MENS_V232744_NVY_2.jpg" TargetMode="External" Id="rId9233"/><Relationship Type="http://schemas.openxmlformats.org/officeDocument/2006/relationships/hyperlink" Target="imagenes/NAUTICA_MENS_V232744_NVY_3.jpg" TargetMode="External" Id="rId9234"/><Relationship Type="http://schemas.openxmlformats.org/officeDocument/2006/relationships/hyperlink" Target="imagenes/NAUTICA_MENS_V235598K_DNY_1.jpg" TargetMode="External" Id="rId9235"/><Relationship Type="http://schemas.openxmlformats.org/officeDocument/2006/relationships/hyperlink" Target="imagenes/NAUTICA_MENS_V235598K_DNY_2.jpg" TargetMode="External" Id="rId9236"/><Relationship Type="http://schemas.openxmlformats.org/officeDocument/2006/relationships/hyperlink" Target="imagenes/NAUTICA_MENS_V235598K_DNY_1.jpg" TargetMode="External" Id="rId9237"/><Relationship Type="http://schemas.openxmlformats.org/officeDocument/2006/relationships/hyperlink" Target="imagenes/NAUTICA_MENS_V235598K_DNY_2.jpg" TargetMode="External" Id="rId9238"/><Relationship Type="http://schemas.openxmlformats.org/officeDocument/2006/relationships/hyperlink" Target="imagenes/NAUTICA_MENS_V235598K_DNY_1.jpg" TargetMode="External" Id="rId9239"/><Relationship Type="http://schemas.openxmlformats.org/officeDocument/2006/relationships/hyperlink" Target="imagenes/NAUTICA_MENS_V235598K_DNY_2.jpg" TargetMode="External" Id="rId9240"/><Relationship Type="http://schemas.openxmlformats.org/officeDocument/2006/relationships/hyperlink" Target="imagenes/NAUTICA_MENS_V237597_DBR_1.jpg" TargetMode="External" Id="rId9241"/><Relationship Type="http://schemas.openxmlformats.org/officeDocument/2006/relationships/hyperlink" Target="imagenes/NAUTICA_MENS_V237597_DBR_2.jpg" TargetMode="External" Id="rId9242"/><Relationship Type="http://schemas.openxmlformats.org/officeDocument/2006/relationships/hyperlink" Target="imagenes/NAUTICA_MENS_V237597_DBR_3.jpg" TargetMode="External" Id="rId9243"/><Relationship Type="http://schemas.openxmlformats.org/officeDocument/2006/relationships/hyperlink" Target="imagenes/NAUTICA_MENS_V237597_DBR_1.jpg" TargetMode="External" Id="rId9244"/><Relationship Type="http://schemas.openxmlformats.org/officeDocument/2006/relationships/hyperlink" Target="imagenes/NAUTICA_MENS_V237597_DBR_2.jpg" TargetMode="External" Id="rId9245"/><Relationship Type="http://schemas.openxmlformats.org/officeDocument/2006/relationships/hyperlink" Target="imagenes/NAUTICA_MENS_V237597_DBR_3.jpg" TargetMode="External" Id="rId9246"/><Relationship Type="http://schemas.openxmlformats.org/officeDocument/2006/relationships/hyperlink" Target="imagenes/NAUTICA_MENS_V237597_DBR_1.jpg" TargetMode="External" Id="rId9247"/><Relationship Type="http://schemas.openxmlformats.org/officeDocument/2006/relationships/hyperlink" Target="imagenes/NAUTICA_MENS_V237597_DBR_2.jpg" TargetMode="External" Id="rId9248"/><Relationship Type="http://schemas.openxmlformats.org/officeDocument/2006/relationships/hyperlink" Target="imagenes/NAUTICA_MENS_V237597_DBR_3.jpg" TargetMode="External" Id="rId9249"/><Relationship Type="http://schemas.openxmlformats.org/officeDocument/2006/relationships/hyperlink" Target="imagenes/NAUTICA_MENS_V237597_DBR_1.jpg" TargetMode="External" Id="rId9250"/><Relationship Type="http://schemas.openxmlformats.org/officeDocument/2006/relationships/hyperlink" Target="imagenes/NAUTICA_MENS_V237597_DBR_2.jpg" TargetMode="External" Id="rId9251"/><Relationship Type="http://schemas.openxmlformats.org/officeDocument/2006/relationships/hyperlink" Target="imagenes/NAUTICA_MENS_V237597_DBR_3.jpg" TargetMode="External" Id="rId9252"/><Relationship Type="http://schemas.openxmlformats.org/officeDocument/2006/relationships/hyperlink" Target="imagenes/NAUTICA_MENS_V240291_DFS_1.jpg" TargetMode="External" Id="rId9253"/><Relationship Type="http://schemas.openxmlformats.org/officeDocument/2006/relationships/hyperlink" Target="imagenes/NAUTICA_MENS_V240291_DFS_2.jpg" TargetMode="External" Id="rId9254"/><Relationship Type="http://schemas.openxmlformats.org/officeDocument/2006/relationships/hyperlink" Target="imagenes/NAUTICA_MENS_V240291_DFS_3.jpg" TargetMode="External" Id="rId9255"/><Relationship Type="http://schemas.openxmlformats.org/officeDocument/2006/relationships/hyperlink" Target="imagenes/NAUTICA_MENS_V240322_MCH_1.jpg" TargetMode="External" Id="rId9256"/><Relationship Type="http://schemas.openxmlformats.org/officeDocument/2006/relationships/hyperlink" Target="imagenes/NAUTICA_MENS_V240322_MCH_2.jpg" TargetMode="External" Id="rId9257"/><Relationship Type="http://schemas.openxmlformats.org/officeDocument/2006/relationships/hyperlink" Target="imagenes/NAUTICA_MENS_V240322_MCH_3.jpg" TargetMode="External" Id="rId9258"/><Relationship Type="http://schemas.openxmlformats.org/officeDocument/2006/relationships/hyperlink" Target="imagenes/NAUTICA_MENS_V240322_MCH_1.jpg" TargetMode="External" Id="rId9259"/><Relationship Type="http://schemas.openxmlformats.org/officeDocument/2006/relationships/hyperlink" Target="imagenes/NAUTICA_MENS_V240322_MCH_2.jpg" TargetMode="External" Id="rId9260"/><Relationship Type="http://schemas.openxmlformats.org/officeDocument/2006/relationships/hyperlink" Target="imagenes/NAUTICA_MENS_V240322_MCH_3.jpg" TargetMode="External" Id="rId9261"/><Relationship Type="http://schemas.openxmlformats.org/officeDocument/2006/relationships/hyperlink" Target="imagenes/NAUTICA_MENS_V241201_DRR_1.jpg" TargetMode="External" Id="rId9262"/><Relationship Type="http://schemas.openxmlformats.org/officeDocument/2006/relationships/hyperlink" Target="imagenes/NAUTICA_MENS_V241201_DRR_2.jpg" TargetMode="External" Id="rId9263"/><Relationship Type="http://schemas.openxmlformats.org/officeDocument/2006/relationships/hyperlink" Target="imagenes/NAUTICA_MENS_V241201_DRR_3.jpg" TargetMode="External" Id="rId9264"/><Relationship Type="http://schemas.openxmlformats.org/officeDocument/2006/relationships/hyperlink" Target="imagenes/NAUTICA_MENS_V241201_DRR_1.jpg" TargetMode="External" Id="rId9265"/><Relationship Type="http://schemas.openxmlformats.org/officeDocument/2006/relationships/hyperlink" Target="imagenes/NAUTICA_MENS_V241201_DRR_2.jpg" TargetMode="External" Id="rId9266"/><Relationship Type="http://schemas.openxmlformats.org/officeDocument/2006/relationships/hyperlink" Target="imagenes/NAUTICA_MENS_V241201_DRR_3.jpg" TargetMode="External" Id="rId9267"/><Relationship Type="http://schemas.openxmlformats.org/officeDocument/2006/relationships/hyperlink" Target="imagenes/NAUTICA_MENS_V241201_DRR_1.jpg" TargetMode="External" Id="rId9268"/><Relationship Type="http://schemas.openxmlformats.org/officeDocument/2006/relationships/hyperlink" Target="imagenes/NAUTICA_MENS_V241201_DRR_2.jpg" TargetMode="External" Id="rId9269"/><Relationship Type="http://schemas.openxmlformats.org/officeDocument/2006/relationships/hyperlink" Target="imagenes/NAUTICA_MENS_V241201_DRR_3.jpg" TargetMode="External" Id="rId9270"/><Relationship Type="http://schemas.openxmlformats.org/officeDocument/2006/relationships/hyperlink" Target="imagenes/NAUTICA_MENS_V241201_DRR_1.jpg" TargetMode="External" Id="rId9271"/><Relationship Type="http://schemas.openxmlformats.org/officeDocument/2006/relationships/hyperlink" Target="imagenes/NAUTICA_MENS_V241201_DRR_2.jpg" TargetMode="External" Id="rId9272"/><Relationship Type="http://schemas.openxmlformats.org/officeDocument/2006/relationships/hyperlink" Target="imagenes/NAUTICA_MENS_V241201_DRR_3.jpg" TargetMode="External" Id="rId9273"/><Relationship Type="http://schemas.openxmlformats.org/officeDocument/2006/relationships/hyperlink" Target="imagenes/NAUTICA_MENS_V241201_GRZ_1.jpg" TargetMode="External" Id="rId9274"/><Relationship Type="http://schemas.openxmlformats.org/officeDocument/2006/relationships/hyperlink" Target="imagenes/NAUTICA_MENS_V241201_GRZ_2.jpg" TargetMode="External" Id="rId9275"/><Relationship Type="http://schemas.openxmlformats.org/officeDocument/2006/relationships/hyperlink" Target="imagenes/NAUTICA_MENS_V241201_GRZ_1.jpg" TargetMode="External" Id="rId9276"/><Relationship Type="http://schemas.openxmlformats.org/officeDocument/2006/relationships/hyperlink" Target="imagenes/NAUTICA_MENS_V241201_GRZ_2.jpg" TargetMode="External" Id="rId9277"/><Relationship Type="http://schemas.openxmlformats.org/officeDocument/2006/relationships/hyperlink" Target="imagenes/NAUTICA_MENS_V241201_HGY_1.jpg" TargetMode="External" Id="rId9278"/><Relationship Type="http://schemas.openxmlformats.org/officeDocument/2006/relationships/hyperlink" Target="imagenes/NAUTICA_MENS_V241201_HGY_2.jpg" TargetMode="External" Id="rId9279"/><Relationship Type="http://schemas.openxmlformats.org/officeDocument/2006/relationships/hyperlink" Target="imagenes/NAUTICA_MENS_V241201_HGY_3.jpg" TargetMode="External" Id="rId9280"/><Relationship Type="http://schemas.openxmlformats.org/officeDocument/2006/relationships/hyperlink" Target="imagenes/NAUTICA_MENS_V241201_NVY_1.jpg" TargetMode="External" Id="rId9281"/><Relationship Type="http://schemas.openxmlformats.org/officeDocument/2006/relationships/hyperlink" Target="imagenes/NAUTICA_MENS_V241201_NVY_2.jpg" TargetMode="External" Id="rId9282"/><Relationship Type="http://schemas.openxmlformats.org/officeDocument/2006/relationships/hyperlink" Target="imagenes/NAUTICA_MENS_V241201_NVY_3.jpg" TargetMode="External" Id="rId9283"/><Relationship Type="http://schemas.openxmlformats.org/officeDocument/2006/relationships/hyperlink" Target="imagenes/NAUTICA_MENS_V241201_TML_1.jpg" TargetMode="External" Id="rId9284"/><Relationship Type="http://schemas.openxmlformats.org/officeDocument/2006/relationships/hyperlink" Target="imagenes/NAUTICA_MENS_V241201_TML_2.jpg" TargetMode="External" Id="rId9285"/><Relationship Type="http://schemas.openxmlformats.org/officeDocument/2006/relationships/hyperlink" Target="imagenes/NAUTICA_MENS_V241201_TML_3.jpg" TargetMode="External" Id="rId9286"/><Relationship Type="http://schemas.openxmlformats.org/officeDocument/2006/relationships/hyperlink" Target="imagenes/NAUTICA_MENS_V241201_TML_1.jpg" TargetMode="External" Id="rId9287"/><Relationship Type="http://schemas.openxmlformats.org/officeDocument/2006/relationships/hyperlink" Target="imagenes/NAUTICA_MENS_V241201_TML_2.jpg" TargetMode="External" Id="rId9288"/><Relationship Type="http://schemas.openxmlformats.org/officeDocument/2006/relationships/hyperlink" Target="imagenes/NAUTICA_MENS_V241201_TML_3.jpg" TargetMode="External" Id="rId9289"/><Relationship Type="http://schemas.openxmlformats.org/officeDocument/2006/relationships/hyperlink" Target="imagenes/NAUTICA_MENS_V241201_TML_1.jpg" TargetMode="External" Id="rId9290"/><Relationship Type="http://schemas.openxmlformats.org/officeDocument/2006/relationships/hyperlink" Target="imagenes/NAUTICA_MENS_V241201_TML_2.jpg" TargetMode="External" Id="rId9291"/><Relationship Type="http://schemas.openxmlformats.org/officeDocument/2006/relationships/hyperlink" Target="imagenes/NAUTICA_MENS_V241201_TML_3.jpg" TargetMode="External" Id="rId9292"/><Relationship Type="http://schemas.openxmlformats.org/officeDocument/2006/relationships/hyperlink" Target="imagenes/NAUTICA_MENS_V241201_TML_1.jpg" TargetMode="External" Id="rId9293"/><Relationship Type="http://schemas.openxmlformats.org/officeDocument/2006/relationships/hyperlink" Target="imagenes/NAUTICA_MENS_V241201_TML_2.jpg" TargetMode="External" Id="rId9294"/><Relationship Type="http://schemas.openxmlformats.org/officeDocument/2006/relationships/hyperlink" Target="imagenes/NAUTICA_MENS_V241201_TML_3.jpg" TargetMode="External" Id="rId9295"/><Relationship Type="http://schemas.openxmlformats.org/officeDocument/2006/relationships/hyperlink" Target="imagenes/NAUTICA_MENS_V241201_TML_1.jpg" TargetMode="External" Id="rId9296"/><Relationship Type="http://schemas.openxmlformats.org/officeDocument/2006/relationships/hyperlink" Target="imagenes/NAUTICA_MENS_V241201_TML_2.jpg" TargetMode="External" Id="rId9297"/><Relationship Type="http://schemas.openxmlformats.org/officeDocument/2006/relationships/hyperlink" Target="imagenes/NAUTICA_MENS_V241201_TML_3.jpg" TargetMode="External" Id="rId9298"/><Relationship Type="http://schemas.openxmlformats.org/officeDocument/2006/relationships/hyperlink" Target="imagenes/NAUTICA_MENS_V241201_TML_1.jpg" TargetMode="External" Id="rId9299"/><Relationship Type="http://schemas.openxmlformats.org/officeDocument/2006/relationships/hyperlink" Target="imagenes/NAUTICA_MENS_V241201_TML_2.jpg" TargetMode="External" Id="rId9300"/><Relationship Type="http://schemas.openxmlformats.org/officeDocument/2006/relationships/hyperlink" Target="imagenes/NAUTICA_MENS_V241201_TML_3.jpg" TargetMode="External" Id="rId9301"/><Relationship Type="http://schemas.openxmlformats.org/officeDocument/2006/relationships/hyperlink" Target="imagenes/NAUTICA_MENS_V242744_BLK_1.jpg" TargetMode="External" Id="rId9302"/><Relationship Type="http://schemas.openxmlformats.org/officeDocument/2006/relationships/hyperlink" Target="imagenes/NAUTICA_MENS_V242744_BLK_2.jpg" TargetMode="External" Id="rId9303"/><Relationship Type="http://schemas.openxmlformats.org/officeDocument/2006/relationships/hyperlink" Target="imagenes/NAUTICA_MENS_V242744_BLK_3.jpg" TargetMode="External" Id="rId9304"/><Relationship Type="http://schemas.openxmlformats.org/officeDocument/2006/relationships/hyperlink" Target="imagenes/NAUTICA_MENS_V242744_NVY_1.jpg" TargetMode="External" Id="rId9305"/><Relationship Type="http://schemas.openxmlformats.org/officeDocument/2006/relationships/hyperlink" Target="imagenes/NAUTICA_MENS_V242744_NVY_2.jpg" TargetMode="External" Id="rId9306"/><Relationship Type="http://schemas.openxmlformats.org/officeDocument/2006/relationships/hyperlink" Target="imagenes/NAUTICA_MENS_V242744_NVY_3.jpg" TargetMode="External" Id="rId9307"/><Relationship Type="http://schemas.openxmlformats.org/officeDocument/2006/relationships/hyperlink" Target="imagenes/NAUTICA_MENS_V242744_NVY_1.jpg" TargetMode="External" Id="rId9308"/><Relationship Type="http://schemas.openxmlformats.org/officeDocument/2006/relationships/hyperlink" Target="imagenes/NAUTICA_MENS_V242744_NVY_2.jpg" TargetMode="External" Id="rId9309"/><Relationship Type="http://schemas.openxmlformats.org/officeDocument/2006/relationships/hyperlink" Target="imagenes/NAUTICA_MENS_V242744_NVY_3.jpg" TargetMode="External" Id="rId9310"/><Relationship Type="http://schemas.openxmlformats.org/officeDocument/2006/relationships/hyperlink" Target="imagenes/NAUTICA_MENS_V247597_DBR_1.jpg" TargetMode="External" Id="rId9311"/><Relationship Type="http://schemas.openxmlformats.org/officeDocument/2006/relationships/hyperlink" Target="imagenes/NAUTICA_MENS_V247597_DBR_2.jpg" TargetMode="External" Id="rId9312"/><Relationship Type="http://schemas.openxmlformats.org/officeDocument/2006/relationships/hyperlink" Target="imagenes/NAUTICA_MENS_V247597_DBR_3.jpg" TargetMode="External" Id="rId9313"/><Relationship Type="http://schemas.openxmlformats.org/officeDocument/2006/relationships/hyperlink" Target="imagenes/NAUTICA_MENS_V247597_DBR_1.jpg" TargetMode="External" Id="rId9314"/><Relationship Type="http://schemas.openxmlformats.org/officeDocument/2006/relationships/hyperlink" Target="imagenes/NAUTICA_MENS_V247597_DBR_2.jpg" TargetMode="External" Id="rId9315"/><Relationship Type="http://schemas.openxmlformats.org/officeDocument/2006/relationships/hyperlink" Target="imagenes/NAUTICA_MENS_V247597_DBR_3.jpg" TargetMode="External" Id="rId9316"/><Relationship Type="http://schemas.openxmlformats.org/officeDocument/2006/relationships/hyperlink" Target="imagenes/NAUTICA_MENS_V247597_DBR_1.jpg" TargetMode="External" Id="rId9317"/><Relationship Type="http://schemas.openxmlformats.org/officeDocument/2006/relationships/hyperlink" Target="imagenes/NAUTICA_MENS_V247597_DBR_2.jpg" TargetMode="External" Id="rId9318"/><Relationship Type="http://schemas.openxmlformats.org/officeDocument/2006/relationships/hyperlink" Target="imagenes/NAUTICA_MENS_V247597_DBR_3.jpg" TargetMode="External" Id="rId9319"/><Relationship Type="http://schemas.openxmlformats.org/officeDocument/2006/relationships/hyperlink" Target="imagenes/NAUTICA_MENS_V320314S_NVY_1.jpg" TargetMode="External" Id="rId9320"/><Relationship Type="http://schemas.openxmlformats.org/officeDocument/2006/relationships/hyperlink" Target="imagenes/NAUTICA_MENS_V320314S_NVY_2.jpg" TargetMode="External" Id="rId9321"/><Relationship Type="http://schemas.openxmlformats.org/officeDocument/2006/relationships/hyperlink" Target="imagenes/NAUTICA_MENS_V320314S_NVY_3.jpg" TargetMode="External" Id="rId9322"/><Relationship Type="http://schemas.openxmlformats.org/officeDocument/2006/relationships/hyperlink" Target="imagenes/NAUTICA_MENS_V320314S_SCM_1.jpg" TargetMode="External" Id="rId9323"/><Relationship Type="http://schemas.openxmlformats.org/officeDocument/2006/relationships/hyperlink" Target="imagenes/NAUTICA_MENS_V320314S_SCM_2.jpg" TargetMode="External" Id="rId9324"/><Relationship Type="http://schemas.openxmlformats.org/officeDocument/2006/relationships/hyperlink" Target="imagenes/NAUTICA_MENS_V320314S_SCM_3.jpg" TargetMode="External" Id="rId9325"/><Relationship Type="http://schemas.openxmlformats.org/officeDocument/2006/relationships/hyperlink" Target="imagenes/NAUTICA_MENS_V320314S_SCM_1.jpg" TargetMode="External" Id="rId9326"/><Relationship Type="http://schemas.openxmlformats.org/officeDocument/2006/relationships/hyperlink" Target="imagenes/NAUTICA_MENS_V320314S_SCM_2.jpg" TargetMode="External" Id="rId9327"/><Relationship Type="http://schemas.openxmlformats.org/officeDocument/2006/relationships/hyperlink" Target="imagenes/NAUTICA_MENS_V320314S_SCM_3.jpg" TargetMode="External" Id="rId9328"/><Relationship Type="http://schemas.openxmlformats.org/officeDocument/2006/relationships/hyperlink" Target="imagenes/NAUTICA_MENS_V320328R_RNV_1.jpg" TargetMode="External" Id="rId9329"/><Relationship Type="http://schemas.openxmlformats.org/officeDocument/2006/relationships/hyperlink" Target="imagenes/NAUTICA_MENS_V320328R_RNV_2.jpg" TargetMode="External" Id="rId9330"/><Relationship Type="http://schemas.openxmlformats.org/officeDocument/2006/relationships/hyperlink" Target="imagenes/NAUTICA_MENS_V320328R_RNV_3.jpg" TargetMode="External" Id="rId9331"/><Relationship Type="http://schemas.openxmlformats.org/officeDocument/2006/relationships/hyperlink" Target="imagenes/NAUTICA_MENS_V322453M_ART_1.jpg" TargetMode="External" Id="rId9332"/><Relationship Type="http://schemas.openxmlformats.org/officeDocument/2006/relationships/hyperlink" Target="imagenes/NAUTICA_MENS_V322453M_ART_2.jpg" TargetMode="External" Id="rId9333"/><Relationship Type="http://schemas.openxmlformats.org/officeDocument/2006/relationships/hyperlink" Target="imagenes/NAUTICA_MENS_V322453M_ART_3.jpg" TargetMode="External" Id="rId9334"/><Relationship Type="http://schemas.openxmlformats.org/officeDocument/2006/relationships/hyperlink" Target="imagenes/NAUTICA_MENS_V322453M_ART_1.jpg" TargetMode="External" Id="rId9335"/><Relationship Type="http://schemas.openxmlformats.org/officeDocument/2006/relationships/hyperlink" Target="imagenes/NAUTICA_MENS_V322453M_ART_2.jpg" TargetMode="External" Id="rId9336"/><Relationship Type="http://schemas.openxmlformats.org/officeDocument/2006/relationships/hyperlink" Target="imagenes/NAUTICA_MENS_V322453M_ART_3.jpg" TargetMode="External" Id="rId9337"/><Relationship Type="http://schemas.openxmlformats.org/officeDocument/2006/relationships/hyperlink" Target="imagenes/NAUTICA_MENS_V322453M_ART_1.jpg" TargetMode="External" Id="rId9338"/><Relationship Type="http://schemas.openxmlformats.org/officeDocument/2006/relationships/hyperlink" Target="imagenes/NAUTICA_MENS_V322453M_ART_2.jpg" TargetMode="External" Id="rId9339"/><Relationship Type="http://schemas.openxmlformats.org/officeDocument/2006/relationships/hyperlink" Target="imagenes/NAUTICA_MENS_V322453M_ART_3.jpg" TargetMode="External" Id="rId9340"/><Relationship Type="http://schemas.openxmlformats.org/officeDocument/2006/relationships/hyperlink" Target="imagenes/NAUTICA_MENS_V322453M_ART_1.jpg" TargetMode="External" Id="rId9341"/><Relationship Type="http://schemas.openxmlformats.org/officeDocument/2006/relationships/hyperlink" Target="imagenes/NAUTICA_MENS_V322453M_ART_2.jpg" TargetMode="External" Id="rId9342"/><Relationship Type="http://schemas.openxmlformats.org/officeDocument/2006/relationships/hyperlink" Target="imagenes/NAUTICA_MENS_V322453M_ART_3.jpg" TargetMode="External" Id="rId9343"/><Relationship Type="http://schemas.openxmlformats.org/officeDocument/2006/relationships/hyperlink" Target="imagenes/NAUTICA_MENS_V322453M_ART_1.jpg" TargetMode="External" Id="rId9344"/><Relationship Type="http://schemas.openxmlformats.org/officeDocument/2006/relationships/hyperlink" Target="imagenes/NAUTICA_MENS_V322453M_ART_2.jpg" TargetMode="External" Id="rId9345"/><Relationship Type="http://schemas.openxmlformats.org/officeDocument/2006/relationships/hyperlink" Target="imagenes/NAUTICA_MENS_V322453M_ART_3.jpg" TargetMode="External" Id="rId9346"/><Relationship Type="http://schemas.openxmlformats.org/officeDocument/2006/relationships/hyperlink" Target="imagenes/NAUTICA_MENS_V322453M_ART_1.jpg" TargetMode="External" Id="rId9347"/><Relationship Type="http://schemas.openxmlformats.org/officeDocument/2006/relationships/hyperlink" Target="imagenes/NAUTICA_MENS_V322453M_ART_2.jpg" TargetMode="External" Id="rId9348"/><Relationship Type="http://schemas.openxmlformats.org/officeDocument/2006/relationships/hyperlink" Target="imagenes/NAUTICA_MENS_V322453M_ART_3.jpg" TargetMode="External" Id="rId9349"/><Relationship Type="http://schemas.openxmlformats.org/officeDocument/2006/relationships/hyperlink" Target="imagenes/NAUTICA_MENS_V322453M_ART_1.jpg" TargetMode="External" Id="rId9350"/><Relationship Type="http://schemas.openxmlformats.org/officeDocument/2006/relationships/hyperlink" Target="imagenes/NAUTICA_MENS_V322453M_ART_2.jpg" TargetMode="External" Id="rId9351"/><Relationship Type="http://schemas.openxmlformats.org/officeDocument/2006/relationships/hyperlink" Target="imagenes/NAUTICA_MENS_V322453M_ART_3.jpg" TargetMode="External" Id="rId9352"/><Relationship Type="http://schemas.openxmlformats.org/officeDocument/2006/relationships/hyperlink" Target="imagenes/NAUTICA_MENS_V322453M_ART_1.jpg" TargetMode="External" Id="rId9353"/><Relationship Type="http://schemas.openxmlformats.org/officeDocument/2006/relationships/hyperlink" Target="imagenes/NAUTICA_MENS_V322453M_ART_2.jpg" TargetMode="External" Id="rId9354"/><Relationship Type="http://schemas.openxmlformats.org/officeDocument/2006/relationships/hyperlink" Target="imagenes/NAUTICA_MENS_V322453M_ART_3.jpg" TargetMode="External" Id="rId9355"/><Relationship Type="http://schemas.openxmlformats.org/officeDocument/2006/relationships/hyperlink" Target="imagenes/NAUTICA_MENS_V322453M_ART_1.jpg" TargetMode="External" Id="rId9356"/><Relationship Type="http://schemas.openxmlformats.org/officeDocument/2006/relationships/hyperlink" Target="imagenes/NAUTICA_MENS_V322453M_ART_2.jpg" TargetMode="External" Id="rId9357"/><Relationship Type="http://schemas.openxmlformats.org/officeDocument/2006/relationships/hyperlink" Target="imagenes/NAUTICA_MENS_V322453M_ART_3.jpg" TargetMode="External" Id="rId9358"/><Relationship Type="http://schemas.openxmlformats.org/officeDocument/2006/relationships/hyperlink" Target="imagenes/NAUTICA_MENS_V322453M_ARU_1.jpg" TargetMode="External" Id="rId9359"/><Relationship Type="http://schemas.openxmlformats.org/officeDocument/2006/relationships/hyperlink" Target="imagenes/NAUTICA_MENS_V322453M_ARU_2.jpg" TargetMode="External" Id="rId9360"/><Relationship Type="http://schemas.openxmlformats.org/officeDocument/2006/relationships/hyperlink" Target="imagenes/NAUTICA_MENS_V322453M_ARU_3.jpg" TargetMode="External" Id="rId9361"/><Relationship Type="http://schemas.openxmlformats.org/officeDocument/2006/relationships/hyperlink" Target="imagenes/NAUTICA_MENS_V322453M_ARU_1.jpg" TargetMode="External" Id="rId9362"/><Relationship Type="http://schemas.openxmlformats.org/officeDocument/2006/relationships/hyperlink" Target="imagenes/NAUTICA_MENS_V322453M_ARU_2.jpg" TargetMode="External" Id="rId9363"/><Relationship Type="http://schemas.openxmlformats.org/officeDocument/2006/relationships/hyperlink" Target="imagenes/NAUTICA_MENS_V322453M_ARU_3.jpg" TargetMode="External" Id="rId9364"/><Relationship Type="http://schemas.openxmlformats.org/officeDocument/2006/relationships/hyperlink" Target="imagenes/NAUTICA_MENS_V322453M_ARU_1.jpg" TargetMode="External" Id="rId9365"/><Relationship Type="http://schemas.openxmlformats.org/officeDocument/2006/relationships/hyperlink" Target="imagenes/NAUTICA_MENS_V322453M_ARU_2.jpg" TargetMode="External" Id="rId9366"/><Relationship Type="http://schemas.openxmlformats.org/officeDocument/2006/relationships/hyperlink" Target="imagenes/NAUTICA_MENS_V322453M_ARU_3.jpg" TargetMode="External" Id="rId9367"/><Relationship Type="http://schemas.openxmlformats.org/officeDocument/2006/relationships/hyperlink" Target="imagenes/NAUTICA_MENS_V322453M_ARU_1.jpg" TargetMode="External" Id="rId9368"/><Relationship Type="http://schemas.openxmlformats.org/officeDocument/2006/relationships/hyperlink" Target="imagenes/NAUTICA_MENS_V322453M_ARU_2.jpg" TargetMode="External" Id="rId9369"/><Relationship Type="http://schemas.openxmlformats.org/officeDocument/2006/relationships/hyperlink" Target="imagenes/NAUTICA_MENS_V322453M_ARU_3.jpg" TargetMode="External" Id="rId9370"/><Relationship Type="http://schemas.openxmlformats.org/officeDocument/2006/relationships/hyperlink" Target="imagenes/NAUTICA_MENS_V322453M_BLK_1.jpg" TargetMode="External" Id="rId9371"/><Relationship Type="http://schemas.openxmlformats.org/officeDocument/2006/relationships/hyperlink" Target="imagenes/NAUTICA_MENS_V322453M_BLK_2.jpg" TargetMode="External" Id="rId9372"/><Relationship Type="http://schemas.openxmlformats.org/officeDocument/2006/relationships/hyperlink" Target="imagenes/NAUTICA_MENS_V322453M_BLK_3.jpg" TargetMode="External" Id="rId9373"/><Relationship Type="http://schemas.openxmlformats.org/officeDocument/2006/relationships/hyperlink" Target="imagenes/NAUTICA_MENS_V322453M_BLK_1.jpg" TargetMode="External" Id="rId9374"/><Relationship Type="http://schemas.openxmlformats.org/officeDocument/2006/relationships/hyperlink" Target="imagenes/NAUTICA_MENS_V322453M_BLK_2.jpg" TargetMode="External" Id="rId9375"/><Relationship Type="http://schemas.openxmlformats.org/officeDocument/2006/relationships/hyperlink" Target="imagenes/NAUTICA_MENS_V322453M_BLK_3.jpg" TargetMode="External" Id="rId9376"/><Relationship Type="http://schemas.openxmlformats.org/officeDocument/2006/relationships/hyperlink" Target="imagenes/NAUTICA_MENS_V322453M_BLK_1.jpg" TargetMode="External" Id="rId9377"/><Relationship Type="http://schemas.openxmlformats.org/officeDocument/2006/relationships/hyperlink" Target="imagenes/NAUTICA_MENS_V322453M_BLK_2.jpg" TargetMode="External" Id="rId9378"/><Relationship Type="http://schemas.openxmlformats.org/officeDocument/2006/relationships/hyperlink" Target="imagenes/NAUTICA_MENS_V322453M_BLK_3.jpg" TargetMode="External" Id="rId9379"/><Relationship Type="http://schemas.openxmlformats.org/officeDocument/2006/relationships/hyperlink" Target="imagenes/NAUTICA_MENS_V322453M_BLK_1.jpg" TargetMode="External" Id="rId9380"/><Relationship Type="http://schemas.openxmlformats.org/officeDocument/2006/relationships/hyperlink" Target="imagenes/NAUTICA_MENS_V322453M_BLK_2.jpg" TargetMode="External" Id="rId9381"/><Relationship Type="http://schemas.openxmlformats.org/officeDocument/2006/relationships/hyperlink" Target="imagenes/NAUTICA_MENS_V322453M_BLK_3.jpg" TargetMode="External" Id="rId9382"/><Relationship Type="http://schemas.openxmlformats.org/officeDocument/2006/relationships/hyperlink" Target="imagenes/NAUTICA_MENS_V322453M_C8N_1.jpg" TargetMode="External" Id="rId9383"/><Relationship Type="http://schemas.openxmlformats.org/officeDocument/2006/relationships/hyperlink" Target="imagenes/NAUTICA_MENS_V322453M_C8N_2.jpg" TargetMode="External" Id="rId9384"/><Relationship Type="http://schemas.openxmlformats.org/officeDocument/2006/relationships/hyperlink" Target="imagenes/NAUTICA_MENS_V322453M_C8N_3.jpg" TargetMode="External" Id="rId9385"/><Relationship Type="http://schemas.openxmlformats.org/officeDocument/2006/relationships/hyperlink" Target="imagenes/NAUTICA_MENS_V322453M_CBL_1.jpg" TargetMode="External" Id="rId9386"/><Relationship Type="http://schemas.openxmlformats.org/officeDocument/2006/relationships/hyperlink" Target="imagenes/NAUTICA_MENS_V322453M_CBL_2.jpg" TargetMode="External" Id="rId9387"/><Relationship Type="http://schemas.openxmlformats.org/officeDocument/2006/relationships/hyperlink" Target="imagenes/NAUTICA_MENS_V322453M_CBL_3.jpg" TargetMode="External" Id="rId9388"/><Relationship Type="http://schemas.openxmlformats.org/officeDocument/2006/relationships/hyperlink" Target="imagenes/NAUTICA_MENS_V322453M_CBL_1.jpg" TargetMode="External" Id="rId9389"/><Relationship Type="http://schemas.openxmlformats.org/officeDocument/2006/relationships/hyperlink" Target="imagenes/NAUTICA_MENS_V322453M_CBL_2.jpg" TargetMode="External" Id="rId9390"/><Relationship Type="http://schemas.openxmlformats.org/officeDocument/2006/relationships/hyperlink" Target="imagenes/NAUTICA_MENS_V322453M_CBL_3.jpg" TargetMode="External" Id="rId9391"/><Relationship Type="http://schemas.openxmlformats.org/officeDocument/2006/relationships/hyperlink" Target="imagenes/NAUTICA_MENS_V322453M_CBL_1.jpg" TargetMode="External" Id="rId9392"/><Relationship Type="http://schemas.openxmlformats.org/officeDocument/2006/relationships/hyperlink" Target="imagenes/NAUTICA_MENS_V322453M_CBL_2.jpg" TargetMode="External" Id="rId9393"/><Relationship Type="http://schemas.openxmlformats.org/officeDocument/2006/relationships/hyperlink" Target="imagenes/NAUTICA_MENS_V322453M_CBL_3.jpg" TargetMode="External" Id="rId9394"/><Relationship Type="http://schemas.openxmlformats.org/officeDocument/2006/relationships/hyperlink" Target="imagenes/NAUTICA_MENS_V322453M_CBL_1.jpg" TargetMode="External" Id="rId9395"/><Relationship Type="http://schemas.openxmlformats.org/officeDocument/2006/relationships/hyperlink" Target="imagenes/NAUTICA_MENS_V322453M_CBL_2.jpg" TargetMode="External" Id="rId9396"/><Relationship Type="http://schemas.openxmlformats.org/officeDocument/2006/relationships/hyperlink" Target="imagenes/NAUTICA_MENS_V322453M_CBL_3.jpg" TargetMode="External" Id="rId9397"/><Relationship Type="http://schemas.openxmlformats.org/officeDocument/2006/relationships/hyperlink" Target="imagenes/NAUTICA_MENS_V322453M_CBL_1.jpg" TargetMode="External" Id="rId9398"/><Relationship Type="http://schemas.openxmlformats.org/officeDocument/2006/relationships/hyperlink" Target="imagenes/NAUTICA_MENS_V322453M_CBL_2.jpg" TargetMode="External" Id="rId9399"/><Relationship Type="http://schemas.openxmlformats.org/officeDocument/2006/relationships/hyperlink" Target="imagenes/NAUTICA_MENS_V322453M_CBL_3.jpg" TargetMode="External" Id="rId9400"/><Relationship Type="http://schemas.openxmlformats.org/officeDocument/2006/relationships/hyperlink" Target="imagenes/NAUTICA_MENS_V322453M_CLG_1.jpg" TargetMode="External" Id="rId9401"/><Relationship Type="http://schemas.openxmlformats.org/officeDocument/2006/relationships/hyperlink" Target="imagenes/NAUTICA_MENS_V322453M_CLG_2.jpg" TargetMode="External" Id="rId9402"/><Relationship Type="http://schemas.openxmlformats.org/officeDocument/2006/relationships/hyperlink" Target="imagenes/NAUTICA_MENS_V322453M_CLG_3.jpg" TargetMode="External" Id="rId9403"/><Relationship Type="http://schemas.openxmlformats.org/officeDocument/2006/relationships/hyperlink" Target="imagenes/NAUTICA_MENS_V322453M_CLG_1.jpg" TargetMode="External" Id="rId9404"/><Relationship Type="http://schemas.openxmlformats.org/officeDocument/2006/relationships/hyperlink" Target="imagenes/NAUTICA_MENS_V322453M_CLG_2.jpg" TargetMode="External" Id="rId9405"/><Relationship Type="http://schemas.openxmlformats.org/officeDocument/2006/relationships/hyperlink" Target="imagenes/NAUTICA_MENS_V322453M_CLG_3.jpg" TargetMode="External" Id="rId9406"/><Relationship Type="http://schemas.openxmlformats.org/officeDocument/2006/relationships/hyperlink" Target="imagenes/NAUTICA_MENS_V322453M_CLG_1.jpg" TargetMode="External" Id="rId9407"/><Relationship Type="http://schemas.openxmlformats.org/officeDocument/2006/relationships/hyperlink" Target="imagenes/NAUTICA_MENS_V322453M_CLG_2.jpg" TargetMode="External" Id="rId9408"/><Relationship Type="http://schemas.openxmlformats.org/officeDocument/2006/relationships/hyperlink" Target="imagenes/NAUTICA_MENS_V322453M_CLG_3.jpg" TargetMode="External" Id="rId9409"/><Relationship Type="http://schemas.openxmlformats.org/officeDocument/2006/relationships/hyperlink" Target="imagenes/NAUTICA_MENS_V322453M_CLG_1.jpg" TargetMode="External" Id="rId9410"/><Relationship Type="http://schemas.openxmlformats.org/officeDocument/2006/relationships/hyperlink" Target="imagenes/NAUTICA_MENS_V322453M_CLG_2.jpg" TargetMode="External" Id="rId9411"/><Relationship Type="http://schemas.openxmlformats.org/officeDocument/2006/relationships/hyperlink" Target="imagenes/NAUTICA_MENS_V322453M_CLG_3.jpg" TargetMode="External" Id="rId9412"/><Relationship Type="http://schemas.openxmlformats.org/officeDocument/2006/relationships/hyperlink" Target="imagenes/NAUTICA_MENS_V322453M_CLG_1.jpg" TargetMode="External" Id="rId9413"/><Relationship Type="http://schemas.openxmlformats.org/officeDocument/2006/relationships/hyperlink" Target="imagenes/NAUTICA_MENS_V322453M_CLG_2.jpg" TargetMode="External" Id="rId9414"/><Relationship Type="http://schemas.openxmlformats.org/officeDocument/2006/relationships/hyperlink" Target="imagenes/NAUTICA_MENS_V322453M_CLG_3.jpg" TargetMode="External" Id="rId9415"/><Relationship Type="http://schemas.openxmlformats.org/officeDocument/2006/relationships/hyperlink" Target="imagenes/NAUTICA_MENS_V322453M_DGY_1.jpg" TargetMode="External" Id="rId9416"/><Relationship Type="http://schemas.openxmlformats.org/officeDocument/2006/relationships/hyperlink" Target="imagenes/NAUTICA_MENS_V322453M_DGY_2.jpg" TargetMode="External" Id="rId9417"/><Relationship Type="http://schemas.openxmlformats.org/officeDocument/2006/relationships/hyperlink" Target="imagenes/NAUTICA_MENS_V322453M_DGY_3.jpg" TargetMode="External" Id="rId9418"/><Relationship Type="http://schemas.openxmlformats.org/officeDocument/2006/relationships/hyperlink" Target="imagenes/NAUTICA_MENS_V322453M_DGY_1.jpg" TargetMode="External" Id="rId9419"/><Relationship Type="http://schemas.openxmlformats.org/officeDocument/2006/relationships/hyperlink" Target="imagenes/NAUTICA_MENS_V322453M_DGY_2.jpg" TargetMode="External" Id="rId9420"/><Relationship Type="http://schemas.openxmlformats.org/officeDocument/2006/relationships/hyperlink" Target="imagenes/NAUTICA_MENS_V322453M_DGY_3.jpg" TargetMode="External" Id="rId9421"/><Relationship Type="http://schemas.openxmlformats.org/officeDocument/2006/relationships/hyperlink" Target="imagenes/NAUTICA_MENS_V322453M_DGY_1.jpg" TargetMode="External" Id="rId9422"/><Relationship Type="http://schemas.openxmlformats.org/officeDocument/2006/relationships/hyperlink" Target="imagenes/NAUTICA_MENS_V322453M_DGY_2.jpg" TargetMode="External" Id="rId9423"/><Relationship Type="http://schemas.openxmlformats.org/officeDocument/2006/relationships/hyperlink" Target="imagenes/NAUTICA_MENS_V322453M_DGY_3.jpg" TargetMode="External" Id="rId9424"/><Relationship Type="http://schemas.openxmlformats.org/officeDocument/2006/relationships/hyperlink" Target="imagenes/NAUTICA_MENS_V322453M_DGY_1.jpg" TargetMode="External" Id="rId9425"/><Relationship Type="http://schemas.openxmlformats.org/officeDocument/2006/relationships/hyperlink" Target="imagenes/NAUTICA_MENS_V322453M_DGY_2.jpg" TargetMode="External" Id="rId9426"/><Relationship Type="http://schemas.openxmlformats.org/officeDocument/2006/relationships/hyperlink" Target="imagenes/NAUTICA_MENS_V322453M_DGY_3.jpg" TargetMode="External" Id="rId9427"/><Relationship Type="http://schemas.openxmlformats.org/officeDocument/2006/relationships/hyperlink" Target="imagenes/NAUTICA_MENS_V322453M_DSO_1.jpg" TargetMode="External" Id="rId9428"/><Relationship Type="http://schemas.openxmlformats.org/officeDocument/2006/relationships/hyperlink" Target="imagenes/NAUTICA_MENS_V322453M_DSO_2.jpg" TargetMode="External" Id="rId9429"/><Relationship Type="http://schemas.openxmlformats.org/officeDocument/2006/relationships/hyperlink" Target="imagenes/NAUTICA_MENS_V322453M_DSO_3.jpg" TargetMode="External" Id="rId9430"/><Relationship Type="http://schemas.openxmlformats.org/officeDocument/2006/relationships/hyperlink" Target="imagenes/NAUTICA_MENS_V322453M_DSO_1.jpg" TargetMode="External" Id="rId9431"/><Relationship Type="http://schemas.openxmlformats.org/officeDocument/2006/relationships/hyperlink" Target="imagenes/NAUTICA_MENS_V322453M_DSO_2.jpg" TargetMode="External" Id="rId9432"/><Relationship Type="http://schemas.openxmlformats.org/officeDocument/2006/relationships/hyperlink" Target="imagenes/NAUTICA_MENS_V322453M_DSO_3.jpg" TargetMode="External" Id="rId9433"/><Relationship Type="http://schemas.openxmlformats.org/officeDocument/2006/relationships/hyperlink" Target="imagenes/NAUTICA_MENS_V322453M_DSO_1.jpg" TargetMode="External" Id="rId9434"/><Relationship Type="http://schemas.openxmlformats.org/officeDocument/2006/relationships/hyperlink" Target="imagenes/NAUTICA_MENS_V322453M_DSO_2.jpg" TargetMode="External" Id="rId9435"/><Relationship Type="http://schemas.openxmlformats.org/officeDocument/2006/relationships/hyperlink" Target="imagenes/NAUTICA_MENS_V322453M_DSO_3.jpg" TargetMode="External" Id="rId9436"/><Relationship Type="http://schemas.openxmlformats.org/officeDocument/2006/relationships/hyperlink" Target="imagenes/NAUTICA_MENS_V322453M_DSO_1.jpg" TargetMode="External" Id="rId9437"/><Relationship Type="http://schemas.openxmlformats.org/officeDocument/2006/relationships/hyperlink" Target="imagenes/NAUTICA_MENS_V322453M_DSO_2.jpg" TargetMode="External" Id="rId9438"/><Relationship Type="http://schemas.openxmlformats.org/officeDocument/2006/relationships/hyperlink" Target="imagenes/NAUTICA_MENS_V322453M_DSO_3.jpg" TargetMode="External" Id="rId9439"/><Relationship Type="http://schemas.openxmlformats.org/officeDocument/2006/relationships/hyperlink" Target="imagenes/NAUTICA_MENS_V322453M_G4T_1.jpg" TargetMode="External" Id="rId9440"/><Relationship Type="http://schemas.openxmlformats.org/officeDocument/2006/relationships/hyperlink" Target="imagenes/NAUTICA_MENS_V322453M_G4T_2.jpg" TargetMode="External" Id="rId9441"/><Relationship Type="http://schemas.openxmlformats.org/officeDocument/2006/relationships/hyperlink" Target="imagenes/NAUTICA_MENS_V322453M_G4T_3.jpg" TargetMode="External" Id="rId9442"/><Relationship Type="http://schemas.openxmlformats.org/officeDocument/2006/relationships/hyperlink" Target="imagenes/NAUTICA_MENS_V322453M_G4T_1.jpg" TargetMode="External" Id="rId9443"/><Relationship Type="http://schemas.openxmlformats.org/officeDocument/2006/relationships/hyperlink" Target="imagenes/NAUTICA_MENS_V322453M_G4T_2.jpg" TargetMode="External" Id="rId9444"/><Relationship Type="http://schemas.openxmlformats.org/officeDocument/2006/relationships/hyperlink" Target="imagenes/NAUTICA_MENS_V322453M_G4T_3.jpg" TargetMode="External" Id="rId9445"/><Relationship Type="http://schemas.openxmlformats.org/officeDocument/2006/relationships/hyperlink" Target="imagenes/NAUTICA_MENS_V322453M_G4T_1.jpg" TargetMode="External" Id="rId9446"/><Relationship Type="http://schemas.openxmlformats.org/officeDocument/2006/relationships/hyperlink" Target="imagenes/NAUTICA_MENS_V322453M_G4T_2.jpg" TargetMode="External" Id="rId9447"/><Relationship Type="http://schemas.openxmlformats.org/officeDocument/2006/relationships/hyperlink" Target="imagenes/NAUTICA_MENS_V322453M_G4T_3.jpg" TargetMode="External" Id="rId9448"/><Relationship Type="http://schemas.openxmlformats.org/officeDocument/2006/relationships/hyperlink" Target="imagenes/NAUTICA_MENS_V322453M_G4T_1.jpg" TargetMode="External" Id="rId9449"/><Relationship Type="http://schemas.openxmlformats.org/officeDocument/2006/relationships/hyperlink" Target="imagenes/NAUTICA_MENS_V322453M_G4T_2.jpg" TargetMode="External" Id="rId9450"/><Relationship Type="http://schemas.openxmlformats.org/officeDocument/2006/relationships/hyperlink" Target="imagenes/NAUTICA_MENS_V322453M_G4T_3.jpg" TargetMode="External" Id="rId9451"/><Relationship Type="http://schemas.openxmlformats.org/officeDocument/2006/relationships/hyperlink" Target="imagenes/NAUTICA_MENS_V322453M_G4T_1.jpg" TargetMode="External" Id="rId9452"/><Relationship Type="http://schemas.openxmlformats.org/officeDocument/2006/relationships/hyperlink" Target="imagenes/NAUTICA_MENS_V322453M_G4T_2.jpg" TargetMode="External" Id="rId9453"/><Relationship Type="http://schemas.openxmlformats.org/officeDocument/2006/relationships/hyperlink" Target="imagenes/NAUTICA_MENS_V322453M_G4T_3.jpg" TargetMode="External" Id="rId9454"/><Relationship Type="http://schemas.openxmlformats.org/officeDocument/2006/relationships/hyperlink" Target="imagenes/NAUTICA_MENS_V322453M_GRG_1.jpg" TargetMode="External" Id="rId9455"/><Relationship Type="http://schemas.openxmlformats.org/officeDocument/2006/relationships/hyperlink" Target="imagenes/NAUTICA_MENS_V322453M_GRG_2.jpg" TargetMode="External" Id="rId9456"/><Relationship Type="http://schemas.openxmlformats.org/officeDocument/2006/relationships/hyperlink" Target="imagenes/NAUTICA_MENS_V322453M_GRG_3.jpg" TargetMode="External" Id="rId9457"/><Relationship Type="http://schemas.openxmlformats.org/officeDocument/2006/relationships/hyperlink" Target="imagenes/NAUTICA_MENS_V322453M_GRG_1.jpg" TargetMode="External" Id="rId9458"/><Relationship Type="http://schemas.openxmlformats.org/officeDocument/2006/relationships/hyperlink" Target="imagenes/NAUTICA_MENS_V322453M_GRG_2.jpg" TargetMode="External" Id="rId9459"/><Relationship Type="http://schemas.openxmlformats.org/officeDocument/2006/relationships/hyperlink" Target="imagenes/NAUTICA_MENS_V322453M_GRG_3.jpg" TargetMode="External" Id="rId9460"/><Relationship Type="http://schemas.openxmlformats.org/officeDocument/2006/relationships/hyperlink" Target="imagenes/NAUTICA_MENS_V322453M_GRG_1.jpg" TargetMode="External" Id="rId9461"/><Relationship Type="http://schemas.openxmlformats.org/officeDocument/2006/relationships/hyperlink" Target="imagenes/NAUTICA_MENS_V322453M_GRG_2.jpg" TargetMode="External" Id="rId9462"/><Relationship Type="http://schemas.openxmlformats.org/officeDocument/2006/relationships/hyperlink" Target="imagenes/NAUTICA_MENS_V322453M_GRG_3.jpg" TargetMode="External" Id="rId9463"/><Relationship Type="http://schemas.openxmlformats.org/officeDocument/2006/relationships/hyperlink" Target="imagenes/NAUTICA_MENS_V322453M_MGD_1.jpg" TargetMode="External" Id="rId9464"/><Relationship Type="http://schemas.openxmlformats.org/officeDocument/2006/relationships/hyperlink" Target="imagenes/NAUTICA_MENS_V322453M_MGD_2.jpg" TargetMode="External" Id="rId9465"/><Relationship Type="http://schemas.openxmlformats.org/officeDocument/2006/relationships/hyperlink" Target="imagenes/NAUTICA_MENS_V322453M_MGD_3.jpg" TargetMode="External" Id="rId9466"/><Relationship Type="http://schemas.openxmlformats.org/officeDocument/2006/relationships/hyperlink" Target="imagenes/NAUTICA_MENS_V322453M_MGD_1.jpg" TargetMode="External" Id="rId9467"/><Relationship Type="http://schemas.openxmlformats.org/officeDocument/2006/relationships/hyperlink" Target="imagenes/NAUTICA_MENS_V322453M_MGD_2.jpg" TargetMode="External" Id="rId9468"/><Relationship Type="http://schemas.openxmlformats.org/officeDocument/2006/relationships/hyperlink" Target="imagenes/NAUTICA_MENS_V322453M_MGD_3.jpg" TargetMode="External" Id="rId9469"/><Relationship Type="http://schemas.openxmlformats.org/officeDocument/2006/relationships/hyperlink" Target="imagenes/NAUTICA_MENS_V322453M_MGD_1.jpg" TargetMode="External" Id="rId9470"/><Relationship Type="http://schemas.openxmlformats.org/officeDocument/2006/relationships/hyperlink" Target="imagenes/NAUTICA_MENS_V322453M_MGD_2.jpg" TargetMode="External" Id="rId9471"/><Relationship Type="http://schemas.openxmlformats.org/officeDocument/2006/relationships/hyperlink" Target="imagenes/NAUTICA_MENS_V322453M_MGD_3.jpg" TargetMode="External" Id="rId9472"/><Relationship Type="http://schemas.openxmlformats.org/officeDocument/2006/relationships/hyperlink" Target="imagenes/NAUTICA_MENS_V322453M_NVY_1.jpg" TargetMode="External" Id="rId9473"/><Relationship Type="http://schemas.openxmlformats.org/officeDocument/2006/relationships/hyperlink" Target="imagenes/NAUTICA_MENS_V322453M_NVY_2.jpg" TargetMode="External" Id="rId9474"/><Relationship Type="http://schemas.openxmlformats.org/officeDocument/2006/relationships/hyperlink" Target="imagenes/NAUTICA_MENS_V322453M_NVY_3.jpg" TargetMode="External" Id="rId9475"/><Relationship Type="http://schemas.openxmlformats.org/officeDocument/2006/relationships/hyperlink" Target="imagenes/NAUTICA_MENS_V322453M_NVY_1.jpg" TargetMode="External" Id="rId9476"/><Relationship Type="http://schemas.openxmlformats.org/officeDocument/2006/relationships/hyperlink" Target="imagenes/NAUTICA_MENS_V322453M_NVY_2.jpg" TargetMode="External" Id="rId9477"/><Relationship Type="http://schemas.openxmlformats.org/officeDocument/2006/relationships/hyperlink" Target="imagenes/NAUTICA_MENS_V322453M_NVY_3.jpg" TargetMode="External" Id="rId9478"/><Relationship Type="http://schemas.openxmlformats.org/officeDocument/2006/relationships/hyperlink" Target="imagenes/NAUTICA_MENS_V322453M_NVY_1.jpg" TargetMode="External" Id="rId9479"/><Relationship Type="http://schemas.openxmlformats.org/officeDocument/2006/relationships/hyperlink" Target="imagenes/NAUTICA_MENS_V322453M_NVY_2.jpg" TargetMode="External" Id="rId9480"/><Relationship Type="http://schemas.openxmlformats.org/officeDocument/2006/relationships/hyperlink" Target="imagenes/NAUTICA_MENS_V322453M_NVY_3.jpg" TargetMode="External" Id="rId9481"/><Relationship Type="http://schemas.openxmlformats.org/officeDocument/2006/relationships/hyperlink" Target="imagenes/NAUTICA_MENS_V322453M_NVY_1.jpg" TargetMode="External" Id="rId9482"/><Relationship Type="http://schemas.openxmlformats.org/officeDocument/2006/relationships/hyperlink" Target="imagenes/NAUTICA_MENS_V322453M_NVY_2.jpg" TargetMode="External" Id="rId9483"/><Relationship Type="http://schemas.openxmlformats.org/officeDocument/2006/relationships/hyperlink" Target="imagenes/NAUTICA_MENS_V322453M_NVY_3.jpg" TargetMode="External" Id="rId9484"/><Relationship Type="http://schemas.openxmlformats.org/officeDocument/2006/relationships/hyperlink" Target="imagenes/NAUTICA_MENS_V322453M_RED_1.jpg" TargetMode="External" Id="rId9485"/><Relationship Type="http://schemas.openxmlformats.org/officeDocument/2006/relationships/hyperlink" Target="imagenes/NAUTICA_MENS_V322453M_RED_2.jpg" TargetMode="External" Id="rId9486"/><Relationship Type="http://schemas.openxmlformats.org/officeDocument/2006/relationships/hyperlink" Target="imagenes/NAUTICA_MENS_V322453M_RED_3.jpg" TargetMode="External" Id="rId9487"/><Relationship Type="http://schemas.openxmlformats.org/officeDocument/2006/relationships/hyperlink" Target="imagenes/NAUTICA_MENS_V322453M_RED_1.jpg" TargetMode="External" Id="rId9488"/><Relationship Type="http://schemas.openxmlformats.org/officeDocument/2006/relationships/hyperlink" Target="imagenes/NAUTICA_MENS_V322453M_RED_2.jpg" TargetMode="External" Id="rId9489"/><Relationship Type="http://schemas.openxmlformats.org/officeDocument/2006/relationships/hyperlink" Target="imagenes/NAUTICA_MENS_V322453M_RED_3.jpg" TargetMode="External" Id="rId9490"/><Relationship Type="http://schemas.openxmlformats.org/officeDocument/2006/relationships/hyperlink" Target="imagenes/NAUTICA_MENS_V322453M_RED_1.jpg" TargetMode="External" Id="rId9491"/><Relationship Type="http://schemas.openxmlformats.org/officeDocument/2006/relationships/hyperlink" Target="imagenes/NAUTICA_MENS_V322453M_RED_2.jpg" TargetMode="External" Id="rId9492"/><Relationship Type="http://schemas.openxmlformats.org/officeDocument/2006/relationships/hyperlink" Target="imagenes/NAUTICA_MENS_V322453M_RED_3.jpg" TargetMode="External" Id="rId9493"/><Relationship Type="http://schemas.openxmlformats.org/officeDocument/2006/relationships/hyperlink" Target="imagenes/NAUTICA_MENS_V322453M_STO_1.jpg" TargetMode="External" Id="rId9494"/><Relationship Type="http://schemas.openxmlformats.org/officeDocument/2006/relationships/hyperlink" Target="imagenes/NAUTICA_MENS_V322453M_STO_2.jpg" TargetMode="External" Id="rId9495"/><Relationship Type="http://schemas.openxmlformats.org/officeDocument/2006/relationships/hyperlink" Target="imagenes/NAUTICA_MENS_V322453M_STO_3.jpg" TargetMode="External" Id="rId9496"/><Relationship Type="http://schemas.openxmlformats.org/officeDocument/2006/relationships/hyperlink" Target="imagenes/NAUTICA_MENS_V322453M_STO_1.jpg" TargetMode="External" Id="rId9497"/><Relationship Type="http://schemas.openxmlformats.org/officeDocument/2006/relationships/hyperlink" Target="imagenes/NAUTICA_MENS_V322453M_STO_2.jpg" TargetMode="External" Id="rId9498"/><Relationship Type="http://schemas.openxmlformats.org/officeDocument/2006/relationships/hyperlink" Target="imagenes/NAUTICA_MENS_V322453M_STO_3.jpg" TargetMode="External" Id="rId9499"/><Relationship Type="http://schemas.openxmlformats.org/officeDocument/2006/relationships/hyperlink" Target="imagenes/NAUTICA_MENS_V322453M_STO_1.jpg" TargetMode="External" Id="rId9500"/><Relationship Type="http://schemas.openxmlformats.org/officeDocument/2006/relationships/hyperlink" Target="imagenes/NAUTICA_MENS_V322453M_STO_2.jpg" TargetMode="External" Id="rId9501"/><Relationship Type="http://schemas.openxmlformats.org/officeDocument/2006/relationships/hyperlink" Target="imagenes/NAUTICA_MENS_V322453M_STO_3.jpg" TargetMode="External" Id="rId9502"/><Relationship Type="http://schemas.openxmlformats.org/officeDocument/2006/relationships/hyperlink" Target="imagenes/NAUTICA_MENS_V322453M_STO_1.jpg" TargetMode="External" Id="rId9503"/><Relationship Type="http://schemas.openxmlformats.org/officeDocument/2006/relationships/hyperlink" Target="imagenes/NAUTICA_MENS_V322453M_STO_2.jpg" TargetMode="External" Id="rId9504"/><Relationship Type="http://schemas.openxmlformats.org/officeDocument/2006/relationships/hyperlink" Target="imagenes/NAUTICA_MENS_V322453M_STO_3.jpg" TargetMode="External" Id="rId9505"/><Relationship Type="http://schemas.openxmlformats.org/officeDocument/2006/relationships/hyperlink" Target="imagenes/NAUTICA_MENS_V322453M_STO_1.jpg" TargetMode="External" Id="rId9506"/><Relationship Type="http://schemas.openxmlformats.org/officeDocument/2006/relationships/hyperlink" Target="imagenes/NAUTICA_MENS_V322453M_STO_2.jpg" TargetMode="External" Id="rId9507"/><Relationship Type="http://schemas.openxmlformats.org/officeDocument/2006/relationships/hyperlink" Target="imagenes/NAUTICA_MENS_V322453M_STO_3.jpg" TargetMode="External" Id="rId9508"/><Relationship Type="http://schemas.openxmlformats.org/officeDocument/2006/relationships/hyperlink" Target="imagenes/NAUTICA_MENS_V322453M_STO_1.jpg" TargetMode="External" Id="rId9509"/><Relationship Type="http://schemas.openxmlformats.org/officeDocument/2006/relationships/hyperlink" Target="imagenes/NAUTICA_MENS_V322453M_STO_2.jpg" TargetMode="External" Id="rId9510"/><Relationship Type="http://schemas.openxmlformats.org/officeDocument/2006/relationships/hyperlink" Target="imagenes/NAUTICA_MENS_V322453M_STO_3.jpg" TargetMode="External" Id="rId9511"/><Relationship Type="http://schemas.openxmlformats.org/officeDocument/2006/relationships/hyperlink" Target="imagenes/NAUTICA_MENS_V322453M_TAU_1.jpg" TargetMode="External" Id="rId9512"/><Relationship Type="http://schemas.openxmlformats.org/officeDocument/2006/relationships/hyperlink" Target="imagenes/NAUTICA_MENS_V322453M_TAU_2.jpg" TargetMode="External" Id="rId9513"/><Relationship Type="http://schemas.openxmlformats.org/officeDocument/2006/relationships/hyperlink" Target="imagenes/NAUTICA_MENS_V322453M_TAU_3.jpg" TargetMode="External" Id="rId9514"/><Relationship Type="http://schemas.openxmlformats.org/officeDocument/2006/relationships/hyperlink" Target="imagenes/NAUTICA_MENS_V322453M_TAU_1.jpg" TargetMode="External" Id="rId9515"/><Relationship Type="http://schemas.openxmlformats.org/officeDocument/2006/relationships/hyperlink" Target="imagenes/NAUTICA_MENS_V322453M_TAU_2.jpg" TargetMode="External" Id="rId9516"/><Relationship Type="http://schemas.openxmlformats.org/officeDocument/2006/relationships/hyperlink" Target="imagenes/NAUTICA_MENS_V322453M_TAU_3.jpg" TargetMode="External" Id="rId9517"/><Relationship Type="http://schemas.openxmlformats.org/officeDocument/2006/relationships/hyperlink" Target="imagenes/NAUTICA_MENS_V322453M_TAU_1.jpg" TargetMode="External" Id="rId9518"/><Relationship Type="http://schemas.openxmlformats.org/officeDocument/2006/relationships/hyperlink" Target="imagenes/NAUTICA_MENS_V322453M_TAU_2.jpg" TargetMode="External" Id="rId9519"/><Relationship Type="http://schemas.openxmlformats.org/officeDocument/2006/relationships/hyperlink" Target="imagenes/NAUTICA_MENS_V322453M_TAU_3.jpg" TargetMode="External" Id="rId9520"/><Relationship Type="http://schemas.openxmlformats.org/officeDocument/2006/relationships/hyperlink" Target="imagenes/NAUTICA_MENS_V322453M_TRO_1.jpg" TargetMode="External" Id="rId9521"/><Relationship Type="http://schemas.openxmlformats.org/officeDocument/2006/relationships/hyperlink" Target="imagenes/NAUTICA_MENS_V322453M_TRO_2.jpg" TargetMode="External" Id="rId9522"/><Relationship Type="http://schemas.openxmlformats.org/officeDocument/2006/relationships/hyperlink" Target="imagenes/NAUTICA_MENS_V322453M_TRO_3.jpg" TargetMode="External" Id="rId9523"/><Relationship Type="http://schemas.openxmlformats.org/officeDocument/2006/relationships/hyperlink" Target="imagenes/NAUTICA_MENS_V322453M_TRO_1.jpg" TargetMode="External" Id="rId9524"/><Relationship Type="http://schemas.openxmlformats.org/officeDocument/2006/relationships/hyperlink" Target="imagenes/NAUTICA_MENS_V322453M_TRO_2.jpg" TargetMode="External" Id="rId9525"/><Relationship Type="http://schemas.openxmlformats.org/officeDocument/2006/relationships/hyperlink" Target="imagenes/NAUTICA_MENS_V322453M_TRO_3.jpg" TargetMode="External" Id="rId9526"/><Relationship Type="http://schemas.openxmlformats.org/officeDocument/2006/relationships/hyperlink" Target="imagenes/NAUTICA_MENS_V322453M_TRO_1.jpg" TargetMode="External" Id="rId9527"/><Relationship Type="http://schemas.openxmlformats.org/officeDocument/2006/relationships/hyperlink" Target="imagenes/NAUTICA_MENS_V322453M_TRO_2.jpg" TargetMode="External" Id="rId9528"/><Relationship Type="http://schemas.openxmlformats.org/officeDocument/2006/relationships/hyperlink" Target="imagenes/NAUTICA_MENS_V322453M_TRO_3.jpg" TargetMode="External" Id="rId9529"/><Relationship Type="http://schemas.openxmlformats.org/officeDocument/2006/relationships/hyperlink" Target="imagenes/NAUTICA_MENS_V330329_NIB_1.jpg" TargetMode="External" Id="rId9530"/><Relationship Type="http://schemas.openxmlformats.org/officeDocument/2006/relationships/hyperlink" Target="imagenes/NAUTICA_MENS_V330329_NIB_2.jpg" TargetMode="External" Id="rId9531"/><Relationship Type="http://schemas.openxmlformats.org/officeDocument/2006/relationships/hyperlink" Target="imagenes/NAUTICA_MENS_V330329_NIB_3.jpg" TargetMode="External" Id="rId9532"/><Relationship Type="http://schemas.openxmlformats.org/officeDocument/2006/relationships/hyperlink" Target="imagenes/NAUTICA_MENS_V330329_NIB_1.jpg" TargetMode="External" Id="rId9533"/><Relationship Type="http://schemas.openxmlformats.org/officeDocument/2006/relationships/hyperlink" Target="imagenes/NAUTICA_MENS_V330329_NIB_2.jpg" TargetMode="External" Id="rId9534"/><Relationship Type="http://schemas.openxmlformats.org/officeDocument/2006/relationships/hyperlink" Target="imagenes/NAUTICA_MENS_V330329_NIB_3.jpg" TargetMode="External" Id="rId9535"/><Relationship Type="http://schemas.openxmlformats.org/officeDocument/2006/relationships/hyperlink" Target="imagenes/NAUTICA_MENS_V421688_NIB_1.jpg" TargetMode="External" Id="rId9536"/><Relationship Type="http://schemas.openxmlformats.org/officeDocument/2006/relationships/hyperlink" Target="imagenes/NAUTICA_MENS_V421688_NIB_2.jpg" TargetMode="External" Id="rId9537"/><Relationship Type="http://schemas.openxmlformats.org/officeDocument/2006/relationships/hyperlink" Target="imagenes/NAUTICA_MENS_V421688_NIB_3.jpg" TargetMode="External" Id="rId9538"/><Relationship Type="http://schemas.openxmlformats.org/officeDocument/2006/relationships/hyperlink" Target="imagenes/NAUTICA_MENS_V422291M_DPH_1.jpg" TargetMode="External" Id="rId9539"/><Relationship Type="http://schemas.openxmlformats.org/officeDocument/2006/relationships/hyperlink" Target="imagenes/NAUTICA_MENS_V422291M_DPH_2.jpg" TargetMode="External" Id="rId9540"/><Relationship Type="http://schemas.openxmlformats.org/officeDocument/2006/relationships/hyperlink" Target="imagenes/NAUTICA_MENS_V422291M_DPH_3.jpg" TargetMode="External" Id="rId9541"/><Relationship Type="http://schemas.openxmlformats.org/officeDocument/2006/relationships/hyperlink" Target="imagenes/NAUTICA_MENS_V422491_NVY_1.jpg" TargetMode="External" Id="rId9542"/><Relationship Type="http://schemas.openxmlformats.org/officeDocument/2006/relationships/hyperlink" Target="imagenes/NAUTICA_MENS_V422491_NVY_2.jpg" TargetMode="External" Id="rId9543"/><Relationship Type="http://schemas.openxmlformats.org/officeDocument/2006/relationships/hyperlink" Target="imagenes/NAUTICA_MENS_V422491_NVY_3.jpg" TargetMode="External" Id="rId9544"/><Relationship Type="http://schemas.openxmlformats.org/officeDocument/2006/relationships/hyperlink" Target="imagenes/NAUTICA_MENS_V422744_BLK_1.jpg" TargetMode="External" Id="rId9545"/><Relationship Type="http://schemas.openxmlformats.org/officeDocument/2006/relationships/hyperlink" Target="imagenes/NAUTICA_MENS_V422744_BLK_2.jpg" TargetMode="External" Id="rId9546"/><Relationship Type="http://schemas.openxmlformats.org/officeDocument/2006/relationships/hyperlink" Target="imagenes/NAUTICA_MENS_V422744_BLK_3.jpg" TargetMode="External" Id="rId9547"/><Relationship Type="http://schemas.openxmlformats.org/officeDocument/2006/relationships/hyperlink" Target="imagenes/NAUTICA_MENS_V422744_BLK_1.jpg" TargetMode="External" Id="rId9548"/><Relationship Type="http://schemas.openxmlformats.org/officeDocument/2006/relationships/hyperlink" Target="imagenes/NAUTICA_MENS_V422744_BLK_2.jpg" TargetMode="External" Id="rId9549"/><Relationship Type="http://schemas.openxmlformats.org/officeDocument/2006/relationships/hyperlink" Target="imagenes/NAUTICA_MENS_V422744_BLK_3.jpg" TargetMode="External" Id="rId9550"/><Relationship Type="http://schemas.openxmlformats.org/officeDocument/2006/relationships/hyperlink" Target="imagenes/NAUTICA_MENS_V422744_BLK_1.jpg" TargetMode="External" Id="rId9551"/><Relationship Type="http://schemas.openxmlformats.org/officeDocument/2006/relationships/hyperlink" Target="imagenes/NAUTICA_MENS_V422744_BLK_2.jpg" TargetMode="External" Id="rId9552"/><Relationship Type="http://schemas.openxmlformats.org/officeDocument/2006/relationships/hyperlink" Target="imagenes/NAUTICA_MENS_V422744_BLK_3.jpg" TargetMode="External" Id="rId9553"/><Relationship Type="http://schemas.openxmlformats.org/officeDocument/2006/relationships/hyperlink" Target="imagenes/NAUTICA_MENS_V422744_BLK_1.jpg" TargetMode="External" Id="rId9554"/><Relationship Type="http://schemas.openxmlformats.org/officeDocument/2006/relationships/hyperlink" Target="imagenes/NAUTICA_MENS_V422744_BLK_2.jpg" TargetMode="External" Id="rId9555"/><Relationship Type="http://schemas.openxmlformats.org/officeDocument/2006/relationships/hyperlink" Target="imagenes/NAUTICA_MENS_V422744_BLK_3.jpg" TargetMode="External" Id="rId9556"/><Relationship Type="http://schemas.openxmlformats.org/officeDocument/2006/relationships/hyperlink" Target="imagenes/NAUTICA_MENS_V422744_RED_1.jpg" TargetMode="External" Id="rId9557"/><Relationship Type="http://schemas.openxmlformats.org/officeDocument/2006/relationships/hyperlink" Target="imagenes/NAUTICA_MENS_V422744_RED_2.jpg" TargetMode="External" Id="rId9558"/><Relationship Type="http://schemas.openxmlformats.org/officeDocument/2006/relationships/hyperlink" Target="imagenes/NAUTICA_MENS_V422744_RED_3.jpg" TargetMode="External" Id="rId9559"/><Relationship Type="http://schemas.openxmlformats.org/officeDocument/2006/relationships/hyperlink" Target="imagenes/NAUTICA_MENS_V425548_CHR_1.jpg" TargetMode="External" Id="rId9560"/><Relationship Type="http://schemas.openxmlformats.org/officeDocument/2006/relationships/hyperlink" Target="imagenes/NAUTICA_MENS_V425548_CHR_2.jpg" TargetMode="External" Id="rId9561"/><Relationship Type="http://schemas.openxmlformats.org/officeDocument/2006/relationships/hyperlink" Target="imagenes/NAUTICA_MENS_V425548_CHR_3.jpg" TargetMode="External" Id="rId9562"/><Relationship Type="http://schemas.openxmlformats.org/officeDocument/2006/relationships/hyperlink" Target="imagenes/NAUTICA_MENS_V432744_BLK_1.jpg" TargetMode="External" Id="rId9563"/><Relationship Type="http://schemas.openxmlformats.org/officeDocument/2006/relationships/hyperlink" Target="imagenes/NAUTICA_MENS_V432744_BLK_2.jpg" TargetMode="External" Id="rId9564"/><Relationship Type="http://schemas.openxmlformats.org/officeDocument/2006/relationships/hyperlink" Target="imagenes/NAUTICA_MENS_V432744_BLK_3.jpg" TargetMode="External" Id="rId9565"/><Relationship Type="http://schemas.openxmlformats.org/officeDocument/2006/relationships/hyperlink" Target="imagenes/NAUTICA_MENS_V432744_BLK_1.jpg" TargetMode="External" Id="rId9566"/><Relationship Type="http://schemas.openxmlformats.org/officeDocument/2006/relationships/hyperlink" Target="imagenes/NAUTICA_MENS_V432744_BLK_2.jpg" TargetMode="External" Id="rId9567"/><Relationship Type="http://schemas.openxmlformats.org/officeDocument/2006/relationships/hyperlink" Target="imagenes/NAUTICA_MENS_V432744_BLK_3.jpg" TargetMode="External" Id="rId9568"/><Relationship Type="http://schemas.openxmlformats.org/officeDocument/2006/relationships/hyperlink" Target="imagenes/NAUTICA_MENS_V432744_NVY_1.jpg" TargetMode="External" Id="rId9569"/><Relationship Type="http://schemas.openxmlformats.org/officeDocument/2006/relationships/hyperlink" Target="imagenes/NAUTICA_MENS_V432744_NVY_2.jpg" TargetMode="External" Id="rId9570"/><Relationship Type="http://schemas.openxmlformats.org/officeDocument/2006/relationships/hyperlink" Target="imagenes/NAUTICA_MENS_V432744_NVY_3.jpg" TargetMode="External" Id="rId9571"/><Relationship Type="http://schemas.openxmlformats.org/officeDocument/2006/relationships/hyperlink" Target="imagenes/NAUTICA_MENS_V432744_NVY_1.jpg" TargetMode="External" Id="rId9572"/><Relationship Type="http://schemas.openxmlformats.org/officeDocument/2006/relationships/hyperlink" Target="imagenes/NAUTICA_MENS_V432744_NVY_2.jpg" TargetMode="External" Id="rId9573"/><Relationship Type="http://schemas.openxmlformats.org/officeDocument/2006/relationships/hyperlink" Target="imagenes/NAUTICA_MENS_V432744_NVY_3.jpg" TargetMode="External" Id="rId9574"/><Relationship Type="http://schemas.openxmlformats.org/officeDocument/2006/relationships/hyperlink" Target="imagenes/NAUTICA_MENS_V435548_BLK_1.jpg" TargetMode="External" Id="rId9575"/><Relationship Type="http://schemas.openxmlformats.org/officeDocument/2006/relationships/hyperlink" Target="imagenes/NAUTICA_MENS_V435548_BLK_2.jpg" TargetMode="External" Id="rId9576"/><Relationship Type="http://schemas.openxmlformats.org/officeDocument/2006/relationships/hyperlink" Target="imagenes/NAUTICA_MENS_V435548_BLK_3.jpg" TargetMode="External" Id="rId9577"/><Relationship Type="http://schemas.openxmlformats.org/officeDocument/2006/relationships/hyperlink" Target="imagenes/NAUTICA_MENS_V435548_CHR_1.jpg" TargetMode="External" Id="rId9578"/><Relationship Type="http://schemas.openxmlformats.org/officeDocument/2006/relationships/hyperlink" Target="imagenes/NAUTICA_MENS_V435548_CHR_2.jpg" TargetMode="External" Id="rId9579"/><Relationship Type="http://schemas.openxmlformats.org/officeDocument/2006/relationships/hyperlink" Target="imagenes/NAUTICA_MENS_V435548_CHR_3.jpg" TargetMode="External" Id="rId9580"/><Relationship Type="http://schemas.openxmlformats.org/officeDocument/2006/relationships/hyperlink" Target="imagenes/NAUTICA_MENS_V442744_BLK_1.jpg" TargetMode="External" Id="rId9581"/><Relationship Type="http://schemas.openxmlformats.org/officeDocument/2006/relationships/hyperlink" Target="imagenes/NAUTICA_MENS_V442744_BLK_2.jpg" TargetMode="External" Id="rId9582"/><Relationship Type="http://schemas.openxmlformats.org/officeDocument/2006/relationships/hyperlink" Target="imagenes/NAUTICA_MENS_V442744_BLK_3.jpg" TargetMode="External" Id="rId9583"/><Relationship Type="http://schemas.openxmlformats.org/officeDocument/2006/relationships/hyperlink" Target="imagenes/NAUTICA_MENS_V442744_BLK_1.jpg" TargetMode="External" Id="rId9584"/><Relationship Type="http://schemas.openxmlformats.org/officeDocument/2006/relationships/hyperlink" Target="imagenes/NAUTICA_MENS_V442744_BLK_2.jpg" TargetMode="External" Id="rId9585"/><Relationship Type="http://schemas.openxmlformats.org/officeDocument/2006/relationships/hyperlink" Target="imagenes/NAUTICA_MENS_V442744_BLK_3.jpg" TargetMode="External" Id="rId9586"/><Relationship Type="http://schemas.openxmlformats.org/officeDocument/2006/relationships/hyperlink" Target="imagenes/NAUTICA_MENS_V442744_BLK_1.jpg" TargetMode="External" Id="rId9587"/><Relationship Type="http://schemas.openxmlformats.org/officeDocument/2006/relationships/hyperlink" Target="imagenes/NAUTICA_MENS_V442744_BLK_2.jpg" TargetMode="External" Id="rId9588"/><Relationship Type="http://schemas.openxmlformats.org/officeDocument/2006/relationships/hyperlink" Target="imagenes/NAUTICA_MENS_V442744_BLK_3.jpg" TargetMode="External" Id="rId9589"/><Relationship Type="http://schemas.openxmlformats.org/officeDocument/2006/relationships/hyperlink" Target="imagenes/NAUTICA_MENS_V442744_NVY_1.jpg" TargetMode="External" Id="rId9590"/><Relationship Type="http://schemas.openxmlformats.org/officeDocument/2006/relationships/hyperlink" Target="imagenes/NAUTICA_MENS_V442744_NVY_2.jpg" TargetMode="External" Id="rId9591"/><Relationship Type="http://schemas.openxmlformats.org/officeDocument/2006/relationships/hyperlink" Target="imagenes/NAUTICA_MENS_V442744_NVY_3.jpg" TargetMode="External" Id="rId9592"/><Relationship Type="http://schemas.openxmlformats.org/officeDocument/2006/relationships/hyperlink" Target="imagenes/NAUTICA_MENS_V520329_BLK_1.jpg" TargetMode="External" Id="rId9593"/><Relationship Type="http://schemas.openxmlformats.org/officeDocument/2006/relationships/hyperlink" Target="imagenes/NAUTICA_MENS_V520329_BLK_2.jpg" TargetMode="External" Id="rId9594"/><Relationship Type="http://schemas.openxmlformats.org/officeDocument/2006/relationships/hyperlink" Target="imagenes/NAUTICA_MENS_V520329_BLK_3.jpg" TargetMode="External" Id="rId9595"/><Relationship Type="http://schemas.openxmlformats.org/officeDocument/2006/relationships/hyperlink" Target="imagenes/NAUTICA_MENS_V520363_BGI_1.jpg" TargetMode="External" Id="rId9596"/><Relationship Type="http://schemas.openxmlformats.org/officeDocument/2006/relationships/hyperlink" Target="imagenes/NAUTICA_MENS_V520363_BGI_2.jpg" TargetMode="External" Id="rId9597"/><Relationship Type="http://schemas.openxmlformats.org/officeDocument/2006/relationships/hyperlink" Target="imagenes/NAUTICA_MENS_V520363_BGI_3.jpg" TargetMode="External" Id="rId9598"/><Relationship Type="http://schemas.openxmlformats.org/officeDocument/2006/relationships/hyperlink" Target="imagenes/NAUTICA_MENS_V620185K_BLK_1.jpg" TargetMode="External" Id="rId9599"/><Relationship Type="http://schemas.openxmlformats.org/officeDocument/2006/relationships/hyperlink" Target="imagenes/NAUTICA_MENS_V620185K_BLK_2.jpg" TargetMode="External" Id="rId9600"/><Relationship Type="http://schemas.openxmlformats.org/officeDocument/2006/relationships/hyperlink" Target="imagenes/NAUTICA_MENS_V620185K_BLK_3.jpg" TargetMode="External" Id="rId9601"/><Relationship Type="http://schemas.openxmlformats.org/officeDocument/2006/relationships/hyperlink" Target="imagenes/NAUTICA_MENS_V620185K_BLK_1.jpg" TargetMode="External" Id="rId9602"/><Relationship Type="http://schemas.openxmlformats.org/officeDocument/2006/relationships/hyperlink" Target="imagenes/NAUTICA_MENS_V620185K_BLK_2.jpg" TargetMode="External" Id="rId9603"/><Relationship Type="http://schemas.openxmlformats.org/officeDocument/2006/relationships/hyperlink" Target="imagenes/NAUTICA_MENS_V620185K_BLK_3.jpg" TargetMode="External" Id="rId9604"/><Relationship Type="http://schemas.openxmlformats.org/officeDocument/2006/relationships/hyperlink" Target="imagenes/NAUTICA_MENS_V620364A_RED_1.jpg" TargetMode="External" Id="rId9605"/><Relationship Type="http://schemas.openxmlformats.org/officeDocument/2006/relationships/hyperlink" Target="imagenes/NAUTICA_MENS_V620364A_RED_2.jpg" TargetMode="External" Id="rId9606"/><Relationship Type="http://schemas.openxmlformats.org/officeDocument/2006/relationships/hyperlink" Target="imagenes/NAUTICA_MENS_V620364A_RED_3.jpg" TargetMode="External" Id="rId9607"/><Relationship Type="http://schemas.openxmlformats.org/officeDocument/2006/relationships/hyperlink" Target="imagenes/NAUTICA_MENS_V621645_NVY_1.jpg" TargetMode="External" Id="rId9608"/><Relationship Type="http://schemas.openxmlformats.org/officeDocument/2006/relationships/hyperlink" Target="imagenes/NAUTICA_MENS_V621645_NVY_2.jpg" TargetMode="External" Id="rId9609"/><Relationship Type="http://schemas.openxmlformats.org/officeDocument/2006/relationships/hyperlink" Target="imagenes/NAUTICA_MENS_V621645_NVY_3.jpg" TargetMode="External" Id="rId9610"/><Relationship Type="http://schemas.openxmlformats.org/officeDocument/2006/relationships/hyperlink" Target="imagenes/NAUTICA_MENS_V621645_OTR_1.jpg" TargetMode="External" Id="rId9611"/><Relationship Type="http://schemas.openxmlformats.org/officeDocument/2006/relationships/hyperlink" Target="imagenes/NAUTICA_MENS_V621645_OTR_2.jpg" TargetMode="External" Id="rId9612"/><Relationship Type="http://schemas.openxmlformats.org/officeDocument/2006/relationships/hyperlink" Target="imagenes/NAUTICA_MENS_V621645_OTR_3.jpg" TargetMode="External" Id="rId9613"/><Relationship Type="http://schemas.openxmlformats.org/officeDocument/2006/relationships/hyperlink" Target="imagenes/NAUTICA_MENS_V621647_B1B_1.jpg" TargetMode="External" Id="rId9614"/><Relationship Type="http://schemas.openxmlformats.org/officeDocument/2006/relationships/hyperlink" Target="imagenes/NAUTICA_MENS_V621647_B1B_2.jpg" TargetMode="External" Id="rId9615"/><Relationship Type="http://schemas.openxmlformats.org/officeDocument/2006/relationships/hyperlink" Target="imagenes/NAUTICA_MENS_V621647_B1B_3.jpg" TargetMode="External" Id="rId9616"/><Relationship Type="http://schemas.openxmlformats.org/officeDocument/2006/relationships/hyperlink" Target="imagenes/NAUTICA_MENS_V621647_BLK_1.jpg" TargetMode="External" Id="rId9617"/><Relationship Type="http://schemas.openxmlformats.org/officeDocument/2006/relationships/hyperlink" Target="imagenes/NAUTICA_MENS_V621647_BLK_2.jpg" TargetMode="External" Id="rId9618"/><Relationship Type="http://schemas.openxmlformats.org/officeDocument/2006/relationships/hyperlink" Target="imagenes/NAUTICA_MENS_V621647_BLK_3.jpg" TargetMode="External" Id="rId9619"/><Relationship Type="http://schemas.openxmlformats.org/officeDocument/2006/relationships/hyperlink" Target="imagenes/NAUTICA_MENS_V621647_BLK_1.jpg" TargetMode="External" Id="rId9620"/><Relationship Type="http://schemas.openxmlformats.org/officeDocument/2006/relationships/hyperlink" Target="imagenes/NAUTICA_MENS_V621647_BLK_2.jpg" TargetMode="External" Id="rId9621"/><Relationship Type="http://schemas.openxmlformats.org/officeDocument/2006/relationships/hyperlink" Target="imagenes/NAUTICA_MENS_V621647_BLK_3.jpg" TargetMode="External" Id="rId9622"/><Relationship Type="http://schemas.openxmlformats.org/officeDocument/2006/relationships/hyperlink" Target="imagenes/NAUTICA_MENS_V621647_CO8_1.jpg" TargetMode="External" Id="rId9623"/><Relationship Type="http://schemas.openxmlformats.org/officeDocument/2006/relationships/hyperlink" Target="imagenes/NAUTICA_MENS_V621647_CO8_2.jpg" TargetMode="External" Id="rId9624"/><Relationship Type="http://schemas.openxmlformats.org/officeDocument/2006/relationships/hyperlink" Target="imagenes/NAUTICA_MENS_V621647_CO8_3.jpg" TargetMode="External" Id="rId9625"/><Relationship Type="http://schemas.openxmlformats.org/officeDocument/2006/relationships/hyperlink" Target="imagenes/NAUTICA_MENS_V621647_NVY_1.jpg" TargetMode="External" Id="rId9626"/><Relationship Type="http://schemas.openxmlformats.org/officeDocument/2006/relationships/hyperlink" Target="imagenes/NAUTICA_MENS_V621647_NVY_2.jpg" TargetMode="External" Id="rId9627"/><Relationship Type="http://schemas.openxmlformats.org/officeDocument/2006/relationships/hyperlink" Target="imagenes/NAUTICA_MENS_V621647_NVY_3.jpg" TargetMode="External" Id="rId9628"/><Relationship Type="http://schemas.openxmlformats.org/officeDocument/2006/relationships/hyperlink" Target="imagenes/NAUTICA_MENS_V621647_NVY_1.jpg" TargetMode="External" Id="rId9629"/><Relationship Type="http://schemas.openxmlformats.org/officeDocument/2006/relationships/hyperlink" Target="imagenes/NAUTICA_MENS_V621647_NVY_2.jpg" TargetMode="External" Id="rId9630"/><Relationship Type="http://schemas.openxmlformats.org/officeDocument/2006/relationships/hyperlink" Target="imagenes/NAUTICA_MENS_V621647_NVY_3.jpg" TargetMode="External" Id="rId9631"/><Relationship Type="http://schemas.openxmlformats.org/officeDocument/2006/relationships/hyperlink" Target="imagenes/NAUTICA_MENS_V621647_NVY_1.jpg" TargetMode="External" Id="rId9632"/><Relationship Type="http://schemas.openxmlformats.org/officeDocument/2006/relationships/hyperlink" Target="imagenes/NAUTICA_MENS_V621647_NVY_2.jpg" TargetMode="External" Id="rId9633"/><Relationship Type="http://schemas.openxmlformats.org/officeDocument/2006/relationships/hyperlink" Target="imagenes/NAUTICA_MENS_V621647_NVY_3.jpg" TargetMode="External" Id="rId9634"/><Relationship Type="http://schemas.openxmlformats.org/officeDocument/2006/relationships/hyperlink" Target="imagenes/NAUTICA_MENS_V621815B_BLK_2.jpg" TargetMode="External" Id="rId9635"/><Relationship Type="http://schemas.openxmlformats.org/officeDocument/2006/relationships/hyperlink" Target="imagenes/NAUTICA_MENS_V621815B_BLK_3.jpg" TargetMode="External" Id="rId9636"/><Relationship Type="http://schemas.openxmlformats.org/officeDocument/2006/relationships/hyperlink" Target="imagenes/NAUTICA_MENS_V621815B_BLK_2.jpg" TargetMode="External" Id="rId9637"/><Relationship Type="http://schemas.openxmlformats.org/officeDocument/2006/relationships/hyperlink" Target="imagenes/NAUTICA_MENS_V621815B_BLK_3.jpg" TargetMode="External" Id="rId9638"/><Relationship Type="http://schemas.openxmlformats.org/officeDocument/2006/relationships/hyperlink" Target="imagenes/NAUTICA_MENS_V621815B_DNY_1.jpg" TargetMode="External" Id="rId9639"/><Relationship Type="http://schemas.openxmlformats.org/officeDocument/2006/relationships/hyperlink" Target="imagenes/NAUTICA_MENS_V621815B_DNY_2.jpg" TargetMode="External" Id="rId9640"/><Relationship Type="http://schemas.openxmlformats.org/officeDocument/2006/relationships/hyperlink" Target="imagenes/NAUTICA_MENS_V621815B_DNY_3.jpg" TargetMode="External" Id="rId9641"/><Relationship Type="http://schemas.openxmlformats.org/officeDocument/2006/relationships/hyperlink" Target="imagenes/NAUTICA_MENS_V621815B_DNY_1.jpg" TargetMode="External" Id="rId9642"/><Relationship Type="http://schemas.openxmlformats.org/officeDocument/2006/relationships/hyperlink" Target="imagenes/NAUTICA_MENS_V621815B_DNY_2.jpg" TargetMode="External" Id="rId9643"/><Relationship Type="http://schemas.openxmlformats.org/officeDocument/2006/relationships/hyperlink" Target="imagenes/NAUTICA_MENS_V621815B_DNY_3.jpg" TargetMode="External" Id="rId9644"/><Relationship Type="http://schemas.openxmlformats.org/officeDocument/2006/relationships/hyperlink" Target="imagenes/NAUTICA_MENS_V621815B_DNY_1.jpg" TargetMode="External" Id="rId9645"/><Relationship Type="http://schemas.openxmlformats.org/officeDocument/2006/relationships/hyperlink" Target="imagenes/NAUTICA_MENS_V621815B_DNY_2.jpg" TargetMode="External" Id="rId9646"/><Relationship Type="http://schemas.openxmlformats.org/officeDocument/2006/relationships/hyperlink" Target="imagenes/NAUTICA_MENS_V621815B_DNY_3.jpg" TargetMode="External" Id="rId9647"/><Relationship Type="http://schemas.openxmlformats.org/officeDocument/2006/relationships/hyperlink" Target="imagenes/NAUTICA_MENS_V622041A_BLK_1.jpg" TargetMode="External" Id="rId9648"/><Relationship Type="http://schemas.openxmlformats.org/officeDocument/2006/relationships/hyperlink" Target="imagenes/NAUTICA_MENS_V622041A_BLK_2.jpg" TargetMode="External" Id="rId9649"/><Relationship Type="http://schemas.openxmlformats.org/officeDocument/2006/relationships/hyperlink" Target="imagenes/NAUTICA_MENS_V622041A_BLK_3.jpg" TargetMode="External" Id="rId9650"/><Relationship Type="http://schemas.openxmlformats.org/officeDocument/2006/relationships/hyperlink" Target="imagenes/NAUTICA_MENS_V622041A_NVY_1.jpg" TargetMode="External" Id="rId9651"/><Relationship Type="http://schemas.openxmlformats.org/officeDocument/2006/relationships/hyperlink" Target="imagenes/NAUTICA_MENS_V622041A_NVY_2.jpg" TargetMode="External" Id="rId9652"/><Relationship Type="http://schemas.openxmlformats.org/officeDocument/2006/relationships/hyperlink" Target="imagenes/NAUTICA_MENS_V622041A_NVY_3.jpg" TargetMode="External" Id="rId9653"/><Relationship Type="http://schemas.openxmlformats.org/officeDocument/2006/relationships/hyperlink" Target="imagenes/NAUTICA_MENS_V622160_BLK_1.jpg" TargetMode="External" Id="rId9654"/><Relationship Type="http://schemas.openxmlformats.org/officeDocument/2006/relationships/hyperlink" Target="imagenes/NAUTICA_MENS_V622160_BLK_2.jpg" TargetMode="External" Id="rId9655"/><Relationship Type="http://schemas.openxmlformats.org/officeDocument/2006/relationships/hyperlink" Target="imagenes/NAUTICA_MENS_V622160_BLK_3.jpg" TargetMode="External" Id="rId9656"/><Relationship Type="http://schemas.openxmlformats.org/officeDocument/2006/relationships/hyperlink" Target="imagenes/NAUTICA_MENS_V622160_MTA_1.jpg" TargetMode="External" Id="rId9657"/><Relationship Type="http://schemas.openxmlformats.org/officeDocument/2006/relationships/hyperlink" Target="imagenes/NAUTICA_MENS_V622160_MTA_2.jpg" TargetMode="External" Id="rId9658"/><Relationship Type="http://schemas.openxmlformats.org/officeDocument/2006/relationships/hyperlink" Target="imagenes/NAUTICA_MENS_V622160_MTA_3.jpg" TargetMode="External" Id="rId9659"/><Relationship Type="http://schemas.openxmlformats.org/officeDocument/2006/relationships/hyperlink" Target="imagenes/NAUTICA_MENS_V622160_MTA_1.jpg" TargetMode="External" Id="rId9660"/><Relationship Type="http://schemas.openxmlformats.org/officeDocument/2006/relationships/hyperlink" Target="imagenes/NAUTICA_MENS_V622160_MTA_2.jpg" TargetMode="External" Id="rId9661"/><Relationship Type="http://schemas.openxmlformats.org/officeDocument/2006/relationships/hyperlink" Target="imagenes/NAUTICA_MENS_V622160_MTA_3.jpg" TargetMode="External" Id="rId9662"/><Relationship Type="http://schemas.openxmlformats.org/officeDocument/2006/relationships/hyperlink" Target="imagenes/NAUTICA_MENS_V622160_OLH_1.jpg" TargetMode="External" Id="rId9663"/><Relationship Type="http://schemas.openxmlformats.org/officeDocument/2006/relationships/hyperlink" Target="imagenes/NAUTICA_MENS_V622160_OLH_2.jpg" TargetMode="External" Id="rId9664"/><Relationship Type="http://schemas.openxmlformats.org/officeDocument/2006/relationships/hyperlink" Target="imagenes/NAUTICA_MENS_V622160_OLH_3.jpg" TargetMode="External" Id="rId9665"/><Relationship Type="http://schemas.openxmlformats.org/officeDocument/2006/relationships/hyperlink" Target="imagenes/NAUTICA_MENS_V622160_OLH_1.jpg" TargetMode="External" Id="rId9666"/><Relationship Type="http://schemas.openxmlformats.org/officeDocument/2006/relationships/hyperlink" Target="imagenes/NAUTICA_MENS_V622160_OLH_2.jpg" TargetMode="External" Id="rId9667"/><Relationship Type="http://schemas.openxmlformats.org/officeDocument/2006/relationships/hyperlink" Target="imagenes/NAUTICA_MENS_V622160_OLH_3.jpg" TargetMode="External" Id="rId9668"/><Relationship Type="http://schemas.openxmlformats.org/officeDocument/2006/relationships/hyperlink" Target="imagenes/NAUTICA_MENS_V622160_OLH_1.jpg" TargetMode="External" Id="rId9669"/><Relationship Type="http://schemas.openxmlformats.org/officeDocument/2006/relationships/hyperlink" Target="imagenes/NAUTICA_MENS_V622160_OLH_2.jpg" TargetMode="External" Id="rId9670"/><Relationship Type="http://schemas.openxmlformats.org/officeDocument/2006/relationships/hyperlink" Target="imagenes/NAUTICA_MENS_V622160_OLH_3.jpg" TargetMode="External" Id="rId9671"/><Relationship Type="http://schemas.openxmlformats.org/officeDocument/2006/relationships/hyperlink" Target="imagenes/NAUTICA_MENS_V622744_BBY_1.jpg" TargetMode="External" Id="rId9672"/><Relationship Type="http://schemas.openxmlformats.org/officeDocument/2006/relationships/hyperlink" Target="imagenes/NAUTICA_MENS_V622744_BBY_2.jpg" TargetMode="External" Id="rId9673"/><Relationship Type="http://schemas.openxmlformats.org/officeDocument/2006/relationships/hyperlink" Target="imagenes/NAUTICA_MENS_V622744_BBY_3.jpg" TargetMode="External" Id="rId9674"/><Relationship Type="http://schemas.openxmlformats.org/officeDocument/2006/relationships/hyperlink" Target="imagenes/NAUTICA_MENS_V622744_BBY_1.jpg" TargetMode="External" Id="rId9675"/><Relationship Type="http://schemas.openxmlformats.org/officeDocument/2006/relationships/hyperlink" Target="imagenes/NAUTICA_MENS_V622744_BBY_2.jpg" TargetMode="External" Id="rId9676"/><Relationship Type="http://schemas.openxmlformats.org/officeDocument/2006/relationships/hyperlink" Target="imagenes/NAUTICA_MENS_V622744_BBY_3.jpg" TargetMode="External" Id="rId9677"/><Relationship Type="http://schemas.openxmlformats.org/officeDocument/2006/relationships/hyperlink" Target="imagenes/NAUTICA_MENS_V622744_BBY_1.jpg" TargetMode="External" Id="rId9678"/><Relationship Type="http://schemas.openxmlformats.org/officeDocument/2006/relationships/hyperlink" Target="imagenes/NAUTICA_MENS_V622744_BBY_2.jpg" TargetMode="External" Id="rId9679"/><Relationship Type="http://schemas.openxmlformats.org/officeDocument/2006/relationships/hyperlink" Target="imagenes/NAUTICA_MENS_V622744_BBY_3.jpg" TargetMode="External" Id="rId9680"/><Relationship Type="http://schemas.openxmlformats.org/officeDocument/2006/relationships/hyperlink" Target="imagenes/NAUTICA_MENS_V622744_BBY_1.jpg" TargetMode="External" Id="rId9681"/><Relationship Type="http://schemas.openxmlformats.org/officeDocument/2006/relationships/hyperlink" Target="imagenes/NAUTICA_MENS_V622744_BBY_2.jpg" TargetMode="External" Id="rId9682"/><Relationship Type="http://schemas.openxmlformats.org/officeDocument/2006/relationships/hyperlink" Target="imagenes/NAUTICA_MENS_V622744_BBY_3.jpg" TargetMode="External" Id="rId9683"/><Relationship Type="http://schemas.openxmlformats.org/officeDocument/2006/relationships/hyperlink" Target="imagenes/NAUTICA_MENS_V622744_BBY_1.jpg" TargetMode="External" Id="rId9684"/><Relationship Type="http://schemas.openxmlformats.org/officeDocument/2006/relationships/hyperlink" Target="imagenes/NAUTICA_MENS_V622744_BBY_2.jpg" TargetMode="External" Id="rId9685"/><Relationship Type="http://schemas.openxmlformats.org/officeDocument/2006/relationships/hyperlink" Target="imagenes/NAUTICA_MENS_V622744_BBY_3.jpg" TargetMode="External" Id="rId9686"/><Relationship Type="http://schemas.openxmlformats.org/officeDocument/2006/relationships/hyperlink" Target="imagenes/NAUTICA_MENS_V622744_BLK_1.jpg" TargetMode="External" Id="rId9687"/><Relationship Type="http://schemas.openxmlformats.org/officeDocument/2006/relationships/hyperlink" Target="imagenes/NAUTICA_MENS_V622744_BLK_2.jpg" TargetMode="External" Id="rId9688"/><Relationship Type="http://schemas.openxmlformats.org/officeDocument/2006/relationships/hyperlink" Target="imagenes/NAUTICA_MENS_V622744_BLK_1.jpg" TargetMode="External" Id="rId9689"/><Relationship Type="http://schemas.openxmlformats.org/officeDocument/2006/relationships/hyperlink" Target="imagenes/NAUTICA_MENS_V622744_BLK_2.jpg" TargetMode="External" Id="rId9690"/><Relationship Type="http://schemas.openxmlformats.org/officeDocument/2006/relationships/hyperlink" Target="imagenes/NAUTICA_MENS_V622744_CLG_1.jpg" TargetMode="External" Id="rId9691"/><Relationship Type="http://schemas.openxmlformats.org/officeDocument/2006/relationships/hyperlink" Target="imagenes/NAUTICA_MENS_V622744_CLG_2.jpg" TargetMode="External" Id="rId9692"/><Relationship Type="http://schemas.openxmlformats.org/officeDocument/2006/relationships/hyperlink" Target="imagenes/NAUTICA_MENS_V622744_CLG_3.jpg" TargetMode="External" Id="rId9693"/><Relationship Type="http://schemas.openxmlformats.org/officeDocument/2006/relationships/hyperlink" Target="imagenes/NAUTICA_MENS_V622744_CLG_1.jpg" TargetMode="External" Id="rId9694"/><Relationship Type="http://schemas.openxmlformats.org/officeDocument/2006/relationships/hyperlink" Target="imagenes/NAUTICA_MENS_V622744_CLG_2.jpg" TargetMode="External" Id="rId9695"/><Relationship Type="http://schemas.openxmlformats.org/officeDocument/2006/relationships/hyperlink" Target="imagenes/NAUTICA_MENS_V622744_CLG_3.jpg" TargetMode="External" Id="rId9696"/><Relationship Type="http://schemas.openxmlformats.org/officeDocument/2006/relationships/hyperlink" Target="imagenes/NAUTICA_MENS_V622744_CLG_1.jpg" TargetMode="External" Id="rId9697"/><Relationship Type="http://schemas.openxmlformats.org/officeDocument/2006/relationships/hyperlink" Target="imagenes/NAUTICA_MENS_V622744_CLG_2.jpg" TargetMode="External" Id="rId9698"/><Relationship Type="http://schemas.openxmlformats.org/officeDocument/2006/relationships/hyperlink" Target="imagenes/NAUTICA_MENS_V622744_CLG_3.jpg" TargetMode="External" Id="rId9699"/><Relationship Type="http://schemas.openxmlformats.org/officeDocument/2006/relationships/hyperlink" Target="imagenes/NAUTICA_MENS_V622744_CLG_1.jpg" TargetMode="External" Id="rId9700"/><Relationship Type="http://schemas.openxmlformats.org/officeDocument/2006/relationships/hyperlink" Target="imagenes/NAUTICA_MENS_V622744_CLG_2.jpg" TargetMode="External" Id="rId9701"/><Relationship Type="http://schemas.openxmlformats.org/officeDocument/2006/relationships/hyperlink" Target="imagenes/NAUTICA_MENS_V622744_CLG_3.jpg" TargetMode="External" Id="rId9702"/><Relationship Type="http://schemas.openxmlformats.org/officeDocument/2006/relationships/hyperlink" Target="imagenes/NAUTICA_MENS_V622744_CLG_1.jpg" TargetMode="External" Id="rId9703"/><Relationship Type="http://schemas.openxmlformats.org/officeDocument/2006/relationships/hyperlink" Target="imagenes/NAUTICA_MENS_V622744_CLG_2.jpg" TargetMode="External" Id="rId9704"/><Relationship Type="http://schemas.openxmlformats.org/officeDocument/2006/relationships/hyperlink" Target="imagenes/NAUTICA_MENS_V622744_CLG_3.jpg" TargetMode="External" Id="rId9705"/><Relationship Type="http://schemas.openxmlformats.org/officeDocument/2006/relationships/hyperlink" Target="imagenes/NAUTICA_MENS_V622744_CO8_1.jpg" TargetMode="External" Id="rId9706"/><Relationship Type="http://schemas.openxmlformats.org/officeDocument/2006/relationships/hyperlink" Target="imagenes/NAUTICA_MENS_V622744_CO8_2.jpg" TargetMode="External" Id="rId9707"/><Relationship Type="http://schemas.openxmlformats.org/officeDocument/2006/relationships/hyperlink" Target="imagenes/NAUTICA_MENS_V622744_CO8_3.jpg" TargetMode="External" Id="rId9708"/><Relationship Type="http://schemas.openxmlformats.org/officeDocument/2006/relationships/hyperlink" Target="imagenes/NAUTICA_MENS_V622744_CO8_1.jpg" TargetMode="External" Id="rId9709"/><Relationship Type="http://schemas.openxmlformats.org/officeDocument/2006/relationships/hyperlink" Target="imagenes/NAUTICA_MENS_V622744_CO8_2.jpg" TargetMode="External" Id="rId9710"/><Relationship Type="http://schemas.openxmlformats.org/officeDocument/2006/relationships/hyperlink" Target="imagenes/NAUTICA_MENS_V622744_CO8_3.jpg" TargetMode="External" Id="rId9711"/><Relationship Type="http://schemas.openxmlformats.org/officeDocument/2006/relationships/hyperlink" Target="imagenes/NAUTICA_MENS_V622744_CO8_1.jpg" TargetMode="External" Id="rId9712"/><Relationship Type="http://schemas.openxmlformats.org/officeDocument/2006/relationships/hyperlink" Target="imagenes/NAUTICA_MENS_V622744_CO8_2.jpg" TargetMode="External" Id="rId9713"/><Relationship Type="http://schemas.openxmlformats.org/officeDocument/2006/relationships/hyperlink" Target="imagenes/NAUTICA_MENS_V622744_CO8_3.jpg" TargetMode="External" Id="rId9714"/><Relationship Type="http://schemas.openxmlformats.org/officeDocument/2006/relationships/hyperlink" Target="imagenes/NAUTICA_MENS_V622744_CO8_1.jpg" TargetMode="External" Id="rId9715"/><Relationship Type="http://schemas.openxmlformats.org/officeDocument/2006/relationships/hyperlink" Target="imagenes/NAUTICA_MENS_V622744_CO8_2.jpg" TargetMode="External" Id="rId9716"/><Relationship Type="http://schemas.openxmlformats.org/officeDocument/2006/relationships/hyperlink" Target="imagenes/NAUTICA_MENS_V622744_CO8_3.jpg" TargetMode="External" Id="rId9717"/><Relationship Type="http://schemas.openxmlformats.org/officeDocument/2006/relationships/hyperlink" Target="imagenes/NAUTICA_MENS_V622744_CO8_1.jpg" TargetMode="External" Id="rId9718"/><Relationship Type="http://schemas.openxmlformats.org/officeDocument/2006/relationships/hyperlink" Target="imagenes/NAUTICA_MENS_V622744_CO8_2.jpg" TargetMode="External" Id="rId9719"/><Relationship Type="http://schemas.openxmlformats.org/officeDocument/2006/relationships/hyperlink" Target="imagenes/NAUTICA_MENS_V622744_CO8_3.jpg" TargetMode="External" Id="rId9720"/><Relationship Type="http://schemas.openxmlformats.org/officeDocument/2006/relationships/hyperlink" Target="imagenes/NAUTICA_MENS_V622744_DFS_1.jpg" TargetMode="External" Id="rId9721"/><Relationship Type="http://schemas.openxmlformats.org/officeDocument/2006/relationships/hyperlink" Target="imagenes/NAUTICA_MENS_V622744_DFS_2.jpg" TargetMode="External" Id="rId9722"/><Relationship Type="http://schemas.openxmlformats.org/officeDocument/2006/relationships/hyperlink" Target="imagenes/NAUTICA_MENS_V622744_DFS_3.jpg" TargetMode="External" Id="rId9723"/><Relationship Type="http://schemas.openxmlformats.org/officeDocument/2006/relationships/hyperlink" Target="imagenes/NAUTICA_MENS_V622744_DFS_1.jpg" TargetMode="External" Id="rId9724"/><Relationship Type="http://schemas.openxmlformats.org/officeDocument/2006/relationships/hyperlink" Target="imagenes/NAUTICA_MENS_V622744_DFS_2.jpg" TargetMode="External" Id="rId9725"/><Relationship Type="http://schemas.openxmlformats.org/officeDocument/2006/relationships/hyperlink" Target="imagenes/NAUTICA_MENS_V622744_DFS_3.jpg" TargetMode="External" Id="rId9726"/><Relationship Type="http://schemas.openxmlformats.org/officeDocument/2006/relationships/hyperlink" Target="imagenes/NAUTICA_MENS_V622744_DFS_1.jpg" TargetMode="External" Id="rId9727"/><Relationship Type="http://schemas.openxmlformats.org/officeDocument/2006/relationships/hyperlink" Target="imagenes/NAUTICA_MENS_V622744_DFS_2.jpg" TargetMode="External" Id="rId9728"/><Relationship Type="http://schemas.openxmlformats.org/officeDocument/2006/relationships/hyperlink" Target="imagenes/NAUTICA_MENS_V622744_DFS_3.jpg" TargetMode="External" Id="rId9729"/><Relationship Type="http://schemas.openxmlformats.org/officeDocument/2006/relationships/hyperlink" Target="imagenes/NAUTICA_MENS_V622744_DFS_1.jpg" TargetMode="External" Id="rId9730"/><Relationship Type="http://schemas.openxmlformats.org/officeDocument/2006/relationships/hyperlink" Target="imagenes/NAUTICA_MENS_V622744_DFS_2.jpg" TargetMode="External" Id="rId9731"/><Relationship Type="http://schemas.openxmlformats.org/officeDocument/2006/relationships/hyperlink" Target="imagenes/NAUTICA_MENS_V622744_DFS_3.jpg" TargetMode="External" Id="rId9732"/><Relationship Type="http://schemas.openxmlformats.org/officeDocument/2006/relationships/hyperlink" Target="imagenes/NAUTICA_MENS_V622744_DFS_1.jpg" TargetMode="External" Id="rId9733"/><Relationship Type="http://schemas.openxmlformats.org/officeDocument/2006/relationships/hyperlink" Target="imagenes/NAUTICA_MENS_V622744_DFS_2.jpg" TargetMode="External" Id="rId9734"/><Relationship Type="http://schemas.openxmlformats.org/officeDocument/2006/relationships/hyperlink" Target="imagenes/NAUTICA_MENS_V622744_DFS_3.jpg" TargetMode="External" Id="rId9735"/><Relationship Type="http://schemas.openxmlformats.org/officeDocument/2006/relationships/hyperlink" Target="imagenes/NAUTICA_MENS_V622744_DFS_1.jpg" TargetMode="External" Id="rId9736"/><Relationship Type="http://schemas.openxmlformats.org/officeDocument/2006/relationships/hyperlink" Target="imagenes/NAUTICA_MENS_V622744_DFS_2.jpg" TargetMode="External" Id="rId9737"/><Relationship Type="http://schemas.openxmlformats.org/officeDocument/2006/relationships/hyperlink" Target="imagenes/NAUTICA_MENS_V622744_DFS_3.jpg" TargetMode="External" Id="rId9738"/><Relationship Type="http://schemas.openxmlformats.org/officeDocument/2006/relationships/hyperlink" Target="imagenes/NAUTICA_MENS_V622744_DFS_1.jpg" TargetMode="External" Id="rId9739"/><Relationship Type="http://schemas.openxmlformats.org/officeDocument/2006/relationships/hyperlink" Target="imagenes/NAUTICA_MENS_V622744_DFS_2.jpg" TargetMode="External" Id="rId9740"/><Relationship Type="http://schemas.openxmlformats.org/officeDocument/2006/relationships/hyperlink" Target="imagenes/NAUTICA_MENS_V622744_DFS_3.jpg" TargetMode="External" Id="rId9741"/><Relationship Type="http://schemas.openxmlformats.org/officeDocument/2006/relationships/hyperlink" Target="imagenes/NAUTICA_MENS_V622744_DFS_1.jpg" TargetMode="External" Id="rId9742"/><Relationship Type="http://schemas.openxmlformats.org/officeDocument/2006/relationships/hyperlink" Target="imagenes/NAUTICA_MENS_V622744_DFS_2.jpg" TargetMode="External" Id="rId9743"/><Relationship Type="http://schemas.openxmlformats.org/officeDocument/2006/relationships/hyperlink" Target="imagenes/NAUTICA_MENS_V622744_DFS_3.jpg" TargetMode="External" Id="rId9744"/><Relationship Type="http://schemas.openxmlformats.org/officeDocument/2006/relationships/hyperlink" Target="imagenes/NAUTICA_MENS_V622744_DFS_1.jpg" TargetMode="External" Id="rId9745"/><Relationship Type="http://schemas.openxmlformats.org/officeDocument/2006/relationships/hyperlink" Target="imagenes/NAUTICA_MENS_V622744_DFS_2.jpg" TargetMode="External" Id="rId9746"/><Relationship Type="http://schemas.openxmlformats.org/officeDocument/2006/relationships/hyperlink" Target="imagenes/NAUTICA_MENS_V622744_DFS_3.jpg" TargetMode="External" Id="rId9747"/><Relationship Type="http://schemas.openxmlformats.org/officeDocument/2006/relationships/hyperlink" Target="imagenes/NAUTICA_MENS_V622744_MTA_1.jpg" TargetMode="External" Id="rId9748"/><Relationship Type="http://schemas.openxmlformats.org/officeDocument/2006/relationships/hyperlink" Target="imagenes/NAUTICA_MENS_V622744_MTA_2.jpg" TargetMode="External" Id="rId9749"/><Relationship Type="http://schemas.openxmlformats.org/officeDocument/2006/relationships/hyperlink" Target="imagenes/NAUTICA_MENS_V622744_MTA_3.jpg" TargetMode="External" Id="rId9750"/><Relationship Type="http://schemas.openxmlformats.org/officeDocument/2006/relationships/hyperlink" Target="imagenes/NAUTICA_MENS_V622744_MTA_1.jpg" TargetMode="External" Id="rId9751"/><Relationship Type="http://schemas.openxmlformats.org/officeDocument/2006/relationships/hyperlink" Target="imagenes/NAUTICA_MENS_V622744_MTA_2.jpg" TargetMode="External" Id="rId9752"/><Relationship Type="http://schemas.openxmlformats.org/officeDocument/2006/relationships/hyperlink" Target="imagenes/NAUTICA_MENS_V622744_MTA_3.jpg" TargetMode="External" Id="rId9753"/><Relationship Type="http://schemas.openxmlformats.org/officeDocument/2006/relationships/hyperlink" Target="imagenes/NAUTICA_MENS_V622744_MTA_1.jpg" TargetMode="External" Id="rId9754"/><Relationship Type="http://schemas.openxmlformats.org/officeDocument/2006/relationships/hyperlink" Target="imagenes/NAUTICA_MENS_V622744_MTA_2.jpg" TargetMode="External" Id="rId9755"/><Relationship Type="http://schemas.openxmlformats.org/officeDocument/2006/relationships/hyperlink" Target="imagenes/NAUTICA_MENS_V622744_MTA_3.jpg" TargetMode="External" Id="rId9756"/><Relationship Type="http://schemas.openxmlformats.org/officeDocument/2006/relationships/hyperlink" Target="imagenes/NAUTICA_MENS_V622744_MTA_1.jpg" TargetMode="External" Id="rId9757"/><Relationship Type="http://schemas.openxmlformats.org/officeDocument/2006/relationships/hyperlink" Target="imagenes/NAUTICA_MENS_V622744_MTA_2.jpg" TargetMode="External" Id="rId9758"/><Relationship Type="http://schemas.openxmlformats.org/officeDocument/2006/relationships/hyperlink" Target="imagenes/NAUTICA_MENS_V622744_MTA_3.jpg" TargetMode="External" Id="rId9759"/><Relationship Type="http://schemas.openxmlformats.org/officeDocument/2006/relationships/hyperlink" Target="imagenes/NAUTICA_MENS_V622744_MTA_1.jpg" TargetMode="External" Id="rId9760"/><Relationship Type="http://schemas.openxmlformats.org/officeDocument/2006/relationships/hyperlink" Target="imagenes/NAUTICA_MENS_V622744_MTA_2.jpg" TargetMode="External" Id="rId9761"/><Relationship Type="http://schemas.openxmlformats.org/officeDocument/2006/relationships/hyperlink" Target="imagenes/NAUTICA_MENS_V622744_MTA_3.jpg" TargetMode="External" Id="rId9762"/><Relationship Type="http://schemas.openxmlformats.org/officeDocument/2006/relationships/hyperlink" Target="imagenes/NAUTICA_MENS_V622744_MTA_1.jpg" TargetMode="External" Id="rId9763"/><Relationship Type="http://schemas.openxmlformats.org/officeDocument/2006/relationships/hyperlink" Target="imagenes/NAUTICA_MENS_V622744_MTA_2.jpg" TargetMode="External" Id="rId9764"/><Relationship Type="http://schemas.openxmlformats.org/officeDocument/2006/relationships/hyperlink" Target="imagenes/NAUTICA_MENS_V622744_MTA_3.jpg" TargetMode="External" Id="rId9765"/><Relationship Type="http://schemas.openxmlformats.org/officeDocument/2006/relationships/hyperlink" Target="imagenes/NAUTICA_MENS_V622744_MTA_1.jpg" TargetMode="External" Id="rId9766"/><Relationship Type="http://schemas.openxmlformats.org/officeDocument/2006/relationships/hyperlink" Target="imagenes/NAUTICA_MENS_V622744_MTA_2.jpg" TargetMode="External" Id="rId9767"/><Relationship Type="http://schemas.openxmlformats.org/officeDocument/2006/relationships/hyperlink" Target="imagenes/NAUTICA_MENS_V622744_MTA_3.jpg" TargetMode="External" Id="rId9768"/><Relationship Type="http://schemas.openxmlformats.org/officeDocument/2006/relationships/hyperlink" Target="imagenes/NAUTICA_MENS_V622744_MTA_1.jpg" TargetMode="External" Id="rId9769"/><Relationship Type="http://schemas.openxmlformats.org/officeDocument/2006/relationships/hyperlink" Target="imagenes/NAUTICA_MENS_V622744_MTA_2.jpg" TargetMode="External" Id="rId9770"/><Relationship Type="http://schemas.openxmlformats.org/officeDocument/2006/relationships/hyperlink" Target="imagenes/NAUTICA_MENS_V622744_MTA_3.jpg" TargetMode="External" Id="rId9771"/><Relationship Type="http://schemas.openxmlformats.org/officeDocument/2006/relationships/hyperlink" Target="imagenes/NAUTICA_MENS_V622744_NRD_1.jpg" TargetMode="External" Id="rId9772"/><Relationship Type="http://schemas.openxmlformats.org/officeDocument/2006/relationships/hyperlink" Target="imagenes/NAUTICA_MENS_V622744_NRD_2.jpg" TargetMode="External" Id="rId9773"/><Relationship Type="http://schemas.openxmlformats.org/officeDocument/2006/relationships/hyperlink" Target="imagenes/NAUTICA_MENS_V622744_NRD_3.jpg" TargetMode="External" Id="rId9774"/><Relationship Type="http://schemas.openxmlformats.org/officeDocument/2006/relationships/hyperlink" Target="imagenes/NAUTICA_MENS_V622744_NRD_1.jpg" TargetMode="External" Id="rId9775"/><Relationship Type="http://schemas.openxmlformats.org/officeDocument/2006/relationships/hyperlink" Target="imagenes/NAUTICA_MENS_V622744_NRD_2.jpg" TargetMode="External" Id="rId9776"/><Relationship Type="http://schemas.openxmlformats.org/officeDocument/2006/relationships/hyperlink" Target="imagenes/NAUTICA_MENS_V622744_NRD_3.jpg" TargetMode="External" Id="rId9777"/><Relationship Type="http://schemas.openxmlformats.org/officeDocument/2006/relationships/hyperlink" Target="imagenes/NAUTICA_MENS_V622744_NRD_1.jpg" TargetMode="External" Id="rId9778"/><Relationship Type="http://schemas.openxmlformats.org/officeDocument/2006/relationships/hyperlink" Target="imagenes/NAUTICA_MENS_V622744_NRD_2.jpg" TargetMode="External" Id="rId9779"/><Relationship Type="http://schemas.openxmlformats.org/officeDocument/2006/relationships/hyperlink" Target="imagenes/NAUTICA_MENS_V622744_NRD_3.jpg" TargetMode="External" Id="rId9780"/><Relationship Type="http://schemas.openxmlformats.org/officeDocument/2006/relationships/hyperlink" Target="imagenes/NAUTICA_MENS_V622744_NRD_1.jpg" TargetMode="External" Id="rId9781"/><Relationship Type="http://schemas.openxmlformats.org/officeDocument/2006/relationships/hyperlink" Target="imagenes/NAUTICA_MENS_V622744_NRD_2.jpg" TargetMode="External" Id="rId9782"/><Relationship Type="http://schemas.openxmlformats.org/officeDocument/2006/relationships/hyperlink" Target="imagenes/NAUTICA_MENS_V622744_NRD_3.jpg" TargetMode="External" Id="rId9783"/><Relationship Type="http://schemas.openxmlformats.org/officeDocument/2006/relationships/hyperlink" Target="imagenes/NAUTICA_MENS_V622744_NRD_1.jpg" TargetMode="External" Id="rId9784"/><Relationship Type="http://schemas.openxmlformats.org/officeDocument/2006/relationships/hyperlink" Target="imagenes/NAUTICA_MENS_V622744_NRD_2.jpg" TargetMode="External" Id="rId9785"/><Relationship Type="http://schemas.openxmlformats.org/officeDocument/2006/relationships/hyperlink" Target="imagenes/NAUTICA_MENS_V622744_NRD_3.jpg" TargetMode="External" Id="rId9786"/><Relationship Type="http://schemas.openxmlformats.org/officeDocument/2006/relationships/hyperlink" Target="imagenes/NAUTICA_MENS_V622744_NTA_1.jpg" TargetMode="External" Id="rId9787"/><Relationship Type="http://schemas.openxmlformats.org/officeDocument/2006/relationships/hyperlink" Target="imagenes/NAUTICA_MENS_V622744_NTA_2.jpg" TargetMode="External" Id="rId9788"/><Relationship Type="http://schemas.openxmlformats.org/officeDocument/2006/relationships/hyperlink" Target="imagenes/NAUTICA_MENS_V622744_NTA_3.jpg" TargetMode="External" Id="rId9789"/><Relationship Type="http://schemas.openxmlformats.org/officeDocument/2006/relationships/hyperlink" Target="imagenes/NAUTICA_MENS_V622744_NTA_1.jpg" TargetMode="External" Id="rId9790"/><Relationship Type="http://schemas.openxmlformats.org/officeDocument/2006/relationships/hyperlink" Target="imagenes/NAUTICA_MENS_V622744_NTA_2.jpg" TargetMode="External" Id="rId9791"/><Relationship Type="http://schemas.openxmlformats.org/officeDocument/2006/relationships/hyperlink" Target="imagenes/NAUTICA_MENS_V622744_NTA_3.jpg" TargetMode="External" Id="rId9792"/><Relationship Type="http://schemas.openxmlformats.org/officeDocument/2006/relationships/hyperlink" Target="imagenes/NAUTICA_MENS_V622744_NTA_1.jpg" TargetMode="External" Id="rId9793"/><Relationship Type="http://schemas.openxmlformats.org/officeDocument/2006/relationships/hyperlink" Target="imagenes/NAUTICA_MENS_V622744_NTA_2.jpg" TargetMode="External" Id="rId9794"/><Relationship Type="http://schemas.openxmlformats.org/officeDocument/2006/relationships/hyperlink" Target="imagenes/NAUTICA_MENS_V622744_NTA_3.jpg" TargetMode="External" Id="rId9795"/><Relationship Type="http://schemas.openxmlformats.org/officeDocument/2006/relationships/hyperlink" Target="imagenes/NAUTICA_MENS_V622744_NTA_1.jpg" TargetMode="External" Id="rId9796"/><Relationship Type="http://schemas.openxmlformats.org/officeDocument/2006/relationships/hyperlink" Target="imagenes/NAUTICA_MENS_V622744_NTA_2.jpg" TargetMode="External" Id="rId9797"/><Relationship Type="http://schemas.openxmlformats.org/officeDocument/2006/relationships/hyperlink" Target="imagenes/NAUTICA_MENS_V622744_NTA_3.jpg" TargetMode="External" Id="rId9798"/><Relationship Type="http://schemas.openxmlformats.org/officeDocument/2006/relationships/hyperlink" Target="imagenes/NAUTICA_MENS_V622744_NTA_1.jpg" TargetMode="External" Id="rId9799"/><Relationship Type="http://schemas.openxmlformats.org/officeDocument/2006/relationships/hyperlink" Target="imagenes/NAUTICA_MENS_V622744_NTA_2.jpg" TargetMode="External" Id="rId9800"/><Relationship Type="http://schemas.openxmlformats.org/officeDocument/2006/relationships/hyperlink" Target="imagenes/NAUTICA_MENS_V622744_NTA_3.jpg" TargetMode="External" Id="rId9801"/><Relationship Type="http://schemas.openxmlformats.org/officeDocument/2006/relationships/hyperlink" Target="imagenes/NAUTICA_MENS_V622744_RG3_1.jpg" TargetMode="External" Id="rId9802"/><Relationship Type="http://schemas.openxmlformats.org/officeDocument/2006/relationships/hyperlink" Target="imagenes/NAUTICA_MENS_V622744_RG3_2.jpg" TargetMode="External" Id="rId9803"/><Relationship Type="http://schemas.openxmlformats.org/officeDocument/2006/relationships/hyperlink" Target="imagenes/NAUTICA_MENS_V622744_RG3_3.jpg" TargetMode="External" Id="rId9804"/><Relationship Type="http://schemas.openxmlformats.org/officeDocument/2006/relationships/hyperlink" Target="imagenes/NAUTICA_MENS_V622744_RG3_1.jpg" TargetMode="External" Id="rId9805"/><Relationship Type="http://schemas.openxmlformats.org/officeDocument/2006/relationships/hyperlink" Target="imagenes/NAUTICA_MENS_V622744_RG3_2.jpg" TargetMode="External" Id="rId9806"/><Relationship Type="http://schemas.openxmlformats.org/officeDocument/2006/relationships/hyperlink" Target="imagenes/NAUTICA_MENS_V622744_RG3_3.jpg" TargetMode="External" Id="rId9807"/><Relationship Type="http://schemas.openxmlformats.org/officeDocument/2006/relationships/hyperlink" Target="imagenes/NAUTICA_MENS_V622744_RG3_1.jpg" TargetMode="External" Id="rId9808"/><Relationship Type="http://schemas.openxmlformats.org/officeDocument/2006/relationships/hyperlink" Target="imagenes/NAUTICA_MENS_V622744_RG3_2.jpg" TargetMode="External" Id="rId9809"/><Relationship Type="http://schemas.openxmlformats.org/officeDocument/2006/relationships/hyperlink" Target="imagenes/NAUTICA_MENS_V622744_RG3_3.jpg" TargetMode="External" Id="rId9810"/><Relationship Type="http://schemas.openxmlformats.org/officeDocument/2006/relationships/hyperlink" Target="imagenes/NAUTICA_MENS_V622744_RG3_1.jpg" TargetMode="External" Id="rId9811"/><Relationship Type="http://schemas.openxmlformats.org/officeDocument/2006/relationships/hyperlink" Target="imagenes/NAUTICA_MENS_V622744_RG3_2.jpg" TargetMode="External" Id="rId9812"/><Relationship Type="http://schemas.openxmlformats.org/officeDocument/2006/relationships/hyperlink" Target="imagenes/NAUTICA_MENS_V622744_RG3_3.jpg" TargetMode="External" Id="rId9813"/><Relationship Type="http://schemas.openxmlformats.org/officeDocument/2006/relationships/hyperlink" Target="imagenes/NAUTICA_MENS_V622744_RG3_1.jpg" TargetMode="External" Id="rId9814"/><Relationship Type="http://schemas.openxmlformats.org/officeDocument/2006/relationships/hyperlink" Target="imagenes/NAUTICA_MENS_V622744_RG3_2.jpg" TargetMode="External" Id="rId9815"/><Relationship Type="http://schemas.openxmlformats.org/officeDocument/2006/relationships/hyperlink" Target="imagenes/NAUTICA_MENS_V622744_RG3_3.jpg" TargetMode="External" Id="rId9816"/><Relationship Type="http://schemas.openxmlformats.org/officeDocument/2006/relationships/hyperlink" Target="imagenes/NAUTICA_MENS_V622744_TAU_1.jpg" TargetMode="External" Id="rId9817"/><Relationship Type="http://schemas.openxmlformats.org/officeDocument/2006/relationships/hyperlink" Target="imagenes/NAUTICA_MENS_V622744_TAU_2.jpg" TargetMode="External" Id="rId9818"/><Relationship Type="http://schemas.openxmlformats.org/officeDocument/2006/relationships/hyperlink" Target="imagenes/NAUTICA_MENS_V622744_TAU_3.jpg" TargetMode="External" Id="rId9819"/><Relationship Type="http://schemas.openxmlformats.org/officeDocument/2006/relationships/hyperlink" Target="imagenes/NAUTICA_MENS_V622744_TAU_1.jpg" TargetMode="External" Id="rId9820"/><Relationship Type="http://schemas.openxmlformats.org/officeDocument/2006/relationships/hyperlink" Target="imagenes/NAUTICA_MENS_V622744_TAU_2.jpg" TargetMode="External" Id="rId9821"/><Relationship Type="http://schemas.openxmlformats.org/officeDocument/2006/relationships/hyperlink" Target="imagenes/NAUTICA_MENS_V622744_TAU_3.jpg" TargetMode="External" Id="rId9822"/><Relationship Type="http://schemas.openxmlformats.org/officeDocument/2006/relationships/hyperlink" Target="imagenes/NAUTICA_MENS_V622744_TAU_1.jpg" TargetMode="External" Id="rId9823"/><Relationship Type="http://schemas.openxmlformats.org/officeDocument/2006/relationships/hyperlink" Target="imagenes/NAUTICA_MENS_V622744_TAU_2.jpg" TargetMode="External" Id="rId9824"/><Relationship Type="http://schemas.openxmlformats.org/officeDocument/2006/relationships/hyperlink" Target="imagenes/NAUTICA_MENS_V622744_TAU_3.jpg" TargetMode="External" Id="rId9825"/><Relationship Type="http://schemas.openxmlformats.org/officeDocument/2006/relationships/hyperlink" Target="imagenes/NAUTICA_MENS_V622744_TAU_1.jpg" TargetMode="External" Id="rId9826"/><Relationship Type="http://schemas.openxmlformats.org/officeDocument/2006/relationships/hyperlink" Target="imagenes/NAUTICA_MENS_V622744_TAU_2.jpg" TargetMode="External" Id="rId9827"/><Relationship Type="http://schemas.openxmlformats.org/officeDocument/2006/relationships/hyperlink" Target="imagenes/NAUTICA_MENS_V622744_TAU_3.jpg" TargetMode="External" Id="rId9828"/><Relationship Type="http://schemas.openxmlformats.org/officeDocument/2006/relationships/hyperlink" Target="imagenes/NAUTICA_MENS_V622744_TAU_1.jpg" TargetMode="External" Id="rId9829"/><Relationship Type="http://schemas.openxmlformats.org/officeDocument/2006/relationships/hyperlink" Target="imagenes/NAUTICA_MENS_V622744_TAU_2.jpg" TargetMode="External" Id="rId9830"/><Relationship Type="http://schemas.openxmlformats.org/officeDocument/2006/relationships/hyperlink" Target="imagenes/NAUTICA_MENS_V622744_TAU_3.jpg" TargetMode="External" Id="rId9831"/><Relationship Type="http://schemas.openxmlformats.org/officeDocument/2006/relationships/hyperlink" Target="imagenes/NAUTICA_MENS_V623040A_NVY_1.jpg" TargetMode="External" Id="rId9832"/><Relationship Type="http://schemas.openxmlformats.org/officeDocument/2006/relationships/hyperlink" Target="imagenes/NAUTICA_MENS_V623040A_NVY_2.jpg" TargetMode="External" Id="rId9833"/><Relationship Type="http://schemas.openxmlformats.org/officeDocument/2006/relationships/hyperlink" Target="imagenes/NAUTICA_MENS_V623040A_NVY_3.jpg" TargetMode="External" Id="rId9834"/><Relationship Type="http://schemas.openxmlformats.org/officeDocument/2006/relationships/hyperlink" Target="imagenes/NAUTICA_MENS_V623040A_STO_1.jpg" TargetMode="External" Id="rId9835"/><Relationship Type="http://schemas.openxmlformats.org/officeDocument/2006/relationships/hyperlink" Target="imagenes/NAUTICA_MENS_V623040A_STO_2.jpg" TargetMode="External" Id="rId9836"/><Relationship Type="http://schemas.openxmlformats.org/officeDocument/2006/relationships/hyperlink" Target="imagenes/NAUTICA_MENS_V623040A_STO_3.jpg" TargetMode="External" Id="rId9837"/><Relationship Type="http://schemas.openxmlformats.org/officeDocument/2006/relationships/hyperlink" Target="imagenes/NAUTICA_MENS_V623040A_STO_1.jpg" TargetMode="External" Id="rId9838"/><Relationship Type="http://schemas.openxmlformats.org/officeDocument/2006/relationships/hyperlink" Target="imagenes/NAUTICA_MENS_V623040A_STO_2.jpg" TargetMode="External" Id="rId9839"/><Relationship Type="http://schemas.openxmlformats.org/officeDocument/2006/relationships/hyperlink" Target="imagenes/NAUTICA_MENS_V623040A_STO_3.jpg" TargetMode="External" Id="rId9840"/><Relationship Type="http://schemas.openxmlformats.org/officeDocument/2006/relationships/hyperlink" Target="imagenes/NAUTICA_MENS_V623055A_NVY_1.jpg" TargetMode="External" Id="rId9841"/><Relationship Type="http://schemas.openxmlformats.org/officeDocument/2006/relationships/hyperlink" Target="imagenes/NAUTICA_MENS_V623055A_NVY_2.jpg" TargetMode="External" Id="rId9842"/><Relationship Type="http://schemas.openxmlformats.org/officeDocument/2006/relationships/hyperlink" Target="imagenes/NAUTICA_MENS_V623055A_NVY_3.jpg" TargetMode="External" Id="rId9843"/><Relationship Type="http://schemas.openxmlformats.org/officeDocument/2006/relationships/hyperlink" Target="imagenes/NAUTICA_MENS_V623055A_STO_1.jpg" TargetMode="External" Id="rId9844"/><Relationship Type="http://schemas.openxmlformats.org/officeDocument/2006/relationships/hyperlink" Target="imagenes/NAUTICA_MENS_V623055A_STO_2.jpg" TargetMode="External" Id="rId9845"/><Relationship Type="http://schemas.openxmlformats.org/officeDocument/2006/relationships/hyperlink" Target="imagenes/NAUTICA_MENS_V623055A_STO_3.jpg" TargetMode="External" Id="rId9846"/><Relationship Type="http://schemas.openxmlformats.org/officeDocument/2006/relationships/hyperlink" Target="imagenes/NAUTICA_MENS_V623055A_STO_1.jpg" TargetMode="External" Id="rId9847"/><Relationship Type="http://schemas.openxmlformats.org/officeDocument/2006/relationships/hyperlink" Target="imagenes/NAUTICA_MENS_V623055A_STO_2.jpg" TargetMode="External" Id="rId9848"/><Relationship Type="http://schemas.openxmlformats.org/officeDocument/2006/relationships/hyperlink" Target="imagenes/NAUTICA_MENS_V623055A_STO_3.jpg" TargetMode="External" Id="rId9849"/><Relationship Type="http://schemas.openxmlformats.org/officeDocument/2006/relationships/hyperlink" Target="imagenes/NAUTICA_MENS_V625548_CHR_1.jpg" TargetMode="External" Id="rId9850"/><Relationship Type="http://schemas.openxmlformats.org/officeDocument/2006/relationships/hyperlink" Target="imagenes/NAUTICA_MENS_V625548_CHR_2.jpg" TargetMode="External" Id="rId9851"/><Relationship Type="http://schemas.openxmlformats.org/officeDocument/2006/relationships/hyperlink" Target="imagenes/NAUTICA_MENS_V625548_CHR_3.jpg" TargetMode="External" Id="rId9852"/><Relationship Type="http://schemas.openxmlformats.org/officeDocument/2006/relationships/hyperlink" Target="imagenes/NAUTICA_MENS_V625548_CHR_1.jpg" TargetMode="External" Id="rId9853"/><Relationship Type="http://schemas.openxmlformats.org/officeDocument/2006/relationships/hyperlink" Target="imagenes/NAUTICA_MENS_V625548_CHR_2.jpg" TargetMode="External" Id="rId9854"/><Relationship Type="http://schemas.openxmlformats.org/officeDocument/2006/relationships/hyperlink" Target="imagenes/NAUTICA_MENS_V625548_CHR_3.jpg" TargetMode="External" Id="rId9855"/><Relationship Type="http://schemas.openxmlformats.org/officeDocument/2006/relationships/hyperlink" Target="imagenes/NAUTICA_MENS_V625548_DNY_1.jpg" TargetMode="External" Id="rId9856"/><Relationship Type="http://schemas.openxmlformats.org/officeDocument/2006/relationships/hyperlink" Target="imagenes/NAUTICA_MENS_V625548_DNY_2.jpg" TargetMode="External" Id="rId9857"/><Relationship Type="http://schemas.openxmlformats.org/officeDocument/2006/relationships/hyperlink" Target="imagenes/NAUTICA_MENS_V625548_DNY_3.jpg" TargetMode="External" Id="rId9858"/><Relationship Type="http://schemas.openxmlformats.org/officeDocument/2006/relationships/hyperlink" Target="imagenes/NAUTICA_MENS_V625548_DNY_1.jpg" TargetMode="External" Id="rId9859"/><Relationship Type="http://schemas.openxmlformats.org/officeDocument/2006/relationships/hyperlink" Target="imagenes/NAUTICA_MENS_V625548_DNY_2.jpg" TargetMode="External" Id="rId9860"/><Relationship Type="http://schemas.openxmlformats.org/officeDocument/2006/relationships/hyperlink" Target="imagenes/NAUTICA_MENS_V625548_DNY_3.jpg" TargetMode="External" Id="rId9861"/><Relationship Type="http://schemas.openxmlformats.org/officeDocument/2006/relationships/hyperlink" Target="imagenes/NAUTICA_MENS_V625548_DNY_1.jpg" TargetMode="External" Id="rId9862"/><Relationship Type="http://schemas.openxmlformats.org/officeDocument/2006/relationships/hyperlink" Target="imagenes/NAUTICA_MENS_V625548_DNY_2.jpg" TargetMode="External" Id="rId9863"/><Relationship Type="http://schemas.openxmlformats.org/officeDocument/2006/relationships/hyperlink" Target="imagenes/NAUTICA_MENS_V625548_DNY_3.jpg" TargetMode="External" Id="rId9864"/><Relationship Type="http://schemas.openxmlformats.org/officeDocument/2006/relationships/hyperlink" Target="imagenes/NAUTICA_MENS_V625548_DNY_1.jpg" TargetMode="External" Id="rId9865"/><Relationship Type="http://schemas.openxmlformats.org/officeDocument/2006/relationships/hyperlink" Target="imagenes/NAUTICA_MENS_V625548_DNY_2.jpg" TargetMode="External" Id="rId9866"/><Relationship Type="http://schemas.openxmlformats.org/officeDocument/2006/relationships/hyperlink" Target="imagenes/NAUTICA_MENS_V625548_DNY_3.jpg" TargetMode="External" Id="rId9867"/><Relationship Type="http://schemas.openxmlformats.org/officeDocument/2006/relationships/hyperlink" Target="imagenes/NAUTICA_MENS_V625580_BLK_1.jpg" TargetMode="External" Id="rId9868"/><Relationship Type="http://schemas.openxmlformats.org/officeDocument/2006/relationships/hyperlink" Target="imagenes/NAUTICA_MENS_V625580_BLK_2.jpg" TargetMode="External" Id="rId9869"/><Relationship Type="http://schemas.openxmlformats.org/officeDocument/2006/relationships/hyperlink" Target="imagenes/NAUTICA_MENS_V625580_BLK_3.jpg" TargetMode="External" Id="rId9870"/><Relationship Type="http://schemas.openxmlformats.org/officeDocument/2006/relationships/hyperlink" Target="imagenes/NAUTICA_MENS_V625580_BLK_1.jpg" TargetMode="External" Id="rId9871"/><Relationship Type="http://schemas.openxmlformats.org/officeDocument/2006/relationships/hyperlink" Target="imagenes/NAUTICA_MENS_V625580_BLK_2.jpg" TargetMode="External" Id="rId9872"/><Relationship Type="http://schemas.openxmlformats.org/officeDocument/2006/relationships/hyperlink" Target="imagenes/NAUTICA_MENS_V625580_BLK_3.jpg" TargetMode="External" Id="rId9873"/><Relationship Type="http://schemas.openxmlformats.org/officeDocument/2006/relationships/hyperlink" Target="imagenes/NAUTICA_MENS_V625593_BLK_1.jpg" TargetMode="External" Id="rId9874"/><Relationship Type="http://schemas.openxmlformats.org/officeDocument/2006/relationships/hyperlink" Target="imagenes/NAUTICA_MENS_V625593_BLK_2.jpg" TargetMode="External" Id="rId9875"/><Relationship Type="http://schemas.openxmlformats.org/officeDocument/2006/relationships/hyperlink" Target="imagenes/NAUTICA_MENS_V625593_BLK_3.jpg" TargetMode="External" Id="rId9876"/><Relationship Type="http://schemas.openxmlformats.org/officeDocument/2006/relationships/hyperlink" Target="imagenes/NAUTICA_MENS_V625593_BLK_1.jpg" TargetMode="External" Id="rId9877"/><Relationship Type="http://schemas.openxmlformats.org/officeDocument/2006/relationships/hyperlink" Target="imagenes/NAUTICA_MENS_V625593_BLK_2.jpg" TargetMode="External" Id="rId9878"/><Relationship Type="http://schemas.openxmlformats.org/officeDocument/2006/relationships/hyperlink" Target="imagenes/NAUTICA_MENS_V625593_BLK_3.jpg" TargetMode="External" Id="rId9879"/><Relationship Type="http://schemas.openxmlformats.org/officeDocument/2006/relationships/hyperlink" Target="imagenes/NAUTICA_MENS_V625593_BLK_1.jpg" TargetMode="External" Id="rId9880"/><Relationship Type="http://schemas.openxmlformats.org/officeDocument/2006/relationships/hyperlink" Target="imagenes/NAUTICA_MENS_V625593_BLK_2.jpg" TargetMode="External" Id="rId9881"/><Relationship Type="http://schemas.openxmlformats.org/officeDocument/2006/relationships/hyperlink" Target="imagenes/NAUTICA_MENS_V625593_BLK_3.jpg" TargetMode="External" Id="rId9882"/><Relationship Type="http://schemas.openxmlformats.org/officeDocument/2006/relationships/hyperlink" Target="imagenes/NAUTICA_MENS_V625593_BLK_1.jpg" TargetMode="External" Id="rId9883"/><Relationship Type="http://schemas.openxmlformats.org/officeDocument/2006/relationships/hyperlink" Target="imagenes/NAUTICA_MENS_V625593_BLK_2.jpg" TargetMode="External" Id="rId9884"/><Relationship Type="http://schemas.openxmlformats.org/officeDocument/2006/relationships/hyperlink" Target="imagenes/NAUTICA_MENS_V625593_BLK_3.jpg" TargetMode="External" Id="rId9885"/><Relationship Type="http://schemas.openxmlformats.org/officeDocument/2006/relationships/hyperlink" Target="imagenes/NAUTICA_MENS_V625593_BLK_1.jpg" TargetMode="External" Id="rId9886"/><Relationship Type="http://schemas.openxmlformats.org/officeDocument/2006/relationships/hyperlink" Target="imagenes/NAUTICA_MENS_V625593_BLK_2.jpg" TargetMode="External" Id="rId9887"/><Relationship Type="http://schemas.openxmlformats.org/officeDocument/2006/relationships/hyperlink" Target="imagenes/NAUTICA_MENS_V625593_BLK_3.jpg" TargetMode="External" Id="rId9888"/><Relationship Type="http://schemas.openxmlformats.org/officeDocument/2006/relationships/hyperlink" Target="imagenes/NAUTICA_MENS_V625593_CHR_1.jpg" TargetMode="External" Id="rId9889"/><Relationship Type="http://schemas.openxmlformats.org/officeDocument/2006/relationships/hyperlink" Target="imagenes/NAUTICA_MENS_V625593_CHR_2.jpg" TargetMode="External" Id="rId9890"/><Relationship Type="http://schemas.openxmlformats.org/officeDocument/2006/relationships/hyperlink" Target="imagenes/NAUTICA_MENS_V625593_CHR_3.jpg" TargetMode="External" Id="rId9891"/><Relationship Type="http://schemas.openxmlformats.org/officeDocument/2006/relationships/hyperlink" Target="imagenes/NAUTICA_MENS_V625593_CHR_1.jpg" TargetMode="External" Id="rId9892"/><Relationship Type="http://schemas.openxmlformats.org/officeDocument/2006/relationships/hyperlink" Target="imagenes/NAUTICA_MENS_V625593_CHR_2.jpg" TargetMode="External" Id="rId9893"/><Relationship Type="http://schemas.openxmlformats.org/officeDocument/2006/relationships/hyperlink" Target="imagenes/NAUTICA_MENS_V625593_CHR_3.jpg" TargetMode="External" Id="rId9894"/><Relationship Type="http://schemas.openxmlformats.org/officeDocument/2006/relationships/hyperlink" Target="imagenes/NAUTICA_MENS_V625593_CHR_1.jpg" TargetMode="External" Id="rId9895"/><Relationship Type="http://schemas.openxmlformats.org/officeDocument/2006/relationships/hyperlink" Target="imagenes/NAUTICA_MENS_V625593_CHR_2.jpg" TargetMode="External" Id="rId9896"/><Relationship Type="http://schemas.openxmlformats.org/officeDocument/2006/relationships/hyperlink" Target="imagenes/NAUTICA_MENS_V625593_CHR_3.jpg" TargetMode="External" Id="rId9897"/><Relationship Type="http://schemas.openxmlformats.org/officeDocument/2006/relationships/hyperlink" Target="imagenes/NAUTICA_MENS_V625593_CHR_1.jpg" TargetMode="External" Id="rId9898"/><Relationship Type="http://schemas.openxmlformats.org/officeDocument/2006/relationships/hyperlink" Target="imagenes/NAUTICA_MENS_V625593_CHR_2.jpg" TargetMode="External" Id="rId9899"/><Relationship Type="http://schemas.openxmlformats.org/officeDocument/2006/relationships/hyperlink" Target="imagenes/NAUTICA_MENS_V625593_CHR_3.jpg" TargetMode="External" Id="rId9900"/><Relationship Type="http://schemas.openxmlformats.org/officeDocument/2006/relationships/hyperlink" Target="imagenes/NAUTICA_MENS_V625598_CHR_1.jpg" TargetMode="External" Id="rId9901"/><Relationship Type="http://schemas.openxmlformats.org/officeDocument/2006/relationships/hyperlink" Target="imagenes/NAUTICA_MENS_V625598_CHR_2.jpg" TargetMode="External" Id="rId9902"/><Relationship Type="http://schemas.openxmlformats.org/officeDocument/2006/relationships/hyperlink" Target="imagenes/NAUTICA_MENS_V625598_CHR_3.jpg" TargetMode="External" Id="rId9903"/><Relationship Type="http://schemas.openxmlformats.org/officeDocument/2006/relationships/hyperlink" Target="imagenes/NAUTICA_MENS_V625598_CHR_1.jpg" TargetMode="External" Id="rId9904"/><Relationship Type="http://schemas.openxmlformats.org/officeDocument/2006/relationships/hyperlink" Target="imagenes/NAUTICA_MENS_V625598_CHR_2.jpg" TargetMode="External" Id="rId9905"/><Relationship Type="http://schemas.openxmlformats.org/officeDocument/2006/relationships/hyperlink" Target="imagenes/NAUTICA_MENS_V625598_CHR_3.jpg" TargetMode="External" Id="rId9906"/><Relationship Type="http://schemas.openxmlformats.org/officeDocument/2006/relationships/hyperlink" Target="imagenes/NAUTICA_MENS_V625598_CHR_1.jpg" TargetMode="External" Id="rId9907"/><Relationship Type="http://schemas.openxmlformats.org/officeDocument/2006/relationships/hyperlink" Target="imagenes/NAUTICA_MENS_V625598_CHR_2.jpg" TargetMode="External" Id="rId9908"/><Relationship Type="http://schemas.openxmlformats.org/officeDocument/2006/relationships/hyperlink" Target="imagenes/NAUTICA_MENS_V625598_CHR_3.jpg" TargetMode="External" Id="rId9909"/><Relationship Type="http://schemas.openxmlformats.org/officeDocument/2006/relationships/hyperlink" Target="imagenes/NAUTICA_MENS_V625598_CHR_1.jpg" TargetMode="External" Id="rId9910"/><Relationship Type="http://schemas.openxmlformats.org/officeDocument/2006/relationships/hyperlink" Target="imagenes/NAUTICA_MENS_V625598_CHR_2.jpg" TargetMode="External" Id="rId9911"/><Relationship Type="http://schemas.openxmlformats.org/officeDocument/2006/relationships/hyperlink" Target="imagenes/NAUTICA_MENS_V625598_CHR_3.jpg" TargetMode="External" Id="rId9912"/><Relationship Type="http://schemas.openxmlformats.org/officeDocument/2006/relationships/hyperlink" Target="imagenes/NAUTICA_MENS_V625598_DNY_1.jpg" TargetMode="External" Id="rId9913"/><Relationship Type="http://schemas.openxmlformats.org/officeDocument/2006/relationships/hyperlink" Target="imagenes/NAUTICA_MENS_V625598_DNY_2.jpg" TargetMode="External" Id="rId9914"/><Relationship Type="http://schemas.openxmlformats.org/officeDocument/2006/relationships/hyperlink" Target="imagenes/NAUTICA_MENS_V625598_DNY_3.jpg" TargetMode="External" Id="rId9915"/><Relationship Type="http://schemas.openxmlformats.org/officeDocument/2006/relationships/hyperlink" Target="imagenes/NAUTICA_MENS_V625598_DNY_1.jpg" TargetMode="External" Id="rId9916"/><Relationship Type="http://schemas.openxmlformats.org/officeDocument/2006/relationships/hyperlink" Target="imagenes/NAUTICA_MENS_V625598_DNY_2.jpg" TargetMode="External" Id="rId9917"/><Relationship Type="http://schemas.openxmlformats.org/officeDocument/2006/relationships/hyperlink" Target="imagenes/NAUTICA_MENS_V625598_DNY_3.jpg" TargetMode="External" Id="rId9918"/><Relationship Type="http://schemas.openxmlformats.org/officeDocument/2006/relationships/hyperlink" Target="imagenes/NAUTICA_MENS_V625598_DNY_1.jpg" TargetMode="External" Id="rId9919"/><Relationship Type="http://schemas.openxmlformats.org/officeDocument/2006/relationships/hyperlink" Target="imagenes/NAUTICA_MENS_V625598_DNY_2.jpg" TargetMode="External" Id="rId9920"/><Relationship Type="http://schemas.openxmlformats.org/officeDocument/2006/relationships/hyperlink" Target="imagenes/NAUTICA_MENS_V625598_DNY_3.jpg" TargetMode="External" Id="rId9921"/><Relationship Type="http://schemas.openxmlformats.org/officeDocument/2006/relationships/hyperlink" Target="imagenes/NAUTICA_MENS_V625598_DNY_1.jpg" TargetMode="External" Id="rId9922"/><Relationship Type="http://schemas.openxmlformats.org/officeDocument/2006/relationships/hyperlink" Target="imagenes/NAUTICA_MENS_V625598_DNY_2.jpg" TargetMode="External" Id="rId9923"/><Relationship Type="http://schemas.openxmlformats.org/officeDocument/2006/relationships/hyperlink" Target="imagenes/NAUTICA_MENS_V625598_DNY_3.jpg" TargetMode="External" Id="rId9924"/><Relationship Type="http://schemas.openxmlformats.org/officeDocument/2006/relationships/hyperlink" Target="imagenes/NAUTICA_MENS_V625598_DNY_1.jpg" TargetMode="External" Id="rId9925"/><Relationship Type="http://schemas.openxmlformats.org/officeDocument/2006/relationships/hyperlink" Target="imagenes/NAUTICA_MENS_V625598_DNY_2.jpg" TargetMode="External" Id="rId9926"/><Relationship Type="http://schemas.openxmlformats.org/officeDocument/2006/relationships/hyperlink" Target="imagenes/NAUTICA_MENS_V625598_DNY_3.jpg" TargetMode="External" Id="rId9927"/><Relationship Type="http://schemas.openxmlformats.org/officeDocument/2006/relationships/hyperlink" Target="imagenes/NAUTICA_MENS_V630185K_BLK_1.jpg" TargetMode="External" Id="rId9928"/><Relationship Type="http://schemas.openxmlformats.org/officeDocument/2006/relationships/hyperlink" Target="imagenes/NAUTICA_MENS_V630185K_BLK_2.jpg" TargetMode="External" Id="rId9929"/><Relationship Type="http://schemas.openxmlformats.org/officeDocument/2006/relationships/hyperlink" Target="imagenes/NAUTICA_MENS_V630185K_BLK_3.jpg" TargetMode="External" Id="rId9930"/><Relationship Type="http://schemas.openxmlformats.org/officeDocument/2006/relationships/hyperlink" Target="imagenes/NAUTICA_MENS_V630185K_BLK_1.jpg" TargetMode="External" Id="rId9931"/><Relationship Type="http://schemas.openxmlformats.org/officeDocument/2006/relationships/hyperlink" Target="imagenes/NAUTICA_MENS_V630185K_BLK_2.jpg" TargetMode="External" Id="rId9932"/><Relationship Type="http://schemas.openxmlformats.org/officeDocument/2006/relationships/hyperlink" Target="imagenes/NAUTICA_MENS_V630185K_BLK_3.jpg" TargetMode="External" Id="rId9933"/><Relationship Type="http://schemas.openxmlformats.org/officeDocument/2006/relationships/hyperlink" Target="imagenes/NAUTICA_MENS_V630185K_BLK_1.jpg" TargetMode="External" Id="rId9934"/><Relationship Type="http://schemas.openxmlformats.org/officeDocument/2006/relationships/hyperlink" Target="imagenes/NAUTICA_MENS_V630185K_BLK_2.jpg" TargetMode="External" Id="rId9935"/><Relationship Type="http://schemas.openxmlformats.org/officeDocument/2006/relationships/hyperlink" Target="imagenes/NAUTICA_MENS_V630185K_BLK_3.jpg" TargetMode="External" Id="rId9936"/><Relationship Type="http://schemas.openxmlformats.org/officeDocument/2006/relationships/hyperlink" Target="imagenes/NAUTICA_MENS_V632744_BBY_1.jpg" TargetMode="External" Id="rId9937"/><Relationship Type="http://schemas.openxmlformats.org/officeDocument/2006/relationships/hyperlink" Target="imagenes/NAUTICA_MENS_V632744_BBY_2.jpg" TargetMode="External" Id="rId9938"/><Relationship Type="http://schemas.openxmlformats.org/officeDocument/2006/relationships/hyperlink" Target="imagenes/NAUTICA_MENS_V632744_BBY_3.jpg" TargetMode="External" Id="rId9939"/><Relationship Type="http://schemas.openxmlformats.org/officeDocument/2006/relationships/hyperlink" Target="imagenes/NAUTICA_MENS_V632744_BBY_1.jpg" TargetMode="External" Id="rId9940"/><Relationship Type="http://schemas.openxmlformats.org/officeDocument/2006/relationships/hyperlink" Target="imagenes/NAUTICA_MENS_V632744_BBY_2.jpg" TargetMode="External" Id="rId9941"/><Relationship Type="http://schemas.openxmlformats.org/officeDocument/2006/relationships/hyperlink" Target="imagenes/NAUTICA_MENS_V632744_BBY_3.jpg" TargetMode="External" Id="rId9942"/><Relationship Type="http://schemas.openxmlformats.org/officeDocument/2006/relationships/hyperlink" Target="imagenes/NAUTICA_MENS_V632744_BBY_1.jpg" TargetMode="External" Id="rId9943"/><Relationship Type="http://schemas.openxmlformats.org/officeDocument/2006/relationships/hyperlink" Target="imagenes/NAUTICA_MENS_V632744_BBY_2.jpg" TargetMode="External" Id="rId9944"/><Relationship Type="http://schemas.openxmlformats.org/officeDocument/2006/relationships/hyperlink" Target="imagenes/NAUTICA_MENS_V632744_BBY_3.jpg" TargetMode="External" Id="rId9945"/><Relationship Type="http://schemas.openxmlformats.org/officeDocument/2006/relationships/hyperlink" Target="imagenes/NAUTICA_MENS_V632744_BBY_1.jpg" TargetMode="External" Id="rId9946"/><Relationship Type="http://schemas.openxmlformats.org/officeDocument/2006/relationships/hyperlink" Target="imagenes/NAUTICA_MENS_V632744_BBY_2.jpg" TargetMode="External" Id="rId9947"/><Relationship Type="http://schemas.openxmlformats.org/officeDocument/2006/relationships/hyperlink" Target="imagenes/NAUTICA_MENS_V632744_BBY_3.jpg" TargetMode="External" Id="rId9948"/><Relationship Type="http://schemas.openxmlformats.org/officeDocument/2006/relationships/hyperlink" Target="imagenes/NAUTICA_MENS_V632744_NRD_1.jpg" TargetMode="External" Id="rId9949"/><Relationship Type="http://schemas.openxmlformats.org/officeDocument/2006/relationships/hyperlink" Target="imagenes/NAUTICA_MENS_V632744_NRD_2.jpg" TargetMode="External" Id="rId9950"/><Relationship Type="http://schemas.openxmlformats.org/officeDocument/2006/relationships/hyperlink" Target="imagenes/NAUTICA_MENS_V632744_NRD_3.jpg" TargetMode="External" Id="rId9951"/><Relationship Type="http://schemas.openxmlformats.org/officeDocument/2006/relationships/hyperlink" Target="imagenes/NAUTICA_MENS_V632744_NRD_1.jpg" TargetMode="External" Id="rId9952"/><Relationship Type="http://schemas.openxmlformats.org/officeDocument/2006/relationships/hyperlink" Target="imagenes/NAUTICA_MENS_V632744_NRD_2.jpg" TargetMode="External" Id="rId9953"/><Relationship Type="http://schemas.openxmlformats.org/officeDocument/2006/relationships/hyperlink" Target="imagenes/NAUTICA_MENS_V632744_NRD_3.jpg" TargetMode="External" Id="rId9954"/><Relationship Type="http://schemas.openxmlformats.org/officeDocument/2006/relationships/hyperlink" Target="imagenes/NAUTICA_MENS_V632744_NRD_1.jpg" TargetMode="External" Id="rId9955"/><Relationship Type="http://schemas.openxmlformats.org/officeDocument/2006/relationships/hyperlink" Target="imagenes/NAUTICA_MENS_V632744_NRD_2.jpg" TargetMode="External" Id="rId9956"/><Relationship Type="http://schemas.openxmlformats.org/officeDocument/2006/relationships/hyperlink" Target="imagenes/NAUTICA_MENS_V632744_NRD_3.jpg" TargetMode="External" Id="rId9957"/><Relationship Type="http://schemas.openxmlformats.org/officeDocument/2006/relationships/hyperlink" Target="imagenes/NAUTICA_MENS_V632744_NRD_1.jpg" TargetMode="External" Id="rId9958"/><Relationship Type="http://schemas.openxmlformats.org/officeDocument/2006/relationships/hyperlink" Target="imagenes/NAUTICA_MENS_V632744_NRD_2.jpg" TargetMode="External" Id="rId9959"/><Relationship Type="http://schemas.openxmlformats.org/officeDocument/2006/relationships/hyperlink" Target="imagenes/NAUTICA_MENS_V632744_NRD_3.jpg" TargetMode="External" Id="rId9960"/><Relationship Type="http://schemas.openxmlformats.org/officeDocument/2006/relationships/hyperlink" Target="imagenes/NAUTICA_MENS_V632744_NRD_1.jpg" TargetMode="External" Id="rId9961"/><Relationship Type="http://schemas.openxmlformats.org/officeDocument/2006/relationships/hyperlink" Target="imagenes/NAUTICA_MENS_V632744_NRD_2.jpg" TargetMode="External" Id="rId9962"/><Relationship Type="http://schemas.openxmlformats.org/officeDocument/2006/relationships/hyperlink" Target="imagenes/NAUTICA_MENS_V632744_NRD_3.jpg" TargetMode="External" Id="rId9963"/><Relationship Type="http://schemas.openxmlformats.org/officeDocument/2006/relationships/hyperlink" Target="imagenes/NAUTICA_MENS_V632744_NRD_1.jpg" TargetMode="External" Id="rId9964"/><Relationship Type="http://schemas.openxmlformats.org/officeDocument/2006/relationships/hyperlink" Target="imagenes/NAUTICA_MENS_V632744_NRD_2.jpg" TargetMode="External" Id="rId9965"/><Relationship Type="http://schemas.openxmlformats.org/officeDocument/2006/relationships/hyperlink" Target="imagenes/NAUTICA_MENS_V632744_NRD_3.jpg" TargetMode="External" Id="rId9966"/><Relationship Type="http://schemas.openxmlformats.org/officeDocument/2006/relationships/hyperlink" Target="imagenes/NAUTICA_MENS_V632744_NRD_1.jpg" TargetMode="External" Id="rId9967"/><Relationship Type="http://schemas.openxmlformats.org/officeDocument/2006/relationships/hyperlink" Target="imagenes/NAUTICA_MENS_V632744_NRD_2.jpg" TargetMode="External" Id="rId9968"/><Relationship Type="http://schemas.openxmlformats.org/officeDocument/2006/relationships/hyperlink" Target="imagenes/NAUTICA_MENS_V632744_NRD_3.jpg" TargetMode="External" Id="rId9969"/><Relationship Type="http://schemas.openxmlformats.org/officeDocument/2006/relationships/hyperlink" Target="imagenes/NAUTICA_MENS_V632744_NVY_1.jpg" TargetMode="External" Id="rId9970"/><Relationship Type="http://schemas.openxmlformats.org/officeDocument/2006/relationships/hyperlink" Target="imagenes/NAUTICA_MENS_V632744_NVY_2.jpg" TargetMode="External" Id="rId9971"/><Relationship Type="http://schemas.openxmlformats.org/officeDocument/2006/relationships/hyperlink" Target="imagenes/NAUTICA_MENS_V632744_NVY_3.jpg" TargetMode="External" Id="rId9972"/><Relationship Type="http://schemas.openxmlformats.org/officeDocument/2006/relationships/hyperlink" Target="imagenes/NAUTICA_MENS_V632744_SCM_1.jpg" TargetMode="External" Id="rId9973"/><Relationship Type="http://schemas.openxmlformats.org/officeDocument/2006/relationships/hyperlink" Target="imagenes/NAUTICA_MENS_V632744_SCM_2.jpg" TargetMode="External" Id="rId9974"/><Relationship Type="http://schemas.openxmlformats.org/officeDocument/2006/relationships/hyperlink" Target="imagenes/NAUTICA_MENS_V632744_SCM_3.jpg" TargetMode="External" Id="rId9975"/><Relationship Type="http://schemas.openxmlformats.org/officeDocument/2006/relationships/hyperlink" Target="imagenes/NAUTICA_MENS_V632744_SCM_1.jpg" TargetMode="External" Id="rId9976"/><Relationship Type="http://schemas.openxmlformats.org/officeDocument/2006/relationships/hyperlink" Target="imagenes/NAUTICA_MENS_V632744_SCM_2.jpg" TargetMode="External" Id="rId9977"/><Relationship Type="http://schemas.openxmlformats.org/officeDocument/2006/relationships/hyperlink" Target="imagenes/NAUTICA_MENS_V632744_SCM_3.jpg" TargetMode="External" Id="rId9978"/><Relationship Type="http://schemas.openxmlformats.org/officeDocument/2006/relationships/hyperlink" Target="imagenes/NAUTICA_MENS_V632744_SCM_1.jpg" TargetMode="External" Id="rId9979"/><Relationship Type="http://schemas.openxmlformats.org/officeDocument/2006/relationships/hyperlink" Target="imagenes/NAUTICA_MENS_V632744_SCM_2.jpg" TargetMode="External" Id="rId9980"/><Relationship Type="http://schemas.openxmlformats.org/officeDocument/2006/relationships/hyperlink" Target="imagenes/NAUTICA_MENS_V632744_SCM_3.jpg" TargetMode="External" Id="rId9981"/><Relationship Type="http://schemas.openxmlformats.org/officeDocument/2006/relationships/hyperlink" Target="imagenes/NAUTICA_MENS_V635548_BLK_1.jpg" TargetMode="External" Id="rId9982"/><Relationship Type="http://schemas.openxmlformats.org/officeDocument/2006/relationships/hyperlink" Target="imagenes/NAUTICA_MENS_V635548_BLK_2.jpg" TargetMode="External" Id="rId9983"/><Relationship Type="http://schemas.openxmlformats.org/officeDocument/2006/relationships/hyperlink" Target="imagenes/NAUTICA_MENS_V635548_BLK_3.jpg" TargetMode="External" Id="rId9984"/><Relationship Type="http://schemas.openxmlformats.org/officeDocument/2006/relationships/hyperlink" Target="imagenes/NAUTICA_MENS_V635548_BLK_1.jpg" TargetMode="External" Id="rId9985"/><Relationship Type="http://schemas.openxmlformats.org/officeDocument/2006/relationships/hyperlink" Target="imagenes/NAUTICA_MENS_V635548_BLK_2.jpg" TargetMode="External" Id="rId9986"/><Relationship Type="http://schemas.openxmlformats.org/officeDocument/2006/relationships/hyperlink" Target="imagenes/NAUTICA_MENS_V635548_BLK_3.jpg" TargetMode="External" Id="rId9987"/><Relationship Type="http://schemas.openxmlformats.org/officeDocument/2006/relationships/hyperlink" Target="imagenes/NAUTICA_MENS_V635548_BLK_1.jpg" TargetMode="External" Id="rId9988"/><Relationship Type="http://schemas.openxmlformats.org/officeDocument/2006/relationships/hyperlink" Target="imagenes/NAUTICA_MENS_V635548_BLK_2.jpg" TargetMode="External" Id="rId9989"/><Relationship Type="http://schemas.openxmlformats.org/officeDocument/2006/relationships/hyperlink" Target="imagenes/NAUTICA_MENS_V635548_BLK_3.jpg" TargetMode="External" Id="rId9990"/><Relationship Type="http://schemas.openxmlformats.org/officeDocument/2006/relationships/hyperlink" Target="imagenes/NAUTICA_MENS_V635548_BLK_1.jpg" TargetMode="External" Id="rId9991"/><Relationship Type="http://schemas.openxmlformats.org/officeDocument/2006/relationships/hyperlink" Target="imagenes/NAUTICA_MENS_V635548_BLK_2.jpg" TargetMode="External" Id="rId9992"/><Relationship Type="http://schemas.openxmlformats.org/officeDocument/2006/relationships/hyperlink" Target="imagenes/NAUTICA_MENS_V635548_BLK_3.jpg" TargetMode="External" Id="rId9993"/><Relationship Type="http://schemas.openxmlformats.org/officeDocument/2006/relationships/hyperlink" Target="imagenes/NAUTICA_MENS_V635548_BLK_1.jpg" TargetMode="External" Id="rId9994"/><Relationship Type="http://schemas.openxmlformats.org/officeDocument/2006/relationships/hyperlink" Target="imagenes/NAUTICA_MENS_V635548_BLK_2.jpg" TargetMode="External" Id="rId9995"/><Relationship Type="http://schemas.openxmlformats.org/officeDocument/2006/relationships/hyperlink" Target="imagenes/NAUTICA_MENS_V635548_BLK_3.jpg" TargetMode="External" Id="rId9996"/><Relationship Type="http://schemas.openxmlformats.org/officeDocument/2006/relationships/hyperlink" Target="imagenes/NAUTICA_MENS_V635548_BLK_1.jpg" TargetMode="External" Id="rId9997"/><Relationship Type="http://schemas.openxmlformats.org/officeDocument/2006/relationships/hyperlink" Target="imagenes/NAUTICA_MENS_V635548_BLK_2.jpg" TargetMode="External" Id="rId9998"/><Relationship Type="http://schemas.openxmlformats.org/officeDocument/2006/relationships/hyperlink" Target="imagenes/NAUTICA_MENS_V635548_BLK_3.jpg" TargetMode="External" Id="rId9999"/><Relationship Type="http://schemas.openxmlformats.org/officeDocument/2006/relationships/hyperlink" Target="imagenes/NAUTICA_MENS_V635548_CHR_1.jpg" TargetMode="External" Id="rId10000"/><Relationship Type="http://schemas.openxmlformats.org/officeDocument/2006/relationships/hyperlink" Target="imagenes/NAUTICA_MENS_V635548_CHR_2.jpg" TargetMode="External" Id="rId10001"/><Relationship Type="http://schemas.openxmlformats.org/officeDocument/2006/relationships/hyperlink" Target="imagenes/NAUTICA_MENS_V635548_CHR_3.jpg" TargetMode="External" Id="rId10002"/><Relationship Type="http://schemas.openxmlformats.org/officeDocument/2006/relationships/hyperlink" Target="imagenes/NAUTICA_MENS_V635548_CHR_1.jpg" TargetMode="External" Id="rId10003"/><Relationship Type="http://schemas.openxmlformats.org/officeDocument/2006/relationships/hyperlink" Target="imagenes/NAUTICA_MENS_V635548_CHR_2.jpg" TargetMode="External" Id="rId10004"/><Relationship Type="http://schemas.openxmlformats.org/officeDocument/2006/relationships/hyperlink" Target="imagenes/NAUTICA_MENS_V635548_CHR_3.jpg" TargetMode="External" Id="rId10005"/><Relationship Type="http://schemas.openxmlformats.org/officeDocument/2006/relationships/hyperlink" Target="imagenes/NAUTICA_MENS_V635548_CHR_1.jpg" TargetMode="External" Id="rId10006"/><Relationship Type="http://schemas.openxmlformats.org/officeDocument/2006/relationships/hyperlink" Target="imagenes/NAUTICA_MENS_V635548_CHR_2.jpg" TargetMode="External" Id="rId10007"/><Relationship Type="http://schemas.openxmlformats.org/officeDocument/2006/relationships/hyperlink" Target="imagenes/NAUTICA_MENS_V635548_CHR_3.jpg" TargetMode="External" Id="rId10008"/><Relationship Type="http://schemas.openxmlformats.org/officeDocument/2006/relationships/hyperlink" Target="imagenes/NAUTICA_MENS_V635548_CHR_1.jpg" TargetMode="External" Id="rId10009"/><Relationship Type="http://schemas.openxmlformats.org/officeDocument/2006/relationships/hyperlink" Target="imagenes/NAUTICA_MENS_V635548_CHR_2.jpg" TargetMode="External" Id="rId10010"/><Relationship Type="http://schemas.openxmlformats.org/officeDocument/2006/relationships/hyperlink" Target="imagenes/NAUTICA_MENS_V635548_CHR_3.jpg" TargetMode="External" Id="rId10011"/><Relationship Type="http://schemas.openxmlformats.org/officeDocument/2006/relationships/hyperlink" Target="imagenes/NAUTICA_MENS_V635548_CHR_1.jpg" TargetMode="External" Id="rId10012"/><Relationship Type="http://schemas.openxmlformats.org/officeDocument/2006/relationships/hyperlink" Target="imagenes/NAUTICA_MENS_V635548_CHR_2.jpg" TargetMode="External" Id="rId10013"/><Relationship Type="http://schemas.openxmlformats.org/officeDocument/2006/relationships/hyperlink" Target="imagenes/NAUTICA_MENS_V635548_CHR_3.jpg" TargetMode="External" Id="rId10014"/><Relationship Type="http://schemas.openxmlformats.org/officeDocument/2006/relationships/hyperlink" Target="imagenes/NAUTICA_MENS_V635548_DNY_1.jpg" TargetMode="External" Id="rId10015"/><Relationship Type="http://schemas.openxmlformats.org/officeDocument/2006/relationships/hyperlink" Target="imagenes/NAUTICA_MENS_V635548_DNY_2.jpg" TargetMode="External" Id="rId10016"/><Relationship Type="http://schemas.openxmlformats.org/officeDocument/2006/relationships/hyperlink" Target="imagenes/NAUTICA_MENS_V635548_DNY_3.jpg" TargetMode="External" Id="rId10017"/><Relationship Type="http://schemas.openxmlformats.org/officeDocument/2006/relationships/hyperlink" Target="imagenes/NAUTICA_MENS_V635548_DNY_1.jpg" TargetMode="External" Id="rId10018"/><Relationship Type="http://schemas.openxmlformats.org/officeDocument/2006/relationships/hyperlink" Target="imagenes/NAUTICA_MENS_V635548_DNY_2.jpg" TargetMode="External" Id="rId10019"/><Relationship Type="http://schemas.openxmlformats.org/officeDocument/2006/relationships/hyperlink" Target="imagenes/NAUTICA_MENS_V635548_DNY_3.jpg" TargetMode="External" Id="rId10020"/><Relationship Type="http://schemas.openxmlformats.org/officeDocument/2006/relationships/hyperlink" Target="imagenes/NAUTICA_MENS_V635548_DNY_1.jpg" TargetMode="External" Id="rId10021"/><Relationship Type="http://schemas.openxmlformats.org/officeDocument/2006/relationships/hyperlink" Target="imagenes/NAUTICA_MENS_V635548_DNY_2.jpg" TargetMode="External" Id="rId10022"/><Relationship Type="http://schemas.openxmlformats.org/officeDocument/2006/relationships/hyperlink" Target="imagenes/NAUTICA_MENS_V635548_DNY_3.jpg" TargetMode="External" Id="rId10023"/><Relationship Type="http://schemas.openxmlformats.org/officeDocument/2006/relationships/hyperlink" Target="imagenes/NAUTICA_MENS_V635548_DNY_1.jpg" TargetMode="External" Id="rId10024"/><Relationship Type="http://schemas.openxmlformats.org/officeDocument/2006/relationships/hyperlink" Target="imagenes/NAUTICA_MENS_V635548_DNY_2.jpg" TargetMode="External" Id="rId10025"/><Relationship Type="http://schemas.openxmlformats.org/officeDocument/2006/relationships/hyperlink" Target="imagenes/NAUTICA_MENS_V635548_DNY_3.jpg" TargetMode="External" Id="rId10026"/><Relationship Type="http://schemas.openxmlformats.org/officeDocument/2006/relationships/hyperlink" Target="imagenes/NAUTICA_MENS_V635548_DNY_1.jpg" TargetMode="External" Id="rId10027"/><Relationship Type="http://schemas.openxmlformats.org/officeDocument/2006/relationships/hyperlink" Target="imagenes/NAUTICA_MENS_V635548_DNY_2.jpg" TargetMode="External" Id="rId10028"/><Relationship Type="http://schemas.openxmlformats.org/officeDocument/2006/relationships/hyperlink" Target="imagenes/NAUTICA_MENS_V635548_DNY_3.jpg" TargetMode="External" Id="rId10029"/><Relationship Type="http://schemas.openxmlformats.org/officeDocument/2006/relationships/hyperlink" Target="imagenes/NAUTICA_MENS_V640359_BLK_1.jpg" TargetMode="External" Id="rId10030"/><Relationship Type="http://schemas.openxmlformats.org/officeDocument/2006/relationships/hyperlink" Target="imagenes/NAUTICA_MENS_V640359_BLK_2.jpg" TargetMode="External" Id="rId10031"/><Relationship Type="http://schemas.openxmlformats.org/officeDocument/2006/relationships/hyperlink" Target="imagenes/NAUTICA_MENS_V640359_BLK_3.jpg" TargetMode="External" Id="rId10032"/><Relationship Type="http://schemas.openxmlformats.org/officeDocument/2006/relationships/hyperlink" Target="imagenes/NAUTICA_MENS_V640359_NVY_1.jpg" TargetMode="External" Id="rId10033"/><Relationship Type="http://schemas.openxmlformats.org/officeDocument/2006/relationships/hyperlink" Target="imagenes/NAUTICA_MENS_V640359_NVY_2.jpg" TargetMode="External" Id="rId10034"/><Relationship Type="http://schemas.openxmlformats.org/officeDocument/2006/relationships/hyperlink" Target="imagenes/NAUTICA_MENS_V640359_NVY_3.jpg" TargetMode="External" Id="rId10035"/><Relationship Type="http://schemas.openxmlformats.org/officeDocument/2006/relationships/hyperlink" Target="imagenes/NAUTICA_MENS_V640359_NVY_1.jpg" TargetMode="External" Id="rId10036"/><Relationship Type="http://schemas.openxmlformats.org/officeDocument/2006/relationships/hyperlink" Target="imagenes/NAUTICA_MENS_V640359_NVY_2.jpg" TargetMode="External" Id="rId10037"/><Relationship Type="http://schemas.openxmlformats.org/officeDocument/2006/relationships/hyperlink" Target="imagenes/NAUTICA_MENS_V640359_NVY_3.jpg" TargetMode="External" Id="rId10038"/><Relationship Type="http://schemas.openxmlformats.org/officeDocument/2006/relationships/hyperlink" Target="imagenes/NAUTICA_MENS_V641633_BLK_1.jpg" TargetMode="External" Id="rId10039"/><Relationship Type="http://schemas.openxmlformats.org/officeDocument/2006/relationships/hyperlink" Target="imagenes/NAUTICA_MENS_V641633_BLK_2.jpg" TargetMode="External" Id="rId10040"/><Relationship Type="http://schemas.openxmlformats.org/officeDocument/2006/relationships/hyperlink" Target="imagenes/NAUTICA_MENS_V641633_BLK_3.jpg" TargetMode="External" Id="rId10041"/><Relationship Type="http://schemas.openxmlformats.org/officeDocument/2006/relationships/hyperlink" Target="imagenes/NAUTICA_MENS_V641633_BLK_1.jpg" TargetMode="External" Id="rId10042"/><Relationship Type="http://schemas.openxmlformats.org/officeDocument/2006/relationships/hyperlink" Target="imagenes/NAUTICA_MENS_V641633_BLK_2.jpg" TargetMode="External" Id="rId10043"/><Relationship Type="http://schemas.openxmlformats.org/officeDocument/2006/relationships/hyperlink" Target="imagenes/NAUTICA_MENS_V641633_BLK_3.jpg" TargetMode="External" Id="rId10044"/><Relationship Type="http://schemas.openxmlformats.org/officeDocument/2006/relationships/hyperlink" Target="imagenes/NAUTICA_MENS_V641633_BLK_1.jpg" TargetMode="External" Id="rId10045"/><Relationship Type="http://schemas.openxmlformats.org/officeDocument/2006/relationships/hyperlink" Target="imagenes/NAUTICA_MENS_V641633_BLK_2.jpg" TargetMode="External" Id="rId10046"/><Relationship Type="http://schemas.openxmlformats.org/officeDocument/2006/relationships/hyperlink" Target="imagenes/NAUTICA_MENS_V641633_BLK_3.jpg" TargetMode="External" Id="rId10047"/><Relationship Type="http://schemas.openxmlformats.org/officeDocument/2006/relationships/hyperlink" Target="imagenes/NAUTICA_MENS_V641633_BLK_1.jpg" TargetMode="External" Id="rId10048"/><Relationship Type="http://schemas.openxmlformats.org/officeDocument/2006/relationships/hyperlink" Target="imagenes/NAUTICA_MENS_V641633_BLK_2.jpg" TargetMode="External" Id="rId10049"/><Relationship Type="http://schemas.openxmlformats.org/officeDocument/2006/relationships/hyperlink" Target="imagenes/NAUTICA_MENS_V641633_BLK_3.jpg" TargetMode="External" Id="rId10050"/><Relationship Type="http://schemas.openxmlformats.org/officeDocument/2006/relationships/hyperlink" Target="imagenes/NAUTICA_MENS_V642744_BBY_1.jpg" TargetMode="External" Id="rId10051"/><Relationship Type="http://schemas.openxmlformats.org/officeDocument/2006/relationships/hyperlink" Target="imagenes/NAUTICA_MENS_V642744_BBY_2.jpg" TargetMode="External" Id="rId10052"/><Relationship Type="http://schemas.openxmlformats.org/officeDocument/2006/relationships/hyperlink" Target="imagenes/NAUTICA_MENS_V642744_BBY_3.jpg" TargetMode="External" Id="rId10053"/><Relationship Type="http://schemas.openxmlformats.org/officeDocument/2006/relationships/hyperlink" Target="imagenes/NAUTICA_MENS_V642744_BBY_1.jpg" TargetMode="External" Id="rId10054"/><Relationship Type="http://schemas.openxmlformats.org/officeDocument/2006/relationships/hyperlink" Target="imagenes/NAUTICA_MENS_V642744_BBY_2.jpg" TargetMode="External" Id="rId10055"/><Relationship Type="http://schemas.openxmlformats.org/officeDocument/2006/relationships/hyperlink" Target="imagenes/NAUTICA_MENS_V642744_BBY_3.jpg" TargetMode="External" Id="rId10056"/><Relationship Type="http://schemas.openxmlformats.org/officeDocument/2006/relationships/hyperlink" Target="imagenes/NAUTICA_MENS_V642744_BBY_1.jpg" TargetMode="External" Id="rId10057"/><Relationship Type="http://schemas.openxmlformats.org/officeDocument/2006/relationships/hyperlink" Target="imagenes/NAUTICA_MENS_V642744_BBY_2.jpg" TargetMode="External" Id="rId10058"/><Relationship Type="http://schemas.openxmlformats.org/officeDocument/2006/relationships/hyperlink" Target="imagenes/NAUTICA_MENS_V642744_BBY_3.jpg" TargetMode="External" Id="rId10059"/><Relationship Type="http://schemas.openxmlformats.org/officeDocument/2006/relationships/hyperlink" Target="imagenes/NAUTICA_MENS_V642744_BBY_1.jpg" TargetMode="External" Id="rId10060"/><Relationship Type="http://schemas.openxmlformats.org/officeDocument/2006/relationships/hyperlink" Target="imagenes/NAUTICA_MENS_V642744_BBY_2.jpg" TargetMode="External" Id="rId10061"/><Relationship Type="http://schemas.openxmlformats.org/officeDocument/2006/relationships/hyperlink" Target="imagenes/NAUTICA_MENS_V642744_BBY_3.jpg" TargetMode="External" Id="rId10062"/><Relationship Type="http://schemas.openxmlformats.org/officeDocument/2006/relationships/hyperlink" Target="imagenes/NAUTICA_MENS_V642744_BBY_1.jpg" TargetMode="External" Id="rId10063"/><Relationship Type="http://schemas.openxmlformats.org/officeDocument/2006/relationships/hyperlink" Target="imagenes/NAUTICA_MENS_V642744_BBY_2.jpg" TargetMode="External" Id="rId10064"/><Relationship Type="http://schemas.openxmlformats.org/officeDocument/2006/relationships/hyperlink" Target="imagenes/NAUTICA_MENS_V642744_BBY_3.jpg" TargetMode="External" Id="rId10065"/><Relationship Type="http://schemas.openxmlformats.org/officeDocument/2006/relationships/hyperlink" Target="imagenes/NAUTICA_MENS_V642744_BBY_1.jpg" TargetMode="External" Id="rId10066"/><Relationship Type="http://schemas.openxmlformats.org/officeDocument/2006/relationships/hyperlink" Target="imagenes/NAUTICA_MENS_V642744_BBY_2.jpg" TargetMode="External" Id="rId10067"/><Relationship Type="http://schemas.openxmlformats.org/officeDocument/2006/relationships/hyperlink" Target="imagenes/NAUTICA_MENS_V642744_BBY_3.jpg" TargetMode="External" Id="rId10068"/><Relationship Type="http://schemas.openxmlformats.org/officeDocument/2006/relationships/hyperlink" Target="imagenes/NAUTICA_MENS_V642744_BBY_1.jpg" TargetMode="External" Id="rId10069"/><Relationship Type="http://schemas.openxmlformats.org/officeDocument/2006/relationships/hyperlink" Target="imagenes/NAUTICA_MENS_V642744_BBY_2.jpg" TargetMode="External" Id="rId10070"/><Relationship Type="http://schemas.openxmlformats.org/officeDocument/2006/relationships/hyperlink" Target="imagenes/NAUTICA_MENS_V642744_BBY_3.jpg" TargetMode="External" Id="rId10071"/><Relationship Type="http://schemas.openxmlformats.org/officeDocument/2006/relationships/hyperlink" Target="imagenes/NAUTICA_MENS_V642744_NRD_1.jpg" TargetMode="External" Id="rId10072"/><Relationship Type="http://schemas.openxmlformats.org/officeDocument/2006/relationships/hyperlink" Target="imagenes/NAUTICA_MENS_V642744_NRD_2.jpg" TargetMode="External" Id="rId10073"/><Relationship Type="http://schemas.openxmlformats.org/officeDocument/2006/relationships/hyperlink" Target="imagenes/NAUTICA_MENS_V642744_NRD_3.jpg" TargetMode="External" Id="rId10074"/><Relationship Type="http://schemas.openxmlformats.org/officeDocument/2006/relationships/hyperlink" Target="imagenes/NAUTICA_MENS_V642744_NRD_1.jpg" TargetMode="External" Id="rId10075"/><Relationship Type="http://schemas.openxmlformats.org/officeDocument/2006/relationships/hyperlink" Target="imagenes/NAUTICA_MENS_V642744_NRD_2.jpg" TargetMode="External" Id="rId10076"/><Relationship Type="http://schemas.openxmlformats.org/officeDocument/2006/relationships/hyperlink" Target="imagenes/NAUTICA_MENS_V642744_NRD_3.jpg" TargetMode="External" Id="rId10077"/><Relationship Type="http://schemas.openxmlformats.org/officeDocument/2006/relationships/hyperlink" Target="imagenes/NAUTICA_MENS_V642744_NRD_1.jpg" TargetMode="External" Id="rId10078"/><Relationship Type="http://schemas.openxmlformats.org/officeDocument/2006/relationships/hyperlink" Target="imagenes/NAUTICA_MENS_V642744_NRD_2.jpg" TargetMode="External" Id="rId10079"/><Relationship Type="http://schemas.openxmlformats.org/officeDocument/2006/relationships/hyperlink" Target="imagenes/NAUTICA_MENS_V642744_NRD_3.jpg" TargetMode="External" Id="rId10080"/><Relationship Type="http://schemas.openxmlformats.org/officeDocument/2006/relationships/hyperlink" Target="imagenes/NAUTICA_MENS_V642744_NRD_1.jpg" TargetMode="External" Id="rId10081"/><Relationship Type="http://schemas.openxmlformats.org/officeDocument/2006/relationships/hyperlink" Target="imagenes/NAUTICA_MENS_V642744_NRD_2.jpg" TargetMode="External" Id="rId10082"/><Relationship Type="http://schemas.openxmlformats.org/officeDocument/2006/relationships/hyperlink" Target="imagenes/NAUTICA_MENS_V642744_NRD_3.jpg" TargetMode="External" Id="rId10083"/><Relationship Type="http://schemas.openxmlformats.org/officeDocument/2006/relationships/hyperlink" Target="imagenes/NAUTICA_MENS_V642744_NRD_1.jpg" TargetMode="External" Id="rId10084"/><Relationship Type="http://schemas.openxmlformats.org/officeDocument/2006/relationships/hyperlink" Target="imagenes/NAUTICA_MENS_V642744_NRD_2.jpg" TargetMode="External" Id="rId10085"/><Relationship Type="http://schemas.openxmlformats.org/officeDocument/2006/relationships/hyperlink" Target="imagenes/NAUTICA_MENS_V642744_NRD_3.jpg" TargetMode="External" Id="rId10086"/><Relationship Type="http://schemas.openxmlformats.org/officeDocument/2006/relationships/hyperlink" Target="imagenes/NAUTICA_MENS_V642744_NRD_1.jpg" TargetMode="External" Id="rId10087"/><Relationship Type="http://schemas.openxmlformats.org/officeDocument/2006/relationships/hyperlink" Target="imagenes/NAUTICA_MENS_V642744_NRD_2.jpg" TargetMode="External" Id="rId10088"/><Relationship Type="http://schemas.openxmlformats.org/officeDocument/2006/relationships/hyperlink" Target="imagenes/NAUTICA_MENS_V642744_NRD_3.jpg" TargetMode="External" Id="rId10089"/><Relationship Type="http://schemas.openxmlformats.org/officeDocument/2006/relationships/hyperlink" Target="imagenes/NAUTICA_MENS_V645548_BLK_1.jpg" TargetMode="External" Id="rId10090"/><Relationship Type="http://schemas.openxmlformats.org/officeDocument/2006/relationships/hyperlink" Target="imagenes/NAUTICA_MENS_V645548_BLK_2.jpg" TargetMode="External" Id="rId10091"/><Relationship Type="http://schemas.openxmlformats.org/officeDocument/2006/relationships/hyperlink" Target="imagenes/NAUTICA_MENS_V645548_BLK_3.jpg" TargetMode="External" Id="rId10092"/><Relationship Type="http://schemas.openxmlformats.org/officeDocument/2006/relationships/hyperlink" Target="imagenes/NAUTICA_MENS_V645548_BLK_1.jpg" TargetMode="External" Id="rId10093"/><Relationship Type="http://schemas.openxmlformats.org/officeDocument/2006/relationships/hyperlink" Target="imagenes/NAUTICA_MENS_V645548_BLK_2.jpg" TargetMode="External" Id="rId10094"/><Relationship Type="http://schemas.openxmlformats.org/officeDocument/2006/relationships/hyperlink" Target="imagenes/NAUTICA_MENS_V645548_BLK_3.jpg" TargetMode="External" Id="rId10095"/><Relationship Type="http://schemas.openxmlformats.org/officeDocument/2006/relationships/hyperlink" Target="imagenes/NAUTICA_MENS_V645548_BLK_1.jpg" TargetMode="External" Id="rId10096"/><Relationship Type="http://schemas.openxmlformats.org/officeDocument/2006/relationships/hyperlink" Target="imagenes/NAUTICA_MENS_V645548_BLK_2.jpg" TargetMode="External" Id="rId10097"/><Relationship Type="http://schemas.openxmlformats.org/officeDocument/2006/relationships/hyperlink" Target="imagenes/NAUTICA_MENS_V645548_BLK_3.jpg" TargetMode="External" Id="rId10098"/><Relationship Type="http://schemas.openxmlformats.org/officeDocument/2006/relationships/hyperlink" Target="imagenes/NAUTICA_MENS_V645548_BLK_1.jpg" TargetMode="External" Id="rId10099"/><Relationship Type="http://schemas.openxmlformats.org/officeDocument/2006/relationships/hyperlink" Target="imagenes/NAUTICA_MENS_V645548_BLK_2.jpg" TargetMode="External" Id="rId10100"/><Relationship Type="http://schemas.openxmlformats.org/officeDocument/2006/relationships/hyperlink" Target="imagenes/NAUTICA_MENS_V645548_BLK_3.jpg" TargetMode="External" Id="rId10101"/><Relationship Type="http://schemas.openxmlformats.org/officeDocument/2006/relationships/hyperlink" Target="imagenes/NAUTICA_MENS_V645548_BLK_1.jpg" TargetMode="External" Id="rId10102"/><Relationship Type="http://schemas.openxmlformats.org/officeDocument/2006/relationships/hyperlink" Target="imagenes/NAUTICA_MENS_V645548_BLK_2.jpg" TargetMode="External" Id="rId10103"/><Relationship Type="http://schemas.openxmlformats.org/officeDocument/2006/relationships/hyperlink" Target="imagenes/NAUTICA_MENS_V645548_BLK_3.jpg" TargetMode="External" Id="rId10104"/><Relationship Type="http://schemas.openxmlformats.org/officeDocument/2006/relationships/hyperlink" Target="imagenes/NAUTICA_MENS_V645548_BLK_1.jpg" TargetMode="External" Id="rId10105"/><Relationship Type="http://schemas.openxmlformats.org/officeDocument/2006/relationships/hyperlink" Target="imagenes/NAUTICA_MENS_V645548_BLK_2.jpg" TargetMode="External" Id="rId10106"/><Relationship Type="http://schemas.openxmlformats.org/officeDocument/2006/relationships/hyperlink" Target="imagenes/NAUTICA_MENS_V645548_BLK_3.jpg" TargetMode="External" Id="rId10107"/><Relationship Type="http://schemas.openxmlformats.org/officeDocument/2006/relationships/hyperlink" Target="imagenes/NAUTICA_MENS_V645548_CHR_1.jpg" TargetMode="External" Id="rId10108"/><Relationship Type="http://schemas.openxmlformats.org/officeDocument/2006/relationships/hyperlink" Target="imagenes/NAUTICA_MENS_V645548_CHR_2.jpg" TargetMode="External" Id="rId10109"/><Relationship Type="http://schemas.openxmlformats.org/officeDocument/2006/relationships/hyperlink" Target="imagenes/NAUTICA_MENS_V645548_CHR_3.jpg" TargetMode="External" Id="rId10110"/><Relationship Type="http://schemas.openxmlformats.org/officeDocument/2006/relationships/hyperlink" Target="imagenes/NAUTICA_MENS_V645548_CHR_1.jpg" TargetMode="External" Id="rId10111"/><Relationship Type="http://schemas.openxmlformats.org/officeDocument/2006/relationships/hyperlink" Target="imagenes/NAUTICA_MENS_V645548_CHR_2.jpg" TargetMode="External" Id="rId10112"/><Relationship Type="http://schemas.openxmlformats.org/officeDocument/2006/relationships/hyperlink" Target="imagenes/NAUTICA_MENS_V645548_CHR_3.jpg" TargetMode="External" Id="rId10113"/><Relationship Type="http://schemas.openxmlformats.org/officeDocument/2006/relationships/hyperlink" Target="imagenes/NAUTICA_MENS_V645548_CHR_1.jpg" TargetMode="External" Id="rId10114"/><Relationship Type="http://schemas.openxmlformats.org/officeDocument/2006/relationships/hyperlink" Target="imagenes/NAUTICA_MENS_V645548_CHR_2.jpg" TargetMode="External" Id="rId10115"/><Relationship Type="http://schemas.openxmlformats.org/officeDocument/2006/relationships/hyperlink" Target="imagenes/NAUTICA_MENS_V645548_CHR_3.jpg" TargetMode="External" Id="rId10116"/><Relationship Type="http://schemas.openxmlformats.org/officeDocument/2006/relationships/hyperlink" Target="imagenes/NAUTICA_MENS_V645548_CHR_1.jpg" TargetMode="External" Id="rId10117"/><Relationship Type="http://schemas.openxmlformats.org/officeDocument/2006/relationships/hyperlink" Target="imagenes/NAUTICA_MENS_V645548_CHR_2.jpg" TargetMode="External" Id="rId10118"/><Relationship Type="http://schemas.openxmlformats.org/officeDocument/2006/relationships/hyperlink" Target="imagenes/NAUTICA_MENS_V645548_CHR_3.jpg" TargetMode="External" Id="rId10119"/><Relationship Type="http://schemas.openxmlformats.org/officeDocument/2006/relationships/hyperlink" Target="imagenes/NAUTICA_MENS_V645548_CHR_1.jpg" TargetMode="External" Id="rId10120"/><Relationship Type="http://schemas.openxmlformats.org/officeDocument/2006/relationships/hyperlink" Target="imagenes/NAUTICA_MENS_V645548_CHR_2.jpg" TargetMode="External" Id="rId10121"/><Relationship Type="http://schemas.openxmlformats.org/officeDocument/2006/relationships/hyperlink" Target="imagenes/NAUTICA_MENS_V645548_CHR_3.jpg" TargetMode="External" Id="rId10122"/><Relationship Type="http://schemas.openxmlformats.org/officeDocument/2006/relationships/hyperlink" Target="imagenes/NAUTICA_MENS_V645548_DNY_1.jpg" TargetMode="External" Id="rId10123"/><Relationship Type="http://schemas.openxmlformats.org/officeDocument/2006/relationships/hyperlink" Target="imagenes/NAUTICA_MENS_V645548_DNY_2.jpg" TargetMode="External" Id="rId10124"/><Relationship Type="http://schemas.openxmlformats.org/officeDocument/2006/relationships/hyperlink" Target="imagenes/NAUTICA_MENS_V645548_DNY_3.jpg" TargetMode="External" Id="rId10125"/><Relationship Type="http://schemas.openxmlformats.org/officeDocument/2006/relationships/hyperlink" Target="imagenes/NAUTICA_MENS_V645548_DNY_1.jpg" TargetMode="External" Id="rId10126"/><Relationship Type="http://schemas.openxmlformats.org/officeDocument/2006/relationships/hyperlink" Target="imagenes/NAUTICA_MENS_V645548_DNY_2.jpg" TargetMode="External" Id="rId10127"/><Relationship Type="http://schemas.openxmlformats.org/officeDocument/2006/relationships/hyperlink" Target="imagenes/NAUTICA_MENS_V645548_DNY_3.jpg" TargetMode="External" Id="rId10128"/><Relationship Type="http://schemas.openxmlformats.org/officeDocument/2006/relationships/hyperlink" Target="imagenes/NAUTICA_MENS_V645548_DNY_1.jpg" TargetMode="External" Id="rId10129"/><Relationship Type="http://schemas.openxmlformats.org/officeDocument/2006/relationships/hyperlink" Target="imagenes/NAUTICA_MENS_V645548_DNY_2.jpg" TargetMode="External" Id="rId10130"/><Relationship Type="http://schemas.openxmlformats.org/officeDocument/2006/relationships/hyperlink" Target="imagenes/NAUTICA_MENS_V645548_DNY_3.jpg" TargetMode="External" Id="rId10131"/><Relationship Type="http://schemas.openxmlformats.org/officeDocument/2006/relationships/hyperlink" Target="imagenes/NAUTICA_MENS_V645548_DNY_1.jpg" TargetMode="External" Id="rId10132"/><Relationship Type="http://schemas.openxmlformats.org/officeDocument/2006/relationships/hyperlink" Target="imagenes/NAUTICA_MENS_V645548_DNY_2.jpg" TargetMode="External" Id="rId10133"/><Relationship Type="http://schemas.openxmlformats.org/officeDocument/2006/relationships/hyperlink" Target="imagenes/NAUTICA_MENS_V645548_DNY_3.jpg" TargetMode="External" Id="rId10134"/><Relationship Type="http://schemas.openxmlformats.org/officeDocument/2006/relationships/hyperlink" Target="imagenes/NAUTICA_MENS_V645548_DNY_1.jpg" TargetMode="External" Id="rId10135"/><Relationship Type="http://schemas.openxmlformats.org/officeDocument/2006/relationships/hyperlink" Target="imagenes/NAUTICA_MENS_V645548_DNY_2.jpg" TargetMode="External" Id="rId10136"/><Relationship Type="http://schemas.openxmlformats.org/officeDocument/2006/relationships/hyperlink" Target="imagenes/NAUTICA_MENS_V645548_DNY_3.jpg" TargetMode="External" Id="rId10137"/><Relationship Type="http://schemas.openxmlformats.org/officeDocument/2006/relationships/hyperlink" Target="imagenes/NAUTICA_MENS_V645548_DNY_1.jpg" TargetMode="External" Id="rId10138"/><Relationship Type="http://schemas.openxmlformats.org/officeDocument/2006/relationships/hyperlink" Target="imagenes/NAUTICA_MENS_V645548_DNY_2.jpg" TargetMode="External" Id="rId10139"/><Relationship Type="http://schemas.openxmlformats.org/officeDocument/2006/relationships/hyperlink" Target="imagenes/NAUTICA_MENS_V645548_DNY_3.jpg" TargetMode="External" Id="rId10140"/><Relationship Type="http://schemas.openxmlformats.org/officeDocument/2006/relationships/hyperlink" Target="imagenes/NAUTICA_MENS_V645548_DNY_1.jpg" TargetMode="External" Id="rId10141"/><Relationship Type="http://schemas.openxmlformats.org/officeDocument/2006/relationships/hyperlink" Target="imagenes/NAUTICA_MENS_V645548_DNY_2.jpg" TargetMode="External" Id="rId10142"/><Relationship Type="http://schemas.openxmlformats.org/officeDocument/2006/relationships/hyperlink" Target="imagenes/NAUTICA_MENS_V645548_DNY_3.jpg" TargetMode="External" Id="rId10143"/><Relationship Type="http://schemas.openxmlformats.org/officeDocument/2006/relationships/hyperlink" Target="imagenes/NAUTICA_MENS_V720329_BLK_1.jpg" TargetMode="External" Id="rId10144"/><Relationship Type="http://schemas.openxmlformats.org/officeDocument/2006/relationships/hyperlink" Target="imagenes/NAUTICA_MENS_V720329_BLK_2.jpg" TargetMode="External" Id="rId10145"/><Relationship Type="http://schemas.openxmlformats.org/officeDocument/2006/relationships/hyperlink" Target="imagenes/NAUTICA_MENS_V720329_BLK_3.jpg" TargetMode="External" Id="rId10146"/><Relationship Type="http://schemas.openxmlformats.org/officeDocument/2006/relationships/hyperlink" Target="imagenes/NAUTICA_MENS_V720329_BLK_1.jpg" TargetMode="External" Id="rId10147"/><Relationship Type="http://schemas.openxmlformats.org/officeDocument/2006/relationships/hyperlink" Target="imagenes/NAUTICA_MENS_V720329_BLK_2.jpg" TargetMode="External" Id="rId10148"/><Relationship Type="http://schemas.openxmlformats.org/officeDocument/2006/relationships/hyperlink" Target="imagenes/NAUTICA_MENS_V720329_BLK_3.jpg" TargetMode="External" Id="rId10149"/><Relationship Type="http://schemas.openxmlformats.org/officeDocument/2006/relationships/hyperlink" Target="imagenes/NAUTICA_MENS_V720329_BLK_1.jpg" TargetMode="External" Id="rId10150"/><Relationship Type="http://schemas.openxmlformats.org/officeDocument/2006/relationships/hyperlink" Target="imagenes/NAUTICA_MENS_V720329_BLK_2.jpg" TargetMode="External" Id="rId10151"/><Relationship Type="http://schemas.openxmlformats.org/officeDocument/2006/relationships/hyperlink" Target="imagenes/NAUTICA_MENS_V720329_BLK_3.jpg" TargetMode="External" Id="rId10152"/><Relationship Type="http://schemas.openxmlformats.org/officeDocument/2006/relationships/hyperlink" Target="imagenes/NAUTICA_MENS_V720329_BLK_1.jpg" TargetMode="External" Id="rId10153"/><Relationship Type="http://schemas.openxmlformats.org/officeDocument/2006/relationships/hyperlink" Target="imagenes/NAUTICA_MENS_V720329_BLK_2.jpg" TargetMode="External" Id="rId10154"/><Relationship Type="http://schemas.openxmlformats.org/officeDocument/2006/relationships/hyperlink" Target="imagenes/NAUTICA_MENS_V720329_BLK_3.jpg" TargetMode="External" Id="rId10155"/><Relationship Type="http://schemas.openxmlformats.org/officeDocument/2006/relationships/hyperlink" Target="imagenes/NAUTICA_MENS_V720329_BLK_1.jpg" TargetMode="External" Id="rId10156"/><Relationship Type="http://schemas.openxmlformats.org/officeDocument/2006/relationships/hyperlink" Target="imagenes/NAUTICA_MENS_V720329_BLK_2.jpg" TargetMode="External" Id="rId10157"/><Relationship Type="http://schemas.openxmlformats.org/officeDocument/2006/relationships/hyperlink" Target="imagenes/NAUTICA_MENS_V720329_BLK_3.jpg" TargetMode="External" Id="rId10158"/><Relationship Type="http://schemas.openxmlformats.org/officeDocument/2006/relationships/hyperlink" Target="imagenes/NAUTICA_MENS_V720329_DSO_1.jpg" TargetMode="External" Id="rId10159"/><Relationship Type="http://schemas.openxmlformats.org/officeDocument/2006/relationships/hyperlink" Target="imagenes/NAUTICA_MENS_V720329_DSO_2.jpg" TargetMode="External" Id="rId10160"/><Relationship Type="http://schemas.openxmlformats.org/officeDocument/2006/relationships/hyperlink" Target="imagenes/NAUTICA_MENS_V720329_DSO_3.jpg" TargetMode="External" Id="rId10161"/><Relationship Type="http://schemas.openxmlformats.org/officeDocument/2006/relationships/hyperlink" Target="imagenes/NAUTICA_MENS_V720329_DSO_1.jpg" TargetMode="External" Id="rId10162"/><Relationship Type="http://schemas.openxmlformats.org/officeDocument/2006/relationships/hyperlink" Target="imagenes/NAUTICA_MENS_V720329_DSO_2.jpg" TargetMode="External" Id="rId10163"/><Relationship Type="http://schemas.openxmlformats.org/officeDocument/2006/relationships/hyperlink" Target="imagenes/NAUTICA_MENS_V720329_DSO_3.jpg" TargetMode="External" Id="rId10164"/><Relationship Type="http://schemas.openxmlformats.org/officeDocument/2006/relationships/hyperlink" Target="imagenes/NAUTICA_MENS_V720329_DSO_1.jpg" TargetMode="External" Id="rId10165"/><Relationship Type="http://schemas.openxmlformats.org/officeDocument/2006/relationships/hyperlink" Target="imagenes/NAUTICA_MENS_V720329_DSO_2.jpg" TargetMode="External" Id="rId10166"/><Relationship Type="http://schemas.openxmlformats.org/officeDocument/2006/relationships/hyperlink" Target="imagenes/NAUTICA_MENS_V720329_DSO_3.jpg" TargetMode="External" Id="rId10167"/><Relationship Type="http://schemas.openxmlformats.org/officeDocument/2006/relationships/hyperlink" Target="imagenes/NAUTICA_MENS_V720329_DSO_1.jpg" TargetMode="External" Id="rId10168"/><Relationship Type="http://schemas.openxmlformats.org/officeDocument/2006/relationships/hyperlink" Target="imagenes/NAUTICA_MENS_V720329_DSO_2.jpg" TargetMode="External" Id="rId10169"/><Relationship Type="http://schemas.openxmlformats.org/officeDocument/2006/relationships/hyperlink" Target="imagenes/NAUTICA_MENS_V720329_DSO_3.jpg" TargetMode="External" Id="rId10170"/><Relationship Type="http://schemas.openxmlformats.org/officeDocument/2006/relationships/hyperlink" Target="imagenes/NAUTICA_MENS_V720329_DSO_1.jpg" TargetMode="External" Id="rId10171"/><Relationship Type="http://schemas.openxmlformats.org/officeDocument/2006/relationships/hyperlink" Target="imagenes/NAUTICA_MENS_V720329_DSO_2.jpg" TargetMode="External" Id="rId10172"/><Relationship Type="http://schemas.openxmlformats.org/officeDocument/2006/relationships/hyperlink" Target="imagenes/NAUTICA_MENS_V720329_DSO_3.jpg" TargetMode="External" Id="rId10173"/><Relationship Type="http://schemas.openxmlformats.org/officeDocument/2006/relationships/hyperlink" Target="imagenes/NAUTICA_MENS_V720329_NIB_1.jpg" TargetMode="External" Id="rId10174"/><Relationship Type="http://schemas.openxmlformats.org/officeDocument/2006/relationships/hyperlink" Target="imagenes/NAUTICA_MENS_V720329_NIB_2.jpg" TargetMode="External" Id="rId10175"/><Relationship Type="http://schemas.openxmlformats.org/officeDocument/2006/relationships/hyperlink" Target="imagenes/NAUTICA_MENS_V720329_NIB_3.jpg" TargetMode="External" Id="rId10176"/><Relationship Type="http://schemas.openxmlformats.org/officeDocument/2006/relationships/hyperlink" Target="imagenes/NAUTICA_MENS_V720329_NIB_1.jpg" TargetMode="External" Id="rId10177"/><Relationship Type="http://schemas.openxmlformats.org/officeDocument/2006/relationships/hyperlink" Target="imagenes/NAUTICA_MENS_V720329_NIB_2.jpg" TargetMode="External" Id="rId10178"/><Relationship Type="http://schemas.openxmlformats.org/officeDocument/2006/relationships/hyperlink" Target="imagenes/NAUTICA_MENS_V720329_NIB_3.jpg" TargetMode="External" Id="rId10179"/><Relationship Type="http://schemas.openxmlformats.org/officeDocument/2006/relationships/hyperlink" Target="imagenes/NAUTICA_MENS_V720329_NIB_1.jpg" TargetMode="External" Id="rId10180"/><Relationship Type="http://schemas.openxmlformats.org/officeDocument/2006/relationships/hyperlink" Target="imagenes/NAUTICA_MENS_V720329_NIB_2.jpg" TargetMode="External" Id="rId10181"/><Relationship Type="http://schemas.openxmlformats.org/officeDocument/2006/relationships/hyperlink" Target="imagenes/NAUTICA_MENS_V720329_NIB_3.jpg" TargetMode="External" Id="rId10182"/><Relationship Type="http://schemas.openxmlformats.org/officeDocument/2006/relationships/hyperlink" Target="imagenes/NAUTICA_MENS_V720329_NIB_1.jpg" TargetMode="External" Id="rId10183"/><Relationship Type="http://schemas.openxmlformats.org/officeDocument/2006/relationships/hyperlink" Target="imagenes/NAUTICA_MENS_V720329_NIB_2.jpg" TargetMode="External" Id="rId10184"/><Relationship Type="http://schemas.openxmlformats.org/officeDocument/2006/relationships/hyperlink" Target="imagenes/NAUTICA_MENS_V720329_NIB_3.jpg" TargetMode="External" Id="rId10185"/><Relationship Type="http://schemas.openxmlformats.org/officeDocument/2006/relationships/hyperlink" Target="imagenes/NAUTICA_MENS_V720329_NVY_1.jpg" TargetMode="External" Id="rId10186"/><Relationship Type="http://schemas.openxmlformats.org/officeDocument/2006/relationships/hyperlink" Target="imagenes/NAUTICA_MENS_V720329_NVY_2.jpg" TargetMode="External" Id="rId10187"/><Relationship Type="http://schemas.openxmlformats.org/officeDocument/2006/relationships/hyperlink" Target="imagenes/NAUTICA_MENS_V720329_NVY_3.jpg" TargetMode="External" Id="rId10188"/><Relationship Type="http://schemas.openxmlformats.org/officeDocument/2006/relationships/hyperlink" Target="imagenes/NAUTICA_MENS_V720329_NVY_1.jpg" TargetMode="External" Id="rId10189"/><Relationship Type="http://schemas.openxmlformats.org/officeDocument/2006/relationships/hyperlink" Target="imagenes/NAUTICA_MENS_V720329_NVY_2.jpg" TargetMode="External" Id="rId10190"/><Relationship Type="http://schemas.openxmlformats.org/officeDocument/2006/relationships/hyperlink" Target="imagenes/NAUTICA_MENS_V720329_NVY_3.jpg" TargetMode="External" Id="rId10191"/><Relationship Type="http://schemas.openxmlformats.org/officeDocument/2006/relationships/hyperlink" Target="imagenes/NAUTICA_MENS_V720329_NVY_1.jpg" TargetMode="External" Id="rId10192"/><Relationship Type="http://schemas.openxmlformats.org/officeDocument/2006/relationships/hyperlink" Target="imagenes/NAUTICA_MENS_V720329_NVY_2.jpg" TargetMode="External" Id="rId10193"/><Relationship Type="http://schemas.openxmlformats.org/officeDocument/2006/relationships/hyperlink" Target="imagenes/NAUTICA_MENS_V720329_NVY_3.jpg" TargetMode="External" Id="rId10194"/><Relationship Type="http://schemas.openxmlformats.org/officeDocument/2006/relationships/hyperlink" Target="imagenes/NAUTICA_MENS_V720329_NVY_1.jpg" TargetMode="External" Id="rId10195"/><Relationship Type="http://schemas.openxmlformats.org/officeDocument/2006/relationships/hyperlink" Target="imagenes/NAUTICA_MENS_V720329_NVY_2.jpg" TargetMode="External" Id="rId10196"/><Relationship Type="http://schemas.openxmlformats.org/officeDocument/2006/relationships/hyperlink" Target="imagenes/NAUTICA_MENS_V720329_NVY_3.jpg" TargetMode="External" Id="rId10197"/><Relationship Type="http://schemas.openxmlformats.org/officeDocument/2006/relationships/hyperlink" Target="imagenes/NAUTICA_MENS_V720329_NVY_1.jpg" TargetMode="External" Id="rId10198"/><Relationship Type="http://schemas.openxmlformats.org/officeDocument/2006/relationships/hyperlink" Target="imagenes/NAUTICA_MENS_V720329_NVY_2.jpg" TargetMode="External" Id="rId10199"/><Relationship Type="http://schemas.openxmlformats.org/officeDocument/2006/relationships/hyperlink" Target="imagenes/NAUTICA_MENS_V720329_NVY_3.jpg" TargetMode="External" Id="rId10200"/><Relationship Type="http://schemas.openxmlformats.org/officeDocument/2006/relationships/hyperlink" Target="imagenes/NAUTICA_MENS_V720329_RED_1.jpg" TargetMode="External" Id="rId10201"/><Relationship Type="http://schemas.openxmlformats.org/officeDocument/2006/relationships/hyperlink" Target="imagenes/NAUTICA_MENS_V720329_RED_2.jpg" TargetMode="External" Id="rId10202"/><Relationship Type="http://schemas.openxmlformats.org/officeDocument/2006/relationships/hyperlink" Target="imagenes/NAUTICA_MENS_V720329_RED_3.jpg" TargetMode="External" Id="rId10203"/><Relationship Type="http://schemas.openxmlformats.org/officeDocument/2006/relationships/hyperlink" Target="imagenes/NAUTICA_MENS_V720329_RED_1.jpg" TargetMode="External" Id="rId10204"/><Relationship Type="http://schemas.openxmlformats.org/officeDocument/2006/relationships/hyperlink" Target="imagenes/NAUTICA_MENS_V720329_RED_2.jpg" TargetMode="External" Id="rId10205"/><Relationship Type="http://schemas.openxmlformats.org/officeDocument/2006/relationships/hyperlink" Target="imagenes/NAUTICA_MENS_V720329_RED_3.jpg" TargetMode="External" Id="rId10206"/><Relationship Type="http://schemas.openxmlformats.org/officeDocument/2006/relationships/hyperlink" Target="imagenes/NAUTICA_MENS_V720329_RED_1.jpg" TargetMode="External" Id="rId10207"/><Relationship Type="http://schemas.openxmlformats.org/officeDocument/2006/relationships/hyperlink" Target="imagenes/NAUTICA_MENS_V720329_RED_2.jpg" TargetMode="External" Id="rId10208"/><Relationship Type="http://schemas.openxmlformats.org/officeDocument/2006/relationships/hyperlink" Target="imagenes/NAUTICA_MENS_V720329_RED_3.jpg" TargetMode="External" Id="rId10209"/><Relationship Type="http://schemas.openxmlformats.org/officeDocument/2006/relationships/hyperlink" Target="imagenes/NAUTICA_MENS_V720329_RED_1.jpg" TargetMode="External" Id="rId10210"/><Relationship Type="http://schemas.openxmlformats.org/officeDocument/2006/relationships/hyperlink" Target="imagenes/NAUTICA_MENS_V720329_RED_2.jpg" TargetMode="External" Id="rId10211"/><Relationship Type="http://schemas.openxmlformats.org/officeDocument/2006/relationships/hyperlink" Target="imagenes/NAUTICA_MENS_V720329_RED_3.jpg" TargetMode="External" Id="rId10212"/><Relationship Type="http://schemas.openxmlformats.org/officeDocument/2006/relationships/hyperlink" Target="imagenes/NAUTICA_MENS_V720329_SAM_1.jpg" TargetMode="External" Id="rId10213"/><Relationship Type="http://schemas.openxmlformats.org/officeDocument/2006/relationships/hyperlink" Target="imagenes/NAUTICA_MENS_V720329_SAM_2.jpg" TargetMode="External" Id="rId10214"/><Relationship Type="http://schemas.openxmlformats.org/officeDocument/2006/relationships/hyperlink" Target="imagenes/NAUTICA_MENS_V720329_SAM_3.jpg" TargetMode="External" Id="rId10215"/><Relationship Type="http://schemas.openxmlformats.org/officeDocument/2006/relationships/hyperlink" Target="imagenes/NAUTICA_MENS_V720329_SAM_1.jpg" TargetMode="External" Id="rId10216"/><Relationship Type="http://schemas.openxmlformats.org/officeDocument/2006/relationships/hyperlink" Target="imagenes/NAUTICA_MENS_V720329_SAM_2.jpg" TargetMode="External" Id="rId10217"/><Relationship Type="http://schemas.openxmlformats.org/officeDocument/2006/relationships/hyperlink" Target="imagenes/NAUTICA_MENS_V720329_SAM_3.jpg" TargetMode="External" Id="rId10218"/><Relationship Type="http://schemas.openxmlformats.org/officeDocument/2006/relationships/hyperlink" Target="imagenes/NAUTICA_MENS_V720329_SAM_1.jpg" TargetMode="External" Id="rId10219"/><Relationship Type="http://schemas.openxmlformats.org/officeDocument/2006/relationships/hyperlink" Target="imagenes/NAUTICA_MENS_V720329_SAM_2.jpg" TargetMode="External" Id="rId10220"/><Relationship Type="http://schemas.openxmlformats.org/officeDocument/2006/relationships/hyperlink" Target="imagenes/NAUTICA_MENS_V720329_SAM_3.jpg" TargetMode="External" Id="rId10221"/><Relationship Type="http://schemas.openxmlformats.org/officeDocument/2006/relationships/hyperlink" Target="imagenes/NAUTICA_MENS_V720329_SAM_1.jpg" TargetMode="External" Id="rId10222"/><Relationship Type="http://schemas.openxmlformats.org/officeDocument/2006/relationships/hyperlink" Target="imagenes/NAUTICA_MENS_V720329_SAM_2.jpg" TargetMode="External" Id="rId10223"/><Relationship Type="http://schemas.openxmlformats.org/officeDocument/2006/relationships/hyperlink" Target="imagenes/NAUTICA_MENS_V720329_SAM_3.jpg" TargetMode="External" Id="rId10224"/><Relationship Type="http://schemas.openxmlformats.org/officeDocument/2006/relationships/hyperlink" Target="imagenes/NAUTICA_MENS_V720329_SAM_1.jpg" TargetMode="External" Id="rId10225"/><Relationship Type="http://schemas.openxmlformats.org/officeDocument/2006/relationships/hyperlink" Target="imagenes/NAUTICA_MENS_V720329_SAM_2.jpg" TargetMode="External" Id="rId10226"/><Relationship Type="http://schemas.openxmlformats.org/officeDocument/2006/relationships/hyperlink" Target="imagenes/NAUTICA_MENS_V720329_SAM_3.jpg" TargetMode="External" Id="rId10227"/><Relationship Type="http://schemas.openxmlformats.org/officeDocument/2006/relationships/hyperlink" Target="imagenes/NAUTICA_MENS_V720329_SP7_1.jpg" TargetMode="External" Id="rId10228"/><Relationship Type="http://schemas.openxmlformats.org/officeDocument/2006/relationships/hyperlink" Target="imagenes/NAUTICA_MENS_V720329_SP7_2.jpg" TargetMode="External" Id="rId10229"/><Relationship Type="http://schemas.openxmlformats.org/officeDocument/2006/relationships/hyperlink" Target="imagenes/NAUTICA_MENS_V720329_SP7_3.jpg" TargetMode="External" Id="rId10230"/><Relationship Type="http://schemas.openxmlformats.org/officeDocument/2006/relationships/hyperlink" Target="imagenes/NAUTICA_MENS_V720329_SP7_1.jpg" TargetMode="External" Id="rId10231"/><Relationship Type="http://schemas.openxmlformats.org/officeDocument/2006/relationships/hyperlink" Target="imagenes/NAUTICA_MENS_V720329_SP7_2.jpg" TargetMode="External" Id="rId10232"/><Relationship Type="http://schemas.openxmlformats.org/officeDocument/2006/relationships/hyperlink" Target="imagenes/NAUTICA_MENS_V720329_SP7_3.jpg" TargetMode="External" Id="rId10233"/><Relationship Type="http://schemas.openxmlformats.org/officeDocument/2006/relationships/hyperlink" Target="imagenes/NAUTICA_MENS_V720329_SP7_1.jpg" TargetMode="External" Id="rId10234"/><Relationship Type="http://schemas.openxmlformats.org/officeDocument/2006/relationships/hyperlink" Target="imagenes/NAUTICA_MENS_V720329_SP7_2.jpg" TargetMode="External" Id="rId10235"/><Relationship Type="http://schemas.openxmlformats.org/officeDocument/2006/relationships/hyperlink" Target="imagenes/NAUTICA_MENS_V720329_SP7_3.jpg" TargetMode="External" Id="rId10236"/><Relationship Type="http://schemas.openxmlformats.org/officeDocument/2006/relationships/hyperlink" Target="imagenes/NAUTICA_MENS_V720329_SP7_1.jpg" TargetMode="External" Id="rId10237"/><Relationship Type="http://schemas.openxmlformats.org/officeDocument/2006/relationships/hyperlink" Target="imagenes/NAUTICA_MENS_V720329_SP7_2.jpg" TargetMode="External" Id="rId10238"/><Relationship Type="http://schemas.openxmlformats.org/officeDocument/2006/relationships/hyperlink" Target="imagenes/NAUTICA_MENS_V720329_SP7_3.jpg" TargetMode="External" Id="rId10239"/><Relationship Type="http://schemas.openxmlformats.org/officeDocument/2006/relationships/hyperlink" Target="imagenes/NAUTICA_MENS_V720329_SP7_1.jpg" TargetMode="External" Id="rId10240"/><Relationship Type="http://schemas.openxmlformats.org/officeDocument/2006/relationships/hyperlink" Target="imagenes/NAUTICA_MENS_V720329_SP7_2.jpg" TargetMode="External" Id="rId10241"/><Relationship Type="http://schemas.openxmlformats.org/officeDocument/2006/relationships/hyperlink" Target="imagenes/NAUTICA_MENS_V720329_SP7_3.jpg" TargetMode="External" Id="rId10242"/><Relationship Type="http://schemas.openxmlformats.org/officeDocument/2006/relationships/hyperlink" Target="imagenes/NAUTICA_MENS_V720363_BGI_1.jpg" TargetMode="External" Id="rId10243"/><Relationship Type="http://schemas.openxmlformats.org/officeDocument/2006/relationships/hyperlink" Target="imagenes/NAUTICA_MENS_V720363_BGI_2.jpg" TargetMode="External" Id="rId10244"/><Relationship Type="http://schemas.openxmlformats.org/officeDocument/2006/relationships/hyperlink" Target="imagenes/NAUTICA_MENS_V720363_BGI_3.jpg" TargetMode="External" Id="rId10245"/><Relationship Type="http://schemas.openxmlformats.org/officeDocument/2006/relationships/hyperlink" Target="imagenes/NAUTICA_MENS_V720363_BGI_1.jpg" TargetMode="External" Id="rId10246"/><Relationship Type="http://schemas.openxmlformats.org/officeDocument/2006/relationships/hyperlink" Target="imagenes/NAUTICA_MENS_V720363_BGI_2.jpg" TargetMode="External" Id="rId10247"/><Relationship Type="http://schemas.openxmlformats.org/officeDocument/2006/relationships/hyperlink" Target="imagenes/NAUTICA_MENS_V720363_BGI_3.jpg" TargetMode="External" Id="rId10248"/><Relationship Type="http://schemas.openxmlformats.org/officeDocument/2006/relationships/hyperlink" Target="imagenes/NAUTICA_MENS_V720363_BGI_1.jpg" TargetMode="External" Id="rId10249"/><Relationship Type="http://schemas.openxmlformats.org/officeDocument/2006/relationships/hyperlink" Target="imagenes/NAUTICA_MENS_V720363_BGI_2.jpg" TargetMode="External" Id="rId10250"/><Relationship Type="http://schemas.openxmlformats.org/officeDocument/2006/relationships/hyperlink" Target="imagenes/NAUTICA_MENS_V720363_BGI_3.jpg" TargetMode="External" Id="rId10251"/><Relationship Type="http://schemas.openxmlformats.org/officeDocument/2006/relationships/hyperlink" Target="imagenes/NAUTICA_MENS_V720363_BGI_1.jpg" TargetMode="External" Id="rId10252"/><Relationship Type="http://schemas.openxmlformats.org/officeDocument/2006/relationships/hyperlink" Target="imagenes/NAUTICA_MENS_V720363_BGI_2.jpg" TargetMode="External" Id="rId10253"/><Relationship Type="http://schemas.openxmlformats.org/officeDocument/2006/relationships/hyperlink" Target="imagenes/NAUTICA_MENS_V720363_BGI_3.jpg" TargetMode="External" Id="rId10254"/><Relationship Type="http://schemas.openxmlformats.org/officeDocument/2006/relationships/hyperlink" Target="imagenes/NAUTICA_MENS_V720363_BGI_1.jpg" TargetMode="External" Id="rId10255"/><Relationship Type="http://schemas.openxmlformats.org/officeDocument/2006/relationships/hyperlink" Target="imagenes/NAUTICA_MENS_V720363_BGI_2.jpg" TargetMode="External" Id="rId10256"/><Relationship Type="http://schemas.openxmlformats.org/officeDocument/2006/relationships/hyperlink" Target="imagenes/NAUTICA_MENS_V720363_BGI_3.jpg" TargetMode="External" Id="rId10257"/><Relationship Type="http://schemas.openxmlformats.org/officeDocument/2006/relationships/hyperlink" Target="imagenes/NAUTICA_MENS_V720363_LA1_1.jpg" TargetMode="External" Id="rId10258"/><Relationship Type="http://schemas.openxmlformats.org/officeDocument/2006/relationships/hyperlink" Target="imagenes/NAUTICA_MENS_V720363_LA1_2.jpg" TargetMode="External" Id="rId10259"/><Relationship Type="http://schemas.openxmlformats.org/officeDocument/2006/relationships/hyperlink" Target="imagenes/NAUTICA_MENS_V720363_LA1_3.jpg" TargetMode="External" Id="rId10260"/><Relationship Type="http://schemas.openxmlformats.org/officeDocument/2006/relationships/hyperlink" Target="imagenes/NAUTICA_MENS_V720363_LA1_1.jpg" TargetMode="External" Id="rId10261"/><Relationship Type="http://schemas.openxmlformats.org/officeDocument/2006/relationships/hyperlink" Target="imagenes/NAUTICA_MENS_V720363_LA1_2.jpg" TargetMode="External" Id="rId10262"/><Relationship Type="http://schemas.openxmlformats.org/officeDocument/2006/relationships/hyperlink" Target="imagenes/NAUTICA_MENS_V720363_LA1_3.jpg" TargetMode="External" Id="rId10263"/><Relationship Type="http://schemas.openxmlformats.org/officeDocument/2006/relationships/hyperlink" Target="imagenes/NAUTICA_MENS_V720363_LA1_1.jpg" TargetMode="External" Id="rId10264"/><Relationship Type="http://schemas.openxmlformats.org/officeDocument/2006/relationships/hyperlink" Target="imagenes/NAUTICA_MENS_V720363_LA1_2.jpg" TargetMode="External" Id="rId10265"/><Relationship Type="http://schemas.openxmlformats.org/officeDocument/2006/relationships/hyperlink" Target="imagenes/NAUTICA_MENS_V720363_LA1_3.jpg" TargetMode="External" Id="rId10266"/><Relationship Type="http://schemas.openxmlformats.org/officeDocument/2006/relationships/hyperlink" Target="imagenes/NAUTICA_MENS_V720363_LA1_1.jpg" TargetMode="External" Id="rId10267"/><Relationship Type="http://schemas.openxmlformats.org/officeDocument/2006/relationships/hyperlink" Target="imagenes/NAUTICA_MENS_V720363_LA1_2.jpg" TargetMode="External" Id="rId10268"/><Relationship Type="http://schemas.openxmlformats.org/officeDocument/2006/relationships/hyperlink" Target="imagenes/NAUTICA_MENS_V720363_LA1_3.jpg" TargetMode="External" Id="rId10269"/><Relationship Type="http://schemas.openxmlformats.org/officeDocument/2006/relationships/hyperlink" Target="imagenes/NAUTICA_MENS_V720363_LA1_1.jpg" TargetMode="External" Id="rId10270"/><Relationship Type="http://schemas.openxmlformats.org/officeDocument/2006/relationships/hyperlink" Target="imagenes/NAUTICA_MENS_V720363_LA1_2.jpg" TargetMode="External" Id="rId10271"/><Relationship Type="http://schemas.openxmlformats.org/officeDocument/2006/relationships/hyperlink" Target="imagenes/NAUTICA_MENS_V720363_LA1_3.jpg" TargetMode="External" Id="rId10272"/><Relationship Type="http://schemas.openxmlformats.org/officeDocument/2006/relationships/hyperlink" Target="imagenes/NAUTICA_MENS_V720363_OLH_1.jpg" TargetMode="External" Id="rId10273"/><Relationship Type="http://schemas.openxmlformats.org/officeDocument/2006/relationships/hyperlink" Target="imagenes/NAUTICA_MENS_V720363_OLH_2.jpg" TargetMode="External" Id="rId10274"/><Relationship Type="http://schemas.openxmlformats.org/officeDocument/2006/relationships/hyperlink" Target="imagenes/NAUTICA_MENS_V720363_OLH_3.jpg" TargetMode="External" Id="rId10275"/><Relationship Type="http://schemas.openxmlformats.org/officeDocument/2006/relationships/hyperlink" Target="imagenes/NAUTICA_MENS_V720363_OLH_1.jpg" TargetMode="External" Id="rId10276"/><Relationship Type="http://schemas.openxmlformats.org/officeDocument/2006/relationships/hyperlink" Target="imagenes/NAUTICA_MENS_V720363_OLH_2.jpg" TargetMode="External" Id="rId10277"/><Relationship Type="http://schemas.openxmlformats.org/officeDocument/2006/relationships/hyperlink" Target="imagenes/NAUTICA_MENS_V720363_OLH_3.jpg" TargetMode="External" Id="rId10278"/><Relationship Type="http://schemas.openxmlformats.org/officeDocument/2006/relationships/hyperlink" Target="imagenes/NAUTICA_MENS_V720363_OLH_1.jpg" TargetMode="External" Id="rId10279"/><Relationship Type="http://schemas.openxmlformats.org/officeDocument/2006/relationships/hyperlink" Target="imagenes/NAUTICA_MENS_V720363_OLH_2.jpg" TargetMode="External" Id="rId10280"/><Relationship Type="http://schemas.openxmlformats.org/officeDocument/2006/relationships/hyperlink" Target="imagenes/NAUTICA_MENS_V720363_OLH_3.jpg" TargetMode="External" Id="rId10281"/><Relationship Type="http://schemas.openxmlformats.org/officeDocument/2006/relationships/hyperlink" Target="imagenes/NAUTICA_MENS_V720363_OLH_1.jpg" TargetMode="External" Id="rId10282"/><Relationship Type="http://schemas.openxmlformats.org/officeDocument/2006/relationships/hyperlink" Target="imagenes/NAUTICA_MENS_V720363_OLH_2.jpg" TargetMode="External" Id="rId10283"/><Relationship Type="http://schemas.openxmlformats.org/officeDocument/2006/relationships/hyperlink" Target="imagenes/NAUTICA_MENS_V720363_OLH_3.jpg" TargetMode="External" Id="rId10284"/><Relationship Type="http://schemas.openxmlformats.org/officeDocument/2006/relationships/hyperlink" Target="imagenes/NAUTICA_MENS_V720363_OLH_1.jpg" TargetMode="External" Id="rId10285"/><Relationship Type="http://schemas.openxmlformats.org/officeDocument/2006/relationships/hyperlink" Target="imagenes/NAUTICA_MENS_V720363_OLH_2.jpg" TargetMode="External" Id="rId10286"/><Relationship Type="http://schemas.openxmlformats.org/officeDocument/2006/relationships/hyperlink" Target="imagenes/NAUTICA_MENS_V720363_OLH_3.jpg" TargetMode="External" Id="rId10287"/><Relationship Type="http://schemas.openxmlformats.org/officeDocument/2006/relationships/hyperlink" Target="imagenes/NAUTICA_MENS_V722807A_ALU_1.jpg" TargetMode="External" Id="rId10288"/><Relationship Type="http://schemas.openxmlformats.org/officeDocument/2006/relationships/hyperlink" Target="imagenes/NAUTICA_MENS_V722807A_ALU_2.jpg" TargetMode="External" Id="rId10289"/><Relationship Type="http://schemas.openxmlformats.org/officeDocument/2006/relationships/hyperlink" Target="imagenes/NAUTICA_MENS_V722807A_ALU_3.jpg" TargetMode="External" Id="rId10290"/><Relationship Type="http://schemas.openxmlformats.org/officeDocument/2006/relationships/hyperlink" Target="imagenes/NAUTICA_MENS_V722807A_ALU_1.jpg" TargetMode="External" Id="rId10291"/><Relationship Type="http://schemas.openxmlformats.org/officeDocument/2006/relationships/hyperlink" Target="imagenes/NAUTICA_MENS_V722807A_ALU_2.jpg" TargetMode="External" Id="rId10292"/><Relationship Type="http://schemas.openxmlformats.org/officeDocument/2006/relationships/hyperlink" Target="imagenes/NAUTICA_MENS_V722807A_ALU_3.jpg" TargetMode="External" Id="rId10293"/><Relationship Type="http://schemas.openxmlformats.org/officeDocument/2006/relationships/hyperlink" Target="imagenes/NAUTICA_MENS_V726954_WHT_1.jpg" TargetMode="External" Id="rId10294"/><Relationship Type="http://schemas.openxmlformats.org/officeDocument/2006/relationships/hyperlink" Target="imagenes/NAUTICA_MENS_V726954_WHT_2.jpg" TargetMode="External" Id="rId10295"/><Relationship Type="http://schemas.openxmlformats.org/officeDocument/2006/relationships/hyperlink" Target="imagenes/NAUTICA_MENS_V726954_WHT_3.jpg" TargetMode="External" Id="rId10296"/><Relationship Type="http://schemas.openxmlformats.org/officeDocument/2006/relationships/hyperlink" Target="imagenes/NAUTICA_MENS_V730701_BLK_1.jpg" TargetMode="External" Id="rId10297"/><Relationship Type="http://schemas.openxmlformats.org/officeDocument/2006/relationships/hyperlink" Target="imagenes/NAUTICA_MENS_V730701_BLK_2.jpg" TargetMode="External" Id="rId10298"/><Relationship Type="http://schemas.openxmlformats.org/officeDocument/2006/relationships/hyperlink" Target="imagenes/NAUTICA_MENS_V730701_BLK_3.jpg" TargetMode="External" Id="rId10299"/><Relationship Type="http://schemas.openxmlformats.org/officeDocument/2006/relationships/hyperlink" Target="imagenes/NAUTICA_MENS_V732807_BLK_1.jpg" TargetMode="External" Id="rId10300"/><Relationship Type="http://schemas.openxmlformats.org/officeDocument/2006/relationships/hyperlink" Target="imagenes/NAUTICA_MENS_V732807_BLK_2.jpg" TargetMode="External" Id="rId10301"/><Relationship Type="http://schemas.openxmlformats.org/officeDocument/2006/relationships/hyperlink" Target="imagenes/NAUTICA_MENS_V732807_BLK_3.jpg" TargetMode="External" Id="rId10302"/><Relationship Type="http://schemas.openxmlformats.org/officeDocument/2006/relationships/hyperlink" Target="imagenes/NAUTICA_MENS_V740701_BLK_1.jpg" TargetMode="External" Id="rId10303"/><Relationship Type="http://schemas.openxmlformats.org/officeDocument/2006/relationships/hyperlink" Target="imagenes/NAUTICA_MENS_V740701_BLK_2.jpg" TargetMode="External" Id="rId10304"/><Relationship Type="http://schemas.openxmlformats.org/officeDocument/2006/relationships/hyperlink" Target="imagenes/NAUTICA_MENS_V740701_BLK_3.jpg" TargetMode="External" Id="rId10305"/><Relationship Type="http://schemas.openxmlformats.org/officeDocument/2006/relationships/hyperlink" Target="imagenes/NAUTICA_MENS_V740701_BLK_1.jpg" TargetMode="External" Id="rId10306"/><Relationship Type="http://schemas.openxmlformats.org/officeDocument/2006/relationships/hyperlink" Target="imagenes/NAUTICA_MENS_V740701_BLK_2.jpg" TargetMode="External" Id="rId10307"/><Relationship Type="http://schemas.openxmlformats.org/officeDocument/2006/relationships/hyperlink" Target="imagenes/NAUTICA_MENS_V740701_BLK_3.jpg" TargetMode="External" Id="rId10308"/><Relationship Type="http://schemas.openxmlformats.org/officeDocument/2006/relationships/hyperlink" Target="imagenes/NAUTICA_MENS_V740701_BLK_1.jpg" TargetMode="External" Id="rId10309"/><Relationship Type="http://schemas.openxmlformats.org/officeDocument/2006/relationships/hyperlink" Target="imagenes/NAUTICA_MENS_V740701_BLK_2.jpg" TargetMode="External" Id="rId10310"/><Relationship Type="http://schemas.openxmlformats.org/officeDocument/2006/relationships/hyperlink" Target="imagenes/NAUTICA_MENS_V740701_BLK_3.jpg" TargetMode="External" Id="rId10311"/><Relationship Type="http://schemas.openxmlformats.org/officeDocument/2006/relationships/hyperlink" Target="imagenes/NAUTICA_MENS_V740701_BLK_1.jpg" TargetMode="External" Id="rId10312"/><Relationship Type="http://schemas.openxmlformats.org/officeDocument/2006/relationships/hyperlink" Target="imagenes/NAUTICA_MENS_V740701_BLK_2.jpg" TargetMode="External" Id="rId10313"/><Relationship Type="http://schemas.openxmlformats.org/officeDocument/2006/relationships/hyperlink" Target="imagenes/NAUTICA_MENS_V740701_BLK_3.jpg" TargetMode="External" Id="rId10314"/><Relationship Type="http://schemas.openxmlformats.org/officeDocument/2006/relationships/hyperlink" Target="imagenes/NAUTICA_MENS_V742807_BLK_1.jpg" TargetMode="External" Id="rId10315"/><Relationship Type="http://schemas.openxmlformats.org/officeDocument/2006/relationships/hyperlink" Target="imagenes/NAUTICA_MENS_V742807_BLK_2.jpg" TargetMode="External" Id="rId10316"/><Relationship Type="http://schemas.openxmlformats.org/officeDocument/2006/relationships/hyperlink" Target="imagenes/NAUTICA_MENS_V742807_BLK_3.jpg" TargetMode="External" Id="rId10317"/><Relationship Type="http://schemas.openxmlformats.org/officeDocument/2006/relationships/hyperlink" Target="imagenes/NAUTICA_MENS_V742807_BLK_1.jpg" TargetMode="External" Id="rId10318"/><Relationship Type="http://schemas.openxmlformats.org/officeDocument/2006/relationships/hyperlink" Target="imagenes/NAUTICA_MENS_V742807_BLK_2.jpg" TargetMode="External" Id="rId10319"/><Relationship Type="http://schemas.openxmlformats.org/officeDocument/2006/relationships/hyperlink" Target="imagenes/NAUTICA_MENS_V742807_BLK_3.jpg" TargetMode="External" Id="rId10320"/><Relationship Type="http://schemas.openxmlformats.org/officeDocument/2006/relationships/hyperlink" Target="imagenes/NAUTICA_MENS_V821851_BLK_1.jpg" TargetMode="External" Id="rId10321"/><Relationship Type="http://schemas.openxmlformats.org/officeDocument/2006/relationships/hyperlink" Target="imagenes/NAUTICA_MENS_V821851_BLK_2.jpg" TargetMode="External" Id="rId10322"/><Relationship Type="http://schemas.openxmlformats.org/officeDocument/2006/relationships/hyperlink" Target="imagenes/NAUTICA_MENS_V821851_BLK_3.jpg" TargetMode="External" Id="rId10323"/><Relationship Type="http://schemas.openxmlformats.org/officeDocument/2006/relationships/hyperlink" Target="imagenes/NAUTICA_MENS_V822401_BGI_1.jpg" TargetMode="External" Id="rId10324"/><Relationship Type="http://schemas.openxmlformats.org/officeDocument/2006/relationships/hyperlink" Target="imagenes/NAUTICA_MENS_V822401_BGI_2.jpg" TargetMode="External" Id="rId10325"/><Relationship Type="http://schemas.openxmlformats.org/officeDocument/2006/relationships/hyperlink" Target="imagenes/NAUTICA_MENS_V822401_BGI_3.jpg" TargetMode="External" Id="rId10326"/><Relationship Type="http://schemas.openxmlformats.org/officeDocument/2006/relationships/hyperlink" Target="imagenes/NAUTICA_MENS_V822401_BGI_1.jpg" TargetMode="External" Id="rId10327"/><Relationship Type="http://schemas.openxmlformats.org/officeDocument/2006/relationships/hyperlink" Target="imagenes/NAUTICA_MENS_V822401_BGI_2.jpg" TargetMode="External" Id="rId10328"/><Relationship Type="http://schemas.openxmlformats.org/officeDocument/2006/relationships/hyperlink" Target="imagenes/NAUTICA_MENS_V822401_BGI_3.jpg" TargetMode="External" Id="rId10329"/><Relationship Type="http://schemas.openxmlformats.org/officeDocument/2006/relationships/hyperlink" Target="imagenes/NAUTICA_MENS_V822401_NVY_1.jpg" TargetMode="External" Id="rId10330"/><Relationship Type="http://schemas.openxmlformats.org/officeDocument/2006/relationships/hyperlink" Target="imagenes/NAUTICA_MENS_V822401_NVY_2.jpg" TargetMode="External" Id="rId10331"/><Relationship Type="http://schemas.openxmlformats.org/officeDocument/2006/relationships/hyperlink" Target="imagenes/NAUTICA_MENS_V822401_NVY_3.jpg" TargetMode="External" Id="rId10332"/><Relationship Type="http://schemas.openxmlformats.org/officeDocument/2006/relationships/hyperlink" Target="imagenes/NAUTICA_MENS_V822401_RED_1.jpg" TargetMode="External" Id="rId10333"/><Relationship Type="http://schemas.openxmlformats.org/officeDocument/2006/relationships/hyperlink" Target="imagenes/NAUTICA_MENS_V822401_RED_2.jpg" TargetMode="External" Id="rId10334"/><Relationship Type="http://schemas.openxmlformats.org/officeDocument/2006/relationships/hyperlink" Target="imagenes/NAUTICA_MENS_V822401_RED_3.jpg" TargetMode="External" Id="rId10335"/><Relationship Type="http://schemas.openxmlformats.org/officeDocument/2006/relationships/hyperlink" Target="imagenes/NAUTICA_MENS_V825548_BLK_1.jpg" TargetMode="External" Id="rId10336"/><Relationship Type="http://schemas.openxmlformats.org/officeDocument/2006/relationships/hyperlink" Target="imagenes/NAUTICA_MENS_V825548_BLK_2.jpg" TargetMode="External" Id="rId10337"/><Relationship Type="http://schemas.openxmlformats.org/officeDocument/2006/relationships/hyperlink" Target="imagenes/NAUTICA_MENS_V825548_BLK_3.jpg" TargetMode="External" Id="rId10338"/><Relationship Type="http://schemas.openxmlformats.org/officeDocument/2006/relationships/hyperlink" Target="imagenes/NAUTICA_MENS_V825548_BLK_1.jpg" TargetMode="External" Id="rId10339"/><Relationship Type="http://schemas.openxmlformats.org/officeDocument/2006/relationships/hyperlink" Target="imagenes/NAUTICA_MENS_V825548_BLK_2.jpg" TargetMode="External" Id="rId10340"/><Relationship Type="http://schemas.openxmlformats.org/officeDocument/2006/relationships/hyperlink" Target="imagenes/NAUTICA_MENS_V825548_BLK_3.jpg" TargetMode="External" Id="rId10341"/><Relationship Type="http://schemas.openxmlformats.org/officeDocument/2006/relationships/hyperlink" Target="imagenes/NAUTICA_MENS_V825548_BLK_1.jpg" TargetMode="External" Id="rId10342"/><Relationship Type="http://schemas.openxmlformats.org/officeDocument/2006/relationships/hyperlink" Target="imagenes/NAUTICA_MENS_V825548_BLK_2.jpg" TargetMode="External" Id="rId10343"/><Relationship Type="http://schemas.openxmlformats.org/officeDocument/2006/relationships/hyperlink" Target="imagenes/NAUTICA_MENS_V825548_BLK_3.jpg" TargetMode="External" Id="rId10344"/><Relationship Type="http://schemas.openxmlformats.org/officeDocument/2006/relationships/hyperlink" Target="imagenes/NAUTICA_MENS_V825548_BLK_1.jpg" TargetMode="External" Id="rId10345"/><Relationship Type="http://schemas.openxmlformats.org/officeDocument/2006/relationships/hyperlink" Target="imagenes/NAUTICA_MENS_V825548_BLK_2.jpg" TargetMode="External" Id="rId10346"/><Relationship Type="http://schemas.openxmlformats.org/officeDocument/2006/relationships/hyperlink" Target="imagenes/NAUTICA_MENS_V825548_BLK_3.jpg" TargetMode="External" Id="rId10347"/><Relationship Type="http://schemas.openxmlformats.org/officeDocument/2006/relationships/hyperlink" Target="imagenes/NAUTICA_MENS_V825548_BLK_1.jpg" TargetMode="External" Id="rId10348"/><Relationship Type="http://schemas.openxmlformats.org/officeDocument/2006/relationships/hyperlink" Target="imagenes/NAUTICA_MENS_V825548_BLK_2.jpg" TargetMode="External" Id="rId10349"/><Relationship Type="http://schemas.openxmlformats.org/officeDocument/2006/relationships/hyperlink" Target="imagenes/NAUTICA_MENS_V825548_BLK_3.jpg" TargetMode="External" Id="rId10350"/><Relationship Type="http://schemas.openxmlformats.org/officeDocument/2006/relationships/hyperlink" Target="imagenes/NAUTICA_MENS_V825548_BLK_1.jpg" TargetMode="External" Id="rId10351"/><Relationship Type="http://schemas.openxmlformats.org/officeDocument/2006/relationships/hyperlink" Target="imagenes/NAUTICA_MENS_V825548_BLK_2.jpg" TargetMode="External" Id="rId10352"/><Relationship Type="http://schemas.openxmlformats.org/officeDocument/2006/relationships/hyperlink" Target="imagenes/NAUTICA_MENS_V825548_BLK_3.jpg" TargetMode="External" Id="rId10353"/><Relationship Type="http://schemas.openxmlformats.org/officeDocument/2006/relationships/hyperlink" Target="imagenes/NAUTICA_MENS_V825548_BLK_1.jpg" TargetMode="External" Id="rId10354"/><Relationship Type="http://schemas.openxmlformats.org/officeDocument/2006/relationships/hyperlink" Target="imagenes/NAUTICA_MENS_V825548_BLK_2.jpg" TargetMode="External" Id="rId10355"/><Relationship Type="http://schemas.openxmlformats.org/officeDocument/2006/relationships/hyperlink" Target="imagenes/NAUTICA_MENS_V825548_BLK_3.jpg" TargetMode="External" Id="rId10356"/><Relationship Type="http://schemas.openxmlformats.org/officeDocument/2006/relationships/hyperlink" Target="imagenes/NAUTICA_MENS_V825548_BLK_1.jpg" TargetMode="External" Id="rId10357"/><Relationship Type="http://schemas.openxmlformats.org/officeDocument/2006/relationships/hyperlink" Target="imagenes/NAUTICA_MENS_V825548_BLK_2.jpg" TargetMode="External" Id="rId10358"/><Relationship Type="http://schemas.openxmlformats.org/officeDocument/2006/relationships/hyperlink" Target="imagenes/NAUTICA_MENS_V825548_BLK_3.jpg" TargetMode="External" Id="rId10359"/><Relationship Type="http://schemas.openxmlformats.org/officeDocument/2006/relationships/hyperlink" Target="imagenes/NAUTICA_MENS_V825548_BLK_1.jpg" TargetMode="External" Id="rId10360"/><Relationship Type="http://schemas.openxmlformats.org/officeDocument/2006/relationships/hyperlink" Target="imagenes/NAUTICA_MENS_V825548_BLK_2.jpg" TargetMode="External" Id="rId10361"/><Relationship Type="http://schemas.openxmlformats.org/officeDocument/2006/relationships/hyperlink" Target="imagenes/NAUTICA_MENS_V825548_BLK_3.jpg" TargetMode="External" Id="rId10362"/><Relationship Type="http://schemas.openxmlformats.org/officeDocument/2006/relationships/hyperlink" Target="imagenes/NAUTICA_MENS_V825548_BLK_1.jpg" TargetMode="External" Id="rId10363"/><Relationship Type="http://schemas.openxmlformats.org/officeDocument/2006/relationships/hyperlink" Target="imagenes/NAUTICA_MENS_V825548_BLK_2.jpg" TargetMode="External" Id="rId10364"/><Relationship Type="http://schemas.openxmlformats.org/officeDocument/2006/relationships/hyperlink" Target="imagenes/NAUTICA_MENS_V825548_BLK_3.jpg" TargetMode="External" Id="rId10365"/><Relationship Type="http://schemas.openxmlformats.org/officeDocument/2006/relationships/hyperlink" Target="imagenes/NAUTICA_MENS_V825548_BLK_1.jpg" TargetMode="External" Id="rId10366"/><Relationship Type="http://schemas.openxmlformats.org/officeDocument/2006/relationships/hyperlink" Target="imagenes/NAUTICA_MENS_V825548_BLK_2.jpg" TargetMode="External" Id="rId10367"/><Relationship Type="http://schemas.openxmlformats.org/officeDocument/2006/relationships/hyperlink" Target="imagenes/NAUTICA_MENS_V825548_BLK_3.jpg" TargetMode="External" Id="rId10368"/><Relationship Type="http://schemas.openxmlformats.org/officeDocument/2006/relationships/hyperlink" Target="imagenes/NAUTICA_MENS_V825548_BLK_1.jpg" TargetMode="External" Id="rId10369"/><Relationship Type="http://schemas.openxmlformats.org/officeDocument/2006/relationships/hyperlink" Target="imagenes/NAUTICA_MENS_V825548_BLK_2.jpg" TargetMode="External" Id="rId10370"/><Relationship Type="http://schemas.openxmlformats.org/officeDocument/2006/relationships/hyperlink" Target="imagenes/NAUTICA_MENS_V825548_BLK_3.jpg" TargetMode="External" Id="rId10371"/><Relationship Type="http://schemas.openxmlformats.org/officeDocument/2006/relationships/hyperlink" Target="imagenes/NAUTICA_MENS_V825548_CAM_1.jpg" TargetMode="External" Id="rId10372"/><Relationship Type="http://schemas.openxmlformats.org/officeDocument/2006/relationships/hyperlink" Target="imagenes/NAUTICA_MENS_V825548_CAM_2.jpg" TargetMode="External" Id="rId10373"/><Relationship Type="http://schemas.openxmlformats.org/officeDocument/2006/relationships/hyperlink" Target="imagenes/NAUTICA_MENS_V825548_CAM_3.jpg" TargetMode="External" Id="rId10374"/><Relationship Type="http://schemas.openxmlformats.org/officeDocument/2006/relationships/hyperlink" Target="imagenes/NAUTICA_MENS_V825548_CAM_1.jpg" TargetMode="External" Id="rId10375"/><Relationship Type="http://schemas.openxmlformats.org/officeDocument/2006/relationships/hyperlink" Target="imagenes/NAUTICA_MENS_V825548_CAM_2.jpg" TargetMode="External" Id="rId10376"/><Relationship Type="http://schemas.openxmlformats.org/officeDocument/2006/relationships/hyperlink" Target="imagenes/NAUTICA_MENS_V825548_CAM_3.jpg" TargetMode="External" Id="rId10377"/><Relationship Type="http://schemas.openxmlformats.org/officeDocument/2006/relationships/hyperlink" Target="imagenes/NAUTICA_MENS_V825548_CAM_1.jpg" TargetMode="External" Id="rId10378"/><Relationship Type="http://schemas.openxmlformats.org/officeDocument/2006/relationships/hyperlink" Target="imagenes/NAUTICA_MENS_V825548_CAM_2.jpg" TargetMode="External" Id="rId10379"/><Relationship Type="http://schemas.openxmlformats.org/officeDocument/2006/relationships/hyperlink" Target="imagenes/NAUTICA_MENS_V825548_CAM_3.jpg" TargetMode="External" Id="rId10380"/><Relationship Type="http://schemas.openxmlformats.org/officeDocument/2006/relationships/hyperlink" Target="imagenes/NAUTICA_MENS_V825548_CAM_1.jpg" TargetMode="External" Id="rId10381"/><Relationship Type="http://schemas.openxmlformats.org/officeDocument/2006/relationships/hyperlink" Target="imagenes/NAUTICA_MENS_V825548_CAM_2.jpg" TargetMode="External" Id="rId10382"/><Relationship Type="http://schemas.openxmlformats.org/officeDocument/2006/relationships/hyperlink" Target="imagenes/NAUTICA_MENS_V825548_CAM_3.jpg" TargetMode="External" Id="rId10383"/><Relationship Type="http://schemas.openxmlformats.org/officeDocument/2006/relationships/hyperlink" Target="imagenes/NAUTICA_MENS_V825548_CAM_1.jpg" TargetMode="External" Id="rId10384"/><Relationship Type="http://schemas.openxmlformats.org/officeDocument/2006/relationships/hyperlink" Target="imagenes/NAUTICA_MENS_V825548_CAM_2.jpg" TargetMode="External" Id="rId10385"/><Relationship Type="http://schemas.openxmlformats.org/officeDocument/2006/relationships/hyperlink" Target="imagenes/NAUTICA_MENS_V825548_CAM_3.jpg" TargetMode="External" Id="rId10386"/><Relationship Type="http://schemas.openxmlformats.org/officeDocument/2006/relationships/hyperlink" Target="imagenes/NAUTICA_MENS_V825548_CAM_1.jpg" TargetMode="External" Id="rId10387"/><Relationship Type="http://schemas.openxmlformats.org/officeDocument/2006/relationships/hyperlink" Target="imagenes/NAUTICA_MENS_V825548_CAM_2.jpg" TargetMode="External" Id="rId10388"/><Relationship Type="http://schemas.openxmlformats.org/officeDocument/2006/relationships/hyperlink" Target="imagenes/NAUTICA_MENS_V825548_CAM_3.jpg" TargetMode="External" Id="rId10389"/><Relationship Type="http://schemas.openxmlformats.org/officeDocument/2006/relationships/hyperlink" Target="imagenes/NAUTICA_MENS_V825548_CAM_1.jpg" TargetMode="External" Id="rId10390"/><Relationship Type="http://schemas.openxmlformats.org/officeDocument/2006/relationships/hyperlink" Target="imagenes/NAUTICA_MENS_V825548_CAM_2.jpg" TargetMode="External" Id="rId10391"/><Relationship Type="http://schemas.openxmlformats.org/officeDocument/2006/relationships/hyperlink" Target="imagenes/NAUTICA_MENS_V825548_CAM_3.jpg" TargetMode="External" Id="rId10392"/><Relationship Type="http://schemas.openxmlformats.org/officeDocument/2006/relationships/hyperlink" Target="imagenes/NAUTICA_MENS_V825548_CAM_1.jpg" TargetMode="External" Id="rId10393"/><Relationship Type="http://schemas.openxmlformats.org/officeDocument/2006/relationships/hyperlink" Target="imagenes/NAUTICA_MENS_V825548_CAM_2.jpg" TargetMode="External" Id="rId10394"/><Relationship Type="http://schemas.openxmlformats.org/officeDocument/2006/relationships/hyperlink" Target="imagenes/NAUTICA_MENS_V825548_CAM_3.jpg" TargetMode="External" Id="rId10395"/><Relationship Type="http://schemas.openxmlformats.org/officeDocument/2006/relationships/hyperlink" Target="imagenes/NAUTICA_MENS_V825548_CAM_1.jpg" TargetMode="External" Id="rId10396"/><Relationship Type="http://schemas.openxmlformats.org/officeDocument/2006/relationships/hyperlink" Target="imagenes/NAUTICA_MENS_V825548_CAM_2.jpg" TargetMode="External" Id="rId10397"/><Relationship Type="http://schemas.openxmlformats.org/officeDocument/2006/relationships/hyperlink" Target="imagenes/NAUTICA_MENS_V825548_CAM_3.jpg" TargetMode="External" Id="rId10398"/><Relationship Type="http://schemas.openxmlformats.org/officeDocument/2006/relationships/hyperlink" Target="imagenes/NAUTICA_MENS_V825548_CHR_1.jpg" TargetMode="External" Id="rId10399"/><Relationship Type="http://schemas.openxmlformats.org/officeDocument/2006/relationships/hyperlink" Target="imagenes/NAUTICA_MENS_V825548_CHR_2.jpg" TargetMode="External" Id="rId10400"/><Relationship Type="http://schemas.openxmlformats.org/officeDocument/2006/relationships/hyperlink" Target="imagenes/NAUTICA_MENS_V825548_CHR_3.jpg" TargetMode="External" Id="rId10401"/><Relationship Type="http://schemas.openxmlformats.org/officeDocument/2006/relationships/hyperlink" Target="imagenes/NAUTICA_MENS_V825548_CHR_1.jpg" TargetMode="External" Id="rId10402"/><Relationship Type="http://schemas.openxmlformats.org/officeDocument/2006/relationships/hyperlink" Target="imagenes/NAUTICA_MENS_V825548_CHR_2.jpg" TargetMode="External" Id="rId10403"/><Relationship Type="http://schemas.openxmlformats.org/officeDocument/2006/relationships/hyperlink" Target="imagenes/NAUTICA_MENS_V825548_CHR_3.jpg" TargetMode="External" Id="rId10404"/><Relationship Type="http://schemas.openxmlformats.org/officeDocument/2006/relationships/hyperlink" Target="imagenes/NAUTICA_MENS_V825548_CHR_1.jpg" TargetMode="External" Id="rId10405"/><Relationship Type="http://schemas.openxmlformats.org/officeDocument/2006/relationships/hyperlink" Target="imagenes/NAUTICA_MENS_V825548_CHR_2.jpg" TargetMode="External" Id="rId10406"/><Relationship Type="http://schemas.openxmlformats.org/officeDocument/2006/relationships/hyperlink" Target="imagenes/NAUTICA_MENS_V825548_CHR_3.jpg" TargetMode="External" Id="rId10407"/><Relationship Type="http://schemas.openxmlformats.org/officeDocument/2006/relationships/hyperlink" Target="imagenes/NAUTICA_MENS_V825548_CHR_1.jpg" TargetMode="External" Id="rId10408"/><Relationship Type="http://schemas.openxmlformats.org/officeDocument/2006/relationships/hyperlink" Target="imagenes/NAUTICA_MENS_V825548_CHR_2.jpg" TargetMode="External" Id="rId10409"/><Relationship Type="http://schemas.openxmlformats.org/officeDocument/2006/relationships/hyperlink" Target="imagenes/NAUTICA_MENS_V825548_CHR_3.jpg" TargetMode="External" Id="rId10410"/><Relationship Type="http://schemas.openxmlformats.org/officeDocument/2006/relationships/hyperlink" Target="imagenes/NAUTICA_MENS_V825548_CHR_1.jpg" TargetMode="External" Id="rId10411"/><Relationship Type="http://schemas.openxmlformats.org/officeDocument/2006/relationships/hyperlink" Target="imagenes/NAUTICA_MENS_V825548_CHR_2.jpg" TargetMode="External" Id="rId10412"/><Relationship Type="http://schemas.openxmlformats.org/officeDocument/2006/relationships/hyperlink" Target="imagenes/NAUTICA_MENS_V825548_CHR_3.jpg" TargetMode="External" Id="rId10413"/><Relationship Type="http://schemas.openxmlformats.org/officeDocument/2006/relationships/hyperlink" Target="imagenes/NAUTICA_MENS_V825548_CHR_1.jpg" TargetMode="External" Id="rId10414"/><Relationship Type="http://schemas.openxmlformats.org/officeDocument/2006/relationships/hyperlink" Target="imagenes/NAUTICA_MENS_V825548_CHR_2.jpg" TargetMode="External" Id="rId10415"/><Relationship Type="http://schemas.openxmlformats.org/officeDocument/2006/relationships/hyperlink" Target="imagenes/NAUTICA_MENS_V825548_CHR_3.jpg" TargetMode="External" Id="rId10416"/><Relationship Type="http://schemas.openxmlformats.org/officeDocument/2006/relationships/hyperlink" Target="imagenes/NAUTICA_MENS_V825548_CHR_1.jpg" TargetMode="External" Id="rId10417"/><Relationship Type="http://schemas.openxmlformats.org/officeDocument/2006/relationships/hyperlink" Target="imagenes/NAUTICA_MENS_V825548_CHR_2.jpg" TargetMode="External" Id="rId10418"/><Relationship Type="http://schemas.openxmlformats.org/officeDocument/2006/relationships/hyperlink" Target="imagenes/NAUTICA_MENS_V825548_CHR_3.jpg" TargetMode="External" Id="rId10419"/><Relationship Type="http://schemas.openxmlformats.org/officeDocument/2006/relationships/hyperlink" Target="imagenes/NAUTICA_MENS_V825548_CHR_1.jpg" TargetMode="External" Id="rId10420"/><Relationship Type="http://schemas.openxmlformats.org/officeDocument/2006/relationships/hyperlink" Target="imagenes/NAUTICA_MENS_V825548_CHR_2.jpg" TargetMode="External" Id="rId10421"/><Relationship Type="http://schemas.openxmlformats.org/officeDocument/2006/relationships/hyperlink" Target="imagenes/NAUTICA_MENS_V825548_CHR_3.jpg" TargetMode="External" Id="rId10422"/><Relationship Type="http://schemas.openxmlformats.org/officeDocument/2006/relationships/hyperlink" Target="imagenes/NAUTICA_MENS_V825548_CHR_1.jpg" TargetMode="External" Id="rId10423"/><Relationship Type="http://schemas.openxmlformats.org/officeDocument/2006/relationships/hyperlink" Target="imagenes/NAUTICA_MENS_V825548_CHR_2.jpg" TargetMode="External" Id="rId10424"/><Relationship Type="http://schemas.openxmlformats.org/officeDocument/2006/relationships/hyperlink" Target="imagenes/NAUTICA_MENS_V825548_CHR_3.jpg" TargetMode="External" Id="rId10425"/><Relationship Type="http://schemas.openxmlformats.org/officeDocument/2006/relationships/hyperlink" Target="imagenes/NAUTICA_MENS_V825548_CHR_1.jpg" TargetMode="External" Id="rId10426"/><Relationship Type="http://schemas.openxmlformats.org/officeDocument/2006/relationships/hyperlink" Target="imagenes/NAUTICA_MENS_V825548_CHR_2.jpg" TargetMode="External" Id="rId10427"/><Relationship Type="http://schemas.openxmlformats.org/officeDocument/2006/relationships/hyperlink" Target="imagenes/NAUTICA_MENS_V825548_CHR_3.jpg" TargetMode="External" Id="rId10428"/><Relationship Type="http://schemas.openxmlformats.org/officeDocument/2006/relationships/hyperlink" Target="imagenes/NAUTICA_MENS_V825548_CHR_1.jpg" TargetMode="External" Id="rId10429"/><Relationship Type="http://schemas.openxmlformats.org/officeDocument/2006/relationships/hyperlink" Target="imagenes/NAUTICA_MENS_V825548_CHR_2.jpg" TargetMode="External" Id="rId10430"/><Relationship Type="http://schemas.openxmlformats.org/officeDocument/2006/relationships/hyperlink" Target="imagenes/NAUTICA_MENS_V825548_CHR_3.jpg" TargetMode="External" Id="rId10431"/><Relationship Type="http://schemas.openxmlformats.org/officeDocument/2006/relationships/hyperlink" Target="imagenes/NAUTICA_MENS_V825548_CHR_1.jpg" TargetMode="External" Id="rId10432"/><Relationship Type="http://schemas.openxmlformats.org/officeDocument/2006/relationships/hyperlink" Target="imagenes/NAUTICA_MENS_V825548_CHR_2.jpg" TargetMode="External" Id="rId10433"/><Relationship Type="http://schemas.openxmlformats.org/officeDocument/2006/relationships/hyperlink" Target="imagenes/NAUTICA_MENS_V825548_CHR_3.jpg" TargetMode="External" Id="rId10434"/><Relationship Type="http://schemas.openxmlformats.org/officeDocument/2006/relationships/hyperlink" Target="imagenes/NAUTICA_MENS_V825548_DNY_1.jpg" TargetMode="External" Id="rId10435"/><Relationship Type="http://schemas.openxmlformats.org/officeDocument/2006/relationships/hyperlink" Target="imagenes/NAUTICA_MENS_V825548_DNY_2.jpg" TargetMode="External" Id="rId10436"/><Relationship Type="http://schemas.openxmlformats.org/officeDocument/2006/relationships/hyperlink" Target="imagenes/NAUTICA_MENS_V825548_DNY_3.jpg" TargetMode="External" Id="rId10437"/><Relationship Type="http://schemas.openxmlformats.org/officeDocument/2006/relationships/hyperlink" Target="imagenes/NAUTICA_MENS_V825548_DNY_1.jpg" TargetMode="External" Id="rId10438"/><Relationship Type="http://schemas.openxmlformats.org/officeDocument/2006/relationships/hyperlink" Target="imagenes/NAUTICA_MENS_V825548_DNY_2.jpg" TargetMode="External" Id="rId10439"/><Relationship Type="http://schemas.openxmlformats.org/officeDocument/2006/relationships/hyperlink" Target="imagenes/NAUTICA_MENS_V825548_DNY_3.jpg" TargetMode="External" Id="rId10440"/><Relationship Type="http://schemas.openxmlformats.org/officeDocument/2006/relationships/hyperlink" Target="imagenes/NAUTICA_MENS_V825548_DNY_1.jpg" TargetMode="External" Id="rId10441"/><Relationship Type="http://schemas.openxmlformats.org/officeDocument/2006/relationships/hyperlink" Target="imagenes/NAUTICA_MENS_V825548_DNY_2.jpg" TargetMode="External" Id="rId10442"/><Relationship Type="http://schemas.openxmlformats.org/officeDocument/2006/relationships/hyperlink" Target="imagenes/NAUTICA_MENS_V825548_DNY_3.jpg" TargetMode="External" Id="rId10443"/><Relationship Type="http://schemas.openxmlformats.org/officeDocument/2006/relationships/hyperlink" Target="imagenes/NAUTICA_MENS_V825548_DNY_1.jpg" TargetMode="External" Id="rId10444"/><Relationship Type="http://schemas.openxmlformats.org/officeDocument/2006/relationships/hyperlink" Target="imagenes/NAUTICA_MENS_V825548_DNY_2.jpg" TargetMode="External" Id="rId10445"/><Relationship Type="http://schemas.openxmlformats.org/officeDocument/2006/relationships/hyperlink" Target="imagenes/NAUTICA_MENS_V825548_DNY_3.jpg" TargetMode="External" Id="rId10446"/><Relationship Type="http://schemas.openxmlformats.org/officeDocument/2006/relationships/hyperlink" Target="imagenes/NAUTICA_MENS_V825548_DNY_1.jpg" TargetMode="External" Id="rId10447"/><Relationship Type="http://schemas.openxmlformats.org/officeDocument/2006/relationships/hyperlink" Target="imagenes/NAUTICA_MENS_V825548_DNY_2.jpg" TargetMode="External" Id="rId10448"/><Relationship Type="http://schemas.openxmlformats.org/officeDocument/2006/relationships/hyperlink" Target="imagenes/NAUTICA_MENS_V825548_DNY_3.jpg" TargetMode="External" Id="rId10449"/><Relationship Type="http://schemas.openxmlformats.org/officeDocument/2006/relationships/hyperlink" Target="imagenes/NAUTICA_MENS_V825548_DNY_1.jpg" TargetMode="External" Id="rId10450"/><Relationship Type="http://schemas.openxmlformats.org/officeDocument/2006/relationships/hyperlink" Target="imagenes/NAUTICA_MENS_V825548_DNY_2.jpg" TargetMode="External" Id="rId10451"/><Relationship Type="http://schemas.openxmlformats.org/officeDocument/2006/relationships/hyperlink" Target="imagenes/NAUTICA_MENS_V825548_DNY_3.jpg" TargetMode="External" Id="rId10452"/><Relationship Type="http://schemas.openxmlformats.org/officeDocument/2006/relationships/hyperlink" Target="imagenes/NAUTICA_MENS_V825548_DNY_1.jpg" TargetMode="External" Id="rId10453"/><Relationship Type="http://schemas.openxmlformats.org/officeDocument/2006/relationships/hyperlink" Target="imagenes/NAUTICA_MENS_V825548_DNY_2.jpg" TargetMode="External" Id="rId10454"/><Relationship Type="http://schemas.openxmlformats.org/officeDocument/2006/relationships/hyperlink" Target="imagenes/NAUTICA_MENS_V825548_DNY_3.jpg" TargetMode="External" Id="rId10455"/><Relationship Type="http://schemas.openxmlformats.org/officeDocument/2006/relationships/hyperlink" Target="imagenes/NAUTICA_MENS_V825548_DNY_1.jpg" TargetMode="External" Id="rId10456"/><Relationship Type="http://schemas.openxmlformats.org/officeDocument/2006/relationships/hyperlink" Target="imagenes/NAUTICA_MENS_V825548_DNY_2.jpg" TargetMode="External" Id="rId10457"/><Relationship Type="http://schemas.openxmlformats.org/officeDocument/2006/relationships/hyperlink" Target="imagenes/NAUTICA_MENS_V825548_DNY_3.jpg" TargetMode="External" Id="rId10458"/><Relationship Type="http://schemas.openxmlformats.org/officeDocument/2006/relationships/hyperlink" Target="imagenes/NAUTICA_MENS_V825548_DNY_1.jpg" TargetMode="External" Id="rId10459"/><Relationship Type="http://schemas.openxmlformats.org/officeDocument/2006/relationships/hyperlink" Target="imagenes/NAUTICA_MENS_V825548_DNY_2.jpg" TargetMode="External" Id="rId10460"/><Relationship Type="http://schemas.openxmlformats.org/officeDocument/2006/relationships/hyperlink" Target="imagenes/NAUTICA_MENS_V825548_DNY_3.jpg" TargetMode="External" Id="rId10461"/><Relationship Type="http://schemas.openxmlformats.org/officeDocument/2006/relationships/hyperlink" Target="imagenes/NAUTICA_MENS_V825548_DNY_1.jpg" TargetMode="External" Id="rId10462"/><Relationship Type="http://schemas.openxmlformats.org/officeDocument/2006/relationships/hyperlink" Target="imagenes/NAUTICA_MENS_V825548_DNY_2.jpg" TargetMode="External" Id="rId10463"/><Relationship Type="http://schemas.openxmlformats.org/officeDocument/2006/relationships/hyperlink" Target="imagenes/NAUTICA_MENS_V825548_DNY_3.jpg" TargetMode="External" Id="rId10464"/><Relationship Type="http://schemas.openxmlformats.org/officeDocument/2006/relationships/hyperlink" Target="imagenes/NAUTICA_MENS_V825548_DNY_1.jpg" TargetMode="External" Id="rId10465"/><Relationship Type="http://schemas.openxmlformats.org/officeDocument/2006/relationships/hyperlink" Target="imagenes/NAUTICA_MENS_V825548_DNY_2.jpg" TargetMode="External" Id="rId10466"/><Relationship Type="http://schemas.openxmlformats.org/officeDocument/2006/relationships/hyperlink" Target="imagenes/NAUTICA_MENS_V825548_DNY_3.jpg" TargetMode="External" Id="rId10467"/><Relationship Type="http://schemas.openxmlformats.org/officeDocument/2006/relationships/hyperlink" Target="imagenes/NAUTICA_MENS_V825548_LGR_1.jpg" TargetMode="External" Id="rId10468"/><Relationship Type="http://schemas.openxmlformats.org/officeDocument/2006/relationships/hyperlink" Target="imagenes/NAUTICA_MENS_V825548_LGR_2.jpg" TargetMode="External" Id="rId10469"/><Relationship Type="http://schemas.openxmlformats.org/officeDocument/2006/relationships/hyperlink" Target="imagenes/NAUTICA_MENS_V825548_LGR_3.jpg" TargetMode="External" Id="rId10470"/><Relationship Type="http://schemas.openxmlformats.org/officeDocument/2006/relationships/hyperlink" Target="imagenes/NAUTICA_MENS_V825548_LGR_1.jpg" TargetMode="External" Id="rId10471"/><Relationship Type="http://schemas.openxmlformats.org/officeDocument/2006/relationships/hyperlink" Target="imagenes/NAUTICA_MENS_V825548_LGR_2.jpg" TargetMode="External" Id="rId10472"/><Relationship Type="http://schemas.openxmlformats.org/officeDocument/2006/relationships/hyperlink" Target="imagenes/NAUTICA_MENS_V825548_LGR_3.jpg" TargetMode="External" Id="rId10473"/><Relationship Type="http://schemas.openxmlformats.org/officeDocument/2006/relationships/hyperlink" Target="imagenes/NAUTICA_MENS_V825548_LGR_1.jpg" TargetMode="External" Id="rId10474"/><Relationship Type="http://schemas.openxmlformats.org/officeDocument/2006/relationships/hyperlink" Target="imagenes/NAUTICA_MENS_V825548_LGR_2.jpg" TargetMode="External" Id="rId10475"/><Relationship Type="http://schemas.openxmlformats.org/officeDocument/2006/relationships/hyperlink" Target="imagenes/NAUTICA_MENS_V825548_LGR_3.jpg" TargetMode="External" Id="rId10476"/><Relationship Type="http://schemas.openxmlformats.org/officeDocument/2006/relationships/hyperlink" Target="imagenes/NAUTICA_MENS_V825548_LGR_1.jpg" TargetMode="External" Id="rId10477"/><Relationship Type="http://schemas.openxmlformats.org/officeDocument/2006/relationships/hyperlink" Target="imagenes/NAUTICA_MENS_V825548_LGR_2.jpg" TargetMode="External" Id="rId10478"/><Relationship Type="http://schemas.openxmlformats.org/officeDocument/2006/relationships/hyperlink" Target="imagenes/NAUTICA_MENS_V825548_LGR_3.jpg" TargetMode="External" Id="rId10479"/><Relationship Type="http://schemas.openxmlformats.org/officeDocument/2006/relationships/hyperlink" Target="imagenes/NAUTICA_MENS_V825548_LOD_1.jpg" TargetMode="External" Id="rId10480"/><Relationship Type="http://schemas.openxmlformats.org/officeDocument/2006/relationships/hyperlink" Target="imagenes/NAUTICA_MENS_V825548_LOD_2.jpg" TargetMode="External" Id="rId10481"/><Relationship Type="http://schemas.openxmlformats.org/officeDocument/2006/relationships/hyperlink" Target="imagenes/NAUTICA_MENS_V825548_LOD_3.jpg" TargetMode="External" Id="rId10482"/><Relationship Type="http://schemas.openxmlformats.org/officeDocument/2006/relationships/hyperlink" Target="imagenes/NAUTICA_MENS_V825548_LOD_1.jpg" TargetMode="External" Id="rId10483"/><Relationship Type="http://schemas.openxmlformats.org/officeDocument/2006/relationships/hyperlink" Target="imagenes/NAUTICA_MENS_V825548_LOD_2.jpg" TargetMode="External" Id="rId10484"/><Relationship Type="http://schemas.openxmlformats.org/officeDocument/2006/relationships/hyperlink" Target="imagenes/NAUTICA_MENS_V825548_LOD_3.jpg" TargetMode="External" Id="rId10485"/><Relationship Type="http://schemas.openxmlformats.org/officeDocument/2006/relationships/hyperlink" Target="imagenes/NAUTICA_MENS_V825548_LOD_1.jpg" TargetMode="External" Id="rId10486"/><Relationship Type="http://schemas.openxmlformats.org/officeDocument/2006/relationships/hyperlink" Target="imagenes/NAUTICA_MENS_V825548_LOD_2.jpg" TargetMode="External" Id="rId10487"/><Relationship Type="http://schemas.openxmlformats.org/officeDocument/2006/relationships/hyperlink" Target="imagenes/NAUTICA_MENS_V825548_LOD_3.jpg" TargetMode="External" Id="rId10488"/><Relationship Type="http://schemas.openxmlformats.org/officeDocument/2006/relationships/hyperlink" Target="imagenes/NAUTICA_MENS_V825548_LOD_1.jpg" TargetMode="External" Id="rId10489"/><Relationship Type="http://schemas.openxmlformats.org/officeDocument/2006/relationships/hyperlink" Target="imagenes/NAUTICA_MENS_V825548_LOD_2.jpg" TargetMode="External" Id="rId10490"/><Relationship Type="http://schemas.openxmlformats.org/officeDocument/2006/relationships/hyperlink" Target="imagenes/NAUTICA_MENS_V825548_LOD_3.jpg" TargetMode="External" Id="rId10491"/><Relationship Type="http://schemas.openxmlformats.org/officeDocument/2006/relationships/hyperlink" Target="imagenes/NAUTICA_MENS_V825548_LOD_1.jpg" TargetMode="External" Id="rId10492"/><Relationship Type="http://schemas.openxmlformats.org/officeDocument/2006/relationships/hyperlink" Target="imagenes/NAUTICA_MENS_V825548_LOD_2.jpg" TargetMode="External" Id="rId10493"/><Relationship Type="http://schemas.openxmlformats.org/officeDocument/2006/relationships/hyperlink" Target="imagenes/NAUTICA_MENS_V825548_LOD_3.jpg" TargetMode="External" Id="rId10494"/><Relationship Type="http://schemas.openxmlformats.org/officeDocument/2006/relationships/hyperlink" Target="imagenes/SAGE_COLLECTIVE_OUTERWEAR_107010295_BLK_1.jpg" TargetMode="External" Id="rId10495"/><Relationship Type="http://schemas.openxmlformats.org/officeDocument/2006/relationships/hyperlink" Target="imagenes/SAGE_COLLECTIVE_OUTERWEAR_107010295_BLK_2.jpg" TargetMode="External" Id="rId10496"/><Relationship Type="http://schemas.openxmlformats.org/officeDocument/2006/relationships/hyperlink" Target="imagenes/SAGE_COLLECTIVE_OUTERWEAR_107010295_BLK_3.jpg" TargetMode="External" Id="rId10497"/><Relationship Type="http://schemas.openxmlformats.org/officeDocument/2006/relationships/hyperlink" Target="imagenes/SAGE_COLLECTIVE_OUTERWEAR_107010295_BLK_1.jpg" TargetMode="External" Id="rId10498"/><Relationship Type="http://schemas.openxmlformats.org/officeDocument/2006/relationships/hyperlink" Target="imagenes/SAGE_COLLECTIVE_OUTERWEAR_107010295_BLK_2.jpg" TargetMode="External" Id="rId10499"/><Relationship Type="http://schemas.openxmlformats.org/officeDocument/2006/relationships/hyperlink" Target="imagenes/SAGE_COLLECTIVE_OUTERWEAR_107010295_BLK_3.jpg" TargetMode="External" Id="rId10500"/><Relationship Type="http://schemas.openxmlformats.org/officeDocument/2006/relationships/hyperlink" Target="imagenes/SAGE_COLLECTIVE_OUTERWEAR_107010295_BLK_1.jpg" TargetMode="External" Id="rId10501"/><Relationship Type="http://schemas.openxmlformats.org/officeDocument/2006/relationships/hyperlink" Target="imagenes/SAGE_COLLECTIVE_OUTERWEAR_107010295_BLK_2.jpg" TargetMode="External" Id="rId10502"/><Relationship Type="http://schemas.openxmlformats.org/officeDocument/2006/relationships/hyperlink" Target="imagenes/SAGE_COLLECTIVE_OUTERWEAR_107010295_BLK_3.jpg" TargetMode="External" Id="rId10503"/><Relationship Type="http://schemas.openxmlformats.org/officeDocument/2006/relationships/hyperlink" Target="imagenes/SAGE_COLLECTIVE_OUTERWEAR_107010295_BLK_1.jpg" TargetMode="External" Id="rId10504"/><Relationship Type="http://schemas.openxmlformats.org/officeDocument/2006/relationships/hyperlink" Target="imagenes/SAGE_COLLECTIVE_OUTERWEAR_107010295_BLK_2.jpg" TargetMode="External" Id="rId10505"/><Relationship Type="http://schemas.openxmlformats.org/officeDocument/2006/relationships/hyperlink" Target="imagenes/SAGE_COLLECTIVE_OUTERWEAR_107010295_BLK_3.jpg" TargetMode="External" Id="rId10506"/><Relationship Type="http://schemas.openxmlformats.org/officeDocument/2006/relationships/hyperlink" Target="imagenes/SAGE_COLLECTIVE_OUTERWEAR_107010295_BLK_1.jpg" TargetMode="External" Id="rId10507"/><Relationship Type="http://schemas.openxmlformats.org/officeDocument/2006/relationships/hyperlink" Target="imagenes/SAGE_COLLECTIVE_OUTERWEAR_107010295_BLK_2.jpg" TargetMode="External" Id="rId10508"/><Relationship Type="http://schemas.openxmlformats.org/officeDocument/2006/relationships/hyperlink" Target="imagenes/SAGE_COLLECTIVE_OUTERWEAR_107010295_BLK_3.jpg" TargetMode="External" Id="rId10509"/><Relationship Type="http://schemas.openxmlformats.org/officeDocument/2006/relationships/hyperlink" Target="imagenes/SAGE_COLLECTIVE_OUTERWEAR_107010295_TFF_1.jpg" TargetMode="External" Id="rId10510"/><Relationship Type="http://schemas.openxmlformats.org/officeDocument/2006/relationships/hyperlink" Target="imagenes/SAGE_COLLECTIVE_OUTERWEAR_107010295_TFF_2.jpg" TargetMode="External" Id="rId10511"/><Relationship Type="http://schemas.openxmlformats.org/officeDocument/2006/relationships/hyperlink" Target="imagenes/SAGE_COLLECTIVE_OUTERWEAR_107010295_TFF_3.jpg" TargetMode="External" Id="rId10512"/><Relationship Type="http://schemas.openxmlformats.org/officeDocument/2006/relationships/hyperlink" Target="imagenes/SAGE_COLLECTIVE_OUTERWEAR_107010295_TFF_1.jpg" TargetMode="External" Id="rId10513"/><Relationship Type="http://schemas.openxmlformats.org/officeDocument/2006/relationships/hyperlink" Target="imagenes/SAGE_COLLECTIVE_OUTERWEAR_107010295_TFF_2.jpg" TargetMode="External" Id="rId10514"/><Relationship Type="http://schemas.openxmlformats.org/officeDocument/2006/relationships/hyperlink" Target="imagenes/SAGE_COLLECTIVE_OUTERWEAR_107010295_TFF_3.jpg" TargetMode="External" Id="rId10515"/><Relationship Type="http://schemas.openxmlformats.org/officeDocument/2006/relationships/hyperlink" Target="imagenes/SAGE_COLLECTIVE_OUTERWEAR_107010295_TFF_1.jpg" TargetMode="External" Id="rId10516"/><Relationship Type="http://schemas.openxmlformats.org/officeDocument/2006/relationships/hyperlink" Target="imagenes/SAGE_COLLECTIVE_OUTERWEAR_107010295_TFF_2.jpg" TargetMode="External" Id="rId10517"/><Relationship Type="http://schemas.openxmlformats.org/officeDocument/2006/relationships/hyperlink" Target="imagenes/SAGE_COLLECTIVE_OUTERWEAR_107010295_TFF_3.jpg" TargetMode="External" Id="rId10518"/><Relationship Type="http://schemas.openxmlformats.org/officeDocument/2006/relationships/hyperlink" Target="imagenes/SAGE_COLLECTIVE_OUTERWEAR_107010295_TFF_1.jpg" TargetMode="External" Id="rId10519"/><Relationship Type="http://schemas.openxmlformats.org/officeDocument/2006/relationships/hyperlink" Target="imagenes/SAGE_COLLECTIVE_OUTERWEAR_107010295_TFF_2.jpg" TargetMode="External" Id="rId10520"/><Relationship Type="http://schemas.openxmlformats.org/officeDocument/2006/relationships/hyperlink" Target="imagenes/SAGE_COLLECTIVE_OUTERWEAR_107010295_TFF_3.jpg" TargetMode="External" Id="rId10521"/><Relationship Type="http://schemas.openxmlformats.org/officeDocument/2006/relationships/hyperlink" Target="imagenes/SAGE_COLLECTIVE_OUTERWEAR_107010295_TFF_1.jpg" TargetMode="External" Id="rId10522"/><Relationship Type="http://schemas.openxmlformats.org/officeDocument/2006/relationships/hyperlink" Target="imagenes/SAGE_COLLECTIVE_OUTERWEAR_107010295_TFF_2.jpg" TargetMode="External" Id="rId10523"/><Relationship Type="http://schemas.openxmlformats.org/officeDocument/2006/relationships/hyperlink" Target="imagenes/SAGE_COLLECTIVE_OUTERWEAR_107010295_TFF_3.jpg" TargetMode="External" Id="rId10524"/><Relationship Type="http://schemas.openxmlformats.org/officeDocument/2006/relationships/hyperlink" Target="imagenes/SAGE_COLLECTIVE_OUTERWEAR_107010295_TFF_1.jpg" TargetMode="External" Id="rId10525"/><Relationship Type="http://schemas.openxmlformats.org/officeDocument/2006/relationships/hyperlink" Target="imagenes/SAGE_COLLECTIVE_OUTERWEAR_107010295_TFF_2.jpg" TargetMode="External" Id="rId10526"/><Relationship Type="http://schemas.openxmlformats.org/officeDocument/2006/relationships/hyperlink" Target="imagenes/SAGE_COLLECTIVE_OUTERWEAR_107010295_TFF_3.jpg" TargetMode="External" Id="rId10527"/><Relationship Type="http://schemas.openxmlformats.org/officeDocument/2006/relationships/hyperlink" Target="imagenes/SAGE_COLLECTIVE_OUTERWEAR_107010295_TFF_1.jpg" TargetMode="External" Id="rId10528"/><Relationship Type="http://schemas.openxmlformats.org/officeDocument/2006/relationships/hyperlink" Target="imagenes/SAGE_COLLECTIVE_OUTERWEAR_107010295_TFF_2.jpg" TargetMode="External" Id="rId10529"/><Relationship Type="http://schemas.openxmlformats.org/officeDocument/2006/relationships/hyperlink" Target="imagenes/SAGE_COLLECTIVE_OUTERWEAR_107010295_TFF_3.jpg" TargetMode="External" Id="rId10530"/><Relationship Type="http://schemas.openxmlformats.org/officeDocument/2006/relationships/hyperlink" Target="imagenes/SAGE_COLLECTIVE_OUTERWEAR_107010295_TFF_1.jpg" TargetMode="External" Id="rId10531"/><Relationship Type="http://schemas.openxmlformats.org/officeDocument/2006/relationships/hyperlink" Target="imagenes/SAGE_COLLECTIVE_OUTERWEAR_107010295_TFF_2.jpg" TargetMode="External" Id="rId10532"/><Relationship Type="http://schemas.openxmlformats.org/officeDocument/2006/relationships/hyperlink" Target="imagenes/SAGE_COLLECTIVE_OUTERWEAR_107010295_TFF_3.jpg" TargetMode="External" Id="rId10533"/><Relationship Type="http://schemas.openxmlformats.org/officeDocument/2006/relationships/hyperlink" Target="imagenes/SAGE_COLLECTIVE_OUTERWEAR_107010297_BEG_1.jpg" TargetMode="External" Id="rId10534"/><Relationship Type="http://schemas.openxmlformats.org/officeDocument/2006/relationships/hyperlink" Target="imagenes/SAGE_COLLECTIVE_OUTERWEAR_107010297_BEG_2.jpg" TargetMode="External" Id="rId10535"/><Relationship Type="http://schemas.openxmlformats.org/officeDocument/2006/relationships/hyperlink" Target="imagenes/SAGE_COLLECTIVE_OUTERWEAR_107010297_BEG_3.jpg" TargetMode="External" Id="rId10536"/><Relationship Type="http://schemas.openxmlformats.org/officeDocument/2006/relationships/hyperlink" Target="imagenes/SAGE_COLLECTIVE_OUTERWEAR_107010297_BEG_1.jpg" TargetMode="External" Id="rId10537"/><Relationship Type="http://schemas.openxmlformats.org/officeDocument/2006/relationships/hyperlink" Target="imagenes/SAGE_COLLECTIVE_OUTERWEAR_107010297_BEG_2.jpg" TargetMode="External" Id="rId10538"/><Relationship Type="http://schemas.openxmlformats.org/officeDocument/2006/relationships/hyperlink" Target="imagenes/SAGE_COLLECTIVE_OUTERWEAR_107010297_BEG_3.jpg" TargetMode="External" Id="rId10539"/><Relationship Type="http://schemas.openxmlformats.org/officeDocument/2006/relationships/hyperlink" Target="imagenes/SAGE_COLLECTIVE_OUTERWEAR_107010297_BEG_1.jpg" TargetMode="External" Id="rId10540"/><Relationship Type="http://schemas.openxmlformats.org/officeDocument/2006/relationships/hyperlink" Target="imagenes/SAGE_COLLECTIVE_OUTERWEAR_107010297_BEG_2.jpg" TargetMode="External" Id="rId10541"/><Relationship Type="http://schemas.openxmlformats.org/officeDocument/2006/relationships/hyperlink" Target="imagenes/SAGE_COLLECTIVE_OUTERWEAR_107010297_BEG_3.jpg" TargetMode="External" Id="rId10542"/><Relationship Type="http://schemas.openxmlformats.org/officeDocument/2006/relationships/hyperlink" Target="imagenes/SAGE_COLLECTIVE_OUTERWEAR_107010297_BEG_1.jpg" TargetMode="External" Id="rId10543"/><Relationship Type="http://schemas.openxmlformats.org/officeDocument/2006/relationships/hyperlink" Target="imagenes/SAGE_COLLECTIVE_OUTERWEAR_107010297_BEG_2.jpg" TargetMode="External" Id="rId10544"/><Relationship Type="http://schemas.openxmlformats.org/officeDocument/2006/relationships/hyperlink" Target="imagenes/SAGE_COLLECTIVE_OUTERWEAR_107010297_BEG_3.jpg" TargetMode="External" Id="rId10545"/><Relationship Type="http://schemas.openxmlformats.org/officeDocument/2006/relationships/hyperlink" Target="imagenes/SAGE_COLLECTIVE_OUTERWEAR_107010297_BEG_1.jpg" TargetMode="External" Id="rId10546"/><Relationship Type="http://schemas.openxmlformats.org/officeDocument/2006/relationships/hyperlink" Target="imagenes/SAGE_COLLECTIVE_OUTERWEAR_107010297_BEG_2.jpg" TargetMode="External" Id="rId10547"/><Relationship Type="http://schemas.openxmlformats.org/officeDocument/2006/relationships/hyperlink" Target="imagenes/SAGE_COLLECTIVE_OUTERWEAR_107010297_BEG_3.jpg" TargetMode="External" Id="rId10548"/><Relationship Type="http://schemas.openxmlformats.org/officeDocument/2006/relationships/hyperlink" Target="imagenes/SAGE_COLLECTIVE_OUTERWEAR_107010297_BEG_1.jpg" TargetMode="External" Id="rId10549"/><Relationship Type="http://schemas.openxmlformats.org/officeDocument/2006/relationships/hyperlink" Target="imagenes/SAGE_COLLECTIVE_OUTERWEAR_107010297_BEG_2.jpg" TargetMode="External" Id="rId10550"/><Relationship Type="http://schemas.openxmlformats.org/officeDocument/2006/relationships/hyperlink" Target="imagenes/SAGE_COLLECTIVE_OUTERWEAR_107010297_BEG_3.jpg" TargetMode="External" Id="rId10551"/><Relationship Type="http://schemas.openxmlformats.org/officeDocument/2006/relationships/hyperlink" Target="imagenes/SAGE_COLLECTIVE_OUTERWEAR_107010297_BEG_1.jpg" TargetMode="External" Id="rId10552"/><Relationship Type="http://schemas.openxmlformats.org/officeDocument/2006/relationships/hyperlink" Target="imagenes/SAGE_COLLECTIVE_OUTERWEAR_107010297_BEG_2.jpg" TargetMode="External" Id="rId10553"/><Relationship Type="http://schemas.openxmlformats.org/officeDocument/2006/relationships/hyperlink" Target="imagenes/SAGE_COLLECTIVE_OUTERWEAR_107010297_BEG_3.jpg" TargetMode="External" Id="rId10554"/><Relationship Type="http://schemas.openxmlformats.org/officeDocument/2006/relationships/hyperlink" Target="imagenes/SAGE_COLLECTIVE_OUTERWEAR_107010297_BEG_1.jpg" TargetMode="External" Id="rId10555"/><Relationship Type="http://schemas.openxmlformats.org/officeDocument/2006/relationships/hyperlink" Target="imagenes/SAGE_COLLECTIVE_OUTERWEAR_107010297_BEG_2.jpg" TargetMode="External" Id="rId10556"/><Relationship Type="http://schemas.openxmlformats.org/officeDocument/2006/relationships/hyperlink" Target="imagenes/SAGE_COLLECTIVE_OUTERWEAR_107010297_BEG_3.jpg" TargetMode="External" Id="rId10557"/><Relationship Type="http://schemas.openxmlformats.org/officeDocument/2006/relationships/hyperlink" Target="imagenes/SAGE_COLLECTIVE_OUTERWEAR_107010297_BEG_1.jpg" TargetMode="External" Id="rId10558"/><Relationship Type="http://schemas.openxmlformats.org/officeDocument/2006/relationships/hyperlink" Target="imagenes/SAGE_COLLECTIVE_OUTERWEAR_107010297_BEG_2.jpg" TargetMode="External" Id="rId10559"/><Relationship Type="http://schemas.openxmlformats.org/officeDocument/2006/relationships/hyperlink" Target="imagenes/SAGE_COLLECTIVE_OUTERWEAR_107010297_BEG_3.jpg" TargetMode="External" Id="rId10560"/><Relationship Type="http://schemas.openxmlformats.org/officeDocument/2006/relationships/hyperlink" Target="imagenes/SAGE_COLLECTIVE_OUTERWEAR_107010297_BLK_1.jpg" TargetMode="External" Id="rId10561"/><Relationship Type="http://schemas.openxmlformats.org/officeDocument/2006/relationships/hyperlink" Target="imagenes/SAGE_COLLECTIVE_OUTERWEAR_107010297_BLK_2.jpg" TargetMode="External" Id="rId10562"/><Relationship Type="http://schemas.openxmlformats.org/officeDocument/2006/relationships/hyperlink" Target="imagenes/SAGE_COLLECTIVE_OUTERWEAR_107010297_BLK_3.jpg" TargetMode="External" Id="rId10563"/><Relationship Type="http://schemas.openxmlformats.org/officeDocument/2006/relationships/hyperlink" Target="imagenes/SAGE_COLLECTIVE_OUTERWEAR_107010297_BLK_1.jpg" TargetMode="External" Id="rId10564"/><Relationship Type="http://schemas.openxmlformats.org/officeDocument/2006/relationships/hyperlink" Target="imagenes/SAGE_COLLECTIVE_OUTERWEAR_107010297_BLK_2.jpg" TargetMode="External" Id="rId10565"/><Relationship Type="http://schemas.openxmlformats.org/officeDocument/2006/relationships/hyperlink" Target="imagenes/SAGE_COLLECTIVE_OUTERWEAR_107010297_BLK_3.jpg" TargetMode="External" Id="rId10566"/><Relationship Type="http://schemas.openxmlformats.org/officeDocument/2006/relationships/hyperlink" Target="imagenes/SAGE_COLLECTIVE_OUTERWEAR_107010297_BLK_1.jpg" TargetMode="External" Id="rId10567"/><Relationship Type="http://schemas.openxmlformats.org/officeDocument/2006/relationships/hyperlink" Target="imagenes/SAGE_COLLECTIVE_OUTERWEAR_107010297_BLK_2.jpg" TargetMode="External" Id="rId10568"/><Relationship Type="http://schemas.openxmlformats.org/officeDocument/2006/relationships/hyperlink" Target="imagenes/SAGE_COLLECTIVE_OUTERWEAR_107010297_BLK_3.jpg" TargetMode="External" Id="rId10569"/><Relationship Type="http://schemas.openxmlformats.org/officeDocument/2006/relationships/hyperlink" Target="imagenes/SAGE_COLLECTIVE_OUTERWEAR_107010297_BLK_1.jpg" TargetMode="External" Id="rId10570"/><Relationship Type="http://schemas.openxmlformats.org/officeDocument/2006/relationships/hyperlink" Target="imagenes/SAGE_COLLECTIVE_OUTERWEAR_107010297_BLK_2.jpg" TargetMode="External" Id="rId10571"/><Relationship Type="http://schemas.openxmlformats.org/officeDocument/2006/relationships/hyperlink" Target="imagenes/SAGE_COLLECTIVE_OUTERWEAR_107010297_BLK_3.jpg" TargetMode="External" Id="rId10572"/><Relationship Type="http://schemas.openxmlformats.org/officeDocument/2006/relationships/hyperlink" Target="imagenes/SAGE_COLLECTIVE_OUTERWEAR_107010297_BLK_1.jpg" TargetMode="External" Id="rId10573"/><Relationship Type="http://schemas.openxmlformats.org/officeDocument/2006/relationships/hyperlink" Target="imagenes/SAGE_COLLECTIVE_OUTERWEAR_107010297_BLK_2.jpg" TargetMode="External" Id="rId10574"/><Relationship Type="http://schemas.openxmlformats.org/officeDocument/2006/relationships/hyperlink" Target="imagenes/SAGE_COLLECTIVE_OUTERWEAR_107010297_BLK_3.jpg" TargetMode="External" Id="rId10575"/><Relationship Type="http://schemas.openxmlformats.org/officeDocument/2006/relationships/hyperlink" Target="imagenes/SAGE_COLLECTIVE_OUTERWEAR_107010297_BLK_1.jpg" TargetMode="External" Id="rId10576"/><Relationship Type="http://schemas.openxmlformats.org/officeDocument/2006/relationships/hyperlink" Target="imagenes/SAGE_COLLECTIVE_OUTERWEAR_107010297_BLK_2.jpg" TargetMode="External" Id="rId10577"/><Relationship Type="http://schemas.openxmlformats.org/officeDocument/2006/relationships/hyperlink" Target="imagenes/SAGE_COLLECTIVE_OUTERWEAR_107010297_BLK_3.jpg" TargetMode="External" Id="rId10578"/><Relationship Type="http://schemas.openxmlformats.org/officeDocument/2006/relationships/hyperlink" Target="imagenes/SAGE_COLLECTIVE_OUTERWEAR_107010297_BLK_1.jpg" TargetMode="External" Id="rId10579"/><Relationship Type="http://schemas.openxmlformats.org/officeDocument/2006/relationships/hyperlink" Target="imagenes/SAGE_COLLECTIVE_OUTERWEAR_107010297_BLK_2.jpg" TargetMode="External" Id="rId10580"/><Relationship Type="http://schemas.openxmlformats.org/officeDocument/2006/relationships/hyperlink" Target="imagenes/SAGE_COLLECTIVE_OUTERWEAR_107010297_BLK_3.jpg" TargetMode="External" Id="rId10581"/><Relationship Type="http://schemas.openxmlformats.org/officeDocument/2006/relationships/hyperlink" Target="imagenes/SAGE_COLLECTIVE_OUTERWEAR_107010297_BLK_1.jpg" TargetMode="External" Id="rId10582"/><Relationship Type="http://schemas.openxmlformats.org/officeDocument/2006/relationships/hyperlink" Target="imagenes/SAGE_COLLECTIVE_OUTERWEAR_107010297_BLK_2.jpg" TargetMode="External" Id="rId10583"/><Relationship Type="http://schemas.openxmlformats.org/officeDocument/2006/relationships/hyperlink" Target="imagenes/SAGE_COLLECTIVE_OUTERWEAR_107010297_BLK_3.jpg" TargetMode="External" Id="rId10584"/><Relationship Type="http://schemas.openxmlformats.org/officeDocument/2006/relationships/hyperlink" Target="imagenes/SAGE_COLLECTIVE_OUTERWEAR_107010297_BLK_1.jpg" TargetMode="External" Id="rId10585"/><Relationship Type="http://schemas.openxmlformats.org/officeDocument/2006/relationships/hyperlink" Target="imagenes/SAGE_COLLECTIVE_OUTERWEAR_107010297_BLK_2.jpg" TargetMode="External" Id="rId10586"/><Relationship Type="http://schemas.openxmlformats.org/officeDocument/2006/relationships/hyperlink" Target="imagenes/SAGE_COLLECTIVE_OUTERWEAR_107010297_BLK_3.jpg" TargetMode="External" Id="rId10587"/><Relationship Type="http://schemas.openxmlformats.org/officeDocument/2006/relationships/hyperlink" Target="imagenes/SAGE_COLLECTIVE_OUTERWEAR_107010297_BLK_1.jpg" TargetMode="External" Id="rId10588"/><Relationship Type="http://schemas.openxmlformats.org/officeDocument/2006/relationships/hyperlink" Target="imagenes/SAGE_COLLECTIVE_OUTERWEAR_107010297_BLK_2.jpg" TargetMode="External" Id="rId10589"/><Relationship Type="http://schemas.openxmlformats.org/officeDocument/2006/relationships/hyperlink" Target="imagenes/SAGE_COLLECTIVE_OUTERWEAR_107010297_BLK_3.jpg" TargetMode="External" Id="rId10590"/><Relationship Type="http://schemas.openxmlformats.org/officeDocument/2006/relationships/hyperlink" Target="imagenes/SAGE_COLLECTIVE_OUTERWEAR_107010298_B2W_2.jpg" TargetMode="External" Id="rId10591"/><Relationship Type="http://schemas.openxmlformats.org/officeDocument/2006/relationships/hyperlink" Target="imagenes/SAGE_COLLECTIVE_OUTERWEAR_107010298_B2W_3.jpg" TargetMode="External" Id="rId10592"/><Relationship Type="http://schemas.openxmlformats.org/officeDocument/2006/relationships/hyperlink" Target="imagenes/SAGE_COLLECTIVE_OUTERWEAR_107010298_BEG_1.jpg" TargetMode="External" Id="rId10593"/><Relationship Type="http://schemas.openxmlformats.org/officeDocument/2006/relationships/hyperlink" Target="imagenes/SAGE_COLLECTIVE_OUTERWEAR_107010298_BEG_2.jpg" TargetMode="External" Id="rId10594"/><Relationship Type="http://schemas.openxmlformats.org/officeDocument/2006/relationships/hyperlink" Target="imagenes/SAGE_COLLECTIVE_OUTERWEAR_107010298_BEG_3.jpg" TargetMode="External" Id="rId10595"/><Relationship Type="http://schemas.openxmlformats.org/officeDocument/2006/relationships/hyperlink" Target="imagenes/SAGE_COLLECTIVE_OUTERWEAR_107010298_BLK_1.jpg" TargetMode="External" Id="rId10596"/><Relationship Type="http://schemas.openxmlformats.org/officeDocument/2006/relationships/hyperlink" Target="imagenes/SAGE_COLLECTIVE_OUTERWEAR_107010298_BLK_2.jpg" TargetMode="External" Id="rId10597"/><Relationship Type="http://schemas.openxmlformats.org/officeDocument/2006/relationships/hyperlink" Target="imagenes/SAGE_COLLECTIVE_OUTERWEAR_107010298_BLK_3.jpg" TargetMode="External" Id="rId10598"/><Relationship Type="http://schemas.openxmlformats.org/officeDocument/2006/relationships/hyperlink" Target="imagenes/SAGE_COLLECTIVE_OUTERWEAR_107010298_ICE_2.jpg" TargetMode="External" Id="rId10599"/><Relationship Type="http://schemas.openxmlformats.org/officeDocument/2006/relationships/hyperlink" Target="imagenes/SAGE_COLLECTIVE_OUTERWEAR_107010298_ICE_3.jpg" TargetMode="External" Id="rId10600"/><Relationship Type="http://schemas.openxmlformats.org/officeDocument/2006/relationships/hyperlink" Target="imagenes/SAGE_COLLECTIVE_OUTERWEAR_107010298_RWI_2.jpg" TargetMode="External" Id="rId10601"/><Relationship Type="http://schemas.openxmlformats.org/officeDocument/2006/relationships/hyperlink" Target="imagenes/SAGE_COLLECTIVE_OUTERWEAR_107010298_RWI_3.jpg" TargetMode="External" Id="rId10602"/><Relationship Type="http://schemas.openxmlformats.org/officeDocument/2006/relationships/hyperlink" Target="imagenes/SAGE_COLLECTIVE_OUTERWEAR_107010298M_B2W_1.jpg" TargetMode="External" Id="rId10603"/><Relationship Type="http://schemas.openxmlformats.org/officeDocument/2006/relationships/hyperlink" Target="imagenes/SAGE_COLLECTIVE_OUTERWEAR_107010298M_B2W_2.jpg" TargetMode="External" Id="rId10604"/><Relationship Type="http://schemas.openxmlformats.org/officeDocument/2006/relationships/hyperlink" Target="imagenes/SAGE_COLLECTIVE_OUTERWEAR_107010298M_B2W_3.jpg" TargetMode="External" Id="rId10605"/><Relationship Type="http://schemas.openxmlformats.org/officeDocument/2006/relationships/hyperlink" Target="imagenes/SAGE_COLLECTIVE_OUTERWEAR_107010298M_CHO_1.jpg" TargetMode="External" Id="rId10606"/><Relationship Type="http://schemas.openxmlformats.org/officeDocument/2006/relationships/hyperlink" Target="imagenes/SAGE_COLLECTIVE_OUTERWEAR_107010298M_CHO_2.jpg" TargetMode="External" Id="rId10607"/><Relationship Type="http://schemas.openxmlformats.org/officeDocument/2006/relationships/hyperlink" Target="imagenes/SAGE_COLLECTIVE_OUTERWEAR_107010298M_CHO_3.jpg" TargetMode="External" Id="rId10608"/><Relationship Type="http://schemas.openxmlformats.org/officeDocument/2006/relationships/hyperlink" Target="imagenes/SAGE_COLLECTIVE_OUTERWEAR_107010298P_B2W_2.jpg" TargetMode="External" Id="rId10609"/><Relationship Type="http://schemas.openxmlformats.org/officeDocument/2006/relationships/hyperlink" Target="imagenes/SAGE_COLLECTIVE_OUTERWEAR_107010298P_B2W_3.jpg" TargetMode="External" Id="rId10610"/><Relationship Type="http://schemas.openxmlformats.org/officeDocument/2006/relationships/hyperlink" Target="imagenes/SAGE_COLLECTIVE_OUTERWEAR_107010298P_BEG_1.jpg" TargetMode="External" Id="rId10611"/><Relationship Type="http://schemas.openxmlformats.org/officeDocument/2006/relationships/hyperlink" Target="imagenes/SAGE_COLLECTIVE_OUTERWEAR_107010298P_BEG_2.jpg" TargetMode="External" Id="rId10612"/><Relationship Type="http://schemas.openxmlformats.org/officeDocument/2006/relationships/hyperlink" Target="imagenes/SAGE_COLLECTIVE_OUTERWEAR_107010298P_BEG_3.jpg" TargetMode="External" Id="rId10613"/><Relationship Type="http://schemas.openxmlformats.org/officeDocument/2006/relationships/hyperlink" Target="imagenes/SAGE_COLLECTIVE_OUTERWEAR_107010298P_BLK_1.jpg" TargetMode="External" Id="rId10614"/><Relationship Type="http://schemas.openxmlformats.org/officeDocument/2006/relationships/hyperlink" Target="imagenes/SAGE_COLLECTIVE_OUTERWEAR_107010298P_BLK_2.jpg" TargetMode="External" Id="rId10615"/><Relationship Type="http://schemas.openxmlformats.org/officeDocument/2006/relationships/hyperlink" Target="imagenes/SAGE_COLLECTIVE_OUTERWEAR_107010298P_BLK_3.jpg" TargetMode="External" Id="rId10616"/><Relationship Type="http://schemas.openxmlformats.org/officeDocument/2006/relationships/hyperlink" Target="imagenes/SAGE_COLLECTIVE_OUTERWEAR_107010298P_CHO_1.jpg" TargetMode="External" Id="rId10617"/><Relationship Type="http://schemas.openxmlformats.org/officeDocument/2006/relationships/hyperlink" Target="imagenes/SAGE_COLLECTIVE_OUTERWEAR_107010298P_CHO_2.jpg" TargetMode="External" Id="rId10618"/><Relationship Type="http://schemas.openxmlformats.org/officeDocument/2006/relationships/hyperlink" Target="imagenes/SAGE_COLLECTIVE_OUTERWEAR_107010298P_CHO_3.jpg" TargetMode="External" Id="rId10619"/><Relationship Type="http://schemas.openxmlformats.org/officeDocument/2006/relationships/hyperlink" Target="imagenes/SAGE_COLLECTIVE_OUTERWEAR_107010298P_RWI_2.jpg" TargetMode="External" Id="rId10620"/><Relationship Type="http://schemas.openxmlformats.org/officeDocument/2006/relationships/hyperlink" Target="imagenes/SAGE_COLLECTIVE_OUTERWEAR_107010298P_RWI_3.jpg" TargetMode="External" Id="rId10621"/><Relationship Type="http://schemas.openxmlformats.org/officeDocument/2006/relationships/hyperlink" Target="imagenes/SAGE_COLLECTIVE_OUTERWEAR_107010299_BLK_1.jpg" TargetMode="External" Id="rId10622"/><Relationship Type="http://schemas.openxmlformats.org/officeDocument/2006/relationships/hyperlink" Target="imagenes/SAGE_COLLECTIVE_OUTERWEAR_107010299_BLK_2.jpg" TargetMode="External" Id="rId10623"/><Relationship Type="http://schemas.openxmlformats.org/officeDocument/2006/relationships/hyperlink" Target="imagenes/SAGE_COLLECTIVE_OUTERWEAR_107010299_BLK_3.jpg" TargetMode="External" Id="rId10624"/><Relationship Type="http://schemas.openxmlformats.org/officeDocument/2006/relationships/hyperlink" Target="imagenes/SAGE_COLLECTIVE_OUTERWEAR_107010299_BLK_1.jpg" TargetMode="External" Id="rId10625"/><Relationship Type="http://schemas.openxmlformats.org/officeDocument/2006/relationships/hyperlink" Target="imagenes/SAGE_COLLECTIVE_OUTERWEAR_107010299_BLK_2.jpg" TargetMode="External" Id="rId10626"/><Relationship Type="http://schemas.openxmlformats.org/officeDocument/2006/relationships/hyperlink" Target="imagenes/SAGE_COLLECTIVE_OUTERWEAR_107010299_BLK_3.jpg" TargetMode="External" Id="rId10627"/><Relationship Type="http://schemas.openxmlformats.org/officeDocument/2006/relationships/hyperlink" Target="imagenes/SAGE_COLLECTIVE_OUTERWEAR_107010299_BLK_1.jpg" TargetMode="External" Id="rId10628"/><Relationship Type="http://schemas.openxmlformats.org/officeDocument/2006/relationships/hyperlink" Target="imagenes/SAGE_COLLECTIVE_OUTERWEAR_107010299_BLK_2.jpg" TargetMode="External" Id="rId10629"/><Relationship Type="http://schemas.openxmlformats.org/officeDocument/2006/relationships/hyperlink" Target="imagenes/SAGE_COLLECTIVE_OUTERWEAR_107010299_BLK_3.jpg" TargetMode="External" Id="rId10630"/><Relationship Type="http://schemas.openxmlformats.org/officeDocument/2006/relationships/hyperlink" Target="imagenes/SAGE_COLLECTIVE_OUTERWEAR_107010299_BLK_1.jpg" TargetMode="External" Id="rId10631"/><Relationship Type="http://schemas.openxmlformats.org/officeDocument/2006/relationships/hyperlink" Target="imagenes/SAGE_COLLECTIVE_OUTERWEAR_107010299_BLK_2.jpg" TargetMode="External" Id="rId10632"/><Relationship Type="http://schemas.openxmlformats.org/officeDocument/2006/relationships/hyperlink" Target="imagenes/SAGE_COLLECTIVE_OUTERWEAR_107010299_BLK_3.jpg" TargetMode="External" Id="rId10633"/><Relationship Type="http://schemas.openxmlformats.org/officeDocument/2006/relationships/hyperlink" Target="imagenes/SAGE_COLLECTIVE_OUTERWEAR_107010299_BLK_1.jpg" TargetMode="External" Id="rId10634"/><Relationship Type="http://schemas.openxmlformats.org/officeDocument/2006/relationships/hyperlink" Target="imagenes/SAGE_COLLECTIVE_OUTERWEAR_107010299_BLK_2.jpg" TargetMode="External" Id="rId10635"/><Relationship Type="http://schemas.openxmlformats.org/officeDocument/2006/relationships/hyperlink" Target="imagenes/SAGE_COLLECTIVE_OUTERWEAR_107010299_BLK_3.jpg" TargetMode="External" Id="rId10636"/><Relationship Type="http://schemas.openxmlformats.org/officeDocument/2006/relationships/hyperlink" Target="imagenes/SAGE_COLLECTIVE_OUTERWEAR_107010299_OLI_1.jpg" TargetMode="External" Id="rId10637"/><Relationship Type="http://schemas.openxmlformats.org/officeDocument/2006/relationships/hyperlink" Target="imagenes/SAGE_COLLECTIVE_OUTERWEAR_107010299_OLI_2.jpg" TargetMode="External" Id="rId10638"/><Relationship Type="http://schemas.openxmlformats.org/officeDocument/2006/relationships/hyperlink" Target="imagenes/SAGE_COLLECTIVE_OUTERWEAR_107010299_OLI_3.jpg" TargetMode="External" Id="rId10639"/><Relationship Type="http://schemas.openxmlformats.org/officeDocument/2006/relationships/hyperlink" Target="imagenes/SAGE_COLLECTIVE_OUTERWEAR_107010299_OLI_1.jpg" TargetMode="External" Id="rId10640"/><Relationship Type="http://schemas.openxmlformats.org/officeDocument/2006/relationships/hyperlink" Target="imagenes/SAGE_COLLECTIVE_OUTERWEAR_107010299_OLI_2.jpg" TargetMode="External" Id="rId10641"/><Relationship Type="http://schemas.openxmlformats.org/officeDocument/2006/relationships/hyperlink" Target="imagenes/SAGE_COLLECTIVE_OUTERWEAR_107010299_OLI_3.jpg" TargetMode="External" Id="rId10642"/><Relationship Type="http://schemas.openxmlformats.org/officeDocument/2006/relationships/hyperlink" Target="imagenes/SAGE_COLLECTIVE_OUTERWEAR_107010299_OLI_1.jpg" TargetMode="External" Id="rId10643"/><Relationship Type="http://schemas.openxmlformats.org/officeDocument/2006/relationships/hyperlink" Target="imagenes/SAGE_COLLECTIVE_OUTERWEAR_107010299_OLI_2.jpg" TargetMode="External" Id="rId10644"/><Relationship Type="http://schemas.openxmlformats.org/officeDocument/2006/relationships/hyperlink" Target="imagenes/SAGE_COLLECTIVE_OUTERWEAR_107010299_OLI_3.jpg" TargetMode="External" Id="rId10645"/><Relationship Type="http://schemas.openxmlformats.org/officeDocument/2006/relationships/hyperlink" Target="imagenes/SAGE_COLLECTIVE_OUTERWEAR_107010299_OLI_1.jpg" TargetMode="External" Id="rId10646"/><Relationship Type="http://schemas.openxmlformats.org/officeDocument/2006/relationships/hyperlink" Target="imagenes/SAGE_COLLECTIVE_OUTERWEAR_107010299_OLI_2.jpg" TargetMode="External" Id="rId10647"/><Relationship Type="http://schemas.openxmlformats.org/officeDocument/2006/relationships/hyperlink" Target="imagenes/SAGE_COLLECTIVE_OUTERWEAR_107010299_OLI_3.jpg" TargetMode="External" Id="rId10648"/><Relationship Type="http://schemas.openxmlformats.org/officeDocument/2006/relationships/hyperlink" Target="imagenes/SAGE_COLLECTIVE_OUTERWEAR_107010299_OLI_1.jpg" TargetMode="External" Id="rId10649"/><Relationship Type="http://schemas.openxmlformats.org/officeDocument/2006/relationships/hyperlink" Target="imagenes/SAGE_COLLECTIVE_OUTERWEAR_107010299_OLI_2.jpg" TargetMode="External" Id="rId10650"/><Relationship Type="http://schemas.openxmlformats.org/officeDocument/2006/relationships/hyperlink" Target="imagenes/SAGE_COLLECTIVE_OUTERWEAR_107010299_OLI_3.jpg" TargetMode="External" Id="rId10651"/><Relationship Type="http://schemas.openxmlformats.org/officeDocument/2006/relationships/hyperlink" Target="imagenes/SAGE_COLLECTIVE_OUTERWEAR_107010299_OLI_1.jpg" TargetMode="External" Id="rId10652"/><Relationship Type="http://schemas.openxmlformats.org/officeDocument/2006/relationships/hyperlink" Target="imagenes/SAGE_COLLECTIVE_OUTERWEAR_107010299_OLI_2.jpg" TargetMode="External" Id="rId10653"/><Relationship Type="http://schemas.openxmlformats.org/officeDocument/2006/relationships/hyperlink" Target="imagenes/SAGE_COLLECTIVE_OUTERWEAR_107010299_OLI_3.jpg" TargetMode="External" Id="rId10654"/><Relationship Type="http://schemas.openxmlformats.org/officeDocument/2006/relationships/hyperlink" Target="imagenes/SAGE_COLLECTIVE_OUTERWEAR_107010299_OLI_1.jpg" TargetMode="External" Id="rId10655"/><Relationship Type="http://schemas.openxmlformats.org/officeDocument/2006/relationships/hyperlink" Target="imagenes/SAGE_COLLECTIVE_OUTERWEAR_107010299_OLI_2.jpg" TargetMode="External" Id="rId10656"/><Relationship Type="http://schemas.openxmlformats.org/officeDocument/2006/relationships/hyperlink" Target="imagenes/SAGE_COLLECTIVE_OUTERWEAR_107010299_OLI_3.jpg" TargetMode="External" Id="rId10657"/><Relationship Type="http://schemas.openxmlformats.org/officeDocument/2006/relationships/hyperlink" Target="imagenes/SAGE_COLLECTIVE_OUTERWEAR_107010299_OLI_1.jpg" TargetMode="External" Id="rId10658"/><Relationship Type="http://schemas.openxmlformats.org/officeDocument/2006/relationships/hyperlink" Target="imagenes/SAGE_COLLECTIVE_OUTERWEAR_107010299_OLI_2.jpg" TargetMode="External" Id="rId10659"/><Relationship Type="http://schemas.openxmlformats.org/officeDocument/2006/relationships/hyperlink" Target="imagenes/SAGE_COLLECTIVE_OUTERWEAR_107010299_OLI_3.jpg" TargetMode="External" Id="rId10660"/><Relationship Type="http://schemas.openxmlformats.org/officeDocument/2006/relationships/hyperlink" Target="imagenes/SAGE_COLLECTIVE_OUTERWEAR_107010299_OLI_1.jpg" TargetMode="External" Id="rId10661"/><Relationship Type="http://schemas.openxmlformats.org/officeDocument/2006/relationships/hyperlink" Target="imagenes/SAGE_COLLECTIVE_OUTERWEAR_107010299_OLI_2.jpg" TargetMode="External" Id="rId10662"/><Relationship Type="http://schemas.openxmlformats.org/officeDocument/2006/relationships/hyperlink" Target="imagenes/SAGE_COLLECTIVE_OUTERWEAR_107010299_OLI_3.jpg" TargetMode="External" Id="rId10663"/><Relationship Type="http://schemas.openxmlformats.org/officeDocument/2006/relationships/hyperlink" Target="imagenes/SAGE_COLLECTIVE_OUTERWEAR_107010326_CHO_1.jpg" TargetMode="External" Id="rId10664"/><Relationship Type="http://schemas.openxmlformats.org/officeDocument/2006/relationships/hyperlink" Target="imagenes/SAGE_COLLECTIVE_OUTERWEAR_107010326_CHO_3.jpg" TargetMode="External" Id="rId10665"/><Relationship Type="http://schemas.openxmlformats.org/officeDocument/2006/relationships/hyperlink" Target="imagenes/SAGE_COLLECTIVE_OUTERWEAR_107010385_BEG_1.jpg" TargetMode="External" Id="rId10666"/><Relationship Type="http://schemas.openxmlformats.org/officeDocument/2006/relationships/hyperlink" Target="imagenes/SAGE_COLLECTIVE_OUTERWEAR_107010385_BEG_2.jpg" TargetMode="External" Id="rId10667"/><Relationship Type="http://schemas.openxmlformats.org/officeDocument/2006/relationships/hyperlink" Target="imagenes/SAGE_COLLECTIVE_OUTERWEAR_107010385_BEG_3.jpg" TargetMode="External" Id="rId10668"/><Relationship Type="http://schemas.openxmlformats.org/officeDocument/2006/relationships/hyperlink" Target="imagenes/SAGE_COLLECTIVE_OUTERWEAR_107010385_BEG_1.jpg" TargetMode="External" Id="rId10669"/><Relationship Type="http://schemas.openxmlformats.org/officeDocument/2006/relationships/hyperlink" Target="imagenes/SAGE_COLLECTIVE_OUTERWEAR_107010385_BEG_2.jpg" TargetMode="External" Id="rId10670"/><Relationship Type="http://schemas.openxmlformats.org/officeDocument/2006/relationships/hyperlink" Target="imagenes/SAGE_COLLECTIVE_OUTERWEAR_107010385_BEG_3.jpg" TargetMode="External" Id="rId10671"/><Relationship Type="http://schemas.openxmlformats.org/officeDocument/2006/relationships/hyperlink" Target="imagenes/SAGE_COLLECTIVE_OUTERWEAR_107010385_BEG_1.jpg" TargetMode="External" Id="rId10672"/><Relationship Type="http://schemas.openxmlformats.org/officeDocument/2006/relationships/hyperlink" Target="imagenes/SAGE_COLLECTIVE_OUTERWEAR_107010385_BEG_2.jpg" TargetMode="External" Id="rId10673"/><Relationship Type="http://schemas.openxmlformats.org/officeDocument/2006/relationships/hyperlink" Target="imagenes/SAGE_COLLECTIVE_OUTERWEAR_107010385_BEG_3.jpg" TargetMode="External" Id="rId10674"/><Relationship Type="http://schemas.openxmlformats.org/officeDocument/2006/relationships/hyperlink" Target="imagenes/SAGE_COLLECTIVE_OUTERWEAR_107010385_BEG_1.jpg" TargetMode="External" Id="rId10675"/><Relationship Type="http://schemas.openxmlformats.org/officeDocument/2006/relationships/hyperlink" Target="imagenes/SAGE_COLLECTIVE_OUTERWEAR_107010385_BEG_2.jpg" TargetMode="External" Id="rId10676"/><Relationship Type="http://schemas.openxmlformats.org/officeDocument/2006/relationships/hyperlink" Target="imagenes/SAGE_COLLECTIVE_OUTERWEAR_107010385_BEG_3.jpg" TargetMode="External" Id="rId10677"/><Relationship Type="http://schemas.openxmlformats.org/officeDocument/2006/relationships/hyperlink" Target="imagenes/SAGE_COLLECTIVE_OUTERWEAR_107010385_BEG_1.jpg" TargetMode="External" Id="rId10678"/><Relationship Type="http://schemas.openxmlformats.org/officeDocument/2006/relationships/hyperlink" Target="imagenes/SAGE_COLLECTIVE_OUTERWEAR_107010385_BEG_2.jpg" TargetMode="External" Id="rId10679"/><Relationship Type="http://schemas.openxmlformats.org/officeDocument/2006/relationships/hyperlink" Target="imagenes/SAGE_COLLECTIVE_OUTERWEAR_107010385_BEG_3.jpg" TargetMode="External" Id="rId10680"/><Relationship Type="http://schemas.openxmlformats.org/officeDocument/2006/relationships/hyperlink" Target="imagenes/SAGE_COLLECTIVE_OUTERWEAR_107010385_BEG_1.jpg" TargetMode="External" Id="rId10681"/><Relationship Type="http://schemas.openxmlformats.org/officeDocument/2006/relationships/hyperlink" Target="imagenes/SAGE_COLLECTIVE_OUTERWEAR_107010385_BEG_2.jpg" TargetMode="External" Id="rId10682"/><Relationship Type="http://schemas.openxmlformats.org/officeDocument/2006/relationships/hyperlink" Target="imagenes/SAGE_COLLECTIVE_OUTERWEAR_107010385_BEG_3.jpg" TargetMode="External" Id="rId10683"/><Relationship Type="http://schemas.openxmlformats.org/officeDocument/2006/relationships/hyperlink" Target="imagenes/SAGE_COLLECTIVE_OUTERWEAR_107010385_BLK_1.jpg" TargetMode="External" Id="rId10684"/><Relationship Type="http://schemas.openxmlformats.org/officeDocument/2006/relationships/hyperlink" Target="imagenes/SAGE_COLLECTIVE_OUTERWEAR_107010385_BLK_2.jpg" TargetMode="External" Id="rId10685"/><Relationship Type="http://schemas.openxmlformats.org/officeDocument/2006/relationships/hyperlink" Target="imagenes/SAGE_COLLECTIVE_OUTERWEAR_107010385_BLK_3.jpg" TargetMode="External" Id="rId10686"/><Relationship Type="http://schemas.openxmlformats.org/officeDocument/2006/relationships/hyperlink" Target="imagenes/SAGE_COLLECTIVE_OUTERWEAR_107010385_BLK_1.jpg" TargetMode="External" Id="rId10687"/><Relationship Type="http://schemas.openxmlformats.org/officeDocument/2006/relationships/hyperlink" Target="imagenes/SAGE_COLLECTIVE_OUTERWEAR_107010385_BLK_2.jpg" TargetMode="External" Id="rId10688"/><Relationship Type="http://schemas.openxmlformats.org/officeDocument/2006/relationships/hyperlink" Target="imagenes/SAGE_COLLECTIVE_OUTERWEAR_107010385_BLK_3.jpg" TargetMode="External" Id="rId10689"/><Relationship Type="http://schemas.openxmlformats.org/officeDocument/2006/relationships/hyperlink" Target="imagenes/SAGE_COLLECTIVE_OUTERWEAR_107010385_BLK_1.jpg" TargetMode="External" Id="rId10690"/><Relationship Type="http://schemas.openxmlformats.org/officeDocument/2006/relationships/hyperlink" Target="imagenes/SAGE_COLLECTIVE_OUTERWEAR_107010385_BLK_2.jpg" TargetMode="External" Id="rId10691"/><Relationship Type="http://schemas.openxmlformats.org/officeDocument/2006/relationships/hyperlink" Target="imagenes/SAGE_COLLECTIVE_OUTERWEAR_107010385_BLK_3.jpg" TargetMode="External" Id="rId10692"/><Relationship Type="http://schemas.openxmlformats.org/officeDocument/2006/relationships/hyperlink" Target="imagenes/SAGE_COLLECTIVE_OUTERWEAR_107010385_BLK_1.jpg" TargetMode="External" Id="rId10693"/><Relationship Type="http://schemas.openxmlformats.org/officeDocument/2006/relationships/hyperlink" Target="imagenes/SAGE_COLLECTIVE_OUTERWEAR_107010385_BLK_2.jpg" TargetMode="External" Id="rId10694"/><Relationship Type="http://schemas.openxmlformats.org/officeDocument/2006/relationships/hyperlink" Target="imagenes/SAGE_COLLECTIVE_OUTERWEAR_107010385_BLK_3.jpg" TargetMode="External" Id="rId10695"/><Relationship Type="http://schemas.openxmlformats.org/officeDocument/2006/relationships/hyperlink" Target="imagenes/SAGE_COLLECTIVE_OUTERWEAR_107010385_BLK_1.jpg" TargetMode="External" Id="rId10696"/><Relationship Type="http://schemas.openxmlformats.org/officeDocument/2006/relationships/hyperlink" Target="imagenes/SAGE_COLLECTIVE_OUTERWEAR_107010385_BLK_2.jpg" TargetMode="External" Id="rId10697"/><Relationship Type="http://schemas.openxmlformats.org/officeDocument/2006/relationships/hyperlink" Target="imagenes/SAGE_COLLECTIVE_OUTERWEAR_107010385_BLK_3.jpg" TargetMode="External" Id="rId10698"/><Relationship Type="http://schemas.openxmlformats.org/officeDocument/2006/relationships/hyperlink" Target="imagenes/SAGE_COLLECTIVE_OUTERWEAR_107010385_BLK_1.jpg" TargetMode="External" Id="rId10699"/><Relationship Type="http://schemas.openxmlformats.org/officeDocument/2006/relationships/hyperlink" Target="imagenes/SAGE_COLLECTIVE_OUTERWEAR_107010385_BLK_2.jpg" TargetMode="External" Id="rId10700"/><Relationship Type="http://schemas.openxmlformats.org/officeDocument/2006/relationships/hyperlink" Target="imagenes/SAGE_COLLECTIVE_OUTERWEAR_107010385_BLK_3.jpg" TargetMode="External" Id="rId10701"/><Relationship Type="http://schemas.openxmlformats.org/officeDocument/2006/relationships/hyperlink" Target="imagenes/T_TAHARI_124000159_CAM_1.jpg" TargetMode="External" Id="rId10702"/><Relationship Type="http://schemas.openxmlformats.org/officeDocument/2006/relationships/hyperlink" Target="imagenes/T_TAHARI_124000159_CAM_2.jpg" TargetMode="External" Id="rId10703"/><Relationship Type="http://schemas.openxmlformats.org/officeDocument/2006/relationships/hyperlink" Target="imagenes/T_TAHARI_124000159_CAM_3.jpg" TargetMode="External" Id="rId10704"/><Relationship Type="http://schemas.openxmlformats.org/officeDocument/2006/relationships/hyperlink" Target="imagenes/T_TAHARI_124000159_CAM_1.jpg" TargetMode="External" Id="rId10705"/><Relationship Type="http://schemas.openxmlformats.org/officeDocument/2006/relationships/hyperlink" Target="imagenes/T_TAHARI_124000159_CAM_2.jpg" TargetMode="External" Id="rId10706"/><Relationship Type="http://schemas.openxmlformats.org/officeDocument/2006/relationships/hyperlink" Target="imagenes/T_TAHARI_124000159_CAM_3.jpg" TargetMode="External" Id="rId10707"/><Relationship Type="http://schemas.openxmlformats.org/officeDocument/2006/relationships/hyperlink" Target="imagenes/T_TAHARI_124000159_CAM_1.jpg" TargetMode="External" Id="rId10708"/><Relationship Type="http://schemas.openxmlformats.org/officeDocument/2006/relationships/hyperlink" Target="imagenes/T_TAHARI_124000159_CAM_2.jpg" TargetMode="External" Id="rId10709"/><Relationship Type="http://schemas.openxmlformats.org/officeDocument/2006/relationships/hyperlink" Target="imagenes/T_TAHARI_124000159_CAM_3.jpg" TargetMode="External" Id="rId10710"/><Relationship Type="http://schemas.openxmlformats.org/officeDocument/2006/relationships/hyperlink" Target="imagenes/T_TAHARI_124000159_CHO_1.jpg" TargetMode="External" Id="rId10711"/><Relationship Type="http://schemas.openxmlformats.org/officeDocument/2006/relationships/hyperlink" Target="imagenes/T_TAHARI_124000159_CHO_2.jpg" TargetMode="External" Id="rId10712"/><Relationship Type="http://schemas.openxmlformats.org/officeDocument/2006/relationships/hyperlink" Target="imagenes/T_TAHARI_124000159_CHO_3.jpg" TargetMode="External" Id="rId10713"/><Relationship Type="http://schemas.openxmlformats.org/officeDocument/2006/relationships/hyperlink" Target="imagenes/T_TAHARI_124000159_CHO_1.jpg" TargetMode="External" Id="rId10714"/><Relationship Type="http://schemas.openxmlformats.org/officeDocument/2006/relationships/hyperlink" Target="imagenes/T_TAHARI_124000159_CHO_2.jpg" TargetMode="External" Id="rId10715"/><Relationship Type="http://schemas.openxmlformats.org/officeDocument/2006/relationships/hyperlink" Target="imagenes/T_TAHARI_124000159_CHO_3.jpg" TargetMode="External" Id="rId10716"/><Relationship Type="http://schemas.openxmlformats.org/officeDocument/2006/relationships/hyperlink" Target="imagenes/T_TAHARI_124000159_CHY_1.jpg" TargetMode="External" Id="rId10717"/><Relationship Type="http://schemas.openxmlformats.org/officeDocument/2006/relationships/hyperlink" Target="imagenes/T_TAHARI_124000159_CHY_2.jpg" TargetMode="External" Id="rId10718"/><Relationship Type="http://schemas.openxmlformats.org/officeDocument/2006/relationships/hyperlink" Target="imagenes/T_TAHARI_124000159_CHY_3.jpg" TargetMode="External" Id="rId10719"/><Relationship Type="http://schemas.openxmlformats.org/officeDocument/2006/relationships/hyperlink" Target="imagenes/T_TAHARI_124000159_CHY_1.jpg" TargetMode="External" Id="rId10720"/><Relationship Type="http://schemas.openxmlformats.org/officeDocument/2006/relationships/hyperlink" Target="imagenes/T_TAHARI_124000159_CHY_2.jpg" TargetMode="External" Id="rId10721"/><Relationship Type="http://schemas.openxmlformats.org/officeDocument/2006/relationships/hyperlink" Target="imagenes/T_TAHARI_124000159_CHY_3.jpg" TargetMode="External" Id="rId10722"/><Relationship Type="http://schemas.openxmlformats.org/officeDocument/2006/relationships/hyperlink" Target="imagenes/T_TAHARI_124000159_CHY_1.jpg" TargetMode="External" Id="rId10723"/><Relationship Type="http://schemas.openxmlformats.org/officeDocument/2006/relationships/hyperlink" Target="imagenes/T_TAHARI_124000159_CHY_2.jpg" TargetMode="External" Id="rId10724"/><Relationship Type="http://schemas.openxmlformats.org/officeDocument/2006/relationships/hyperlink" Target="imagenes/T_TAHARI_124000159_CHY_3.jpg" TargetMode="External" Id="rId10725"/><Relationship Type="http://schemas.openxmlformats.org/officeDocument/2006/relationships/hyperlink" Target="imagenes/T_TAHARI_124000159_LAP_1.jpg" TargetMode="External" Id="rId10726"/><Relationship Type="http://schemas.openxmlformats.org/officeDocument/2006/relationships/hyperlink" Target="imagenes/T_TAHARI_124000159_LAP_2.jpg" TargetMode="External" Id="rId10727"/><Relationship Type="http://schemas.openxmlformats.org/officeDocument/2006/relationships/hyperlink" Target="imagenes/T_TAHARI_124000159_LAP_3.jpg" TargetMode="External" Id="rId10728"/><Relationship Type="http://schemas.openxmlformats.org/officeDocument/2006/relationships/hyperlink" Target="imagenes/T_TAHARI_124000159_LAP_1.jpg" TargetMode="External" Id="rId10729"/><Relationship Type="http://schemas.openxmlformats.org/officeDocument/2006/relationships/hyperlink" Target="imagenes/T_TAHARI_124000159_LAP_2.jpg" TargetMode="External" Id="rId10730"/><Relationship Type="http://schemas.openxmlformats.org/officeDocument/2006/relationships/hyperlink" Target="imagenes/T_TAHARI_124000159_LAP_3.jpg" TargetMode="External" Id="rId10731"/><Relationship Type="http://schemas.openxmlformats.org/officeDocument/2006/relationships/hyperlink" Target="imagenes/T_TAHARI_124000159_LAP_1.jpg" TargetMode="External" Id="rId10732"/><Relationship Type="http://schemas.openxmlformats.org/officeDocument/2006/relationships/hyperlink" Target="imagenes/T_TAHARI_124000159_LAP_2.jpg" TargetMode="External" Id="rId10733"/><Relationship Type="http://schemas.openxmlformats.org/officeDocument/2006/relationships/hyperlink" Target="imagenes/T_TAHARI_124000159_LAP_3.jpg" TargetMode="External" Id="rId10734"/><Relationship Type="http://schemas.openxmlformats.org/officeDocument/2006/relationships/hyperlink" Target="imagenes/T_TAHARI_124000159_LAP_1.jpg" TargetMode="External" Id="rId10735"/><Relationship Type="http://schemas.openxmlformats.org/officeDocument/2006/relationships/hyperlink" Target="imagenes/T_TAHARI_124000159_LAP_2.jpg" TargetMode="External" Id="rId10736"/><Relationship Type="http://schemas.openxmlformats.org/officeDocument/2006/relationships/hyperlink" Target="imagenes/T_TAHARI_124000159_LAP_3.jpg" TargetMode="External" Id="rId10737"/><Relationship Type="http://schemas.openxmlformats.org/officeDocument/2006/relationships/hyperlink" Target="imagenes/T_TAHARI_124000159_OTM_1.jpg" TargetMode="External" Id="rId10738"/><Relationship Type="http://schemas.openxmlformats.org/officeDocument/2006/relationships/hyperlink" Target="imagenes/T_TAHARI_124000159_OTM_2.jpg" TargetMode="External" Id="rId10739"/><Relationship Type="http://schemas.openxmlformats.org/officeDocument/2006/relationships/hyperlink" Target="imagenes/T_TAHARI_124000159_OTM_3.jpg" TargetMode="External" Id="rId10740"/><Relationship Type="http://schemas.openxmlformats.org/officeDocument/2006/relationships/hyperlink" Target="imagenes/T_TAHARI_124000159_OTM_1.jpg" TargetMode="External" Id="rId10741"/><Relationship Type="http://schemas.openxmlformats.org/officeDocument/2006/relationships/hyperlink" Target="imagenes/T_TAHARI_124000159_OTM_2.jpg" TargetMode="External" Id="rId10742"/><Relationship Type="http://schemas.openxmlformats.org/officeDocument/2006/relationships/hyperlink" Target="imagenes/T_TAHARI_124000159_OTM_3.jpg" TargetMode="External" Id="rId10743"/><Relationship Type="http://schemas.openxmlformats.org/officeDocument/2006/relationships/hyperlink" Target="imagenes/T_TAHARI_124000159_OTM_1.jpg" TargetMode="External" Id="rId10744"/><Relationship Type="http://schemas.openxmlformats.org/officeDocument/2006/relationships/hyperlink" Target="imagenes/T_TAHARI_124000159_OTM_2.jpg" TargetMode="External" Id="rId10745"/><Relationship Type="http://schemas.openxmlformats.org/officeDocument/2006/relationships/hyperlink" Target="imagenes/T_TAHARI_124000159_OTM_3.jpg" TargetMode="External" Id="rId10746"/><Relationship Type="http://schemas.openxmlformats.org/officeDocument/2006/relationships/hyperlink" Target="imagenes/T_TAHARI_124000159_OTM_1.jpg" TargetMode="External" Id="rId10747"/><Relationship Type="http://schemas.openxmlformats.org/officeDocument/2006/relationships/hyperlink" Target="imagenes/T_TAHARI_124000159_OTM_2.jpg" TargetMode="External" Id="rId10748"/><Relationship Type="http://schemas.openxmlformats.org/officeDocument/2006/relationships/hyperlink" Target="imagenes/T_TAHARI_124000159_OTM_3.jpg" TargetMode="External" Id="rId10749"/><Relationship Type="http://schemas.openxmlformats.org/officeDocument/2006/relationships/hyperlink" Target="imagenes/T_TAHARI_124000159_OTM_1.jpg" TargetMode="External" Id="rId10750"/><Relationship Type="http://schemas.openxmlformats.org/officeDocument/2006/relationships/hyperlink" Target="imagenes/T_TAHARI_124000159_OTM_2.jpg" TargetMode="External" Id="rId10751"/><Relationship Type="http://schemas.openxmlformats.org/officeDocument/2006/relationships/hyperlink" Target="imagenes/T_TAHARI_124000159_OTM_3.jpg" TargetMode="External" Id="rId10752"/><Relationship Type="http://schemas.openxmlformats.org/officeDocument/2006/relationships/hyperlink" Target="imagenes/T_TAHARI_124000161_CAM_1.jpg" TargetMode="External" Id="rId10753"/><Relationship Type="http://schemas.openxmlformats.org/officeDocument/2006/relationships/hyperlink" Target="imagenes/T_TAHARI_124000161_CAM_2.jpg" TargetMode="External" Id="rId10754"/><Relationship Type="http://schemas.openxmlformats.org/officeDocument/2006/relationships/hyperlink" Target="imagenes/T_TAHARI_124000161_CAM_3.jpg" TargetMode="External" Id="rId10755"/><Relationship Type="http://schemas.openxmlformats.org/officeDocument/2006/relationships/hyperlink" Target="imagenes/T_TAHARI_124000161_CAM_1.jpg" TargetMode="External" Id="rId10756"/><Relationship Type="http://schemas.openxmlformats.org/officeDocument/2006/relationships/hyperlink" Target="imagenes/T_TAHARI_124000161_CAM_2.jpg" TargetMode="External" Id="rId10757"/><Relationship Type="http://schemas.openxmlformats.org/officeDocument/2006/relationships/hyperlink" Target="imagenes/T_TAHARI_124000161_CAM_3.jpg" TargetMode="External" Id="rId10758"/><Relationship Type="http://schemas.openxmlformats.org/officeDocument/2006/relationships/hyperlink" Target="imagenes/T_TAHARI_124000161_CAM_1.jpg" TargetMode="External" Id="rId10759"/><Relationship Type="http://schemas.openxmlformats.org/officeDocument/2006/relationships/hyperlink" Target="imagenes/T_TAHARI_124000161_CAM_2.jpg" TargetMode="External" Id="rId10760"/><Relationship Type="http://schemas.openxmlformats.org/officeDocument/2006/relationships/hyperlink" Target="imagenes/T_TAHARI_124000161_CAM_3.jpg" TargetMode="External" Id="rId10761"/><Relationship Type="http://schemas.openxmlformats.org/officeDocument/2006/relationships/hyperlink" Target="imagenes/T_TAHARI_124000161_CAM_1.jpg" TargetMode="External" Id="rId10762"/><Relationship Type="http://schemas.openxmlformats.org/officeDocument/2006/relationships/hyperlink" Target="imagenes/T_TAHARI_124000161_CAM_2.jpg" TargetMode="External" Id="rId10763"/><Relationship Type="http://schemas.openxmlformats.org/officeDocument/2006/relationships/hyperlink" Target="imagenes/T_TAHARI_124000161_CAM_3.jpg" TargetMode="External" Id="rId10764"/><Relationship Type="http://schemas.openxmlformats.org/officeDocument/2006/relationships/hyperlink" Target="imagenes/T_TAHARI_124000161_CAM_1.jpg" TargetMode="External" Id="rId10765"/><Relationship Type="http://schemas.openxmlformats.org/officeDocument/2006/relationships/hyperlink" Target="imagenes/T_TAHARI_124000161_CAM_2.jpg" TargetMode="External" Id="rId10766"/><Relationship Type="http://schemas.openxmlformats.org/officeDocument/2006/relationships/hyperlink" Target="imagenes/T_TAHARI_124000161_CAM_3.jpg" TargetMode="External" Id="rId10767"/><Relationship Type="http://schemas.openxmlformats.org/officeDocument/2006/relationships/hyperlink" Target="imagenes/T_TAHARI_124000161_OTM_1.jpg" TargetMode="External" Id="rId10768"/><Relationship Type="http://schemas.openxmlformats.org/officeDocument/2006/relationships/hyperlink" Target="imagenes/T_TAHARI_124000161_OTM_2.jpg" TargetMode="External" Id="rId10769"/><Relationship Type="http://schemas.openxmlformats.org/officeDocument/2006/relationships/hyperlink" Target="imagenes/T_TAHARI_124000161_OTM_3.jpg" TargetMode="External" Id="rId10770"/><Relationship Type="http://schemas.openxmlformats.org/officeDocument/2006/relationships/hyperlink" Target="imagenes/T_TAHARI_124000161_OTM_1.jpg" TargetMode="External" Id="rId10771"/><Relationship Type="http://schemas.openxmlformats.org/officeDocument/2006/relationships/hyperlink" Target="imagenes/T_TAHARI_124000161_OTM_2.jpg" TargetMode="External" Id="rId10772"/><Relationship Type="http://schemas.openxmlformats.org/officeDocument/2006/relationships/hyperlink" Target="imagenes/T_TAHARI_124000161_OTM_3.jpg" TargetMode="External" Id="rId10773"/><Relationship Type="http://schemas.openxmlformats.org/officeDocument/2006/relationships/hyperlink" Target="imagenes/T_TAHARI_124000161_OTM_1.jpg" TargetMode="External" Id="rId10774"/><Relationship Type="http://schemas.openxmlformats.org/officeDocument/2006/relationships/hyperlink" Target="imagenes/T_TAHARI_124000161_OTM_2.jpg" TargetMode="External" Id="rId10775"/><Relationship Type="http://schemas.openxmlformats.org/officeDocument/2006/relationships/hyperlink" Target="imagenes/T_TAHARI_124000161_OTM_3.jpg" TargetMode="External" Id="rId10776"/><Relationship Type="http://schemas.openxmlformats.org/officeDocument/2006/relationships/hyperlink" Target="imagenes/T_TAHARI_124000161_OTM_1.jpg" TargetMode="External" Id="rId10777"/><Relationship Type="http://schemas.openxmlformats.org/officeDocument/2006/relationships/hyperlink" Target="imagenes/T_TAHARI_124000161_OTM_2.jpg" TargetMode="External" Id="rId10778"/><Relationship Type="http://schemas.openxmlformats.org/officeDocument/2006/relationships/hyperlink" Target="imagenes/T_TAHARI_124000161_OTM_3.jpg" TargetMode="External" Id="rId10779"/><Relationship Type="http://schemas.openxmlformats.org/officeDocument/2006/relationships/hyperlink" Target="imagenes/T_TAHARI_124000161_OTM_1.jpg" TargetMode="External" Id="rId10780"/><Relationship Type="http://schemas.openxmlformats.org/officeDocument/2006/relationships/hyperlink" Target="imagenes/T_TAHARI_124000161_OTM_2.jpg" TargetMode="External" Id="rId10781"/><Relationship Type="http://schemas.openxmlformats.org/officeDocument/2006/relationships/hyperlink" Target="imagenes/T_TAHARI_124000161_OTM_3.jpg" TargetMode="External" Id="rId10782"/><Relationship Type="http://schemas.openxmlformats.org/officeDocument/2006/relationships/hyperlink" Target="imagenes/T_TAHARI_124000161_SFA_1.jpg" TargetMode="External" Id="rId10783"/><Relationship Type="http://schemas.openxmlformats.org/officeDocument/2006/relationships/hyperlink" Target="imagenes/T_TAHARI_124000161_SFA_2.jpg" TargetMode="External" Id="rId10784"/><Relationship Type="http://schemas.openxmlformats.org/officeDocument/2006/relationships/hyperlink" Target="imagenes/T_TAHARI_124000161_SFA_3.jpg" TargetMode="External" Id="rId10785"/><Relationship Type="http://schemas.openxmlformats.org/officeDocument/2006/relationships/hyperlink" Target="imagenes/T_TAHARI_124000161_SFA_1.jpg" TargetMode="External" Id="rId10786"/><Relationship Type="http://schemas.openxmlformats.org/officeDocument/2006/relationships/hyperlink" Target="imagenes/T_TAHARI_124000161_SFA_2.jpg" TargetMode="External" Id="rId10787"/><Relationship Type="http://schemas.openxmlformats.org/officeDocument/2006/relationships/hyperlink" Target="imagenes/T_TAHARI_124000161_SFA_3.jpg" TargetMode="External" Id="rId10788"/><Relationship Type="http://schemas.openxmlformats.org/officeDocument/2006/relationships/hyperlink" Target="imagenes/T_TAHARI_124000161_SFA_1.jpg" TargetMode="External" Id="rId10789"/><Relationship Type="http://schemas.openxmlformats.org/officeDocument/2006/relationships/hyperlink" Target="imagenes/T_TAHARI_124000161_SFA_2.jpg" TargetMode="External" Id="rId10790"/><Relationship Type="http://schemas.openxmlformats.org/officeDocument/2006/relationships/hyperlink" Target="imagenes/T_TAHARI_124000161_SFA_3.jpg" TargetMode="External" Id="rId10791"/><Relationship Type="http://schemas.openxmlformats.org/officeDocument/2006/relationships/hyperlink" Target="imagenes/T_TAHARI_124000188_CAM_1.jpg" TargetMode="External" Id="rId10792"/><Relationship Type="http://schemas.openxmlformats.org/officeDocument/2006/relationships/hyperlink" Target="imagenes/T_TAHARI_124000188_CAM_2.jpg" TargetMode="External" Id="rId10793"/><Relationship Type="http://schemas.openxmlformats.org/officeDocument/2006/relationships/hyperlink" Target="imagenes/T_TAHARI_124000188_CAM_3.jpg" TargetMode="External" Id="rId10794"/><Relationship Type="http://schemas.openxmlformats.org/officeDocument/2006/relationships/hyperlink" Target="imagenes/T_TAHARI_124000188_CAM_1.jpg" TargetMode="External" Id="rId10795"/><Relationship Type="http://schemas.openxmlformats.org/officeDocument/2006/relationships/hyperlink" Target="imagenes/T_TAHARI_124000188_CAM_2.jpg" TargetMode="External" Id="rId10796"/><Relationship Type="http://schemas.openxmlformats.org/officeDocument/2006/relationships/hyperlink" Target="imagenes/T_TAHARI_124000188_CAM_3.jpg" TargetMode="External" Id="rId10797"/><Relationship Type="http://schemas.openxmlformats.org/officeDocument/2006/relationships/hyperlink" Target="imagenes/T_TAHARI_124000188_CAM_1.jpg" TargetMode="External" Id="rId10798"/><Relationship Type="http://schemas.openxmlformats.org/officeDocument/2006/relationships/hyperlink" Target="imagenes/T_TAHARI_124000188_CAM_2.jpg" TargetMode="External" Id="rId10799"/><Relationship Type="http://schemas.openxmlformats.org/officeDocument/2006/relationships/hyperlink" Target="imagenes/T_TAHARI_124000188_CAM_3.jpg" TargetMode="External" Id="rId10800"/><Relationship Type="http://schemas.openxmlformats.org/officeDocument/2006/relationships/hyperlink" Target="imagenes/T_TAHARI_124000188_CAM_1.jpg" TargetMode="External" Id="rId10801"/><Relationship Type="http://schemas.openxmlformats.org/officeDocument/2006/relationships/hyperlink" Target="imagenes/T_TAHARI_124000188_CAM_2.jpg" TargetMode="External" Id="rId10802"/><Relationship Type="http://schemas.openxmlformats.org/officeDocument/2006/relationships/hyperlink" Target="imagenes/T_TAHARI_124000188_CAM_3.jpg" TargetMode="External" Id="rId10803"/><Relationship Type="http://schemas.openxmlformats.org/officeDocument/2006/relationships/hyperlink" Target="imagenes/T_TAHARI_124000188_CAM_1.jpg" TargetMode="External" Id="rId10804"/><Relationship Type="http://schemas.openxmlformats.org/officeDocument/2006/relationships/hyperlink" Target="imagenes/T_TAHARI_124000188_CAM_2.jpg" TargetMode="External" Id="rId10805"/><Relationship Type="http://schemas.openxmlformats.org/officeDocument/2006/relationships/hyperlink" Target="imagenes/T_TAHARI_124000188_CAM_3.jpg" TargetMode="External" Id="rId10806"/><Relationship Type="http://schemas.openxmlformats.org/officeDocument/2006/relationships/hyperlink" Target="imagenes/T_TAHARI_124000188_CAM_1.jpg" TargetMode="External" Id="rId10807"/><Relationship Type="http://schemas.openxmlformats.org/officeDocument/2006/relationships/hyperlink" Target="imagenes/T_TAHARI_124000188_CAM_2.jpg" TargetMode="External" Id="rId10808"/><Relationship Type="http://schemas.openxmlformats.org/officeDocument/2006/relationships/hyperlink" Target="imagenes/T_TAHARI_124000188_CAM_3.jpg" TargetMode="External" Id="rId10809"/><Relationship Type="http://schemas.openxmlformats.org/officeDocument/2006/relationships/hyperlink" Target="imagenes/T_TAHARI_124000188_CAM_1.jpg" TargetMode="External" Id="rId10810"/><Relationship Type="http://schemas.openxmlformats.org/officeDocument/2006/relationships/hyperlink" Target="imagenes/T_TAHARI_124000188_CAM_2.jpg" TargetMode="External" Id="rId10811"/><Relationship Type="http://schemas.openxmlformats.org/officeDocument/2006/relationships/hyperlink" Target="imagenes/T_TAHARI_124000188_CAM_3.jpg" TargetMode="External" Id="rId10812"/><Relationship Type="http://schemas.openxmlformats.org/officeDocument/2006/relationships/hyperlink" Target="imagenes/T_TAHARI_124000188_CAM_1.jpg" TargetMode="External" Id="rId10813"/><Relationship Type="http://schemas.openxmlformats.org/officeDocument/2006/relationships/hyperlink" Target="imagenes/T_TAHARI_124000188_CAM_2.jpg" TargetMode="External" Id="rId10814"/><Relationship Type="http://schemas.openxmlformats.org/officeDocument/2006/relationships/hyperlink" Target="imagenes/T_TAHARI_124000188_CAM_3.jpg" TargetMode="External" Id="rId10815"/><Relationship Type="http://schemas.openxmlformats.org/officeDocument/2006/relationships/hyperlink" Target="imagenes/T_TAHARI_124000188_CAM_1.jpg" TargetMode="External" Id="rId10816"/><Relationship Type="http://schemas.openxmlformats.org/officeDocument/2006/relationships/hyperlink" Target="imagenes/T_TAHARI_124000188_CAM_2.jpg" TargetMode="External" Id="rId10817"/><Relationship Type="http://schemas.openxmlformats.org/officeDocument/2006/relationships/hyperlink" Target="imagenes/T_TAHARI_124000188_CAM_3.jpg" TargetMode="External" Id="rId10818"/><Relationship Type="http://schemas.openxmlformats.org/officeDocument/2006/relationships/hyperlink" Target="imagenes/T_TAHARI_124000188_CHO_1.jpg" TargetMode="External" Id="rId10819"/><Relationship Type="http://schemas.openxmlformats.org/officeDocument/2006/relationships/hyperlink" Target="imagenes/T_TAHARI_124000188_CHO_2.jpg" TargetMode="External" Id="rId10820"/><Relationship Type="http://schemas.openxmlformats.org/officeDocument/2006/relationships/hyperlink" Target="imagenes/T_TAHARI_124000188_CHO_3.jpg" TargetMode="External" Id="rId10821"/><Relationship Type="http://schemas.openxmlformats.org/officeDocument/2006/relationships/hyperlink" Target="imagenes/T_TAHARI_124000188_CHO_1.jpg" TargetMode="External" Id="rId10822"/><Relationship Type="http://schemas.openxmlformats.org/officeDocument/2006/relationships/hyperlink" Target="imagenes/T_TAHARI_124000188_CHO_2.jpg" TargetMode="External" Id="rId10823"/><Relationship Type="http://schemas.openxmlformats.org/officeDocument/2006/relationships/hyperlink" Target="imagenes/T_TAHARI_124000188_CHO_3.jpg" TargetMode="External" Id="rId10824"/><Relationship Type="http://schemas.openxmlformats.org/officeDocument/2006/relationships/hyperlink" Target="imagenes/T_TAHARI_124000188_CHO_1.jpg" TargetMode="External" Id="rId10825"/><Relationship Type="http://schemas.openxmlformats.org/officeDocument/2006/relationships/hyperlink" Target="imagenes/T_TAHARI_124000188_CHO_2.jpg" TargetMode="External" Id="rId10826"/><Relationship Type="http://schemas.openxmlformats.org/officeDocument/2006/relationships/hyperlink" Target="imagenes/T_TAHARI_124000188_CHO_3.jpg" TargetMode="External" Id="rId10827"/><Relationship Type="http://schemas.openxmlformats.org/officeDocument/2006/relationships/hyperlink" Target="imagenes/T_TAHARI_124000188_CHO_1.jpg" TargetMode="External" Id="rId10828"/><Relationship Type="http://schemas.openxmlformats.org/officeDocument/2006/relationships/hyperlink" Target="imagenes/T_TAHARI_124000188_CHO_2.jpg" TargetMode="External" Id="rId10829"/><Relationship Type="http://schemas.openxmlformats.org/officeDocument/2006/relationships/hyperlink" Target="imagenes/T_TAHARI_124000188_CHO_3.jpg" TargetMode="External" Id="rId10830"/><Relationship Type="http://schemas.openxmlformats.org/officeDocument/2006/relationships/hyperlink" Target="imagenes/T_TAHARI_124000188_CHO_1.jpg" TargetMode="External" Id="rId10831"/><Relationship Type="http://schemas.openxmlformats.org/officeDocument/2006/relationships/hyperlink" Target="imagenes/T_TAHARI_124000188_CHO_2.jpg" TargetMode="External" Id="rId10832"/><Relationship Type="http://schemas.openxmlformats.org/officeDocument/2006/relationships/hyperlink" Target="imagenes/T_TAHARI_124000188_CHO_3.jpg" TargetMode="External" Id="rId10833"/><Relationship Type="http://schemas.openxmlformats.org/officeDocument/2006/relationships/hyperlink" Target="imagenes/T_TAHARI_124000188_CHO_1.jpg" TargetMode="External" Id="rId10834"/><Relationship Type="http://schemas.openxmlformats.org/officeDocument/2006/relationships/hyperlink" Target="imagenes/T_TAHARI_124000188_CHO_2.jpg" TargetMode="External" Id="rId10835"/><Relationship Type="http://schemas.openxmlformats.org/officeDocument/2006/relationships/hyperlink" Target="imagenes/T_TAHARI_124000188_CHO_3.jpg" TargetMode="External" Id="rId10836"/><Relationship Type="http://schemas.openxmlformats.org/officeDocument/2006/relationships/hyperlink" Target="imagenes/T_TAHARI_124000188_CHO_1.jpg" TargetMode="External" Id="rId10837"/><Relationship Type="http://schemas.openxmlformats.org/officeDocument/2006/relationships/hyperlink" Target="imagenes/T_TAHARI_124000188_CHO_2.jpg" TargetMode="External" Id="rId10838"/><Relationship Type="http://schemas.openxmlformats.org/officeDocument/2006/relationships/hyperlink" Target="imagenes/T_TAHARI_124000188_CHO_3.jpg" TargetMode="External" Id="rId10839"/><Relationship Type="http://schemas.openxmlformats.org/officeDocument/2006/relationships/hyperlink" Target="imagenes/T_TAHARI_124000188_CHO_1.jpg" TargetMode="External" Id="rId10840"/><Relationship Type="http://schemas.openxmlformats.org/officeDocument/2006/relationships/hyperlink" Target="imagenes/T_TAHARI_124000188_CHO_2.jpg" TargetMode="External" Id="rId10841"/><Relationship Type="http://schemas.openxmlformats.org/officeDocument/2006/relationships/hyperlink" Target="imagenes/T_TAHARI_124000188_CHO_3.jpg" TargetMode="External" Id="rId10842"/><Relationship Type="http://schemas.openxmlformats.org/officeDocument/2006/relationships/hyperlink" Target="imagenes/T_TAHARI_124000188_CIN_1.jpg" TargetMode="External" Id="rId10843"/><Relationship Type="http://schemas.openxmlformats.org/officeDocument/2006/relationships/hyperlink" Target="imagenes/T_TAHARI_124000188_CIN_2.jpg" TargetMode="External" Id="rId10844"/><Relationship Type="http://schemas.openxmlformats.org/officeDocument/2006/relationships/hyperlink" Target="imagenes/T_TAHARI_124000188_CIN_3.jpg" TargetMode="External" Id="rId10845"/><Relationship Type="http://schemas.openxmlformats.org/officeDocument/2006/relationships/hyperlink" Target="imagenes/T_TAHARI_124000188_CIN_1.jpg" TargetMode="External" Id="rId10846"/><Relationship Type="http://schemas.openxmlformats.org/officeDocument/2006/relationships/hyperlink" Target="imagenes/T_TAHARI_124000188_CIN_2.jpg" TargetMode="External" Id="rId10847"/><Relationship Type="http://schemas.openxmlformats.org/officeDocument/2006/relationships/hyperlink" Target="imagenes/T_TAHARI_124000188_CIN_3.jpg" TargetMode="External" Id="rId10848"/><Relationship Type="http://schemas.openxmlformats.org/officeDocument/2006/relationships/hyperlink" Target="imagenes/T_TAHARI_124000188_CIN_1.jpg" TargetMode="External" Id="rId10849"/><Relationship Type="http://schemas.openxmlformats.org/officeDocument/2006/relationships/hyperlink" Target="imagenes/T_TAHARI_124000188_CIN_2.jpg" TargetMode="External" Id="rId10850"/><Relationship Type="http://schemas.openxmlformats.org/officeDocument/2006/relationships/hyperlink" Target="imagenes/T_TAHARI_124000188_CIN_3.jpg" TargetMode="External" Id="rId10851"/><Relationship Type="http://schemas.openxmlformats.org/officeDocument/2006/relationships/hyperlink" Target="imagenes/T_TAHARI_124000188_CIN_1.jpg" TargetMode="External" Id="rId10852"/><Relationship Type="http://schemas.openxmlformats.org/officeDocument/2006/relationships/hyperlink" Target="imagenes/T_TAHARI_124000188_CIN_2.jpg" TargetMode="External" Id="rId10853"/><Relationship Type="http://schemas.openxmlformats.org/officeDocument/2006/relationships/hyperlink" Target="imagenes/T_TAHARI_124000188_CIN_3.jpg" TargetMode="External" Id="rId10854"/><Relationship Type="http://schemas.openxmlformats.org/officeDocument/2006/relationships/hyperlink" Target="imagenes/T_TAHARI_124000188_CIN_1.jpg" TargetMode="External" Id="rId10855"/><Relationship Type="http://schemas.openxmlformats.org/officeDocument/2006/relationships/hyperlink" Target="imagenes/T_TAHARI_124000188_CIN_2.jpg" TargetMode="External" Id="rId10856"/><Relationship Type="http://schemas.openxmlformats.org/officeDocument/2006/relationships/hyperlink" Target="imagenes/T_TAHARI_124000188_CIN_3.jpg" TargetMode="External" Id="rId10857"/><Relationship Type="http://schemas.openxmlformats.org/officeDocument/2006/relationships/hyperlink" Target="imagenes/T_TAHARI_124000188_CIN_1.jpg" TargetMode="External" Id="rId10858"/><Relationship Type="http://schemas.openxmlformats.org/officeDocument/2006/relationships/hyperlink" Target="imagenes/T_TAHARI_124000188_CIN_2.jpg" TargetMode="External" Id="rId10859"/><Relationship Type="http://schemas.openxmlformats.org/officeDocument/2006/relationships/hyperlink" Target="imagenes/T_TAHARI_124000188_CIN_3.jpg" TargetMode="External" Id="rId10860"/><Relationship Type="http://schemas.openxmlformats.org/officeDocument/2006/relationships/hyperlink" Target="imagenes/T_TAHARI_124000188_CIN_1.jpg" TargetMode="External" Id="rId10861"/><Relationship Type="http://schemas.openxmlformats.org/officeDocument/2006/relationships/hyperlink" Target="imagenes/T_TAHARI_124000188_CIN_2.jpg" TargetMode="External" Id="rId10862"/><Relationship Type="http://schemas.openxmlformats.org/officeDocument/2006/relationships/hyperlink" Target="imagenes/T_TAHARI_124000188_CIN_3.jpg" TargetMode="External" Id="rId10863"/><Relationship Type="http://schemas.openxmlformats.org/officeDocument/2006/relationships/hyperlink" Target="imagenes/T_TAHARI_124000188_CIN_1.jpg" TargetMode="External" Id="rId10864"/><Relationship Type="http://schemas.openxmlformats.org/officeDocument/2006/relationships/hyperlink" Target="imagenes/T_TAHARI_124000188_CIN_2.jpg" TargetMode="External" Id="rId10865"/><Relationship Type="http://schemas.openxmlformats.org/officeDocument/2006/relationships/hyperlink" Target="imagenes/T_TAHARI_124000188_CIN_3.jpg" TargetMode="External" Id="rId10866"/><Relationship Type="http://schemas.openxmlformats.org/officeDocument/2006/relationships/hyperlink" Target="imagenes/T_TAHARI_124000188_CIN_1.jpg" TargetMode="External" Id="rId10867"/><Relationship Type="http://schemas.openxmlformats.org/officeDocument/2006/relationships/hyperlink" Target="imagenes/T_TAHARI_124000188_CIN_2.jpg" TargetMode="External" Id="rId10868"/><Relationship Type="http://schemas.openxmlformats.org/officeDocument/2006/relationships/hyperlink" Target="imagenes/T_TAHARI_124000188_CIN_3.jpg" TargetMode="External" Id="rId10869"/><Relationship Type="http://schemas.openxmlformats.org/officeDocument/2006/relationships/hyperlink" Target="imagenes/T_TAHARI_124000188_CIN_1.jpg" TargetMode="External" Id="rId10870"/><Relationship Type="http://schemas.openxmlformats.org/officeDocument/2006/relationships/hyperlink" Target="imagenes/T_TAHARI_124000188_CIN_2.jpg" TargetMode="External" Id="rId10871"/><Relationship Type="http://schemas.openxmlformats.org/officeDocument/2006/relationships/hyperlink" Target="imagenes/T_TAHARI_124000188_CIN_3.jpg" TargetMode="External" Id="rId10872"/><Relationship Type="http://schemas.openxmlformats.org/officeDocument/2006/relationships/hyperlink" Target="imagenes/T_TAHARI_124000188_CIN_1.jpg" TargetMode="External" Id="rId10873"/><Relationship Type="http://schemas.openxmlformats.org/officeDocument/2006/relationships/hyperlink" Target="imagenes/T_TAHARI_124000188_CIN_2.jpg" TargetMode="External" Id="rId10874"/><Relationship Type="http://schemas.openxmlformats.org/officeDocument/2006/relationships/hyperlink" Target="imagenes/T_TAHARI_124000188_CIN_3.jpg" TargetMode="External" Id="rId10875"/><Relationship Type="http://schemas.openxmlformats.org/officeDocument/2006/relationships/hyperlink" Target="imagenes/T_TAHARI_124000188_OTM_1.jpg" TargetMode="External" Id="rId10876"/><Relationship Type="http://schemas.openxmlformats.org/officeDocument/2006/relationships/hyperlink" Target="imagenes/T_TAHARI_124000188_OTM_2.jpg" TargetMode="External" Id="rId10877"/><Relationship Type="http://schemas.openxmlformats.org/officeDocument/2006/relationships/hyperlink" Target="imagenes/T_TAHARI_124000188_OTM_3.jpg" TargetMode="External" Id="rId10878"/><Relationship Type="http://schemas.openxmlformats.org/officeDocument/2006/relationships/hyperlink" Target="imagenes/T_TAHARI_124000188_OTM_1.jpg" TargetMode="External" Id="rId10879"/><Relationship Type="http://schemas.openxmlformats.org/officeDocument/2006/relationships/hyperlink" Target="imagenes/T_TAHARI_124000188_OTM_2.jpg" TargetMode="External" Id="rId10880"/><Relationship Type="http://schemas.openxmlformats.org/officeDocument/2006/relationships/hyperlink" Target="imagenes/T_TAHARI_124000188_OTM_3.jpg" TargetMode="External" Id="rId10881"/><Relationship Type="http://schemas.openxmlformats.org/officeDocument/2006/relationships/hyperlink" Target="imagenes/T_TAHARI_124000188_OTM_1.jpg" TargetMode="External" Id="rId10882"/><Relationship Type="http://schemas.openxmlformats.org/officeDocument/2006/relationships/hyperlink" Target="imagenes/T_TAHARI_124000188_OTM_2.jpg" TargetMode="External" Id="rId10883"/><Relationship Type="http://schemas.openxmlformats.org/officeDocument/2006/relationships/hyperlink" Target="imagenes/T_TAHARI_124000188_OTM_3.jpg" TargetMode="External" Id="rId10884"/><Relationship Type="http://schemas.openxmlformats.org/officeDocument/2006/relationships/hyperlink" Target="imagenes/T_TAHARI_124000188_OTM_1.jpg" TargetMode="External" Id="rId10885"/><Relationship Type="http://schemas.openxmlformats.org/officeDocument/2006/relationships/hyperlink" Target="imagenes/T_TAHARI_124000188_OTM_2.jpg" TargetMode="External" Id="rId10886"/><Relationship Type="http://schemas.openxmlformats.org/officeDocument/2006/relationships/hyperlink" Target="imagenes/T_TAHARI_124000188_OTM_3.jpg" TargetMode="External" Id="rId10887"/><Relationship Type="http://schemas.openxmlformats.org/officeDocument/2006/relationships/hyperlink" Target="imagenes/T_TAHARI_124000188_OTM_1.jpg" TargetMode="External" Id="rId10888"/><Relationship Type="http://schemas.openxmlformats.org/officeDocument/2006/relationships/hyperlink" Target="imagenes/T_TAHARI_124000188_OTM_2.jpg" TargetMode="External" Id="rId10889"/><Relationship Type="http://schemas.openxmlformats.org/officeDocument/2006/relationships/hyperlink" Target="imagenes/T_TAHARI_124000188_OTM_3.jpg" TargetMode="External" Id="rId10890"/><Relationship Type="http://schemas.openxmlformats.org/officeDocument/2006/relationships/hyperlink" Target="imagenes/T_TAHARI_124000188_OTM_1.jpg" TargetMode="External" Id="rId10891"/><Relationship Type="http://schemas.openxmlformats.org/officeDocument/2006/relationships/hyperlink" Target="imagenes/T_TAHARI_124000188_OTM_2.jpg" TargetMode="External" Id="rId10892"/><Relationship Type="http://schemas.openxmlformats.org/officeDocument/2006/relationships/hyperlink" Target="imagenes/T_TAHARI_124000188_OTM_3.jpg" TargetMode="External" Id="rId10893"/><Relationship Type="http://schemas.openxmlformats.org/officeDocument/2006/relationships/hyperlink" Target="imagenes/T_TAHARI_124000188_OTM_1.jpg" TargetMode="External" Id="rId10894"/><Relationship Type="http://schemas.openxmlformats.org/officeDocument/2006/relationships/hyperlink" Target="imagenes/T_TAHARI_124000188_OTM_2.jpg" TargetMode="External" Id="rId10895"/><Relationship Type="http://schemas.openxmlformats.org/officeDocument/2006/relationships/hyperlink" Target="imagenes/T_TAHARI_124000188_OTM_3.jpg" TargetMode="External" Id="rId10896"/><Relationship Type="http://schemas.openxmlformats.org/officeDocument/2006/relationships/hyperlink" Target="imagenes/T_TAHARI_124000188_OTM_1.jpg" TargetMode="External" Id="rId10897"/><Relationship Type="http://schemas.openxmlformats.org/officeDocument/2006/relationships/hyperlink" Target="imagenes/T_TAHARI_124000188_OTM_2.jpg" TargetMode="External" Id="rId10898"/><Relationship Type="http://schemas.openxmlformats.org/officeDocument/2006/relationships/hyperlink" Target="imagenes/T_TAHARI_124000188_OTM_3.jpg" TargetMode="External" Id="rId10899"/><Relationship Type="http://schemas.openxmlformats.org/officeDocument/2006/relationships/hyperlink" Target="imagenes/T_TAHARI_124000188_OTM_1.jpg" TargetMode="External" Id="rId10900"/><Relationship Type="http://schemas.openxmlformats.org/officeDocument/2006/relationships/hyperlink" Target="imagenes/T_TAHARI_124000188_OTM_2.jpg" TargetMode="External" Id="rId10901"/><Relationship Type="http://schemas.openxmlformats.org/officeDocument/2006/relationships/hyperlink" Target="imagenes/T_TAHARI_124000188_OTM_3.jpg" TargetMode="External" Id="rId10902"/><Relationship Type="http://schemas.openxmlformats.org/officeDocument/2006/relationships/hyperlink" Target="imagenes/T_TAHARI_124000188_OTM_1.jpg" TargetMode="External" Id="rId10903"/><Relationship Type="http://schemas.openxmlformats.org/officeDocument/2006/relationships/hyperlink" Target="imagenes/T_TAHARI_124000188_OTM_2.jpg" TargetMode="External" Id="rId10904"/><Relationship Type="http://schemas.openxmlformats.org/officeDocument/2006/relationships/hyperlink" Target="imagenes/T_TAHARI_124000188_OTM_3.jpg" TargetMode="External" Id="rId10905"/><Relationship Type="http://schemas.openxmlformats.org/officeDocument/2006/relationships/hyperlink" Target="imagenes/T_TAHARI_124000503_CAM_1.jpg" TargetMode="External" Id="rId10906"/><Relationship Type="http://schemas.openxmlformats.org/officeDocument/2006/relationships/hyperlink" Target="imagenes/T_TAHARI_124000503_CAM_2.jpg" TargetMode="External" Id="rId10907"/><Relationship Type="http://schemas.openxmlformats.org/officeDocument/2006/relationships/hyperlink" Target="imagenes/T_TAHARI_124000503_CAM_3.jpg" TargetMode="External" Id="rId10908"/><Relationship Type="http://schemas.openxmlformats.org/officeDocument/2006/relationships/hyperlink" Target="imagenes/T_TAHARI_124000503_CAM_1.jpg" TargetMode="External" Id="rId10909"/><Relationship Type="http://schemas.openxmlformats.org/officeDocument/2006/relationships/hyperlink" Target="imagenes/T_TAHARI_124000503_CAM_2.jpg" TargetMode="External" Id="rId10910"/><Relationship Type="http://schemas.openxmlformats.org/officeDocument/2006/relationships/hyperlink" Target="imagenes/T_TAHARI_124000503_CAM_3.jpg" TargetMode="External" Id="rId10911"/><Relationship Type="http://schemas.openxmlformats.org/officeDocument/2006/relationships/hyperlink" Target="imagenes/T_TAHARI_124000503_CAM_1.jpg" TargetMode="External" Id="rId10912"/><Relationship Type="http://schemas.openxmlformats.org/officeDocument/2006/relationships/hyperlink" Target="imagenes/T_TAHARI_124000503_CAM_2.jpg" TargetMode="External" Id="rId10913"/><Relationship Type="http://schemas.openxmlformats.org/officeDocument/2006/relationships/hyperlink" Target="imagenes/T_TAHARI_124000503_CAM_3.jpg" TargetMode="External" Id="rId10914"/><Relationship Type="http://schemas.openxmlformats.org/officeDocument/2006/relationships/hyperlink" Target="imagenes/T_TAHARI_124000503_HGY_1.jpg" TargetMode="External" Id="rId10915"/><Relationship Type="http://schemas.openxmlformats.org/officeDocument/2006/relationships/hyperlink" Target="imagenes/T_TAHARI_124000503_HGY_3.jpg" TargetMode="External" Id="rId10916"/><Relationship Type="http://schemas.openxmlformats.org/officeDocument/2006/relationships/hyperlink" Target="imagenes/T_TAHARI_124000503_HGY_1.jpg" TargetMode="External" Id="rId10917"/><Relationship Type="http://schemas.openxmlformats.org/officeDocument/2006/relationships/hyperlink" Target="imagenes/T_TAHARI_124000503_HGY_3.jpg" TargetMode="External" Id="rId10918"/><Relationship Type="http://schemas.openxmlformats.org/officeDocument/2006/relationships/hyperlink" Target="imagenes/T_TAHARI_124000503_HGY_1.jpg" TargetMode="External" Id="rId10919"/><Relationship Type="http://schemas.openxmlformats.org/officeDocument/2006/relationships/hyperlink" Target="imagenes/T_TAHARI_124000503_HGY_3.jpg" TargetMode="External" Id="rId10920"/><Relationship Type="http://schemas.openxmlformats.org/officeDocument/2006/relationships/hyperlink" Target="imagenes/T_TAHARI_124000503_HGY_1.jpg" TargetMode="External" Id="rId10921"/><Relationship Type="http://schemas.openxmlformats.org/officeDocument/2006/relationships/hyperlink" Target="imagenes/T_TAHARI_124000503_HGY_3.jpg" TargetMode="External" Id="rId10922"/><Relationship Type="http://schemas.openxmlformats.org/officeDocument/2006/relationships/hyperlink" Target="imagenes/T_TAHARI_124000503_HGY_1.jpg" TargetMode="External" Id="rId10923"/><Relationship Type="http://schemas.openxmlformats.org/officeDocument/2006/relationships/hyperlink" Target="imagenes/T_TAHARI_124000503_HGY_3.jpg" TargetMode="External" Id="rId10924"/><Relationship Type="http://schemas.openxmlformats.org/officeDocument/2006/relationships/hyperlink" Target="imagenes/T_TAHARI_124000503_SFA_1.jpg" TargetMode="External" Id="rId10925"/><Relationship Type="http://schemas.openxmlformats.org/officeDocument/2006/relationships/hyperlink" Target="imagenes/T_TAHARI_124000503_SFA_2.jpg" TargetMode="External" Id="rId10926"/><Relationship Type="http://schemas.openxmlformats.org/officeDocument/2006/relationships/hyperlink" Target="imagenes/T_TAHARI_124000503_SFA_3.jpg" TargetMode="External" Id="rId10927"/><Relationship Type="http://schemas.openxmlformats.org/officeDocument/2006/relationships/hyperlink" Target="imagenes/T_TAHARI_124000503_SFA_1.jpg" TargetMode="External" Id="rId10928"/><Relationship Type="http://schemas.openxmlformats.org/officeDocument/2006/relationships/hyperlink" Target="imagenes/T_TAHARI_124000503_SFA_2.jpg" TargetMode="External" Id="rId10929"/><Relationship Type="http://schemas.openxmlformats.org/officeDocument/2006/relationships/hyperlink" Target="imagenes/T_TAHARI_124000503_SFA_3.jpg" TargetMode="External" Id="rId10930"/><Relationship Type="http://schemas.openxmlformats.org/officeDocument/2006/relationships/hyperlink" Target="imagenes/T_TAHARI_124000503_SFA_1.jpg" TargetMode="External" Id="rId10931"/><Relationship Type="http://schemas.openxmlformats.org/officeDocument/2006/relationships/hyperlink" Target="imagenes/T_TAHARI_124000503_SFA_2.jpg" TargetMode="External" Id="rId10932"/><Relationship Type="http://schemas.openxmlformats.org/officeDocument/2006/relationships/hyperlink" Target="imagenes/T_TAHARI_124000503_SFA_3.jpg" TargetMode="External" Id="rId10933"/><Relationship Type="http://schemas.openxmlformats.org/officeDocument/2006/relationships/hyperlink" Target="imagenes/T_TAHARI_124000503_SFA_1.jpg" TargetMode="External" Id="rId10934"/><Relationship Type="http://schemas.openxmlformats.org/officeDocument/2006/relationships/hyperlink" Target="imagenes/T_TAHARI_124000503_SFA_2.jpg" TargetMode="External" Id="rId10935"/><Relationship Type="http://schemas.openxmlformats.org/officeDocument/2006/relationships/hyperlink" Target="imagenes/T_TAHARI_124000503_SFA_3.jpg" TargetMode="External" Id="rId10936"/><Relationship Type="http://schemas.openxmlformats.org/officeDocument/2006/relationships/hyperlink" Target="imagenes/T_TAHARI_124001275_BLK_1.jpg" TargetMode="External" Id="rId10937"/><Relationship Type="http://schemas.openxmlformats.org/officeDocument/2006/relationships/hyperlink" Target="imagenes/T_TAHARI_124001275_BLK_2.jpg" TargetMode="External" Id="rId10938"/><Relationship Type="http://schemas.openxmlformats.org/officeDocument/2006/relationships/hyperlink" Target="imagenes/T_TAHARI_124001275_BLK_3.jpg" TargetMode="External" Id="rId10939"/><Relationship Type="http://schemas.openxmlformats.org/officeDocument/2006/relationships/hyperlink" Target="imagenes/T_TAHARI_124001275_HGY_1.jpg" TargetMode="External" Id="rId10940"/><Relationship Type="http://schemas.openxmlformats.org/officeDocument/2006/relationships/hyperlink" Target="imagenes/T_TAHARI_124001275_HGY_2.jpg" TargetMode="External" Id="rId10941"/><Relationship Type="http://schemas.openxmlformats.org/officeDocument/2006/relationships/hyperlink" Target="imagenes/T_TAHARI_124001275_HGY_3.jpg" TargetMode="External" Id="rId10942"/><Relationship Type="http://schemas.openxmlformats.org/officeDocument/2006/relationships/hyperlink" Target="imagenes/T_TAHARI_124001278_BLK_1.jpg" TargetMode="External" Id="rId10943"/><Relationship Type="http://schemas.openxmlformats.org/officeDocument/2006/relationships/hyperlink" Target="imagenes/T_TAHARI_124001278_BLK_2.jpg" TargetMode="External" Id="rId10944"/><Relationship Type="http://schemas.openxmlformats.org/officeDocument/2006/relationships/hyperlink" Target="imagenes/T_TAHARI_124001278_BLK_3.jpg" TargetMode="External" Id="rId10945"/><Relationship Type="http://schemas.openxmlformats.org/officeDocument/2006/relationships/hyperlink" Target="imagenes/T_TAHARI_124001278_BLK_1.jpg" TargetMode="External" Id="rId10946"/><Relationship Type="http://schemas.openxmlformats.org/officeDocument/2006/relationships/hyperlink" Target="imagenes/T_TAHARI_124001278_BLK_2.jpg" TargetMode="External" Id="rId10947"/><Relationship Type="http://schemas.openxmlformats.org/officeDocument/2006/relationships/hyperlink" Target="imagenes/T_TAHARI_124001278_BLK_3.jpg" TargetMode="External" Id="rId10948"/><Relationship Type="http://schemas.openxmlformats.org/officeDocument/2006/relationships/hyperlink" Target="imagenes/T_TAHARI_124001278_NVY_1.jpg" TargetMode="External" Id="rId10949"/><Relationship Type="http://schemas.openxmlformats.org/officeDocument/2006/relationships/hyperlink" Target="imagenes/T_TAHARI_124001278_NVY_2.jpg" TargetMode="External" Id="rId10950"/><Relationship Type="http://schemas.openxmlformats.org/officeDocument/2006/relationships/hyperlink" Target="imagenes/T_TAHARI_124001278_NVY_3.jpg" TargetMode="External" Id="rId10951"/><Relationship Type="http://schemas.openxmlformats.org/officeDocument/2006/relationships/hyperlink" Target="imagenes/T_TAHARI_124001278_NVY_1.jpg" TargetMode="External" Id="rId10952"/><Relationship Type="http://schemas.openxmlformats.org/officeDocument/2006/relationships/hyperlink" Target="imagenes/T_TAHARI_124001278_NVY_2.jpg" TargetMode="External" Id="rId10953"/><Relationship Type="http://schemas.openxmlformats.org/officeDocument/2006/relationships/hyperlink" Target="imagenes/T_TAHARI_124001278_NVY_3.jpg" TargetMode="External" Id="rId10954"/><Relationship Type="http://schemas.openxmlformats.org/officeDocument/2006/relationships/hyperlink" Target="imagenes/T_TAHARI_124001278_NVY_1.jpg" TargetMode="External" Id="rId10955"/><Relationship Type="http://schemas.openxmlformats.org/officeDocument/2006/relationships/hyperlink" Target="imagenes/T_TAHARI_124001278_NVY_2.jpg" TargetMode="External" Id="rId10956"/><Relationship Type="http://schemas.openxmlformats.org/officeDocument/2006/relationships/hyperlink" Target="imagenes/T_TAHARI_124001278_NVY_3.jpg" TargetMode="External" Id="rId10957"/><Relationship Type="http://schemas.openxmlformats.org/officeDocument/2006/relationships/hyperlink" Target="imagenes/T_TAHARI_124001304_BLK_1.jpg" TargetMode="External" Id="rId10958"/><Relationship Type="http://schemas.openxmlformats.org/officeDocument/2006/relationships/hyperlink" Target="imagenes/T_TAHARI_124001304_BLK_2.jpg" TargetMode="External" Id="rId10959"/><Relationship Type="http://schemas.openxmlformats.org/officeDocument/2006/relationships/hyperlink" Target="imagenes/T_TAHARI_124001304_BLK_3.jpg" TargetMode="External" Id="rId10960"/><Relationship Type="http://schemas.openxmlformats.org/officeDocument/2006/relationships/hyperlink" Target="imagenes/T_TAHARI_124001304_BLK_1.jpg" TargetMode="External" Id="rId10961"/><Relationship Type="http://schemas.openxmlformats.org/officeDocument/2006/relationships/hyperlink" Target="imagenes/T_TAHARI_124001304_BLK_2.jpg" TargetMode="External" Id="rId10962"/><Relationship Type="http://schemas.openxmlformats.org/officeDocument/2006/relationships/hyperlink" Target="imagenes/T_TAHARI_124001304_BLK_3.jpg" TargetMode="External" Id="rId10963"/><Relationship Type="http://schemas.openxmlformats.org/officeDocument/2006/relationships/hyperlink" Target="imagenes/T_TAHARI_124001304_BLK_1.jpg" TargetMode="External" Id="rId10964"/><Relationship Type="http://schemas.openxmlformats.org/officeDocument/2006/relationships/hyperlink" Target="imagenes/T_TAHARI_124001304_BLK_2.jpg" TargetMode="External" Id="rId10965"/><Relationship Type="http://schemas.openxmlformats.org/officeDocument/2006/relationships/hyperlink" Target="imagenes/T_TAHARI_124001304_BLK_3.jpg" TargetMode="External" Id="rId10966"/><Relationship Type="http://schemas.openxmlformats.org/officeDocument/2006/relationships/hyperlink" Target="imagenes/T_TAHARI_124001304_STZ_1.jpg" TargetMode="External" Id="rId10967"/><Relationship Type="http://schemas.openxmlformats.org/officeDocument/2006/relationships/hyperlink" Target="imagenes/T_TAHARI_124001304_STZ_2.jpg" TargetMode="External" Id="rId10968"/><Relationship Type="http://schemas.openxmlformats.org/officeDocument/2006/relationships/hyperlink" Target="imagenes/T_TAHARI_124001304_STZ_3.jpg" TargetMode="External" Id="rId10969"/><Relationship Type="http://schemas.openxmlformats.org/officeDocument/2006/relationships/hyperlink" Target="imagenes/T_TAHARI_124001304_STZ_1.jpg" TargetMode="External" Id="rId10970"/><Relationship Type="http://schemas.openxmlformats.org/officeDocument/2006/relationships/hyperlink" Target="imagenes/T_TAHARI_124001304_STZ_2.jpg" TargetMode="External" Id="rId10971"/><Relationship Type="http://schemas.openxmlformats.org/officeDocument/2006/relationships/hyperlink" Target="imagenes/T_TAHARI_124001304_STZ_3.jpg" TargetMode="External" Id="rId10972"/><Relationship Type="http://schemas.openxmlformats.org/officeDocument/2006/relationships/hyperlink" Target="imagenes/T_TAHARI_124001304_STZ_1.jpg" TargetMode="External" Id="rId10973"/><Relationship Type="http://schemas.openxmlformats.org/officeDocument/2006/relationships/hyperlink" Target="imagenes/T_TAHARI_124001304_STZ_2.jpg" TargetMode="External" Id="rId10974"/><Relationship Type="http://schemas.openxmlformats.org/officeDocument/2006/relationships/hyperlink" Target="imagenes/T_TAHARI_124001304_STZ_3.jpg" TargetMode="External" Id="rId10975"/><Relationship Type="http://schemas.openxmlformats.org/officeDocument/2006/relationships/hyperlink" Target="imagenes/T_TAHARI_124001304_STZ_1.jpg" TargetMode="External" Id="rId10976"/><Relationship Type="http://schemas.openxmlformats.org/officeDocument/2006/relationships/hyperlink" Target="imagenes/T_TAHARI_124001304_STZ_2.jpg" TargetMode="External" Id="rId10977"/><Relationship Type="http://schemas.openxmlformats.org/officeDocument/2006/relationships/hyperlink" Target="imagenes/T_TAHARI_124001304_STZ_3.jpg" TargetMode="External" Id="rId10978"/><Relationship Type="http://schemas.openxmlformats.org/officeDocument/2006/relationships/hyperlink" Target="imagenes/T_TAHARI_124001304_STZ_1.jpg" TargetMode="External" Id="rId10979"/><Relationship Type="http://schemas.openxmlformats.org/officeDocument/2006/relationships/hyperlink" Target="imagenes/T_TAHARI_124001304_STZ_2.jpg" TargetMode="External" Id="rId10980"/><Relationship Type="http://schemas.openxmlformats.org/officeDocument/2006/relationships/hyperlink" Target="imagenes/T_TAHARI_124001304_STZ_3.jpg" TargetMode="External" Id="rId10981"/><Relationship Type="http://schemas.openxmlformats.org/officeDocument/2006/relationships/hyperlink" Target="imagenes/T_TAHARI_124001304_STZ_1.jpg" TargetMode="External" Id="rId10982"/><Relationship Type="http://schemas.openxmlformats.org/officeDocument/2006/relationships/hyperlink" Target="imagenes/T_TAHARI_124001304_STZ_2.jpg" TargetMode="External" Id="rId10983"/><Relationship Type="http://schemas.openxmlformats.org/officeDocument/2006/relationships/hyperlink" Target="imagenes/T_TAHARI_124001304_STZ_3.jpg" TargetMode="External" Id="rId10984"/><Relationship Type="http://schemas.openxmlformats.org/officeDocument/2006/relationships/hyperlink" Target="imagenes/T_TAHARI_124001327_BLK_1.jpg" TargetMode="External" Id="rId10985"/><Relationship Type="http://schemas.openxmlformats.org/officeDocument/2006/relationships/hyperlink" Target="imagenes/T_TAHARI_124001327_BLK_2.jpg" TargetMode="External" Id="rId10986"/><Relationship Type="http://schemas.openxmlformats.org/officeDocument/2006/relationships/hyperlink" Target="imagenes/T_TAHARI_124001327_BLK_3.jpg" TargetMode="External" Id="rId10987"/><Relationship Type="http://schemas.openxmlformats.org/officeDocument/2006/relationships/hyperlink" Target="imagenes/T_TAHARI_124001400_ASH_1.jpg" TargetMode="External" Id="rId10988"/><Relationship Type="http://schemas.openxmlformats.org/officeDocument/2006/relationships/hyperlink" Target="imagenes/T_TAHARI_124001400_ASH_2.jpg" TargetMode="External" Id="rId10989"/><Relationship Type="http://schemas.openxmlformats.org/officeDocument/2006/relationships/hyperlink" Target="imagenes/T_TAHARI_124001400_ASH_3.jpg" TargetMode="External" Id="rId10990"/><Relationship Type="http://schemas.openxmlformats.org/officeDocument/2006/relationships/hyperlink" Target="imagenes/T_TAHARI_124001400_BLK_1.jpg" TargetMode="External" Id="rId10991"/><Relationship Type="http://schemas.openxmlformats.org/officeDocument/2006/relationships/hyperlink" Target="imagenes/T_TAHARI_124001400_BLK_2.jpg" TargetMode="External" Id="rId10992"/><Relationship Type="http://schemas.openxmlformats.org/officeDocument/2006/relationships/hyperlink" Target="imagenes/T_TAHARI_124001400_BLK_3.jpg" TargetMode="External" Id="rId10993"/><Relationship Type="http://schemas.openxmlformats.org/officeDocument/2006/relationships/hyperlink" Target="imagenes/T_TAHARI_124001400_BLK_1.jpg" TargetMode="External" Id="rId10994"/><Relationship Type="http://schemas.openxmlformats.org/officeDocument/2006/relationships/hyperlink" Target="imagenes/T_TAHARI_124001400_BLK_2.jpg" TargetMode="External" Id="rId10995"/><Relationship Type="http://schemas.openxmlformats.org/officeDocument/2006/relationships/hyperlink" Target="imagenes/T_TAHARI_124001400_BLK_3.jpg" TargetMode="External" Id="rId10996"/><Relationship Type="http://schemas.openxmlformats.org/officeDocument/2006/relationships/hyperlink" Target="imagenes/T_TAHARI_124001400_BLK_1.jpg" TargetMode="External" Id="rId10997"/><Relationship Type="http://schemas.openxmlformats.org/officeDocument/2006/relationships/hyperlink" Target="imagenes/T_TAHARI_124001400_BLK_2.jpg" TargetMode="External" Id="rId10998"/><Relationship Type="http://schemas.openxmlformats.org/officeDocument/2006/relationships/hyperlink" Target="imagenes/T_TAHARI_124001400_BLK_3.jpg" TargetMode="External" Id="rId10999"/><Relationship Type="http://schemas.openxmlformats.org/officeDocument/2006/relationships/hyperlink" Target="imagenes/T_TAHARI_124001400_BLK_1.jpg" TargetMode="External" Id="rId11000"/><Relationship Type="http://schemas.openxmlformats.org/officeDocument/2006/relationships/hyperlink" Target="imagenes/T_TAHARI_124001400_BLK_2.jpg" TargetMode="External" Id="rId11001"/><Relationship Type="http://schemas.openxmlformats.org/officeDocument/2006/relationships/hyperlink" Target="imagenes/T_TAHARI_124001400_BLK_3.jpg" TargetMode="External" Id="rId11002"/><Relationship Type="http://schemas.openxmlformats.org/officeDocument/2006/relationships/hyperlink" Target="imagenes/T_TAHARI_124001400_BLK_1.jpg" TargetMode="External" Id="rId11003"/><Relationship Type="http://schemas.openxmlformats.org/officeDocument/2006/relationships/hyperlink" Target="imagenes/T_TAHARI_124001400_BLK_2.jpg" TargetMode="External" Id="rId11004"/><Relationship Type="http://schemas.openxmlformats.org/officeDocument/2006/relationships/hyperlink" Target="imagenes/T_TAHARI_124001400_BLK_3.jpg" TargetMode="External" Id="rId11005"/><Relationship Type="http://schemas.openxmlformats.org/officeDocument/2006/relationships/hyperlink" Target="imagenes/T_TAHARI_124001624_BLK_1.jpg" TargetMode="External" Id="rId11006"/><Relationship Type="http://schemas.openxmlformats.org/officeDocument/2006/relationships/hyperlink" Target="imagenes/T_TAHARI_124001624_BLK_2.jpg" TargetMode="External" Id="rId11007"/><Relationship Type="http://schemas.openxmlformats.org/officeDocument/2006/relationships/hyperlink" Target="imagenes/T_TAHARI_124001624_BLK_3.jpg" TargetMode="External" Id="rId11008"/><Relationship Type="http://schemas.openxmlformats.org/officeDocument/2006/relationships/hyperlink" Target="imagenes/T_TAHARI_124001624_BLK_1.jpg" TargetMode="External" Id="rId11009"/><Relationship Type="http://schemas.openxmlformats.org/officeDocument/2006/relationships/hyperlink" Target="imagenes/T_TAHARI_124001624_BLK_2.jpg" TargetMode="External" Id="rId11010"/><Relationship Type="http://schemas.openxmlformats.org/officeDocument/2006/relationships/hyperlink" Target="imagenes/T_TAHARI_124001624_BLK_3.jpg" TargetMode="External" Id="rId11011"/><Relationship Type="http://schemas.openxmlformats.org/officeDocument/2006/relationships/hyperlink" Target="imagenes/T_TAHARI_124001624_PEW_1.jpg" TargetMode="External" Id="rId11012"/><Relationship Type="http://schemas.openxmlformats.org/officeDocument/2006/relationships/hyperlink" Target="imagenes/T_TAHARI_124001624_PEW_2.jpg" TargetMode="External" Id="rId11013"/><Relationship Type="http://schemas.openxmlformats.org/officeDocument/2006/relationships/hyperlink" Target="imagenes/T_TAHARI_124001624_PEW_3.jpg" TargetMode="External" Id="rId11014"/><Relationship Type="http://schemas.openxmlformats.org/officeDocument/2006/relationships/hyperlink" Target="imagenes/T_TAHARI_124001649_CHO_1.jpg" TargetMode="External" Id="rId11015"/><Relationship Type="http://schemas.openxmlformats.org/officeDocument/2006/relationships/hyperlink" Target="imagenes/T_TAHARI_124001649_CHO_2.jpg" TargetMode="External" Id="rId11016"/><Relationship Type="http://schemas.openxmlformats.org/officeDocument/2006/relationships/hyperlink" Target="imagenes/T_TAHARI_124001649_CHO_3.jpg" TargetMode="External" Id="rId11017"/><Relationship Type="http://schemas.openxmlformats.org/officeDocument/2006/relationships/hyperlink" Target="imagenes/T_TAHARI_124001649_CHO_1.jpg" TargetMode="External" Id="rId11018"/><Relationship Type="http://schemas.openxmlformats.org/officeDocument/2006/relationships/hyperlink" Target="imagenes/T_TAHARI_124001649_CHO_2.jpg" TargetMode="External" Id="rId11019"/><Relationship Type="http://schemas.openxmlformats.org/officeDocument/2006/relationships/hyperlink" Target="imagenes/T_TAHARI_124001649_CHO_3.jpg" TargetMode="External" Id="rId11020"/><Relationship Type="http://schemas.openxmlformats.org/officeDocument/2006/relationships/hyperlink" Target="imagenes/T_TAHARI_124001649_CHO_1.jpg" TargetMode="External" Id="rId11021"/><Relationship Type="http://schemas.openxmlformats.org/officeDocument/2006/relationships/hyperlink" Target="imagenes/T_TAHARI_124001649_CHO_2.jpg" TargetMode="External" Id="rId11022"/><Relationship Type="http://schemas.openxmlformats.org/officeDocument/2006/relationships/hyperlink" Target="imagenes/T_TAHARI_124001649_CHO_3.jpg" TargetMode="External" Id="rId11023"/><Relationship Type="http://schemas.openxmlformats.org/officeDocument/2006/relationships/hyperlink" Target="imagenes/T_TAHARI_124001649_CHO_1.jpg" TargetMode="External" Id="rId11024"/><Relationship Type="http://schemas.openxmlformats.org/officeDocument/2006/relationships/hyperlink" Target="imagenes/T_TAHARI_124001649_CHO_2.jpg" TargetMode="External" Id="rId11025"/><Relationship Type="http://schemas.openxmlformats.org/officeDocument/2006/relationships/hyperlink" Target="imagenes/T_TAHARI_124001649_CHO_3.jpg" TargetMode="External" Id="rId11026"/><Relationship Type="http://schemas.openxmlformats.org/officeDocument/2006/relationships/hyperlink" Target="imagenes/T_TAHARI_124001666_BLK_1.jpg" TargetMode="External" Id="rId11027"/><Relationship Type="http://schemas.openxmlformats.org/officeDocument/2006/relationships/hyperlink" Target="imagenes/T_TAHARI_124001666_BLK_2.jpg" TargetMode="External" Id="rId11028"/><Relationship Type="http://schemas.openxmlformats.org/officeDocument/2006/relationships/hyperlink" Target="imagenes/T_TAHARI_124001666_BLK_3.jpg" TargetMode="External" Id="rId11029"/><Relationship Type="http://schemas.openxmlformats.org/officeDocument/2006/relationships/hyperlink" Target="imagenes/T_TAHARI_124001666_BLK_1.jpg" TargetMode="External" Id="rId11030"/><Relationship Type="http://schemas.openxmlformats.org/officeDocument/2006/relationships/hyperlink" Target="imagenes/T_TAHARI_124001666_BLK_2.jpg" TargetMode="External" Id="rId11031"/><Relationship Type="http://schemas.openxmlformats.org/officeDocument/2006/relationships/hyperlink" Target="imagenes/T_TAHARI_124001666_BLK_3.jpg" TargetMode="External" Id="rId11032"/><Relationship Type="http://schemas.openxmlformats.org/officeDocument/2006/relationships/hyperlink" Target="imagenes/T_TAHARI_124001666_BLK_1.jpg" TargetMode="External" Id="rId11033"/><Relationship Type="http://schemas.openxmlformats.org/officeDocument/2006/relationships/hyperlink" Target="imagenes/T_TAHARI_124001666_BLK_2.jpg" TargetMode="External" Id="rId11034"/><Relationship Type="http://schemas.openxmlformats.org/officeDocument/2006/relationships/hyperlink" Target="imagenes/T_TAHARI_124001666_BLK_3.jpg" TargetMode="External" Id="rId11035"/><Relationship Type="http://schemas.openxmlformats.org/officeDocument/2006/relationships/hyperlink" Target="imagenes/T_TAHARI_124001666_BLK_1.jpg" TargetMode="External" Id="rId11036"/><Relationship Type="http://schemas.openxmlformats.org/officeDocument/2006/relationships/hyperlink" Target="imagenes/T_TAHARI_124001666_BLK_2.jpg" TargetMode="External" Id="rId11037"/><Relationship Type="http://schemas.openxmlformats.org/officeDocument/2006/relationships/hyperlink" Target="imagenes/T_TAHARI_124001666_BLK_3.jpg" TargetMode="External" Id="rId11038"/><Relationship Type="http://schemas.openxmlformats.org/officeDocument/2006/relationships/hyperlink" Target="imagenes/T_TAHARI_124001666_BLK_1.jpg" TargetMode="External" Id="rId11039"/><Relationship Type="http://schemas.openxmlformats.org/officeDocument/2006/relationships/hyperlink" Target="imagenes/T_TAHARI_124001666_BLK_2.jpg" TargetMode="External" Id="rId11040"/><Relationship Type="http://schemas.openxmlformats.org/officeDocument/2006/relationships/hyperlink" Target="imagenes/T_TAHARI_124001666_BLK_3.jpg" TargetMode="External" Id="rId11041"/><Relationship Type="http://schemas.openxmlformats.org/officeDocument/2006/relationships/hyperlink" Target="imagenes/T_TAHARI_124001666_BLK_1.jpg" TargetMode="External" Id="rId11042"/><Relationship Type="http://schemas.openxmlformats.org/officeDocument/2006/relationships/hyperlink" Target="imagenes/T_TAHARI_124001666_BLK_2.jpg" TargetMode="External" Id="rId11043"/><Relationship Type="http://schemas.openxmlformats.org/officeDocument/2006/relationships/hyperlink" Target="imagenes/T_TAHARI_124001666_BLK_3.jpg" TargetMode="External" Id="rId11044"/><Relationship Type="http://schemas.openxmlformats.org/officeDocument/2006/relationships/hyperlink" Target="imagenes/T_TAHARI_124001666_BLK_1.jpg" TargetMode="External" Id="rId11045"/><Relationship Type="http://schemas.openxmlformats.org/officeDocument/2006/relationships/hyperlink" Target="imagenes/T_TAHARI_124001666_BLK_2.jpg" TargetMode="External" Id="rId11046"/><Relationship Type="http://schemas.openxmlformats.org/officeDocument/2006/relationships/hyperlink" Target="imagenes/T_TAHARI_124001666_BLK_3.jpg" TargetMode="External" Id="rId11047"/><Relationship Type="http://schemas.openxmlformats.org/officeDocument/2006/relationships/hyperlink" Target="imagenes/T_TAHARI_124001666_CHO_1.jpg" TargetMode="External" Id="rId11048"/><Relationship Type="http://schemas.openxmlformats.org/officeDocument/2006/relationships/hyperlink" Target="imagenes/T_TAHARI_124001666_CHO_2.jpg" TargetMode="External" Id="rId11049"/><Relationship Type="http://schemas.openxmlformats.org/officeDocument/2006/relationships/hyperlink" Target="imagenes/T_TAHARI_124001666_CHO_3.jpg" TargetMode="External" Id="rId11050"/><Relationship Type="http://schemas.openxmlformats.org/officeDocument/2006/relationships/hyperlink" Target="imagenes/T_TAHARI_124001666_CHO_1.jpg" TargetMode="External" Id="rId11051"/><Relationship Type="http://schemas.openxmlformats.org/officeDocument/2006/relationships/hyperlink" Target="imagenes/T_TAHARI_124001666_CHO_2.jpg" TargetMode="External" Id="rId11052"/><Relationship Type="http://schemas.openxmlformats.org/officeDocument/2006/relationships/hyperlink" Target="imagenes/T_TAHARI_124001666_CHO_3.jpg" TargetMode="External" Id="rId11053"/><Relationship Type="http://schemas.openxmlformats.org/officeDocument/2006/relationships/hyperlink" Target="imagenes/T_TAHARI_124001666_CHO_1.jpg" TargetMode="External" Id="rId11054"/><Relationship Type="http://schemas.openxmlformats.org/officeDocument/2006/relationships/hyperlink" Target="imagenes/T_TAHARI_124001666_CHO_2.jpg" TargetMode="External" Id="rId11055"/><Relationship Type="http://schemas.openxmlformats.org/officeDocument/2006/relationships/hyperlink" Target="imagenes/T_TAHARI_124001666_CHO_3.jpg" TargetMode="External" Id="rId11056"/><Relationship Type="http://schemas.openxmlformats.org/officeDocument/2006/relationships/hyperlink" Target="imagenes/T_TAHARI_124001666_CHO_1.jpg" TargetMode="External" Id="rId11057"/><Relationship Type="http://schemas.openxmlformats.org/officeDocument/2006/relationships/hyperlink" Target="imagenes/T_TAHARI_124001666_CHO_2.jpg" TargetMode="External" Id="rId11058"/><Relationship Type="http://schemas.openxmlformats.org/officeDocument/2006/relationships/hyperlink" Target="imagenes/T_TAHARI_124001666_CHO_3.jpg" TargetMode="External" Id="rId11059"/><Relationship Type="http://schemas.openxmlformats.org/officeDocument/2006/relationships/hyperlink" Target="imagenes/T_TAHARI_124001666_CHO_1.jpg" TargetMode="External" Id="rId11060"/><Relationship Type="http://schemas.openxmlformats.org/officeDocument/2006/relationships/hyperlink" Target="imagenes/T_TAHARI_124001666_CHO_2.jpg" TargetMode="External" Id="rId11061"/><Relationship Type="http://schemas.openxmlformats.org/officeDocument/2006/relationships/hyperlink" Target="imagenes/T_TAHARI_124001666_CHO_3.jpg" TargetMode="External" Id="rId11062"/><Relationship Type="http://schemas.openxmlformats.org/officeDocument/2006/relationships/hyperlink" Target="imagenes/T_TAHARI_124001666_CHO_1.jpg" TargetMode="External" Id="rId11063"/><Relationship Type="http://schemas.openxmlformats.org/officeDocument/2006/relationships/hyperlink" Target="imagenes/T_TAHARI_124001666_CHO_2.jpg" TargetMode="External" Id="rId11064"/><Relationship Type="http://schemas.openxmlformats.org/officeDocument/2006/relationships/hyperlink" Target="imagenes/T_TAHARI_124001666_CHO_3.jpg" TargetMode="External" Id="rId11065"/><Relationship Type="http://schemas.openxmlformats.org/officeDocument/2006/relationships/hyperlink" Target="imagenes/T_TAHARI_124001667_BLK_1.jpg" TargetMode="External" Id="rId11066"/><Relationship Type="http://schemas.openxmlformats.org/officeDocument/2006/relationships/hyperlink" Target="imagenes/T_TAHARI_124001667_BLK_2.jpg" TargetMode="External" Id="rId11067"/><Relationship Type="http://schemas.openxmlformats.org/officeDocument/2006/relationships/hyperlink" Target="imagenes/T_TAHARI_124001667_BLK_3.jpg" TargetMode="External" Id="rId11068"/><Relationship Type="http://schemas.openxmlformats.org/officeDocument/2006/relationships/hyperlink" Target="imagenes/T_TAHARI_124001667_BLK_1.jpg" TargetMode="External" Id="rId11069"/><Relationship Type="http://schemas.openxmlformats.org/officeDocument/2006/relationships/hyperlink" Target="imagenes/T_TAHARI_124001667_BLK_2.jpg" TargetMode="External" Id="rId11070"/><Relationship Type="http://schemas.openxmlformats.org/officeDocument/2006/relationships/hyperlink" Target="imagenes/T_TAHARI_124001667_BLK_3.jpg" TargetMode="External" Id="rId11071"/><Relationship Type="http://schemas.openxmlformats.org/officeDocument/2006/relationships/hyperlink" Target="imagenes/T_TAHARI_124001667_BLK_1.jpg" TargetMode="External" Id="rId11072"/><Relationship Type="http://schemas.openxmlformats.org/officeDocument/2006/relationships/hyperlink" Target="imagenes/T_TAHARI_124001667_BLK_2.jpg" TargetMode="External" Id="rId11073"/><Relationship Type="http://schemas.openxmlformats.org/officeDocument/2006/relationships/hyperlink" Target="imagenes/T_TAHARI_124001667_BLK_3.jpg" TargetMode="External" Id="rId11074"/><Relationship Type="http://schemas.openxmlformats.org/officeDocument/2006/relationships/hyperlink" Target="imagenes/T_TAHARI_124001667_BLK_1.jpg" TargetMode="External" Id="rId11075"/><Relationship Type="http://schemas.openxmlformats.org/officeDocument/2006/relationships/hyperlink" Target="imagenes/T_TAHARI_124001667_BLK_2.jpg" TargetMode="External" Id="rId11076"/><Relationship Type="http://schemas.openxmlformats.org/officeDocument/2006/relationships/hyperlink" Target="imagenes/T_TAHARI_124001667_BLK_3.jpg" TargetMode="External" Id="rId11077"/><Relationship Type="http://schemas.openxmlformats.org/officeDocument/2006/relationships/hyperlink" Target="imagenes/T_TAHARI_124001667_BLK_1.jpg" TargetMode="External" Id="rId11078"/><Relationship Type="http://schemas.openxmlformats.org/officeDocument/2006/relationships/hyperlink" Target="imagenes/T_TAHARI_124001667_BLK_2.jpg" TargetMode="External" Id="rId11079"/><Relationship Type="http://schemas.openxmlformats.org/officeDocument/2006/relationships/hyperlink" Target="imagenes/T_TAHARI_124001667_BLK_3.jpg" TargetMode="External" Id="rId11080"/><Relationship Type="http://schemas.openxmlformats.org/officeDocument/2006/relationships/hyperlink" Target="imagenes/T_TAHARI_124001667_BLK_1.jpg" TargetMode="External" Id="rId11081"/><Relationship Type="http://schemas.openxmlformats.org/officeDocument/2006/relationships/hyperlink" Target="imagenes/T_TAHARI_124001667_BLK_2.jpg" TargetMode="External" Id="rId11082"/><Relationship Type="http://schemas.openxmlformats.org/officeDocument/2006/relationships/hyperlink" Target="imagenes/T_TAHARI_124001667_BLK_3.jpg" TargetMode="External" Id="rId11083"/><Relationship Type="http://schemas.openxmlformats.org/officeDocument/2006/relationships/hyperlink" Target="imagenes/T_TAHARI_124001667_BLK_1.jpg" TargetMode="External" Id="rId11084"/><Relationship Type="http://schemas.openxmlformats.org/officeDocument/2006/relationships/hyperlink" Target="imagenes/T_TAHARI_124001667_BLK_2.jpg" TargetMode="External" Id="rId11085"/><Relationship Type="http://schemas.openxmlformats.org/officeDocument/2006/relationships/hyperlink" Target="imagenes/T_TAHARI_124001667_BLK_3.jpg" TargetMode="External" Id="rId11086"/><Relationship Type="http://schemas.openxmlformats.org/officeDocument/2006/relationships/hyperlink" Target="imagenes/T_TAHARI_124001667_BLK_1.jpg" TargetMode="External" Id="rId11087"/><Relationship Type="http://schemas.openxmlformats.org/officeDocument/2006/relationships/hyperlink" Target="imagenes/T_TAHARI_124001667_BLK_2.jpg" TargetMode="External" Id="rId11088"/><Relationship Type="http://schemas.openxmlformats.org/officeDocument/2006/relationships/hyperlink" Target="imagenes/T_TAHARI_124001667_BLK_3.jpg" TargetMode="External" Id="rId11089"/><Relationship Type="http://schemas.openxmlformats.org/officeDocument/2006/relationships/hyperlink" Target="imagenes/T_TAHARI_124001667_BLK_1.jpg" TargetMode="External" Id="rId11090"/><Relationship Type="http://schemas.openxmlformats.org/officeDocument/2006/relationships/hyperlink" Target="imagenes/T_TAHARI_124001667_BLK_2.jpg" TargetMode="External" Id="rId11091"/><Relationship Type="http://schemas.openxmlformats.org/officeDocument/2006/relationships/hyperlink" Target="imagenes/T_TAHARI_124001667_BLK_3.jpg" TargetMode="External" Id="rId11092"/><Relationship Type="http://schemas.openxmlformats.org/officeDocument/2006/relationships/hyperlink" Target="imagenes/T_TAHARI_124001667_BLK_1.jpg" TargetMode="External" Id="rId11093"/><Relationship Type="http://schemas.openxmlformats.org/officeDocument/2006/relationships/hyperlink" Target="imagenes/T_TAHARI_124001667_BLK_2.jpg" TargetMode="External" Id="rId11094"/><Relationship Type="http://schemas.openxmlformats.org/officeDocument/2006/relationships/hyperlink" Target="imagenes/T_TAHARI_124001667_BLK_3.jpg" TargetMode="External" Id="rId11095"/><Relationship Type="http://schemas.openxmlformats.org/officeDocument/2006/relationships/hyperlink" Target="imagenes/T_TAHARI_124001667_BLK_1.jpg" TargetMode="External" Id="rId11096"/><Relationship Type="http://schemas.openxmlformats.org/officeDocument/2006/relationships/hyperlink" Target="imagenes/T_TAHARI_124001667_BLK_2.jpg" TargetMode="External" Id="rId11097"/><Relationship Type="http://schemas.openxmlformats.org/officeDocument/2006/relationships/hyperlink" Target="imagenes/T_TAHARI_124001667_BLK_3.jpg" TargetMode="External" Id="rId11098"/><Relationship Type="http://schemas.openxmlformats.org/officeDocument/2006/relationships/hyperlink" Target="imagenes/T_TAHARI_124001667_BLK_1.jpg" TargetMode="External" Id="rId11099"/><Relationship Type="http://schemas.openxmlformats.org/officeDocument/2006/relationships/hyperlink" Target="imagenes/T_TAHARI_124001667_BLK_2.jpg" TargetMode="External" Id="rId11100"/><Relationship Type="http://schemas.openxmlformats.org/officeDocument/2006/relationships/hyperlink" Target="imagenes/T_TAHARI_124001667_BLK_3.jpg" TargetMode="External" Id="rId11101"/><Relationship Type="http://schemas.openxmlformats.org/officeDocument/2006/relationships/hyperlink" Target="imagenes/T_TAHARI_124001685_CHO_1.jpg" TargetMode="External" Id="rId11102"/><Relationship Type="http://schemas.openxmlformats.org/officeDocument/2006/relationships/hyperlink" Target="imagenes/T_TAHARI_124001685_CHO_2.jpg" TargetMode="External" Id="rId11103"/><Relationship Type="http://schemas.openxmlformats.org/officeDocument/2006/relationships/hyperlink" Target="imagenes/T_TAHARI_124001685_CHO_3.jpg" TargetMode="External" Id="rId11104"/><Relationship Type="http://schemas.openxmlformats.org/officeDocument/2006/relationships/hyperlink" Target="imagenes/T_TAHARI_124001685_CHO_1.jpg" TargetMode="External" Id="rId11105"/><Relationship Type="http://schemas.openxmlformats.org/officeDocument/2006/relationships/hyperlink" Target="imagenes/T_TAHARI_124001685_CHO_2.jpg" TargetMode="External" Id="rId11106"/><Relationship Type="http://schemas.openxmlformats.org/officeDocument/2006/relationships/hyperlink" Target="imagenes/T_TAHARI_124001685_CHO_3.jpg" TargetMode="External" Id="rId11107"/><Relationship Type="http://schemas.openxmlformats.org/officeDocument/2006/relationships/hyperlink" Target="imagenes/T_TAHARI_124001685_CHO_1.jpg" TargetMode="External" Id="rId11108"/><Relationship Type="http://schemas.openxmlformats.org/officeDocument/2006/relationships/hyperlink" Target="imagenes/T_TAHARI_124001685_CHO_2.jpg" TargetMode="External" Id="rId11109"/><Relationship Type="http://schemas.openxmlformats.org/officeDocument/2006/relationships/hyperlink" Target="imagenes/T_TAHARI_124001685_CHO_3.jpg" TargetMode="External" Id="rId11110"/><Relationship Type="http://schemas.openxmlformats.org/officeDocument/2006/relationships/hyperlink" Target="imagenes/T_TAHARI_124001685_CHO_1.jpg" TargetMode="External" Id="rId11111"/><Relationship Type="http://schemas.openxmlformats.org/officeDocument/2006/relationships/hyperlink" Target="imagenes/T_TAHARI_124001685_CHO_2.jpg" TargetMode="External" Id="rId11112"/><Relationship Type="http://schemas.openxmlformats.org/officeDocument/2006/relationships/hyperlink" Target="imagenes/T_TAHARI_124001685_CHO_3.jpg" TargetMode="External" Id="rId11113"/><Relationship Type="http://schemas.openxmlformats.org/officeDocument/2006/relationships/hyperlink" Target="imagenes/T_TAHARI_124001687_BLK_1.jpg" TargetMode="External" Id="rId11114"/><Relationship Type="http://schemas.openxmlformats.org/officeDocument/2006/relationships/hyperlink" Target="imagenes/T_TAHARI_124001687_BLK_2.jpg" TargetMode="External" Id="rId11115"/><Relationship Type="http://schemas.openxmlformats.org/officeDocument/2006/relationships/hyperlink" Target="imagenes/T_TAHARI_124001687_BLK_3.jpg" TargetMode="External" Id="rId11116"/><Relationship Type="http://schemas.openxmlformats.org/officeDocument/2006/relationships/hyperlink" Target="imagenes/T_TAHARI_124001687_BLK_1.jpg" TargetMode="External" Id="rId11117"/><Relationship Type="http://schemas.openxmlformats.org/officeDocument/2006/relationships/hyperlink" Target="imagenes/T_TAHARI_124001687_BLK_2.jpg" TargetMode="External" Id="rId11118"/><Relationship Type="http://schemas.openxmlformats.org/officeDocument/2006/relationships/hyperlink" Target="imagenes/T_TAHARI_124001687_BLK_3.jpg" TargetMode="External" Id="rId11119"/><Relationship Type="http://schemas.openxmlformats.org/officeDocument/2006/relationships/hyperlink" Target="imagenes/T_TAHARI_124001687_BLK_1.jpg" TargetMode="External" Id="rId11120"/><Relationship Type="http://schemas.openxmlformats.org/officeDocument/2006/relationships/hyperlink" Target="imagenes/T_TAHARI_124001687_BLK_2.jpg" TargetMode="External" Id="rId11121"/><Relationship Type="http://schemas.openxmlformats.org/officeDocument/2006/relationships/hyperlink" Target="imagenes/T_TAHARI_124001687_BLK_3.jpg" TargetMode="External" Id="rId11122"/><Relationship Type="http://schemas.openxmlformats.org/officeDocument/2006/relationships/hyperlink" Target="imagenes/T_TAHARI_124001687_BLK_1.jpg" TargetMode="External" Id="rId11123"/><Relationship Type="http://schemas.openxmlformats.org/officeDocument/2006/relationships/hyperlink" Target="imagenes/T_TAHARI_124001687_BLK_2.jpg" TargetMode="External" Id="rId11124"/><Relationship Type="http://schemas.openxmlformats.org/officeDocument/2006/relationships/hyperlink" Target="imagenes/T_TAHARI_124001687_BLK_3.jpg" TargetMode="External" Id="rId11125"/><Relationship Type="http://schemas.openxmlformats.org/officeDocument/2006/relationships/hyperlink" Target="imagenes/T_TAHARI_124001687_CHO_1.jpg" TargetMode="External" Id="rId11126"/><Relationship Type="http://schemas.openxmlformats.org/officeDocument/2006/relationships/hyperlink" Target="imagenes/T_TAHARI_124001687_CHO_2.jpg" TargetMode="External" Id="rId11127"/><Relationship Type="http://schemas.openxmlformats.org/officeDocument/2006/relationships/hyperlink" Target="imagenes/T_TAHARI_124001687_CHO_3.jpg" TargetMode="External" Id="rId11128"/><Relationship Type="http://schemas.openxmlformats.org/officeDocument/2006/relationships/hyperlink" Target="imagenes/T_TAHARI_124001687_CHO_1.jpg" TargetMode="External" Id="rId11129"/><Relationship Type="http://schemas.openxmlformats.org/officeDocument/2006/relationships/hyperlink" Target="imagenes/T_TAHARI_124001687_CHO_2.jpg" TargetMode="External" Id="rId11130"/><Relationship Type="http://schemas.openxmlformats.org/officeDocument/2006/relationships/hyperlink" Target="imagenes/T_TAHARI_124001687_CHO_3.jpg" TargetMode="External" Id="rId11131"/><Relationship Type="http://schemas.openxmlformats.org/officeDocument/2006/relationships/hyperlink" Target="imagenes/T_TAHARI_124001687_CHO_1.jpg" TargetMode="External" Id="rId11132"/><Relationship Type="http://schemas.openxmlformats.org/officeDocument/2006/relationships/hyperlink" Target="imagenes/T_TAHARI_124001687_CHO_2.jpg" TargetMode="External" Id="rId11133"/><Relationship Type="http://schemas.openxmlformats.org/officeDocument/2006/relationships/hyperlink" Target="imagenes/T_TAHARI_124001687_CHO_3.jpg" TargetMode="External" Id="rId11134"/><Relationship Type="http://schemas.openxmlformats.org/officeDocument/2006/relationships/hyperlink" Target="imagenes/T_TAHARI_124001687_CHO_1.jpg" TargetMode="External" Id="rId11135"/><Relationship Type="http://schemas.openxmlformats.org/officeDocument/2006/relationships/hyperlink" Target="imagenes/T_TAHARI_124001687_CHO_2.jpg" TargetMode="External" Id="rId11136"/><Relationship Type="http://schemas.openxmlformats.org/officeDocument/2006/relationships/hyperlink" Target="imagenes/T_TAHARI_124001687_CHO_3.jpg" TargetMode="External" Id="rId11137"/><Relationship Type="http://schemas.openxmlformats.org/officeDocument/2006/relationships/hyperlink" Target="imagenes/T_TAHARI_124001687_CHO_1.jpg" TargetMode="External" Id="rId11138"/><Relationship Type="http://schemas.openxmlformats.org/officeDocument/2006/relationships/hyperlink" Target="imagenes/T_TAHARI_124001687_CHO_2.jpg" TargetMode="External" Id="rId11139"/><Relationship Type="http://schemas.openxmlformats.org/officeDocument/2006/relationships/hyperlink" Target="imagenes/T_TAHARI_124001687_CHO_3.jpg" TargetMode="External" Id="rId11140"/><Relationship Type="http://schemas.openxmlformats.org/officeDocument/2006/relationships/hyperlink" Target="imagenes/T_TAHARI_124003480_BLK_1.jpg" TargetMode="External" Id="rId11141"/><Relationship Type="http://schemas.openxmlformats.org/officeDocument/2006/relationships/hyperlink" Target="imagenes/T_TAHARI_124003480_BLK_2.jpg" TargetMode="External" Id="rId11142"/><Relationship Type="http://schemas.openxmlformats.org/officeDocument/2006/relationships/hyperlink" Target="imagenes/T_TAHARI_124003480_BLK_3.jpg" TargetMode="External" Id="rId11143"/><Relationship Type="http://schemas.openxmlformats.org/officeDocument/2006/relationships/hyperlink" Target="imagenes/T_TAHARI_124003480_BLK_1.jpg" TargetMode="External" Id="rId11144"/><Relationship Type="http://schemas.openxmlformats.org/officeDocument/2006/relationships/hyperlink" Target="imagenes/T_TAHARI_124003480_BLK_2.jpg" TargetMode="External" Id="rId11145"/><Relationship Type="http://schemas.openxmlformats.org/officeDocument/2006/relationships/hyperlink" Target="imagenes/T_TAHARI_124003480_BLK_3.jpg" TargetMode="External" Id="rId11146"/><Relationship Type="http://schemas.openxmlformats.org/officeDocument/2006/relationships/hyperlink" Target="imagenes/T_TAHARI_124003480_BLK_1.jpg" TargetMode="External" Id="rId11147"/><Relationship Type="http://schemas.openxmlformats.org/officeDocument/2006/relationships/hyperlink" Target="imagenes/T_TAHARI_124003480_BLK_2.jpg" TargetMode="External" Id="rId11148"/><Relationship Type="http://schemas.openxmlformats.org/officeDocument/2006/relationships/hyperlink" Target="imagenes/T_TAHARI_124003480_BLK_3.jpg" TargetMode="External" Id="rId11149"/><Relationship Type="http://schemas.openxmlformats.org/officeDocument/2006/relationships/hyperlink" Target="imagenes/T_TAHARI_124003480_BLK_1.jpg" TargetMode="External" Id="rId11150"/><Relationship Type="http://schemas.openxmlformats.org/officeDocument/2006/relationships/hyperlink" Target="imagenes/T_TAHARI_124003480_BLK_2.jpg" TargetMode="External" Id="rId11151"/><Relationship Type="http://schemas.openxmlformats.org/officeDocument/2006/relationships/hyperlink" Target="imagenes/T_TAHARI_124003480_BLK_3.jpg" TargetMode="External" Id="rId11152"/><Relationship Type="http://schemas.openxmlformats.org/officeDocument/2006/relationships/hyperlink" Target="imagenes/T_TAHARI_124003480_BLK_1.jpg" TargetMode="External" Id="rId11153"/><Relationship Type="http://schemas.openxmlformats.org/officeDocument/2006/relationships/hyperlink" Target="imagenes/T_TAHARI_124003480_BLK_2.jpg" TargetMode="External" Id="rId11154"/><Relationship Type="http://schemas.openxmlformats.org/officeDocument/2006/relationships/hyperlink" Target="imagenes/T_TAHARI_124003480_BLK_3.jpg" TargetMode="External" Id="rId11155"/><Relationship Type="http://schemas.openxmlformats.org/officeDocument/2006/relationships/hyperlink" Target="imagenes/T_TAHARI_124003480_NVY_1.jpg" TargetMode="External" Id="rId11156"/><Relationship Type="http://schemas.openxmlformats.org/officeDocument/2006/relationships/hyperlink" Target="imagenes/T_TAHARI_124003480_NVY_2.jpg" TargetMode="External" Id="rId11157"/><Relationship Type="http://schemas.openxmlformats.org/officeDocument/2006/relationships/hyperlink" Target="imagenes/T_TAHARI_124003480_NVY_3.jpg" TargetMode="External" Id="rId11158"/><Relationship Type="http://schemas.openxmlformats.org/officeDocument/2006/relationships/hyperlink" Target="imagenes/T_TAHARI_124004732_BLK_1.jpg" TargetMode="External" Id="rId11159"/><Relationship Type="http://schemas.openxmlformats.org/officeDocument/2006/relationships/hyperlink" Target="imagenes/T_TAHARI_124004732_BLK_2.jpg" TargetMode="External" Id="rId11160"/><Relationship Type="http://schemas.openxmlformats.org/officeDocument/2006/relationships/hyperlink" Target="imagenes/T_TAHARI_124004732_BLK_3.jpg" TargetMode="External" Id="rId11161"/><Relationship Type="http://schemas.openxmlformats.org/officeDocument/2006/relationships/hyperlink" Target="imagenes/T_TAHARI_124004732_BLK_1.jpg" TargetMode="External" Id="rId11162"/><Relationship Type="http://schemas.openxmlformats.org/officeDocument/2006/relationships/hyperlink" Target="imagenes/T_TAHARI_124004732_BLK_2.jpg" TargetMode="External" Id="rId11163"/><Relationship Type="http://schemas.openxmlformats.org/officeDocument/2006/relationships/hyperlink" Target="imagenes/T_TAHARI_124004732_BLK_3.jpg" TargetMode="External" Id="rId11164"/><Relationship Type="http://schemas.openxmlformats.org/officeDocument/2006/relationships/hyperlink" Target="imagenes/T_TAHARI_124004732_BLK_1.jpg" TargetMode="External" Id="rId11165"/><Relationship Type="http://schemas.openxmlformats.org/officeDocument/2006/relationships/hyperlink" Target="imagenes/T_TAHARI_124004732_BLK_2.jpg" TargetMode="External" Id="rId11166"/><Relationship Type="http://schemas.openxmlformats.org/officeDocument/2006/relationships/hyperlink" Target="imagenes/T_TAHARI_124004732_BLK_3.jpg" TargetMode="External" Id="rId11167"/><Relationship Type="http://schemas.openxmlformats.org/officeDocument/2006/relationships/hyperlink" Target="imagenes/T_TAHARI_124004732_BLK_1.jpg" TargetMode="External" Id="rId11168"/><Relationship Type="http://schemas.openxmlformats.org/officeDocument/2006/relationships/hyperlink" Target="imagenes/T_TAHARI_124004732_BLK_2.jpg" TargetMode="External" Id="rId11169"/><Relationship Type="http://schemas.openxmlformats.org/officeDocument/2006/relationships/hyperlink" Target="imagenes/T_TAHARI_124004732_BLK_3.jpg" TargetMode="External" Id="rId11170"/><Relationship Type="http://schemas.openxmlformats.org/officeDocument/2006/relationships/hyperlink" Target="imagenes/T_TAHARI_124004732_BLK_1.jpg" TargetMode="External" Id="rId11171"/><Relationship Type="http://schemas.openxmlformats.org/officeDocument/2006/relationships/hyperlink" Target="imagenes/T_TAHARI_124004732_BLK_2.jpg" TargetMode="External" Id="rId11172"/><Relationship Type="http://schemas.openxmlformats.org/officeDocument/2006/relationships/hyperlink" Target="imagenes/T_TAHARI_124004732_BLK_3.jpg" TargetMode="External" Id="rId11173"/><Relationship Type="http://schemas.openxmlformats.org/officeDocument/2006/relationships/hyperlink" Target="imagenes/T_TAHARI_124004732_BLK_1.jpg" TargetMode="External" Id="rId11174"/><Relationship Type="http://schemas.openxmlformats.org/officeDocument/2006/relationships/hyperlink" Target="imagenes/T_TAHARI_124004732_BLK_2.jpg" TargetMode="External" Id="rId11175"/><Relationship Type="http://schemas.openxmlformats.org/officeDocument/2006/relationships/hyperlink" Target="imagenes/T_TAHARI_124004732_BLK_3.jpg" TargetMode="External" Id="rId11176"/><Relationship Type="http://schemas.openxmlformats.org/officeDocument/2006/relationships/hyperlink" Target="imagenes/T_TAHARI_124004732_BLK_1.jpg" TargetMode="External" Id="rId11177"/><Relationship Type="http://schemas.openxmlformats.org/officeDocument/2006/relationships/hyperlink" Target="imagenes/T_TAHARI_124004732_BLK_2.jpg" TargetMode="External" Id="rId11178"/><Relationship Type="http://schemas.openxmlformats.org/officeDocument/2006/relationships/hyperlink" Target="imagenes/T_TAHARI_124004732_BLK_3.jpg" TargetMode="External" Id="rId11179"/><Relationship Type="http://schemas.openxmlformats.org/officeDocument/2006/relationships/hyperlink" Target="imagenes/T_TAHARI_124004732_BLK_1.jpg" TargetMode="External" Id="rId11180"/><Relationship Type="http://schemas.openxmlformats.org/officeDocument/2006/relationships/hyperlink" Target="imagenes/T_TAHARI_124004732_BLK_2.jpg" TargetMode="External" Id="rId11181"/><Relationship Type="http://schemas.openxmlformats.org/officeDocument/2006/relationships/hyperlink" Target="imagenes/T_TAHARI_124004732_BLK_3.jpg" TargetMode="External" Id="rId11182"/><Relationship Type="http://schemas.openxmlformats.org/officeDocument/2006/relationships/hyperlink" Target="imagenes/T_TAHARI_124004732_BLK_1.jpg" TargetMode="External" Id="rId11183"/><Relationship Type="http://schemas.openxmlformats.org/officeDocument/2006/relationships/hyperlink" Target="imagenes/T_TAHARI_124004732_BLK_2.jpg" TargetMode="External" Id="rId11184"/><Relationship Type="http://schemas.openxmlformats.org/officeDocument/2006/relationships/hyperlink" Target="imagenes/T_TAHARI_124004732_BLK_3.jpg" TargetMode="External" Id="rId11185"/><Relationship Type="http://schemas.openxmlformats.org/officeDocument/2006/relationships/hyperlink" Target="imagenes/T_TAHARI_124004732_BLK_1.jpg" TargetMode="External" Id="rId11186"/><Relationship Type="http://schemas.openxmlformats.org/officeDocument/2006/relationships/hyperlink" Target="imagenes/T_TAHARI_124004732_BLK_2.jpg" TargetMode="External" Id="rId11187"/><Relationship Type="http://schemas.openxmlformats.org/officeDocument/2006/relationships/hyperlink" Target="imagenes/T_TAHARI_124004732_BLK_3.jpg" TargetMode="External" Id="rId11188"/><Relationship Type="http://schemas.openxmlformats.org/officeDocument/2006/relationships/hyperlink" Target="imagenes/T_TAHARI_124004732_OTM_1.jpg" TargetMode="External" Id="rId11189"/><Relationship Type="http://schemas.openxmlformats.org/officeDocument/2006/relationships/hyperlink" Target="imagenes/T_TAHARI_124004732_OTM_2.jpg" TargetMode="External" Id="rId11190"/><Relationship Type="http://schemas.openxmlformats.org/officeDocument/2006/relationships/hyperlink" Target="imagenes/T_TAHARI_124004732_OTM_3.jpg" TargetMode="External" Id="rId11191"/><Relationship Type="http://schemas.openxmlformats.org/officeDocument/2006/relationships/hyperlink" Target="imagenes/T_TAHARI_124004732_OTM_1.jpg" TargetMode="External" Id="rId11192"/><Relationship Type="http://schemas.openxmlformats.org/officeDocument/2006/relationships/hyperlink" Target="imagenes/T_TAHARI_124004732_OTM_2.jpg" TargetMode="External" Id="rId11193"/><Relationship Type="http://schemas.openxmlformats.org/officeDocument/2006/relationships/hyperlink" Target="imagenes/T_TAHARI_124004732_OTM_3.jpg" TargetMode="External" Id="rId11194"/><Relationship Type="http://schemas.openxmlformats.org/officeDocument/2006/relationships/hyperlink" Target="imagenes/T_TAHARI_124004732_OTM_1.jpg" TargetMode="External" Id="rId11195"/><Relationship Type="http://schemas.openxmlformats.org/officeDocument/2006/relationships/hyperlink" Target="imagenes/T_TAHARI_124004732_OTM_2.jpg" TargetMode="External" Id="rId11196"/><Relationship Type="http://schemas.openxmlformats.org/officeDocument/2006/relationships/hyperlink" Target="imagenes/T_TAHARI_124004732_OTM_3.jpg" TargetMode="External" Id="rId11197"/><Relationship Type="http://schemas.openxmlformats.org/officeDocument/2006/relationships/hyperlink" Target="imagenes/T_TAHARI_124004732_OTM_1.jpg" TargetMode="External" Id="rId11198"/><Relationship Type="http://schemas.openxmlformats.org/officeDocument/2006/relationships/hyperlink" Target="imagenes/T_TAHARI_124004732_OTM_2.jpg" TargetMode="External" Id="rId11199"/><Relationship Type="http://schemas.openxmlformats.org/officeDocument/2006/relationships/hyperlink" Target="imagenes/T_TAHARI_124004732_OTM_3.jpg" TargetMode="External" Id="rId11200"/><Relationship Type="http://schemas.openxmlformats.org/officeDocument/2006/relationships/hyperlink" Target="imagenes/T_TAHARI_124004732_OTM_1.jpg" TargetMode="External" Id="rId11201"/><Relationship Type="http://schemas.openxmlformats.org/officeDocument/2006/relationships/hyperlink" Target="imagenes/T_TAHARI_124004732_OTM_2.jpg" TargetMode="External" Id="rId11202"/><Relationship Type="http://schemas.openxmlformats.org/officeDocument/2006/relationships/hyperlink" Target="imagenes/T_TAHARI_124004732_OTM_3.jpg" TargetMode="External" Id="rId11203"/><Relationship Type="http://schemas.openxmlformats.org/officeDocument/2006/relationships/hyperlink" Target="imagenes/T_TAHARI_124004732_OTM_1.jpg" TargetMode="External" Id="rId11204"/><Relationship Type="http://schemas.openxmlformats.org/officeDocument/2006/relationships/hyperlink" Target="imagenes/T_TAHARI_124004732_OTM_2.jpg" TargetMode="External" Id="rId11205"/><Relationship Type="http://schemas.openxmlformats.org/officeDocument/2006/relationships/hyperlink" Target="imagenes/T_TAHARI_124004732_OTM_3.jpg" TargetMode="External" Id="rId11206"/><Relationship Type="http://schemas.openxmlformats.org/officeDocument/2006/relationships/hyperlink" Target="imagenes/T_TAHARI_124004732_OTM_1.jpg" TargetMode="External" Id="rId11207"/><Relationship Type="http://schemas.openxmlformats.org/officeDocument/2006/relationships/hyperlink" Target="imagenes/T_TAHARI_124004732_OTM_2.jpg" TargetMode="External" Id="rId11208"/><Relationship Type="http://schemas.openxmlformats.org/officeDocument/2006/relationships/hyperlink" Target="imagenes/T_TAHARI_124004732_OTM_3.jpg" TargetMode="External" Id="rId11209"/><Relationship Type="http://schemas.openxmlformats.org/officeDocument/2006/relationships/hyperlink" Target="imagenes/T_TAHARI_124004732_OTM_1.jpg" TargetMode="External" Id="rId11210"/><Relationship Type="http://schemas.openxmlformats.org/officeDocument/2006/relationships/hyperlink" Target="imagenes/T_TAHARI_124004732_OTM_2.jpg" TargetMode="External" Id="rId11211"/><Relationship Type="http://schemas.openxmlformats.org/officeDocument/2006/relationships/hyperlink" Target="imagenes/T_TAHARI_124004732_OTM_3.jpg" TargetMode="External" Id="rId11212"/><Relationship Type="http://schemas.openxmlformats.org/officeDocument/2006/relationships/hyperlink" Target="imagenes/T_TAHARI_124004732_OTM_1.jpg" TargetMode="External" Id="rId11213"/><Relationship Type="http://schemas.openxmlformats.org/officeDocument/2006/relationships/hyperlink" Target="imagenes/T_TAHARI_124004732_OTM_2.jpg" TargetMode="External" Id="rId11214"/><Relationship Type="http://schemas.openxmlformats.org/officeDocument/2006/relationships/hyperlink" Target="imagenes/T_TAHARI_124004732_OTM_3.jpg" TargetMode="External" Id="rId11215"/><Relationship Type="http://schemas.openxmlformats.org/officeDocument/2006/relationships/hyperlink" Target="imagenes/T_TAHARI_124004732_OTM_1.jpg" TargetMode="External" Id="rId11216"/><Relationship Type="http://schemas.openxmlformats.org/officeDocument/2006/relationships/hyperlink" Target="imagenes/T_TAHARI_124004732_OTM_2.jpg" TargetMode="External" Id="rId11217"/><Relationship Type="http://schemas.openxmlformats.org/officeDocument/2006/relationships/hyperlink" Target="imagenes/T_TAHARI_124004732_OTM_3.jpg" TargetMode="External" Id="rId11218"/><Relationship Type="http://schemas.openxmlformats.org/officeDocument/2006/relationships/hyperlink" Target="imagenes/T_TAHARI_124004734_BLK_1.jpg" TargetMode="External" Id="rId11219"/><Relationship Type="http://schemas.openxmlformats.org/officeDocument/2006/relationships/hyperlink" Target="imagenes/T_TAHARI_124004734_BLK_2.jpg" TargetMode="External" Id="rId11220"/><Relationship Type="http://schemas.openxmlformats.org/officeDocument/2006/relationships/hyperlink" Target="imagenes/T_TAHARI_124004734_BLK_3.jpg" TargetMode="External" Id="rId11221"/><Relationship Type="http://schemas.openxmlformats.org/officeDocument/2006/relationships/hyperlink" Target="imagenes/T_TAHARI_124004734_BLK_1.jpg" TargetMode="External" Id="rId11222"/><Relationship Type="http://schemas.openxmlformats.org/officeDocument/2006/relationships/hyperlink" Target="imagenes/T_TAHARI_124004734_BLK_2.jpg" TargetMode="External" Id="rId11223"/><Relationship Type="http://schemas.openxmlformats.org/officeDocument/2006/relationships/hyperlink" Target="imagenes/T_TAHARI_124004734_BLK_3.jpg" TargetMode="External" Id="rId11224"/><Relationship Type="http://schemas.openxmlformats.org/officeDocument/2006/relationships/hyperlink" Target="imagenes/T_TAHARI_124004734_BLK_1.jpg" TargetMode="External" Id="rId11225"/><Relationship Type="http://schemas.openxmlformats.org/officeDocument/2006/relationships/hyperlink" Target="imagenes/T_TAHARI_124004734_BLK_2.jpg" TargetMode="External" Id="rId11226"/><Relationship Type="http://schemas.openxmlformats.org/officeDocument/2006/relationships/hyperlink" Target="imagenes/T_TAHARI_124004734_BLK_3.jpg" TargetMode="External" Id="rId11227"/><Relationship Type="http://schemas.openxmlformats.org/officeDocument/2006/relationships/hyperlink" Target="imagenes/T_TAHARI_124004734_BLK_1.jpg" TargetMode="External" Id="rId11228"/><Relationship Type="http://schemas.openxmlformats.org/officeDocument/2006/relationships/hyperlink" Target="imagenes/T_TAHARI_124004734_BLK_2.jpg" TargetMode="External" Id="rId11229"/><Relationship Type="http://schemas.openxmlformats.org/officeDocument/2006/relationships/hyperlink" Target="imagenes/T_TAHARI_124004734_BLK_3.jpg" TargetMode="External" Id="rId11230"/><Relationship Type="http://schemas.openxmlformats.org/officeDocument/2006/relationships/hyperlink" Target="imagenes/T_TAHARI_124004734_BLK_1.jpg" TargetMode="External" Id="rId11231"/><Relationship Type="http://schemas.openxmlformats.org/officeDocument/2006/relationships/hyperlink" Target="imagenes/T_TAHARI_124004734_BLK_2.jpg" TargetMode="External" Id="rId11232"/><Relationship Type="http://schemas.openxmlformats.org/officeDocument/2006/relationships/hyperlink" Target="imagenes/T_TAHARI_124004734_BLK_3.jpg" TargetMode="External" Id="rId11233"/><Relationship Type="http://schemas.openxmlformats.org/officeDocument/2006/relationships/hyperlink" Target="imagenes/T_TAHARI_124004734_BLK_1.jpg" TargetMode="External" Id="rId11234"/><Relationship Type="http://schemas.openxmlformats.org/officeDocument/2006/relationships/hyperlink" Target="imagenes/T_TAHARI_124004734_BLK_2.jpg" TargetMode="External" Id="rId11235"/><Relationship Type="http://schemas.openxmlformats.org/officeDocument/2006/relationships/hyperlink" Target="imagenes/T_TAHARI_124004734_BLK_3.jpg" TargetMode="External" Id="rId11236"/><Relationship Type="http://schemas.openxmlformats.org/officeDocument/2006/relationships/hyperlink" Target="imagenes/T_TAHARI_124004734_BLK_1.jpg" TargetMode="External" Id="rId11237"/><Relationship Type="http://schemas.openxmlformats.org/officeDocument/2006/relationships/hyperlink" Target="imagenes/T_TAHARI_124004734_BLK_2.jpg" TargetMode="External" Id="rId11238"/><Relationship Type="http://schemas.openxmlformats.org/officeDocument/2006/relationships/hyperlink" Target="imagenes/T_TAHARI_124004734_BLK_3.jpg" TargetMode="External" Id="rId11239"/><Relationship Type="http://schemas.openxmlformats.org/officeDocument/2006/relationships/hyperlink" Target="imagenes/T_TAHARI_124004734_BLK_1.jpg" TargetMode="External" Id="rId11240"/><Relationship Type="http://schemas.openxmlformats.org/officeDocument/2006/relationships/hyperlink" Target="imagenes/T_TAHARI_124004734_BLK_2.jpg" TargetMode="External" Id="rId11241"/><Relationship Type="http://schemas.openxmlformats.org/officeDocument/2006/relationships/hyperlink" Target="imagenes/T_TAHARI_124004734_BLK_3.jpg" TargetMode="External" Id="rId11242"/><Relationship Type="http://schemas.openxmlformats.org/officeDocument/2006/relationships/hyperlink" Target="imagenes/T_TAHARI_124004734_BLK_1.jpg" TargetMode="External" Id="rId11243"/><Relationship Type="http://schemas.openxmlformats.org/officeDocument/2006/relationships/hyperlink" Target="imagenes/T_TAHARI_124004734_BLK_2.jpg" TargetMode="External" Id="rId11244"/><Relationship Type="http://schemas.openxmlformats.org/officeDocument/2006/relationships/hyperlink" Target="imagenes/T_TAHARI_124004734_BLK_3.jpg" TargetMode="External" Id="rId11245"/><Relationship Type="http://schemas.openxmlformats.org/officeDocument/2006/relationships/hyperlink" Target="imagenes/T_TAHARI_124004734_BLK_1.jpg" TargetMode="External" Id="rId11246"/><Relationship Type="http://schemas.openxmlformats.org/officeDocument/2006/relationships/hyperlink" Target="imagenes/T_TAHARI_124004734_BLK_2.jpg" TargetMode="External" Id="rId11247"/><Relationship Type="http://schemas.openxmlformats.org/officeDocument/2006/relationships/hyperlink" Target="imagenes/T_TAHARI_124004734_BLK_3.jpg" TargetMode="External" Id="rId11248"/><Relationship Type="http://schemas.openxmlformats.org/officeDocument/2006/relationships/hyperlink" Target="imagenes/T_TAHARI_124004734_CAM_1.jpg" TargetMode="External" Id="rId11249"/><Relationship Type="http://schemas.openxmlformats.org/officeDocument/2006/relationships/hyperlink" Target="imagenes/T_TAHARI_124004734_CAM_2.jpg" TargetMode="External" Id="rId11250"/><Relationship Type="http://schemas.openxmlformats.org/officeDocument/2006/relationships/hyperlink" Target="imagenes/T_TAHARI_124004734_CAM_3.jpg" TargetMode="External" Id="rId11251"/><Relationship Type="http://schemas.openxmlformats.org/officeDocument/2006/relationships/hyperlink" Target="imagenes/T_TAHARI_124004734_CAM_1.jpg" TargetMode="External" Id="rId11252"/><Relationship Type="http://schemas.openxmlformats.org/officeDocument/2006/relationships/hyperlink" Target="imagenes/T_TAHARI_124004734_CAM_2.jpg" TargetMode="External" Id="rId11253"/><Relationship Type="http://schemas.openxmlformats.org/officeDocument/2006/relationships/hyperlink" Target="imagenes/T_TAHARI_124004734_CAM_3.jpg" TargetMode="External" Id="rId11254"/><Relationship Type="http://schemas.openxmlformats.org/officeDocument/2006/relationships/hyperlink" Target="imagenes/T_TAHARI_124004734_CAM_1.jpg" TargetMode="External" Id="rId11255"/><Relationship Type="http://schemas.openxmlformats.org/officeDocument/2006/relationships/hyperlink" Target="imagenes/T_TAHARI_124004734_CAM_2.jpg" TargetMode="External" Id="rId11256"/><Relationship Type="http://schemas.openxmlformats.org/officeDocument/2006/relationships/hyperlink" Target="imagenes/T_TAHARI_124004734_CAM_3.jpg" TargetMode="External" Id="rId11257"/><Relationship Type="http://schemas.openxmlformats.org/officeDocument/2006/relationships/hyperlink" Target="imagenes/T_TAHARI_124004734_CAM_1.jpg" TargetMode="External" Id="rId11258"/><Relationship Type="http://schemas.openxmlformats.org/officeDocument/2006/relationships/hyperlink" Target="imagenes/T_TAHARI_124004734_CAM_2.jpg" TargetMode="External" Id="rId11259"/><Relationship Type="http://schemas.openxmlformats.org/officeDocument/2006/relationships/hyperlink" Target="imagenes/T_TAHARI_124004734_CAM_3.jpg" TargetMode="External" Id="rId11260"/><Relationship Type="http://schemas.openxmlformats.org/officeDocument/2006/relationships/hyperlink" Target="imagenes/T_TAHARI_124004734_CAM_1.jpg" TargetMode="External" Id="rId11261"/><Relationship Type="http://schemas.openxmlformats.org/officeDocument/2006/relationships/hyperlink" Target="imagenes/T_TAHARI_124004734_CAM_2.jpg" TargetMode="External" Id="rId11262"/><Relationship Type="http://schemas.openxmlformats.org/officeDocument/2006/relationships/hyperlink" Target="imagenes/T_TAHARI_124004734_CAM_3.jpg" TargetMode="External" Id="rId11263"/><Relationship Type="http://schemas.openxmlformats.org/officeDocument/2006/relationships/hyperlink" Target="imagenes/T_TAHARI_124004734_CAM_1.jpg" TargetMode="External" Id="rId11264"/><Relationship Type="http://schemas.openxmlformats.org/officeDocument/2006/relationships/hyperlink" Target="imagenes/T_TAHARI_124004734_CAM_2.jpg" TargetMode="External" Id="rId11265"/><Relationship Type="http://schemas.openxmlformats.org/officeDocument/2006/relationships/hyperlink" Target="imagenes/T_TAHARI_124004734_CAM_3.jpg" TargetMode="External" Id="rId11266"/><Relationship Type="http://schemas.openxmlformats.org/officeDocument/2006/relationships/hyperlink" Target="imagenes/T_TAHARI_124004734_CAM_1.jpg" TargetMode="External" Id="rId11267"/><Relationship Type="http://schemas.openxmlformats.org/officeDocument/2006/relationships/hyperlink" Target="imagenes/T_TAHARI_124004734_CAM_2.jpg" TargetMode="External" Id="rId11268"/><Relationship Type="http://schemas.openxmlformats.org/officeDocument/2006/relationships/hyperlink" Target="imagenes/T_TAHARI_124004734_CAM_3.jpg" TargetMode="External" Id="rId11269"/><Relationship Type="http://schemas.openxmlformats.org/officeDocument/2006/relationships/hyperlink" Target="imagenes/T_TAHARI_124004734_CAM_1.jpg" TargetMode="External" Id="rId11270"/><Relationship Type="http://schemas.openxmlformats.org/officeDocument/2006/relationships/hyperlink" Target="imagenes/T_TAHARI_124004734_CAM_2.jpg" TargetMode="External" Id="rId11271"/><Relationship Type="http://schemas.openxmlformats.org/officeDocument/2006/relationships/hyperlink" Target="imagenes/T_TAHARI_124004734_CAM_3.jpg" TargetMode="External" Id="rId11272"/><Relationship Type="http://schemas.openxmlformats.org/officeDocument/2006/relationships/hyperlink" Target="imagenes/T_TAHARI_124004734_CAM_1.jpg" TargetMode="External" Id="rId11273"/><Relationship Type="http://schemas.openxmlformats.org/officeDocument/2006/relationships/hyperlink" Target="imagenes/T_TAHARI_124004734_CAM_2.jpg" TargetMode="External" Id="rId11274"/><Relationship Type="http://schemas.openxmlformats.org/officeDocument/2006/relationships/hyperlink" Target="imagenes/T_TAHARI_124004734_CAM_3.jpg" TargetMode="External" Id="rId11275"/><Relationship Type="http://schemas.openxmlformats.org/officeDocument/2006/relationships/hyperlink" Target="imagenes/T_TAHARI_124004734_CAM_1.jpg" TargetMode="External" Id="rId11276"/><Relationship Type="http://schemas.openxmlformats.org/officeDocument/2006/relationships/hyperlink" Target="imagenes/T_TAHARI_124004734_CAM_2.jpg" TargetMode="External" Id="rId11277"/><Relationship Type="http://schemas.openxmlformats.org/officeDocument/2006/relationships/hyperlink" Target="imagenes/T_TAHARI_124004734_CAM_3.jpg" TargetMode="External" Id="rId11278"/><Relationship Type="http://schemas.openxmlformats.org/officeDocument/2006/relationships/hyperlink" Target="imagenes/T_TAHARI_124004734_OLI_1.jpg" TargetMode="External" Id="rId11279"/><Relationship Type="http://schemas.openxmlformats.org/officeDocument/2006/relationships/hyperlink" Target="imagenes/T_TAHARI_124004734_OLI_2.jpg" TargetMode="External" Id="rId11280"/><Relationship Type="http://schemas.openxmlformats.org/officeDocument/2006/relationships/hyperlink" Target="imagenes/T_TAHARI_124004734_OLI_3.jpg" TargetMode="External" Id="rId11281"/><Relationship Type="http://schemas.openxmlformats.org/officeDocument/2006/relationships/hyperlink" Target="imagenes/T_TAHARI_124004734_OLI_1.jpg" TargetMode="External" Id="rId11282"/><Relationship Type="http://schemas.openxmlformats.org/officeDocument/2006/relationships/hyperlink" Target="imagenes/T_TAHARI_124004734_OLI_2.jpg" TargetMode="External" Id="rId11283"/><Relationship Type="http://schemas.openxmlformats.org/officeDocument/2006/relationships/hyperlink" Target="imagenes/T_TAHARI_124004734_OLI_3.jpg" TargetMode="External" Id="rId11284"/><Relationship Type="http://schemas.openxmlformats.org/officeDocument/2006/relationships/hyperlink" Target="imagenes/T_TAHARI_124004734_OLI_1.jpg" TargetMode="External" Id="rId11285"/><Relationship Type="http://schemas.openxmlformats.org/officeDocument/2006/relationships/hyperlink" Target="imagenes/T_TAHARI_124004734_OLI_2.jpg" TargetMode="External" Id="rId11286"/><Relationship Type="http://schemas.openxmlformats.org/officeDocument/2006/relationships/hyperlink" Target="imagenes/T_TAHARI_124004734_OLI_3.jpg" TargetMode="External" Id="rId11287"/><Relationship Type="http://schemas.openxmlformats.org/officeDocument/2006/relationships/hyperlink" Target="imagenes/T_TAHARI_124004734_OLI_1.jpg" TargetMode="External" Id="rId11288"/><Relationship Type="http://schemas.openxmlformats.org/officeDocument/2006/relationships/hyperlink" Target="imagenes/T_TAHARI_124004734_OLI_2.jpg" TargetMode="External" Id="rId11289"/><Relationship Type="http://schemas.openxmlformats.org/officeDocument/2006/relationships/hyperlink" Target="imagenes/T_TAHARI_124004734_OLI_3.jpg" TargetMode="External" Id="rId11290"/><Relationship Type="http://schemas.openxmlformats.org/officeDocument/2006/relationships/hyperlink" Target="imagenes/T_TAHARI_124004734_OLI_1.jpg" TargetMode="External" Id="rId11291"/><Relationship Type="http://schemas.openxmlformats.org/officeDocument/2006/relationships/hyperlink" Target="imagenes/T_TAHARI_124004734_OLI_2.jpg" TargetMode="External" Id="rId11292"/><Relationship Type="http://schemas.openxmlformats.org/officeDocument/2006/relationships/hyperlink" Target="imagenes/T_TAHARI_124004734_OLI_3.jpg" TargetMode="External" Id="rId11293"/><Relationship Type="http://schemas.openxmlformats.org/officeDocument/2006/relationships/hyperlink" Target="imagenes/T_TAHARI_124004734_OLI_1.jpg" TargetMode="External" Id="rId11294"/><Relationship Type="http://schemas.openxmlformats.org/officeDocument/2006/relationships/hyperlink" Target="imagenes/T_TAHARI_124004734_OLI_2.jpg" TargetMode="External" Id="rId11295"/><Relationship Type="http://schemas.openxmlformats.org/officeDocument/2006/relationships/hyperlink" Target="imagenes/T_TAHARI_124004734_OLI_3.jpg" TargetMode="External" Id="rId11296"/><Relationship Type="http://schemas.openxmlformats.org/officeDocument/2006/relationships/hyperlink" Target="imagenes/T_TAHARI_124004734_OLI_1.jpg" TargetMode="External" Id="rId11297"/><Relationship Type="http://schemas.openxmlformats.org/officeDocument/2006/relationships/hyperlink" Target="imagenes/T_TAHARI_124004734_OLI_2.jpg" TargetMode="External" Id="rId11298"/><Relationship Type="http://schemas.openxmlformats.org/officeDocument/2006/relationships/hyperlink" Target="imagenes/T_TAHARI_124004734_OLI_3.jpg" TargetMode="External" Id="rId11299"/><Relationship Type="http://schemas.openxmlformats.org/officeDocument/2006/relationships/hyperlink" Target="imagenes/T_TAHARI_124004734_OLI_1.jpg" TargetMode="External" Id="rId11300"/><Relationship Type="http://schemas.openxmlformats.org/officeDocument/2006/relationships/hyperlink" Target="imagenes/T_TAHARI_124004734_OLI_2.jpg" TargetMode="External" Id="rId11301"/><Relationship Type="http://schemas.openxmlformats.org/officeDocument/2006/relationships/hyperlink" Target="imagenes/T_TAHARI_124004734_OLI_3.jpg" TargetMode="External" Id="rId11302"/><Relationship Type="http://schemas.openxmlformats.org/officeDocument/2006/relationships/hyperlink" Target="imagenes/T_TAHARI_124004734_OLI_1.jpg" TargetMode="External" Id="rId11303"/><Relationship Type="http://schemas.openxmlformats.org/officeDocument/2006/relationships/hyperlink" Target="imagenes/T_TAHARI_124004734_OLI_2.jpg" TargetMode="External" Id="rId11304"/><Relationship Type="http://schemas.openxmlformats.org/officeDocument/2006/relationships/hyperlink" Target="imagenes/T_TAHARI_124004734_OLI_3.jpg" TargetMode="External" Id="rId11305"/><Relationship Type="http://schemas.openxmlformats.org/officeDocument/2006/relationships/hyperlink" Target="imagenes/T_TAHARI_124004734_OLI_1.jpg" TargetMode="External" Id="rId11306"/><Relationship Type="http://schemas.openxmlformats.org/officeDocument/2006/relationships/hyperlink" Target="imagenes/T_TAHARI_124004734_OLI_2.jpg" TargetMode="External" Id="rId11307"/><Relationship Type="http://schemas.openxmlformats.org/officeDocument/2006/relationships/hyperlink" Target="imagenes/T_TAHARI_124004734_OLI_3.jpg" TargetMode="External" Id="rId11308"/><Relationship Type="http://schemas.openxmlformats.org/officeDocument/2006/relationships/hyperlink" Target="imagenes/T_TAHARI_124004770_BLK_1.jpg" TargetMode="External" Id="rId11309"/><Relationship Type="http://schemas.openxmlformats.org/officeDocument/2006/relationships/hyperlink" Target="imagenes/T_TAHARI_124004770_BLK_2.jpg" TargetMode="External" Id="rId11310"/><Relationship Type="http://schemas.openxmlformats.org/officeDocument/2006/relationships/hyperlink" Target="imagenes/T_TAHARI_124004770_BLK_3.jpg" TargetMode="External" Id="rId11311"/><Relationship Type="http://schemas.openxmlformats.org/officeDocument/2006/relationships/hyperlink" Target="imagenes/T_TAHARI_124004770_BLK_1.jpg" TargetMode="External" Id="rId11312"/><Relationship Type="http://schemas.openxmlformats.org/officeDocument/2006/relationships/hyperlink" Target="imagenes/T_TAHARI_124004770_BLK_2.jpg" TargetMode="External" Id="rId11313"/><Relationship Type="http://schemas.openxmlformats.org/officeDocument/2006/relationships/hyperlink" Target="imagenes/T_TAHARI_124004770_BLK_3.jpg" TargetMode="External" Id="rId11314"/><Relationship Type="http://schemas.openxmlformats.org/officeDocument/2006/relationships/hyperlink" Target="imagenes/T_TAHARI_124004770_BLK_1.jpg" TargetMode="External" Id="rId11315"/><Relationship Type="http://schemas.openxmlformats.org/officeDocument/2006/relationships/hyperlink" Target="imagenes/T_TAHARI_124004770_BLK_2.jpg" TargetMode="External" Id="rId11316"/><Relationship Type="http://schemas.openxmlformats.org/officeDocument/2006/relationships/hyperlink" Target="imagenes/T_TAHARI_124004770_BLK_3.jpg" TargetMode="External" Id="rId11317"/><Relationship Type="http://schemas.openxmlformats.org/officeDocument/2006/relationships/hyperlink" Target="imagenes/T_TAHARI_124004770_BLK_1.jpg" TargetMode="External" Id="rId11318"/><Relationship Type="http://schemas.openxmlformats.org/officeDocument/2006/relationships/hyperlink" Target="imagenes/T_TAHARI_124004770_BLK_2.jpg" TargetMode="External" Id="rId11319"/><Relationship Type="http://schemas.openxmlformats.org/officeDocument/2006/relationships/hyperlink" Target="imagenes/T_TAHARI_124004770_BLK_3.jpg" TargetMode="External" Id="rId11320"/><Relationship Type="http://schemas.openxmlformats.org/officeDocument/2006/relationships/hyperlink" Target="imagenes/T_TAHARI_124004770_BLK_1.jpg" TargetMode="External" Id="rId11321"/><Relationship Type="http://schemas.openxmlformats.org/officeDocument/2006/relationships/hyperlink" Target="imagenes/T_TAHARI_124004770_BLK_2.jpg" TargetMode="External" Id="rId11322"/><Relationship Type="http://schemas.openxmlformats.org/officeDocument/2006/relationships/hyperlink" Target="imagenes/T_TAHARI_124004770_BLK_3.jpg" TargetMode="External" Id="rId11323"/><Relationship Type="http://schemas.openxmlformats.org/officeDocument/2006/relationships/hyperlink" Target="imagenes/T_TAHARI_124004770_GXY_1.jpg" TargetMode="External" Id="rId11324"/><Relationship Type="http://schemas.openxmlformats.org/officeDocument/2006/relationships/hyperlink" Target="imagenes/T_TAHARI_124004770_GXY_2.jpg" TargetMode="External" Id="rId11325"/><Relationship Type="http://schemas.openxmlformats.org/officeDocument/2006/relationships/hyperlink" Target="imagenes/T_TAHARI_124004770_GXY_3.jpg" TargetMode="External" Id="rId11326"/><Relationship Type="http://schemas.openxmlformats.org/officeDocument/2006/relationships/hyperlink" Target="imagenes/T_TAHARI_124004772_BLK_1.jpg" TargetMode="External" Id="rId11327"/><Relationship Type="http://schemas.openxmlformats.org/officeDocument/2006/relationships/hyperlink" Target="imagenes/T_TAHARI_124004772_BLK_2.jpg" TargetMode="External" Id="rId11328"/><Relationship Type="http://schemas.openxmlformats.org/officeDocument/2006/relationships/hyperlink" Target="imagenes/T_TAHARI_124004772_BLK_3.jpg" TargetMode="External" Id="rId11329"/><Relationship Type="http://schemas.openxmlformats.org/officeDocument/2006/relationships/hyperlink" Target="imagenes/T_TAHARI_124004772_BLK_1.jpg" TargetMode="External" Id="rId11330"/><Relationship Type="http://schemas.openxmlformats.org/officeDocument/2006/relationships/hyperlink" Target="imagenes/T_TAHARI_124004772_BLK_2.jpg" TargetMode="External" Id="rId11331"/><Relationship Type="http://schemas.openxmlformats.org/officeDocument/2006/relationships/hyperlink" Target="imagenes/T_TAHARI_124004772_BLK_3.jpg" TargetMode="External" Id="rId11332"/><Relationship Type="http://schemas.openxmlformats.org/officeDocument/2006/relationships/hyperlink" Target="imagenes/T_TAHARI_124004772_CHY_1.jpg" TargetMode="External" Id="rId11333"/><Relationship Type="http://schemas.openxmlformats.org/officeDocument/2006/relationships/hyperlink" Target="imagenes/T_TAHARI_124004772_CHY_2.jpg" TargetMode="External" Id="rId11334"/><Relationship Type="http://schemas.openxmlformats.org/officeDocument/2006/relationships/hyperlink" Target="imagenes/T_TAHARI_124004772_CHY_3.jpg" TargetMode="External" Id="rId11335"/><Relationship Type="http://schemas.openxmlformats.org/officeDocument/2006/relationships/hyperlink" Target="imagenes/T_TAHARI_124004772_CHY_1.jpg" TargetMode="External" Id="rId11336"/><Relationship Type="http://schemas.openxmlformats.org/officeDocument/2006/relationships/hyperlink" Target="imagenes/T_TAHARI_124004772_CHY_2.jpg" TargetMode="External" Id="rId11337"/><Relationship Type="http://schemas.openxmlformats.org/officeDocument/2006/relationships/hyperlink" Target="imagenes/T_TAHARI_124004772_CHY_3.jpg" TargetMode="External" Id="rId11338"/><Relationship Type="http://schemas.openxmlformats.org/officeDocument/2006/relationships/hyperlink" Target="imagenes/T_TAHARI_124004772_GXY_1.jpg" TargetMode="External" Id="rId11339"/><Relationship Type="http://schemas.openxmlformats.org/officeDocument/2006/relationships/hyperlink" Target="imagenes/T_TAHARI_124004772_GXY_2.jpg" TargetMode="External" Id="rId11340"/><Relationship Type="http://schemas.openxmlformats.org/officeDocument/2006/relationships/hyperlink" Target="imagenes/T_TAHARI_124004772_GXY_3.jpg" TargetMode="External" Id="rId11341"/><Relationship Type="http://schemas.openxmlformats.org/officeDocument/2006/relationships/hyperlink" Target="imagenes/T_TAHARI_124004772_GXY_1.jpg" TargetMode="External" Id="rId11342"/><Relationship Type="http://schemas.openxmlformats.org/officeDocument/2006/relationships/hyperlink" Target="imagenes/T_TAHARI_124004772_GXY_2.jpg" TargetMode="External" Id="rId11343"/><Relationship Type="http://schemas.openxmlformats.org/officeDocument/2006/relationships/hyperlink" Target="imagenes/T_TAHARI_124004772_GXY_3.jpg" TargetMode="External" Id="rId11344"/><Relationship Type="http://schemas.openxmlformats.org/officeDocument/2006/relationships/hyperlink" Target="imagenes/T_TAHARI_124004772_GXY_1.jpg" TargetMode="External" Id="rId11345"/><Relationship Type="http://schemas.openxmlformats.org/officeDocument/2006/relationships/hyperlink" Target="imagenes/T_TAHARI_124004772_GXY_2.jpg" TargetMode="External" Id="rId11346"/><Relationship Type="http://schemas.openxmlformats.org/officeDocument/2006/relationships/hyperlink" Target="imagenes/T_TAHARI_124004772_GXY_3.jpg" TargetMode="External" Id="rId11347"/><Relationship Type="http://schemas.openxmlformats.org/officeDocument/2006/relationships/hyperlink" Target="imagenes/T_TAHARI_124004809_BLK_1.jpg" TargetMode="External" Id="rId11348"/><Relationship Type="http://schemas.openxmlformats.org/officeDocument/2006/relationships/hyperlink" Target="imagenes/T_TAHARI_124004809_BLK_2.jpg" TargetMode="External" Id="rId11349"/><Relationship Type="http://schemas.openxmlformats.org/officeDocument/2006/relationships/hyperlink" Target="imagenes/T_TAHARI_124004809_BLK_3.jpg" TargetMode="External" Id="rId11350"/><Relationship Type="http://schemas.openxmlformats.org/officeDocument/2006/relationships/hyperlink" Target="imagenes/T_TAHARI_124004809_CHY_1.jpg" TargetMode="External" Id="rId11351"/><Relationship Type="http://schemas.openxmlformats.org/officeDocument/2006/relationships/hyperlink" Target="imagenes/T_TAHARI_124004809_CHY_2.jpg" TargetMode="External" Id="rId11352"/><Relationship Type="http://schemas.openxmlformats.org/officeDocument/2006/relationships/hyperlink" Target="imagenes/T_TAHARI_124004809_CHY_3.jpg" TargetMode="External" Id="rId11353"/><Relationship Type="http://schemas.openxmlformats.org/officeDocument/2006/relationships/hyperlink" Target="imagenes/T_TAHARI_124004809_SGZ_1.jpg" TargetMode="External" Id="rId11354"/><Relationship Type="http://schemas.openxmlformats.org/officeDocument/2006/relationships/hyperlink" Target="imagenes/T_TAHARI_124004809_SGZ_2.jpg" TargetMode="External" Id="rId11355"/><Relationship Type="http://schemas.openxmlformats.org/officeDocument/2006/relationships/hyperlink" Target="imagenes/T_TAHARI_124004809_SGZ_3.jpg" TargetMode="External" Id="rId11356"/><Relationship Type="http://schemas.openxmlformats.org/officeDocument/2006/relationships/hyperlink" Target="imagenes/T_TAHARI_124005011_CHO_1.jpg" TargetMode="External" Id="rId11357"/><Relationship Type="http://schemas.openxmlformats.org/officeDocument/2006/relationships/hyperlink" Target="imagenes/T_TAHARI_124005011_CHO_2.jpg" TargetMode="External" Id="rId11358"/><Relationship Type="http://schemas.openxmlformats.org/officeDocument/2006/relationships/hyperlink" Target="imagenes/T_TAHARI_124005011_CHO_3.jpg" TargetMode="External" Id="rId11359"/><Relationship Type="http://schemas.openxmlformats.org/officeDocument/2006/relationships/hyperlink" Target="imagenes/T_TAHARI_124005011_CHO_1.jpg" TargetMode="External" Id="rId11360"/><Relationship Type="http://schemas.openxmlformats.org/officeDocument/2006/relationships/hyperlink" Target="imagenes/T_TAHARI_124005011_CHO_2.jpg" TargetMode="External" Id="rId11361"/><Relationship Type="http://schemas.openxmlformats.org/officeDocument/2006/relationships/hyperlink" Target="imagenes/T_TAHARI_124005011_CHO_3.jpg" TargetMode="External" Id="rId11362"/><Relationship Type="http://schemas.openxmlformats.org/officeDocument/2006/relationships/hyperlink" Target="imagenes/T_TAHARI_124005011_CHO_1.jpg" TargetMode="External" Id="rId11363"/><Relationship Type="http://schemas.openxmlformats.org/officeDocument/2006/relationships/hyperlink" Target="imagenes/T_TAHARI_124005011_CHO_2.jpg" TargetMode="External" Id="rId11364"/><Relationship Type="http://schemas.openxmlformats.org/officeDocument/2006/relationships/hyperlink" Target="imagenes/T_TAHARI_124005011_CHO_3.jpg" TargetMode="External" Id="rId11365"/><Relationship Type="http://schemas.openxmlformats.org/officeDocument/2006/relationships/hyperlink" Target="imagenes/T_TAHARI_124005011_CHO_1.jpg" TargetMode="External" Id="rId11366"/><Relationship Type="http://schemas.openxmlformats.org/officeDocument/2006/relationships/hyperlink" Target="imagenes/T_TAHARI_124005011_CHO_2.jpg" TargetMode="External" Id="rId11367"/><Relationship Type="http://schemas.openxmlformats.org/officeDocument/2006/relationships/hyperlink" Target="imagenes/T_TAHARI_124005011_CHO_3.jpg" TargetMode="External" Id="rId11368"/><Relationship Type="http://schemas.openxmlformats.org/officeDocument/2006/relationships/hyperlink" Target="imagenes/T_TAHARI_124005011_CHO_1.jpg" TargetMode="External" Id="rId11369"/><Relationship Type="http://schemas.openxmlformats.org/officeDocument/2006/relationships/hyperlink" Target="imagenes/T_TAHARI_124005011_CHO_2.jpg" TargetMode="External" Id="rId11370"/><Relationship Type="http://schemas.openxmlformats.org/officeDocument/2006/relationships/hyperlink" Target="imagenes/T_TAHARI_124005011_CHO_3.jpg" TargetMode="External" Id="rId11371"/><Relationship Type="http://schemas.openxmlformats.org/officeDocument/2006/relationships/hyperlink" Target="imagenes/T_TAHARI_124005011_CHO_1.jpg" TargetMode="External" Id="rId11372"/><Relationship Type="http://schemas.openxmlformats.org/officeDocument/2006/relationships/hyperlink" Target="imagenes/T_TAHARI_124005011_CHO_2.jpg" TargetMode="External" Id="rId11373"/><Relationship Type="http://schemas.openxmlformats.org/officeDocument/2006/relationships/hyperlink" Target="imagenes/T_TAHARI_124005011_CHO_3.jpg" TargetMode="External" Id="rId11374"/><Relationship Type="http://schemas.openxmlformats.org/officeDocument/2006/relationships/hyperlink" Target="imagenes/T_TAHARI_124005011_CHO_1.jpg" TargetMode="External" Id="rId11375"/><Relationship Type="http://schemas.openxmlformats.org/officeDocument/2006/relationships/hyperlink" Target="imagenes/T_TAHARI_124005011_CHO_2.jpg" TargetMode="External" Id="rId11376"/><Relationship Type="http://schemas.openxmlformats.org/officeDocument/2006/relationships/hyperlink" Target="imagenes/T_TAHARI_124005011_CHO_3.jpg" TargetMode="External" Id="rId11377"/><Relationship Type="http://schemas.openxmlformats.org/officeDocument/2006/relationships/hyperlink" Target="imagenes/T_TAHARI_124005011_CHY_1.jpg" TargetMode="External" Id="rId11378"/><Relationship Type="http://schemas.openxmlformats.org/officeDocument/2006/relationships/hyperlink" Target="imagenes/T_TAHARI_124005011_CHY_2.jpg" TargetMode="External" Id="rId11379"/><Relationship Type="http://schemas.openxmlformats.org/officeDocument/2006/relationships/hyperlink" Target="imagenes/T_TAHARI_124005011_CHY_3.jpg" TargetMode="External" Id="rId11380"/><Relationship Type="http://schemas.openxmlformats.org/officeDocument/2006/relationships/hyperlink" Target="imagenes/T_TAHARI_124005011_CHY_1.jpg" TargetMode="External" Id="rId11381"/><Relationship Type="http://schemas.openxmlformats.org/officeDocument/2006/relationships/hyperlink" Target="imagenes/T_TAHARI_124005011_CHY_2.jpg" TargetMode="External" Id="rId11382"/><Relationship Type="http://schemas.openxmlformats.org/officeDocument/2006/relationships/hyperlink" Target="imagenes/T_TAHARI_124005011_CHY_3.jpg" TargetMode="External" Id="rId11383"/><Relationship Type="http://schemas.openxmlformats.org/officeDocument/2006/relationships/hyperlink" Target="imagenes/T_TAHARI_124005011_CHY_1.jpg" TargetMode="External" Id="rId11384"/><Relationship Type="http://schemas.openxmlformats.org/officeDocument/2006/relationships/hyperlink" Target="imagenes/T_TAHARI_124005011_CHY_2.jpg" TargetMode="External" Id="rId11385"/><Relationship Type="http://schemas.openxmlformats.org/officeDocument/2006/relationships/hyperlink" Target="imagenes/T_TAHARI_124005011_CHY_3.jpg" TargetMode="External" Id="rId11386"/><Relationship Type="http://schemas.openxmlformats.org/officeDocument/2006/relationships/hyperlink" Target="imagenes/T_TAHARI_124005011_CHY_1.jpg" TargetMode="External" Id="rId11387"/><Relationship Type="http://schemas.openxmlformats.org/officeDocument/2006/relationships/hyperlink" Target="imagenes/T_TAHARI_124005011_CHY_2.jpg" TargetMode="External" Id="rId11388"/><Relationship Type="http://schemas.openxmlformats.org/officeDocument/2006/relationships/hyperlink" Target="imagenes/T_TAHARI_124005011_CHY_3.jpg" TargetMode="External" Id="rId11389"/><Relationship Type="http://schemas.openxmlformats.org/officeDocument/2006/relationships/hyperlink" Target="imagenes/T_TAHARI_124005011_CHY_1.jpg" TargetMode="External" Id="rId11390"/><Relationship Type="http://schemas.openxmlformats.org/officeDocument/2006/relationships/hyperlink" Target="imagenes/T_TAHARI_124005011_CHY_2.jpg" TargetMode="External" Id="rId11391"/><Relationship Type="http://schemas.openxmlformats.org/officeDocument/2006/relationships/hyperlink" Target="imagenes/T_TAHARI_124005011_CHY_3.jpg" TargetMode="External" Id="rId11392"/><Relationship Type="http://schemas.openxmlformats.org/officeDocument/2006/relationships/hyperlink" Target="imagenes/T_TAHARI_124005011_CHY_1.jpg" TargetMode="External" Id="rId11393"/><Relationship Type="http://schemas.openxmlformats.org/officeDocument/2006/relationships/hyperlink" Target="imagenes/T_TAHARI_124005011_CHY_2.jpg" TargetMode="External" Id="rId11394"/><Relationship Type="http://schemas.openxmlformats.org/officeDocument/2006/relationships/hyperlink" Target="imagenes/T_TAHARI_124005011_CHY_3.jpg" TargetMode="External" Id="rId11395"/><Relationship Type="http://schemas.openxmlformats.org/officeDocument/2006/relationships/hyperlink" Target="imagenes/T_TAHARI_124005172_STZ_1.jpg" TargetMode="External" Id="rId11396"/><Relationship Type="http://schemas.openxmlformats.org/officeDocument/2006/relationships/hyperlink" Target="imagenes/T_TAHARI_124005172_STZ_2.jpg" TargetMode="External" Id="rId11397"/><Relationship Type="http://schemas.openxmlformats.org/officeDocument/2006/relationships/hyperlink" Target="imagenes/T_TAHARI_124005172_STZ_3.jpg" TargetMode="External" Id="rId11398"/><Relationship Type="http://schemas.openxmlformats.org/officeDocument/2006/relationships/hyperlink" Target="imagenes/T_TAHARI_124005395_BLK_1.jpg" TargetMode="External" Id="rId11399"/><Relationship Type="http://schemas.openxmlformats.org/officeDocument/2006/relationships/hyperlink" Target="imagenes/T_TAHARI_124005395_BLK_2.jpg" TargetMode="External" Id="rId11400"/><Relationship Type="http://schemas.openxmlformats.org/officeDocument/2006/relationships/hyperlink" Target="imagenes/T_TAHARI_124005395_BLK_3.jpg" TargetMode="External" Id="rId11401"/><Relationship Type="http://schemas.openxmlformats.org/officeDocument/2006/relationships/hyperlink" Target="imagenes/T_TAHARI_124005395_BLK_1.jpg" TargetMode="External" Id="rId11402"/><Relationship Type="http://schemas.openxmlformats.org/officeDocument/2006/relationships/hyperlink" Target="imagenes/T_TAHARI_124005395_BLK_2.jpg" TargetMode="External" Id="rId11403"/><Relationship Type="http://schemas.openxmlformats.org/officeDocument/2006/relationships/hyperlink" Target="imagenes/T_TAHARI_124005395_BLK_3.jpg" TargetMode="External" Id="rId11404"/><Relationship Type="http://schemas.openxmlformats.org/officeDocument/2006/relationships/hyperlink" Target="imagenes/T_TAHARI_124005395_BLK_1.jpg" TargetMode="External" Id="rId11405"/><Relationship Type="http://schemas.openxmlformats.org/officeDocument/2006/relationships/hyperlink" Target="imagenes/T_TAHARI_124005395_BLK_2.jpg" TargetMode="External" Id="rId11406"/><Relationship Type="http://schemas.openxmlformats.org/officeDocument/2006/relationships/hyperlink" Target="imagenes/T_TAHARI_124005395_BLK_3.jpg" TargetMode="External" Id="rId11407"/><Relationship Type="http://schemas.openxmlformats.org/officeDocument/2006/relationships/hyperlink" Target="imagenes/T_TAHARI_124005517_CHO_1.jpg" TargetMode="External" Id="rId11408"/><Relationship Type="http://schemas.openxmlformats.org/officeDocument/2006/relationships/hyperlink" Target="imagenes/T_TAHARI_124005517_CHO_2.jpg" TargetMode="External" Id="rId11409"/><Relationship Type="http://schemas.openxmlformats.org/officeDocument/2006/relationships/hyperlink" Target="imagenes/T_TAHARI_124005517_CHO_3.jpg" TargetMode="External" Id="rId11410"/><Relationship Type="http://schemas.openxmlformats.org/officeDocument/2006/relationships/hyperlink" Target="imagenes/T_TAHARI_124005517_CHO_1.jpg" TargetMode="External" Id="rId11411"/><Relationship Type="http://schemas.openxmlformats.org/officeDocument/2006/relationships/hyperlink" Target="imagenes/T_TAHARI_124005517_CHO_2.jpg" TargetMode="External" Id="rId11412"/><Relationship Type="http://schemas.openxmlformats.org/officeDocument/2006/relationships/hyperlink" Target="imagenes/T_TAHARI_124005517_CHO_3.jpg" TargetMode="External" Id="rId11413"/><Relationship Type="http://schemas.openxmlformats.org/officeDocument/2006/relationships/hyperlink" Target="imagenes/T_TAHARI_124005517_CHO_1.jpg" TargetMode="External" Id="rId11414"/><Relationship Type="http://schemas.openxmlformats.org/officeDocument/2006/relationships/hyperlink" Target="imagenes/T_TAHARI_124005517_CHO_2.jpg" TargetMode="External" Id="rId11415"/><Relationship Type="http://schemas.openxmlformats.org/officeDocument/2006/relationships/hyperlink" Target="imagenes/T_TAHARI_124005517_CHO_3.jpg" TargetMode="External" Id="rId11416"/><Relationship Type="http://schemas.openxmlformats.org/officeDocument/2006/relationships/hyperlink" Target="imagenes/T_TAHARI_124005518_LPD_1.jpg" TargetMode="External" Id="rId11417"/><Relationship Type="http://schemas.openxmlformats.org/officeDocument/2006/relationships/hyperlink" Target="imagenes/T_TAHARI_124005518_LPD_2.jpg" TargetMode="External" Id="rId11418"/><Relationship Type="http://schemas.openxmlformats.org/officeDocument/2006/relationships/hyperlink" Target="imagenes/T_TAHARI_124005518_LPD_3.jpg" TargetMode="External" Id="rId11419"/><Relationship Type="http://schemas.openxmlformats.org/officeDocument/2006/relationships/hyperlink" Target="imagenes/T_TAHARI_124005518_LPD_1.jpg" TargetMode="External" Id="rId11420"/><Relationship Type="http://schemas.openxmlformats.org/officeDocument/2006/relationships/hyperlink" Target="imagenes/T_TAHARI_124005518_LPD_2.jpg" TargetMode="External" Id="rId11421"/><Relationship Type="http://schemas.openxmlformats.org/officeDocument/2006/relationships/hyperlink" Target="imagenes/T_TAHARI_124005518_LPD_3.jpg" TargetMode="External" Id="rId11422"/><Relationship Type="http://schemas.openxmlformats.org/officeDocument/2006/relationships/hyperlink" Target="imagenes/T_TAHARI_124005518_LPD_1.jpg" TargetMode="External" Id="rId11423"/><Relationship Type="http://schemas.openxmlformats.org/officeDocument/2006/relationships/hyperlink" Target="imagenes/T_TAHARI_124005518_LPD_2.jpg" TargetMode="External" Id="rId11424"/><Relationship Type="http://schemas.openxmlformats.org/officeDocument/2006/relationships/hyperlink" Target="imagenes/T_TAHARI_124005518_LPD_3.jpg" TargetMode="External" Id="rId11425"/><Relationship Type="http://schemas.openxmlformats.org/officeDocument/2006/relationships/hyperlink" Target="imagenes/T_TAHARI_124005518_LPD_1.jpg" TargetMode="External" Id="rId11426"/><Relationship Type="http://schemas.openxmlformats.org/officeDocument/2006/relationships/hyperlink" Target="imagenes/T_TAHARI_124005518_LPD_2.jpg" TargetMode="External" Id="rId11427"/><Relationship Type="http://schemas.openxmlformats.org/officeDocument/2006/relationships/hyperlink" Target="imagenes/T_TAHARI_124005518_LPD_3.jpg" TargetMode="External" Id="rId11428"/><Relationship Type="http://schemas.openxmlformats.org/officeDocument/2006/relationships/hyperlink" Target="imagenes/T_TAHARI_124005794_BLK_1.jpg" TargetMode="External" Id="rId11429"/><Relationship Type="http://schemas.openxmlformats.org/officeDocument/2006/relationships/hyperlink" Target="imagenes/T_TAHARI_124005794_BLK_2.jpg" TargetMode="External" Id="rId11430"/><Relationship Type="http://schemas.openxmlformats.org/officeDocument/2006/relationships/hyperlink" Target="imagenes/T_TAHARI_124005794_BLK_3.jpg" TargetMode="External" Id="rId11431"/><Relationship Type="http://schemas.openxmlformats.org/officeDocument/2006/relationships/hyperlink" Target="imagenes/T_TAHARI_124005794_BLK_1.jpg" TargetMode="External" Id="rId11432"/><Relationship Type="http://schemas.openxmlformats.org/officeDocument/2006/relationships/hyperlink" Target="imagenes/T_TAHARI_124005794_BLK_2.jpg" TargetMode="External" Id="rId11433"/><Relationship Type="http://schemas.openxmlformats.org/officeDocument/2006/relationships/hyperlink" Target="imagenes/T_TAHARI_124005794_BLK_3.jpg" TargetMode="External" Id="rId11434"/><Relationship Type="http://schemas.openxmlformats.org/officeDocument/2006/relationships/hyperlink" Target="imagenes/T_TAHARI_124005794_BLK_1.jpg" TargetMode="External" Id="rId11435"/><Relationship Type="http://schemas.openxmlformats.org/officeDocument/2006/relationships/hyperlink" Target="imagenes/T_TAHARI_124005794_BLK_2.jpg" TargetMode="External" Id="rId11436"/><Relationship Type="http://schemas.openxmlformats.org/officeDocument/2006/relationships/hyperlink" Target="imagenes/T_TAHARI_124005794_BLK_3.jpg" TargetMode="External" Id="rId11437"/><Relationship Type="http://schemas.openxmlformats.org/officeDocument/2006/relationships/hyperlink" Target="imagenes/T_TAHARI_124005794_BLK_1.jpg" TargetMode="External" Id="rId11438"/><Relationship Type="http://schemas.openxmlformats.org/officeDocument/2006/relationships/hyperlink" Target="imagenes/T_TAHARI_124005794_BLK_2.jpg" TargetMode="External" Id="rId11439"/><Relationship Type="http://schemas.openxmlformats.org/officeDocument/2006/relationships/hyperlink" Target="imagenes/T_TAHARI_124005794_BLK_3.jpg" TargetMode="External" Id="rId11440"/><Relationship Type="http://schemas.openxmlformats.org/officeDocument/2006/relationships/hyperlink" Target="imagenes/T_TAHARI_124005794_BLK_1.jpg" TargetMode="External" Id="rId11441"/><Relationship Type="http://schemas.openxmlformats.org/officeDocument/2006/relationships/hyperlink" Target="imagenes/T_TAHARI_124005794_BLK_2.jpg" TargetMode="External" Id="rId11442"/><Relationship Type="http://schemas.openxmlformats.org/officeDocument/2006/relationships/hyperlink" Target="imagenes/T_TAHARI_124005794_BLK_3.jpg" TargetMode="External" Id="rId11443"/><Relationship Type="http://schemas.openxmlformats.org/officeDocument/2006/relationships/hyperlink" Target="imagenes/T_TAHARI_124005794_BLK_1.jpg" TargetMode="External" Id="rId11444"/><Relationship Type="http://schemas.openxmlformats.org/officeDocument/2006/relationships/hyperlink" Target="imagenes/T_TAHARI_124005794_BLK_2.jpg" TargetMode="External" Id="rId11445"/><Relationship Type="http://schemas.openxmlformats.org/officeDocument/2006/relationships/hyperlink" Target="imagenes/T_TAHARI_124005794_BLK_3.jpg" TargetMode="External" Id="rId11446"/><Relationship Type="http://schemas.openxmlformats.org/officeDocument/2006/relationships/hyperlink" Target="imagenes/T_TAHARI_124005794_BLK_1.jpg" TargetMode="External" Id="rId11447"/><Relationship Type="http://schemas.openxmlformats.org/officeDocument/2006/relationships/hyperlink" Target="imagenes/T_TAHARI_124005794_BLK_2.jpg" TargetMode="External" Id="rId11448"/><Relationship Type="http://schemas.openxmlformats.org/officeDocument/2006/relationships/hyperlink" Target="imagenes/T_TAHARI_124005794_BLK_3.jpg" TargetMode="External" Id="rId11449"/><Relationship Type="http://schemas.openxmlformats.org/officeDocument/2006/relationships/hyperlink" Target="imagenes/T_TAHARI_124005794_BLK_1.jpg" TargetMode="External" Id="rId11450"/><Relationship Type="http://schemas.openxmlformats.org/officeDocument/2006/relationships/hyperlink" Target="imagenes/T_TAHARI_124005794_BLK_2.jpg" TargetMode="External" Id="rId11451"/><Relationship Type="http://schemas.openxmlformats.org/officeDocument/2006/relationships/hyperlink" Target="imagenes/T_TAHARI_124005794_BLK_3.jpg" TargetMode="External" Id="rId11452"/><Relationship Type="http://schemas.openxmlformats.org/officeDocument/2006/relationships/hyperlink" Target="imagenes/T_TAHARI_124005794_BLK_1.jpg" TargetMode="External" Id="rId11453"/><Relationship Type="http://schemas.openxmlformats.org/officeDocument/2006/relationships/hyperlink" Target="imagenes/T_TAHARI_124005794_BLK_2.jpg" TargetMode="External" Id="rId11454"/><Relationship Type="http://schemas.openxmlformats.org/officeDocument/2006/relationships/hyperlink" Target="imagenes/T_TAHARI_124005794_BLK_3.jpg" TargetMode="External" Id="rId11455"/><Relationship Type="http://schemas.openxmlformats.org/officeDocument/2006/relationships/hyperlink" Target="imagenes/T_TAHARI_124005794_BLK_1.jpg" TargetMode="External" Id="rId11456"/><Relationship Type="http://schemas.openxmlformats.org/officeDocument/2006/relationships/hyperlink" Target="imagenes/T_TAHARI_124005794_BLK_2.jpg" TargetMode="External" Id="rId11457"/><Relationship Type="http://schemas.openxmlformats.org/officeDocument/2006/relationships/hyperlink" Target="imagenes/T_TAHARI_124005794_BLK_3.jpg" TargetMode="External" Id="rId11458"/><Relationship Type="http://schemas.openxmlformats.org/officeDocument/2006/relationships/hyperlink" Target="imagenes/T_TAHARI_124005794_CAM_1.jpg" TargetMode="External" Id="rId11459"/><Relationship Type="http://schemas.openxmlformats.org/officeDocument/2006/relationships/hyperlink" Target="imagenes/T_TAHARI_124005794_CAM_2.jpg" TargetMode="External" Id="rId11460"/><Relationship Type="http://schemas.openxmlformats.org/officeDocument/2006/relationships/hyperlink" Target="imagenes/T_TAHARI_124005794_CAM_3.jpg" TargetMode="External" Id="rId11461"/><Relationship Type="http://schemas.openxmlformats.org/officeDocument/2006/relationships/hyperlink" Target="imagenes/T_TAHARI_124005794_CAM_1.jpg" TargetMode="External" Id="rId11462"/><Relationship Type="http://schemas.openxmlformats.org/officeDocument/2006/relationships/hyperlink" Target="imagenes/T_TAHARI_124005794_CAM_2.jpg" TargetMode="External" Id="rId11463"/><Relationship Type="http://schemas.openxmlformats.org/officeDocument/2006/relationships/hyperlink" Target="imagenes/T_TAHARI_124005794_CAM_3.jpg" TargetMode="External" Id="rId11464"/><Relationship Type="http://schemas.openxmlformats.org/officeDocument/2006/relationships/hyperlink" Target="imagenes/T_TAHARI_124005794_CAM_1.jpg" TargetMode="External" Id="rId11465"/><Relationship Type="http://schemas.openxmlformats.org/officeDocument/2006/relationships/hyperlink" Target="imagenes/T_TAHARI_124005794_CAM_2.jpg" TargetMode="External" Id="rId11466"/><Relationship Type="http://schemas.openxmlformats.org/officeDocument/2006/relationships/hyperlink" Target="imagenes/T_TAHARI_124005794_CAM_3.jpg" TargetMode="External" Id="rId11467"/><Relationship Type="http://schemas.openxmlformats.org/officeDocument/2006/relationships/hyperlink" Target="imagenes/T_TAHARI_124005794_CAM_1.jpg" TargetMode="External" Id="rId11468"/><Relationship Type="http://schemas.openxmlformats.org/officeDocument/2006/relationships/hyperlink" Target="imagenes/T_TAHARI_124005794_CAM_2.jpg" TargetMode="External" Id="rId11469"/><Relationship Type="http://schemas.openxmlformats.org/officeDocument/2006/relationships/hyperlink" Target="imagenes/T_TAHARI_124005794_CAM_3.jpg" TargetMode="External" Id="rId11470"/><Relationship Type="http://schemas.openxmlformats.org/officeDocument/2006/relationships/hyperlink" Target="imagenes/T_TAHARI_124005794_CAM_1.jpg" TargetMode="External" Id="rId11471"/><Relationship Type="http://schemas.openxmlformats.org/officeDocument/2006/relationships/hyperlink" Target="imagenes/T_TAHARI_124005794_CAM_2.jpg" TargetMode="External" Id="rId11472"/><Relationship Type="http://schemas.openxmlformats.org/officeDocument/2006/relationships/hyperlink" Target="imagenes/T_TAHARI_124005794_CAM_3.jpg" TargetMode="External" Id="rId11473"/><Relationship Type="http://schemas.openxmlformats.org/officeDocument/2006/relationships/hyperlink" Target="imagenes/T_TAHARI_124005794_CAM_1.jpg" TargetMode="External" Id="rId11474"/><Relationship Type="http://schemas.openxmlformats.org/officeDocument/2006/relationships/hyperlink" Target="imagenes/T_TAHARI_124005794_CAM_2.jpg" TargetMode="External" Id="rId11475"/><Relationship Type="http://schemas.openxmlformats.org/officeDocument/2006/relationships/hyperlink" Target="imagenes/T_TAHARI_124005794_CAM_3.jpg" TargetMode="External" Id="rId11476"/><Relationship Type="http://schemas.openxmlformats.org/officeDocument/2006/relationships/hyperlink" Target="imagenes/T_TAHARI_124005794_CAM_1.jpg" TargetMode="External" Id="rId11477"/><Relationship Type="http://schemas.openxmlformats.org/officeDocument/2006/relationships/hyperlink" Target="imagenes/T_TAHARI_124005794_CAM_2.jpg" TargetMode="External" Id="rId11478"/><Relationship Type="http://schemas.openxmlformats.org/officeDocument/2006/relationships/hyperlink" Target="imagenes/T_TAHARI_124005794_CAM_3.jpg" TargetMode="External" Id="rId11479"/><Relationship Type="http://schemas.openxmlformats.org/officeDocument/2006/relationships/hyperlink" Target="imagenes/T_TAHARI_124005794_CAM_1.jpg" TargetMode="External" Id="rId11480"/><Relationship Type="http://schemas.openxmlformats.org/officeDocument/2006/relationships/hyperlink" Target="imagenes/T_TAHARI_124005794_CAM_2.jpg" TargetMode="External" Id="rId11481"/><Relationship Type="http://schemas.openxmlformats.org/officeDocument/2006/relationships/hyperlink" Target="imagenes/T_TAHARI_124005794_CAM_3.jpg" TargetMode="External" Id="rId11482"/><Relationship Type="http://schemas.openxmlformats.org/officeDocument/2006/relationships/hyperlink" Target="imagenes/T_TAHARI_124005794_CAM_1.jpg" TargetMode="External" Id="rId11483"/><Relationship Type="http://schemas.openxmlformats.org/officeDocument/2006/relationships/hyperlink" Target="imagenes/T_TAHARI_124005794_CAM_2.jpg" TargetMode="External" Id="rId11484"/><Relationship Type="http://schemas.openxmlformats.org/officeDocument/2006/relationships/hyperlink" Target="imagenes/T_TAHARI_124005794_CAM_3.jpg" TargetMode="External" Id="rId11485"/><Relationship Type="http://schemas.openxmlformats.org/officeDocument/2006/relationships/hyperlink" Target="imagenes/T_TAHARI_124005794_CAM_1.jpg" TargetMode="External" Id="rId11486"/><Relationship Type="http://schemas.openxmlformats.org/officeDocument/2006/relationships/hyperlink" Target="imagenes/T_TAHARI_124005794_CAM_2.jpg" TargetMode="External" Id="rId11487"/><Relationship Type="http://schemas.openxmlformats.org/officeDocument/2006/relationships/hyperlink" Target="imagenes/T_TAHARI_124005794_CAM_3.jpg" TargetMode="External" Id="rId11488"/><Relationship Type="http://schemas.openxmlformats.org/officeDocument/2006/relationships/hyperlink" Target="imagenes/T_TAHARI_124005794_CAM_1.jpg" TargetMode="External" Id="rId11489"/><Relationship Type="http://schemas.openxmlformats.org/officeDocument/2006/relationships/hyperlink" Target="imagenes/T_TAHARI_124005794_CAM_2.jpg" TargetMode="External" Id="rId11490"/><Relationship Type="http://schemas.openxmlformats.org/officeDocument/2006/relationships/hyperlink" Target="imagenes/T_TAHARI_124005794_CAM_3.jpg" TargetMode="External" Id="rId11491"/><Relationship Type="http://schemas.openxmlformats.org/officeDocument/2006/relationships/hyperlink" Target="imagenes/T_TAHARI_124005794_CAM_1.jpg" TargetMode="External" Id="rId11492"/><Relationship Type="http://schemas.openxmlformats.org/officeDocument/2006/relationships/hyperlink" Target="imagenes/T_TAHARI_124005794_CAM_2.jpg" TargetMode="External" Id="rId11493"/><Relationship Type="http://schemas.openxmlformats.org/officeDocument/2006/relationships/hyperlink" Target="imagenes/T_TAHARI_124005794_CAM_3.jpg" TargetMode="External" Id="rId11494"/><Relationship Type="http://schemas.openxmlformats.org/officeDocument/2006/relationships/hyperlink" Target="imagenes/T_TAHARI_124005795_BW0_1.jpg" TargetMode="External" Id="rId11495"/><Relationship Type="http://schemas.openxmlformats.org/officeDocument/2006/relationships/hyperlink" Target="imagenes/T_TAHARI_124005795_BW0_2.jpg" TargetMode="External" Id="rId11496"/><Relationship Type="http://schemas.openxmlformats.org/officeDocument/2006/relationships/hyperlink" Target="imagenes/T_TAHARI_124005795_BW0_3.jpg" TargetMode="External" Id="rId11497"/><Relationship Type="http://schemas.openxmlformats.org/officeDocument/2006/relationships/hyperlink" Target="imagenes/T_TAHARI_124005795_BW0_1.jpg" TargetMode="External" Id="rId11498"/><Relationship Type="http://schemas.openxmlformats.org/officeDocument/2006/relationships/hyperlink" Target="imagenes/T_TAHARI_124005795_BW0_2.jpg" TargetMode="External" Id="rId11499"/><Relationship Type="http://schemas.openxmlformats.org/officeDocument/2006/relationships/hyperlink" Target="imagenes/T_TAHARI_124005795_BW0_3.jpg" TargetMode="External" Id="rId11500"/><Relationship Type="http://schemas.openxmlformats.org/officeDocument/2006/relationships/hyperlink" Target="imagenes/T_TAHARI_124005795_BW0_1.jpg" TargetMode="External" Id="rId11501"/><Relationship Type="http://schemas.openxmlformats.org/officeDocument/2006/relationships/hyperlink" Target="imagenes/T_TAHARI_124005795_BW0_2.jpg" TargetMode="External" Id="rId11502"/><Relationship Type="http://schemas.openxmlformats.org/officeDocument/2006/relationships/hyperlink" Target="imagenes/T_TAHARI_124005795_BW0_3.jpg" TargetMode="External" Id="rId11503"/><Relationship Type="http://schemas.openxmlformats.org/officeDocument/2006/relationships/hyperlink" Target="imagenes/T_TAHARI_124005795_BW0_1.jpg" TargetMode="External" Id="rId11504"/><Relationship Type="http://schemas.openxmlformats.org/officeDocument/2006/relationships/hyperlink" Target="imagenes/T_TAHARI_124005795_BW0_2.jpg" TargetMode="External" Id="rId11505"/><Relationship Type="http://schemas.openxmlformats.org/officeDocument/2006/relationships/hyperlink" Target="imagenes/T_TAHARI_124005795_BW0_3.jpg" TargetMode="External" Id="rId11506"/><Relationship Type="http://schemas.openxmlformats.org/officeDocument/2006/relationships/hyperlink" Target="imagenes/T_TAHARI_124005795_BW0_1.jpg" TargetMode="External" Id="rId11507"/><Relationship Type="http://schemas.openxmlformats.org/officeDocument/2006/relationships/hyperlink" Target="imagenes/T_TAHARI_124005795_BW0_2.jpg" TargetMode="External" Id="rId11508"/><Relationship Type="http://schemas.openxmlformats.org/officeDocument/2006/relationships/hyperlink" Target="imagenes/T_TAHARI_124005795_BW0_3.jpg" TargetMode="External" Id="rId11509"/><Relationship Type="http://schemas.openxmlformats.org/officeDocument/2006/relationships/hyperlink" Target="imagenes/T_TAHARI_124005795_BW0_1.jpg" TargetMode="External" Id="rId11510"/><Relationship Type="http://schemas.openxmlformats.org/officeDocument/2006/relationships/hyperlink" Target="imagenes/T_TAHARI_124005795_BW0_2.jpg" TargetMode="External" Id="rId11511"/><Relationship Type="http://schemas.openxmlformats.org/officeDocument/2006/relationships/hyperlink" Target="imagenes/T_TAHARI_124005795_BW0_3.jpg" TargetMode="External" Id="rId11512"/><Relationship Type="http://schemas.openxmlformats.org/officeDocument/2006/relationships/hyperlink" Target="imagenes/T_TAHARI_124005795_BW0_1.jpg" TargetMode="External" Id="rId11513"/><Relationship Type="http://schemas.openxmlformats.org/officeDocument/2006/relationships/hyperlink" Target="imagenes/T_TAHARI_124005795_BW0_2.jpg" TargetMode="External" Id="rId11514"/><Relationship Type="http://schemas.openxmlformats.org/officeDocument/2006/relationships/hyperlink" Target="imagenes/T_TAHARI_124005795_BW0_3.jpg" TargetMode="External" Id="rId11515"/><Relationship Type="http://schemas.openxmlformats.org/officeDocument/2006/relationships/hyperlink" Target="imagenes/T_TAHARI_124005796_BLK_1.jpg" TargetMode="External" Id="rId11516"/><Relationship Type="http://schemas.openxmlformats.org/officeDocument/2006/relationships/hyperlink" Target="imagenes/T_TAHARI_124005796_BLK_2.jpg" TargetMode="External" Id="rId11517"/><Relationship Type="http://schemas.openxmlformats.org/officeDocument/2006/relationships/hyperlink" Target="imagenes/T_TAHARI_124005796_BLK_3.jpg" TargetMode="External" Id="rId11518"/><Relationship Type="http://schemas.openxmlformats.org/officeDocument/2006/relationships/hyperlink" Target="imagenes/T_TAHARI_124005796_BLK_1.jpg" TargetMode="External" Id="rId11519"/><Relationship Type="http://schemas.openxmlformats.org/officeDocument/2006/relationships/hyperlink" Target="imagenes/T_TAHARI_124005796_BLK_2.jpg" TargetMode="External" Id="rId11520"/><Relationship Type="http://schemas.openxmlformats.org/officeDocument/2006/relationships/hyperlink" Target="imagenes/T_TAHARI_124005796_BLK_3.jpg" TargetMode="External" Id="rId11521"/><Relationship Type="http://schemas.openxmlformats.org/officeDocument/2006/relationships/hyperlink" Target="imagenes/T_TAHARI_124005796_BLK_1.jpg" TargetMode="External" Id="rId11522"/><Relationship Type="http://schemas.openxmlformats.org/officeDocument/2006/relationships/hyperlink" Target="imagenes/T_TAHARI_124005796_BLK_2.jpg" TargetMode="External" Id="rId11523"/><Relationship Type="http://schemas.openxmlformats.org/officeDocument/2006/relationships/hyperlink" Target="imagenes/T_TAHARI_124005796_BLK_3.jpg" TargetMode="External" Id="rId11524"/><Relationship Type="http://schemas.openxmlformats.org/officeDocument/2006/relationships/hyperlink" Target="imagenes/T_TAHARI_124005796_BLK_1.jpg" TargetMode="External" Id="rId11525"/><Relationship Type="http://schemas.openxmlformats.org/officeDocument/2006/relationships/hyperlink" Target="imagenes/T_TAHARI_124005796_BLK_2.jpg" TargetMode="External" Id="rId11526"/><Relationship Type="http://schemas.openxmlformats.org/officeDocument/2006/relationships/hyperlink" Target="imagenes/T_TAHARI_124005796_BLK_3.jpg" TargetMode="External" Id="rId11527"/><Relationship Type="http://schemas.openxmlformats.org/officeDocument/2006/relationships/hyperlink" Target="imagenes/T_TAHARI_124005796_BLK_1.jpg" TargetMode="External" Id="rId11528"/><Relationship Type="http://schemas.openxmlformats.org/officeDocument/2006/relationships/hyperlink" Target="imagenes/T_TAHARI_124005796_BLK_2.jpg" TargetMode="External" Id="rId11529"/><Relationship Type="http://schemas.openxmlformats.org/officeDocument/2006/relationships/hyperlink" Target="imagenes/T_TAHARI_124005796_BLK_3.jpg" TargetMode="External" Id="rId11530"/><Relationship Type="http://schemas.openxmlformats.org/officeDocument/2006/relationships/hyperlink" Target="imagenes/T_TAHARI_124005796_BLK_1.jpg" TargetMode="External" Id="rId11531"/><Relationship Type="http://schemas.openxmlformats.org/officeDocument/2006/relationships/hyperlink" Target="imagenes/T_TAHARI_124005796_BLK_2.jpg" TargetMode="External" Id="rId11532"/><Relationship Type="http://schemas.openxmlformats.org/officeDocument/2006/relationships/hyperlink" Target="imagenes/T_TAHARI_124005796_BLK_3.jpg" TargetMode="External" Id="rId11533"/><Relationship Type="http://schemas.openxmlformats.org/officeDocument/2006/relationships/hyperlink" Target="imagenes/T_TAHARI_124005796_BLK_1.jpg" TargetMode="External" Id="rId11534"/><Relationship Type="http://schemas.openxmlformats.org/officeDocument/2006/relationships/hyperlink" Target="imagenes/T_TAHARI_124005796_BLK_2.jpg" TargetMode="External" Id="rId11535"/><Relationship Type="http://schemas.openxmlformats.org/officeDocument/2006/relationships/hyperlink" Target="imagenes/T_TAHARI_124005796_BLK_3.jpg" TargetMode="External" Id="rId11536"/><Relationship Type="http://schemas.openxmlformats.org/officeDocument/2006/relationships/hyperlink" Target="imagenes/T_TAHARI_124005796_BLK_1.jpg" TargetMode="External" Id="rId11537"/><Relationship Type="http://schemas.openxmlformats.org/officeDocument/2006/relationships/hyperlink" Target="imagenes/T_TAHARI_124005796_BLK_2.jpg" TargetMode="External" Id="rId11538"/><Relationship Type="http://schemas.openxmlformats.org/officeDocument/2006/relationships/hyperlink" Target="imagenes/T_TAHARI_124005796_BLK_3.jpg" TargetMode="External" Id="rId11539"/><Relationship Type="http://schemas.openxmlformats.org/officeDocument/2006/relationships/hyperlink" Target="imagenes/T_TAHARI_124005796_BLK_1.jpg" TargetMode="External" Id="rId11540"/><Relationship Type="http://schemas.openxmlformats.org/officeDocument/2006/relationships/hyperlink" Target="imagenes/T_TAHARI_124005796_BLK_2.jpg" TargetMode="External" Id="rId11541"/><Relationship Type="http://schemas.openxmlformats.org/officeDocument/2006/relationships/hyperlink" Target="imagenes/T_TAHARI_124005796_BLK_3.jpg" TargetMode="External" Id="rId11542"/><Relationship Type="http://schemas.openxmlformats.org/officeDocument/2006/relationships/hyperlink" Target="imagenes/T_TAHARI_124005796_BLK_1.jpg" TargetMode="External" Id="rId11543"/><Relationship Type="http://schemas.openxmlformats.org/officeDocument/2006/relationships/hyperlink" Target="imagenes/T_TAHARI_124005796_BLK_2.jpg" TargetMode="External" Id="rId11544"/><Relationship Type="http://schemas.openxmlformats.org/officeDocument/2006/relationships/hyperlink" Target="imagenes/T_TAHARI_124005796_BLK_3.jpg" TargetMode="External" Id="rId11545"/><Relationship Type="http://schemas.openxmlformats.org/officeDocument/2006/relationships/hyperlink" Target="imagenes/T_TAHARI_124005796_NVY_1.jpg" TargetMode="External" Id="rId11546"/><Relationship Type="http://schemas.openxmlformats.org/officeDocument/2006/relationships/hyperlink" Target="imagenes/T_TAHARI_124005796_NVY_2.jpg" TargetMode="External" Id="rId11547"/><Relationship Type="http://schemas.openxmlformats.org/officeDocument/2006/relationships/hyperlink" Target="imagenes/T_TAHARI_124005796_NVY_3.jpg" TargetMode="External" Id="rId11548"/><Relationship Type="http://schemas.openxmlformats.org/officeDocument/2006/relationships/hyperlink" Target="imagenes/T_TAHARI_124005796_NVY_1.jpg" TargetMode="External" Id="rId11549"/><Relationship Type="http://schemas.openxmlformats.org/officeDocument/2006/relationships/hyperlink" Target="imagenes/T_TAHARI_124005796_NVY_2.jpg" TargetMode="External" Id="rId11550"/><Relationship Type="http://schemas.openxmlformats.org/officeDocument/2006/relationships/hyperlink" Target="imagenes/T_TAHARI_124005796_NVY_3.jpg" TargetMode="External" Id="rId11551"/><Relationship Type="http://schemas.openxmlformats.org/officeDocument/2006/relationships/hyperlink" Target="imagenes/T_TAHARI_124005796_NVY_1.jpg" TargetMode="External" Id="rId11552"/><Relationship Type="http://schemas.openxmlformats.org/officeDocument/2006/relationships/hyperlink" Target="imagenes/T_TAHARI_124005796_NVY_2.jpg" TargetMode="External" Id="rId11553"/><Relationship Type="http://schemas.openxmlformats.org/officeDocument/2006/relationships/hyperlink" Target="imagenes/T_TAHARI_124005796_NVY_3.jpg" TargetMode="External" Id="rId11554"/><Relationship Type="http://schemas.openxmlformats.org/officeDocument/2006/relationships/hyperlink" Target="imagenes/T_TAHARI_124005796_NVY_1.jpg" TargetMode="External" Id="rId11555"/><Relationship Type="http://schemas.openxmlformats.org/officeDocument/2006/relationships/hyperlink" Target="imagenes/T_TAHARI_124005796_NVY_2.jpg" TargetMode="External" Id="rId11556"/><Relationship Type="http://schemas.openxmlformats.org/officeDocument/2006/relationships/hyperlink" Target="imagenes/T_TAHARI_124005796_NVY_3.jpg" TargetMode="External" Id="rId11557"/><Relationship Type="http://schemas.openxmlformats.org/officeDocument/2006/relationships/hyperlink" Target="imagenes/T_TAHARI_124005796_NVY_1.jpg" TargetMode="External" Id="rId11558"/><Relationship Type="http://schemas.openxmlformats.org/officeDocument/2006/relationships/hyperlink" Target="imagenes/T_TAHARI_124005796_NVY_2.jpg" TargetMode="External" Id="rId11559"/><Relationship Type="http://schemas.openxmlformats.org/officeDocument/2006/relationships/hyperlink" Target="imagenes/T_TAHARI_124005796_NVY_3.jpg" TargetMode="External" Id="rId11560"/><Relationship Type="http://schemas.openxmlformats.org/officeDocument/2006/relationships/hyperlink" Target="imagenes/T_TAHARI_124005796_NVY_1.jpg" TargetMode="External" Id="rId11561"/><Relationship Type="http://schemas.openxmlformats.org/officeDocument/2006/relationships/hyperlink" Target="imagenes/T_TAHARI_124005796_NVY_2.jpg" TargetMode="External" Id="rId11562"/><Relationship Type="http://schemas.openxmlformats.org/officeDocument/2006/relationships/hyperlink" Target="imagenes/T_TAHARI_124005796_NVY_3.jpg" TargetMode="External" Id="rId11563"/><Relationship Type="http://schemas.openxmlformats.org/officeDocument/2006/relationships/hyperlink" Target="imagenes/T_TAHARI_124005796_NVY_1.jpg" TargetMode="External" Id="rId11564"/><Relationship Type="http://schemas.openxmlformats.org/officeDocument/2006/relationships/hyperlink" Target="imagenes/T_TAHARI_124005796_NVY_2.jpg" TargetMode="External" Id="rId11565"/><Relationship Type="http://schemas.openxmlformats.org/officeDocument/2006/relationships/hyperlink" Target="imagenes/T_TAHARI_124005796_NVY_3.jpg" TargetMode="External" Id="rId11566"/><Relationship Type="http://schemas.openxmlformats.org/officeDocument/2006/relationships/hyperlink" Target="imagenes/T_TAHARI_124005796_NVY_1.jpg" TargetMode="External" Id="rId11567"/><Relationship Type="http://schemas.openxmlformats.org/officeDocument/2006/relationships/hyperlink" Target="imagenes/T_TAHARI_124005796_NVY_2.jpg" TargetMode="External" Id="rId11568"/><Relationship Type="http://schemas.openxmlformats.org/officeDocument/2006/relationships/hyperlink" Target="imagenes/T_TAHARI_124005796_NVY_3.jpg" TargetMode="External" Id="rId11569"/><Relationship Type="http://schemas.openxmlformats.org/officeDocument/2006/relationships/hyperlink" Target="imagenes/T_TAHARI_124005796_NVY_1.jpg" TargetMode="External" Id="rId11570"/><Relationship Type="http://schemas.openxmlformats.org/officeDocument/2006/relationships/hyperlink" Target="imagenes/T_TAHARI_124005796_NVY_2.jpg" TargetMode="External" Id="rId11571"/><Relationship Type="http://schemas.openxmlformats.org/officeDocument/2006/relationships/hyperlink" Target="imagenes/T_TAHARI_124005796_NVY_3.jpg" TargetMode="External" Id="rId11572"/><Relationship Type="http://schemas.openxmlformats.org/officeDocument/2006/relationships/hyperlink" Target="imagenes/T_TAHARI_124005796_NVY_1.jpg" TargetMode="External" Id="rId11573"/><Relationship Type="http://schemas.openxmlformats.org/officeDocument/2006/relationships/hyperlink" Target="imagenes/T_TAHARI_124005796_NVY_2.jpg" TargetMode="External" Id="rId11574"/><Relationship Type="http://schemas.openxmlformats.org/officeDocument/2006/relationships/hyperlink" Target="imagenes/T_TAHARI_124005796_NVY_3.jpg" TargetMode="External" Id="rId11575"/><Relationship Type="http://schemas.openxmlformats.org/officeDocument/2006/relationships/hyperlink" Target="imagenes/T_TAHARI_124005796_NVY_1.jpg" TargetMode="External" Id="rId11576"/><Relationship Type="http://schemas.openxmlformats.org/officeDocument/2006/relationships/hyperlink" Target="imagenes/T_TAHARI_124005796_NVY_2.jpg" TargetMode="External" Id="rId11577"/><Relationship Type="http://schemas.openxmlformats.org/officeDocument/2006/relationships/hyperlink" Target="imagenes/T_TAHARI_124005796_NVY_3.jpg" TargetMode="External" Id="rId11578"/><Relationship Type="http://schemas.openxmlformats.org/officeDocument/2006/relationships/hyperlink" Target="imagenes/T_TAHARI_124005796_NVY_1.jpg" TargetMode="External" Id="rId11579"/><Relationship Type="http://schemas.openxmlformats.org/officeDocument/2006/relationships/hyperlink" Target="imagenes/T_TAHARI_124005796_NVY_2.jpg" TargetMode="External" Id="rId11580"/><Relationship Type="http://schemas.openxmlformats.org/officeDocument/2006/relationships/hyperlink" Target="imagenes/T_TAHARI_124005796_NVY_3.jpg" TargetMode="External" Id="rId11581"/><Relationship Type="http://schemas.openxmlformats.org/officeDocument/2006/relationships/hyperlink" Target="imagenes/T_TAHARI_124005798_BLK_1.jpg" TargetMode="External" Id="rId11582"/><Relationship Type="http://schemas.openxmlformats.org/officeDocument/2006/relationships/hyperlink" Target="imagenes/T_TAHARI_124005798_BLK_2.jpg" TargetMode="External" Id="rId11583"/><Relationship Type="http://schemas.openxmlformats.org/officeDocument/2006/relationships/hyperlink" Target="imagenes/T_TAHARI_124005798_BLK_3.jpg" TargetMode="External" Id="rId11584"/><Relationship Type="http://schemas.openxmlformats.org/officeDocument/2006/relationships/hyperlink" Target="imagenes/T_TAHARI_124005798_BLK_1.jpg" TargetMode="External" Id="rId11585"/><Relationship Type="http://schemas.openxmlformats.org/officeDocument/2006/relationships/hyperlink" Target="imagenes/T_TAHARI_124005798_BLK_2.jpg" TargetMode="External" Id="rId11586"/><Relationship Type="http://schemas.openxmlformats.org/officeDocument/2006/relationships/hyperlink" Target="imagenes/T_TAHARI_124005798_BLK_3.jpg" TargetMode="External" Id="rId11587"/><Relationship Type="http://schemas.openxmlformats.org/officeDocument/2006/relationships/hyperlink" Target="imagenes/T_TAHARI_124005798_BLK_1.jpg" TargetMode="External" Id="rId11588"/><Relationship Type="http://schemas.openxmlformats.org/officeDocument/2006/relationships/hyperlink" Target="imagenes/T_TAHARI_124005798_BLK_2.jpg" TargetMode="External" Id="rId11589"/><Relationship Type="http://schemas.openxmlformats.org/officeDocument/2006/relationships/hyperlink" Target="imagenes/T_TAHARI_124005798_BLK_3.jpg" TargetMode="External" Id="rId11590"/><Relationship Type="http://schemas.openxmlformats.org/officeDocument/2006/relationships/hyperlink" Target="imagenes/T_TAHARI_124005798_BLK_1.jpg" TargetMode="External" Id="rId11591"/><Relationship Type="http://schemas.openxmlformats.org/officeDocument/2006/relationships/hyperlink" Target="imagenes/T_TAHARI_124005798_BLK_2.jpg" TargetMode="External" Id="rId11592"/><Relationship Type="http://schemas.openxmlformats.org/officeDocument/2006/relationships/hyperlink" Target="imagenes/T_TAHARI_124005798_BLK_3.jpg" TargetMode="External" Id="rId11593"/><Relationship Type="http://schemas.openxmlformats.org/officeDocument/2006/relationships/hyperlink" Target="imagenes/T_TAHARI_124005798_BLK_1.jpg" TargetMode="External" Id="rId11594"/><Relationship Type="http://schemas.openxmlformats.org/officeDocument/2006/relationships/hyperlink" Target="imagenes/T_TAHARI_124005798_BLK_2.jpg" TargetMode="External" Id="rId11595"/><Relationship Type="http://schemas.openxmlformats.org/officeDocument/2006/relationships/hyperlink" Target="imagenes/T_TAHARI_124005798_BLK_3.jpg" TargetMode="External" Id="rId11596"/><Relationship Type="http://schemas.openxmlformats.org/officeDocument/2006/relationships/hyperlink" Target="imagenes/T_TAHARI_124005798_BLK_1.jpg" TargetMode="External" Id="rId11597"/><Relationship Type="http://schemas.openxmlformats.org/officeDocument/2006/relationships/hyperlink" Target="imagenes/T_TAHARI_124005798_BLK_2.jpg" TargetMode="External" Id="rId11598"/><Relationship Type="http://schemas.openxmlformats.org/officeDocument/2006/relationships/hyperlink" Target="imagenes/T_TAHARI_124005798_BLK_3.jpg" TargetMode="External" Id="rId11599"/><Relationship Type="http://schemas.openxmlformats.org/officeDocument/2006/relationships/hyperlink" Target="imagenes/T_TAHARI_124005798_BLK_1.jpg" TargetMode="External" Id="rId11600"/><Relationship Type="http://schemas.openxmlformats.org/officeDocument/2006/relationships/hyperlink" Target="imagenes/T_TAHARI_124005798_BLK_2.jpg" TargetMode="External" Id="rId11601"/><Relationship Type="http://schemas.openxmlformats.org/officeDocument/2006/relationships/hyperlink" Target="imagenes/T_TAHARI_124005798_BLK_3.jpg" TargetMode="External" Id="rId11602"/><Relationship Type="http://schemas.openxmlformats.org/officeDocument/2006/relationships/hyperlink" Target="imagenes/T_TAHARI_124005798_CHOCO_1.jpg" TargetMode="External" Id="rId11603"/><Relationship Type="http://schemas.openxmlformats.org/officeDocument/2006/relationships/hyperlink" Target="imagenes/T_TAHARI_124005798_CHOCO_2.jpg" TargetMode="External" Id="rId11604"/><Relationship Type="http://schemas.openxmlformats.org/officeDocument/2006/relationships/hyperlink" Target="imagenes/T_TAHARI_124005798_CHOCO_3.jpg" TargetMode="External" Id="rId11605"/><Relationship Type="http://schemas.openxmlformats.org/officeDocument/2006/relationships/hyperlink" Target="imagenes/T_TAHARI_124005798_CHOCO_1.jpg" TargetMode="External" Id="rId11606"/><Relationship Type="http://schemas.openxmlformats.org/officeDocument/2006/relationships/hyperlink" Target="imagenes/T_TAHARI_124005798_CHOCO_2.jpg" TargetMode="External" Id="rId11607"/><Relationship Type="http://schemas.openxmlformats.org/officeDocument/2006/relationships/hyperlink" Target="imagenes/T_TAHARI_124005798_CHOCO_3.jpg" TargetMode="External" Id="rId11608"/><Relationship Type="http://schemas.openxmlformats.org/officeDocument/2006/relationships/hyperlink" Target="imagenes/T_TAHARI_124005798_CHOCO_1.jpg" TargetMode="External" Id="rId11609"/><Relationship Type="http://schemas.openxmlformats.org/officeDocument/2006/relationships/hyperlink" Target="imagenes/T_TAHARI_124005798_CHOCO_2.jpg" TargetMode="External" Id="rId11610"/><Relationship Type="http://schemas.openxmlformats.org/officeDocument/2006/relationships/hyperlink" Target="imagenes/T_TAHARI_124005798_CHOCO_3.jpg" TargetMode="External" Id="rId11611"/><Relationship Type="http://schemas.openxmlformats.org/officeDocument/2006/relationships/hyperlink" Target="imagenes/T_TAHARI_124005798_CHOCO_1.jpg" TargetMode="External" Id="rId11612"/><Relationship Type="http://schemas.openxmlformats.org/officeDocument/2006/relationships/hyperlink" Target="imagenes/T_TAHARI_124005798_CHOCO_2.jpg" TargetMode="External" Id="rId11613"/><Relationship Type="http://schemas.openxmlformats.org/officeDocument/2006/relationships/hyperlink" Target="imagenes/T_TAHARI_124005798_CHOCO_3.jpg" TargetMode="External" Id="rId11614"/><Relationship Type="http://schemas.openxmlformats.org/officeDocument/2006/relationships/hyperlink" Target="imagenes/T_TAHARI_124005798_CHOCO_1.jpg" TargetMode="External" Id="rId11615"/><Relationship Type="http://schemas.openxmlformats.org/officeDocument/2006/relationships/hyperlink" Target="imagenes/T_TAHARI_124005798_CHOCO_2.jpg" TargetMode="External" Id="rId11616"/><Relationship Type="http://schemas.openxmlformats.org/officeDocument/2006/relationships/hyperlink" Target="imagenes/T_TAHARI_124005798_CHOCO_3.jpg" TargetMode="External" Id="rId11617"/><Relationship Type="http://schemas.openxmlformats.org/officeDocument/2006/relationships/hyperlink" Target="imagenes/T_TAHARI_124005798_CHOCO_1.jpg" TargetMode="External" Id="rId11618"/><Relationship Type="http://schemas.openxmlformats.org/officeDocument/2006/relationships/hyperlink" Target="imagenes/T_TAHARI_124005798_CHOCO_2.jpg" TargetMode="External" Id="rId11619"/><Relationship Type="http://schemas.openxmlformats.org/officeDocument/2006/relationships/hyperlink" Target="imagenes/T_TAHARI_124005798_CHOCO_3.jpg" TargetMode="External" Id="rId11620"/><Relationship Type="http://schemas.openxmlformats.org/officeDocument/2006/relationships/hyperlink" Target="imagenes/T_TAHARI_124005798_CHOCO_1.jpg" TargetMode="External" Id="rId11621"/><Relationship Type="http://schemas.openxmlformats.org/officeDocument/2006/relationships/hyperlink" Target="imagenes/T_TAHARI_124005798_CHOCO_2.jpg" TargetMode="External" Id="rId11622"/><Relationship Type="http://schemas.openxmlformats.org/officeDocument/2006/relationships/hyperlink" Target="imagenes/T_TAHARI_124005798_CHOCO_3.jpg" TargetMode="External" Id="rId11623"/><Relationship Type="http://schemas.openxmlformats.org/officeDocument/2006/relationships/hyperlink" Target="imagenes/T_TAHARI_124005802_CHO_1.jpg" TargetMode="External" Id="rId11624"/><Relationship Type="http://schemas.openxmlformats.org/officeDocument/2006/relationships/hyperlink" Target="imagenes/T_TAHARI_124005802_CHO_2.jpg" TargetMode="External" Id="rId11625"/><Relationship Type="http://schemas.openxmlformats.org/officeDocument/2006/relationships/hyperlink" Target="imagenes/T_TAHARI_124005802_CHO_3.jpg" TargetMode="External" Id="rId11626"/><Relationship Type="http://schemas.openxmlformats.org/officeDocument/2006/relationships/hyperlink" Target="imagenes/T_TAHARI_124005802_CHO_1.jpg" TargetMode="External" Id="rId11627"/><Relationship Type="http://schemas.openxmlformats.org/officeDocument/2006/relationships/hyperlink" Target="imagenes/T_TAHARI_124005802_CHO_2.jpg" TargetMode="External" Id="rId11628"/><Relationship Type="http://schemas.openxmlformats.org/officeDocument/2006/relationships/hyperlink" Target="imagenes/T_TAHARI_124005802_CHO_3.jpg" TargetMode="External" Id="rId11629"/><Relationship Type="http://schemas.openxmlformats.org/officeDocument/2006/relationships/hyperlink" Target="imagenes/T_TAHARI_124005802_CHO_1.jpg" TargetMode="External" Id="rId11630"/><Relationship Type="http://schemas.openxmlformats.org/officeDocument/2006/relationships/hyperlink" Target="imagenes/T_TAHARI_124005802_CHO_2.jpg" TargetMode="External" Id="rId11631"/><Relationship Type="http://schemas.openxmlformats.org/officeDocument/2006/relationships/hyperlink" Target="imagenes/T_TAHARI_124005802_CHO_3.jpg" TargetMode="External" Id="rId11632"/><Relationship Type="http://schemas.openxmlformats.org/officeDocument/2006/relationships/hyperlink" Target="imagenes/T_TAHARI_124005802_CHO_1.jpg" TargetMode="External" Id="rId11633"/><Relationship Type="http://schemas.openxmlformats.org/officeDocument/2006/relationships/hyperlink" Target="imagenes/T_TAHARI_124005802_CHO_2.jpg" TargetMode="External" Id="rId11634"/><Relationship Type="http://schemas.openxmlformats.org/officeDocument/2006/relationships/hyperlink" Target="imagenes/T_TAHARI_124005802_CHO_3.jpg" TargetMode="External" Id="rId11635"/><Relationship Type="http://schemas.openxmlformats.org/officeDocument/2006/relationships/hyperlink" Target="imagenes/T_TAHARI_124005802_CHO_1.jpg" TargetMode="External" Id="rId11636"/><Relationship Type="http://schemas.openxmlformats.org/officeDocument/2006/relationships/hyperlink" Target="imagenes/T_TAHARI_124005802_CHO_2.jpg" TargetMode="External" Id="rId11637"/><Relationship Type="http://schemas.openxmlformats.org/officeDocument/2006/relationships/hyperlink" Target="imagenes/T_TAHARI_124005802_CHO_3.jpg" TargetMode="External" Id="rId11638"/><Relationship Type="http://schemas.openxmlformats.org/officeDocument/2006/relationships/hyperlink" Target="imagenes/T_TAHARI_124005802_LBE_1.jpg" TargetMode="External" Id="rId11639"/><Relationship Type="http://schemas.openxmlformats.org/officeDocument/2006/relationships/hyperlink" Target="imagenes/T_TAHARI_124005802_LBE_2.jpg" TargetMode="External" Id="rId11640"/><Relationship Type="http://schemas.openxmlformats.org/officeDocument/2006/relationships/hyperlink" Target="imagenes/T_TAHARI_124005802_LBE_3.jpg" TargetMode="External" Id="rId11641"/><Relationship Type="http://schemas.openxmlformats.org/officeDocument/2006/relationships/hyperlink" Target="imagenes/T_TAHARI_124005802_LBE_1.jpg" TargetMode="External" Id="rId11642"/><Relationship Type="http://schemas.openxmlformats.org/officeDocument/2006/relationships/hyperlink" Target="imagenes/T_TAHARI_124005802_LBE_2.jpg" TargetMode="External" Id="rId11643"/><Relationship Type="http://schemas.openxmlformats.org/officeDocument/2006/relationships/hyperlink" Target="imagenes/T_TAHARI_124005802_LBE_3.jpg" TargetMode="External" Id="rId11644"/><Relationship Type="http://schemas.openxmlformats.org/officeDocument/2006/relationships/hyperlink" Target="imagenes/T_TAHARI_124005802_LBE_1.jpg" TargetMode="External" Id="rId11645"/><Relationship Type="http://schemas.openxmlformats.org/officeDocument/2006/relationships/hyperlink" Target="imagenes/T_TAHARI_124005802_LBE_2.jpg" TargetMode="External" Id="rId11646"/><Relationship Type="http://schemas.openxmlformats.org/officeDocument/2006/relationships/hyperlink" Target="imagenes/T_TAHARI_124005802_LBE_3.jpg" TargetMode="External" Id="rId11647"/><Relationship Type="http://schemas.openxmlformats.org/officeDocument/2006/relationships/hyperlink" Target="imagenes/T_TAHARI_124005802_LBE_1.jpg" TargetMode="External" Id="rId11648"/><Relationship Type="http://schemas.openxmlformats.org/officeDocument/2006/relationships/hyperlink" Target="imagenes/T_TAHARI_124005802_LBE_2.jpg" TargetMode="External" Id="rId11649"/><Relationship Type="http://schemas.openxmlformats.org/officeDocument/2006/relationships/hyperlink" Target="imagenes/T_TAHARI_124005802_LBE_3.jpg" TargetMode="External" Id="rId11650"/><Relationship Type="http://schemas.openxmlformats.org/officeDocument/2006/relationships/hyperlink" Target="imagenes/T_TAHARI_124005802_LBE_1.jpg" TargetMode="External" Id="rId11651"/><Relationship Type="http://schemas.openxmlformats.org/officeDocument/2006/relationships/hyperlink" Target="imagenes/T_TAHARI_124005802_LBE_2.jpg" TargetMode="External" Id="rId11652"/><Relationship Type="http://schemas.openxmlformats.org/officeDocument/2006/relationships/hyperlink" Target="imagenes/T_TAHARI_124005802_LBE_3.jpg" TargetMode="External" Id="rId11653"/><Relationship Type="http://schemas.openxmlformats.org/officeDocument/2006/relationships/hyperlink" Target="imagenes/T_TAHARI_124005802_LBE_1.jpg" TargetMode="External" Id="rId11654"/><Relationship Type="http://schemas.openxmlformats.org/officeDocument/2006/relationships/hyperlink" Target="imagenes/T_TAHARI_124005802_LBE_2.jpg" TargetMode="External" Id="rId11655"/><Relationship Type="http://schemas.openxmlformats.org/officeDocument/2006/relationships/hyperlink" Target="imagenes/T_TAHARI_124005802_LBE_3.jpg" TargetMode="External" Id="rId11656"/><Relationship Type="http://schemas.openxmlformats.org/officeDocument/2006/relationships/hyperlink" Target="imagenes/T_TAHARI_124005802_LBE_1.jpg" TargetMode="External" Id="rId11657"/><Relationship Type="http://schemas.openxmlformats.org/officeDocument/2006/relationships/hyperlink" Target="imagenes/T_TAHARI_124005802_LBE_2.jpg" TargetMode="External" Id="rId11658"/><Relationship Type="http://schemas.openxmlformats.org/officeDocument/2006/relationships/hyperlink" Target="imagenes/T_TAHARI_124005802_LBE_3.jpg" TargetMode="External" Id="rId11659"/><Relationship Type="http://schemas.openxmlformats.org/officeDocument/2006/relationships/hyperlink" Target="imagenes/T_TAHARI_124005802_LBE_1.jpg" TargetMode="External" Id="rId11660"/><Relationship Type="http://schemas.openxmlformats.org/officeDocument/2006/relationships/hyperlink" Target="imagenes/T_TAHARI_124005802_LBE_2.jpg" TargetMode="External" Id="rId11661"/><Relationship Type="http://schemas.openxmlformats.org/officeDocument/2006/relationships/hyperlink" Target="imagenes/T_TAHARI_124005802_LBE_3.jpg" TargetMode="External" Id="rId11662"/><Relationship Type="http://schemas.openxmlformats.org/officeDocument/2006/relationships/hyperlink" Target="imagenes/T_TAHARI_124005802_LBE_1.jpg" TargetMode="External" Id="rId11663"/><Relationship Type="http://schemas.openxmlformats.org/officeDocument/2006/relationships/hyperlink" Target="imagenes/T_TAHARI_124005802_LBE_2.jpg" TargetMode="External" Id="rId11664"/><Relationship Type="http://schemas.openxmlformats.org/officeDocument/2006/relationships/hyperlink" Target="imagenes/T_TAHARI_124005802_LBE_3.jpg" TargetMode="External" Id="rId11665"/><Relationship Type="http://schemas.openxmlformats.org/officeDocument/2006/relationships/hyperlink" Target="imagenes/T_TAHARI_124005802_LBE_1.jpg" TargetMode="External" Id="rId11666"/><Relationship Type="http://schemas.openxmlformats.org/officeDocument/2006/relationships/hyperlink" Target="imagenes/T_TAHARI_124005802_LBE_2.jpg" TargetMode="External" Id="rId11667"/><Relationship Type="http://schemas.openxmlformats.org/officeDocument/2006/relationships/hyperlink" Target="imagenes/T_TAHARI_124005802_LBE_3.jpg" TargetMode="External" Id="rId11668"/><Relationship Type="http://schemas.openxmlformats.org/officeDocument/2006/relationships/hyperlink" Target="imagenes/T_TAHARI_124005802_LBE_1.jpg" TargetMode="External" Id="rId11669"/><Relationship Type="http://schemas.openxmlformats.org/officeDocument/2006/relationships/hyperlink" Target="imagenes/T_TAHARI_124005802_LBE_2.jpg" TargetMode="External" Id="rId11670"/><Relationship Type="http://schemas.openxmlformats.org/officeDocument/2006/relationships/hyperlink" Target="imagenes/T_TAHARI_124005802_LBE_3.jpg" TargetMode="External" Id="rId11671"/><Relationship Type="http://schemas.openxmlformats.org/officeDocument/2006/relationships/hyperlink" Target="imagenes/T_TAHARI_124005802_LBE_1.jpg" TargetMode="External" Id="rId11672"/><Relationship Type="http://schemas.openxmlformats.org/officeDocument/2006/relationships/hyperlink" Target="imagenes/T_TAHARI_124005802_LBE_2.jpg" TargetMode="External" Id="rId11673"/><Relationship Type="http://schemas.openxmlformats.org/officeDocument/2006/relationships/hyperlink" Target="imagenes/T_TAHARI_124005802_LBE_3.jpg" TargetMode="External" Id="rId11674"/><Relationship Type="http://schemas.openxmlformats.org/officeDocument/2006/relationships/hyperlink" Target="imagenes/T_TAHARI_124005802_LBE_1.jpg" TargetMode="External" Id="rId11675"/><Relationship Type="http://schemas.openxmlformats.org/officeDocument/2006/relationships/hyperlink" Target="imagenes/T_TAHARI_124005802_LBE_2.jpg" TargetMode="External" Id="rId11676"/><Relationship Type="http://schemas.openxmlformats.org/officeDocument/2006/relationships/hyperlink" Target="imagenes/T_TAHARI_124005802_LBE_3.jpg" TargetMode="External" Id="rId11677"/><Relationship Type="http://schemas.openxmlformats.org/officeDocument/2006/relationships/hyperlink" Target="imagenes/T_TAHARI_124005802_LBE_1.jpg" TargetMode="External" Id="rId11678"/><Relationship Type="http://schemas.openxmlformats.org/officeDocument/2006/relationships/hyperlink" Target="imagenes/T_TAHARI_124005802_LBE_2.jpg" TargetMode="External" Id="rId11679"/><Relationship Type="http://schemas.openxmlformats.org/officeDocument/2006/relationships/hyperlink" Target="imagenes/T_TAHARI_124005802_LBE_3.jpg" TargetMode="External" Id="rId11680"/><Relationship Type="http://schemas.openxmlformats.org/officeDocument/2006/relationships/hyperlink" Target="imagenes/T_TAHARI_124005802_LBE_1.jpg" TargetMode="External" Id="rId11681"/><Relationship Type="http://schemas.openxmlformats.org/officeDocument/2006/relationships/hyperlink" Target="imagenes/T_TAHARI_124005802_LBE_2.jpg" TargetMode="External" Id="rId11682"/><Relationship Type="http://schemas.openxmlformats.org/officeDocument/2006/relationships/hyperlink" Target="imagenes/T_TAHARI_124005802_LBE_3.jpg" TargetMode="External" Id="rId11683"/><Relationship Type="http://schemas.openxmlformats.org/officeDocument/2006/relationships/hyperlink" Target="imagenes/T_TAHARI_124005802_LBE_1.jpg" TargetMode="External" Id="rId11684"/><Relationship Type="http://schemas.openxmlformats.org/officeDocument/2006/relationships/hyperlink" Target="imagenes/T_TAHARI_124005802_LBE_2.jpg" TargetMode="External" Id="rId11685"/><Relationship Type="http://schemas.openxmlformats.org/officeDocument/2006/relationships/hyperlink" Target="imagenes/T_TAHARI_124005802_LBE_3.jpg" TargetMode="External" Id="rId11686"/><Relationship Type="http://schemas.openxmlformats.org/officeDocument/2006/relationships/hyperlink" Target="imagenes/T_TAHARI_124005802_LBE_1.jpg" TargetMode="External" Id="rId11687"/><Relationship Type="http://schemas.openxmlformats.org/officeDocument/2006/relationships/hyperlink" Target="imagenes/T_TAHARI_124005802_LBE_2.jpg" TargetMode="External" Id="rId11688"/><Relationship Type="http://schemas.openxmlformats.org/officeDocument/2006/relationships/hyperlink" Target="imagenes/T_TAHARI_124005802_LBE_3.jpg" TargetMode="External" Id="rId11689"/><Relationship Type="http://schemas.openxmlformats.org/officeDocument/2006/relationships/hyperlink" Target="imagenes/T_TAHARI_124005802_LBE_1.jpg" TargetMode="External" Id="rId11690"/><Relationship Type="http://schemas.openxmlformats.org/officeDocument/2006/relationships/hyperlink" Target="imagenes/T_TAHARI_124005802_LBE_2.jpg" TargetMode="External" Id="rId11691"/><Relationship Type="http://schemas.openxmlformats.org/officeDocument/2006/relationships/hyperlink" Target="imagenes/T_TAHARI_124005802_LBE_3.jpg" TargetMode="External" Id="rId11692"/><Relationship Type="http://schemas.openxmlformats.org/officeDocument/2006/relationships/hyperlink" Target="imagenes/T_TAHARI_124005802_LBE_1.jpg" TargetMode="External" Id="rId11693"/><Relationship Type="http://schemas.openxmlformats.org/officeDocument/2006/relationships/hyperlink" Target="imagenes/T_TAHARI_124005802_LBE_2.jpg" TargetMode="External" Id="rId11694"/><Relationship Type="http://schemas.openxmlformats.org/officeDocument/2006/relationships/hyperlink" Target="imagenes/T_TAHARI_124005802_LBE_3.jpg" TargetMode="External" Id="rId11695"/><Relationship Type="http://schemas.openxmlformats.org/officeDocument/2006/relationships/hyperlink" Target="imagenes/T_TAHARI_124005824_BLK_1.jpg" TargetMode="External" Id="rId11696"/><Relationship Type="http://schemas.openxmlformats.org/officeDocument/2006/relationships/hyperlink" Target="imagenes/T_TAHARI_124005824_BLK_2.jpg" TargetMode="External" Id="rId11697"/><Relationship Type="http://schemas.openxmlformats.org/officeDocument/2006/relationships/hyperlink" Target="imagenes/T_TAHARI_124005824_BLK_3.jpg" TargetMode="External" Id="rId11698"/><Relationship Type="http://schemas.openxmlformats.org/officeDocument/2006/relationships/hyperlink" Target="imagenes/T_TAHARI_124005824_BLK_1.jpg" TargetMode="External" Id="rId11699"/><Relationship Type="http://schemas.openxmlformats.org/officeDocument/2006/relationships/hyperlink" Target="imagenes/T_TAHARI_124005824_BLK_2.jpg" TargetMode="External" Id="rId11700"/><Relationship Type="http://schemas.openxmlformats.org/officeDocument/2006/relationships/hyperlink" Target="imagenes/T_TAHARI_124005824_BLK_3.jpg" TargetMode="External" Id="rId11701"/><Relationship Type="http://schemas.openxmlformats.org/officeDocument/2006/relationships/hyperlink" Target="imagenes/T_TAHARI_124005824_BLK_1.jpg" TargetMode="External" Id="rId11702"/><Relationship Type="http://schemas.openxmlformats.org/officeDocument/2006/relationships/hyperlink" Target="imagenes/T_TAHARI_124005824_BLK_2.jpg" TargetMode="External" Id="rId11703"/><Relationship Type="http://schemas.openxmlformats.org/officeDocument/2006/relationships/hyperlink" Target="imagenes/T_TAHARI_124005824_BLK_3.jpg" TargetMode="External" Id="rId11704"/><Relationship Type="http://schemas.openxmlformats.org/officeDocument/2006/relationships/hyperlink" Target="imagenes/T_TAHARI_124005824_BLK_1.jpg" TargetMode="External" Id="rId11705"/><Relationship Type="http://schemas.openxmlformats.org/officeDocument/2006/relationships/hyperlink" Target="imagenes/T_TAHARI_124005824_BLK_2.jpg" TargetMode="External" Id="rId11706"/><Relationship Type="http://schemas.openxmlformats.org/officeDocument/2006/relationships/hyperlink" Target="imagenes/T_TAHARI_124005824_BLK_3.jpg" TargetMode="External" Id="rId11707"/><Relationship Type="http://schemas.openxmlformats.org/officeDocument/2006/relationships/hyperlink" Target="imagenes/T_TAHARI_124005824_BLK_1.jpg" TargetMode="External" Id="rId11708"/><Relationship Type="http://schemas.openxmlformats.org/officeDocument/2006/relationships/hyperlink" Target="imagenes/T_TAHARI_124005824_BLK_2.jpg" TargetMode="External" Id="rId11709"/><Relationship Type="http://schemas.openxmlformats.org/officeDocument/2006/relationships/hyperlink" Target="imagenes/T_TAHARI_124005824_BLK_3.jpg" TargetMode="External" Id="rId11710"/><Relationship Type="http://schemas.openxmlformats.org/officeDocument/2006/relationships/hyperlink" Target="imagenes/T_TAHARI_124005824_BLK_1.jpg" TargetMode="External" Id="rId11711"/><Relationship Type="http://schemas.openxmlformats.org/officeDocument/2006/relationships/hyperlink" Target="imagenes/T_TAHARI_124005824_BLK_2.jpg" TargetMode="External" Id="rId11712"/><Relationship Type="http://schemas.openxmlformats.org/officeDocument/2006/relationships/hyperlink" Target="imagenes/T_TAHARI_124005824_BLK_3.jpg" TargetMode="External" Id="rId11713"/><Relationship Type="http://schemas.openxmlformats.org/officeDocument/2006/relationships/hyperlink" Target="imagenes/T_TAHARI_124005824_OLI_1.jpg" TargetMode="External" Id="rId11714"/><Relationship Type="http://schemas.openxmlformats.org/officeDocument/2006/relationships/hyperlink" Target="imagenes/T_TAHARI_124005824_OLI_2.jpg" TargetMode="External" Id="rId11715"/><Relationship Type="http://schemas.openxmlformats.org/officeDocument/2006/relationships/hyperlink" Target="imagenes/T_TAHARI_124005824_OLI_3.jpg" TargetMode="External" Id="rId11716"/><Relationship Type="http://schemas.openxmlformats.org/officeDocument/2006/relationships/hyperlink" Target="imagenes/T_TAHARI_124005824_OLI_1.jpg" TargetMode="External" Id="rId11717"/><Relationship Type="http://schemas.openxmlformats.org/officeDocument/2006/relationships/hyperlink" Target="imagenes/T_TAHARI_124005824_OLI_2.jpg" TargetMode="External" Id="rId11718"/><Relationship Type="http://schemas.openxmlformats.org/officeDocument/2006/relationships/hyperlink" Target="imagenes/T_TAHARI_124005824_OLI_3.jpg" TargetMode="External" Id="rId11719"/><Relationship Type="http://schemas.openxmlformats.org/officeDocument/2006/relationships/hyperlink" Target="imagenes/T_TAHARI_124005824_OLI_1.jpg" TargetMode="External" Id="rId11720"/><Relationship Type="http://schemas.openxmlformats.org/officeDocument/2006/relationships/hyperlink" Target="imagenes/T_TAHARI_124005824_OLI_2.jpg" TargetMode="External" Id="rId11721"/><Relationship Type="http://schemas.openxmlformats.org/officeDocument/2006/relationships/hyperlink" Target="imagenes/T_TAHARI_124005824_OLI_3.jpg" TargetMode="External" Id="rId11722"/><Relationship Type="http://schemas.openxmlformats.org/officeDocument/2006/relationships/hyperlink" Target="imagenes/T_TAHARI_124005967_BLK_1.jpg" TargetMode="External" Id="rId11723"/><Relationship Type="http://schemas.openxmlformats.org/officeDocument/2006/relationships/hyperlink" Target="imagenes/T_TAHARI_124005967_BLK_2.jpg" TargetMode="External" Id="rId11724"/><Relationship Type="http://schemas.openxmlformats.org/officeDocument/2006/relationships/hyperlink" Target="imagenes/T_TAHARI_124005967_BLK_3.jpg" TargetMode="External" Id="rId11725"/><Relationship Type="http://schemas.openxmlformats.org/officeDocument/2006/relationships/hyperlink" Target="imagenes/T_TAHARI_124005971_BLK_1.jpg" TargetMode="External" Id="rId11726"/><Relationship Type="http://schemas.openxmlformats.org/officeDocument/2006/relationships/hyperlink" Target="imagenes/T_TAHARI_124005971_BLK_2.jpg" TargetMode="External" Id="rId11727"/><Relationship Type="http://schemas.openxmlformats.org/officeDocument/2006/relationships/hyperlink" Target="imagenes/T_TAHARI_124005971_BLK_3.jpg" TargetMode="External" Id="rId11728"/><Relationship Type="http://schemas.openxmlformats.org/officeDocument/2006/relationships/hyperlink" Target="imagenes/T_TAHARI_124005971_BLK_1.jpg" TargetMode="External" Id="rId11729"/><Relationship Type="http://schemas.openxmlformats.org/officeDocument/2006/relationships/hyperlink" Target="imagenes/T_TAHARI_124005971_BLK_2.jpg" TargetMode="External" Id="rId11730"/><Relationship Type="http://schemas.openxmlformats.org/officeDocument/2006/relationships/hyperlink" Target="imagenes/T_TAHARI_124005971_BLK_3.jpg" TargetMode="External" Id="rId11731"/><Relationship Type="http://schemas.openxmlformats.org/officeDocument/2006/relationships/hyperlink" Target="imagenes/T_TAHARI_124005971_BLK_1.jpg" TargetMode="External" Id="rId11732"/><Relationship Type="http://schemas.openxmlformats.org/officeDocument/2006/relationships/hyperlink" Target="imagenes/T_TAHARI_124005971_BLK_2.jpg" TargetMode="External" Id="rId11733"/><Relationship Type="http://schemas.openxmlformats.org/officeDocument/2006/relationships/hyperlink" Target="imagenes/T_TAHARI_124005971_BLK_3.jpg" TargetMode="External" Id="rId11734"/><Relationship Type="http://schemas.openxmlformats.org/officeDocument/2006/relationships/hyperlink" Target="imagenes/T_TAHARI_124005971_BLK_1.jpg" TargetMode="External" Id="rId11735"/><Relationship Type="http://schemas.openxmlformats.org/officeDocument/2006/relationships/hyperlink" Target="imagenes/T_TAHARI_124005971_BLK_2.jpg" TargetMode="External" Id="rId11736"/><Relationship Type="http://schemas.openxmlformats.org/officeDocument/2006/relationships/hyperlink" Target="imagenes/T_TAHARI_124005971_BLK_3.jpg" TargetMode="External" Id="rId11737"/><Relationship Type="http://schemas.openxmlformats.org/officeDocument/2006/relationships/hyperlink" Target="imagenes/T_TAHARI_124005971_BLK_1.jpg" TargetMode="External" Id="rId11738"/><Relationship Type="http://schemas.openxmlformats.org/officeDocument/2006/relationships/hyperlink" Target="imagenes/T_TAHARI_124005971_BLK_2.jpg" TargetMode="External" Id="rId11739"/><Relationship Type="http://schemas.openxmlformats.org/officeDocument/2006/relationships/hyperlink" Target="imagenes/T_TAHARI_124005971_BLK_3.jpg" TargetMode="External" Id="rId11740"/><Relationship Type="http://schemas.openxmlformats.org/officeDocument/2006/relationships/hyperlink" Target="imagenes/T_TAHARI_124005971_FST_1.jpg" TargetMode="External" Id="rId11741"/><Relationship Type="http://schemas.openxmlformats.org/officeDocument/2006/relationships/hyperlink" Target="imagenes/T_TAHARI_124005971_FST_1.jpg" TargetMode="External" Id="rId11742"/><Relationship Type="http://schemas.openxmlformats.org/officeDocument/2006/relationships/hyperlink" Target="imagenes/T_TAHARI_124005971_FST_1.jpg" TargetMode="External" Id="rId11743"/><Relationship Type="http://schemas.openxmlformats.org/officeDocument/2006/relationships/hyperlink" Target="imagenes/T_TAHARI_124005971_FST_1.jpg" TargetMode="External" Id="rId11744"/><Relationship Type="http://schemas.openxmlformats.org/officeDocument/2006/relationships/hyperlink" Target="imagenes/T_TAHARI_124005971_FST_1.jpg" TargetMode="External" Id="rId11745"/><Relationship Type="http://schemas.openxmlformats.org/officeDocument/2006/relationships/hyperlink" Target="imagenes/T_TAHARI_124005971_GXY_1.jpg" TargetMode="External" Id="rId11746"/><Relationship Type="http://schemas.openxmlformats.org/officeDocument/2006/relationships/hyperlink" Target="imagenes/T_TAHARI_124005971_GXY_2.jpg" TargetMode="External" Id="rId11747"/><Relationship Type="http://schemas.openxmlformats.org/officeDocument/2006/relationships/hyperlink" Target="imagenes/T_TAHARI_124005971_GXY_3.jpg" TargetMode="External" Id="rId11748"/><Relationship Type="http://schemas.openxmlformats.org/officeDocument/2006/relationships/hyperlink" Target="imagenes/T_TAHARI_124005971_GXY_1.jpg" TargetMode="External" Id="rId11749"/><Relationship Type="http://schemas.openxmlformats.org/officeDocument/2006/relationships/hyperlink" Target="imagenes/T_TAHARI_124005971_GXY_2.jpg" TargetMode="External" Id="rId11750"/><Relationship Type="http://schemas.openxmlformats.org/officeDocument/2006/relationships/hyperlink" Target="imagenes/T_TAHARI_124005971_GXY_3.jpg" TargetMode="External" Id="rId11751"/><Relationship Type="http://schemas.openxmlformats.org/officeDocument/2006/relationships/hyperlink" Target="imagenes/T_TAHARI_124005971_GXY_1.jpg" TargetMode="External" Id="rId11752"/><Relationship Type="http://schemas.openxmlformats.org/officeDocument/2006/relationships/hyperlink" Target="imagenes/T_TAHARI_124005971_GXY_2.jpg" TargetMode="External" Id="rId11753"/><Relationship Type="http://schemas.openxmlformats.org/officeDocument/2006/relationships/hyperlink" Target="imagenes/T_TAHARI_124005971_GXY_3.jpg" TargetMode="External" Id="rId11754"/><Relationship Type="http://schemas.openxmlformats.org/officeDocument/2006/relationships/hyperlink" Target="imagenes/T_TAHARI_124005971_GXY_1.jpg" TargetMode="External" Id="rId11755"/><Relationship Type="http://schemas.openxmlformats.org/officeDocument/2006/relationships/hyperlink" Target="imagenes/T_TAHARI_124005971_GXY_2.jpg" TargetMode="External" Id="rId11756"/><Relationship Type="http://schemas.openxmlformats.org/officeDocument/2006/relationships/hyperlink" Target="imagenes/T_TAHARI_124005971_GXY_3.jpg" TargetMode="External" Id="rId11757"/><Relationship Type="http://schemas.openxmlformats.org/officeDocument/2006/relationships/hyperlink" Target="imagenes/T_TAHARI_124005971_GXY_1.jpg" TargetMode="External" Id="rId11758"/><Relationship Type="http://schemas.openxmlformats.org/officeDocument/2006/relationships/hyperlink" Target="imagenes/T_TAHARI_124005971_GXY_2.jpg" TargetMode="External" Id="rId11759"/><Relationship Type="http://schemas.openxmlformats.org/officeDocument/2006/relationships/hyperlink" Target="imagenes/T_TAHARI_124005971_GXY_3.jpg" TargetMode="External" Id="rId11760"/><Relationship Type="http://schemas.openxmlformats.org/officeDocument/2006/relationships/hyperlink" Target="imagenes/T_TAHARI_124005971_MOT_1.jpg" TargetMode="External" Id="rId11761"/><Relationship Type="http://schemas.openxmlformats.org/officeDocument/2006/relationships/hyperlink" Target="imagenes/T_TAHARI_124005971_MOT_2.jpg" TargetMode="External" Id="rId11762"/><Relationship Type="http://schemas.openxmlformats.org/officeDocument/2006/relationships/hyperlink" Target="imagenes/T_TAHARI_124005971_MOT_3.jpg" TargetMode="External" Id="rId11763"/><Relationship Type="http://schemas.openxmlformats.org/officeDocument/2006/relationships/hyperlink" Target="imagenes/T_TAHARI_124005971_MOT_1.jpg" TargetMode="External" Id="rId11764"/><Relationship Type="http://schemas.openxmlformats.org/officeDocument/2006/relationships/hyperlink" Target="imagenes/T_TAHARI_124005971_MOT_2.jpg" TargetMode="External" Id="rId11765"/><Relationship Type="http://schemas.openxmlformats.org/officeDocument/2006/relationships/hyperlink" Target="imagenes/T_TAHARI_124005971_MOT_3.jpg" TargetMode="External" Id="rId11766"/><Relationship Type="http://schemas.openxmlformats.org/officeDocument/2006/relationships/hyperlink" Target="imagenes/T_TAHARI_124005971_MOT_1.jpg" TargetMode="External" Id="rId11767"/><Relationship Type="http://schemas.openxmlformats.org/officeDocument/2006/relationships/hyperlink" Target="imagenes/T_TAHARI_124005971_MOT_2.jpg" TargetMode="External" Id="rId11768"/><Relationship Type="http://schemas.openxmlformats.org/officeDocument/2006/relationships/hyperlink" Target="imagenes/T_TAHARI_124005971_MOT_3.jpg" TargetMode="External" Id="rId11769"/><Relationship Type="http://schemas.openxmlformats.org/officeDocument/2006/relationships/hyperlink" Target="imagenes/T_TAHARI_124005971_MOT_1.jpg" TargetMode="External" Id="rId11770"/><Relationship Type="http://schemas.openxmlformats.org/officeDocument/2006/relationships/hyperlink" Target="imagenes/T_TAHARI_124005971_MOT_2.jpg" TargetMode="External" Id="rId11771"/><Relationship Type="http://schemas.openxmlformats.org/officeDocument/2006/relationships/hyperlink" Target="imagenes/T_TAHARI_124005971_MOT_3.jpg" TargetMode="External" Id="rId11772"/><Relationship Type="http://schemas.openxmlformats.org/officeDocument/2006/relationships/hyperlink" Target="imagenes/T_TAHARI_124005971_MOT_1.jpg" TargetMode="External" Id="rId11773"/><Relationship Type="http://schemas.openxmlformats.org/officeDocument/2006/relationships/hyperlink" Target="imagenes/T_TAHARI_124005971_MOT_2.jpg" TargetMode="External" Id="rId11774"/><Relationship Type="http://schemas.openxmlformats.org/officeDocument/2006/relationships/hyperlink" Target="imagenes/T_TAHARI_124005971_MOT_3.jpg" TargetMode="External" Id="rId11775"/><Relationship Type="http://schemas.openxmlformats.org/officeDocument/2006/relationships/hyperlink" Target="imagenes/T_TAHARI_124005971_MOT_1.jpg" TargetMode="External" Id="rId11776"/><Relationship Type="http://schemas.openxmlformats.org/officeDocument/2006/relationships/hyperlink" Target="imagenes/T_TAHARI_124005971_MOT_2.jpg" TargetMode="External" Id="rId11777"/><Relationship Type="http://schemas.openxmlformats.org/officeDocument/2006/relationships/hyperlink" Target="imagenes/T_TAHARI_124005971_MOT_3.jpg" TargetMode="External" Id="rId11778"/><Relationship Type="http://schemas.openxmlformats.org/officeDocument/2006/relationships/hyperlink" Target="imagenes/T_TAHARI_124005971_MOT_1.jpg" TargetMode="External" Id="rId11779"/><Relationship Type="http://schemas.openxmlformats.org/officeDocument/2006/relationships/hyperlink" Target="imagenes/T_TAHARI_124005971_MOT_2.jpg" TargetMode="External" Id="rId11780"/><Relationship Type="http://schemas.openxmlformats.org/officeDocument/2006/relationships/hyperlink" Target="imagenes/T_TAHARI_124005971_MOT_3.jpg" TargetMode="External" Id="rId11781"/><Relationship Type="http://schemas.openxmlformats.org/officeDocument/2006/relationships/hyperlink" Target="imagenes/T_TAHARI_124005971_PA4_2.jpg" TargetMode="External" Id="rId11782"/><Relationship Type="http://schemas.openxmlformats.org/officeDocument/2006/relationships/hyperlink" Target="imagenes/T_TAHARI_124005971_PA4_3.jpg" TargetMode="External" Id="rId11783"/><Relationship Type="http://schemas.openxmlformats.org/officeDocument/2006/relationships/hyperlink" Target="imagenes/T_TAHARI_124005971_PA4_2.jpg" TargetMode="External" Id="rId11784"/><Relationship Type="http://schemas.openxmlformats.org/officeDocument/2006/relationships/hyperlink" Target="imagenes/T_TAHARI_124005971_PA4_3.jpg" TargetMode="External" Id="rId11785"/><Relationship Type="http://schemas.openxmlformats.org/officeDocument/2006/relationships/hyperlink" Target="imagenes/T_TAHARI_124005971_PA4_2.jpg" TargetMode="External" Id="rId11786"/><Relationship Type="http://schemas.openxmlformats.org/officeDocument/2006/relationships/hyperlink" Target="imagenes/T_TAHARI_124005971_PA4_3.jpg" TargetMode="External" Id="rId11787"/><Relationship Type="http://schemas.openxmlformats.org/officeDocument/2006/relationships/hyperlink" Target="imagenes/T_TAHARI_124005971_PA4_2.jpg" TargetMode="External" Id="rId11788"/><Relationship Type="http://schemas.openxmlformats.org/officeDocument/2006/relationships/hyperlink" Target="imagenes/T_TAHARI_124005971_PA4_3.jpg" TargetMode="External" Id="rId11789"/><Relationship Type="http://schemas.openxmlformats.org/officeDocument/2006/relationships/hyperlink" Target="imagenes/T_TAHARI_124005971_PA4_2.jpg" TargetMode="External" Id="rId11790"/><Relationship Type="http://schemas.openxmlformats.org/officeDocument/2006/relationships/hyperlink" Target="imagenes/T_TAHARI_124005971_PA4_3.jpg" TargetMode="External" Id="rId11791"/><Relationship Type="http://schemas.openxmlformats.org/officeDocument/2006/relationships/hyperlink" Target="imagenes/T_TAHARI_124005971_PLM_1.jpg" TargetMode="External" Id="rId11792"/><Relationship Type="http://schemas.openxmlformats.org/officeDocument/2006/relationships/hyperlink" Target="imagenes/T_TAHARI_124005971_PLM_2.jpg" TargetMode="External" Id="rId11793"/><Relationship Type="http://schemas.openxmlformats.org/officeDocument/2006/relationships/hyperlink" Target="imagenes/T_TAHARI_124005971_PLM_3.jpg" TargetMode="External" Id="rId11794"/><Relationship Type="http://schemas.openxmlformats.org/officeDocument/2006/relationships/hyperlink" Target="imagenes/T_TAHARI_124005971_PLM_1.jpg" TargetMode="External" Id="rId11795"/><Relationship Type="http://schemas.openxmlformats.org/officeDocument/2006/relationships/hyperlink" Target="imagenes/T_TAHARI_124005971_PLM_2.jpg" TargetMode="External" Id="rId11796"/><Relationship Type="http://schemas.openxmlformats.org/officeDocument/2006/relationships/hyperlink" Target="imagenes/T_TAHARI_124005971_PLM_3.jpg" TargetMode="External" Id="rId11797"/><Relationship Type="http://schemas.openxmlformats.org/officeDocument/2006/relationships/hyperlink" Target="imagenes/T_TAHARI_124005971_PLM_1.jpg" TargetMode="External" Id="rId11798"/><Relationship Type="http://schemas.openxmlformats.org/officeDocument/2006/relationships/hyperlink" Target="imagenes/T_TAHARI_124005971_PLM_2.jpg" TargetMode="External" Id="rId11799"/><Relationship Type="http://schemas.openxmlformats.org/officeDocument/2006/relationships/hyperlink" Target="imagenes/T_TAHARI_124005971_PLM_3.jpg" TargetMode="External" Id="rId11800"/><Relationship Type="http://schemas.openxmlformats.org/officeDocument/2006/relationships/hyperlink" Target="imagenes/T_TAHARI_124005971_PLM_1.jpg" TargetMode="External" Id="rId11801"/><Relationship Type="http://schemas.openxmlformats.org/officeDocument/2006/relationships/hyperlink" Target="imagenes/T_TAHARI_124005971_PLM_2.jpg" TargetMode="External" Id="rId11802"/><Relationship Type="http://schemas.openxmlformats.org/officeDocument/2006/relationships/hyperlink" Target="imagenes/T_TAHARI_124005971_PLM_3.jpg" TargetMode="External" Id="rId11803"/><Relationship Type="http://schemas.openxmlformats.org/officeDocument/2006/relationships/hyperlink" Target="imagenes/T_TAHARI_124005971_PLM_1.jpg" TargetMode="External" Id="rId11804"/><Relationship Type="http://schemas.openxmlformats.org/officeDocument/2006/relationships/hyperlink" Target="imagenes/T_TAHARI_124005971_PLM_2.jpg" TargetMode="External" Id="rId11805"/><Relationship Type="http://schemas.openxmlformats.org/officeDocument/2006/relationships/hyperlink" Target="imagenes/T_TAHARI_124005971_PLM_3.jpg" TargetMode="External" Id="rId11806"/><Relationship Type="http://schemas.openxmlformats.org/officeDocument/2006/relationships/hyperlink" Target="imagenes/T_TAHARI_124005971_PWL_1.jpg" TargetMode="External" Id="rId11807"/><Relationship Type="http://schemas.openxmlformats.org/officeDocument/2006/relationships/hyperlink" Target="imagenes/T_TAHARI_124005971_PWL_2.jpg" TargetMode="External" Id="rId11808"/><Relationship Type="http://schemas.openxmlformats.org/officeDocument/2006/relationships/hyperlink" Target="imagenes/T_TAHARI_124005971_PWL_3.jpg" TargetMode="External" Id="rId11809"/><Relationship Type="http://schemas.openxmlformats.org/officeDocument/2006/relationships/hyperlink" Target="imagenes/T_TAHARI_124005971_PWL_1.jpg" TargetMode="External" Id="rId11810"/><Relationship Type="http://schemas.openxmlformats.org/officeDocument/2006/relationships/hyperlink" Target="imagenes/T_TAHARI_124005971_PWL_2.jpg" TargetMode="External" Id="rId11811"/><Relationship Type="http://schemas.openxmlformats.org/officeDocument/2006/relationships/hyperlink" Target="imagenes/T_TAHARI_124005971_PWL_3.jpg" TargetMode="External" Id="rId11812"/><Relationship Type="http://schemas.openxmlformats.org/officeDocument/2006/relationships/hyperlink" Target="imagenes/T_TAHARI_124005971_PWL_1.jpg" TargetMode="External" Id="rId11813"/><Relationship Type="http://schemas.openxmlformats.org/officeDocument/2006/relationships/hyperlink" Target="imagenes/T_TAHARI_124005971_PWL_2.jpg" TargetMode="External" Id="rId11814"/><Relationship Type="http://schemas.openxmlformats.org/officeDocument/2006/relationships/hyperlink" Target="imagenes/T_TAHARI_124005971_PWL_3.jpg" TargetMode="External" Id="rId11815"/><Relationship Type="http://schemas.openxmlformats.org/officeDocument/2006/relationships/hyperlink" Target="imagenes/T_TAHARI_124005972_BLK_1.jpg" TargetMode="External" Id="rId11816"/><Relationship Type="http://schemas.openxmlformats.org/officeDocument/2006/relationships/hyperlink" Target="imagenes/T_TAHARI_124005972_BLK_2.jpg" TargetMode="External" Id="rId11817"/><Relationship Type="http://schemas.openxmlformats.org/officeDocument/2006/relationships/hyperlink" Target="imagenes/T_TAHARI_124005972_BLK_3.jpg" TargetMode="External" Id="rId11818"/><Relationship Type="http://schemas.openxmlformats.org/officeDocument/2006/relationships/hyperlink" Target="imagenes/T_TAHARI_124005972_BLK_1.jpg" TargetMode="External" Id="rId11819"/><Relationship Type="http://schemas.openxmlformats.org/officeDocument/2006/relationships/hyperlink" Target="imagenes/T_TAHARI_124005972_BLK_2.jpg" TargetMode="External" Id="rId11820"/><Relationship Type="http://schemas.openxmlformats.org/officeDocument/2006/relationships/hyperlink" Target="imagenes/T_TAHARI_124005972_BLK_3.jpg" TargetMode="External" Id="rId11821"/><Relationship Type="http://schemas.openxmlformats.org/officeDocument/2006/relationships/hyperlink" Target="imagenes/T_TAHARI_124005972_BLK_1.jpg" TargetMode="External" Id="rId11822"/><Relationship Type="http://schemas.openxmlformats.org/officeDocument/2006/relationships/hyperlink" Target="imagenes/T_TAHARI_124005972_BLK_2.jpg" TargetMode="External" Id="rId11823"/><Relationship Type="http://schemas.openxmlformats.org/officeDocument/2006/relationships/hyperlink" Target="imagenes/T_TAHARI_124005972_BLK_3.jpg" TargetMode="External" Id="rId11824"/><Relationship Type="http://schemas.openxmlformats.org/officeDocument/2006/relationships/hyperlink" Target="imagenes/T_TAHARI_124005972_BLK_1.jpg" TargetMode="External" Id="rId11825"/><Relationship Type="http://schemas.openxmlformats.org/officeDocument/2006/relationships/hyperlink" Target="imagenes/T_TAHARI_124005972_BLK_2.jpg" TargetMode="External" Id="rId11826"/><Relationship Type="http://schemas.openxmlformats.org/officeDocument/2006/relationships/hyperlink" Target="imagenes/T_TAHARI_124005972_BLK_3.jpg" TargetMode="External" Id="rId11827"/><Relationship Type="http://schemas.openxmlformats.org/officeDocument/2006/relationships/hyperlink" Target="imagenes/T_TAHARI_124005972_BLK_1.jpg" TargetMode="External" Id="rId11828"/><Relationship Type="http://schemas.openxmlformats.org/officeDocument/2006/relationships/hyperlink" Target="imagenes/T_TAHARI_124005972_BLK_2.jpg" TargetMode="External" Id="rId11829"/><Relationship Type="http://schemas.openxmlformats.org/officeDocument/2006/relationships/hyperlink" Target="imagenes/T_TAHARI_124005972_BLK_3.jpg" TargetMode="External" Id="rId11830"/><Relationship Type="http://schemas.openxmlformats.org/officeDocument/2006/relationships/hyperlink" Target="imagenes/T_TAHARI_124005972_BLK_1.jpg" TargetMode="External" Id="rId11831"/><Relationship Type="http://schemas.openxmlformats.org/officeDocument/2006/relationships/hyperlink" Target="imagenes/T_TAHARI_124005972_BLK_2.jpg" TargetMode="External" Id="rId11832"/><Relationship Type="http://schemas.openxmlformats.org/officeDocument/2006/relationships/hyperlink" Target="imagenes/T_TAHARI_124005972_BLK_3.jpg" TargetMode="External" Id="rId11833"/><Relationship Type="http://schemas.openxmlformats.org/officeDocument/2006/relationships/hyperlink" Target="imagenes/T_TAHARI_124005972_BLK_1.jpg" TargetMode="External" Id="rId11834"/><Relationship Type="http://schemas.openxmlformats.org/officeDocument/2006/relationships/hyperlink" Target="imagenes/T_TAHARI_124005972_BLK_2.jpg" TargetMode="External" Id="rId11835"/><Relationship Type="http://schemas.openxmlformats.org/officeDocument/2006/relationships/hyperlink" Target="imagenes/T_TAHARI_124005972_BLK_3.jpg" TargetMode="External" Id="rId11836"/><Relationship Type="http://schemas.openxmlformats.org/officeDocument/2006/relationships/hyperlink" Target="imagenes/T_TAHARI_124005972_BLK_1.jpg" TargetMode="External" Id="rId11837"/><Relationship Type="http://schemas.openxmlformats.org/officeDocument/2006/relationships/hyperlink" Target="imagenes/T_TAHARI_124005972_BLK_2.jpg" TargetMode="External" Id="rId11838"/><Relationship Type="http://schemas.openxmlformats.org/officeDocument/2006/relationships/hyperlink" Target="imagenes/T_TAHARI_124005972_BLK_3.jpg" TargetMode="External" Id="rId11839"/><Relationship Type="http://schemas.openxmlformats.org/officeDocument/2006/relationships/hyperlink" Target="imagenes/T_TAHARI_124005972_BLK_1.jpg" TargetMode="External" Id="rId11840"/><Relationship Type="http://schemas.openxmlformats.org/officeDocument/2006/relationships/hyperlink" Target="imagenes/T_TAHARI_124005972_BLK_2.jpg" TargetMode="External" Id="rId11841"/><Relationship Type="http://schemas.openxmlformats.org/officeDocument/2006/relationships/hyperlink" Target="imagenes/T_TAHARI_124005972_BLK_3.jpg" TargetMode="External" Id="rId11842"/><Relationship Type="http://schemas.openxmlformats.org/officeDocument/2006/relationships/hyperlink" Target="imagenes/T_TAHARI_124005972_BLK_1.jpg" TargetMode="External" Id="rId11843"/><Relationship Type="http://schemas.openxmlformats.org/officeDocument/2006/relationships/hyperlink" Target="imagenes/T_TAHARI_124005972_BLK_2.jpg" TargetMode="External" Id="rId11844"/><Relationship Type="http://schemas.openxmlformats.org/officeDocument/2006/relationships/hyperlink" Target="imagenes/T_TAHARI_124005972_BLK_3.jpg" TargetMode="External" Id="rId11845"/><Relationship Type="http://schemas.openxmlformats.org/officeDocument/2006/relationships/hyperlink" Target="imagenes/T_TAHARI_124005972_MOT_1.jpg" TargetMode="External" Id="rId11846"/><Relationship Type="http://schemas.openxmlformats.org/officeDocument/2006/relationships/hyperlink" Target="imagenes/T_TAHARI_124005972_MOT_2.jpg" TargetMode="External" Id="rId11847"/><Relationship Type="http://schemas.openxmlformats.org/officeDocument/2006/relationships/hyperlink" Target="imagenes/T_TAHARI_124005972_MOT_3.jpg" TargetMode="External" Id="rId11848"/><Relationship Type="http://schemas.openxmlformats.org/officeDocument/2006/relationships/hyperlink" Target="imagenes/T_TAHARI_124005972_MOT_1.jpg" TargetMode="External" Id="rId11849"/><Relationship Type="http://schemas.openxmlformats.org/officeDocument/2006/relationships/hyperlink" Target="imagenes/T_TAHARI_124005972_MOT_2.jpg" TargetMode="External" Id="rId11850"/><Relationship Type="http://schemas.openxmlformats.org/officeDocument/2006/relationships/hyperlink" Target="imagenes/T_TAHARI_124005972_MOT_3.jpg" TargetMode="External" Id="rId11851"/><Relationship Type="http://schemas.openxmlformats.org/officeDocument/2006/relationships/hyperlink" Target="imagenes/T_TAHARI_124005972_MOT_1.jpg" TargetMode="External" Id="rId11852"/><Relationship Type="http://schemas.openxmlformats.org/officeDocument/2006/relationships/hyperlink" Target="imagenes/T_TAHARI_124005972_MOT_2.jpg" TargetMode="External" Id="rId11853"/><Relationship Type="http://schemas.openxmlformats.org/officeDocument/2006/relationships/hyperlink" Target="imagenes/T_TAHARI_124005972_MOT_3.jpg" TargetMode="External" Id="rId11854"/><Relationship Type="http://schemas.openxmlformats.org/officeDocument/2006/relationships/hyperlink" Target="imagenes/T_TAHARI_124005972_MOT_1.jpg" TargetMode="External" Id="rId11855"/><Relationship Type="http://schemas.openxmlformats.org/officeDocument/2006/relationships/hyperlink" Target="imagenes/T_TAHARI_124005972_MOT_2.jpg" TargetMode="External" Id="rId11856"/><Relationship Type="http://schemas.openxmlformats.org/officeDocument/2006/relationships/hyperlink" Target="imagenes/T_TAHARI_124005972_MOT_3.jpg" TargetMode="External" Id="rId11857"/><Relationship Type="http://schemas.openxmlformats.org/officeDocument/2006/relationships/hyperlink" Target="imagenes/T_TAHARI_124005972_MOT_1.jpg" TargetMode="External" Id="rId11858"/><Relationship Type="http://schemas.openxmlformats.org/officeDocument/2006/relationships/hyperlink" Target="imagenes/T_TAHARI_124005972_MOT_2.jpg" TargetMode="External" Id="rId11859"/><Relationship Type="http://schemas.openxmlformats.org/officeDocument/2006/relationships/hyperlink" Target="imagenes/T_TAHARI_124005972_MOT_3.jpg" TargetMode="External" Id="rId11860"/><Relationship Type="http://schemas.openxmlformats.org/officeDocument/2006/relationships/hyperlink" Target="imagenes/T_TAHARI_124005972_MOT_1.jpg" TargetMode="External" Id="rId11861"/><Relationship Type="http://schemas.openxmlformats.org/officeDocument/2006/relationships/hyperlink" Target="imagenes/T_TAHARI_124005972_MOT_2.jpg" TargetMode="External" Id="rId11862"/><Relationship Type="http://schemas.openxmlformats.org/officeDocument/2006/relationships/hyperlink" Target="imagenes/T_TAHARI_124005972_MOT_3.jpg" TargetMode="External" Id="rId11863"/><Relationship Type="http://schemas.openxmlformats.org/officeDocument/2006/relationships/hyperlink" Target="imagenes/T_TAHARI_124005972_MOT_1.jpg" TargetMode="External" Id="rId11864"/><Relationship Type="http://schemas.openxmlformats.org/officeDocument/2006/relationships/hyperlink" Target="imagenes/T_TAHARI_124005972_MOT_2.jpg" TargetMode="External" Id="rId11865"/><Relationship Type="http://schemas.openxmlformats.org/officeDocument/2006/relationships/hyperlink" Target="imagenes/T_TAHARI_124005972_MOT_3.jpg" TargetMode="External" Id="rId11866"/><Relationship Type="http://schemas.openxmlformats.org/officeDocument/2006/relationships/hyperlink" Target="imagenes/T_TAHARI_124005972_MOT_1.jpg" TargetMode="External" Id="rId11867"/><Relationship Type="http://schemas.openxmlformats.org/officeDocument/2006/relationships/hyperlink" Target="imagenes/T_TAHARI_124005972_MOT_2.jpg" TargetMode="External" Id="rId11868"/><Relationship Type="http://schemas.openxmlformats.org/officeDocument/2006/relationships/hyperlink" Target="imagenes/T_TAHARI_124005972_MOT_3.jpg" TargetMode="External" Id="rId11869"/><Relationship Type="http://schemas.openxmlformats.org/officeDocument/2006/relationships/hyperlink" Target="imagenes/T_TAHARI_124005972_MOT_1.jpg" TargetMode="External" Id="rId11870"/><Relationship Type="http://schemas.openxmlformats.org/officeDocument/2006/relationships/hyperlink" Target="imagenes/T_TAHARI_124005972_MOT_2.jpg" TargetMode="External" Id="rId11871"/><Relationship Type="http://schemas.openxmlformats.org/officeDocument/2006/relationships/hyperlink" Target="imagenes/T_TAHARI_124005972_MOT_3.jpg" TargetMode="External" Id="rId11872"/><Relationship Type="http://schemas.openxmlformats.org/officeDocument/2006/relationships/hyperlink" Target="imagenes/T_TAHARI_124005972_MOT_1.jpg" TargetMode="External" Id="rId11873"/><Relationship Type="http://schemas.openxmlformats.org/officeDocument/2006/relationships/hyperlink" Target="imagenes/T_TAHARI_124005972_MOT_2.jpg" TargetMode="External" Id="rId11874"/><Relationship Type="http://schemas.openxmlformats.org/officeDocument/2006/relationships/hyperlink" Target="imagenes/T_TAHARI_124005972_MOT_3.jpg" TargetMode="External" Id="rId11875"/><Relationship Type="http://schemas.openxmlformats.org/officeDocument/2006/relationships/hyperlink" Target="imagenes/T_TAHARI_124005972_NVY_1.jpg" TargetMode="External" Id="rId11876"/><Relationship Type="http://schemas.openxmlformats.org/officeDocument/2006/relationships/hyperlink" Target="imagenes/T_TAHARI_124005972_NVY_2.jpg" TargetMode="External" Id="rId11877"/><Relationship Type="http://schemas.openxmlformats.org/officeDocument/2006/relationships/hyperlink" Target="imagenes/T_TAHARI_124005972_NVY_3.jpg" TargetMode="External" Id="rId11878"/><Relationship Type="http://schemas.openxmlformats.org/officeDocument/2006/relationships/hyperlink" Target="imagenes/T_TAHARI_124005972_NVY_1.jpg" TargetMode="External" Id="rId11879"/><Relationship Type="http://schemas.openxmlformats.org/officeDocument/2006/relationships/hyperlink" Target="imagenes/T_TAHARI_124005972_NVY_2.jpg" TargetMode="External" Id="rId11880"/><Relationship Type="http://schemas.openxmlformats.org/officeDocument/2006/relationships/hyperlink" Target="imagenes/T_TAHARI_124005972_NVY_3.jpg" TargetMode="External" Id="rId11881"/><Relationship Type="http://schemas.openxmlformats.org/officeDocument/2006/relationships/hyperlink" Target="imagenes/T_TAHARI_124005972_NVY_1.jpg" TargetMode="External" Id="rId11882"/><Relationship Type="http://schemas.openxmlformats.org/officeDocument/2006/relationships/hyperlink" Target="imagenes/T_TAHARI_124005972_NVY_2.jpg" TargetMode="External" Id="rId11883"/><Relationship Type="http://schemas.openxmlformats.org/officeDocument/2006/relationships/hyperlink" Target="imagenes/T_TAHARI_124005972_NVY_3.jpg" TargetMode="External" Id="rId11884"/><Relationship Type="http://schemas.openxmlformats.org/officeDocument/2006/relationships/hyperlink" Target="imagenes/T_TAHARI_124005972_NVY_1.jpg" TargetMode="External" Id="rId11885"/><Relationship Type="http://schemas.openxmlformats.org/officeDocument/2006/relationships/hyperlink" Target="imagenes/T_TAHARI_124005972_NVY_2.jpg" TargetMode="External" Id="rId11886"/><Relationship Type="http://schemas.openxmlformats.org/officeDocument/2006/relationships/hyperlink" Target="imagenes/T_TAHARI_124005972_NVY_3.jpg" TargetMode="External" Id="rId11887"/><Relationship Type="http://schemas.openxmlformats.org/officeDocument/2006/relationships/hyperlink" Target="imagenes/T_TAHARI_124005972_NVY_1.jpg" TargetMode="External" Id="rId11888"/><Relationship Type="http://schemas.openxmlformats.org/officeDocument/2006/relationships/hyperlink" Target="imagenes/T_TAHARI_124005972_NVY_2.jpg" TargetMode="External" Id="rId11889"/><Relationship Type="http://schemas.openxmlformats.org/officeDocument/2006/relationships/hyperlink" Target="imagenes/T_TAHARI_124005972_NVY_3.jpg" TargetMode="External" Id="rId11890"/><Relationship Type="http://schemas.openxmlformats.org/officeDocument/2006/relationships/hyperlink" Target="imagenes/T_TAHARI_124005972_NVY_1.jpg" TargetMode="External" Id="rId11891"/><Relationship Type="http://schemas.openxmlformats.org/officeDocument/2006/relationships/hyperlink" Target="imagenes/T_TAHARI_124005972_NVY_2.jpg" TargetMode="External" Id="rId11892"/><Relationship Type="http://schemas.openxmlformats.org/officeDocument/2006/relationships/hyperlink" Target="imagenes/T_TAHARI_124005972_NVY_3.jpg" TargetMode="External" Id="rId11893"/><Relationship Type="http://schemas.openxmlformats.org/officeDocument/2006/relationships/hyperlink" Target="imagenes/T_TAHARI_124005972_NVY_1.jpg" TargetMode="External" Id="rId11894"/><Relationship Type="http://schemas.openxmlformats.org/officeDocument/2006/relationships/hyperlink" Target="imagenes/T_TAHARI_124005972_NVY_2.jpg" TargetMode="External" Id="rId11895"/><Relationship Type="http://schemas.openxmlformats.org/officeDocument/2006/relationships/hyperlink" Target="imagenes/T_TAHARI_124005972_NVY_3.jpg" TargetMode="External" Id="rId11896"/><Relationship Type="http://schemas.openxmlformats.org/officeDocument/2006/relationships/hyperlink" Target="imagenes/T_TAHARI_124005972_NVY_1.jpg" TargetMode="External" Id="rId11897"/><Relationship Type="http://schemas.openxmlformats.org/officeDocument/2006/relationships/hyperlink" Target="imagenes/T_TAHARI_124005972_NVY_2.jpg" TargetMode="External" Id="rId11898"/><Relationship Type="http://schemas.openxmlformats.org/officeDocument/2006/relationships/hyperlink" Target="imagenes/T_TAHARI_124005972_NVY_3.jpg" TargetMode="External" Id="rId11899"/><Relationship Type="http://schemas.openxmlformats.org/officeDocument/2006/relationships/hyperlink" Target="imagenes/T_TAHARI_124005972_NVY_1.jpg" TargetMode="External" Id="rId11900"/><Relationship Type="http://schemas.openxmlformats.org/officeDocument/2006/relationships/hyperlink" Target="imagenes/T_TAHARI_124005972_NVY_2.jpg" TargetMode="External" Id="rId11901"/><Relationship Type="http://schemas.openxmlformats.org/officeDocument/2006/relationships/hyperlink" Target="imagenes/T_TAHARI_124005972_NVY_3.jpg" TargetMode="External" Id="rId11902"/><Relationship Type="http://schemas.openxmlformats.org/officeDocument/2006/relationships/hyperlink" Target="imagenes/T_TAHARI_124005972_NVY_1.jpg" TargetMode="External" Id="rId11903"/><Relationship Type="http://schemas.openxmlformats.org/officeDocument/2006/relationships/hyperlink" Target="imagenes/T_TAHARI_124005972_NVY_2.jpg" TargetMode="External" Id="rId11904"/><Relationship Type="http://schemas.openxmlformats.org/officeDocument/2006/relationships/hyperlink" Target="imagenes/T_TAHARI_124005972_NVY_3.jpg" TargetMode="External" Id="rId11905"/><Relationship Type="http://schemas.openxmlformats.org/officeDocument/2006/relationships/hyperlink" Target="imagenes/T_TAHARI_124005972_NVY_1.jpg" TargetMode="External" Id="rId11906"/><Relationship Type="http://schemas.openxmlformats.org/officeDocument/2006/relationships/hyperlink" Target="imagenes/T_TAHARI_124005972_NVY_2.jpg" TargetMode="External" Id="rId11907"/><Relationship Type="http://schemas.openxmlformats.org/officeDocument/2006/relationships/hyperlink" Target="imagenes/T_TAHARI_124005972_NVY_3.jpg" TargetMode="External" Id="rId11908"/><Relationship Type="http://schemas.openxmlformats.org/officeDocument/2006/relationships/hyperlink" Target="imagenes/T_TAHARI_124006019_BLK_1.jpg" TargetMode="External" Id="rId11909"/><Relationship Type="http://schemas.openxmlformats.org/officeDocument/2006/relationships/hyperlink" Target="imagenes/T_TAHARI_124006019_BLK_2.jpg" TargetMode="External" Id="rId11910"/><Relationship Type="http://schemas.openxmlformats.org/officeDocument/2006/relationships/hyperlink" Target="imagenes/T_TAHARI_124006019_BLK_3.jpg" TargetMode="External" Id="rId11911"/><Relationship Type="http://schemas.openxmlformats.org/officeDocument/2006/relationships/hyperlink" Target="imagenes/T_TAHARI_124006019_BLK_1.jpg" TargetMode="External" Id="rId11912"/><Relationship Type="http://schemas.openxmlformats.org/officeDocument/2006/relationships/hyperlink" Target="imagenes/T_TAHARI_124006019_BLK_2.jpg" TargetMode="External" Id="rId11913"/><Relationship Type="http://schemas.openxmlformats.org/officeDocument/2006/relationships/hyperlink" Target="imagenes/T_TAHARI_124006019_BLK_3.jpg" TargetMode="External" Id="rId11914"/><Relationship Type="http://schemas.openxmlformats.org/officeDocument/2006/relationships/hyperlink" Target="imagenes/T_TAHARI_124006019_BLK_1.jpg" TargetMode="External" Id="rId11915"/><Relationship Type="http://schemas.openxmlformats.org/officeDocument/2006/relationships/hyperlink" Target="imagenes/T_TAHARI_124006019_BLK_2.jpg" TargetMode="External" Id="rId11916"/><Relationship Type="http://schemas.openxmlformats.org/officeDocument/2006/relationships/hyperlink" Target="imagenes/T_TAHARI_124006019_BLK_3.jpg" TargetMode="External" Id="rId11917"/><Relationship Type="http://schemas.openxmlformats.org/officeDocument/2006/relationships/hyperlink" Target="imagenes/T_TAHARI_124006019_BLK_1.jpg" TargetMode="External" Id="rId11918"/><Relationship Type="http://schemas.openxmlformats.org/officeDocument/2006/relationships/hyperlink" Target="imagenes/T_TAHARI_124006019_BLK_2.jpg" TargetMode="External" Id="rId11919"/><Relationship Type="http://schemas.openxmlformats.org/officeDocument/2006/relationships/hyperlink" Target="imagenes/T_TAHARI_124006019_BLK_3.jpg" TargetMode="External" Id="rId11920"/><Relationship Type="http://schemas.openxmlformats.org/officeDocument/2006/relationships/hyperlink" Target="imagenes/T_TAHARI_124006019_BLK_1.jpg" TargetMode="External" Id="rId11921"/><Relationship Type="http://schemas.openxmlformats.org/officeDocument/2006/relationships/hyperlink" Target="imagenes/T_TAHARI_124006019_BLK_2.jpg" TargetMode="External" Id="rId11922"/><Relationship Type="http://schemas.openxmlformats.org/officeDocument/2006/relationships/hyperlink" Target="imagenes/T_TAHARI_124006019_BLK_3.jpg" TargetMode="External" Id="rId11923"/><Relationship Type="http://schemas.openxmlformats.org/officeDocument/2006/relationships/hyperlink" Target="imagenes/T_TAHARI_124006019_BLK_1.jpg" TargetMode="External" Id="rId11924"/><Relationship Type="http://schemas.openxmlformats.org/officeDocument/2006/relationships/hyperlink" Target="imagenes/T_TAHARI_124006019_BLK_2.jpg" TargetMode="External" Id="rId11925"/><Relationship Type="http://schemas.openxmlformats.org/officeDocument/2006/relationships/hyperlink" Target="imagenes/T_TAHARI_124006019_BLK_3.jpg" TargetMode="External" Id="rId11926"/><Relationship Type="http://schemas.openxmlformats.org/officeDocument/2006/relationships/hyperlink" Target="imagenes/T_TAHARI_124006019_BLK_1.jpg" TargetMode="External" Id="rId11927"/><Relationship Type="http://schemas.openxmlformats.org/officeDocument/2006/relationships/hyperlink" Target="imagenes/T_TAHARI_124006019_BLK_2.jpg" TargetMode="External" Id="rId11928"/><Relationship Type="http://schemas.openxmlformats.org/officeDocument/2006/relationships/hyperlink" Target="imagenes/T_TAHARI_124006019_BLK_3.jpg" TargetMode="External" Id="rId11929"/><Relationship Type="http://schemas.openxmlformats.org/officeDocument/2006/relationships/hyperlink" Target="imagenes/T_TAHARI_124006019_BLK_1.jpg" TargetMode="External" Id="rId11930"/><Relationship Type="http://schemas.openxmlformats.org/officeDocument/2006/relationships/hyperlink" Target="imagenes/T_TAHARI_124006019_BLK_2.jpg" TargetMode="External" Id="rId11931"/><Relationship Type="http://schemas.openxmlformats.org/officeDocument/2006/relationships/hyperlink" Target="imagenes/T_TAHARI_124006019_BLK_3.jpg" TargetMode="External" Id="rId11932"/><Relationship Type="http://schemas.openxmlformats.org/officeDocument/2006/relationships/hyperlink" Target="imagenes/T_TAHARI_124006019_BLK_1.jpg" TargetMode="External" Id="rId11933"/><Relationship Type="http://schemas.openxmlformats.org/officeDocument/2006/relationships/hyperlink" Target="imagenes/T_TAHARI_124006019_BLK_2.jpg" TargetMode="External" Id="rId11934"/><Relationship Type="http://schemas.openxmlformats.org/officeDocument/2006/relationships/hyperlink" Target="imagenes/T_TAHARI_124006019_BLK_3.jpg" TargetMode="External" Id="rId11935"/><Relationship Type="http://schemas.openxmlformats.org/officeDocument/2006/relationships/hyperlink" Target="imagenes/T_TAHARI_124006019_BLK_1.jpg" TargetMode="External" Id="rId11936"/><Relationship Type="http://schemas.openxmlformats.org/officeDocument/2006/relationships/hyperlink" Target="imagenes/T_TAHARI_124006019_BLK_2.jpg" TargetMode="External" Id="rId11937"/><Relationship Type="http://schemas.openxmlformats.org/officeDocument/2006/relationships/hyperlink" Target="imagenes/T_TAHARI_124006019_BLK_3.jpg" TargetMode="External" Id="rId11938"/><Relationship Type="http://schemas.openxmlformats.org/officeDocument/2006/relationships/hyperlink" Target="imagenes/T_TAHARI_124006019_OTM_1.jpg" TargetMode="External" Id="rId11939"/><Relationship Type="http://schemas.openxmlformats.org/officeDocument/2006/relationships/hyperlink" Target="imagenes/T_TAHARI_124006019_OTM_2.jpg" TargetMode="External" Id="rId11940"/><Relationship Type="http://schemas.openxmlformats.org/officeDocument/2006/relationships/hyperlink" Target="imagenes/T_TAHARI_124006019_OTM_3.jpg" TargetMode="External" Id="rId11941"/><Relationship Type="http://schemas.openxmlformats.org/officeDocument/2006/relationships/hyperlink" Target="imagenes/T_TAHARI_124006019_OTM_1.jpg" TargetMode="External" Id="rId11942"/><Relationship Type="http://schemas.openxmlformats.org/officeDocument/2006/relationships/hyperlink" Target="imagenes/T_TAHARI_124006019_OTM_2.jpg" TargetMode="External" Id="rId11943"/><Relationship Type="http://schemas.openxmlformats.org/officeDocument/2006/relationships/hyperlink" Target="imagenes/T_TAHARI_124006019_OTM_3.jpg" TargetMode="External" Id="rId11944"/><Relationship Type="http://schemas.openxmlformats.org/officeDocument/2006/relationships/hyperlink" Target="imagenes/T_TAHARI_124006019_OTM_1.jpg" TargetMode="External" Id="rId11945"/><Relationship Type="http://schemas.openxmlformats.org/officeDocument/2006/relationships/hyperlink" Target="imagenes/T_TAHARI_124006019_OTM_2.jpg" TargetMode="External" Id="rId11946"/><Relationship Type="http://schemas.openxmlformats.org/officeDocument/2006/relationships/hyperlink" Target="imagenes/T_TAHARI_124006019_OTM_3.jpg" TargetMode="External" Id="rId11947"/><Relationship Type="http://schemas.openxmlformats.org/officeDocument/2006/relationships/hyperlink" Target="imagenes/T_TAHARI_124006019_OTM_1.jpg" TargetMode="External" Id="rId11948"/><Relationship Type="http://schemas.openxmlformats.org/officeDocument/2006/relationships/hyperlink" Target="imagenes/T_TAHARI_124006019_OTM_2.jpg" TargetMode="External" Id="rId11949"/><Relationship Type="http://schemas.openxmlformats.org/officeDocument/2006/relationships/hyperlink" Target="imagenes/T_TAHARI_124006019_OTM_3.jpg" TargetMode="External" Id="rId11950"/><Relationship Type="http://schemas.openxmlformats.org/officeDocument/2006/relationships/hyperlink" Target="imagenes/T_TAHARI_124006019_OTM_1.jpg" TargetMode="External" Id="rId11951"/><Relationship Type="http://schemas.openxmlformats.org/officeDocument/2006/relationships/hyperlink" Target="imagenes/T_TAHARI_124006019_OTM_2.jpg" TargetMode="External" Id="rId11952"/><Relationship Type="http://schemas.openxmlformats.org/officeDocument/2006/relationships/hyperlink" Target="imagenes/T_TAHARI_124006019_OTM_3.jpg" TargetMode="External" Id="rId11953"/><Relationship Type="http://schemas.openxmlformats.org/officeDocument/2006/relationships/hyperlink" Target="imagenes/T_TAHARI_124006019_OTM_1.jpg" TargetMode="External" Id="rId11954"/><Relationship Type="http://schemas.openxmlformats.org/officeDocument/2006/relationships/hyperlink" Target="imagenes/T_TAHARI_124006019_OTM_2.jpg" TargetMode="External" Id="rId11955"/><Relationship Type="http://schemas.openxmlformats.org/officeDocument/2006/relationships/hyperlink" Target="imagenes/T_TAHARI_124006019_OTM_3.jpg" TargetMode="External" Id="rId11956"/><Relationship Type="http://schemas.openxmlformats.org/officeDocument/2006/relationships/hyperlink" Target="imagenes/T_TAHARI_124006019_OTM_1.jpg" TargetMode="External" Id="rId11957"/><Relationship Type="http://schemas.openxmlformats.org/officeDocument/2006/relationships/hyperlink" Target="imagenes/T_TAHARI_124006019_OTM_2.jpg" TargetMode="External" Id="rId11958"/><Relationship Type="http://schemas.openxmlformats.org/officeDocument/2006/relationships/hyperlink" Target="imagenes/T_TAHARI_124006019_OTM_3.jpg" TargetMode="External" Id="rId11959"/><Relationship Type="http://schemas.openxmlformats.org/officeDocument/2006/relationships/hyperlink" Target="imagenes/T_TAHARI_124006019_OTM_1.jpg" TargetMode="External" Id="rId11960"/><Relationship Type="http://schemas.openxmlformats.org/officeDocument/2006/relationships/hyperlink" Target="imagenes/T_TAHARI_124006019_OTM_2.jpg" TargetMode="External" Id="rId11961"/><Relationship Type="http://schemas.openxmlformats.org/officeDocument/2006/relationships/hyperlink" Target="imagenes/T_TAHARI_124006019_OTM_3.jpg" TargetMode="External" Id="rId11962"/><Relationship Type="http://schemas.openxmlformats.org/officeDocument/2006/relationships/hyperlink" Target="imagenes/T_TAHARI_124008302_BLK_1.jpg" TargetMode="External" Id="rId11963"/><Relationship Type="http://schemas.openxmlformats.org/officeDocument/2006/relationships/hyperlink" Target="imagenes/T_TAHARI_124008302_BLK_2.jpg" TargetMode="External" Id="rId11964"/><Relationship Type="http://schemas.openxmlformats.org/officeDocument/2006/relationships/hyperlink" Target="imagenes/T_TAHARI_124008302_BLK_3.jpg" TargetMode="External" Id="rId11965"/><Relationship Type="http://schemas.openxmlformats.org/officeDocument/2006/relationships/hyperlink" Target="imagenes/T_TAHARI_124008302_BLK_1.jpg" TargetMode="External" Id="rId11966"/><Relationship Type="http://schemas.openxmlformats.org/officeDocument/2006/relationships/hyperlink" Target="imagenes/T_TAHARI_124008302_BLK_2.jpg" TargetMode="External" Id="rId11967"/><Relationship Type="http://schemas.openxmlformats.org/officeDocument/2006/relationships/hyperlink" Target="imagenes/T_TAHARI_124008302_BLK_3.jpg" TargetMode="External" Id="rId11968"/><Relationship Type="http://schemas.openxmlformats.org/officeDocument/2006/relationships/hyperlink" Target="imagenes/T_TAHARI_124008302_ESH_1.jpg" TargetMode="External" Id="rId11969"/><Relationship Type="http://schemas.openxmlformats.org/officeDocument/2006/relationships/hyperlink" Target="imagenes/T_TAHARI_124008302_ESH_2.jpg" TargetMode="External" Id="rId11970"/><Relationship Type="http://schemas.openxmlformats.org/officeDocument/2006/relationships/hyperlink" Target="imagenes/T_TAHARI_124008302_ESH_3.jpg" TargetMode="External" Id="rId11971"/><Relationship Type="http://schemas.openxmlformats.org/officeDocument/2006/relationships/hyperlink" Target="imagenes/T_TAHARI_124008302_ESH_1.jpg" TargetMode="External" Id="rId11972"/><Relationship Type="http://schemas.openxmlformats.org/officeDocument/2006/relationships/hyperlink" Target="imagenes/T_TAHARI_124008302_ESH_2.jpg" TargetMode="External" Id="rId11973"/><Relationship Type="http://schemas.openxmlformats.org/officeDocument/2006/relationships/hyperlink" Target="imagenes/T_TAHARI_124008302_ESH_3.jpg" TargetMode="External" Id="rId11974"/><Relationship Type="http://schemas.openxmlformats.org/officeDocument/2006/relationships/hyperlink" Target="imagenes/T_TAHARI_124008303_BLK_1.jpg" TargetMode="External" Id="rId11975"/><Relationship Type="http://schemas.openxmlformats.org/officeDocument/2006/relationships/hyperlink" Target="imagenes/T_TAHARI_124008303_BLK_2.jpg" TargetMode="External" Id="rId11976"/><Relationship Type="http://schemas.openxmlformats.org/officeDocument/2006/relationships/hyperlink" Target="imagenes/T_TAHARI_124008303_BLK_3.jpg" TargetMode="External" Id="rId11977"/><Relationship Type="http://schemas.openxmlformats.org/officeDocument/2006/relationships/hyperlink" Target="imagenes/T_TAHARI_124008303_BLK_1.jpg" TargetMode="External" Id="rId11978"/><Relationship Type="http://schemas.openxmlformats.org/officeDocument/2006/relationships/hyperlink" Target="imagenes/T_TAHARI_124008303_BLK_2.jpg" TargetMode="External" Id="rId11979"/><Relationship Type="http://schemas.openxmlformats.org/officeDocument/2006/relationships/hyperlink" Target="imagenes/T_TAHARI_124008303_BLK_3.jpg" TargetMode="External" Id="rId11980"/><Relationship Type="http://schemas.openxmlformats.org/officeDocument/2006/relationships/hyperlink" Target="imagenes/T_TAHARI_124008303_ESH_1.jpg" TargetMode="External" Id="rId11981"/><Relationship Type="http://schemas.openxmlformats.org/officeDocument/2006/relationships/hyperlink" Target="imagenes/T_TAHARI_124008303_ESH_2.jpg" TargetMode="External" Id="rId11982"/><Relationship Type="http://schemas.openxmlformats.org/officeDocument/2006/relationships/hyperlink" Target="imagenes/T_TAHARI_124008303_ESH_3.jpg" TargetMode="External" Id="rId11983"/><Relationship Type="http://schemas.openxmlformats.org/officeDocument/2006/relationships/hyperlink" Target="imagenes/T_TAHARI_124008303_ESH_1.jpg" TargetMode="External" Id="rId11984"/><Relationship Type="http://schemas.openxmlformats.org/officeDocument/2006/relationships/hyperlink" Target="imagenes/T_TAHARI_124008303_ESH_2.jpg" TargetMode="External" Id="rId11985"/><Relationship Type="http://schemas.openxmlformats.org/officeDocument/2006/relationships/hyperlink" Target="imagenes/T_TAHARI_124008303_ESH_3.jpg" TargetMode="External" Id="rId11986"/><Relationship Type="http://schemas.openxmlformats.org/officeDocument/2006/relationships/hyperlink" Target="imagenes/T_TAHARI_124008304_BLK_1.jpg" TargetMode="External" Id="rId11987"/><Relationship Type="http://schemas.openxmlformats.org/officeDocument/2006/relationships/hyperlink" Target="imagenes/T_TAHARI_124008304_BLK_2.jpg" TargetMode="External" Id="rId11988"/><Relationship Type="http://schemas.openxmlformats.org/officeDocument/2006/relationships/hyperlink" Target="imagenes/T_TAHARI_124008304_BLK_3.jpg" TargetMode="External" Id="rId11989"/><Relationship Type="http://schemas.openxmlformats.org/officeDocument/2006/relationships/hyperlink" Target="imagenes/T_TAHARI_124008304_BLK_1.jpg" TargetMode="External" Id="rId11990"/><Relationship Type="http://schemas.openxmlformats.org/officeDocument/2006/relationships/hyperlink" Target="imagenes/T_TAHARI_124008304_BLK_2.jpg" TargetMode="External" Id="rId11991"/><Relationship Type="http://schemas.openxmlformats.org/officeDocument/2006/relationships/hyperlink" Target="imagenes/T_TAHARI_124008304_BLK_3.jpg" TargetMode="External" Id="rId11992"/><Relationship Type="http://schemas.openxmlformats.org/officeDocument/2006/relationships/hyperlink" Target="imagenes/T_TAHARI_124008304_BLK_1.jpg" TargetMode="External" Id="rId11993"/><Relationship Type="http://schemas.openxmlformats.org/officeDocument/2006/relationships/hyperlink" Target="imagenes/T_TAHARI_124008304_BLK_2.jpg" TargetMode="External" Id="rId11994"/><Relationship Type="http://schemas.openxmlformats.org/officeDocument/2006/relationships/hyperlink" Target="imagenes/T_TAHARI_124008304_BLK_3.jpg" TargetMode="External" Id="rId11995"/><Relationship Type="http://schemas.openxmlformats.org/officeDocument/2006/relationships/hyperlink" Target="imagenes/T_TAHARI_124008304_BLK_1.jpg" TargetMode="External" Id="rId11996"/><Relationship Type="http://schemas.openxmlformats.org/officeDocument/2006/relationships/hyperlink" Target="imagenes/T_TAHARI_124008304_BLK_2.jpg" TargetMode="External" Id="rId11997"/><Relationship Type="http://schemas.openxmlformats.org/officeDocument/2006/relationships/hyperlink" Target="imagenes/T_TAHARI_124008304_BLK_3.jpg" TargetMode="External" Id="rId11998"/><Relationship Type="http://schemas.openxmlformats.org/officeDocument/2006/relationships/hyperlink" Target="imagenes/T_TAHARI_124008306_BLK_1.jpg" TargetMode="External" Id="rId11999"/><Relationship Type="http://schemas.openxmlformats.org/officeDocument/2006/relationships/hyperlink" Target="imagenes/T_TAHARI_124008306_BLK_2.jpg" TargetMode="External" Id="rId12000"/><Relationship Type="http://schemas.openxmlformats.org/officeDocument/2006/relationships/hyperlink" Target="imagenes/T_TAHARI_124008306_BLK_3.jpg" TargetMode="External" Id="rId12001"/><Relationship Type="http://schemas.openxmlformats.org/officeDocument/2006/relationships/hyperlink" Target="imagenes/T_TAHARI_124008306_BLK_1.jpg" TargetMode="External" Id="rId12002"/><Relationship Type="http://schemas.openxmlformats.org/officeDocument/2006/relationships/hyperlink" Target="imagenes/T_TAHARI_124008306_BLK_2.jpg" TargetMode="External" Id="rId12003"/><Relationship Type="http://schemas.openxmlformats.org/officeDocument/2006/relationships/hyperlink" Target="imagenes/T_TAHARI_124008306_BLK_3.jpg" TargetMode="External" Id="rId12004"/><Relationship Type="http://schemas.openxmlformats.org/officeDocument/2006/relationships/hyperlink" Target="imagenes/T_TAHARI_124008308_DUN_1.jpg" TargetMode="External" Id="rId12005"/><Relationship Type="http://schemas.openxmlformats.org/officeDocument/2006/relationships/hyperlink" Target="imagenes/T_TAHARI_124008308_DUN_2.jpg" TargetMode="External" Id="rId12006"/><Relationship Type="http://schemas.openxmlformats.org/officeDocument/2006/relationships/hyperlink" Target="imagenes/T_TAHARI_124008308_DUN_3.jpg" TargetMode="External" Id="rId12007"/><Relationship Type="http://schemas.openxmlformats.org/officeDocument/2006/relationships/hyperlink" Target="imagenes/T_TAHARI_124008308_DUN_1.jpg" TargetMode="External" Id="rId12008"/><Relationship Type="http://schemas.openxmlformats.org/officeDocument/2006/relationships/hyperlink" Target="imagenes/T_TAHARI_124008308_DUN_2.jpg" TargetMode="External" Id="rId12009"/><Relationship Type="http://schemas.openxmlformats.org/officeDocument/2006/relationships/hyperlink" Target="imagenes/T_TAHARI_124008308_DUN_3.jpg" TargetMode="External" Id="rId12010"/><Relationship Type="http://schemas.openxmlformats.org/officeDocument/2006/relationships/hyperlink" Target="imagenes/T_TAHARI_124008308_DUN_1.jpg" TargetMode="External" Id="rId12011"/><Relationship Type="http://schemas.openxmlformats.org/officeDocument/2006/relationships/hyperlink" Target="imagenes/T_TAHARI_124008308_DUN_2.jpg" TargetMode="External" Id="rId12012"/><Relationship Type="http://schemas.openxmlformats.org/officeDocument/2006/relationships/hyperlink" Target="imagenes/T_TAHARI_124008308_DUN_3.jpg" TargetMode="External" Id="rId12013"/><Relationship Type="http://schemas.openxmlformats.org/officeDocument/2006/relationships/hyperlink" Target="imagenes/T_TAHARI_124008308_DUN_1.jpg" TargetMode="External" Id="rId12014"/><Relationship Type="http://schemas.openxmlformats.org/officeDocument/2006/relationships/hyperlink" Target="imagenes/T_TAHARI_124008308_DUN_2.jpg" TargetMode="External" Id="rId12015"/><Relationship Type="http://schemas.openxmlformats.org/officeDocument/2006/relationships/hyperlink" Target="imagenes/T_TAHARI_124008308_DUN_3.jpg" TargetMode="External" Id="rId12016"/><Relationship Type="http://schemas.openxmlformats.org/officeDocument/2006/relationships/hyperlink" Target="imagenes/T_TAHARI_124008308_KHA_1.jpg" TargetMode="External" Id="rId12017"/><Relationship Type="http://schemas.openxmlformats.org/officeDocument/2006/relationships/hyperlink" Target="imagenes/T_TAHARI_124008308_KHA_2.jpg" TargetMode="External" Id="rId12018"/><Relationship Type="http://schemas.openxmlformats.org/officeDocument/2006/relationships/hyperlink" Target="imagenes/T_TAHARI_124008308_KHA_3.jpg" TargetMode="External" Id="rId12019"/><Relationship Type="http://schemas.openxmlformats.org/officeDocument/2006/relationships/hyperlink" Target="imagenes/T_TAHARI_124008308_KHA_1.jpg" TargetMode="External" Id="rId12020"/><Relationship Type="http://schemas.openxmlformats.org/officeDocument/2006/relationships/hyperlink" Target="imagenes/T_TAHARI_124008308_KHA_2.jpg" TargetMode="External" Id="rId12021"/><Relationship Type="http://schemas.openxmlformats.org/officeDocument/2006/relationships/hyperlink" Target="imagenes/T_TAHARI_124008308_KHA_3.jpg" TargetMode="External" Id="rId12022"/><Relationship Type="http://schemas.openxmlformats.org/officeDocument/2006/relationships/hyperlink" Target="imagenes/T_TAHARI_124009692_BLK_1.jpg" TargetMode="External" Id="rId12023"/><Relationship Type="http://schemas.openxmlformats.org/officeDocument/2006/relationships/hyperlink" Target="imagenes/T_TAHARI_124009692_BLK_2.jpg" TargetMode="External" Id="rId12024"/><Relationship Type="http://schemas.openxmlformats.org/officeDocument/2006/relationships/hyperlink" Target="imagenes/T_TAHARI_124009692_BLK_3.jpg" TargetMode="External" Id="rId12025"/><Relationship Type="http://schemas.openxmlformats.org/officeDocument/2006/relationships/hyperlink" Target="imagenes/T_TAHARI_124009692_BLK_1.jpg" TargetMode="External" Id="rId12026"/><Relationship Type="http://schemas.openxmlformats.org/officeDocument/2006/relationships/hyperlink" Target="imagenes/T_TAHARI_124009692_BLK_2.jpg" TargetMode="External" Id="rId12027"/><Relationship Type="http://schemas.openxmlformats.org/officeDocument/2006/relationships/hyperlink" Target="imagenes/T_TAHARI_124009692_BLK_3.jpg" TargetMode="External" Id="rId12028"/><Relationship Type="http://schemas.openxmlformats.org/officeDocument/2006/relationships/hyperlink" Target="imagenes/T_TAHARI_124009692_BLK_1.jpg" TargetMode="External" Id="rId12029"/><Relationship Type="http://schemas.openxmlformats.org/officeDocument/2006/relationships/hyperlink" Target="imagenes/T_TAHARI_124009692_BLK_2.jpg" TargetMode="External" Id="rId12030"/><Relationship Type="http://schemas.openxmlformats.org/officeDocument/2006/relationships/hyperlink" Target="imagenes/T_TAHARI_124009692_BLK_3.jpg" TargetMode="External" Id="rId12031"/><Relationship Type="http://schemas.openxmlformats.org/officeDocument/2006/relationships/hyperlink" Target="imagenes/T_TAHARI_124009692_BLK_1.jpg" TargetMode="External" Id="rId12032"/><Relationship Type="http://schemas.openxmlformats.org/officeDocument/2006/relationships/hyperlink" Target="imagenes/T_TAHARI_124009692_BLK_2.jpg" TargetMode="External" Id="rId12033"/><Relationship Type="http://schemas.openxmlformats.org/officeDocument/2006/relationships/hyperlink" Target="imagenes/T_TAHARI_124009692_BLK_3.jpg" TargetMode="External" Id="rId12034"/><Relationship Type="http://schemas.openxmlformats.org/officeDocument/2006/relationships/hyperlink" Target="imagenes/T_TAHARI_124009692_BLK_1.jpg" TargetMode="External" Id="rId12035"/><Relationship Type="http://schemas.openxmlformats.org/officeDocument/2006/relationships/hyperlink" Target="imagenes/T_TAHARI_124009692_BLK_2.jpg" TargetMode="External" Id="rId12036"/><Relationship Type="http://schemas.openxmlformats.org/officeDocument/2006/relationships/hyperlink" Target="imagenes/T_TAHARI_124009692_BLK_3.jpg" TargetMode="External" Id="rId12037"/><Relationship Type="http://schemas.openxmlformats.org/officeDocument/2006/relationships/hyperlink" Target="imagenes/T_TAHARI_124009692_BLK_1.jpg" TargetMode="External" Id="rId12038"/><Relationship Type="http://schemas.openxmlformats.org/officeDocument/2006/relationships/hyperlink" Target="imagenes/T_TAHARI_124009692_BLK_2.jpg" TargetMode="External" Id="rId12039"/><Relationship Type="http://schemas.openxmlformats.org/officeDocument/2006/relationships/hyperlink" Target="imagenes/T_TAHARI_124009692_BLK_3.jpg" TargetMode="External" Id="rId12040"/><Relationship Type="http://schemas.openxmlformats.org/officeDocument/2006/relationships/hyperlink" Target="imagenes/T_TAHARI_124009692_BLK_1.jpg" TargetMode="External" Id="rId12041"/><Relationship Type="http://schemas.openxmlformats.org/officeDocument/2006/relationships/hyperlink" Target="imagenes/T_TAHARI_124009692_BLK_2.jpg" TargetMode="External" Id="rId12042"/><Relationship Type="http://schemas.openxmlformats.org/officeDocument/2006/relationships/hyperlink" Target="imagenes/T_TAHARI_124009692_BLK_3.jpg" TargetMode="External" Id="rId12043"/><Relationship Type="http://schemas.openxmlformats.org/officeDocument/2006/relationships/hyperlink" Target="imagenes/T_TAHARI_124009692_BLK_1.jpg" TargetMode="External" Id="rId12044"/><Relationship Type="http://schemas.openxmlformats.org/officeDocument/2006/relationships/hyperlink" Target="imagenes/T_TAHARI_124009692_BLK_2.jpg" TargetMode="External" Id="rId12045"/><Relationship Type="http://schemas.openxmlformats.org/officeDocument/2006/relationships/hyperlink" Target="imagenes/T_TAHARI_124009692_BLK_3.jpg" TargetMode="External" Id="rId12046"/><Relationship Type="http://schemas.openxmlformats.org/officeDocument/2006/relationships/hyperlink" Target="imagenes/T_TAHARI_124009692_BLK_1.jpg" TargetMode="External" Id="rId12047"/><Relationship Type="http://schemas.openxmlformats.org/officeDocument/2006/relationships/hyperlink" Target="imagenes/T_TAHARI_124009692_BLK_2.jpg" TargetMode="External" Id="rId12048"/><Relationship Type="http://schemas.openxmlformats.org/officeDocument/2006/relationships/hyperlink" Target="imagenes/T_TAHARI_124009692_BLK_3.jpg" TargetMode="External" Id="rId12049"/><Relationship Type="http://schemas.openxmlformats.org/officeDocument/2006/relationships/hyperlink" Target="imagenes/T_TAHARI_124009692_BLK_1.jpg" TargetMode="External" Id="rId12050"/><Relationship Type="http://schemas.openxmlformats.org/officeDocument/2006/relationships/hyperlink" Target="imagenes/T_TAHARI_124009692_BLK_2.jpg" TargetMode="External" Id="rId12051"/><Relationship Type="http://schemas.openxmlformats.org/officeDocument/2006/relationships/hyperlink" Target="imagenes/T_TAHARI_124009692_BLK_3.jpg" TargetMode="External" Id="rId12052"/><Relationship Type="http://schemas.openxmlformats.org/officeDocument/2006/relationships/hyperlink" Target="imagenes/T_TAHARI_124009692_CHO_1.jpg" TargetMode="External" Id="rId12053"/><Relationship Type="http://schemas.openxmlformats.org/officeDocument/2006/relationships/hyperlink" Target="imagenes/T_TAHARI_124009692_CHO_2.jpg" TargetMode="External" Id="rId12054"/><Relationship Type="http://schemas.openxmlformats.org/officeDocument/2006/relationships/hyperlink" Target="imagenes/T_TAHARI_124009692_CHO_3.jpg" TargetMode="External" Id="rId12055"/><Relationship Type="http://schemas.openxmlformats.org/officeDocument/2006/relationships/hyperlink" Target="imagenes/T_TAHARI_124009692_CHO_1.jpg" TargetMode="External" Id="rId12056"/><Relationship Type="http://schemas.openxmlformats.org/officeDocument/2006/relationships/hyperlink" Target="imagenes/T_TAHARI_124009692_CHO_2.jpg" TargetMode="External" Id="rId12057"/><Relationship Type="http://schemas.openxmlformats.org/officeDocument/2006/relationships/hyperlink" Target="imagenes/T_TAHARI_124009692_CHO_3.jpg" TargetMode="External" Id="rId12058"/><Relationship Type="http://schemas.openxmlformats.org/officeDocument/2006/relationships/hyperlink" Target="imagenes/T_TAHARI_124009692_CHO_1.jpg" TargetMode="External" Id="rId12059"/><Relationship Type="http://schemas.openxmlformats.org/officeDocument/2006/relationships/hyperlink" Target="imagenes/T_TAHARI_124009692_CHO_2.jpg" TargetMode="External" Id="rId12060"/><Relationship Type="http://schemas.openxmlformats.org/officeDocument/2006/relationships/hyperlink" Target="imagenes/T_TAHARI_124009692_CHO_3.jpg" TargetMode="External" Id="rId12061"/><Relationship Type="http://schemas.openxmlformats.org/officeDocument/2006/relationships/hyperlink" Target="imagenes/T_TAHARI_124009692_CHO_1.jpg" TargetMode="External" Id="rId12062"/><Relationship Type="http://schemas.openxmlformats.org/officeDocument/2006/relationships/hyperlink" Target="imagenes/T_TAHARI_124009692_CHO_2.jpg" TargetMode="External" Id="rId12063"/><Relationship Type="http://schemas.openxmlformats.org/officeDocument/2006/relationships/hyperlink" Target="imagenes/T_TAHARI_124009692_CHO_3.jpg" TargetMode="External" Id="rId12064"/><Relationship Type="http://schemas.openxmlformats.org/officeDocument/2006/relationships/hyperlink" Target="imagenes/T_TAHARI_124009692_CHO_1.jpg" TargetMode="External" Id="rId12065"/><Relationship Type="http://schemas.openxmlformats.org/officeDocument/2006/relationships/hyperlink" Target="imagenes/T_TAHARI_124009692_CHO_2.jpg" TargetMode="External" Id="rId12066"/><Relationship Type="http://schemas.openxmlformats.org/officeDocument/2006/relationships/hyperlink" Target="imagenes/T_TAHARI_124009692_CHO_3.jpg" TargetMode="External" Id="rId12067"/><Relationship Type="http://schemas.openxmlformats.org/officeDocument/2006/relationships/hyperlink" Target="imagenes/T_TAHARI_124009692_CHO_1.jpg" TargetMode="External" Id="rId12068"/><Relationship Type="http://schemas.openxmlformats.org/officeDocument/2006/relationships/hyperlink" Target="imagenes/T_TAHARI_124009692_CHO_2.jpg" TargetMode="External" Id="rId12069"/><Relationship Type="http://schemas.openxmlformats.org/officeDocument/2006/relationships/hyperlink" Target="imagenes/T_TAHARI_124009692_CHO_3.jpg" TargetMode="External" Id="rId12070"/><Relationship Type="http://schemas.openxmlformats.org/officeDocument/2006/relationships/hyperlink" Target="imagenes/T_TAHARI_124009692_CHO_1.jpg" TargetMode="External" Id="rId12071"/><Relationship Type="http://schemas.openxmlformats.org/officeDocument/2006/relationships/hyperlink" Target="imagenes/T_TAHARI_124009692_CHO_2.jpg" TargetMode="External" Id="rId12072"/><Relationship Type="http://schemas.openxmlformats.org/officeDocument/2006/relationships/hyperlink" Target="imagenes/T_TAHARI_124009692_CHO_3.jpg" TargetMode="External" Id="rId12073"/><Relationship Type="http://schemas.openxmlformats.org/officeDocument/2006/relationships/hyperlink" Target="imagenes/T_TAHARI_124009692_CHO_1.jpg" TargetMode="External" Id="rId12074"/><Relationship Type="http://schemas.openxmlformats.org/officeDocument/2006/relationships/hyperlink" Target="imagenes/T_TAHARI_124009692_CHO_2.jpg" TargetMode="External" Id="rId12075"/><Relationship Type="http://schemas.openxmlformats.org/officeDocument/2006/relationships/hyperlink" Target="imagenes/T_TAHARI_124009692_CHO_3.jpg" TargetMode="External" Id="rId12076"/><Relationship Type="http://schemas.openxmlformats.org/officeDocument/2006/relationships/hyperlink" Target="imagenes/T_TAHARI_124009692_CHO_1.jpg" TargetMode="External" Id="rId12077"/><Relationship Type="http://schemas.openxmlformats.org/officeDocument/2006/relationships/hyperlink" Target="imagenes/T_TAHARI_124009692_CHO_2.jpg" TargetMode="External" Id="rId12078"/><Relationship Type="http://schemas.openxmlformats.org/officeDocument/2006/relationships/hyperlink" Target="imagenes/T_TAHARI_124009692_CHO_3.jpg" TargetMode="External" Id="rId12079"/><Relationship Type="http://schemas.openxmlformats.org/officeDocument/2006/relationships/hyperlink" Target="imagenes/T_TAHARI_124009692_CHO_1.jpg" TargetMode="External" Id="rId12080"/><Relationship Type="http://schemas.openxmlformats.org/officeDocument/2006/relationships/hyperlink" Target="imagenes/T_TAHARI_124009692_CHO_2.jpg" TargetMode="External" Id="rId12081"/><Relationship Type="http://schemas.openxmlformats.org/officeDocument/2006/relationships/hyperlink" Target="imagenes/T_TAHARI_124009692_CHO_3.jpg" TargetMode="External" Id="rId12082"/><Relationship Type="http://schemas.openxmlformats.org/officeDocument/2006/relationships/hyperlink" Target="imagenes/T_TAHARI_124009692_DTE_1.jpg" TargetMode="External" Id="rId12083"/><Relationship Type="http://schemas.openxmlformats.org/officeDocument/2006/relationships/hyperlink" Target="imagenes/T_TAHARI_124009692_DTE_2.jpg" TargetMode="External" Id="rId12084"/><Relationship Type="http://schemas.openxmlformats.org/officeDocument/2006/relationships/hyperlink" Target="imagenes/T_TAHARI_124009692_DTE_3.jpg" TargetMode="External" Id="rId12085"/><Relationship Type="http://schemas.openxmlformats.org/officeDocument/2006/relationships/hyperlink" Target="imagenes/T_TAHARI_124009692_DTE_1.jpg" TargetMode="External" Id="rId12086"/><Relationship Type="http://schemas.openxmlformats.org/officeDocument/2006/relationships/hyperlink" Target="imagenes/T_TAHARI_124009692_DTE_2.jpg" TargetMode="External" Id="rId12087"/><Relationship Type="http://schemas.openxmlformats.org/officeDocument/2006/relationships/hyperlink" Target="imagenes/T_TAHARI_124009692_DTE_3.jpg" TargetMode="External" Id="rId12088"/><Relationship Type="http://schemas.openxmlformats.org/officeDocument/2006/relationships/hyperlink" Target="imagenes/T_TAHARI_124009692_DTE_1.jpg" TargetMode="External" Id="rId12089"/><Relationship Type="http://schemas.openxmlformats.org/officeDocument/2006/relationships/hyperlink" Target="imagenes/T_TAHARI_124009692_DTE_2.jpg" TargetMode="External" Id="rId12090"/><Relationship Type="http://schemas.openxmlformats.org/officeDocument/2006/relationships/hyperlink" Target="imagenes/T_TAHARI_124009692_DTE_3.jpg" TargetMode="External" Id="rId12091"/><Relationship Type="http://schemas.openxmlformats.org/officeDocument/2006/relationships/hyperlink" Target="imagenes/T_TAHARI_124009692_DTE_1.jpg" TargetMode="External" Id="rId12092"/><Relationship Type="http://schemas.openxmlformats.org/officeDocument/2006/relationships/hyperlink" Target="imagenes/T_TAHARI_124009692_DTE_2.jpg" TargetMode="External" Id="rId12093"/><Relationship Type="http://schemas.openxmlformats.org/officeDocument/2006/relationships/hyperlink" Target="imagenes/T_TAHARI_124009692_DTE_3.jpg" TargetMode="External" Id="rId12094"/><Relationship Type="http://schemas.openxmlformats.org/officeDocument/2006/relationships/hyperlink" Target="imagenes/T_TAHARI_124009692_DTE_1.jpg" TargetMode="External" Id="rId12095"/><Relationship Type="http://schemas.openxmlformats.org/officeDocument/2006/relationships/hyperlink" Target="imagenes/T_TAHARI_124009692_DTE_2.jpg" TargetMode="External" Id="rId12096"/><Relationship Type="http://schemas.openxmlformats.org/officeDocument/2006/relationships/hyperlink" Target="imagenes/T_TAHARI_124009692_DTE_3.jpg" TargetMode="External" Id="rId12097"/><Relationship Type="http://schemas.openxmlformats.org/officeDocument/2006/relationships/hyperlink" Target="imagenes/T_TAHARI_124009692_DTE_1.jpg" TargetMode="External" Id="rId12098"/><Relationship Type="http://schemas.openxmlformats.org/officeDocument/2006/relationships/hyperlink" Target="imagenes/T_TAHARI_124009692_DTE_2.jpg" TargetMode="External" Id="rId12099"/><Relationship Type="http://schemas.openxmlformats.org/officeDocument/2006/relationships/hyperlink" Target="imagenes/T_TAHARI_124009692_DTE_3.jpg" TargetMode="External" Id="rId12100"/><Relationship Type="http://schemas.openxmlformats.org/officeDocument/2006/relationships/hyperlink" Target="imagenes/T_TAHARI_124009692_DTE_1.jpg" TargetMode="External" Id="rId12101"/><Relationship Type="http://schemas.openxmlformats.org/officeDocument/2006/relationships/hyperlink" Target="imagenes/T_TAHARI_124009692_DTE_2.jpg" TargetMode="External" Id="rId12102"/><Relationship Type="http://schemas.openxmlformats.org/officeDocument/2006/relationships/hyperlink" Target="imagenes/T_TAHARI_124009692_DTE_3.jpg" TargetMode="External" Id="rId12103"/><Relationship Type="http://schemas.openxmlformats.org/officeDocument/2006/relationships/hyperlink" Target="imagenes/T_TAHARI_124009692_DTE_1.jpg" TargetMode="External" Id="rId12104"/><Relationship Type="http://schemas.openxmlformats.org/officeDocument/2006/relationships/hyperlink" Target="imagenes/T_TAHARI_124009692_DTE_2.jpg" TargetMode="External" Id="rId12105"/><Relationship Type="http://schemas.openxmlformats.org/officeDocument/2006/relationships/hyperlink" Target="imagenes/T_TAHARI_124009692_DTE_3.jpg" TargetMode="External" Id="rId12106"/><Relationship Type="http://schemas.openxmlformats.org/officeDocument/2006/relationships/hyperlink" Target="imagenes/T_TAHARI_124009692_DTE_1.jpg" TargetMode="External" Id="rId12107"/><Relationship Type="http://schemas.openxmlformats.org/officeDocument/2006/relationships/hyperlink" Target="imagenes/T_TAHARI_124009692_DTE_2.jpg" TargetMode="External" Id="rId12108"/><Relationship Type="http://schemas.openxmlformats.org/officeDocument/2006/relationships/hyperlink" Target="imagenes/T_TAHARI_124009692_DTE_3.jpg" TargetMode="External" Id="rId12109"/><Relationship Type="http://schemas.openxmlformats.org/officeDocument/2006/relationships/hyperlink" Target="imagenes/T_TAHARI_124009692_DTE_1.jpg" TargetMode="External" Id="rId12110"/><Relationship Type="http://schemas.openxmlformats.org/officeDocument/2006/relationships/hyperlink" Target="imagenes/T_TAHARI_124009692_DTE_2.jpg" TargetMode="External" Id="rId12111"/><Relationship Type="http://schemas.openxmlformats.org/officeDocument/2006/relationships/hyperlink" Target="imagenes/T_TAHARI_124009692_DTE_3.jpg" TargetMode="External" Id="rId12112"/><Relationship Type="http://schemas.openxmlformats.org/officeDocument/2006/relationships/hyperlink" Target="imagenes/T_TAHARI_124009693_CHO_2.jpg" TargetMode="External" Id="rId12113"/><Relationship Type="http://schemas.openxmlformats.org/officeDocument/2006/relationships/hyperlink" Target="imagenes/T_TAHARI_124009693_CHO_3.jpg" TargetMode="External" Id="rId12114"/><Relationship Type="http://schemas.openxmlformats.org/officeDocument/2006/relationships/hyperlink" Target="imagenes/T_TAHARI_124009693_CHO_2.jpg" TargetMode="External" Id="rId12115"/><Relationship Type="http://schemas.openxmlformats.org/officeDocument/2006/relationships/hyperlink" Target="imagenes/T_TAHARI_124009693_CHO_3.jpg" TargetMode="External" Id="rId12116"/><Relationship Type="http://schemas.openxmlformats.org/officeDocument/2006/relationships/hyperlink" Target="imagenes/T_TAHARI_124009693_CHO_2.jpg" TargetMode="External" Id="rId12117"/><Relationship Type="http://schemas.openxmlformats.org/officeDocument/2006/relationships/hyperlink" Target="imagenes/T_TAHARI_124009693_CHO_3.jpg" TargetMode="External" Id="rId12118"/><Relationship Type="http://schemas.openxmlformats.org/officeDocument/2006/relationships/hyperlink" Target="imagenes/T_TAHARI_124009693_CHO_2.jpg" TargetMode="External" Id="rId12119"/><Relationship Type="http://schemas.openxmlformats.org/officeDocument/2006/relationships/hyperlink" Target="imagenes/T_TAHARI_124009693_CHO_3.jpg" TargetMode="External" Id="rId12120"/><Relationship Type="http://schemas.openxmlformats.org/officeDocument/2006/relationships/hyperlink" Target="imagenes/T_TAHARI_124009693_CHO_2.jpg" TargetMode="External" Id="rId12121"/><Relationship Type="http://schemas.openxmlformats.org/officeDocument/2006/relationships/hyperlink" Target="imagenes/T_TAHARI_124009693_CHO_3.jpg" TargetMode="External" Id="rId12122"/><Relationship Type="http://schemas.openxmlformats.org/officeDocument/2006/relationships/hyperlink" Target="imagenes/T_TAHARI_124009693_PLM_2.jpg" TargetMode="External" Id="rId12123"/><Relationship Type="http://schemas.openxmlformats.org/officeDocument/2006/relationships/hyperlink" Target="imagenes/T_TAHARI_124009693_PLM_3.jpg" TargetMode="External" Id="rId12124"/><Relationship Type="http://schemas.openxmlformats.org/officeDocument/2006/relationships/hyperlink" Target="imagenes/T_TAHARI_124009697_BLK_1.jpg" TargetMode="External" Id="rId12125"/><Relationship Type="http://schemas.openxmlformats.org/officeDocument/2006/relationships/hyperlink" Target="imagenes/T_TAHARI_124009697_BLK_2.jpg" TargetMode="External" Id="rId12126"/><Relationship Type="http://schemas.openxmlformats.org/officeDocument/2006/relationships/hyperlink" Target="imagenes/T_TAHARI_124009697_BLK_3.jpg" TargetMode="External" Id="rId12127"/><Relationship Type="http://schemas.openxmlformats.org/officeDocument/2006/relationships/hyperlink" Target="imagenes/T_TAHARI_124009697_BLK_1.jpg" TargetMode="External" Id="rId12128"/><Relationship Type="http://schemas.openxmlformats.org/officeDocument/2006/relationships/hyperlink" Target="imagenes/T_TAHARI_124009697_BLK_2.jpg" TargetMode="External" Id="rId12129"/><Relationship Type="http://schemas.openxmlformats.org/officeDocument/2006/relationships/hyperlink" Target="imagenes/T_TAHARI_124009697_BLK_3.jpg" TargetMode="External" Id="rId12130"/><Relationship Type="http://schemas.openxmlformats.org/officeDocument/2006/relationships/hyperlink" Target="imagenes/T_TAHARI_124009697_BLK_1.jpg" TargetMode="External" Id="rId12131"/><Relationship Type="http://schemas.openxmlformats.org/officeDocument/2006/relationships/hyperlink" Target="imagenes/T_TAHARI_124009697_BLK_2.jpg" TargetMode="External" Id="rId12132"/><Relationship Type="http://schemas.openxmlformats.org/officeDocument/2006/relationships/hyperlink" Target="imagenes/T_TAHARI_124009697_BLK_3.jpg" TargetMode="External" Id="rId12133"/><Relationship Type="http://schemas.openxmlformats.org/officeDocument/2006/relationships/hyperlink" Target="imagenes/T_TAHARI_124009697_BLK_1.jpg" TargetMode="External" Id="rId12134"/><Relationship Type="http://schemas.openxmlformats.org/officeDocument/2006/relationships/hyperlink" Target="imagenes/T_TAHARI_124009697_BLK_2.jpg" TargetMode="External" Id="rId12135"/><Relationship Type="http://schemas.openxmlformats.org/officeDocument/2006/relationships/hyperlink" Target="imagenes/T_TAHARI_124009697_BLK_3.jpg" TargetMode="External" Id="rId12136"/><Relationship Type="http://schemas.openxmlformats.org/officeDocument/2006/relationships/hyperlink" Target="imagenes/T_TAHARI_124009697_BLK_1.jpg" TargetMode="External" Id="rId12137"/><Relationship Type="http://schemas.openxmlformats.org/officeDocument/2006/relationships/hyperlink" Target="imagenes/T_TAHARI_124009697_BLK_2.jpg" TargetMode="External" Id="rId12138"/><Relationship Type="http://schemas.openxmlformats.org/officeDocument/2006/relationships/hyperlink" Target="imagenes/T_TAHARI_124009697_BLK_3.jpg" TargetMode="External" Id="rId12139"/><Relationship Type="http://schemas.openxmlformats.org/officeDocument/2006/relationships/hyperlink" Target="imagenes/T_TAHARI_124009697_GXY_1.jpg" TargetMode="External" Id="rId12140"/><Relationship Type="http://schemas.openxmlformats.org/officeDocument/2006/relationships/hyperlink" Target="imagenes/T_TAHARI_124009697_GXY_2.jpg" TargetMode="External" Id="rId12141"/><Relationship Type="http://schemas.openxmlformats.org/officeDocument/2006/relationships/hyperlink" Target="imagenes/T_TAHARI_124009697_GXY_3.jpg" TargetMode="External" Id="rId12142"/><Relationship Type="http://schemas.openxmlformats.org/officeDocument/2006/relationships/hyperlink" Target="imagenes/T_TAHARI_124009697_GXY_1.jpg" TargetMode="External" Id="rId12143"/><Relationship Type="http://schemas.openxmlformats.org/officeDocument/2006/relationships/hyperlink" Target="imagenes/T_TAHARI_124009697_GXY_2.jpg" TargetMode="External" Id="rId12144"/><Relationship Type="http://schemas.openxmlformats.org/officeDocument/2006/relationships/hyperlink" Target="imagenes/T_TAHARI_124009697_GXY_3.jpg" TargetMode="External" Id="rId12145"/><Relationship Type="http://schemas.openxmlformats.org/officeDocument/2006/relationships/hyperlink" Target="imagenes/T_TAHARI_124009697_GXY_1.jpg" TargetMode="External" Id="rId12146"/><Relationship Type="http://schemas.openxmlformats.org/officeDocument/2006/relationships/hyperlink" Target="imagenes/T_TAHARI_124009697_GXY_2.jpg" TargetMode="External" Id="rId12147"/><Relationship Type="http://schemas.openxmlformats.org/officeDocument/2006/relationships/hyperlink" Target="imagenes/T_TAHARI_124009697_GXY_3.jpg" TargetMode="External" Id="rId12148"/><Relationship Type="http://schemas.openxmlformats.org/officeDocument/2006/relationships/hyperlink" Target="imagenes/T_TAHARI_124009697_GXY_1.jpg" TargetMode="External" Id="rId12149"/><Relationship Type="http://schemas.openxmlformats.org/officeDocument/2006/relationships/hyperlink" Target="imagenes/T_TAHARI_124009697_GXY_2.jpg" TargetMode="External" Id="rId12150"/><Relationship Type="http://schemas.openxmlformats.org/officeDocument/2006/relationships/hyperlink" Target="imagenes/T_TAHARI_124009697_GXY_3.jpg" TargetMode="External" Id="rId12151"/><Relationship Type="http://schemas.openxmlformats.org/officeDocument/2006/relationships/hyperlink" Target="imagenes/T_TAHARI_124009697_GXY_1.jpg" TargetMode="External" Id="rId12152"/><Relationship Type="http://schemas.openxmlformats.org/officeDocument/2006/relationships/hyperlink" Target="imagenes/T_TAHARI_124009697_GXY_2.jpg" TargetMode="External" Id="rId12153"/><Relationship Type="http://schemas.openxmlformats.org/officeDocument/2006/relationships/hyperlink" Target="imagenes/T_TAHARI_124009697_GXY_3.jpg" TargetMode="External" Id="rId12154"/><Relationship Type="http://schemas.openxmlformats.org/officeDocument/2006/relationships/hyperlink" Target="imagenes/T_TAHARI_124009697_OLI_1.jpg" TargetMode="External" Id="rId12155"/><Relationship Type="http://schemas.openxmlformats.org/officeDocument/2006/relationships/hyperlink" Target="imagenes/T_TAHARI_124009697_OLI_2.jpg" TargetMode="External" Id="rId12156"/><Relationship Type="http://schemas.openxmlformats.org/officeDocument/2006/relationships/hyperlink" Target="imagenes/T_TAHARI_124009697_OLI_3.jpg" TargetMode="External" Id="rId12157"/><Relationship Type="http://schemas.openxmlformats.org/officeDocument/2006/relationships/hyperlink" Target="imagenes/T_TAHARI_124009699_BLK_1.jpg" TargetMode="External" Id="rId12158"/><Relationship Type="http://schemas.openxmlformats.org/officeDocument/2006/relationships/hyperlink" Target="imagenes/T_TAHARI_124009699_BLK_2.jpg" TargetMode="External" Id="rId12159"/><Relationship Type="http://schemas.openxmlformats.org/officeDocument/2006/relationships/hyperlink" Target="imagenes/T_TAHARI_124009699_BLK_3.jpg" TargetMode="External" Id="rId12160"/><Relationship Type="http://schemas.openxmlformats.org/officeDocument/2006/relationships/hyperlink" Target="imagenes/T_TAHARI_124009699_BLK_1.jpg" TargetMode="External" Id="rId12161"/><Relationship Type="http://schemas.openxmlformats.org/officeDocument/2006/relationships/hyperlink" Target="imagenes/T_TAHARI_124009699_BLK_2.jpg" TargetMode="External" Id="rId12162"/><Relationship Type="http://schemas.openxmlformats.org/officeDocument/2006/relationships/hyperlink" Target="imagenes/T_TAHARI_124009699_BLK_3.jpg" TargetMode="External" Id="rId12163"/><Relationship Type="http://schemas.openxmlformats.org/officeDocument/2006/relationships/hyperlink" Target="imagenes/T_TAHARI_124009699_BLK_1.jpg" TargetMode="External" Id="rId12164"/><Relationship Type="http://schemas.openxmlformats.org/officeDocument/2006/relationships/hyperlink" Target="imagenes/T_TAHARI_124009699_BLK_2.jpg" TargetMode="External" Id="rId12165"/><Relationship Type="http://schemas.openxmlformats.org/officeDocument/2006/relationships/hyperlink" Target="imagenes/T_TAHARI_124009699_BLK_3.jpg" TargetMode="External" Id="rId12166"/><Relationship Type="http://schemas.openxmlformats.org/officeDocument/2006/relationships/hyperlink" Target="imagenes/T_TAHARI_124009699_BLK_1.jpg" TargetMode="External" Id="rId12167"/><Relationship Type="http://schemas.openxmlformats.org/officeDocument/2006/relationships/hyperlink" Target="imagenes/T_TAHARI_124009699_BLK_2.jpg" TargetMode="External" Id="rId12168"/><Relationship Type="http://schemas.openxmlformats.org/officeDocument/2006/relationships/hyperlink" Target="imagenes/T_TAHARI_124009699_BLK_3.jpg" TargetMode="External" Id="rId12169"/><Relationship Type="http://schemas.openxmlformats.org/officeDocument/2006/relationships/hyperlink" Target="imagenes/T_TAHARI_124009699_BLK_1.jpg" TargetMode="External" Id="rId12170"/><Relationship Type="http://schemas.openxmlformats.org/officeDocument/2006/relationships/hyperlink" Target="imagenes/T_TAHARI_124009699_BLK_2.jpg" TargetMode="External" Id="rId12171"/><Relationship Type="http://schemas.openxmlformats.org/officeDocument/2006/relationships/hyperlink" Target="imagenes/T_TAHARI_124009699_BLK_3.jpg" TargetMode="External" Id="rId12172"/><Relationship Type="http://schemas.openxmlformats.org/officeDocument/2006/relationships/hyperlink" Target="imagenes/T_TAHARI_124009699_BLK_1.jpg" TargetMode="External" Id="rId12173"/><Relationship Type="http://schemas.openxmlformats.org/officeDocument/2006/relationships/hyperlink" Target="imagenes/T_TAHARI_124009699_BLK_2.jpg" TargetMode="External" Id="rId12174"/><Relationship Type="http://schemas.openxmlformats.org/officeDocument/2006/relationships/hyperlink" Target="imagenes/T_TAHARI_124009699_BLK_3.jpg" TargetMode="External" Id="rId12175"/><Relationship Type="http://schemas.openxmlformats.org/officeDocument/2006/relationships/hyperlink" Target="imagenes/T_TAHARI_124009699_BLK_1.jpg" TargetMode="External" Id="rId12176"/><Relationship Type="http://schemas.openxmlformats.org/officeDocument/2006/relationships/hyperlink" Target="imagenes/T_TAHARI_124009699_BLK_2.jpg" TargetMode="External" Id="rId12177"/><Relationship Type="http://schemas.openxmlformats.org/officeDocument/2006/relationships/hyperlink" Target="imagenes/T_TAHARI_124009699_BLK_3.jpg" TargetMode="External" Id="rId12178"/><Relationship Type="http://schemas.openxmlformats.org/officeDocument/2006/relationships/hyperlink" Target="imagenes/T_TAHARI_124009699_BLK_1.jpg" TargetMode="External" Id="rId12179"/><Relationship Type="http://schemas.openxmlformats.org/officeDocument/2006/relationships/hyperlink" Target="imagenes/T_TAHARI_124009699_BLK_2.jpg" TargetMode="External" Id="rId12180"/><Relationship Type="http://schemas.openxmlformats.org/officeDocument/2006/relationships/hyperlink" Target="imagenes/T_TAHARI_124009699_BLK_3.jpg" TargetMode="External" Id="rId12181"/><Relationship Type="http://schemas.openxmlformats.org/officeDocument/2006/relationships/hyperlink" Target="imagenes/T_TAHARI_124009699_BLK_1.jpg" TargetMode="External" Id="rId12182"/><Relationship Type="http://schemas.openxmlformats.org/officeDocument/2006/relationships/hyperlink" Target="imagenes/T_TAHARI_124009699_BLK_2.jpg" TargetMode="External" Id="rId12183"/><Relationship Type="http://schemas.openxmlformats.org/officeDocument/2006/relationships/hyperlink" Target="imagenes/T_TAHARI_124009699_BLK_3.jpg" TargetMode="External" Id="rId12184"/><Relationship Type="http://schemas.openxmlformats.org/officeDocument/2006/relationships/hyperlink" Target="imagenes/T_TAHARI_124009699_BLK_1.jpg" TargetMode="External" Id="rId12185"/><Relationship Type="http://schemas.openxmlformats.org/officeDocument/2006/relationships/hyperlink" Target="imagenes/T_TAHARI_124009699_BLK_2.jpg" TargetMode="External" Id="rId12186"/><Relationship Type="http://schemas.openxmlformats.org/officeDocument/2006/relationships/hyperlink" Target="imagenes/T_TAHARI_124009699_BLK_3.jpg" TargetMode="External" Id="rId12187"/><Relationship Type="http://schemas.openxmlformats.org/officeDocument/2006/relationships/hyperlink" Target="imagenes/T_TAHARI_124009699_IVY_1.jpg" TargetMode="External" Id="rId12188"/><Relationship Type="http://schemas.openxmlformats.org/officeDocument/2006/relationships/hyperlink" Target="imagenes/T_TAHARI_124009699_IVY_2.jpg" TargetMode="External" Id="rId12189"/><Relationship Type="http://schemas.openxmlformats.org/officeDocument/2006/relationships/hyperlink" Target="imagenes/T_TAHARI_124009699_IVY_3.jpg" TargetMode="External" Id="rId12190"/><Relationship Type="http://schemas.openxmlformats.org/officeDocument/2006/relationships/hyperlink" Target="imagenes/T_TAHARI_124009699_IVY_1.jpg" TargetMode="External" Id="rId12191"/><Relationship Type="http://schemas.openxmlformats.org/officeDocument/2006/relationships/hyperlink" Target="imagenes/T_TAHARI_124009699_IVY_2.jpg" TargetMode="External" Id="rId12192"/><Relationship Type="http://schemas.openxmlformats.org/officeDocument/2006/relationships/hyperlink" Target="imagenes/T_TAHARI_124009699_IVY_3.jpg" TargetMode="External" Id="rId12193"/><Relationship Type="http://schemas.openxmlformats.org/officeDocument/2006/relationships/hyperlink" Target="imagenes/T_TAHARI_124009699_IVY_1.jpg" TargetMode="External" Id="rId12194"/><Relationship Type="http://schemas.openxmlformats.org/officeDocument/2006/relationships/hyperlink" Target="imagenes/T_TAHARI_124009699_IVY_2.jpg" TargetMode="External" Id="rId12195"/><Relationship Type="http://schemas.openxmlformats.org/officeDocument/2006/relationships/hyperlink" Target="imagenes/T_TAHARI_124009699_IVY_3.jpg" TargetMode="External" Id="rId12196"/><Relationship Type="http://schemas.openxmlformats.org/officeDocument/2006/relationships/hyperlink" Target="imagenes/T_TAHARI_124009699_IVY_1.jpg" TargetMode="External" Id="rId12197"/><Relationship Type="http://schemas.openxmlformats.org/officeDocument/2006/relationships/hyperlink" Target="imagenes/T_TAHARI_124009699_IVY_2.jpg" TargetMode="External" Id="rId12198"/><Relationship Type="http://schemas.openxmlformats.org/officeDocument/2006/relationships/hyperlink" Target="imagenes/T_TAHARI_124009699_IVY_3.jpg" TargetMode="External" Id="rId12199"/><Relationship Type="http://schemas.openxmlformats.org/officeDocument/2006/relationships/hyperlink" Target="imagenes/T_TAHARI_124009699_IVY_1.jpg" TargetMode="External" Id="rId12200"/><Relationship Type="http://schemas.openxmlformats.org/officeDocument/2006/relationships/hyperlink" Target="imagenes/T_TAHARI_124009699_IVY_2.jpg" TargetMode="External" Id="rId12201"/><Relationship Type="http://schemas.openxmlformats.org/officeDocument/2006/relationships/hyperlink" Target="imagenes/T_TAHARI_124009699_IVY_3.jpg" TargetMode="External" Id="rId12202"/><Relationship Type="http://schemas.openxmlformats.org/officeDocument/2006/relationships/hyperlink" Target="imagenes/T_TAHARI_124009699_IVY_1.jpg" TargetMode="External" Id="rId12203"/><Relationship Type="http://schemas.openxmlformats.org/officeDocument/2006/relationships/hyperlink" Target="imagenes/T_TAHARI_124009699_IVY_2.jpg" TargetMode="External" Id="rId12204"/><Relationship Type="http://schemas.openxmlformats.org/officeDocument/2006/relationships/hyperlink" Target="imagenes/T_TAHARI_124009699_IVY_3.jpg" TargetMode="External" Id="rId12205"/><Relationship Type="http://schemas.openxmlformats.org/officeDocument/2006/relationships/hyperlink" Target="imagenes/T_TAHARI_124009699_IVY_1.jpg" TargetMode="External" Id="rId12206"/><Relationship Type="http://schemas.openxmlformats.org/officeDocument/2006/relationships/hyperlink" Target="imagenes/T_TAHARI_124009699_IVY_2.jpg" TargetMode="External" Id="rId12207"/><Relationship Type="http://schemas.openxmlformats.org/officeDocument/2006/relationships/hyperlink" Target="imagenes/T_TAHARI_124009699_IVY_3.jpg" TargetMode="External" Id="rId12208"/><Relationship Type="http://schemas.openxmlformats.org/officeDocument/2006/relationships/hyperlink" Target="imagenes/T_TAHARI_124009699_IVY_1.jpg" TargetMode="External" Id="rId12209"/><Relationship Type="http://schemas.openxmlformats.org/officeDocument/2006/relationships/hyperlink" Target="imagenes/T_TAHARI_124009699_IVY_2.jpg" TargetMode="External" Id="rId12210"/><Relationship Type="http://schemas.openxmlformats.org/officeDocument/2006/relationships/hyperlink" Target="imagenes/T_TAHARI_124009699_IVY_3.jpg" TargetMode="External" Id="rId12211"/><Relationship Type="http://schemas.openxmlformats.org/officeDocument/2006/relationships/hyperlink" Target="imagenes/T_TAHARI_124009699_IVY_1.jpg" TargetMode="External" Id="rId12212"/><Relationship Type="http://schemas.openxmlformats.org/officeDocument/2006/relationships/hyperlink" Target="imagenes/T_TAHARI_124009699_IVY_2.jpg" TargetMode="External" Id="rId12213"/><Relationship Type="http://schemas.openxmlformats.org/officeDocument/2006/relationships/hyperlink" Target="imagenes/T_TAHARI_124009699_IVY_3.jpg" TargetMode="External" Id="rId12214"/><Relationship Type="http://schemas.openxmlformats.org/officeDocument/2006/relationships/hyperlink" Target="imagenes/T_TAHARI_124009699_IVY_1.jpg" TargetMode="External" Id="rId12215"/><Relationship Type="http://schemas.openxmlformats.org/officeDocument/2006/relationships/hyperlink" Target="imagenes/T_TAHARI_124009699_IVY_2.jpg" TargetMode="External" Id="rId12216"/><Relationship Type="http://schemas.openxmlformats.org/officeDocument/2006/relationships/hyperlink" Target="imagenes/T_TAHARI_124009699_IVY_3.jpg" TargetMode="External" Id="rId12217"/><Relationship Type="http://schemas.openxmlformats.org/officeDocument/2006/relationships/hyperlink" Target="imagenes/T_TAHARI_124009699_MOT_1.jpg" TargetMode="External" Id="rId12218"/><Relationship Type="http://schemas.openxmlformats.org/officeDocument/2006/relationships/hyperlink" Target="imagenes/T_TAHARI_124009699_MOT_2.jpg" TargetMode="External" Id="rId12219"/><Relationship Type="http://schemas.openxmlformats.org/officeDocument/2006/relationships/hyperlink" Target="imagenes/T_TAHARI_124009699_MOT_3.jpg" TargetMode="External" Id="rId12220"/><Relationship Type="http://schemas.openxmlformats.org/officeDocument/2006/relationships/hyperlink" Target="imagenes/T_TAHARI_124009699_MOT_1.jpg" TargetMode="External" Id="rId12221"/><Relationship Type="http://schemas.openxmlformats.org/officeDocument/2006/relationships/hyperlink" Target="imagenes/T_TAHARI_124009699_MOT_2.jpg" TargetMode="External" Id="rId12222"/><Relationship Type="http://schemas.openxmlformats.org/officeDocument/2006/relationships/hyperlink" Target="imagenes/T_TAHARI_124009699_MOT_3.jpg" TargetMode="External" Id="rId12223"/><Relationship Type="http://schemas.openxmlformats.org/officeDocument/2006/relationships/hyperlink" Target="imagenes/T_TAHARI_124009699_MOT_1.jpg" TargetMode="External" Id="rId12224"/><Relationship Type="http://schemas.openxmlformats.org/officeDocument/2006/relationships/hyperlink" Target="imagenes/T_TAHARI_124009699_MOT_2.jpg" TargetMode="External" Id="rId12225"/><Relationship Type="http://schemas.openxmlformats.org/officeDocument/2006/relationships/hyperlink" Target="imagenes/T_TAHARI_124009699_MOT_3.jpg" TargetMode="External" Id="rId12226"/><Relationship Type="http://schemas.openxmlformats.org/officeDocument/2006/relationships/hyperlink" Target="imagenes/T_TAHARI_124009699_MOT_1.jpg" TargetMode="External" Id="rId12227"/><Relationship Type="http://schemas.openxmlformats.org/officeDocument/2006/relationships/hyperlink" Target="imagenes/T_TAHARI_124009699_MOT_2.jpg" TargetMode="External" Id="rId12228"/><Relationship Type="http://schemas.openxmlformats.org/officeDocument/2006/relationships/hyperlink" Target="imagenes/T_TAHARI_124009699_MOT_3.jpg" TargetMode="External" Id="rId12229"/><Relationship Type="http://schemas.openxmlformats.org/officeDocument/2006/relationships/hyperlink" Target="imagenes/T_TAHARI_124009699_MOT_1.jpg" TargetMode="External" Id="rId12230"/><Relationship Type="http://schemas.openxmlformats.org/officeDocument/2006/relationships/hyperlink" Target="imagenes/T_TAHARI_124009699_MOT_2.jpg" TargetMode="External" Id="rId12231"/><Relationship Type="http://schemas.openxmlformats.org/officeDocument/2006/relationships/hyperlink" Target="imagenes/T_TAHARI_124009699_MOT_3.jpg" TargetMode="External" Id="rId12232"/><Relationship Type="http://schemas.openxmlformats.org/officeDocument/2006/relationships/hyperlink" Target="imagenes/T_TAHARI_124009699_MOT_1.jpg" TargetMode="External" Id="rId12233"/><Relationship Type="http://schemas.openxmlformats.org/officeDocument/2006/relationships/hyperlink" Target="imagenes/T_TAHARI_124009699_MOT_2.jpg" TargetMode="External" Id="rId12234"/><Relationship Type="http://schemas.openxmlformats.org/officeDocument/2006/relationships/hyperlink" Target="imagenes/T_TAHARI_124009699_MOT_3.jpg" TargetMode="External" Id="rId12235"/><Relationship Type="http://schemas.openxmlformats.org/officeDocument/2006/relationships/hyperlink" Target="imagenes/T_TAHARI_124009699_MOT_1.jpg" TargetMode="External" Id="rId12236"/><Relationship Type="http://schemas.openxmlformats.org/officeDocument/2006/relationships/hyperlink" Target="imagenes/T_TAHARI_124009699_MOT_2.jpg" TargetMode="External" Id="rId12237"/><Relationship Type="http://schemas.openxmlformats.org/officeDocument/2006/relationships/hyperlink" Target="imagenes/T_TAHARI_124009699_MOT_3.jpg" TargetMode="External" Id="rId12238"/><Relationship Type="http://schemas.openxmlformats.org/officeDocument/2006/relationships/hyperlink" Target="imagenes/T_TAHARI_124009699_MOT_1.jpg" TargetMode="External" Id="rId12239"/><Relationship Type="http://schemas.openxmlformats.org/officeDocument/2006/relationships/hyperlink" Target="imagenes/T_TAHARI_124009699_MOT_2.jpg" TargetMode="External" Id="rId12240"/><Relationship Type="http://schemas.openxmlformats.org/officeDocument/2006/relationships/hyperlink" Target="imagenes/T_TAHARI_124009699_MOT_3.jpg" TargetMode="External" Id="rId12241"/><Relationship Type="http://schemas.openxmlformats.org/officeDocument/2006/relationships/hyperlink" Target="imagenes/T_TAHARI_124009699_MOT_1.jpg" TargetMode="External" Id="rId12242"/><Relationship Type="http://schemas.openxmlformats.org/officeDocument/2006/relationships/hyperlink" Target="imagenes/T_TAHARI_124009699_MOT_2.jpg" TargetMode="External" Id="rId12243"/><Relationship Type="http://schemas.openxmlformats.org/officeDocument/2006/relationships/hyperlink" Target="imagenes/T_TAHARI_124009699_MOT_3.jpg" TargetMode="External" Id="rId12244"/><Relationship Type="http://schemas.openxmlformats.org/officeDocument/2006/relationships/hyperlink" Target="imagenes/T_TAHARI_124009699_MOT_1.jpg" TargetMode="External" Id="rId12245"/><Relationship Type="http://schemas.openxmlformats.org/officeDocument/2006/relationships/hyperlink" Target="imagenes/T_TAHARI_124009699_MOT_2.jpg" TargetMode="External" Id="rId12246"/><Relationship Type="http://schemas.openxmlformats.org/officeDocument/2006/relationships/hyperlink" Target="imagenes/T_TAHARI_124009699_MOT_3.jpg" TargetMode="External" Id="rId12247"/><Relationship Type="http://schemas.openxmlformats.org/officeDocument/2006/relationships/hyperlink" Target="imagenes/T_TAHARI_124010143_BLK_1.jpg" TargetMode="External" Id="rId12248"/><Relationship Type="http://schemas.openxmlformats.org/officeDocument/2006/relationships/hyperlink" Target="imagenes/T_TAHARI_124010143_BLK_2.jpg" TargetMode="External" Id="rId12249"/><Relationship Type="http://schemas.openxmlformats.org/officeDocument/2006/relationships/hyperlink" Target="imagenes/T_TAHARI_124010143_BLK_3.jpg" TargetMode="External" Id="rId12250"/><Relationship Type="http://schemas.openxmlformats.org/officeDocument/2006/relationships/hyperlink" Target="imagenes/T_TAHARI_124010143_BLK_1.jpg" TargetMode="External" Id="rId12251"/><Relationship Type="http://schemas.openxmlformats.org/officeDocument/2006/relationships/hyperlink" Target="imagenes/T_TAHARI_124010143_BLK_2.jpg" TargetMode="External" Id="rId12252"/><Relationship Type="http://schemas.openxmlformats.org/officeDocument/2006/relationships/hyperlink" Target="imagenes/T_TAHARI_124010143_BLK_3.jpg" TargetMode="External" Id="rId12253"/><Relationship Type="http://schemas.openxmlformats.org/officeDocument/2006/relationships/hyperlink" Target="imagenes/T_TAHARI_124010143_BLK_1.jpg" TargetMode="External" Id="rId12254"/><Relationship Type="http://schemas.openxmlformats.org/officeDocument/2006/relationships/hyperlink" Target="imagenes/T_TAHARI_124010143_BLK_2.jpg" TargetMode="External" Id="rId12255"/><Relationship Type="http://schemas.openxmlformats.org/officeDocument/2006/relationships/hyperlink" Target="imagenes/T_TAHARI_124010143_BLK_3.jpg" TargetMode="External" Id="rId12256"/><Relationship Type="http://schemas.openxmlformats.org/officeDocument/2006/relationships/hyperlink" Target="imagenes/T_TAHARI_124010143_BLK_1.jpg" TargetMode="External" Id="rId12257"/><Relationship Type="http://schemas.openxmlformats.org/officeDocument/2006/relationships/hyperlink" Target="imagenes/T_TAHARI_124010143_BLK_2.jpg" TargetMode="External" Id="rId12258"/><Relationship Type="http://schemas.openxmlformats.org/officeDocument/2006/relationships/hyperlink" Target="imagenes/T_TAHARI_124010143_BLK_3.jpg" TargetMode="External" Id="rId12259"/><Relationship Type="http://schemas.openxmlformats.org/officeDocument/2006/relationships/hyperlink" Target="imagenes/T_TAHARI_124010143_BLK_1.jpg" TargetMode="External" Id="rId12260"/><Relationship Type="http://schemas.openxmlformats.org/officeDocument/2006/relationships/hyperlink" Target="imagenes/T_TAHARI_124010143_BLK_2.jpg" TargetMode="External" Id="rId12261"/><Relationship Type="http://schemas.openxmlformats.org/officeDocument/2006/relationships/hyperlink" Target="imagenes/T_TAHARI_124010143_BLK_3.jpg" TargetMode="External" Id="rId12262"/><Relationship Type="http://schemas.openxmlformats.org/officeDocument/2006/relationships/hyperlink" Target="imagenes/T_TAHARI_124010143_BLK_1.jpg" TargetMode="External" Id="rId12263"/><Relationship Type="http://schemas.openxmlformats.org/officeDocument/2006/relationships/hyperlink" Target="imagenes/T_TAHARI_124010143_BLK_2.jpg" TargetMode="External" Id="rId12264"/><Relationship Type="http://schemas.openxmlformats.org/officeDocument/2006/relationships/hyperlink" Target="imagenes/T_TAHARI_124010143_BLK_3.jpg" TargetMode="External" Id="rId12265"/><Relationship Type="http://schemas.openxmlformats.org/officeDocument/2006/relationships/hyperlink" Target="imagenes/T_TAHARI_124010143_BLK_1.jpg" TargetMode="External" Id="rId12266"/><Relationship Type="http://schemas.openxmlformats.org/officeDocument/2006/relationships/hyperlink" Target="imagenes/T_TAHARI_124010143_BLK_2.jpg" TargetMode="External" Id="rId12267"/><Relationship Type="http://schemas.openxmlformats.org/officeDocument/2006/relationships/hyperlink" Target="imagenes/T_TAHARI_124010143_BLK_3.jpg" TargetMode="External" Id="rId12268"/><Relationship Type="http://schemas.openxmlformats.org/officeDocument/2006/relationships/hyperlink" Target="imagenes/T_TAHARI_124010143_BLK_1.jpg" TargetMode="External" Id="rId12269"/><Relationship Type="http://schemas.openxmlformats.org/officeDocument/2006/relationships/hyperlink" Target="imagenes/T_TAHARI_124010143_BLK_2.jpg" TargetMode="External" Id="rId12270"/><Relationship Type="http://schemas.openxmlformats.org/officeDocument/2006/relationships/hyperlink" Target="imagenes/T_TAHARI_124010143_BLK_3.jpg" TargetMode="External" Id="rId12271"/><Relationship Type="http://schemas.openxmlformats.org/officeDocument/2006/relationships/hyperlink" Target="imagenes/T_TAHARI_124010143_BLK_1.jpg" TargetMode="External" Id="rId12272"/><Relationship Type="http://schemas.openxmlformats.org/officeDocument/2006/relationships/hyperlink" Target="imagenes/T_TAHARI_124010143_BLK_2.jpg" TargetMode="External" Id="rId12273"/><Relationship Type="http://schemas.openxmlformats.org/officeDocument/2006/relationships/hyperlink" Target="imagenes/T_TAHARI_124010143_BLK_3.jpg" TargetMode="External" Id="rId12274"/><Relationship Type="http://schemas.openxmlformats.org/officeDocument/2006/relationships/hyperlink" Target="imagenes/T_TAHARI_124010143_BLK_1.jpg" TargetMode="External" Id="rId12275"/><Relationship Type="http://schemas.openxmlformats.org/officeDocument/2006/relationships/hyperlink" Target="imagenes/T_TAHARI_124010143_BLK_2.jpg" TargetMode="External" Id="rId12276"/><Relationship Type="http://schemas.openxmlformats.org/officeDocument/2006/relationships/hyperlink" Target="imagenes/T_TAHARI_124010143_BLK_3.jpg" TargetMode="External" Id="rId12277"/><Relationship Type="http://schemas.openxmlformats.org/officeDocument/2006/relationships/hyperlink" Target="imagenes/T_TAHARI_124010143_BLK_1.jpg" TargetMode="External" Id="rId12278"/><Relationship Type="http://schemas.openxmlformats.org/officeDocument/2006/relationships/hyperlink" Target="imagenes/T_TAHARI_124010143_BLK_2.jpg" TargetMode="External" Id="rId12279"/><Relationship Type="http://schemas.openxmlformats.org/officeDocument/2006/relationships/hyperlink" Target="imagenes/T_TAHARI_124010143_BLK_3.jpg" TargetMode="External" Id="rId12280"/><Relationship Type="http://schemas.openxmlformats.org/officeDocument/2006/relationships/hyperlink" Target="imagenes/T_TAHARI_124010143_BLK_1.jpg" TargetMode="External" Id="rId12281"/><Relationship Type="http://schemas.openxmlformats.org/officeDocument/2006/relationships/hyperlink" Target="imagenes/T_TAHARI_124010143_BLK_2.jpg" TargetMode="External" Id="rId12282"/><Relationship Type="http://schemas.openxmlformats.org/officeDocument/2006/relationships/hyperlink" Target="imagenes/T_TAHARI_124010143_BLK_3.jpg" TargetMode="External" Id="rId12283"/><Relationship Type="http://schemas.openxmlformats.org/officeDocument/2006/relationships/hyperlink" Target="imagenes/T_TAHARI_124010143_BLK_1.jpg" TargetMode="External" Id="rId12284"/><Relationship Type="http://schemas.openxmlformats.org/officeDocument/2006/relationships/hyperlink" Target="imagenes/T_TAHARI_124010143_BLK_2.jpg" TargetMode="External" Id="rId12285"/><Relationship Type="http://schemas.openxmlformats.org/officeDocument/2006/relationships/hyperlink" Target="imagenes/T_TAHARI_124010143_BLK_3.jpg" TargetMode="External" Id="rId12286"/><Relationship Type="http://schemas.openxmlformats.org/officeDocument/2006/relationships/hyperlink" Target="imagenes/T_TAHARI_124010143_BLK_1.jpg" TargetMode="External" Id="rId12287"/><Relationship Type="http://schemas.openxmlformats.org/officeDocument/2006/relationships/hyperlink" Target="imagenes/T_TAHARI_124010143_BLK_2.jpg" TargetMode="External" Id="rId12288"/><Relationship Type="http://schemas.openxmlformats.org/officeDocument/2006/relationships/hyperlink" Target="imagenes/T_TAHARI_124010143_BLK_3.jpg" TargetMode="External" Id="rId12289"/><Relationship Type="http://schemas.openxmlformats.org/officeDocument/2006/relationships/hyperlink" Target="imagenes/T_TAHARI_124010143_BLK_1.jpg" TargetMode="External" Id="rId12290"/><Relationship Type="http://schemas.openxmlformats.org/officeDocument/2006/relationships/hyperlink" Target="imagenes/T_TAHARI_124010143_BLK_2.jpg" TargetMode="External" Id="rId12291"/><Relationship Type="http://schemas.openxmlformats.org/officeDocument/2006/relationships/hyperlink" Target="imagenes/T_TAHARI_124010143_BLK_3.jpg" TargetMode="External" Id="rId12292"/><Relationship Type="http://schemas.openxmlformats.org/officeDocument/2006/relationships/hyperlink" Target="imagenes/T_TAHARI_124010143_BLK_1.jpg" TargetMode="External" Id="rId12293"/><Relationship Type="http://schemas.openxmlformats.org/officeDocument/2006/relationships/hyperlink" Target="imagenes/T_TAHARI_124010143_BLK_2.jpg" TargetMode="External" Id="rId12294"/><Relationship Type="http://schemas.openxmlformats.org/officeDocument/2006/relationships/hyperlink" Target="imagenes/T_TAHARI_124010143_BLK_3.jpg" TargetMode="External" Id="rId12295"/><Relationship Type="http://schemas.openxmlformats.org/officeDocument/2006/relationships/hyperlink" Target="imagenes/T_TAHARI_124010143_BLK_1.jpg" TargetMode="External" Id="rId12296"/><Relationship Type="http://schemas.openxmlformats.org/officeDocument/2006/relationships/hyperlink" Target="imagenes/T_TAHARI_124010143_BLK_2.jpg" TargetMode="External" Id="rId12297"/><Relationship Type="http://schemas.openxmlformats.org/officeDocument/2006/relationships/hyperlink" Target="imagenes/T_TAHARI_124010143_BLK_3.jpg" TargetMode="External" Id="rId12298"/><Relationship Type="http://schemas.openxmlformats.org/officeDocument/2006/relationships/hyperlink" Target="imagenes/T_TAHARI_124010143_CHO_1.jpg" TargetMode="External" Id="rId12299"/><Relationship Type="http://schemas.openxmlformats.org/officeDocument/2006/relationships/hyperlink" Target="imagenes/T_TAHARI_124010143_CHO_2.jpg" TargetMode="External" Id="rId12300"/><Relationship Type="http://schemas.openxmlformats.org/officeDocument/2006/relationships/hyperlink" Target="imagenes/T_TAHARI_124010143_CHO_3.jpg" TargetMode="External" Id="rId12301"/><Relationship Type="http://schemas.openxmlformats.org/officeDocument/2006/relationships/hyperlink" Target="imagenes/T_TAHARI_124010143_CHO_1.jpg" TargetMode="External" Id="rId12302"/><Relationship Type="http://schemas.openxmlformats.org/officeDocument/2006/relationships/hyperlink" Target="imagenes/T_TAHARI_124010143_CHO_2.jpg" TargetMode="External" Id="rId12303"/><Relationship Type="http://schemas.openxmlformats.org/officeDocument/2006/relationships/hyperlink" Target="imagenes/T_TAHARI_124010143_CHO_3.jpg" TargetMode="External" Id="rId12304"/><Relationship Type="http://schemas.openxmlformats.org/officeDocument/2006/relationships/hyperlink" Target="imagenes/T_TAHARI_124010143_CHO_1.jpg" TargetMode="External" Id="rId12305"/><Relationship Type="http://schemas.openxmlformats.org/officeDocument/2006/relationships/hyperlink" Target="imagenes/T_TAHARI_124010143_CHO_2.jpg" TargetMode="External" Id="rId12306"/><Relationship Type="http://schemas.openxmlformats.org/officeDocument/2006/relationships/hyperlink" Target="imagenes/T_TAHARI_124010143_CHO_3.jpg" TargetMode="External" Id="rId12307"/><Relationship Type="http://schemas.openxmlformats.org/officeDocument/2006/relationships/hyperlink" Target="imagenes/T_TAHARI_124010143_CHO_1.jpg" TargetMode="External" Id="rId12308"/><Relationship Type="http://schemas.openxmlformats.org/officeDocument/2006/relationships/hyperlink" Target="imagenes/T_TAHARI_124010143_CHO_2.jpg" TargetMode="External" Id="rId12309"/><Relationship Type="http://schemas.openxmlformats.org/officeDocument/2006/relationships/hyperlink" Target="imagenes/T_TAHARI_124010143_CHO_3.jpg" TargetMode="External" Id="rId12310"/><Relationship Type="http://schemas.openxmlformats.org/officeDocument/2006/relationships/hyperlink" Target="imagenes/T_TAHARI_124010143_CHO_1.jpg" TargetMode="External" Id="rId12311"/><Relationship Type="http://schemas.openxmlformats.org/officeDocument/2006/relationships/hyperlink" Target="imagenes/T_TAHARI_124010143_CHO_2.jpg" TargetMode="External" Id="rId12312"/><Relationship Type="http://schemas.openxmlformats.org/officeDocument/2006/relationships/hyperlink" Target="imagenes/T_TAHARI_124010143_CHO_3.jpg" TargetMode="External" Id="rId12313"/><Relationship Type="http://schemas.openxmlformats.org/officeDocument/2006/relationships/hyperlink" Target="imagenes/T_TAHARI_124010143_CHO_1.jpg" TargetMode="External" Id="rId12314"/><Relationship Type="http://schemas.openxmlformats.org/officeDocument/2006/relationships/hyperlink" Target="imagenes/T_TAHARI_124010143_CHO_2.jpg" TargetMode="External" Id="rId12315"/><Relationship Type="http://schemas.openxmlformats.org/officeDocument/2006/relationships/hyperlink" Target="imagenes/T_TAHARI_124010143_CHO_3.jpg" TargetMode="External" Id="rId12316"/><Relationship Type="http://schemas.openxmlformats.org/officeDocument/2006/relationships/hyperlink" Target="imagenes/T_TAHARI_124010143_CHO_1.jpg" TargetMode="External" Id="rId12317"/><Relationship Type="http://schemas.openxmlformats.org/officeDocument/2006/relationships/hyperlink" Target="imagenes/T_TAHARI_124010143_CHO_2.jpg" TargetMode="External" Id="rId12318"/><Relationship Type="http://schemas.openxmlformats.org/officeDocument/2006/relationships/hyperlink" Target="imagenes/T_TAHARI_124010143_CHO_3.jpg" TargetMode="External" Id="rId12319"/><Relationship Type="http://schemas.openxmlformats.org/officeDocument/2006/relationships/hyperlink" Target="imagenes/T_TAHARI_124010143_CHO_1.jpg" TargetMode="External" Id="rId12320"/><Relationship Type="http://schemas.openxmlformats.org/officeDocument/2006/relationships/hyperlink" Target="imagenes/T_TAHARI_124010143_CHO_2.jpg" TargetMode="External" Id="rId12321"/><Relationship Type="http://schemas.openxmlformats.org/officeDocument/2006/relationships/hyperlink" Target="imagenes/T_TAHARI_124010143_CHO_3.jpg" TargetMode="External" Id="rId12322"/><Relationship Type="http://schemas.openxmlformats.org/officeDocument/2006/relationships/hyperlink" Target="imagenes/T_TAHARI_124010143_CHO_1.jpg" TargetMode="External" Id="rId12323"/><Relationship Type="http://schemas.openxmlformats.org/officeDocument/2006/relationships/hyperlink" Target="imagenes/T_TAHARI_124010143_CHO_2.jpg" TargetMode="External" Id="rId12324"/><Relationship Type="http://schemas.openxmlformats.org/officeDocument/2006/relationships/hyperlink" Target="imagenes/T_TAHARI_124010143_CHO_3.jpg" TargetMode="External" Id="rId12325"/><Relationship Type="http://schemas.openxmlformats.org/officeDocument/2006/relationships/hyperlink" Target="imagenes/T_TAHARI_124010143_CHO_1.jpg" TargetMode="External" Id="rId12326"/><Relationship Type="http://schemas.openxmlformats.org/officeDocument/2006/relationships/hyperlink" Target="imagenes/T_TAHARI_124010143_CHO_2.jpg" TargetMode="External" Id="rId12327"/><Relationship Type="http://schemas.openxmlformats.org/officeDocument/2006/relationships/hyperlink" Target="imagenes/T_TAHARI_124010143_CHO_3.jpg" TargetMode="External" Id="rId12328"/><Relationship Type="http://schemas.openxmlformats.org/officeDocument/2006/relationships/hyperlink" Target="imagenes/T_TAHARI_124010143_CHO_1.jpg" TargetMode="External" Id="rId12329"/><Relationship Type="http://schemas.openxmlformats.org/officeDocument/2006/relationships/hyperlink" Target="imagenes/T_TAHARI_124010143_CHO_2.jpg" TargetMode="External" Id="rId12330"/><Relationship Type="http://schemas.openxmlformats.org/officeDocument/2006/relationships/hyperlink" Target="imagenes/T_TAHARI_124010143_CHO_3.jpg" TargetMode="External" Id="rId12331"/><Relationship Type="http://schemas.openxmlformats.org/officeDocument/2006/relationships/hyperlink" Target="imagenes/T_TAHARI_124010143_CHO_1.jpg" TargetMode="External" Id="rId12332"/><Relationship Type="http://schemas.openxmlformats.org/officeDocument/2006/relationships/hyperlink" Target="imagenes/T_TAHARI_124010143_CHO_2.jpg" TargetMode="External" Id="rId12333"/><Relationship Type="http://schemas.openxmlformats.org/officeDocument/2006/relationships/hyperlink" Target="imagenes/T_TAHARI_124010143_CHO_3.jpg" TargetMode="External" Id="rId12334"/><Relationship Type="http://schemas.openxmlformats.org/officeDocument/2006/relationships/hyperlink" Target="imagenes/T_TAHARI_124010143_CHO_1.jpg" TargetMode="External" Id="rId12335"/><Relationship Type="http://schemas.openxmlformats.org/officeDocument/2006/relationships/hyperlink" Target="imagenes/T_TAHARI_124010143_CHO_2.jpg" TargetMode="External" Id="rId12336"/><Relationship Type="http://schemas.openxmlformats.org/officeDocument/2006/relationships/hyperlink" Target="imagenes/T_TAHARI_124010143_CHO_3.jpg" TargetMode="External" Id="rId12337"/><Relationship Type="http://schemas.openxmlformats.org/officeDocument/2006/relationships/hyperlink" Target="imagenes/T_TAHARI_124010143_CHO_1.jpg" TargetMode="External" Id="rId12338"/><Relationship Type="http://schemas.openxmlformats.org/officeDocument/2006/relationships/hyperlink" Target="imagenes/T_TAHARI_124010143_CHO_2.jpg" TargetMode="External" Id="rId12339"/><Relationship Type="http://schemas.openxmlformats.org/officeDocument/2006/relationships/hyperlink" Target="imagenes/T_TAHARI_124010143_CHO_3.jpg" TargetMode="External" Id="rId12340"/><Relationship Type="http://schemas.openxmlformats.org/officeDocument/2006/relationships/hyperlink" Target="imagenes/T_TAHARI_124010143_CHO_1.jpg" TargetMode="External" Id="rId12341"/><Relationship Type="http://schemas.openxmlformats.org/officeDocument/2006/relationships/hyperlink" Target="imagenes/T_TAHARI_124010143_CHO_2.jpg" TargetMode="External" Id="rId12342"/><Relationship Type="http://schemas.openxmlformats.org/officeDocument/2006/relationships/hyperlink" Target="imagenes/T_TAHARI_124010143_CHO_3.jpg" TargetMode="External" Id="rId12343"/><Relationship Type="http://schemas.openxmlformats.org/officeDocument/2006/relationships/hyperlink" Target="imagenes/T_TAHARI_124010143_CHO_1.jpg" TargetMode="External" Id="rId12344"/><Relationship Type="http://schemas.openxmlformats.org/officeDocument/2006/relationships/hyperlink" Target="imagenes/T_TAHARI_124010143_CHO_2.jpg" TargetMode="External" Id="rId12345"/><Relationship Type="http://schemas.openxmlformats.org/officeDocument/2006/relationships/hyperlink" Target="imagenes/T_TAHARI_124010143_CHO_3.jpg" TargetMode="External" Id="rId12346"/><Relationship Type="http://schemas.openxmlformats.org/officeDocument/2006/relationships/hyperlink" Target="imagenes/T_TAHARI_124010143_CHO_1.jpg" TargetMode="External" Id="rId12347"/><Relationship Type="http://schemas.openxmlformats.org/officeDocument/2006/relationships/hyperlink" Target="imagenes/T_TAHARI_124010143_CHO_2.jpg" TargetMode="External" Id="rId12348"/><Relationship Type="http://schemas.openxmlformats.org/officeDocument/2006/relationships/hyperlink" Target="imagenes/T_TAHARI_124010143_CHO_3.jpg" TargetMode="External" Id="rId12349"/><Relationship Type="http://schemas.openxmlformats.org/officeDocument/2006/relationships/hyperlink" Target="imagenes/T_TAHARI_124010143_CHO_1.jpg" TargetMode="External" Id="rId12350"/><Relationship Type="http://schemas.openxmlformats.org/officeDocument/2006/relationships/hyperlink" Target="imagenes/T_TAHARI_124010143_CHO_2.jpg" TargetMode="External" Id="rId12351"/><Relationship Type="http://schemas.openxmlformats.org/officeDocument/2006/relationships/hyperlink" Target="imagenes/T_TAHARI_124010143_CHO_3.jpg" TargetMode="External" Id="rId12352"/><Relationship Type="http://schemas.openxmlformats.org/officeDocument/2006/relationships/hyperlink" Target="imagenes/T_TAHARI_124010143_IVY_1.jpg" TargetMode="External" Id="rId12353"/><Relationship Type="http://schemas.openxmlformats.org/officeDocument/2006/relationships/hyperlink" Target="imagenes/T_TAHARI_124010143_IVY_2.jpg" TargetMode="External" Id="rId12354"/><Relationship Type="http://schemas.openxmlformats.org/officeDocument/2006/relationships/hyperlink" Target="imagenes/T_TAHARI_124010143_IVY_3.jpg" TargetMode="External" Id="rId12355"/><Relationship Type="http://schemas.openxmlformats.org/officeDocument/2006/relationships/hyperlink" Target="imagenes/T_TAHARI_124010143_IVY_1.jpg" TargetMode="External" Id="rId12356"/><Relationship Type="http://schemas.openxmlformats.org/officeDocument/2006/relationships/hyperlink" Target="imagenes/T_TAHARI_124010143_IVY_2.jpg" TargetMode="External" Id="rId12357"/><Relationship Type="http://schemas.openxmlformats.org/officeDocument/2006/relationships/hyperlink" Target="imagenes/T_TAHARI_124010143_IVY_3.jpg" TargetMode="External" Id="rId12358"/><Relationship Type="http://schemas.openxmlformats.org/officeDocument/2006/relationships/hyperlink" Target="imagenes/T_TAHARI_124010143_IVY_1.jpg" TargetMode="External" Id="rId12359"/><Relationship Type="http://schemas.openxmlformats.org/officeDocument/2006/relationships/hyperlink" Target="imagenes/T_TAHARI_124010143_IVY_2.jpg" TargetMode="External" Id="rId12360"/><Relationship Type="http://schemas.openxmlformats.org/officeDocument/2006/relationships/hyperlink" Target="imagenes/T_TAHARI_124010143_IVY_3.jpg" TargetMode="External" Id="rId12361"/><Relationship Type="http://schemas.openxmlformats.org/officeDocument/2006/relationships/hyperlink" Target="imagenes/T_TAHARI_124010143_IVY_1.jpg" TargetMode="External" Id="rId12362"/><Relationship Type="http://schemas.openxmlformats.org/officeDocument/2006/relationships/hyperlink" Target="imagenes/T_TAHARI_124010143_IVY_2.jpg" TargetMode="External" Id="rId12363"/><Relationship Type="http://schemas.openxmlformats.org/officeDocument/2006/relationships/hyperlink" Target="imagenes/T_TAHARI_124010143_IVY_3.jpg" TargetMode="External" Id="rId12364"/><Relationship Type="http://schemas.openxmlformats.org/officeDocument/2006/relationships/hyperlink" Target="imagenes/T_TAHARI_124010143_IVY_1.jpg" TargetMode="External" Id="rId12365"/><Relationship Type="http://schemas.openxmlformats.org/officeDocument/2006/relationships/hyperlink" Target="imagenes/T_TAHARI_124010143_IVY_2.jpg" TargetMode="External" Id="rId12366"/><Relationship Type="http://schemas.openxmlformats.org/officeDocument/2006/relationships/hyperlink" Target="imagenes/T_TAHARI_124010143_IVY_3.jpg" TargetMode="External" Id="rId12367"/><Relationship Type="http://schemas.openxmlformats.org/officeDocument/2006/relationships/hyperlink" Target="imagenes/T_TAHARI_124010143_IVY_1.jpg" TargetMode="External" Id="rId12368"/><Relationship Type="http://schemas.openxmlformats.org/officeDocument/2006/relationships/hyperlink" Target="imagenes/T_TAHARI_124010143_IVY_2.jpg" TargetMode="External" Id="rId12369"/><Relationship Type="http://schemas.openxmlformats.org/officeDocument/2006/relationships/hyperlink" Target="imagenes/T_TAHARI_124010143_IVY_3.jpg" TargetMode="External" Id="rId12370"/><Relationship Type="http://schemas.openxmlformats.org/officeDocument/2006/relationships/hyperlink" Target="imagenes/T_TAHARI_124010143_IVY_1.jpg" TargetMode="External" Id="rId12371"/><Relationship Type="http://schemas.openxmlformats.org/officeDocument/2006/relationships/hyperlink" Target="imagenes/T_TAHARI_124010143_IVY_2.jpg" TargetMode="External" Id="rId12372"/><Relationship Type="http://schemas.openxmlformats.org/officeDocument/2006/relationships/hyperlink" Target="imagenes/T_TAHARI_124010143_IVY_3.jpg" TargetMode="External" Id="rId12373"/><Relationship Type="http://schemas.openxmlformats.org/officeDocument/2006/relationships/hyperlink" Target="imagenes/T_TAHARI_124010143_IVY_1.jpg" TargetMode="External" Id="rId12374"/><Relationship Type="http://schemas.openxmlformats.org/officeDocument/2006/relationships/hyperlink" Target="imagenes/T_TAHARI_124010143_IVY_2.jpg" TargetMode="External" Id="rId12375"/><Relationship Type="http://schemas.openxmlformats.org/officeDocument/2006/relationships/hyperlink" Target="imagenes/T_TAHARI_124010143_IVY_3.jpg" TargetMode="External" Id="rId12376"/><Relationship Type="http://schemas.openxmlformats.org/officeDocument/2006/relationships/hyperlink" Target="imagenes/T_TAHARI_124010143_IVY_1.jpg" TargetMode="External" Id="rId12377"/><Relationship Type="http://schemas.openxmlformats.org/officeDocument/2006/relationships/hyperlink" Target="imagenes/T_TAHARI_124010143_IVY_2.jpg" TargetMode="External" Id="rId12378"/><Relationship Type="http://schemas.openxmlformats.org/officeDocument/2006/relationships/hyperlink" Target="imagenes/T_TAHARI_124010143_IVY_3.jpg" TargetMode="External" Id="rId12379"/><Relationship Type="http://schemas.openxmlformats.org/officeDocument/2006/relationships/hyperlink" Target="imagenes/T_TAHARI_124010143_IVY_1.jpg" TargetMode="External" Id="rId12380"/><Relationship Type="http://schemas.openxmlformats.org/officeDocument/2006/relationships/hyperlink" Target="imagenes/T_TAHARI_124010143_IVY_2.jpg" TargetMode="External" Id="rId12381"/><Relationship Type="http://schemas.openxmlformats.org/officeDocument/2006/relationships/hyperlink" Target="imagenes/T_TAHARI_124010143_IVY_3.jpg" TargetMode="External" Id="rId12382"/><Relationship Type="http://schemas.openxmlformats.org/officeDocument/2006/relationships/hyperlink" Target="imagenes/T_TAHARI_124010270_BLK_1.jpg" TargetMode="External" Id="rId12383"/><Relationship Type="http://schemas.openxmlformats.org/officeDocument/2006/relationships/hyperlink" Target="imagenes/T_TAHARI_124010270_BLK_2.jpg" TargetMode="External" Id="rId12384"/><Relationship Type="http://schemas.openxmlformats.org/officeDocument/2006/relationships/hyperlink" Target="imagenes/T_TAHARI_124010270_BLK_3.jpg" TargetMode="External" Id="rId12385"/><Relationship Type="http://schemas.openxmlformats.org/officeDocument/2006/relationships/hyperlink" Target="imagenes/T_TAHARI_124010270_BLK_1.jpg" TargetMode="External" Id="rId12386"/><Relationship Type="http://schemas.openxmlformats.org/officeDocument/2006/relationships/hyperlink" Target="imagenes/T_TAHARI_124010270_BLK_2.jpg" TargetMode="External" Id="rId12387"/><Relationship Type="http://schemas.openxmlformats.org/officeDocument/2006/relationships/hyperlink" Target="imagenes/T_TAHARI_124010270_BLK_3.jpg" TargetMode="External" Id="rId12388"/><Relationship Type="http://schemas.openxmlformats.org/officeDocument/2006/relationships/hyperlink" Target="imagenes/T_TAHARI_124010270_BLK_1.jpg" TargetMode="External" Id="rId12389"/><Relationship Type="http://schemas.openxmlformats.org/officeDocument/2006/relationships/hyperlink" Target="imagenes/T_TAHARI_124010270_BLK_2.jpg" TargetMode="External" Id="rId12390"/><Relationship Type="http://schemas.openxmlformats.org/officeDocument/2006/relationships/hyperlink" Target="imagenes/T_TAHARI_124010270_BLK_3.jpg" TargetMode="External" Id="rId12391"/><Relationship Type="http://schemas.openxmlformats.org/officeDocument/2006/relationships/hyperlink" Target="imagenes/T_TAHARI_124010270_BLK_1.jpg" TargetMode="External" Id="rId12392"/><Relationship Type="http://schemas.openxmlformats.org/officeDocument/2006/relationships/hyperlink" Target="imagenes/T_TAHARI_124010270_BLK_2.jpg" TargetMode="External" Id="rId12393"/><Relationship Type="http://schemas.openxmlformats.org/officeDocument/2006/relationships/hyperlink" Target="imagenes/T_TAHARI_124010270_BLK_3.jpg" TargetMode="External" Id="rId12394"/><Relationship Type="http://schemas.openxmlformats.org/officeDocument/2006/relationships/hyperlink" Target="imagenes/T_TAHARI_124010270_BLK_1.jpg" TargetMode="External" Id="rId12395"/><Relationship Type="http://schemas.openxmlformats.org/officeDocument/2006/relationships/hyperlink" Target="imagenes/T_TAHARI_124010270_BLK_2.jpg" TargetMode="External" Id="rId12396"/><Relationship Type="http://schemas.openxmlformats.org/officeDocument/2006/relationships/hyperlink" Target="imagenes/T_TAHARI_124010270_BLK_3.jpg" TargetMode="External" Id="rId12397"/><Relationship Type="http://schemas.openxmlformats.org/officeDocument/2006/relationships/hyperlink" Target="imagenes/T_TAHARI_124010270_BLK_1.jpg" TargetMode="External" Id="rId12398"/><Relationship Type="http://schemas.openxmlformats.org/officeDocument/2006/relationships/hyperlink" Target="imagenes/T_TAHARI_124010270_BLK_2.jpg" TargetMode="External" Id="rId12399"/><Relationship Type="http://schemas.openxmlformats.org/officeDocument/2006/relationships/hyperlink" Target="imagenes/T_TAHARI_124010270_BLK_3.jpg" TargetMode="External" Id="rId12400"/><Relationship Type="http://schemas.openxmlformats.org/officeDocument/2006/relationships/hyperlink" Target="imagenes/T_TAHARI_124010270_BLK_1.jpg" TargetMode="External" Id="rId12401"/><Relationship Type="http://schemas.openxmlformats.org/officeDocument/2006/relationships/hyperlink" Target="imagenes/T_TAHARI_124010270_BLK_2.jpg" TargetMode="External" Id="rId12402"/><Relationship Type="http://schemas.openxmlformats.org/officeDocument/2006/relationships/hyperlink" Target="imagenes/T_TAHARI_124010270_BLK_3.jpg" TargetMode="External" Id="rId12403"/><Relationship Type="http://schemas.openxmlformats.org/officeDocument/2006/relationships/hyperlink" Target="imagenes/T_TAHARI_124010270_BLK_1.jpg" TargetMode="External" Id="rId12404"/><Relationship Type="http://schemas.openxmlformats.org/officeDocument/2006/relationships/hyperlink" Target="imagenes/T_TAHARI_124010270_BLK_2.jpg" TargetMode="External" Id="rId12405"/><Relationship Type="http://schemas.openxmlformats.org/officeDocument/2006/relationships/hyperlink" Target="imagenes/T_TAHARI_124010270_BLK_3.jpg" TargetMode="External" Id="rId12406"/><Relationship Type="http://schemas.openxmlformats.org/officeDocument/2006/relationships/hyperlink" Target="imagenes/T_TAHARI_124010270_BLK_1.jpg" TargetMode="External" Id="rId12407"/><Relationship Type="http://schemas.openxmlformats.org/officeDocument/2006/relationships/hyperlink" Target="imagenes/T_TAHARI_124010270_BLK_2.jpg" TargetMode="External" Id="rId12408"/><Relationship Type="http://schemas.openxmlformats.org/officeDocument/2006/relationships/hyperlink" Target="imagenes/T_TAHARI_124010270_BLK_3.jpg" TargetMode="External" Id="rId12409"/><Relationship Type="http://schemas.openxmlformats.org/officeDocument/2006/relationships/hyperlink" Target="imagenes/T_TAHARI_124010270_BLK_1.jpg" TargetMode="External" Id="rId12410"/><Relationship Type="http://schemas.openxmlformats.org/officeDocument/2006/relationships/hyperlink" Target="imagenes/T_TAHARI_124010270_BLK_2.jpg" TargetMode="External" Id="rId12411"/><Relationship Type="http://schemas.openxmlformats.org/officeDocument/2006/relationships/hyperlink" Target="imagenes/T_TAHARI_124010270_BLK_3.jpg" TargetMode="External" Id="rId12412"/><Relationship Type="http://schemas.openxmlformats.org/officeDocument/2006/relationships/hyperlink" Target="imagenes/T_TAHARI_124010270_BLK_1.jpg" TargetMode="External" Id="rId12413"/><Relationship Type="http://schemas.openxmlformats.org/officeDocument/2006/relationships/hyperlink" Target="imagenes/T_TAHARI_124010270_BLK_2.jpg" TargetMode="External" Id="rId12414"/><Relationship Type="http://schemas.openxmlformats.org/officeDocument/2006/relationships/hyperlink" Target="imagenes/T_TAHARI_124010270_BLK_3.jpg" TargetMode="External" Id="rId12415"/><Relationship Type="http://schemas.openxmlformats.org/officeDocument/2006/relationships/hyperlink" Target="imagenes/T_TAHARI_124010270_BLK_1.jpg" TargetMode="External" Id="rId12416"/><Relationship Type="http://schemas.openxmlformats.org/officeDocument/2006/relationships/hyperlink" Target="imagenes/T_TAHARI_124010270_BLK_2.jpg" TargetMode="External" Id="rId12417"/><Relationship Type="http://schemas.openxmlformats.org/officeDocument/2006/relationships/hyperlink" Target="imagenes/T_TAHARI_124010270_BLK_3.jpg" TargetMode="External" Id="rId12418"/><Relationship Type="http://schemas.openxmlformats.org/officeDocument/2006/relationships/hyperlink" Target="imagenes/T_TAHARI_124010270_BLK_1.jpg" TargetMode="External" Id="rId12419"/><Relationship Type="http://schemas.openxmlformats.org/officeDocument/2006/relationships/hyperlink" Target="imagenes/T_TAHARI_124010270_BLK_2.jpg" TargetMode="External" Id="rId12420"/><Relationship Type="http://schemas.openxmlformats.org/officeDocument/2006/relationships/hyperlink" Target="imagenes/T_TAHARI_124010270_BLK_3.jpg" TargetMode="External" Id="rId12421"/><Relationship Type="http://schemas.openxmlformats.org/officeDocument/2006/relationships/hyperlink" Target="imagenes/T_TAHARI_124010270_BLK_1.jpg" TargetMode="External" Id="rId12422"/><Relationship Type="http://schemas.openxmlformats.org/officeDocument/2006/relationships/hyperlink" Target="imagenes/T_TAHARI_124010270_BLK_2.jpg" TargetMode="External" Id="rId12423"/><Relationship Type="http://schemas.openxmlformats.org/officeDocument/2006/relationships/hyperlink" Target="imagenes/T_TAHARI_124010270_BLK_3.jpg" TargetMode="External" Id="rId12424"/><Relationship Type="http://schemas.openxmlformats.org/officeDocument/2006/relationships/hyperlink" Target="imagenes/T_TAHARI_124010270_BLK_1.jpg" TargetMode="External" Id="rId12425"/><Relationship Type="http://schemas.openxmlformats.org/officeDocument/2006/relationships/hyperlink" Target="imagenes/T_TAHARI_124010270_BLK_2.jpg" TargetMode="External" Id="rId12426"/><Relationship Type="http://schemas.openxmlformats.org/officeDocument/2006/relationships/hyperlink" Target="imagenes/T_TAHARI_124010270_BLK_3.jpg" TargetMode="External" Id="rId12427"/><Relationship Type="http://schemas.openxmlformats.org/officeDocument/2006/relationships/hyperlink" Target="imagenes/T_TAHARI_124010270_BLK_1.jpg" TargetMode="External" Id="rId12428"/><Relationship Type="http://schemas.openxmlformats.org/officeDocument/2006/relationships/hyperlink" Target="imagenes/T_TAHARI_124010270_BLK_2.jpg" TargetMode="External" Id="rId12429"/><Relationship Type="http://schemas.openxmlformats.org/officeDocument/2006/relationships/hyperlink" Target="imagenes/T_TAHARI_124010270_BLK_3.jpg" TargetMode="External" Id="rId12430"/><Relationship Type="http://schemas.openxmlformats.org/officeDocument/2006/relationships/hyperlink" Target="imagenes/T_TAHARI_124010270_BLK_1.jpg" TargetMode="External" Id="rId12431"/><Relationship Type="http://schemas.openxmlformats.org/officeDocument/2006/relationships/hyperlink" Target="imagenes/T_TAHARI_124010270_BLK_2.jpg" TargetMode="External" Id="rId12432"/><Relationship Type="http://schemas.openxmlformats.org/officeDocument/2006/relationships/hyperlink" Target="imagenes/T_TAHARI_124010270_BLK_3.jpg" TargetMode="External" Id="rId12433"/><Relationship Type="http://schemas.openxmlformats.org/officeDocument/2006/relationships/hyperlink" Target="imagenes/T_TAHARI_124010270_BLK_1.jpg" TargetMode="External" Id="rId12434"/><Relationship Type="http://schemas.openxmlformats.org/officeDocument/2006/relationships/hyperlink" Target="imagenes/T_TAHARI_124010270_BLK_2.jpg" TargetMode="External" Id="rId12435"/><Relationship Type="http://schemas.openxmlformats.org/officeDocument/2006/relationships/hyperlink" Target="imagenes/T_TAHARI_124010270_BLK_3.jpg" TargetMode="External" Id="rId12436"/><Relationship Type="http://schemas.openxmlformats.org/officeDocument/2006/relationships/hyperlink" Target="imagenes/T_TAHARI_124010270_BLK_1.jpg" TargetMode="External" Id="rId12437"/><Relationship Type="http://schemas.openxmlformats.org/officeDocument/2006/relationships/hyperlink" Target="imagenes/T_TAHARI_124010270_BLK_2.jpg" TargetMode="External" Id="rId12438"/><Relationship Type="http://schemas.openxmlformats.org/officeDocument/2006/relationships/hyperlink" Target="imagenes/T_TAHARI_124010270_BLK_3.jpg" TargetMode="External" Id="rId12439"/><Relationship Type="http://schemas.openxmlformats.org/officeDocument/2006/relationships/hyperlink" Target="imagenes/T_TAHARI_124010270_CHO_1.jpg" TargetMode="External" Id="rId12440"/><Relationship Type="http://schemas.openxmlformats.org/officeDocument/2006/relationships/hyperlink" Target="imagenes/T_TAHARI_124010270_CHO_2.jpg" TargetMode="External" Id="rId12441"/><Relationship Type="http://schemas.openxmlformats.org/officeDocument/2006/relationships/hyperlink" Target="imagenes/T_TAHARI_124010270_CHO_3.jpg" TargetMode="External" Id="rId12442"/><Relationship Type="http://schemas.openxmlformats.org/officeDocument/2006/relationships/hyperlink" Target="imagenes/T_TAHARI_124010270_CHO_1.jpg" TargetMode="External" Id="rId12443"/><Relationship Type="http://schemas.openxmlformats.org/officeDocument/2006/relationships/hyperlink" Target="imagenes/T_TAHARI_124010270_CHO_2.jpg" TargetMode="External" Id="rId12444"/><Relationship Type="http://schemas.openxmlformats.org/officeDocument/2006/relationships/hyperlink" Target="imagenes/T_TAHARI_124010270_CHO_3.jpg" TargetMode="External" Id="rId12445"/><Relationship Type="http://schemas.openxmlformats.org/officeDocument/2006/relationships/hyperlink" Target="imagenes/T_TAHARI_124010270_CHO_1.jpg" TargetMode="External" Id="rId12446"/><Relationship Type="http://schemas.openxmlformats.org/officeDocument/2006/relationships/hyperlink" Target="imagenes/T_TAHARI_124010270_CHO_2.jpg" TargetMode="External" Id="rId12447"/><Relationship Type="http://schemas.openxmlformats.org/officeDocument/2006/relationships/hyperlink" Target="imagenes/T_TAHARI_124010270_CHO_3.jpg" TargetMode="External" Id="rId12448"/><Relationship Type="http://schemas.openxmlformats.org/officeDocument/2006/relationships/hyperlink" Target="imagenes/T_TAHARI_124010270_CHO_1.jpg" TargetMode="External" Id="rId12449"/><Relationship Type="http://schemas.openxmlformats.org/officeDocument/2006/relationships/hyperlink" Target="imagenes/T_TAHARI_124010270_CHO_2.jpg" TargetMode="External" Id="rId12450"/><Relationship Type="http://schemas.openxmlformats.org/officeDocument/2006/relationships/hyperlink" Target="imagenes/T_TAHARI_124010270_CHO_3.jpg" TargetMode="External" Id="rId12451"/><Relationship Type="http://schemas.openxmlformats.org/officeDocument/2006/relationships/hyperlink" Target="imagenes/T_TAHARI_124010270_CHO_1.jpg" TargetMode="External" Id="rId12452"/><Relationship Type="http://schemas.openxmlformats.org/officeDocument/2006/relationships/hyperlink" Target="imagenes/T_TAHARI_124010270_CHO_2.jpg" TargetMode="External" Id="rId12453"/><Relationship Type="http://schemas.openxmlformats.org/officeDocument/2006/relationships/hyperlink" Target="imagenes/T_TAHARI_124010270_CHO_3.jpg" TargetMode="External" Id="rId12454"/><Relationship Type="http://schemas.openxmlformats.org/officeDocument/2006/relationships/hyperlink" Target="imagenes/T_TAHARI_124010270_CHO_1.jpg" TargetMode="External" Id="rId12455"/><Relationship Type="http://schemas.openxmlformats.org/officeDocument/2006/relationships/hyperlink" Target="imagenes/T_TAHARI_124010270_CHO_2.jpg" TargetMode="External" Id="rId12456"/><Relationship Type="http://schemas.openxmlformats.org/officeDocument/2006/relationships/hyperlink" Target="imagenes/T_TAHARI_124010270_CHO_3.jpg" TargetMode="External" Id="rId12457"/><Relationship Type="http://schemas.openxmlformats.org/officeDocument/2006/relationships/hyperlink" Target="imagenes/T_TAHARI_124010270_CHO_1.jpg" TargetMode="External" Id="rId12458"/><Relationship Type="http://schemas.openxmlformats.org/officeDocument/2006/relationships/hyperlink" Target="imagenes/T_TAHARI_124010270_CHO_2.jpg" TargetMode="External" Id="rId12459"/><Relationship Type="http://schemas.openxmlformats.org/officeDocument/2006/relationships/hyperlink" Target="imagenes/T_TAHARI_124010270_CHO_3.jpg" TargetMode="External" Id="rId12460"/><Relationship Type="http://schemas.openxmlformats.org/officeDocument/2006/relationships/hyperlink" Target="imagenes/T_TAHARI_124010270_CHO_1.jpg" TargetMode="External" Id="rId12461"/><Relationship Type="http://schemas.openxmlformats.org/officeDocument/2006/relationships/hyperlink" Target="imagenes/T_TAHARI_124010270_CHO_2.jpg" TargetMode="External" Id="rId12462"/><Relationship Type="http://schemas.openxmlformats.org/officeDocument/2006/relationships/hyperlink" Target="imagenes/T_TAHARI_124010270_CHO_3.jpg" TargetMode="External" Id="rId12463"/><Relationship Type="http://schemas.openxmlformats.org/officeDocument/2006/relationships/hyperlink" Target="imagenes/T_TAHARI_124010270_CHO_1.jpg" TargetMode="External" Id="rId12464"/><Relationship Type="http://schemas.openxmlformats.org/officeDocument/2006/relationships/hyperlink" Target="imagenes/T_TAHARI_124010270_CHO_2.jpg" TargetMode="External" Id="rId12465"/><Relationship Type="http://schemas.openxmlformats.org/officeDocument/2006/relationships/hyperlink" Target="imagenes/T_TAHARI_124010270_CHO_3.jpg" TargetMode="External" Id="rId12466"/><Relationship Type="http://schemas.openxmlformats.org/officeDocument/2006/relationships/hyperlink" Target="imagenes/T_TAHARI_124010270_CHO_1.jpg" TargetMode="External" Id="rId12467"/><Relationship Type="http://schemas.openxmlformats.org/officeDocument/2006/relationships/hyperlink" Target="imagenes/T_TAHARI_124010270_CHO_2.jpg" TargetMode="External" Id="rId12468"/><Relationship Type="http://schemas.openxmlformats.org/officeDocument/2006/relationships/hyperlink" Target="imagenes/T_TAHARI_124010270_CHO_3.jpg" TargetMode="External" Id="rId12469"/><Relationship Type="http://schemas.openxmlformats.org/officeDocument/2006/relationships/hyperlink" Target="imagenes/T_TAHARI_124010270_CHO_1.jpg" TargetMode="External" Id="rId12470"/><Relationship Type="http://schemas.openxmlformats.org/officeDocument/2006/relationships/hyperlink" Target="imagenes/T_TAHARI_124010270_CHO_2.jpg" TargetMode="External" Id="rId12471"/><Relationship Type="http://schemas.openxmlformats.org/officeDocument/2006/relationships/hyperlink" Target="imagenes/T_TAHARI_124010270_CHO_3.jpg" TargetMode="External" Id="rId12472"/><Relationship Type="http://schemas.openxmlformats.org/officeDocument/2006/relationships/hyperlink" Target="imagenes/T_TAHARI_124010270_CHO_1.jpg" TargetMode="External" Id="rId12473"/><Relationship Type="http://schemas.openxmlformats.org/officeDocument/2006/relationships/hyperlink" Target="imagenes/T_TAHARI_124010270_CHO_2.jpg" TargetMode="External" Id="rId12474"/><Relationship Type="http://schemas.openxmlformats.org/officeDocument/2006/relationships/hyperlink" Target="imagenes/T_TAHARI_124010270_CHO_3.jpg" TargetMode="External" Id="rId12475"/><Relationship Type="http://schemas.openxmlformats.org/officeDocument/2006/relationships/hyperlink" Target="imagenes/T_TAHARI_124010270_CHO_1.jpg" TargetMode="External" Id="rId12476"/><Relationship Type="http://schemas.openxmlformats.org/officeDocument/2006/relationships/hyperlink" Target="imagenes/T_TAHARI_124010270_CHO_2.jpg" TargetMode="External" Id="rId12477"/><Relationship Type="http://schemas.openxmlformats.org/officeDocument/2006/relationships/hyperlink" Target="imagenes/T_TAHARI_124010270_CHO_3.jpg" TargetMode="External" Id="rId12478"/><Relationship Type="http://schemas.openxmlformats.org/officeDocument/2006/relationships/hyperlink" Target="imagenes/T_TAHARI_124010270_CHO_1.jpg" TargetMode="External" Id="rId12479"/><Relationship Type="http://schemas.openxmlformats.org/officeDocument/2006/relationships/hyperlink" Target="imagenes/T_TAHARI_124010270_CHO_2.jpg" TargetMode="External" Id="rId12480"/><Relationship Type="http://schemas.openxmlformats.org/officeDocument/2006/relationships/hyperlink" Target="imagenes/T_TAHARI_124010270_CHO_3.jpg" TargetMode="External" Id="rId12481"/><Relationship Type="http://schemas.openxmlformats.org/officeDocument/2006/relationships/hyperlink" Target="imagenes/T_TAHARI_124010270_CHO_1.jpg" TargetMode="External" Id="rId12482"/><Relationship Type="http://schemas.openxmlformats.org/officeDocument/2006/relationships/hyperlink" Target="imagenes/T_TAHARI_124010270_CHO_2.jpg" TargetMode="External" Id="rId12483"/><Relationship Type="http://schemas.openxmlformats.org/officeDocument/2006/relationships/hyperlink" Target="imagenes/T_TAHARI_124010270_CHO_3.jpg" TargetMode="External" Id="rId12484"/><Relationship Type="http://schemas.openxmlformats.org/officeDocument/2006/relationships/hyperlink" Target="imagenes/T_TAHARI_124010270_CHO_1.jpg" TargetMode="External" Id="rId12485"/><Relationship Type="http://schemas.openxmlformats.org/officeDocument/2006/relationships/hyperlink" Target="imagenes/T_TAHARI_124010270_CHO_2.jpg" TargetMode="External" Id="rId12486"/><Relationship Type="http://schemas.openxmlformats.org/officeDocument/2006/relationships/hyperlink" Target="imagenes/T_TAHARI_124010270_CHO_3.jpg" TargetMode="External" Id="rId12487"/><Relationship Type="http://schemas.openxmlformats.org/officeDocument/2006/relationships/hyperlink" Target="imagenes/T_TAHARI_124010270_CHO_1.jpg" TargetMode="External" Id="rId12488"/><Relationship Type="http://schemas.openxmlformats.org/officeDocument/2006/relationships/hyperlink" Target="imagenes/T_TAHARI_124010270_CHO_2.jpg" TargetMode="External" Id="rId12489"/><Relationship Type="http://schemas.openxmlformats.org/officeDocument/2006/relationships/hyperlink" Target="imagenes/T_TAHARI_124010270_CHO_3.jpg" TargetMode="External" Id="rId12490"/><Relationship Type="http://schemas.openxmlformats.org/officeDocument/2006/relationships/hyperlink" Target="imagenes/T_TAHARI_124010270_CHO_1.jpg" TargetMode="External" Id="rId12491"/><Relationship Type="http://schemas.openxmlformats.org/officeDocument/2006/relationships/hyperlink" Target="imagenes/T_TAHARI_124010270_CHO_2.jpg" TargetMode="External" Id="rId12492"/><Relationship Type="http://schemas.openxmlformats.org/officeDocument/2006/relationships/hyperlink" Target="imagenes/T_TAHARI_124010270_CHO_3.jpg" TargetMode="External" Id="rId12493"/><Relationship Type="http://schemas.openxmlformats.org/officeDocument/2006/relationships/hyperlink" Target="imagenes/T_TAHARI_124010270_CHO_1.jpg" TargetMode="External" Id="rId12494"/><Relationship Type="http://schemas.openxmlformats.org/officeDocument/2006/relationships/hyperlink" Target="imagenes/T_TAHARI_124010270_CHO_2.jpg" TargetMode="External" Id="rId12495"/><Relationship Type="http://schemas.openxmlformats.org/officeDocument/2006/relationships/hyperlink" Target="imagenes/T_TAHARI_124010270_CHO_3.jpg" TargetMode="External" Id="rId12496"/><Relationship Type="http://schemas.openxmlformats.org/officeDocument/2006/relationships/hyperlink" Target="imagenes/T_TAHARI_124010271_BLK_1.jpg" TargetMode="External" Id="rId12497"/><Relationship Type="http://schemas.openxmlformats.org/officeDocument/2006/relationships/hyperlink" Target="imagenes/T_TAHARI_124010271_BLK_2.jpg" TargetMode="External" Id="rId12498"/><Relationship Type="http://schemas.openxmlformats.org/officeDocument/2006/relationships/hyperlink" Target="imagenes/T_TAHARI_124010271_BLK_3.jpg" TargetMode="External" Id="rId12499"/><Relationship Type="http://schemas.openxmlformats.org/officeDocument/2006/relationships/hyperlink" Target="imagenes/T_TAHARI_124010271_BLK_1.jpg" TargetMode="External" Id="rId12500"/><Relationship Type="http://schemas.openxmlformats.org/officeDocument/2006/relationships/hyperlink" Target="imagenes/T_TAHARI_124010271_BLK_2.jpg" TargetMode="External" Id="rId12501"/><Relationship Type="http://schemas.openxmlformats.org/officeDocument/2006/relationships/hyperlink" Target="imagenes/T_TAHARI_124010271_BLK_3.jpg" TargetMode="External" Id="rId12502"/><Relationship Type="http://schemas.openxmlformats.org/officeDocument/2006/relationships/hyperlink" Target="imagenes/T_TAHARI_124010271_BLK_1.jpg" TargetMode="External" Id="rId12503"/><Relationship Type="http://schemas.openxmlformats.org/officeDocument/2006/relationships/hyperlink" Target="imagenes/T_TAHARI_124010271_BLK_2.jpg" TargetMode="External" Id="rId12504"/><Relationship Type="http://schemas.openxmlformats.org/officeDocument/2006/relationships/hyperlink" Target="imagenes/T_TAHARI_124010271_BLK_3.jpg" TargetMode="External" Id="rId12505"/><Relationship Type="http://schemas.openxmlformats.org/officeDocument/2006/relationships/hyperlink" Target="imagenes/T_TAHARI_124010271_BLK_1.jpg" TargetMode="External" Id="rId12506"/><Relationship Type="http://schemas.openxmlformats.org/officeDocument/2006/relationships/hyperlink" Target="imagenes/T_TAHARI_124010271_BLK_2.jpg" TargetMode="External" Id="rId12507"/><Relationship Type="http://schemas.openxmlformats.org/officeDocument/2006/relationships/hyperlink" Target="imagenes/T_TAHARI_124010271_BLK_3.jpg" TargetMode="External" Id="rId12508"/><Relationship Type="http://schemas.openxmlformats.org/officeDocument/2006/relationships/hyperlink" Target="imagenes/T_TAHARI_124010271_BLK_1.jpg" TargetMode="External" Id="rId12509"/><Relationship Type="http://schemas.openxmlformats.org/officeDocument/2006/relationships/hyperlink" Target="imagenes/T_TAHARI_124010271_BLK_2.jpg" TargetMode="External" Id="rId12510"/><Relationship Type="http://schemas.openxmlformats.org/officeDocument/2006/relationships/hyperlink" Target="imagenes/T_TAHARI_124010271_BLK_3.jpg" TargetMode="External" Id="rId12511"/><Relationship Type="http://schemas.openxmlformats.org/officeDocument/2006/relationships/hyperlink" Target="imagenes/T_TAHARI_124010271_BLK_1.jpg" TargetMode="External" Id="rId12512"/><Relationship Type="http://schemas.openxmlformats.org/officeDocument/2006/relationships/hyperlink" Target="imagenes/T_TAHARI_124010271_BLK_2.jpg" TargetMode="External" Id="rId12513"/><Relationship Type="http://schemas.openxmlformats.org/officeDocument/2006/relationships/hyperlink" Target="imagenes/T_TAHARI_124010271_BLK_3.jpg" TargetMode="External" Id="rId12514"/><Relationship Type="http://schemas.openxmlformats.org/officeDocument/2006/relationships/hyperlink" Target="imagenes/T_TAHARI_124010271_BLK_1.jpg" TargetMode="External" Id="rId12515"/><Relationship Type="http://schemas.openxmlformats.org/officeDocument/2006/relationships/hyperlink" Target="imagenes/T_TAHARI_124010271_BLK_2.jpg" TargetMode="External" Id="rId12516"/><Relationship Type="http://schemas.openxmlformats.org/officeDocument/2006/relationships/hyperlink" Target="imagenes/T_TAHARI_124010271_BLK_3.jpg" TargetMode="External" Id="rId12517"/><Relationship Type="http://schemas.openxmlformats.org/officeDocument/2006/relationships/hyperlink" Target="imagenes/T_TAHARI_124010271_BLK_1.jpg" TargetMode="External" Id="rId12518"/><Relationship Type="http://schemas.openxmlformats.org/officeDocument/2006/relationships/hyperlink" Target="imagenes/T_TAHARI_124010271_BLK_2.jpg" TargetMode="External" Id="rId12519"/><Relationship Type="http://schemas.openxmlformats.org/officeDocument/2006/relationships/hyperlink" Target="imagenes/T_TAHARI_124010271_BLK_3.jpg" TargetMode="External" Id="rId12520"/><Relationship Type="http://schemas.openxmlformats.org/officeDocument/2006/relationships/hyperlink" Target="imagenes/T_TAHARI_124010271_BLK_1.jpg" TargetMode="External" Id="rId12521"/><Relationship Type="http://schemas.openxmlformats.org/officeDocument/2006/relationships/hyperlink" Target="imagenes/T_TAHARI_124010271_BLK_2.jpg" TargetMode="External" Id="rId12522"/><Relationship Type="http://schemas.openxmlformats.org/officeDocument/2006/relationships/hyperlink" Target="imagenes/T_TAHARI_124010271_BLK_3.jpg" TargetMode="External" Id="rId12523"/><Relationship Type="http://schemas.openxmlformats.org/officeDocument/2006/relationships/hyperlink" Target="imagenes/T_TAHARI_124010271_BLK_1.jpg" TargetMode="External" Id="rId12524"/><Relationship Type="http://schemas.openxmlformats.org/officeDocument/2006/relationships/hyperlink" Target="imagenes/T_TAHARI_124010271_BLK_2.jpg" TargetMode="External" Id="rId12525"/><Relationship Type="http://schemas.openxmlformats.org/officeDocument/2006/relationships/hyperlink" Target="imagenes/T_TAHARI_124010271_BLK_3.jpg" TargetMode="External" Id="rId12526"/><Relationship Type="http://schemas.openxmlformats.org/officeDocument/2006/relationships/hyperlink" Target="imagenes/T_TAHARI_124010271_BLK_1.jpg" TargetMode="External" Id="rId12527"/><Relationship Type="http://schemas.openxmlformats.org/officeDocument/2006/relationships/hyperlink" Target="imagenes/T_TAHARI_124010271_BLK_2.jpg" TargetMode="External" Id="rId12528"/><Relationship Type="http://schemas.openxmlformats.org/officeDocument/2006/relationships/hyperlink" Target="imagenes/T_TAHARI_124010271_BLK_3.jpg" TargetMode="External" Id="rId12529"/><Relationship Type="http://schemas.openxmlformats.org/officeDocument/2006/relationships/hyperlink" Target="imagenes/T_TAHARI_124010271_BLK_1.jpg" TargetMode="External" Id="rId12530"/><Relationship Type="http://schemas.openxmlformats.org/officeDocument/2006/relationships/hyperlink" Target="imagenes/T_TAHARI_124010271_BLK_2.jpg" TargetMode="External" Id="rId12531"/><Relationship Type="http://schemas.openxmlformats.org/officeDocument/2006/relationships/hyperlink" Target="imagenes/T_TAHARI_124010271_BLK_3.jpg" TargetMode="External" Id="rId12532"/><Relationship Type="http://schemas.openxmlformats.org/officeDocument/2006/relationships/hyperlink" Target="imagenes/T_TAHARI_124010271_BLK_1.jpg" TargetMode="External" Id="rId12533"/><Relationship Type="http://schemas.openxmlformats.org/officeDocument/2006/relationships/hyperlink" Target="imagenes/T_TAHARI_124010271_BLK_2.jpg" TargetMode="External" Id="rId12534"/><Relationship Type="http://schemas.openxmlformats.org/officeDocument/2006/relationships/hyperlink" Target="imagenes/T_TAHARI_124010271_BLK_3.jpg" TargetMode="External" Id="rId12535"/><Relationship Type="http://schemas.openxmlformats.org/officeDocument/2006/relationships/hyperlink" Target="imagenes/T_TAHARI_124010271_BLK_1.jpg" TargetMode="External" Id="rId12536"/><Relationship Type="http://schemas.openxmlformats.org/officeDocument/2006/relationships/hyperlink" Target="imagenes/T_TAHARI_124010271_BLK_2.jpg" TargetMode="External" Id="rId12537"/><Relationship Type="http://schemas.openxmlformats.org/officeDocument/2006/relationships/hyperlink" Target="imagenes/T_TAHARI_124010271_BLK_3.jpg" TargetMode="External" Id="rId12538"/><Relationship Type="http://schemas.openxmlformats.org/officeDocument/2006/relationships/hyperlink" Target="imagenes/T_TAHARI_124010271_BLK_1.jpg" TargetMode="External" Id="rId12539"/><Relationship Type="http://schemas.openxmlformats.org/officeDocument/2006/relationships/hyperlink" Target="imagenes/T_TAHARI_124010271_BLK_2.jpg" TargetMode="External" Id="rId12540"/><Relationship Type="http://schemas.openxmlformats.org/officeDocument/2006/relationships/hyperlink" Target="imagenes/T_TAHARI_124010271_BLK_3.jpg" TargetMode="External" Id="rId12541"/><Relationship Type="http://schemas.openxmlformats.org/officeDocument/2006/relationships/hyperlink" Target="imagenes/T_TAHARI_124010271_BLK_1.jpg" TargetMode="External" Id="rId12542"/><Relationship Type="http://schemas.openxmlformats.org/officeDocument/2006/relationships/hyperlink" Target="imagenes/T_TAHARI_124010271_BLK_2.jpg" TargetMode="External" Id="rId12543"/><Relationship Type="http://schemas.openxmlformats.org/officeDocument/2006/relationships/hyperlink" Target="imagenes/T_TAHARI_124010271_BLK_3.jpg" TargetMode="External" Id="rId12544"/><Relationship Type="http://schemas.openxmlformats.org/officeDocument/2006/relationships/hyperlink" Target="imagenes/T_TAHARI_124010271_BLK_1.jpg" TargetMode="External" Id="rId12545"/><Relationship Type="http://schemas.openxmlformats.org/officeDocument/2006/relationships/hyperlink" Target="imagenes/T_TAHARI_124010271_BLK_2.jpg" TargetMode="External" Id="rId12546"/><Relationship Type="http://schemas.openxmlformats.org/officeDocument/2006/relationships/hyperlink" Target="imagenes/T_TAHARI_124010271_BLK_3.jpg" TargetMode="External" Id="rId12547"/><Relationship Type="http://schemas.openxmlformats.org/officeDocument/2006/relationships/hyperlink" Target="imagenes/T_TAHARI_124010271_CML_1.jpg" TargetMode="External" Id="rId12548"/><Relationship Type="http://schemas.openxmlformats.org/officeDocument/2006/relationships/hyperlink" Target="imagenes/T_TAHARI_124010271_CML_2.jpg" TargetMode="External" Id="rId12549"/><Relationship Type="http://schemas.openxmlformats.org/officeDocument/2006/relationships/hyperlink" Target="imagenes/T_TAHARI_124010271_CML_3.jpg" TargetMode="External" Id="rId12550"/><Relationship Type="http://schemas.openxmlformats.org/officeDocument/2006/relationships/hyperlink" Target="imagenes/T_TAHARI_124010271_CML_1.jpg" TargetMode="External" Id="rId12551"/><Relationship Type="http://schemas.openxmlformats.org/officeDocument/2006/relationships/hyperlink" Target="imagenes/T_TAHARI_124010271_CML_2.jpg" TargetMode="External" Id="rId12552"/><Relationship Type="http://schemas.openxmlformats.org/officeDocument/2006/relationships/hyperlink" Target="imagenes/T_TAHARI_124010271_CML_3.jpg" TargetMode="External" Id="rId12553"/><Relationship Type="http://schemas.openxmlformats.org/officeDocument/2006/relationships/hyperlink" Target="imagenes/T_TAHARI_124010271_CML_1.jpg" TargetMode="External" Id="rId12554"/><Relationship Type="http://schemas.openxmlformats.org/officeDocument/2006/relationships/hyperlink" Target="imagenes/T_TAHARI_124010271_CML_2.jpg" TargetMode="External" Id="rId12555"/><Relationship Type="http://schemas.openxmlformats.org/officeDocument/2006/relationships/hyperlink" Target="imagenes/T_TAHARI_124010271_CML_3.jpg" TargetMode="External" Id="rId12556"/><Relationship Type="http://schemas.openxmlformats.org/officeDocument/2006/relationships/hyperlink" Target="imagenes/T_TAHARI_124010271_CML_1.jpg" TargetMode="External" Id="rId12557"/><Relationship Type="http://schemas.openxmlformats.org/officeDocument/2006/relationships/hyperlink" Target="imagenes/T_TAHARI_124010271_CML_2.jpg" TargetMode="External" Id="rId12558"/><Relationship Type="http://schemas.openxmlformats.org/officeDocument/2006/relationships/hyperlink" Target="imagenes/T_TAHARI_124010271_CML_3.jpg" TargetMode="External" Id="rId12559"/><Relationship Type="http://schemas.openxmlformats.org/officeDocument/2006/relationships/hyperlink" Target="imagenes/T_TAHARI_124010271_CML_1.jpg" TargetMode="External" Id="rId12560"/><Relationship Type="http://schemas.openxmlformats.org/officeDocument/2006/relationships/hyperlink" Target="imagenes/T_TAHARI_124010271_CML_2.jpg" TargetMode="External" Id="rId12561"/><Relationship Type="http://schemas.openxmlformats.org/officeDocument/2006/relationships/hyperlink" Target="imagenes/T_TAHARI_124010271_CML_3.jpg" TargetMode="External" Id="rId12562"/><Relationship Type="http://schemas.openxmlformats.org/officeDocument/2006/relationships/hyperlink" Target="imagenes/T_TAHARI_124010271_CML_1.jpg" TargetMode="External" Id="rId12563"/><Relationship Type="http://schemas.openxmlformats.org/officeDocument/2006/relationships/hyperlink" Target="imagenes/T_TAHARI_124010271_CML_2.jpg" TargetMode="External" Id="rId12564"/><Relationship Type="http://schemas.openxmlformats.org/officeDocument/2006/relationships/hyperlink" Target="imagenes/T_TAHARI_124010271_CML_3.jpg" TargetMode="External" Id="rId12565"/><Relationship Type="http://schemas.openxmlformats.org/officeDocument/2006/relationships/hyperlink" Target="imagenes/T_TAHARI_124010271_CML_1.jpg" TargetMode="External" Id="rId12566"/><Relationship Type="http://schemas.openxmlformats.org/officeDocument/2006/relationships/hyperlink" Target="imagenes/T_TAHARI_124010271_CML_2.jpg" TargetMode="External" Id="rId12567"/><Relationship Type="http://schemas.openxmlformats.org/officeDocument/2006/relationships/hyperlink" Target="imagenes/T_TAHARI_124010271_CML_3.jpg" TargetMode="External" Id="rId12568"/><Relationship Type="http://schemas.openxmlformats.org/officeDocument/2006/relationships/hyperlink" Target="imagenes/T_TAHARI_124010271_CML_1.jpg" TargetMode="External" Id="rId12569"/><Relationship Type="http://schemas.openxmlformats.org/officeDocument/2006/relationships/hyperlink" Target="imagenes/T_TAHARI_124010271_CML_2.jpg" TargetMode="External" Id="rId12570"/><Relationship Type="http://schemas.openxmlformats.org/officeDocument/2006/relationships/hyperlink" Target="imagenes/T_TAHARI_124010271_CML_3.jpg" TargetMode="External" Id="rId12571"/><Relationship Type="http://schemas.openxmlformats.org/officeDocument/2006/relationships/hyperlink" Target="imagenes/T_TAHARI_124010271_CML_1.jpg" TargetMode="External" Id="rId12572"/><Relationship Type="http://schemas.openxmlformats.org/officeDocument/2006/relationships/hyperlink" Target="imagenes/T_TAHARI_124010271_CML_2.jpg" TargetMode="External" Id="rId12573"/><Relationship Type="http://schemas.openxmlformats.org/officeDocument/2006/relationships/hyperlink" Target="imagenes/T_TAHARI_124010271_CML_3.jpg" TargetMode="External" Id="rId12574"/><Relationship Type="http://schemas.openxmlformats.org/officeDocument/2006/relationships/hyperlink" Target="imagenes/T_TAHARI_124010271_CML_1.jpg" TargetMode="External" Id="rId12575"/><Relationship Type="http://schemas.openxmlformats.org/officeDocument/2006/relationships/hyperlink" Target="imagenes/T_TAHARI_124010271_CML_2.jpg" TargetMode="External" Id="rId12576"/><Relationship Type="http://schemas.openxmlformats.org/officeDocument/2006/relationships/hyperlink" Target="imagenes/T_TAHARI_124010271_CML_3.jpg" TargetMode="External" Id="rId12577"/><Relationship Type="http://schemas.openxmlformats.org/officeDocument/2006/relationships/hyperlink" Target="imagenes/T_TAHARI_124010271_CML_1.jpg" TargetMode="External" Id="rId12578"/><Relationship Type="http://schemas.openxmlformats.org/officeDocument/2006/relationships/hyperlink" Target="imagenes/T_TAHARI_124010271_CML_2.jpg" TargetMode="External" Id="rId12579"/><Relationship Type="http://schemas.openxmlformats.org/officeDocument/2006/relationships/hyperlink" Target="imagenes/T_TAHARI_124010271_CML_3.jpg" TargetMode="External" Id="rId12580"/><Relationship Type="http://schemas.openxmlformats.org/officeDocument/2006/relationships/hyperlink" Target="imagenes/T_TAHARI_124010271_CML_1.jpg" TargetMode="External" Id="rId12581"/><Relationship Type="http://schemas.openxmlformats.org/officeDocument/2006/relationships/hyperlink" Target="imagenes/T_TAHARI_124010271_CML_2.jpg" TargetMode="External" Id="rId12582"/><Relationship Type="http://schemas.openxmlformats.org/officeDocument/2006/relationships/hyperlink" Target="imagenes/T_TAHARI_124010271_CML_3.jpg" TargetMode="External" Id="rId12583"/><Relationship Type="http://schemas.openxmlformats.org/officeDocument/2006/relationships/hyperlink" Target="imagenes/T_TAHARI_124010271_CML_1.jpg" TargetMode="External" Id="rId12584"/><Relationship Type="http://schemas.openxmlformats.org/officeDocument/2006/relationships/hyperlink" Target="imagenes/T_TAHARI_124010271_CML_2.jpg" TargetMode="External" Id="rId12585"/><Relationship Type="http://schemas.openxmlformats.org/officeDocument/2006/relationships/hyperlink" Target="imagenes/T_TAHARI_124010271_CML_3.jpg" TargetMode="External" Id="rId12586"/><Relationship Type="http://schemas.openxmlformats.org/officeDocument/2006/relationships/hyperlink" Target="imagenes/T_TAHARI_124010271_CML_1.jpg" TargetMode="External" Id="rId12587"/><Relationship Type="http://schemas.openxmlformats.org/officeDocument/2006/relationships/hyperlink" Target="imagenes/T_TAHARI_124010271_CML_2.jpg" TargetMode="External" Id="rId12588"/><Relationship Type="http://schemas.openxmlformats.org/officeDocument/2006/relationships/hyperlink" Target="imagenes/T_TAHARI_124010271_CML_3.jpg" TargetMode="External" Id="rId12589"/><Relationship Type="http://schemas.openxmlformats.org/officeDocument/2006/relationships/hyperlink" Target="imagenes/T_TAHARI_124010271_CML_1.jpg" TargetMode="External" Id="rId12590"/><Relationship Type="http://schemas.openxmlformats.org/officeDocument/2006/relationships/hyperlink" Target="imagenes/T_TAHARI_124010271_CML_2.jpg" TargetMode="External" Id="rId12591"/><Relationship Type="http://schemas.openxmlformats.org/officeDocument/2006/relationships/hyperlink" Target="imagenes/T_TAHARI_124010271_CML_3.jpg" TargetMode="External" Id="rId12592"/><Relationship Type="http://schemas.openxmlformats.org/officeDocument/2006/relationships/hyperlink" Target="imagenes/T_TAHARI_124010271_CML_1.jpg" TargetMode="External" Id="rId12593"/><Relationship Type="http://schemas.openxmlformats.org/officeDocument/2006/relationships/hyperlink" Target="imagenes/T_TAHARI_124010271_CML_2.jpg" TargetMode="External" Id="rId12594"/><Relationship Type="http://schemas.openxmlformats.org/officeDocument/2006/relationships/hyperlink" Target="imagenes/T_TAHARI_124010271_CML_3.jpg" TargetMode="External" Id="rId12595"/><Relationship Type="http://schemas.openxmlformats.org/officeDocument/2006/relationships/hyperlink" Target="imagenes/T_TAHARI_124010272_BLK_1.jpg" TargetMode="External" Id="rId12596"/><Relationship Type="http://schemas.openxmlformats.org/officeDocument/2006/relationships/hyperlink" Target="imagenes/T_TAHARI_124010272_BLK_2.jpg" TargetMode="External" Id="rId12597"/><Relationship Type="http://schemas.openxmlformats.org/officeDocument/2006/relationships/hyperlink" Target="imagenes/T_TAHARI_124010272_BLK_3.jpg" TargetMode="External" Id="rId12598"/><Relationship Type="http://schemas.openxmlformats.org/officeDocument/2006/relationships/hyperlink" Target="imagenes/T_TAHARI_124010272_BLK_1.jpg" TargetMode="External" Id="rId12599"/><Relationship Type="http://schemas.openxmlformats.org/officeDocument/2006/relationships/hyperlink" Target="imagenes/T_TAHARI_124010272_BLK_2.jpg" TargetMode="External" Id="rId12600"/><Relationship Type="http://schemas.openxmlformats.org/officeDocument/2006/relationships/hyperlink" Target="imagenes/T_TAHARI_124010272_BLK_3.jpg" TargetMode="External" Id="rId12601"/><Relationship Type="http://schemas.openxmlformats.org/officeDocument/2006/relationships/hyperlink" Target="imagenes/T_TAHARI_124010272_BLK_1.jpg" TargetMode="External" Id="rId12602"/><Relationship Type="http://schemas.openxmlformats.org/officeDocument/2006/relationships/hyperlink" Target="imagenes/T_TAHARI_124010272_BLK_2.jpg" TargetMode="External" Id="rId12603"/><Relationship Type="http://schemas.openxmlformats.org/officeDocument/2006/relationships/hyperlink" Target="imagenes/T_TAHARI_124010272_BLK_3.jpg" TargetMode="External" Id="rId12604"/><Relationship Type="http://schemas.openxmlformats.org/officeDocument/2006/relationships/hyperlink" Target="imagenes/T_TAHARI_124010272_BLK_1.jpg" TargetMode="External" Id="rId12605"/><Relationship Type="http://schemas.openxmlformats.org/officeDocument/2006/relationships/hyperlink" Target="imagenes/T_TAHARI_124010272_BLK_2.jpg" TargetMode="External" Id="rId12606"/><Relationship Type="http://schemas.openxmlformats.org/officeDocument/2006/relationships/hyperlink" Target="imagenes/T_TAHARI_124010272_BLK_3.jpg" TargetMode="External" Id="rId12607"/><Relationship Type="http://schemas.openxmlformats.org/officeDocument/2006/relationships/hyperlink" Target="imagenes/T_TAHARI_124010272_BLK_1.jpg" TargetMode="External" Id="rId12608"/><Relationship Type="http://schemas.openxmlformats.org/officeDocument/2006/relationships/hyperlink" Target="imagenes/T_TAHARI_124010272_BLK_2.jpg" TargetMode="External" Id="rId12609"/><Relationship Type="http://schemas.openxmlformats.org/officeDocument/2006/relationships/hyperlink" Target="imagenes/T_TAHARI_124010272_BLK_3.jpg" TargetMode="External" Id="rId12610"/><Relationship Type="http://schemas.openxmlformats.org/officeDocument/2006/relationships/hyperlink" Target="imagenes/T_TAHARI_124010272_BLK_1.jpg" TargetMode="External" Id="rId12611"/><Relationship Type="http://schemas.openxmlformats.org/officeDocument/2006/relationships/hyperlink" Target="imagenes/T_TAHARI_124010272_BLK_2.jpg" TargetMode="External" Id="rId12612"/><Relationship Type="http://schemas.openxmlformats.org/officeDocument/2006/relationships/hyperlink" Target="imagenes/T_TAHARI_124010272_BLK_3.jpg" TargetMode="External" Id="rId12613"/><Relationship Type="http://schemas.openxmlformats.org/officeDocument/2006/relationships/hyperlink" Target="imagenes/T_TAHARI_124010272_BLK_1.jpg" TargetMode="External" Id="rId12614"/><Relationship Type="http://schemas.openxmlformats.org/officeDocument/2006/relationships/hyperlink" Target="imagenes/T_TAHARI_124010272_BLK_2.jpg" TargetMode="External" Id="rId12615"/><Relationship Type="http://schemas.openxmlformats.org/officeDocument/2006/relationships/hyperlink" Target="imagenes/T_TAHARI_124010272_BLK_3.jpg" TargetMode="External" Id="rId12616"/><Relationship Type="http://schemas.openxmlformats.org/officeDocument/2006/relationships/hyperlink" Target="imagenes/T_TAHARI_124010272_BLK_1.jpg" TargetMode="External" Id="rId12617"/><Relationship Type="http://schemas.openxmlformats.org/officeDocument/2006/relationships/hyperlink" Target="imagenes/T_TAHARI_124010272_BLK_2.jpg" TargetMode="External" Id="rId12618"/><Relationship Type="http://schemas.openxmlformats.org/officeDocument/2006/relationships/hyperlink" Target="imagenes/T_TAHARI_124010272_BLK_3.jpg" TargetMode="External" Id="rId12619"/><Relationship Type="http://schemas.openxmlformats.org/officeDocument/2006/relationships/hyperlink" Target="imagenes/T_TAHARI_124010272_BLK_1.jpg" TargetMode="External" Id="rId12620"/><Relationship Type="http://schemas.openxmlformats.org/officeDocument/2006/relationships/hyperlink" Target="imagenes/T_TAHARI_124010272_BLK_2.jpg" TargetMode="External" Id="rId12621"/><Relationship Type="http://schemas.openxmlformats.org/officeDocument/2006/relationships/hyperlink" Target="imagenes/T_TAHARI_124010272_BLK_3.jpg" TargetMode="External" Id="rId12622"/><Relationship Type="http://schemas.openxmlformats.org/officeDocument/2006/relationships/hyperlink" Target="imagenes/T_TAHARI_124010272_BLK_1.jpg" TargetMode="External" Id="rId12623"/><Relationship Type="http://schemas.openxmlformats.org/officeDocument/2006/relationships/hyperlink" Target="imagenes/T_TAHARI_124010272_BLK_2.jpg" TargetMode="External" Id="rId12624"/><Relationship Type="http://schemas.openxmlformats.org/officeDocument/2006/relationships/hyperlink" Target="imagenes/T_TAHARI_124010272_BLK_3.jpg" TargetMode="External" Id="rId12625"/><Relationship Type="http://schemas.openxmlformats.org/officeDocument/2006/relationships/hyperlink" Target="imagenes/T_TAHARI_124010272_BLK_1.jpg" TargetMode="External" Id="rId12626"/><Relationship Type="http://schemas.openxmlformats.org/officeDocument/2006/relationships/hyperlink" Target="imagenes/T_TAHARI_124010272_BLK_2.jpg" TargetMode="External" Id="rId12627"/><Relationship Type="http://schemas.openxmlformats.org/officeDocument/2006/relationships/hyperlink" Target="imagenes/T_TAHARI_124010272_BLK_3.jpg" TargetMode="External" Id="rId12628"/><Relationship Type="http://schemas.openxmlformats.org/officeDocument/2006/relationships/hyperlink" Target="imagenes/T_TAHARI_124010272_BLK_1.jpg" TargetMode="External" Id="rId12629"/><Relationship Type="http://schemas.openxmlformats.org/officeDocument/2006/relationships/hyperlink" Target="imagenes/T_TAHARI_124010272_BLK_2.jpg" TargetMode="External" Id="rId12630"/><Relationship Type="http://schemas.openxmlformats.org/officeDocument/2006/relationships/hyperlink" Target="imagenes/T_TAHARI_124010272_BLK_3.jpg" TargetMode="External" Id="rId12631"/><Relationship Type="http://schemas.openxmlformats.org/officeDocument/2006/relationships/hyperlink" Target="imagenes/T_TAHARI_124010272_BLK_1.jpg" TargetMode="External" Id="rId12632"/><Relationship Type="http://schemas.openxmlformats.org/officeDocument/2006/relationships/hyperlink" Target="imagenes/T_TAHARI_124010272_BLK_2.jpg" TargetMode="External" Id="rId12633"/><Relationship Type="http://schemas.openxmlformats.org/officeDocument/2006/relationships/hyperlink" Target="imagenes/T_TAHARI_124010272_BLK_3.jpg" TargetMode="External" Id="rId12634"/><Relationship Type="http://schemas.openxmlformats.org/officeDocument/2006/relationships/hyperlink" Target="imagenes/T_TAHARI_124010272_BLK_1.jpg" TargetMode="External" Id="rId12635"/><Relationship Type="http://schemas.openxmlformats.org/officeDocument/2006/relationships/hyperlink" Target="imagenes/T_TAHARI_124010272_BLK_2.jpg" TargetMode="External" Id="rId12636"/><Relationship Type="http://schemas.openxmlformats.org/officeDocument/2006/relationships/hyperlink" Target="imagenes/T_TAHARI_124010272_BLK_3.jpg" TargetMode="External" Id="rId12637"/><Relationship Type="http://schemas.openxmlformats.org/officeDocument/2006/relationships/hyperlink" Target="imagenes/T_TAHARI_124010272_BLK_1.jpg" TargetMode="External" Id="rId12638"/><Relationship Type="http://schemas.openxmlformats.org/officeDocument/2006/relationships/hyperlink" Target="imagenes/T_TAHARI_124010272_BLK_2.jpg" TargetMode="External" Id="rId12639"/><Relationship Type="http://schemas.openxmlformats.org/officeDocument/2006/relationships/hyperlink" Target="imagenes/T_TAHARI_124010272_BLK_3.jpg" TargetMode="External" Id="rId12640"/><Relationship Type="http://schemas.openxmlformats.org/officeDocument/2006/relationships/hyperlink" Target="imagenes/T_TAHARI_124010272_BLK_1.jpg" TargetMode="External" Id="rId12641"/><Relationship Type="http://schemas.openxmlformats.org/officeDocument/2006/relationships/hyperlink" Target="imagenes/T_TAHARI_124010272_BLK_2.jpg" TargetMode="External" Id="rId12642"/><Relationship Type="http://schemas.openxmlformats.org/officeDocument/2006/relationships/hyperlink" Target="imagenes/T_TAHARI_124010272_BLK_3.jpg" TargetMode="External" Id="rId12643"/><Relationship Type="http://schemas.openxmlformats.org/officeDocument/2006/relationships/hyperlink" Target="imagenes/T_TAHARI_124010272_BLK_1.jpg" TargetMode="External" Id="rId12644"/><Relationship Type="http://schemas.openxmlformats.org/officeDocument/2006/relationships/hyperlink" Target="imagenes/T_TAHARI_124010272_BLK_2.jpg" TargetMode="External" Id="rId12645"/><Relationship Type="http://schemas.openxmlformats.org/officeDocument/2006/relationships/hyperlink" Target="imagenes/T_TAHARI_124010272_BLK_3.jpg" TargetMode="External" Id="rId12646"/><Relationship Type="http://schemas.openxmlformats.org/officeDocument/2006/relationships/hyperlink" Target="imagenes/T_TAHARI_124010272_CML_1.jpg" TargetMode="External" Id="rId12647"/><Relationship Type="http://schemas.openxmlformats.org/officeDocument/2006/relationships/hyperlink" Target="imagenes/T_TAHARI_124010272_CML_2.jpg" TargetMode="External" Id="rId12648"/><Relationship Type="http://schemas.openxmlformats.org/officeDocument/2006/relationships/hyperlink" Target="imagenes/T_TAHARI_124010272_CML_3.jpg" TargetMode="External" Id="rId12649"/><Relationship Type="http://schemas.openxmlformats.org/officeDocument/2006/relationships/hyperlink" Target="imagenes/T_TAHARI_124010272_CML_1.jpg" TargetMode="External" Id="rId12650"/><Relationship Type="http://schemas.openxmlformats.org/officeDocument/2006/relationships/hyperlink" Target="imagenes/T_TAHARI_124010272_CML_2.jpg" TargetMode="External" Id="rId12651"/><Relationship Type="http://schemas.openxmlformats.org/officeDocument/2006/relationships/hyperlink" Target="imagenes/T_TAHARI_124010272_CML_3.jpg" TargetMode="External" Id="rId12652"/><Relationship Type="http://schemas.openxmlformats.org/officeDocument/2006/relationships/hyperlink" Target="imagenes/T_TAHARI_124010272_CML_1.jpg" TargetMode="External" Id="rId12653"/><Relationship Type="http://schemas.openxmlformats.org/officeDocument/2006/relationships/hyperlink" Target="imagenes/T_TAHARI_124010272_CML_2.jpg" TargetMode="External" Id="rId12654"/><Relationship Type="http://schemas.openxmlformats.org/officeDocument/2006/relationships/hyperlink" Target="imagenes/T_TAHARI_124010272_CML_3.jpg" TargetMode="External" Id="rId12655"/><Relationship Type="http://schemas.openxmlformats.org/officeDocument/2006/relationships/hyperlink" Target="imagenes/T_TAHARI_124010272_CML_1.jpg" TargetMode="External" Id="rId12656"/><Relationship Type="http://schemas.openxmlformats.org/officeDocument/2006/relationships/hyperlink" Target="imagenes/T_TAHARI_124010272_CML_2.jpg" TargetMode="External" Id="rId12657"/><Relationship Type="http://schemas.openxmlformats.org/officeDocument/2006/relationships/hyperlink" Target="imagenes/T_TAHARI_124010272_CML_3.jpg" TargetMode="External" Id="rId12658"/><Relationship Type="http://schemas.openxmlformats.org/officeDocument/2006/relationships/hyperlink" Target="imagenes/T_TAHARI_124010272_CML_1.jpg" TargetMode="External" Id="rId12659"/><Relationship Type="http://schemas.openxmlformats.org/officeDocument/2006/relationships/hyperlink" Target="imagenes/T_TAHARI_124010272_CML_2.jpg" TargetMode="External" Id="rId12660"/><Relationship Type="http://schemas.openxmlformats.org/officeDocument/2006/relationships/hyperlink" Target="imagenes/T_TAHARI_124010272_CML_3.jpg" TargetMode="External" Id="rId12661"/><Relationship Type="http://schemas.openxmlformats.org/officeDocument/2006/relationships/hyperlink" Target="imagenes/T_TAHARI_124010272_CML_1.jpg" TargetMode="External" Id="rId12662"/><Relationship Type="http://schemas.openxmlformats.org/officeDocument/2006/relationships/hyperlink" Target="imagenes/T_TAHARI_124010272_CML_2.jpg" TargetMode="External" Id="rId12663"/><Relationship Type="http://schemas.openxmlformats.org/officeDocument/2006/relationships/hyperlink" Target="imagenes/T_TAHARI_124010272_CML_3.jpg" TargetMode="External" Id="rId12664"/><Relationship Type="http://schemas.openxmlformats.org/officeDocument/2006/relationships/hyperlink" Target="imagenes/T_TAHARI_124010272_CML_1.jpg" TargetMode="External" Id="rId12665"/><Relationship Type="http://schemas.openxmlformats.org/officeDocument/2006/relationships/hyperlink" Target="imagenes/T_TAHARI_124010272_CML_2.jpg" TargetMode="External" Id="rId12666"/><Relationship Type="http://schemas.openxmlformats.org/officeDocument/2006/relationships/hyperlink" Target="imagenes/T_TAHARI_124010272_CML_3.jpg" TargetMode="External" Id="rId12667"/><Relationship Type="http://schemas.openxmlformats.org/officeDocument/2006/relationships/hyperlink" Target="imagenes/T_TAHARI_124010272_CML_1.jpg" TargetMode="External" Id="rId12668"/><Relationship Type="http://schemas.openxmlformats.org/officeDocument/2006/relationships/hyperlink" Target="imagenes/T_TAHARI_124010272_CML_2.jpg" TargetMode="External" Id="rId12669"/><Relationship Type="http://schemas.openxmlformats.org/officeDocument/2006/relationships/hyperlink" Target="imagenes/T_TAHARI_124010272_CML_3.jpg" TargetMode="External" Id="rId12670"/><Relationship Type="http://schemas.openxmlformats.org/officeDocument/2006/relationships/hyperlink" Target="imagenes/T_TAHARI_124010272_CML_1.jpg" TargetMode="External" Id="rId12671"/><Relationship Type="http://schemas.openxmlformats.org/officeDocument/2006/relationships/hyperlink" Target="imagenes/T_TAHARI_124010272_CML_2.jpg" TargetMode="External" Id="rId12672"/><Relationship Type="http://schemas.openxmlformats.org/officeDocument/2006/relationships/hyperlink" Target="imagenes/T_TAHARI_124010272_CML_3.jpg" TargetMode="External" Id="rId12673"/><Relationship Type="http://schemas.openxmlformats.org/officeDocument/2006/relationships/hyperlink" Target="imagenes/T_TAHARI_124010272_CML_1.jpg" TargetMode="External" Id="rId12674"/><Relationship Type="http://schemas.openxmlformats.org/officeDocument/2006/relationships/hyperlink" Target="imagenes/T_TAHARI_124010272_CML_2.jpg" TargetMode="External" Id="rId12675"/><Relationship Type="http://schemas.openxmlformats.org/officeDocument/2006/relationships/hyperlink" Target="imagenes/T_TAHARI_124010272_CML_3.jpg" TargetMode="External" Id="rId12676"/><Relationship Type="http://schemas.openxmlformats.org/officeDocument/2006/relationships/hyperlink" Target="imagenes/T_TAHARI_124010272_CML_1.jpg" TargetMode="External" Id="rId12677"/><Relationship Type="http://schemas.openxmlformats.org/officeDocument/2006/relationships/hyperlink" Target="imagenes/T_TAHARI_124010272_CML_2.jpg" TargetMode="External" Id="rId12678"/><Relationship Type="http://schemas.openxmlformats.org/officeDocument/2006/relationships/hyperlink" Target="imagenes/T_TAHARI_124010272_CML_3.jpg" TargetMode="External" Id="rId12679"/><Relationship Type="http://schemas.openxmlformats.org/officeDocument/2006/relationships/hyperlink" Target="imagenes/T_TAHARI_124010272_CML_1.jpg" TargetMode="External" Id="rId12680"/><Relationship Type="http://schemas.openxmlformats.org/officeDocument/2006/relationships/hyperlink" Target="imagenes/T_TAHARI_124010272_CML_2.jpg" TargetMode="External" Id="rId12681"/><Relationship Type="http://schemas.openxmlformats.org/officeDocument/2006/relationships/hyperlink" Target="imagenes/T_TAHARI_124010272_CML_3.jpg" TargetMode="External" Id="rId12682"/><Relationship Type="http://schemas.openxmlformats.org/officeDocument/2006/relationships/hyperlink" Target="imagenes/T_TAHARI_124010272_CML_1.jpg" TargetMode="External" Id="rId12683"/><Relationship Type="http://schemas.openxmlformats.org/officeDocument/2006/relationships/hyperlink" Target="imagenes/T_TAHARI_124010272_CML_2.jpg" TargetMode="External" Id="rId12684"/><Relationship Type="http://schemas.openxmlformats.org/officeDocument/2006/relationships/hyperlink" Target="imagenes/T_TAHARI_124010272_CML_3.jpg" TargetMode="External" Id="rId12685"/><Relationship Type="http://schemas.openxmlformats.org/officeDocument/2006/relationships/hyperlink" Target="imagenes/T_TAHARI_124010272_CML_1.jpg" TargetMode="External" Id="rId12686"/><Relationship Type="http://schemas.openxmlformats.org/officeDocument/2006/relationships/hyperlink" Target="imagenes/T_TAHARI_124010272_CML_2.jpg" TargetMode="External" Id="rId12687"/><Relationship Type="http://schemas.openxmlformats.org/officeDocument/2006/relationships/hyperlink" Target="imagenes/T_TAHARI_124010272_CML_3.jpg" TargetMode="External" Id="rId12688"/><Relationship Type="http://schemas.openxmlformats.org/officeDocument/2006/relationships/hyperlink" Target="imagenes/T_TAHARI_124010272_CML_1.jpg" TargetMode="External" Id="rId12689"/><Relationship Type="http://schemas.openxmlformats.org/officeDocument/2006/relationships/hyperlink" Target="imagenes/T_TAHARI_124010272_CML_2.jpg" TargetMode="External" Id="rId12690"/><Relationship Type="http://schemas.openxmlformats.org/officeDocument/2006/relationships/hyperlink" Target="imagenes/T_TAHARI_124010272_CML_3.jpg" TargetMode="External" Id="rId12691"/><Relationship Type="http://schemas.openxmlformats.org/officeDocument/2006/relationships/hyperlink" Target="imagenes/T_TAHARI_124010272_CML_1.jpg" TargetMode="External" Id="rId12692"/><Relationship Type="http://schemas.openxmlformats.org/officeDocument/2006/relationships/hyperlink" Target="imagenes/T_TAHARI_124010272_CML_2.jpg" TargetMode="External" Id="rId12693"/><Relationship Type="http://schemas.openxmlformats.org/officeDocument/2006/relationships/hyperlink" Target="imagenes/T_TAHARI_124010272_CML_3.jpg" TargetMode="External" Id="rId12694"/><Relationship Type="http://schemas.openxmlformats.org/officeDocument/2006/relationships/hyperlink" Target="imagenes/T_TAHARI_124010283_BLK_1.jpg" TargetMode="External" Id="rId12695"/><Relationship Type="http://schemas.openxmlformats.org/officeDocument/2006/relationships/hyperlink" Target="imagenes/T_TAHARI_124010283_BLK_2.jpg" TargetMode="External" Id="rId12696"/><Relationship Type="http://schemas.openxmlformats.org/officeDocument/2006/relationships/hyperlink" Target="imagenes/T_TAHARI_124010283_BLK_3.jpg" TargetMode="External" Id="rId12697"/><Relationship Type="http://schemas.openxmlformats.org/officeDocument/2006/relationships/hyperlink" Target="imagenes/T_TAHARI_124010283_BLK_1.jpg" TargetMode="External" Id="rId12698"/><Relationship Type="http://schemas.openxmlformats.org/officeDocument/2006/relationships/hyperlink" Target="imagenes/T_TAHARI_124010283_BLK_2.jpg" TargetMode="External" Id="rId12699"/><Relationship Type="http://schemas.openxmlformats.org/officeDocument/2006/relationships/hyperlink" Target="imagenes/T_TAHARI_124010283_BLK_3.jpg" TargetMode="External" Id="rId12700"/><Relationship Type="http://schemas.openxmlformats.org/officeDocument/2006/relationships/hyperlink" Target="imagenes/T_TAHARI_124010283_BLK_1.jpg" TargetMode="External" Id="rId12701"/><Relationship Type="http://schemas.openxmlformats.org/officeDocument/2006/relationships/hyperlink" Target="imagenes/T_TAHARI_124010283_BLK_2.jpg" TargetMode="External" Id="rId12702"/><Relationship Type="http://schemas.openxmlformats.org/officeDocument/2006/relationships/hyperlink" Target="imagenes/T_TAHARI_124010283_BLK_3.jpg" TargetMode="External" Id="rId12703"/><Relationship Type="http://schemas.openxmlformats.org/officeDocument/2006/relationships/hyperlink" Target="imagenes/T_TAHARI_124010283_BLK_1.jpg" TargetMode="External" Id="rId12704"/><Relationship Type="http://schemas.openxmlformats.org/officeDocument/2006/relationships/hyperlink" Target="imagenes/T_TAHARI_124010283_BLK_2.jpg" TargetMode="External" Id="rId12705"/><Relationship Type="http://schemas.openxmlformats.org/officeDocument/2006/relationships/hyperlink" Target="imagenes/T_TAHARI_124010283_BLK_3.jpg" TargetMode="External" Id="rId12706"/><Relationship Type="http://schemas.openxmlformats.org/officeDocument/2006/relationships/hyperlink" Target="imagenes/T_TAHARI_124010283_BLK_1.jpg" TargetMode="External" Id="rId12707"/><Relationship Type="http://schemas.openxmlformats.org/officeDocument/2006/relationships/hyperlink" Target="imagenes/T_TAHARI_124010283_BLK_2.jpg" TargetMode="External" Id="rId12708"/><Relationship Type="http://schemas.openxmlformats.org/officeDocument/2006/relationships/hyperlink" Target="imagenes/T_TAHARI_124010283_BLK_3.jpg" TargetMode="External" Id="rId12709"/><Relationship Type="http://schemas.openxmlformats.org/officeDocument/2006/relationships/hyperlink" Target="imagenes/T_TAHARI_124010283_BLK_1.jpg" TargetMode="External" Id="rId12710"/><Relationship Type="http://schemas.openxmlformats.org/officeDocument/2006/relationships/hyperlink" Target="imagenes/T_TAHARI_124010283_BLK_2.jpg" TargetMode="External" Id="rId12711"/><Relationship Type="http://schemas.openxmlformats.org/officeDocument/2006/relationships/hyperlink" Target="imagenes/T_TAHARI_124010283_BLK_3.jpg" TargetMode="External" Id="rId12712"/><Relationship Type="http://schemas.openxmlformats.org/officeDocument/2006/relationships/hyperlink" Target="imagenes/T_TAHARI_124010283_BLK_1.jpg" TargetMode="External" Id="rId12713"/><Relationship Type="http://schemas.openxmlformats.org/officeDocument/2006/relationships/hyperlink" Target="imagenes/T_TAHARI_124010283_BLK_2.jpg" TargetMode="External" Id="rId12714"/><Relationship Type="http://schemas.openxmlformats.org/officeDocument/2006/relationships/hyperlink" Target="imagenes/T_TAHARI_124010283_BLK_3.jpg" TargetMode="External" Id="rId12715"/><Relationship Type="http://schemas.openxmlformats.org/officeDocument/2006/relationships/hyperlink" Target="imagenes/T_TAHARI_124010283_BLK_1.jpg" TargetMode="External" Id="rId12716"/><Relationship Type="http://schemas.openxmlformats.org/officeDocument/2006/relationships/hyperlink" Target="imagenes/T_TAHARI_124010283_BLK_2.jpg" TargetMode="External" Id="rId12717"/><Relationship Type="http://schemas.openxmlformats.org/officeDocument/2006/relationships/hyperlink" Target="imagenes/T_TAHARI_124010283_BLK_3.jpg" TargetMode="External" Id="rId12718"/><Relationship Type="http://schemas.openxmlformats.org/officeDocument/2006/relationships/hyperlink" Target="imagenes/T_TAHARI_124010283_BLK_1.jpg" TargetMode="External" Id="rId12719"/><Relationship Type="http://schemas.openxmlformats.org/officeDocument/2006/relationships/hyperlink" Target="imagenes/T_TAHARI_124010283_BLK_2.jpg" TargetMode="External" Id="rId12720"/><Relationship Type="http://schemas.openxmlformats.org/officeDocument/2006/relationships/hyperlink" Target="imagenes/T_TAHARI_124010283_BLK_3.jpg" TargetMode="External" Id="rId12721"/><Relationship Type="http://schemas.openxmlformats.org/officeDocument/2006/relationships/hyperlink" Target="imagenes/T_TAHARI_124010283_BLK_1.jpg" TargetMode="External" Id="rId12722"/><Relationship Type="http://schemas.openxmlformats.org/officeDocument/2006/relationships/hyperlink" Target="imagenes/T_TAHARI_124010283_BLK_2.jpg" TargetMode="External" Id="rId12723"/><Relationship Type="http://schemas.openxmlformats.org/officeDocument/2006/relationships/hyperlink" Target="imagenes/T_TAHARI_124010283_BLK_3.jpg" TargetMode="External" Id="rId12724"/><Relationship Type="http://schemas.openxmlformats.org/officeDocument/2006/relationships/hyperlink" Target="imagenes/T_TAHARI_124010283_OLI_1.jpg" TargetMode="External" Id="rId12725"/><Relationship Type="http://schemas.openxmlformats.org/officeDocument/2006/relationships/hyperlink" Target="imagenes/T_TAHARI_124010283_OLI_2.jpg" TargetMode="External" Id="rId12726"/><Relationship Type="http://schemas.openxmlformats.org/officeDocument/2006/relationships/hyperlink" Target="imagenes/T_TAHARI_124010283_OLI_3.jpg" TargetMode="External" Id="rId12727"/><Relationship Type="http://schemas.openxmlformats.org/officeDocument/2006/relationships/hyperlink" Target="imagenes/T_TAHARI_124010283_OLI_1.jpg" TargetMode="External" Id="rId12728"/><Relationship Type="http://schemas.openxmlformats.org/officeDocument/2006/relationships/hyperlink" Target="imagenes/T_TAHARI_124010283_OLI_2.jpg" TargetMode="External" Id="rId12729"/><Relationship Type="http://schemas.openxmlformats.org/officeDocument/2006/relationships/hyperlink" Target="imagenes/T_TAHARI_124010283_OLI_3.jpg" TargetMode="External" Id="rId12730"/><Relationship Type="http://schemas.openxmlformats.org/officeDocument/2006/relationships/hyperlink" Target="imagenes/T_TAHARI_124010283_OLI_1.jpg" TargetMode="External" Id="rId12731"/><Relationship Type="http://schemas.openxmlformats.org/officeDocument/2006/relationships/hyperlink" Target="imagenes/T_TAHARI_124010283_OLI_2.jpg" TargetMode="External" Id="rId12732"/><Relationship Type="http://schemas.openxmlformats.org/officeDocument/2006/relationships/hyperlink" Target="imagenes/T_TAHARI_124010283_OLI_3.jpg" TargetMode="External" Id="rId12733"/><Relationship Type="http://schemas.openxmlformats.org/officeDocument/2006/relationships/hyperlink" Target="imagenes/T_TAHARI_124010283_OLI_1.jpg" TargetMode="External" Id="rId12734"/><Relationship Type="http://schemas.openxmlformats.org/officeDocument/2006/relationships/hyperlink" Target="imagenes/T_TAHARI_124010283_OLI_2.jpg" TargetMode="External" Id="rId12735"/><Relationship Type="http://schemas.openxmlformats.org/officeDocument/2006/relationships/hyperlink" Target="imagenes/T_TAHARI_124010283_OLI_3.jpg" TargetMode="External" Id="rId12736"/><Relationship Type="http://schemas.openxmlformats.org/officeDocument/2006/relationships/hyperlink" Target="imagenes/T_TAHARI_124010283_OLI_1.jpg" TargetMode="External" Id="rId12737"/><Relationship Type="http://schemas.openxmlformats.org/officeDocument/2006/relationships/hyperlink" Target="imagenes/T_TAHARI_124010283_OLI_2.jpg" TargetMode="External" Id="rId12738"/><Relationship Type="http://schemas.openxmlformats.org/officeDocument/2006/relationships/hyperlink" Target="imagenes/T_TAHARI_124010283_OLI_3.jpg" TargetMode="External" Id="rId12739"/><Relationship Type="http://schemas.openxmlformats.org/officeDocument/2006/relationships/hyperlink" Target="imagenes/T_TAHARI_124010283_OLI_1.jpg" TargetMode="External" Id="rId12740"/><Relationship Type="http://schemas.openxmlformats.org/officeDocument/2006/relationships/hyperlink" Target="imagenes/T_TAHARI_124010283_OLI_2.jpg" TargetMode="External" Id="rId12741"/><Relationship Type="http://schemas.openxmlformats.org/officeDocument/2006/relationships/hyperlink" Target="imagenes/T_TAHARI_124010283_OLI_3.jpg" TargetMode="External" Id="rId12742"/><Relationship Type="http://schemas.openxmlformats.org/officeDocument/2006/relationships/hyperlink" Target="imagenes/T_TAHARI_124010283_OLI_1.jpg" TargetMode="External" Id="rId12743"/><Relationship Type="http://schemas.openxmlformats.org/officeDocument/2006/relationships/hyperlink" Target="imagenes/T_TAHARI_124010283_OLI_2.jpg" TargetMode="External" Id="rId12744"/><Relationship Type="http://schemas.openxmlformats.org/officeDocument/2006/relationships/hyperlink" Target="imagenes/T_TAHARI_124010283_OLI_3.jpg" TargetMode="External" Id="rId12745"/><Relationship Type="http://schemas.openxmlformats.org/officeDocument/2006/relationships/hyperlink" Target="imagenes/T_TAHARI_124010283_OLI_1.jpg" TargetMode="External" Id="rId12746"/><Relationship Type="http://schemas.openxmlformats.org/officeDocument/2006/relationships/hyperlink" Target="imagenes/T_TAHARI_124010283_OLI_2.jpg" TargetMode="External" Id="rId12747"/><Relationship Type="http://schemas.openxmlformats.org/officeDocument/2006/relationships/hyperlink" Target="imagenes/T_TAHARI_124010283_OLI_3.jpg" TargetMode="External" Id="rId12748"/><Relationship Type="http://schemas.openxmlformats.org/officeDocument/2006/relationships/hyperlink" Target="imagenes/T_TAHARI_124010283_OLI_1.jpg" TargetMode="External" Id="rId12749"/><Relationship Type="http://schemas.openxmlformats.org/officeDocument/2006/relationships/hyperlink" Target="imagenes/T_TAHARI_124010283_OLI_2.jpg" TargetMode="External" Id="rId12750"/><Relationship Type="http://schemas.openxmlformats.org/officeDocument/2006/relationships/hyperlink" Target="imagenes/T_TAHARI_124010283_OLI_3.jpg" TargetMode="External" Id="rId12751"/><Relationship Type="http://schemas.openxmlformats.org/officeDocument/2006/relationships/hyperlink" Target="imagenes/T_TAHARI_124010283_OLI_1.jpg" TargetMode="External" Id="rId12752"/><Relationship Type="http://schemas.openxmlformats.org/officeDocument/2006/relationships/hyperlink" Target="imagenes/T_TAHARI_124010283_OLI_2.jpg" TargetMode="External" Id="rId12753"/><Relationship Type="http://schemas.openxmlformats.org/officeDocument/2006/relationships/hyperlink" Target="imagenes/T_TAHARI_124010283_OLI_3.jpg" TargetMode="External" Id="rId12754"/><Relationship Type="http://schemas.openxmlformats.org/officeDocument/2006/relationships/hyperlink" Target="imagenes/T_TAHARI_124010284_BLK_1.jpg" TargetMode="External" Id="rId12755"/><Relationship Type="http://schemas.openxmlformats.org/officeDocument/2006/relationships/hyperlink" Target="imagenes/T_TAHARI_124010284_BLK_2.jpg" TargetMode="External" Id="rId12756"/><Relationship Type="http://schemas.openxmlformats.org/officeDocument/2006/relationships/hyperlink" Target="imagenes/T_TAHARI_124010284_BLK_3.jpg" TargetMode="External" Id="rId12757"/><Relationship Type="http://schemas.openxmlformats.org/officeDocument/2006/relationships/hyperlink" Target="imagenes/T_TAHARI_124010284_BLK_1.jpg" TargetMode="External" Id="rId12758"/><Relationship Type="http://schemas.openxmlformats.org/officeDocument/2006/relationships/hyperlink" Target="imagenes/T_TAHARI_124010284_BLK_2.jpg" TargetMode="External" Id="rId12759"/><Relationship Type="http://schemas.openxmlformats.org/officeDocument/2006/relationships/hyperlink" Target="imagenes/T_TAHARI_124010284_BLK_3.jpg" TargetMode="External" Id="rId12760"/><Relationship Type="http://schemas.openxmlformats.org/officeDocument/2006/relationships/hyperlink" Target="imagenes/T_TAHARI_124010284_BLK_1.jpg" TargetMode="External" Id="rId12761"/><Relationship Type="http://schemas.openxmlformats.org/officeDocument/2006/relationships/hyperlink" Target="imagenes/T_TAHARI_124010284_BLK_2.jpg" TargetMode="External" Id="rId12762"/><Relationship Type="http://schemas.openxmlformats.org/officeDocument/2006/relationships/hyperlink" Target="imagenes/T_TAHARI_124010284_BLK_3.jpg" TargetMode="External" Id="rId12763"/><Relationship Type="http://schemas.openxmlformats.org/officeDocument/2006/relationships/hyperlink" Target="imagenes/T_TAHARI_124010284_BLK_1.jpg" TargetMode="External" Id="rId12764"/><Relationship Type="http://schemas.openxmlformats.org/officeDocument/2006/relationships/hyperlink" Target="imagenes/T_TAHARI_124010284_BLK_2.jpg" TargetMode="External" Id="rId12765"/><Relationship Type="http://schemas.openxmlformats.org/officeDocument/2006/relationships/hyperlink" Target="imagenes/T_TAHARI_124010284_BLK_3.jpg" TargetMode="External" Id="rId12766"/><Relationship Type="http://schemas.openxmlformats.org/officeDocument/2006/relationships/hyperlink" Target="imagenes/T_TAHARI_124010284_BLK_1.jpg" TargetMode="External" Id="rId12767"/><Relationship Type="http://schemas.openxmlformats.org/officeDocument/2006/relationships/hyperlink" Target="imagenes/T_TAHARI_124010284_BLK_2.jpg" TargetMode="External" Id="rId12768"/><Relationship Type="http://schemas.openxmlformats.org/officeDocument/2006/relationships/hyperlink" Target="imagenes/T_TAHARI_124010284_BLK_3.jpg" TargetMode="External" Id="rId12769"/><Relationship Type="http://schemas.openxmlformats.org/officeDocument/2006/relationships/hyperlink" Target="imagenes/T_TAHARI_124010284_BLK_1.jpg" TargetMode="External" Id="rId12770"/><Relationship Type="http://schemas.openxmlformats.org/officeDocument/2006/relationships/hyperlink" Target="imagenes/T_TAHARI_124010284_BLK_2.jpg" TargetMode="External" Id="rId12771"/><Relationship Type="http://schemas.openxmlformats.org/officeDocument/2006/relationships/hyperlink" Target="imagenes/T_TAHARI_124010284_BLK_3.jpg" TargetMode="External" Id="rId12772"/><Relationship Type="http://schemas.openxmlformats.org/officeDocument/2006/relationships/hyperlink" Target="imagenes/T_TAHARI_124010284_BLK_1.jpg" TargetMode="External" Id="rId12773"/><Relationship Type="http://schemas.openxmlformats.org/officeDocument/2006/relationships/hyperlink" Target="imagenes/T_TAHARI_124010284_BLK_2.jpg" TargetMode="External" Id="rId12774"/><Relationship Type="http://schemas.openxmlformats.org/officeDocument/2006/relationships/hyperlink" Target="imagenes/T_TAHARI_124010284_BLK_3.jpg" TargetMode="External" Id="rId12775"/><Relationship Type="http://schemas.openxmlformats.org/officeDocument/2006/relationships/hyperlink" Target="imagenes/T_TAHARI_124010284_BLK_1.jpg" TargetMode="External" Id="rId12776"/><Relationship Type="http://schemas.openxmlformats.org/officeDocument/2006/relationships/hyperlink" Target="imagenes/T_TAHARI_124010284_BLK_2.jpg" TargetMode="External" Id="rId12777"/><Relationship Type="http://schemas.openxmlformats.org/officeDocument/2006/relationships/hyperlink" Target="imagenes/T_TAHARI_124010284_BLK_3.jpg" TargetMode="External" Id="rId12778"/><Relationship Type="http://schemas.openxmlformats.org/officeDocument/2006/relationships/hyperlink" Target="imagenes/T_TAHARI_124010284_BLK_1.jpg" TargetMode="External" Id="rId12779"/><Relationship Type="http://schemas.openxmlformats.org/officeDocument/2006/relationships/hyperlink" Target="imagenes/T_TAHARI_124010284_BLK_2.jpg" TargetMode="External" Id="rId12780"/><Relationship Type="http://schemas.openxmlformats.org/officeDocument/2006/relationships/hyperlink" Target="imagenes/T_TAHARI_124010284_BLK_3.jpg" TargetMode="External" Id="rId12781"/><Relationship Type="http://schemas.openxmlformats.org/officeDocument/2006/relationships/hyperlink" Target="imagenes/T_TAHARI_124010284_BLK_1.jpg" TargetMode="External" Id="rId12782"/><Relationship Type="http://schemas.openxmlformats.org/officeDocument/2006/relationships/hyperlink" Target="imagenes/T_TAHARI_124010284_BLK_2.jpg" TargetMode="External" Id="rId12783"/><Relationship Type="http://schemas.openxmlformats.org/officeDocument/2006/relationships/hyperlink" Target="imagenes/T_TAHARI_124010284_BLK_3.jpg" TargetMode="External" Id="rId12784"/><Relationship Type="http://schemas.openxmlformats.org/officeDocument/2006/relationships/hyperlink" Target="imagenes/T_TAHARI_124010284_BLK_1.jpg" TargetMode="External" Id="rId12785"/><Relationship Type="http://schemas.openxmlformats.org/officeDocument/2006/relationships/hyperlink" Target="imagenes/T_TAHARI_124010284_BLK_2.jpg" TargetMode="External" Id="rId12786"/><Relationship Type="http://schemas.openxmlformats.org/officeDocument/2006/relationships/hyperlink" Target="imagenes/T_TAHARI_124010284_BLK_3.jpg" TargetMode="External" Id="rId12787"/><Relationship Type="http://schemas.openxmlformats.org/officeDocument/2006/relationships/hyperlink" Target="imagenes/T_TAHARI_124010284_BLK_1.jpg" TargetMode="External" Id="rId12788"/><Relationship Type="http://schemas.openxmlformats.org/officeDocument/2006/relationships/hyperlink" Target="imagenes/T_TAHARI_124010284_BLK_2.jpg" TargetMode="External" Id="rId12789"/><Relationship Type="http://schemas.openxmlformats.org/officeDocument/2006/relationships/hyperlink" Target="imagenes/T_TAHARI_124010284_BLK_3.jpg" TargetMode="External" Id="rId12790"/><Relationship Type="http://schemas.openxmlformats.org/officeDocument/2006/relationships/hyperlink" Target="imagenes/T_TAHARI_124010284_BLK_1.jpg" TargetMode="External" Id="rId12791"/><Relationship Type="http://schemas.openxmlformats.org/officeDocument/2006/relationships/hyperlink" Target="imagenes/T_TAHARI_124010284_BLK_2.jpg" TargetMode="External" Id="rId12792"/><Relationship Type="http://schemas.openxmlformats.org/officeDocument/2006/relationships/hyperlink" Target="imagenes/T_TAHARI_124010284_BLK_3.jpg" TargetMode="External" Id="rId12793"/><Relationship Type="http://schemas.openxmlformats.org/officeDocument/2006/relationships/hyperlink" Target="imagenes/T_TAHARI_124010284_BLK_1.jpg" TargetMode="External" Id="rId12794"/><Relationship Type="http://schemas.openxmlformats.org/officeDocument/2006/relationships/hyperlink" Target="imagenes/T_TAHARI_124010284_BLK_2.jpg" TargetMode="External" Id="rId12795"/><Relationship Type="http://schemas.openxmlformats.org/officeDocument/2006/relationships/hyperlink" Target="imagenes/T_TAHARI_124010284_BLK_3.jpg" TargetMode="External" Id="rId12796"/><Relationship Type="http://schemas.openxmlformats.org/officeDocument/2006/relationships/hyperlink" Target="imagenes/T_TAHARI_124010284_BLK_1.jpg" TargetMode="External" Id="rId12797"/><Relationship Type="http://schemas.openxmlformats.org/officeDocument/2006/relationships/hyperlink" Target="imagenes/T_TAHARI_124010284_BLK_2.jpg" TargetMode="External" Id="rId12798"/><Relationship Type="http://schemas.openxmlformats.org/officeDocument/2006/relationships/hyperlink" Target="imagenes/T_TAHARI_124010284_BLK_3.jpg" TargetMode="External" Id="rId12799"/><Relationship Type="http://schemas.openxmlformats.org/officeDocument/2006/relationships/hyperlink" Target="imagenes/T_TAHARI_124010284_BLK_1.jpg" TargetMode="External" Id="rId12800"/><Relationship Type="http://schemas.openxmlformats.org/officeDocument/2006/relationships/hyperlink" Target="imagenes/T_TAHARI_124010284_BLK_2.jpg" TargetMode="External" Id="rId12801"/><Relationship Type="http://schemas.openxmlformats.org/officeDocument/2006/relationships/hyperlink" Target="imagenes/T_TAHARI_124010284_BLK_3.jpg" TargetMode="External" Id="rId12802"/><Relationship Type="http://schemas.openxmlformats.org/officeDocument/2006/relationships/hyperlink" Target="imagenes/T_TAHARI_124010284_BLK_1.jpg" TargetMode="External" Id="rId12803"/><Relationship Type="http://schemas.openxmlformats.org/officeDocument/2006/relationships/hyperlink" Target="imagenes/T_TAHARI_124010284_BLK_2.jpg" TargetMode="External" Id="rId12804"/><Relationship Type="http://schemas.openxmlformats.org/officeDocument/2006/relationships/hyperlink" Target="imagenes/T_TAHARI_124010284_BLK_3.jpg" TargetMode="External" Id="rId12805"/><Relationship Type="http://schemas.openxmlformats.org/officeDocument/2006/relationships/hyperlink" Target="imagenes/T_TAHARI_124010284_OLI_1.jpg" TargetMode="External" Id="rId12806"/><Relationship Type="http://schemas.openxmlformats.org/officeDocument/2006/relationships/hyperlink" Target="imagenes/T_TAHARI_124010284_OLI_2.jpg" TargetMode="External" Id="rId12807"/><Relationship Type="http://schemas.openxmlformats.org/officeDocument/2006/relationships/hyperlink" Target="imagenes/T_TAHARI_124010284_OLI_3.jpg" TargetMode="External" Id="rId12808"/><Relationship Type="http://schemas.openxmlformats.org/officeDocument/2006/relationships/hyperlink" Target="imagenes/T_TAHARI_124010284_OLI_1.jpg" TargetMode="External" Id="rId12809"/><Relationship Type="http://schemas.openxmlformats.org/officeDocument/2006/relationships/hyperlink" Target="imagenes/T_TAHARI_124010284_OLI_2.jpg" TargetMode="External" Id="rId12810"/><Relationship Type="http://schemas.openxmlformats.org/officeDocument/2006/relationships/hyperlink" Target="imagenes/T_TAHARI_124010284_OLI_3.jpg" TargetMode="External" Id="rId12811"/><Relationship Type="http://schemas.openxmlformats.org/officeDocument/2006/relationships/hyperlink" Target="imagenes/T_TAHARI_124010284_OLI_1.jpg" TargetMode="External" Id="rId12812"/><Relationship Type="http://schemas.openxmlformats.org/officeDocument/2006/relationships/hyperlink" Target="imagenes/T_TAHARI_124010284_OLI_2.jpg" TargetMode="External" Id="rId12813"/><Relationship Type="http://schemas.openxmlformats.org/officeDocument/2006/relationships/hyperlink" Target="imagenes/T_TAHARI_124010284_OLI_3.jpg" TargetMode="External" Id="rId12814"/><Relationship Type="http://schemas.openxmlformats.org/officeDocument/2006/relationships/hyperlink" Target="imagenes/T_TAHARI_124010284_OLI_1.jpg" TargetMode="External" Id="rId12815"/><Relationship Type="http://schemas.openxmlformats.org/officeDocument/2006/relationships/hyperlink" Target="imagenes/T_TAHARI_124010284_OLI_2.jpg" TargetMode="External" Id="rId12816"/><Relationship Type="http://schemas.openxmlformats.org/officeDocument/2006/relationships/hyperlink" Target="imagenes/T_TAHARI_124010284_OLI_3.jpg" TargetMode="External" Id="rId12817"/><Relationship Type="http://schemas.openxmlformats.org/officeDocument/2006/relationships/hyperlink" Target="imagenes/T_TAHARI_124010284_OLI_1.jpg" TargetMode="External" Id="rId12818"/><Relationship Type="http://schemas.openxmlformats.org/officeDocument/2006/relationships/hyperlink" Target="imagenes/T_TAHARI_124010284_OLI_2.jpg" TargetMode="External" Id="rId12819"/><Relationship Type="http://schemas.openxmlformats.org/officeDocument/2006/relationships/hyperlink" Target="imagenes/T_TAHARI_124010284_OLI_3.jpg" TargetMode="External" Id="rId12820"/><Relationship Type="http://schemas.openxmlformats.org/officeDocument/2006/relationships/hyperlink" Target="imagenes/T_TAHARI_124010284_OLI_1.jpg" TargetMode="External" Id="rId12821"/><Relationship Type="http://schemas.openxmlformats.org/officeDocument/2006/relationships/hyperlink" Target="imagenes/T_TAHARI_124010284_OLI_2.jpg" TargetMode="External" Id="rId12822"/><Relationship Type="http://schemas.openxmlformats.org/officeDocument/2006/relationships/hyperlink" Target="imagenes/T_TAHARI_124010284_OLI_3.jpg" TargetMode="External" Id="rId12823"/><Relationship Type="http://schemas.openxmlformats.org/officeDocument/2006/relationships/hyperlink" Target="imagenes/T_TAHARI_124010284_OLI_1.jpg" TargetMode="External" Id="rId12824"/><Relationship Type="http://schemas.openxmlformats.org/officeDocument/2006/relationships/hyperlink" Target="imagenes/T_TAHARI_124010284_OLI_2.jpg" TargetMode="External" Id="rId12825"/><Relationship Type="http://schemas.openxmlformats.org/officeDocument/2006/relationships/hyperlink" Target="imagenes/T_TAHARI_124010284_OLI_3.jpg" TargetMode="External" Id="rId12826"/><Relationship Type="http://schemas.openxmlformats.org/officeDocument/2006/relationships/hyperlink" Target="imagenes/T_TAHARI_124010284_OLI_1.jpg" TargetMode="External" Id="rId12827"/><Relationship Type="http://schemas.openxmlformats.org/officeDocument/2006/relationships/hyperlink" Target="imagenes/T_TAHARI_124010284_OLI_2.jpg" TargetMode="External" Id="rId12828"/><Relationship Type="http://schemas.openxmlformats.org/officeDocument/2006/relationships/hyperlink" Target="imagenes/T_TAHARI_124010284_OLI_3.jpg" TargetMode="External" Id="rId12829"/><Relationship Type="http://schemas.openxmlformats.org/officeDocument/2006/relationships/hyperlink" Target="imagenes/T_TAHARI_124010284_OLI_1.jpg" TargetMode="External" Id="rId12830"/><Relationship Type="http://schemas.openxmlformats.org/officeDocument/2006/relationships/hyperlink" Target="imagenes/T_TAHARI_124010284_OLI_2.jpg" TargetMode="External" Id="rId12831"/><Relationship Type="http://schemas.openxmlformats.org/officeDocument/2006/relationships/hyperlink" Target="imagenes/T_TAHARI_124010284_OLI_3.jpg" TargetMode="External" Id="rId12832"/><Relationship Type="http://schemas.openxmlformats.org/officeDocument/2006/relationships/hyperlink" Target="imagenes/T_TAHARI_124010284_OLI_1.jpg" TargetMode="External" Id="rId12833"/><Relationship Type="http://schemas.openxmlformats.org/officeDocument/2006/relationships/hyperlink" Target="imagenes/T_TAHARI_124010284_OLI_2.jpg" TargetMode="External" Id="rId12834"/><Relationship Type="http://schemas.openxmlformats.org/officeDocument/2006/relationships/hyperlink" Target="imagenes/T_TAHARI_124010284_OLI_3.jpg" TargetMode="External" Id="rId12835"/><Relationship Type="http://schemas.openxmlformats.org/officeDocument/2006/relationships/hyperlink" Target="imagenes/T_TAHARI_124010284_OLI_1.jpg" TargetMode="External" Id="rId12836"/><Relationship Type="http://schemas.openxmlformats.org/officeDocument/2006/relationships/hyperlink" Target="imagenes/T_TAHARI_124010284_OLI_2.jpg" TargetMode="External" Id="rId12837"/><Relationship Type="http://schemas.openxmlformats.org/officeDocument/2006/relationships/hyperlink" Target="imagenes/T_TAHARI_124010284_OLI_3.jpg" TargetMode="External" Id="rId12838"/><Relationship Type="http://schemas.openxmlformats.org/officeDocument/2006/relationships/hyperlink" Target="imagenes/T_TAHARI_124010284_OLI_1.jpg" TargetMode="External" Id="rId12839"/><Relationship Type="http://schemas.openxmlformats.org/officeDocument/2006/relationships/hyperlink" Target="imagenes/T_TAHARI_124010284_OLI_2.jpg" TargetMode="External" Id="rId12840"/><Relationship Type="http://schemas.openxmlformats.org/officeDocument/2006/relationships/hyperlink" Target="imagenes/T_TAHARI_124010284_OLI_3.jpg" TargetMode="External" Id="rId12841"/><Relationship Type="http://schemas.openxmlformats.org/officeDocument/2006/relationships/hyperlink" Target="imagenes/T_TAHARI_124010285_BLK_1.jpg" TargetMode="External" Id="rId12842"/><Relationship Type="http://schemas.openxmlformats.org/officeDocument/2006/relationships/hyperlink" Target="imagenes/T_TAHARI_124010285_BLK_2.jpg" TargetMode="External" Id="rId12843"/><Relationship Type="http://schemas.openxmlformats.org/officeDocument/2006/relationships/hyperlink" Target="imagenes/T_TAHARI_124010285_BLK_3.jpg" TargetMode="External" Id="rId12844"/><Relationship Type="http://schemas.openxmlformats.org/officeDocument/2006/relationships/hyperlink" Target="imagenes/T_TAHARI_124010285_BLK_1.jpg" TargetMode="External" Id="rId12845"/><Relationship Type="http://schemas.openxmlformats.org/officeDocument/2006/relationships/hyperlink" Target="imagenes/T_TAHARI_124010285_BLK_2.jpg" TargetMode="External" Id="rId12846"/><Relationship Type="http://schemas.openxmlformats.org/officeDocument/2006/relationships/hyperlink" Target="imagenes/T_TAHARI_124010285_BLK_3.jpg" TargetMode="External" Id="rId12847"/><Relationship Type="http://schemas.openxmlformats.org/officeDocument/2006/relationships/hyperlink" Target="imagenes/T_TAHARI_124010285_BLK_1.jpg" TargetMode="External" Id="rId12848"/><Relationship Type="http://schemas.openxmlformats.org/officeDocument/2006/relationships/hyperlink" Target="imagenes/T_TAHARI_124010285_BLK_2.jpg" TargetMode="External" Id="rId12849"/><Relationship Type="http://schemas.openxmlformats.org/officeDocument/2006/relationships/hyperlink" Target="imagenes/T_TAHARI_124010285_BLK_3.jpg" TargetMode="External" Id="rId12850"/><Relationship Type="http://schemas.openxmlformats.org/officeDocument/2006/relationships/hyperlink" Target="imagenes/T_TAHARI_124010285_BLK_1.jpg" TargetMode="External" Id="rId12851"/><Relationship Type="http://schemas.openxmlformats.org/officeDocument/2006/relationships/hyperlink" Target="imagenes/T_TAHARI_124010285_BLK_2.jpg" TargetMode="External" Id="rId12852"/><Relationship Type="http://schemas.openxmlformats.org/officeDocument/2006/relationships/hyperlink" Target="imagenes/T_TAHARI_124010285_BLK_3.jpg" TargetMode="External" Id="rId12853"/><Relationship Type="http://schemas.openxmlformats.org/officeDocument/2006/relationships/hyperlink" Target="imagenes/T_TAHARI_124010285_BLK_1.jpg" TargetMode="External" Id="rId12854"/><Relationship Type="http://schemas.openxmlformats.org/officeDocument/2006/relationships/hyperlink" Target="imagenes/T_TAHARI_124010285_BLK_2.jpg" TargetMode="External" Id="rId12855"/><Relationship Type="http://schemas.openxmlformats.org/officeDocument/2006/relationships/hyperlink" Target="imagenes/T_TAHARI_124010285_BLK_3.jpg" TargetMode="External" Id="rId12856"/><Relationship Type="http://schemas.openxmlformats.org/officeDocument/2006/relationships/hyperlink" Target="imagenes/T_TAHARI_124010285_BLK_1.jpg" TargetMode="External" Id="rId12857"/><Relationship Type="http://schemas.openxmlformats.org/officeDocument/2006/relationships/hyperlink" Target="imagenes/T_TAHARI_124010285_BLK_2.jpg" TargetMode="External" Id="rId12858"/><Relationship Type="http://schemas.openxmlformats.org/officeDocument/2006/relationships/hyperlink" Target="imagenes/T_TAHARI_124010285_BLK_3.jpg" TargetMode="External" Id="rId12859"/><Relationship Type="http://schemas.openxmlformats.org/officeDocument/2006/relationships/hyperlink" Target="imagenes/T_TAHARI_124010285_BLK_1.jpg" TargetMode="External" Id="rId12860"/><Relationship Type="http://schemas.openxmlformats.org/officeDocument/2006/relationships/hyperlink" Target="imagenes/T_TAHARI_124010285_BLK_2.jpg" TargetMode="External" Id="rId12861"/><Relationship Type="http://schemas.openxmlformats.org/officeDocument/2006/relationships/hyperlink" Target="imagenes/T_TAHARI_124010285_BLK_3.jpg" TargetMode="External" Id="rId12862"/><Relationship Type="http://schemas.openxmlformats.org/officeDocument/2006/relationships/hyperlink" Target="imagenes/T_TAHARI_124010285_BLK_1.jpg" TargetMode="External" Id="rId12863"/><Relationship Type="http://schemas.openxmlformats.org/officeDocument/2006/relationships/hyperlink" Target="imagenes/T_TAHARI_124010285_BLK_2.jpg" TargetMode="External" Id="rId12864"/><Relationship Type="http://schemas.openxmlformats.org/officeDocument/2006/relationships/hyperlink" Target="imagenes/T_TAHARI_124010285_BLK_3.jpg" TargetMode="External" Id="rId12865"/><Relationship Type="http://schemas.openxmlformats.org/officeDocument/2006/relationships/hyperlink" Target="imagenes/T_TAHARI_124010285_BLK_1.jpg" TargetMode="External" Id="rId12866"/><Relationship Type="http://schemas.openxmlformats.org/officeDocument/2006/relationships/hyperlink" Target="imagenes/T_TAHARI_124010285_BLK_2.jpg" TargetMode="External" Id="rId12867"/><Relationship Type="http://schemas.openxmlformats.org/officeDocument/2006/relationships/hyperlink" Target="imagenes/T_TAHARI_124010285_BLK_3.jpg" TargetMode="External" Id="rId12868"/><Relationship Type="http://schemas.openxmlformats.org/officeDocument/2006/relationships/hyperlink" Target="imagenes/T_TAHARI_124010285_BLK_1.jpg" TargetMode="External" Id="rId12869"/><Relationship Type="http://schemas.openxmlformats.org/officeDocument/2006/relationships/hyperlink" Target="imagenes/T_TAHARI_124010285_BLK_2.jpg" TargetMode="External" Id="rId12870"/><Relationship Type="http://schemas.openxmlformats.org/officeDocument/2006/relationships/hyperlink" Target="imagenes/T_TAHARI_124010285_BLK_3.jpg" TargetMode="External" Id="rId12871"/><Relationship Type="http://schemas.openxmlformats.org/officeDocument/2006/relationships/hyperlink" Target="imagenes/T_TAHARI_124010285_BLK_1.jpg" TargetMode="External" Id="rId12872"/><Relationship Type="http://schemas.openxmlformats.org/officeDocument/2006/relationships/hyperlink" Target="imagenes/T_TAHARI_124010285_BLK_2.jpg" TargetMode="External" Id="rId12873"/><Relationship Type="http://schemas.openxmlformats.org/officeDocument/2006/relationships/hyperlink" Target="imagenes/T_TAHARI_124010285_BLK_3.jpg" TargetMode="External" Id="rId12874"/><Relationship Type="http://schemas.openxmlformats.org/officeDocument/2006/relationships/hyperlink" Target="imagenes/T_TAHARI_124010285_BLK_1.jpg" TargetMode="External" Id="rId12875"/><Relationship Type="http://schemas.openxmlformats.org/officeDocument/2006/relationships/hyperlink" Target="imagenes/T_TAHARI_124010285_BLK_2.jpg" TargetMode="External" Id="rId12876"/><Relationship Type="http://schemas.openxmlformats.org/officeDocument/2006/relationships/hyperlink" Target="imagenes/T_TAHARI_124010285_BLK_3.jpg" TargetMode="External" Id="rId12877"/><Relationship Type="http://schemas.openxmlformats.org/officeDocument/2006/relationships/hyperlink" Target="imagenes/T_TAHARI_124010285_BLK_1.jpg" TargetMode="External" Id="rId12878"/><Relationship Type="http://schemas.openxmlformats.org/officeDocument/2006/relationships/hyperlink" Target="imagenes/T_TAHARI_124010285_BLK_2.jpg" TargetMode="External" Id="rId12879"/><Relationship Type="http://schemas.openxmlformats.org/officeDocument/2006/relationships/hyperlink" Target="imagenes/T_TAHARI_124010285_BLK_3.jpg" TargetMode="External" Id="rId12880"/><Relationship Type="http://schemas.openxmlformats.org/officeDocument/2006/relationships/hyperlink" Target="imagenes/T_TAHARI_124010285_BLK_1.jpg" TargetMode="External" Id="rId12881"/><Relationship Type="http://schemas.openxmlformats.org/officeDocument/2006/relationships/hyperlink" Target="imagenes/T_TAHARI_124010285_BLK_2.jpg" TargetMode="External" Id="rId12882"/><Relationship Type="http://schemas.openxmlformats.org/officeDocument/2006/relationships/hyperlink" Target="imagenes/T_TAHARI_124010285_BLK_3.jpg" TargetMode="External" Id="rId12883"/><Relationship Type="http://schemas.openxmlformats.org/officeDocument/2006/relationships/hyperlink" Target="imagenes/T_TAHARI_124010285_BLK_1.jpg" TargetMode="External" Id="rId12884"/><Relationship Type="http://schemas.openxmlformats.org/officeDocument/2006/relationships/hyperlink" Target="imagenes/T_TAHARI_124010285_BLK_2.jpg" TargetMode="External" Id="rId12885"/><Relationship Type="http://schemas.openxmlformats.org/officeDocument/2006/relationships/hyperlink" Target="imagenes/T_TAHARI_124010285_BLK_3.jpg" TargetMode="External" Id="rId12886"/><Relationship Type="http://schemas.openxmlformats.org/officeDocument/2006/relationships/hyperlink" Target="imagenes/T_TAHARI_124010285_BLK_1.jpg" TargetMode="External" Id="rId12887"/><Relationship Type="http://schemas.openxmlformats.org/officeDocument/2006/relationships/hyperlink" Target="imagenes/T_TAHARI_124010285_BLK_2.jpg" TargetMode="External" Id="rId12888"/><Relationship Type="http://schemas.openxmlformats.org/officeDocument/2006/relationships/hyperlink" Target="imagenes/T_TAHARI_124010285_BLK_3.jpg" TargetMode="External" Id="rId12889"/><Relationship Type="http://schemas.openxmlformats.org/officeDocument/2006/relationships/hyperlink" Target="imagenes/T_TAHARI_124010285_BLK_1.jpg" TargetMode="External" Id="rId12890"/><Relationship Type="http://schemas.openxmlformats.org/officeDocument/2006/relationships/hyperlink" Target="imagenes/T_TAHARI_124010285_BLK_2.jpg" TargetMode="External" Id="rId12891"/><Relationship Type="http://schemas.openxmlformats.org/officeDocument/2006/relationships/hyperlink" Target="imagenes/T_TAHARI_124010285_BLK_3.jpg" TargetMode="External" Id="rId12892"/><Relationship Type="http://schemas.openxmlformats.org/officeDocument/2006/relationships/hyperlink" Target="imagenes/T_TAHARI_124010285_GXY_2.jpg" TargetMode="External" Id="rId12893"/><Relationship Type="http://schemas.openxmlformats.org/officeDocument/2006/relationships/hyperlink" Target="imagenes/T_TAHARI_124010285_GXY_3.jpg" TargetMode="External" Id="rId12894"/><Relationship Type="http://schemas.openxmlformats.org/officeDocument/2006/relationships/hyperlink" Target="imagenes/T_TAHARI_124010285_GXY_2.jpg" TargetMode="External" Id="rId12895"/><Relationship Type="http://schemas.openxmlformats.org/officeDocument/2006/relationships/hyperlink" Target="imagenes/T_TAHARI_124010285_GXY_3.jpg" TargetMode="External" Id="rId12896"/><Relationship Type="http://schemas.openxmlformats.org/officeDocument/2006/relationships/hyperlink" Target="imagenes/T_TAHARI_124010285_GXY_2.jpg" TargetMode="External" Id="rId12897"/><Relationship Type="http://schemas.openxmlformats.org/officeDocument/2006/relationships/hyperlink" Target="imagenes/T_TAHARI_124010285_GXY_3.jpg" TargetMode="External" Id="rId12898"/><Relationship Type="http://schemas.openxmlformats.org/officeDocument/2006/relationships/hyperlink" Target="imagenes/T_TAHARI_124010285_GXY_2.jpg" TargetMode="External" Id="rId12899"/><Relationship Type="http://schemas.openxmlformats.org/officeDocument/2006/relationships/hyperlink" Target="imagenes/T_TAHARI_124010285_GXY_3.jpg" TargetMode="External" Id="rId12900"/><Relationship Type="http://schemas.openxmlformats.org/officeDocument/2006/relationships/hyperlink" Target="imagenes/T_TAHARI_124010285_GXY_2.jpg" TargetMode="External" Id="rId12901"/><Relationship Type="http://schemas.openxmlformats.org/officeDocument/2006/relationships/hyperlink" Target="imagenes/T_TAHARI_124010285_GXY_3.jpg" TargetMode="External" Id="rId12902"/><Relationship Type="http://schemas.openxmlformats.org/officeDocument/2006/relationships/hyperlink" Target="imagenes/T_TAHARI_124010285_GXY_2.jpg" TargetMode="External" Id="rId12903"/><Relationship Type="http://schemas.openxmlformats.org/officeDocument/2006/relationships/hyperlink" Target="imagenes/T_TAHARI_124010285_GXY_3.jpg" TargetMode="External" Id="rId12904"/><Relationship Type="http://schemas.openxmlformats.org/officeDocument/2006/relationships/hyperlink" Target="imagenes/T_TAHARI_124010285_GXY_2.jpg" TargetMode="External" Id="rId12905"/><Relationship Type="http://schemas.openxmlformats.org/officeDocument/2006/relationships/hyperlink" Target="imagenes/T_TAHARI_124010285_GXY_3.jpg" TargetMode="External" Id="rId12906"/><Relationship Type="http://schemas.openxmlformats.org/officeDocument/2006/relationships/hyperlink" Target="imagenes/T_TAHARI_124010285_GXY_2.jpg" TargetMode="External" Id="rId12907"/><Relationship Type="http://schemas.openxmlformats.org/officeDocument/2006/relationships/hyperlink" Target="imagenes/T_TAHARI_124010285_GXY_3.jpg" TargetMode="External" Id="rId12908"/><Relationship Type="http://schemas.openxmlformats.org/officeDocument/2006/relationships/hyperlink" Target="imagenes/T_TAHARI_124010285_GXY_2.jpg" TargetMode="External" Id="rId12909"/><Relationship Type="http://schemas.openxmlformats.org/officeDocument/2006/relationships/hyperlink" Target="imagenes/T_TAHARI_124010285_GXY_3.jpg" TargetMode="External" Id="rId12910"/><Relationship Type="http://schemas.openxmlformats.org/officeDocument/2006/relationships/hyperlink" Target="imagenes/T_TAHARI_124010285_GXY_2.jpg" TargetMode="External" Id="rId12911"/><Relationship Type="http://schemas.openxmlformats.org/officeDocument/2006/relationships/hyperlink" Target="imagenes/T_TAHARI_124010285_GXY_3.jpg" TargetMode="External" Id="rId12912"/><Relationship Type="http://schemas.openxmlformats.org/officeDocument/2006/relationships/hyperlink" Target="imagenes/T_TAHARI_124010286_CHO_1.jpg" TargetMode="External" Id="rId12913"/><Relationship Type="http://schemas.openxmlformats.org/officeDocument/2006/relationships/hyperlink" Target="imagenes/T_TAHARI_124010286_CHO_2.jpg" TargetMode="External" Id="rId12914"/><Relationship Type="http://schemas.openxmlformats.org/officeDocument/2006/relationships/hyperlink" Target="imagenes/T_TAHARI_124010286_CHO_3.jpg" TargetMode="External" Id="rId12915"/><Relationship Type="http://schemas.openxmlformats.org/officeDocument/2006/relationships/hyperlink" Target="imagenes/T_TAHARI_124010286_CHO_1.jpg" TargetMode="External" Id="rId12916"/><Relationship Type="http://schemas.openxmlformats.org/officeDocument/2006/relationships/hyperlink" Target="imagenes/T_TAHARI_124010286_CHO_2.jpg" TargetMode="External" Id="rId12917"/><Relationship Type="http://schemas.openxmlformats.org/officeDocument/2006/relationships/hyperlink" Target="imagenes/T_TAHARI_124010286_CHO_3.jpg" TargetMode="External" Id="rId12918"/><Relationship Type="http://schemas.openxmlformats.org/officeDocument/2006/relationships/hyperlink" Target="imagenes/T_TAHARI_124010286_CHO_1.jpg" TargetMode="External" Id="rId12919"/><Relationship Type="http://schemas.openxmlformats.org/officeDocument/2006/relationships/hyperlink" Target="imagenes/T_TAHARI_124010286_CHO_2.jpg" TargetMode="External" Id="rId12920"/><Relationship Type="http://schemas.openxmlformats.org/officeDocument/2006/relationships/hyperlink" Target="imagenes/T_TAHARI_124010286_CHO_3.jpg" TargetMode="External" Id="rId12921"/><Relationship Type="http://schemas.openxmlformats.org/officeDocument/2006/relationships/hyperlink" Target="imagenes/T_TAHARI_124010286_CHO_1.jpg" TargetMode="External" Id="rId12922"/><Relationship Type="http://schemas.openxmlformats.org/officeDocument/2006/relationships/hyperlink" Target="imagenes/T_TAHARI_124010286_CHO_2.jpg" TargetMode="External" Id="rId12923"/><Relationship Type="http://schemas.openxmlformats.org/officeDocument/2006/relationships/hyperlink" Target="imagenes/T_TAHARI_124010286_CHO_3.jpg" TargetMode="External" Id="rId12924"/><Relationship Type="http://schemas.openxmlformats.org/officeDocument/2006/relationships/hyperlink" Target="imagenes/T_TAHARI_124010286_CHO_1.jpg" TargetMode="External" Id="rId12925"/><Relationship Type="http://schemas.openxmlformats.org/officeDocument/2006/relationships/hyperlink" Target="imagenes/T_TAHARI_124010286_CHO_2.jpg" TargetMode="External" Id="rId12926"/><Relationship Type="http://schemas.openxmlformats.org/officeDocument/2006/relationships/hyperlink" Target="imagenes/T_TAHARI_124010286_CHO_3.jpg" TargetMode="External" Id="rId12927"/><Relationship Type="http://schemas.openxmlformats.org/officeDocument/2006/relationships/hyperlink" Target="imagenes/T_TAHARI_124010286_CHO_1.jpg" TargetMode="External" Id="rId12928"/><Relationship Type="http://schemas.openxmlformats.org/officeDocument/2006/relationships/hyperlink" Target="imagenes/T_TAHARI_124010286_CHO_2.jpg" TargetMode="External" Id="rId12929"/><Relationship Type="http://schemas.openxmlformats.org/officeDocument/2006/relationships/hyperlink" Target="imagenes/T_TAHARI_124010286_CHO_3.jpg" TargetMode="External" Id="rId12930"/><Relationship Type="http://schemas.openxmlformats.org/officeDocument/2006/relationships/hyperlink" Target="imagenes/T_TAHARI_124010286_CHO_1.jpg" TargetMode="External" Id="rId12931"/><Relationship Type="http://schemas.openxmlformats.org/officeDocument/2006/relationships/hyperlink" Target="imagenes/T_TAHARI_124010286_CHO_2.jpg" TargetMode="External" Id="rId12932"/><Relationship Type="http://schemas.openxmlformats.org/officeDocument/2006/relationships/hyperlink" Target="imagenes/T_TAHARI_124010286_CHO_3.jpg" TargetMode="External" Id="rId12933"/><Relationship Type="http://schemas.openxmlformats.org/officeDocument/2006/relationships/hyperlink" Target="imagenes/T_TAHARI_124010286_CHO_1.jpg" TargetMode="External" Id="rId12934"/><Relationship Type="http://schemas.openxmlformats.org/officeDocument/2006/relationships/hyperlink" Target="imagenes/T_TAHARI_124010286_CHO_2.jpg" TargetMode="External" Id="rId12935"/><Relationship Type="http://schemas.openxmlformats.org/officeDocument/2006/relationships/hyperlink" Target="imagenes/T_TAHARI_124010286_CHO_3.jpg" TargetMode="External" Id="rId12936"/><Relationship Type="http://schemas.openxmlformats.org/officeDocument/2006/relationships/hyperlink" Target="imagenes/T_TAHARI_124010286_CHO_1.jpg" TargetMode="External" Id="rId12937"/><Relationship Type="http://schemas.openxmlformats.org/officeDocument/2006/relationships/hyperlink" Target="imagenes/T_TAHARI_124010286_CHO_2.jpg" TargetMode="External" Id="rId12938"/><Relationship Type="http://schemas.openxmlformats.org/officeDocument/2006/relationships/hyperlink" Target="imagenes/T_TAHARI_124010286_CHO_3.jpg" TargetMode="External" Id="rId12939"/><Relationship Type="http://schemas.openxmlformats.org/officeDocument/2006/relationships/hyperlink" Target="imagenes/T_TAHARI_124010286_CHO_1.jpg" TargetMode="External" Id="rId12940"/><Relationship Type="http://schemas.openxmlformats.org/officeDocument/2006/relationships/hyperlink" Target="imagenes/T_TAHARI_124010286_CHO_2.jpg" TargetMode="External" Id="rId12941"/><Relationship Type="http://schemas.openxmlformats.org/officeDocument/2006/relationships/hyperlink" Target="imagenes/T_TAHARI_124010286_CHO_3.jpg" TargetMode="External" Id="rId12942"/><Relationship Type="http://schemas.openxmlformats.org/officeDocument/2006/relationships/hyperlink" Target="imagenes/T_TAHARI_124010286_CHO_1.jpg" TargetMode="External" Id="rId12943"/><Relationship Type="http://schemas.openxmlformats.org/officeDocument/2006/relationships/hyperlink" Target="imagenes/T_TAHARI_124010286_CHO_2.jpg" TargetMode="External" Id="rId12944"/><Relationship Type="http://schemas.openxmlformats.org/officeDocument/2006/relationships/hyperlink" Target="imagenes/T_TAHARI_124010286_CHO_3.jpg" TargetMode="External" Id="rId12945"/><Relationship Type="http://schemas.openxmlformats.org/officeDocument/2006/relationships/hyperlink" Target="imagenes/T_TAHARI_124010286_CHO_1.jpg" TargetMode="External" Id="rId12946"/><Relationship Type="http://schemas.openxmlformats.org/officeDocument/2006/relationships/hyperlink" Target="imagenes/T_TAHARI_124010286_CHO_2.jpg" TargetMode="External" Id="rId12947"/><Relationship Type="http://schemas.openxmlformats.org/officeDocument/2006/relationships/hyperlink" Target="imagenes/T_TAHARI_124010286_CHO_3.jpg" TargetMode="External" Id="rId12948"/><Relationship Type="http://schemas.openxmlformats.org/officeDocument/2006/relationships/hyperlink" Target="imagenes/T_TAHARI_124010287_BLK_1.jpg" TargetMode="External" Id="rId12949"/><Relationship Type="http://schemas.openxmlformats.org/officeDocument/2006/relationships/hyperlink" Target="imagenes/T_TAHARI_124010287_BLK_2.jpg" TargetMode="External" Id="rId12950"/><Relationship Type="http://schemas.openxmlformats.org/officeDocument/2006/relationships/hyperlink" Target="imagenes/T_TAHARI_124010287_BLK_3.jpg" TargetMode="External" Id="rId12951"/><Relationship Type="http://schemas.openxmlformats.org/officeDocument/2006/relationships/hyperlink" Target="imagenes/T_TAHARI_124010287_BLK_1.jpg" TargetMode="External" Id="rId12952"/><Relationship Type="http://schemas.openxmlformats.org/officeDocument/2006/relationships/hyperlink" Target="imagenes/T_TAHARI_124010287_BLK_2.jpg" TargetMode="External" Id="rId12953"/><Relationship Type="http://schemas.openxmlformats.org/officeDocument/2006/relationships/hyperlink" Target="imagenes/T_TAHARI_124010287_BLK_3.jpg" TargetMode="External" Id="rId12954"/><Relationship Type="http://schemas.openxmlformats.org/officeDocument/2006/relationships/hyperlink" Target="imagenes/T_TAHARI_124010287_BLK_1.jpg" TargetMode="External" Id="rId12955"/><Relationship Type="http://schemas.openxmlformats.org/officeDocument/2006/relationships/hyperlink" Target="imagenes/T_TAHARI_124010287_BLK_2.jpg" TargetMode="External" Id="rId12956"/><Relationship Type="http://schemas.openxmlformats.org/officeDocument/2006/relationships/hyperlink" Target="imagenes/T_TAHARI_124010287_BLK_3.jpg" TargetMode="External" Id="rId12957"/><Relationship Type="http://schemas.openxmlformats.org/officeDocument/2006/relationships/hyperlink" Target="imagenes/T_TAHARI_124010287_BLK_1.jpg" TargetMode="External" Id="rId12958"/><Relationship Type="http://schemas.openxmlformats.org/officeDocument/2006/relationships/hyperlink" Target="imagenes/T_TAHARI_124010287_BLK_2.jpg" TargetMode="External" Id="rId12959"/><Relationship Type="http://schemas.openxmlformats.org/officeDocument/2006/relationships/hyperlink" Target="imagenes/T_TAHARI_124010287_BLK_3.jpg" TargetMode="External" Id="rId12960"/><Relationship Type="http://schemas.openxmlformats.org/officeDocument/2006/relationships/hyperlink" Target="imagenes/T_TAHARI_124010287_BLK_1.jpg" TargetMode="External" Id="rId12961"/><Relationship Type="http://schemas.openxmlformats.org/officeDocument/2006/relationships/hyperlink" Target="imagenes/T_TAHARI_124010287_BLK_2.jpg" TargetMode="External" Id="rId12962"/><Relationship Type="http://schemas.openxmlformats.org/officeDocument/2006/relationships/hyperlink" Target="imagenes/T_TAHARI_124010287_BLK_3.jpg" TargetMode="External" Id="rId12963"/><Relationship Type="http://schemas.openxmlformats.org/officeDocument/2006/relationships/hyperlink" Target="imagenes/T_TAHARI_124010287_CHO_1.jpg" TargetMode="External" Id="rId12964"/><Relationship Type="http://schemas.openxmlformats.org/officeDocument/2006/relationships/hyperlink" Target="imagenes/T_TAHARI_124010287_CHO_2.jpg" TargetMode="External" Id="rId12965"/><Relationship Type="http://schemas.openxmlformats.org/officeDocument/2006/relationships/hyperlink" Target="imagenes/T_TAHARI_124010287_CHO_3.jpg" TargetMode="External" Id="rId12966"/><Relationship Type="http://schemas.openxmlformats.org/officeDocument/2006/relationships/hyperlink" Target="imagenes/T_TAHARI_124010287_CHO_1.jpg" TargetMode="External" Id="rId12967"/><Relationship Type="http://schemas.openxmlformats.org/officeDocument/2006/relationships/hyperlink" Target="imagenes/T_TAHARI_124010287_CHO_2.jpg" TargetMode="External" Id="rId12968"/><Relationship Type="http://schemas.openxmlformats.org/officeDocument/2006/relationships/hyperlink" Target="imagenes/T_TAHARI_124010287_CHO_3.jpg" TargetMode="External" Id="rId12969"/><Relationship Type="http://schemas.openxmlformats.org/officeDocument/2006/relationships/hyperlink" Target="imagenes/T_TAHARI_124010287_CHO_1.jpg" TargetMode="External" Id="rId12970"/><Relationship Type="http://schemas.openxmlformats.org/officeDocument/2006/relationships/hyperlink" Target="imagenes/T_TAHARI_124010287_CHO_2.jpg" TargetMode="External" Id="rId12971"/><Relationship Type="http://schemas.openxmlformats.org/officeDocument/2006/relationships/hyperlink" Target="imagenes/T_TAHARI_124010287_CHO_3.jpg" TargetMode="External" Id="rId12972"/><Relationship Type="http://schemas.openxmlformats.org/officeDocument/2006/relationships/hyperlink" Target="imagenes/T_TAHARI_124010287_CHO_1.jpg" TargetMode="External" Id="rId12973"/><Relationship Type="http://schemas.openxmlformats.org/officeDocument/2006/relationships/hyperlink" Target="imagenes/T_TAHARI_124010287_CHO_2.jpg" TargetMode="External" Id="rId12974"/><Relationship Type="http://schemas.openxmlformats.org/officeDocument/2006/relationships/hyperlink" Target="imagenes/T_TAHARI_124010287_CHO_3.jpg" TargetMode="External" Id="rId12975"/><Relationship Type="http://schemas.openxmlformats.org/officeDocument/2006/relationships/hyperlink" Target="imagenes/T_TAHARI_124010287_CHO_1.jpg" TargetMode="External" Id="rId12976"/><Relationship Type="http://schemas.openxmlformats.org/officeDocument/2006/relationships/hyperlink" Target="imagenes/T_TAHARI_124010287_CHO_2.jpg" TargetMode="External" Id="rId12977"/><Relationship Type="http://schemas.openxmlformats.org/officeDocument/2006/relationships/hyperlink" Target="imagenes/T_TAHARI_124010287_CHO_3.jpg" TargetMode="External" Id="rId12978"/><Relationship Type="http://schemas.openxmlformats.org/officeDocument/2006/relationships/hyperlink" Target="imagenes/T_TAHARI_124010306_BLK_1.jpg" TargetMode="External" Id="rId12979"/><Relationship Type="http://schemas.openxmlformats.org/officeDocument/2006/relationships/hyperlink" Target="imagenes/T_TAHARI_124010306_BLK_2.jpg" TargetMode="External" Id="rId12980"/><Relationship Type="http://schemas.openxmlformats.org/officeDocument/2006/relationships/hyperlink" Target="imagenes/T_TAHARI_124010306_BLK_3.jpg" TargetMode="External" Id="rId12981"/><Relationship Type="http://schemas.openxmlformats.org/officeDocument/2006/relationships/hyperlink" Target="imagenes/T_TAHARI_124010306_BLK_1.jpg" TargetMode="External" Id="rId12982"/><Relationship Type="http://schemas.openxmlformats.org/officeDocument/2006/relationships/hyperlink" Target="imagenes/T_TAHARI_124010306_BLK_2.jpg" TargetMode="External" Id="rId12983"/><Relationship Type="http://schemas.openxmlformats.org/officeDocument/2006/relationships/hyperlink" Target="imagenes/T_TAHARI_124010306_BLK_3.jpg" TargetMode="External" Id="rId12984"/><Relationship Type="http://schemas.openxmlformats.org/officeDocument/2006/relationships/hyperlink" Target="imagenes/T_TAHARI_124010306_BLK_1.jpg" TargetMode="External" Id="rId12985"/><Relationship Type="http://schemas.openxmlformats.org/officeDocument/2006/relationships/hyperlink" Target="imagenes/T_TAHARI_124010306_BLK_2.jpg" TargetMode="External" Id="rId12986"/><Relationship Type="http://schemas.openxmlformats.org/officeDocument/2006/relationships/hyperlink" Target="imagenes/T_TAHARI_124010306_BLK_3.jpg" TargetMode="External" Id="rId12987"/><Relationship Type="http://schemas.openxmlformats.org/officeDocument/2006/relationships/hyperlink" Target="imagenes/T_TAHARI_124010306_BLK_1.jpg" TargetMode="External" Id="rId12988"/><Relationship Type="http://schemas.openxmlformats.org/officeDocument/2006/relationships/hyperlink" Target="imagenes/T_TAHARI_124010306_BLK_2.jpg" TargetMode="External" Id="rId12989"/><Relationship Type="http://schemas.openxmlformats.org/officeDocument/2006/relationships/hyperlink" Target="imagenes/T_TAHARI_124010306_BLK_3.jpg" TargetMode="External" Id="rId12990"/><Relationship Type="http://schemas.openxmlformats.org/officeDocument/2006/relationships/hyperlink" Target="imagenes/T_TAHARI_124010306_BLK_1.jpg" TargetMode="External" Id="rId12991"/><Relationship Type="http://schemas.openxmlformats.org/officeDocument/2006/relationships/hyperlink" Target="imagenes/T_TAHARI_124010306_BLK_2.jpg" TargetMode="External" Id="rId12992"/><Relationship Type="http://schemas.openxmlformats.org/officeDocument/2006/relationships/hyperlink" Target="imagenes/T_TAHARI_124010306_BLK_3.jpg" TargetMode="External" Id="rId12993"/><Relationship Type="http://schemas.openxmlformats.org/officeDocument/2006/relationships/hyperlink" Target="imagenes/T_TAHARI_124010306_BLK_1.jpg" TargetMode="External" Id="rId12994"/><Relationship Type="http://schemas.openxmlformats.org/officeDocument/2006/relationships/hyperlink" Target="imagenes/T_TAHARI_124010306_BLK_2.jpg" TargetMode="External" Id="rId12995"/><Relationship Type="http://schemas.openxmlformats.org/officeDocument/2006/relationships/hyperlink" Target="imagenes/T_TAHARI_124010306_BLK_3.jpg" TargetMode="External" Id="rId12996"/><Relationship Type="http://schemas.openxmlformats.org/officeDocument/2006/relationships/hyperlink" Target="imagenes/T_TAHARI_124010306_BLK_1.jpg" TargetMode="External" Id="rId12997"/><Relationship Type="http://schemas.openxmlformats.org/officeDocument/2006/relationships/hyperlink" Target="imagenes/T_TAHARI_124010306_BLK_2.jpg" TargetMode="External" Id="rId12998"/><Relationship Type="http://schemas.openxmlformats.org/officeDocument/2006/relationships/hyperlink" Target="imagenes/T_TAHARI_124010306_BLK_3.jpg" TargetMode="External" Id="rId12999"/><Relationship Type="http://schemas.openxmlformats.org/officeDocument/2006/relationships/hyperlink" Target="imagenes/T_TAHARI_124010306_BLK_1.jpg" TargetMode="External" Id="rId13000"/><Relationship Type="http://schemas.openxmlformats.org/officeDocument/2006/relationships/hyperlink" Target="imagenes/T_TAHARI_124010306_BLK_2.jpg" TargetMode="External" Id="rId13001"/><Relationship Type="http://schemas.openxmlformats.org/officeDocument/2006/relationships/hyperlink" Target="imagenes/T_TAHARI_124010306_BLK_3.jpg" TargetMode="External" Id="rId13002"/><Relationship Type="http://schemas.openxmlformats.org/officeDocument/2006/relationships/hyperlink" Target="imagenes/T_TAHARI_124010306_BLK_1.jpg" TargetMode="External" Id="rId13003"/><Relationship Type="http://schemas.openxmlformats.org/officeDocument/2006/relationships/hyperlink" Target="imagenes/T_TAHARI_124010306_BLK_2.jpg" TargetMode="External" Id="rId13004"/><Relationship Type="http://schemas.openxmlformats.org/officeDocument/2006/relationships/hyperlink" Target="imagenes/T_TAHARI_124010306_BLK_3.jpg" TargetMode="External" Id="rId13005"/><Relationship Type="http://schemas.openxmlformats.org/officeDocument/2006/relationships/hyperlink" Target="imagenes/T_TAHARI_124010306_BLK_1.jpg" TargetMode="External" Id="rId13006"/><Relationship Type="http://schemas.openxmlformats.org/officeDocument/2006/relationships/hyperlink" Target="imagenes/T_TAHARI_124010306_BLK_2.jpg" TargetMode="External" Id="rId13007"/><Relationship Type="http://schemas.openxmlformats.org/officeDocument/2006/relationships/hyperlink" Target="imagenes/T_TAHARI_124010306_BLK_3.jpg" TargetMode="External" Id="rId13008"/><Relationship Type="http://schemas.openxmlformats.org/officeDocument/2006/relationships/hyperlink" Target="imagenes/T_TAHARI_124010306_BLK_1.jpg" TargetMode="External" Id="rId13009"/><Relationship Type="http://schemas.openxmlformats.org/officeDocument/2006/relationships/hyperlink" Target="imagenes/T_TAHARI_124010306_BLK_2.jpg" TargetMode="External" Id="rId13010"/><Relationship Type="http://schemas.openxmlformats.org/officeDocument/2006/relationships/hyperlink" Target="imagenes/T_TAHARI_124010306_BLK_3.jpg" TargetMode="External" Id="rId13011"/><Relationship Type="http://schemas.openxmlformats.org/officeDocument/2006/relationships/hyperlink" Target="imagenes/T_TAHARI_124010306_BLK_1.jpg" TargetMode="External" Id="rId13012"/><Relationship Type="http://schemas.openxmlformats.org/officeDocument/2006/relationships/hyperlink" Target="imagenes/T_TAHARI_124010306_BLK_2.jpg" TargetMode="External" Id="rId13013"/><Relationship Type="http://schemas.openxmlformats.org/officeDocument/2006/relationships/hyperlink" Target="imagenes/T_TAHARI_124010306_BLK_3.jpg" TargetMode="External" Id="rId13014"/><Relationship Type="http://schemas.openxmlformats.org/officeDocument/2006/relationships/hyperlink" Target="imagenes/T_TAHARI_124010306_BLK_1.jpg" TargetMode="External" Id="rId13015"/><Relationship Type="http://schemas.openxmlformats.org/officeDocument/2006/relationships/hyperlink" Target="imagenes/T_TAHARI_124010306_BLK_2.jpg" TargetMode="External" Id="rId13016"/><Relationship Type="http://schemas.openxmlformats.org/officeDocument/2006/relationships/hyperlink" Target="imagenes/T_TAHARI_124010306_BLK_3.jpg" TargetMode="External" Id="rId13017"/><Relationship Type="http://schemas.openxmlformats.org/officeDocument/2006/relationships/hyperlink" Target="imagenes/T_TAHARI_124010306_BLK_1.jpg" TargetMode="External" Id="rId13018"/><Relationship Type="http://schemas.openxmlformats.org/officeDocument/2006/relationships/hyperlink" Target="imagenes/T_TAHARI_124010306_BLK_2.jpg" TargetMode="External" Id="rId13019"/><Relationship Type="http://schemas.openxmlformats.org/officeDocument/2006/relationships/hyperlink" Target="imagenes/T_TAHARI_124010306_BLK_3.jpg" TargetMode="External" Id="rId13020"/><Relationship Type="http://schemas.openxmlformats.org/officeDocument/2006/relationships/hyperlink" Target="imagenes/T_TAHARI_124010306_OFW_1.jpg" TargetMode="External" Id="rId13021"/><Relationship Type="http://schemas.openxmlformats.org/officeDocument/2006/relationships/hyperlink" Target="imagenes/T_TAHARI_124010306_OFW_2.jpg" TargetMode="External" Id="rId13022"/><Relationship Type="http://schemas.openxmlformats.org/officeDocument/2006/relationships/hyperlink" Target="imagenes/T_TAHARI_124010306_OFW_3.jpg" TargetMode="External" Id="rId13023"/><Relationship Type="http://schemas.openxmlformats.org/officeDocument/2006/relationships/hyperlink" Target="imagenes/T_TAHARI_124010306_OFW_1.jpg" TargetMode="External" Id="rId13024"/><Relationship Type="http://schemas.openxmlformats.org/officeDocument/2006/relationships/hyperlink" Target="imagenes/T_TAHARI_124010306_OFW_2.jpg" TargetMode="External" Id="rId13025"/><Relationship Type="http://schemas.openxmlformats.org/officeDocument/2006/relationships/hyperlink" Target="imagenes/T_TAHARI_124010306_OFW_3.jpg" TargetMode="External" Id="rId13026"/><Relationship Type="http://schemas.openxmlformats.org/officeDocument/2006/relationships/hyperlink" Target="imagenes/T_TAHARI_124010306_OFW_1.jpg" TargetMode="External" Id="rId13027"/><Relationship Type="http://schemas.openxmlformats.org/officeDocument/2006/relationships/hyperlink" Target="imagenes/T_TAHARI_124010306_OFW_2.jpg" TargetMode="External" Id="rId13028"/><Relationship Type="http://schemas.openxmlformats.org/officeDocument/2006/relationships/hyperlink" Target="imagenes/T_TAHARI_124010306_OFW_3.jpg" TargetMode="External" Id="rId13029"/><Relationship Type="http://schemas.openxmlformats.org/officeDocument/2006/relationships/hyperlink" Target="imagenes/T_TAHARI_124010306_OFW_1.jpg" TargetMode="External" Id="rId13030"/><Relationship Type="http://schemas.openxmlformats.org/officeDocument/2006/relationships/hyperlink" Target="imagenes/T_TAHARI_124010306_OFW_2.jpg" TargetMode="External" Id="rId13031"/><Relationship Type="http://schemas.openxmlformats.org/officeDocument/2006/relationships/hyperlink" Target="imagenes/T_TAHARI_124010306_OFW_3.jpg" TargetMode="External" Id="rId13032"/><Relationship Type="http://schemas.openxmlformats.org/officeDocument/2006/relationships/hyperlink" Target="imagenes/T_TAHARI_124010306_OFW_1.jpg" TargetMode="External" Id="rId13033"/><Relationship Type="http://schemas.openxmlformats.org/officeDocument/2006/relationships/hyperlink" Target="imagenes/T_TAHARI_124010306_OFW_2.jpg" TargetMode="External" Id="rId13034"/><Relationship Type="http://schemas.openxmlformats.org/officeDocument/2006/relationships/hyperlink" Target="imagenes/T_TAHARI_124010306_OFW_3.jpg" TargetMode="External" Id="rId13035"/><Relationship Type="http://schemas.openxmlformats.org/officeDocument/2006/relationships/hyperlink" Target="imagenes/T_TAHARI_124010306_OFW_1.jpg" TargetMode="External" Id="rId13036"/><Relationship Type="http://schemas.openxmlformats.org/officeDocument/2006/relationships/hyperlink" Target="imagenes/T_TAHARI_124010306_OFW_2.jpg" TargetMode="External" Id="rId13037"/><Relationship Type="http://schemas.openxmlformats.org/officeDocument/2006/relationships/hyperlink" Target="imagenes/T_TAHARI_124010306_OFW_3.jpg" TargetMode="External" Id="rId13038"/><Relationship Type="http://schemas.openxmlformats.org/officeDocument/2006/relationships/hyperlink" Target="imagenes/T_TAHARI_124010306_OFW_1.jpg" TargetMode="External" Id="rId13039"/><Relationship Type="http://schemas.openxmlformats.org/officeDocument/2006/relationships/hyperlink" Target="imagenes/T_TAHARI_124010306_OFW_2.jpg" TargetMode="External" Id="rId13040"/><Relationship Type="http://schemas.openxmlformats.org/officeDocument/2006/relationships/hyperlink" Target="imagenes/T_TAHARI_124010306_OFW_3.jpg" TargetMode="External" Id="rId13041"/><Relationship Type="http://schemas.openxmlformats.org/officeDocument/2006/relationships/hyperlink" Target="imagenes/T_TAHARI_124010306_OFW_1.jpg" TargetMode="External" Id="rId13042"/><Relationship Type="http://schemas.openxmlformats.org/officeDocument/2006/relationships/hyperlink" Target="imagenes/T_TAHARI_124010306_OFW_2.jpg" TargetMode="External" Id="rId13043"/><Relationship Type="http://schemas.openxmlformats.org/officeDocument/2006/relationships/hyperlink" Target="imagenes/T_TAHARI_124010306_OFW_3.jpg" TargetMode="External" Id="rId13044"/><Relationship Type="http://schemas.openxmlformats.org/officeDocument/2006/relationships/hyperlink" Target="imagenes/T_TAHARI_124010306_OFW_1.jpg" TargetMode="External" Id="rId13045"/><Relationship Type="http://schemas.openxmlformats.org/officeDocument/2006/relationships/hyperlink" Target="imagenes/T_TAHARI_124010306_OFW_2.jpg" TargetMode="External" Id="rId13046"/><Relationship Type="http://schemas.openxmlformats.org/officeDocument/2006/relationships/hyperlink" Target="imagenes/T_TAHARI_124010306_OFW_3.jpg" TargetMode="External" Id="rId13047"/><Relationship Type="http://schemas.openxmlformats.org/officeDocument/2006/relationships/hyperlink" Target="imagenes/T_TAHARI_124010306_OFW_1.jpg" TargetMode="External" Id="rId13048"/><Relationship Type="http://schemas.openxmlformats.org/officeDocument/2006/relationships/hyperlink" Target="imagenes/T_TAHARI_124010306_OFW_2.jpg" TargetMode="External" Id="rId13049"/><Relationship Type="http://schemas.openxmlformats.org/officeDocument/2006/relationships/hyperlink" Target="imagenes/T_TAHARI_124010306_OFW_3.jpg" TargetMode="External" Id="rId13050"/><Relationship Type="http://schemas.openxmlformats.org/officeDocument/2006/relationships/hyperlink" Target="imagenes/T_TAHARI_124010306_OFW_1.jpg" TargetMode="External" Id="rId13051"/><Relationship Type="http://schemas.openxmlformats.org/officeDocument/2006/relationships/hyperlink" Target="imagenes/T_TAHARI_124010306_OFW_2.jpg" TargetMode="External" Id="rId13052"/><Relationship Type="http://schemas.openxmlformats.org/officeDocument/2006/relationships/hyperlink" Target="imagenes/T_TAHARI_124010306_OFW_3.jpg" TargetMode="External" Id="rId13053"/><Relationship Type="http://schemas.openxmlformats.org/officeDocument/2006/relationships/hyperlink" Target="imagenes/T_TAHARI_124010306_OFW_1.jpg" TargetMode="External" Id="rId13054"/><Relationship Type="http://schemas.openxmlformats.org/officeDocument/2006/relationships/hyperlink" Target="imagenes/T_TAHARI_124010306_OFW_2.jpg" TargetMode="External" Id="rId13055"/><Relationship Type="http://schemas.openxmlformats.org/officeDocument/2006/relationships/hyperlink" Target="imagenes/T_TAHARI_124010306_OFW_3.jpg" TargetMode="External" Id="rId13056"/><Relationship Type="http://schemas.openxmlformats.org/officeDocument/2006/relationships/hyperlink" Target="imagenes/T_TAHARI_124010306_OFW_1.jpg" TargetMode="External" Id="rId13057"/><Relationship Type="http://schemas.openxmlformats.org/officeDocument/2006/relationships/hyperlink" Target="imagenes/T_TAHARI_124010306_OFW_2.jpg" TargetMode="External" Id="rId13058"/><Relationship Type="http://schemas.openxmlformats.org/officeDocument/2006/relationships/hyperlink" Target="imagenes/T_TAHARI_124010306_OFW_3.jpg" TargetMode="External" Id="rId13059"/><Relationship Type="http://schemas.openxmlformats.org/officeDocument/2006/relationships/hyperlink" Target="imagenes/T_TAHARI_124010306_OFW_1.jpg" TargetMode="External" Id="rId13060"/><Relationship Type="http://schemas.openxmlformats.org/officeDocument/2006/relationships/hyperlink" Target="imagenes/T_TAHARI_124010306_OFW_2.jpg" TargetMode="External" Id="rId13061"/><Relationship Type="http://schemas.openxmlformats.org/officeDocument/2006/relationships/hyperlink" Target="imagenes/T_TAHARI_124010306_OFW_3.jpg" TargetMode="External" Id="rId13062"/><Relationship Type="http://schemas.openxmlformats.org/officeDocument/2006/relationships/hyperlink" Target="imagenes/T_TAHARI_124010306_OFW_1.jpg" TargetMode="External" Id="rId13063"/><Relationship Type="http://schemas.openxmlformats.org/officeDocument/2006/relationships/hyperlink" Target="imagenes/T_TAHARI_124010306_OFW_2.jpg" TargetMode="External" Id="rId13064"/><Relationship Type="http://schemas.openxmlformats.org/officeDocument/2006/relationships/hyperlink" Target="imagenes/T_TAHARI_124010306_OFW_3.jpg" TargetMode="External" Id="rId13065"/><Relationship Type="http://schemas.openxmlformats.org/officeDocument/2006/relationships/hyperlink" Target="imagenes/T_TAHARI_124010306_OFW_1.jpg" TargetMode="External" Id="rId13066"/><Relationship Type="http://schemas.openxmlformats.org/officeDocument/2006/relationships/hyperlink" Target="imagenes/T_TAHARI_124010306_OFW_2.jpg" TargetMode="External" Id="rId13067"/><Relationship Type="http://schemas.openxmlformats.org/officeDocument/2006/relationships/hyperlink" Target="imagenes/T_TAHARI_124010306_OFW_3.jpg" TargetMode="External" Id="rId13068"/><Relationship Type="http://schemas.openxmlformats.org/officeDocument/2006/relationships/hyperlink" Target="imagenes/T_TAHARI_124010306_OFW_1.jpg" TargetMode="External" Id="rId13069"/><Relationship Type="http://schemas.openxmlformats.org/officeDocument/2006/relationships/hyperlink" Target="imagenes/T_TAHARI_124010306_OFW_2.jpg" TargetMode="External" Id="rId13070"/><Relationship Type="http://schemas.openxmlformats.org/officeDocument/2006/relationships/hyperlink" Target="imagenes/T_TAHARI_124010306_OFW_3.jpg" TargetMode="External" Id="rId13071"/><Relationship Type="http://schemas.openxmlformats.org/officeDocument/2006/relationships/hyperlink" Target="imagenes/T_TAHARI_124010306_OFW_1.jpg" TargetMode="External" Id="rId13072"/><Relationship Type="http://schemas.openxmlformats.org/officeDocument/2006/relationships/hyperlink" Target="imagenes/T_TAHARI_124010306_OFW_2.jpg" TargetMode="External" Id="rId13073"/><Relationship Type="http://schemas.openxmlformats.org/officeDocument/2006/relationships/hyperlink" Target="imagenes/T_TAHARI_124010306_OFW_3.jpg" TargetMode="External" Id="rId13074"/><Relationship Type="http://schemas.openxmlformats.org/officeDocument/2006/relationships/hyperlink" Target="imagenes/T_TAHARI_124010306_OFW_1.jpg" TargetMode="External" Id="rId13075"/><Relationship Type="http://schemas.openxmlformats.org/officeDocument/2006/relationships/hyperlink" Target="imagenes/T_TAHARI_124010306_OFW_2.jpg" TargetMode="External" Id="rId13076"/><Relationship Type="http://schemas.openxmlformats.org/officeDocument/2006/relationships/hyperlink" Target="imagenes/T_TAHARI_124010306_OFW_3.jpg" TargetMode="External" Id="rId13077"/><Relationship Type="http://schemas.openxmlformats.org/officeDocument/2006/relationships/hyperlink" Target="imagenes/T_TAHARI_124010306_OFW_1.jpg" TargetMode="External" Id="rId13078"/><Relationship Type="http://schemas.openxmlformats.org/officeDocument/2006/relationships/hyperlink" Target="imagenes/T_TAHARI_124010306_OFW_2.jpg" TargetMode="External" Id="rId13079"/><Relationship Type="http://schemas.openxmlformats.org/officeDocument/2006/relationships/hyperlink" Target="imagenes/T_TAHARI_124010306_OFW_3.jpg" TargetMode="External" Id="rId13080"/><Relationship Type="http://schemas.openxmlformats.org/officeDocument/2006/relationships/hyperlink" Target="imagenes/T_TAHARI_124010306_OFW_1.jpg" TargetMode="External" Id="rId13081"/><Relationship Type="http://schemas.openxmlformats.org/officeDocument/2006/relationships/hyperlink" Target="imagenes/T_TAHARI_124010306_OFW_2.jpg" TargetMode="External" Id="rId13082"/><Relationship Type="http://schemas.openxmlformats.org/officeDocument/2006/relationships/hyperlink" Target="imagenes/T_TAHARI_124010306_OFW_3.jpg" TargetMode="External" Id="rId13083"/><Relationship Type="http://schemas.openxmlformats.org/officeDocument/2006/relationships/hyperlink" Target="imagenes/T_TAHARI_124010306_OFW_1.jpg" TargetMode="External" Id="rId13084"/><Relationship Type="http://schemas.openxmlformats.org/officeDocument/2006/relationships/hyperlink" Target="imagenes/T_TAHARI_124010306_OFW_2.jpg" TargetMode="External" Id="rId13085"/><Relationship Type="http://schemas.openxmlformats.org/officeDocument/2006/relationships/hyperlink" Target="imagenes/T_TAHARI_124010306_OFW_3.jpg" TargetMode="External" Id="rId13086"/><Relationship Type="http://schemas.openxmlformats.org/officeDocument/2006/relationships/hyperlink" Target="imagenes/T_TAHARI_124010306_OFW_1.jpg" TargetMode="External" Id="rId13087"/><Relationship Type="http://schemas.openxmlformats.org/officeDocument/2006/relationships/hyperlink" Target="imagenes/T_TAHARI_124010306_OFW_2.jpg" TargetMode="External" Id="rId13088"/><Relationship Type="http://schemas.openxmlformats.org/officeDocument/2006/relationships/hyperlink" Target="imagenes/T_TAHARI_124010306_OFW_3.jpg" TargetMode="External" Id="rId13089"/><Relationship Type="http://schemas.openxmlformats.org/officeDocument/2006/relationships/hyperlink" Target="imagenes/T_TAHARI_124010306_OFW_1.jpg" TargetMode="External" Id="rId13090"/><Relationship Type="http://schemas.openxmlformats.org/officeDocument/2006/relationships/hyperlink" Target="imagenes/T_TAHARI_124010306_OFW_2.jpg" TargetMode="External" Id="rId13091"/><Relationship Type="http://schemas.openxmlformats.org/officeDocument/2006/relationships/hyperlink" Target="imagenes/T_TAHARI_124010306_OFW_3.jpg" TargetMode="External" Id="rId13092"/><Relationship Type="http://schemas.openxmlformats.org/officeDocument/2006/relationships/hyperlink" Target="imagenes/T_TAHARI_124010373_BLK_1.jpg" TargetMode="External" Id="rId13093"/><Relationship Type="http://schemas.openxmlformats.org/officeDocument/2006/relationships/hyperlink" Target="imagenes/T_TAHARI_124010373_BLK_2.jpg" TargetMode="External" Id="rId13094"/><Relationship Type="http://schemas.openxmlformats.org/officeDocument/2006/relationships/hyperlink" Target="imagenes/T_TAHARI_124010373_BLK_3.jpg" TargetMode="External" Id="rId13095"/><Relationship Type="http://schemas.openxmlformats.org/officeDocument/2006/relationships/hyperlink" Target="imagenes/T_TAHARI_124010373_BLK_1.jpg" TargetMode="External" Id="rId13096"/><Relationship Type="http://schemas.openxmlformats.org/officeDocument/2006/relationships/hyperlink" Target="imagenes/T_TAHARI_124010373_BLK_2.jpg" TargetMode="External" Id="rId13097"/><Relationship Type="http://schemas.openxmlformats.org/officeDocument/2006/relationships/hyperlink" Target="imagenes/T_TAHARI_124010373_BLK_3.jpg" TargetMode="External" Id="rId13098"/><Relationship Type="http://schemas.openxmlformats.org/officeDocument/2006/relationships/hyperlink" Target="imagenes/T_TAHARI_124010373_GXY_1.jpg" TargetMode="External" Id="rId13099"/><Relationship Type="http://schemas.openxmlformats.org/officeDocument/2006/relationships/hyperlink" Target="imagenes/T_TAHARI_124010373_GXY_2.jpg" TargetMode="External" Id="rId13100"/><Relationship Type="http://schemas.openxmlformats.org/officeDocument/2006/relationships/hyperlink" Target="imagenes/T_TAHARI_124010373_GXY_3.jpg" TargetMode="External" Id="rId13101"/><Relationship Type="http://schemas.openxmlformats.org/officeDocument/2006/relationships/hyperlink" Target="imagenes/T_TAHARI_124010373_GXY_1.jpg" TargetMode="External" Id="rId13102"/><Relationship Type="http://schemas.openxmlformats.org/officeDocument/2006/relationships/hyperlink" Target="imagenes/T_TAHARI_124010373_GXY_2.jpg" TargetMode="External" Id="rId13103"/><Relationship Type="http://schemas.openxmlformats.org/officeDocument/2006/relationships/hyperlink" Target="imagenes/T_TAHARI_124010373_GXY_3.jpg" TargetMode="External" Id="rId13104"/><Relationship Type="http://schemas.openxmlformats.org/officeDocument/2006/relationships/hyperlink" Target="imagenes/T_TAHARI_124010373_GXY_1.jpg" TargetMode="External" Id="rId13105"/><Relationship Type="http://schemas.openxmlformats.org/officeDocument/2006/relationships/hyperlink" Target="imagenes/T_TAHARI_124010373_GXY_2.jpg" TargetMode="External" Id="rId13106"/><Relationship Type="http://schemas.openxmlformats.org/officeDocument/2006/relationships/hyperlink" Target="imagenes/T_TAHARI_124010373_GXY_3.jpg" TargetMode="External" Id="rId13107"/><Relationship Type="http://schemas.openxmlformats.org/officeDocument/2006/relationships/hyperlink" Target="imagenes/T_TAHARI_124010373_GXY_1.jpg" TargetMode="External" Id="rId13108"/><Relationship Type="http://schemas.openxmlformats.org/officeDocument/2006/relationships/hyperlink" Target="imagenes/T_TAHARI_124010373_GXY_2.jpg" TargetMode="External" Id="rId13109"/><Relationship Type="http://schemas.openxmlformats.org/officeDocument/2006/relationships/hyperlink" Target="imagenes/T_TAHARI_124010373_GXY_3.jpg" TargetMode="External" Id="rId13110"/><Relationship Type="http://schemas.openxmlformats.org/officeDocument/2006/relationships/hyperlink" Target="imagenes/T_TAHARI_124010373_GXY_1.jpg" TargetMode="External" Id="rId13111"/><Relationship Type="http://schemas.openxmlformats.org/officeDocument/2006/relationships/hyperlink" Target="imagenes/T_TAHARI_124010373_GXY_2.jpg" TargetMode="External" Id="rId13112"/><Relationship Type="http://schemas.openxmlformats.org/officeDocument/2006/relationships/hyperlink" Target="imagenes/T_TAHARI_124010373_GXY_3.jpg" TargetMode="External" Id="rId13113"/><Relationship Type="http://schemas.openxmlformats.org/officeDocument/2006/relationships/hyperlink" Target="imagenes/T_TAHARI_124010374_GRX_1.jpg" TargetMode="External" Id="rId13114"/><Relationship Type="http://schemas.openxmlformats.org/officeDocument/2006/relationships/hyperlink" Target="imagenes/T_TAHARI_124010374_GRX_3.jpg" TargetMode="External" Id="rId13115"/><Relationship Type="http://schemas.openxmlformats.org/officeDocument/2006/relationships/hyperlink" Target="imagenes/T_TAHARI_124010374_GRX_1.jpg" TargetMode="External" Id="rId13116"/><Relationship Type="http://schemas.openxmlformats.org/officeDocument/2006/relationships/hyperlink" Target="imagenes/T_TAHARI_124010374_GRX_3.jpg" TargetMode="External" Id="rId13117"/><Relationship Type="http://schemas.openxmlformats.org/officeDocument/2006/relationships/hyperlink" Target="imagenes/T_TAHARI_124010374_GRX_1.jpg" TargetMode="External" Id="rId13118"/><Relationship Type="http://schemas.openxmlformats.org/officeDocument/2006/relationships/hyperlink" Target="imagenes/T_TAHARI_124010374_GRX_3.jpg" TargetMode="External" Id="rId13119"/><Relationship Type="http://schemas.openxmlformats.org/officeDocument/2006/relationships/hyperlink" Target="imagenes/T_TAHARI_124010374_GRX_1.jpg" TargetMode="External" Id="rId13120"/><Relationship Type="http://schemas.openxmlformats.org/officeDocument/2006/relationships/hyperlink" Target="imagenes/T_TAHARI_124010374_GRX_3.jpg" TargetMode="External" Id="rId13121"/><Relationship Type="http://schemas.openxmlformats.org/officeDocument/2006/relationships/hyperlink" Target="imagenes/T_TAHARI_124010374_GRX_1.jpg" TargetMode="External" Id="rId13122"/><Relationship Type="http://schemas.openxmlformats.org/officeDocument/2006/relationships/hyperlink" Target="imagenes/T_TAHARI_124010374_GRX_3.jpg" TargetMode="External" Id="rId13123"/><Relationship Type="http://schemas.openxmlformats.org/officeDocument/2006/relationships/hyperlink" Target="imagenes/T_TAHARI_124010376_BLK_1.jpg" TargetMode="External" Id="rId13124"/><Relationship Type="http://schemas.openxmlformats.org/officeDocument/2006/relationships/hyperlink" Target="imagenes/T_TAHARI_124010376_BLK_2.jpg" TargetMode="External" Id="rId13125"/><Relationship Type="http://schemas.openxmlformats.org/officeDocument/2006/relationships/hyperlink" Target="imagenes/T_TAHARI_124010376_BLK_3.jpg" TargetMode="External" Id="rId13126"/><Relationship Type="http://schemas.openxmlformats.org/officeDocument/2006/relationships/hyperlink" Target="imagenes/T_TAHARI_124010376_IVY_1.jpg" TargetMode="External" Id="rId13127"/><Relationship Type="http://schemas.openxmlformats.org/officeDocument/2006/relationships/hyperlink" Target="imagenes/T_TAHARI_124010376_IVY_2.jpg" TargetMode="External" Id="rId13128"/><Relationship Type="http://schemas.openxmlformats.org/officeDocument/2006/relationships/hyperlink" Target="imagenes/T_TAHARI_124010377_BLK_1.jpg" TargetMode="External" Id="rId13129"/><Relationship Type="http://schemas.openxmlformats.org/officeDocument/2006/relationships/hyperlink" Target="imagenes/T_TAHARI_124010377_BLK_2.jpg" TargetMode="External" Id="rId13130"/><Relationship Type="http://schemas.openxmlformats.org/officeDocument/2006/relationships/hyperlink" Target="imagenes/T_TAHARI_124010377_BLK_3.jpg" TargetMode="External" Id="rId13131"/><Relationship Type="http://schemas.openxmlformats.org/officeDocument/2006/relationships/hyperlink" Target="imagenes/T_TAHARI_124010377_BLK_1.jpg" TargetMode="External" Id="rId13132"/><Relationship Type="http://schemas.openxmlformats.org/officeDocument/2006/relationships/hyperlink" Target="imagenes/T_TAHARI_124010377_BLK_2.jpg" TargetMode="External" Id="rId13133"/><Relationship Type="http://schemas.openxmlformats.org/officeDocument/2006/relationships/hyperlink" Target="imagenes/T_TAHARI_124010377_BLK_3.jpg" TargetMode="External" Id="rId13134"/><Relationship Type="http://schemas.openxmlformats.org/officeDocument/2006/relationships/hyperlink" Target="imagenes/T_TAHARI_124010377_BLK_1.jpg" TargetMode="External" Id="rId13135"/><Relationship Type="http://schemas.openxmlformats.org/officeDocument/2006/relationships/hyperlink" Target="imagenes/T_TAHARI_124010377_BLK_2.jpg" TargetMode="External" Id="rId13136"/><Relationship Type="http://schemas.openxmlformats.org/officeDocument/2006/relationships/hyperlink" Target="imagenes/T_TAHARI_124010377_BLK_3.jpg" TargetMode="External" Id="rId13137"/><Relationship Type="http://schemas.openxmlformats.org/officeDocument/2006/relationships/hyperlink" Target="imagenes/T_TAHARI_124010377_BLK_1.jpg" TargetMode="External" Id="rId13138"/><Relationship Type="http://schemas.openxmlformats.org/officeDocument/2006/relationships/hyperlink" Target="imagenes/T_TAHARI_124010377_BLK_2.jpg" TargetMode="External" Id="rId13139"/><Relationship Type="http://schemas.openxmlformats.org/officeDocument/2006/relationships/hyperlink" Target="imagenes/T_TAHARI_124010377_BLK_3.jpg" TargetMode="External" Id="rId13140"/><Relationship Type="http://schemas.openxmlformats.org/officeDocument/2006/relationships/hyperlink" Target="imagenes/T_TAHARI_124010377_BLK_1.jpg" TargetMode="External" Id="rId13141"/><Relationship Type="http://schemas.openxmlformats.org/officeDocument/2006/relationships/hyperlink" Target="imagenes/T_TAHARI_124010377_BLK_2.jpg" TargetMode="External" Id="rId13142"/><Relationship Type="http://schemas.openxmlformats.org/officeDocument/2006/relationships/hyperlink" Target="imagenes/T_TAHARI_124010377_BLK_3.jpg" TargetMode="External" Id="rId13143"/><Relationship Type="http://schemas.openxmlformats.org/officeDocument/2006/relationships/hyperlink" Target="imagenes/T_TAHARI_124010377_BLK_1.jpg" TargetMode="External" Id="rId13144"/><Relationship Type="http://schemas.openxmlformats.org/officeDocument/2006/relationships/hyperlink" Target="imagenes/T_TAHARI_124010377_BLK_2.jpg" TargetMode="External" Id="rId13145"/><Relationship Type="http://schemas.openxmlformats.org/officeDocument/2006/relationships/hyperlink" Target="imagenes/T_TAHARI_124010377_BLK_3.jpg" TargetMode="External" Id="rId13146"/><Relationship Type="http://schemas.openxmlformats.org/officeDocument/2006/relationships/hyperlink" Target="imagenes/T_TAHARI_124010377_BLK_1.jpg" TargetMode="External" Id="rId13147"/><Relationship Type="http://schemas.openxmlformats.org/officeDocument/2006/relationships/hyperlink" Target="imagenes/T_TAHARI_124010377_BLK_2.jpg" TargetMode="External" Id="rId13148"/><Relationship Type="http://schemas.openxmlformats.org/officeDocument/2006/relationships/hyperlink" Target="imagenes/T_TAHARI_124010377_BLK_3.jpg" TargetMode="External" Id="rId13149"/><Relationship Type="http://schemas.openxmlformats.org/officeDocument/2006/relationships/hyperlink" Target="imagenes/T_TAHARI_124010377_PLM_1.jpg" TargetMode="External" Id="rId13150"/><Relationship Type="http://schemas.openxmlformats.org/officeDocument/2006/relationships/hyperlink" Target="imagenes/T_TAHARI_124010377_PLM_2.jpg" TargetMode="External" Id="rId13151"/><Relationship Type="http://schemas.openxmlformats.org/officeDocument/2006/relationships/hyperlink" Target="imagenes/T_TAHARI_124010377_PLM_1.jpg" TargetMode="External" Id="rId13152"/><Relationship Type="http://schemas.openxmlformats.org/officeDocument/2006/relationships/hyperlink" Target="imagenes/T_TAHARI_124010377_PLM_2.jpg" TargetMode="External" Id="rId13153"/><Relationship Type="http://schemas.openxmlformats.org/officeDocument/2006/relationships/hyperlink" Target="imagenes/T_TAHARI_124010377_PLM_1.jpg" TargetMode="External" Id="rId13154"/><Relationship Type="http://schemas.openxmlformats.org/officeDocument/2006/relationships/hyperlink" Target="imagenes/T_TAHARI_124010377_PLM_2.jpg" TargetMode="External" Id="rId13155"/><Relationship Type="http://schemas.openxmlformats.org/officeDocument/2006/relationships/hyperlink" Target="imagenes/T_TAHARI_124010377_PLM_1.jpg" TargetMode="External" Id="rId13156"/><Relationship Type="http://schemas.openxmlformats.org/officeDocument/2006/relationships/hyperlink" Target="imagenes/T_TAHARI_124010377_PLM_2.jpg" TargetMode="External" Id="rId13157"/><Relationship Type="http://schemas.openxmlformats.org/officeDocument/2006/relationships/hyperlink" Target="imagenes/T_TAHARI_124010377_PLM_1.jpg" TargetMode="External" Id="rId13158"/><Relationship Type="http://schemas.openxmlformats.org/officeDocument/2006/relationships/hyperlink" Target="imagenes/T_TAHARI_124010377_PLM_2.jpg" TargetMode="External" Id="rId13159"/><Relationship Type="http://schemas.openxmlformats.org/officeDocument/2006/relationships/hyperlink" Target="imagenes/T_TAHARI_124010377_PLM_1.jpg" TargetMode="External" Id="rId13160"/><Relationship Type="http://schemas.openxmlformats.org/officeDocument/2006/relationships/hyperlink" Target="imagenes/T_TAHARI_124010377_PLM_2.jpg" TargetMode="External" Id="rId13161"/><Relationship Type="http://schemas.openxmlformats.org/officeDocument/2006/relationships/hyperlink" Target="imagenes/T_TAHARI_124010377_STZ_2.jpg" TargetMode="External" Id="rId13162"/><Relationship Type="http://schemas.openxmlformats.org/officeDocument/2006/relationships/hyperlink" Target="imagenes/T_TAHARI_124010377_STZ_2.jpg" TargetMode="External" Id="rId13163"/><Relationship Type="http://schemas.openxmlformats.org/officeDocument/2006/relationships/hyperlink" Target="imagenes/T_TAHARI_124010377_STZ_2.jpg" TargetMode="External" Id="rId13164"/><Relationship Type="http://schemas.openxmlformats.org/officeDocument/2006/relationships/hyperlink" Target="imagenes/T_TAHARI_124010377_STZ_2.jpg" TargetMode="External" Id="rId13165"/><Relationship Type="http://schemas.openxmlformats.org/officeDocument/2006/relationships/hyperlink" Target="imagenes/T_TAHARI_124010377_STZ_2.jpg" TargetMode="External" Id="rId13166"/><Relationship Type="http://schemas.openxmlformats.org/officeDocument/2006/relationships/hyperlink" Target="imagenes/T_TAHARI_124010377_STZ_2.jpg" TargetMode="External" Id="rId13167"/><Relationship Type="http://schemas.openxmlformats.org/officeDocument/2006/relationships/hyperlink" Target="imagenes/T_TAHARI_124DAMAGE_ASD_1.jpg" TargetMode="External" Id="rId13168"/><Relationship Type="http://schemas.openxmlformats.org/officeDocument/2006/relationships/hyperlink" Target="imagenes/T_TAHARI_124DAMAGE_ASD_3.jpg" TargetMode="External" Id="rId13169"/><Relationship Type="http://schemas.openxmlformats.org/officeDocument/2006/relationships/hyperlink" Target="imagenes/T_TAHARI_6020640_BC5_2.jpg" TargetMode="External" Id="rId13170"/><Relationship Type="http://schemas.openxmlformats.org/officeDocument/2006/relationships/hyperlink" Target="imagenes/T_TAHARI_6020640_BC5_3.jpg" TargetMode="External" Id="rId13171"/><Relationship Type="http://schemas.openxmlformats.org/officeDocument/2006/relationships/hyperlink" Target="imagenes/T_TAHARI_6020640_BC5_2.jpg" TargetMode="External" Id="rId13172"/><Relationship Type="http://schemas.openxmlformats.org/officeDocument/2006/relationships/hyperlink" Target="imagenes/T_TAHARI_6020640_BC5_3.jpg" TargetMode="External" Id="rId13173"/><Relationship Type="http://schemas.openxmlformats.org/officeDocument/2006/relationships/hyperlink" Target="imagenes/T_TAHARI_6020640_BC5_2.jpg" TargetMode="External" Id="rId13174"/><Relationship Type="http://schemas.openxmlformats.org/officeDocument/2006/relationships/hyperlink" Target="imagenes/T_TAHARI_6020640_BC5_3.jpg" TargetMode="External" Id="rId13175"/><Relationship Type="http://schemas.openxmlformats.org/officeDocument/2006/relationships/hyperlink" Target="imagenes/T_TAHARI_6020640_BLK_1.jpg" TargetMode="External" Id="rId13176"/><Relationship Type="http://schemas.openxmlformats.org/officeDocument/2006/relationships/hyperlink" Target="imagenes/T_TAHARI_6020640_BLK_2.jpg" TargetMode="External" Id="rId13177"/><Relationship Type="http://schemas.openxmlformats.org/officeDocument/2006/relationships/hyperlink" Target="imagenes/T_TAHARI_6020640_BLK_3.jpg" TargetMode="External" Id="rId13178"/><Relationship Type="http://schemas.openxmlformats.org/officeDocument/2006/relationships/hyperlink" Target="imagenes/T_TAHARI_6020640_BLK_1.jpg" TargetMode="External" Id="rId13179"/><Relationship Type="http://schemas.openxmlformats.org/officeDocument/2006/relationships/hyperlink" Target="imagenes/T_TAHARI_6020640_BLK_2.jpg" TargetMode="External" Id="rId13180"/><Relationship Type="http://schemas.openxmlformats.org/officeDocument/2006/relationships/hyperlink" Target="imagenes/T_TAHARI_6020640_BLK_3.jpg" TargetMode="External" Id="rId13181"/><Relationship Type="http://schemas.openxmlformats.org/officeDocument/2006/relationships/hyperlink" Target="imagenes/T_TAHARI_6020640_BLK_1.jpg" TargetMode="External" Id="rId13182"/><Relationship Type="http://schemas.openxmlformats.org/officeDocument/2006/relationships/hyperlink" Target="imagenes/T_TAHARI_6020640_BLK_2.jpg" TargetMode="External" Id="rId13183"/><Relationship Type="http://schemas.openxmlformats.org/officeDocument/2006/relationships/hyperlink" Target="imagenes/T_TAHARI_6020640_BLK_3.jpg" TargetMode="External" Id="rId13184"/><Relationship Type="http://schemas.openxmlformats.org/officeDocument/2006/relationships/hyperlink" Target="imagenes/T_TAHARI_6020640_BLK_1.jpg" TargetMode="External" Id="rId13185"/><Relationship Type="http://schemas.openxmlformats.org/officeDocument/2006/relationships/hyperlink" Target="imagenes/T_TAHARI_6020640_BLK_2.jpg" TargetMode="External" Id="rId13186"/><Relationship Type="http://schemas.openxmlformats.org/officeDocument/2006/relationships/hyperlink" Target="imagenes/T_TAHARI_6020640_BLK_3.jpg" TargetMode="External" Id="rId13187"/><Relationship Type="http://schemas.openxmlformats.org/officeDocument/2006/relationships/hyperlink" Target="imagenes/T_TAHARI_6020640_BLK_1.jpg" TargetMode="External" Id="rId13188"/><Relationship Type="http://schemas.openxmlformats.org/officeDocument/2006/relationships/hyperlink" Target="imagenes/T_TAHARI_6020640_BLK_2.jpg" TargetMode="External" Id="rId13189"/><Relationship Type="http://schemas.openxmlformats.org/officeDocument/2006/relationships/hyperlink" Target="imagenes/T_TAHARI_6020640_BLK_3.jpg" TargetMode="External" Id="rId13190"/><Relationship Type="http://schemas.openxmlformats.org/officeDocument/2006/relationships/hyperlink" Target="imagenes/T_TAHARI_6020640_CAM_1.jpg" TargetMode="External" Id="rId13191"/><Relationship Type="http://schemas.openxmlformats.org/officeDocument/2006/relationships/hyperlink" Target="imagenes/T_TAHARI_6020640_CAM_2.jpg" TargetMode="External" Id="rId13192"/><Relationship Type="http://schemas.openxmlformats.org/officeDocument/2006/relationships/hyperlink" Target="imagenes/T_TAHARI_6020640_CAM_3.jpg" TargetMode="External" Id="rId13193"/><Relationship Type="http://schemas.openxmlformats.org/officeDocument/2006/relationships/hyperlink" Target="imagenes/T_TAHARI_6020640_CHR_1.jpg" TargetMode="External" Id="rId13194"/><Relationship Type="http://schemas.openxmlformats.org/officeDocument/2006/relationships/hyperlink" Target="imagenes/T_TAHARI_6020640_CHR_2.jpg" TargetMode="External" Id="rId13195"/><Relationship Type="http://schemas.openxmlformats.org/officeDocument/2006/relationships/hyperlink" Target="imagenes/T_TAHARI_6020640_CHR_3.jpg" TargetMode="External" Id="rId13196"/><Relationship Type="http://schemas.openxmlformats.org/officeDocument/2006/relationships/hyperlink" Target="imagenes/T_TAHARI_6020696_BLK_1.jpg" TargetMode="External" Id="rId13197"/><Relationship Type="http://schemas.openxmlformats.org/officeDocument/2006/relationships/hyperlink" Target="imagenes/T_TAHARI_6020696_BLK_2.jpg" TargetMode="External" Id="rId13198"/><Relationship Type="http://schemas.openxmlformats.org/officeDocument/2006/relationships/hyperlink" Target="imagenes/T_TAHARI_6020696_BLK_3.jpg" TargetMode="External" Id="rId13199"/><Relationship Type="http://schemas.openxmlformats.org/officeDocument/2006/relationships/hyperlink" Target="imagenes/T_TAHARI_6020696_BLK_1.jpg" TargetMode="External" Id="rId13200"/><Relationship Type="http://schemas.openxmlformats.org/officeDocument/2006/relationships/hyperlink" Target="imagenes/T_TAHARI_6020696_BLK_2.jpg" TargetMode="External" Id="rId13201"/><Relationship Type="http://schemas.openxmlformats.org/officeDocument/2006/relationships/hyperlink" Target="imagenes/T_TAHARI_6020696_BLK_3.jpg" TargetMode="External" Id="rId13202"/><Relationship Type="http://schemas.openxmlformats.org/officeDocument/2006/relationships/hyperlink" Target="imagenes/T_TAHARI_6023951_DLE_1.jpg" TargetMode="External" Id="rId13203"/><Relationship Type="http://schemas.openxmlformats.org/officeDocument/2006/relationships/hyperlink" Target="imagenes/T_TAHARI_6023951_DLE_2.jpg" TargetMode="External" Id="rId13204"/><Relationship Type="http://schemas.openxmlformats.org/officeDocument/2006/relationships/hyperlink" Target="imagenes/T_TAHARI_6023951_DLE_3.jpg" TargetMode="External" Id="rId13205"/><Relationship Type="http://schemas.openxmlformats.org/officeDocument/2006/relationships/hyperlink" Target="imagenes/T_TAHARI_6030635_BLK_2.jpg" TargetMode="External" Id="rId13206"/><Relationship Type="http://schemas.openxmlformats.org/officeDocument/2006/relationships/hyperlink" Target="imagenes/T_TAHARI_6030635_BLK_3.jpg" TargetMode="External" Id="rId13207"/><Relationship Type="http://schemas.openxmlformats.org/officeDocument/2006/relationships/hyperlink" Target="imagenes/T_TAHARI_6030635_RWD_1.jpg" TargetMode="External" Id="rId13208"/><Relationship Type="http://schemas.openxmlformats.org/officeDocument/2006/relationships/hyperlink" Target="imagenes/T_TAHARI_6030635_RWD_2.jpg" TargetMode="External" Id="rId13209"/><Relationship Type="http://schemas.openxmlformats.org/officeDocument/2006/relationships/hyperlink" Target="imagenes/T_TAHARI_6030635_RWD_3.jpg" TargetMode="External" Id="rId13210"/><Relationship Type="http://schemas.openxmlformats.org/officeDocument/2006/relationships/hyperlink" Target="imagenes/T_TAHARI_6030635_RWD_1.jpg" TargetMode="External" Id="rId13211"/><Relationship Type="http://schemas.openxmlformats.org/officeDocument/2006/relationships/hyperlink" Target="imagenes/T_TAHARI_6030635_RWD_2.jpg" TargetMode="External" Id="rId13212"/><Relationship Type="http://schemas.openxmlformats.org/officeDocument/2006/relationships/hyperlink" Target="imagenes/T_TAHARI_6030635_RWD_3.jpg" TargetMode="External" Id="rId13213"/><Relationship Type="http://schemas.openxmlformats.org/officeDocument/2006/relationships/hyperlink" Target="imagenes/T_TAHARI_6033851_DBZ_1.jpg" TargetMode="External" Id="rId13214"/><Relationship Type="http://schemas.openxmlformats.org/officeDocument/2006/relationships/hyperlink" Target="imagenes/T_TAHARI_6033851_DBZ_2.jpg" TargetMode="External" Id="rId13215"/><Relationship Type="http://schemas.openxmlformats.org/officeDocument/2006/relationships/hyperlink" Target="imagenes/T_TAHARI_6033851_DBZ_3.jpg" TargetMode="External" Id="rId13216"/><Relationship Type="http://schemas.openxmlformats.org/officeDocument/2006/relationships/hyperlink" Target="imagenes/T_TAHARI_6033851_DBZ_1.jpg" TargetMode="External" Id="rId13217"/><Relationship Type="http://schemas.openxmlformats.org/officeDocument/2006/relationships/hyperlink" Target="imagenes/T_TAHARI_6033851_DBZ_2.jpg" TargetMode="External" Id="rId13218"/><Relationship Type="http://schemas.openxmlformats.org/officeDocument/2006/relationships/hyperlink" Target="imagenes/T_TAHARI_6033851_DBZ_3.jpg" TargetMode="External" Id="rId13219"/><Relationship Type="http://schemas.openxmlformats.org/officeDocument/2006/relationships/hyperlink" Target="imagenes/T_TAHARI_6033851_DBZ_1.jpg" TargetMode="External" Id="rId13220"/><Relationship Type="http://schemas.openxmlformats.org/officeDocument/2006/relationships/hyperlink" Target="imagenes/T_TAHARI_6033851_DBZ_2.jpg" TargetMode="External" Id="rId13221"/><Relationship Type="http://schemas.openxmlformats.org/officeDocument/2006/relationships/hyperlink" Target="imagenes/T_TAHARI_6033851_DBZ_3.jpg" TargetMode="External" Id="rId13222"/><Relationship Type="http://schemas.openxmlformats.org/officeDocument/2006/relationships/hyperlink" Target="imagenes/T_TAHARI_6033951_DLE_1.jpg" TargetMode="External" Id="rId13223"/><Relationship Type="http://schemas.openxmlformats.org/officeDocument/2006/relationships/hyperlink" Target="imagenes/T_TAHARI_6033951_DLE_2.jpg" TargetMode="External" Id="rId13224"/><Relationship Type="http://schemas.openxmlformats.org/officeDocument/2006/relationships/hyperlink" Target="imagenes/T_TAHARI_6033951_DLE_3.jpg" TargetMode="External" Id="rId13225"/><Relationship Type="http://schemas.openxmlformats.org/officeDocument/2006/relationships/hyperlink" Target="imagenes/T_TAHARI_6033951_DLE_1.jpg" TargetMode="External" Id="rId13226"/><Relationship Type="http://schemas.openxmlformats.org/officeDocument/2006/relationships/hyperlink" Target="imagenes/T_TAHARI_6033951_DLE_2.jpg" TargetMode="External" Id="rId13227"/><Relationship Type="http://schemas.openxmlformats.org/officeDocument/2006/relationships/hyperlink" Target="imagenes/T_TAHARI_6033951_DLE_3.jpg" TargetMode="External" Id="rId13228"/><Relationship Type="http://schemas.openxmlformats.org/officeDocument/2006/relationships/hyperlink" Target="imagenes/T_TAHARI_6033951_DLE_1.jpg" TargetMode="External" Id="rId13229"/><Relationship Type="http://schemas.openxmlformats.org/officeDocument/2006/relationships/hyperlink" Target="imagenes/T_TAHARI_6033951_DLE_2.jpg" TargetMode="External" Id="rId13230"/><Relationship Type="http://schemas.openxmlformats.org/officeDocument/2006/relationships/hyperlink" Target="imagenes/T_TAHARI_6033951_DLE_3.jpg" TargetMode="External" Id="rId13231"/><Relationship Type="http://schemas.openxmlformats.org/officeDocument/2006/relationships/hyperlink" Target="imagenes/T_TAHARI_6033951_DLE_1.jpg" TargetMode="External" Id="rId13232"/><Relationship Type="http://schemas.openxmlformats.org/officeDocument/2006/relationships/hyperlink" Target="imagenes/T_TAHARI_6033951_DLE_2.jpg" TargetMode="External" Id="rId13233"/><Relationship Type="http://schemas.openxmlformats.org/officeDocument/2006/relationships/hyperlink" Target="imagenes/T_TAHARI_6033951_DLE_3.jpg" TargetMode="External" Id="rId13234"/><Relationship Type="http://schemas.openxmlformats.org/officeDocument/2006/relationships/hyperlink" Target="imagenes/T_TAHARI_6034880_B3G_1.jpg" TargetMode="External" Id="rId13235"/><Relationship Type="http://schemas.openxmlformats.org/officeDocument/2006/relationships/hyperlink" Target="imagenes/T_TAHARI_6034880_B3G_2.jpg" TargetMode="External" Id="rId13236"/><Relationship Type="http://schemas.openxmlformats.org/officeDocument/2006/relationships/hyperlink" Target="imagenes/T_TAHARI_6034880_B3G_3.jpg" TargetMode="External" Id="rId13237"/><Relationship Type="http://schemas.openxmlformats.org/officeDocument/2006/relationships/hyperlink" Target="imagenes/T_TAHARI_6210685_OLI_1.jpg" TargetMode="External" Id="rId13238"/><Relationship Type="http://schemas.openxmlformats.org/officeDocument/2006/relationships/hyperlink" Target="imagenes/T_TAHARI_6210685_OLI_2.jpg" TargetMode="External" Id="rId13239"/><Relationship Type="http://schemas.openxmlformats.org/officeDocument/2006/relationships/hyperlink" Target="imagenes/T_TAHARI_6210685_OLI_3.jpg" TargetMode="External" Id="rId13240"/><Relationship Type="http://schemas.openxmlformats.org/officeDocument/2006/relationships/hyperlink" Target="imagenes/T_TAHARI_6218508_BLK_1.jpg" TargetMode="External" Id="rId13241"/><Relationship Type="http://schemas.openxmlformats.org/officeDocument/2006/relationships/hyperlink" Target="imagenes/T_TAHARI_6218508_BLK_2.jpg" TargetMode="External" Id="rId13242"/><Relationship Type="http://schemas.openxmlformats.org/officeDocument/2006/relationships/hyperlink" Target="imagenes/T_TAHARI_6218508_BLK_3.jpg" TargetMode="External" Id="rId13243"/><Relationship Type="http://schemas.openxmlformats.org/officeDocument/2006/relationships/hyperlink" Target="imagenes/T_TAHARI_6218508_BLK_1.jpg" TargetMode="External" Id="rId13244"/><Relationship Type="http://schemas.openxmlformats.org/officeDocument/2006/relationships/hyperlink" Target="imagenes/T_TAHARI_6218508_BLK_2.jpg" TargetMode="External" Id="rId13245"/><Relationship Type="http://schemas.openxmlformats.org/officeDocument/2006/relationships/hyperlink" Target="imagenes/T_TAHARI_6218508_BLK_3.jpg" TargetMode="External" Id="rId13246"/><Relationship Type="http://schemas.openxmlformats.org/officeDocument/2006/relationships/hyperlink" Target="imagenes/T_TAHARI_6218508_BLK_1.jpg" TargetMode="External" Id="rId13247"/><Relationship Type="http://schemas.openxmlformats.org/officeDocument/2006/relationships/hyperlink" Target="imagenes/T_TAHARI_6218508_BLK_2.jpg" TargetMode="External" Id="rId13248"/><Relationship Type="http://schemas.openxmlformats.org/officeDocument/2006/relationships/hyperlink" Target="imagenes/T_TAHARI_6218508_BLK_3.jpg" TargetMode="External" Id="rId13249"/><Relationship Type="http://schemas.openxmlformats.org/officeDocument/2006/relationships/hyperlink" Target="imagenes/T_TAHARI_6218508_BLK_1.jpg" TargetMode="External" Id="rId13250"/><Relationship Type="http://schemas.openxmlformats.org/officeDocument/2006/relationships/hyperlink" Target="imagenes/T_TAHARI_6218508_BLK_2.jpg" TargetMode="External" Id="rId13251"/><Relationship Type="http://schemas.openxmlformats.org/officeDocument/2006/relationships/hyperlink" Target="imagenes/T_TAHARI_6218508_BLK_3.jpg" TargetMode="External" Id="rId13252"/><Relationship Type="http://schemas.openxmlformats.org/officeDocument/2006/relationships/hyperlink" Target="imagenes/T_TAHARI_6218508_BLK_1.jpg" TargetMode="External" Id="rId13253"/><Relationship Type="http://schemas.openxmlformats.org/officeDocument/2006/relationships/hyperlink" Target="imagenes/T_TAHARI_6218508_BLK_2.jpg" TargetMode="External" Id="rId13254"/><Relationship Type="http://schemas.openxmlformats.org/officeDocument/2006/relationships/hyperlink" Target="imagenes/T_TAHARI_6218508_BLK_3.jpg" TargetMode="External" Id="rId13255"/><Relationship Type="http://schemas.openxmlformats.org/officeDocument/2006/relationships/hyperlink" Target="imagenes/T_TAHARI_6218508_BLK_1.jpg" TargetMode="External" Id="rId13256"/><Relationship Type="http://schemas.openxmlformats.org/officeDocument/2006/relationships/hyperlink" Target="imagenes/T_TAHARI_6218508_BLK_2.jpg" TargetMode="External" Id="rId13257"/><Relationship Type="http://schemas.openxmlformats.org/officeDocument/2006/relationships/hyperlink" Target="imagenes/T_TAHARI_6218508_BLK_3.jpg" TargetMode="External" Id="rId13258"/><Relationship Type="http://schemas.openxmlformats.org/officeDocument/2006/relationships/hyperlink" Target="imagenes/T_TAHARI_6218508_CHO_1.jpg" TargetMode="External" Id="rId13259"/><Relationship Type="http://schemas.openxmlformats.org/officeDocument/2006/relationships/hyperlink" Target="imagenes/T_TAHARI_6218508_CHO_2.jpg" TargetMode="External" Id="rId13260"/><Relationship Type="http://schemas.openxmlformats.org/officeDocument/2006/relationships/hyperlink" Target="imagenes/T_TAHARI_6218508_CHO_3.jpg" TargetMode="External" Id="rId13261"/><Relationship Type="http://schemas.openxmlformats.org/officeDocument/2006/relationships/hyperlink" Target="imagenes/T_TAHARI_6218508_CHO_1.jpg" TargetMode="External" Id="rId13262"/><Relationship Type="http://schemas.openxmlformats.org/officeDocument/2006/relationships/hyperlink" Target="imagenes/T_TAHARI_6218508_CHO_2.jpg" TargetMode="External" Id="rId13263"/><Relationship Type="http://schemas.openxmlformats.org/officeDocument/2006/relationships/hyperlink" Target="imagenes/T_TAHARI_6218508_CHO_3.jpg" TargetMode="External" Id="rId13264"/><Relationship Type="http://schemas.openxmlformats.org/officeDocument/2006/relationships/hyperlink" Target="imagenes/T_TAHARI_6218508_CHO_1.jpg" TargetMode="External" Id="rId13265"/><Relationship Type="http://schemas.openxmlformats.org/officeDocument/2006/relationships/hyperlink" Target="imagenes/T_TAHARI_6218508_CHO_2.jpg" TargetMode="External" Id="rId13266"/><Relationship Type="http://schemas.openxmlformats.org/officeDocument/2006/relationships/hyperlink" Target="imagenes/T_TAHARI_6218508_CHO_3.jpg" TargetMode="External" Id="rId13267"/><Relationship Type="http://schemas.openxmlformats.org/officeDocument/2006/relationships/hyperlink" Target="imagenes/T_TAHARI_6218508_CHO_1.jpg" TargetMode="External" Id="rId13268"/><Relationship Type="http://schemas.openxmlformats.org/officeDocument/2006/relationships/hyperlink" Target="imagenes/T_TAHARI_6218508_CHO_2.jpg" TargetMode="External" Id="rId13269"/><Relationship Type="http://schemas.openxmlformats.org/officeDocument/2006/relationships/hyperlink" Target="imagenes/T_TAHARI_6218508_CHO_3.jpg" TargetMode="External" Id="rId13270"/><Relationship Type="http://schemas.openxmlformats.org/officeDocument/2006/relationships/hyperlink" Target="imagenes/T_TAHARI_6218508_CHO_1.jpg" TargetMode="External" Id="rId13271"/><Relationship Type="http://schemas.openxmlformats.org/officeDocument/2006/relationships/hyperlink" Target="imagenes/T_TAHARI_6218508_CHO_2.jpg" TargetMode="External" Id="rId13272"/><Relationship Type="http://schemas.openxmlformats.org/officeDocument/2006/relationships/hyperlink" Target="imagenes/T_TAHARI_6218508_CHO_3.jpg" TargetMode="External" Id="rId13273"/><Relationship Type="http://schemas.openxmlformats.org/officeDocument/2006/relationships/hyperlink" Target="imagenes/T_TAHARI_6218508_CHO_1.jpg" TargetMode="External" Id="rId13274"/><Relationship Type="http://schemas.openxmlformats.org/officeDocument/2006/relationships/hyperlink" Target="imagenes/T_TAHARI_6218508_CHO_2.jpg" TargetMode="External" Id="rId13275"/><Relationship Type="http://schemas.openxmlformats.org/officeDocument/2006/relationships/hyperlink" Target="imagenes/T_TAHARI_6218508_CHO_3.jpg" TargetMode="External" Id="rId13276"/><Relationship Type="http://schemas.openxmlformats.org/officeDocument/2006/relationships/hyperlink" Target="imagenes/T_TAHARI_6220635_BLK_2.jpg" TargetMode="External" Id="rId13277"/><Relationship Type="http://schemas.openxmlformats.org/officeDocument/2006/relationships/hyperlink" Target="imagenes/T_TAHARI_6220635_BLK_3.jpg" TargetMode="External" Id="rId13278"/><Relationship Type="http://schemas.openxmlformats.org/officeDocument/2006/relationships/hyperlink" Target="imagenes/T_TAHARI_6220635_PPW_1.jpg" TargetMode="External" Id="rId13279"/><Relationship Type="http://schemas.openxmlformats.org/officeDocument/2006/relationships/hyperlink" Target="imagenes/T_TAHARI_6220635_PPW_2.jpg" TargetMode="External" Id="rId13280"/><Relationship Type="http://schemas.openxmlformats.org/officeDocument/2006/relationships/hyperlink" Target="imagenes/T_TAHARI_6220635_PPW_3.jpg" TargetMode="External" Id="rId13281"/><Relationship Type="http://schemas.openxmlformats.org/officeDocument/2006/relationships/hyperlink" Target="imagenes/T_TAHARI_6220635_SAG_1.jpg" TargetMode="External" Id="rId13282"/><Relationship Type="http://schemas.openxmlformats.org/officeDocument/2006/relationships/hyperlink" Target="imagenes/T_TAHARI_6220635_SAG_2.jpg" TargetMode="External" Id="rId13283"/><Relationship Type="http://schemas.openxmlformats.org/officeDocument/2006/relationships/hyperlink" Target="imagenes/T_TAHARI_6220635_SAG_3.jpg" TargetMode="External" Id="rId13284"/><Relationship Type="http://schemas.openxmlformats.org/officeDocument/2006/relationships/hyperlink" Target="imagenes/T_TAHARI_6220670_BLK_1.jpg" TargetMode="External" Id="rId13285"/><Relationship Type="http://schemas.openxmlformats.org/officeDocument/2006/relationships/hyperlink" Target="imagenes/T_TAHARI_6220670_BLK_2.jpg" TargetMode="External" Id="rId13286"/><Relationship Type="http://schemas.openxmlformats.org/officeDocument/2006/relationships/hyperlink" Target="imagenes/T_TAHARI_6220670_BLK_3.jpg" TargetMode="External" Id="rId13287"/><Relationship Type="http://schemas.openxmlformats.org/officeDocument/2006/relationships/hyperlink" Target="imagenes/T_TAHARI_6220670_BLK_1.jpg" TargetMode="External" Id="rId13288"/><Relationship Type="http://schemas.openxmlformats.org/officeDocument/2006/relationships/hyperlink" Target="imagenes/T_TAHARI_6220670_BLK_2.jpg" TargetMode="External" Id="rId13289"/><Relationship Type="http://schemas.openxmlformats.org/officeDocument/2006/relationships/hyperlink" Target="imagenes/T_TAHARI_6220670_BLK_3.jpg" TargetMode="External" Id="rId13290"/><Relationship Type="http://schemas.openxmlformats.org/officeDocument/2006/relationships/hyperlink" Target="imagenes/T_TAHARI_6220670_HGY_1.jpg" TargetMode="External" Id="rId13291"/><Relationship Type="http://schemas.openxmlformats.org/officeDocument/2006/relationships/hyperlink" Target="imagenes/T_TAHARI_6220670_HGY_2.jpg" TargetMode="External" Id="rId13292"/><Relationship Type="http://schemas.openxmlformats.org/officeDocument/2006/relationships/hyperlink" Target="imagenes/T_TAHARI_6220670_HGY_3.jpg" TargetMode="External" Id="rId13293"/><Relationship Type="http://schemas.openxmlformats.org/officeDocument/2006/relationships/hyperlink" Target="imagenes/T_TAHARI_6220685_OLI_1.jpg" TargetMode="External" Id="rId13294"/><Relationship Type="http://schemas.openxmlformats.org/officeDocument/2006/relationships/hyperlink" Target="imagenes/T_TAHARI_6220685_OLI_2.jpg" TargetMode="External" Id="rId13295"/><Relationship Type="http://schemas.openxmlformats.org/officeDocument/2006/relationships/hyperlink" Target="imagenes/T_TAHARI_6220685_OLI_3.jpg" TargetMode="External" Id="rId13296"/><Relationship Type="http://schemas.openxmlformats.org/officeDocument/2006/relationships/hyperlink" Target="imagenes/T_TAHARI_6220691_BLK_1.jpg" TargetMode="External" Id="rId13297"/><Relationship Type="http://schemas.openxmlformats.org/officeDocument/2006/relationships/hyperlink" Target="imagenes/T_TAHARI_6220691_BLK_2.jpg" TargetMode="External" Id="rId13298"/><Relationship Type="http://schemas.openxmlformats.org/officeDocument/2006/relationships/hyperlink" Target="imagenes/T_TAHARI_6220691_BLK_3.jpg" TargetMode="External" Id="rId13299"/><Relationship Type="http://schemas.openxmlformats.org/officeDocument/2006/relationships/hyperlink" Target="imagenes/T_TAHARI_6220691_BLK_1.jpg" TargetMode="External" Id="rId13300"/><Relationship Type="http://schemas.openxmlformats.org/officeDocument/2006/relationships/hyperlink" Target="imagenes/T_TAHARI_6220691_BLK_2.jpg" TargetMode="External" Id="rId13301"/><Relationship Type="http://schemas.openxmlformats.org/officeDocument/2006/relationships/hyperlink" Target="imagenes/T_TAHARI_6220691_BLK_3.jpg" TargetMode="External" Id="rId13302"/><Relationship Type="http://schemas.openxmlformats.org/officeDocument/2006/relationships/hyperlink" Target="imagenes/T_TAHARI_6220691_BLK_1.jpg" TargetMode="External" Id="rId13303"/><Relationship Type="http://schemas.openxmlformats.org/officeDocument/2006/relationships/hyperlink" Target="imagenes/T_TAHARI_6220691_BLK_2.jpg" TargetMode="External" Id="rId13304"/><Relationship Type="http://schemas.openxmlformats.org/officeDocument/2006/relationships/hyperlink" Target="imagenes/T_TAHARI_6220691_BLK_3.jpg" TargetMode="External" Id="rId13305"/><Relationship Type="http://schemas.openxmlformats.org/officeDocument/2006/relationships/hyperlink" Target="imagenes/T_TAHARI_6220691_BLK_1.jpg" TargetMode="External" Id="rId13306"/><Relationship Type="http://schemas.openxmlformats.org/officeDocument/2006/relationships/hyperlink" Target="imagenes/T_TAHARI_6220691_BLK_2.jpg" TargetMode="External" Id="rId13307"/><Relationship Type="http://schemas.openxmlformats.org/officeDocument/2006/relationships/hyperlink" Target="imagenes/T_TAHARI_6220691_BLK_3.jpg" TargetMode="External" Id="rId13308"/><Relationship Type="http://schemas.openxmlformats.org/officeDocument/2006/relationships/hyperlink" Target="imagenes/T_TAHARI_6220691_RWD_1.jpg" TargetMode="External" Id="rId13309"/><Relationship Type="http://schemas.openxmlformats.org/officeDocument/2006/relationships/hyperlink" Target="imagenes/T_TAHARI_6220691_RWD_2.jpg" TargetMode="External" Id="rId13310"/><Relationship Type="http://schemas.openxmlformats.org/officeDocument/2006/relationships/hyperlink" Target="imagenes/T_TAHARI_6220691_RWD_3.jpg" TargetMode="External" Id="rId13311"/><Relationship Type="http://schemas.openxmlformats.org/officeDocument/2006/relationships/hyperlink" Target="imagenes/T_TAHARI_6220691_RWD_1.jpg" TargetMode="External" Id="rId13312"/><Relationship Type="http://schemas.openxmlformats.org/officeDocument/2006/relationships/hyperlink" Target="imagenes/T_TAHARI_6220691_RWD_2.jpg" TargetMode="External" Id="rId13313"/><Relationship Type="http://schemas.openxmlformats.org/officeDocument/2006/relationships/hyperlink" Target="imagenes/T_TAHARI_6220691_RWD_3.jpg" TargetMode="External" Id="rId13314"/><Relationship Type="http://schemas.openxmlformats.org/officeDocument/2006/relationships/hyperlink" Target="imagenes/T_TAHARI_6220691_SAG_1.jpg" TargetMode="External" Id="rId13315"/><Relationship Type="http://schemas.openxmlformats.org/officeDocument/2006/relationships/hyperlink" Target="imagenes/T_TAHARI_6220691_SAG_3.jpg" TargetMode="External" Id="rId13316"/><Relationship Type="http://schemas.openxmlformats.org/officeDocument/2006/relationships/hyperlink" Target="imagenes/T_TAHARI_6220691_SAG_1.jpg" TargetMode="External" Id="rId13317"/><Relationship Type="http://schemas.openxmlformats.org/officeDocument/2006/relationships/hyperlink" Target="imagenes/T_TAHARI_6220691_SAG_3.jpg" TargetMode="External" Id="rId13318"/><Relationship Type="http://schemas.openxmlformats.org/officeDocument/2006/relationships/hyperlink" Target="imagenes/T_TAHARI_6220691_SAG_1.jpg" TargetMode="External" Id="rId13319"/><Relationship Type="http://schemas.openxmlformats.org/officeDocument/2006/relationships/hyperlink" Target="imagenes/T_TAHARI_6220691_SAG_3.jpg" TargetMode="External" Id="rId13320"/><Relationship Type="http://schemas.openxmlformats.org/officeDocument/2006/relationships/hyperlink" Target="imagenes/T_TAHARI_6220691_SAG_1.jpg" TargetMode="External" Id="rId13321"/><Relationship Type="http://schemas.openxmlformats.org/officeDocument/2006/relationships/hyperlink" Target="imagenes/T_TAHARI_6220691_SAG_3.jpg" TargetMode="External" Id="rId13322"/><Relationship Type="http://schemas.openxmlformats.org/officeDocument/2006/relationships/hyperlink" Target="imagenes/T_TAHARI_6220691_SAG_1.jpg" TargetMode="External" Id="rId13323"/><Relationship Type="http://schemas.openxmlformats.org/officeDocument/2006/relationships/hyperlink" Target="imagenes/T_TAHARI_6220691_SAG_3.jpg" TargetMode="External" Id="rId13324"/><Relationship Type="http://schemas.openxmlformats.org/officeDocument/2006/relationships/hyperlink" Target="imagenes/T_TAHARI_6220691_SAG_1.jpg" TargetMode="External" Id="rId13325"/><Relationship Type="http://schemas.openxmlformats.org/officeDocument/2006/relationships/hyperlink" Target="imagenes/T_TAHARI_6220691_SAG_3.jpg" TargetMode="External" Id="rId13326"/><Relationship Type="http://schemas.openxmlformats.org/officeDocument/2006/relationships/hyperlink" Target="imagenes/T_TAHARI_6223606_BLK_1.jpg" TargetMode="External" Id="rId13327"/><Relationship Type="http://schemas.openxmlformats.org/officeDocument/2006/relationships/hyperlink" Target="imagenes/T_TAHARI_6223606_BLK_2.jpg" TargetMode="External" Id="rId13328"/><Relationship Type="http://schemas.openxmlformats.org/officeDocument/2006/relationships/hyperlink" Target="imagenes/T_TAHARI_6223606_BLK_3.jpg" TargetMode="External" Id="rId13329"/><Relationship Type="http://schemas.openxmlformats.org/officeDocument/2006/relationships/hyperlink" Target="imagenes/T_TAHARI_6228508_BLK_1.jpg" TargetMode="External" Id="rId13330"/><Relationship Type="http://schemas.openxmlformats.org/officeDocument/2006/relationships/hyperlink" Target="imagenes/T_TAHARI_6228508_BLK_2.jpg" TargetMode="External" Id="rId13331"/><Relationship Type="http://schemas.openxmlformats.org/officeDocument/2006/relationships/hyperlink" Target="imagenes/T_TAHARI_6228508_BLK_3.jpg" TargetMode="External" Id="rId13332"/><Relationship Type="http://schemas.openxmlformats.org/officeDocument/2006/relationships/hyperlink" Target="imagenes/T_TAHARI_6228508_BLK_1.jpg" TargetMode="External" Id="rId13333"/><Relationship Type="http://schemas.openxmlformats.org/officeDocument/2006/relationships/hyperlink" Target="imagenes/T_TAHARI_6228508_BLK_2.jpg" TargetMode="External" Id="rId13334"/><Relationship Type="http://schemas.openxmlformats.org/officeDocument/2006/relationships/hyperlink" Target="imagenes/T_TAHARI_6228508_BLK_3.jpg" TargetMode="External" Id="rId13335"/><Relationship Type="http://schemas.openxmlformats.org/officeDocument/2006/relationships/hyperlink" Target="imagenes/T_TAHARI_6228508_BLK_1.jpg" TargetMode="External" Id="rId13336"/><Relationship Type="http://schemas.openxmlformats.org/officeDocument/2006/relationships/hyperlink" Target="imagenes/T_TAHARI_6228508_BLK_2.jpg" TargetMode="External" Id="rId13337"/><Relationship Type="http://schemas.openxmlformats.org/officeDocument/2006/relationships/hyperlink" Target="imagenes/T_TAHARI_6228508_BLK_3.jpg" TargetMode="External" Id="rId13338"/><Relationship Type="http://schemas.openxmlformats.org/officeDocument/2006/relationships/hyperlink" Target="imagenes/T_TAHARI_6228508_CHO_1.jpg" TargetMode="External" Id="rId13339"/><Relationship Type="http://schemas.openxmlformats.org/officeDocument/2006/relationships/hyperlink" Target="imagenes/T_TAHARI_6228508_CHO_2.jpg" TargetMode="External" Id="rId13340"/><Relationship Type="http://schemas.openxmlformats.org/officeDocument/2006/relationships/hyperlink" Target="imagenes/T_TAHARI_6228508_CHO_3.jpg" TargetMode="External" Id="rId13341"/><Relationship Type="http://schemas.openxmlformats.org/officeDocument/2006/relationships/hyperlink" Target="imagenes/T_TAHARI_6228508_CHO_1.jpg" TargetMode="External" Id="rId13342"/><Relationship Type="http://schemas.openxmlformats.org/officeDocument/2006/relationships/hyperlink" Target="imagenes/T_TAHARI_6228508_CHO_2.jpg" TargetMode="External" Id="rId13343"/><Relationship Type="http://schemas.openxmlformats.org/officeDocument/2006/relationships/hyperlink" Target="imagenes/T_TAHARI_6228508_CHO_3.jpg" TargetMode="External" Id="rId13344"/><Relationship Type="http://schemas.openxmlformats.org/officeDocument/2006/relationships/hyperlink" Target="imagenes/T_TAHARI_6228508_CHO_1.jpg" TargetMode="External" Id="rId13345"/><Relationship Type="http://schemas.openxmlformats.org/officeDocument/2006/relationships/hyperlink" Target="imagenes/T_TAHARI_6228508_CHO_2.jpg" TargetMode="External" Id="rId13346"/><Relationship Type="http://schemas.openxmlformats.org/officeDocument/2006/relationships/hyperlink" Target="imagenes/T_TAHARI_6228508_CHO_3.jpg" TargetMode="External" Id="rId13347"/><Relationship Type="http://schemas.openxmlformats.org/officeDocument/2006/relationships/hyperlink" Target="imagenes/T_TAHARI_6228508_CHO_1.jpg" TargetMode="External" Id="rId13348"/><Relationship Type="http://schemas.openxmlformats.org/officeDocument/2006/relationships/hyperlink" Target="imagenes/T_TAHARI_6228508_CHO_2.jpg" TargetMode="External" Id="rId13349"/><Relationship Type="http://schemas.openxmlformats.org/officeDocument/2006/relationships/hyperlink" Target="imagenes/T_TAHARI_6228508_CHO_3.jpg" TargetMode="External" Id="rId13350"/><Relationship Type="http://schemas.openxmlformats.org/officeDocument/2006/relationships/hyperlink" Target="imagenes/T_TAHARI_6230635_BLK_1.jpg" TargetMode="External" Id="rId13351"/><Relationship Type="http://schemas.openxmlformats.org/officeDocument/2006/relationships/hyperlink" Target="imagenes/T_TAHARI_6230635_BLK_2.jpg" TargetMode="External" Id="rId13352"/><Relationship Type="http://schemas.openxmlformats.org/officeDocument/2006/relationships/hyperlink" Target="imagenes/T_TAHARI_6230635_BLK_3.jpg" TargetMode="External" Id="rId13353"/><Relationship Type="http://schemas.openxmlformats.org/officeDocument/2006/relationships/hyperlink" Target="imagenes/T_TAHARI_6230635_BLK_1.jpg" TargetMode="External" Id="rId13354"/><Relationship Type="http://schemas.openxmlformats.org/officeDocument/2006/relationships/hyperlink" Target="imagenes/T_TAHARI_6230635_BLK_2.jpg" TargetMode="External" Id="rId13355"/><Relationship Type="http://schemas.openxmlformats.org/officeDocument/2006/relationships/hyperlink" Target="imagenes/T_TAHARI_6230635_BLK_3.jpg" TargetMode="External" Id="rId13356"/><Relationship Type="http://schemas.openxmlformats.org/officeDocument/2006/relationships/hyperlink" Target="imagenes/T_TAHARI_6230635_BLK_1.jpg" TargetMode="External" Id="rId13357"/><Relationship Type="http://schemas.openxmlformats.org/officeDocument/2006/relationships/hyperlink" Target="imagenes/T_TAHARI_6230635_BLK_2.jpg" TargetMode="External" Id="rId13358"/><Relationship Type="http://schemas.openxmlformats.org/officeDocument/2006/relationships/hyperlink" Target="imagenes/T_TAHARI_6230635_BLK_3.jpg" TargetMode="External" Id="rId13359"/><Relationship Type="http://schemas.openxmlformats.org/officeDocument/2006/relationships/hyperlink" Target="imagenes/T_TAHARI_6230635_CAM_1.jpg" TargetMode="External" Id="rId13360"/><Relationship Type="http://schemas.openxmlformats.org/officeDocument/2006/relationships/hyperlink" Target="imagenes/T_TAHARI_6230635_CAM_2.jpg" TargetMode="External" Id="rId13361"/><Relationship Type="http://schemas.openxmlformats.org/officeDocument/2006/relationships/hyperlink" Target="imagenes/T_TAHARI_6230635_CAM_3.jpg" TargetMode="External" Id="rId13362"/><Relationship Type="http://schemas.openxmlformats.org/officeDocument/2006/relationships/hyperlink" Target="imagenes/T_TAHARI_6230635_CAM_1.jpg" TargetMode="External" Id="rId13363"/><Relationship Type="http://schemas.openxmlformats.org/officeDocument/2006/relationships/hyperlink" Target="imagenes/T_TAHARI_6230635_CAM_2.jpg" TargetMode="External" Id="rId13364"/><Relationship Type="http://schemas.openxmlformats.org/officeDocument/2006/relationships/hyperlink" Target="imagenes/T_TAHARI_6230635_CAM_3.jpg" TargetMode="External" Id="rId13365"/><Relationship Type="http://schemas.openxmlformats.org/officeDocument/2006/relationships/hyperlink" Target="imagenes/T_TAHARI_6230635_CAM_1.jpg" TargetMode="External" Id="rId13366"/><Relationship Type="http://schemas.openxmlformats.org/officeDocument/2006/relationships/hyperlink" Target="imagenes/T_TAHARI_6230635_CAM_2.jpg" TargetMode="External" Id="rId13367"/><Relationship Type="http://schemas.openxmlformats.org/officeDocument/2006/relationships/hyperlink" Target="imagenes/T_TAHARI_6230635_CAM_3.jpg" TargetMode="External" Id="rId13368"/><Relationship Type="http://schemas.openxmlformats.org/officeDocument/2006/relationships/hyperlink" Target="imagenes/T_TAHARI_6238508_BLK_1.jpg" TargetMode="External" Id="rId13369"/><Relationship Type="http://schemas.openxmlformats.org/officeDocument/2006/relationships/hyperlink" Target="imagenes/T_TAHARI_6238508_BLK_2.jpg" TargetMode="External" Id="rId13370"/><Relationship Type="http://schemas.openxmlformats.org/officeDocument/2006/relationships/hyperlink" Target="imagenes/T_TAHARI_6238508_BLK_3.jpg" TargetMode="External" Id="rId13371"/><Relationship Type="http://schemas.openxmlformats.org/officeDocument/2006/relationships/hyperlink" Target="imagenes/T_TAHARI_6238508_BLK_1.jpg" TargetMode="External" Id="rId13372"/><Relationship Type="http://schemas.openxmlformats.org/officeDocument/2006/relationships/hyperlink" Target="imagenes/T_TAHARI_6238508_BLK_2.jpg" TargetMode="External" Id="rId13373"/><Relationship Type="http://schemas.openxmlformats.org/officeDocument/2006/relationships/hyperlink" Target="imagenes/T_TAHARI_6238508_BLK_3.jpg" TargetMode="External" Id="rId13374"/><Relationship Type="http://schemas.openxmlformats.org/officeDocument/2006/relationships/hyperlink" Target="imagenes/T_TAHARI_6410685_BLK_1.jpg" TargetMode="External" Id="rId13375"/><Relationship Type="http://schemas.openxmlformats.org/officeDocument/2006/relationships/hyperlink" Target="imagenes/T_TAHARI_6410685_BLK_2.jpg" TargetMode="External" Id="rId13376"/><Relationship Type="http://schemas.openxmlformats.org/officeDocument/2006/relationships/hyperlink" Target="imagenes/T_TAHARI_6410685_BLK_3.jpg" TargetMode="External" Id="rId13377"/><Relationship Type="http://schemas.openxmlformats.org/officeDocument/2006/relationships/hyperlink" Target="imagenes/T_TAHARI_6410685_BLK_1.jpg" TargetMode="External" Id="rId13378"/><Relationship Type="http://schemas.openxmlformats.org/officeDocument/2006/relationships/hyperlink" Target="imagenes/T_TAHARI_6410685_BLK_2.jpg" TargetMode="External" Id="rId13379"/><Relationship Type="http://schemas.openxmlformats.org/officeDocument/2006/relationships/hyperlink" Target="imagenes/T_TAHARI_6410685_BLK_3.jpg" TargetMode="External" Id="rId13380"/><Relationship Type="http://schemas.openxmlformats.org/officeDocument/2006/relationships/hyperlink" Target="imagenes/T_TAHARI_6410685_BLK_1.jpg" TargetMode="External" Id="rId13381"/><Relationship Type="http://schemas.openxmlformats.org/officeDocument/2006/relationships/hyperlink" Target="imagenes/T_TAHARI_6410685_BLK_2.jpg" TargetMode="External" Id="rId13382"/><Relationship Type="http://schemas.openxmlformats.org/officeDocument/2006/relationships/hyperlink" Target="imagenes/T_TAHARI_6410685_BLK_3.jpg" TargetMode="External" Id="rId13383"/><Relationship Type="http://schemas.openxmlformats.org/officeDocument/2006/relationships/hyperlink" Target="imagenes/T_TAHARI_6410685_BLK_1.jpg" TargetMode="External" Id="rId13384"/><Relationship Type="http://schemas.openxmlformats.org/officeDocument/2006/relationships/hyperlink" Target="imagenes/T_TAHARI_6410685_BLK_2.jpg" TargetMode="External" Id="rId13385"/><Relationship Type="http://schemas.openxmlformats.org/officeDocument/2006/relationships/hyperlink" Target="imagenes/T_TAHARI_6410685_BLK_3.jpg" TargetMode="External" Id="rId13386"/><Relationship Type="http://schemas.openxmlformats.org/officeDocument/2006/relationships/hyperlink" Target="imagenes/T_TAHARI_6410685_BLK_1.jpg" TargetMode="External" Id="rId13387"/><Relationship Type="http://schemas.openxmlformats.org/officeDocument/2006/relationships/hyperlink" Target="imagenes/T_TAHARI_6410685_BLK_2.jpg" TargetMode="External" Id="rId13388"/><Relationship Type="http://schemas.openxmlformats.org/officeDocument/2006/relationships/hyperlink" Target="imagenes/T_TAHARI_6410685_BLK_3.jpg" TargetMode="External" Id="rId13389"/><Relationship Type="http://schemas.openxmlformats.org/officeDocument/2006/relationships/hyperlink" Target="imagenes/T_TAHARI_6410685_BLK_1.jpg" TargetMode="External" Id="rId13390"/><Relationship Type="http://schemas.openxmlformats.org/officeDocument/2006/relationships/hyperlink" Target="imagenes/T_TAHARI_6410685_BLK_2.jpg" TargetMode="External" Id="rId13391"/><Relationship Type="http://schemas.openxmlformats.org/officeDocument/2006/relationships/hyperlink" Target="imagenes/T_TAHARI_6410685_BLK_3.jpg" TargetMode="External" Id="rId13392"/><Relationship Type="http://schemas.openxmlformats.org/officeDocument/2006/relationships/hyperlink" Target="imagenes/T_TAHARI_6410685_OLI_1.jpg" TargetMode="External" Id="rId13393"/><Relationship Type="http://schemas.openxmlformats.org/officeDocument/2006/relationships/hyperlink" Target="imagenes/T_TAHARI_6410685_OLI_2.jpg" TargetMode="External" Id="rId13394"/><Relationship Type="http://schemas.openxmlformats.org/officeDocument/2006/relationships/hyperlink" Target="imagenes/T_TAHARI_6410685_OLI_3.jpg" TargetMode="External" Id="rId13395"/><Relationship Type="http://schemas.openxmlformats.org/officeDocument/2006/relationships/hyperlink" Target="imagenes/T_TAHARI_6410685_OLI_1.jpg" TargetMode="External" Id="rId13396"/><Relationship Type="http://schemas.openxmlformats.org/officeDocument/2006/relationships/hyperlink" Target="imagenes/T_TAHARI_6410685_OLI_2.jpg" TargetMode="External" Id="rId13397"/><Relationship Type="http://schemas.openxmlformats.org/officeDocument/2006/relationships/hyperlink" Target="imagenes/T_TAHARI_6410685_OLI_3.jpg" TargetMode="External" Id="rId13398"/><Relationship Type="http://schemas.openxmlformats.org/officeDocument/2006/relationships/hyperlink" Target="imagenes/T_TAHARI_6410685_OLI_1.jpg" TargetMode="External" Id="rId13399"/><Relationship Type="http://schemas.openxmlformats.org/officeDocument/2006/relationships/hyperlink" Target="imagenes/T_TAHARI_6410685_OLI_2.jpg" TargetMode="External" Id="rId13400"/><Relationship Type="http://schemas.openxmlformats.org/officeDocument/2006/relationships/hyperlink" Target="imagenes/T_TAHARI_6410685_OLI_3.jpg" TargetMode="External" Id="rId13401"/><Relationship Type="http://schemas.openxmlformats.org/officeDocument/2006/relationships/hyperlink" Target="imagenes/T_TAHARI_6410685_OLI_1.jpg" TargetMode="External" Id="rId13402"/><Relationship Type="http://schemas.openxmlformats.org/officeDocument/2006/relationships/hyperlink" Target="imagenes/T_TAHARI_6410685_OLI_2.jpg" TargetMode="External" Id="rId13403"/><Relationship Type="http://schemas.openxmlformats.org/officeDocument/2006/relationships/hyperlink" Target="imagenes/T_TAHARI_6410685_OLI_3.jpg" TargetMode="External" Id="rId13404"/><Relationship Type="http://schemas.openxmlformats.org/officeDocument/2006/relationships/hyperlink" Target="imagenes/T_TAHARI_6410685_OLI_1.jpg" TargetMode="External" Id="rId13405"/><Relationship Type="http://schemas.openxmlformats.org/officeDocument/2006/relationships/hyperlink" Target="imagenes/T_TAHARI_6410685_OLI_2.jpg" TargetMode="External" Id="rId13406"/><Relationship Type="http://schemas.openxmlformats.org/officeDocument/2006/relationships/hyperlink" Target="imagenes/T_TAHARI_6410685_OLI_3.jpg" TargetMode="External" Id="rId13407"/><Relationship Type="http://schemas.openxmlformats.org/officeDocument/2006/relationships/hyperlink" Target="imagenes/T_TAHARI_6416089_BWH_1.jpg" TargetMode="External" Id="rId13408"/><Relationship Type="http://schemas.openxmlformats.org/officeDocument/2006/relationships/hyperlink" Target="imagenes/T_TAHARI_6416089_BWH_2.jpg" TargetMode="External" Id="rId13409"/><Relationship Type="http://schemas.openxmlformats.org/officeDocument/2006/relationships/hyperlink" Target="imagenes/T_TAHARI_6416089_BWH_3.jpg" TargetMode="External" Id="rId13410"/><Relationship Type="http://schemas.openxmlformats.org/officeDocument/2006/relationships/hyperlink" Target="imagenes/T_TAHARI_6416089_BWH_1.jpg" TargetMode="External" Id="rId13411"/><Relationship Type="http://schemas.openxmlformats.org/officeDocument/2006/relationships/hyperlink" Target="imagenes/T_TAHARI_6416089_BWH_2.jpg" TargetMode="External" Id="rId13412"/><Relationship Type="http://schemas.openxmlformats.org/officeDocument/2006/relationships/hyperlink" Target="imagenes/T_TAHARI_6416089_BWH_3.jpg" TargetMode="External" Id="rId13413"/><Relationship Type="http://schemas.openxmlformats.org/officeDocument/2006/relationships/hyperlink" Target="imagenes/T_TAHARI_6416089_BWH_1.jpg" TargetMode="External" Id="rId13414"/><Relationship Type="http://schemas.openxmlformats.org/officeDocument/2006/relationships/hyperlink" Target="imagenes/T_TAHARI_6416089_BWH_2.jpg" TargetMode="External" Id="rId13415"/><Relationship Type="http://schemas.openxmlformats.org/officeDocument/2006/relationships/hyperlink" Target="imagenes/T_TAHARI_6416089_BWH_3.jpg" TargetMode="External" Id="rId13416"/><Relationship Type="http://schemas.openxmlformats.org/officeDocument/2006/relationships/hyperlink" Target="imagenes/T_TAHARI_6420125_MOT_1.jpg" TargetMode="External" Id="rId13417"/><Relationship Type="http://schemas.openxmlformats.org/officeDocument/2006/relationships/hyperlink" Target="imagenes/T_TAHARI_6420125_MOT_2.jpg" TargetMode="External" Id="rId13418"/><Relationship Type="http://schemas.openxmlformats.org/officeDocument/2006/relationships/hyperlink" Target="imagenes/T_TAHARI_6420125_MOT_3.jpg" TargetMode="External" Id="rId13419"/><Relationship Type="http://schemas.openxmlformats.org/officeDocument/2006/relationships/hyperlink" Target="imagenes/T_TAHARI_6420125_MOT_1.jpg" TargetMode="External" Id="rId13420"/><Relationship Type="http://schemas.openxmlformats.org/officeDocument/2006/relationships/hyperlink" Target="imagenes/T_TAHARI_6420125_MOT_2.jpg" TargetMode="External" Id="rId13421"/><Relationship Type="http://schemas.openxmlformats.org/officeDocument/2006/relationships/hyperlink" Target="imagenes/T_TAHARI_6420125_MOT_3.jpg" TargetMode="External" Id="rId13422"/><Relationship Type="http://schemas.openxmlformats.org/officeDocument/2006/relationships/hyperlink" Target="imagenes/T_TAHARI_6420125_MOT_1.jpg" TargetMode="External" Id="rId13423"/><Relationship Type="http://schemas.openxmlformats.org/officeDocument/2006/relationships/hyperlink" Target="imagenes/T_TAHARI_6420125_MOT_2.jpg" TargetMode="External" Id="rId13424"/><Relationship Type="http://schemas.openxmlformats.org/officeDocument/2006/relationships/hyperlink" Target="imagenes/T_TAHARI_6420125_MOT_3.jpg" TargetMode="External" Id="rId13425"/><Relationship Type="http://schemas.openxmlformats.org/officeDocument/2006/relationships/hyperlink" Target="imagenes/T_TAHARI_6420606_CHR_1.jpg" TargetMode="External" Id="rId13426"/><Relationship Type="http://schemas.openxmlformats.org/officeDocument/2006/relationships/hyperlink" Target="imagenes/T_TAHARI_6420606_CHR_2.jpg" TargetMode="External" Id="rId13427"/><Relationship Type="http://schemas.openxmlformats.org/officeDocument/2006/relationships/hyperlink" Target="imagenes/T_TAHARI_6420606_CHR_3.jpg" TargetMode="External" Id="rId13428"/><Relationship Type="http://schemas.openxmlformats.org/officeDocument/2006/relationships/hyperlink" Target="imagenes/T_TAHARI_6420612_NVY_1.jpg" TargetMode="External" Id="rId13429"/><Relationship Type="http://schemas.openxmlformats.org/officeDocument/2006/relationships/hyperlink" Target="imagenes/T_TAHARI_6420612_NVY_2.jpg" TargetMode="External" Id="rId13430"/><Relationship Type="http://schemas.openxmlformats.org/officeDocument/2006/relationships/hyperlink" Target="imagenes/T_TAHARI_6420612_NVY_3.jpg" TargetMode="External" Id="rId13431"/><Relationship Type="http://schemas.openxmlformats.org/officeDocument/2006/relationships/hyperlink" Target="imagenes/T_TAHARI_6420635_ASH_1.jpg" TargetMode="External" Id="rId13432"/><Relationship Type="http://schemas.openxmlformats.org/officeDocument/2006/relationships/hyperlink" Target="imagenes/T_TAHARI_6420635_ASH_2.jpg" TargetMode="External" Id="rId13433"/><Relationship Type="http://schemas.openxmlformats.org/officeDocument/2006/relationships/hyperlink" Target="imagenes/T_TAHARI_6420635_ASH_3.jpg" TargetMode="External" Id="rId13434"/><Relationship Type="http://schemas.openxmlformats.org/officeDocument/2006/relationships/hyperlink" Target="imagenes/T_TAHARI_6420635_ASH_1.jpg" TargetMode="External" Id="rId13435"/><Relationship Type="http://schemas.openxmlformats.org/officeDocument/2006/relationships/hyperlink" Target="imagenes/T_TAHARI_6420635_ASH_2.jpg" TargetMode="External" Id="rId13436"/><Relationship Type="http://schemas.openxmlformats.org/officeDocument/2006/relationships/hyperlink" Target="imagenes/T_TAHARI_6420635_ASH_3.jpg" TargetMode="External" Id="rId13437"/><Relationship Type="http://schemas.openxmlformats.org/officeDocument/2006/relationships/hyperlink" Target="imagenes/T_TAHARI_6420635_PBU_1.jpg" TargetMode="External" Id="rId13438"/><Relationship Type="http://schemas.openxmlformats.org/officeDocument/2006/relationships/hyperlink" Target="imagenes/T_TAHARI_6420635_PBU_2.jpg" TargetMode="External" Id="rId13439"/><Relationship Type="http://schemas.openxmlformats.org/officeDocument/2006/relationships/hyperlink" Target="imagenes/T_TAHARI_6420635_PBU_3.jpg" TargetMode="External" Id="rId13440"/><Relationship Type="http://schemas.openxmlformats.org/officeDocument/2006/relationships/hyperlink" Target="imagenes/T_TAHARI_6420640_CAM_1.jpg" TargetMode="External" Id="rId13441"/><Relationship Type="http://schemas.openxmlformats.org/officeDocument/2006/relationships/hyperlink" Target="imagenes/T_TAHARI_6420640_CAM_2.jpg" TargetMode="External" Id="rId13442"/><Relationship Type="http://schemas.openxmlformats.org/officeDocument/2006/relationships/hyperlink" Target="imagenes/T_TAHARI_6420640_CAM_3.jpg" TargetMode="External" Id="rId13443"/><Relationship Type="http://schemas.openxmlformats.org/officeDocument/2006/relationships/hyperlink" Target="imagenes/T_TAHARI_6420640_CAM_1.jpg" TargetMode="External" Id="rId13444"/><Relationship Type="http://schemas.openxmlformats.org/officeDocument/2006/relationships/hyperlink" Target="imagenes/T_TAHARI_6420640_CAM_2.jpg" TargetMode="External" Id="rId13445"/><Relationship Type="http://schemas.openxmlformats.org/officeDocument/2006/relationships/hyperlink" Target="imagenes/T_TAHARI_6420640_CAM_3.jpg" TargetMode="External" Id="rId13446"/><Relationship Type="http://schemas.openxmlformats.org/officeDocument/2006/relationships/hyperlink" Target="imagenes/T_TAHARI_6420640_MNK_1.jpg" TargetMode="External" Id="rId13447"/><Relationship Type="http://schemas.openxmlformats.org/officeDocument/2006/relationships/hyperlink" Target="imagenes/T_TAHARI_6420640_MNK_2.jpg" TargetMode="External" Id="rId13448"/><Relationship Type="http://schemas.openxmlformats.org/officeDocument/2006/relationships/hyperlink" Target="imagenes/T_TAHARI_6420640_MNK_3.jpg" TargetMode="External" Id="rId13449"/><Relationship Type="http://schemas.openxmlformats.org/officeDocument/2006/relationships/hyperlink" Target="imagenes/T_TAHARI_6420640_MNK_1.jpg" TargetMode="External" Id="rId13450"/><Relationship Type="http://schemas.openxmlformats.org/officeDocument/2006/relationships/hyperlink" Target="imagenes/T_TAHARI_6420640_MNK_2.jpg" TargetMode="External" Id="rId13451"/><Relationship Type="http://schemas.openxmlformats.org/officeDocument/2006/relationships/hyperlink" Target="imagenes/T_TAHARI_6420640_MNK_3.jpg" TargetMode="External" Id="rId13452"/><Relationship Type="http://schemas.openxmlformats.org/officeDocument/2006/relationships/hyperlink" Target="imagenes/T_TAHARI_6420640_MNK_1.jpg" TargetMode="External" Id="rId13453"/><Relationship Type="http://schemas.openxmlformats.org/officeDocument/2006/relationships/hyperlink" Target="imagenes/T_TAHARI_6420640_MNK_2.jpg" TargetMode="External" Id="rId13454"/><Relationship Type="http://schemas.openxmlformats.org/officeDocument/2006/relationships/hyperlink" Target="imagenes/T_TAHARI_6420640_MNK_3.jpg" TargetMode="External" Id="rId13455"/><Relationship Type="http://schemas.openxmlformats.org/officeDocument/2006/relationships/hyperlink" Target="imagenes/T_TAHARI_6420640_MNK_1.jpg" TargetMode="External" Id="rId13456"/><Relationship Type="http://schemas.openxmlformats.org/officeDocument/2006/relationships/hyperlink" Target="imagenes/T_TAHARI_6420640_MNK_2.jpg" TargetMode="External" Id="rId13457"/><Relationship Type="http://schemas.openxmlformats.org/officeDocument/2006/relationships/hyperlink" Target="imagenes/T_TAHARI_6420640_MNK_3.jpg" TargetMode="External" Id="rId13458"/><Relationship Type="http://schemas.openxmlformats.org/officeDocument/2006/relationships/hyperlink" Target="imagenes/T_TAHARI_6420640_MNK_1.jpg" TargetMode="External" Id="rId13459"/><Relationship Type="http://schemas.openxmlformats.org/officeDocument/2006/relationships/hyperlink" Target="imagenes/T_TAHARI_6420640_MNK_2.jpg" TargetMode="External" Id="rId13460"/><Relationship Type="http://schemas.openxmlformats.org/officeDocument/2006/relationships/hyperlink" Target="imagenes/T_TAHARI_6420640_MNK_3.jpg" TargetMode="External" Id="rId13461"/><Relationship Type="http://schemas.openxmlformats.org/officeDocument/2006/relationships/hyperlink" Target="imagenes/T_TAHARI_6420640_MNK_1.jpg" TargetMode="External" Id="rId13462"/><Relationship Type="http://schemas.openxmlformats.org/officeDocument/2006/relationships/hyperlink" Target="imagenes/T_TAHARI_6420640_MNK_2.jpg" TargetMode="External" Id="rId13463"/><Relationship Type="http://schemas.openxmlformats.org/officeDocument/2006/relationships/hyperlink" Target="imagenes/T_TAHARI_6420640_MNK_3.jpg" TargetMode="External" Id="rId13464"/><Relationship Type="http://schemas.openxmlformats.org/officeDocument/2006/relationships/hyperlink" Target="imagenes/T_TAHARI_6420640_MNK_1.jpg" TargetMode="External" Id="rId13465"/><Relationship Type="http://schemas.openxmlformats.org/officeDocument/2006/relationships/hyperlink" Target="imagenes/T_TAHARI_6420640_MNK_2.jpg" TargetMode="External" Id="rId13466"/><Relationship Type="http://schemas.openxmlformats.org/officeDocument/2006/relationships/hyperlink" Target="imagenes/T_TAHARI_6420640_MNK_3.jpg" TargetMode="External" Id="rId13467"/><Relationship Type="http://schemas.openxmlformats.org/officeDocument/2006/relationships/hyperlink" Target="imagenes/T_TAHARI_6420640_MNK_1.jpg" TargetMode="External" Id="rId13468"/><Relationship Type="http://schemas.openxmlformats.org/officeDocument/2006/relationships/hyperlink" Target="imagenes/T_TAHARI_6420640_MNK_2.jpg" TargetMode="External" Id="rId13469"/><Relationship Type="http://schemas.openxmlformats.org/officeDocument/2006/relationships/hyperlink" Target="imagenes/T_TAHARI_6420640_MNK_3.jpg" TargetMode="External" Id="rId13470"/><Relationship Type="http://schemas.openxmlformats.org/officeDocument/2006/relationships/hyperlink" Target="imagenes/T_TAHARI_6420640_MNK_1.jpg" TargetMode="External" Id="rId13471"/><Relationship Type="http://schemas.openxmlformats.org/officeDocument/2006/relationships/hyperlink" Target="imagenes/T_TAHARI_6420640_MNK_2.jpg" TargetMode="External" Id="rId13472"/><Relationship Type="http://schemas.openxmlformats.org/officeDocument/2006/relationships/hyperlink" Target="imagenes/T_TAHARI_6420640_MNK_3.jpg" TargetMode="External" Id="rId13473"/><Relationship Type="http://schemas.openxmlformats.org/officeDocument/2006/relationships/hyperlink" Target="imagenes/T_TAHARI_6420640_PBU_1.jpg" TargetMode="External" Id="rId13474"/><Relationship Type="http://schemas.openxmlformats.org/officeDocument/2006/relationships/hyperlink" Target="imagenes/T_TAHARI_6420640_PBU_2.jpg" TargetMode="External" Id="rId13475"/><Relationship Type="http://schemas.openxmlformats.org/officeDocument/2006/relationships/hyperlink" Target="imagenes/T_TAHARI_6420640_PBU_3.jpg" TargetMode="External" Id="rId13476"/><Relationship Type="http://schemas.openxmlformats.org/officeDocument/2006/relationships/hyperlink" Target="imagenes/T_TAHARI_6420640_PBU_1.jpg" TargetMode="External" Id="rId13477"/><Relationship Type="http://schemas.openxmlformats.org/officeDocument/2006/relationships/hyperlink" Target="imagenes/T_TAHARI_6420640_PBU_2.jpg" TargetMode="External" Id="rId13478"/><Relationship Type="http://schemas.openxmlformats.org/officeDocument/2006/relationships/hyperlink" Target="imagenes/T_TAHARI_6420640_PBU_3.jpg" TargetMode="External" Id="rId13479"/><Relationship Type="http://schemas.openxmlformats.org/officeDocument/2006/relationships/hyperlink" Target="imagenes/T_TAHARI_6420640_PBU_1.jpg" TargetMode="External" Id="rId13480"/><Relationship Type="http://schemas.openxmlformats.org/officeDocument/2006/relationships/hyperlink" Target="imagenes/T_TAHARI_6420640_PBU_2.jpg" TargetMode="External" Id="rId13481"/><Relationship Type="http://schemas.openxmlformats.org/officeDocument/2006/relationships/hyperlink" Target="imagenes/T_TAHARI_6420640_PBU_3.jpg" TargetMode="External" Id="rId13482"/><Relationship Type="http://schemas.openxmlformats.org/officeDocument/2006/relationships/hyperlink" Target="imagenes/T_TAHARI_6420640_PBU_1.jpg" TargetMode="External" Id="rId13483"/><Relationship Type="http://schemas.openxmlformats.org/officeDocument/2006/relationships/hyperlink" Target="imagenes/T_TAHARI_6420640_PBU_2.jpg" TargetMode="External" Id="rId13484"/><Relationship Type="http://schemas.openxmlformats.org/officeDocument/2006/relationships/hyperlink" Target="imagenes/T_TAHARI_6420640_PBU_3.jpg" TargetMode="External" Id="rId13485"/><Relationship Type="http://schemas.openxmlformats.org/officeDocument/2006/relationships/hyperlink" Target="imagenes/T_TAHARI_6420658_BLK_1.jpg" TargetMode="External" Id="rId13486"/><Relationship Type="http://schemas.openxmlformats.org/officeDocument/2006/relationships/hyperlink" Target="imagenes/T_TAHARI_6420658_BLK_2.jpg" TargetMode="External" Id="rId13487"/><Relationship Type="http://schemas.openxmlformats.org/officeDocument/2006/relationships/hyperlink" Target="imagenes/T_TAHARI_6420658_BLK_3.jpg" TargetMode="External" Id="rId13488"/><Relationship Type="http://schemas.openxmlformats.org/officeDocument/2006/relationships/hyperlink" Target="imagenes/T_TAHARI_6420658_BLK_1.jpg" TargetMode="External" Id="rId13489"/><Relationship Type="http://schemas.openxmlformats.org/officeDocument/2006/relationships/hyperlink" Target="imagenes/T_TAHARI_6420658_BLK_2.jpg" TargetMode="External" Id="rId13490"/><Relationship Type="http://schemas.openxmlformats.org/officeDocument/2006/relationships/hyperlink" Target="imagenes/T_TAHARI_6420658_BLK_3.jpg" TargetMode="External" Id="rId13491"/><Relationship Type="http://schemas.openxmlformats.org/officeDocument/2006/relationships/hyperlink" Target="imagenes/T_TAHARI_6420685_LBE_1.jpg" TargetMode="External" Id="rId13492"/><Relationship Type="http://schemas.openxmlformats.org/officeDocument/2006/relationships/hyperlink" Target="imagenes/T_TAHARI_6420685_LBE_2.jpg" TargetMode="External" Id="rId13493"/><Relationship Type="http://schemas.openxmlformats.org/officeDocument/2006/relationships/hyperlink" Target="imagenes/T_TAHARI_6420685_LBE_3.jpg" TargetMode="External" Id="rId13494"/><Relationship Type="http://schemas.openxmlformats.org/officeDocument/2006/relationships/hyperlink" Target="imagenes/T_TAHARI_6420685_LBE_1.jpg" TargetMode="External" Id="rId13495"/><Relationship Type="http://schemas.openxmlformats.org/officeDocument/2006/relationships/hyperlink" Target="imagenes/T_TAHARI_6420685_LBE_2.jpg" TargetMode="External" Id="rId13496"/><Relationship Type="http://schemas.openxmlformats.org/officeDocument/2006/relationships/hyperlink" Target="imagenes/T_TAHARI_6420685_LBE_3.jpg" TargetMode="External" Id="rId13497"/><Relationship Type="http://schemas.openxmlformats.org/officeDocument/2006/relationships/hyperlink" Target="imagenes/T_TAHARI_6421006_BLK_1.jpg" TargetMode="External" Id="rId13498"/><Relationship Type="http://schemas.openxmlformats.org/officeDocument/2006/relationships/hyperlink" Target="imagenes/T_TAHARI_6421006_BLK_2.jpg" TargetMode="External" Id="rId13499"/><Relationship Type="http://schemas.openxmlformats.org/officeDocument/2006/relationships/hyperlink" Target="imagenes/T_TAHARI_6421006_BLK_3.jpg" TargetMode="External" Id="rId13500"/><Relationship Type="http://schemas.openxmlformats.org/officeDocument/2006/relationships/hyperlink" Target="imagenes/T_TAHARI_6421006_BLK_1.jpg" TargetMode="External" Id="rId13501"/><Relationship Type="http://schemas.openxmlformats.org/officeDocument/2006/relationships/hyperlink" Target="imagenes/T_TAHARI_6421006_BLK_2.jpg" TargetMode="External" Id="rId13502"/><Relationship Type="http://schemas.openxmlformats.org/officeDocument/2006/relationships/hyperlink" Target="imagenes/T_TAHARI_6421006_BLK_3.jpg" TargetMode="External" Id="rId13503"/><Relationship Type="http://schemas.openxmlformats.org/officeDocument/2006/relationships/hyperlink" Target="imagenes/T_TAHARI_6421006_GXY_1.jpg" TargetMode="External" Id="rId13504"/><Relationship Type="http://schemas.openxmlformats.org/officeDocument/2006/relationships/hyperlink" Target="imagenes/T_TAHARI_6421006_GXY_2.jpg" TargetMode="External" Id="rId13505"/><Relationship Type="http://schemas.openxmlformats.org/officeDocument/2006/relationships/hyperlink" Target="imagenes/T_TAHARI_6421006_GXY_3.jpg" TargetMode="External" Id="rId13506"/><Relationship Type="http://schemas.openxmlformats.org/officeDocument/2006/relationships/hyperlink" Target="imagenes/T_TAHARI_6421006_GXY_1.jpg" TargetMode="External" Id="rId13507"/><Relationship Type="http://schemas.openxmlformats.org/officeDocument/2006/relationships/hyperlink" Target="imagenes/T_TAHARI_6421006_GXY_2.jpg" TargetMode="External" Id="rId13508"/><Relationship Type="http://schemas.openxmlformats.org/officeDocument/2006/relationships/hyperlink" Target="imagenes/T_TAHARI_6421006_GXY_3.jpg" TargetMode="External" Id="rId13509"/><Relationship Type="http://schemas.openxmlformats.org/officeDocument/2006/relationships/hyperlink" Target="imagenes/T_TAHARI_6421006_GXY_1.jpg" TargetMode="External" Id="rId13510"/><Relationship Type="http://schemas.openxmlformats.org/officeDocument/2006/relationships/hyperlink" Target="imagenes/T_TAHARI_6421006_GXY_2.jpg" TargetMode="External" Id="rId13511"/><Relationship Type="http://schemas.openxmlformats.org/officeDocument/2006/relationships/hyperlink" Target="imagenes/T_TAHARI_6421006_GXY_3.jpg" TargetMode="External" Id="rId13512"/><Relationship Type="http://schemas.openxmlformats.org/officeDocument/2006/relationships/hyperlink" Target="imagenes/T_TAHARI_6421006_PA4_1.jpg" TargetMode="External" Id="rId13513"/><Relationship Type="http://schemas.openxmlformats.org/officeDocument/2006/relationships/hyperlink" Target="imagenes/T_TAHARI_6421006_PA4_2.jpg" TargetMode="External" Id="rId13514"/><Relationship Type="http://schemas.openxmlformats.org/officeDocument/2006/relationships/hyperlink" Target="imagenes/T_TAHARI_6421006_PA4_3.jpg" TargetMode="External" Id="rId13515"/><Relationship Type="http://schemas.openxmlformats.org/officeDocument/2006/relationships/hyperlink" Target="imagenes/T_TAHARI_6428514_BLK_1.jpg" TargetMode="External" Id="rId13516"/><Relationship Type="http://schemas.openxmlformats.org/officeDocument/2006/relationships/hyperlink" Target="imagenes/T_TAHARI_6428514_BLK_2.jpg" TargetMode="External" Id="rId13517"/><Relationship Type="http://schemas.openxmlformats.org/officeDocument/2006/relationships/hyperlink" Target="imagenes/T_TAHARI_6428514_BLK_3.jpg" TargetMode="External" Id="rId13518"/><Relationship Type="http://schemas.openxmlformats.org/officeDocument/2006/relationships/hyperlink" Target="imagenes/T_TAHARI_6428514_BLK_1.jpg" TargetMode="External" Id="rId13519"/><Relationship Type="http://schemas.openxmlformats.org/officeDocument/2006/relationships/hyperlink" Target="imagenes/T_TAHARI_6428514_BLK_2.jpg" TargetMode="External" Id="rId13520"/><Relationship Type="http://schemas.openxmlformats.org/officeDocument/2006/relationships/hyperlink" Target="imagenes/T_TAHARI_6428514_BLK_3.jpg" TargetMode="External" Id="rId13521"/><Relationship Type="http://schemas.openxmlformats.org/officeDocument/2006/relationships/hyperlink" Target="imagenes/T_TAHARI_6428514_BLK_1.jpg" TargetMode="External" Id="rId13522"/><Relationship Type="http://schemas.openxmlformats.org/officeDocument/2006/relationships/hyperlink" Target="imagenes/T_TAHARI_6428514_BLK_2.jpg" TargetMode="External" Id="rId13523"/><Relationship Type="http://schemas.openxmlformats.org/officeDocument/2006/relationships/hyperlink" Target="imagenes/T_TAHARI_6428514_BLK_3.jpg" TargetMode="External" Id="rId13524"/><Relationship Type="http://schemas.openxmlformats.org/officeDocument/2006/relationships/hyperlink" Target="imagenes/T_TAHARI_6428514_BLK_1.jpg" TargetMode="External" Id="rId13525"/><Relationship Type="http://schemas.openxmlformats.org/officeDocument/2006/relationships/hyperlink" Target="imagenes/T_TAHARI_6428514_BLK_2.jpg" TargetMode="External" Id="rId13526"/><Relationship Type="http://schemas.openxmlformats.org/officeDocument/2006/relationships/hyperlink" Target="imagenes/T_TAHARI_6428514_BLK_3.jpg" TargetMode="External" Id="rId13527"/><Relationship Type="http://schemas.openxmlformats.org/officeDocument/2006/relationships/hyperlink" Target="imagenes/T_TAHARI_6428514_BLK_1.jpg" TargetMode="External" Id="rId13528"/><Relationship Type="http://schemas.openxmlformats.org/officeDocument/2006/relationships/hyperlink" Target="imagenes/T_TAHARI_6428514_BLK_2.jpg" TargetMode="External" Id="rId13529"/><Relationship Type="http://schemas.openxmlformats.org/officeDocument/2006/relationships/hyperlink" Target="imagenes/T_TAHARI_6428514_BLK_3.jpg" TargetMode="External" Id="rId13530"/><Relationship Type="http://schemas.openxmlformats.org/officeDocument/2006/relationships/hyperlink" Target="imagenes/T_TAHARI_6428514_BLK_1.jpg" TargetMode="External" Id="rId13531"/><Relationship Type="http://schemas.openxmlformats.org/officeDocument/2006/relationships/hyperlink" Target="imagenes/T_TAHARI_6428514_BLK_2.jpg" TargetMode="External" Id="rId13532"/><Relationship Type="http://schemas.openxmlformats.org/officeDocument/2006/relationships/hyperlink" Target="imagenes/T_TAHARI_6428514_BLK_3.jpg" TargetMode="External" Id="rId13533"/><Relationship Type="http://schemas.openxmlformats.org/officeDocument/2006/relationships/hyperlink" Target="imagenes/T_TAHARI_6428514_BLK_1.jpg" TargetMode="External" Id="rId13534"/><Relationship Type="http://schemas.openxmlformats.org/officeDocument/2006/relationships/hyperlink" Target="imagenes/T_TAHARI_6428514_BLK_2.jpg" TargetMode="External" Id="rId13535"/><Relationship Type="http://schemas.openxmlformats.org/officeDocument/2006/relationships/hyperlink" Target="imagenes/T_TAHARI_6428514_BLK_3.jpg" TargetMode="External" Id="rId13536"/><Relationship Type="http://schemas.openxmlformats.org/officeDocument/2006/relationships/hyperlink" Target="imagenes/T_TAHARI_6430635_BLK_2.jpg" TargetMode="External" Id="rId13537"/><Relationship Type="http://schemas.openxmlformats.org/officeDocument/2006/relationships/hyperlink" Target="imagenes/T_TAHARI_6430635_BLK_3.jpg" TargetMode="External" Id="rId13538"/><Relationship Type="http://schemas.openxmlformats.org/officeDocument/2006/relationships/hyperlink" Target="imagenes/T_TAHARI_6430635_SAG_1.jpg" TargetMode="External" Id="rId13539"/><Relationship Type="http://schemas.openxmlformats.org/officeDocument/2006/relationships/hyperlink" Target="imagenes/T_TAHARI_6430635_SAG_2.jpg" TargetMode="External" Id="rId13540"/><Relationship Type="http://schemas.openxmlformats.org/officeDocument/2006/relationships/hyperlink" Target="imagenes/T_TAHARI_6430635_SAG_3.jpg" TargetMode="External" Id="rId13541"/><Relationship Type="http://schemas.openxmlformats.org/officeDocument/2006/relationships/hyperlink" Target="imagenes/T_TAHARI_6430635_SAG_1.jpg" TargetMode="External" Id="rId13542"/><Relationship Type="http://schemas.openxmlformats.org/officeDocument/2006/relationships/hyperlink" Target="imagenes/T_TAHARI_6430635_SAG_2.jpg" TargetMode="External" Id="rId13543"/><Relationship Type="http://schemas.openxmlformats.org/officeDocument/2006/relationships/hyperlink" Target="imagenes/T_TAHARI_6430635_SAG_3.jpg" TargetMode="External" Id="rId13544"/><Relationship Type="http://schemas.openxmlformats.org/officeDocument/2006/relationships/hyperlink" Target="imagenes/T_TAHARI_6430685_BLK_2.jpg" TargetMode="External" Id="rId13545"/><Relationship Type="http://schemas.openxmlformats.org/officeDocument/2006/relationships/hyperlink" Target="imagenes/T_TAHARI_6430685_BLK_3.jpg" TargetMode="External" Id="rId13546"/><Relationship Type="http://schemas.openxmlformats.org/officeDocument/2006/relationships/hyperlink" Target="imagenes/T_TAHARI_6430685_BLK_2.jpg" TargetMode="External" Id="rId13547"/><Relationship Type="http://schemas.openxmlformats.org/officeDocument/2006/relationships/hyperlink" Target="imagenes/T_TAHARI_6430685_BLK_3.jpg" TargetMode="External" Id="rId13548"/><Relationship Type="http://schemas.openxmlformats.org/officeDocument/2006/relationships/hyperlink" Target="imagenes/T_TAHARI_6430685_CAR_2.jpg" TargetMode="External" Id="rId13549"/><Relationship Type="http://schemas.openxmlformats.org/officeDocument/2006/relationships/hyperlink" Target="imagenes/T_TAHARI_6430685_CAR_3.jpg" TargetMode="External" Id="rId13550"/><Relationship Type="http://schemas.openxmlformats.org/officeDocument/2006/relationships/hyperlink" Target="imagenes/T_TAHARI_6430685_CAR_2.jpg" TargetMode="External" Id="rId13551"/><Relationship Type="http://schemas.openxmlformats.org/officeDocument/2006/relationships/hyperlink" Target="imagenes/T_TAHARI_6430685_CAR_3.jpg" TargetMode="External" Id="rId13552"/><Relationship Type="http://schemas.openxmlformats.org/officeDocument/2006/relationships/hyperlink" Target="imagenes/T_TAHARI_6438514_BLK_1.jpg" TargetMode="External" Id="rId13553"/><Relationship Type="http://schemas.openxmlformats.org/officeDocument/2006/relationships/hyperlink" Target="imagenes/T_TAHARI_6438514_BLK_2.jpg" TargetMode="External" Id="rId13554"/><Relationship Type="http://schemas.openxmlformats.org/officeDocument/2006/relationships/hyperlink" Target="imagenes/T_TAHARI_6438514_BLK_3.jpg" TargetMode="External" Id="rId13555"/><Relationship Type="http://schemas.openxmlformats.org/officeDocument/2006/relationships/hyperlink" Target="imagenes/T_TAHARI_6438514_BLK_1.jpg" TargetMode="External" Id="rId13556"/><Relationship Type="http://schemas.openxmlformats.org/officeDocument/2006/relationships/hyperlink" Target="imagenes/T_TAHARI_6438514_BLK_2.jpg" TargetMode="External" Id="rId13557"/><Relationship Type="http://schemas.openxmlformats.org/officeDocument/2006/relationships/hyperlink" Target="imagenes/T_TAHARI_6438514_BLK_3.jpg" TargetMode="External" Id="rId13558"/><Relationship Type="http://schemas.openxmlformats.org/officeDocument/2006/relationships/hyperlink" Target="imagenes/T_TAHARI_6438514_BLK_1.jpg" TargetMode="External" Id="rId13559"/><Relationship Type="http://schemas.openxmlformats.org/officeDocument/2006/relationships/hyperlink" Target="imagenes/T_TAHARI_6438514_BLK_2.jpg" TargetMode="External" Id="rId13560"/><Relationship Type="http://schemas.openxmlformats.org/officeDocument/2006/relationships/hyperlink" Target="imagenes/T_TAHARI_6438514_BLK_3.jpg" TargetMode="External" Id="rId13561"/><Relationship Type="http://schemas.openxmlformats.org/officeDocument/2006/relationships/hyperlink" Target="imagenes/T_TAHARI_6438514_BLK_1.jpg" TargetMode="External" Id="rId13562"/><Relationship Type="http://schemas.openxmlformats.org/officeDocument/2006/relationships/hyperlink" Target="imagenes/T_TAHARI_6438514_BLK_2.jpg" TargetMode="External" Id="rId13563"/><Relationship Type="http://schemas.openxmlformats.org/officeDocument/2006/relationships/hyperlink" Target="imagenes/T_TAHARI_6438514_BLK_3.jpg" TargetMode="External" Id="rId13564"/><Relationship Type="http://schemas.openxmlformats.org/officeDocument/2006/relationships/hyperlink" Target="imagenes/T_TAHARI_6617123_COG_1.jpg" TargetMode="External" Id="rId13565"/><Relationship Type="http://schemas.openxmlformats.org/officeDocument/2006/relationships/hyperlink" Target="imagenes/T_TAHARI_6617123_COG_2.jpg" TargetMode="External" Id="rId13566"/><Relationship Type="http://schemas.openxmlformats.org/officeDocument/2006/relationships/hyperlink" Target="imagenes/T_TAHARI_6617123_COG_3.jpg" TargetMode="External" Id="rId13567"/><Relationship Type="http://schemas.openxmlformats.org/officeDocument/2006/relationships/hyperlink" Target="imagenes/T_TAHARI_6617227_BLK_2.jpg" TargetMode="External" Id="rId13568"/><Relationship Type="http://schemas.openxmlformats.org/officeDocument/2006/relationships/hyperlink" Target="imagenes/T_TAHARI_6617227_BLK_3.jpg" TargetMode="External" Id="rId13569"/><Relationship Type="http://schemas.openxmlformats.org/officeDocument/2006/relationships/hyperlink" Target="imagenes/T_TAHARI_6617227_BLK_2.jpg" TargetMode="External" Id="rId13570"/><Relationship Type="http://schemas.openxmlformats.org/officeDocument/2006/relationships/hyperlink" Target="imagenes/T_TAHARI_6617227_BLK_3.jpg" TargetMode="External" Id="rId13571"/><Relationship Type="http://schemas.openxmlformats.org/officeDocument/2006/relationships/hyperlink" Target="imagenes/T_TAHARI_6617227_BLK_2.jpg" TargetMode="External" Id="rId13572"/><Relationship Type="http://schemas.openxmlformats.org/officeDocument/2006/relationships/hyperlink" Target="imagenes/T_TAHARI_6617227_BLK_3.jpg" TargetMode="External" Id="rId13573"/><Relationship Type="http://schemas.openxmlformats.org/officeDocument/2006/relationships/hyperlink" Target="imagenes/T_TAHARI_6617227_BLK_2.jpg" TargetMode="External" Id="rId13574"/><Relationship Type="http://schemas.openxmlformats.org/officeDocument/2006/relationships/hyperlink" Target="imagenes/T_TAHARI_6617227_BLK_3.jpg" TargetMode="External" Id="rId13575"/><Relationship Type="http://schemas.openxmlformats.org/officeDocument/2006/relationships/hyperlink" Target="imagenes/T_TAHARI_6617227_BLK_2.jpg" TargetMode="External" Id="rId13576"/><Relationship Type="http://schemas.openxmlformats.org/officeDocument/2006/relationships/hyperlink" Target="imagenes/T_TAHARI_6617227_BLK_3.jpg" TargetMode="External" Id="rId13577"/><Relationship Type="http://schemas.openxmlformats.org/officeDocument/2006/relationships/hyperlink" Target="imagenes/T_TAHARI_6617227_BLK_2.jpg" TargetMode="External" Id="rId13578"/><Relationship Type="http://schemas.openxmlformats.org/officeDocument/2006/relationships/hyperlink" Target="imagenes/T_TAHARI_6617227_BLK_3.jpg" TargetMode="External" Id="rId13579"/><Relationship Type="http://schemas.openxmlformats.org/officeDocument/2006/relationships/hyperlink" Target="imagenes/T_TAHARI_6617227_NVY_1.jpg" TargetMode="External" Id="rId13580"/><Relationship Type="http://schemas.openxmlformats.org/officeDocument/2006/relationships/hyperlink" Target="imagenes/T_TAHARI_6617227_NVY_2.jpg" TargetMode="External" Id="rId13581"/><Relationship Type="http://schemas.openxmlformats.org/officeDocument/2006/relationships/hyperlink" Target="imagenes/T_TAHARI_6617227_NVY_3.jpg" TargetMode="External" Id="rId13582"/><Relationship Type="http://schemas.openxmlformats.org/officeDocument/2006/relationships/hyperlink" Target="imagenes/T_TAHARI_6617227_NVY_1.jpg" TargetMode="External" Id="rId13583"/><Relationship Type="http://schemas.openxmlformats.org/officeDocument/2006/relationships/hyperlink" Target="imagenes/T_TAHARI_6617227_NVY_2.jpg" TargetMode="External" Id="rId13584"/><Relationship Type="http://schemas.openxmlformats.org/officeDocument/2006/relationships/hyperlink" Target="imagenes/T_TAHARI_6617227_NVY_3.jpg" TargetMode="External" Id="rId13585"/><Relationship Type="http://schemas.openxmlformats.org/officeDocument/2006/relationships/hyperlink" Target="imagenes/T_TAHARI_6617227_NVY_1.jpg" TargetMode="External" Id="rId13586"/><Relationship Type="http://schemas.openxmlformats.org/officeDocument/2006/relationships/hyperlink" Target="imagenes/T_TAHARI_6617227_NVY_2.jpg" TargetMode="External" Id="rId13587"/><Relationship Type="http://schemas.openxmlformats.org/officeDocument/2006/relationships/hyperlink" Target="imagenes/T_TAHARI_6617227_NVY_3.jpg" TargetMode="External" Id="rId13588"/><Relationship Type="http://schemas.openxmlformats.org/officeDocument/2006/relationships/hyperlink" Target="imagenes/T_TAHARI_6617227_NVY_1.jpg" TargetMode="External" Id="rId13589"/><Relationship Type="http://schemas.openxmlformats.org/officeDocument/2006/relationships/hyperlink" Target="imagenes/T_TAHARI_6617227_NVY_2.jpg" TargetMode="External" Id="rId13590"/><Relationship Type="http://schemas.openxmlformats.org/officeDocument/2006/relationships/hyperlink" Target="imagenes/T_TAHARI_6617227_NVY_3.jpg" TargetMode="External" Id="rId13591"/><Relationship Type="http://schemas.openxmlformats.org/officeDocument/2006/relationships/hyperlink" Target="imagenes/T_TAHARI_6617227_NVY_1.jpg" TargetMode="External" Id="rId13592"/><Relationship Type="http://schemas.openxmlformats.org/officeDocument/2006/relationships/hyperlink" Target="imagenes/T_TAHARI_6617227_NVY_2.jpg" TargetMode="External" Id="rId13593"/><Relationship Type="http://schemas.openxmlformats.org/officeDocument/2006/relationships/hyperlink" Target="imagenes/T_TAHARI_6617227_NVY_3.jpg" TargetMode="External" Id="rId13594"/><Relationship Type="http://schemas.openxmlformats.org/officeDocument/2006/relationships/hyperlink" Target="imagenes/T_TAHARI_6617227_NVY_1.jpg" TargetMode="External" Id="rId13595"/><Relationship Type="http://schemas.openxmlformats.org/officeDocument/2006/relationships/hyperlink" Target="imagenes/T_TAHARI_6617227_NVY_2.jpg" TargetMode="External" Id="rId13596"/><Relationship Type="http://schemas.openxmlformats.org/officeDocument/2006/relationships/hyperlink" Target="imagenes/T_TAHARI_6617227_NVY_3.jpg" TargetMode="External" Id="rId13597"/><Relationship Type="http://schemas.openxmlformats.org/officeDocument/2006/relationships/hyperlink" Target="imagenes/T_TAHARI_6620168_PBU_1.jpg" TargetMode="External" Id="rId13598"/><Relationship Type="http://schemas.openxmlformats.org/officeDocument/2006/relationships/hyperlink" Target="imagenes/T_TAHARI_6620168_PBU_2.jpg" TargetMode="External" Id="rId13599"/><Relationship Type="http://schemas.openxmlformats.org/officeDocument/2006/relationships/hyperlink" Target="imagenes/T_TAHARI_6620168_PBU_3.jpg" TargetMode="External" Id="rId13600"/><Relationship Type="http://schemas.openxmlformats.org/officeDocument/2006/relationships/hyperlink" Target="imagenes/T_TAHARI_6620168_PBU_1.jpg" TargetMode="External" Id="rId13601"/><Relationship Type="http://schemas.openxmlformats.org/officeDocument/2006/relationships/hyperlink" Target="imagenes/T_TAHARI_6620168_PBU_2.jpg" TargetMode="External" Id="rId13602"/><Relationship Type="http://schemas.openxmlformats.org/officeDocument/2006/relationships/hyperlink" Target="imagenes/T_TAHARI_6620168_PBU_3.jpg" TargetMode="External" Id="rId13603"/><Relationship Type="http://schemas.openxmlformats.org/officeDocument/2006/relationships/hyperlink" Target="imagenes/T_TAHARI_6620168_PBU_1.jpg" TargetMode="External" Id="rId13604"/><Relationship Type="http://schemas.openxmlformats.org/officeDocument/2006/relationships/hyperlink" Target="imagenes/T_TAHARI_6620168_PBU_2.jpg" TargetMode="External" Id="rId13605"/><Relationship Type="http://schemas.openxmlformats.org/officeDocument/2006/relationships/hyperlink" Target="imagenes/T_TAHARI_6620168_PBU_3.jpg" TargetMode="External" Id="rId13606"/><Relationship Type="http://schemas.openxmlformats.org/officeDocument/2006/relationships/hyperlink" Target="imagenes/T_TAHARI_6620606_ASH_1.jpg" TargetMode="External" Id="rId13607"/><Relationship Type="http://schemas.openxmlformats.org/officeDocument/2006/relationships/hyperlink" Target="imagenes/T_TAHARI_6620606_ASH_2.jpg" TargetMode="External" Id="rId13608"/><Relationship Type="http://schemas.openxmlformats.org/officeDocument/2006/relationships/hyperlink" Target="imagenes/T_TAHARI_6620606_ASH_3.jpg" TargetMode="External" Id="rId13609"/><Relationship Type="http://schemas.openxmlformats.org/officeDocument/2006/relationships/hyperlink" Target="imagenes/T_TAHARI_6620606_ASH_1.jpg" TargetMode="External" Id="rId13610"/><Relationship Type="http://schemas.openxmlformats.org/officeDocument/2006/relationships/hyperlink" Target="imagenes/T_TAHARI_6620606_ASH_2.jpg" TargetMode="External" Id="rId13611"/><Relationship Type="http://schemas.openxmlformats.org/officeDocument/2006/relationships/hyperlink" Target="imagenes/T_TAHARI_6620606_ASH_3.jpg" TargetMode="External" Id="rId13612"/><Relationship Type="http://schemas.openxmlformats.org/officeDocument/2006/relationships/hyperlink" Target="imagenes/T_TAHARI_6620606_ASH_1.jpg" TargetMode="External" Id="rId13613"/><Relationship Type="http://schemas.openxmlformats.org/officeDocument/2006/relationships/hyperlink" Target="imagenes/T_TAHARI_6620606_ASH_2.jpg" TargetMode="External" Id="rId13614"/><Relationship Type="http://schemas.openxmlformats.org/officeDocument/2006/relationships/hyperlink" Target="imagenes/T_TAHARI_6620606_ASH_3.jpg" TargetMode="External" Id="rId13615"/><Relationship Type="http://schemas.openxmlformats.org/officeDocument/2006/relationships/hyperlink" Target="imagenes/T_TAHARI_6620606_ASH_1.jpg" TargetMode="External" Id="rId13616"/><Relationship Type="http://schemas.openxmlformats.org/officeDocument/2006/relationships/hyperlink" Target="imagenes/T_TAHARI_6620606_ASH_2.jpg" TargetMode="External" Id="rId13617"/><Relationship Type="http://schemas.openxmlformats.org/officeDocument/2006/relationships/hyperlink" Target="imagenes/T_TAHARI_6620606_ASH_3.jpg" TargetMode="External" Id="rId13618"/><Relationship Type="http://schemas.openxmlformats.org/officeDocument/2006/relationships/hyperlink" Target="imagenes/T_TAHARI_6620606_BLK_1.jpg" TargetMode="External" Id="rId13619"/><Relationship Type="http://schemas.openxmlformats.org/officeDocument/2006/relationships/hyperlink" Target="imagenes/T_TAHARI_6620606_BLK_2.jpg" TargetMode="External" Id="rId13620"/><Relationship Type="http://schemas.openxmlformats.org/officeDocument/2006/relationships/hyperlink" Target="imagenes/T_TAHARI_6620606_BLK_3.jpg" TargetMode="External" Id="rId13621"/><Relationship Type="http://schemas.openxmlformats.org/officeDocument/2006/relationships/hyperlink" Target="imagenes/T_TAHARI_6620606_BLK_1.jpg" TargetMode="External" Id="rId13622"/><Relationship Type="http://schemas.openxmlformats.org/officeDocument/2006/relationships/hyperlink" Target="imagenes/T_TAHARI_6620606_BLK_2.jpg" TargetMode="External" Id="rId13623"/><Relationship Type="http://schemas.openxmlformats.org/officeDocument/2006/relationships/hyperlink" Target="imagenes/T_TAHARI_6620606_BLK_3.jpg" TargetMode="External" Id="rId13624"/><Relationship Type="http://schemas.openxmlformats.org/officeDocument/2006/relationships/hyperlink" Target="imagenes/T_TAHARI_6620606_BLK_1.jpg" TargetMode="External" Id="rId13625"/><Relationship Type="http://schemas.openxmlformats.org/officeDocument/2006/relationships/hyperlink" Target="imagenes/T_TAHARI_6620606_BLK_2.jpg" TargetMode="External" Id="rId13626"/><Relationship Type="http://schemas.openxmlformats.org/officeDocument/2006/relationships/hyperlink" Target="imagenes/T_TAHARI_6620606_BLK_3.jpg" TargetMode="External" Id="rId13627"/><Relationship Type="http://schemas.openxmlformats.org/officeDocument/2006/relationships/hyperlink" Target="imagenes/T_TAHARI_6620606_BLK_1.jpg" TargetMode="External" Id="rId13628"/><Relationship Type="http://schemas.openxmlformats.org/officeDocument/2006/relationships/hyperlink" Target="imagenes/T_TAHARI_6620606_BLK_2.jpg" TargetMode="External" Id="rId13629"/><Relationship Type="http://schemas.openxmlformats.org/officeDocument/2006/relationships/hyperlink" Target="imagenes/T_TAHARI_6620606_BLK_3.jpg" TargetMode="External" Id="rId13630"/><Relationship Type="http://schemas.openxmlformats.org/officeDocument/2006/relationships/hyperlink" Target="imagenes/T_TAHARI_6620606_BLK_1.jpg" TargetMode="External" Id="rId13631"/><Relationship Type="http://schemas.openxmlformats.org/officeDocument/2006/relationships/hyperlink" Target="imagenes/T_TAHARI_6620606_BLK_2.jpg" TargetMode="External" Id="rId13632"/><Relationship Type="http://schemas.openxmlformats.org/officeDocument/2006/relationships/hyperlink" Target="imagenes/T_TAHARI_6620606_BLK_3.jpg" TargetMode="External" Id="rId13633"/><Relationship Type="http://schemas.openxmlformats.org/officeDocument/2006/relationships/hyperlink" Target="imagenes/T_TAHARI_6620606_BLK_1.jpg" TargetMode="External" Id="rId13634"/><Relationship Type="http://schemas.openxmlformats.org/officeDocument/2006/relationships/hyperlink" Target="imagenes/T_TAHARI_6620606_BLK_2.jpg" TargetMode="External" Id="rId13635"/><Relationship Type="http://schemas.openxmlformats.org/officeDocument/2006/relationships/hyperlink" Target="imagenes/T_TAHARI_6620606_BLK_3.jpg" TargetMode="External" Id="rId13636"/><Relationship Type="http://schemas.openxmlformats.org/officeDocument/2006/relationships/hyperlink" Target="imagenes/T_TAHARI_6620606_BLK_1.jpg" TargetMode="External" Id="rId13637"/><Relationship Type="http://schemas.openxmlformats.org/officeDocument/2006/relationships/hyperlink" Target="imagenes/T_TAHARI_6620606_BLK_2.jpg" TargetMode="External" Id="rId13638"/><Relationship Type="http://schemas.openxmlformats.org/officeDocument/2006/relationships/hyperlink" Target="imagenes/T_TAHARI_6620606_BLK_3.jpg" TargetMode="External" Id="rId13639"/><Relationship Type="http://schemas.openxmlformats.org/officeDocument/2006/relationships/hyperlink" Target="imagenes/T_TAHARI_6620606_CAM_1.jpg" TargetMode="External" Id="rId13640"/><Relationship Type="http://schemas.openxmlformats.org/officeDocument/2006/relationships/hyperlink" Target="imagenes/T_TAHARI_6620606_CAM_2.jpg" TargetMode="External" Id="rId13641"/><Relationship Type="http://schemas.openxmlformats.org/officeDocument/2006/relationships/hyperlink" Target="imagenes/T_TAHARI_6620606_CAM_3.jpg" TargetMode="External" Id="rId13642"/><Relationship Type="http://schemas.openxmlformats.org/officeDocument/2006/relationships/hyperlink" Target="imagenes/T_TAHARI_6620606_CAM_1.jpg" TargetMode="External" Id="rId13643"/><Relationship Type="http://schemas.openxmlformats.org/officeDocument/2006/relationships/hyperlink" Target="imagenes/T_TAHARI_6620606_CAM_2.jpg" TargetMode="External" Id="rId13644"/><Relationship Type="http://schemas.openxmlformats.org/officeDocument/2006/relationships/hyperlink" Target="imagenes/T_TAHARI_6620606_CAM_3.jpg" TargetMode="External" Id="rId13645"/><Relationship Type="http://schemas.openxmlformats.org/officeDocument/2006/relationships/hyperlink" Target="imagenes/T_TAHARI_6620606_CAM_1.jpg" TargetMode="External" Id="rId13646"/><Relationship Type="http://schemas.openxmlformats.org/officeDocument/2006/relationships/hyperlink" Target="imagenes/T_TAHARI_6620606_CAM_2.jpg" TargetMode="External" Id="rId13647"/><Relationship Type="http://schemas.openxmlformats.org/officeDocument/2006/relationships/hyperlink" Target="imagenes/T_TAHARI_6620606_CAM_3.jpg" TargetMode="External" Id="rId13648"/><Relationship Type="http://schemas.openxmlformats.org/officeDocument/2006/relationships/hyperlink" Target="imagenes/T_TAHARI_6620606_CAM_1.jpg" TargetMode="External" Id="rId13649"/><Relationship Type="http://schemas.openxmlformats.org/officeDocument/2006/relationships/hyperlink" Target="imagenes/T_TAHARI_6620606_CAM_2.jpg" TargetMode="External" Id="rId13650"/><Relationship Type="http://schemas.openxmlformats.org/officeDocument/2006/relationships/hyperlink" Target="imagenes/T_TAHARI_6620606_CAM_3.jpg" TargetMode="External" Id="rId13651"/><Relationship Type="http://schemas.openxmlformats.org/officeDocument/2006/relationships/hyperlink" Target="imagenes/T_TAHARI_6620606_CAM_1.jpg" TargetMode="External" Id="rId13652"/><Relationship Type="http://schemas.openxmlformats.org/officeDocument/2006/relationships/hyperlink" Target="imagenes/T_TAHARI_6620606_CAM_2.jpg" TargetMode="External" Id="rId13653"/><Relationship Type="http://schemas.openxmlformats.org/officeDocument/2006/relationships/hyperlink" Target="imagenes/T_TAHARI_6620606_CAM_3.jpg" TargetMode="External" Id="rId13654"/><Relationship Type="http://schemas.openxmlformats.org/officeDocument/2006/relationships/hyperlink" Target="imagenes/T_TAHARI_6620635_BLK_1.jpg" TargetMode="External" Id="rId13655"/><Relationship Type="http://schemas.openxmlformats.org/officeDocument/2006/relationships/hyperlink" Target="imagenes/T_TAHARI_6620635_BLK_1.jpg" TargetMode="External" Id="rId13656"/><Relationship Type="http://schemas.openxmlformats.org/officeDocument/2006/relationships/hyperlink" Target="imagenes/T_TAHARI_6620635_BLK_1.jpg" TargetMode="External" Id="rId13657"/><Relationship Type="http://schemas.openxmlformats.org/officeDocument/2006/relationships/hyperlink" Target="imagenes/T_TAHARI_6620635_BLK_1.jpg" TargetMode="External" Id="rId13658"/><Relationship Type="http://schemas.openxmlformats.org/officeDocument/2006/relationships/hyperlink" Target="imagenes/T_TAHARI_6620635_CHR_1.jpg" TargetMode="External" Id="rId13659"/><Relationship Type="http://schemas.openxmlformats.org/officeDocument/2006/relationships/hyperlink" Target="imagenes/T_TAHARI_6620635_CHR_2.jpg" TargetMode="External" Id="rId13660"/><Relationship Type="http://schemas.openxmlformats.org/officeDocument/2006/relationships/hyperlink" Target="imagenes/T_TAHARI_6620635_CHR_3.jpg" TargetMode="External" Id="rId13661"/><Relationship Type="http://schemas.openxmlformats.org/officeDocument/2006/relationships/hyperlink" Target="imagenes/T_TAHARI_6620635_CHR_1.jpg" TargetMode="External" Id="rId13662"/><Relationship Type="http://schemas.openxmlformats.org/officeDocument/2006/relationships/hyperlink" Target="imagenes/T_TAHARI_6620635_CHR_2.jpg" TargetMode="External" Id="rId13663"/><Relationship Type="http://schemas.openxmlformats.org/officeDocument/2006/relationships/hyperlink" Target="imagenes/T_TAHARI_6620635_CHR_3.jpg" TargetMode="External" Id="rId13664"/><Relationship Type="http://schemas.openxmlformats.org/officeDocument/2006/relationships/hyperlink" Target="imagenes/T_TAHARI_6620635_PRP_1.jpg" TargetMode="External" Id="rId13665"/><Relationship Type="http://schemas.openxmlformats.org/officeDocument/2006/relationships/hyperlink" Target="imagenes/T_TAHARI_6620635_PRP_2.jpg" TargetMode="External" Id="rId13666"/><Relationship Type="http://schemas.openxmlformats.org/officeDocument/2006/relationships/hyperlink" Target="imagenes/T_TAHARI_6620635_PRP_3.jpg" TargetMode="External" Id="rId13667"/><Relationship Type="http://schemas.openxmlformats.org/officeDocument/2006/relationships/hyperlink" Target="imagenes/T_TAHARI_6620635_SFA_1.jpg" TargetMode="External" Id="rId13668"/><Relationship Type="http://schemas.openxmlformats.org/officeDocument/2006/relationships/hyperlink" Target="imagenes/T_TAHARI_6620635_SFA_2.jpg" TargetMode="External" Id="rId13669"/><Relationship Type="http://schemas.openxmlformats.org/officeDocument/2006/relationships/hyperlink" Target="imagenes/T_TAHARI_6620635_SFA_3.jpg" TargetMode="External" Id="rId13670"/><Relationship Type="http://schemas.openxmlformats.org/officeDocument/2006/relationships/hyperlink" Target="imagenes/T_TAHARI_6620635_SFA_1.jpg" TargetMode="External" Id="rId13671"/><Relationship Type="http://schemas.openxmlformats.org/officeDocument/2006/relationships/hyperlink" Target="imagenes/T_TAHARI_6620635_SFA_2.jpg" TargetMode="External" Id="rId13672"/><Relationship Type="http://schemas.openxmlformats.org/officeDocument/2006/relationships/hyperlink" Target="imagenes/T_TAHARI_6620635_SFA_3.jpg" TargetMode="External" Id="rId13673"/><Relationship Type="http://schemas.openxmlformats.org/officeDocument/2006/relationships/hyperlink" Target="imagenes/T_TAHARI_6620635_SFA_1.jpg" TargetMode="External" Id="rId13674"/><Relationship Type="http://schemas.openxmlformats.org/officeDocument/2006/relationships/hyperlink" Target="imagenes/T_TAHARI_6620635_SFA_2.jpg" TargetMode="External" Id="rId13675"/><Relationship Type="http://schemas.openxmlformats.org/officeDocument/2006/relationships/hyperlink" Target="imagenes/T_TAHARI_6620635_SFA_3.jpg" TargetMode="External" Id="rId13676"/><Relationship Type="http://schemas.openxmlformats.org/officeDocument/2006/relationships/hyperlink" Target="imagenes/T_TAHARI_6620640_ASH_1.jpg" TargetMode="External" Id="rId13677"/><Relationship Type="http://schemas.openxmlformats.org/officeDocument/2006/relationships/hyperlink" Target="imagenes/T_TAHARI_6620640_ASH_2.jpg" TargetMode="External" Id="rId13678"/><Relationship Type="http://schemas.openxmlformats.org/officeDocument/2006/relationships/hyperlink" Target="imagenes/T_TAHARI_6620640_ASH_3.jpg" TargetMode="External" Id="rId13679"/><Relationship Type="http://schemas.openxmlformats.org/officeDocument/2006/relationships/hyperlink" Target="imagenes/T_TAHARI_6620640_ASH_1.jpg" TargetMode="External" Id="rId13680"/><Relationship Type="http://schemas.openxmlformats.org/officeDocument/2006/relationships/hyperlink" Target="imagenes/T_TAHARI_6620640_ASH_2.jpg" TargetMode="External" Id="rId13681"/><Relationship Type="http://schemas.openxmlformats.org/officeDocument/2006/relationships/hyperlink" Target="imagenes/T_TAHARI_6620640_ASH_3.jpg" TargetMode="External" Id="rId13682"/><Relationship Type="http://schemas.openxmlformats.org/officeDocument/2006/relationships/hyperlink" Target="imagenes/T_TAHARI_6620640_ASH_1.jpg" TargetMode="External" Id="rId13683"/><Relationship Type="http://schemas.openxmlformats.org/officeDocument/2006/relationships/hyperlink" Target="imagenes/T_TAHARI_6620640_ASH_2.jpg" TargetMode="External" Id="rId13684"/><Relationship Type="http://schemas.openxmlformats.org/officeDocument/2006/relationships/hyperlink" Target="imagenes/T_TAHARI_6620640_ASH_3.jpg" TargetMode="External" Id="rId13685"/><Relationship Type="http://schemas.openxmlformats.org/officeDocument/2006/relationships/hyperlink" Target="imagenes/T_TAHARI_6620640_ASH_1.jpg" TargetMode="External" Id="rId13686"/><Relationship Type="http://schemas.openxmlformats.org/officeDocument/2006/relationships/hyperlink" Target="imagenes/T_TAHARI_6620640_ASH_2.jpg" TargetMode="External" Id="rId13687"/><Relationship Type="http://schemas.openxmlformats.org/officeDocument/2006/relationships/hyperlink" Target="imagenes/T_TAHARI_6620640_ASH_3.jpg" TargetMode="External" Id="rId13688"/><Relationship Type="http://schemas.openxmlformats.org/officeDocument/2006/relationships/hyperlink" Target="imagenes/T_TAHARI_6620640_BLK_1.jpg" TargetMode="External" Id="rId13689"/><Relationship Type="http://schemas.openxmlformats.org/officeDocument/2006/relationships/hyperlink" Target="imagenes/T_TAHARI_6620640_BLK_2.jpg" TargetMode="External" Id="rId13690"/><Relationship Type="http://schemas.openxmlformats.org/officeDocument/2006/relationships/hyperlink" Target="imagenes/T_TAHARI_6620640_BLK_3.jpg" TargetMode="External" Id="rId13691"/><Relationship Type="http://schemas.openxmlformats.org/officeDocument/2006/relationships/hyperlink" Target="imagenes/T_TAHARI_6620640_BLK_1.jpg" TargetMode="External" Id="rId13692"/><Relationship Type="http://schemas.openxmlformats.org/officeDocument/2006/relationships/hyperlink" Target="imagenes/T_TAHARI_6620640_BLK_2.jpg" TargetMode="External" Id="rId13693"/><Relationship Type="http://schemas.openxmlformats.org/officeDocument/2006/relationships/hyperlink" Target="imagenes/T_TAHARI_6620640_BLK_3.jpg" TargetMode="External" Id="rId13694"/><Relationship Type="http://schemas.openxmlformats.org/officeDocument/2006/relationships/hyperlink" Target="imagenes/T_TAHARI_6620640_BLK_1.jpg" TargetMode="External" Id="rId13695"/><Relationship Type="http://schemas.openxmlformats.org/officeDocument/2006/relationships/hyperlink" Target="imagenes/T_TAHARI_6620640_BLK_2.jpg" TargetMode="External" Id="rId13696"/><Relationship Type="http://schemas.openxmlformats.org/officeDocument/2006/relationships/hyperlink" Target="imagenes/T_TAHARI_6620640_BLK_3.jpg" TargetMode="External" Id="rId13697"/><Relationship Type="http://schemas.openxmlformats.org/officeDocument/2006/relationships/hyperlink" Target="imagenes/T_TAHARI_6620640_BLK_1.jpg" TargetMode="External" Id="rId13698"/><Relationship Type="http://schemas.openxmlformats.org/officeDocument/2006/relationships/hyperlink" Target="imagenes/T_TAHARI_6620640_BLK_2.jpg" TargetMode="External" Id="rId13699"/><Relationship Type="http://schemas.openxmlformats.org/officeDocument/2006/relationships/hyperlink" Target="imagenes/T_TAHARI_6620640_BLK_3.jpg" TargetMode="External" Id="rId13700"/><Relationship Type="http://schemas.openxmlformats.org/officeDocument/2006/relationships/hyperlink" Target="imagenes/T_TAHARI_6620640_BLK_1.jpg" TargetMode="External" Id="rId13701"/><Relationship Type="http://schemas.openxmlformats.org/officeDocument/2006/relationships/hyperlink" Target="imagenes/T_TAHARI_6620640_BLK_2.jpg" TargetMode="External" Id="rId13702"/><Relationship Type="http://schemas.openxmlformats.org/officeDocument/2006/relationships/hyperlink" Target="imagenes/T_TAHARI_6620640_BLK_3.jpg" TargetMode="External" Id="rId13703"/><Relationship Type="http://schemas.openxmlformats.org/officeDocument/2006/relationships/hyperlink" Target="imagenes/T_TAHARI_6620640_CAM_1.jpg" TargetMode="External" Id="rId13704"/><Relationship Type="http://schemas.openxmlformats.org/officeDocument/2006/relationships/hyperlink" Target="imagenes/T_TAHARI_6620640_CAM_2.jpg" TargetMode="External" Id="rId13705"/><Relationship Type="http://schemas.openxmlformats.org/officeDocument/2006/relationships/hyperlink" Target="imagenes/T_TAHARI_6620640_CAM_3.jpg" TargetMode="External" Id="rId13706"/><Relationship Type="http://schemas.openxmlformats.org/officeDocument/2006/relationships/hyperlink" Target="imagenes/T_TAHARI_6620640_CAM_1.jpg" TargetMode="External" Id="rId13707"/><Relationship Type="http://schemas.openxmlformats.org/officeDocument/2006/relationships/hyperlink" Target="imagenes/T_TAHARI_6620640_CAM_2.jpg" TargetMode="External" Id="rId13708"/><Relationship Type="http://schemas.openxmlformats.org/officeDocument/2006/relationships/hyperlink" Target="imagenes/T_TAHARI_6620640_CAM_3.jpg" TargetMode="External" Id="rId13709"/><Relationship Type="http://schemas.openxmlformats.org/officeDocument/2006/relationships/hyperlink" Target="imagenes/T_TAHARI_6620640_CAM_1.jpg" TargetMode="External" Id="rId13710"/><Relationship Type="http://schemas.openxmlformats.org/officeDocument/2006/relationships/hyperlink" Target="imagenes/T_TAHARI_6620640_CAM_2.jpg" TargetMode="External" Id="rId13711"/><Relationship Type="http://schemas.openxmlformats.org/officeDocument/2006/relationships/hyperlink" Target="imagenes/T_TAHARI_6620640_CAM_3.jpg" TargetMode="External" Id="rId13712"/><Relationship Type="http://schemas.openxmlformats.org/officeDocument/2006/relationships/hyperlink" Target="imagenes/T_TAHARI_6620644_BLK_1.jpg" TargetMode="External" Id="rId13713"/><Relationship Type="http://schemas.openxmlformats.org/officeDocument/2006/relationships/hyperlink" Target="imagenes/T_TAHARI_6620644_BLK_2.jpg" TargetMode="External" Id="rId13714"/><Relationship Type="http://schemas.openxmlformats.org/officeDocument/2006/relationships/hyperlink" Target="imagenes/T_TAHARI_6620644_BLK_3.jpg" TargetMode="External" Id="rId13715"/><Relationship Type="http://schemas.openxmlformats.org/officeDocument/2006/relationships/hyperlink" Target="imagenes/T_TAHARI_6620644_BLK_1.jpg" TargetMode="External" Id="rId13716"/><Relationship Type="http://schemas.openxmlformats.org/officeDocument/2006/relationships/hyperlink" Target="imagenes/T_TAHARI_6620644_BLK_2.jpg" TargetMode="External" Id="rId13717"/><Relationship Type="http://schemas.openxmlformats.org/officeDocument/2006/relationships/hyperlink" Target="imagenes/T_TAHARI_6620644_BLK_3.jpg" TargetMode="External" Id="rId13718"/><Relationship Type="http://schemas.openxmlformats.org/officeDocument/2006/relationships/hyperlink" Target="imagenes/T_TAHARI_6620644_BLK_1.jpg" TargetMode="External" Id="rId13719"/><Relationship Type="http://schemas.openxmlformats.org/officeDocument/2006/relationships/hyperlink" Target="imagenes/T_TAHARI_6620644_BLK_2.jpg" TargetMode="External" Id="rId13720"/><Relationship Type="http://schemas.openxmlformats.org/officeDocument/2006/relationships/hyperlink" Target="imagenes/T_TAHARI_6620644_BLK_3.jpg" TargetMode="External" Id="rId13721"/><Relationship Type="http://schemas.openxmlformats.org/officeDocument/2006/relationships/hyperlink" Target="imagenes/T_TAHARI_6620644_BLK_1.jpg" TargetMode="External" Id="rId13722"/><Relationship Type="http://schemas.openxmlformats.org/officeDocument/2006/relationships/hyperlink" Target="imagenes/T_TAHARI_6620644_BLK_2.jpg" TargetMode="External" Id="rId13723"/><Relationship Type="http://schemas.openxmlformats.org/officeDocument/2006/relationships/hyperlink" Target="imagenes/T_TAHARI_6620644_BLK_3.jpg" TargetMode="External" Id="rId13724"/><Relationship Type="http://schemas.openxmlformats.org/officeDocument/2006/relationships/hyperlink" Target="imagenes/T_TAHARI_6620644_BLK_1.jpg" TargetMode="External" Id="rId13725"/><Relationship Type="http://schemas.openxmlformats.org/officeDocument/2006/relationships/hyperlink" Target="imagenes/T_TAHARI_6620644_BLK_2.jpg" TargetMode="External" Id="rId13726"/><Relationship Type="http://schemas.openxmlformats.org/officeDocument/2006/relationships/hyperlink" Target="imagenes/T_TAHARI_6620644_BLK_3.jpg" TargetMode="External" Id="rId13727"/><Relationship Type="http://schemas.openxmlformats.org/officeDocument/2006/relationships/hyperlink" Target="imagenes/T_TAHARI_6620644_BUV_1.jpg" TargetMode="External" Id="rId13728"/><Relationship Type="http://schemas.openxmlformats.org/officeDocument/2006/relationships/hyperlink" Target="imagenes/T_TAHARI_6620644_BUV_2.jpg" TargetMode="External" Id="rId13729"/><Relationship Type="http://schemas.openxmlformats.org/officeDocument/2006/relationships/hyperlink" Target="imagenes/T_TAHARI_6620644_BUV_3.jpg" TargetMode="External" Id="rId13730"/><Relationship Type="http://schemas.openxmlformats.org/officeDocument/2006/relationships/hyperlink" Target="imagenes/T_TAHARI_6620644_BUV_1.jpg" TargetMode="External" Id="rId13731"/><Relationship Type="http://schemas.openxmlformats.org/officeDocument/2006/relationships/hyperlink" Target="imagenes/T_TAHARI_6620644_BUV_2.jpg" TargetMode="External" Id="rId13732"/><Relationship Type="http://schemas.openxmlformats.org/officeDocument/2006/relationships/hyperlink" Target="imagenes/T_TAHARI_6620644_BUV_3.jpg" TargetMode="External" Id="rId13733"/><Relationship Type="http://schemas.openxmlformats.org/officeDocument/2006/relationships/hyperlink" Target="imagenes/T_TAHARI_6620644_BUV_1.jpg" TargetMode="External" Id="rId13734"/><Relationship Type="http://schemas.openxmlformats.org/officeDocument/2006/relationships/hyperlink" Target="imagenes/T_TAHARI_6620644_BUV_2.jpg" TargetMode="External" Id="rId13735"/><Relationship Type="http://schemas.openxmlformats.org/officeDocument/2006/relationships/hyperlink" Target="imagenes/T_TAHARI_6620644_BUV_3.jpg" TargetMode="External" Id="rId13736"/><Relationship Type="http://schemas.openxmlformats.org/officeDocument/2006/relationships/hyperlink" Target="imagenes/T_TAHARI_6620644_BUV_1.jpg" TargetMode="External" Id="rId13737"/><Relationship Type="http://schemas.openxmlformats.org/officeDocument/2006/relationships/hyperlink" Target="imagenes/T_TAHARI_6620644_BUV_2.jpg" TargetMode="External" Id="rId13738"/><Relationship Type="http://schemas.openxmlformats.org/officeDocument/2006/relationships/hyperlink" Target="imagenes/T_TAHARI_6620644_BUV_3.jpg" TargetMode="External" Id="rId13739"/><Relationship Type="http://schemas.openxmlformats.org/officeDocument/2006/relationships/hyperlink" Target="imagenes/T_TAHARI_6620644_BUV_1.jpg" TargetMode="External" Id="rId13740"/><Relationship Type="http://schemas.openxmlformats.org/officeDocument/2006/relationships/hyperlink" Target="imagenes/T_TAHARI_6620644_BUV_2.jpg" TargetMode="External" Id="rId13741"/><Relationship Type="http://schemas.openxmlformats.org/officeDocument/2006/relationships/hyperlink" Target="imagenes/T_TAHARI_6620644_BUV_3.jpg" TargetMode="External" Id="rId13742"/><Relationship Type="http://schemas.openxmlformats.org/officeDocument/2006/relationships/hyperlink" Target="imagenes/T_TAHARI_6620644_MNK_2.jpg" TargetMode="External" Id="rId13743"/><Relationship Type="http://schemas.openxmlformats.org/officeDocument/2006/relationships/hyperlink" Target="imagenes/T_TAHARI_6620644_MNK_3.jpg" TargetMode="External" Id="rId13744"/><Relationship Type="http://schemas.openxmlformats.org/officeDocument/2006/relationships/hyperlink" Target="imagenes/T_TAHARI_6620644_MNK_2.jpg" TargetMode="External" Id="rId13745"/><Relationship Type="http://schemas.openxmlformats.org/officeDocument/2006/relationships/hyperlink" Target="imagenes/T_TAHARI_6620644_MNK_3.jpg" TargetMode="External" Id="rId13746"/><Relationship Type="http://schemas.openxmlformats.org/officeDocument/2006/relationships/hyperlink" Target="imagenes/T_TAHARI_6620645_ASH_1.jpg" TargetMode="External" Id="rId13747"/><Relationship Type="http://schemas.openxmlformats.org/officeDocument/2006/relationships/hyperlink" Target="imagenes/T_TAHARI_6620645_ASH_2.jpg" TargetMode="External" Id="rId13748"/><Relationship Type="http://schemas.openxmlformats.org/officeDocument/2006/relationships/hyperlink" Target="imagenes/T_TAHARI_6620645_ASH_3.jpg" TargetMode="External" Id="rId13749"/><Relationship Type="http://schemas.openxmlformats.org/officeDocument/2006/relationships/hyperlink" Target="imagenes/T_TAHARI_6620645_ASH_1.jpg" TargetMode="External" Id="rId13750"/><Relationship Type="http://schemas.openxmlformats.org/officeDocument/2006/relationships/hyperlink" Target="imagenes/T_TAHARI_6620645_ASH_2.jpg" TargetMode="External" Id="rId13751"/><Relationship Type="http://schemas.openxmlformats.org/officeDocument/2006/relationships/hyperlink" Target="imagenes/T_TAHARI_6620645_ASH_3.jpg" TargetMode="External" Id="rId13752"/><Relationship Type="http://schemas.openxmlformats.org/officeDocument/2006/relationships/hyperlink" Target="imagenes/T_TAHARI_6620645_BLK_1.jpg" TargetMode="External" Id="rId13753"/><Relationship Type="http://schemas.openxmlformats.org/officeDocument/2006/relationships/hyperlink" Target="imagenes/T_TAHARI_6620645_BLK_2.jpg" TargetMode="External" Id="rId13754"/><Relationship Type="http://schemas.openxmlformats.org/officeDocument/2006/relationships/hyperlink" Target="imagenes/T_TAHARI_6620645_BLK_3.jpg" TargetMode="External" Id="rId13755"/><Relationship Type="http://schemas.openxmlformats.org/officeDocument/2006/relationships/hyperlink" Target="imagenes/T_TAHARI_6620645_BLK_1.jpg" TargetMode="External" Id="rId13756"/><Relationship Type="http://schemas.openxmlformats.org/officeDocument/2006/relationships/hyperlink" Target="imagenes/T_TAHARI_6620645_BLK_2.jpg" TargetMode="External" Id="rId13757"/><Relationship Type="http://schemas.openxmlformats.org/officeDocument/2006/relationships/hyperlink" Target="imagenes/T_TAHARI_6620645_BLK_3.jpg" TargetMode="External" Id="rId13758"/><Relationship Type="http://schemas.openxmlformats.org/officeDocument/2006/relationships/hyperlink" Target="imagenes/T_TAHARI_6620645_CAR_1.jpg" TargetMode="External" Id="rId13759"/><Relationship Type="http://schemas.openxmlformats.org/officeDocument/2006/relationships/hyperlink" Target="imagenes/T_TAHARI_6620645_CAR_2.jpg" TargetMode="External" Id="rId13760"/><Relationship Type="http://schemas.openxmlformats.org/officeDocument/2006/relationships/hyperlink" Target="imagenes/T_TAHARI_6620645_CAR_3.jpg" TargetMode="External" Id="rId13761"/><Relationship Type="http://schemas.openxmlformats.org/officeDocument/2006/relationships/hyperlink" Target="imagenes/T_TAHARI_6620645_SFA_1.jpg" TargetMode="External" Id="rId13762"/><Relationship Type="http://schemas.openxmlformats.org/officeDocument/2006/relationships/hyperlink" Target="imagenes/T_TAHARI_6620645_SFA_2.jpg" TargetMode="External" Id="rId13763"/><Relationship Type="http://schemas.openxmlformats.org/officeDocument/2006/relationships/hyperlink" Target="imagenes/T_TAHARI_6620645_SFA_3.jpg" TargetMode="External" Id="rId13764"/><Relationship Type="http://schemas.openxmlformats.org/officeDocument/2006/relationships/hyperlink" Target="imagenes/T_TAHARI_6620685_BLK_2.jpg" TargetMode="External" Id="rId13765"/><Relationship Type="http://schemas.openxmlformats.org/officeDocument/2006/relationships/hyperlink" Target="imagenes/T_TAHARI_6620685_BLK_3.jpg" TargetMode="External" Id="rId13766"/><Relationship Type="http://schemas.openxmlformats.org/officeDocument/2006/relationships/hyperlink" Target="imagenes/T_TAHARI_6620685_BLK_2.jpg" TargetMode="External" Id="rId13767"/><Relationship Type="http://schemas.openxmlformats.org/officeDocument/2006/relationships/hyperlink" Target="imagenes/T_TAHARI_6620685_BLK_3.jpg" TargetMode="External" Id="rId13768"/><Relationship Type="http://schemas.openxmlformats.org/officeDocument/2006/relationships/hyperlink" Target="imagenes/T_TAHARI_6620685_BLK_2.jpg" TargetMode="External" Id="rId13769"/><Relationship Type="http://schemas.openxmlformats.org/officeDocument/2006/relationships/hyperlink" Target="imagenes/T_TAHARI_6620685_BLK_3.jpg" TargetMode="External" Id="rId13770"/><Relationship Type="http://schemas.openxmlformats.org/officeDocument/2006/relationships/hyperlink" Target="imagenes/T_TAHARI_6620685_BLK_2.jpg" TargetMode="External" Id="rId13771"/><Relationship Type="http://schemas.openxmlformats.org/officeDocument/2006/relationships/hyperlink" Target="imagenes/T_TAHARI_6620685_BLK_3.jpg" TargetMode="External" Id="rId13772"/><Relationship Type="http://schemas.openxmlformats.org/officeDocument/2006/relationships/hyperlink" Target="imagenes/T_TAHARI_6620685_BLK_2.jpg" TargetMode="External" Id="rId13773"/><Relationship Type="http://schemas.openxmlformats.org/officeDocument/2006/relationships/hyperlink" Target="imagenes/T_TAHARI_6620685_BLK_3.jpg" TargetMode="External" Id="rId13774"/><Relationship Type="http://schemas.openxmlformats.org/officeDocument/2006/relationships/hyperlink" Target="imagenes/T_TAHARI_6620685_BLK_2.jpg" TargetMode="External" Id="rId13775"/><Relationship Type="http://schemas.openxmlformats.org/officeDocument/2006/relationships/hyperlink" Target="imagenes/T_TAHARI_6620685_BLK_3.jpg" TargetMode="External" Id="rId13776"/><Relationship Type="http://schemas.openxmlformats.org/officeDocument/2006/relationships/hyperlink" Target="imagenes/T_TAHARI_6620685_CAR_2.jpg" TargetMode="External" Id="rId13777"/><Relationship Type="http://schemas.openxmlformats.org/officeDocument/2006/relationships/hyperlink" Target="imagenes/T_TAHARI_6620685_CAR_3.jpg" TargetMode="External" Id="rId13778"/><Relationship Type="http://schemas.openxmlformats.org/officeDocument/2006/relationships/hyperlink" Target="imagenes/T_TAHARI_6620685_CAR_2.jpg" TargetMode="External" Id="rId13779"/><Relationship Type="http://schemas.openxmlformats.org/officeDocument/2006/relationships/hyperlink" Target="imagenes/T_TAHARI_6620685_CAR_3.jpg" TargetMode="External" Id="rId13780"/><Relationship Type="http://schemas.openxmlformats.org/officeDocument/2006/relationships/hyperlink" Target="imagenes/T_TAHARI_6620685_CAR_2.jpg" TargetMode="External" Id="rId13781"/><Relationship Type="http://schemas.openxmlformats.org/officeDocument/2006/relationships/hyperlink" Target="imagenes/T_TAHARI_6620685_CAR_3.jpg" TargetMode="External" Id="rId13782"/><Relationship Type="http://schemas.openxmlformats.org/officeDocument/2006/relationships/hyperlink" Target="imagenes/T_TAHARI_6620685_CAR_2.jpg" TargetMode="External" Id="rId13783"/><Relationship Type="http://schemas.openxmlformats.org/officeDocument/2006/relationships/hyperlink" Target="imagenes/T_TAHARI_6620685_CAR_3.jpg" TargetMode="External" Id="rId13784"/><Relationship Type="http://schemas.openxmlformats.org/officeDocument/2006/relationships/hyperlink" Target="imagenes/T_TAHARI_6620685_CAR_2.jpg" TargetMode="External" Id="rId13785"/><Relationship Type="http://schemas.openxmlformats.org/officeDocument/2006/relationships/hyperlink" Target="imagenes/T_TAHARI_6620685_CAR_3.jpg" TargetMode="External" Id="rId13786"/><Relationship Type="http://schemas.openxmlformats.org/officeDocument/2006/relationships/hyperlink" Target="imagenes/T_TAHARI_6620685_CAR_2.jpg" TargetMode="External" Id="rId13787"/><Relationship Type="http://schemas.openxmlformats.org/officeDocument/2006/relationships/hyperlink" Target="imagenes/T_TAHARI_6620685_CAR_3.jpg" TargetMode="External" Id="rId13788"/><Relationship Type="http://schemas.openxmlformats.org/officeDocument/2006/relationships/hyperlink" Target="imagenes/T_TAHARI_6620685_CAR_2.jpg" TargetMode="External" Id="rId13789"/><Relationship Type="http://schemas.openxmlformats.org/officeDocument/2006/relationships/hyperlink" Target="imagenes/T_TAHARI_6620685_CAR_3.jpg" TargetMode="External" Id="rId13790"/><Relationship Type="http://schemas.openxmlformats.org/officeDocument/2006/relationships/hyperlink" Target="imagenes/T_TAHARI_6620685_CHR_1.jpg" TargetMode="External" Id="rId13791"/><Relationship Type="http://schemas.openxmlformats.org/officeDocument/2006/relationships/hyperlink" Target="imagenes/T_TAHARI_6620685_CHR_2.jpg" TargetMode="External" Id="rId13792"/><Relationship Type="http://schemas.openxmlformats.org/officeDocument/2006/relationships/hyperlink" Target="imagenes/T_TAHARI_6620685_CHR_3.jpg" TargetMode="External" Id="rId13793"/><Relationship Type="http://schemas.openxmlformats.org/officeDocument/2006/relationships/hyperlink" Target="imagenes/T_TAHARI_6620685_CHR_1.jpg" TargetMode="External" Id="rId13794"/><Relationship Type="http://schemas.openxmlformats.org/officeDocument/2006/relationships/hyperlink" Target="imagenes/T_TAHARI_6620685_CHR_2.jpg" TargetMode="External" Id="rId13795"/><Relationship Type="http://schemas.openxmlformats.org/officeDocument/2006/relationships/hyperlink" Target="imagenes/T_TAHARI_6620685_CHR_3.jpg" TargetMode="External" Id="rId13796"/><Relationship Type="http://schemas.openxmlformats.org/officeDocument/2006/relationships/hyperlink" Target="imagenes/T_TAHARI_6620685_CHR_1.jpg" TargetMode="External" Id="rId13797"/><Relationship Type="http://schemas.openxmlformats.org/officeDocument/2006/relationships/hyperlink" Target="imagenes/T_TAHARI_6620685_CHR_2.jpg" TargetMode="External" Id="rId13798"/><Relationship Type="http://schemas.openxmlformats.org/officeDocument/2006/relationships/hyperlink" Target="imagenes/T_TAHARI_6620685_CHR_3.jpg" TargetMode="External" Id="rId13799"/><Relationship Type="http://schemas.openxmlformats.org/officeDocument/2006/relationships/hyperlink" Target="imagenes/T_TAHARI_6620685_CHR_1.jpg" TargetMode="External" Id="rId13800"/><Relationship Type="http://schemas.openxmlformats.org/officeDocument/2006/relationships/hyperlink" Target="imagenes/T_TAHARI_6620685_CHR_2.jpg" TargetMode="External" Id="rId13801"/><Relationship Type="http://schemas.openxmlformats.org/officeDocument/2006/relationships/hyperlink" Target="imagenes/T_TAHARI_6620685_CHR_3.jpg" TargetMode="External" Id="rId13802"/><Relationship Type="http://schemas.openxmlformats.org/officeDocument/2006/relationships/hyperlink" Target="imagenes/T_TAHARI_6620685_CHR_1.jpg" TargetMode="External" Id="rId13803"/><Relationship Type="http://schemas.openxmlformats.org/officeDocument/2006/relationships/hyperlink" Target="imagenes/T_TAHARI_6620685_CHR_2.jpg" TargetMode="External" Id="rId13804"/><Relationship Type="http://schemas.openxmlformats.org/officeDocument/2006/relationships/hyperlink" Target="imagenes/T_TAHARI_6620685_CHR_3.jpg" TargetMode="External" Id="rId13805"/><Relationship Type="http://schemas.openxmlformats.org/officeDocument/2006/relationships/hyperlink" Target="imagenes/T_TAHARI_6620685_CHR_1.jpg" TargetMode="External" Id="rId13806"/><Relationship Type="http://schemas.openxmlformats.org/officeDocument/2006/relationships/hyperlink" Target="imagenes/T_TAHARI_6620685_CHR_2.jpg" TargetMode="External" Id="rId13807"/><Relationship Type="http://schemas.openxmlformats.org/officeDocument/2006/relationships/hyperlink" Target="imagenes/T_TAHARI_6620685_CHR_3.jpg" TargetMode="External" Id="rId13808"/><Relationship Type="http://schemas.openxmlformats.org/officeDocument/2006/relationships/hyperlink" Target="imagenes/T_TAHARI_6620685_CHR_1.jpg" TargetMode="External" Id="rId13809"/><Relationship Type="http://schemas.openxmlformats.org/officeDocument/2006/relationships/hyperlink" Target="imagenes/T_TAHARI_6620685_CHR_2.jpg" TargetMode="External" Id="rId13810"/><Relationship Type="http://schemas.openxmlformats.org/officeDocument/2006/relationships/hyperlink" Target="imagenes/T_TAHARI_6620685_CHR_3.jpg" TargetMode="External" Id="rId13811"/><Relationship Type="http://schemas.openxmlformats.org/officeDocument/2006/relationships/hyperlink" Target="imagenes/T_TAHARI_6620685_OLI_1.jpg" TargetMode="External" Id="rId13812"/><Relationship Type="http://schemas.openxmlformats.org/officeDocument/2006/relationships/hyperlink" Target="imagenes/T_TAHARI_6620685_OLI_2.jpg" TargetMode="External" Id="rId13813"/><Relationship Type="http://schemas.openxmlformats.org/officeDocument/2006/relationships/hyperlink" Target="imagenes/T_TAHARI_6620685_OLI_3.jpg" TargetMode="External" Id="rId13814"/><Relationship Type="http://schemas.openxmlformats.org/officeDocument/2006/relationships/hyperlink" Target="imagenes/T_TAHARI_6620685_OLI_1.jpg" TargetMode="External" Id="rId13815"/><Relationship Type="http://schemas.openxmlformats.org/officeDocument/2006/relationships/hyperlink" Target="imagenes/T_TAHARI_6620685_OLI_2.jpg" TargetMode="External" Id="rId13816"/><Relationship Type="http://schemas.openxmlformats.org/officeDocument/2006/relationships/hyperlink" Target="imagenes/T_TAHARI_6620685_OLI_3.jpg" TargetMode="External" Id="rId13817"/><Relationship Type="http://schemas.openxmlformats.org/officeDocument/2006/relationships/hyperlink" Target="imagenes/T_TAHARI_6620685_OLI_1.jpg" TargetMode="External" Id="rId13818"/><Relationship Type="http://schemas.openxmlformats.org/officeDocument/2006/relationships/hyperlink" Target="imagenes/T_TAHARI_6620685_OLI_2.jpg" TargetMode="External" Id="rId13819"/><Relationship Type="http://schemas.openxmlformats.org/officeDocument/2006/relationships/hyperlink" Target="imagenes/T_TAHARI_6620685_OLI_3.jpg" TargetMode="External" Id="rId13820"/><Relationship Type="http://schemas.openxmlformats.org/officeDocument/2006/relationships/hyperlink" Target="imagenes/T_TAHARI_6620685_OLI_1.jpg" TargetMode="External" Id="rId13821"/><Relationship Type="http://schemas.openxmlformats.org/officeDocument/2006/relationships/hyperlink" Target="imagenes/T_TAHARI_6620685_OLI_2.jpg" TargetMode="External" Id="rId13822"/><Relationship Type="http://schemas.openxmlformats.org/officeDocument/2006/relationships/hyperlink" Target="imagenes/T_TAHARI_6620685_OLI_3.jpg" TargetMode="External" Id="rId13823"/><Relationship Type="http://schemas.openxmlformats.org/officeDocument/2006/relationships/hyperlink" Target="imagenes/T_TAHARI_6621006_BLK_1.jpg" TargetMode="External" Id="rId13824"/><Relationship Type="http://schemas.openxmlformats.org/officeDocument/2006/relationships/hyperlink" Target="imagenes/T_TAHARI_6621006_BLK_2.jpg" TargetMode="External" Id="rId13825"/><Relationship Type="http://schemas.openxmlformats.org/officeDocument/2006/relationships/hyperlink" Target="imagenes/T_TAHARI_6621006_BLK_3.jpg" TargetMode="External" Id="rId13826"/><Relationship Type="http://schemas.openxmlformats.org/officeDocument/2006/relationships/hyperlink" Target="imagenes/T_TAHARI_6621006_BLK_1.jpg" TargetMode="External" Id="rId13827"/><Relationship Type="http://schemas.openxmlformats.org/officeDocument/2006/relationships/hyperlink" Target="imagenes/T_TAHARI_6621006_BLK_2.jpg" TargetMode="External" Id="rId13828"/><Relationship Type="http://schemas.openxmlformats.org/officeDocument/2006/relationships/hyperlink" Target="imagenes/T_TAHARI_6621006_BLK_3.jpg" TargetMode="External" Id="rId13829"/><Relationship Type="http://schemas.openxmlformats.org/officeDocument/2006/relationships/hyperlink" Target="imagenes/T_TAHARI_6621006_BLK_1.jpg" TargetMode="External" Id="rId13830"/><Relationship Type="http://schemas.openxmlformats.org/officeDocument/2006/relationships/hyperlink" Target="imagenes/T_TAHARI_6621006_BLK_2.jpg" TargetMode="External" Id="rId13831"/><Relationship Type="http://schemas.openxmlformats.org/officeDocument/2006/relationships/hyperlink" Target="imagenes/T_TAHARI_6621006_BLK_3.jpg" TargetMode="External" Id="rId13832"/><Relationship Type="http://schemas.openxmlformats.org/officeDocument/2006/relationships/hyperlink" Target="imagenes/T_TAHARI_6621006_BLK_1.jpg" TargetMode="External" Id="rId13833"/><Relationship Type="http://schemas.openxmlformats.org/officeDocument/2006/relationships/hyperlink" Target="imagenes/T_TAHARI_6621006_BLK_2.jpg" TargetMode="External" Id="rId13834"/><Relationship Type="http://schemas.openxmlformats.org/officeDocument/2006/relationships/hyperlink" Target="imagenes/T_TAHARI_6621006_BLK_3.jpg" TargetMode="External" Id="rId13835"/><Relationship Type="http://schemas.openxmlformats.org/officeDocument/2006/relationships/hyperlink" Target="imagenes/T_TAHARI_6621006_BLK_1.jpg" TargetMode="External" Id="rId13836"/><Relationship Type="http://schemas.openxmlformats.org/officeDocument/2006/relationships/hyperlink" Target="imagenes/T_TAHARI_6621006_BLK_2.jpg" TargetMode="External" Id="rId13837"/><Relationship Type="http://schemas.openxmlformats.org/officeDocument/2006/relationships/hyperlink" Target="imagenes/T_TAHARI_6621006_BLK_3.jpg" TargetMode="External" Id="rId13838"/><Relationship Type="http://schemas.openxmlformats.org/officeDocument/2006/relationships/hyperlink" Target="imagenes/T_TAHARI_6621006_BLK_1.jpg" TargetMode="External" Id="rId13839"/><Relationship Type="http://schemas.openxmlformats.org/officeDocument/2006/relationships/hyperlink" Target="imagenes/T_TAHARI_6621006_BLK_2.jpg" TargetMode="External" Id="rId13840"/><Relationship Type="http://schemas.openxmlformats.org/officeDocument/2006/relationships/hyperlink" Target="imagenes/T_TAHARI_6621006_BLK_3.jpg" TargetMode="External" Id="rId13841"/><Relationship Type="http://schemas.openxmlformats.org/officeDocument/2006/relationships/hyperlink" Target="imagenes/T_TAHARI_6621006_BLK_1.jpg" TargetMode="External" Id="rId13842"/><Relationship Type="http://schemas.openxmlformats.org/officeDocument/2006/relationships/hyperlink" Target="imagenes/T_TAHARI_6621006_BLK_2.jpg" TargetMode="External" Id="rId13843"/><Relationship Type="http://schemas.openxmlformats.org/officeDocument/2006/relationships/hyperlink" Target="imagenes/T_TAHARI_6621006_BLK_3.jpg" TargetMode="External" Id="rId13844"/><Relationship Type="http://schemas.openxmlformats.org/officeDocument/2006/relationships/hyperlink" Target="imagenes/T_TAHARI_6621006_BLK_1.jpg" TargetMode="External" Id="rId13845"/><Relationship Type="http://schemas.openxmlformats.org/officeDocument/2006/relationships/hyperlink" Target="imagenes/T_TAHARI_6621006_BLK_2.jpg" TargetMode="External" Id="rId13846"/><Relationship Type="http://schemas.openxmlformats.org/officeDocument/2006/relationships/hyperlink" Target="imagenes/T_TAHARI_6621006_BLK_3.jpg" TargetMode="External" Id="rId13847"/><Relationship Type="http://schemas.openxmlformats.org/officeDocument/2006/relationships/hyperlink" Target="imagenes/T_TAHARI_6621006_BLK_1.jpg" TargetMode="External" Id="rId13848"/><Relationship Type="http://schemas.openxmlformats.org/officeDocument/2006/relationships/hyperlink" Target="imagenes/T_TAHARI_6621006_BLK_2.jpg" TargetMode="External" Id="rId13849"/><Relationship Type="http://schemas.openxmlformats.org/officeDocument/2006/relationships/hyperlink" Target="imagenes/T_TAHARI_6621006_BLK_3.jpg" TargetMode="External" Id="rId13850"/><Relationship Type="http://schemas.openxmlformats.org/officeDocument/2006/relationships/hyperlink" Target="imagenes/T_TAHARI_6621006_BLK_1.jpg" TargetMode="External" Id="rId13851"/><Relationship Type="http://schemas.openxmlformats.org/officeDocument/2006/relationships/hyperlink" Target="imagenes/T_TAHARI_6621006_BLK_2.jpg" TargetMode="External" Id="rId13852"/><Relationship Type="http://schemas.openxmlformats.org/officeDocument/2006/relationships/hyperlink" Target="imagenes/T_TAHARI_6621006_BLK_3.jpg" TargetMode="External" Id="rId13853"/><Relationship Type="http://schemas.openxmlformats.org/officeDocument/2006/relationships/hyperlink" Target="imagenes/T_TAHARI_6621006_BLK_1.jpg" TargetMode="External" Id="rId13854"/><Relationship Type="http://schemas.openxmlformats.org/officeDocument/2006/relationships/hyperlink" Target="imagenes/T_TAHARI_6621006_BLK_2.jpg" TargetMode="External" Id="rId13855"/><Relationship Type="http://schemas.openxmlformats.org/officeDocument/2006/relationships/hyperlink" Target="imagenes/T_TAHARI_6621006_BLK_3.jpg" TargetMode="External" Id="rId13856"/><Relationship Type="http://schemas.openxmlformats.org/officeDocument/2006/relationships/hyperlink" Target="imagenes/T_TAHARI_6621006_BLK_1.jpg" TargetMode="External" Id="rId13857"/><Relationship Type="http://schemas.openxmlformats.org/officeDocument/2006/relationships/hyperlink" Target="imagenes/T_TAHARI_6621006_BLK_2.jpg" TargetMode="External" Id="rId13858"/><Relationship Type="http://schemas.openxmlformats.org/officeDocument/2006/relationships/hyperlink" Target="imagenes/T_TAHARI_6621006_BLK_3.jpg" TargetMode="External" Id="rId13859"/><Relationship Type="http://schemas.openxmlformats.org/officeDocument/2006/relationships/hyperlink" Target="imagenes/T_TAHARI_6621006_BLK_1.jpg" TargetMode="External" Id="rId13860"/><Relationship Type="http://schemas.openxmlformats.org/officeDocument/2006/relationships/hyperlink" Target="imagenes/T_TAHARI_6621006_BLK_2.jpg" TargetMode="External" Id="rId13861"/><Relationship Type="http://schemas.openxmlformats.org/officeDocument/2006/relationships/hyperlink" Target="imagenes/T_TAHARI_6621006_BLK_3.jpg" TargetMode="External" Id="rId13862"/><Relationship Type="http://schemas.openxmlformats.org/officeDocument/2006/relationships/hyperlink" Target="imagenes/T_TAHARI_6621006_BLK_1.jpg" TargetMode="External" Id="rId13863"/><Relationship Type="http://schemas.openxmlformats.org/officeDocument/2006/relationships/hyperlink" Target="imagenes/T_TAHARI_6621006_BLK_2.jpg" TargetMode="External" Id="rId13864"/><Relationship Type="http://schemas.openxmlformats.org/officeDocument/2006/relationships/hyperlink" Target="imagenes/T_TAHARI_6621006_BLK_3.jpg" TargetMode="External" Id="rId13865"/><Relationship Type="http://schemas.openxmlformats.org/officeDocument/2006/relationships/hyperlink" Target="imagenes/T_TAHARI_6621006_BLK_1.jpg" TargetMode="External" Id="rId13866"/><Relationship Type="http://schemas.openxmlformats.org/officeDocument/2006/relationships/hyperlink" Target="imagenes/T_TAHARI_6621006_BLK_2.jpg" TargetMode="External" Id="rId13867"/><Relationship Type="http://schemas.openxmlformats.org/officeDocument/2006/relationships/hyperlink" Target="imagenes/T_TAHARI_6621006_BLK_3.jpg" TargetMode="External" Id="rId13868"/><Relationship Type="http://schemas.openxmlformats.org/officeDocument/2006/relationships/hyperlink" Target="imagenes/T_TAHARI_6621006_BLK_1.jpg" TargetMode="External" Id="rId13869"/><Relationship Type="http://schemas.openxmlformats.org/officeDocument/2006/relationships/hyperlink" Target="imagenes/T_TAHARI_6621006_BLK_2.jpg" TargetMode="External" Id="rId13870"/><Relationship Type="http://schemas.openxmlformats.org/officeDocument/2006/relationships/hyperlink" Target="imagenes/T_TAHARI_6621006_BLK_3.jpg" TargetMode="External" Id="rId13871"/><Relationship Type="http://schemas.openxmlformats.org/officeDocument/2006/relationships/hyperlink" Target="imagenes/T_TAHARI_6621006_BLK_1.jpg" TargetMode="External" Id="rId13872"/><Relationship Type="http://schemas.openxmlformats.org/officeDocument/2006/relationships/hyperlink" Target="imagenes/T_TAHARI_6621006_BLK_2.jpg" TargetMode="External" Id="rId13873"/><Relationship Type="http://schemas.openxmlformats.org/officeDocument/2006/relationships/hyperlink" Target="imagenes/T_TAHARI_6621006_BLK_3.jpg" TargetMode="External" Id="rId13874"/><Relationship Type="http://schemas.openxmlformats.org/officeDocument/2006/relationships/hyperlink" Target="imagenes/T_TAHARI_6621006_BLK_1.jpg" TargetMode="External" Id="rId13875"/><Relationship Type="http://schemas.openxmlformats.org/officeDocument/2006/relationships/hyperlink" Target="imagenes/T_TAHARI_6621006_BLK_2.jpg" TargetMode="External" Id="rId13876"/><Relationship Type="http://schemas.openxmlformats.org/officeDocument/2006/relationships/hyperlink" Target="imagenes/T_TAHARI_6621006_BLK_3.jpg" TargetMode="External" Id="rId13877"/><Relationship Type="http://schemas.openxmlformats.org/officeDocument/2006/relationships/hyperlink" Target="imagenes/T_TAHARI_6621006_GXY_1.jpg" TargetMode="External" Id="rId13878"/><Relationship Type="http://schemas.openxmlformats.org/officeDocument/2006/relationships/hyperlink" Target="imagenes/T_TAHARI_6621006_GXY_2.jpg" TargetMode="External" Id="rId13879"/><Relationship Type="http://schemas.openxmlformats.org/officeDocument/2006/relationships/hyperlink" Target="imagenes/T_TAHARI_6621006_GXY_3.jpg" TargetMode="External" Id="rId13880"/><Relationship Type="http://schemas.openxmlformats.org/officeDocument/2006/relationships/hyperlink" Target="imagenes/T_TAHARI_6621006_GXY_1.jpg" TargetMode="External" Id="rId13881"/><Relationship Type="http://schemas.openxmlformats.org/officeDocument/2006/relationships/hyperlink" Target="imagenes/T_TAHARI_6621006_GXY_2.jpg" TargetMode="External" Id="rId13882"/><Relationship Type="http://schemas.openxmlformats.org/officeDocument/2006/relationships/hyperlink" Target="imagenes/T_TAHARI_6621006_GXY_3.jpg" TargetMode="External" Id="rId13883"/><Relationship Type="http://schemas.openxmlformats.org/officeDocument/2006/relationships/hyperlink" Target="imagenes/T_TAHARI_6621006_GXY_1.jpg" TargetMode="External" Id="rId13884"/><Relationship Type="http://schemas.openxmlformats.org/officeDocument/2006/relationships/hyperlink" Target="imagenes/T_TAHARI_6621006_GXY_2.jpg" TargetMode="External" Id="rId13885"/><Relationship Type="http://schemas.openxmlformats.org/officeDocument/2006/relationships/hyperlink" Target="imagenes/T_TAHARI_6621006_GXY_3.jpg" TargetMode="External" Id="rId13886"/><Relationship Type="http://schemas.openxmlformats.org/officeDocument/2006/relationships/hyperlink" Target="imagenes/T_TAHARI_6621006_GXY_1.jpg" TargetMode="External" Id="rId13887"/><Relationship Type="http://schemas.openxmlformats.org/officeDocument/2006/relationships/hyperlink" Target="imagenes/T_TAHARI_6621006_GXY_2.jpg" TargetMode="External" Id="rId13888"/><Relationship Type="http://schemas.openxmlformats.org/officeDocument/2006/relationships/hyperlink" Target="imagenes/T_TAHARI_6621006_GXY_3.jpg" TargetMode="External" Id="rId13889"/><Relationship Type="http://schemas.openxmlformats.org/officeDocument/2006/relationships/hyperlink" Target="imagenes/T_TAHARI_6621006_GXY_1.jpg" TargetMode="External" Id="rId13890"/><Relationship Type="http://schemas.openxmlformats.org/officeDocument/2006/relationships/hyperlink" Target="imagenes/T_TAHARI_6621006_GXY_2.jpg" TargetMode="External" Id="rId13891"/><Relationship Type="http://schemas.openxmlformats.org/officeDocument/2006/relationships/hyperlink" Target="imagenes/T_TAHARI_6621006_GXY_3.jpg" TargetMode="External" Id="rId13892"/><Relationship Type="http://schemas.openxmlformats.org/officeDocument/2006/relationships/hyperlink" Target="imagenes/T_TAHARI_6621006_GXY_1.jpg" TargetMode="External" Id="rId13893"/><Relationship Type="http://schemas.openxmlformats.org/officeDocument/2006/relationships/hyperlink" Target="imagenes/T_TAHARI_6621006_GXY_2.jpg" TargetMode="External" Id="rId13894"/><Relationship Type="http://schemas.openxmlformats.org/officeDocument/2006/relationships/hyperlink" Target="imagenes/T_TAHARI_6621006_GXY_3.jpg" TargetMode="External" Id="rId13895"/><Relationship Type="http://schemas.openxmlformats.org/officeDocument/2006/relationships/hyperlink" Target="imagenes/T_TAHARI_6621006_GXY_1.jpg" TargetMode="External" Id="rId13896"/><Relationship Type="http://schemas.openxmlformats.org/officeDocument/2006/relationships/hyperlink" Target="imagenes/T_TAHARI_6621006_GXY_2.jpg" TargetMode="External" Id="rId13897"/><Relationship Type="http://schemas.openxmlformats.org/officeDocument/2006/relationships/hyperlink" Target="imagenes/T_TAHARI_6621006_GXY_3.jpg" TargetMode="External" Id="rId13898"/><Relationship Type="http://schemas.openxmlformats.org/officeDocument/2006/relationships/hyperlink" Target="imagenes/T_TAHARI_6621006_GXY_1.jpg" TargetMode="External" Id="rId13899"/><Relationship Type="http://schemas.openxmlformats.org/officeDocument/2006/relationships/hyperlink" Target="imagenes/T_TAHARI_6621006_GXY_2.jpg" TargetMode="External" Id="rId13900"/><Relationship Type="http://schemas.openxmlformats.org/officeDocument/2006/relationships/hyperlink" Target="imagenes/T_TAHARI_6621006_GXY_3.jpg" TargetMode="External" Id="rId13901"/><Relationship Type="http://schemas.openxmlformats.org/officeDocument/2006/relationships/hyperlink" Target="imagenes/T_TAHARI_6621006_GXY_1.jpg" TargetMode="External" Id="rId13902"/><Relationship Type="http://schemas.openxmlformats.org/officeDocument/2006/relationships/hyperlink" Target="imagenes/T_TAHARI_6621006_GXY_2.jpg" TargetMode="External" Id="rId13903"/><Relationship Type="http://schemas.openxmlformats.org/officeDocument/2006/relationships/hyperlink" Target="imagenes/T_TAHARI_6621006_GXY_3.jpg" TargetMode="External" Id="rId13904"/><Relationship Type="http://schemas.openxmlformats.org/officeDocument/2006/relationships/hyperlink" Target="imagenes/T_TAHARI_6621006_GXY_1.jpg" TargetMode="External" Id="rId13905"/><Relationship Type="http://schemas.openxmlformats.org/officeDocument/2006/relationships/hyperlink" Target="imagenes/T_TAHARI_6621006_GXY_2.jpg" TargetMode="External" Id="rId13906"/><Relationship Type="http://schemas.openxmlformats.org/officeDocument/2006/relationships/hyperlink" Target="imagenes/T_TAHARI_6621006_GXY_3.jpg" TargetMode="External" Id="rId13907"/><Relationship Type="http://schemas.openxmlformats.org/officeDocument/2006/relationships/hyperlink" Target="imagenes/T_TAHARI_6621006_GXY_1.jpg" TargetMode="External" Id="rId13908"/><Relationship Type="http://schemas.openxmlformats.org/officeDocument/2006/relationships/hyperlink" Target="imagenes/T_TAHARI_6621006_GXY_2.jpg" TargetMode="External" Id="rId13909"/><Relationship Type="http://schemas.openxmlformats.org/officeDocument/2006/relationships/hyperlink" Target="imagenes/T_TAHARI_6621006_GXY_3.jpg" TargetMode="External" Id="rId13910"/><Relationship Type="http://schemas.openxmlformats.org/officeDocument/2006/relationships/hyperlink" Target="imagenes/T_TAHARI_6621006_GXY_1.jpg" TargetMode="External" Id="rId13911"/><Relationship Type="http://schemas.openxmlformats.org/officeDocument/2006/relationships/hyperlink" Target="imagenes/T_TAHARI_6621006_GXY_2.jpg" TargetMode="External" Id="rId13912"/><Relationship Type="http://schemas.openxmlformats.org/officeDocument/2006/relationships/hyperlink" Target="imagenes/T_TAHARI_6621006_GXY_3.jpg" TargetMode="External" Id="rId13913"/><Relationship Type="http://schemas.openxmlformats.org/officeDocument/2006/relationships/hyperlink" Target="imagenes/T_TAHARI_6621006_PA4_1.jpg" TargetMode="External" Id="rId13914"/><Relationship Type="http://schemas.openxmlformats.org/officeDocument/2006/relationships/hyperlink" Target="imagenes/T_TAHARI_6621006_PA4_2.jpg" TargetMode="External" Id="rId13915"/><Relationship Type="http://schemas.openxmlformats.org/officeDocument/2006/relationships/hyperlink" Target="imagenes/T_TAHARI_6621006_PA4_3.jpg" TargetMode="External" Id="rId13916"/><Relationship Type="http://schemas.openxmlformats.org/officeDocument/2006/relationships/hyperlink" Target="imagenes/T_TAHARI_6621006_PA4_1.jpg" TargetMode="External" Id="rId13917"/><Relationship Type="http://schemas.openxmlformats.org/officeDocument/2006/relationships/hyperlink" Target="imagenes/T_TAHARI_6621006_PA4_2.jpg" TargetMode="External" Id="rId13918"/><Relationship Type="http://schemas.openxmlformats.org/officeDocument/2006/relationships/hyperlink" Target="imagenes/T_TAHARI_6621006_PA4_3.jpg" TargetMode="External" Id="rId13919"/><Relationship Type="http://schemas.openxmlformats.org/officeDocument/2006/relationships/hyperlink" Target="imagenes/T_TAHARI_6621006_PA4_1.jpg" TargetMode="External" Id="rId13920"/><Relationship Type="http://schemas.openxmlformats.org/officeDocument/2006/relationships/hyperlink" Target="imagenes/T_TAHARI_6621006_PA4_2.jpg" TargetMode="External" Id="rId13921"/><Relationship Type="http://schemas.openxmlformats.org/officeDocument/2006/relationships/hyperlink" Target="imagenes/T_TAHARI_6621006_PA4_3.jpg" TargetMode="External" Id="rId13922"/><Relationship Type="http://schemas.openxmlformats.org/officeDocument/2006/relationships/hyperlink" Target="imagenes/T_TAHARI_6621006_PA4_1.jpg" TargetMode="External" Id="rId13923"/><Relationship Type="http://schemas.openxmlformats.org/officeDocument/2006/relationships/hyperlink" Target="imagenes/T_TAHARI_6621006_PA4_2.jpg" TargetMode="External" Id="rId13924"/><Relationship Type="http://schemas.openxmlformats.org/officeDocument/2006/relationships/hyperlink" Target="imagenes/T_TAHARI_6621006_PA4_3.jpg" TargetMode="External" Id="rId13925"/><Relationship Type="http://schemas.openxmlformats.org/officeDocument/2006/relationships/hyperlink" Target="imagenes/T_TAHARI_6621006_PA4_1.jpg" TargetMode="External" Id="rId13926"/><Relationship Type="http://schemas.openxmlformats.org/officeDocument/2006/relationships/hyperlink" Target="imagenes/T_TAHARI_6621006_PA4_2.jpg" TargetMode="External" Id="rId13927"/><Relationship Type="http://schemas.openxmlformats.org/officeDocument/2006/relationships/hyperlink" Target="imagenes/T_TAHARI_6621006_PA4_3.jpg" TargetMode="External" Id="rId13928"/><Relationship Type="http://schemas.openxmlformats.org/officeDocument/2006/relationships/hyperlink" Target="imagenes/T_TAHARI_6621006_PA4_1.jpg" TargetMode="External" Id="rId13929"/><Relationship Type="http://schemas.openxmlformats.org/officeDocument/2006/relationships/hyperlink" Target="imagenes/T_TAHARI_6621006_PA4_2.jpg" TargetMode="External" Id="rId13930"/><Relationship Type="http://schemas.openxmlformats.org/officeDocument/2006/relationships/hyperlink" Target="imagenes/T_TAHARI_6621006_PA4_3.jpg" TargetMode="External" Id="rId13931"/><Relationship Type="http://schemas.openxmlformats.org/officeDocument/2006/relationships/hyperlink" Target="imagenes/T_TAHARI_6621006_PA4_1.jpg" TargetMode="External" Id="rId13932"/><Relationship Type="http://schemas.openxmlformats.org/officeDocument/2006/relationships/hyperlink" Target="imagenes/T_TAHARI_6621006_PA4_2.jpg" TargetMode="External" Id="rId13933"/><Relationship Type="http://schemas.openxmlformats.org/officeDocument/2006/relationships/hyperlink" Target="imagenes/T_TAHARI_6621006_PA4_3.jpg" TargetMode="External" Id="rId13934"/><Relationship Type="http://schemas.openxmlformats.org/officeDocument/2006/relationships/hyperlink" Target="imagenes/T_TAHARI_6621006_PA4_1.jpg" TargetMode="External" Id="rId13935"/><Relationship Type="http://schemas.openxmlformats.org/officeDocument/2006/relationships/hyperlink" Target="imagenes/T_TAHARI_6621006_PA4_2.jpg" TargetMode="External" Id="rId13936"/><Relationship Type="http://schemas.openxmlformats.org/officeDocument/2006/relationships/hyperlink" Target="imagenes/T_TAHARI_6621006_PA4_3.jpg" TargetMode="External" Id="rId13937"/><Relationship Type="http://schemas.openxmlformats.org/officeDocument/2006/relationships/hyperlink" Target="imagenes/T_TAHARI_6621006_PA4_1.jpg" TargetMode="External" Id="rId13938"/><Relationship Type="http://schemas.openxmlformats.org/officeDocument/2006/relationships/hyperlink" Target="imagenes/T_TAHARI_6621006_PA4_2.jpg" TargetMode="External" Id="rId13939"/><Relationship Type="http://schemas.openxmlformats.org/officeDocument/2006/relationships/hyperlink" Target="imagenes/T_TAHARI_6621006_PA4_3.jpg" TargetMode="External" Id="rId13940"/><Relationship Type="http://schemas.openxmlformats.org/officeDocument/2006/relationships/hyperlink" Target="imagenes/T_TAHARI_6621006_PA4_1.jpg" TargetMode="External" Id="rId13941"/><Relationship Type="http://schemas.openxmlformats.org/officeDocument/2006/relationships/hyperlink" Target="imagenes/T_TAHARI_6621006_PA4_2.jpg" TargetMode="External" Id="rId13942"/><Relationship Type="http://schemas.openxmlformats.org/officeDocument/2006/relationships/hyperlink" Target="imagenes/T_TAHARI_6621006_PA4_3.jpg" TargetMode="External" Id="rId13943"/><Relationship Type="http://schemas.openxmlformats.org/officeDocument/2006/relationships/hyperlink" Target="imagenes/T_TAHARI_6621006_PA4_1.jpg" TargetMode="External" Id="rId13944"/><Relationship Type="http://schemas.openxmlformats.org/officeDocument/2006/relationships/hyperlink" Target="imagenes/T_TAHARI_6621006_PA4_2.jpg" TargetMode="External" Id="rId13945"/><Relationship Type="http://schemas.openxmlformats.org/officeDocument/2006/relationships/hyperlink" Target="imagenes/T_TAHARI_6621006_PA4_3.jpg" TargetMode="External" Id="rId13946"/><Relationship Type="http://schemas.openxmlformats.org/officeDocument/2006/relationships/hyperlink" Target="imagenes/T_TAHARI_6621006_PA4_1.jpg" TargetMode="External" Id="rId13947"/><Relationship Type="http://schemas.openxmlformats.org/officeDocument/2006/relationships/hyperlink" Target="imagenes/T_TAHARI_6621006_PA4_2.jpg" TargetMode="External" Id="rId13948"/><Relationship Type="http://schemas.openxmlformats.org/officeDocument/2006/relationships/hyperlink" Target="imagenes/T_TAHARI_6621006_PA4_3.jpg" TargetMode="External" Id="rId13949"/><Relationship Type="http://schemas.openxmlformats.org/officeDocument/2006/relationships/hyperlink" Target="imagenes/T_TAHARI_6621006_PA4_1.jpg" TargetMode="External" Id="rId13950"/><Relationship Type="http://schemas.openxmlformats.org/officeDocument/2006/relationships/hyperlink" Target="imagenes/T_TAHARI_6621006_PA4_2.jpg" TargetMode="External" Id="rId13951"/><Relationship Type="http://schemas.openxmlformats.org/officeDocument/2006/relationships/hyperlink" Target="imagenes/T_TAHARI_6621006_PA4_3.jpg" TargetMode="External" Id="rId13952"/><Relationship Type="http://schemas.openxmlformats.org/officeDocument/2006/relationships/hyperlink" Target="imagenes/T_TAHARI_6621006_PA4_1.jpg" TargetMode="External" Id="rId13953"/><Relationship Type="http://schemas.openxmlformats.org/officeDocument/2006/relationships/hyperlink" Target="imagenes/T_TAHARI_6621006_PA4_2.jpg" TargetMode="External" Id="rId13954"/><Relationship Type="http://schemas.openxmlformats.org/officeDocument/2006/relationships/hyperlink" Target="imagenes/T_TAHARI_6621006_PA4_3.jpg" TargetMode="External" Id="rId13955"/><Relationship Type="http://schemas.openxmlformats.org/officeDocument/2006/relationships/hyperlink" Target="imagenes/T_TAHARI_6621006_PA4_1.jpg" TargetMode="External" Id="rId13956"/><Relationship Type="http://schemas.openxmlformats.org/officeDocument/2006/relationships/hyperlink" Target="imagenes/T_TAHARI_6621006_PA4_2.jpg" TargetMode="External" Id="rId13957"/><Relationship Type="http://schemas.openxmlformats.org/officeDocument/2006/relationships/hyperlink" Target="imagenes/T_TAHARI_6621006_PA4_3.jpg" TargetMode="External" Id="rId13958"/><Relationship Type="http://schemas.openxmlformats.org/officeDocument/2006/relationships/hyperlink" Target="imagenes/T_TAHARI_6621006_PA4_1.jpg" TargetMode="External" Id="rId13959"/><Relationship Type="http://schemas.openxmlformats.org/officeDocument/2006/relationships/hyperlink" Target="imagenes/T_TAHARI_6621006_PA4_2.jpg" TargetMode="External" Id="rId13960"/><Relationship Type="http://schemas.openxmlformats.org/officeDocument/2006/relationships/hyperlink" Target="imagenes/T_TAHARI_6621006_PA4_3.jpg" TargetMode="External" Id="rId13961"/><Relationship Type="http://schemas.openxmlformats.org/officeDocument/2006/relationships/hyperlink" Target="imagenes/T_TAHARI_6621006_PA4_1.jpg" TargetMode="External" Id="rId13962"/><Relationship Type="http://schemas.openxmlformats.org/officeDocument/2006/relationships/hyperlink" Target="imagenes/T_TAHARI_6621006_PA4_2.jpg" TargetMode="External" Id="rId13963"/><Relationship Type="http://schemas.openxmlformats.org/officeDocument/2006/relationships/hyperlink" Target="imagenes/T_TAHARI_6621006_PA4_3.jpg" TargetMode="External" Id="rId13964"/><Relationship Type="http://schemas.openxmlformats.org/officeDocument/2006/relationships/hyperlink" Target="imagenes/T_TAHARI_6621006_PA4_1.jpg" TargetMode="External" Id="rId13965"/><Relationship Type="http://schemas.openxmlformats.org/officeDocument/2006/relationships/hyperlink" Target="imagenes/T_TAHARI_6621006_PA4_2.jpg" TargetMode="External" Id="rId13966"/><Relationship Type="http://schemas.openxmlformats.org/officeDocument/2006/relationships/hyperlink" Target="imagenes/T_TAHARI_6621006_PA4_3.jpg" TargetMode="External" Id="rId13967"/><Relationship Type="http://schemas.openxmlformats.org/officeDocument/2006/relationships/hyperlink" Target="imagenes/T_TAHARI_6621006_PA4_1.jpg" TargetMode="External" Id="rId13968"/><Relationship Type="http://schemas.openxmlformats.org/officeDocument/2006/relationships/hyperlink" Target="imagenes/T_TAHARI_6621006_PA4_2.jpg" TargetMode="External" Id="rId13969"/><Relationship Type="http://schemas.openxmlformats.org/officeDocument/2006/relationships/hyperlink" Target="imagenes/T_TAHARI_6621006_PA4_3.jpg" TargetMode="External" Id="rId13970"/><Relationship Type="http://schemas.openxmlformats.org/officeDocument/2006/relationships/hyperlink" Target="imagenes/T_TAHARI_6621006_PA4_1.jpg" TargetMode="External" Id="rId13971"/><Relationship Type="http://schemas.openxmlformats.org/officeDocument/2006/relationships/hyperlink" Target="imagenes/T_TAHARI_6621006_PA4_2.jpg" TargetMode="External" Id="rId13972"/><Relationship Type="http://schemas.openxmlformats.org/officeDocument/2006/relationships/hyperlink" Target="imagenes/T_TAHARI_6621006_PA4_3.jpg" TargetMode="External" Id="rId13973"/><Relationship Type="http://schemas.openxmlformats.org/officeDocument/2006/relationships/hyperlink" Target="imagenes/T_TAHARI_6621069_BLK_1.jpg" TargetMode="External" Id="rId13974"/><Relationship Type="http://schemas.openxmlformats.org/officeDocument/2006/relationships/hyperlink" Target="imagenes/T_TAHARI_6621069_BLK_2.jpg" TargetMode="External" Id="rId13975"/><Relationship Type="http://schemas.openxmlformats.org/officeDocument/2006/relationships/hyperlink" Target="imagenes/T_TAHARI_6621069_BLK_3.jpg" TargetMode="External" Id="rId13976"/><Relationship Type="http://schemas.openxmlformats.org/officeDocument/2006/relationships/hyperlink" Target="imagenes/T_TAHARI_6621069_BLK_1.jpg" TargetMode="External" Id="rId13977"/><Relationship Type="http://schemas.openxmlformats.org/officeDocument/2006/relationships/hyperlink" Target="imagenes/T_TAHARI_6621069_BLK_2.jpg" TargetMode="External" Id="rId13978"/><Relationship Type="http://schemas.openxmlformats.org/officeDocument/2006/relationships/hyperlink" Target="imagenes/T_TAHARI_6621069_BLK_3.jpg" TargetMode="External" Id="rId13979"/><Relationship Type="http://schemas.openxmlformats.org/officeDocument/2006/relationships/hyperlink" Target="imagenes/T_TAHARI_6621069_BLK_1.jpg" TargetMode="External" Id="rId13980"/><Relationship Type="http://schemas.openxmlformats.org/officeDocument/2006/relationships/hyperlink" Target="imagenes/T_TAHARI_6621069_BLK_2.jpg" TargetMode="External" Id="rId13981"/><Relationship Type="http://schemas.openxmlformats.org/officeDocument/2006/relationships/hyperlink" Target="imagenes/T_TAHARI_6621069_BLK_3.jpg" TargetMode="External" Id="rId13982"/><Relationship Type="http://schemas.openxmlformats.org/officeDocument/2006/relationships/hyperlink" Target="imagenes/T_TAHARI_6621069_BLK_1.jpg" TargetMode="External" Id="rId13983"/><Relationship Type="http://schemas.openxmlformats.org/officeDocument/2006/relationships/hyperlink" Target="imagenes/T_TAHARI_6621069_BLK_2.jpg" TargetMode="External" Id="rId13984"/><Relationship Type="http://schemas.openxmlformats.org/officeDocument/2006/relationships/hyperlink" Target="imagenes/T_TAHARI_6621069_BLK_3.jpg" TargetMode="External" Id="rId13985"/><Relationship Type="http://schemas.openxmlformats.org/officeDocument/2006/relationships/hyperlink" Target="imagenes/T_TAHARI_6621069_BLK_1.jpg" TargetMode="External" Id="rId13986"/><Relationship Type="http://schemas.openxmlformats.org/officeDocument/2006/relationships/hyperlink" Target="imagenes/T_TAHARI_6621069_BLK_2.jpg" TargetMode="External" Id="rId13987"/><Relationship Type="http://schemas.openxmlformats.org/officeDocument/2006/relationships/hyperlink" Target="imagenes/T_TAHARI_6621069_BLK_3.jpg" TargetMode="External" Id="rId13988"/><Relationship Type="http://schemas.openxmlformats.org/officeDocument/2006/relationships/hyperlink" Target="imagenes/T_TAHARI_6621069_BLK_1.jpg" TargetMode="External" Id="rId13989"/><Relationship Type="http://schemas.openxmlformats.org/officeDocument/2006/relationships/hyperlink" Target="imagenes/T_TAHARI_6621069_BLK_2.jpg" TargetMode="External" Id="rId13990"/><Relationship Type="http://schemas.openxmlformats.org/officeDocument/2006/relationships/hyperlink" Target="imagenes/T_TAHARI_6621069_BLK_3.jpg" TargetMode="External" Id="rId13991"/><Relationship Type="http://schemas.openxmlformats.org/officeDocument/2006/relationships/hyperlink" Target="imagenes/T_TAHARI_6621069_BLK_1.jpg" TargetMode="External" Id="rId13992"/><Relationship Type="http://schemas.openxmlformats.org/officeDocument/2006/relationships/hyperlink" Target="imagenes/T_TAHARI_6621069_BLK_2.jpg" TargetMode="External" Id="rId13993"/><Relationship Type="http://schemas.openxmlformats.org/officeDocument/2006/relationships/hyperlink" Target="imagenes/T_TAHARI_6621069_BLK_3.jpg" TargetMode="External" Id="rId13994"/><Relationship Type="http://schemas.openxmlformats.org/officeDocument/2006/relationships/hyperlink" Target="imagenes/T_TAHARI_6621069_BLK_1.jpg" TargetMode="External" Id="rId13995"/><Relationship Type="http://schemas.openxmlformats.org/officeDocument/2006/relationships/hyperlink" Target="imagenes/T_TAHARI_6621069_BLK_2.jpg" TargetMode="External" Id="rId13996"/><Relationship Type="http://schemas.openxmlformats.org/officeDocument/2006/relationships/hyperlink" Target="imagenes/T_TAHARI_6621069_BLK_3.jpg" TargetMode="External" Id="rId13997"/><Relationship Type="http://schemas.openxmlformats.org/officeDocument/2006/relationships/hyperlink" Target="imagenes/T_TAHARI_6621069_BLK_1.jpg" TargetMode="External" Id="rId13998"/><Relationship Type="http://schemas.openxmlformats.org/officeDocument/2006/relationships/hyperlink" Target="imagenes/T_TAHARI_6621069_BLK_2.jpg" TargetMode="External" Id="rId13999"/><Relationship Type="http://schemas.openxmlformats.org/officeDocument/2006/relationships/hyperlink" Target="imagenes/T_TAHARI_6621069_BLK_3.jpg" TargetMode="External" Id="rId14000"/><Relationship Type="http://schemas.openxmlformats.org/officeDocument/2006/relationships/hyperlink" Target="imagenes/T_TAHARI_6621069_BLK_1.jpg" TargetMode="External" Id="rId14001"/><Relationship Type="http://schemas.openxmlformats.org/officeDocument/2006/relationships/hyperlink" Target="imagenes/T_TAHARI_6621069_BLK_2.jpg" TargetMode="External" Id="rId14002"/><Relationship Type="http://schemas.openxmlformats.org/officeDocument/2006/relationships/hyperlink" Target="imagenes/T_TAHARI_6621069_BLK_3.jpg" TargetMode="External" Id="rId14003"/><Relationship Type="http://schemas.openxmlformats.org/officeDocument/2006/relationships/hyperlink" Target="imagenes/T_TAHARI_6621069_BLK_1.jpg" TargetMode="External" Id="rId14004"/><Relationship Type="http://schemas.openxmlformats.org/officeDocument/2006/relationships/hyperlink" Target="imagenes/T_TAHARI_6621069_BLK_2.jpg" TargetMode="External" Id="rId14005"/><Relationship Type="http://schemas.openxmlformats.org/officeDocument/2006/relationships/hyperlink" Target="imagenes/T_TAHARI_6621069_BLK_3.jpg" TargetMode="External" Id="rId14006"/><Relationship Type="http://schemas.openxmlformats.org/officeDocument/2006/relationships/hyperlink" Target="imagenes/T_TAHARI_6621069_BLK_1.jpg" TargetMode="External" Id="rId14007"/><Relationship Type="http://schemas.openxmlformats.org/officeDocument/2006/relationships/hyperlink" Target="imagenes/T_TAHARI_6621069_BLK_2.jpg" TargetMode="External" Id="rId14008"/><Relationship Type="http://schemas.openxmlformats.org/officeDocument/2006/relationships/hyperlink" Target="imagenes/T_TAHARI_6621069_BLK_3.jpg" TargetMode="External" Id="rId14009"/><Relationship Type="http://schemas.openxmlformats.org/officeDocument/2006/relationships/hyperlink" Target="imagenes/T_TAHARI_6621069_BLK_1.jpg" TargetMode="External" Id="rId14010"/><Relationship Type="http://schemas.openxmlformats.org/officeDocument/2006/relationships/hyperlink" Target="imagenes/T_TAHARI_6621069_BLK_2.jpg" TargetMode="External" Id="rId14011"/><Relationship Type="http://schemas.openxmlformats.org/officeDocument/2006/relationships/hyperlink" Target="imagenes/T_TAHARI_6621069_BLK_3.jpg" TargetMode="External" Id="rId14012"/><Relationship Type="http://schemas.openxmlformats.org/officeDocument/2006/relationships/hyperlink" Target="imagenes/T_TAHARI_6621069_BLK_1.jpg" TargetMode="External" Id="rId14013"/><Relationship Type="http://schemas.openxmlformats.org/officeDocument/2006/relationships/hyperlink" Target="imagenes/T_TAHARI_6621069_BLK_2.jpg" TargetMode="External" Id="rId14014"/><Relationship Type="http://schemas.openxmlformats.org/officeDocument/2006/relationships/hyperlink" Target="imagenes/T_TAHARI_6621069_BLK_3.jpg" TargetMode="External" Id="rId14015"/><Relationship Type="http://schemas.openxmlformats.org/officeDocument/2006/relationships/hyperlink" Target="imagenes/T_TAHARI_6621069_BLK_1.jpg" TargetMode="External" Id="rId14016"/><Relationship Type="http://schemas.openxmlformats.org/officeDocument/2006/relationships/hyperlink" Target="imagenes/T_TAHARI_6621069_BLK_2.jpg" TargetMode="External" Id="rId14017"/><Relationship Type="http://schemas.openxmlformats.org/officeDocument/2006/relationships/hyperlink" Target="imagenes/T_TAHARI_6621069_BLK_3.jpg" TargetMode="External" Id="rId14018"/><Relationship Type="http://schemas.openxmlformats.org/officeDocument/2006/relationships/hyperlink" Target="imagenes/T_TAHARI_6621069_CHO_2.jpg" TargetMode="External" Id="rId14019"/><Relationship Type="http://schemas.openxmlformats.org/officeDocument/2006/relationships/hyperlink" Target="imagenes/T_TAHARI_6621069_CHO_3.jpg" TargetMode="External" Id="rId14020"/><Relationship Type="http://schemas.openxmlformats.org/officeDocument/2006/relationships/hyperlink" Target="imagenes/T_TAHARI_6621069_CHO_2.jpg" TargetMode="External" Id="rId14021"/><Relationship Type="http://schemas.openxmlformats.org/officeDocument/2006/relationships/hyperlink" Target="imagenes/T_TAHARI_6621069_CHO_3.jpg" TargetMode="External" Id="rId14022"/><Relationship Type="http://schemas.openxmlformats.org/officeDocument/2006/relationships/hyperlink" Target="imagenes/T_TAHARI_6621069_CHO_2.jpg" TargetMode="External" Id="rId14023"/><Relationship Type="http://schemas.openxmlformats.org/officeDocument/2006/relationships/hyperlink" Target="imagenes/T_TAHARI_6621069_CHO_3.jpg" TargetMode="External" Id="rId14024"/><Relationship Type="http://schemas.openxmlformats.org/officeDocument/2006/relationships/hyperlink" Target="imagenes/T_TAHARI_6621069_CHO_2.jpg" TargetMode="External" Id="rId14025"/><Relationship Type="http://schemas.openxmlformats.org/officeDocument/2006/relationships/hyperlink" Target="imagenes/T_TAHARI_6621069_CHO_3.jpg" TargetMode="External" Id="rId14026"/><Relationship Type="http://schemas.openxmlformats.org/officeDocument/2006/relationships/hyperlink" Target="imagenes/T_TAHARI_6621069_CHO_2.jpg" TargetMode="External" Id="rId14027"/><Relationship Type="http://schemas.openxmlformats.org/officeDocument/2006/relationships/hyperlink" Target="imagenes/T_TAHARI_6621069_CHO_3.jpg" TargetMode="External" Id="rId14028"/><Relationship Type="http://schemas.openxmlformats.org/officeDocument/2006/relationships/hyperlink" Target="imagenes/T_TAHARI_6621069_CHO_2.jpg" TargetMode="External" Id="rId14029"/><Relationship Type="http://schemas.openxmlformats.org/officeDocument/2006/relationships/hyperlink" Target="imagenes/T_TAHARI_6621069_CHO_3.jpg" TargetMode="External" Id="rId14030"/><Relationship Type="http://schemas.openxmlformats.org/officeDocument/2006/relationships/hyperlink" Target="imagenes/T_TAHARI_6621069_CHO_2.jpg" TargetMode="External" Id="rId14031"/><Relationship Type="http://schemas.openxmlformats.org/officeDocument/2006/relationships/hyperlink" Target="imagenes/T_TAHARI_6621069_CHO_3.jpg" TargetMode="External" Id="rId14032"/><Relationship Type="http://schemas.openxmlformats.org/officeDocument/2006/relationships/hyperlink" Target="imagenes/T_TAHARI_6621069_CHO_2.jpg" TargetMode="External" Id="rId14033"/><Relationship Type="http://schemas.openxmlformats.org/officeDocument/2006/relationships/hyperlink" Target="imagenes/T_TAHARI_6621069_CHO_3.jpg" TargetMode="External" Id="rId14034"/><Relationship Type="http://schemas.openxmlformats.org/officeDocument/2006/relationships/hyperlink" Target="imagenes/T_TAHARI_6621069_CHO_2.jpg" TargetMode="External" Id="rId14035"/><Relationship Type="http://schemas.openxmlformats.org/officeDocument/2006/relationships/hyperlink" Target="imagenes/T_TAHARI_6621069_CHO_3.jpg" TargetMode="External" Id="rId14036"/><Relationship Type="http://schemas.openxmlformats.org/officeDocument/2006/relationships/hyperlink" Target="imagenes/T_TAHARI_6621069_CHO_2.jpg" TargetMode="External" Id="rId14037"/><Relationship Type="http://schemas.openxmlformats.org/officeDocument/2006/relationships/hyperlink" Target="imagenes/T_TAHARI_6621069_CHO_3.jpg" TargetMode="External" Id="rId14038"/><Relationship Type="http://schemas.openxmlformats.org/officeDocument/2006/relationships/hyperlink" Target="imagenes/T_TAHARI_6621069_CHO_2.jpg" TargetMode="External" Id="rId14039"/><Relationship Type="http://schemas.openxmlformats.org/officeDocument/2006/relationships/hyperlink" Target="imagenes/T_TAHARI_6621069_CHO_3.jpg" TargetMode="External" Id="rId14040"/><Relationship Type="http://schemas.openxmlformats.org/officeDocument/2006/relationships/hyperlink" Target="imagenes/T_TAHARI_6621069_CHO_2.jpg" TargetMode="External" Id="rId14041"/><Relationship Type="http://schemas.openxmlformats.org/officeDocument/2006/relationships/hyperlink" Target="imagenes/T_TAHARI_6621069_CHO_3.jpg" TargetMode="External" Id="rId14042"/><Relationship Type="http://schemas.openxmlformats.org/officeDocument/2006/relationships/hyperlink" Target="imagenes/T_TAHARI_6621069_CHO_2.jpg" TargetMode="External" Id="rId14043"/><Relationship Type="http://schemas.openxmlformats.org/officeDocument/2006/relationships/hyperlink" Target="imagenes/T_TAHARI_6621069_CHO_3.jpg" TargetMode="External" Id="rId14044"/><Relationship Type="http://schemas.openxmlformats.org/officeDocument/2006/relationships/hyperlink" Target="imagenes/T_TAHARI_6621069_CHO_2.jpg" TargetMode="External" Id="rId14045"/><Relationship Type="http://schemas.openxmlformats.org/officeDocument/2006/relationships/hyperlink" Target="imagenes/T_TAHARI_6621069_CHO_3.jpg" TargetMode="External" Id="rId14046"/><Relationship Type="http://schemas.openxmlformats.org/officeDocument/2006/relationships/hyperlink" Target="imagenes/T_TAHARI_6621069_CHO_2.jpg" TargetMode="External" Id="rId14047"/><Relationship Type="http://schemas.openxmlformats.org/officeDocument/2006/relationships/hyperlink" Target="imagenes/T_TAHARI_6621069_CHO_3.jpg" TargetMode="External" Id="rId14048"/><Relationship Type="http://schemas.openxmlformats.org/officeDocument/2006/relationships/hyperlink" Target="imagenes/T_TAHARI_6621069_CHO_2.jpg" TargetMode="External" Id="rId14049"/><Relationship Type="http://schemas.openxmlformats.org/officeDocument/2006/relationships/hyperlink" Target="imagenes/T_TAHARI_6621069_CHO_3.jpg" TargetMode="External" Id="rId14050"/><Relationship Type="http://schemas.openxmlformats.org/officeDocument/2006/relationships/hyperlink" Target="imagenes/T_TAHARI_6621069_GXY_1.jpg" TargetMode="External" Id="rId14051"/><Relationship Type="http://schemas.openxmlformats.org/officeDocument/2006/relationships/hyperlink" Target="imagenes/T_TAHARI_6621069_GXY_2.jpg" TargetMode="External" Id="rId14052"/><Relationship Type="http://schemas.openxmlformats.org/officeDocument/2006/relationships/hyperlink" Target="imagenes/T_TAHARI_6621069_GXY_3.jpg" TargetMode="External" Id="rId14053"/><Relationship Type="http://schemas.openxmlformats.org/officeDocument/2006/relationships/hyperlink" Target="imagenes/T_TAHARI_6621069_GXY_1.jpg" TargetMode="External" Id="rId14054"/><Relationship Type="http://schemas.openxmlformats.org/officeDocument/2006/relationships/hyperlink" Target="imagenes/T_TAHARI_6621069_GXY_2.jpg" TargetMode="External" Id="rId14055"/><Relationship Type="http://schemas.openxmlformats.org/officeDocument/2006/relationships/hyperlink" Target="imagenes/T_TAHARI_6621069_GXY_3.jpg" TargetMode="External" Id="rId14056"/><Relationship Type="http://schemas.openxmlformats.org/officeDocument/2006/relationships/hyperlink" Target="imagenes/T_TAHARI_6621069_GXY_1.jpg" TargetMode="External" Id="rId14057"/><Relationship Type="http://schemas.openxmlformats.org/officeDocument/2006/relationships/hyperlink" Target="imagenes/T_TAHARI_6621069_GXY_2.jpg" TargetMode="External" Id="rId14058"/><Relationship Type="http://schemas.openxmlformats.org/officeDocument/2006/relationships/hyperlink" Target="imagenes/T_TAHARI_6621069_GXY_3.jpg" TargetMode="External" Id="rId14059"/><Relationship Type="http://schemas.openxmlformats.org/officeDocument/2006/relationships/hyperlink" Target="imagenes/T_TAHARI_6621069_GXY_1.jpg" TargetMode="External" Id="rId14060"/><Relationship Type="http://schemas.openxmlformats.org/officeDocument/2006/relationships/hyperlink" Target="imagenes/T_TAHARI_6621069_GXY_2.jpg" TargetMode="External" Id="rId14061"/><Relationship Type="http://schemas.openxmlformats.org/officeDocument/2006/relationships/hyperlink" Target="imagenes/T_TAHARI_6621069_GXY_3.jpg" TargetMode="External" Id="rId14062"/><Relationship Type="http://schemas.openxmlformats.org/officeDocument/2006/relationships/hyperlink" Target="imagenes/T_TAHARI_6621069_GXY_1.jpg" TargetMode="External" Id="rId14063"/><Relationship Type="http://schemas.openxmlformats.org/officeDocument/2006/relationships/hyperlink" Target="imagenes/T_TAHARI_6621069_GXY_2.jpg" TargetMode="External" Id="rId14064"/><Relationship Type="http://schemas.openxmlformats.org/officeDocument/2006/relationships/hyperlink" Target="imagenes/T_TAHARI_6621069_GXY_3.jpg" TargetMode="External" Id="rId14065"/><Relationship Type="http://schemas.openxmlformats.org/officeDocument/2006/relationships/hyperlink" Target="imagenes/T_TAHARI_6621069_GXY_1.jpg" TargetMode="External" Id="rId14066"/><Relationship Type="http://schemas.openxmlformats.org/officeDocument/2006/relationships/hyperlink" Target="imagenes/T_TAHARI_6621069_GXY_2.jpg" TargetMode="External" Id="rId14067"/><Relationship Type="http://schemas.openxmlformats.org/officeDocument/2006/relationships/hyperlink" Target="imagenes/T_TAHARI_6621069_GXY_3.jpg" TargetMode="External" Id="rId14068"/><Relationship Type="http://schemas.openxmlformats.org/officeDocument/2006/relationships/hyperlink" Target="imagenes/T_TAHARI_6621069_GXY_1.jpg" TargetMode="External" Id="rId14069"/><Relationship Type="http://schemas.openxmlformats.org/officeDocument/2006/relationships/hyperlink" Target="imagenes/T_TAHARI_6621069_GXY_2.jpg" TargetMode="External" Id="rId14070"/><Relationship Type="http://schemas.openxmlformats.org/officeDocument/2006/relationships/hyperlink" Target="imagenes/T_TAHARI_6621069_GXY_3.jpg" TargetMode="External" Id="rId14071"/><Relationship Type="http://schemas.openxmlformats.org/officeDocument/2006/relationships/hyperlink" Target="imagenes/T_TAHARI_6621069_GXY_1.jpg" TargetMode="External" Id="rId14072"/><Relationship Type="http://schemas.openxmlformats.org/officeDocument/2006/relationships/hyperlink" Target="imagenes/T_TAHARI_6621069_GXY_2.jpg" TargetMode="External" Id="rId14073"/><Relationship Type="http://schemas.openxmlformats.org/officeDocument/2006/relationships/hyperlink" Target="imagenes/T_TAHARI_6621069_GXY_3.jpg" TargetMode="External" Id="rId14074"/><Relationship Type="http://schemas.openxmlformats.org/officeDocument/2006/relationships/hyperlink" Target="imagenes/T_TAHARI_6621069_GXY_1.jpg" TargetMode="External" Id="rId14075"/><Relationship Type="http://schemas.openxmlformats.org/officeDocument/2006/relationships/hyperlink" Target="imagenes/T_TAHARI_6621069_GXY_2.jpg" TargetMode="External" Id="rId14076"/><Relationship Type="http://schemas.openxmlformats.org/officeDocument/2006/relationships/hyperlink" Target="imagenes/T_TAHARI_6621069_GXY_3.jpg" TargetMode="External" Id="rId14077"/><Relationship Type="http://schemas.openxmlformats.org/officeDocument/2006/relationships/hyperlink" Target="imagenes/T_TAHARI_6621069_GXY_1.jpg" TargetMode="External" Id="rId14078"/><Relationship Type="http://schemas.openxmlformats.org/officeDocument/2006/relationships/hyperlink" Target="imagenes/T_TAHARI_6621069_GXY_2.jpg" TargetMode="External" Id="rId14079"/><Relationship Type="http://schemas.openxmlformats.org/officeDocument/2006/relationships/hyperlink" Target="imagenes/T_TAHARI_6621069_GXY_3.jpg" TargetMode="External" Id="rId14080"/><Relationship Type="http://schemas.openxmlformats.org/officeDocument/2006/relationships/hyperlink" Target="imagenes/T_TAHARI_6621069_GXY_1.jpg" TargetMode="External" Id="rId14081"/><Relationship Type="http://schemas.openxmlformats.org/officeDocument/2006/relationships/hyperlink" Target="imagenes/T_TAHARI_6621069_GXY_2.jpg" TargetMode="External" Id="rId14082"/><Relationship Type="http://schemas.openxmlformats.org/officeDocument/2006/relationships/hyperlink" Target="imagenes/T_TAHARI_6621069_GXY_3.jpg" TargetMode="External" Id="rId14083"/><Relationship Type="http://schemas.openxmlformats.org/officeDocument/2006/relationships/hyperlink" Target="imagenes/T_TAHARI_6621069_GXY_1.jpg" TargetMode="External" Id="rId14084"/><Relationship Type="http://schemas.openxmlformats.org/officeDocument/2006/relationships/hyperlink" Target="imagenes/T_TAHARI_6621069_GXY_2.jpg" TargetMode="External" Id="rId14085"/><Relationship Type="http://schemas.openxmlformats.org/officeDocument/2006/relationships/hyperlink" Target="imagenes/T_TAHARI_6621069_GXY_3.jpg" TargetMode="External" Id="rId14086"/><Relationship Type="http://schemas.openxmlformats.org/officeDocument/2006/relationships/hyperlink" Target="imagenes/T_TAHARI_6621069_STL_1.jpg" TargetMode="External" Id="rId14087"/><Relationship Type="http://schemas.openxmlformats.org/officeDocument/2006/relationships/hyperlink" Target="imagenes/T_TAHARI_6621069_STL_2.jpg" TargetMode="External" Id="rId14088"/><Relationship Type="http://schemas.openxmlformats.org/officeDocument/2006/relationships/hyperlink" Target="imagenes/T_TAHARI_6621069_STL_3.jpg" TargetMode="External" Id="rId14089"/><Relationship Type="http://schemas.openxmlformats.org/officeDocument/2006/relationships/hyperlink" Target="imagenes/T_TAHARI_6621069_STL_1.jpg" TargetMode="External" Id="rId14090"/><Relationship Type="http://schemas.openxmlformats.org/officeDocument/2006/relationships/hyperlink" Target="imagenes/T_TAHARI_6621069_STL_2.jpg" TargetMode="External" Id="rId14091"/><Relationship Type="http://schemas.openxmlformats.org/officeDocument/2006/relationships/hyperlink" Target="imagenes/T_TAHARI_6621069_STL_3.jpg" TargetMode="External" Id="rId14092"/><Relationship Type="http://schemas.openxmlformats.org/officeDocument/2006/relationships/hyperlink" Target="imagenes/T_TAHARI_6621096_BLK_1.jpg" TargetMode="External" Id="rId14093"/><Relationship Type="http://schemas.openxmlformats.org/officeDocument/2006/relationships/hyperlink" Target="imagenes/T_TAHARI_6621096_BLK_2.jpg" TargetMode="External" Id="rId14094"/><Relationship Type="http://schemas.openxmlformats.org/officeDocument/2006/relationships/hyperlink" Target="imagenes/T_TAHARI_6621096_BLK_3.jpg" TargetMode="External" Id="rId14095"/><Relationship Type="http://schemas.openxmlformats.org/officeDocument/2006/relationships/hyperlink" Target="imagenes/T_TAHARI_6621096_BLK_1.jpg" TargetMode="External" Id="rId14096"/><Relationship Type="http://schemas.openxmlformats.org/officeDocument/2006/relationships/hyperlink" Target="imagenes/T_TAHARI_6621096_BLK_2.jpg" TargetMode="External" Id="rId14097"/><Relationship Type="http://schemas.openxmlformats.org/officeDocument/2006/relationships/hyperlink" Target="imagenes/T_TAHARI_6621096_BLK_3.jpg" TargetMode="External" Id="rId14098"/><Relationship Type="http://schemas.openxmlformats.org/officeDocument/2006/relationships/hyperlink" Target="imagenes/T_TAHARI_6621096_BLK_1.jpg" TargetMode="External" Id="rId14099"/><Relationship Type="http://schemas.openxmlformats.org/officeDocument/2006/relationships/hyperlink" Target="imagenes/T_TAHARI_6621096_BLK_2.jpg" TargetMode="External" Id="rId14100"/><Relationship Type="http://schemas.openxmlformats.org/officeDocument/2006/relationships/hyperlink" Target="imagenes/T_TAHARI_6621096_BLK_3.jpg" TargetMode="External" Id="rId14101"/><Relationship Type="http://schemas.openxmlformats.org/officeDocument/2006/relationships/hyperlink" Target="imagenes/T_TAHARI_6621096_GXY_1.jpg" TargetMode="External" Id="rId14102"/><Relationship Type="http://schemas.openxmlformats.org/officeDocument/2006/relationships/hyperlink" Target="imagenes/T_TAHARI_6621096_GXY_2.jpg" TargetMode="External" Id="rId14103"/><Relationship Type="http://schemas.openxmlformats.org/officeDocument/2006/relationships/hyperlink" Target="imagenes/T_TAHARI_6621096_GXY_3.jpg" TargetMode="External" Id="rId14104"/><Relationship Type="http://schemas.openxmlformats.org/officeDocument/2006/relationships/hyperlink" Target="imagenes/T_TAHARI_6621096_GXY_1.jpg" TargetMode="External" Id="rId14105"/><Relationship Type="http://schemas.openxmlformats.org/officeDocument/2006/relationships/hyperlink" Target="imagenes/T_TAHARI_6621096_GXY_2.jpg" TargetMode="External" Id="rId14106"/><Relationship Type="http://schemas.openxmlformats.org/officeDocument/2006/relationships/hyperlink" Target="imagenes/T_TAHARI_6621096_GXY_3.jpg" TargetMode="External" Id="rId14107"/><Relationship Type="http://schemas.openxmlformats.org/officeDocument/2006/relationships/hyperlink" Target="imagenes/T_TAHARI_6623718_FRG_1.jpg" TargetMode="External" Id="rId14108"/><Relationship Type="http://schemas.openxmlformats.org/officeDocument/2006/relationships/hyperlink" Target="imagenes/T_TAHARI_6623718_FRG_2.jpg" TargetMode="External" Id="rId14109"/><Relationship Type="http://schemas.openxmlformats.org/officeDocument/2006/relationships/hyperlink" Target="imagenes/T_TAHARI_6623718_FRG_3.jpg" TargetMode="External" Id="rId14110"/><Relationship Type="http://schemas.openxmlformats.org/officeDocument/2006/relationships/hyperlink" Target="imagenes/T_TAHARI_6624223_BLK_1.jpg" TargetMode="External" Id="rId14111"/><Relationship Type="http://schemas.openxmlformats.org/officeDocument/2006/relationships/hyperlink" Target="imagenes/T_TAHARI_6624223_BLK_2.jpg" TargetMode="External" Id="rId14112"/><Relationship Type="http://schemas.openxmlformats.org/officeDocument/2006/relationships/hyperlink" Target="imagenes/T_TAHARI_6624223_BLK_3.jpg" TargetMode="External" Id="rId14113"/><Relationship Type="http://schemas.openxmlformats.org/officeDocument/2006/relationships/hyperlink" Target="imagenes/T_TAHARI_6625156_MOT_1.jpg" TargetMode="External" Id="rId14114"/><Relationship Type="http://schemas.openxmlformats.org/officeDocument/2006/relationships/hyperlink" Target="imagenes/T_TAHARI_6625156_MOT_2.jpg" TargetMode="External" Id="rId14115"/><Relationship Type="http://schemas.openxmlformats.org/officeDocument/2006/relationships/hyperlink" Target="imagenes/T_TAHARI_6625156_MOT_3.jpg" TargetMode="External" Id="rId14116"/><Relationship Type="http://schemas.openxmlformats.org/officeDocument/2006/relationships/hyperlink" Target="imagenes/T_TAHARI_6625156_MOT_1.jpg" TargetMode="External" Id="rId14117"/><Relationship Type="http://schemas.openxmlformats.org/officeDocument/2006/relationships/hyperlink" Target="imagenes/T_TAHARI_6625156_MOT_2.jpg" TargetMode="External" Id="rId14118"/><Relationship Type="http://schemas.openxmlformats.org/officeDocument/2006/relationships/hyperlink" Target="imagenes/T_TAHARI_6625156_MOT_3.jpg" TargetMode="External" Id="rId14119"/><Relationship Type="http://schemas.openxmlformats.org/officeDocument/2006/relationships/hyperlink" Target="imagenes/T_TAHARI_6627123_BLK_1.jpg" TargetMode="External" Id="rId14120"/><Relationship Type="http://schemas.openxmlformats.org/officeDocument/2006/relationships/hyperlink" Target="imagenes/T_TAHARI_6627123_BLK_2.jpg" TargetMode="External" Id="rId14121"/><Relationship Type="http://schemas.openxmlformats.org/officeDocument/2006/relationships/hyperlink" Target="imagenes/T_TAHARI_6627123_BLK_3.jpg" TargetMode="External" Id="rId14122"/><Relationship Type="http://schemas.openxmlformats.org/officeDocument/2006/relationships/hyperlink" Target="imagenes/T_TAHARI_6627123_BLK_1.jpg" TargetMode="External" Id="rId14123"/><Relationship Type="http://schemas.openxmlformats.org/officeDocument/2006/relationships/hyperlink" Target="imagenes/T_TAHARI_6627123_BLK_2.jpg" TargetMode="External" Id="rId14124"/><Relationship Type="http://schemas.openxmlformats.org/officeDocument/2006/relationships/hyperlink" Target="imagenes/T_TAHARI_6627123_BLK_3.jpg" TargetMode="External" Id="rId14125"/><Relationship Type="http://schemas.openxmlformats.org/officeDocument/2006/relationships/hyperlink" Target="imagenes/T_TAHARI_6627123_BLK_1.jpg" TargetMode="External" Id="rId14126"/><Relationship Type="http://schemas.openxmlformats.org/officeDocument/2006/relationships/hyperlink" Target="imagenes/T_TAHARI_6627123_BLK_2.jpg" TargetMode="External" Id="rId14127"/><Relationship Type="http://schemas.openxmlformats.org/officeDocument/2006/relationships/hyperlink" Target="imagenes/T_TAHARI_6627123_BLK_3.jpg" TargetMode="External" Id="rId14128"/><Relationship Type="http://schemas.openxmlformats.org/officeDocument/2006/relationships/hyperlink" Target="imagenes/T_TAHARI_6627123_BLK_1.jpg" TargetMode="External" Id="rId14129"/><Relationship Type="http://schemas.openxmlformats.org/officeDocument/2006/relationships/hyperlink" Target="imagenes/T_TAHARI_6627123_BLK_2.jpg" TargetMode="External" Id="rId14130"/><Relationship Type="http://schemas.openxmlformats.org/officeDocument/2006/relationships/hyperlink" Target="imagenes/T_TAHARI_6627123_BLK_3.jpg" TargetMode="External" Id="rId14131"/><Relationship Type="http://schemas.openxmlformats.org/officeDocument/2006/relationships/hyperlink" Target="imagenes/T_TAHARI_6627123_BLK_1.jpg" TargetMode="External" Id="rId14132"/><Relationship Type="http://schemas.openxmlformats.org/officeDocument/2006/relationships/hyperlink" Target="imagenes/T_TAHARI_6627123_BLK_2.jpg" TargetMode="External" Id="rId14133"/><Relationship Type="http://schemas.openxmlformats.org/officeDocument/2006/relationships/hyperlink" Target="imagenes/T_TAHARI_6627123_BLK_3.jpg" TargetMode="External" Id="rId14134"/><Relationship Type="http://schemas.openxmlformats.org/officeDocument/2006/relationships/hyperlink" Target="imagenes/T_TAHARI_6627123_BLK_1.jpg" TargetMode="External" Id="rId14135"/><Relationship Type="http://schemas.openxmlformats.org/officeDocument/2006/relationships/hyperlink" Target="imagenes/T_TAHARI_6627123_BLK_2.jpg" TargetMode="External" Id="rId14136"/><Relationship Type="http://schemas.openxmlformats.org/officeDocument/2006/relationships/hyperlink" Target="imagenes/T_TAHARI_6627123_BLK_3.jpg" TargetMode="External" Id="rId14137"/><Relationship Type="http://schemas.openxmlformats.org/officeDocument/2006/relationships/hyperlink" Target="imagenes/T_TAHARI_6627123_BLK_1.jpg" TargetMode="External" Id="rId14138"/><Relationship Type="http://schemas.openxmlformats.org/officeDocument/2006/relationships/hyperlink" Target="imagenes/T_TAHARI_6627123_BLK_2.jpg" TargetMode="External" Id="rId14139"/><Relationship Type="http://schemas.openxmlformats.org/officeDocument/2006/relationships/hyperlink" Target="imagenes/T_TAHARI_6627123_BLK_3.jpg" TargetMode="External" Id="rId14140"/><Relationship Type="http://schemas.openxmlformats.org/officeDocument/2006/relationships/hyperlink" Target="imagenes/T_TAHARI_6627123_BLK_1.jpg" TargetMode="External" Id="rId14141"/><Relationship Type="http://schemas.openxmlformats.org/officeDocument/2006/relationships/hyperlink" Target="imagenes/T_TAHARI_6627123_BLK_2.jpg" TargetMode="External" Id="rId14142"/><Relationship Type="http://schemas.openxmlformats.org/officeDocument/2006/relationships/hyperlink" Target="imagenes/T_TAHARI_6627123_BLK_3.jpg" TargetMode="External" Id="rId14143"/><Relationship Type="http://schemas.openxmlformats.org/officeDocument/2006/relationships/hyperlink" Target="imagenes/T_TAHARI_6627123_BLK_1.jpg" TargetMode="External" Id="rId14144"/><Relationship Type="http://schemas.openxmlformats.org/officeDocument/2006/relationships/hyperlink" Target="imagenes/T_TAHARI_6627123_BLK_2.jpg" TargetMode="External" Id="rId14145"/><Relationship Type="http://schemas.openxmlformats.org/officeDocument/2006/relationships/hyperlink" Target="imagenes/T_TAHARI_6627123_BLK_3.jpg" TargetMode="External" Id="rId14146"/><Relationship Type="http://schemas.openxmlformats.org/officeDocument/2006/relationships/hyperlink" Target="imagenes/T_TAHARI_6627123_BLK_1.jpg" TargetMode="External" Id="rId14147"/><Relationship Type="http://schemas.openxmlformats.org/officeDocument/2006/relationships/hyperlink" Target="imagenes/T_TAHARI_6627123_BLK_2.jpg" TargetMode="External" Id="rId14148"/><Relationship Type="http://schemas.openxmlformats.org/officeDocument/2006/relationships/hyperlink" Target="imagenes/T_TAHARI_6627123_BLK_3.jpg" TargetMode="External" Id="rId14149"/><Relationship Type="http://schemas.openxmlformats.org/officeDocument/2006/relationships/hyperlink" Target="imagenes/T_TAHARI_6627123_BLK_1.jpg" TargetMode="External" Id="rId14150"/><Relationship Type="http://schemas.openxmlformats.org/officeDocument/2006/relationships/hyperlink" Target="imagenes/T_TAHARI_6627123_BLK_2.jpg" TargetMode="External" Id="rId14151"/><Relationship Type="http://schemas.openxmlformats.org/officeDocument/2006/relationships/hyperlink" Target="imagenes/T_TAHARI_6627123_BLK_3.jpg" TargetMode="External" Id="rId14152"/><Relationship Type="http://schemas.openxmlformats.org/officeDocument/2006/relationships/hyperlink" Target="imagenes/T_TAHARI_6627123_BLK_1.jpg" TargetMode="External" Id="rId14153"/><Relationship Type="http://schemas.openxmlformats.org/officeDocument/2006/relationships/hyperlink" Target="imagenes/T_TAHARI_6627123_BLK_2.jpg" TargetMode="External" Id="rId14154"/><Relationship Type="http://schemas.openxmlformats.org/officeDocument/2006/relationships/hyperlink" Target="imagenes/T_TAHARI_6627123_BLK_3.jpg" TargetMode="External" Id="rId14155"/><Relationship Type="http://schemas.openxmlformats.org/officeDocument/2006/relationships/hyperlink" Target="imagenes/T_TAHARI_6627123_COG_2.jpg" TargetMode="External" Id="rId14156"/><Relationship Type="http://schemas.openxmlformats.org/officeDocument/2006/relationships/hyperlink" Target="imagenes/T_TAHARI_6627123_COG_3.jpg" TargetMode="External" Id="rId14157"/><Relationship Type="http://schemas.openxmlformats.org/officeDocument/2006/relationships/hyperlink" Target="imagenes/T_TAHARI_6627123_COG_2.jpg" TargetMode="External" Id="rId14158"/><Relationship Type="http://schemas.openxmlformats.org/officeDocument/2006/relationships/hyperlink" Target="imagenes/T_TAHARI_6627123_COG_3.jpg" TargetMode="External" Id="rId14159"/><Relationship Type="http://schemas.openxmlformats.org/officeDocument/2006/relationships/hyperlink" Target="imagenes/T_TAHARI_6627123_COG_2.jpg" TargetMode="External" Id="rId14160"/><Relationship Type="http://schemas.openxmlformats.org/officeDocument/2006/relationships/hyperlink" Target="imagenes/T_TAHARI_6627123_COG_3.jpg" TargetMode="External" Id="rId14161"/><Relationship Type="http://schemas.openxmlformats.org/officeDocument/2006/relationships/hyperlink" Target="imagenes/T_TAHARI_6627123_COG_2.jpg" TargetMode="External" Id="rId14162"/><Relationship Type="http://schemas.openxmlformats.org/officeDocument/2006/relationships/hyperlink" Target="imagenes/T_TAHARI_6627123_COG_3.jpg" TargetMode="External" Id="rId14163"/><Relationship Type="http://schemas.openxmlformats.org/officeDocument/2006/relationships/hyperlink" Target="imagenes/T_TAHARI_6627123_COG_2.jpg" TargetMode="External" Id="rId14164"/><Relationship Type="http://schemas.openxmlformats.org/officeDocument/2006/relationships/hyperlink" Target="imagenes/T_TAHARI_6627123_COG_3.jpg" TargetMode="External" Id="rId14165"/><Relationship Type="http://schemas.openxmlformats.org/officeDocument/2006/relationships/hyperlink" Target="imagenes/T_TAHARI_6627123_COG_2.jpg" TargetMode="External" Id="rId14166"/><Relationship Type="http://schemas.openxmlformats.org/officeDocument/2006/relationships/hyperlink" Target="imagenes/T_TAHARI_6627123_COG_3.jpg" TargetMode="External" Id="rId14167"/><Relationship Type="http://schemas.openxmlformats.org/officeDocument/2006/relationships/hyperlink" Target="imagenes/T_TAHARI_6627123_COG_2.jpg" TargetMode="External" Id="rId14168"/><Relationship Type="http://schemas.openxmlformats.org/officeDocument/2006/relationships/hyperlink" Target="imagenes/T_TAHARI_6627123_COG_3.jpg" TargetMode="External" Id="rId14169"/><Relationship Type="http://schemas.openxmlformats.org/officeDocument/2006/relationships/hyperlink" Target="imagenes/T_TAHARI_6627227_BLK_1.jpg" TargetMode="External" Id="rId14170"/><Relationship Type="http://schemas.openxmlformats.org/officeDocument/2006/relationships/hyperlink" Target="imagenes/T_TAHARI_6627227_BLK_2.jpg" TargetMode="External" Id="rId14171"/><Relationship Type="http://schemas.openxmlformats.org/officeDocument/2006/relationships/hyperlink" Target="imagenes/T_TAHARI_6627227_BLK_3.jpg" TargetMode="External" Id="rId14172"/><Relationship Type="http://schemas.openxmlformats.org/officeDocument/2006/relationships/hyperlink" Target="imagenes/T_TAHARI_6627227_NVY_1.jpg" TargetMode="External" Id="rId14173"/><Relationship Type="http://schemas.openxmlformats.org/officeDocument/2006/relationships/hyperlink" Target="imagenes/T_TAHARI_6627227_NVY_2.jpg" TargetMode="External" Id="rId14174"/><Relationship Type="http://schemas.openxmlformats.org/officeDocument/2006/relationships/hyperlink" Target="imagenes/T_TAHARI_6627227_NVY_3.jpg" TargetMode="External" Id="rId14175"/><Relationship Type="http://schemas.openxmlformats.org/officeDocument/2006/relationships/hyperlink" Target="imagenes/T_TAHARI_6627707_BLK_1.jpg" TargetMode="External" Id="rId14176"/><Relationship Type="http://schemas.openxmlformats.org/officeDocument/2006/relationships/hyperlink" Target="imagenes/T_TAHARI_6627707_BLK_2.jpg" TargetMode="External" Id="rId14177"/><Relationship Type="http://schemas.openxmlformats.org/officeDocument/2006/relationships/hyperlink" Target="imagenes/T_TAHARI_6627707_BLK_3.jpg" TargetMode="External" Id="rId14178"/><Relationship Type="http://schemas.openxmlformats.org/officeDocument/2006/relationships/hyperlink" Target="imagenes/T_TAHARI_6629242_BLK_1.jpg" TargetMode="External" Id="rId14179"/><Relationship Type="http://schemas.openxmlformats.org/officeDocument/2006/relationships/hyperlink" Target="imagenes/T_TAHARI_6629242_BLK_2.jpg" TargetMode="External" Id="rId14180"/><Relationship Type="http://schemas.openxmlformats.org/officeDocument/2006/relationships/hyperlink" Target="imagenes/T_TAHARI_6629242_BLK_3.jpg" TargetMode="External" Id="rId14181"/><Relationship Type="http://schemas.openxmlformats.org/officeDocument/2006/relationships/hyperlink" Target="imagenes/T_TAHARI_6630125_BNG_1.jpg" TargetMode="External" Id="rId14182"/><Relationship Type="http://schemas.openxmlformats.org/officeDocument/2006/relationships/hyperlink" Target="imagenes/T_TAHARI_6630125_BNG_2.jpg" TargetMode="External" Id="rId14183"/><Relationship Type="http://schemas.openxmlformats.org/officeDocument/2006/relationships/hyperlink" Target="imagenes/T_TAHARI_6630125_BNG_3.jpg" TargetMode="External" Id="rId14184"/><Relationship Type="http://schemas.openxmlformats.org/officeDocument/2006/relationships/hyperlink" Target="imagenes/T_TAHARI_6630125_BNG_1.jpg" TargetMode="External" Id="rId14185"/><Relationship Type="http://schemas.openxmlformats.org/officeDocument/2006/relationships/hyperlink" Target="imagenes/T_TAHARI_6630125_BNG_2.jpg" TargetMode="External" Id="rId14186"/><Relationship Type="http://schemas.openxmlformats.org/officeDocument/2006/relationships/hyperlink" Target="imagenes/T_TAHARI_6630125_BNG_3.jpg" TargetMode="External" Id="rId14187"/><Relationship Type="http://schemas.openxmlformats.org/officeDocument/2006/relationships/hyperlink" Target="imagenes/T_TAHARI_6630125_BNG_1.jpg" TargetMode="External" Id="rId14188"/><Relationship Type="http://schemas.openxmlformats.org/officeDocument/2006/relationships/hyperlink" Target="imagenes/T_TAHARI_6630125_BNG_2.jpg" TargetMode="External" Id="rId14189"/><Relationship Type="http://schemas.openxmlformats.org/officeDocument/2006/relationships/hyperlink" Target="imagenes/T_TAHARI_6630125_BNG_3.jpg" TargetMode="External" Id="rId14190"/><Relationship Type="http://schemas.openxmlformats.org/officeDocument/2006/relationships/hyperlink" Target="imagenes/T_TAHARI_6630125_PBU_1.jpg" TargetMode="External" Id="rId14191"/><Relationship Type="http://schemas.openxmlformats.org/officeDocument/2006/relationships/hyperlink" Target="imagenes/T_TAHARI_6630125_PBU_2.jpg" TargetMode="External" Id="rId14192"/><Relationship Type="http://schemas.openxmlformats.org/officeDocument/2006/relationships/hyperlink" Target="imagenes/T_TAHARI_6630125_PBU_3.jpg" TargetMode="External" Id="rId14193"/><Relationship Type="http://schemas.openxmlformats.org/officeDocument/2006/relationships/hyperlink" Target="imagenes/T_TAHARI_6630125_PBU_1.jpg" TargetMode="External" Id="rId14194"/><Relationship Type="http://schemas.openxmlformats.org/officeDocument/2006/relationships/hyperlink" Target="imagenes/T_TAHARI_6630125_PBU_2.jpg" TargetMode="External" Id="rId14195"/><Relationship Type="http://schemas.openxmlformats.org/officeDocument/2006/relationships/hyperlink" Target="imagenes/T_TAHARI_6630125_PBU_3.jpg" TargetMode="External" Id="rId14196"/><Relationship Type="http://schemas.openxmlformats.org/officeDocument/2006/relationships/hyperlink" Target="imagenes/T_TAHARI_6630125_PBU_1.jpg" TargetMode="External" Id="rId14197"/><Relationship Type="http://schemas.openxmlformats.org/officeDocument/2006/relationships/hyperlink" Target="imagenes/T_TAHARI_6630125_PBU_2.jpg" TargetMode="External" Id="rId14198"/><Relationship Type="http://schemas.openxmlformats.org/officeDocument/2006/relationships/hyperlink" Target="imagenes/T_TAHARI_6630125_PBU_3.jpg" TargetMode="External" Id="rId14199"/><Relationship Type="http://schemas.openxmlformats.org/officeDocument/2006/relationships/hyperlink" Target="imagenes/T_TAHARI_6637123_BLK_1.jpg" TargetMode="External" Id="rId14200"/><Relationship Type="http://schemas.openxmlformats.org/officeDocument/2006/relationships/hyperlink" Target="imagenes/T_TAHARI_6637123_BLK_2.jpg" TargetMode="External" Id="rId14201"/><Relationship Type="http://schemas.openxmlformats.org/officeDocument/2006/relationships/hyperlink" Target="imagenes/T_TAHARI_6637123_BLK_3.jpg" TargetMode="External" Id="rId14202"/><Relationship Type="http://schemas.openxmlformats.org/officeDocument/2006/relationships/hyperlink" Target="imagenes/T_TAHARI_6637123_BLK_1.jpg" TargetMode="External" Id="rId14203"/><Relationship Type="http://schemas.openxmlformats.org/officeDocument/2006/relationships/hyperlink" Target="imagenes/T_TAHARI_6637123_BLK_2.jpg" TargetMode="External" Id="rId14204"/><Relationship Type="http://schemas.openxmlformats.org/officeDocument/2006/relationships/hyperlink" Target="imagenes/T_TAHARI_6637123_BLK_3.jpg" TargetMode="External" Id="rId14205"/><Relationship Type="http://schemas.openxmlformats.org/officeDocument/2006/relationships/hyperlink" Target="imagenes/T_TAHARI_6637123_BLK_1.jpg" TargetMode="External" Id="rId14206"/><Relationship Type="http://schemas.openxmlformats.org/officeDocument/2006/relationships/hyperlink" Target="imagenes/T_TAHARI_6637123_BLK_2.jpg" TargetMode="External" Id="rId14207"/><Relationship Type="http://schemas.openxmlformats.org/officeDocument/2006/relationships/hyperlink" Target="imagenes/T_TAHARI_6637123_BLK_3.jpg" TargetMode="External" Id="rId14208"/><Relationship Type="http://schemas.openxmlformats.org/officeDocument/2006/relationships/hyperlink" Target="imagenes/T_TAHARI_6637123_BLK_1.jpg" TargetMode="External" Id="rId14209"/><Relationship Type="http://schemas.openxmlformats.org/officeDocument/2006/relationships/hyperlink" Target="imagenes/T_TAHARI_6637123_BLK_2.jpg" TargetMode="External" Id="rId14210"/><Relationship Type="http://schemas.openxmlformats.org/officeDocument/2006/relationships/hyperlink" Target="imagenes/T_TAHARI_6637123_BLK_3.jpg" TargetMode="External" Id="rId14211"/><Relationship Type="http://schemas.openxmlformats.org/officeDocument/2006/relationships/hyperlink" Target="imagenes/T_TAHARI_6637123_COG_3.jpg" TargetMode="External" Id="rId14212"/><Relationship Type="http://schemas.openxmlformats.org/officeDocument/2006/relationships/hyperlink" Target="imagenes/T_TAHARI_6637123_COG_3.jpg" TargetMode="External" Id="rId14213"/><Relationship Type="http://schemas.openxmlformats.org/officeDocument/2006/relationships/hyperlink" Target="imagenes/T_TAHARI_6637123_COG_3.jpg" TargetMode="External" Id="rId14214"/><Relationship Type="http://schemas.openxmlformats.org/officeDocument/2006/relationships/hyperlink" Target="imagenes/T_TAHARI_6637123_COG_3.jpg" TargetMode="External" Id="rId14215"/><Relationship Type="http://schemas.openxmlformats.org/officeDocument/2006/relationships/hyperlink" Target="imagenes/T_TAHARI_6721806_LEM_1.jpg" TargetMode="External" Id="rId14216"/><Relationship Type="http://schemas.openxmlformats.org/officeDocument/2006/relationships/hyperlink" Target="imagenes/T_TAHARI_6721806_LEM_2.jpg" TargetMode="External" Id="rId14217"/><Relationship Type="http://schemas.openxmlformats.org/officeDocument/2006/relationships/hyperlink" Target="imagenes/T_TAHARI_6721806_LEM_3.jpg" TargetMode="External" Id="rId14218"/><Relationship Type="http://schemas.openxmlformats.org/officeDocument/2006/relationships/hyperlink" Target="imagenes/T_TAHARI_6724257_LIL_1.jpg" TargetMode="External" Id="rId14219"/><Relationship Type="http://schemas.openxmlformats.org/officeDocument/2006/relationships/hyperlink" Target="imagenes/T_TAHARI_6724257_LIL_2.jpg" TargetMode="External" Id="rId14220"/><Relationship Type="http://schemas.openxmlformats.org/officeDocument/2006/relationships/hyperlink" Target="imagenes/T_TAHARI_6724257_LIL_3.jpg" TargetMode="External" Id="rId14221"/><Relationship Type="http://schemas.openxmlformats.org/officeDocument/2006/relationships/hyperlink" Target="imagenes/T_TAHARI_6724257_LIL_1.jpg" TargetMode="External" Id="rId14222"/><Relationship Type="http://schemas.openxmlformats.org/officeDocument/2006/relationships/hyperlink" Target="imagenes/T_TAHARI_6724257_LIL_2.jpg" TargetMode="External" Id="rId14223"/><Relationship Type="http://schemas.openxmlformats.org/officeDocument/2006/relationships/hyperlink" Target="imagenes/T_TAHARI_6724257_LIL_3.jpg" TargetMode="External" Id="rId14224"/><Relationship Type="http://schemas.openxmlformats.org/officeDocument/2006/relationships/hyperlink" Target="imagenes/T_TAHARI_6724257_LIL_1.jpg" TargetMode="External" Id="rId14225"/><Relationship Type="http://schemas.openxmlformats.org/officeDocument/2006/relationships/hyperlink" Target="imagenes/T_TAHARI_6724257_LIL_2.jpg" TargetMode="External" Id="rId14226"/><Relationship Type="http://schemas.openxmlformats.org/officeDocument/2006/relationships/hyperlink" Target="imagenes/T_TAHARI_6724257_LIL_3.jpg" TargetMode="External" Id="rId14227"/><Relationship Type="http://schemas.openxmlformats.org/officeDocument/2006/relationships/hyperlink" Target="imagenes/T_TAHARI_6724257_LIL_1.jpg" TargetMode="External" Id="rId14228"/><Relationship Type="http://schemas.openxmlformats.org/officeDocument/2006/relationships/hyperlink" Target="imagenes/T_TAHARI_6724257_LIL_2.jpg" TargetMode="External" Id="rId14229"/><Relationship Type="http://schemas.openxmlformats.org/officeDocument/2006/relationships/hyperlink" Target="imagenes/T_TAHARI_6724257_LIL_3.jpg" TargetMode="External" Id="rId14230"/><Relationship Type="http://schemas.openxmlformats.org/officeDocument/2006/relationships/hyperlink" Target="imagenes/T_TAHARI_6724257_LIL_1.jpg" TargetMode="External" Id="rId14231"/><Relationship Type="http://schemas.openxmlformats.org/officeDocument/2006/relationships/hyperlink" Target="imagenes/T_TAHARI_6724257_LIL_2.jpg" TargetMode="External" Id="rId14232"/><Relationship Type="http://schemas.openxmlformats.org/officeDocument/2006/relationships/hyperlink" Target="imagenes/T_TAHARI_6724257_LIL_3.jpg" TargetMode="External" Id="rId14233"/><Relationship Type="http://schemas.openxmlformats.org/officeDocument/2006/relationships/hyperlink" Target="imagenes/T_TAHARI_6820125_BLK_1.jpg" TargetMode="External" Id="rId14234"/><Relationship Type="http://schemas.openxmlformats.org/officeDocument/2006/relationships/hyperlink" Target="imagenes/T_TAHARI_6820125_BLK_2.jpg" TargetMode="External" Id="rId14235"/><Relationship Type="http://schemas.openxmlformats.org/officeDocument/2006/relationships/hyperlink" Target="imagenes/T_TAHARI_6820125_BLK_3.jpg" TargetMode="External" Id="rId14236"/><Relationship Type="http://schemas.openxmlformats.org/officeDocument/2006/relationships/hyperlink" Target="imagenes/T_TAHARI_6820125_BNG_1.jpg" TargetMode="External" Id="rId14237"/><Relationship Type="http://schemas.openxmlformats.org/officeDocument/2006/relationships/hyperlink" Target="imagenes/T_TAHARI_6820125_BNG_2.jpg" TargetMode="External" Id="rId14238"/><Relationship Type="http://schemas.openxmlformats.org/officeDocument/2006/relationships/hyperlink" Target="imagenes/T_TAHARI_6820125_BNG_3.jpg" TargetMode="External" Id="rId14239"/><Relationship Type="http://schemas.openxmlformats.org/officeDocument/2006/relationships/hyperlink" Target="imagenes/T_TAHARI_6820125_MBU_1.jpg" TargetMode="External" Id="rId14240"/><Relationship Type="http://schemas.openxmlformats.org/officeDocument/2006/relationships/hyperlink" Target="imagenes/T_TAHARI_6820125_MBU_2.jpg" TargetMode="External" Id="rId14241"/><Relationship Type="http://schemas.openxmlformats.org/officeDocument/2006/relationships/hyperlink" Target="imagenes/T_TAHARI_6820125_MBU_3.jpg" TargetMode="External" Id="rId14242"/><Relationship Type="http://schemas.openxmlformats.org/officeDocument/2006/relationships/hyperlink" Target="imagenes/T_TAHARI_6820125_MBU_1.jpg" TargetMode="External" Id="rId14243"/><Relationship Type="http://schemas.openxmlformats.org/officeDocument/2006/relationships/hyperlink" Target="imagenes/T_TAHARI_6820125_MBU_2.jpg" TargetMode="External" Id="rId14244"/><Relationship Type="http://schemas.openxmlformats.org/officeDocument/2006/relationships/hyperlink" Target="imagenes/T_TAHARI_6820125_MBU_3.jpg" TargetMode="External" Id="rId14245"/><Relationship Type="http://schemas.openxmlformats.org/officeDocument/2006/relationships/hyperlink" Target="imagenes/T_TAHARI_6820125_MBU_1.jpg" TargetMode="External" Id="rId14246"/><Relationship Type="http://schemas.openxmlformats.org/officeDocument/2006/relationships/hyperlink" Target="imagenes/T_TAHARI_6820125_MBU_2.jpg" TargetMode="External" Id="rId14247"/><Relationship Type="http://schemas.openxmlformats.org/officeDocument/2006/relationships/hyperlink" Target="imagenes/T_TAHARI_6820125_MBU_3.jpg" TargetMode="External" Id="rId14248"/><Relationship Type="http://schemas.openxmlformats.org/officeDocument/2006/relationships/hyperlink" Target="imagenes/T_TAHARI_6820125_PBU_1.jpg" TargetMode="External" Id="rId14249"/><Relationship Type="http://schemas.openxmlformats.org/officeDocument/2006/relationships/hyperlink" Target="imagenes/T_TAHARI_6820125_PBU_2.jpg" TargetMode="External" Id="rId14250"/><Relationship Type="http://schemas.openxmlformats.org/officeDocument/2006/relationships/hyperlink" Target="imagenes/T_TAHARI_6820125_PBU_3.jpg" TargetMode="External" Id="rId14251"/><Relationship Type="http://schemas.openxmlformats.org/officeDocument/2006/relationships/hyperlink" Target="imagenes/T_TAHARI_6820125_PBU_1.jpg" TargetMode="External" Id="rId14252"/><Relationship Type="http://schemas.openxmlformats.org/officeDocument/2006/relationships/hyperlink" Target="imagenes/T_TAHARI_6820125_PBU_2.jpg" TargetMode="External" Id="rId14253"/><Relationship Type="http://schemas.openxmlformats.org/officeDocument/2006/relationships/hyperlink" Target="imagenes/T_TAHARI_6820125_PBU_3.jpg" TargetMode="External" Id="rId14254"/><Relationship Type="http://schemas.openxmlformats.org/officeDocument/2006/relationships/hyperlink" Target="imagenes/T_TAHARI_6820125_PBU_1.jpg" TargetMode="External" Id="rId14255"/><Relationship Type="http://schemas.openxmlformats.org/officeDocument/2006/relationships/hyperlink" Target="imagenes/T_TAHARI_6820125_PBU_2.jpg" TargetMode="External" Id="rId14256"/><Relationship Type="http://schemas.openxmlformats.org/officeDocument/2006/relationships/hyperlink" Target="imagenes/T_TAHARI_6820125_PBU_3.jpg" TargetMode="External" Id="rId14257"/><Relationship Type="http://schemas.openxmlformats.org/officeDocument/2006/relationships/hyperlink" Target="imagenes/T_TAHARI_6820165_BLK_1.jpg" TargetMode="External" Id="rId14258"/><Relationship Type="http://schemas.openxmlformats.org/officeDocument/2006/relationships/hyperlink" Target="imagenes/T_TAHARI_6820165_BLK_2.jpg" TargetMode="External" Id="rId14259"/><Relationship Type="http://schemas.openxmlformats.org/officeDocument/2006/relationships/hyperlink" Target="imagenes/T_TAHARI_6820165_BLK_3.jpg" TargetMode="External" Id="rId14260"/><Relationship Type="http://schemas.openxmlformats.org/officeDocument/2006/relationships/hyperlink" Target="imagenes/T_TAHARI_6820612_BNG_1.jpg" TargetMode="External" Id="rId14261"/><Relationship Type="http://schemas.openxmlformats.org/officeDocument/2006/relationships/hyperlink" Target="imagenes/T_TAHARI_6820612_BNG_2.jpg" TargetMode="External" Id="rId14262"/><Relationship Type="http://schemas.openxmlformats.org/officeDocument/2006/relationships/hyperlink" Target="imagenes/T_TAHARI_6820612_BNG_3.jpg" TargetMode="External" Id="rId14263"/><Relationship Type="http://schemas.openxmlformats.org/officeDocument/2006/relationships/hyperlink" Target="imagenes/T_TAHARI_6820612_HGY_1.jpg" TargetMode="External" Id="rId14264"/><Relationship Type="http://schemas.openxmlformats.org/officeDocument/2006/relationships/hyperlink" Target="imagenes/T_TAHARI_6820612_HGY_2.jpg" TargetMode="External" Id="rId14265"/><Relationship Type="http://schemas.openxmlformats.org/officeDocument/2006/relationships/hyperlink" Target="imagenes/T_TAHARI_6820612_HGY_3.jpg" TargetMode="External" Id="rId14266"/><Relationship Type="http://schemas.openxmlformats.org/officeDocument/2006/relationships/hyperlink" Target="imagenes/T_TAHARI_6820612_P59_1.jpg" TargetMode="External" Id="rId14267"/><Relationship Type="http://schemas.openxmlformats.org/officeDocument/2006/relationships/hyperlink" Target="imagenes/T_TAHARI_6820612_P59_2.jpg" TargetMode="External" Id="rId14268"/><Relationship Type="http://schemas.openxmlformats.org/officeDocument/2006/relationships/hyperlink" Target="imagenes/T_TAHARI_6820612_P59_3.jpg" TargetMode="External" Id="rId14269"/><Relationship Type="http://schemas.openxmlformats.org/officeDocument/2006/relationships/hyperlink" Target="imagenes/T_TAHARI_6823951_DLE_1.jpg" TargetMode="External" Id="rId14270"/><Relationship Type="http://schemas.openxmlformats.org/officeDocument/2006/relationships/hyperlink" Target="imagenes/T_TAHARI_6823951_DLE_2.jpg" TargetMode="External" Id="rId14271"/><Relationship Type="http://schemas.openxmlformats.org/officeDocument/2006/relationships/hyperlink" Target="imagenes/T_TAHARI_6823951_DLE_3.jpg" TargetMode="External" Id="rId14272"/><Relationship Type="http://schemas.openxmlformats.org/officeDocument/2006/relationships/hyperlink" Target="imagenes/T_TAHARI_6825555_BLK_1.jpg" TargetMode="External" Id="rId14273"/><Relationship Type="http://schemas.openxmlformats.org/officeDocument/2006/relationships/hyperlink" Target="imagenes/T_TAHARI_6825555_BLK_2.jpg" TargetMode="External" Id="rId14274"/><Relationship Type="http://schemas.openxmlformats.org/officeDocument/2006/relationships/hyperlink" Target="imagenes/T_TAHARI_6825555_BLK_3.jpg" TargetMode="External" Id="rId14275"/><Relationship Type="http://schemas.openxmlformats.org/officeDocument/2006/relationships/hyperlink" Target="imagenes/T_TAHARI_6826535_HGY_1.jpg" TargetMode="External" Id="rId14276"/><Relationship Type="http://schemas.openxmlformats.org/officeDocument/2006/relationships/hyperlink" Target="imagenes/T_TAHARI_6826535_HGY_2.jpg" TargetMode="External" Id="rId14277"/><Relationship Type="http://schemas.openxmlformats.org/officeDocument/2006/relationships/hyperlink" Target="imagenes/T_TAHARI_6826535_HGY_3.jpg" TargetMode="External" Id="rId14278"/><Relationship Type="http://schemas.openxmlformats.org/officeDocument/2006/relationships/hyperlink" Target="imagenes/T_TAHARI_6833951_DLE_1.jpg" TargetMode="External" Id="rId14279"/><Relationship Type="http://schemas.openxmlformats.org/officeDocument/2006/relationships/hyperlink" Target="imagenes/T_TAHARI_6833951_DLE_2.jpg" TargetMode="External" Id="rId14280"/><Relationship Type="http://schemas.openxmlformats.org/officeDocument/2006/relationships/hyperlink" Target="imagenes/T_TAHARI_6833951_DLE_3.jpg" TargetMode="External" Id="rId14281"/><Relationship Type="http://schemas.openxmlformats.org/officeDocument/2006/relationships/hyperlink" Target="imagenes/T_TAHARI_6833951_DLE_1.jpg" TargetMode="External" Id="rId14282"/><Relationship Type="http://schemas.openxmlformats.org/officeDocument/2006/relationships/hyperlink" Target="imagenes/T_TAHARI_6833951_DLE_2.jpg" TargetMode="External" Id="rId14283"/><Relationship Type="http://schemas.openxmlformats.org/officeDocument/2006/relationships/hyperlink" Target="imagenes/T_TAHARI_6833951_DLE_3.jpg" TargetMode="External" Id="rId14284"/><Relationship Type="http://schemas.openxmlformats.org/officeDocument/2006/relationships/hyperlink" Target="imagenes/T_TAHARI_6833951_DLE_1.jpg" TargetMode="External" Id="rId14285"/><Relationship Type="http://schemas.openxmlformats.org/officeDocument/2006/relationships/hyperlink" Target="imagenes/T_TAHARI_6833951_DLE_2.jpg" TargetMode="External" Id="rId14286"/><Relationship Type="http://schemas.openxmlformats.org/officeDocument/2006/relationships/hyperlink" Target="imagenes/T_TAHARI_6833951_DLE_3.jpg" TargetMode="External" Id="rId14287"/><Relationship Type="http://schemas.openxmlformats.org/officeDocument/2006/relationships/hyperlink" Target="imagenes/T_TAHARI_6833951_DLE_1.jpg" TargetMode="External" Id="rId14288"/><Relationship Type="http://schemas.openxmlformats.org/officeDocument/2006/relationships/hyperlink" Target="imagenes/T_TAHARI_6833951_DLE_2.jpg" TargetMode="External" Id="rId14289"/><Relationship Type="http://schemas.openxmlformats.org/officeDocument/2006/relationships/hyperlink" Target="imagenes/T_TAHARI_6833951_DLE_3.jpg" TargetMode="External" Id="rId14290"/><Relationship Type="http://schemas.openxmlformats.org/officeDocument/2006/relationships/hyperlink" Target="imagenes/T_TAHARI_6928048_SKE_1.jpg" TargetMode="External" Id="rId14291"/><Relationship Type="http://schemas.openxmlformats.org/officeDocument/2006/relationships/hyperlink" Target="imagenes/T_TAHARI_6928048_SKE_2.jpg" TargetMode="External" Id="rId14292"/><Relationship Type="http://schemas.openxmlformats.org/officeDocument/2006/relationships/hyperlink" Target="imagenes/T_TAHARI_6928048_SKE_3.jpg" TargetMode="External" Id="rId14293"/><Relationship Type="http://schemas.openxmlformats.org/officeDocument/2006/relationships/hyperlink" Target="imagenes/(en_blanco)_(en_blanco)_(en_blanco)_1.jpg" TargetMode="External" Id="rId14294"/><Relationship Type="http://schemas.openxmlformats.org/officeDocument/2006/relationships/hyperlink" Target="imagenes/(en_blanco)_(en_blanco)_(en_blanco)_2.jpg" TargetMode="External" Id="rId14295"/><Relationship Type="http://schemas.openxmlformats.org/officeDocument/2006/relationships/hyperlink" Target="imagenes/(en_blanco)_(en_blanco)_(en_blanco)_3.jpg" TargetMode="External" Id="rId14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92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t="inlineStr">
        <is>
          <t>TLGDIV_NAME</t>
        </is>
      </c>
      <c r="B1" t="inlineStr">
        <is>
          <t>Style</t>
        </is>
      </c>
      <c r="C1" t="inlineStr">
        <is>
          <t>Style_Name</t>
        </is>
      </c>
      <c r="D1" t="inlineStr">
        <is>
          <t>Color_code</t>
        </is>
      </c>
      <c r="E1" t="inlineStr">
        <is>
          <t>Dm_Pk</t>
        </is>
      </c>
      <c r="F1" t="inlineStr">
        <is>
          <t>Lbl_code</t>
        </is>
      </c>
      <c r="G1" t="inlineStr">
        <is>
          <t>Size_Desc</t>
        </is>
      </c>
      <c r="H1" t="inlineStr">
        <is>
          <t>OTS_INV</t>
        </is>
      </c>
      <c r="I1" t="inlineStr">
        <is>
          <t>imagen_1</t>
        </is>
      </c>
      <c r="J1" t="inlineStr">
        <is>
          <t>imagen_2</t>
        </is>
      </c>
      <c r="K1" t="inlineStr">
        <is>
          <t>imagen_3</t>
        </is>
      </c>
      <c r="L1" t="inlineStr">
        <is>
          <t>mostrar_1</t>
        </is>
      </c>
      <c r="M1" t="inlineStr">
        <is>
          <t>mostrar_2</t>
        </is>
      </c>
      <c r="N1" t="inlineStr">
        <is>
          <t>mostrar_3</t>
        </is>
      </c>
      <c r="O1" t="inlineStr">
        <is>
          <t>ver_1</t>
        </is>
      </c>
      <c r="P1" t="inlineStr">
        <is>
          <t>ver_2</t>
        </is>
      </c>
      <c r="Q1" t="inlineStr">
        <is>
          <t>ver_3</t>
        </is>
      </c>
    </row>
    <row r="2">
      <c r="A2" t="inlineStr">
        <is>
          <t>HALIFAX WOMENS</t>
        </is>
      </c>
      <c r="B2" t="inlineStr">
        <is>
          <t>119000008</t>
        </is>
      </c>
      <c r="C2" t="inlineStr">
        <is>
          <t>Midweight Faux Fur Trimmed Puffer CBL:31</t>
        </is>
      </c>
      <c r="D2" t="inlineStr">
        <is>
          <t>BLK</t>
        </is>
      </c>
      <c r="E2" t="inlineStr">
        <is>
          <t>08A06</t>
        </is>
      </c>
      <c r="F2" t="inlineStr">
        <is>
          <t>B2230</t>
        </is>
      </c>
      <c r="G2" t="inlineStr">
        <is>
          <t>PPK</t>
        </is>
      </c>
      <c r="H2" t="n">
        <v>0</v>
      </c>
      <c r="I2" t="inlineStr">
        <is>
          <t>HALIFAX_WOMENS_119000008_BLK_1.jpg</t>
        </is>
      </c>
      <c r="J2" t="inlineStr">
        <is>
          <t>HALIFAX_WOMENS_119000008_BLK_2.jpg</t>
        </is>
      </c>
      <c r="K2" t="inlineStr">
        <is>
          <t>HALIFAX_WOMENS_119000008_BLK_3.jpg</t>
        </is>
      </c>
      <c r="L2">
        <f>IMAGE("file:///E:/Estudios%20y%20certificaciones/ESTUDIOS%20DE%20PROGRAMMING/PROGRAMMING/PERSONAL/PYTHON/Image_Generator_API/imagenes/HALIFAX_WOMENS_119000008_BLK_1.jpg")</f>
        <v/>
      </c>
      <c r="M2">
        <f>IMAGE("file:///E:/Estudios%20y%20certificaciones/ESTUDIOS%20DE%20PROGRAMMING/PROGRAMMING/PERSONAL/PYTHON/Image_Generator_API/imagenes/HALIFAX_WOMENS_119000008_BLK_2.jpg")</f>
        <v/>
      </c>
      <c r="N2">
        <f>IMAGE("file:///E:/Estudios%20y%20certificaciones/ESTUDIOS%20DE%20PROGRAMMING/PROGRAMMING/PERSONAL/PYTHON/Image_Generator_API/imagenes/HALIFAX_WOMENS_119000008_BLK_3.jpg")</f>
        <v/>
      </c>
      <c r="O2">
        <f>HYPERLINK("imagenes/HALIFAX_WOMENS_119000008_BLK_1.jpg","Ver imagen")</f>
        <v/>
      </c>
      <c r="P2">
        <f>HYPERLINK("imagenes/HALIFAX_WOMENS_119000008_BLK_2.jpg","Ver imagen")</f>
        <v/>
      </c>
      <c r="Q2">
        <f>HYPERLINK("imagenes/HALIFAX_WOMENS_119000008_BLK_3.jpg","Ver imagen")</f>
        <v/>
      </c>
    </row>
    <row r="3">
      <c r="A3" t="inlineStr">
        <is>
          <t>HALIFAX WOMENS</t>
        </is>
      </c>
      <c r="B3" t="inlineStr">
        <is>
          <t>119000008</t>
        </is>
      </c>
      <c r="C3" t="inlineStr">
        <is>
          <t>Midweight Faux Fur Trimmed Puffer CBL:31</t>
        </is>
      </c>
      <c r="D3" t="inlineStr">
        <is>
          <t>BLK</t>
        </is>
      </c>
      <c r="E3" t="inlineStr">
        <is>
          <t>(en blanco)</t>
        </is>
      </c>
      <c r="F3" t="inlineStr">
        <is>
          <t>(en blanco)</t>
        </is>
      </c>
      <c r="G3" t="inlineStr">
        <is>
          <t>S</t>
        </is>
      </c>
      <c r="H3" t="n">
        <v>37</v>
      </c>
      <c r="I3" t="inlineStr">
        <is>
          <t>HALIFAX_WOMENS_119000008_BLK_1.jpg</t>
        </is>
      </c>
      <c r="J3" t="inlineStr">
        <is>
          <t>HALIFAX_WOMENS_119000008_BLK_2.jpg</t>
        </is>
      </c>
      <c r="K3" t="inlineStr">
        <is>
          <t>HALIFAX_WOMENS_119000008_BLK_3.jpg</t>
        </is>
      </c>
      <c r="L3">
        <f>IMAGE("file:///E:/Estudios%20y%20certificaciones/ESTUDIOS%20DE%20PROGRAMMING/PROGRAMMING/PERSONAL/PYTHON/Image_Generator_API/imagenes/HALIFAX_WOMENS_119000008_BLK_1.jpg")</f>
        <v/>
      </c>
      <c r="M3">
        <f>IMAGE("file:///E:/Estudios%20y%20certificaciones/ESTUDIOS%20DE%20PROGRAMMING/PROGRAMMING/PERSONAL/PYTHON/Image_Generator_API/imagenes/HALIFAX_WOMENS_119000008_BLK_2.jpg")</f>
        <v/>
      </c>
      <c r="N3">
        <f>IMAGE("file:///E:/Estudios%20y%20certificaciones/ESTUDIOS%20DE%20PROGRAMMING/PROGRAMMING/PERSONAL/PYTHON/Image_Generator_API/imagenes/HALIFAX_WOMENS_119000008_BLK_3.jpg")</f>
        <v/>
      </c>
      <c r="O3">
        <f>HYPERLINK("imagenes/HALIFAX_WOMENS_119000008_BLK_1.jpg","Ver imagen")</f>
        <v/>
      </c>
      <c r="P3">
        <f>HYPERLINK("imagenes/HALIFAX_WOMENS_119000008_BLK_2.jpg","Ver imagen")</f>
        <v/>
      </c>
      <c r="Q3">
        <f>HYPERLINK("imagenes/HALIFAX_WOMENS_119000008_BLK_3.jpg","Ver imagen")</f>
        <v/>
      </c>
    </row>
    <row r="4">
      <c r="A4" t="inlineStr">
        <is>
          <t>HALIFAX WOMENS</t>
        </is>
      </c>
      <c r="B4" t="inlineStr">
        <is>
          <t>119000008</t>
        </is>
      </c>
      <c r="C4" t="inlineStr">
        <is>
          <t>Midweight Faux Fur Trimmed Puffer CBL:31</t>
        </is>
      </c>
      <c r="D4" t="inlineStr">
        <is>
          <t>BLK</t>
        </is>
      </c>
      <c r="E4" t="inlineStr">
        <is>
          <t>(en blanco)</t>
        </is>
      </c>
      <c r="F4" t="inlineStr">
        <is>
          <t>(en blanco)</t>
        </is>
      </c>
      <c r="G4" t="inlineStr">
        <is>
          <t>M</t>
        </is>
      </c>
      <c r="H4" t="n">
        <v>72</v>
      </c>
      <c r="I4" t="inlineStr">
        <is>
          <t>HALIFAX_WOMENS_119000008_BLK_1.jpg</t>
        </is>
      </c>
      <c r="J4" t="inlineStr">
        <is>
          <t>HALIFAX_WOMENS_119000008_BLK_2.jpg</t>
        </is>
      </c>
      <c r="K4" t="inlineStr">
        <is>
          <t>HALIFAX_WOMENS_119000008_BLK_3.jpg</t>
        </is>
      </c>
      <c r="L4">
        <f>IMAGE("file:///E:/Estudios%20y%20certificaciones/ESTUDIOS%20DE%20PROGRAMMING/PROGRAMMING/PERSONAL/PYTHON/Image_Generator_API/imagenes/HALIFAX_WOMENS_119000008_BLK_1.jpg")</f>
        <v/>
      </c>
      <c r="M4">
        <f>IMAGE("file:///E:/Estudios%20y%20certificaciones/ESTUDIOS%20DE%20PROGRAMMING/PROGRAMMING/PERSONAL/PYTHON/Image_Generator_API/imagenes/HALIFAX_WOMENS_119000008_BLK_2.jpg")</f>
        <v/>
      </c>
      <c r="N4">
        <f>IMAGE("file:///E:/Estudios%20y%20certificaciones/ESTUDIOS%20DE%20PROGRAMMING/PROGRAMMING/PERSONAL/PYTHON/Image_Generator_API/imagenes/HALIFAX_WOMENS_119000008_BLK_3.jpg")</f>
        <v/>
      </c>
      <c r="O4">
        <f>HYPERLINK("imagenes/HALIFAX_WOMENS_119000008_BLK_1.jpg","Ver imagen")</f>
        <v/>
      </c>
      <c r="P4">
        <f>HYPERLINK("imagenes/HALIFAX_WOMENS_119000008_BLK_2.jpg","Ver imagen")</f>
        <v/>
      </c>
      <c r="Q4">
        <f>HYPERLINK("imagenes/HALIFAX_WOMENS_119000008_BLK_3.jpg","Ver imagen")</f>
        <v/>
      </c>
    </row>
    <row r="5">
      <c r="A5" t="inlineStr">
        <is>
          <t>HALIFAX WOMENS</t>
        </is>
      </c>
      <c r="B5" t="inlineStr">
        <is>
          <t>119000008</t>
        </is>
      </c>
      <c r="C5" t="inlineStr">
        <is>
          <t>Midweight Faux Fur Trimmed Puffer CBL:31</t>
        </is>
      </c>
      <c r="D5" t="inlineStr">
        <is>
          <t>BLK</t>
        </is>
      </c>
      <c r="E5" t="inlineStr">
        <is>
          <t>(en blanco)</t>
        </is>
      </c>
      <c r="F5" t="inlineStr">
        <is>
          <t>(en blanco)</t>
        </is>
      </c>
      <c r="G5" t="inlineStr">
        <is>
          <t>L</t>
        </is>
      </c>
      <c r="H5" t="n">
        <v>71</v>
      </c>
      <c r="I5" t="inlineStr">
        <is>
          <t>HALIFAX_WOMENS_119000008_BLK_1.jpg</t>
        </is>
      </c>
      <c r="J5" t="inlineStr">
        <is>
          <t>HALIFAX_WOMENS_119000008_BLK_2.jpg</t>
        </is>
      </c>
      <c r="K5" t="inlineStr">
        <is>
          <t>HALIFAX_WOMENS_119000008_BLK_3.jpg</t>
        </is>
      </c>
      <c r="L5">
        <f>IMAGE("file:///E:/Estudios%20y%20certificaciones/ESTUDIOS%20DE%20PROGRAMMING/PROGRAMMING/PERSONAL/PYTHON/Image_Generator_API/imagenes/HALIFAX_WOMENS_119000008_BLK_1.jpg")</f>
        <v/>
      </c>
      <c r="M5">
        <f>IMAGE("file:///E:/Estudios%20y%20certificaciones/ESTUDIOS%20DE%20PROGRAMMING/PROGRAMMING/PERSONAL/PYTHON/Image_Generator_API/imagenes/HALIFAX_WOMENS_119000008_BLK_2.jpg")</f>
        <v/>
      </c>
      <c r="N5">
        <f>IMAGE("file:///E:/Estudios%20y%20certificaciones/ESTUDIOS%20DE%20PROGRAMMING/PROGRAMMING/PERSONAL/PYTHON/Image_Generator_API/imagenes/HALIFAX_WOMENS_119000008_BLK_3.jpg")</f>
        <v/>
      </c>
      <c r="O5">
        <f>HYPERLINK("imagenes/HALIFAX_WOMENS_119000008_BLK_1.jpg","Ver imagen")</f>
        <v/>
      </c>
      <c r="P5">
        <f>HYPERLINK("imagenes/HALIFAX_WOMENS_119000008_BLK_2.jpg","Ver imagen")</f>
        <v/>
      </c>
      <c r="Q5">
        <f>HYPERLINK("imagenes/HALIFAX_WOMENS_119000008_BLK_3.jpg","Ver imagen")</f>
        <v/>
      </c>
    </row>
    <row r="6">
      <c r="A6" t="inlineStr">
        <is>
          <t>HALIFAX WOMENS</t>
        </is>
      </c>
      <c r="B6" t="inlineStr">
        <is>
          <t>119000008</t>
        </is>
      </c>
      <c r="C6" t="inlineStr">
        <is>
          <t>Midweight Faux Fur Trimmed Puffer CBL:31</t>
        </is>
      </c>
      <c r="D6" t="inlineStr">
        <is>
          <t>BLK</t>
        </is>
      </c>
      <c r="E6" t="inlineStr">
        <is>
          <t>(en blanco)</t>
        </is>
      </c>
      <c r="F6" t="inlineStr">
        <is>
          <t>(en blanco)</t>
        </is>
      </c>
      <c r="G6" t="inlineStr">
        <is>
          <t>XL</t>
        </is>
      </c>
      <c r="H6" t="n">
        <v>68</v>
      </c>
      <c r="I6" t="inlineStr">
        <is>
          <t>HALIFAX_WOMENS_119000008_BLK_1.jpg</t>
        </is>
      </c>
      <c r="J6" t="inlineStr">
        <is>
          <t>HALIFAX_WOMENS_119000008_BLK_2.jpg</t>
        </is>
      </c>
      <c r="K6" t="inlineStr">
        <is>
          <t>HALIFAX_WOMENS_119000008_BLK_3.jpg</t>
        </is>
      </c>
      <c r="L6">
        <f>IMAGE("file:///E:/Estudios%20y%20certificaciones/ESTUDIOS%20DE%20PROGRAMMING/PROGRAMMING/PERSONAL/PYTHON/Image_Generator_API/imagenes/HALIFAX_WOMENS_119000008_BLK_1.jpg")</f>
        <v/>
      </c>
      <c r="M6">
        <f>IMAGE("file:///E:/Estudios%20y%20certificaciones/ESTUDIOS%20DE%20PROGRAMMING/PROGRAMMING/PERSONAL/PYTHON/Image_Generator_API/imagenes/HALIFAX_WOMENS_119000008_BLK_2.jpg")</f>
        <v/>
      </c>
      <c r="N6">
        <f>IMAGE("file:///E:/Estudios%20y%20certificaciones/ESTUDIOS%20DE%20PROGRAMMING/PROGRAMMING/PERSONAL/PYTHON/Image_Generator_API/imagenes/HALIFAX_WOMENS_119000008_BLK_3.jpg")</f>
        <v/>
      </c>
      <c r="O6">
        <f>HYPERLINK("imagenes/HALIFAX_WOMENS_119000008_BLK_1.jpg","Ver imagen")</f>
        <v/>
      </c>
      <c r="P6">
        <f>HYPERLINK("imagenes/HALIFAX_WOMENS_119000008_BLK_2.jpg","Ver imagen")</f>
        <v/>
      </c>
      <c r="Q6">
        <f>HYPERLINK("imagenes/HALIFAX_WOMENS_119000008_BLK_3.jpg","Ver imagen")</f>
        <v/>
      </c>
    </row>
    <row r="7">
      <c r="A7" t="inlineStr">
        <is>
          <t>HALIFAX WOMENS</t>
        </is>
      </c>
      <c r="B7" t="inlineStr">
        <is>
          <t>119000008</t>
        </is>
      </c>
      <c r="C7" t="inlineStr">
        <is>
          <t>Midweight Faux Fur Trimmed Puffer CBL:31</t>
        </is>
      </c>
      <c r="D7" t="inlineStr">
        <is>
          <t>BLK</t>
        </is>
      </c>
      <c r="E7" t="inlineStr">
        <is>
          <t>(en blanco)</t>
        </is>
      </c>
      <c r="F7" t="inlineStr">
        <is>
          <t>(en blanco)</t>
        </is>
      </c>
      <c r="G7" t="inlineStr">
        <is>
          <t>XXL</t>
        </is>
      </c>
      <c r="H7" t="n">
        <v>36</v>
      </c>
      <c r="I7" t="inlineStr">
        <is>
          <t>HALIFAX_WOMENS_119000008_BLK_1.jpg</t>
        </is>
      </c>
      <c r="J7" t="inlineStr">
        <is>
          <t>HALIFAX_WOMENS_119000008_BLK_2.jpg</t>
        </is>
      </c>
      <c r="K7" t="inlineStr">
        <is>
          <t>HALIFAX_WOMENS_119000008_BLK_3.jpg</t>
        </is>
      </c>
      <c r="L7">
        <f>IMAGE("file:///E:/Estudios%20y%20certificaciones/ESTUDIOS%20DE%20PROGRAMMING/PROGRAMMING/PERSONAL/PYTHON/Image_Generator_API/imagenes/HALIFAX_WOMENS_119000008_BLK_1.jpg")</f>
        <v/>
      </c>
      <c r="M7">
        <f>IMAGE("file:///E:/Estudios%20y%20certificaciones/ESTUDIOS%20DE%20PROGRAMMING/PROGRAMMING/PERSONAL/PYTHON/Image_Generator_API/imagenes/HALIFAX_WOMENS_119000008_BLK_2.jpg")</f>
        <v/>
      </c>
      <c r="N7">
        <f>IMAGE("file:///E:/Estudios%20y%20certificaciones/ESTUDIOS%20DE%20PROGRAMMING/PROGRAMMING/PERSONAL/PYTHON/Image_Generator_API/imagenes/HALIFAX_WOMENS_119000008_BLK_3.jpg")</f>
        <v/>
      </c>
      <c r="O7">
        <f>HYPERLINK("imagenes/HALIFAX_WOMENS_119000008_BLK_1.jpg","Ver imagen")</f>
        <v/>
      </c>
      <c r="P7">
        <f>HYPERLINK("imagenes/HALIFAX_WOMENS_119000008_BLK_2.jpg","Ver imagen")</f>
        <v/>
      </c>
      <c r="Q7">
        <f>HYPERLINK("imagenes/HALIFAX_WOMENS_119000008_BLK_3.jpg","Ver imagen")</f>
        <v/>
      </c>
    </row>
    <row r="8">
      <c r="A8" t="inlineStr">
        <is>
          <t>HALIFAX WOMENS</t>
        </is>
      </c>
      <c r="B8" t="inlineStr">
        <is>
          <t>119000008</t>
        </is>
      </c>
      <c r="C8" t="inlineStr">
        <is>
          <t>Midweight Faux Fur Trimmed Puffer CBL:31</t>
        </is>
      </c>
      <c r="D8" t="inlineStr">
        <is>
          <t>ESP</t>
        </is>
      </c>
      <c r="E8" t="inlineStr">
        <is>
          <t>08A06</t>
        </is>
      </c>
      <c r="F8" t="inlineStr">
        <is>
          <t>B2230</t>
        </is>
      </c>
      <c r="G8" t="inlineStr">
        <is>
          <t>PPK</t>
        </is>
      </c>
      <c r="H8" t="n">
        <v>0</v>
      </c>
      <c r="I8" t="inlineStr">
        <is>
          <t>HALIFAX_WOMENS_119000008_ESP_1.jpg</t>
        </is>
      </c>
      <c r="J8" t="inlineStr">
        <is>
          <t>HALIFAX_WOMENS_119000008_ESP_2.jpg</t>
        </is>
      </c>
      <c r="K8" t="inlineStr">
        <is>
          <t>HALIFAX_WOMENS_119000008_ESP_3.jpg</t>
        </is>
      </c>
      <c r="L8">
        <f>IMAGE("file:///E:/Estudios%20y%20certificaciones/ESTUDIOS%20DE%20PROGRAMMING/PROGRAMMING/PERSONAL/PYTHON/Image_Generator_API/imagenes/HALIFAX_WOMENS_119000008_ESP_1.jpg")</f>
        <v/>
      </c>
      <c r="M8">
        <f>IMAGE("file:///E:/Estudios%20y%20certificaciones/ESTUDIOS%20DE%20PROGRAMMING/PROGRAMMING/PERSONAL/PYTHON/Image_Generator_API/imagenes/HALIFAX_WOMENS_119000008_ESP_2.jpg")</f>
        <v/>
      </c>
      <c r="N8">
        <f>IMAGE("file:///E:/Estudios%20y%20certificaciones/ESTUDIOS%20DE%20PROGRAMMING/PROGRAMMING/PERSONAL/PYTHON/Image_Generator_API/imagenes/HALIFAX_WOMENS_119000008_ESP_3.jpg")</f>
        <v/>
      </c>
      <c r="O8">
        <f>HYPERLINK("imagenes/HALIFAX_WOMENS_119000008_ESP_1.jpg","Ver imagen")</f>
        <v/>
      </c>
      <c r="P8">
        <f>HYPERLINK("imagenes/HALIFAX_WOMENS_119000008_ESP_2.jpg","Ver imagen")</f>
        <v/>
      </c>
      <c r="Q8">
        <f>HYPERLINK("imagenes/HALIFAX_WOMENS_119000008_ESP_3.jpg","Ver imagen")</f>
        <v/>
      </c>
    </row>
    <row r="9">
      <c r="A9" t="inlineStr">
        <is>
          <t>HALIFAX WOMENS</t>
        </is>
      </c>
      <c r="B9" t="inlineStr">
        <is>
          <t>119000008</t>
        </is>
      </c>
      <c r="C9" t="inlineStr">
        <is>
          <t>Midweight Faux Fur Trimmed Puffer CBL:31</t>
        </is>
      </c>
      <c r="D9" t="inlineStr">
        <is>
          <t>ESP</t>
        </is>
      </c>
      <c r="E9" t="inlineStr">
        <is>
          <t>(en blanco)</t>
        </is>
      </c>
      <c r="F9" t="inlineStr">
        <is>
          <t>D2C</t>
        </is>
      </c>
      <c r="G9" t="inlineStr">
        <is>
          <t>L</t>
        </is>
      </c>
      <c r="H9" t="n">
        <v>9</v>
      </c>
      <c r="I9" t="inlineStr">
        <is>
          <t>HALIFAX_WOMENS_119000008_ESP_1.jpg</t>
        </is>
      </c>
      <c r="J9" t="inlineStr">
        <is>
          <t>HALIFAX_WOMENS_119000008_ESP_2.jpg</t>
        </is>
      </c>
      <c r="K9" t="inlineStr">
        <is>
          <t>HALIFAX_WOMENS_119000008_ESP_3.jpg</t>
        </is>
      </c>
      <c r="L9">
        <f>IMAGE("file:///E:/Estudios%20y%20certificaciones/ESTUDIOS%20DE%20PROGRAMMING/PROGRAMMING/PERSONAL/PYTHON/Image_Generator_API/imagenes/HALIFAX_WOMENS_119000008_ESP_1.jpg")</f>
        <v/>
      </c>
      <c r="M9">
        <f>IMAGE("file:///E:/Estudios%20y%20certificaciones/ESTUDIOS%20DE%20PROGRAMMING/PROGRAMMING/PERSONAL/PYTHON/Image_Generator_API/imagenes/HALIFAX_WOMENS_119000008_ESP_2.jpg")</f>
        <v/>
      </c>
      <c r="N9">
        <f>IMAGE("file:///E:/Estudios%20y%20certificaciones/ESTUDIOS%20DE%20PROGRAMMING/PROGRAMMING/PERSONAL/PYTHON/Image_Generator_API/imagenes/HALIFAX_WOMENS_119000008_ESP_3.jpg")</f>
        <v/>
      </c>
      <c r="O9">
        <f>HYPERLINK("imagenes/HALIFAX_WOMENS_119000008_ESP_1.jpg","Ver imagen")</f>
        <v/>
      </c>
      <c r="P9">
        <f>HYPERLINK("imagenes/HALIFAX_WOMENS_119000008_ESP_2.jpg","Ver imagen")</f>
        <v/>
      </c>
      <c r="Q9">
        <f>HYPERLINK("imagenes/HALIFAX_WOMENS_119000008_ESP_3.jpg","Ver imagen")</f>
        <v/>
      </c>
    </row>
    <row r="10">
      <c r="A10" t="inlineStr">
        <is>
          <t>HALIFAX WOMENS</t>
        </is>
      </c>
      <c r="B10" t="inlineStr">
        <is>
          <t>119000008</t>
        </is>
      </c>
      <c r="C10" t="inlineStr">
        <is>
          <t>Midweight Faux Fur Trimmed Puffer CBL:31</t>
        </is>
      </c>
      <c r="D10" t="inlineStr">
        <is>
          <t>ESP</t>
        </is>
      </c>
      <c r="E10" t="inlineStr">
        <is>
          <t>(en blanco)</t>
        </is>
      </c>
      <c r="F10" t="inlineStr">
        <is>
          <t>D2C</t>
        </is>
      </c>
      <c r="G10" t="inlineStr">
        <is>
          <t>XL</t>
        </is>
      </c>
      <c r="H10" t="n">
        <v>29</v>
      </c>
      <c r="I10" t="inlineStr">
        <is>
          <t>HALIFAX_WOMENS_119000008_ESP_1.jpg</t>
        </is>
      </c>
      <c r="J10" t="inlineStr">
        <is>
          <t>HALIFAX_WOMENS_119000008_ESP_2.jpg</t>
        </is>
      </c>
      <c r="K10" t="inlineStr">
        <is>
          <t>HALIFAX_WOMENS_119000008_ESP_3.jpg</t>
        </is>
      </c>
      <c r="L10">
        <f>IMAGE("file:///E:/Estudios%20y%20certificaciones/ESTUDIOS%20DE%20PROGRAMMING/PROGRAMMING/PERSONAL/PYTHON/Image_Generator_API/imagenes/HALIFAX_WOMENS_119000008_ESP_1.jpg")</f>
        <v/>
      </c>
      <c r="M10">
        <f>IMAGE("file:///E:/Estudios%20y%20certificaciones/ESTUDIOS%20DE%20PROGRAMMING/PROGRAMMING/PERSONAL/PYTHON/Image_Generator_API/imagenes/HALIFAX_WOMENS_119000008_ESP_2.jpg")</f>
        <v/>
      </c>
      <c r="N10">
        <f>IMAGE("file:///E:/Estudios%20y%20certificaciones/ESTUDIOS%20DE%20PROGRAMMING/PROGRAMMING/PERSONAL/PYTHON/Image_Generator_API/imagenes/HALIFAX_WOMENS_119000008_ESP_3.jpg")</f>
        <v/>
      </c>
      <c r="O10">
        <f>HYPERLINK("imagenes/HALIFAX_WOMENS_119000008_ESP_1.jpg","Ver imagen")</f>
        <v/>
      </c>
      <c r="P10">
        <f>HYPERLINK("imagenes/HALIFAX_WOMENS_119000008_ESP_2.jpg","Ver imagen")</f>
        <v/>
      </c>
      <c r="Q10">
        <f>HYPERLINK("imagenes/HALIFAX_WOMENS_119000008_ESP_3.jpg","Ver imagen")</f>
        <v/>
      </c>
    </row>
    <row r="11">
      <c r="A11" t="inlineStr">
        <is>
          <t>HALIFAX WOMENS</t>
        </is>
      </c>
      <c r="B11" t="inlineStr">
        <is>
          <t>119000008</t>
        </is>
      </c>
      <c r="C11" t="inlineStr">
        <is>
          <t>Midweight Faux Fur Trimmed Puffer CBL:31</t>
        </is>
      </c>
      <c r="D11" t="inlineStr">
        <is>
          <t>ESP</t>
        </is>
      </c>
      <c r="E11" t="inlineStr">
        <is>
          <t>(en blanco)</t>
        </is>
      </c>
      <c r="F11" t="inlineStr">
        <is>
          <t>D2C</t>
        </is>
      </c>
      <c r="G11" t="inlineStr">
        <is>
          <t>XXL</t>
        </is>
      </c>
      <c r="H11" t="n">
        <v>17</v>
      </c>
      <c r="I11" t="inlineStr">
        <is>
          <t>HALIFAX_WOMENS_119000008_ESP_1.jpg</t>
        </is>
      </c>
      <c r="J11" t="inlineStr">
        <is>
          <t>HALIFAX_WOMENS_119000008_ESP_2.jpg</t>
        </is>
      </c>
      <c r="K11" t="inlineStr">
        <is>
          <t>HALIFAX_WOMENS_119000008_ESP_3.jpg</t>
        </is>
      </c>
      <c r="L11">
        <f>IMAGE("file:///E:/Estudios%20y%20certificaciones/ESTUDIOS%20DE%20PROGRAMMING/PROGRAMMING/PERSONAL/PYTHON/Image_Generator_API/imagenes/HALIFAX_WOMENS_119000008_ESP_1.jpg")</f>
        <v/>
      </c>
      <c r="M11">
        <f>IMAGE("file:///E:/Estudios%20y%20certificaciones/ESTUDIOS%20DE%20PROGRAMMING/PROGRAMMING/PERSONAL/PYTHON/Image_Generator_API/imagenes/HALIFAX_WOMENS_119000008_ESP_2.jpg")</f>
        <v/>
      </c>
      <c r="N11">
        <f>IMAGE("file:///E:/Estudios%20y%20certificaciones/ESTUDIOS%20DE%20PROGRAMMING/PROGRAMMING/PERSONAL/PYTHON/Image_Generator_API/imagenes/HALIFAX_WOMENS_119000008_ESP_3.jpg")</f>
        <v/>
      </c>
      <c r="O11">
        <f>HYPERLINK("imagenes/HALIFAX_WOMENS_119000008_ESP_1.jpg","Ver imagen")</f>
        <v/>
      </c>
      <c r="P11">
        <f>HYPERLINK("imagenes/HALIFAX_WOMENS_119000008_ESP_2.jpg","Ver imagen")</f>
        <v/>
      </c>
      <c r="Q11">
        <f>HYPERLINK("imagenes/HALIFAX_WOMENS_119000008_ESP_3.jpg","Ver imagen")</f>
        <v/>
      </c>
    </row>
    <row r="12">
      <c r="A12" t="inlineStr">
        <is>
          <t>HALIFAX WOMENS</t>
        </is>
      </c>
      <c r="B12" t="inlineStr">
        <is>
          <t>119000008</t>
        </is>
      </c>
      <c r="C12" t="inlineStr">
        <is>
          <t>Midweight Faux Fur Trimmed Puffer CBL:31</t>
        </is>
      </c>
      <c r="D12" t="inlineStr">
        <is>
          <t>ESP</t>
        </is>
      </c>
      <c r="E12" t="inlineStr">
        <is>
          <t>(en blanco)</t>
        </is>
      </c>
      <c r="F12" t="inlineStr">
        <is>
          <t>(en blanco)</t>
        </is>
      </c>
      <c r="G12" t="inlineStr">
        <is>
          <t>S</t>
        </is>
      </c>
      <c r="H12" t="n">
        <v>16</v>
      </c>
      <c r="I12" t="inlineStr">
        <is>
          <t>HALIFAX_WOMENS_119000008_ESP_1.jpg</t>
        </is>
      </c>
      <c r="J12" t="inlineStr">
        <is>
          <t>HALIFAX_WOMENS_119000008_ESP_2.jpg</t>
        </is>
      </c>
      <c r="K12" t="inlineStr">
        <is>
          <t>HALIFAX_WOMENS_119000008_ESP_3.jpg</t>
        </is>
      </c>
      <c r="L12">
        <f>IMAGE("file:///E:/Estudios%20y%20certificaciones/ESTUDIOS%20DE%20PROGRAMMING/PROGRAMMING/PERSONAL/PYTHON/Image_Generator_API/imagenes/HALIFAX_WOMENS_119000008_ESP_1.jpg")</f>
        <v/>
      </c>
      <c r="M12">
        <f>IMAGE("file:///E:/Estudios%20y%20certificaciones/ESTUDIOS%20DE%20PROGRAMMING/PROGRAMMING/PERSONAL/PYTHON/Image_Generator_API/imagenes/HALIFAX_WOMENS_119000008_ESP_2.jpg")</f>
        <v/>
      </c>
      <c r="N12">
        <f>IMAGE("file:///E:/Estudios%20y%20certificaciones/ESTUDIOS%20DE%20PROGRAMMING/PROGRAMMING/PERSONAL/PYTHON/Image_Generator_API/imagenes/HALIFAX_WOMENS_119000008_ESP_3.jpg")</f>
        <v/>
      </c>
      <c r="O12">
        <f>HYPERLINK("imagenes/HALIFAX_WOMENS_119000008_ESP_1.jpg","Ver imagen")</f>
        <v/>
      </c>
      <c r="P12">
        <f>HYPERLINK("imagenes/HALIFAX_WOMENS_119000008_ESP_2.jpg","Ver imagen")</f>
        <v/>
      </c>
      <c r="Q12">
        <f>HYPERLINK("imagenes/HALIFAX_WOMENS_119000008_ESP_3.jpg","Ver imagen")</f>
        <v/>
      </c>
    </row>
    <row r="13">
      <c r="A13" t="inlineStr">
        <is>
          <t>HALIFAX WOMENS</t>
        </is>
      </c>
      <c r="B13" t="inlineStr">
        <is>
          <t>119000008</t>
        </is>
      </c>
      <c r="C13" t="inlineStr">
        <is>
          <t>Midweight Faux Fur Trimmed Puffer CBL:31</t>
        </is>
      </c>
      <c r="D13" t="inlineStr">
        <is>
          <t>ESP</t>
        </is>
      </c>
      <c r="E13" t="inlineStr">
        <is>
          <t>(en blanco)</t>
        </is>
      </c>
      <c r="F13" t="inlineStr">
        <is>
          <t>(en blanco)</t>
        </is>
      </c>
      <c r="G13" t="inlineStr">
        <is>
          <t>M</t>
        </is>
      </c>
      <c r="H13" t="n">
        <v>29</v>
      </c>
      <c r="I13" t="inlineStr">
        <is>
          <t>HALIFAX_WOMENS_119000008_ESP_1.jpg</t>
        </is>
      </c>
      <c r="J13" t="inlineStr">
        <is>
          <t>HALIFAX_WOMENS_119000008_ESP_2.jpg</t>
        </is>
      </c>
      <c r="K13" t="inlineStr">
        <is>
          <t>HALIFAX_WOMENS_119000008_ESP_3.jpg</t>
        </is>
      </c>
      <c r="L13">
        <f>IMAGE("file:///E:/Estudios%20y%20certificaciones/ESTUDIOS%20DE%20PROGRAMMING/PROGRAMMING/PERSONAL/PYTHON/Image_Generator_API/imagenes/HALIFAX_WOMENS_119000008_ESP_1.jpg")</f>
        <v/>
      </c>
      <c r="M13">
        <f>IMAGE("file:///E:/Estudios%20y%20certificaciones/ESTUDIOS%20DE%20PROGRAMMING/PROGRAMMING/PERSONAL/PYTHON/Image_Generator_API/imagenes/HALIFAX_WOMENS_119000008_ESP_2.jpg")</f>
        <v/>
      </c>
      <c r="N13">
        <f>IMAGE("file:///E:/Estudios%20y%20certificaciones/ESTUDIOS%20DE%20PROGRAMMING/PROGRAMMING/PERSONAL/PYTHON/Image_Generator_API/imagenes/HALIFAX_WOMENS_119000008_ESP_3.jpg")</f>
        <v/>
      </c>
      <c r="O13">
        <f>HYPERLINK("imagenes/HALIFAX_WOMENS_119000008_ESP_1.jpg","Ver imagen")</f>
        <v/>
      </c>
      <c r="P13">
        <f>HYPERLINK("imagenes/HALIFAX_WOMENS_119000008_ESP_2.jpg","Ver imagen")</f>
        <v/>
      </c>
      <c r="Q13">
        <f>HYPERLINK("imagenes/HALIFAX_WOMENS_119000008_ESP_3.jpg","Ver imagen")</f>
        <v/>
      </c>
    </row>
    <row r="14">
      <c r="A14" t="inlineStr">
        <is>
          <t>HALIFAX WOMENS</t>
        </is>
      </c>
      <c r="B14" t="inlineStr">
        <is>
          <t>119000008</t>
        </is>
      </c>
      <c r="C14" t="inlineStr">
        <is>
          <t>Midweight Faux Fur Trimmed Puffer CBL:31</t>
        </is>
      </c>
      <c r="D14" t="inlineStr">
        <is>
          <t>ESP</t>
        </is>
      </c>
      <c r="E14" t="inlineStr">
        <is>
          <t>(en blanco)</t>
        </is>
      </c>
      <c r="F14" t="inlineStr">
        <is>
          <t>(en blanco)</t>
        </is>
      </c>
      <c r="G14" t="inlineStr">
        <is>
          <t>L</t>
        </is>
      </c>
      <c r="H14" t="n">
        <v>36</v>
      </c>
      <c r="I14" t="inlineStr">
        <is>
          <t>HALIFAX_WOMENS_119000008_ESP_1.jpg</t>
        </is>
      </c>
      <c r="J14" t="inlineStr">
        <is>
          <t>HALIFAX_WOMENS_119000008_ESP_2.jpg</t>
        </is>
      </c>
      <c r="K14" t="inlineStr">
        <is>
          <t>HALIFAX_WOMENS_119000008_ESP_3.jpg</t>
        </is>
      </c>
      <c r="L14">
        <f>IMAGE("file:///E:/Estudios%20y%20certificaciones/ESTUDIOS%20DE%20PROGRAMMING/PROGRAMMING/PERSONAL/PYTHON/Image_Generator_API/imagenes/HALIFAX_WOMENS_119000008_ESP_1.jpg")</f>
        <v/>
      </c>
      <c r="M14">
        <f>IMAGE("file:///E:/Estudios%20y%20certificaciones/ESTUDIOS%20DE%20PROGRAMMING/PROGRAMMING/PERSONAL/PYTHON/Image_Generator_API/imagenes/HALIFAX_WOMENS_119000008_ESP_2.jpg")</f>
        <v/>
      </c>
      <c r="N14">
        <f>IMAGE("file:///E:/Estudios%20y%20certificaciones/ESTUDIOS%20DE%20PROGRAMMING/PROGRAMMING/PERSONAL/PYTHON/Image_Generator_API/imagenes/HALIFAX_WOMENS_119000008_ESP_3.jpg")</f>
        <v/>
      </c>
      <c r="O14">
        <f>HYPERLINK("imagenes/HALIFAX_WOMENS_119000008_ESP_1.jpg","Ver imagen")</f>
        <v/>
      </c>
      <c r="P14">
        <f>HYPERLINK("imagenes/HALIFAX_WOMENS_119000008_ESP_2.jpg","Ver imagen")</f>
        <v/>
      </c>
      <c r="Q14">
        <f>HYPERLINK("imagenes/HALIFAX_WOMENS_119000008_ESP_3.jpg","Ver imagen")</f>
        <v/>
      </c>
    </row>
    <row r="15">
      <c r="A15" t="inlineStr">
        <is>
          <t>HALIFAX WOMENS</t>
        </is>
      </c>
      <c r="B15" t="inlineStr">
        <is>
          <t>119000008</t>
        </is>
      </c>
      <c r="C15" t="inlineStr">
        <is>
          <t>Midweight Faux Fur Trimmed Puffer CBL:31</t>
        </is>
      </c>
      <c r="D15" t="inlineStr">
        <is>
          <t>ESP</t>
        </is>
      </c>
      <c r="E15" t="inlineStr">
        <is>
          <t>(en blanco)</t>
        </is>
      </c>
      <c r="F15" t="inlineStr">
        <is>
          <t>(en blanco)</t>
        </is>
      </c>
      <c r="G15" t="inlineStr">
        <is>
          <t>XL</t>
        </is>
      </c>
      <c r="H15" t="n">
        <v>37</v>
      </c>
      <c r="I15" t="inlineStr">
        <is>
          <t>HALIFAX_WOMENS_119000008_ESP_1.jpg</t>
        </is>
      </c>
      <c r="J15" t="inlineStr">
        <is>
          <t>HALIFAX_WOMENS_119000008_ESP_2.jpg</t>
        </is>
      </c>
      <c r="K15" t="inlineStr">
        <is>
          <t>HALIFAX_WOMENS_119000008_ESP_3.jpg</t>
        </is>
      </c>
      <c r="L15">
        <f>IMAGE("file:///E:/Estudios%20y%20certificaciones/ESTUDIOS%20DE%20PROGRAMMING/PROGRAMMING/PERSONAL/PYTHON/Image_Generator_API/imagenes/HALIFAX_WOMENS_119000008_ESP_1.jpg")</f>
        <v/>
      </c>
      <c r="M15">
        <f>IMAGE("file:///E:/Estudios%20y%20certificaciones/ESTUDIOS%20DE%20PROGRAMMING/PROGRAMMING/PERSONAL/PYTHON/Image_Generator_API/imagenes/HALIFAX_WOMENS_119000008_ESP_2.jpg")</f>
        <v/>
      </c>
      <c r="N15">
        <f>IMAGE("file:///E:/Estudios%20y%20certificaciones/ESTUDIOS%20DE%20PROGRAMMING/PROGRAMMING/PERSONAL/PYTHON/Image_Generator_API/imagenes/HALIFAX_WOMENS_119000008_ESP_3.jpg")</f>
        <v/>
      </c>
      <c r="O15">
        <f>HYPERLINK("imagenes/HALIFAX_WOMENS_119000008_ESP_1.jpg","Ver imagen")</f>
        <v/>
      </c>
      <c r="P15">
        <f>HYPERLINK("imagenes/HALIFAX_WOMENS_119000008_ESP_2.jpg","Ver imagen")</f>
        <v/>
      </c>
      <c r="Q15">
        <f>HYPERLINK("imagenes/HALIFAX_WOMENS_119000008_ESP_3.jpg","Ver imagen")</f>
        <v/>
      </c>
    </row>
    <row r="16">
      <c r="A16" t="inlineStr">
        <is>
          <t>HALIFAX WOMENS</t>
        </is>
      </c>
      <c r="B16" t="inlineStr">
        <is>
          <t>119000008</t>
        </is>
      </c>
      <c r="C16" t="inlineStr">
        <is>
          <t>Midweight Faux Fur Trimmed Puffer CBL:31</t>
        </is>
      </c>
      <c r="D16" t="inlineStr">
        <is>
          <t>ESP</t>
        </is>
      </c>
      <c r="E16" t="inlineStr">
        <is>
          <t>(en blanco)</t>
        </is>
      </c>
      <c r="F16" t="inlineStr">
        <is>
          <t>(en blanco)</t>
        </is>
      </c>
      <c r="G16" t="inlineStr">
        <is>
          <t>XXL</t>
        </is>
      </c>
      <c r="H16" t="n">
        <v>19</v>
      </c>
      <c r="I16" t="inlineStr">
        <is>
          <t>HALIFAX_WOMENS_119000008_ESP_1.jpg</t>
        </is>
      </c>
      <c r="J16" t="inlineStr">
        <is>
          <t>HALIFAX_WOMENS_119000008_ESP_2.jpg</t>
        </is>
      </c>
      <c r="K16" t="inlineStr">
        <is>
          <t>HALIFAX_WOMENS_119000008_ESP_3.jpg</t>
        </is>
      </c>
      <c r="L16">
        <f>IMAGE("file:///E:/Estudios%20y%20certificaciones/ESTUDIOS%20DE%20PROGRAMMING/PROGRAMMING/PERSONAL/PYTHON/Image_Generator_API/imagenes/HALIFAX_WOMENS_119000008_ESP_1.jpg")</f>
        <v/>
      </c>
      <c r="M16">
        <f>IMAGE("file:///E:/Estudios%20y%20certificaciones/ESTUDIOS%20DE%20PROGRAMMING/PROGRAMMING/PERSONAL/PYTHON/Image_Generator_API/imagenes/HALIFAX_WOMENS_119000008_ESP_2.jpg")</f>
        <v/>
      </c>
      <c r="N16">
        <f>IMAGE("file:///E:/Estudios%20y%20certificaciones/ESTUDIOS%20DE%20PROGRAMMING/PROGRAMMING/PERSONAL/PYTHON/Image_Generator_API/imagenes/HALIFAX_WOMENS_119000008_ESP_3.jpg")</f>
        <v/>
      </c>
      <c r="O16">
        <f>HYPERLINK("imagenes/HALIFAX_WOMENS_119000008_ESP_1.jpg","Ver imagen")</f>
        <v/>
      </c>
      <c r="P16">
        <f>HYPERLINK("imagenes/HALIFAX_WOMENS_119000008_ESP_2.jpg","Ver imagen")</f>
        <v/>
      </c>
      <c r="Q16">
        <f>HYPERLINK("imagenes/HALIFAX_WOMENS_119000008_ESP_3.jpg","Ver imagen")</f>
        <v/>
      </c>
    </row>
    <row r="17">
      <c r="A17" t="inlineStr">
        <is>
          <t>HALIFAX WOMENS</t>
        </is>
      </c>
      <c r="B17" t="inlineStr">
        <is>
          <t>119000008</t>
        </is>
      </c>
      <c r="C17" t="inlineStr">
        <is>
          <t>Midweight Faux Fur Trimmed Puffer CBL:31</t>
        </is>
      </c>
      <c r="D17" t="inlineStr">
        <is>
          <t>NVY</t>
        </is>
      </c>
      <c r="E17" t="inlineStr">
        <is>
          <t>(en blanco)</t>
        </is>
      </c>
      <c r="F17" t="inlineStr">
        <is>
          <t>D2C</t>
        </is>
      </c>
      <c r="G17" t="inlineStr">
        <is>
          <t>S</t>
        </is>
      </c>
      <c r="H17" t="n">
        <v>6</v>
      </c>
      <c r="I17" t="inlineStr">
        <is>
          <t>HALIFAX_WOMENS_119000008_NVY_1.jpg</t>
        </is>
      </c>
      <c r="J17" t="inlineStr">
        <is>
          <t>HALIFAX_WOMENS_119000008_NVY_2.jpg</t>
        </is>
      </c>
      <c r="K17" t="inlineStr">
        <is>
          <t>HALIFAX_WOMENS_119000008_NVY_3.jpg</t>
        </is>
      </c>
      <c r="L17">
        <f>IMAGE("file:///E:/Estudios%20y%20certificaciones/ESTUDIOS%20DE%20PROGRAMMING/PROGRAMMING/PERSONAL/PYTHON/Image_Generator_API/imagenes/HALIFAX_WOMENS_119000008_NVY_1.jpg")</f>
        <v/>
      </c>
      <c r="M17">
        <f>IMAGE("file:///E:/Estudios%20y%20certificaciones/ESTUDIOS%20DE%20PROGRAMMING/PROGRAMMING/PERSONAL/PYTHON/Image_Generator_API/imagenes/HALIFAX_WOMENS_119000008_NVY_2.jpg")</f>
        <v/>
      </c>
      <c r="N17">
        <f>IMAGE("file:///E:/Estudios%20y%20certificaciones/ESTUDIOS%20DE%20PROGRAMMING/PROGRAMMING/PERSONAL/PYTHON/Image_Generator_API/imagenes/HALIFAX_WOMENS_119000008_NVY_3.jpg")</f>
        <v/>
      </c>
      <c r="O17">
        <f>HYPERLINK("imagenes/HALIFAX_WOMENS_119000008_NVY_1.jpg","Ver imagen")</f>
        <v/>
      </c>
      <c r="P17">
        <f>HYPERLINK("imagenes/HALIFAX_WOMENS_119000008_NVY_2.jpg","Ver imagen")</f>
        <v/>
      </c>
      <c r="Q17">
        <f>HYPERLINK("imagenes/HALIFAX_WOMENS_119000008_NVY_3.jpg","Ver imagen")</f>
        <v/>
      </c>
    </row>
    <row r="18">
      <c r="A18" t="inlineStr">
        <is>
          <t>HALIFAX WOMENS</t>
        </is>
      </c>
      <c r="B18" t="inlineStr">
        <is>
          <t>119000008</t>
        </is>
      </c>
      <c r="C18" t="inlineStr">
        <is>
          <t>Midweight Faux Fur Trimmed Puffer CBL:31</t>
        </is>
      </c>
      <c r="D18" t="inlineStr">
        <is>
          <t>NVY</t>
        </is>
      </c>
      <c r="E18" t="inlineStr">
        <is>
          <t>(en blanco)</t>
        </is>
      </c>
      <c r="F18" t="inlineStr">
        <is>
          <t>D2C</t>
        </is>
      </c>
      <c r="G18" t="inlineStr">
        <is>
          <t>M</t>
        </is>
      </c>
      <c r="H18" t="n">
        <v>24</v>
      </c>
      <c r="I18" t="inlineStr">
        <is>
          <t>HALIFAX_WOMENS_119000008_NVY_1.jpg</t>
        </is>
      </c>
      <c r="J18" t="inlineStr">
        <is>
          <t>HALIFAX_WOMENS_119000008_NVY_2.jpg</t>
        </is>
      </c>
      <c r="K18" t="inlineStr">
        <is>
          <t>HALIFAX_WOMENS_119000008_NVY_3.jpg</t>
        </is>
      </c>
      <c r="L18">
        <f>IMAGE("file:///E:/Estudios%20y%20certificaciones/ESTUDIOS%20DE%20PROGRAMMING/PROGRAMMING/PERSONAL/PYTHON/Image_Generator_API/imagenes/HALIFAX_WOMENS_119000008_NVY_1.jpg")</f>
        <v/>
      </c>
      <c r="M18">
        <f>IMAGE("file:///E:/Estudios%20y%20certificaciones/ESTUDIOS%20DE%20PROGRAMMING/PROGRAMMING/PERSONAL/PYTHON/Image_Generator_API/imagenes/HALIFAX_WOMENS_119000008_NVY_2.jpg")</f>
        <v/>
      </c>
      <c r="N18">
        <f>IMAGE("file:///E:/Estudios%20y%20certificaciones/ESTUDIOS%20DE%20PROGRAMMING/PROGRAMMING/PERSONAL/PYTHON/Image_Generator_API/imagenes/HALIFAX_WOMENS_119000008_NVY_3.jpg")</f>
        <v/>
      </c>
      <c r="O18">
        <f>HYPERLINK("imagenes/HALIFAX_WOMENS_119000008_NVY_1.jpg","Ver imagen")</f>
        <v/>
      </c>
      <c r="P18">
        <f>HYPERLINK("imagenes/HALIFAX_WOMENS_119000008_NVY_2.jpg","Ver imagen")</f>
        <v/>
      </c>
      <c r="Q18">
        <f>HYPERLINK("imagenes/HALIFAX_WOMENS_119000008_NVY_3.jpg","Ver imagen")</f>
        <v/>
      </c>
    </row>
    <row r="19">
      <c r="A19" t="inlineStr">
        <is>
          <t>HALIFAX WOMENS</t>
        </is>
      </c>
      <c r="B19" t="inlineStr">
        <is>
          <t>119000008</t>
        </is>
      </c>
      <c r="C19" t="inlineStr">
        <is>
          <t>Midweight Faux Fur Trimmed Puffer CBL:31</t>
        </is>
      </c>
      <c r="D19" t="inlineStr">
        <is>
          <t>NVY</t>
        </is>
      </c>
      <c r="E19" t="inlineStr">
        <is>
          <t>(en blanco)</t>
        </is>
      </c>
      <c r="F19" t="inlineStr">
        <is>
          <t>D2C</t>
        </is>
      </c>
      <c r="G19" t="inlineStr">
        <is>
          <t>L</t>
        </is>
      </c>
      <c r="H19" t="n">
        <v>24</v>
      </c>
      <c r="I19" t="inlineStr">
        <is>
          <t>HALIFAX_WOMENS_119000008_NVY_1.jpg</t>
        </is>
      </c>
      <c r="J19" t="inlineStr">
        <is>
          <t>HALIFAX_WOMENS_119000008_NVY_2.jpg</t>
        </is>
      </c>
      <c r="K19" t="inlineStr">
        <is>
          <t>HALIFAX_WOMENS_119000008_NVY_3.jpg</t>
        </is>
      </c>
      <c r="L19">
        <f>IMAGE("file:///E:/Estudios%20y%20certificaciones/ESTUDIOS%20DE%20PROGRAMMING/PROGRAMMING/PERSONAL/PYTHON/Image_Generator_API/imagenes/HALIFAX_WOMENS_119000008_NVY_1.jpg")</f>
        <v/>
      </c>
      <c r="M19">
        <f>IMAGE("file:///E:/Estudios%20y%20certificaciones/ESTUDIOS%20DE%20PROGRAMMING/PROGRAMMING/PERSONAL/PYTHON/Image_Generator_API/imagenes/HALIFAX_WOMENS_119000008_NVY_2.jpg")</f>
        <v/>
      </c>
      <c r="N19">
        <f>IMAGE("file:///E:/Estudios%20y%20certificaciones/ESTUDIOS%20DE%20PROGRAMMING/PROGRAMMING/PERSONAL/PYTHON/Image_Generator_API/imagenes/HALIFAX_WOMENS_119000008_NVY_3.jpg")</f>
        <v/>
      </c>
      <c r="O19">
        <f>HYPERLINK("imagenes/HALIFAX_WOMENS_119000008_NVY_1.jpg","Ver imagen")</f>
        <v/>
      </c>
      <c r="P19">
        <f>HYPERLINK("imagenes/HALIFAX_WOMENS_119000008_NVY_2.jpg","Ver imagen")</f>
        <v/>
      </c>
      <c r="Q19">
        <f>HYPERLINK("imagenes/HALIFAX_WOMENS_119000008_NVY_3.jpg","Ver imagen")</f>
        <v/>
      </c>
    </row>
    <row r="20">
      <c r="A20" t="inlineStr">
        <is>
          <t>HALIFAX WOMENS</t>
        </is>
      </c>
      <c r="B20" t="inlineStr">
        <is>
          <t>119000008</t>
        </is>
      </c>
      <c r="C20" t="inlineStr">
        <is>
          <t>Midweight Faux Fur Trimmed Puffer CBL:31</t>
        </is>
      </c>
      <c r="D20" t="inlineStr">
        <is>
          <t>NVY</t>
        </is>
      </c>
      <c r="E20" t="inlineStr">
        <is>
          <t>(en blanco)</t>
        </is>
      </c>
      <c r="F20" t="inlineStr">
        <is>
          <t>D2C</t>
        </is>
      </c>
      <c r="G20" t="inlineStr">
        <is>
          <t>XL</t>
        </is>
      </c>
      <c r="H20" t="n">
        <v>24</v>
      </c>
      <c r="I20" t="inlineStr">
        <is>
          <t>HALIFAX_WOMENS_119000008_NVY_1.jpg</t>
        </is>
      </c>
      <c r="J20" t="inlineStr">
        <is>
          <t>HALIFAX_WOMENS_119000008_NVY_2.jpg</t>
        </is>
      </c>
      <c r="K20" t="inlineStr">
        <is>
          <t>HALIFAX_WOMENS_119000008_NVY_3.jpg</t>
        </is>
      </c>
      <c r="L20">
        <f>IMAGE("file:///E:/Estudios%20y%20certificaciones/ESTUDIOS%20DE%20PROGRAMMING/PROGRAMMING/PERSONAL/PYTHON/Image_Generator_API/imagenes/HALIFAX_WOMENS_119000008_NVY_1.jpg")</f>
        <v/>
      </c>
      <c r="M20">
        <f>IMAGE("file:///E:/Estudios%20y%20certificaciones/ESTUDIOS%20DE%20PROGRAMMING/PROGRAMMING/PERSONAL/PYTHON/Image_Generator_API/imagenes/HALIFAX_WOMENS_119000008_NVY_2.jpg")</f>
        <v/>
      </c>
      <c r="N20">
        <f>IMAGE("file:///E:/Estudios%20y%20certificaciones/ESTUDIOS%20DE%20PROGRAMMING/PROGRAMMING/PERSONAL/PYTHON/Image_Generator_API/imagenes/HALIFAX_WOMENS_119000008_NVY_3.jpg")</f>
        <v/>
      </c>
      <c r="O20">
        <f>HYPERLINK("imagenes/HALIFAX_WOMENS_119000008_NVY_1.jpg","Ver imagen")</f>
        <v/>
      </c>
      <c r="P20">
        <f>HYPERLINK("imagenes/HALIFAX_WOMENS_119000008_NVY_2.jpg","Ver imagen")</f>
        <v/>
      </c>
      <c r="Q20">
        <f>HYPERLINK("imagenes/HALIFAX_WOMENS_119000008_NVY_3.jpg","Ver imagen")</f>
        <v/>
      </c>
    </row>
    <row r="21">
      <c r="A21" t="inlineStr">
        <is>
          <t>HALIFAX WOMENS</t>
        </is>
      </c>
      <c r="B21" t="inlineStr">
        <is>
          <t>119000008</t>
        </is>
      </c>
      <c r="C21" t="inlineStr">
        <is>
          <t>Midweight Faux Fur Trimmed Puffer CBL:31</t>
        </is>
      </c>
      <c r="D21" t="inlineStr">
        <is>
          <t>NVY</t>
        </is>
      </c>
      <c r="E21" t="inlineStr">
        <is>
          <t>(en blanco)</t>
        </is>
      </c>
      <c r="F21" t="inlineStr">
        <is>
          <t>D2C</t>
        </is>
      </c>
      <c r="G21" t="inlineStr">
        <is>
          <t>XXL</t>
        </is>
      </c>
      <c r="H21" t="n">
        <v>13</v>
      </c>
      <c r="I21" t="inlineStr">
        <is>
          <t>HALIFAX_WOMENS_119000008_NVY_1.jpg</t>
        </is>
      </c>
      <c r="J21" t="inlineStr">
        <is>
          <t>HALIFAX_WOMENS_119000008_NVY_2.jpg</t>
        </is>
      </c>
      <c r="K21" t="inlineStr">
        <is>
          <t>HALIFAX_WOMENS_119000008_NVY_3.jpg</t>
        </is>
      </c>
      <c r="L21">
        <f>IMAGE("file:///E:/Estudios%20y%20certificaciones/ESTUDIOS%20DE%20PROGRAMMING/PROGRAMMING/PERSONAL/PYTHON/Image_Generator_API/imagenes/HALIFAX_WOMENS_119000008_NVY_1.jpg")</f>
        <v/>
      </c>
      <c r="M21">
        <f>IMAGE("file:///E:/Estudios%20y%20certificaciones/ESTUDIOS%20DE%20PROGRAMMING/PROGRAMMING/PERSONAL/PYTHON/Image_Generator_API/imagenes/HALIFAX_WOMENS_119000008_NVY_2.jpg")</f>
        <v/>
      </c>
      <c r="N21">
        <f>IMAGE("file:///E:/Estudios%20y%20certificaciones/ESTUDIOS%20DE%20PROGRAMMING/PROGRAMMING/PERSONAL/PYTHON/Image_Generator_API/imagenes/HALIFAX_WOMENS_119000008_NVY_3.jpg")</f>
        <v/>
      </c>
      <c r="O21">
        <f>HYPERLINK("imagenes/HALIFAX_WOMENS_119000008_NVY_1.jpg","Ver imagen")</f>
        <v/>
      </c>
      <c r="P21">
        <f>HYPERLINK("imagenes/HALIFAX_WOMENS_119000008_NVY_2.jpg","Ver imagen")</f>
        <v/>
      </c>
      <c r="Q21">
        <f>HYPERLINK("imagenes/HALIFAX_WOMENS_119000008_NVY_3.jpg","Ver imagen")</f>
        <v/>
      </c>
    </row>
    <row r="22">
      <c r="A22" t="inlineStr">
        <is>
          <t>HALIFAX WOMENS</t>
        </is>
      </c>
      <c r="B22" t="inlineStr">
        <is>
          <t>119000008</t>
        </is>
      </c>
      <c r="C22" t="inlineStr">
        <is>
          <t>Midweight Faux Fur Trimmed Puffer CBL:31</t>
        </is>
      </c>
      <c r="D22" t="inlineStr">
        <is>
          <t>OLI</t>
        </is>
      </c>
      <c r="E22" t="inlineStr">
        <is>
          <t>08A06</t>
        </is>
      </c>
      <c r="F22" t="inlineStr">
        <is>
          <t>B2230</t>
        </is>
      </c>
      <c r="G22" t="inlineStr">
        <is>
          <t>PPK</t>
        </is>
      </c>
      <c r="H22" t="n">
        <v>0</v>
      </c>
      <c r="I22" t="inlineStr">
        <is>
          <t>HALIFAX_WOMENS_119000008_OLI_1.jpg</t>
        </is>
      </c>
      <c r="J22" t="inlineStr">
        <is>
          <t>HALIFAX_WOMENS_119000008_OLI_2.jpg</t>
        </is>
      </c>
      <c r="K22" t="inlineStr">
        <is>
          <t>HALIFAX_WOMENS_119000008_OLI_3.jpg</t>
        </is>
      </c>
      <c r="L22">
        <f>IMAGE("file:///E:/Estudios%20y%20certificaciones/ESTUDIOS%20DE%20PROGRAMMING/PROGRAMMING/PERSONAL/PYTHON/Image_Generator_API/imagenes/HALIFAX_WOMENS_119000008_OLI_1.jpg")</f>
        <v/>
      </c>
      <c r="M22">
        <f>IMAGE("file:///E:/Estudios%20y%20certificaciones/ESTUDIOS%20DE%20PROGRAMMING/PROGRAMMING/PERSONAL/PYTHON/Image_Generator_API/imagenes/HALIFAX_WOMENS_119000008_OLI_2.jpg")</f>
        <v/>
      </c>
      <c r="N22">
        <f>IMAGE("file:///E:/Estudios%20y%20certificaciones/ESTUDIOS%20DE%20PROGRAMMING/PROGRAMMING/PERSONAL/PYTHON/Image_Generator_API/imagenes/HALIFAX_WOMENS_119000008_OLI_3.jpg")</f>
        <v/>
      </c>
      <c r="O22">
        <f>HYPERLINK("imagenes/HALIFAX_WOMENS_119000008_OLI_1.jpg","Ver imagen")</f>
        <v/>
      </c>
      <c r="P22">
        <f>HYPERLINK("imagenes/HALIFAX_WOMENS_119000008_OLI_2.jpg","Ver imagen")</f>
        <v/>
      </c>
      <c r="Q22">
        <f>HYPERLINK("imagenes/HALIFAX_WOMENS_119000008_OLI_3.jpg","Ver imagen")</f>
        <v/>
      </c>
    </row>
    <row r="23">
      <c r="A23" t="inlineStr">
        <is>
          <t>HALIFAX WOMENS</t>
        </is>
      </c>
      <c r="B23" t="inlineStr">
        <is>
          <t>119000008</t>
        </is>
      </c>
      <c r="C23" t="inlineStr">
        <is>
          <t>Midweight Faux Fur Trimmed Puffer CBL:31</t>
        </is>
      </c>
      <c r="D23" t="inlineStr">
        <is>
          <t>OLI</t>
        </is>
      </c>
      <c r="E23" t="inlineStr">
        <is>
          <t>(en blanco)</t>
        </is>
      </c>
      <c r="F23" t="inlineStr">
        <is>
          <t>(en blanco)</t>
        </is>
      </c>
      <c r="G23" t="inlineStr">
        <is>
          <t>S</t>
        </is>
      </c>
      <c r="H23" t="n">
        <v>17</v>
      </c>
      <c r="I23" t="inlineStr">
        <is>
          <t>HALIFAX_WOMENS_119000008_OLI_1.jpg</t>
        </is>
      </c>
      <c r="J23" t="inlineStr">
        <is>
          <t>HALIFAX_WOMENS_119000008_OLI_2.jpg</t>
        </is>
      </c>
      <c r="K23" t="inlineStr">
        <is>
          <t>HALIFAX_WOMENS_119000008_OLI_3.jpg</t>
        </is>
      </c>
      <c r="L23">
        <f>IMAGE("file:///E:/Estudios%20y%20certificaciones/ESTUDIOS%20DE%20PROGRAMMING/PROGRAMMING/PERSONAL/PYTHON/Image_Generator_API/imagenes/HALIFAX_WOMENS_119000008_OLI_1.jpg")</f>
        <v/>
      </c>
      <c r="M23">
        <f>IMAGE("file:///E:/Estudios%20y%20certificaciones/ESTUDIOS%20DE%20PROGRAMMING/PROGRAMMING/PERSONAL/PYTHON/Image_Generator_API/imagenes/HALIFAX_WOMENS_119000008_OLI_2.jpg")</f>
        <v/>
      </c>
      <c r="N23">
        <f>IMAGE("file:///E:/Estudios%20y%20certificaciones/ESTUDIOS%20DE%20PROGRAMMING/PROGRAMMING/PERSONAL/PYTHON/Image_Generator_API/imagenes/HALIFAX_WOMENS_119000008_OLI_3.jpg")</f>
        <v/>
      </c>
      <c r="O23">
        <f>HYPERLINK("imagenes/HALIFAX_WOMENS_119000008_OLI_1.jpg","Ver imagen")</f>
        <v/>
      </c>
      <c r="P23">
        <f>HYPERLINK("imagenes/HALIFAX_WOMENS_119000008_OLI_2.jpg","Ver imagen")</f>
        <v/>
      </c>
      <c r="Q23">
        <f>HYPERLINK("imagenes/HALIFAX_WOMENS_119000008_OLI_3.jpg","Ver imagen")</f>
        <v/>
      </c>
    </row>
    <row r="24">
      <c r="A24" t="inlineStr">
        <is>
          <t>HALIFAX WOMENS</t>
        </is>
      </c>
      <c r="B24" t="inlineStr">
        <is>
          <t>119000008</t>
        </is>
      </c>
      <c r="C24" t="inlineStr">
        <is>
          <t>Midweight Faux Fur Trimmed Puffer CBL:31</t>
        </is>
      </c>
      <c r="D24" t="inlineStr">
        <is>
          <t>OLI</t>
        </is>
      </c>
      <c r="E24" t="inlineStr">
        <is>
          <t>(en blanco)</t>
        </is>
      </c>
      <c r="F24" t="inlineStr">
        <is>
          <t>(en blanco)</t>
        </is>
      </c>
      <c r="G24" t="inlineStr">
        <is>
          <t>M</t>
        </is>
      </c>
      <c r="H24" t="n">
        <v>34</v>
      </c>
      <c r="I24" t="inlineStr">
        <is>
          <t>HALIFAX_WOMENS_119000008_OLI_1.jpg</t>
        </is>
      </c>
      <c r="J24" t="inlineStr">
        <is>
          <t>HALIFAX_WOMENS_119000008_OLI_2.jpg</t>
        </is>
      </c>
      <c r="K24" t="inlineStr">
        <is>
          <t>HALIFAX_WOMENS_119000008_OLI_3.jpg</t>
        </is>
      </c>
      <c r="L24">
        <f>IMAGE("file:///E:/Estudios%20y%20certificaciones/ESTUDIOS%20DE%20PROGRAMMING/PROGRAMMING/PERSONAL/PYTHON/Image_Generator_API/imagenes/HALIFAX_WOMENS_119000008_OLI_1.jpg")</f>
        <v/>
      </c>
      <c r="M24">
        <f>IMAGE("file:///E:/Estudios%20y%20certificaciones/ESTUDIOS%20DE%20PROGRAMMING/PROGRAMMING/PERSONAL/PYTHON/Image_Generator_API/imagenes/HALIFAX_WOMENS_119000008_OLI_2.jpg")</f>
        <v/>
      </c>
      <c r="N24">
        <f>IMAGE("file:///E:/Estudios%20y%20certificaciones/ESTUDIOS%20DE%20PROGRAMMING/PROGRAMMING/PERSONAL/PYTHON/Image_Generator_API/imagenes/HALIFAX_WOMENS_119000008_OLI_3.jpg")</f>
        <v/>
      </c>
      <c r="O24">
        <f>HYPERLINK("imagenes/HALIFAX_WOMENS_119000008_OLI_1.jpg","Ver imagen")</f>
        <v/>
      </c>
      <c r="P24">
        <f>HYPERLINK("imagenes/HALIFAX_WOMENS_119000008_OLI_2.jpg","Ver imagen")</f>
        <v/>
      </c>
      <c r="Q24">
        <f>HYPERLINK("imagenes/HALIFAX_WOMENS_119000008_OLI_3.jpg","Ver imagen")</f>
        <v/>
      </c>
    </row>
    <row r="25">
      <c r="A25" t="inlineStr">
        <is>
          <t>HALIFAX WOMENS</t>
        </is>
      </c>
      <c r="B25" t="inlineStr">
        <is>
          <t>119000008</t>
        </is>
      </c>
      <c r="C25" t="inlineStr">
        <is>
          <t>Midweight Faux Fur Trimmed Puffer CBL:31</t>
        </is>
      </c>
      <c r="D25" t="inlineStr">
        <is>
          <t>OLI</t>
        </is>
      </c>
      <c r="E25" t="inlineStr">
        <is>
          <t>(en blanco)</t>
        </is>
      </c>
      <c r="F25" t="inlineStr">
        <is>
          <t>(en blanco)</t>
        </is>
      </c>
      <c r="G25" t="inlineStr">
        <is>
          <t>L</t>
        </is>
      </c>
      <c r="H25" t="n">
        <v>35</v>
      </c>
      <c r="I25" t="inlineStr">
        <is>
          <t>HALIFAX_WOMENS_119000008_OLI_1.jpg</t>
        </is>
      </c>
      <c r="J25" t="inlineStr">
        <is>
          <t>HALIFAX_WOMENS_119000008_OLI_2.jpg</t>
        </is>
      </c>
      <c r="K25" t="inlineStr">
        <is>
          <t>HALIFAX_WOMENS_119000008_OLI_3.jpg</t>
        </is>
      </c>
      <c r="L25">
        <f>IMAGE("file:///E:/Estudios%20y%20certificaciones/ESTUDIOS%20DE%20PROGRAMMING/PROGRAMMING/PERSONAL/PYTHON/Image_Generator_API/imagenes/HALIFAX_WOMENS_119000008_OLI_1.jpg")</f>
        <v/>
      </c>
      <c r="M25">
        <f>IMAGE("file:///E:/Estudios%20y%20certificaciones/ESTUDIOS%20DE%20PROGRAMMING/PROGRAMMING/PERSONAL/PYTHON/Image_Generator_API/imagenes/HALIFAX_WOMENS_119000008_OLI_2.jpg")</f>
        <v/>
      </c>
      <c r="N25">
        <f>IMAGE("file:///E:/Estudios%20y%20certificaciones/ESTUDIOS%20DE%20PROGRAMMING/PROGRAMMING/PERSONAL/PYTHON/Image_Generator_API/imagenes/HALIFAX_WOMENS_119000008_OLI_3.jpg")</f>
        <v/>
      </c>
      <c r="O25">
        <f>HYPERLINK("imagenes/HALIFAX_WOMENS_119000008_OLI_1.jpg","Ver imagen")</f>
        <v/>
      </c>
      <c r="P25">
        <f>HYPERLINK("imagenes/HALIFAX_WOMENS_119000008_OLI_2.jpg","Ver imagen")</f>
        <v/>
      </c>
      <c r="Q25">
        <f>HYPERLINK("imagenes/HALIFAX_WOMENS_119000008_OLI_3.jpg","Ver imagen")</f>
        <v/>
      </c>
    </row>
    <row r="26">
      <c r="A26" t="inlineStr">
        <is>
          <t>HALIFAX WOMENS</t>
        </is>
      </c>
      <c r="B26" t="inlineStr">
        <is>
          <t>119000008</t>
        </is>
      </c>
      <c r="C26" t="inlineStr">
        <is>
          <t>Midweight Faux Fur Trimmed Puffer CBL:31</t>
        </is>
      </c>
      <c r="D26" t="inlineStr">
        <is>
          <t>OLI</t>
        </is>
      </c>
      <c r="E26" t="inlineStr">
        <is>
          <t>(en blanco)</t>
        </is>
      </c>
      <c r="F26" t="inlineStr">
        <is>
          <t>(en blanco)</t>
        </is>
      </c>
      <c r="G26" t="inlineStr">
        <is>
          <t>XL</t>
        </is>
      </c>
      <c r="H26" t="n">
        <v>34</v>
      </c>
      <c r="I26" t="inlineStr">
        <is>
          <t>HALIFAX_WOMENS_119000008_OLI_1.jpg</t>
        </is>
      </c>
      <c r="J26" t="inlineStr">
        <is>
          <t>HALIFAX_WOMENS_119000008_OLI_2.jpg</t>
        </is>
      </c>
      <c r="K26" t="inlineStr">
        <is>
          <t>HALIFAX_WOMENS_119000008_OLI_3.jpg</t>
        </is>
      </c>
      <c r="L26">
        <f>IMAGE("file:///E:/Estudios%20y%20certificaciones/ESTUDIOS%20DE%20PROGRAMMING/PROGRAMMING/PERSONAL/PYTHON/Image_Generator_API/imagenes/HALIFAX_WOMENS_119000008_OLI_1.jpg")</f>
        <v/>
      </c>
      <c r="M26">
        <f>IMAGE("file:///E:/Estudios%20y%20certificaciones/ESTUDIOS%20DE%20PROGRAMMING/PROGRAMMING/PERSONAL/PYTHON/Image_Generator_API/imagenes/HALIFAX_WOMENS_119000008_OLI_2.jpg")</f>
        <v/>
      </c>
      <c r="N26">
        <f>IMAGE("file:///E:/Estudios%20y%20certificaciones/ESTUDIOS%20DE%20PROGRAMMING/PROGRAMMING/PERSONAL/PYTHON/Image_Generator_API/imagenes/HALIFAX_WOMENS_119000008_OLI_3.jpg")</f>
        <v/>
      </c>
      <c r="O26">
        <f>HYPERLINK("imagenes/HALIFAX_WOMENS_119000008_OLI_1.jpg","Ver imagen")</f>
        <v/>
      </c>
      <c r="P26">
        <f>HYPERLINK("imagenes/HALIFAX_WOMENS_119000008_OLI_2.jpg","Ver imagen")</f>
        <v/>
      </c>
      <c r="Q26">
        <f>HYPERLINK("imagenes/HALIFAX_WOMENS_119000008_OLI_3.jpg","Ver imagen")</f>
        <v/>
      </c>
    </row>
    <row r="27">
      <c r="A27" t="inlineStr">
        <is>
          <t>HALIFAX WOMENS</t>
        </is>
      </c>
      <c r="B27" t="inlineStr">
        <is>
          <t>119000008</t>
        </is>
      </c>
      <c r="C27" t="inlineStr">
        <is>
          <t>Midweight Faux Fur Trimmed Puffer CBL:31</t>
        </is>
      </c>
      <c r="D27" t="inlineStr">
        <is>
          <t>OLI</t>
        </is>
      </c>
      <c r="E27" t="inlineStr">
        <is>
          <t>(en blanco)</t>
        </is>
      </c>
      <c r="F27" t="inlineStr">
        <is>
          <t>(en blanco)</t>
        </is>
      </c>
      <c r="G27" t="inlineStr">
        <is>
          <t>XXL</t>
        </is>
      </c>
      <c r="H27" t="n">
        <v>17</v>
      </c>
      <c r="I27" t="inlineStr">
        <is>
          <t>HALIFAX_WOMENS_119000008_OLI_1.jpg</t>
        </is>
      </c>
      <c r="J27" t="inlineStr">
        <is>
          <t>HALIFAX_WOMENS_119000008_OLI_2.jpg</t>
        </is>
      </c>
      <c r="K27" t="inlineStr">
        <is>
          <t>HALIFAX_WOMENS_119000008_OLI_3.jpg</t>
        </is>
      </c>
      <c r="L27">
        <f>IMAGE("file:///E:/Estudios%20y%20certificaciones/ESTUDIOS%20DE%20PROGRAMMING/PROGRAMMING/PERSONAL/PYTHON/Image_Generator_API/imagenes/HALIFAX_WOMENS_119000008_OLI_1.jpg")</f>
        <v/>
      </c>
      <c r="M27">
        <f>IMAGE("file:///E:/Estudios%20y%20certificaciones/ESTUDIOS%20DE%20PROGRAMMING/PROGRAMMING/PERSONAL/PYTHON/Image_Generator_API/imagenes/HALIFAX_WOMENS_119000008_OLI_2.jpg")</f>
        <v/>
      </c>
      <c r="N27">
        <f>IMAGE("file:///E:/Estudios%20y%20certificaciones/ESTUDIOS%20DE%20PROGRAMMING/PROGRAMMING/PERSONAL/PYTHON/Image_Generator_API/imagenes/HALIFAX_WOMENS_119000008_OLI_3.jpg")</f>
        <v/>
      </c>
      <c r="O27">
        <f>HYPERLINK("imagenes/HALIFAX_WOMENS_119000008_OLI_1.jpg","Ver imagen")</f>
        <v/>
      </c>
      <c r="P27">
        <f>HYPERLINK("imagenes/HALIFAX_WOMENS_119000008_OLI_2.jpg","Ver imagen")</f>
        <v/>
      </c>
      <c r="Q27">
        <f>HYPERLINK("imagenes/HALIFAX_WOMENS_119000008_OLI_3.jpg","Ver imagen")</f>
        <v/>
      </c>
    </row>
    <row r="28">
      <c r="A28" t="inlineStr">
        <is>
          <t>HALIFAX WOMENS</t>
        </is>
      </c>
      <c r="B28" t="inlineStr">
        <is>
          <t>119000214</t>
        </is>
      </c>
      <c r="C28" t="inlineStr">
        <is>
          <t>Softshell B/T Mellowpile Jacket CBL 26</t>
        </is>
      </c>
      <c r="D28" t="inlineStr">
        <is>
          <t>ADR</t>
        </is>
      </c>
      <c r="E28" t="inlineStr">
        <is>
          <t>06A01</t>
        </is>
      </c>
      <c r="F28" t="inlineStr">
        <is>
          <t>(en blanco)</t>
        </is>
      </c>
      <c r="G28" t="inlineStr">
        <is>
          <t>PPK</t>
        </is>
      </c>
      <c r="H28" t="n">
        <v>798</v>
      </c>
      <c r="I28" t="inlineStr">
        <is>
          <t>HALIFAX_WOMENS_119000214_ADR_1.jpg</t>
        </is>
      </c>
      <c r="J28" t="inlineStr">
        <is>
          <t>HALIFAX_WOMENS_119000214_ADR_2.jpg</t>
        </is>
      </c>
      <c r="K28" t="inlineStr">
        <is>
          <t>HALIFAX_WOMENS_119000214_ADR_3.jpg</t>
        </is>
      </c>
      <c r="L28">
        <f>IMAGE("file:///E:/Estudios%20y%20certificaciones/ESTUDIOS%20DE%20PROGRAMMING/PROGRAMMING/PERSONAL/PYTHON/Image_Generator_API/imagenes/HALIFAX_WOMENS_119000214_ADR_1.jpg")</f>
        <v/>
      </c>
      <c r="M28">
        <f>IMAGE("file:///E:/Estudios%20y%20certificaciones/ESTUDIOS%20DE%20PROGRAMMING/PROGRAMMING/PERSONAL/PYTHON/Image_Generator_API/imagenes/HALIFAX_WOMENS_119000214_ADR_2.jpg")</f>
        <v/>
      </c>
      <c r="N28">
        <f>IMAGE("file:///E:/Estudios%20y%20certificaciones/ESTUDIOS%20DE%20PROGRAMMING/PROGRAMMING/PERSONAL/PYTHON/Image_Generator_API/imagenes/HALIFAX_WOMENS_119000214_ADR_3.jpg")</f>
        <v/>
      </c>
      <c r="O28">
        <f>HYPERLINK("imagenes/HALIFAX_WOMENS_119000214_ADR_1.jpg","Ver imagen")</f>
        <v/>
      </c>
      <c r="P28">
        <f>HYPERLINK("imagenes/HALIFAX_WOMENS_119000214_ADR_2.jpg","Ver imagen")</f>
        <v/>
      </c>
      <c r="Q28">
        <f>HYPERLINK("imagenes/HALIFAX_WOMENS_119000214_ADR_3.jpg","Ver imagen")</f>
        <v/>
      </c>
    </row>
    <row r="29">
      <c r="A29" t="inlineStr">
        <is>
          <t>HALIFAX WOMENS</t>
        </is>
      </c>
      <c r="B29" t="inlineStr">
        <is>
          <t>119000214</t>
        </is>
      </c>
      <c r="C29" t="inlineStr">
        <is>
          <t>Softshell B/T Mellowpile Jacket CBL 26</t>
        </is>
      </c>
      <c r="D29" t="inlineStr">
        <is>
          <t>BLK</t>
        </is>
      </c>
      <c r="E29" t="inlineStr">
        <is>
          <t>06A01</t>
        </is>
      </c>
      <c r="F29" t="inlineStr">
        <is>
          <t>R2140</t>
        </is>
      </c>
      <c r="G29" t="inlineStr">
        <is>
          <t>PPK</t>
        </is>
      </c>
      <c r="H29" t="n">
        <v>12</v>
      </c>
      <c r="I29" t="inlineStr">
        <is>
          <t>HALIFAX_WOMENS_119000214_BLK_1.jpg</t>
        </is>
      </c>
      <c r="J29" t="inlineStr">
        <is>
          <t>HALIFAX_WOMENS_119000214_BLK_2.jpg</t>
        </is>
      </c>
      <c r="K29" t="inlineStr">
        <is>
          <t>HALIFAX_WOMENS_119000214_BLK_3.jpg</t>
        </is>
      </c>
      <c r="L29">
        <f>IMAGE("file:///E:/Estudios%20y%20certificaciones/ESTUDIOS%20DE%20PROGRAMMING/PROGRAMMING/PERSONAL/PYTHON/Image_Generator_API/imagenes/HALIFAX_WOMENS_119000214_BLK_1.jpg")</f>
        <v/>
      </c>
      <c r="M29">
        <f>IMAGE("file:///E:/Estudios%20y%20certificaciones/ESTUDIOS%20DE%20PROGRAMMING/PROGRAMMING/PERSONAL/PYTHON/Image_Generator_API/imagenes/HALIFAX_WOMENS_119000214_BLK_2.jpg")</f>
        <v/>
      </c>
      <c r="N29">
        <f>IMAGE("file:///E:/Estudios%20y%20certificaciones/ESTUDIOS%20DE%20PROGRAMMING/PROGRAMMING/PERSONAL/PYTHON/Image_Generator_API/imagenes/HALIFAX_WOMENS_119000214_BLK_3.jpg")</f>
        <v/>
      </c>
      <c r="O29">
        <f>HYPERLINK("imagenes/HALIFAX_WOMENS_119000214_BLK_1.jpg","Ver imagen")</f>
        <v/>
      </c>
      <c r="P29">
        <f>HYPERLINK("imagenes/HALIFAX_WOMENS_119000214_BLK_2.jpg","Ver imagen")</f>
        <v/>
      </c>
      <c r="Q29">
        <f>HYPERLINK("imagenes/HALIFAX_WOMENS_119000214_BLK_3.jpg","Ver imagen")</f>
        <v/>
      </c>
    </row>
    <row r="30">
      <c r="A30" t="inlineStr">
        <is>
          <t>HALIFAX WOMENS</t>
        </is>
      </c>
      <c r="B30" t="inlineStr">
        <is>
          <t>119000214</t>
        </is>
      </c>
      <c r="C30" t="inlineStr">
        <is>
          <t>Softshell B/T Mellowpile Jacket CBL 26</t>
        </is>
      </c>
      <c r="D30" t="inlineStr">
        <is>
          <t>BLK</t>
        </is>
      </c>
      <c r="E30" t="inlineStr">
        <is>
          <t>(en blanco)</t>
        </is>
      </c>
      <c r="F30" t="inlineStr">
        <is>
          <t>D2C</t>
        </is>
      </c>
      <c r="G30" t="inlineStr">
        <is>
          <t>S</t>
        </is>
      </c>
      <c r="H30" t="n">
        <v>60</v>
      </c>
      <c r="I30" t="inlineStr">
        <is>
          <t>HALIFAX_WOMENS_119000214_BLK_1.jpg</t>
        </is>
      </c>
      <c r="J30" t="inlineStr">
        <is>
          <t>HALIFAX_WOMENS_119000214_BLK_2.jpg</t>
        </is>
      </c>
      <c r="K30" t="inlineStr">
        <is>
          <t>HALIFAX_WOMENS_119000214_BLK_3.jpg</t>
        </is>
      </c>
      <c r="L30">
        <f>IMAGE("file:///E:/Estudios%20y%20certificaciones/ESTUDIOS%20DE%20PROGRAMMING/PROGRAMMING/PERSONAL/PYTHON/Image_Generator_API/imagenes/HALIFAX_WOMENS_119000214_BLK_1.jpg")</f>
        <v/>
      </c>
      <c r="M30">
        <f>IMAGE("file:///E:/Estudios%20y%20certificaciones/ESTUDIOS%20DE%20PROGRAMMING/PROGRAMMING/PERSONAL/PYTHON/Image_Generator_API/imagenes/HALIFAX_WOMENS_119000214_BLK_2.jpg")</f>
        <v/>
      </c>
      <c r="N30">
        <f>IMAGE("file:///E:/Estudios%20y%20certificaciones/ESTUDIOS%20DE%20PROGRAMMING/PROGRAMMING/PERSONAL/PYTHON/Image_Generator_API/imagenes/HALIFAX_WOMENS_119000214_BLK_3.jpg")</f>
        <v/>
      </c>
      <c r="O30">
        <f>HYPERLINK("imagenes/HALIFAX_WOMENS_119000214_BLK_1.jpg","Ver imagen")</f>
        <v/>
      </c>
      <c r="P30">
        <f>HYPERLINK("imagenes/HALIFAX_WOMENS_119000214_BLK_2.jpg","Ver imagen")</f>
        <v/>
      </c>
      <c r="Q30">
        <f>HYPERLINK("imagenes/HALIFAX_WOMENS_119000214_BLK_3.jpg","Ver imagen")</f>
        <v/>
      </c>
    </row>
    <row r="31">
      <c r="A31" t="inlineStr">
        <is>
          <t>HALIFAX WOMENS</t>
        </is>
      </c>
      <c r="B31" t="inlineStr">
        <is>
          <t>119000214</t>
        </is>
      </c>
      <c r="C31" t="inlineStr">
        <is>
          <t>Softshell B/T Mellowpile Jacket CBL 26</t>
        </is>
      </c>
      <c r="D31" t="inlineStr">
        <is>
          <t>BLK</t>
        </is>
      </c>
      <c r="E31" t="inlineStr">
        <is>
          <t>(en blanco)</t>
        </is>
      </c>
      <c r="F31" t="inlineStr">
        <is>
          <t>D2C</t>
        </is>
      </c>
      <c r="G31" t="inlineStr">
        <is>
          <t>M</t>
        </is>
      </c>
      <c r="H31" t="n">
        <v>316</v>
      </c>
      <c r="I31" t="inlineStr">
        <is>
          <t>HALIFAX_WOMENS_119000214_BLK_1.jpg</t>
        </is>
      </c>
      <c r="J31" t="inlineStr">
        <is>
          <t>HALIFAX_WOMENS_119000214_BLK_2.jpg</t>
        </is>
      </c>
      <c r="K31" t="inlineStr">
        <is>
          <t>HALIFAX_WOMENS_119000214_BLK_3.jpg</t>
        </is>
      </c>
      <c r="L31">
        <f>IMAGE("file:///E:/Estudios%20y%20certificaciones/ESTUDIOS%20DE%20PROGRAMMING/PROGRAMMING/PERSONAL/PYTHON/Image_Generator_API/imagenes/HALIFAX_WOMENS_119000214_BLK_1.jpg")</f>
        <v/>
      </c>
      <c r="M31">
        <f>IMAGE("file:///E:/Estudios%20y%20certificaciones/ESTUDIOS%20DE%20PROGRAMMING/PROGRAMMING/PERSONAL/PYTHON/Image_Generator_API/imagenes/HALIFAX_WOMENS_119000214_BLK_2.jpg")</f>
        <v/>
      </c>
      <c r="N31">
        <f>IMAGE("file:///E:/Estudios%20y%20certificaciones/ESTUDIOS%20DE%20PROGRAMMING/PROGRAMMING/PERSONAL/PYTHON/Image_Generator_API/imagenes/HALIFAX_WOMENS_119000214_BLK_3.jpg")</f>
        <v/>
      </c>
      <c r="O31">
        <f>HYPERLINK("imagenes/HALIFAX_WOMENS_119000214_BLK_1.jpg","Ver imagen")</f>
        <v/>
      </c>
      <c r="P31">
        <f>HYPERLINK("imagenes/HALIFAX_WOMENS_119000214_BLK_2.jpg","Ver imagen")</f>
        <v/>
      </c>
      <c r="Q31">
        <f>HYPERLINK("imagenes/HALIFAX_WOMENS_119000214_BLK_3.jpg","Ver imagen")</f>
        <v/>
      </c>
    </row>
    <row r="32">
      <c r="A32" t="inlineStr">
        <is>
          <t>HALIFAX WOMENS</t>
        </is>
      </c>
      <c r="B32" t="inlineStr">
        <is>
          <t>119000214</t>
        </is>
      </c>
      <c r="C32" t="inlineStr">
        <is>
          <t>Softshell B/T Mellowpile Jacket CBL 26</t>
        </is>
      </c>
      <c r="D32" t="inlineStr">
        <is>
          <t>BLK</t>
        </is>
      </c>
      <c r="E32" t="inlineStr">
        <is>
          <t>(en blanco)</t>
        </is>
      </c>
      <c r="F32" t="inlineStr">
        <is>
          <t>D2C</t>
        </is>
      </c>
      <c r="G32" t="inlineStr">
        <is>
          <t>L</t>
        </is>
      </c>
      <c r="H32" t="n">
        <v>295</v>
      </c>
      <c r="I32" t="inlineStr">
        <is>
          <t>HALIFAX_WOMENS_119000214_BLK_1.jpg</t>
        </is>
      </c>
      <c r="J32" t="inlineStr">
        <is>
          <t>HALIFAX_WOMENS_119000214_BLK_2.jpg</t>
        </is>
      </c>
      <c r="K32" t="inlineStr">
        <is>
          <t>HALIFAX_WOMENS_119000214_BLK_3.jpg</t>
        </is>
      </c>
      <c r="L32">
        <f>IMAGE("file:///E:/Estudios%20y%20certificaciones/ESTUDIOS%20DE%20PROGRAMMING/PROGRAMMING/PERSONAL/PYTHON/Image_Generator_API/imagenes/HALIFAX_WOMENS_119000214_BLK_1.jpg")</f>
        <v/>
      </c>
      <c r="M32">
        <f>IMAGE("file:///E:/Estudios%20y%20certificaciones/ESTUDIOS%20DE%20PROGRAMMING/PROGRAMMING/PERSONAL/PYTHON/Image_Generator_API/imagenes/HALIFAX_WOMENS_119000214_BLK_2.jpg")</f>
        <v/>
      </c>
      <c r="N32">
        <f>IMAGE("file:///E:/Estudios%20y%20certificaciones/ESTUDIOS%20DE%20PROGRAMMING/PROGRAMMING/PERSONAL/PYTHON/Image_Generator_API/imagenes/HALIFAX_WOMENS_119000214_BLK_3.jpg")</f>
        <v/>
      </c>
      <c r="O32">
        <f>HYPERLINK("imagenes/HALIFAX_WOMENS_119000214_BLK_1.jpg","Ver imagen")</f>
        <v/>
      </c>
      <c r="P32">
        <f>HYPERLINK("imagenes/HALIFAX_WOMENS_119000214_BLK_2.jpg","Ver imagen")</f>
        <v/>
      </c>
      <c r="Q32">
        <f>HYPERLINK("imagenes/HALIFAX_WOMENS_119000214_BLK_3.jpg","Ver imagen")</f>
        <v/>
      </c>
    </row>
    <row r="33">
      <c r="A33" t="inlineStr">
        <is>
          <t>HALIFAX WOMENS</t>
        </is>
      </c>
      <c r="B33" t="inlineStr">
        <is>
          <t>119000214</t>
        </is>
      </c>
      <c r="C33" t="inlineStr">
        <is>
          <t>Softshell B/T Mellowpile Jacket CBL 26</t>
        </is>
      </c>
      <c r="D33" t="inlineStr">
        <is>
          <t>BLK</t>
        </is>
      </c>
      <c r="E33" t="inlineStr">
        <is>
          <t>(en blanco)</t>
        </is>
      </c>
      <c r="F33" t="inlineStr">
        <is>
          <t>D2C</t>
        </is>
      </c>
      <c r="G33" t="inlineStr">
        <is>
          <t>XL</t>
        </is>
      </c>
      <c r="H33" t="n">
        <v>250</v>
      </c>
      <c r="I33" t="inlineStr">
        <is>
          <t>HALIFAX_WOMENS_119000214_BLK_1.jpg</t>
        </is>
      </c>
      <c r="J33" t="inlineStr">
        <is>
          <t>HALIFAX_WOMENS_119000214_BLK_2.jpg</t>
        </is>
      </c>
      <c r="K33" t="inlineStr">
        <is>
          <t>HALIFAX_WOMENS_119000214_BLK_3.jpg</t>
        </is>
      </c>
      <c r="L33">
        <f>IMAGE("file:///E:/Estudios%20y%20certificaciones/ESTUDIOS%20DE%20PROGRAMMING/PROGRAMMING/PERSONAL/PYTHON/Image_Generator_API/imagenes/HALIFAX_WOMENS_119000214_BLK_1.jpg")</f>
        <v/>
      </c>
      <c r="M33">
        <f>IMAGE("file:///E:/Estudios%20y%20certificaciones/ESTUDIOS%20DE%20PROGRAMMING/PROGRAMMING/PERSONAL/PYTHON/Image_Generator_API/imagenes/HALIFAX_WOMENS_119000214_BLK_2.jpg")</f>
        <v/>
      </c>
      <c r="N33">
        <f>IMAGE("file:///E:/Estudios%20y%20certificaciones/ESTUDIOS%20DE%20PROGRAMMING/PROGRAMMING/PERSONAL/PYTHON/Image_Generator_API/imagenes/HALIFAX_WOMENS_119000214_BLK_3.jpg")</f>
        <v/>
      </c>
      <c r="O33">
        <f>HYPERLINK("imagenes/HALIFAX_WOMENS_119000214_BLK_1.jpg","Ver imagen")</f>
        <v/>
      </c>
      <c r="P33">
        <f>HYPERLINK("imagenes/HALIFAX_WOMENS_119000214_BLK_2.jpg","Ver imagen")</f>
        <v/>
      </c>
      <c r="Q33">
        <f>HYPERLINK("imagenes/HALIFAX_WOMENS_119000214_BLK_3.jpg","Ver imagen")</f>
        <v/>
      </c>
    </row>
    <row r="34">
      <c r="A34" t="inlineStr">
        <is>
          <t>HALIFAX WOMENS</t>
        </is>
      </c>
      <c r="B34" t="inlineStr">
        <is>
          <t>119000214</t>
        </is>
      </c>
      <c r="C34" t="inlineStr">
        <is>
          <t>Softshell B/T Mellowpile Jacket CBL 26</t>
        </is>
      </c>
      <c r="D34" t="inlineStr">
        <is>
          <t>BLK</t>
        </is>
      </c>
      <c r="E34" t="inlineStr">
        <is>
          <t>(en blanco)</t>
        </is>
      </c>
      <c r="F34" t="inlineStr">
        <is>
          <t>D2C</t>
        </is>
      </c>
      <c r="G34" t="inlineStr">
        <is>
          <t>XXL</t>
        </is>
      </c>
      <c r="H34" t="n">
        <v>217</v>
      </c>
      <c r="I34" t="inlineStr">
        <is>
          <t>HALIFAX_WOMENS_119000214_BLK_1.jpg</t>
        </is>
      </c>
      <c r="J34" t="inlineStr">
        <is>
          <t>HALIFAX_WOMENS_119000214_BLK_2.jpg</t>
        </is>
      </c>
      <c r="K34" t="inlineStr">
        <is>
          <t>HALIFAX_WOMENS_119000214_BLK_3.jpg</t>
        </is>
      </c>
      <c r="L34">
        <f>IMAGE("file:///E:/Estudios%20y%20certificaciones/ESTUDIOS%20DE%20PROGRAMMING/PROGRAMMING/PERSONAL/PYTHON/Image_Generator_API/imagenes/HALIFAX_WOMENS_119000214_BLK_1.jpg")</f>
        <v/>
      </c>
      <c r="M34">
        <f>IMAGE("file:///E:/Estudios%20y%20certificaciones/ESTUDIOS%20DE%20PROGRAMMING/PROGRAMMING/PERSONAL/PYTHON/Image_Generator_API/imagenes/HALIFAX_WOMENS_119000214_BLK_2.jpg")</f>
        <v/>
      </c>
      <c r="N34">
        <f>IMAGE("file:///E:/Estudios%20y%20certificaciones/ESTUDIOS%20DE%20PROGRAMMING/PROGRAMMING/PERSONAL/PYTHON/Image_Generator_API/imagenes/HALIFAX_WOMENS_119000214_BLK_3.jpg")</f>
        <v/>
      </c>
      <c r="O34">
        <f>HYPERLINK("imagenes/HALIFAX_WOMENS_119000214_BLK_1.jpg","Ver imagen")</f>
        <v/>
      </c>
      <c r="P34">
        <f>HYPERLINK("imagenes/HALIFAX_WOMENS_119000214_BLK_2.jpg","Ver imagen")</f>
        <v/>
      </c>
      <c r="Q34">
        <f>HYPERLINK("imagenes/HALIFAX_WOMENS_119000214_BLK_3.jpg","Ver imagen")</f>
        <v/>
      </c>
    </row>
    <row r="35">
      <c r="A35" t="inlineStr">
        <is>
          <t>HALIFAX WOMENS</t>
        </is>
      </c>
      <c r="B35" t="inlineStr">
        <is>
          <t>119000214</t>
        </is>
      </c>
      <c r="C35" t="inlineStr">
        <is>
          <t>Softshell B/T Mellowpile Jacket CBL 26</t>
        </is>
      </c>
      <c r="D35" t="inlineStr">
        <is>
          <t>BLK</t>
        </is>
      </c>
      <c r="E35" t="inlineStr">
        <is>
          <t>(en blanco)</t>
        </is>
      </c>
      <c r="F35" t="inlineStr">
        <is>
          <t>(en blanco)</t>
        </is>
      </c>
      <c r="G35" t="inlineStr">
        <is>
          <t>S</t>
        </is>
      </c>
      <c r="H35" t="n">
        <v>2</v>
      </c>
      <c r="I35" t="inlineStr">
        <is>
          <t>HALIFAX_WOMENS_119000214_BLK_1.jpg</t>
        </is>
      </c>
      <c r="J35" t="inlineStr">
        <is>
          <t>HALIFAX_WOMENS_119000214_BLK_2.jpg</t>
        </is>
      </c>
      <c r="K35" t="inlineStr">
        <is>
          <t>HALIFAX_WOMENS_119000214_BLK_3.jpg</t>
        </is>
      </c>
      <c r="L35">
        <f>IMAGE("file:///E:/Estudios%20y%20certificaciones/ESTUDIOS%20DE%20PROGRAMMING/PROGRAMMING/PERSONAL/PYTHON/Image_Generator_API/imagenes/HALIFAX_WOMENS_119000214_BLK_1.jpg")</f>
        <v/>
      </c>
      <c r="M35">
        <f>IMAGE("file:///E:/Estudios%20y%20certificaciones/ESTUDIOS%20DE%20PROGRAMMING/PROGRAMMING/PERSONAL/PYTHON/Image_Generator_API/imagenes/HALIFAX_WOMENS_119000214_BLK_2.jpg")</f>
        <v/>
      </c>
      <c r="N35">
        <f>IMAGE("file:///E:/Estudios%20y%20certificaciones/ESTUDIOS%20DE%20PROGRAMMING/PROGRAMMING/PERSONAL/PYTHON/Image_Generator_API/imagenes/HALIFAX_WOMENS_119000214_BLK_3.jpg")</f>
        <v/>
      </c>
      <c r="O35">
        <f>HYPERLINK("imagenes/HALIFAX_WOMENS_119000214_BLK_1.jpg","Ver imagen")</f>
        <v/>
      </c>
      <c r="P35">
        <f>HYPERLINK("imagenes/HALIFAX_WOMENS_119000214_BLK_2.jpg","Ver imagen")</f>
        <v/>
      </c>
      <c r="Q35">
        <f>HYPERLINK("imagenes/HALIFAX_WOMENS_119000214_BLK_3.jpg","Ver imagen")</f>
        <v/>
      </c>
    </row>
    <row r="36">
      <c r="A36" t="inlineStr">
        <is>
          <t>HALIFAX WOMENS</t>
        </is>
      </c>
      <c r="B36" t="inlineStr">
        <is>
          <t>119000214</t>
        </is>
      </c>
      <c r="C36" t="inlineStr">
        <is>
          <t>Softshell B/T Mellowpile Jacket CBL 26</t>
        </is>
      </c>
      <c r="D36" t="inlineStr">
        <is>
          <t>BLK</t>
        </is>
      </c>
      <c r="E36" t="inlineStr">
        <is>
          <t>(en blanco)</t>
        </is>
      </c>
      <c r="F36" t="inlineStr">
        <is>
          <t>(en blanco)</t>
        </is>
      </c>
      <c r="G36" t="inlineStr">
        <is>
          <t>M</t>
        </is>
      </c>
      <c r="H36" t="n">
        <v>1</v>
      </c>
      <c r="I36" t="inlineStr">
        <is>
          <t>HALIFAX_WOMENS_119000214_BLK_1.jpg</t>
        </is>
      </c>
      <c r="J36" t="inlineStr">
        <is>
          <t>HALIFAX_WOMENS_119000214_BLK_2.jpg</t>
        </is>
      </c>
      <c r="K36" t="inlineStr">
        <is>
          <t>HALIFAX_WOMENS_119000214_BLK_3.jpg</t>
        </is>
      </c>
      <c r="L36">
        <f>IMAGE("file:///E:/Estudios%20y%20certificaciones/ESTUDIOS%20DE%20PROGRAMMING/PROGRAMMING/PERSONAL/PYTHON/Image_Generator_API/imagenes/HALIFAX_WOMENS_119000214_BLK_1.jpg")</f>
        <v/>
      </c>
      <c r="M36">
        <f>IMAGE("file:///E:/Estudios%20y%20certificaciones/ESTUDIOS%20DE%20PROGRAMMING/PROGRAMMING/PERSONAL/PYTHON/Image_Generator_API/imagenes/HALIFAX_WOMENS_119000214_BLK_2.jpg")</f>
        <v/>
      </c>
      <c r="N36">
        <f>IMAGE("file:///E:/Estudios%20y%20certificaciones/ESTUDIOS%20DE%20PROGRAMMING/PROGRAMMING/PERSONAL/PYTHON/Image_Generator_API/imagenes/HALIFAX_WOMENS_119000214_BLK_3.jpg")</f>
        <v/>
      </c>
      <c r="O36">
        <f>HYPERLINK("imagenes/HALIFAX_WOMENS_119000214_BLK_1.jpg","Ver imagen")</f>
        <v/>
      </c>
      <c r="P36">
        <f>HYPERLINK("imagenes/HALIFAX_WOMENS_119000214_BLK_2.jpg","Ver imagen")</f>
        <v/>
      </c>
      <c r="Q36">
        <f>HYPERLINK("imagenes/HALIFAX_WOMENS_119000214_BLK_3.jpg","Ver imagen")</f>
        <v/>
      </c>
    </row>
    <row r="37">
      <c r="A37" t="inlineStr">
        <is>
          <t>HALIFAX WOMENS</t>
        </is>
      </c>
      <c r="B37" t="inlineStr">
        <is>
          <t>119000214</t>
        </is>
      </c>
      <c r="C37" t="inlineStr">
        <is>
          <t>Softshell B/T Mellowpile Jacket CBL 26</t>
        </is>
      </c>
      <c r="D37" t="inlineStr">
        <is>
          <t>BLK</t>
        </is>
      </c>
      <c r="E37" t="inlineStr">
        <is>
          <t>(en blanco)</t>
        </is>
      </c>
      <c r="F37" t="inlineStr">
        <is>
          <t>(en blanco)</t>
        </is>
      </c>
      <c r="G37" t="inlineStr">
        <is>
          <t>L</t>
        </is>
      </c>
      <c r="H37" t="n">
        <v>0</v>
      </c>
      <c r="I37" t="inlineStr">
        <is>
          <t>HALIFAX_WOMENS_119000214_BLK_1.jpg</t>
        </is>
      </c>
      <c r="J37" t="inlineStr">
        <is>
          <t>HALIFAX_WOMENS_119000214_BLK_2.jpg</t>
        </is>
      </c>
      <c r="K37" t="inlineStr">
        <is>
          <t>HALIFAX_WOMENS_119000214_BLK_3.jpg</t>
        </is>
      </c>
      <c r="L37">
        <f>IMAGE("file:///E:/Estudios%20y%20certificaciones/ESTUDIOS%20DE%20PROGRAMMING/PROGRAMMING/PERSONAL/PYTHON/Image_Generator_API/imagenes/HALIFAX_WOMENS_119000214_BLK_1.jpg")</f>
        <v/>
      </c>
      <c r="M37">
        <f>IMAGE("file:///E:/Estudios%20y%20certificaciones/ESTUDIOS%20DE%20PROGRAMMING/PROGRAMMING/PERSONAL/PYTHON/Image_Generator_API/imagenes/HALIFAX_WOMENS_119000214_BLK_2.jpg")</f>
        <v/>
      </c>
      <c r="N37">
        <f>IMAGE("file:///E:/Estudios%20y%20certificaciones/ESTUDIOS%20DE%20PROGRAMMING/PROGRAMMING/PERSONAL/PYTHON/Image_Generator_API/imagenes/HALIFAX_WOMENS_119000214_BLK_3.jpg")</f>
        <v/>
      </c>
      <c r="O37">
        <f>HYPERLINK("imagenes/HALIFAX_WOMENS_119000214_BLK_1.jpg","Ver imagen")</f>
        <v/>
      </c>
      <c r="P37">
        <f>HYPERLINK("imagenes/HALIFAX_WOMENS_119000214_BLK_2.jpg","Ver imagen")</f>
        <v/>
      </c>
      <c r="Q37">
        <f>HYPERLINK("imagenes/HALIFAX_WOMENS_119000214_BLK_3.jpg","Ver imagen")</f>
        <v/>
      </c>
    </row>
    <row r="38">
      <c r="A38" t="inlineStr">
        <is>
          <t>HALIFAX WOMENS</t>
        </is>
      </c>
      <c r="B38" t="inlineStr">
        <is>
          <t>119000214</t>
        </is>
      </c>
      <c r="C38" t="inlineStr">
        <is>
          <t>Softshell B/T Mellowpile Jacket CBL 26</t>
        </is>
      </c>
      <c r="D38" t="inlineStr">
        <is>
          <t>BLK</t>
        </is>
      </c>
      <c r="E38" t="inlineStr">
        <is>
          <t>(en blanco)</t>
        </is>
      </c>
      <c r="F38" t="inlineStr">
        <is>
          <t>(en blanco)</t>
        </is>
      </c>
      <c r="G38" t="inlineStr">
        <is>
          <t>XL</t>
        </is>
      </c>
      <c r="H38" t="n">
        <v>0</v>
      </c>
      <c r="I38" t="inlineStr">
        <is>
          <t>HALIFAX_WOMENS_119000214_BLK_1.jpg</t>
        </is>
      </c>
      <c r="J38" t="inlineStr">
        <is>
          <t>HALIFAX_WOMENS_119000214_BLK_2.jpg</t>
        </is>
      </c>
      <c r="K38" t="inlineStr">
        <is>
          <t>HALIFAX_WOMENS_119000214_BLK_3.jpg</t>
        </is>
      </c>
      <c r="L38">
        <f>IMAGE("file:///E:/Estudios%20y%20certificaciones/ESTUDIOS%20DE%20PROGRAMMING/PROGRAMMING/PERSONAL/PYTHON/Image_Generator_API/imagenes/HALIFAX_WOMENS_119000214_BLK_1.jpg")</f>
        <v/>
      </c>
      <c r="M38">
        <f>IMAGE("file:///E:/Estudios%20y%20certificaciones/ESTUDIOS%20DE%20PROGRAMMING/PROGRAMMING/PERSONAL/PYTHON/Image_Generator_API/imagenes/HALIFAX_WOMENS_119000214_BLK_2.jpg")</f>
        <v/>
      </c>
      <c r="N38">
        <f>IMAGE("file:///E:/Estudios%20y%20certificaciones/ESTUDIOS%20DE%20PROGRAMMING/PROGRAMMING/PERSONAL/PYTHON/Image_Generator_API/imagenes/HALIFAX_WOMENS_119000214_BLK_3.jpg")</f>
        <v/>
      </c>
      <c r="O38">
        <f>HYPERLINK("imagenes/HALIFAX_WOMENS_119000214_BLK_1.jpg","Ver imagen")</f>
        <v/>
      </c>
      <c r="P38">
        <f>HYPERLINK("imagenes/HALIFAX_WOMENS_119000214_BLK_2.jpg","Ver imagen")</f>
        <v/>
      </c>
      <c r="Q38">
        <f>HYPERLINK("imagenes/HALIFAX_WOMENS_119000214_BLK_3.jpg","Ver imagen")</f>
        <v/>
      </c>
    </row>
    <row r="39">
      <c r="A39" t="inlineStr">
        <is>
          <t>HALIFAX WOMENS</t>
        </is>
      </c>
      <c r="B39" t="inlineStr">
        <is>
          <t>119000214</t>
        </is>
      </c>
      <c r="C39" t="inlineStr">
        <is>
          <t>Softshell B/T Mellowpile Jacket CBL 26</t>
        </is>
      </c>
      <c r="D39" t="inlineStr">
        <is>
          <t>CAM</t>
        </is>
      </c>
      <c r="E39" t="inlineStr">
        <is>
          <t>06A01</t>
        </is>
      </c>
      <c r="F39" t="inlineStr">
        <is>
          <t>(en blanco)</t>
        </is>
      </c>
      <c r="G39" t="inlineStr">
        <is>
          <t>PPK</t>
        </is>
      </c>
      <c r="H39" t="n">
        <v>2502</v>
      </c>
      <c r="I39" t="inlineStr">
        <is>
          <t>HALIFAX_WOMENS_119000214_CAM_1.jpg</t>
        </is>
      </c>
      <c r="J39" t="inlineStr">
        <is>
          <t>HALIFAX_WOMENS_119000214_CAM_2.jpg</t>
        </is>
      </c>
      <c r="K39" t="inlineStr">
        <is>
          <t>HALIFAX_WOMENS_119000214_CAM_3.jpg</t>
        </is>
      </c>
      <c r="L39">
        <f>IMAGE("file:///E:/Estudios%20y%20certificaciones/ESTUDIOS%20DE%20PROGRAMMING/PROGRAMMING/PERSONAL/PYTHON/Image_Generator_API/imagenes/HALIFAX_WOMENS_119000214_CAM_1.jpg")</f>
        <v/>
      </c>
      <c r="M39">
        <f>IMAGE("file:///E:/Estudios%20y%20certificaciones/ESTUDIOS%20DE%20PROGRAMMING/PROGRAMMING/PERSONAL/PYTHON/Image_Generator_API/imagenes/HALIFAX_WOMENS_119000214_CAM_2.jpg")</f>
        <v/>
      </c>
      <c r="N39">
        <f>IMAGE("file:///E:/Estudios%20y%20certificaciones/ESTUDIOS%20DE%20PROGRAMMING/PROGRAMMING/PERSONAL/PYTHON/Image_Generator_API/imagenes/HALIFAX_WOMENS_119000214_CAM_3.jpg")</f>
        <v/>
      </c>
      <c r="O39">
        <f>HYPERLINK("imagenes/HALIFAX_WOMENS_119000214_CAM_1.jpg","Ver imagen")</f>
        <v/>
      </c>
      <c r="P39">
        <f>HYPERLINK("imagenes/HALIFAX_WOMENS_119000214_CAM_2.jpg","Ver imagen")</f>
        <v/>
      </c>
      <c r="Q39">
        <f>HYPERLINK("imagenes/HALIFAX_WOMENS_119000214_CAM_3.jpg","Ver imagen")</f>
        <v/>
      </c>
    </row>
    <row r="40">
      <c r="A40" t="inlineStr">
        <is>
          <t>HALIFAX WOMENS</t>
        </is>
      </c>
      <c r="B40" t="inlineStr">
        <is>
          <t>119000214</t>
        </is>
      </c>
      <c r="C40" t="inlineStr">
        <is>
          <t>Softshell B/T Mellowpile Jacket CBL 26</t>
        </is>
      </c>
      <c r="D40" t="inlineStr">
        <is>
          <t>CAM</t>
        </is>
      </c>
      <c r="E40" t="inlineStr">
        <is>
          <t>(en blanco)</t>
        </is>
      </c>
      <c r="F40" t="inlineStr">
        <is>
          <t>D2C</t>
        </is>
      </c>
      <c r="G40" t="inlineStr">
        <is>
          <t>S</t>
        </is>
      </c>
      <c r="H40" t="n">
        <v>55</v>
      </c>
      <c r="I40" t="inlineStr">
        <is>
          <t>HALIFAX_WOMENS_119000214_CAM_1.jpg</t>
        </is>
      </c>
      <c r="J40" t="inlineStr">
        <is>
          <t>HALIFAX_WOMENS_119000214_CAM_2.jpg</t>
        </is>
      </c>
      <c r="K40" t="inlineStr">
        <is>
          <t>HALIFAX_WOMENS_119000214_CAM_3.jpg</t>
        </is>
      </c>
      <c r="L40">
        <f>IMAGE("file:///E:/Estudios%20y%20certificaciones/ESTUDIOS%20DE%20PROGRAMMING/PROGRAMMING/PERSONAL/PYTHON/Image_Generator_API/imagenes/HALIFAX_WOMENS_119000214_CAM_1.jpg")</f>
        <v/>
      </c>
      <c r="M40">
        <f>IMAGE("file:///E:/Estudios%20y%20certificaciones/ESTUDIOS%20DE%20PROGRAMMING/PROGRAMMING/PERSONAL/PYTHON/Image_Generator_API/imagenes/HALIFAX_WOMENS_119000214_CAM_2.jpg")</f>
        <v/>
      </c>
      <c r="N40">
        <f>IMAGE("file:///E:/Estudios%20y%20certificaciones/ESTUDIOS%20DE%20PROGRAMMING/PROGRAMMING/PERSONAL/PYTHON/Image_Generator_API/imagenes/HALIFAX_WOMENS_119000214_CAM_3.jpg")</f>
        <v/>
      </c>
      <c r="O40">
        <f>HYPERLINK("imagenes/HALIFAX_WOMENS_119000214_CAM_1.jpg","Ver imagen")</f>
        <v/>
      </c>
      <c r="P40">
        <f>HYPERLINK("imagenes/HALIFAX_WOMENS_119000214_CAM_2.jpg","Ver imagen")</f>
        <v/>
      </c>
      <c r="Q40">
        <f>HYPERLINK("imagenes/HALIFAX_WOMENS_119000214_CAM_3.jpg","Ver imagen")</f>
        <v/>
      </c>
    </row>
    <row r="41">
      <c r="A41" t="inlineStr">
        <is>
          <t>HALIFAX WOMENS</t>
        </is>
      </c>
      <c r="B41" t="inlineStr">
        <is>
          <t>119000214</t>
        </is>
      </c>
      <c r="C41" t="inlineStr">
        <is>
          <t>Softshell B/T Mellowpile Jacket CBL 26</t>
        </is>
      </c>
      <c r="D41" t="inlineStr">
        <is>
          <t>CAM</t>
        </is>
      </c>
      <c r="E41" t="inlineStr">
        <is>
          <t>(en blanco)</t>
        </is>
      </c>
      <c r="F41" t="inlineStr">
        <is>
          <t>D2C</t>
        </is>
      </c>
      <c r="G41" t="inlineStr">
        <is>
          <t>M</t>
        </is>
      </c>
      <c r="H41" t="n">
        <v>67</v>
      </c>
      <c r="I41" t="inlineStr">
        <is>
          <t>HALIFAX_WOMENS_119000214_CAM_1.jpg</t>
        </is>
      </c>
      <c r="J41" t="inlineStr">
        <is>
          <t>HALIFAX_WOMENS_119000214_CAM_2.jpg</t>
        </is>
      </c>
      <c r="K41" t="inlineStr">
        <is>
          <t>HALIFAX_WOMENS_119000214_CAM_3.jpg</t>
        </is>
      </c>
      <c r="L41">
        <f>IMAGE("file:///E:/Estudios%20y%20certificaciones/ESTUDIOS%20DE%20PROGRAMMING/PROGRAMMING/PERSONAL/PYTHON/Image_Generator_API/imagenes/HALIFAX_WOMENS_119000214_CAM_1.jpg")</f>
        <v/>
      </c>
      <c r="M41">
        <f>IMAGE("file:///E:/Estudios%20y%20certificaciones/ESTUDIOS%20DE%20PROGRAMMING/PROGRAMMING/PERSONAL/PYTHON/Image_Generator_API/imagenes/HALIFAX_WOMENS_119000214_CAM_2.jpg")</f>
        <v/>
      </c>
      <c r="N41">
        <f>IMAGE("file:///E:/Estudios%20y%20certificaciones/ESTUDIOS%20DE%20PROGRAMMING/PROGRAMMING/PERSONAL/PYTHON/Image_Generator_API/imagenes/HALIFAX_WOMENS_119000214_CAM_3.jpg")</f>
        <v/>
      </c>
      <c r="O41">
        <f>HYPERLINK("imagenes/HALIFAX_WOMENS_119000214_CAM_1.jpg","Ver imagen")</f>
        <v/>
      </c>
      <c r="P41">
        <f>HYPERLINK("imagenes/HALIFAX_WOMENS_119000214_CAM_2.jpg","Ver imagen")</f>
        <v/>
      </c>
      <c r="Q41">
        <f>HYPERLINK("imagenes/HALIFAX_WOMENS_119000214_CAM_3.jpg","Ver imagen")</f>
        <v/>
      </c>
    </row>
    <row r="42">
      <c r="A42" t="inlineStr">
        <is>
          <t>HALIFAX WOMENS</t>
        </is>
      </c>
      <c r="B42" t="inlineStr">
        <is>
          <t>119000214</t>
        </is>
      </c>
      <c r="C42" t="inlineStr">
        <is>
          <t>Softshell B/T Mellowpile Jacket CBL 26</t>
        </is>
      </c>
      <c r="D42" t="inlineStr">
        <is>
          <t>CAM</t>
        </is>
      </c>
      <c r="E42" t="inlineStr">
        <is>
          <t>(en blanco)</t>
        </is>
      </c>
      <c r="F42" t="inlineStr">
        <is>
          <t>D2C</t>
        </is>
      </c>
      <c r="G42" t="inlineStr">
        <is>
          <t>L</t>
        </is>
      </c>
      <c r="H42" t="n">
        <v>63</v>
      </c>
      <c r="I42" t="inlineStr">
        <is>
          <t>HALIFAX_WOMENS_119000214_CAM_1.jpg</t>
        </is>
      </c>
      <c r="J42" t="inlineStr">
        <is>
          <t>HALIFAX_WOMENS_119000214_CAM_2.jpg</t>
        </is>
      </c>
      <c r="K42" t="inlineStr">
        <is>
          <t>HALIFAX_WOMENS_119000214_CAM_3.jpg</t>
        </is>
      </c>
      <c r="L42">
        <f>IMAGE("file:///E:/Estudios%20y%20certificaciones/ESTUDIOS%20DE%20PROGRAMMING/PROGRAMMING/PERSONAL/PYTHON/Image_Generator_API/imagenes/HALIFAX_WOMENS_119000214_CAM_1.jpg")</f>
        <v/>
      </c>
      <c r="M42">
        <f>IMAGE("file:///E:/Estudios%20y%20certificaciones/ESTUDIOS%20DE%20PROGRAMMING/PROGRAMMING/PERSONAL/PYTHON/Image_Generator_API/imagenes/HALIFAX_WOMENS_119000214_CAM_2.jpg")</f>
        <v/>
      </c>
      <c r="N42">
        <f>IMAGE("file:///E:/Estudios%20y%20certificaciones/ESTUDIOS%20DE%20PROGRAMMING/PROGRAMMING/PERSONAL/PYTHON/Image_Generator_API/imagenes/HALIFAX_WOMENS_119000214_CAM_3.jpg")</f>
        <v/>
      </c>
      <c r="O42">
        <f>HYPERLINK("imagenes/HALIFAX_WOMENS_119000214_CAM_1.jpg","Ver imagen")</f>
        <v/>
      </c>
      <c r="P42">
        <f>HYPERLINK("imagenes/HALIFAX_WOMENS_119000214_CAM_2.jpg","Ver imagen")</f>
        <v/>
      </c>
      <c r="Q42">
        <f>HYPERLINK("imagenes/HALIFAX_WOMENS_119000214_CAM_3.jpg","Ver imagen")</f>
        <v/>
      </c>
    </row>
    <row r="43">
      <c r="A43" t="inlineStr">
        <is>
          <t>HALIFAX WOMENS</t>
        </is>
      </c>
      <c r="B43" t="inlineStr">
        <is>
          <t>119000214</t>
        </is>
      </c>
      <c r="C43" t="inlineStr">
        <is>
          <t>Softshell B/T Mellowpile Jacket CBL 26</t>
        </is>
      </c>
      <c r="D43" t="inlineStr">
        <is>
          <t>CAM</t>
        </is>
      </c>
      <c r="E43" t="inlineStr">
        <is>
          <t>(en blanco)</t>
        </is>
      </c>
      <c r="F43" t="inlineStr">
        <is>
          <t>D2C</t>
        </is>
      </c>
      <c r="G43" t="inlineStr">
        <is>
          <t>XL</t>
        </is>
      </c>
      <c r="H43" t="n">
        <v>30</v>
      </c>
      <c r="I43" t="inlineStr">
        <is>
          <t>HALIFAX_WOMENS_119000214_CAM_1.jpg</t>
        </is>
      </c>
      <c r="J43" t="inlineStr">
        <is>
          <t>HALIFAX_WOMENS_119000214_CAM_2.jpg</t>
        </is>
      </c>
      <c r="K43" t="inlineStr">
        <is>
          <t>HALIFAX_WOMENS_119000214_CAM_3.jpg</t>
        </is>
      </c>
      <c r="L43">
        <f>IMAGE("file:///E:/Estudios%20y%20certificaciones/ESTUDIOS%20DE%20PROGRAMMING/PROGRAMMING/PERSONAL/PYTHON/Image_Generator_API/imagenes/HALIFAX_WOMENS_119000214_CAM_1.jpg")</f>
        <v/>
      </c>
      <c r="M43">
        <f>IMAGE("file:///E:/Estudios%20y%20certificaciones/ESTUDIOS%20DE%20PROGRAMMING/PROGRAMMING/PERSONAL/PYTHON/Image_Generator_API/imagenes/HALIFAX_WOMENS_119000214_CAM_2.jpg")</f>
        <v/>
      </c>
      <c r="N43">
        <f>IMAGE("file:///E:/Estudios%20y%20certificaciones/ESTUDIOS%20DE%20PROGRAMMING/PROGRAMMING/PERSONAL/PYTHON/Image_Generator_API/imagenes/HALIFAX_WOMENS_119000214_CAM_3.jpg")</f>
        <v/>
      </c>
      <c r="O43">
        <f>HYPERLINK("imagenes/HALIFAX_WOMENS_119000214_CAM_1.jpg","Ver imagen")</f>
        <v/>
      </c>
      <c r="P43">
        <f>HYPERLINK("imagenes/HALIFAX_WOMENS_119000214_CAM_2.jpg","Ver imagen")</f>
        <v/>
      </c>
      <c r="Q43">
        <f>HYPERLINK("imagenes/HALIFAX_WOMENS_119000214_CAM_3.jpg","Ver imagen")</f>
        <v/>
      </c>
    </row>
    <row r="44">
      <c r="A44" t="inlineStr">
        <is>
          <t>HALIFAX WOMENS</t>
        </is>
      </c>
      <c r="B44" t="inlineStr">
        <is>
          <t>119000214</t>
        </is>
      </c>
      <c r="C44" t="inlineStr">
        <is>
          <t>Softshell B/T Mellowpile Jacket CBL 26</t>
        </is>
      </c>
      <c r="D44" t="inlineStr">
        <is>
          <t>CAM</t>
        </is>
      </c>
      <c r="E44" t="inlineStr">
        <is>
          <t>(en blanco)</t>
        </is>
      </c>
      <c r="F44" t="inlineStr">
        <is>
          <t>D2C</t>
        </is>
      </c>
      <c r="G44" t="inlineStr">
        <is>
          <t>XXL</t>
        </is>
      </c>
      <c r="H44" t="n">
        <v>25</v>
      </c>
      <c r="I44" t="inlineStr">
        <is>
          <t>HALIFAX_WOMENS_119000214_CAM_1.jpg</t>
        </is>
      </c>
      <c r="J44" t="inlineStr">
        <is>
          <t>HALIFAX_WOMENS_119000214_CAM_2.jpg</t>
        </is>
      </c>
      <c r="K44" t="inlineStr">
        <is>
          <t>HALIFAX_WOMENS_119000214_CAM_3.jpg</t>
        </is>
      </c>
      <c r="L44">
        <f>IMAGE("file:///E:/Estudios%20y%20certificaciones/ESTUDIOS%20DE%20PROGRAMMING/PROGRAMMING/PERSONAL/PYTHON/Image_Generator_API/imagenes/HALIFAX_WOMENS_119000214_CAM_1.jpg")</f>
        <v/>
      </c>
      <c r="M44">
        <f>IMAGE("file:///E:/Estudios%20y%20certificaciones/ESTUDIOS%20DE%20PROGRAMMING/PROGRAMMING/PERSONAL/PYTHON/Image_Generator_API/imagenes/HALIFAX_WOMENS_119000214_CAM_2.jpg")</f>
        <v/>
      </c>
      <c r="N44">
        <f>IMAGE("file:///E:/Estudios%20y%20certificaciones/ESTUDIOS%20DE%20PROGRAMMING/PROGRAMMING/PERSONAL/PYTHON/Image_Generator_API/imagenes/HALIFAX_WOMENS_119000214_CAM_3.jpg")</f>
        <v/>
      </c>
      <c r="O44">
        <f>HYPERLINK("imagenes/HALIFAX_WOMENS_119000214_CAM_1.jpg","Ver imagen")</f>
        <v/>
      </c>
      <c r="P44">
        <f>HYPERLINK("imagenes/HALIFAX_WOMENS_119000214_CAM_2.jpg","Ver imagen")</f>
        <v/>
      </c>
      <c r="Q44">
        <f>HYPERLINK("imagenes/HALIFAX_WOMENS_119000214_CAM_3.jpg","Ver imagen")</f>
        <v/>
      </c>
    </row>
    <row r="45">
      <c r="A45" t="inlineStr">
        <is>
          <t>HALIFAX WOMENS</t>
        </is>
      </c>
      <c r="B45" t="inlineStr">
        <is>
          <t>119000214</t>
        </is>
      </c>
      <c r="C45" t="inlineStr">
        <is>
          <t>Softshell B/T Mellowpile Jacket CBL 26</t>
        </is>
      </c>
      <c r="D45" t="inlineStr">
        <is>
          <t>CAM</t>
        </is>
      </c>
      <c r="E45" t="inlineStr">
        <is>
          <t>(en blanco)</t>
        </is>
      </c>
      <c r="F45" t="inlineStr">
        <is>
          <t>(en blanco)</t>
        </is>
      </c>
      <c r="G45" t="inlineStr">
        <is>
          <t>S</t>
        </is>
      </c>
      <c r="H45" t="n">
        <v>1</v>
      </c>
      <c r="I45" t="inlineStr">
        <is>
          <t>HALIFAX_WOMENS_119000214_CAM_1.jpg</t>
        </is>
      </c>
      <c r="J45" t="inlineStr">
        <is>
          <t>HALIFAX_WOMENS_119000214_CAM_2.jpg</t>
        </is>
      </c>
      <c r="K45" t="inlineStr">
        <is>
          <t>HALIFAX_WOMENS_119000214_CAM_3.jpg</t>
        </is>
      </c>
      <c r="L45">
        <f>IMAGE("file:///E:/Estudios%20y%20certificaciones/ESTUDIOS%20DE%20PROGRAMMING/PROGRAMMING/PERSONAL/PYTHON/Image_Generator_API/imagenes/HALIFAX_WOMENS_119000214_CAM_1.jpg")</f>
        <v/>
      </c>
      <c r="M45">
        <f>IMAGE("file:///E:/Estudios%20y%20certificaciones/ESTUDIOS%20DE%20PROGRAMMING/PROGRAMMING/PERSONAL/PYTHON/Image_Generator_API/imagenes/HALIFAX_WOMENS_119000214_CAM_2.jpg")</f>
        <v/>
      </c>
      <c r="N45">
        <f>IMAGE("file:///E:/Estudios%20y%20certificaciones/ESTUDIOS%20DE%20PROGRAMMING/PROGRAMMING/PERSONAL/PYTHON/Image_Generator_API/imagenes/HALIFAX_WOMENS_119000214_CAM_3.jpg")</f>
        <v/>
      </c>
      <c r="O45">
        <f>HYPERLINK("imagenes/HALIFAX_WOMENS_119000214_CAM_1.jpg","Ver imagen")</f>
        <v/>
      </c>
      <c r="P45">
        <f>HYPERLINK("imagenes/HALIFAX_WOMENS_119000214_CAM_2.jpg","Ver imagen")</f>
        <v/>
      </c>
      <c r="Q45">
        <f>HYPERLINK("imagenes/HALIFAX_WOMENS_119000214_CAM_3.jpg","Ver imagen")</f>
        <v/>
      </c>
    </row>
    <row r="46">
      <c r="A46" t="inlineStr">
        <is>
          <t>HALIFAX WOMENS</t>
        </is>
      </c>
      <c r="B46" t="inlineStr">
        <is>
          <t>119000214</t>
        </is>
      </c>
      <c r="C46" t="inlineStr">
        <is>
          <t>Softshell B/T Mellowpile Jacket CBL 26</t>
        </is>
      </c>
      <c r="D46" t="inlineStr">
        <is>
          <t>CAM</t>
        </is>
      </c>
      <c r="E46" t="inlineStr">
        <is>
          <t>(en blanco)</t>
        </is>
      </c>
      <c r="F46" t="inlineStr">
        <is>
          <t>(en blanco)</t>
        </is>
      </c>
      <c r="G46" t="inlineStr">
        <is>
          <t>M</t>
        </is>
      </c>
      <c r="H46" t="n">
        <v>2</v>
      </c>
      <c r="I46" t="inlineStr">
        <is>
          <t>HALIFAX_WOMENS_119000214_CAM_1.jpg</t>
        </is>
      </c>
      <c r="J46" t="inlineStr">
        <is>
          <t>HALIFAX_WOMENS_119000214_CAM_2.jpg</t>
        </is>
      </c>
      <c r="K46" t="inlineStr">
        <is>
          <t>HALIFAX_WOMENS_119000214_CAM_3.jpg</t>
        </is>
      </c>
      <c r="L46">
        <f>IMAGE("file:///E:/Estudios%20y%20certificaciones/ESTUDIOS%20DE%20PROGRAMMING/PROGRAMMING/PERSONAL/PYTHON/Image_Generator_API/imagenes/HALIFAX_WOMENS_119000214_CAM_1.jpg")</f>
        <v/>
      </c>
      <c r="M46">
        <f>IMAGE("file:///E:/Estudios%20y%20certificaciones/ESTUDIOS%20DE%20PROGRAMMING/PROGRAMMING/PERSONAL/PYTHON/Image_Generator_API/imagenes/HALIFAX_WOMENS_119000214_CAM_2.jpg")</f>
        <v/>
      </c>
      <c r="N46">
        <f>IMAGE("file:///E:/Estudios%20y%20certificaciones/ESTUDIOS%20DE%20PROGRAMMING/PROGRAMMING/PERSONAL/PYTHON/Image_Generator_API/imagenes/HALIFAX_WOMENS_119000214_CAM_3.jpg")</f>
        <v/>
      </c>
      <c r="O46">
        <f>HYPERLINK("imagenes/HALIFAX_WOMENS_119000214_CAM_1.jpg","Ver imagen")</f>
        <v/>
      </c>
      <c r="P46">
        <f>HYPERLINK("imagenes/HALIFAX_WOMENS_119000214_CAM_2.jpg","Ver imagen")</f>
        <v/>
      </c>
      <c r="Q46">
        <f>HYPERLINK("imagenes/HALIFAX_WOMENS_119000214_CAM_3.jpg","Ver imagen")</f>
        <v/>
      </c>
    </row>
    <row r="47">
      <c r="A47" t="inlineStr">
        <is>
          <t>HALIFAX WOMENS</t>
        </is>
      </c>
      <c r="B47" t="inlineStr">
        <is>
          <t>119000214</t>
        </is>
      </c>
      <c r="C47" t="inlineStr">
        <is>
          <t>Softshell B/T Mellowpile Jacket CBL 26</t>
        </is>
      </c>
      <c r="D47" t="inlineStr">
        <is>
          <t>CAM</t>
        </is>
      </c>
      <c r="E47" t="inlineStr">
        <is>
          <t>(en blanco)</t>
        </is>
      </c>
      <c r="F47" t="inlineStr">
        <is>
          <t>(en blanco)</t>
        </is>
      </c>
      <c r="G47" t="inlineStr">
        <is>
          <t>L</t>
        </is>
      </c>
      <c r="H47" t="n">
        <v>2</v>
      </c>
      <c r="I47" t="inlineStr">
        <is>
          <t>HALIFAX_WOMENS_119000214_CAM_1.jpg</t>
        </is>
      </c>
      <c r="J47" t="inlineStr">
        <is>
          <t>HALIFAX_WOMENS_119000214_CAM_2.jpg</t>
        </is>
      </c>
      <c r="K47" t="inlineStr">
        <is>
          <t>HALIFAX_WOMENS_119000214_CAM_3.jpg</t>
        </is>
      </c>
      <c r="L47">
        <f>IMAGE("file:///E:/Estudios%20y%20certificaciones/ESTUDIOS%20DE%20PROGRAMMING/PROGRAMMING/PERSONAL/PYTHON/Image_Generator_API/imagenes/HALIFAX_WOMENS_119000214_CAM_1.jpg")</f>
        <v/>
      </c>
      <c r="M47">
        <f>IMAGE("file:///E:/Estudios%20y%20certificaciones/ESTUDIOS%20DE%20PROGRAMMING/PROGRAMMING/PERSONAL/PYTHON/Image_Generator_API/imagenes/HALIFAX_WOMENS_119000214_CAM_2.jpg")</f>
        <v/>
      </c>
      <c r="N47">
        <f>IMAGE("file:///E:/Estudios%20y%20certificaciones/ESTUDIOS%20DE%20PROGRAMMING/PROGRAMMING/PERSONAL/PYTHON/Image_Generator_API/imagenes/HALIFAX_WOMENS_119000214_CAM_3.jpg")</f>
        <v/>
      </c>
      <c r="O47">
        <f>HYPERLINK("imagenes/HALIFAX_WOMENS_119000214_CAM_1.jpg","Ver imagen")</f>
        <v/>
      </c>
      <c r="P47">
        <f>HYPERLINK("imagenes/HALIFAX_WOMENS_119000214_CAM_2.jpg","Ver imagen")</f>
        <v/>
      </c>
      <c r="Q47">
        <f>HYPERLINK("imagenes/HALIFAX_WOMENS_119000214_CAM_3.jpg","Ver imagen")</f>
        <v/>
      </c>
    </row>
    <row r="48">
      <c r="A48" t="inlineStr">
        <is>
          <t>HALIFAX WOMENS</t>
        </is>
      </c>
      <c r="B48" t="inlineStr">
        <is>
          <t>119000214</t>
        </is>
      </c>
      <c r="C48" t="inlineStr">
        <is>
          <t>Softshell B/T Mellowpile Jacket CBL 26</t>
        </is>
      </c>
      <c r="D48" t="inlineStr">
        <is>
          <t>CAM</t>
        </is>
      </c>
      <c r="E48" t="inlineStr">
        <is>
          <t>(en blanco)</t>
        </is>
      </c>
      <c r="F48" t="inlineStr">
        <is>
          <t>(en blanco)</t>
        </is>
      </c>
      <c r="G48" t="inlineStr">
        <is>
          <t>XL</t>
        </is>
      </c>
      <c r="H48" t="n">
        <v>2</v>
      </c>
      <c r="I48" t="inlineStr">
        <is>
          <t>HALIFAX_WOMENS_119000214_CAM_1.jpg</t>
        </is>
      </c>
      <c r="J48" t="inlineStr">
        <is>
          <t>HALIFAX_WOMENS_119000214_CAM_2.jpg</t>
        </is>
      </c>
      <c r="K48" t="inlineStr">
        <is>
          <t>HALIFAX_WOMENS_119000214_CAM_3.jpg</t>
        </is>
      </c>
      <c r="L48">
        <f>IMAGE("file:///E:/Estudios%20y%20certificaciones/ESTUDIOS%20DE%20PROGRAMMING/PROGRAMMING/PERSONAL/PYTHON/Image_Generator_API/imagenes/HALIFAX_WOMENS_119000214_CAM_1.jpg")</f>
        <v/>
      </c>
      <c r="M48">
        <f>IMAGE("file:///E:/Estudios%20y%20certificaciones/ESTUDIOS%20DE%20PROGRAMMING/PROGRAMMING/PERSONAL/PYTHON/Image_Generator_API/imagenes/HALIFAX_WOMENS_119000214_CAM_2.jpg")</f>
        <v/>
      </c>
      <c r="N48">
        <f>IMAGE("file:///E:/Estudios%20y%20certificaciones/ESTUDIOS%20DE%20PROGRAMMING/PROGRAMMING/PERSONAL/PYTHON/Image_Generator_API/imagenes/HALIFAX_WOMENS_119000214_CAM_3.jpg")</f>
        <v/>
      </c>
      <c r="O48">
        <f>HYPERLINK("imagenes/HALIFAX_WOMENS_119000214_CAM_1.jpg","Ver imagen")</f>
        <v/>
      </c>
      <c r="P48">
        <f>HYPERLINK("imagenes/HALIFAX_WOMENS_119000214_CAM_2.jpg","Ver imagen")</f>
        <v/>
      </c>
      <c r="Q48">
        <f>HYPERLINK("imagenes/HALIFAX_WOMENS_119000214_CAM_3.jpg","Ver imagen")</f>
        <v/>
      </c>
    </row>
    <row r="49">
      <c r="A49" t="inlineStr">
        <is>
          <t>HALIFAX WOMENS</t>
        </is>
      </c>
      <c r="B49" t="inlineStr">
        <is>
          <t>119000214</t>
        </is>
      </c>
      <c r="C49" t="inlineStr">
        <is>
          <t>Softshell B/T Mellowpile Jacket CBL 26</t>
        </is>
      </c>
      <c r="D49" t="inlineStr">
        <is>
          <t>CAM</t>
        </is>
      </c>
      <c r="E49" t="inlineStr">
        <is>
          <t>(en blanco)</t>
        </is>
      </c>
      <c r="F49" t="inlineStr">
        <is>
          <t>(en blanco)</t>
        </is>
      </c>
      <c r="G49" t="inlineStr">
        <is>
          <t>XXL</t>
        </is>
      </c>
      <c r="H49" t="n">
        <v>1</v>
      </c>
      <c r="I49" t="inlineStr">
        <is>
          <t>HALIFAX_WOMENS_119000214_CAM_1.jpg</t>
        </is>
      </c>
      <c r="J49" t="inlineStr">
        <is>
          <t>HALIFAX_WOMENS_119000214_CAM_2.jpg</t>
        </is>
      </c>
      <c r="K49" t="inlineStr">
        <is>
          <t>HALIFAX_WOMENS_119000214_CAM_3.jpg</t>
        </is>
      </c>
      <c r="L49">
        <f>IMAGE("file:///E:/Estudios%20y%20certificaciones/ESTUDIOS%20DE%20PROGRAMMING/PROGRAMMING/PERSONAL/PYTHON/Image_Generator_API/imagenes/HALIFAX_WOMENS_119000214_CAM_1.jpg")</f>
        <v/>
      </c>
      <c r="M49">
        <f>IMAGE("file:///E:/Estudios%20y%20certificaciones/ESTUDIOS%20DE%20PROGRAMMING/PROGRAMMING/PERSONAL/PYTHON/Image_Generator_API/imagenes/HALIFAX_WOMENS_119000214_CAM_2.jpg")</f>
        <v/>
      </c>
      <c r="N49">
        <f>IMAGE("file:///E:/Estudios%20y%20certificaciones/ESTUDIOS%20DE%20PROGRAMMING/PROGRAMMING/PERSONAL/PYTHON/Image_Generator_API/imagenes/HALIFAX_WOMENS_119000214_CAM_3.jpg")</f>
        <v/>
      </c>
      <c r="O49">
        <f>HYPERLINK("imagenes/HALIFAX_WOMENS_119000214_CAM_1.jpg","Ver imagen")</f>
        <v/>
      </c>
      <c r="P49">
        <f>HYPERLINK("imagenes/HALIFAX_WOMENS_119000214_CAM_2.jpg","Ver imagen")</f>
        <v/>
      </c>
      <c r="Q49">
        <f>HYPERLINK("imagenes/HALIFAX_WOMENS_119000214_CAM_3.jpg","Ver imagen")</f>
        <v/>
      </c>
    </row>
    <row r="50">
      <c r="A50" t="inlineStr">
        <is>
          <t>HALIFAX WOMENS</t>
        </is>
      </c>
      <c r="B50" t="inlineStr">
        <is>
          <t>119000214</t>
        </is>
      </c>
      <c r="C50" t="inlineStr">
        <is>
          <t>Softshell B/T Mellowpile Jacket CBL 26</t>
        </is>
      </c>
      <c r="D50" t="inlineStr">
        <is>
          <t>CHO</t>
        </is>
      </c>
      <c r="E50" t="inlineStr">
        <is>
          <t>06A01</t>
        </is>
      </c>
      <c r="F50" t="inlineStr">
        <is>
          <t>R2140</t>
        </is>
      </c>
      <c r="G50" t="inlineStr">
        <is>
          <t>PPK</t>
        </is>
      </c>
      <c r="H50" t="n">
        <v>0</v>
      </c>
      <c r="I50" t="inlineStr">
        <is>
          <t>HALIFAX_WOMENS_119000214_CHO_1.jpg</t>
        </is>
      </c>
      <c r="J50" t="inlineStr">
        <is>
          <t>HALIFAX_WOMENS_119000214_CHO_2.jpg</t>
        </is>
      </c>
      <c r="K50" t="inlineStr">
        <is>
          <t>HALIFAX_WOMENS_119000214_CHO_3.jpg</t>
        </is>
      </c>
      <c r="L50">
        <f>IMAGE("file:///E:/Estudios%20y%20certificaciones/ESTUDIOS%20DE%20PROGRAMMING/PROGRAMMING/PERSONAL/PYTHON/Image_Generator_API/imagenes/HALIFAX_WOMENS_119000214_CHO_1.jpg")</f>
        <v/>
      </c>
      <c r="M50">
        <f>IMAGE("file:///E:/Estudios%20y%20certificaciones/ESTUDIOS%20DE%20PROGRAMMING/PROGRAMMING/PERSONAL/PYTHON/Image_Generator_API/imagenes/HALIFAX_WOMENS_119000214_CHO_2.jpg")</f>
        <v/>
      </c>
      <c r="N50">
        <f>IMAGE("file:///E:/Estudios%20y%20certificaciones/ESTUDIOS%20DE%20PROGRAMMING/PROGRAMMING/PERSONAL/PYTHON/Image_Generator_API/imagenes/HALIFAX_WOMENS_119000214_CHO_3.jpg")</f>
        <v/>
      </c>
      <c r="O50">
        <f>HYPERLINK("imagenes/HALIFAX_WOMENS_119000214_CHO_1.jpg","Ver imagen")</f>
        <v/>
      </c>
      <c r="P50">
        <f>HYPERLINK("imagenes/HALIFAX_WOMENS_119000214_CHO_2.jpg","Ver imagen")</f>
        <v/>
      </c>
      <c r="Q50">
        <f>HYPERLINK("imagenes/HALIFAX_WOMENS_119000214_CHO_3.jpg","Ver imagen")</f>
        <v/>
      </c>
    </row>
    <row r="51">
      <c r="A51" t="inlineStr">
        <is>
          <t>HALIFAX WOMENS</t>
        </is>
      </c>
      <c r="B51" t="inlineStr">
        <is>
          <t>119000214</t>
        </is>
      </c>
      <c r="C51" t="inlineStr">
        <is>
          <t>Softshell B/T Mellowpile Jacket CBL 26</t>
        </is>
      </c>
      <c r="D51" t="inlineStr">
        <is>
          <t>CHO</t>
        </is>
      </c>
      <c r="E51" t="inlineStr">
        <is>
          <t>06A01</t>
        </is>
      </c>
      <c r="F51" t="inlineStr">
        <is>
          <t>(en blanco)</t>
        </is>
      </c>
      <c r="G51" t="inlineStr">
        <is>
          <t>PPK</t>
        </is>
      </c>
      <c r="H51" t="n">
        <v>0</v>
      </c>
      <c r="I51" t="inlineStr">
        <is>
          <t>HALIFAX_WOMENS_119000214_CHO_1.jpg</t>
        </is>
      </c>
      <c r="J51" t="inlineStr">
        <is>
          <t>HALIFAX_WOMENS_119000214_CHO_2.jpg</t>
        </is>
      </c>
      <c r="K51" t="inlineStr">
        <is>
          <t>HALIFAX_WOMENS_119000214_CHO_3.jpg</t>
        </is>
      </c>
      <c r="L51">
        <f>IMAGE("file:///E:/Estudios%20y%20certificaciones/ESTUDIOS%20DE%20PROGRAMMING/PROGRAMMING/PERSONAL/PYTHON/Image_Generator_API/imagenes/HALIFAX_WOMENS_119000214_CHO_1.jpg")</f>
        <v/>
      </c>
      <c r="M51">
        <f>IMAGE("file:///E:/Estudios%20y%20certificaciones/ESTUDIOS%20DE%20PROGRAMMING/PROGRAMMING/PERSONAL/PYTHON/Image_Generator_API/imagenes/HALIFAX_WOMENS_119000214_CHO_2.jpg")</f>
        <v/>
      </c>
      <c r="N51">
        <f>IMAGE("file:///E:/Estudios%20y%20certificaciones/ESTUDIOS%20DE%20PROGRAMMING/PROGRAMMING/PERSONAL/PYTHON/Image_Generator_API/imagenes/HALIFAX_WOMENS_119000214_CHO_3.jpg")</f>
        <v/>
      </c>
      <c r="O51">
        <f>HYPERLINK("imagenes/HALIFAX_WOMENS_119000214_CHO_1.jpg","Ver imagen")</f>
        <v/>
      </c>
      <c r="P51">
        <f>HYPERLINK("imagenes/HALIFAX_WOMENS_119000214_CHO_2.jpg","Ver imagen")</f>
        <v/>
      </c>
      <c r="Q51">
        <f>HYPERLINK("imagenes/HALIFAX_WOMENS_119000214_CHO_3.jpg","Ver imagen")</f>
        <v/>
      </c>
    </row>
    <row r="52">
      <c r="A52" t="inlineStr">
        <is>
          <t>HALIFAX WOMENS</t>
        </is>
      </c>
      <c r="B52" t="inlineStr">
        <is>
          <t>119000214</t>
        </is>
      </c>
      <c r="C52" t="inlineStr">
        <is>
          <t>Softshell B/T Mellowpile Jacket CBL 26</t>
        </is>
      </c>
      <c r="D52" t="inlineStr">
        <is>
          <t>GNH</t>
        </is>
      </c>
      <c r="E52" t="inlineStr">
        <is>
          <t>06A01</t>
        </is>
      </c>
      <c r="F52" t="inlineStr">
        <is>
          <t>(en blanco)</t>
        </is>
      </c>
      <c r="G52" t="inlineStr">
        <is>
          <t>PPK</t>
        </is>
      </c>
      <c r="H52" t="n">
        <v>0</v>
      </c>
      <c r="I52" t="inlineStr">
        <is>
          <t>HALIFAX_WOMENS_119000214_GNH_1.jpg</t>
        </is>
      </c>
      <c r="J52" t="inlineStr">
        <is>
          <t>HALIFAX_WOMENS_119000214_GNH_2.jpg</t>
        </is>
      </c>
      <c r="K52" t="inlineStr">
        <is>
          <t>HALIFAX_WOMENS_119000214_GNH_3.jpg</t>
        </is>
      </c>
      <c r="L52">
        <f>IMAGE("file:///E:/Estudios%20y%20certificaciones/ESTUDIOS%20DE%20PROGRAMMING/PROGRAMMING/PERSONAL/PYTHON/Image_Generator_API/imagenes/HALIFAX_WOMENS_119000214_GNH_1.jpg")</f>
        <v/>
      </c>
      <c r="M52">
        <f>IMAGE("file:///E:/Estudios%20y%20certificaciones/ESTUDIOS%20DE%20PROGRAMMING/PROGRAMMING/PERSONAL/PYTHON/Image_Generator_API/imagenes/HALIFAX_WOMENS_119000214_GNH_2.jpg")</f>
        <v/>
      </c>
      <c r="N52">
        <f>IMAGE("file:///E:/Estudios%20y%20certificaciones/ESTUDIOS%20DE%20PROGRAMMING/PROGRAMMING/PERSONAL/PYTHON/Image_Generator_API/imagenes/HALIFAX_WOMENS_119000214_GNH_3.jpg")</f>
        <v/>
      </c>
      <c r="O52">
        <f>HYPERLINK("imagenes/HALIFAX_WOMENS_119000214_GNH_1.jpg","Ver imagen")</f>
        <v/>
      </c>
      <c r="P52">
        <f>HYPERLINK("imagenes/HALIFAX_WOMENS_119000214_GNH_2.jpg","Ver imagen")</f>
        <v/>
      </c>
      <c r="Q52">
        <f>HYPERLINK("imagenes/HALIFAX_WOMENS_119000214_GNH_3.jpg","Ver imagen")</f>
        <v/>
      </c>
    </row>
    <row r="53">
      <c r="A53" t="inlineStr">
        <is>
          <t>HALIFAX WOMENS</t>
        </is>
      </c>
      <c r="B53" t="inlineStr">
        <is>
          <t>119000214</t>
        </is>
      </c>
      <c r="C53" t="inlineStr">
        <is>
          <t>Softshell B/T Mellowpile Jacket CBL 26</t>
        </is>
      </c>
      <c r="D53" t="inlineStr">
        <is>
          <t>MAU</t>
        </is>
      </c>
      <c r="E53" t="inlineStr">
        <is>
          <t>(en blanco)</t>
        </is>
      </c>
      <c r="F53" t="inlineStr">
        <is>
          <t>D2C</t>
        </is>
      </c>
      <c r="G53" t="inlineStr">
        <is>
          <t>S</t>
        </is>
      </c>
      <c r="H53" t="n">
        <v>18</v>
      </c>
      <c r="I53" t="inlineStr">
        <is>
          <t>HALIFAX_WOMENS_119000214_MAU_1.jpg</t>
        </is>
      </c>
      <c r="J53" t="inlineStr">
        <is>
          <t>HALIFAX_WOMENS_119000214_MAU_2.jpg</t>
        </is>
      </c>
      <c r="K53" t="inlineStr">
        <is>
          <t>HALIFAX_WOMENS_119000214_MAU_3.jpg</t>
        </is>
      </c>
      <c r="L53">
        <f>IMAGE("file:///E:/Estudios%20y%20certificaciones/ESTUDIOS%20DE%20PROGRAMMING/PROGRAMMING/PERSONAL/PYTHON/Image_Generator_API/imagenes/HALIFAX_WOMENS_119000214_MAU_1.jpg")</f>
        <v/>
      </c>
      <c r="M53">
        <f>IMAGE("file:///E:/Estudios%20y%20certificaciones/ESTUDIOS%20DE%20PROGRAMMING/PROGRAMMING/PERSONAL/PYTHON/Image_Generator_API/imagenes/HALIFAX_WOMENS_119000214_MAU_2.jpg")</f>
        <v/>
      </c>
      <c r="N53">
        <f>IMAGE("file:///E:/Estudios%20y%20certificaciones/ESTUDIOS%20DE%20PROGRAMMING/PROGRAMMING/PERSONAL/PYTHON/Image_Generator_API/imagenes/HALIFAX_WOMENS_119000214_MAU_3.jpg")</f>
        <v/>
      </c>
      <c r="O53">
        <f>HYPERLINK("imagenes/HALIFAX_WOMENS_119000214_MAU_1.jpg","Ver imagen")</f>
        <v/>
      </c>
      <c r="P53">
        <f>HYPERLINK("imagenes/HALIFAX_WOMENS_119000214_MAU_2.jpg","Ver imagen")</f>
        <v/>
      </c>
      <c r="Q53">
        <f>HYPERLINK("imagenes/HALIFAX_WOMENS_119000214_MAU_3.jpg","Ver imagen")</f>
        <v/>
      </c>
    </row>
    <row r="54">
      <c r="A54" t="inlineStr">
        <is>
          <t>HALIFAX WOMENS</t>
        </is>
      </c>
      <c r="B54" t="inlineStr">
        <is>
          <t>119000214</t>
        </is>
      </c>
      <c r="C54" t="inlineStr">
        <is>
          <t>Softshell B/T Mellowpile Jacket CBL 26</t>
        </is>
      </c>
      <c r="D54" t="inlineStr">
        <is>
          <t>MAU</t>
        </is>
      </c>
      <c r="E54" t="inlineStr">
        <is>
          <t>(en blanco)</t>
        </is>
      </c>
      <c r="F54" t="inlineStr">
        <is>
          <t>D2C</t>
        </is>
      </c>
      <c r="G54" t="inlineStr">
        <is>
          <t>M</t>
        </is>
      </c>
      <c r="H54" t="n">
        <v>83</v>
      </c>
      <c r="I54" t="inlineStr">
        <is>
          <t>HALIFAX_WOMENS_119000214_MAU_1.jpg</t>
        </is>
      </c>
      <c r="J54" t="inlineStr">
        <is>
          <t>HALIFAX_WOMENS_119000214_MAU_2.jpg</t>
        </is>
      </c>
      <c r="K54" t="inlineStr">
        <is>
          <t>HALIFAX_WOMENS_119000214_MAU_3.jpg</t>
        </is>
      </c>
      <c r="L54">
        <f>IMAGE("file:///E:/Estudios%20y%20certificaciones/ESTUDIOS%20DE%20PROGRAMMING/PROGRAMMING/PERSONAL/PYTHON/Image_Generator_API/imagenes/HALIFAX_WOMENS_119000214_MAU_1.jpg")</f>
        <v/>
      </c>
      <c r="M54">
        <f>IMAGE("file:///E:/Estudios%20y%20certificaciones/ESTUDIOS%20DE%20PROGRAMMING/PROGRAMMING/PERSONAL/PYTHON/Image_Generator_API/imagenes/HALIFAX_WOMENS_119000214_MAU_2.jpg")</f>
        <v/>
      </c>
      <c r="N54">
        <f>IMAGE("file:///E:/Estudios%20y%20certificaciones/ESTUDIOS%20DE%20PROGRAMMING/PROGRAMMING/PERSONAL/PYTHON/Image_Generator_API/imagenes/HALIFAX_WOMENS_119000214_MAU_3.jpg")</f>
        <v/>
      </c>
      <c r="O54">
        <f>HYPERLINK("imagenes/HALIFAX_WOMENS_119000214_MAU_1.jpg","Ver imagen")</f>
        <v/>
      </c>
      <c r="P54">
        <f>HYPERLINK("imagenes/HALIFAX_WOMENS_119000214_MAU_2.jpg","Ver imagen")</f>
        <v/>
      </c>
      <c r="Q54">
        <f>HYPERLINK("imagenes/HALIFAX_WOMENS_119000214_MAU_3.jpg","Ver imagen")</f>
        <v/>
      </c>
    </row>
    <row r="55">
      <c r="A55" t="inlineStr">
        <is>
          <t>HALIFAX WOMENS</t>
        </is>
      </c>
      <c r="B55" t="inlineStr">
        <is>
          <t>119000214</t>
        </is>
      </c>
      <c r="C55" t="inlineStr">
        <is>
          <t>Softshell B/T Mellowpile Jacket CBL 26</t>
        </is>
      </c>
      <c r="D55" t="inlineStr">
        <is>
          <t>MAU</t>
        </is>
      </c>
      <c r="E55" t="inlineStr">
        <is>
          <t>(en blanco)</t>
        </is>
      </c>
      <c r="F55" t="inlineStr">
        <is>
          <t>D2C</t>
        </is>
      </c>
      <c r="G55" t="inlineStr">
        <is>
          <t>L</t>
        </is>
      </c>
      <c r="H55" t="n">
        <v>73</v>
      </c>
      <c r="I55" t="inlineStr">
        <is>
          <t>HALIFAX_WOMENS_119000214_MAU_1.jpg</t>
        </is>
      </c>
      <c r="J55" t="inlineStr">
        <is>
          <t>HALIFAX_WOMENS_119000214_MAU_2.jpg</t>
        </is>
      </c>
      <c r="K55" t="inlineStr">
        <is>
          <t>HALIFAX_WOMENS_119000214_MAU_3.jpg</t>
        </is>
      </c>
      <c r="L55">
        <f>IMAGE("file:///E:/Estudios%20y%20certificaciones/ESTUDIOS%20DE%20PROGRAMMING/PROGRAMMING/PERSONAL/PYTHON/Image_Generator_API/imagenes/HALIFAX_WOMENS_119000214_MAU_1.jpg")</f>
        <v/>
      </c>
      <c r="M55">
        <f>IMAGE("file:///E:/Estudios%20y%20certificaciones/ESTUDIOS%20DE%20PROGRAMMING/PROGRAMMING/PERSONAL/PYTHON/Image_Generator_API/imagenes/HALIFAX_WOMENS_119000214_MAU_2.jpg")</f>
        <v/>
      </c>
      <c r="N55">
        <f>IMAGE("file:///E:/Estudios%20y%20certificaciones/ESTUDIOS%20DE%20PROGRAMMING/PROGRAMMING/PERSONAL/PYTHON/Image_Generator_API/imagenes/HALIFAX_WOMENS_119000214_MAU_3.jpg")</f>
        <v/>
      </c>
      <c r="O55">
        <f>HYPERLINK("imagenes/HALIFAX_WOMENS_119000214_MAU_1.jpg","Ver imagen")</f>
        <v/>
      </c>
      <c r="P55">
        <f>HYPERLINK("imagenes/HALIFAX_WOMENS_119000214_MAU_2.jpg","Ver imagen")</f>
        <v/>
      </c>
      <c r="Q55">
        <f>HYPERLINK("imagenes/HALIFAX_WOMENS_119000214_MAU_3.jpg","Ver imagen")</f>
        <v/>
      </c>
    </row>
    <row r="56">
      <c r="A56" t="inlineStr">
        <is>
          <t>HALIFAX WOMENS</t>
        </is>
      </c>
      <c r="B56" t="inlineStr">
        <is>
          <t>119000214</t>
        </is>
      </c>
      <c r="C56" t="inlineStr">
        <is>
          <t>Softshell B/T Mellowpile Jacket CBL 26</t>
        </is>
      </c>
      <c r="D56" t="inlineStr">
        <is>
          <t>MAU</t>
        </is>
      </c>
      <c r="E56" t="inlineStr">
        <is>
          <t>(en blanco)</t>
        </is>
      </c>
      <c r="F56" t="inlineStr">
        <is>
          <t>D2C</t>
        </is>
      </c>
      <c r="G56" t="inlineStr">
        <is>
          <t>XL</t>
        </is>
      </c>
      <c r="H56" t="n">
        <v>82</v>
      </c>
      <c r="I56" t="inlineStr">
        <is>
          <t>HALIFAX_WOMENS_119000214_MAU_1.jpg</t>
        </is>
      </c>
      <c r="J56" t="inlineStr">
        <is>
          <t>HALIFAX_WOMENS_119000214_MAU_2.jpg</t>
        </is>
      </c>
      <c r="K56" t="inlineStr">
        <is>
          <t>HALIFAX_WOMENS_119000214_MAU_3.jpg</t>
        </is>
      </c>
      <c r="L56">
        <f>IMAGE("file:///E:/Estudios%20y%20certificaciones/ESTUDIOS%20DE%20PROGRAMMING/PROGRAMMING/PERSONAL/PYTHON/Image_Generator_API/imagenes/HALIFAX_WOMENS_119000214_MAU_1.jpg")</f>
        <v/>
      </c>
      <c r="M56">
        <f>IMAGE("file:///E:/Estudios%20y%20certificaciones/ESTUDIOS%20DE%20PROGRAMMING/PROGRAMMING/PERSONAL/PYTHON/Image_Generator_API/imagenes/HALIFAX_WOMENS_119000214_MAU_2.jpg")</f>
        <v/>
      </c>
      <c r="N56">
        <f>IMAGE("file:///E:/Estudios%20y%20certificaciones/ESTUDIOS%20DE%20PROGRAMMING/PROGRAMMING/PERSONAL/PYTHON/Image_Generator_API/imagenes/HALIFAX_WOMENS_119000214_MAU_3.jpg")</f>
        <v/>
      </c>
      <c r="O56">
        <f>HYPERLINK("imagenes/HALIFAX_WOMENS_119000214_MAU_1.jpg","Ver imagen")</f>
        <v/>
      </c>
      <c r="P56">
        <f>HYPERLINK("imagenes/HALIFAX_WOMENS_119000214_MAU_2.jpg","Ver imagen")</f>
        <v/>
      </c>
      <c r="Q56">
        <f>HYPERLINK("imagenes/HALIFAX_WOMENS_119000214_MAU_3.jpg","Ver imagen")</f>
        <v/>
      </c>
    </row>
    <row r="57">
      <c r="A57" t="inlineStr">
        <is>
          <t>HALIFAX WOMENS</t>
        </is>
      </c>
      <c r="B57" t="inlineStr">
        <is>
          <t>119000214</t>
        </is>
      </c>
      <c r="C57" t="inlineStr">
        <is>
          <t>Softshell B/T Mellowpile Jacket CBL 26</t>
        </is>
      </c>
      <c r="D57" t="inlineStr">
        <is>
          <t>MAU</t>
        </is>
      </c>
      <c r="E57" t="inlineStr">
        <is>
          <t>(en blanco)</t>
        </is>
      </c>
      <c r="F57" t="inlineStr">
        <is>
          <t>D2C</t>
        </is>
      </c>
      <c r="G57" t="inlineStr">
        <is>
          <t>XXL</t>
        </is>
      </c>
      <c r="H57" t="n">
        <v>95</v>
      </c>
      <c r="I57" t="inlineStr">
        <is>
          <t>HALIFAX_WOMENS_119000214_MAU_1.jpg</t>
        </is>
      </c>
      <c r="J57" t="inlineStr">
        <is>
          <t>HALIFAX_WOMENS_119000214_MAU_2.jpg</t>
        </is>
      </c>
      <c r="K57" t="inlineStr">
        <is>
          <t>HALIFAX_WOMENS_119000214_MAU_3.jpg</t>
        </is>
      </c>
      <c r="L57">
        <f>IMAGE("file:///E:/Estudios%20y%20certificaciones/ESTUDIOS%20DE%20PROGRAMMING/PROGRAMMING/PERSONAL/PYTHON/Image_Generator_API/imagenes/HALIFAX_WOMENS_119000214_MAU_1.jpg")</f>
        <v/>
      </c>
      <c r="M57">
        <f>IMAGE("file:///E:/Estudios%20y%20certificaciones/ESTUDIOS%20DE%20PROGRAMMING/PROGRAMMING/PERSONAL/PYTHON/Image_Generator_API/imagenes/HALIFAX_WOMENS_119000214_MAU_2.jpg")</f>
        <v/>
      </c>
      <c r="N57">
        <f>IMAGE("file:///E:/Estudios%20y%20certificaciones/ESTUDIOS%20DE%20PROGRAMMING/PROGRAMMING/PERSONAL/PYTHON/Image_Generator_API/imagenes/HALIFAX_WOMENS_119000214_MAU_3.jpg")</f>
        <v/>
      </c>
      <c r="O57">
        <f>HYPERLINK("imagenes/HALIFAX_WOMENS_119000214_MAU_1.jpg","Ver imagen")</f>
        <v/>
      </c>
      <c r="P57">
        <f>HYPERLINK("imagenes/HALIFAX_WOMENS_119000214_MAU_2.jpg","Ver imagen")</f>
        <v/>
      </c>
      <c r="Q57">
        <f>HYPERLINK("imagenes/HALIFAX_WOMENS_119000214_MAU_3.jpg","Ver imagen")</f>
        <v/>
      </c>
    </row>
    <row r="58">
      <c r="A58" t="inlineStr">
        <is>
          <t>HALIFAX WOMENS</t>
        </is>
      </c>
      <c r="B58" t="inlineStr">
        <is>
          <t>119000214</t>
        </is>
      </c>
      <c r="C58" t="inlineStr">
        <is>
          <t>Softshell B/T Mellowpile Jacket CBL 26</t>
        </is>
      </c>
      <c r="D58" t="inlineStr">
        <is>
          <t>MSG</t>
        </is>
      </c>
      <c r="E58" t="inlineStr">
        <is>
          <t>08A06</t>
        </is>
      </c>
      <c r="F58" t="inlineStr">
        <is>
          <t>(en blanco)</t>
        </is>
      </c>
      <c r="G58" t="inlineStr">
        <is>
          <t>PPK</t>
        </is>
      </c>
      <c r="H58" t="n">
        <v>96</v>
      </c>
      <c r="I58" t="inlineStr">
        <is>
          <t>HALIFAX_WOMENS_119000214_MSG_1.jpg</t>
        </is>
      </c>
      <c r="J58" t="inlineStr">
        <is>
          <t>HALIFAX_WOMENS_119000214_MSG_2.jpg</t>
        </is>
      </c>
      <c r="K58" t="inlineStr">
        <is>
          <t>HALIFAX_WOMENS_119000214_MSG_3.jpg</t>
        </is>
      </c>
      <c r="L58">
        <f>IMAGE("file:///E:/Estudios%20y%20certificaciones/ESTUDIOS%20DE%20PROGRAMMING/PROGRAMMING/PERSONAL/PYTHON/Image_Generator_API/imagenes/HALIFAX_WOMENS_119000214_MSG_1.jpg")</f>
        <v/>
      </c>
      <c r="M58">
        <f>IMAGE("file:///E:/Estudios%20y%20certificaciones/ESTUDIOS%20DE%20PROGRAMMING/PROGRAMMING/PERSONAL/PYTHON/Image_Generator_API/imagenes/HALIFAX_WOMENS_119000214_MSG_2.jpg")</f>
        <v/>
      </c>
      <c r="N58">
        <f>IMAGE("file:///E:/Estudios%20y%20certificaciones/ESTUDIOS%20DE%20PROGRAMMING/PROGRAMMING/PERSONAL/PYTHON/Image_Generator_API/imagenes/HALIFAX_WOMENS_119000214_MSG_3.jpg")</f>
        <v/>
      </c>
      <c r="O58">
        <f>HYPERLINK("imagenes/HALIFAX_WOMENS_119000214_MSG_1.jpg","Ver imagen")</f>
        <v/>
      </c>
      <c r="P58">
        <f>HYPERLINK("imagenes/HALIFAX_WOMENS_119000214_MSG_2.jpg","Ver imagen")</f>
        <v/>
      </c>
      <c r="Q58">
        <f>HYPERLINK("imagenes/HALIFAX_WOMENS_119000214_MSG_3.jpg","Ver imagen")</f>
        <v/>
      </c>
    </row>
    <row r="59">
      <c r="A59" t="inlineStr">
        <is>
          <t>HALIFAX WOMENS</t>
        </is>
      </c>
      <c r="B59" t="inlineStr">
        <is>
          <t>119000214</t>
        </is>
      </c>
      <c r="C59" t="inlineStr">
        <is>
          <t>Softshell B/T Mellowpile Jacket CBL 26</t>
        </is>
      </c>
      <c r="D59" t="inlineStr">
        <is>
          <t>MSG</t>
        </is>
      </c>
      <c r="E59" t="inlineStr">
        <is>
          <t>(en blanco)</t>
        </is>
      </c>
      <c r="F59" t="inlineStr">
        <is>
          <t>D2C</t>
        </is>
      </c>
      <c r="G59" t="inlineStr">
        <is>
          <t>S</t>
        </is>
      </c>
      <c r="H59" t="n">
        <v>106</v>
      </c>
      <c r="I59" t="inlineStr">
        <is>
          <t>HALIFAX_WOMENS_119000214_MSG_1.jpg</t>
        </is>
      </c>
      <c r="J59" t="inlineStr">
        <is>
          <t>HALIFAX_WOMENS_119000214_MSG_2.jpg</t>
        </is>
      </c>
      <c r="K59" t="inlineStr">
        <is>
          <t>HALIFAX_WOMENS_119000214_MSG_3.jpg</t>
        </is>
      </c>
      <c r="L59">
        <f>IMAGE("file:///E:/Estudios%20y%20certificaciones/ESTUDIOS%20DE%20PROGRAMMING/PROGRAMMING/PERSONAL/PYTHON/Image_Generator_API/imagenes/HALIFAX_WOMENS_119000214_MSG_1.jpg")</f>
        <v/>
      </c>
      <c r="M59">
        <f>IMAGE("file:///E:/Estudios%20y%20certificaciones/ESTUDIOS%20DE%20PROGRAMMING/PROGRAMMING/PERSONAL/PYTHON/Image_Generator_API/imagenes/HALIFAX_WOMENS_119000214_MSG_2.jpg")</f>
        <v/>
      </c>
      <c r="N59">
        <f>IMAGE("file:///E:/Estudios%20y%20certificaciones/ESTUDIOS%20DE%20PROGRAMMING/PROGRAMMING/PERSONAL/PYTHON/Image_Generator_API/imagenes/HALIFAX_WOMENS_119000214_MSG_3.jpg")</f>
        <v/>
      </c>
      <c r="O59">
        <f>HYPERLINK("imagenes/HALIFAX_WOMENS_119000214_MSG_1.jpg","Ver imagen")</f>
        <v/>
      </c>
      <c r="P59">
        <f>HYPERLINK("imagenes/HALIFAX_WOMENS_119000214_MSG_2.jpg","Ver imagen")</f>
        <v/>
      </c>
      <c r="Q59">
        <f>HYPERLINK("imagenes/HALIFAX_WOMENS_119000214_MSG_3.jpg","Ver imagen")</f>
        <v/>
      </c>
    </row>
    <row r="60">
      <c r="A60" t="inlineStr">
        <is>
          <t>HALIFAX WOMENS</t>
        </is>
      </c>
      <c r="B60" t="inlineStr">
        <is>
          <t>119000214</t>
        </is>
      </c>
      <c r="C60" t="inlineStr">
        <is>
          <t>Softshell B/T Mellowpile Jacket CBL 26</t>
        </is>
      </c>
      <c r="D60" t="inlineStr">
        <is>
          <t>MSG</t>
        </is>
      </c>
      <c r="E60" t="inlineStr">
        <is>
          <t>(en blanco)</t>
        </is>
      </c>
      <c r="F60" t="inlineStr">
        <is>
          <t>D2C</t>
        </is>
      </c>
      <c r="G60" t="inlineStr">
        <is>
          <t>M</t>
        </is>
      </c>
      <c r="H60" t="n">
        <v>90</v>
      </c>
      <c r="I60" t="inlineStr">
        <is>
          <t>HALIFAX_WOMENS_119000214_MSG_1.jpg</t>
        </is>
      </c>
      <c r="J60" t="inlineStr">
        <is>
          <t>HALIFAX_WOMENS_119000214_MSG_2.jpg</t>
        </is>
      </c>
      <c r="K60" t="inlineStr">
        <is>
          <t>HALIFAX_WOMENS_119000214_MSG_3.jpg</t>
        </is>
      </c>
      <c r="L60">
        <f>IMAGE("file:///E:/Estudios%20y%20certificaciones/ESTUDIOS%20DE%20PROGRAMMING/PROGRAMMING/PERSONAL/PYTHON/Image_Generator_API/imagenes/HALIFAX_WOMENS_119000214_MSG_1.jpg")</f>
        <v/>
      </c>
      <c r="M60">
        <f>IMAGE("file:///E:/Estudios%20y%20certificaciones/ESTUDIOS%20DE%20PROGRAMMING/PROGRAMMING/PERSONAL/PYTHON/Image_Generator_API/imagenes/HALIFAX_WOMENS_119000214_MSG_2.jpg")</f>
        <v/>
      </c>
      <c r="N60">
        <f>IMAGE("file:///E:/Estudios%20y%20certificaciones/ESTUDIOS%20DE%20PROGRAMMING/PROGRAMMING/PERSONAL/PYTHON/Image_Generator_API/imagenes/HALIFAX_WOMENS_119000214_MSG_3.jpg")</f>
        <v/>
      </c>
      <c r="O60">
        <f>HYPERLINK("imagenes/HALIFAX_WOMENS_119000214_MSG_1.jpg","Ver imagen")</f>
        <v/>
      </c>
      <c r="P60">
        <f>HYPERLINK("imagenes/HALIFAX_WOMENS_119000214_MSG_2.jpg","Ver imagen")</f>
        <v/>
      </c>
      <c r="Q60">
        <f>HYPERLINK("imagenes/HALIFAX_WOMENS_119000214_MSG_3.jpg","Ver imagen")</f>
        <v/>
      </c>
    </row>
    <row r="61">
      <c r="A61" t="inlineStr">
        <is>
          <t>HALIFAX WOMENS</t>
        </is>
      </c>
      <c r="B61" t="inlineStr">
        <is>
          <t>119000214</t>
        </is>
      </c>
      <c r="C61" t="inlineStr">
        <is>
          <t>Softshell B/T Mellowpile Jacket CBL 26</t>
        </is>
      </c>
      <c r="D61" t="inlineStr">
        <is>
          <t>MSG</t>
        </is>
      </c>
      <c r="E61" t="inlineStr">
        <is>
          <t>(en blanco)</t>
        </is>
      </c>
      <c r="F61" t="inlineStr">
        <is>
          <t>D2C</t>
        </is>
      </c>
      <c r="G61" t="inlineStr">
        <is>
          <t>L</t>
        </is>
      </c>
      <c r="H61" t="n">
        <v>86</v>
      </c>
      <c r="I61" t="inlineStr">
        <is>
          <t>HALIFAX_WOMENS_119000214_MSG_1.jpg</t>
        </is>
      </c>
      <c r="J61" t="inlineStr">
        <is>
          <t>HALIFAX_WOMENS_119000214_MSG_2.jpg</t>
        </is>
      </c>
      <c r="K61" t="inlineStr">
        <is>
          <t>HALIFAX_WOMENS_119000214_MSG_3.jpg</t>
        </is>
      </c>
      <c r="L61">
        <f>IMAGE("file:///E:/Estudios%20y%20certificaciones/ESTUDIOS%20DE%20PROGRAMMING/PROGRAMMING/PERSONAL/PYTHON/Image_Generator_API/imagenes/HALIFAX_WOMENS_119000214_MSG_1.jpg")</f>
        <v/>
      </c>
      <c r="M61">
        <f>IMAGE("file:///E:/Estudios%20y%20certificaciones/ESTUDIOS%20DE%20PROGRAMMING/PROGRAMMING/PERSONAL/PYTHON/Image_Generator_API/imagenes/HALIFAX_WOMENS_119000214_MSG_2.jpg")</f>
        <v/>
      </c>
      <c r="N61">
        <f>IMAGE("file:///E:/Estudios%20y%20certificaciones/ESTUDIOS%20DE%20PROGRAMMING/PROGRAMMING/PERSONAL/PYTHON/Image_Generator_API/imagenes/HALIFAX_WOMENS_119000214_MSG_3.jpg")</f>
        <v/>
      </c>
      <c r="O61">
        <f>HYPERLINK("imagenes/HALIFAX_WOMENS_119000214_MSG_1.jpg","Ver imagen")</f>
        <v/>
      </c>
      <c r="P61">
        <f>HYPERLINK("imagenes/HALIFAX_WOMENS_119000214_MSG_2.jpg","Ver imagen")</f>
        <v/>
      </c>
      <c r="Q61">
        <f>HYPERLINK("imagenes/HALIFAX_WOMENS_119000214_MSG_3.jpg","Ver imagen")</f>
        <v/>
      </c>
    </row>
    <row r="62">
      <c r="A62" t="inlineStr">
        <is>
          <t>HALIFAX WOMENS</t>
        </is>
      </c>
      <c r="B62" t="inlineStr">
        <is>
          <t>119000214</t>
        </is>
      </c>
      <c r="C62" t="inlineStr">
        <is>
          <t>Softshell B/T Mellowpile Jacket CBL 26</t>
        </is>
      </c>
      <c r="D62" t="inlineStr">
        <is>
          <t>MSG</t>
        </is>
      </c>
      <c r="E62" t="inlineStr">
        <is>
          <t>(en blanco)</t>
        </is>
      </c>
      <c r="F62" t="inlineStr">
        <is>
          <t>D2C</t>
        </is>
      </c>
      <c r="G62" t="inlineStr">
        <is>
          <t>XL</t>
        </is>
      </c>
      <c r="H62" t="n">
        <v>50</v>
      </c>
      <c r="I62" t="inlineStr">
        <is>
          <t>HALIFAX_WOMENS_119000214_MSG_1.jpg</t>
        </is>
      </c>
      <c r="J62" t="inlineStr">
        <is>
          <t>HALIFAX_WOMENS_119000214_MSG_2.jpg</t>
        </is>
      </c>
      <c r="K62" t="inlineStr">
        <is>
          <t>HALIFAX_WOMENS_119000214_MSG_3.jpg</t>
        </is>
      </c>
      <c r="L62">
        <f>IMAGE("file:///E:/Estudios%20y%20certificaciones/ESTUDIOS%20DE%20PROGRAMMING/PROGRAMMING/PERSONAL/PYTHON/Image_Generator_API/imagenes/HALIFAX_WOMENS_119000214_MSG_1.jpg")</f>
        <v/>
      </c>
      <c r="M62">
        <f>IMAGE("file:///E:/Estudios%20y%20certificaciones/ESTUDIOS%20DE%20PROGRAMMING/PROGRAMMING/PERSONAL/PYTHON/Image_Generator_API/imagenes/HALIFAX_WOMENS_119000214_MSG_2.jpg")</f>
        <v/>
      </c>
      <c r="N62">
        <f>IMAGE("file:///E:/Estudios%20y%20certificaciones/ESTUDIOS%20DE%20PROGRAMMING/PROGRAMMING/PERSONAL/PYTHON/Image_Generator_API/imagenes/HALIFAX_WOMENS_119000214_MSG_3.jpg")</f>
        <v/>
      </c>
      <c r="O62">
        <f>HYPERLINK("imagenes/HALIFAX_WOMENS_119000214_MSG_1.jpg","Ver imagen")</f>
        <v/>
      </c>
      <c r="P62">
        <f>HYPERLINK("imagenes/HALIFAX_WOMENS_119000214_MSG_2.jpg","Ver imagen")</f>
        <v/>
      </c>
      <c r="Q62">
        <f>HYPERLINK("imagenes/HALIFAX_WOMENS_119000214_MSG_3.jpg","Ver imagen")</f>
        <v/>
      </c>
    </row>
    <row r="63">
      <c r="A63" t="inlineStr">
        <is>
          <t>HALIFAX WOMENS</t>
        </is>
      </c>
      <c r="B63" t="inlineStr">
        <is>
          <t>119000214</t>
        </is>
      </c>
      <c r="C63" t="inlineStr">
        <is>
          <t>Softshell B/T Mellowpile Jacket CBL 26</t>
        </is>
      </c>
      <c r="D63" t="inlineStr">
        <is>
          <t>MSG</t>
        </is>
      </c>
      <c r="E63" t="inlineStr">
        <is>
          <t>(en blanco)</t>
        </is>
      </c>
      <c r="F63" t="inlineStr">
        <is>
          <t>D2C</t>
        </is>
      </c>
      <c r="G63" t="inlineStr">
        <is>
          <t>XXL</t>
        </is>
      </c>
      <c r="H63" t="n">
        <v>36</v>
      </c>
      <c r="I63" t="inlineStr">
        <is>
          <t>HALIFAX_WOMENS_119000214_MSG_1.jpg</t>
        </is>
      </c>
      <c r="J63" t="inlineStr">
        <is>
          <t>HALIFAX_WOMENS_119000214_MSG_2.jpg</t>
        </is>
      </c>
      <c r="K63" t="inlineStr">
        <is>
          <t>HALIFAX_WOMENS_119000214_MSG_3.jpg</t>
        </is>
      </c>
      <c r="L63">
        <f>IMAGE("file:///E:/Estudios%20y%20certificaciones/ESTUDIOS%20DE%20PROGRAMMING/PROGRAMMING/PERSONAL/PYTHON/Image_Generator_API/imagenes/HALIFAX_WOMENS_119000214_MSG_1.jpg")</f>
        <v/>
      </c>
      <c r="M63">
        <f>IMAGE("file:///E:/Estudios%20y%20certificaciones/ESTUDIOS%20DE%20PROGRAMMING/PROGRAMMING/PERSONAL/PYTHON/Image_Generator_API/imagenes/HALIFAX_WOMENS_119000214_MSG_2.jpg")</f>
        <v/>
      </c>
      <c r="N63">
        <f>IMAGE("file:///E:/Estudios%20y%20certificaciones/ESTUDIOS%20DE%20PROGRAMMING/PROGRAMMING/PERSONAL/PYTHON/Image_Generator_API/imagenes/HALIFAX_WOMENS_119000214_MSG_3.jpg")</f>
        <v/>
      </c>
      <c r="O63">
        <f>HYPERLINK("imagenes/HALIFAX_WOMENS_119000214_MSG_1.jpg","Ver imagen")</f>
        <v/>
      </c>
      <c r="P63">
        <f>HYPERLINK("imagenes/HALIFAX_WOMENS_119000214_MSG_2.jpg","Ver imagen")</f>
        <v/>
      </c>
      <c r="Q63">
        <f>HYPERLINK("imagenes/HALIFAX_WOMENS_119000214_MSG_3.jpg","Ver imagen")</f>
        <v/>
      </c>
    </row>
    <row r="64">
      <c r="A64" t="inlineStr">
        <is>
          <t>HALIFAX WOMENS</t>
        </is>
      </c>
      <c r="B64" t="inlineStr">
        <is>
          <t>119000214</t>
        </is>
      </c>
      <c r="C64" t="inlineStr">
        <is>
          <t>Softshell B/T Mellowpile Jacket CBL 26</t>
        </is>
      </c>
      <c r="D64" t="inlineStr">
        <is>
          <t>MSG</t>
        </is>
      </c>
      <c r="E64" t="inlineStr">
        <is>
          <t>(en blanco)</t>
        </is>
      </c>
      <c r="F64" t="inlineStr">
        <is>
          <t>(en blanco)</t>
        </is>
      </c>
      <c r="G64" t="inlineStr">
        <is>
          <t>M</t>
        </is>
      </c>
      <c r="H64" t="n">
        <v>2</v>
      </c>
      <c r="I64" t="inlineStr">
        <is>
          <t>HALIFAX_WOMENS_119000214_MSG_1.jpg</t>
        </is>
      </c>
      <c r="J64" t="inlineStr">
        <is>
          <t>HALIFAX_WOMENS_119000214_MSG_2.jpg</t>
        </is>
      </c>
      <c r="K64" t="inlineStr">
        <is>
          <t>HALIFAX_WOMENS_119000214_MSG_3.jpg</t>
        </is>
      </c>
      <c r="L64">
        <f>IMAGE("file:///E:/Estudios%20y%20certificaciones/ESTUDIOS%20DE%20PROGRAMMING/PROGRAMMING/PERSONAL/PYTHON/Image_Generator_API/imagenes/HALIFAX_WOMENS_119000214_MSG_1.jpg")</f>
        <v/>
      </c>
      <c r="M64">
        <f>IMAGE("file:///E:/Estudios%20y%20certificaciones/ESTUDIOS%20DE%20PROGRAMMING/PROGRAMMING/PERSONAL/PYTHON/Image_Generator_API/imagenes/HALIFAX_WOMENS_119000214_MSG_2.jpg")</f>
        <v/>
      </c>
      <c r="N64">
        <f>IMAGE("file:///E:/Estudios%20y%20certificaciones/ESTUDIOS%20DE%20PROGRAMMING/PROGRAMMING/PERSONAL/PYTHON/Image_Generator_API/imagenes/HALIFAX_WOMENS_119000214_MSG_3.jpg")</f>
        <v/>
      </c>
      <c r="O64">
        <f>HYPERLINK("imagenes/HALIFAX_WOMENS_119000214_MSG_1.jpg","Ver imagen")</f>
        <v/>
      </c>
      <c r="P64">
        <f>HYPERLINK("imagenes/HALIFAX_WOMENS_119000214_MSG_2.jpg","Ver imagen")</f>
        <v/>
      </c>
      <c r="Q64">
        <f>HYPERLINK("imagenes/HALIFAX_WOMENS_119000214_MSG_3.jpg","Ver imagen")</f>
        <v/>
      </c>
    </row>
    <row r="65">
      <c r="A65" t="inlineStr">
        <is>
          <t>HALIFAX WOMENS</t>
        </is>
      </c>
      <c r="B65" t="inlineStr">
        <is>
          <t>119000214</t>
        </is>
      </c>
      <c r="C65" t="inlineStr">
        <is>
          <t>Softshell B/T Mellowpile Jacket CBL 26</t>
        </is>
      </c>
      <c r="D65" t="inlineStr">
        <is>
          <t>MSG</t>
        </is>
      </c>
      <c r="E65" t="inlineStr">
        <is>
          <t>(en blanco)</t>
        </is>
      </c>
      <c r="F65" t="inlineStr">
        <is>
          <t>(en blanco)</t>
        </is>
      </c>
      <c r="G65" t="inlineStr">
        <is>
          <t>XXL</t>
        </is>
      </c>
      <c r="H65" t="n">
        <v>3</v>
      </c>
      <c r="I65" t="inlineStr">
        <is>
          <t>HALIFAX_WOMENS_119000214_MSG_1.jpg</t>
        </is>
      </c>
      <c r="J65" t="inlineStr">
        <is>
          <t>HALIFAX_WOMENS_119000214_MSG_2.jpg</t>
        </is>
      </c>
      <c r="K65" t="inlineStr">
        <is>
          <t>HALIFAX_WOMENS_119000214_MSG_3.jpg</t>
        </is>
      </c>
      <c r="L65">
        <f>IMAGE("file:///E:/Estudios%20y%20certificaciones/ESTUDIOS%20DE%20PROGRAMMING/PROGRAMMING/PERSONAL/PYTHON/Image_Generator_API/imagenes/HALIFAX_WOMENS_119000214_MSG_1.jpg")</f>
        <v/>
      </c>
      <c r="M65">
        <f>IMAGE("file:///E:/Estudios%20y%20certificaciones/ESTUDIOS%20DE%20PROGRAMMING/PROGRAMMING/PERSONAL/PYTHON/Image_Generator_API/imagenes/HALIFAX_WOMENS_119000214_MSG_2.jpg")</f>
        <v/>
      </c>
      <c r="N65">
        <f>IMAGE("file:///E:/Estudios%20y%20certificaciones/ESTUDIOS%20DE%20PROGRAMMING/PROGRAMMING/PERSONAL/PYTHON/Image_Generator_API/imagenes/HALIFAX_WOMENS_119000214_MSG_3.jpg")</f>
        <v/>
      </c>
      <c r="O65">
        <f>HYPERLINK("imagenes/HALIFAX_WOMENS_119000214_MSG_1.jpg","Ver imagen")</f>
        <v/>
      </c>
      <c r="P65">
        <f>HYPERLINK("imagenes/HALIFAX_WOMENS_119000214_MSG_2.jpg","Ver imagen")</f>
        <v/>
      </c>
      <c r="Q65">
        <f>HYPERLINK("imagenes/HALIFAX_WOMENS_119000214_MSG_3.jpg","Ver imagen")</f>
        <v/>
      </c>
    </row>
    <row r="66">
      <c r="A66" t="inlineStr">
        <is>
          <t>HALIFAX WOMENS</t>
        </is>
      </c>
      <c r="B66" t="inlineStr">
        <is>
          <t>119000214</t>
        </is>
      </c>
      <c r="C66" t="inlineStr">
        <is>
          <t>Softshell B/T Mellowpile Jacket CBL 26</t>
        </is>
      </c>
      <c r="D66" t="inlineStr">
        <is>
          <t>NVY</t>
        </is>
      </c>
      <c r="E66" t="inlineStr">
        <is>
          <t>06A01</t>
        </is>
      </c>
      <c r="F66" t="inlineStr">
        <is>
          <t>(en blanco)</t>
        </is>
      </c>
      <c r="G66" t="inlineStr">
        <is>
          <t>PPK</t>
        </is>
      </c>
      <c r="H66" t="n">
        <v>1284</v>
      </c>
      <c r="I66" t="inlineStr">
        <is>
          <t>HALIFAX_WOMENS_119000214_NVY_1.jpg</t>
        </is>
      </c>
      <c r="J66" t="inlineStr">
        <is>
          <t>HALIFAX_WOMENS_119000214_NVY_2.jpg</t>
        </is>
      </c>
      <c r="K66" t="inlineStr">
        <is>
          <t>HALIFAX_WOMENS_119000214_NVY_3.jpg</t>
        </is>
      </c>
      <c r="L66">
        <f>IMAGE("file:///E:/Estudios%20y%20certificaciones/ESTUDIOS%20DE%20PROGRAMMING/PROGRAMMING/PERSONAL/PYTHON/Image_Generator_API/imagenes/HALIFAX_WOMENS_119000214_NVY_1.jpg")</f>
        <v/>
      </c>
      <c r="M66">
        <f>IMAGE("file:///E:/Estudios%20y%20certificaciones/ESTUDIOS%20DE%20PROGRAMMING/PROGRAMMING/PERSONAL/PYTHON/Image_Generator_API/imagenes/HALIFAX_WOMENS_119000214_NVY_2.jpg")</f>
        <v/>
      </c>
      <c r="N66">
        <f>IMAGE("file:///E:/Estudios%20y%20certificaciones/ESTUDIOS%20DE%20PROGRAMMING/PROGRAMMING/PERSONAL/PYTHON/Image_Generator_API/imagenes/HALIFAX_WOMENS_119000214_NVY_3.jpg")</f>
        <v/>
      </c>
      <c r="O66">
        <f>HYPERLINK("imagenes/HALIFAX_WOMENS_119000214_NVY_1.jpg","Ver imagen")</f>
        <v/>
      </c>
      <c r="P66">
        <f>HYPERLINK("imagenes/HALIFAX_WOMENS_119000214_NVY_2.jpg","Ver imagen")</f>
        <v/>
      </c>
      <c r="Q66">
        <f>HYPERLINK("imagenes/HALIFAX_WOMENS_119000214_NVY_3.jpg","Ver imagen")</f>
        <v/>
      </c>
    </row>
    <row r="67">
      <c r="A67" t="inlineStr">
        <is>
          <t>HALIFAX WOMENS</t>
        </is>
      </c>
      <c r="B67" t="inlineStr">
        <is>
          <t>119000214</t>
        </is>
      </c>
      <c r="C67" t="inlineStr">
        <is>
          <t>Softshell B/T Mellowpile Jacket CBL 26</t>
        </is>
      </c>
      <c r="D67" t="inlineStr">
        <is>
          <t>NVY</t>
        </is>
      </c>
      <c r="E67" t="inlineStr">
        <is>
          <t>(en blanco)</t>
        </is>
      </c>
      <c r="F67" t="inlineStr">
        <is>
          <t>D2C</t>
        </is>
      </c>
      <c r="G67" t="inlineStr">
        <is>
          <t>S</t>
        </is>
      </c>
      <c r="H67" t="n">
        <v>71</v>
      </c>
      <c r="I67" t="inlineStr">
        <is>
          <t>HALIFAX_WOMENS_119000214_NVY_1.jpg</t>
        </is>
      </c>
      <c r="J67" t="inlineStr">
        <is>
          <t>HALIFAX_WOMENS_119000214_NVY_2.jpg</t>
        </is>
      </c>
      <c r="K67" t="inlineStr">
        <is>
          <t>HALIFAX_WOMENS_119000214_NVY_3.jpg</t>
        </is>
      </c>
      <c r="L67">
        <f>IMAGE("file:///E:/Estudios%20y%20certificaciones/ESTUDIOS%20DE%20PROGRAMMING/PROGRAMMING/PERSONAL/PYTHON/Image_Generator_API/imagenes/HALIFAX_WOMENS_119000214_NVY_1.jpg")</f>
        <v/>
      </c>
      <c r="M67">
        <f>IMAGE("file:///E:/Estudios%20y%20certificaciones/ESTUDIOS%20DE%20PROGRAMMING/PROGRAMMING/PERSONAL/PYTHON/Image_Generator_API/imagenes/HALIFAX_WOMENS_119000214_NVY_2.jpg")</f>
        <v/>
      </c>
      <c r="N67">
        <f>IMAGE("file:///E:/Estudios%20y%20certificaciones/ESTUDIOS%20DE%20PROGRAMMING/PROGRAMMING/PERSONAL/PYTHON/Image_Generator_API/imagenes/HALIFAX_WOMENS_119000214_NVY_3.jpg")</f>
        <v/>
      </c>
      <c r="O67">
        <f>HYPERLINK("imagenes/HALIFAX_WOMENS_119000214_NVY_1.jpg","Ver imagen")</f>
        <v/>
      </c>
      <c r="P67">
        <f>HYPERLINK("imagenes/HALIFAX_WOMENS_119000214_NVY_2.jpg","Ver imagen")</f>
        <v/>
      </c>
      <c r="Q67">
        <f>HYPERLINK("imagenes/HALIFAX_WOMENS_119000214_NVY_3.jpg","Ver imagen")</f>
        <v/>
      </c>
    </row>
    <row r="68">
      <c r="A68" t="inlineStr">
        <is>
          <t>HALIFAX WOMENS</t>
        </is>
      </c>
      <c r="B68" t="inlineStr">
        <is>
          <t>119000214</t>
        </is>
      </c>
      <c r="C68" t="inlineStr">
        <is>
          <t>Softshell B/T Mellowpile Jacket CBL 26</t>
        </is>
      </c>
      <c r="D68" t="inlineStr">
        <is>
          <t>NVY</t>
        </is>
      </c>
      <c r="E68" t="inlineStr">
        <is>
          <t>(en blanco)</t>
        </is>
      </c>
      <c r="F68" t="inlineStr">
        <is>
          <t>D2C</t>
        </is>
      </c>
      <c r="G68" t="inlineStr">
        <is>
          <t>M</t>
        </is>
      </c>
      <c r="H68" t="n">
        <v>92</v>
      </c>
      <c r="I68" t="inlineStr">
        <is>
          <t>HALIFAX_WOMENS_119000214_NVY_1.jpg</t>
        </is>
      </c>
      <c r="J68" t="inlineStr">
        <is>
          <t>HALIFAX_WOMENS_119000214_NVY_2.jpg</t>
        </is>
      </c>
      <c r="K68" t="inlineStr">
        <is>
          <t>HALIFAX_WOMENS_119000214_NVY_3.jpg</t>
        </is>
      </c>
      <c r="L68">
        <f>IMAGE("file:///E:/Estudios%20y%20certificaciones/ESTUDIOS%20DE%20PROGRAMMING/PROGRAMMING/PERSONAL/PYTHON/Image_Generator_API/imagenes/HALIFAX_WOMENS_119000214_NVY_1.jpg")</f>
        <v/>
      </c>
      <c r="M68">
        <f>IMAGE("file:///E:/Estudios%20y%20certificaciones/ESTUDIOS%20DE%20PROGRAMMING/PROGRAMMING/PERSONAL/PYTHON/Image_Generator_API/imagenes/HALIFAX_WOMENS_119000214_NVY_2.jpg")</f>
        <v/>
      </c>
      <c r="N68">
        <f>IMAGE("file:///E:/Estudios%20y%20certificaciones/ESTUDIOS%20DE%20PROGRAMMING/PROGRAMMING/PERSONAL/PYTHON/Image_Generator_API/imagenes/HALIFAX_WOMENS_119000214_NVY_3.jpg")</f>
        <v/>
      </c>
      <c r="O68">
        <f>HYPERLINK("imagenes/HALIFAX_WOMENS_119000214_NVY_1.jpg","Ver imagen")</f>
        <v/>
      </c>
      <c r="P68">
        <f>HYPERLINK("imagenes/HALIFAX_WOMENS_119000214_NVY_2.jpg","Ver imagen")</f>
        <v/>
      </c>
      <c r="Q68">
        <f>HYPERLINK("imagenes/HALIFAX_WOMENS_119000214_NVY_3.jpg","Ver imagen")</f>
        <v/>
      </c>
    </row>
    <row r="69">
      <c r="A69" t="inlineStr">
        <is>
          <t>HALIFAX WOMENS</t>
        </is>
      </c>
      <c r="B69" t="inlineStr">
        <is>
          <t>119000214</t>
        </is>
      </c>
      <c r="C69" t="inlineStr">
        <is>
          <t>Softshell B/T Mellowpile Jacket CBL 26</t>
        </is>
      </c>
      <c r="D69" t="inlineStr">
        <is>
          <t>NVY</t>
        </is>
      </c>
      <c r="E69" t="inlineStr">
        <is>
          <t>(en blanco)</t>
        </is>
      </c>
      <c r="F69" t="inlineStr">
        <is>
          <t>D2C</t>
        </is>
      </c>
      <c r="G69" t="inlineStr">
        <is>
          <t>L</t>
        </is>
      </c>
      <c r="H69" t="n">
        <v>85</v>
      </c>
      <c r="I69" t="inlineStr">
        <is>
          <t>HALIFAX_WOMENS_119000214_NVY_1.jpg</t>
        </is>
      </c>
      <c r="J69" t="inlineStr">
        <is>
          <t>HALIFAX_WOMENS_119000214_NVY_2.jpg</t>
        </is>
      </c>
      <c r="K69" t="inlineStr">
        <is>
          <t>HALIFAX_WOMENS_119000214_NVY_3.jpg</t>
        </is>
      </c>
      <c r="L69">
        <f>IMAGE("file:///E:/Estudios%20y%20certificaciones/ESTUDIOS%20DE%20PROGRAMMING/PROGRAMMING/PERSONAL/PYTHON/Image_Generator_API/imagenes/HALIFAX_WOMENS_119000214_NVY_1.jpg")</f>
        <v/>
      </c>
      <c r="M69">
        <f>IMAGE("file:///E:/Estudios%20y%20certificaciones/ESTUDIOS%20DE%20PROGRAMMING/PROGRAMMING/PERSONAL/PYTHON/Image_Generator_API/imagenes/HALIFAX_WOMENS_119000214_NVY_2.jpg")</f>
        <v/>
      </c>
      <c r="N69">
        <f>IMAGE("file:///E:/Estudios%20y%20certificaciones/ESTUDIOS%20DE%20PROGRAMMING/PROGRAMMING/PERSONAL/PYTHON/Image_Generator_API/imagenes/HALIFAX_WOMENS_119000214_NVY_3.jpg")</f>
        <v/>
      </c>
      <c r="O69">
        <f>HYPERLINK("imagenes/HALIFAX_WOMENS_119000214_NVY_1.jpg","Ver imagen")</f>
        <v/>
      </c>
      <c r="P69">
        <f>HYPERLINK("imagenes/HALIFAX_WOMENS_119000214_NVY_2.jpg","Ver imagen")</f>
        <v/>
      </c>
      <c r="Q69">
        <f>HYPERLINK("imagenes/HALIFAX_WOMENS_119000214_NVY_3.jpg","Ver imagen")</f>
        <v/>
      </c>
    </row>
    <row r="70">
      <c r="A70" t="inlineStr">
        <is>
          <t>HALIFAX WOMENS</t>
        </is>
      </c>
      <c r="B70" t="inlineStr">
        <is>
          <t>119000214</t>
        </is>
      </c>
      <c r="C70" t="inlineStr">
        <is>
          <t>Softshell B/T Mellowpile Jacket CBL 26</t>
        </is>
      </c>
      <c r="D70" t="inlineStr">
        <is>
          <t>NVY</t>
        </is>
      </c>
      <c r="E70" t="inlineStr">
        <is>
          <t>(en blanco)</t>
        </is>
      </c>
      <c r="F70" t="inlineStr">
        <is>
          <t>D2C</t>
        </is>
      </c>
      <c r="G70" t="inlineStr">
        <is>
          <t>XL</t>
        </is>
      </c>
      <c r="H70" t="n">
        <v>47</v>
      </c>
      <c r="I70" t="inlineStr">
        <is>
          <t>HALIFAX_WOMENS_119000214_NVY_1.jpg</t>
        </is>
      </c>
      <c r="J70" t="inlineStr">
        <is>
          <t>HALIFAX_WOMENS_119000214_NVY_2.jpg</t>
        </is>
      </c>
      <c r="K70" t="inlineStr">
        <is>
          <t>HALIFAX_WOMENS_119000214_NVY_3.jpg</t>
        </is>
      </c>
      <c r="L70">
        <f>IMAGE("file:///E:/Estudios%20y%20certificaciones/ESTUDIOS%20DE%20PROGRAMMING/PROGRAMMING/PERSONAL/PYTHON/Image_Generator_API/imagenes/HALIFAX_WOMENS_119000214_NVY_1.jpg")</f>
        <v/>
      </c>
      <c r="M70">
        <f>IMAGE("file:///E:/Estudios%20y%20certificaciones/ESTUDIOS%20DE%20PROGRAMMING/PROGRAMMING/PERSONAL/PYTHON/Image_Generator_API/imagenes/HALIFAX_WOMENS_119000214_NVY_2.jpg")</f>
        <v/>
      </c>
      <c r="N70">
        <f>IMAGE("file:///E:/Estudios%20y%20certificaciones/ESTUDIOS%20DE%20PROGRAMMING/PROGRAMMING/PERSONAL/PYTHON/Image_Generator_API/imagenes/HALIFAX_WOMENS_119000214_NVY_3.jpg")</f>
        <v/>
      </c>
      <c r="O70">
        <f>HYPERLINK("imagenes/HALIFAX_WOMENS_119000214_NVY_1.jpg","Ver imagen")</f>
        <v/>
      </c>
      <c r="P70">
        <f>HYPERLINK("imagenes/HALIFAX_WOMENS_119000214_NVY_2.jpg","Ver imagen")</f>
        <v/>
      </c>
      <c r="Q70">
        <f>HYPERLINK("imagenes/HALIFAX_WOMENS_119000214_NVY_3.jpg","Ver imagen")</f>
        <v/>
      </c>
    </row>
    <row r="71">
      <c r="A71" t="inlineStr">
        <is>
          <t>HALIFAX WOMENS</t>
        </is>
      </c>
      <c r="B71" t="inlineStr">
        <is>
          <t>119000214</t>
        </is>
      </c>
      <c r="C71" t="inlineStr">
        <is>
          <t>Softshell B/T Mellowpile Jacket CBL 26</t>
        </is>
      </c>
      <c r="D71" t="inlineStr">
        <is>
          <t>NVY</t>
        </is>
      </c>
      <c r="E71" t="inlineStr">
        <is>
          <t>(en blanco)</t>
        </is>
      </c>
      <c r="F71" t="inlineStr">
        <is>
          <t>D2C</t>
        </is>
      </c>
      <c r="G71" t="inlineStr">
        <is>
          <t>XXL</t>
        </is>
      </c>
      <c r="H71" t="n">
        <v>26</v>
      </c>
      <c r="I71" t="inlineStr">
        <is>
          <t>HALIFAX_WOMENS_119000214_NVY_1.jpg</t>
        </is>
      </c>
      <c r="J71" t="inlineStr">
        <is>
          <t>HALIFAX_WOMENS_119000214_NVY_2.jpg</t>
        </is>
      </c>
      <c r="K71" t="inlineStr">
        <is>
          <t>HALIFAX_WOMENS_119000214_NVY_3.jpg</t>
        </is>
      </c>
      <c r="L71">
        <f>IMAGE("file:///E:/Estudios%20y%20certificaciones/ESTUDIOS%20DE%20PROGRAMMING/PROGRAMMING/PERSONAL/PYTHON/Image_Generator_API/imagenes/HALIFAX_WOMENS_119000214_NVY_1.jpg")</f>
        <v/>
      </c>
      <c r="M71">
        <f>IMAGE("file:///E:/Estudios%20y%20certificaciones/ESTUDIOS%20DE%20PROGRAMMING/PROGRAMMING/PERSONAL/PYTHON/Image_Generator_API/imagenes/HALIFAX_WOMENS_119000214_NVY_2.jpg")</f>
        <v/>
      </c>
      <c r="N71">
        <f>IMAGE("file:///E:/Estudios%20y%20certificaciones/ESTUDIOS%20DE%20PROGRAMMING/PROGRAMMING/PERSONAL/PYTHON/Image_Generator_API/imagenes/HALIFAX_WOMENS_119000214_NVY_3.jpg")</f>
        <v/>
      </c>
      <c r="O71">
        <f>HYPERLINK("imagenes/HALIFAX_WOMENS_119000214_NVY_1.jpg","Ver imagen")</f>
        <v/>
      </c>
      <c r="P71">
        <f>HYPERLINK("imagenes/HALIFAX_WOMENS_119000214_NVY_2.jpg","Ver imagen")</f>
        <v/>
      </c>
      <c r="Q71">
        <f>HYPERLINK("imagenes/HALIFAX_WOMENS_119000214_NVY_3.jpg","Ver imagen")</f>
        <v/>
      </c>
    </row>
    <row r="72">
      <c r="A72" t="inlineStr">
        <is>
          <t>HALIFAX WOMENS</t>
        </is>
      </c>
      <c r="B72" t="inlineStr">
        <is>
          <t>119000214</t>
        </is>
      </c>
      <c r="C72" t="inlineStr">
        <is>
          <t>Softshell B/T Mellowpile Jacket CBL 26</t>
        </is>
      </c>
      <c r="D72" t="inlineStr">
        <is>
          <t>NVY</t>
        </is>
      </c>
      <c r="E72" t="inlineStr">
        <is>
          <t>(en blanco)</t>
        </is>
      </c>
      <c r="F72" t="inlineStr">
        <is>
          <t>N1380</t>
        </is>
      </c>
      <c r="G72" t="inlineStr">
        <is>
          <t>XL</t>
        </is>
      </c>
      <c r="H72" t="n">
        <v>1</v>
      </c>
      <c r="I72" t="inlineStr">
        <is>
          <t>HALIFAX_WOMENS_119000214_NVY_1.jpg</t>
        </is>
      </c>
      <c r="J72" t="inlineStr">
        <is>
          <t>HALIFAX_WOMENS_119000214_NVY_2.jpg</t>
        </is>
      </c>
      <c r="K72" t="inlineStr">
        <is>
          <t>HALIFAX_WOMENS_119000214_NVY_3.jpg</t>
        </is>
      </c>
      <c r="L72">
        <f>IMAGE("file:///E:/Estudios%20y%20certificaciones/ESTUDIOS%20DE%20PROGRAMMING/PROGRAMMING/PERSONAL/PYTHON/Image_Generator_API/imagenes/HALIFAX_WOMENS_119000214_NVY_1.jpg")</f>
        <v/>
      </c>
      <c r="M72">
        <f>IMAGE("file:///E:/Estudios%20y%20certificaciones/ESTUDIOS%20DE%20PROGRAMMING/PROGRAMMING/PERSONAL/PYTHON/Image_Generator_API/imagenes/HALIFAX_WOMENS_119000214_NVY_2.jpg")</f>
        <v/>
      </c>
      <c r="N72">
        <f>IMAGE("file:///E:/Estudios%20y%20certificaciones/ESTUDIOS%20DE%20PROGRAMMING/PROGRAMMING/PERSONAL/PYTHON/Image_Generator_API/imagenes/HALIFAX_WOMENS_119000214_NVY_3.jpg")</f>
        <v/>
      </c>
      <c r="O72">
        <f>HYPERLINK("imagenes/HALIFAX_WOMENS_119000214_NVY_1.jpg","Ver imagen")</f>
        <v/>
      </c>
      <c r="P72">
        <f>HYPERLINK("imagenes/HALIFAX_WOMENS_119000214_NVY_2.jpg","Ver imagen")</f>
        <v/>
      </c>
      <c r="Q72">
        <f>HYPERLINK("imagenes/HALIFAX_WOMENS_119000214_NVY_3.jpg","Ver imagen")</f>
        <v/>
      </c>
    </row>
    <row r="73">
      <c r="A73" t="inlineStr">
        <is>
          <t>HALIFAX WOMENS</t>
        </is>
      </c>
      <c r="B73" t="inlineStr">
        <is>
          <t>119000214</t>
        </is>
      </c>
      <c r="C73" t="inlineStr">
        <is>
          <t>Softshell B/T Mellowpile Jacket CBL 26</t>
        </is>
      </c>
      <c r="D73" t="inlineStr">
        <is>
          <t>NVY</t>
        </is>
      </c>
      <c r="E73" t="inlineStr">
        <is>
          <t>(en blanco)</t>
        </is>
      </c>
      <c r="F73" t="inlineStr">
        <is>
          <t>N1380</t>
        </is>
      </c>
      <c r="G73" t="inlineStr">
        <is>
          <t>XXL</t>
        </is>
      </c>
      <c r="H73" t="n">
        <v>1</v>
      </c>
      <c r="I73" t="inlineStr">
        <is>
          <t>HALIFAX_WOMENS_119000214_NVY_1.jpg</t>
        </is>
      </c>
      <c r="J73" t="inlineStr">
        <is>
          <t>HALIFAX_WOMENS_119000214_NVY_2.jpg</t>
        </is>
      </c>
      <c r="K73" t="inlineStr">
        <is>
          <t>HALIFAX_WOMENS_119000214_NVY_3.jpg</t>
        </is>
      </c>
      <c r="L73">
        <f>IMAGE("file:///E:/Estudios%20y%20certificaciones/ESTUDIOS%20DE%20PROGRAMMING/PROGRAMMING/PERSONAL/PYTHON/Image_Generator_API/imagenes/HALIFAX_WOMENS_119000214_NVY_1.jpg")</f>
        <v/>
      </c>
      <c r="M73">
        <f>IMAGE("file:///E:/Estudios%20y%20certificaciones/ESTUDIOS%20DE%20PROGRAMMING/PROGRAMMING/PERSONAL/PYTHON/Image_Generator_API/imagenes/HALIFAX_WOMENS_119000214_NVY_2.jpg")</f>
        <v/>
      </c>
      <c r="N73">
        <f>IMAGE("file:///E:/Estudios%20y%20certificaciones/ESTUDIOS%20DE%20PROGRAMMING/PROGRAMMING/PERSONAL/PYTHON/Image_Generator_API/imagenes/HALIFAX_WOMENS_119000214_NVY_3.jpg")</f>
        <v/>
      </c>
      <c r="O73">
        <f>HYPERLINK("imagenes/HALIFAX_WOMENS_119000214_NVY_1.jpg","Ver imagen")</f>
        <v/>
      </c>
      <c r="P73">
        <f>HYPERLINK("imagenes/HALIFAX_WOMENS_119000214_NVY_2.jpg","Ver imagen")</f>
        <v/>
      </c>
      <c r="Q73">
        <f>HYPERLINK("imagenes/HALIFAX_WOMENS_119000214_NVY_3.jpg","Ver imagen")</f>
        <v/>
      </c>
    </row>
    <row r="74">
      <c r="A74" t="inlineStr">
        <is>
          <t>HALIFAX WOMENS</t>
        </is>
      </c>
      <c r="B74" t="inlineStr">
        <is>
          <t>119000214</t>
        </is>
      </c>
      <c r="C74" t="inlineStr">
        <is>
          <t>Softshell B/T Mellowpile Jacket CBL 26</t>
        </is>
      </c>
      <c r="D74" t="inlineStr">
        <is>
          <t>NVY</t>
        </is>
      </c>
      <c r="E74" t="inlineStr">
        <is>
          <t>(en blanco)</t>
        </is>
      </c>
      <c r="F74" t="inlineStr">
        <is>
          <t>T1192</t>
        </is>
      </c>
      <c r="G74" t="inlineStr">
        <is>
          <t>S</t>
        </is>
      </c>
      <c r="H74" t="n">
        <v>4</v>
      </c>
      <c r="I74" t="inlineStr">
        <is>
          <t>HALIFAX_WOMENS_119000214_NVY_1.jpg</t>
        </is>
      </c>
      <c r="J74" t="inlineStr">
        <is>
          <t>HALIFAX_WOMENS_119000214_NVY_2.jpg</t>
        </is>
      </c>
      <c r="K74" t="inlineStr">
        <is>
          <t>HALIFAX_WOMENS_119000214_NVY_3.jpg</t>
        </is>
      </c>
      <c r="L74">
        <f>IMAGE("file:///E:/Estudios%20y%20certificaciones/ESTUDIOS%20DE%20PROGRAMMING/PROGRAMMING/PERSONAL/PYTHON/Image_Generator_API/imagenes/HALIFAX_WOMENS_119000214_NVY_1.jpg")</f>
        <v/>
      </c>
      <c r="M74">
        <f>IMAGE("file:///E:/Estudios%20y%20certificaciones/ESTUDIOS%20DE%20PROGRAMMING/PROGRAMMING/PERSONAL/PYTHON/Image_Generator_API/imagenes/HALIFAX_WOMENS_119000214_NVY_2.jpg")</f>
        <v/>
      </c>
      <c r="N74">
        <f>IMAGE("file:///E:/Estudios%20y%20certificaciones/ESTUDIOS%20DE%20PROGRAMMING/PROGRAMMING/PERSONAL/PYTHON/Image_Generator_API/imagenes/HALIFAX_WOMENS_119000214_NVY_3.jpg")</f>
        <v/>
      </c>
      <c r="O74">
        <f>HYPERLINK("imagenes/HALIFAX_WOMENS_119000214_NVY_1.jpg","Ver imagen")</f>
        <v/>
      </c>
      <c r="P74">
        <f>HYPERLINK("imagenes/HALIFAX_WOMENS_119000214_NVY_2.jpg","Ver imagen")</f>
        <v/>
      </c>
      <c r="Q74">
        <f>HYPERLINK("imagenes/HALIFAX_WOMENS_119000214_NVY_3.jpg","Ver imagen")</f>
        <v/>
      </c>
    </row>
    <row r="75">
      <c r="A75" t="inlineStr">
        <is>
          <t>HALIFAX WOMENS</t>
        </is>
      </c>
      <c r="B75" t="inlineStr">
        <is>
          <t>119000214</t>
        </is>
      </c>
      <c r="C75" t="inlineStr">
        <is>
          <t>Softshell B/T Mellowpile Jacket CBL 26</t>
        </is>
      </c>
      <c r="D75" t="inlineStr">
        <is>
          <t>NVY</t>
        </is>
      </c>
      <c r="E75" t="inlineStr">
        <is>
          <t>(en blanco)</t>
        </is>
      </c>
      <c r="F75" t="inlineStr">
        <is>
          <t>(en blanco)</t>
        </is>
      </c>
      <c r="G75" t="inlineStr">
        <is>
          <t>S</t>
        </is>
      </c>
      <c r="H75" t="n">
        <v>0</v>
      </c>
      <c r="I75" t="inlineStr">
        <is>
          <t>HALIFAX_WOMENS_119000214_NVY_1.jpg</t>
        </is>
      </c>
      <c r="J75" t="inlineStr">
        <is>
          <t>HALIFAX_WOMENS_119000214_NVY_2.jpg</t>
        </is>
      </c>
      <c r="K75" t="inlineStr">
        <is>
          <t>HALIFAX_WOMENS_119000214_NVY_3.jpg</t>
        </is>
      </c>
      <c r="L75">
        <f>IMAGE("file:///E:/Estudios%20y%20certificaciones/ESTUDIOS%20DE%20PROGRAMMING/PROGRAMMING/PERSONAL/PYTHON/Image_Generator_API/imagenes/HALIFAX_WOMENS_119000214_NVY_1.jpg")</f>
        <v/>
      </c>
      <c r="M75">
        <f>IMAGE("file:///E:/Estudios%20y%20certificaciones/ESTUDIOS%20DE%20PROGRAMMING/PROGRAMMING/PERSONAL/PYTHON/Image_Generator_API/imagenes/HALIFAX_WOMENS_119000214_NVY_2.jpg")</f>
        <v/>
      </c>
      <c r="N75">
        <f>IMAGE("file:///E:/Estudios%20y%20certificaciones/ESTUDIOS%20DE%20PROGRAMMING/PROGRAMMING/PERSONAL/PYTHON/Image_Generator_API/imagenes/HALIFAX_WOMENS_119000214_NVY_3.jpg")</f>
        <v/>
      </c>
      <c r="O75">
        <f>HYPERLINK("imagenes/HALIFAX_WOMENS_119000214_NVY_1.jpg","Ver imagen")</f>
        <v/>
      </c>
      <c r="P75">
        <f>HYPERLINK("imagenes/HALIFAX_WOMENS_119000214_NVY_2.jpg","Ver imagen")</f>
        <v/>
      </c>
      <c r="Q75">
        <f>HYPERLINK("imagenes/HALIFAX_WOMENS_119000214_NVY_3.jpg","Ver imagen")</f>
        <v/>
      </c>
    </row>
    <row r="76">
      <c r="A76" t="inlineStr">
        <is>
          <t>HALIFAX WOMENS</t>
        </is>
      </c>
      <c r="B76" t="inlineStr">
        <is>
          <t>119000214</t>
        </is>
      </c>
      <c r="C76" t="inlineStr">
        <is>
          <t>Softshell B/T Mellowpile Jacket CBL 26</t>
        </is>
      </c>
      <c r="D76" t="inlineStr">
        <is>
          <t>NVY</t>
        </is>
      </c>
      <c r="E76" t="inlineStr">
        <is>
          <t>(en blanco)</t>
        </is>
      </c>
      <c r="F76" t="inlineStr">
        <is>
          <t>(en blanco)</t>
        </is>
      </c>
      <c r="G76" t="inlineStr">
        <is>
          <t>L</t>
        </is>
      </c>
      <c r="H76" t="n">
        <v>1</v>
      </c>
      <c r="I76" t="inlineStr">
        <is>
          <t>HALIFAX_WOMENS_119000214_NVY_1.jpg</t>
        </is>
      </c>
      <c r="J76" t="inlineStr">
        <is>
          <t>HALIFAX_WOMENS_119000214_NVY_2.jpg</t>
        </is>
      </c>
      <c r="K76" t="inlineStr">
        <is>
          <t>HALIFAX_WOMENS_119000214_NVY_3.jpg</t>
        </is>
      </c>
      <c r="L76">
        <f>IMAGE("file:///E:/Estudios%20y%20certificaciones/ESTUDIOS%20DE%20PROGRAMMING/PROGRAMMING/PERSONAL/PYTHON/Image_Generator_API/imagenes/HALIFAX_WOMENS_119000214_NVY_1.jpg")</f>
        <v/>
      </c>
      <c r="M76">
        <f>IMAGE("file:///E:/Estudios%20y%20certificaciones/ESTUDIOS%20DE%20PROGRAMMING/PROGRAMMING/PERSONAL/PYTHON/Image_Generator_API/imagenes/HALIFAX_WOMENS_119000214_NVY_2.jpg")</f>
        <v/>
      </c>
      <c r="N76">
        <f>IMAGE("file:///E:/Estudios%20y%20certificaciones/ESTUDIOS%20DE%20PROGRAMMING/PROGRAMMING/PERSONAL/PYTHON/Image_Generator_API/imagenes/HALIFAX_WOMENS_119000214_NVY_3.jpg")</f>
        <v/>
      </c>
      <c r="O76">
        <f>HYPERLINK("imagenes/HALIFAX_WOMENS_119000214_NVY_1.jpg","Ver imagen")</f>
        <v/>
      </c>
      <c r="P76">
        <f>HYPERLINK("imagenes/HALIFAX_WOMENS_119000214_NVY_2.jpg","Ver imagen")</f>
        <v/>
      </c>
      <c r="Q76">
        <f>HYPERLINK("imagenes/HALIFAX_WOMENS_119000214_NVY_3.jpg","Ver imagen")</f>
        <v/>
      </c>
    </row>
    <row r="77">
      <c r="A77" t="inlineStr">
        <is>
          <t>HALIFAX WOMENS</t>
        </is>
      </c>
      <c r="B77" t="inlineStr">
        <is>
          <t>119000214</t>
        </is>
      </c>
      <c r="C77" t="inlineStr">
        <is>
          <t>Softshell B/T Mellowpile Jacket CBL 26</t>
        </is>
      </c>
      <c r="D77" t="inlineStr">
        <is>
          <t>SOM</t>
        </is>
      </c>
      <c r="E77" t="inlineStr">
        <is>
          <t>06A01</t>
        </is>
      </c>
      <c r="F77" t="inlineStr">
        <is>
          <t>(en blanco)</t>
        </is>
      </c>
      <c r="G77" t="inlineStr">
        <is>
          <t>PPK</t>
        </is>
      </c>
      <c r="H77" t="n">
        <v>354</v>
      </c>
      <c r="I77" t="inlineStr">
        <is>
          <t>HALIFAX_WOMENS_119000214_SOM_1.jpg</t>
        </is>
      </c>
      <c r="J77" t="inlineStr">
        <is>
          <t>HALIFAX_WOMENS_119000214_SOM_2.jpg</t>
        </is>
      </c>
      <c r="K77" t="inlineStr">
        <is>
          <t>HALIFAX_WOMENS_119000214_SOM_3.jpg</t>
        </is>
      </c>
      <c r="L77">
        <f>IMAGE("file:///E:/Estudios%20y%20certificaciones/ESTUDIOS%20DE%20PROGRAMMING/PROGRAMMING/PERSONAL/PYTHON/Image_Generator_API/imagenes/HALIFAX_WOMENS_119000214_SOM_1.jpg")</f>
        <v/>
      </c>
      <c r="M77">
        <f>IMAGE("file:///E:/Estudios%20y%20certificaciones/ESTUDIOS%20DE%20PROGRAMMING/PROGRAMMING/PERSONAL/PYTHON/Image_Generator_API/imagenes/HALIFAX_WOMENS_119000214_SOM_2.jpg")</f>
        <v/>
      </c>
      <c r="N77">
        <f>IMAGE("file:///E:/Estudios%20y%20certificaciones/ESTUDIOS%20DE%20PROGRAMMING/PROGRAMMING/PERSONAL/PYTHON/Image_Generator_API/imagenes/HALIFAX_WOMENS_119000214_SOM_3.jpg")</f>
        <v/>
      </c>
      <c r="O77">
        <f>HYPERLINK("imagenes/HALIFAX_WOMENS_119000214_SOM_1.jpg","Ver imagen")</f>
        <v/>
      </c>
      <c r="P77">
        <f>HYPERLINK("imagenes/HALIFAX_WOMENS_119000214_SOM_2.jpg","Ver imagen")</f>
        <v/>
      </c>
      <c r="Q77">
        <f>HYPERLINK("imagenes/HALIFAX_WOMENS_119000214_SOM_3.jpg","Ver imagen")</f>
        <v/>
      </c>
    </row>
    <row r="78">
      <c r="A78" t="inlineStr">
        <is>
          <t>HALIFAX WOMENS</t>
        </is>
      </c>
      <c r="B78" t="inlineStr">
        <is>
          <t>119000282</t>
        </is>
      </c>
      <c r="C78" t="inlineStr">
        <is>
          <t>Stretch Wellon Faux Fur Trimmed Jacket CBL:26</t>
        </is>
      </c>
      <c r="D78" t="inlineStr">
        <is>
          <t>BLK</t>
        </is>
      </c>
      <c r="E78" t="inlineStr">
        <is>
          <t>08A06</t>
        </is>
      </c>
      <c r="F78" t="inlineStr">
        <is>
          <t>B2230</t>
        </is>
      </c>
      <c r="G78" t="inlineStr">
        <is>
          <t>PPK</t>
        </is>
      </c>
      <c r="H78" t="n">
        <v>0</v>
      </c>
      <c r="I78" t="inlineStr">
        <is>
          <t>HALIFAX_WOMENS_119000282_BLK_2.jpg</t>
        </is>
      </c>
      <c r="J78" t="inlineStr">
        <is>
          <t>HALIFAX_WOMENS_119000282_BLK_3.jpg</t>
        </is>
      </c>
      <c r="L78">
        <f>IMAGE("file:///E:/Estudios%20y%20certificaciones/ESTUDIOS%20DE%20PROGRAMMING/PROGRAMMING/PERSONAL/PYTHON/Image_Generator_API/imagenes/HALIFAX_WOMENS_119000282_BLK_2.jpg")</f>
        <v/>
      </c>
      <c r="M78">
        <f>IMAGE("file:///E:/Estudios%20y%20certificaciones/ESTUDIOS%20DE%20PROGRAMMING/PROGRAMMING/PERSONAL/PYTHON/Image_Generator_API/imagenes/HALIFAX_WOMENS_119000282_BLK_3.jpg")</f>
        <v/>
      </c>
      <c r="O78">
        <f>HYPERLINK("imagenes/HALIFAX_WOMENS_119000282_BLK_2.jpg","Ver imagen")</f>
        <v/>
      </c>
      <c r="P78">
        <f>HYPERLINK("imagenes/HALIFAX_WOMENS_119000282_BLK_3.jpg","Ver imagen")</f>
        <v/>
      </c>
    </row>
    <row r="79">
      <c r="A79" t="inlineStr">
        <is>
          <t>HALIFAX WOMENS</t>
        </is>
      </c>
      <c r="B79" t="inlineStr">
        <is>
          <t>119000282</t>
        </is>
      </c>
      <c r="C79" t="inlineStr">
        <is>
          <t>Stretch Wellon Faux Fur Trimmed Jacket CBL:26</t>
        </is>
      </c>
      <c r="D79" t="inlineStr">
        <is>
          <t>BLK</t>
        </is>
      </c>
      <c r="E79" t="inlineStr">
        <is>
          <t>08A06</t>
        </is>
      </c>
      <c r="F79" t="inlineStr">
        <is>
          <t>(en blanco)</t>
        </is>
      </c>
      <c r="G79" t="inlineStr">
        <is>
          <t>PPK</t>
        </is>
      </c>
      <c r="H79" t="n">
        <v>8</v>
      </c>
      <c r="I79" t="inlineStr">
        <is>
          <t>HALIFAX_WOMENS_119000282_BLK_2.jpg</t>
        </is>
      </c>
      <c r="J79" t="inlineStr">
        <is>
          <t>HALIFAX_WOMENS_119000282_BLK_3.jpg</t>
        </is>
      </c>
      <c r="L79">
        <f>IMAGE("file:///E:/Estudios%20y%20certificaciones/ESTUDIOS%20DE%20PROGRAMMING/PROGRAMMING/PERSONAL/PYTHON/Image_Generator_API/imagenes/HALIFAX_WOMENS_119000282_BLK_2.jpg")</f>
        <v/>
      </c>
      <c r="M79">
        <f>IMAGE("file:///E:/Estudios%20y%20certificaciones/ESTUDIOS%20DE%20PROGRAMMING/PROGRAMMING/PERSONAL/PYTHON/Image_Generator_API/imagenes/HALIFAX_WOMENS_119000282_BLK_3.jpg")</f>
        <v/>
      </c>
      <c r="O79">
        <f>HYPERLINK("imagenes/HALIFAX_WOMENS_119000282_BLK_2.jpg","Ver imagen")</f>
        <v/>
      </c>
      <c r="P79">
        <f>HYPERLINK("imagenes/HALIFAX_WOMENS_119000282_BLK_3.jpg","Ver imagen")</f>
        <v/>
      </c>
    </row>
    <row r="80">
      <c r="A80" t="inlineStr">
        <is>
          <t>HALIFAX WOMENS</t>
        </is>
      </c>
      <c r="B80" t="inlineStr">
        <is>
          <t>119000282</t>
        </is>
      </c>
      <c r="C80" t="inlineStr">
        <is>
          <t>Stretch Wellon Faux Fur Trimmed Jacket CBL:26</t>
        </is>
      </c>
      <c r="D80" t="inlineStr">
        <is>
          <t>BLK</t>
        </is>
      </c>
      <c r="E80" t="inlineStr">
        <is>
          <t>(en blanco)</t>
        </is>
      </c>
      <c r="F80" t="inlineStr">
        <is>
          <t>(en blanco)</t>
        </is>
      </c>
      <c r="G80" t="inlineStr">
        <is>
          <t>S</t>
        </is>
      </c>
      <c r="H80" t="n">
        <v>38</v>
      </c>
      <c r="I80" t="inlineStr">
        <is>
          <t>HALIFAX_WOMENS_119000282_BLK_2.jpg</t>
        </is>
      </c>
      <c r="J80" t="inlineStr">
        <is>
          <t>HALIFAX_WOMENS_119000282_BLK_3.jpg</t>
        </is>
      </c>
      <c r="L80">
        <f>IMAGE("file:///E:/Estudios%20y%20certificaciones/ESTUDIOS%20DE%20PROGRAMMING/PROGRAMMING/PERSONAL/PYTHON/Image_Generator_API/imagenes/HALIFAX_WOMENS_119000282_BLK_2.jpg")</f>
        <v/>
      </c>
      <c r="M80">
        <f>IMAGE("file:///E:/Estudios%20y%20certificaciones/ESTUDIOS%20DE%20PROGRAMMING/PROGRAMMING/PERSONAL/PYTHON/Image_Generator_API/imagenes/HALIFAX_WOMENS_119000282_BLK_3.jpg")</f>
        <v/>
      </c>
      <c r="O80">
        <f>HYPERLINK("imagenes/HALIFAX_WOMENS_119000282_BLK_2.jpg","Ver imagen")</f>
        <v/>
      </c>
      <c r="P80">
        <f>HYPERLINK("imagenes/HALIFAX_WOMENS_119000282_BLK_3.jpg","Ver imagen")</f>
        <v/>
      </c>
    </row>
    <row r="81">
      <c r="A81" t="inlineStr">
        <is>
          <t>HALIFAX WOMENS</t>
        </is>
      </c>
      <c r="B81" t="inlineStr">
        <is>
          <t>119000282</t>
        </is>
      </c>
      <c r="C81" t="inlineStr">
        <is>
          <t>Stretch Wellon Faux Fur Trimmed Jacket CBL:26</t>
        </is>
      </c>
      <c r="D81" t="inlineStr">
        <is>
          <t>BLK</t>
        </is>
      </c>
      <c r="E81" t="inlineStr">
        <is>
          <t>(en blanco)</t>
        </is>
      </c>
      <c r="F81" t="inlineStr">
        <is>
          <t>(en blanco)</t>
        </is>
      </c>
      <c r="G81" t="inlineStr">
        <is>
          <t>M</t>
        </is>
      </c>
      <c r="H81" t="n">
        <v>74</v>
      </c>
      <c r="I81" t="inlineStr">
        <is>
          <t>HALIFAX_WOMENS_119000282_BLK_2.jpg</t>
        </is>
      </c>
      <c r="J81" t="inlineStr">
        <is>
          <t>HALIFAX_WOMENS_119000282_BLK_3.jpg</t>
        </is>
      </c>
      <c r="L81">
        <f>IMAGE("file:///E:/Estudios%20y%20certificaciones/ESTUDIOS%20DE%20PROGRAMMING/PROGRAMMING/PERSONAL/PYTHON/Image_Generator_API/imagenes/HALIFAX_WOMENS_119000282_BLK_2.jpg")</f>
        <v/>
      </c>
      <c r="M81">
        <f>IMAGE("file:///E:/Estudios%20y%20certificaciones/ESTUDIOS%20DE%20PROGRAMMING/PROGRAMMING/PERSONAL/PYTHON/Image_Generator_API/imagenes/HALIFAX_WOMENS_119000282_BLK_3.jpg")</f>
        <v/>
      </c>
      <c r="O81">
        <f>HYPERLINK("imagenes/HALIFAX_WOMENS_119000282_BLK_2.jpg","Ver imagen")</f>
        <v/>
      </c>
      <c r="P81">
        <f>HYPERLINK("imagenes/HALIFAX_WOMENS_119000282_BLK_3.jpg","Ver imagen")</f>
        <v/>
      </c>
    </row>
    <row r="82">
      <c r="A82" t="inlineStr">
        <is>
          <t>HALIFAX WOMENS</t>
        </is>
      </c>
      <c r="B82" t="inlineStr">
        <is>
          <t>119000282</t>
        </is>
      </c>
      <c r="C82" t="inlineStr">
        <is>
          <t>Stretch Wellon Faux Fur Trimmed Jacket CBL:26</t>
        </is>
      </c>
      <c r="D82" t="inlineStr">
        <is>
          <t>BLK</t>
        </is>
      </c>
      <c r="E82" t="inlineStr">
        <is>
          <t>(en blanco)</t>
        </is>
      </c>
      <c r="F82" t="inlineStr">
        <is>
          <t>(en blanco)</t>
        </is>
      </c>
      <c r="G82" t="inlineStr">
        <is>
          <t>L</t>
        </is>
      </c>
      <c r="H82" t="n">
        <v>75</v>
      </c>
      <c r="I82" t="inlineStr">
        <is>
          <t>HALIFAX_WOMENS_119000282_BLK_2.jpg</t>
        </is>
      </c>
      <c r="J82" t="inlineStr">
        <is>
          <t>HALIFAX_WOMENS_119000282_BLK_3.jpg</t>
        </is>
      </c>
      <c r="L82">
        <f>IMAGE("file:///E:/Estudios%20y%20certificaciones/ESTUDIOS%20DE%20PROGRAMMING/PROGRAMMING/PERSONAL/PYTHON/Image_Generator_API/imagenes/HALIFAX_WOMENS_119000282_BLK_2.jpg")</f>
        <v/>
      </c>
      <c r="M82">
        <f>IMAGE("file:///E:/Estudios%20y%20certificaciones/ESTUDIOS%20DE%20PROGRAMMING/PROGRAMMING/PERSONAL/PYTHON/Image_Generator_API/imagenes/HALIFAX_WOMENS_119000282_BLK_3.jpg")</f>
        <v/>
      </c>
      <c r="O82">
        <f>HYPERLINK("imagenes/HALIFAX_WOMENS_119000282_BLK_2.jpg","Ver imagen")</f>
        <v/>
      </c>
      <c r="P82">
        <f>HYPERLINK("imagenes/HALIFAX_WOMENS_119000282_BLK_3.jpg","Ver imagen")</f>
        <v/>
      </c>
    </row>
    <row r="83">
      <c r="A83" t="inlineStr">
        <is>
          <t>HALIFAX WOMENS</t>
        </is>
      </c>
      <c r="B83" t="inlineStr">
        <is>
          <t>119000282</t>
        </is>
      </c>
      <c r="C83" t="inlineStr">
        <is>
          <t>Stretch Wellon Faux Fur Trimmed Jacket CBL:26</t>
        </is>
      </c>
      <c r="D83" t="inlineStr">
        <is>
          <t>BLK</t>
        </is>
      </c>
      <c r="E83" t="inlineStr">
        <is>
          <t>(en blanco)</t>
        </is>
      </c>
      <c r="F83" t="inlineStr">
        <is>
          <t>(en blanco)</t>
        </is>
      </c>
      <c r="G83" t="inlineStr">
        <is>
          <t>XL</t>
        </is>
      </c>
      <c r="H83" t="n">
        <v>74</v>
      </c>
      <c r="I83" t="inlineStr">
        <is>
          <t>HALIFAX_WOMENS_119000282_BLK_2.jpg</t>
        </is>
      </c>
      <c r="J83" t="inlineStr">
        <is>
          <t>HALIFAX_WOMENS_119000282_BLK_3.jpg</t>
        </is>
      </c>
      <c r="L83">
        <f>IMAGE("file:///E:/Estudios%20y%20certificaciones/ESTUDIOS%20DE%20PROGRAMMING/PROGRAMMING/PERSONAL/PYTHON/Image_Generator_API/imagenes/HALIFAX_WOMENS_119000282_BLK_2.jpg")</f>
        <v/>
      </c>
      <c r="M83">
        <f>IMAGE("file:///E:/Estudios%20y%20certificaciones/ESTUDIOS%20DE%20PROGRAMMING/PROGRAMMING/PERSONAL/PYTHON/Image_Generator_API/imagenes/HALIFAX_WOMENS_119000282_BLK_3.jpg")</f>
        <v/>
      </c>
      <c r="O83">
        <f>HYPERLINK("imagenes/HALIFAX_WOMENS_119000282_BLK_2.jpg","Ver imagen")</f>
        <v/>
      </c>
      <c r="P83">
        <f>HYPERLINK("imagenes/HALIFAX_WOMENS_119000282_BLK_3.jpg","Ver imagen")</f>
        <v/>
      </c>
    </row>
    <row r="84">
      <c r="A84" t="inlineStr">
        <is>
          <t>HALIFAX WOMENS</t>
        </is>
      </c>
      <c r="B84" t="inlineStr">
        <is>
          <t>119000282</t>
        </is>
      </c>
      <c r="C84" t="inlineStr">
        <is>
          <t>Stretch Wellon Faux Fur Trimmed Jacket CBL:26</t>
        </is>
      </c>
      <c r="D84" t="inlineStr">
        <is>
          <t>BLK</t>
        </is>
      </c>
      <c r="E84" t="inlineStr">
        <is>
          <t>(en blanco)</t>
        </is>
      </c>
      <c r="F84" t="inlineStr">
        <is>
          <t>(en blanco)</t>
        </is>
      </c>
      <c r="G84" t="inlineStr">
        <is>
          <t>XXL</t>
        </is>
      </c>
      <c r="H84" t="n">
        <v>36</v>
      </c>
      <c r="I84" t="inlineStr">
        <is>
          <t>HALIFAX_WOMENS_119000282_BLK_2.jpg</t>
        </is>
      </c>
      <c r="J84" t="inlineStr">
        <is>
          <t>HALIFAX_WOMENS_119000282_BLK_3.jpg</t>
        </is>
      </c>
      <c r="L84">
        <f>IMAGE("file:///E:/Estudios%20y%20certificaciones/ESTUDIOS%20DE%20PROGRAMMING/PROGRAMMING/PERSONAL/PYTHON/Image_Generator_API/imagenes/HALIFAX_WOMENS_119000282_BLK_2.jpg")</f>
        <v/>
      </c>
      <c r="M84">
        <f>IMAGE("file:///E:/Estudios%20y%20certificaciones/ESTUDIOS%20DE%20PROGRAMMING/PROGRAMMING/PERSONAL/PYTHON/Image_Generator_API/imagenes/HALIFAX_WOMENS_119000282_BLK_3.jpg")</f>
        <v/>
      </c>
      <c r="O84">
        <f>HYPERLINK("imagenes/HALIFAX_WOMENS_119000282_BLK_2.jpg","Ver imagen")</f>
        <v/>
      </c>
      <c r="P84">
        <f>HYPERLINK("imagenes/HALIFAX_WOMENS_119000282_BLK_3.jpg","Ver imagen")</f>
        <v/>
      </c>
    </row>
    <row r="85">
      <c r="A85" t="inlineStr">
        <is>
          <t>HALIFAX WOMENS</t>
        </is>
      </c>
      <c r="B85" t="inlineStr">
        <is>
          <t>119000282</t>
        </is>
      </c>
      <c r="C85" t="inlineStr">
        <is>
          <t>Stretch Wellon Faux Fur Trimmed Jacket CBL:26</t>
        </is>
      </c>
      <c r="D85" t="inlineStr">
        <is>
          <t>BON</t>
        </is>
      </c>
      <c r="E85" t="inlineStr">
        <is>
          <t>(en blanco)</t>
        </is>
      </c>
      <c r="F85" t="inlineStr">
        <is>
          <t>(en blanco)</t>
        </is>
      </c>
      <c r="G85" t="inlineStr">
        <is>
          <t>S</t>
        </is>
      </c>
      <c r="H85" t="n">
        <v>0</v>
      </c>
      <c r="I85" t="inlineStr">
        <is>
          <t>HALIFAX_WOMENS_119000282_BON_2.jpg</t>
        </is>
      </c>
      <c r="J85" t="inlineStr">
        <is>
          <t>HALIFAX_WOMENS_119000282_BON_3.jpg</t>
        </is>
      </c>
      <c r="L85">
        <f>IMAGE("file:///E:/Estudios%20y%20certificaciones/ESTUDIOS%20DE%20PROGRAMMING/PROGRAMMING/PERSONAL/PYTHON/Image_Generator_API/imagenes/HALIFAX_WOMENS_119000282_BON_2.jpg")</f>
        <v/>
      </c>
      <c r="M85">
        <f>IMAGE("file:///E:/Estudios%20y%20certificaciones/ESTUDIOS%20DE%20PROGRAMMING/PROGRAMMING/PERSONAL/PYTHON/Image_Generator_API/imagenes/HALIFAX_WOMENS_119000282_BON_3.jpg")</f>
        <v/>
      </c>
      <c r="O85">
        <f>HYPERLINK("imagenes/HALIFAX_WOMENS_119000282_BON_2.jpg","Ver imagen")</f>
        <v/>
      </c>
      <c r="P85">
        <f>HYPERLINK("imagenes/HALIFAX_WOMENS_119000282_BON_3.jpg","Ver imagen")</f>
        <v/>
      </c>
    </row>
    <row r="86">
      <c r="A86" t="inlineStr">
        <is>
          <t>HALIFAX WOMENS</t>
        </is>
      </c>
      <c r="B86" t="inlineStr">
        <is>
          <t>119000282</t>
        </is>
      </c>
      <c r="C86" t="inlineStr">
        <is>
          <t>Stretch Wellon Faux Fur Trimmed Jacket CBL:26</t>
        </is>
      </c>
      <c r="D86" t="inlineStr">
        <is>
          <t>BON</t>
        </is>
      </c>
      <c r="E86" t="inlineStr">
        <is>
          <t>(en blanco)</t>
        </is>
      </c>
      <c r="F86" t="inlineStr">
        <is>
          <t>(en blanco)</t>
        </is>
      </c>
      <c r="G86" t="inlineStr">
        <is>
          <t>L</t>
        </is>
      </c>
      <c r="H86" t="n">
        <v>0</v>
      </c>
      <c r="I86" t="inlineStr">
        <is>
          <t>HALIFAX_WOMENS_119000282_BON_2.jpg</t>
        </is>
      </c>
      <c r="J86" t="inlineStr">
        <is>
          <t>HALIFAX_WOMENS_119000282_BON_3.jpg</t>
        </is>
      </c>
      <c r="L86">
        <f>IMAGE("file:///E:/Estudios%20y%20certificaciones/ESTUDIOS%20DE%20PROGRAMMING/PROGRAMMING/PERSONAL/PYTHON/Image_Generator_API/imagenes/HALIFAX_WOMENS_119000282_BON_2.jpg")</f>
        <v/>
      </c>
      <c r="M86">
        <f>IMAGE("file:///E:/Estudios%20y%20certificaciones/ESTUDIOS%20DE%20PROGRAMMING/PROGRAMMING/PERSONAL/PYTHON/Image_Generator_API/imagenes/HALIFAX_WOMENS_119000282_BON_3.jpg")</f>
        <v/>
      </c>
      <c r="O86">
        <f>HYPERLINK("imagenes/HALIFAX_WOMENS_119000282_BON_2.jpg","Ver imagen")</f>
        <v/>
      </c>
      <c r="P86">
        <f>HYPERLINK("imagenes/HALIFAX_WOMENS_119000282_BON_3.jpg","Ver imagen")</f>
        <v/>
      </c>
    </row>
    <row r="87">
      <c r="A87" t="inlineStr">
        <is>
          <t>HALIFAX WOMENS</t>
        </is>
      </c>
      <c r="B87" t="inlineStr">
        <is>
          <t>119000282</t>
        </is>
      </c>
      <c r="C87" t="inlineStr">
        <is>
          <t>Stretch Wellon Faux Fur Trimmed Jacket CBL:26</t>
        </is>
      </c>
      <c r="D87" t="inlineStr">
        <is>
          <t>BON</t>
        </is>
      </c>
      <c r="E87" t="inlineStr">
        <is>
          <t>(en blanco)</t>
        </is>
      </c>
      <c r="F87" t="inlineStr">
        <is>
          <t>(en blanco)</t>
        </is>
      </c>
      <c r="G87" t="inlineStr">
        <is>
          <t>XL</t>
        </is>
      </c>
      <c r="H87" t="n">
        <v>2</v>
      </c>
      <c r="I87" t="inlineStr">
        <is>
          <t>HALIFAX_WOMENS_119000282_BON_2.jpg</t>
        </is>
      </c>
      <c r="J87" t="inlineStr">
        <is>
          <t>HALIFAX_WOMENS_119000282_BON_3.jpg</t>
        </is>
      </c>
      <c r="L87">
        <f>IMAGE("file:///E:/Estudios%20y%20certificaciones/ESTUDIOS%20DE%20PROGRAMMING/PROGRAMMING/PERSONAL/PYTHON/Image_Generator_API/imagenes/HALIFAX_WOMENS_119000282_BON_2.jpg")</f>
        <v/>
      </c>
      <c r="M87">
        <f>IMAGE("file:///E:/Estudios%20y%20certificaciones/ESTUDIOS%20DE%20PROGRAMMING/PROGRAMMING/PERSONAL/PYTHON/Image_Generator_API/imagenes/HALIFAX_WOMENS_119000282_BON_3.jpg")</f>
        <v/>
      </c>
      <c r="O87">
        <f>HYPERLINK("imagenes/HALIFAX_WOMENS_119000282_BON_2.jpg","Ver imagen")</f>
        <v/>
      </c>
      <c r="P87">
        <f>HYPERLINK("imagenes/HALIFAX_WOMENS_119000282_BON_3.jpg","Ver imagen")</f>
        <v/>
      </c>
    </row>
    <row r="88">
      <c r="A88" t="inlineStr">
        <is>
          <t>HALIFAX WOMENS</t>
        </is>
      </c>
      <c r="B88" t="inlineStr">
        <is>
          <t>119000282</t>
        </is>
      </c>
      <c r="C88" t="inlineStr">
        <is>
          <t>Stretch Wellon Faux Fur Trimmed Jacket CBL:26</t>
        </is>
      </c>
      <c r="D88" t="inlineStr">
        <is>
          <t>GNT</t>
        </is>
      </c>
      <c r="E88" t="inlineStr">
        <is>
          <t>06A01</t>
        </is>
      </c>
      <c r="F88" t="inlineStr">
        <is>
          <t>R2140</t>
        </is>
      </c>
      <c r="G88" t="inlineStr">
        <is>
          <t>PPK</t>
        </is>
      </c>
      <c r="H88" t="n">
        <v>3810</v>
      </c>
      <c r="I88" t="inlineStr">
        <is>
          <t>HALIFAX_WOMENS_119000282_GNT_2.jpg</t>
        </is>
      </c>
      <c r="J88" t="inlineStr">
        <is>
          <t>HALIFAX_WOMENS_119000282_GNT_3.jpg</t>
        </is>
      </c>
      <c r="L88">
        <f>IMAGE("file:///E:/Estudios%20y%20certificaciones/ESTUDIOS%20DE%20PROGRAMMING/PROGRAMMING/PERSONAL/PYTHON/Image_Generator_API/imagenes/HALIFAX_WOMENS_119000282_GNT_2.jpg")</f>
        <v/>
      </c>
      <c r="M88">
        <f>IMAGE("file:///E:/Estudios%20y%20certificaciones/ESTUDIOS%20DE%20PROGRAMMING/PROGRAMMING/PERSONAL/PYTHON/Image_Generator_API/imagenes/HALIFAX_WOMENS_119000282_GNT_3.jpg")</f>
        <v/>
      </c>
      <c r="O88">
        <f>HYPERLINK("imagenes/HALIFAX_WOMENS_119000282_GNT_2.jpg","Ver imagen")</f>
        <v/>
      </c>
      <c r="P88">
        <f>HYPERLINK("imagenes/HALIFAX_WOMENS_119000282_GNT_3.jpg","Ver imagen")</f>
        <v/>
      </c>
    </row>
    <row r="89">
      <c r="A89" t="inlineStr">
        <is>
          <t>HALIFAX WOMENS</t>
        </is>
      </c>
      <c r="B89" t="inlineStr">
        <is>
          <t>119000282</t>
        </is>
      </c>
      <c r="C89" t="inlineStr">
        <is>
          <t>Stretch Wellon Faux Fur Trimmed Jacket CBL:26</t>
        </is>
      </c>
      <c r="D89" t="inlineStr">
        <is>
          <t>GNT</t>
        </is>
      </c>
      <c r="E89" t="inlineStr">
        <is>
          <t>08A06</t>
        </is>
      </c>
      <c r="F89" t="inlineStr">
        <is>
          <t>B2230</t>
        </is>
      </c>
      <c r="G89" t="inlineStr">
        <is>
          <t>PPK</t>
        </is>
      </c>
      <c r="H89" t="n">
        <v>0</v>
      </c>
      <c r="I89" t="inlineStr">
        <is>
          <t>HALIFAX_WOMENS_119000282_GNT_2.jpg</t>
        </is>
      </c>
      <c r="J89" t="inlineStr">
        <is>
          <t>HALIFAX_WOMENS_119000282_GNT_3.jpg</t>
        </is>
      </c>
      <c r="L89">
        <f>IMAGE("file:///E:/Estudios%20y%20certificaciones/ESTUDIOS%20DE%20PROGRAMMING/PROGRAMMING/PERSONAL/PYTHON/Image_Generator_API/imagenes/HALIFAX_WOMENS_119000282_GNT_2.jpg")</f>
        <v/>
      </c>
      <c r="M89">
        <f>IMAGE("file:///E:/Estudios%20y%20certificaciones/ESTUDIOS%20DE%20PROGRAMMING/PROGRAMMING/PERSONAL/PYTHON/Image_Generator_API/imagenes/HALIFAX_WOMENS_119000282_GNT_3.jpg")</f>
        <v/>
      </c>
      <c r="O89">
        <f>HYPERLINK("imagenes/HALIFAX_WOMENS_119000282_GNT_2.jpg","Ver imagen")</f>
        <v/>
      </c>
      <c r="P89">
        <f>HYPERLINK("imagenes/HALIFAX_WOMENS_119000282_GNT_3.jpg","Ver imagen")</f>
        <v/>
      </c>
    </row>
    <row r="90">
      <c r="A90" t="inlineStr">
        <is>
          <t>HALIFAX WOMENS</t>
        </is>
      </c>
      <c r="B90" t="inlineStr">
        <is>
          <t>119000282</t>
        </is>
      </c>
      <c r="C90" t="inlineStr">
        <is>
          <t>Stretch Wellon Faux Fur Trimmed Jacket CBL:26</t>
        </is>
      </c>
      <c r="D90" t="inlineStr">
        <is>
          <t>GNT</t>
        </is>
      </c>
      <c r="E90" t="inlineStr">
        <is>
          <t>(en blanco)</t>
        </is>
      </c>
      <c r="F90" t="inlineStr">
        <is>
          <t>R2140</t>
        </is>
      </c>
      <c r="G90" t="inlineStr">
        <is>
          <t>S</t>
        </is>
      </c>
      <c r="H90" t="n">
        <v>1</v>
      </c>
      <c r="I90" t="inlineStr">
        <is>
          <t>HALIFAX_WOMENS_119000282_GNT_2.jpg</t>
        </is>
      </c>
      <c r="J90" t="inlineStr">
        <is>
          <t>HALIFAX_WOMENS_119000282_GNT_3.jpg</t>
        </is>
      </c>
      <c r="L90">
        <f>IMAGE("file:///E:/Estudios%20y%20certificaciones/ESTUDIOS%20DE%20PROGRAMMING/PROGRAMMING/PERSONAL/PYTHON/Image_Generator_API/imagenes/HALIFAX_WOMENS_119000282_GNT_2.jpg")</f>
        <v/>
      </c>
      <c r="M90">
        <f>IMAGE("file:///E:/Estudios%20y%20certificaciones/ESTUDIOS%20DE%20PROGRAMMING/PROGRAMMING/PERSONAL/PYTHON/Image_Generator_API/imagenes/HALIFAX_WOMENS_119000282_GNT_3.jpg")</f>
        <v/>
      </c>
      <c r="O90">
        <f>HYPERLINK("imagenes/HALIFAX_WOMENS_119000282_GNT_2.jpg","Ver imagen")</f>
        <v/>
      </c>
      <c r="P90">
        <f>HYPERLINK("imagenes/HALIFAX_WOMENS_119000282_GNT_3.jpg","Ver imagen")</f>
        <v/>
      </c>
    </row>
    <row r="91">
      <c r="A91" t="inlineStr">
        <is>
          <t>HALIFAX WOMENS</t>
        </is>
      </c>
      <c r="B91" t="inlineStr">
        <is>
          <t>119000282</t>
        </is>
      </c>
      <c r="C91" t="inlineStr">
        <is>
          <t>Stretch Wellon Faux Fur Trimmed Jacket CBL:26</t>
        </is>
      </c>
      <c r="D91" t="inlineStr">
        <is>
          <t>GNT</t>
        </is>
      </c>
      <c r="E91" t="inlineStr">
        <is>
          <t>(en blanco)</t>
        </is>
      </c>
      <c r="F91" t="inlineStr">
        <is>
          <t>R2140</t>
        </is>
      </c>
      <c r="G91" t="inlineStr">
        <is>
          <t>M</t>
        </is>
      </c>
      <c r="H91" t="n">
        <v>1</v>
      </c>
      <c r="I91" t="inlineStr">
        <is>
          <t>HALIFAX_WOMENS_119000282_GNT_2.jpg</t>
        </is>
      </c>
      <c r="J91" t="inlineStr">
        <is>
          <t>HALIFAX_WOMENS_119000282_GNT_3.jpg</t>
        </is>
      </c>
      <c r="L91">
        <f>IMAGE("file:///E:/Estudios%20y%20certificaciones/ESTUDIOS%20DE%20PROGRAMMING/PROGRAMMING/PERSONAL/PYTHON/Image_Generator_API/imagenes/HALIFAX_WOMENS_119000282_GNT_2.jpg")</f>
        <v/>
      </c>
      <c r="M91">
        <f>IMAGE("file:///E:/Estudios%20y%20certificaciones/ESTUDIOS%20DE%20PROGRAMMING/PROGRAMMING/PERSONAL/PYTHON/Image_Generator_API/imagenes/HALIFAX_WOMENS_119000282_GNT_3.jpg")</f>
        <v/>
      </c>
      <c r="O91">
        <f>HYPERLINK("imagenes/HALIFAX_WOMENS_119000282_GNT_2.jpg","Ver imagen")</f>
        <v/>
      </c>
      <c r="P91">
        <f>HYPERLINK("imagenes/HALIFAX_WOMENS_119000282_GNT_3.jpg","Ver imagen")</f>
        <v/>
      </c>
    </row>
    <row r="92">
      <c r="A92" t="inlineStr">
        <is>
          <t>HALIFAX WOMENS</t>
        </is>
      </c>
      <c r="B92" t="inlineStr">
        <is>
          <t>119000282</t>
        </is>
      </c>
      <c r="C92" t="inlineStr">
        <is>
          <t>Stretch Wellon Faux Fur Trimmed Jacket CBL:26</t>
        </is>
      </c>
      <c r="D92" t="inlineStr">
        <is>
          <t>GNT</t>
        </is>
      </c>
      <c r="E92" t="inlineStr">
        <is>
          <t>(en blanco)</t>
        </is>
      </c>
      <c r="F92" t="inlineStr">
        <is>
          <t>R2140</t>
        </is>
      </c>
      <c r="G92" t="inlineStr">
        <is>
          <t>L</t>
        </is>
      </c>
      <c r="H92" t="n">
        <v>2</v>
      </c>
      <c r="I92" t="inlineStr">
        <is>
          <t>HALIFAX_WOMENS_119000282_GNT_2.jpg</t>
        </is>
      </c>
      <c r="J92" t="inlineStr">
        <is>
          <t>HALIFAX_WOMENS_119000282_GNT_3.jpg</t>
        </is>
      </c>
      <c r="L92">
        <f>IMAGE("file:///E:/Estudios%20y%20certificaciones/ESTUDIOS%20DE%20PROGRAMMING/PROGRAMMING/PERSONAL/PYTHON/Image_Generator_API/imagenes/HALIFAX_WOMENS_119000282_GNT_2.jpg")</f>
        <v/>
      </c>
      <c r="M92">
        <f>IMAGE("file:///E:/Estudios%20y%20certificaciones/ESTUDIOS%20DE%20PROGRAMMING/PROGRAMMING/PERSONAL/PYTHON/Image_Generator_API/imagenes/HALIFAX_WOMENS_119000282_GNT_3.jpg")</f>
        <v/>
      </c>
      <c r="O92">
        <f>HYPERLINK("imagenes/HALIFAX_WOMENS_119000282_GNT_2.jpg","Ver imagen")</f>
        <v/>
      </c>
      <c r="P92">
        <f>HYPERLINK("imagenes/HALIFAX_WOMENS_119000282_GNT_3.jpg","Ver imagen")</f>
        <v/>
      </c>
    </row>
    <row r="93">
      <c r="A93" t="inlineStr">
        <is>
          <t>HALIFAX WOMENS</t>
        </is>
      </c>
      <c r="B93" t="inlineStr">
        <is>
          <t>119000282</t>
        </is>
      </c>
      <c r="C93" t="inlineStr">
        <is>
          <t>Stretch Wellon Faux Fur Trimmed Jacket CBL:26</t>
        </is>
      </c>
      <c r="D93" t="inlineStr">
        <is>
          <t>GNT</t>
        </is>
      </c>
      <c r="E93" t="inlineStr">
        <is>
          <t>(en blanco)</t>
        </is>
      </c>
      <c r="F93" t="inlineStr">
        <is>
          <t>R2140</t>
        </is>
      </c>
      <c r="G93" t="inlineStr">
        <is>
          <t>XL</t>
        </is>
      </c>
      <c r="H93" t="n">
        <v>1</v>
      </c>
      <c r="I93" t="inlineStr">
        <is>
          <t>HALIFAX_WOMENS_119000282_GNT_2.jpg</t>
        </is>
      </c>
      <c r="J93" t="inlineStr">
        <is>
          <t>HALIFAX_WOMENS_119000282_GNT_3.jpg</t>
        </is>
      </c>
      <c r="L93">
        <f>IMAGE("file:///E:/Estudios%20y%20certificaciones/ESTUDIOS%20DE%20PROGRAMMING/PROGRAMMING/PERSONAL/PYTHON/Image_Generator_API/imagenes/HALIFAX_WOMENS_119000282_GNT_2.jpg")</f>
        <v/>
      </c>
      <c r="M93">
        <f>IMAGE("file:///E:/Estudios%20y%20certificaciones/ESTUDIOS%20DE%20PROGRAMMING/PROGRAMMING/PERSONAL/PYTHON/Image_Generator_API/imagenes/HALIFAX_WOMENS_119000282_GNT_3.jpg")</f>
        <v/>
      </c>
      <c r="O93">
        <f>HYPERLINK("imagenes/HALIFAX_WOMENS_119000282_GNT_2.jpg","Ver imagen")</f>
        <v/>
      </c>
      <c r="P93">
        <f>HYPERLINK("imagenes/HALIFAX_WOMENS_119000282_GNT_3.jpg","Ver imagen")</f>
        <v/>
      </c>
    </row>
    <row r="94">
      <c r="A94" t="inlineStr">
        <is>
          <t>HALIFAX WOMENS</t>
        </is>
      </c>
      <c r="B94" t="inlineStr">
        <is>
          <t>119000282</t>
        </is>
      </c>
      <c r="C94" t="inlineStr">
        <is>
          <t>Stretch Wellon Faux Fur Trimmed Jacket CBL:26</t>
        </is>
      </c>
      <c r="D94" t="inlineStr">
        <is>
          <t>GNT</t>
        </is>
      </c>
      <c r="E94" t="inlineStr">
        <is>
          <t>(en blanco)</t>
        </is>
      </c>
      <c r="F94" t="inlineStr">
        <is>
          <t>(en blanco)</t>
        </is>
      </c>
      <c r="G94" t="inlineStr">
        <is>
          <t>S</t>
        </is>
      </c>
      <c r="H94" t="n">
        <v>22</v>
      </c>
      <c r="I94" t="inlineStr">
        <is>
          <t>HALIFAX_WOMENS_119000282_GNT_2.jpg</t>
        </is>
      </c>
      <c r="J94" t="inlineStr">
        <is>
          <t>HALIFAX_WOMENS_119000282_GNT_3.jpg</t>
        </is>
      </c>
      <c r="L94">
        <f>IMAGE("file:///E:/Estudios%20y%20certificaciones/ESTUDIOS%20DE%20PROGRAMMING/PROGRAMMING/PERSONAL/PYTHON/Image_Generator_API/imagenes/HALIFAX_WOMENS_119000282_GNT_2.jpg")</f>
        <v/>
      </c>
      <c r="M94">
        <f>IMAGE("file:///E:/Estudios%20y%20certificaciones/ESTUDIOS%20DE%20PROGRAMMING/PROGRAMMING/PERSONAL/PYTHON/Image_Generator_API/imagenes/HALIFAX_WOMENS_119000282_GNT_3.jpg")</f>
        <v/>
      </c>
      <c r="O94">
        <f>HYPERLINK("imagenes/HALIFAX_WOMENS_119000282_GNT_2.jpg","Ver imagen")</f>
        <v/>
      </c>
      <c r="P94">
        <f>HYPERLINK("imagenes/HALIFAX_WOMENS_119000282_GNT_3.jpg","Ver imagen")</f>
        <v/>
      </c>
    </row>
    <row r="95">
      <c r="A95" t="inlineStr">
        <is>
          <t>HALIFAX WOMENS</t>
        </is>
      </c>
      <c r="B95" t="inlineStr">
        <is>
          <t>119000282</t>
        </is>
      </c>
      <c r="C95" t="inlineStr">
        <is>
          <t>Stretch Wellon Faux Fur Trimmed Jacket CBL:26</t>
        </is>
      </c>
      <c r="D95" t="inlineStr">
        <is>
          <t>GNT</t>
        </is>
      </c>
      <c r="E95" t="inlineStr">
        <is>
          <t>(en blanco)</t>
        </is>
      </c>
      <c r="F95" t="inlineStr">
        <is>
          <t>(en blanco)</t>
        </is>
      </c>
      <c r="G95" t="inlineStr">
        <is>
          <t>M</t>
        </is>
      </c>
      <c r="H95" t="n">
        <v>63</v>
      </c>
      <c r="I95" t="inlineStr">
        <is>
          <t>HALIFAX_WOMENS_119000282_GNT_2.jpg</t>
        </is>
      </c>
      <c r="J95" t="inlineStr">
        <is>
          <t>HALIFAX_WOMENS_119000282_GNT_3.jpg</t>
        </is>
      </c>
      <c r="L95">
        <f>IMAGE("file:///E:/Estudios%20y%20certificaciones/ESTUDIOS%20DE%20PROGRAMMING/PROGRAMMING/PERSONAL/PYTHON/Image_Generator_API/imagenes/HALIFAX_WOMENS_119000282_GNT_2.jpg")</f>
        <v/>
      </c>
      <c r="M95">
        <f>IMAGE("file:///E:/Estudios%20y%20certificaciones/ESTUDIOS%20DE%20PROGRAMMING/PROGRAMMING/PERSONAL/PYTHON/Image_Generator_API/imagenes/HALIFAX_WOMENS_119000282_GNT_3.jpg")</f>
        <v/>
      </c>
      <c r="O95">
        <f>HYPERLINK("imagenes/HALIFAX_WOMENS_119000282_GNT_2.jpg","Ver imagen")</f>
        <v/>
      </c>
      <c r="P95">
        <f>HYPERLINK("imagenes/HALIFAX_WOMENS_119000282_GNT_3.jpg","Ver imagen")</f>
        <v/>
      </c>
    </row>
    <row r="96">
      <c r="A96" t="inlineStr">
        <is>
          <t>HALIFAX WOMENS</t>
        </is>
      </c>
      <c r="B96" t="inlineStr">
        <is>
          <t>119000282</t>
        </is>
      </c>
      <c r="C96" t="inlineStr">
        <is>
          <t>Stretch Wellon Faux Fur Trimmed Jacket CBL:26</t>
        </is>
      </c>
      <c r="D96" t="inlineStr">
        <is>
          <t>GNT</t>
        </is>
      </c>
      <c r="E96" t="inlineStr">
        <is>
          <t>(en blanco)</t>
        </is>
      </c>
      <c r="F96" t="inlineStr">
        <is>
          <t>(en blanco)</t>
        </is>
      </c>
      <c r="G96" t="inlineStr">
        <is>
          <t>L</t>
        </is>
      </c>
      <c r="H96" t="n">
        <v>31</v>
      </c>
      <c r="I96" t="inlineStr">
        <is>
          <t>HALIFAX_WOMENS_119000282_GNT_2.jpg</t>
        </is>
      </c>
      <c r="J96" t="inlineStr">
        <is>
          <t>HALIFAX_WOMENS_119000282_GNT_3.jpg</t>
        </is>
      </c>
      <c r="L96">
        <f>IMAGE("file:///E:/Estudios%20y%20certificaciones/ESTUDIOS%20DE%20PROGRAMMING/PROGRAMMING/PERSONAL/PYTHON/Image_Generator_API/imagenes/HALIFAX_WOMENS_119000282_GNT_2.jpg")</f>
        <v/>
      </c>
      <c r="M96">
        <f>IMAGE("file:///E:/Estudios%20y%20certificaciones/ESTUDIOS%20DE%20PROGRAMMING/PROGRAMMING/PERSONAL/PYTHON/Image_Generator_API/imagenes/HALIFAX_WOMENS_119000282_GNT_3.jpg")</f>
        <v/>
      </c>
      <c r="O96">
        <f>HYPERLINK("imagenes/HALIFAX_WOMENS_119000282_GNT_2.jpg","Ver imagen")</f>
        <v/>
      </c>
      <c r="P96">
        <f>HYPERLINK("imagenes/HALIFAX_WOMENS_119000282_GNT_3.jpg","Ver imagen")</f>
        <v/>
      </c>
    </row>
    <row r="97">
      <c r="A97" t="inlineStr">
        <is>
          <t>HALIFAX WOMENS</t>
        </is>
      </c>
      <c r="B97" t="inlineStr">
        <is>
          <t>119000282</t>
        </is>
      </c>
      <c r="C97" t="inlineStr">
        <is>
          <t>Stretch Wellon Faux Fur Trimmed Jacket CBL:26</t>
        </is>
      </c>
      <c r="D97" t="inlineStr">
        <is>
          <t>GNT</t>
        </is>
      </c>
      <c r="E97" t="inlineStr">
        <is>
          <t>(en blanco)</t>
        </is>
      </c>
      <c r="F97" t="inlineStr">
        <is>
          <t>(en blanco)</t>
        </is>
      </c>
      <c r="G97" t="inlineStr">
        <is>
          <t>XL</t>
        </is>
      </c>
      <c r="H97" t="n">
        <v>32</v>
      </c>
      <c r="I97" t="inlineStr">
        <is>
          <t>HALIFAX_WOMENS_119000282_GNT_2.jpg</t>
        </is>
      </c>
      <c r="J97" t="inlineStr">
        <is>
          <t>HALIFAX_WOMENS_119000282_GNT_3.jpg</t>
        </is>
      </c>
      <c r="L97">
        <f>IMAGE("file:///E:/Estudios%20y%20certificaciones/ESTUDIOS%20DE%20PROGRAMMING/PROGRAMMING/PERSONAL/PYTHON/Image_Generator_API/imagenes/HALIFAX_WOMENS_119000282_GNT_2.jpg")</f>
        <v/>
      </c>
      <c r="M97">
        <f>IMAGE("file:///E:/Estudios%20y%20certificaciones/ESTUDIOS%20DE%20PROGRAMMING/PROGRAMMING/PERSONAL/PYTHON/Image_Generator_API/imagenes/HALIFAX_WOMENS_119000282_GNT_3.jpg")</f>
        <v/>
      </c>
      <c r="O97">
        <f>HYPERLINK("imagenes/HALIFAX_WOMENS_119000282_GNT_2.jpg","Ver imagen")</f>
        <v/>
      </c>
      <c r="P97">
        <f>HYPERLINK("imagenes/HALIFAX_WOMENS_119000282_GNT_3.jpg","Ver imagen")</f>
        <v/>
      </c>
    </row>
    <row r="98">
      <c r="A98" t="inlineStr">
        <is>
          <t>HALIFAX WOMENS</t>
        </is>
      </c>
      <c r="B98" t="inlineStr">
        <is>
          <t>119000282</t>
        </is>
      </c>
      <c r="C98" t="inlineStr">
        <is>
          <t>Stretch Wellon Faux Fur Trimmed Jacket CBL:26</t>
        </is>
      </c>
      <c r="D98" t="inlineStr">
        <is>
          <t>GNT</t>
        </is>
      </c>
      <c r="E98" t="inlineStr">
        <is>
          <t>(en blanco)</t>
        </is>
      </c>
      <c r="F98" t="inlineStr">
        <is>
          <t>(en blanco)</t>
        </is>
      </c>
      <c r="G98" t="inlineStr">
        <is>
          <t>XXL</t>
        </is>
      </c>
      <c r="H98" t="n">
        <v>14</v>
      </c>
      <c r="I98" t="inlineStr">
        <is>
          <t>HALIFAX_WOMENS_119000282_GNT_2.jpg</t>
        </is>
      </c>
      <c r="J98" t="inlineStr">
        <is>
          <t>HALIFAX_WOMENS_119000282_GNT_3.jpg</t>
        </is>
      </c>
      <c r="L98">
        <f>IMAGE("file:///E:/Estudios%20y%20certificaciones/ESTUDIOS%20DE%20PROGRAMMING/PROGRAMMING/PERSONAL/PYTHON/Image_Generator_API/imagenes/HALIFAX_WOMENS_119000282_GNT_2.jpg")</f>
        <v/>
      </c>
      <c r="M98">
        <f>IMAGE("file:///E:/Estudios%20y%20certificaciones/ESTUDIOS%20DE%20PROGRAMMING/PROGRAMMING/PERSONAL/PYTHON/Image_Generator_API/imagenes/HALIFAX_WOMENS_119000282_GNT_3.jpg")</f>
        <v/>
      </c>
      <c r="O98">
        <f>HYPERLINK("imagenes/HALIFAX_WOMENS_119000282_GNT_2.jpg","Ver imagen")</f>
        <v/>
      </c>
      <c r="P98">
        <f>HYPERLINK("imagenes/HALIFAX_WOMENS_119000282_GNT_3.jpg","Ver imagen")</f>
        <v/>
      </c>
    </row>
    <row r="99">
      <c r="A99" t="inlineStr">
        <is>
          <t>HALIFAX WOMENS</t>
        </is>
      </c>
      <c r="B99" t="inlineStr">
        <is>
          <t>119000282</t>
        </is>
      </c>
      <c r="C99" t="inlineStr">
        <is>
          <t>Stretch Wellon Faux Fur Trimmed Jacket CBL:26</t>
        </is>
      </c>
      <c r="D99" t="inlineStr">
        <is>
          <t>OLI</t>
        </is>
      </c>
      <c r="E99" t="inlineStr">
        <is>
          <t>08A06</t>
        </is>
      </c>
      <c r="F99" t="inlineStr">
        <is>
          <t>B2230</t>
        </is>
      </c>
      <c r="G99" t="inlineStr">
        <is>
          <t>PPK</t>
        </is>
      </c>
      <c r="H99" t="n">
        <v>8</v>
      </c>
      <c r="I99" t="inlineStr">
        <is>
          <t>HALIFAX_WOMENS_119000282_OLI_2.jpg</t>
        </is>
      </c>
      <c r="J99" t="inlineStr">
        <is>
          <t>HALIFAX_WOMENS_119000282_OLI_3.jpg</t>
        </is>
      </c>
      <c r="L99">
        <f>IMAGE("file:///E:/Estudios%20y%20certificaciones/ESTUDIOS%20DE%20PROGRAMMING/PROGRAMMING/PERSONAL/PYTHON/Image_Generator_API/imagenes/HALIFAX_WOMENS_119000282_OLI_2.jpg")</f>
        <v/>
      </c>
      <c r="M99">
        <f>IMAGE("file:///E:/Estudios%20y%20certificaciones/ESTUDIOS%20DE%20PROGRAMMING/PROGRAMMING/PERSONAL/PYTHON/Image_Generator_API/imagenes/HALIFAX_WOMENS_119000282_OLI_3.jpg")</f>
        <v/>
      </c>
      <c r="O99">
        <f>HYPERLINK("imagenes/HALIFAX_WOMENS_119000282_OLI_2.jpg","Ver imagen")</f>
        <v/>
      </c>
      <c r="P99">
        <f>HYPERLINK("imagenes/HALIFAX_WOMENS_119000282_OLI_3.jpg","Ver imagen")</f>
        <v/>
      </c>
    </row>
    <row r="100">
      <c r="A100" t="inlineStr">
        <is>
          <t>HALIFAX WOMENS</t>
        </is>
      </c>
      <c r="B100" t="inlineStr">
        <is>
          <t>119000282</t>
        </is>
      </c>
      <c r="C100" t="inlineStr">
        <is>
          <t>Stretch Wellon Faux Fur Trimmed Jacket CBL:26</t>
        </is>
      </c>
      <c r="D100" t="inlineStr">
        <is>
          <t>OLI</t>
        </is>
      </c>
      <c r="E100" t="inlineStr">
        <is>
          <t>(en blanco)</t>
        </is>
      </c>
      <c r="F100" t="inlineStr">
        <is>
          <t>(en blanco)</t>
        </is>
      </c>
      <c r="G100" t="inlineStr">
        <is>
          <t>S</t>
        </is>
      </c>
      <c r="H100" t="n">
        <v>12</v>
      </c>
      <c r="I100" t="inlineStr">
        <is>
          <t>HALIFAX_WOMENS_119000282_OLI_2.jpg</t>
        </is>
      </c>
      <c r="J100" t="inlineStr">
        <is>
          <t>HALIFAX_WOMENS_119000282_OLI_3.jpg</t>
        </is>
      </c>
      <c r="L100">
        <f>IMAGE("file:///E:/Estudios%20y%20certificaciones/ESTUDIOS%20DE%20PROGRAMMING/PROGRAMMING/PERSONAL/PYTHON/Image_Generator_API/imagenes/HALIFAX_WOMENS_119000282_OLI_2.jpg")</f>
        <v/>
      </c>
      <c r="M100">
        <f>IMAGE("file:///E:/Estudios%20y%20certificaciones/ESTUDIOS%20DE%20PROGRAMMING/PROGRAMMING/PERSONAL/PYTHON/Image_Generator_API/imagenes/HALIFAX_WOMENS_119000282_OLI_3.jpg")</f>
        <v/>
      </c>
      <c r="O100">
        <f>HYPERLINK("imagenes/HALIFAX_WOMENS_119000282_OLI_2.jpg","Ver imagen")</f>
        <v/>
      </c>
      <c r="P100">
        <f>HYPERLINK("imagenes/HALIFAX_WOMENS_119000282_OLI_3.jpg","Ver imagen")</f>
        <v/>
      </c>
    </row>
    <row r="101">
      <c r="A101" t="inlineStr">
        <is>
          <t>HALIFAX WOMENS</t>
        </is>
      </c>
      <c r="B101" t="inlineStr">
        <is>
          <t>119000282</t>
        </is>
      </c>
      <c r="C101" t="inlineStr">
        <is>
          <t>Stretch Wellon Faux Fur Trimmed Jacket CBL:26</t>
        </is>
      </c>
      <c r="D101" t="inlineStr">
        <is>
          <t>OLI</t>
        </is>
      </c>
      <c r="E101" t="inlineStr">
        <is>
          <t>(en blanco)</t>
        </is>
      </c>
      <c r="F101" t="inlineStr">
        <is>
          <t>(en blanco)</t>
        </is>
      </c>
      <c r="G101" t="inlineStr">
        <is>
          <t>M</t>
        </is>
      </c>
      <c r="H101" t="n">
        <v>27</v>
      </c>
      <c r="I101" t="inlineStr">
        <is>
          <t>HALIFAX_WOMENS_119000282_OLI_2.jpg</t>
        </is>
      </c>
      <c r="J101" t="inlineStr">
        <is>
          <t>HALIFAX_WOMENS_119000282_OLI_3.jpg</t>
        </is>
      </c>
      <c r="L101">
        <f>IMAGE("file:///E:/Estudios%20y%20certificaciones/ESTUDIOS%20DE%20PROGRAMMING/PROGRAMMING/PERSONAL/PYTHON/Image_Generator_API/imagenes/HALIFAX_WOMENS_119000282_OLI_2.jpg")</f>
        <v/>
      </c>
      <c r="M101">
        <f>IMAGE("file:///E:/Estudios%20y%20certificaciones/ESTUDIOS%20DE%20PROGRAMMING/PROGRAMMING/PERSONAL/PYTHON/Image_Generator_API/imagenes/HALIFAX_WOMENS_119000282_OLI_3.jpg")</f>
        <v/>
      </c>
      <c r="O101">
        <f>HYPERLINK("imagenes/HALIFAX_WOMENS_119000282_OLI_2.jpg","Ver imagen")</f>
        <v/>
      </c>
      <c r="P101">
        <f>HYPERLINK("imagenes/HALIFAX_WOMENS_119000282_OLI_3.jpg","Ver imagen")</f>
        <v/>
      </c>
    </row>
    <row r="102">
      <c r="A102" t="inlineStr">
        <is>
          <t>HALIFAX WOMENS</t>
        </is>
      </c>
      <c r="B102" t="inlineStr">
        <is>
          <t>119000282</t>
        </is>
      </c>
      <c r="C102" t="inlineStr">
        <is>
          <t>Stretch Wellon Faux Fur Trimmed Jacket CBL:26</t>
        </is>
      </c>
      <c r="D102" t="inlineStr">
        <is>
          <t>OLI</t>
        </is>
      </c>
      <c r="E102" t="inlineStr">
        <is>
          <t>(en blanco)</t>
        </is>
      </c>
      <c r="F102" t="inlineStr">
        <is>
          <t>(en blanco)</t>
        </is>
      </c>
      <c r="G102" t="inlineStr">
        <is>
          <t>L</t>
        </is>
      </c>
      <c r="H102" t="n">
        <v>36</v>
      </c>
      <c r="I102" t="inlineStr">
        <is>
          <t>HALIFAX_WOMENS_119000282_OLI_2.jpg</t>
        </is>
      </c>
      <c r="J102" t="inlineStr">
        <is>
          <t>HALIFAX_WOMENS_119000282_OLI_3.jpg</t>
        </is>
      </c>
      <c r="L102">
        <f>IMAGE("file:///E:/Estudios%20y%20certificaciones/ESTUDIOS%20DE%20PROGRAMMING/PROGRAMMING/PERSONAL/PYTHON/Image_Generator_API/imagenes/HALIFAX_WOMENS_119000282_OLI_2.jpg")</f>
        <v/>
      </c>
      <c r="M102">
        <f>IMAGE("file:///E:/Estudios%20y%20certificaciones/ESTUDIOS%20DE%20PROGRAMMING/PROGRAMMING/PERSONAL/PYTHON/Image_Generator_API/imagenes/HALIFAX_WOMENS_119000282_OLI_3.jpg")</f>
        <v/>
      </c>
      <c r="O102">
        <f>HYPERLINK("imagenes/HALIFAX_WOMENS_119000282_OLI_2.jpg","Ver imagen")</f>
        <v/>
      </c>
      <c r="P102">
        <f>HYPERLINK("imagenes/HALIFAX_WOMENS_119000282_OLI_3.jpg","Ver imagen")</f>
        <v/>
      </c>
    </row>
    <row r="103">
      <c r="A103" t="inlineStr">
        <is>
          <t>HALIFAX WOMENS</t>
        </is>
      </c>
      <c r="B103" t="inlineStr">
        <is>
          <t>119000282</t>
        </is>
      </c>
      <c r="C103" t="inlineStr">
        <is>
          <t>Stretch Wellon Faux Fur Trimmed Jacket CBL:26</t>
        </is>
      </c>
      <c r="D103" t="inlineStr">
        <is>
          <t>OLI</t>
        </is>
      </c>
      <c r="E103" t="inlineStr">
        <is>
          <t>(en blanco)</t>
        </is>
      </c>
      <c r="F103" t="inlineStr">
        <is>
          <t>(en blanco)</t>
        </is>
      </c>
      <c r="G103" t="inlineStr">
        <is>
          <t>XL</t>
        </is>
      </c>
      <c r="H103" t="n">
        <v>35</v>
      </c>
      <c r="I103" t="inlineStr">
        <is>
          <t>HALIFAX_WOMENS_119000282_OLI_2.jpg</t>
        </is>
      </c>
      <c r="J103" t="inlineStr">
        <is>
          <t>HALIFAX_WOMENS_119000282_OLI_3.jpg</t>
        </is>
      </c>
      <c r="L103">
        <f>IMAGE("file:///E:/Estudios%20y%20certificaciones/ESTUDIOS%20DE%20PROGRAMMING/PROGRAMMING/PERSONAL/PYTHON/Image_Generator_API/imagenes/HALIFAX_WOMENS_119000282_OLI_2.jpg")</f>
        <v/>
      </c>
      <c r="M103">
        <f>IMAGE("file:///E:/Estudios%20y%20certificaciones/ESTUDIOS%20DE%20PROGRAMMING/PROGRAMMING/PERSONAL/PYTHON/Image_Generator_API/imagenes/HALIFAX_WOMENS_119000282_OLI_3.jpg")</f>
        <v/>
      </c>
      <c r="O103">
        <f>HYPERLINK("imagenes/HALIFAX_WOMENS_119000282_OLI_2.jpg","Ver imagen")</f>
        <v/>
      </c>
      <c r="P103">
        <f>HYPERLINK("imagenes/HALIFAX_WOMENS_119000282_OLI_3.jpg","Ver imagen")</f>
        <v/>
      </c>
    </row>
    <row r="104">
      <c r="A104" t="inlineStr">
        <is>
          <t>HALIFAX WOMENS</t>
        </is>
      </c>
      <c r="B104" t="inlineStr">
        <is>
          <t>119000282</t>
        </is>
      </c>
      <c r="C104" t="inlineStr">
        <is>
          <t>Stretch Wellon Faux Fur Trimmed Jacket CBL:26</t>
        </is>
      </c>
      <c r="D104" t="inlineStr">
        <is>
          <t>OLI</t>
        </is>
      </c>
      <c r="E104" t="inlineStr">
        <is>
          <t>(en blanco)</t>
        </is>
      </c>
      <c r="F104" t="inlineStr">
        <is>
          <t>(en blanco)</t>
        </is>
      </c>
      <c r="G104" t="inlineStr">
        <is>
          <t>XXL</t>
        </is>
      </c>
      <c r="H104" t="n">
        <v>17</v>
      </c>
      <c r="I104" t="inlineStr">
        <is>
          <t>HALIFAX_WOMENS_119000282_OLI_2.jpg</t>
        </is>
      </c>
      <c r="J104" t="inlineStr">
        <is>
          <t>HALIFAX_WOMENS_119000282_OLI_3.jpg</t>
        </is>
      </c>
      <c r="L104">
        <f>IMAGE("file:///E:/Estudios%20y%20certificaciones/ESTUDIOS%20DE%20PROGRAMMING/PROGRAMMING/PERSONAL/PYTHON/Image_Generator_API/imagenes/HALIFAX_WOMENS_119000282_OLI_2.jpg")</f>
        <v/>
      </c>
      <c r="M104">
        <f>IMAGE("file:///E:/Estudios%20y%20certificaciones/ESTUDIOS%20DE%20PROGRAMMING/PROGRAMMING/PERSONAL/PYTHON/Image_Generator_API/imagenes/HALIFAX_WOMENS_119000282_OLI_3.jpg")</f>
        <v/>
      </c>
      <c r="O104">
        <f>HYPERLINK("imagenes/HALIFAX_WOMENS_119000282_OLI_2.jpg","Ver imagen")</f>
        <v/>
      </c>
      <c r="P104">
        <f>HYPERLINK("imagenes/HALIFAX_WOMENS_119000282_OLI_3.jpg","Ver imagen")</f>
        <v/>
      </c>
    </row>
    <row r="105">
      <c r="A105" t="inlineStr">
        <is>
          <t>HALIFAX WOMENS</t>
        </is>
      </c>
      <c r="B105" t="inlineStr">
        <is>
          <t>119000455</t>
        </is>
      </c>
      <c r="C105" t="inlineStr">
        <is>
          <t>Stretch Wellon Jacket CBL:32</t>
        </is>
      </c>
      <c r="D105" t="inlineStr">
        <is>
          <t>ESP</t>
        </is>
      </c>
      <c r="E105" t="inlineStr">
        <is>
          <t>08A06</t>
        </is>
      </c>
      <c r="F105" t="inlineStr">
        <is>
          <t>(en blanco)</t>
        </is>
      </c>
      <c r="G105" t="inlineStr">
        <is>
          <t>PPK</t>
        </is>
      </c>
      <c r="H105" t="n">
        <v>96</v>
      </c>
      <c r="I105" t="inlineStr">
        <is>
          <t>HALIFAX_WOMENS_119000455_ESP_3.jpg</t>
        </is>
      </c>
      <c r="L105">
        <f>IMAGE("file:///E:/Estudios%20y%20certificaciones/ESTUDIOS%20DE%20PROGRAMMING/PROGRAMMING/PERSONAL/PYTHON/Image_Generator_API/imagenes/HALIFAX_WOMENS_119000455_ESP_3.jpg")</f>
        <v/>
      </c>
      <c r="O105">
        <f>HYPERLINK("imagenes/HALIFAX_WOMENS_119000455_ESP_3.jpg","Ver imagen")</f>
        <v/>
      </c>
    </row>
    <row r="106">
      <c r="A106" t="inlineStr">
        <is>
          <t>HALIFAX WOMENS</t>
        </is>
      </c>
      <c r="B106" t="inlineStr">
        <is>
          <t>119000455</t>
        </is>
      </c>
      <c r="C106" t="inlineStr">
        <is>
          <t>Stretch Wellon Jacket CBL:32</t>
        </is>
      </c>
      <c r="D106" t="inlineStr">
        <is>
          <t>GNT</t>
        </is>
      </c>
      <c r="E106" t="inlineStr">
        <is>
          <t>08A06</t>
        </is>
      </c>
      <c r="F106" t="inlineStr">
        <is>
          <t>(en blanco)</t>
        </is>
      </c>
      <c r="G106" t="inlineStr">
        <is>
          <t>PPK</t>
        </is>
      </c>
      <c r="H106" t="n">
        <v>8</v>
      </c>
      <c r="I106" t="inlineStr">
        <is>
          <t>HALIFAX_WOMENS_119000455_GNT_3.jpg</t>
        </is>
      </c>
      <c r="L106">
        <f>IMAGE("file:///E:/Estudios%20y%20certificaciones/ESTUDIOS%20DE%20PROGRAMMING/PROGRAMMING/PERSONAL/PYTHON/Image_Generator_API/imagenes/HALIFAX_WOMENS_119000455_GNT_3.jpg")</f>
        <v/>
      </c>
      <c r="O106">
        <f>HYPERLINK("imagenes/HALIFAX_WOMENS_119000455_GNT_3.jpg","Ver imagen")</f>
        <v/>
      </c>
    </row>
    <row r="107">
      <c r="A107" t="inlineStr">
        <is>
          <t>HALIFAX WOMENS</t>
        </is>
      </c>
      <c r="B107" t="inlineStr">
        <is>
          <t>119000455</t>
        </is>
      </c>
      <c r="C107" t="inlineStr">
        <is>
          <t>Stretch Wellon Jacket CBL:32</t>
        </is>
      </c>
      <c r="D107" t="inlineStr">
        <is>
          <t>GNT</t>
        </is>
      </c>
      <c r="E107" t="inlineStr">
        <is>
          <t>(en blanco)</t>
        </is>
      </c>
      <c r="F107" t="inlineStr">
        <is>
          <t>(en blanco)</t>
        </is>
      </c>
      <c r="G107" t="inlineStr">
        <is>
          <t>S</t>
        </is>
      </c>
      <c r="H107" t="n">
        <v>3</v>
      </c>
      <c r="I107" t="inlineStr">
        <is>
          <t>HALIFAX_WOMENS_119000455_GNT_3.jpg</t>
        </is>
      </c>
      <c r="L107">
        <f>IMAGE("file:///E:/Estudios%20y%20certificaciones/ESTUDIOS%20DE%20PROGRAMMING/PROGRAMMING/PERSONAL/PYTHON/Image_Generator_API/imagenes/HALIFAX_WOMENS_119000455_GNT_3.jpg")</f>
        <v/>
      </c>
      <c r="O107">
        <f>HYPERLINK("imagenes/HALIFAX_WOMENS_119000455_GNT_3.jpg","Ver imagen")</f>
        <v/>
      </c>
    </row>
    <row r="108">
      <c r="A108" t="inlineStr">
        <is>
          <t>HALIFAX WOMENS</t>
        </is>
      </c>
      <c r="B108" t="inlineStr">
        <is>
          <t>119000455</t>
        </is>
      </c>
      <c r="C108" t="inlineStr">
        <is>
          <t>Stretch Wellon Jacket CBL:32</t>
        </is>
      </c>
      <c r="D108" t="inlineStr">
        <is>
          <t>GNT</t>
        </is>
      </c>
      <c r="E108" t="inlineStr">
        <is>
          <t>(en blanco)</t>
        </is>
      </c>
      <c r="F108" t="inlineStr">
        <is>
          <t>(en blanco)</t>
        </is>
      </c>
      <c r="G108" t="inlineStr">
        <is>
          <t>M</t>
        </is>
      </c>
      <c r="H108" t="n">
        <v>3</v>
      </c>
      <c r="I108" t="inlineStr">
        <is>
          <t>HALIFAX_WOMENS_119000455_GNT_3.jpg</t>
        </is>
      </c>
      <c r="L108">
        <f>IMAGE("file:///E:/Estudios%20y%20certificaciones/ESTUDIOS%20DE%20PROGRAMMING/PROGRAMMING/PERSONAL/PYTHON/Image_Generator_API/imagenes/HALIFAX_WOMENS_119000455_GNT_3.jpg")</f>
        <v/>
      </c>
      <c r="O108">
        <f>HYPERLINK("imagenes/HALIFAX_WOMENS_119000455_GNT_3.jpg","Ver imagen")</f>
        <v/>
      </c>
    </row>
    <row r="109">
      <c r="A109" t="inlineStr">
        <is>
          <t>HALIFAX WOMENS</t>
        </is>
      </c>
      <c r="B109" t="inlineStr">
        <is>
          <t>119000455</t>
        </is>
      </c>
      <c r="C109" t="inlineStr">
        <is>
          <t>Stretch Wellon Jacket CBL:32</t>
        </is>
      </c>
      <c r="D109" t="inlineStr">
        <is>
          <t>GNT</t>
        </is>
      </c>
      <c r="E109" t="inlineStr">
        <is>
          <t>(en blanco)</t>
        </is>
      </c>
      <c r="F109" t="inlineStr">
        <is>
          <t>(en blanco)</t>
        </is>
      </c>
      <c r="G109" t="inlineStr">
        <is>
          <t>L</t>
        </is>
      </c>
      <c r="H109" t="n">
        <v>0</v>
      </c>
      <c r="I109" t="inlineStr">
        <is>
          <t>HALIFAX_WOMENS_119000455_GNT_3.jpg</t>
        </is>
      </c>
      <c r="L109">
        <f>IMAGE("file:///E:/Estudios%20y%20certificaciones/ESTUDIOS%20DE%20PROGRAMMING/PROGRAMMING/PERSONAL/PYTHON/Image_Generator_API/imagenes/HALIFAX_WOMENS_119000455_GNT_3.jpg")</f>
        <v/>
      </c>
      <c r="O109">
        <f>HYPERLINK("imagenes/HALIFAX_WOMENS_119000455_GNT_3.jpg","Ver imagen")</f>
        <v/>
      </c>
    </row>
    <row r="110">
      <c r="A110" t="inlineStr">
        <is>
          <t>HALIFAX WOMENS</t>
        </is>
      </c>
      <c r="B110" t="inlineStr">
        <is>
          <t>119000455</t>
        </is>
      </c>
      <c r="C110" t="inlineStr">
        <is>
          <t>Stretch Wellon Jacket CBL:32</t>
        </is>
      </c>
      <c r="D110" t="inlineStr">
        <is>
          <t>GNT</t>
        </is>
      </c>
      <c r="E110" t="inlineStr">
        <is>
          <t>(en blanco)</t>
        </is>
      </c>
      <c r="F110" t="inlineStr">
        <is>
          <t>(en blanco)</t>
        </is>
      </c>
      <c r="G110" t="inlineStr">
        <is>
          <t>XL</t>
        </is>
      </c>
      <c r="H110" t="n">
        <v>1</v>
      </c>
      <c r="I110" t="inlineStr">
        <is>
          <t>HALIFAX_WOMENS_119000455_GNT_3.jpg</t>
        </is>
      </c>
      <c r="L110">
        <f>IMAGE("file:///E:/Estudios%20y%20certificaciones/ESTUDIOS%20DE%20PROGRAMMING/PROGRAMMING/PERSONAL/PYTHON/Image_Generator_API/imagenes/HALIFAX_WOMENS_119000455_GNT_3.jpg")</f>
        <v/>
      </c>
      <c r="O110">
        <f>HYPERLINK("imagenes/HALIFAX_WOMENS_119000455_GNT_3.jpg","Ver imagen")</f>
        <v/>
      </c>
    </row>
    <row r="111">
      <c r="A111" t="inlineStr">
        <is>
          <t>HALIFAX WOMENS</t>
        </is>
      </c>
      <c r="B111" t="inlineStr">
        <is>
          <t>119000599</t>
        </is>
      </c>
      <c r="C111" t="inlineStr">
        <is>
          <t>Softshell B/T Mellowpile Anorak Jacket CBL:31</t>
        </is>
      </c>
      <c r="D111" t="inlineStr">
        <is>
          <t>B24</t>
        </is>
      </c>
      <c r="E111" t="inlineStr">
        <is>
          <t>(en blanco)</t>
        </is>
      </c>
      <c r="F111" t="inlineStr">
        <is>
          <t>D2C</t>
        </is>
      </c>
      <c r="G111" t="inlineStr">
        <is>
          <t>S</t>
        </is>
      </c>
      <c r="H111" t="n">
        <v>54</v>
      </c>
      <c r="I111" t="inlineStr">
        <is>
          <t>HALIFAX_WOMENS_119000599_B24_1.jpg</t>
        </is>
      </c>
      <c r="J111" t="inlineStr">
        <is>
          <t>HALIFAX_WOMENS_119000599_B24_2.jpg</t>
        </is>
      </c>
      <c r="K111" t="inlineStr">
        <is>
          <t>HALIFAX_WOMENS_119000599_B24_3.jpg</t>
        </is>
      </c>
      <c r="L111">
        <f>IMAGE("file:///E:/Estudios%20y%20certificaciones/ESTUDIOS%20DE%20PROGRAMMING/PROGRAMMING/PERSONAL/PYTHON/Image_Generator_API/imagenes/HALIFAX_WOMENS_119000599_B24_1.jpg")</f>
        <v/>
      </c>
      <c r="M111">
        <f>IMAGE("file:///E:/Estudios%20y%20certificaciones/ESTUDIOS%20DE%20PROGRAMMING/PROGRAMMING/PERSONAL/PYTHON/Image_Generator_API/imagenes/HALIFAX_WOMENS_119000599_B24_2.jpg")</f>
        <v/>
      </c>
      <c r="N111">
        <f>IMAGE("file:///E:/Estudios%20y%20certificaciones/ESTUDIOS%20DE%20PROGRAMMING/PROGRAMMING/PERSONAL/PYTHON/Image_Generator_API/imagenes/HALIFAX_WOMENS_119000599_B24_3.jpg")</f>
        <v/>
      </c>
      <c r="O111">
        <f>HYPERLINK("imagenes/HALIFAX_WOMENS_119000599_B24_1.jpg","Ver imagen")</f>
        <v/>
      </c>
      <c r="P111">
        <f>HYPERLINK("imagenes/HALIFAX_WOMENS_119000599_B24_2.jpg","Ver imagen")</f>
        <v/>
      </c>
      <c r="Q111">
        <f>HYPERLINK("imagenes/HALIFAX_WOMENS_119000599_B24_3.jpg","Ver imagen")</f>
        <v/>
      </c>
    </row>
    <row r="112">
      <c r="A112" t="inlineStr">
        <is>
          <t>HALIFAX WOMENS</t>
        </is>
      </c>
      <c r="B112" t="inlineStr">
        <is>
          <t>119000599</t>
        </is>
      </c>
      <c r="C112" t="inlineStr">
        <is>
          <t>Softshell B/T Mellowpile Anorak Jacket CBL:31</t>
        </is>
      </c>
      <c r="D112" t="inlineStr">
        <is>
          <t>B24</t>
        </is>
      </c>
      <c r="E112" t="inlineStr">
        <is>
          <t>(en blanco)</t>
        </is>
      </c>
      <c r="F112" t="inlineStr">
        <is>
          <t>D2C</t>
        </is>
      </c>
      <c r="G112" t="inlineStr">
        <is>
          <t>M</t>
        </is>
      </c>
      <c r="H112" t="n">
        <v>93</v>
      </c>
      <c r="I112" t="inlineStr">
        <is>
          <t>HALIFAX_WOMENS_119000599_B24_1.jpg</t>
        </is>
      </c>
      <c r="J112" t="inlineStr">
        <is>
          <t>HALIFAX_WOMENS_119000599_B24_2.jpg</t>
        </is>
      </c>
      <c r="K112" t="inlineStr">
        <is>
          <t>HALIFAX_WOMENS_119000599_B24_3.jpg</t>
        </is>
      </c>
      <c r="L112">
        <f>IMAGE("file:///E:/Estudios%20y%20certificaciones/ESTUDIOS%20DE%20PROGRAMMING/PROGRAMMING/PERSONAL/PYTHON/Image_Generator_API/imagenes/HALIFAX_WOMENS_119000599_B24_1.jpg")</f>
        <v/>
      </c>
      <c r="M112">
        <f>IMAGE("file:///E:/Estudios%20y%20certificaciones/ESTUDIOS%20DE%20PROGRAMMING/PROGRAMMING/PERSONAL/PYTHON/Image_Generator_API/imagenes/HALIFAX_WOMENS_119000599_B24_2.jpg")</f>
        <v/>
      </c>
      <c r="N112">
        <f>IMAGE("file:///E:/Estudios%20y%20certificaciones/ESTUDIOS%20DE%20PROGRAMMING/PROGRAMMING/PERSONAL/PYTHON/Image_Generator_API/imagenes/HALIFAX_WOMENS_119000599_B24_3.jpg")</f>
        <v/>
      </c>
      <c r="O112">
        <f>HYPERLINK("imagenes/HALIFAX_WOMENS_119000599_B24_1.jpg","Ver imagen")</f>
        <v/>
      </c>
      <c r="P112">
        <f>HYPERLINK("imagenes/HALIFAX_WOMENS_119000599_B24_2.jpg","Ver imagen")</f>
        <v/>
      </c>
      <c r="Q112">
        <f>HYPERLINK("imagenes/HALIFAX_WOMENS_119000599_B24_3.jpg","Ver imagen")</f>
        <v/>
      </c>
    </row>
    <row r="113">
      <c r="A113" t="inlineStr">
        <is>
          <t>HALIFAX WOMENS</t>
        </is>
      </c>
      <c r="B113" t="inlineStr">
        <is>
          <t>119000599</t>
        </is>
      </c>
      <c r="C113" t="inlineStr">
        <is>
          <t>Softshell B/T Mellowpile Anorak Jacket CBL:31</t>
        </is>
      </c>
      <c r="D113" t="inlineStr">
        <is>
          <t>B24</t>
        </is>
      </c>
      <c r="E113" t="inlineStr">
        <is>
          <t>(en blanco)</t>
        </is>
      </c>
      <c r="F113" t="inlineStr">
        <is>
          <t>D2C</t>
        </is>
      </c>
      <c r="G113" t="inlineStr">
        <is>
          <t>L</t>
        </is>
      </c>
      <c r="H113" t="n">
        <v>88</v>
      </c>
      <c r="I113" t="inlineStr">
        <is>
          <t>HALIFAX_WOMENS_119000599_B24_1.jpg</t>
        </is>
      </c>
      <c r="J113" t="inlineStr">
        <is>
          <t>HALIFAX_WOMENS_119000599_B24_2.jpg</t>
        </is>
      </c>
      <c r="K113" t="inlineStr">
        <is>
          <t>HALIFAX_WOMENS_119000599_B24_3.jpg</t>
        </is>
      </c>
      <c r="L113">
        <f>IMAGE("file:///E:/Estudios%20y%20certificaciones/ESTUDIOS%20DE%20PROGRAMMING/PROGRAMMING/PERSONAL/PYTHON/Image_Generator_API/imagenes/HALIFAX_WOMENS_119000599_B24_1.jpg")</f>
        <v/>
      </c>
      <c r="M113">
        <f>IMAGE("file:///E:/Estudios%20y%20certificaciones/ESTUDIOS%20DE%20PROGRAMMING/PROGRAMMING/PERSONAL/PYTHON/Image_Generator_API/imagenes/HALIFAX_WOMENS_119000599_B24_2.jpg")</f>
        <v/>
      </c>
      <c r="N113">
        <f>IMAGE("file:///E:/Estudios%20y%20certificaciones/ESTUDIOS%20DE%20PROGRAMMING/PROGRAMMING/PERSONAL/PYTHON/Image_Generator_API/imagenes/HALIFAX_WOMENS_119000599_B24_3.jpg")</f>
        <v/>
      </c>
      <c r="O113">
        <f>HYPERLINK("imagenes/HALIFAX_WOMENS_119000599_B24_1.jpg","Ver imagen")</f>
        <v/>
      </c>
      <c r="P113">
        <f>HYPERLINK("imagenes/HALIFAX_WOMENS_119000599_B24_2.jpg","Ver imagen")</f>
        <v/>
      </c>
      <c r="Q113">
        <f>HYPERLINK("imagenes/HALIFAX_WOMENS_119000599_B24_3.jpg","Ver imagen")</f>
        <v/>
      </c>
    </row>
    <row r="114">
      <c r="A114" t="inlineStr">
        <is>
          <t>HALIFAX WOMENS</t>
        </is>
      </c>
      <c r="B114" t="inlineStr">
        <is>
          <t>119000599</t>
        </is>
      </c>
      <c r="C114" t="inlineStr">
        <is>
          <t>Softshell B/T Mellowpile Anorak Jacket CBL:31</t>
        </is>
      </c>
      <c r="D114" t="inlineStr">
        <is>
          <t>B24</t>
        </is>
      </c>
      <c r="E114" t="inlineStr">
        <is>
          <t>(en blanco)</t>
        </is>
      </c>
      <c r="F114" t="inlineStr">
        <is>
          <t>D2C</t>
        </is>
      </c>
      <c r="G114" t="inlineStr">
        <is>
          <t>XL</t>
        </is>
      </c>
      <c r="H114" t="n">
        <v>58</v>
      </c>
      <c r="I114" t="inlineStr">
        <is>
          <t>HALIFAX_WOMENS_119000599_B24_1.jpg</t>
        </is>
      </c>
      <c r="J114" t="inlineStr">
        <is>
          <t>HALIFAX_WOMENS_119000599_B24_2.jpg</t>
        </is>
      </c>
      <c r="K114" t="inlineStr">
        <is>
          <t>HALIFAX_WOMENS_119000599_B24_3.jpg</t>
        </is>
      </c>
      <c r="L114">
        <f>IMAGE("file:///E:/Estudios%20y%20certificaciones/ESTUDIOS%20DE%20PROGRAMMING/PROGRAMMING/PERSONAL/PYTHON/Image_Generator_API/imagenes/HALIFAX_WOMENS_119000599_B24_1.jpg")</f>
        <v/>
      </c>
      <c r="M114">
        <f>IMAGE("file:///E:/Estudios%20y%20certificaciones/ESTUDIOS%20DE%20PROGRAMMING/PROGRAMMING/PERSONAL/PYTHON/Image_Generator_API/imagenes/HALIFAX_WOMENS_119000599_B24_2.jpg")</f>
        <v/>
      </c>
      <c r="N114">
        <f>IMAGE("file:///E:/Estudios%20y%20certificaciones/ESTUDIOS%20DE%20PROGRAMMING/PROGRAMMING/PERSONAL/PYTHON/Image_Generator_API/imagenes/HALIFAX_WOMENS_119000599_B24_3.jpg")</f>
        <v/>
      </c>
      <c r="O114">
        <f>HYPERLINK("imagenes/HALIFAX_WOMENS_119000599_B24_1.jpg","Ver imagen")</f>
        <v/>
      </c>
      <c r="P114">
        <f>HYPERLINK("imagenes/HALIFAX_WOMENS_119000599_B24_2.jpg","Ver imagen")</f>
        <v/>
      </c>
      <c r="Q114">
        <f>HYPERLINK("imagenes/HALIFAX_WOMENS_119000599_B24_3.jpg","Ver imagen")</f>
        <v/>
      </c>
    </row>
    <row r="115">
      <c r="A115" t="inlineStr">
        <is>
          <t>HALIFAX WOMENS</t>
        </is>
      </c>
      <c r="B115" t="inlineStr">
        <is>
          <t>119000599</t>
        </is>
      </c>
      <c r="C115" t="inlineStr">
        <is>
          <t>Softshell B/T Mellowpile Anorak Jacket CBL:31</t>
        </is>
      </c>
      <c r="D115" t="inlineStr">
        <is>
          <t>B24</t>
        </is>
      </c>
      <c r="E115" t="inlineStr">
        <is>
          <t>(en blanco)</t>
        </is>
      </c>
      <c r="F115" t="inlineStr">
        <is>
          <t>D2C</t>
        </is>
      </c>
      <c r="G115" t="inlineStr">
        <is>
          <t>XXL</t>
        </is>
      </c>
      <c r="H115" t="n">
        <v>26</v>
      </c>
      <c r="I115" t="inlineStr">
        <is>
          <t>HALIFAX_WOMENS_119000599_B24_1.jpg</t>
        </is>
      </c>
      <c r="J115" t="inlineStr">
        <is>
          <t>HALIFAX_WOMENS_119000599_B24_2.jpg</t>
        </is>
      </c>
      <c r="K115" t="inlineStr">
        <is>
          <t>HALIFAX_WOMENS_119000599_B24_3.jpg</t>
        </is>
      </c>
      <c r="L115">
        <f>IMAGE("file:///E:/Estudios%20y%20certificaciones/ESTUDIOS%20DE%20PROGRAMMING/PROGRAMMING/PERSONAL/PYTHON/Image_Generator_API/imagenes/HALIFAX_WOMENS_119000599_B24_1.jpg")</f>
        <v/>
      </c>
      <c r="M115">
        <f>IMAGE("file:///E:/Estudios%20y%20certificaciones/ESTUDIOS%20DE%20PROGRAMMING/PROGRAMMING/PERSONAL/PYTHON/Image_Generator_API/imagenes/HALIFAX_WOMENS_119000599_B24_2.jpg")</f>
        <v/>
      </c>
      <c r="N115">
        <f>IMAGE("file:///E:/Estudios%20y%20certificaciones/ESTUDIOS%20DE%20PROGRAMMING/PROGRAMMING/PERSONAL/PYTHON/Image_Generator_API/imagenes/HALIFAX_WOMENS_119000599_B24_3.jpg")</f>
        <v/>
      </c>
      <c r="O115">
        <f>HYPERLINK("imagenes/HALIFAX_WOMENS_119000599_B24_1.jpg","Ver imagen")</f>
        <v/>
      </c>
      <c r="P115">
        <f>HYPERLINK("imagenes/HALIFAX_WOMENS_119000599_B24_2.jpg","Ver imagen")</f>
        <v/>
      </c>
      <c r="Q115">
        <f>HYPERLINK("imagenes/HALIFAX_WOMENS_119000599_B24_3.jpg","Ver imagen")</f>
        <v/>
      </c>
    </row>
    <row r="116">
      <c r="A116" t="inlineStr">
        <is>
          <t>HALIFAX WOMENS</t>
        </is>
      </c>
      <c r="B116" t="inlineStr">
        <is>
          <t>119000599</t>
        </is>
      </c>
      <c r="C116" t="inlineStr">
        <is>
          <t>Softshell B/T Mellowpile Anorak Jacket CBL:31</t>
        </is>
      </c>
      <c r="D116" t="inlineStr">
        <is>
          <t>B24</t>
        </is>
      </c>
      <c r="E116" t="inlineStr">
        <is>
          <t>(en blanco)</t>
        </is>
      </c>
      <c r="F116" t="inlineStr">
        <is>
          <t>(en blanco)</t>
        </is>
      </c>
      <c r="G116" t="inlineStr">
        <is>
          <t>L</t>
        </is>
      </c>
      <c r="H116" t="n">
        <v>6</v>
      </c>
      <c r="I116" t="inlineStr">
        <is>
          <t>HALIFAX_WOMENS_119000599_B24_1.jpg</t>
        </is>
      </c>
      <c r="J116" t="inlineStr">
        <is>
          <t>HALIFAX_WOMENS_119000599_B24_2.jpg</t>
        </is>
      </c>
      <c r="K116" t="inlineStr">
        <is>
          <t>HALIFAX_WOMENS_119000599_B24_3.jpg</t>
        </is>
      </c>
      <c r="L116">
        <f>IMAGE("file:///E:/Estudios%20y%20certificaciones/ESTUDIOS%20DE%20PROGRAMMING/PROGRAMMING/PERSONAL/PYTHON/Image_Generator_API/imagenes/HALIFAX_WOMENS_119000599_B24_1.jpg")</f>
        <v/>
      </c>
      <c r="M116">
        <f>IMAGE("file:///E:/Estudios%20y%20certificaciones/ESTUDIOS%20DE%20PROGRAMMING/PROGRAMMING/PERSONAL/PYTHON/Image_Generator_API/imagenes/HALIFAX_WOMENS_119000599_B24_2.jpg")</f>
        <v/>
      </c>
      <c r="N116">
        <f>IMAGE("file:///E:/Estudios%20y%20certificaciones/ESTUDIOS%20DE%20PROGRAMMING/PROGRAMMING/PERSONAL/PYTHON/Image_Generator_API/imagenes/HALIFAX_WOMENS_119000599_B24_3.jpg")</f>
        <v/>
      </c>
      <c r="O116">
        <f>HYPERLINK("imagenes/HALIFAX_WOMENS_119000599_B24_1.jpg","Ver imagen")</f>
        <v/>
      </c>
      <c r="P116">
        <f>HYPERLINK("imagenes/HALIFAX_WOMENS_119000599_B24_2.jpg","Ver imagen")</f>
        <v/>
      </c>
      <c r="Q116">
        <f>HYPERLINK("imagenes/HALIFAX_WOMENS_119000599_B24_3.jpg","Ver imagen")</f>
        <v/>
      </c>
    </row>
    <row r="117">
      <c r="A117" t="inlineStr">
        <is>
          <t>HALIFAX WOMENS</t>
        </is>
      </c>
      <c r="B117" t="inlineStr">
        <is>
          <t>119000599</t>
        </is>
      </c>
      <c r="C117" t="inlineStr">
        <is>
          <t>Softshell B/T Mellowpile Anorak Jacket CBL:31</t>
        </is>
      </c>
      <c r="D117" t="inlineStr">
        <is>
          <t>B24</t>
        </is>
      </c>
      <c r="E117" t="inlineStr">
        <is>
          <t>(en blanco)</t>
        </is>
      </c>
      <c r="F117" t="inlineStr">
        <is>
          <t>(en blanco)</t>
        </is>
      </c>
      <c r="G117" t="inlineStr">
        <is>
          <t>XXL</t>
        </is>
      </c>
      <c r="H117" t="n">
        <v>1</v>
      </c>
      <c r="I117" t="inlineStr">
        <is>
          <t>HALIFAX_WOMENS_119000599_B24_1.jpg</t>
        </is>
      </c>
      <c r="J117" t="inlineStr">
        <is>
          <t>HALIFAX_WOMENS_119000599_B24_2.jpg</t>
        </is>
      </c>
      <c r="K117" t="inlineStr">
        <is>
          <t>HALIFAX_WOMENS_119000599_B24_3.jpg</t>
        </is>
      </c>
      <c r="L117">
        <f>IMAGE("file:///E:/Estudios%20y%20certificaciones/ESTUDIOS%20DE%20PROGRAMMING/PROGRAMMING/PERSONAL/PYTHON/Image_Generator_API/imagenes/HALIFAX_WOMENS_119000599_B24_1.jpg")</f>
        <v/>
      </c>
      <c r="M117">
        <f>IMAGE("file:///E:/Estudios%20y%20certificaciones/ESTUDIOS%20DE%20PROGRAMMING/PROGRAMMING/PERSONAL/PYTHON/Image_Generator_API/imagenes/HALIFAX_WOMENS_119000599_B24_2.jpg")</f>
        <v/>
      </c>
      <c r="N117">
        <f>IMAGE("file:///E:/Estudios%20y%20certificaciones/ESTUDIOS%20DE%20PROGRAMMING/PROGRAMMING/PERSONAL/PYTHON/Image_Generator_API/imagenes/HALIFAX_WOMENS_119000599_B24_3.jpg")</f>
        <v/>
      </c>
      <c r="O117">
        <f>HYPERLINK("imagenes/HALIFAX_WOMENS_119000599_B24_1.jpg","Ver imagen")</f>
        <v/>
      </c>
      <c r="P117">
        <f>HYPERLINK("imagenes/HALIFAX_WOMENS_119000599_B24_2.jpg","Ver imagen")</f>
        <v/>
      </c>
      <c r="Q117">
        <f>HYPERLINK("imagenes/HALIFAX_WOMENS_119000599_B24_3.jpg","Ver imagen")</f>
        <v/>
      </c>
    </row>
    <row r="118">
      <c r="A118" t="inlineStr">
        <is>
          <t>HALIFAX WOMENS</t>
        </is>
      </c>
      <c r="B118" t="inlineStr">
        <is>
          <t>119000599</t>
        </is>
      </c>
      <c r="C118" t="inlineStr">
        <is>
          <t>Softshell B/T Mellowpile Anorak Jacket CBL:31</t>
        </is>
      </c>
      <c r="D118" t="inlineStr">
        <is>
          <t>BLK</t>
        </is>
      </c>
      <c r="E118" t="inlineStr">
        <is>
          <t>06A01</t>
        </is>
      </c>
      <c r="F118" t="inlineStr">
        <is>
          <t>(en blanco)</t>
        </is>
      </c>
      <c r="G118" t="inlineStr">
        <is>
          <t>PPK</t>
        </is>
      </c>
      <c r="H118" t="n">
        <v>0</v>
      </c>
      <c r="I118" t="inlineStr">
        <is>
          <t>HALIFAX_WOMENS_119000599_BLK_1.jpg</t>
        </is>
      </c>
      <c r="J118" t="inlineStr">
        <is>
          <t>HALIFAX_WOMENS_119000599_BLK_2.jpg</t>
        </is>
      </c>
      <c r="K118" t="inlineStr">
        <is>
          <t>HALIFAX_WOMENS_119000599_BLK_3.jpg</t>
        </is>
      </c>
      <c r="L118">
        <f>IMAGE("file:///E:/Estudios%20y%20certificaciones/ESTUDIOS%20DE%20PROGRAMMING/PROGRAMMING/PERSONAL/PYTHON/Image_Generator_API/imagenes/HALIFAX_WOMENS_119000599_BLK_1.jpg")</f>
        <v/>
      </c>
      <c r="M118">
        <f>IMAGE("file:///E:/Estudios%20y%20certificaciones/ESTUDIOS%20DE%20PROGRAMMING/PROGRAMMING/PERSONAL/PYTHON/Image_Generator_API/imagenes/HALIFAX_WOMENS_119000599_BLK_2.jpg")</f>
        <v/>
      </c>
      <c r="N118">
        <f>IMAGE("file:///E:/Estudios%20y%20certificaciones/ESTUDIOS%20DE%20PROGRAMMING/PROGRAMMING/PERSONAL/PYTHON/Image_Generator_API/imagenes/HALIFAX_WOMENS_119000599_BLK_3.jpg")</f>
        <v/>
      </c>
      <c r="O118">
        <f>HYPERLINK("imagenes/HALIFAX_WOMENS_119000599_BLK_1.jpg","Ver imagen")</f>
        <v/>
      </c>
      <c r="P118">
        <f>HYPERLINK("imagenes/HALIFAX_WOMENS_119000599_BLK_2.jpg","Ver imagen")</f>
        <v/>
      </c>
      <c r="Q118">
        <f>HYPERLINK("imagenes/HALIFAX_WOMENS_119000599_BLK_3.jpg","Ver imagen")</f>
        <v/>
      </c>
    </row>
    <row r="119">
      <c r="A119" t="inlineStr">
        <is>
          <t>HALIFAX WOMENS</t>
        </is>
      </c>
      <c r="B119" t="inlineStr">
        <is>
          <t>119000599</t>
        </is>
      </c>
      <c r="C119" t="inlineStr">
        <is>
          <t>Softshell B/T Mellowpile Anorak Jacket CBL:31</t>
        </is>
      </c>
      <c r="D119" t="inlineStr">
        <is>
          <t>BLK</t>
        </is>
      </c>
      <c r="E119" t="inlineStr">
        <is>
          <t>(en blanco)</t>
        </is>
      </c>
      <c r="F119" t="inlineStr">
        <is>
          <t>D2C</t>
        </is>
      </c>
      <c r="G119" t="inlineStr">
        <is>
          <t>S</t>
        </is>
      </c>
      <c r="H119" t="n">
        <v>105</v>
      </c>
      <c r="I119" t="inlineStr">
        <is>
          <t>HALIFAX_WOMENS_119000599_BLK_1.jpg</t>
        </is>
      </c>
      <c r="J119" t="inlineStr">
        <is>
          <t>HALIFAX_WOMENS_119000599_BLK_2.jpg</t>
        </is>
      </c>
      <c r="K119" t="inlineStr">
        <is>
          <t>HALIFAX_WOMENS_119000599_BLK_3.jpg</t>
        </is>
      </c>
      <c r="L119">
        <f>IMAGE("file:///E:/Estudios%20y%20certificaciones/ESTUDIOS%20DE%20PROGRAMMING/PROGRAMMING/PERSONAL/PYTHON/Image_Generator_API/imagenes/HALIFAX_WOMENS_119000599_BLK_1.jpg")</f>
        <v/>
      </c>
      <c r="M119">
        <f>IMAGE("file:///E:/Estudios%20y%20certificaciones/ESTUDIOS%20DE%20PROGRAMMING/PROGRAMMING/PERSONAL/PYTHON/Image_Generator_API/imagenes/HALIFAX_WOMENS_119000599_BLK_2.jpg")</f>
        <v/>
      </c>
      <c r="N119">
        <f>IMAGE("file:///E:/Estudios%20y%20certificaciones/ESTUDIOS%20DE%20PROGRAMMING/PROGRAMMING/PERSONAL/PYTHON/Image_Generator_API/imagenes/HALIFAX_WOMENS_119000599_BLK_3.jpg")</f>
        <v/>
      </c>
      <c r="O119">
        <f>HYPERLINK("imagenes/HALIFAX_WOMENS_119000599_BLK_1.jpg","Ver imagen")</f>
        <v/>
      </c>
      <c r="P119">
        <f>HYPERLINK("imagenes/HALIFAX_WOMENS_119000599_BLK_2.jpg","Ver imagen")</f>
        <v/>
      </c>
      <c r="Q119">
        <f>HYPERLINK("imagenes/HALIFAX_WOMENS_119000599_BLK_3.jpg","Ver imagen")</f>
        <v/>
      </c>
    </row>
    <row r="120">
      <c r="A120" t="inlineStr">
        <is>
          <t>HALIFAX WOMENS</t>
        </is>
      </c>
      <c r="B120" t="inlineStr">
        <is>
          <t>119000599</t>
        </is>
      </c>
      <c r="C120" t="inlineStr">
        <is>
          <t>Softshell B/T Mellowpile Anorak Jacket CBL:31</t>
        </is>
      </c>
      <c r="D120" t="inlineStr">
        <is>
          <t>BLK</t>
        </is>
      </c>
      <c r="E120" t="inlineStr">
        <is>
          <t>(en blanco)</t>
        </is>
      </c>
      <c r="F120" t="inlineStr">
        <is>
          <t>D2C</t>
        </is>
      </c>
      <c r="G120" t="inlineStr">
        <is>
          <t>M</t>
        </is>
      </c>
      <c r="H120" t="n">
        <v>155</v>
      </c>
      <c r="I120" t="inlineStr">
        <is>
          <t>HALIFAX_WOMENS_119000599_BLK_1.jpg</t>
        </is>
      </c>
      <c r="J120" t="inlineStr">
        <is>
          <t>HALIFAX_WOMENS_119000599_BLK_2.jpg</t>
        </is>
      </c>
      <c r="K120" t="inlineStr">
        <is>
          <t>HALIFAX_WOMENS_119000599_BLK_3.jpg</t>
        </is>
      </c>
      <c r="L120">
        <f>IMAGE("file:///E:/Estudios%20y%20certificaciones/ESTUDIOS%20DE%20PROGRAMMING/PROGRAMMING/PERSONAL/PYTHON/Image_Generator_API/imagenes/HALIFAX_WOMENS_119000599_BLK_1.jpg")</f>
        <v/>
      </c>
      <c r="M120">
        <f>IMAGE("file:///E:/Estudios%20y%20certificaciones/ESTUDIOS%20DE%20PROGRAMMING/PROGRAMMING/PERSONAL/PYTHON/Image_Generator_API/imagenes/HALIFAX_WOMENS_119000599_BLK_2.jpg")</f>
        <v/>
      </c>
      <c r="N120">
        <f>IMAGE("file:///E:/Estudios%20y%20certificaciones/ESTUDIOS%20DE%20PROGRAMMING/PROGRAMMING/PERSONAL/PYTHON/Image_Generator_API/imagenes/HALIFAX_WOMENS_119000599_BLK_3.jpg")</f>
        <v/>
      </c>
      <c r="O120">
        <f>HYPERLINK("imagenes/HALIFAX_WOMENS_119000599_BLK_1.jpg","Ver imagen")</f>
        <v/>
      </c>
      <c r="P120">
        <f>HYPERLINK("imagenes/HALIFAX_WOMENS_119000599_BLK_2.jpg","Ver imagen")</f>
        <v/>
      </c>
      <c r="Q120">
        <f>HYPERLINK("imagenes/HALIFAX_WOMENS_119000599_BLK_3.jpg","Ver imagen")</f>
        <v/>
      </c>
    </row>
    <row r="121">
      <c r="A121" t="inlineStr">
        <is>
          <t>HALIFAX WOMENS</t>
        </is>
      </c>
      <c r="B121" t="inlineStr">
        <is>
          <t>119000599</t>
        </is>
      </c>
      <c r="C121" t="inlineStr">
        <is>
          <t>Softshell B/T Mellowpile Anorak Jacket CBL:31</t>
        </is>
      </c>
      <c r="D121" t="inlineStr">
        <is>
          <t>BLK</t>
        </is>
      </c>
      <c r="E121" t="inlineStr">
        <is>
          <t>(en blanco)</t>
        </is>
      </c>
      <c r="F121" t="inlineStr">
        <is>
          <t>D2C</t>
        </is>
      </c>
      <c r="G121" t="inlineStr">
        <is>
          <t>L</t>
        </is>
      </c>
      <c r="H121" t="n">
        <v>154</v>
      </c>
      <c r="I121" t="inlineStr">
        <is>
          <t>HALIFAX_WOMENS_119000599_BLK_1.jpg</t>
        </is>
      </c>
      <c r="J121" t="inlineStr">
        <is>
          <t>HALIFAX_WOMENS_119000599_BLK_2.jpg</t>
        </is>
      </c>
      <c r="K121" t="inlineStr">
        <is>
          <t>HALIFAX_WOMENS_119000599_BLK_3.jpg</t>
        </is>
      </c>
      <c r="L121">
        <f>IMAGE("file:///E:/Estudios%20y%20certificaciones/ESTUDIOS%20DE%20PROGRAMMING/PROGRAMMING/PERSONAL/PYTHON/Image_Generator_API/imagenes/HALIFAX_WOMENS_119000599_BLK_1.jpg")</f>
        <v/>
      </c>
      <c r="M121">
        <f>IMAGE("file:///E:/Estudios%20y%20certificaciones/ESTUDIOS%20DE%20PROGRAMMING/PROGRAMMING/PERSONAL/PYTHON/Image_Generator_API/imagenes/HALIFAX_WOMENS_119000599_BLK_2.jpg")</f>
        <v/>
      </c>
      <c r="N121">
        <f>IMAGE("file:///E:/Estudios%20y%20certificaciones/ESTUDIOS%20DE%20PROGRAMMING/PROGRAMMING/PERSONAL/PYTHON/Image_Generator_API/imagenes/HALIFAX_WOMENS_119000599_BLK_3.jpg")</f>
        <v/>
      </c>
      <c r="O121">
        <f>HYPERLINK("imagenes/HALIFAX_WOMENS_119000599_BLK_1.jpg","Ver imagen")</f>
        <v/>
      </c>
      <c r="P121">
        <f>HYPERLINK("imagenes/HALIFAX_WOMENS_119000599_BLK_2.jpg","Ver imagen")</f>
        <v/>
      </c>
      <c r="Q121">
        <f>HYPERLINK("imagenes/HALIFAX_WOMENS_119000599_BLK_3.jpg","Ver imagen")</f>
        <v/>
      </c>
    </row>
    <row r="122">
      <c r="A122" t="inlineStr">
        <is>
          <t>HALIFAX WOMENS</t>
        </is>
      </c>
      <c r="B122" t="inlineStr">
        <is>
          <t>119000599</t>
        </is>
      </c>
      <c r="C122" t="inlineStr">
        <is>
          <t>Softshell B/T Mellowpile Anorak Jacket CBL:31</t>
        </is>
      </c>
      <c r="D122" t="inlineStr">
        <is>
          <t>BLK</t>
        </is>
      </c>
      <c r="E122" t="inlineStr">
        <is>
          <t>(en blanco)</t>
        </is>
      </c>
      <c r="F122" t="inlineStr">
        <is>
          <t>D2C</t>
        </is>
      </c>
      <c r="G122" t="inlineStr">
        <is>
          <t>XL</t>
        </is>
      </c>
      <c r="H122" t="n">
        <v>90</v>
      </c>
      <c r="I122" t="inlineStr">
        <is>
          <t>HALIFAX_WOMENS_119000599_BLK_1.jpg</t>
        </is>
      </c>
      <c r="J122" t="inlineStr">
        <is>
          <t>HALIFAX_WOMENS_119000599_BLK_2.jpg</t>
        </is>
      </c>
      <c r="K122" t="inlineStr">
        <is>
          <t>HALIFAX_WOMENS_119000599_BLK_3.jpg</t>
        </is>
      </c>
      <c r="L122">
        <f>IMAGE("file:///E:/Estudios%20y%20certificaciones/ESTUDIOS%20DE%20PROGRAMMING/PROGRAMMING/PERSONAL/PYTHON/Image_Generator_API/imagenes/HALIFAX_WOMENS_119000599_BLK_1.jpg")</f>
        <v/>
      </c>
      <c r="M122">
        <f>IMAGE("file:///E:/Estudios%20y%20certificaciones/ESTUDIOS%20DE%20PROGRAMMING/PROGRAMMING/PERSONAL/PYTHON/Image_Generator_API/imagenes/HALIFAX_WOMENS_119000599_BLK_2.jpg")</f>
        <v/>
      </c>
      <c r="N122">
        <f>IMAGE("file:///E:/Estudios%20y%20certificaciones/ESTUDIOS%20DE%20PROGRAMMING/PROGRAMMING/PERSONAL/PYTHON/Image_Generator_API/imagenes/HALIFAX_WOMENS_119000599_BLK_3.jpg")</f>
        <v/>
      </c>
      <c r="O122">
        <f>HYPERLINK("imagenes/HALIFAX_WOMENS_119000599_BLK_1.jpg","Ver imagen")</f>
        <v/>
      </c>
      <c r="P122">
        <f>HYPERLINK("imagenes/HALIFAX_WOMENS_119000599_BLK_2.jpg","Ver imagen")</f>
        <v/>
      </c>
      <c r="Q122">
        <f>HYPERLINK("imagenes/HALIFAX_WOMENS_119000599_BLK_3.jpg","Ver imagen")</f>
        <v/>
      </c>
    </row>
    <row r="123">
      <c r="A123" t="inlineStr">
        <is>
          <t>HALIFAX WOMENS</t>
        </is>
      </c>
      <c r="B123" t="inlineStr">
        <is>
          <t>119000599</t>
        </is>
      </c>
      <c r="C123" t="inlineStr">
        <is>
          <t>Softshell B/T Mellowpile Anorak Jacket CBL:31</t>
        </is>
      </c>
      <c r="D123" t="inlineStr">
        <is>
          <t>BLK</t>
        </is>
      </c>
      <c r="E123" t="inlineStr">
        <is>
          <t>(en blanco)</t>
        </is>
      </c>
      <c r="F123" t="inlineStr">
        <is>
          <t>D2C</t>
        </is>
      </c>
      <c r="G123" t="inlineStr">
        <is>
          <t>XXL</t>
        </is>
      </c>
      <c r="H123" t="n">
        <v>38</v>
      </c>
      <c r="I123" t="inlineStr">
        <is>
          <t>HALIFAX_WOMENS_119000599_BLK_1.jpg</t>
        </is>
      </c>
      <c r="J123" t="inlineStr">
        <is>
          <t>HALIFAX_WOMENS_119000599_BLK_2.jpg</t>
        </is>
      </c>
      <c r="K123" t="inlineStr">
        <is>
          <t>HALIFAX_WOMENS_119000599_BLK_3.jpg</t>
        </is>
      </c>
      <c r="L123">
        <f>IMAGE("file:///E:/Estudios%20y%20certificaciones/ESTUDIOS%20DE%20PROGRAMMING/PROGRAMMING/PERSONAL/PYTHON/Image_Generator_API/imagenes/HALIFAX_WOMENS_119000599_BLK_1.jpg")</f>
        <v/>
      </c>
      <c r="M123">
        <f>IMAGE("file:///E:/Estudios%20y%20certificaciones/ESTUDIOS%20DE%20PROGRAMMING/PROGRAMMING/PERSONAL/PYTHON/Image_Generator_API/imagenes/HALIFAX_WOMENS_119000599_BLK_2.jpg")</f>
        <v/>
      </c>
      <c r="N123">
        <f>IMAGE("file:///E:/Estudios%20y%20certificaciones/ESTUDIOS%20DE%20PROGRAMMING/PROGRAMMING/PERSONAL/PYTHON/Image_Generator_API/imagenes/HALIFAX_WOMENS_119000599_BLK_3.jpg")</f>
        <v/>
      </c>
      <c r="O123">
        <f>HYPERLINK("imagenes/HALIFAX_WOMENS_119000599_BLK_1.jpg","Ver imagen")</f>
        <v/>
      </c>
      <c r="P123">
        <f>HYPERLINK("imagenes/HALIFAX_WOMENS_119000599_BLK_2.jpg","Ver imagen")</f>
        <v/>
      </c>
      <c r="Q123">
        <f>HYPERLINK("imagenes/HALIFAX_WOMENS_119000599_BLK_3.jpg","Ver imagen")</f>
        <v/>
      </c>
    </row>
    <row r="124">
      <c r="A124" t="inlineStr">
        <is>
          <t>HALIFAX WOMENS</t>
        </is>
      </c>
      <c r="B124" t="inlineStr">
        <is>
          <t>119000599</t>
        </is>
      </c>
      <c r="C124" t="inlineStr">
        <is>
          <t>Softshell B/T Mellowpile Anorak Jacket CBL:31</t>
        </is>
      </c>
      <c r="D124" t="inlineStr">
        <is>
          <t>BLK</t>
        </is>
      </c>
      <c r="E124" t="inlineStr">
        <is>
          <t>(en blanco)</t>
        </is>
      </c>
      <c r="F124" t="inlineStr">
        <is>
          <t>(en blanco)</t>
        </is>
      </c>
      <c r="G124" t="inlineStr">
        <is>
          <t>M</t>
        </is>
      </c>
      <c r="H124" t="n">
        <v>1</v>
      </c>
      <c r="I124" t="inlineStr">
        <is>
          <t>HALIFAX_WOMENS_119000599_BLK_1.jpg</t>
        </is>
      </c>
      <c r="J124" t="inlineStr">
        <is>
          <t>HALIFAX_WOMENS_119000599_BLK_2.jpg</t>
        </is>
      </c>
      <c r="K124" t="inlineStr">
        <is>
          <t>HALIFAX_WOMENS_119000599_BLK_3.jpg</t>
        </is>
      </c>
      <c r="L124">
        <f>IMAGE("file:///E:/Estudios%20y%20certificaciones/ESTUDIOS%20DE%20PROGRAMMING/PROGRAMMING/PERSONAL/PYTHON/Image_Generator_API/imagenes/HALIFAX_WOMENS_119000599_BLK_1.jpg")</f>
        <v/>
      </c>
      <c r="M124">
        <f>IMAGE("file:///E:/Estudios%20y%20certificaciones/ESTUDIOS%20DE%20PROGRAMMING/PROGRAMMING/PERSONAL/PYTHON/Image_Generator_API/imagenes/HALIFAX_WOMENS_119000599_BLK_2.jpg")</f>
        <v/>
      </c>
      <c r="N124">
        <f>IMAGE("file:///E:/Estudios%20y%20certificaciones/ESTUDIOS%20DE%20PROGRAMMING/PROGRAMMING/PERSONAL/PYTHON/Image_Generator_API/imagenes/HALIFAX_WOMENS_119000599_BLK_3.jpg")</f>
        <v/>
      </c>
      <c r="O124">
        <f>HYPERLINK("imagenes/HALIFAX_WOMENS_119000599_BLK_1.jpg","Ver imagen")</f>
        <v/>
      </c>
      <c r="P124">
        <f>HYPERLINK("imagenes/HALIFAX_WOMENS_119000599_BLK_2.jpg","Ver imagen")</f>
        <v/>
      </c>
      <c r="Q124">
        <f>HYPERLINK("imagenes/HALIFAX_WOMENS_119000599_BLK_3.jpg","Ver imagen")</f>
        <v/>
      </c>
    </row>
    <row r="125">
      <c r="A125" t="inlineStr">
        <is>
          <t>HALIFAX WOMENS</t>
        </is>
      </c>
      <c r="B125" t="inlineStr">
        <is>
          <t>119000599</t>
        </is>
      </c>
      <c r="C125" t="inlineStr">
        <is>
          <t>Softshell B/T Mellowpile Anorak Jacket CBL:31</t>
        </is>
      </c>
      <c r="D125" t="inlineStr">
        <is>
          <t>BLK</t>
        </is>
      </c>
      <c r="E125" t="inlineStr">
        <is>
          <t>(en blanco)</t>
        </is>
      </c>
      <c r="F125" t="inlineStr">
        <is>
          <t>(en blanco)</t>
        </is>
      </c>
      <c r="G125" t="inlineStr">
        <is>
          <t>XXL</t>
        </is>
      </c>
      <c r="H125" t="n">
        <v>1</v>
      </c>
      <c r="I125" t="inlineStr">
        <is>
          <t>HALIFAX_WOMENS_119000599_BLK_1.jpg</t>
        </is>
      </c>
      <c r="J125" t="inlineStr">
        <is>
          <t>HALIFAX_WOMENS_119000599_BLK_2.jpg</t>
        </is>
      </c>
      <c r="K125" t="inlineStr">
        <is>
          <t>HALIFAX_WOMENS_119000599_BLK_3.jpg</t>
        </is>
      </c>
      <c r="L125">
        <f>IMAGE("file:///E:/Estudios%20y%20certificaciones/ESTUDIOS%20DE%20PROGRAMMING/PROGRAMMING/PERSONAL/PYTHON/Image_Generator_API/imagenes/HALIFAX_WOMENS_119000599_BLK_1.jpg")</f>
        <v/>
      </c>
      <c r="M125">
        <f>IMAGE("file:///E:/Estudios%20y%20certificaciones/ESTUDIOS%20DE%20PROGRAMMING/PROGRAMMING/PERSONAL/PYTHON/Image_Generator_API/imagenes/HALIFAX_WOMENS_119000599_BLK_2.jpg")</f>
        <v/>
      </c>
      <c r="N125">
        <f>IMAGE("file:///E:/Estudios%20y%20certificaciones/ESTUDIOS%20DE%20PROGRAMMING/PROGRAMMING/PERSONAL/PYTHON/Image_Generator_API/imagenes/HALIFAX_WOMENS_119000599_BLK_3.jpg")</f>
        <v/>
      </c>
      <c r="O125">
        <f>HYPERLINK("imagenes/HALIFAX_WOMENS_119000599_BLK_1.jpg","Ver imagen")</f>
        <v/>
      </c>
      <c r="P125">
        <f>HYPERLINK("imagenes/HALIFAX_WOMENS_119000599_BLK_2.jpg","Ver imagen")</f>
        <v/>
      </c>
      <c r="Q125">
        <f>HYPERLINK("imagenes/HALIFAX_WOMENS_119000599_BLK_3.jpg","Ver imagen")</f>
        <v/>
      </c>
    </row>
    <row r="126">
      <c r="A126" t="inlineStr">
        <is>
          <t>HALIFAX WOMENS</t>
        </is>
      </c>
      <c r="B126" t="inlineStr">
        <is>
          <t>119000599</t>
        </is>
      </c>
      <c r="C126" t="inlineStr">
        <is>
          <t>Softshell B/T Mellowpile Anorak Jacket CBL:31</t>
        </is>
      </c>
      <c r="D126" t="inlineStr">
        <is>
          <t>BON</t>
        </is>
      </c>
      <c r="E126" t="inlineStr">
        <is>
          <t>(en blanco)</t>
        </is>
      </c>
      <c r="F126" t="inlineStr">
        <is>
          <t>D2C</t>
        </is>
      </c>
      <c r="G126" t="inlineStr">
        <is>
          <t>S</t>
        </is>
      </c>
      <c r="H126" t="n">
        <v>29</v>
      </c>
      <c r="I126" t="inlineStr">
        <is>
          <t>HALIFAX_WOMENS_119000599_BON_1.jpg</t>
        </is>
      </c>
      <c r="J126" t="inlineStr">
        <is>
          <t>HALIFAX_WOMENS_119000599_BON_2.jpg</t>
        </is>
      </c>
      <c r="K126" t="inlineStr">
        <is>
          <t>HALIFAX_WOMENS_119000599_BON_3.jpg</t>
        </is>
      </c>
      <c r="L126">
        <f>IMAGE("file:///E:/Estudios%20y%20certificaciones/ESTUDIOS%20DE%20PROGRAMMING/PROGRAMMING/PERSONAL/PYTHON/Image_Generator_API/imagenes/HALIFAX_WOMENS_119000599_BON_1.jpg")</f>
        <v/>
      </c>
      <c r="M126">
        <f>IMAGE("file:///E:/Estudios%20y%20certificaciones/ESTUDIOS%20DE%20PROGRAMMING/PROGRAMMING/PERSONAL/PYTHON/Image_Generator_API/imagenes/HALIFAX_WOMENS_119000599_BON_2.jpg")</f>
        <v/>
      </c>
      <c r="N126">
        <f>IMAGE("file:///E:/Estudios%20y%20certificaciones/ESTUDIOS%20DE%20PROGRAMMING/PROGRAMMING/PERSONAL/PYTHON/Image_Generator_API/imagenes/HALIFAX_WOMENS_119000599_BON_3.jpg")</f>
        <v/>
      </c>
      <c r="O126">
        <f>HYPERLINK("imagenes/HALIFAX_WOMENS_119000599_BON_1.jpg","Ver imagen")</f>
        <v/>
      </c>
      <c r="P126">
        <f>HYPERLINK("imagenes/HALIFAX_WOMENS_119000599_BON_2.jpg","Ver imagen")</f>
        <v/>
      </c>
      <c r="Q126">
        <f>HYPERLINK("imagenes/HALIFAX_WOMENS_119000599_BON_3.jpg","Ver imagen")</f>
        <v/>
      </c>
    </row>
    <row r="127">
      <c r="A127" t="inlineStr">
        <is>
          <t>HALIFAX WOMENS</t>
        </is>
      </c>
      <c r="B127" t="inlineStr">
        <is>
          <t>119000599</t>
        </is>
      </c>
      <c r="C127" t="inlineStr">
        <is>
          <t>Softshell B/T Mellowpile Anorak Jacket CBL:31</t>
        </is>
      </c>
      <c r="D127" t="inlineStr">
        <is>
          <t>BON</t>
        </is>
      </c>
      <c r="E127" t="inlineStr">
        <is>
          <t>(en blanco)</t>
        </is>
      </c>
      <c r="F127" t="inlineStr">
        <is>
          <t>D2C</t>
        </is>
      </c>
      <c r="G127" t="inlineStr">
        <is>
          <t>M</t>
        </is>
      </c>
      <c r="H127" t="n">
        <v>23</v>
      </c>
      <c r="I127" t="inlineStr">
        <is>
          <t>HALIFAX_WOMENS_119000599_BON_1.jpg</t>
        </is>
      </c>
      <c r="J127" t="inlineStr">
        <is>
          <t>HALIFAX_WOMENS_119000599_BON_2.jpg</t>
        </is>
      </c>
      <c r="K127" t="inlineStr">
        <is>
          <t>HALIFAX_WOMENS_119000599_BON_3.jpg</t>
        </is>
      </c>
      <c r="L127">
        <f>IMAGE("file:///E:/Estudios%20y%20certificaciones/ESTUDIOS%20DE%20PROGRAMMING/PROGRAMMING/PERSONAL/PYTHON/Image_Generator_API/imagenes/HALIFAX_WOMENS_119000599_BON_1.jpg")</f>
        <v/>
      </c>
      <c r="M127">
        <f>IMAGE("file:///E:/Estudios%20y%20certificaciones/ESTUDIOS%20DE%20PROGRAMMING/PROGRAMMING/PERSONAL/PYTHON/Image_Generator_API/imagenes/HALIFAX_WOMENS_119000599_BON_2.jpg")</f>
        <v/>
      </c>
      <c r="N127">
        <f>IMAGE("file:///E:/Estudios%20y%20certificaciones/ESTUDIOS%20DE%20PROGRAMMING/PROGRAMMING/PERSONAL/PYTHON/Image_Generator_API/imagenes/HALIFAX_WOMENS_119000599_BON_3.jpg")</f>
        <v/>
      </c>
      <c r="O127">
        <f>HYPERLINK("imagenes/HALIFAX_WOMENS_119000599_BON_1.jpg","Ver imagen")</f>
        <v/>
      </c>
      <c r="P127">
        <f>HYPERLINK("imagenes/HALIFAX_WOMENS_119000599_BON_2.jpg","Ver imagen")</f>
        <v/>
      </c>
      <c r="Q127">
        <f>HYPERLINK("imagenes/HALIFAX_WOMENS_119000599_BON_3.jpg","Ver imagen")</f>
        <v/>
      </c>
    </row>
    <row r="128">
      <c r="A128" t="inlineStr">
        <is>
          <t>HALIFAX WOMENS</t>
        </is>
      </c>
      <c r="B128" t="inlineStr">
        <is>
          <t>119000599</t>
        </is>
      </c>
      <c r="C128" t="inlineStr">
        <is>
          <t>Softshell B/T Mellowpile Anorak Jacket CBL:31</t>
        </is>
      </c>
      <c r="D128" t="inlineStr">
        <is>
          <t>BON</t>
        </is>
      </c>
      <c r="E128" t="inlineStr">
        <is>
          <t>(en blanco)</t>
        </is>
      </c>
      <c r="F128" t="inlineStr">
        <is>
          <t>D2C</t>
        </is>
      </c>
      <c r="G128" t="inlineStr">
        <is>
          <t>L</t>
        </is>
      </c>
      <c r="H128" t="n">
        <v>20</v>
      </c>
      <c r="I128" t="inlineStr">
        <is>
          <t>HALIFAX_WOMENS_119000599_BON_1.jpg</t>
        </is>
      </c>
      <c r="J128" t="inlineStr">
        <is>
          <t>HALIFAX_WOMENS_119000599_BON_2.jpg</t>
        </is>
      </c>
      <c r="K128" t="inlineStr">
        <is>
          <t>HALIFAX_WOMENS_119000599_BON_3.jpg</t>
        </is>
      </c>
      <c r="L128">
        <f>IMAGE("file:///E:/Estudios%20y%20certificaciones/ESTUDIOS%20DE%20PROGRAMMING/PROGRAMMING/PERSONAL/PYTHON/Image_Generator_API/imagenes/HALIFAX_WOMENS_119000599_BON_1.jpg")</f>
        <v/>
      </c>
      <c r="M128">
        <f>IMAGE("file:///E:/Estudios%20y%20certificaciones/ESTUDIOS%20DE%20PROGRAMMING/PROGRAMMING/PERSONAL/PYTHON/Image_Generator_API/imagenes/HALIFAX_WOMENS_119000599_BON_2.jpg")</f>
        <v/>
      </c>
      <c r="N128">
        <f>IMAGE("file:///E:/Estudios%20y%20certificaciones/ESTUDIOS%20DE%20PROGRAMMING/PROGRAMMING/PERSONAL/PYTHON/Image_Generator_API/imagenes/HALIFAX_WOMENS_119000599_BON_3.jpg")</f>
        <v/>
      </c>
      <c r="O128">
        <f>HYPERLINK("imagenes/HALIFAX_WOMENS_119000599_BON_1.jpg","Ver imagen")</f>
        <v/>
      </c>
      <c r="P128">
        <f>HYPERLINK("imagenes/HALIFAX_WOMENS_119000599_BON_2.jpg","Ver imagen")</f>
        <v/>
      </c>
      <c r="Q128">
        <f>HYPERLINK("imagenes/HALIFAX_WOMENS_119000599_BON_3.jpg","Ver imagen")</f>
        <v/>
      </c>
    </row>
    <row r="129">
      <c r="A129" t="inlineStr">
        <is>
          <t>HALIFAX WOMENS</t>
        </is>
      </c>
      <c r="B129" t="inlineStr">
        <is>
          <t>119000599</t>
        </is>
      </c>
      <c r="C129" t="inlineStr">
        <is>
          <t>Softshell B/T Mellowpile Anorak Jacket CBL:31</t>
        </is>
      </c>
      <c r="D129" t="inlineStr">
        <is>
          <t>BON</t>
        </is>
      </c>
      <c r="E129" t="inlineStr">
        <is>
          <t>(en blanco)</t>
        </is>
      </c>
      <c r="F129" t="inlineStr">
        <is>
          <t>D2C</t>
        </is>
      </c>
      <c r="G129" t="inlineStr">
        <is>
          <t>XL</t>
        </is>
      </c>
      <c r="H129" t="n">
        <v>29</v>
      </c>
      <c r="I129" t="inlineStr">
        <is>
          <t>HALIFAX_WOMENS_119000599_BON_1.jpg</t>
        </is>
      </c>
      <c r="J129" t="inlineStr">
        <is>
          <t>HALIFAX_WOMENS_119000599_BON_2.jpg</t>
        </is>
      </c>
      <c r="K129" t="inlineStr">
        <is>
          <t>HALIFAX_WOMENS_119000599_BON_3.jpg</t>
        </is>
      </c>
      <c r="L129">
        <f>IMAGE("file:///E:/Estudios%20y%20certificaciones/ESTUDIOS%20DE%20PROGRAMMING/PROGRAMMING/PERSONAL/PYTHON/Image_Generator_API/imagenes/HALIFAX_WOMENS_119000599_BON_1.jpg")</f>
        <v/>
      </c>
      <c r="M129">
        <f>IMAGE("file:///E:/Estudios%20y%20certificaciones/ESTUDIOS%20DE%20PROGRAMMING/PROGRAMMING/PERSONAL/PYTHON/Image_Generator_API/imagenes/HALIFAX_WOMENS_119000599_BON_2.jpg")</f>
        <v/>
      </c>
      <c r="N129">
        <f>IMAGE("file:///E:/Estudios%20y%20certificaciones/ESTUDIOS%20DE%20PROGRAMMING/PROGRAMMING/PERSONAL/PYTHON/Image_Generator_API/imagenes/HALIFAX_WOMENS_119000599_BON_3.jpg")</f>
        <v/>
      </c>
      <c r="O129">
        <f>HYPERLINK("imagenes/HALIFAX_WOMENS_119000599_BON_1.jpg","Ver imagen")</f>
        <v/>
      </c>
      <c r="P129">
        <f>HYPERLINK("imagenes/HALIFAX_WOMENS_119000599_BON_2.jpg","Ver imagen")</f>
        <v/>
      </c>
      <c r="Q129">
        <f>HYPERLINK("imagenes/HALIFAX_WOMENS_119000599_BON_3.jpg","Ver imagen")</f>
        <v/>
      </c>
    </row>
    <row r="130">
      <c r="A130" t="inlineStr">
        <is>
          <t>HALIFAX WOMENS</t>
        </is>
      </c>
      <c r="B130" t="inlineStr">
        <is>
          <t>119000599</t>
        </is>
      </c>
      <c r="C130" t="inlineStr">
        <is>
          <t>Softshell B/T Mellowpile Anorak Jacket CBL:31</t>
        </is>
      </c>
      <c r="D130" t="inlineStr">
        <is>
          <t>BON</t>
        </is>
      </c>
      <c r="E130" t="inlineStr">
        <is>
          <t>(en blanco)</t>
        </is>
      </c>
      <c r="F130" t="inlineStr">
        <is>
          <t>D2C</t>
        </is>
      </c>
      <c r="G130" t="inlineStr">
        <is>
          <t>XXL</t>
        </is>
      </c>
      <c r="H130" t="n">
        <v>31</v>
      </c>
      <c r="I130" t="inlineStr">
        <is>
          <t>HALIFAX_WOMENS_119000599_BON_1.jpg</t>
        </is>
      </c>
      <c r="J130" t="inlineStr">
        <is>
          <t>HALIFAX_WOMENS_119000599_BON_2.jpg</t>
        </is>
      </c>
      <c r="K130" t="inlineStr">
        <is>
          <t>HALIFAX_WOMENS_119000599_BON_3.jpg</t>
        </is>
      </c>
      <c r="L130">
        <f>IMAGE("file:///E:/Estudios%20y%20certificaciones/ESTUDIOS%20DE%20PROGRAMMING/PROGRAMMING/PERSONAL/PYTHON/Image_Generator_API/imagenes/HALIFAX_WOMENS_119000599_BON_1.jpg")</f>
        <v/>
      </c>
      <c r="M130">
        <f>IMAGE("file:///E:/Estudios%20y%20certificaciones/ESTUDIOS%20DE%20PROGRAMMING/PROGRAMMING/PERSONAL/PYTHON/Image_Generator_API/imagenes/HALIFAX_WOMENS_119000599_BON_2.jpg")</f>
        <v/>
      </c>
      <c r="N130">
        <f>IMAGE("file:///E:/Estudios%20y%20certificaciones/ESTUDIOS%20DE%20PROGRAMMING/PROGRAMMING/PERSONAL/PYTHON/Image_Generator_API/imagenes/HALIFAX_WOMENS_119000599_BON_3.jpg")</f>
        <v/>
      </c>
      <c r="O130">
        <f>HYPERLINK("imagenes/HALIFAX_WOMENS_119000599_BON_1.jpg","Ver imagen")</f>
        <v/>
      </c>
      <c r="P130">
        <f>HYPERLINK("imagenes/HALIFAX_WOMENS_119000599_BON_2.jpg","Ver imagen")</f>
        <v/>
      </c>
      <c r="Q130">
        <f>HYPERLINK("imagenes/HALIFAX_WOMENS_119000599_BON_3.jpg","Ver imagen")</f>
        <v/>
      </c>
    </row>
    <row r="131">
      <c r="A131" t="inlineStr">
        <is>
          <t>HALIFAX WOMENS</t>
        </is>
      </c>
      <c r="B131" t="inlineStr">
        <is>
          <t>119000599</t>
        </is>
      </c>
      <c r="C131" t="inlineStr">
        <is>
          <t>Softshell B/T Mellowpile Anorak Jacket CBL:31</t>
        </is>
      </c>
      <c r="D131" t="inlineStr">
        <is>
          <t>BON</t>
        </is>
      </c>
      <c r="E131" t="inlineStr">
        <is>
          <t>(en blanco)</t>
        </is>
      </c>
      <c r="F131" t="inlineStr">
        <is>
          <t>(en blanco)</t>
        </is>
      </c>
      <c r="G131" t="inlineStr">
        <is>
          <t>L</t>
        </is>
      </c>
      <c r="H131" t="n">
        <v>5</v>
      </c>
      <c r="I131" t="inlineStr">
        <is>
          <t>HALIFAX_WOMENS_119000599_BON_1.jpg</t>
        </is>
      </c>
      <c r="J131" t="inlineStr">
        <is>
          <t>HALIFAX_WOMENS_119000599_BON_2.jpg</t>
        </is>
      </c>
      <c r="K131" t="inlineStr">
        <is>
          <t>HALIFAX_WOMENS_119000599_BON_3.jpg</t>
        </is>
      </c>
      <c r="L131">
        <f>IMAGE("file:///E:/Estudios%20y%20certificaciones/ESTUDIOS%20DE%20PROGRAMMING/PROGRAMMING/PERSONAL/PYTHON/Image_Generator_API/imagenes/HALIFAX_WOMENS_119000599_BON_1.jpg")</f>
        <v/>
      </c>
      <c r="M131">
        <f>IMAGE("file:///E:/Estudios%20y%20certificaciones/ESTUDIOS%20DE%20PROGRAMMING/PROGRAMMING/PERSONAL/PYTHON/Image_Generator_API/imagenes/HALIFAX_WOMENS_119000599_BON_2.jpg")</f>
        <v/>
      </c>
      <c r="N131">
        <f>IMAGE("file:///E:/Estudios%20y%20certificaciones/ESTUDIOS%20DE%20PROGRAMMING/PROGRAMMING/PERSONAL/PYTHON/Image_Generator_API/imagenes/HALIFAX_WOMENS_119000599_BON_3.jpg")</f>
        <v/>
      </c>
      <c r="O131">
        <f>HYPERLINK("imagenes/HALIFAX_WOMENS_119000599_BON_1.jpg","Ver imagen")</f>
        <v/>
      </c>
      <c r="P131">
        <f>HYPERLINK("imagenes/HALIFAX_WOMENS_119000599_BON_2.jpg","Ver imagen")</f>
        <v/>
      </c>
      <c r="Q131">
        <f>HYPERLINK("imagenes/HALIFAX_WOMENS_119000599_BON_3.jpg","Ver imagen")</f>
        <v/>
      </c>
    </row>
    <row r="132">
      <c r="A132" t="inlineStr">
        <is>
          <t>HALIFAX WOMENS</t>
        </is>
      </c>
      <c r="B132" t="inlineStr">
        <is>
          <t>119000599</t>
        </is>
      </c>
      <c r="C132" t="inlineStr">
        <is>
          <t>Softshell B/T Mellowpile Anorak Jacket CBL:31</t>
        </is>
      </c>
      <c r="D132" t="inlineStr">
        <is>
          <t>CHO</t>
        </is>
      </c>
      <c r="E132" t="inlineStr">
        <is>
          <t>06A01</t>
        </is>
      </c>
      <c r="F132" t="inlineStr">
        <is>
          <t>(en blanco)</t>
        </is>
      </c>
      <c r="G132" t="inlineStr">
        <is>
          <t>PPK</t>
        </is>
      </c>
      <c r="H132" t="n">
        <v>0</v>
      </c>
      <c r="I132" t="inlineStr">
        <is>
          <t>HALIFAX_WOMENS_119000599_CHO_1.jpg</t>
        </is>
      </c>
      <c r="J132" t="inlineStr">
        <is>
          <t>HALIFAX_WOMENS_119000599_CHO_2.jpg</t>
        </is>
      </c>
      <c r="K132" t="inlineStr">
        <is>
          <t>HALIFAX_WOMENS_119000599_CHO_3.jpg</t>
        </is>
      </c>
      <c r="L132">
        <f>IMAGE("file:///E:/Estudios%20y%20certificaciones/ESTUDIOS%20DE%20PROGRAMMING/PROGRAMMING/PERSONAL/PYTHON/Image_Generator_API/imagenes/HALIFAX_WOMENS_119000599_CHO_1.jpg")</f>
        <v/>
      </c>
      <c r="M132">
        <f>IMAGE("file:///E:/Estudios%20y%20certificaciones/ESTUDIOS%20DE%20PROGRAMMING/PROGRAMMING/PERSONAL/PYTHON/Image_Generator_API/imagenes/HALIFAX_WOMENS_119000599_CHO_2.jpg")</f>
        <v/>
      </c>
      <c r="N132">
        <f>IMAGE("file:///E:/Estudios%20y%20certificaciones/ESTUDIOS%20DE%20PROGRAMMING/PROGRAMMING/PERSONAL/PYTHON/Image_Generator_API/imagenes/HALIFAX_WOMENS_119000599_CHO_3.jpg")</f>
        <v/>
      </c>
      <c r="O132">
        <f>HYPERLINK("imagenes/HALIFAX_WOMENS_119000599_CHO_1.jpg","Ver imagen")</f>
        <v/>
      </c>
      <c r="P132">
        <f>HYPERLINK("imagenes/HALIFAX_WOMENS_119000599_CHO_2.jpg","Ver imagen")</f>
        <v/>
      </c>
      <c r="Q132">
        <f>HYPERLINK("imagenes/HALIFAX_WOMENS_119000599_CHO_3.jpg","Ver imagen")</f>
        <v/>
      </c>
    </row>
    <row r="133">
      <c r="A133" t="inlineStr">
        <is>
          <t>HALIFAX WOMENS</t>
        </is>
      </c>
      <c r="B133" t="inlineStr">
        <is>
          <t>119000599</t>
        </is>
      </c>
      <c r="C133" t="inlineStr">
        <is>
          <t>Softshell B/T Mellowpile Anorak Jacket CBL:31</t>
        </is>
      </c>
      <c r="D133" t="inlineStr">
        <is>
          <t>GNT</t>
        </is>
      </c>
      <c r="E133" t="inlineStr">
        <is>
          <t>(en blanco)</t>
        </is>
      </c>
      <c r="F133" t="inlineStr">
        <is>
          <t>D2C</t>
        </is>
      </c>
      <c r="G133" t="inlineStr">
        <is>
          <t>S</t>
        </is>
      </c>
      <c r="H133" t="n">
        <v>60</v>
      </c>
      <c r="I133" t="inlineStr">
        <is>
          <t>HALIFAX_WOMENS_119000599_GNT_1.jpg</t>
        </is>
      </c>
      <c r="J133" t="inlineStr">
        <is>
          <t>HALIFAX_WOMENS_119000599_GNT_2.jpg</t>
        </is>
      </c>
      <c r="K133" t="inlineStr">
        <is>
          <t>HALIFAX_WOMENS_119000599_GNT_3.jpg</t>
        </is>
      </c>
      <c r="L133">
        <f>IMAGE("file:///E:/Estudios%20y%20certificaciones/ESTUDIOS%20DE%20PROGRAMMING/PROGRAMMING/PERSONAL/PYTHON/Image_Generator_API/imagenes/HALIFAX_WOMENS_119000599_GNT_1.jpg")</f>
        <v/>
      </c>
      <c r="M133">
        <f>IMAGE("file:///E:/Estudios%20y%20certificaciones/ESTUDIOS%20DE%20PROGRAMMING/PROGRAMMING/PERSONAL/PYTHON/Image_Generator_API/imagenes/HALIFAX_WOMENS_119000599_GNT_2.jpg")</f>
        <v/>
      </c>
      <c r="N133">
        <f>IMAGE("file:///E:/Estudios%20y%20certificaciones/ESTUDIOS%20DE%20PROGRAMMING/PROGRAMMING/PERSONAL/PYTHON/Image_Generator_API/imagenes/HALIFAX_WOMENS_119000599_GNT_3.jpg")</f>
        <v/>
      </c>
      <c r="O133">
        <f>HYPERLINK("imagenes/HALIFAX_WOMENS_119000599_GNT_1.jpg","Ver imagen")</f>
        <v/>
      </c>
      <c r="P133">
        <f>HYPERLINK("imagenes/HALIFAX_WOMENS_119000599_GNT_2.jpg","Ver imagen")</f>
        <v/>
      </c>
      <c r="Q133">
        <f>HYPERLINK("imagenes/HALIFAX_WOMENS_119000599_GNT_3.jpg","Ver imagen")</f>
        <v/>
      </c>
    </row>
    <row r="134">
      <c r="A134" t="inlineStr">
        <is>
          <t>HALIFAX WOMENS</t>
        </is>
      </c>
      <c r="B134" t="inlineStr">
        <is>
          <t>119000599</t>
        </is>
      </c>
      <c r="C134" t="inlineStr">
        <is>
          <t>Softshell B/T Mellowpile Anorak Jacket CBL:31</t>
        </is>
      </c>
      <c r="D134" t="inlineStr">
        <is>
          <t>GNT</t>
        </is>
      </c>
      <c r="E134" t="inlineStr">
        <is>
          <t>(en blanco)</t>
        </is>
      </c>
      <c r="F134" t="inlineStr">
        <is>
          <t>D2C</t>
        </is>
      </c>
      <c r="G134" t="inlineStr">
        <is>
          <t>M</t>
        </is>
      </c>
      <c r="H134" t="n">
        <v>92</v>
      </c>
      <c r="I134" t="inlineStr">
        <is>
          <t>HALIFAX_WOMENS_119000599_GNT_1.jpg</t>
        </is>
      </c>
      <c r="J134" t="inlineStr">
        <is>
          <t>HALIFAX_WOMENS_119000599_GNT_2.jpg</t>
        </is>
      </c>
      <c r="K134" t="inlineStr">
        <is>
          <t>HALIFAX_WOMENS_119000599_GNT_3.jpg</t>
        </is>
      </c>
      <c r="L134">
        <f>IMAGE("file:///E:/Estudios%20y%20certificaciones/ESTUDIOS%20DE%20PROGRAMMING/PROGRAMMING/PERSONAL/PYTHON/Image_Generator_API/imagenes/HALIFAX_WOMENS_119000599_GNT_1.jpg")</f>
        <v/>
      </c>
      <c r="M134">
        <f>IMAGE("file:///E:/Estudios%20y%20certificaciones/ESTUDIOS%20DE%20PROGRAMMING/PROGRAMMING/PERSONAL/PYTHON/Image_Generator_API/imagenes/HALIFAX_WOMENS_119000599_GNT_2.jpg")</f>
        <v/>
      </c>
      <c r="N134">
        <f>IMAGE("file:///E:/Estudios%20y%20certificaciones/ESTUDIOS%20DE%20PROGRAMMING/PROGRAMMING/PERSONAL/PYTHON/Image_Generator_API/imagenes/HALIFAX_WOMENS_119000599_GNT_3.jpg")</f>
        <v/>
      </c>
      <c r="O134">
        <f>HYPERLINK("imagenes/HALIFAX_WOMENS_119000599_GNT_1.jpg","Ver imagen")</f>
        <v/>
      </c>
      <c r="P134">
        <f>HYPERLINK("imagenes/HALIFAX_WOMENS_119000599_GNT_2.jpg","Ver imagen")</f>
        <v/>
      </c>
      <c r="Q134">
        <f>HYPERLINK("imagenes/HALIFAX_WOMENS_119000599_GNT_3.jpg","Ver imagen")</f>
        <v/>
      </c>
    </row>
    <row r="135">
      <c r="A135" t="inlineStr">
        <is>
          <t>HALIFAX WOMENS</t>
        </is>
      </c>
      <c r="B135" t="inlineStr">
        <is>
          <t>119000599</t>
        </is>
      </c>
      <c r="C135" t="inlineStr">
        <is>
          <t>Softshell B/T Mellowpile Anorak Jacket CBL:31</t>
        </is>
      </c>
      <c r="D135" t="inlineStr">
        <is>
          <t>GNT</t>
        </is>
      </c>
      <c r="E135" t="inlineStr">
        <is>
          <t>(en blanco)</t>
        </is>
      </c>
      <c r="F135" t="inlineStr">
        <is>
          <t>D2C</t>
        </is>
      </c>
      <c r="G135" t="inlineStr">
        <is>
          <t>L</t>
        </is>
      </c>
      <c r="H135" t="n">
        <v>92</v>
      </c>
      <c r="I135" t="inlineStr">
        <is>
          <t>HALIFAX_WOMENS_119000599_GNT_1.jpg</t>
        </is>
      </c>
      <c r="J135" t="inlineStr">
        <is>
          <t>HALIFAX_WOMENS_119000599_GNT_2.jpg</t>
        </is>
      </c>
      <c r="K135" t="inlineStr">
        <is>
          <t>HALIFAX_WOMENS_119000599_GNT_3.jpg</t>
        </is>
      </c>
      <c r="L135">
        <f>IMAGE("file:///E:/Estudios%20y%20certificaciones/ESTUDIOS%20DE%20PROGRAMMING/PROGRAMMING/PERSONAL/PYTHON/Image_Generator_API/imagenes/HALIFAX_WOMENS_119000599_GNT_1.jpg")</f>
        <v/>
      </c>
      <c r="M135">
        <f>IMAGE("file:///E:/Estudios%20y%20certificaciones/ESTUDIOS%20DE%20PROGRAMMING/PROGRAMMING/PERSONAL/PYTHON/Image_Generator_API/imagenes/HALIFAX_WOMENS_119000599_GNT_2.jpg")</f>
        <v/>
      </c>
      <c r="N135">
        <f>IMAGE("file:///E:/Estudios%20y%20certificaciones/ESTUDIOS%20DE%20PROGRAMMING/PROGRAMMING/PERSONAL/PYTHON/Image_Generator_API/imagenes/HALIFAX_WOMENS_119000599_GNT_3.jpg")</f>
        <v/>
      </c>
      <c r="O135">
        <f>HYPERLINK("imagenes/HALIFAX_WOMENS_119000599_GNT_1.jpg","Ver imagen")</f>
        <v/>
      </c>
      <c r="P135">
        <f>HYPERLINK("imagenes/HALIFAX_WOMENS_119000599_GNT_2.jpg","Ver imagen")</f>
        <v/>
      </c>
      <c r="Q135">
        <f>HYPERLINK("imagenes/HALIFAX_WOMENS_119000599_GNT_3.jpg","Ver imagen")</f>
        <v/>
      </c>
    </row>
    <row r="136">
      <c r="A136" t="inlineStr">
        <is>
          <t>HALIFAX WOMENS</t>
        </is>
      </c>
      <c r="B136" t="inlineStr">
        <is>
          <t>119000599</t>
        </is>
      </c>
      <c r="C136" t="inlineStr">
        <is>
          <t>Softshell B/T Mellowpile Anorak Jacket CBL:31</t>
        </is>
      </c>
      <c r="D136" t="inlineStr">
        <is>
          <t>GNT</t>
        </is>
      </c>
      <c r="E136" t="inlineStr">
        <is>
          <t>(en blanco)</t>
        </is>
      </c>
      <c r="F136" t="inlineStr">
        <is>
          <t>D2C</t>
        </is>
      </c>
      <c r="G136" t="inlineStr">
        <is>
          <t>XL</t>
        </is>
      </c>
      <c r="H136" t="n">
        <v>64</v>
      </c>
      <c r="I136" t="inlineStr">
        <is>
          <t>HALIFAX_WOMENS_119000599_GNT_1.jpg</t>
        </is>
      </c>
      <c r="J136" t="inlineStr">
        <is>
          <t>HALIFAX_WOMENS_119000599_GNT_2.jpg</t>
        </is>
      </c>
      <c r="K136" t="inlineStr">
        <is>
          <t>HALIFAX_WOMENS_119000599_GNT_3.jpg</t>
        </is>
      </c>
      <c r="L136">
        <f>IMAGE("file:///E:/Estudios%20y%20certificaciones/ESTUDIOS%20DE%20PROGRAMMING/PROGRAMMING/PERSONAL/PYTHON/Image_Generator_API/imagenes/HALIFAX_WOMENS_119000599_GNT_1.jpg")</f>
        <v/>
      </c>
      <c r="M136">
        <f>IMAGE("file:///E:/Estudios%20y%20certificaciones/ESTUDIOS%20DE%20PROGRAMMING/PROGRAMMING/PERSONAL/PYTHON/Image_Generator_API/imagenes/HALIFAX_WOMENS_119000599_GNT_2.jpg")</f>
        <v/>
      </c>
      <c r="N136">
        <f>IMAGE("file:///E:/Estudios%20y%20certificaciones/ESTUDIOS%20DE%20PROGRAMMING/PROGRAMMING/PERSONAL/PYTHON/Image_Generator_API/imagenes/HALIFAX_WOMENS_119000599_GNT_3.jpg")</f>
        <v/>
      </c>
      <c r="O136">
        <f>HYPERLINK("imagenes/HALIFAX_WOMENS_119000599_GNT_1.jpg","Ver imagen")</f>
        <v/>
      </c>
      <c r="P136">
        <f>HYPERLINK("imagenes/HALIFAX_WOMENS_119000599_GNT_2.jpg","Ver imagen")</f>
        <v/>
      </c>
      <c r="Q136">
        <f>HYPERLINK("imagenes/HALIFAX_WOMENS_119000599_GNT_3.jpg","Ver imagen")</f>
        <v/>
      </c>
    </row>
    <row r="137">
      <c r="A137" t="inlineStr">
        <is>
          <t>HALIFAX WOMENS</t>
        </is>
      </c>
      <c r="B137" t="inlineStr">
        <is>
          <t>119000599</t>
        </is>
      </c>
      <c r="C137" t="inlineStr">
        <is>
          <t>Softshell B/T Mellowpile Anorak Jacket CBL:31</t>
        </is>
      </c>
      <c r="D137" t="inlineStr">
        <is>
          <t>GNT</t>
        </is>
      </c>
      <c r="E137" t="inlineStr">
        <is>
          <t>(en blanco)</t>
        </is>
      </c>
      <c r="F137" t="inlineStr">
        <is>
          <t>D2C</t>
        </is>
      </c>
      <c r="G137" t="inlineStr">
        <is>
          <t>XXL</t>
        </is>
      </c>
      <c r="H137" t="n">
        <v>34</v>
      </c>
      <c r="I137" t="inlineStr">
        <is>
          <t>HALIFAX_WOMENS_119000599_GNT_1.jpg</t>
        </is>
      </c>
      <c r="J137" t="inlineStr">
        <is>
          <t>HALIFAX_WOMENS_119000599_GNT_2.jpg</t>
        </is>
      </c>
      <c r="K137" t="inlineStr">
        <is>
          <t>HALIFAX_WOMENS_119000599_GNT_3.jpg</t>
        </is>
      </c>
      <c r="L137">
        <f>IMAGE("file:///E:/Estudios%20y%20certificaciones/ESTUDIOS%20DE%20PROGRAMMING/PROGRAMMING/PERSONAL/PYTHON/Image_Generator_API/imagenes/HALIFAX_WOMENS_119000599_GNT_1.jpg")</f>
        <v/>
      </c>
      <c r="M137">
        <f>IMAGE("file:///E:/Estudios%20y%20certificaciones/ESTUDIOS%20DE%20PROGRAMMING/PROGRAMMING/PERSONAL/PYTHON/Image_Generator_API/imagenes/HALIFAX_WOMENS_119000599_GNT_2.jpg")</f>
        <v/>
      </c>
      <c r="N137">
        <f>IMAGE("file:///E:/Estudios%20y%20certificaciones/ESTUDIOS%20DE%20PROGRAMMING/PROGRAMMING/PERSONAL/PYTHON/Image_Generator_API/imagenes/HALIFAX_WOMENS_119000599_GNT_3.jpg")</f>
        <v/>
      </c>
      <c r="O137">
        <f>HYPERLINK("imagenes/HALIFAX_WOMENS_119000599_GNT_1.jpg","Ver imagen")</f>
        <v/>
      </c>
      <c r="P137">
        <f>HYPERLINK("imagenes/HALIFAX_WOMENS_119000599_GNT_2.jpg","Ver imagen")</f>
        <v/>
      </c>
      <c r="Q137">
        <f>HYPERLINK("imagenes/HALIFAX_WOMENS_119000599_GNT_3.jpg","Ver imagen")</f>
        <v/>
      </c>
    </row>
    <row r="138">
      <c r="A138" t="inlineStr">
        <is>
          <t>HALIFAX WOMENS</t>
        </is>
      </c>
      <c r="B138" t="inlineStr">
        <is>
          <t>119000599</t>
        </is>
      </c>
      <c r="C138" t="inlineStr">
        <is>
          <t>Softshell B/T Mellowpile Anorak Jacket CBL:31</t>
        </is>
      </c>
      <c r="D138" t="inlineStr">
        <is>
          <t>GNT</t>
        </is>
      </c>
      <c r="E138" t="inlineStr">
        <is>
          <t>(en blanco)</t>
        </is>
      </c>
      <c r="F138" t="inlineStr">
        <is>
          <t>(en blanco)</t>
        </is>
      </c>
      <c r="G138" t="inlineStr">
        <is>
          <t>M</t>
        </is>
      </c>
      <c r="H138" t="n">
        <v>1</v>
      </c>
      <c r="I138" t="inlineStr">
        <is>
          <t>HALIFAX_WOMENS_119000599_GNT_1.jpg</t>
        </is>
      </c>
      <c r="J138" t="inlineStr">
        <is>
          <t>HALIFAX_WOMENS_119000599_GNT_2.jpg</t>
        </is>
      </c>
      <c r="K138" t="inlineStr">
        <is>
          <t>HALIFAX_WOMENS_119000599_GNT_3.jpg</t>
        </is>
      </c>
      <c r="L138">
        <f>IMAGE("file:///E:/Estudios%20y%20certificaciones/ESTUDIOS%20DE%20PROGRAMMING/PROGRAMMING/PERSONAL/PYTHON/Image_Generator_API/imagenes/HALIFAX_WOMENS_119000599_GNT_1.jpg")</f>
        <v/>
      </c>
      <c r="M138">
        <f>IMAGE("file:///E:/Estudios%20y%20certificaciones/ESTUDIOS%20DE%20PROGRAMMING/PROGRAMMING/PERSONAL/PYTHON/Image_Generator_API/imagenes/HALIFAX_WOMENS_119000599_GNT_2.jpg")</f>
        <v/>
      </c>
      <c r="N138">
        <f>IMAGE("file:///E:/Estudios%20y%20certificaciones/ESTUDIOS%20DE%20PROGRAMMING/PROGRAMMING/PERSONAL/PYTHON/Image_Generator_API/imagenes/HALIFAX_WOMENS_119000599_GNT_3.jpg")</f>
        <v/>
      </c>
      <c r="O138">
        <f>HYPERLINK("imagenes/HALIFAX_WOMENS_119000599_GNT_1.jpg","Ver imagen")</f>
        <v/>
      </c>
      <c r="P138">
        <f>HYPERLINK("imagenes/HALIFAX_WOMENS_119000599_GNT_2.jpg","Ver imagen")</f>
        <v/>
      </c>
      <c r="Q138">
        <f>HYPERLINK("imagenes/HALIFAX_WOMENS_119000599_GNT_3.jpg","Ver imagen")</f>
        <v/>
      </c>
    </row>
    <row r="139">
      <c r="A139" t="inlineStr">
        <is>
          <t>HALIFAX WOMENS</t>
        </is>
      </c>
      <c r="B139" t="inlineStr">
        <is>
          <t>119000599</t>
        </is>
      </c>
      <c r="C139" t="inlineStr">
        <is>
          <t>Softshell B/T Mellowpile Anorak Jacket CBL:31</t>
        </is>
      </c>
      <c r="D139" t="inlineStr">
        <is>
          <t>RBY</t>
        </is>
      </c>
      <c r="E139" t="inlineStr">
        <is>
          <t>06A01</t>
        </is>
      </c>
      <c r="F139" t="inlineStr">
        <is>
          <t>(en blanco)</t>
        </is>
      </c>
      <c r="G139" t="inlineStr">
        <is>
          <t>PPK</t>
        </is>
      </c>
      <c r="H139" t="n">
        <v>0</v>
      </c>
      <c r="I139" t="inlineStr">
        <is>
          <t>HALIFAX_WOMENS_119000599_RBY_1.jpg</t>
        </is>
      </c>
      <c r="J139" t="inlineStr">
        <is>
          <t>HALIFAX_WOMENS_119000599_RBY_2.jpg</t>
        </is>
      </c>
      <c r="K139" t="inlineStr">
        <is>
          <t>HALIFAX_WOMENS_119000599_RBY_3.jpg</t>
        </is>
      </c>
      <c r="L139">
        <f>IMAGE("file:///E:/Estudios%20y%20certificaciones/ESTUDIOS%20DE%20PROGRAMMING/PROGRAMMING/PERSONAL/PYTHON/Image_Generator_API/imagenes/HALIFAX_WOMENS_119000599_RBY_1.jpg")</f>
        <v/>
      </c>
      <c r="M139">
        <f>IMAGE("file:///E:/Estudios%20y%20certificaciones/ESTUDIOS%20DE%20PROGRAMMING/PROGRAMMING/PERSONAL/PYTHON/Image_Generator_API/imagenes/HALIFAX_WOMENS_119000599_RBY_2.jpg")</f>
        <v/>
      </c>
      <c r="N139">
        <f>IMAGE("file:///E:/Estudios%20y%20certificaciones/ESTUDIOS%20DE%20PROGRAMMING/PROGRAMMING/PERSONAL/PYTHON/Image_Generator_API/imagenes/HALIFAX_WOMENS_119000599_RBY_3.jpg")</f>
        <v/>
      </c>
      <c r="O139">
        <f>HYPERLINK("imagenes/HALIFAX_WOMENS_119000599_RBY_1.jpg","Ver imagen")</f>
        <v/>
      </c>
      <c r="P139">
        <f>HYPERLINK("imagenes/HALIFAX_WOMENS_119000599_RBY_2.jpg","Ver imagen")</f>
        <v/>
      </c>
      <c r="Q139">
        <f>HYPERLINK("imagenes/HALIFAX_WOMENS_119000599_RBY_3.jpg","Ver imagen")</f>
        <v/>
      </c>
    </row>
    <row r="140">
      <c r="A140" t="inlineStr">
        <is>
          <t>HALIFAX WOMENS</t>
        </is>
      </c>
      <c r="B140" t="inlineStr">
        <is>
          <t>119001137</t>
        </is>
      </c>
      <c r="C140" t="inlineStr">
        <is>
          <t>Stretch Wellon Faux Sherpa Trimmed Jacket CBL:26</t>
        </is>
      </c>
      <c r="D140" t="inlineStr">
        <is>
          <t>BLK</t>
        </is>
      </c>
      <c r="E140" t="inlineStr">
        <is>
          <t>06A01</t>
        </is>
      </c>
      <c r="F140" t="inlineStr">
        <is>
          <t>(en blanco)</t>
        </is>
      </c>
      <c r="G140" t="inlineStr">
        <is>
          <t>PPK</t>
        </is>
      </c>
      <c r="H140" t="n">
        <v>2094</v>
      </c>
      <c r="I140" t="inlineStr">
        <is>
          <t>HALIFAX_WOMENS_119001137_BLK_1.jpg</t>
        </is>
      </c>
      <c r="J140" t="inlineStr">
        <is>
          <t>HALIFAX_WOMENS_119001137_BLK_2.jpg</t>
        </is>
      </c>
      <c r="K140" t="inlineStr">
        <is>
          <t>HALIFAX_WOMENS_119001137_BLK_3.jpg</t>
        </is>
      </c>
      <c r="L140">
        <f>IMAGE("file:///E:/Estudios%20y%20certificaciones/ESTUDIOS%20DE%20PROGRAMMING/PROGRAMMING/PERSONAL/PYTHON/Image_Generator_API/imagenes/HALIFAX_WOMENS_119001137_BLK_1.jpg")</f>
        <v/>
      </c>
      <c r="M140">
        <f>IMAGE("file:///E:/Estudios%20y%20certificaciones/ESTUDIOS%20DE%20PROGRAMMING/PROGRAMMING/PERSONAL/PYTHON/Image_Generator_API/imagenes/HALIFAX_WOMENS_119001137_BLK_2.jpg")</f>
        <v/>
      </c>
      <c r="N140">
        <f>IMAGE("file:///E:/Estudios%20y%20certificaciones/ESTUDIOS%20DE%20PROGRAMMING/PROGRAMMING/PERSONAL/PYTHON/Image_Generator_API/imagenes/HALIFAX_WOMENS_119001137_BLK_3.jpg")</f>
        <v/>
      </c>
      <c r="O140">
        <f>HYPERLINK("imagenes/HALIFAX_WOMENS_119001137_BLK_1.jpg","Ver imagen")</f>
        <v/>
      </c>
      <c r="P140">
        <f>HYPERLINK("imagenes/HALIFAX_WOMENS_119001137_BLK_2.jpg","Ver imagen")</f>
        <v/>
      </c>
      <c r="Q140">
        <f>HYPERLINK("imagenes/HALIFAX_WOMENS_119001137_BLK_3.jpg","Ver imagen")</f>
        <v/>
      </c>
    </row>
    <row r="141">
      <c r="A141" t="inlineStr">
        <is>
          <t>HALIFAX WOMENS</t>
        </is>
      </c>
      <c r="B141" t="inlineStr">
        <is>
          <t>119001137</t>
        </is>
      </c>
      <c r="C141" t="inlineStr">
        <is>
          <t>Stretch Wellon Faux Sherpa Trimmed Jacket CBL:26</t>
        </is>
      </c>
      <c r="D141" t="inlineStr">
        <is>
          <t>BLK</t>
        </is>
      </c>
      <c r="E141" t="inlineStr">
        <is>
          <t>08A06</t>
        </is>
      </c>
      <c r="F141" t="inlineStr">
        <is>
          <t>B2230</t>
        </is>
      </c>
      <c r="G141" t="inlineStr">
        <is>
          <t>PPK</t>
        </is>
      </c>
      <c r="H141" t="n">
        <v>8</v>
      </c>
      <c r="I141" t="inlineStr">
        <is>
          <t>HALIFAX_WOMENS_119001137_BLK_1.jpg</t>
        </is>
      </c>
      <c r="J141" t="inlineStr">
        <is>
          <t>HALIFAX_WOMENS_119001137_BLK_2.jpg</t>
        </is>
      </c>
      <c r="K141" t="inlineStr">
        <is>
          <t>HALIFAX_WOMENS_119001137_BLK_3.jpg</t>
        </is>
      </c>
      <c r="L141">
        <f>IMAGE("file:///E:/Estudios%20y%20certificaciones/ESTUDIOS%20DE%20PROGRAMMING/PROGRAMMING/PERSONAL/PYTHON/Image_Generator_API/imagenes/HALIFAX_WOMENS_119001137_BLK_1.jpg")</f>
        <v/>
      </c>
      <c r="M141">
        <f>IMAGE("file:///E:/Estudios%20y%20certificaciones/ESTUDIOS%20DE%20PROGRAMMING/PROGRAMMING/PERSONAL/PYTHON/Image_Generator_API/imagenes/HALIFAX_WOMENS_119001137_BLK_2.jpg")</f>
        <v/>
      </c>
      <c r="N141">
        <f>IMAGE("file:///E:/Estudios%20y%20certificaciones/ESTUDIOS%20DE%20PROGRAMMING/PROGRAMMING/PERSONAL/PYTHON/Image_Generator_API/imagenes/HALIFAX_WOMENS_119001137_BLK_3.jpg")</f>
        <v/>
      </c>
      <c r="O141">
        <f>HYPERLINK("imagenes/HALIFAX_WOMENS_119001137_BLK_1.jpg","Ver imagen")</f>
        <v/>
      </c>
      <c r="P141">
        <f>HYPERLINK("imagenes/HALIFAX_WOMENS_119001137_BLK_2.jpg","Ver imagen")</f>
        <v/>
      </c>
      <c r="Q141">
        <f>HYPERLINK("imagenes/HALIFAX_WOMENS_119001137_BLK_3.jpg","Ver imagen")</f>
        <v/>
      </c>
    </row>
    <row r="142">
      <c r="A142" t="inlineStr">
        <is>
          <t>HALIFAX WOMENS</t>
        </is>
      </c>
      <c r="B142" t="inlineStr">
        <is>
          <t>119001137</t>
        </is>
      </c>
      <c r="C142" t="inlineStr">
        <is>
          <t>Stretch Wellon Faux Sherpa Trimmed Jacket CBL:26</t>
        </is>
      </c>
      <c r="D142" t="inlineStr">
        <is>
          <t>BLK</t>
        </is>
      </c>
      <c r="E142" t="inlineStr">
        <is>
          <t>(en blanco)</t>
        </is>
      </c>
      <c r="F142" t="inlineStr">
        <is>
          <t>(en blanco)</t>
        </is>
      </c>
      <c r="G142" t="inlineStr">
        <is>
          <t>S</t>
        </is>
      </c>
      <c r="H142" t="n">
        <v>6</v>
      </c>
      <c r="I142" t="inlineStr">
        <is>
          <t>HALIFAX_WOMENS_119001137_BLK_1.jpg</t>
        </is>
      </c>
      <c r="J142" t="inlineStr">
        <is>
          <t>HALIFAX_WOMENS_119001137_BLK_2.jpg</t>
        </is>
      </c>
      <c r="K142" t="inlineStr">
        <is>
          <t>HALIFAX_WOMENS_119001137_BLK_3.jpg</t>
        </is>
      </c>
      <c r="L142">
        <f>IMAGE("file:///E:/Estudios%20y%20certificaciones/ESTUDIOS%20DE%20PROGRAMMING/PROGRAMMING/PERSONAL/PYTHON/Image_Generator_API/imagenes/HALIFAX_WOMENS_119001137_BLK_1.jpg")</f>
        <v/>
      </c>
      <c r="M142">
        <f>IMAGE("file:///E:/Estudios%20y%20certificaciones/ESTUDIOS%20DE%20PROGRAMMING/PROGRAMMING/PERSONAL/PYTHON/Image_Generator_API/imagenes/HALIFAX_WOMENS_119001137_BLK_2.jpg")</f>
        <v/>
      </c>
      <c r="N142">
        <f>IMAGE("file:///E:/Estudios%20y%20certificaciones/ESTUDIOS%20DE%20PROGRAMMING/PROGRAMMING/PERSONAL/PYTHON/Image_Generator_API/imagenes/HALIFAX_WOMENS_119001137_BLK_3.jpg")</f>
        <v/>
      </c>
      <c r="O142">
        <f>HYPERLINK("imagenes/HALIFAX_WOMENS_119001137_BLK_1.jpg","Ver imagen")</f>
        <v/>
      </c>
      <c r="P142">
        <f>HYPERLINK("imagenes/HALIFAX_WOMENS_119001137_BLK_2.jpg","Ver imagen")</f>
        <v/>
      </c>
      <c r="Q142">
        <f>HYPERLINK("imagenes/HALIFAX_WOMENS_119001137_BLK_3.jpg","Ver imagen")</f>
        <v/>
      </c>
    </row>
    <row r="143">
      <c r="A143" t="inlineStr">
        <is>
          <t>HALIFAX WOMENS</t>
        </is>
      </c>
      <c r="B143" t="inlineStr">
        <is>
          <t>119001137</t>
        </is>
      </c>
      <c r="C143" t="inlineStr">
        <is>
          <t>Stretch Wellon Faux Sherpa Trimmed Jacket CBL:26</t>
        </is>
      </c>
      <c r="D143" t="inlineStr">
        <is>
          <t>BLK</t>
        </is>
      </c>
      <c r="E143" t="inlineStr">
        <is>
          <t>(en blanco)</t>
        </is>
      </c>
      <c r="F143" t="inlineStr">
        <is>
          <t>(en blanco)</t>
        </is>
      </c>
      <c r="G143" t="inlineStr">
        <is>
          <t>M</t>
        </is>
      </c>
      <c r="H143" t="n">
        <v>4</v>
      </c>
      <c r="I143" t="inlineStr">
        <is>
          <t>HALIFAX_WOMENS_119001137_BLK_1.jpg</t>
        </is>
      </c>
      <c r="J143" t="inlineStr">
        <is>
          <t>HALIFAX_WOMENS_119001137_BLK_2.jpg</t>
        </is>
      </c>
      <c r="K143" t="inlineStr">
        <is>
          <t>HALIFAX_WOMENS_119001137_BLK_3.jpg</t>
        </is>
      </c>
      <c r="L143">
        <f>IMAGE("file:///E:/Estudios%20y%20certificaciones/ESTUDIOS%20DE%20PROGRAMMING/PROGRAMMING/PERSONAL/PYTHON/Image_Generator_API/imagenes/HALIFAX_WOMENS_119001137_BLK_1.jpg")</f>
        <v/>
      </c>
      <c r="M143">
        <f>IMAGE("file:///E:/Estudios%20y%20certificaciones/ESTUDIOS%20DE%20PROGRAMMING/PROGRAMMING/PERSONAL/PYTHON/Image_Generator_API/imagenes/HALIFAX_WOMENS_119001137_BLK_2.jpg")</f>
        <v/>
      </c>
      <c r="N143">
        <f>IMAGE("file:///E:/Estudios%20y%20certificaciones/ESTUDIOS%20DE%20PROGRAMMING/PROGRAMMING/PERSONAL/PYTHON/Image_Generator_API/imagenes/HALIFAX_WOMENS_119001137_BLK_3.jpg")</f>
        <v/>
      </c>
      <c r="O143">
        <f>HYPERLINK("imagenes/HALIFAX_WOMENS_119001137_BLK_1.jpg","Ver imagen")</f>
        <v/>
      </c>
      <c r="P143">
        <f>HYPERLINK("imagenes/HALIFAX_WOMENS_119001137_BLK_2.jpg","Ver imagen")</f>
        <v/>
      </c>
      <c r="Q143">
        <f>HYPERLINK("imagenes/HALIFAX_WOMENS_119001137_BLK_3.jpg","Ver imagen")</f>
        <v/>
      </c>
    </row>
    <row r="144">
      <c r="A144" t="inlineStr">
        <is>
          <t>HALIFAX WOMENS</t>
        </is>
      </c>
      <c r="B144" t="inlineStr">
        <is>
          <t>119001137</t>
        </is>
      </c>
      <c r="C144" t="inlineStr">
        <is>
          <t>Stretch Wellon Faux Sherpa Trimmed Jacket CBL:26</t>
        </is>
      </c>
      <c r="D144" t="inlineStr">
        <is>
          <t>BON</t>
        </is>
      </c>
      <c r="E144" t="inlineStr">
        <is>
          <t>06A01</t>
        </is>
      </c>
      <c r="F144" t="inlineStr">
        <is>
          <t>(en blanco)</t>
        </is>
      </c>
      <c r="G144" t="inlineStr">
        <is>
          <t>PPK</t>
        </is>
      </c>
      <c r="H144" t="n">
        <v>384</v>
      </c>
      <c r="I144" t="inlineStr">
        <is>
          <t>HALIFAX_WOMENS_119001137_BON_2.jpg</t>
        </is>
      </c>
      <c r="J144" t="inlineStr">
        <is>
          <t>HALIFAX_WOMENS_119001137_BON_3.jpg</t>
        </is>
      </c>
      <c r="L144">
        <f>IMAGE("file:///E:/Estudios%20y%20certificaciones/ESTUDIOS%20DE%20PROGRAMMING/PROGRAMMING/PERSONAL/PYTHON/Image_Generator_API/imagenes/HALIFAX_WOMENS_119001137_BON_2.jpg")</f>
        <v/>
      </c>
      <c r="M144">
        <f>IMAGE("file:///E:/Estudios%20y%20certificaciones/ESTUDIOS%20DE%20PROGRAMMING/PROGRAMMING/PERSONAL/PYTHON/Image_Generator_API/imagenes/HALIFAX_WOMENS_119001137_BON_3.jpg")</f>
        <v/>
      </c>
      <c r="O144">
        <f>HYPERLINK("imagenes/HALIFAX_WOMENS_119001137_BON_2.jpg","Ver imagen")</f>
        <v/>
      </c>
      <c r="P144">
        <f>HYPERLINK("imagenes/HALIFAX_WOMENS_119001137_BON_3.jpg","Ver imagen")</f>
        <v/>
      </c>
    </row>
    <row r="145">
      <c r="A145" t="inlineStr">
        <is>
          <t>HALIFAX WOMENS</t>
        </is>
      </c>
      <c r="B145" t="inlineStr">
        <is>
          <t>119001137</t>
        </is>
      </c>
      <c r="C145" t="inlineStr">
        <is>
          <t>Stretch Wellon Faux Sherpa Trimmed Jacket CBL:26</t>
        </is>
      </c>
      <c r="D145" t="inlineStr">
        <is>
          <t>BON</t>
        </is>
      </c>
      <c r="E145" t="inlineStr">
        <is>
          <t>08A06</t>
        </is>
      </c>
      <c r="F145" t="inlineStr">
        <is>
          <t>B2230</t>
        </is>
      </c>
      <c r="G145" t="inlineStr">
        <is>
          <t>PPK</t>
        </is>
      </c>
      <c r="H145" t="n">
        <v>0</v>
      </c>
      <c r="I145" t="inlineStr">
        <is>
          <t>HALIFAX_WOMENS_119001137_BON_2.jpg</t>
        </is>
      </c>
      <c r="J145" t="inlineStr">
        <is>
          <t>HALIFAX_WOMENS_119001137_BON_3.jpg</t>
        </is>
      </c>
      <c r="L145">
        <f>IMAGE("file:///E:/Estudios%20y%20certificaciones/ESTUDIOS%20DE%20PROGRAMMING/PROGRAMMING/PERSONAL/PYTHON/Image_Generator_API/imagenes/HALIFAX_WOMENS_119001137_BON_2.jpg")</f>
        <v/>
      </c>
      <c r="M145">
        <f>IMAGE("file:///E:/Estudios%20y%20certificaciones/ESTUDIOS%20DE%20PROGRAMMING/PROGRAMMING/PERSONAL/PYTHON/Image_Generator_API/imagenes/HALIFAX_WOMENS_119001137_BON_3.jpg")</f>
        <v/>
      </c>
      <c r="O145">
        <f>HYPERLINK("imagenes/HALIFAX_WOMENS_119001137_BON_2.jpg","Ver imagen")</f>
        <v/>
      </c>
      <c r="P145">
        <f>HYPERLINK("imagenes/HALIFAX_WOMENS_119001137_BON_3.jpg","Ver imagen")</f>
        <v/>
      </c>
    </row>
    <row r="146">
      <c r="A146" t="inlineStr">
        <is>
          <t>HALIFAX WOMENS</t>
        </is>
      </c>
      <c r="B146" t="inlineStr">
        <is>
          <t>119001137</t>
        </is>
      </c>
      <c r="C146" t="inlineStr">
        <is>
          <t>Stretch Wellon Faux Sherpa Trimmed Jacket CBL:26</t>
        </is>
      </c>
      <c r="D146" t="inlineStr">
        <is>
          <t>CHO</t>
        </is>
      </c>
      <c r="E146" t="inlineStr">
        <is>
          <t>06A01</t>
        </is>
      </c>
      <c r="F146" t="inlineStr">
        <is>
          <t>(en blanco)</t>
        </is>
      </c>
      <c r="G146" t="inlineStr">
        <is>
          <t>PPK</t>
        </is>
      </c>
      <c r="H146" t="n">
        <v>396</v>
      </c>
      <c r="I146" t="inlineStr">
        <is>
          <t>HALIFAX_WOMENS_119001137_CHO_1.jpg</t>
        </is>
      </c>
      <c r="J146" t="inlineStr">
        <is>
          <t>HALIFAX_WOMENS_119001137_CHO_2.jpg</t>
        </is>
      </c>
      <c r="K146" t="inlineStr">
        <is>
          <t>HALIFAX_WOMENS_119001137_CHO_3.jpg</t>
        </is>
      </c>
      <c r="L146">
        <f>IMAGE("file:///E:/Estudios%20y%20certificaciones/ESTUDIOS%20DE%20PROGRAMMING/PROGRAMMING/PERSONAL/PYTHON/Image_Generator_API/imagenes/HALIFAX_WOMENS_119001137_CHO_1.jpg")</f>
        <v/>
      </c>
      <c r="M146">
        <f>IMAGE("file:///E:/Estudios%20y%20certificaciones/ESTUDIOS%20DE%20PROGRAMMING/PROGRAMMING/PERSONAL/PYTHON/Image_Generator_API/imagenes/HALIFAX_WOMENS_119001137_CHO_2.jpg")</f>
        <v/>
      </c>
      <c r="N146">
        <f>IMAGE("file:///E:/Estudios%20y%20certificaciones/ESTUDIOS%20DE%20PROGRAMMING/PROGRAMMING/PERSONAL/PYTHON/Image_Generator_API/imagenes/HALIFAX_WOMENS_119001137_CHO_3.jpg")</f>
        <v/>
      </c>
      <c r="O146">
        <f>HYPERLINK("imagenes/HALIFAX_WOMENS_119001137_CHO_1.jpg","Ver imagen")</f>
        <v/>
      </c>
      <c r="P146">
        <f>HYPERLINK("imagenes/HALIFAX_WOMENS_119001137_CHO_2.jpg","Ver imagen")</f>
        <v/>
      </c>
      <c r="Q146">
        <f>HYPERLINK("imagenes/HALIFAX_WOMENS_119001137_CHO_3.jpg","Ver imagen")</f>
        <v/>
      </c>
    </row>
    <row r="147">
      <c r="A147" t="inlineStr">
        <is>
          <t>HALIFAX WOMENS</t>
        </is>
      </c>
      <c r="B147" t="inlineStr">
        <is>
          <t>119001138</t>
        </is>
      </c>
      <c r="C147" t="inlineStr">
        <is>
          <t>Heavy Weight Faux Fur Trimmed Maxi Puffer CBL:48</t>
        </is>
      </c>
      <c r="D147" t="inlineStr">
        <is>
          <t>BLK</t>
        </is>
      </c>
      <c r="E147" t="inlineStr">
        <is>
          <t>(en blanco)</t>
        </is>
      </c>
      <c r="F147" t="inlineStr">
        <is>
          <t>(en blanco)</t>
        </is>
      </c>
      <c r="G147" t="inlineStr">
        <is>
          <t>S</t>
        </is>
      </c>
      <c r="H147" t="n">
        <v>39</v>
      </c>
      <c r="I147" t="inlineStr">
        <is>
          <t>HALIFAX_WOMENS_119001138_BLK_1.jpg</t>
        </is>
      </c>
      <c r="J147" t="inlineStr">
        <is>
          <t>HALIFAX_WOMENS_119001138_BLK_2.jpg</t>
        </is>
      </c>
      <c r="K147" t="inlineStr">
        <is>
          <t>HALIFAX_WOMENS_119001138_BLK_3.jpg</t>
        </is>
      </c>
      <c r="L147">
        <f>IMAGE("file:///E:/Estudios%20y%20certificaciones/ESTUDIOS%20DE%20PROGRAMMING/PROGRAMMING/PERSONAL/PYTHON/Image_Generator_API/imagenes/HALIFAX_WOMENS_119001138_BLK_1.jpg")</f>
        <v/>
      </c>
      <c r="M147">
        <f>IMAGE("file:///E:/Estudios%20y%20certificaciones/ESTUDIOS%20DE%20PROGRAMMING/PROGRAMMING/PERSONAL/PYTHON/Image_Generator_API/imagenes/HALIFAX_WOMENS_119001138_BLK_2.jpg")</f>
        <v/>
      </c>
      <c r="N147">
        <f>IMAGE("file:///E:/Estudios%20y%20certificaciones/ESTUDIOS%20DE%20PROGRAMMING/PROGRAMMING/PERSONAL/PYTHON/Image_Generator_API/imagenes/HALIFAX_WOMENS_119001138_BLK_3.jpg")</f>
        <v/>
      </c>
      <c r="O147">
        <f>HYPERLINK("imagenes/HALIFAX_WOMENS_119001138_BLK_1.jpg","Ver imagen")</f>
        <v/>
      </c>
      <c r="P147">
        <f>HYPERLINK("imagenes/HALIFAX_WOMENS_119001138_BLK_2.jpg","Ver imagen")</f>
        <v/>
      </c>
      <c r="Q147">
        <f>HYPERLINK("imagenes/HALIFAX_WOMENS_119001138_BLK_3.jpg","Ver imagen")</f>
        <v/>
      </c>
    </row>
    <row r="148">
      <c r="A148" t="inlineStr">
        <is>
          <t>HALIFAX WOMENS</t>
        </is>
      </c>
      <c r="B148" t="inlineStr">
        <is>
          <t>119001138</t>
        </is>
      </c>
      <c r="C148" t="inlineStr">
        <is>
          <t>Heavy Weight Faux Fur Trimmed Maxi Puffer CBL:48</t>
        </is>
      </c>
      <c r="D148" t="inlineStr">
        <is>
          <t>BLK</t>
        </is>
      </c>
      <c r="E148" t="inlineStr">
        <is>
          <t>(en blanco)</t>
        </is>
      </c>
      <c r="F148" t="inlineStr">
        <is>
          <t>(en blanco)</t>
        </is>
      </c>
      <c r="G148" t="inlineStr">
        <is>
          <t>M</t>
        </is>
      </c>
      <c r="H148" t="n">
        <v>71</v>
      </c>
      <c r="I148" t="inlineStr">
        <is>
          <t>HALIFAX_WOMENS_119001138_BLK_1.jpg</t>
        </is>
      </c>
      <c r="J148" t="inlineStr">
        <is>
          <t>HALIFAX_WOMENS_119001138_BLK_2.jpg</t>
        </is>
      </c>
      <c r="K148" t="inlineStr">
        <is>
          <t>HALIFAX_WOMENS_119001138_BLK_3.jpg</t>
        </is>
      </c>
      <c r="L148">
        <f>IMAGE("file:///E:/Estudios%20y%20certificaciones/ESTUDIOS%20DE%20PROGRAMMING/PROGRAMMING/PERSONAL/PYTHON/Image_Generator_API/imagenes/HALIFAX_WOMENS_119001138_BLK_1.jpg")</f>
        <v/>
      </c>
      <c r="M148">
        <f>IMAGE("file:///E:/Estudios%20y%20certificaciones/ESTUDIOS%20DE%20PROGRAMMING/PROGRAMMING/PERSONAL/PYTHON/Image_Generator_API/imagenes/HALIFAX_WOMENS_119001138_BLK_2.jpg")</f>
        <v/>
      </c>
      <c r="N148">
        <f>IMAGE("file:///E:/Estudios%20y%20certificaciones/ESTUDIOS%20DE%20PROGRAMMING/PROGRAMMING/PERSONAL/PYTHON/Image_Generator_API/imagenes/HALIFAX_WOMENS_119001138_BLK_3.jpg")</f>
        <v/>
      </c>
      <c r="O148">
        <f>HYPERLINK("imagenes/HALIFAX_WOMENS_119001138_BLK_1.jpg","Ver imagen")</f>
        <v/>
      </c>
      <c r="P148">
        <f>HYPERLINK("imagenes/HALIFAX_WOMENS_119001138_BLK_2.jpg","Ver imagen")</f>
        <v/>
      </c>
      <c r="Q148">
        <f>HYPERLINK("imagenes/HALIFAX_WOMENS_119001138_BLK_3.jpg","Ver imagen")</f>
        <v/>
      </c>
    </row>
    <row r="149">
      <c r="A149" t="inlineStr">
        <is>
          <t>HALIFAX WOMENS</t>
        </is>
      </c>
      <c r="B149" t="inlineStr">
        <is>
          <t>119001138</t>
        </is>
      </c>
      <c r="C149" t="inlineStr">
        <is>
          <t>Heavy Weight Faux Fur Trimmed Maxi Puffer CBL:48</t>
        </is>
      </c>
      <c r="D149" t="inlineStr">
        <is>
          <t>BLK</t>
        </is>
      </c>
      <c r="E149" t="inlineStr">
        <is>
          <t>(en blanco)</t>
        </is>
      </c>
      <c r="F149" t="inlineStr">
        <is>
          <t>(en blanco)</t>
        </is>
      </c>
      <c r="G149" t="inlineStr">
        <is>
          <t>L</t>
        </is>
      </c>
      <c r="H149" t="n">
        <v>108</v>
      </c>
      <c r="I149" t="inlineStr">
        <is>
          <t>HALIFAX_WOMENS_119001138_BLK_1.jpg</t>
        </is>
      </c>
      <c r="J149" t="inlineStr">
        <is>
          <t>HALIFAX_WOMENS_119001138_BLK_2.jpg</t>
        </is>
      </c>
      <c r="K149" t="inlineStr">
        <is>
          <t>HALIFAX_WOMENS_119001138_BLK_3.jpg</t>
        </is>
      </c>
      <c r="L149">
        <f>IMAGE("file:///E:/Estudios%20y%20certificaciones/ESTUDIOS%20DE%20PROGRAMMING/PROGRAMMING/PERSONAL/PYTHON/Image_Generator_API/imagenes/HALIFAX_WOMENS_119001138_BLK_1.jpg")</f>
        <v/>
      </c>
      <c r="M149">
        <f>IMAGE("file:///E:/Estudios%20y%20certificaciones/ESTUDIOS%20DE%20PROGRAMMING/PROGRAMMING/PERSONAL/PYTHON/Image_Generator_API/imagenes/HALIFAX_WOMENS_119001138_BLK_2.jpg")</f>
        <v/>
      </c>
      <c r="N149">
        <f>IMAGE("file:///E:/Estudios%20y%20certificaciones/ESTUDIOS%20DE%20PROGRAMMING/PROGRAMMING/PERSONAL/PYTHON/Image_Generator_API/imagenes/HALIFAX_WOMENS_119001138_BLK_3.jpg")</f>
        <v/>
      </c>
      <c r="O149">
        <f>HYPERLINK("imagenes/HALIFAX_WOMENS_119001138_BLK_1.jpg","Ver imagen")</f>
        <v/>
      </c>
      <c r="P149">
        <f>HYPERLINK("imagenes/HALIFAX_WOMENS_119001138_BLK_2.jpg","Ver imagen")</f>
        <v/>
      </c>
      <c r="Q149">
        <f>HYPERLINK("imagenes/HALIFAX_WOMENS_119001138_BLK_3.jpg","Ver imagen")</f>
        <v/>
      </c>
    </row>
    <row r="150">
      <c r="A150" t="inlineStr">
        <is>
          <t>HALIFAX WOMENS</t>
        </is>
      </c>
      <c r="B150" t="inlineStr">
        <is>
          <t>119001138</t>
        </is>
      </c>
      <c r="C150" t="inlineStr">
        <is>
          <t>Heavy Weight Faux Fur Trimmed Maxi Puffer CBL:48</t>
        </is>
      </c>
      <c r="D150" t="inlineStr">
        <is>
          <t>BLK</t>
        </is>
      </c>
      <c r="E150" t="inlineStr">
        <is>
          <t>(en blanco)</t>
        </is>
      </c>
      <c r="F150" t="inlineStr">
        <is>
          <t>(en blanco)</t>
        </is>
      </c>
      <c r="G150" t="inlineStr">
        <is>
          <t>XL</t>
        </is>
      </c>
      <c r="H150" t="n">
        <v>69</v>
      </c>
      <c r="I150" t="inlineStr">
        <is>
          <t>HALIFAX_WOMENS_119001138_BLK_1.jpg</t>
        </is>
      </c>
      <c r="J150" t="inlineStr">
        <is>
          <t>HALIFAX_WOMENS_119001138_BLK_2.jpg</t>
        </is>
      </c>
      <c r="K150" t="inlineStr">
        <is>
          <t>HALIFAX_WOMENS_119001138_BLK_3.jpg</t>
        </is>
      </c>
      <c r="L150">
        <f>IMAGE("file:///E:/Estudios%20y%20certificaciones/ESTUDIOS%20DE%20PROGRAMMING/PROGRAMMING/PERSONAL/PYTHON/Image_Generator_API/imagenes/HALIFAX_WOMENS_119001138_BLK_1.jpg")</f>
        <v/>
      </c>
      <c r="M150">
        <f>IMAGE("file:///E:/Estudios%20y%20certificaciones/ESTUDIOS%20DE%20PROGRAMMING/PROGRAMMING/PERSONAL/PYTHON/Image_Generator_API/imagenes/HALIFAX_WOMENS_119001138_BLK_2.jpg")</f>
        <v/>
      </c>
      <c r="N150">
        <f>IMAGE("file:///E:/Estudios%20y%20certificaciones/ESTUDIOS%20DE%20PROGRAMMING/PROGRAMMING/PERSONAL/PYTHON/Image_Generator_API/imagenes/HALIFAX_WOMENS_119001138_BLK_3.jpg")</f>
        <v/>
      </c>
      <c r="O150">
        <f>HYPERLINK("imagenes/HALIFAX_WOMENS_119001138_BLK_1.jpg","Ver imagen")</f>
        <v/>
      </c>
      <c r="P150">
        <f>HYPERLINK("imagenes/HALIFAX_WOMENS_119001138_BLK_2.jpg","Ver imagen")</f>
        <v/>
      </c>
      <c r="Q150">
        <f>HYPERLINK("imagenes/HALIFAX_WOMENS_119001138_BLK_3.jpg","Ver imagen")</f>
        <v/>
      </c>
    </row>
    <row r="151">
      <c r="A151" t="inlineStr">
        <is>
          <t>HALIFAX WOMENS</t>
        </is>
      </c>
      <c r="B151" t="inlineStr">
        <is>
          <t>119001138</t>
        </is>
      </c>
      <c r="C151" t="inlineStr">
        <is>
          <t>Heavy Weight Faux Fur Trimmed Maxi Puffer CBL:48</t>
        </is>
      </c>
      <c r="D151" t="inlineStr">
        <is>
          <t>BLK</t>
        </is>
      </c>
      <c r="E151" t="inlineStr">
        <is>
          <t>(en blanco)</t>
        </is>
      </c>
      <c r="F151" t="inlineStr">
        <is>
          <t>(en blanco)</t>
        </is>
      </c>
      <c r="G151" t="inlineStr">
        <is>
          <t>XXL</t>
        </is>
      </c>
      <c r="H151" t="n">
        <v>40</v>
      </c>
      <c r="I151" t="inlineStr">
        <is>
          <t>HALIFAX_WOMENS_119001138_BLK_1.jpg</t>
        </is>
      </c>
      <c r="J151" t="inlineStr">
        <is>
          <t>HALIFAX_WOMENS_119001138_BLK_2.jpg</t>
        </is>
      </c>
      <c r="K151" t="inlineStr">
        <is>
          <t>HALIFAX_WOMENS_119001138_BLK_3.jpg</t>
        </is>
      </c>
      <c r="L151">
        <f>IMAGE("file:///E:/Estudios%20y%20certificaciones/ESTUDIOS%20DE%20PROGRAMMING/PROGRAMMING/PERSONAL/PYTHON/Image_Generator_API/imagenes/HALIFAX_WOMENS_119001138_BLK_1.jpg")</f>
        <v/>
      </c>
      <c r="M151">
        <f>IMAGE("file:///E:/Estudios%20y%20certificaciones/ESTUDIOS%20DE%20PROGRAMMING/PROGRAMMING/PERSONAL/PYTHON/Image_Generator_API/imagenes/HALIFAX_WOMENS_119001138_BLK_2.jpg")</f>
        <v/>
      </c>
      <c r="N151">
        <f>IMAGE("file:///E:/Estudios%20y%20certificaciones/ESTUDIOS%20DE%20PROGRAMMING/PROGRAMMING/PERSONAL/PYTHON/Image_Generator_API/imagenes/HALIFAX_WOMENS_119001138_BLK_3.jpg")</f>
        <v/>
      </c>
      <c r="O151">
        <f>HYPERLINK("imagenes/HALIFAX_WOMENS_119001138_BLK_1.jpg","Ver imagen")</f>
        <v/>
      </c>
      <c r="P151">
        <f>HYPERLINK("imagenes/HALIFAX_WOMENS_119001138_BLK_2.jpg","Ver imagen")</f>
        <v/>
      </c>
      <c r="Q151">
        <f>HYPERLINK("imagenes/HALIFAX_WOMENS_119001138_BLK_3.jpg","Ver imagen")</f>
        <v/>
      </c>
    </row>
    <row r="152">
      <c r="A152" t="inlineStr">
        <is>
          <t>HALIFAX WOMENS</t>
        </is>
      </c>
      <c r="B152" t="inlineStr">
        <is>
          <t>119001138</t>
        </is>
      </c>
      <c r="C152" t="inlineStr">
        <is>
          <t>Heavy Weight Faux Fur Trimmed Maxi Puffer CBL:48</t>
        </is>
      </c>
      <c r="D152" t="inlineStr">
        <is>
          <t>NVY</t>
        </is>
      </c>
      <c r="E152" t="inlineStr">
        <is>
          <t>(en blanco)</t>
        </is>
      </c>
      <c r="F152" t="inlineStr">
        <is>
          <t>(en blanco)</t>
        </is>
      </c>
      <c r="G152" t="inlineStr">
        <is>
          <t>S</t>
        </is>
      </c>
      <c r="H152" t="n">
        <v>13</v>
      </c>
      <c r="I152" t="inlineStr">
        <is>
          <t>HALIFAX_WOMENS_119001138_NVY_1.jpg</t>
        </is>
      </c>
      <c r="J152" t="inlineStr">
        <is>
          <t>HALIFAX_WOMENS_119001138_NVY_2.jpg</t>
        </is>
      </c>
      <c r="K152" t="inlineStr">
        <is>
          <t>HALIFAX_WOMENS_119001138_NVY_3.jpg</t>
        </is>
      </c>
      <c r="L152">
        <f>IMAGE("file:///E:/Estudios%20y%20certificaciones/ESTUDIOS%20DE%20PROGRAMMING/PROGRAMMING/PERSONAL/PYTHON/Image_Generator_API/imagenes/HALIFAX_WOMENS_119001138_NVY_1.jpg")</f>
        <v/>
      </c>
      <c r="M152">
        <f>IMAGE("file:///E:/Estudios%20y%20certificaciones/ESTUDIOS%20DE%20PROGRAMMING/PROGRAMMING/PERSONAL/PYTHON/Image_Generator_API/imagenes/HALIFAX_WOMENS_119001138_NVY_2.jpg")</f>
        <v/>
      </c>
      <c r="N152">
        <f>IMAGE("file:///E:/Estudios%20y%20certificaciones/ESTUDIOS%20DE%20PROGRAMMING/PROGRAMMING/PERSONAL/PYTHON/Image_Generator_API/imagenes/HALIFAX_WOMENS_119001138_NVY_3.jpg")</f>
        <v/>
      </c>
      <c r="O152">
        <f>HYPERLINK("imagenes/HALIFAX_WOMENS_119001138_NVY_1.jpg","Ver imagen")</f>
        <v/>
      </c>
      <c r="P152">
        <f>HYPERLINK("imagenes/HALIFAX_WOMENS_119001138_NVY_2.jpg","Ver imagen")</f>
        <v/>
      </c>
      <c r="Q152">
        <f>HYPERLINK("imagenes/HALIFAX_WOMENS_119001138_NVY_3.jpg","Ver imagen")</f>
        <v/>
      </c>
    </row>
    <row r="153">
      <c r="A153" t="inlineStr">
        <is>
          <t>HALIFAX WOMENS</t>
        </is>
      </c>
      <c r="B153" t="inlineStr">
        <is>
          <t>119001138</t>
        </is>
      </c>
      <c r="C153" t="inlineStr">
        <is>
          <t>Heavy Weight Faux Fur Trimmed Maxi Puffer CBL:48</t>
        </is>
      </c>
      <c r="D153" t="inlineStr">
        <is>
          <t>NVY</t>
        </is>
      </c>
      <c r="E153" t="inlineStr">
        <is>
          <t>(en blanco)</t>
        </is>
      </c>
      <c r="F153" t="inlineStr">
        <is>
          <t>(en blanco)</t>
        </is>
      </c>
      <c r="G153" t="inlineStr">
        <is>
          <t>M</t>
        </is>
      </c>
      <c r="H153" t="n">
        <v>33</v>
      </c>
      <c r="I153" t="inlineStr">
        <is>
          <t>HALIFAX_WOMENS_119001138_NVY_1.jpg</t>
        </is>
      </c>
      <c r="J153" t="inlineStr">
        <is>
          <t>HALIFAX_WOMENS_119001138_NVY_2.jpg</t>
        </is>
      </c>
      <c r="K153" t="inlineStr">
        <is>
          <t>HALIFAX_WOMENS_119001138_NVY_3.jpg</t>
        </is>
      </c>
      <c r="L153">
        <f>IMAGE("file:///E:/Estudios%20y%20certificaciones/ESTUDIOS%20DE%20PROGRAMMING/PROGRAMMING/PERSONAL/PYTHON/Image_Generator_API/imagenes/HALIFAX_WOMENS_119001138_NVY_1.jpg")</f>
        <v/>
      </c>
      <c r="M153">
        <f>IMAGE("file:///E:/Estudios%20y%20certificaciones/ESTUDIOS%20DE%20PROGRAMMING/PROGRAMMING/PERSONAL/PYTHON/Image_Generator_API/imagenes/HALIFAX_WOMENS_119001138_NVY_2.jpg")</f>
        <v/>
      </c>
      <c r="N153">
        <f>IMAGE("file:///E:/Estudios%20y%20certificaciones/ESTUDIOS%20DE%20PROGRAMMING/PROGRAMMING/PERSONAL/PYTHON/Image_Generator_API/imagenes/HALIFAX_WOMENS_119001138_NVY_3.jpg")</f>
        <v/>
      </c>
      <c r="O153">
        <f>HYPERLINK("imagenes/HALIFAX_WOMENS_119001138_NVY_1.jpg","Ver imagen")</f>
        <v/>
      </c>
      <c r="P153">
        <f>HYPERLINK("imagenes/HALIFAX_WOMENS_119001138_NVY_2.jpg","Ver imagen")</f>
        <v/>
      </c>
      <c r="Q153">
        <f>HYPERLINK("imagenes/HALIFAX_WOMENS_119001138_NVY_3.jpg","Ver imagen")</f>
        <v/>
      </c>
    </row>
    <row r="154">
      <c r="A154" t="inlineStr">
        <is>
          <t>HALIFAX WOMENS</t>
        </is>
      </c>
      <c r="B154" t="inlineStr">
        <is>
          <t>119001138</t>
        </is>
      </c>
      <c r="C154" t="inlineStr">
        <is>
          <t>Heavy Weight Faux Fur Trimmed Maxi Puffer CBL:48</t>
        </is>
      </c>
      <c r="D154" t="inlineStr">
        <is>
          <t>NVY</t>
        </is>
      </c>
      <c r="E154" t="inlineStr">
        <is>
          <t>(en blanco)</t>
        </is>
      </c>
      <c r="F154" t="inlineStr">
        <is>
          <t>(en blanco)</t>
        </is>
      </c>
      <c r="G154" t="inlineStr">
        <is>
          <t>L</t>
        </is>
      </c>
      <c r="H154" t="n">
        <v>33</v>
      </c>
      <c r="I154" t="inlineStr">
        <is>
          <t>HALIFAX_WOMENS_119001138_NVY_1.jpg</t>
        </is>
      </c>
      <c r="J154" t="inlineStr">
        <is>
          <t>HALIFAX_WOMENS_119001138_NVY_2.jpg</t>
        </is>
      </c>
      <c r="K154" t="inlineStr">
        <is>
          <t>HALIFAX_WOMENS_119001138_NVY_3.jpg</t>
        </is>
      </c>
      <c r="L154">
        <f>IMAGE("file:///E:/Estudios%20y%20certificaciones/ESTUDIOS%20DE%20PROGRAMMING/PROGRAMMING/PERSONAL/PYTHON/Image_Generator_API/imagenes/HALIFAX_WOMENS_119001138_NVY_1.jpg")</f>
        <v/>
      </c>
      <c r="M154">
        <f>IMAGE("file:///E:/Estudios%20y%20certificaciones/ESTUDIOS%20DE%20PROGRAMMING/PROGRAMMING/PERSONAL/PYTHON/Image_Generator_API/imagenes/HALIFAX_WOMENS_119001138_NVY_2.jpg")</f>
        <v/>
      </c>
      <c r="N154">
        <f>IMAGE("file:///E:/Estudios%20y%20certificaciones/ESTUDIOS%20DE%20PROGRAMMING/PROGRAMMING/PERSONAL/PYTHON/Image_Generator_API/imagenes/HALIFAX_WOMENS_119001138_NVY_3.jpg")</f>
        <v/>
      </c>
      <c r="O154">
        <f>HYPERLINK("imagenes/HALIFAX_WOMENS_119001138_NVY_1.jpg","Ver imagen")</f>
        <v/>
      </c>
      <c r="P154">
        <f>HYPERLINK("imagenes/HALIFAX_WOMENS_119001138_NVY_2.jpg","Ver imagen")</f>
        <v/>
      </c>
      <c r="Q154">
        <f>HYPERLINK("imagenes/HALIFAX_WOMENS_119001138_NVY_3.jpg","Ver imagen")</f>
        <v/>
      </c>
    </row>
    <row r="155">
      <c r="A155" t="inlineStr">
        <is>
          <t>HALIFAX WOMENS</t>
        </is>
      </c>
      <c r="B155" t="inlineStr">
        <is>
          <t>119001138</t>
        </is>
      </c>
      <c r="C155" t="inlineStr">
        <is>
          <t>Heavy Weight Faux Fur Trimmed Maxi Puffer CBL:48</t>
        </is>
      </c>
      <c r="D155" t="inlineStr">
        <is>
          <t>NVY</t>
        </is>
      </c>
      <c r="E155" t="inlineStr">
        <is>
          <t>(en blanco)</t>
        </is>
      </c>
      <c r="F155" t="inlineStr">
        <is>
          <t>(en blanco)</t>
        </is>
      </c>
      <c r="G155" t="inlineStr">
        <is>
          <t>XL</t>
        </is>
      </c>
      <c r="H155" t="n">
        <v>33</v>
      </c>
      <c r="I155" t="inlineStr">
        <is>
          <t>HALIFAX_WOMENS_119001138_NVY_1.jpg</t>
        </is>
      </c>
      <c r="J155" t="inlineStr">
        <is>
          <t>HALIFAX_WOMENS_119001138_NVY_2.jpg</t>
        </is>
      </c>
      <c r="K155" t="inlineStr">
        <is>
          <t>HALIFAX_WOMENS_119001138_NVY_3.jpg</t>
        </is>
      </c>
      <c r="L155">
        <f>IMAGE("file:///E:/Estudios%20y%20certificaciones/ESTUDIOS%20DE%20PROGRAMMING/PROGRAMMING/PERSONAL/PYTHON/Image_Generator_API/imagenes/HALIFAX_WOMENS_119001138_NVY_1.jpg")</f>
        <v/>
      </c>
      <c r="M155">
        <f>IMAGE("file:///E:/Estudios%20y%20certificaciones/ESTUDIOS%20DE%20PROGRAMMING/PROGRAMMING/PERSONAL/PYTHON/Image_Generator_API/imagenes/HALIFAX_WOMENS_119001138_NVY_2.jpg")</f>
        <v/>
      </c>
      <c r="N155">
        <f>IMAGE("file:///E:/Estudios%20y%20certificaciones/ESTUDIOS%20DE%20PROGRAMMING/PROGRAMMING/PERSONAL/PYTHON/Image_Generator_API/imagenes/HALIFAX_WOMENS_119001138_NVY_3.jpg")</f>
        <v/>
      </c>
      <c r="O155">
        <f>HYPERLINK("imagenes/HALIFAX_WOMENS_119001138_NVY_1.jpg","Ver imagen")</f>
        <v/>
      </c>
      <c r="P155">
        <f>HYPERLINK("imagenes/HALIFAX_WOMENS_119001138_NVY_2.jpg","Ver imagen")</f>
        <v/>
      </c>
      <c r="Q155">
        <f>HYPERLINK("imagenes/HALIFAX_WOMENS_119001138_NVY_3.jpg","Ver imagen")</f>
        <v/>
      </c>
    </row>
    <row r="156">
      <c r="A156" t="inlineStr">
        <is>
          <t>HALIFAX WOMENS</t>
        </is>
      </c>
      <c r="B156" t="inlineStr">
        <is>
          <t>119001138</t>
        </is>
      </c>
      <c r="C156" t="inlineStr">
        <is>
          <t>Heavy Weight Faux Fur Trimmed Maxi Puffer CBL:48</t>
        </is>
      </c>
      <c r="D156" t="inlineStr">
        <is>
          <t>NVY</t>
        </is>
      </c>
      <c r="E156" t="inlineStr">
        <is>
          <t>(en blanco)</t>
        </is>
      </c>
      <c r="F156" t="inlineStr">
        <is>
          <t>(en blanco)</t>
        </is>
      </c>
      <c r="G156" t="inlineStr">
        <is>
          <t>XXL</t>
        </is>
      </c>
      <c r="H156" t="n">
        <v>13</v>
      </c>
      <c r="I156" t="inlineStr">
        <is>
          <t>HALIFAX_WOMENS_119001138_NVY_1.jpg</t>
        </is>
      </c>
      <c r="J156" t="inlineStr">
        <is>
          <t>HALIFAX_WOMENS_119001138_NVY_2.jpg</t>
        </is>
      </c>
      <c r="K156" t="inlineStr">
        <is>
          <t>HALIFAX_WOMENS_119001138_NVY_3.jpg</t>
        </is>
      </c>
      <c r="L156">
        <f>IMAGE("file:///E:/Estudios%20y%20certificaciones/ESTUDIOS%20DE%20PROGRAMMING/PROGRAMMING/PERSONAL/PYTHON/Image_Generator_API/imagenes/HALIFAX_WOMENS_119001138_NVY_1.jpg")</f>
        <v/>
      </c>
      <c r="M156">
        <f>IMAGE("file:///E:/Estudios%20y%20certificaciones/ESTUDIOS%20DE%20PROGRAMMING/PROGRAMMING/PERSONAL/PYTHON/Image_Generator_API/imagenes/HALIFAX_WOMENS_119001138_NVY_2.jpg")</f>
        <v/>
      </c>
      <c r="N156">
        <f>IMAGE("file:///E:/Estudios%20y%20certificaciones/ESTUDIOS%20DE%20PROGRAMMING/PROGRAMMING/PERSONAL/PYTHON/Image_Generator_API/imagenes/HALIFAX_WOMENS_119001138_NVY_3.jpg")</f>
        <v/>
      </c>
      <c r="O156">
        <f>HYPERLINK("imagenes/HALIFAX_WOMENS_119001138_NVY_1.jpg","Ver imagen")</f>
        <v/>
      </c>
      <c r="P156">
        <f>HYPERLINK("imagenes/HALIFAX_WOMENS_119001138_NVY_2.jpg","Ver imagen")</f>
        <v/>
      </c>
      <c r="Q156">
        <f>HYPERLINK("imagenes/HALIFAX_WOMENS_119001138_NVY_3.jpg","Ver imagen")</f>
        <v/>
      </c>
    </row>
    <row r="157">
      <c r="A157" t="inlineStr">
        <is>
          <t>HALIFAX WOMENS</t>
        </is>
      </c>
      <c r="B157" t="inlineStr">
        <is>
          <t>119001138</t>
        </is>
      </c>
      <c r="C157" t="inlineStr">
        <is>
          <t>Heavy Weight Faux Fur Trimmed Maxi Puffer CBL:48</t>
        </is>
      </c>
      <c r="D157" t="inlineStr">
        <is>
          <t>OLI</t>
        </is>
      </c>
      <c r="E157" t="inlineStr">
        <is>
          <t>06A01</t>
        </is>
      </c>
      <c r="F157" t="inlineStr">
        <is>
          <t>(en blanco)</t>
        </is>
      </c>
      <c r="G157" t="inlineStr">
        <is>
          <t>PPK</t>
        </is>
      </c>
      <c r="H157" t="n">
        <v>12</v>
      </c>
      <c r="I157" t="inlineStr">
        <is>
          <t>HALIFAX_WOMENS_119001138_OLI_1.jpg</t>
        </is>
      </c>
      <c r="J157" t="inlineStr">
        <is>
          <t>HALIFAX_WOMENS_119001138_OLI_2.jpg</t>
        </is>
      </c>
      <c r="K157" t="inlineStr">
        <is>
          <t>HALIFAX_WOMENS_119001138_OLI_3.jpg</t>
        </is>
      </c>
      <c r="L157">
        <f>IMAGE("file:///E:/Estudios%20y%20certificaciones/ESTUDIOS%20DE%20PROGRAMMING/PROGRAMMING/PERSONAL/PYTHON/Image_Generator_API/imagenes/HALIFAX_WOMENS_119001138_OLI_1.jpg")</f>
        <v/>
      </c>
      <c r="M157">
        <f>IMAGE("file:///E:/Estudios%20y%20certificaciones/ESTUDIOS%20DE%20PROGRAMMING/PROGRAMMING/PERSONAL/PYTHON/Image_Generator_API/imagenes/HALIFAX_WOMENS_119001138_OLI_2.jpg")</f>
        <v/>
      </c>
      <c r="N157">
        <f>IMAGE("file:///E:/Estudios%20y%20certificaciones/ESTUDIOS%20DE%20PROGRAMMING/PROGRAMMING/PERSONAL/PYTHON/Image_Generator_API/imagenes/HALIFAX_WOMENS_119001138_OLI_3.jpg")</f>
        <v/>
      </c>
      <c r="O157">
        <f>HYPERLINK("imagenes/HALIFAX_WOMENS_119001138_OLI_1.jpg","Ver imagen")</f>
        <v/>
      </c>
      <c r="P157">
        <f>HYPERLINK("imagenes/HALIFAX_WOMENS_119001138_OLI_2.jpg","Ver imagen")</f>
        <v/>
      </c>
      <c r="Q157">
        <f>HYPERLINK("imagenes/HALIFAX_WOMENS_119001138_OLI_3.jpg","Ver imagen")</f>
        <v/>
      </c>
    </row>
    <row r="158">
      <c r="A158" t="inlineStr">
        <is>
          <t>HALIFAX WOMENS</t>
        </is>
      </c>
      <c r="B158" t="inlineStr">
        <is>
          <t>119001138</t>
        </is>
      </c>
      <c r="C158" t="inlineStr">
        <is>
          <t>Heavy Weight Faux Fur Trimmed Maxi Puffer CBL:48</t>
        </is>
      </c>
      <c r="D158" t="inlineStr">
        <is>
          <t>OLI</t>
        </is>
      </c>
      <c r="E158" t="inlineStr">
        <is>
          <t>(en blanco)</t>
        </is>
      </c>
      <c r="F158" t="inlineStr">
        <is>
          <t>(en blanco)</t>
        </is>
      </c>
      <c r="G158" t="inlineStr">
        <is>
          <t>M</t>
        </is>
      </c>
      <c r="H158" t="n">
        <v>0</v>
      </c>
      <c r="I158" t="inlineStr">
        <is>
          <t>HALIFAX_WOMENS_119001138_OLI_1.jpg</t>
        </is>
      </c>
      <c r="J158" t="inlineStr">
        <is>
          <t>HALIFAX_WOMENS_119001138_OLI_2.jpg</t>
        </is>
      </c>
      <c r="K158" t="inlineStr">
        <is>
          <t>HALIFAX_WOMENS_119001138_OLI_3.jpg</t>
        </is>
      </c>
      <c r="L158">
        <f>IMAGE("file:///E:/Estudios%20y%20certificaciones/ESTUDIOS%20DE%20PROGRAMMING/PROGRAMMING/PERSONAL/PYTHON/Image_Generator_API/imagenes/HALIFAX_WOMENS_119001138_OLI_1.jpg")</f>
        <v/>
      </c>
      <c r="M158">
        <f>IMAGE("file:///E:/Estudios%20y%20certificaciones/ESTUDIOS%20DE%20PROGRAMMING/PROGRAMMING/PERSONAL/PYTHON/Image_Generator_API/imagenes/HALIFAX_WOMENS_119001138_OLI_2.jpg")</f>
        <v/>
      </c>
      <c r="N158">
        <f>IMAGE("file:///E:/Estudios%20y%20certificaciones/ESTUDIOS%20DE%20PROGRAMMING/PROGRAMMING/PERSONAL/PYTHON/Image_Generator_API/imagenes/HALIFAX_WOMENS_119001138_OLI_3.jpg")</f>
        <v/>
      </c>
      <c r="O158">
        <f>HYPERLINK("imagenes/HALIFAX_WOMENS_119001138_OLI_1.jpg","Ver imagen")</f>
        <v/>
      </c>
      <c r="P158">
        <f>HYPERLINK("imagenes/HALIFAX_WOMENS_119001138_OLI_2.jpg","Ver imagen")</f>
        <v/>
      </c>
      <c r="Q158">
        <f>HYPERLINK("imagenes/HALIFAX_WOMENS_119001138_OLI_3.jpg","Ver imagen")</f>
        <v/>
      </c>
    </row>
    <row r="159">
      <c r="A159" t="inlineStr">
        <is>
          <t>HALIFAX WOMENS</t>
        </is>
      </c>
      <c r="B159" t="inlineStr">
        <is>
          <t>119001138</t>
        </is>
      </c>
      <c r="C159" t="inlineStr">
        <is>
          <t>Heavy Weight Faux Fur Trimmed Maxi Puffer CBL:48</t>
        </is>
      </c>
      <c r="D159" t="inlineStr">
        <is>
          <t>OLI</t>
        </is>
      </c>
      <c r="E159" t="inlineStr">
        <is>
          <t>(en blanco)</t>
        </is>
      </c>
      <c r="F159" t="inlineStr">
        <is>
          <t>(en blanco)</t>
        </is>
      </c>
      <c r="G159" t="inlineStr">
        <is>
          <t>L</t>
        </is>
      </c>
      <c r="H159" t="n">
        <v>0</v>
      </c>
      <c r="I159" t="inlineStr">
        <is>
          <t>HALIFAX_WOMENS_119001138_OLI_1.jpg</t>
        </is>
      </c>
      <c r="J159" t="inlineStr">
        <is>
          <t>HALIFAX_WOMENS_119001138_OLI_2.jpg</t>
        </is>
      </c>
      <c r="K159" t="inlineStr">
        <is>
          <t>HALIFAX_WOMENS_119001138_OLI_3.jpg</t>
        </is>
      </c>
      <c r="L159">
        <f>IMAGE("file:///E:/Estudios%20y%20certificaciones/ESTUDIOS%20DE%20PROGRAMMING/PROGRAMMING/PERSONAL/PYTHON/Image_Generator_API/imagenes/HALIFAX_WOMENS_119001138_OLI_1.jpg")</f>
        <v/>
      </c>
      <c r="M159">
        <f>IMAGE("file:///E:/Estudios%20y%20certificaciones/ESTUDIOS%20DE%20PROGRAMMING/PROGRAMMING/PERSONAL/PYTHON/Image_Generator_API/imagenes/HALIFAX_WOMENS_119001138_OLI_2.jpg")</f>
        <v/>
      </c>
      <c r="N159">
        <f>IMAGE("file:///E:/Estudios%20y%20certificaciones/ESTUDIOS%20DE%20PROGRAMMING/PROGRAMMING/PERSONAL/PYTHON/Image_Generator_API/imagenes/HALIFAX_WOMENS_119001138_OLI_3.jpg")</f>
        <v/>
      </c>
      <c r="O159">
        <f>HYPERLINK("imagenes/HALIFAX_WOMENS_119001138_OLI_1.jpg","Ver imagen")</f>
        <v/>
      </c>
      <c r="P159">
        <f>HYPERLINK("imagenes/HALIFAX_WOMENS_119001138_OLI_2.jpg","Ver imagen")</f>
        <v/>
      </c>
      <c r="Q159">
        <f>HYPERLINK("imagenes/HALIFAX_WOMENS_119001138_OLI_3.jpg","Ver imagen")</f>
        <v/>
      </c>
    </row>
    <row r="160">
      <c r="A160" t="inlineStr">
        <is>
          <t>HALIFAX WOMENS</t>
        </is>
      </c>
      <c r="B160" t="inlineStr">
        <is>
          <t>119001326</t>
        </is>
      </c>
      <c r="C160" t="inlineStr">
        <is>
          <t>HEAVY WEIGHT FAUX FUR TRIMMED PARKA</t>
        </is>
      </c>
      <c r="D160" t="inlineStr">
        <is>
          <t>BLK</t>
        </is>
      </c>
      <c r="E160" t="inlineStr">
        <is>
          <t>06A01</t>
        </is>
      </c>
      <c r="F160" t="inlineStr">
        <is>
          <t>(en blanco)</t>
        </is>
      </c>
      <c r="G160" t="inlineStr">
        <is>
          <t>PPK</t>
        </is>
      </c>
      <c r="H160" t="n">
        <v>3414</v>
      </c>
      <c r="I160" t="inlineStr">
        <is>
          <t>HALIFAX_WOMENS_119001326_BLK_1.jpg</t>
        </is>
      </c>
      <c r="J160" t="inlineStr">
        <is>
          <t>HALIFAX_WOMENS_119001326_BLK_2.jpg</t>
        </is>
      </c>
      <c r="K160" t="inlineStr">
        <is>
          <t>HALIFAX_WOMENS_119001326_BLK_3.jpg</t>
        </is>
      </c>
      <c r="L160">
        <f>IMAGE("file:///E:/Estudios%20y%20certificaciones/ESTUDIOS%20DE%20PROGRAMMING/PROGRAMMING/PERSONAL/PYTHON/Image_Generator_API/imagenes/HALIFAX_WOMENS_119001326_BLK_1.jpg")</f>
        <v/>
      </c>
      <c r="M160">
        <f>IMAGE("file:///E:/Estudios%20y%20certificaciones/ESTUDIOS%20DE%20PROGRAMMING/PROGRAMMING/PERSONAL/PYTHON/Image_Generator_API/imagenes/HALIFAX_WOMENS_119001326_BLK_2.jpg")</f>
        <v/>
      </c>
      <c r="N160">
        <f>IMAGE("file:///E:/Estudios%20y%20certificaciones/ESTUDIOS%20DE%20PROGRAMMING/PROGRAMMING/PERSONAL/PYTHON/Image_Generator_API/imagenes/HALIFAX_WOMENS_119001326_BLK_3.jpg")</f>
        <v/>
      </c>
      <c r="O160">
        <f>HYPERLINK("imagenes/HALIFAX_WOMENS_119001326_BLK_1.jpg","Ver imagen")</f>
        <v/>
      </c>
      <c r="P160">
        <f>HYPERLINK("imagenes/HALIFAX_WOMENS_119001326_BLK_2.jpg","Ver imagen")</f>
        <v/>
      </c>
      <c r="Q160">
        <f>HYPERLINK("imagenes/HALIFAX_WOMENS_119001326_BLK_3.jpg","Ver imagen")</f>
        <v/>
      </c>
    </row>
    <row r="161">
      <c r="A161" t="inlineStr">
        <is>
          <t>HALIFAX WOMENS</t>
        </is>
      </c>
      <c r="B161" t="inlineStr">
        <is>
          <t>119001326</t>
        </is>
      </c>
      <c r="C161" t="inlineStr">
        <is>
          <t>HEAVY WEIGHT FAUX FUR TRIMMED PARKA</t>
        </is>
      </c>
      <c r="D161" t="inlineStr">
        <is>
          <t>IVY</t>
        </is>
      </c>
      <c r="E161" t="inlineStr">
        <is>
          <t>06A01</t>
        </is>
      </c>
      <c r="F161" t="inlineStr">
        <is>
          <t>(en blanco)</t>
        </is>
      </c>
      <c r="G161" t="inlineStr">
        <is>
          <t>PPK</t>
        </is>
      </c>
      <c r="H161" t="n">
        <v>384</v>
      </c>
      <c r="I161" t="inlineStr">
        <is>
          <t>HALIFAX_WOMENS_119001326_IVY_1.jpg</t>
        </is>
      </c>
      <c r="J161" t="inlineStr">
        <is>
          <t>HALIFAX_WOMENS_119001326_IVY_2.jpg</t>
        </is>
      </c>
      <c r="K161" t="inlineStr">
        <is>
          <t>HALIFAX_WOMENS_119001326_IVY_3.jpg</t>
        </is>
      </c>
      <c r="L161">
        <f>IMAGE("file:///E:/Estudios%20y%20certificaciones/ESTUDIOS%20DE%20PROGRAMMING/PROGRAMMING/PERSONAL/PYTHON/Image_Generator_API/imagenes/HALIFAX_WOMENS_119001326_IVY_1.jpg")</f>
        <v/>
      </c>
      <c r="M161">
        <f>IMAGE("file:///E:/Estudios%20y%20certificaciones/ESTUDIOS%20DE%20PROGRAMMING/PROGRAMMING/PERSONAL/PYTHON/Image_Generator_API/imagenes/HALIFAX_WOMENS_119001326_IVY_2.jpg")</f>
        <v/>
      </c>
      <c r="N161">
        <f>IMAGE("file:///E:/Estudios%20y%20certificaciones/ESTUDIOS%20DE%20PROGRAMMING/PROGRAMMING/PERSONAL/PYTHON/Image_Generator_API/imagenes/HALIFAX_WOMENS_119001326_IVY_3.jpg")</f>
        <v/>
      </c>
      <c r="O161">
        <f>HYPERLINK("imagenes/HALIFAX_WOMENS_119001326_IVY_1.jpg","Ver imagen")</f>
        <v/>
      </c>
      <c r="P161">
        <f>HYPERLINK("imagenes/HALIFAX_WOMENS_119001326_IVY_2.jpg","Ver imagen")</f>
        <v/>
      </c>
      <c r="Q161">
        <f>HYPERLINK("imagenes/HALIFAX_WOMENS_119001326_IVY_3.jpg","Ver imagen")</f>
        <v/>
      </c>
    </row>
    <row r="162">
      <c r="A162" t="inlineStr">
        <is>
          <t>HALIFAX WOMENS</t>
        </is>
      </c>
      <c r="B162" t="inlineStr">
        <is>
          <t>119001328</t>
        </is>
      </c>
      <c r="C162" t="inlineStr">
        <is>
          <t>HEAVY WEIGHT MIST FAUX FAUR TRIMMED PARKA</t>
        </is>
      </c>
      <c r="D162" t="inlineStr">
        <is>
          <t>BLK</t>
        </is>
      </c>
      <c r="E162" t="inlineStr">
        <is>
          <t>(en blanco)</t>
        </is>
      </c>
      <c r="F162" t="inlineStr">
        <is>
          <t>(en blanco)</t>
        </is>
      </c>
      <c r="G162" t="inlineStr">
        <is>
          <t>S</t>
        </is>
      </c>
      <c r="H162" t="n">
        <v>36</v>
      </c>
      <c r="I162" t="inlineStr">
        <is>
          <t>HALIFAX_WOMENS_119001328_BLK_1.jpg</t>
        </is>
      </c>
      <c r="J162" t="inlineStr">
        <is>
          <t>HALIFAX_WOMENS_119001328_BLK_2.jpg</t>
        </is>
      </c>
      <c r="K162" t="inlineStr">
        <is>
          <t>HALIFAX_WOMENS_119001328_BLK_3.jpg</t>
        </is>
      </c>
      <c r="L162">
        <f>IMAGE("file:///E:/Estudios%20y%20certificaciones/ESTUDIOS%20DE%20PROGRAMMING/PROGRAMMING/PERSONAL/PYTHON/Image_Generator_API/imagenes/HALIFAX_WOMENS_119001328_BLK_1.jpg")</f>
        <v/>
      </c>
      <c r="M162">
        <f>IMAGE("file:///E:/Estudios%20y%20certificaciones/ESTUDIOS%20DE%20PROGRAMMING/PROGRAMMING/PERSONAL/PYTHON/Image_Generator_API/imagenes/HALIFAX_WOMENS_119001328_BLK_2.jpg")</f>
        <v/>
      </c>
      <c r="N162">
        <f>IMAGE("file:///E:/Estudios%20y%20certificaciones/ESTUDIOS%20DE%20PROGRAMMING/PROGRAMMING/PERSONAL/PYTHON/Image_Generator_API/imagenes/HALIFAX_WOMENS_119001328_BLK_3.jpg")</f>
        <v/>
      </c>
      <c r="O162">
        <f>HYPERLINK("imagenes/HALIFAX_WOMENS_119001328_BLK_1.jpg","Ver imagen")</f>
        <v/>
      </c>
      <c r="P162">
        <f>HYPERLINK("imagenes/HALIFAX_WOMENS_119001328_BLK_2.jpg","Ver imagen")</f>
        <v/>
      </c>
      <c r="Q162">
        <f>HYPERLINK("imagenes/HALIFAX_WOMENS_119001328_BLK_3.jpg","Ver imagen")</f>
        <v/>
      </c>
    </row>
    <row r="163">
      <c r="A163" t="inlineStr">
        <is>
          <t>HALIFAX WOMENS</t>
        </is>
      </c>
      <c r="B163" t="inlineStr">
        <is>
          <t>119001328</t>
        </is>
      </c>
      <c r="C163" t="inlineStr">
        <is>
          <t>HEAVY WEIGHT MIST FAUX FAUR TRIMMED PARKA</t>
        </is>
      </c>
      <c r="D163" t="inlineStr">
        <is>
          <t>BLK</t>
        </is>
      </c>
      <c r="E163" t="inlineStr">
        <is>
          <t>(en blanco)</t>
        </is>
      </c>
      <c r="F163" t="inlineStr">
        <is>
          <t>(en blanco)</t>
        </is>
      </c>
      <c r="G163" t="inlineStr">
        <is>
          <t>M</t>
        </is>
      </c>
      <c r="H163" t="n">
        <v>75</v>
      </c>
      <c r="I163" t="inlineStr">
        <is>
          <t>HALIFAX_WOMENS_119001328_BLK_1.jpg</t>
        </is>
      </c>
      <c r="J163" t="inlineStr">
        <is>
          <t>HALIFAX_WOMENS_119001328_BLK_2.jpg</t>
        </is>
      </c>
      <c r="K163" t="inlineStr">
        <is>
          <t>HALIFAX_WOMENS_119001328_BLK_3.jpg</t>
        </is>
      </c>
      <c r="L163">
        <f>IMAGE("file:///E:/Estudios%20y%20certificaciones/ESTUDIOS%20DE%20PROGRAMMING/PROGRAMMING/PERSONAL/PYTHON/Image_Generator_API/imagenes/HALIFAX_WOMENS_119001328_BLK_1.jpg")</f>
        <v/>
      </c>
      <c r="M163">
        <f>IMAGE("file:///E:/Estudios%20y%20certificaciones/ESTUDIOS%20DE%20PROGRAMMING/PROGRAMMING/PERSONAL/PYTHON/Image_Generator_API/imagenes/HALIFAX_WOMENS_119001328_BLK_2.jpg")</f>
        <v/>
      </c>
      <c r="N163">
        <f>IMAGE("file:///E:/Estudios%20y%20certificaciones/ESTUDIOS%20DE%20PROGRAMMING/PROGRAMMING/PERSONAL/PYTHON/Image_Generator_API/imagenes/HALIFAX_WOMENS_119001328_BLK_3.jpg")</f>
        <v/>
      </c>
      <c r="O163">
        <f>HYPERLINK("imagenes/HALIFAX_WOMENS_119001328_BLK_1.jpg","Ver imagen")</f>
        <v/>
      </c>
      <c r="P163">
        <f>HYPERLINK("imagenes/HALIFAX_WOMENS_119001328_BLK_2.jpg","Ver imagen")</f>
        <v/>
      </c>
      <c r="Q163">
        <f>HYPERLINK("imagenes/HALIFAX_WOMENS_119001328_BLK_3.jpg","Ver imagen")</f>
        <v/>
      </c>
    </row>
    <row r="164">
      <c r="A164" t="inlineStr">
        <is>
          <t>HALIFAX WOMENS</t>
        </is>
      </c>
      <c r="B164" t="inlineStr">
        <is>
          <t>119001328</t>
        </is>
      </c>
      <c r="C164" t="inlineStr">
        <is>
          <t>HEAVY WEIGHT MIST FAUX FAUR TRIMMED PARKA</t>
        </is>
      </c>
      <c r="D164" t="inlineStr">
        <is>
          <t>BLK</t>
        </is>
      </c>
      <c r="E164" t="inlineStr">
        <is>
          <t>(en blanco)</t>
        </is>
      </c>
      <c r="F164" t="inlineStr">
        <is>
          <t>(en blanco)</t>
        </is>
      </c>
      <c r="G164" t="inlineStr">
        <is>
          <t>L</t>
        </is>
      </c>
      <c r="H164" t="n">
        <v>75</v>
      </c>
      <c r="I164" t="inlineStr">
        <is>
          <t>HALIFAX_WOMENS_119001328_BLK_1.jpg</t>
        </is>
      </c>
      <c r="J164" t="inlineStr">
        <is>
          <t>HALIFAX_WOMENS_119001328_BLK_2.jpg</t>
        </is>
      </c>
      <c r="K164" t="inlineStr">
        <is>
          <t>HALIFAX_WOMENS_119001328_BLK_3.jpg</t>
        </is>
      </c>
      <c r="L164">
        <f>IMAGE("file:///E:/Estudios%20y%20certificaciones/ESTUDIOS%20DE%20PROGRAMMING/PROGRAMMING/PERSONAL/PYTHON/Image_Generator_API/imagenes/HALIFAX_WOMENS_119001328_BLK_1.jpg")</f>
        <v/>
      </c>
      <c r="M164">
        <f>IMAGE("file:///E:/Estudios%20y%20certificaciones/ESTUDIOS%20DE%20PROGRAMMING/PROGRAMMING/PERSONAL/PYTHON/Image_Generator_API/imagenes/HALIFAX_WOMENS_119001328_BLK_2.jpg")</f>
        <v/>
      </c>
      <c r="N164">
        <f>IMAGE("file:///E:/Estudios%20y%20certificaciones/ESTUDIOS%20DE%20PROGRAMMING/PROGRAMMING/PERSONAL/PYTHON/Image_Generator_API/imagenes/HALIFAX_WOMENS_119001328_BLK_3.jpg")</f>
        <v/>
      </c>
      <c r="O164">
        <f>HYPERLINK("imagenes/HALIFAX_WOMENS_119001328_BLK_1.jpg","Ver imagen")</f>
        <v/>
      </c>
      <c r="P164">
        <f>HYPERLINK("imagenes/HALIFAX_WOMENS_119001328_BLK_2.jpg","Ver imagen")</f>
        <v/>
      </c>
      <c r="Q164">
        <f>HYPERLINK("imagenes/HALIFAX_WOMENS_119001328_BLK_3.jpg","Ver imagen")</f>
        <v/>
      </c>
    </row>
    <row r="165">
      <c r="A165" t="inlineStr">
        <is>
          <t>HALIFAX WOMENS</t>
        </is>
      </c>
      <c r="B165" t="inlineStr">
        <is>
          <t>119001328</t>
        </is>
      </c>
      <c r="C165" t="inlineStr">
        <is>
          <t>HEAVY WEIGHT MIST FAUX FAUR TRIMMED PARKA</t>
        </is>
      </c>
      <c r="D165" t="inlineStr">
        <is>
          <t>BLK</t>
        </is>
      </c>
      <c r="E165" t="inlineStr">
        <is>
          <t>(en blanco)</t>
        </is>
      </c>
      <c r="F165" t="inlineStr">
        <is>
          <t>(en blanco)</t>
        </is>
      </c>
      <c r="G165" t="inlineStr">
        <is>
          <t>XL</t>
        </is>
      </c>
      <c r="H165" t="n">
        <v>76</v>
      </c>
      <c r="I165" t="inlineStr">
        <is>
          <t>HALIFAX_WOMENS_119001328_BLK_1.jpg</t>
        </is>
      </c>
      <c r="J165" t="inlineStr">
        <is>
          <t>HALIFAX_WOMENS_119001328_BLK_2.jpg</t>
        </is>
      </c>
      <c r="K165" t="inlineStr">
        <is>
          <t>HALIFAX_WOMENS_119001328_BLK_3.jpg</t>
        </is>
      </c>
      <c r="L165">
        <f>IMAGE("file:///E:/Estudios%20y%20certificaciones/ESTUDIOS%20DE%20PROGRAMMING/PROGRAMMING/PERSONAL/PYTHON/Image_Generator_API/imagenes/HALIFAX_WOMENS_119001328_BLK_1.jpg")</f>
        <v/>
      </c>
      <c r="M165">
        <f>IMAGE("file:///E:/Estudios%20y%20certificaciones/ESTUDIOS%20DE%20PROGRAMMING/PROGRAMMING/PERSONAL/PYTHON/Image_Generator_API/imagenes/HALIFAX_WOMENS_119001328_BLK_2.jpg")</f>
        <v/>
      </c>
      <c r="N165">
        <f>IMAGE("file:///E:/Estudios%20y%20certificaciones/ESTUDIOS%20DE%20PROGRAMMING/PROGRAMMING/PERSONAL/PYTHON/Image_Generator_API/imagenes/HALIFAX_WOMENS_119001328_BLK_3.jpg")</f>
        <v/>
      </c>
      <c r="O165">
        <f>HYPERLINK("imagenes/HALIFAX_WOMENS_119001328_BLK_1.jpg","Ver imagen")</f>
        <v/>
      </c>
      <c r="P165">
        <f>HYPERLINK("imagenes/HALIFAX_WOMENS_119001328_BLK_2.jpg","Ver imagen")</f>
        <v/>
      </c>
      <c r="Q165">
        <f>HYPERLINK("imagenes/HALIFAX_WOMENS_119001328_BLK_3.jpg","Ver imagen")</f>
        <v/>
      </c>
    </row>
    <row r="166">
      <c r="A166" t="inlineStr">
        <is>
          <t>HALIFAX WOMENS</t>
        </is>
      </c>
      <c r="B166" t="inlineStr">
        <is>
          <t>119001328</t>
        </is>
      </c>
      <c r="C166" t="inlineStr">
        <is>
          <t>HEAVY WEIGHT MIST FAUX FAUR TRIMMED PARKA</t>
        </is>
      </c>
      <c r="D166" t="inlineStr">
        <is>
          <t>BLK</t>
        </is>
      </c>
      <c r="E166" t="inlineStr">
        <is>
          <t>(en blanco)</t>
        </is>
      </c>
      <c r="F166" t="inlineStr">
        <is>
          <t>(en blanco)</t>
        </is>
      </c>
      <c r="G166" t="inlineStr">
        <is>
          <t>XXL</t>
        </is>
      </c>
      <c r="H166" t="n">
        <v>36</v>
      </c>
      <c r="I166" t="inlineStr">
        <is>
          <t>HALIFAX_WOMENS_119001328_BLK_1.jpg</t>
        </is>
      </c>
      <c r="J166" t="inlineStr">
        <is>
          <t>HALIFAX_WOMENS_119001328_BLK_2.jpg</t>
        </is>
      </c>
      <c r="K166" t="inlineStr">
        <is>
          <t>HALIFAX_WOMENS_119001328_BLK_3.jpg</t>
        </is>
      </c>
      <c r="L166">
        <f>IMAGE("file:///E:/Estudios%20y%20certificaciones/ESTUDIOS%20DE%20PROGRAMMING/PROGRAMMING/PERSONAL/PYTHON/Image_Generator_API/imagenes/HALIFAX_WOMENS_119001328_BLK_1.jpg")</f>
        <v/>
      </c>
      <c r="M166">
        <f>IMAGE("file:///E:/Estudios%20y%20certificaciones/ESTUDIOS%20DE%20PROGRAMMING/PROGRAMMING/PERSONAL/PYTHON/Image_Generator_API/imagenes/HALIFAX_WOMENS_119001328_BLK_2.jpg")</f>
        <v/>
      </c>
      <c r="N166">
        <f>IMAGE("file:///E:/Estudios%20y%20certificaciones/ESTUDIOS%20DE%20PROGRAMMING/PROGRAMMING/PERSONAL/PYTHON/Image_Generator_API/imagenes/HALIFAX_WOMENS_119001328_BLK_3.jpg")</f>
        <v/>
      </c>
      <c r="O166">
        <f>HYPERLINK("imagenes/HALIFAX_WOMENS_119001328_BLK_1.jpg","Ver imagen")</f>
        <v/>
      </c>
      <c r="P166">
        <f>HYPERLINK("imagenes/HALIFAX_WOMENS_119001328_BLK_2.jpg","Ver imagen")</f>
        <v/>
      </c>
      <c r="Q166">
        <f>HYPERLINK("imagenes/HALIFAX_WOMENS_119001328_BLK_3.jpg","Ver imagen")</f>
        <v/>
      </c>
    </row>
    <row r="167">
      <c r="A167" t="inlineStr">
        <is>
          <t>HALIFAX WOMENS</t>
        </is>
      </c>
      <c r="B167" t="inlineStr">
        <is>
          <t>119001328</t>
        </is>
      </c>
      <c r="C167" t="inlineStr">
        <is>
          <t>HEAVY WEIGHT MIST FAUX FAUR TRIMMED PARKA</t>
        </is>
      </c>
      <c r="D167" t="inlineStr">
        <is>
          <t>FOS</t>
        </is>
      </c>
      <c r="E167" t="inlineStr">
        <is>
          <t>06A01</t>
        </is>
      </c>
      <c r="F167" t="inlineStr">
        <is>
          <t>(en blanco)</t>
        </is>
      </c>
      <c r="G167" t="inlineStr">
        <is>
          <t>PPK</t>
        </is>
      </c>
      <c r="H167" t="n">
        <v>54</v>
      </c>
      <c r="I167" t="inlineStr">
        <is>
          <t>HALIFAX_WOMENS_119001328_FOS_1.jpg</t>
        </is>
      </c>
      <c r="J167" t="inlineStr">
        <is>
          <t>HALIFAX_WOMENS_119001328_FOS_2.jpg</t>
        </is>
      </c>
      <c r="K167" t="inlineStr">
        <is>
          <t>HALIFAX_WOMENS_119001328_FOS_3.jpg</t>
        </is>
      </c>
      <c r="L167">
        <f>IMAGE("file:///E:/Estudios%20y%20certificaciones/ESTUDIOS%20DE%20PROGRAMMING/PROGRAMMING/PERSONAL/PYTHON/Image_Generator_API/imagenes/HALIFAX_WOMENS_119001328_FOS_1.jpg")</f>
        <v/>
      </c>
      <c r="M167">
        <f>IMAGE("file:///E:/Estudios%20y%20certificaciones/ESTUDIOS%20DE%20PROGRAMMING/PROGRAMMING/PERSONAL/PYTHON/Image_Generator_API/imagenes/HALIFAX_WOMENS_119001328_FOS_2.jpg")</f>
        <v/>
      </c>
      <c r="N167">
        <f>IMAGE("file:///E:/Estudios%20y%20certificaciones/ESTUDIOS%20DE%20PROGRAMMING/PROGRAMMING/PERSONAL/PYTHON/Image_Generator_API/imagenes/HALIFAX_WOMENS_119001328_FOS_3.jpg")</f>
        <v/>
      </c>
      <c r="O167">
        <f>HYPERLINK("imagenes/HALIFAX_WOMENS_119001328_FOS_1.jpg","Ver imagen")</f>
        <v/>
      </c>
      <c r="P167">
        <f>HYPERLINK("imagenes/HALIFAX_WOMENS_119001328_FOS_2.jpg","Ver imagen")</f>
        <v/>
      </c>
      <c r="Q167">
        <f>HYPERLINK("imagenes/HALIFAX_WOMENS_119001328_FOS_3.jpg","Ver imagen")</f>
        <v/>
      </c>
    </row>
    <row r="168">
      <c r="A168" t="inlineStr">
        <is>
          <t>HALIFAX WOMENS</t>
        </is>
      </c>
      <c r="B168" t="inlineStr">
        <is>
          <t>119001328</t>
        </is>
      </c>
      <c r="C168" t="inlineStr">
        <is>
          <t>HEAVY WEIGHT MIST FAUX FAUR TRIMMED PARKA</t>
        </is>
      </c>
      <c r="D168" t="inlineStr">
        <is>
          <t>FOS</t>
        </is>
      </c>
      <c r="E168" t="inlineStr">
        <is>
          <t>(en blanco)</t>
        </is>
      </c>
      <c r="F168" t="inlineStr">
        <is>
          <t>(en blanco)</t>
        </is>
      </c>
      <c r="G168" t="inlineStr">
        <is>
          <t>S</t>
        </is>
      </c>
      <c r="H168" t="n">
        <v>27</v>
      </c>
      <c r="I168" t="inlineStr">
        <is>
          <t>HALIFAX_WOMENS_119001328_FOS_1.jpg</t>
        </is>
      </c>
      <c r="J168" t="inlineStr">
        <is>
          <t>HALIFAX_WOMENS_119001328_FOS_2.jpg</t>
        </is>
      </c>
      <c r="K168" t="inlineStr">
        <is>
          <t>HALIFAX_WOMENS_119001328_FOS_3.jpg</t>
        </is>
      </c>
      <c r="L168">
        <f>IMAGE("file:///E:/Estudios%20y%20certificaciones/ESTUDIOS%20DE%20PROGRAMMING/PROGRAMMING/PERSONAL/PYTHON/Image_Generator_API/imagenes/HALIFAX_WOMENS_119001328_FOS_1.jpg")</f>
        <v/>
      </c>
      <c r="M168">
        <f>IMAGE("file:///E:/Estudios%20y%20certificaciones/ESTUDIOS%20DE%20PROGRAMMING/PROGRAMMING/PERSONAL/PYTHON/Image_Generator_API/imagenes/HALIFAX_WOMENS_119001328_FOS_2.jpg")</f>
        <v/>
      </c>
      <c r="N168">
        <f>IMAGE("file:///E:/Estudios%20y%20certificaciones/ESTUDIOS%20DE%20PROGRAMMING/PROGRAMMING/PERSONAL/PYTHON/Image_Generator_API/imagenes/HALIFAX_WOMENS_119001328_FOS_3.jpg")</f>
        <v/>
      </c>
      <c r="O168">
        <f>HYPERLINK("imagenes/HALIFAX_WOMENS_119001328_FOS_1.jpg","Ver imagen")</f>
        <v/>
      </c>
      <c r="P168">
        <f>HYPERLINK("imagenes/HALIFAX_WOMENS_119001328_FOS_2.jpg","Ver imagen")</f>
        <v/>
      </c>
      <c r="Q168">
        <f>HYPERLINK("imagenes/HALIFAX_WOMENS_119001328_FOS_3.jpg","Ver imagen")</f>
        <v/>
      </c>
    </row>
    <row r="169">
      <c r="A169" t="inlineStr">
        <is>
          <t>HALIFAX WOMENS</t>
        </is>
      </c>
      <c r="B169" t="inlineStr">
        <is>
          <t>119001328</t>
        </is>
      </c>
      <c r="C169" t="inlineStr">
        <is>
          <t>HEAVY WEIGHT MIST FAUX FAUR TRIMMED PARKA</t>
        </is>
      </c>
      <c r="D169" t="inlineStr">
        <is>
          <t>FOS</t>
        </is>
      </c>
      <c r="E169" t="inlineStr">
        <is>
          <t>(en blanco)</t>
        </is>
      </c>
      <c r="F169" t="inlineStr">
        <is>
          <t>(en blanco)</t>
        </is>
      </c>
      <c r="G169" t="inlineStr">
        <is>
          <t>M</t>
        </is>
      </c>
      <c r="H169" t="n">
        <v>54</v>
      </c>
      <c r="I169" t="inlineStr">
        <is>
          <t>HALIFAX_WOMENS_119001328_FOS_1.jpg</t>
        </is>
      </c>
      <c r="J169" t="inlineStr">
        <is>
          <t>HALIFAX_WOMENS_119001328_FOS_2.jpg</t>
        </is>
      </c>
      <c r="K169" t="inlineStr">
        <is>
          <t>HALIFAX_WOMENS_119001328_FOS_3.jpg</t>
        </is>
      </c>
      <c r="L169">
        <f>IMAGE("file:///E:/Estudios%20y%20certificaciones/ESTUDIOS%20DE%20PROGRAMMING/PROGRAMMING/PERSONAL/PYTHON/Image_Generator_API/imagenes/HALIFAX_WOMENS_119001328_FOS_1.jpg")</f>
        <v/>
      </c>
      <c r="M169">
        <f>IMAGE("file:///E:/Estudios%20y%20certificaciones/ESTUDIOS%20DE%20PROGRAMMING/PROGRAMMING/PERSONAL/PYTHON/Image_Generator_API/imagenes/HALIFAX_WOMENS_119001328_FOS_2.jpg")</f>
        <v/>
      </c>
      <c r="N169">
        <f>IMAGE("file:///E:/Estudios%20y%20certificaciones/ESTUDIOS%20DE%20PROGRAMMING/PROGRAMMING/PERSONAL/PYTHON/Image_Generator_API/imagenes/HALIFAX_WOMENS_119001328_FOS_3.jpg")</f>
        <v/>
      </c>
      <c r="O169">
        <f>HYPERLINK("imagenes/HALIFAX_WOMENS_119001328_FOS_1.jpg","Ver imagen")</f>
        <v/>
      </c>
      <c r="P169">
        <f>HYPERLINK("imagenes/HALIFAX_WOMENS_119001328_FOS_2.jpg","Ver imagen")</f>
        <v/>
      </c>
      <c r="Q169">
        <f>HYPERLINK("imagenes/HALIFAX_WOMENS_119001328_FOS_3.jpg","Ver imagen")</f>
        <v/>
      </c>
    </row>
    <row r="170">
      <c r="A170" t="inlineStr">
        <is>
          <t>HALIFAX WOMENS</t>
        </is>
      </c>
      <c r="B170" t="inlineStr">
        <is>
          <t>119001328</t>
        </is>
      </c>
      <c r="C170" t="inlineStr">
        <is>
          <t>HEAVY WEIGHT MIST FAUX FAUR TRIMMED PARKA</t>
        </is>
      </c>
      <c r="D170" t="inlineStr">
        <is>
          <t>FOS</t>
        </is>
      </c>
      <c r="E170" t="inlineStr">
        <is>
          <t>(en blanco)</t>
        </is>
      </c>
      <c r="F170" t="inlineStr">
        <is>
          <t>(en blanco)</t>
        </is>
      </c>
      <c r="G170" t="inlineStr">
        <is>
          <t>L</t>
        </is>
      </c>
      <c r="H170" t="n">
        <v>54</v>
      </c>
      <c r="I170" t="inlineStr">
        <is>
          <t>HALIFAX_WOMENS_119001328_FOS_1.jpg</t>
        </is>
      </c>
      <c r="J170" t="inlineStr">
        <is>
          <t>HALIFAX_WOMENS_119001328_FOS_2.jpg</t>
        </is>
      </c>
      <c r="K170" t="inlineStr">
        <is>
          <t>HALIFAX_WOMENS_119001328_FOS_3.jpg</t>
        </is>
      </c>
      <c r="L170">
        <f>IMAGE("file:///E:/Estudios%20y%20certificaciones/ESTUDIOS%20DE%20PROGRAMMING/PROGRAMMING/PERSONAL/PYTHON/Image_Generator_API/imagenes/HALIFAX_WOMENS_119001328_FOS_1.jpg")</f>
        <v/>
      </c>
      <c r="M170">
        <f>IMAGE("file:///E:/Estudios%20y%20certificaciones/ESTUDIOS%20DE%20PROGRAMMING/PROGRAMMING/PERSONAL/PYTHON/Image_Generator_API/imagenes/HALIFAX_WOMENS_119001328_FOS_2.jpg")</f>
        <v/>
      </c>
      <c r="N170">
        <f>IMAGE("file:///E:/Estudios%20y%20certificaciones/ESTUDIOS%20DE%20PROGRAMMING/PROGRAMMING/PERSONAL/PYTHON/Image_Generator_API/imagenes/HALIFAX_WOMENS_119001328_FOS_3.jpg")</f>
        <v/>
      </c>
      <c r="O170">
        <f>HYPERLINK("imagenes/HALIFAX_WOMENS_119001328_FOS_1.jpg","Ver imagen")</f>
        <v/>
      </c>
      <c r="P170">
        <f>HYPERLINK("imagenes/HALIFAX_WOMENS_119001328_FOS_2.jpg","Ver imagen")</f>
        <v/>
      </c>
      <c r="Q170">
        <f>HYPERLINK("imagenes/HALIFAX_WOMENS_119001328_FOS_3.jpg","Ver imagen")</f>
        <v/>
      </c>
    </row>
    <row r="171">
      <c r="A171" t="inlineStr">
        <is>
          <t>HALIFAX WOMENS</t>
        </is>
      </c>
      <c r="B171" t="inlineStr">
        <is>
          <t>119001328</t>
        </is>
      </c>
      <c r="C171" t="inlineStr">
        <is>
          <t>HEAVY WEIGHT MIST FAUX FAUR TRIMMED PARKA</t>
        </is>
      </c>
      <c r="D171" t="inlineStr">
        <is>
          <t>FOS</t>
        </is>
      </c>
      <c r="E171" t="inlineStr">
        <is>
          <t>(en blanco)</t>
        </is>
      </c>
      <c r="F171" t="inlineStr">
        <is>
          <t>(en blanco)</t>
        </is>
      </c>
      <c r="G171" t="inlineStr">
        <is>
          <t>XL</t>
        </is>
      </c>
      <c r="H171" t="n">
        <v>46</v>
      </c>
      <c r="I171" t="inlineStr">
        <is>
          <t>HALIFAX_WOMENS_119001328_FOS_1.jpg</t>
        </is>
      </c>
      <c r="J171" t="inlineStr">
        <is>
          <t>HALIFAX_WOMENS_119001328_FOS_2.jpg</t>
        </is>
      </c>
      <c r="K171" t="inlineStr">
        <is>
          <t>HALIFAX_WOMENS_119001328_FOS_3.jpg</t>
        </is>
      </c>
      <c r="L171">
        <f>IMAGE("file:///E:/Estudios%20y%20certificaciones/ESTUDIOS%20DE%20PROGRAMMING/PROGRAMMING/PERSONAL/PYTHON/Image_Generator_API/imagenes/HALIFAX_WOMENS_119001328_FOS_1.jpg")</f>
        <v/>
      </c>
      <c r="M171">
        <f>IMAGE("file:///E:/Estudios%20y%20certificaciones/ESTUDIOS%20DE%20PROGRAMMING/PROGRAMMING/PERSONAL/PYTHON/Image_Generator_API/imagenes/HALIFAX_WOMENS_119001328_FOS_2.jpg")</f>
        <v/>
      </c>
      <c r="N171">
        <f>IMAGE("file:///E:/Estudios%20y%20certificaciones/ESTUDIOS%20DE%20PROGRAMMING/PROGRAMMING/PERSONAL/PYTHON/Image_Generator_API/imagenes/HALIFAX_WOMENS_119001328_FOS_3.jpg")</f>
        <v/>
      </c>
      <c r="O171">
        <f>HYPERLINK("imagenes/HALIFAX_WOMENS_119001328_FOS_1.jpg","Ver imagen")</f>
        <v/>
      </c>
      <c r="P171">
        <f>HYPERLINK("imagenes/HALIFAX_WOMENS_119001328_FOS_2.jpg","Ver imagen")</f>
        <v/>
      </c>
      <c r="Q171">
        <f>HYPERLINK("imagenes/HALIFAX_WOMENS_119001328_FOS_3.jpg","Ver imagen")</f>
        <v/>
      </c>
    </row>
    <row r="172">
      <c r="A172" t="inlineStr">
        <is>
          <t>HALIFAX WOMENS</t>
        </is>
      </c>
      <c r="B172" t="inlineStr">
        <is>
          <t>119001328</t>
        </is>
      </c>
      <c r="C172" t="inlineStr">
        <is>
          <t>HEAVY WEIGHT MIST FAUX FAUR TRIMMED PARKA</t>
        </is>
      </c>
      <c r="D172" t="inlineStr">
        <is>
          <t>FOS</t>
        </is>
      </c>
      <c r="E172" t="inlineStr">
        <is>
          <t>(en blanco)</t>
        </is>
      </c>
      <c r="F172" t="inlineStr">
        <is>
          <t>(en blanco)</t>
        </is>
      </c>
      <c r="G172" t="inlineStr">
        <is>
          <t>XXL</t>
        </is>
      </c>
      <c r="H172" t="n">
        <v>17</v>
      </c>
      <c r="I172" t="inlineStr">
        <is>
          <t>HALIFAX_WOMENS_119001328_FOS_1.jpg</t>
        </is>
      </c>
      <c r="J172" t="inlineStr">
        <is>
          <t>HALIFAX_WOMENS_119001328_FOS_2.jpg</t>
        </is>
      </c>
      <c r="K172" t="inlineStr">
        <is>
          <t>HALIFAX_WOMENS_119001328_FOS_3.jpg</t>
        </is>
      </c>
      <c r="L172">
        <f>IMAGE("file:///E:/Estudios%20y%20certificaciones/ESTUDIOS%20DE%20PROGRAMMING/PROGRAMMING/PERSONAL/PYTHON/Image_Generator_API/imagenes/HALIFAX_WOMENS_119001328_FOS_1.jpg")</f>
        <v/>
      </c>
      <c r="M172">
        <f>IMAGE("file:///E:/Estudios%20y%20certificaciones/ESTUDIOS%20DE%20PROGRAMMING/PROGRAMMING/PERSONAL/PYTHON/Image_Generator_API/imagenes/HALIFAX_WOMENS_119001328_FOS_2.jpg")</f>
        <v/>
      </c>
      <c r="N172">
        <f>IMAGE("file:///E:/Estudios%20y%20certificaciones/ESTUDIOS%20DE%20PROGRAMMING/PROGRAMMING/PERSONAL/PYTHON/Image_Generator_API/imagenes/HALIFAX_WOMENS_119001328_FOS_3.jpg")</f>
        <v/>
      </c>
      <c r="O172">
        <f>HYPERLINK("imagenes/HALIFAX_WOMENS_119001328_FOS_1.jpg","Ver imagen")</f>
        <v/>
      </c>
      <c r="P172">
        <f>HYPERLINK("imagenes/HALIFAX_WOMENS_119001328_FOS_2.jpg","Ver imagen")</f>
        <v/>
      </c>
      <c r="Q172">
        <f>HYPERLINK("imagenes/HALIFAX_WOMENS_119001328_FOS_3.jpg","Ver imagen")</f>
        <v/>
      </c>
    </row>
    <row r="173">
      <c r="A173" t="inlineStr">
        <is>
          <t>HALIFAX WOMENS</t>
        </is>
      </c>
      <c r="B173" t="inlineStr">
        <is>
          <t>119001328</t>
        </is>
      </c>
      <c r="C173" t="inlineStr">
        <is>
          <t>HEAVY WEIGHT MIST FAUX FAUR TRIMMED PARKA</t>
        </is>
      </c>
      <c r="D173" t="inlineStr">
        <is>
          <t>GNT</t>
        </is>
      </c>
      <c r="E173" t="inlineStr">
        <is>
          <t>(en blanco)</t>
        </is>
      </c>
      <c r="F173" t="inlineStr">
        <is>
          <t>D2C</t>
        </is>
      </c>
      <c r="G173" t="inlineStr">
        <is>
          <t>S</t>
        </is>
      </c>
      <c r="H173" t="n">
        <v>7</v>
      </c>
      <c r="I173" t="inlineStr">
        <is>
          <t>HALIFAX_WOMENS_119001328_GNT_1.jpg</t>
        </is>
      </c>
      <c r="J173" t="inlineStr">
        <is>
          <t>HALIFAX_WOMENS_119001328_GNT_2.jpg</t>
        </is>
      </c>
      <c r="K173" t="inlineStr">
        <is>
          <t>HALIFAX_WOMENS_119001328_GNT_3.jpg</t>
        </is>
      </c>
      <c r="L173">
        <f>IMAGE("file:///E:/Estudios%20y%20certificaciones/ESTUDIOS%20DE%20PROGRAMMING/PROGRAMMING/PERSONAL/PYTHON/Image_Generator_API/imagenes/HALIFAX_WOMENS_119001328_GNT_1.jpg")</f>
        <v/>
      </c>
      <c r="M173">
        <f>IMAGE("file:///E:/Estudios%20y%20certificaciones/ESTUDIOS%20DE%20PROGRAMMING/PROGRAMMING/PERSONAL/PYTHON/Image_Generator_API/imagenes/HALIFAX_WOMENS_119001328_GNT_2.jpg")</f>
        <v/>
      </c>
      <c r="N173">
        <f>IMAGE("file:///E:/Estudios%20y%20certificaciones/ESTUDIOS%20DE%20PROGRAMMING/PROGRAMMING/PERSONAL/PYTHON/Image_Generator_API/imagenes/HALIFAX_WOMENS_119001328_GNT_3.jpg")</f>
        <v/>
      </c>
      <c r="O173">
        <f>HYPERLINK("imagenes/HALIFAX_WOMENS_119001328_GNT_1.jpg","Ver imagen")</f>
        <v/>
      </c>
      <c r="P173">
        <f>HYPERLINK("imagenes/HALIFAX_WOMENS_119001328_GNT_2.jpg","Ver imagen")</f>
        <v/>
      </c>
      <c r="Q173">
        <f>HYPERLINK("imagenes/HALIFAX_WOMENS_119001328_GNT_3.jpg","Ver imagen")</f>
        <v/>
      </c>
    </row>
    <row r="174">
      <c r="A174" t="inlineStr">
        <is>
          <t>HALIFAX WOMENS</t>
        </is>
      </c>
      <c r="B174" t="inlineStr">
        <is>
          <t>119001328</t>
        </is>
      </c>
      <c r="C174" t="inlineStr">
        <is>
          <t>HEAVY WEIGHT MIST FAUX FAUR TRIMMED PARKA</t>
        </is>
      </c>
      <c r="D174" t="inlineStr">
        <is>
          <t>GNT</t>
        </is>
      </c>
      <c r="E174" t="inlineStr">
        <is>
          <t>(en blanco)</t>
        </is>
      </c>
      <c r="F174" t="inlineStr">
        <is>
          <t>D2C</t>
        </is>
      </c>
      <c r="G174" t="inlineStr">
        <is>
          <t>M</t>
        </is>
      </c>
      <c r="H174" t="n">
        <v>18</v>
      </c>
      <c r="I174" t="inlineStr">
        <is>
          <t>HALIFAX_WOMENS_119001328_GNT_1.jpg</t>
        </is>
      </c>
      <c r="J174" t="inlineStr">
        <is>
          <t>HALIFAX_WOMENS_119001328_GNT_2.jpg</t>
        </is>
      </c>
      <c r="K174" t="inlineStr">
        <is>
          <t>HALIFAX_WOMENS_119001328_GNT_3.jpg</t>
        </is>
      </c>
      <c r="L174">
        <f>IMAGE("file:///E:/Estudios%20y%20certificaciones/ESTUDIOS%20DE%20PROGRAMMING/PROGRAMMING/PERSONAL/PYTHON/Image_Generator_API/imagenes/HALIFAX_WOMENS_119001328_GNT_1.jpg")</f>
        <v/>
      </c>
      <c r="M174">
        <f>IMAGE("file:///E:/Estudios%20y%20certificaciones/ESTUDIOS%20DE%20PROGRAMMING/PROGRAMMING/PERSONAL/PYTHON/Image_Generator_API/imagenes/HALIFAX_WOMENS_119001328_GNT_2.jpg")</f>
        <v/>
      </c>
      <c r="N174">
        <f>IMAGE("file:///E:/Estudios%20y%20certificaciones/ESTUDIOS%20DE%20PROGRAMMING/PROGRAMMING/PERSONAL/PYTHON/Image_Generator_API/imagenes/HALIFAX_WOMENS_119001328_GNT_3.jpg")</f>
        <v/>
      </c>
      <c r="O174">
        <f>HYPERLINK("imagenes/HALIFAX_WOMENS_119001328_GNT_1.jpg","Ver imagen")</f>
        <v/>
      </c>
      <c r="P174">
        <f>HYPERLINK("imagenes/HALIFAX_WOMENS_119001328_GNT_2.jpg","Ver imagen")</f>
        <v/>
      </c>
      <c r="Q174">
        <f>HYPERLINK("imagenes/HALIFAX_WOMENS_119001328_GNT_3.jpg","Ver imagen")</f>
        <v/>
      </c>
    </row>
    <row r="175">
      <c r="A175" t="inlineStr">
        <is>
          <t>HALIFAX WOMENS</t>
        </is>
      </c>
      <c r="B175" t="inlineStr">
        <is>
          <t>119001328</t>
        </is>
      </c>
      <c r="C175" t="inlineStr">
        <is>
          <t>HEAVY WEIGHT MIST FAUX FAUR TRIMMED PARKA</t>
        </is>
      </c>
      <c r="D175" t="inlineStr">
        <is>
          <t>GNT</t>
        </is>
      </c>
      <c r="E175" t="inlineStr">
        <is>
          <t>(en blanco)</t>
        </is>
      </c>
      <c r="F175" t="inlineStr">
        <is>
          <t>D2C</t>
        </is>
      </c>
      <c r="G175" t="inlineStr">
        <is>
          <t>L</t>
        </is>
      </c>
      <c r="H175" t="n">
        <v>17</v>
      </c>
      <c r="I175" t="inlineStr">
        <is>
          <t>HALIFAX_WOMENS_119001328_GNT_1.jpg</t>
        </is>
      </c>
      <c r="J175" t="inlineStr">
        <is>
          <t>HALIFAX_WOMENS_119001328_GNT_2.jpg</t>
        </is>
      </c>
      <c r="K175" t="inlineStr">
        <is>
          <t>HALIFAX_WOMENS_119001328_GNT_3.jpg</t>
        </is>
      </c>
      <c r="L175">
        <f>IMAGE("file:///E:/Estudios%20y%20certificaciones/ESTUDIOS%20DE%20PROGRAMMING/PROGRAMMING/PERSONAL/PYTHON/Image_Generator_API/imagenes/HALIFAX_WOMENS_119001328_GNT_1.jpg")</f>
        <v/>
      </c>
      <c r="M175">
        <f>IMAGE("file:///E:/Estudios%20y%20certificaciones/ESTUDIOS%20DE%20PROGRAMMING/PROGRAMMING/PERSONAL/PYTHON/Image_Generator_API/imagenes/HALIFAX_WOMENS_119001328_GNT_2.jpg")</f>
        <v/>
      </c>
      <c r="N175">
        <f>IMAGE("file:///E:/Estudios%20y%20certificaciones/ESTUDIOS%20DE%20PROGRAMMING/PROGRAMMING/PERSONAL/PYTHON/Image_Generator_API/imagenes/HALIFAX_WOMENS_119001328_GNT_3.jpg")</f>
        <v/>
      </c>
      <c r="O175">
        <f>HYPERLINK("imagenes/HALIFAX_WOMENS_119001328_GNT_1.jpg","Ver imagen")</f>
        <v/>
      </c>
      <c r="P175">
        <f>HYPERLINK("imagenes/HALIFAX_WOMENS_119001328_GNT_2.jpg","Ver imagen")</f>
        <v/>
      </c>
      <c r="Q175">
        <f>HYPERLINK("imagenes/HALIFAX_WOMENS_119001328_GNT_3.jpg","Ver imagen")</f>
        <v/>
      </c>
    </row>
    <row r="176">
      <c r="A176" t="inlineStr">
        <is>
          <t>HALIFAX WOMENS</t>
        </is>
      </c>
      <c r="B176" t="inlineStr">
        <is>
          <t>119001328</t>
        </is>
      </c>
      <c r="C176" t="inlineStr">
        <is>
          <t>HEAVY WEIGHT MIST FAUX FAUR TRIMMED PARKA</t>
        </is>
      </c>
      <c r="D176" t="inlineStr">
        <is>
          <t>GNT</t>
        </is>
      </c>
      <c r="E176" t="inlineStr">
        <is>
          <t>(en blanco)</t>
        </is>
      </c>
      <c r="F176" t="inlineStr">
        <is>
          <t>D2C</t>
        </is>
      </c>
      <c r="G176" t="inlineStr">
        <is>
          <t>XL</t>
        </is>
      </c>
      <c r="H176" t="n">
        <v>16</v>
      </c>
      <c r="I176" t="inlineStr">
        <is>
          <t>HALIFAX_WOMENS_119001328_GNT_1.jpg</t>
        </is>
      </c>
      <c r="J176" t="inlineStr">
        <is>
          <t>HALIFAX_WOMENS_119001328_GNT_2.jpg</t>
        </is>
      </c>
      <c r="K176" t="inlineStr">
        <is>
          <t>HALIFAX_WOMENS_119001328_GNT_3.jpg</t>
        </is>
      </c>
      <c r="L176">
        <f>IMAGE("file:///E:/Estudios%20y%20certificaciones/ESTUDIOS%20DE%20PROGRAMMING/PROGRAMMING/PERSONAL/PYTHON/Image_Generator_API/imagenes/HALIFAX_WOMENS_119001328_GNT_1.jpg")</f>
        <v/>
      </c>
      <c r="M176">
        <f>IMAGE("file:///E:/Estudios%20y%20certificaciones/ESTUDIOS%20DE%20PROGRAMMING/PROGRAMMING/PERSONAL/PYTHON/Image_Generator_API/imagenes/HALIFAX_WOMENS_119001328_GNT_2.jpg")</f>
        <v/>
      </c>
      <c r="N176">
        <f>IMAGE("file:///E:/Estudios%20y%20certificaciones/ESTUDIOS%20DE%20PROGRAMMING/PROGRAMMING/PERSONAL/PYTHON/Image_Generator_API/imagenes/HALIFAX_WOMENS_119001328_GNT_3.jpg")</f>
        <v/>
      </c>
      <c r="O176">
        <f>HYPERLINK("imagenes/HALIFAX_WOMENS_119001328_GNT_1.jpg","Ver imagen")</f>
        <v/>
      </c>
      <c r="P176">
        <f>HYPERLINK("imagenes/HALIFAX_WOMENS_119001328_GNT_2.jpg","Ver imagen")</f>
        <v/>
      </c>
      <c r="Q176">
        <f>HYPERLINK("imagenes/HALIFAX_WOMENS_119001328_GNT_3.jpg","Ver imagen")</f>
        <v/>
      </c>
    </row>
    <row r="177">
      <c r="A177" t="inlineStr">
        <is>
          <t>HALIFAX WOMENS</t>
        </is>
      </c>
      <c r="B177" t="inlineStr">
        <is>
          <t>119001328</t>
        </is>
      </c>
      <c r="C177" t="inlineStr">
        <is>
          <t>HEAVY WEIGHT MIST FAUX FAUR TRIMMED PARKA</t>
        </is>
      </c>
      <c r="D177" t="inlineStr">
        <is>
          <t>GNT</t>
        </is>
      </c>
      <c r="E177" t="inlineStr">
        <is>
          <t>(en blanco)</t>
        </is>
      </c>
      <c r="F177" t="inlineStr">
        <is>
          <t>D2C</t>
        </is>
      </c>
      <c r="G177" t="inlineStr">
        <is>
          <t>XXL</t>
        </is>
      </c>
      <c r="H177" t="n">
        <v>10</v>
      </c>
      <c r="I177" t="inlineStr">
        <is>
          <t>HALIFAX_WOMENS_119001328_GNT_1.jpg</t>
        </is>
      </c>
      <c r="J177" t="inlineStr">
        <is>
          <t>HALIFAX_WOMENS_119001328_GNT_2.jpg</t>
        </is>
      </c>
      <c r="K177" t="inlineStr">
        <is>
          <t>HALIFAX_WOMENS_119001328_GNT_3.jpg</t>
        </is>
      </c>
      <c r="L177">
        <f>IMAGE("file:///E:/Estudios%20y%20certificaciones/ESTUDIOS%20DE%20PROGRAMMING/PROGRAMMING/PERSONAL/PYTHON/Image_Generator_API/imagenes/HALIFAX_WOMENS_119001328_GNT_1.jpg")</f>
        <v/>
      </c>
      <c r="M177">
        <f>IMAGE("file:///E:/Estudios%20y%20certificaciones/ESTUDIOS%20DE%20PROGRAMMING/PROGRAMMING/PERSONAL/PYTHON/Image_Generator_API/imagenes/HALIFAX_WOMENS_119001328_GNT_2.jpg")</f>
        <v/>
      </c>
      <c r="N177">
        <f>IMAGE("file:///E:/Estudios%20y%20certificaciones/ESTUDIOS%20DE%20PROGRAMMING/PROGRAMMING/PERSONAL/PYTHON/Image_Generator_API/imagenes/HALIFAX_WOMENS_119001328_GNT_3.jpg")</f>
        <v/>
      </c>
      <c r="O177">
        <f>HYPERLINK("imagenes/HALIFAX_WOMENS_119001328_GNT_1.jpg","Ver imagen")</f>
        <v/>
      </c>
      <c r="P177">
        <f>HYPERLINK("imagenes/HALIFAX_WOMENS_119001328_GNT_2.jpg","Ver imagen")</f>
        <v/>
      </c>
      <c r="Q177">
        <f>HYPERLINK("imagenes/HALIFAX_WOMENS_119001328_GNT_3.jpg","Ver imagen")</f>
        <v/>
      </c>
    </row>
    <row r="178">
      <c r="A178" t="inlineStr">
        <is>
          <t>HALIFAX WOMENS</t>
        </is>
      </c>
      <c r="B178" t="inlineStr">
        <is>
          <t>119001328</t>
        </is>
      </c>
      <c r="C178" t="inlineStr">
        <is>
          <t>HEAVY WEIGHT MIST FAUX FAUR TRIMMED PARKA</t>
        </is>
      </c>
      <c r="D178" t="inlineStr">
        <is>
          <t>IVY</t>
        </is>
      </c>
      <c r="E178" t="inlineStr">
        <is>
          <t>(en blanco)</t>
        </is>
      </c>
      <c r="F178" t="inlineStr">
        <is>
          <t>D2C</t>
        </is>
      </c>
      <c r="G178" t="inlineStr">
        <is>
          <t>M</t>
        </is>
      </c>
      <c r="H178" t="n">
        <v>0</v>
      </c>
      <c r="I178" t="inlineStr">
        <is>
          <t>HALIFAX_WOMENS_119001328_IVY_1.jpg</t>
        </is>
      </c>
      <c r="J178" t="inlineStr">
        <is>
          <t>HALIFAX_WOMENS_119001328_IVY_2.jpg</t>
        </is>
      </c>
      <c r="K178" t="inlineStr">
        <is>
          <t>HALIFAX_WOMENS_119001328_IVY_3.jpg</t>
        </is>
      </c>
      <c r="L178">
        <f>IMAGE("file:///E:/Estudios%20y%20certificaciones/ESTUDIOS%20DE%20PROGRAMMING/PROGRAMMING/PERSONAL/PYTHON/Image_Generator_API/imagenes/HALIFAX_WOMENS_119001328_IVY_1.jpg")</f>
        <v/>
      </c>
      <c r="M178">
        <f>IMAGE("file:///E:/Estudios%20y%20certificaciones/ESTUDIOS%20DE%20PROGRAMMING/PROGRAMMING/PERSONAL/PYTHON/Image_Generator_API/imagenes/HALIFAX_WOMENS_119001328_IVY_2.jpg")</f>
        <v/>
      </c>
      <c r="N178">
        <f>IMAGE("file:///E:/Estudios%20y%20certificaciones/ESTUDIOS%20DE%20PROGRAMMING/PROGRAMMING/PERSONAL/PYTHON/Image_Generator_API/imagenes/HALIFAX_WOMENS_119001328_IVY_3.jpg")</f>
        <v/>
      </c>
      <c r="O178">
        <f>HYPERLINK("imagenes/HALIFAX_WOMENS_119001328_IVY_1.jpg","Ver imagen")</f>
        <v/>
      </c>
      <c r="P178">
        <f>HYPERLINK("imagenes/HALIFAX_WOMENS_119001328_IVY_2.jpg","Ver imagen")</f>
        <v/>
      </c>
      <c r="Q178">
        <f>HYPERLINK("imagenes/HALIFAX_WOMENS_119001328_IVY_3.jpg","Ver imagen")</f>
        <v/>
      </c>
    </row>
    <row r="179">
      <c r="A179" t="inlineStr">
        <is>
          <t>HALIFAX WOMENS</t>
        </is>
      </c>
      <c r="B179" t="inlineStr">
        <is>
          <t>119001328</t>
        </is>
      </c>
      <c r="C179" t="inlineStr">
        <is>
          <t>HEAVY WEIGHT MIST FAUX FAUR TRIMMED PARKA</t>
        </is>
      </c>
      <c r="D179" t="inlineStr">
        <is>
          <t>IVY</t>
        </is>
      </c>
      <c r="E179" t="inlineStr">
        <is>
          <t>(en blanco)</t>
        </is>
      </c>
      <c r="F179" t="inlineStr">
        <is>
          <t>D2C</t>
        </is>
      </c>
      <c r="G179" t="inlineStr">
        <is>
          <t>L</t>
        </is>
      </c>
      <c r="H179" t="n">
        <v>0</v>
      </c>
      <c r="I179" t="inlineStr">
        <is>
          <t>HALIFAX_WOMENS_119001328_IVY_1.jpg</t>
        </is>
      </c>
      <c r="J179" t="inlineStr">
        <is>
          <t>HALIFAX_WOMENS_119001328_IVY_2.jpg</t>
        </is>
      </c>
      <c r="K179" t="inlineStr">
        <is>
          <t>HALIFAX_WOMENS_119001328_IVY_3.jpg</t>
        </is>
      </c>
      <c r="L179">
        <f>IMAGE("file:///E:/Estudios%20y%20certificaciones/ESTUDIOS%20DE%20PROGRAMMING/PROGRAMMING/PERSONAL/PYTHON/Image_Generator_API/imagenes/HALIFAX_WOMENS_119001328_IVY_1.jpg")</f>
        <v/>
      </c>
      <c r="M179">
        <f>IMAGE("file:///E:/Estudios%20y%20certificaciones/ESTUDIOS%20DE%20PROGRAMMING/PROGRAMMING/PERSONAL/PYTHON/Image_Generator_API/imagenes/HALIFAX_WOMENS_119001328_IVY_2.jpg")</f>
        <v/>
      </c>
      <c r="N179">
        <f>IMAGE("file:///E:/Estudios%20y%20certificaciones/ESTUDIOS%20DE%20PROGRAMMING/PROGRAMMING/PERSONAL/PYTHON/Image_Generator_API/imagenes/HALIFAX_WOMENS_119001328_IVY_3.jpg")</f>
        <v/>
      </c>
      <c r="O179">
        <f>HYPERLINK("imagenes/HALIFAX_WOMENS_119001328_IVY_1.jpg","Ver imagen")</f>
        <v/>
      </c>
      <c r="P179">
        <f>HYPERLINK("imagenes/HALIFAX_WOMENS_119001328_IVY_2.jpg","Ver imagen")</f>
        <v/>
      </c>
      <c r="Q179">
        <f>HYPERLINK("imagenes/HALIFAX_WOMENS_119001328_IVY_3.jpg","Ver imagen")</f>
        <v/>
      </c>
    </row>
    <row r="180">
      <c r="A180" t="inlineStr">
        <is>
          <t>HALIFAX WOMENS</t>
        </is>
      </c>
      <c r="B180" t="inlineStr">
        <is>
          <t>119001328</t>
        </is>
      </c>
      <c r="C180" t="inlineStr">
        <is>
          <t>HEAVY WEIGHT MIST FAUX FAUR TRIMMED PARKA</t>
        </is>
      </c>
      <c r="D180" t="inlineStr">
        <is>
          <t>MSG</t>
        </is>
      </c>
      <c r="E180" t="inlineStr">
        <is>
          <t>(en blanco)</t>
        </is>
      </c>
      <c r="F180" t="inlineStr">
        <is>
          <t>D2C</t>
        </is>
      </c>
      <c r="G180" t="inlineStr">
        <is>
          <t>S</t>
        </is>
      </c>
      <c r="H180" t="n">
        <v>3</v>
      </c>
      <c r="I180" t="inlineStr">
        <is>
          <t>HALIFAX_WOMENS_119001328_MSG_1.jpg</t>
        </is>
      </c>
      <c r="J180" t="inlineStr">
        <is>
          <t>HALIFAX_WOMENS_119001328_MSG_2.jpg</t>
        </is>
      </c>
      <c r="K180" t="inlineStr">
        <is>
          <t>HALIFAX_WOMENS_119001328_MSG_3.jpg</t>
        </is>
      </c>
      <c r="L180">
        <f>IMAGE("file:///E:/Estudios%20y%20certificaciones/ESTUDIOS%20DE%20PROGRAMMING/PROGRAMMING/PERSONAL/PYTHON/Image_Generator_API/imagenes/HALIFAX_WOMENS_119001328_MSG_1.jpg")</f>
        <v/>
      </c>
      <c r="M180">
        <f>IMAGE("file:///E:/Estudios%20y%20certificaciones/ESTUDIOS%20DE%20PROGRAMMING/PROGRAMMING/PERSONAL/PYTHON/Image_Generator_API/imagenes/HALIFAX_WOMENS_119001328_MSG_2.jpg")</f>
        <v/>
      </c>
      <c r="N180">
        <f>IMAGE("file:///E:/Estudios%20y%20certificaciones/ESTUDIOS%20DE%20PROGRAMMING/PROGRAMMING/PERSONAL/PYTHON/Image_Generator_API/imagenes/HALIFAX_WOMENS_119001328_MSG_3.jpg")</f>
        <v/>
      </c>
      <c r="O180">
        <f>HYPERLINK("imagenes/HALIFAX_WOMENS_119001328_MSG_1.jpg","Ver imagen")</f>
        <v/>
      </c>
      <c r="P180">
        <f>HYPERLINK("imagenes/HALIFAX_WOMENS_119001328_MSG_2.jpg","Ver imagen")</f>
        <v/>
      </c>
      <c r="Q180">
        <f>HYPERLINK("imagenes/HALIFAX_WOMENS_119001328_MSG_3.jpg","Ver imagen")</f>
        <v/>
      </c>
    </row>
    <row r="181">
      <c r="A181" t="inlineStr">
        <is>
          <t>HALIFAX WOMENS</t>
        </is>
      </c>
      <c r="B181" t="inlineStr">
        <is>
          <t>119001328</t>
        </is>
      </c>
      <c r="C181" t="inlineStr">
        <is>
          <t>HEAVY WEIGHT MIST FAUX FAUR TRIMMED PARKA</t>
        </is>
      </c>
      <c r="D181" t="inlineStr">
        <is>
          <t>MSG</t>
        </is>
      </c>
      <c r="E181" t="inlineStr">
        <is>
          <t>(en blanco)</t>
        </is>
      </c>
      <c r="F181" t="inlineStr">
        <is>
          <t>D2C</t>
        </is>
      </c>
      <c r="G181" t="inlineStr">
        <is>
          <t>M</t>
        </is>
      </c>
      <c r="H181" t="n">
        <v>15</v>
      </c>
      <c r="I181" t="inlineStr">
        <is>
          <t>HALIFAX_WOMENS_119001328_MSG_1.jpg</t>
        </is>
      </c>
      <c r="J181" t="inlineStr">
        <is>
          <t>HALIFAX_WOMENS_119001328_MSG_2.jpg</t>
        </is>
      </c>
      <c r="K181" t="inlineStr">
        <is>
          <t>HALIFAX_WOMENS_119001328_MSG_3.jpg</t>
        </is>
      </c>
      <c r="L181">
        <f>IMAGE("file:///E:/Estudios%20y%20certificaciones/ESTUDIOS%20DE%20PROGRAMMING/PROGRAMMING/PERSONAL/PYTHON/Image_Generator_API/imagenes/HALIFAX_WOMENS_119001328_MSG_1.jpg")</f>
        <v/>
      </c>
      <c r="M181">
        <f>IMAGE("file:///E:/Estudios%20y%20certificaciones/ESTUDIOS%20DE%20PROGRAMMING/PROGRAMMING/PERSONAL/PYTHON/Image_Generator_API/imagenes/HALIFAX_WOMENS_119001328_MSG_2.jpg")</f>
        <v/>
      </c>
      <c r="N181">
        <f>IMAGE("file:///E:/Estudios%20y%20certificaciones/ESTUDIOS%20DE%20PROGRAMMING/PROGRAMMING/PERSONAL/PYTHON/Image_Generator_API/imagenes/HALIFAX_WOMENS_119001328_MSG_3.jpg")</f>
        <v/>
      </c>
      <c r="O181">
        <f>HYPERLINK("imagenes/HALIFAX_WOMENS_119001328_MSG_1.jpg","Ver imagen")</f>
        <v/>
      </c>
      <c r="P181">
        <f>HYPERLINK("imagenes/HALIFAX_WOMENS_119001328_MSG_2.jpg","Ver imagen")</f>
        <v/>
      </c>
      <c r="Q181">
        <f>HYPERLINK("imagenes/HALIFAX_WOMENS_119001328_MSG_3.jpg","Ver imagen")</f>
        <v/>
      </c>
    </row>
    <row r="182">
      <c r="A182" t="inlineStr">
        <is>
          <t>HALIFAX WOMENS</t>
        </is>
      </c>
      <c r="B182" t="inlineStr">
        <is>
          <t>119001328</t>
        </is>
      </c>
      <c r="C182" t="inlineStr">
        <is>
          <t>HEAVY WEIGHT MIST FAUX FAUR TRIMMED PARKA</t>
        </is>
      </c>
      <c r="D182" t="inlineStr">
        <is>
          <t>MSG</t>
        </is>
      </c>
      <c r="E182" t="inlineStr">
        <is>
          <t>(en blanco)</t>
        </is>
      </c>
      <c r="F182" t="inlineStr">
        <is>
          <t>D2C</t>
        </is>
      </c>
      <c r="G182" t="inlineStr">
        <is>
          <t>L</t>
        </is>
      </c>
      <c r="H182" t="n">
        <v>13</v>
      </c>
      <c r="I182" t="inlineStr">
        <is>
          <t>HALIFAX_WOMENS_119001328_MSG_1.jpg</t>
        </is>
      </c>
      <c r="J182" t="inlineStr">
        <is>
          <t>HALIFAX_WOMENS_119001328_MSG_2.jpg</t>
        </is>
      </c>
      <c r="K182" t="inlineStr">
        <is>
          <t>HALIFAX_WOMENS_119001328_MSG_3.jpg</t>
        </is>
      </c>
      <c r="L182">
        <f>IMAGE("file:///E:/Estudios%20y%20certificaciones/ESTUDIOS%20DE%20PROGRAMMING/PROGRAMMING/PERSONAL/PYTHON/Image_Generator_API/imagenes/HALIFAX_WOMENS_119001328_MSG_1.jpg")</f>
        <v/>
      </c>
      <c r="M182">
        <f>IMAGE("file:///E:/Estudios%20y%20certificaciones/ESTUDIOS%20DE%20PROGRAMMING/PROGRAMMING/PERSONAL/PYTHON/Image_Generator_API/imagenes/HALIFAX_WOMENS_119001328_MSG_2.jpg")</f>
        <v/>
      </c>
      <c r="N182">
        <f>IMAGE("file:///E:/Estudios%20y%20certificaciones/ESTUDIOS%20DE%20PROGRAMMING/PROGRAMMING/PERSONAL/PYTHON/Image_Generator_API/imagenes/HALIFAX_WOMENS_119001328_MSG_3.jpg")</f>
        <v/>
      </c>
      <c r="O182">
        <f>HYPERLINK("imagenes/HALIFAX_WOMENS_119001328_MSG_1.jpg","Ver imagen")</f>
        <v/>
      </c>
      <c r="P182">
        <f>HYPERLINK("imagenes/HALIFAX_WOMENS_119001328_MSG_2.jpg","Ver imagen")</f>
        <v/>
      </c>
      <c r="Q182">
        <f>HYPERLINK("imagenes/HALIFAX_WOMENS_119001328_MSG_3.jpg","Ver imagen")</f>
        <v/>
      </c>
    </row>
    <row r="183">
      <c r="A183" t="inlineStr">
        <is>
          <t>HALIFAX WOMENS</t>
        </is>
      </c>
      <c r="B183" t="inlineStr">
        <is>
          <t>119001328</t>
        </is>
      </c>
      <c r="C183" t="inlineStr">
        <is>
          <t>HEAVY WEIGHT MIST FAUX FAUR TRIMMED PARKA</t>
        </is>
      </c>
      <c r="D183" t="inlineStr">
        <is>
          <t>MSG</t>
        </is>
      </c>
      <c r="E183" t="inlineStr">
        <is>
          <t>(en blanco)</t>
        </is>
      </c>
      <c r="F183" t="inlineStr">
        <is>
          <t>D2C</t>
        </is>
      </c>
      <c r="G183" t="inlineStr">
        <is>
          <t>XL</t>
        </is>
      </c>
      <c r="H183" t="n">
        <v>12</v>
      </c>
      <c r="I183" t="inlineStr">
        <is>
          <t>HALIFAX_WOMENS_119001328_MSG_1.jpg</t>
        </is>
      </c>
      <c r="J183" t="inlineStr">
        <is>
          <t>HALIFAX_WOMENS_119001328_MSG_2.jpg</t>
        </is>
      </c>
      <c r="K183" t="inlineStr">
        <is>
          <t>HALIFAX_WOMENS_119001328_MSG_3.jpg</t>
        </is>
      </c>
      <c r="L183">
        <f>IMAGE("file:///E:/Estudios%20y%20certificaciones/ESTUDIOS%20DE%20PROGRAMMING/PROGRAMMING/PERSONAL/PYTHON/Image_Generator_API/imagenes/HALIFAX_WOMENS_119001328_MSG_1.jpg")</f>
        <v/>
      </c>
      <c r="M183">
        <f>IMAGE("file:///E:/Estudios%20y%20certificaciones/ESTUDIOS%20DE%20PROGRAMMING/PROGRAMMING/PERSONAL/PYTHON/Image_Generator_API/imagenes/HALIFAX_WOMENS_119001328_MSG_2.jpg")</f>
        <v/>
      </c>
      <c r="N183">
        <f>IMAGE("file:///E:/Estudios%20y%20certificaciones/ESTUDIOS%20DE%20PROGRAMMING/PROGRAMMING/PERSONAL/PYTHON/Image_Generator_API/imagenes/HALIFAX_WOMENS_119001328_MSG_3.jpg")</f>
        <v/>
      </c>
      <c r="O183">
        <f>HYPERLINK("imagenes/HALIFAX_WOMENS_119001328_MSG_1.jpg","Ver imagen")</f>
        <v/>
      </c>
      <c r="P183">
        <f>HYPERLINK("imagenes/HALIFAX_WOMENS_119001328_MSG_2.jpg","Ver imagen")</f>
        <v/>
      </c>
      <c r="Q183">
        <f>HYPERLINK("imagenes/HALIFAX_WOMENS_119001328_MSG_3.jpg","Ver imagen")</f>
        <v/>
      </c>
    </row>
    <row r="184">
      <c r="A184" t="inlineStr">
        <is>
          <t>HALIFAX WOMENS</t>
        </is>
      </c>
      <c r="B184" t="inlineStr">
        <is>
          <t>119001328</t>
        </is>
      </c>
      <c r="C184" t="inlineStr">
        <is>
          <t>HEAVY WEIGHT MIST FAUX FAUR TRIMMED PARKA</t>
        </is>
      </c>
      <c r="D184" t="inlineStr">
        <is>
          <t>MSG</t>
        </is>
      </c>
      <c r="E184" t="inlineStr">
        <is>
          <t>(en blanco)</t>
        </is>
      </c>
      <c r="F184" t="inlineStr">
        <is>
          <t>D2C</t>
        </is>
      </c>
      <c r="G184" t="inlineStr">
        <is>
          <t>XXL</t>
        </is>
      </c>
      <c r="H184" t="n">
        <v>4</v>
      </c>
      <c r="I184" t="inlineStr">
        <is>
          <t>HALIFAX_WOMENS_119001328_MSG_1.jpg</t>
        </is>
      </c>
      <c r="J184" t="inlineStr">
        <is>
          <t>HALIFAX_WOMENS_119001328_MSG_2.jpg</t>
        </is>
      </c>
      <c r="K184" t="inlineStr">
        <is>
          <t>HALIFAX_WOMENS_119001328_MSG_3.jpg</t>
        </is>
      </c>
      <c r="L184">
        <f>IMAGE("file:///E:/Estudios%20y%20certificaciones/ESTUDIOS%20DE%20PROGRAMMING/PROGRAMMING/PERSONAL/PYTHON/Image_Generator_API/imagenes/HALIFAX_WOMENS_119001328_MSG_1.jpg")</f>
        <v/>
      </c>
      <c r="M184">
        <f>IMAGE("file:///E:/Estudios%20y%20certificaciones/ESTUDIOS%20DE%20PROGRAMMING/PROGRAMMING/PERSONAL/PYTHON/Image_Generator_API/imagenes/HALIFAX_WOMENS_119001328_MSG_2.jpg")</f>
        <v/>
      </c>
      <c r="N184">
        <f>IMAGE("file:///E:/Estudios%20y%20certificaciones/ESTUDIOS%20DE%20PROGRAMMING/PROGRAMMING/PERSONAL/PYTHON/Image_Generator_API/imagenes/HALIFAX_WOMENS_119001328_MSG_3.jpg")</f>
        <v/>
      </c>
      <c r="O184">
        <f>HYPERLINK("imagenes/HALIFAX_WOMENS_119001328_MSG_1.jpg","Ver imagen")</f>
        <v/>
      </c>
      <c r="P184">
        <f>HYPERLINK("imagenes/HALIFAX_WOMENS_119001328_MSG_2.jpg","Ver imagen")</f>
        <v/>
      </c>
      <c r="Q184">
        <f>HYPERLINK("imagenes/HALIFAX_WOMENS_119001328_MSG_3.jpg","Ver imagen")</f>
        <v/>
      </c>
    </row>
    <row r="185">
      <c r="A185" t="inlineStr">
        <is>
          <t>HALIFAX WOMENS</t>
        </is>
      </c>
      <c r="B185" t="inlineStr">
        <is>
          <t>119001328</t>
        </is>
      </c>
      <c r="C185" t="inlineStr">
        <is>
          <t>HEAVY WEIGHT MIST FAUX FAUR TRIMMED PARKA</t>
        </is>
      </c>
      <c r="D185" t="inlineStr">
        <is>
          <t>NVY</t>
        </is>
      </c>
      <c r="E185" t="inlineStr">
        <is>
          <t>(en blanco)</t>
        </is>
      </c>
      <c r="F185" t="inlineStr">
        <is>
          <t>(en blanco)</t>
        </is>
      </c>
      <c r="G185" t="inlineStr">
        <is>
          <t>S</t>
        </is>
      </c>
      <c r="H185" t="n">
        <v>23</v>
      </c>
      <c r="I185" t="inlineStr">
        <is>
          <t>HALIFAX_WOMENS_119001328_NVY_1.jpg</t>
        </is>
      </c>
      <c r="J185" t="inlineStr">
        <is>
          <t>HALIFAX_WOMENS_119001328_NVY_2.jpg</t>
        </is>
      </c>
      <c r="K185" t="inlineStr">
        <is>
          <t>HALIFAX_WOMENS_119001328_NVY_3.jpg</t>
        </is>
      </c>
      <c r="L185">
        <f>IMAGE("file:///E:/Estudios%20y%20certificaciones/ESTUDIOS%20DE%20PROGRAMMING/PROGRAMMING/PERSONAL/PYTHON/Image_Generator_API/imagenes/HALIFAX_WOMENS_119001328_NVY_1.jpg")</f>
        <v/>
      </c>
      <c r="M185">
        <f>IMAGE("file:///E:/Estudios%20y%20certificaciones/ESTUDIOS%20DE%20PROGRAMMING/PROGRAMMING/PERSONAL/PYTHON/Image_Generator_API/imagenes/HALIFAX_WOMENS_119001328_NVY_2.jpg")</f>
        <v/>
      </c>
      <c r="N185">
        <f>IMAGE("file:///E:/Estudios%20y%20certificaciones/ESTUDIOS%20DE%20PROGRAMMING/PROGRAMMING/PERSONAL/PYTHON/Image_Generator_API/imagenes/HALIFAX_WOMENS_119001328_NVY_3.jpg")</f>
        <v/>
      </c>
      <c r="O185">
        <f>HYPERLINK("imagenes/HALIFAX_WOMENS_119001328_NVY_1.jpg","Ver imagen")</f>
        <v/>
      </c>
      <c r="P185">
        <f>HYPERLINK("imagenes/HALIFAX_WOMENS_119001328_NVY_2.jpg","Ver imagen")</f>
        <v/>
      </c>
      <c r="Q185">
        <f>HYPERLINK("imagenes/HALIFAX_WOMENS_119001328_NVY_3.jpg","Ver imagen")</f>
        <v/>
      </c>
    </row>
    <row r="186">
      <c r="A186" t="inlineStr">
        <is>
          <t>HALIFAX WOMENS</t>
        </is>
      </c>
      <c r="B186" t="inlineStr">
        <is>
          <t>119001328</t>
        </is>
      </c>
      <c r="C186" t="inlineStr">
        <is>
          <t>HEAVY WEIGHT MIST FAUX FAUR TRIMMED PARKA</t>
        </is>
      </c>
      <c r="D186" t="inlineStr">
        <is>
          <t>NVY</t>
        </is>
      </c>
      <c r="E186" t="inlineStr">
        <is>
          <t>(en blanco)</t>
        </is>
      </c>
      <c r="F186" t="inlineStr">
        <is>
          <t>(en blanco)</t>
        </is>
      </c>
      <c r="G186" t="inlineStr">
        <is>
          <t>M</t>
        </is>
      </c>
      <c r="H186" t="n">
        <v>51</v>
      </c>
      <c r="I186" t="inlineStr">
        <is>
          <t>HALIFAX_WOMENS_119001328_NVY_1.jpg</t>
        </is>
      </c>
      <c r="J186" t="inlineStr">
        <is>
          <t>HALIFAX_WOMENS_119001328_NVY_2.jpg</t>
        </is>
      </c>
      <c r="K186" t="inlineStr">
        <is>
          <t>HALIFAX_WOMENS_119001328_NVY_3.jpg</t>
        </is>
      </c>
      <c r="L186">
        <f>IMAGE("file:///E:/Estudios%20y%20certificaciones/ESTUDIOS%20DE%20PROGRAMMING/PROGRAMMING/PERSONAL/PYTHON/Image_Generator_API/imagenes/HALIFAX_WOMENS_119001328_NVY_1.jpg")</f>
        <v/>
      </c>
      <c r="M186">
        <f>IMAGE("file:///E:/Estudios%20y%20certificaciones/ESTUDIOS%20DE%20PROGRAMMING/PROGRAMMING/PERSONAL/PYTHON/Image_Generator_API/imagenes/HALIFAX_WOMENS_119001328_NVY_2.jpg")</f>
        <v/>
      </c>
      <c r="N186">
        <f>IMAGE("file:///E:/Estudios%20y%20certificaciones/ESTUDIOS%20DE%20PROGRAMMING/PROGRAMMING/PERSONAL/PYTHON/Image_Generator_API/imagenes/HALIFAX_WOMENS_119001328_NVY_3.jpg")</f>
        <v/>
      </c>
      <c r="O186">
        <f>HYPERLINK("imagenes/HALIFAX_WOMENS_119001328_NVY_1.jpg","Ver imagen")</f>
        <v/>
      </c>
      <c r="P186">
        <f>HYPERLINK("imagenes/HALIFAX_WOMENS_119001328_NVY_2.jpg","Ver imagen")</f>
        <v/>
      </c>
      <c r="Q186">
        <f>HYPERLINK("imagenes/HALIFAX_WOMENS_119001328_NVY_3.jpg","Ver imagen")</f>
        <v/>
      </c>
    </row>
    <row r="187">
      <c r="A187" t="inlineStr">
        <is>
          <t>HALIFAX WOMENS</t>
        </is>
      </c>
      <c r="B187" t="inlineStr">
        <is>
          <t>119001328</t>
        </is>
      </c>
      <c r="C187" t="inlineStr">
        <is>
          <t>HEAVY WEIGHT MIST FAUX FAUR TRIMMED PARKA</t>
        </is>
      </c>
      <c r="D187" t="inlineStr">
        <is>
          <t>NVY</t>
        </is>
      </c>
      <c r="E187" t="inlineStr">
        <is>
          <t>(en blanco)</t>
        </is>
      </c>
      <c r="F187" t="inlineStr">
        <is>
          <t>(en blanco)</t>
        </is>
      </c>
      <c r="G187" t="inlineStr">
        <is>
          <t>L</t>
        </is>
      </c>
      <c r="H187" t="n">
        <v>48</v>
      </c>
      <c r="I187" t="inlineStr">
        <is>
          <t>HALIFAX_WOMENS_119001328_NVY_1.jpg</t>
        </is>
      </c>
      <c r="J187" t="inlineStr">
        <is>
          <t>HALIFAX_WOMENS_119001328_NVY_2.jpg</t>
        </is>
      </c>
      <c r="K187" t="inlineStr">
        <is>
          <t>HALIFAX_WOMENS_119001328_NVY_3.jpg</t>
        </is>
      </c>
      <c r="L187">
        <f>IMAGE("file:///E:/Estudios%20y%20certificaciones/ESTUDIOS%20DE%20PROGRAMMING/PROGRAMMING/PERSONAL/PYTHON/Image_Generator_API/imagenes/HALIFAX_WOMENS_119001328_NVY_1.jpg")</f>
        <v/>
      </c>
      <c r="M187">
        <f>IMAGE("file:///E:/Estudios%20y%20certificaciones/ESTUDIOS%20DE%20PROGRAMMING/PROGRAMMING/PERSONAL/PYTHON/Image_Generator_API/imagenes/HALIFAX_WOMENS_119001328_NVY_2.jpg")</f>
        <v/>
      </c>
      <c r="N187">
        <f>IMAGE("file:///E:/Estudios%20y%20certificaciones/ESTUDIOS%20DE%20PROGRAMMING/PROGRAMMING/PERSONAL/PYTHON/Image_Generator_API/imagenes/HALIFAX_WOMENS_119001328_NVY_3.jpg")</f>
        <v/>
      </c>
      <c r="O187">
        <f>HYPERLINK("imagenes/HALIFAX_WOMENS_119001328_NVY_1.jpg","Ver imagen")</f>
        <v/>
      </c>
      <c r="P187">
        <f>HYPERLINK("imagenes/HALIFAX_WOMENS_119001328_NVY_2.jpg","Ver imagen")</f>
        <v/>
      </c>
      <c r="Q187">
        <f>HYPERLINK("imagenes/HALIFAX_WOMENS_119001328_NVY_3.jpg","Ver imagen")</f>
        <v/>
      </c>
    </row>
    <row r="188">
      <c r="A188" t="inlineStr">
        <is>
          <t>HALIFAX WOMENS</t>
        </is>
      </c>
      <c r="B188" t="inlineStr">
        <is>
          <t>119001328</t>
        </is>
      </c>
      <c r="C188" t="inlineStr">
        <is>
          <t>HEAVY WEIGHT MIST FAUX FAUR TRIMMED PARKA</t>
        </is>
      </c>
      <c r="D188" t="inlineStr">
        <is>
          <t>NVY</t>
        </is>
      </c>
      <c r="E188" t="inlineStr">
        <is>
          <t>(en blanco)</t>
        </is>
      </c>
      <c r="F188" t="inlineStr">
        <is>
          <t>(en blanco)</t>
        </is>
      </c>
      <c r="G188" t="inlineStr">
        <is>
          <t>XL</t>
        </is>
      </c>
      <c r="H188" t="n">
        <v>46</v>
      </c>
      <c r="I188" t="inlineStr">
        <is>
          <t>HALIFAX_WOMENS_119001328_NVY_1.jpg</t>
        </is>
      </c>
      <c r="J188" t="inlineStr">
        <is>
          <t>HALIFAX_WOMENS_119001328_NVY_2.jpg</t>
        </is>
      </c>
      <c r="K188" t="inlineStr">
        <is>
          <t>HALIFAX_WOMENS_119001328_NVY_3.jpg</t>
        </is>
      </c>
      <c r="L188">
        <f>IMAGE("file:///E:/Estudios%20y%20certificaciones/ESTUDIOS%20DE%20PROGRAMMING/PROGRAMMING/PERSONAL/PYTHON/Image_Generator_API/imagenes/HALIFAX_WOMENS_119001328_NVY_1.jpg")</f>
        <v/>
      </c>
      <c r="M188">
        <f>IMAGE("file:///E:/Estudios%20y%20certificaciones/ESTUDIOS%20DE%20PROGRAMMING/PROGRAMMING/PERSONAL/PYTHON/Image_Generator_API/imagenes/HALIFAX_WOMENS_119001328_NVY_2.jpg")</f>
        <v/>
      </c>
      <c r="N188">
        <f>IMAGE("file:///E:/Estudios%20y%20certificaciones/ESTUDIOS%20DE%20PROGRAMMING/PROGRAMMING/PERSONAL/PYTHON/Image_Generator_API/imagenes/HALIFAX_WOMENS_119001328_NVY_3.jpg")</f>
        <v/>
      </c>
      <c r="O188">
        <f>HYPERLINK("imagenes/HALIFAX_WOMENS_119001328_NVY_1.jpg","Ver imagen")</f>
        <v/>
      </c>
      <c r="P188">
        <f>HYPERLINK("imagenes/HALIFAX_WOMENS_119001328_NVY_2.jpg","Ver imagen")</f>
        <v/>
      </c>
      <c r="Q188">
        <f>HYPERLINK("imagenes/HALIFAX_WOMENS_119001328_NVY_3.jpg","Ver imagen")</f>
        <v/>
      </c>
    </row>
    <row r="189">
      <c r="A189" t="inlineStr">
        <is>
          <t>HALIFAX WOMENS</t>
        </is>
      </c>
      <c r="B189" t="inlineStr">
        <is>
          <t>119001328</t>
        </is>
      </c>
      <c r="C189" t="inlineStr">
        <is>
          <t>HEAVY WEIGHT MIST FAUX FAUR TRIMMED PARKA</t>
        </is>
      </c>
      <c r="D189" t="inlineStr">
        <is>
          <t>NVY</t>
        </is>
      </c>
      <c r="E189" t="inlineStr">
        <is>
          <t>(en blanco)</t>
        </is>
      </c>
      <c r="F189" t="inlineStr">
        <is>
          <t>(en blanco)</t>
        </is>
      </c>
      <c r="G189" t="inlineStr">
        <is>
          <t>XXL</t>
        </is>
      </c>
      <c r="H189" t="n">
        <v>17</v>
      </c>
      <c r="I189" t="inlineStr">
        <is>
          <t>HALIFAX_WOMENS_119001328_NVY_1.jpg</t>
        </is>
      </c>
      <c r="J189" t="inlineStr">
        <is>
          <t>HALIFAX_WOMENS_119001328_NVY_2.jpg</t>
        </is>
      </c>
      <c r="K189" t="inlineStr">
        <is>
          <t>HALIFAX_WOMENS_119001328_NVY_3.jpg</t>
        </is>
      </c>
      <c r="L189">
        <f>IMAGE("file:///E:/Estudios%20y%20certificaciones/ESTUDIOS%20DE%20PROGRAMMING/PROGRAMMING/PERSONAL/PYTHON/Image_Generator_API/imagenes/HALIFAX_WOMENS_119001328_NVY_1.jpg")</f>
        <v/>
      </c>
      <c r="M189">
        <f>IMAGE("file:///E:/Estudios%20y%20certificaciones/ESTUDIOS%20DE%20PROGRAMMING/PROGRAMMING/PERSONAL/PYTHON/Image_Generator_API/imagenes/HALIFAX_WOMENS_119001328_NVY_2.jpg")</f>
        <v/>
      </c>
      <c r="N189">
        <f>IMAGE("file:///E:/Estudios%20y%20certificaciones/ESTUDIOS%20DE%20PROGRAMMING/PROGRAMMING/PERSONAL/PYTHON/Image_Generator_API/imagenes/HALIFAX_WOMENS_119001328_NVY_3.jpg")</f>
        <v/>
      </c>
      <c r="O189">
        <f>HYPERLINK("imagenes/HALIFAX_WOMENS_119001328_NVY_1.jpg","Ver imagen")</f>
        <v/>
      </c>
      <c r="P189">
        <f>HYPERLINK("imagenes/HALIFAX_WOMENS_119001328_NVY_2.jpg","Ver imagen")</f>
        <v/>
      </c>
      <c r="Q189">
        <f>HYPERLINK("imagenes/HALIFAX_WOMENS_119001328_NVY_3.jpg","Ver imagen")</f>
        <v/>
      </c>
    </row>
    <row r="190">
      <c r="A190" t="inlineStr">
        <is>
          <t>HALIFAX WOMENS</t>
        </is>
      </c>
      <c r="B190" t="inlineStr">
        <is>
          <t>119001328</t>
        </is>
      </c>
      <c r="C190" t="inlineStr">
        <is>
          <t>HEAVY WEIGHT MIST FAUX FAUR TRIMMED PARKA</t>
        </is>
      </c>
      <c r="D190" t="inlineStr">
        <is>
          <t>OLI</t>
        </is>
      </c>
      <c r="E190" t="inlineStr">
        <is>
          <t>06A01</t>
        </is>
      </c>
      <c r="F190" t="inlineStr">
        <is>
          <t>(en blanco)</t>
        </is>
      </c>
      <c r="G190" t="inlineStr">
        <is>
          <t>PPK</t>
        </is>
      </c>
      <c r="H190" t="n">
        <v>240</v>
      </c>
      <c r="I190" t="inlineStr">
        <is>
          <t>HALIFAX_WOMENS_119001328_OLI_1.jpg</t>
        </is>
      </c>
      <c r="J190" t="inlineStr">
        <is>
          <t>HALIFAX_WOMENS_119001328_OLI_2.jpg</t>
        </is>
      </c>
      <c r="K190" t="inlineStr">
        <is>
          <t>HALIFAX_WOMENS_119001328_OLI_3.jpg</t>
        </is>
      </c>
      <c r="L190">
        <f>IMAGE("file:///E:/Estudios%20y%20certificaciones/ESTUDIOS%20DE%20PROGRAMMING/PROGRAMMING/PERSONAL/PYTHON/Image_Generator_API/imagenes/HALIFAX_WOMENS_119001328_OLI_1.jpg")</f>
        <v/>
      </c>
      <c r="M190">
        <f>IMAGE("file:///E:/Estudios%20y%20certificaciones/ESTUDIOS%20DE%20PROGRAMMING/PROGRAMMING/PERSONAL/PYTHON/Image_Generator_API/imagenes/HALIFAX_WOMENS_119001328_OLI_2.jpg")</f>
        <v/>
      </c>
      <c r="N190">
        <f>IMAGE("file:///E:/Estudios%20y%20certificaciones/ESTUDIOS%20DE%20PROGRAMMING/PROGRAMMING/PERSONAL/PYTHON/Image_Generator_API/imagenes/HALIFAX_WOMENS_119001328_OLI_3.jpg")</f>
        <v/>
      </c>
      <c r="O190">
        <f>HYPERLINK("imagenes/HALIFAX_WOMENS_119001328_OLI_1.jpg","Ver imagen")</f>
        <v/>
      </c>
      <c r="P190">
        <f>HYPERLINK("imagenes/HALIFAX_WOMENS_119001328_OLI_2.jpg","Ver imagen")</f>
        <v/>
      </c>
      <c r="Q190">
        <f>HYPERLINK("imagenes/HALIFAX_WOMENS_119001328_OLI_3.jpg","Ver imagen")</f>
        <v/>
      </c>
    </row>
    <row r="191">
      <c r="A191" t="inlineStr">
        <is>
          <t>HALIFAX WOMENS</t>
        </is>
      </c>
      <c r="B191" t="inlineStr">
        <is>
          <t>119001328</t>
        </is>
      </c>
      <c r="C191" t="inlineStr">
        <is>
          <t>HEAVY WEIGHT MIST FAUX FAUR TRIMMED PARKA</t>
        </is>
      </c>
      <c r="D191" t="inlineStr">
        <is>
          <t>OLI</t>
        </is>
      </c>
      <c r="E191" t="inlineStr">
        <is>
          <t>(en blanco)</t>
        </is>
      </c>
      <c r="F191" t="inlineStr">
        <is>
          <t>(en blanco)</t>
        </is>
      </c>
      <c r="G191" t="inlineStr">
        <is>
          <t>S</t>
        </is>
      </c>
      <c r="H191" t="n">
        <v>26</v>
      </c>
      <c r="I191" t="inlineStr">
        <is>
          <t>HALIFAX_WOMENS_119001328_OLI_1.jpg</t>
        </is>
      </c>
      <c r="J191" t="inlineStr">
        <is>
          <t>HALIFAX_WOMENS_119001328_OLI_2.jpg</t>
        </is>
      </c>
      <c r="K191" t="inlineStr">
        <is>
          <t>HALIFAX_WOMENS_119001328_OLI_3.jpg</t>
        </is>
      </c>
      <c r="L191">
        <f>IMAGE("file:///E:/Estudios%20y%20certificaciones/ESTUDIOS%20DE%20PROGRAMMING/PROGRAMMING/PERSONAL/PYTHON/Image_Generator_API/imagenes/HALIFAX_WOMENS_119001328_OLI_1.jpg")</f>
        <v/>
      </c>
      <c r="M191">
        <f>IMAGE("file:///E:/Estudios%20y%20certificaciones/ESTUDIOS%20DE%20PROGRAMMING/PROGRAMMING/PERSONAL/PYTHON/Image_Generator_API/imagenes/HALIFAX_WOMENS_119001328_OLI_2.jpg")</f>
        <v/>
      </c>
      <c r="N191">
        <f>IMAGE("file:///E:/Estudios%20y%20certificaciones/ESTUDIOS%20DE%20PROGRAMMING/PROGRAMMING/PERSONAL/PYTHON/Image_Generator_API/imagenes/HALIFAX_WOMENS_119001328_OLI_3.jpg")</f>
        <v/>
      </c>
      <c r="O191">
        <f>HYPERLINK("imagenes/HALIFAX_WOMENS_119001328_OLI_1.jpg","Ver imagen")</f>
        <v/>
      </c>
      <c r="P191">
        <f>HYPERLINK("imagenes/HALIFAX_WOMENS_119001328_OLI_2.jpg","Ver imagen")</f>
        <v/>
      </c>
      <c r="Q191">
        <f>HYPERLINK("imagenes/HALIFAX_WOMENS_119001328_OLI_3.jpg","Ver imagen")</f>
        <v/>
      </c>
    </row>
    <row r="192">
      <c r="A192" t="inlineStr">
        <is>
          <t>HALIFAX WOMENS</t>
        </is>
      </c>
      <c r="B192" t="inlineStr">
        <is>
          <t>119001328</t>
        </is>
      </c>
      <c r="C192" t="inlineStr">
        <is>
          <t>HEAVY WEIGHT MIST FAUX FAUR TRIMMED PARKA</t>
        </is>
      </c>
      <c r="D192" t="inlineStr">
        <is>
          <t>OLI</t>
        </is>
      </c>
      <c r="E192" t="inlineStr">
        <is>
          <t>(en blanco)</t>
        </is>
      </c>
      <c r="F192" t="inlineStr">
        <is>
          <t>(en blanco)</t>
        </is>
      </c>
      <c r="G192" t="inlineStr">
        <is>
          <t>M</t>
        </is>
      </c>
      <c r="H192" t="n">
        <v>54</v>
      </c>
      <c r="I192" t="inlineStr">
        <is>
          <t>HALIFAX_WOMENS_119001328_OLI_1.jpg</t>
        </is>
      </c>
      <c r="J192" t="inlineStr">
        <is>
          <t>HALIFAX_WOMENS_119001328_OLI_2.jpg</t>
        </is>
      </c>
      <c r="K192" t="inlineStr">
        <is>
          <t>HALIFAX_WOMENS_119001328_OLI_3.jpg</t>
        </is>
      </c>
      <c r="L192">
        <f>IMAGE("file:///E:/Estudios%20y%20certificaciones/ESTUDIOS%20DE%20PROGRAMMING/PROGRAMMING/PERSONAL/PYTHON/Image_Generator_API/imagenes/HALIFAX_WOMENS_119001328_OLI_1.jpg")</f>
        <v/>
      </c>
      <c r="M192">
        <f>IMAGE("file:///E:/Estudios%20y%20certificaciones/ESTUDIOS%20DE%20PROGRAMMING/PROGRAMMING/PERSONAL/PYTHON/Image_Generator_API/imagenes/HALIFAX_WOMENS_119001328_OLI_2.jpg")</f>
        <v/>
      </c>
      <c r="N192">
        <f>IMAGE("file:///E:/Estudios%20y%20certificaciones/ESTUDIOS%20DE%20PROGRAMMING/PROGRAMMING/PERSONAL/PYTHON/Image_Generator_API/imagenes/HALIFAX_WOMENS_119001328_OLI_3.jpg")</f>
        <v/>
      </c>
      <c r="O192">
        <f>HYPERLINK("imagenes/HALIFAX_WOMENS_119001328_OLI_1.jpg","Ver imagen")</f>
        <v/>
      </c>
      <c r="P192">
        <f>HYPERLINK("imagenes/HALIFAX_WOMENS_119001328_OLI_2.jpg","Ver imagen")</f>
        <v/>
      </c>
      <c r="Q192">
        <f>HYPERLINK("imagenes/HALIFAX_WOMENS_119001328_OLI_3.jpg","Ver imagen")</f>
        <v/>
      </c>
    </row>
    <row r="193">
      <c r="A193" t="inlineStr">
        <is>
          <t>HALIFAX WOMENS</t>
        </is>
      </c>
      <c r="B193" t="inlineStr">
        <is>
          <t>119001328</t>
        </is>
      </c>
      <c r="C193" t="inlineStr">
        <is>
          <t>HEAVY WEIGHT MIST FAUX FAUR TRIMMED PARKA</t>
        </is>
      </c>
      <c r="D193" t="inlineStr">
        <is>
          <t>OLI</t>
        </is>
      </c>
      <c r="E193" t="inlineStr">
        <is>
          <t>(en blanco)</t>
        </is>
      </c>
      <c r="F193" t="inlineStr">
        <is>
          <t>(en blanco)</t>
        </is>
      </c>
      <c r="G193" t="inlineStr">
        <is>
          <t>L</t>
        </is>
      </c>
      <c r="H193" t="n">
        <v>55</v>
      </c>
      <c r="I193" t="inlineStr">
        <is>
          <t>HALIFAX_WOMENS_119001328_OLI_1.jpg</t>
        </is>
      </c>
      <c r="J193" t="inlineStr">
        <is>
          <t>HALIFAX_WOMENS_119001328_OLI_2.jpg</t>
        </is>
      </c>
      <c r="K193" t="inlineStr">
        <is>
          <t>HALIFAX_WOMENS_119001328_OLI_3.jpg</t>
        </is>
      </c>
      <c r="L193">
        <f>IMAGE("file:///E:/Estudios%20y%20certificaciones/ESTUDIOS%20DE%20PROGRAMMING/PROGRAMMING/PERSONAL/PYTHON/Image_Generator_API/imagenes/HALIFAX_WOMENS_119001328_OLI_1.jpg")</f>
        <v/>
      </c>
      <c r="M193">
        <f>IMAGE("file:///E:/Estudios%20y%20certificaciones/ESTUDIOS%20DE%20PROGRAMMING/PROGRAMMING/PERSONAL/PYTHON/Image_Generator_API/imagenes/HALIFAX_WOMENS_119001328_OLI_2.jpg")</f>
        <v/>
      </c>
      <c r="N193">
        <f>IMAGE("file:///E:/Estudios%20y%20certificaciones/ESTUDIOS%20DE%20PROGRAMMING/PROGRAMMING/PERSONAL/PYTHON/Image_Generator_API/imagenes/HALIFAX_WOMENS_119001328_OLI_3.jpg")</f>
        <v/>
      </c>
      <c r="O193">
        <f>HYPERLINK("imagenes/HALIFAX_WOMENS_119001328_OLI_1.jpg","Ver imagen")</f>
        <v/>
      </c>
      <c r="P193">
        <f>HYPERLINK("imagenes/HALIFAX_WOMENS_119001328_OLI_2.jpg","Ver imagen")</f>
        <v/>
      </c>
      <c r="Q193">
        <f>HYPERLINK("imagenes/HALIFAX_WOMENS_119001328_OLI_3.jpg","Ver imagen")</f>
        <v/>
      </c>
    </row>
    <row r="194">
      <c r="A194" t="inlineStr">
        <is>
          <t>HALIFAX WOMENS</t>
        </is>
      </c>
      <c r="B194" t="inlineStr">
        <is>
          <t>119001328</t>
        </is>
      </c>
      <c r="C194" t="inlineStr">
        <is>
          <t>HEAVY WEIGHT MIST FAUX FAUR TRIMMED PARKA</t>
        </is>
      </c>
      <c r="D194" t="inlineStr">
        <is>
          <t>OLI</t>
        </is>
      </c>
      <c r="E194" t="inlineStr">
        <is>
          <t>(en blanco)</t>
        </is>
      </c>
      <c r="F194" t="inlineStr">
        <is>
          <t>(en blanco)</t>
        </is>
      </c>
      <c r="G194" t="inlineStr">
        <is>
          <t>XL</t>
        </is>
      </c>
      <c r="H194" t="n">
        <v>44</v>
      </c>
      <c r="I194" t="inlineStr">
        <is>
          <t>HALIFAX_WOMENS_119001328_OLI_1.jpg</t>
        </is>
      </c>
      <c r="J194" t="inlineStr">
        <is>
          <t>HALIFAX_WOMENS_119001328_OLI_2.jpg</t>
        </is>
      </c>
      <c r="K194" t="inlineStr">
        <is>
          <t>HALIFAX_WOMENS_119001328_OLI_3.jpg</t>
        </is>
      </c>
      <c r="L194">
        <f>IMAGE("file:///E:/Estudios%20y%20certificaciones/ESTUDIOS%20DE%20PROGRAMMING/PROGRAMMING/PERSONAL/PYTHON/Image_Generator_API/imagenes/HALIFAX_WOMENS_119001328_OLI_1.jpg")</f>
        <v/>
      </c>
      <c r="M194">
        <f>IMAGE("file:///E:/Estudios%20y%20certificaciones/ESTUDIOS%20DE%20PROGRAMMING/PROGRAMMING/PERSONAL/PYTHON/Image_Generator_API/imagenes/HALIFAX_WOMENS_119001328_OLI_2.jpg")</f>
        <v/>
      </c>
      <c r="N194">
        <f>IMAGE("file:///E:/Estudios%20y%20certificaciones/ESTUDIOS%20DE%20PROGRAMMING/PROGRAMMING/PERSONAL/PYTHON/Image_Generator_API/imagenes/HALIFAX_WOMENS_119001328_OLI_3.jpg")</f>
        <v/>
      </c>
      <c r="O194">
        <f>HYPERLINK("imagenes/HALIFAX_WOMENS_119001328_OLI_1.jpg","Ver imagen")</f>
        <v/>
      </c>
      <c r="P194">
        <f>HYPERLINK("imagenes/HALIFAX_WOMENS_119001328_OLI_2.jpg","Ver imagen")</f>
        <v/>
      </c>
      <c r="Q194">
        <f>HYPERLINK("imagenes/HALIFAX_WOMENS_119001328_OLI_3.jpg","Ver imagen")</f>
        <v/>
      </c>
    </row>
    <row r="195">
      <c r="A195" t="inlineStr">
        <is>
          <t>HALIFAX WOMENS</t>
        </is>
      </c>
      <c r="B195" t="inlineStr">
        <is>
          <t>119001328</t>
        </is>
      </c>
      <c r="C195" t="inlineStr">
        <is>
          <t>HEAVY WEIGHT MIST FAUX FAUR TRIMMED PARKA</t>
        </is>
      </c>
      <c r="D195" t="inlineStr">
        <is>
          <t>OLI</t>
        </is>
      </c>
      <c r="E195" t="inlineStr">
        <is>
          <t>(en blanco)</t>
        </is>
      </c>
      <c r="F195" t="inlineStr">
        <is>
          <t>(en blanco)</t>
        </is>
      </c>
      <c r="G195" t="inlineStr">
        <is>
          <t>XXL</t>
        </is>
      </c>
      <c r="H195" t="n">
        <v>15</v>
      </c>
      <c r="I195" t="inlineStr">
        <is>
          <t>HALIFAX_WOMENS_119001328_OLI_1.jpg</t>
        </is>
      </c>
      <c r="J195" t="inlineStr">
        <is>
          <t>HALIFAX_WOMENS_119001328_OLI_2.jpg</t>
        </is>
      </c>
      <c r="K195" t="inlineStr">
        <is>
          <t>HALIFAX_WOMENS_119001328_OLI_3.jpg</t>
        </is>
      </c>
      <c r="L195">
        <f>IMAGE("file:///E:/Estudios%20y%20certificaciones/ESTUDIOS%20DE%20PROGRAMMING/PROGRAMMING/PERSONAL/PYTHON/Image_Generator_API/imagenes/HALIFAX_WOMENS_119001328_OLI_1.jpg")</f>
        <v/>
      </c>
      <c r="M195">
        <f>IMAGE("file:///E:/Estudios%20y%20certificaciones/ESTUDIOS%20DE%20PROGRAMMING/PROGRAMMING/PERSONAL/PYTHON/Image_Generator_API/imagenes/HALIFAX_WOMENS_119001328_OLI_2.jpg")</f>
        <v/>
      </c>
      <c r="N195">
        <f>IMAGE("file:///E:/Estudios%20y%20certificaciones/ESTUDIOS%20DE%20PROGRAMMING/PROGRAMMING/PERSONAL/PYTHON/Image_Generator_API/imagenes/HALIFAX_WOMENS_119001328_OLI_3.jpg")</f>
        <v/>
      </c>
      <c r="O195">
        <f>HYPERLINK("imagenes/HALIFAX_WOMENS_119001328_OLI_1.jpg","Ver imagen")</f>
        <v/>
      </c>
      <c r="P195">
        <f>HYPERLINK("imagenes/HALIFAX_WOMENS_119001328_OLI_2.jpg","Ver imagen")</f>
        <v/>
      </c>
      <c r="Q195">
        <f>HYPERLINK("imagenes/HALIFAX_WOMENS_119001328_OLI_3.jpg","Ver imagen")</f>
        <v/>
      </c>
    </row>
    <row r="196">
      <c r="A196" t="inlineStr">
        <is>
          <t>HALIFAX WOMENS</t>
        </is>
      </c>
      <c r="B196" t="inlineStr">
        <is>
          <t>119001566</t>
        </is>
      </c>
      <c r="C196" t="inlineStr">
        <is>
          <t>FLEECE SHIRT JACKET</t>
        </is>
      </c>
      <c r="D196" t="inlineStr">
        <is>
          <t>BU4</t>
        </is>
      </c>
      <c r="E196" t="inlineStr">
        <is>
          <t>12A08</t>
        </is>
      </c>
      <c r="F196" t="inlineStr">
        <is>
          <t>(en blanco)</t>
        </is>
      </c>
      <c r="G196" t="inlineStr">
        <is>
          <t>PPK</t>
        </is>
      </c>
      <c r="H196" t="n">
        <v>0</v>
      </c>
      <c r="I196" t="inlineStr">
        <is>
          <t>HALIFAX_WOMENS_119001566_BU4_1.jpg</t>
        </is>
      </c>
      <c r="J196" t="inlineStr">
        <is>
          <t>HALIFAX_WOMENS_119001566_BU4_2.jpg</t>
        </is>
      </c>
      <c r="K196" t="inlineStr">
        <is>
          <t>HALIFAX_WOMENS_119001566_BU4_3.jpg</t>
        </is>
      </c>
      <c r="L196">
        <f>IMAGE("file:///E:/Estudios%20y%20certificaciones/ESTUDIOS%20DE%20PROGRAMMING/PROGRAMMING/PERSONAL/PYTHON/Image_Generator_API/imagenes/HALIFAX_WOMENS_119001566_BU4_1.jpg")</f>
        <v/>
      </c>
      <c r="M196">
        <f>IMAGE("file:///E:/Estudios%20y%20certificaciones/ESTUDIOS%20DE%20PROGRAMMING/PROGRAMMING/PERSONAL/PYTHON/Image_Generator_API/imagenes/HALIFAX_WOMENS_119001566_BU4_2.jpg")</f>
        <v/>
      </c>
      <c r="N196">
        <f>IMAGE("file:///E:/Estudios%20y%20certificaciones/ESTUDIOS%20DE%20PROGRAMMING/PROGRAMMING/PERSONAL/PYTHON/Image_Generator_API/imagenes/HALIFAX_WOMENS_119001566_BU4_3.jpg")</f>
        <v/>
      </c>
      <c r="O196">
        <f>HYPERLINK("imagenes/HALIFAX_WOMENS_119001566_BU4_1.jpg","Ver imagen")</f>
        <v/>
      </c>
      <c r="P196">
        <f>HYPERLINK("imagenes/HALIFAX_WOMENS_119001566_BU4_2.jpg","Ver imagen")</f>
        <v/>
      </c>
      <c r="Q196">
        <f>HYPERLINK("imagenes/HALIFAX_WOMENS_119001566_BU4_3.jpg","Ver imagen")</f>
        <v/>
      </c>
    </row>
    <row r="197">
      <c r="A197" t="inlineStr">
        <is>
          <t>HALIFAX WOMENS</t>
        </is>
      </c>
      <c r="B197" t="inlineStr">
        <is>
          <t>119001566</t>
        </is>
      </c>
      <c r="C197" t="inlineStr">
        <is>
          <t>FLEECE SHIRT JACKET</t>
        </is>
      </c>
      <c r="D197" t="inlineStr">
        <is>
          <t>BU4</t>
        </is>
      </c>
      <c r="E197" t="inlineStr">
        <is>
          <t>(en blanco)</t>
        </is>
      </c>
      <c r="F197" t="inlineStr">
        <is>
          <t>(en blanco)</t>
        </is>
      </c>
      <c r="G197" t="inlineStr">
        <is>
          <t>XS</t>
        </is>
      </c>
      <c r="H197" t="n">
        <v>56</v>
      </c>
      <c r="I197" t="inlineStr">
        <is>
          <t>HALIFAX_WOMENS_119001566_BU4_1.jpg</t>
        </is>
      </c>
      <c r="J197" t="inlineStr">
        <is>
          <t>HALIFAX_WOMENS_119001566_BU4_2.jpg</t>
        </is>
      </c>
      <c r="K197" t="inlineStr">
        <is>
          <t>HALIFAX_WOMENS_119001566_BU4_3.jpg</t>
        </is>
      </c>
      <c r="L197">
        <f>IMAGE("file:///E:/Estudios%20y%20certificaciones/ESTUDIOS%20DE%20PROGRAMMING/PROGRAMMING/PERSONAL/PYTHON/Image_Generator_API/imagenes/HALIFAX_WOMENS_119001566_BU4_1.jpg")</f>
        <v/>
      </c>
      <c r="M197">
        <f>IMAGE("file:///E:/Estudios%20y%20certificaciones/ESTUDIOS%20DE%20PROGRAMMING/PROGRAMMING/PERSONAL/PYTHON/Image_Generator_API/imagenes/HALIFAX_WOMENS_119001566_BU4_2.jpg")</f>
        <v/>
      </c>
      <c r="N197">
        <f>IMAGE("file:///E:/Estudios%20y%20certificaciones/ESTUDIOS%20DE%20PROGRAMMING/PROGRAMMING/PERSONAL/PYTHON/Image_Generator_API/imagenes/HALIFAX_WOMENS_119001566_BU4_3.jpg")</f>
        <v/>
      </c>
      <c r="O197">
        <f>HYPERLINK("imagenes/HALIFAX_WOMENS_119001566_BU4_1.jpg","Ver imagen")</f>
        <v/>
      </c>
      <c r="P197">
        <f>HYPERLINK("imagenes/HALIFAX_WOMENS_119001566_BU4_2.jpg","Ver imagen")</f>
        <v/>
      </c>
      <c r="Q197">
        <f>HYPERLINK("imagenes/HALIFAX_WOMENS_119001566_BU4_3.jpg","Ver imagen")</f>
        <v/>
      </c>
    </row>
    <row r="198">
      <c r="A198" t="inlineStr">
        <is>
          <t>HALIFAX WOMENS</t>
        </is>
      </c>
      <c r="B198" t="inlineStr">
        <is>
          <t>119001566</t>
        </is>
      </c>
      <c r="C198" t="inlineStr">
        <is>
          <t>FLEECE SHIRT JACKET</t>
        </is>
      </c>
      <c r="D198" t="inlineStr">
        <is>
          <t>BU4</t>
        </is>
      </c>
      <c r="E198" t="inlineStr">
        <is>
          <t>(en blanco)</t>
        </is>
      </c>
      <c r="F198" t="inlineStr">
        <is>
          <t>(en blanco)</t>
        </is>
      </c>
      <c r="G198" t="inlineStr">
        <is>
          <t>S</t>
        </is>
      </c>
      <c r="H198" t="n">
        <v>56</v>
      </c>
      <c r="I198" t="inlineStr">
        <is>
          <t>HALIFAX_WOMENS_119001566_BU4_1.jpg</t>
        </is>
      </c>
      <c r="J198" t="inlineStr">
        <is>
          <t>HALIFAX_WOMENS_119001566_BU4_2.jpg</t>
        </is>
      </c>
      <c r="K198" t="inlineStr">
        <is>
          <t>HALIFAX_WOMENS_119001566_BU4_3.jpg</t>
        </is>
      </c>
      <c r="L198">
        <f>IMAGE("file:///E:/Estudios%20y%20certificaciones/ESTUDIOS%20DE%20PROGRAMMING/PROGRAMMING/PERSONAL/PYTHON/Image_Generator_API/imagenes/HALIFAX_WOMENS_119001566_BU4_1.jpg")</f>
        <v/>
      </c>
      <c r="M198">
        <f>IMAGE("file:///E:/Estudios%20y%20certificaciones/ESTUDIOS%20DE%20PROGRAMMING/PROGRAMMING/PERSONAL/PYTHON/Image_Generator_API/imagenes/HALIFAX_WOMENS_119001566_BU4_2.jpg")</f>
        <v/>
      </c>
      <c r="N198">
        <f>IMAGE("file:///E:/Estudios%20y%20certificaciones/ESTUDIOS%20DE%20PROGRAMMING/PROGRAMMING/PERSONAL/PYTHON/Image_Generator_API/imagenes/HALIFAX_WOMENS_119001566_BU4_3.jpg")</f>
        <v/>
      </c>
      <c r="O198">
        <f>HYPERLINK("imagenes/HALIFAX_WOMENS_119001566_BU4_1.jpg","Ver imagen")</f>
        <v/>
      </c>
      <c r="P198">
        <f>HYPERLINK("imagenes/HALIFAX_WOMENS_119001566_BU4_2.jpg","Ver imagen")</f>
        <v/>
      </c>
      <c r="Q198">
        <f>HYPERLINK("imagenes/HALIFAX_WOMENS_119001566_BU4_3.jpg","Ver imagen")</f>
        <v/>
      </c>
    </row>
    <row r="199">
      <c r="A199" t="inlineStr">
        <is>
          <t>HALIFAX WOMENS</t>
        </is>
      </c>
      <c r="B199" t="inlineStr">
        <is>
          <t>119001566</t>
        </is>
      </c>
      <c r="C199" t="inlineStr">
        <is>
          <t>FLEECE SHIRT JACKET</t>
        </is>
      </c>
      <c r="D199" t="inlineStr">
        <is>
          <t>GEY</t>
        </is>
      </c>
      <c r="E199" t="inlineStr">
        <is>
          <t>(en blanco)</t>
        </is>
      </c>
      <c r="F199" t="inlineStr">
        <is>
          <t>(en blanco)</t>
        </is>
      </c>
      <c r="G199" t="inlineStr">
        <is>
          <t>S</t>
        </is>
      </c>
      <c r="H199" t="n">
        <v>1</v>
      </c>
      <c r="I199" t="inlineStr">
        <is>
          <t>HALIFAX_WOMENS_119001566_GEY_1.jpg</t>
        </is>
      </c>
      <c r="J199" t="inlineStr">
        <is>
          <t>HALIFAX_WOMENS_119001566_GEY_2.jpg</t>
        </is>
      </c>
      <c r="K199" t="inlineStr">
        <is>
          <t>HALIFAX_WOMENS_119001566_GEY_3.jpg</t>
        </is>
      </c>
      <c r="L199">
        <f>IMAGE("file:///E:/Estudios%20y%20certificaciones/ESTUDIOS%20DE%20PROGRAMMING/PROGRAMMING/PERSONAL/PYTHON/Image_Generator_API/imagenes/HALIFAX_WOMENS_119001566_GEY_1.jpg")</f>
        <v/>
      </c>
      <c r="M199">
        <f>IMAGE("file:///E:/Estudios%20y%20certificaciones/ESTUDIOS%20DE%20PROGRAMMING/PROGRAMMING/PERSONAL/PYTHON/Image_Generator_API/imagenes/HALIFAX_WOMENS_119001566_GEY_2.jpg")</f>
        <v/>
      </c>
      <c r="N199">
        <f>IMAGE("file:///E:/Estudios%20y%20certificaciones/ESTUDIOS%20DE%20PROGRAMMING/PROGRAMMING/PERSONAL/PYTHON/Image_Generator_API/imagenes/HALIFAX_WOMENS_119001566_GEY_3.jpg")</f>
        <v/>
      </c>
      <c r="O199">
        <f>HYPERLINK("imagenes/HALIFAX_WOMENS_119001566_GEY_1.jpg","Ver imagen")</f>
        <v/>
      </c>
      <c r="P199">
        <f>HYPERLINK("imagenes/HALIFAX_WOMENS_119001566_GEY_2.jpg","Ver imagen")</f>
        <v/>
      </c>
      <c r="Q199">
        <f>HYPERLINK("imagenes/HALIFAX_WOMENS_119001566_GEY_3.jpg","Ver imagen")</f>
        <v/>
      </c>
    </row>
    <row r="200">
      <c r="A200" t="inlineStr">
        <is>
          <t>HALIFAX WOMENS</t>
        </is>
      </c>
      <c r="B200" t="inlineStr">
        <is>
          <t>119001566</t>
        </is>
      </c>
      <c r="C200" t="inlineStr">
        <is>
          <t>FLEECE SHIRT JACKET</t>
        </is>
      </c>
      <c r="D200" t="inlineStr">
        <is>
          <t>GEY</t>
        </is>
      </c>
      <c r="E200" t="inlineStr">
        <is>
          <t>(en blanco)</t>
        </is>
      </c>
      <c r="F200" t="inlineStr">
        <is>
          <t>(en blanco)</t>
        </is>
      </c>
      <c r="G200" t="inlineStr">
        <is>
          <t>M</t>
        </is>
      </c>
      <c r="H200" t="n">
        <v>2</v>
      </c>
      <c r="I200" t="inlineStr">
        <is>
          <t>HALIFAX_WOMENS_119001566_GEY_1.jpg</t>
        </is>
      </c>
      <c r="J200" t="inlineStr">
        <is>
          <t>HALIFAX_WOMENS_119001566_GEY_2.jpg</t>
        </is>
      </c>
      <c r="K200" t="inlineStr">
        <is>
          <t>HALIFAX_WOMENS_119001566_GEY_3.jpg</t>
        </is>
      </c>
      <c r="L200">
        <f>IMAGE("file:///E:/Estudios%20y%20certificaciones/ESTUDIOS%20DE%20PROGRAMMING/PROGRAMMING/PERSONAL/PYTHON/Image_Generator_API/imagenes/HALIFAX_WOMENS_119001566_GEY_1.jpg")</f>
        <v/>
      </c>
      <c r="M200">
        <f>IMAGE("file:///E:/Estudios%20y%20certificaciones/ESTUDIOS%20DE%20PROGRAMMING/PROGRAMMING/PERSONAL/PYTHON/Image_Generator_API/imagenes/HALIFAX_WOMENS_119001566_GEY_2.jpg")</f>
        <v/>
      </c>
      <c r="N200">
        <f>IMAGE("file:///E:/Estudios%20y%20certificaciones/ESTUDIOS%20DE%20PROGRAMMING/PROGRAMMING/PERSONAL/PYTHON/Image_Generator_API/imagenes/HALIFAX_WOMENS_119001566_GEY_3.jpg")</f>
        <v/>
      </c>
      <c r="O200">
        <f>HYPERLINK("imagenes/HALIFAX_WOMENS_119001566_GEY_1.jpg","Ver imagen")</f>
        <v/>
      </c>
      <c r="P200">
        <f>HYPERLINK("imagenes/HALIFAX_WOMENS_119001566_GEY_2.jpg","Ver imagen")</f>
        <v/>
      </c>
      <c r="Q200">
        <f>HYPERLINK("imagenes/HALIFAX_WOMENS_119001566_GEY_3.jpg","Ver imagen")</f>
        <v/>
      </c>
    </row>
    <row r="201">
      <c r="A201" t="inlineStr">
        <is>
          <t>HALIFAX WOMENS</t>
        </is>
      </c>
      <c r="B201" t="inlineStr">
        <is>
          <t>119001566</t>
        </is>
      </c>
      <c r="C201" t="inlineStr">
        <is>
          <t>FLEECE SHIRT JACKET</t>
        </is>
      </c>
      <c r="D201" t="inlineStr">
        <is>
          <t>GEY</t>
        </is>
      </c>
      <c r="E201" t="inlineStr">
        <is>
          <t>(en blanco)</t>
        </is>
      </c>
      <c r="F201" t="inlineStr">
        <is>
          <t>(en blanco)</t>
        </is>
      </c>
      <c r="G201" t="inlineStr">
        <is>
          <t>XL</t>
        </is>
      </c>
      <c r="H201" t="n">
        <v>16</v>
      </c>
      <c r="I201" t="inlineStr">
        <is>
          <t>HALIFAX_WOMENS_119001566_GEY_1.jpg</t>
        </is>
      </c>
      <c r="J201" t="inlineStr">
        <is>
          <t>HALIFAX_WOMENS_119001566_GEY_2.jpg</t>
        </is>
      </c>
      <c r="K201" t="inlineStr">
        <is>
          <t>HALIFAX_WOMENS_119001566_GEY_3.jpg</t>
        </is>
      </c>
      <c r="L201">
        <f>IMAGE("file:///E:/Estudios%20y%20certificaciones/ESTUDIOS%20DE%20PROGRAMMING/PROGRAMMING/PERSONAL/PYTHON/Image_Generator_API/imagenes/HALIFAX_WOMENS_119001566_GEY_1.jpg")</f>
        <v/>
      </c>
      <c r="M201">
        <f>IMAGE("file:///E:/Estudios%20y%20certificaciones/ESTUDIOS%20DE%20PROGRAMMING/PROGRAMMING/PERSONAL/PYTHON/Image_Generator_API/imagenes/HALIFAX_WOMENS_119001566_GEY_2.jpg")</f>
        <v/>
      </c>
      <c r="N201">
        <f>IMAGE("file:///E:/Estudios%20y%20certificaciones/ESTUDIOS%20DE%20PROGRAMMING/PROGRAMMING/PERSONAL/PYTHON/Image_Generator_API/imagenes/HALIFAX_WOMENS_119001566_GEY_3.jpg")</f>
        <v/>
      </c>
      <c r="O201">
        <f>HYPERLINK("imagenes/HALIFAX_WOMENS_119001566_GEY_1.jpg","Ver imagen")</f>
        <v/>
      </c>
      <c r="P201">
        <f>HYPERLINK("imagenes/HALIFAX_WOMENS_119001566_GEY_2.jpg","Ver imagen")</f>
        <v/>
      </c>
      <c r="Q201">
        <f>HYPERLINK("imagenes/HALIFAX_WOMENS_119001566_GEY_3.jpg","Ver imagen")</f>
        <v/>
      </c>
    </row>
    <row r="202">
      <c r="A202" t="inlineStr">
        <is>
          <t>HALIFAX WOMENS</t>
        </is>
      </c>
      <c r="B202" t="inlineStr">
        <is>
          <t>119001566</t>
        </is>
      </c>
      <c r="C202" t="inlineStr">
        <is>
          <t>FLEECE SHIRT JACKET</t>
        </is>
      </c>
      <c r="D202" t="inlineStr">
        <is>
          <t>GEY</t>
        </is>
      </c>
      <c r="E202" t="inlineStr">
        <is>
          <t>(en blanco)</t>
        </is>
      </c>
      <c r="F202" t="inlineStr">
        <is>
          <t>(en blanco)</t>
        </is>
      </c>
      <c r="G202" t="inlineStr">
        <is>
          <t>XXL</t>
        </is>
      </c>
      <c r="H202" t="n">
        <v>2</v>
      </c>
      <c r="I202" t="inlineStr">
        <is>
          <t>HALIFAX_WOMENS_119001566_GEY_1.jpg</t>
        </is>
      </c>
      <c r="J202" t="inlineStr">
        <is>
          <t>HALIFAX_WOMENS_119001566_GEY_2.jpg</t>
        </is>
      </c>
      <c r="K202" t="inlineStr">
        <is>
          <t>HALIFAX_WOMENS_119001566_GEY_3.jpg</t>
        </is>
      </c>
      <c r="L202">
        <f>IMAGE("file:///E:/Estudios%20y%20certificaciones/ESTUDIOS%20DE%20PROGRAMMING/PROGRAMMING/PERSONAL/PYTHON/Image_Generator_API/imagenes/HALIFAX_WOMENS_119001566_GEY_1.jpg")</f>
        <v/>
      </c>
      <c r="M202">
        <f>IMAGE("file:///E:/Estudios%20y%20certificaciones/ESTUDIOS%20DE%20PROGRAMMING/PROGRAMMING/PERSONAL/PYTHON/Image_Generator_API/imagenes/HALIFAX_WOMENS_119001566_GEY_2.jpg")</f>
        <v/>
      </c>
      <c r="N202">
        <f>IMAGE("file:///E:/Estudios%20y%20certificaciones/ESTUDIOS%20DE%20PROGRAMMING/PROGRAMMING/PERSONAL/PYTHON/Image_Generator_API/imagenes/HALIFAX_WOMENS_119001566_GEY_3.jpg")</f>
        <v/>
      </c>
      <c r="O202">
        <f>HYPERLINK("imagenes/HALIFAX_WOMENS_119001566_GEY_1.jpg","Ver imagen")</f>
        <v/>
      </c>
      <c r="P202">
        <f>HYPERLINK("imagenes/HALIFAX_WOMENS_119001566_GEY_2.jpg","Ver imagen")</f>
        <v/>
      </c>
      <c r="Q202">
        <f>HYPERLINK("imagenes/HALIFAX_WOMENS_119001566_GEY_3.jpg","Ver imagen")</f>
        <v/>
      </c>
    </row>
    <row r="203">
      <c r="A203" t="inlineStr">
        <is>
          <t>HALIFAX WOMENS</t>
        </is>
      </c>
      <c r="B203" t="inlineStr">
        <is>
          <t>119001566</t>
        </is>
      </c>
      <c r="C203" t="inlineStr">
        <is>
          <t>FLEECE SHIRT JACKET</t>
        </is>
      </c>
      <c r="D203" t="inlineStr">
        <is>
          <t>GRN</t>
        </is>
      </c>
      <c r="E203" t="inlineStr">
        <is>
          <t>12A08</t>
        </is>
      </c>
      <c r="F203" t="inlineStr">
        <is>
          <t>(en blanco)</t>
        </is>
      </c>
      <c r="G203" t="inlineStr">
        <is>
          <t>PPK</t>
        </is>
      </c>
      <c r="H203" t="n">
        <v>0</v>
      </c>
      <c r="I203" t="inlineStr">
        <is>
          <t>HALIFAX_WOMENS_119001566_GRN_1.jpg</t>
        </is>
      </c>
      <c r="J203" t="inlineStr">
        <is>
          <t>HALIFAX_WOMENS_119001566_GRN_2.jpg</t>
        </is>
      </c>
      <c r="K203" t="inlineStr">
        <is>
          <t>HALIFAX_WOMENS_119001566_GRN_3.jpg</t>
        </is>
      </c>
      <c r="L203">
        <f>IMAGE("file:///E:/Estudios%20y%20certificaciones/ESTUDIOS%20DE%20PROGRAMMING/PROGRAMMING/PERSONAL/PYTHON/Image_Generator_API/imagenes/HALIFAX_WOMENS_119001566_GRN_1.jpg")</f>
        <v/>
      </c>
      <c r="M203">
        <f>IMAGE("file:///E:/Estudios%20y%20certificaciones/ESTUDIOS%20DE%20PROGRAMMING/PROGRAMMING/PERSONAL/PYTHON/Image_Generator_API/imagenes/HALIFAX_WOMENS_119001566_GRN_2.jpg")</f>
        <v/>
      </c>
      <c r="N203">
        <f>IMAGE("file:///E:/Estudios%20y%20certificaciones/ESTUDIOS%20DE%20PROGRAMMING/PROGRAMMING/PERSONAL/PYTHON/Image_Generator_API/imagenes/HALIFAX_WOMENS_119001566_GRN_3.jpg")</f>
        <v/>
      </c>
      <c r="O203">
        <f>HYPERLINK("imagenes/HALIFAX_WOMENS_119001566_GRN_1.jpg","Ver imagen")</f>
        <v/>
      </c>
      <c r="P203">
        <f>HYPERLINK("imagenes/HALIFAX_WOMENS_119001566_GRN_2.jpg","Ver imagen")</f>
        <v/>
      </c>
      <c r="Q203">
        <f>HYPERLINK("imagenes/HALIFAX_WOMENS_119001566_GRN_3.jpg","Ver imagen")</f>
        <v/>
      </c>
    </row>
    <row r="204">
      <c r="A204" t="inlineStr">
        <is>
          <t>HALIFAX WOMENS</t>
        </is>
      </c>
      <c r="B204" t="inlineStr">
        <is>
          <t>119001566</t>
        </is>
      </c>
      <c r="C204" t="inlineStr">
        <is>
          <t>FLEECE SHIRT JACKET</t>
        </is>
      </c>
      <c r="D204" t="inlineStr">
        <is>
          <t>GRN</t>
        </is>
      </c>
      <c r="E204" t="inlineStr">
        <is>
          <t>(en blanco)</t>
        </is>
      </c>
      <c r="F204" t="inlineStr">
        <is>
          <t>(en blanco)</t>
        </is>
      </c>
      <c r="G204" t="inlineStr">
        <is>
          <t>XS</t>
        </is>
      </c>
      <c r="H204" t="n">
        <v>56</v>
      </c>
      <c r="I204" t="inlineStr">
        <is>
          <t>HALIFAX_WOMENS_119001566_GRN_1.jpg</t>
        </is>
      </c>
      <c r="J204" t="inlineStr">
        <is>
          <t>HALIFAX_WOMENS_119001566_GRN_2.jpg</t>
        </is>
      </c>
      <c r="K204" t="inlineStr">
        <is>
          <t>HALIFAX_WOMENS_119001566_GRN_3.jpg</t>
        </is>
      </c>
      <c r="L204">
        <f>IMAGE("file:///E:/Estudios%20y%20certificaciones/ESTUDIOS%20DE%20PROGRAMMING/PROGRAMMING/PERSONAL/PYTHON/Image_Generator_API/imagenes/HALIFAX_WOMENS_119001566_GRN_1.jpg")</f>
        <v/>
      </c>
      <c r="M204">
        <f>IMAGE("file:///E:/Estudios%20y%20certificaciones/ESTUDIOS%20DE%20PROGRAMMING/PROGRAMMING/PERSONAL/PYTHON/Image_Generator_API/imagenes/HALIFAX_WOMENS_119001566_GRN_2.jpg")</f>
        <v/>
      </c>
      <c r="N204">
        <f>IMAGE("file:///E:/Estudios%20y%20certificaciones/ESTUDIOS%20DE%20PROGRAMMING/PROGRAMMING/PERSONAL/PYTHON/Image_Generator_API/imagenes/HALIFAX_WOMENS_119001566_GRN_3.jpg")</f>
        <v/>
      </c>
      <c r="O204">
        <f>HYPERLINK("imagenes/HALIFAX_WOMENS_119001566_GRN_1.jpg","Ver imagen")</f>
        <v/>
      </c>
      <c r="P204">
        <f>HYPERLINK("imagenes/HALIFAX_WOMENS_119001566_GRN_2.jpg","Ver imagen")</f>
        <v/>
      </c>
      <c r="Q204">
        <f>HYPERLINK("imagenes/HALIFAX_WOMENS_119001566_GRN_3.jpg","Ver imagen")</f>
        <v/>
      </c>
    </row>
    <row r="205">
      <c r="A205" t="inlineStr">
        <is>
          <t>HALIFAX WOMENS</t>
        </is>
      </c>
      <c r="B205" t="inlineStr">
        <is>
          <t>119001566</t>
        </is>
      </c>
      <c r="C205" t="inlineStr">
        <is>
          <t>FLEECE SHIRT JACKET</t>
        </is>
      </c>
      <c r="D205" t="inlineStr">
        <is>
          <t>GRN</t>
        </is>
      </c>
      <c r="E205" t="inlineStr">
        <is>
          <t>(en blanco)</t>
        </is>
      </c>
      <c r="F205" t="inlineStr">
        <is>
          <t>(en blanco)</t>
        </is>
      </c>
      <c r="G205" t="inlineStr">
        <is>
          <t>S</t>
        </is>
      </c>
      <c r="H205" t="n">
        <v>56</v>
      </c>
      <c r="I205" t="inlineStr">
        <is>
          <t>HALIFAX_WOMENS_119001566_GRN_1.jpg</t>
        </is>
      </c>
      <c r="J205" t="inlineStr">
        <is>
          <t>HALIFAX_WOMENS_119001566_GRN_2.jpg</t>
        </is>
      </c>
      <c r="K205" t="inlineStr">
        <is>
          <t>HALIFAX_WOMENS_119001566_GRN_3.jpg</t>
        </is>
      </c>
      <c r="L205">
        <f>IMAGE("file:///E:/Estudios%20y%20certificaciones/ESTUDIOS%20DE%20PROGRAMMING/PROGRAMMING/PERSONAL/PYTHON/Image_Generator_API/imagenes/HALIFAX_WOMENS_119001566_GRN_1.jpg")</f>
        <v/>
      </c>
      <c r="M205">
        <f>IMAGE("file:///E:/Estudios%20y%20certificaciones/ESTUDIOS%20DE%20PROGRAMMING/PROGRAMMING/PERSONAL/PYTHON/Image_Generator_API/imagenes/HALIFAX_WOMENS_119001566_GRN_2.jpg")</f>
        <v/>
      </c>
      <c r="N205">
        <f>IMAGE("file:///E:/Estudios%20y%20certificaciones/ESTUDIOS%20DE%20PROGRAMMING/PROGRAMMING/PERSONAL/PYTHON/Image_Generator_API/imagenes/HALIFAX_WOMENS_119001566_GRN_3.jpg")</f>
        <v/>
      </c>
      <c r="O205">
        <f>HYPERLINK("imagenes/HALIFAX_WOMENS_119001566_GRN_1.jpg","Ver imagen")</f>
        <v/>
      </c>
      <c r="P205">
        <f>HYPERLINK("imagenes/HALIFAX_WOMENS_119001566_GRN_2.jpg","Ver imagen")</f>
        <v/>
      </c>
      <c r="Q205">
        <f>HYPERLINK("imagenes/HALIFAX_WOMENS_119001566_GRN_3.jpg","Ver imagen")</f>
        <v/>
      </c>
    </row>
    <row r="206">
      <c r="A206" t="inlineStr">
        <is>
          <t>HALIFAX WOMENS</t>
        </is>
      </c>
      <c r="B206" t="inlineStr">
        <is>
          <t>119001566</t>
        </is>
      </c>
      <c r="C206" t="inlineStr">
        <is>
          <t>FLEECE SHIRT JACKET</t>
        </is>
      </c>
      <c r="D206" t="inlineStr">
        <is>
          <t>MAU</t>
        </is>
      </c>
      <c r="E206" t="inlineStr">
        <is>
          <t>(en blanco)</t>
        </is>
      </c>
      <c r="F206" t="inlineStr">
        <is>
          <t>D2C</t>
        </is>
      </c>
      <c r="G206" t="inlineStr">
        <is>
          <t>M</t>
        </is>
      </c>
      <c r="H206" t="n">
        <v>2</v>
      </c>
      <c r="I206" t="inlineStr">
        <is>
          <t>HALIFAX_WOMENS_119001566_MAU_1.jpg</t>
        </is>
      </c>
      <c r="J206" t="inlineStr">
        <is>
          <t>HALIFAX_WOMENS_119001566_MAU_2.jpg</t>
        </is>
      </c>
      <c r="K206" t="inlineStr">
        <is>
          <t>HALIFAX_WOMENS_119001566_MAU_3.jpg</t>
        </is>
      </c>
      <c r="L206">
        <f>IMAGE("file:///E:/Estudios%20y%20certificaciones/ESTUDIOS%20DE%20PROGRAMMING/PROGRAMMING/PERSONAL/PYTHON/Image_Generator_API/imagenes/HALIFAX_WOMENS_119001566_MAU_1.jpg")</f>
        <v/>
      </c>
      <c r="M206">
        <f>IMAGE("file:///E:/Estudios%20y%20certificaciones/ESTUDIOS%20DE%20PROGRAMMING/PROGRAMMING/PERSONAL/PYTHON/Image_Generator_API/imagenes/HALIFAX_WOMENS_119001566_MAU_2.jpg")</f>
        <v/>
      </c>
      <c r="N206">
        <f>IMAGE("file:///E:/Estudios%20y%20certificaciones/ESTUDIOS%20DE%20PROGRAMMING/PROGRAMMING/PERSONAL/PYTHON/Image_Generator_API/imagenes/HALIFAX_WOMENS_119001566_MAU_3.jpg")</f>
        <v/>
      </c>
      <c r="O206">
        <f>HYPERLINK("imagenes/HALIFAX_WOMENS_119001566_MAU_1.jpg","Ver imagen")</f>
        <v/>
      </c>
      <c r="P206">
        <f>HYPERLINK("imagenes/HALIFAX_WOMENS_119001566_MAU_2.jpg","Ver imagen")</f>
        <v/>
      </c>
      <c r="Q206">
        <f>HYPERLINK("imagenes/HALIFAX_WOMENS_119001566_MAU_3.jpg","Ver imagen")</f>
        <v/>
      </c>
    </row>
    <row r="207">
      <c r="A207" t="inlineStr">
        <is>
          <t>HALIFAX WOMENS</t>
        </is>
      </c>
      <c r="B207" t="inlineStr">
        <is>
          <t>119001566</t>
        </is>
      </c>
      <c r="C207" t="inlineStr">
        <is>
          <t>FLEECE SHIRT JACKET</t>
        </is>
      </c>
      <c r="D207" t="inlineStr">
        <is>
          <t>MAU</t>
        </is>
      </c>
      <c r="E207" t="inlineStr">
        <is>
          <t>(en blanco)</t>
        </is>
      </c>
      <c r="F207" t="inlineStr">
        <is>
          <t>D2C</t>
        </is>
      </c>
      <c r="G207" t="inlineStr">
        <is>
          <t>L</t>
        </is>
      </c>
      <c r="H207" t="n">
        <v>1</v>
      </c>
      <c r="I207" t="inlineStr">
        <is>
          <t>HALIFAX_WOMENS_119001566_MAU_1.jpg</t>
        </is>
      </c>
      <c r="J207" t="inlineStr">
        <is>
          <t>HALIFAX_WOMENS_119001566_MAU_2.jpg</t>
        </is>
      </c>
      <c r="K207" t="inlineStr">
        <is>
          <t>HALIFAX_WOMENS_119001566_MAU_3.jpg</t>
        </is>
      </c>
      <c r="L207">
        <f>IMAGE("file:///E:/Estudios%20y%20certificaciones/ESTUDIOS%20DE%20PROGRAMMING/PROGRAMMING/PERSONAL/PYTHON/Image_Generator_API/imagenes/HALIFAX_WOMENS_119001566_MAU_1.jpg")</f>
        <v/>
      </c>
      <c r="M207">
        <f>IMAGE("file:///E:/Estudios%20y%20certificaciones/ESTUDIOS%20DE%20PROGRAMMING/PROGRAMMING/PERSONAL/PYTHON/Image_Generator_API/imagenes/HALIFAX_WOMENS_119001566_MAU_2.jpg")</f>
        <v/>
      </c>
      <c r="N207">
        <f>IMAGE("file:///E:/Estudios%20y%20certificaciones/ESTUDIOS%20DE%20PROGRAMMING/PROGRAMMING/PERSONAL/PYTHON/Image_Generator_API/imagenes/HALIFAX_WOMENS_119001566_MAU_3.jpg")</f>
        <v/>
      </c>
      <c r="O207">
        <f>HYPERLINK("imagenes/HALIFAX_WOMENS_119001566_MAU_1.jpg","Ver imagen")</f>
        <v/>
      </c>
      <c r="P207">
        <f>HYPERLINK("imagenes/HALIFAX_WOMENS_119001566_MAU_2.jpg","Ver imagen")</f>
        <v/>
      </c>
      <c r="Q207">
        <f>HYPERLINK("imagenes/HALIFAX_WOMENS_119001566_MAU_3.jpg","Ver imagen")</f>
        <v/>
      </c>
    </row>
    <row r="208">
      <c r="A208" t="inlineStr">
        <is>
          <t>HALIFAX WOMENS</t>
        </is>
      </c>
      <c r="B208" t="inlineStr">
        <is>
          <t>119001566</t>
        </is>
      </c>
      <c r="C208" t="inlineStr">
        <is>
          <t>FLEECE SHIRT JACKET</t>
        </is>
      </c>
      <c r="D208" t="inlineStr">
        <is>
          <t>MAU</t>
        </is>
      </c>
      <c r="E208" t="inlineStr">
        <is>
          <t>(en blanco)</t>
        </is>
      </c>
      <c r="F208" t="inlineStr">
        <is>
          <t>D2C</t>
        </is>
      </c>
      <c r="G208" t="inlineStr">
        <is>
          <t>XL</t>
        </is>
      </c>
      <c r="H208" t="n">
        <v>7</v>
      </c>
      <c r="I208" t="inlineStr">
        <is>
          <t>HALIFAX_WOMENS_119001566_MAU_1.jpg</t>
        </is>
      </c>
      <c r="J208" t="inlineStr">
        <is>
          <t>HALIFAX_WOMENS_119001566_MAU_2.jpg</t>
        </is>
      </c>
      <c r="K208" t="inlineStr">
        <is>
          <t>HALIFAX_WOMENS_119001566_MAU_3.jpg</t>
        </is>
      </c>
      <c r="L208">
        <f>IMAGE("file:///E:/Estudios%20y%20certificaciones/ESTUDIOS%20DE%20PROGRAMMING/PROGRAMMING/PERSONAL/PYTHON/Image_Generator_API/imagenes/HALIFAX_WOMENS_119001566_MAU_1.jpg")</f>
        <v/>
      </c>
      <c r="M208">
        <f>IMAGE("file:///E:/Estudios%20y%20certificaciones/ESTUDIOS%20DE%20PROGRAMMING/PROGRAMMING/PERSONAL/PYTHON/Image_Generator_API/imagenes/HALIFAX_WOMENS_119001566_MAU_2.jpg")</f>
        <v/>
      </c>
      <c r="N208">
        <f>IMAGE("file:///E:/Estudios%20y%20certificaciones/ESTUDIOS%20DE%20PROGRAMMING/PROGRAMMING/PERSONAL/PYTHON/Image_Generator_API/imagenes/HALIFAX_WOMENS_119001566_MAU_3.jpg")</f>
        <v/>
      </c>
      <c r="O208">
        <f>HYPERLINK("imagenes/HALIFAX_WOMENS_119001566_MAU_1.jpg","Ver imagen")</f>
        <v/>
      </c>
      <c r="P208">
        <f>HYPERLINK("imagenes/HALIFAX_WOMENS_119001566_MAU_2.jpg","Ver imagen")</f>
        <v/>
      </c>
      <c r="Q208">
        <f>HYPERLINK("imagenes/HALIFAX_WOMENS_119001566_MAU_3.jpg","Ver imagen")</f>
        <v/>
      </c>
    </row>
    <row r="209">
      <c r="A209" t="inlineStr">
        <is>
          <t>HALIFAX WOMENS</t>
        </is>
      </c>
      <c r="B209" t="inlineStr">
        <is>
          <t>119001566</t>
        </is>
      </c>
      <c r="C209" t="inlineStr">
        <is>
          <t>FLEECE SHIRT JACKET</t>
        </is>
      </c>
      <c r="D209" t="inlineStr">
        <is>
          <t>MAU</t>
        </is>
      </c>
      <c r="E209" t="inlineStr">
        <is>
          <t>(en blanco)</t>
        </is>
      </c>
      <c r="F209" t="inlineStr">
        <is>
          <t>(en blanco)</t>
        </is>
      </c>
      <c r="G209" t="inlineStr">
        <is>
          <t>S</t>
        </is>
      </c>
      <c r="H209" t="n">
        <v>1</v>
      </c>
      <c r="I209" t="inlineStr">
        <is>
          <t>HALIFAX_WOMENS_119001566_MAU_1.jpg</t>
        </is>
      </c>
      <c r="J209" t="inlineStr">
        <is>
          <t>HALIFAX_WOMENS_119001566_MAU_2.jpg</t>
        </is>
      </c>
      <c r="K209" t="inlineStr">
        <is>
          <t>HALIFAX_WOMENS_119001566_MAU_3.jpg</t>
        </is>
      </c>
      <c r="L209">
        <f>IMAGE("file:///E:/Estudios%20y%20certificaciones/ESTUDIOS%20DE%20PROGRAMMING/PROGRAMMING/PERSONAL/PYTHON/Image_Generator_API/imagenes/HALIFAX_WOMENS_119001566_MAU_1.jpg")</f>
        <v/>
      </c>
      <c r="M209">
        <f>IMAGE("file:///E:/Estudios%20y%20certificaciones/ESTUDIOS%20DE%20PROGRAMMING/PROGRAMMING/PERSONAL/PYTHON/Image_Generator_API/imagenes/HALIFAX_WOMENS_119001566_MAU_2.jpg")</f>
        <v/>
      </c>
      <c r="N209">
        <f>IMAGE("file:///E:/Estudios%20y%20certificaciones/ESTUDIOS%20DE%20PROGRAMMING/PROGRAMMING/PERSONAL/PYTHON/Image_Generator_API/imagenes/HALIFAX_WOMENS_119001566_MAU_3.jpg")</f>
        <v/>
      </c>
      <c r="O209">
        <f>HYPERLINK("imagenes/HALIFAX_WOMENS_119001566_MAU_1.jpg","Ver imagen")</f>
        <v/>
      </c>
      <c r="P209">
        <f>HYPERLINK("imagenes/HALIFAX_WOMENS_119001566_MAU_2.jpg","Ver imagen")</f>
        <v/>
      </c>
      <c r="Q209">
        <f>HYPERLINK("imagenes/HALIFAX_WOMENS_119001566_MAU_3.jpg","Ver imagen")</f>
        <v/>
      </c>
    </row>
    <row r="210">
      <c r="A210" t="inlineStr">
        <is>
          <t>HALIFAX WOMENS</t>
        </is>
      </c>
      <c r="B210" t="inlineStr">
        <is>
          <t>119001566</t>
        </is>
      </c>
      <c r="C210" t="inlineStr">
        <is>
          <t>FLEECE SHIRT JACKET</t>
        </is>
      </c>
      <c r="D210" t="inlineStr">
        <is>
          <t>MAU</t>
        </is>
      </c>
      <c r="E210" t="inlineStr">
        <is>
          <t>(en blanco)</t>
        </is>
      </c>
      <c r="F210" t="inlineStr">
        <is>
          <t>(en blanco)</t>
        </is>
      </c>
      <c r="G210" t="inlineStr">
        <is>
          <t>M</t>
        </is>
      </c>
      <c r="H210" t="n">
        <v>1</v>
      </c>
      <c r="I210" t="inlineStr">
        <is>
          <t>HALIFAX_WOMENS_119001566_MAU_1.jpg</t>
        </is>
      </c>
      <c r="J210" t="inlineStr">
        <is>
          <t>HALIFAX_WOMENS_119001566_MAU_2.jpg</t>
        </is>
      </c>
      <c r="K210" t="inlineStr">
        <is>
          <t>HALIFAX_WOMENS_119001566_MAU_3.jpg</t>
        </is>
      </c>
      <c r="L210">
        <f>IMAGE("file:///E:/Estudios%20y%20certificaciones/ESTUDIOS%20DE%20PROGRAMMING/PROGRAMMING/PERSONAL/PYTHON/Image_Generator_API/imagenes/HALIFAX_WOMENS_119001566_MAU_1.jpg")</f>
        <v/>
      </c>
      <c r="M210">
        <f>IMAGE("file:///E:/Estudios%20y%20certificaciones/ESTUDIOS%20DE%20PROGRAMMING/PROGRAMMING/PERSONAL/PYTHON/Image_Generator_API/imagenes/HALIFAX_WOMENS_119001566_MAU_2.jpg")</f>
        <v/>
      </c>
      <c r="N210">
        <f>IMAGE("file:///E:/Estudios%20y%20certificaciones/ESTUDIOS%20DE%20PROGRAMMING/PROGRAMMING/PERSONAL/PYTHON/Image_Generator_API/imagenes/HALIFAX_WOMENS_119001566_MAU_3.jpg")</f>
        <v/>
      </c>
      <c r="O210">
        <f>HYPERLINK("imagenes/HALIFAX_WOMENS_119001566_MAU_1.jpg","Ver imagen")</f>
        <v/>
      </c>
      <c r="P210">
        <f>HYPERLINK("imagenes/HALIFAX_WOMENS_119001566_MAU_2.jpg","Ver imagen")</f>
        <v/>
      </c>
      <c r="Q210">
        <f>HYPERLINK("imagenes/HALIFAX_WOMENS_119001566_MAU_3.jpg","Ver imagen")</f>
        <v/>
      </c>
    </row>
    <row r="211">
      <c r="A211" t="inlineStr">
        <is>
          <t>HALIFAX WOMENS</t>
        </is>
      </c>
      <c r="B211" t="inlineStr">
        <is>
          <t>119001566</t>
        </is>
      </c>
      <c r="C211" t="inlineStr">
        <is>
          <t>FLEECE SHIRT JACKET</t>
        </is>
      </c>
      <c r="D211" t="inlineStr">
        <is>
          <t>MAU</t>
        </is>
      </c>
      <c r="E211" t="inlineStr">
        <is>
          <t>(en blanco)</t>
        </is>
      </c>
      <c r="F211" t="inlineStr">
        <is>
          <t>(en blanco)</t>
        </is>
      </c>
      <c r="G211" t="inlineStr">
        <is>
          <t>XL</t>
        </is>
      </c>
      <c r="H211" t="n">
        <v>1</v>
      </c>
      <c r="I211" t="inlineStr">
        <is>
          <t>HALIFAX_WOMENS_119001566_MAU_1.jpg</t>
        </is>
      </c>
      <c r="J211" t="inlineStr">
        <is>
          <t>HALIFAX_WOMENS_119001566_MAU_2.jpg</t>
        </is>
      </c>
      <c r="K211" t="inlineStr">
        <is>
          <t>HALIFAX_WOMENS_119001566_MAU_3.jpg</t>
        </is>
      </c>
      <c r="L211">
        <f>IMAGE("file:///E:/Estudios%20y%20certificaciones/ESTUDIOS%20DE%20PROGRAMMING/PROGRAMMING/PERSONAL/PYTHON/Image_Generator_API/imagenes/HALIFAX_WOMENS_119001566_MAU_1.jpg")</f>
        <v/>
      </c>
      <c r="M211">
        <f>IMAGE("file:///E:/Estudios%20y%20certificaciones/ESTUDIOS%20DE%20PROGRAMMING/PROGRAMMING/PERSONAL/PYTHON/Image_Generator_API/imagenes/HALIFAX_WOMENS_119001566_MAU_2.jpg")</f>
        <v/>
      </c>
      <c r="N211">
        <f>IMAGE("file:///E:/Estudios%20y%20certificaciones/ESTUDIOS%20DE%20PROGRAMMING/PROGRAMMING/PERSONAL/PYTHON/Image_Generator_API/imagenes/HALIFAX_WOMENS_119001566_MAU_3.jpg")</f>
        <v/>
      </c>
      <c r="O211">
        <f>HYPERLINK("imagenes/HALIFAX_WOMENS_119001566_MAU_1.jpg","Ver imagen")</f>
        <v/>
      </c>
      <c r="P211">
        <f>HYPERLINK("imagenes/HALIFAX_WOMENS_119001566_MAU_2.jpg","Ver imagen")</f>
        <v/>
      </c>
      <c r="Q211">
        <f>HYPERLINK("imagenes/HALIFAX_WOMENS_119001566_MAU_3.jpg","Ver imagen")</f>
        <v/>
      </c>
    </row>
    <row r="212">
      <c r="A212" t="inlineStr">
        <is>
          <t>HALIFAX WOMENS</t>
        </is>
      </c>
      <c r="B212" t="inlineStr">
        <is>
          <t>119001566</t>
        </is>
      </c>
      <c r="C212" t="inlineStr">
        <is>
          <t>FLEECE SHIRT JACKET</t>
        </is>
      </c>
      <c r="D212" t="inlineStr">
        <is>
          <t>PNK</t>
        </is>
      </c>
      <c r="E212" t="inlineStr">
        <is>
          <t>12A08</t>
        </is>
      </c>
      <c r="F212" t="inlineStr">
        <is>
          <t>(en blanco)</t>
        </is>
      </c>
      <c r="G212" t="inlineStr">
        <is>
          <t>PPK</t>
        </is>
      </c>
      <c r="H212" t="n">
        <v>0</v>
      </c>
      <c r="I212" t="inlineStr">
        <is>
          <t>HALIFAX_WOMENS_119001566_PNK_1.jpg</t>
        </is>
      </c>
      <c r="J212" t="inlineStr">
        <is>
          <t>HALIFAX_WOMENS_119001566_PNK_2.jpg</t>
        </is>
      </c>
      <c r="K212" t="inlineStr">
        <is>
          <t>HALIFAX_WOMENS_119001566_PNK_3.jpg</t>
        </is>
      </c>
      <c r="L212">
        <f>IMAGE("file:///E:/Estudios%20y%20certificaciones/ESTUDIOS%20DE%20PROGRAMMING/PROGRAMMING/PERSONAL/PYTHON/Image_Generator_API/imagenes/HALIFAX_WOMENS_119001566_PNK_1.jpg")</f>
        <v/>
      </c>
      <c r="M212">
        <f>IMAGE("file:///E:/Estudios%20y%20certificaciones/ESTUDIOS%20DE%20PROGRAMMING/PROGRAMMING/PERSONAL/PYTHON/Image_Generator_API/imagenes/HALIFAX_WOMENS_119001566_PNK_2.jpg")</f>
        <v/>
      </c>
      <c r="N212">
        <f>IMAGE("file:///E:/Estudios%20y%20certificaciones/ESTUDIOS%20DE%20PROGRAMMING/PROGRAMMING/PERSONAL/PYTHON/Image_Generator_API/imagenes/HALIFAX_WOMENS_119001566_PNK_3.jpg")</f>
        <v/>
      </c>
      <c r="O212">
        <f>HYPERLINK("imagenes/HALIFAX_WOMENS_119001566_PNK_1.jpg","Ver imagen")</f>
        <v/>
      </c>
      <c r="P212">
        <f>HYPERLINK("imagenes/HALIFAX_WOMENS_119001566_PNK_2.jpg","Ver imagen")</f>
        <v/>
      </c>
      <c r="Q212">
        <f>HYPERLINK("imagenes/HALIFAX_WOMENS_119001566_PNK_3.jpg","Ver imagen")</f>
        <v/>
      </c>
    </row>
    <row r="213">
      <c r="A213" t="inlineStr">
        <is>
          <t>HALIFAX WOMENS</t>
        </is>
      </c>
      <c r="B213" t="inlineStr">
        <is>
          <t>119001566</t>
        </is>
      </c>
      <c r="C213" t="inlineStr">
        <is>
          <t>FLEECE SHIRT JACKET</t>
        </is>
      </c>
      <c r="D213" t="inlineStr">
        <is>
          <t>PNK</t>
        </is>
      </c>
      <c r="E213" t="inlineStr">
        <is>
          <t>(en blanco)</t>
        </is>
      </c>
      <c r="F213" t="inlineStr">
        <is>
          <t>(en blanco)</t>
        </is>
      </c>
      <c r="G213" t="inlineStr">
        <is>
          <t>XS</t>
        </is>
      </c>
      <c r="H213" t="n">
        <v>65</v>
      </c>
      <c r="I213" t="inlineStr">
        <is>
          <t>HALIFAX_WOMENS_119001566_PNK_1.jpg</t>
        </is>
      </c>
      <c r="J213" t="inlineStr">
        <is>
          <t>HALIFAX_WOMENS_119001566_PNK_2.jpg</t>
        </is>
      </c>
      <c r="K213" t="inlineStr">
        <is>
          <t>HALIFAX_WOMENS_119001566_PNK_3.jpg</t>
        </is>
      </c>
      <c r="L213">
        <f>IMAGE("file:///E:/Estudios%20y%20certificaciones/ESTUDIOS%20DE%20PROGRAMMING/PROGRAMMING/PERSONAL/PYTHON/Image_Generator_API/imagenes/HALIFAX_WOMENS_119001566_PNK_1.jpg")</f>
        <v/>
      </c>
      <c r="M213">
        <f>IMAGE("file:///E:/Estudios%20y%20certificaciones/ESTUDIOS%20DE%20PROGRAMMING/PROGRAMMING/PERSONAL/PYTHON/Image_Generator_API/imagenes/HALIFAX_WOMENS_119001566_PNK_2.jpg")</f>
        <v/>
      </c>
      <c r="N213">
        <f>IMAGE("file:///E:/Estudios%20y%20certificaciones/ESTUDIOS%20DE%20PROGRAMMING/PROGRAMMING/PERSONAL/PYTHON/Image_Generator_API/imagenes/HALIFAX_WOMENS_119001566_PNK_3.jpg")</f>
        <v/>
      </c>
      <c r="O213">
        <f>HYPERLINK("imagenes/HALIFAX_WOMENS_119001566_PNK_1.jpg","Ver imagen")</f>
        <v/>
      </c>
      <c r="P213">
        <f>HYPERLINK("imagenes/HALIFAX_WOMENS_119001566_PNK_2.jpg","Ver imagen")</f>
        <v/>
      </c>
      <c r="Q213">
        <f>HYPERLINK("imagenes/HALIFAX_WOMENS_119001566_PNK_3.jpg","Ver imagen")</f>
        <v/>
      </c>
    </row>
    <row r="214">
      <c r="A214" t="inlineStr">
        <is>
          <t>HALIFAX WOMENS</t>
        </is>
      </c>
      <c r="B214" t="inlineStr">
        <is>
          <t>119001566</t>
        </is>
      </c>
      <c r="C214" t="inlineStr">
        <is>
          <t>FLEECE SHIRT JACKET</t>
        </is>
      </c>
      <c r="D214" t="inlineStr">
        <is>
          <t>PNK</t>
        </is>
      </c>
      <c r="E214" t="inlineStr">
        <is>
          <t>(en blanco)</t>
        </is>
      </c>
      <c r="F214" t="inlineStr">
        <is>
          <t>(en blanco)</t>
        </is>
      </c>
      <c r="G214" t="inlineStr">
        <is>
          <t>S</t>
        </is>
      </c>
      <c r="H214" t="n">
        <v>65</v>
      </c>
      <c r="I214" t="inlineStr">
        <is>
          <t>HALIFAX_WOMENS_119001566_PNK_1.jpg</t>
        </is>
      </c>
      <c r="J214" t="inlineStr">
        <is>
          <t>HALIFAX_WOMENS_119001566_PNK_2.jpg</t>
        </is>
      </c>
      <c r="K214" t="inlineStr">
        <is>
          <t>HALIFAX_WOMENS_119001566_PNK_3.jpg</t>
        </is>
      </c>
      <c r="L214">
        <f>IMAGE("file:///E:/Estudios%20y%20certificaciones/ESTUDIOS%20DE%20PROGRAMMING/PROGRAMMING/PERSONAL/PYTHON/Image_Generator_API/imagenes/HALIFAX_WOMENS_119001566_PNK_1.jpg")</f>
        <v/>
      </c>
      <c r="M214">
        <f>IMAGE("file:///E:/Estudios%20y%20certificaciones/ESTUDIOS%20DE%20PROGRAMMING/PROGRAMMING/PERSONAL/PYTHON/Image_Generator_API/imagenes/HALIFAX_WOMENS_119001566_PNK_2.jpg")</f>
        <v/>
      </c>
      <c r="N214">
        <f>IMAGE("file:///E:/Estudios%20y%20certificaciones/ESTUDIOS%20DE%20PROGRAMMING/PROGRAMMING/PERSONAL/PYTHON/Image_Generator_API/imagenes/HALIFAX_WOMENS_119001566_PNK_3.jpg")</f>
        <v/>
      </c>
      <c r="O214">
        <f>HYPERLINK("imagenes/HALIFAX_WOMENS_119001566_PNK_1.jpg","Ver imagen")</f>
        <v/>
      </c>
      <c r="P214">
        <f>HYPERLINK("imagenes/HALIFAX_WOMENS_119001566_PNK_2.jpg","Ver imagen")</f>
        <v/>
      </c>
      <c r="Q214">
        <f>HYPERLINK("imagenes/HALIFAX_WOMENS_119001566_PNK_3.jpg","Ver imagen")</f>
        <v/>
      </c>
    </row>
    <row r="215">
      <c r="A215" t="inlineStr">
        <is>
          <t>HALIFAX WOMENS</t>
        </is>
      </c>
      <c r="B215" t="inlineStr">
        <is>
          <t>119001566</t>
        </is>
      </c>
      <c r="C215" t="inlineStr">
        <is>
          <t>FLEECE SHIRT JACKET</t>
        </is>
      </c>
      <c r="D215" t="inlineStr">
        <is>
          <t>PUR</t>
        </is>
      </c>
      <c r="E215" t="inlineStr">
        <is>
          <t>12A08</t>
        </is>
      </c>
      <c r="F215" t="inlineStr">
        <is>
          <t>(en blanco)</t>
        </is>
      </c>
      <c r="G215" t="inlineStr">
        <is>
          <t>PPK</t>
        </is>
      </c>
      <c r="H215" t="n">
        <v>0</v>
      </c>
      <c r="I215" t="inlineStr">
        <is>
          <t>HALIFAX_WOMENS_119001566_PUR_1.jpg</t>
        </is>
      </c>
      <c r="J215" t="inlineStr">
        <is>
          <t>HALIFAX_WOMENS_119001566_PUR_2.jpg</t>
        </is>
      </c>
      <c r="K215" t="inlineStr">
        <is>
          <t>HALIFAX_WOMENS_119001566_PUR_3.jpg</t>
        </is>
      </c>
      <c r="L215">
        <f>IMAGE("file:///E:/Estudios%20y%20certificaciones/ESTUDIOS%20DE%20PROGRAMMING/PROGRAMMING/PERSONAL/PYTHON/Image_Generator_API/imagenes/HALIFAX_WOMENS_119001566_PUR_1.jpg")</f>
        <v/>
      </c>
      <c r="M215">
        <f>IMAGE("file:///E:/Estudios%20y%20certificaciones/ESTUDIOS%20DE%20PROGRAMMING/PROGRAMMING/PERSONAL/PYTHON/Image_Generator_API/imagenes/HALIFAX_WOMENS_119001566_PUR_2.jpg")</f>
        <v/>
      </c>
      <c r="N215">
        <f>IMAGE("file:///E:/Estudios%20y%20certificaciones/ESTUDIOS%20DE%20PROGRAMMING/PROGRAMMING/PERSONAL/PYTHON/Image_Generator_API/imagenes/HALIFAX_WOMENS_119001566_PUR_3.jpg")</f>
        <v/>
      </c>
      <c r="O215">
        <f>HYPERLINK("imagenes/HALIFAX_WOMENS_119001566_PUR_1.jpg","Ver imagen")</f>
        <v/>
      </c>
      <c r="P215">
        <f>HYPERLINK("imagenes/HALIFAX_WOMENS_119001566_PUR_2.jpg","Ver imagen")</f>
        <v/>
      </c>
      <c r="Q215">
        <f>HYPERLINK("imagenes/HALIFAX_WOMENS_119001566_PUR_3.jpg","Ver imagen")</f>
        <v/>
      </c>
    </row>
    <row r="216">
      <c r="A216" t="inlineStr">
        <is>
          <t>HALIFAX WOMENS</t>
        </is>
      </c>
      <c r="B216" t="inlineStr">
        <is>
          <t>119001566</t>
        </is>
      </c>
      <c r="C216" t="inlineStr">
        <is>
          <t>FLEECE SHIRT JACKET</t>
        </is>
      </c>
      <c r="D216" t="inlineStr">
        <is>
          <t>PUR</t>
        </is>
      </c>
      <c r="E216" t="inlineStr">
        <is>
          <t>(en blanco)</t>
        </is>
      </c>
      <c r="F216" t="inlineStr">
        <is>
          <t>(en blanco)</t>
        </is>
      </c>
      <c r="G216" t="inlineStr">
        <is>
          <t>XS</t>
        </is>
      </c>
      <c r="H216" t="n">
        <v>35</v>
      </c>
      <c r="I216" t="inlineStr">
        <is>
          <t>HALIFAX_WOMENS_119001566_PUR_1.jpg</t>
        </is>
      </c>
      <c r="J216" t="inlineStr">
        <is>
          <t>HALIFAX_WOMENS_119001566_PUR_2.jpg</t>
        </is>
      </c>
      <c r="K216" t="inlineStr">
        <is>
          <t>HALIFAX_WOMENS_119001566_PUR_3.jpg</t>
        </is>
      </c>
      <c r="L216">
        <f>IMAGE("file:///E:/Estudios%20y%20certificaciones/ESTUDIOS%20DE%20PROGRAMMING/PROGRAMMING/PERSONAL/PYTHON/Image_Generator_API/imagenes/HALIFAX_WOMENS_119001566_PUR_1.jpg")</f>
        <v/>
      </c>
      <c r="M216">
        <f>IMAGE("file:///E:/Estudios%20y%20certificaciones/ESTUDIOS%20DE%20PROGRAMMING/PROGRAMMING/PERSONAL/PYTHON/Image_Generator_API/imagenes/HALIFAX_WOMENS_119001566_PUR_2.jpg")</f>
        <v/>
      </c>
      <c r="N216">
        <f>IMAGE("file:///E:/Estudios%20y%20certificaciones/ESTUDIOS%20DE%20PROGRAMMING/PROGRAMMING/PERSONAL/PYTHON/Image_Generator_API/imagenes/HALIFAX_WOMENS_119001566_PUR_3.jpg")</f>
        <v/>
      </c>
      <c r="O216">
        <f>HYPERLINK("imagenes/HALIFAX_WOMENS_119001566_PUR_1.jpg","Ver imagen")</f>
        <v/>
      </c>
      <c r="P216">
        <f>HYPERLINK("imagenes/HALIFAX_WOMENS_119001566_PUR_2.jpg","Ver imagen")</f>
        <v/>
      </c>
      <c r="Q216">
        <f>HYPERLINK("imagenes/HALIFAX_WOMENS_119001566_PUR_3.jpg","Ver imagen")</f>
        <v/>
      </c>
    </row>
    <row r="217">
      <c r="A217" t="inlineStr">
        <is>
          <t>HALIFAX WOMENS</t>
        </is>
      </c>
      <c r="B217" t="inlineStr">
        <is>
          <t>119001566</t>
        </is>
      </c>
      <c r="C217" t="inlineStr">
        <is>
          <t>FLEECE SHIRT JACKET</t>
        </is>
      </c>
      <c r="D217" t="inlineStr">
        <is>
          <t>PUR</t>
        </is>
      </c>
      <c r="E217" t="inlineStr">
        <is>
          <t>(en blanco)</t>
        </is>
      </c>
      <c r="F217" t="inlineStr">
        <is>
          <t>(en blanco)</t>
        </is>
      </c>
      <c r="G217" t="inlineStr">
        <is>
          <t>S</t>
        </is>
      </c>
      <c r="H217" t="n">
        <v>35</v>
      </c>
      <c r="I217" t="inlineStr">
        <is>
          <t>HALIFAX_WOMENS_119001566_PUR_1.jpg</t>
        </is>
      </c>
      <c r="J217" t="inlineStr">
        <is>
          <t>HALIFAX_WOMENS_119001566_PUR_2.jpg</t>
        </is>
      </c>
      <c r="K217" t="inlineStr">
        <is>
          <t>HALIFAX_WOMENS_119001566_PUR_3.jpg</t>
        </is>
      </c>
      <c r="L217">
        <f>IMAGE("file:///E:/Estudios%20y%20certificaciones/ESTUDIOS%20DE%20PROGRAMMING/PROGRAMMING/PERSONAL/PYTHON/Image_Generator_API/imagenes/HALIFAX_WOMENS_119001566_PUR_1.jpg")</f>
        <v/>
      </c>
      <c r="M217">
        <f>IMAGE("file:///E:/Estudios%20y%20certificaciones/ESTUDIOS%20DE%20PROGRAMMING/PROGRAMMING/PERSONAL/PYTHON/Image_Generator_API/imagenes/HALIFAX_WOMENS_119001566_PUR_2.jpg")</f>
        <v/>
      </c>
      <c r="N217">
        <f>IMAGE("file:///E:/Estudios%20y%20certificaciones/ESTUDIOS%20DE%20PROGRAMMING/PROGRAMMING/PERSONAL/PYTHON/Image_Generator_API/imagenes/HALIFAX_WOMENS_119001566_PUR_3.jpg")</f>
        <v/>
      </c>
      <c r="O217">
        <f>HYPERLINK("imagenes/HALIFAX_WOMENS_119001566_PUR_1.jpg","Ver imagen")</f>
        <v/>
      </c>
      <c r="P217">
        <f>HYPERLINK("imagenes/HALIFAX_WOMENS_119001566_PUR_2.jpg","Ver imagen")</f>
        <v/>
      </c>
      <c r="Q217">
        <f>HYPERLINK("imagenes/HALIFAX_WOMENS_119001566_PUR_3.jpg","Ver imagen")</f>
        <v/>
      </c>
    </row>
    <row r="218">
      <c r="A218" t="inlineStr">
        <is>
          <t>HALIFAX WOMENS</t>
        </is>
      </c>
      <c r="B218" t="inlineStr">
        <is>
          <t>119001566</t>
        </is>
      </c>
      <c r="C218" t="inlineStr">
        <is>
          <t>FLEECE SHIRT JACKET</t>
        </is>
      </c>
      <c r="D218" t="inlineStr">
        <is>
          <t>SAG</t>
        </is>
      </c>
      <c r="E218" t="inlineStr">
        <is>
          <t>(en blanco)</t>
        </is>
      </c>
      <c r="F218" t="inlineStr">
        <is>
          <t>D2C</t>
        </is>
      </c>
      <c r="G218" t="inlineStr">
        <is>
          <t>M</t>
        </is>
      </c>
      <c r="H218" t="n">
        <v>2</v>
      </c>
      <c r="I218" t="inlineStr">
        <is>
          <t>HALIFAX_WOMENS_119001566_SAG_1.jpg</t>
        </is>
      </c>
      <c r="J218" t="inlineStr">
        <is>
          <t>HALIFAX_WOMENS_119001566_SAG_2.jpg</t>
        </is>
      </c>
      <c r="K218" t="inlineStr">
        <is>
          <t>HALIFAX_WOMENS_119001566_SAG_3.jpg</t>
        </is>
      </c>
      <c r="L218">
        <f>IMAGE("file:///E:/Estudios%20y%20certificaciones/ESTUDIOS%20DE%20PROGRAMMING/PROGRAMMING/PERSONAL/PYTHON/Image_Generator_API/imagenes/HALIFAX_WOMENS_119001566_SAG_1.jpg")</f>
        <v/>
      </c>
      <c r="M218">
        <f>IMAGE("file:///E:/Estudios%20y%20certificaciones/ESTUDIOS%20DE%20PROGRAMMING/PROGRAMMING/PERSONAL/PYTHON/Image_Generator_API/imagenes/HALIFAX_WOMENS_119001566_SAG_2.jpg")</f>
        <v/>
      </c>
      <c r="N218">
        <f>IMAGE("file:///E:/Estudios%20y%20certificaciones/ESTUDIOS%20DE%20PROGRAMMING/PROGRAMMING/PERSONAL/PYTHON/Image_Generator_API/imagenes/HALIFAX_WOMENS_119001566_SAG_3.jpg")</f>
        <v/>
      </c>
      <c r="O218">
        <f>HYPERLINK("imagenes/HALIFAX_WOMENS_119001566_SAG_1.jpg","Ver imagen")</f>
        <v/>
      </c>
      <c r="P218">
        <f>HYPERLINK("imagenes/HALIFAX_WOMENS_119001566_SAG_2.jpg","Ver imagen")</f>
        <v/>
      </c>
      <c r="Q218">
        <f>HYPERLINK("imagenes/HALIFAX_WOMENS_119001566_SAG_3.jpg","Ver imagen")</f>
        <v/>
      </c>
    </row>
    <row r="219">
      <c r="A219" t="inlineStr">
        <is>
          <t>HALIFAX WOMENS</t>
        </is>
      </c>
      <c r="B219" t="inlineStr">
        <is>
          <t>119001566</t>
        </is>
      </c>
      <c r="C219" t="inlineStr">
        <is>
          <t>FLEECE SHIRT JACKET</t>
        </is>
      </c>
      <c r="D219" t="inlineStr">
        <is>
          <t>SAG</t>
        </is>
      </c>
      <c r="E219" t="inlineStr">
        <is>
          <t>(en blanco)</t>
        </is>
      </c>
      <c r="F219" t="inlineStr">
        <is>
          <t>D2C</t>
        </is>
      </c>
      <c r="G219" t="inlineStr">
        <is>
          <t>XL</t>
        </is>
      </c>
      <c r="H219" t="n">
        <v>2</v>
      </c>
      <c r="I219" t="inlineStr">
        <is>
          <t>HALIFAX_WOMENS_119001566_SAG_1.jpg</t>
        </is>
      </c>
      <c r="J219" t="inlineStr">
        <is>
          <t>HALIFAX_WOMENS_119001566_SAG_2.jpg</t>
        </is>
      </c>
      <c r="K219" t="inlineStr">
        <is>
          <t>HALIFAX_WOMENS_119001566_SAG_3.jpg</t>
        </is>
      </c>
      <c r="L219">
        <f>IMAGE("file:///E:/Estudios%20y%20certificaciones/ESTUDIOS%20DE%20PROGRAMMING/PROGRAMMING/PERSONAL/PYTHON/Image_Generator_API/imagenes/HALIFAX_WOMENS_119001566_SAG_1.jpg")</f>
        <v/>
      </c>
      <c r="M219">
        <f>IMAGE("file:///E:/Estudios%20y%20certificaciones/ESTUDIOS%20DE%20PROGRAMMING/PROGRAMMING/PERSONAL/PYTHON/Image_Generator_API/imagenes/HALIFAX_WOMENS_119001566_SAG_2.jpg")</f>
        <v/>
      </c>
      <c r="N219">
        <f>IMAGE("file:///E:/Estudios%20y%20certificaciones/ESTUDIOS%20DE%20PROGRAMMING/PROGRAMMING/PERSONAL/PYTHON/Image_Generator_API/imagenes/HALIFAX_WOMENS_119001566_SAG_3.jpg")</f>
        <v/>
      </c>
      <c r="O219">
        <f>HYPERLINK("imagenes/HALIFAX_WOMENS_119001566_SAG_1.jpg","Ver imagen")</f>
        <v/>
      </c>
      <c r="P219">
        <f>HYPERLINK("imagenes/HALIFAX_WOMENS_119001566_SAG_2.jpg","Ver imagen")</f>
        <v/>
      </c>
      <c r="Q219">
        <f>HYPERLINK("imagenes/HALIFAX_WOMENS_119001566_SAG_3.jpg","Ver imagen")</f>
        <v/>
      </c>
    </row>
    <row r="220">
      <c r="A220" t="inlineStr">
        <is>
          <t>HALIFAX WOMENS</t>
        </is>
      </c>
      <c r="B220" t="inlineStr">
        <is>
          <t>119001566</t>
        </is>
      </c>
      <c r="C220" t="inlineStr">
        <is>
          <t>FLEECE SHIRT JACKET</t>
        </is>
      </c>
      <c r="D220" t="inlineStr">
        <is>
          <t>SAG</t>
        </is>
      </c>
      <c r="E220" t="inlineStr">
        <is>
          <t>(en blanco)</t>
        </is>
      </c>
      <c r="F220" t="inlineStr">
        <is>
          <t>D2C</t>
        </is>
      </c>
      <c r="G220" t="inlineStr">
        <is>
          <t>XXL</t>
        </is>
      </c>
      <c r="H220" t="n">
        <v>1</v>
      </c>
      <c r="I220" t="inlineStr">
        <is>
          <t>HALIFAX_WOMENS_119001566_SAG_1.jpg</t>
        </is>
      </c>
      <c r="J220" t="inlineStr">
        <is>
          <t>HALIFAX_WOMENS_119001566_SAG_2.jpg</t>
        </is>
      </c>
      <c r="K220" t="inlineStr">
        <is>
          <t>HALIFAX_WOMENS_119001566_SAG_3.jpg</t>
        </is>
      </c>
      <c r="L220">
        <f>IMAGE("file:///E:/Estudios%20y%20certificaciones/ESTUDIOS%20DE%20PROGRAMMING/PROGRAMMING/PERSONAL/PYTHON/Image_Generator_API/imagenes/HALIFAX_WOMENS_119001566_SAG_1.jpg")</f>
        <v/>
      </c>
      <c r="M220">
        <f>IMAGE("file:///E:/Estudios%20y%20certificaciones/ESTUDIOS%20DE%20PROGRAMMING/PROGRAMMING/PERSONAL/PYTHON/Image_Generator_API/imagenes/HALIFAX_WOMENS_119001566_SAG_2.jpg")</f>
        <v/>
      </c>
      <c r="N220">
        <f>IMAGE("file:///E:/Estudios%20y%20certificaciones/ESTUDIOS%20DE%20PROGRAMMING/PROGRAMMING/PERSONAL/PYTHON/Image_Generator_API/imagenes/HALIFAX_WOMENS_119001566_SAG_3.jpg")</f>
        <v/>
      </c>
      <c r="O220">
        <f>HYPERLINK("imagenes/HALIFAX_WOMENS_119001566_SAG_1.jpg","Ver imagen")</f>
        <v/>
      </c>
      <c r="P220">
        <f>HYPERLINK("imagenes/HALIFAX_WOMENS_119001566_SAG_2.jpg","Ver imagen")</f>
        <v/>
      </c>
      <c r="Q220">
        <f>HYPERLINK("imagenes/HALIFAX_WOMENS_119001566_SAG_3.jpg","Ver imagen")</f>
        <v/>
      </c>
    </row>
    <row r="221">
      <c r="A221" t="inlineStr">
        <is>
          <t>HALIFAX WOMENS</t>
        </is>
      </c>
      <c r="B221" t="inlineStr">
        <is>
          <t>119001566</t>
        </is>
      </c>
      <c r="C221" t="inlineStr">
        <is>
          <t>FLEECE SHIRT JACKET</t>
        </is>
      </c>
      <c r="D221" t="inlineStr">
        <is>
          <t>SAG</t>
        </is>
      </c>
      <c r="E221" t="inlineStr">
        <is>
          <t>(en blanco)</t>
        </is>
      </c>
      <c r="F221" t="inlineStr">
        <is>
          <t>(en blanco)</t>
        </is>
      </c>
      <c r="G221" t="inlineStr">
        <is>
          <t>L</t>
        </is>
      </c>
      <c r="H221" t="n">
        <v>1</v>
      </c>
      <c r="I221" t="inlineStr">
        <is>
          <t>HALIFAX_WOMENS_119001566_SAG_1.jpg</t>
        </is>
      </c>
      <c r="J221" t="inlineStr">
        <is>
          <t>HALIFAX_WOMENS_119001566_SAG_2.jpg</t>
        </is>
      </c>
      <c r="K221" t="inlineStr">
        <is>
          <t>HALIFAX_WOMENS_119001566_SAG_3.jpg</t>
        </is>
      </c>
      <c r="L221">
        <f>IMAGE("file:///E:/Estudios%20y%20certificaciones/ESTUDIOS%20DE%20PROGRAMMING/PROGRAMMING/PERSONAL/PYTHON/Image_Generator_API/imagenes/HALIFAX_WOMENS_119001566_SAG_1.jpg")</f>
        <v/>
      </c>
      <c r="M221">
        <f>IMAGE("file:///E:/Estudios%20y%20certificaciones/ESTUDIOS%20DE%20PROGRAMMING/PROGRAMMING/PERSONAL/PYTHON/Image_Generator_API/imagenes/HALIFAX_WOMENS_119001566_SAG_2.jpg")</f>
        <v/>
      </c>
      <c r="N221">
        <f>IMAGE("file:///E:/Estudios%20y%20certificaciones/ESTUDIOS%20DE%20PROGRAMMING/PROGRAMMING/PERSONAL/PYTHON/Image_Generator_API/imagenes/HALIFAX_WOMENS_119001566_SAG_3.jpg")</f>
        <v/>
      </c>
      <c r="O221">
        <f>HYPERLINK("imagenes/HALIFAX_WOMENS_119001566_SAG_1.jpg","Ver imagen")</f>
        <v/>
      </c>
      <c r="P221">
        <f>HYPERLINK("imagenes/HALIFAX_WOMENS_119001566_SAG_2.jpg","Ver imagen")</f>
        <v/>
      </c>
      <c r="Q221">
        <f>HYPERLINK("imagenes/HALIFAX_WOMENS_119001566_SAG_3.jpg","Ver imagen")</f>
        <v/>
      </c>
    </row>
    <row r="222">
      <c r="A222" t="inlineStr">
        <is>
          <t>HALIFAX WOMENS</t>
        </is>
      </c>
      <c r="B222" t="inlineStr">
        <is>
          <t>119001566</t>
        </is>
      </c>
      <c r="C222" t="inlineStr">
        <is>
          <t>FLEECE SHIRT JACKET</t>
        </is>
      </c>
      <c r="D222" t="inlineStr">
        <is>
          <t>TAN</t>
        </is>
      </c>
      <c r="E222" t="inlineStr">
        <is>
          <t>08A06</t>
        </is>
      </c>
      <c r="F222" t="inlineStr">
        <is>
          <t>(en blanco)</t>
        </is>
      </c>
      <c r="G222" t="inlineStr">
        <is>
          <t>PPK</t>
        </is>
      </c>
      <c r="H222" t="n">
        <v>104</v>
      </c>
      <c r="I222" t="inlineStr">
        <is>
          <t>HALIFAX_WOMENS_119001566_TAN_1.jpg</t>
        </is>
      </c>
      <c r="J222" t="inlineStr">
        <is>
          <t>HALIFAX_WOMENS_119001566_TAN_2.jpg</t>
        </is>
      </c>
      <c r="K222" t="inlineStr">
        <is>
          <t>HALIFAX_WOMENS_119001566_TAN_3.jpg</t>
        </is>
      </c>
      <c r="L222">
        <f>IMAGE("file:///E:/Estudios%20y%20certificaciones/ESTUDIOS%20DE%20PROGRAMMING/PROGRAMMING/PERSONAL/PYTHON/Image_Generator_API/imagenes/HALIFAX_WOMENS_119001566_TAN_1.jpg")</f>
        <v/>
      </c>
      <c r="M222">
        <f>IMAGE("file:///E:/Estudios%20y%20certificaciones/ESTUDIOS%20DE%20PROGRAMMING/PROGRAMMING/PERSONAL/PYTHON/Image_Generator_API/imagenes/HALIFAX_WOMENS_119001566_TAN_2.jpg")</f>
        <v/>
      </c>
      <c r="N222">
        <f>IMAGE("file:///E:/Estudios%20y%20certificaciones/ESTUDIOS%20DE%20PROGRAMMING/PROGRAMMING/PERSONAL/PYTHON/Image_Generator_API/imagenes/HALIFAX_WOMENS_119001566_TAN_3.jpg")</f>
        <v/>
      </c>
      <c r="O222">
        <f>HYPERLINK("imagenes/HALIFAX_WOMENS_119001566_TAN_1.jpg","Ver imagen")</f>
        <v/>
      </c>
      <c r="P222">
        <f>HYPERLINK("imagenes/HALIFAX_WOMENS_119001566_TAN_2.jpg","Ver imagen")</f>
        <v/>
      </c>
      <c r="Q222">
        <f>HYPERLINK("imagenes/HALIFAX_WOMENS_119001566_TAN_3.jpg","Ver imagen")</f>
        <v/>
      </c>
    </row>
    <row r="223">
      <c r="A223" t="inlineStr">
        <is>
          <t>HALIFAX WOMENS</t>
        </is>
      </c>
      <c r="B223" t="inlineStr">
        <is>
          <t>119001566</t>
        </is>
      </c>
      <c r="C223" t="inlineStr">
        <is>
          <t>FLEECE SHIRT JACKET</t>
        </is>
      </c>
      <c r="D223" t="inlineStr">
        <is>
          <t>TAN</t>
        </is>
      </c>
      <c r="E223" t="inlineStr">
        <is>
          <t>(en blanco)</t>
        </is>
      </c>
      <c r="F223" t="inlineStr">
        <is>
          <t>(en blanco)</t>
        </is>
      </c>
      <c r="G223" t="inlineStr">
        <is>
          <t>S</t>
        </is>
      </c>
      <c r="H223" t="n">
        <v>2</v>
      </c>
      <c r="I223" t="inlineStr">
        <is>
          <t>HALIFAX_WOMENS_119001566_TAN_1.jpg</t>
        </is>
      </c>
      <c r="J223" t="inlineStr">
        <is>
          <t>HALIFAX_WOMENS_119001566_TAN_2.jpg</t>
        </is>
      </c>
      <c r="K223" t="inlineStr">
        <is>
          <t>HALIFAX_WOMENS_119001566_TAN_3.jpg</t>
        </is>
      </c>
      <c r="L223">
        <f>IMAGE("file:///E:/Estudios%20y%20certificaciones/ESTUDIOS%20DE%20PROGRAMMING/PROGRAMMING/PERSONAL/PYTHON/Image_Generator_API/imagenes/HALIFAX_WOMENS_119001566_TAN_1.jpg")</f>
        <v/>
      </c>
      <c r="M223">
        <f>IMAGE("file:///E:/Estudios%20y%20certificaciones/ESTUDIOS%20DE%20PROGRAMMING/PROGRAMMING/PERSONAL/PYTHON/Image_Generator_API/imagenes/HALIFAX_WOMENS_119001566_TAN_2.jpg")</f>
        <v/>
      </c>
      <c r="N223">
        <f>IMAGE("file:///E:/Estudios%20y%20certificaciones/ESTUDIOS%20DE%20PROGRAMMING/PROGRAMMING/PERSONAL/PYTHON/Image_Generator_API/imagenes/HALIFAX_WOMENS_119001566_TAN_3.jpg")</f>
        <v/>
      </c>
      <c r="O223">
        <f>HYPERLINK("imagenes/HALIFAX_WOMENS_119001566_TAN_1.jpg","Ver imagen")</f>
        <v/>
      </c>
      <c r="P223">
        <f>HYPERLINK("imagenes/HALIFAX_WOMENS_119001566_TAN_2.jpg","Ver imagen")</f>
        <v/>
      </c>
      <c r="Q223">
        <f>HYPERLINK("imagenes/HALIFAX_WOMENS_119001566_TAN_3.jpg","Ver imagen")</f>
        <v/>
      </c>
    </row>
    <row r="224">
      <c r="A224" t="inlineStr">
        <is>
          <t>HALIFAX WOMENS</t>
        </is>
      </c>
      <c r="B224" t="inlineStr">
        <is>
          <t>119001566</t>
        </is>
      </c>
      <c r="C224" t="inlineStr">
        <is>
          <t>FLEECE SHIRT JACKET</t>
        </is>
      </c>
      <c r="D224" t="inlineStr">
        <is>
          <t>TAN</t>
        </is>
      </c>
      <c r="E224" t="inlineStr">
        <is>
          <t>(en blanco)</t>
        </is>
      </c>
      <c r="F224" t="inlineStr">
        <is>
          <t>(en blanco)</t>
        </is>
      </c>
      <c r="G224" t="inlineStr">
        <is>
          <t>M</t>
        </is>
      </c>
      <c r="H224" t="n">
        <v>11</v>
      </c>
      <c r="I224" t="inlineStr">
        <is>
          <t>HALIFAX_WOMENS_119001566_TAN_1.jpg</t>
        </is>
      </c>
      <c r="J224" t="inlineStr">
        <is>
          <t>HALIFAX_WOMENS_119001566_TAN_2.jpg</t>
        </is>
      </c>
      <c r="K224" t="inlineStr">
        <is>
          <t>HALIFAX_WOMENS_119001566_TAN_3.jpg</t>
        </is>
      </c>
      <c r="L224">
        <f>IMAGE("file:///E:/Estudios%20y%20certificaciones/ESTUDIOS%20DE%20PROGRAMMING/PROGRAMMING/PERSONAL/PYTHON/Image_Generator_API/imagenes/HALIFAX_WOMENS_119001566_TAN_1.jpg")</f>
        <v/>
      </c>
      <c r="M224">
        <f>IMAGE("file:///E:/Estudios%20y%20certificaciones/ESTUDIOS%20DE%20PROGRAMMING/PROGRAMMING/PERSONAL/PYTHON/Image_Generator_API/imagenes/HALIFAX_WOMENS_119001566_TAN_2.jpg")</f>
        <v/>
      </c>
      <c r="N224">
        <f>IMAGE("file:///E:/Estudios%20y%20certificaciones/ESTUDIOS%20DE%20PROGRAMMING/PROGRAMMING/PERSONAL/PYTHON/Image_Generator_API/imagenes/HALIFAX_WOMENS_119001566_TAN_3.jpg")</f>
        <v/>
      </c>
      <c r="O224">
        <f>HYPERLINK("imagenes/HALIFAX_WOMENS_119001566_TAN_1.jpg","Ver imagen")</f>
        <v/>
      </c>
      <c r="P224">
        <f>HYPERLINK("imagenes/HALIFAX_WOMENS_119001566_TAN_2.jpg","Ver imagen")</f>
        <v/>
      </c>
      <c r="Q224">
        <f>HYPERLINK("imagenes/HALIFAX_WOMENS_119001566_TAN_3.jpg","Ver imagen")</f>
        <v/>
      </c>
    </row>
    <row r="225">
      <c r="A225" t="inlineStr">
        <is>
          <t>HALIFAX WOMENS</t>
        </is>
      </c>
      <c r="B225" t="inlineStr">
        <is>
          <t>119001566</t>
        </is>
      </c>
      <c r="C225" t="inlineStr">
        <is>
          <t>FLEECE SHIRT JACKET</t>
        </is>
      </c>
      <c r="D225" t="inlineStr">
        <is>
          <t>TAN</t>
        </is>
      </c>
      <c r="E225" t="inlineStr">
        <is>
          <t>(en blanco)</t>
        </is>
      </c>
      <c r="F225" t="inlineStr">
        <is>
          <t>(en blanco)</t>
        </is>
      </c>
      <c r="G225" t="inlineStr">
        <is>
          <t>L</t>
        </is>
      </c>
      <c r="H225" t="n">
        <v>5</v>
      </c>
      <c r="I225" t="inlineStr">
        <is>
          <t>HALIFAX_WOMENS_119001566_TAN_1.jpg</t>
        </is>
      </c>
      <c r="J225" t="inlineStr">
        <is>
          <t>HALIFAX_WOMENS_119001566_TAN_2.jpg</t>
        </is>
      </c>
      <c r="K225" t="inlineStr">
        <is>
          <t>HALIFAX_WOMENS_119001566_TAN_3.jpg</t>
        </is>
      </c>
      <c r="L225">
        <f>IMAGE("file:///E:/Estudios%20y%20certificaciones/ESTUDIOS%20DE%20PROGRAMMING/PROGRAMMING/PERSONAL/PYTHON/Image_Generator_API/imagenes/HALIFAX_WOMENS_119001566_TAN_1.jpg")</f>
        <v/>
      </c>
      <c r="M225">
        <f>IMAGE("file:///E:/Estudios%20y%20certificaciones/ESTUDIOS%20DE%20PROGRAMMING/PROGRAMMING/PERSONAL/PYTHON/Image_Generator_API/imagenes/HALIFAX_WOMENS_119001566_TAN_2.jpg")</f>
        <v/>
      </c>
      <c r="N225">
        <f>IMAGE("file:///E:/Estudios%20y%20certificaciones/ESTUDIOS%20DE%20PROGRAMMING/PROGRAMMING/PERSONAL/PYTHON/Image_Generator_API/imagenes/HALIFAX_WOMENS_119001566_TAN_3.jpg")</f>
        <v/>
      </c>
      <c r="O225">
        <f>HYPERLINK("imagenes/HALIFAX_WOMENS_119001566_TAN_1.jpg","Ver imagen")</f>
        <v/>
      </c>
      <c r="P225">
        <f>HYPERLINK("imagenes/HALIFAX_WOMENS_119001566_TAN_2.jpg","Ver imagen")</f>
        <v/>
      </c>
      <c r="Q225">
        <f>HYPERLINK("imagenes/HALIFAX_WOMENS_119001566_TAN_3.jpg","Ver imagen")</f>
        <v/>
      </c>
    </row>
    <row r="226">
      <c r="A226" t="inlineStr">
        <is>
          <t>HALIFAX WOMENS</t>
        </is>
      </c>
      <c r="B226" t="inlineStr">
        <is>
          <t>119001566</t>
        </is>
      </c>
      <c r="C226" t="inlineStr">
        <is>
          <t>FLEECE SHIRT JACKET</t>
        </is>
      </c>
      <c r="D226" t="inlineStr">
        <is>
          <t>TAN</t>
        </is>
      </c>
      <c r="E226" t="inlineStr">
        <is>
          <t>(en blanco)</t>
        </is>
      </c>
      <c r="F226" t="inlineStr">
        <is>
          <t>(en blanco)</t>
        </is>
      </c>
      <c r="G226" t="inlineStr">
        <is>
          <t>XL</t>
        </is>
      </c>
      <c r="H226" t="n">
        <v>6</v>
      </c>
      <c r="I226" t="inlineStr">
        <is>
          <t>HALIFAX_WOMENS_119001566_TAN_1.jpg</t>
        </is>
      </c>
      <c r="J226" t="inlineStr">
        <is>
          <t>HALIFAX_WOMENS_119001566_TAN_2.jpg</t>
        </is>
      </c>
      <c r="K226" t="inlineStr">
        <is>
          <t>HALIFAX_WOMENS_119001566_TAN_3.jpg</t>
        </is>
      </c>
      <c r="L226">
        <f>IMAGE("file:///E:/Estudios%20y%20certificaciones/ESTUDIOS%20DE%20PROGRAMMING/PROGRAMMING/PERSONAL/PYTHON/Image_Generator_API/imagenes/HALIFAX_WOMENS_119001566_TAN_1.jpg")</f>
        <v/>
      </c>
      <c r="M226">
        <f>IMAGE("file:///E:/Estudios%20y%20certificaciones/ESTUDIOS%20DE%20PROGRAMMING/PROGRAMMING/PERSONAL/PYTHON/Image_Generator_API/imagenes/HALIFAX_WOMENS_119001566_TAN_2.jpg")</f>
        <v/>
      </c>
      <c r="N226">
        <f>IMAGE("file:///E:/Estudios%20y%20certificaciones/ESTUDIOS%20DE%20PROGRAMMING/PROGRAMMING/PERSONAL/PYTHON/Image_Generator_API/imagenes/HALIFAX_WOMENS_119001566_TAN_3.jpg")</f>
        <v/>
      </c>
      <c r="O226">
        <f>HYPERLINK("imagenes/HALIFAX_WOMENS_119001566_TAN_1.jpg","Ver imagen")</f>
        <v/>
      </c>
      <c r="P226">
        <f>HYPERLINK("imagenes/HALIFAX_WOMENS_119001566_TAN_2.jpg","Ver imagen")</f>
        <v/>
      </c>
      <c r="Q226">
        <f>HYPERLINK("imagenes/HALIFAX_WOMENS_119001566_TAN_3.jpg","Ver imagen")</f>
        <v/>
      </c>
    </row>
    <row r="227">
      <c r="A227" t="inlineStr">
        <is>
          <t>HALIFAX WOMENS</t>
        </is>
      </c>
      <c r="B227" t="inlineStr">
        <is>
          <t>119001566</t>
        </is>
      </c>
      <c r="C227" t="inlineStr">
        <is>
          <t>FLEECE SHIRT JACKET</t>
        </is>
      </c>
      <c r="D227" t="inlineStr">
        <is>
          <t>TAN</t>
        </is>
      </c>
      <c r="E227" t="inlineStr">
        <is>
          <t>(en blanco)</t>
        </is>
      </c>
      <c r="F227" t="inlineStr">
        <is>
          <t>(en blanco)</t>
        </is>
      </c>
      <c r="G227" t="inlineStr">
        <is>
          <t>XXL</t>
        </is>
      </c>
      <c r="H227" t="n">
        <v>5</v>
      </c>
      <c r="I227" t="inlineStr">
        <is>
          <t>HALIFAX_WOMENS_119001566_TAN_1.jpg</t>
        </is>
      </c>
      <c r="J227" t="inlineStr">
        <is>
          <t>HALIFAX_WOMENS_119001566_TAN_2.jpg</t>
        </is>
      </c>
      <c r="K227" t="inlineStr">
        <is>
          <t>HALIFAX_WOMENS_119001566_TAN_3.jpg</t>
        </is>
      </c>
      <c r="L227">
        <f>IMAGE("file:///E:/Estudios%20y%20certificaciones/ESTUDIOS%20DE%20PROGRAMMING/PROGRAMMING/PERSONAL/PYTHON/Image_Generator_API/imagenes/HALIFAX_WOMENS_119001566_TAN_1.jpg")</f>
        <v/>
      </c>
      <c r="M227">
        <f>IMAGE("file:///E:/Estudios%20y%20certificaciones/ESTUDIOS%20DE%20PROGRAMMING/PROGRAMMING/PERSONAL/PYTHON/Image_Generator_API/imagenes/HALIFAX_WOMENS_119001566_TAN_2.jpg")</f>
        <v/>
      </c>
      <c r="N227">
        <f>IMAGE("file:///E:/Estudios%20y%20certificaciones/ESTUDIOS%20DE%20PROGRAMMING/PROGRAMMING/PERSONAL/PYTHON/Image_Generator_API/imagenes/HALIFAX_WOMENS_119001566_TAN_3.jpg")</f>
        <v/>
      </c>
      <c r="O227">
        <f>HYPERLINK("imagenes/HALIFAX_WOMENS_119001566_TAN_1.jpg","Ver imagen")</f>
        <v/>
      </c>
      <c r="P227">
        <f>HYPERLINK("imagenes/HALIFAX_WOMENS_119001566_TAN_2.jpg","Ver imagen")</f>
        <v/>
      </c>
      <c r="Q227">
        <f>HYPERLINK("imagenes/HALIFAX_WOMENS_119001566_TAN_3.jpg","Ver imagen")</f>
        <v/>
      </c>
    </row>
    <row r="228">
      <c r="A228" t="inlineStr">
        <is>
          <t>HALIFAX WOMENS</t>
        </is>
      </c>
      <c r="B228" t="inlineStr">
        <is>
          <t>119004414</t>
        </is>
      </c>
      <c r="C228" t="inlineStr">
        <is>
          <t>DUP41149 Softshell b/t Fleece Jacket CBL: 32"</t>
        </is>
      </c>
      <c r="D228" t="inlineStr">
        <is>
          <t>BLK</t>
        </is>
      </c>
      <c r="E228" t="inlineStr">
        <is>
          <t>08A06</t>
        </is>
      </c>
      <c r="F228" t="inlineStr">
        <is>
          <t>(en blanco)</t>
        </is>
      </c>
      <c r="G228" t="inlineStr">
        <is>
          <t>PPK</t>
        </is>
      </c>
      <c r="H228" t="n">
        <v>3672</v>
      </c>
      <c r="I228" t="inlineStr">
        <is>
          <t>HALIFAX_WOMENS_119004414_BLK_1.jpg</t>
        </is>
      </c>
      <c r="J228" t="inlineStr">
        <is>
          <t>HALIFAX_WOMENS_119004414_BLK_2.jpg</t>
        </is>
      </c>
      <c r="K228" t="inlineStr">
        <is>
          <t>HALIFAX_WOMENS_119004414_BLK_3.jpg</t>
        </is>
      </c>
      <c r="L228">
        <f>IMAGE("file:///E:/Estudios%20y%20certificaciones/ESTUDIOS%20DE%20PROGRAMMING/PROGRAMMING/PERSONAL/PYTHON/Image_Generator_API/imagenes/HALIFAX_WOMENS_119004414_BLK_1.jpg")</f>
        <v/>
      </c>
      <c r="M228">
        <f>IMAGE("file:///E:/Estudios%20y%20certificaciones/ESTUDIOS%20DE%20PROGRAMMING/PROGRAMMING/PERSONAL/PYTHON/Image_Generator_API/imagenes/HALIFAX_WOMENS_119004414_BLK_2.jpg")</f>
        <v/>
      </c>
      <c r="N228">
        <f>IMAGE("file:///E:/Estudios%20y%20certificaciones/ESTUDIOS%20DE%20PROGRAMMING/PROGRAMMING/PERSONAL/PYTHON/Image_Generator_API/imagenes/HALIFAX_WOMENS_119004414_BLK_3.jpg")</f>
        <v/>
      </c>
      <c r="O228">
        <f>HYPERLINK("imagenes/HALIFAX_WOMENS_119004414_BLK_1.jpg","Ver imagen")</f>
        <v/>
      </c>
      <c r="P228">
        <f>HYPERLINK("imagenes/HALIFAX_WOMENS_119004414_BLK_2.jpg","Ver imagen")</f>
        <v/>
      </c>
      <c r="Q228">
        <f>HYPERLINK("imagenes/HALIFAX_WOMENS_119004414_BLK_3.jpg","Ver imagen")</f>
        <v/>
      </c>
    </row>
    <row r="229">
      <c r="A229" t="inlineStr">
        <is>
          <t>HALIFAX WOMENS</t>
        </is>
      </c>
      <c r="B229" t="inlineStr">
        <is>
          <t>119004414</t>
        </is>
      </c>
      <c r="C229" t="inlineStr">
        <is>
          <t>DUP41149 Softshell b/t Fleece Jacket CBL: 32"</t>
        </is>
      </c>
      <c r="D229" t="inlineStr">
        <is>
          <t>BLK</t>
        </is>
      </c>
      <c r="E229" t="inlineStr">
        <is>
          <t>(en blanco)</t>
        </is>
      </c>
      <c r="F229" t="inlineStr">
        <is>
          <t>D2C</t>
        </is>
      </c>
      <c r="G229" t="inlineStr">
        <is>
          <t>S</t>
        </is>
      </c>
      <c r="H229" t="n">
        <v>20</v>
      </c>
      <c r="I229" t="inlineStr">
        <is>
          <t>HALIFAX_WOMENS_119004414_BLK_1.jpg</t>
        </is>
      </c>
      <c r="J229" t="inlineStr">
        <is>
          <t>HALIFAX_WOMENS_119004414_BLK_2.jpg</t>
        </is>
      </c>
      <c r="K229" t="inlineStr">
        <is>
          <t>HALIFAX_WOMENS_119004414_BLK_3.jpg</t>
        </is>
      </c>
      <c r="L229">
        <f>IMAGE("file:///E:/Estudios%20y%20certificaciones/ESTUDIOS%20DE%20PROGRAMMING/PROGRAMMING/PERSONAL/PYTHON/Image_Generator_API/imagenes/HALIFAX_WOMENS_119004414_BLK_1.jpg")</f>
        <v/>
      </c>
      <c r="M229">
        <f>IMAGE("file:///E:/Estudios%20y%20certificaciones/ESTUDIOS%20DE%20PROGRAMMING/PROGRAMMING/PERSONAL/PYTHON/Image_Generator_API/imagenes/HALIFAX_WOMENS_119004414_BLK_2.jpg")</f>
        <v/>
      </c>
      <c r="N229">
        <f>IMAGE("file:///E:/Estudios%20y%20certificaciones/ESTUDIOS%20DE%20PROGRAMMING/PROGRAMMING/PERSONAL/PYTHON/Image_Generator_API/imagenes/HALIFAX_WOMENS_119004414_BLK_3.jpg")</f>
        <v/>
      </c>
      <c r="O229">
        <f>HYPERLINK("imagenes/HALIFAX_WOMENS_119004414_BLK_1.jpg","Ver imagen")</f>
        <v/>
      </c>
      <c r="P229">
        <f>HYPERLINK("imagenes/HALIFAX_WOMENS_119004414_BLK_2.jpg","Ver imagen")</f>
        <v/>
      </c>
      <c r="Q229">
        <f>HYPERLINK("imagenes/HALIFAX_WOMENS_119004414_BLK_3.jpg","Ver imagen")</f>
        <v/>
      </c>
    </row>
    <row r="230">
      <c r="A230" t="inlineStr">
        <is>
          <t>HALIFAX WOMENS</t>
        </is>
      </c>
      <c r="B230" t="inlineStr">
        <is>
          <t>119004414</t>
        </is>
      </c>
      <c r="C230" t="inlineStr">
        <is>
          <t>DUP41149 Softshell b/t Fleece Jacket CBL: 32"</t>
        </is>
      </c>
      <c r="D230" t="inlineStr">
        <is>
          <t>BLK</t>
        </is>
      </c>
      <c r="E230" t="inlineStr">
        <is>
          <t>(en blanco)</t>
        </is>
      </c>
      <c r="F230" t="inlineStr">
        <is>
          <t>D2C</t>
        </is>
      </c>
      <c r="G230" t="inlineStr">
        <is>
          <t>M</t>
        </is>
      </c>
      <c r="H230" t="n">
        <v>2</v>
      </c>
      <c r="I230" t="inlineStr">
        <is>
          <t>HALIFAX_WOMENS_119004414_BLK_1.jpg</t>
        </is>
      </c>
      <c r="J230" t="inlineStr">
        <is>
          <t>HALIFAX_WOMENS_119004414_BLK_2.jpg</t>
        </is>
      </c>
      <c r="K230" t="inlineStr">
        <is>
          <t>HALIFAX_WOMENS_119004414_BLK_3.jpg</t>
        </is>
      </c>
      <c r="L230">
        <f>IMAGE("file:///E:/Estudios%20y%20certificaciones/ESTUDIOS%20DE%20PROGRAMMING/PROGRAMMING/PERSONAL/PYTHON/Image_Generator_API/imagenes/HALIFAX_WOMENS_119004414_BLK_1.jpg")</f>
        <v/>
      </c>
      <c r="M230">
        <f>IMAGE("file:///E:/Estudios%20y%20certificaciones/ESTUDIOS%20DE%20PROGRAMMING/PROGRAMMING/PERSONAL/PYTHON/Image_Generator_API/imagenes/HALIFAX_WOMENS_119004414_BLK_2.jpg")</f>
        <v/>
      </c>
      <c r="N230">
        <f>IMAGE("file:///E:/Estudios%20y%20certificaciones/ESTUDIOS%20DE%20PROGRAMMING/PROGRAMMING/PERSONAL/PYTHON/Image_Generator_API/imagenes/HALIFAX_WOMENS_119004414_BLK_3.jpg")</f>
        <v/>
      </c>
      <c r="O230">
        <f>HYPERLINK("imagenes/HALIFAX_WOMENS_119004414_BLK_1.jpg","Ver imagen")</f>
        <v/>
      </c>
      <c r="P230">
        <f>HYPERLINK("imagenes/HALIFAX_WOMENS_119004414_BLK_2.jpg","Ver imagen")</f>
        <v/>
      </c>
      <c r="Q230">
        <f>HYPERLINK("imagenes/HALIFAX_WOMENS_119004414_BLK_3.jpg","Ver imagen")</f>
        <v/>
      </c>
    </row>
    <row r="231">
      <c r="A231" t="inlineStr">
        <is>
          <t>HALIFAX WOMENS</t>
        </is>
      </c>
      <c r="B231" t="inlineStr">
        <is>
          <t>119004414</t>
        </is>
      </c>
      <c r="C231" t="inlineStr">
        <is>
          <t>DUP41149 Softshell b/t Fleece Jacket CBL: 32"</t>
        </is>
      </c>
      <c r="D231" t="inlineStr">
        <is>
          <t>BLK</t>
        </is>
      </c>
      <c r="E231" t="inlineStr">
        <is>
          <t>(en blanco)</t>
        </is>
      </c>
      <c r="F231" t="inlineStr">
        <is>
          <t>D2C</t>
        </is>
      </c>
      <c r="G231" t="inlineStr">
        <is>
          <t>L</t>
        </is>
      </c>
      <c r="H231" t="n">
        <v>1</v>
      </c>
      <c r="I231" t="inlineStr">
        <is>
          <t>HALIFAX_WOMENS_119004414_BLK_1.jpg</t>
        </is>
      </c>
      <c r="J231" t="inlineStr">
        <is>
          <t>HALIFAX_WOMENS_119004414_BLK_2.jpg</t>
        </is>
      </c>
      <c r="K231" t="inlineStr">
        <is>
          <t>HALIFAX_WOMENS_119004414_BLK_3.jpg</t>
        </is>
      </c>
      <c r="L231">
        <f>IMAGE("file:///E:/Estudios%20y%20certificaciones/ESTUDIOS%20DE%20PROGRAMMING/PROGRAMMING/PERSONAL/PYTHON/Image_Generator_API/imagenes/HALIFAX_WOMENS_119004414_BLK_1.jpg")</f>
        <v/>
      </c>
      <c r="M231">
        <f>IMAGE("file:///E:/Estudios%20y%20certificaciones/ESTUDIOS%20DE%20PROGRAMMING/PROGRAMMING/PERSONAL/PYTHON/Image_Generator_API/imagenes/HALIFAX_WOMENS_119004414_BLK_2.jpg")</f>
        <v/>
      </c>
      <c r="N231">
        <f>IMAGE("file:///E:/Estudios%20y%20certificaciones/ESTUDIOS%20DE%20PROGRAMMING/PROGRAMMING/PERSONAL/PYTHON/Image_Generator_API/imagenes/HALIFAX_WOMENS_119004414_BLK_3.jpg")</f>
        <v/>
      </c>
      <c r="O231">
        <f>HYPERLINK("imagenes/HALIFAX_WOMENS_119004414_BLK_1.jpg","Ver imagen")</f>
        <v/>
      </c>
      <c r="P231">
        <f>HYPERLINK("imagenes/HALIFAX_WOMENS_119004414_BLK_2.jpg","Ver imagen")</f>
        <v/>
      </c>
      <c r="Q231">
        <f>HYPERLINK("imagenes/HALIFAX_WOMENS_119004414_BLK_3.jpg","Ver imagen")</f>
        <v/>
      </c>
    </row>
    <row r="232">
      <c r="A232" t="inlineStr">
        <is>
          <t>HALIFAX WOMENS</t>
        </is>
      </c>
      <c r="B232" t="inlineStr">
        <is>
          <t>119004414</t>
        </is>
      </c>
      <c r="C232" t="inlineStr">
        <is>
          <t>DUP41149 Softshell b/t Fleece Jacket CBL: 32"</t>
        </is>
      </c>
      <c r="D232" t="inlineStr">
        <is>
          <t>BLK</t>
        </is>
      </c>
      <c r="E232" t="inlineStr">
        <is>
          <t>(en blanco)</t>
        </is>
      </c>
      <c r="F232" t="inlineStr">
        <is>
          <t>D2C</t>
        </is>
      </c>
      <c r="G232" t="inlineStr">
        <is>
          <t>XXL</t>
        </is>
      </c>
      <c r="H232" t="n">
        <v>2</v>
      </c>
      <c r="I232" t="inlineStr">
        <is>
          <t>HALIFAX_WOMENS_119004414_BLK_1.jpg</t>
        </is>
      </c>
      <c r="J232" t="inlineStr">
        <is>
          <t>HALIFAX_WOMENS_119004414_BLK_2.jpg</t>
        </is>
      </c>
      <c r="K232" t="inlineStr">
        <is>
          <t>HALIFAX_WOMENS_119004414_BLK_3.jpg</t>
        </is>
      </c>
      <c r="L232">
        <f>IMAGE("file:///E:/Estudios%20y%20certificaciones/ESTUDIOS%20DE%20PROGRAMMING/PROGRAMMING/PERSONAL/PYTHON/Image_Generator_API/imagenes/HALIFAX_WOMENS_119004414_BLK_1.jpg")</f>
        <v/>
      </c>
      <c r="M232">
        <f>IMAGE("file:///E:/Estudios%20y%20certificaciones/ESTUDIOS%20DE%20PROGRAMMING/PROGRAMMING/PERSONAL/PYTHON/Image_Generator_API/imagenes/HALIFAX_WOMENS_119004414_BLK_2.jpg")</f>
        <v/>
      </c>
      <c r="N232">
        <f>IMAGE("file:///E:/Estudios%20y%20certificaciones/ESTUDIOS%20DE%20PROGRAMMING/PROGRAMMING/PERSONAL/PYTHON/Image_Generator_API/imagenes/HALIFAX_WOMENS_119004414_BLK_3.jpg")</f>
        <v/>
      </c>
      <c r="O232">
        <f>HYPERLINK("imagenes/HALIFAX_WOMENS_119004414_BLK_1.jpg","Ver imagen")</f>
        <v/>
      </c>
      <c r="P232">
        <f>HYPERLINK("imagenes/HALIFAX_WOMENS_119004414_BLK_2.jpg","Ver imagen")</f>
        <v/>
      </c>
      <c r="Q232">
        <f>HYPERLINK("imagenes/HALIFAX_WOMENS_119004414_BLK_3.jpg","Ver imagen")</f>
        <v/>
      </c>
    </row>
    <row r="233">
      <c r="A233" t="inlineStr">
        <is>
          <t>HALIFAX WOMENS</t>
        </is>
      </c>
      <c r="B233" t="inlineStr">
        <is>
          <t>119004414</t>
        </is>
      </c>
      <c r="C233" t="inlineStr">
        <is>
          <t>DUP41149 Softshell b/t Fleece Jacket CBL: 32"</t>
        </is>
      </c>
      <c r="D233" t="inlineStr">
        <is>
          <t>BLK</t>
        </is>
      </c>
      <c r="E233" t="inlineStr">
        <is>
          <t>(en blanco)</t>
        </is>
      </c>
      <c r="F233" t="inlineStr">
        <is>
          <t>(en blanco)</t>
        </is>
      </c>
      <c r="G233" t="inlineStr">
        <is>
          <t>XXL</t>
        </is>
      </c>
      <c r="H233" t="n">
        <v>2</v>
      </c>
      <c r="I233" t="inlineStr">
        <is>
          <t>HALIFAX_WOMENS_119004414_BLK_1.jpg</t>
        </is>
      </c>
      <c r="J233" t="inlineStr">
        <is>
          <t>HALIFAX_WOMENS_119004414_BLK_2.jpg</t>
        </is>
      </c>
      <c r="K233" t="inlineStr">
        <is>
          <t>HALIFAX_WOMENS_119004414_BLK_3.jpg</t>
        </is>
      </c>
      <c r="L233">
        <f>IMAGE("file:///E:/Estudios%20y%20certificaciones/ESTUDIOS%20DE%20PROGRAMMING/PROGRAMMING/PERSONAL/PYTHON/Image_Generator_API/imagenes/HALIFAX_WOMENS_119004414_BLK_1.jpg")</f>
        <v/>
      </c>
      <c r="M233">
        <f>IMAGE("file:///E:/Estudios%20y%20certificaciones/ESTUDIOS%20DE%20PROGRAMMING/PROGRAMMING/PERSONAL/PYTHON/Image_Generator_API/imagenes/HALIFAX_WOMENS_119004414_BLK_2.jpg")</f>
        <v/>
      </c>
      <c r="N233">
        <f>IMAGE("file:///E:/Estudios%20y%20certificaciones/ESTUDIOS%20DE%20PROGRAMMING/PROGRAMMING/PERSONAL/PYTHON/Image_Generator_API/imagenes/HALIFAX_WOMENS_119004414_BLK_3.jpg")</f>
        <v/>
      </c>
      <c r="O233">
        <f>HYPERLINK("imagenes/HALIFAX_WOMENS_119004414_BLK_1.jpg","Ver imagen")</f>
        <v/>
      </c>
      <c r="P233">
        <f>HYPERLINK("imagenes/HALIFAX_WOMENS_119004414_BLK_2.jpg","Ver imagen")</f>
        <v/>
      </c>
      <c r="Q233">
        <f>HYPERLINK("imagenes/HALIFAX_WOMENS_119004414_BLK_3.jpg","Ver imagen")</f>
        <v/>
      </c>
    </row>
    <row r="234">
      <c r="A234" t="inlineStr">
        <is>
          <t>HALIFAX WOMENS</t>
        </is>
      </c>
      <c r="B234" t="inlineStr">
        <is>
          <t>119004414</t>
        </is>
      </c>
      <c r="C234" t="inlineStr">
        <is>
          <t>DUP41149 Softshell b/t Fleece Jacket CBL: 32"</t>
        </is>
      </c>
      <c r="D234" t="inlineStr">
        <is>
          <t>MSG</t>
        </is>
      </c>
      <c r="E234" t="inlineStr">
        <is>
          <t>(en blanco)</t>
        </is>
      </c>
      <c r="F234" t="inlineStr">
        <is>
          <t>D2C</t>
        </is>
      </c>
      <c r="G234" t="inlineStr">
        <is>
          <t>S</t>
        </is>
      </c>
      <c r="H234" t="n">
        <v>15</v>
      </c>
      <c r="I234" t="inlineStr">
        <is>
          <t>HALIFAX_WOMENS_119004414_MSG_2.jpg</t>
        </is>
      </c>
      <c r="J234" t="inlineStr">
        <is>
          <t>HALIFAX_WOMENS_119004414_MSG_3.jpg</t>
        </is>
      </c>
      <c r="L234">
        <f>IMAGE("file:///E:/Estudios%20y%20certificaciones/ESTUDIOS%20DE%20PROGRAMMING/PROGRAMMING/PERSONAL/PYTHON/Image_Generator_API/imagenes/HALIFAX_WOMENS_119004414_MSG_2.jpg")</f>
        <v/>
      </c>
      <c r="M234">
        <f>IMAGE("file:///E:/Estudios%20y%20certificaciones/ESTUDIOS%20DE%20PROGRAMMING/PROGRAMMING/PERSONAL/PYTHON/Image_Generator_API/imagenes/HALIFAX_WOMENS_119004414_MSG_3.jpg")</f>
        <v/>
      </c>
      <c r="O234">
        <f>HYPERLINK("imagenes/HALIFAX_WOMENS_119004414_MSG_2.jpg","Ver imagen")</f>
        <v/>
      </c>
      <c r="P234">
        <f>HYPERLINK("imagenes/HALIFAX_WOMENS_119004414_MSG_3.jpg","Ver imagen")</f>
        <v/>
      </c>
    </row>
    <row r="235">
      <c r="A235" t="inlineStr">
        <is>
          <t>HALIFAX WOMENS</t>
        </is>
      </c>
      <c r="B235" t="inlineStr">
        <is>
          <t>119004414</t>
        </is>
      </c>
      <c r="C235" t="inlineStr">
        <is>
          <t>DUP41149 Softshell b/t Fleece Jacket CBL: 32"</t>
        </is>
      </c>
      <c r="D235" t="inlineStr">
        <is>
          <t>MSG</t>
        </is>
      </c>
      <c r="E235" t="inlineStr">
        <is>
          <t>(en blanco)</t>
        </is>
      </c>
      <c r="F235" t="inlineStr">
        <is>
          <t>D2C</t>
        </is>
      </c>
      <c r="G235" t="inlineStr">
        <is>
          <t>M</t>
        </is>
      </c>
      <c r="H235" t="n">
        <v>12</v>
      </c>
      <c r="I235" t="inlineStr">
        <is>
          <t>HALIFAX_WOMENS_119004414_MSG_2.jpg</t>
        </is>
      </c>
      <c r="J235" t="inlineStr">
        <is>
          <t>HALIFAX_WOMENS_119004414_MSG_3.jpg</t>
        </is>
      </c>
      <c r="L235">
        <f>IMAGE("file:///E:/Estudios%20y%20certificaciones/ESTUDIOS%20DE%20PROGRAMMING/PROGRAMMING/PERSONAL/PYTHON/Image_Generator_API/imagenes/HALIFAX_WOMENS_119004414_MSG_2.jpg")</f>
        <v/>
      </c>
      <c r="M235">
        <f>IMAGE("file:///E:/Estudios%20y%20certificaciones/ESTUDIOS%20DE%20PROGRAMMING/PROGRAMMING/PERSONAL/PYTHON/Image_Generator_API/imagenes/HALIFAX_WOMENS_119004414_MSG_3.jpg")</f>
        <v/>
      </c>
      <c r="O235">
        <f>HYPERLINK("imagenes/HALIFAX_WOMENS_119004414_MSG_2.jpg","Ver imagen")</f>
        <v/>
      </c>
      <c r="P235">
        <f>HYPERLINK("imagenes/HALIFAX_WOMENS_119004414_MSG_3.jpg","Ver imagen")</f>
        <v/>
      </c>
    </row>
    <row r="236">
      <c r="A236" t="inlineStr">
        <is>
          <t>HALIFAX WOMENS</t>
        </is>
      </c>
      <c r="B236" t="inlineStr">
        <is>
          <t>119004414</t>
        </is>
      </c>
      <c r="C236" t="inlineStr">
        <is>
          <t>DUP41149 Softshell b/t Fleece Jacket CBL: 32"</t>
        </is>
      </c>
      <c r="D236" t="inlineStr">
        <is>
          <t>MSG</t>
        </is>
      </c>
      <c r="E236" t="inlineStr">
        <is>
          <t>(en blanco)</t>
        </is>
      </c>
      <c r="F236" t="inlineStr">
        <is>
          <t>D2C</t>
        </is>
      </c>
      <c r="G236" t="inlineStr">
        <is>
          <t>L</t>
        </is>
      </c>
      <c r="H236" t="n">
        <v>6</v>
      </c>
      <c r="I236" t="inlineStr">
        <is>
          <t>HALIFAX_WOMENS_119004414_MSG_2.jpg</t>
        </is>
      </c>
      <c r="J236" t="inlineStr">
        <is>
          <t>HALIFAX_WOMENS_119004414_MSG_3.jpg</t>
        </is>
      </c>
      <c r="L236">
        <f>IMAGE("file:///E:/Estudios%20y%20certificaciones/ESTUDIOS%20DE%20PROGRAMMING/PROGRAMMING/PERSONAL/PYTHON/Image_Generator_API/imagenes/HALIFAX_WOMENS_119004414_MSG_2.jpg")</f>
        <v/>
      </c>
      <c r="M236">
        <f>IMAGE("file:///E:/Estudios%20y%20certificaciones/ESTUDIOS%20DE%20PROGRAMMING/PROGRAMMING/PERSONAL/PYTHON/Image_Generator_API/imagenes/HALIFAX_WOMENS_119004414_MSG_3.jpg")</f>
        <v/>
      </c>
      <c r="O236">
        <f>HYPERLINK("imagenes/HALIFAX_WOMENS_119004414_MSG_2.jpg","Ver imagen")</f>
        <v/>
      </c>
      <c r="P236">
        <f>HYPERLINK("imagenes/HALIFAX_WOMENS_119004414_MSG_3.jpg","Ver imagen")</f>
        <v/>
      </c>
    </row>
    <row r="237">
      <c r="A237" t="inlineStr">
        <is>
          <t>HALIFAX WOMENS</t>
        </is>
      </c>
      <c r="B237" t="inlineStr">
        <is>
          <t>119004414</t>
        </is>
      </c>
      <c r="C237" t="inlineStr">
        <is>
          <t>DUP41149 Softshell b/t Fleece Jacket CBL: 32"</t>
        </is>
      </c>
      <c r="D237" t="inlineStr">
        <is>
          <t>MSG</t>
        </is>
      </c>
      <c r="E237" t="inlineStr">
        <is>
          <t>(en blanco)</t>
        </is>
      </c>
      <c r="F237" t="inlineStr">
        <is>
          <t>D2C</t>
        </is>
      </c>
      <c r="G237" t="inlineStr">
        <is>
          <t>XL</t>
        </is>
      </c>
      <c r="H237" t="n">
        <v>2</v>
      </c>
      <c r="I237" t="inlineStr">
        <is>
          <t>HALIFAX_WOMENS_119004414_MSG_2.jpg</t>
        </is>
      </c>
      <c r="J237" t="inlineStr">
        <is>
          <t>HALIFAX_WOMENS_119004414_MSG_3.jpg</t>
        </is>
      </c>
      <c r="L237">
        <f>IMAGE("file:///E:/Estudios%20y%20certificaciones/ESTUDIOS%20DE%20PROGRAMMING/PROGRAMMING/PERSONAL/PYTHON/Image_Generator_API/imagenes/HALIFAX_WOMENS_119004414_MSG_2.jpg")</f>
        <v/>
      </c>
      <c r="M237">
        <f>IMAGE("file:///E:/Estudios%20y%20certificaciones/ESTUDIOS%20DE%20PROGRAMMING/PROGRAMMING/PERSONAL/PYTHON/Image_Generator_API/imagenes/HALIFAX_WOMENS_119004414_MSG_3.jpg")</f>
        <v/>
      </c>
      <c r="O237">
        <f>HYPERLINK("imagenes/HALIFAX_WOMENS_119004414_MSG_2.jpg","Ver imagen")</f>
        <v/>
      </c>
      <c r="P237">
        <f>HYPERLINK("imagenes/HALIFAX_WOMENS_119004414_MSG_3.jpg","Ver imagen")</f>
        <v/>
      </c>
    </row>
    <row r="238">
      <c r="A238" t="inlineStr">
        <is>
          <t>HALIFAX WOMENS</t>
        </is>
      </c>
      <c r="B238" t="inlineStr">
        <is>
          <t>119004414</t>
        </is>
      </c>
      <c r="C238" t="inlineStr">
        <is>
          <t>DUP41149 Softshell b/t Fleece Jacket CBL: 32"</t>
        </is>
      </c>
      <c r="D238" t="inlineStr">
        <is>
          <t>MSG</t>
        </is>
      </c>
      <c r="E238" t="inlineStr">
        <is>
          <t>(en blanco)</t>
        </is>
      </c>
      <c r="F238" t="inlineStr">
        <is>
          <t>D2C</t>
        </is>
      </c>
      <c r="G238" t="inlineStr">
        <is>
          <t>XXL</t>
        </is>
      </c>
      <c r="H238" t="n">
        <v>15</v>
      </c>
      <c r="I238" t="inlineStr">
        <is>
          <t>HALIFAX_WOMENS_119004414_MSG_2.jpg</t>
        </is>
      </c>
      <c r="J238" t="inlineStr">
        <is>
          <t>HALIFAX_WOMENS_119004414_MSG_3.jpg</t>
        </is>
      </c>
      <c r="L238">
        <f>IMAGE("file:///E:/Estudios%20y%20certificaciones/ESTUDIOS%20DE%20PROGRAMMING/PROGRAMMING/PERSONAL/PYTHON/Image_Generator_API/imagenes/HALIFAX_WOMENS_119004414_MSG_2.jpg")</f>
        <v/>
      </c>
      <c r="M238">
        <f>IMAGE("file:///E:/Estudios%20y%20certificaciones/ESTUDIOS%20DE%20PROGRAMMING/PROGRAMMING/PERSONAL/PYTHON/Image_Generator_API/imagenes/HALIFAX_WOMENS_119004414_MSG_3.jpg")</f>
        <v/>
      </c>
      <c r="O238">
        <f>HYPERLINK("imagenes/HALIFAX_WOMENS_119004414_MSG_2.jpg","Ver imagen")</f>
        <v/>
      </c>
      <c r="P238">
        <f>HYPERLINK("imagenes/HALIFAX_WOMENS_119004414_MSG_3.jpg","Ver imagen")</f>
        <v/>
      </c>
    </row>
    <row r="239">
      <c r="A239" t="inlineStr">
        <is>
          <t>HALIFAX WOMENS</t>
        </is>
      </c>
      <c r="B239" t="inlineStr">
        <is>
          <t>119004414</t>
        </is>
      </c>
      <c r="C239" t="inlineStr">
        <is>
          <t>DUP41149 Softshell b/t Fleece Jacket CBL: 32"</t>
        </is>
      </c>
      <c r="D239" t="inlineStr">
        <is>
          <t>PEB</t>
        </is>
      </c>
      <c r="E239" t="inlineStr">
        <is>
          <t>(en blanco)</t>
        </is>
      </c>
      <c r="F239" t="inlineStr">
        <is>
          <t>D2C</t>
        </is>
      </c>
      <c r="G239" t="inlineStr">
        <is>
          <t>S</t>
        </is>
      </c>
      <c r="H239" t="n">
        <v>15</v>
      </c>
      <c r="I239" t="inlineStr">
        <is>
          <t>HALIFAX_WOMENS_119004414_PEB_1.jpg</t>
        </is>
      </c>
      <c r="J239" t="inlineStr">
        <is>
          <t>HALIFAX_WOMENS_119004414_PEB_3.jpg</t>
        </is>
      </c>
      <c r="L239">
        <f>IMAGE("file:///E:/Estudios%20y%20certificaciones/ESTUDIOS%20DE%20PROGRAMMING/PROGRAMMING/PERSONAL/PYTHON/Image_Generator_API/imagenes/HALIFAX_WOMENS_119004414_PEB_1.jpg")</f>
        <v/>
      </c>
      <c r="M239">
        <f>IMAGE("file:///E:/Estudios%20y%20certificaciones/ESTUDIOS%20DE%20PROGRAMMING/PROGRAMMING/PERSONAL/PYTHON/Image_Generator_API/imagenes/HALIFAX_WOMENS_119004414_PEB_3.jpg")</f>
        <v/>
      </c>
      <c r="O239">
        <f>HYPERLINK("imagenes/HALIFAX_WOMENS_119004414_PEB_1.jpg","Ver imagen")</f>
        <v/>
      </c>
      <c r="P239">
        <f>HYPERLINK("imagenes/HALIFAX_WOMENS_119004414_PEB_3.jpg","Ver imagen")</f>
        <v/>
      </c>
    </row>
    <row r="240">
      <c r="A240" t="inlineStr">
        <is>
          <t>HALIFAX WOMENS</t>
        </is>
      </c>
      <c r="B240" t="inlineStr">
        <is>
          <t>119004414</t>
        </is>
      </c>
      <c r="C240" t="inlineStr">
        <is>
          <t>DUP41149 Softshell b/t Fleece Jacket CBL: 32"</t>
        </is>
      </c>
      <c r="D240" t="inlineStr">
        <is>
          <t>PEB</t>
        </is>
      </c>
      <c r="E240" t="inlineStr">
        <is>
          <t>(en blanco)</t>
        </is>
      </c>
      <c r="F240" t="inlineStr">
        <is>
          <t>D2C</t>
        </is>
      </c>
      <c r="G240" t="inlineStr">
        <is>
          <t>M</t>
        </is>
      </c>
      <c r="H240" t="n">
        <v>2</v>
      </c>
      <c r="I240" t="inlineStr">
        <is>
          <t>HALIFAX_WOMENS_119004414_PEB_1.jpg</t>
        </is>
      </c>
      <c r="J240" t="inlineStr">
        <is>
          <t>HALIFAX_WOMENS_119004414_PEB_3.jpg</t>
        </is>
      </c>
      <c r="L240">
        <f>IMAGE("file:///E:/Estudios%20y%20certificaciones/ESTUDIOS%20DE%20PROGRAMMING/PROGRAMMING/PERSONAL/PYTHON/Image_Generator_API/imagenes/HALIFAX_WOMENS_119004414_PEB_1.jpg")</f>
        <v/>
      </c>
      <c r="M240">
        <f>IMAGE("file:///E:/Estudios%20y%20certificaciones/ESTUDIOS%20DE%20PROGRAMMING/PROGRAMMING/PERSONAL/PYTHON/Image_Generator_API/imagenes/HALIFAX_WOMENS_119004414_PEB_3.jpg")</f>
        <v/>
      </c>
      <c r="O240">
        <f>HYPERLINK("imagenes/HALIFAX_WOMENS_119004414_PEB_1.jpg","Ver imagen")</f>
        <v/>
      </c>
      <c r="P240">
        <f>HYPERLINK("imagenes/HALIFAX_WOMENS_119004414_PEB_3.jpg","Ver imagen")</f>
        <v/>
      </c>
    </row>
    <row r="241">
      <c r="A241" t="inlineStr">
        <is>
          <t>HALIFAX WOMENS</t>
        </is>
      </c>
      <c r="B241" t="inlineStr">
        <is>
          <t>119004414</t>
        </is>
      </c>
      <c r="C241" t="inlineStr">
        <is>
          <t>DUP41149 Softshell b/t Fleece Jacket CBL: 32"</t>
        </is>
      </c>
      <c r="D241" t="inlineStr">
        <is>
          <t>PEB</t>
        </is>
      </c>
      <c r="E241" t="inlineStr">
        <is>
          <t>(en blanco)</t>
        </is>
      </c>
      <c r="F241" t="inlineStr">
        <is>
          <t>D2C</t>
        </is>
      </c>
      <c r="G241" t="inlineStr">
        <is>
          <t>XL</t>
        </is>
      </c>
      <c r="H241" t="n">
        <v>1</v>
      </c>
      <c r="I241" t="inlineStr">
        <is>
          <t>HALIFAX_WOMENS_119004414_PEB_1.jpg</t>
        </is>
      </c>
      <c r="J241" t="inlineStr">
        <is>
          <t>HALIFAX_WOMENS_119004414_PEB_3.jpg</t>
        </is>
      </c>
      <c r="L241">
        <f>IMAGE("file:///E:/Estudios%20y%20certificaciones/ESTUDIOS%20DE%20PROGRAMMING/PROGRAMMING/PERSONAL/PYTHON/Image_Generator_API/imagenes/HALIFAX_WOMENS_119004414_PEB_1.jpg")</f>
        <v/>
      </c>
      <c r="M241">
        <f>IMAGE("file:///E:/Estudios%20y%20certificaciones/ESTUDIOS%20DE%20PROGRAMMING/PROGRAMMING/PERSONAL/PYTHON/Image_Generator_API/imagenes/HALIFAX_WOMENS_119004414_PEB_3.jpg")</f>
        <v/>
      </c>
      <c r="O241">
        <f>HYPERLINK("imagenes/HALIFAX_WOMENS_119004414_PEB_1.jpg","Ver imagen")</f>
        <v/>
      </c>
      <c r="P241">
        <f>HYPERLINK("imagenes/HALIFAX_WOMENS_119004414_PEB_3.jpg","Ver imagen")</f>
        <v/>
      </c>
    </row>
    <row r="242">
      <c r="A242" t="inlineStr">
        <is>
          <t>HALIFAX WOMENS</t>
        </is>
      </c>
      <c r="B242" t="inlineStr">
        <is>
          <t>119004414</t>
        </is>
      </c>
      <c r="C242" t="inlineStr">
        <is>
          <t>DUP41149 Softshell b/t Fleece Jacket CBL: 32"</t>
        </is>
      </c>
      <c r="D242" t="inlineStr">
        <is>
          <t>PEB</t>
        </is>
      </c>
      <c r="E242" t="inlineStr">
        <is>
          <t>(en blanco)</t>
        </is>
      </c>
      <c r="F242" t="inlineStr">
        <is>
          <t>D2C</t>
        </is>
      </c>
      <c r="G242" t="inlineStr">
        <is>
          <t>XXL</t>
        </is>
      </c>
      <c r="H242" t="n">
        <v>7</v>
      </c>
      <c r="I242" t="inlineStr">
        <is>
          <t>HALIFAX_WOMENS_119004414_PEB_1.jpg</t>
        </is>
      </c>
      <c r="J242" t="inlineStr">
        <is>
          <t>HALIFAX_WOMENS_119004414_PEB_3.jpg</t>
        </is>
      </c>
      <c r="L242">
        <f>IMAGE("file:///E:/Estudios%20y%20certificaciones/ESTUDIOS%20DE%20PROGRAMMING/PROGRAMMING/PERSONAL/PYTHON/Image_Generator_API/imagenes/HALIFAX_WOMENS_119004414_PEB_1.jpg")</f>
        <v/>
      </c>
      <c r="M242">
        <f>IMAGE("file:///E:/Estudios%20y%20certificaciones/ESTUDIOS%20DE%20PROGRAMMING/PROGRAMMING/PERSONAL/PYTHON/Image_Generator_API/imagenes/HALIFAX_WOMENS_119004414_PEB_3.jpg")</f>
        <v/>
      </c>
      <c r="O242">
        <f>HYPERLINK("imagenes/HALIFAX_WOMENS_119004414_PEB_1.jpg","Ver imagen")</f>
        <v/>
      </c>
      <c r="P242">
        <f>HYPERLINK("imagenes/HALIFAX_WOMENS_119004414_PEB_3.jpg","Ver imagen")</f>
        <v/>
      </c>
    </row>
    <row r="243">
      <c r="A243" t="inlineStr">
        <is>
          <t>HALIFAX WOMENS</t>
        </is>
      </c>
      <c r="B243" t="inlineStr">
        <is>
          <t>119004767</t>
        </is>
      </c>
      <c r="C243" t="inlineStr">
        <is>
          <t>Soft Tech Puffer Jacket CBL:32"</t>
        </is>
      </c>
      <c r="D243" t="inlineStr">
        <is>
          <t>BLK</t>
        </is>
      </c>
      <c r="E243" t="inlineStr">
        <is>
          <t>(en blanco)</t>
        </is>
      </c>
      <c r="F243" t="inlineStr">
        <is>
          <t>D2C</t>
        </is>
      </c>
      <c r="G243" t="inlineStr">
        <is>
          <t>S</t>
        </is>
      </c>
      <c r="H243" t="n">
        <v>57</v>
      </c>
      <c r="I243" t="inlineStr">
        <is>
          <t>HALIFAX_WOMENS_119004767_BLK_1.jpg</t>
        </is>
      </c>
      <c r="J243" t="inlineStr">
        <is>
          <t>HALIFAX_WOMENS_119004767_BLK_2.jpg</t>
        </is>
      </c>
      <c r="K243" t="inlineStr">
        <is>
          <t>HALIFAX_WOMENS_119004767_BLK_3.jpg</t>
        </is>
      </c>
      <c r="L243">
        <f>IMAGE("file:///E:/Estudios%20y%20certificaciones/ESTUDIOS%20DE%20PROGRAMMING/PROGRAMMING/PERSONAL/PYTHON/Image_Generator_API/imagenes/HALIFAX_WOMENS_119004767_BLK_1.jpg")</f>
        <v/>
      </c>
      <c r="M243">
        <f>IMAGE("file:///E:/Estudios%20y%20certificaciones/ESTUDIOS%20DE%20PROGRAMMING/PROGRAMMING/PERSONAL/PYTHON/Image_Generator_API/imagenes/HALIFAX_WOMENS_119004767_BLK_2.jpg")</f>
        <v/>
      </c>
      <c r="N243">
        <f>IMAGE("file:///E:/Estudios%20y%20certificaciones/ESTUDIOS%20DE%20PROGRAMMING/PROGRAMMING/PERSONAL/PYTHON/Image_Generator_API/imagenes/HALIFAX_WOMENS_119004767_BLK_3.jpg")</f>
        <v/>
      </c>
      <c r="O243">
        <f>HYPERLINK("imagenes/HALIFAX_WOMENS_119004767_BLK_1.jpg","Ver imagen")</f>
        <v/>
      </c>
      <c r="P243">
        <f>HYPERLINK("imagenes/HALIFAX_WOMENS_119004767_BLK_2.jpg","Ver imagen")</f>
        <v/>
      </c>
      <c r="Q243">
        <f>HYPERLINK("imagenes/HALIFAX_WOMENS_119004767_BLK_3.jpg","Ver imagen")</f>
        <v/>
      </c>
    </row>
    <row r="244">
      <c r="A244" t="inlineStr">
        <is>
          <t>HALIFAX WOMENS</t>
        </is>
      </c>
      <c r="B244" t="inlineStr">
        <is>
          <t>119004767</t>
        </is>
      </c>
      <c r="C244" t="inlineStr">
        <is>
          <t>Soft Tech Puffer Jacket CBL:32"</t>
        </is>
      </c>
      <c r="D244" t="inlineStr">
        <is>
          <t>BLK</t>
        </is>
      </c>
      <c r="E244" t="inlineStr">
        <is>
          <t>(en blanco)</t>
        </is>
      </c>
      <c r="F244" t="inlineStr">
        <is>
          <t>D2C</t>
        </is>
      </c>
      <c r="G244" t="inlineStr">
        <is>
          <t>M</t>
        </is>
      </c>
      <c r="H244" t="n">
        <v>55</v>
      </c>
      <c r="I244" t="inlineStr">
        <is>
          <t>HALIFAX_WOMENS_119004767_BLK_1.jpg</t>
        </is>
      </c>
      <c r="J244" t="inlineStr">
        <is>
          <t>HALIFAX_WOMENS_119004767_BLK_2.jpg</t>
        </is>
      </c>
      <c r="K244" t="inlineStr">
        <is>
          <t>HALIFAX_WOMENS_119004767_BLK_3.jpg</t>
        </is>
      </c>
      <c r="L244">
        <f>IMAGE("file:///E:/Estudios%20y%20certificaciones/ESTUDIOS%20DE%20PROGRAMMING/PROGRAMMING/PERSONAL/PYTHON/Image_Generator_API/imagenes/HALIFAX_WOMENS_119004767_BLK_1.jpg")</f>
        <v/>
      </c>
      <c r="M244">
        <f>IMAGE("file:///E:/Estudios%20y%20certificaciones/ESTUDIOS%20DE%20PROGRAMMING/PROGRAMMING/PERSONAL/PYTHON/Image_Generator_API/imagenes/HALIFAX_WOMENS_119004767_BLK_2.jpg")</f>
        <v/>
      </c>
      <c r="N244">
        <f>IMAGE("file:///E:/Estudios%20y%20certificaciones/ESTUDIOS%20DE%20PROGRAMMING/PROGRAMMING/PERSONAL/PYTHON/Image_Generator_API/imagenes/HALIFAX_WOMENS_119004767_BLK_3.jpg")</f>
        <v/>
      </c>
      <c r="O244">
        <f>HYPERLINK("imagenes/HALIFAX_WOMENS_119004767_BLK_1.jpg","Ver imagen")</f>
        <v/>
      </c>
      <c r="P244">
        <f>HYPERLINK("imagenes/HALIFAX_WOMENS_119004767_BLK_2.jpg","Ver imagen")</f>
        <v/>
      </c>
      <c r="Q244">
        <f>HYPERLINK("imagenes/HALIFAX_WOMENS_119004767_BLK_3.jpg","Ver imagen")</f>
        <v/>
      </c>
    </row>
    <row r="245">
      <c r="A245" t="inlineStr">
        <is>
          <t>HALIFAX WOMENS</t>
        </is>
      </c>
      <c r="B245" t="inlineStr">
        <is>
          <t>119004767</t>
        </is>
      </c>
      <c r="C245" t="inlineStr">
        <is>
          <t>Soft Tech Puffer Jacket CBL:32"</t>
        </is>
      </c>
      <c r="D245" t="inlineStr">
        <is>
          <t>BLK</t>
        </is>
      </c>
      <c r="E245" t="inlineStr">
        <is>
          <t>(en blanco)</t>
        </is>
      </c>
      <c r="F245" t="inlineStr">
        <is>
          <t>D2C</t>
        </is>
      </c>
      <c r="G245" t="inlineStr">
        <is>
          <t>L</t>
        </is>
      </c>
      <c r="H245" t="n">
        <v>55</v>
      </c>
      <c r="I245" t="inlineStr">
        <is>
          <t>HALIFAX_WOMENS_119004767_BLK_1.jpg</t>
        </is>
      </c>
      <c r="J245" t="inlineStr">
        <is>
          <t>HALIFAX_WOMENS_119004767_BLK_2.jpg</t>
        </is>
      </c>
      <c r="K245" t="inlineStr">
        <is>
          <t>HALIFAX_WOMENS_119004767_BLK_3.jpg</t>
        </is>
      </c>
      <c r="L245">
        <f>IMAGE("file:///E:/Estudios%20y%20certificaciones/ESTUDIOS%20DE%20PROGRAMMING/PROGRAMMING/PERSONAL/PYTHON/Image_Generator_API/imagenes/HALIFAX_WOMENS_119004767_BLK_1.jpg")</f>
        <v/>
      </c>
      <c r="M245">
        <f>IMAGE("file:///E:/Estudios%20y%20certificaciones/ESTUDIOS%20DE%20PROGRAMMING/PROGRAMMING/PERSONAL/PYTHON/Image_Generator_API/imagenes/HALIFAX_WOMENS_119004767_BLK_2.jpg")</f>
        <v/>
      </c>
      <c r="N245">
        <f>IMAGE("file:///E:/Estudios%20y%20certificaciones/ESTUDIOS%20DE%20PROGRAMMING/PROGRAMMING/PERSONAL/PYTHON/Image_Generator_API/imagenes/HALIFAX_WOMENS_119004767_BLK_3.jpg")</f>
        <v/>
      </c>
      <c r="O245">
        <f>HYPERLINK("imagenes/HALIFAX_WOMENS_119004767_BLK_1.jpg","Ver imagen")</f>
        <v/>
      </c>
      <c r="P245">
        <f>HYPERLINK("imagenes/HALIFAX_WOMENS_119004767_BLK_2.jpg","Ver imagen")</f>
        <v/>
      </c>
      <c r="Q245">
        <f>HYPERLINK("imagenes/HALIFAX_WOMENS_119004767_BLK_3.jpg","Ver imagen")</f>
        <v/>
      </c>
    </row>
    <row r="246">
      <c r="A246" t="inlineStr">
        <is>
          <t>HALIFAX WOMENS</t>
        </is>
      </c>
      <c r="B246" t="inlineStr">
        <is>
          <t>119004767</t>
        </is>
      </c>
      <c r="C246" t="inlineStr">
        <is>
          <t>Soft Tech Puffer Jacket CBL:32"</t>
        </is>
      </c>
      <c r="D246" t="inlineStr">
        <is>
          <t>BLK</t>
        </is>
      </c>
      <c r="E246" t="inlineStr">
        <is>
          <t>(en blanco)</t>
        </is>
      </c>
      <c r="F246" t="inlineStr">
        <is>
          <t>D2C</t>
        </is>
      </c>
      <c r="G246" t="inlineStr">
        <is>
          <t>XL</t>
        </is>
      </c>
      <c r="H246" t="n">
        <v>55</v>
      </c>
      <c r="I246" t="inlineStr">
        <is>
          <t>HALIFAX_WOMENS_119004767_BLK_1.jpg</t>
        </is>
      </c>
      <c r="J246" t="inlineStr">
        <is>
          <t>HALIFAX_WOMENS_119004767_BLK_2.jpg</t>
        </is>
      </c>
      <c r="K246" t="inlineStr">
        <is>
          <t>HALIFAX_WOMENS_119004767_BLK_3.jpg</t>
        </is>
      </c>
      <c r="L246">
        <f>IMAGE("file:///E:/Estudios%20y%20certificaciones/ESTUDIOS%20DE%20PROGRAMMING/PROGRAMMING/PERSONAL/PYTHON/Image_Generator_API/imagenes/HALIFAX_WOMENS_119004767_BLK_1.jpg")</f>
        <v/>
      </c>
      <c r="M246">
        <f>IMAGE("file:///E:/Estudios%20y%20certificaciones/ESTUDIOS%20DE%20PROGRAMMING/PROGRAMMING/PERSONAL/PYTHON/Image_Generator_API/imagenes/HALIFAX_WOMENS_119004767_BLK_2.jpg")</f>
        <v/>
      </c>
      <c r="N246">
        <f>IMAGE("file:///E:/Estudios%20y%20certificaciones/ESTUDIOS%20DE%20PROGRAMMING/PROGRAMMING/PERSONAL/PYTHON/Image_Generator_API/imagenes/HALIFAX_WOMENS_119004767_BLK_3.jpg")</f>
        <v/>
      </c>
      <c r="O246">
        <f>HYPERLINK("imagenes/HALIFAX_WOMENS_119004767_BLK_1.jpg","Ver imagen")</f>
        <v/>
      </c>
      <c r="P246">
        <f>HYPERLINK("imagenes/HALIFAX_WOMENS_119004767_BLK_2.jpg","Ver imagen")</f>
        <v/>
      </c>
      <c r="Q246">
        <f>HYPERLINK("imagenes/HALIFAX_WOMENS_119004767_BLK_3.jpg","Ver imagen")</f>
        <v/>
      </c>
    </row>
    <row r="247">
      <c r="A247" t="inlineStr">
        <is>
          <t>HALIFAX WOMENS</t>
        </is>
      </c>
      <c r="B247" t="inlineStr">
        <is>
          <t>119004767</t>
        </is>
      </c>
      <c r="C247" t="inlineStr">
        <is>
          <t>Soft Tech Puffer Jacket CBL:32"</t>
        </is>
      </c>
      <c r="D247" t="inlineStr">
        <is>
          <t>BLK</t>
        </is>
      </c>
      <c r="E247" t="inlineStr">
        <is>
          <t>(en blanco)</t>
        </is>
      </c>
      <c r="F247" t="inlineStr">
        <is>
          <t>D2C</t>
        </is>
      </c>
      <c r="G247" t="inlineStr">
        <is>
          <t>XXL</t>
        </is>
      </c>
      <c r="H247" t="n">
        <v>55</v>
      </c>
      <c r="I247" t="inlineStr">
        <is>
          <t>HALIFAX_WOMENS_119004767_BLK_1.jpg</t>
        </is>
      </c>
      <c r="J247" t="inlineStr">
        <is>
          <t>HALIFAX_WOMENS_119004767_BLK_2.jpg</t>
        </is>
      </c>
      <c r="K247" t="inlineStr">
        <is>
          <t>HALIFAX_WOMENS_119004767_BLK_3.jpg</t>
        </is>
      </c>
      <c r="L247">
        <f>IMAGE("file:///E:/Estudios%20y%20certificaciones/ESTUDIOS%20DE%20PROGRAMMING/PROGRAMMING/PERSONAL/PYTHON/Image_Generator_API/imagenes/HALIFAX_WOMENS_119004767_BLK_1.jpg")</f>
        <v/>
      </c>
      <c r="M247">
        <f>IMAGE("file:///E:/Estudios%20y%20certificaciones/ESTUDIOS%20DE%20PROGRAMMING/PROGRAMMING/PERSONAL/PYTHON/Image_Generator_API/imagenes/HALIFAX_WOMENS_119004767_BLK_2.jpg")</f>
        <v/>
      </c>
      <c r="N247">
        <f>IMAGE("file:///E:/Estudios%20y%20certificaciones/ESTUDIOS%20DE%20PROGRAMMING/PROGRAMMING/PERSONAL/PYTHON/Image_Generator_API/imagenes/HALIFAX_WOMENS_119004767_BLK_3.jpg")</f>
        <v/>
      </c>
      <c r="O247">
        <f>HYPERLINK("imagenes/HALIFAX_WOMENS_119004767_BLK_1.jpg","Ver imagen")</f>
        <v/>
      </c>
      <c r="P247">
        <f>HYPERLINK("imagenes/HALIFAX_WOMENS_119004767_BLK_2.jpg","Ver imagen")</f>
        <v/>
      </c>
      <c r="Q247">
        <f>HYPERLINK("imagenes/HALIFAX_WOMENS_119004767_BLK_3.jpg","Ver imagen")</f>
        <v/>
      </c>
    </row>
    <row r="248">
      <c r="A248" t="inlineStr">
        <is>
          <t>HALIFAX WOMENS</t>
        </is>
      </c>
      <c r="B248" t="inlineStr">
        <is>
          <t>119004767</t>
        </is>
      </c>
      <c r="C248" t="inlineStr">
        <is>
          <t>Soft Tech Puffer Jacket CBL:32"</t>
        </is>
      </c>
      <c r="D248" t="inlineStr">
        <is>
          <t>DES</t>
        </is>
      </c>
      <c r="E248" t="inlineStr">
        <is>
          <t>(en blanco)</t>
        </is>
      </c>
      <c r="F248" t="inlineStr">
        <is>
          <t>D2C</t>
        </is>
      </c>
      <c r="G248" t="inlineStr">
        <is>
          <t>S</t>
        </is>
      </c>
      <c r="H248" t="n">
        <v>38</v>
      </c>
      <c r="I248" t="inlineStr">
        <is>
          <t>HALIFAX_WOMENS_119004767_DES_1.jpg</t>
        </is>
      </c>
      <c r="J248" t="inlineStr">
        <is>
          <t>HALIFAX_WOMENS_119004767_DES_2.jpg</t>
        </is>
      </c>
      <c r="K248" t="inlineStr">
        <is>
          <t>HALIFAX_WOMENS_119004767_DES_3.jpg</t>
        </is>
      </c>
      <c r="L248">
        <f>IMAGE("file:///E:/Estudios%20y%20certificaciones/ESTUDIOS%20DE%20PROGRAMMING/PROGRAMMING/PERSONAL/PYTHON/Image_Generator_API/imagenes/HALIFAX_WOMENS_119004767_DES_1.jpg")</f>
        <v/>
      </c>
      <c r="M248">
        <f>IMAGE("file:///E:/Estudios%20y%20certificaciones/ESTUDIOS%20DE%20PROGRAMMING/PROGRAMMING/PERSONAL/PYTHON/Image_Generator_API/imagenes/HALIFAX_WOMENS_119004767_DES_2.jpg")</f>
        <v/>
      </c>
      <c r="N248">
        <f>IMAGE("file:///E:/Estudios%20y%20certificaciones/ESTUDIOS%20DE%20PROGRAMMING/PROGRAMMING/PERSONAL/PYTHON/Image_Generator_API/imagenes/HALIFAX_WOMENS_119004767_DES_3.jpg")</f>
        <v/>
      </c>
      <c r="O248">
        <f>HYPERLINK("imagenes/HALIFAX_WOMENS_119004767_DES_1.jpg","Ver imagen")</f>
        <v/>
      </c>
      <c r="P248">
        <f>HYPERLINK("imagenes/HALIFAX_WOMENS_119004767_DES_2.jpg","Ver imagen")</f>
        <v/>
      </c>
      <c r="Q248">
        <f>HYPERLINK("imagenes/HALIFAX_WOMENS_119004767_DES_3.jpg","Ver imagen")</f>
        <v/>
      </c>
    </row>
    <row r="249">
      <c r="A249" t="inlineStr">
        <is>
          <t>HALIFAX WOMENS</t>
        </is>
      </c>
      <c r="B249" t="inlineStr">
        <is>
          <t>119004767</t>
        </is>
      </c>
      <c r="C249" t="inlineStr">
        <is>
          <t>Soft Tech Puffer Jacket CBL:32"</t>
        </is>
      </c>
      <c r="D249" t="inlineStr">
        <is>
          <t>DES</t>
        </is>
      </c>
      <c r="E249" t="inlineStr">
        <is>
          <t>(en blanco)</t>
        </is>
      </c>
      <c r="F249" t="inlineStr">
        <is>
          <t>D2C</t>
        </is>
      </c>
      <c r="G249" t="inlineStr">
        <is>
          <t>M</t>
        </is>
      </c>
      <c r="H249" t="n">
        <v>38</v>
      </c>
      <c r="I249" t="inlineStr">
        <is>
          <t>HALIFAX_WOMENS_119004767_DES_1.jpg</t>
        </is>
      </c>
      <c r="J249" t="inlineStr">
        <is>
          <t>HALIFAX_WOMENS_119004767_DES_2.jpg</t>
        </is>
      </c>
      <c r="K249" t="inlineStr">
        <is>
          <t>HALIFAX_WOMENS_119004767_DES_3.jpg</t>
        </is>
      </c>
      <c r="L249">
        <f>IMAGE("file:///E:/Estudios%20y%20certificaciones/ESTUDIOS%20DE%20PROGRAMMING/PROGRAMMING/PERSONAL/PYTHON/Image_Generator_API/imagenes/HALIFAX_WOMENS_119004767_DES_1.jpg")</f>
        <v/>
      </c>
      <c r="M249">
        <f>IMAGE("file:///E:/Estudios%20y%20certificaciones/ESTUDIOS%20DE%20PROGRAMMING/PROGRAMMING/PERSONAL/PYTHON/Image_Generator_API/imagenes/HALIFAX_WOMENS_119004767_DES_2.jpg")</f>
        <v/>
      </c>
      <c r="N249">
        <f>IMAGE("file:///E:/Estudios%20y%20certificaciones/ESTUDIOS%20DE%20PROGRAMMING/PROGRAMMING/PERSONAL/PYTHON/Image_Generator_API/imagenes/HALIFAX_WOMENS_119004767_DES_3.jpg")</f>
        <v/>
      </c>
      <c r="O249">
        <f>HYPERLINK("imagenes/HALIFAX_WOMENS_119004767_DES_1.jpg","Ver imagen")</f>
        <v/>
      </c>
      <c r="P249">
        <f>HYPERLINK("imagenes/HALIFAX_WOMENS_119004767_DES_2.jpg","Ver imagen")</f>
        <v/>
      </c>
      <c r="Q249">
        <f>HYPERLINK("imagenes/HALIFAX_WOMENS_119004767_DES_3.jpg","Ver imagen")</f>
        <v/>
      </c>
    </row>
    <row r="250">
      <c r="A250" t="inlineStr">
        <is>
          <t>HALIFAX WOMENS</t>
        </is>
      </c>
      <c r="B250" t="inlineStr">
        <is>
          <t>119004767</t>
        </is>
      </c>
      <c r="C250" t="inlineStr">
        <is>
          <t>Soft Tech Puffer Jacket CBL:32"</t>
        </is>
      </c>
      <c r="D250" t="inlineStr">
        <is>
          <t>DES</t>
        </is>
      </c>
      <c r="E250" t="inlineStr">
        <is>
          <t>(en blanco)</t>
        </is>
      </c>
      <c r="F250" t="inlineStr">
        <is>
          <t>D2C</t>
        </is>
      </c>
      <c r="G250" t="inlineStr">
        <is>
          <t>L</t>
        </is>
      </c>
      <c r="H250" t="n">
        <v>38</v>
      </c>
      <c r="I250" t="inlineStr">
        <is>
          <t>HALIFAX_WOMENS_119004767_DES_1.jpg</t>
        </is>
      </c>
      <c r="J250" t="inlineStr">
        <is>
          <t>HALIFAX_WOMENS_119004767_DES_2.jpg</t>
        </is>
      </c>
      <c r="K250" t="inlineStr">
        <is>
          <t>HALIFAX_WOMENS_119004767_DES_3.jpg</t>
        </is>
      </c>
      <c r="L250">
        <f>IMAGE("file:///E:/Estudios%20y%20certificaciones/ESTUDIOS%20DE%20PROGRAMMING/PROGRAMMING/PERSONAL/PYTHON/Image_Generator_API/imagenes/HALIFAX_WOMENS_119004767_DES_1.jpg")</f>
        <v/>
      </c>
      <c r="M250">
        <f>IMAGE("file:///E:/Estudios%20y%20certificaciones/ESTUDIOS%20DE%20PROGRAMMING/PROGRAMMING/PERSONAL/PYTHON/Image_Generator_API/imagenes/HALIFAX_WOMENS_119004767_DES_2.jpg")</f>
        <v/>
      </c>
      <c r="N250">
        <f>IMAGE("file:///E:/Estudios%20y%20certificaciones/ESTUDIOS%20DE%20PROGRAMMING/PROGRAMMING/PERSONAL/PYTHON/Image_Generator_API/imagenes/HALIFAX_WOMENS_119004767_DES_3.jpg")</f>
        <v/>
      </c>
      <c r="O250">
        <f>HYPERLINK("imagenes/HALIFAX_WOMENS_119004767_DES_1.jpg","Ver imagen")</f>
        <v/>
      </c>
      <c r="P250">
        <f>HYPERLINK("imagenes/HALIFAX_WOMENS_119004767_DES_2.jpg","Ver imagen")</f>
        <v/>
      </c>
      <c r="Q250">
        <f>HYPERLINK("imagenes/HALIFAX_WOMENS_119004767_DES_3.jpg","Ver imagen")</f>
        <v/>
      </c>
    </row>
    <row r="251">
      <c r="A251" t="inlineStr">
        <is>
          <t>HALIFAX WOMENS</t>
        </is>
      </c>
      <c r="B251" t="inlineStr">
        <is>
          <t>119004767</t>
        </is>
      </c>
      <c r="C251" t="inlineStr">
        <is>
          <t>Soft Tech Puffer Jacket CBL:32"</t>
        </is>
      </c>
      <c r="D251" t="inlineStr">
        <is>
          <t>DES</t>
        </is>
      </c>
      <c r="E251" t="inlineStr">
        <is>
          <t>(en blanco)</t>
        </is>
      </c>
      <c r="F251" t="inlineStr">
        <is>
          <t>D2C</t>
        </is>
      </c>
      <c r="G251" t="inlineStr">
        <is>
          <t>XL</t>
        </is>
      </c>
      <c r="H251" t="n">
        <v>38</v>
      </c>
      <c r="I251" t="inlineStr">
        <is>
          <t>HALIFAX_WOMENS_119004767_DES_1.jpg</t>
        </is>
      </c>
      <c r="J251" t="inlineStr">
        <is>
          <t>HALIFAX_WOMENS_119004767_DES_2.jpg</t>
        </is>
      </c>
      <c r="K251" t="inlineStr">
        <is>
          <t>HALIFAX_WOMENS_119004767_DES_3.jpg</t>
        </is>
      </c>
      <c r="L251">
        <f>IMAGE("file:///E:/Estudios%20y%20certificaciones/ESTUDIOS%20DE%20PROGRAMMING/PROGRAMMING/PERSONAL/PYTHON/Image_Generator_API/imagenes/HALIFAX_WOMENS_119004767_DES_1.jpg")</f>
        <v/>
      </c>
      <c r="M251">
        <f>IMAGE("file:///E:/Estudios%20y%20certificaciones/ESTUDIOS%20DE%20PROGRAMMING/PROGRAMMING/PERSONAL/PYTHON/Image_Generator_API/imagenes/HALIFAX_WOMENS_119004767_DES_2.jpg")</f>
        <v/>
      </c>
      <c r="N251">
        <f>IMAGE("file:///E:/Estudios%20y%20certificaciones/ESTUDIOS%20DE%20PROGRAMMING/PROGRAMMING/PERSONAL/PYTHON/Image_Generator_API/imagenes/HALIFAX_WOMENS_119004767_DES_3.jpg")</f>
        <v/>
      </c>
      <c r="O251">
        <f>HYPERLINK("imagenes/HALIFAX_WOMENS_119004767_DES_1.jpg","Ver imagen")</f>
        <v/>
      </c>
      <c r="P251">
        <f>HYPERLINK("imagenes/HALIFAX_WOMENS_119004767_DES_2.jpg","Ver imagen")</f>
        <v/>
      </c>
      <c r="Q251">
        <f>HYPERLINK("imagenes/HALIFAX_WOMENS_119004767_DES_3.jpg","Ver imagen")</f>
        <v/>
      </c>
    </row>
    <row r="252">
      <c r="A252" t="inlineStr">
        <is>
          <t>HALIFAX WOMENS</t>
        </is>
      </c>
      <c r="B252" t="inlineStr">
        <is>
          <t>119004767</t>
        </is>
      </c>
      <c r="C252" t="inlineStr">
        <is>
          <t>Soft Tech Puffer Jacket CBL:32"</t>
        </is>
      </c>
      <c r="D252" t="inlineStr">
        <is>
          <t>DES</t>
        </is>
      </c>
      <c r="E252" t="inlineStr">
        <is>
          <t>(en blanco)</t>
        </is>
      </c>
      <c r="F252" t="inlineStr">
        <is>
          <t>D2C</t>
        </is>
      </c>
      <c r="G252" t="inlineStr">
        <is>
          <t>XXL</t>
        </is>
      </c>
      <c r="H252" t="n">
        <v>38</v>
      </c>
      <c r="I252" t="inlineStr">
        <is>
          <t>HALIFAX_WOMENS_119004767_DES_1.jpg</t>
        </is>
      </c>
      <c r="J252" t="inlineStr">
        <is>
          <t>HALIFAX_WOMENS_119004767_DES_2.jpg</t>
        </is>
      </c>
      <c r="K252" t="inlineStr">
        <is>
          <t>HALIFAX_WOMENS_119004767_DES_3.jpg</t>
        </is>
      </c>
      <c r="L252">
        <f>IMAGE("file:///E:/Estudios%20y%20certificaciones/ESTUDIOS%20DE%20PROGRAMMING/PROGRAMMING/PERSONAL/PYTHON/Image_Generator_API/imagenes/HALIFAX_WOMENS_119004767_DES_1.jpg")</f>
        <v/>
      </c>
      <c r="M252">
        <f>IMAGE("file:///E:/Estudios%20y%20certificaciones/ESTUDIOS%20DE%20PROGRAMMING/PROGRAMMING/PERSONAL/PYTHON/Image_Generator_API/imagenes/HALIFAX_WOMENS_119004767_DES_2.jpg")</f>
        <v/>
      </c>
      <c r="N252">
        <f>IMAGE("file:///E:/Estudios%20y%20certificaciones/ESTUDIOS%20DE%20PROGRAMMING/PROGRAMMING/PERSONAL/PYTHON/Image_Generator_API/imagenes/HALIFAX_WOMENS_119004767_DES_3.jpg")</f>
        <v/>
      </c>
      <c r="O252">
        <f>HYPERLINK("imagenes/HALIFAX_WOMENS_119004767_DES_1.jpg","Ver imagen")</f>
        <v/>
      </c>
      <c r="P252">
        <f>HYPERLINK("imagenes/HALIFAX_WOMENS_119004767_DES_2.jpg","Ver imagen")</f>
        <v/>
      </c>
      <c r="Q252">
        <f>HYPERLINK("imagenes/HALIFAX_WOMENS_119004767_DES_3.jpg","Ver imagen")</f>
        <v/>
      </c>
    </row>
    <row r="253">
      <c r="A253" t="inlineStr">
        <is>
          <t>HALIFAX WOMENS</t>
        </is>
      </c>
      <c r="B253" t="inlineStr">
        <is>
          <t>119004767</t>
        </is>
      </c>
      <c r="C253" t="inlineStr">
        <is>
          <t>Soft Tech Puffer Jacket CBL:32"</t>
        </is>
      </c>
      <c r="D253" t="inlineStr">
        <is>
          <t>DGN</t>
        </is>
      </c>
      <c r="E253" t="inlineStr">
        <is>
          <t>(en blanco)</t>
        </is>
      </c>
      <c r="F253" t="inlineStr">
        <is>
          <t>D2C</t>
        </is>
      </c>
      <c r="G253" t="inlineStr">
        <is>
          <t>S</t>
        </is>
      </c>
      <c r="H253" t="n">
        <v>38</v>
      </c>
      <c r="I253" t="inlineStr">
        <is>
          <t>HALIFAX_WOMENS_119004767_DGN_1.jpg</t>
        </is>
      </c>
      <c r="J253" t="inlineStr">
        <is>
          <t>HALIFAX_WOMENS_119004767_DGN_2.jpg</t>
        </is>
      </c>
      <c r="L253">
        <f>IMAGE("file:///E:/Estudios%20y%20certificaciones/ESTUDIOS%20DE%20PROGRAMMING/PROGRAMMING/PERSONAL/PYTHON/Image_Generator_API/imagenes/HALIFAX_WOMENS_119004767_DGN_1.jpg")</f>
        <v/>
      </c>
      <c r="M253">
        <f>IMAGE("file:///E:/Estudios%20y%20certificaciones/ESTUDIOS%20DE%20PROGRAMMING/PROGRAMMING/PERSONAL/PYTHON/Image_Generator_API/imagenes/HALIFAX_WOMENS_119004767_DGN_2.jpg")</f>
        <v/>
      </c>
      <c r="O253">
        <f>HYPERLINK("imagenes/HALIFAX_WOMENS_119004767_DGN_1.jpg","Ver imagen")</f>
        <v/>
      </c>
      <c r="P253">
        <f>HYPERLINK("imagenes/HALIFAX_WOMENS_119004767_DGN_2.jpg","Ver imagen")</f>
        <v/>
      </c>
    </row>
    <row r="254">
      <c r="A254" t="inlineStr">
        <is>
          <t>HALIFAX WOMENS</t>
        </is>
      </c>
      <c r="B254" t="inlineStr">
        <is>
          <t>119004767</t>
        </is>
      </c>
      <c r="C254" t="inlineStr">
        <is>
          <t>Soft Tech Puffer Jacket CBL:32"</t>
        </is>
      </c>
      <c r="D254" t="inlineStr">
        <is>
          <t>DGN</t>
        </is>
      </c>
      <c r="E254" t="inlineStr">
        <is>
          <t>(en blanco)</t>
        </is>
      </c>
      <c r="F254" t="inlineStr">
        <is>
          <t>D2C</t>
        </is>
      </c>
      <c r="G254" t="inlineStr">
        <is>
          <t>M</t>
        </is>
      </c>
      <c r="H254" t="n">
        <v>38</v>
      </c>
      <c r="I254" t="inlineStr">
        <is>
          <t>HALIFAX_WOMENS_119004767_DGN_1.jpg</t>
        </is>
      </c>
      <c r="J254" t="inlineStr">
        <is>
          <t>HALIFAX_WOMENS_119004767_DGN_2.jpg</t>
        </is>
      </c>
      <c r="L254">
        <f>IMAGE("file:///E:/Estudios%20y%20certificaciones/ESTUDIOS%20DE%20PROGRAMMING/PROGRAMMING/PERSONAL/PYTHON/Image_Generator_API/imagenes/HALIFAX_WOMENS_119004767_DGN_1.jpg")</f>
        <v/>
      </c>
      <c r="M254">
        <f>IMAGE("file:///E:/Estudios%20y%20certificaciones/ESTUDIOS%20DE%20PROGRAMMING/PROGRAMMING/PERSONAL/PYTHON/Image_Generator_API/imagenes/HALIFAX_WOMENS_119004767_DGN_2.jpg")</f>
        <v/>
      </c>
      <c r="O254">
        <f>HYPERLINK("imagenes/HALIFAX_WOMENS_119004767_DGN_1.jpg","Ver imagen")</f>
        <v/>
      </c>
      <c r="P254">
        <f>HYPERLINK("imagenes/HALIFAX_WOMENS_119004767_DGN_2.jpg","Ver imagen")</f>
        <v/>
      </c>
    </row>
    <row r="255">
      <c r="A255" t="inlineStr">
        <is>
          <t>HALIFAX WOMENS</t>
        </is>
      </c>
      <c r="B255" t="inlineStr">
        <is>
          <t>119004767</t>
        </is>
      </c>
      <c r="C255" t="inlineStr">
        <is>
          <t>Soft Tech Puffer Jacket CBL:32"</t>
        </is>
      </c>
      <c r="D255" t="inlineStr">
        <is>
          <t>DGN</t>
        </is>
      </c>
      <c r="E255" t="inlineStr">
        <is>
          <t>(en blanco)</t>
        </is>
      </c>
      <c r="F255" t="inlineStr">
        <is>
          <t>D2C</t>
        </is>
      </c>
      <c r="G255" t="inlineStr">
        <is>
          <t>L</t>
        </is>
      </c>
      <c r="H255" t="n">
        <v>38</v>
      </c>
      <c r="I255" t="inlineStr">
        <is>
          <t>HALIFAX_WOMENS_119004767_DGN_1.jpg</t>
        </is>
      </c>
      <c r="J255" t="inlineStr">
        <is>
          <t>HALIFAX_WOMENS_119004767_DGN_2.jpg</t>
        </is>
      </c>
      <c r="L255">
        <f>IMAGE("file:///E:/Estudios%20y%20certificaciones/ESTUDIOS%20DE%20PROGRAMMING/PROGRAMMING/PERSONAL/PYTHON/Image_Generator_API/imagenes/HALIFAX_WOMENS_119004767_DGN_1.jpg")</f>
        <v/>
      </c>
      <c r="M255">
        <f>IMAGE("file:///E:/Estudios%20y%20certificaciones/ESTUDIOS%20DE%20PROGRAMMING/PROGRAMMING/PERSONAL/PYTHON/Image_Generator_API/imagenes/HALIFAX_WOMENS_119004767_DGN_2.jpg")</f>
        <v/>
      </c>
      <c r="O255">
        <f>HYPERLINK("imagenes/HALIFAX_WOMENS_119004767_DGN_1.jpg","Ver imagen")</f>
        <v/>
      </c>
      <c r="P255">
        <f>HYPERLINK("imagenes/HALIFAX_WOMENS_119004767_DGN_2.jpg","Ver imagen")</f>
        <v/>
      </c>
    </row>
    <row r="256">
      <c r="A256" t="inlineStr">
        <is>
          <t>HALIFAX WOMENS</t>
        </is>
      </c>
      <c r="B256" t="inlineStr">
        <is>
          <t>119004767</t>
        </is>
      </c>
      <c r="C256" t="inlineStr">
        <is>
          <t>Soft Tech Puffer Jacket CBL:32"</t>
        </is>
      </c>
      <c r="D256" t="inlineStr">
        <is>
          <t>DGN</t>
        </is>
      </c>
      <c r="E256" t="inlineStr">
        <is>
          <t>(en blanco)</t>
        </is>
      </c>
      <c r="F256" t="inlineStr">
        <is>
          <t>D2C</t>
        </is>
      </c>
      <c r="G256" t="inlineStr">
        <is>
          <t>XL</t>
        </is>
      </c>
      <c r="H256" t="n">
        <v>38</v>
      </c>
      <c r="I256" t="inlineStr">
        <is>
          <t>HALIFAX_WOMENS_119004767_DGN_1.jpg</t>
        </is>
      </c>
      <c r="J256" t="inlineStr">
        <is>
          <t>HALIFAX_WOMENS_119004767_DGN_2.jpg</t>
        </is>
      </c>
      <c r="L256">
        <f>IMAGE("file:///E:/Estudios%20y%20certificaciones/ESTUDIOS%20DE%20PROGRAMMING/PROGRAMMING/PERSONAL/PYTHON/Image_Generator_API/imagenes/HALIFAX_WOMENS_119004767_DGN_1.jpg")</f>
        <v/>
      </c>
      <c r="M256">
        <f>IMAGE("file:///E:/Estudios%20y%20certificaciones/ESTUDIOS%20DE%20PROGRAMMING/PROGRAMMING/PERSONAL/PYTHON/Image_Generator_API/imagenes/HALIFAX_WOMENS_119004767_DGN_2.jpg")</f>
        <v/>
      </c>
      <c r="O256">
        <f>HYPERLINK("imagenes/HALIFAX_WOMENS_119004767_DGN_1.jpg","Ver imagen")</f>
        <v/>
      </c>
      <c r="P256">
        <f>HYPERLINK("imagenes/HALIFAX_WOMENS_119004767_DGN_2.jpg","Ver imagen")</f>
        <v/>
      </c>
    </row>
    <row r="257">
      <c r="A257" t="inlineStr">
        <is>
          <t>HALIFAX WOMENS</t>
        </is>
      </c>
      <c r="B257" t="inlineStr">
        <is>
          <t>119004767</t>
        </is>
      </c>
      <c r="C257" t="inlineStr">
        <is>
          <t>Soft Tech Puffer Jacket CBL:32"</t>
        </is>
      </c>
      <c r="D257" t="inlineStr">
        <is>
          <t>DGN</t>
        </is>
      </c>
      <c r="E257" t="inlineStr">
        <is>
          <t>(en blanco)</t>
        </is>
      </c>
      <c r="F257" t="inlineStr">
        <is>
          <t>D2C</t>
        </is>
      </c>
      <c r="G257" t="inlineStr">
        <is>
          <t>XXL</t>
        </is>
      </c>
      <c r="H257" t="n">
        <v>38</v>
      </c>
      <c r="I257" t="inlineStr">
        <is>
          <t>HALIFAX_WOMENS_119004767_DGN_1.jpg</t>
        </is>
      </c>
      <c r="J257" t="inlineStr">
        <is>
          <t>HALIFAX_WOMENS_119004767_DGN_2.jpg</t>
        </is>
      </c>
      <c r="L257">
        <f>IMAGE("file:///E:/Estudios%20y%20certificaciones/ESTUDIOS%20DE%20PROGRAMMING/PROGRAMMING/PERSONAL/PYTHON/Image_Generator_API/imagenes/HALIFAX_WOMENS_119004767_DGN_1.jpg")</f>
        <v/>
      </c>
      <c r="M257">
        <f>IMAGE("file:///E:/Estudios%20y%20certificaciones/ESTUDIOS%20DE%20PROGRAMMING/PROGRAMMING/PERSONAL/PYTHON/Image_Generator_API/imagenes/HALIFAX_WOMENS_119004767_DGN_2.jpg")</f>
        <v/>
      </c>
      <c r="O257">
        <f>HYPERLINK("imagenes/HALIFAX_WOMENS_119004767_DGN_1.jpg","Ver imagen")</f>
        <v/>
      </c>
      <c r="P257">
        <f>HYPERLINK("imagenes/HALIFAX_WOMENS_119004767_DGN_2.jpg","Ver imagen")</f>
        <v/>
      </c>
    </row>
    <row r="258">
      <c r="A258" t="inlineStr">
        <is>
          <t>HALIFAX WOMENS</t>
        </is>
      </c>
      <c r="B258" t="inlineStr">
        <is>
          <t>119004767</t>
        </is>
      </c>
      <c r="C258" t="inlineStr">
        <is>
          <t>Soft Tech Puffer Jacket CBL:32"</t>
        </is>
      </c>
      <c r="D258" t="inlineStr">
        <is>
          <t>PRL</t>
        </is>
      </c>
      <c r="E258" t="inlineStr">
        <is>
          <t>(en blanco)</t>
        </is>
      </c>
      <c r="F258" t="inlineStr">
        <is>
          <t>D2C</t>
        </is>
      </c>
      <c r="G258" t="inlineStr">
        <is>
          <t>S</t>
        </is>
      </c>
      <c r="H258" t="n">
        <v>38</v>
      </c>
      <c r="I258" t="inlineStr">
        <is>
          <t>HALIFAX_WOMENS_119004767_PRL_1.jpg</t>
        </is>
      </c>
      <c r="J258" t="inlineStr">
        <is>
          <t>HALIFAX_WOMENS_119004767_PRL_2.jpg</t>
        </is>
      </c>
      <c r="K258" t="inlineStr">
        <is>
          <t>HALIFAX_WOMENS_119004767_PRL_3.jpg</t>
        </is>
      </c>
      <c r="L258">
        <f>IMAGE("file:///E:/Estudios%20y%20certificaciones/ESTUDIOS%20DE%20PROGRAMMING/PROGRAMMING/PERSONAL/PYTHON/Image_Generator_API/imagenes/HALIFAX_WOMENS_119004767_PRL_1.jpg")</f>
        <v/>
      </c>
      <c r="M258">
        <f>IMAGE("file:///E:/Estudios%20y%20certificaciones/ESTUDIOS%20DE%20PROGRAMMING/PROGRAMMING/PERSONAL/PYTHON/Image_Generator_API/imagenes/HALIFAX_WOMENS_119004767_PRL_2.jpg")</f>
        <v/>
      </c>
      <c r="N258">
        <f>IMAGE("file:///E:/Estudios%20y%20certificaciones/ESTUDIOS%20DE%20PROGRAMMING/PROGRAMMING/PERSONAL/PYTHON/Image_Generator_API/imagenes/HALIFAX_WOMENS_119004767_PRL_3.jpg")</f>
        <v/>
      </c>
      <c r="O258">
        <f>HYPERLINK("imagenes/HALIFAX_WOMENS_119004767_PRL_1.jpg","Ver imagen")</f>
        <v/>
      </c>
      <c r="P258">
        <f>HYPERLINK("imagenes/HALIFAX_WOMENS_119004767_PRL_2.jpg","Ver imagen")</f>
        <v/>
      </c>
      <c r="Q258">
        <f>HYPERLINK("imagenes/HALIFAX_WOMENS_119004767_PRL_3.jpg","Ver imagen")</f>
        <v/>
      </c>
    </row>
    <row r="259">
      <c r="A259" t="inlineStr">
        <is>
          <t>HALIFAX WOMENS</t>
        </is>
      </c>
      <c r="B259" t="inlineStr">
        <is>
          <t>119004767</t>
        </is>
      </c>
      <c r="C259" t="inlineStr">
        <is>
          <t>Soft Tech Puffer Jacket CBL:32"</t>
        </is>
      </c>
      <c r="D259" t="inlineStr">
        <is>
          <t>PRL</t>
        </is>
      </c>
      <c r="E259" t="inlineStr">
        <is>
          <t>(en blanco)</t>
        </is>
      </c>
      <c r="F259" t="inlineStr">
        <is>
          <t>D2C</t>
        </is>
      </c>
      <c r="G259" t="inlineStr">
        <is>
          <t>M</t>
        </is>
      </c>
      <c r="H259" t="n">
        <v>38</v>
      </c>
      <c r="I259" t="inlineStr">
        <is>
          <t>HALIFAX_WOMENS_119004767_PRL_1.jpg</t>
        </is>
      </c>
      <c r="J259" t="inlineStr">
        <is>
          <t>HALIFAX_WOMENS_119004767_PRL_2.jpg</t>
        </is>
      </c>
      <c r="K259" t="inlineStr">
        <is>
          <t>HALIFAX_WOMENS_119004767_PRL_3.jpg</t>
        </is>
      </c>
      <c r="L259">
        <f>IMAGE("file:///E:/Estudios%20y%20certificaciones/ESTUDIOS%20DE%20PROGRAMMING/PROGRAMMING/PERSONAL/PYTHON/Image_Generator_API/imagenes/HALIFAX_WOMENS_119004767_PRL_1.jpg")</f>
        <v/>
      </c>
      <c r="M259">
        <f>IMAGE("file:///E:/Estudios%20y%20certificaciones/ESTUDIOS%20DE%20PROGRAMMING/PROGRAMMING/PERSONAL/PYTHON/Image_Generator_API/imagenes/HALIFAX_WOMENS_119004767_PRL_2.jpg")</f>
        <v/>
      </c>
      <c r="N259">
        <f>IMAGE("file:///E:/Estudios%20y%20certificaciones/ESTUDIOS%20DE%20PROGRAMMING/PROGRAMMING/PERSONAL/PYTHON/Image_Generator_API/imagenes/HALIFAX_WOMENS_119004767_PRL_3.jpg")</f>
        <v/>
      </c>
      <c r="O259">
        <f>HYPERLINK("imagenes/HALIFAX_WOMENS_119004767_PRL_1.jpg","Ver imagen")</f>
        <v/>
      </c>
      <c r="P259">
        <f>HYPERLINK("imagenes/HALIFAX_WOMENS_119004767_PRL_2.jpg","Ver imagen")</f>
        <v/>
      </c>
      <c r="Q259">
        <f>HYPERLINK("imagenes/HALIFAX_WOMENS_119004767_PRL_3.jpg","Ver imagen")</f>
        <v/>
      </c>
    </row>
    <row r="260">
      <c r="A260" t="inlineStr">
        <is>
          <t>HALIFAX WOMENS</t>
        </is>
      </c>
      <c r="B260" t="inlineStr">
        <is>
          <t>119004767</t>
        </is>
      </c>
      <c r="C260" t="inlineStr">
        <is>
          <t>Soft Tech Puffer Jacket CBL:32"</t>
        </is>
      </c>
      <c r="D260" t="inlineStr">
        <is>
          <t>PRL</t>
        </is>
      </c>
      <c r="E260" t="inlineStr">
        <is>
          <t>(en blanco)</t>
        </is>
      </c>
      <c r="F260" t="inlineStr">
        <is>
          <t>D2C</t>
        </is>
      </c>
      <c r="G260" t="inlineStr">
        <is>
          <t>L</t>
        </is>
      </c>
      <c r="H260" t="n">
        <v>37</v>
      </c>
      <c r="I260" t="inlineStr">
        <is>
          <t>HALIFAX_WOMENS_119004767_PRL_1.jpg</t>
        </is>
      </c>
      <c r="J260" t="inlineStr">
        <is>
          <t>HALIFAX_WOMENS_119004767_PRL_2.jpg</t>
        </is>
      </c>
      <c r="K260" t="inlineStr">
        <is>
          <t>HALIFAX_WOMENS_119004767_PRL_3.jpg</t>
        </is>
      </c>
      <c r="L260">
        <f>IMAGE("file:///E:/Estudios%20y%20certificaciones/ESTUDIOS%20DE%20PROGRAMMING/PROGRAMMING/PERSONAL/PYTHON/Image_Generator_API/imagenes/HALIFAX_WOMENS_119004767_PRL_1.jpg")</f>
        <v/>
      </c>
      <c r="M260">
        <f>IMAGE("file:///E:/Estudios%20y%20certificaciones/ESTUDIOS%20DE%20PROGRAMMING/PROGRAMMING/PERSONAL/PYTHON/Image_Generator_API/imagenes/HALIFAX_WOMENS_119004767_PRL_2.jpg")</f>
        <v/>
      </c>
      <c r="N260">
        <f>IMAGE("file:///E:/Estudios%20y%20certificaciones/ESTUDIOS%20DE%20PROGRAMMING/PROGRAMMING/PERSONAL/PYTHON/Image_Generator_API/imagenes/HALIFAX_WOMENS_119004767_PRL_3.jpg")</f>
        <v/>
      </c>
      <c r="O260">
        <f>HYPERLINK("imagenes/HALIFAX_WOMENS_119004767_PRL_1.jpg","Ver imagen")</f>
        <v/>
      </c>
      <c r="P260">
        <f>HYPERLINK("imagenes/HALIFAX_WOMENS_119004767_PRL_2.jpg","Ver imagen")</f>
        <v/>
      </c>
      <c r="Q260">
        <f>HYPERLINK("imagenes/HALIFAX_WOMENS_119004767_PRL_3.jpg","Ver imagen")</f>
        <v/>
      </c>
    </row>
    <row r="261">
      <c r="A261" t="inlineStr">
        <is>
          <t>HALIFAX WOMENS</t>
        </is>
      </c>
      <c r="B261" t="inlineStr">
        <is>
          <t>119004767</t>
        </is>
      </c>
      <c r="C261" t="inlineStr">
        <is>
          <t>Soft Tech Puffer Jacket CBL:32"</t>
        </is>
      </c>
      <c r="D261" t="inlineStr">
        <is>
          <t>PRL</t>
        </is>
      </c>
      <c r="E261" t="inlineStr">
        <is>
          <t>(en blanco)</t>
        </is>
      </c>
      <c r="F261" t="inlineStr">
        <is>
          <t>D2C</t>
        </is>
      </c>
      <c r="G261" t="inlineStr">
        <is>
          <t>XL</t>
        </is>
      </c>
      <c r="H261" t="n">
        <v>38</v>
      </c>
      <c r="I261" t="inlineStr">
        <is>
          <t>HALIFAX_WOMENS_119004767_PRL_1.jpg</t>
        </is>
      </c>
      <c r="J261" t="inlineStr">
        <is>
          <t>HALIFAX_WOMENS_119004767_PRL_2.jpg</t>
        </is>
      </c>
      <c r="K261" t="inlineStr">
        <is>
          <t>HALIFAX_WOMENS_119004767_PRL_3.jpg</t>
        </is>
      </c>
      <c r="L261">
        <f>IMAGE("file:///E:/Estudios%20y%20certificaciones/ESTUDIOS%20DE%20PROGRAMMING/PROGRAMMING/PERSONAL/PYTHON/Image_Generator_API/imagenes/HALIFAX_WOMENS_119004767_PRL_1.jpg")</f>
        <v/>
      </c>
      <c r="M261">
        <f>IMAGE("file:///E:/Estudios%20y%20certificaciones/ESTUDIOS%20DE%20PROGRAMMING/PROGRAMMING/PERSONAL/PYTHON/Image_Generator_API/imagenes/HALIFAX_WOMENS_119004767_PRL_2.jpg")</f>
        <v/>
      </c>
      <c r="N261">
        <f>IMAGE("file:///E:/Estudios%20y%20certificaciones/ESTUDIOS%20DE%20PROGRAMMING/PROGRAMMING/PERSONAL/PYTHON/Image_Generator_API/imagenes/HALIFAX_WOMENS_119004767_PRL_3.jpg")</f>
        <v/>
      </c>
      <c r="O261">
        <f>HYPERLINK("imagenes/HALIFAX_WOMENS_119004767_PRL_1.jpg","Ver imagen")</f>
        <v/>
      </c>
      <c r="P261">
        <f>HYPERLINK("imagenes/HALIFAX_WOMENS_119004767_PRL_2.jpg","Ver imagen")</f>
        <v/>
      </c>
      <c r="Q261">
        <f>HYPERLINK("imagenes/HALIFAX_WOMENS_119004767_PRL_3.jpg","Ver imagen")</f>
        <v/>
      </c>
    </row>
    <row r="262">
      <c r="A262" t="inlineStr">
        <is>
          <t>HALIFAX WOMENS</t>
        </is>
      </c>
      <c r="B262" t="inlineStr">
        <is>
          <t>119004767</t>
        </is>
      </c>
      <c r="C262" t="inlineStr">
        <is>
          <t>Soft Tech Puffer Jacket CBL:32"</t>
        </is>
      </c>
      <c r="D262" t="inlineStr">
        <is>
          <t>PRL</t>
        </is>
      </c>
      <c r="E262" t="inlineStr">
        <is>
          <t>(en blanco)</t>
        </is>
      </c>
      <c r="F262" t="inlineStr">
        <is>
          <t>D2C</t>
        </is>
      </c>
      <c r="G262" t="inlineStr">
        <is>
          <t>XXL</t>
        </is>
      </c>
      <c r="H262" t="n">
        <v>38</v>
      </c>
      <c r="I262" t="inlineStr">
        <is>
          <t>HALIFAX_WOMENS_119004767_PRL_1.jpg</t>
        </is>
      </c>
      <c r="J262" t="inlineStr">
        <is>
          <t>HALIFAX_WOMENS_119004767_PRL_2.jpg</t>
        </is>
      </c>
      <c r="K262" t="inlineStr">
        <is>
          <t>HALIFAX_WOMENS_119004767_PRL_3.jpg</t>
        </is>
      </c>
      <c r="L262">
        <f>IMAGE("file:///E:/Estudios%20y%20certificaciones/ESTUDIOS%20DE%20PROGRAMMING/PROGRAMMING/PERSONAL/PYTHON/Image_Generator_API/imagenes/HALIFAX_WOMENS_119004767_PRL_1.jpg")</f>
        <v/>
      </c>
      <c r="M262">
        <f>IMAGE("file:///E:/Estudios%20y%20certificaciones/ESTUDIOS%20DE%20PROGRAMMING/PROGRAMMING/PERSONAL/PYTHON/Image_Generator_API/imagenes/HALIFAX_WOMENS_119004767_PRL_2.jpg")</f>
        <v/>
      </c>
      <c r="N262">
        <f>IMAGE("file:///E:/Estudios%20y%20certificaciones/ESTUDIOS%20DE%20PROGRAMMING/PROGRAMMING/PERSONAL/PYTHON/Image_Generator_API/imagenes/HALIFAX_WOMENS_119004767_PRL_3.jpg")</f>
        <v/>
      </c>
      <c r="O262">
        <f>HYPERLINK("imagenes/HALIFAX_WOMENS_119004767_PRL_1.jpg","Ver imagen")</f>
        <v/>
      </c>
      <c r="P262">
        <f>HYPERLINK("imagenes/HALIFAX_WOMENS_119004767_PRL_2.jpg","Ver imagen")</f>
        <v/>
      </c>
      <c r="Q262">
        <f>HYPERLINK("imagenes/HALIFAX_WOMENS_119004767_PRL_3.jpg","Ver imagen")</f>
        <v/>
      </c>
    </row>
    <row r="263">
      <c r="A263" t="inlineStr">
        <is>
          <t>HALIFAX WOMENS</t>
        </is>
      </c>
      <c r="B263" t="inlineStr">
        <is>
          <t>119004773</t>
        </is>
      </c>
      <c r="C263" t="inlineStr">
        <is>
          <t>DUP41425B Softshell b/t Fleece Anorak CBL: 32"</t>
        </is>
      </c>
      <c r="D263" t="inlineStr">
        <is>
          <t>BLK</t>
        </is>
      </c>
      <c r="E263" t="inlineStr">
        <is>
          <t>(en blanco)</t>
        </is>
      </c>
      <c r="F263" t="inlineStr">
        <is>
          <t>D2C</t>
        </is>
      </c>
      <c r="G263" t="inlineStr">
        <is>
          <t>S</t>
        </is>
      </c>
      <c r="H263" t="n">
        <v>79</v>
      </c>
      <c r="I263" t="inlineStr">
        <is>
          <t>HALIFAX_WOMENS_119004773_BLK_1.jpg</t>
        </is>
      </c>
      <c r="J263" t="inlineStr">
        <is>
          <t>HALIFAX_WOMENS_119004773_BLK_2.jpg</t>
        </is>
      </c>
      <c r="K263" t="inlineStr">
        <is>
          <t>HALIFAX_WOMENS_119004773_BLK_3.jpg</t>
        </is>
      </c>
      <c r="L263">
        <f>IMAGE("file:///E:/Estudios%20y%20certificaciones/ESTUDIOS%20DE%20PROGRAMMING/PROGRAMMING/PERSONAL/PYTHON/Image_Generator_API/imagenes/HALIFAX_WOMENS_119004773_BLK_1.jpg")</f>
        <v/>
      </c>
      <c r="M263">
        <f>IMAGE("file:///E:/Estudios%20y%20certificaciones/ESTUDIOS%20DE%20PROGRAMMING/PROGRAMMING/PERSONAL/PYTHON/Image_Generator_API/imagenes/HALIFAX_WOMENS_119004773_BLK_2.jpg")</f>
        <v/>
      </c>
      <c r="N263">
        <f>IMAGE("file:///E:/Estudios%20y%20certificaciones/ESTUDIOS%20DE%20PROGRAMMING/PROGRAMMING/PERSONAL/PYTHON/Image_Generator_API/imagenes/HALIFAX_WOMENS_119004773_BLK_3.jpg")</f>
        <v/>
      </c>
      <c r="O263">
        <f>HYPERLINK("imagenes/HALIFAX_WOMENS_119004773_BLK_1.jpg","Ver imagen")</f>
        <v/>
      </c>
      <c r="P263">
        <f>HYPERLINK("imagenes/HALIFAX_WOMENS_119004773_BLK_2.jpg","Ver imagen")</f>
        <v/>
      </c>
      <c r="Q263">
        <f>HYPERLINK("imagenes/HALIFAX_WOMENS_119004773_BLK_3.jpg","Ver imagen")</f>
        <v/>
      </c>
    </row>
    <row r="264">
      <c r="A264" t="inlineStr">
        <is>
          <t>HALIFAX WOMENS</t>
        </is>
      </c>
      <c r="B264" t="inlineStr">
        <is>
          <t>119004773</t>
        </is>
      </c>
      <c r="C264" t="inlineStr">
        <is>
          <t>DUP41425B Softshell b/t Fleece Anorak CBL: 32"</t>
        </is>
      </c>
      <c r="D264" t="inlineStr">
        <is>
          <t>BLK</t>
        </is>
      </c>
      <c r="E264" t="inlineStr">
        <is>
          <t>(en blanco)</t>
        </is>
      </c>
      <c r="F264" t="inlineStr">
        <is>
          <t>D2C</t>
        </is>
      </c>
      <c r="G264" t="inlineStr">
        <is>
          <t>M</t>
        </is>
      </c>
      <c r="H264" t="n">
        <v>86</v>
      </c>
      <c r="I264" t="inlineStr">
        <is>
          <t>HALIFAX_WOMENS_119004773_BLK_1.jpg</t>
        </is>
      </c>
      <c r="J264" t="inlineStr">
        <is>
          <t>HALIFAX_WOMENS_119004773_BLK_2.jpg</t>
        </is>
      </c>
      <c r="K264" t="inlineStr">
        <is>
          <t>HALIFAX_WOMENS_119004773_BLK_3.jpg</t>
        </is>
      </c>
      <c r="L264">
        <f>IMAGE("file:///E:/Estudios%20y%20certificaciones/ESTUDIOS%20DE%20PROGRAMMING/PROGRAMMING/PERSONAL/PYTHON/Image_Generator_API/imagenes/HALIFAX_WOMENS_119004773_BLK_1.jpg")</f>
        <v/>
      </c>
      <c r="M264">
        <f>IMAGE("file:///E:/Estudios%20y%20certificaciones/ESTUDIOS%20DE%20PROGRAMMING/PROGRAMMING/PERSONAL/PYTHON/Image_Generator_API/imagenes/HALIFAX_WOMENS_119004773_BLK_2.jpg")</f>
        <v/>
      </c>
      <c r="N264">
        <f>IMAGE("file:///E:/Estudios%20y%20certificaciones/ESTUDIOS%20DE%20PROGRAMMING/PROGRAMMING/PERSONAL/PYTHON/Image_Generator_API/imagenes/HALIFAX_WOMENS_119004773_BLK_3.jpg")</f>
        <v/>
      </c>
      <c r="O264">
        <f>HYPERLINK("imagenes/HALIFAX_WOMENS_119004773_BLK_1.jpg","Ver imagen")</f>
        <v/>
      </c>
      <c r="P264">
        <f>HYPERLINK("imagenes/HALIFAX_WOMENS_119004773_BLK_2.jpg","Ver imagen")</f>
        <v/>
      </c>
      <c r="Q264">
        <f>HYPERLINK("imagenes/HALIFAX_WOMENS_119004773_BLK_3.jpg","Ver imagen")</f>
        <v/>
      </c>
    </row>
    <row r="265">
      <c r="A265" t="inlineStr">
        <is>
          <t>HALIFAX WOMENS</t>
        </is>
      </c>
      <c r="B265" t="inlineStr">
        <is>
          <t>119004773</t>
        </is>
      </c>
      <c r="C265" t="inlineStr">
        <is>
          <t>DUP41425B Softshell b/t Fleece Anorak CBL: 32"</t>
        </is>
      </c>
      <c r="D265" t="inlineStr">
        <is>
          <t>BLK</t>
        </is>
      </c>
      <c r="E265" t="inlineStr">
        <is>
          <t>(en blanco)</t>
        </is>
      </c>
      <c r="F265" t="inlineStr">
        <is>
          <t>D2C</t>
        </is>
      </c>
      <c r="G265" t="inlineStr">
        <is>
          <t>L</t>
        </is>
      </c>
      <c r="H265" t="n">
        <v>13</v>
      </c>
      <c r="I265" t="inlineStr">
        <is>
          <t>HALIFAX_WOMENS_119004773_BLK_1.jpg</t>
        </is>
      </c>
      <c r="J265" t="inlineStr">
        <is>
          <t>HALIFAX_WOMENS_119004773_BLK_2.jpg</t>
        </is>
      </c>
      <c r="K265" t="inlineStr">
        <is>
          <t>HALIFAX_WOMENS_119004773_BLK_3.jpg</t>
        </is>
      </c>
      <c r="L265">
        <f>IMAGE("file:///E:/Estudios%20y%20certificaciones/ESTUDIOS%20DE%20PROGRAMMING/PROGRAMMING/PERSONAL/PYTHON/Image_Generator_API/imagenes/HALIFAX_WOMENS_119004773_BLK_1.jpg")</f>
        <v/>
      </c>
      <c r="M265">
        <f>IMAGE("file:///E:/Estudios%20y%20certificaciones/ESTUDIOS%20DE%20PROGRAMMING/PROGRAMMING/PERSONAL/PYTHON/Image_Generator_API/imagenes/HALIFAX_WOMENS_119004773_BLK_2.jpg")</f>
        <v/>
      </c>
      <c r="N265">
        <f>IMAGE("file:///E:/Estudios%20y%20certificaciones/ESTUDIOS%20DE%20PROGRAMMING/PROGRAMMING/PERSONAL/PYTHON/Image_Generator_API/imagenes/HALIFAX_WOMENS_119004773_BLK_3.jpg")</f>
        <v/>
      </c>
      <c r="O265">
        <f>HYPERLINK("imagenes/HALIFAX_WOMENS_119004773_BLK_1.jpg","Ver imagen")</f>
        <v/>
      </c>
      <c r="P265">
        <f>HYPERLINK("imagenes/HALIFAX_WOMENS_119004773_BLK_2.jpg","Ver imagen")</f>
        <v/>
      </c>
      <c r="Q265">
        <f>HYPERLINK("imagenes/HALIFAX_WOMENS_119004773_BLK_3.jpg","Ver imagen")</f>
        <v/>
      </c>
    </row>
    <row r="266">
      <c r="A266" t="inlineStr">
        <is>
          <t>HALIFAX WOMENS</t>
        </is>
      </c>
      <c r="B266" t="inlineStr">
        <is>
          <t>119004773</t>
        </is>
      </c>
      <c r="C266" t="inlineStr">
        <is>
          <t>DUP41425B Softshell b/t Fleece Anorak CBL: 32"</t>
        </is>
      </c>
      <c r="D266" t="inlineStr">
        <is>
          <t>BLK</t>
        </is>
      </c>
      <c r="E266" t="inlineStr">
        <is>
          <t>(en blanco)</t>
        </is>
      </c>
      <c r="F266" t="inlineStr">
        <is>
          <t>D2C</t>
        </is>
      </c>
      <c r="G266" t="inlineStr">
        <is>
          <t>XL</t>
        </is>
      </c>
      <c r="H266" t="n">
        <v>1</v>
      </c>
      <c r="I266" t="inlineStr">
        <is>
          <t>HALIFAX_WOMENS_119004773_BLK_1.jpg</t>
        </is>
      </c>
      <c r="J266" t="inlineStr">
        <is>
          <t>HALIFAX_WOMENS_119004773_BLK_2.jpg</t>
        </is>
      </c>
      <c r="K266" t="inlineStr">
        <is>
          <t>HALIFAX_WOMENS_119004773_BLK_3.jpg</t>
        </is>
      </c>
      <c r="L266">
        <f>IMAGE("file:///E:/Estudios%20y%20certificaciones/ESTUDIOS%20DE%20PROGRAMMING/PROGRAMMING/PERSONAL/PYTHON/Image_Generator_API/imagenes/HALIFAX_WOMENS_119004773_BLK_1.jpg")</f>
        <v/>
      </c>
      <c r="M266">
        <f>IMAGE("file:///E:/Estudios%20y%20certificaciones/ESTUDIOS%20DE%20PROGRAMMING/PROGRAMMING/PERSONAL/PYTHON/Image_Generator_API/imagenes/HALIFAX_WOMENS_119004773_BLK_2.jpg")</f>
        <v/>
      </c>
      <c r="N266">
        <f>IMAGE("file:///E:/Estudios%20y%20certificaciones/ESTUDIOS%20DE%20PROGRAMMING/PROGRAMMING/PERSONAL/PYTHON/Image_Generator_API/imagenes/HALIFAX_WOMENS_119004773_BLK_3.jpg")</f>
        <v/>
      </c>
      <c r="O266">
        <f>HYPERLINK("imagenes/HALIFAX_WOMENS_119004773_BLK_1.jpg","Ver imagen")</f>
        <v/>
      </c>
      <c r="P266">
        <f>HYPERLINK("imagenes/HALIFAX_WOMENS_119004773_BLK_2.jpg","Ver imagen")</f>
        <v/>
      </c>
      <c r="Q266">
        <f>HYPERLINK("imagenes/HALIFAX_WOMENS_119004773_BLK_3.jpg","Ver imagen")</f>
        <v/>
      </c>
    </row>
    <row r="267">
      <c r="A267" t="inlineStr">
        <is>
          <t>HALIFAX WOMENS</t>
        </is>
      </c>
      <c r="B267" t="inlineStr">
        <is>
          <t>119004773</t>
        </is>
      </c>
      <c r="C267" t="inlineStr">
        <is>
          <t>DUP41425B Softshell b/t Fleece Anorak CBL: 32"</t>
        </is>
      </c>
      <c r="D267" t="inlineStr">
        <is>
          <t>BLK</t>
        </is>
      </c>
      <c r="E267" t="inlineStr">
        <is>
          <t>(en blanco)</t>
        </is>
      </c>
      <c r="F267" t="inlineStr">
        <is>
          <t>(en blanco)</t>
        </is>
      </c>
      <c r="G267" t="inlineStr">
        <is>
          <t>S</t>
        </is>
      </c>
      <c r="H267" t="n">
        <v>1</v>
      </c>
      <c r="I267" t="inlineStr">
        <is>
          <t>HALIFAX_WOMENS_119004773_BLK_1.jpg</t>
        </is>
      </c>
      <c r="J267" t="inlineStr">
        <is>
          <t>HALIFAX_WOMENS_119004773_BLK_2.jpg</t>
        </is>
      </c>
      <c r="K267" t="inlineStr">
        <is>
          <t>HALIFAX_WOMENS_119004773_BLK_3.jpg</t>
        </is>
      </c>
      <c r="L267">
        <f>IMAGE("file:///E:/Estudios%20y%20certificaciones/ESTUDIOS%20DE%20PROGRAMMING/PROGRAMMING/PERSONAL/PYTHON/Image_Generator_API/imagenes/HALIFAX_WOMENS_119004773_BLK_1.jpg")</f>
        <v/>
      </c>
      <c r="M267">
        <f>IMAGE("file:///E:/Estudios%20y%20certificaciones/ESTUDIOS%20DE%20PROGRAMMING/PROGRAMMING/PERSONAL/PYTHON/Image_Generator_API/imagenes/HALIFAX_WOMENS_119004773_BLK_2.jpg")</f>
        <v/>
      </c>
      <c r="N267">
        <f>IMAGE("file:///E:/Estudios%20y%20certificaciones/ESTUDIOS%20DE%20PROGRAMMING/PROGRAMMING/PERSONAL/PYTHON/Image_Generator_API/imagenes/HALIFAX_WOMENS_119004773_BLK_3.jpg")</f>
        <v/>
      </c>
      <c r="O267">
        <f>HYPERLINK("imagenes/HALIFAX_WOMENS_119004773_BLK_1.jpg","Ver imagen")</f>
        <v/>
      </c>
      <c r="P267">
        <f>HYPERLINK("imagenes/HALIFAX_WOMENS_119004773_BLK_2.jpg","Ver imagen")</f>
        <v/>
      </c>
      <c r="Q267">
        <f>HYPERLINK("imagenes/HALIFAX_WOMENS_119004773_BLK_3.jpg","Ver imagen")</f>
        <v/>
      </c>
    </row>
    <row r="268">
      <c r="A268" t="inlineStr">
        <is>
          <t>HALIFAX WOMENS</t>
        </is>
      </c>
      <c r="B268" t="inlineStr">
        <is>
          <t>119004773</t>
        </is>
      </c>
      <c r="C268" t="inlineStr">
        <is>
          <t>DUP41425B Softshell b/t Fleece Anorak CBL: 32"</t>
        </is>
      </c>
      <c r="D268" t="inlineStr">
        <is>
          <t>BLK</t>
        </is>
      </c>
      <c r="E268" t="inlineStr">
        <is>
          <t>(en blanco)</t>
        </is>
      </c>
      <c r="F268" t="inlineStr">
        <is>
          <t>(en blanco)</t>
        </is>
      </c>
      <c r="G268" t="inlineStr">
        <is>
          <t>M</t>
        </is>
      </c>
      <c r="H268" t="n">
        <v>7</v>
      </c>
      <c r="I268" t="inlineStr">
        <is>
          <t>HALIFAX_WOMENS_119004773_BLK_1.jpg</t>
        </is>
      </c>
      <c r="J268" t="inlineStr">
        <is>
          <t>HALIFAX_WOMENS_119004773_BLK_2.jpg</t>
        </is>
      </c>
      <c r="K268" t="inlineStr">
        <is>
          <t>HALIFAX_WOMENS_119004773_BLK_3.jpg</t>
        </is>
      </c>
      <c r="L268">
        <f>IMAGE("file:///E:/Estudios%20y%20certificaciones/ESTUDIOS%20DE%20PROGRAMMING/PROGRAMMING/PERSONAL/PYTHON/Image_Generator_API/imagenes/HALIFAX_WOMENS_119004773_BLK_1.jpg")</f>
        <v/>
      </c>
      <c r="M268">
        <f>IMAGE("file:///E:/Estudios%20y%20certificaciones/ESTUDIOS%20DE%20PROGRAMMING/PROGRAMMING/PERSONAL/PYTHON/Image_Generator_API/imagenes/HALIFAX_WOMENS_119004773_BLK_2.jpg")</f>
        <v/>
      </c>
      <c r="N268">
        <f>IMAGE("file:///E:/Estudios%20y%20certificaciones/ESTUDIOS%20DE%20PROGRAMMING/PROGRAMMING/PERSONAL/PYTHON/Image_Generator_API/imagenes/HALIFAX_WOMENS_119004773_BLK_3.jpg")</f>
        <v/>
      </c>
      <c r="O268">
        <f>HYPERLINK("imagenes/HALIFAX_WOMENS_119004773_BLK_1.jpg","Ver imagen")</f>
        <v/>
      </c>
      <c r="P268">
        <f>HYPERLINK("imagenes/HALIFAX_WOMENS_119004773_BLK_2.jpg","Ver imagen")</f>
        <v/>
      </c>
      <c r="Q268">
        <f>HYPERLINK("imagenes/HALIFAX_WOMENS_119004773_BLK_3.jpg","Ver imagen")</f>
        <v/>
      </c>
    </row>
    <row r="269">
      <c r="A269" t="inlineStr">
        <is>
          <t>HALIFAX WOMENS</t>
        </is>
      </c>
      <c r="B269" t="inlineStr">
        <is>
          <t>119004773</t>
        </is>
      </c>
      <c r="C269" t="inlineStr">
        <is>
          <t>DUP41425B Softshell b/t Fleece Anorak CBL: 32"</t>
        </is>
      </c>
      <c r="D269" t="inlineStr">
        <is>
          <t>BLK</t>
        </is>
      </c>
      <c r="E269" t="inlineStr">
        <is>
          <t>(en blanco)</t>
        </is>
      </c>
      <c r="F269" t="inlineStr">
        <is>
          <t>(en blanco)</t>
        </is>
      </c>
      <c r="G269" t="inlineStr">
        <is>
          <t>XXL</t>
        </is>
      </c>
      <c r="H269" t="n">
        <v>1</v>
      </c>
      <c r="I269" t="inlineStr">
        <is>
          <t>HALIFAX_WOMENS_119004773_BLK_1.jpg</t>
        </is>
      </c>
      <c r="J269" t="inlineStr">
        <is>
          <t>HALIFAX_WOMENS_119004773_BLK_2.jpg</t>
        </is>
      </c>
      <c r="K269" t="inlineStr">
        <is>
          <t>HALIFAX_WOMENS_119004773_BLK_3.jpg</t>
        </is>
      </c>
      <c r="L269">
        <f>IMAGE("file:///E:/Estudios%20y%20certificaciones/ESTUDIOS%20DE%20PROGRAMMING/PROGRAMMING/PERSONAL/PYTHON/Image_Generator_API/imagenes/HALIFAX_WOMENS_119004773_BLK_1.jpg")</f>
        <v/>
      </c>
      <c r="M269">
        <f>IMAGE("file:///E:/Estudios%20y%20certificaciones/ESTUDIOS%20DE%20PROGRAMMING/PROGRAMMING/PERSONAL/PYTHON/Image_Generator_API/imagenes/HALIFAX_WOMENS_119004773_BLK_2.jpg")</f>
        <v/>
      </c>
      <c r="N269">
        <f>IMAGE("file:///E:/Estudios%20y%20certificaciones/ESTUDIOS%20DE%20PROGRAMMING/PROGRAMMING/PERSONAL/PYTHON/Image_Generator_API/imagenes/HALIFAX_WOMENS_119004773_BLK_3.jpg")</f>
        <v/>
      </c>
      <c r="O269">
        <f>HYPERLINK("imagenes/HALIFAX_WOMENS_119004773_BLK_1.jpg","Ver imagen")</f>
        <v/>
      </c>
      <c r="P269">
        <f>HYPERLINK("imagenes/HALIFAX_WOMENS_119004773_BLK_2.jpg","Ver imagen")</f>
        <v/>
      </c>
      <c r="Q269">
        <f>HYPERLINK("imagenes/HALIFAX_WOMENS_119004773_BLK_3.jpg","Ver imagen")</f>
        <v/>
      </c>
    </row>
    <row r="270">
      <c r="A270" t="inlineStr">
        <is>
          <t>HALIFAX WOMENS</t>
        </is>
      </c>
      <c r="B270" t="inlineStr">
        <is>
          <t>119004773</t>
        </is>
      </c>
      <c r="C270" t="inlineStr">
        <is>
          <t>DUP41425B Softshell b/t Fleece Anorak CBL: 32"</t>
        </is>
      </c>
      <c r="D270" t="inlineStr">
        <is>
          <t>MSG</t>
        </is>
      </c>
      <c r="E270" t="inlineStr">
        <is>
          <t>06A01</t>
        </is>
      </c>
      <c r="F270" t="inlineStr">
        <is>
          <t>(en blanco)</t>
        </is>
      </c>
      <c r="G270" t="inlineStr">
        <is>
          <t>PPK</t>
        </is>
      </c>
      <c r="H270" t="n">
        <v>666</v>
      </c>
      <c r="I270" t="inlineStr">
        <is>
          <t>HALIFAX_WOMENS_119004773_MSG_1.jpg</t>
        </is>
      </c>
      <c r="J270" t="inlineStr">
        <is>
          <t>HALIFAX_WOMENS_119004773_MSG_2.jpg</t>
        </is>
      </c>
      <c r="K270" t="inlineStr">
        <is>
          <t>HALIFAX_WOMENS_119004773_MSG_3.jpg</t>
        </is>
      </c>
      <c r="L270">
        <f>IMAGE("file:///E:/Estudios%20y%20certificaciones/ESTUDIOS%20DE%20PROGRAMMING/PROGRAMMING/PERSONAL/PYTHON/Image_Generator_API/imagenes/HALIFAX_WOMENS_119004773_MSG_1.jpg")</f>
        <v/>
      </c>
      <c r="M270">
        <f>IMAGE("file:///E:/Estudios%20y%20certificaciones/ESTUDIOS%20DE%20PROGRAMMING/PROGRAMMING/PERSONAL/PYTHON/Image_Generator_API/imagenes/HALIFAX_WOMENS_119004773_MSG_2.jpg")</f>
        <v/>
      </c>
      <c r="N270">
        <f>IMAGE("file:///E:/Estudios%20y%20certificaciones/ESTUDIOS%20DE%20PROGRAMMING/PROGRAMMING/PERSONAL/PYTHON/Image_Generator_API/imagenes/HALIFAX_WOMENS_119004773_MSG_3.jpg")</f>
        <v/>
      </c>
      <c r="O270">
        <f>HYPERLINK("imagenes/HALIFAX_WOMENS_119004773_MSG_1.jpg","Ver imagen")</f>
        <v/>
      </c>
      <c r="P270">
        <f>HYPERLINK("imagenes/HALIFAX_WOMENS_119004773_MSG_2.jpg","Ver imagen")</f>
        <v/>
      </c>
      <c r="Q270">
        <f>HYPERLINK("imagenes/HALIFAX_WOMENS_119004773_MSG_3.jpg","Ver imagen")</f>
        <v/>
      </c>
    </row>
    <row r="271">
      <c r="A271" t="inlineStr">
        <is>
          <t>HALIFAX WOMENS</t>
        </is>
      </c>
      <c r="B271" t="inlineStr">
        <is>
          <t>119004773</t>
        </is>
      </c>
      <c r="C271" t="inlineStr">
        <is>
          <t>DUP41425B Softshell b/t Fleece Anorak CBL: 32"</t>
        </is>
      </c>
      <c r="D271" t="inlineStr">
        <is>
          <t>MSG</t>
        </is>
      </c>
      <c r="E271" t="inlineStr">
        <is>
          <t>(en blanco)</t>
        </is>
      </c>
      <c r="F271" t="inlineStr">
        <is>
          <t>D2C</t>
        </is>
      </c>
      <c r="G271" t="inlineStr">
        <is>
          <t>S</t>
        </is>
      </c>
      <c r="H271" t="n">
        <v>12</v>
      </c>
      <c r="I271" t="inlineStr">
        <is>
          <t>HALIFAX_WOMENS_119004773_MSG_1.jpg</t>
        </is>
      </c>
      <c r="J271" t="inlineStr">
        <is>
          <t>HALIFAX_WOMENS_119004773_MSG_2.jpg</t>
        </is>
      </c>
      <c r="K271" t="inlineStr">
        <is>
          <t>HALIFAX_WOMENS_119004773_MSG_3.jpg</t>
        </is>
      </c>
      <c r="L271">
        <f>IMAGE("file:///E:/Estudios%20y%20certificaciones/ESTUDIOS%20DE%20PROGRAMMING/PROGRAMMING/PERSONAL/PYTHON/Image_Generator_API/imagenes/HALIFAX_WOMENS_119004773_MSG_1.jpg")</f>
        <v/>
      </c>
      <c r="M271">
        <f>IMAGE("file:///E:/Estudios%20y%20certificaciones/ESTUDIOS%20DE%20PROGRAMMING/PROGRAMMING/PERSONAL/PYTHON/Image_Generator_API/imagenes/HALIFAX_WOMENS_119004773_MSG_2.jpg")</f>
        <v/>
      </c>
      <c r="N271">
        <f>IMAGE("file:///E:/Estudios%20y%20certificaciones/ESTUDIOS%20DE%20PROGRAMMING/PROGRAMMING/PERSONAL/PYTHON/Image_Generator_API/imagenes/HALIFAX_WOMENS_119004773_MSG_3.jpg")</f>
        <v/>
      </c>
      <c r="O271">
        <f>HYPERLINK("imagenes/HALIFAX_WOMENS_119004773_MSG_1.jpg","Ver imagen")</f>
        <v/>
      </c>
      <c r="P271">
        <f>HYPERLINK("imagenes/HALIFAX_WOMENS_119004773_MSG_2.jpg","Ver imagen")</f>
        <v/>
      </c>
      <c r="Q271">
        <f>HYPERLINK("imagenes/HALIFAX_WOMENS_119004773_MSG_3.jpg","Ver imagen")</f>
        <v/>
      </c>
    </row>
    <row r="272">
      <c r="A272" t="inlineStr">
        <is>
          <t>HALIFAX WOMENS</t>
        </is>
      </c>
      <c r="B272" t="inlineStr">
        <is>
          <t>119004773</t>
        </is>
      </c>
      <c r="C272" t="inlineStr">
        <is>
          <t>DUP41425B Softshell b/t Fleece Anorak CBL: 32"</t>
        </is>
      </c>
      <c r="D272" t="inlineStr">
        <is>
          <t>MSG</t>
        </is>
      </c>
      <c r="E272" t="inlineStr">
        <is>
          <t>(en blanco)</t>
        </is>
      </c>
      <c r="F272" t="inlineStr">
        <is>
          <t>D2C</t>
        </is>
      </c>
      <c r="G272" t="inlineStr">
        <is>
          <t>M</t>
        </is>
      </c>
      <c r="H272" t="n">
        <v>55</v>
      </c>
      <c r="I272" t="inlineStr">
        <is>
          <t>HALIFAX_WOMENS_119004773_MSG_1.jpg</t>
        </is>
      </c>
      <c r="J272" t="inlineStr">
        <is>
          <t>HALIFAX_WOMENS_119004773_MSG_2.jpg</t>
        </is>
      </c>
      <c r="K272" t="inlineStr">
        <is>
          <t>HALIFAX_WOMENS_119004773_MSG_3.jpg</t>
        </is>
      </c>
      <c r="L272">
        <f>IMAGE("file:///E:/Estudios%20y%20certificaciones/ESTUDIOS%20DE%20PROGRAMMING/PROGRAMMING/PERSONAL/PYTHON/Image_Generator_API/imagenes/HALIFAX_WOMENS_119004773_MSG_1.jpg")</f>
        <v/>
      </c>
      <c r="M272">
        <f>IMAGE("file:///E:/Estudios%20y%20certificaciones/ESTUDIOS%20DE%20PROGRAMMING/PROGRAMMING/PERSONAL/PYTHON/Image_Generator_API/imagenes/HALIFAX_WOMENS_119004773_MSG_2.jpg")</f>
        <v/>
      </c>
      <c r="N272">
        <f>IMAGE("file:///E:/Estudios%20y%20certificaciones/ESTUDIOS%20DE%20PROGRAMMING/PROGRAMMING/PERSONAL/PYTHON/Image_Generator_API/imagenes/HALIFAX_WOMENS_119004773_MSG_3.jpg")</f>
        <v/>
      </c>
      <c r="O272">
        <f>HYPERLINK("imagenes/HALIFAX_WOMENS_119004773_MSG_1.jpg","Ver imagen")</f>
        <v/>
      </c>
      <c r="P272">
        <f>HYPERLINK("imagenes/HALIFAX_WOMENS_119004773_MSG_2.jpg","Ver imagen")</f>
        <v/>
      </c>
      <c r="Q272">
        <f>HYPERLINK("imagenes/HALIFAX_WOMENS_119004773_MSG_3.jpg","Ver imagen")</f>
        <v/>
      </c>
    </row>
    <row r="273">
      <c r="A273" t="inlineStr">
        <is>
          <t>HALIFAX WOMENS</t>
        </is>
      </c>
      <c r="B273" t="inlineStr">
        <is>
          <t>119004773</t>
        </is>
      </c>
      <c r="C273" t="inlineStr">
        <is>
          <t>DUP41425B Softshell b/t Fleece Anorak CBL: 32"</t>
        </is>
      </c>
      <c r="D273" t="inlineStr">
        <is>
          <t>MSG</t>
        </is>
      </c>
      <c r="E273" t="inlineStr">
        <is>
          <t>(en blanco)</t>
        </is>
      </c>
      <c r="F273" t="inlineStr">
        <is>
          <t>D2C</t>
        </is>
      </c>
      <c r="G273" t="inlineStr">
        <is>
          <t>L</t>
        </is>
      </c>
      <c r="H273" t="n">
        <v>55</v>
      </c>
      <c r="I273" t="inlineStr">
        <is>
          <t>HALIFAX_WOMENS_119004773_MSG_1.jpg</t>
        </is>
      </c>
      <c r="J273" t="inlineStr">
        <is>
          <t>HALIFAX_WOMENS_119004773_MSG_2.jpg</t>
        </is>
      </c>
      <c r="K273" t="inlineStr">
        <is>
          <t>HALIFAX_WOMENS_119004773_MSG_3.jpg</t>
        </is>
      </c>
      <c r="L273">
        <f>IMAGE("file:///E:/Estudios%20y%20certificaciones/ESTUDIOS%20DE%20PROGRAMMING/PROGRAMMING/PERSONAL/PYTHON/Image_Generator_API/imagenes/HALIFAX_WOMENS_119004773_MSG_1.jpg")</f>
        <v/>
      </c>
      <c r="M273">
        <f>IMAGE("file:///E:/Estudios%20y%20certificaciones/ESTUDIOS%20DE%20PROGRAMMING/PROGRAMMING/PERSONAL/PYTHON/Image_Generator_API/imagenes/HALIFAX_WOMENS_119004773_MSG_2.jpg")</f>
        <v/>
      </c>
      <c r="N273">
        <f>IMAGE("file:///E:/Estudios%20y%20certificaciones/ESTUDIOS%20DE%20PROGRAMMING/PROGRAMMING/PERSONAL/PYTHON/Image_Generator_API/imagenes/HALIFAX_WOMENS_119004773_MSG_3.jpg")</f>
        <v/>
      </c>
      <c r="O273">
        <f>HYPERLINK("imagenes/HALIFAX_WOMENS_119004773_MSG_1.jpg","Ver imagen")</f>
        <v/>
      </c>
      <c r="P273">
        <f>HYPERLINK("imagenes/HALIFAX_WOMENS_119004773_MSG_2.jpg","Ver imagen")</f>
        <v/>
      </c>
      <c r="Q273">
        <f>HYPERLINK("imagenes/HALIFAX_WOMENS_119004773_MSG_3.jpg","Ver imagen")</f>
        <v/>
      </c>
    </row>
    <row r="274">
      <c r="A274" t="inlineStr">
        <is>
          <t>HALIFAX WOMENS</t>
        </is>
      </c>
      <c r="B274" t="inlineStr">
        <is>
          <t>119004773</t>
        </is>
      </c>
      <c r="C274" t="inlineStr">
        <is>
          <t>DUP41425B Softshell b/t Fleece Anorak CBL: 32"</t>
        </is>
      </c>
      <c r="D274" t="inlineStr">
        <is>
          <t>MSG</t>
        </is>
      </c>
      <c r="E274" t="inlineStr">
        <is>
          <t>(en blanco)</t>
        </is>
      </c>
      <c r="F274" t="inlineStr">
        <is>
          <t>D2C</t>
        </is>
      </c>
      <c r="G274" t="inlineStr">
        <is>
          <t>XL</t>
        </is>
      </c>
      <c r="H274" t="n">
        <v>25</v>
      </c>
      <c r="I274" t="inlineStr">
        <is>
          <t>HALIFAX_WOMENS_119004773_MSG_1.jpg</t>
        </is>
      </c>
      <c r="J274" t="inlineStr">
        <is>
          <t>HALIFAX_WOMENS_119004773_MSG_2.jpg</t>
        </is>
      </c>
      <c r="K274" t="inlineStr">
        <is>
          <t>HALIFAX_WOMENS_119004773_MSG_3.jpg</t>
        </is>
      </c>
      <c r="L274">
        <f>IMAGE("file:///E:/Estudios%20y%20certificaciones/ESTUDIOS%20DE%20PROGRAMMING/PROGRAMMING/PERSONAL/PYTHON/Image_Generator_API/imagenes/HALIFAX_WOMENS_119004773_MSG_1.jpg")</f>
        <v/>
      </c>
      <c r="M274">
        <f>IMAGE("file:///E:/Estudios%20y%20certificaciones/ESTUDIOS%20DE%20PROGRAMMING/PROGRAMMING/PERSONAL/PYTHON/Image_Generator_API/imagenes/HALIFAX_WOMENS_119004773_MSG_2.jpg")</f>
        <v/>
      </c>
      <c r="N274">
        <f>IMAGE("file:///E:/Estudios%20y%20certificaciones/ESTUDIOS%20DE%20PROGRAMMING/PROGRAMMING/PERSONAL/PYTHON/Image_Generator_API/imagenes/HALIFAX_WOMENS_119004773_MSG_3.jpg")</f>
        <v/>
      </c>
      <c r="O274">
        <f>HYPERLINK("imagenes/HALIFAX_WOMENS_119004773_MSG_1.jpg","Ver imagen")</f>
        <v/>
      </c>
      <c r="P274">
        <f>HYPERLINK("imagenes/HALIFAX_WOMENS_119004773_MSG_2.jpg","Ver imagen")</f>
        <v/>
      </c>
      <c r="Q274">
        <f>HYPERLINK("imagenes/HALIFAX_WOMENS_119004773_MSG_3.jpg","Ver imagen")</f>
        <v/>
      </c>
    </row>
    <row r="275">
      <c r="A275" t="inlineStr">
        <is>
          <t>HALIFAX WOMENS</t>
        </is>
      </c>
      <c r="B275" t="inlineStr">
        <is>
          <t>119004773</t>
        </is>
      </c>
      <c r="C275" t="inlineStr">
        <is>
          <t>DUP41425B Softshell b/t Fleece Anorak CBL: 32"</t>
        </is>
      </c>
      <c r="D275" t="inlineStr">
        <is>
          <t>NVY</t>
        </is>
      </c>
      <c r="E275" t="inlineStr">
        <is>
          <t>08A06</t>
        </is>
      </c>
      <c r="F275" t="inlineStr">
        <is>
          <t>(en blanco)</t>
        </is>
      </c>
      <c r="G275" t="inlineStr">
        <is>
          <t>PPK</t>
        </is>
      </c>
      <c r="H275" t="n">
        <v>8</v>
      </c>
      <c r="I275" t="inlineStr">
        <is>
          <t>HALIFAX_WOMENS_119004773_NVY_1.jpg</t>
        </is>
      </c>
      <c r="J275" t="inlineStr">
        <is>
          <t>HALIFAX_WOMENS_119004773_NVY_2.jpg</t>
        </is>
      </c>
      <c r="K275" t="inlineStr">
        <is>
          <t>HALIFAX_WOMENS_119004773_NVY_3.jpg</t>
        </is>
      </c>
      <c r="L275">
        <f>IMAGE("file:///E:/Estudios%20y%20certificaciones/ESTUDIOS%20DE%20PROGRAMMING/PROGRAMMING/PERSONAL/PYTHON/Image_Generator_API/imagenes/HALIFAX_WOMENS_119004773_NVY_1.jpg")</f>
        <v/>
      </c>
      <c r="M275">
        <f>IMAGE("file:///E:/Estudios%20y%20certificaciones/ESTUDIOS%20DE%20PROGRAMMING/PROGRAMMING/PERSONAL/PYTHON/Image_Generator_API/imagenes/HALIFAX_WOMENS_119004773_NVY_2.jpg")</f>
        <v/>
      </c>
      <c r="N275">
        <f>IMAGE("file:///E:/Estudios%20y%20certificaciones/ESTUDIOS%20DE%20PROGRAMMING/PROGRAMMING/PERSONAL/PYTHON/Image_Generator_API/imagenes/HALIFAX_WOMENS_119004773_NVY_3.jpg")</f>
        <v/>
      </c>
      <c r="O275">
        <f>HYPERLINK("imagenes/HALIFAX_WOMENS_119004773_NVY_1.jpg","Ver imagen")</f>
        <v/>
      </c>
      <c r="P275">
        <f>HYPERLINK("imagenes/HALIFAX_WOMENS_119004773_NVY_2.jpg","Ver imagen")</f>
        <v/>
      </c>
      <c r="Q275">
        <f>HYPERLINK("imagenes/HALIFAX_WOMENS_119004773_NVY_3.jpg","Ver imagen")</f>
        <v/>
      </c>
    </row>
    <row r="276">
      <c r="A276" t="inlineStr">
        <is>
          <t>HALIFAX WOMENS</t>
        </is>
      </c>
      <c r="B276" t="inlineStr">
        <is>
          <t>119004773</t>
        </is>
      </c>
      <c r="C276" t="inlineStr">
        <is>
          <t>DUP41425B Softshell b/t Fleece Anorak CBL: 32"</t>
        </is>
      </c>
      <c r="D276" t="inlineStr">
        <is>
          <t>NVY</t>
        </is>
      </c>
      <c r="E276" t="inlineStr">
        <is>
          <t>(en blanco)</t>
        </is>
      </c>
      <c r="F276" t="inlineStr">
        <is>
          <t>D2C</t>
        </is>
      </c>
      <c r="G276" t="inlineStr">
        <is>
          <t>XXL</t>
        </is>
      </c>
      <c r="H276" t="n">
        <v>1</v>
      </c>
      <c r="I276" t="inlineStr">
        <is>
          <t>HALIFAX_WOMENS_119004773_NVY_1.jpg</t>
        </is>
      </c>
      <c r="J276" t="inlineStr">
        <is>
          <t>HALIFAX_WOMENS_119004773_NVY_2.jpg</t>
        </is>
      </c>
      <c r="K276" t="inlineStr">
        <is>
          <t>HALIFAX_WOMENS_119004773_NVY_3.jpg</t>
        </is>
      </c>
      <c r="L276">
        <f>IMAGE("file:///E:/Estudios%20y%20certificaciones/ESTUDIOS%20DE%20PROGRAMMING/PROGRAMMING/PERSONAL/PYTHON/Image_Generator_API/imagenes/HALIFAX_WOMENS_119004773_NVY_1.jpg")</f>
        <v/>
      </c>
      <c r="M276">
        <f>IMAGE("file:///E:/Estudios%20y%20certificaciones/ESTUDIOS%20DE%20PROGRAMMING/PROGRAMMING/PERSONAL/PYTHON/Image_Generator_API/imagenes/HALIFAX_WOMENS_119004773_NVY_2.jpg")</f>
        <v/>
      </c>
      <c r="N276">
        <f>IMAGE("file:///E:/Estudios%20y%20certificaciones/ESTUDIOS%20DE%20PROGRAMMING/PROGRAMMING/PERSONAL/PYTHON/Image_Generator_API/imagenes/HALIFAX_WOMENS_119004773_NVY_3.jpg")</f>
        <v/>
      </c>
      <c r="O276">
        <f>HYPERLINK("imagenes/HALIFAX_WOMENS_119004773_NVY_1.jpg","Ver imagen")</f>
        <v/>
      </c>
      <c r="P276">
        <f>HYPERLINK("imagenes/HALIFAX_WOMENS_119004773_NVY_2.jpg","Ver imagen")</f>
        <v/>
      </c>
      <c r="Q276">
        <f>HYPERLINK("imagenes/HALIFAX_WOMENS_119004773_NVY_3.jpg","Ver imagen")</f>
        <v/>
      </c>
    </row>
    <row r="277">
      <c r="A277" t="inlineStr">
        <is>
          <t>HALIFAX WOMENS</t>
        </is>
      </c>
      <c r="B277" t="inlineStr">
        <is>
          <t>119004773</t>
        </is>
      </c>
      <c r="C277" t="inlineStr">
        <is>
          <t>DUP41425B Softshell b/t Fleece Anorak CBL: 32"</t>
        </is>
      </c>
      <c r="D277" t="inlineStr">
        <is>
          <t>NVY</t>
        </is>
      </c>
      <c r="E277" t="inlineStr">
        <is>
          <t>(en blanco)</t>
        </is>
      </c>
      <c r="F277" t="inlineStr">
        <is>
          <t>(en blanco)</t>
        </is>
      </c>
      <c r="G277" t="inlineStr">
        <is>
          <t>XXL</t>
        </is>
      </c>
      <c r="H277" t="n">
        <v>1</v>
      </c>
      <c r="I277" t="inlineStr">
        <is>
          <t>HALIFAX_WOMENS_119004773_NVY_1.jpg</t>
        </is>
      </c>
      <c r="J277" t="inlineStr">
        <is>
          <t>HALIFAX_WOMENS_119004773_NVY_2.jpg</t>
        </is>
      </c>
      <c r="K277" t="inlineStr">
        <is>
          <t>HALIFAX_WOMENS_119004773_NVY_3.jpg</t>
        </is>
      </c>
      <c r="L277">
        <f>IMAGE("file:///E:/Estudios%20y%20certificaciones/ESTUDIOS%20DE%20PROGRAMMING/PROGRAMMING/PERSONAL/PYTHON/Image_Generator_API/imagenes/HALIFAX_WOMENS_119004773_NVY_1.jpg")</f>
        <v/>
      </c>
      <c r="M277">
        <f>IMAGE("file:///E:/Estudios%20y%20certificaciones/ESTUDIOS%20DE%20PROGRAMMING/PROGRAMMING/PERSONAL/PYTHON/Image_Generator_API/imagenes/HALIFAX_WOMENS_119004773_NVY_2.jpg")</f>
        <v/>
      </c>
      <c r="N277">
        <f>IMAGE("file:///E:/Estudios%20y%20certificaciones/ESTUDIOS%20DE%20PROGRAMMING/PROGRAMMING/PERSONAL/PYTHON/Image_Generator_API/imagenes/HALIFAX_WOMENS_119004773_NVY_3.jpg")</f>
        <v/>
      </c>
      <c r="O277">
        <f>HYPERLINK("imagenes/HALIFAX_WOMENS_119004773_NVY_1.jpg","Ver imagen")</f>
        <v/>
      </c>
      <c r="P277">
        <f>HYPERLINK("imagenes/HALIFAX_WOMENS_119004773_NVY_2.jpg","Ver imagen")</f>
        <v/>
      </c>
      <c r="Q277">
        <f>HYPERLINK("imagenes/HALIFAX_WOMENS_119004773_NVY_3.jpg","Ver imagen")</f>
        <v/>
      </c>
    </row>
    <row r="278">
      <c r="A278" t="inlineStr">
        <is>
          <t>HALIFAX WOMENS</t>
        </is>
      </c>
      <c r="B278" t="inlineStr">
        <is>
          <t>119004774</t>
        </is>
      </c>
      <c r="C278" t="inlineStr">
        <is>
          <t>DUP41465 Softshell b/t Mellowpile Belted Trench CBL: 32"</t>
        </is>
      </c>
      <c r="D278" t="inlineStr">
        <is>
          <t>B24</t>
        </is>
      </c>
      <c r="E278" t="inlineStr">
        <is>
          <t>(en blanco)</t>
        </is>
      </c>
      <c r="F278" t="inlineStr">
        <is>
          <t>D2C</t>
        </is>
      </c>
      <c r="G278" t="inlineStr">
        <is>
          <t>S</t>
        </is>
      </c>
      <c r="H278" t="n">
        <v>29</v>
      </c>
      <c r="I278" t="inlineStr">
        <is>
          <t>HALIFAX_WOMENS_119004774_B24_1.jpg</t>
        </is>
      </c>
      <c r="J278" t="inlineStr">
        <is>
          <t>HALIFAX_WOMENS_119004774_B24_2.jpg</t>
        </is>
      </c>
      <c r="K278" t="inlineStr">
        <is>
          <t>HALIFAX_WOMENS_119004774_B24_3.jpg</t>
        </is>
      </c>
      <c r="L278">
        <f>IMAGE("file:///E:/Estudios%20y%20certificaciones/ESTUDIOS%20DE%20PROGRAMMING/PROGRAMMING/PERSONAL/PYTHON/Image_Generator_API/imagenes/HALIFAX_WOMENS_119004774_B24_1.jpg")</f>
        <v/>
      </c>
      <c r="M278">
        <f>IMAGE("file:///E:/Estudios%20y%20certificaciones/ESTUDIOS%20DE%20PROGRAMMING/PROGRAMMING/PERSONAL/PYTHON/Image_Generator_API/imagenes/HALIFAX_WOMENS_119004774_B24_2.jpg")</f>
        <v/>
      </c>
      <c r="N278">
        <f>IMAGE("file:///E:/Estudios%20y%20certificaciones/ESTUDIOS%20DE%20PROGRAMMING/PROGRAMMING/PERSONAL/PYTHON/Image_Generator_API/imagenes/HALIFAX_WOMENS_119004774_B24_3.jpg")</f>
        <v/>
      </c>
      <c r="O278">
        <f>HYPERLINK("imagenes/HALIFAX_WOMENS_119004774_B24_1.jpg","Ver imagen")</f>
        <v/>
      </c>
      <c r="P278">
        <f>HYPERLINK("imagenes/HALIFAX_WOMENS_119004774_B24_2.jpg","Ver imagen")</f>
        <v/>
      </c>
      <c r="Q278">
        <f>HYPERLINK("imagenes/HALIFAX_WOMENS_119004774_B24_3.jpg","Ver imagen")</f>
        <v/>
      </c>
    </row>
    <row r="279">
      <c r="A279" t="inlineStr">
        <is>
          <t>HALIFAX WOMENS</t>
        </is>
      </c>
      <c r="B279" t="inlineStr">
        <is>
          <t>119004774</t>
        </is>
      </c>
      <c r="C279" t="inlineStr">
        <is>
          <t>DUP41465 Softshell b/t Mellowpile Belted Trench CBL: 32"</t>
        </is>
      </c>
      <c r="D279" t="inlineStr">
        <is>
          <t>B24</t>
        </is>
      </c>
      <c r="E279" t="inlineStr">
        <is>
          <t>(en blanco)</t>
        </is>
      </c>
      <c r="F279" t="inlineStr">
        <is>
          <t>D2C</t>
        </is>
      </c>
      <c r="G279" t="inlineStr">
        <is>
          <t>M</t>
        </is>
      </c>
      <c r="H279" t="n">
        <v>25</v>
      </c>
      <c r="I279" t="inlineStr">
        <is>
          <t>HALIFAX_WOMENS_119004774_B24_1.jpg</t>
        </is>
      </c>
      <c r="J279" t="inlineStr">
        <is>
          <t>HALIFAX_WOMENS_119004774_B24_2.jpg</t>
        </is>
      </c>
      <c r="K279" t="inlineStr">
        <is>
          <t>HALIFAX_WOMENS_119004774_B24_3.jpg</t>
        </is>
      </c>
      <c r="L279">
        <f>IMAGE("file:///E:/Estudios%20y%20certificaciones/ESTUDIOS%20DE%20PROGRAMMING/PROGRAMMING/PERSONAL/PYTHON/Image_Generator_API/imagenes/HALIFAX_WOMENS_119004774_B24_1.jpg")</f>
        <v/>
      </c>
      <c r="M279">
        <f>IMAGE("file:///E:/Estudios%20y%20certificaciones/ESTUDIOS%20DE%20PROGRAMMING/PROGRAMMING/PERSONAL/PYTHON/Image_Generator_API/imagenes/HALIFAX_WOMENS_119004774_B24_2.jpg")</f>
        <v/>
      </c>
      <c r="N279">
        <f>IMAGE("file:///E:/Estudios%20y%20certificaciones/ESTUDIOS%20DE%20PROGRAMMING/PROGRAMMING/PERSONAL/PYTHON/Image_Generator_API/imagenes/HALIFAX_WOMENS_119004774_B24_3.jpg")</f>
        <v/>
      </c>
      <c r="O279">
        <f>HYPERLINK("imagenes/HALIFAX_WOMENS_119004774_B24_1.jpg","Ver imagen")</f>
        <v/>
      </c>
      <c r="P279">
        <f>HYPERLINK("imagenes/HALIFAX_WOMENS_119004774_B24_2.jpg","Ver imagen")</f>
        <v/>
      </c>
      <c r="Q279">
        <f>HYPERLINK("imagenes/HALIFAX_WOMENS_119004774_B24_3.jpg","Ver imagen")</f>
        <v/>
      </c>
    </row>
    <row r="280">
      <c r="A280" t="inlineStr">
        <is>
          <t>HALIFAX WOMENS</t>
        </is>
      </c>
      <c r="B280" t="inlineStr">
        <is>
          <t>119004774</t>
        </is>
      </c>
      <c r="C280" t="inlineStr">
        <is>
          <t>DUP41465 Softshell b/t Mellowpile Belted Trench CBL: 32"</t>
        </is>
      </c>
      <c r="D280" t="inlineStr">
        <is>
          <t>B24</t>
        </is>
      </c>
      <c r="E280" t="inlineStr">
        <is>
          <t>(en blanco)</t>
        </is>
      </c>
      <c r="F280" t="inlineStr">
        <is>
          <t>D2C</t>
        </is>
      </c>
      <c r="G280" t="inlineStr">
        <is>
          <t>L</t>
        </is>
      </c>
      <c r="H280" t="n">
        <v>27</v>
      </c>
      <c r="I280" t="inlineStr">
        <is>
          <t>HALIFAX_WOMENS_119004774_B24_1.jpg</t>
        </is>
      </c>
      <c r="J280" t="inlineStr">
        <is>
          <t>HALIFAX_WOMENS_119004774_B24_2.jpg</t>
        </is>
      </c>
      <c r="K280" t="inlineStr">
        <is>
          <t>HALIFAX_WOMENS_119004774_B24_3.jpg</t>
        </is>
      </c>
      <c r="L280">
        <f>IMAGE("file:///E:/Estudios%20y%20certificaciones/ESTUDIOS%20DE%20PROGRAMMING/PROGRAMMING/PERSONAL/PYTHON/Image_Generator_API/imagenes/HALIFAX_WOMENS_119004774_B24_1.jpg")</f>
        <v/>
      </c>
      <c r="M280">
        <f>IMAGE("file:///E:/Estudios%20y%20certificaciones/ESTUDIOS%20DE%20PROGRAMMING/PROGRAMMING/PERSONAL/PYTHON/Image_Generator_API/imagenes/HALIFAX_WOMENS_119004774_B24_2.jpg")</f>
        <v/>
      </c>
      <c r="N280">
        <f>IMAGE("file:///E:/Estudios%20y%20certificaciones/ESTUDIOS%20DE%20PROGRAMMING/PROGRAMMING/PERSONAL/PYTHON/Image_Generator_API/imagenes/HALIFAX_WOMENS_119004774_B24_3.jpg")</f>
        <v/>
      </c>
      <c r="O280">
        <f>HYPERLINK("imagenes/HALIFAX_WOMENS_119004774_B24_1.jpg","Ver imagen")</f>
        <v/>
      </c>
      <c r="P280">
        <f>HYPERLINK("imagenes/HALIFAX_WOMENS_119004774_B24_2.jpg","Ver imagen")</f>
        <v/>
      </c>
      <c r="Q280">
        <f>HYPERLINK("imagenes/HALIFAX_WOMENS_119004774_B24_3.jpg","Ver imagen")</f>
        <v/>
      </c>
    </row>
    <row r="281">
      <c r="A281" t="inlineStr">
        <is>
          <t>HALIFAX WOMENS</t>
        </is>
      </c>
      <c r="B281" t="inlineStr">
        <is>
          <t>119004774</t>
        </is>
      </c>
      <c r="C281" t="inlineStr">
        <is>
          <t>DUP41465 Softshell b/t Mellowpile Belted Trench CBL: 32"</t>
        </is>
      </c>
      <c r="D281" t="inlineStr">
        <is>
          <t>B24</t>
        </is>
      </c>
      <c r="E281" t="inlineStr">
        <is>
          <t>(en blanco)</t>
        </is>
      </c>
      <c r="F281" t="inlineStr">
        <is>
          <t>D2C</t>
        </is>
      </c>
      <c r="G281" t="inlineStr">
        <is>
          <t>XL</t>
        </is>
      </c>
      <c r="H281" t="n">
        <v>21</v>
      </c>
      <c r="I281" t="inlineStr">
        <is>
          <t>HALIFAX_WOMENS_119004774_B24_1.jpg</t>
        </is>
      </c>
      <c r="J281" t="inlineStr">
        <is>
          <t>HALIFAX_WOMENS_119004774_B24_2.jpg</t>
        </is>
      </c>
      <c r="K281" t="inlineStr">
        <is>
          <t>HALIFAX_WOMENS_119004774_B24_3.jpg</t>
        </is>
      </c>
      <c r="L281">
        <f>IMAGE("file:///E:/Estudios%20y%20certificaciones/ESTUDIOS%20DE%20PROGRAMMING/PROGRAMMING/PERSONAL/PYTHON/Image_Generator_API/imagenes/HALIFAX_WOMENS_119004774_B24_1.jpg")</f>
        <v/>
      </c>
      <c r="M281">
        <f>IMAGE("file:///E:/Estudios%20y%20certificaciones/ESTUDIOS%20DE%20PROGRAMMING/PROGRAMMING/PERSONAL/PYTHON/Image_Generator_API/imagenes/HALIFAX_WOMENS_119004774_B24_2.jpg")</f>
        <v/>
      </c>
      <c r="N281">
        <f>IMAGE("file:///E:/Estudios%20y%20certificaciones/ESTUDIOS%20DE%20PROGRAMMING/PROGRAMMING/PERSONAL/PYTHON/Image_Generator_API/imagenes/HALIFAX_WOMENS_119004774_B24_3.jpg")</f>
        <v/>
      </c>
      <c r="O281">
        <f>HYPERLINK("imagenes/HALIFAX_WOMENS_119004774_B24_1.jpg","Ver imagen")</f>
        <v/>
      </c>
      <c r="P281">
        <f>HYPERLINK("imagenes/HALIFAX_WOMENS_119004774_B24_2.jpg","Ver imagen")</f>
        <v/>
      </c>
      <c r="Q281">
        <f>HYPERLINK("imagenes/HALIFAX_WOMENS_119004774_B24_3.jpg","Ver imagen")</f>
        <v/>
      </c>
    </row>
    <row r="282">
      <c r="A282" t="inlineStr">
        <is>
          <t>HALIFAX WOMENS</t>
        </is>
      </c>
      <c r="B282" t="inlineStr">
        <is>
          <t>119004774</t>
        </is>
      </c>
      <c r="C282" t="inlineStr">
        <is>
          <t>DUP41465 Softshell b/t Mellowpile Belted Trench CBL: 32"</t>
        </is>
      </c>
      <c r="D282" t="inlineStr">
        <is>
          <t>B24</t>
        </is>
      </c>
      <c r="E282" t="inlineStr">
        <is>
          <t>(en blanco)</t>
        </is>
      </c>
      <c r="F282" t="inlineStr">
        <is>
          <t>D2C</t>
        </is>
      </c>
      <c r="G282" t="inlineStr">
        <is>
          <t>XXL</t>
        </is>
      </c>
      <c r="H282" t="n">
        <v>29</v>
      </c>
      <c r="I282" t="inlineStr">
        <is>
          <t>HALIFAX_WOMENS_119004774_B24_1.jpg</t>
        </is>
      </c>
      <c r="J282" t="inlineStr">
        <is>
          <t>HALIFAX_WOMENS_119004774_B24_2.jpg</t>
        </is>
      </c>
      <c r="K282" t="inlineStr">
        <is>
          <t>HALIFAX_WOMENS_119004774_B24_3.jpg</t>
        </is>
      </c>
      <c r="L282">
        <f>IMAGE("file:///E:/Estudios%20y%20certificaciones/ESTUDIOS%20DE%20PROGRAMMING/PROGRAMMING/PERSONAL/PYTHON/Image_Generator_API/imagenes/HALIFAX_WOMENS_119004774_B24_1.jpg")</f>
        <v/>
      </c>
      <c r="M282">
        <f>IMAGE("file:///E:/Estudios%20y%20certificaciones/ESTUDIOS%20DE%20PROGRAMMING/PROGRAMMING/PERSONAL/PYTHON/Image_Generator_API/imagenes/HALIFAX_WOMENS_119004774_B24_2.jpg")</f>
        <v/>
      </c>
      <c r="N282">
        <f>IMAGE("file:///E:/Estudios%20y%20certificaciones/ESTUDIOS%20DE%20PROGRAMMING/PROGRAMMING/PERSONAL/PYTHON/Image_Generator_API/imagenes/HALIFAX_WOMENS_119004774_B24_3.jpg")</f>
        <v/>
      </c>
      <c r="O282">
        <f>HYPERLINK("imagenes/HALIFAX_WOMENS_119004774_B24_1.jpg","Ver imagen")</f>
        <v/>
      </c>
      <c r="P282">
        <f>HYPERLINK("imagenes/HALIFAX_WOMENS_119004774_B24_2.jpg","Ver imagen")</f>
        <v/>
      </c>
      <c r="Q282">
        <f>HYPERLINK("imagenes/HALIFAX_WOMENS_119004774_B24_3.jpg","Ver imagen")</f>
        <v/>
      </c>
    </row>
    <row r="283">
      <c r="A283" t="inlineStr">
        <is>
          <t>HALIFAX WOMENS</t>
        </is>
      </c>
      <c r="B283" t="inlineStr">
        <is>
          <t>119004774</t>
        </is>
      </c>
      <c r="C283" t="inlineStr">
        <is>
          <t>DUP41465 Softshell b/t Mellowpile Belted Trench CBL: 32"</t>
        </is>
      </c>
      <c r="D283" t="inlineStr">
        <is>
          <t>B24</t>
        </is>
      </c>
      <c r="E283" t="inlineStr">
        <is>
          <t>(en blanco)</t>
        </is>
      </c>
      <c r="F283" t="inlineStr">
        <is>
          <t>(en blanco)</t>
        </is>
      </c>
      <c r="G283" t="inlineStr">
        <is>
          <t>M</t>
        </is>
      </c>
      <c r="H283" t="n">
        <v>2</v>
      </c>
      <c r="I283" t="inlineStr">
        <is>
          <t>HALIFAX_WOMENS_119004774_B24_1.jpg</t>
        </is>
      </c>
      <c r="J283" t="inlineStr">
        <is>
          <t>HALIFAX_WOMENS_119004774_B24_2.jpg</t>
        </is>
      </c>
      <c r="K283" t="inlineStr">
        <is>
          <t>HALIFAX_WOMENS_119004774_B24_3.jpg</t>
        </is>
      </c>
      <c r="L283">
        <f>IMAGE("file:///E:/Estudios%20y%20certificaciones/ESTUDIOS%20DE%20PROGRAMMING/PROGRAMMING/PERSONAL/PYTHON/Image_Generator_API/imagenes/HALIFAX_WOMENS_119004774_B24_1.jpg")</f>
        <v/>
      </c>
      <c r="M283">
        <f>IMAGE("file:///E:/Estudios%20y%20certificaciones/ESTUDIOS%20DE%20PROGRAMMING/PROGRAMMING/PERSONAL/PYTHON/Image_Generator_API/imagenes/HALIFAX_WOMENS_119004774_B24_2.jpg")</f>
        <v/>
      </c>
      <c r="N283">
        <f>IMAGE("file:///E:/Estudios%20y%20certificaciones/ESTUDIOS%20DE%20PROGRAMMING/PROGRAMMING/PERSONAL/PYTHON/Image_Generator_API/imagenes/HALIFAX_WOMENS_119004774_B24_3.jpg")</f>
        <v/>
      </c>
      <c r="O283">
        <f>HYPERLINK("imagenes/HALIFAX_WOMENS_119004774_B24_1.jpg","Ver imagen")</f>
        <v/>
      </c>
      <c r="P283">
        <f>HYPERLINK("imagenes/HALIFAX_WOMENS_119004774_B24_2.jpg","Ver imagen")</f>
        <v/>
      </c>
      <c r="Q283">
        <f>HYPERLINK("imagenes/HALIFAX_WOMENS_119004774_B24_3.jpg","Ver imagen")</f>
        <v/>
      </c>
    </row>
    <row r="284">
      <c r="A284" t="inlineStr">
        <is>
          <t>HALIFAX WOMENS</t>
        </is>
      </c>
      <c r="B284" t="inlineStr">
        <is>
          <t>119004774</t>
        </is>
      </c>
      <c r="C284" t="inlineStr">
        <is>
          <t>DUP41465 Softshell b/t Mellowpile Belted Trench CBL: 32"</t>
        </is>
      </c>
      <c r="D284" t="inlineStr">
        <is>
          <t>BLK</t>
        </is>
      </c>
      <c r="E284" t="inlineStr">
        <is>
          <t>08A06</t>
        </is>
      </c>
      <c r="F284" t="inlineStr">
        <is>
          <t>(en blanco)</t>
        </is>
      </c>
      <c r="G284" t="inlineStr">
        <is>
          <t>PPK</t>
        </is>
      </c>
      <c r="H284" t="n">
        <v>8</v>
      </c>
      <c r="I284" t="inlineStr">
        <is>
          <t>HALIFAX_WOMENS_119004774_BLK_1.jpg</t>
        </is>
      </c>
      <c r="J284" t="inlineStr">
        <is>
          <t>HALIFAX_WOMENS_119004774_BLK_2.jpg</t>
        </is>
      </c>
      <c r="K284" t="inlineStr">
        <is>
          <t>HALIFAX_WOMENS_119004774_BLK_3.jpg</t>
        </is>
      </c>
      <c r="L284">
        <f>IMAGE("file:///E:/Estudios%20y%20certificaciones/ESTUDIOS%20DE%20PROGRAMMING/PROGRAMMING/PERSONAL/PYTHON/Image_Generator_API/imagenes/HALIFAX_WOMENS_119004774_BLK_1.jpg")</f>
        <v/>
      </c>
      <c r="M284">
        <f>IMAGE("file:///E:/Estudios%20y%20certificaciones/ESTUDIOS%20DE%20PROGRAMMING/PROGRAMMING/PERSONAL/PYTHON/Image_Generator_API/imagenes/HALIFAX_WOMENS_119004774_BLK_2.jpg")</f>
        <v/>
      </c>
      <c r="N284">
        <f>IMAGE("file:///E:/Estudios%20y%20certificaciones/ESTUDIOS%20DE%20PROGRAMMING/PROGRAMMING/PERSONAL/PYTHON/Image_Generator_API/imagenes/HALIFAX_WOMENS_119004774_BLK_3.jpg")</f>
        <v/>
      </c>
      <c r="O284">
        <f>HYPERLINK("imagenes/HALIFAX_WOMENS_119004774_BLK_1.jpg","Ver imagen")</f>
        <v/>
      </c>
      <c r="P284">
        <f>HYPERLINK("imagenes/HALIFAX_WOMENS_119004774_BLK_2.jpg","Ver imagen")</f>
        <v/>
      </c>
      <c r="Q284">
        <f>HYPERLINK("imagenes/HALIFAX_WOMENS_119004774_BLK_3.jpg","Ver imagen")</f>
        <v/>
      </c>
    </row>
    <row r="285">
      <c r="A285" t="inlineStr">
        <is>
          <t>HALIFAX WOMENS</t>
        </is>
      </c>
      <c r="B285" t="inlineStr">
        <is>
          <t>119004774</t>
        </is>
      </c>
      <c r="C285" t="inlineStr">
        <is>
          <t>DUP41465 Softshell b/t Mellowpile Belted Trench CBL: 32"</t>
        </is>
      </c>
      <c r="D285" t="inlineStr">
        <is>
          <t>BLK</t>
        </is>
      </c>
      <c r="E285" t="inlineStr">
        <is>
          <t>(en blanco)</t>
        </is>
      </c>
      <c r="F285" t="inlineStr">
        <is>
          <t>D2C</t>
        </is>
      </c>
      <c r="G285" t="inlineStr">
        <is>
          <t>S</t>
        </is>
      </c>
      <c r="H285" t="n">
        <v>44</v>
      </c>
      <c r="I285" t="inlineStr">
        <is>
          <t>HALIFAX_WOMENS_119004774_BLK_1.jpg</t>
        </is>
      </c>
      <c r="J285" t="inlineStr">
        <is>
          <t>HALIFAX_WOMENS_119004774_BLK_2.jpg</t>
        </is>
      </c>
      <c r="K285" t="inlineStr">
        <is>
          <t>HALIFAX_WOMENS_119004774_BLK_3.jpg</t>
        </is>
      </c>
      <c r="L285">
        <f>IMAGE("file:///E:/Estudios%20y%20certificaciones/ESTUDIOS%20DE%20PROGRAMMING/PROGRAMMING/PERSONAL/PYTHON/Image_Generator_API/imagenes/HALIFAX_WOMENS_119004774_BLK_1.jpg")</f>
        <v/>
      </c>
      <c r="M285">
        <f>IMAGE("file:///E:/Estudios%20y%20certificaciones/ESTUDIOS%20DE%20PROGRAMMING/PROGRAMMING/PERSONAL/PYTHON/Image_Generator_API/imagenes/HALIFAX_WOMENS_119004774_BLK_2.jpg")</f>
        <v/>
      </c>
      <c r="N285">
        <f>IMAGE("file:///E:/Estudios%20y%20certificaciones/ESTUDIOS%20DE%20PROGRAMMING/PROGRAMMING/PERSONAL/PYTHON/Image_Generator_API/imagenes/HALIFAX_WOMENS_119004774_BLK_3.jpg")</f>
        <v/>
      </c>
      <c r="O285">
        <f>HYPERLINK("imagenes/HALIFAX_WOMENS_119004774_BLK_1.jpg","Ver imagen")</f>
        <v/>
      </c>
      <c r="P285">
        <f>HYPERLINK("imagenes/HALIFAX_WOMENS_119004774_BLK_2.jpg","Ver imagen")</f>
        <v/>
      </c>
      <c r="Q285">
        <f>HYPERLINK("imagenes/HALIFAX_WOMENS_119004774_BLK_3.jpg","Ver imagen")</f>
        <v/>
      </c>
    </row>
    <row r="286">
      <c r="A286" t="inlineStr">
        <is>
          <t>HALIFAX WOMENS</t>
        </is>
      </c>
      <c r="B286" t="inlineStr">
        <is>
          <t>119004774</t>
        </is>
      </c>
      <c r="C286" t="inlineStr">
        <is>
          <t>DUP41465 Softshell b/t Mellowpile Belted Trench CBL: 32"</t>
        </is>
      </c>
      <c r="D286" t="inlineStr">
        <is>
          <t>BLK</t>
        </is>
      </c>
      <c r="E286" t="inlineStr">
        <is>
          <t>(en blanco)</t>
        </is>
      </c>
      <c r="F286" t="inlineStr">
        <is>
          <t>D2C</t>
        </is>
      </c>
      <c r="G286" t="inlineStr">
        <is>
          <t>M</t>
        </is>
      </c>
      <c r="H286" t="n">
        <v>41</v>
      </c>
      <c r="I286" t="inlineStr">
        <is>
          <t>HALIFAX_WOMENS_119004774_BLK_1.jpg</t>
        </is>
      </c>
      <c r="J286" t="inlineStr">
        <is>
          <t>HALIFAX_WOMENS_119004774_BLK_2.jpg</t>
        </is>
      </c>
      <c r="K286" t="inlineStr">
        <is>
          <t>HALIFAX_WOMENS_119004774_BLK_3.jpg</t>
        </is>
      </c>
      <c r="L286">
        <f>IMAGE("file:///E:/Estudios%20y%20certificaciones/ESTUDIOS%20DE%20PROGRAMMING/PROGRAMMING/PERSONAL/PYTHON/Image_Generator_API/imagenes/HALIFAX_WOMENS_119004774_BLK_1.jpg")</f>
        <v/>
      </c>
      <c r="M286">
        <f>IMAGE("file:///E:/Estudios%20y%20certificaciones/ESTUDIOS%20DE%20PROGRAMMING/PROGRAMMING/PERSONAL/PYTHON/Image_Generator_API/imagenes/HALIFAX_WOMENS_119004774_BLK_2.jpg")</f>
        <v/>
      </c>
      <c r="N286">
        <f>IMAGE("file:///E:/Estudios%20y%20certificaciones/ESTUDIOS%20DE%20PROGRAMMING/PROGRAMMING/PERSONAL/PYTHON/Image_Generator_API/imagenes/HALIFAX_WOMENS_119004774_BLK_3.jpg")</f>
        <v/>
      </c>
      <c r="O286">
        <f>HYPERLINK("imagenes/HALIFAX_WOMENS_119004774_BLK_1.jpg","Ver imagen")</f>
        <v/>
      </c>
      <c r="P286">
        <f>HYPERLINK("imagenes/HALIFAX_WOMENS_119004774_BLK_2.jpg","Ver imagen")</f>
        <v/>
      </c>
      <c r="Q286">
        <f>HYPERLINK("imagenes/HALIFAX_WOMENS_119004774_BLK_3.jpg","Ver imagen")</f>
        <v/>
      </c>
    </row>
    <row r="287">
      <c r="A287" t="inlineStr">
        <is>
          <t>HALIFAX WOMENS</t>
        </is>
      </c>
      <c r="B287" t="inlineStr">
        <is>
          <t>119004774</t>
        </is>
      </c>
      <c r="C287" t="inlineStr">
        <is>
          <t>DUP41465 Softshell b/t Mellowpile Belted Trench CBL: 32"</t>
        </is>
      </c>
      <c r="D287" t="inlineStr">
        <is>
          <t>BLK</t>
        </is>
      </c>
      <c r="E287" t="inlineStr">
        <is>
          <t>(en blanco)</t>
        </is>
      </c>
      <c r="F287" t="inlineStr">
        <is>
          <t>D2C</t>
        </is>
      </c>
      <c r="G287" t="inlineStr">
        <is>
          <t>L</t>
        </is>
      </c>
      <c r="H287" t="n">
        <v>40</v>
      </c>
      <c r="I287" t="inlineStr">
        <is>
          <t>HALIFAX_WOMENS_119004774_BLK_1.jpg</t>
        </is>
      </c>
      <c r="J287" t="inlineStr">
        <is>
          <t>HALIFAX_WOMENS_119004774_BLK_2.jpg</t>
        </is>
      </c>
      <c r="K287" t="inlineStr">
        <is>
          <t>HALIFAX_WOMENS_119004774_BLK_3.jpg</t>
        </is>
      </c>
      <c r="L287">
        <f>IMAGE("file:///E:/Estudios%20y%20certificaciones/ESTUDIOS%20DE%20PROGRAMMING/PROGRAMMING/PERSONAL/PYTHON/Image_Generator_API/imagenes/HALIFAX_WOMENS_119004774_BLK_1.jpg")</f>
        <v/>
      </c>
      <c r="M287">
        <f>IMAGE("file:///E:/Estudios%20y%20certificaciones/ESTUDIOS%20DE%20PROGRAMMING/PROGRAMMING/PERSONAL/PYTHON/Image_Generator_API/imagenes/HALIFAX_WOMENS_119004774_BLK_2.jpg")</f>
        <v/>
      </c>
      <c r="N287">
        <f>IMAGE("file:///E:/Estudios%20y%20certificaciones/ESTUDIOS%20DE%20PROGRAMMING/PROGRAMMING/PERSONAL/PYTHON/Image_Generator_API/imagenes/HALIFAX_WOMENS_119004774_BLK_3.jpg")</f>
        <v/>
      </c>
      <c r="O287">
        <f>HYPERLINK("imagenes/HALIFAX_WOMENS_119004774_BLK_1.jpg","Ver imagen")</f>
        <v/>
      </c>
      <c r="P287">
        <f>HYPERLINK("imagenes/HALIFAX_WOMENS_119004774_BLK_2.jpg","Ver imagen")</f>
        <v/>
      </c>
      <c r="Q287">
        <f>HYPERLINK("imagenes/HALIFAX_WOMENS_119004774_BLK_3.jpg","Ver imagen")</f>
        <v/>
      </c>
    </row>
    <row r="288">
      <c r="A288" t="inlineStr">
        <is>
          <t>HALIFAX WOMENS</t>
        </is>
      </c>
      <c r="B288" t="inlineStr">
        <is>
          <t>119004774</t>
        </is>
      </c>
      <c r="C288" t="inlineStr">
        <is>
          <t>DUP41465 Softshell b/t Mellowpile Belted Trench CBL: 32"</t>
        </is>
      </c>
      <c r="D288" t="inlineStr">
        <is>
          <t>BLK</t>
        </is>
      </c>
      <c r="E288" t="inlineStr">
        <is>
          <t>(en blanco)</t>
        </is>
      </c>
      <c r="F288" t="inlineStr">
        <is>
          <t>D2C</t>
        </is>
      </c>
      <c r="G288" t="inlineStr">
        <is>
          <t>XL</t>
        </is>
      </c>
      <c r="H288" t="n">
        <v>30</v>
      </c>
      <c r="I288" t="inlineStr">
        <is>
          <t>HALIFAX_WOMENS_119004774_BLK_1.jpg</t>
        </is>
      </c>
      <c r="J288" t="inlineStr">
        <is>
          <t>HALIFAX_WOMENS_119004774_BLK_2.jpg</t>
        </is>
      </c>
      <c r="K288" t="inlineStr">
        <is>
          <t>HALIFAX_WOMENS_119004774_BLK_3.jpg</t>
        </is>
      </c>
      <c r="L288">
        <f>IMAGE("file:///E:/Estudios%20y%20certificaciones/ESTUDIOS%20DE%20PROGRAMMING/PROGRAMMING/PERSONAL/PYTHON/Image_Generator_API/imagenes/HALIFAX_WOMENS_119004774_BLK_1.jpg")</f>
        <v/>
      </c>
      <c r="M288">
        <f>IMAGE("file:///E:/Estudios%20y%20certificaciones/ESTUDIOS%20DE%20PROGRAMMING/PROGRAMMING/PERSONAL/PYTHON/Image_Generator_API/imagenes/HALIFAX_WOMENS_119004774_BLK_2.jpg")</f>
        <v/>
      </c>
      <c r="N288">
        <f>IMAGE("file:///E:/Estudios%20y%20certificaciones/ESTUDIOS%20DE%20PROGRAMMING/PROGRAMMING/PERSONAL/PYTHON/Image_Generator_API/imagenes/HALIFAX_WOMENS_119004774_BLK_3.jpg")</f>
        <v/>
      </c>
      <c r="O288">
        <f>HYPERLINK("imagenes/HALIFAX_WOMENS_119004774_BLK_1.jpg","Ver imagen")</f>
        <v/>
      </c>
      <c r="P288">
        <f>HYPERLINK("imagenes/HALIFAX_WOMENS_119004774_BLK_2.jpg","Ver imagen")</f>
        <v/>
      </c>
      <c r="Q288">
        <f>HYPERLINK("imagenes/HALIFAX_WOMENS_119004774_BLK_3.jpg","Ver imagen")</f>
        <v/>
      </c>
    </row>
    <row r="289">
      <c r="A289" t="inlineStr">
        <is>
          <t>HALIFAX WOMENS</t>
        </is>
      </c>
      <c r="B289" t="inlineStr">
        <is>
          <t>119004774</t>
        </is>
      </c>
      <c r="C289" t="inlineStr">
        <is>
          <t>DUP41465 Softshell b/t Mellowpile Belted Trench CBL: 32"</t>
        </is>
      </c>
      <c r="D289" t="inlineStr">
        <is>
          <t>BLK</t>
        </is>
      </c>
      <c r="E289" t="inlineStr">
        <is>
          <t>(en blanco)</t>
        </is>
      </c>
      <c r="F289" t="inlineStr">
        <is>
          <t>D2C</t>
        </is>
      </c>
      <c r="G289" t="inlineStr">
        <is>
          <t>XXL</t>
        </is>
      </c>
      <c r="H289" t="n">
        <v>40</v>
      </c>
      <c r="I289" t="inlineStr">
        <is>
          <t>HALIFAX_WOMENS_119004774_BLK_1.jpg</t>
        </is>
      </c>
      <c r="J289" t="inlineStr">
        <is>
          <t>HALIFAX_WOMENS_119004774_BLK_2.jpg</t>
        </is>
      </c>
      <c r="K289" t="inlineStr">
        <is>
          <t>HALIFAX_WOMENS_119004774_BLK_3.jpg</t>
        </is>
      </c>
      <c r="L289">
        <f>IMAGE("file:///E:/Estudios%20y%20certificaciones/ESTUDIOS%20DE%20PROGRAMMING/PROGRAMMING/PERSONAL/PYTHON/Image_Generator_API/imagenes/HALIFAX_WOMENS_119004774_BLK_1.jpg")</f>
        <v/>
      </c>
      <c r="M289">
        <f>IMAGE("file:///E:/Estudios%20y%20certificaciones/ESTUDIOS%20DE%20PROGRAMMING/PROGRAMMING/PERSONAL/PYTHON/Image_Generator_API/imagenes/HALIFAX_WOMENS_119004774_BLK_2.jpg")</f>
        <v/>
      </c>
      <c r="N289">
        <f>IMAGE("file:///E:/Estudios%20y%20certificaciones/ESTUDIOS%20DE%20PROGRAMMING/PROGRAMMING/PERSONAL/PYTHON/Image_Generator_API/imagenes/HALIFAX_WOMENS_119004774_BLK_3.jpg")</f>
        <v/>
      </c>
      <c r="O289">
        <f>HYPERLINK("imagenes/HALIFAX_WOMENS_119004774_BLK_1.jpg","Ver imagen")</f>
        <v/>
      </c>
      <c r="P289">
        <f>HYPERLINK("imagenes/HALIFAX_WOMENS_119004774_BLK_2.jpg","Ver imagen")</f>
        <v/>
      </c>
      <c r="Q289">
        <f>HYPERLINK("imagenes/HALIFAX_WOMENS_119004774_BLK_3.jpg","Ver imagen")</f>
        <v/>
      </c>
    </row>
    <row r="290">
      <c r="A290" t="inlineStr">
        <is>
          <t>HALIFAX WOMENS</t>
        </is>
      </c>
      <c r="B290" t="inlineStr">
        <is>
          <t>119004774</t>
        </is>
      </c>
      <c r="C290" t="inlineStr">
        <is>
          <t>DUP41465 Softshell b/t Mellowpile Belted Trench CBL: 32"</t>
        </is>
      </c>
      <c r="D290" t="inlineStr">
        <is>
          <t>BLK</t>
        </is>
      </c>
      <c r="E290" t="inlineStr">
        <is>
          <t>(en blanco)</t>
        </is>
      </c>
      <c r="F290" t="inlineStr">
        <is>
          <t>(en blanco)</t>
        </is>
      </c>
      <c r="G290" t="inlineStr">
        <is>
          <t>XXL</t>
        </is>
      </c>
      <c r="H290" t="n">
        <v>1</v>
      </c>
      <c r="I290" t="inlineStr">
        <is>
          <t>HALIFAX_WOMENS_119004774_BLK_1.jpg</t>
        </is>
      </c>
      <c r="J290" t="inlineStr">
        <is>
          <t>HALIFAX_WOMENS_119004774_BLK_2.jpg</t>
        </is>
      </c>
      <c r="K290" t="inlineStr">
        <is>
          <t>HALIFAX_WOMENS_119004774_BLK_3.jpg</t>
        </is>
      </c>
      <c r="L290">
        <f>IMAGE("file:///E:/Estudios%20y%20certificaciones/ESTUDIOS%20DE%20PROGRAMMING/PROGRAMMING/PERSONAL/PYTHON/Image_Generator_API/imagenes/HALIFAX_WOMENS_119004774_BLK_1.jpg")</f>
        <v/>
      </c>
      <c r="M290">
        <f>IMAGE("file:///E:/Estudios%20y%20certificaciones/ESTUDIOS%20DE%20PROGRAMMING/PROGRAMMING/PERSONAL/PYTHON/Image_Generator_API/imagenes/HALIFAX_WOMENS_119004774_BLK_2.jpg")</f>
        <v/>
      </c>
      <c r="N290">
        <f>IMAGE("file:///E:/Estudios%20y%20certificaciones/ESTUDIOS%20DE%20PROGRAMMING/PROGRAMMING/PERSONAL/PYTHON/Image_Generator_API/imagenes/HALIFAX_WOMENS_119004774_BLK_3.jpg")</f>
        <v/>
      </c>
      <c r="O290">
        <f>HYPERLINK("imagenes/HALIFAX_WOMENS_119004774_BLK_1.jpg","Ver imagen")</f>
        <v/>
      </c>
      <c r="P290">
        <f>HYPERLINK("imagenes/HALIFAX_WOMENS_119004774_BLK_2.jpg","Ver imagen")</f>
        <v/>
      </c>
      <c r="Q290">
        <f>HYPERLINK("imagenes/HALIFAX_WOMENS_119004774_BLK_3.jpg","Ver imagen")</f>
        <v/>
      </c>
    </row>
    <row r="291">
      <c r="A291" t="inlineStr">
        <is>
          <t>HALIFAX WOMENS</t>
        </is>
      </c>
      <c r="B291" t="inlineStr">
        <is>
          <t>119004774</t>
        </is>
      </c>
      <c r="C291" t="inlineStr">
        <is>
          <t>DUP41465 Softshell b/t Mellowpile Belted Trench CBL: 32"</t>
        </is>
      </c>
      <c r="D291" t="inlineStr">
        <is>
          <t>CAM</t>
        </is>
      </c>
      <c r="E291" t="inlineStr">
        <is>
          <t>(en blanco)</t>
        </is>
      </c>
      <c r="F291" t="inlineStr">
        <is>
          <t>D2C</t>
        </is>
      </c>
      <c r="G291" t="inlineStr">
        <is>
          <t>S</t>
        </is>
      </c>
      <c r="H291" t="n">
        <v>32</v>
      </c>
      <c r="I291" t="inlineStr">
        <is>
          <t>HALIFAX_WOMENS_119004774_CAM_1.jpg</t>
        </is>
      </c>
      <c r="J291" t="inlineStr">
        <is>
          <t>HALIFAX_WOMENS_119004774_CAM_2.jpg</t>
        </is>
      </c>
      <c r="K291" t="inlineStr">
        <is>
          <t>HALIFAX_WOMENS_119004774_CAM_3.jpg</t>
        </is>
      </c>
      <c r="L291">
        <f>IMAGE("file:///E:/Estudios%20y%20certificaciones/ESTUDIOS%20DE%20PROGRAMMING/PROGRAMMING/PERSONAL/PYTHON/Image_Generator_API/imagenes/HALIFAX_WOMENS_119004774_CAM_1.jpg")</f>
        <v/>
      </c>
      <c r="M291">
        <f>IMAGE("file:///E:/Estudios%20y%20certificaciones/ESTUDIOS%20DE%20PROGRAMMING/PROGRAMMING/PERSONAL/PYTHON/Image_Generator_API/imagenes/HALIFAX_WOMENS_119004774_CAM_2.jpg")</f>
        <v/>
      </c>
      <c r="N291">
        <f>IMAGE("file:///E:/Estudios%20y%20certificaciones/ESTUDIOS%20DE%20PROGRAMMING/PROGRAMMING/PERSONAL/PYTHON/Image_Generator_API/imagenes/HALIFAX_WOMENS_119004774_CAM_3.jpg")</f>
        <v/>
      </c>
      <c r="O291">
        <f>HYPERLINK("imagenes/HALIFAX_WOMENS_119004774_CAM_1.jpg","Ver imagen")</f>
        <v/>
      </c>
      <c r="P291">
        <f>HYPERLINK("imagenes/HALIFAX_WOMENS_119004774_CAM_2.jpg","Ver imagen")</f>
        <v/>
      </c>
      <c r="Q291">
        <f>HYPERLINK("imagenes/HALIFAX_WOMENS_119004774_CAM_3.jpg","Ver imagen")</f>
        <v/>
      </c>
    </row>
    <row r="292">
      <c r="A292" t="inlineStr">
        <is>
          <t>HALIFAX WOMENS</t>
        </is>
      </c>
      <c r="B292" t="inlineStr">
        <is>
          <t>119004774</t>
        </is>
      </c>
      <c r="C292" t="inlineStr">
        <is>
          <t>DUP41465 Softshell b/t Mellowpile Belted Trench CBL: 32"</t>
        </is>
      </c>
      <c r="D292" t="inlineStr">
        <is>
          <t>CAM</t>
        </is>
      </c>
      <c r="E292" t="inlineStr">
        <is>
          <t>(en blanco)</t>
        </is>
      </c>
      <c r="F292" t="inlineStr">
        <is>
          <t>D2C</t>
        </is>
      </c>
      <c r="G292" t="inlineStr">
        <is>
          <t>M</t>
        </is>
      </c>
      <c r="H292" t="n">
        <v>28</v>
      </c>
      <c r="I292" t="inlineStr">
        <is>
          <t>HALIFAX_WOMENS_119004774_CAM_1.jpg</t>
        </is>
      </c>
      <c r="J292" t="inlineStr">
        <is>
          <t>HALIFAX_WOMENS_119004774_CAM_2.jpg</t>
        </is>
      </c>
      <c r="K292" t="inlineStr">
        <is>
          <t>HALIFAX_WOMENS_119004774_CAM_3.jpg</t>
        </is>
      </c>
      <c r="L292">
        <f>IMAGE("file:///E:/Estudios%20y%20certificaciones/ESTUDIOS%20DE%20PROGRAMMING/PROGRAMMING/PERSONAL/PYTHON/Image_Generator_API/imagenes/HALIFAX_WOMENS_119004774_CAM_1.jpg")</f>
        <v/>
      </c>
      <c r="M292">
        <f>IMAGE("file:///E:/Estudios%20y%20certificaciones/ESTUDIOS%20DE%20PROGRAMMING/PROGRAMMING/PERSONAL/PYTHON/Image_Generator_API/imagenes/HALIFAX_WOMENS_119004774_CAM_2.jpg")</f>
        <v/>
      </c>
      <c r="N292">
        <f>IMAGE("file:///E:/Estudios%20y%20certificaciones/ESTUDIOS%20DE%20PROGRAMMING/PROGRAMMING/PERSONAL/PYTHON/Image_Generator_API/imagenes/HALIFAX_WOMENS_119004774_CAM_3.jpg")</f>
        <v/>
      </c>
      <c r="O292">
        <f>HYPERLINK("imagenes/HALIFAX_WOMENS_119004774_CAM_1.jpg","Ver imagen")</f>
        <v/>
      </c>
      <c r="P292">
        <f>HYPERLINK("imagenes/HALIFAX_WOMENS_119004774_CAM_2.jpg","Ver imagen")</f>
        <v/>
      </c>
      <c r="Q292">
        <f>HYPERLINK("imagenes/HALIFAX_WOMENS_119004774_CAM_3.jpg","Ver imagen")</f>
        <v/>
      </c>
    </row>
    <row r="293">
      <c r="A293" t="inlineStr">
        <is>
          <t>HALIFAX WOMENS</t>
        </is>
      </c>
      <c r="B293" t="inlineStr">
        <is>
          <t>119004774</t>
        </is>
      </c>
      <c r="C293" t="inlineStr">
        <is>
          <t>DUP41465 Softshell b/t Mellowpile Belted Trench CBL: 32"</t>
        </is>
      </c>
      <c r="D293" t="inlineStr">
        <is>
          <t>CAM</t>
        </is>
      </c>
      <c r="E293" t="inlineStr">
        <is>
          <t>(en blanco)</t>
        </is>
      </c>
      <c r="F293" t="inlineStr">
        <is>
          <t>D2C</t>
        </is>
      </c>
      <c r="G293" t="inlineStr">
        <is>
          <t>L</t>
        </is>
      </c>
      <c r="H293" t="n">
        <v>28</v>
      </c>
      <c r="I293" t="inlineStr">
        <is>
          <t>HALIFAX_WOMENS_119004774_CAM_1.jpg</t>
        </is>
      </c>
      <c r="J293" t="inlineStr">
        <is>
          <t>HALIFAX_WOMENS_119004774_CAM_2.jpg</t>
        </is>
      </c>
      <c r="K293" t="inlineStr">
        <is>
          <t>HALIFAX_WOMENS_119004774_CAM_3.jpg</t>
        </is>
      </c>
      <c r="L293">
        <f>IMAGE("file:///E:/Estudios%20y%20certificaciones/ESTUDIOS%20DE%20PROGRAMMING/PROGRAMMING/PERSONAL/PYTHON/Image_Generator_API/imagenes/HALIFAX_WOMENS_119004774_CAM_1.jpg")</f>
        <v/>
      </c>
      <c r="M293">
        <f>IMAGE("file:///E:/Estudios%20y%20certificaciones/ESTUDIOS%20DE%20PROGRAMMING/PROGRAMMING/PERSONAL/PYTHON/Image_Generator_API/imagenes/HALIFAX_WOMENS_119004774_CAM_2.jpg")</f>
        <v/>
      </c>
      <c r="N293">
        <f>IMAGE("file:///E:/Estudios%20y%20certificaciones/ESTUDIOS%20DE%20PROGRAMMING/PROGRAMMING/PERSONAL/PYTHON/Image_Generator_API/imagenes/HALIFAX_WOMENS_119004774_CAM_3.jpg")</f>
        <v/>
      </c>
      <c r="O293">
        <f>HYPERLINK("imagenes/HALIFAX_WOMENS_119004774_CAM_1.jpg","Ver imagen")</f>
        <v/>
      </c>
      <c r="P293">
        <f>HYPERLINK("imagenes/HALIFAX_WOMENS_119004774_CAM_2.jpg","Ver imagen")</f>
        <v/>
      </c>
      <c r="Q293">
        <f>HYPERLINK("imagenes/HALIFAX_WOMENS_119004774_CAM_3.jpg","Ver imagen")</f>
        <v/>
      </c>
    </row>
    <row r="294">
      <c r="A294" t="inlineStr">
        <is>
          <t>HALIFAX WOMENS</t>
        </is>
      </c>
      <c r="B294" t="inlineStr">
        <is>
          <t>119004774</t>
        </is>
      </c>
      <c r="C294" t="inlineStr">
        <is>
          <t>DUP41465 Softshell b/t Mellowpile Belted Trench CBL: 32"</t>
        </is>
      </c>
      <c r="D294" t="inlineStr">
        <is>
          <t>CAM</t>
        </is>
      </c>
      <c r="E294" t="inlineStr">
        <is>
          <t>(en blanco)</t>
        </is>
      </c>
      <c r="F294" t="inlineStr">
        <is>
          <t>D2C</t>
        </is>
      </c>
      <c r="G294" t="inlineStr">
        <is>
          <t>XL</t>
        </is>
      </c>
      <c r="H294" t="n">
        <v>22</v>
      </c>
      <c r="I294" t="inlineStr">
        <is>
          <t>HALIFAX_WOMENS_119004774_CAM_1.jpg</t>
        </is>
      </c>
      <c r="J294" t="inlineStr">
        <is>
          <t>HALIFAX_WOMENS_119004774_CAM_2.jpg</t>
        </is>
      </c>
      <c r="K294" t="inlineStr">
        <is>
          <t>HALIFAX_WOMENS_119004774_CAM_3.jpg</t>
        </is>
      </c>
      <c r="L294">
        <f>IMAGE("file:///E:/Estudios%20y%20certificaciones/ESTUDIOS%20DE%20PROGRAMMING/PROGRAMMING/PERSONAL/PYTHON/Image_Generator_API/imagenes/HALIFAX_WOMENS_119004774_CAM_1.jpg")</f>
        <v/>
      </c>
      <c r="M294">
        <f>IMAGE("file:///E:/Estudios%20y%20certificaciones/ESTUDIOS%20DE%20PROGRAMMING/PROGRAMMING/PERSONAL/PYTHON/Image_Generator_API/imagenes/HALIFAX_WOMENS_119004774_CAM_2.jpg")</f>
        <v/>
      </c>
      <c r="N294">
        <f>IMAGE("file:///E:/Estudios%20y%20certificaciones/ESTUDIOS%20DE%20PROGRAMMING/PROGRAMMING/PERSONAL/PYTHON/Image_Generator_API/imagenes/HALIFAX_WOMENS_119004774_CAM_3.jpg")</f>
        <v/>
      </c>
      <c r="O294">
        <f>HYPERLINK("imagenes/HALIFAX_WOMENS_119004774_CAM_1.jpg","Ver imagen")</f>
        <v/>
      </c>
      <c r="P294">
        <f>HYPERLINK("imagenes/HALIFAX_WOMENS_119004774_CAM_2.jpg","Ver imagen")</f>
        <v/>
      </c>
      <c r="Q294">
        <f>HYPERLINK("imagenes/HALIFAX_WOMENS_119004774_CAM_3.jpg","Ver imagen")</f>
        <v/>
      </c>
    </row>
    <row r="295">
      <c r="A295" t="inlineStr">
        <is>
          <t>HALIFAX WOMENS</t>
        </is>
      </c>
      <c r="B295" t="inlineStr">
        <is>
          <t>119004774</t>
        </is>
      </c>
      <c r="C295" t="inlineStr">
        <is>
          <t>DUP41465 Softshell b/t Mellowpile Belted Trench CBL: 32"</t>
        </is>
      </c>
      <c r="D295" t="inlineStr">
        <is>
          <t>CAM</t>
        </is>
      </c>
      <c r="E295" t="inlineStr">
        <is>
          <t>(en blanco)</t>
        </is>
      </c>
      <c r="F295" t="inlineStr">
        <is>
          <t>D2C</t>
        </is>
      </c>
      <c r="G295" t="inlineStr">
        <is>
          <t>XXL</t>
        </is>
      </c>
      <c r="H295" t="n">
        <v>27</v>
      </c>
      <c r="I295" t="inlineStr">
        <is>
          <t>HALIFAX_WOMENS_119004774_CAM_1.jpg</t>
        </is>
      </c>
      <c r="J295" t="inlineStr">
        <is>
          <t>HALIFAX_WOMENS_119004774_CAM_2.jpg</t>
        </is>
      </c>
      <c r="K295" t="inlineStr">
        <is>
          <t>HALIFAX_WOMENS_119004774_CAM_3.jpg</t>
        </is>
      </c>
      <c r="L295">
        <f>IMAGE("file:///E:/Estudios%20y%20certificaciones/ESTUDIOS%20DE%20PROGRAMMING/PROGRAMMING/PERSONAL/PYTHON/Image_Generator_API/imagenes/HALIFAX_WOMENS_119004774_CAM_1.jpg")</f>
        <v/>
      </c>
      <c r="M295">
        <f>IMAGE("file:///E:/Estudios%20y%20certificaciones/ESTUDIOS%20DE%20PROGRAMMING/PROGRAMMING/PERSONAL/PYTHON/Image_Generator_API/imagenes/HALIFAX_WOMENS_119004774_CAM_2.jpg")</f>
        <v/>
      </c>
      <c r="N295">
        <f>IMAGE("file:///E:/Estudios%20y%20certificaciones/ESTUDIOS%20DE%20PROGRAMMING/PROGRAMMING/PERSONAL/PYTHON/Image_Generator_API/imagenes/HALIFAX_WOMENS_119004774_CAM_3.jpg")</f>
        <v/>
      </c>
      <c r="O295">
        <f>HYPERLINK("imagenes/HALIFAX_WOMENS_119004774_CAM_1.jpg","Ver imagen")</f>
        <v/>
      </c>
      <c r="P295">
        <f>HYPERLINK("imagenes/HALIFAX_WOMENS_119004774_CAM_2.jpg","Ver imagen")</f>
        <v/>
      </c>
      <c r="Q295">
        <f>HYPERLINK("imagenes/HALIFAX_WOMENS_119004774_CAM_3.jpg","Ver imagen")</f>
        <v/>
      </c>
    </row>
    <row r="296">
      <c r="A296" t="inlineStr">
        <is>
          <t>HALIFAX WOMENS</t>
        </is>
      </c>
      <c r="B296" t="inlineStr">
        <is>
          <t>119005341</t>
        </is>
      </c>
      <c r="C296" t="inlineStr">
        <is>
          <t>DUP41494  Faux Fur trim Stretch Puffer Jacket CBL: 26"</t>
        </is>
      </c>
      <c r="D296" t="inlineStr">
        <is>
          <t>BLK</t>
        </is>
      </c>
      <c r="E296" t="inlineStr">
        <is>
          <t>(en blanco)</t>
        </is>
      </c>
      <c r="F296" t="inlineStr">
        <is>
          <t>D2C</t>
        </is>
      </c>
      <c r="G296" t="inlineStr">
        <is>
          <t>S</t>
        </is>
      </c>
      <c r="H296" t="n">
        <v>2</v>
      </c>
      <c r="I296" t="inlineStr">
        <is>
          <t>HALIFAX_WOMENS_119005341_BLK_1.jpg</t>
        </is>
      </c>
      <c r="J296" t="inlineStr">
        <is>
          <t>HALIFAX_WOMENS_119005341_BLK_2.jpg</t>
        </is>
      </c>
      <c r="K296" t="inlineStr">
        <is>
          <t>HALIFAX_WOMENS_119005341_BLK_3.jpg</t>
        </is>
      </c>
      <c r="L296">
        <f>IMAGE("file:///E:/Estudios%20y%20certificaciones/ESTUDIOS%20DE%20PROGRAMMING/PROGRAMMING/PERSONAL/PYTHON/Image_Generator_API/imagenes/HALIFAX_WOMENS_119005341_BLK_1.jpg")</f>
        <v/>
      </c>
      <c r="M296">
        <f>IMAGE("file:///E:/Estudios%20y%20certificaciones/ESTUDIOS%20DE%20PROGRAMMING/PROGRAMMING/PERSONAL/PYTHON/Image_Generator_API/imagenes/HALIFAX_WOMENS_119005341_BLK_2.jpg")</f>
        <v/>
      </c>
      <c r="N296">
        <f>IMAGE("file:///E:/Estudios%20y%20certificaciones/ESTUDIOS%20DE%20PROGRAMMING/PROGRAMMING/PERSONAL/PYTHON/Image_Generator_API/imagenes/HALIFAX_WOMENS_119005341_BLK_3.jpg")</f>
        <v/>
      </c>
      <c r="O296">
        <f>HYPERLINK("imagenes/HALIFAX_WOMENS_119005341_BLK_1.jpg","Ver imagen")</f>
        <v/>
      </c>
      <c r="P296">
        <f>HYPERLINK("imagenes/HALIFAX_WOMENS_119005341_BLK_2.jpg","Ver imagen")</f>
        <v/>
      </c>
      <c r="Q296">
        <f>HYPERLINK("imagenes/HALIFAX_WOMENS_119005341_BLK_3.jpg","Ver imagen")</f>
        <v/>
      </c>
    </row>
    <row r="297">
      <c r="A297" t="inlineStr">
        <is>
          <t>HALIFAX WOMENS</t>
        </is>
      </c>
      <c r="B297" t="inlineStr">
        <is>
          <t>119005341</t>
        </is>
      </c>
      <c r="C297" t="inlineStr">
        <is>
          <t>DUP41494  Faux Fur trim Stretch Puffer Jacket CBL: 26"</t>
        </is>
      </c>
      <c r="D297" t="inlineStr">
        <is>
          <t>BLK</t>
        </is>
      </c>
      <c r="E297" t="inlineStr">
        <is>
          <t>(en blanco)</t>
        </is>
      </c>
      <c r="F297" t="inlineStr">
        <is>
          <t>D2C</t>
        </is>
      </c>
      <c r="G297" t="inlineStr">
        <is>
          <t>M</t>
        </is>
      </c>
      <c r="H297" t="n">
        <v>31</v>
      </c>
      <c r="I297" t="inlineStr">
        <is>
          <t>HALIFAX_WOMENS_119005341_BLK_1.jpg</t>
        </is>
      </c>
      <c r="J297" t="inlineStr">
        <is>
          <t>HALIFAX_WOMENS_119005341_BLK_2.jpg</t>
        </is>
      </c>
      <c r="K297" t="inlineStr">
        <is>
          <t>HALIFAX_WOMENS_119005341_BLK_3.jpg</t>
        </is>
      </c>
      <c r="L297">
        <f>IMAGE("file:///E:/Estudios%20y%20certificaciones/ESTUDIOS%20DE%20PROGRAMMING/PROGRAMMING/PERSONAL/PYTHON/Image_Generator_API/imagenes/HALIFAX_WOMENS_119005341_BLK_1.jpg")</f>
        <v/>
      </c>
      <c r="M297">
        <f>IMAGE("file:///E:/Estudios%20y%20certificaciones/ESTUDIOS%20DE%20PROGRAMMING/PROGRAMMING/PERSONAL/PYTHON/Image_Generator_API/imagenes/HALIFAX_WOMENS_119005341_BLK_2.jpg")</f>
        <v/>
      </c>
      <c r="N297">
        <f>IMAGE("file:///E:/Estudios%20y%20certificaciones/ESTUDIOS%20DE%20PROGRAMMING/PROGRAMMING/PERSONAL/PYTHON/Image_Generator_API/imagenes/HALIFAX_WOMENS_119005341_BLK_3.jpg")</f>
        <v/>
      </c>
      <c r="O297">
        <f>HYPERLINK("imagenes/HALIFAX_WOMENS_119005341_BLK_1.jpg","Ver imagen")</f>
        <v/>
      </c>
      <c r="P297">
        <f>HYPERLINK("imagenes/HALIFAX_WOMENS_119005341_BLK_2.jpg","Ver imagen")</f>
        <v/>
      </c>
      <c r="Q297">
        <f>HYPERLINK("imagenes/HALIFAX_WOMENS_119005341_BLK_3.jpg","Ver imagen")</f>
        <v/>
      </c>
    </row>
    <row r="298">
      <c r="A298" t="inlineStr">
        <is>
          <t>HALIFAX WOMENS</t>
        </is>
      </c>
      <c r="B298" t="inlineStr">
        <is>
          <t>119005341</t>
        </is>
      </c>
      <c r="C298" t="inlineStr">
        <is>
          <t>DUP41494  Faux Fur trim Stretch Puffer Jacket CBL: 26"</t>
        </is>
      </c>
      <c r="D298" t="inlineStr">
        <is>
          <t>BLK</t>
        </is>
      </c>
      <c r="E298" t="inlineStr">
        <is>
          <t>(en blanco)</t>
        </is>
      </c>
      <c r="F298" t="inlineStr">
        <is>
          <t>D2C</t>
        </is>
      </c>
      <c r="G298" t="inlineStr">
        <is>
          <t>L</t>
        </is>
      </c>
      <c r="H298" t="n">
        <v>28</v>
      </c>
      <c r="I298" t="inlineStr">
        <is>
          <t>HALIFAX_WOMENS_119005341_BLK_1.jpg</t>
        </is>
      </c>
      <c r="J298" t="inlineStr">
        <is>
          <t>HALIFAX_WOMENS_119005341_BLK_2.jpg</t>
        </is>
      </c>
      <c r="K298" t="inlineStr">
        <is>
          <t>HALIFAX_WOMENS_119005341_BLK_3.jpg</t>
        </is>
      </c>
      <c r="L298">
        <f>IMAGE("file:///E:/Estudios%20y%20certificaciones/ESTUDIOS%20DE%20PROGRAMMING/PROGRAMMING/PERSONAL/PYTHON/Image_Generator_API/imagenes/HALIFAX_WOMENS_119005341_BLK_1.jpg")</f>
        <v/>
      </c>
      <c r="M298">
        <f>IMAGE("file:///E:/Estudios%20y%20certificaciones/ESTUDIOS%20DE%20PROGRAMMING/PROGRAMMING/PERSONAL/PYTHON/Image_Generator_API/imagenes/HALIFAX_WOMENS_119005341_BLK_2.jpg")</f>
        <v/>
      </c>
      <c r="N298">
        <f>IMAGE("file:///E:/Estudios%20y%20certificaciones/ESTUDIOS%20DE%20PROGRAMMING/PROGRAMMING/PERSONAL/PYTHON/Image_Generator_API/imagenes/HALIFAX_WOMENS_119005341_BLK_3.jpg")</f>
        <v/>
      </c>
      <c r="O298">
        <f>HYPERLINK("imagenes/HALIFAX_WOMENS_119005341_BLK_1.jpg","Ver imagen")</f>
        <v/>
      </c>
      <c r="P298">
        <f>HYPERLINK("imagenes/HALIFAX_WOMENS_119005341_BLK_2.jpg","Ver imagen")</f>
        <v/>
      </c>
      <c r="Q298">
        <f>HYPERLINK("imagenes/HALIFAX_WOMENS_119005341_BLK_3.jpg","Ver imagen")</f>
        <v/>
      </c>
    </row>
    <row r="299">
      <c r="A299" t="inlineStr">
        <is>
          <t>HALIFAX WOMENS</t>
        </is>
      </c>
      <c r="B299" t="inlineStr">
        <is>
          <t>119005341</t>
        </is>
      </c>
      <c r="C299" t="inlineStr">
        <is>
          <t>DUP41494  Faux Fur trim Stretch Puffer Jacket CBL: 26"</t>
        </is>
      </c>
      <c r="D299" t="inlineStr">
        <is>
          <t>BLK</t>
        </is>
      </c>
      <c r="E299" t="inlineStr">
        <is>
          <t>(en blanco)</t>
        </is>
      </c>
      <c r="F299" t="inlineStr">
        <is>
          <t>D2C</t>
        </is>
      </c>
      <c r="G299" t="inlineStr">
        <is>
          <t>XL</t>
        </is>
      </c>
      <c r="H299" t="n">
        <v>41</v>
      </c>
      <c r="I299" t="inlineStr">
        <is>
          <t>HALIFAX_WOMENS_119005341_BLK_1.jpg</t>
        </is>
      </c>
      <c r="J299" t="inlineStr">
        <is>
          <t>HALIFAX_WOMENS_119005341_BLK_2.jpg</t>
        </is>
      </c>
      <c r="K299" t="inlineStr">
        <is>
          <t>HALIFAX_WOMENS_119005341_BLK_3.jpg</t>
        </is>
      </c>
      <c r="L299">
        <f>IMAGE("file:///E:/Estudios%20y%20certificaciones/ESTUDIOS%20DE%20PROGRAMMING/PROGRAMMING/PERSONAL/PYTHON/Image_Generator_API/imagenes/HALIFAX_WOMENS_119005341_BLK_1.jpg")</f>
        <v/>
      </c>
      <c r="M299">
        <f>IMAGE("file:///E:/Estudios%20y%20certificaciones/ESTUDIOS%20DE%20PROGRAMMING/PROGRAMMING/PERSONAL/PYTHON/Image_Generator_API/imagenes/HALIFAX_WOMENS_119005341_BLK_2.jpg")</f>
        <v/>
      </c>
      <c r="N299">
        <f>IMAGE("file:///E:/Estudios%20y%20certificaciones/ESTUDIOS%20DE%20PROGRAMMING/PROGRAMMING/PERSONAL/PYTHON/Image_Generator_API/imagenes/HALIFAX_WOMENS_119005341_BLK_3.jpg")</f>
        <v/>
      </c>
      <c r="O299">
        <f>HYPERLINK("imagenes/HALIFAX_WOMENS_119005341_BLK_1.jpg","Ver imagen")</f>
        <v/>
      </c>
      <c r="P299">
        <f>HYPERLINK("imagenes/HALIFAX_WOMENS_119005341_BLK_2.jpg","Ver imagen")</f>
        <v/>
      </c>
      <c r="Q299">
        <f>HYPERLINK("imagenes/HALIFAX_WOMENS_119005341_BLK_3.jpg","Ver imagen")</f>
        <v/>
      </c>
    </row>
    <row r="300">
      <c r="A300" t="inlineStr">
        <is>
          <t>HALIFAX WOMENS</t>
        </is>
      </c>
      <c r="B300" t="inlineStr">
        <is>
          <t>119005341</t>
        </is>
      </c>
      <c r="C300" t="inlineStr">
        <is>
          <t>DUP41494  Faux Fur trim Stretch Puffer Jacket CBL: 26"</t>
        </is>
      </c>
      <c r="D300" t="inlineStr">
        <is>
          <t>BLK</t>
        </is>
      </c>
      <c r="E300" t="inlineStr">
        <is>
          <t>(en blanco)</t>
        </is>
      </c>
      <c r="F300" t="inlineStr">
        <is>
          <t>D2C</t>
        </is>
      </c>
      <c r="G300" t="inlineStr">
        <is>
          <t>XXL</t>
        </is>
      </c>
      <c r="H300" t="n">
        <v>21</v>
      </c>
      <c r="I300" t="inlineStr">
        <is>
          <t>HALIFAX_WOMENS_119005341_BLK_1.jpg</t>
        </is>
      </c>
      <c r="J300" t="inlineStr">
        <is>
          <t>HALIFAX_WOMENS_119005341_BLK_2.jpg</t>
        </is>
      </c>
      <c r="K300" t="inlineStr">
        <is>
          <t>HALIFAX_WOMENS_119005341_BLK_3.jpg</t>
        </is>
      </c>
      <c r="L300">
        <f>IMAGE("file:///E:/Estudios%20y%20certificaciones/ESTUDIOS%20DE%20PROGRAMMING/PROGRAMMING/PERSONAL/PYTHON/Image_Generator_API/imagenes/HALIFAX_WOMENS_119005341_BLK_1.jpg")</f>
        <v/>
      </c>
      <c r="M300">
        <f>IMAGE("file:///E:/Estudios%20y%20certificaciones/ESTUDIOS%20DE%20PROGRAMMING/PROGRAMMING/PERSONAL/PYTHON/Image_Generator_API/imagenes/HALIFAX_WOMENS_119005341_BLK_2.jpg")</f>
        <v/>
      </c>
      <c r="N300">
        <f>IMAGE("file:///E:/Estudios%20y%20certificaciones/ESTUDIOS%20DE%20PROGRAMMING/PROGRAMMING/PERSONAL/PYTHON/Image_Generator_API/imagenes/HALIFAX_WOMENS_119005341_BLK_3.jpg")</f>
        <v/>
      </c>
      <c r="O300">
        <f>HYPERLINK("imagenes/HALIFAX_WOMENS_119005341_BLK_1.jpg","Ver imagen")</f>
        <v/>
      </c>
      <c r="P300">
        <f>HYPERLINK("imagenes/HALIFAX_WOMENS_119005341_BLK_2.jpg","Ver imagen")</f>
        <v/>
      </c>
      <c r="Q300">
        <f>HYPERLINK("imagenes/HALIFAX_WOMENS_119005341_BLK_3.jpg","Ver imagen")</f>
        <v/>
      </c>
    </row>
    <row r="301">
      <c r="A301" t="inlineStr">
        <is>
          <t>HALIFAX WOMENS</t>
        </is>
      </c>
      <c r="B301" t="inlineStr">
        <is>
          <t>119005341</t>
        </is>
      </c>
      <c r="C301" t="inlineStr">
        <is>
          <t>DUP41494  Faux Fur trim Stretch Puffer Jacket CBL: 26"</t>
        </is>
      </c>
      <c r="D301" t="inlineStr">
        <is>
          <t>BLK</t>
        </is>
      </c>
      <c r="E301" t="inlineStr">
        <is>
          <t>(en blanco)</t>
        </is>
      </c>
      <c r="F301" t="inlineStr">
        <is>
          <t>(en blanco)</t>
        </is>
      </c>
      <c r="G301" t="inlineStr">
        <is>
          <t>M</t>
        </is>
      </c>
      <c r="H301" t="n">
        <v>1</v>
      </c>
      <c r="I301" t="inlineStr">
        <is>
          <t>HALIFAX_WOMENS_119005341_BLK_1.jpg</t>
        </is>
      </c>
      <c r="J301" t="inlineStr">
        <is>
          <t>HALIFAX_WOMENS_119005341_BLK_2.jpg</t>
        </is>
      </c>
      <c r="K301" t="inlineStr">
        <is>
          <t>HALIFAX_WOMENS_119005341_BLK_3.jpg</t>
        </is>
      </c>
      <c r="L301">
        <f>IMAGE("file:///E:/Estudios%20y%20certificaciones/ESTUDIOS%20DE%20PROGRAMMING/PROGRAMMING/PERSONAL/PYTHON/Image_Generator_API/imagenes/HALIFAX_WOMENS_119005341_BLK_1.jpg")</f>
        <v/>
      </c>
      <c r="M301">
        <f>IMAGE("file:///E:/Estudios%20y%20certificaciones/ESTUDIOS%20DE%20PROGRAMMING/PROGRAMMING/PERSONAL/PYTHON/Image_Generator_API/imagenes/HALIFAX_WOMENS_119005341_BLK_2.jpg")</f>
        <v/>
      </c>
      <c r="N301">
        <f>IMAGE("file:///E:/Estudios%20y%20certificaciones/ESTUDIOS%20DE%20PROGRAMMING/PROGRAMMING/PERSONAL/PYTHON/Image_Generator_API/imagenes/HALIFAX_WOMENS_119005341_BLK_3.jpg")</f>
        <v/>
      </c>
      <c r="O301">
        <f>HYPERLINK("imagenes/HALIFAX_WOMENS_119005341_BLK_1.jpg","Ver imagen")</f>
        <v/>
      </c>
      <c r="P301">
        <f>HYPERLINK("imagenes/HALIFAX_WOMENS_119005341_BLK_2.jpg","Ver imagen")</f>
        <v/>
      </c>
      <c r="Q301">
        <f>HYPERLINK("imagenes/HALIFAX_WOMENS_119005341_BLK_3.jpg","Ver imagen")</f>
        <v/>
      </c>
    </row>
    <row r="302">
      <c r="A302" t="inlineStr">
        <is>
          <t>HALIFAX WOMENS</t>
        </is>
      </c>
      <c r="B302" t="inlineStr">
        <is>
          <t>119005341</t>
        </is>
      </c>
      <c r="C302" t="inlineStr">
        <is>
          <t>DUP41494  Faux Fur trim Stretch Puffer Jacket CBL: 26"</t>
        </is>
      </c>
      <c r="D302" t="inlineStr">
        <is>
          <t>BLK</t>
        </is>
      </c>
      <c r="E302" t="inlineStr">
        <is>
          <t>(en blanco)</t>
        </is>
      </c>
      <c r="F302" t="inlineStr">
        <is>
          <t>(en blanco)</t>
        </is>
      </c>
      <c r="G302" t="inlineStr">
        <is>
          <t>L</t>
        </is>
      </c>
      <c r="H302" t="n">
        <v>2</v>
      </c>
      <c r="I302" t="inlineStr">
        <is>
          <t>HALIFAX_WOMENS_119005341_BLK_1.jpg</t>
        </is>
      </c>
      <c r="J302" t="inlineStr">
        <is>
          <t>HALIFAX_WOMENS_119005341_BLK_2.jpg</t>
        </is>
      </c>
      <c r="K302" t="inlineStr">
        <is>
          <t>HALIFAX_WOMENS_119005341_BLK_3.jpg</t>
        </is>
      </c>
      <c r="L302">
        <f>IMAGE("file:///E:/Estudios%20y%20certificaciones/ESTUDIOS%20DE%20PROGRAMMING/PROGRAMMING/PERSONAL/PYTHON/Image_Generator_API/imagenes/HALIFAX_WOMENS_119005341_BLK_1.jpg")</f>
        <v/>
      </c>
      <c r="M302">
        <f>IMAGE("file:///E:/Estudios%20y%20certificaciones/ESTUDIOS%20DE%20PROGRAMMING/PROGRAMMING/PERSONAL/PYTHON/Image_Generator_API/imagenes/HALIFAX_WOMENS_119005341_BLK_2.jpg")</f>
        <v/>
      </c>
      <c r="N302">
        <f>IMAGE("file:///E:/Estudios%20y%20certificaciones/ESTUDIOS%20DE%20PROGRAMMING/PROGRAMMING/PERSONAL/PYTHON/Image_Generator_API/imagenes/HALIFAX_WOMENS_119005341_BLK_3.jpg")</f>
        <v/>
      </c>
      <c r="O302">
        <f>HYPERLINK("imagenes/HALIFAX_WOMENS_119005341_BLK_1.jpg","Ver imagen")</f>
        <v/>
      </c>
      <c r="P302">
        <f>HYPERLINK("imagenes/HALIFAX_WOMENS_119005341_BLK_2.jpg","Ver imagen")</f>
        <v/>
      </c>
      <c r="Q302">
        <f>HYPERLINK("imagenes/HALIFAX_WOMENS_119005341_BLK_3.jpg","Ver imagen")</f>
        <v/>
      </c>
    </row>
    <row r="303">
      <c r="A303" t="inlineStr">
        <is>
          <t>HALIFAX WOMENS</t>
        </is>
      </c>
      <c r="B303" t="inlineStr">
        <is>
          <t>119005341</t>
        </is>
      </c>
      <c r="C303" t="inlineStr">
        <is>
          <t>DUP41494  Faux Fur trim Stretch Puffer Jacket CBL: 26"</t>
        </is>
      </c>
      <c r="D303" t="inlineStr">
        <is>
          <t>BON</t>
        </is>
      </c>
      <c r="E303" t="inlineStr">
        <is>
          <t>(en blanco)</t>
        </is>
      </c>
      <c r="F303" t="inlineStr">
        <is>
          <t>D2C</t>
        </is>
      </c>
      <c r="G303" t="inlineStr">
        <is>
          <t>S</t>
        </is>
      </c>
      <c r="H303" t="n">
        <v>1</v>
      </c>
      <c r="I303" t="inlineStr">
        <is>
          <t>HALIFAX_WOMENS_119005341_BON_1.jpg</t>
        </is>
      </c>
      <c r="J303" t="inlineStr">
        <is>
          <t>HALIFAX_WOMENS_119005341_BON_2.jpg</t>
        </is>
      </c>
      <c r="K303" t="inlineStr">
        <is>
          <t>HALIFAX_WOMENS_119005341_BON_3.jpg</t>
        </is>
      </c>
      <c r="L303">
        <f>IMAGE("file:///E:/Estudios%20y%20certificaciones/ESTUDIOS%20DE%20PROGRAMMING/PROGRAMMING/PERSONAL/PYTHON/Image_Generator_API/imagenes/HALIFAX_WOMENS_119005341_BON_1.jpg")</f>
        <v/>
      </c>
      <c r="M303">
        <f>IMAGE("file:///E:/Estudios%20y%20certificaciones/ESTUDIOS%20DE%20PROGRAMMING/PROGRAMMING/PERSONAL/PYTHON/Image_Generator_API/imagenes/HALIFAX_WOMENS_119005341_BON_2.jpg")</f>
        <v/>
      </c>
      <c r="N303">
        <f>IMAGE("file:///E:/Estudios%20y%20certificaciones/ESTUDIOS%20DE%20PROGRAMMING/PROGRAMMING/PERSONAL/PYTHON/Image_Generator_API/imagenes/HALIFAX_WOMENS_119005341_BON_3.jpg")</f>
        <v/>
      </c>
      <c r="O303">
        <f>HYPERLINK("imagenes/HALIFAX_WOMENS_119005341_BON_1.jpg","Ver imagen")</f>
        <v/>
      </c>
      <c r="P303">
        <f>HYPERLINK("imagenes/HALIFAX_WOMENS_119005341_BON_2.jpg","Ver imagen")</f>
        <v/>
      </c>
      <c r="Q303">
        <f>HYPERLINK("imagenes/HALIFAX_WOMENS_119005341_BON_3.jpg","Ver imagen")</f>
        <v/>
      </c>
    </row>
    <row r="304">
      <c r="A304" t="inlineStr">
        <is>
          <t>HALIFAX WOMENS</t>
        </is>
      </c>
      <c r="B304" t="inlineStr">
        <is>
          <t>119005341</t>
        </is>
      </c>
      <c r="C304" t="inlineStr">
        <is>
          <t>DUP41494  Faux Fur trim Stretch Puffer Jacket CBL: 26"</t>
        </is>
      </c>
      <c r="D304" t="inlineStr">
        <is>
          <t>BON</t>
        </is>
      </c>
      <c r="E304" t="inlineStr">
        <is>
          <t>(en blanco)</t>
        </is>
      </c>
      <c r="F304" t="inlineStr">
        <is>
          <t>D2C</t>
        </is>
      </c>
      <c r="G304" t="inlineStr">
        <is>
          <t>M</t>
        </is>
      </c>
      <c r="H304" t="n">
        <v>15</v>
      </c>
      <c r="I304" t="inlineStr">
        <is>
          <t>HALIFAX_WOMENS_119005341_BON_1.jpg</t>
        </is>
      </c>
      <c r="J304" t="inlineStr">
        <is>
          <t>HALIFAX_WOMENS_119005341_BON_2.jpg</t>
        </is>
      </c>
      <c r="K304" t="inlineStr">
        <is>
          <t>HALIFAX_WOMENS_119005341_BON_3.jpg</t>
        </is>
      </c>
      <c r="L304">
        <f>IMAGE("file:///E:/Estudios%20y%20certificaciones/ESTUDIOS%20DE%20PROGRAMMING/PROGRAMMING/PERSONAL/PYTHON/Image_Generator_API/imagenes/HALIFAX_WOMENS_119005341_BON_1.jpg")</f>
        <v/>
      </c>
      <c r="M304">
        <f>IMAGE("file:///E:/Estudios%20y%20certificaciones/ESTUDIOS%20DE%20PROGRAMMING/PROGRAMMING/PERSONAL/PYTHON/Image_Generator_API/imagenes/HALIFAX_WOMENS_119005341_BON_2.jpg")</f>
        <v/>
      </c>
      <c r="N304">
        <f>IMAGE("file:///E:/Estudios%20y%20certificaciones/ESTUDIOS%20DE%20PROGRAMMING/PROGRAMMING/PERSONAL/PYTHON/Image_Generator_API/imagenes/HALIFAX_WOMENS_119005341_BON_3.jpg")</f>
        <v/>
      </c>
      <c r="O304">
        <f>HYPERLINK("imagenes/HALIFAX_WOMENS_119005341_BON_1.jpg","Ver imagen")</f>
        <v/>
      </c>
      <c r="P304">
        <f>HYPERLINK("imagenes/HALIFAX_WOMENS_119005341_BON_2.jpg","Ver imagen")</f>
        <v/>
      </c>
      <c r="Q304">
        <f>HYPERLINK("imagenes/HALIFAX_WOMENS_119005341_BON_3.jpg","Ver imagen")</f>
        <v/>
      </c>
    </row>
    <row r="305">
      <c r="A305" t="inlineStr">
        <is>
          <t>HALIFAX WOMENS</t>
        </is>
      </c>
      <c r="B305" t="inlineStr">
        <is>
          <t>119005341</t>
        </is>
      </c>
      <c r="C305" t="inlineStr">
        <is>
          <t>DUP41494  Faux Fur trim Stretch Puffer Jacket CBL: 26"</t>
        </is>
      </c>
      <c r="D305" t="inlineStr">
        <is>
          <t>BON</t>
        </is>
      </c>
      <c r="E305" t="inlineStr">
        <is>
          <t>(en blanco)</t>
        </is>
      </c>
      <c r="F305" t="inlineStr">
        <is>
          <t>D2C</t>
        </is>
      </c>
      <c r="G305" t="inlineStr">
        <is>
          <t>L</t>
        </is>
      </c>
      <c r="H305" t="n">
        <v>25</v>
      </c>
      <c r="I305" t="inlineStr">
        <is>
          <t>HALIFAX_WOMENS_119005341_BON_1.jpg</t>
        </is>
      </c>
      <c r="J305" t="inlineStr">
        <is>
          <t>HALIFAX_WOMENS_119005341_BON_2.jpg</t>
        </is>
      </c>
      <c r="K305" t="inlineStr">
        <is>
          <t>HALIFAX_WOMENS_119005341_BON_3.jpg</t>
        </is>
      </c>
      <c r="L305">
        <f>IMAGE("file:///E:/Estudios%20y%20certificaciones/ESTUDIOS%20DE%20PROGRAMMING/PROGRAMMING/PERSONAL/PYTHON/Image_Generator_API/imagenes/HALIFAX_WOMENS_119005341_BON_1.jpg")</f>
        <v/>
      </c>
      <c r="M305">
        <f>IMAGE("file:///E:/Estudios%20y%20certificaciones/ESTUDIOS%20DE%20PROGRAMMING/PROGRAMMING/PERSONAL/PYTHON/Image_Generator_API/imagenes/HALIFAX_WOMENS_119005341_BON_2.jpg")</f>
        <v/>
      </c>
      <c r="N305">
        <f>IMAGE("file:///E:/Estudios%20y%20certificaciones/ESTUDIOS%20DE%20PROGRAMMING/PROGRAMMING/PERSONAL/PYTHON/Image_Generator_API/imagenes/HALIFAX_WOMENS_119005341_BON_3.jpg")</f>
        <v/>
      </c>
      <c r="O305">
        <f>HYPERLINK("imagenes/HALIFAX_WOMENS_119005341_BON_1.jpg","Ver imagen")</f>
        <v/>
      </c>
      <c r="P305">
        <f>HYPERLINK("imagenes/HALIFAX_WOMENS_119005341_BON_2.jpg","Ver imagen")</f>
        <v/>
      </c>
      <c r="Q305">
        <f>HYPERLINK("imagenes/HALIFAX_WOMENS_119005341_BON_3.jpg","Ver imagen")</f>
        <v/>
      </c>
    </row>
    <row r="306">
      <c r="A306" t="inlineStr">
        <is>
          <t>HALIFAX WOMENS</t>
        </is>
      </c>
      <c r="B306" t="inlineStr">
        <is>
          <t>119005341</t>
        </is>
      </c>
      <c r="C306" t="inlineStr">
        <is>
          <t>DUP41494  Faux Fur trim Stretch Puffer Jacket CBL: 26"</t>
        </is>
      </c>
      <c r="D306" t="inlineStr">
        <is>
          <t>BON</t>
        </is>
      </c>
      <c r="E306" t="inlineStr">
        <is>
          <t>(en blanco)</t>
        </is>
      </c>
      <c r="F306" t="inlineStr">
        <is>
          <t>D2C</t>
        </is>
      </c>
      <c r="G306" t="inlineStr">
        <is>
          <t>XL</t>
        </is>
      </c>
      <c r="H306" t="n">
        <v>22</v>
      </c>
      <c r="I306" t="inlineStr">
        <is>
          <t>HALIFAX_WOMENS_119005341_BON_1.jpg</t>
        </is>
      </c>
      <c r="J306" t="inlineStr">
        <is>
          <t>HALIFAX_WOMENS_119005341_BON_2.jpg</t>
        </is>
      </c>
      <c r="K306" t="inlineStr">
        <is>
          <t>HALIFAX_WOMENS_119005341_BON_3.jpg</t>
        </is>
      </c>
      <c r="L306">
        <f>IMAGE("file:///E:/Estudios%20y%20certificaciones/ESTUDIOS%20DE%20PROGRAMMING/PROGRAMMING/PERSONAL/PYTHON/Image_Generator_API/imagenes/HALIFAX_WOMENS_119005341_BON_1.jpg")</f>
        <v/>
      </c>
      <c r="M306">
        <f>IMAGE("file:///E:/Estudios%20y%20certificaciones/ESTUDIOS%20DE%20PROGRAMMING/PROGRAMMING/PERSONAL/PYTHON/Image_Generator_API/imagenes/HALIFAX_WOMENS_119005341_BON_2.jpg")</f>
        <v/>
      </c>
      <c r="N306">
        <f>IMAGE("file:///E:/Estudios%20y%20certificaciones/ESTUDIOS%20DE%20PROGRAMMING/PROGRAMMING/PERSONAL/PYTHON/Image_Generator_API/imagenes/HALIFAX_WOMENS_119005341_BON_3.jpg")</f>
        <v/>
      </c>
      <c r="O306">
        <f>HYPERLINK("imagenes/HALIFAX_WOMENS_119005341_BON_1.jpg","Ver imagen")</f>
        <v/>
      </c>
      <c r="P306">
        <f>HYPERLINK("imagenes/HALIFAX_WOMENS_119005341_BON_2.jpg","Ver imagen")</f>
        <v/>
      </c>
      <c r="Q306">
        <f>HYPERLINK("imagenes/HALIFAX_WOMENS_119005341_BON_3.jpg","Ver imagen")</f>
        <v/>
      </c>
    </row>
    <row r="307">
      <c r="A307" t="inlineStr">
        <is>
          <t>HALIFAX WOMENS</t>
        </is>
      </c>
      <c r="B307" t="inlineStr">
        <is>
          <t>119005341</t>
        </is>
      </c>
      <c r="C307" t="inlineStr">
        <is>
          <t>DUP41494  Faux Fur trim Stretch Puffer Jacket CBL: 26"</t>
        </is>
      </c>
      <c r="D307" t="inlineStr">
        <is>
          <t>BON</t>
        </is>
      </c>
      <c r="E307" t="inlineStr">
        <is>
          <t>(en blanco)</t>
        </is>
      </c>
      <c r="F307" t="inlineStr">
        <is>
          <t>D2C</t>
        </is>
      </c>
      <c r="G307" t="inlineStr">
        <is>
          <t>XXL</t>
        </is>
      </c>
      <c r="H307" t="n">
        <v>13</v>
      </c>
      <c r="I307" t="inlineStr">
        <is>
          <t>HALIFAX_WOMENS_119005341_BON_1.jpg</t>
        </is>
      </c>
      <c r="J307" t="inlineStr">
        <is>
          <t>HALIFAX_WOMENS_119005341_BON_2.jpg</t>
        </is>
      </c>
      <c r="K307" t="inlineStr">
        <is>
          <t>HALIFAX_WOMENS_119005341_BON_3.jpg</t>
        </is>
      </c>
      <c r="L307">
        <f>IMAGE("file:///E:/Estudios%20y%20certificaciones/ESTUDIOS%20DE%20PROGRAMMING/PROGRAMMING/PERSONAL/PYTHON/Image_Generator_API/imagenes/HALIFAX_WOMENS_119005341_BON_1.jpg")</f>
        <v/>
      </c>
      <c r="M307">
        <f>IMAGE("file:///E:/Estudios%20y%20certificaciones/ESTUDIOS%20DE%20PROGRAMMING/PROGRAMMING/PERSONAL/PYTHON/Image_Generator_API/imagenes/HALIFAX_WOMENS_119005341_BON_2.jpg")</f>
        <v/>
      </c>
      <c r="N307">
        <f>IMAGE("file:///E:/Estudios%20y%20certificaciones/ESTUDIOS%20DE%20PROGRAMMING/PROGRAMMING/PERSONAL/PYTHON/Image_Generator_API/imagenes/HALIFAX_WOMENS_119005341_BON_3.jpg")</f>
        <v/>
      </c>
      <c r="O307">
        <f>HYPERLINK("imagenes/HALIFAX_WOMENS_119005341_BON_1.jpg","Ver imagen")</f>
        <v/>
      </c>
      <c r="P307">
        <f>HYPERLINK("imagenes/HALIFAX_WOMENS_119005341_BON_2.jpg","Ver imagen")</f>
        <v/>
      </c>
      <c r="Q307">
        <f>HYPERLINK("imagenes/HALIFAX_WOMENS_119005341_BON_3.jpg","Ver imagen")</f>
        <v/>
      </c>
    </row>
    <row r="308">
      <c r="A308" t="inlineStr">
        <is>
          <t>HALIFAX WOMENS</t>
        </is>
      </c>
      <c r="B308" t="inlineStr">
        <is>
          <t>119005341</t>
        </is>
      </c>
      <c r="C308" t="inlineStr">
        <is>
          <t>DUP41494  Faux Fur trim Stretch Puffer Jacket CBL: 26"</t>
        </is>
      </c>
      <c r="D308" t="inlineStr">
        <is>
          <t>MSG</t>
        </is>
      </c>
      <c r="E308" t="inlineStr">
        <is>
          <t>(en blanco)</t>
        </is>
      </c>
      <c r="F308" t="inlineStr">
        <is>
          <t>D2C</t>
        </is>
      </c>
      <c r="G308" t="inlineStr">
        <is>
          <t>S</t>
        </is>
      </c>
      <c r="H308" t="n">
        <v>14</v>
      </c>
      <c r="I308" t="inlineStr">
        <is>
          <t>HALIFAX_WOMENS_119005341_MSG_1.jpg</t>
        </is>
      </c>
      <c r="J308" t="inlineStr">
        <is>
          <t>HALIFAX_WOMENS_119005341_MSG_2.jpg</t>
        </is>
      </c>
      <c r="K308" t="inlineStr">
        <is>
          <t>HALIFAX_WOMENS_119005341_MSG_3.jpg</t>
        </is>
      </c>
      <c r="L308">
        <f>IMAGE("file:///E:/Estudios%20y%20certificaciones/ESTUDIOS%20DE%20PROGRAMMING/PROGRAMMING/PERSONAL/PYTHON/Image_Generator_API/imagenes/HALIFAX_WOMENS_119005341_MSG_1.jpg")</f>
        <v/>
      </c>
      <c r="M308">
        <f>IMAGE("file:///E:/Estudios%20y%20certificaciones/ESTUDIOS%20DE%20PROGRAMMING/PROGRAMMING/PERSONAL/PYTHON/Image_Generator_API/imagenes/HALIFAX_WOMENS_119005341_MSG_2.jpg")</f>
        <v/>
      </c>
      <c r="N308">
        <f>IMAGE("file:///E:/Estudios%20y%20certificaciones/ESTUDIOS%20DE%20PROGRAMMING/PROGRAMMING/PERSONAL/PYTHON/Image_Generator_API/imagenes/HALIFAX_WOMENS_119005341_MSG_3.jpg")</f>
        <v/>
      </c>
      <c r="O308">
        <f>HYPERLINK("imagenes/HALIFAX_WOMENS_119005341_MSG_1.jpg","Ver imagen")</f>
        <v/>
      </c>
      <c r="P308">
        <f>HYPERLINK("imagenes/HALIFAX_WOMENS_119005341_MSG_2.jpg","Ver imagen")</f>
        <v/>
      </c>
      <c r="Q308">
        <f>HYPERLINK("imagenes/HALIFAX_WOMENS_119005341_MSG_3.jpg","Ver imagen")</f>
        <v/>
      </c>
    </row>
    <row r="309">
      <c r="A309" t="inlineStr">
        <is>
          <t>HALIFAX WOMENS</t>
        </is>
      </c>
      <c r="B309" t="inlineStr">
        <is>
          <t>119005341</t>
        </is>
      </c>
      <c r="C309" t="inlineStr">
        <is>
          <t>DUP41494  Faux Fur trim Stretch Puffer Jacket CBL: 26"</t>
        </is>
      </c>
      <c r="D309" t="inlineStr">
        <is>
          <t>MSG</t>
        </is>
      </c>
      <c r="E309" t="inlineStr">
        <is>
          <t>(en blanco)</t>
        </is>
      </c>
      <c r="F309" t="inlineStr">
        <is>
          <t>D2C</t>
        </is>
      </c>
      <c r="G309" t="inlineStr">
        <is>
          <t>M</t>
        </is>
      </c>
      <c r="H309" t="n">
        <v>24</v>
      </c>
      <c r="I309" t="inlineStr">
        <is>
          <t>HALIFAX_WOMENS_119005341_MSG_1.jpg</t>
        </is>
      </c>
      <c r="J309" t="inlineStr">
        <is>
          <t>HALIFAX_WOMENS_119005341_MSG_2.jpg</t>
        </is>
      </c>
      <c r="K309" t="inlineStr">
        <is>
          <t>HALIFAX_WOMENS_119005341_MSG_3.jpg</t>
        </is>
      </c>
      <c r="L309">
        <f>IMAGE("file:///E:/Estudios%20y%20certificaciones/ESTUDIOS%20DE%20PROGRAMMING/PROGRAMMING/PERSONAL/PYTHON/Image_Generator_API/imagenes/HALIFAX_WOMENS_119005341_MSG_1.jpg")</f>
        <v/>
      </c>
      <c r="M309">
        <f>IMAGE("file:///E:/Estudios%20y%20certificaciones/ESTUDIOS%20DE%20PROGRAMMING/PROGRAMMING/PERSONAL/PYTHON/Image_Generator_API/imagenes/HALIFAX_WOMENS_119005341_MSG_2.jpg")</f>
        <v/>
      </c>
      <c r="N309">
        <f>IMAGE("file:///E:/Estudios%20y%20certificaciones/ESTUDIOS%20DE%20PROGRAMMING/PROGRAMMING/PERSONAL/PYTHON/Image_Generator_API/imagenes/HALIFAX_WOMENS_119005341_MSG_3.jpg")</f>
        <v/>
      </c>
      <c r="O309">
        <f>HYPERLINK("imagenes/HALIFAX_WOMENS_119005341_MSG_1.jpg","Ver imagen")</f>
        <v/>
      </c>
      <c r="P309">
        <f>HYPERLINK("imagenes/HALIFAX_WOMENS_119005341_MSG_2.jpg","Ver imagen")</f>
        <v/>
      </c>
      <c r="Q309">
        <f>HYPERLINK("imagenes/HALIFAX_WOMENS_119005341_MSG_3.jpg","Ver imagen")</f>
        <v/>
      </c>
    </row>
    <row r="310">
      <c r="A310" t="inlineStr">
        <is>
          <t>HALIFAX WOMENS</t>
        </is>
      </c>
      <c r="B310" t="inlineStr">
        <is>
          <t>119005341</t>
        </is>
      </c>
      <c r="C310" t="inlineStr">
        <is>
          <t>DUP41494  Faux Fur trim Stretch Puffer Jacket CBL: 26"</t>
        </is>
      </c>
      <c r="D310" t="inlineStr">
        <is>
          <t>MSG</t>
        </is>
      </c>
      <c r="E310" t="inlineStr">
        <is>
          <t>(en blanco)</t>
        </is>
      </c>
      <c r="F310" t="inlineStr">
        <is>
          <t>D2C</t>
        </is>
      </c>
      <c r="G310" t="inlineStr">
        <is>
          <t>L</t>
        </is>
      </c>
      <c r="H310" t="n">
        <v>22</v>
      </c>
      <c r="I310" t="inlineStr">
        <is>
          <t>HALIFAX_WOMENS_119005341_MSG_1.jpg</t>
        </is>
      </c>
      <c r="J310" t="inlineStr">
        <is>
          <t>HALIFAX_WOMENS_119005341_MSG_2.jpg</t>
        </is>
      </c>
      <c r="K310" t="inlineStr">
        <is>
          <t>HALIFAX_WOMENS_119005341_MSG_3.jpg</t>
        </is>
      </c>
      <c r="L310">
        <f>IMAGE("file:///E:/Estudios%20y%20certificaciones/ESTUDIOS%20DE%20PROGRAMMING/PROGRAMMING/PERSONAL/PYTHON/Image_Generator_API/imagenes/HALIFAX_WOMENS_119005341_MSG_1.jpg")</f>
        <v/>
      </c>
      <c r="M310">
        <f>IMAGE("file:///E:/Estudios%20y%20certificaciones/ESTUDIOS%20DE%20PROGRAMMING/PROGRAMMING/PERSONAL/PYTHON/Image_Generator_API/imagenes/HALIFAX_WOMENS_119005341_MSG_2.jpg")</f>
        <v/>
      </c>
      <c r="N310">
        <f>IMAGE("file:///E:/Estudios%20y%20certificaciones/ESTUDIOS%20DE%20PROGRAMMING/PROGRAMMING/PERSONAL/PYTHON/Image_Generator_API/imagenes/HALIFAX_WOMENS_119005341_MSG_3.jpg")</f>
        <v/>
      </c>
      <c r="O310">
        <f>HYPERLINK("imagenes/HALIFAX_WOMENS_119005341_MSG_1.jpg","Ver imagen")</f>
        <v/>
      </c>
      <c r="P310">
        <f>HYPERLINK("imagenes/HALIFAX_WOMENS_119005341_MSG_2.jpg","Ver imagen")</f>
        <v/>
      </c>
      <c r="Q310">
        <f>HYPERLINK("imagenes/HALIFAX_WOMENS_119005341_MSG_3.jpg","Ver imagen")</f>
        <v/>
      </c>
    </row>
    <row r="311">
      <c r="A311" t="inlineStr">
        <is>
          <t>HALIFAX WOMENS</t>
        </is>
      </c>
      <c r="B311" t="inlineStr">
        <is>
          <t>119005341</t>
        </is>
      </c>
      <c r="C311" t="inlineStr">
        <is>
          <t>DUP41494  Faux Fur trim Stretch Puffer Jacket CBL: 26"</t>
        </is>
      </c>
      <c r="D311" t="inlineStr">
        <is>
          <t>MSG</t>
        </is>
      </c>
      <c r="E311" t="inlineStr">
        <is>
          <t>(en blanco)</t>
        </is>
      </c>
      <c r="F311" t="inlineStr">
        <is>
          <t>D2C</t>
        </is>
      </c>
      <c r="G311" t="inlineStr">
        <is>
          <t>XL</t>
        </is>
      </c>
      <c r="H311" t="n">
        <v>24</v>
      </c>
      <c r="I311" t="inlineStr">
        <is>
          <t>HALIFAX_WOMENS_119005341_MSG_1.jpg</t>
        </is>
      </c>
      <c r="J311" t="inlineStr">
        <is>
          <t>HALIFAX_WOMENS_119005341_MSG_2.jpg</t>
        </is>
      </c>
      <c r="K311" t="inlineStr">
        <is>
          <t>HALIFAX_WOMENS_119005341_MSG_3.jpg</t>
        </is>
      </c>
      <c r="L311">
        <f>IMAGE("file:///E:/Estudios%20y%20certificaciones/ESTUDIOS%20DE%20PROGRAMMING/PROGRAMMING/PERSONAL/PYTHON/Image_Generator_API/imagenes/HALIFAX_WOMENS_119005341_MSG_1.jpg")</f>
        <v/>
      </c>
      <c r="M311">
        <f>IMAGE("file:///E:/Estudios%20y%20certificaciones/ESTUDIOS%20DE%20PROGRAMMING/PROGRAMMING/PERSONAL/PYTHON/Image_Generator_API/imagenes/HALIFAX_WOMENS_119005341_MSG_2.jpg")</f>
        <v/>
      </c>
      <c r="N311">
        <f>IMAGE("file:///E:/Estudios%20y%20certificaciones/ESTUDIOS%20DE%20PROGRAMMING/PROGRAMMING/PERSONAL/PYTHON/Image_Generator_API/imagenes/HALIFAX_WOMENS_119005341_MSG_3.jpg")</f>
        <v/>
      </c>
      <c r="O311">
        <f>HYPERLINK("imagenes/HALIFAX_WOMENS_119005341_MSG_1.jpg","Ver imagen")</f>
        <v/>
      </c>
      <c r="P311">
        <f>HYPERLINK("imagenes/HALIFAX_WOMENS_119005341_MSG_2.jpg","Ver imagen")</f>
        <v/>
      </c>
      <c r="Q311">
        <f>HYPERLINK("imagenes/HALIFAX_WOMENS_119005341_MSG_3.jpg","Ver imagen")</f>
        <v/>
      </c>
    </row>
    <row r="312">
      <c r="A312" t="inlineStr">
        <is>
          <t>HALIFAX WOMENS</t>
        </is>
      </c>
      <c r="B312" t="inlineStr">
        <is>
          <t>119005341</t>
        </is>
      </c>
      <c r="C312" t="inlineStr">
        <is>
          <t>DUP41494  Faux Fur trim Stretch Puffer Jacket CBL: 26"</t>
        </is>
      </c>
      <c r="D312" t="inlineStr">
        <is>
          <t>MSG</t>
        </is>
      </c>
      <c r="E312" t="inlineStr">
        <is>
          <t>(en blanco)</t>
        </is>
      </c>
      <c r="F312" t="inlineStr">
        <is>
          <t>D2C</t>
        </is>
      </c>
      <c r="G312" t="inlineStr">
        <is>
          <t>XXL</t>
        </is>
      </c>
      <c r="H312" t="n">
        <v>12</v>
      </c>
      <c r="I312" t="inlineStr">
        <is>
          <t>HALIFAX_WOMENS_119005341_MSG_1.jpg</t>
        </is>
      </c>
      <c r="J312" t="inlineStr">
        <is>
          <t>HALIFAX_WOMENS_119005341_MSG_2.jpg</t>
        </is>
      </c>
      <c r="K312" t="inlineStr">
        <is>
          <t>HALIFAX_WOMENS_119005341_MSG_3.jpg</t>
        </is>
      </c>
      <c r="L312">
        <f>IMAGE("file:///E:/Estudios%20y%20certificaciones/ESTUDIOS%20DE%20PROGRAMMING/PROGRAMMING/PERSONAL/PYTHON/Image_Generator_API/imagenes/HALIFAX_WOMENS_119005341_MSG_1.jpg")</f>
        <v/>
      </c>
      <c r="M312">
        <f>IMAGE("file:///E:/Estudios%20y%20certificaciones/ESTUDIOS%20DE%20PROGRAMMING/PROGRAMMING/PERSONAL/PYTHON/Image_Generator_API/imagenes/HALIFAX_WOMENS_119005341_MSG_2.jpg")</f>
        <v/>
      </c>
      <c r="N312">
        <f>IMAGE("file:///E:/Estudios%20y%20certificaciones/ESTUDIOS%20DE%20PROGRAMMING/PROGRAMMING/PERSONAL/PYTHON/Image_Generator_API/imagenes/HALIFAX_WOMENS_119005341_MSG_3.jpg")</f>
        <v/>
      </c>
      <c r="O312">
        <f>HYPERLINK("imagenes/HALIFAX_WOMENS_119005341_MSG_1.jpg","Ver imagen")</f>
        <v/>
      </c>
      <c r="P312">
        <f>HYPERLINK("imagenes/HALIFAX_WOMENS_119005341_MSG_2.jpg","Ver imagen")</f>
        <v/>
      </c>
      <c r="Q312">
        <f>HYPERLINK("imagenes/HALIFAX_WOMENS_119005341_MSG_3.jpg","Ver imagen")</f>
        <v/>
      </c>
    </row>
    <row r="313">
      <c r="A313" t="inlineStr">
        <is>
          <t>HALIFAX WOMENS</t>
        </is>
      </c>
      <c r="B313" t="inlineStr">
        <is>
          <t>119005383</t>
        </is>
      </c>
      <c r="C313" t="inlineStr">
        <is>
          <t>Fleece Lined Rain Anorak CBL: 281/2"</t>
        </is>
      </c>
      <c r="D313" t="inlineStr">
        <is>
          <t>BLK</t>
        </is>
      </c>
      <c r="E313" t="inlineStr">
        <is>
          <t>08A06</t>
        </is>
      </c>
      <c r="F313" t="inlineStr">
        <is>
          <t>(en blanco)</t>
        </is>
      </c>
      <c r="G313" t="inlineStr">
        <is>
          <t>PPK</t>
        </is>
      </c>
      <c r="H313" t="n">
        <v>16</v>
      </c>
      <c r="I313" t="inlineStr">
        <is>
          <t>HALIFAX_WOMENS_119005383_BLK_1.jpg</t>
        </is>
      </c>
      <c r="J313" t="inlineStr">
        <is>
          <t>HALIFAX_WOMENS_119005383_BLK_2.jpg</t>
        </is>
      </c>
      <c r="K313" t="inlineStr">
        <is>
          <t>HALIFAX_WOMENS_119005383_BLK_3.jpg</t>
        </is>
      </c>
      <c r="L313">
        <f>IMAGE("file:///E:/Estudios%20y%20certificaciones/ESTUDIOS%20DE%20PROGRAMMING/PROGRAMMING/PERSONAL/PYTHON/Image_Generator_API/imagenes/HALIFAX_WOMENS_119005383_BLK_1.jpg")</f>
        <v/>
      </c>
      <c r="M313">
        <f>IMAGE("file:///E:/Estudios%20y%20certificaciones/ESTUDIOS%20DE%20PROGRAMMING/PROGRAMMING/PERSONAL/PYTHON/Image_Generator_API/imagenes/HALIFAX_WOMENS_119005383_BLK_2.jpg")</f>
        <v/>
      </c>
      <c r="N313">
        <f>IMAGE("file:///E:/Estudios%20y%20certificaciones/ESTUDIOS%20DE%20PROGRAMMING/PROGRAMMING/PERSONAL/PYTHON/Image_Generator_API/imagenes/HALIFAX_WOMENS_119005383_BLK_3.jpg")</f>
        <v/>
      </c>
      <c r="O313">
        <f>HYPERLINK("imagenes/HALIFAX_WOMENS_119005383_BLK_1.jpg","Ver imagen")</f>
        <v/>
      </c>
      <c r="P313">
        <f>HYPERLINK("imagenes/HALIFAX_WOMENS_119005383_BLK_2.jpg","Ver imagen")</f>
        <v/>
      </c>
      <c r="Q313">
        <f>HYPERLINK("imagenes/HALIFAX_WOMENS_119005383_BLK_3.jpg","Ver imagen")</f>
        <v/>
      </c>
    </row>
    <row r="314">
      <c r="A314" t="inlineStr">
        <is>
          <t>HALIFAX WOMENS</t>
        </is>
      </c>
      <c r="B314" t="inlineStr">
        <is>
          <t>119005383</t>
        </is>
      </c>
      <c r="C314" t="inlineStr">
        <is>
          <t>Fleece Lined Rain Anorak CBL: 281/2"</t>
        </is>
      </c>
      <c r="D314" t="inlineStr">
        <is>
          <t>BLK</t>
        </is>
      </c>
      <c r="E314" t="inlineStr">
        <is>
          <t>(en blanco)</t>
        </is>
      </c>
      <c r="F314" t="inlineStr">
        <is>
          <t>D2C</t>
        </is>
      </c>
      <c r="G314" t="inlineStr">
        <is>
          <t>S</t>
        </is>
      </c>
      <c r="H314" t="n">
        <v>47</v>
      </c>
      <c r="I314" t="inlineStr">
        <is>
          <t>HALIFAX_WOMENS_119005383_BLK_1.jpg</t>
        </is>
      </c>
      <c r="J314" t="inlineStr">
        <is>
          <t>HALIFAX_WOMENS_119005383_BLK_2.jpg</t>
        </is>
      </c>
      <c r="K314" t="inlineStr">
        <is>
          <t>HALIFAX_WOMENS_119005383_BLK_3.jpg</t>
        </is>
      </c>
      <c r="L314">
        <f>IMAGE("file:///E:/Estudios%20y%20certificaciones/ESTUDIOS%20DE%20PROGRAMMING/PROGRAMMING/PERSONAL/PYTHON/Image_Generator_API/imagenes/HALIFAX_WOMENS_119005383_BLK_1.jpg")</f>
        <v/>
      </c>
      <c r="M314">
        <f>IMAGE("file:///E:/Estudios%20y%20certificaciones/ESTUDIOS%20DE%20PROGRAMMING/PROGRAMMING/PERSONAL/PYTHON/Image_Generator_API/imagenes/HALIFAX_WOMENS_119005383_BLK_2.jpg")</f>
        <v/>
      </c>
      <c r="N314">
        <f>IMAGE("file:///E:/Estudios%20y%20certificaciones/ESTUDIOS%20DE%20PROGRAMMING/PROGRAMMING/PERSONAL/PYTHON/Image_Generator_API/imagenes/HALIFAX_WOMENS_119005383_BLK_3.jpg")</f>
        <v/>
      </c>
      <c r="O314">
        <f>HYPERLINK("imagenes/HALIFAX_WOMENS_119005383_BLK_1.jpg","Ver imagen")</f>
        <v/>
      </c>
      <c r="P314">
        <f>HYPERLINK("imagenes/HALIFAX_WOMENS_119005383_BLK_2.jpg","Ver imagen")</f>
        <v/>
      </c>
      <c r="Q314">
        <f>HYPERLINK("imagenes/HALIFAX_WOMENS_119005383_BLK_3.jpg","Ver imagen")</f>
        <v/>
      </c>
    </row>
    <row r="315">
      <c r="A315" t="inlineStr">
        <is>
          <t>HALIFAX WOMENS</t>
        </is>
      </c>
      <c r="B315" t="inlineStr">
        <is>
          <t>119005383</t>
        </is>
      </c>
      <c r="C315" t="inlineStr">
        <is>
          <t>Fleece Lined Rain Anorak CBL: 281/2"</t>
        </is>
      </c>
      <c r="D315" t="inlineStr">
        <is>
          <t>BLK</t>
        </is>
      </c>
      <c r="E315" t="inlineStr">
        <is>
          <t>(en blanco)</t>
        </is>
      </c>
      <c r="F315" t="inlineStr">
        <is>
          <t>D2C</t>
        </is>
      </c>
      <c r="G315" t="inlineStr">
        <is>
          <t>M</t>
        </is>
      </c>
      <c r="H315" t="n">
        <v>91</v>
      </c>
      <c r="I315" t="inlineStr">
        <is>
          <t>HALIFAX_WOMENS_119005383_BLK_1.jpg</t>
        </is>
      </c>
      <c r="J315" t="inlineStr">
        <is>
          <t>HALIFAX_WOMENS_119005383_BLK_2.jpg</t>
        </is>
      </c>
      <c r="K315" t="inlineStr">
        <is>
          <t>HALIFAX_WOMENS_119005383_BLK_3.jpg</t>
        </is>
      </c>
      <c r="L315">
        <f>IMAGE("file:///E:/Estudios%20y%20certificaciones/ESTUDIOS%20DE%20PROGRAMMING/PROGRAMMING/PERSONAL/PYTHON/Image_Generator_API/imagenes/HALIFAX_WOMENS_119005383_BLK_1.jpg")</f>
        <v/>
      </c>
      <c r="M315">
        <f>IMAGE("file:///E:/Estudios%20y%20certificaciones/ESTUDIOS%20DE%20PROGRAMMING/PROGRAMMING/PERSONAL/PYTHON/Image_Generator_API/imagenes/HALIFAX_WOMENS_119005383_BLK_2.jpg")</f>
        <v/>
      </c>
      <c r="N315">
        <f>IMAGE("file:///E:/Estudios%20y%20certificaciones/ESTUDIOS%20DE%20PROGRAMMING/PROGRAMMING/PERSONAL/PYTHON/Image_Generator_API/imagenes/HALIFAX_WOMENS_119005383_BLK_3.jpg")</f>
        <v/>
      </c>
      <c r="O315">
        <f>HYPERLINK("imagenes/HALIFAX_WOMENS_119005383_BLK_1.jpg","Ver imagen")</f>
        <v/>
      </c>
      <c r="P315">
        <f>HYPERLINK("imagenes/HALIFAX_WOMENS_119005383_BLK_2.jpg","Ver imagen")</f>
        <v/>
      </c>
      <c r="Q315">
        <f>HYPERLINK("imagenes/HALIFAX_WOMENS_119005383_BLK_3.jpg","Ver imagen")</f>
        <v/>
      </c>
    </row>
    <row r="316">
      <c r="A316" t="inlineStr">
        <is>
          <t>HALIFAX WOMENS</t>
        </is>
      </c>
      <c r="B316" t="inlineStr">
        <is>
          <t>119005383</t>
        </is>
      </c>
      <c r="C316" t="inlineStr">
        <is>
          <t>Fleece Lined Rain Anorak CBL: 281/2"</t>
        </is>
      </c>
      <c r="D316" t="inlineStr">
        <is>
          <t>BLK</t>
        </is>
      </c>
      <c r="E316" t="inlineStr">
        <is>
          <t>(en blanco)</t>
        </is>
      </c>
      <c r="F316" t="inlineStr">
        <is>
          <t>D2C</t>
        </is>
      </c>
      <c r="G316" t="inlineStr">
        <is>
          <t>L</t>
        </is>
      </c>
      <c r="H316" t="n">
        <v>93</v>
      </c>
      <c r="I316" t="inlineStr">
        <is>
          <t>HALIFAX_WOMENS_119005383_BLK_1.jpg</t>
        </is>
      </c>
      <c r="J316" t="inlineStr">
        <is>
          <t>HALIFAX_WOMENS_119005383_BLK_2.jpg</t>
        </is>
      </c>
      <c r="K316" t="inlineStr">
        <is>
          <t>HALIFAX_WOMENS_119005383_BLK_3.jpg</t>
        </is>
      </c>
      <c r="L316">
        <f>IMAGE("file:///E:/Estudios%20y%20certificaciones/ESTUDIOS%20DE%20PROGRAMMING/PROGRAMMING/PERSONAL/PYTHON/Image_Generator_API/imagenes/HALIFAX_WOMENS_119005383_BLK_1.jpg")</f>
        <v/>
      </c>
      <c r="M316">
        <f>IMAGE("file:///E:/Estudios%20y%20certificaciones/ESTUDIOS%20DE%20PROGRAMMING/PROGRAMMING/PERSONAL/PYTHON/Image_Generator_API/imagenes/HALIFAX_WOMENS_119005383_BLK_2.jpg")</f>
        <v/>
      </c>
      <c r="N316">
        <f>IMAGE("file:///E:/Estudios%20y%20certificaciones/ESTUDIOS%20DE%20PROGRAMMING/PROGRAMMING/PERSONAL/PYTHON/Image_Generator_API/imagenes/HALIFAX_WOMENS_119005383_BLK_3.jpg")</f>
        <v/>
      </c>
      <c r="O316">
        <f>HYPERLINK("imagenes/HALIFAX_WOMENS_119005383_BLK_1.jpg","Ver imagen")</f>
        <v/>
      </c>
      <c r="P316">
        <f>HYPERLINK("imagenes/HALIFAX_WOMENS_119005383_BLK_2.jpg","Ver imagen")</f>
        <v/>
      </c>
      <c r="Q316">
        <f>HYPERLINK("imagenes/HALIFAX_WOMENS_119005383_BLK_3.jpg","Ver imagen")</f>
        <v/>
      </c>
    </row>
    <row r="317">
      <c r="A317" t="inlineStr">
        <is>
          <t>HALIFAX WOMENS</t>
        </is>
      </c>
      <c r="B317" t="inlineStr">
        <is>
          <t>119005383</t>
        </is>
      </c>
      <c r="C317" t="inlineStr">
        <is>
          <t>Fleece Lined Rain Anorak CBL: 281/2"</t>
        </is>
      </c>
      <c r="D317" t="inlineStr">
        <is>
          <t>BLK</t>
        </is>
      </c>
      <c r="E317" t="inlineStr">
        <is>
          <t>(en blanco)</t>
        </is>
      </c>
      <c r="F317" t="inlineStr">
        <is>
          <t>D2C</t>
        </is>
      </c>
      <c r="G317" t="inlineStr">
        <is>
          <t>XL</t>
        </is>
      </c>
      <c r="H317" t="n">
        <v>93</v>
      </c>
      <c r="I317" t="inlineStr">
        <is>
          <t>HALIFAX_WOMENS_119005383_BLK_1.jpg</t>
        </is>
      </c>
      <c r="J317" t="inlineStr">
        <is>
          <t>HALIFAX_WOMENS_119005383_BLK_2.jpg</t>
        </is>
      </c>
      <c r="K317" t="inlineStr">
        <is>
          <t>HALIFAX_WOMENS_119005383_BLK_3.jpg</t>
        </is>
      </c>
      <c r="L317">
        <f>IMAGE("file:///E:/Estudios%20y%20certificaciones/ESTUDIOS%20DE%20PROGRAMMING/PROGRAMMING/PERSONAL/PYTHON/Image_Generator_API/imagenes/HALIFAX_WOMENS_119005383_BLK_1.jpg")</f>
        <v/>
      </c>
      <c r="M317">
        <f>IMAGE("file:///E:/Estudios%20y%20certificaciones/ESTUDIOS%20DE%20PROGRAMMING/PROGRAMMING/PERSONAL/PYTHON/Image_Generator_API/imagenes/HALIFAX_WOMENS_119005383_BLK_2.jpg")</f>
        <v/>
      </c>
      <c r="N317">
        <f>IMAGE("file:///E:/Estudios%20y%20certificaciones/ESTUDIOS%20DE%20PROGRAMMING/PROGRAMMING/PERSONAL/PYTHON/Image_Generator_API/imagenes/HALIFAX_WOMENS_119005383_BLK_3.jpg")</f>
        <v/>
      </c>
      <c r="O317">
        <f>HYPERLINK("imagenes/HALIFAX_WOMENS_119005383_BLK_1.jpg","Ver imagen")</f>
        <v/>
      </c>
      <c r="P317">
        <f>HYPERLINK("imagenes/HALIFAX_WOMENS_119005383_BLK_2.jpg","Ver imagen")</f>
        <v/>
      </c>
      <c r="Q317">
        <f>HYPERLINK("imagenes/HALIFAX_WOMENS_119005383_BLK_3.jpg","Ver imagen")</f>
        <v/>
      </c>
    </row>
    <row r="318">
      <c r="A318" t="inlineStr">
        <is>
          <t>HALIFAX WOMENS</t>
        </is>
      </c>
      <c r="B318" t="inlineStr">
        <is>
          <t>119005383</t>
        </is>
      </c>
      <c r="C318" t="inlineStr">
        <is>
          <t>Fleece Lined Rain Anorak CBL: 281/2"</t>
        </is>
      </c>
      <c r="D318" t="inlineStr">
        <is>
          <t>BLK</t>
        </is>
      </c>
      <c r="E318" t="inlineStr">
        <is>
          <t>(en blanco)</t>
        </is>
      </c>
      <c r="F318" t="inlineStr">
        <is>
          <t>D2C</t>
        </is>
      </c>
      <c r="G318" t="inlineStr">
        <is>
          <t>XXL</t>
        </is>
      </c>
      <c r="H318" t="n">
        <v>46</v>
      </c>
      <c r="I318" t="inlineStr">
        <is>
          <t>HALIFAX_WOMENS_119005383_BLK_1.jpg</t>
        </is>
      </c>
      <c r="J318" t="inlineStr">
        <is>
          <t>HALIFAX_WOMENS_119005383_BLK_2.jpg</t>
        </is>
      </c>
      <c r="K318" t="inlineStr">
        <is>
          <t>HALIFAX_WOMENS_119005383_BLK_3.jpg</t>
        </is>
      </c>
      <c r="L318">
        <f>IMAGE("file:///E:/Estudios%20y%20certificaciones/ESTUDIOS%20DE%20PROGRAMMING/PROGRAMMING/PERSONAL/PYTHON/Image_Generator_API/imagenes/HALIFAX_WOMENS_119005383_BLK_1.jpg")</f>
        <v/>
      </c>
      <c r="M318">
        <f>IMAGE("file:///E:/Estudios%20y%20certificaciones/ESTUDIOS%20DE%20PROGRAMMING/PROGRAMMING/PERSONAL/PYTHON/Image_Generator_API/imagenes/HALIFAX_WOMENS_119005383_BLK_2.jpg")</f>
        <v/>
      </c>
      <c r="N318">
        <f>IMAGE("file:///E:/Estudios%20y%20certificaciones/ESTUDIOS%20DE%20PROGRAMMING/PROGRAMMING/PERSONAL/PYTHON/Image_Generator_API/imagenes/HALIFAX_WOMENS_119005383_BLK_3.jpg")</f>
        <v/>
      </c>
      <c r="O318">
        <f>HYPERLINK("imagenes/HALIFAX_WOMENS_119005383_BLK_1.jpg","Ver imagen")</f>
        <v/>
      </c>
      <c r="P318">
        <f>HYPERLINK("imagenes/HALIFAX_WOMENS_119005383_BLK_2.jpg","Ver imagen")</f>
        <v/>
      </c>
      <c r="Q318">
        <f>HYPERLINK("imagenes/HALIFAX_WOMENS_119005383_BLK_3.jpg","Ver imagen")</f>
        <v/>
      </c>
    </row>
    <row r="319">
      <c r="A319" t="inlineStr">
        <is>
          <t>HALIFAX WOMENS</t>
        </is>
      </c>
      <c r="B319" t="inlineStr">
        <is>
          <t>119005383</t>
        </is>
      </c>
      <c r="C319" t="inlineStr">
        <is>
          <t>Fleece Lined Rain Anorak CBL: 281/2"</t>
        </is>
      </c>
      <c r="D319" t="inlineStr">
        <is>
          <t>BLK</t>
        </is>
      </c>
      <c r="E319" t="inlineStr">
        <is>
          <t>(en blanco)</t>
        </is>
      </c>
      <c r="F319" t="inlineStr">
        <is>
          <t>(en blanco)</t>
        </is>
      </c>
      <c r="G319" t="inlineStr">
        <is>
          <t>L</t>
        </is>
      </c>
      <c r="H319" t="n">
        <v>1</v>
      </c>
      <c r="I319" t="inlineStr">
        <is>
          <t>HALIFAX_WOMENS_119005383_BLK_1.jpg</t>
        </is>
      </c>
      <c r="J319" t="inlineStr">
        <is>
          <t>HALIFAX_WOMENS_119005383_BLK_2.jpg</t>
        </is>
      </c>
      <c r="K319" t="inlineStr">
        <is>
          <t>HALIFAX_WOMENS_119005383_BLK_3.jpg</t>
        </is>
      </c>
      <c r="L319">
        <f>IMAGE("file:///E:/Estudios%20y%20certificaciones/ESTUDIOS%20DE%20PROGRAMMING/PROGRAMMING/PERSONAL/PYTHON/Image_Generator_API/imagenes/HALIFAX_WOMENS_119005383_BLK_1.jpg")</f>
        <v/>
      </c>
      <c r="M319">
        <f>IMAGE("file:///E:/Estudios%20y%20certificaciones/ESTUDIOS%20DE%20PROGRAMMING/PROGRAMMING/PERSONAL/PYTHON/Image_Generator_API/imagenes/HALIFAX_WOMENS_119005383_BLK_2.jpg")</f>
        <v/>
      </c>
      <c r="N319">
        <f>IMAGE("file:///E:/Estudios%20y%20certificaciones/ESTUDIOS%20DE%20PROGRAMMING/PROGRAMMING/PERSONAL/PYTHON/Image_Generator_API/imagenes/HALIFAX_WOMENS_119005383_BLK_3.jpg")</f>
        <v/>
      </c>
      <c r="O319">
        <f>HYPERLINK("imagenes/HALIFAX_WOMENS_119005383_BLK_1.jpg","Ver imagen")</f>
        <v/>
      </c>
      <c r="P319">
        <f>HYPERLINK("imagenes/HALIFAX_WOMENS_119005383_BLK_2.jpg","Ver imagen")</f>
        <v/>
      </c>
      <c r="Q319">
        <f>HYPERLINK("imagenes/HALIFAX_WOMENS_119005383_BLK_3.jpg","Ver imagen")</f>
        <v/>
      </c>
    </row>
    <row r="320">
      <c r="A320" t="inlineStr">
        <is>
          <t>HALIFAX WOMENS</t>
        </is>
      </c>
      <c r="B320" t="inlineStr">
        <is>
          <t>119005383</t>
        </is>
      </c>
      <c r="C320" t="inlineStr">
        <is>
          <t>Fleece Lined Rain Anorak CBL: 281/2"</t>
        </is>
      </c>
      <c r="D320" t="inlineStr">
        <is>
          <t>BON</t>
        </is>
      </c>
      <c r="E320" t="inlineStr">
        <is>
          <t>(en blanco)</t>
        </is>
      </c>
      <c r="F320" t="inlineStr">
        <is>
          <t>D2C</t>
        </is>
      </c>
      <c r="G320" t="inlineStr">
        <is>
          <t>S</t>
        </is>
      </c>
      <c r="H320" t="n">
        <v>12</v>
      </c>
      <c r="I320" t="inlineStr">
        <is>
          <t>HALIFAX_WOMENS_119005383_BON_1.jpg</t>
        </is>
      </c>
      <c r="J320" t="inlineStr">
        <is>
          <t>HALIFAX_WOMENS_119005383_BON_2.jpg</t>
        </is>
      </c>
      <c r="K320" t="inlineStr">
        <is>
          <t>HALIFAX_WOMENS_119005383_BON_3.jpg</t>
        </is>
      </c>
      <c r="L320">
        <f>IMAGE("file:///E:/Estudios%20y%20certificaciones/ESTUDIOS%20DE%20PROGRAMMING/PROGRAMMING/PERSONAL/PYTHON/Image_Generator_API/imagenes/HALIFAX_WOMENS_119005383_BON_1.jpg")</f>
        <v/>
      </c>
      <c r="M320">
        <f>IMAGE("file:///E:/Estudios%20y%20certificaciones/ESTUDIOS%20DE%20PROGRAMMING/PROGRAMMING/PERSONAL/PYTHON/Image_Generator_API/imagenes/HALIFAX_WOMENS_119005383_BON_2.jpg")</f>
        <v/>
      </c>
      <c r="N320">
        <f>IMAGE("file:///E:/Estudios%20y%20certificaciones/ESTUDIOS%20DE%20PROGRAMMING/PROGRAMMING/PERSONAL/PYTHON/Image_Generator_API/imagenes/HALIFAX_WOMENS_119005383_BON_3.jpg")</f>
        <v/>
      </c>
      <c r="O320">
        <f>HYPERLINK("imagenes/HALIFAX_WOMENS_119005383_BON_1.jpg","Ver imagen")</f>
        <v/>
      </c>
      <c r="P320">
        <f>HYPERLINK("imagenes/HALIFAX_WOMENS_119005383_BON_2.jpg","Ver imagen")</f>
        <v/>
      </c>
      <c r="Q320">
        <f>HYPERLINK("imagenes/HALIFAX_WOMENS_119005383_BON_3.jpg","Ver imagen")</f>
        <v/>
      </c>
    </row>
    <row r="321">
      <c r="A321" t="inlineStr">
        <is>
          <t>HALIFAX WOMENS</t>
        </is>
      </c>
      <c r="B321" t="inlineStr">
        <is>
          <t>119005383</t>
        </is>
      </c>
      <c r="C321" t="inlineStr">
        <is>
          <t>Fleece Lined Rain Anorak CBL: 281/2"</t>
        </is>
      </c>
      <c r="D321" t="inlineStr">
        <is>
          <t>BON</t>
        </is>
      </c>
      <c r="E321" t="inlineStr">
        <is>
          <t>(en blanco)</t>
        </is>
      </c>
      <c r="F321" t="inlineStr">
        <is>
          <t>D2C</t>
        </is>
      </c>
      <c r="G321" t="inlineStr">
        <is>
          <t>M</t>
        </is>
      </c>
      <c r="H321" t="n">
        <v>30</v>
      </c>
      <c r="I321" t="inlineStr">
        <is>
          <t>HALIFAX_WOMENS_119005383_BON_1.jpg</t>
        </is>
      </c>
      <c r="J321" t="inlineStr">
        <is>
          <t>HALIFAX_WOMENS_119005383_BON_2.jpg</t>
        </is>
      </c>
      <c r="K321" t="inlineStr">
        <is>
          <t>HALIFAX_WOMENS_119005383_BON_3.jpg</t>
        </is>
      </c>
      <c r="L321">
        <f>IMAGE("file:///E:/Estudios%20y%20certificaciones/ESTUDIOS%20DE%20PROGRAMMING/PROGRAMMING/PERSONAL/PYTHON/Image_Generator_API/imagenes/HALIFAX_WOMENS_119005383_BON_1.jpg")</f>
        <v/>
      </c>
      <c r="M321">
        <f>IMAGE("file:///E:/Estudios%20y%20certificaciones/ESTUDIOS%20DE%20PROGRAMMING/PROGRAMMING/PERSONAL/PYTHON/Image_Generator_API/imagenes/HALIFAX_WOMENS_119005383_BON_2.jpg")</f>
        <v/>
      </c>
      <c r="N321">
        <f>IMAGE("file:///E:/Estudios%20y%20certificaciones/ESTUDIOS%20DE%20PROGRAMMING/PROGRAMMING/PERSONAL/PYTHON/Image_Generator_API/imagenes/HALIFAX_WOMENS_119005383_BON_3.jpg")</f>
        <v/>
      </c>
      <c r="O321">
        <f>HYPERLINK("imagenes/HALIFAX_WOMENS_119005383_BON_1.jpg","Ver imagen")</f>
        <v/>
      </c>
      <c r="P321">
        <f>HYPERLINK("imagenes/HALIFAX_WOMENS_119005383_BON_2.jpg","Ver imagen")</f>
        <v/>
      </c>
      <c r="Q321">
        <f>HYPERLINK("imagenes/HALIFAX_WOMENS_119005383_BON_3.jpg","Ver imagen")</f>
        <v/>
      </c>
    </row>
    <row r="322">
      <c r="A322" t="inlineStr">
        <is>
          <t>HALIFAX WOMENS</t>
        </is>
      </c>
      <c r="B322" t="inlineStr">
        <is>
          <t>119005383</t>
        </is>
      </c>
      <c r="C322" t="inlineStr">
        <is>
          <t>Fleece Lined Rain Anorak CBL: 281/2"</t>
        </is>
      </c>
      <c r="D322" t="inlineStr">
        <is>
          <t>BON</t>
        </is>
      </c>
      <c r="E322" t="inlineStr">
        <is>
          <t>(en blanco)</t>
        </is>
      </c>
      <c r="F322" t="inlineStr">
        <is>
          <t>D2C</t>
        </is>
      </c>
      <c r="G322" t="inlineStr">
        <is>
          <t>L</t>
        </is>
      </c>
      <c r="H322" t="n">
        <v>33</v>
      </c>
      <c r="I322" t="inlineStr">
        <is>
          <t>HALIFAX_WOMENS_119005383_BON_1.jpg</t>
        </is>
      </c>
      <c r="J322" t="inlineStr">
        <is>
          <t>HALIFAX_WOMENS_119005383_BON_2.jpg</t>
        </is>
      </c>
      <c r="K322" t="inlineStr">
        <is>
          <t>HALIFAX_WOMENS_119005383_BON_3.jpg</t>
        </is>
      </c>
      <c r="L322">
        <f>IMAGE("file:///E:/Estudios%20y%20certificaciones/ESTUDIOS%20DE%20PROGRAMMING/PROGRAMMING/PERSONAL/PYTHON/Image_Generator_API/imagenes/HALIFAX_WOMENS_119005383_BON_1.jpg")</f>
        <v/>
      </c>
      <c r="M322">
        <f>IMAGE("file:///E:/Estudios%20y%20certificaciones/ESTUDIOS%20DE%20PROGRAMMING/PROGRAMMING/PERSONAL/PYTHON/Image_Generator_API/imagenes/HALIFAX_WOMENS_119005383_BON_2.jpg")</f>
        <v/>
      </c>
      <c r="N322">
        <f>IMAGE("file:///E:/Estudios%20y%20certificaciones/ESTUDIOS%20DE%20PROGRAMMING/PROGRAMMING/PERSONAL/PYTHON/Image_Generator_API/imagenes/HALIFAX_WOMENS_119005383_BON_3.jpg")</f>
        <v/>
      </c>
      <c r="O322">
        <f>HYPERLINK("imagenes/HALIFAX_WOMENS_119005383_BON_1.jpg","Ver imagen")</f>
        <v/>
      </c>
      <c r="P322">
        <f>HYPERLINK("imagenes/HALIFAX_WOMENS_119005383_BON_2.jpg","Ver imagen")</f>
        <v/>
      </c>
      <c r="Q322">
        <f>HYPERLINK("imagenes/HALIFAX_WOMENS_119005383_BON_3.jpg","Ver imagen")</f>
        <v/>
      </c>
    </row>
    <row r="323">
      <c r="A323" t="inlineStr">
        <is>
          <t>HALIFAX WOMENS</t>
        </is>
      </c>
      <c r="B323" t="inlineStr">
        <is>
          <t>119005383</t>
        </is>
      </c>
      <c r="C323" t="inlineStr">
        <is>
          <t>Fleece Lined Rain Anorak CBL: 281/2"</t>
        </is>
      </c>
      <c r="D323" t="inlineStr">
        <is>
          <t>BON</t>
        </is>
      </c>
      <c r="E323" t="inlineStr">
        <is>
          <t>(en blanco)</t>
        </is>
      </c>
      <c r="F323" t="inlineStr">
        <is>
          <t>D2C</t>
        </is>
      </c>
      <c r="G323" t="inlineStr">
        <is>
          <t>XL</t>
        </is>
      </c>
      <c r="H323" t="n">
        <v>34</v>
      </c>
      <c r="I323" t="inlineStr">
        <is>
          <t>HALIFAX_WOMENS_119005383_BON_1.jpg</t>
        </is>
      </c>
      <c r="J323" t="inlineStr">
        <is>
          <t>HALIFAX_WOMENS_119005383_BON_2.jpg</t>
        </is>
      </c>
      <c r="K323" t="inlineStr">
        <is>
          <t>HALIFAX_WOMENS_119005383_BON_3.jpg</t>
        </is>
      </c>
      <c r="L323">
        <f>IMAGE("file:///E:/Estudios%20y%20certificaciones/ESTUDIOS%20DE%20PROGRAMMING/PROGRAMMING/PERSONAL/PYTHON/Image_Generator_API/imagenes/HALIFAX_WOMENS_119005383_BON_1.jpg")</f>
        <v/>
      </c>
      <c r="M323">
        <f>IMAGE("file:///E:/Estudios%20y%20certificaciones/ESTUDIOS%20DE%20PROGRAMMING/PROGRAMMING/PERSONAL/PYTHON/Image_Generator_API/imagenes/HALIFAX_WOMENS_119005383_BON_2.jpg")</f>
        <v/>
      </c>
      <c r="N323">
        <f>IMAGE("file:///E:/Estudios%20y%20certificaciones/ESTUDIOS%20DE%20PROGRAMMING/PROGRAMMING/PERSONAL/PYTHON/Image_Generator_API/imagenes/HALIFAX_WOMENS_119005383_BON_3.jpg")</f>
        <v/>
      </c>
      <c r="O323">
        <f>HYPERLINK("imagenes/HALIFAX_WOMENS_119005383_BON_1.jpg","Ver imagen")</f>
        <v/>
      </c>
      <c r="P323">
        <f>HYPERLINK("imagenes/HALIFAX_WOMENS_119005383_BON_2.jpg","Ver imagen")</f>
        <v/>
      </c>
      <c r="Q323">
        <f>HYPERLINK("imagenes/HALIFAX_WOMENS_119005383_BON_3.jpg","Ver imagen")</f>
        <v/>
      </c>
    </row>
    <row r="324">
      <c r="A324" t="inlineStr">
        <is>
          <t>HALIFAX WOMENS</t>
        </is>
      </c>
      <c r="B324" t="inlineStr">
        <is>
          <t>119005383</t>
        </is>
      </c>
      <c r="C324" t="inlineStr">
        <is>
          <t>Fleece Lined Rain Anorak CBL: 281/2"</t>
        </is>
      </c>
      <c r="D324" t="inlineStr">
        <is>
          <t>BON</t>
        </is>
      </c>
      <c r="E324" t="inlineStr">
        <is>
          <t>(en blanco)</t>
        </is>
      </c>
      <c r="F324" t="inlineStr">
        <is>
          <t>D2C</t>
        </is>
      </c>
      <c r="G324" t="inlineStr">
        <is>
          <t>XXL</t>
        </is>
      </c>
      <c r="H324" t="n">
        <v>14</v>
      </c>
      <c r="I324" t="inlineStr">
        <is>
          <t>HALIFAX_WOMENS_119005383_BON_1.jpg</t>
        </is>
      </c>
      <c r="J324" t="inlineStr">
        <is>
          <t>HALIFAX_WOMENS_119005383_BON_2.jpg</t>
        </is>
      </c>
      <c r="K324" t="inlineStr">
        <is>
          <t>HALIFAX_WOMENS_119005383_BON_3.jpg</t>
        </is>
      </c>
      <c r="L324">
        <f>IMAGE("file:///E:/Estudios%20y%20certificaciones/ESTUDIOS%20DE%20PROGRAMMING/PROGRAMMING/PERSONAL/PYTHON/Image_Generator_API/imagenes/HALIFAX_WOMENS_119005383_BON_1.jpg")</f>
        <v/>
      </c>
      <c r="M324">
        <f>IMAGE("file:///E:/Estudios%20y%20certificaciones/ESTUDIOS%20DE%20PROGRAMMING/PROGRAMMING/PERSONAL/PYTHON/Image_Generator_API/imagenes/HALIFAX_WOMENS_119005383_BON_2.jpg")</f>
        <v/>
      </c>
      <c r="N324">
        <f>IMAGE("file:///E:/Estudios%20y%20certificaciones/ESTUDIOS%20DE%20PROGRAMMING/PROGRAMMING/PERSONAL/PYTHON/Image_Generator_API/imagenes/HALIFAX_WOMENS_119005383_BON_3.jpg")</f>
        <v/>
      </c>
      <c r="O324">
        <f>HYPERLINK("imagenes/HALIFAX_WOMENS_119005383_BON_1.jpg","Ver imagen")</f>
        <v/>
      </c>
      <c r="P324">
        <f>HYPERLINK("imagenes/HALIFAX_WOMENS_119005383_BON_2.jpg","Ver imagen")</f>
        <v/>
      </c>
      <c r="Q324">
        <f>HYPERLINK("imagenes/HALIFAX_WOMENS_119005383_BON_3.jpg","Ver imagen")</f>
        <v/>
      </c>
    </row>
    <row r="325">
      <c r="A325" t="inlineStr">
        <is>
          <t>HALIFAX WOMENS</t>
        </is>
      </c>
      <c r="B325" t="inlineStr">
        <is>
          <t>119005383</t>
        </is>
      </c>
      <c r="C325" t="inlineStr">
        <is>
          <t>Fleece Lined Rain Anorak CBL: 281/2"</t>
        </is>
      </c>
      <c r="D325" t="inlineStr">
        <is>
          <t>MSG</t>
        </is>
      </c>
      <c r="E325" t="inlineStr">
        <is>
          <t>08A06</t>
        </is>
      </c>
      <c r="F325" t="inlineStr">
        <is>
          <t>(en blanco)</t>
        </is>
      </c>
      <c r="G325" t="inlineStr">
        <is>
          <t>PPK</t>
        </is>
      </c>
      <c r="H325" t="n">
        <v>16</v>
      </c>
      <c r="I325" t="inlineStr">
        <is>
          <t>HALIFAX_WOMENS_119005383_MSG_1.jpg</t>
        </is>
      </c>
      <c r="J325" t="inlineStr">
        <is>
          <t>HALIFAX_WOMENS_119005383_MSG_2.jpg</t>
        </is>
      </c>
      <c r="K325" t="inlineStr">
        <is>
          <t>HALIFAX_WOMENS_119005383_MSG_3.jpg</t>
        </is>
      </c>
      <c r="L325">
        <f>IMAGE("file:///E:/Estudios%20y%20certificaciones/ESTUDIOS%20DE%20PROGRAMMING/PROGRAMMING/PERSONAL/PYTHON/Image_Generator_API/imagenes/HALIFAX_WOMENS_119005383_MSG_1.jpg")</f>
        <v/>
      </c>
      <c r="M325">
        <f>IMAGE("file:///E:/Estudios%20y%20certificaciones/ESTUDIOS%20DE%20PROGRAMMING/PROGRAMMING/PERSONAL/PYTHON/Image_Generator_API/imagenes/HALIFAX_WOMENS_119005383_MSG_2.jpg")</f>
        <v/>
      </c>
      <c r="N325">
        <f>IMAGE("file:///E:/Estudios%20y%20certificaciones/ESTUDIOS%20DE%20PROGRAMMING/PROGRAMMING/PERSONAL/PYTHON/Image_Generator_API/imagenes/HALIFAX_WOMENS_119005383_MSG_3.jpg")</f>
        <v/>
      </c>
      <c r="O325">
        <f>HYPERLINK("imagenes/HALIFAX_WOMENS_119005383_MSG_1.jpg","Ver imagen")</f>
        <v/>
      </c>
      <c r="P325">
        <f>HYPERLINK("imagenes/HALIFAX_WOMENS_119005383_MSG_2.jpg","Ver imagen")</f>
        <v/>
      </c>
      <c r="Q325">
        <f>HYPERLINK("imagenes/HALIFAX_WOMENS_119005383_MSG_3.jpg","Ver imagen")</f>
        <v/>
      </c>
    </row>
    <row r="326">
      <c r="A326" t="inlineStr">
        <is>
          <t>HALIFAX WOMENS</t>
        </is>
      </c>
      <c r="B326" t="inlineStr">
        <is>
          <t>119005383</t>
        </is>
      </c>
      <c r="C326" t="inlineStr">
        <is>
          <t>Fleece Lined Rain Anorak CBL: 281/2"</t>
        </is>
      </c>
      <c r="D326" t="inlineStr">
        <is>
          <t>MSG</t>
        </is>
      </c>
      <c r="E326" t="inlineStr">
        <is>
          <t>(en blanco)</t>
        </is>
      </c>
      <c r="F326" t="inlineStr">
        <is>
          <t>D2C</t>
        </is>
      </c>
      <c r="G326" t="inlineStr">
        <is>
          <t>S</t>
        </is>
      </c>
      <c r="H326" t="n">
        <v>16</v>
      </c>
      <c r="I326" t="inlineStr">
        <is>
          <t>HALIFAX_WOMENS_119005383_MSG_1.jpg</t>
        </is>
      </c>
      <c r="J326" t="inlineStr">
        <is>
          <t>HALIFAX_WOMENS_119005383_MSG_2.jpg</t>
        </is>
      </c>
      <c r="K326" t="inlineStr">
        <is>
          <t>HALIFAX_WOMENS_119005383_MSG_3.jpg</t>
        </is>
      </c>
      <c r="L326">
        <f>IMAGE("file:///E:/Estudios%20y%20certificaciones/ESTUDIOS%20DE%20PROGRAMMING/PROGRAMMING/PERSONAL/PYTHON/Image_Generator_API/imagenes/HALIFAX_WOMENS_119005383_MSG_1.jpg")</f>
        <v/>
      </c>
      <c r="M326">
        <f>IMAGE("file:///E:/Estudios%20y%20certificaciones/ESTUDIOS%20DE%20PROGRAMMING/PROGRAMMING/PERSONAL/PYTHON/Image_Generator_API/imagenes/HALIFAX_WOMENS_119005383_MSG_2.jpg")</f>
        <v/>
      </c>
      <c r="N326">
        <f>IMAGE("file:///E:/Estudios%20y%20certificaciones/ESTUDIOS%20DE%20PROGRAMMING/PROGRAMMING/PERSONAL/PYTHON/Image_Generator_API/imagenes/HALIFAX_WOMENS_119005383_MSG_3.jpg")</f>
        <v/>
      </c>
      <c r="O326">
        <f>HYPERLINK("imagenes/HALIFAX_WOMENS_119005383_MSG_1.jpg","Ver imagen")</f>
        <v/>
      </c>
      <c r="P326">
        <f>HYPERLINK("imagenes/HALIFAX_WOMENS_119005383_MSG_2.jpg","Ver imagen")</f>
        <v/>
      </c>
      <c r="Q326">
        <f>HYPERLINK("imagenes/HALIFAX_WOMENS_119005383_MSG_3.jpg","Ver imagen")</f>
        <v/>
      </c>
    </row>
    <row r="327">
      <c r="A327" t="inlineStr">
        <is>
          <t>HALIFAX WOMENS</t>
        </is>
      </c>
      <c r="B327" t="inlineStr">
        <is>
          <t>119005383</t>
        </is>
      </c>
      <c r="C327" t="inlineStr">
        <is>
          <t>Fleece Lined Rain Anorak CBL: 281/2"</t>
        </is>
      </c>
      <c r="D327" t="inlineStr">
        <is>
          <t>MSG</t>
        </is>
      </c>
      <c r="E327" t="inlineStr">
        <is>
          <t>(en blanco)</t>
        </is>
      </c>
      <c r="F327" t="inlineStr">
        <is>
          <t>D2C</t>
        </is>
      </c>
      <c r="G327" t="inlineStr">
        <is>
          <t>M</t>
        </is>
      </c>
      <c r="H327" t="n">
        <v>30</v>
      </c>
      <c r="I327" t="inlineStr">
        <is>
          <t>HALIFAX_WOMENS_119005383_MSG_1.jpg</t>
        </is>
      </c>
      <c r="J327" t="inlineStr">
        <is>
          <t>HALIFAX_WOMENS_119005383_MSG_2.jpg</t>
        </is>
      </c>
      <c r="K327" t="inlineStr">
        <is>
          <t>HALIFAX_WOMENS_119005383_MSG_3.jpg</t>
        </is>
      </c>
      <c r="L327">
        <f>IMAGE("file:///E:/Estudios%20y%20certificaciones/ESTUDIOS%20DE%20PROGRAMMING/PROGRAMMING/PERSONAL/PYTHON/Image_Generator_API/imagenes/HALIFAX_WOMENS_119005383_MSG_1.jpg")</f>
        <v/>
      </c>
      <c r="M327">
        <f>IMAGE("file:///E:/Estudios%20y%20certificaciones/ESTUDIOS%20DE%20PROGRAMMING/PROGRAMMING/PERSONAL/PYTHON/Image_Generator_API/imagenes/HALIFAX_WOMENS_119005383_MSG_2.jpg")</f>
        <v/>
      </c>
      <c r="N327">
        <f>IMAGE("file:///E:/Estudios%20y%20certificaciones/ESTUDIOS%20DE%20PROGRAMMING/PROGRAMMING/PERSONAL/PYTHON/Image_Generator_API/imagenes/HALIFAX_WOMENS_119005383_MSG_3.jpg")</f>
        <v/>
      </c>
      <c r="O327">
        <f>HYPERLINK("imagenes/HALIFAX_WOMENS_119005383_MSG_1.jpg","Ver imagen")</f>
        <v/>
      </c>
      <c r="P327">
        <f>HYPERLINK("imagenes/HALIFAX_WOMENS_119005383_MSG_2.jpg","Ver imagen")</f>
        <v/>
      </c>
      <c r="Q327">
        <f>HYPERLINK("imagenes/HALIFAX_WOMENS_119005383_MSG_3.jpg","Ver imagen")</f>
        <v/>
      </c>
    </row>
    <row r="328">
      <c r="A328" t="inlineStr">
        <is>
          <t>HALIFAX WOMENS</t>
        </is>
      </c>
      <c r="B328" t="inlineStr">
        <is>
          <t>119005383</t>
        </is>
      </c>
      <c r="C328" t="inlineStr">
        <is>
          <t>Fleece Lined Rain Anorak CBL: 281/2"</t>
        </is>
      </c>
      <c r="D328" t="inlineStr">
        <is>
          <t>MSG</t>
        </is>
      </c>
      <c r="E328" t="inlineStr">
        <is>
          <t>(en blanco)</t>
        </is>
      </c>
      <c r="F328" t="inlineStr">
        <is>
          <t>D2C</t>
        </is>
      </c>
      <c r="G328" t="inlineStr">
        <is>
          <t>L</t>
        </is>
      </c>
      <c r="H328" t="n">
        <v>31</v>
      </c>
      <c r="I328" t="inlineStr">
        <is>
          <t>HALIFAX_WOMENS_119005383_MSG_1.jpg</t>
        </is>
      </c>
      <c r="J328" t="inlineStr">
        <is>
          <t>HALIFAX_WOMENS_119005383_MSG_2.jpg</t>
        </is>
      </c>
      <c r="K328" t="inlineStr">
        <is>
          <t>HALIFAX_WOMENS_119005383_MSG_3.jpg</t>
        </is>
      </c>
      <c r="L328">
        <f>IMAGE("file:///E:/Estudios%20y%20certificaciones/ESTUDIOS%20DE%20PROGRAMMING/PROGRAMMING/PERSONAL/PYTHON/Image_Generator_API/imagenes/HALIFAX_WOMENS_119005383_MSG_1.jpg")</f>
        <v/>
      </c>
      <c r="M328">
        <f>IMAGE("file:///E:/Estudios%20y%20certificaciones/ESTUDIOS%20DE%20PROGRAMMING/PROGRAMMING/PERSONAL/PYTHON/Image_Generator_API/imagenes/HALIFAX_WOMENS_119005383_MSG_2.jpg")</f>
        <v/>
      </c>
      <c r="N328">
        <f>IMAGE("file:///E:/Estudios%20y%20certificaciones/ESTUDIOS%20DE%20PROGRAMMING/PROGRAMMING/PERSONAL/PYTHON/Image_Generator_API/imagenes/HALIFAX_WOMENS_119005383_MSG_3.jpg")</f>
        <v/>
      </c>
      <c r="O328">
        <f>HYPERLINK("imagenes/HALIFAX_WOMENS_119005383_MSG_1.jpg","Ver imagen")</f>
        <v/>
      </c>
      <c r="P328">
        <f>HYPERLINK("imagenes/HALIFAX_WOMENS_119005383_MSG_2.jpg","Ver imagen")</f>
        <v/>
      </c>
      <c r="Q328">
        <f>HYPERLINK("imagenes/HALIFAX_WOMENS_119005383_MSG_3.jpg","Ver imagen")</f>
        <v/>
      </c>
    </row>
    <row r="329">
      <c r="A329" t="inlineStr">
        <is>
          <t>HALIFAX WOMENS</t>
        </is>
      </c>
      <c r="B329" t="inlineStr">
        <is>
          <t>119005383</t>
        </is>
      </c>
      <c r="C329" t="inlineStr">
        <is>
          <t>Fleece Lined Rain Anorak CBL: 281/2"</t>
        </is>
      </c>
      <c r="D329" t="inlineStr">
        <is>
          <t>MSG</t>
        </is>
      </c>
      <c r="E329" t="inlineStr">
        <is>
          <t>(en blanco)</t>
        </is>
      </c>
      <c r="F329" t="inlineStr">
        <is>
          <t>D2C</t>
        </is>
      </c>
      <c r="G329" t="inlineStr">
        <is>
          <t>XL</t>
        </is>
      </c>
      <c r="H329" t="n">
        <v>34</v>
      </c>
      <c r="I329" t="inlineStr">
        <is>
          <t>HALIFAX_WOMENS_119005383_MSG_1.jpg</t>
        </is>
      </c>
      <c r="J329" t="inlineStr">
        <is>
          <t>HALIFAX_WOMENS_119005383_MSG_2.jpg</t>
        </is>
      </c>
      <c r="K329" t="inlineStr">
        <is>
          <t>HALIFAX_WOMENS_119005383_MSG_3.jpg</t>
        </is>
      </c>
      <c r="L329">
        <f>IMAGE("file:///E:/Estudios%20y%20certificaciones/ESTUDIOS%20DE%20PROGRAMMING/PROGRAMMING/PERSONAL/PYTHON/Image_Generator_API/imagenes/HALIFAX_WOMENS_119005383_MSG_1.jpg")</f>
        <v/>
      </c>
      <c r="M329">
        <f>IMAGE("file:///E:/Estudios%20y%20certificaciones/ESTUDIOS%20DE%20PROGRAMMING/PROGRAMMING/PERSONAL/PYTHON/Image_Generator_API/imagenes/HALIFAX_WOMENS_119005383_MSG_2.jpg")</f>
        <v/>
      </c>
      <c r="N329">
        <f>IMAGE("file:///E:/Estudios%20y%20certificaciones/ESTUDIOS%20DE%20PROGRAMMING/PROGRAMMING/PERSONAL/PYTHON/Image_Generator_API/imagenes/HALIFAX_WOMENS_119005383_MSG_3.jpg")</f>
        <v/>
      </c>
      <c r="O329">
        <f>HYPERLINK("imagenes/HALIFAX_WOMENS_119005383_MSG_1.jpg","Ver imagen")</f>
        <v/>
      </c>
      <c r="P329">
        <f>HYPERLINK("imagenes/HALIFAX_WOMENS_119005383_MSG_2.jpg","Ver imagen")</f>
        <v/>
      </c>
      <c r="Q329">
        <f>HYPERLINK("imagenes/HALIFAX_WOMENS_119005383_MSG_3.jpg","Ver imagen")</f>
        <v/>
      </c>
    </row>
    <row r="330">
      <c r="A330" t="inlineStr">
        <is>
          <t>HALIFAX WOMENS</t>
        </is>
      </c>
      <c r="B330" t="inlineStr">
        <is>
          <t>119005383</t>
        </is>
      </c>
      <c r="C330" t="inlineStr">
        <is>
          <t>Fleece Lined Rain Anorak CBL: 281/2"</t>
        </is>
      </c>
      <c r="D330" t="inlineStr">
        <is>
          <t>MSG</t>
        </is>
      </c>
      <c r="E330" t="inlineStr">
        <is>
          <t>(en blanco)</t>
        </is>
      </c>
      <c r="F330" t="inlineStr">
        <is>
          <t>D2C</t>
        </is>
      </c>
      <c r="G330" t="inlineStr">
        <is>
          <t>XXL</t>
        </is>
      </c>
      <c r="H330" t="n">
        <v>17</v>
      </c>
      <c r="I330" t="inlineStr">
        <is>
          <t>HALIFAX_WOMENS_119005383_MSG_1.jpg</t>
        </is>
      </c>
      <c r="J330" t="inlineStr">
        <is>
          <t>HALIFAX_WOMENS_119005383_MSG_2.jpg</t>
        </is>
      </c>
      <c r="K330" t="inlineStr">
        <is>
          <t>HALIFAX_WOMENS_119005383_MSG_3.jpg</t>
        </is>
      </c>
      <c r="L330">
        <f>IMAGE("file:///E:/Estudios%20y%20certificaciones/ESTUDIOS%20DE%20PROGRAMMING/PROGRAMMING/PERSONAL/PYTHON/Image_Generator_API/imagenes/HALIFAX_WOMENS_119005383_MSG_1.jpg")</f>
        <v/>
      </c>
      <c r="M330">
        <f>IMAGE("file:///E:/Estudios%20y%20certificaciones/ESTUDIOS%20DE%20PROGRAMMING/PROGRAMMING/PERSONAL/PYTHON/Image_Generator_API/imagenes/HALIFAX_WOMENS_119005383_MSG_2.jpg")</f>
        <v/>
      </c>
      <c r="N330">
        <f>IMAGE("file:///E:/Estudios%20y%20certificaciones/ESTUDIOS%20DE%20PROGRAMMING/PROGRAMMING/PERSONAL/PYTHON/Image_Generator_API/imagenes/HALIFAX_WOMENS_119005383_MSG_3.jpg")</f>
        <v/>
      </c>
      <c r="O330">
        <f>HYPERLINK("imagenes/HALIFAX_WOMENS_119005383_MSG_1.jpg","Ver imagen")</f>
        <v/>
      </c>
      <c r="P330">
        <f>HYPERLINK("imagenes/HALIFAX_WOMENS_119005383_MSG_2.jpg","Ver imagen")</f>
        <v/>
      </c>
      <c r="Q330">
        <f>HYPERLINK("imagenes/HALIFAX_WOMENS_119005383_MSG_3.jpg","Ver imagen")</f>
        <v/>
      </c>
    </row>
    <row r="331">
      <c r="A331" t="inlineStr">
        <is>
          <t>HALIFAX WOMENS</t>
        </is>
      </c>
      <c r="B331" t="inlineStr">
        <is>
          <t>119005384</t>
        </is>
      </c>
      <c r="C331" t="inlineStr">
        <is>
          <t>Cozy Quilted Jacket CBL: 27 1/2"</t>
        </is>
      </c>
      <c r="D331" t="inlineStr">
        <is>
          <t>BEG</t>
        </is>
      </c>
      <c r="E331" t="inlineStr">
        <is>
          <t>(en blanco)</t>
        </is>
      </c>
      <c r="F331" t="inlineStr">
        <is>
          <t>D2C</t>
        </is>
      </c>
      <c r="G331" t="inlineStr">
        <is>
          <t>M</t>
        </is>
      </c>
      <c r="H331" t="n">
        <v>33</v>
      </c>
      <c r="I331" t="inlineStr">
        <is>
          <t>HALIFAX_WOMENS_119005384_BEG_1.jpg</t>
        </is>
      </c>
      <c r="J331" t="inlineStr">
        <is>
          <t>HALIFAX_WOMENS_119005384_BEG_2.jpg</t>
        </is>
      </c>
      <c r="K331" t="inlineStr">
        <is>
          <t>HALIFAX_WOMENS_119005384_BEG_3.jpg</t>
        </is>
      </c>
      <c r="L331">
        <f>IMAGE("file:///E:/Estudios%20y%20certificaciones/ESTUDIOS%20DE%20PROGRAMMING/PROGRAMMING/PERSONAL/PYTHON/Image_Generator_API/imagenes/HALIFAX_WOMENS_119005384_BEG_1.jpg")</f>
        <v/>
      </c>
      <c r="M331">
        <f>IMAGE("file:///E:/Estudios%20y%20certificaciones/ESTUDIOS%20DE%20PROGRAMMING/PROGRAMMING/PERSONAL/PYTHON/Image_Generator_API/imagenes/HALIFAX_WOMENS_119005384_BEG_2.jpg")</f>
        <v/>
      </c>
      <c r="N331">
        <f>IMAGE("file:///E:/Estudios%20y%20certificaciones/ESTUDIOS%20DE%20PROGRAMMING/PROGRAMMING/PERSONAL/PYTHON/Image_Generator_API/imagenes/HALIFAX_WOMENS_119005384_BEG_3.jpg")</f>
        <v/>
      </c>
      <c r="O331">
        <f>HYPERLINK("imagenes/HALIFAX_WOMENS_119005384_BEG_1.jpg","Ver imagen")</f>
        <v/>
      </c>
      <c r="P331">
        <f>HYPERLINK("imagenes/HALIFAX_WOMENS_119005384_BEG_2.jpg","Ver imagen")</f>
        <v/>
      </c>
      <c r="Q331">
        <f>HYPERLINK("imagenes/HALIFAX_WOMENS_119005384_BEG_3.jpg","Ver imagen")</f>
        <v/>
      </c>
    </row>
    <row r="332">
      <c r="A332" t="inlineStr">
        <is>
          <t>HALIFAX WOMENS</t>
        </is>
      </c>
      <c r="B332" t="inlineStr">
        <is>
          <t>119005384</t>
        </is>
      </c>
      <c r="C332" t="inlineStr">
        <is>
          <t>Cozy Quilted Jacket CBL: 27 1/2"</t>
        </is>
      </c>
      <c r="D332" t="inlineStr">
        <is>
          <t>BEG</t>
        </is>
      </c>
      <c r="E332" t="inlineStr">
        <is>
          <t>(en blanco)</t>
        </is>
      </c>
      <c r="F332" t="inlineStr">
        <is>
          <t>D2C</t>
        </is>
      </c>
      <c r="G332" t="inlineStr">
        <is>
          <t>XL</t>
        </is>
      </c>
      <c r="H332" t="n">
        <v>35</v>
      </c>
      <c r="I332" t="inlineStr">
        <is>
          <t>HALIFAX_WOMENS_119005384_BEG_1.jpg</t>
        </is>
      </c>
      <c r="J332" t="inlineStr">
        <is>
          <t>HALIFAX_WOMENS_119005384_BEG_2.jpg</t>
        </is>
      </c>
      <c r="K332" t="inlineStr">
        <is>
          <t>HALIFAX_WOMENS_119005384_BEG_3.jpg</t>
        </is>
      </c>
      <c r="L332">
        <f>IMAGE("file:///E:/Estudios%20y%20certificaciones/ESTUDIOS%20DE%20PROGRAMMING/PROGRAMMING/PERSONAL/PYTHON/Image_Generator_API/imagenes/HALIFAX_WOMENS_119005384_BEG_1.jpg")</f>
        <v/>
      </c>
      <c r="M332">
        <f>IMAGE("file:///E:/Estudios%20y%20certificaciones/ESTUDIOS%20DE%20PROGRAMMING/PROGRAMMING/PERSONAL/PYTHON/Image_Generator_API/imagenes/HALIFAX_WOMENS_119005384_BEG_2.jpg")</f>
        <v/>
      </c>
      <c r="N332">
        <f>IMAGE("file:///E:/Estudios%20y%20certificaciones/ESTUDIOS%20DE%20PROGRAMMING/PROGRAMMING/PERSONAL/PYTHON/Image_Generator_API/imagenes/HALIFAX_WOMENS_119005384_BEG_3.jpg")</f>
        <v/>
      </c>
      <c r="O332">
        <f>HYPERLINK("imagenes/HALIFAX_WOMENS_119005384_BEG_1.jpg","Ver imagen")</f>
        <v/>
      </c>
      <c r="P332">
        <f>HYPERLINK("imagenes/HALIFAX_WOMENS_119005384_BEG_2.jpg","Ver imagen")</f>
        <v/>
      </c>
      <c r="Q332">
        <f>HYPERLINK("imagenes/HALIFAX_WOMENS_119005384_BEG_3.jpg","Ver imagen")</f>
        <v/>
      </c>
    </row>
    <row r="333">
      <c r="A333" t="inlineStr">
        <is>
          <t>HALIFAX WOMENS</t>
        </is>
      </c>
      <c r="B333" t="inlineStr">
        <is>
          <t>119005384</t>
        </is>
      </c>
      <c r="C333" t="inlineStr">
        <is>
          <t>Cozy Quilted Jacket CBL: 27 1/2"</t>
        </is>
      </c>
      <c r="D333" t="inlineStr">
        <is>
          <t>BEG</t>
        </is>
      </c>
      <c r="E333" t="inlineStr">
        <is>
          <t>(en blanco)</t>
        </is>
      </c>
      <c r="F333" t="inlineStr">
        <is>
          <t>D2C</t>
        </is>
      </c>
      <c r="G333" t="inlineStr">
        <is>
          <t>XXL</t>
        </is>
      </c>
      <c r="H333" t="n">
        <v>14</v>
      </c>
      <c r="I333" t="inlineStr">
        <is>
          <t>HALIFAX_WOMENS_119005384_BEG_1.jpg</t>
        </is>
      </c>
      <c r="J333" t="inlineStr">
        <is>
          <t>HALIFAX_WOMENS_119005384_BEG_2.jpg</t>
        </is>
      </c>
      <c r="K333" t="inlineStr">
        <is>
          <t>HALIFAX_WOMENS_119005384_BEG_3.jpg</t>
        </is>
      </c>
      <c r="L333">
        <f>IMAGE("file:///E:/Estudios%20y%20certificaciones/ESTUDIOS%20DE%20PROGRAMMING/PROGRAMMING/PERSONAL/PYTHON/Image_Generator_API/imagenes/HALIFAX_WOMENS_119005384_BEG_1.jpg")</f>
        <v/>
      </c>
      <c r="M333">
        <f>IMAGE("file:///E:/Estudios%20y%20certificaciones/ESTUDIOS%20DE%20PROGRAMMING/PROGRAMMING/PERSONAL/PYTHON/Image_Generator_API/imagenes/HALIFAX_WOMENS_119005384_BEG_2.jpg")</f>
        <v/>
      </c>
      <c r="N333">
        <f>IMAGE("file:///E:/Estudios%20y%20certificaciones/ESTUDIOS%20DE%20PROGRAMMING/PROGRAMMING/PERSONAL/PYTHON/Image_Generator_API/imagenes/HALIFAX_WOMENS_119005384_BEG_3.jpg")</f>
        <v/>
      </c>
      <c r="O333">
        <f>HYPERLINK("imagenes/HALIFAX_WOMENS_119005384_BEG_1.jpg","Ver imagen")</f>
        <v/>
      </c>
      <c r="P333">
        <f>HYPERLINK("imagenes/HALIFAX_WOMENS_119005384_BEG_2.jpg","Ver imagen")</f>
        <v/>
      </c>
      <c r="Q333">
        <f>HYPERLINK("imagenes/HALIFAX_WOMENS_119005384_BEG_3.jpg","Ver imagen")</f>
        <v/>
      </c>
    </row>
    <row r="334">
      <c r="A334" t="inlineStr">
        <is>
          <t>HALIFAX WOMENS</t>
        </is>
      </c>
      <c r="B334" t="inlineStr">
        <is>
          <t>119005384</t>
        </is>
      </c>
      <c r="C334" t="inlineStr">
        <is>
          <t>Cozy Quilted Jacket CBL: 27 1/2"</t>
        </is>
      </c>
      <c r="D334" t="inlineStr">
        <is>
          <t>BEG</t>
        </is>
      </c>
      <c r="E334" t="inlineStr">
        <is>
          <t>(en blanco)</t>
        </is>
      </c>
      <c r="F334" t="inlineStr">
        <is>
          <t>(en blanco)</t>
        </is>
      </c>
      <c r="G334" t="inlineStr">
        <is>
          <t>S</t>
        </is>
      </c>
      <c r="H334" t="n">
        <v>20</v>
      </c>
      <c r="I334" t="inlineStr">
        <is>
          <t>HALIFAX_WOMENS_119005384_BEG_1.jpg</t>
        </is>
      </c>
      <c r="J334" t="inlineStr">
        <is>
          <t>HALIFAX_WOMENS_119005384_BEG_2.jpg</t>
        </is>
      </c>
      <c r="K334" t="inlineStr">
        <is>
          <t>HALIFAX_WOMENS_119005384_BEG_3.jpg</t>
        </is>
      </c>
      <c r="L334">
        <f>IMAGE("file:///E:/Estudios%20y%20certificaciones/ESTUDIOS%20DE%20PROGRAMMING/PROGRAMMING/PERSONAL/PYTHON/Image_Generator_API/imagenes/HALIFAX_WOMENS_119005384_BEG_1.jpg")</f>
        <v/>
      </c>
      <c r="M334">
        <f>IMAGE("file:///E:/Estudios%20y%20certificaciones/ESTUDIOS%20DE%20PROGRAMMING/PROGRAMMING/PERSONAL/PYTHON/Image_Generator_API/imagenes/HALIFAX_WOMENS_119005384_BEG_2.jpg")</f>
        <v/>
      </c>
      <c r="N334">
        <f>IMAGE("file:///E:/Estudios%20y%20certificaciones/ESTUDIOS%20DE%20PROGRAMMING/PROGRAMMING/PERSONAL/PYTHON/Image_Generator_API/imagenes/HALIFAX_WOMENS_119005384_BEG_3.jpg")</f>
        <v/>
      </c>
      <c r="O334">
        <f>HYPERLINK("imagenes/HALIFAX_WOMENS_119005384_BEG_1.jpg","Ver imagen")</f>
        <v/>
      </c>
      <c r="P334">
        <f>HYPERLINK("imagenes/HALIFAX_WOMENS_119005384_BEG_2.jpg","Ver imagen")</f>
        <v/>
      </c>
      <c r="Q334">
        <f>HYPERLINK("imagenes/HALIFAX_WOMENS_119005384_BEG_3.jpg","Ver imagen")</f>
        <v/>
      </c>
    </row>
    <row r="335">
      <c r="A335" t="inlineStr">
        <is>
          <t>HALIFAX WOMENS</t>
        </is>
      </c>
      <c r="B335" t="inlineStr">
        <is>
          <t>119005384</t>
        </is>
      </c>
      <c r="C335" t="inlineStr">
        <is>
          <t>Cozy Quilted Jacket CBL: 27 1/2"</t>
        </is>
      </c>
      <c r="D335" t="inlineStr">
        <is>
          <t>BLK</t>
        </is>
      </c>
      <c r="E335" t="inlineStr">
        <is>
          <t>(en blanco)</t>
        </is>
      </c>
      <c r="F335" t="inlineStr">
        <is>
          <t>D2C</t>
        </is>
      </c>
      <c r="G335" t="inlineStr">
        <is>
          <t>S</t>
        </is>
      </c>
      <c r="H335" t="n">
        <v>44</v>
      </c>
      <c r="I335" t="inlineStr">
        <is>
          <t>HALIFAX_WOMENS_119005384_BLK_1.jpg</t>
        </is>
      </c>
      <c r="J335" t="inlineStr">
        <is>
          <t>HALIFAX_WOMENS_119005384_BLK_2.jpg</t>
        </is>
      </c>
      <c r="K335" t="inlineStr">
        <is>
          <t>HALIFAX_WOMENS_119005384_BLK_3.jpg</t>
        </is>
      </c>
      <c r="L335">
        <f>IMAGE("file:///E:/Estudios%20y%20certificaciones/ESTUDIOS%20DE%20PROGRAMMING/PROGRAMMING/PERSONAL/PYTHON/Image_Generator_API/imagenes/HALIFAX_WOMENS_119005384_BLK_1.jpg")</f>
        <v/>
      </c>
      <c r="M335">
        <f>IMAGE("file:///E:/Estudios%20y%20certificaciones/ESTUDIOS%20DE%20PROGRAMMING/PROGRAMMING/PERSONAL/PYTHON/Image_Generator_API/imagenes/HALIFAX_WOMENS_119005384_BLK_2.jpg")</f>
        <v/>
      </c>
      <c r="N335">
        <f>IMAGE("file:///E:/Estudios%20y%20certificaciones/ESTUDIOS%20DE%20PROGRAMMING/PROGRAMMING/PERSONAL/PYTHON/Image_Generator_API/imagenes/HALIFAX_WOMENS_119005384_BLK_3.jpg")</f>
        <v/>
      </c>
      <c r="O335">
        <f>HYPERLINK("imagenes/HALIFAX_WOMENS_119005384_BLK_1.jpg","Ver imagen")</f>
        <v/>
      </c>
      <c r="P335">
        <f>HYPERLINK("imagenes/HALIFAX_WOMENS_119005384_BLK_2.jpg","Ver imagen")</f>
        <v/>
      </c>
      <c r="Q335">
        <f>HYPERLINK("imagenes/HALIFAX_WOMENS_119005384_BLK_3.jpg","Ver imagen")</f>
        <v/>
      </c>
    </row>
    <row r="336">
      <c r="A336" t="inlineStr">
        <is>
          <t>HALIFAX WOMENS</t>
        </is>
      </c>
      <c r="B336" t="inlineStr">
        <is>
          <t>119005384</t>
        </is>
      </c>
      <c r="C336" t="inlineStr">
        <is>
          <t>Cozy Quilted Jacket CBL: 27 1/2"</t>
        </is>
      </c>
      <c r="D336" t="inlineStr">
        <is>
          <t>BLK</t>
        </is>
      </c>
      <c r="E336" t="inlineStr">
        <is>
          <t>(en blanco)</t>
        </is>
      </c>
      <c r="F336" t="inlineStr">
        <is>
          <t>D2C</t>
        </is>
      </c>
      <c r="G336" t="inlineStr">
        <is>
          <t>M</t>
        </is>
      </c>
      <c r="H336" t="n">
        <v>94</v>
      </c>
      <c r="I336" t="inlineStr">
        <is>
          <t>HALIFAX_WOMENS_119005384_BLK_1.jpg</t>
        </is>
      </c>
      <c r="J336" t="inlineStr">
        <is>
          <t>HALIFAX_WOMENS_119005384_BLK_2.jpg</t>
        </is>
      </c>
      <c r="K336" t="inlineStr">
        <is>
          <t>HALIFAX_WOMENS_119005384_BLK_3.jpg</t>
        </is>
      </c>
      <c r="L336">
        <f>IMAGE("file:///E:/Estudios%20y%20certificaciones/ESTUDIOS%20DE%20PROGRAMMING/PROGRAMMING/PERSONAL/PYTHON/Image_Generator_API/imagenes/HALIFAX_WOMENS_119005384_BLK_1.jpg")</f>
        <v/>
      </c>
      <c r="M336">
        <f>IMAGE("file:///E:/Estudios%20y%20certificaciones/ESTUDIOS%20DE%20PROGRAMMING/PROGRAMMING/PERSONAL/PYTHON/Image_Generator_API/imagenes/HALIFAX_WOMENS_119005384_BLK_2.jpg")</f>
        <v/>
      </c>
      <c r="N336">
        <f>IMAGE("file:///E:/Estudios%20y%20certificaciones/ESTUDIOS%20DE%20PROGRAMMING/PROGRAMMING/PERSONAL/PYTHON/Image_Generator_API/imagenes/HALIFAX_WOMENS_119005384_BLK_3.jpg")</f>
        <v/>
      </c>
      <c r="O336">
        <f>HYPERLINK("imagenes/HALIFAX_WOMENS_119005384_BLK_1.jpg","Ver imagen")</f>
        <v/>
      </c>
      <c r="P336">
        <f>HYPERLINK("imagenes/HALIFAX_WOMENS_119005384_BLK_2.jpg","Ver imagen")</f>
        <v/>
      </c>
      <c r="Q336">
        <f>HYPERLINK("imagenes/HALIFAX_WOMENS_119005384_BLK_3.jpg","Ver imagen")</f>
        <v/>
      </c>
    </row>
    <row r="337">
      <c r="A337" t="inlineStr">
        <is>
          <t>HALIFAX WOMENS</t>
        </is>
      </c>
      <c r="B337" t="inlineStr">
        <is>
          <t>119005384</t>
        </is>
      </c>
      <c r="C337" t="inlineStr">
        <is>
          <t>Cozy Quilted Jacket CBL: 27 1/2"</t>
        </is>
      </c>
      <c r="D337" t="inlineStr">
        <is>
          <t>BLK</t>
        </is>
      </c>
      <c r="E337" t="inlineStr">
        <is>
          <t>(en blanco)</t>
        </is>
      </c>
      <c r="F337" t="inlineStr">
        <is>
          <t>D2C</t>
        </is>
      </c>
      <c r="G337" t="inlineStr">
        <is>
          <t>L</t>
        </is>
      </c>
      <c r="H337" t="n">
        <v>90</v>
      </c>
      <c r="I337" t="inlineStr">
        <is>
          <t>HALIFAX_WOMENS_119005384_BLK_1.jpg</t>
        </is>
      </c>
      <c r="J337" t="inlineStr">
        <is>
          <t>HALIFAX_WOMENS_119005384_BLK_2.jpg</t>
        </is>
      </c>
      <c r="K337" t="inlineStr">
        <is>
          <t>HALIFAX_WOMENS_119005384_BLK_3.jpg</t>
        </is>
      </c>
      <c r="L337">
        <f>IMAGE("file:///E:/Estudios%20y%20certificaciones/ESTUDIOS%20DE%20PROGRAMMING/PROGRAMMING/PERSONAL/PYTHON/Image_Generator_API/imagenes/HALIFAX_WOMENS_119005384_BLK_1.jpg")</f>
        <v/>
      </c>
      <c r="M337">
        <f>IMAGE("file:///E:/Estudios%20y%20certificaciones/ESTUDIOS%20DE%20PROGRAMMING/PROGRAMMING/PERSONAL/PYTHON/Image_Generator_API/imagenes/HALIFAX_WOMENS_119005384_BLK_2.jpg")</f>
        <v/>
      </c>
      <c r="N337">
        <f>IMAGE("file:///E:/Estudios%20y%20certificaciones/ESTUDIOS%20DE%20PROGRAMMING/PROGRAMMING/PERSONAL/PYTHON/Image_Generator_API/imagenes/HALIFAX_WOMENS_119005384_BLK_3.jpg")</f>
        <v/>
      </c>
      <c r="O337">
        <f>HYPERLINK("imagenes/HALIFAX_WOMENS_119005384_BLK_1.jpg","Ver imagen")</f>
        <v/>
      </c>
      <c r="P337">
        <f>HYPERLINK("imagenes/HALIFAX_WOMENS_119005384_BLK_2.jpg","Ver imagen")</f>
        <v/>
      </c>
      <c r="Q337">
        <f>HYPERLINK("imagenes/HALIFAX_WOMENS_119005384_BLK_3.jpg","Ver imagen")</f>
        <v/>
      </c>
    </row>
    <row r="338">
      <c r="A338" t="inlineStr">
        <is>
          <t>HALIFAX WOMENS</t>
        </is>
      </c>
      <c r="B338" t="inlineStr">
        <is>
          <t>119005384</t>
        </is>
      </c>
      <c r="C338" t="inlineStr">
        <is>
          <t>Cozy Quilted Jacket CBL: 27 1/2"</t>
        </is>
      </c>
      <c r="D338" t="inlineStr">
        <is>
          <t>BLK</t>
        </is>
      </c>
      <c r="E338" t="inlineStr">
        <is>
          <t>(en blanco)</t>
        </is>
      </c>
      <c r="F338" t="inlineStr">
        <is>
          <t>D2C</t>
        </is>
      </c>
      <c r="G338" t="inlineStr">
        <is>
          <t>XL</t>
        </is>
      </c>
      <c r="H338" t="n">
        <v>82</v>
      </c>
      <c r="I338" t="inlineStr">
        <is>
          <t>HALIFAX_WOMENS_119005384_BLK_1.jpg</t>
        </is>
      </c>
      <c r="J338" t="inlineStr">
        <is>
          <t>HALIFAX_WOMENS_119005384_BLK_2.jpg</t>
        </is>
      </c>
      <c r="K338" t="inlineStr">
        <is>
          <t>HALIFAX_WOMENS_119005384_BLK_3.jpg</t>
        </is>
      </c>
      <c r="L338">
        <f>IMAGE("file:///E:/Estudios%20y%20certificaciones/ESTUDIOS%20DE%20PROGRAMMING/PROGRAMMING/PERSONAL/PYTHON/Image_Generator_API/imagenes/HALIFAX_WOMENS_119005384_BLK_1.jpg")</f>
        <v/>
      </c>
      <c r="M338">
        <f>IMAGE("file:///E:/Estudios%20y%20certificaciones/ESTUDIOS%20DE%20PROGRAMMING/PROGRAMMING/PERSONAL/PYTHON/Image_Generator_API/imagenes/HALIFAX_WOMENS_119005384_BLK_2.jpg")</f>
        <v/>
      </c>
      <c r="N338">
        <f>IMAGE("file:///E:/Estudios%20y%20certificaciones/ESTUDIOS%20DE%20PROGRAMMING/PROGRAMMING/PERSONAL/PYTHON/Image_Generator_API/imagenes/HALIFAX_WOMENS_119005384_BLK_3.jpg")</f>
        <v/>
      </c>
      <c r="O338">
        <f>HYPERLINK("imagenes/HALIFAX_WOMENS_119005384_BLK_1.jpg","Ver imagen")</f>
        <v/>
      </c>
      <c r="P338">
        <f>HYPERLINK("imagenes/HALIFAX_WOMENS_119005384_BLK_2.jpg","Ver imagen")</f>
        <v/>
      </c>
      <c r="Q338">
        <f>HYPERLINK("imagenes/HALIFAX_WOMENS_119005384_BLK_3.jpg","Ver imagen")</f>
        <v/>
      </c>
    </row>
    <row r="339">
      <c r="A339" t="inlineStr">
        <is>
          <t>HALIFAX WOMENS</t>
        </is>
      </c>
      <c r="B339" t="inlineStr">
        <is>
          <t>119005384</t>
        </is>
      </c>
      <c r="C339" t="inlineStr">
        <is>
          <t>Cozy Quilted Jacket CBL: 27 1/2"</t>
        </is>
      </c>
      <c r="D339" t="inlineStr">
        <is>
          <t>BLK</t>
        </is>
      </c>
      <c r="E339" t="inlineStr">
        <is>
          <t>(en blanco)</t>
        </is>
      </c>
      <c r="F339" t="inlineStr">
        <is>
          <t>D2C</t>
        </is>
      </c>
      <c r="G339" t="inlineStr">
        <is>
          <t>XXL</t>
        </is>
      </c>
      <c r="H339" t="n">
        <v>35</v>
      </c>
      <c r="I339" t="inlineStr">
        <is>
          <t>HALIFAX_WOMENS_119005384_BLK_1.jpg</t>
        </is>
      </c>
      <c r="J339" t="inlineStr">
        <is>
          <t>HALIFAX_WOMENS_119005384_BLK_2.jpg</t>
        </is>
      </c>
      <c r="K339" t="inlineStr">
        <is>
          <t>HALIFAX_WOMENS_119005384_BLK_3.jpg</t>
        </is>
      </c>
      <c r="L339">
        <f>IMAGE("file:///E:/Estudios%20y%20certificaciones/ESTUDIOS%20DE%20PROGRAMMING/PROGRAMMING/PERSONAL/PYTHON/Image_Generator_API/imagenes/HALIFAX_WOMENS_119005384_BLK_1.jpg")</f>
        <v/>
      </c>
      <c r="M339">
        <f>IMAGE("file:///E:/Estudios%20y%20certificaciones/ESTUDIOS%20DE%20PROGRAMMING/PROGRAMMING/PERSONAL/PYTHON/Image_Generator_API/imagenes/HALIFAX_WOMENS_119005384_BLK_2.jpg")</f>
        <v/>
      </c>
      <c r="N339">
        <f>IMAGE("file:///E:/Estudios%20y%20certificaciones/ESTUDIOS%20DE%20PROGRAMMING/PROGRAMMING/PERSONAL/PYTHON/Image_Generator_API/imagenes/HALIFAX_WOMENS_119005384_BLK_3.jpg")</f>
        <v/>
      </c>
      <c r="O339">
        <f>HYPERLINK("imagenes/HALIFAX_WOMENS_119005384_BLK_1.jpg","Ver imagen")</f>
        <v/>
      </c>
      <c r="P339">
        <f>HYPERLINK("imagenes/HALIFAX_WOMENS_119005384_BLK_2.jpg","Ver imagen")</f>
        <v/>
      </c>
      <c r="Q339">
        <f>HYPERLINK("imagenes/HALIFAX_WOMENS_119005384_BLK_3.jpg","Ver imagen")</f>
        <v/>
      </c>
    </row>
    <row r="340">
      <c r="A340" t="inlineStr">
        <is>
          <t>HALIFAX WOMENS</t>
        </is>
      </c>
      <c r="B340" t="inlineStr">
        <is>
          <t>119005384</t>
        </is>
      </c>
      <c r="C340" t="inlineStr">
        <is>
          <t>Cozy Quilted Jacket CBL: 27 1/2"</t>
        </is>
      </c>
      <c r="D340" t="inlineStr">
        <is>
          <t>BLK</t>
        </is>
      </c>
      <c r="E340" t="inlineStr">
        <is>
          <t>(en blanco)</t>
        </is>
      </c>
      <c r="F340" t="inlineStr">
        <is>
          <t>(en blanco)</t>
        </is>
      </c>
      <c r="G340" t="inlineStr">
        <is>
          <t>XXL</t>
        </is>
      </c>
      <c r="H340" t="n">
        <v>1</v>
      </c>
      <c r="I340" t="inlineStr">
        <is>
          <t>HALIFAX_WOMENS_119005384_BLK_1.jpg</t>
        </is>
      </c>
      <c r="J340" t="inlineStr">
        <is>
          <t>HALIFAX_WOMENS_119005384_BLK_2.jpg</t>
        </is>
      </c>
      <c r="K340" t="inlineStr">
        <is>
          <t>HALIFAX_WOMENS_119005384_BLK_3.jpg</t>
        </is>
      </c>
      <c r="L340">
        <f>IMAGE("file:///E:/Estudios%20y%20certificaciones/ESTUDIOS%20DE%20PROGRAMMING/PROGRAMMING/PERSONAL/PYTHON/Image_Generator_API/imagenes/HALIFAX_WOMENS_119005384_BLK_1.jpg")</f>
        <v/>
      </c>
      <c r="M340">
        <f>IMAGE("file:///E:/Estudios%20y%20certificaciones/ESTUDIOS%20DE%20PROGRAMMING/PROGRAMMING/PERSONAL/PYTHON/Image_Generator_API/imagenes/HALIFAX_WOMENS_119005384_BLK_2.jpg")</f>
        <v/>
      </c>
      <c r="N340">
        <f>IMAGE("file:///E:/Estudios%20y%20certificaciones/ESTUDIOS%20DE%20PROGRAMMING/PROGRAMMING/PERSONAL/PYTHON/Image_Generator_API/imagenes/HALIFAX_WOMENS_119005384_BLK_3.jpg")</f>
        <v/>
      </c>
      <c r="O340">
        <f>HYPERLINK("imagenes/HALIFAX_WOMENS_119005384_BLK_1.jpg","Ver imagen")</f>
        <v/>
      </c>
      <c r="P340">
        <f>HYPERLINK("imagenes/HALIFAX_WOMENS_119005384_BLK_2.jpg","Ver imagen")</f>
        <v/>
      </c>
      <c r="Q340">
        <f>HYPERLINK("imagenes/HALIFAX_WOMENS_119005384_BLK_3.jpg","Ver imagen")</f>
        <v/>
      </c>
    </row>
    <row r="341">
      <c r="A341" t="inlineStr">
        <is>
          <t>HALIFAX WOMENS</t>
        </is>
      </c>
      <c r="B341" t="inlineStr">
        <is>
          <t>119005384</t>
        </is>
      </c>
      <c r="C341" t="inlineStr">
        <is>
          <t>Cozy Quilted Jacket CBL: 27 1/2"</t>
        </is>
      </c>
      <c r="D341" t="inlineStr">
        <is>
          <t>MSG</t>
        </is>
      </c>
      <c r="E341" t="inlineStr">
        <is>
          <t>(en blanco)</t>
        </is>
      </c>
      <c r="F341" t="inlineStr">
        <is>
          <t>D2C</t>
        </is>
      </c>
      <c r="G341" t="inlineStr">
        <is>
          <t>S</t>
        </is>
      </c>
      <c r="H341" t="n">
        <v>16</v>
      </c>
      <c r="I341" t="inlineStr">
        <is>
          <t>HALIFAX_WOMENS_119005384_MSG_1.jpg</t>
        </is>
      </c>
      <c r="J341" t="inlineStr">
        <is>
          <t>HALIFAX_WOMENS_119005384_MSG_2.jpg</t>
        </is>
      </c>
      <c r="K341" t="inlineStr">
        <is>
          <t>HALIFAX_WOMENS_119005384_MSG_3.jpg</t>
        </is>
      </c>
      <c r="L341">
        <f>IMAGE("file:///E:/Estudios%20y%20certificaciones/ESTUDIOS%20DE%20PROGRAMMING/PROGRAMMING/PERSONAL/PYTHON/Image_Generator_API/imagenes/HALIFAX_WOMENS_119005384_MSG_1.jpg")</f>
        <v/>
      </c>
      <c r="M341">
        <f>IMAGE("file:///E:/Estudios%20y%20certificaciones/ESTUDIOS%20DE%20PROGRAMMING/PROGRAMMING/PERSONAL/PYTHON/Image_Generator_API/imagenes/HALIFAX_WOMENS_119005384_MSG_2.jpg")</f>
        <v/>
      </c>
      <c r="N341">
        <f>IMAGE("file:///E:/Estudios%20y%20certificaciones/ESTUDIOS%20DE%20PROGRAMMING/PROGRAMMING/PERSONAL/PYTHON/Image_Generator_API/imagenes/HALIFAX_WOMENS_119005384_MSG_3.jpg")</f>
        <v/>
      </c>
      <c r="O341">
        <f>HYPERLINK("imagenes/HALIFAX_WOMENS_119005384_MSG_1.jpg","Ver imagen")</f>
        <v/>
      </c>
      <c r="P341">
        <f>HYPERLINK("imagenes/HALIFAX_WOMENS_119005384_MSG_2.jpg","Ver imagen")</f>
        <v/>
      </c>
      <c r="Q341">
        <f>HYPERLINK("imagenes/HALIFAX_WOMENS_119005384_MSG_3.jpg","Ver imagen")</f>
        <v/>
      </c>
    </row>
    <row r="342">
      <c r="A342" t="inlineStr">
        <is>
          <t>HALIFAX WOMENS</t>
        </is>
      </c>
      <c r="B342" t="inlineStr">
        <is>
          <t>119005384</t>
        </is>
      </c>
      <c r="C342" t="inlineStr">
        <is>
          <t>Cozy Quilted Jacket CBL: 27 1/2"</t>
        </is>
      </c>
      <c r="D342" t="inlineStr">
        <is>
          <t>MSG</t>
        </is>
      </c>
      <c r="E342" t="inlineStr">
        <is>
          <t>(en blanco)</t>
        </is>
      </c>
      <c r="F342" t="inlineStr">
        <is>
          <t>D2C</t>
        </is>
      </c>
      <c r="G342" t="inlineStr">
        <is>
          <t>M</t>
        </is>
      </c>
      <c r="H342" t="n">
        <v>36</v>
      </c>
      <c r="I342" t="inlineStr">
        <is>
          <t>HALIFAX_WOMENS_119005384_MSG_1.jpg</t>
        </is>
      </c>
      <c r="J342" t="inlineStr">
        <is>
          <t>HALIFAX_WOMENS_119005384_MSG_2.jpg</t>
        </is>
      </c>
      <c r="K342" t="inlineStr">
        <is>
          <t>HALIFAX_WOMENS_119005384_MSG_3.jpg</t>
        </is>
      </c>
      <c r="L342">
        <f>IMAGE("file:///E:/Estudios%20y%20certificaciones/ESTUDIOS%20DE%20PROGRAMMING/PROGRAMMING/PERSONAL/PYTHON/Image_Generator_API/imagenes/HALIFAX_WOMENS_119005384_MSG_1.jpg")</f>
        <v/>
      </c>
      <c r="M342">
        <f>IMAGE("file:///E:/Estudios%20y%20certificaciones/ESTUDIOS%20DE%20PROGRAMMING/PROGRAMMING/PERSONAL/PYTHON/Image_Generator_API/imagenes/HALIFAX_WOMENS_119005384_MSG_2.jpg")</f>
        <v/>
      </c>
      <c r="N342">
        <f>IMAGE("file:///E:/Estudios%20y%20certificaciones/ESTUDIOS%20DE%20PROGRAMMING/PROGRAMMING/PERSONAL/PYTHON/Image_Generator_API/imagenes/HALIFAX_WOMENS_119005384_MSG_3.jpg")</f>
        <v/>
      </c>
      <c r="O342">
        <f>HYPERLINK("imagenes/HALIFAX_WOMENS_119005384_MSG_1.jpg","Ver imagen")</f>
        <v/>
      </c>
      <c r="P342">
        <f>HYPERLINK("imagenes/HALIFAX_WOMENS_119005384_MSG_2.jpg","Ver imagen")</f>
        <v/>
      </c>
      <c r="Q342">
        <f>HYPERLINK("imagenes/HALIFAX_WOMENS_119005384_MSG_3.jpg","Ver imagen")</f>
        <v/>
      </c>
    </row>
    <row r="343">
      <c r="A343" t="inlineStr">
        <is>
          <t>HALIFAX WOMENS</t>
        </is>
      </c>
      <c r="B343" t="inlineStr">
        <is>
          <t>119005384</t>
        </is>
      </c>
      <c r="C343" t="inlineStr">
        <is>
          <t>Cozy Quilted Jacket CBL: 27 1/2"</t>
        </is>
      </c>
      <c r="D343" t="inlineStr">
        <is>
          <t>MSG</t>
        </is>
      </c>
      <c r="E343" t="inlineStr">
        <is>
          <t>(en blanco)</t>
        </is>
      </c>
      <c r="F343" t="inlineStr">
        <is>
          <t>D2C</t>
        </is>
      </c>
      <c r="G343" t="inlineStr">
        <is>
          <t>L</t>
        </is>
      </c>
      <c r="H343" t="n">
        <v>37</v>
      </c>
      <c r="I343" t="inlineStr">
        <is>
          <t>HALIFAX_WOMENS_119005384_MSG_1.jpg</t>
        </is>
      </c>
      <c r="J343" t="inlineStr">
        <is>
          <t>HALIFAX_WOMENS_119005384_MSG_2.jpg</t>
        </is>
      </c>
      <c r="K343" t="inlineStr">
        <is>
          <t>HALIFAX_WOMENS_119005384_MSG_3.jpg</t>
        </is>
      </c>
      <c r="L343">
        <f>IMAGE("file:///E:/Estudios%20y%20certificaciones/ESTUDIOS%20DE%20PROGRAMMING/PROGRAMMING/PERSONAL/PYTHON/Image_Generator_API/imagenes/HALIFAX_WOMENS_119005384_MSG_1.jpg")</f>
        <v/>
      </c>
      <c r="M343">
        <f>IMAGE("file:///E:/Estudios%20y%20certificaciones/ESTUDIOS%20DE%20PROGRAMMING/PROGRAMMING/PERSONAL/PYTHON/Image_Generator_API/imagenes/HALIFAX_WOMENS_119005384_MSG_2.jpg")</f>
        <v/>
      </c>
      <c r="N343">
        <f>IMAGE("file:///E:/Estudios%20y%20certificaciones/ESTUDIOS%20DE%20PROGRAMMING/PROGRAMMING/PERSONAL/PYTHON/Image_Generator_API/imagenes/HALIFAX_WOMENS_119005384_MSG_3.jpg")</f>
        <v/>
      </c>
      <c r="O343">
        <f>HYPERLINK("imagenes/HALIFAX_WOMENS_119005384_MSG_1.jpg","Ver imagen")</f>
        <v/>
      </c>
      <c r="P343">
        <f>HYPERLINK("imagenes/HALIFAX_WOMENS_119005384_MSG_2.jpg","Ver imagen")</f>
        <v/>
      </c>
      <c r="Q343">
        <f>HYPERLINK("imagenes/HALIFAX_WOMENS_119005384_MSG_3.jpg","Ver imagen")</f>
        <v/>
      </c>
    </row>
    <row r="344">
      <c r="A344" t="inlineStr">
        <is>
          <t>HALIFAX WOMENS</t>
        </is>
      </c>
      <c r="B344" t="inlineStr">
        <is>
          <t>119005384</t>
        </is>
      </c>
      <c r="C344" t="inlineStr">
        <is>
          <t>Cozy Quilted Jacket CBL: 27 1/2"</t>
        </is>
      </c>
      <c r="D344" t="inlineStr">
        <is>
          <t>MSG</t>
        </is>
      </c>
      <c r="E344" t="inlineStr">
        <is>
          <t>(en blanco)</t>
        </is>
      </c>
      <c r="F344" t="inlineStr">
        <is>
          <t>D2C</t>
        </is>
      </c>
      <c r="G344" t="inlineStr">
        <is>
          <t>XL</t>
        </is>
      </c>
      <c r="H344" t="n">
        <v>36</v>
      </c>
      <c r="I344" t="inlineStr">
        <is>
          <t>HALIFAX_WOMENS_119005384_MSG_1.jpg</t>
        </is>
      </c>
      <c r="J344" t="inlineStr">
        <is>
          <t>HALIFAX_WOMENS_119005384_MSG_2.jpg</t>
        </is>
      </c>
      <c r="K344" t="inlineStr">
        <is>
          <t>HALIFAX_WOMENS_119005384_MSG_3.jpg</t>
        </is>
      </c>
      <c r="L344">
        <f>IMAGE("file:///E:/Estudios%20y%20certificaciones/ESTUDIOS%20DE%20PROGRAMMING/PROGRAMMING/PERSONAL/PYTHON/Image_Generator_API/imagenes/HALIFAX_WOMENS_119005384_MSG_1.jpg")</f>
        <v/>
      </c>
      <c r="M344">
        <f>IMAGE("file:///E:/Estudios%20y%20certificaciones/ESTUDIOS%20DE%20PROGRAMMING/PROGRAMMING/PERSONAL/PYTHON/Image_Generator_API/imagenes/HALIFAX_WOMENS_119005384_MSG_2.jpg")</f>
        <v/>
      </c>
      <c r="N344">
        <f>IMAGE("file:///E:/Estudios%20y%20certificaciones/ESTUDIOS%20DE%20PROGRAMMING/PROGRAMMING/PERSONAL/PYTHON/Image_Generator_API/imagenes/HALIFAX_WOMENS_119005384_MSG_3.jpg")</f>
        <v/>
      </c>
      <c r="O344">
        <f>HYPERLINK("imagenes/HALIFAX_WOMENS_119005384_MSG_1.jpg","Ver imagen")</f>
        <v/>
      </c>
      <c r="P344">
        <f>HYPERLINK("imagenes/HALIFAX_WOMENS_119005384_MSG_2.jpg","Ver imagen")</f>
        <v/>
      </c>
      <c r="Q344">
        <f>HYPERLINK("imagenes/HALIFAX_WOMENS_119005384_MSG_3.jpg","Ver imagen")</f>
        <v/>
      </c>
    </row>
    <row r="345">
      <c r="A345" t="inlineStr">
        <is>
          <t>HALIFAX WOMENS</t>
        </is>
      </c>
      <c r="B345" t="inlineStr">
        <is>
          <t>119005384</t>
        </is>
      </c>
      <c r="C345" t="inlineStr">
        <is>
          <t>Cozy Quilted Jacket CBL: 27 1/2"</t>
        </is>
      </c>
      <c r="D345" t="inlineStr">
        <is>
          <t>MSG</t>
        </is>
      </c>
      <c r="E345" t="inlineStr">
        <is>
          <t>(en blanco)</t>
        </is>
      </c>
      <c r="F345" t="inlineStr">
        <is>
          <t>(en blanco)</t>
        </is>
      </c>
      <c r="G345" t="inlineStr">
        <is>
          <t>L</t>
        </is>
      </c>
      <c r="H345" t="n">
        <v>40</v>
      </c>
      <c r="I345" t="inlineStr">
        <is>
          <t>HALIFAX_WOMENS_119005384_MSG_1.jpg</t>
        </is>
      </c>
      <c r="J345" t="inlineStr">
        <is>
          <t>HALIFAX_WOMENS_119005384_MSG_2.jpg</t>
        </is>
      </c>
      <c r="K345" t="inlineStr">
        <is>
          <t>HALIFAX_WOMENS_119005384_MSG_3.jpg</t>
        </is>
      </c>
      <c r="L345">
        <f>IMAGE("file:///E:/Estudios%20y%20certificaciones/ESTUDIOS%20DE%20PROGRAMMING/PROGRAMMING/PERSONAL/PYTHON/Image_Generator_API/imagenes/HALIFAX_WOMENS_119005384_MSG_1.jpg")</f>
        <v/>
      </c>
      <c r="M345">
        <f>IMAGE("file:///E:/Estudios%20y%20certificaciones/ESTUDIOS%20DE%20PROGRAMMING/PROGRAMMING/PERSONAL/PYTHON/Image_Generator_API/imagenes/HALIFAX_WOMENS_119005384_MSG_2.jpg")</f>
        <v/>
      </c>
      <c r="N345">
        <f>IMAGE("file:///E:/Estudios%20y%20certificaciones/ESTUDIOS%20DE%20PROGRAMMING/PROGRAMMING/PERSONAL/PYTHON/Image_Generator_API/imagenes/HALIFAX_WOMENS_119005384_MSG_3.jpg")</f>
        <v/>
      </c>
      <c r="O345">
        <f>HYPERLINK("imagenes/HALIFAX_WOMENS_119005384_MSG_1.jpg","Ver imagen")</f>
        <v/>
      </c>
      <c r="P345">
        <f>HYPERLINK("imagenes/HALIFAX_WOMENS_119005384_MSG_2.jpg","Ver imagen")</f>
        <v/>
      </c>
      <c r="Q345">
        <f>HYPERLINK("imagenes/HALIFAX_WOMENS_119005384_MSG_3.jpg","Ver imagen")</f>
        <v/>
      </c>
    </row>
    <row r="346">
      <c r="A346" t="inlineStr">
        <is>
          <t>HALIFAX WOMENS</t>
        </is>
      </c>
      <c r="B346" t="inlineStr">
        <is>
          <t>119005384</t>
        </is>
      </c>
      <c r="C346" t="inlineStr">
        <is>
          <t>Cozy Quilted Jacket CBL: 27 1/2"</t>
        </is>
      </c>
      <c r="D346" t="inlineStr">
        <is>
          <t>MSG</t>
        </is>
      </c>
      <c r="E346" t="inlineStr">
        <is>
          <t>(en blanco)</t>
        </is>
      </c>
      <c r="F346" t="inlineStr">
        <is>
          <t>(en blanco)</t>
        </is>
      </c>
      <c r="G346" t="inlineStr">
        <is>
          <t>XXL</t>
        </is>
      </c>
      <c r="H346" t="n">
        <v>8</v>
      </c>
      <c r="I346" t="inlineStr">
        <is>
          <t>HALIFAX_WOMENS_119005384_MSG_1.jpg</t>
        </is>
      </c>
      <c r="J346" t="inlineStr">
        <is>
          <t>HALIFAX_WOMENS_119005384_MSG_2.jpg</t>
        </is>
      </c>
      <c r="K346" t="inlineStr">
        <is>
          <t>HALIFAX_WOMENS_119005384_MSG_3.jpg</t>
        </is>
      </c>
      <c r="L346">
        <f>IMAGE("file:///E:/Estudios%20y%20certificaciones/ESTUDIOS%20DE%20PROGRAMMING/PROGRAMMING/PERSONAL/PYTHON/Image_Generator_API/imagenes/HALIFAX_WOMENS_119005384_MSG_1.jpg")</f>
        <v/>
      </c>
      <c r="M346">
        <f>IMAGE("file:///E:/Estudios%20y%20certificaciones/ESTUDIOS%20DE%20PROGRAMMING/PROGRAMMING/PERSONAL/PYTHON/Image_Generator_API/imagenes/HALIFAX_WOMENS_119005384_MSG_2.jpg")</f>
        <v/>
      </c>
      <c r="N346">
        <f>IMAGE("file:///E:/Estudios%20y%20certificaciones/ESTUDIOS%20DE%20PROGRAMMING/PROGRAMMING/PERSONAL/PYTHON/Image_Generator_API/imagenes/HALIFAX_WOMENS_119005384_MSG_3.jpg")</f>
        <v/>
      </c>
      <c r="O346">
        <f>HYPERLINK("imagenes/HALIFAX_WOMENS_119005384_MSG_1.jpg","Ver imagen")</f>
        <v/>
      </c>
      <c r="P346">
        <f>HYPERLINK("imagenes/HALIFAX_WOMENS_119005384_MSG_2.jpg","Ver imagen")</f>
        <v/>
      </c>
      <c r="Q346">
        <f>HYPERLINK("imagenes/HALIFAX_WOMENS_119005384_MSG_3.jpg","Ver imagen")</f>
        <v/>
      </c>
    </row>
    <row r="347">
      <c r="A347" t="inlineStr">
        <is>
          <t>HALIFAX WOMENS</t>
        </is>
      </c>
      <c r="B347" t="inlineStr">
        <is>
          <t>119005385</t>
        </is>
      </c>
      <c r="C347" t="inlineStr">
        <is>
          <t>Stretch Wellon Quilted 3/4 Puffer CBL: 32"</t>
        </is>
      </c>
      <c r="D347" t="inlineStr">
        <is>
          <t>BLK</t>
        </is>
      </c>
      <c r="E347" t="inlineStr">
        <is>
          <t>(en blanco)</t>
        </is>
      </c>
      <c r="F347" t="inlineStr">
        <is>
          <t>D2C</t>
        </is>
      </c>
      <c r="G347" t="inlineStr">
        <is>
          <t>S</t>
        </is>
      </c>
      <c r="H347" t="n">
        <v>2</v>
      </c>
      <c r="I347" t="inlineStr">
        <is>
          <t>HALIFAX_WOMENS_119005385_BLK_2.jpg</t>
        </is>
      </c>
      <c r="J347" t="inlineStr">
        <is>
          <t>HALIFAX_WOMENS_119005385_BLK_3.jpg</t>
        </is>
      </c>
      <c r="L347">
        <f>IMAGE("file:///E:/Estudios%20y%20certificaciones/ESTUDIOS%20DE%20PROGRAMMING/PROGRAMMING/PERSONAL/PYTHON/Image_Generator_API/imagenes/HALIFAX_WOMENS_119005385_BLK_2.jpg")</f>
        <v/>
      </c>
      <c r="M347">
        <f>IMAGE("file:///E:/Estudios%20y%20certificaciones/ESTUDIOS%20DE%20PROGRAMMING/PROGRAMMING/PERSONAL/PYTHON/Image_Generator_API/imagenes/HALIFAX_WOMENS_119005385_BLK_3.jpg")</f>
        <v/>
      </c>
      <c r="O347">
        <f>HYPERLINK("imagenes/HALIFAX_WOMENS_119005385_BLK_2.jpg","Ver imagen")</f>
        <v/>
      </c>
      <c r="P347">
        <f>HYPERLINK("imagenes/HALIFAX_WOMENS_119005385_BLK_3.jpg","Ver imagen")</f>
        <v/>
      </c>
    </row>
    <row r="348">
      <c r="A348" t="inlineStr">
        <is>
          <t>HALIFAX WOMENS</t>
        </is>
      </c>
      <c r="B348" t="inlineStr">
        <is>
          <t>119005385</t>
        </is>
      </c>
      <c r="C348" t="inlineStr">
        <is>
          <t>Stretch Wellon Quilted 3/4 Puffer CBL: 32"</t>
        </is>
      </c>
      <c r="D348" t="inlineStr">
        <is>
          <t>BLK</t>
        </is>
      </c>
      <c r="E348" t="inlineStr">
        <is>
          <t>(en blanco)</t>
        </is>
      </c>
      <c r="F348" t="inlineStr">
        <is>
          <t>D2C</t>
        </is>
      </c>
      <c r="G348" t="inlineStr">
        <is>
          <t>M</t>
        </is>
      </c>
      <c r="H348" t="n">
        <v>11</v>
      </c>
      <c r="I348" t="inlineStr">
        <is>
          <t>HALIFAX_WOMENS_119005385_BLK_2.jpg</t>
        </is>
      </c>
      <c r="J348" t="inlineStr">
        <is>
          <t>HALIFAX_WOMENS_119005385_BLK_3.jpg</t>
        </is>
      </c>
      <c r="L348">
        <f>IMAGE("file:///E:/Estudios%20y%20certificaciones/ESTUDIOS%20DE%20PROGRAMMING/PROGRAMMING/PERSONAL/PYTHON/Image_Generator_API/imagenes/HALIFAX_WOMENS_119005385_BLK_2.jpg")</f>
        <v/>
      </c>
      <c r="M348">
        <f>IMAGE("file:///E:/Estudios%20y%20certificaciones/ESTUDIOS%20DE%20PROGRAMMING/PROGRAMMING/PERSONAL/PYTHON/Image_Generator_API/imagenes/HALIFAX_WOMENS_119005385_BLK_3.jpg")</f>
        <v/>
      </c>
      <c r="O348">
        <f>HYPERLINK("imagenes/HALIFAX_WOMENS_119005385_BLK_2.jpg","Ver imagen")</f>
        <v/>
      </c>
      <c r="P348">
        <f>HYPERLINK("imagenes/HALIFAX_WOMENS_119005385_BLK_3.jpg","Ver imagen")</f>
        <v/>
      </c>
    </row>
    <row r="349">
      <c r="A349" t="inlineStr">
        <is>
          <t>HALIFAX WOMENS</t>
        </is>
      </c>
      <c r="B349" t="inlineStr">
        <is>
          <t>119005385</t>
        </is>
      </c>
      <c r="C349" t="inlineStr">
        <is>
          <t>Stretch Wellon Quilted 3/4 Puffer CBL: 32"</t>
        </is>
      </c>
      <c r="D349" t="inlineStr">
        <is>
          <t>MSG</t>
        </is>
      </c>
      <c r="E349" t="inlineStr">
        <is>
          <t>(en blanco)</t>
        </is>
      </c>
      <c r="F349" t="inlineStr">
        <is>
          <t>D2C</t>
        </is>
      </c>
      <c r="G349" t="inlineStr">
        <is>
          <t>S</t>
        </is>
      </c>
      <c r="H349" t="n">
        <v>3</v>
      </c>
      <c r="I349" t="inlineStr">
        <is>
          <t>HALIFAX_WOMENS_119005385_MSG_2.jpg</t>
        </is>
      </c>
      <c r="J349" t="inlineStr">
        <is>
          <t>HALIFAX_WOMENS_119005385_MSG_3.jpg</t>
        </is>
      </c>
      <c r="L349">
        <f>IMAGE("file:///E:/Estudios%20y%20certificaciones/ESTUDIOS%20DE%20PROGRAMMING/PROGRAMMING/PERSONAL/PYTHON/Image_Generator_API/imagenes/HALIFAX_WOMENS_119005385_MSG_2.jpg")</f>
        <v/>
      </c>
      <c r="M349">
        <f>IMAGE("file:///E:/Estudios%20y%20certificaciones/ESTUDIOS%20DE%20PROGRAMMING/PROGRAMMING/PERSONAL/PYTHON/Image_Generator_API/imagenes/HALIFAX_WOMENS_119005385_MSG_3.jpg")</f>
        <v/>
      </c>
      <c r="O349">
        <f>HYPERLINK("imagenes/HALIFAX_WOMENS_119005385_MSG_2.jpg","Ver imagen")</f>
        <v/>
      </c>
      <c r="P349">
        <f>HYPERLINK("imagenes/HALIFAX_WOMENS_119005385_MSG_3.jpg","Ver imagen")</f>
        <v/>
      </c>
    </row>
    <row r="350">
      <c r="A350" t="inlineStr">
        <is>
          <t>HALIFAX WOMENS</t>
        </is>
      </c>
      <c r="B350" t="inlineStr">
        <is>
          <t>119005385</t>
        </is>
      </c>
      <c r="C350" t="inlineStr">
        <is>
          <t>Stretch Wellon Quilted 3/4 Puffer CBL: 32"</t>
        </is>
      </c>
      <c r="D350" t="inlineStr">
        <is>
          <t>MSG</t>
        </is>
      </c>
      <c r="E350" t="inlineStr">
        <is>
          <t>(en blanco)</t>
        </is>
      </c>
      <c r="F350" t="inlineStr">
        <is>
          <t>D2C</t>
        </is>
      </c>
      <c r="G350" t="inlineStr">
        <is>
          <t>M</t>
        </is>
      </c>
      <c r="H350" t="n">
        <v>14</v>
      </c>
      <c r="I350" t="inlineStr">
        <is>
          <t>HALIFAX_WOMENS_119005385_MSG_2.jpg</t>
        </is>
      </c>
      <c r="J350" t="inlineStr">
        <is>
          <t>HALIFAX_WOMENS_119005385_MSG_3.jpg</t>
        </is>
      </c>
      <c r="L350">
        <f>IMAGE("file:///E:/Estudios%20y%20certificaciones/ESTUDIOS%20DE%20PROGRAMMING/PROGRAMMING/PERSONAL/PYTHON/Image_Generator_API/imagenes/HALIFAX_WOMENS_119005385_MSG_2.jpg")</f>
        <v/>
      </c>
      <c r="M350">
        <f>IMAGE("file:///E:/Estudios%20y%20certificaciones/ESTUDIOS%20DE%20PROGRAMMING/PROGRAMMING/PERSONAL/PYTHON/Image_Generator_API/imagenes/HALIFAX_WOMENS_119005385_MSG_3.jpg")</f>
        <v/>
      </c>
      <c r="O350">
        <f>HYPERLINK("imagenes/HALIFAX_WOMENS_119005385_MSG_2.jpg","Ver imagen")</f>
        <v/>
      </c>
      <c r="P350">
        <f>HYPERLINK("imagenes/HALIFAX_WOMENS_119005385_MSG_3.jpg","Ver imagen")</f>
        <v/>
      </c>
    </row>
    <row r="351">
      <c r="A351" t="inlineStr">
        <is>
          <t>HALIFAX WOMENS</t>
        </is>
      </c>
      <c r="B351" t="inlineStr">
        <is>
          <t>119005385</t>
        </is>
      </c>
      <c r="C351" t="inlineStr">
        <is>
          <t>Stretch Wellon Quilted 3/4 Puffer CBL: 32"</t>
        </is>
      </c>
      <c r="D351" t="inlineStr">
        <is>
          <t>MSG</t>
        </is>
      </c>
      <c r="E351" t="inlineStr">
        <is>
          <t>(en blanco)</t>
        </is>
      </c>
      <c r="F351" t="inlineStr">
        <is>
          <t>D2C</t>
        </is>
      </c>
      <c r="G351" t="inlineStr">
        <is>
          <t>L</t>
        </is>
      </c>
      <c r="H351" t="n">
        <v>2</v>
      </c>
      <c r="I351" t="inlineStr">
        <is>
          <t>HALIFAX_WOMENS_119005385_MSG_2.jpg</t>
        </is>
      </c>
      <c r="J351" t="inlineStr">
        <is>
          <t>HALIFAX_WOMENS_119005385_MSG_3.jpg</t>
        </is>
      </c>
      <c r="L351">
        <f>IMAGE("file:///E:/Estudios%20y%20certificaciones/ESTUDIOS%20DE%20PROGRAMMING/PROGRAMMING/PERSONAL/PYTHON/Image_Generator_API/imagenes/HALIFAX_WOMENS_119005385_MSG_2.jpg")</f>
        <v/>
      </c>
      <c r="M351">
        <f>IMAGE("file:///E:/Estudios%20y%20certificaciones/ESTUDIOS%20DE%20PROGRAMMING/PROGRAMMING/PERSONAL/PYTHON/Image_Generator_API/imagenes/HALIFAX_WOMENS_119005385_MSG_3.jpg")</f>
        <v/>
      </c>
      <c r="O351">
        <f>HYPERLINK("imagenes/HALIFAX_WOMENS_119005385_MSG_2.jpg","Ver imagen")</f>
        <v/>
      </c>
      <c r="P351">
        <f>HYPERLINK("imagenes/HALIFAX_WOMENS_119005385_MSG_3.jpg","Ver imagen")</f>
        <v/>
      </c>
    </row>
    <row r="352">
      <c r="A352" t="inlineStr">
        <is>
          <t>HALIFAX WOMENS</t>
        </is>
      </c>
      <c r="B352" t="inlineStr">
        <is>
          <t>119005385</t>
        </is>
      </c>
      <c r="C352" t="inlineStr">
        <is>
          <t>Stretch Wellon Quilted 3/4 Puffer CBL: 32"</t>
        </is>
      </c>
      <c r="D352" t="inlineStr">
        <is>
          <t>MSG</t>
        </is>
      </c>
      <c r="E352" t="inlineStr">
        <is>
          <t>(en blanco)</t>
        </is>
      </c>
      <c r="F352" t="inlineStr">
        <is>
          <t>D2C</t>
        </is>
      </c>
      <c r="G352" t="inlineStr">
        <is>
          <t>XL</t>
        </is>
      </c>
      <c r="H352" t="n">
        <v>7</v>
      </c>
      <c r="I352" t="inlineStr">
        <is>
          <t>HALIFAX_WOMENS_119005385_MSG_2.jpg</t>
        </is>
      </c>
      <c r="J352" t="inlineStr">
        <is>
          <t>HALIFAX_WOMENS_119005385_MSG_3.jpg</t>
        </is>
      </c>
      <c r="L352">
        <f>IMAGE("file:///E:/Estudios%20y%20certificaciones/ESTUDIOS%20DE%20PROGRAMMING/PROGRAMMING/PERSONAL/PYTHON/Image_Generator_API/imagenes/HALIFAX_WOMENS_119005385_MSG_2.jpg")</f>
        <v/>
      </c>
      <c r="M352">
        <f>IMAGE("file:///E:/Estudios%20y%20certificaciones/ESTUDIOS%20DE%20PROGRAMMING/PROGRAMMING/PERSONAL/PYTHON/Image_Generator_API/imagenes/HALIFAX_WOMENS_119005385_MSG_3.jpg")</f>
        <v/>
      </c>
      <c r="O352">
        <f>HYPERLINK("imagenes/HALIFAX_WOMENS_119005385_MSG_2.jpg","Ver imagen")</f>
        <v/>
      </c>
      <c r="P352">
        <f>HYPERLINK("imagenes/HALIFAX_WOMENS_119005385_MSG_3.jpg","Ver imagen")</f>
        <v/>
      </c>
    </row>
    <row r="353">
      <c r="A353" t="inlineStr">
        <is>
          <t>HALIFAX WOMENS</t>
        </is>
      </c>
      <c r="B353" t="inlineStr">
        <is>
          <t>119005385</t>
        </is>
      </c>
      <c r="C353" t="inlineStr">
        <is>
          <t>Stretch Wellon Quilted 3/4 Puffer CBL: 32"</t>
        </is>
      </c>
      <c r="D353" t="inlineStr">
        <is>
          <t>MSG</t>
        </is>
      </c>
      <c r="E353" t="inlineStr">
        <is>
          <t>(en blanco)</t>
        </is>
      </c>
      <c r="F353" t="inlineStr">
        <is>
          <t>D2C</t>
        </is>
      </c>
      <c r="G353" t="inlineStr">
        <is>
          <t>XXL</t>
        </is>
      </c>
      <c r="H353" t="n">
        <v>1</v>
      </c>
      <c r="I353" t="inlineStr">
        <is>
          <t>HALIFAX_WOMENS_119005385_MSG_2.jpg</t>
        </is>
      </c>
      <c r="J353" t="inlineStr">
        <is>
          <t>HALIFAX_WOMENS_119005385_MSG_3.jpg</t>
        </is>
      </c>
      <c r="L353">
        <f>IMAGE("file:///E:/Estudios%20y%20certificaciones/ESTUDIOS%20DE%20PROGRAMMING/PROGRAMMING/PERSONAL/PYTHON/Image_Generator_API/imagenes/HALIFAX_WOMENS_119005385_MSG_2.jpg")</f>
        <v/>
      </c>
      <c r="M353">
        <f>IMAGE("file:///E:/Estudios%20y%20certificaciones/ESTUDIOS%20DE%20PROGRAMMING/PROGRAMMING/PERSONAL/PYTHON/Image_Generator_API/imagenes/HALIFAX_WOMENS_119005385_MSG_3.jpg")</f>
        <v/>
      </c>
      <c r="O353">
        <f>HYPERLINK("imagenes/HALIFAX_WOMENS_119005385_MSG_2.jpg","Ver imagen")</f>
        <v/>
      </c>
      <c r="P353">
        <f>HYPERLINK("imagenes/HALIFAX_WOMENS_119005385_MSG_3.jpg","Ver imagen")</f>
        <v/>
      </c>
    </row>
    <row r="354">
      <c r="A354" t="inlineStr">
        <is>
          <t>HALIFAX WOMENS</t>
        </is>
      </c>
      <c r="B354" t="inlineStr">
        <is>
          <t>119005385</t>
        </is>
      </c>
      <c r="C354" t="inlineStr">
        <is>
          <t>Stretch Wellon Quilted 3/4 Puffer CBL: 32"</t>
        </is>
      </c>
      <c r="D354" t="inlineStr">
        <is>
          <t>OLI</t>
        </is>
      </c>
      <c r="E354" t="inlineStr">
        <is>
          <t>06A01</t>
        </is>
      </c>
      <c r="F354" t="inlineStr">
        <is>
          <t>(en blanco)</t>
        </is>
      </c>
      <c r="G354" t="inlineStr">
        <is>
          <t>PPK</t>
        </is>
      </c>
      <c r="H354" t="n">
        <v>750</v>
      </c>
      <c r="I354" t="inlineStr">
        <is>
          <t>HALIFAX_WOMENS_119005385_OLI_2.jpg</t>
        </is>
      </c>
      <c r="J354" t="inlineStr">
        <is>
          <t>HALIFAX_WOMENS_119005385_OLI_3.jpg</t>
        </is>
      </c>
      <c r="L354">
        <f>IMAGE("file:///E:/Estudios%20y%20certificaciones/ESTUDIOS%20DE%20PROGRAMMING/PROGRAMMING/PERSONAL/PYTHON/Image_Generator_API/imagenes/HALIFAX_WOMENS_119005385_OLI_2.jpg")</f>
        <v/>
      </c>
      <c r="M354">
        <f>IMAGE("file:///E:/Estudios%20y%20certificaciones/ESTUDIOS%20DE%20PROGRAMMING/PROGRAMMING/PERSONAL/PYTHON/Image_Generator_API/imagenes/HALIFAX_WOMENS_119005385_OLI_3.jpg")</f>
        <v/>
      </c>
      <c r="O354">
        <f>HYPERLINK("imagenes/HALIFAX_WOMENS_119005385_OLI_2.jpg","Ver imagen")</f>
        <v/>
      </c>
      <c r="P354">
        <f>HYPERLINK("imagenes/HALIFAX_WOMENS_119005385_OLI_3.jpg","Ver imagen")</f>
        <v/>
      </c>
    </row>
    <row r="355">
      <c r="A355" t="inlineStr">
        <is>
          <t>HALIFAX WOMENS</t>
        </is>
      </c>
      <c r="B355" t="inlineStr">
        <is>
          <t>119005385</t>
        </is>
      </c>
      <c r="C355" t="inlineStr">
        <is>
          <t>Stretch Wellon Quilted 3/4 Puffer CBL: 32"</t>
        </is>
      </c>
      <c r="D355" t="inlineStr">
        <is>
          <t>RBY</t>
        </is>
      </c>
      <c r="E355" t="inlineStr">
        <is>
          <t>06A01</t>
        </is>
      </c>
      <c r="F355" t="inlineStr">
        <is>
          <t>(en blanco)</t>
        </is>
      </c>
      <c r="G355" t="inlineStr">
        <is>
          <t>PPK</t>
        </is>
      </c>
      <c r="H355" t="n">
        <v>738</v>
      </c>
      <c r="I355" t="inlineStr">
        <is>
          <t>HALIFAX_WOMENS_119005385_RBY_2.jpg</t>
        </is>
      </c>
      <c r="J355" t="inlineStr">
        <is>
          <t>HALIFAX_WOMENS_119005385_RBY_3.jpg</t>
        </is>
      </c>
      <c r="L355">
        <f>IMAGE("file:///E:/Estudios%20y%20certificaciones/ESTUDIOS%20DE%20PROGRAMMING/PROGRAMMING/PERSONAL/PYTHON/Image_Generator_API/imagenes/HALIFAX_WOMENS_119005385_RBY_2.jpg")</f>
        <v/>
      </c>
      <c r="M355">
        <f>IMAGE("file:///E:/Estudios%20y%20certificaciones/ESTUDIOS%20DE%20PROGRAMMING/PROGRAMMING/PERSONAL/PYTHON/Image_Generator_API/imagenes/HALIFAX_WOMENS_119005385_RBY_3.jpg")</f>
        <v/>
      </c>
      <c r="O355">
        <f>HYPERLINK("imagenes/HALIFAX_WOMENS_119005385_RBY_2.jpg","Ver imagen")</f>
        <v/>
      </c>
      <c r="P355">
        <f>HYPERLINK("imagenes/HALIFAX_WOMENS_119005385_RBY_3.jpg","Ver imagen")</f>
        <v/>
      </c>
    </row>
    <row r="356">
      <c r="A356" t="inlineStr">
        <is>
          <t>HALIFAX WOMENS</t>
        </is>
      </c>
      <c r="B356" t="inlineStr">
        <is>
          <t>119005385</t>
        </is>
      </c>
      <c r="C356" t="inlineStr">
        <is>
          <t>Stretch Wellon Quilted 3/4 Puffer CBL: 32"</t>
        </is>
      </c>
      <c r="D356" t="inlineStr">
        <is>
          <t>TAU</t>
        </is>
      </c>
      <c r="E356" t="inlineStr">
        <is>
          <t>08A06</t>
        </is>
      </c>
      <c r="F356" t="inlineStr">
        <is>
          <t>(en blanco)</t>
        </is>
      </c>
      <c r="G356" t="inlineStr">
        <is>
          <t>PPK</t>
        </is>
      </c>
      <c r="H356" t="n">
        <v>8</v>
      </c>
      <c r="I356" t="inlineStr">
        <is>
          <t>HALIFAX_WOMENS_119005385_TAU_2.jpg</t>
        </is>
      </c>
      <c r="J356" t="inlineStr">
        <is>
          <t>HALIFAX_WOMENS_119005385_TAU_3.jpg</t>
        </is>
      </c>
      <c r="L356">
        <f>IMAGE("file:///E:/Estudios%20y%20certificaciones/ESTUDIOS%20DE%20PROGRAMMING/PROGRAMMING/PERSONAL/PYTHON/Image_Generator_API/imagenes/HALIFAX_WOMENS_119005385_TAU_2.jpg")</f>
        <v/>
      </c>
      <c r="M356">
        <f>IMAGE("file:///E:/Estudios%20y%20certificaciones/ESTUDIOS%20DE%20PROGRAMMING/PROGRAMMING/PERSONAL/PYTHON/Image_Generator_API/imagenes/HALIFAX_WOMENS_119005385_TAU_3.jpg")</f>
        <v/>
      </c>
      <c r="O356">
        <f>HYPERLINK("imagenes/HALIFAX_WOMENS_119005385_TAU_2.jpg","Ver imagen")</f>
        <v/>
      </c>
      <c r="P356">
        <f>HYPERLINK("imagenes/HALIFAX_WOMENS_119005385_TAU_3.jpg","Ver imagen")</f>
        <v/>
      </c>
    </row>
    <row r="357">
      <c r="A357" t="inlineStr">
        <is>
          <t>HALIFAX WOMENS</t>
        </is>
      </c>
      <c r="B357" t="inlineStr">
        <is>
          <t>119005385</t>
        </is>
      </c>
      <c r="C357" t="inlineStr">
        <is>
          <t>Stretch Wellon Quilted 3/4 Puffer CBL: 32"</t>
        </is>
      </c>
      <c r="D357" t="inlineStr">
        <is>
          <t>TAU</t>
        </is>
      </c>
      <c r="E357" t="inlineStr">
        <is>
          <t>(en blanco)</t>
        </is>
      </c>
      <c r="F357" t="inlineStr">
        <is>
          <t>D2C</t>
        </is>
      </c>
      <c r="G357" t="inlineStr">
        <is>
          <t>S</t>
        </is>
      </c>
      <c r="H357" t="n">
        <v>9</v>
      </c>
      <c r="I357" t="inlineStr">
        <is>
          <t>HALIFAX_WOMENS_119005385_TAU_2.jpg</t>
        </is>
      </c>
      <c r="J357" t="inlineStr">
        <is>
          <t>HALIFAX_WOMENS_119005385_TAU_3.jpg</t>
        </is>
      </c>
      <c r="L357">
        <f>IMAGE("file:///E:/Estudios%20y%20certificaciones/ESTUDIOS%20DE%20PROGRAMMING/PROGRAMMING/PERSONAL/PYTHON/Image_Generator_API/imagenes/HALIFAX_WOMENS_119005385_TAU_2.jpg")</f>
        <v/>
      </c>
      <c r="M357">
        <f>IMAGE("file:///E:/Estudios%20y%20certificaciones/ESTUDIOS%20DE%20PROGRAMMING/PROGRAMMING/PERSONAL/PYTHON/Image_Generator_API/imagenes/HALIFAX_WOMENS_119005385_TAU_3.jpg")</f>
        <v/>
      </c>
      <c r="O357">
        <f>HYPERLINK("imagenes/HALIFAX_WOMENS_119005385_TAU_2.jpg","Ver imagen")</f>
        <v/>
      </c>
      <c r="P357">
        <f>HYPERLINK("imagenes/HALIFAX_WOMENS_119005385_TAU_3.jpg","Ver imagen")</f>
        <v/>
      </c>
    </row>
    <row r="358">
      <c r="A358" t="inlineStr">
        <is>
          <t>HALIFAX WOMENS</t>
        </is>
      </c>
      <c r="B358" t="inlineStr">
        <is>
          <t>119005385</t>
        </is>
      </c>
      <c r="C358" t="inlineStr">
        <is>
          <t>Stretch Wellon Quilted 3/4 Puffer CBL: 32"</t>
        </is>
      </c>
      <c r="D358" t="inlineStr">
        <is>
          <t>TAU</t>
        </is>
      </c>
      <c r="E358" t="inlineStr">
        <is>
          <t>(en blanco)</t>
        </is>
      </c>
      <c r="F358" t="inlineStr">
        <is>
          <t>D2C</t>
        </is>
      </c>
      <c r="G358" t="inlineStr">
        <is>
          <t>M</t>
        </is>
      </c>
      <c r="H358" t="n">
        <v>17</v>
      </c>
      <c r="I358" t="inlineStr">
        <is>
          <t>HALIFAX_WOMENS_119005385_TAU_2.jpg</t>
        </is>
      </c>
      <c r="J358" t="inlineStr">
        <is>
          <t>HALIFAX_WOMENS_119005385_TAU_3.jpg</t>
        </is>
      </c>
      <c r="L358">
        <f>IMAGE("file:///E:/Estudios%20y%20certificaciones/ESTUDIOS%20DE%20PROGRAMMING/PROGRAMMING/PERSONAL/PYTHON/Image_Generator_API/imagenes/HALIFAX_WOMENS_119005385_TAU_2.jpg")</f>
        <v/>
      </c>
      <c r="M358">
        <f>IMAGE("file:///E:/Estudios%20y%20certificaciones/ESTUDIOS%20DE%20PROGRAMMING/PROGRAMMING/PERSONAL/PYTHON/Image_Generator_API/imagenes/HALIFAX_WOMENS_119005385_TAU_3.jpg")</f>
        <v/>
      </c>
      <c r="O358">
        <f>HYPERLINK("imagenes/HALIFAX_WOMENS_119005385_TAU_2.jpg","Ver imagen")</f>
        <v/>
      </c>
      <c r="P358">
        <f>HYPERLINK("imagenes/HALIFAX_WOMENS_119005385_TAU_3.jpg","Ver imagen")</f>
        <v/>
      </c>
    </row>
    <row r="359">
      <c r="A359" t="inlineStr">
        <is>
          <t>HALIFAX WOMENS</t>
        </is>
      </c>
      <c r="B359" t="inlineStr">
        <is>
          <t>119005385</t>
        </is>
      </c>
      <c r="C359" t="inlineStr">
        <is>
          <t>Stretch Wellon Quilted 3/4 Puffer CBL: 32"</t>
        </is>
      </c>
      <c r="D359" t="inlineStr">
        <is>
          <t>TAU</t>
        </is>
      </c>
      <c r="E359" t="inlineStr">
        <is>
          <t>(en blanco)</t>
        </is>
      </c>
      <c r="F359" t="inlineStr">
        <is>
          <t>D2C</t>
        </is>
      </c>
      <c r="G359" t="inlineStr">
        <is>
          <t>L</t>
        </is>
      </c>
      <c r="H359" t="n">
        <v>8</v>
      </c>
      <c r="I359" t="inlineStr">
        <is>
          <t>HALIFAX_WOMENS_119005385_TAU_2.jpg</t>
        </is>
      </c>
      <c r="J359" t="inlineStr">
        <is>
          <t>HALIFAX_WOMENS_119005385_TAU_3.jpg</t>
        </is>
      </c>
      <c r="L359">
        <f>IMAGE("file:///E:/Estudios%20y%20certificaciones/ESTUDIOS%20DE%20PROGRAMMING/PROGRAMMING/PERSONAL/PYTHON/Image_Generator_API/imagenes/HALIFAX_WOMENS_119005385_TAU_2.jpg")</f>
        <v/>
      </c>
      <c r="M359">
        <f>IMAGE("file:///E:/Estudios%20y%20certificaciones/ESTUDIOS%20DE%20PROGRAMMING/PROGRAMMING/PERSONAL/PYTHON/Image_Generator_API/imagenes/HALIFAX_WOMENS_119005385_TAU_3.jpg")</f>
        <v/>
      </c>
      <c r="O359">
        <f>HYPERLINK("imagenes/HALIFAX_WOMENS_119005385_TAU_2.jpg","Ver imagen")</f>
        <v/>
      </c>
      <c r="P359">
        <f>HYPERLINK("imagenes/HALIFAX_WOMENS_119005385_TAU_3.jpg","Ver imagen")</f>
        <v/>
      </c>
    </row>
    <row r="360">
      <c r="A360" t="inlineStr">
        <is>
          <t>HALIFAX WOMENS</t>
        </is>
      </c>
      <c r="B360" t="inlineStr">
        <is>
          <t>119005385</t>
        </is>
      </c>
      <c r="C360" t="inlineStr">
        <is>
          <t>Stretch Wellon Quilted 3/4 Puffer CBL: 32"</t>
        </is>
      </c>
      <c r="D360" t="inlineStr">
        <is>
          <t>TAU</t>
        </is>
      </c>
      <c r="E360" t="inlineStr">
        <is>
          <t>(en blanco)</t>
        </is>
      </c>
      <c r="F360" t="inlineStr">
        <is>
          <t>D2C</t>
        </is>
      </c>
      <c r="G360" t="inlineStr">
        <is>
          <t>XL</t>
        </is>
      </c>
      <c r="H360" t="n">
        <v>20</v>
      </c>
      <c r="I360" t="inlineStr">
        <is>
          <t>HALIFAX_WOMENS_119005385_TAU_2.jpg</t>
        </is>
      </c>
      <c r="J360" t="inlineStr">
        <is>
          <t>HALIFAX_WOMENS_119005385_TAU_3.jpg</t>
        </is>
      </c>
      <c r="L360">
        <f>IMAGE("file:///E:/Estudios%20y%20certificaciones/ESTUDIOS%20DE%20PROGRAMMING/PROGRAMMING/PERSONAL/PYTHON/Image_Generator_API/imagenes/HALIFAX_WOMENS_119005385_TAU_2.jpg")</f>
        <v/>
      </c>
      <c r="M360">
        <f>IMAGE("file:///E:/Estudios%20y%20certificaciones/ESTUDIOS%20DE%20PROGRAMMING/PROGRAMMING/PERSONAL/PYTHON/Image_Generator_API/imagenes/HALIFAX_WOMENS_119005385_TAU_3.jpg")</f>
        <v/>
      </c>
      <c r="O360">
        <f>HYPERLINK("imagenes/HALIFAX_WOMENS_119005385_TAU_2.jpg","Ver imagen")</f>
        <v/>
      </c>
      <c r="P360">
        <f>HYPERLINK("imagenes/HALIFAX_WOMENS_119005385_TAU_3.jpg","Ver imagen")</f>
        <v/>
      </c>
    </row>
    <row r="361">
      <c r="A361" t="inlineStr">
        <is>
          <t>HALIFAX WOMENS</t>
        </is>
      </c>
      <c r="B361" t="inlineStr">
        <is>
          <t>119005385</t>
        </is>
      </c>
      <c r="C361" t="inlineStr">
        <is>
          <t>Stretch Wellon Quilted 3/4 Puffer CBL: 32"</t>
        </is>
      </c>
      <c r="D361" t="inlineStr">
        <is>
          <t>TAU</t>
        </is>
      </c>
      <c r="E361" t="inlineStr">
        <is>
          <t>(en blanco)</t>
        </is>
      </c>
      <c r="F361" t="inlineStr">
        <is>
          <t>D2C</t>
        </is>
      </c>
      <c r="G361" t="inlineStr">
        <is>
          <t>XXL</t>
        </is>
      </c>
      <c r="H361" t="n">
        <v>3</v>
      </c>
      <c r="I361" t="inlineStr">
        <is>
          <t>HALIFAX_WOMENS_119005385_TAU_2.jpg</t>
        </is>
      </c>
      <c r="J361" t="inlineStr">
        <is>
          <t>HALIFAX_WOMENS_119005385_TAU_3.jpg</t>
        </is>
      </c>
      <c r="L361">
        <f>IMAGE("file:///E:/Estudios%20y%20certificaciones/ESTUDIOS%20DE%20PROGRAMMING/PROGRAMMING/PERSONAL/PYTHON/Image_Generator_API/imagenes/HALIFAX_WOMENS_119005385_TAU_2.jpg")</f>
        <v/>
      </c>
      <c r="M361">
        <f>IMAGE("file:///E:/Estudios%20y%20certificaciones/ESTUDIOS%20DE%20PROGRAMMING/PROGRAMMING/PERSONAL/PYTHON/Image_Generator_API/imagenes/HALIFAX_WOMENS_119005385_TAU_3.jpg")</f>
        <v/>
      </c>
      <c r="O361">
        <f>HYPERLINK("imagenes/HALIFAX_WOMENS_119005385_TAU_2.jpg","Ver imagen")</f>
        <v/>
      </c>
      <c r="P361">
        <f>HYPERLINK("imagenes/HALIFAX_WOMENS_119005385_TAU_3.jpg","Ver imagen")</f>
        <v/>
      </c>
    </row>
    <row r="362">
      <c r="A362" t="inlineStr">
        <is>
          <t>HALIFAX WOMENS</t>
        </is>
      </c>
      <c r="B362" t="inlineStr">
        <is>
          <t>119005387</t>
        </is>
      </c>
      <c r="C362" t="inlineStr">
        <is>
          <t>Faux Fur Trimmed Puffer Jacket CBL: 26"</t>
        </is>
      </c>
      <c r="D362" t="inlineStr">
        <is>
          <t>BLK</t>
        </is>
      </c>
      <c r="E362" t="inlineStr">
        <is>
          <t>(en blanco)</t>
        </is>
      </c>
      <c r="F362" t="inlineStr">
        <is>
          <t>D2C</t>
        </is>
      </c>
      <c r="G362" t="inlineStr">
        <is>
          <t>S</t>
        </is>
      </c>
      <c r="H362" t="n">
        <v>25</v>
      </c>
      <c r="I362" t="inlineStr">
        <is>
          <t>HALIFAX_WOMENS_119005387_BLK_1.jpg</t>
        </is>
      </c>
      <c r="J362" t="inlineStr">
        <is>
          <t>HALIFAX_WOMENS_119005387_BLK_2.jpg</t>
        </is>
      </c>
      <c r="K362" t="inlineStr">
        <is>
          <t>HALIFAX_WOMENS_119005387_BLK_3.jpg</t>
        </is>
      </c>
      <c r="L362">
        <f>IMAGE("file:///E:/Estudios%20y%20certificaciones/ESTUDIOS%20DE%20PROGRAMMING/PROGRAMMING/PERSONAL/PYTHON/Image_Generator_API/imagenes/HALIFAX_WOMENS_119005387_BLK_1.jpg")</f>
        <v/>
      </c>
      <c r="M362">
        <f>IMAGE("file:///E:/Estudios%20y%20certificaciones/ESTUDIOS%20DE%20PROGRAMMING/PROGRAMMING/PERSONAL/PYTHON/Image_Generator_API/imagenes/HALIFAX_WOMENS_119005387_BLK_2.jpg")</f>
        <v/>
      </c>
      <c r="N362">
        <f>IMAGE("file:///E:/Estudios%20y%20certificaciones/ESTUDIOS%20DE%20PROGRAMMING/PROGRAMMING/PERSONAL/PYTHON/Image_Generator_API/imagenes/HALIFAX_WOMENS_119005387_BLK_3.jpg")</f>
        <v/>
      </c>
      <c r="O362">
        <f>HYPERLINK("imagenes/HALIFAX_WOMENS_119005387_BLK_1.jpg","Ver imagen")</f>
        <v/>
      </c>
      <c r="P362">
        <f>HYPERLINK("imagenes/HALIFAX_WOMENS_119005387_BLK_2.jpg","Ver imagen")</f>
        <v/>
      </c>
      <c r="Q362">
        <f>HYPERLINK("imagenes/HALIFAX_WOMENS_119005387_BLK_3.jpg","Ver imagen")</f>
        <v/>
      </c>
    </row>
    <row r="363">
      <c r="A363" t="inlineStr">
        <is>
          <t>HALIFAX WOMENS</t>
        </is>
      </c>
      <c r="B363" t="inlineStr">
        <is>
          <t>119005387</t>
        </is>
      </c>
      <c r="C363" t="inlineStr">
        <is>
          <t>Faux Fur Trimmed Puffer Jacket CBL: 26"</t>
        </is>
      </c>
      <c r="D363" t="inlineStr">
        <is>
          <t>BLK</t>
        </is>
      </c>
      <c r="E363" t="inlineStr">
        <is>
          <t>(en blanco)</t>
        </is>
      </c>
      <c r="F363" t="inlineStr">
        <is>
          <t>D2C</t>
        </is>
      </c>
      <c r="G363" t="inlineStr">
        <is>
          <t>M</t>
        </is>
      </c>
      <c r="H363" t="n">
        <v>80</v>
      </c>
      <c r="I363" t="inlineStr">
        <is>
          <t>HALIFAX_WOMENS_119005387_BLK_1.jpg</t>
        </is>
      </c>
      <c r="J363" t="inlineStr">
        <is>
          <t>HALIFAX_WOMENS_119005387_BLK_2.jpg</t>
        </is>
      </c>
      <c r="K363" t="inlineStr">
        <is>
          <t>HALIFAX_WOMENS_119005387_BLK_3.jpg</t>
        </is>
      </c>
      <c r="L363">
        <f>IMAGE("file:///E:/Estudios%20y%20certificaciones/ESTUDIOS%20DE%20PROGRAMMING/PROGRAMMING/PERSONAL/PYTHON/Image_Generator_API/imagenes/HALIFAX_WOMENS_119005387_BLK_1.jpg")</f>
        <v/>
      </c>
      <c r="M363">
        <f>IMAGE("file:///E:/Estudios%20y%20certificaciones/ESTUDIOS%20DE%20PROGRAMMING/PROGRAMMING/PERSONAL/PYTHON/Image_Generator_API/imagenes/HALIFAX_WOMENS_119005387_BLK_2.jpg")</f>
        <v/>
      </c>
      <c r="N363">
        <f>IMAGE("file:///E:/Estudios%20y%20certificaciones/ESTUDIOS%20DE%20PROGRAMMING/PROGRAMMING/PERSONAL/PYTHON/Image_Generator_API/imagenes/HALIFAX_WOMENS_119005387_BLK_3.jpg")</f>
        <v/>
      </c>
      <c r="O363">
        <f>HYPERLINK("imagenes/HALIFAX_WOMENS_119005387_BLK_1.jpg","Ver imagen")</f>
        <v/>
      </c>
      <c r="P363">
        <f>HYPERLINK("imagenes/HALIFAX_WOMENS_119005387_BLK_2.jpg","Ver imagen")</f>
        <v/>
      </c>
      <c r="Q363">
        <f>HYPERLINK("imagenes/HALIFAX_WOMENS_119005387_BLK_3.jpg","Ver imagen")</f>
        <v/>
      </c>
    </row>
    <row r="364">
      <c r="A364" t="inlineStr">
        <is>
          <t>HALIFAX WOMENS</t>
        </is>
      </c>
      <c r="B364" t="inlineStr">
        <is>
          <t>119005387</t>
        </is>
      </c>
      <c r="C364" t="inlineStr">
        <is>
          <t>Faux Fur Trimmed Puffer Jacket CBL: 26"</t>
        </is>
      </c>
      <c r="D364" t="inlineStr">
        <is>
          <t>BLK</t>
        </is>
      </c>
      <c r="E364" t="inlineStr">
        <is>
          <t>(en blanco)</t>
        </is>
      </c>
      <c r="F364" t="inlineStr">
        <is>
          <t>D2C</t>
        </is>
      </c>
      <c r="G364" t="inlineStr">
        <is>
          <t>L</t>
        </is>
      </c>
      <c r="H364" t="n">
        <v>59</v>
      </c>
      <c r="I364" t="inlineStr">
        <is>
          <t>HALIFAX_WOMENS_119005387_BLK_1.jpg</t>
        </is>
      </c>
      <c r="J364" t="inlineStr">
        <is>
          <t>HALIFAX_WOMENS_119005387_BLK_2.jpg</t>
        </is>
      </c>
      <c r="K364" t="inlineStr">
        <is>
          <t>HALIFAX_WOMENS_119005387_BLK_3.jpg</t>
        </is>
      </c>
      <c r="L364">
        <f>IMAGE("file:///E:/Estudios%20y%20certificaciones/ESTUDIOS%20DE%20PROGRAMMING/PROGRAMMING/PERSONAL/PYTHON/Image_Generator_API/imagenes/HALIFAX_WOMENS_119005387_BLK_1.jpg")</f>
        <v/>
      </c>
      <c r="M364">
        <f>IMAGE("file:///E:/Estudios%20y%20certificaciones/ESTUDIOS%20DE%20PROGRAMMING/PROGRAMMING/PERSONAL/PYTHON/Image_Generator_API/imagenes/HALIFAX_WOMENS_119005387_BLK_2.jpg")</f>
        <v/>
      </c>
      <c r="N364">
        <f>IMAGE("file:///E:/Estudios%20y%20certificaciones/ESTUDIOS%20DE%20PROGRAMMING/PROGRAMMING/PERSONAL/PYTHON/Image_Generator_API/imagenes/HALIFAX_WOMENS_119005387_BLK_3.jpg")</f>
        <v/>
      </c>
      <c r="O364">
        <f>HYPERLINK("imagenes/HALIFAX_WOMENS_119005387_BLK_1.jpg","Ver imagen")</f>
        <v/>
      </c>
      <c r="P364">
        <f>HYPERLINK("imagenes/HALIFAX_WOMENS_119005387_BLK_2.jpg","Ver imagen")</f>
        <v/>
      </c>
      <c r="Q364">
        <f>HYPERLINK("imagenes/HALIFAX_WOMENS_119005387_BLK_3.jpg","Ver imagen")</f>
        <v/>
      </c>
    </row>
    <row r="365">
      <c r="A365" t="inlineStr">
        <is>
          <t>HALIFAX WOMENS</t>
        </is>
      </c>
      <c r="B365" t="inlineStr">
        <is>
          <t>119005387</t>
        </is>
      </c>
      <c r="C365" t="inlineStr">
        <is>
          <t>Faux Fur Trimmed Puffer Jacket CBL: 26"</t>
        </is>
      </c>
      <c r="D365" t="inlineStr">
        <is>
          <t>BLK</t>
        </is>
      </c>
      <c r="E365" t="inlineStr">
        <is>
          <t>(en blanco)</t>
        </is>
      </c>
      <c r="F365" t="inlineStr">
        <is>
          <t>D2C</t>
        </is>
      </c>
      <c r="G365" t="inlineStr">
        <is>
          <t>XL</t>
        </is>
      </c>
      <c r="H365" t="n">
        <v>64</v>
      </c>
      <c r="I365" t="inlineStr">
        <is>
          <t>HALIFAX_WOMENS_119005387_BLK_1.jpg</t>
        </is>
      </c>
      <c r="J365" t="inlineStr">
        <is>
          <t>HALIFAX_WOMENS_119005387_BLK_2.jpg</t>
        </is>
      </c>
      <c r="K365" t="inlineStr">
        <is>
          <t>HALIFAX_WOMENS_119005387_BLK_3.jpg</t>
        </is>
      </c>
      <c r="L365">
        <f>IMAGE("file:///E:/Estudios%20y%20certificaciones/ESTUDIOS%20DE%20PROGRAMMING/PROGRAMMING/PERSONAL/PYTHON/Image_Generator_API/imagenes/HALIFAX_WOMENS_119005387_BLK_1.jpg")</f>
        <v/>
      </c>
      <c r="M365">
        <f>IMAGE("file:///E:/Estudios%20y%20certificaciones/ESTUDIOS%20DE%20PROGRAMMING/PROGRAMMING/PERSONAL/PYTHON/Image_Generator_API/imagenes/HALIFAX_WOMENS_119005387_BLK_2.jpg")</f>
        <v/>
      </c>
      <c r="N365">
        <f>IMAGE("file:///E:/Estudios%20y%20certificaciones/ESTUDIOS%20DE%20PROGRAMMING/PROGRAMMING/PERSONAL/PYTHON/Image_Generator_API/imagenes/HALIFAX_WOMENS_119005387_BLK_3.jpg")</f>
        <v/>
      </c>
      <c r="O365">
        <f>HYPERLINK("imagenes/HALIFAX_WOMENS_119005387_BLK_1.jpg","Ver imagen")</f>
        <v/>
      </c>
      <c r="P365">
        <f>HYPERLINK("imagenes/HALIFAX_WOMENS_119005387_BLK_2.jpg","Ver imagen")</f>
        <v/>
      </c>
      <c r="Q365">
        <f>HYPERLINK("imagenes/HALIFAX_WOMENS_119005387_BLK_3.jpg","Ver imagen")</f>
        <v/>
      </c>
    </row>
    <row r="366">
      <c r="A366" t="inlineStr">
        <is>
          <t>HALIFAX WOMENS</t>
        </is>
      </c>
      <c r="B366" t="inlineStr">
        <is>
          <t>119005387</t>
        </is>
      </c>
      <c r="C366" t="inlineStr">
        <is>
          <t>Faux Fur Trimmed Puffer Jacket CBL: 26"</t>
        </is>
      </c>
      <c r="D366" t="inlineStr">
        <is>
          <t>BLK</t>
        </is>
      </c>
      <c r="E366" t="inlineStr">
        <is>
          <t>(en blanco)</t>
        </is>
      </c>
      <c r="F366" t="inlineStr">
        <is>
          <t>D2C</t>
        </is>
      </c>
      <c r="G366" t="inlineStr">
        <is>
          <t>XXL</t>
        </is>
      </c>
      <c r="H366" t="n">
        <v>17</v>
      </c>
      <c r="I366" t="inlineStr">
        <is>
          <t>HALIFAX_WOMENS_119005387_BLK_1.jpg</t>
        </is>
      </c>
      <c r="J366" t="inlineStr">
        <is>
          <t>HALIFAX_WOMENS_119005387_BLK_2.jpg</t>
        </is>
      </c>
      <c r="K366" t="inlineStr">
        <is>
          <t>HALIFAX_WOMENS_119005387_BLK_3.jpg</t>
        </is>
      </c>
      <c r="L366">
        <f>IMAGE("file:///E:/Estudios%20y%20certificaciones/ESTUDIOS%20DE%20PROGRAMMING/PROGRAMMING/PERSONAL/PYTHON/Image_Generator_API/imagenes/HALIFAX_WOMENS_119005387_BLK_1.jpg")</f>
        <v/>
      </c>
      <c r="M366">
        <f>IMAGE("file:///E:/Estudios%20y%20certificaciones/ESTUDIOS%20DE%20PROGRAMMING/PROGRAMMING/PERSONAL/PYTHON/Image_Generator_API/imagenes/HALIFAX_WOMENS_119005387_BLK_2.jpg")</f>
        <v/>
      </c>
      <c r="N366">
        <f>IMAGE("file:///E:/Estudios%20y%20certificaciones/ESTUDIOS%20DE%20PROGRAMMING/PROGRAMMING/PERSONAL/PYTHON/Image_Generator_API/imagenes/HALIFAX_WOMENS_119005387_BLK_3.jpg")</f>
        <v/>
      </c>
      <c r="O366">
        <f>HYPERLINK("imagenes/HALIFAX_WOMENS_119005387_BLK_1.jpg","Ver imagen")</f>
        <v/>
      </c>
      <c r="P366">
        <f>HYPERLINK("imagenes/HALIFAX_WOMENS_119005387_BLK_2.jpg","Ver imagen")</f>
        <v/>
      </c>
      <c r="Q366">
        <f>HYPERLINK("imagenes/HALIFAX_WOMENS_119005387_BLK_3.jpg","Ver imagen")</f>
        <v/>
      </c>
    </row>
    <row r="367">
      <c r="A367" t="inlineStr">
        <is>
          <t>HALIFAX WOMENS</t>
        </is>
      </c>
      <c r="B367" t="inlineStr">
        <is>
          <t>119005387</t>
        </is>
      </c>
      <c r="C367" t="inlineStr">
        <is>
          <t>Faux Fur Trimmed Puffer Jacket CBL: 26"</t>
        </is>
      </c>
      <c r="D367" t="inlineStr">
        <is>
          <t>MGN</t>
        </is>
      </c>
      <c r="E367" t="inlineStr">
        <is>
          <t>08A06</t>
        </is>
      </c>
      <c r="F367" t="inlineStr">
        <is>
          <t>(en blanco)</t>
        </is>
      </c>
      <c r="G367" t="inlineStr">
        <is>
          <t>PPK</t>
        </is>
      </c>
      <c r="H367" t="n">
        <v>96</v>
      </c>
      <c r="I367" t="inlineStr">
        <is>
          <t>HALIFAX_WOMENS_119005387_MGN_1.jpg</t>
        </is>
      </c>
      <c r="J367" t="inlineStr">
        <is>
          <t>HALIFAX_WOMENS_119005387_MGN_2.jpg</t>
        </is>
      </c>
      <c r="K367" t="inlineStr">
        <is>
          <t>HALIFAX_WOMENS_119005387_MGN_3.jpg</t>
        </is>
      </c>
      <c r="L367">
        <f>IMAGE("file:///E:/Estudios%20y%20certificaciones/ESTUDIOS%20DE%20PROGRAMMING/PROGRAMMING/PERSONAL/PYTHON/Image_Generator_API/imagenes/HALIFAX_WOMENS_119005387_MGN_1.jpg")</f>
        <v/>
      </c>
      <c r="M367">
        <f>IMAGE("file:///E:/Estudios%20y%20certificaciones/ESTUDIOS%20DE%20PROGRAMMING/PROGRAMMING/PERSONAL/PYTHON/Image_Generator_API/imagenes/HALIFAX_WOMENS_119005387_MGN_2.jpg")</f>
        <v/>
      </c>
      <c r="N367">
        <f>IMAGE("file:///E:/Estudios%20y%20certificaciones/ESTUDIOS%20DE%20PROGRAMMING/PROGRAMMING/PERSONAL/PYTHON/Image_Generator_API/imagenes/HALIFAX_WOMENS_119005387_MGN_3.jpg")</f>
        <v/>
      </c>
      <c r="O367">
        <f>HYPERLINK("imagenes/HALIFAX_WOMENS_119005387_MGN_1.jpg","Ver imagen")</f>
        <v/>
      </c>
      <c r="P367">
        <f>HYPERLINK("imagenes/HALIFAX_WOMENS_119005387_MGN_2.jpg","Ver imagen")</f>
        <v/>
      </c>
      <c r="Q367">
        <f>HYPERLINK("imagenes/HALIFAX_WOMENS_119005387_MGN_3.jpg","Ver imagen")</f>
        <v/>
      </c>
    </row>
    <row r="368">
      <c r="A368" t="inlineStr">
        <is>
          <t>HALIFAX WOMENS</t>
        </is>
      </c>
      <c r="B368" t="inlineStr">
        <is>
          <t>119005387</t>
        </is>
      </c>
      <c r="C368" t="inlineStr">
        <is>
          <t>Faux Fur Trimmed Puffer Jacket CBL: 26"</t>
        </is>
      </c>
      <c r="D368" t="inlineStr">
        <is>
          <t>MGN</t>
        </is>
      </c>
      <c r="E368" t="inlineStr">
        <is>
          <t>(en blanco)</t>
        </is>
      </c>
      <c r="F368" t="inlineStr">
        <is>
          <t>D2C</t>
        </is>
      </c>
      <c r="G368" t="inlineStr">
        <is>
          <t>S</t>
        </is>
      </c>
      <c r="H368" t="n">
        <v>14</v>
      </c>
      <c r="I368" t="inlineStr">
        <is>
          <t>HALIFAX_WOMENS_119005387_MGN_1.jpg</t>
        </is>
      </c>
      <c r="J368" t="inlineStr">
        <is>
          <t>HALIFAX_WOMENS_119005387_MGN_2.jpg</t>
        </is>
      </c>
      <c r="K368" t="inlineStr">
        <is>
          <t>HALIFAX_WOMENS_119005387_MGN_3.jpg</t>
        </is>
      </c>
      <c r="L368">
        <f>IMAGE("file:///E:/Estudios%20y%20certificaciones/ESTUDIOS%20DE%20PROGRAMMING/PROGRAMMING/PERSONAL/PYTHON/Image_Generator_API/imagenes/HALIFAX_WOMENS_119005387_MGN_1.jpg")</f>
        <v/>
      </c>
      <c r="M368">
        <f>IMAGE("file:///E:/Estudios%20y%20certificaciones/ESTUDIOS%20DE%20PROGRAMMING/PROGRAMMING/PERSONAL/PYTHON/Image_Generator_API/imagenes/HALIFAX_WOMENS_119005387_MGN_2.jpg")</f>
        <v/>
      </c>
      <c r="N368">
        <f>IMAGE("file:///E:/Estudios%20y%20certificaciones/ESTUDIOS%20DE%20PROGRAMMING/PROGRAMMING/PERSONAL/PYTHON/Image_Generator_API/imagenes/HALIFAX_WOMENS_119005387_MGN_3.jpg")</f>
        <v/>
      </c>
      <c r="O368">
        <f>HYPERLINK("imagenes/HALIFAX_WOMENS_119005387_MGN_1.jpg","Ver imagen")</f>
        <v/>
      </c>
      <c r="P368">
        <f>HYPERLINK("imagenes/HALIFAX_WOMENS_119005387_MGN_2.jpg","Ver imagen")</f>
        <v/>
      </c>
      <c r="Q368">
        <f>HYPERLINK("imagenes/HALIFAX_WOMENS_119005387_MGN_3.jpg","Ver imagen")</f>
        <v/>
      </c>
    </row>
    <row r="369">
      <c r="A369" t="inlineStr">
        <is>
          <t>HALIFAX WOMENS</t>
        </is>
      </c>
      <c r="B369" t="inlineStr">
        <is>
          <t>119005387</t>
        </is>
      </c>
      <c r="C369" t="inlineStr">
        <is>
          <t>Faux Fur Trimmed Puffer Jacket CBL: 26"</t>
        </is>
      </c>
      <c r="D369" t="inlineStr">
        <is>
          <t>MGN</t>
        </is>
      </c>
      <c r="E369" t="inlineStr">
        <is>
          <t>(en blanco)</t>
        </is>
      </c>
      <c r="F369" t="inlineStr">
        <is>
          <t>D2C</t>
        </is>
      </c>
      <c r="G369" t="inlineStr">
        <is>
          <t>M</t>
        </is>
      </c>
      <c r="H369" t="n">
        <v>30</v>
      </c>
      <c r="I369" t="inlineStr">
        <is>
          <t>HALIFAX_WOMENS_119005387_MGN_1.jpg</t>
        </is>
      </c>
      <c r="J369" t="inlineStr">
        <is>
          <t>HALIFAX_WOMENS_119005387_MGN_2.jpg</t>
        </is>
      </c>
      <c r="K369" t="inlineStr">
        <is>
          <t>HALIFAX_WOMENS_119005387_MGN_3.jpg</t>
        </is>
      </c>
      <c r="L369">
        <f>IMAGE("file:///E:/Estudios%20y%20certificaciones/ESTUDIOS%20DE%20PROGRAMMING/PROGRAMMING/PERSONAL/PYTHON/Image_Generator_API/imagenes/HALIFAX_WOMENS_119005387_MGN_1.jpg")</f>
        <v/>
      </c>
      <c r="M369">
        <f>IMAGE("file:///E:/Estudios%20y%20certificaciones/ESTUDIOS%20DE%20PROGRAMMING/PROGRAMMING/PERSONAL/PYTHON/Image_Generator_API/imagenes/HALIFAX_WOMENS_119005387_MGN_2.jpg")</f>
        <v/>
      </c>
      <c r="N369">
        <f>IMAGE("file:///E:/Estudios%20y%20certificaciones/ESTUDIOS%20DE%20PROGRAMMING/PROGRAMMING/PERSONAL/PYTHON/Image_Generator_API/imagenes/HALIFAX_WOMENS_119005387_MGN_3.jpg")</f>
        <v/>
      </c>
      <c r="O369">
        <f>HYPERLINK("imagenes/HALIFAX_WOMENS_119005387_MGN_1.jpg","Ver imagen")</f>
        <v/>
      </c>
      <c r="P369">
        <f>HYPERLINK("imagenes/HALIFAX_WOMENS_119005387_MGN_2.jpg","Ver imagen")</f>
        <v/>
      </c>
      <c r="Q369">
        <f>HYPERLINK("imagenes/HALIFAX_WOMENS_119005387_MGN_3.jpg","Ver imagen")</f>
        <v/>
      </c>
    </row>
    <row r="370">
      <c r="A370" t="inlineStr">
        <is>
          <t>HALIFAX WOMENS</t>
        </is>
      </c>
      <c r="B370" t="inlineStr">
        <is>
          <t>119005387</t>
        </is>
      </c>
      <c r="C370" t="inlineStr">
        <is>
          <t>Faux Fur Trimmed Puffer Jacket CBL: 26"</t>
        </is>
      </c>
      <c r="D370" t="inlineStr">
        <is>
          <t>MGN</t>
        </is>
      </c>
      <c r="E370" t="inlineStr">
        <is>
          <t>(en blanco)</t>
        </is>
      </c>
      <c r="F370" t="inlineStr">
        <is>
          <t>D2C</t>
        </is>
      </c>
      <c r="G370" t="inlineStr">
        <is>
          <t>L</t>
        </is>
      </c>
      <c r="H370" t="n">
        <v>29</v>
      </c>
      <c r="I370" t="inlineStr">
        <is>
          <t>HALIFAX_WOMENS_119005387_MGN_1.jpg</t>
        </is>
      </c>
      <c r="J370" t="inlineStr">
        <is>
          <t>HALIFAX_WOMENS_119005387_MGN_2.jpg</t>
        </is>
      </c>
      <c r="K370" t="inlineStr">
        <is>
          <t>HALIFAX_WOMENS_119005387_MGN_3.jpg</t>
        </is>
      </c>
      <c r="L370">
        <f>IMAGE("file:///E:/Estudios%20y%20certificaciones/ESTUDIOS%20DE%20PROGRAMMING/PROGRAMMING/PERSONAL/PYTHON/Image_Generator_API/imagenes/HALIFAX_WOMENS_119005387_MGN_1.jpg")</f>
        <v/>
      </c>
      <c r="M370">
        <f>IMAGE("file:///E:/Estudios%20y%20certificaciones/ESTUDIOS%20DE%20PROGRAMMING/PROGRAMMING/PERSONAL/PYTHON/Image_Generator_API/imagenes/HALIFAX_WOMENS_119005387_MGN_2.jpg")</f>
        <v/>
      </c>
      <c r="N370">
        <f>IMAGE("file:///E:/Estudios%20y%20certificaciones/ESTUDIOS%20DE%20PROGRAMMING/PROGRAMMING/PERSONAL/PYTHON/Image_Generator_API/imagenes/HALIFAX_WOMENS_119005387_MGN_3.jpg")</f>
        <v/>
      </c>
      <c r="O370">
        <f>HYPERLINK("imagenes/HALIFAX_WOMENS_119005387_MGN_1.jpg","Ver imagen")</f>
        <v/>
      </c>
      <c r="P370">
        <f>HYPERLINK("imagenes/HALIFAX_WOMENS_119005387_MGN_2.jpg","Ver imagen")</f>
        <v/>
      </c>
      <c r="Q370">
        <f>HYPERLINK("imagenes/HALIFAX_WOMENS_119005387_MGN_3.jpg","Ver imagen")</f>
        <v/>
      </c>
    </row>
    <row r="371">
      <c r="A371" t="inlineStr">
        <is>
          <t>HALIFAX WOMENS</t>
        </is>
      </c>
      <c r="B371" t="inlineStr">
        <is>
          <t>119005387</t>
        </is>
      </c>
      <c r="C371" t="inlineStr">
        <is>
          <t>Faux Fur Trimmed Puffer Jacket CBL: 26"</t>
        </is>
      </c>
      <c r="D371" t="inlineStr">
        <is>
          <t>MGN</t>
        </is>
      </c>
      <c r="E371" t="inlineStr">
        <is>
          <t>(en blanco)</t>
        </is>
      </c>
      <c r="F371" t="inlineStr">
        <is>
          <t>D2C</t>
        </is>
      </c>
      <c r="G371" t="inlineStr">
        <is>
          <t>XL</t>
        </is>
      </c>
      <c r="H371" t="n">
        <v>27</v>
      </c>
      <c r="I371" t="inlineStr">
        <is>
          <t>HALIFAX_WOMENS_119005387_MGN_1.jpg</t>
        </is>
      </c>
      <c r="J371" t="inlineStr">
        <is>
          <t>HALIFAX_WOMENS_119005387_MGN_2.jpg</t>
        </is>
      </c>
      <c r="K371" t="inlineStr">
        <is>
          <t>HALIFAX_WOMENS_119005387_MGN_3.jpg</t>
        </is>
      </c>
      <c r="L371">
        <f>IMAGE("file:///E:/Estudios%20y%20certificaciones/ESTUDIOS%20DE%20PROGRAMMING/PROGRAMMING/PERSONAL/PYTHON/Image_Generator_API/imagenes/HALIFAX_WOMENS_119005387_MGN_1.jpg")</f>
        <v/>
      </c>
      <c r="M371">
        <f>IMAGE("file:///E:/Estudios%20y%20certificaciones/ESTUDIOS%20DE%20PROGRAMMING/PROGRAMMING/PERSONAL/PYTHON/Image_Generator_API/imagenes/HALIFAX_WOMENS_119005387_MGN_2.jpg")</f>
        <v/>
      </c>
      <c r="N371">
        <f>IMAGE("file:///E:/Estudios%20y%20certificaciones/ESTUDIOS%20DE%20PROGRAMMING/PROGRAMMING/PERSONAL/PYTHON/Image_Generator_API/imagenes/HALIFAX_WOMENS_119005387_MGN_3.jpg")</f>
        <v/>
      </c>
      <c r="O371">
        <f>HYPERLINK("imagenes/HALIFAX_WOMENS_119005387_MGN_1.jpg","Ver imagen")</f>
        <v/>
      </c>
      <c r="P371">
        <f>HYPERLINK("imagenes/HALIFAX_WOMENS_119005387_MGN_2.jpg","Ver imagen")</f>
        <v/>
      </c>
      <c r="Q371">
        <f>HYPERLINK("imagenes/HALIFAX_WOMENS_119005387_MGN_3.jpg","Ver imagen")</f>
        <v/>
      </c>
    </row>
    <row r="372">
      <c r="A372" t="inlineStr">
        <is>
          <t>HALIFAX WOMENS</t>
        </is>
      </c>
      <c r="B372" t="inlineStr">
        <is>
          <t>119005387</t>
        </is>
      </c>
      <c r="C372" t="inlineStr">
        <is>
          <t>Faux Fur Trimmed Puffer Jacket CBL: 26"</t>
        </is>
      </c>
      <c r="D372" t="inlineStr">
        <is>
          <t>MGN</t>
        </is>
      </c>
      <c r="E372" t="inlineStr">
        <is>
          <t>(en blanco)</t>
        </is>
      </c>
      <c r="F372" t="inlineStr">
        <is>
          <t>D2C</t>
        </is>
      </c>
      <c r="G372" t="inlineStr">
        <is>
          <t>XXL</t>
        </is>
      </c>
      <c r="H372" t="n">
        <v>165</v>
      </c>
      <c r="I372" t="inlineStr">
        <is>
          <t>HALIFAX_WOMENS_119005387_MGN_1.jpg</t>
        </is>
      </c>
      <c r="J372" t="inlineStr">
        <is>
          <t>HALIFAX_WOMENS_119005387_MGN_2.jpg</t>
        </is>
      </c>
      <c r="K372" t="inlineStr">
        <is>
          <t>HALIFAX_WOMENS_119005387_MGN_3.jpg</t>
        </is>
      </c>
      <c r="L372">
        <f>IMAGE("file:///E:/Estudios%20y%20certificaciones/ESTUDIOS%20DE%20PROGRAMMING/PROGRAMMING/PERSONAL/PYTHON/Image_Generator_API/imagenes/HALIFAX_WOMENS_119005387_MGN_1.jpg")</f>
        <v/>
      </c>
      <c r="M372">
        <f>IMAGE("file:///E:/Estudios%20y%20certificaciones/ESTUDIOS%20DE%20PROGRAMMING/PROGRAMMING/PERSONAL/PYTHON/Image_Generator_API/imagenes/HALIFAX_WOMENS_119005387_MGN_2.jpg")</f>
        <v/>
      </c>
      <c r="N372">
        <f>IMAGE("file:///E:/Estudios%20y%20certificaciones/ESTUDIOS%20DE%20PROGRAMMING/PROGRAMMING/PERSONAL/PYTHON/Image_Generator_API/imagenes/HALIFAX_WOMENS_119005387_MGN_3.jpg")</f>
        <v/>
      </c>
      <c r="O372">
        <f>HYPERLINK("imagenes/HALIFAX_WOMENS_119005387_MGN_1.jpg","Ver imagen")</f>
        <v/>
      </c>
      <c r="P372">
        <f>HYPERLINK("imagenes/HALIFAX_WOMENS_119005387_MGN_2.jpg","Ver imagen")</f>
        <v/>
      </c>
      <c r="Q372">
        <f>HYPERLINK("imagenes/HALIFAX_WOMENS_119005387_MGN_3.jpg","Ver imagen")</f>
        <v/>
      </c>
    </row>
    <row r="373">
      <c r="A373" t="inlineStr">
        <is>
          <t>HALIFAX WOMENS</t>
        </is>
      </c>
      <c r="B373" t="inlineStr">
        <is>
          <t>119005387</t>
        </is>
      </c>
      <c r="C373" t="inlineStr">
        <is>
          <t>Faux Fur Trimmed Puffer Jacket CBL: 26"</t>
        </is>
      </c>
      <c r="D373" t="inlineStr">
        <is>
          <t>MGN</t>
        </is>
      </c>
      <c r="E373" t="inlineStr">
        <is>
          <t>(en blanco)</t>
        </is>
      </c>
      <c r="F373" t="inlineStr">
        <is>
          <t>(en blanco)</t>
        </is>
      </c>
      <c r="G373" t="inlineStr">
        <is>
          <t>S</t>
        </is>
      </c>
      <c r="H373" t="n">
        <v>14</v>
      </c>
      <c r="I373" t="inlineStr">
        <is>
          <t>HALIFAX_WOMENS_119005387_MGN_1.jpg</t>
        </is>
      </c>
      <c r="J373" t="inlineStr">
        <is>
          <t>HALIFAX_WOMENS_119005387_MGN_2.jpg</t>
        </is>
      </c>
      <c r="K373" t="inlineStr">
        <is>
          <t>HALIFAX_WOMENS_119005387_MGN_3.jpg</t>
        </is>
      </c>
      <c r="L373">
        <f>IMAGE("file:///E:/Estudios%20y%20certificaciones/ESTUDIOS%20DE%20PROGRAMMING/PROGRAMMING/PERSONAL/PYTHON/Image_Generator_API/imagenes/HALIFAX_WOMENS_119005387_MGN_1.jpg")</f>
        <v/>
      </c>
      <c r="M373">
        <f>IMAGE("file:///E:/Estudios%20y%20certificaciones/ESTUDIOS%20DE%20PROGRAMMING/PROGRAMMING/PERSONAL/PYTHON/Image_Generator_API/imagenes/HALIFAX_WOMENS_119005387_MGN_2.jpg")</f>
        <v/>
      </c>
      <c r="N373">
        <f>IMAGE("file:///E:/Estudios%20y%20certificaciones/ESTUDIOS%20DE%20PROGRAMMING/PROGRAMMING/PERSONAL/PYTHON/Image_Generator_API/imagenes/HALIFAX_WOMENS_119005387_MGN_3.jpg")</f>
        <v/>
      </c>
      <c r="O373">
        <f>HYPERLINK("imagenes/HALIFAX_WOMENS_119005387_MGN_1.jpg","Ver imagen")</f>
        <v/>
      </c>
      <c r="P373">
        <f>HYPERLINK("imagenes/HALIFAX_WOMENS_119005387_MGN_2.jpg","Ver imagen")</f>
        <v/>
      </c>
      <c r="Q373">
        <f>HYPERLINK("imagenes/HALIFAX_WOMENS_119005387_MGN_3.jpg","Ver imagen")</f>
        <v/>
      </c>
    </row>
    <row r="374">
      <c r="A374" t="inlineStr">
        <is>
          <t>HALIFAX WOMENS</t>
        </is>
      </c>
      <c r="B374" t="inlineStr">
        <is>
          <t>119005387</t>
        </is>
      </c>
      <c r="C374" t="inlineStr">
        <is>
          <t>Faux Fur Trimmed Puffer Jacket CBL: 26"</t>
        </is>
      </c>
      <c r="D374" t="inlineStr">
        <is>
          <t>MGN</t>
        </is>
      </c>
      <c r="E374" t="inlineStr">
        <is>
          <t>(en blanco)</t>
        </is>
      </c>
      <c r="F374" t="inlineStr">
        <is>
          <t>(en blanco)</t>
        </is>
      </c>
      <c r="G374" t="inlineStr">
        <is>
          <t>M</t>
        </is>
      </c>
      <c r="H374" t="n">
        <v>22</v>
      </c>
      <c r="I374" t="inlineStr">
        <is>
          <t>HALIFAX_WOMENS_119005387_MGN_1.jpg</t>
        </is>
      </c>
      <c r="J374" t="inlineStr">
        <is>
          <t>HALIFAX_WOMENS_119005387_MGN_2.jpg</t>
        </is>
      </c>
      <c r="K374" t="inlineStr">
        <is>
          <t>HALIFAX_WOMENS_119005387_MGN_3.jpg</t>
        </is>
      </c>
      <c r="L374">
        <f>IMAGE("file:///E:/Estudios%20y%20certificaciones/ESTUDIOS%20DE%20PROGRAMMING/PROGRAMMING/PERSONAL/PYTHON/Image_Generator_API/imagenes/HALIFAX_WOMENS_119005387_MGN_1.jpg")</f>
        <v/>
      </c>
      <c r="M374">
        <f>IMAGE("file:///E:/Estudios%20y%20certificaciones/ESTUDIOS%20DE%20PROGRAMMING/PROGRAMMING/PERSONAL/PYTHON/Image_Generator_API/imagenes/HALIFAX_WOMENS_119005387_MGN_2.jpg")</f>
        <v/>
      </c>
      <c r="N374">
        <f>IMAGE("file:///E:/Estudios%20y%20certificaciones/ESTUDIOS%20DE%20PROGRAMMING/PROGRAMMING/PERSONAL/PYTHON/Image_Generator_API/imagenes/HALIFAX_WOMENS_119005387_MGN_3.jpg")</f>
        <v/>
      </c>
      <c r="O374">
        <f>HYPERLINK("imagenes/HALIFAX_WOMENS_119005387_MGN_1.jpg","Ver imagen")</f>
        <v/>
      </c>
      <c r="P374">
        <f>HYPERLINK("imagenes/HALIFAX_WOMENS_119005387_MGN_2.jpg","Ver imagen")</f>
        <v/>
      </c>
      <c r="Q374">
        <f>HYPERLINK("imagenes/HALIFAX_WOMENS_119005387_MGN_3.jpg","Ver imagen")</f>
        <v/>
      </c>
    </row>
    <row r="375">
      <c r="A375" t="inlineStr">
        <is>
          <t>HALIFAX WOMENS</t>
        </is>
      </c>
      <c r="B375" t="inlineStr">
        <is>
          <t>119005387</t>
        </is>
      </c>
      <c r="C375" t="inlineStr">
        <is>
          <t>Faux Fur Trimmed Puffer Jacket CBL: 26"</t>
        </is>
      </c>
      <c r="D375" t="inlineStr">
        <is>
          <t>MGN</t>
        </is>
      </c>
      <c r="E375" t="inlineStr">
        <is>
          <t>(en blanco)</t>
        </is>
      </c>
      <c r="F375" t="inlineStr">
        <is>
          <t>(en blanco)</t>
        </is>
      </c>
      <c r="G375" t="inlineStr">
        <is>
          <t>L</t>
        </is>
      </c>
      <c r="H375" t="n">
        <v>2</v>
      </c>
      <c r="I375" t="inlineStr">
        <is>
          <t>HALIFAX_WOMENS_119005387_MGN_1.jpg</t>
        </is>
      </c>
      <c r="J375" t="inlineStr">
        <is>
          <t>HALIFAX_WOMENS_119005387_MGN_2.jpg</t>
        </is>
      </c>
      <c r="K375" t="inlineStr">
        <is>
          <t>HALIFAX_WOMENS_119005387_MGN_3.jpg</t>
        </is>
      </c>
      <c r="L375">
        <f>IMAGE("file:///E:/Estudios%20y%20certificaciones/ESTUDIOS%20DE%20PROGRAMMING/PROGRAMMING/PERSONAL/PYTHON/Image_Generator_API/imagenes/HALIFAX_WOMENS_119005387_MGN_1.jpg")</f>
        <v/>
      </c>
      <c r="M375">
        <f>IMAGE("file:///E:/Estudios%20y%20certificaciones/ESTUDIOS%20DE%20PROGRAMMING/PROGRAMMING/PERSONAL/PYTHON/Image_Generator_API/imagenes/HALIFAX_WOMENS_119005387_MGN_2.jpg")</f>
        <v/>
      </c>
      <c r="N375">
        <f>IMAGE("file:///E:/Estudios%20y%20certificaciones/ESTUDIOS%20DE%20PROGRAMMING/PROGRAMMING/PERSONAL/PYTHON/Image_Generator_API/imagenes/HALIFAX_WOMENS_119005387_MGN_3.jpg")</f>
        <v/>
      </c>
      <c r="O375">
        <f>HYPERLINK("imagenes/HALIFAX_WOMENS_119005387_MGN_1.jpg","Ver imagen")</f>
        <v/>
      </c>
      <c r="P375">
        <f>HYPERLINK("imagenes/HALIFAX_WOMENS_119005387_MGN_2.jpg","Ver imagen")</f>
        <v/>
      </c>
      <c r="Q375">
        <f>HYPERLINK("imagenes/HALIFAX_WOMENS_119005387_MGN_3.jpg","Ver imagen")</f>
        <v/>
      </c>
    </row>
    <row r="376">
      <c r="A376" t="inlineStr">
        <is>
          <t>HALIFAX WOMENS</t>
        </is>
      </c>
      <c r="B376" t="inlineStr">
        <is>
          <t>119005387</t>
        </is>
      </c>
      <c r="C376" t="inlineStr">
        <is>
          <t>Faux Fur Trimmed Puffer Jacket CBL: 26"</t>
        </is>
      </c>
      <c r="D376" t="inlineStr">
        <is>
          <t>MGN</t>
        </is>
      </c>
      <c r="E376" t="inlineStr">
        <is>
          <t>(en blanco)</t>
        </is>
      </c>
      <c r="F376" t="inlineStr">
        <is>
          <t>(en blanco)</t>
        </is>
      </c>
      <c r="G376" t="inlineStr">
        <is>
          <t>XL</t>
        </is>
      </c>
      <c r="H376" t="n">
        <v>2</v>
      </c>
      <c r="I376" t="inlineStr">
        <is>
          <t>HALIFAX_WOMENS_119005387_MGN_1.jpg</t>
        </is>
      </c>
      <c r="J376" t="inlineStr">
        <is>
          <t>HALIFAX_WOMENS_119005387_MGN_2.jpg</t>
        </is>
      </c>
      <c r="K376" t="inlineStr">
        <is>
          <t>HALIFAX_WOMENS_119005387_MGN_3.jpg</t>
        </is>
      </c>
      <c r="L376">
        <f>IMAGE("file:///E:/Estudios%20y%20certificaciones/ESTUDIOS%20DE%20PROGRAMMING/PROGRAMMING/PERSONAL/PYTHON/Image_Generator_API/imagenes/HALIFAX_WOMENS_119005387_MGN_1.jpg")</f>
        <v/>
      </c>
      <c r="M376">
        <f>IMAGE("file:///E:/Estudios%20y%20certificaciones/ESTUDIOS%20DE%20PROGRAMMING/PROGRAMMING/PERSONAL/PYTHON/Image_Generator_API/imagenes/HALIFAX_WOMENS_119005387_MGN_2.jpg")</f>
        <v/>
      </c>
      <c r="N376">
        <f>IMAGE("file:///E:/Estudios%20y%20certificaciones/ESTUDIOS%20DE%20PROGRAMMING/PROGRAMMING/PERSONAL/PYTHON/Image_Generator_API/imagenes/HALIFAX_WOMENS_119005387_MGN_3.jpg")</f>
        <v/>
      </c>
      <c r="O376">
        <f>HYPERLINK("imagenes/HALIFAX_WOMENS_119005387_MGN_1.jpg","Ver imagen")</f>
        <v/>
      </c>
      <c r="P376">
        <f>HYPERLINK("imagenes/HALIFAX_WOMENS_119005387_MGN_2.jpg","Ver imagen")</f>
        <v/>
      </c>
      <c r="Q376">
        <f>HYPERLINK("imagenes/HALIFAX_WOMENS_119005387_MGN_3.jpg","Ver imagen")</f>
        <v/>
      </c>
    </row>
    <row r="377">
      <c r="A377" t="inlineStr">
        <is>
          <t>HALIFAX WOMENS</t>
        </is>
      </c>
      <c r="B377" t="inlineStr">
        <is>
          <t>119005387</t>
        </is>
      </c>
      <c r="C377" t="inlineStr">
        <is>
          <t>Faux Fur Trimmed Puffer Jacket CBL: 26"</t>
        </is>
      </c>
      <c r="D377" t="inlineStr">
        <is>
          <t>ROS</t>
        </is>
      </c>
      <c r="E377" t="inlineStr">
        <is>
          <t>(en blanco)</t>
        </is>
      </c>
      <c r="F377" t="inlineStr">
        <is>
          <t>D2C</t>
        </is>
      </c>
      <c r="G377" t="inlineStr">
        <is>
          <t>S</t>
        </is>
      </c>
      <c r="H377" t="n">
        <v>2</v>
      </c>
      <c r="I377" t="inlineStr">
        <is>
          <t>HALIFAX_WOMENS_119005387_ROS_1.jpg</t>
        </is>
      </c>
      <c r="J377" t="inlineStr">
        <is>
          <t>HALIFAX_WOMENS_119005387_ROS_2.jpg</t>
        </is>
      </c>
      <c r="K377" t="inlineStr">
        <is>
          <t>HALIFAX_WOMENS_119005387_ROS_3.jpg</t>
        </is>
      </c>
      <c r="L377">
        <f>IMAGE("file:///E:/Estudios%20y%20certificaciones/ESTUDIOS%20DE%20PROGRAMMING/PROGRAMMING/PERSONAL/PYTHON/Image_Generator_API/imagenes/HALIFAX_WOMENS_119005387_ROS_1.jpg")</f>
        <v/>
      </c>
      <c r="M377">
        <f>IMAGE("file:///E:/Estudios%20y%20certificaciones/ESTUDIOS%20DE%20PROGRAMMING/PROGRAMMING/PERSONAL/PYTHON/Image_Generator_API/imagenes/HALIFAX_WOMENS_119005387_ROS_2.jpg")</f>
        <v/>
      </c>
      <c r="N377">
        <f>IMAGE("file:///E:/Estudios%20y%20certificaciones/ESTUDIOS%20DE%20PROGRAMMING/PROGRAMMING/PERSONAL/PYTHON/Image_Generator_API/imagenes/HALIFAX_WOMENS_119005387_ROS_3.jpg")</f>
        <v/>
      </c>
      <c r="O377">
        <f>HYPERLINK("imagenes/HALIFAX_WOMENS_119005387_ROS_1.jpg","Ver imagen")</f>
        <v/>
      </c>
      <c r="P377">
        <f>HYPERLINK("imagenes/HALIFAX_WOMENS_119005387_ROS_2.jpg","Ver imagen")</f>
        <v/>
      </c>
      <c r="Q377">
        <f>HYPERLINK("imagenes/HALIFAX_WOMENS_119005387_ROS_3.jpg","Ver imagen")</f>
        <v/>
      </c>
    </row>
    <row r="378">
      <c r="A378" t="inlineStr">
        <is>
          <t>HALIFAX WOMENS</t>
        </is>
      </c>
      <c r="B378" t="inlineStr">
        <is>
          <t>119005387</t>
        </is>
      </c>
      <c r="C378" t="inlineStr">
        <is>
          <t>Faux Fur Trimmed Puffer Jacket CBL: 26"</t>
        </is>
      </c>
      <c r="D378" t="inlineStr">
        <is>
          <t>ROS</t>
        </is>
      </c>
      <c r="E378" t="inlineStr">
        <is>
          <t>(en blanco)</t>
        </is>
      </c>
      <c r="F378" t="inlineStr">
        <is>
          <t>D2C</t>
        </is>
      </c>
      <c r="G378" t="inlineStr">
        <is>
          <t>M</t>
        </is>
      </c>
      <c r="H378" t="n">
        <v>15</v>
      </c>
      <c r="I378" t="inlineStr">
        <is>
          <t>HALIFAX_WOMENS_119005387_ROS_1.jpg</t>
        </is>
      </c>
      <c r="J378" t="inlineStr">
        <is>
          <t>HALIFAX_WOMENS_119005387_ROS_2.jpg</t>
        </is>
      </c>
      <c r="K378" t="inlineStr">
        <is>
          <t>HALIFAX_WOMENS_119005387_ROS_3.jpg</t>
        </is>
      </c>
      <c r="L378">
        <f>IMAGE("file:///E:/Estudios%20y%20certificaciones/ESTUDIOS%20DE%20PROGRAMMING/PROGRAMMING/PERSONAL/PYTHON/Image_Generator_API/imagenes/HALIFAX_WOMENS_119005387_ROS_1.jpg")</f>
        <v/>
      </c>
      <c r="M378">
        <f>IMAGE("file:///E:/Estudios%20y%20certificaciones/ESTUDIOS%20DE%20PROGRAMMING/PROGRAMMING/PERSONAL/PYTHON/Image_Generator_API/imagenes/HALIFAX_WOMENS_119005387_ROS_2.jpg")</f>
        <v/>
      </c>
      <c r="N378">
        <f>IMAGE("file:///E:/Estudios%20y%20certificaciones/ESTUDIOS%20DE%20PROGRAMMING/PROGRAMMING/PERSONAL/PYTHON/Image_Generator_API/imagenes/HALIFAX_WOMENS_119005387_ROS_3.jpg")</f>
        <v/>
      </c>
      <c r="O378">
        <f>HYPERLINK("imagenes/HALIFAX_WOMENS_119005387_ROS_1.jpg","Ver imagen")</f>
        <v/>
      </c>
      <c r="P378">
        <f>HYPERLINK("imagenes/HALIFAX_WOMENS_119005387_ROS_2.jpg","Ver imagen")</f>
        <v/>
      </c>
      <c r="Q378">
        <f>HYPERLINK("imagenes/HALIFAX_WOMENS_119005387_ROS_3.jpg","Ver imagen")</f>
        <v/>
      </c>
    </row>
    <row r="379">
      <c r="A379" t="inlineStr">
        <is>
          <t>HALIFAX WOMENS</t>
        </is>
      </c>
      <c r="B379" t="inlineStr">
        <is>
          <t>119005387</t>
        </is>
      </c>
      <c r="C379" t="inlineStr">
        <is>
          <t>Faux Fur Trimmed Puffer Jacket CBL: 26"</t>
        </is>
      </c>
      <c r="D379" t="inlineStr">
        <is>
          <t>ROS</t>
        </is>
      </c>
      <c r="E379" t="inlineStr">
        <is>
          <t>(en blanco)</t>
        </is>
      </c>
      <c r="F379" t="inlineStr">
        <is>
          <t>D2C</t>
        </is>
      </c>
      <c r="G379" t="inlineStr">
        <is>
          <t>L</t>
        </is>
      </c>
      <c r="H379" t="n">
        <v>6</v>
      </c>
      <c r="I379" t="inlineStr">
        <is>
          <t>HALIFAX_WOMENS_119005387_ROS_1.jpg</t>
        </is>
      </c>
      <c r="J379" t="inlineStr">
        <is>
          <t>HALIFAX_WOMENS_119005387_ROS_2.jpg</t>
        </is>
      </c>
      <c r="K379" t="inlineStr">
        <is>
          <t>HALIFAX_WOMENS_119005387_ROS_3.jpg</t>
        </is>
      </c>
      <c r="L379">
        <f>IMAGE("file:///E:/Estudios%20y%20certificaciones/ESTUDIOS%20DE%20PROGRAMMING/PROGRAMMING/PERSONAL/PYTHON/Image_Generator_API/imagenes/HALIFAX_WOMENS_119005387_ROS_1.jpg")</f>
        <v/>
      </c>
      <c r="M379">
        <f>IMAGE("file:///E:/Estudios%20y%20certificaciones/ESTUDIOS%20DE%20PROGRAMMING/PROGRAMMING/PERSONAL/PYTHON/Image_Generator_API/imagenes/HALIFAX_WOMENS_119005387_ROS_2.jpg")</f>
        <v/>
      </c>
      <c r="N379">
        <f>IMAGE("file:///E:/Estudios%20y%20certificaciones/ESTUDIOS%20DE%20PROGRAMMING/PROGRAMMING/PERSONAL/PYTHON/Image_Generator_API/imagenes/HALIFAX_WOMENS_119005387_ROS_3.jpg")</f>
        <v/>
      </c>
      <c r="O379">
        <f>HYPERLINK("imagenes/HALIFAX_WOMENS_119005387_ROS_1.jpg","Ver imagen")</f>
        <v/>
      </c>
      <c r="P379">
        <f>HYPERLINK("imagenes/HALIFAX_WOMENS_119005387_ROS_2.jpg","Ver imagen")</f>
        <v/>
      </c>
      <c r="Q379">
        <f>HYPERLINK("imagenes/HALIFAX_WOMENS_119005387_ROS_3.jpg","Ver imagen")</f>
        <v/>
      </c>
    </row>
    <row r="380">
      <c r="A380" t="inlineStr">
        <is>
          <t>HALIFAX WOMENS</t>
        </is>
      </c>
      <c r="B380" t="inlineStr">
        <is>
          <t>119005387</t>
        </is>
      </c>
      <c r="C380" t="inlineStr">
        <is>
          <t>Faux Fur Trimmed Puffer Jacket CBL: 26"</t>
        </is>
      </c>
      <c r="D380" t="inlineStr">
        <is>
          <t>ROS</t>
        </is>
      </c>
      <c r="E380" t="inlineStr">
        <is>
          <t>(en blanco)</t>
        </is>
      </c>
      <c r="F380" t="inlineStr">
        <is>
          <t>D2C</t>
        </is>
      </c>
      <c r="G380" t="inlineStr">
        <is>
          <t>XL</t>
        </is>
      </c>
      <c r="H380" t="n">
        <v>16</v>
      </c>
      <c r="I380" t="inlineStr">
        <is>
          <t>HALIFAX_WOMENS_119005387_ROS_1.jpg</t>
        </is>
      </c>
      <c r="J380" t="inlineStr">
        <is>
          <t>HALIFAX_WOMENS_119005387_ROS_2.jpg</t>
        </is>
      </c>
      <c r="K380" t="inlineStr">
        <is>
          <t>HALIFAX_WOMENS_119005387_ROS_3.jpg</t>
        </is>
      </c>
      <c r="L380">
        <f>IMAGE("file:///E:/Estudios%20y%20certificaciones/ESTUDIOS%20DE%20PROGRAMMING/PROGRAMMING/PERSONAL/PYTHON/Image_Generator_API/imagenes/HALIFAX_WOMENS_119005387_ROS_1.jpg")</f>
        <v/>
      </c>
      <c r="M380">
        <f>IMAGE("file:///E:/Estudios%20y%20certificaciones/ESTUDIOS%20DE%20PROGRAMMING/PROGRAMMING/PERSONAL/PYTHON/Image_Generator_API/imagenes/HALIFAX_WOMENS_119005387_ROS_2.jpg")</f>
        <v/>
      </c>
      <c r="N380">
        <f>IMAGE("file:///E:/Estudios%20y%20certificaciones/ESTUDIOS%20DE%20PROGRAMMING/PROGRAMMING/PERSONAL/PYTHON/Image_Generator_API/imagenes/HALIFAX_WOMENS_119005387_ROS_3.jpg")</f>
        <v/>
      </c>
      <c r="O380">
        <f>HYPERLINK("imagenes/HALIFAX_WOMENS_119005387_ROS_1.jpg","Ver imagen")</f>
        <v/>
      </c>
      <c r="P380">
        <f>HYPERLINK("imagenes/HALIFAX_WOMENS_119005387_ROS_2.jpg","Ver imagen")</f>
        <v/>
      </c>
      <c r="Q380">
        <f>HYPERLINK("imagenes/HALIFAX_WOMENS_119005387_ROS_3.jpg","Ver imagen")</f>
        <v/>
      </c>
    </row>
    <row r="381">
      <c r="A381" t="inlineStr">
        <is>
          <t>HALIFAX WOMENS</t>
        </is>
      </c>
      <c r="B381" t="inlineStr">
        <is>
          <t>119005387</t>
        </is>
      </c>
      <c r="C381" t="inlineStr">
        <is>
          <t>Faux Fur Trimmed Puffer Jacket CBL: 26"</t>
        </is>
      </c>
      <c r="D381" t="inlineStr">
        <is>
          <t>ROS</t>
        </is>
      </c>
      <c r="E381" t="inlineStr">
        <is>
          <t>(en blanco)</t>
        </is>
      </c>
      <c r="F381" t="inlineStr">
        <is>
          <t>D2C</t>
        </is>
      </c>
      <c r="G381" t="inlineStr">
        <is>
          <t>XXL</t>
        </is>
      </c>
      <c r="H381" t="n">
        <v>154</v>
      </c>
      <c r="I381" t="inlineStr">
        <is>
          <t>HALIFAX_WOMENS_119005387_ROS_1.jpg</t>
        </is>
      </c>
      <c r="J381" t="inlineStr">
        <is>
          <t>HALIFAX_WOMENS_119005387_ROS_2.jpg</t>
        </is>
      </c>
      <c r="K381" t="inlineStr">
        <is>
          <t>HALIFAX_WOMENS_119005387_ROS_3.jpg</t>
        </is>
      </c>
      <c r="L381">
        <f>IMAGE("file:///E:/Estudios%20y%20certificaciones/ESTUDIOS%20DE%20PROGRAMMING/PROGRAMMING/PERSONAL/PYTHON/Image_Generator_API/imagenes/HALIFAX_WOMENS_119005387_ROS_1.jpg")</f>
        <v/>
      </c>
      <c r="M381">
        <f>IMAGE("file:///E:/Estudios%20y%20certificaciones/ESTUDIOS%20DE%20PROGRAMMING/PROGRAMMING/PERSONAL/PYTHON/Image_Generator_API/imagenes/HALIFAX_WOMENS_119005387_ROS_2.jpg")</f>
        <v/>
      </c>
      <c r="N381">
        <f>IMAGE("file:///E:/Estudios%20y%20certificaciones/ESTUDIOS%20DE%20PROGRAMMING/PROGRAMMING/PERSONAL/PYTHON/Image_Generator_API/imagenes/HALIFAX_WOMENS_119005387_ROS_3.jpg")</f>
        <v/>
      </c>
      <c r="O381">
        <f>HYPERLINK("imagenes/HALIFAX_WOMENS_119005387_ROS_1.jpg","Ver imagen")</f>
        <v/>
      </c>
      <c r="P381">
        <f>HYPERLINK("imagenes/HALIFAX_WOMENS_119005387_ROS_2.jpg","Ver imagen")</f>
        <v/>
      </c>
      <c r="Q381">
        <f>HYPERLINK("imagenes/HALIFAX_WOMENS_119005387_ROS_3.jpg","Ver imagen")</f>
        <v/>
      </c>
    </row>
    <row r="382">
      <c r="A382" t="inlineStr">
        <is>
          <t>HALIFAX WOMENS</t>
        </is>
      </c>
      <c r="B382" t="inlineStr">
        <is>
          <t>119005387</t>
        </is>
      </c>
      <c r="C382" t="inlineStr">
        <is>
          <t>Faux Fur Trimmed Puffer Jacket CBL: 26"</t>
        </is>
      </c>
      <c r="D382" t="inlineStr">
        <is>
          <t>ROS</t>
        </is>
      </c>
      <c r="E382" t="inlineStr">
        <is>
          <t>(en blanco)</t>
        </is>
      </c>
      <c r="F382" t="inlineStr">
        <is>
          <t>(en blanco)</t>
        </is>
      </c>
      <c r="G382" t="inlineStr">
        <is>
          <t>S</t>
        </is>
      </c>
      <c r="H382" t="n">
        <v>6</v>
      </c>
      <c r="I382" t="inlineStr">
        <is>
          <t>HALIFAX_WOMENS_119005387_ROS_1.jpg</t>
        </is>
      </c>
      <c r="J382" t="inlineStr">
        <is>
          <t>HALIFAX_WOMENS_119005387_ROS_2.jpg</t>
        </is>
      </c>
      <c r="K382" t="inlineStr">
        <is>
          <t>HALIFAX_WOMENS_119005387_ROS_3.jpg</t>
        </is>
      </c>
      <c r="L382">
        <f>IMAGE("file:///E:/Estudios%20y%20certificaciones/ESTUDIOS%20DE%20PROGRAMMING/PROGRAMMING/PERSONAL/PYTHON/Image_Generator_API/imagenes/HALIFAX_WOMENS_119005387_ROS_1.jpg")</f>
        <v/>
      </c>
      <c r="M382">
        <f>IMAGE("file:///E:/Estudios%20y%20certificaciones/ESTUDIOS%20DE%20PROGRAMMING/PROGRAMMING/PERSONAL/PYTHON/Image_Generator_API/imagenes/HALIFAX_WOMENS_119005387_ROS_2.jpg")</f>
        <v/>
      </c>
      <c r="N382">
        <f>IMAGE("file:///E:/Estudios%20y%20certificaciones/ESTUDIOS%20DE%20PROGRAMMING/PROGRAMMING/PERSONAL/PYTHON/Image_Generator_API/imagenes/HALIFAX_WOMENS_119005387_ROS_3.jpg")</f>
        <v/>
      </c>
      <c r="O382">
        <f>HYPERLINK("imagenes/HALIFAX_WOMENS_119005387_ROS_1.jpg","Ver imagen")</f>
        <v/>
      </c>
      <c r="P382">
        <f>HYPERLINK("imagenes/HALIFAX_WOMENS_119005387_ROS_2.jpg","Ver imagen")</f>
        <v/>
      </c>
      <c r="Q382">
        <f>HYPERLINK("imagenes/HALIFAX_WOMENS_119005387_ROS_3.jpg","Ver imagen")</f>
        <v/>
      </c>
    </row>
    <row r="383">
      <c r="A383" t="inlineStr">
        <is>
          <t>HALIFAX WOMENS</t>
        </is>
      </c>
      <c r="B383" t="inlineStr">
        <is>
          <t>119005387</t>
        </is>
      </c>
      <c r="C383" t="inlineStr">
        <is>
          <t>Faux Fur Trimmed Puffer Jacket CBL: 26"</t>
        </is>
      </c>
      <c r="D383" t="inlineStr">
        <is>
          <t>ROS</t>
        </is>
      </c>
      <c r="E383" t="inlineStr">
        <is>
          <t>(en blanco)</t>
        </is>
      </c>
      <c r="F383" t="inlineStr">
        <is>
          <t>(en blanco)</t>
        </is>
      </c>
      <c r="G383" t="inlineStr">
        <is>
          <t>M</t>
        </is>
      </c>
      <c r="H383" t="n">
        <v>0</v>
      </c>
      <c r="I383" t="inlineStr">
        <is>
          <t>HALIFAX_WOMENS_119005387_ROS_1.jpg</t>
        </is>
      </c>
      <c r="J383" t="inlineStr">
        <is>
          <t>HALIFAX_WOMENS_119005387_ROS_2.jpg</t>
        </is>
      </c>
      <c r="K383" t="inlineStr">
        <is>
          <t>HALIFAX_WOMENS_119005387_ROS_3.jpg</t>
        </is>
      </c>
      <c r="L383">
        <f>IMAGE("file:///E:/Estudios%20y%20certificaciones/ESTUDIOS%20DE%20PROGRAMMING/PROGRAMMING/PERSONAL/PYTHON/Image_Generator_API/imagenes/HALIFAX_WOMENS_119005387_ROS_1.jpg")</f>
        <v/>
      </c>
      <c r="M383">
        <f>IMAGE("file:///E:/Estudios%20y%20certificaciones/ESTUDIOS%20DE%20PROGRAMMING/PROGRAMMING/PERSONAL/PYTHON/Image_Generator_API/imagenes/HALIFAX_WOMENS_119005387_ROS_2.jpg")</f>
        <v/>
      </c>
      <c r="N383">
        <f>IMAGE("file:///E:/Estudios%20y%20certificaciones/ESTUDIOS%20DE%20PROGRAMMING/PROGRAMMING/PERSONAL/PYTHON/Image_Generator_API/imagenes/HALIFAX_WOMENS_119005387_ROS_3.jpg")</f>
        <v/>
      </c>
      <c r="O383">
        <f>HYPERLINK("imagenes/HALIFAX_WOMENS_119005387_ROS_1.jpg","Ver imagen")</f>
        <v/>
      </c>
      <c r="P383">
        <f>HYPERLINK("imagenes/HALIFAX_WOMENS_119005387_ROS_2.jpg","Ver imagen")</f>
        <v/>
      </c>
      <c r="Q383">
        <f>HYPERLINK("imagenes/HALIFAX_WOMENS_119005387_ROS_3.jpg","Ver imagen")</f>
        <v/>
      </c>
    </row>
    <row r="384">
      <c r="A384" t="inlineStr">
        <is>
          <t>HALIFAX WOMENS</t>
        </is>
      </c>
      <c r="B384" t="inlineStr">
        <is>
          <t>119005387</t>
        </is>
      </c>
      <c r="C384" t="inlineStr">
        <is>
          <t>Faux Fur Trimmed Puffer Jacket CBL: 26"</t>
        </is>
      </c>
      <c r="D384" t="inlineStr">
        <is>
          <t>ROS</t>
        </is>
      </c>
      <c r="E384" t="inlineStr">
        <is>
          <t>(en blanco)</t>
        </is>
      </c>
      <c r="F384" t="inlineStr">
        <is>
          <t>(en blanco)</t>
        </is>
      </c>
      <c r="G384" t="inlineStr">
        <is>
          <t>XL</t>
        </is>
      </c>
      <c r="H384" t="n">
        <v>0</v>
      </c>
      <c r="I384" t="inlineStr">
        <is>
          <t>HALIFAX_WOMENS_119005387_ROS_1.jpg</t>
        </is>
      </c>
      <c r="J384" t="inlineStr">
        <is>
          <t>HALIFAX_WOMENS_119005387_ROS_2.jpg</t>
        </is>
      </c>
      <c r="K384" t="inlineStr">
        <is>
          <t>HALIFAX_WOMENS_119005387_ROS_3.jpg</t>
        </is>
      </c>
      <c r="L384">
        <f>IMAGE("file:///E:/Estudios%20y%20certificaciones/ESTUDIOS%20DE%20PROGRAMMING/PROGRAMMING/PERSONAL/PYTHON/Image_Generator_API/imagenes/HALIFAX_WOMENS_119005387_ROS_1.jpg")</f>
        <v/>
      </c>
      <c r="M384">
        <f>IMAGE("file:///E:/Estudios%20y%20certificaciones/ESTUDIOS%20DE%20PROGRAMMING/PROGRAMMING/PERSONAL/PYTHON/Image_Generator_API/imagenes/HALIFAX_WOMENS_119005387_ROS_2.jpg")</f>
        <v/>
      </c>
      <c r="N384">
        <f>IMAGE("file:///E:/Estudios%20y%20certificaciones/ESTUDIOS%20DE%20PROGRAMMING/PROGRAMMING/PERSONAL/PYTHON/Image_Generator_API/imagenes/HALIFAX_WOMENS_119005387_ROS_3.jpg")</f>
        <v/>
      </c>
      <c r="O384">
        <f>HYPERLINK("imagenes/HALIFAX_WOMENS_119005387_ROS_1.jpg","Ver imagen")</f>
        <v/>
      </c>
      <c r="P384">
        <f>HYPERLINK("imagenes/HALIFAX_WOMENS_119005387_ROS_2.jpg","Ver imagen")</f>
        <v/>
      </c>
      <c r="Q384">
        <f>HYPERLINK("imagenes/HALIFAX_WOMENS_119005387_ROS_3.jpg","Ver imagen")</f>
        <v/>
      </c>
    </row>
    <row r="385">
      <c r="A385" t="inlineStr">
        <is>
          <t>HALIFAX WOMENS</t>
        </is>
      </c>
      <c r="B385" t="inlineStr">
        <is>
          <t>119005387</t>
        </is>
      </c>
      <c r="C385" t="inlineStr">
        <is>
          <t>Faux Fur Trimmed Puffer Jacket CBL: 26"</t>
        </is>
      </c>
      <c r="D385" t="inlineStr">
        <is>
          <t>TAP</t>
        </is>
      </c>
      <c r="E385" t="inlineStr">
        <is>
          <t>(en blanco)</t>
        </is>
      </c>
      <c r="F385" t="inlineStr">
        <is>
          <t>D2C</t>
        </is>
      </c>
      <c r="G385" t="inlineStr">
        <is>
          <t>S</t>
        </is>
      </c>
      <c r="H385" t="n">
        <v>13</v>
      </c>
      <c r="I385" t="inlineStr">
        <is>
          <t>HALIFAX_WOMENS_119005387_TAP_1.jpg</t>
        </is>
      </c>
      <c r="J385" t="inlineStr">
        <is>
          <t>HALIFAX_WOMENS_119005387_TAP_2.jpg</t>
        </is>
      </c>
      <c r="K385" t="inlineStr">
        <is>
          <t>HALIFAX_WOMENS_119005387_TAP_3.jpg</t>
        </is>
      </c>
      <c r="L385">
        <f>IMAGE("file:///E:/Estudios%20y%20certificaciones/ESTUDIOS%20DE%20PROGRAMMING/PROGRAMMING/PERSONAL/PYTHON/Image_Generator_API/imagenes/HALIFAX_WOMENS_119005387_TAP_1.jpg")</f>
        <v/>
      </c>
      <c r="M385">
        <f>IMAGE("file:///E:/Estudios%20y%20certificaciones/ESTUDIOS%20DE%20PROGRAMMING/PROGRAMMING/PERSONAL/PYTHON/Image_Generator_API/imagenes/HALIFAX_WOMENS_119005387_TAP_2.jpg")</f>
        <v/>
      </c>
      <c r="N385">
        <f>IMAGE("file:///E:/Estudios%20y%20certificaciones/ESTUDIOS%20DE%20PROGRAMMING/PROGRAMMING/PERSONAL/PYTHON/Image_Generator_API/imagenes/HALIFAX_WOMENS_119005387_TAP_3.jpg")</f>
        <v/>
      </c>
      <c r="O385">
        <f>HYPERLINK("imagenes/HALIFAX_WOMENS_119005387_TAP_1.jpg","Ver imagen")</f>
        <v/>
      </c>
      <c r="P385">
        <f>HYPERLINK("imagenes/HALIFAX_WOMENS_119005387_TAP_2.jpg","Ver imagen")</f>
        <v/>
      </c>
      <c r="Q385">
        <f>HYPERLINK("imagenes/HALIFAX_WOMENS_119005387_TAP_3.jpg","Ver imagen")</f>
        <v/>
      </c>
    </row>
    <row r="386">
      <c r="A386" t="inlineStr">
        <is>
          <t>HALIFAX WOMENS</t>
        </is>
      </c>
      <c r="B386" t="inlineStr">
        <is>
          <t>119005387</t>
        </is>
      </c>
      <c r="C386" t="inlineStr">
        <is>
          <t>Faux Fur Trimmed Puffer Jacket CBL: 26"</t>
        </is>
      </c>
      <c r="D386" t="inlineStr">
        <is>
          <t>TAP</t>
        </is>
      </c>
      <c r="E386" t="inlineStr">
        <is>
          <t>(en blanco)</t>
        </is>
      </c>
      <c r="F386" t="inlineStr">
        <is>
          <t>D2C</t>
        </is>
      </c>
      <c r="G386" t="inlineStr">
        <is>
          <t>M</t>
        </is>
      </c>
      <c r="H386" t="n">
        <v>28</v>
      </c>
      <c r="I386" t="inlineStr">
        <is>
          <t>HALIFAX_WOMENS_119005387_TAP_1.jpg</t>
        </is>
      </c>
      <c r="J386" t="inlineStr">
        <is>
          <t>HALIFAX_WOMENS_119005387_TAP_2.jpg</t>
        </is>
      </c>
      <c r="K386" t="inlineStr">
        <is>
          <t>HALIFAX_WOMENS_119005387_TAP_3.jpg</t>
        </is>
      </c>
      <c r="L386">
        <f>IMAGE("file:///E:/Estudios%20y%20certificaciones/ESTUDIOS%20DE%20PROGRAMMING/PROGRAMMING/PERSONAL/PYTHON/Image_Generator_API/imagenes/HALIFAX_WOMENS_119005387_TAP_1.jpg")</f>
        <v/>
      </c>
      <c r="M386">
        <f>IMAGE("file:///E:/Estudios%20y%20certificaciones/ESTUDIOS%20DE%20PROGRAMMING/PROGRAMMING/PERSONAL/PYTHON/Image_Generator_API/imagenes/HALIFAX_WOMENS_119005387_TAP_2.jpg")</f>
        <v/>
      </c>
      <c r="N386">
        <f>IMAGE("file:///E:/Estudios%20y%20certificaciones/ESTUDIOS%20DE%20PROGRAMMING/PROGRAMMING/PERSONAL/PYTHON/Image_Generator_API/imagenes/HALIFAX_WOMENS_119005387_TAP_3.jpg")</f>
        <v/>
      </c>
      <c r="O386">
        <f>HYPERLINK("imagenes/HALIFAX_WOMENS_119005387_TAP_1.jpg","Ver imagen")</f>
        <v/>
      </c>
      <c r="P386">
        <f>HYPERLINK("imagenes/HALIFAX_WOMENS_119005387_TAP_2.jpg","Ver imagen")</f>
        <v/>
      </c>
      <c r="Q386">
        <f>HYPERLINK("imagenes/HALIFAX_WOMENS_119005387_TAP_3.jpg","Ver imagen")</f>
        <v/>
      </c>
    </row>
    <row r="387">
      <c r="A387" t="inlineStr">
        <is>
          <t>HALIFAX WOMENS</t>
        </is>
      </c>
      <c r="B387" t="inlineStr">
        <is>
          <t>119005387</t>
        </is>
      </c>
      <c r="C387" t="inlineStr">
        <is>
          <t>Faux Fur Trimmed Puffer Jacket CBL: 26"</t>
        </is>
      </c>
      <c r="D387" t="inlineStr">
        <is>
          <t>TAP</t>
        </is>
      </c>
      <c r="E387" t="inlineStr">
        <is>
          <t>(en blanco)</t>
        </is>
      </c>
      <c r="F387" t="inlineStr">
        <is>
          <t>D2C</t>
        </is>
      </c>
      <c r="G387" t="inlineStr">
        <is>
          <t>L</t>
        </is>
      </c>
      <c r="H387" t="n">
        <v>27</v>
      </c>
      <c r="I387" t="inlineStr">
        <is>
          <t>HALIFAX_WOMENS_119005387_TAP_1.jpg</t>
        </is>
      </c>
      <c r="J387" t="inlineStr">
        <is>
          <t>HALIFAX_WOMENS_119005387_TAP_2.jpg</t>
        </is>
      </c>
      <c r="K387" t="inlineStr">
        <is>
          <t>HALIFAX_WOMENS_119005387_TAP_3.jpg</t>
        </is>
      </c>
      <c r="L387">
        <f>IMAGE("file:///E:/Estudios%20y%20certificaciones/ESTUDIOS%20DE%20PROGRAMMING/PROGRAMMING/PERSONAL/PYTHON/Image_Generator_API/imagenes/HALIFAX_WOMENS_119005387_TAP_1.jpg")</f>
        <v/>
      </c>
      <c r="M387">
        <f>IMAGE("file:///E:/Estudios%20y%20certificaciones/ESTUDIOS%20DE%20PROGRAMMING/PROGRAMMING/PERSONAL/PYTHON/Image_Generator_API/imagenes/HALIFAX_WOMENS_119005387_TAP_2.jpg")</f>
        <v/>
      </c>
      <c r="N387">
        <f>IMAGE("file:///E:/Estudios%20y%20certificaciones/ESTUDIOS%20DE%20PROGRAMMING/PROGRAMMING/PERSONAL/PYTHON/Image_Generator_API/imagenes/HALIFAX_WOMENS_119005387_TAP_3.jpg")</f>
        <v/>
      </c>
      <c r="O387">
        <f>HYPERLINK("imagenes/HALIFAX_WOMENS_119005387_TAP_1.jpg","Ver imagen")</f>
        <v/>
      </c>
      <c r="P387">
        <f>HYPERLINK("imagenes/HALIFAX_WOMENS_119005387_TAP_2.jpg","Ver imagen")</f>
        <v/>
      </c>
      <c r="Q387">
        <f>HYPERLINK("imagenes/HALIFAX_WOMENS_119005387_TAP_3.jpg","Ver imagen")</f>
        <v/>
      </c>
    </row>
    <row r="388">
      <c r="A388" t="inlineStr">
        <is>
          <t>HALIFAX WOMENS</t>
        </is>
      </c>
      <c r="B388" t="inlineStr">
        <is>
          <t>119005387</t>
        </is>
      </c>
      <c r="C388" t="inlineStr">
        <is>
          <t>Faux Fur Trimmed Puffer Jacket CBL: 26"</t>
        </is>
      </c>
      <c r="D388" t="inlineStr">
        <is>
          <t>TAP</t>
        </is>
      </c>
      <c r="E388" t="inlineStr">
        <is>
          <t>(en blanco)</t>
        </is>
      </c>
      <c r="F388" t="inlineStr">
        <is>
          <t>D2C</t>
        </is>
      </c>
      <c r="G388" t="inlineStr">
        <is>
          <t>XL</t>
        </is>
      </c>
      <c r="H388" t="n">
        <v>30</v>
      </c>
      <c r="I388" t="inlineStr">
        <is>
          <t>HALIFAX_WOMENS_119005387_TAP_1.jpg</t>
        </is>
      </c>
      <c r="J388" t="inlineStr">
        <is>
          <t>HALIFAX_WOMENS_119005387_TAP_2.jpg</t>
        </is>
      </c>
      <c r="K388" t="inlineStr">
        <is>
          <t>HALIFAX_WOMENS_119005387_TAP_3.jpg</t>
        </is>
      </c>
      <c r="L388">
        <f>IMAGE("file:///E:/Estudios%20y%20certificaciones/ESTUDIOS%20DE%20PROGRAMMING/PROGRAMMING/PERSONAL/PYTHON/Image_Generator_API/imagenes/HALIFAX_WOMENS_119005387_TAP_1.jpg")</f>
        <v/>
      </c>
      <c r="M388">
        <f>IMAGE("file:///E:/Estudios%20y%20certificaciones/ESTUDIOS%20DE%20PROGRAMMING/PROGRAMMING/PERSONAL/PYTHON/Image_Generator_API/imagenes/HALIFAX_WOMENS_119005387_TAP_2.jpg")</f>
        <v/>
      </c>
      <c r="N388">
        <f>IMAGE("file:///E:/Estudios%20y%20certificaciones/ESTUDIOS%20DE%20PROGRAMMING/PROGRAMMING/PERSONAL/PYTHON/Image_Generator_API/imagenes/HALIFAX_WOMENS_119005387_TAP_3.jpg")</f>
        <v/>
      </c>
      <c r="O388">
        <f>HYPERLINK("imagenes/HALIFAX_WOMENS_119005387_TAP_1.jpg","Ver imagen")</f>
        <v/>
      </c>
      <c r="P388">
        <f>HYPERLINK("imagenes/HALIFAX_WOMENS_119005387_TAP_2.jpg","Ver imagen")</f>
        <v/>
      </c>
      <c r="Q388">
        <f>HYPERLINK("imagenes/HALIFAX_WOMENS_119005387_TAP_3.jpg","Ver imagen")</f>
        <v/>
      </c>
    </row>
    <row r="389">
      <c r="A389" t="inlineStr">
        <is>
          <t>HALIFAX WOMENS</t>
        </is>
      </c>
      <c r="B389" t="inlineStr">
        <is>
          <t>119005387</t>
        </is>
      </c>
      <c r="C389" t="inlineStr">
        <is>
          <t>Faux Fur Trimmed Puffer Jacket CBL: 26"</t>
        </is>
      </c>
      <c r="D389" t="inlineStr">
        <is>
          <t>TAP</t>
        </is>
      </c>
      <c r="E389" t="inlineStr">
        <is>
          <t>(en blanco)</t>
        </is>
      </c>
      <c r="F389" t="inlineStr">
        <is>
          <t>D2C</t>
        </is>
      </c>
      <c r="G389" t="inlineStr">
        <is>
          <t>XXL</t>
        </is>
      </c>
      <c r="H389" t="n">
        <v>159</v>
      </c>
      <c r="I389" t="inlineStr">
        <is>
          <t>HALIFAX_WOMENS_119005387_TAP_1.jpg</t>
        </is>
      </c>
      <c r="J389" t="inlineStr">
        <is>
          <t>HALIFAX_WOMENS_119005387_TAP_2.jpg</t>
        </is>
      </c>
      <c r="K389" t="inlineStr">
        <is>
          <t>HALIFAX_WOMENS_119005387_TAP_3.jpg</t>
        </is>
      </c>
      <c r="L389">
        <f>IMAGE("file:///E:/Estudios%20y%20certificaciones/ESTUDIOS%20DE%20PROGRAMMING/PROGRAMMING/PERSONAL/PYTHON/Image_Generator_API/imagenes/HALIFAX_WOMENS_119005387_TAP_1.jpg")</f>
        <v/>
      </c>
      <c r="M389">
        <f>IMAGE("file:///E:/Estudios%20y%20certificaciones/ESTUDIOS%20DE%20PROGRAMMING/PROGRAMMING/PERSONAL/PYTHON/Image_Generator_API/imagenes/HALIFAX_WOMENS_119005387_TAP_2.jpg")</f>
        <v/>
      </c>
      <c r="N389">
        <f>IMAGE("file:///E:/Estudios%20y%20certificaciones/ESTUDIOS%20DE%20PROGRAMMING/PROGRAMMING/PERSONAL/PYTHON/Image_Generator_API/imagenes/HALIFAX_WOMENS_119005387_TAP_3.jpg")</f>
        <v/>
      </c>
      <c r="O389">
        <f>HYPERLINK("imagenes/HALIFAX_WOMENS_119005387_TAP_1.jpg","Ver imagen")</f>
        <v/>
      </c>
      <c r="P389">
        <f>HYPERLINK("imagenes/HALIFAX_WOMENS_119005387_TAP_2.jpg","Ver imagen")</f>
        <v/>
      </c>
      <c r="Q389">
        <f>HYPERLINK("imagenes/HALIFAX_WOMENS_119005387_TAP_3.jpg","Ver imagen")</f>
        <v/>
      </c>
    </row>
    <row r="390">
      <c r="A390" t="inlineStr">
        <is>
          <t>HALIFAX WOMENS</t>
        </is>
      </c>
      <c r="B390" t="inlineStr">
        <is>
          <t>119005387</t>
        </is>
      </c>
      <c r="C390" t="inlineStr">
        <is>
          <t>Faux Fur Trimmed Puffer Jacket CBL: 26"</t>
        </is>
      </c>
      <c r="D390" t="inlineStr">
        <is>
          <t>TAP</t>
        </is>
      </c>
      <c r="E390" t="inlineStr">
        <is>
          <t>(en blanco)</t>
        </is>
      </c>
      <c r="F390" t="inlineStr">
        <is>
          <t>(en blanco)</t>
        </is>
      </c>
      <c r="G390" t="inlineStr">
        <is>
          <t>S</t>
        </is>
      </c>
      <c r="H390" t="n">
        <v>12</v>
      </c>
      <c r="I390" t="inlineStr">
        <is>
          <t>HALIFAX_WOMENS_119005387_TAP_1.jpg</t>
        </is>
      </c>
      <c r="J390" t="inlineStr">
        <is>
          <t>HALIFAX_WOMENS_119005387_TAP_2.jpg</t>
        </is>
      </c>
      <c r="K390" t="inlineStr">
        <is>
          <t>HALIFAX_WOMENS_119005387_TAP_3.jpg</t>
        </is>
      </c>
      <c r="L390">
        <f>IMAGE("file:///E:/Estudios%20y%20certificaciones/ESTUDIOS%20DE%20PROGRAMMING/PROGRAMMING/PERSONAL/PYTHON/Image_Generator_API/imagenes/HALIFAX_WOMENS_119005387_TAP_1.jpg")</f>
        <v/>
      </c>
      <c r="M390">
        <f>IMAGE("file:///E:/Estudios%20y%20certificaciones/ESTUDIOS%20DE%20PROGRAMMING/PROGRAMMING/PERSONAL/PYTHON/Image_Generator_API/imagenes/HALIFAX_WOMENS_119005387_TAP_2.jpg")</f>
        <v/>
      </c>
      <c r="N390">
        <f>IMAGE("file:///E:/Estudios%20y%20certificaciones/ESTUDIOS%20DE%20PROGRAMMING/PROGRAMMING/PERSONAL/PYTHON/Image_Generator_API/imagenes/HALIFAX_WOMENS_119005387_TAP_3.jpg")</f>
        <v/>
      </c>
      <c r="O390">
        <f>HYPERLINK("imagenes/HALIFAX_WOMENS_119005387_TAP_1.jpg","Ver imagen")</f>
        <v/>
      </c>
      <c r="P390">
        <f>HYPERLINK("imagenes/HALIFAX_WOMENS_119005387_TAP_2.jpg","Ver imagen")</f>
        <v/>
      </c>
      <c r="Q390">
        <f>HYPERLINK("imagenes/HALIFAX_WOMENS_119005387_TAP_3.jpg","Ver imagen")</f>
        <v/>
      </c>
    </row>
    <row r="391">
      <c r="A391" t="inlineStr">
        <is>
          <t>HALIFAX WOMENS</t>
        </is>
      </c>
      <c r="B391" t="inlineStr">
        <is>
          <t>119005387</t>
        </is>
      </c>
      <c r="C391" t="inlineStr">
        <is>
          <t>Faux Fur Trimmed Puffer Jacket CBL: 26"</t>
        </is>
      </c>
      <c r="D391" t="inlineStr">
        <is>
          <t>TAP</t>
        </is>
      </c>
      <c r="E391" t="inlineStr">
        <is>
          <t>(en blanco)</t>
        </is>
      </c>
      <c r="F391" t="inlineStr">
        <is>
          <t>(en blanco)</t>
        </is>
      </c>
      <c r="G391" t="inlineStr">
        <is>
          <t>M</t>
        </is>
      </c>
      <c r="H391" t="n">
        <v>11</v>
      </c>
      <c r="I391" t="inlineStr">
        <is>
          <t>HALIFAX_WOMENS_119005387_TAP_1.jpg</t>
        </is>
      </c>
      <c r="J391" t="inlineStr">
        <is>
          <t>HALIFAX_WOMENS_119005387_TAP_2.jpg</t>
        </is>
      </c>
      <c r="K391" t="inlineStr">
        <is>
          <t>HALIFAX_WOMENS_119005387_TAP_3.jpg</t>
        </is>
      </c>
      <c r="L391">
        <f>IMAGE("file:///E:/Estudios%20y%20certificaciones/ESTUDIOS%20DE%20PROGRAMMING/PROGRAMMING/PERSONAL/PYTHON/Image_Generator_API/imagenes/HALIFAX_WOMENS_119005387_TAP_1.jpg")</f>
        <v/>
      </c>
      <c r="M391">
        <f>IMAGE("file:///E:/Estudios%20y%20certificaciones/ESTUDIOS%20DE%20PROGRAMMING/PROGRAMMING/PERSONAL/PYTHON/Image_Generator_API/imagenes/HALIFAX_WOMENS_119005387_TAP_2.jpg")</f>
        <v/>
      </c>
      <c r="N391">
        <f>IMAGE("file:///E:/Estudios%20y%20certificaciones/ESTUDIOS%20DE%20PROGRAMMING/PROGRAMMING/PERSONAL/PYTHON/Image_Generator_API/imagenes/HALIFAX_WOMENS_119005387_TAP_3.jpg")</f>
        <v/>
      </c>
      <c r="O391">
        <f>HYPERLINK("imagenes/HALIFAX_WOMENS_119005387_TAP_1.jpg","Ver imagen")</f>
        <v/>
      </c>
      <c r="P391">
        <f>HYPERLINK("imagenes/HALIFAX_WOMENS_119005387_TAP_2.jpg","Ver imagen")</f>
        <v/>
      </c>
      <c r="Q391">
        <f>HYPERLINK("imagenes/HALIFAX_WOMENS_119005387_TAP_3.jpg","Ver imagen")</f>
        <v/>
      </c>
    </row>
    <row r="392">
      <c r="A392" t="inlineStr">
        <is>
          <t>HALIFAX WOMENS</t>
        </is>
      </c>
      <c r="B392" t="inlineStr">
        <is>
          <t>119005387</t>
        </is>
      </c>
      <c r="C392" t="inlineStr">
        <is>
          <t>Faux Fur Trimmed Puffer Jacket CBL: 26"</t>
        </is>
      </c>
      <c r="D392" t="inlineStr">
        <is>
          <t>TAP</t>
        </is>
      </c>
      <c r="E392" t="inlineStr">
        <is>
          <t>(en blanco)</t>
        </is>
      </c>
      <c r="F392" t="inlineStr">
        <is>
          <t>(en blanco)</t>
        </is>
      </c>
      <c r="G392" t="inlineStr">
        <is>
          <t>L</t>
        </is>
      </c>
      <c r="H392" t="n">
        <v>1</v>
      </c>
      <c r="I392" t="inlineStr">
        <is>
          <t>HALIFAX_WOMENS_119005387_TAP_1.jpg</t>
        </is>
      </c>
      <c r="J392" t="inlineStr">
        <is>
          <t>HALIFAX_WOMENS_119005387_TAP_2.jpg</t>
        </is>
      </c>
      <c r="K392" t="inlineStr">
        <is>
          <t>HALIFAX_WOMENS_119005387_TAP_3.jpg</t>
        </is>
      </c>
      <c r="L392">
        <f>IMAGE("file:///E:/Estudios%20y%20certificaciones/ESTUDIOS%20DE%20PROGRAMMING/PROGRAMMING/PERSONAL/PYTHON/Image_Generator_API/imagenes/HALIFAX_WOMENS_119005387_TAP_1.jpg")</f>
        <v/>
      </c>
      <c r="M392">
        <f>IMAGE("file:///E:/Estudios%20y%20certificaciones/ESTUDIOS%20DE%20PROGRAMMING/PROGRAMMING/PERSONAL/PYTHON/Image_Generator_API/imagenes/HALIFAX_WOMENS_119005387_TAP_2.jpg")</f>
        <v/>
      </c>
      <c r="N392">
        <f>IMAGE("file:///E:/Estudios%20y%20certificaciones/ESTUDIOS%20DE%20PROGRAMMING/PROGRAMMING/PERSONAL/PYTHON/Image_Generator_API/imagenes/HALIFAX_WOMENS_119005387_TAP_3.jpg")</f>
        <v/>
      </c>
      <c r="O392">
        <f>HYPERLINK("imagenes/HALIFAX_WOMENS_119005387_TAP_1.jpg","Ver imagen")</f>
        <v/>
      </c>
      <c r="P392">
        <f>HYPERLINK("imagenes/HALIFAX_WOMENS_119005387_TAP_2.jpg","Ver imagen")</f>
        <v/>
      </c>
      <c r="Q392">
        <f>HYPERLINK("imagenes/HALIFAX_WOMENS_119005387_TAP_3.jpg","Ver imagen")</f>
        <v/>
      </c>
    </row>
    <row r="393">
      <c r="A393" t="inlineStr">
        <is>
          <t>HALIFAX WOMENS</t>
        </is>
      </c>
      <c r="B393" t="inlineStr">
        <is>
          <t>119005507</t>
        </is>
      </c>
      <c r="C393" t="inlineStr">
        <is>
          <t>J822723 Softshell B/T Mellowpile Jkt CBL:27 1/2 (PLUS SIZE)</t>
        </is>
      </c>
      <c r="D393" t="inlineStr">
        <is>
          <t>BLK</t>
        </is>
      </c>
      <c r="E393" t="inlineStr">
        <is>
          <t>09A08</t>
        </is>
      </c>
      <c r="F393" t="inlineStr">
        <is>
          <t>(en blanco)</t>
        </is>
      </c>
      <c r="G393" t="inlineStr">
        <is>
          <t>PPK</t>
        </is>
      </c>
      <c r="H393" t="n">
        <v>2043</v>
      </c>
      <c r="I393" t="inlineStr">
        <is>
          <t>HALIFAX_WOMENS_119005507_BLK_1.jpg</t>
        </is>
      </c>
      <c r="J393" t="inlineStr">
        <is>
          <t>HALIFAX_WOMENS_119005507_BLK_2.jpg</t>
        </is>
      </c>
      <c r="K393" t="inlineStr">
        <is>
          <t>HALIFAX_WOMENS_119005507_BLK_3.jpg</t>
        </is>
      </c>
      <c r="L393">
        <f>IMAGE("file:///E:/Estudios%20y%20certificaciones/ESTUDIOS%20DE%20PROGRAMMING/PROGRAMMING/PERSONAL/PYTHON/Image_Generator_API/imagenes/HALIFAX_WOMENS_119005507_BLK_1.jpg")</f>
        <v/>
      </c>
      <c r="M393">
        <f>IMAGE("file:///E:/Estudios%20y%20certificaciones/ESTUDIOS%20DE%20PROGRAMMING/PROGRAMMING/PERSONAL/PYTHON/Image_Generator_API/imagenes/HALIFAX_WOMENS_119005507_BLK_2.jpg")</f>
        <v/>
      </c>
      <c r="N393">
        <f>IMAGE("file:///E:/Estudios%20y%20certificaciones/ESTUDIOS%20DE%20PROGRAMMING/PROGRAMMING/PERSONAL/PYTHON/Image_Generator_API/imagenes/HALIFAX_WOMENS_119005507_BLK_3.jpg")</f>
        <v/>
      </c>
      <c r="O393">
        <f>HYPERLINK("imagenes/HALIFAX_WOMENS_119005507_BLK_1.jpg","Ver imagen")</f>
        <v/>
      </c>
      <c r="P393">
        <f>HYPERLINK("imagenes/HALIFAX_WOMENS_119005507_BLK_2.jpg","Ver imagen")</f>
        <v/>
      </c>
      <c r="Q393">
        <f>HYPERLINK("imagenes/HALIFAX_WOMENS_119005507_BLK_3.jpg","Ver imagen")</f>
        <v/>
      </c>
    </row>
    <row r="394">
      <c r="A394" t="inlineStr">
        <is>
          <t>HALIFAX WOMENS</t>
        </is>
      </c>
      <c r="B394" t="inlineStr">
        <is>
          <t>119005526</t>
        </is>
      </c>
      <c r="C394" t="inlineStr">
        <is>
          <t>Quilted Jacket w/ Removable Hooded Bib CBL:25 1/2" (HOUSE</t>
        </is>
      </c>
      <c r="D394" t="inlineStr">
        <is>
          <t>BLK</t>
        </is>
      </c>
      <c r="E394" t="inlineStr">
        <is>
          <t>(en blanco)</t>
        </is>
      </c>
      <c r="F394" t="inlineStr">
        <is>
          <t>D2C</t>
        </is>
      </c>
      <c r="G394" t="inlineStr">
        <is>
          <t>S</t>
        </is>
      </c>
      <c r="H394" t="n">
        <v>38</v>
      </c>
      <c r="I394" t="inlineStr">
        <is>
          <t>HALIFAX_WOMENS_119005526_BLK_1.jpg</t>
        </is>
      </c>
      <c r="J394" t="inlineStr">
        <is>
          <t>HALIFAX_WOMENS_119005526_BLK_3.jpg</t>
        </is>
      </c>
      <c r="L394">
        <f>IMAGE("file:///E:/Estudios%20y%20certificaciones/ESTUDIOS%20DE%20PROGRAMMING/PROGRAMMING/PERSONAL/PYTHON/Image_Generator_API/imagenes/HALIFAX_WOMENS_119005526_BLK_1.jpg")</f>
        <v/>
      </c>
      <c r="M394">
        <f>IMAGE("file:///E:/Estudios%20y%20certificaciones/ESTUDIOS%20DE%20PROGRAMMING/PROGRAMMING/PERSONAL/PYTHON/Image_Generator_API/imagenes/HALIFAX_WOMENS_119005526_BLK_3.jpg")</f>
        <v/>
      </c>
      <c r="O394">
        <f>HYPERLINK("imagenes/HALIFAX_WOMENS_119005526_BLK_1.jpg","Ver imagen")</f>
        <v/>
      </c>
      <c r="P394">
        <f>HYPERLINK("imagenes/HALIFAX_WOMENS_119005526_BLK_3.jpg","Ver imagen")</f>
        <v/>
      </c>
    </row>
    <row r="395">
      <c r="A395" t="inlineStr">
        <is>
          <t>HALIFAX WOMENS</t>
        </is>
      </c>
      <c r="B395" t="inlineStr">
        <is>
          <t>119005526</t>
        </is>
      </c>
      <c r="C395" t="inlineStr">
        <is>
          <t>Quilted Jacket w/ Removable Hooded Bib CBL:25 1/2" (HOUSE</t>
        </is>
      </c>
      <c r="D395" t="inlineStr">
        <is>
          <t>BLK</t>
        </is>
      </c>
      <c r="E395" t="inlineStr">
        <is>
          <t>(en blanco)</t>
        </is>
      </c>
      <c r="F395" t="inlineStr">
        <is>
          <t>D2C</t>
        </is>
      </c>
      <c r="G395" t="inlineStr">
        <is>
          <t>M</t>
        </is>
      </c>
      <c r="H395" t="n">
        <v>87</v>
      </c>
      <c r="I395" t="inlineStr">
        <is>
          <t>HALIFAX_WOMENS_119005526_BLK_1.jpg</t>
        </is>
      </c>
      <c r="J395" t="inlineStr">
        <is>
          <t>HALIFAX_WOMENS_119005526_BLK_3.jpg</t>
        </is>
      </c>
      <c r="L395">
        <f>IMAGE("file:///E:/Estudios%20y%20certificaciones/ESTUDIOS%20DE%20PROGRAMMING/PROGRAMMING/PERSONAL/PYTHON/Image_Generator_API/imagenes/HALIFAX_WOMENS_119005526_BLK_1.jpg")</f>
        <v/>
      </c>
      <c r="M395">
        <f>IMAGE("file:///E:/Estudios%20y%20certificaciones/ESTUDIOS%20DE%20PROGRAMMING/PROGRAMMING/PERSONAL/PYTHON/Image_Generator_API/imagenes/HALIFAX_WOMENS_119005526_BLK_3.jpg")</f>
        <v/>
      </c>
      <c r="O395">
        <f>HYPERLINK("imagenes/HALIFAX_WOMENS_119005526_BLK_1.jpg","Ver imagen")</f>
        <v/>
      </c>
      <c r="P395">
        <f>HYPERLINK("imagenes/HALIFAX_WOMENS_119005526_BLK_3.jpg","Ver imagen")</f>
        <v/>
      </c>
    </row>
    <row r="396">
      <c r="A396" t="inlineStr">
        <is>
          <t>HALIFAX WOMENS</t>
        </is>
      </c>
      <c r="B396" t="inlineStr">
        <is>
          <t>119005526</t>
        </is>
      </c>
      <c r="C396" t="inlineStr">
        <is>
          <t>Quilted Jacket w/ Removable Hooded Bib CBL:25 1/2" (HOUSE</t>
        </is>
      </c>
      <c r="D396" t="inlineStr">
        <is>
          <t>BLK</t>
        </is>
      </c>
      <c r="E396" t="inlineStr">
        <is>
          <t>(en blanco)</t>
        </is>
      </c>
      <c r="F396" t="inlineStr">
        <is>
          <t>D2C</t>
        </is>
      </c>
      <c r="G396" t="inlineStr">
        <is>
          <t>L</t>
        </is>
      </c>
      <c r="H396" t="n">
        <v>70</v>
      </c>
      <c r="I396" t="inlineStr">
        <is>
          <t>HALIFAX_WOMENS_119005526_BLK_1.jpg</t>
        </is>
      </c>
      <c r="J396" t="inlineStr">
        <is>
          <t>HALIFAX_WOMENS_119005526_BLK_3.jpg</t>
        </is>
      </c>
      <c r="L396">
        <f>IMAGE("file:///E:/Estudios%20y%20certificaciones/ESTUDIOS%20DE%20PROGRAMMING/PROGRAMMING/PERSONAL/PYTHON/Image_Generator_API/imagenes/HALIFAX_WOMENS_119005526_BLK_1.jpg")</f>
        <v/>
      </c>
      <c r="M396">
        <f>IMAGE("file:///E:/Estudios%20y%20certificaciones/ESTUDIOS%20DE%20PROGRAMMING/PROGRAMMING/PERSONAL/PYTHON/Image_Generator_API/imagenes/HALIFAX_WOMENS_119005526_BLK_3.jpg")</f>
        <v/>
      </c>
      <c r="O396">
        <f>HYPERLINK("imagenes/HALIFAX_WOMENS_119005526_BLK_1.jpg","Ver imagen")</f>
        <v/>
      </c>
      <c r="P396">
        <f>HYPERLINK("imagenes/HALIFAX_WOMENS_119005526_BLK_3.jpg","Ver imagen")</f>
        <v/>
      </c>
    </row>
    <row r="397">
      <c r="A397" t="inlineStr">
        <is>
          <t>HALIFAX WOMENS</t>
        </is>
      </c>
      <c r="B397" t="inlineStr">
        <is>
          <t>119005526</t>
        </is>
      </c>
      <c r="C397" t="inlineStr">
        <is>
          <t>Quilted Jacket w/ Removable Hooded Bib CBL:25 1/2" (HOUSE</t>
        </is>
      </c>
      <c r="D397" t="inlineStr">
        <is>
          <t>BLK</t>
        </is>
      </c>
      <c r="E397" t="inlineStr">
        <is>
          <t>(en blanco)</t>
        </is>
      </c>
      <c r="F397" t="inlineStr">
        <is>
          <t>D2C</t>
        </is>
      </c>
      <c r="G397" t="inlineStr">
        <is>
          <t>XL</t>
        </is>
      </c>
      <c r="H397" t="n">
        <v>79</v>
      </c>
      <c r="I397" t="inlineStr">
        <is>
          <t>HALIFAX_WOMENS_119005526_BLK_1.jpg</t>
        </is>
      </c>
      <c r="J397" t="inlineStr">
        <is>
          <t>HALIFAX_WOMENS_119005526_BLK_3.jpg</t>
        </is>
      </c>
      <c r="L397">
        <f>IMAGE("file:///E:/Estudios%20y%20certificaciones/ESTUDIOS%20DE%20PROGRAMMING/PROGRAMMING/PERSONAL/PYTHON/Image_Generator_API/imagenes/HALIFAX_WOMENS_119005526_BLK_1.jpg")</f>
        <v/>
      </c>
      <c r="M397">
        <f>IMAGE("file:///E:/Estudios%20y%20certificaciones/ESTUDIOS%20DE%20PROGRAMMING/PROGRAMMING/PERSONAL/PYTHON/Image_Generator_API/imagenes/HALIFAX_WOMENS_119005526_BLK_3.jpg")</f>
        <v/>
      </c>
      <c r="O397">
        <f>HYPERLINK("imagenes/HALIFAX_WOMENS_119005526_BLK_1.jpg","Ver imagen")</f>
        <v/>
      </c>
      <c r="P397">
        <f>HYPERLINK("imagenes/HALIFAX_WOMENS_119005526_BLK_3.jpg","Ver imagen")</f>
        <v/>
      </c>
    </row>
    <row r="398">
      <c r="A398" t="inlineStr">
        <is>
          <t>HALIFAX WOMENS</t>
        </is>
      </c>
      <c r="B398" t="inlineStr">
        <is>
          <t>119005526</t>
        </is>
      </c>
      <c r="C398" t="inlineStr">
        <is>
          <t>Quilted Jacket w/ Removable Hooded Bib CBL:25 1/2" (HOUSE</t>
        </is>
      </c>
      <c r="D398" t="inlineStr">
        <is>
          <t>BLK</t>
        </is>
      </c>
      <c r="E398" t="inlineStr">
        <is>
          <t>(en blanco)</t>
        </is>
      </c>
      <c r="F398" t="inlineStr">
        <is>
          <t>D2C</t>
        </is>
      </c>
      <c r="G398" t="inlineStr">
        <is>
          <t>XXL</t>
        </is>
      </c>
      <c r="H398" t="n">
        <v>38</v>
      </c>
      <c r="I398" t="inlineStr">
        <is>
          <t>HALIFAX_WOMENS_119005526_BLK_1.jpg</t>
        </is>
      </c>
      <c r="J398" t="inlineStr">
        <is>
          <t>HALIFAX_WOMENS_119005526_BLK_3.jpg</t>
        </is>
      </c>
      <c r="L398">
        <f>IMAGE("file:///E:/Estudios%20y%20certificaciones/ESTUDIOS%20DE%20PROGRAMMING/PROGRAMMING/PERSONAL/PYTHON/Image_Generator_API/imagenes/HALIFAX_WOMENS_119005526_BLK_1.jpg")</f>
        <v/>
      </c>
      <c r="M398">
        <f>IMAGE("file:///E:/Estudios%20y%20certificaciones/ESTUDIOS%20DE%20PROGRAMMING/PROGRAMMING/PERSONAL/PYTHON/Image_Generator_API/imagenes/HALIFAX_WOMENS_119005526_BLK_3.jpg")</f>
        <v/>
      </c>
      <c r="O398">
        <f>HYPERLINK("imagenes/HALIFAX_WOMENS_119005526_BLK_1.jpg","Ver imagen")</f>
        <v/>
      </c>
      <c r="P398">
        <f>HYPERLINK("imagenes/HALIFAX_WOMENS_119005526_BLK_3.jpg","Ver imagen")</f>
        <v/>
      </c>
    </row>
    <row r="399">
      <c r="A399" t="inlineStr">
        <is>
          <t>HALIFAX WOMENS</t>
        </is>
      </c>
      <c r="B399" t="inlineStr">
        <is>
          <t>119005526</t>
        </is>
      </c>
      <c r="C399" t="inlineStr">
        <is>
          <t>Quilted Jacket w/ Removable Hooded Bib CBL:25 1/2" (HOUSE</t>
        </is>
      </c>
      <c r="D399" t="inlineStr">
        <is>
          <t>BLK</t>
        </is>
      </c>
      <c r="E399" t="inlineStr">
        <is>
          <t>(en blanco)</t>
        </is>
      </c>
      <c r="F399" t="inlineStr">
        <is>
          <t>(en blanco)</t>
        </is>
      </c>
      <c r="G399" t="inlineStr">
        <is>
          <t>S</t>
        </is>
      </c>
      <c r="H399" t="n">
        <v>1</v>
      </c>
      <c r="I399" t="inlineStr">
        <is>
          <t>HALIFAX_WOMENS_119005526_BLK_1.jpg</t>
        </is>
      </c>
      <c r="J399" t="inlineStr">
        <is>
          <t>HALIFAX_WOMENS_119005526_BLK_3.jpg</t>
        </is>
      </c>
      <c r="L399">
        <f>IMAGE("file:///E:/Estudios%20y%20certificaciones/ESTUDIOS%20DE%20PROGRAMMING/PROGRAMMING/PERSONAL/PYTHON/Image_Generator_API/imagenes/HALIFAX_WOMENS_119005526_BLK_1.jpg")</f>
        <v/>
      </c>
      <c r="M399">
        <f>IMAGE("file:///E:/Estudios%20y%20certificaciones/ESTUDIOS%20DE%20PROGRAMMING/PROGRAMMING/PERSONAL/PYTHON/Image_Generator_API/imagenes/HALIFAX_WOMENS_119005526_BLK_3.jpg")</f>
        <v/>
      </c>
      <c r="O399">
        <f>HYPERLINK("imagenes/HALIFAX_WOMENS_119005526_BLK_1.jpg","Ver imagen")</f>
        <v/>
      </c>
      <c r="P399">
        <f>HYPERLINK("imagenes/HALIFAX_WOMENS_119005526_BLK_3.jpg","Ver imagen")</f>
        <v/>
      </c>
    </row>
    <row r="400">
      <c r="A400" t="inlineStr">
        <is>
          <t>HALIFAX WOMENS</t>
        </is>
      </c>
      <c r="B400" t="inlineStr">
        <is>
          <t>119005526</t>
        </is>
      </c>
      <c r="C400" t="inlineStr">
        <is>
          <t>Quilted Jacket w/ Removable Hooded Bib CBL:25 1/2" (HOUSE</t>
        </is>
      </c>
      <c r="D400" t="inlineStr">
        <is>
          <t>BLK</t>
        </is>
      </c>
      <c r="E400" t="inlineStr">
        <is>
          <t>(en blanco)</t>
        </is>
      </c>
      <c r="F400" t="inlineStr">
        <is>
          <t>(en blanco)</t>
        </is>
      </c>
      <c r="G400" t="inlineStr">
        <is>
          <t>M</t>
        </is>
      </c>
      <c r="H400" t="n">
        <v>1</v>
      </c>
      <c r="I400" t="inlineStr">
        <is>
          <t>HALIFAX_WOMENS_119005526_BLK_1.jpg</t>
        </is>
      </c>
      <c r="J400" t="inlineStr">
        <is>
          <t>HALIFAX_WOMENS_119005526_BLK_3.jpg</t>
        </is>
      </c>
      <c r="L400">
        <f>IMAGE("file:///E:/Estudios%20y%20certificaciones/ESTUDIOS%20DE%20PROGRAMMING/PROGRAMMING/PERSONAL/PYTHON/Image_Generator_API/imagenes/HALIFAX_WOMENS_119005526_BLK_1.jpg")</f>
        <v/>
      </c>
      <c r="M400">
        <f>IMAGE("file:///E:/Estudios%20y%20certificaciones/ESTUDIOS%20DE%20PROGRAMMING/PROGRAMMING/PERSONAL/PYTHON/Image_Generator_API/imagenes/HALIFAX_WOMENS_119005526_BLK_3.jpg")</f>
        <v/>
      </c>
      <c r="O400">
        <f>HYPERLINK("imagenes/HALIFAX_WOMENS_119005526_BLK_1.jpg","Ver imagen")</f>
        <v/>
      </c>
      <c r="P400">
        <f>HYPERLINK("imagenes/HALIFAX_WOMENS_119005526_BLK_3.jpg","Ver imagen")</f>
        <v/>
      </c>
    </row>
    <row r="401">
      <c r="A401" t="inlineStr">
        <is>
          <t>HALIFAX WOMENS</t>
        </is>
      </c>
      <c r="B401" t="inlineStr">
        <is>
          <t>119005526</t>
        </is>
      </c>
      <c r="C401" t="inlineStr">
        <is>
          <t>Quilted Jacket w/ Removable Hooded Bib CBL:25 1/2" (HOUSE</t>
        </is>
      </c>
      <c r="D401" t="inlineStr">
        <is>
          <t>BLK</t>
        </is>
      </c>
      <c r="E401" t="inlineStr">
        <is>
          <t>(en blanco)</t>
        </is>
      </c>
      <c r="F401" t="inlineStr">
        <is>
          <t>(en blanco)</t>
        </is>
      </c>
      <c r="G401" t="inlineStr">
        <is>
          <t>L</t>
        </is>
      </c>
      <c r="H401" t="n">
        <v>1</v>
      </c>
      <c r="I401" t="inlineStr">
        <is>
          <t>HALIFAX_WOMENS_119005526_BLK_1.jpg</t>
        </is>
      </c>
      <c r="J401" t="inlineStr">
        <is>
          <t>HALIFAX_WOMENS_119005526_BLK_3.jpg</t>
        </is>
      </c>
      <c r="L401">
        <f>IMAGE("file:///E:/Estudios%20y%20certificaciones/ESTUDIOS%20DE%20PROGRAMMING/PROGRAMMING/PERSONAL/PYTHON/Image_Generator_API/imagenes/HALIFAX_WOMENS_119005526_BLK_1.jpg")</f>
        <v/>
      </c>
      <c r="M401">
        <f>IMAGE("file:///E:/Estudios%20y%20certificaciones/ESTUDIOS%20DE%20PROGRAMMING/PROGRAMMING/PERSONAL/PYTHON/Image_Generator_API/imagenes/HALIFAX_WOMENS_119005526_BLK_3.jpg")</f>
        <v/>
      </c>
      <c r="O401">
        <f>HYPERLINK("imagenes/HALIFAX_WOMENS_119005526_BLK_1.jpg","Ver imagen")</f>
        <v/>
      </c>
      <c r="P401">
        <f>HYPERLINK("imagenes/HALIFAX_WOMENS_119005526_BLK_3.jpg","Ver imagen")</f>
        <v/>
      </c>
    </row>
    <row r="402">
      <c r="A402" t="inlineStr">
        <is>
          <t>HALIFAX WOMENS</t>
        </is>
      </c>
      <c r="B402" t="inlineStr">
        <is>
          <t>119005526</t>
        </is>
      </c>
      <c r="C402" t="inlineStr">
        <is>
          <t>Quilted Jacket w/ Removable Hooded Bib CBL:25 1/2" (HOUSE</t>
        </is>
      </c>
      <c r="D402" t="inlineStr">
        <is>
          <t>MSG</t>
        </is>
      </c>
      <c r="E402" t="inlineStr">
        <is>
          <t>(en blanco)</t>
        </is>
      </c>
      <c r="F402" t="inlineStr">
        <is>
          <t>D2C</t>
        </is>
      </c>
      <c r="G402" t="inlineStr">
        <is>
          <t>S</t>
        </is>
      </c>
      <c r="H402" t="n">
        <v>15</v>
      </c>
      <c r="I402" t="inlineStr">
        <is>
          <t>HALIFAX_WOMENS_119005526_MSG_1.jpg</t>
        </is>
      </c>
      <c r="J402" t="inlineStr">
        <is>
          <t>HALIFAX_WOMENS_119005526_MSG_2.jpg</t>
        </is>
      </c>
      <c r="K402" t="inlineStr">
        <is>
          <t>HALIFAX_WOMENS_119005526_MSG_3.jpg</t>
        </is>
      </c>
      <c r="L402">
        <f>IMAGE("file:///E:/Estudios%20y%20certificaciones/ESTUDIOS%20DE%20PROGRAMMING/PROGRAMMING/PERSONAL/PYTHON/Image_Generator_API/imagenes/HALIFAX_WOMENS_119005526_MSG_1.jpg")</f>
        <v/>
      </c>
      <c r="M402">
        <f>IMAGE("file:///E:/Estudios%20y%20certificaciones/ESTUDIOS%20DE%20PROGRAMMING/PROGRAMMING/PERSONAL/PYTHON/Image_Generator_API/imagenes/HALIFAX_WOMENS_119005526_MSG_2.jpg")</f>
        <v/>
      </c>
      <c r="N402">
        <f>IMAGE("file:///E:/Estudios%20y%20certificaciones/ESTUDIOS%20DE%20PROGRAMMING/PROGRAMMING/PERSONAL/PYTHON/Image_Generator_API/imagenes/HALIFAX_WOMENS_119005526_MSG_3.jpg")</f>
        <v/>
      </c>
      <c r="O402">
        <f>HYPERLINK("imagenes/HALIFAX_WOMENS_119005526_MSG_1.jpg","Ver imagen")</f>
        <v/>
      </c>
      <c r="P402">
        <f>HYPERLINK("imagenes/HALIFAX_WOMENS_119005526_MSG_2.jpg","Ver imagen")</f>
        <v/>
      </c>
      <c r="Q402">
        <f>HYPERLINK("imagenes/HALIFAX_WOMENS_119005526_MSG_3.jpg","Ver imagen")</f>
        <v/>
      </c>
    </row>
    <row r="403">
      <c r="A403" t="inlineStr">
        <is>
          <t>HALIFAX WOMENS</t>
        </is>
      </c>
      <c r="B403" t="inlineStr">
        <is>
          <t>119005526</t>
        </is>
      </c>
      <c r="C403" t="inlineStr">
        <is>
          <t>Quilted Jacket w/ Removable Hooded Bib CBL:25 1/2" (HOUSE</t>
        </is>
      </c>
      <c r="D403" t="inlineStr">
        <is>
          <t>MSG</t>
        </is>
      </c>
      <c r="E403" t="inlineStr">
        <is>
          <t>(en blanco)</t>
        </is>
      </c>
      <c r="F403" t="inlineStr">
        <is>
          <t>D2C</t>
        </is>
      </c>
      <c r="G403" t="inlineStr">
        <is>
          <t>M</t>
        </is>
      </c>
      <c r="H403" t="n">
        <v>31</v>
      </c>
      <c r="I403" t="inlineStr">
        <is>
          <t>HALIFAX_WOMENS_119005526_MSG_1.jpg</t>
        </is>
      </c>
      <c r="J403" t="inlineStr">
        <is>
          <t>HALIFAX_WOMENS_119005526_MSG_2.jpg</t>
        </is>
      </c>
      <c r="K403" t="inlineStr">
        <is>
          <t>HALIFAX_WOMENS_119005526_MSG_3.jpg</t>
        </is>
      </c>
      <c r="L403">
        <f>IMAGE("file:///E:/Estudios%20y%20certificaciones/ESTUDIOS%20DE%20PROGRAMMING/PROGRAMMING/PERSONAL/PYTHON/Image_Generator_API/imagenes/HALIFAX_WOMENS_119005526_MSG_1.jpg")</f>
        <v/>
      </c>
      <c r="M403">
        <f>IMAGE("file:///E:/Estudios%20y%20certificaciones/ESTUDIOS%20DE%20PROGRAMMING/PROGRAMMING/PERSONAL/PYTHON/Image_Generator_API/imagenes/HALIFAX_WOMENS_119005526_MSG_2.jpg")</f>
        <v/>
      </c>
      <c r="N403">
        <f>IMAGE("file:///E:/Estudios%20y%20certificaciones/ESTUDIOS%20DE%20PROGRAMMING/PROGRAMMING/PERSONAL/PYTHON/Image_Generator_API/imagenes/HALIFAX_WOMENS_119005526_MSG_3.jpg")</f>
        <v/>
      </c>
      <c r="O403">
        <f>HYPERLINK("imagenes/HALIFAX_WOMENS_119005526_MSG_1.jpg","Ver imagen")</f>
        <v/>
      </c>
      <c r="P403">
        <f>HYPERLINK("imagenes/HALIFAX_WOMENS_119005526_MSG_2.jpg","Ver imagen")</f>
        <v/>
      </c>
      <c r="Q403">
        <f>HYPERLINK("imagenes/HALIFAX_WOMENS_119005526_MSG_3.jpg","Ver imagen")</f>
        <v/>
      </c>
    </row>
    <row r="404">
      <c r="A404" t="inlineStr">
        <is>
          <t>HALIFAX WOMENS</t>
        </is>
      </c>
      <c r="B404" t="inlineStr">
        <is>
          <t>119005526</t>
        </is>
      </c>
      <c r="C404" t="inlineStr">
        <is>
          <t>Quilted Jacket w/ Removable Hooded Bib CBL:25 1/2" (HOUSE</t>
        </is>
      </c>
      <c r="D404" t="inlineStr">
        <is>
          <t>MSG</t>
        </is>
      </c>
      <c r="E404" t="inlineStr">
        <is>
          <t>(en blanco)</t>
        </is>
      </c>
      <c r="F404" t="inlineStr">
        <is>
          <t>D2C</t>
        </is>
      </c>
      <c r="G404" t="inlineStr">
        <is>
          <t>L</t>
        </is>
      </c>
      <c r="H404" t="n">
        <v>28</v>
      </c>
      <c r="I404" t="inlineStr">
        <is>
          <t>HALIFAX_WOMENS_119005526_MSG_1.jpg</t>
        </is>
      </c>
      <c r="J404" t="inlineStr">
        <is>
          <t>HALIFAX_WOMENS_119005526_MSG_2.jpg</t>
        </is>
      </c>
      <c r="K404" t="inlineStr">
        <is>
          <t>HALIFAX_WOMENS_119005526_MSG_3.jpg</t>
        </is>
      </c>
      <c r="L404">
        <f>IMAGE("file:///E:/Estudios%20y%20certificaciones/ESTUDIOS%20DE%20PROGRAMMING/PROGRAMMING/PERSONAL/PYTHON/Image_Generator_API/imagenes/HALIFAX_WOMENS_119005526_MSG_1.jpg")</f>
        <v/>
      </c>
      <c r="M404">
        <f>IMAGE("file:///E:/Estudios%20y%20certificaciones/ESTUDIOS%20DE%20PROGRAMMING/PROGRAMMING/PERSONAL/PYTHON/Image_Generator_API/imagenes/HALIFAX_WOMENS_119005526_MSG_2.jpg")</f>
        <v/>
      </c>
      <c r="N404">
        <f>IMAGE("file:///E:/Estudios%20y%20certificaciones/ESTUDIOS%20DE%20PROGRAMMING/PROGRAMMING/PERSONAL/PYTHON/Image_Generator_API/imagenes/HALIFAX_WOMENS_119005526_MSG_3.jpg")</f>
        <v/>
      </c>
      <c r="O404">
        <f>HYPERLINK("imagenes/HALIFAX_WOMENS_119005526_MSG_1.jpg","Ver imagen")</f>
        <v/>
      </c>
      <c r="P404">
        <f>HYPERLINK("imagenes/HALIFAX_WOMENS_119005526_MSG_2.jpg","Ver imagen")</f>
        <v/>
      </c>
      <c r="Q404">
        <f>HYPERLINK("imagenes/HALIFAX_WOMENS_119005526_MSG_3.jpg","Ver imagen")</f>
        <v/>
      </c>
    </row>
    <row r="405">
      <c r="A405" t="inlineStr">
        <is>
          <t>HALIFAX WOMENS</t>
        </is>
      </c>
      <c r="B405" t="inlineStr">
        <is>
          <t>119005526</t>
        </is>
      </c>
      <c r="C405" t="inlineStr">
        <is>
          <t>Quilted Jacket w/ Removable Hooded Bib CBL:25 1/2" (HOUSE</t>
        </is>
      </c>
      <c r="D405" t="inlineStr">
        <is>
          <t>MSG</t>
        </is>
      </c>
      <c r="E405" t="inlineStr">
        <is>
          <t>(en blanco)</t>
        </is>
      </c>
      <c r="F405" t="inlineStr">
        <is>
          <t>D2C</t>
        </is>
      </c>
      <c r="G405" t="inlineStr">
        <is>
          <t>XL</t>
        </is>
      </c>
      <c r="H405" t="n">
        <v>31</v>
      </c>
      <c r="I405" t="inlineStr">
        <is>
          <t>HALIFAX_WOMENS_119005526_MSG_1.jpg</t>
        </is>
      </c>
      <c r="J405" t="inlineStr">
        <is>
          <t>HALIFAX_WOMENS_119005526_MSG_2.jpg</t>
        </is>
      </c>
      <c r="K405" t="inlineStr">
        <is>
          <t>HALIFAX_WOMENS_119005526_MSG_3.jpg</t>
        </is>
      </c>
      <c r="L405">
        <f>IMAGE("file:///E:/Estudios%20y%20certificaciones/ESTUDIOS%20DE%20PROGRAMMING/PROGRAMMING/PERSONAL/PYTHON/Image_Generator_API/imagenes/HALIFAX_WOMENS_119005526_MSG_1.jpg")</f>
        <v/>
      </c>
      <c r="M405">
        <f>IMAGE("file:///E:/Estudios%20y%20certificaciones/ESTUDIOS%20DE%20PROGRAMMING/PROGRAMMING/PERSONAL/PYTHON/Image_Generator_API/imagenes/HALIFAX_WOMENS_119005526_MSG_2.jpg")</f>
        <v/>
      </c>
      <c r="N405">
        <f>IMAGE("file:///E:/Estudios%20y%20certificaciones/ESTUDIOS%20DE%20PROGRAMMING/PROGRAMMING/PERSONAL/PYTHON/Image_Generator_API/imagenes/HALIFAX_WOMENS_119005526_MSG_3.jpg")</f>
        <v/>
      </c>
      <c r="O405">
        <f>HYPERLINK("imagenes/HALIFAX_WOMENS_119005526_MSG_1.jpg","Ver imagen")</f>
        <v/>
      </c>
      <c r="P405">
        <f>HYPERLINK("imagenes/HALIFAX_WOMENS_119005526_MSG_2.jpg","Ver imagen")</f>
        <v/>
      </c>
      <c r="Q405">
        <f>HYPERLINK("imagenes/HALIFAX_WOMENS_119005526_MSG_3.jpg","Ver imagen")</f>
        <v/>
      </c>
    </row>
    <row r="406">
      <c r="A406" t="inlineStr">
        <is>
          <t>HALIFAX WOMENS</t>
        </is>
      </c>
      <c r="B406" t="inlineStr">
        <is>
          <t>119005526</t>
        </is>
      </c>
      <c r="C406" t="inlineStr">
        <is>
          <t>Quilted Jacket w/ Removable Hooded Bib CBL:25 1/2" (HOUSE</t>
        </is>
      </c>
      <c r="D406" t="inlineStr">
        <is>
          <t>MSG</t>
        </is>
      </c>
      <c r="E406" t="inlineStr">
        <is>
          <t>(en blanco)</t>
        </is>
      </c>
      <c r="F406" t="inlineStr">
        <is>
          <t>D2C</t>
        </is>
      </c>
      <c r="G406" t="inlineStr">
        <is>
          <t>XXL</t>
        </is>
      </c>
      <c r="H406" t="n">
        <v>13</v>
      </c>
      <c r="I406" t="inlineStr">
        <is>
          <t>HALIFAX_WOMENS_119005526_MSG_1.jpg</t>
        </is>
      </c>
      <c r="J406" t="inlineStr">
        <is>
          <t>HALIFAX_WOMENS_119005526_MSG_2.jpg</t>
        </is>
      </c>
      <c r="K406" t="inlineStr">
        <is>
          <t>HALIFAX_WOMENS_119005526_MSG_3.jpg</t>
        </is>
      </c>
      <c r="L406">
        <f>IMAGE("file:///E:/Estudios%20y%20certificaciones/ESTUDIOS%20DE%20PROGRAMMING/PROGRAMMING/PERSONAL/PYTHON/Image_Generator_API/imagenes/HALIFAX_WOMENS_119005526_MSG_1.jpg")</f>
        <v/>
      </c>
      <c r="M406">
        <f>IMAGE("file:///E:/Estudios%20y%20certificaciones/ESTUDIOS%20DE%20PROGRAMMING/PROGRAMMING/PERSONAL/PYTHON/Image_Generator_API/imagenes/HALIFAX_WOMENS_119005526_MSG_2.jpg")</f>
        <v/>
      </c>
      <c r="N406">
        <f>IMAGE("file:///E:/Estudios%20y%20certificaciones/ESTUDIOS%20DE%20PROGRAMMING/PROGRAMMING/PERSONAL/PYTHON/Image_Generator_API/imagenes/HALIFAX_WOMENS_119005526_MSG_3.jpg")</f>
        <v/>
      </c>
      <c r="O406">
        <f>HYPERLINK("imagenes/HALIFAX_WOMENS_119005526_MSG_1.jpg","Ver imagen")</f>
        <v/>
      </c>
      <c r="P406">
        <f>HYPERLINK("imagenes/HALIFAX_WOMENS_119005526_MSG_2.jpg","Ver imagen")</f>
        <v/>
      </c>
      <c r="Q406">
        <f>HYPERLINK("imagenes/HALIFAX_WOMENS_119005526_MSG_3.jpg","Ver imagen")</f>
        <v/>
      </c>
    </row>
    <row r="407">
      <c r="A407" t="inlineStr">
        <is>
          <t>HALIFAX WOMENS</t>
        </is>
      </c>
      <c r="B407" t="inlineStr">
        <is>
          <t>119005526</t>
        </is>
      </c>
      <c r="C407" t="inlineStr">
        <is>
          <t>Quilted Jacket w/ Removable Hooded Bib CBL:25 1/2" (HOUSE</t>
        </is>
      </c>
      <c r="D407" t="inlineStr">
        <is>
          <t>MSG</t>
        </is>
      </c>
      <c r="E407" t="inlineStr">
        <is>
          <t>(en blanco)</t>
        </is>
      </c>
      <c r="F407" t="inlineStr">
        <is>
          <t>(en blanco)</t>
        </is>
      </c>
      <c r="G407" t="inlineStr">
        <is>
          <t>S</t>
        </is>
      </c>
      <c r="H407" t="n">
        <v>1</v>
      </c>
      <c r="I407" t="inlineStr">
        <is>
          <t>HALIFAX_WOMENS_119005526_MSG_1.jpg</t>
        </is>
      </c>
      <c r="J407" t="inlineStr">
        <is>
          <t>HALIFAX_WOMENS_119005526_MSG_2.jpg</t>
        </is>
      </c>
      <c r="K407" t="inlineStr">
        <is>
          <t>HALIFAX_WOMENS_119005526_MSG_3.jpg</t>
        </is>
      </c>
      <c r="L407">
        <f>IMAGE("file:///E:/Estudios%20y%20certificaciones/ESTUDIOS%20DE%20PROGRAMMING/PROGRAMMING/PERSONAL/PYTHON/Image_Generator_API/imagenes/HALIFAX_WOMENS_119005526_MSG_1.jpg")</f>
        <v/>
      </c>
      <c r="M407">
        <f>IMAGE("file:///E:/Estudios%20y%20certificaciones/ESTUDIOS%20DE%20PROGRAMMING/PROGRAMMING/PERSONAL/PYTHON/Image_Generator_API/imagenes/HALIFAX_WOMENS_119005526_MSG_2.jpg")</f>
        <v/>
      </c>
      <c r="N407">
        <f>IMAGE("file:///E:/Estudios%20y%20certificaciones/ESTUDIOS%20DE%20PROGRAMMING/PROGRAMMING/PERSONAL/PYTHON/Image_Generator_API/imagenes/HALIFAX_WOMENS_119005526_MSG_3.jpg")</f>
        <v/>
      </c>
      <c r="O407">
        <f>HYPERLINK("imagenes/HALIFAX_WOMENS_119005526_MSG_1.jpg","Ver imagen")</f>
        <v/>
      </c>
      <c r="P407">
        <f>HYPERLINK("imagenes/HALIFAX_WOMENS_119005526_MSG_2.jpg","Ver imagen")</f>
        <v/>
      </c>
      <c r="Q407">
        <f>HYPERLINK("imagenes/HALIFAX_WOMENS_119005526_MSG_3.jpg","Ver imagen")</f>
        <v/>
      </c>
    </row>
    <row r="408">
      <c r="A408" t="inlineStr">
        <is>
          <t>HALIFAX WOMENS</t>
        </is>
      </c>
      <c r="B408" t="inlineStr">
        <is>
          <t>119005526</t>
        </is>
      </c>
      <c r="C408" t="inlineStr">
        <is>
          <t>Quilted Jacket w/ Removable Hooded Bib CBL:25 1/2" (HOUSE</t>
        </is>
      </c>
      <c r="D408" t="inlineStr">
        <is>
          <t>MSG</t>
        </is>
      </c>
      <c r="E408" t="inlineStr">
        <is>
          <t>(en blanco)</t>
        </is>
      </c>
      <c r="F408" t="inlineStr">
        <is>
          <t>(en blanco)</t>
        </is>
      </c>
      <c r="G408" t="inlineStr">
        <is>
          <t>L</t>
        </is>
      </c>
      <c r="H408" t="n">
        <v>1</v>
      </c>
      <c r="I408" t="inlineStr">
        <is>
          <t>HALIFAX_WOMENS_119005526_MSG_1.jpg</t>
        </is>
      </c>
      <c r="J408" t="inlineStr">
        <is>
          <t>HALIFAX_WOMENS_119005526_MSG_2.jpg</t>
        </is>
      </c>
      <c r="K408" t="inlineStr">
        <is>
          <t>HALIFAX_WOMENS_119005526_MSG_3.jpg</t>
        </is>
      </c>
      <c r="L408">
        <f>IMAGE("file:///E:/Estudios%20y%20certificaciones/ESTUDIOS%20DE%20PROGRAMMING/PROGRAMMING/PERSONAL/PYTHON/Image_Generator_API/imagenes/HALIFAX_WOMENS_119005526_MSG_1.jpg")</f>
        <v/>
      </c>
      <c r="M408">
        <f>IMAGE("file:///E:/Estudios%20y%20certificaciones/ESTUDIOS%20DE%20PROGRAMMING/PROGRAMMING/PERSONAL/PYTHON/Image_Generator_API/imagenes/HALIFAX_WOMENS_119005526_MSG_2.jpg")</f>
        <v/>
      </c>
      <c r="N408">
        <f>IMAGE("file:///E:/Estudios%20y%20certificaciones/ESTUDIOS%20DE%20PROGRAMMING/PROGRAMMING/PERSONAL/PYTHON/Image_Generator_API/imagenes/HALIFAX_WOMENS_119005526_MSG_3.jpg")</f>
        <v/>
      </c>
      <c r="O408">
        <f>HYPERLINK("imagenes/HALIFAX_WOMENS_119005526_MSG_1.jpg","Ver imagen")</f>
        <v/>
      </c>
      <c r="P408">
        <f>HYPERLINK("imagenes/HALIFAX_WOMENS_119005526_MSG_2.jpg","Ver imagen")</f>
        <v/>
      </c>
      <c r="Q408">
        <f>HYPERLINK("imagenes/HALIFAX_WOMENS_119005526_MSG_3.jpg","Ver imagen")</f>
        <v/>
      </c>
    </row>
    <row r="409">
      <c r="A409" t="inlineStr">
        <is>
          <t>HALIFAX WOMENS</t>
        </is>
      </c>
      <c r="B409" t="inlineStr">
        <is>
          <t>119005585</t>
        </is>
      </c>
      <c r="C409" t="inlineStr">
        <is>
          <t>Softshell b/t Mellowpile Jkt w/ side flange.</t>
        </is>
      </c>
      <c r="D409" t="inlineStr">
        <is>
          <t>B24</t>
        </is>
      </c>
      <c r="E409" t="inlineStr">
        <is>
          <t>06A01</t>
        </is>
      </c>
      <c r="F409" t="inlineStr">
        <is>
          <t>R2140</t>
        </is>
      </c>
      <c r="G409" t="inlineStr">
        <is>
          <t>PPK</t>
        </is>
      </c>
      <c r="H409" t="n">
        <v>0</v>
      </c>
      <c r="I409" t="inlineStr">
        <is>
          <t>HALIFAX_WOMENS_119005585_B24_1.jpg</t>
        </is>
      </c>
      <c r="J409" t="inlineStr">
        <is>
          <t>HALIFAX_WOMENS_119005585_B24_2.jpg</t>
        </is>
      </c>
      <c r="K409" t="inlineStr">
        <is>
          <t>HALIFAX_WOMENS_119005585_B24_3.jpg</t>
        </is>
      </c>
      <c r="L409">
        <f>IMAGE("file:///E:/Estudios%20y%20certificaciones/ESTUDIOS%20DE%20PROGRAMMING/PROGRAMMING/PERSONAL/PYTHON/Image_Generator_API/imagenes/HALIFAX_WOMENS_119005585_B24_1.jpg")</f>
        <v/>
      </c>
      <c r="M409">
        <f>IMAGE("file:///E:/Estudios%20y%20certificaciones/ESTUDIOS%20DE%20PROGRAMMING/PROGRAMMING/PERSONAL/PYTHON/Image_Generator_API/imagenes/HALIFAX_WOMENS_119005585_B24_2.jpg")</f>
        <v/>
      </c>
      <c r="N409">
        <f>IMAGE("file:///E:/Estudios%20y%20certificaciones/ESTUDIOS%20DE%20PROGRAMMING/PROGRAMMING/PERSONAL/PYTHON/Image_Generator_API/imagenes/HALIFAX_WOMENS_119005585_B24_3.jpg")</f>
        <v/>
      </c>
      <c r="O409">
        <f>HYPERLINK("imagenes/HALIFAX_WOMENS_119005585_B24_1.jpg","Ver imagen")</f>
        <v/>
      </c>
      <c r="P409">
        <f>HYPERLINK("imagenes/HALIFAX_WOMENS_119005585_B24_2.jpg","Ver imagen")</f>
        <v/>
      </c>
      <c r="Q409">
        <f>HYPERLINK("imagenes/HALIFAX_WOMENS_119005585_B24_3.jpg","Ver imagen")</f>
        <v/>
      </c>
    </row>
    <row r="410">
      <c r="A410" t="inlineStr">
        <is>
          <t>HALIFAX WOMENS</t>
        </is>
      </c>
      <c r="B410" t="inlineStr">
        <is>
          <t>119005585</t>
        </is>
      </c>
      <c r="C410" t="inlineStr">
        <is>
          <t>Softshell b/t Mellowpile Jkt w/ side flange.</t>
        </is>
      </c>
      <c r="D410" t="inlineStr">
        <is>
          <t>B24</t>
        </is>
      </c>
      <c r="E410" t="inlineStr">
        <is>
          <t>(en blanco)</t>
        </is>
      </c>
      <c r="F410" t="inlineStr">
        <is>
          <t>D2C</t>
        </is>
      </c>
      <c r="G410" t="inlineStr">
        <is>
          <t>S</t>
        </is>
      </c>
      <c r="H410" t="n">
        <v>8</v>
      </c>
      <c r="I410" t="inlineStr">
        <is>
          <t>HALIFAX_WOMENS_119005585_B24_1.jpg</t>
        </is>
      </c>
      <c r="J410" t="inlineStr">
        <is>
          <t>HALIFAX_WOMENS_119005585_B24_2.jpg</t>
        </is>
      </c>
      <c r="K410" t="inlineStr">
        <is>
          <t>HALIFAX_WOMENS_119005585_B24_3.jpg</t>
        </is>
      </c>
      <c r="L410">
        <f>IMAGE("file:///E:/Estudios%20y%20certificaciones/ESTUDIOS%20DE%20PROGRAMMING/PROGRAMMING/PERSONAL/PYTHON/Image_Generator_API/imagenes/HALIFAX_WOMENS_119005585_B24_1.jpg")</f>
        <v/>
      </c>
      <c r="M410">
        <f>IMAGE("file:///E:/Estudios%20y%20certificaciones/ESTUDIOS%20DE%20PROGRAMMING/PROGRAMMING/PERSONAL/PYTHON/Image_Generator_API/imagenes/HALIFAX_WOMENS_119005585_B24_2.jpg")</f>
        <v/>
      </c>
      <c r="N410">
        <f>IMAGE("file:///E:/Estudios%20y%20certificaciones/ESTUDIOS%20DE%20PROGRAMMING/PROGRAMMING/PERSONAL/PYTHON/Image_Generator_API/imagenes/HALIFAX_WOMENS_119005585_B24_3.jpg")</f>
        <v/>
      </c>
      <c r="O410">
        <f>HYPERLINK("imagenes/HALIFAX_WOMENS_119005585_B24_1.jpg","Ver imagen")</f>
        <v/>
      </c>
      <c r="P410">
        <f>HYPERLINK("imagenes/HALIFAX_WOMENS_119005585_B24_2.jpg","Ver imagen")</f>
        <v/>
      </c>
      <c r="Q410">
        <f>HYPERLINK("imagenes/HALIFAX_WOMENS_119005585_B24_3.jpg","Ver imagen")</f>
        <v/>
      </c>
    </row>
    <row r="411">
      <c r="A411" t="inlineStr">
        <is>
          <t>HALIFAX WOMENS</t>
        </is>
      </c>
      <c r="B411" t="inlineStr">
        <is>
          <t>119005585</t>
        </is>
      </c>
      <c r="C411" t="inlineStr">
        <is>
          <t>Softshell b/t Mellowpile Jkt w/ side flange.</t>
        </is>
      </c>
      <c r="D411" t="inlineStr">
        <is>
          <t>B24</t>
        </is>
      </c>
      <c r="E411" t="inlineStr">
        <is>
          <t>(en blanco)</t>
        </is>
      </c>
      <c r="F411" t="inlineStr">
        <is>
          <t>D2C</t>
        </is>
      </c>
      <c r="G411" t="inlineStr">
        <is>
          <t>M</t>
        </is>
      </c>
      <c r="H411" t="n">
        <v>14</v>
      </c>
      <c r="I411" t="inlineStr">
        <is>
          <t>HALIFAX_WOMENS_119005585_B24_1.jpg</t>
        </is>
      </c>
      <c r="J411" t="inlineStr">
        <is>
          <t>HALIFAX_WOMENS_119005585_B24_2.jpg</t>
        </is>
      </c>
      <c r="K411" t="inlineStr">
        <is>
          <t>HALIFAX_WOMENS_119005585_B24_3.jpg</t>
        </is>
      </c>
      <c r="L411">
        <f>IMAGE("file:///E:/Estudios%20y%20certificaciones/ESTUDIOS%20DE%20PROGRAMMING/PROGRAMMING/PERSONAL/PYTHON/Image_Generator_API/imagenes/HALIFAX_WOMENS_119005585_B24_1.jpg")</f>
        <v/>
      </c>
      <c r="M411">
        <f>IMAGE("file:///E:/Estudios%20y%20certificaciones/ESTUDIOS%20DE%20PROGRAMMING/PROGRAMMING/PERSONAL/PYTHON/Image_Generator_API/imagenes/HALIFAX_WOMENS_119005585_B24_2.jpg")</f>
        <v/>
      </c>
      <c r="N411">
        <f>IMAGE("file:///E:/Estudios%20y%20certificaciones/ESTUDIOS%20DE%20PROGRAMMING/PROGRAMMING/PERSONAL/PYTHON/Image_Generator_API/imagenes/HALIFAX_WOMENS_119005585_B24_3.jpg")</f>
        <v/>
      </c>
      <c r="O411">
        <f>HYPERLINK("imagenes/HALIFAX_WOMENS_119005585_B24_1.jpg","Ver imagen")</f>
        <v/>
      </c>
      <c r="P411">
        <f>HYPERLINK("imagenes/HALIFAX_WOMENS_119005585_B24_2.jpg","Ver imagen")</f>
        <v/>
      </c>
      <c r="Q411">
        <f>HYPERLINK("imagenes/HALIFAX_WOMENS_119005585_B24_3.jpg","Ver imagen")</f>
        <v/>
      </c>
    </row>
    <row r="412">
      <c r="A412" t="inlineStr">
        <is>
          <t>HALIFAX WOMENS</t>
        </is>
      </c>
      <c r="B412" t="inlineStr">
        <is>
          <t>119005585</t>
        </is>
      </c>
      <c r="C412" t="inlineStr">
        <is>
          <t>Softshell b/t Mellowpile Jkt w/ side flange.</t>
        </is>
      </c>
      <c r="D412" t="inlineStr">
        <is>
          <t>B24</t>
        </is>
      </c>
      <c r="E412" t="inlineStr">
        <is>
          <t>(en blanco)</t>
        </is>
      </c>
      <c r="F412" t="inlineStr">
        <is>
          <t>D2C</t>
        </is>
      </c>
      <c r="G412" t="inlineStr">
        <is>
          <t>L</t>
        </is>
      </c>
      <c r="H412" t="n">
        <v>13</v>
      </c>
      <c r="I412" t="inlineStr">
        <is>
          <t>HALIFAX_WOMENS_119005585_B24_1.jpg</t>
        </is>
      </c>
      <c r="J412" t="inlineStr">
        <is>
          <t>HALIFAX_WOMENS_119005585_B24_2.jpg</t>
        </is>
      </c>
      <c r="K412" t="inlineStr">
        <is>
          <t>HALIFAX_WOMENS_119005585_B24_3.jpg</t>
        </is>
      </c>
      <c r="L412">
        <f>IMAGE("file:///E:/Estudios%20y%20certificaciones/ESTUDIOS%20DE%20PROGRAMMING/PROGRAMMING/PERSONAL/PYTHON/Image_Generator_API/imagenes/HALIFAX_WOMENS_119005585_B24_1.jpg")</f>
        <v/>
      </c>
      <c r="M412">
        <f>IMAGE("file:///E:/Estudios%20y%20certificaciones/ESTUDIOS%20DE%20PROGRAMMING/PROGRAMMING/PERSONAL/PYTHON/Image_Generator_API/imagenes/HALIFAX_WOMENS_119005585_B24_2.jpg")</f>
        <v/>
      </c>
      <c r="N412">
        <f>IMAGE("file:///E:/Estudios%20y%20certificaciones/ESTUDIOS%20DE%20PROGRAMMING/PROGRAMMING/PERSONAL/PYTHON/Image_Generator_API/imagenes/HALIFAX_WOMENS_119005585_B24_3.jpg")</f>
        <v/>
      </c>
      <c r="O412">
        <f>HYPERLINK("imagenes/HALIFAX_WOMENS_119005585_B24_1.jpg","Ver imagen")</f>
        <v/>
      </c>
      <c r="P412">
        <f>HYPERLINK("imagenes/HALIFAX_WOMENS_119005585_B24_2.jpg","Ver imagen")</f>
        <v/>
      </c>
      <c r="Q412">
        <f>HYPERLINK("imagenes/HALIFAX_WOMENS_119005585_B24_3.jpg","Ver imagen")</f>
        <v/>
      </c>
    </row>
    <row r="413">
      <c r="A413" t="inlineStr">
        <is>
          <t>HALIFAX WOMENS</t>
        </is>
      </c>
      <c r="B413" t="inlineStr">
        <is>
          <t>119005585</t>
        </is>
      </c>
      <c r="C413" t="inlineStr">
        <is>
          <t>Softshell b/t Mellowpile Jkt w/ side flange.</t>
        </is>
      </c>
      <c r="D413" t="inlineStr">
        <is>
          <t>B24</t>
        </is>
      </c>
      <c r="E413" t="inlineStr">
        <is>
          <t>(en blanco)</t>
        </is>
      </c>
      <c r="F413" t="inlineStr">
        <is>
          <t>D2C</t>
        </is>
      </c>
      <c r="G413" t="inlineStr">
        <is>
          <t>XL</t>
        </is>
      </c>
      <c r="H413" t="n">
        <v>12</v>
      </c>
      <c r="I413" t="inlineStr">
        <is>
          <t>HALIFAX_WOMENS_119005585_B24_1.jpg</t>
        </is>
      </c>
      <c r="J413" t="inlineStr">
        <is>
          <t>HALIFAX_WOMENS_119005585_B24_2.jpg</t>
        </is>
      </c>
      <c r="K413" t="inlineStr">
        <is>
          <t>HALIFAX_WOMENS_119005585_B24_3.jpg</t>
        </is>
      </c>
      <c r="L413">
        <f>IMAGE("file:///E:/Estudios%20y%20certificaciones/ESTUDIOS%20DE%20PROGRAMMING/PROGRAMMING/PERSONAL/PYTHON/Image_Generator_API/imagenes/HALIFAX_WOMENS_119005585_B24_1.jpg")</f>
        <v/>
      </c>
      <c r="M413">
        <f>IMAGE("file:///E:/Estudios%20y%20certificaciones/ESTUDIOS%20DE%20PROGRAMMING/PROGRAMMING/PERSONAL/PYTHON/Image_Generator_API/imagenes/HALIFAX_WOMENS_119005585_B24_2.jpg")</f>
        <v/>
      </c>
      <c r="N413">
        <f>IMAGE("file:///E:/Estudios%20y%20certificaciones/ESTUDIOS%20DE%20PROGRAMMING/PROGRAMMING/PERSONAL/PYTHON/Image_Generator_API/imagenes/HALIFAX_WOMENS_119005585_B24_3.jpg")</f>
        <v/>
      </c>
      <c r="O413">
        <f>HYPERLINK("imagenes/HALIFAX_WOMENS_119005585_B24_1.jpg","Ver imagen")</f>
        <v/>
      </c>
      <c r="P413">
        <f>HYPERLINK("imagenes/HALIFAX_WOMENS_119005585_B24_2.jpg","Ver imagen")</f>
        <v/>
      </c>
      <c r="Q413">
        <f>HYPERLINK("imagenes/HALIFAX_WOMENS_119005585_B24_3.jpg","Ver imagen")</f>
        <v/>
      </c>
    </row>
    <row r="414">
      <c r="A414" t="inlineStr">
        <is>
          <t>HALIFAX WOMENS</t>
        </is>
      </c>
      <c r="B414" t="inlineStr">
        <is>
          <t>119005585</t>
        </is>
      </c>
      <c r="C414" t="inlineStr">
        <is>
          <t>Softshell b/t Mellowpile Jkt w/ side flange.</t>
        </is>
      </c>
      <c r="D414" t="inlineStr">
        <is>
          <t>B24</t>
        </is>
      </c>
      <c r="E414" t="inlineStr">
        <is>
          <t>(en blanco)</t>
        </is>
      </c>
      <c r="F414" t="inlineStr">
        <is>
          <t>(en blanco)</t>
        </is>
      </c>
      <c r="G414" t="inlineStr">
        <is>
          <t>XXL</t>
        </is>
      </c>
      <c r="H414" t="n">
        <v>8</v>
      </c>
      <c r="I414" t="inlineStr">
        <is>
          <t>HALIFAX_WOMENS_119005585_B24_1.jpg</t>
        </is>
      </c>
      <c r="J414" t="inlineStr">
        <is>
          <t>HALIFAX_WOMENS_119005585_B24_2.jpg</t>
        </is>
      </c>
      <c r="K414" t="inlineStr">
        <is>
          <t>HALIFAX_WOMENS_119005585_B24_3.jpg</t>
        </is>
      </c>
      <c r="L414">
        <f>IMAGE("file:///E:/Estudios%20y%20certificaciones/ESTUDIOS%20DE%20PROGRAMMING/PROGRAMMING/PERSONAL/PYTHON/Image_Generator_API/imagenes/HALIFAX_WOMENS_119005585_B24_1.jpg")</f>
        <v/>
      </c>
      <c r="M414">
        <f>IMAGE("file:///E:/Estudios%20y%20certificaciones/ESTUDIOS%20DE%20PROGRAMMING/PROGRAMMING/PERSONAL/PYTHON/Image_Generator_API/imagenes/HALIFAX_WOMENS_119005585_B24_2.jpg")</f>
        <v/>
      </c>
      <c r="N414">
        <f>IMAGE("file:///E:/Estudios%20y%20certificaciones/ESTUDIOS%20DE%20PROGRAMMING/PROGRAMMING/PERSONAL/PYTHON/Image_Generator_API/imagenes/HALIFAX_WOMENS_119005585_B24_3.jpg")</f>
        <v/>
      </c>
      <c r="O414">
        <f>HYPERLINK("imagenes/HALIFAX_WOMENS_119005585_B24_1.jpg","Ver imagen")</f>
        <v/>
      </c>
      <c r="P414">
        <f>HYPERLINK("imagenes/HALIFAX_WOMENS_119005585_B24_2.jpg","Ver imagen")</f>
        <v/>
      </c>
      <c r="Q414">
        <f>HYPERLINK("imagenes/HALIFAX_WOMENS_119005585_B24_3.jpg","Ver imagen")</f>
        <v/>
      </c>
    </row>
    <row r="415">
      <c r="A415" t="inlineStr">
        <is>
          <t>HALIFAX WOMENS</t>
        </is>
      </c>
      <c r="B415" t="inlineStr">
        <is>
          <t>119005585</t>
        </is>
      </c>
      <c r="C415" t="inlineStr">
        <is>
          <t>Softshell b/t Mellowpile Jkt w/ side flange.</t>
        </is>
      </c>
      <c r="D415" t="inlineStr">
        <is>
          <t>BLK</t>
        </is>
      </c>
      <c r="E415" t="inlineStr">
        <is>
          <t>(en blanco)</t>
        </is>
      </c>
      <c r="F415" t="inlineStr">
        <is>
          <t>D2C</t>
        </is>
      </c>
      <c r="G415" t="inlineStr">
        <is>
          <t>S</t>
        </is>
      </c>
      <c r="H415" t="n">
        <v>3</v>
      </c>
      <c r="I415" t="inlineStr">
        <is>
          <t>HALIFAX_WOMENS_119005585_BLK_1.jpg</t>
        </is>
      </c>
      <c r="J415" t="inlineStr">
        <is>
          <t>HALIFAX_WOMENS_119005585_BLK_2.jpg</t>
        </is>
      </c>
      <c r="K415" t="inlineStr">
        <is>
          <t>HALIFAX_WOMENS_119005585_BLK_3.jpg</t>
        </is>
      </c>
      <c r="L415">
        <f>IMAGE("file:///E:/Estudios%20y%20certificaciones/ESTUDIOS%20DE%20PROGRAMMING/PROGRAMMING/PERSONAL/PYTHON/Image_Generator_API/imagenes/HALIFAX_WOMENS_119005585_BLK_1.jpg")</f>
        <v/>
      </c>
      <c r="M415">
        <f>IMAGE("file:///E:/Estudios%20y%20certificaciones/ESTUDIOS%20DE%20PROGRAMMING/PROGRAMMING/PERSONAL/PYTHON/Image_Generator_API/imagenes/HALIFAX_WOMENS_119005585_BLK_2.jpg")</f>
        <v/>
      </c>
      <c r="N415">
        <f>IMAGE("file:///E:/Estudios%20y%20certificaciones/ESTUDIOS%20DE%20PROGRAMMING/PROGRAMMING/PERSONAL/PYTHON/Image_Generator_API/imagenes/HALIFAX_WOMENS_119005585_BLK_3.jpg")</f>
        <v/>
      </c>
      <c r="O415">
        <f>HYPERLINK("imagenes/HALIFAX_WOMENS_119005585_BLK_1.jpg","Ver imagen")</f>
        <v/>
      </c>
      <c r="P415">
        <f>HYPERLINK("imagenes/HALIFAX_WOMENS_119005585_BLK_2.jpg","Ver imagen")</f>
        <v/>
      </c>
      <c r="Q415">
        <f>HYPERLINK("imagenes/HALIFAX_WOMENS_119005585_BLK_3.jpg","Ver imagen")</f>
        <v/>
      </c>
    </row>
    <row r="416">
      <c r="A416" t="inlineStr">
        <is>
          <t>HALIFAX WOMENS</t>
        </is>
      </c>
      <c r="B416" t="inlineStr">
        <is>
          <t>119005585</t>
        </is>
      </c>
      <c r="C416" t="inlineStr">
        <is>
          <t>Softshell b/t Mellowpile Jkt w/ side flange.</t>
        </is>
      </c>
      <c r="D416" t="inlineStr">
        <is>
          <t>BLK</t>
        </is>
      </c>
      <c r="E416" t="inlineStr">
        <is>
          <t>(en blanco)</t>
        </is>
      </c>
      <c r="F416" t="inlineStr">
        <is>
          <t>D2C</t>
        </is>
      </c>
      <c r="G416" t="inlineStr">
        <is>
          <t>M</t>
        </is>
      </c>
      <c r="H416" t="n">
        <v>7</v>
      </c>
      <c r="I416" t="inlineStr">
        <is>
          <t>HALIFAX_WOMENS_119005585_BLK_1.jpg</t>
        </is>
      </c>
      <c r="J416" t="inlineStr">
        <is>
          <t>HALIFAX_WOMENS_119005585_BLK_2.jpg</t>
        </is>
      </c>
      <c r="K416" t="inlineStr">
        <is>
          <t>HALIFAX_WOMENS_119005585_BLK_3.jpg</t>
        </is>
      </c>
      <c r="L416">
        <f>IMAGE("file:///E:/Estudios%20y%20certificaciones/ESTUDIOS%20DE%20PROGRAMMING/PROGRAMMING/PERSONAL/PYTHON/Image_Generator_API/imagenes/HALIFAX_WOMENS_119005585_BLK_1.jpg")</f>
        <v/>
      </c>
      <c r="M416">
        <f>IMAGE("file:///E:/Estudios%20y%20certificaciones/ESTUDIOS%20DE%20PROGRAMMING/PROGRAMMING/PERSONAL/PYTHON/Image_Generator_API/imagenes/HALIFAX_WOMENS_119005585_BLK_2.jpg")</f>
        <v/>
      </c>
      <c r="N416">
        <f>IMAGE("file:///E:/Estudios%20y%20certificaciones/ESTUDIOS%20DE%20PROGRAMMING/PROGRAMMING/PERSONAL/PYTHON/Image_Generator_API/imagenes/HALIFAX_WOMENS_119005585_BLK_3.jpg")</f>
        <v/>
      </c>
      <c r="O416">
        <f>HYPERLINK("imagenes/HALIFAX_WOMENS_119005585_BLK_1.jpg","Ver imagen")</f>
        <v/>
      </c>
      <c r="P416">
        <f>HYPERLINK("imagenes/HALIFAX_WOMENS_119005585_BLK_2.jpg","Ver imagen")</f>
        <v/>
      </c>
      <c r="Q416">
        <f>HYPERLINK("imagenes/HALIFAX_WOMENS_119005585_BLK_3.jpg","Ver imagen")</f>
        <v/>
      </c>
    </row>
    <row r="417">
      <c r="A417" t="inlineStr">
        <is>
          <t>HALIFAX WOMENS</t>
        </is>
      </c>
      <c r="B417" t="inlineStr">
        <is>
          <t>119005585</t>
        </is>
      </c>
      <c r="C417" t="inlineStr">
        <is>
          <t>Softshell b/t Mellowpile Jkt w/ side flange.</t>
        </is>
      </c>
      <c r="D417" t="inlineStr">
        <is>
          <t>BLK</t>
        </is>
      </c>
      <c r="E417" t="inlineStr">
        <is>
          <t>(en blanco)</t>
        </is>
      </c>
      <c r="F417" t="inlineStr">
        <is>
          <t>D2C</t>
        </is>
      </c>
      <c r="G417" t="inlineStr">
        <is>
          <t>L</t>
        </is>
      </c>
      <c r="H417" t="n">
        <v>0</v>
      </c>
      <c r="I417" t="inlineStr">
        <is>
          <t>HALIFAX_WOMENS_119005585_BLK_1.jpg</t>
        </is>
      </c>
      <c r="J417" t="inlineStr">
        <is>
          <t>HALIFAX_WOMENS_119005585_BLK_2.jpg</t>
        </is>
      </c>
      <c r="K417" t="inlineStr">
        <is>
          <t>HALIFAX_WOMENS_119005585_BLK_3.jpg</t>
        </is>
      </c>
      <c r="L417">
        <f>IMAGE("file:///E:/Estudios%20y%20certificaciones/ESTUDIOS%20DE%20PROGRAMMING/PROGRAMMING/PERSONAL/PYTHON/Image_Generator_API/imagenes/HALIFAX_WOMENS_119005585_BLK_1.jpg")</f>
        <v/>
      </c>
      <c r="M417">
        <f>IMAGE("file:///E:/Estudios%20y%20certificaciones/ESTUDIOS%20DE%20PROGRAMMING/PROGRAMMING/PERSONAL/PYTHON/Image_Generator_API/imagenes/HALIFAX_WOMENS_119005585_BLK_2.jpg")</f>
        <v/>
      </c>
      <c r="N417">
        <f>IMAGE("file:///E:/Estudios%20y%20certificaciones/ESTUDIOS%20DE%20PROGRAMMING/PROGRAMMING/PERSONAL/PYTHON/Image_Generator_API/imagenes/HALIFAX_WOMENS_119005585_BLK_3.jpg")</f>
        <v/>
      </c>
      <c r="O417">
        <f>HYPERLINK("imagenes/HALIFAX_WOMENS_119005585_BLK_1.jpg","Ver imagen")</f>
        <v/>
      </c>
      <c r="P417">
        <f>HYPERLINK("imagenes/HALIFAX_WOMENS_119005585_BLK_2.jpg","Ver imagen")</f>
        <v/>
      </c>
      <c r="Q417">
        <f>HYPERLINK("imagenes/HALIFAX_WOMENS_119005585_BLK_3.jpg","Ver imagen")</f>
        <v/>
      </c>
    </row>
    <row r="418">
      <c r="A418" t="inlineStr">
        <is>
          <t>HALIFAX WOMENS</t>
        </is>
      </c>
      <c r="B418" t="inlineStr">
        <is>
          <t>119005585</t>
        </is>
      </c>
      <c r="C418" t="inlineStr">
        <is>
          <t>Softshell b/t Mellowpile Jkt w/ side flange.</t>
        </is>
      </c>
      <c r="D418" t="inlineStr">
        <is>
          <t>BLK</t>
        </is>
      </c>
      <c r="E418" t="inlineStr">
        <is>
          <t>(en blanco)</t>
        </is>
      </c>
      <c r="F418" t="inlineStr">
        <is>
          <t>R2140</t>
        </is>
      </c>
      <c r="G418" t="inlineStr">
        <is>
          <t>S</t>
        </is>
      </c>
      <c r="H418" t="n">
        <v>2</v>
      </c>
      <c r="I418" t="inlineStr">
        <is>
          <t>HALIFAX_WOMENS_119005585_BLK_1.jpg</t>
        </is>
      </c>
      <c r="J418" t="inlineStr">
        <is>
          <t>HALIFAX_WOMENS_119005585_BLK_2.jpg</t>
        </is>
      </c>
      <c r="K418" t="inlineStr">
        <is>
          <t>HALIFAX_WOMENS_119005585_BLK_3.jpg</t>
        </is>
      </c>
      <c r="L418">
        <f>IMAGE("file:///E:/Estudios%20y%20certificaciones/ESTUDIOS%20DE%20PROGRAMMING/PROGRAMMING/PERSONAL/PYTHON/Image_Generator_API/imagenes/HALIFAX_WOMENS_119005585_BLK_1.jpg")</f>
        <v/>
      </c>
      <c r="M418">
        <f>IMAGE("file:///E:/Estudios%20y%20certificaciones/ESTUDIOS%20DE%20PROGRAMMING/PROGRAMMING/PERSONAL/PYTHON/Image_Generator_API/imagenes/HALIFAX_WOMENS_119005585_BLK_2.jpg")</f>
        <v/>
      </c>
      <c r="N418">
        <f>IMAGE("file:///E:/Estudios%20y%20certificaciones/ESTUDIOS%20DE%20PROGRAMMING/PROGRAMMING/PERSONAL/PYTHON/Image_Generator_API/imagenes/HALIFAX_WOMENS_119005585_BLK_3.jpg")</f>
        <v/>
      </c>
      <c r="O418">
        <f>HYPERLINK("imagenes/HALIFAX_WOMENS_119005585_BLK_1.jpg","Ver imagen")</f>
        <v/>
      </c>
      <c r="P418">
        <f>HYPERLINK("imagenes/HALIFAX_WOMENS_119005585_BLK_2.jpg","Ver imagen")</f>
        <v/>
      </c>
      <c r="Q418">
        <f>HYPERLINK("imagenes/HALIFAX_WOMENS_119005585_BLK_3.jpg","Ver imagen")</f>
        <v/>
      </c>
    </row>
    <row r="419">
      <c r="A419" t="inlineStr">
        <is>
          <t>HALIFAX WOMENS</t>
        </is>
      </c>
      <c r="B419" t="inlineStr">
        <is>
          <t>119005585</t>
        </is>
      </c>
      <c r="C419" t="inlineStr">
        <is>
          <t>Softshell b/t Mellowpile Jkt w/ side flange.</t>
        </is>
      </c>
      <c r="D419" t="inlineStr">
        <is>
          <t>BLK</t>
        </is>
      </c>
      <c r="E419" t="inlineStr">
        <is>
          <t>(en blanco)</t>
        </is>
      </c>
      <c r="F419" t="inlineStr">
        <is>
          <t>R2140</t>
        </is>
      </c>
      <c r="G419" t="inlineStr">
        <is>
          <t>M</t>
        </is>
      </c>
      <c r="H419" t="n">
        <v>5</v>
      </c>
      <c r="I419" t="inlineStr">
        <is>
          <t>HALIFAX_WOMENS_119005585_BLK_1.jpg</t>
        </is>
      </c>
      <c r="J419" t="inlineStr">
        <is>
          <t>HALIFAX_WOMENS_119005585_BLK_2.jpg</t>
        </is>
      </c>
      <c r="K419" t="inlineStr">
        <is>
          <t>HALIFAX_WOMENS_119005585_BLK_3.jpg</t>
        </is>
      </c>
      <c r="L419">
        <f>IMAGE("file:///E:/Estudios%20y%20certificaciones/ESTUDIOS%20DE%20PROGRAMMING/PROGRAMMING/PERSONAL/PYTHON/Image_Generator_API/imagenes/HALIFAX_WOMENS_119005585_BLK_1.jpg")</f>
        <v/>
      </c>
      <c r="M419">
        <f>IMAGE("file:///E:/Estudios%20y%20certificaciones/ESTUDIOS%20DE%20PROGRAMMING/PROGRAMMING/PERSONAL/PYTHON/Image_Generator_API/imagenes/HALIFAX_WOMENS_119005585_BLK_2.jpg")</f>
        <v/>
      </c>
      <c r="N419">
        <f>IMAGE("file:///E:/Estudios%20y%20certificaciones/ESTUDIOS%20DE%20PROGRAMMING/PROGRAMMING/PERSONAL/PYTHON/Image_Generator_API/imagenes/HALIFAX_WOMENS_119005585_BLK_3.jpg")</f>
        <v/>
      </c>
      <c r="O419">
        <f>HYPERLINK("imagenes/HALIFAX_WOMENS_119005585_BLK_1.jpg","Ver imagen")</f>
        <v/>
      </c>
      <c r="P419">
        <f>HYPERLINK("imagenes/HALIFAX_WOMENS_119005585_BLK_2.jpg","Ver imagen")</f>
        <v/>
      </c>
      <c r="Q419">
        <f>HYPERLINK("imagenes/HALIFAX_WOMENS_119005585_BLK_3.jpg","Ver imagen")</f>
        <v/>
      </c>
    </row>
    <row r="420">
      <c r="A420" t="inlineStr">
        <is>
          <t>HALIFAX WOMENS</t>
        </is>
      </c>
      <c r="B420" t="inlineStr">
        <is>
          <t>119005585</t>
        </is>
      </c>
      <c r="C420" t="inlineStr">
        <is>
          <t>Softshell b/t Mellowpile Jkt w/ side flange.</t>
        </is>
      </c>
      <c r="D420" t="inlineStr">
        <is>
          <t>BLK</t>
        </is>
      </c>
      <c r="E420" t="inlineStr">
        <is>
          <t>(en blanco)</t>
        </is>
      </c>
      <c r="F420" t="inlineStr">
        <is>
          <t>R2140</t>
        </is>
      </c>
      <c r="G420" t="inlineStr">
        <is>
          <t>L</t>
        </is>
      </c>
      <c r="H420" t="n">
        <v>6</v>
      </c>
      <c r="I420" t="inlineStr">
        <is>
          <t>HALIFAX_WOMENS_119005585_BLK_1.jpg</t>
        </is>
      </c>
      <c r="J420" t="inlineStr">
        <is>
          <t>HALIFAX_WOMENS_119005585_BLK_2.jpg</t>
        </is>
      </c>
      <c r="K420" t="inlineStr">
        <is>
          <t>HALIFAX_WOMENS_119005585_BLK_3.jpg</t>
        </is>
      </c>
      <c r="L420">
        <f>IMAGE("file:///E:/Estudios%20y%20certificaciones/ESTUDIOS%20DE%20PROGRAMMING/PROGRAMMING/PERSONAL/PYTHON/Image_Generator_API/imagenes/HALIFAX_WOMENS_119005585_BLK_1.jpg")</f>
        <v/>
      </c>
      <c r="M420">
        <f>IMAGE("file:///E:/Estudios%20y%20certificaciones/ESTUDIOS%20DE%20PROGRAMMING/PROGRAMMING/PERSONAL/PYTHON/Image_Generator_API/imagenes/HALIFAX_WOMENS_119005585_BLK_2.jpg")</f>
        <v/>
      </c>
      <c r="N420">
        <f>IMAGE("file:///E:/Estudios%20y%20certificaciones/ESTUDIOS%20DE%20PROGRAMMING/PROGRAMMING/PERSONAL/PYTHON/Image_Generator_API/imagenes/HALIFAX_WOMENS_119005585_BLK_3.jpg")</f>
        <v/>
      </c>
      <c r="O420">
        <f>HYPERLINK("imagenes/HALIFAX_WOMENS_119005585_BLK_1.jpg","Ver imagen")</f>
        <v/>
      </c>
      <c r="P420">
        <f>HYPERLINK("imagenes/HALIFAX_WOMENS_119005585_BLK_2.jpg","Ver imagen")</f>
        <v/>
      </c>
      <c r="Q420">
        <f>HYPERLINK("imagenes/HALIFAX_WOMENS_119005585_BLK_3.jpg","Ver imagen")</f>
        <v/>
      </c>
    </row>
    <row r="421">
      <c r="A421" t="inlineStr">
        <is>
          <t>HALIFAX WOMENS</t>
        </is>
      </c>
      <c r="B421" t="inlineStr">
        <is>
          <t>119005585</t>
        </is>
      </c>
      <c r="C421" t="inlineStr">
        <is>
          <t>Softshell b/t Mellowpile Jkt w/ side flange.</t>
        </is>
      </c>
      <c r="D421" t="inlineStr">
        <is>
          <t>BLK</t>
        </is>
      </c>
      <c r="E421" t="inlineStr">
        <is>
          <t>(en blanco)</t>
        </is>
      </c>
      <c r="F421" t="inlineStr">
        <is>
          <t>R2140</t>
        </is>
      </c>
      <c r="G421" t="inlineStr">
        <is>
          <t>XL</t>
        </is>
      </c>
      <c r="H421" t="n">
        <v>2</v>
      </c>
      <c r="I421" t="inlineStr">
        <is>
          <t>HALIFAX_WOMENS_119005585_BLK_1.jpg</t>
        </is>
      </c>
      <c r="J421" t="inlineStr">
        <is>
          <t>HALIFAX_WOMENS_119005585_BLK_2.jpg</t>
        </is>
      </c>
      <c r="K421" t="inlineStr">
        <is>
          <t>HALIFAX_WOMENS_119005585_BLK_3.jpg</t>
        </is>
      </c>
      <c r="L421">
        <f>IMAGE("file:///E:/Estudios%20y%20certificaciones/ESTUDIOS%20DE%20PROGRAMMING/PROGRAMMING/PERSONAL/PYTHON/Image_Generator_API/imagenes/HALIFAX_WOMENS_119005585_BLK_1.jpg")</f>
        <v/>
      </c>
      <c r="M421">
        <f>IMAGE("file:///E:/Estudios%20y%20certificaciones/ESTUDIOS%20DE%20PROGRAMMING/PROGRAMMING/PERSONAL/PYTHON/Image_Generator_API/imagenes/HALIFAX_WOMENS_119005585_BLK_2.jpg")</f>
        <v/>
      </c>
      <c r="N421">
        <f>IMAGE("file:///E:/Estudios%20y%20certificaciones/ESTUDIOS%20DE%20PROGRAMMING/PROGRAMMING/PERSONAL/PYTHON/Image_Generator_API/imagenes/HALIFAX_WOMENS_119005585_BLK_3.jpg")</f>
        <v/>
      </c>
      <c r="O421">
        <f>HYPERLINK("imagenes/HALIFAX_WOMENS_119005585_BLK_1.jpg","Ver imagen")</f>
        <v/>
      </c>
      <c r="P421">
        <f>HYPERLINK("imagenes/HALIFAX_WOMENS_119005585_BLK_2.jpg","Ver imagen")</f>
        <v/>
      </c>
      <c r="Q421">
        <f>HYPERLINK("imagenes/HALIFAX_WOMENS_119005585_BLK_3.jpg","Ver imagen")</f>
        <v/>
      </c>
    </row>
    <row r="422">
      <c r="A422" t="inlineStr">
        <is>
          <t>HALIFAX WOMENS</t>
        </is>
      </c>
      <c r="B422" t="inlineStr">
        <is>
          <t>119005585</t>
        </is>
      </c>
      <c r="C422" t="inlineStr">
        <is>
          <t>Softshell b/t Mellowpile Jkt w/ side flange.</t>
        </is>
      </c>
      <c r="D422" t="inlineStr">
        <is>
          <t>BLK</t>
        </is>
      </c>
      <c r="E422" t="inlineStr">
        <is>
          <t>(en blanco)</t>
        </is>
      </c>
      <c r="F422" t="inlineStr">
        <is>
          <t>(en blanco)</t>
        </is>
      </c>
      <c r="G422" t="inlineStr">
        <is>
          <t>XL</t>
        </is>
      </c>
      <c r="H422" t="n">
        <v>0</v>
      </c>
      <c r="I422" t="inlineStr">
        <is>
          <t>HALIFAX_WOMENS_119005585_BLK_1.jpg</t>
        </is>
      </c>
      <c r="J422" t="inlineStr">
        <is>
          <t>HALIFAX_WOMENS_119005585_BLK_2.jpg</t>
        </is>
      </c>
      <c r="K422" t="inlineStr">
        <is>
          <t>HALIFAX_WOMENS_119005585_BLK_3.jpg</t>
        </is>
      </c>
      <c r="L422">
        <f>IMAGE("file:///E:/Estudios%20y%20certificaciones/ESTUDIOS%20DE%20PROGRAMMING/PROGRAMMING/PERSONAL/PYTHON/Image_Generator_API/imagenes/HALIFAX_WOMENS_119005585_BLK_1.jpg")</f>
        <v/>
      </c>
      <c r="M422">
        <f>IMAGE("file:///E:/Estudios%20y%20certificaciones/ESTUDIOS%20DE%20PROGRAMMING/PROGRAMMING/PERSONAL/PYTHON/Image_Generator_API/imagenes/HALIFAX_WOMENS_119005585_BLK_2.jpg")</f>
        <v/>
      </c>
      <c r="N422">
        <f>IMAGE("file:///E:/Estudios%20y%20certificaciones/ESTUDIOS%20DE%20PROGRAMMING/PROGRAMMING/PERSONAL/PYTHON/Image_Generator_API/imagenes/HALIFAX_WOMENS_119005585_BLK_3.jpg")</f>
        <v/>
      </c>
      <c r="O422">
        <f>HYPERLINK("imagenes/HALIFAX_WOMENS_119005585_BLK_1.jpg","Ver imagen")</f>
        <v/>
      </c>
      <c r="P422">
        <f>HYPERLINK("imagenes/HALIFAX_WOMENS_119005585_BLK_2.jpg","Ver imagen")</f>
        <v/>
      </c>
      <c r="Q422">
        <f>HYPERLINK("imagenes/HALIFAX_WOMENS_119005585_BLK_3.jpg","Ver imagen")</f>
        <v/>
      </c>
    </row>
    <row r="423">
      <c r="A423" t="inlineStr">
        <is>
          <t>HALIFAX WOMENS</t>
        </is>
      </c>
      <c r="B423" t="inlineStr">
        <is>
          <t>119005585</t>
        </is>
      </c>
      <c r="C423" t="inlineStr">
        <is>
          <t>Softshell b/t Mellowpile Jkt w/ side flange.</t>
        </is>
      </c>
      <c r="D423" t="inlineStr">
        <is>
          <t>CAM</t>
        </is>
      </c>
      <c r="E423" t="inlineStr">
        <is>
          <t>06A01</t>
        </is>
      </c>
      <c r="F423" t="inlineStr">
        <is>
          <t>(en blanco)</t>
        </is>
      </c>
      <c r="G423" t="inlineStr">
        <is>
          <t>PPK</t>
        </is>
      </c>
      <c r="H423" t="n">
        <v>90</v>
      </c>
      <c r="I423" t="inlineStr">
        <is>
          <t>HALIFAX_WOMENS_119005585_CAM_1.jpg</t>
        </is>
      </c>
      <c r="J423" t="inlineStr">
        <is>
          <t>HALIFAX_WOMENS_119005585_CAM_2.jpg</t>
        </is>
      </c>
      <c r="L423">
        <f>IMAGE("file:///E:/Estudios%20y%20certificaciones/ESTUDIOS%20DE%20PROGRAMMING/PROGRAMMING/PERSONAL/PYTHON/Image_Generator_API/imagenes/HALIFAX_WOMENS_119005585_CAM_1.jpg")</f>
        <v/>
      </c>
      <c r="M423">
        <f>IMAGE("file:///E:/Estudios%20y%20certificaciones/ESTUDIOS%20DE%20PROGRAMMING/PROGRAMMING/PERSONAL/PYTHON/Image_Generator_API/imagenes/HALIFAX_WOMENS_119005585_CAM_2.jpg")</f>
        <v/>
      </c>
      <c r="O423">
        <f>HYPERLINK("imagenes/HALIFAX_WOMENS_119005585_CAM_1.jpg","Ver imagen")</f>
        <v/>
      </c>
      <c r="P423">
        <f>HYPERLINK("imagenes/HALIFAX_WOMENS_119005585_CAM_2.jpg","Ver imagen")</f>
        <v/>
      </c>
    </row>
    <row r="424">
      <c r="A424" t="inlineStr">
        <is>
          <t>HALIFAX WOMENS</t>
        </is>
      </c>
      <c r="B424" t="inlineStr">
        <is>
          <t>119005585</t>
        </is>
      </c>
      <c r="C424" t="inlineStr">
        <is>
          <t>Softshell b/t Mellowpile Jkt w/ side flange.</t>
        </is>
      </c>
      <c r="D424" t="inlineStr">
        <is>
          <t>NVY</t>
        </is>
      </c>
      <c r="E424" t="inlineStr">
        <is>
          <t>(en blanco)</t>
        </is>
      </c>
      <c r="F424" t="inlineStr">
        <is>
          <t>D2C</t>
        </is>
      </c>
      <c r="G424" t="inlineStr">
        <is>
          <t>S</t>
        </is>
      </c>
      <c r="H424" t="n">
        <v>16</v>
      </c>
      <c r="I424" t="inlineStr">
        <is>
          <t>HALIFAX_WOMENS_119005585_NVY_1.jpg</t>
        </is>
      </c>
      <c r="J424" t="inlineStr">
        <is>
          <t>HALIFAX_WOMENS_119005585_NVY_2.jpg</t>
        </is>
      </c>
      <c r="K424" t="inlineStr">
        <is>
          <t>HALIFAX_WOMENS_119005585_NVY_3.jpg</t>
        </is>
      </c>
      <c r="L424">
        <f>IMAGE("file:///E:/Estudios%20y%20certificaciones/ESTUDIOS%20DE%20PROGRAMMING/PROGRAMMING/PERSONAL/PYTHON/Image_Generator_API/imagenes/HALIFAX_WOMENS_119005585_NVY_1.jpg")</f>
        <v/>
      </c>
      <c r="M424">
        <f>IMAGE("file:///E:/Estudios%20y%20certificaciones/ESTUDIOS%20DE%20PROGRAMMING/PROGRAMMING/PERSONAL/PYTHON/Image_Generator_API/imagenes/HALIFAX_WOMENS_119005585_NVY_2.jpg")</f>
        <v/>
      </c>
      <c r="N424">
        <f>IMAGE("file:///E:/Estudios%20y%20certificaciones/ESTUDIOS%20DE%20PROGRAMMING/PROGRAMMING/PERSONAL/PYTHON/Image_Generator_API/imagenes/HALIFAX_WOMENS_119005585_NVY_3.jpg")</f>
        <v/>
      </c>
      <c r="O424">
        <f>HYPERLINK("imagenes/HALIFAX_WOMENS_119005585_NVY_1.jpg","Ver imagen")</f>
        <v/>
      </c>
      <c r="P424">
        <f>HYPERLINK("imagenes/HALIFAX_WOMENS_119005585_NVY_2.jpg","Ver imagen")</f>
        <v/>
      </c>
      <c r="Q424">
        <f>HYPERLINK("imagenes/HALIFAX_WOMENS_119005585_NVY_3.jpg","Ver imagen")</f>
        <v/>
      </c>
    </row>
    <row r="425">
      <c r="A425" t="inlineStr">
        <is>
          <t>HALIFAX WOMENS</t>
        </is>
      </c>
      <c r="B425" t="inlineStr">
        <is>
          <t>119005585</t>
        </is>
      </c>
      <c r="C425" t="inlineStr">
        <is>
          <t>Softshell b/t Mellowpile Jkt w/ side flange.</t>
        </is>
      </c>
      <c r="D425" t="inlineStr">
        <is>
          <t>NVY</t>
        </is>
      </c>
      <c r="E425" t="inlineStr">
        <is>
          <t>(en blanco)</t>
        </is>
      </c>
      <c r="F425" t="inlineStr">
        <is>
          <t>D2C</t>
        </is>
      </c>
      <c r="G425" t="inlineStr">
        <is>
          <t>M</t>
        </is>
      </c>
      <c r="H425" t="n">
        <v>27</v>
      </c>
      <c r="I425" t="inlineStr">
        <is>
          <t>HALIFAX_WOMENS_119005585_NVY_1.jpg</t>
        </is>
      </c>
      <c r="J425" t="inlineStr">
        <is>
          <t>HALIFAX_WOMENS_119005585_NVY_2.jpg</t>
        </is>
      </c>
      <c r="K425" t="inlineStr">
        <is>
          <t>HALIFAX_WOMENS_119005585_NVY_3.jpg</t>
        </is>
      </c>
      <c r="L425">
        <f>IMAGE("file:///E:/Estudios%20y%20certificaciones/ESTUDIOS%20DE%20PROGRAMMING/PROGRAMMING/PERSONAL/PYTHON/Image_Generator_API/imagenes/HALIFAX_WOMENS_119005585_NVY_1.jpg")</f>
        <v/>
      </c>
      <c r="M425">
        <f>IMAGE("file:///E:/Estudios%20y%20certificaciones/ESTUDIOS%20DE%20PROGRAMMING/PROGRAMMING/PERSONAL/PYTHON/Image_Generator_API/imagenes/HALIFAX_WOMENS_119005585_NVY_2.jpg")</f>
        <v/>
      </c>
      <c r="N425">
        <f>IMAGE("file:///E:/Estudios%20y%20certificaciones/ESTUDIOS%20DE%20PROGRAMMING/PROGRAMMING/PERSONAL/PYTHON/Image_Generator_API/imagenes/HALIFAX_WOMENS_119005585_NVY_3.jpg")</f>
        <v/>
      </c>
      <c r="O425">
        <f>HYPERLINK("imagenes/HALIFAX_WOMENS_119005585_NVY_1.jpg","Ver imagen")</f>
        <v/>
      </c>
      <c r="P425">
        <f>HYPERLINK("imagenes/HALIFAX_WOMENS_119005585_NVY_2.jpg","Ver imagen")</f>
        <v/>
      </c>
      <c r="Q425">
        <f>HYPERLINK("imagenes/HALIFAX_WOMENS_119005585_NVY_3.jpg","Ver imagen")</f>
        <v/>
      </c>
    </row>
    <row r="426">
      <c r="A426" t="inlineStr">
        <is>
          <t>HALIFAX WOMENS</t>
        </is>
      </c>
      <c r="B426" t="inlineStr">
        <is>
          <t>119005585</t>
        </is>
      </c>
      <c r="C426" t="inlineStr">
        <is>
          <t>Softshell b/t Mellowpile Jkt w/ side flange.</t>
        </is>
      </c>
      <c r="D426" t="inlineStr">
        <is>
          <t>NVY</t>
        </is>
      </c>
      <c r="E426" t="inlineStr">
        <is>
          <t>(en blanco)</t>
        </is>
      </c>
      <c r="F426" t="inlineStr">
        <is>
          <t>D2C</t>
        </is>
      </c>
      <c r="G426" t="inlineStr">
        <is>
          <t>L</t>
        </is>
      </c>
      <c r="H426" t="n">
        <v>16</v>
      </c>
      <c r="I426" t="inlineStr">
        <is>
          <t>HALIFAX_WOMENS_119005585_NVY_1.jpg</t>
        </is>
      </c>
      <c r="J426" t="inlineStr">
        <is>
          <t>HALIFAX_WOMENS_119005585_NVY_2.jpg</t>
        </is>
      </c>
      <c r="K426" t="inlineStr">
        <is>
          <t>HALIFAX_WOMENS_119005585_NVY_3.jpg</t>
        </is>
      </c>
      <c r="L426">
        <f>IMAGE("file:///E:/Estudios%20y%20certificaciones/ESTUDIOS%20DE%20PROGRAMMING/PROGRAMMING/PERSONAL/PYTHON/Image_Generator_API/imagenes/HALIFAX_WOMENS_119005585_NVY_1.jpg")</f>
        <v/>
      </c>
      <c r="M426">
        <f>IMAGE("file:///E:/Estudios%20y%20certificaciones/ESTUDIOS%20DE%20PROGRAMMING/PROGRAMMING/PERSONAL/PYTHON/Image_Generator_API/imagenes/HALIFAX_WOMENS_119005585_NVY_2.jpg")</f>
        <v/>
      </c>
      <c r="N426">
        <f>IMAGE("file:///E:/Estudios%20y%20certificaciones/ESTUDIOS%20DE%20PROGRAMMING/PROGRAMMING/PERSONAL/PYTHON/Image_Generator_API/imagenes/HALIFAX_WOMENS_119005585_NVY_3.jpg")</f>
        <v/>
      </c>
      <c r="O426">
        <f>HYPERLINK("imagenes/HALIFAX_WOMENS_119005585_NVY_1.jpg","Ver imagen")</f>
        <v/>
      </c>
      <c r="P426">
        <f>HYPERLINK("imagenes/HALIFAX_WOMENS_119005585_NVY_2.jpg","Ver imagen")</f>
        <v/>
      </c>
      <c r="Q426">
        <f>HYPERLINK("imagenes/HALIFAX_WOMENS_119005585_NVY_3.jpg","Ver imagen")</f>
        <v/>
      </c>
    </row>
    <row r="427">
      <c r="A427" t="inlineStr">
        <is>
          <t>HALIFAX WOMENS</t>
        </is>
      </c>
      <c r="B427" t="inlineStr">
        <is>
          <t>119005585</t>
        </is>
      </c>
      <c r="C427" t="inlineStr">
        <is>
          <t>Softshell b/t Mellowpile Jkt w/ side flange.</t>
        </is>
      </c>
      <c r="D427" t="inlineStr">
        <is>
          <t>NVY</t>
        </is>
      </c>
      <c r="E427" t="inlineStr">
        <is>
          <t>(en blanco)</t>
        </is>
      </c>
      <c r="F427" t="inlineStr">
        <is>
          <t>D2C</t>
        </is>
      </c>
      <c r="G427" t="inlineStr">
        <is>
          <t>XL</t>
        </is>
      </c>
      <c r="H427" t="n">
        <v>16</v>
      </c>
      <c r="I427" t="inlineStr">
        <is>
          <t>HALIFAX_WOMENS_119005585_NVY_1.jpg</t>
        </is>
      </c>
      <c r="J427" t="inlineStr">
        <is>
          <t>HALIFAX_WOMENS_119005585_NVY_2.jpg</t>
        </is>
      </c>
      <c r="K427" t="inlineStr">
        <is>
          <t>HALIFAX_WOMENS_119005585_NVY_3.jpg</t>
        </is>
      </c>
      <c r="L427">
        <f>IMAGE("file:///E:/Estudios%20y%20certificaciones/ESTUDIOS%20DE%20PROGRAMMING/PROGRAMMING/PERSONAL/PYTHON/Image_Generator_API/imagenes/HALIFAX_WOMENS_119005585_NVY_1.jpg")</f>
        <v/>
      </c>
      <c r="M427">
        <f>IMAGE("file:///E:/Estudios%20y%20certificaciones/ESTUDIOS%20DE%20PROGRAMMING/PROGRAMMING/PERSONAL/PYTHON/Image_Generator_API/imagenes/HALIFAX_WOMENS_119005585_NVY_2.jpg")</f>
        <v/>
      </c>
      <c r="N427">
        <f>IMAGE("file:///E:/Estudios%20y%20certificaciones/ESTUDIOS%20DE%20PROGRAMMING/PROGRAMMING/PERSONAL/PYTHON/Image_Generator_API/imagenes/HALIFAX_WOMENS_119005585_NVY_3.jpg")</f>
        <v/>
      </c>
      <c r="O427">
        <f>HYPERLINK("imagenes/HALIFAX_WOMENS_119005585_NVY_1.jpg","Ver imagen")</f>
        <v/>
      </c>
      <c r="P427">
        <f>HYPERLINK("imagenes/HALIFAX_WOMENS_119005585_NVY_2.jpg","Ver imagen")</f>
        <v/>
      </c>
      <c r="Q427">
        <f>HYPERLINK("imagenes/HALIFAX_WOMENS_119005585_NVY_3.jpg","Ver imagen")</f>
        <v/>
      </c>
    </row>
    <row r="428">
      <c r="A428" t="inlineStr">
        <is>
          <t>HALIFAX WOMENS</t>
        </is>
      </c>
      <c r="B428" t="inlineStr">
        <is>
          <t>119005585</t>
        </is>
      </c>
      <c r="C428" t="inlineStr">
        <is>
          <t>Softshell b/t Mellowpile Jkt w/ side flange.</t>
        </is>
      </c>
      <c r="D428" t="inlineStr">
        <is>
          <t>NVY</t>
        </is>
      </c>
      <c r="E428" t="inlineStr">
        <is>
          <t>(en blanco)</t>
        </is>
      </c>
      <c r="F428" t="inlineStr">
        <is>
          <t>(en blanco)</t>
        </is>
      </c>
      <c r="G428" t="inlineStr">
        <is>
          <t>XXL</t>
        </is>
      </c>
      <c r="H428" t="n">
        <v>9</v>
      </c>
      <c r="I428" t="inlineStr">
        <is>
          <t>HALIFAX_WOMENS_119005585_NVY_1.jpg</t>
        </is>
      </c>
      <c r="J428" t="inlineStr">
        <is>
          <t>HALIFAX_WOMENS_119005585_NVY_2.jpg</t>
        </is>
      </c>
      <c r="K428" t="inlineStr">
        <is>
          <t>HALIFAX_WOMENS_119005585_NVY_3.jpg</t>
        </is>
      </c>
      <c r="L428">
        <f>IMAGE("file:///E:/Estudios%20y%20certificaciones/ESTUDIOS%20DE%20PROGRAMMING/PROGRAMMING/PERSONAL/PYTHON/Image_Generator_API/imagenes/HALIFAX_WOMENS_119005585_NVY_1.jpg")</f>
        <v/>
      </c>
      <c r="M428">
        <f>IMAGE("file:///E:/Estudios%20y%20certificaciones/ESTUDIOS%20DE%20PROGRAMMING/PROGRAMMING/PERSONAL/PYTHON/Image_Generator_API/imagenes/HALIFAX_WOMENS_119005585_NVY_2.jpg")</f>
        <v/>
      </c>
      <c r="N428">
        <f>IMAGE("file:///E:/Estudios%20y%20certificaciones/ESTUDIOS%20DE%20PROGRAMMING/PROGRAMMING/PERSONAL/PYTHON/Image_Generator_API/imagenes/HALIFAX_WOMENS_119005585_NVY_3.jpg")</f>
        <v/>
      </c>
      <c r="O428">
        <f>HYPERLINK("imagenes/HALIFAX_WOMENS_119005585_NVY_1.jpg","Ver imagen")</f>
        <v/>
      </c>
      <c r="P428">
        <f>HYPERLINK("imagenes/HALIFAX_WOMENS_119005585_NVY_2.jpg","Ver imagen")</f>
        <v/>
      </c>
      <c r="Q428">
        <f>HYPERLINK("imagenes/HALIFAX_WOMENS_119005585_NVY_3.jpg","Ver imagen")</f>
        <v/>
      </c>
    </row>
    <row r="429">
      <c r="A429" t="inlineStr">
        <is>
          <t>HALIFAX WOMENS</t>
        </is>
      </c>
      <c r="B429" t="inlineStr">
        <is>
          <t>119005585</t>
        </is>
      </c>
      <c r="C429" t="inlineStr">
        <is>
          <t>Softshell b/t Mellowpile Jkt w/ side flange.</t>
        </is>
      </c>
      <c r="D429" t="inlineStr">
        <is>
          <t>SLV</t>
        </is>
      </c>
      <c r="E429" t="inlineStr">
        <is>
          <t>(en blanco)</t>
        </is>
      </c>
      <c r="F429" t="inlineStr">
        <is>
          <t>D2C</t>
        </is>
      </c>
      <c r="G429" t="inlineStr">
        <is>
          <t>S</t>
        </is>
      </c>
      <c r="H429" t="n">
        <v>22</v>
      </c>
      <c r="I429" t="inlineStr">
        <is>
          <t>HALIFAX_WOMENS_119005585_SLV_1.jpg</t>
        </is>
      </c>
      <c r="J429" t="inlineStr">
        <is>
          <t>HALIFAX_WOMENS_119005585_SLV_2.jpg</t>
        </is>
      </c>
      <c r="K429" t="inlineStr">
        <is>
          <t>HALIFAX_WOMENS_119005585_SLV_3.jpg</t>
        </is>
      </c>
      <c r="L429">
        <f>IMAGE("file:///E:/Estudios%20y%20certificaciones/ESTUDIOS%20DE%20PROGRAMMING/PROGRAMMING/PERSONAL/PYTHON/Image_Generator_API/imagenes/HALIFAX_WOMENS_119005585_SLV_1.jpg")</f>
        <v/>
      </c>
      <c r="M429">
        <f>IMAGE("file:///E:/Estudios%20y%20certificaciones/ESTUDIOS%20DE%20PROGRAMMING/PROGRAMMING/PERSONAL/PYTHON/Image_Generator_API/imagenes/HALIFAX_WOMENS_119005585_SLV_2.jpg")</f>
        <v/>
      </c>
      <c r="N429">
        <f>IMAGE("file:///E:/Estudios%20y%20certificaciones/ESTUDIOS%20DE%20PROGRAMMING/PROGRAMMING/PERSONAL/PYTHON/Image_Generator_API/imagenes/HALIFAX_WOMENS_119005585_SLV_3.jpg")</f>
        <v/>
      </c>
      <c r="O429">
        <f>HYPERLINK("imagenes/HALIFAX_WOMENS_119005585_SLV_1.jpg","Ver imagen")</f>
        <v/>
      </c>
      <c r="P429">
        <f>HYPERLINK("imagenes/HALIFAX_WOMENS_119005585_SLV_2.jpg","Ver imagen")</f>
        <v/>
      </c>
      <c r="Q429">
        <f>HYPERLINK("imagenes/HALIFAX_WOMENS_119005585_SLV_3.jpg","Ver imagen")</f>
        <v/>
      </c>
    </row>
    <row r="430">
      <c r="A430" t="inlineStr">
        <is>
          <t>HALIFAX WOMENS</t>
        </is>
      </c>
      <c r="B430" t="inlineStr">
        <is>
          <t>119005585</t>
        </is>
      </c>
      <c r="C430" t="inlineStr">
        <is>
          <t>Softshell b/t Mellowpile Jkt w/ side flange.</t>
        </is>
      </c>
      <c r="D430" t="inlineStr">
        <is>
          <t>SLV</t>
        </is>
      </c>
      <c r="E430" t="inlineStr">
        <is>
          <t>(en blanco)</t>
        </is>
      </c>
      <c r="F430" t="inlineStr">
        <is>
          <t>D2C</t>
        </is>
      </c>
      <c r="G430" t="inlineStr">
        <is>
          <t>M</t>
        </is>
      </c>
      <c r="H430" t="n">
        <v>27</v>
      </c>
      <c r="I430" t="inlineStr">
        <is>
          <t>HALIFAX_WOMENS_119005585_SLV_1.jpg</t>
        </is>
      </c>
      <c r="J430" t="inlineStr">
        <is>
          <t>HALIFAX_WOMENS_119005585_SLV_2.jpg</t>
        </is>
      </c>
      <c r="K430" t="inlineStr">
        <is>
          <t>HALIFAX_WOMENS_119005585_SLV_3.jpg</t>
        </is>
      </c>
      <c r="L430">
        <f>IMAGE("file:///E:/Estudios%20y%20certificaciones/ESTUDIOS%20DE%20PROGRAMMING/PROGRAMMING/PERSONAL/PYTHON/Image_Generator_API/imagenes/HALIFAX_WOMENS_119005585_SLV_1.jpg")</f>
        <v/>
      </c>
      <c r="M430">
        <f>IMAGE("file:///E:/Estudios%20y%20certificaciones/ESTUDIOS%20DE%20PROGRAMMING/PROGRAMMING/PERSONAL/PYTHON/Image_Generator_API/imagenes/HALIFAX_WOMENS_119005585_SLV_2.jpg")</f>
        <v/>
      </c>
      <c r="N430">
        <f>IMAGE("file:///E:/Estudios%20y%20certificaciones/ESTUDIOS%20DE%20PROGRAMMING/PROGRAMMING/PERSONAL/PYTHON/Image_Generator_API/imagenes/HALIFAX_WOMENS_119005585_SLV_3.jpg")</f>
        <v/>
      </c>
      <c r="O430">
        <f>HYPERLINK("imagenes/HALIFAX_WOMENS_119005585_SLV_1.jpg","Ver imagen")</f>
        <v/>
      </c>
      <c r="P430">
        <f>HYPERLINK("imagenes/HALIFAX_WOMENS_119005585_SLV_2.jpg","Ver imagen")</f>
        <v/>
      </c>
      <c r="Q430">
        <f>HYPERLINK("imagenes/HALIFAX_WOMENS_119005585_SLV_3.jpg","Ver imagen")</f>
        <v/>
      </c>
    </row>
    <row r="431">
      <c r="A431" t="inlineStr">
        <is>
          <t>HALIFAX WOMENS</t>
        </is>
      </c>
      <c r="B431" t="inlineStr">
        <is>
          <t>119005585</t>
        </is>
      </c>
      <c r="C431" t="inlineStr">
        <is>
          <t>Softshell b/t Mellowpile Jkt w/ side flange.</t>
        </is>
      </c>
      <c r="D431" t="inlineStr">
        <is>
          <t>SLV</t>
        </is>
      </c>
      <c r="E431" t="inlineStr">
        <is>
          <t>(en blanco)</t>
        </is>
      </c>
      <c r="F431" t="inlineStr">
        <is>
          <t>D2C</t>
        </is>
      </c>
      <c r="G431" t="inlineStr">
        <is>
          <t>L</t>
        </is>
      </c>
      <c r="H431" t="n">
        <v>25</v>
      </c>
      <c r="I431" t="inlineStr">
        <is>
          <t>HALIFAX_WOMENS_119005585_SLV_1.jpg</t>
        </is>
      </c>
      <c r="J431" t="inlineStr">
        <is>
          <t>HALIFAX_WOMENS_119005585_SLV_2.jpg</t>
        </is>
      </c>
      <c r="K431" t="inlineStr">
        <is>
          <t>HALIFAX_WOMENS_119005585_SLV_3.jpg</t>
        </is>
      </c>
      <c r="L431">
        <f>IMAGE("file:///E:/Estudios%20y%20certificaciones/ESTUDIOS%20DE%20PROGRAMMING/PROGRAMMING/PERSONAL/PYTHON/Image_Generator_API/imagenes/HALIFAX_WOMENS_119005585_SLV_1.jpg")</f>
        <v/>
      </c>
      <c r="M431">
        <f>IMAGE("file:///E:/Estudios%20y%20certificaciones/ESTUDIOS%20DE%20PROGRAMMING/PROGRAMMING/PERSONAL/PYTHON/Image_Generator_API/imagenes/HALIFAX_WOMENS_119005585_SLV_2.jpg")</f>
        <v/>
      </c>
      <c r="N431">
        <f>IMAGE("file:///E:/Estudios%20y%20certificaciones/ESTUDIOS%20DE%20PROGRAMMING/PROGRAMMING/PERSONAL/PYTHON/Image_Generator_API/imagenes/HALIFAX_WOMENS_119005585_SLV_3.jpg")</f>
        <v/>
      </c>
      <c r="O431">
        <f>HYPERLINK("imagenes/HALIFAX_WOMENS_119005585_SLV_1.jpg","Ver imagen")</f>
        <v/>
      </c>
      <c r="P431">
        <f>HYPERLINK("imagenes/HALIFAX_WOMENS_119005585_SLV_2.jpg","Ver imagen")</f>
        <v/>
      </c>
      <c r="Q431">
        <f>HYPERLINK("imagenes/HALIFAX_WOMENS_119005585_SLV_3.jpg","Ver imagen")</f>
        <v/>
      </c>
    </row>
    <row r="432">
      <c r="A432" t="inlineStr">
        <is>
          <t>HALIFAX WOMENS</t>
        </is>
      </c>
      <c r="B432" t="inlineStr">
        <is>
          <t>119005585</t>
        </is>
      </c>
      <c r="C432" t="inlineStr">
        <is>
          <t>Softshell b/t Mellowpile Jkt w/ side flange.</t>
        </is>
      </c>
      <c r="D432" t="inlineStr">
        <is>
          <t>SLV</t>
        </is>
      </c>
      <c r="E432" t="inlineStr">
        <is>
          <t>(en blanco)</t>
        </is>
      </c>
      <c r="F432" t="inlineStr">
        <is>
          <t>D2C</t>
        </is>
      </c>
      <c r="G432" t="inlineStr">
        <is>
          <t>XL</t>
        </is>
      </c>
      <c r="H432" t="n">
        <v>16</v>
      </c>
      <c r="I432" t="inlineStr">
        <is>
          <t>HALIFAX_WOMENS_119005585_SLV_1.jpg</t>
        </is>
      </c>
      <c r="J432" t="inlineStr">
        <is>
          <t>HALIFAX_WOMENS_119005585_SLV_2.jpg</t>
        </is>
      </c>
      <c r="K432" t="inlineStr">
        <is>
          <t>HALIFAX_WOMENS_119005585_SLV_3.jpg</t>
        </is>
      </c>
      <c r="L432">
        <f>IMAGE("file:///E:/Estudios%20y%20certificaciones/ESTUDIOS%20DE%20PROGRAMMING/PROGRAMMING/PERSONAL/PYTHON/Image_Generator_API/imagenes/HALIFAX_WOMENS_119005585_SLV_1.jpg")</f>
        <v/>
      </c>
      <c r="M432">
        <f>IMAGE("file:///E:/Estudios%20y%20certificaciones/ESTUDIOS%20DE%20PROGRAMMING/PROGRAMMING/PERSONAL/PYTHON/Image_Generator_API/imagenes/HALIFAX_WOMENS_119005585_SLV_2.jpg")</f>
        <v/>
      </c>
      <c r="N432">
        <f>IMAGE("file:///E:/Estudios%20y%20certificaciones/ESTUDIOS%20DE%20PROGRAMMING/PROGRAMMING/PERSONAL/PYTHON/Image_Generator_API/imagenes/HALIFAX_WOMENS_119005585_SLV_3.jpg")</f>
        <v/>
      </c>
      <c r="O432">
        <f>HYPERLINK("imagenes/HALIFAX_WOMENS_119005585_SLV_1.jpg","Ver imagen")</f>
        <v/>
      </c>
      <c r="P432">
        <f>HYPERLINK("imagenes/HALIFAX_WOMENS_119005585_SLV_2.jpg","Ver imagen")</f>
        <v/>
      </c>
      <c r="Q432">
        <f>HYPERLINK("imagenes/HALIFAX_WOMENS_119005585_SLV_3.jpg","Ver imagen")</f>
        <v/>
      </c>
    </row>
    <row r="433">
      <c r="A433" t="inlineStr">
        <is>
          <t>HALIFAX WOMENS</t>
        </is>
      </c>
      <c r="B433" t="inlineStr">
        <is>
          <t>119005585</t>
        </is>
      </c>
      <c r="C433" t="inlineStr">
        <is>
          <t>Softshell b/t Mellowpile Jkt w/ side flange.</t>
        </is>
      </c>
      <c r="D433" t="inlineStr">
        <is>
          <t>SLV</t>
        </is>
      </c>
      <c r="E433" t="inlineStr">
        <is>
          <t>(en blanco)</t>
        </is>
      </c>
      <c r="F433" t="inlineStr">
        <is>
          <t>(en blanco)</t>
        </is>
      </c>
      <c r="G433" t="inlineStr">
        <is>
          <t>XXL</t>
        </is>
      </c>
      <c r="H433" t="n">
        <v>11</v>
      </c>
      <c r="I433" t="inlineStr">
        <is>
          <t>HALIFAX_WOMENS_119005585_SLV_1.jpg</t>
        </is>
      </c>
      <c r="J433" t="inlineStr">
        <is>
          <t>HALIFAX_WOMENS_119005585_SLV_2.jpg</t>
        </is>
      </c>
      <c r="K433" t="inlineStr">
        <is>
          <t>HALIFAX_WOMENS_119005585_SLV_3.jpg</t>
        </is>
      </c>
      <c r="L433">
        <f>IMAGE("file:///E:/Estudios%20y%20certificaciones/ESTUDIOS%20DE%20PROGRAMMING/PROGRAMMING/PERSONAL/PYTHON/Image_Generator_API/imagenes/HALIFAX_WOMENS_119005585_SLV_1.jpg")</f>
        <v/>
      </c>
      <c r="M433">
        <f>IMAGE("file:///E:/Estudios%20y%20certificaciones/ESTUDIOS%20DE%20PROGRAMMING/PROGRAMMING/PERSONAL/PYTHON/Image_Generator_API/imagenes/HALIFAX_WOMENS_119005585_SLV_2.jpg")</f>
        <v/>
      </c>
      <c r="N433">
        <f>IMAGE("file:///E:/Estudios%20y%20certificaciones/ESTUDIOS%20DE%20PROGRAMMING/PROGRAMMING/PERSONAL/PYTHON/Image_Generator_API/imagenes/HALIFAX_WOMENS_119005585_SLV_3.jpg")</f>
        <v/>
      </c>
      <c r="O433">
        <f>HYPERLINK("imagenes/HALIFAX_WOMENS_119005585_SLV_1.jpg","Ver imagen")</f>
        <v/>
      </c>
      <c r="P433">
        <f>HYPERLINK("imagenes/HALIFAX_WOMENS_119005585_SLV_2.jpg","Ver imagen")</f>
        <v/>
      </c>
      <c r="Q433">
        <f>HYPERLINK("imagenes/HALIFAX_WOMENS_119005585_SLV_3.jpg","Ver imagen")</f>
        <v/>
      </c>
    </row>
    <row r="434">
      <c r="A434" t="inlineStr">
        <is>
          <t>HALIFAX WOMENS</t>
        </is>
      </c>
      <c r="B434" t="inlineStr">
        <is>
          <t>119005587</t>
        </is>
      </c>
      <c r="C434" t="inlineStr">
        <is>
          <t>Softshell Mellowpile Jkt</t>
        </is>
      </c>
      <c r="D434" t="inlineStr">
        <is>
          <t>B24</t>
        </is>
      </c>
      <c r="E434" t="inlineStr">
        <is>
          <t>(en blanco)</t>
        </is>
      </c>
      <c r="F434" t="inlineStr">
        <is>
          <t>(en blanco)</t>
        </is>
      </c>
      <c r="G434" t="inlineStr">
        <is>
          <t>1X</t>
        </is>
      </c>
      <c r="H434" t="n">
        <v>14</v>
      </c>
      <c r="I434" t="inlineStr">
        <is>
          <t>HALIFAX_WOMENS_119005587_B24_1.jpg</t>
        </is>
      </c>
      <c r="J434" t="inlineStr">
        <is>
          <t>HALIFAX_WOMENS_119005587_B24_2.jpg</t>
        </is>
      </c>
      <c r="K434" t="inlineStr">
        <is>
          <t>HALIFAX_WOMENS_119005587_B24_3.jpg</t>
        </is>
      </c>
      <c r="L434">
        <f>IMAGE("file:///E:/Estudios%20y%20certificaciones/ESTUDIOS%20DE%20PROGRAMMING/PROGRAMMING/PERSONAL/PYTHON/Image_Generator_API/imagenes/HALIFAX_WOMENS_119005587_B24_1.jpg")</f>
        <v/>
      </c>
      <c r="M434">
        <f>IMAGE("file:///E:/Estudios%20y%20certificaciones/ESTUDIOS%20DE%20PROGRAMMING/PROGRAMMING/PERSONAL/PYTHON/Image_Generator_API/imagenes/HALIFAX_WOMENS_119005587_B24_2.jpg")</f>
        <v/>
      </c>
      <c r="N434">
        <f>IMAGE("file:///E:/Estudios%20y%20certificaciones/ESTUDIOS%20DE%20PROGRAMMING/PROGRAMMING/PERSONAL/PYTHON/Image_Generator_API/imagenes/HALIFAX_WOMENS_119005587_B24_3.jpg")</f>
        <v/>
      </c>
      <c r="O434">
        <f>HYPERLINK("imagenes/HALIFAX_WOMENS_119005587_B24_1.jpg","Ver imagen")</f>
        <v/>
      </c>
      <c r="P434">
        <f>HYPERLINK("imagenes/HALIFAX_WOMENS_119005587_B24_2.jpg","Ver imagen")</f>
        <v/>
      </c>
      <c r="Q434">
        <f>HYPERLINK("imagenes/HALIFAX_WOMENS_119005587_B24_3.jpg","Ver imagen")</f>
        <v/>
      </c>
    </row>
    <row r="435">
      <c r="A435" t="inlineStr">
        <is>
          <t>HALIFAX WOMENS</t>
        </is>
      </c>
      <c r="B435" t="inlineStr">
        <is>
          <t>119005587</t>
        </is>
      </c>
      <c r="C435" t="inlineStr">
        <is>
          <t>Softshell Mellowpile Jkt</t>
        </is>
      </c>
      <c r="D435" t="inlineStr">
        <is>
          <t>B24</t>
        </is>
      </c>
      <c r="E435" t="inlineStr">
        <is>
          <t>(en blanco)</t>
        </is>
      </c>
      <c r="F435" t="inlineStr">
        <is>
          <t>(en blanco)</t>
        </is>
      </c>
      <c r="G435" t="inlineStr">
        <is>
          <t>2X</t>
        </is>
      </c>
      <c r="H435" t="n">
        <v>4</v>
      </c>
      <c r="I435" t="inlineStr">
        <is>
          <t>HALIFAX_WOMENS_119005587_B24_1.jpg</t>
        </is>
      </c>
      <c r="J435" t="inlineStr">
        <is>
          <t>HALIFAX_WOMENS_119005587_B24_2.jpg</t>
        </is>
      </c>
      <c r="K435" t="inlineStr">
        <is>
          <t>HALIFAX_WOMENS_119005587_B24_3.jpg</t>
        </is>
      </c>
      <c r="L435">
        <f>IMAGE("file:///E:/Estudios%20y%20certificaciones/ESTUDIOS%20DE%20PROGRAMMING/PROGRAMMING/PERSONAL/PYTHON/Image_Generator_API/imagenes/HALIFAX_WOMENS_119005587_B24_1.jpg")</f>
        <v/>
      </c>
      <c r="M435">
        <f>IMAGE("file:///E:/Estudios%20y%20certificaciones/ESTUDIOS%20DE%20PROGRAMMING/PROGRAMMING/PERSONAL/PYTHON/Image_Generator_API/imagenes/HALIFAX_WOMENS_119005587_B24_2.jpg")</f>
        <v/>
      </c>
      <c r="N435">
        <f>IMAGE("file:///E:/Estudios%20y%20certificaciones/ESTUDIOS%20DE%20PROGRAMMING/PROGRAMMING/PERSONAL/PYTHON/Image_Generator_API/imagenes/HALIFAX_WOMENS_119005587_B24_3.jpg")</f>
        <v/>
      </c>
      <c r="O435">
        <f>HYPERLINK("imagenes/HALIFAX_WOMENS_119005587_B24_1.jpg","Ver imagen")</f>
        <v/>
      </c>
      <c r="P435">
        <f>HYPERLINK("imagenes/HALIFAX_WOMENS_119005587_B24_2.jpg","Ver imagen")</f>
        <v/>
      </c>
      <c r="Q435">
        <f>HYPERLINK("imagenes/HALIFAX_WOMENS_119005587_B24_3.jpg","Ver imagen")</f>
        <v/>
      </c>
    </row>
    <row r="436">
      <c r="A436" t="inlineStr">
        <is>
          <t>HALIFAX WOMENS</t>
        </is>
      </c>
      <c r="B436" t="inlineStr">
        <is>
          <t>119005587</t>
        </is>
      </c>
      <c r="C436" t="inlineStr">
        <is>
          <t>Softshell Mellowpile Jkt</t>
        </is>
      </c>
      <c r="D436" t="inlineStr">
        <is>
          <t>B24</t>
        </is>
      </c>
      <c r="E436" t="inlineStr">
        <is>
          <t>(en blanco)</t>
        </is>
      </c>
      <c r="F436" t="inlineStr">
        <is>
          <t>(en blanco)</t>
        </is>
      </c>
      <c r="G436" t="inlineStr">
        <is>
          <t>3X</t>
        </is>
      </c>
      <c r="H436" t="n">
        <v>3</v>
      </c>
      <c r="I436" t="inlineStr">
        <is>
          <t>HALIFAX_WOMENS_119005587_B24_1.jpg</t>
        </is>
      </c>
      <c r="J436" t="inlineStr">
        <is>
          <t>HALIFAX_WOMENS_119005587_B24_2.jpg</t>
        </is>
      </c>
      <c r="K436" t="inlineStr">
        <is>
          <t>HALIFAX_WOMENS_119005587_B24_3.jpg</t>
        </is>
      </c>
      <c r="L436">
        <f>IMAGE("file:///E:/Estudios%20y%20certificaciones/ESTUDIOS%20DE%20PROGRAMMING/PROGRAMMING/PERSONAL/PYTHON/Image_Generator_API/imagenes/HALIFAX_WOMENS_119005587_B24_1.jpg")</f>
        <v/>
      </c>
      <c r="M436">
        <f>IMAGE("file:///E:/Estudios%20y%20certificaciones/ESTUDIOS%20DE%20PROGRAMMING/PROGRAMMING/PERSONAL/PYTHON/Image_Generator_API/imagenes/HALIFAX_WOMENS_119005587_B24_2.jpg")</f>
        <v/>
      </c>
      <c r="N436">
        <f>IMAGE("file:///E:/Estudios%20y%20certificaciones/ESTUDIOS%20DE%20PROGRAMMING/PROGRAMMING/PERSONAL/PYTHON/Image_Generator_API/imagenes/HALIFAX_WOMENS_119005587_B24_3.jpg")</f>
        <v/>
      </c>
      <c r="O436">
        <f>HYPERLINK("imagenes/HALIFAX_WOMENS_119005587_B24_1.jpg","Ver imagen")</f>
        <v/>
      </c>
      <c r="P436">
        <f>HYPERLINK("imagenes/HALIFAX_WOMENS_119005587_B24_2.jpg","Ver imagen")</f>
        <v/>
      </c>
      <c r="Q436">
        <f>HYPERLINK("imagenes/HALIFAX_WOMENS_119005587_B24_3.jpg","Ver imagen")</f>
        <v/>
      </c>
    </row>
    <row r="437">
      <c r="A437" t="inlineStr">
        <is>
          <t>HALIFAX WOMENS</t>
        </is>
      </c>
      <c r="B437" t="inlineStr">
        <is>
          <t>119005587</t>
        </is>
      </c>
      <c r="C437" t="inlineStr">
        <is>
          <t>Softshell Mellowpile Jkt</t>
        </is>
      </c>
      <c r="D437" t="inlineStr">
        <is>
          <t>BLK</t>
        </is>
      </c>
      <c r="E437" t="inlineStr">
        <is>
          <t>05A04</t>
        </is>
      </c>
      <c r="F437" t="inlineStr">
        <is>
          <t>(en blanco)</t>
        </is>
      </c>
      <c r="G437" t="inlineStr">
        <is>
          <t>PPK</t>
        </is>
      </c>
      <c r="H437" t="n">
        <v>20</v>
      </c>
      <c r="I437" t="inlineStr">
        <is>
          <t>HALIFAX_WOMENS_119005587_BLK_1.jpg</t>
        </is>
      </c>
      <c r="J437" t="inlineStr">
        <is>
          <t>HALIFAX_WOMENS_119005587_BLK_2.jpg</t>
        </is>
      </c>
      <c r="K437" t="inlineStr">
        <is>
          <t>HALIFAX_WOMENS_119005587_BLK_3.jpg</t>
        </is>
      </c>
      <c r="L437">
        <f>IMAGE("file:///E:/Estudios%20y%20certificaciones/ESTUDIOS%20DE%20PROGRAMMING/PROGRAMMING/PERSONAL/PYTHON/Image_Generator_API/imagenes/HALIFAX_WOMENS_119005587_BLK_1.jpg")</f>
        <v/>
      </c>
      <c r="M437">
        <f>IMAGE("file:///E:/Estudios%20y%20certificaciones/ESTUDIOS%20DE%20PROGRAMMING/PROGRAMMING/PERSONAL/PYTHON/Image_Generator_API/imagenes/HALIFAX_WOMENS_119005587_BLK_2.jpg")</f>
        <v/>
      </c>
      <c r="N437">
        <f>IMAGE("file:///E:/Estudios%20y%20certificaciones/ESTUDIOS%20DE%20PROGRAMMING/PROGRAMMING/PERSONAL/PYTHON/Image_Generator_API/imagenes/HALIFAX_WOMENS_119005587_BLK_3.jpg")</f>
        <v/>
      </c>
      <c r="O437">
        <f>HYPERLINK("imagenes/HALIFAX_WOMENS_119005587_BLK_1.jpg","Ver imagen")</f>
        <v/>
      </c>
      <c r="P437">
        <f>HYPERLINK("imagenes/HALIFAX_WOMENS_119005587_BLK_2.jpg","Ver imagen")</f>
        <v/>
      </c>
      <c r="Q437">
        <f>HYPERLINK("imagenes/HALIFAX_WOMENS_119005587_BLK_3.jpg","Ver imagen")</f>
        <v/>
      </c>
    </row>
    <row r="438">
      <c r="A438" t="inlineStr">
        <is>
          <t>HALIFAX WOMENS</t>
        </is>
      </c>
      <c r="B438" t="inlineStr">
        <is>
          <t>119005587</t>
        </is>
      </c>
      <c r="C438" t="inlineStr">
        <is>
          <t>Softshell Mellowpile Jkt</t>
        </is>
      </c>
      <c r="D438" t="inlineStr">
        <is>
          <t>BLK</t>
        </is>
      </c>
      <c r="E438" t="inlineStr">
        <is>
          <t>09A08</t>
        </is>
      </c>
      <c r="F438" t="inlineStr">
        <is>
          <t>(en blanco)</t>
        </is>
      </c>
      <c r="G438" t="inlineStr">
        <is>
          <t>PPK</t>
        </is>
      </c>
      <c r="H438" t="n">
        <v>1998</v>
      </c>
      <c r="I438" t="inlineStr">
        <is>
          <t>HALIFAX_WOMENS_119005587_BLK_1.jpg</t>
        </is>
      </c>
      <c r="J438" t="inlineStr">
        <is>
          <t>HALIFAX_WOMENS_119005587_BLK_2.jpg</t>
        </is>
      </c>
      <c r="K438" t="inlineStr">
        <is>
          <t>HALIFAX_WOMENS_119005587_BLK_3.jpg</t>
        </is>
      </c>
      <c r="L438">
        <f>IMAGE("file:///E:/Estudios%20y%20certificaciones/ESTUDIOS%20DE%20PROGRAMMING/PROGRAMMING/PERSONAL/PYTHON/Image_Generator_API/imagenes/HALIFAX_WOMENS_119005587_BLK_1.jpg")</f>
        <v/>
      </c>
      <c r="M438">
        <f>IMAGE("file:///E:/Estudios%20y%20certificaciones/ESTUDIOS%20DE%20PROGRAMMING/PROGRAMMING/PERSONAL/PYTHON/Image_Generator_API/imagenes/HALIFAX_WOMENS_119005587_BLK_2.jpg")</f>
        <v/>
      </c>
      <c r="N438">
        <f>IMAGE("file:///E:/Estudios%20y%20certificaciones/ESTUDIOS%20DE%20PROGRAMMING/PROGRAMMING/PERSONAL/PYTHON/Image_Generator_API/imagenes/HALIFAX_WOMENS_119005587_BLK_3.jpg")</f>
        <v/>
      </c>
      <c r="O438">
        <f>HYPERLINK("imagenes/HALIFAX_WOMENS_119005587_BLK_1.jpg","Ver imagen")</f>
        <v/>
      </c>
      <c r="P438">
        <f>HYPERLINK("imagenes/HALIFAX_WOMENS_119005587_BLK_2.jpg","Ver imagen")</f>
        <v/>
      </c>
      <c r="Q438">
        <f>HYPERLINK("imagenes/HALIFAX_WOMENS_119005587_BLK_3.jpg","Ver imagen")</f>
        <v/>
      </c>
    </row>
    <row r="439">
      <c r="A439" t="inlineStr">
        <is>
          <t>HALIFAX WOMENS</t>
        </is>
      </c>
      <c r="B439" t="inlineStr">
        <is>
          <t>119005587</t>
        </is>
      </c>
      <c r="C439" t="inlineStr">
        <is>
          <t>Softshell Mellowpile Jkt</t>
        </is>
      </c>
      <c r="D439" t="inlineStr">
        <is>
          <t>BLK</t>
        </is>
      </c>
      <c r="E439" t="inlineStr">
        <is>
          <t>(en blanco)</t>
        </is>
      </c>
      <c r="F439" t="inlineStr">
        <is>
          <t>(en blanco)</t>
        </is>
      </c>
      <c r="G439" t="inlineStr">
        <is>
          <t>1X</t>
        </is>
      </c>
      <c r="H439" t="n">
        <v>2</v>
      </c>
      <c r="I439" t="inlineStr">
        <is>
          <t>HALIFAX_WOMENS_119005587_BLK_1.jpg</t>
        </is>
      </c>
      <c r="J439" t="inlineStr">
        <is>
          <t>HALIFAX_WOMENS_119005587_BLK_2.jpg</t>
        </is>
      </c>
      <c r="K439" t="inlineStr">
        <is>
          <t>HALIFAX_WOMENS_119005587_BLK_3.jpg</t>
        </is>
      </c>
      <c r="L439">
        <f>IMAGE("file:///E:/Estudios%20y%20certificaciones/ESTUDIOS%20DE%20PROGRAMMING/PROGRAMMING/PERSONAL/PYTHON/Image_Generator_API/imagenes/HALIFAX_WOMENS_119005587_BLK_1.jpg")</f>
        <v/>
      </c>
      <c r="M439">
        <f>IMAGE("file:///E:/Estudios%20y%20certificaciones/ESTUDIOS%20DE%20PROGRAMMING/PROGRAMMING/PERSONAL/PYTHON/Image_Generator_API/imagenes/HALIFAX_WOMENS_119005587_BLK_2.jpg")</f>
        <v/>
      </c>
      <c r="N439">
        <f>IMAGE("file:///E:/Estudios%20y%20certificaciones/ESTUDIOS%20DE%20PROGRAMMING/PROGRAMMING/PERSONAL/PYTHON/Image_Generator_API/imagenes/HALIFAX_WOMENS_119005587_BLK_3.jpg")</f>
        <v/>
      </c>
      <c r="O439">
        <f>HYPERLINK("imagenes/HALIFAX_WOMENS_119005587_BLK_1.jpg","Ver imagen")</f>
        <v/>
      </c>
      <c r="P439">
        <f>HYPERLINK("imagenes/HALIFAX_WOMENS_119005587_BLK_2.jpg","Ver imagen")</f>
        <v/>
      </c>
      <c r="Q439">
        <f>HYPERLINK("imagenes/HALIFAX_WOMENS_119005587_BLK_3.jpg","Ver imagen")</f>
        <v/>
      </c>
    </row>
    <row r="440">
      <c r="A440" t="inlineStr">
        <is>
          <t>HALIFAX WOMENS</t>
        </is>
      </c>
      <c r="B440" t="inlineStr">
        <is>
          <t>119005587</t>
        </is>
      </c>
      <c r="C440" t="inlineStr">
        <is>
          <t>Softshell Mellowpile Jkt</t>
        </is>
      </c>
      <c r="D440" t="inlineStr">
        <is>
          <t>BLK</t>
        </is>
      </c>
      <c r="E440" t="inlineStr">
        <is>
          <t>(en blanco)</t>
        </is>
      </c>
      <c r="F440" t="inlineStr">
        <is>
          <t>(en blanco)</t>
        </is>
      </c>
      <c r="G440" t="inlineStr">
        <is>
          <t>2X</t>
        </is>
      </c>
      <c r="H440" t="n">
        <v>6</v>
      </c>
      <c r="I440" t="inlineStr">
        <is>
          <t>HALIFAX_WOMENS_119005587_BLK_1.jpg</t>
        </is>
      </c>
      <c r="J440" t="inlineStr">
        <is>
          <t>HALIFAX_WOMENS_119005587_BLK_2.jpg</t>
        </is>
      </c>
      <c r="K440" t="inlineStr">
        <is>
          <t>HALIFAX_WOMENS_119005587_BLK_3.jpg</t>
        </is>
      </c>
      <c r="L440">
        <f>IMAGE("file:///E:/Estudios%20y%20certificaciones/ESTUDIOS%20DE%20PROGRAMMING/PROGRAMMING/PERSONAL/PYTHON/Image_Generator_API/imagenes/HALIFAX_WOMENS_119005587_BLK_1.jpg")</f>
        <v/>
      </c>
      <c r="M440">
        <f>IMAGE("file:///E:/Estudios%20y%20certificaciones/ESTUDIOS%20DE%20PROGRAMMING/PROGRAMMING/PERSONAL/PYTHON/Image_Generator_API/imagenes/HALIFAX_WOMENS_119005587_BLK_2.jpg")</f>
        <v/>
      </c>
      <c r="N440">
        <f>IMAGE("file:///E:/Estudios%20y%20certificaciones/ESTUDIOS%20DE%20PROGRAMMING/PROGRAMMING/PERSONAL/PYTHON/Image_Generator_API/imagenes/HALIFAX_WOMENS_119005587_BLK_3.jpg")</f>
        <v/>
      </c>
      <c r="O440">
        <f>HYPERLINK("imagenes/HALIFAX_WOMENS_119005587_BLK_1.jpg","Ver imagen")</f>
        <v/>
      </c>
      <c r="P440">
        <f>HYPERLINK("imagenes/HALIFAX_WOMENS_119005587_BLK_2.jpg","Ver imagen")</f>
        <v/>
      </c>
      <c r="Q440">
        <f>HYPERLINK("imagenes/HALIFAX_WOMENS_119005587_BLK_3.jpg","Ver imagen")</f>
        <v/>
      </c>
    </row>
    <row r="441">
      <c r="A441" t="inlineStr">
        <is>
          <t>HALIFAX WOMENS</t>
        </is>
      </c>
      <c r="B441" t="inlineStr">
        <is>
          <t>119005587</t>
        </is>
      </c>
      <c r="C441" t="inlineStr">
        <is>
          <t>Softshell Mellowpile Jkt</t>
        </is>
      </c>
      <c r="D441" t="inlineStr">
        <is>
          <t>BLK</t>
        </is>
      </c>
      <c r="E441" t="inlineStr">
        <is>
          <t>(en blanco)</t>
        </is>
      </c>
      <c r="F441" t="inlineStr">
        <is>
          <t>(en blanco)</t>
        </is>
      </c>
      <c r="G441" t="inlineStr">
        <is>
          <t>3X</t>
        </is>
      </c>
      <c r="H441" t="n">
        <v>0</v>
      </c>
      <c r="I441" t="inlineStr">
        <is>
          <t>HALIFAX_WOMENS_119005587_BLK_1.jpg</t>
        </is>
      </c>
      <c r="J441" t="inlineStr">
        <is>
          <t>HALIFAX_WOMENS_119005587_BLK_2.jpg</t>
        </is>
      </c>
      <c r="K441" t="inlineStr">
        <is>
          <t>HALIFAX_WOMENS_119005587_BLK_3.jpg</t>
        </is>
      </c>
      <c r="L441">
        <f>IMAGE("file:///E:/Estudios%20y%20certificaciones/ESTUDIOS%20DE%20PROGRAMMING/PROGRAMMING/PERSONAL/PYTHON/Image_Generator_API/imagenes/HALIFAX_WOMENS_119005587_BLK_1.jpg")</f>
        <v/>
      </c>
      <c r="M441">
        <f>IMAGE("file:///E:/Estudios%20y%20certificaciones/ESTUDIOS%20DE%20PROGRAMMING/PROGRAMMING/PERSONAL/PYTHON/Image_Generator_API/imagenes/HALIFAX_WOMENS_119005587_BLK_2.jpg")</f>
        <v/>
      </c>
      <c r="N441">
        <f>IMAGE("file:///E:/Estudios%20y%20certificaciones/ESTUDIOS%20DE%20PROGRAMMING/PROGRAMMING/PERSONAL/PYTHON/Image_Generator_API/imagenes/HALIFAX_WOMENS_119005587_BLK_3.jpg")</f>
        <v/>
      </c>
      <c r="O441">
        <f>HYPERLINK("imagenes/HALIFAX_WOMENS_119005587_BLK_1.jpg","Ver imagen")</f>
        <v/>
      </c>
      <c r="P441">
        <f>HYPERLINK("imagenes/HALIFAX_WOMENS_119005587_BLK_2.jpg","Ver imagen")</f>
        <v/>
      </c>
      <c r="Q441">
        <f>HYPERLINK("imagenes/HALIFAX_WOMENS_119005587_BLK_3.jpg","Ver imagen")</f>
        <v/>
      </c>
    </row>
    <row r="442">
      <c r="A442" t="inlineStr">
        <is>
          <t>HALIFAX WOMENS</t>
        </is>
      </c>
      <c r="B442" t="inlineStr">
        <is>
          <t>119005587</t>
        </is>
      </c>
      <c r="C442" t="inlineStr">
        <is>
          <t>Softshell Mellowpile Jkt</t>
        </is>
      </c>
      <c r="D442" t="inlineStr">
        <is>
          <t>NVY</t>
        </is>
      </c>
      <c r="E442" t="inlineStr">
        <is>
          <t>(en blanco)</t>
        </is>
      </c>
      <c r="F442" t="inlineStr">
        <is>
          <t>(en blanco)</t>
        </is>
      </c>
      <c r="G442" t="inlineStr">
        <is>
          <t>1X</t>
        </is>
      </c>
      <c r="H442" t="n">
        <v>3</v>
      </c>
      <c r="I442" t="inlineStr">
        <is>
          <t>HALIFAX_WOMENS_119005587_NVY_3.jpg</t>
        </is>
      </c>
      <c r="L442">
        <f>IMAGE("file:///E:/Estudios%20y%20certificaciones/ESTUDIOS%20DE%20PROGRAMMING/PROGRAMMING/PERSONAL/PYTHON/Image_Generator_API/imagenes/HALIFAX_WOMENS_119005587_NVY_3.jpg")</f>
        <v/>
      </c>
      <c r="O442">
        <f>HYPERLINK("imagenes/HALIFAX_WOMENS_119005587_NVY_3.jpg","Ver imagen")</f>
        <v/>
      </c>
    </row>
    <row r="443">
      <c r="A443" t="inlineStr">
        <is>
          <t>HALIFAX WOMENS</t>
        </is>
      </c>
      <c r="B443" t="inlineStr">
        <is>
          <t>119005587</t>
        </is>
      </c>
      <c r="C443" t="inlineStr">
        <is>
          <t>Softshell Mellowpile Jkt</t>
        </is>
      </c>
      <c r="D443" t="inlineStr">
        <is>
          <t>NVY</t>
        </is>
      </c>
      <c r="E443" t="inlineStr">
        <is>
          <t>(en blanco)</t>
        </is>
      </c>
      <c r="F443" t="inlineStr">
        <is>
          <t>(en blanco)</t>
        </is>
      </c>
      <c r="G443" t="inlineStr">
        <is>
          <t>2X</t>
        </is>
      </c>
      <c r="H443" t="n">
        <v>6</v>
      </c>
      <c r="I443" t="inlineStr">
        <is>
          <t>HALIFAX_WOMENS_119005587_NVY_3.jpg</t>
        </is>
      </c>
      <c r="L443">
        <f>IMAGE("file:///E:/Estudios%20y%20certificaciones/ESTUDIOS%20DE%20PROGRAMMING/PROGRAMMING/PERSONAL/PYTHON/Image_Generator_API/imagenes/HALIFAX_WOMENS_119005587_NVY_3.jpg")</f>
        <v/>
      </c>
      <c r="O443">
        <f>HYPERLINK("imagenes/HALIFAX_WOMENS_119005587_NVY_3.jpg","Ver imagen")</f>
        <v/>
      </c>
    </row>
    <row r="444">
      <c r="A444" t="inlineStr">
        <is>
          <t>HALIFAX WOMENS</t>
        </is>
      </c>
      <c r="B444" t="inlineStr">
        <is>
          <t>119005587</t>
        </is>
      </c>
      <c r="C444" t="inlineStr">
        <is>
          <t>Softshell Mellowpile Jkt</t>
        </is>
      </c>
      <c r="D444" t="inlineStr">
        <is>
          <t>NVY</t>
        </is>
      </c>
      <c r="E444" t="inlineStr">
        <is>
          <t>(en blanco)</t>
        </is>
      </c>
      <c r="F444" t="inlineStr">
        <is>
          <t>(en blanco)</t>
        </is>
      </c>
      <c r="G444" t="inlineStr">
        <is>
          <t>3X</t>
        </is>
      </c>
      <c r="H444" t="n">
        <v>2</v>
      </c>
      <c r="I444" t="inlineStr">
        <is>
          <t>HALIFAX_WOMENS_119005587_NVY_3.jpg</t>
        </is>
      </c>
      <c r="L444">
        <f>IMAGE("file:///E:/Estudios%20y%20certificaciones/ESTUDIOS%20DE%20PROGRAMMING/PROGRAMMING/PERSONAL/PYTHON/Image_Generator_API/imagenes/HALIFAX_WOMENS_119005587_NVY_3.jpg")</f>
        <v/>
      </c>
      <c r="O444">
        <f>HYPERLINK("imagenes/HALIFAX_WOMENS_119005587_NVY_3.jpg","Ver imagen")</f>
        <v/>
      </c>
    </row>
    <row r="445">
      <c r="A445" t="inlineStr">
        <is>
          <t>HALIFAX WOMENS</t>
        </is>
      </c>
      <c r="B445" t="inlineStr">
        <is>
          <t>119005587</t>
        </is>
      </c>
      <c r="C445" t="inlineStr">
        <is>
          <t>Softshell Mellowpile Jkt</t>
        </is>
      </c>
      <c r="D445" t="inlineStr">
        <is>
          <t>SLV</t>
        </is>
      </c>
      <c r="E445" t="inlineStr">
        <is>
          <t>(en blanco)</t>
        </is>
      </c>
      <c r="F445" t="inlineStr">
        <is>
          <t>(en blanco)</t>
        </is>
      </c>
      <c r="G445" t="inlineStr">
        <is>
          <t>1X</t>
        </is>
      </c>
      <c r="H445" t="n">
        <v>21</v>
      </c>
      <c r="I445" t="inlineStr">
        <is>
          <t>HALIFAX_WOMENS_119005587_SLV_1.jpg</t>
        </is>
      </c>
      <c r="J445" t="inlineStr">
        <is>
          <t>HALIFAX_WOMENS_119005587_SLV_2.jpg</t>
        </is>
      </c>
      <c r="K445" t="inlineStr">
        <is>
          <t>HALIFAX_WOMENS_119005587_SLV_3.jpg</t>
        </is>
      </c>
      <c r="L445">
        <f>IMAGE("file:///E:/Estudios%20y%20certificaciones/ESTUDIOS%20DE%20PROGRAMMING/PROGRAMMING/PERSONAL/PYTHON/Image_Generator_API/imagenes/HALIFAX_WOMENS_119005587_SLV_1.jpg")</f>
        <v/>
      </c>
      <c r="M445">
        <f>IMAGE("file:///E:/Estudios%20y%20certificaciones/ESTUDIOS%20DE%20PROGRAMMING/PROGRAMMING/PERSONAL/PYTHON/Image_Generator_API/imagenes/HALIFAX_WOMENS_119005587_SLV_2.jpg")</f>
        <v/>
      </c>
      <c r="N445">
        <f>IMAGE("file:///E:/Estudios%20y%20certificaciones/ESTUDIOS%20DE%20PROGRAMMING/PROGRAMMING/PERSONAL/PYTHON/Image_Generator_API/imagenes/HALIFAX_WOMENS_119005587_SLV_3.jpg")</f>
        <v/>
      </c>
      <c r="O445">
        <f>HYPERLINK("imagenes/HALIFAX_WOMENS_119005587_SLV_1.jpg","Ver imagen")</f>
        <v/>
      </c>
      <c r="P445">
        <f>HYPERLINK("imagenes/HALIFAX_WOMENS_119005587_SLV_2.jpg","Ver imagen")</f>
        <v/>
      </c>
      <c r="Q445">
        <f>HYPERLINK("imagenes/HALIFAX_WOMENS_119005587_SLV_3.jpg","Ver imagen")</f>
        <v/>
      </c>
    </row>
    <row r="446">
      <c r="A446" t="inlineStr">
        <is>
          <t>HALIFAX WOMENS</t>
        </is>
      </c>
      <c r="B446" t="inlineStr">
        <is>
          <t>119005587</t>
        </is>
      </c>
      <c r="C446" t="inlineStr">
        <is>
          <t>Softshell Mellowpile Jkt</t>
        </is>
      </c>
      <c r="D446" t="inlineStr">
        <is>
          <t>SLV</t>
        </is>
      </c>
      <c r="E446" t="inlineStr">
        <is>
          <t>(en blanco)</t>
        </is>
      </c>
      <c r="F446" t="inlineStr">
        <is>
          <t>(en blanco)</t>
        </is>
      </c>
      <c r="G446" t="inlineStr">
        <is>
          <t>3X</t>
        </is>
      </c>
      <c r="H446" t="n">
        <v>3</v>
      </c>
      <c r="I446" t="inlineStr">
        <is>
          <t>HALIFAX_WOMENS_119005587_SLV_1.jpg</t>
        </is>
      </c>
      <c r="J446" t="inlineStr">
        <is>
          <t>HALIFAX_WOMENS_119005587_SLV_2.jpg</t>
        </is>
      </c>
      <c r="K446" t="inlineStr">
        <is>
          <t>HALIFAX_WOMENS_119005587_SLV_3.jpg</t>
        </is>
      </c>
      <c r="L446">
        <f>IMAGE("file:///E:/Estudios%20y%20certificaciones/ESTUDIOS%20DE%20PROGRAMMING/PROGRAMMING/PERSONAL/PYTHON/Image_Generator_API/imagenes/HALIFAX_WOMENS_119005587_SLV_1.jpg")</f>
        <v/>
      </c>
      <c r="M446">
        <f>IMAGE("file:///E:/Estudios%20y%20certificaciones/ESTUDIOS%20DE%20PROGRAMMING/PROGRAMMING/PERSONAL/PYTHON/Image_Generator_API/imagenes/HALIFAX_WOMENS_119005587_SLV_2.jpg")</f>
        <v/>
      </c>
      <c r="N446">
        <f>IMAGE("file:///E:/Estudios%20y%20certificaciones/ESTUDIOS%20DE%20PROGRAMMING/PROGRAMMING/PERSONAL/PYTHON/Image_Generator_API/imagenes/HALIFAX_WOMENS_119005587_SLV_3.jpg")</f>
        <v/>
      </c>
      <c r="O446">
        <f>HYPERLINK("imagenes/HALIFAX_WOMENS_119005587_SLV_1.jpg","Ver imagen")</f>
        <v/>
      </c>
      <c r="P446">
        <f>HYPERLINK("imagenes/HALIFAX_WOMENS_119005587_SLV_2.jpg","Ver imagen")</f>
        <v/>
      </c>
      <c r="Q446">
        <f>HYPERLINK("imagenes/HALIFAX_WOMENS_119005587_SLV_3.jpg","Ver imagen")</f>
        <v/>
      </c>
    </row>
    <row r="447">
      <c r="A447" t="inlineStr">
        <is>
          <t>HALIFAX WOMENS</t>
        </is>
      </c>
      <c r="B447" t="inlineStr">
        <is>
          <t>119007795</t>
        </is>
      </c>
      <c r="C447" t="inlineStr">
        <is>
          <t>DUP41419 Nylon Windbreaker Jacket</t>
        </is>
      </c>
      <c r="D447" t="inlineStr">
        <is>
          <t>BLK</t>
        </is>
      </c>
      <c r="E447" t="inlineStr">
        <is>
          <t>24A05</t>
        </is>
      </c>
      <c r="F447" t="inlineStr">
        <is>
          <t>(en blanco)</t>
        </is>
      </c>
      <c r="G447" t="inlineStr">
        <is>
          <t>PPK</t>
        </is>
      </c>
      <c r="H447" t="n">
        <v>144</v>
      </c>
      <c r="I447" t="inlineStr">
        <is>
          <t>HALIFAX_WOMENS_119007795_BLK_1.jpg</t>
        </is>
      </c>
      <c r="J447" t="inlineStr">
        <is>
          <t>HALIFAX_WOMENS_119007795_BLK_2.jpg</t>
        </is>
      </c>
      <c r="K447" t="inlineStr">
        <is>
          <t>HALIFAX_WOMENS_119007795_BLK_3.jpg</t>
        </is>
      </c>
      <c r="L447">
        <f>IMAGE("file:///E:/Estudios%20y%20certificaciones/ESTUDIOS%20DE%20PROGRAMMING/PROGRAMMING/PERSONAL/PYTHON/Image_Generator_API/imagenes/HALIFAX_WOMENS_119007795_BLK_1.jpg")</f>
        <v/>
      </c>
      <c r="M447">
        <f>IMAGE("file:///E:/Estudios%20y%20certificaciones/ESTUDIOS%20DE%20PROGRAMMING/PROGRAMMING/PERSONAL/PYTHON/Image_Generator_API/imagenes/HALIFAX_WOMENS_119007795_BLK_2.jpg")</f>
        <v/>
      </c>
      <c r="N447">
        <f>IMAGE("file:///E:/Estudios%20y%20certificaciones/ESTUDIOS%20DE%20PROGRAMMING/PROGRAMMING/PERSONAL/PYTHON/Image_Generator_API/imagenes/HALIFAX_WOMENS_119007795_BLK_3.jpg")</f>
        <v/>
      </c>
      <c r="O447">
        <f>HYPERLINK("imagenes/HALIFAX_WOMENS_119007795_BLK_1.jpg","Ver imagen")</f>
        <v/>
      </c>
      <c r="P447">
        <f>HYPERLINK("imagenes/HALIFAX_WOMENS_119007795_BLK_2.jpg","Ver imagen")</f>
        <v/>
      </c>
      <c r="Q447">
        <f>HYPERLINK("imagenes/HALIFAX_WOMENS_119007795_BLK_3.jpg","Ver imagen")</f>
        <v/>
      </c>
    </row>
    <row r="448">
      <c r="A448" t="inlineStr">
        <is>
          <t>HALIFAX WOMENS</t>
        </is>
      </c>
      <c r="B448" t="inlineStr">
        <is>
          <t>119007795</t>
        </is>
      </c>
      <c r="C448" t="inlineStr">
        <is>
          <t>DUP41419 Nylon Windbreaker Jacket</t>
        </is>
      </c>
      <c r="D448" t="inlineStr">
        <is>
          <t>BLK</t>
        </is>
      </c>
      <c r="E448" t="inlineStr">
        <is>
          <t>(en blanco)</t>
        </is>
      </c>
      <c r="F448" t="inlineStr">
        <is>
          <t>(en blanco)</t>
        </is>
      </c>
      <c r="G448" t="inlineStr">
        <is>
          <t>S</t>
        </is>
      </c>
      <c r="H448" t="n">
        <v>0</v>
      </c>
      <c r="I448" t="inlineStr">
        <is>
          <t>HALIFAX_WOMENS_119007795_BLK_1.jpg</t>
        </is>
      </c>
      <c r="J448" t="inlineStr">
        <is>
          <t>HALIFAX_WOMENS_119007795_BLK_2.jpg</t>
        </is>
      </c>
      <c r="K448" t="inlineStr">
        <is>
          <t>HALIFAX_WOMENS_119007795_BLK_3.jpg</t>
        </is>
      </c>
      <c r="L448">
        <f>IMAGE("file:///E:/Estudios%20y%20certificaciones/ESTUDIOS%20DE%20PROGRAMMING/PROGRAMMING/PERSONAL/PYTHON/Image_Generator_API/imagenes/HALIFAX_WOMENS_119007795_BLK_1.jpg")</f>
        <v/>
      </c>
      <c r="M448">
        <f>IMAGE("file:///E:/Estudios%20y%20certificaciones/ESTUDIOS%20DE%20PROGRAMMING/PROGRAMMING/PERSONAL/PYTHON/Image_Generator_API/imagenes/HALIFAX_WOMENS_119007795_BLK_2.jpg")</f>
        <v/>
      </c>
      <c r="N448">
        <f>IMAGE("file:///E:/Estudios%20y%20certificaciones/ESTUDIOS%20DE%20PROGRAMMING/PROGRAMMING/PERSONAL/PYTHON/Image_Generator_API/imagenes/HALIFAX_WOMENS_119007795_BLK_3.jpg")</f>
        <v/>
      </c>
      <c r="O448">
        <f>HYPERLINK("imagenes/HALIFAX_WOMENS_119007795_BLK_1.jpg","Ver imagen")</f>
        <v/>
      </c>
      <c r="P448">
        <f>HYPERLINK("imagenes/HALIFAX_WOMENS_119007795_BLK_2.jpg","Ver imagen")</f>
        <v/>
      </c>
      <c r="Q448">
        <f>HYPERLINK("imagenes/HALIFAX_WOMENS_119007795_BLK_3.jpg","Ver imagen")</f>
        <v/>
      </c>
    </row>
    <row r="449">
      <c r="A449" t="inlineStr">
        <is>
          <t>HALIFAX WOMENS</t>
        </is>
      </c>
      <c r="B449" t="inlineStr">
        <is>
          <t>119007795</t>
        </is>
      </c>
      <c r="C449" t="inlineStr">
        <is>
          <t>DUP41419 Nylon Windbreaker Jacket</t>
        </is>
      </c>
      <c r="D449" t="inlineStr">
        <is>
          <t>BLK</t>
        </is>
      </c>
      <c r="E449" t="inlineStr">
        <is>
          <t>(en blanco)</t>
        </is>
      </c>
      <c r="F449" t="inlineStr">
        <is>
          <t>(en blanco)</t>
        </is>
      </c>
      <c r="G449" t="inlineStr">
        <is>
          <t>M</t>
        </is>
      </c>
      <c r="H449" t="n">
        <v>2</v>
      </c>
      <c r="I449" t="inlineStr">
        <is>
          <t>HALIFAX_WOMENS_119007795_BLK_1.jpg</t>
        </is>
      </c>
      <c r="J449" t="inlineStr">
        <is>
          <t>HALIFAX_WOMENS_119007795_BLK_2.jpg</t>
        </is>
      </c>
      <c r="K449" t="inlineStr">
        <is>
          <t>HALIFAX_WOMENS_119007795_BLK_3.jpg</t>
        </is>
      </c>
      <c r="L449">
        <f>IMAGE("file:///E:/Estudios%20y%20certificaciones/ESTUDIOS%20DE%20PROGRAMMING/PROGRAMMING/PERSONAL/PYTHON/Image_Generator_API/imagenes/HALIFAX_WOMENS_119007795_BLK_1.jpg")</f>
        <v/>
      </c>
      <c r="M449">
        <f>IMAGE("file:///E:/Estudios%20y%20certificaciones/ESTUDIOS%20DE%20PROGRAMMING/PROGRAMMING/PERSONAL/PYTHON/Image_Generator_API/imagenes/HALIFAX_WOMENS_119007795_BLK_2.jpg")</f>
        <v/>
      </c>
      <c r="N449">
        <f>IMAGE("file:///E:/Estudios%20y%20certificaciones/ESTUDIOS%20DE%20PROGRAMMING/PROGRAMMING/PERSONAL/PYTHON/Image_Generator_API/imagenes/HALIFAX_WOMENS_119007795_BLK_3.jpg")</f>
        <v/>
      </c>
      <c r="O449">
        <f>HYPERLINK("imagenes/HALIFAX_WOMENS_119007795_BLK_1.jpg","Ver imagen")</f>
        <v/>
      </c>
      <c r="P449">
        <f>HYPERLINK("imagenes/HALIFAX_WOMENS_119007795_BLK_2.jpg","Ver imagen")</f>
        <v/>
      </c>
      <c r="Q449">
        <f>HYPERLINK("imagenes/HALIFAX_WOMENS_119007795_BLK_3.jpg","Ver imagen")</f>
        <v/>
      </c>
    </row>
    <row r="450">
      <c r="A450" t="inlineStr">
        <is>
          <t>HALIFAX WOMENS</t>
        </is>
      </c>
      <c r="B450" t="inlineStr">
        <is>
          <t>119007795</t>
        </is>
      </c>
      <c r="C450" t="inlineStr">
        <is>
          <t>DUP41419 Nylon Windbreaker Jacket</t>
        </is>
      </c>
      <c r="D450" t="inlineStr">
        <is>
          <t>BLK</t>
        </is>
      </c>
      <c r="E450" t="inlineStr">
        <is>
          <t>(en blanco)</t>
        </is>
      </c>
      <c r="F450" t="inlineStr">
        <is>
          <t>(en blanco)</t>
        </is>
      </c>
      <c r="G450" t="inlineStr">
        <is>
          <t>L</t>
        </is>
      </c>
      <c r="H450" t="n">
        <v>2</v>
      </c>
      <c r="I450" t="inlineStr">
        <is>
          <t>HALIFAX_WOMENS_119007795_BLK_1.jpg</t>
        </is>
      </c>
      <c r="J450" t="inlineStr">
        <is>
          <t>HALIFAX_WOMENS_119007795_BLK_2.jpg</t>
        </is>
      </c>
      <c r="K450" t="inlineStr">
        <is>
          <t>HALIFAX_WOMENS_119007795_BLK_3.jpg</t>
        </is>
      </c>
      <c r="L450">
        <f>IMAGE("file:///E:/Estudios%20y%20certificaciones/ESTUDIOS%20DE%20PROGRAMMING/PROGRAMMING/PERSONAL/PYTHON/Image_Generator_API/imagenes/HALIFAX_WOMENS_119007795_BLK_1.jpg")</f>
        <v/>
      </c>
      <c r="M450">
        <f>IMAGE("file:///E:/Estudios%20y%20certificaciones/ESTUDIOS%20DE%20PROGRAMMING/PROGRAMMING/PERSONAL/PYTHON/Image_Generator_API/imagenes/HALIFAX_WOMENS_119007795_BLK_2.jpg")</f>
        <v/>
      </c>
      <c r="N450">
        <f>IMAGE("file:///E:/Estudios%20y%20certificaciones/ESTUDIOS%20DE%20PROGRAMMING/PROGRAMMING/PERSONAL/PYTHON/Image_Generator_API/imagenes/HALIFAX_WOMENS_119007795_BLK_3.jpg")</f>
        <v/>
      </c>
      <c r="O450">
        <f>HYPERLINK("imagenes/HALIFAX_WOMENS_119007795_BLK_1.jpg","Ver imagen")</f>
        <v/>
      </c>
      <c r="P450">
        <f>HYPERLINK("imagenes/HALIFAX_WOMENS_119007795_BLK_2.jpg","Ver imagen")</f>
        <v/>
      </c>
      <c r="Q450">
        <f>HYPERLINK("imagenes/HALIFAX_WOMENS_119007795_BLK_3.jpg","Ver imagen")</f>
        <v/>
      </c>
    </row>
    <row r="451">
      <c r="A451" t="inlineStr">
        <is>
          <t>HALIFAX WOMENS</t>
        </is>
      </c>
      <c r="B451" t="inlineStr">
        <is>
          <t>119007795</t>
        </is>
      </c>
      <c r="C451" t="inlineStr">
        <is>
          <t>DUP41419 Nylon Windbreaker Jacket</t>
        </is>
      </c>
      <c r="D451" t="inlineStr">
        <is>
          <t>BLK</t>
        </is>
      </c>
      <c r="E451" t="inlineStr">
        <is>
          <t>(en blanco)</t>
        </is>
      </c>
      <c r="F451" t="inlineStr">
        <is>
          <t>(en blanco)</t>
        </is>
      </c>
      <c r="G451" t="inlineStr">
        <is>
          <t>XL</t>
        </is>
      </c>
      <c r="H451" t="n">
        <v>2</v>
      </c>
      <c r="I451" t="inlineStr">
        <is>
          <t>HALIFAX_WOMENS_119007795_BLK_1.jpg</t>
        </is>
      </c>
      <c r="J451" t="inlineStr">
        <is>
          <t>HALIFAX_WOMENS_119007795_BLK_2.jpg</t>
        </is>
      </c>
      <c r="K451" t="inlineStr">
        <is>
          <t>HALIFAX_WOMENS_119007795_BLK_3.jpg</t>
        </is>
      </c>
      <c r="L451">
        <f>IMAGE("file:///E:/Estudios%20y%20certificaciones/ESTUDIOS%20DE%20PROGRAMMING/PROGRAMMING/PERSONAL/PYTHON/Image_Generator_API/imagenes/HALIFAX_WOMENS_119007795_BLK_1.jpg")</f>
        <v/>
      </c>
      <c r="M451">
        <f>IMAGE("file:///E:/Estudios%20y%20certificaciones/ESTUDIOS%20DE%20PROGRAMMING/PROGRAMMING/PERSONAL/PYTHON/Image_Generator_API/imagenes/HALIFAX_WOMENS_119007795_BLK_2.jpg")</f>
        <v/>
      </c>
      <c r="N451">
        <f>IMAGE("file:///E:/Estudios%20y%20certificaciones/ESTUDIOS%20DE%20PROGRAMMING/PROGRAMMING/PERSONAL/PYTHON/Image_Generator_API/imagenes/HALIFAX_WOMENS_119007795_BLK_3.jpg")</f>
        <v/>
      </c>
      <c r="O451">
        <f>HYPERLINK("imagenes/HALIFAX_WOMENS_119007795_BLK_1.jpg","Ver imagen")</f>
        <v/>
      </c>
      <c r="P451">
        <f>HYPERLINK("imagenes/HALIFAX_WOMENS_119007795_BLK_2.jpg","Ver imagen")</f>
        <v/>
      </c>
      <c r="Q451">
        <f>HYPERLINK("imagenes/HALIFAX_WOMENS_119007795_BLK_3.jpg","Ver imagen")</f>
        <v/>
      </c>
    </row>
    <row r="452">
      <c r="A452" t="inlineStr">
        <is>
          <t>HALIFAX WOMENS</t>
        </is>
      </c>
      <c r="B452" t="inlineStr">
        <is>
          <t>119007795</t>
        </is>
      </c>
      <c r="C452" t="inlineStr">
        <is>
          <t>DUP41419 Nylon Windbreaker Jacket</t>
        </is>
      </c>
      <c r="D452" t="inlineStr">
        <is>
          <t>BLK</t>
        </is>
      </c>
      <c r="E452" t="inlineStr">
        <is>
          <t>(en blanco)</t>
        </is>
      </c>
      <c r="F452" t="inlineStr">
        <is>
          <t>(en blanco)</t>
        </is>
      </c>
      <c r="G452" t="inlineStr">
        <is>
          <t>XXL</t>
        </is>
      </c>
      <c r="H452" t="n">
        <v>0</v>
      </c>
      <c r="I452" t="inlineStr">
        <is>
          <t>HALIFAX_WOMENS_119007795_BLK_1.jpg</t>
        </is>
      </c>
      <c r="J452" t="inlineStr">
        <is>
          <t>HALIFAX_WOMENS_119007795_BLK_2.jpg</t>
        </is>
      </c>
      <c r="K452" t="inlineStr">
        <is>
          <t>HALIFAX_WOMENS_119007795_BLK_3.jpg</t>
        </is>
      </c>
      <c r="L452">
        <f>IMAGE("file:///E:/Estudios%20y%20certificaciones/ESTUDIOS%20DE%20PROGRAMMING/PROGRAMMING/PERSONAL/PYTHON/Image_Generator_API/imagenes/HALIFAX_WOMENS_119007795_BLK_1.jpg")</f>
        <v/>
      </c>
      <c r="M452">
        <f>IMAGE("file:///E:/Estudios%20y%20certificaciones/ESTUDIOS%20DE%20PROGRAMMING/PROGRAMMING/PERSONAL/PYTHON/Image_Generator_API/imagenes/HALIFAX_WOMENS_119007795_BLK_2.jpg")</f>
        <v/>
      </c>
      <c r="N452">
        <f>IMAGE("file:///E:/Estudios%20y%20certificaciones/ESTUDIOS%20DE%20PROGRAMMING/PROGRAMMING/PERSONAL/PYTHON/Image_Generator_API/imagenes/HALIFAX_WOMENS_119007795_BLK_3.jpg")</f>
        <v/>
      </c>
      <c r="O452">
        <f>HYPERLINK("imagenes/HALIFAX_WOMENS_119007795_BLK_1.jpg","Ver imagen")</f>
        <v/>
      </c>
      <c r="P452">
        <f>HYPERLINK("imagenes/HALIFAX_WOMENS_119007795_BLK_2.jpg","Ver imagen")</f>
        <v/>
      </c>
      <c r="Q452">
        <f>HYPERLINK("imagenes/HALIFAX_WOMENS_119007795_BLK_3.jpg","Ver imagen")</f>
        <v/>
      </c>
    </row>
    <row r="453">
      <c r="A453" t="inlineStr">
        <is>
          <t>HALIFAX WOMENS</t>
        </is>
      </c>
      <c r="B453" t="inlineStr">
        <is>
          <t>119007795</t>
        </is>
      </c>
      <c r="C453" t="inlineStr">
        <is>
          <t>DUP41419 Nylon Windbreaker Jacket</t>
        </is>
      </c>
      <c r="D453" t="inlineStr">
        <is>
          <t>GC1</t>
        </is>
      </c>
      <c r="E453" t="inlineStr">
        <is>
          <t>24A05</t>
        </is>
      </c>
      <c r="F453" t="inlineStr">
        <is>
          <t>(en blanco)</t>
        </is>
      </c>
      <c r="G453" t="inlineStr">
        <is>
          <t>PPK</t>
        </is>
      </c>
      <c r="H453" t="n">
        <v>912</v>
      </c>
      <c r="I453" t="inlineStr">
        <is>
          <t>HALIFAX_WOMENS_119007795_GC1_1.jpg</t>
        </is>
      </c>
      <c r="J453" t="inlineStr">
        <is>
          <t>HALIFAX_WOMENS_119007795_GC1_2.jpg</t>
        </is>
      </c>
      <c r="K453" t="inlineStr">
        <is>
          <t>HALIFAX_WOMENS_119007795_GC1_3.jpg</t>
        </is>
      </c>
      <c r="L453">
        <f>IMAGE("file:///E:/Estudios%20y%20certificaciones/ESTUDIOS%20DE%20PROGRAMMING/PROGRAMMING/PERSONAL/PYTHON/Image_Generator_API/imagenes/HALIFAX_WOMENS_119007795_GC1_1.jpg")</f>
        <v/>
      </c>
      <c r="M453">
        <f>IMAGE("file:///E:/Estudios%20y%20certificaciones/ESTUDIOS%20DE%20PROGRAMMING/PROGRAMMING/PERSONAL/PYTHON/Image_Generator_API/imagenes/HALIFAX_WOMENS_119007795_GC1_2.jpg")</f>
        <v/>
      </c>
      <c r="N453">
        <f>IMAGE("file:///E:/Estudios%20y%20certificaciones/ESTUDIOS%20DE%20PROGRAMMING/PROGRAMMING/PERSONAL/PYTHON/Image_Generator_API/imagenes/HALIFAX_WOMENS_119007795_GC1_3.jpg")</f>
        <v/>
      </c>
      <c r="O453">
        <f>HYPERLINK("imagenes/HALIFAX_WOMENS_119007795_GC1_1.jpg","Ver imagen")</f>
        <v/>
      </c>
      <c r="P453">
        <f>HYPERLINK("imagenes/HALIFAX_WOMENS_119007795_GC1_2.jpg","Ver imagen")</f>
        <v/>
      </c>
      <c r="Q453">
        <f>HYPERLINK("imagenes/HALIFAX_WOMENS_119007795_GC1_3.jpg","Ver imagen")</f>
        <v/>
      </c>
    </row>
    <row r="454">
      <c r="A454" t="inlineStr">
        <is>
          <t>HALIFAX WOMENS</t>
        </is>
      </c>
      <c r="B454" t="inlineStr">
        <is>
          <t>119007795</t>
        </is>
      </c>
      <c r="C454" t="inlineStr">
        <is>
          <t>DUP41419 Nylon Windbreaker Jacket</t>
        </is>
      </c>
      <c r="D454" t="inlineStr">
        <is>
          <t>GC1</t>
        </is>
      </c>
      <c r="E454" t="inlineStr">
        <is>
          <t>(en blanco)</t>
        </is>
      </c>
      <c r="F454" t="inlineStr">
        <is>
          <t>(en blanco)</t>
        </is>
      </c>
      <c r="G454" t="inlineStr">
        <is>
          <t>S</t>
        </is>
      </c>
      <c r="H454" t="n">
        <v>0</v>
      </c>
      <c r="I454" t="inlineStr">
        <is>
          <t>HALIFAX_WOMENS_119007795_GC1_1.jpg</t>
        </is>
      </c>
      <c r="J454" t="inlineStr">
        <is>
          <t>HALIFAX_WOMENS_119007795_GC1_2.jpg</t>
        </is>
      </c>
      <c r="K454" t="inlineStr">
        <is>
          <t>HALIFAX_WOMENS_119007795_GC1_3.jpg</t>
        </is>
      </c>
      <c r="L454">
        <f>IMAGE("file:///E:/Estudios%20y%20certificaciones/ESTUDIOS%20DE%20PROGRAMMING/PROGRAMMING/PERSONAL/PYTHON/Image_Generator_API/imagenes/HALIFAX_WOMENS_119007795_GC1_1.jpg")</f>
        <v/>
      </c>
      <c r="M454">
        <f>IMAGE("file:///E:/Estudios%20y%20certificaciones/ESTUDIOS%20DE%20PROGRAMMING/PROGRAMMING/PERSONAL/PYTHON/Image_Generator_API/imagenes/HALIFAX_WOMENS_119007795_GC1_2.jpg")</f>
        <v/>
      </c>
      <c r="N454">
        <f>IMAGE("file:///E:/Estudios%20y%20certificaciones/ESTUDIOS%20DE%20PROGRAMMING/PROGRAMMING/PERSONAL/PYTHON/Image_Generator_API/imagenes/HALIFAX_WOMENS_119007795_GC1_3.jpg")</f>
        <v/>
      </c>
      <c r="O454">
        <f>HYPERLINK("imagenes/HALIFAX_WOMENS_119007795_GC1_1.jpg","Ver imagen")</f>
        <v/>
      </c>
      <c r="P454">
        <f>HYPERLINK("imagenes/HALIFAX_WOMENS_119007795_GC1_2.jpg","Ver imagen")</f>
        <v/>
      </c>
      <c r="Q454">
        <f>HYPERLINK("imagenes/HALIFAX_WOMENS_119007795_GC1_3.jpg","Ver imagen")</f>
        <v/>
      </c>
    </row>
    <row r="455">
      <c r="A455" t="inlineStr">
        <is>
          <t>HALIFAX WOMENS</t>
        </is>
      </c>
      <c r="B455" t="inlineStr">
        <is>
          <t>119007795</t>
        </is>
      </c>
      <c r="C455" t="inlineStr">
        <is>
          <t>DUP41419 Nylon Windbreaker Jacket</t>
        </is>
      </c>
      <c r="D455" t="inlineStr">
        <is>
          <t>GC1</t>
        </is>
      </c>
      <c r="E455" t="inlineStr">
        <is>
          <t>(en blanco)</t>
        </is>
      </c>
      <c r="F455" t="inlineStr">
        <is>
          <t>(en blanco)</t>
        </is>
      </c>
      <c r="G455" t="inlineStr">
        <is>
          <t>M</t>
        </is>
      </c>
      <c r="H455" t="n">
        <v>1</v>
      </c>
      <c r="I455" t="inlineStr">
        <is>
          <t>HALIFAX_WOMENS_119007795_GC1_1.jpg</t>
        </is>
      </c>
      <c r="J455" t="inlineStr">
        <is>
          <t>HALIFAX_WOMENS_119007795_GC1_2.jpg</t>
        </is>
      </c>
      <c r="K455" t="inlineStr">
        <is>
          <t>HALIFAX_WOMENS_119007795_GC1_3.jpg</t>
        </is>
      </c>
      <c r="L455">
        <f>IMAGE("file:///E:/Estudios%20y%20certificaciones/ESTUDIOS%20DE%20PROGRAMMING/PROGRAMMING/PERSONAL/PYTHON/Image_Generator_API/imagenes/HALIFAX_WOMENS_119007795_GC1_1.jpg")</f>
        <v/>
      </c>
      <c r="M455">
        <f>IMAGE("file:///E:/Estudios%20y%20certificaciones/ESTUDIOS%20DE%20PROGRAMMING/PROGRAMMING/PERSONAL/PYTHON/Image_Generator_API/imagenes/HALIFAX_WOMENS_119007795_GC1_2.jpg")</f>
        <v/>
      </c>
      <c r="N455">
        <f>IMAGE("file:///E:/Estudios%20y%20certificaciones/ESTUDIOS%20DE%20PROGRAMMING/PROGRAMMING/PERSONAL/PYTHON/Image_Generator_API/imagenes/HALIFAX_WOMENS_119007795_GC1_3.jpg")</f>
        <v/>
      </c>
      <c r="O455">
        <f>HYPERLINK("imagenes/HALIFAX_WOMENS_119007795_GC1_1.jpg","Ver imagen")</f>
        <v/>
      </c>
      <c r="P455">
        <f>HYPERLINK("imagenes/HALIFAX_WOMENS_119007795_GC1_2.jpg","Ver imagen")</f>
        <v/>
      </c>
      <c r="Q455">
        <f>HYPERLINK("imagenes/HALIFAX_WOMENS_119007795_GC1_3.jpg","Ver imagen")</f>
        <v/>
      </c>
    </row>
    <row r="456">
      <c r="A456" t="inlineStr">
        <is>
          <t>HALIFAX WOMENS</t>
        </is>
      </c>
      <c r="B456" t="inlineStr">
        <is>
          <t>119007795</t>
        </is>
      </c>
      <c r="C456" t="inlineStr">
        <is>
          <t>DUP41419 Nylon Windbreaker Jacket</t>
        </is>
      </c>
      <c r="D456" t="inlineStr">
        <is>
          <t>GC1</t>
        </is>
      </c>
      <c r="E456" t="inlineStr">
        <is>
          <t>(en blanco)</t>
        </is>
      </c>
      <c r="F456" t="inlineStr">
        <is>
          <t>(en blanco)</t>
        </is>
      </c>
      <c r="G456" t="inlineStr">
        <is>
          <t>L</t>
        </is>
      </c>
      <c r="H456" t="n">
        <v>1</v>
      </c>
      <c r="I456" t="inlineStr">
        <is>
          <t>HALIFAX_WOMENS_119007795_GC1_1.jpg</t>
        </is>
      </c>
      <c r="J456" t="inlineStr">
        <is>
          <t>HALIFAX_WOMENS_119007795_GC1_2.jpg</t>
        </is>
      </c>
      <c r="K456" t="inlineStr">
        <is>
          <t>HALIFAX_WOMENS_119007795_GC1_3.jpg</t>
        </is>
      </c>
      <c r="L456">
        <f>IMAGE("file:///E:/Estudios%20y%20certificaciones/ESTUDIOS%20DE%20PROGRAMMING/PROGRAMMING/PERSONAL/PYTHON/Image_Generator_API/imagenes/HALIFAX_WOMENS_119007795_GC1_1.jpg")</f>
        <v/>
      </c>
      <c r="M456">
        <f>IMAGE("file:///E:/Estudios%20y%20certificaciones/ESTUDIOS%20DE%20PROGRAMMING/PROGRAMMING/PERSONAL/PYTHON/Image_Generator_API/imagenes/HALIFAX_WOMENS_119007795_GC1_2.jpg")</f>
        <v/>
      </c>
      <c r="N456">
        <f>IMAGE("file:///E:/Estudios%20y%20certificaciones/ESTUDIOS%20DE%20PROGRAMMING/PROGRAMMING/PERSONAL/PYTHON/Image_Generator_API/imagenes/HALIFAX_WOMENS_119007795_GC1_3.jpg")</f>
        <v/>
      </c>
      <c r="O456">
        <f>HYPERLINK("imagenes/HALIFAX_WOMENS_119007795_GC1_1.jpg","Ver imagen")</f>
        <v/>
      </c>
      <c r="P456">
        <f>HYPERLINK("imagenes/HALIFAX_WOMENS_119007795_GC1_2.jpg","Ver imagen")</f>
        <v/>
      </c>
      <c r="Q456">
        <f>HYPERLINK("imagenes/HALIFAX_WOMENS_119007795_GC1_3.jpg","Ver imagen")</f>
        <v/>
      </c>
    </row>
    <row r="457">
      <c r="A457" t="inlineStr">
        <is>
          <t>HALIFAX WOMENS</t>
        </is>
      </c>
      <c r="B457" t="inlineStr">
        <is>
          <t>119007795</t>
        </is>
      </c>
      <c r="C457" t="inlineStr">
        <is>
          <t>DUP41419 Nylon Windbreaker Jacket</t>
        </is>
      </c>
      <c r="D457" t="inlineStr">
        <is>
          <t>GC1</t>
        </is>
      </c>
      <c r="E457" t="inlineStr">
        <is>
          <t>(en blanco)</t>
        </is>
      </c>
      <c r="F457" t="inlineStr">
        <is>
          <t>(en blanco)</t>
        </is>
      </c>
      <c r="G457" t="inlineStr">
        <is>
          <t>XL</t>
        </is>
      </c>
      <c r="H457" t="n">
        <v>0</v>
      </c>
      <c r="I457" t="inlineStr">
        <is>
          <t>HALIFAX_WOMENS_119007795_GC1_1.jpg</t>
        </is>
      </c>
      <c r="J457" t="inlineStr">
        <is>
          <t>HALIFAX_WOMENS_119007795_GC1_2.jpg</t>
        </is>
      </c>
      <c r="K457" t="inlineStr">
        <is>
          <t>HALIFAX_WOMENS_119007795_GC1_3.jpg</t>
        </is>
      </c>
      <c r="L457">
        <f>IMAGE("file:///E:/Estudios%20y%20certificaciones/ESTUDIOS%20DE%20PROGRAMMING/PROGRAMMING/PERSONAL/PYTHON/Image_Generator_API/imagenes/HALIFAX_WOMENS_119007795_GC1_1.jpg")</f>
        <v/>
      </c>
      <c r="M457">
        <f>IMAGE("file:///E:/Estudios%20y%20certificaciones/ESTUDIOS%20DE%20PROGRAMMING/PROGRAMMING/PERSONAL/PYTHON/Image_Generator_API/imagenes/HALIFAX_WOMENS_119007795_GC1_2.jpg")</f>
        <v/>
      </c>
      <c r="N457">
        <f>IMAGE("file:///E:/Estudios%20y%20certificaciones/ESTUDIOS%20DE%20PROGRAMMING/PROGRAMMING/PERSONAL/PYTHON/Image_Generator_API/imagenes/HALIFAX_WOMENS_119007795_GC1_3.jpg")</f>
        <v/>
      </c>
      <c r="O457">
        <f>HYPERLINK("imagenes/HALIFAX_WOMENS_119007795_GC1_1.jpg","Ver imagen")</f>
        <v/>
      </c>
      <c r="P457">
        <f>HYPERLINK("imagenes/HALIFAX_WOMENS_119007795_GC1_2.jpg","Ver imagen")</f>
        <v/>
      </c>
      <c r="Q457">
        <f>HYPERLINK("imagenes/HALIFAX_WOMENS_119007795_GC1_3.jpg","Ver imagen")</f>
        <v/>
      </c>
    </row>
    <row r="458">
      <c r="A458" t="inlineStr">
        <is>
          <t>HALIFAX WOMENS</t>
        </is>
      </c>
      <c r="B458" t="inlineStr">
        <is>
          <t>119007795</t>
        </is>
      </c>
      <c r="C458" t="inlineStr">
        <is>
          <t>DUP41419 Nylon Windbreaker Jacket</t>
        </is>
      </c>
      <c r="D458" t="inlineStr">
        <is>
          <t>GC1</t>
        </is>
      </c>
      <c r="E458" t="inlineStr">
        <is>
          <t>(en blanco)</t>
        </is>
      </c>
      <c r="F458" t="inlineStr">
        <is>
          <t>(en blanco)</t>
        </is>
      </c>
      <c r="G458" t="inlineStr">
        <is>
          <t>XXL</t>
        </is>
      </c>
      <c r="H458" t="n">
        <v>0</v>
      </c>
      <c r="I458" t="inlineStr">
        <is>
          <t>HALIFAX_WOMENS_119007795_GC1_1.jpg</t>
        </is>
      </c>
      <c r="J458" t="inlineStr">
        <is>
          <t>HALIFAX_WOMENS_119007795_GC1_2.jpg</t>
        </is>
      </c>
      <c r="K458" t="inlineStr">
        <is>
          <t>HALIFAX_WOMENS_119007795_GC1_3.jpg</t>
        </is>
      </c>
      <c r="L458">
        <f>IMAGE("file:///E:/Estudios%20y%20certificaciones/ESTUDIOS%20DE%20PROGRAMMING/PROGRAMMING/PERSONAL/PYTHON/Image_Generator_API/imagenes/HALIFAX_WOMENS_119007795_GC1_1.jpg")</f>
        <v/>
      </c>
      <c r="M458">
        <f>IMAGE("file:///E:/Estudios%20y%20certificaciones/ESTUDIOS%20DE%20PROGRAMMING/PROGRAMMING/PERSONAL/PYTHON/Image_Generator_API/imagenes/HALIFAX_WOMENS_119007795_GC1_2.jpg")</f>
        <v/>
      </c>
      <c r="N458">
        <f>IMAGE("file:///E:/Estudios%20y%20certificaciones/ESTUDIOS%20DE%20PROGRAMMING/PROGRAMMING/PERSONAL/PYTHON/Image_Generator_API/imagenes/HALIFAX_WOMENS_119007795_GC1_3.jpg")</f>
        <v/>
      </c>
      <c r="O458">
        <f>HYPERLINK("imagenes/HALIFAX_WOMENS_119007795_GC1_1.jpg","Ver imagen")</f>
        <v/>
      </c>
      <c r="P458">
        <f>HYPERLINK("imagenes/HALIFAX_WOMENS_119007795_GC1_2.jpg","Ver imagen")</f>
        <v/>
      </c>
      <c r="Q458">
        <f>HYPERLINK("imagenes/HALIFAX_WOMENS_119007795_GC1_3.jpg","Ver imagen")</f>
        <v/>
      </c>
    </row>
    <row r="459">
      <c r="A459" t="inlineStr">
        <is>
          <t>HALIFAX WOMENS</t>
        </is>
      </c>
      <c r="B459" t="inlineStr">
        <is>
          <t>119007795</t>
        </is>
      </c>
      <c r="C459" t="inlineStr">
        <is>
          <t>DUP41419 Nylon Windbreaker Jacket</t>
        </is>
      </c>
      <c r="D459" t="inlineStr">
        <is>
          <t>LAT</t>
        </is>
      </c>
      <c r="E459" t="inlineStr">
        <is>
          <t>24A05</t>
        </is>
      </c>
      <c r="F459" t="inlineStr">
        <is>
          <t>(en blanco)</t>
        </is>
      </c>
      <c r="G459" t="inlineStr">
        <is>
          <t>PPK</t>
        </is>
      </c>
      <c r="H459" t="n">
        <v>936</v>
      </c>
      <c r="I459" t="inlineStr">
        <is>
          <t>HALIFAX_WOMENS_119007795_LAT_1.jpg</t>
        </is>
      </c>
      <c r="J459" t="inlineStr">
        <is>
          <t>HALIFAX_WOMENS_119007795_LAT_2.jpg</t>
        </is>
      </c>
      <c r="K459" t="inlineStr">
        <is>
          <t>HALIFAX_WOMENS_119007795_LAT_3.jpg</t>
        </is>
      </c>
      <c r="L459">
        <f>IMAGE("file:///E:/Estudios%20y%20certificaciones/ESTUDIOS%20DE%20PROGRAMMING/PROGRAMMING/PERSONAL/PYTHON/Image_Generator_API/imagenes/HALIFAX_WOMENS_119007795_LAT_1.jpg")</f>
        <v/>
      </c>
      <c r="M459">
        <f>IMAGE("file:///E:/Estudios%20y%20certificaciones/ESTUDIOS%20DE%20PROGRAMMING/PROGRAMMING/PERSONAL/PYTHON/Image_Generator_API/imagenes/HALIFAX_WOMENS_119007795_LAT_2.jpg")</f>
        <v/>
      </c>
      <c r="N459">
        <f>IMAGE("file:///E:/Estudios%20y%20certificaciones/ESTUDIOS%20DE%20PROGRAMMING/PROGRAMMING/PERSONAL/PYTHON/Image_Generator_API/imagenes/HALIFAX_WOMENS_119007795_LAT_3.jpg")</f>
        <v/>
      </c>
      <c r="O459">
        <f>HYPERLINK("imagenes/HALIFAX_WOMENS_119007795_LAT_1.jpg","Ver imagen")</f>
        <v/>
      </c>
      <c r="P459">
        <f>HYPERLINK("imagenes/HALIFAX_WOMENS_119007795_LAT_2.jpg","Ver imagen")</f>
        <v/>
      </c>
      <c r="Q459">
        <f>HYPERLINK("imagenes/HALIFAX_WOMENS_119007795_LAT_3.jpg","Ver imagen")</f>
        <v/>
      </c>
    </row>
    <row r="460">
      <c r="A460" t="inlineStr">
        <is>
          <t>HALIFAX WOMENS</t>
        </is>
      </c>
      <c r="B460" t="inlineStr">
        <is>
          <t>119007795</t>
        </is>
      </c>
      <c r="C460" t="inlineStr">
        <is>
          <t>DUP41419 Nylon Windbreaker Jacket</t>
        </is>
      </c>
      <c r="D460" t="inlineStr">
        <is>
          <t>LAT</t>
        </is>
      </c>
      <c r="E460" t="inlineStr">
        <is>
          <t>(en blanco)</t>
        </is>
      </c>
      <c r="F460" t="inlineStr">
        <is>
          <t>(en blanco)</t>
        </is>
      </c>
      <c r="G460" t="inlineStr">
        <is>
          <t>M</t>
        </is>
      </c>
      <c r="H460" t="n">
        <v>0</v>
      </c>
      <c r="I460" t="inlineStr">
        <is>
          <t>HALIFAX_WOMENS_119007795_LAT_1.jpg</t>
        </is>
      </c>
      <c r="J460" t="inlineStr">
        <is>
          <t>HALIFAX_WOMENS_119007795_LAT_2.jpg</t>
        </is>
      </c>
      <c r="K460" t="inlineStr">
        <is>
          <t>HALIFAX_WOMENS_119007795_LAT_3.jpg</t>
        </is>
      </c>
      <c r="L460">
        <f>IMAGE("file:///E:/Estudios%20y%20certificaciones/ESTUDIOS%20DE%20PROGRAMMING/PROGRAMMING/PERSONAL/PYTHON/Image_Generator_API/imagenes/HALIFAX_WOMENS_119007795_LAT_1.jpg")</f>
        <v/>
      </c>
      <c r="M460">
        <f>IMAGE("file:///E:/Estudios%20y%20certificaciones/ESTUDIOS%20DE%20PROGRAMMING/PROGRAMMING/PERSONAL/PYTHON/Image_Generator_API/imagenes/HALIFAX_WOMENS_119007795_LAT_2.jpg")</f>
        <v/>
      </c>
      <c r="N460">
        <f>IMAGE("file:///E:/Estudios%20y%20certificaciones/ESTUDIOS%20DE%20PROGRAMMING/PROGRAMMING/PERSONAL/PYTHON/Image_Generator_API/imagenes/HALIFAX_WOMENS_119007795_LAT_3.jpg")</f>
        <v/>
      </c>
      <c r="O460">
        <f>HYPERLINK("imagenes/HALIFAX_WOMENS_119007795_LAT_1.jpg","Ver imagen")</f>
        <v/>
      </c>
      <c r="P460">
        <f>HYPERLINK("imagenes/HALIFAX_WOMENS_119007795_LAT_2.jpg","Ver imagen")</f>
        <v/>
      </c>
      <c r="Q460">
        <f>HYPERLINK("imagenes/HALIFAX_WOMENS_119007795_LAT_3.jpg","Ver imagen")</f>
        <v/>
      </c>
    </row>
    <row r="461">
      <c r="A461" t="inlineStr">
        <is>
          <t>HALIFAX WOMENS</t>
        </is>
      </c>
      <c r="B461" t="inlineStr">
        <is>
          <t>119007795</t>
        </is>
      </c>
      <c r="C461" t="inlineStr">
        <is>
          <t>DUP41419 Nylon Windbreaker Jacket</t>
        </is>
      </c>
      <c r="D461" t="inlineStr">
        <is>
          <t>LAT</t>
        </is>
      </c>
      <c r="E461" t="inlineStr">
        <is>
          <t>(en blanco)</t>
        </is>
      </c>
      <c r="F461" t="inlineStr">
        <is>
          <t>(en blanco)</t>
        </is>
      </c>
      <c r="G461" t="inlineStr">
        <is>
          <t>L</t>
        </is>
      </c>
      <c r="H461" t="n">
        <v>0</v>
      </c>
      <c r="I461" t="inlineStr">
        <is>
          <t>HALIFAX_WOMENS_119007795_LAT_1.jpg</t>
        </is>
      </c>
      <c r="J461" t="inlineStr">
        <is>
          <t>HALIFAX_WOMENS_119007795_LAT_2.jpg</t>
        </is>
      </c>
      <c r="K461" t="inlineStr">
        <is>
          <t>HALIFAX_WOMENS_119007795_LAT_3.jpg</t>
        </is>
      </c>
      <c r="L461">
        <f>IMAGE("file:///E:/Estudios%20y%20certificaciones/ESTUDIOS%20DE%20PROGRAMMING/PROGRAMMING/PERSONAL/PYTHON/Image_Generator_API/imagenes/HALIFAX_WOMENS_119007795_LAT_1.jpg")</f>
        <v/>
      </c>
      <c r="M461">
        <f>IMAGE("file:///E:/Estudios%20y%20certificaciones/ESTUDIOS%20DE%20PROGRAMMING/PROGRAMMING/PERSONAL/PYTHON/Image_Generator_API/imagenes/HALIFAX_WOMENS_119007795_LAT_2.jpg")</f>
        <v/>
      </c>
      <c r="N461">
        <f>IMAGE("file:///E:/Estudios%20y%20certificaciones/ESTUDIOS%20DE%20PROGRAMMING/PROGRAMMING/PERSONAL/PYTHON/Image_Generator_API/imagenes/HALIFAX_WOMENS_119007795_LAT_3.jpg")</f>
        <v/>
      </c>
      <c r="O461">
        <f>HYPERLINK("imagenes/HALIFAX_WOMENS_119007795_LAT_1.jpg","Ver imagen")</f>
        <v/>
      </c>
      <c r="P461">
        <f>HYPERLINK("imagenes/HALIFAX_WOMENS_119007795_LAT_2.jpg","Ver imagen")</f>
        <v/>
      </c>
      <c r="Q461">
        <f>HYPERLINK("imagenes/HALIFAX_WOMENS_119007795_LAT_3.jpg","Ver imagen")</f>
        <v/>
      </c>
    </row>
    <row r="462">
      <c r="A462" t="inlineStr">
        <is>
          <t>HALIFAX WOMENS</t>
        </is>
      </c>
      <c r="B462" t="inlineStr">
        <is>
          <t>119007795</t>
        </is>
      </c>
      <c r="C462" t="inlineStr">
        <is>
          <t>DUP41419 Nylon Windbreaker Jacket</t>
        </is>
      </c>
      <c r="D462" t="inlineStr">
        <is>
          <t>LAT</t>
        </is>
      </c>
      <c r="E462" t="inlineStr">
        <is>
          <t>(en blanco)</t>
        </is>
      </c>
      <c r="F462" t="inlineStr">
        <is>
          <t>(en blanco)</t>
        </is>
      </c>
      <c r="G462" t="inlineStr">
        <is>
          <t>XL</t>
        </is>
      </c>
      <c r="H462" t="n">
        <v>1</v>
      </c>
      <c r="I462" t="inlineStr">
        <is>
          <t>HALIFAX_WOMENS_119007795_LAT_1.jpg</t>
        </is>
      </c>
      <c r="J462" t="inlineStr">
        <is>
          <t>HALIFAX_WOMENS_119007795_LAT_2.jpg</t>
        </is>
      </c>
      <c r="K462" t="inlineStr">
        <is>
          <t>HALIFAX_WOMENS_119007795_LAT_3.jpg</t>
        </is>
      </c>
      <c r="L462">
        <f>IMAGE("file:///E:/Estudios%20y%20certificaciones/ESTUDIOS%20DE%20PROGRAMMING/PROGRAMMING/PERSONAL/PYTHON/Image_Generator_API/imagenes/HALIFAX_WOMENS_119007795_LAT_1.jpg")</f>
        <v/>
      </c>
      <c r="M462">
        <f>IMAGE("file:///E:/Estudios%20y%20certificaciones/ESTUDIOS%20DE%20PROGRAMMING/PROGRAMMING/PERSONAL/PYTHON/Image_Generator_API/imagenes/HALIFAX_WOMENS_119007795_LAT_2.jpg")</f>
        <v/>
      </c>
      <c r="N462">
        <f>IMAGE("file:///E:/Estudios%20y%20certificaciones/ESTUDIOS%20DE%20PROGRAMMING/PROGRAMMING/PERSONAL/PYTHON/Image_Generator_API/imagenes/HALIFAX_WOMENS_119007795_LAT_3.jpg")</f>
        <v/>
      </c>
      <c r="O462">
        <f>HYPERLINK("imagenes/HALIFAX_WOMENS_119007795_LAT_1.jpg","Ver imagen")</f>
        <v/>
      </c>
      <c r="P462">
        <f>HYPERLINK("imagenes/HALIFAX_WOMENS_119007795_LAT_2.jpg","Ver imagen")</f>
        <v/>
      </c>
      <c r="Q462">
        <f>HYPERLINK("imagenes/HALIFAX_WOMENS_119007795_LAT_3.jpg","Ver imagen")</f>
        <v/>
      </c>
    </row>
    <row r="463">
      <c r="A463" t="inlineStr">
        <is>
          <t>HALIFAX WOMENS</t>
        </is>
      </c>
      <c r="B463" t="inlineStr">
        <is>
          <t>119007795</t>
        </is>
      </c>
      <c r="C463" t="inlineStr">
        <is>
          <t>DUP41419 Nylon Windbreaker Jacket</t>
        </is>
      </c>
      <c r="D463" t="inlineStr">
        <is>
          <t>SOM</t>
        </is>
      </c>
      <c r="E463" t="inlineStr">
        <is>
          <t>(en blanco)</t>
        </is>
      </c>
      <c r="F463" t="inlineStr">
        <is>
          <t>(en blanco)</t>
        </is>
      </c>
      <c r="G463" t="inlineStr">
        <is>
          <t>M</t>
        </is>
      </c>
      <c r="H463" t="n">
        <v>0</v>
      </c>
      <c r="I463" t="inlineStr">
        <is>
          <t>HALIFAX_WOMENS_119007795_SOM_1.jpg</t>
        </is>
      </c>
      <c r="J463" t="inlineStr">
        <is>
          <t>HALIFAX_WOMENS_119007795_SOM_2.jpg</t>
        </is>
      </c>
      <c r="K463" t="inlineStr">
        <is>
          <t>HALIFAX_WOMENS_119007795_SOM_3.jpg</t>
        </is>
      </c>
      <c r="L463">
        <f>IMAGE("file:///E:/Estudios%20y%20certificaciones/ESTUDIOS%20DE%20PROGRAMMING/PROGRAMMING/PERSONAL/PYTHON/Image_Generator_API/imagenes/HALIFAX_WOMENS_119007795_SOM_1.jpg")</f>
        <v/>
      </c>
      <c r="M463">
        <f>IMAGE("file:///E:/Estudios%20y%20certificaciones/ESTUDIOS%20DE%20PROGRAMMING/PROGRAMMING/PERSONAL/PYTHON/Image_Generator_API/imagenes/HALIFAX_WOMENS_119007795_SOM_2.jpg")</f>
        <v/>
      </c>
      <c r="N463">
        <f>IMAGE("file:///E:/Estudios%20y%20certificaciones/ESTUDIOS%20DE%20PROGRAMMING/PROGRAMMING/PERSONAL/PYTHON/Image_Generator_API/imagenes/HALIFAX_WOMENS_119007795_SOM_3.jpg")</f>
        <v/>
      </c>
      <c r="O463">
        <f>HYPERLINK("imagenes/HALIFAX_WOMENS_119007795_SOM_1.jpg","Ver imagen")</f>
        <v/>
      </c>
      <c r="P463">
        <f>HYPERLINK("imagenes/HALIFAX_WOMENS_119007795_SOM_2.jpg","Ver imagen")</f>
        <v/>
      </c>
      <c r="Q463">
        <f>HYPERLINK("imagenes/HALIFAX_WOMENS_119007795_SOM_3.jpg","Ver imagen")</f>
        <v/>
      </c>
    </row>
    <row r="464">
      <c r="A464" t="inlineStr">
        <is>
          <t>HALIFAX WOMENS</t>
        </is>
      </c>
      <c r="B464" t="inlineStr">
        <is>
          <t>119007795</t>
        </is>
      </c>
      <c r="C464" t="inlineStr">
        <is>
          <t>DUP41419 Nylon Windbreaker Jacket</t>
        </is>
      </c>
      <c r="D464" t="inlineStr">
        <is>
          <t>SOM</t>
        </is>
      </c>
      <c r="E464" t="inlineStr">
        <is>
          <t>(en blanco)</t>
        </is>
      </c>
      <c r="F464" t="inlineStr">
        <is>
          <t>(en blanco)</t>
        </is>
      </c>
      <c r="G464" t="inlineStr">
        <is>
          <t>L</t>
        </is>
      </c>
      <c r="H464" t="n">
        <v>0</v>
      </c>
      <c r="I464" t="inlineStr">
        <is>
          <t>HALIFAX_WOMENS_119007795_SOM_1.jpg</t>
        </is>
      </c>
      <c r="J464" t="inlineStr">
        <is>
          <t>HALIFAX_WOMENS_119007795_SOM_2.jpg</t>
        </is>
      </c>
      <c r="K464" t="inlineStr">
        <is>
          <t>HALIFAX_WOMENS_119007795_SOM_3.jpg</t>
        </is>
      </c>
      <c r="L464">
        <f>IMAGE("file:///E:/Estudios%20y%20certificaciones/ESTUDIOS%20DE%20PROGRAMMING/PROGRAMMING/PERSONAL/PYTHON/Image_Generator_API/imagenes/HALIFAX_WOMENS_119007795_SOM_1.jpg")</f>
        <v/>
      </c>
      <c r="M464">
        <f>IMAGE("file:///E:/Estudios%20y%20certificaciones/ESTUDIOS%20DE%20PROGRAMMING/PROGRAMMING/PERSONAL/PYTHON/Image_Generator_API/imagenes/HALIFAX_WOMENS_119007795_SOM_2.jpg")</f>
        <v/>
      </c>
      <c r="N464">
        <f>IMAGE("file:///E:/Estudios%20y%20certificaciones/ESTUDIOS%20DE%20PROGRAMMING/PROGRAMMING/PERSONAL/PYTHON/Image_Generator_API/imagenes/HALIFAX_WOMENS_119007795_SOM_3.jpg")</f>
        <v/>
      </c>
      <c r="O464">
        <f>HYPERLINK("imagenes/HALIFAX_WOMENS_119007795_SOM_1.jpg","Ver imagen")</f>
        <v/>
      </c>
      <c r="P464">
        <f>HYPERLINK("imagenes/HALIFAX_WOMENS_119007795_SOM_2.jpg","Ver imagen")</f>
        <v/>
      </c>
      <c r="Q464">
        <f>HYPERLINK("imagenes/HALIFAX_WOMENS_119007795_SOM_3.jpg","Ver imagen")</f>
        <v/>
      </c>
    </row>
    <row r="465">
      <c r="A465" t="inlineStr">
        <is>
          <t>HALIFAX WOMENS</t>
        </is>
      </c>
      <c r="B465" t="inlineStr">
        <is>
          <t>119007795</t>
        </is>
      </c>
      <c r="C465" t="inlineStr">
        <is>
          <t>DUP41419 Nylon Windbreaker Jacket</t>
        </is>
      </c>
      <c r="D465" t="inlineStr">
        <is>
          <t>SOM</t>
        </is>
      </c>
      <c r="E465" t="inlineStr">
        <is>
          <t>(en blanco)</t>
        </is>
      </c>
      <c r="F465" t="inlineStr">
        <is>
          <t>(en blanco)</t>
        </is>
      </c>
      <c r="G465" t="inlineStr">
        <is>
          <t>XL</t>
        </is>
      </c>
      <c r="H465" t="n">
        <v>1</v>
      </c>
      <c r="I465" t="inlineStr">
        <is>
          <t>HALIFAX_WOMENS_119007795_SOM_1.jpg</t>
        </is>
      </c>
      <c r="J465" t="inlineStr">
        <is>
          <t>HALIFAX_WOMENS_119007795_SOM_2.jpg</t>
        </is>
      </c>
      <c r="K465" t="inlineStr">
        <is>
          <t>HALIFAX_WOMENS_119007795_SOM_3.jpg</t>
        </is>
      </c>
      <c r="L465">
        <f>IMAGE("file:///E:/Estudios%20y%20certificaciones/ESTUDIOS%20DE%20PROGRAMMING/PROGRAMMING/PERSONAL/PYTHON/Image_Generator_API/imagenes/HALIFAX_WOMENS_119007795_SOM_1.jpg")</f>
        <v/>
      </c>
      <c r="M465">
        <f>IMAGE("file:///E:/Estudios%20y%20certificaciones/ESTUDIOS%20DE%20PROGRAMMING/PROGRAMMING/PERSONAL/PYTHON/Image_Generator_API/imagenes/HALIFAX_WOMENS_119007795_SOM_2.jpg")</f>
        <v/>
      </c>
      <c r="N465">
        <f>IMAGE("file:///E:/Estudios%20y%20certificaciones/ESTUDIOS%20DE%20PROGRAMMING/PROGRAMMING/PERSONAL/PYTHON/Image_Generator_API/imagenes/HALIFAX_WOMENS_119007795_SOM_3.jpg")</f>
        <v/>
      </c>
      <c r="O465">
        <f>HYPERLINK("imagenes/HALIFAX_WOMENS_119007795_SOM_1.jpg","Ver imagen")</f>
        <v/>
      </c>
      <c r="P465">
        <f>HYPERLINK("imagenes/HALIFAX_WOMENS_119007795_SOM_2.jpg","Ver imagen")</f>
        <v/>
      </c>
      <c r="Q465">
        <f>HYPERLINK("imagenes/HALIFAX_WOMENS_119007795_SOM_3.jpg","Ver imagen")</f>
        <v/>
      </c>
    </row>
    <row r="466">
      <c r="A466" t="inlineStr">
        <is>
          <t>HALIFAX WOMENS</t>
        </is>
      </c>
      <c r="B466" t="inlineStr">
        <is>
          <t>119008968</t>
        </is>
      </c>
      <c r="C466" t="inlineStr">
        <is>
          <t>Midweight Faux Fur Trimmed Puffer</t>
        </is>
      </c>
      <c r="D466" t="inlineStr">
        <is>
          <t>ADR</t>
        </is>
      </c>
      <c r="E466" t="inlineStr">
        <is>
          <t>06A01</t>
        </is>
      </c>
      <c r="F466" t="inlineStr">
        <is>
          <t>(en blanco)</t>
        </is>
      </c>
      <c r="G466" t="inlineStr">
        <is>
          <t>PPK</t>
        </is>
      </c>
      <c r="H466" t="n">
        <v>930</v>
      </c>
      <c r="I466" t="inlineStr">
        <is>
          <t>HALIFAX_WOMENS_119008968_ADR_1.jpg</t>
        </is>
      </c>
      <c r="J466" t="inlineStr">
        <is>
          <t>HALIFAX_WOMENS_119008968_ADR_2.jpg</t>
        </is>
      </c>
      <c r="K466" t="inlineStr">
        <is>
          <t>HALIFAX_WOMENS_119008968_ADR_3.jpg</t>
        </is>
      </c>
      <c r="L466">
        <f>IMAGE("file:///E:/Estudios%20y%20certificaciones/ESTUDIOS%20DE%20PROGRAMMING/PROGRAMMING/PERSONAL/PYTHON/Image_Generator_API/imagenes/HALIFAX_WOMENS_119008968_ADR_1.jpg")</f>
        <v/>
      </c>
      <c r="M466">
        <f>IMAGE("file:///E:/Estudios%20y%20certificaciones/ESTUDIOS%20DE%20PROGRAMMING/PROGRAMMING/PERSONAL/PYTHON/Image_Generator_API/imagenes/HALIFAX_WOMENS_119008968_ADR_2.jpg")</f>
        <v/>
      </c>
      <c r="N466">
        <f>IMAGE("file:///E:/Estudios%20y%20certificaciones/ESTUDIOS%20DE%20PROGRAMMING/PROGRAMMING/PERSONAL/PYTHON/Image_Generator_API/imagenes/HALIFAX_WOMENS_119008968_ADR_3.jpg")</f>
        <v/>
      </c>
      <c r="O466">
        <f>HYPERLINK("imagenes/HALIFAX_WOMENS_119008968_ADR_1.jpg","Ver imagen")</f>
        <v/>
      </c>
      <c r="P466">
        <f>HYPERLINK("imagenes/HALIFAX_WOMENS_119008968_ADR_2.jpg","Ver imagen")</f>
        <v/>
      </c>
      <c r="Q466">
        <f>HYPERLINK("imagenes/HALIFAX_WOMENS_119008968_ADR_3.jpg","Ver imagen")</f>
        <v/>
      </c>
    </row>
    <row r="467">
      <c r="A467" t="inlineStr">
        <is>
          <t>HALIFAX WOMENS</t>
        </is>
      </c>
      <c r="B467" t="inlineStr">
        <is>
          <t>119008968</t>
        </is>
      </c>
      <c r="C467" t="inlineStr">
        <is>
          <t>Midweight Faux Fur Trimmed Puffer</t>
        </is>
      </c>
      <c r="D467" t="inlineStr">
        <is>
          <t>ADR</t>
        </is>
      </c>
      <c r="E467" t="inlineStr">
        <is>
          <t>08A06</t>
        </is>
      </c>
      <c r="F467" t="inlineStr">
        <is>
          <t>B2230</t>
        </is>
      </c>
      <c r="G467" t="inlineStr">
        <is>
          <t>PPK</t>
        </is>
      </c>
      <c r="H467" t="n">
        <v>0</v>
      </c>
      <c r="I467" t="inlineStr">
        <is>
          <t>HALIFAX_WOMENS_119008968_ADR_1.jpg</t>
        </is>
      </c>
      <c r="J467" t="inlineStr">
        <is>
          <t>HALIFAX_WOMENS_119008968_ADR_2.jpg</t>
        </is>
      </c>
      <c r="K467" t="inlineStr">
        <is>
          <t>HALIFAX_WOMENS_119008968_ADR_3.jpg</t>
        </is>
      </c>
      <c r="L467">
        <f>IMAGE("file:///E:/Estudios%20y%20certificaciones/ESTUDIOS%20DE%20PROGRAMMING/PROGRAMMING/PERSONAL/PYTHON/Image_Generator_API/imagenes/HALIFAX_WOMENS_119008968_ADR_1.jpg")</f>
        <v/>
      </c>
      <c r="M467">
        <f>IMAGE("file:///E:/Estudios%20y%20certificaciones/ESTUDIOS%20DE%20PROGRAMMING/PROGRAMMING/PERSONAL/PYTHON/Image_Generator_API/imagenes/HALIFAX_WOMENS_119008968_ADR_2.jpg")</f>
        <v/>
      </c>
      <c r="N467">
        <f>IMAGE("file:///E:/Estudios%20y%20certificaciones/ESTUDIOS%20DE%20PROGRAMMING/PROGRAMMING/PERSONAL/PYTHON/Image_Generator_API/imagenes/HALIFAX_WOMENS_119008968_ADR_3.jpg")</f>
        <v/>
      </c>
      <c r="O467">
        <f>HYPERLINK("imagenes/HALIFAX_WOMENS_119008968_ADR_1.jpg","Ver imagen")</f>
        <v/>
      </c>
      <c r="P467">
        <f>HYPERLINK("imagenes/HALIFAX_WOMENS_119008968_ADR_2.jpg","Ver imagen")</f>
        <v/>
      </c>
      <c r="Q467">
        <f>HYPERLINK("imagenes/HALIFAX_WOMENS_119008968_ADR_3.jpg","Ver imagen")</f>
        <v/>
      </c>
    </row>
    <row r="468">
      <c r="A468" t="inlineStr">
        <is>
          <t>HALIFAX WOMENS</t>
        </is>
      </c>
      <c r="B468" t="inlineStr">
        <is>
          <t>119008968</t>
        </is>
      </c>
      <c r="C468" t="inlineStr">
        <is>
          <t>Midweight Faux Fur Trimmed Puffer</t>
        </is>
      </c>
      <c r="D468" t="inlineStr">
        <is>
          <t>ADR</t>
        </is>
      </c>
      <c r="E468" t="inlineStr">
        <is>
          <t>(en blanco)</t>
        </is>
      </c>
      <c r="F468" t="inlineStr">
        <is>
          <t>(en blanco)</t>
        </is>
      </c>
      <c r="G468" t="inlineStr">
        <is>
          <t>S</t>
        </is>
      </c>
      <c r="H468" t="n">
        <v>8</v>
      </c>
      <c r="I468" t="inlineStr">
        <is>
          <t>HALIFAX_WOMENS_119008968_ADR_1.jpg</t>
        </is>
      </c>
      <c r="J468" t="inlineStr">
        <is>
          <t>HALIFAX_WOMENS_119008968_ADR_2.jpg</t>
        </is>
      </c>
      <c r="K468" t="inlineStr">
        <is>
          <t>HALIFAX_WOMENS_119008968_ADR_3.jpg</t>
        </is>
      </c>
      <c r="L468">
        <f>IMAGE("file:///E:/Estudios%20y%20certificaciones/ESTUDIOS%20DE%20PROGRAMMING/PROGRAMMING/PERSONAL/PYTHON/Image_Generator_API/imagenes/HALIFAX_WOMENS_119008968_ADR_1.jpg")</f>
        <v/>
      </c>
      <c r="M468">
        <f>IMAGE("file:///E:/Estudios%20y%20certificaciones/ESTUDIOS%20DE%20PROGRAMMING/PROGRAMMING/PERSONAL/PYTHON/Image_Generator_API/imagenes/HALIFAX_WOMENS_119008968_ADR_2.jpg")</f>
        <v/>
      </c>
      <c r="N468">
        <f>IMAGE("file:///E:/Estudios%20y%20certificaciones/ESTUDIOS%20DE%20PROGRAMMING/PROGRAMMING/PERSONAL/PYTHON/Image_Generator_API/imagenes/HALIFAX_WOMENS_119008968_ADR_3.jpg")</f>
        <v/>
      </c>
      <c r="O468">
        <f>HYPERLINK("imagenes/HALIFAX_WOMENS_119008968_ADR_1.jpg","Ver imagen")</f>
        <v/>
      </c>
      <c r="P468">
        <f>HYPERLINK("imagenes/HALIFAX_WOMENS_119008968_ADR_2.jpg","Ver imagen")</f>
        <v/>
      </c>
      <c r="Q468">
        <f>HYPERLINK("imagenes/HALIFAX_WOMENS_119008968_ADR_3.jpg","Ver imagen")</f>
        <v/>
      </c>
    </row>
    <row r="469">
      <c r="A469" t="inlineStr">
        <is>
          <t>HALIFAX WOMENS</t>
        </is>
      </c>
      <c r="B469" t="inlineStr">
        <is>
          <t>119008968</t>
        </is>
      </c>
      <c r="C469" t="inlineStr">
        <is>
          <t>Midweight Faux Fur Trimmed Puffer</t>
        </is>
      </c>
      <c r="D469" t="inlineStr">
        <is>
          <t>ADR</t>
        </is>
      </c>
      <c r="E469" t="inlineStr">
        <is>
          <t>(en blanco)</t>
        </is>
      </c>
      <c r="F469" t="inlineStr">
        <is>
          <t>(en blanco)</t>
        </is>
      </c>
      <c r="G469" t="inlineStr">
        <is>
          <t>M</t>
        </is>
      </c>
      <c r="H469" t="n">
        <v>13</v>
      </c>
      <c r="I469" t="inlineStr">
        <is>
          <t>HALIFAX_WOMENS_119008968_ADR_1.jpg</t>
        </is>
      </c>
      <c r="J469" t="inlineStr">
        <is>
          <t>HALIFAX_WOMENS_119008968_ADR_2.jpg</t>
        </is>
      </c>
      <c r="K469" t="inlineStr">
        <is>
          <t>HALIFAX_WOMENS_119008968_ADR_3.jpg</t>
        </is>
      </c>
      <c r="L469">
        <f>IMAGE("file:///E:/Estudios%20y%20certificaciones/ESTUDIOS%20DE%20PROGRAMMING/PROGRAMMING/PERSONAL/PYTHON/Image_Generator_API/imagenes/HALIFAX_WOMENS_119008968_ADR_1.jpg")</f>
        <v/>
      </c>
      <c r="M469">
        <f>IMAGE("file:///E:/Estudios%20y%20certificaciones/ESTUDIOS%20DE%20PROGRAMMING/PROGRAMMING/PERSONAL/PYTHON/Image_Generator_API/imagenes/HALIFAX_WOMENS_119008968_ADR_2.jpg")</f>
        <v/>
      </c>
      <c r="N469">
        <f>IMAGE("file:///E:/Estudios%20y%20certificaciones/ESTUDIOS%20DE%20PROGRAMMING/PROGRAMMING/PERSONAL/PYTHON/Image_Generator_API/imagenes/HALIFAX_WOMENS_119008968_ADR_3.jpg")</f>
        <v/>
      </c>
      <c r="O469">
        <f>HYPERLINK("imagenes/HALIFAX_WOMENS_119008968_ADR_1.jpg","Ver imagen")</f>
        <v/>
      </c>
      <c r="P469">
        <f>HYPERLINK("imagenes/HALIFAX_WOMENS_119008968_ADR_2.jpg","Ver imagen")</f>
        <v/>
      </c>
      <c r="Q469">
        <f>HYPERLINK("imagenes/HALIFAX_WOMENS_119008968_ADR_3.jpg","Ver imagen")</f>
        <v/>
      </c>
    </row>
    <row r="470">
      <c r="A470" t="inlineStr">
        <is>
          <t>HALIFAX WOMENS</t>
        </is>
      </c>
      <c r="B470" t="inlineStr">
        <is>
          <t>119008968</t>
        </is>
      </c>
      <c r="C470" t="inlineStr">
        <is>
          <t>Midweight Faux Fur Trimmed Puffer</t>
        </is>
      </c>
      <c r="D470" t="inlineStr">
        <is>
          <t>ADR</t>
        </is>
      </c>
      <c r="E470" t="inlineStr">
        <is>
          <t>(en blanco)</t>
        </is>
      </c>
      <c r="F470" t="inlineStr">
        <is>
          <t>(en blanco)</t>
        </is>
      </c>
      <c r="G470" t="inlineStr">
        <is>
          <t>L</t>
        </is>
      </c>
      <c r="H470" t="n">
        <v>8</v>
      </c>
      <c r="I470" t="inlineStr">
        <is>
          <t>HALIFAX_WOMENS_119008968_ADR_1.jpg</t>
        </is>
      </c>
      <c r="J470" t="inlineStr">
        <is>
          <t>HALIFAX_WOMENS_119008968_ADR_2.jpg</t>
        </is>
      </c>
      <c r="K470" t="inlineStr">
        <is>
          <t>HALIFAX_WOMENS_119008968_ADR_3.jpg</t>
        </is>
      </c>
      <c r="L470">
        <f>IMAGE("file:///E:/Estudios%20y%20certificaciones/ESTUDIOS%20DE%20PROGRAMMING/PROGRAMMING/PERSONAL/PYTHON/Image_Generator_API/imagenes/HALIFAX_WOMENS_119008968_ADR_1.jpg")</f>
        <v/>
      </c>
      <c r="M470">
        <f>IMAGE("file:///E:/Estudios%20y%20certificaciones/ESTUDIOS%20DE%20PROGRAMMING/PROGRAMMING/PERSONAL/PYTHON/Image_Generator_API/imagenes/HALIFAX_WOMENS_119008968_ADR_2.jpg")</f>
        <v/>
      </c>
      <c r="N470">
        <f>IMAGE("file:///E:/Estudios%20y%20certificaciones/ESTUDIOS%20DE%20PROGRAMMING/PROGRAMMING/PERSONAL/PYTHON/Image_Generator_API/imagenes/HALIFAX_WOMENS_119008968_ADR_3.jpg")</f>
        <v/>
      </c>
      <c r="O470">
        <f>HYPERLINK("imagenes/HALIFAX_WOMENS_119008968_ADR_1.jpg","Ver imagen")</f>
        <v/>
      </c>
      <c r="P470">
        <f>HYPERLINK("imagenes/HALIFAX_WOMENS_119008968_ADR_2.jpg","Ver imagen")</f>
        <v/>
      </c>
      <c r="Q470">
        <f>HYPERLINK("imagenes/HALIFAX_WOMENS_119008968_ADR_3.jpg","Ver imagen")</f>
        <v/>
      </c>
    </row>
    <row r="471">
      <c r="A471" t="inlineStr">
        <is>
          <t>HALIFAX WOMENS</t>
        </is>
      </c>
      <c r="B471" t="inlineStr">
        <is>
          <t>119008968</t>
        </is>
      </c>
      <c r="C471" t="inlineStr">
        <is>
          <t>Midweight Faux Fur Trimmed Puffer</t>
        </is>
      </c>
      <c r="D471" t="inlineStr">
        <is>
          <t>ADR</t>
        </is>
      </c>
      <c r="E471" t="inlineStr">
        <is>
          <t>(en blanco)</t>
        </is>
      </c>
      <c r="F471" t="inlineStr">
        <is>
          <t>(en blanco)</t>
        </is>
      </c>
      <c r="G471" t="inlineStr">
        <is>
          <t>XL</t>
        </is>
      </c>
      <c r="H471" t="n">
        <v>5</v>
      </c>
      <c r="I471" t="inlineStr">
        <is>
          <t>HALIFAX_WOMENS_119008968_ADR_1.jpg</t>
        </is>
      </c>
      <c r="J471" t="inlineStr">
        <is>
          <t>HALIFAX_WOMENS_119008968_ADR_2.jpg</t>
        </is>
      </c>
      <c r="K471" t="inlineStr">
        <is>
          <t>HALIFAX_WOMENS_119008968_ADR_3.jpg</t>
        </is>
      </c>
      <c r="L471">
        <f>IMAGE("file:///E:/Estudios%20y%20certificaciones/ESTUDIOS%20DE%20PROGRAMMING/PROGRAMMING/PERSONAL/PYTHON/Image_Generator_API/imagenes/HALIFAX_WOMENS_119008968_ADR_1.jpg")</f>
        <v/>
      </c>
      <c r="M471">
        <f>IMAGE("file:///E:/Estudios%20y%20certificaciones/ESTUDIOS%20DE%20PROGRAMMING/PROGRAMMING/PERSONAL/PYTHON/Image_Generator_API/imagenes/HALIFAX_WOMENS_119008968_ADR_2.jpg")</f>
        <v/>
      </c>
      <c r="N471">
        <f>IMAGE("file:///E:/Estudios%20y%20certificaciones/ESTUDIOS%20DE%20PROGRAMMING/PROGRAMMING/PERSONAL/PYTHON/Image_Generator_API/imagenes/HALIFAX_WOMENS_119008968_ADR_3.jpg")</f>
        <v/>
      </c>
      <c r="O471">
        <f>HYPERLINK("imagenes/HALIFAX_WOMENS_119008968_ADR_1.jpg","Ver imagen")</f>
        <v/>
      </c>
      <c r="P471">
        <f>HYPERLINK("imagenes/HALIFAX_WOMENS_119008968_ADR_2.jpg","Ver imagen")</f>
        <v/>
      </c>
      <c r="Q471">
        <f>HYPERLINK("imagenes/HALIFAX_WOMENS_119008968_ADR_3.jpg","Ver imagen")</f>
        <v/>
      </c>
    </row>
    <row r="472">
      <c r="A472" t="inlineStr">
        <is>
          <t>HALIFAX WOMENS</t>
        </is>
      </c>
      <c r="B472" t="inlineStr">
        <is>
          <t>119008968</t>
        </is>
      </c>
      <c r="C472" t="inlineStr">
        <is>
          <t>Midweight Faux Fur Trimmed Puffer</t>
        </is>
      </c>
      <c r="D472" t="inlineStr">
        <is>
          <t>BLK</t>
        </is>
      </c>
      <c r="E472" t="inlineStr">
        <is>
          <t>06A01</t>
        </is>
      </c>
      <c r="F472" t="inlineStr">
        <is>
          <t>(en blanco)</t>
        </is>
      </c>
      <c r="G472" t="inlineStr">
        <is>
          <t>PPK</t>
        </is>
      </c>
      <c r="H472" t="n">
        <v>2028</v>
      </c>
      <c r="I472" t="inlineStr">
        <is>
          <t>HALIFAX_WOMENS_119008968_BLK_1.jpg</t>
        </is>
      </c>
      <c r="J472" t="inlineStr">
        <is>
          <t>HALIFAX_WOMENS_119008968_BLK_2.jpg</t>
        </is>
      </c>
      <c r="K472" t="inlineStr">
        <is>
          <t>HALIFAX_WOMENS_119008968_BLK_3.jpg</t>
        </is>
      </c>
      <c r="L472">
        <f>IMAGE("file:///E:/Estudios%20y%20certificaciones/ESTUDIOS%20DE%20PROGRAMMING/PROGRAMMING/PERSONAL/PYTHON/Image_Generator_API/imagenes/HALIFAX_WOMENS_119008968_BLK_1.jpg")</f>
        <v/>
      </c>
      <c r="M472">
        <f>IMAGE("file:///E:/Estudios%20y%20certificaciones/ESTUDIOS%20DE%20PROGRAMMING/PROGRAMMING/PERSONAL/PYTHON/Image_Generator_API/imagenes/HALIFAX_WOMENS_119008968_BLK_2.jpg")</f>
        <v/>
      </c>
      <c r="N472">
        <f>IMAGE("file:///E:/Estudios%20y%20certificaciones/ESTUDIOS%20DE%20PROGRAMMING/PROGRAMMING/PERSONAL/PYTHON/Image_Generator_API/imagenes/HALIFAX_WOMENS_119008968_BLK_3.jpg")</f>
        <v/>
      </c>
      <c r="O472">
        <f>HYPERLINK("imagenes/HALIFAX_WOMENS_119008968_BLK_1.jpg","Ver imagen")</f>
        <v/>
      </c>
      <c r="P472">
        <f>HYPERLINK("imagenes/HALIFAX_WOMENS_119008968_BLK_2.jpg","Ver imagen")</f>
        <v/>
      </c>
      <c r="Q472">
        <f>HYPERLINK("imagenes/HALIFAX_WOMENS_119008968_BLK_3.jpg","Ver imagen")</f>
        <v/>
      </c>
    </row>
    <row r="473">
      <c r="A473" t="inlineStr">
        <is>
          <t>HALIFAX WOMENS</t>
        </is>
      </c>
      <c r="B473" t="inlineStr">
        <is>
          <t>119008968</t>
        </is>
      </c>
      <c r="C473" t="inlineStr">
        <is>
          <t>Midweight Faux Fur Trimmed Puffer</t>
        </is>
      </c>
      <c r="D473" t="inlineStr">
        <is>
          <t>BLK</t>
        </is>
      </c>
      <c r="E473" t="inlineStr">
        <is>
          <t>08A06</t>
        </is>
      </c>
      <c r="F473" t="inlineStr">
        <is>
          <t>B2230</t>
        </is>
      </c>
      <c r="G473" t="inlineStr">
        <is>
          <t>PPK</t>
        </is>
      </c>
      <c r="H473" t="n">
        <v>0</v>
      </c>
      <c r="I473" t="inlineStr">
        <is>
          <t>HALIFAX_WOMENS_119008968_BLK_1.jpg</t>
        </is>
      </c>
      <c r="J473" t="inlineStr">
        <is>
          <t>HALIFAX_WOMENS_119008968_BLK_2.jpg</t>
        </is>
      </c>
      <c r="K473" t="inlineStr">
        <is>
          <t>HALIFAX_WOMENS_119008968_BLK_3.jpg</t>
        </is>
      </c>
      <c r="L473">
        <f>IMAGE("file:///E:/Estudios%20y%20certificaciones/ESTUDIOS%20DE%20PROGRAMMING/PROGRAMMING/PERSONAL/PYTHON/Image_Generator_API/imagenes/HALIFAX_WOMENS_119008968_BLK_1.jpg")</f>
        <v/>
      </c>
      <c r="M473">
        <f>IMAGE("file:///E:/Estudios%20y%20certificaciones/ESTUDIOS%20DE%20PROGRAMMING/PROGRAMMING/PERSONAL/PYTHON/Image_Generator_API/imagenes/HALIFAX_WOMENS_119008968_BLK_2.jpg")</f>
        <v/>
      </c>
      <c r="N473">
        <f>IMAGE("file:///E:/Estudios%20y%20certificaciones/ESTUDIOS%20DE%20PROGRAMMING/PROGRAMMING/PERSONAL/PYTHON/Image_Generator_API/imagenes/HALIFAX_WOMENS_119008968_BLK_3.jpg")</f>
        <v/>
      </c>
      <c r="O473">
        <f>HYPERLINK("imagenes/HALIFAX_WOMENS_119008968_BLK_1.jpg","Ver imagen")</f>
        <v/>
      </c>
      <c r="P473">
        <f>HYPERLINK("imagenes/HALIFAX_WOMENS_119008968_BLK_2.jpg","Ver imagen")</f>
        <v/>
      </c>
      <c r="Q473">
        <f>HYPERLINK("imagenes/HALIFAX_WOMENS_119008968_BLK_3.jpg","Ver imagen")</f>
        <v/>
      </c>
    </row>
    <row r="474">
      <c r="A474" t="inlineStr">
        <is>
          <t>HALIFAX WOMENS</t>
        </is>
      </c>
      <c r="B474" t="inlineStr">
        <is>
          <t>119008968</t>
        </is>
      </c>
      <c r="C474" t="inlineStr">
        <is>
          <t>Midweight Faux Fur Trimmed Puffer</t>
        </is>
      </c>
      <c r="D474" t="inlineStr">
        <is>
          <t>BLK</t>
        </is>
      </c>
      <c r="E474" t="inlineStr">
        <is>
          <t>(en blanco)</t>
        </is>
      </c>
      <c r="F474" t="inlineStr">
        <is>
          <t>(en blanco)</t>
        </is>
      </c>
      <c r="G474" t="inlineStr">
        <is>
          <t>S</t>
        </is>
      </c>
      <c r="H474" t="n">
        <v>5</v>
      </c>
      <c r="I474" t="inlineStr">
        <is>
          <t>HALIFAX_WOMENS_119008968_BLK_1.jpg</t>
        </is>
      </c>
      <c r="J474" t="inlineStr">
        <is>
          <t>HALIFAX_WOMENS_119008968_BLK_2.jpg</t>
        </is>
      </c>
      <c r="K474" t="inlineStr">
        <is>
          <t>HALIFAX_WOMENS_119008968_BLK_3.jpg</t>
        </is>
      </c>
      <c r="L474">
        <f>IMAGE("file:///E:/Estudios%20y%20certificaciones/ESTUDIOS%20DE%20PROGRAMMING/PROGRAMMING/PERSONAL/PYTHON/Image_Generator_API/imagenes/HALIFAX_WOMENS_119008968_BLK_1.jpg")</f>
        <v/>
      </c>
      <c r="M474">
        <f>IMAGE("file:///E:/Estudios%20y%20certificaciones/ESTUDIOS%20DE%20PROGRAMMING/PROGRAMMING/PERSONAL/PYTHON/Image_Generator_API/imagenes/HALIFAX_WOMENS_119008968_BLK_2.jpg")</f>
        <v/>
      </c>
      <c r="N474">
        <f>IMAGE("file:///E:/Estudios%20y%20certificaciones/ESTUDIOS%20DE%20PROGRAMMING/PROGRAMMING/PERSONAL/PYTHON/Image_Generator_API/imagenes/HALIFAX_WOMENS_119008968_BLK_3.jpg")</f>
        <v/>
      </c>
      <c r="O474">
        <f>HYPERLINK("imagenes/HALIFAX_WOMENS_119008968_BLK_1.jpg","Ver imagen")</f>
        <v/>
      </c>
      <c r="P474">
        <f>HYPERLINK("imagenes/HALIFAX_WOMENS_119008968_BLK_2.jpg","Ver imagen")</f>
        <v/>
      </c>
      <c r="Q474">
        <f>HYPERLINK("imagenes/HALIFAX_WOMENS_119008968_BLK_3.jpg","Ver imagen")</f>
        <v/>
      </c>
    </row>
    <row r="475">
      <c r="A475" t="inlineStr">
        <is>
          <t>HALIFAX WOMENS</t>
        </is>
      </c>
      <c r="B475" t="inlineStr">
        <is>
          <t>119008968</t>
        </is>
      </c>
      <c r="C475" t="inlineStr">
        <is>
          <t>Midweight Faux Fur Trimmed Puffer</t>
        </is>
      </c>
      <c r="D475" t="inlineStr">
        <is>
          <t>BLK</t>
        </is>
      </c>
      <c r="E475" t="inlineStr">
        <is>
          <t>(en blanco)</t>
        </is>
      </c>
      <c r="F475" t="inlineStr">
        <is>
          <t>(en blanco)</t>
        </is>
      </c>
      <c r="G475" t="inlineStr">
        <is>
          <t>M</t>
        </is>
      </c>
      <c r="H475" t="n">
        <v>11</v>
      </c>
      <c r="I475" t="inlineStr">
        <is>
          <t>HALIFAX_WOMENS_119008968_BLK_1.jpg</t>
        </is>
      </c>
      <c r="J475" t="inlineStr">
        <is>
          <t>HALIFAX_WOMENS_119008968_BLK_2.jpg</t>
        </is>
      </c>
      <c r="K475" t="inlineStr">
        <is>
          <t>HALIFAX_WOMENS_119008968_BLK_3.jpg</t>
        </is>
      </c>
      <c r="L475">
        <f>IMAGE("file:///E:/Estudios%20y%20certificaciones/ESTUDIOS%20DE%20PROGRAMMING/PROGRAMMING/PERSONAL/PYTHON/Image_Generator_API/imagenes/HALIFAX_WOMENS_119008968_BLK_1.jpg")</f>
        <v/>
      </c>
      <c r="M475">
        <f>IMAGE("file:///E:/Estudios%20y%20certificaciones/ESTUDIOS%20DE%20PROGRAMMING/PROGRAMMING/PERSONAL/PYTHON/Image_Generator_API/imagenes/HALIFAX_WOMENS_119008968_BLK_2.jpg")</f>
        <v/>
      </c>
      <c r="N475">
        <f>IMAGE("file:///E:/Estudios%20y%20certificaciones/ESTUDIOS%20DE%20PROGRAMMING/PROGRAMMING/PERSONAL/PYTHON/Image_Generator_API/imagenes/HALIFAX_WOMENS_119008968_BLK_3.jpg")</f>
        <v/>
      </c>
      <c r="O475">
        <f>HYPERLINK("imagenes/HALIFAX_WOMENS_119008968_BLK_1.jpg","Ver imagen")</f>
        <v/>
      </c>
      <c r="P475">
        <f>HYPERLINK("imagenes/HALIFAX_WOMENS_119008968_BLK_2.jpg","Ver imagen")</f>
        <v/>
      </c>
      <c r="Q475">
        <f>HYPERLINK("imagenes/HALIFAX_WOMENS_119008968_BLK_3.jpg","Ver imagen")</f>
        <v/>
      </c>
    </row>
    <row r="476">
      <c r="A476" t="inlineStr">
        <is>
          <t>HALIFAX WOMENS</t>
        </is>
      </c>
      <c r="B476" t="inlineStr">
        <is>
          <t>119008968</t>
        </is>
      </c>
      <c r="C476" t="inlineStr">
        <is>
          <t>Midweight Faux Fur Trimmed Puffer</t>
        </is>
      </c>
      <c r="D476" t="inlineStr">
        <is>
          <t>BLK</t>
        </is>
      </c>
      <c r="E476" t="inlineStr">
        <is>
          <t>(en blanco)</t>
        </is>
      </c>
      <c r="F476" t="inlineStr">
        <is>
          <t>(en blanco)</t>
        </is>
      </c>
      <c r="G476" t="inlineStr">
        <is>
          <t>L</t>
        </is>
      </c>
      <c r="H476" t="n">
        <v>6</v>
      </c>
      <c r="I476" t="inlineStr">
        <is>
          <t>HALIFAX_WOMENS_119008968_BLK_1.jpg</t>
        </is>
      </c>
      <c r="J476" t="inlineStr">
        <is>
          <t>HALIFAX_WOMENS_119008968_BLK_2.jpg</t>
        </is>
      </c>
      <c r="K476" t="inlineStr">
        <is>
          <t>HALIFAX_WOMENS_119008968_BLK_3.jpg</t>
        </is>
      </c>
      <c r="L476">
        <f>IMAGE("file:///E:/Estudios%20y%20certificaciones/ESTUDIOS%20DE%20PROGRAMMING/PROGRAMMING/PERSONAL/PYTHON/Image_Generator_API/imagenes/HALIFAX_WOMENS_119008968_BLK_1.jpg")</f>
        <v/>
      </c>
      <c r="M476">
        <f>IMAGE("file:///E:/Estudios%20y%20certificaciones/ESTUDIOS%20DE%20PROGRAMMING/PROGRAMMING/PERSONAL/PYTHON/Image_Generator_API/imagenes/HALIFAX_WOMENS_119008968_BLK_2.jpg")</f>
        <v/>
      </c>
      <c r="N476">
        <f>IMAGE("file:///E:/Estudios%20y%20certificaciones/ESTUDIOS%20DE%20PROGRAMMING/PROGRAMMING/PERSONAL/PYTHON/Image_Generator_API/imagenes/HALIFAX_WOMENS_119008968_BLK_3.jpg")</f>
        <v/>
      </c>
      <c r="O476">
        <f>HYPERLINK("imagenes/HALIFAX_WOMENS_119008968_BLK_1.jpg","Ver imagen")</f>
        <v/>
      </c>
      <c r="P476">
        <f>HYPERLINK("imagenes/HALIFAX_WOMENS_119008968_BLK_2.jpg","Ver imagen")</f>
        <v/>
      </c>
      <c r="Q476">
        <f>HYPERLINK("imagenes/HALIFAX_WOMENS_119008968_BLK_3.jpg","Ver imagen")</f>
        <v/>
      </c>
    </row>
    <row r="477">
      <c r="A477" t="inlineStr">
        <is>
          <t>HALIFAX WOMENS</t>
        </is>
      </c>
      <c r="B477" t="inlineStr">
        <is>
          <t>119008968</t>
        </is>
      </c>
      <c r="C477" t="inlineStr">
        <is>
          <t>Midweight Faux Fur Trimmed Puffer</t>
        </is>
      </c>
      <c r="D477" t="inlineStr">
        <is>
          <t>BLK</t>
        </is>
      </c>
      <c r="E477" t="inlineStr">
        <is>
          <t>(en blanco)</t>
        </is>
      </c>
      <c r="F477" t="inlineStr">
        <is>
          <t>(en blanco)</t>
        </is>
      </c>
      <c r="G477" t="inlineStr">
        <is>
          <t>XL</t>
        </is>
      </c>
      <c r="H477" t="n">
        <v>4</v>
      </c>
      <c r="I477" t="inlineStr">
        <is>
          <t>HALIFAX_WOMENS_119008968_BLK_1.jpg</t>
        </is>
      </c>
      <c r="J477" t="inlineStr">
        <is>
          <t>HALIFAX_WOMENS_119008968_BLK_2.jpg</t>
        </is>
      </c>
      <c r="K477" t="inlineStr">
        <is>
          <t>HALIFAX_WOMENS_119008968_BLK_3.jpg</t>
        </is>
      </c>
      <c r="L477">
        <f>IMAGE("file:///E:/Estudios%20y%20certificaciones/ESTUDIOS%20DE%20PROGRAMMING/PROGRAMMING/PERSONAL/PYTHON/Image_Generator_API/imagenes/HALIFAX_WOMENS_119008968_BLK_1.jpg")</f>
        <v/>
      </c>
      <c r="M477">
        <f>IMAGE("file:///E:/Estudios%20y%20certificaciones/ESTUDIOS%20DE%20PROGRAMMING/PROGRAMMING/PERSONAL/PYTHON/Image_Generator_API/imagenes/HALIFAX_WOMENS_119008968_BLK_2.jpg")</f>
        <v/>
      </c>
      <c r="N477">
        <f>IMAGE("file:///E:/Estudios%20y%20certificaciones/ESTUDIOS%20DE%20PROGRAMMING/PROGRAMMING/PERSONAL/PYTHON/Image_Generator_API/imagenes/HALIFAX_WOMENS_119008968_BLK_3.jpg")</f>
        <v/>
      </c>
      <c r="O477">
        <f>HYPERLINK("imagenes/HALIFAX_WOMENS_119008968_BLK_1.jpg","Ver imagen")</f>
        <v/>
      </c>
      <c r="P477">
        <f>HYPERLINK("imagenes/HALIFAX_WOMENS_119008968_BLK_2.jpg","Ver imagen")</f>
        <v/>
      </c>
      <c r="Q477">
        <f>HYPERLINK("imagenes/HALIFAX_WOMENS_119008968_BLK_3.jpg","Ver imagen")</f>
        <v/>
      </c>
    </row>
    <row r="478">
      <c r="A478" t="inlineStr">
        <is>
          <t>HALIFAX WOMENS</t>
        </is>
      </c>
      <c r="B478" t="inlineStr">
        <is>
          <t>119008968</t>
        </is>
      </c>
      <c r="C478" t="inlineStr">
        <is>
          <t>Midweight Faux Fur Trimmed Puffer</t>
        </is>
      </c>
      <c r="D478" t="inlineStr">
        <is>
          <t>SOM</t>
        </is>
      </c>
      <c r="E478" t="inlineStr">
        <is>
          <t>06A01</t>
        </is>
      </c>
      <c r="F478" t="inlineStr">
        <is>
          <t>(en blanco)</t>
        </is>
      </c>
      <c r="G478" t="inlineStr">
        <is>
          <t>PPK</t>
        </is>
      </c>
      <c r="H478" t="n">
        <v>330</v>
      </c>
      <c r="I478" t="inlineStr">
        <is>
          <t>HALIFAX_WOMENS_119008968_SOM_1.jpg</t>
        </is>
      </c>
      <c r="J478" t="inlineStr">
        <is>
          <t>HALIFAX_WOMENS_119008968_SOM_2.jpg</t>
        </is>
      </c>
      <c r="K478" t="inlineStr">
        <is>
          <t>HALIFAX_WOMENS_119008968_SOM_3.jpg</t>
        </is>
      </c>
      <c r="L478">
        <f>IMAGE("file:///E:/Estudios%20y%20certificaciones/ESTUDIOS%20DE%20PROGRAMMING/PROGRAMMING/PERSONAL/PYTHON/Image_Generator_API/imagenes/HALIFAX_WOMENS_119008968_SOM_1.jpg")</f>
        <v/>
      </c>
      <c r="M478">
        <f>IMAGE("file:///E:/Estudios%20y%20certificaciones/ESTUDIOS%20DE%20PROGRAMMING/PROGRAMMING/PERSONAL/PYTHON/Image_Generator_API/imagenes/HALIFAX_WOMENS_119008968_SOM_2.jpg")</f>
        <v/>
      </c>
      <c r="N478">
        <f>IMAGE("file:///E:/Estudios%20y%20certificaciones/ESTUDIOS%20DE%20PROGRAMMING/PROGRAMMING/PERSONAL/PYTHON/Image_Generator_API/imagenes/HALIFAX_WOMENS_119008968_SOM_3.jpg")</f>
        <v/>
      </c>
      <c r="O478">
        <f>HYPERLINK("imagenes/HALIFAX_WOMENS_119008968_SOM_1.jpg","Ver imagen")</f>
        <v/>
      </c>
      <c r="P478">
        <f>HYPERLINK("imagenes/HALIFAX_WOMENS_119008968_SOM_2.jpg","Ver imagen")</f>
        <v/>
      </c>
      <c r="Q478">
        <f>HYPERLINK("imagenes/HALIFAX_WOMENS_119008968_SOM_3.jpg","Ver imagen")</f>
        <v/>
      </c>
    </row>
    <row r="479">
      <c r="A479" t="inlineStr">
        <is>
          <t>HALIFAX WOMENS</t>
        </is>
      </c>
      <c r="B479" t="inlineStr">
        <is>
          <t>119008968</t>
        </is>
      </c>
      <c r="C479" t="inlineStr">
        <is>
          <t>Midweight Faux Fur Trimmed Puffer</t>
        </is>
      </c>
      <c r="D479" t="inlineStr">
        <is>
          <t>SOM</t>
        </is>
      </c>
      <c r="E479" t="inlineStr">
        <is>
          <t>08A06</t>
        </is>
      </c>
      <c r="F479" t="inlineStr">
        <is>
          <t>B2230</t>
        </is>
      </c>
      <c r="G479" t="inlineStr">
        <is>
          <t>PPK</t>
        </is>
      </c>
      <c r="H479" t="n">
        <v>0</v>
      </c>
      <c r="I479" t="inlineStr">
        <is>
          <t>HALIFAX_WOMENS_119008968_SOM_1.jpg</t>
        </is>
      </c>
      <c r="J479" t="inlineStr">
        <is>
          <t>HALIFAX_WOMENS_119008968_SOM_2.jpg</t>
        </is>
      </c>
      <c r="K479" t="inlineStr">
        <is>
          <t>HALIFAX_WOMENS_119008968_SOM_3.jpg</t>
        </is>
      </c>
      <c r="L479">
        <f>IMAGE("file:///E:/Estudios%20y%20certificaciones/ESTUDIOS%20DE%20PROGRAMMING/PROGRAMMING/PERSONAL/PYTHON/Image_Generator_API/imagenes/HALIFAX_WOMENS_119008968_SOM_1.jpg")</f>
        <v/>
      </c>
      <c r="M479">
        <f>IMAGE("file:///E:/Estudios%20y%20certificaciones/ESTUDIOS%20DE%20PROGRAMMING/PROGRAMMING/PERSONAL/PYTHON/Image_Generator_API/imagenes/HALIFAX_WOMENS_119008968_SOM_2.jpg")</f>
        <v/>
      </c>
      <c r="N479">
        <f>IMAGE("file:///E:/Estudios%20y%20certificaciones/ESTUDIOS%20DE%20PROGRAMMING/PROGRAMMING/PERSONAL/PYTHON/Image_Generator_API/imagenes/HALIFAX_WOMENS_119008968_SOM_3.jpg")</f>
        <v/>
      </c>
      <c r="O479">
        <f>HYPERLINK("imagenes/HALIFAX_WOMENS_119008968_SOM_1.jpg","Ver imagen")</f>
        <v/>
      </c>
      <c r="P479">
        <f>HYPERLINK("imagenes/HALIFAX_WOMENS_119008968_SOM_2.jpg","Ver imagen")</f>
        <v/>
      </c>
      <c r="Q479">
        <f>HYPERLINK("imagenes/HALIFAX_WOMENS_119008968_SOM_3.jpg","Ver imagen")</f>
        <v/>
      </c>
    </row>
    <row r="480">
      <c r="A480" t="inlineStr">
        <is>
          <t>HALIFAX WOMENS</t>
        </is>
      </c>
      <c r="B480" t="inlineStr">
        <is>
          <t>119008968</t>
        </is>
      </c>
      <c r="C480" t="inlineStr">
        <is>
          <t>Midweight Faux Fur Trimmed Puffer</t>
        </is>
      </c>
      <c r="D480" t="inlineStr">
        <is>
          <t>SOM</t>
        </is>
      </c>
      <c r="E480" t="inlineStr">
        <is>
          <t>(en blanco)</t>
        </is>
      </c>
      <c r="F480" t="inlineStr">
        <is>
          <t>(en blanco)</t>
        </is>
      </c>
      <c r="G480" t="inlineStr">
        <is>
          <t>S</t>
        </is>
      </c>
      <c r="H480" t="n">
        <v>8</v>
      </c>
      <c r="I480" t="inlineStr">
        <is>
          <t>HALIFAX_WOMENS_119008968_SOM_1.jpg</t>
        </is>
      </c>
      <c r="J480" t="inlineStr">
        <is>
          <t>HALIFAX_WOMENS_119008968_SOM_2.jpg</t>
        </is>
      </c>
      <c r="K480" t="inlineStr">
        <is>
          <t>HALIFAX_WOMENS_119008968_SOM_3.jpg</t>
        </is>
      </c>
      <c r="L480">
        <f>IMAGE("file:///E:/Estudios%20y%20certificaciones/ESTUDIOS%20DE%20PROGRAMMING/PROGRAMMING/PERSONAL/PYTHON/Image_Generator_API/imagenes/HALIFAX_WOMENS_119008968_SOM_1.jpg")</f>
        <v/>
      </c>
      <c r="M480">
        <f>IMAGE("file:///E:/Estudios%20y%20certificaciones/ESTUDIOS%20DE%20PROGRAMMING/PROGRAMMING/PERSONAL/PYTHON/Image_Generator_API/imagenes/HALIFAX_WOMENS_119008968_SOM_2.jpg")</f>
        <v/>
      </c>
      <c r="N480">
        <f>IMAGE("file:///E:/Estudios%20y%20certificaciones/ESTUDIOS%20DE%20PROGRAMMING/PROGRAMMING/PERSONAL/PYTHON/Image_Generator_API/imagenes/HALIFAX_WOMENS_119008968_SOM_3.jpg")</f>
        <v/>
      </c>
      <c r="O480">
        <f>HYPERLINK("imagenes/HALIFAX_WOMENS_119008968_SOM_1.jpg","Ver imagen")</f>
        <v/>
      </c>
      <c r="P480">
        <f>HYPERLINK("imagenes/HALIFAX_WOMENS_119008968_SOM_2.jpg","Ver imagen")</f>
        <v/>
      </c>
      <c r="Q480">
        <f>HYPERLINK("imagenes/HALIFAX_WOMENS_119008968_SOM_3.jpg","Ver imagen")</f>
        <v/>
      </c>
    </row>
    <row r="481">
      <c r="A481" t="inlineStr">
        <is>
          <t>HALIFAX WOMENS</t>
        </is>
      </c>
      <c r="B481" t="inlineStr">
        <is>
          <t>119008968</t>
        </is>
      </c>
      <c r="C481" t="inlineStr">
        <is>
          <t>Midweight Faux Fur Trimmed Puffer</t>
        </is>
      </c>
      <c r="D481" t="inlineStr">
        <is>
          <t>SOM</t>
        </is>
      </c>
      <c r="E481" t="inlineStr">
        <is>
          <t>(en blanco)</t>
        </is>
      </c>
      <c r="F481" t="inlineStr">
        <is>
          <t>(en blanco)</t>
        </is>
      </c>
      <c r="G481" t="inlineStr">
        <is>
          <t>M</t>
        </is>
      </c>
      <c r="H481" t="n">
        <v>13</v>
      </c>
      <c r="I481" t="inlineStr">
        <is>
          <t>HALIFAX_WOMENS_119008968_SOM_1.jpg</t>
        </is>
      </c>
      <c r="J481" t="inlineStr">
        <is>
          <t>HALIFAX_WOMENS_119008968_SOM_2.jpg</t>
        </is>
      </c>
      <c r="K481" t="inlineStr">
        <is>
          <t>HALIFAX_WOMENS_119008968_SOM_3.jpg</t>
        </is>
      </c>
      <c r="L481">
        <f>IMAGE("file:///E:/Estudios%20y%20certificaciones/ESTUDIOS%20DE%20PROGRAMMING/PROGRAMMING/PERSONAL/PYTHON/Image_Generator_API/imagenes/HALIFAX_WOMENS_119008968_SOM_1.jpg")</f>
        <v/>
      </c>
      <c r="M481">
        <f>IMAGE("file:///E:/Estudios%20y%20certificaciones/ESTUDIOS%20DE%20PROGRAMMING/PROGRAMMING/PERSONAL/PYTHON/Image_Generator_API/imagenes/HALIFAX_WOMENS_119008968_SOM_2.jpg")</f>
        <v/>
      </c>
      <c r="N481">
        <f>IMAGE("file:///E:/Estudios%20y%20certificaciones/ESTUDIOS%20DE%20PROGRAMMING/PROGRAMMING/PERSONAL/PYTHON/Image_Generator_API/imagenes/HALIFAX_WOMENS_119008968_SOM_3.jpg")</f>
        <v/>
      </c>
      <c r="O481">
        <f>HYPERLINK("imagenes/HALIFAX_WOMENS_119008968_SOM_1.jpg","Ver imagen")</f>
        <v/>
      </c>
      <c r="P481">
        <f>HYPERLINK("imagenes/HALIFAX_WOMENS_119008968_SOM_2.jpg","Ver imagen")</f>
        <v/>
      </c>
      <c r="Q481">
        <f>HYPERLINK("imagenes/HALIFAX_WOMENS_119008968_SOM_3.jpg","Ver imagen")</f>
        <v/>
      </c>
    </row>
    <row r="482">
      <c r="A482" t="inlineStr">
        <is>
          <t>HALIFAX WOMENS</t>
        </is>
      </c>
      <c r="B482" t="inlineStr">
        <is>
          <t>119008968</t>
        </is>
      </c>
      <c r="C482" t="inlineStr">
        <is>
          <t>Midweight Faux Fur Trimmed Puffer</t>
        </is>
      </c>
      <c r="D482" t="inlineStr">
        <is>
          <t>SOM</t>
        </is>
      </c>
      <c r="E482" t="inlineStr">
        <is>
          <t>(en blanco)</t>
        </is>
      </c>
      <c r="F482" t="inlineStr">
        <is>
          <t>(en blanco)</t>
        </is>
      </c>
      <c r="G482" t="inlineStr">
        <is>
          <t>L</t>
        </is>
      </c>
      <c r="H482" t="n">
        <v>8</v>
      </c>
      <c r="I482" t="inlineStr">
        <is>
          <t>HALIFAX_WOMENS_119008968_SOM_1.jpg</t>
        </is>
      </c>
      <c r="J482" t="inlineStr">
        <is>
          <t>HALIFAX_WOMENS_119008968_SOM_2.jpg</t>
        </is>
      </c>
      <c r="K482" t="inlineStr">
        <is>
          <t>HALIFAX_WOMENS_119008968_SOM_3.jpg</t>
        </is>
      </c>
      <c r="L482">
        <f>IMAGE("file:///E:/Estudios%20y%20certificaciones/ESTUDIOS%20DE%20PROGRAMMING/PROGRAMMING/PERSONAL/PYTHON/Image_Generator_API/imagenes/HALIFAX_WOMENS_119008968_SOM_1.jpg")</f>
        <v/>
      </c>
      <c r="M482">
        <f>IMAGE("file:///E:/Estudios%20y%20certificaciones/ESTUDIOS%20DE%20PROGRAMMING/PROGRAMMING/PERSONAL/PYTHON/Image_Generator_API/imagenes/HALIFAX_WOMENS_119008968_SOM_2.jpg")</f>
        <v/>
      </c>
      <c r="N482">
        <f>IMAGE("file:///E:/Estudios%20y%20certificaciones/ESTUDIOS%20DE%20PROGRAMMING/PROGRAMMING/PERSONAL/PYTHON/Image_Generator_API/imagenes/HALIFAX_WOMENS_119008968_SOM_3.jpg")</f>
        <v/>
      </c>
      <c r="O482">
        <f>HYPERLINK("imagenes/HALIFAX_WOMENS_119008968_SOM_1.jpg","Ver imagen")</f>
        <v/>
      </c>
      <c r="P482">
        <f>HYPERLINK("imagenes/HALIFAX_WOMENS_119008968_SOM_2.jpg","Ver imagen")</f>
        <v/>
      </c>
      <c r="Q482">
        <f>HYPERLINK("imagenes/HALIFAX_WOMENS_119008968_SOM_3.jpg","Ver imagen")</f>
        <v/>
      </c>
    </row>
    <row r="483">
      <c r="A483" t="inlineStr">
        <is>
          <t>HALIFAX WOMENS</t>
        </is>
      </c>
      <c r="B483" t="inlineStr">
        <is>
          <t>119008968</t>
        </is>
      </c>
      <c r="C483" t="inlineStr">
        <is>
          <t>Midweight Faux Fur Trimmed Puffer</t>
        </is>
      </c>
      <c r="D483" t="inlineStr">
        <is>
          <t>SOM</t>
        </is>
      </c>
      <c r="E483" t="inlineStr">
        <is>
          <t>(en blanco)</t>
        </is>
      </c>
      <c r="F483" t="inlineStr">
        <is>
          <t>(en blanco)</t>
        </is>
      </c>
      <c r="G483" t="inlineStr">
        <is>
          <t>XL</t>
        </is>
      </c>
      <c r="H483" t="n">
        <v>3</v>
      </c>
      <c r="I483" t="inlineStr">
        <is>
          <t>HALIFAX_WOMENS_119008968_SOM_1.jpg</t>
        </is>
      </c>
      <c r="J483" t="inlineStr">
        <is>
          <t>HALIFAX_WOMENS_119008968_SOM_2.jpg</t>
        </is>
      </c>
      <c r="K483" t="inlineStr">
        <is>
          <t>HALIFAX_WOMENS_119008968_SOM_3.jpg</t>
        </is>
      </c>
      <c r="L483">
        <f>IMAGE("file:///E:/Estudios%20y%20certificaciones/ESTUDIOS%20DE%20PROGRAMMING/PROGRAMMING/PERSONAL/PYTHON/Image_Generator_API/imagenes/HALIFAX_WOMENS_119008968_SOM_1.jpg")</f>
        <v/>
      </c>
      <c r="M483">
        <f>IMAGE("file:///E:/Estudios%20y%20certificaciones/ESTUDIOS%20DE%20PROGRAMMING/PROGRAMMING/PERSONAL/PYTHON/Image_Generator_API/imagenes/HALIFAX_WOMENS_119008968_SOM_2.jpg")</f>
        <v/>
      </c>
      <c r="N483">
        <f>IMAGE("file:///E:/Estudios%20y%20certificaciones/ESTUDIOS%20DE%20PROGRAMMING/PROGRAMMING/PERSONAL/PYTHON/Image_Generator_API/imagenes/HALIFAX_WOMENS_119008968_SOM_3.jpg")</f>
        <v/>
      </c>
      <c r="O483">
        <f>HYPERLINK("imagenes/HALIFAX_WOMENS_119008968_SOM_1.jpg","Ver imagen")</f>
        <v/>
      </c>
      <c r="P483">
        <f>HYPERLINK("imagenes/HALIFAX_WOMENS_119008968_SOM_2.jpg","Ver imagen")</f>
        <v/>
      </c>
      <c r="Q483">
        <f>HYPERLINK("imagenes/HALIFAX_WOMENS_119008968_SOM_3.jpg","Ver imagen")</f>
        <v/>
      </c>
    </row>
    <row r="484">
      <c r="A484" t="inlineStr">
        <is>
          <t>HALIFAX WOMENS</t>
        </is>
      </c>
      <c r="B484" t="inlineStr">
        <is>
          <t>119009542</t>
        </is>
      </c>
      <c r="C484" t="inlineStr">
        <is>
          <t>HFX WOMENS INSULATED PANT</t>
        </is>
      </c>
      <c r="D484" t="inlineStr">
        <is>
          <t>BLK</t>
        </is>
      </c>
      <c r="E484" t="inlineStr">
        <is>
          <t>(en blanco)</t>
        </is>
      </c>
      <c r="F484" t="inlineStr">
        <is>
          <t>(en blanco)</t>
        </is>
      </c>
      <c r="G484" t="inlineStr">
        <is>
          <t>XS</t>
        </is>
      </c>
      <c r="H484" t="n">
        <v>86</v>
      </c>
      <c r="I484" t="inlineStr">
        <is>
          <t>HALIFAX_WOMENS_119009542_BLK_1.jpg</t>
        </is>
      </c>
      <c r="J484" t="inlineStr">
        <is>
          <t>HALIFAX_WOMENS_119009542_BLK_2.jpg</t>
        </is>
      </c>
      <c r="K484" t="inlineStr">
        <is>
          <t>HALIFAX_WOMENS_119009542_BLK_3.jpg</t>
        </is>
      </c>
      <c r="L484">
        <f>IMAGE("file:///E:/Estudios%20y%20certificaciones/ESTUDIOS%20DE%20PROGRAMMING/PROGRAMMING/PERSONAL/PYTHON/Image_Generator_API/imagenes/HALIFAX_WOMENS_119009542_BLK_1.jpg")</f>
        <v/>
      </c>
      <c r="M484">
        <f>IMAGE("file:///E:/Estudios%20y%20certificaciones/ESTUDIOS%20DE%20PROGRAMMING/PROGRAMMING/PERSONAL/PYTHON/Image_Generator_API/imagenes/HALIFAX_WOMENS_119009542_BLK_2.jpg")</f>
        <v/>
      </c>
      <c r="N484">
        <f>IMAGE("file:///E:/Estudios%20y%20certificaciones/ESTUDIOS%20DE%20PROGRAMMING/PROGRAMMING/PERSONAL/PYTHON/Image_Generator_API/imagenes/HALIFAX_WOMENS_119009542_BLK_3.jpg")</f>
        <v/>
      </c>
      <c r="O484">
        <f>HYPERLINK("imagenes/HALIFAX_WOMENS_119009542_BLK_1.jpg","Ver imagen")</f>
        <v/>
      </c>
      <c r="P484">
        <f>HYPERLINK("imagenes/HALIFAX_WOMENS_119009542_BLK_2.jpg","Ver imagen")</f>
        <v/>
      </c>
      <c r="Q484">
        <f>HYPERLINK("imagenes/HALIFAX_WOMENS_119009542_BLK_3.jpg","Ver imagen")</f>
        <v/>
      </c>
    </row>
    <row r="485">
      <c r="A485" t="inlineStr">
        <is>
          <t>HALIFAX WOMENS</t>
        </is>
      </c>
      <c r="B485" t="inlineStr">
        <is>
          <t>119009542</t>
        </is>
      </c>
      <c r="C485" t="inlineStr">
        <is>
          <t>HFX WOMENS INSULATED PANT</t>
        </is>
      </c>
      <c r="D485" t="inlineStr">
        <is>
          <t>BLK</t>
        </is>
      </c>
      <c r="E485" t="inlineStr">
        <is>
          <t>(en blanco)</t>
        </is>
      </c>
      <c r="F485" t="inlineStr">
        <is>
          <t>(en blanco)</t>
        </is>
      </c>
      <c r="G485" t="inlineStr">
        <is>
          <t>S</t>
        </is>
      </c>
      <c r="H485" t="n">
        <v>341</v>
      </c>
      <c r="I485" t="inlineStr">
        <is>
          <t>HALIFAX_WOMENS_119009542_BLK_1.jpg</t>
        </is>
      </c>
      <c r="J485" t="inlineStr">
        <is>
          <t>HALIFAX_WOMENS_119009542_BLK_2.jpg</t>
        </is>
      </c>
      <c r="K485" t="inlineStr">
        <is>
          <t>HALIFAX_WOMENS_119009542_BLK_3.jpg</t>
        </is>
      </c>
      <c r="L485">
        <f>IMAGE("file:///E:/Estudios%20y%20certificaciones/ESTUDIOS%20DE%20PROGRAMMING/PROGRAMMING/PERSONAL/PYTHON/Image_Generator_API/imagenes/HALIFAX_WOMENS_119009542_BLK_1.jpg")</f>
        <v/>
      </c>
      <c r="M485">
        <f>IMAGE("file:///E:/Estudios%20y%20certificaciones/ESTUDIOS%20DE%20PROGRAMMING/PROGRAMMING/PERSONAL/PYTHON/Image_Generator_API/imagenes/HALIFAX_WOMENS_119009542_BLK_2.jpg")</f>
        <v/>
      </c>
      <c r="N485">
        <f>IMAGE("file:///E:/Estudios%20y%20certificaciones/ESTUDIOS%20DE%20PROGRAMMING/PROGRAMMING/PERSONAL/PYTHON/Image_Generator_API/imagenes/HALIFAX_WOMENS_119009542_BLK_3.jpg")</f>
        <v/>
      </c>
      <c r="O485">
        <f>HYPERLINK("imagenes/HALIFAX_WOMENS_119009542_BLK_1.jpg","Ver imagen")</f>
        <v/>
      </c>
      <c r="P485">
        <f>HYPERLINK("imagenes/HALIFAX_WOMENS_119009542_BLK_2.jpg","Ver imagen")</f>
        <v/>
      </c>
      <c r="Q485">
        <f>HYPERLINK("imagenes/HALIFAX_WOMENS_119009542_BLK_3.jpg","Ver imagen")</f>
        <v/>
      </c>
    </row>
    <row r="486">
      <c r="A486" t="inlineStr">
        <is>
          <t>HALIFAX WOMENS</t>
        </is>
      </c>
      <c r="B486" t="inlineStr">
        <is>
          <t>119009542</t>
        </is>
      </c>
      <c r="C486" t="inlineStr">
        <is>
          <t>HFX WOMENS INSULATED PANT</t>
        </is>
      </c>
      <c r="D486" t="inlineStr">
        <is>
          <t>BLK</t>
        </is>
      </c>
      <c r="E486" t="inlineStr">
        <is>
          <t>(en blanco)</t>
        </is>
      </c>
      <c r="F486" t="inlineStr">
        <is>
          <t>(en blanco)</t>
        </is>
      </c>
      <c r="G486" t="inlineStr">
        <is>
          <t>M</t>
        </is>
      </c>
      <c r="H486" t="n">
        <v>442</v>
      </c>
      <c r="I486" t="inlineStr">
        <is>
          <t>HALIFAX_WOMENS_119009542_BLK_1.jpg</t>
        </is>
      </c>
      <c r="J486" t="inlineStr">
        <is>
          <t>HALIFAX_WOMENS_119009542_BLK_2.jpg</t>
        </is>
      </c>
      <c r="K486" t="inlineStr">
        <is>
          <t>HALIFAX_WOMENS_119009542_BLK_3.jpg</t>
        </is>
      </c>
      <c r="L486">
        <f>IMAGE("file:///E:/Estudios%20y%20certificaciones/ESTUDIOS%20DE%20PROGRAMMING/PROGRAMMING/PERSONAL/PYTHON/Image_Generator_API/imagenes/HALIFAX_WOMENS_119009542_BLK_1.jpg")</f>
        <v/>
      </c>
      <c r="M486">
        <f>IMAGE("file:///E:/Estudios%20y%20certificaciones/ESTUDIOS%20DE%20PROGRAMMING/PROGRAMMING/PERSONAL/PYTHON/Image_Generator_API/imagenes/HALIFAX_WOMENS_119009542_BLK_2.jpg")</f>
        <v/>
      </c>
      <c r="N486">
        <f>IMAGE("file:///E:/Estudios%20y%20certificaciones/ESTUDIOS%20DE%20PROGRAMMING/PROGRAMMING/PERSONAL/PYTHON/Image_Generator_API/imagenes/HALIFAX_WOMENS_119009542_BLK_3.jpg")</f>
        <v/>
      </c>
      <c r="O486">
        <f>HYPERLINK("imagenes/HALIFAX_WOMENS_119009542_BLK_1.jpg","Ver imagen")</f>
        <v/>
      </c>
      <c r="P486">
        <f>HYPERLINK("imagenes/HALIFAX_WOMENS_119009542_BLK_2.jpg","Ver imagen")</f>
        <v/>
      </c>
      <c r="Q486">
        <f>HYPERLINK("imagenes/HALIFAX_WOMENS_119009542_BLK_3.jpg","Ver imagen")</f>
        <v/>
      </c>
    </row>
    <row r="487">
      <c r="A487" t="inlineStr">
        <is>
          <t>HALIFAX WOMENS</t>
        </is>
      </c>
      <c r="B487" t="inlineStr">
        <is>
          <t>119009542</t>
        </is>
      </c>
      <c r="C487" t="inlineStr">
        <is>
          <t>HFX WOMENS INSULATED PANT</t>
        </is>
      </c>
      <c r="D487" t="inlineStr">
        <is>
          <t>BLK</t>
        </is>
      </c>
      <c r="E487" t="inlineStr">
        <is>
          <t>(en blanco)</t>
        </is>
      </c>
      <c r="F487" t="inlineStr">
        <is>
          <t>(en blanco)</t>
        </is>
      </c>
      <c r="G487" t="inlineStr">
        <is>
          <t>L</t>
        </is>
      </c>
      <c r="H487" t="n">
        <v>461</v>
      </c>
      <c r="I487" t="inlineStr">
        <is>
          <t>HALIFAX_WOMENS_119009542_BLK_1.jpg</t>
        </is>
      </c>
      <c r="J487" t="inlineStr">
        <is>
          <t>HALIFAX_WOMENS_119009542_BLK_2.jpg</t>
        </is>
      </c>
      <c r="K487" t="inlineStr">
        <is>
          <t>HALIFAX_WOMENS_119009542_BLK_3.jpg</t>
        </is>
      </c>
      <c r="L487">
        <f>IMAGE("file:///E:/Estudios%20y%20certificaciones/ESTUDIOS%20DE%20PROGRAMMING/PROGRAMMING/PERSONAL/PYTHON/Image_Generator_API/imagenes/HALIFAX_WOMENS_119009542_BLK_1.jpg")</f>
        <v/>
      </c>
      <c r="M487">
        <f>IMAGE("file:///E:/Estudios%20y%20certificaciones/ESTUDIOS%20DE%20PROGRAMMING/PROGRAMMING/PERSONAL/PYTHON/Image_Generator_API/imagenes/HALIFAX_WOMENS_119009542_BLK_2.jpg")</f>
        <v/>
      </c>
      <c r="N487">
        <f>IMAGE("file:///E:/Estudios%20y%20certificaciones/ESTUDIOS%20DE%20PROGRAMMING/PROGRAMMING/PERSONAL/PYTHON/Image_Generator_API/imagenes/HALIFAX_WOMENS_119009542_BLK_3.jpg")</f>
        <v/>
      </c>
      <c r="O487">
        <f>HYPERLINK("imagenes/HALIFAX_WOMENS_119009542_BLK_1.jpg","Ver imagen")</f>
        <v/>
      </c>
      <c r="P487">
        <f>HYPERLINK("imagenes/HALIFAX_WOMENS_119009542_BLK_2.jpg","Ver imagen")</f>
        <v/>
      </c>
      <c r="Q487">
        <f>HYPERLINK("imagenes/HALIFAX_WOMENS_119009542_BLK_3.jpg","Ver imagen")</f>
        <v/>
      </c>
    </row>
    <row r="488">
      <c r="A488" t="inlineStr">
        <is>
          <t>HALIFAX WOMENS</t>
        </is>
      </c>
      <c r="B488" t="inlineStr">
        <is>
          <t>119009542</t>
        </is>
      </c>
      <c r="C488" t="inlineStr">
        <is>
          <t>HFX WOMENS INSULATED PANT</t>
        </is>
      </c>
      <c r="D488" t="inlineStr">
        <is>
          <t>BLK</t>
        </is>
      </c>
      <c r="E488" t="inlineStr">
        <is>
          <t>(en blanco)</t>
        </is>
      </c>
      <c r="F488" t="inlineStr">
        <is>
          <t>(en blanco)</t>
        </is>
      </c>
      <c r="G488" t="inlineStr">
        <is>
          <t>XL</t>
        </is>
      </c>
      <c r="H488" t="n">
        <v>227</v>
      </c>
      <c r="I488" t="inlineStr">
        <is>
          <t>HALIFAX_WOMENS_119009542_BLK_1.jpg</t>
        </is>
      </c>
      <c r="J488" t="inlineStr">
        <is>
          <t>HALIFAX_WOMENS_119009542_BLK_2.jpg</t>
        </is>
      </c>
      <c r="K488" t="inlineStr">
        <is>
          <t>HALIFAX_WOMENS_119009542_BLK_3.jpg</t>
        </is>
      </c>
      <c r="L488">
        <f>IMAGE("file:///E:/Estudios%20y%20certificaciones/ESTUDIOS%20DE%20PROGRAMMING/PROGRAMMING/PERSONAL/PYTHON/Image_Generator_API/imagenes/HALIFAX_WOMENS_119009542_BLK_1.jpg")</f>
        <v/>
      </c>
      <c r="M488">
        <f>IMAGE("file:///E:/Estudios%20y%20certificaciones/ESTUDIOS%20DE%20PROGRAMMING/PROGRAMMING/PERSONAL/PYTHON/Image_Generator_API/imagenes/HALIFAX_WOMENS_119009542_BLK_2.jpg")</f>
        <v/>
      </c>
      <c r="N488">
        <f>IMAGE("file:///E:/Estudios%20y%20certificaciones/ESTUDIOS%20DE%20PROGRAMMING/PROGRAMMING/PERSONAL/PYTHON/Image_Generator_API/imagenes/HALIFAX_WOMENS_119009542_BLK_3.jpg")</f>
        <v/>
      </c>
      <c r="O488">
        <f>HYPERLINK("imagenes/HALIFAX_WOMENS_119009542_BLK_1.jpg","Ver imagen")</f>
        <v/>
      </c>
      <c r="P488">
        <f>HYPERLINK("imagenes/HALIFAX_WOMENS_119009542_BLK_2.jpg","Ver imagen")</f>
        <v/>
      </c>
      <c r="Q488">
        <f>HYPERLINK("imagenes/HALIFAX_WOMENS_119009542_BLK_3.jpg","Ver imagen")</f>
        <v/>
      </c>
    </row>
    <row r="489">
      <c r="A489" t="inlineStr">
        <is>
          <t>HALIFAX WOMENS</t>
        </is>
      </c>
      <c r="B489" t="inlineStr">
        <is>
          <t>119009542</t>
        </is>
      </c>
      <c r="C489" t="inlineStr">
        <is>
          <t>HFX WOMENS INSULATED PANT</t>
        </is>
      </c>
      <c r="D489" t="inlineStr">
        <is>
          <t>GEY</t>
        </is>
      </c>
      <c r="E489" t="inlineStr">
        <is>
          <t>(en blanco)</t>
        </is>
      </c>
      <c r="F489" t="inlineStr">
        <is>
          <t>(en blanco)</t>
        </is>
      </c>
      <c r="G489" t="inlineStr">
        <is>
          <t>XS</t>
        </is>
      </c>
      <c r="H489" t="n">
        <v>42</v>
      </c>
      <c r="I489" t="inlineStr">
        <is>
          <t>HALIFAX_WOMENS_119009542_GEY_1.jpg</t>
        </is>
      </c>
      <c r="J489" t="inlineStr">
        <is>
          <t>HALIFAX_WOMENS_119009542_GEY_2.jpg</t>
        </is>
      </c>
      <c r="K489" t="inlineStr">
        <is>
          <t>HALIFAX_WOMENS_119009542_GEY_3.jpg</t>
        </is>
      </c>
      <c r="L489">
        <f>IMAGE("file:///E:/Estudios%20y%20certificaciones/ESTUDIOS%20DE%20PROGRAMMING/PROGRAMMING/PERSONAL/PYTHON/Image_Generator_API/imagenes/HALIFAX_WOMENS_119009542_GEY_1.jpg")</f>
        <v/>
      </c>
      <c r="M489">
        <f>IMAGE("file:///E:/Estudios%20y%20certificaciones/ESTUDIOS%20DE%20PROGRAMMING/PROGRAMMING/PERSONAL/PYTHON/Image_Generator_API/imagenes/HALIFAX_WOMENS_119009542_GEY_2.jpg")</f>
        <v/>
      </c>
      <c r="N489">
        <f>IMAGE("file:///E:/Estudios%20y%20certificaciones/ESTUDIOS%20DE%20PROGRAMMING/PROGRAMMING/PERSONAL/PYTHON/Image_Generator_API/imagenes/HALIFAX_WOMENS_119009542_GEY_3.jpg")</f>
        <v/>
      </c>
      <c r="O489">
        <f>HYPERLINK("imagenes/HALIFAX_WOMENS_119009542_GEY_1.jpg","Ver imagen")</f>
        <v/>
      </c>
      <c r="P489">
        <f>HYPERLINK("imagenes/HALIFAX_WOMENS_119009542_GEY_2.jpg","Ver imagen")</f>
        <v/>
      </c>
      <c r="Q489">
        <f>HYPERLINK("imagenes/HALIFAX_WOMENS_119009542_GEY_3.jpg","Ver imagen")</f>
        <v/>
      </c>
    </row>
    <row r="490">
      <c r="A490" t="inlineStr">
        <is>
          <t>HALIFAX WOMENS</t>
        </is>
      </c>
      <c r="B490" t="inlineStr">
        <is>
          <t>119009542</t>
        </is>
      </c>
      <c r="C490" t="inlineStr">
        <is>
          <t>HFX WOMENS INSULATED PANT</t>
        </is>
      </c>
      <c r="D490" t="inlineStr">
        <is>
          <t>GEY</t>
        </is>
      </c>
      <c r="E490" t="inlineStr">
        <is>
          <t>(en blanco)</t>
        </is>
      </c>
      <c r="F490" t="inlineStr">
        <is>
          <t>(en blanco)</t>
        </is>
      </c>
      <c r="G490" t="inlineStr">
        <is>
          <t>S</t>
        </is>
      </c>
      <c r="H490" t="n">
        <v>161</v>
      </c>
      <c r="I490" t="inlineStr">
        <is>
          <t>HALIFAX_WOMENS_119009542_GEY_1.jpg</t>
        </is>
      </c>
      <c r="J490" t="inlineStr">
        <is>
          <t>HALIFAX_WOMENS_119009542_GEY_2.jpg</t>
        </is>
      </c>
      <c r="K490" t="inlineStr">
        <is>
          <t>HALIFAX_WOMENS_119009542_GEY_3.jpg</t>
        </is>
      </c>
      <c r="L490">
        <f>IMAGE("file:///E:/Estudios%20y%20certificaciones/ESTUDIOS%20DE%20PROGRAMMING/PROGRAMMING/PERSONAL/PYTHON/Image_Generator_API/imagenes/HALIFAX_WOMENS_119009542_GEY_1.jpg")</f>
        <v/>
      </c>
      <c r="M490">
        <f>IMAGE("file:///E:/Estudios%20y%20certificaciones/ESTUDIOS%20DE%20PROGRAMMING/PROGRAMMING/PERSONAL/PYTHON/Image_Generator_API/imagenes/HALIFAX_WOMENS_119009542_GEY_2.jpg")</f>
        <v/>
      </c>
      <c r="N490">
        <f>IMAGE("file:///E:/Estudios%20y%20certificaciones/ESTUDIOS%20DE%20PROGRAMMING/PROGRAMMING/PERSONAL/PYTHON/Image_Generator_API/imagenes/HALIFAX_WOMENS_119009542_GEY_3.jpg")</f>
        <v/>
      </c>
      <c r="O490">
        <f>HYPERLINK("imagenes/HALIFAX_WOMENS_119009542_GEY_1.jpg","Ver imagen")</f>
        <v/>
      </c>
      <c r="P490">
        <f>HYPERLINK("imagenes/HALIFAX_WOMENS_119009542_GEY_2.jpg","Ver imagen")</f>
        <v/>
      </c>
      <c r="Q490">
        <f>HYPERLINK("imagenes/HALIFAX_WOMENS_119009542_GEY_3.jpg","Ver imagen")</f>
        <v/>
      </c>
    </row>
    <row r="491">
      <c r="A491" t="inlineStr">
        <is>
          <t>HALIFAX WOMENS</t>
        </is>
      </c>
      <c r="B491" t="inlineStr">
        <is>
          <t>119009542</t>
        </is>
      </c>
      <c r="C491" t="inlineStr">
        <is>
          <t>HFX WOMENS INSULATED PANT</t>
        </is>
      </c>
      <c r="D491" t="inlineStr">
        <is>
          <t>GEY</t>
        </is>
      </c>
      <c r="E491" t="inlineStr">
        <is>
          <t>(en blanco)</t>
        </is>
      </c>
      <c r="F491" t="inlineStr">
        <is>
          <t>(en blanco)</t>
        </is>
      </c>
      <c r="G491" t="inlineStr">
        <is>
          <t>M</t>
        </is>
      </c>
      <c r="H491" t="n">
        <v>228</v>
      </c>
      <c r="I491" t="inlineStr">
        <is>
          <t>HALIFAX_WOMENS_119009542_GEY_1.jpg</t>
        </is>
      </c>
      <c r="J491" t="inlineStr">
        <is>
          <t>HALIFAX_WOMENS_119009542_GEY_2.jpg</t>
        </is>
      </c>
      <c r="K491" t="inlineStr">
        <is>
          <t>HALIFAX_WOMENS_119009542_GEY_3.jpg</t>
        </is>
      </c>
      <c r="L491">
        <f>IMAGE("file:///E:/Estudios%20y%20certificaciones/ESTUDIOS%20DE%20PROGRAMMING/PROGRAMMING/PERSONAL/PYTHON/Image_Generator_API/imagenes/HALIFAX_WOMENS_119009542_GEY_1.jpg")</f>
        <v/>
      </c>
      <c r="M491">
        <f>IMAGE("file:///E:/Estudios%20y%20certificaciones/ESTUDIOS%20DE%20PROGRAMMING/PROGRAMMING/PERSONAL/PYTHON/Image_Generator_API/imagenes/HALIFAX_WOMENS_119009542_GEY_2.jpg")</f>
        <v/>
      </c>
      <c r="N491">
        <f>IMAGE("file:///E:/Estudios%20y%20certificaciones/ESTUDIOS%20DE%20PROGRAMMING/PROGRAMMING/PERSONAL/PYTHON/Image_Generator_API/imagenes/HALIFAX_WOMENS_119009542_GEY_3.jpg")</f>
        <v/>
      </c>
      <c r="O491">
        <f>HYPERLINK("imagenes/HALIFAX_WOMENS_119009542_GEY_1.jpg","Ver imagen")</f>
        <v/>
      </c>
      <c r="P491">
        <f>HYPERLINK("imagenes/HALIFAX_WOMENS_119009542_GEY_2.jpg","Ver imagen")</f>
        <v/>
      </c>
      <c r="Q491">
        <f>HYPERLINK("imagenes/HALIFAX_WOMENS_119009542_GEY_3.jpg","Ver imagen")</f>
        <v/>
      </c>
    </row>
    <row r="492">
      <c r="A492" t="inlineStr">
        <is>
          <t>HALIFAX WOMENS</t>
        </is>
      </c>
      <c r="B492" t="inlineStr">
        <is>
          <t>119009542</t>
        </is>
      </c>
      <c r="C492" t="inlineStr">
        <is>
          <t>HFX WOMENS INSULATED PANT</t>
        </is>
      </c>
      <c r="D492" t="inlineStr">
        <is>
          <t>GEY</t>
        </is>
      </c>
      <c r="E492" t="inlineStr">
        <is>
          <t>(en blanco)</t>
        </is>
      </c>
      <c r="F492" t="inlineStr">
        <is>
          <t>(en blanco)</t>
        </is>
      </c>
      <c r="G492" t="inlineStr">
        <is>
          <t>L</t>
        </is>
      </c>
      <c r="H492" t="n">
        <v>242</v>
      </c>
      <c r="I492" t="inlineStr">
        <is>
          <t>HALIFAX_WOMENS_119009542_GEY_1.jpg</t>
        </is>
      </c>
      <c r="J492" t="inlineStr">
        <is>
          <t>HALIFAX_WOMENS_119009542_GEY_2.jpg</t>
        </is>
      </c>
      <c r="K492" t="inlineStr">
        <is>
          <t>HALIFAX_WOMENS_119009542_GEY_3.jpg</t>
        </is>
      </c>
      <c r="L492">
        <f>IMAGE("file:///E:/Estudios%20y%20certificaciones/ESTUDIOS%20DE%20PROGRAMMING/PROGRAMMING/PERSONAL/PYTHON/Image_Generator_API/imagenes/HALIFAX_WOMENS_119009542_GEY_1.jpg")</f>
        <v/>
      </c>
      <c r="M492">
        <f>IMAGE("file:///E:/Estudios%20y%20certificaciones/ESTUDIOS%20DE%20PROGRAMMING/PROGRAMMING/PERSONAL/PYTHON/Image_Generator_API/imagenes/HALIFAX_WOMENS_119009542_GEY_2.jpg")</f>
        <v/>
      </c>
      <c r="N492">
        <f>IMAGE("file:///E:/Estudios%20y%20certificaciones/ESTUDIOS%20DE%20PROGRAMMING/PROGRAMMING/PERSONAL/PYTHON/Image_Generator_API/imagenes/HALIFAX_WOMENS_119009542_GEY_3.jpg")</f>
        <v/>
      </c>
      <c r="O492">
        <f>HYPERLINK("imagenes/HALIFAX_WOMENS_119009542_GEY_1.jpg","Ver imagen")</f>
        <v/>
      </c>
      <c r="P492">
        <f>HYPERLINK("imagenes/HALIFAX_WOMENS_119009542_GEY_2.jpg","Ver imagen")</f>
        <v/>
      </c>
      <c r="Q492">
        <f>HYPERLINK("imagenes/HALIFAX_WOMENS_119009542_GEY_3.jpg","Ver imagen")</f>
        <v/>
      </c>
    </row>
    <row r="493">
      <c r="A493" t="inlineStr">
        <is>
          <t>HALIFAX WOMENS</t>
        </is>
      </c>
      <c r="B493" t="inlineStr">
        <is>
          <t>119009542</t>
        </is>
      </c>
      <c r="C493" t="inlineStr">
        <is>
          <t>HFX WOMENS INSULATED PANT</t>
        </is>
      </c>
      <c r="D493" t="inlineStr">
        <is>
          <t>GEY</t>
        </is>
      </c>
      <c r="E493" t="inlineStr">
        <is>
          <t>(en blanco)</t>
        </is>
      </c>
      <c r="F493" t="inlineStr">
        <is>
          <t>(en blanco)</t>
        </is>
      </c>
      <c r="G493" t="inlineStr">
        <is>
          <t>XL</t>
        </is>
      </c>
      <c r="H493" t="n">
        <v>108</v>
      </c>
      <c r="I493" t="inlineStr">
        <is>
          <t>HALIFAX_WOMENS_119009542_GEY_1.jpg</t>
        </is>
      </c>
      <c r="J493" t="inlineStr">
        <is>
          <t>HALIFAX_WOMENS_119009542_GEY_2.jpg</t>
        </is>
      </c>
      <c r="K493" t="inlineStr">
        <is>
          <t>HALIFAX_WOMENS_119009542_GEY_3.jpg</t>
        </is>
      </c>
      <c r="L493">
        <f>IMAGE("file:///E:/Estudios%20y%20certificaciones/ESTUDIOS%20DE%20PROGRAMMING/PROGRAMMING/PERSONAL/PYTHON/Image_Generator_API/imagenes/HALIFAX_WOMENS_119009542_GEY_1.jpg")</f>
        <v/>
      </c>
      <c r="M493">
        <f>IMAGE("file:///E:/Estudios%20y%20certificaciones/ESTUDIOS%20DE%20PROGRAMMING/PROGRAMMING/PERSONAL/PYTHON/Image_Generator_API/imagenes/HALIFAX_WOMENS_119009542_GEY_2.jpg")</f>
        <v/>
      </c>
      <c r="N493">
        <f>IMAGE("file:///E:/Estudios%20y%20certificaciones/ESTUDIOS%20DE%20PROGRAMMING/PROGRAMMING/PERSONAL/PYTHON/Image_Generator_API/imagenes/HALIFAX_WOMENS_119009542_GEY_3.jpg")</f>
        <v/>
      </c>
      <c r="O493">
        <f>HYPERLINK("imagenes/HALIFAX_WOMENS_119009542_GEY_1.jpg","Ver imagen")</f>
        <v/>
      </c>
      <c r="P493">
        <f>HYPERLINK("imagenes/HALIFAX_WOMENS_119009542_GEY_2.jpg","Ver imagen")</f>
        <v/>
      </c>
      <c r="Q493">
        <f>HYPERLINK("imagenes/HALIFAX_WOMENS_119009542_GEY_3.jpg","Ver imagen")</f>
        <v/>
      </c>
    </row>
    <row r="494">
      <c r="A494" t="inlineStr">
        <is>
          <t>HALIFAX WOMENS</t>
        </is>
      </c>
      <c r="B494" t="inlineStr">
        <is>
          <t>119009542</t>
        </is>
      </c>
      <c r="C494" t="inlineStr">
        <is>
          <t>HFX WOMENS INSULATED PANT</t>
        </is>
      </c>
      <c r="D494" t="inlineStr">
        <is>
          <t>WHT</t>
        </is>
      </c>
      <c r="E494" t="inlineStr">
        <is>
          <t>(en blanco)</t>
        </is>
      </c>
      <c r="F494" t="inlineStr">
        <is>
          <t>(en blanco)</t>
        </is>
      </c>
      <c r="G494" t="inlineStr">
        <is>
          <t>XS</t>
        </is>
      </c>
      <c r="H494" t="n">
        <v>42</v>
      </c>
      <c r="I494" t="inlineStr">
        <is>
          <t>HALIFAX_WOMENS_119009542_WHT_1.jpg</t>
        </is>
      </c>
      <c r="J494" t="inlineStr">
        <is>
          <t>HALIFAX_WOMENS_119009542_WHT_2.jpg</t>
        </is>
      </c>
      <c r="K494" t="inlineStr">
        <is>
          <t>HALIFAX_WOMENS_119009542_WHT_3.jpg</t>
        </is>
      </c>
      <c r="L494">
        <f>IMAGE("file:///E:/Estudios%20y%20certificaciones/ESTUDIOS%20DE%20PROGRAMMING/PROGRAMMING/PERSONAL/PYTHON/Image_Generator_API/imagenes/HALIFAX_WOMENS_119009542_WHT_1.jpg")</f>
        <v/>
      </c>
      <c r="M494">
        <f>IMAGE("file:///E:/Estudios%20y%20certificaciones/ESTUDIOS%20DE%20PROGRAMMING/PROGRAMMING/PERSONAL/PYTHON/Image_Generator_API/imagenes/HALIFAX_WOMENS_119009542_WHT_2.jpg")</f>
        <v/>
      </c>
      <c r="N494">
        <f>IMAGE("file:///E:/Estudios%20y%20certificaciones/ESTUDIOS%20DE%20PROGRAMMING/PROGRAMMING/PERSONAL/PYTHON/Image_Generator_API/imagenes/HALIFAX_WOMENS_119009542_WHT_3.jpg")</f>
        <v/>
      </c>
      <c r="O494">
        <f>HYPERLINK("imagenes/HALIFAX_WOMENS_119009542_WHT_1.jpg","Ver imagen")</f>
        <v/>
      </c>
      <c r="P494">
        <f>HYPERLINK("imagenes/HALIFAX_WOMENS_119009542_WHT_2.jpg","Ver imagen")</f>
        <v/>
      </c>
      <c r="Q494">
        <f>HYPERLINK("imagenes/HALIFAX_WOMENS_119009542_WHT_3.jpg","Ver imagen")</f>
        <v/>
      </c>
    </row>
    <row r="495">
      <c r="A495" t="inlineStr">
        <is>
          <t>HALIFAX WOMENS</t>
        </is>
      </c>
      <c r="B495" t="inlineStr">
        <is>
          <t>119009542</t>
        </is>
      </c>
      <c r="C495" t="inlineStr">
        <is>
          <t>HFX WOMENS INSULATED PANT</t>
        </is>
      </c>
      <c r="D495" t="inlineStr">
        <is>
          <t>WHT</t>
        </is>
      </c>
      <c r="E495" t="inlineStr">
        <is>
          <t>(en blanco)</t>
        </is>
      </c>
      <c r="F495" t="inlineStr">
        <is>
          <t>(en blanco)</t>
        </is>
      </c>
      <c r="G495" t="inlineStr">
        <is>
          <t>S</t>
        </is>
      </c>
      <c r="H495" t="n">
        <v>161</v>
      </c>
      <c r="I495" t="inlineStr">
        <is>
          <t>HALIFAX_WOMENS_119009542_WHT_1.jpg</t>
        </is>
      </c>
      <c r="J495" t="inlineStr">
        <is>
          <t>HALIFAX_WOMENS_119009542_WHT_2.jpg</t>
        </is>
      </c>
      <c r="K495" t="inlineStr">
        <is>
          <t>HALIFAX_WOMENS_119009542_WHT_3.jpg</t>
        </is>
      </c>
      <c r="L495">
        <f>IMAGE("file:///E:/Estudios%20y%20certificaciones/ESTUDIOS%20DE%20PROGRAMMING/PROGRAMMING/PERSONAL/PYTHON/Image_Generator_API/imagenes/HALIFAX_WOMENS_119009542_WHT_1.jpg")</f>
        <v/>
      </c>
      <c r="M495">
        <f>IMAGE("file:///E:/Estudios%20y%20certificaciones/ESTUDIOS%20DE%20PROGRAMMING/PROGRAMMING/PERSONAL/PYTHON/Image_Generator_API/imagenes/HALIFAX_WOMENS_119009542_WHT_2.jpg")</f>
        <v/>
      </c>
      <c r="N495">
        <f>IMAGE("file:///E:/Estudios%20y%20certificaciones/ESTUDIOS%20DE%20PROGRAMMING/PROGRAMMING/PERSONAL/PYTHON/Image_Generator_API/imagenes/HALIFAX_WOMENS_119009542_WHT_3.jpg")</f>
        <v/>
      </c>
      <c r="O495">
        <f>HYPERLINK("imagenes/HALIFAX_WOMENS_119009542_WHT_1.jpg","Ver imagen")</f>
        <v/>
      </c>
      <c r="P495">
        <f>HYPERLINK("imagenes/HALIFAX_WOMENS_119009542_WHT_2.jpg","Ver imagen")</f>
        <v/>
      </c>
      <c r="Q495">
        <f>HYPERLINK("imagenes/HALIFAX_WOMENS_119009542_WHT_3.jpg","Ver imagen")</f>
        <v/>
      </c>
    </row>
    <row r="496">
      <c r="A496" t="inlineStr">
        <is>
          <t>HALIFAX WOMENS</t>
        </is>
      </c>
      <c r="B496" t="inlineStr">
        <is>
          <t>119009542</t>
        </is>
      </c>
      <c r="C496" t="inlineStr">
        <is>
          <t>HFX WOMENS INSULATED PANT</t>
        </is>
      </c>
      <c r="D496" t="inlineStr">
        <is>
          <t>WHT</t>
        </is>
      </c>
      <c r="E496" t="inlineStr">
        <is>
          <t>(en blanco)</t>
        </is>
      </c>
      <c r="F496" t="inlineStr">
        <is>
          <t>(en blanco)</t>
        </is>
      </c>
      <c r="G496" t="inlineStr">
        <is>
          <t>M</t>
        </is>
      </c>
      <c r="H496" t="n">
        <v>228</v>
      </c>
      <c r="I496" t="inlineStr">
        <is>
          <t>HALIFAX_WOMENS_119009542_WHT_1.jpg</t>
        </is>
      </c>
      <c r="J496" t="inlineStr">
        <is>
          <t>HALIFAX_WOMENS_119009542_WHT_2.jpg</t>
        </is>
      </c>
      <c r="K496" t="inlineStr">
        <is>
          <t>HALIFAX_WOMENS_119009542_WHT_3.jpg</t>
        </is>
      </c>
      <c r="L496">
        <f>IMAGE("file:///E:/Estudios%20y%20certificaciones/ESTUDIOS%20DE%20PROGRAMMING/PROGRAMMING/PERSONAL/PYTHON/Image_Generator_API/imagenes/HALIFAX_WOMENS_119009542_WHT_1.jpg")</f>
        <v/>
      </c>
      <c r="M496">
        <f>IMAGE("file:///E:/Estudios%20y%20certificaciones/ESTUDIOS%20DE%20PROGRAMMING/PROGRAMMING/PERSONAL/PYTHON/Image_Generator_API/imagenes/HALIFAX_WOMENS_119009542_WHT_2.jpg")</f>
        <v/>
      </c>
      <c r="N496">
        <f>IMAGE("file:///E:/Estudios%20y%20certificaciones/ESTUDIOS%20DE%20PROGRAMMING/PROGRAMMING/PERSONAL/PYTHON/Image_Generator_API/imagenes/HALIFAX_WOMENS_119009542_WHT_3.jpg")</f>
        <v/>
      </c>
      <c r="O496">
        <f>HYPERLINK("imagenes/HALIFAX_WOMENS_119009542_WHT_1.jpg","Ver imagen")</f>
        <v/>
      </c>
      <c r="P496">
        <f>HYPERLINK("imagenes/HALIFAX_WOMENS_119009542_WHT_2.jpg","Ver imagen")</f>
        <v/>
      </c>
      <c r="Q496">
        <f>HYPERLINK("imagenes/HALIFAX_WOMENS_119009542_WHT_3.jpg","Ver imagen")</f>
        <v/>
      </c>
    </row>
    <row r="497">
      <c r="A497" t="inlineStr">
        <is>
          <t>HALIFAX WOMENS</t>
        </is>
      </c>
      <c r="B497" t="inlineStr">
        <is>
          <t>119009542</t>
        </is>
      </c>
      <c r="C497" t="inlineStr">
        <is>
          <t>HFX WOMENS INSULATED PANT</t>
        </is>
      </c>
      <c r="D497" t="inlineStr">
        <is>
          <t>WHT</t>
        </is>
      </c>
      <c r="E497" t="inlineStr">
        <is>
          <t>(en blanco)</t>
        </is>
      </c>
      <c r="F497" t="inlineStr">
        <is>
          <t>(en blanco)</t>
        </is>
      </c>
      <c r="G497" t="inlineStr">
        <is>
          <t>L</t>
        </is>
      </c>
      <c r="H497" t="n">
        <v>248</v>
      </c>
      <c r="I497" t="inlineStr">
        <is>
          <t>HALIFAX_WOMENS_119009542_WHT_1.jpg</t>
        </is>
      </c>
      <c r="J497" t="inlineStr">
        <is>
          <t>HALIFAX_WOMENS_119009542_WHT_2.jpg</t>
        </is>
      </c>
      <c r="K497" t="inlineStr">
        <is>
          <t>HALIFAX_WOMENS_119009542_WHT_3.jpg</t>
        </is>
      </c>
      <c r="L497">
        <f>IMAGE("file:///E:/Estudios%20y%20certificaciones/ESTUDIOS%20DE%20PROGRAMMING/PROGRAMMING/PERSONAL/PYTHON/Image_Generator_API/imagenes/HALIFAX_WOMENS_119009542_WHT_1.jpg")</f>
        <v/>
      </c>
      <c r="M497">
        <f>IMAGE("file:///E:/Estudios%20y%20certificaciones/ESTUDIOS%20DE%20PROGRAMMING/PROGRAMMING/PERSONAL/PYTHON/Image_Generator_API/imagenes/HALIFAX_WOMENS_119009542_WHT_2.jpg")</f>
        <v/>
      </c>
      <c r="N497">
        <f>IMAGE("file:///E:/Estudios%20y%20certificaciones/ESTUDIOS%20DE%20PROGRAMMING/PROGRAMMING/PERSONAL/PYTHON/Image_Generator_API/imagenes/HALIFAX_WOMENS_119009542_WHT_3.jpg")</f>
        <v/>
      </c>
      <c r="O497">
        <f>HYPERLINK("imagenes/HALIFAX_WOMENS_119009542_WHT_1.jpg","Ver imagen")</f>
        <v/>
      </c>
      <c r="P497">
        <f>HYPERLINK("imagenes/HALIFAX_WOMENS_119009542_WHT_2.jpg","Ver imagen")</f>
        <v/>
      </c>
      <c r="Q497">
        <f>HYPERLINK("imagenes/HALIFAX_WOMENS_119009542_WHT_3.jpg","Ver imagen")</f>
        <v/>
      </c>
    </row>
    <row r="498">
      <c r="A498" t="inlineStr">
        <is>
          <t>HALIFAX WOMENS</t>
        </is>
      </c>
      <c r="B498" t="inlineStr">
        <is>
          <t>119009542</t>
        </is>
      </c>
      <c r="C498" t="inlineStr">
        <is>
          <t>HFX WOMENS INSULATED PANT</t>
        </is>
      </c>
      <c r="D498" t="inlineStr">
        <is>
          <t>WHT</t>
        </is>
      </c>
      <c r="E498" t="inlineStr">
        <is>
          <t>(en blanco)</t>
        </is>
      </c>
      <c r="F498" t="inlineStr">
        <is>
          <t>(en blanco)</t>
        </is>
      </c>
      <c r="G498" t="inlineStr">
        <is>
          <t>XL</t>
        </is>
      </c>
      <c r="H498" t="n">
        <v>102</v>
      </c>
      <c r="I498" t="inlineStr">
        <is>
          <t>HALIFAX_WOMENS_119009542_WHT_1.jpg</t>
        </is>
      </c>
      <c r="J498" t="inlineStr">
        <is>
          <t>HALIFAX_WOMENS_119009542_WHT_2.jpg</t>
        </is>
      </c>
      <c r="K498" t="inlineStr">
        <is>
          <t>HALIFAX_WOMENS_119009542_WHT_3.jpg</t>
        </is>
      </c>
      <c r="L498">
        <f>IMAGE("file:///E:/Estudios%20y%20certificaciones/ESTUDIOS%20DE%20PROGRAMMING/PROGRAMMING/PERSONAL/PYTHON/Image_Generator_API/imagenes/HALIFAX_WOMENS_119009542_WHT_1.jpg")</f>
        <v/>
      </c>
      <c r="M498">
        <f>IMAGE("file:///E:/Estudios%20y%20certificaciones/ESTUDIOS%20DE%20PROGRAMMING/PROGRAMMING/PERSONAL/PYTHON/Image_Generator_API/imagenes/HALIFAX_WOMENS_119009542_WHT_2.jpg")</f>
        <v/>
      </c>
      <c r="N498">
        <f>IMAGE("file:///E:/Estudios%20y%20certificaciones/ESTUDIOS%20DE%20PROGRAMMING/PROGRAMMING/PERSONAL/PYTHON/Image_Generator_API/imagenes/HALIFAX_WOMENS_119009542_WHT_3.jpg")</f>
        <v/>
      </c>
      <c r="O498">
        <f>HYPERLINK("imagenes/HALIFAX_WOMENS_119009542_WHT_1.jpg","Ver imagen")</f>
        <v/>
      </c>
      <c r="P498">
        <f>HYPERLINK("imagenes/HALIFAX_WOMENS_119009542_WHT_2.jpg","Ver imagen")</f>
        <v/>
      </c>
      <c r="Q498">
        <f>HYPERLINK("imagenes/HALIFAX_WOMENS_119009542_WHT_3.jpg","Ver imagen")</f>
        <v/>
      </c>
    </row>
    <row r="499">
      <c r="A499" t="inlineStr">
        <is>
          <t>HALIFAX WOMENS</t>
        </is>
      </c>
      <c r="B499" t="inlineStr">
        <is>
          <t>119009546</t>
        </is>
      </c>
      <c r="C499" t="inlineStr">
        <is>
          <t>HFX WOMENS INSULATED BIB</t>
        </is>
      </c>
      <c r="D499" t="inlineStr">
        <is>
          <t>BLK</t>
        </is>
      </c>
      <c r="E499" t="inlineStr">
        <is>
          <t>(en blanco)</t>
        </is>
      </c>
      <c r="F499" t="inlineStr">
        <is>
          <t>(en blanco)</t>
        </is>
      </c>
      <c r="G499" t="inlineStr">
        <is>
          <t>XS</t>
        </is>
      </c>
      <c r="H499" t="n">
        <v>94</v>
      </c>
      <c r="I499" t="inlineStr">
        <is>
          <t>HALIFAX_WOMENS_119009546_BLK_1.jpg</t>
        </is>
      </c>
      <c r="J499" t="inlineStr">
        <is>
          <t>HALIFAX_WOMENS_119009546_BLK_2.jpg</t>
        </is>
      </c>
      <c r="K499" t="inlineStr">
        <is>
          <t>HALIFAX_WOMENS_119009546_BLK_3.jpg</t>
        </is>
      </c>
      <c r="L499">
        <f>IMAGE("file:///E:/Estudios%20y%20certificaciones/ESTUDIOS%20DE%20PROGRAMMING/PROGRAMMING/PERSONAL/PYTHON/Image_Generator_API/imagenes/HALIFAX_WOMENS_119009546_BLK_1.jpg")</f>
        <v/>
      </c>
      <c r="M499">
        <f>IMAGE("file:///E:/Estudios%20y%20certificaciones/ESTUDIOS%20DE%20PROGRAMMING/PROGRAMMING/PERSONAL/PYTHON/Image_Generator_API/imagenes/HALIFAX_WOMENS_119009546_BLK_2.jpg")</f>
        <v/>
      </c>
      <c r="N499">
        <f>IMAGE("file:///E:/Estudios%20y%20certificaciones/ESTUDIOS%20DE%20PROGRAMMING/PROGRAMMING/PERSONAL/PYTHON/Image_Generator_API/imagenes/HALIFAX_WOMENS_119009546_BLK_3.jpg")</f>
        <v/>
      </c>
      <c r="O499">
        <f>HYPERLINK("imagenes/HALIFAX_WOMENS_119009546_BLK_1.jpg","Ver imagen")</f>
        <v/>
      </c>
      <c r="P499">
        <f>HYPERLINK("imagenes/HALIFAX_WOMENS_119009546_BLK_2.jpg","Ver imagen")</f>
        <v/>
      </c>
      <c r="Q499">
        <f>HYPERLINK("imagenes/HALIFAX_WOMENS_119009546_BLK_3.jpg","Ver imagen")</f>
        <v/>
      </c>
    </row>
    <row r="500">
      <c r="A500" t="inlineStr">
        <is>
          <t>HALIFAX WOMENS</t>
        </is>
      </c>
      <c r="B500" t="inlineStr">
        <is>
          <t>119009546</t>
        </is>
      </c>
      <c r="C500" t="inlineStr">
        <is>
          <t>HFX WOMENS INSULATED BIB</t>
        </is>
      </c>
      <c r="D500" t="inlineStr">
        <is>
          <t>BLK</t>
        </is>
      </c>
      <c r="E500" t="inlineStr">
        <is>
          <t>(en blanco)</t>
        </is>
      </c>
      <c r="F500" t="inlineStr">
        <is>
          <t>(en blanco)</t>
        </is>
      </c>
      <c r="G500" t="inlineStr">
        <is>
          <t>S</t>
        </is>
      </c>
      <c r="H500" t="n">
        <v>269</v>
      </c>
      <c r="I500" t="inlineStr">
        <is>
          <t>HALIFAX_WOMENS_119009546_BLK_1.jpg</t>
        </is>
      </c>
      <c r="J500" t="inlineStr">
        <is>
          <t>HALIFAX_WOMENS_119009546_BLK_2.jpg</t>
        </is>
      </c>
      <c r="K500" t="inlineStr">
        <is>
          <t>HALIFAX_WOMENS_119009546_BLK_3.jpg</t>
        </is>
      </c>
      <c r="L500">
        <f>IMAGE("file:///E:/Estudios%20y%20certificaciones/ESTUDIOS%20DE%20PROGRAMMING/PROGRAMMING/PERSONAL/PYTHON/Image_Generator_API/imagenes/HALIFAX_WOMENS_119009546_BLK_1.jpg")</f>
        <v/>
      </c>
      <c r="M500">
        <f>IMAGE("file:///E:/Estudios%20y%20certificaciones/ESTUDIOS%20DE%20PROGRAMMING/PROGRAMMING/PERSONAL/PYTHON/Image_Generator_API/imagenes/HALIFAX_WOMENS_119009546_BLK_2.jpg")</f>
        <v/>
      </c>
      <c r="N500">
        <f>IMAGE("file:///E:/Estudios%20y%20certificaciones/ESTUDIOS%20DE%20PROGRAMMING/PROGRAMMING/PERSONAL/PYTHON/Image_Generator_API/imagenes/HALIFAX_WOMENS_119009546_BLK_3.jpg")</f>
        <v/>
      </c>
      <c r="O500">
        <f>HYPERLINK("imagenes/HALIFAX_WOMENS_119009546_BLK_1.jpg","Ver imagen")</f>
        <v/>
      </c>
      <c r="P500">
        <f>HYPERLINK("imagenes/HALIFAX_WOMENS_119009546_BLK_2.jpg","Ver imagen")</f>
        <v/>
      </c>
      <c r="Q500">
        <f>HYPERLINK("imagenes/HALIFAX_WOMENS_119009546_BLK_3.jpg","Ver imagen")</f>
        <v/>
      </c>
    </row>
    <row r="501">
      <c r="A501" t="inlineStr">
        <is>
          <t>HALIFAX WOMENS</t>
        </is>
      </c>
      <c r="B501" t="inlineStr">
        <is>
          <t>119009546</t>
        </is>
      </c>
      <c r="C501" t="inlineStr">
        <is>
          <t>HFX WOMENS INSULATED BIB</t>
        </is>
      </c>
      <c r="D501" t="inlineStr">
        <is>
          <t>BLK</t>
        </is>
      </c>
      <c r="E501" t="inlineStr">
        <is>
          <t>(en blanco)</t>
        </is>
      </c>
      <c r="F501" t="inlineStr">
        <is>
          <t>(en blanco)</t>
        </is>
      </c>
      <c r="G501" t="inlineStr">
        <is>
          <t>M</t>
        </is>
      </c>
      <c r="H501" t="n">
        <v>470</v>
      </c>
      <c r="I501" t="inlineStr">
        <is>
          <t>HALIFAX_WOMENS_119009546_BLK_1.jpg</t>
        </is>
      </c>
      <c r="J501" t="inlineStr">
        <is>
          <t>HALIFAX_WOMENS_119009546_BLK_2.jpg</t>
        </is>
      </c>
      <c r="K501" t="inlineStr">
        <is>
          <t>HALIFAX_WOMENS_119009546_BLK_3.jpg</t>
        </is>
      </c>
      <c r="L501">
        <f>IMAGE("file:///E:/Estudios%20y%20certificaciones/ESTUDIOS%20DE%20PROGRAMMING/PROGRAMMING/PERSONAL/PYTHON/Image_Generator_API/imagenes/HALIFAX_WOMENS_119009546_BLK_1.jpg")</f>
        <v/>
      </c>
      <c r="M501">
        <f>IMAGE("file:///E:/Estudios%20y%20certificaciones/ESTUDIOS%20DE%20PROGRAMMING/PROGRAMMING/PERSONAL/PYTHON/Image_Generator_API/imagenes/HALIFAX_WOMENS_119009546_BLK_2.jpg")</f>
        <v/>
      </c>
      <c r="N501">
        <f>IMAGE("file:///E:/Estudios%20y%20certificaciones/ESTUDIOS%20DE%20PROGRAMMING/PROGRAMMING/PERSONAL/PYTHON/Image_Generator_API/imagenes/HALIFAX_WOMENS_119009546_BLK_3.jpg")</f>
        <v/>
      </c>
      <c r="O501">
        <f>HYPERLINK("imagenes/HALIFAX_WOMENS_119009546_BLK_1.jpg","Ver imagen")</f>
        <v/>
      </c>
      <c r="P501">
        <f>HYPERLINK("imagenes/HALIFAX_WOMENS_119009546_BLK_2.jpg","Ver imagen")</f>
        <v/>
      </c>
      <c r="Q501">
        <f>HYPERLINK("imagenes/HALIFAX_WOMENS_119009546_BLK_3.jpg","Ver imagen")</f>
        <v/>
      </c>
    </row>
    <row r="502">
      <c r="A502" t="inlineStr">
        <is>
          <t>HALIFAX WOMENS</t>
        </is>
      </c>
      <c r="B502" t="inlineStr">
        <is>
          <t>119009546</t>
        </is>
      </c>
      <c r="C502" t="inlineStr">
        <is>
          <t>HFX WOMENS INSULATED BIB</t>
        </is>
      </c>
      <c r="D502" t="inlineStr">
        <is>
          <t>BLK</t>
        </is>
      </c>
      <c r="E502" t="inlineStr">
        <is>
          <t>(en blanco)</t>
        </is>
      </c>
      <c r="F502" t="inlineStr">
        <is>
          <t>(en blanco)</t>
        </is>
      </c>
      <c r="G502" t="inlineStr">
        <is>
          <t>L</t>
        </is>
      </c>
      <c r="H502" t="n">
        <v>307</v>
      </c>
      <c r="I502" t="inlineStr">
        <is>
          <t>HALIFAX_WOMENS_119009546_BLK_1.jpg</t>
        </is>
      </c>
      <c r="J502" t="inlineStr">
        <is>
          <t>HALIFAX_WOMENS_119009546_BLK_2.jpg</t>
        </is>
      </c>
      <c r="K502" t="inlineStr">
        <is>
          <t>HALIFAX_WOMENS_119009546_BLK_3.jpg</t>
        </is>
      </c>
      <c r="L502">
        <f>IMAGE("file:///E:/Estudios%20y%20certificaciones/ESTUDIOS%20DE%20PROGRAMMING/PROGRAMMING/PERSONAL/PYTHON/Image_Generator_API/imagenes/HALIFAX_WOMENS_119009546_BLK_1.jpg")</f>
        <v/>
      </c>
      <c r="M502">
        <f>IMAGE("file:///E:/Estudios%20y%20certificaciones/ESTUDIOS%20DE%20PROGRAMMING/PROGRAMMING/PERSONAL/PYTHON/Image_Generator_API/imagenes/HALIFAX_WOMENS_119009546_BLK_2.jpg")</f>
        <v/>
      </c>
      <c r="N502">
        <f>IMAGE("file:///E:/Estudios%20y%20certificaciones/ESTUDIOS%20DE%20PROGRAMMING/PROGRAMMING/PERSONAL/PYTHON/Image_Generator_API/imagenes/HALIFAX_WOMENS_119009546_BLK_3.jpg")</f>
        <v/>
      </c>
      <c r="O502">
        <f>HYPERLINK("imagenes/HALIFAX_WOMENS_119009546_BLK_1.jpg","Ver imagen")</f>
        <v/>
      </c>
      <c r="P502">
        <f>HYPERLINK("imagenes/HALIFAX_WOMENS_119009546_BLK_2.jpg","Ver imagen")</f>
        <v/>
      </c>
      <c r="Q502">
        <f>HYPERLINK("imagenes/HALIFAX_WOMENS_119009546_BLK_3.jpg","Ver imagen")</f>
        <v/>
      </c>
    </row>
    <row r="503">
      <c r="A503" t="inlineStr">
        <is>
          <t>HALIFAX WOMENS</t>
        </is>
      </c>
      <c r="B503" t="inlineStr">
        <is>
          <t>119009546</t>
        </is>
      </c>
      <c r="C503" t="inlineStr">
        <is>
          <t>HFX WOMENS INSULATED BIB</t>
        </is>
      </c>
      <c r="D503" t="inlineStr">
        <is>
          <t>BLK</t>
        </is>
      </c>
      <c r="E503" t="inlineStr">
        <is>
          <t>(en blanco)</t>
        </is>
      </c>
      <c r="F503" t="inlineStr">
        <is>
          <t>(en blanco)</t>
        </is>
      </c>
      <c r="G503" t="inlineStr">
        <is>
          <t>XL</t>
        </is>
      </c>
      <c r="H503" t="n">
        <v>271</v>
      </c>
      <c r="I503" t="inlineStr">
        <is>
          <t>HALIFAX_WOMENS_119009546_BLK_1.jpg</t>
        </is>
      </c>
      <c r="J503" t="inlineStr">
        <is>
          <t>HALIFAX_WOMENS_119009546_BLK_2.jpg</t>
        </is>
      </c>
      <c r="K503" t="inlineStr">
        <is>
          <t>HALIFAX_WOMENS_119009546_BLK_3.jpg</t>
        </is>
      </c>
      <c r="L503">
        <f>IMAGE("file:///E:/Estudios%20y%20certificaciones/ESTUDIOS%20DE%20PROGRAMMING/PROGRAMMING/PERSONAL/PYTHON/Image_Generator_API/imagenes/HALIFAX_WOMENS_119009546_BLK_1.jpg")</f>
        <v/>
      </c>
      <c r="M503">
        <f>IMAGE("file:///E:/Estudios%20y%20certificaciones/ESTUDIOS%20DE%20PROGRAMMING/PROGRAMMING/PERSONAL/PYTHON/Image_Generator_API/imagenes/HALIFAX_WOMENS_119009546_BLK_2.jpg")</f>
        <v/>
      </c>
      <c r="N503">
        <f>IMAGE("file:///E:/Estudios%20y%20certificaciones/ESTUDIOS%20DE%20PROGRAMMING/PROGRAMMING/PERSONAL/PYTHON/Image_Generator_API/imagenes/HALIFAX_WOMENS_119009546_BLK_3.jpg")</f>
        <v/>
      </c>
      <c r="O503">
        <f>HYPERLINK("imagenes/HALIFAX_WOMENS_119009546_BLK_1.jpg","Ver imagen")</f>
        <v/>
      </c>
      <c r="P503">
        <f>HYPERLINK("imagenes/HALIFAX_WOMENS_119009546_BLK_2.jpg","Ver imagen")</f>
        <v/>
      </c>
      <c r="Q503">
        <f>HYPERLINK("imagenes/HALIFAX_WOMENS_119009546_BLK_3.jpg","Ver imagen")</f>
        <v/>
      </c>
    </row>
    <row r="504">
      <c r="A504" t="inlineStr">
        <is>
          <t>HALIFAX WOMENS</t>
        </is>
      </c>
      <c r="B504" t="inlineStr">
        <is>
          <t>119009546</t>
        </is>
      </c>
      <c r="C504" t="inlineStr">
        <is>
          <t>HFX WOMENS INSULATED BIB</t>
        </is>
      </c>
      <c r="D504" t="inlineStr">
        <is>
          <t>GEY</t>
        </is>
      </c>
      <c r="E504" t="inlineStr">
        <is>
          <t>(en blanco)</t>
        </is>
      </c>
      <c r="F504" t="inlineStr">
        <is>
          <t>(en blanco)</t>
        </is>
      </c>
      <c r="G504" t="inlineStr">
        <is>
          <t>XS</t>
        </is>
      </c>
      <c r="H504" t="n">
        <v>40</v>
      </c>
      <c r="I504" t="inlineStr">
        <is>
          <t>HALIFAX_WOMENS_119009546_GEY_1.jpg</t>
        </is>
      </c>
      <c r="J504" t="inlineStr">
        <is>
          <t>HALIFAX_WOMENS_119009546_GEY_2.jpg</t>
        </is>
      </c>
      <c r="K504" t="inlineStr">
        <is>
          <t>HALIFAX_WOMENS_119009546_GEY_3.jpg</t>
        </is>
      </c>
      <c r="L504">
        <f>IMAGE("file:///E:/Estudios%20y%20certificaciones/ESTUDIOS%20DE%20PROGRAMMING/PROGRAMMING/PERSONAL/PYTHON/Image_Generator_API/imagenes/HALIFAX_WOMENS_119009546_GEY_1.jpg")</f>
        <v/>
      </c>
      <c r="M504">
        <f>IMAGE("file:///E:/Estudios%20y%20certificaciones/ESTUDIOS%20DE%20PROGRAMMING/PROGRAMMING/PERSONAL/PYTHON/Image_Generator_API/imagenes/HALIFAX_WOMENS_119009546_GEY_2.jpg")</f>
        <v/>
      </c>
      <c r="N504">
        <f>IMAGE("file:///E:/Estudios%20y%20certificaciones/ESTUDIOS%20DE%20PROGRAMMING/PROGRAMMING/PERSONAL/PYTHON/Image_Generator_API/imagenes/HALIFAX_WOMENS_119009546_GEY_3.jpg")</f>
        <v/>
      </c>
      <c r="O504">
        <f>HYPERLINK("imagenes/HALIFAX_WOMENS_119009546_GEY_1.jpg","Ver imagen")</f>
        <v/>
      </c>
      <c r="P504">
        <f>HYPERLINK("imagenes/HALIFAX_WOMENS_119009546_GEY_2.jpg","Ver imagen")</f>
        <v/>
      </c>
      <c r="Q504">
        <f>HYPERLINK("imagenes/HALIFAX_WOMENS_119009546_GEY_3.jpg","Ver imagen")</f>
        <v/>
      </c>
    </row>
    <row r="505">
      <c r="A505" t="inlineStr">
        <is>
          <t>HALIFAX WOMENS</t>
        </is>
      </c>
      <c r="B505" t="inlineStr">
        <is>
          <t>119009546</t>
        </is>
      </c>
      <c r="C505" t="inlineStr">
        <is>
          <t>HFX WOMENS INSULATED BIB</t>
        </is>
      </c>
      <c r="D505" t="inlineStr">
        <is>
          <t>GEY</t>
        </is>
      </c>
      <c r="E505" t="inlineStr">
        <is>
          <t>(en blanco)</t>
        </is>
      </c>
      <c r="F505" t="inlineStr">
        <is>
          <t>(en blanco)</t>
        </is>
      </c>
      <c r="G505" t="inlineStr">
        <is>
          <t>S</t>
        </is>
      </c>
      <c r="H505" t="n">
        <v>162</v>
      </c>
      <c r="I505" t="inlineStr">
        <is>
          <t>HALIFAX_WOMENS_119009546_GEY_1.jpg</t>
        </is>
      </c>
      <c r="J505" t="inlineStr">
        <is>
          <t>HALIFAX_WOMENS_119009546_GEY_2.jpg</t>
        </is>
      </c>
      <c r="K505" t="inlineStr">
        <is>
          <t>HALIFAX_WOMENS_119009546_GEY_3.jpg</t>
        </is>
      </c>
      <c r="L505">
        <f>IMAGE("file:///E:/Estudios%20y%20certificaciones/ESTUDIOS%20DE%20PROGRAMMING/PROGRAMMING/PERSONAL/PYTHON/Image_Generator_API/imagenes/HALIFAX_WOMENS_119009546_GEY_1.jpg")</f>
        <v/>
      </c>
      <c r="M505">
        <f>IMAGE("file:///E:/Estudios%20y%20certificaciones/ESTUDIOS%20DE%20PROGRAMMING/PROGRAMMING/PERSONAL/PYTHON/Image_Generator_API/imagenes/HALIFAX_WOMENS_119009546_GEY_2.jpg")</f>
        <v/>
      </c>
      <c r="N505">
        <f>IMAGE("file:///E:/Estudios%20y%20certificaciones/ESTUDIOS%20DE%20PROGRAMMING/PROGRAMMING/PERSONAL/PYTHON/Image_Generator_API/imagenes/HALIFAX_WOMENS_119009546_GEY_3.jpg")</f>
        <v/>
      </c>
      <c r="O505">
        <f>HYPERLINK("imagenes/HALIFAX_WOMENS_119009546_GEY_1.jpg","Ver imagen")</f>
        <v/>
      </c>
      <c r="P505">
        <f>HYPERLINK("imagenes/HALIFAX_WOMENS_119009546_GEY_2.jpg","Ver imagen")</f>
        <v/>
      </c>
      <c r="Q505">
        <f>HYPERLINK("imagenes/HALIFAX_WOMENS_119009546_GEY_3.jpg","Ver imagen")</f>
        <v/>
      </c>
    </row>
    <row r="506">
      <c r="A506" t="inlineStr">
        <is>
          <t>HALIFAX WOMENS</t>
        </is>
      </c>
      <c r="B506" t="inlineStr">
        <is>
          <t>119009546</t>
        </is>
      </c>
      <c r="C506" t="inlineStr">
        <is>
          <t>HFX WOMENS INSULATED BIB</t>
        </is>
      </c>
      <c r="D506" t="inlineStr">
        <is>
          <t>GEY</t>
        </is>
      </c>
      <c r="E506" t="inlineStr">
        <is>
          <t>(en blanco)</t>
        </is>
      </c>
      <c r="F506" t="inlineStr">
        <is>
          <t>(en blanco)</t>
        </is>
      </c>
      <c r="G506" t="inlineStr">
        <is>
          <t>M</t>
        </is>
      </c>
      <c r="H506" t="n">
        <v>301</v>
      </c>
      <c r="I506" t="inlineStr">
        <is>
          <t>HALIFAX_WOMENS_119009546_GEY_1.jpg</t>
        </is>
      </c>
      <c r="J506" t="inlineStr">
        <is>
          <t>HALIFAX_WOMENS_119009546_GEY_2.jpg</t>
        </is>
      </c>
      <c r="K506" t="inlineStr">
        <is>
          <t>HALIFAX_WOMENS_119009546_GEY_3.jpg</t>
        </is>
      </c>
      <c r="L506">
        <f>IMAGE("file:///E:/Estudios%20y%20certificaciones/ESTUDIOS%20DE%20PROGRAMMING/PROGRAMMING/PERSONAL/PYTHON/Image_Generator_API/imagenes/HALIFAX_WOMENS_119009546_GEY_1.jpg")</f>
        <v/>
      </c>
      <c r="M506">
        <f>IMAGE("file:///E:/Estudios%20y%20certificaciones/ESTUDIOS%20DE%20PROGRAMMING/PROGRAMMING/PERSONAL/PYTHON/Image_Generator_API/imagenes/HALIFAX_WOMENS_119009546_GEY_2.jpg")</f>
        <v/>
      </c>
      <c r="N506">
        <f>IMAGE("file:///E:/Estudios%20y%20certificaciones/ESTUDIOS%20DE%20PROGRAMMING/PROGRAMMING/PERSONAL/PYTHON/Image_Generator_API/imagenes/HALIFAX_WOMENS_119009546_GEY_3.jpg")</f>
        <v/>
      </c>
      <c r="O506">
        <f>HYPERLINK("imagenes/HALIFAX_WOMENS_119009546_GEY_1.jpg","Ver imagen")</f>
        <v/>
      </c>
      <c r="P506">
        <f>HYPERLINK("imagenes/HALIFAX_WOMENS_119009546_GEY_2.jpg","Ver imagen")</f>
        <v/>
      </c>
      <c r="Q506">
        <f>HYPERLINK("imagenes/HALIFAX_WOMENS_119009546_GEY_3.jpg","Ver imagen")</f>
        <v/>
      </c>
    </row>
    <row r="507">
      <c r="A507" t="inlineStr">
        <is>
          <t>HALIFAX WOMENS</t>
        </is>
      </c>
      <c r="B507" t="inlineStr">
        <is>
          <t>119009546</t>
        </is>
      </c>
      <c r="C507" t="inlineStr">
        <is>
          <t>HFX WOMENS INSULATED BIB</t>
        </is>
      </c>
      <c r="D507" t="inlineStr">
        <is>
          <t>GEY</t>
        </is>
      </c>
      <c r="E507" t="inlineStr">
        <is>
          <t>(en blanco)</t>
        </is>
      </c>
      <c r="F507" t="inlineStr">
        <is>
          <t>(en blanco)</t>
        </is>
      </c>
      <c r="G507" t="inlineStr">
        <is>
          <t>L</t>
        </is>
      </c>
      <c r="H507" t="n">
        <v>218</v>
      </c>
      <c r="I507" t="inlineStr">
        <is>
          <t>HALIFAX_WOMENS_119009546_GEY_1.jpg</t>
        </is>
      </c>
      <c r="J507" t="inlineStr">
        <is>
          <t>HALIFAX_WOMENS_119009546_GEY_2.jpg</t>
        </is>
      </c>
      <c r="K507" t="inlineStr">
        <is>
          <t>HALIFAX_WOMENS_119009546_GEY_3.jpg</t>
        </is>
      </c>
      <c r="L507">
        <f>IMAGE("file:///E:/Estudios%20y%20certificaciones/ESTUDIOS%20DE%20PROGRAMMING/PROGRAMMING/PERSONAL/PYTHON/Image_Generator_API/imagenes/HALIFAX_WOMENS_119009546_GEY_1.jpg")</f>
        <v/>
      </c>
      <c r="M507">
        <f>IMAGE("file:///E:/Estudios%20y%20certificaciones/ESTUDIOS%20DE%20PROGRAMMING/PROGRAMMING/PERSONAL/PYTHON/Image_Generator_API/imagenes/HALIFAX_WOMENS_119009546_GEY_2.jpg")</f>
        <v/>
      </c>
      <c r="N507">
        <f>IMAGE("file:///E:/Estudios%20y%20certificaciones/ESTUDIOS%20DE%20PROGRAMMING/PROGRAMMING/PERSONAL/PYTHON/Image_Generator_API/imagenes/HALIFAX_WOMENS_119009546_GEY_3.jpg")</f>
        <v/>
      </c>
      <c r="O507">
        <f>HYPERLINK("imagenes/HALIFAX_WOMENS_119009546_GEY_1.jpg","Ver imagen")</f>
        <v/>
      </c>
      <c r="P507">
        <f>HYPERLINK("imagenes/HALIFAX_WOMENS_119009546_GEY_2.jpg","Ver imagen")</f>
        <v/>
      </c>
      <c r="Q507">
        <f>HYPERLINK("imagenes/HALIFAX_WOMENS_119009546_GEY_3.jpg","Ver imagen")</f>
        <v/>
      </c>
    </row>
    <row r="508">
      <c r="A508" t="inlineStr">
        <is>
          <t>HALIFAX WOMENS</t>
        </is>
      </c>
      <c r="B508" t="inlineStr">
        <is>
          <t>119009546</t>
        </is>
      </c>
      <c r="C508" t="inlineStr">
        <is>
          <t>HFX WOMENS INSULATED BIB</t>
        </is>
      </c>
      <c r="D508" t="inlineStr">
        <is>
          <t>GEY</t>
        </is>
      </c>
      <c r="E508" t="inlineStr">
        <is>
          <t>(en blanco)</t>
        </is>
      </c>
      <c r="F508" t="inlineStr">
        <is>
          <t>(en blanco)</t>
        </is>
      </c>
      <c r="G508" t="inlineStr">
        <is>
          <t>XL</t>
        </is>
      </c>
      <c r="H508" t="n">
        <v>127</v>
      </c>
      <c r="I508" t="inlineStr">
        <is>
          <t>HALIFAX_WOMENS_119009546_GEY_1.jpg</t>
        </is>
      </c>
      <c r="J508" t="inlineStr">
        <is>
          <t>HALIFAX_WOMENS_119009546_GEY_2.jpg</t>
        </is>
      </c>
      <c r="K508" t="inlineStr">
        <is>
          <t>HALIFAX_WOMENS_119009546_GEY_3.jpg</t>
        </is>
      </c>
      <c r="L508">
        <f>IMAGE("file:///E:/Estudios%20y%20certificaciones/ESTUDIOS%20DE%20PROGRAMMING/PROGRAMMING/PERSONAL/PYTHON/Image_Generator_API/imagenes/HALIFAX_WOMENS_119009546_GEY_1.jpg")</f>
        <v/>
      </c>
      <c r="M508">
        <f>IMAGE("file:///E:/Estudios%20y%20certificaciones/ESTUDIOS%20DE%20PROGRAMMING/PROGRAMMING/PERSONAL/PYTHON/Image_Generator_API/imagenes/HALIFAX_WOMENS_119009546_GEY_2.jpg")</f>
        <v/>
      </c>
      <c r="N508">
        <f>IMAGE("file:///E:/Estudios%20y%20certificaciones/ESTUDIOS%20DE%20PROGRAMMING/PROGRAMMING/PERSONAL/PYTHON/Image_Generator_API/imagenes/HALIFAX_WOMENS_119009546_GEY_3.jpg")</f>
        <v/>
      </c>
      <c r="O508">
        <f>HYPERLINK("imagenes/HALIFAX_WOMENS_119009546_GEY_1.jpg","Ver imagen")</f>
        <v/>
      </c>
      <c r="P508">
        <f>HYPERLINK("imagenes/HALIFAX_WOMENS_119009546_GEY_2.jpg","Ver imagen")</f>
        <v/>
      </c>
      <c r="Q508">
        <f>HYPERLINK("imagenes/HALIFAX_WOMENS_119009546_GEY_3.jpg","Ver imagen")</f>
        <v/>
      </c>
    </row>
    <row r="509">
      <c r="A509" t="inlineStr">
        <is>
          <t>HALIFAX WOMENS</t>
        </is>
      </c>
      <c r="B509" t="inlineStr">
        <is>
          <t>119009546</t>
        </is>
      </c>
      <c r="C509" t="inlineStr">
        <is>
          <t>HFX WOMENS INSULATED BIB</t>
        </is>
      </c>
      <c r="D509" t="inlineStr">
        <is>
          <t>WHT</t>
        </is>
      </c>
      <c r="E509" t="inlineStr">
        <is>
          <t>(en blanco)</t>
        </is>
      </c>
      <c r="F509" t="inlineStr">
        <is>
          <t>(en blanco)</t>
        </is>
      </c>
      <c r="G509" t="inlineStr">
        <is>
          <t>XS</t>
        </is>
      </c>
      <c r="H509" t="n">
        <v>37</v>
      </c>
      <c r="I509" t="inlineStr">
        <is>
          <t>HALIFAX_WOMENS_119009546_WHT_1.jpg</t>
        </is>
      </c>
      <c r="J509" t="inlineStr">
        <is>
          <t>HALIFAX_WOMENS_119009546_WHT_2.jpg</t>
        </is>
      </c>
      <c r="K509" t="inlineStr">
        <is>
          <t>HALIFAX_WOMENS_119009546_WHT_3.jpg</t>
        </is>
      </c>
      <c r="L509">
        <f>IMAGE("file:///E:/Estudios%20y%20certificaciones/ESTUDIOS%20DE%20PROGRAMMING/PROGRAMMING/PERSONAL/PYTHON/Image_Generator_API/imagenes/HALIFAX_WOMENS_119009546_WHT_1.jpg")</f>
        <v/>
      </c>
      <c r="M509">
        <f>IMAGE("file:///E:/Estudios%20y%20certificaciones/ESTUDIOS%20DE%20PROGRAMMING/PROGRAMMING/PERSONAL/PYTHON/Image_Generator_API/imagenes/HALIFAX_WOMENS_119009546_WHT_2.jpg")</f>
        <v/>
      </c>
      <c r="N509">
        <f>IMAGE("file:///E:/Estudios%20y%20certificaciones/ESTUDIOS%20DE%20PROGRAMMING/PROGRAMMING/PERSONAL/PYTHON/Image_Generator_API/imagenes/HALIFAX_WOMENS_119009546_WHT_3.jpg")</f>
        <v/>
      </c>
      <c r="O509">
        <f>HYPERLINK("imagenes/HALIFAX_WOMENS_119009546_WHT_1.jpg","Ver imagen")</f>
        <v/>
      </c>
      <c r="P509">
        <f>HYPERLINK("imagenes/HALIFAX_WOMENS_119009546_WHT_2.jpg","Ver imagen")</f>
        <v/>
      </c>
      <c r="Q509">
        <f>HYPERLINK("imagenes/HALIFAX_WOMENS_119009546_WHT_3.jpg","Ver imagen")</f>
        <v/>
      </c>
    </row>
    <row r="510">
      <c r="A510" t="inlineStr">
        <is>
          <t>HALIFAX WOMENS</t>
        </is>
      </c>
      <c r="B510" t="inlineStr">
        <is>
          <t>119009546</t>
        </is>
      </c>
      <c r="C510" t="inlineStr">
        <is>
          <t>HFX WOMENS INSULATED BIB</t>
        </is>
      </c>
      <c r="D510" t="inlineStr">
        <is>
          <t>WHT</t>
        </is>
      </c>
      <c r="E510" t="inlineStr">
        <is>
          <t>(en blanco)</t>
        </is>
      </c>
      <c r="F510" t="inlineStr">
        <is>
          <t>(en blanco)</t>
        </is>
      </c>
      <c r="G510" t="inlineStr">
        <is>
          <t>S</t>
        </is>
      </c>
      <c r="H510" t="n">
        <v>150</v>
      </c>
      <c r="I510" t="inlineStr">
        <is>
          <t>HALIFAX_WOMENS_119009546_WHT_1.jpg</t>
        </is>
      </c>
      <c r="J510" t="inlineStr">
        <is>
          <t>HALIFAX_WOMENS_119009546_WHT_2.jpg</t>
        </is>
      </c>
      <c r="K510" t="inlineStr">
        <is>
          <t>HALIFAX_WOMENS_119009546_WHT_3.jpg</t>
        </is>
      </c>
      <c r="L510">
        <f>IMAGE("file:///E:/Estudios%20y%20certificaciones/ESTUDIOS%20DE%20PROGRAMMING/PROGRAMMING/PERSONAL/PYTHON/Image_Generator_API/imagenes/HALIFAX_WOMENS_119009546_WHT_1.jpg")</f>
        <v/>
      </c>
      <c r="M510">
        <f>IMAGE("file:///E:/Estudios%20y%20certificaciones/ESTUDIOS%20DE%20PROGRAMMING/PROGRAMMING/PERSONAL/PYTHON/Image_Generator_API/imagenes/HALIFAX_WOMENS_119009546_WHT_2.jpg")</f>
        <v/>
      </c>
      <c r="N510">
        <f>IMAGE("file:///E:/Estudios%20y%20certificaciones/ESTUDIOS%20DE%20PROGRAMMING/PROGRAMMING/PERSONAL/PYTHON/Image_Generator_API/imagenes/HALIFAX_WOMENS_119009546_WHT_3.jpg")</f>
        <v/>
      </c>
      <c r="O510">
        <f>HYPERLINK("imagenes/HALIFAX_WOMENS_119009546_WHT_1.jpg","Ver imagen")</f>
        <v/>
      </c>
      <c r="P510">
        <f>HYPERLINK("imagenes/HALIFAX_WOMENS_119009546_WHT_2.jpg","Ver imagen")</f>
        <v/>
      </c>
      <c r="Q510">
        <f>HYPERLINK("imagenes/HALIFAX_WOMENS_119009546_WHT_3.jpg","Ver imagen")</f>
        <v/>
      </c>
    </row>
    <row r="511">
      <c r="A511" t="inlineStr">
        <is>
          <t>HALIFAX WOMENS</t>
        </is>
      </c>
      <c r="B511" t="inlineStr">
        <is>
          <t>119009546</t>
        </is>
      </c>
      <c r="C511" t="inlineStr">
        <is>
          <t>HFX WOMENS INSULATED BIB</t>
        </is>
      </c>
      <c r="D511" t="inlineStr">
        <is>
          <t>WHT</t>
        </is>
      </c>
      <c r="E511" t="inlineStr">
        <is>
          <t>(en blanco)</t>
        </is>
      </c>
      <c r="F511" t="inlineStr">
        <is>
          <t>(en blanco)</t>
        </is>
      </c>
      <c r="G511" t="inlineStr">
        <is>
          <t>M</t>
        </is>
      </c>
      <c r="H511" t="n">
        <v>289</v>
      </c>
      <c r="I511" t="inlineStr">
        <is>
          <t>HALIFAX_WOMENS_119009546_WHT_1.jpg</t>
        </is>
      </c>
      <c r="J511" t="inlineStr">
        <is>
          <t>HALIFAX_WOMENS_119009546_WHT_2.jpg</t>
        </is>
      </c>
      <c r="K511" t="inlineStr">
        <is>
          <t>HALIFAX_WOMENS_119009546_WHT_3.jpg</t>
        </is>
      </c>
      <c r="L511">
        <f>IMAGE("file:///E:/Estudios%20y%20certificaciones/ESTUDIOS%20DE%20PROGRAMMING/PROGRAMMING/PERSONAL/PYTHON/Image_Generator_API/imagenes/HALIFAX_WOMENS_119009546_WHT_1.jpg")</f>
        <v/>
      </c>
      <c r="M511">
        <f>IMAGE("file:///E:/Estudios%20y%20certificaciones/ESTUDIOS%20DE%20PROGRAMMING/PROGRAMMING/PERSONAL/PYTHON/Image_Generator_API/imagenes/HALIFAX_WOMENS_119009546_WHT_2.jpg")</f>
        <v/>
      </c>
      <c r="N511">
        <f>IMAGE("file:///E:/Estudios%20y%20certificaciones/ESTUDIOS%20DE%20PROGRAMMING/PROGRAMMING/PERSONAL/PYTHON/Image_Generator_API/imagenes/HALIFAX_WOMENS_119009546_WHT_3.jpg")</f>
        <v/>
      </c>
      <c r="O511">
        <f>HYPERLINK("imagenes/HALIFAX_WOMENS_119009546_WHT_1.jpg","Ver imagen")</f>
        <v/>
      </c>
      <c r="P511">
        <f>HYPERLINK("imagenes/HALIFAX_WOMENS_119009546_WHT_2.jpg","Ver imagen")</f>
        <v/>
      </c>
      <c r="Q511">
        <f>HYPERLINK("imagenes/HALIFAX_WOMENS_119009546_WHT_3.jpg","Ver imagen")</f>
        <v/>
      </c>
    </row>
    <row r="512">
      <c r="A512" t="inlineStr">
        <is>
          <t>HALIFAX WOMENS</t>
        </is>
      </c>
      <c r="B512" t="inlineStr">
        <is>
          <t>119009546</t>
        </is>
      </c>
      <c r="C512" t="inlineStr">
        <is>
          <t>HFX WOMENS INSULATED BIB</t>
        </is>
      </c>
      <c r="D512" t="inlineStr">
        <is>
          <t>WHT</t>
        </is>
      </c>
      <c r="E512" t="inlineStr">
        <is>
          <t>(en blanco)</t>
        </is>
      </c>
      <c r="F512" t="inlineStr">
        <is>
          <t>(en blanco)</t>
        </is>
      </c>
      <c r="G512" t="inlineStr">
        <is>
          <t>L</t>
        </is>
      </c>
      <c r="H512" t="n">
        <v>217</v>
      </c>
      <c r="I512" t="inlineStr">
        <is>
          <t>HALIFAX_WOMENS_119009546_WHT_1.jpg</t>
        </is>
      </c>
      <c r="J512" t="inlineStr">
        <is>
          <t>HALIFAX_WOMENS_119009546_WHT_2.jpg</t>
        </is>
      </c>
      <c r="K512" t="inlineStr">
        <is>
          <t>HALIFAX_WOMENS_119009546_WHT_3.jpg</t>
        </is>
      </c>
      <c r="L512">
        <f>IMAGE("file:///E:/Estudios%20y%20certificaciones/ESTUDIOS%20DE%20PROGRAMMING/PROGRAMMING/PERSONAL/PYTHON/Image_Generator_API/imagenes/HALIFAX_WOMENS_119009546_WHT_1.jpg")</f>
        <v/>
      </c>
      <c r="M512">
        <f>IMAGE("file:///E:/Estudios%20y%20certificaciones/ESTUDIOS%20DE%20PROGRAMMING/PROGRAMMING/PERSONAL/PYTHON/Image_Generator_API/imagenes/HALIFAX_WOMENS_119009546_WHT_2.jpg")</f>
        <v/>
      </c>
      <c r="N512">
        <f>IMAGE("file:///E:/Estudios%20y%20certificaciones/ESTUDIOS%20DE%20PROGRAMMING/PROGRAMMING/PERSONAL/PYTHON/Image_Generator_API/imagenes/HALIFAX_WOMENS_119009546_WHT_3.jpg")</f>
        <v/>
      </c>
      <c r="O512">
        <f>HYPERLINK("imagenes/HALIFAX_WOMENS_119009546_WHT_1.jpg","Ver imagen")</f>
        <v/>
      </c>
      <c r="P512">
        <f>HYPERLINK("imagenes/HALIFAX_WOMENS_119009546_WHT_2.jpg","Ver imagen")</f>
        <v/>
      </c>
      <c r="Q512">
        <f>HYPERLINK("imagenes/HALIFAX_WOMENS_119009546_WHT_3.jpg","Ver imagen")</f>
        <v/>
      </c>
    </row>
    <row r="513">
      <c r="A513" t="inlineStr">
        <is>
          <t>HALIFAX WOMENS</t>
        </is>
      </c>
      <c r="B513" t="inlineStr">
        <is>
          <t>119009546</t>
        </is>
      </c>
      <c r="C513" t="inlineStr">
        <is>
          <t>HFX WOMENS INSULATED BIB</t>
        </is>
      </c>
      <c r="D513" t="inlineStr">
        <is>
          <t>WHT</t>
        </is>
      </c>
      <c r="E513" t="inlineStr">
        <is>
          <t>(en blanco)</t>
        </is>
      </c>
      <c r="F513" t="inlineStr">
        <is>
          <t>(en blanco)</t>
        </is>
      </c>
      <c r="G513" t="inlineStr">
        <is>
          <t>XL</t>
        </is>
      </c>
      <c r="H513" t="n">
        <v>127</v>
      </c>
      <c r="I513" t="inlineStr">
        <is>
          <t>HALIFAX_WOMENS_119009546_WHT_1.jpg</t>
        </is>
      </c>
      <c r="J513" t="inlineStr">
        <is>
          <t>HALIFAX_WOMENS_119009546_WHT_2.jpg</t>
        </is>
      </c>
      <c r="K513" t="inlineStr">
        <is>
          <t>HALIFAX_WOMENS_119009546_WHT_3.jpg</t>
        </is>
      </c>
      <c r="L513">
        <f>IMAGE("file:///E:/Estudios%20y%20certificaciones/ESTUDIOS%20DE%20PROGRAMMING/PROGRAMMING/PERSONAL/PYTHON/Image_Generator_API/imagenes/HALIFAX_WOMENS_119009546_WHT_1.jpg")</f>
        <v/>
      </c>
      <c r="M513">
        <f>IMAGE("file:///E:/Estudios%20y%20certificaciones/ESTUDIOS%20DE%20PROGRAMMING/PROGRAMMING/PERSONAL/PYTHON/Image_Generator_API/imagenes/HALIFAX_WOMENS_119009546_WHT_2.jpg")</f>
        <v/>
      </c>
      <c r="N513">
        <f>IMAGE("file:///E:/Estudios%20y%20certificaciones/ESTUDIOS%20DE%20PROGRAMMING/PROGRAMMING/PERSONAL/PYTHON/Image_Generator_API/imagenes/HALIFAX_WOMENS_119009546_WHT_3.jpg")</f>
        <v/>
      </c>
      <c r="O513">
        <f>HYPERLINK("imagenes/HALIFAX_WOMENS_119009546_WHT_1.jpg","Ver imagen")</f>
        <v/>
      </c>
      <c r="P513">
        <f>HYPERLINK("imagenes/HALIFAX_WOMENS_119009546_WHT_2.jpg","Ver imagen")</f>
        <v/>
      </c>
      <c r="Q513">
        <f>HYPERLINK("imagenes/HALIFAX_WOMENS_119009546_WHT_3.jpg","Ver imagen")</f>
        <v/>
      </c>
    </row>
    <row r="514">
      <c r="A514" t="inlineStr">
        <is>
          <t>HALIFAX WOMENS</t>
        </is>
      </c>
      <c r="B514" t="inlineStr">
        <is>
          <t>119009671</t>
        </is>
      </c>
      <c r="C514" t="inlineStr">
        <is>
          <t>HFX WOMENS INSULATED PANT- PLUS</t>
        </is>
      </c>
      <c r="D514" t="inlineStr">
        <is>
          <t>BLK</t>
        </is>
      </c>
      <c r="E514" t="inlineStr">
        <is>
          <t>(en blanco)</t>
        </is>
      </c>
      <c r="F514" t="inlineStr">
        <is>
          <t>(en blanco)</t>
        </is>
      </c>
      <c r="G514" t="inlineStr">
        <is>
          <t>1X</t>
        </is>
      </c>
      <c r="H514" t="n">
        <v>162</v>
      </c>
      <c r="I514" t="inlineStr">
        <is>
          <t>HALIFAX_WOMENS_119009671_BLK_1.jpg</t>
        </is>
      </c>
      <c r="J514" t="inlineStr">
        <is>
          <t>HALIFAX_WOMENS_119009671_BLK_2.jpg</t>
        </is>
      </c>
      <c r="K514" t="inlineStr">
        <is>
          <t>HALIFAX_WOMENS_119009671_BLK_3.jpg</t>
        </is>
      </c>
      <c r="L514">
        <f>IMAGE("file:///E:/Estudios%20y%20certificaciones/ESTUDIOS%20DE%20PROGRAMMING/PROGRAMMING/PERSONAL/PYTHON/Image_Generator_API/imagenes/HALIFAX_WOMENS_119009671_BLK_1.jpg")</f>
        <v/>
      </c>
      <c r="M514">
        <f>IMAGE("file:///E:/Estudios%20y%20certificaciones/ESTUDIOS%20DE%20PROGRAMMING/PROGRAMMING/PERSONAL/PYTHON/Image_Generator_API/imagenes/HALIFAX_WOMENS_119009671_BLK_2.jpg")</f>
        <v/>
      </c>
      <c r="N514">
        <f>IMAGE("file:///E:/Estudios%20y%20certificaciones/ESTUDIOS%20DE%20PROGRAMMING/PROGRAMMING/PERSONAL/PYTHON/Image_Generator_API/imagenes/HALIFAX_WOMENS_119009671_BLK_3.jpg")</f>
        <v/>
      </c>
      <c r="O514">
        <f>HYPERLINK("imagenes/HALIFAX_WOMENS_119009671_BLK_1.jpg","Ver imagen")</f>
        <v/>
      </c>
      <c r="P514">
        <f>HYPERLINK("imagenes/HALIFAX_WOMENS_119009671_BLK_2.jpg","Ver imagen")</f>
        <v/>
      </c>
      <c r="Q514">
        <f>HYPERLINK("imagenes/HALIFAX_WOMENS_119009671_BLK_3.jpg","Ver imagen")</f>
        <v/>
      </c>
    </row>
    <row r="515">
      <c r="A515" t="inlineStr">
        <is>
          <t>HALIFAX WOMENS</t>
        </is>
      </c>
      <c r="B515" t="inlineStr">
        <is>
          <t>119009671</t>
        </is>
      </c>
      <c r="C515" t="inlineStr">
        <is>
          <t>HFX WOMENS INSULATED PANT- PLUS</t>
        </is>
      </c>
      <c r="D515" t="inlineStr">
        <is>
          <t>BLK</t>
        </is>
      </c>
      <c r="E515" t="inlineStr">
        <is>
          <t>(en blanco)</t>
        </is>
      </c>
      <c r="F515" t="inlineStr">
        <is>
          <t>(en blanco)</t>
        </is>
      </c>
      <c r="G515" t="inlineStr">
        <is>
          <t>2X</t>
        </is>
      </c>
      <c r="H515" t="n">
        <v>107</v>
      </c>
      <c r="I515" t="inlineStr">
        <is>
          <t>HALIFAX_WOMENS_119009671_BLK_1.jpg</t>
        </is>
      </c>
      <c r="J515" t="inlineStr">
        <is>
          <t>HALIFAX_WOMENS_119009671_BLK_2.jpg</t>
        </is>
      </c>
      <c r="K515" t="inlineStr">
        <is>
          <t>HALIFAX_WOMENS_119009671_BLK_3.jpg</t>
        </is>
      </c>
      <c r="L515">
        <f>IMAGE("file:///E:/Estudios%20y%20certificaciones/ESTUDIOS%20DE%20PROGRAMMING/PROGRAMMING/PERSONAL/PYTHON/Image_Generator_API/imagenes/HALIFAX_WOMENS_119009671_BLK_1.jpg")</f>
        <v/>
      </c>
      <c r="M515">
        <f>IMAGE("file:///E:/Estudios%20y%20certificaciones/ESTUDIOS%20DE%20PROGRAMMING/PROGRAMMING/PERSONAL/PYTHON/Image_Generator_API/imagenes/HALIFAX_WOMENS_119009671_BLK_2.jpg")</f>
        <v/>
      </c>
      <c r="N515">
        <f>IMAGE("file:///E:/Estudios%20y%20certificaciones/ESTUDIOS%20DE%20PROGRAMMING/PROGRAMMING/PERSONAL/PYTHON/Image_Generator_API/imagenes/HALIFAX_WOMENS_119009671_BLK_3.jpg")</f>
        <v/>
      </c>
      <c r="O515">
        <f>HYPERLINK("imagenes/HALIFAX_WOMENS_119009671_BLK_1.jpg","Ver imagen")</f>
        <v/>
      </c>
      <c r="P515">
        <f>HYPERLINK("imagenes/HALIFAX_WOMENS_119009671_BLK_2.jpg","Ver imagen")</f>
        <v/>
      </c>
      <c r="Q515">
        <f>HYPERLINK("imagenes/HALIFAX_WOMENS_119009671_BLK_3.jpg","Ver imagen")</f>
        <v/>
      </c>
    </row>
    <row r="516">
      <c r="A516" t="inlineStr">
        <is>
          <t>HALIFAX WOMENS</t>
        </is>
      </c>
      <c r="B516" t="inlineStr">
        <is>
          <t>119009671</t>
        </is>
      </c>
      <c r="C516" t="inlineStr">
        <is>
          <t>HFX WOMENS INSULATED PANT- PLUS</t>
        </is>
      </c>
      <c r="D516" t="inlineStr">
        <is>
          <t>BLK</t>
        </is>
      </c>
      <c r="E516" t="inlineStr">
        <is>
          <t>(en blanco)</t>
        </is>
      </c>
      <c r="F516" t="inlineStr">
        <is>
          <t>(en blanco)</t>
        </is>
      </c>
      <c r="G516" t="inlineStr">
        <is>
          <t>3X</t>
        </is>
      </c>
      <c r="H516" t="n">
        <v>60</v>
      </c>
      <c r="I516" t="inlineStr">
        <is>
          <t>HALIFAX_WOMENS_119009671_BLK_1.jpg</t>
        </is>
      </c>
      <c r="J516" t="inlineStr">
        <is>
          <t>HALIFAX_WOMENS_119009671_BLK_2.jpg</t>
        </is>
      </c>
      <c r="K516" t="inlineStr">
        <is>
          <t>HALIFAX_WOMENS_119009671_BLK_3.jpg</t>
        </is>
      </c>
      <c r="L516">
        <f>IMAGE("file:///E:/Estudios%20y%20certificaciones/ESTUDIOS%20DE%20PROGRAMMING/PROGRAMMING/PERSONAL/PYTHON/Image_Generator_API/imagenes/HALIFAX_WOMENS_119009671_BLK_1.jpg")</f>
        <v/>
      </c>
      <c r="M516">
        <f>IMAGE("file:///E:/Estudios%20y%20certificaciones/ESTUDIOS%20DE%20PROGRAMMING/PROGRAMMING/PERSONAL/PYTHON/Image_Generator_API/imagenes/HALIFAX_WOMENS_119009671_BLK_2.jpg")</f>
        <v/>
      </c>
      <c r="N516">
        <f>IMAGE("file:///E:/Estudios%20y%20certificaciones/ESTUDIOS%20DE%20PROGRAMMING/PROGRAMMING/PERSONAL/PYTHON/Image_Generator_API/imagenes/HALIFAX_WOMENS_119009671_BLK_3.jpg")</f>
        <v/>
      </c>
      <c r="O516">
        <f>HYPERLINK("imagenes/HALIFAX_WOMENS_119009671_BLK_1.jpg","Ver imagen")</f>
        <v/>
      </c>
      <c r="P516">
        <f>HYPERLINK("imagenes/HALIFAX_WOMENS_119009671_BLK_2.jpg","Ver imagen")</f>
        <v/>
      </c>
      <c r="Q516">
        <f>HYPERLINK("imagenes/HALIFAX_WOMENS_119009671_BLK_3.jpg","Ver imagen")</f>
        <v/>
      </c>
    </row>
    <row r="517">
      <c r="A517" t="inlineStr">
        <is>
          <t>HALIFAX WOMENS</t>
        </is>
      </c>
      <c r="B517" t="inlineStr">
        <is>
          <t>119009671</t>
        </is>
      </c>
      <c r="C517" t="inlineStr">
        <is>
          <t>HFX WOMENS INSULATED PANT- PLUS</t>
        </is>
      </c>
      <c r="D517" t="inlineStr">
        <is>
          <t>GEY</t>
        </is>
      </c>
      <c r="E517" t="inlineStr">
        <is>
          <t>(en blanco)</t>
        </is>
      </c>
      <c r="F517" t="inlineStr">
        <is>
          <t>(en blanco)</t>
        </is>
      </c>
      <c r="G517" t="inlineStr">
        <is>
          <t>1X</t>
        </is>
      </c>
      <c r="H517" t="n">
        <v>54</v>
      </c>
      <c r="I517" t="inlineStr">
        <is>
          <t>HALIFAX_WOMENS_119009671_GEY_1.jpg</t>
        </is>
      </c>
      <c r="J517" t="inlineStr">
        <is>
          <t>HALIFAX_WOMENS_119009671_GEY_2.jpg</t>
        </is>
      </c>
      <c r="K517" t="inlineStr">
        <is>
          <t>HALIFAX_WOMENS_119009671_GEY_3.jpg</t>
        </is>
      </c>
      <c r="L517">
        <f>IMAGE("file:///E:/Estudios%20y%20certificaciones/ESTUDIOS%20DE%20PROGRAMMING/PROGRAMMING/PERSONAL/PYTHON/Image_Generator_API/imagenes/HALIFAX_WOMENS_119009671_GEY_1.jpg")</f>
        <v/>
      </c>
      <c r="M517">
        <f>IMAGE("file:///E:/Estudios%20y%20certificaciones/ESTUDIOS%20DE%20PROGRAMMING/PROGRAMMING/PERSONAL/PYTHON/Image_Generator_API/imagenes/HALIFAX_WOMENS_119009671_GEY_2.jpg")</f>
        <v/>
      </c>
      <c r="N517">
        <f>IMAGE("file:///E:/Estudios%20y%20certificaciones/ESTUDIOS%20DE%20PROGRAMMING/PROGRAMMING/PERSONAL/PYTHON/Image_Generator_API/imagenes/HALIFAX_WOMENS_119009671_GEY_3.jpg")</f>
        <v/>
      </c>
      <c r="O517">
        <f>HYPERLINK("imagenes/HALIFAX_WOMENS_119009671_GEY_1.jpg","Ver imagen")</f>
        <v/>
      </c>
      <c r="P517">
        <f>HYPERLINK("imagenes/HALIFAX_WOMENS_119009671_GEY_2.jpg","Ver imagen")</f>
        <v/>
      </c>
      <c r="Q517">
        <f>HYPERLINK("imagenes/HALIFAX_WOMENS_119009671_GEY_3.jpg","Ver imagen")</f>
        <v/>
      </c>
    </row>
    <row r="518">
      <c r="A518" t="inlineStr">
        <is>
          <t>HALIFAX WOMENS</t>
        </is>
      </c>
      <c r="B518" t="inlineStr">
        <is>
          <t>119009671</t>
        </is>
      </c>
      <c r="C518" t="inlineStr">
        <is>
          <t>HFX WOMENS INSULATED PANT- PLUS</t>
        </is>
      </c>
      <c r="D518" t="inlineStr">
        <is>
          <t>GEY</t>
        </is>
      </c>
      <c r="E518" t="inlineStr">
        <is>
          <t>(en blanco)</t>
        </is>
      </c>
      <c r="F518" t="inlineStr">
        <is>
          <t>(en blanco)</t>
        </is>
      </c>
      <c r="G518" t="inlineStr">
        <is>
          <t>2X</t>
        </is>
      </c>
      <c r="H518" t="n">
        <v>43</v>
      </c>
      <c r="I518" t="inlineStr">
        <is>
          <t>HALIFAX_WOMENS_119009671_GEY_1.jpg</t>
        </is>
      </c>
      <c r="J518" t="inlineStr">
        <is>
          <t>HALIFAX_WOMENS_119009671_GEY_2.jpg</t>
        </is>
      </c>
      <c r="K518" t="inlineStr">
        <is>
          <t>HALIFAX_WOMENS_119009671_GEY_3.jpg</t>
        </is>
      </c>
      <c r="L518">
        <f>IMAGE("file:///E:/Estudios%20y%20certificaciones/ESTUDIOS%20DE%20PROGRAMMING/PROGRAMMING/PERSONAL/PYTHON/Image_Generator_API/imagenes/HALIFAX_WOMENS_119009671_GEY_1.jpg")</f>
        <v/>
      </c>
      <c r="M518">
        <f>IMAGE("file:///E:/Estudios%20y%20certificaciones/ESTUDIOS%20DE%20PROGRAMMING/PROGRAMMING/PERSONAL/PYTHON/Image_Generator_API/imagenes/HALIFAX_WOMENS_119009671_GEY_2.jpg")</f>
        <v/>
      </c>
      <c r="N518">
        <f>IMAGE("file:///E:/Estudios%20y%20certificaciones/ESTUDIOS%20DE%20PROGRAMMING/PROGRAMMING/PERSONAL/PYTHON/Image_Generator_API/imagenes/HALIFAX_WOMENS_119009671_GEY_3.jpg")</f>
        <v/>
      </c>
      <c r="O518">
        <f>HYPERLINK("imagenes/HALIFAX_WOMENS_119009671_GEY_1.jpg","Ver imagen")</f>
        <v/>
      </c>
      <c r="P518">
        <f>HYPERLINK("imagenes/HALIFAX_WOMENS_119009671_GEY_2.jpg","Ver imagen")</f>
        <v/>
      </c>
      <c r="Q518">
        <f>HYPERLINK("imagenes/HALIFAX_WOMENS_119009671_GEY_3.jpg","Ver imagen")</f>
        <v/>
      </c>
    </row>
    <row r="519">
      <c r="A519" t="inlineStr">
        <is>
          <t>HALIFAX WOMENS</t>
        </is>
      </c>
      <c r="B519" t="inlineStr">
        <is>
          <t>119009671</t>
        </is>
      </c>
      <c r="C519" t="inlineStr">
        <is>
          <t>HFX WOMENS INSULATED PANT- PLUS</t>
        </is>
      </c>
      <c r="D519" t="inlineStr">
        <is>
          <t>GEY</t>
        </is>
      </c>
      <c r="E519" t="inlineStr">
        <is>
          <t>(en blanco)</t>
        </is>
      </c>
      <c r="F519" t="inlineStr">
        <is>
          <t>(en blanco)</t>
        </is>
      </c>
      <c r="G519" t="inlineStr">
        <is>
          <t>3X</t>
        </is>
      </c>
      <c r="H519" t="n">
        <v>7</v>
      </c>
      <c r="I519" t="inlineStr">
        <is>
          <t>HALIFAX_WOMENS_119009671_GEY_1.jpg</t>
        </is>
      </c>
      <c r="J519" t="inlineStr">
        <is>
          <t>HALIFAX_WOMENS_119009671_GEY_2.jpg</t>
        </is>
      </c>
      <c r="K519" t="inlineStr">
        <is>
          <t>HALIFAX_WOMENS_119009671_GEY_3.jpg</t>
        </is>
      </c>
      <c r="L519">
        <f>IMAGE("file:///E:/Estudios%20y%20certificaciones/ESTUDIOS%20DE%20PROGRAMMING/PROGRAMMING/PERSONAL/PYTHON/Image_Generator_API/imagenes/HALIFAX_WOMENS_119009671_GEY_1.jpg")</f>
        <v/>
      </c>
      <c r="M519">
        <f>IMAGE("file:///E:/Estudios%20y%20certificaciones/ESTUDIOS%20DE%20PROGRAMMING/PROGRAMMING/PERSONAL/PYTHON/Image_Generator_API/imagenes/HALIFAX_WOMENS_119009671_GEY_2.jpg")</f>
        <v/>
      </c>
      <c r="N519">
        <f>IMAGE("file:///E:/Estudios%20y%20certificaciones/ESTUDIOS%20DE%20PROGRAMMING/PROGRAMMING/PERSONAL/PYTHON/Image_Generator_API/imagenes/HALIFAX_WOMENS_119009671_GEY_3.jpg")</f>
        <v/>
      </c>
      <c r="O519">
        <f>HYPERLINK("imagenes/HALIFAX_WOMENS_119009671_GEY_1.jpg","Ver imagen")</f>
        <v/>
      </c>
      <c r="P519">
        <f>HYPERLINK("imagenes/HALIFAX_WOMENS_119009671_GEY_2.jpg","Ver imagen")</f>
        <v/>
      </c>
      <c r="Q519">
        <f>HYPERLINK("imagenes/HALIFAX_WOMENS_119009671_GEY_3.jpg","Ver imagen")</f>
        <v/>
      </c>
    </row>
    <row r="520">
      <c r="A520" t="inlineStr">
        <is>
          <t>HALIFAX WOMENS</t>
        </is>
      </c>
      <c r="B520" t="inlineStr">
        <is>
          <t>119009671</t>
        </is>
      </c>
      <c r="C520" t="inlineStr">
        <is>
          <t>HFX WOMENS INSULATED PANT- PLUS</t>
        </is>
      </c>
      <c r="D520" t="inlineStr">
        <is>
          <t>WHT</t>
        </is>
      </c>
      <c r="E520" t="inlineStr">
        <is>
          <t>(en blanco)</t>
        </is>
      </c>
      <c r="F520" t="inlineStr">
        <is>
          <t>(en blanco)</t>
        </is>
      </c>
      <c r="G520" t="inlineStr">
        <is>
          <t>1X</t>
        </is>
      </c>
      <c r="H520" t="n">
        <v>55</v>
      </c>
      <c r="I520" t="inlineStr">
        <is>
          <t>HALIFAX_WOMENS_119009671_WHT_1.jpg</t>
        </is>
      </c>
      <c r="J520" t="inlineStr">
        <is>
          <t>HALIFAX_WOMENS_119009671_WHT_2.jpg</t>
        </is>
      </c>
      <c r="K520" t="inlineStr">
        <is>
          <t>HALIFAX_WOMENS_119009671_WHT_3.jpg</t>
        </is>
      </c>
      <c r="L520">
        <f>IMAGE("file:///E:/Estudios%20y%20certificaciones/ESTUDIOS%20DE%20PROGRAMMING/PROGRAMMING/PERSONAL/PYTHON/Image_Generator_API/imagenes/HALIFAX_WOMENS_119009671_WHT_1.jpg")</f>
        <v/>
      </c>
      <c r="M520">
        <f>IMAGE("file:///E:/Estudios%20y%20certificaciones/ESTUDIOS%20DE%20PROGRAMMING/PROGRAMMING/PERSONAL/PYTHON/Image_Generator_API/imagenes/HALIFAX_WOMENS_119009671_WHT_2.jpg")</f>
        <v/>
      </c>
      <c r="N520">
        <f>IMAGE("file:///E:/Estudios%20y%20certificaciones/ESTUDIOS%20DE%20PROGRAMMING/PROGRAMMING/PERSONAL/PYTHON/Image_Generator_API/imagenes/HALIFAX_WOMENS_119009671_WHT_3.jpg")</f>
        <v/>
      </c>
      <c r="O520">
        <f>HYPERLINK("imagenes/HALIFAX_WOMENS_119009671_WHT_1.jpg","Ver imagen")</f>
        <v/>
      </c>
      <c r="P520">
        <f>HYPERLINK("imagenes/HALIFAX_WOMENS_119009671_WHT_2.jpg","Ver imagen")</f>
        <v/>
      </c>
      <c r="Q520">
        <f>HYPERLINK("imagenes/HALIFAX_WOMENS_119009671_WHT_3.jpg","Ver imagen")</f>
        <v/>
      </c>
    </row>
    <row r="521">
      <c r="A521" t="inlineStr">
        <is>
          <t>HALIFAX WOMENS</t>
        </is>
      </c>
      <c r="B521" t="inlineStr">
        <is>
          <t>119009671</t>
        </is>
      </c>
      <c r="C521" t="inlineStr">
        <is>
          <t>HFX WOMENS INSULATED PANT- PLUS</t>
        </is>
      </c>
      <c r="D521" t="inlineStr">
        <is>
          <t>WHT</t>
        </is>
      </c>
      <c r="E521" t="inlineStr">
        <is>
          <t>(en blanco)</t>
        </is>
      </c>
      <c r="F521" t="inlineStr">
        <is>
          <t>(en blanco)</t>
        </is>
      </c>
      <c r="G521" t="inlineStr">
        <is>
          <t>2X</t>
        </is>
      </c>
      <c r="H521" t="n">
        <v>43</v>
      </c>
      <c r="I521" t="inlineStr">
        <is>
          <t>HALIFAX_WOMENS_119009671_WHT_1.jpg</t>
        </is>
      </c>
      <c r="J521" t="inlineStr">
        <is>
          <t>HALIFAX_WOMENS_119009671_WHT_2.jpg</t>
        </is>
      </c>
      <c r="K521" t="inlineStr">
        <is>
          <t>HALIFAX_WOMENS_119009671_WHT_3.jpg</t>
        </is>
      </c>
      <c r="L521">
        <f>IMAGE("file:///E:/Estudios%20y%20certificaciones/ESTUDIOS%20DE%20PROGRAMMING/PROGRAMMING/PERSONAL/PYTHON/Image_Generator_API/imagenes/HALIFAX_WOMENS_119009671_WHT_1.jpg")</f>
        <v/>
      </c>
      <c r="M521">
        <f>IMAGE("file:///E:/Estudios%20y%20certificaciones/ESTUDIOS%20DE%20PROGRAMMING/PROGRAMMING/PERSONAL/PYTHON/Image_Generator_API/imagenes/HALIFAX_WOMENS_119009671_WHT_2.jpg")</f>
        <v/>
      </c>
      <c r="N521">
        <f>IMAGE("file:///E:/Estudios%20y%20certificaciones/ESTUDIOS%20DE%20PROGRAMMING/PROGRAMMING/PERSONAL/PYTHON/Image_Generator_API/imagenes/HALIFAX_WOMENS_119009671_WHT_3.jpg")</f>
        <v/>
      </c>
      <c r="O521">
        <f>HYPERLINK("imagenes/HALIFAX_WOMENS_119009671_WHT_1.jpg","Ver imagen")</f>
        <v/>
      </c>
      <c r="P521">
        <f>HYPERLINK("imagenes/HALIFAX_WOMENS_119009671_WHT_2.jpg","Ver imagen")</f>
        <v/>
      </c>
      <c r="Q521">
        <f>HYPERLINK("imagenes/HALIFAX_WOMENS_119009671_WHT_3.jpg","Ver imagen")</f>
        <v/>
      </c>
    </row>
    <row r="522">
      <c r="A522" t="inlineStr">
        <is>
          <t>HALIFAX WOMENS</t>
        </is>
      </c>
      <c r="B522" t="inlineStr">
        <is>
          <t>119009671</t>
        </is>
      </c>
      <c r="C522" t="inlineStr">
        <is>
          <t>HFX WOMENS INSULATED PANT- PLUS</t>
        </is>
      </c>
      <c r="D522" t="inlineStr">
        <is>
          <t>WHT</t>
        </is>
      </c>
      <c r="E522" t="inlineStr">
        <is>
          <t>(en blanco)</t>
        </is>
      </c>
      <c r="F522" t="inlineStr">
        <is>
          <t>(en blanco)</t>
        </is>
      </c>
      <c r="G522" t="inlineStr">
        <is>
          <t>3X</t>
        </is>
      </c>
      <c r="H522" t="n">
        <v>7</v>
      </c>
      <c r="I522" t="inlineStr">
        <is>
          <t>HALIFAX_WOMENS_119009671_WHT_1.jpg</t>
        </is>
      </c>
      <c r="J522" t="inlineStr">
        <is>
          <t>HALIFAX_WOMENS_119009671_WHT_2.jpg</t>
        </is>
      </c>
      <c r="K522" t="inlineStr">
        <is>
          <t>HALIFAX_WOMENS_119009671_WHT_3.jpg</t>
        </is>
      </c>
      <c r="L522">
        <f>IMAGE("file:///E:/Estudios%20y%20certificaciones/ESTUDIOS%20DE%20PROGRAMMING/PROGRAMMING/PERSONAL/PYTHON/Image_Generator_API/imagenes/HALIFAX_WOMENS_119009671_WHT_1.jpg")</f>
        <v/>
      </c>
      <c r="M522">
        <f>IMAGE("file:///E:/Estudios%20y%20certificaciones/ESTUDIOS%20DE%20PROGRAMMING/PROGRAMMING/PERSONAL/PYTHON/Image_Generator_API/imagenes/HALIFAX_WOMENS_119009671_WHT_2.jpg")</f>
        <v/>
      </c>
      <c r="N522">
        <f>IMAGE("file:///E:/Estudios%20y%20certificaciones/ESTUDIOS%20DE%20PROGRAMMING/PROGRAMMING/PERSONAL/PYTHON/Image_Generator_API/imagenes/HALIFAX_WOMENS_119009671_WHT_3.jpg")</f>
        <v/>
      </c>
      <c r="O522">
        <f>HYPERLINK("imagenes/HALIFAX_WOMENS_119009671_WHT_1.jpg","Ver imagen")</f>
        <v/>
      </c>
      <c r="P522">
        <f>HYPERLINK("imagenes/HALIFAX_WOMENS_119009671_WHT_2.jpg","Ver imagen")</f>
        <v/>
      </c>
      <c r="Q522">
        <f>HYPERLINK("imagenes/HALIFAX_WOMENS_119009671_WHT_3.jpg","Ver imagen")</f>
        <v/>
      </c>
    </row>
    <row r="523">
      <c r="A523" t="inlineStr">
        <is>
          <t>HALIFAX WOMENS</t>
        </is>
      </c>
      <c r="B523" t="inlineStr">
        <is>
          <t>119009672</t>
        </is>
      </c>
      <c r="C523" t="inlineStr">
        <is>
          <t>HFX WOMENS INSULATED BIB- PLUS</t>
        </is>
      </c>
      <c r="D523" t="inlineStr">
        <is>
          <t>BLK</t>
        </is>
      </c>
      <c r="E523" t="inlineStr">
        <is>
          <t>(en blanco)</t>
        </is>
      </c>
      <c r="F523" t="inlineStr">
        <is>
          <t>(en blanco)</t>
        </is>
      </c>
      <c r="G523" t="inlineStr">
        <is>
          <t>1X</t>
        </is>
      </c>
      <c r="H523" t="n">
        <v>237</v>
      </c>
      <c r="I523" t="inlineStr">
        <is>
          <t>HALIFAX_WOMENS_119009672_BLK_1.jpg</t>
        </is>
      </c>
      <c r="J523" t="inlineStr">
        <is>
          <t>HALIFAX_WOMENS_119009672_BLK_2.jpg</t>
        </is>
      </c>
      <c r="K523" t="inlineStr">
        <is>
          <t>HALIFAX_WOMENS_119009672_BLK_3.jpg</t>
        </is>
      </c>
      <c r="L523">
        <f>IMAGE("file:///E:/Estudios%20y%20certificaciones/ESTUDIOS%20DE%20PROGRAMMING/PROGRAMMING/PERSONAL/PYTHON/Image_Generator_API/imagenes/HALIFAX_WOMENS_119009672_BLK_1.jpg")</f>
        <v/>
      </c>
      <c r="M523">
        <f>IMAGE("file:///E:/Estudios%20y%20certificaciones/ESTUDIOS%20DE%20PROGRAMMING/PROGRAMMING/PERSONAL/PYTHON/Image_Generator_API/imagenes/HALIFAX_WOMENS_119009672_BLK_2.jpg")</f>
        <v/>
      </c>
      <c r="N523">
        <f>IMAGE("file:///E:/Estudios%20y%20certificaciones/ESTUDIOS%20DE%20PROGRAMMING/PROGRAMMING/PERSONAL/PYTHON/Image_Generator_API/imagenes/HALIFAX_WOMENS_119009672_BLK_3.jpg")</f>
        <v/>
      </c>
      <c r="O523">
        <f>HYPERLINK("imagenes/HALIFAX_WOMENS_119009672_BLK_1.jpg","Ver imagen")</f>
        <v/>
      </c>
      <c r="P523">
        <f>HYPERLINK("imagenes/HALIFAX_WOMENS_119009672_BLK_2.jpg","Ver imagen")</f>
        <v/>
      </c>
      <c r="Q523">
        <f>HYPERLINK("imagenes/HALIFAX_WOMENS_119009672_BLK_3.jpg","Ver imagen")</f>
        <v/>
      </c>
    </row>
    <row r="524">
      <c r="A524" t="inlineStr">
        <is>
          <t>HALIFAX WOMENS</t>
        </is>
      </c>
      <c r="B524" t="inlineStr">
        <is>
          <t>119009672</t>
        </is>
      </c>
      <c r="C524" t="inlineStr">
        <is>
          <t>HFX WOMENS INSULATED BIB- PLUS</t>
        </is>
      </c>
      <c r="D524" t="inlineStr">
        <is>
          <t>BLK</t>
        </is>
      </c>
      <c r="E524" t="inlineStr">
        <is>
          <t>(en blanco)</t>
        </is>
      </c>
      <c r="F524" t="inlineStr">
        <is>
          <t>(en blanco)</t>
        </is>
      </c>
      <c r="G524" t="inlineStr">
        <is>
          <t>2X</t>
        </is>
      </c>
      <c r="H524" t="n">
        <v>165</v>
      </c>
      <c r="I524" t="inlineStr">
        <is>
          <t>HALIFAX_WOMENS_119009672_BLK_1.jpg</t>
        </is>
      </c>
      <c r="J524" t="inlineStr">
        <is>
          <t>HALIFAX_WOMENS_119009672_BLK_2.jpg</t>
        </is>
      </c>
      <c r="K524" t="inlineStr">
        <is>
          <t>HALIFAX_WOMENS_119009672_BLK_3.jpg</t>
        </is>
      </c>
      <c r="L524">
        <f>IMAGE("file:///E:/Estudios%20y%20certificaciones/ESTUDIOS%20DE%20PROGRAMMING/PROGRAMMING/PERSONAL/PYTHON/Image_Generator_API/imagenes/HALIFAX_WOMENS_119009672_BLK_1.jpg")</f>
        <v/>
      </c>
      <c r="M524">
        <f>IMAGE("file:///E:/Estudios%20y%20certificaciones/ESTUDIOS%20DE%20PROGRAMMING/PROGRAMMING/PERSONAL/PYTHON/Image_Generator_API/imagenes/HALIFAX_WOMENS_119009672_BLK_2.jpg")</f>
        <v/>
      </c>
      <c r="N524">
        <f>IMAGE("file:///E:/Estudios%20y%20certificaciones/ESTUDIOS%20DE%20PROGRAMMING/PROGRAMMING/PERSONAL/PYTHON/Image_Generator_API/imagenes/HALIFAX_WOMENS_119009672_BLK_3.jpg")</f>
        <v/>
      </c>
      <c r="O524">
        <f>HYPERLINK("imagenes/HALIFAX_WOMENS_119009672_BLK_1.jpg","Ver imagen")</f>
        <v/>
      </c>
      <c r="P524">
        <f>HYPERLINK("imagenes/HALIFAX_WOMENS_119009672_BLK_2.jpg","Ver imagen")</f>
        <v/>
      </c>
      <c r="Q524">
        <f>HYPERLINK("imagenes/HALIFAX_WOMENS_119009672_BLK_3.jpg","Ver imagen")</f>
        <v/>
      </c>
    </row>
    <row r="525">
      <c r="A525" t="inlineStr">
        <is>
          <t>HALIFAX WOMENS</t>
        </is>
      </c>
      <c r="B525" t="inlineStr">
        <is>
          <t>119009672</t>
        </is>
      </c>
      <c r="C525" t="inlineStr">
        <is>
          <t>HFX WOMENS INSULATED BIB- PLUS</t>
        </is>
      </c>
      <c r="D525" t="inlineStr">
        <is>
          <t>BLK</t>
        </is>
      </c>
      <c r="E525" t="inlineStr">
        <is>
          <t>(en blanco)</t>
        </is>
      </c>
      <c r="F525" t="inlineStr">
        <is>
          <t>(en blanco)</t>
        </is>
      </c>
      <c r="G525" t="inlineStr">
        <is>
          <t>3X</t>
        </is>
      </c>
      <c r="H525" t="n">
        <v>81</v>
      </c>
      <c r="I525" t="inlineStr">
        <is>
          <t>HALIFAX_WOMENS_119009672_BLK_1.jpg</t>
        </is>
      </c>
      <c r="J525" t="inlineStr">
        <is>
          <t>HALIFAX_WOMENS_119009672_BLK_2.jpg</t>
        </is>
      </c>
      <c r="K525" t="inlineStr">
        <is>
          <t>HALIFAX_WOMENS_119009672_BLK_3.jpg</t>
        </is>
      </c>
      <c r="L525">
        <f>IMAGE("file:///E:/Estudios%20y%20certificaciones/ESTUDIOS%20DE%20PROGRAMMING/PROGRAMMING/PERSONAL/PYTHON/Image_Generator_API/imagenes/HALIFAX_WOMENS_119009672_BLK_1.jpg")</f>
        <v/>
      </c>
      <c r="M525">
        <f>IMAGE("file:///E:/Estudios%20y%20certificaciones/ESTUDIOS%20DE%20PROGRAMMING/PROGRAMMING/PERSONAL/PYTHON/Image_Generator_API/imagenes/HALIFAX_WOMENS_119009672_BLK_2.jpg")</f>
        <v/>
      </c>
      <c r="N525">
        <f>IMAGE("file:///E:/Estudios%20y%20certificaciones/ESTUDIOS%20DE%20PROGRAMMING/PROGRAMMING/PERSONAL/PYTHON/Image_Generator_API/imagenes/HALIFAX_WOMENS_119009672_BLK_3.jpg")</f>
        <v/>
      </c>
      <c r="O525">
        <f>HYPERLINK("imagenes/HALIFAX_WOMENS_119009672_BLK_1.jpg","Ver imagen")</f>
        <v/>
      </c>
      <c r="P525">
        <f>HYPERLINK("imagenes/HALIFAX_WOMENS_119009672_BLK_2.jpg","Ver imagen")</f>
        <v/>
      </c>
      <c r="Q525">
        <f>HYPERLINK("imagenes/HALIFAX_WOMENS_119009672_BLK_3.jpg","Ver imagen")</f>
        <v/>
      </c>
    </row>
    <row r="526">
      <c r="A526" t="inlineStr">
        <is>
          <t>HALIFAX WOMENS</t>
        </is>
      </c>
      <c r="B526" t="inlineStr">
        <is>
          <t>119009672</t>
        </is>
      </c>
      <c r="C526" t="inlineStr">
        <is>
          <t>HFX WOMENS INSULATED BIB- PLUS</t>
        </is>
      </c>
      <c r="D526" t="inlineStr">
        <is>
          <t>GEY</t>
        </is>
      </c>
      <c r="E526" t="inlineStr">
        <is>
          <t>(en blanco)</t>
        </is>
      </c>
      <c r="F526" t="inlineStr">
        <is>
          <t>(en blanco)</t>
        </is>
      </c>
      <c r="G526" t="inlineStr">
        <is>
          <t>1X</t>
        </is>
      </c>
      <c r="H526" t="n">
        <v>38</v>
      </c>
      <c r="I526" t="inlineStr">
        <is>
          <t>HALIFAX_WOMENS_119009672_GEY_1.jpg</t>
        </is>
      </c>
      <c r="J526" t="inlineStr">
        <is>
          <t>HALIFAX_WOMENS_119009672_GEY_2.jpg</t>
        </is>
      </c>
      <c r="K526" t="inlineStr">
        <is>
          <t>HALIFAX_WOMENS_119009672_GEY_3.jpg</t>
        </is>
      </c>
      <c r="L526">
        <f>IMAGE("file:///E:/Estudios%20y%20certificaciones/ESTUDIOS%20DE%20PROGRAMMING/PROGRAMMING/PERSONAL/PYTHON/Image_Generator_API/imagenes/HALIFAX_WOMENS_119009672_GEY_1.jpg")</f>
        <v/>
      </c>
      <c r="M526">
        <f>IMAGE("file:///E:/Estudios%20y%20certificaciones/ESTUDIOS%20DE%20PROGRAMMING/PROGRAMMING/PERSONAL/PYTHON/Image_Generator_API/imagenes/HALIFAX_WOMENS_119009672_GEY_2.jpg")</f>
        <v/>
      </c>
      <c r="N526">
        <f>IMAGE("file:///E:/Estudios%20y%20certificaciones/ESTUDIOS%20DE%20PROGRAMMING/PROGRAMMING/PERSONAL/PYTHON/Image_Generator_API/imagenes/HALIFAX_WOMENS_119009672_GEY_3.jpg")</f>
        <v/>
      </c>
      <c r="O526">
        <f>HYPERLINK("imagenes/HALIFAX_WOMENS_119009672_GEY_1.jpg","Ver imagen")</f>
        <v/>
      </c>
      <c r="P526">
        <f>HYPERLINK("imagenes/HALIFAX_WOMENS_119009672_GEY_2.jpg","Ver imagen")</f>
        <v/>
      </c>
      <c r="Q526">
        <f>HYPERLINK("imagenes/HALIFAX_WOMENS_119009672_GEY_3.jpg","Ver imagen")</f>
        <v/>
      </c>
    </row>
    <row r="527">
      <c r="A527" t="inlineStr">
        <is>
          <t>HALIFAX WOMENS</t>
        </is>
      </c>
      <c r="B527" t="inlineStr">
        <is>
          <t>119009672</t>
        </is>
      </c>
      <c r="C527" t="inlineStr">
        <is>
          <t>HFX WOMENS INSULATED BIB- PLUS</t>
        </is>
      </c>
      <c r="D527" t="inlineStr">
        <is>
          <t>GEY</t>
        </is>
      </c>
      <c r="E527" t="inlineStr">
        <is>
          <t>(en blanco)</t>
        </is>
      </c>
      <c r="F527" t="inlineStr">
        <is>
          <t>(en blanco)</t>
        </is>
      </c>
      <c r="G527" t="inlineStr">
        <is>
          <t>2X</t>
        </is>
      </c>
      <c r="H527" t="n">
        <v>9</v>
      </c>
      <c r="I527" t="inlineStr">
        <is>
          <t>HALIFAX_WOMENS_119009672_GEY_1.jpg</t>
        </is>
      </c>
      <c r="J527" t="inlineStr">
        <is>
          <t>HALIFAX_WOMENS_119009672_GEY_2.jpg</t>
        </is>
      </c>
      <c r="K527" t="inlineStr">
        <is>
          <t>HALIFAX_WOMENS_119009672_GEY_3.jpg</t>
        </is>
      </c>
      <c r="L527">
        <f>IMAGE("file:///E:/Estudios%20y%20certificaciones/ESTUDIOS%20DE%20PROGRAMMING/PROGRAMMING/PERSONAL/PYTHON/Image_Generator_API/imagenes/HALIFAX_WOMENS_119009672_GEY_1.jpg")</f>
        <v/>
      </c>
      <c r="M527">
        <f>IMAGE("file:///E:/Estudios%20y%20certificaciones/ESTUDIOS%20DE%20PROGRAMMING/PROGRAMMING/PERSONAL/PYTHON/Image_Generator_API/imagenes/HALIFAX_WOMENS_119009672_GEY_2.jpg")</f>
        <v/>
      </c>
      <c r="N527">
        <f>IMAGE("file:///E:/Estudios%20y%20certificaciones/ESTUDIOS%20DE%20PROGRAMMING/PROGRAMMING/PERSONAL/PYTHON/Image_Generator_API/imagenes/HALIFAX_WOMENS_119009672_GEY_3.jpg")</f>
        <v/>
      </c>
      <c r="O527">
        <f>HYPERLINK("imagenes/HALIFAX_WOMENS_119009672_GEY_1.jpg","Ver imagen")</f>
        <v/>
      </c>
      <c r="P527">
        <f>HYPERLINK("imagenes/HALIFAX_WOMENS_119009672_GEY_2.jpg","Ver imagen")</f>
        <v/>
      </c>
      <c r="Q527">
        <f>HYPERLINK("imagenes/HALIFAX_WOMENS_119009672_GEY_3.jpg","Ver imagen")</f>
        <v/>
      </c>
    </row>
    <row r="528">
      <c r="A528" t="inlineStr">
        <is>
          <t>HALIFAX WOMENS</t>
        </is>
      </c>
      <c r="B528" t="inlineStr">
        <is>
          <t>119009672</t>
        </is>
      </c>
      <c r="C528" t="inlineStr">
        <is>
          <t>HFX WOMENS INSULATED BIB- PLUS</t>
        </is>
      </c>
      <c r="D528" t="inlineStr">
        <is>
          <t>GEY</t>
        </is>
      </c>
      <c r="E528" t="inlineStr">
        <is>
          <t>(en blanco)</t>
        </is>
      </c>
      <c r="F528" t="inlineStr">
        <is>
          <t>(en blanco)</t>
        </is>
      </c>
      <c r="G528" t="inlineStr">
        <is>
          <t>3X</t>
        </is>
      </c>
      <c r="H528" t="n">
        <v>9</v>
      </c>
      <c r="I528" t="inlineStr">
        <is>
          <t>HALIFAX_WOMENS_119009672_GEY_1.jpg</t>
        </is>
      </c>
      <c r="J528" t="inlineStr">
        <is>
          <t>HALIFAX_WOMENS_119009672_GEY_2.jpg</t>
        </is>
      </c>
      <c r="K528" t="inlineStr">
        <is>
          <t>HALIFAX_WOMENS_119009672_GEY_3.jpg</t>
        </is>
      </c>
      <c r="L528">
        <f>IMAGE("file:///E:/Estudios%20y%20certificaciones/ESTUDIOS%20DE%20PROGRAMMING/PROGRAMMING/PERSONAL/PYTHON/Image_Generator_API/imagenes/HALIFAX_WOMENS_119009672_GEY_1.jpg")</f>
        <v/>
      </c>
      <c r="M528">
        <f>IMAGE("file:///E:/Estudios%20y%20certificaciones/ESTUDIOS%20DE%20PROGRAMMING/PROGRAMMING/PERSONAL/PYTHON/Image_Generator_API/imagenes/HALIFAX_WOMENS_119009672_GEY_2.jpg")</f>
        <v/>
      </c>
      <c r="N528">
        <f>IMAGE("file:///E:/Estudios%20y%20certificaciones/ESTUDIOS%20DE%20PROGRAMMING/PROGRAMMING/PERSONAL/PYTHON/Image_Generator_API/imagenes/HALIFAX_WOMENS_119009672_GEY_3.jpg")</f>
        <v/>
      </c>
      <c r="O528">
        <f>HYPERLINK("imagenes/HALIFAX_WOMENS_119009672_GEY_1.jpg","Ver imagen")</f>
        <v/>
      </c>
      <c r="P528">
        <f>HYPERLINK("imagenes/HALIFAX_WOMENS_119009672_GEY_2.jpg","Ver imagen")</f>
        <v/>
      </c>
      <c r="Q528">
        <f>HYPERLINK("imagenes/HALIFAX_WOMENS_119009672_GEY_3.jpg","Ver imagen")</f>
        <v/>
      </c>
    </row>
    <row r="529">
      <c r="A529" t="inlineStr">
        <is>
          <t>HALIFAX WOMENS</t>
        </is>
      </c>
      <c r="B529" t="inlineStr">
        <is>
          <t>119009672</t>
        </is>
      </c>
      <c r="C529" t="inlineStr">
        <is>
          <t>HFX WOMENS INSULATED BIB- PLUS</t>
        </is>
      </c>
      <c r="D529" t="inlineStr">
        <is>
          <t>WHT</t>
        </is>
      </c>
      <c r="E529" t="inlineStr">
        <is>
          <t>(en blanco)</t>
        </is>
      </c>
      <c r="F529" t="inlineStr">
        <is>
          <t>(en blanco)</t>
        </is>
      </c>
      <c r="G529" t="inlineStr">
        <is>
          <t>1X</t>
        </is>
      </c>
      <c r="H529" t="n">
        <v>33</v>
      </c>
      <c r="I529" t="inlineStr">
        <is>
          <t>HALIFAX_WOMENS_119009672_WHT_1.jpg</t>
        </is>
      </c>
      <c r="J529" t="inlineStr">
        <is>
          <t>HALIFAX_WOMENS_119009672_WHT_2.jpg</t>
        </is>
      </c>
      <c r="K529" t="inlineStr">
        <is>
          <t>HALIFAX_WOMENS_119009672_WHT_3.jpg</t>
        </is>
      </c>
      <c r="L529">
        <f>IMAGE("file:///E:/Estudios%20y%20certificaciones/ESTUDIOS%20DE%20PROGRAMMING/PROGRAMMING/PERSONAL/PYTHON/Image_Generator_API/imagenes/HALIFAX_WOMENS_119009672_WHT_1.jpg")</f>
        <v/>
      </c>
      <c r="M529">
        <f>IMAGE("file:///E:/Estudios%20y%20certificaciones/ESTUDIOS%20DE%20PROGRAMMING/PROGRAMMING/PERSONAL/PYTHON/Image_Generator_API/imagenes/HALIFAX_WOMENS_119009672_WHT_2.jpg")</f>
        <v/>
      </c>
      <c r="N529">
        <f>IMAGE("file:///E:/Estudios%20y%20certificaciones/ESTUDIOS%20DE%20PROGRAMMING/PROGRAMMING/PERSONAL/PYTHON/Image_Generator_API/imagenes/HALIFAX_WOMENS_119009672_WHT_3.jpg")</f>
        <v/>
      </c>
      <c r="O529">
        <f>HYPERLINK("imagenes/HALIFAX_WOMENS_119009672_WHT_1.jpg","Ver imagen")</f>
        <v/>
      </c>
      <c r="P529">
        <f>HYPERLINK("imagenes/HALIFAX_WOMENS_119009672_WHT_2.jpg","Ver imagen")</f>
        <v/>
      </c>
      <c r="Q529">
        <f>HYPERLINK("imagenes/HALIFAX_WOMENS_119009672_WHT_3.jpg","Ver imagen")</f>
        <v/>
      </c>
    </row>
    <row r="530">
      <c r="A530" t="inlineStr">
        <is>
          <t>HALIFAX WOMENS</t>
        </is>
      </c>
      <c r="B530" t="inlineStr">
        <is>
          <t>119009672</t>
        </is>
      </c>
      <c r="C530" t="inlineStr">
        <is>
          <t>HFX WOMENS INSULATED BIB- PLUS</t>
        </is>
      </c>
      <c r="D530" t="inlineStr">
        <is>
          <t>WHT</t>
        </is>
      </c>
      <c r="E530" t="inlineStr">
        <is>
          <t>(en blanco)</t>
        </is>
      </c>
      <c r="F530" t="inlineStr">
        <is>
          <t>(en blanco)</t>
        </is>
      </c>
      <c r="G530" t="inlineStr">
        <is>
          <t>2X</t>
        </is>
      </c>
      <c r="H530" t="n">
        <v>9</v>
      </c>
      <c r="I530" t="inlineStr">
        <is>
          <t>HALIFAX_WOMENS_119009672_WHT_1.jpg</t>
        </is>
      </c>
      <c r="J530" t="inlineStr">
        <is>
          <t>HALIFAX_WOMENS_119009672_WHT_2.jpg</t>
        </is>
      </c>
      <c r="K530" t="inlineStr">
        <is>
          <t>HALIFAX_WOMENS_119009672_WHT_3.jpg</t>
        </is>
      </c>
      <c r="L530">
        <f>IMAGE("file:///E:/Estudios%20y%20certificaciones/ESTUDIOS%20DE%20PROGRAMMING/PROGRAMMING/PERSONAL/PYTHON/Image_Generator_API/imagenes/HALIFAX_WOMENS_119009672_WHT_1.jpg")</f>
        <v/>
      </c>
      <c r="M530">
        <f>IMAGE("file:///E:/Estudios%20y%20certificaciones/ESTUDIOS%20DE%20PROGRAMMING/PROGRAMMING/PERSONAL/PYTHON/Image_Generator_API/imagenes/HALIFAX_WOMENS_119009672_WHT_2.jpg")</f>
        <v/>
      </c>
      <c r="N530">
        <f>IMAGE("file:///E:/Estudios%20y%20certificaciones/ESTUDIOS%20DE%20PROGRAMMING/PROGRAMMING/PERSONAL/PYTHON/Image_Generator_API/imagenes/HALIFAX_WOMENS_119009672_WHT_3.jpg")</f>
        <v/>
      </c>
      <c r="O530">
        <f>HYPERLINK("imagenes/HALIFAX_WOMENS_119009672_WHT_1.jpg","Ver imagen")</f>
        <v/>
      </c>
      <c r="P530">
        <f>HYPERLINK("imagenes/HALIFAX_WOMENS_119009672_WHT_2.jpg","Ver imagen")</f>
        <v/>
      </c>
      <c r="Q530">
        <f>HYPERLINK("imagenes/HALIFAX_WOMENS_119009672_WHT_3.jpg","Ver imagen")</f>
        <v/>
      </c>
    </row>
    <row r="531">
      <c r="A531" t="inlineStr">
        <is>
          <t>HALIFAX WOMENS</t>
        </is>
      </c>
      <c r="B531" t="inlineStr">
        <is>
          <t>119009672</t>
        </is>
      </c>
      <c r="C531" t="inlineStr">
        <is>
          <t>HFX WOMENS INSULATED BIB- PLUS</t>
        </is>
      </c>
      <c r="D531" t="inlineStr">
        <is>
          <t>WHT</t>
        </is>
      </c>
      <c r="E531" t="inlineStr">
        <is>
          <t>(en blanco)</t>
        </is>
      </c>
      <c r="F531" t="inlineStr">
        <is>
          <t>(en blanco)</t>
        </is>
      </c>
      <c r="G531" t="inlineStr">
        <is>
          <t>3X</t>
        </is>
      </c>
      <c r="H531" t="n">
        <v>9</v>
      </c>
      <c r="I531" t="inlineStr">
        <is>
          <t>HALIFAX_WOMENS_119009672_WHT_1.jpg</t>
        </is>
      </c>
      <c r="J531" t="inlineStr">
        <is>
          <t>HALIFAX_WOMENS_119009672_WHT_2.jpg</t>
        </is>
      </c>
      <c r="K531" t="inlineStr">
        <is>
          <t>HALIFAX_WOMENS_119009672_WHT_3.jpg</t>
        </is>
      </c>
      <c r="L531">
        <f>IMAGE("file:///E:/Estudios%20y%20certificaciones/ESTUDIOS%20DE%20PROGRAMMING/PROGRAMMING/PERSONAL/PYTHON/Image_Generator_API/imagenes/HALIFAX_WOMENS_119009672_WHT_1.jpg")</f>
        <v/>
      </c>
      <c r="M531">
        <f>IMAGE("file:///E:/Estudios%20y%20certificaciones/ESTUDIOS%20DE%20PROGRAMMING/PROGRAMMING/PERSONAL/PYTHON/Image_Generator_API/imagenes/HALIFAX_WOMENS_119009672_WHT_2.jpg")</f>
        <v/>
      </c>
      <c r="N531">
        <f>IMAGE("file:///E:/Estudios%20y%20certificaciones/ESTUDIOS%20DE%20PROGRAMMING/PROGRAMMING/PERSONAL/PYTHON/Image_Generator_API/imagenes/HALIFAX_WOMENS_119009672_WHT_3.jpg")</f>
        <v/>
      </c>
      <c r="O531">
        <f>HYPERLINK("imagenes/HALIFAX_WOMENS_119009672_WHT_1.jpg","Ver imagen")</f>
        <v/>
      </c>
      <c r="P531">
        <f>HYPERLINK("imagenes/HALIFAX_WOMENS_119009672_WHT_2.jpg","Ver imagen")</f>
        <v/>
      </c>
      <c r="Q531">
        <f>HYPERLINK("imagenes/HALIFAX_WOMENS_119009672_WHT_3.jpg","Ver imagen")</f>
        <v/>
      </c>
    </row>
    <row r="532">
      <c r="A532" t="inlineStr">
        <is>
          <t>HALIFAX WOMENS</t>
        </is>
      </c>
      <c r="B532" t="inlineStr">
        <is>
          <t>119009992</t>
        </is>
      </c>
      <c r="C532" t="inlineStr">
        <is>
          <t>Mist Apres Ski Jacket</t>
        </is>
      </c>
      <c r="D532" t="inlineStr">
        <is>
          <t>ADR</t>
        </is>
      </c>
      <c r="E532" t="inlineStr">
        <is>
          <t>06A01</t>
        </is>
      </c>
      <c r="F532" t="inlineStr">
        <is>
          <t>(en blanco)</t>
        </is>
      </c>
      <c r="G532" t="inlineStr">
        <is>
          <t>PPK</t>
        </is>
      </c>
      <c r="H532" t="n">
        <v>342</v>
      </c>
      <c r="I532" t="inlineStr">
        <is>
          <t>HALIFAX_WOMENS_119009992_ADR_1.jpg</t>
        </is>
      </c>
      <c r="J532" t="inlineStr">
        <is>
          <t>HALIFAX_WOMENS_119009992_ADR_2.jpg</t>
        </is>
      </c>
      <c r="K532" t="inlineStr">
        <is>
          <t>HALIFAX_WOMENS_119009992_ADR_3.jpg</t>
        </is>
      </c>
      <c r="L532">
        <f>IMAGE("file:///E:/Estudios%20y%20certificaciones/ESTUDIOS%20DE%20PROGRAMMING/PROGRAMMING/PERSONAL/PYTHON/Image_Generator_API/imagenes/HALIFAX_WOMENS_119009992_ADR_1.jpg")</f>
        <v/>
      </c>
      <c r="M532">
        <f>IMAGE("file:///E:/Estudios%20y%20certificaciones/ESTUDIOS%20DE%20PROGRAMMING/PROGRAMMING/PERSONAL/PYTHON/Image_Generator_API/imagenes/HALIFAX_WOMENS_119009992_ADR_2.jpg")</f>
        <v/>
      </c>
      <c r="N532">
        <f>IMAGE("file:///E:/Estudios%20y%20certificaciones/ESTUDIOS%20DE%20PROGRAMMING/PROGRAMMING/PERSONAL/PYTHON/Image_Generator_API/imagenes/HALIFAX_WOMENS_119009992_ADR_3.jpg")</f>
        <v/>
      </c>
      <c r="O532">
        <f>HYPERLINK("imagenes/HALIFAX_WOMENS_119009992_ADR_1.jpg","Ver imagen")</f>
        <v/>
      </c>
      <c r="P532">
        <f>HYPERLINK("imagenes/HALIFAX_WOMENS_119009992_ADR_2.jpg","Ver imagen")</f>
        <v/>
      </c>
      <c r="Q532">
        <f>HYPERLINK("imagenes/HALIFAX_WOMENS_119009992_ADR_3.jpg","Ver imagen")</f>
        <v/>
      </c>
    </row>
    <row r="533">
      <c r="A533" t="inlineStr">
        <is>
          <t>HALIFAX WOMENS</t>
        </is>
      </c>
      <c r="B533" t="inlineStr">
        <is>
          <t>119009992</t>
        </is>
      </c>
      <c r="C533" t="inlineStr">
        <is>
          <t>Mist Apres Ski Jacket</t>
        </is>
      </c>
      <c r="D533" t="inlineStr">
        <is>
          <t>ADR</t>
        </is>
      </c>
      <c r="E533" t="inlineStr">
        <is>
          <t>(en blanco)</t>
        </is>
      </c>
      <c r="F533" t="inlineStr">
        <is>
          <t>(en blanco)</t>
        </is>
      </c>
      <c r="G533" t="inlineStr">
        <is>
          <t>S</t>
        </is>
      </c>
      <c r="H533" t="n">
        <v>8</v>
      </c>
      <c r="I533" t="inlineStr">
        <is>
          <t>HALIFAX_WOMENS_119009992_ADR_1.jpg</t>
        </is>
      </c>
      <c r="J533" t="inlineStr">
        <is>
          <t>HALIFAX_WOMENS_119009992_ADR_2.jpg</t>
        </is>
      </c>
      <c r="K533" t="inlineStr">
        <is>
          <t>HALIFAX_WOMENS_119009992_ADR_3.jpg</t>
        </is>
      </c>
      <c r="L533">
        <f>IMAGE("file:///E:/Estudios%20y%20certificaciones/ESTUDIOS%20DE%20PROGRAMMING/PROGRAMMING/PERSONAL/PYTHON/Image_Generator_API/imagenes/HALIFAX_WOMENS_119009992_ADR_1.jpg")</f>
        <v/>
      </c>
      <c r="M533">
        <f>IMAGE("file:///E:/Estudios%20y%20certificaciones/ESTUDIOS%20DE%20PROGRAMMING/PROGRAMMING/PERSONAL/PYTHON/Image_Generator_API/imagenes/HALIFAX_WOMENS_119009992_ADR_2.jpg")</f>
        <v/>
      </c>
      <c r="N533">
        <f>IMAGE("file:///E:/Estudios%20y%20certificaciones/ESTUDIOS%20DE%20PROGRAMMING/PROGRAMMING/PERSONAL/PYTHON/Image_Generator_API/imagenes/HALIFAX_WOMENS_119009992_ADR_3.jpg")</f>
        <v/>
      </c>
      <c r="O533">
        <f>HYPERLINK("imagenes/HALIFAX_WOMENS_119009992_ADR_1.jpg","Ver imagen")</f>
        <v/>
      </c>
      <c r="P533">
        <f>HYPERLINK("imagenes/HALIFAX_WOMENS_119009992_ADR_2.jpg","Ver imagen")</f>
        <v/>
      </c>
      <c r="Q533">
        <f>HYPERLINK("imagenes/HALIFAX_WOMENS_119009992_ADR_3.jpg","Ver imagen")</f>
        <v/>
      </c>
    </row>
    <row r="534">
      <c r="A534" t="inlineStr">
        <is>
          <t>HALIFAX WOMENS</t>
        </is>
      </c>
      <c r="B534" t="inlineStr">
        <is>
          <t>119009992</t>
        </is>
      </c>
      <c r="C534" t="inlineStr">
        <is>
          <t>Mist Apres Ski Jacket</t>
        </is>
      </c>
      <c r="D534" t="inlineStr">
        <is>
          <t>ADR</t>
        </is>
      </c>
      <c r="E534" t="inlineStr">
        <is>
          <t>(en blanco)</t>
        </is>
      </c>
      <c r="F534" t="inlineStr">
        <is>
          <t>(en blanco)</t>
        </is>
      </c>
      <c r="G534" t="inlineStr">
        <is>
          <t>M</t>
        </is>
      </c>
      <c r="H534" t="n">
        <v>14</v>
      </c>
      <c r="I534" t="inlineStr">
        <is>
          <t>HALIFAX_WOMENS_119009992_ADR_1.jpg</t>
        </is>
      </c>
      <c r="J534" t="inlineStr">
        <is>
          <t>HALIFAX_WOMENS_119009992_ADR_2.jpg</t>
        </is>
      </c>
      <c r="K534" t="inlineStr">
        <is>
          <t>HALIFAX_WOMENS_119009992_ADR_3.jpg</t>
        </is>
      </c>
      <c r="L534">
        <f>IMAGE("file:///E:/Estudios%20y%20certificaciones/ESTUDIOS%20DE%20PROGRAMMING/PROGRAMMING/PERSONAL/PYTHON/Image_Generator_API/imagenes/HALIFAX_WOMENS_119009992_ADR_1.jpg")</f>
        <v/>
      </c>
      <c r="M534">
        <f>IMAGE("file:///E:/Estudios%20y%20certificaciones/ESTUDIOS%20DE%20PROGRAMMING/PROGRAMMING/PERSONAL/PYTHON/Image_Generator_API/imagenes/HALIFAX_WOMENS_119009992_ADR_2.jpg")</f>
        <v/>
      </c>
      <c r="N534">
        <f>IMAGE("file:///E:/Estudios%20y%20certificaciones/ESTUDIOS%20DE%20PROGRAMMING/PROGRAMMING/PERSONAL/PYTHON/Image_Generator_API/imagenes/HALIFAX_WOMENS_119009992_ADR_3.jpg")</f>
        <v/>
      </c>
      <c r="O534">
        <f>HYPERLINK("imagenes/HALIFAX_WOMENS_119009992_ADR_1.jpg","Ver imagen")</f>
        <v/>
      </c>
      <c r="P534">
        <f>HYPERLINK("imagenes/HALIFAX_WOMENS_119009992_ADR_2.jpg","Ver imagen")</f>
        <v/>
      </c>
      <c r="Q534">
        <f>HYPERLINK("imagenes/HALIFAX_WOMENS_119009992_ADR_3.jpg","Ver imagen")</f>
        <v/>
      </c>
    </row>
    <row r="535">
      <c r="A535" t="inlineStr">
        <is>
          <t>HALIFAX WOMENS</t>
        </is>
      </c>
      <c r="B535" t="inlineStr">
        <is>
          <t>119009992</t>
        </is>
      </c>
      <c r="C535" t="inlineStr">
        <is>
          <t>Mist Apres Ski Jacket</t>
        </is>
      </c>
      <c r="D535" t="inlineStr">
        <is>
          <t>ADR</t>
        </is>
      </c>
      <c r="E535" t="inlineStr">
        <is>
          <t>(en blanco)</t>
        </is>
      </c>
      <c r="F535" t="inlineStr">
        <is>
          <t>(en blanco)</t>
        </is>
      </c>
      <c r="G535" t="inlineStr">
        <is>
          <t>L</t>
        </is>
      </c>
      <c r="H535" t="n">
        <v>8</v>
      </c>
      <c r="I535" t="inlineStr">
        <is>
          <t>HALIFAX_WOMENS_119009992_ADR_1.jpg</t>
        </is>
      </c>
      <c r="J535" t="inlineStr">
        <is>
          <t>HALIFAX_WOMENS_119009992_ADR_2.jpg</t>
        </is>
      </c>
      <c r="K535" t="inlineStr">
        <is>
          <t>HALIFAX_WOMENS_119009992_ADR_3.jpg</t>
        </is>
      </c>
      <c r="L535">
        <f>IMAGE("file:///E:/Estudios%20y%20certificaciones/ESTUDIOS%20DE%20PROGRAMMING/PROGRAMMING/PERSONAL/PYTHON/Image_Generator_API/imagenes/HALIFAX_WOMENS_119009992_ADR_1.jpg")</f>
        <v/>
      </c>
      <c r="M535">
        <f>IMAGE("file:///E:/Estudios%20y%20certificaciones/ESTUDIOS%20DE%20PROGRAMMING/PROGRAMMING/PERSONAL/PYTHON/Image_Generator_API/imagenes/HALIFAX_WOMENS_119009992_ADR_2.jpg")</f>
        <v/>
      </c>
      <c r="N535">
        <f>IMAGE("file:///E:/Estudios%20y%20certificaciones/ESTUDIOS%20DE%20PROGRAMMING/PROGRAMMING/PERSONAL/PYTHON/Image_Generator_API/imagenes/HALIFAX_WOMENS_119009992_ADR_3.jpg")</f>
        <v/>
      </c>
      <c r="O535">
        <f>HYPERLINK("imagenes/HALIFAX_WOMENS_119009992_ADR_1.jpg","Ver imagen")</f>
        <v/>
      </c>
      <c r="P535">
        <f>HYPERLINK("imagenes/HALIFAX_WOMENS_119009992_ADR_2.jpg","Ver imagen")</f>
        <v/>
      </c>
      <c r="Q535">
        <f>HYPERLINK("imagenes/HALIFAX_WOMENS_119009992_ADR_3.jpg","Ver imagen")</f>
        <v/>
      </c>
    </row>
    <row r="536">
      <c r="A536" t="inlineStr">
        <is>
          <t>HALIFAX WOMENS</t>
        </is>
      </c>
      <c r="B536" t="inlineStr">
        <is>
          <t>119009992</t>
        </is>
      </c>
      <c r="C536" t="inlineStr">
        <is>
          <t>Mist Apres Ski Jacket</t>
        </is>
      </c>
      <c r="D536" t="inlineStr">
        <is>
          <t>ADR</t>
        </is>
      </c>
      <c r="E536" t="inlineStr">
        <is>
          <t>(en blanco)</t>
        </is>
      </c>
      <c r="F536" t="inlineStr">
        <is>
          <t>(en blanco)</t>
        </is>
      </c>
      <c r="G536" t="inlineStr">
        <is>
          <t>XL</t>
        </is>
      </c>
      <c r="H536" t="n">
        <v>3</v>
      </c>
      <c r="I536" t="inlineStr">
        <is>
          <t>HALIFAX_WOMENS_119009992_ADR_1.jpg</t>
        </is>
      </c>
      <c r="J536" t="inlineStr">
        <is>
          <t>HALIFAX_WOMENS_119009992_ADR_2.jpg</t>
        </is>
      </c>
      <c r="K536" t="inlineStr">
        <is>
          <t>HALIFAX_WOMENS_119009992_ADR_3.jpg</t>
        </is>
      </c>
      <c r="L536">
        <f>IMAGE("file:///E:/Estudios%20y%20certificaciones/ESTUDIOS%20DE%20PROGRAMMING/PROGRAMMING/PERSONAL/PYTHON/Image_Generator_API/imagenes/HALIFAX_WOMENS_119009992_ADR_1.jpg")</f>
        <v/>
      </c>
      <c r="M536">
        <f>IMAGE("file:///E:/Estudios%20y%20certificaciones/ESTUDIOS%20DE%20PROGRAMMING/PROGRAMMING/PERSONAL/PYTHON/Image_Generator_API/imagenes/HALIFAX_WOMENS_119009992_ADR_2.jpg")</f>
        <v/>
      </c>
      <c r="N536">
        <f>IMAGE("file:///E:/Estudios%20y%20certificaciones/ESTUDIOS%20DE%20PROGRAMMING/PROGRAMMING/PERSONAL/PYTHON/Image_Generator_API/imagenes/HALIFAX_WOMENS_119009992_ADR_3.jpg")</f>
        <v/>
      </c>
      <c r="O536">
        <f>HYPERLINK("imagenes/HALIFAX_WOMENS_119009992_ADR_1.jpg","Ver imagen")</f>
        <v/>
      </c>
      <c r="P536">
        <f>HYPERLINK("imagenes/HALIFAX_WOMENS_119009992_ADR_2.jpg","Ver imagen")</f>
        <v/>
      </c>
      <c r="Q536">
        <f>HYPERLINK("imagenes/HALIFAX_WOMENS_119009992_ADR_3.jpg","Ver imagen")</f>
        <v/>
      </c>
    </row>
    <row r="537">
      <c r="A537" t="inlineStr">
        <is>
          <t>HALIFAX WOMENS</t>
        </is>
      </c>
      <c r="B537" t="inlineStr">
        <is>
          <t>119009992</t>
        </is>
      </c>
      <c r="C537" t="inlineStr">
        <is>
          <t>Mist Apres Ski Jacket</t>
        </is>
      </c>
      <c r="D537" t="inlineStr">
        <is>
          <t>BLK</t>
        </is>
      </c>
      <c r="E537" t="inlineStr">
        <is>
          <t>06A01</t>
        </is>
      </c>
      <c r="F537" t="inlineStr">
        <is>
          <t>(en blanco)</t>
        </is>
      </c>
      <c r="G537" t="inlineStr">
        <is>
          <t>PPK</t>
        </is>
      </c>
      <c r="H537" t="n">
        <v>1338</v>
      </c>
      <c r="I537" t="inlineStr">
        <is>
          <t>HALIFAX_WOMENS_119009992_BLK_1.jpg</t>
        </is>
      </c>
      <c r="J537" t="inlineStr">
        <is>
          <t>HALIFAX_WOMENS_119009992_BLK_2.jpg</t>
        </is>
      </c>
      <c r="K537" t="inlineStr">
        <is>
          <t>HALIFAX_WOMENS_119009992_BLK_3.jpg</t>
        </is>
      </c>
      <c r="L537">
        <f>IMAGE("file:///E:/Estudios%20y%20certificaciones/ESTUDIOS%20DE%20PROGRAMMING/PROGRAMMING/PERSONAL/PYTHON/Image_Generator_API/imagenes/HALIFAX_WOMENS_119009992_BLK_1.jpg")</f>
        <v/>
      </c>
      <c r="M537">
        <f>IMAGE("file:///E:/Estudios%20y%20certificaciones/ESTUDIOS%20DE%20PROGRAMMING/PROGRAMMING/PERSONAL/PYTHON/Image_Generator_API/imagenes/HALIFAX_WOMENS_119009992_BLK_2.jpg")</f>
        <v/>
      </c>
      <c r="N537">
        <f>IMAGE("file:///E:/Estudios%20y%20certificaciones/ESTUDIOS%20DE%20PROGRAMMING/PROGRAMMING/PERSONAL/PYTHON/Image_Generator_API/imagenes/HALIFAX_WOMENS_119009992_BLK_3.jpg")</f>
        <v/>
      </c>
      <c r="O537">
        <f>HYPERLINK("imagenes/HALIFAX_WOMENS_119009992_BLK_1.jpg","Ver imagen")</f>
        <v/>
      </c>
      <c r="P537">
        <f>HYPERLINK("imagenes/HALIFAX_WOMENS_119009992_BLK_2.jpg","Ver imagen")</f>
        <v/>
      </c>
      <c r="Q537">
        <f>HYPERLINK("imagenes/HALIFAX_WOMENS_119009992_BLK_3.jpg","Ver imagen")</f>
        <v/>
      </c>
    </row>
    <row r="538">
      <c r="A538" t="inlineStr">
        <is>
          <t>HALIFAX WOMENS</t>
        </is>
      </c>
      <c r="B538" t="inlineStr">
        <is>
          <t>119009992</t>
        </is>
      </c>
      <c r="C538" t="inlineStr">
        <is>
          <t>Mist Apres Ski Jacket</t>
        </is>
      </c>
      <c r="D538" t="inlineStr">
        <is>
          <t>BLK</t>
        </is>
      </c>
      <c r="E538" t="inlineStr">
        <is>
          <t>(en blanco)</t>
        </is>
      </c>
      <c r="F538" t="inlineStr">
        <is>
          <t>(en blanco)</t>
        </is>
      </c>
      <c r="G538" t="inlineStr">
        <is>
          <t>S</t>
        </is>
      </c>
      <c r="H538" t="n">
        <v>8</v>
      </c>
      <c r="I538" t="inlineStr">
        <is>
          <t>HALIFAX_WOMENS_119009992_BLK_1.jpg</t>
        </is>
      </c>
      <c r="J538" t="inlineStr">
        <is>
          <t>HALIFAX_WOMENS_119009992_BLK_2.jpg</t>
        </is>
      </c>
      <c r="K538" t="inlineStr">
        <is>
          <t>HALIFAX_WOMENS_119009992_BLK_3.jpg</t>
        </is>
      </c>
      <c r="L538">
        <f>IMAGE("file:///E:/Estudios%20y%20certificaciones/ESTUDIOS%20DE%20PROGRAMMING/PROGRAMMING/PERSONAL/PYTHON/Image_Generator_API/imagenes/HALIFAX_WOMENS_119009992_BLK_1.jpg")</f>
        <v/>
      </c>
      <c r="M538">
        <f>IMAGE("file:///E:/Estudios%20y%20certificaciones/ESTUDIOS%20DE%20PROGRAMMING/PROGRAMMING/PERSONAL/PYTHON/Image_Generator_API/imagenes/HALIFAX_WOMENS_119009992_BLK_2.jpg")</f>
        <v/>
      </c>
      <c r="N538">
        <f>IMAGE("file:///E:/Estudios%20y%20certificaciones/ESTUDIOS%20DE%20PROGRAMMING/PROGRAMMING/PERSONAL/PYTHON/Image_Generator_API/imagenes/HALIFAX_WOMENS_119009992_BLK_3.jpg")</f>
        <v/>
      </c>
      <c r="O538">
        <f>HYPERLINK("imagenes/HALIFAX_WOMENS_119009992_BLK_1.jpg","Ver imagen")</f>
        <v/>
      </c>
      <c r="P538">
        <f>HYPERLINK("imagenes/HALIFAX_WOMENS_119009992_BLK_2.jpg","Ver imagen")</f>
        <v/>
      </c>
      <c r="Q538">
        <f>HYPERLINK("imagenes/HALIFAX_WOMENS_119009992_BLK_3.jpg","Ver imagen")</f>
        <v/>
      </c>
    </row>
    <row r="539">
      <c r="A539" t="inlineStr">
        <is>
          <t>HALIFAX WOMENS</t>
        </is>
      </c>
      <c r="B539" t="inlineStr">
        <is>
          <t>119009992</t>
        </is>
      </c>
      <c r="C539" t="inlineStr">
        <is>
          <t>Mist Apres Ski Jacket</t>
        </is>
      </c>
      <c r="D539" t="inlineStr">
        <is>
          <t>BLK</t>
        </is>
      </c>
      <c r="E539" t="inlineStr">
        <is>
          <t>(en blanco)</t>
        </is>
      </c>
      <c r="F539" t="inlineStr">
        <is>
          <t>(en blanco)</t>
        </is>
      </c>
      <c r="G539" t="inlineStr">
        <is>
          <t>M</t>
        </is>
      </c>
      <c r="H539" t="n">
        <v>13</v>
      </c>
      <c r="I539" t="inlineStr">
        <is>
          <t>HALIFAX_WOMENS_119009992_BLK_1.jpg</t>
        </is>
      </c>
      <c r="J539" t="inlineStr">
        <is>
          <t>HALIFAX_WOMENS_119009992_BLK_2.jpg</t>
        </is>
      </c>
      <c r="K539" t="inlineStr">
        <is>
          <t>HALIFAX_WOMENS_119009992_BLK_3.jpg</t>
        </is>
      </c>
      <c r="L539">
        <f>IMAGE("file:///E:/Estudios%20y%20certificaciones/ESTUDIOS%20DE%20PROGRAMMING/PROGRAMMING/PERSONAL/PYTHON/Image_Generator_API/imagenes/HALIFAX_WOMENS_119009992_BLK_1.jpg")</f>
        <v/>
      </c>
      <c r="M539">
        <f>IMAGE("file:///E:/Estudios%20y%20certificaciones/ESTUDIOS%20DE%20PROGRAMMING/PROGRAMMING/PERSONAL/PYTHON/Image_Generator_API/imagenes/HALIFAX_WOMENS_119009992_BLK_2.jpg")</f>
        <v/>
      </c>
      <c r="N539">
        <f>IMAGE("file:///E:/Estudios%20y%20certificaciones/ESTUDIOS%20DE%20PROGRAMMING/PROGRAMMING/PERSONAL/PYTHON/Image_Generator_API/imagenes/HALIFAX_WOMENS_119009992_BLK_3.jpg")</f>
        <v/>
      </c>
      <c r="O539">
        <f>HYPERLINK("imagenes/HALIFAX_WOMENS_119009992_BLK_1.jpg","Ver imagen")</f>
        <v/>
      </c>
      <c r="P539">
        <f>HYPERLINK("imagenes/HALIFAX_WOMENS_119009992_BLK_2.jpg","Ver imagen")</f>
        <v/>
      </c>
      <c r="Q539">
        <f>HYPERLINK("imagenes/HALIFAX_WOMENS_119009992_BLK_3.jpg","Ver imagen")</f>
        <v/>
      </c>
    </row>
    <row r="540">
      <c r="A540" t="inlineStr">
        <is>
          <t>HALIFAX WOMENS</t>
        </is>
      </c>
      <c r="B540" t="inlineStr">
        <is>
          <t>119009992</t>
        </is>
      </c>
      <c r="C540" t="inlineStr">
        <is>
          <t>Mist Apres Ski Jacket</t>
        </is>
      </c>
      <c r="D540" t="inlineStr">
        <is>
          <t>BLK</t>
        </is>
      </c>
      <c r="E540" t="inlineStr">
        <is>
          <t>(en blanco)</t>
        </is>
      </c>
      <c r="F540" t="inlineStr">
        <is>
          <t>(en blanco)</t>
        </is>
      </c>
      <c r="G540" t="inlineStr">
        <is>
          <t>L</t>
        </is>
      </c>
      <c r="H540" t="n">
        <v>8</v>
      </c>
      <c r="I540" t="inlineStr">
        <is>
          <t>HALIFAX_WOMENS_119009992_BLK_1.jpg</t>
        </is>
      </c>
      <c r="J540" t="inlineStr">
        <is>
          <t>HALIFAX_WOMENS_119009992_BLK_2.jpg</t>
        </is>
      </c>
      <c r="K540" t="inlineStr">
        <is>
          <t>HALIFAX_WOMENS_119009992_BLK_3.jpg</t>
        </is>
      </c>
      <c r="L540">
        <f>IMAGE("file:///E:/Estudios%20y%20certificaciones/ESTUDIOS%20DE%20PROGRAMMING/PROGRAMMING/PERSONAL/PYTHON/Image_Generator_API/imagenes/HALIFAX_WOMENS_119009992_BLK_1.jpg")</f>
        <v/>
      </c>
      <c r="M540">
        <f>IMAGE("file:///E:/Estudios%20y%20certificaciones/ESTUDIOS%20DE%20PROGRAMMING/PROGRAMMING/PERSONAL/PYTHON/Image_Generator_API/imagenes/HALIFAX_WOMENS_119009992_BLK_2.jpg")</f>
        <v/>
      </c>
      <c r="N540">
        <f>IMAGE("file:///E:/Estudios%20y%20certificaciones/ESTUDIOS%20DE%20PROGRAMMING/PROGRAMMING/PERSONAL/PYTHON/Image_Generator_API/imagenes/HALIFAX_WOMENS_119009992_BLK_3.jpg")</f>
        <v/>
      </c>
      <c r="O540">
        <f>HYPERLINK("imagenes/HALIFAX_WOMENS_119009992_BLK_1.jpg","Ver imagen")</f>
        <v/>
      </c>
      <c r="P540">
        <f>HYPERLINK("imagenes/HALIFAX_WOMENS_119009992_BLK_2.jpg","Ver imagen")</f>
        <v/>
      </c>
      <c r="Q540">
        <f>HYPERLINK("imagenes/HALIFAX_WOMENS_119009992_BLK_3.jpg","Ver imagen")</f>
        <v/>
      </c>
    </row>
    <row r="541">
      <c r="A541" t="inlineStr">
        <is>
          <t>HALIFAX WOMENS</t>
        </is>
      </c>
      <c r="B541" t="inlineStr">
        <is>
          <t>119009992</t>
        </is>
      </c>
      <c r="C541" t="inlineStr">
        <is>
          <t>Mist Apres Ski Jacket</t>
        </is>
      </c>
      <c r="D541" t="inlineStr">
        <is>
          <t>BLK</t>
        </is>
      </c>
      <c r="E541" t="inlineStr">
        <is>
          <t>(en blanco)</t>
        </is>
      </c>
      <c r="F541" t="inlineStr">
        <is>
          <t>(en blanco)</t>
        </is>
      </c>
      <c r="G541" t="inlineStr">
        <is>
          <t>XL</t>
        </is>
      </c>
      <c r="H541" t="n">
        <v>3</v>
      </c>
      <c r="I541" t="inlineStr">
        <is>
          <t>HALIFAX_WOMENS_119009992_BLK_1.jpg</t>
        </is>
      </c>
      <c r="J541" t="inlineStr">
        <is>
          <t>HALIFAX_WOMENS_119009992_BLK_2.jpg</t>
        </is>
      </c>
      <c r="K541" t="inlineStr">
        <is>
          <t>HALIFAX_WOMENS_119009992_BLK_3.jpg</t>
        </is>
      </c>
      <c r="L541">
        <f>IMAGE("file:///E:/Estudios%20y%20certificaciones/ESTUDIOS%20DE%20PROGRAMMING/PROGRAMMING/PERSONAL/PYTHON/Image_Generator_API/imagenes/HALIFAX_WOMENS_119009992_BLK_1.jpg")</f>
        <v/>
      </c>
      <c r="M541">
        <f>IMAGE("file:///E:/Estudios%20y%20certificaciones/ESTUDIOS%20DE%20PROGRAMMING/PROGRAMMING/PERSONAL/PYTHON/Image_Generator_API/imagenes/HALIFAX_WOMENS_119009992_BLK_2.jpg")</f>
        <v/>
      </c>
      <c r="N541">
        <f>IMAGE("file:///E:/Estudios%20y%20certificaciones/ESTUDIOS%20DE%20PROGRAMMING/PROGRAMMING/PERSONAL/PYTHON/Image_Generator_API/imagenes/HALIFAX_WOMENS_119009992_BLK_3.jpg")</f>
        <v/>
      </c>
      <c r="O541">
        <f>HYPERLINK("imagenes/HALIFAX_WOMENS_119009992_BLK_1.jpg","Ver imagen")</f>
        <v/>
      </c>
      <c r="P541">
        <f>HYPERLINK("imagenes/HALIFAX_WOMENS_119009992_BLK_2.jpg","Ver imagen")</f>
        <v/>
      </c>
      <c r="Q541">
        <f>HYPERLINK("imagenes/HALIFAX_WOMENS_119009992_BLK_3.jpg","Ver imagen")</f>
        <v/>
      </c>
    </row>
    <row r="542">
      <c r="A542" t="inlineStr">
        <is>
          <t>HALIFAX WOMENS</t>
        </is>
      </c>
      <c r="B542" t="inlineStr">
        <is>
          <t>119010132</t>
        </is>
      </c>
      <c r="C542" t="inlineStr">
        <is>
          <t>Midweight Faux Fur Trimmed Puffer</t>
        </is>
      </c>
      <c r="D542" t="inlineStr">
        <is>
          <t>ADR</t>
        </is>
      </c>
      <c r="E542" t="inlineStr">
        <is>
          <t>08A23</t>
        </is>
      </c>
      <c r="F542" t="inlineStr">
        <is>
          <t>B2230</t>
        </is>
      </c>
      <c r="G542" t="inlineStr">
        <is>
          <t>PPK</t>
        </is>
      </c>
      <c r="H542" t="n">
        <v>0</v>
      </c>
      <c r="I542" t="inlineStr">
        <is>
          <t>HALIFAX_WOMENS_119010132_ADR_1.jpg</t>
        </is>
      </c>
      <c r="J542" t="inlineStr">
        <is>
          <t>HALIFAX_WOMENS_119010132_ADR_2.jpg</t>
        </is>
      </c>
      <c r="K542" t="inlineStr">
        <is>
          <t>HALIFAX_WOMENS_119010132_ADR_3.jpg</t>
        </is>
      </c>
      <c r="L542">
        <f>IMAGE("file:///E:/Estudios%20y%20certificaciones/ESTUDIOS%20DE%20PROGRAMMING/PROGRAMMING/PERSONAL/PYTHON/Image_Generator_API/imagenes/HALIFAX_WOMENS_119010132_ADR_1.jpg")</f>
        <v/>
      </c>
      <c r="M542">
        <f>IMAGE("file:///E:/Estudios%20y%20certificaciones/ESTUDIOS%20DE%20PROGRAMMING/PROGRAMMING/PERSONAL/PYTHON/Image_Generator_API/imagenes/HALIFAX_WOMENS_119010132_ADR_2.jpg")</f>
        <v/>
      </c>
      <c r="N542">
        <f>IMAGE("file:///E:/Estudios%20y%20certificaciones/ESTUDIOS%20DE%20PROGRAMMING/PROGRAMMING/PERSONAL/PYTHON/Image_Generator_API/imagenes/HALIFAX_WOMENS_119010132_ADR_3.jpg")</f>
        <v/>
      </c>
      <c r="O542">
        <f>HYPERLINK("imagenes/HALIFAX_WOMENS_119010132_ADR_1.jpg","Ver imagen")</f>
        <v/>
      </c>
      <c r="P542">
        <f>HYPERLINK("imagenes/HALIFAX_WOMENS_119010132_ADR_2.jpg","Ver imagen")</f>
        <v/>
      </c>
      <c r="Q542">
        <f>HYPERLINK("imagenes/HALIFAX_WOMENS_119010132_ADR_3.jpg","Ver imagen")</f>
        <v/>
      </c>
    </row>
    <row r="543">
      <c r="A543" t="inlineStr">
        <is>
          <t>HALIFAX WOMENS</t>
        </is>
      </c>
      <c r="B543" t="inlineStr">
        <is>
          <t>119010132</t>
        </is>
      </c>
      <c r="C543" t="inlineStr">
        <is>
          <t>Midweight Faux Fur Trimmed Puffer</t>
        </is>
      </c>
      <c r="D543" t="inlineStr">
        <is>
          <t>BLK</t>
        </is>
      </c>
      <c r="E543" t="inlineStr">
        <is>
          <t>08A23</t>
        </is>
      </c>
      <c r="F543" t="inlineStr">
        <is>
          <t>B2230</t>
        </is>
      </c>
      <c r="G543" t="inlineStr">
        <is>
          <t>PPK</t>
        </is>
      </c>
      <c r="H543" t="n">
        <v>0</v>
      </c>
      <c r="I543" t="inlineStr">
        <is>
          <t>HALIFAX_WOMENS_119010132_BLK_1.jpg</t>
        </is>
      </c>
      <c r="J543" t="inlineStr">
        <is>
          <t>HALIFAX_WOMENS_119010132_BLK_2.jpg</t>
        </is>
      </c>
      <c r="K543" t="inlineStr">
        <is>
          <t>HALIFAX_WOMENS_119010132_BLK_3.jpg</t>
        </is>
      </c>
      <c r="L543">
        <f>IMAGE("file:///E:/Estudios%20y%20certificaciones/ESTUDIOS%20DE%20PROGRAMMING/PROGRAMMING/PERSONAL/PYTHON/Image_Generator_API/imagenes/HALIFAX_WOMENS_119010132_BLK_1.jpg")</f>
        <v/>
      </c>
      <c r="M543">
        <f>IMAGE("file:///E:/Estudios%20y%20certificaciones/ESTUDIOS%20DE%20PROGRAMMING/PROGRAMMING/PERSONAL/PYTHON/Image_Generator_API/imagenes/HALIFAX_WOMENS_119010132_BLK_2.jpg")</f>
        <v/>
      </c>
      <c r="N543">
        <f>IMAGE("file:///E:/Estudios%20y%20certificaciones/ESTUDIOS%20DE%20PROGRAMMING/PROGRAMMING/PERSONAL/PYTHON/Image_Generator_API/imagenes/HALIFAX_WOMENS_119010132_BLK_3.jpg")</f>
        <v/>
      </c>
      <c r="O543">
        <f>HYPERLINK("imagenes/HALIFAX_WOMENS_119010132_BLK_1.jpg","Ver imagen")</f>
        <v/>
      </c>
      <c r="P543">
        <f>HYPERLINK("imagenes/HALIFAX_WOMENS_119010132_BLK_2.jpg","Ver imagen")</f>
        <v/>
      </c>
      <c r="Q543">
        <f>HYPERLINK("imagenes/HALIFAX_WOMENS_119010132_BLK_3.jpg","Ver imagen")</f>
        <v/>
      </c>
    </row>
    <row r="544">
      <c r="A544" t="inlineStr">
        <is>
          <t>HALIFAX WOMENS</t>
        </is>
      </c>
      <c r="B544" t="inlineStr">
        <is>
          <t>119010132</t>
        </is>
      </c>
      <c r="C544" t="inlineStr">
        <is>
          <t>Midweight Faux Fur Trimmed Puffer</t>
        </is>
      </c>
      <c r="D544" t="inlineStr">
        <is>
          <t>SOM</t>
        </is>
      </c>
      <c r="E544" t="inlineStr">
        <is>
          <t>08A23</t>
        </is>
      </c>
      <c r="F544" t="inlineStr">
        <is>
          <t>B2230</t>
        </is>
      </c>
      <c r="G544" t="inlineStr">
        <is>
          <t>PPK</t>
        </is>
      </c>
      <c r="H544" t="n">
        <v>0</v>
      </c>
      <c r="I544" t="inlineStr">
        <is>
          <t>HALIFAX_WOMENS_119010132_SOM_1.jpg</t>
        </is>
      </c>
      <c r="J544" t="inlineStr">
        <is>
          <t>HALIFAX_WOMENS_119010132_SOM_2.jpg</t>
        </is>
      </c>
      <c r="K544" t="inlineStr">
        <is>
          <t>HALIFAX_WOMENS_119010132_SOM_3.jpg</t>
        </is>
      </c>
      <c r="L544">
        <f>IMAGE("file:///E:/Estudios%20y%20certificaciones/ESTUDIOS%20DE%20PROGRAMMING/PROGRAMMING/PERSONAL/PYTHON/Image_Generator_API/imagenes/HALIFAX_WOMENS_119010132_SOM_1.jpg")</f>
        <v/>
      </c>
      <c r="M544">
        <f>IMAGE("file:///E:/Estudios%20y%20certificaciones/ESTUDIOS%20DE%20PROGRAMMING/PROGRAMMING/PERSONAL/PYTHON/Image_Generator_API/imagenes/HALIFAX_WOMENS_119010132_SOM_2.jpg")</f>
        <v/>
      </c>
      <c r="N544">
        <f>IMAGE("file:///E:/Estudios%20y%20certificaciones/ESTUDIOS%20DE%20PROGRAMMING/PROGRAMMING/PERSONAL/PYTHON/Image_Generator_API/imagenes/HALIFAX_WOMENS_119010132_SOM_3.jpg")</f>
        <v/>
      </c>
      <c r="O544">
        <f>HYPERLINK("imagenes/HALIFAX_WOMENS_119010132_SOM_1.jpg","Ver imagen")</f>
        <v/>
      </c>
      <c r="P544">
        <f>HYPERLINK("imagenes/HALIFAX_WOMENS_119010132_SOM_2.jpg","Ver imagen")</f>
        <v/>
      </c>
      <c r="Q544">
        <f>HYPERLINK("imagenes/HALIFAX_WOMENS_119010132_SOM_3.jpg","Ver imagen")</f>
        <v/>
      </c>
    </row>
    <row r="545">
      <c r="A545" t="inlineStr">
        <is>
          <t>HALIFAX WOMENS</t>
        </is>
      </c>
      <c r="B545" t="inlineStr">
        <is>
          <t>J031024</t>
        </is>
      </c>
      <c r="C545" t="inlineStr">
        <is>
          <t>HOODED ZIP FNT</t>
        </is>
      </c>
      <c r="D545" t="inlineStr">
        <is>
          <t>BA6</t>
        </is>
      </c>
      <c r="E545" t="inlineStr">
        <is>
          <t>(en blanco)</t>
        </is>
      </c>
      <c r="F545" t="inlineStr">
        <is>
          <t>(en blanco)</t>
        </is>
      </c>
      <c r="G545" t="inlineStr">
        <is>
          <t>1X</t>
        </is>
      </c>
      <c r="H545" t="n">
        <v>1</v>
      </c>
      <c r="I545" t="inlineStr">
        <is>
          <t>HALIFAX_WOMENS_J031024_BA6_1.jpg</t>
        </is>
      </c>
      <c r="J545" t="inlineStr">
        <is>
          <t>HALIFAX_WOMENS_J031024_BA6_2.jpg</t>
        </is>
      </c>
      <c r="K545" t="inlineStr">
        <is>
          <t>HALIFAX_WOMENS_J031024_BA6_3.jpg</t>
        </is>
      </c>
      <c r="L545">
        <f>IMAGE("file:///E:/Estudios%20y%20certificaciones/ESTUDIOS%20DE%20PROGRAMMING/PROGRAMMING/PERSONAL/PYTHON/Image_Generator_API/imagenes/HALIFAX_WOMENS_J031024_BA6_1.jpg")</f>
        <v/>
      </c>
      <c r="M545">
        <f>IMAGE("file:///E:/Estudios%20y%20certificaciones/ESTUDIOS%20DE%20PROGRAMMING/PROGRAMMING/PERSONAL/PYTHON/Image_Generator_API/imagenes/HALIFAX_WOMENS_J031024_BA6_2.jpg")</f>
        <v/>
      </c>
      <c r="N545">
        <f>IMAGE("file:///E:/Estudios%20y%20certificaciones/ESTUDIOS%20DE%20PROGRAMMING/PROGRAMMING/PERSONAL/PYTHON/Image_Generator_API/imagenes/HALIFAX_WOMENS_J031024_BA6_3.jpg")</f>
        <v/>
      </c>
      <c r="O545">
        <f>HYPERLINK("imagenes/HALIFAX_WOMENS_J031024_BA6_1.jpg","Ver imagen")</f>
        <v/>
      </c>
      <c r="P545">
        <f>HYPERLINK("imagenes/HALIFAX_WOMENS_J031024_BA6_2.jpg","Ver imagen")</f>
        <v/>
      </c>
      <c r="Q545">
        <f>HYPERLINK("imagenes/HALIFAX_WOMENS_J031024_BA6_3.jpg","Ver imagen")</f>
        <v/>
      </c>
    </row>
    <row r="546">
      <c r="A546" t="inlineStr">
        <is>
          <t>HALIFAX WOMENS</t>
        </is>
      </c>
      <c r="B546" t="inlineStr">
        <is>
          <t>J031024</t>
        </is>
      </c>
      <c r="C546" t="inlineStr">
        <is>
          <t>HOODED ZIP FNT</t>
        </is>
      </c>
      <c r="D546" t="inlineStr">
        <is>
          <t>PE1</t>
        </is>
      </c>
      <c r="E546" t="inlineStr">
        <is>
          <t>(en blanco)</t>
        </is>
      </c>
      <c r="F546" t="inlineStr">
        <is>
          <t>(en blanco)</t>
        </is>
      </c>
      <c r="G546" t="inlineStr">
        <is>
          <t>2X</t>
        </is>
      </c>
      <c r="H546" t="n">
        <v>1</v>
      </c>
      <c r="I546" t="inlineStr">
        <is>
          <t>HALIFAX_WOMENS_J031024_PE1_1.jpg</t>
        </is>
      </c>
      <c r="J546" t="inlineStr">
        <is>
          <t>HALIFAX_WOMENS_J031024_PE1_2.jpg</t>
        </is>
      </c>
      <c r="K546" t="inlineStr">
        <is>
          <t>HALIFAX_WOMENS_J031024_PE1_3.jpg</t>
        </is>
      </c>
      <c r="L546">
        <f>IMAGE("file:///E:/Estudios%20y%20certificaciones/ESTUDIOS%20DE%20PROGRAMMING/PROGRAMMING/PERSONAL/PYTHON/Image_Generator_API/imagenes/HALIFAX_WOMENS_J031024_PE1_1.jpg")</f>
        <v/>
      </c>
      <c r="M546">
        <f>IMAGE("file:///E:/Estudios%20y%20certificaciones/ESTUDIOS%20DE%20PROGRAMMING/PROGRAMMING/PERSONAL/PYTHON/Image_Generator_API/imagenes/HALIFAX_WOMENS_J031024_PE1_2.jpg")</f>
        <v/>
      </c>
      <c r="N546">
        <f>IMAGE("file:///E:/Estudios%20y%20certificaciones/ESTUDIOS%20DE%20PROGRAMMING/PROGRAMMING/PERSONAL/PYTHON/Image_Generator_API/imagenes/HALIFAX_WOMENS_J031024_PE1_3.jpg")</f>
        <v/>
      </c>
      <c r="O546">
        <f>HYPERLINK("imagenes/HALIFAX_WOMENS_J031024_PE1_1.jpg","Ver imagen")</f>
        <v/>
      </c>
      <c r="P546">
        <f>HYPERLINK("imagenes/HALIFAX_WOMENS_J031024_PE1_2.jpg","Ver imagen")</f>
        <v/>
      </c>
      <c r="Q546">
        <f>HYPERLINK("imagenes/HALIFAX_WOMENS_J031024_PE1_3.jpg","Ver imagen")</f>
        <v/>
      </c>
    </row>
    <row r="547">
      <c r="A547" t="inlineStr">
        <is>
          <t>HALIFAX WOMENS</t>
        </is>
      </c>
      <c r="B547" t="inlineStr">
        <is>
          <t>J424135</t>
        </is>
      </c>
      <c r="C547" t="inlineStr">
        <is>
          <t>JACKET</t>
        </is>
      </c>
      <c r="D547" t="inlineStr">
        <is>
          <t>THO</t>
        </is>
      </c>
      <c r="E547" t="inlineStr">
        <is>
          <t>(en blanco)</t>
        </is>
      </c>
      <c r="F547" t="inlineStr">
        <is>
          <t>(en blanco)</t>
        </is>
      </c>
      <c r="G547" t="inlineStr">
        <is>
          <t>XL</t>
        </is>
      </c>
      <c r="H547" t="n">
        <v>1</v>
      </c>
      <c r="I547" t="inlineStr">
        <is>
          <t>HALIFAX_WOMENS_J424135_THO_1.jpg</t>
        </is>
      </c>
      <c r="J547" t="inlineStr">
        <is>
          <t>HALIFAX_WOMENS_J424135_THO_2.jpg</t>
        </is>
      </c>
      <c r="K547" t="inlineStr">
        <is>
          <t>HALIFAX_WOMENS_J424135_THO_3.jpg</t>
        </is>
      </c>
      <c r="L547">
        <f>IMAGE("file:///E:/Estudios%20y%20certificaciones/ESTUDIOS%20DE%20PROGRAMMING/PROGRAMMING/PERSONAL/PYTHON/Image_Generator_API/imagenes/HALIFAX_WOMENS_J424135_THO_1.jpg")</f>
        <v/>
      </c>
      <c r="M547">
        <f>IMAGE("file:///E:/Estudios%20y%20certificaciones/ESTUDIOS%20DE%20PROGRAMMING/PROGRAMMING/PERSONAL/PYTHON/Image_Generator_API/imagenes/HALIFAX_WOMENS_J424135_THO_2.jpg")</f>
        <v/>
      </c>
      <c r="N547">
        <f>IMAGE("file:///E:/Estudios%20y%20certificaciones/ESTUDIOS%20DE%20PROGRAMMING/PROGRAMMING/PERSONAL/PYTHON/Image_Generator_API/imagenes/HALIFAX_WOMENS_J424135_THO_3.jpg")</f>
        <v/>
      </c>
      <c r="O547">
        <f>HYPERLINK("imagenes/HALIFAX_WOMENS_J424135_THO_1.jpg","Ver imagen")</f>
        <v/>
      </c>
      <c r="P547">
        <f>HYPERLINK("imagenes/HALIFAX_WOMENS_J424135_THO_2.jpg","Ver imagen")</f>
        <v/>
      </c>
      <c r="Q547">
        <f>HYPERLINK("imagenes/HALIFAX_WOMENS_J424135_THO_3.jpg","Ver imagen")</f>
        <v/>
      </c>
    </row>
    <row r="548">
      <c r="A548" t="inlineStr">
        <is>
          <t>HALIFAX WOMENS</t>
        </is>
      </c>
      <c r="B548" t="inlineStr">
        <is>
          <t>J631004</t>
        </is>
      </c>
      <c r="C548" t="inlineStr">
        <is>
          <t>REVERSIBLE QUILTED</t>
        </is>
      </c>
      <c r="D548" t="inlineStr">
        <is>
          <t>BOR</t>
        </is>
      </c>
      <c r="E548" t="inlineStr">
        <is>
          <t>(en blanco)</t>
        </is>
      </c>
      <c r="F548" t="inlineStr">
        <is>
          <t>(en blanco)</t>
        </is>
      </c>
      <c r="G548" t="inlineStr">
        <is>
          <t>1X</t>
        </is>
      </c>
      <c r="H548" t="n">
        <v>1</v>
      </c>
      <c r="I548" t="inlineStr">
        <is>
          <t>HALIFAX_WOMENS_J631004_BOR_1.jpg</t>
        </is>
      </c>
      <c r="J548" t="inlineStr">
        <is>
          <t>HALIFAX_WOMENS_J631004_BOR_2.jpg</t>
        </is>
      </c>
      <c r="K548" t="inlineStr">
        <is>
          <t>HALIFAX_WOMENS_J631004_BOR_3.jpg</t>
        </is>
      </c>
      <c r="L548">
        <f>IMAGE("file:///E:/Estudios%20y%20certificaciones/ESTUDIOS%20DE%20PROGRAMMING/PROGRAMMING/PERSONAL/PYTHON/Image_Generator_API/imagenes/HALIFAX_WOMENS_J631004_BOR_1.jpg")</f>
        <v/>
      </c>
      <c r="M548">
        <f>IMAGE("file:///E:/Estudios%20y%20certificaciones/ESTUDIOS%20DE%20PROGRAMMING/PROGRAMMING/PERSONAL/PYTHON/Image_Generator_API/imagenes/HALIFAX_WOMENS_J631004_BOR_2.jpg")</f>
        <v/>
      </c>
      <c r="N548">
        <f>IMAGE("file:///E:/Estudios%20y%20certificaciones/ESTUDIOS%20DE%20PROGRAMMING/PROGRAMMING/PERSONAL/PYTHON/Image_Generator_API/imagenes/HALIFAX_WOMENS_J631004_BOR_3.jpg")</f>
        <v/>
      </c>
      <c r="O548">
        <f>HYPERLINK("imagenes/HALIFAX_WOMENS_J631004_BOR_1.jpg","Ver imagen")</f>
        <v/>
      </c>
      <c r="P548">
        <f>HYPERLINK("imagenes/HALIFAX_WOMENS_J631004_BOR_2.jpg","Ver imagen")</f>
        <v/>
      </c>
      <c r="Q548">
        <f>HYPERLINK("imagenes/HALIFAX_WOMENS_J631004_BOR_3.jpg","Ver imagen")</f>
        <v/>
      </c>
    </row>
    <row r="549">
      <c r="A549" t="inlineStr">
        <is>
          <t>HALIFAX WOMENS</t>
        </is>
      </c>
      <c r="B549" t="inlineStr">
        <is>
          <t>J631004</t>
        </is>
      </c>
      <c r="C549" t="inlineStr">
        <is>
          <t>REVERSIBLE QUILTED</t>
        </is>
      </c>
      <c r="D549" t="inlineStr">
        <is>
          <t>BOR</t>
        </is>
      </c>
      <c r="E549" t="inlineStr">
        <is>
          <t>(en blanco)</t>
        </is>
      </c>
      <c r="F549" t="inlineStr">
        <is>
          <t>(en blanco)</t>
        </is>
      </c>
      <c r="G549" t="inlineStr">
        <is>
          <t>2X</t>
        </is>
      </c>
      <c r="H549" t="n">
        <v>1</v>
      </c>
      <c r="I549" t="inlineStr">
        <is>
          <t>HALIFAX_WOMENS_J631004_BOR_1.jpg</t>
        </is>
      </c>
      <c r="J549" t="inlineStr">
        <is>
          <t>HALIFAX_WOMENS_J631004_BOR_2.jpg</t>
        </is>
      </c>
      <c r="K549" t="inlineStr">
        <is>
          <t>HALIFAX_WOMENS_J631004_BOR_3.jpg</t>
        </is>
      </c>
      <c r="L549">
        <f>IMAGE("file:///E:/Estudios%20y%20certificaciones/ESTUDIOS%20DE%20PROGRAMMING/PROGRAMMING/PERSONAL/PYTHON/Image_Generator_API/imagenes/HALIFAX_WOMENS_J631004_BOR_1.jpg")</f>
        <v/>
      </c>
      <c r="M549">
        <f>IMAGE("file:///E:/Estudios%20y%20certificaciones/ESTUDIOS%20DE%20PROGRAMMING/PROGRAMMING/PERSONAL/PYTHON/Image_Generator_API/imagenes/HALIFAX_WOMENS_J631004_BOR_2.jpg")</f>
        <v/>
      </c>
      <c r="N549">
        <f>IMAGE("file:///E:/Estudios%20y%20certificaciones/ESTUDIOS%20DE%20PROGRAMMING/PROGRAMMING/PERSONAL/PYTHON/Image_Generator_API/imagenes/HALIFAX_WOMENS_J631004_BOR_3.jpg")</f>
        <v/>
      </c>
      <c r="O549">
        <f>HYPERLINK("imagenes/HALIFAX_WOMENS_J631004_BOR_1.jpg","Ver imagen")</f>
        <v/>
      </c>
      <c r="P549">
        <f>HYPERLINK("imagenes/HALIFAX_WOMENS_J631004_BOR_2.jpg","Ver imagen")</f>
        <v/>
      </c>
      <c r="Q549">
        <f>HYPERLINK("imagenes/HALIFAX_WOMENS_J631004_BOR_3.jpg","Ver imagen")</f>
        <v/>
      </c>
    </row>
    <row r="550">
      <c r="A550" t="inlineStr">
        <is>
          <t>HALIFAX WOMENS</t>
        </is>
      </c>
      <c r="B550" t="inlineStr">
        <is>
          <t>J820824</t>
        </is>
      </c>
      <c r="C550" t="inlineStr">
        <is>
          <t>PARKA</t>
        </is>
      </c>
      <c r="D550" t="inlineStr">
        <is>
          <t>BLK</t>
        </is>
      </c>
      <c r="E550" t="inlineStr">
        <is>
          <t>(en blanco)</t>
        </is>
      </c>
      <c r="F550" t="inlineStr">
        <is>
          <t>(en blanco)</t>
        </is>
      </c>
      <c r="G550" t="inlineStr">
        <is>
          <t>L</t>
        </is>
      </c>
      <c r="H550" t="n">
        <v>2</v>
      </c>
      <c r="I550" t="inlineStr">
        <is>
          <t>HALIFAX_WOMENS_J820824_BLK_1.jpg</t>
        </is>
      </c>
      <c r="J550" t="inlineStr">
        <is>
          <t>HALIFAX_WOMENS_J820824_BLK_2.jpg</t>
        </is>
      </c>
      <c r="K550" t="inlineStr">
        <is>
          <t>HALIFAX_WOMENS_J820824_BLK_3.jpg</t>
        </is>
      </c>
      <c r="L550">
        <f>IMAGE("file:///E:/Estudios%20y%20certificaciones/ESTUDIOS%20DE%20PROGRAMMING/PROGRAMMING/PERSONAL/PYTHON/Image_Generator_API/imagenes/HALIFAX_WOMENS_J820824_BLK_1.jpg")</f>
        <v/>
      </c>
      <c r="M550">
        <f>IMAGE("file:///E:/Estudios%20y%20certificaciones/ESTUDIOS%20DE%20PROGRAMMING/PROGRAMMING/PERSONAL/PYTHON/Image_Generator_API/imagenes/HALIFAX_WOMENS_J820824_BLK_2.jpg")</f>
        <v/>
      </c>
      <c r="N550">
        <f>IMAGE("file:///E:/Estudios%20y%20certificaciones/ESTUDIOS%20DE%20PROGRAMMING/PROGRAMMING/PERSONAL/PYTHON/Image_Generator_API/imagenes/HALIFAX_WOMENS_J820824_BLK_3.jpg")</f>
        <v/>
      </c>
      <c r="O550">
        <f>HYPERLINK("imagenes/HALIFAX_WOMENS_J820824_BLK_1.jpg","Ver imagen")</f>
        <v/>
      </c>
      <c r="P550">
        <f>HYPERLINK("imagenes/HALIFAX_WOMENS_J820824_BLK_2.jpg","Ver imagen")</f>
        <v/>
      </c>
      <c r="Q550">
        <f>HYPERLINK("imagenes/HALIFAX_WOMENS_J820824_BLK_3.jpg","Ver imagen")</f>
        <v/>
      </c>
    </row>
    <row r="551">
      <c r="A551" t="inlineStr">
        <is>
          <t>HALIFAX WOMENS</t>
        </is>
      </c>
      <c r="B551" t="inlineStr">
        <is>
          <t>J820824</t>
        </is>
      </c>
      <c r="C551" t="inlineStr">
        <is>
          <t>PARKA</t>
        </is>
      </c>
      <c r="D551" t="inlineStr">
        <is>
          <t>MAA</t>
        </is>
      </c>
      <c r="E551" t="inlineStr">
        <is>
          <t>(en blanco)</t>
        </is>
      </c>
      <c r="F551" t="inlineStr">
        <is>
          <t>(en blanco)</t>
        </is>
      </c>
      <c r="G551" t="inlineStr">
        <is>
          <t>XXL</t>
        </is>
      </c>
      <c r="H551" t="n">
        <v>1</v>
      </c>
      <c r="I551" t="inlineStr">
        <is>
          <t>HALIFAX_WOMENS_J820824_MAA_1.jpg</t>
        </is>
      </c>
      <c r="J551" t="inlineStr">
        <is>
          <t>HALIFAX_WOMENS_J820824_MAA_2.jpg</t>
        </is>
      </c>
      <c r="K551" t="inlineStr">
        <is>
          <t>HALIFAX_WOMENS_J820824_MAA_3.jpg</t>
        </is>
      </c>
      <c r="L551">
        <f>IMAGE("file:///E:/Estudios%20y%20certificaciones/ESTUDIOS%20DE%20PROGRAMMING/PROGRAMMING/PERSONAL/PYTHON/Image_Generator_API/imagenes/HALIFAX_WOMENS_J820824_MAA_1.jpg")</f>
        <v/>
      </c>
      <c r="M551">
        <f>IMAGE("file:///E:/Estudios%20y%20certificaciones/ESTUDIOS%20DE%20PROGRAMMING/PROGRAMMING/PERSONAL/PYTHON/Image_Generator_API/imagenes/HALIFAX_WOMENS_J820824_MAA_2.jpg")</f>
        <v/>
      </c>
      <c r="N551">
        <f>IMAGE("file:///E:/Estudios%20y%20certificaciones/ESTUDIOS%20DE%20PROGRAMMING/PROGRAMMING/PERSONAL/PYTHON/Image_Generator_API/imagenes/HALIFAX_WOMENS_J820824_MAA_3.jpg")</f>
        <v/>
      </c>
      <c r="O551">
        <f>HYPERLINK("imagenes/HALIFAX_WOMENS_J820824_MAA_1.jpg","Ver imagen")</f>
        <v/>
      </c>
      <c r="P551">
        <f>HYPERLINK("imagenes/HALIFAX_WOMENS_J820824_MAA_2.jpg","Ver imagen")</f>
        <v/>
      </c>
      <c r="Q551">
        <f>HYPERLINK("imagenes/HALIFAX_WOMENS_J820824_MAA_3.jpg","Ver imagen")</f>
        <v/>
      </c>
    </row>
    <row r="552">
      <c r="A552" t="inlineStr">
        <is>
          <t>HALIFAX WOMENS</t>
        </is>
      </c>
      <c r="B552" t="inlineStr">
        <is>
          <t>J825523</t>
        </is>
      </c>
      <c r="C552" t="inlineStr">
        <is>
          <t>ZIPPER COAT</t>
        </is>
      </c>
      <c r="D552" t="inlineStr">
        <is>
          <t>CCS</t>
        </is>
      </c>
      <c r="E552" t="inlineStr">
        <is>
          <t>(en blanco)</t>
        </is>
      </c>
      <c r="F552" t="inlineStr">
        <is>
          <t>(en blanco)</t>
        </is>
      </c>
      <c r="G552" t="inlineStr">
        <is>
          <t>XL</t>
        </is>
      </c>
      <c r="H552" t="n">
        <v>1</v>
      </c>
      <c r="I552" t="inlineStr">
        <is>
          <t>HALIFAX_WOMENS_J825523_CCS_1.jpg</t>
        </is>
      </c>
      <c r="J552" t="inlineStr">
        <is>
          <t>HALIFAX_WOMENS_J825523_CCS_2.jpg</t>
        </is>
      </c>
      <c r="K552" t="inlineStr">
        <is>
          <t>HALIFAX_WOMENS_J825523_CCS_3.jpg</t>
        </is>
      </c>
      <c r="L552">
        <f>IMAGE("file:///E:/Estudios%20y%20certificaciones/ESTUDIOS%20DE%20PROGRAMMING/PROGRAMMING/PERSONAL/PYTHON/Image_Generator_API/imagenes/HALIFAX_WOMENS_J825523_CCS_1.jpg")</f>
        <v/>
      </c>
      <c r="M552">
        <f>IMAGE("file:///E:/Estudios%20y%20certificaciones/ESTUDIOS%20DE%20PROGRAMMING/PROGRAMMING/PERSONAL/PYTHON/Image_Generator_API/imagenes/HALIFAX_WOMENS_J825523_CCS_2.jpg")</f>
        <v/>
      </c>
      <c r="N552">
        <f>IMAGE("file:///E:/Estudios%20y%20certificaciones/ESTUDIOS%20DE%20PROGRAMMING/PROGRAMMING/PERSONAL/PYTHON/Image_Generator_API/imagenes/HALIFAX_WOMENS_J825523_CCS_3.jpg")</f>
        <v/>
      </c>
      <c r="O552">
        <f>HYPERLINK("imagenes/HALIFAX_WOMENS_J825523_CCS_1.jpg","Ver imagen")</f>
        <v/>
      </c>
      <c r="P552">
        <f>HYPERLINK("imagenes/HALIFAX_WOMENS_J825523_CCS_2.jpg","Ver imagen")</f>
        <v/>
      </c>
      <c r="Q552">
        <f>HYPERLINK("imagenes/HALIFAX_WOMENS_J825523_CCS_3.jpg","Ver imagen")</f>
        <v/>
      </c>
    </row>
    <row r="553">
      <c r="A553" t="inlineStr">
        <is>
          <t>HALIFAX WOMENS</t>
        </is>
      </c>
      <c r="B553" t="inlineStr">
        <is>
          <t>J828840</t>
        </is>
      </c>
      <c r="C553" t="inlineStr">
        <is>
          <t>SHORT PUFFER</t>
        </is>
      </c>
      <c r="D553" t="inlineStr">
        <is>
          <t>SAG</t>
        </is>
      </c>
      <c r="E553" t="inlineStr">
        <is>
          <t>(en blanco)</t>
        </is>
      </c>
      <c r="F553" t="inlineStr">
        <is>
          <t>(en blanco)</t>
        </is>
      </c>
      <c r="G553" t="inlineStr">
        <is>
          <t>L</t>
        </is>
      </c>
      <c r="H553" t="n">
        <v>1</v>
      </c>
      <c r="I553" t="inlineStr">
        <is>
          <t>HALIFAX_WOMENS_J828840_SAG_2.jpg</t>
        </is>
      </c>
      <c r="J553" t="inlineStr">
        <is>
          <t>HALIFAX_WOMENS_J828840_SAG_3.jpg</t>
        </is>
      </c>
      <c r="L553">
        <f>IMAGE("file:///E:/Estudios%20y%20certificaciones/ESTUDIOS%20DE%20PROGRAMMING/PROGRAMMING/PERSONAL/PYTHON/Image_Generator_API/imagenes/HALIFAX_WOMENS_J828840_SAG_2.jpg")</f>
        <v/>
      </c>
      <c r="M553">
        <f>IMAGE("file:///E:/Estudios%20y%20certificaciones/ESTUDIOS%20DE%20PROGRAMMING/PROGRAMMING/PERSONAL/PYTHON/Image_Generator_API/imagenes/HALIFAX_WOMENS_J828840_SAG_3.jpg")</f>
        <v/>
      </c>
      <c r="O553">
        <f>HYPERLINK("imagenes/HALIFAX_WOMENS_J828840_SAG_2.jpg","Ver imagen")</f>
        <v/>
      </c>
      <c r="P553">
        <f>HYPERLINK("imagenes/HALIFAX_WOMENS_J828840_SAG_3.jpg","Ver imagen")</f>
        <v/>
      </c>
    </row>
    <row r="554">
      <c r="A554" t="inlineStr">
        <is>
          <t>HALIFAX WOMENS</t>
        </is>
      </c>
      <c r="B554" t="inlineStr">
        <is>
          <t>J828840</t>
        </is>
      </c>
      <c r="C554" t="inlineStr">
        <is>
          <t>SHORT PUFFER</t>
        </is>
      </c>
      <c r="D554" t="inlineStr">
        <is>
          <t>SAG</t>
        </is>
      </c>
      <c r="E554" t="inlineStr">
        <is>
          <t>(en blanco)</t>
        </is>
      </c>
      <c r="F554" t="inlineStr">
        <is>
          <t>(en blanco)</t>
        </is>
      </c>
      <c r="G554" t="inlineStr">
        <is>
          <t>XL</t>
        </is>
      </c>
      <c r="H554" t="n">
        <v>1</v>
      </c>
      <c r="I554" t="inlineStr">
        <is>
          <t>HALIFAX_WOMENS_J828840_SAG_2.jpg</t>
        </is>
      </c>
      <c r="J554" t="inlineStr">
        <is>
          <t>HALIFAX_WOMENS_J828840_SAG_3.jpg</t>
        </is>
      </c>
      <c r="L554">
        <f>IMAGE("file:///E:/Estudios%20y%20certificaciones/ESTUDIOS%20DE%20PROGRAMMING/PROGRAMMING/PERSONAL/PYTHON/Image_Generator_API/imagenes/HALIFAX_WOMENS_J828840_SAG_2.jpg")</f>
        <v/>
      </c>
      <c r="M554">
        <f>IMAGE("file:///E:/Estudios%20y%20certificaciones/ESTUDIOS%20DE%20PROGRAMMING/PROGRAMMING/PERSONAL/PYTHON/Image_Generator_API/imagenes/HALIFAX_WOMENS_J828840_SAG_3.jpg")</f>
        <v/>
      </c>
      <c r="O554">
        <f>HYPERLINK("imagenes/HALIFAX_WOMENS_J828840_SAG_2.jpg","Ver imagen")</f>
        <v/>
      </c>
      <c r="P554">
        <f>HYPERLINK("imagenes/HALIFAX_WOMENS_J828840_SAG_3.jpg","Ver imagen")</f>
        <v/>
      </c>
    </row>
    <row r="555">
      <c r="A555" t="inlineStr">
        <is>
          <t>HALIFAX WOMENS</t>
        </is>
      </c>
      <c r="B555" t="inlineStr">
        <is>
          <t>J830800</t>
        </is>
      </c>
      <c r="C555" t="inlineStr">
        <is>
          <t>PLUS HOODED SNOWBIRD</t>
        </is>
      </c>
      <c r="D555" t="inlineStr">
        <is>
          <t>RED</t>
        </is>
      </c>
      <c r="E555" t="inlineStr">
        <is>
          <t>(en blanco)</t>
        </is>
      </c>
      <c r="F555" t="inlineStr">
        <is>
          <t>(en blanco)</t>
        </is>
      </c>
      <c r="G555" t="inlineStr">
        <is>
          <t>2X</t>
        </is>
      </c>
      <c r="H555" t="n">
        <v>1</v>
      </c>
      <c r="I555" t="inlineStr">
        <is>
          <t>HALIFAX_WOMENS_J830800_RED_1.jpg</t>
        </is>
      </c>
      <c r="J555" t="inlineStr">
        <is>
          <t>HALIFAX_WOMENS_J830800_RED_2.jpg</t>
        </is>
      </c>
      <c r="K555" t="inlineStr">
        <is>
          <t>HALIFAX_WOMENS_J830800_RED_3.jpg</t>
        </is>
      </c>
      <c r="L555">
        <f>IMAGE("file:///E:/Estudios%20y%20certificaciones/ESTUDIOS%20DE%20PROGRAMMING/PROGRAMMING/PERSONAL/PYTHON/Image_Generator_API/imagenes/HALIFAX_WOMENS_J830800_RED_1.jpg")</f>
        <v/>
      </c>
      <c r="M555">
        <f>IMAGE("file:///E:/Estudios%20y%20certificaciones/ESTUDIOS%20DE%20PROGRAMMING/PROGRAMMING/PERSONAL/PYTHON/Image_Generator_API/imagenes/HALIFAX_WOMENS_J830800_RED_2.jpg")</f>
        <v/>
      </c>
      <c r="N555">
        <f>IMAGE("file:///E:/Estudios%20y%20certificaciones/ESTUDIOS%20DE%20PROGRAMMING/PROGRAMMING/PERSONAL/PYTHON/Image_Generator_API/imagenes/HALIFAX_WOMENS_J830800_RED_3.jpg")</f>
        <v/>
      </c>
      <c r="O555">
        <f>HYPERLINK("imagenes/HALIFAX_WOMENS_J830800_RED_1.jpg","Ver imagen")</f>
        <v/>
      </c>
      <c r="P555">
        <f>HYPERLINK("imagenes/HALIFAX_WOMENS_J830800_RED_2.jpg","Ver imagen")</f>
        <v/>
      </c>
      <c r="Q555">
        <f>HYPERLINK("imagenes/HALIFAX_WOMENS_J830800_RED_3.jpg","Ver imagen")</f>
        <v/>
      </c>
    </row>
    <row r="556">
      <c r="A556" s="1" t="inlineStr">
        <is>
          <t>LAUNDRY BY DESIGN</t>
        </is>
      </c>
      <c r="B556" s="1" t="inlineStr">
        <is>
          <t>121000408</t>
        </is>
      </c>
      <c r="C556" s="1" t="inlineStr">
        <is>
          <t>32 INCH LADIES STRETCH PUFFER (T624271 F23) (24124)</t>
        </is>
      </c>
      <c r="D556" s="1" t="inlineStr"/>
      <c r="E556" s="1" t="inlineStr"/>
      <c r="F556" s="1" t="inlineStr"/>
      <c r="G556" s="1" t="inlineStr"/>
      <c r="H556" s="1" t="n">
        <v>432</v>
      </c>
      <c r="I556" s="1" t="inlineStr"/>
      <c r="J556" s="1" t="inlineStr"/>
      <c r="K556" s="1" t="inlineStr"/>
      <c r="L556" s="1" t="inlineStr"/>
      <c r="M556" s="1" t="inlineStr"/>
      <c r="N556" s="1" t="inlineStr"/>
      <c r="O556" s="1" t="inlineStr"/>
      <c r="P556" s="1" t="inlineStr"/>
      <c r="Q556" s="1" t="inlineStr"/>
    </row>
    <row r="557">
      <c r="A557" t="inlineStr">
        <is>
          <t>LAUNDRY BY DESIGN</t>
        </is>
      </c>
      <c r="B557" t="inlineStr">
        <is>
          <t>121000411</t>
        </is>
      </c>
      <c r="C557" t="inlineStr">
        <is>
          <t>32" STRETCH PUFFER (T624236 F23) (24154)</t>
        </is>
      </c>
      <c r="D557" t="inlineStr">
        <is>
          <t>MGN</t>
        </is>
      </c>
      <c r="E557" t="inlineStr">
        <is>
          <t>(en blanco)</t>
        </is>
      </c>
      <c r="F557" t="inlineStr">
        <is>
          <t>D2C</t>
        </is>
      </c>
      <c r="G557" t="inlineStr">
        <is>
          <t>XL</t>
        </is>
      </c>
      <c r="H557" t="n">
        <v>3</v>
      </c>
      <c r="I557" t="inlineStr">
        <is>
          <t>LAUNDRY_BY_DESIGN_121000411_MGN_1.jpg</t>
        </is>
      </c>
      <c r="J557" t="inlineStr">
        <is>
          <t>LAUNDRY_BY_DESIGN_121000411_MGN_2.jpg</t>
        </is>
      </c>
      <c r="K557" t="inlineStr">
        <is>
          <t>LAUNDRY_BY_DESIGN_121000411_MGN_3.jpg</t>
        </is>
      </c>
      <c r="L557">
        <f>IMAGE("file:///E:/Estudios%20y%20certificaciones/ESTUDIOS%20DE%20PROGRAMMING/PROGRAMMING/PERSONAL/PYTHON/Image_Generator_API/imagenes/LAUNDRY_BY_DESIGN_121000411_MGN_1.jpg")</f>
        <v/>
      </c>
      <c r="M557">
        <f>IMAGE("file:///E:/Estudios%20y%20certificaciones/ESTUDIOS%20DE%20PROGRAMMING/PROGRAMMING/PERSONAL/PYTHON/Image_Generator_API/imagenes/LAUNDRY_BY_DESIGN_121000411_MGN_2.jpg")</f>
        <v/>
      </c>
      <c r="N557">
        <f>IMAGE("file:///E:/Estudios%20y%20certificaciones/ESTUDIOS%20DE%20PROGRAMMING/PROGRAMMING/PERSONAL/PYTHON/Image_Generator_API/imagenes/LAUNDRY_BY_DESIGN_121000411_MGN_3.jpg")</f>
        <v/>
      </c>
      <c r="O557">
        <f>HYPERLINK("imagenes/LAUNDRY_BY_DESIGN_121000411_MGN_1.jpg","Ver imagen")</f>
        <v/>
      </c>
      <c r="P557">
        <f>HYPERLINK("imagenes/LAUNDRY_BY_DESIGN_121000411_MGN_2.jpg","Ver imagen")</f>
        <v/>
      </c>
      <c r="Q557">
        <f>HYPERLINK("imagenes/LAUNDRY_BY_DESIGN_121000411_MGN_3.jpg","Ver imagen")</f>
        <v/>
      </c>
    </row>
    <row r="558">
      <c r="A558" t="inlineStr">
        <is>
          <t>LAUNDRY BY DESIGN</t>
        </is>
      </c>
      <c r="B558" t="inlineStr">
        <is>
          <t>121000428</t>
        </is>
      </c>
      <c r="C558" t="inlineStr">
        <is>
          <t>3/4 LENGTH WOOL COAT (T624456 F23) (24415)</t>
        </is>
      </c>
      <c r="D558" t="inlineStr">
        <is>
          <t>BLK</t>
        </is>
      </c>
      <c r="E558" t="inlineStr">
        <is>
          <t>(en blanco)</t>
        </is>
      </c>
      <c r="F558" t="inlineStr">
        <is>
          <t>(en blanco)</t>
        </is>
      </c>
      <c r="G558" t="inlineStr">
        <is>
          <t>S</t>
        </is>
      </c>
      <c r="H558" t="n">
        <v>0</v>
      </c>
      <c r="I558" t="inlineStr">
        <is>
          <t>LAUNDRY_BY_DESIGN_121000428_BLK_1.jpg</t>
        </is>
      </c>
      <c r="J558" t="inlineStr">
        <is>
          <t>LAUNDRY_BY_DESIGN_121000428_BLK_2.jpg</t>
        </is>
      </c>
      <c r="K558" t="inlineStr">
        <is>
          <t>LAUNDRY_BY_DESIGN_121000428_BLK_3.jpg</t>
        </is>
      </c>
      <c r="L558">
        <f>IMAGE("file:///E:/Estudios%20y%20certificaciones/ESTUDIOS%20DE%20PROGRAMMING/PROGRAMMING/PERSONAL/PYTHON/Image_Generator_API/imagenes/LAUNDRY_BY_DESIGN_121000428_BLK_1.jpg")</f>
        <v/>
      </c>
      <c r="M558">
        <f>IMAGE("file:///E:/Estudios%20y%20certificaciones/ESTUDIOS%20DE%20PROGRAMMING/PROGRAMMING/PERSONAL/PYTHON/Image_Generator_API/imagenes/LAUNDRY_BY_DESIGN_121000428_BLK_2.jpg")</f>
        <v/>
      </c>
      <c r="N558">
        <f>IMAGE("file:///E:/Estudios%20y%20certificaciones/ESTUDIOS%20DE%20PROGRAMMING/PROGRAMMING/PERSONAL/PYTHON/Image_Generator_API/imagenes/LAUNDRY_BY_DESIGN_121000428_BLK_3.jpg")</f>
        <v/>
      </c>
      <c r="O558">
        <f>HYPERLINK("imagenes/LAUNDRY_BY_DESIGN_121000428_BLK_1.jpg","Ver imagen")</f>
        <v/>
      </c>
      <c r="P558">
        <f>HYPERLINK("imagenes/LAUNDRY_BY_DESIGN_121000428_BLK_2.jpg","Ver imagen")</f>
        <v/>
      </c>
      <c r="Q558">
        <f>HYPERLINK("imagenes/LAUNDRY_BY_DESIGN_121000428_BLK_3.jpg","Ver imagen")</f>
        <v/>
      </c>
    </row>
    <row r="559">
      <c r="A559" t="inlineStr">
        <is>
          <t>LAUNDRY BY DESIGN</t>
        </is>
      </c>
      <c r="B559" t="inlineStr">
        <is>
          <t>121000428</t>
        </is>
      </c>
      <c r="C559" t="inlineStr">
        <is>
          <t>3/4 LENGTH WOOL COAT (T624456 F23) (24415)</t>
        </is>
      </c>
      <c r="D559" t="inlineStr">
        <is>
          <t>BLK</t>
        </is>
      </c>
      <c r="E559" t="inlineStr">
        <is>
          <t>(en blanco)</t>
        </is>
      </c>
      <c r="F559" t="inlineStr">
        <is>
          <t>(en blanco)</t>
        </is>
      </c>
      <c r="G559" t="inlineStr">
        <is>
          <t>M</t>
        </is>
      </c>
      <c r="H559" t="n">
        <v>0</v>
      </c>
      <c r="I559" t="inlineStr">
        <is>
          <t>LAUNDRY_BY_DESIGN_121000428_BLK_1.jpg</t>
        </is>
      </c>
      <c r="J559" t="inlineStr">
        <is>
          <t>LAUNDRY_BY_DESIGN_121000428_BLK_2.jpg</t>
        </is>
      </c>
      <c r="K559" t="inlineStr">
        <is>
          <t>LAUNDRY_BY_DESIGN_121000428_BLK_3.jpg</t>
        </is>
      </c>
      <c r="L559">
        <f>IMAGE("file:///E:/Estudios%20y%20certificaciones/ESTUDIOS%20DE%20PROGRAMMING/PROGRAMMING/PERSONAL/PYTHON/Image_Generator_API/imagenes/LAUNDRY_BY_DESIGN_121000428_BLK_1.jpg")</f>
        <v/>
      </c>
      <c r="M559">
        <f>IMAGE("file:///E:/Estudios%20y%20certificaciones/ESTUDIOS%20DE%20PROGRAMMING/PROGRAMMING/PERSONAL/PYTHON/Image_Generator_API/imagenes/LAUNDRY_BY_DESIGN_121000428_BLK_2.jpg")</f>
        <v/>
      </c>
      <c r="N559">
        <f>IMAGE("file:///E:/Estudios%20y%20certificaciones/ESTUDIOS%20DE%20PROGRAMMING/PROGRAMMING/PERSONAL/PYTHON/Image_Generator_API/imagenes/LAUNDRY_BY_DESIGN_121000428_BLK_3.jpg")</f>
        <v/>
      </c>
      <c r="O559">
        <f>HYPERLINK("imagenes/LAUNDRY_BY_DESIGN_121000428_BLK_1.jpg","Ver imagen")</f>
        <v/>
      </c>
      <c r="P559">
        <f>HYPERLINK("imagenes/LAUNDRY_BY_DESIGN_121000428_BLK_2.jpg","Ver imagen")</f>
        <v/>
      </c>
      <c r="Q559">
        <f>HYPERLINK("imagenes/LAUNDRY_BY_DESIGN_121000428_BLK_3.jpg","Ver imagen")</f>
        <v/>
      </c>
    </row>
    <row r="560">
      <c r="A560" t="inlineStr">
        <is>
          <t>LAUNDRY BY DESIGN</t>
        </is>
      </c>
      <c r="B560" t="inlineStr">
        <is>
          <t>121000428</t>
        </is>
      </c>
      <c r="C560" t="inlineStr">
        <is>
          <t>3/4 LENGTH WOOL COAT (T624456 F23) (24415)</t>
        </is>
      </c>
      <c r="D560" t="inlineStr">
        <is>
          <t>BLK</t>
        </is>
      </c>
      <c r="E560" t="inlineStr">
        <is>
          <t>(en blanco)</t>
        </is>
      </c>
      <c r="F560" t="inlineStr">
        <is>
          <t>(en blanco)</t>
        </is>
      </c>
      <c r="G560" t="inlineStr">
        <is>
          <t>L</t>
        </is>
      </c>
      <c r="H560" t="n">
        <v>0</v>
      </c>
      <c r="I560" t="inlineStr">
        <is>
          <t>LAUNDRY_BY_DESIGN_121000428_BLK_1.jpg</t>
        </is>
      </c>
      <c r="J560" t="inlineStr">
        <is>
          <t>LAUNDRY_BY_DESIGN_121000428_BLK_2.jpg</t>
        </is>
      </c>
      <c r="K560" t="inlineStr">
        <is>
          <t>LAUNDRY_BY_DESIGN_121000428_BLK_3.jpg</t>
        </is>
      </c>
      <c r="L560">
        <f>IMAGE("file:///E:/Estudios%20y%20certificaciones/ESTUDIOS%20DE%20PROGRAMMING/PROGRAMMING/PERSONAL/PYTHON/Image_Generator_API/imagenes/LAUNDRY_BY_DESIGN_121000428_BLK_1.jpg")</f>
        <v/>
      </c>
      <c r="M560">
        <f>IMAGE("file:///E:/Estudios%20y%20certificaciones/ESTUDIOS%20DE%20PROGRAMMING/PROGRAMMING/PERSONAL/PYTHON/Image_Generator_API/imagenes/LAUNDRY_BY_DESIGN_121000428_BLK_2.jpg")</f>
        <v/>
      </c>
      <c r="N560">
        <f>IMAGE("file:///E:/Estudios%20y%20certificaciones/ESTUDIOS%20DE%20PROGRAMMING/PROGRAMMING/PERSONAL/PYTHON/Image_Generator_API/imagenes/LAUNDRY_BY_DESIGN_121000428_BLK_3.jpg")</f>
        <v/>
      </c>
      <c r="O560">
        <f>HYPERLINK("imagenes/LAUNDRY_BY_DESIGN_121000428_BLK_1.jpg","Ver imagen")</f>
        <v/>
      </c>
      <c r="P560">
        <f>HYPERLINK("imagenes/LAUNDRY_BY_DESIGN_121000428_BLK_2.jpg","Ver imagen")</f>
        <v/>
      </c>
      <c r="Q560">
        <f>HYPERLINK("imagenes/LAUNDRY_BY_DESIGN_121000428_BLK_3.jpg","Ver imagen")</f>
        <v/>
      </c>
    </row>
    <row r="561">
      <c r="A561" t="inlineStr">
        <is>
          <t>LAUNDRY BY DESIGN</t>
        </is>
      </c>
      <c r="B561" t="inlineStr">
        <is>
          <t>121000428</t>
        </is>
      </c>
      <c r="C561" t="inlineStr">
        <is>
          <t>3/4 LENGTH WOOL COAT (T624456 F23) (24415)</t>
        </is>
      </c>
      <c r="D561" t="inlineStr">
        <is>
          <t>BLK</t>
        </is>
      </c>
      <c r="E561" t="inlineStr">
        <is>
          <t>(en blanco)</t>
        </is>
      </c>
      <c r="F561" t="inlineStr">
        <is>
          <t>(en blanco)</t>
        </is>
      </c>
      <c r="G561" t="inlineStr">
        <is>
          <t>XL</t>
        </is>
      </c>
      <c r="H561" t="n">
        <v>0</v>
      </c>
      <c r="I561" t="inlineStr">
        <is>
          <t>LAUNDRY_BY_DESIGN_121000428_BLK_1.jpg</t>
        </is>
      </c>
      <c r="J561" t="inlineStr">
        <is>
          <t>LAUNDRY_BY_DESIGN_121000428_BLK_2.jpg</t>
        </is>
      </c>
      <c r="K561" t="inlineStr">
        <is>
          <t>LAUNDRY_BY_DESIGN_121000428_BLK_3.jpg</t>
        </is>
      </c>
      <c r="L561">
        <f>IMAGE("file:///E:/Estudios%20y%20certificaciones/ESTUDIOS%20DE%20PROGRAMMING/PROGRAMMING/PERSONAL/PYTHON/Image_Generator_API/imagenes/LAUNDRY_BY_DESIGN_121000428_BLK_1.jpg")</f>
        <v/>
      </c>
      <c r="M561">
        <f>IMAGE("file:///E:/Estudios%20y%20certificaciones/ESTUDIOS%20DE%20PROGRAMMING/PROGRAMMING/PERSONAL/PYTHON/Image_Generator_API/imagenes/LAUNDRY_BY_DESIGN_121000428_BLK_2.jpg")</f>
        <v/>
      </c>
      <c r="N561">
        <f>IMAGE("file:///E:/Estudios%20y%20certificaciones/ESTUDIOS%20DE%20PROGRAMMING/PROGRAMMING/PERSONAL/PYTHON/Image_Generator_API/imagenes/LAUNDRY_BY_DESIGN_121000428_BLK_3.jpg")</f>
        <v/>
      </c>
      <c r="O561">
        <f>HYPERLINK("imagenes/LAUNDRY_BY_DESIGN_121000428_BLK_1.jpg","Ver imagen")</f>
        <v/>
      </c>
      <c r="P561">
        <f>HYPERLINK("imagenes/LAUNDRY_BY_DESIGN_121000428_BLK_2.jpg","Ver imagen")</f>
        <v/>
      </c>
      <c r="Q561">
        <f>HYPERLINK("imagenes/LAUNDRY_BY_DESIGN_121000428_BLK_3.jpg","Ver imagen")</f>
        <v/>
      </c>
    </row>
    <row r="562">
      <c r="A562" t="inlineStr">
        <is>
          <t>LAUNDRY BY DESIGN</t>
        </is>
      </c>
      <c r="B562" t="inlineStr">
        <is>
          <t>121000428</t>
        </is>
      </c>
      <c r="C562" t="inlineStr">
        <is>
          <t>3/4 LENGTH WOOL COAT (T624456 F23) (24415)</t>
        </is>
      </c>
      <c r="D562" t="inlineStr">
        <is>
          <t>CAM</t>
        </is>
      </c>
      <c r="E562" t="inlineStr">
        <is>
          <t>(en blanco)</t>
        </is>
      </c>
      <c r="F562" t="inlineStr">
        <is>
          <t>(en blanco)</t>
        </is>
      </c>
      <c r="G562" t="inlineStr">
        <is>
          <t>M</t>
        </is>
      </c>
      <c r="H562" t="n">
        <v>0</v>
      </c>
      <c r="I562" t="inlineStr">
        <is>
          <t>LAUNDRY_BY_DESIGN_121000428_CAM_1.jpg</t>
        </is>
      </c>
      <c r="J562" t="inlineStr">
        <is>
          <t>LAUNDRY_BY_DESIGN_121000428_CAM_2.jpg</t>
        </is>
      </c>
      <c r="L562">
        <f>IMAGE("file:///E:/Estudios%20y%20certificaciones/ESTUDIOS%20DE%20PROGRAMMING/PROGRAMMING/PERSONAL/PYTHON/Image_Generator_API/imagenes/LAUNDRY_BY_DESIGN_121000428_CAM_1.jpg")</f>
        <v/>
      </c>
      <c r="M562">
        <f>IMAGE("file:///E:/Estudios%20y%20certificaciones/ESTUDIOS%20DE%20PROGRAMMING/PROGRAMMING/PERSONAL/PYTHON/Image_Generator_API/imagenes/LAUNDRY_BY_DESIGN_121000428_CAM_2.jpg")</f>
        <v/>
      </c>
      <c r="O562">
        <f>HYPERLINK("imagenes/LAUNDRY_BY_DESIGN_121000428_CAM_1.jpg","Ver imagen")</f>
        <v/>
      </c>
      <c r="P562">
        <f>HYPERLINK("imagenes/LAUNDRY_BY_DESIGN_121000428_CAM_2.jpg","Ver imagen")</f>
        <v/>
      </c>
    </row>
    <row r="563">
      <c r="A563" t="inlineStr">
        <is>
          <t>LAUNDRY BY DESIGN</t>
        </is>
      </c>
      <c r="B563" t="inlineStr">
        <is>
          <t>121000428</t>
        </is>
      </c>
      <c r="C563" t="inlineStr">
        <is>
          <t>3/4 LENGTH WOOL COAT (T624456 F23) (24415)</t>
        </is>
      </c>
      <c r="D563" t="inlineStr">
        <is>
          <t>CAM</t>
        </is>
      </c>
      <c r="E563" t="inlineStr">
        <is>
          <t>(en blanco)</t>
        </is>
      </c>
      <c r="F563" t="inlineStr">
        <is>
          <t>(en blanco)</t>
        </is>
      </c>
      <c r="G563" t="inlineStr">
        <is>
          <t>L</t>
        </is>
      </c>
      <c r="H563" t="n">
        <v>4</v>
      </c>
      <c r="I563" t="inlineStr">
        <is>
          <t>LAUNDRY_BY_DESIGN_121000428_CAM_1.jpg</t>
        </is>
      </c>
      <c r="J563" t="inlineStr">
        <is>
          <t>LAUNDRY_BY_DESIGN_121000428_CAM_2.jpg</t>
        </is>
      </c>
      <c r="L563">
        <f>IMAGE("file:///E:/Estudios%20y%20certificaciones/ESTUDIOS%20DE%20PROGRAMMING/PROGRAMMING/PERSONAL/PYTHON/Image_Generator_API/imagenes/LAUNDRY_BY_DESIGN_121000428_CAM_1.jpg")</f>
        <v/>
      </c>
      <c r="M563">
        <f>IMAGE("file:///E:/Estudios%20y%20certificaciones/ESTUDIOS%20DE%20PROGRAMMING/PROGRAMMING/PERSONAL/PYTHON/Image_Generator_API/imagenes/LAUNDRY_BY_DESIGN_121000428_CAM_2.jpg")</f>
        <v/>
      </c>
      <c r="O563">
        <f>HYPERLINK("imagenes/LAUNDRY_BY_DESIGN_121000428_CAM_1.jpg","Ver imagen")</f>
        <v/>
      </c>
      <c r="P563">
        <f>HYPERLINK("imagenes/LAUNDRY_BY_DESIGN_121000428_CAM_2.jpg","Ver imagen")</f>
        <v/>
      </c>
    </row>
    <row r="564">
      <c r="A564" t="inlineStr">
        <is>
          <t>LAUNDRY BY DESIGN</t>
        </is>
      </c>
      <c r="B564" t="inlineStr">
        <is>
          <t>121000428</t>
        </is>
      </c>
      <c r="C564" t="inlineStr">
        <is>
          <t>3/4 LENGTH WOOL COAT (T624456 F23) (24415)</t>
        </is>
      </c>
      <c r="D564" t="inlineStr">
        <is>
          <t>CAM</t>
        </is>
      </c>
      <c r="E564" t="inlineStr">
        <is>
          <t>(en blanco)</t>
        </is>
      </c>
      <c r="F564" t="inlineStr">
        <is>
          <t>(en blanco)</t>
        </is>
      </c>
      <c r="G564" t="inlineStr">
        <is>
          <t>XL</t>
        </is>
      </c>
      <c r="H564" t="n">
        <v>9</v>
      </c>
      <c r="I564" t="inlineStr">
        <is>
          <t>LAUNDRY_BY_DESIGN_121000428_CAM_1.jpg</t>
        </is>
      </c>
      <c r="J564" t="inlineStr">
        <is>
          <t>LAUNDRY_BY_DESIGN_121000428_CAM_2.jpg</t>
        </is>
      </c>
      <c r="L564">
        <f>IMAGE("file:///E:/Estudios%20y%20certificaciones/ESTUDIOS%20DE%20PROGRAMMING/PROGRAMMING/PERSONAL/PYTHON/Image_Generator_API/imagenes/LAUNDRY_BY_DESIGN_121000428_CAM_1.jpg")</f>
        <v/>
      </c>
      <c r="M564">
        <f>IMAGE("file:///E:/Estudios%20y%20certificaciones/ESTUDIOS%20DE%20PROGRAMMING/PROGRAMMING/PERSONAL/PYTHON/Image_Generator_API/imagenes/LAUNDRY_BY_DESIGN_121000428_CAM_2.jpg")</f>
        <v/>
      </c>
      <c r="O564">
        <f>HYPERLINK("imagenes/LAUNDRY_BY_DESIGN_121000428_CAM_1.jpg","Ver imagen")</f>
        <v/>
      </c>
      <c r="P564">
        <f>HYPERLINK("imagenes/LAUNDRY_BY_DESIGN_121000428_CAM_2.jpg","Ver imagen")</f>
        <v/>
      </c>
    </row>
    <row r="565">
      <c r="A565" t="inlineStr">
        <is>
          <t>LAUNDRY BY DESIGN</t>
        </is>
      </c>
      <c r="B565" t="inlineStr">
        <is>
          <t>121000428</t>
        </is>
      </c>
      <c r="C565" t="inlineStr">
        <is>
          <t>3/4 LENGTH WOOL COAT (T624456 F23) (24415)</t>
        </is>
      </c>
      <c r="D565" t="inlineStr">
        <is>
          <t>CAM</t>
        </is>
      </c>
      <c r="E565" t="inlineStr">
        <is>
          <t>(en blanco)</t>
        </is>
      </c>
      <c r="F565" t="inlineStr">
        <is>
          <t>(en blanco)</t>
        </is>
      </c>
      <c r="G565" t="inlineStr">
        <is>
          <t>XXL</t>
        </is>
      </c>
      <c r="H565" t="n">
        <v>3</v>
      </c>
      <c r="I565" t="inlineStr">
        <is>
          <t>LAUNDRY_BY_DESIGN_121000428_CAM_1.jpg</t>
        </is>
      </c>
      <c r="J565" t="inlineStr">
        <is>
          <t>LAUNDRY_BY_DESIGN_121000428_CAM_2.jpg</t>
        </is>
      </c>
      <c r="L565">
        <f>IMAGE("file:///E:/Estudios%20y%20certificaciones/ESTUDIOS%20DE%20PROGRAMMING/PROGRAMMING/PERSONAL/PYTHON/Image_Generator_API/imagenes/LAUNDRY_BY_DESIGN_121000428_CAM_1.jpg")</f>
        <v/>
      </c>
      <c r="M565">
        <f>IMAGE("file:///E:/Estudios%20y%20certificaciones/ESTUDIOS%20DE%20PROGRAMMING/PROGRAMMING/PERSONAL/PYTHON/Image_Generator_API/imagenes/LAUNDRY_BY_DESIGN_121000428_CAM_2.jpg")</f>
        <v/>
      </c>
      <c r="O565">
        <f>HYPERLINK("imagenes/LAUNDRY_BY_DESIGN_121000428_CAM_1.jpg","Ver imagen")</f>
        <v/>
      </c>
      <c r="P565">
        <f>HYPERLINK("imagenes/LAUNDRY_BY_DESIGN_121000428_CAM_2.jpg","Ver imagen")</f>
        <v/>
      </c>
    </row>
    <row r="566">
      <c r="A566" t="inlineStr">
        <is>
          <t>LAUNDRY BY DESIGN</t>
        </is>
      </c>
      <c r="B566" t="inlineStr">
        <is>
          <t>121000428</t>
        </is>
      </c>
      <c r="C566" t="inlineStr">
        <is>
          <t>3/4 LENGTH WOOL COAT (T624456 F23) (24415)</t>
        </is>
      </c>
      <c r="D566" t="inlineStr">
        <is>
          <t>ICE</t>
        </is>
      </c>
      <c r="E566" t="inlineStr">
        <is>
          <t>(en blanco)</t>
        </is>
      </c>
      <c r="F566" t="inlineStr">
        <is>
          <t>(en blanco)</t>
        </is>
      </c>
      <c r="G566" t="inlineStr">
        <is>
          <t>S</t>
        </is>
      </c>
      <c r="H566" t="n">
        <v>2</v>
      </c>
      <c r="I566" t="inlineStr">
        <is>
          <t>LAUNDRY_BY_DESIGN_121000428_ICE_1.jpg</t>
        </is>
      </c>
      <c r="J566" t="inlineStr">
        <is>
          <t>LAUNDRY_BY_DESIGN_121000428_ICE_2.jpg</t>
        </is>
      </c>
      <c r="K566" t="inlineStr">
        <is>
          <t>LAUNDRY_BY_DESIGN_121000428_ICE_3.jpg</t>
        </is>
      </c>
      <c r="L566">
        <f>IMAGE("file:///E:/Estudios%20y%20certificaciones/ESTUDIOS%20DE%20PROGRAMMING/PROGRAMMING/PERSONAL/PYTHON/Image_Generator_API/imagenes/LAUNDRY_BY_DESIGN_121000428_ICE_1.jpg")</f>
        <v/>
      </c>
      <c r="M566">
        <f>IMAGE("file:///E:/Estudios%20y%20certificaciones/ESTUDIOS%20DE%20PROGRAMMING/PROGRAMMING/PERSONAL/PYTHON/Image_Generator_API/imagenes/LAUNDRY_BY_DESIGN_121000428_ICE_2.jpg")</f>
        <v/>
      </c>
      <c r="N566">
        <f>IMAGE("file:///E:/Estudios%20y%20certificaciones/ESTUDIOS%20DE%20PROGRAMMING/PROGRAMMING/PERSONAL/PYTHON/Image_Generator_API/imagenes/LAUNDRY_BY_DESIGN_121000428_ICE_3.jpg")</f>
        <v/>
      </c>
      <c r="O566">
        <f>HYPERLINK("imagenes/LAUNDRY_BY_DESIGN_121000428_ICE_1.jpg","Ver imagen")</f>
        <v/>
      </c>
      <c r="P566">
        <f>HYPERLINK("imagenes/LAUNDRY_BY_DESIGN_121000428_ICE_2.jpg","Ver imagen")</f>
        <v/>
      </c>
      <c r="Q566">
        <f>HYPERLINK("imagenes/LAUNDRY_BY_DESIGN_121000428_ICE_3.jpg","Ver imagen")</f>
        <v/>
      </c>
    </row>
    <row r="567">
      <c r="A567" t="inlineStr">
        <is>
          <t>LAUNDRY BY DESIGN</t>
        </is>
      </c>
      <c r="B567" t="inlineStr">
        <is>
          <t>121000428</t>
        </is>
      </c>
      <c r="C567" t="inlineStr">
        <is>
          <t>3/4 LENGTH WOOL COAT (T624456 F23) (24415)</t>
        </is>
      </c>
      <c r="D567" t="inlineStr">
        <is>
          <t>ICE</t>
        </is>
      </c>
      <c r="E567" t="inlineStr">
        <is>
          <t>(en blanco)</t>
        </is>
      </c>
      <c r="F567" t="inlineStr">
        <is>
          <t>(en blanco)</t>
        </is>
      </c>
      <c r="G567" t="inlineStr">
        <is>
          <t>M</t>
        </is>
      </c>
      <c r="H567" t="n">
        <v>5</v>
      </c>
      <c r="I567" t="inlineStr">
        <is>
          <t>LAUNDRY_BY_DESIGN_121000428_ICE_1.jpg</t>
        </is>
      </c>
      <c r="J567" t="inlineStr">
        <is>
          <t>LAUNDRY_BY_DESIGN_121000428_ICE_2.jpg</t>
        </is>
      </c>
      <c r="K567" t="inlineStr">
        <is>
          <t>LAUNDRY_BY_DESIGN_121000428_ICE_3.jpg</t>
        </is>
      </c>
      <c r="L567">
        <f>IMAGE("file:///E:/Estudios%20y%20certificaciones/ESTUDIOS%20DE%20PROGRAMMING/PROGRAMMING/PERSONAL/PYTHON/Image_Generator_API/imagenes/LAUNDRY_BY_DESIGN_121000428_ICE_1.jpg")</f>
        <v/>
      </c>
      <c r="M567">
        <f>IMAGE("file:///E:/Estudios%20y%20certificaciones/ESTUDIOS%20DE%20PROGRAMMING/PROGRAMMING/PERSONAL/PYTHON/Image_Generator_API/imagenes/LAUNDRY_BY_DESIGN_121000428_ICE_2.jpg")</f>
        <v/>
      </c>
      <c r="N567">
        <f>IMAGE("file:///E:/Estudios%20y%20certificaciones/ESTUDIOS%20DE%20PROGRAMMING/PROGRAMMING/PERSONAL/PYTHON/Image_Generator_API/imagenes/LAUNDRY_BY_DESIGN_121000428_ICE_3.jpg")</f>
        <v/>
      </c>
      <c r="O567">
        <f>HYPERLINK("imagenes/LAUNDRY_BY_DESIGN_121000428_ICE_1.jpg","Ver imagen")</f>
        <v/>
      </c>
      <c r="P567">
        <f>HYPERLINK("imagenes/LAUNDRY_BY_DESIGN_121000428_ICE_2.jpg","Ver imagen")</f>
        <v/>
      </c>
      <c r="Q567">
        <f>HYPERLINK("imagenes/LAUNDRY_BY_DESIGN_121000428_ICE_3.jpg","Ver imagen")</f>
        <v/>
      </c>
    </row>
    <row r="568">
      <c r="A568" t="inlineStr">
        <is>
          <t>LAUNDRY BY DESIGN</t>
        </is>
      </c>
      <c r="B568" t="inlineStr">
        <is>
          <t>121000428</t>
        </is>
      </c>
      <c r="C568" t="inlineStr">
        <is>
          <t>3/4 LENGTH WOOL COAT (T624456 F23) (24415)</t>
        </is>
      </c>
      <c r="D568" t="inlineStr">
        <is>
          <t>ICE</t>
        </is>
      </c>
      <c r="E568" t="inlineStr">
        <is>
          <t>(en blanco)</t>
        </is>
      </c>
      <c r="F568" t="inlineStr">
        <is>
          <t>(en blanco)</t>
        </is>
      </c>
      <c r="G568" t="inlineStr">
        <is>
          <t>L</t>
        </is>
      </c>
      <c r="H568" t="n">
        <v>3</v>
      </c>
      <c r="I568" t="inlineStr">
        <is>
          <t>LAUNDRY_BY_DESIGN_121000428_ICE_1.jpg</t>
        </is>
      </c>
      <c r="J568" t="inlineStr">
        <is>
          <t>LAUNDRY_BY_DESIGN_121000428_ICE_2.jpg</t>
        </is>
      </c>
      <c r="K568" t="inlineStr">
        <is>
          <t>LAUNDRY_BY_DESIGN_121000428_ICE_3.jpg</t>
        </is>
      </c>
      <c r="L568">
        <f>IMAGE("file:///E:/Estudios%20y%20certificaciones/ESTUDIOS%20DE%20PROGRAMMING/PROGRAMMING/PERSONAL/PYTHON/Image_Generator_API/imagenes/LAUNDRY_BY_DESIGN_121000428_ICE_1.jpg")</f>
        <v/>
      </c>
      <c r="M568">
        <f>IMAGE("file:///E:/Estudios%20y%20certificaciones/ESTUDIOS%20DE%20PROGRAMMING/PROGRAMMING/PERSONAL/PYTHON/Image_Generator_API/imagenes/LAUNDRY_BY_DESIGN_121000428_ICE_2.jpg")</f>
        <v/>
      </c>
      <c r="N568">
        <f>IMAGE("file:///E:/Estudios%20y%20certificaciones/ESTUDIOS%20DE%20PROGRAMMING/PROGRAMMING/PERSONAL/PYTHON/Image_Generator_API/imagenes/LAUNDRY_BY_DESIGN_121000428_ICE_3.jpg")</f>
        <v/>
      </c>
      <c r="O568">
        <f>HYPERLINK("imagenes/LAUNDRY_BY_DESIGN_121000428_ICE_1.jpg","Ver imagen")</f>
        <v/>
      </c>
      <c r="P568">
        <f>HYPERLINK("imagenes/LAUNDRY_BY_DESIGN_121000428_ICE_2.jpg","Ver imagen")</f>
        <v/>
      </c>
      <c r="Q568">
        <f>HYPERLINK("imagenes/LAUNDRY_BY_DESIGN_121000428_ICE_3.jpg","Ver imagen")</f>
        <v/>
      </c>
    </row>
    <row r="569">
      <c r="A569" t="inlineStr">
        <is>
          <t>LAUNDRY BY DESIGN</t>
        </is>
      </c>
      <c r="B569" t="inlineStr">
        <is>
          <t>121000428</t>
        </is>
      </c>
      <c r="C569" t="inlineStr">
        <is>
          <t>3/4 LENGTH WOOL COAT (T624456 F23) (24415)</t>
        </is>
      </c>
      <c r="D569" t="inlineStr">
        <is>
          <t>ICE</t>
        </is>
      </c>
      <c r="E569" t="inlineStr">
        <is>
          <t>(en blanco)</t>
        </is>
      </c>
      <c r="F569" t="inlineStr">
        <is>
          <t>(en blanco)</t>
        </is>
      </c>
      <c r="G569" t="inlineStr">
        <is>
          <t>XL</t>
        </is>
      </c>
      <c r="H569" t="n">
        <v>7</v>
      </c>
      <c r="I569" t="inlineStr">
        <is>
          <t>LAUNDRY_BY_DESIGN_121000428_ICE_1.jpg</t>
        </is>
      </c>
      <c r="J569" t="inlineStr">
        <is>
          <t>LAUNDRY_BY_DESIGN_121000428_ICE_2.jpg</t>
        </is>
      </c>
      <c r="K569" t="inlineStr">
        <is>
          <t>LAUNDRY_BY_DESIGN_121000428_ICE_3.jpg</t>
        </is>
      </c>
      <c r="L569">
        <f>IMAGE("file:///E:/Estudios%20y%20certificaciones/ESTUDIOS%20DE%20PROGRAMMING/PROGRAMMING/PERSONAL/PYTHON/Image_Generator_API/imagenes/LAUNDRY_BY_DESIGN_121000428_ICE_1.jpg")</f>
        <v/>
      </c>
      <c r="M569">
        <f>IMAGE("file:///E:/Estudios%20y%20certificaciones/ESTUDIOS%20DE%20PROGRAMMING/PROGRAMMING/PERSONAL/PYTHON/Image_Generator_API/imagenes/LAUNDRY_BY_DESIGN_121000428_ICE_2.jpg")</f>
        <v/>
      </c>
      <c r="N569">
        <f>IMAGE("file:///E:/Estudios%20y%20certificaciones/ESTUDIOS%20DE%20PROGRAMMING/PROGRAMMING/PERSONAL/PYTHON/Image_Generator_API/imagenes/LAUNDRY_BY_DESIGN_121000428_ICE_3.jpg")</f>
        <v/>
      </c>
      <c r="O569">
        <f>HYPERLINK("imagenes/LAUNDRY_BY_DESIGN_121000428_ICE_1.jpg","Ver imagen")</f>
        <v/>
      </c>
      <c r="P569">
        <f>HYPERLINK("imagenes/LAUNDRY_BY_DESIGN_121000428_ICE_2.jpg","Ver imagen")</f>
        <v/>
      </c>
      <c r="Q569">
        <f>HYPERLINK("imagenes/LAUNDRY_BY_DESIGN_121000428_ICE_3.jpg","Ver imagen")</f>
        <v/>
      </c>
    </row>
    <row r="570">
      <c r="A570" t="inlineStr">
        <is>
          <t>LAUNDRY BY DESIGN</t>
        </is>
      </c>
      <c r="B570" t="inlineStr">
        <is>
          <t>121000428</t>
        </is>
      </c>
      <c r="C570" t="inlineStr">
        <is>
          <t>3/4 LENGTH WOOL COAT (T624456 F23) (24415)</t>
        </is>
      </c>
      <c r="D570" t="inlineStr">
        <is>
          <t>ICE</t>
        </is>
      </c>
      <c r="E570" t="inlineStr">
        <is>
          <t>(en blanco)</t>
        </is>
      </c>
      <c r="F570" t="inlineStr">
        <is>
          <t>(en blanco)</t>
        </is>
      </c>
      <c r="G570" t="inlineStr">
        <is>
          <t>XXL</t>
        </is>
      </c>
      <c r="H570" t="n">
        <v>1</v>
      </c>
      <c r="I570" t="inlineStr">
        <is>
          <t>LAUNDRY_BY_DESIGN_121000428_ICE_1.jpg</t>
        </is>
      </c>
      <c r="J570" t="inlineStr">
        <is>
          <t>LAUNDRY_BY_DESIGN_121000428_ICE_2.jpg</t>
        </is>
      </c>
      <c r="K570" t="inlineStr">
        <is>
          <t>LAUNDRY_BY_DESIGN_121000428_ICE_3.jpg</t>
        </is>
      </c>
      <c r="L570">
        <f>IMAGE("file:///E:/Estudios%20y%20certificaciones/ESTUDIOS%20DE%20PROGRAMMING/PROGRAMMING/PERSONAL/PYTHON/Image_Generator_API/imagenes/LAUNDRY_BY_DESIGN_121000428_ICE_1.jpg")</f>
        <v/>
      </c>
      <c r="M570">
        <f>IMAGE("file:///E:/Estudios%20y%20certificaciones/ESTUDIOS%20DE%20PROGRAMMING/PROGRAMMING/PERSONAL/PYTHON/Image_Generator_API/imagenes/LAUNDRY_BY_DESIGN_121000428_ICE_2.jpg")</f>
        <v/>
      </c>
      <c r="N570">
        <f>IMAGE("file:///E:/Estudios%20y%20certificaciones/ESTUDIOS%20DE%20PROGRAMMING/PROGRAMMING/PERSONAL/PYTHON/Image_Generator_API/imagenes/LAUNDRY_BY_DESIGN_121000428_ICE_3.jpg")</f>
        <v/>
      </c>
      <c r="O570">
        <f>HYPERLINK("imagenes/LAUNDRY_BY_DESIGN_121000428_ICE_1.jpg","Ver imagen")</f>
        <v/>
      </c>
      <c r="P570">
        <f>HYPERLINK("imagenes/LAUNDRY_BY_DESIGN_121000428_ICE_2.jpg","Ver imagen")</f>
        <v/>
      </c>
      <c r="Q570">
        <f>HYPERLINK("imagenes/LAUNDRY_BY_DESIGN_121000428_ICE_3.jpg","Ver imagen")</f>
        <v/>
      </c>
    </row>
    <row r="571">
      <c r="A571" t="inlineStr">
        <is>
          <t>LAUNDRY BY DESIGN</t>
        </is>
      </c>
      <c r="B571" t="inlineStr">
        <is>
          <t>121000428</t>
        </is>
      </c>
      <c r="C571" t="inlineStr">
        <is>
          <t>3/4 LENGTH WOOL COAT (T624456 F23) (24415)</t>
        </is>
      </c>
      <c r="D571" t="inlineStr">
        <is>
          <t>RWI</t>
        </is>
      </c>
      <c r="E571" t="inlineStr">
        <is>
          <t>(en blanco)</t>
        </is>
      </c>
      <c r="F571" t="inlineStr">
        <is>
          <t>(en blanco)</t>
        </is>
      </c>
      <c r="G571" t="inlineStr">
        <is>
          <t>S</t>
        </is>
      </c>
      <c r="H571" t="n">
        <v>2</v>
      </c>
      <c r="I571" t="inlineStr">
        <is>
          <t>LAUNDRY_BY_DESIGN_121000428_RWI_1.jpg</t>
        </is>
      </c>
      <c r="J571" t="inlineStr">
        <is>
          <t>LAUNDRY_BY_DESIGN_121000428_RWI_2.jpg</t>
        </is>
      </c>
      <c r="K571" t="inlineStr">
        <is>
          <t>LAUNDRY_BY_DESIGN_121000428_RWI_3.jpg</t>
        </is>
      </c>
      <c r="L571">
        <f>IMAGE("file:///E:/Estudios%20y%20certificaciones/ESTUDIOS%20DE%20PROGRAMMING/PROGRAMMING/PERSONAL/PYTHON/Image_Generator_API/imagenes/LAUNDRY_BY_DESIGN_121000428_RWI_1.jpg")</f>
        <v/>
      </c>
      <c r="M571">
        <f>IMAGE("file:///E:/Estudios%20y%20certificaciones/ESTUDIOS%20DE%20PROGRAMMING/PROGRAMMING/PERSONAL/PYTHON/Image_Generator_API/imagenes/LAUNDRY_BY_DESIGN_121000428_RWI_2.jpg")</f>
        <v/>
      </c>
      <c r="N571">
        <f>IMAGE("file:///E:/Estudios%20y%20certificaciones/ESTUDIOS%20DE%20PROGRAMMING/PROGRAMMING/PERSONAL/PYTHON/Image_Generator_API/imagenes/LAUNDRY_BY_DESIGN_121000428_RWI_3.jpg")</f>
        <v/>
      </c>
      <c r="O571">
        <f>HYPERLINK("imagenes/LAUNDRY_BY_DESIGN_121000428_RWI_1.jpg","Ver imagen")</f>
        <v/>
      </c>
      <c r="P571">
        <f>HYPERLINK("imagenes/LAUNDRY_BY_DESIGN_121000428_RWI_2.jpg","Ver imagen")</f>
        <v/>
      </c>
      <c r="Q571">
        <f>HYPERLINK("imagenes/LAUNDRY_BY_DESIGN_121000428_RWI_3.jpg","Ver imagen")</f>
        <v/>
      </c>
    </row>
    <row r="572">
      <c r="A572" t="inlineStr">
        <is>
          <t>LAUNDRY BY DESIGN</t>
        </is>
      </c>
      <c r="B572" t="inlineStr">
        <is>
          <t>121000428</t>
        </is>
      </c>
      <c r="C572" t="inlineStr">
        <is>
          <t>3/4 LENGTH WOOL COAT (T624456 F23) (24415)</t>
        </is>
      </c>
      <c r="D572" t="inlineStr">
        <is>
          <t>RWI</t>
        </is>
      </c>
      <c r="E572" t="inlineStr">
        <is>
          <t>(en blanco)</t>
        </is>
      </c>
      <c r="F572" t="inlineStr">
        <is>
          <t>(en blanco)</t>
        </is>
      </c>
      <c r="G572" t="inlineStr">
        <is>
          <t>M</t>
        </is>
      </c>
      <c r="H572" t="n">
        <v>22</v>
      </c>
      <c r="I572" t="inlineStr">
        <is>
          <t>LAUNDRY_BY_DESIGN_121000428_RWI_1.jpg</t>
        </is>
      </c>
      <c r="J572" t="inlineStr">
        <is>
          <t>LAUNDRY_BY_DESIGN_121000428_RWI_2.jpg</t>
        </is>
      </c>
      <c r="K572" t="inlineStr">
        <is>
          <t>LAUNDRY_BY_DESIGN_121000428_RWI_3.jpg</t>
        </is>
      </c>
      <c r="L572">
        <f>IMAGE("file:///E:/Estudios%20y%20certificaciones/ESTUDIOS%20DE%20PROGRAMMING/PROGRAMMING/PERSONAL/PYTHON/Image_Generator_API/imagenes/LAUNDRY_BY_DESIGN_121000428_RWI_1.jpg")</f>
        <v/>
      </c>
      <c r="M572">
        <f>IMAGE("file:///E:/Estudios%20y%20certificaciones/ESTUDIOS%20DE%20PROGRAMMING/PROGRAMMING/PERSONAL/PYTHON/Image_Generator_API/imagenes/LAUNDRY_BY_DESIGN_121000428_RWI_2.jpg")</f>
        <v/>
      </c>
      <c r="N572">
        <f>IMAGE("file:///E:/Estudios%20y%20certificaciones/ESTUDIOS%20DE%20PROGRAMMING/PROGRAMMING/PERSONAL/PYTHON/Image_Generator_API/imagenes/LAUNDRY_BY_DESIGN_121000428_RWI_3.jpg")</f>
        <v/>
      </c>
      <c r="O572">
        <f>HYPERLINK("imagenes/LAUNDRY_BY_DESIGN_121000428_RWI_1.jpg","Ver imagen")</f>
        <v/>
      </c>
      <c r="P572">
        <f>HYPERLINK("imagenes/LAUNDRY_BY_DESIGN_121000428_RWI_2.jpg","Ver imagen")</f>
        <v/>
      </c>
      <c r="Q572">
        <f>HYPERLINK("imagenes/LAUNDRY_BY_DESIGN_121000428_RWI_3.jpg","Ver imagen")</f>
        <v/>
      </c>
    </row>
    <row r="573">
      <c r="A573" t="inlineStr">
        <is>
          <t>LAUNDRY BY DESIGN</t>
        </is>
      </c>
      <c r="B573" t="inlineStr">
        <is>
          <t>121000428</t>
        </is>
      </c>
      <c r="C573" t="inlineStr">
        <is>
          <t>3/4 LENGTH WOOL COAT (T624456 F23) (24415)</t>
        </is>
      </c>
      <c r="D573" t="inlineStr">
        <is>
          <t>RWI</t>
        </is>
      </c>
      <c r="E573" t="inlineStr">
        <is>
          <t>(en blanco)</t>
        </is>
      </c>
      <c r="F573" t="inlineStr">
        <is>
          <t>(en blanco)</t>
        </is>
      </c>
      <c r="G573" t="inlineStr">
        <is>
          <t>L</t>
        </is>
      </c>
      <c r="H573" t="n">
        <v>4</v>
      </c>
      <c r="I573" t="inlineStr">
        <is>
          <t>LAUNDRY_BY_DESIGN_121000428_RWI_1.jpg</t>
        </is>
      </c>
      <c r="J573" t="inlineStr">
        <is>
          <t>LAUNDRY_BY_DESIGN_121000428_RWI_2.jpg</t>
        </is>
      </c>
      <c r="K573" t="inlineStr">
        <is>
          <t>LAUNDRY_BY_DESIGN_121000428_RWI_3.jpg</t>
        </is>
      </c>
      <c r="L573">
        <f>IMAGE("file:///E:/Estudios%20y%20certificaciones/ESTUDIOS%20DE%20PROGRAMMING/PROGRAMMING/PERSONAL/PYTHON/Image_Generator_API/imagenes/LAUNDRY_BY_DESIGN_121000428_RWI_1.jpg")</f>
        <v/>
      </c>
      <c r="M573">
        <f>IMAGE("file:///E:/Estudios%20y%20certificaciones/ESTUDIOS%20DE%20PROGRAMMING/PROGRAMMING/PERSONAL/PYTHON/Image_Generator_API/imagenes/LAUNDRY_BY_DESIGN_121000428_RWI_2.jpg")</f>
        <v/>
      </c>
      <c r="N573">
        <f>IMAGE("file:///E:/Estudios%20y%20certificaciones/ESTUDIOS%20DE%20PROGRAMMING/PROGRAMMING/PERSONAL/PYTHON/Image_Generator_API/imagenes/LAUNDRY_BY_DESIGN_121000428_RWI_3.jpg")</f>
        <v/>
      </c>
      <c r="O573">
        <f>HYPERLINK("imagenes/LAUNDRY_BY_DESIGN_121000428_RWI_1.jpg","Ver imagen")</f>
        <v/>
      </c>
      <c r="P573">
        <f>HYPERLINK("imagenes/LAUNDRY_BY_DESIGN_121000428_RWI_2.jpg","Ver imagen")</f>
        <v/>
      </c>
      <c r="Q573">
        <f>HYPERLINK("imagenes/LAUNDRY_BY_DESIGN_121000428_RWI_3.jpg","Ver imagen")</f>
        <v/>
      </c>
    </row>
    <row r="574">
      <c r="A574" t="inlineStr">
        <is>
          <t>LAUNDRY BY DESIGN</t>
        </is>
      </c>
      <c r="B574" t="inlineStr">
        <is>
          <t>121000428</t>
        </is>
      </c>
      <c r="C574" t="inlineStr">
        <is>
          <t>3/4 LENGTH WOOL COAT (T624456 F23) (24415)</t>
        </is>
      </c>
      <c r="D574" t="inlineStr">
        <is>
          <t>RWI</t>
        </is>
      </c>
      <c r="E574" t="inlineStr">
        <is>
          <t>(en blanco)</t>
        </is>
      </c>
      <c r="F574" t="inlineStr">
        <is>
          <t>(en blanco)</t>
        </is>
      </c>
      <c r="G574" t="inlineStr">
        <is>
          <t>XL</t>
        </is>
      </c>
      <c r="H574" t="n">
        <v>12</v>
      </c>
      <c r="I574" t="inlineStr">
        <is>
          <t>LAUNDRY_BY_DESIGN_121000428_RWI_1.jpg</t>
        </is>
      </c>
      <c r="J574" t="inlineStr">
        <is>
          <t>LAUNDRY_BY_DESIGN_121000428_RWI_2.jpg</t>
        </is>
      </c>
      <c r="K574" t="inlineStr">
        <is>
          <t>LAUNDRY_BY_DESIGN_121000428_RWI_3.jpg</t>
        </is>
      </c>
      <c r="L574">
        <f>IMAGE("file:///E:/Estudios%20y%20certificaciones/ESTUDIOS%20DE%20PROGRAMMING/PROGRAMMING/PERSONAL/PYTHON/Image_Generator_API/imagenes/LAUNDRY_BY_DESIGN_121000428_RWI_1.jpg")</f>
        <v/>
      </c>
      <c r="M574">
        <f>IMAGE("file:///E:/Estudios%20y%20certificaciones/ESTUDIOS%20DE%20PROGRAMMING/PROGRAMMING/PERSONAL/PYTHON/Image_Generator_API/imagenes/LAUNDRY_BY_DESIGN_121000428_RWI_2.jpg")</f>
        <v/>
      </c>
      <c r="N574">
        <f>IMAGE("file:///E:/Estudios%20y%20certificaciones/ESTUDIOS%20DE%20PROGRAMMING/PROGRAMMING/PERSONAL/PYTHON/Image_Generator_API/imagenes/LAUNDRY_BY_DESIGN_121000428_RWI_3.jpg")</f>
        <v/>
      </c>
      <c r="O574">
        <f>HYPERLINK("imagenes/LAUNDRY_BY_DESIGN_121000428_RWI_1.jpg","Ver imagen")</f>
        <v/>
      </c>
      <c r="P574">
        <f>HYPERLINK("imagenes/LAUNDRY_BY_DESIGN_121000428_RWI_2.jpg","Ver imagen")</f>
        <v/>
      </c>
      <c r="Q574">
        <f>HYPERLINK("imagenes/LAUNDRY_BY_DESIGN_121000428_RWI_3.jpg","Ver imagen")</f>
        <v/>
      </c>
    </row>
    <row r="575">
      <c r="A575" t="inlineStr">
        <is>
          <t>LAUNDRY BY DESIGN</t>
        </is>
      </c>
      <c r="B575" t="inlineStr">
        <is>
          <t>121000428</t>
        </is>
      </c>
      <c r="C575" t="inlineStr">
        <is>
          <t>3/4 LENGTH WOOL COAT (T624456 F23) (24415)</t>
        </is>
      </c>
      <c r="D575" t="inlineStr">
        <is>
          <t>RWI</t>
        </is>
      </c>
      <c r="E575" t="inlineStr">
        <is>
          <t>(en blanco)</t>
        </is>
      </c>
      <c r="F575" t="inlineStr">
        <is>
          <t>(en blanco)</t>
        </is>
      </c>
      <c r="G575" t="inlineStr">
        <is>
          <t>XXL</t>
        </is>
      </c>
      <c r="H575" t="n">
        <v>3</v>
      </c>
      <c r="I575" t="inlineStr">
        <is>
          <t>LAUNDRY_BY_DESIGN_121000428_RWI_1.jpg</t>
        </is>
      </c>
      <c r="J575" t="inlineStr">
        <is>
          <t>LAUNDRY_BY_DESIGN_121000428_RWI_2.jpg</t>
        </is>
      </c>
      <c r="K575" t="inlineStr">
        <is>
          <t>LAUNDRY_BY_DESIGN_121000428_RWI_3.jpg</t>
        </is>
      </c>
      <c r="L575">
        <f>IMAGE("file:///E:/Estudios%20y%20certificaciones/ESTUDIOS%20DE%20PROGRAMMING/PROGRAMMING/PERSONAL/PYTHON/Image_Generator_API/imagenes/LAUNDRY_BY_DESIGN_121000428_RWI_1.jpg")</f>
        <v/>
      </c>
      <c r="M575">
        <f>IMAGE("file:///E:/Estudios%20y%20certificaciones/ESTUDIOS%20DE%20PROGRAMMING/PROGRAMMING/PERSONAL/PYTHON/Image_Generator_API/imagenes/LAUNDRY_BY_DESIGN_121000428_RWI_2.jpg")</f>
        <v/>
      </c>
      <c r="N575">
        <f>IMAGE("file:///E:/Estudios%20y%20certificaciones/ESTUDIOS%20DE%20PROGRAMMING/PROGRAMMING/PERSONAL/PYTHON/Image_Generator_API/imagenes/LAUNDRY_BY_DESIGN_121000428_RWI_3.jpg")</f>
        <v/>
      </c>
      <c r="O575">
        <f>HYPERLINK("imagenes/LAUNDRY_BY_DESIGN_121000428_RWI_1.jpg","Ver imagen")</f>
        <v/>
      </c>
      <c r="P575">
        <f>HYPERLINK("imagenes/LAUNDRY_BY_DESIGN_121000428_RWI_2.jpg","Ver imagen")</f>
        <v/>
      </c>
      <c r="Q575">
        <f>HYPERLINK("imagenes/LAUNDRY_BY_DESIGN_121000428_RWI_3.jpg","Ver imagen")</f>
        <v/>
      </c>
    </row>
    <row r="576">
      <c r="A576" t="inlineStr">
        <is>
          <t>LAUNDRY BY DESIGN</t>
        </is>
      </c>
      <c r="B576" t="inlineStr">
        <is>
          <t>121001155</t>
        </is>
      </c>
      <c r="C576" t="inlineStr">
        <is>
          <t>32" STRETCH WELDING TECH PUFFER (DUP13326/41635)</t>
        </is>
      </c>
      <c r="D576" t="inlineStr">
        <is>
          <t>BLK</t>
        </is>
      </c>
      <c r="E576" t="inlineStr">
        <is>
          <t>(en blanco)</t>
        </is>
      </c>
      <c r="F576" t="inlineStr">
        <is>
          <t>(en blanco)</t>
        </is>
      </c>
      <c r="G576" t="inlineStr">
        <is>
          <t>S</t>
        </is>
      </c>
      <c r="H576" t="n">
        <v>1</v>
      </c>
      <c r="I576" t="inlineStr">
        <is>
          <t>LAUNDRY_BY_DESIGN_121001155_BLK_1.jpg</t>
        </is>
      </c>
      <c r="J576" t="inlineStr">
        <is>
          <t>LAUNDRY_BY_DESIGN_121001155_BLK_2.jpg</t>
        </is>
      </c>
      <c r="K576" t="inlineStr">
        <is>
          <t>LAUNDRY_BY_DESIGN_121001155_BLK_3.jpg</t>
        </is>
      </c>
      <c r="L576">
        <f>IMAGE("file:///E:/Estudios%20y%20certificaciones/ESTUDIOS%20DE%20PROGRAMMING/PROGRAMMING/PERSONAL/PYTHON/Image_Generator_API/imagenes/LAUNDRY_BY_DESIGN_121001155_BLK_1.jpg")</f>
        <v/>
      </c>
      <c r="M576">
        <f>IMAGE("file:///E:/Estudios%20y%20certificaciones/ESTUDIOS%20DE%20PROGRAMMING/PROGRAMMING/PERSONAL/PYTHON/Image_Generator_API/imagenes/LAUNDRY_BY_DESIGN_121001155_BLK_2.jpg")</f>
        <v/>
      </c>
      <c r="N576">
        <f>IMAGE("file:///E:/Estudios%20y%20certificaciones/ESTUDIOS%20DE%20PROGRAMMING/PROGRAMMING/PERSONAL/PYTHON/Image_Generator_API/imagenes/LAUNDRY_BY_DESIGN_121001155_BLK_3.jpg")</f>
        <v/>
      </c>
      <c r="O576">
        <f>HYPERLINK("imagenes/LAUNDRY_BY_DESIGN_121001155_BLK_1.jpg","Ver imagen")</f>
        <v/>
      </c>
      <c r="P576">
        <f>HYPERLINK("imagenes/LAUNDRY_BY_DESIGN_121001155_BLK_2.jpg","Ver imagen")</f>
        <v/>
      </c>
      <c r="Q576">
        <f>HYPERLINK("imagenes/LAUNDRY_BY_DESIGN_121001155_BLK_3.jpg","Ver imagen")</f>
        <v/>
      </c>
    </row>
    <row r="577">
      <c r="A577" t="inlineStr">
        <is>
          <t>LAUNDRY BY DESIGN</t>
        </is>
      </c>
      <c r="B577" t="inlineStr">
        <is>
          <t>121001155</t>
        </is>
      </c>
      <c r="C577" t="inlineStr">
        <is>
          <t>32" STRETCH WELDING TECH PUFFER (DUP13326/41635)</t>
        </is>
      </c>
      <c r="D577" t="inlineStr">
        <is>
          <t>BLK</t>
        </is>
      </c>
      <c r="E577" t="inlineStr">
        <is>
          <t>(en blanco)</t>
        </is>
      </c>
      <c r="F577" t="inlineStr">
        <is>
          <t>(en blanco)</t>
        </is>
      </c>
      <c r="G577" t="inlineStr">
        <is>
          <t>L</t>
        </is>
      </c>
      <c r="H577" t="n">
        <v>3</v>
      </c>
      <c r="I577" t="inlineStr">
        <is>
          <t>LAUNDRY_BY_DESIGN_121001155_BLK_1.jpg</t>
        </is>
      </c>
      <c r="J577" t="inlineStr">
        <is>
          <t>LAUNDRY_BY_DESIGN_121001155_BLK_2.jpg</t>
        </is>
      </c>
      <c r="K577" t="inlineStr">
        <is>
          <t>LAUNDRY_BY_DESIGN_121001155_BLK_3.jpg</t>
        </is>
      </c>
      <c r="L577">
        <f>IMAGE("file:///E:/Estudios%20y%20certificaciones/ESTUDIOS%20DE%20PROGRAMMING/PROGRAMMING/PERSONAL/PYTHON/Image_Generator_API/imagenes/LAUNDRY_BY_DESIGN_121001155_BLK_1.jpg")</f>
        <v/>
      </c>
      <c r="M577">
        <f>IMAGE("file:///E:/Estudios%20y%20certificaciones/ESTUDIOS%20DE%20PROGRAMMING/PROGRAMMING/PERSONAL/PYTHON/Image_Generator_API/imagenes/LAUNDRY_BY_DESIGN_121001155_BLK_2.jpg")</f>
        <v/>
      </c>
      <c r="N577">
        <f>IMAGE("file:///E:/Estudios%20y%20certificaciones/ESTUDIOS%20DE%20PROGRAMMING/PROGRAMMING/PERSONAL/PYTHON/Image_Generator_API/imagenes/LAUNDRY_BY_DESIGN_121001155_BLK_3.jpg")</f>
        <v/>
      </c>
      <c r="O577">
        <f>HYPERLINK("imagenes/LAUNDRY_BY_DESIGN_121001155_BLK_1.jpg","Ver imagen")</f>
        <v/>
      </c>
      <c r="P577">
        <f>HYPERLINK("imagenes/LAUNDRY_BY_DESIGN_121001155_BLK_2.jpg","Ver imagen")</f>
        <v/>
      </c>
      <c r="Q577">
        <f>HYPERLINK("imagenes/LAUNDRY_BY_DESIGN_121001155_BLK_3.jpg","Ver imagen")</f>
        <v/>
      </c>
    </row>
    <row r="578">
      <c r="A578" t="inlineStr">
        <is>
          <t>LAUNDRY BY DESIGN</t>
        </is>
      </c>
      <c r="B578" t="inlineStr">
        <is>
          <t>121001155</t>
        </is>
      </c>
      <c r="C578" t="inlineStr">
        <is>
          <t>32" STRETCH WELDING TECH PUFFER (DUP13326/41635)</t>
        </is>
      </c>
      <c r="D578" t="inlineStr">
        <is>
          <t>BLK</t>
        </is>
      </c>
      <c r="E578" t="inlineStr">
        <is>
          <t>(en blanco)</t>
        </is>
      </c>
      <c r="F578" t="inlineStr">
        <is>
          <t>(en blanco)</t>
        </is>
      </c>
      <c r="G578" t="inlineStr">
        <is>
          <t>XL</t>
        </is>
      </c>
      <c r="H578" t="n">
        <v>0</v>
      </c>
      <c r="I578" t="inlineStr">
        <is>
          <t>LAUNDRY_BY_DESIGN_121001155_BLK_1.jpg</t>
        </is>
      </c>
      <c r="J578" t="inlineStr">
        <is>
          <t>LAUNDRY_BY_DESIGN_121001155_BLK_2.jpg</t>
        </is>
      </c>
      <c r="K578" t="inlineStr">
        <is>
          <t>LAUNDRY_BY_DESIGN_121001155_BLK_3.jpg</t>
        </is>
      </c>
      <c r="L578">
        <f>IMAGE("file:///E:/Estudios%20y%20certificaciones/ESTUDIOS%20DE%20PROGRAMMING/PROGRAMMING/PERSONAL/PYTHON/Image_Generator_API/imagenes/LAUNDRY_BY_DESIGN_121001155_BLK_1.jpg")</f>
        <v/>
      </c>
      <c r="M578">
        <f>IMAGE("file:///E:/Estudios%20y%20certificaciones/ESTUDIOS%20DE%20PROGRAMMING/PROGRAMMING/PERSONAL/PYTHON/Image_Generator_API/imagenes/LAUNDRY_BY_DESIGN_121001155_BLK_2.jpg")</f>
        <v/>
      </c>
      <c r="N578">
        <f>IMAGE("file:///E:/Estudios%20y%20certificaciones/ESTUDIOS%20DE%20PROGRAMMING/PROGRAMMING/PERSONAL/PYTHON/Image_Generator_API/imagenes/LAUNDRY_BY_DESIGN_121001155_BLK_3.jpg")</f>
        <v/>
      </c>
      <c r="O578">
        <f>HYPERLINK("imagenes/LAUNDRY_BY_DESIGN_121001155_BLK_1.jpg","Ver imagen")</f>
        <v/>
      </c>
      <c r="P578">
        <f>HYPERLINK("imagenes/LAUNDRY_BY_DESIGN_121001155_BLK_2.jpg","Ver imagen")</f>
        <v/>
      </c>
      <c r="Q578">
        <f>HYPERLINK("imagenes/LAUNDRY_BY_DESIGN_121001155_BLK_3.jpg","Ver imagen")</f>
        <v/>
      </c>
    </row>
    <row r="579">
      <c r="A579" t="inlineStr">
        <is>
          <t>LAUNDRY BY DESIGN</t>
        </is>
      </c>
      <c r="B579" t="inlineStr">
        <is>
          <t>121001155</t>
        </is>
      </c>
      <c r="C579" t="inlineStr">
        <is>
          <t>32" STRETCH WELDING TECH PUFFER (DUP13326/41635)</t>
        </is>
      </c>
      <c r="D579" t="inlineStr">
        <is>
          <t>BLK</t>
        </is>
      </c>
      <c r="E579" t="inlineStr">
        <is>
          <t>(en blanco)</t>
        </is>
      </c>
      <c r="F579" t="inlineStr">
        <is>
          <t>(en blanco)</t>
        </is>
      </c>
      <c r="G579" t="inlineStr">
        <is>
          <t>XXL</t>
        </is>
      </c>
      <c r="H579" t="n">
        <v>0</v>
      </c>
      <c r="I579" t="inlineStr">
        <is>
          <t>LAUNDRY_BY_DESIGN_121001155_BLK_1.jpg</t>
        </is>
      </c>
      <c r="J579" t="inlineStr">
        <is>
          <t>LAUNDRY_BY_DESIGN_121001155_BLK_2.jpg</t>
        </is>
      </c>
      <c r="K579" t="inlineStr">
        <is>
          <t>LAUNDRY_BY_DESIGN_121001155_BLK_3.jpg</t>
        </is>
      </c>
      <c r="L579">
        <f>IMAGE("file:///E:/Estudios%20y%20certificaciones/ESTUDIOS%20DE%20PROGRAMMING/PROGRAMMING/PERSONAL/PYTHON/Image_Generator_API/imagenes/LAUNDRY_BY_DESIGN_121001155_BLK_1.jpg")</f>
        <v/>
      </c>
      <c r="M579">
        <f>IMAGE("file:///E:/Estudios%20y%20certificaciones/ESTUDIOS%20DE%20PROGRAMMING/PROGRAMMING/PERSONAL/PYTHON/Image_Generator_API/imagenes/LAUNDRY_BY_DESIGN_121001155_BLK_2.jpg")</f>
        <v/>
      </c>
      <c r="N579">
        <f>IMAGE("file:///E:/Estudios%20y%20certificaciones/ESTUDIOS%20DE%20PROGRAMMING/PROGRAMMING/PERSONAL/PYTHON/Image_Generator_API/imagenes/LAUNDRY_BY_DESIGN_121001155_BLK_3.jpg")</f>
        <v/>
      </c>
      <c r="O579">
        <f>HYPERLINK("imagenes/LAUNDRY_BY_DESIGN_121001155_BLK_1.jpg","Ver imagen")</f>
        <v/>
      </c>
      <c r="P579">
        <f>HYPERLINK("imagenes/LAUNDRY_BY_DESIGN_121001155_BLK_2.jpg","Ver imagen")</f>
        <v/>
      </c>
      <c r="Q579">
        <f>HYPERLINK("imagenes/LAUNDRY_BY_DESIGN_121001155_BLK_3.jpg","Ver imagen")</f>
        <v/>
      </c>
    </row>
    <row r="580">
      <c r="A580" t="inlineStr">
        <is>
          <t>LAUNDRY BY DESIGN</t>
        </is>
      </c>
      <c r="B580" t="inlineStr">
        <is>
          <t>121001155</t>
        </is>
      </c>
      <c r="C580" t="inlineStr">
        <is>
          <t>32" STRETCH WELDING TECH PUFFER (DUP13326/41635)</t>
        </is>
      </c>
      <c r="D580" t="inlineStr">
        <is>
          <t>MNK</t>
        </is>
      </c>
      <c r="E580" t="inlineStr">
        <is>
          <t>(en blanco)</t>
        </is>
      </c>
      <c r="F580" t="inlineStr">
        <is>
          <t>(en blanco)</t>
        </is>
      </c>
      <c r="G580" t="inlineStr">
        <is>
          <t>S</t>
        </is>
      </c>
      <c r="H580" t="n">
        <v>0</v>
      </c>
      <c r="I580" t="inlineStr">
        <is>
          <t>LAUNDRY_BY_DESIGN_121001155_MNK_1.jpg</t>
        </is>
      </c>
      <c r="J580" t="inlineStr">
        <is>
          <t>LAUNDRY_BY_DESIGN_121001155_MNK_2.jpg</t>
        </is>
      </c>
      <c r="K580" t="inlineStr">
        <is>
          <t>LAUNDRY_BY_DESIGN_121001155_MNK_3.jpg</t>
        </is>
      </c>
      <c r="L580">
        <f>IMAGE("file:///E:/Estudios%20y%20certificaciones/ESTUDIOS%20DE%20PROGRAMMING/PROGRAMMING/PERSONAL/PYTHON/Image_Generator_API/imagenes/LAUNDRY_BY_DESIGN_121001155_MNK_1.jpg")</f>
        <v/>
      </c>
      <c r="M580">
        <f>IMAGE("file:///E:/Estudios%20y%20certificaciones/ESTUDIOS%20DE%20PROGRAMMING/PROGRAMMING/PERSONAL/PYTHON/Image_Generator_API/imagenes/LAUNDRY_BY_DESIGN_121001155_MNK_2.jpg")</f>
        <v/>
      </c>
      <c r="N580">
        <f>IMAGE("file:///E:/Estudios%20y%20certificaciones/ESTUDIOS%20DE%20PROGRAMMING/PROGRAMMING/PERSONAL/PYTHON/Image_Generator_API/imagenes/LAUNDRY_BY_DESIGN_121001155_MNK_3.jpg")</f>
        <v/>
      </c>
      <c r="O580">
        <f>HYPERLINK("imagenes/LAUNDRY_BY_DESIGN_121001155_MNK_1.jpg","Ver imagen")</f>
        <v/>
      </c>
      <c r="P580">
        <f>HYPERLINK("imagenes/LAUNDRY_BY_DESIGN_121001155_MNK_2.jpg","Ver imagen")</f>
        <v/>
      </c>
      <c r="Q580">
        <f>HYPERLINK("imagenes/LAUNDRY_BY_DESIGN_121001155_MNK_3.jpg","Ver imagen")</f>
        <v/>
      </c>
    </row>
    <row r="581">
      <c r="A581" t="inlineStr">
        <is>
          <t>LAUNDRY BY DESIGN</t>
        </is>
      </c>
      <c r="B581" t="inlineStr">
        <is>
          <t>121001155</t>
        </is>
      </c>
      <c r="C581" t="inlineStr">
        <is>
          <t>32" STRETCH WELDING TECH PUFFER (DUP13326/41635)</t>
        </is>
      </c>
      <c r="D581" t="inlineStr">
        <is>
          <t>MNK</t>
        </is>
      </c>
      <c r="E581" t="inlineStr">
        <is>
          <t>(en blanco)</t>
        </is>
      </c>
      <c r="F581" t="inlineStr">
        <is>
          <t>(en blanco)</t>
        </is>
      </c>
      <c r="G581" t="inlineStr">
        <is>
          <t>M</t>
        </is>
      </c>
      <c r="H581" t="n">
        <v>1</v>
      </c>
      <c r="I581" t="inlineStr">
        <is>
          <t>LAUNDRY_BY_DESIGN_121001155_MNK_1.jpg</t>
        </is>
      </c>
      <c r="J581" t="inlineStr">
        <is>
          <t>LAUNDRY_BY_DESIGN_121001155_MNK_2.jpg</t>
        </is>
      </c>
      <c r="K581" t="inlineStr">
        <is>
          <t>LAUNDRY_BY_DESIGN_121001155_MNK_3.jpg</t>
        </is>
      </c>
      <c r="L581">
        <f>IMAGE("file:///E:/Estudios%20y%20certificaciones/ESTUDIOS%20DE%20PROGRAMMING/PROGRAMMING/PERSONAL/PYTHON/Image_Generator_API/imagenes/LAUNDRY_BY_DESIGN_121001155_MNK_1.jpg")</f>
        <v/>
      </c>
      <c r="M581">
        <f>IMAGE("file:///E:/Estudios%20y%20certificaciones/ESTUDIOS%20DE%20PROGRAMMING/PROGRAMMING/PERSONAL/PYTHON/Image_Generator_API/imagenes/LAUNDRY_BY_DESIGN_121001155_MNK_2.jpg")</f>
        <v/>
      </c>
      <c r="N581">
        <f>IMAGE("file:///E:/Estudios%20y%20certificaciones/ESTUDIOS%20DE%20PROGRAMMING/PROGRAMMING/PERSONAL/PYTHON/Image_Generator_API/imagenes/LAUNDRY_BY_DESIGN_121001155_MNK_3.jpg")</f>
        <v/>
      </c>
      <c r="O581">
        <f>HYPERLINK("imagenes/LAUNDRY_BY_DESIGN_121001155_MNK_1.jpg","Ver imagen")</f>
        <v/>
      </c>
      <c r="P581">
        <f>HYPERLINK("imagenes/LAUNDRY_BY_DESIGN_121001155_MNK_2.jpg","Ver imagen")</f>
        <v/>
      </c>
      <c r="Q581">
        <f>HYPERLINK("imagenes/LAUNDRY_BY_DESIGN_121001155_MNK_3.jpg","Ver imagen")</f>
        <v/>
      </c>
    </row>
    <row r="582">
      <c r="A582" t="inlineStr">
        <is>
          <t>LAUNDRY BY DESIGN</t>
        </is>
      </c>
      <c r="B582" t="inlineStr">
        <is>
          <t>121001155</t>
        </is>
      </c>
      <c r="C582" t="inlineStr">
        <is>
          <t>32" STRETCH WELDING TECH PUFFER (DUP13326/41635)</t>
        </is>
      </c>
      <c r="D582" t="inlineStr">
        <is>
          <t>MNK</t>
        </is>
      </c>
      <c r="E582" t="inlineStr">
        <is>
          <t>(en blanco)</t>
        </is>
      </c>
      <c r="F582" t="inlineStr">
        <is>
          <t>(en blanco)</t>
        </is>
      </c>
      <c r="G582" t="inlineStr">
        <is>
          <t>L</t>
        </is>
      </c>
      <c r="H582" t="n">
        <v>0</v>
      </c>
      <c r="I582" t="inlineStr">
        <is>
          <t>LAUNDRY_BY_DESIGN_121001155_MNK_1.jpg</t>
        </is>
      </c>
      <c r="J582" t="inlineStr">
        <is>
          <t>LAUNDRY_BY_DESIGN_121001155_MNK_2.jpg</t>
        </is>
      </c>
      <c r="K582" t="inlineStr">
        <is>
          <t>LAUNDRY_BY_DESIGN_121001155_MNK_3.jpg</t>
        </is>
      </c>
      <c r="L582">
        <f>IMAGE("file:///E:/Estudios%20y%20certificaciones/ESTUDIOS%20DE%20PROGRAMMING/PROGRAMMING/PERSONAL/PYTHON/Image_Generator_API/imagenes/LAUNDRY_BY_DESIGN_121001155_MNK_1.jpg")</f>
        <v/>
      </c>
      <c r="M582">
        <f>IMAGE("file:///E:/Estudios%20y%20certificaciones/ESTUDIOS%20DE%20PROGRAMMING/PROGRAMMING/PERSONAL/PYTHON/Image_Generator_API/imagenes/LAUNDRY_BY_DESIGN_121001155_MNK_2.jpg")</f>
        <v/>
      </c>
      <c r="N582">
        <f>IMAGE("file:///E:/Estudios%20y%20certificaciones/ESTUDIOS%20DE%20PROGRAMMING/PROGRAMMING/PERSONAL/PYTHON/Image_Generator_API/imagenes/LAUNDRY_BY_DESIGN_121001155_MNK_3.jpg")</f>
        <v/>
      </c>
      <c r="O582">
        <f>HYPERLINK("imagenes/LAUNDRY_BY_DESIGN_121001155_MNK_1.jpg","Ver imagen")</f>
        <v/>
      </c>
      <c r="P582">
        <f>HYPERLINK("imagenes/LAUNDRY_BY_DESIGN_121001155_MNK_2.jpg","Ver imagen")</f>
        <v/>
      </c>
      <c r="Q582">
        <f>HYPERLINK("imagenes/LAUNDRY_BY_DESIGN_121001155_MNK_3.jpg","Ver imagen")</f>
        <v/>
      </c>
    </row>
    <row r="583">
      <c r="A583" t="inlineStr">
        <is>
          <t>LAUNDRY BY DESIGN</t>
        </is>
      </c>
      <c r="B583" t="inlineStr">
        <is>
          <t>121001155</t>
        </is>
      </c>
      <c r="C583" t="inlineStr">
        <is>
          <t>32" STRETCH WELDING TECH PUFFER (DUP13326/41635)</t>
        </is>
      </c>
      <c r="D583" t="inlineStr">
        <is>
          <t>MNK</t>
        </is>
      </c>
      <c r="E583" t="inlineStr">
        <is>
          <t>(en blanco)</t>
        </is>
      </c>
      <c r="F583" t="inlineStr">
        <is>
          <t>(en blanco)</t>
        </is>
      </c>
      <c r="G583" t="inlineStr">
        <is>
          <t>XL</t>
        </is>
      </c>
      <c r="H583" t="n">
        <v>0</v>
      </c>
      <c r="I583" t="inlineStr">
        <is>
          <t>LAUNDRY_BY_DESIGN_121001155_MNK_1.jpg</t>
        </is>
      </c>
      <c r="J583" t="inlineStr">
        <is>
          <t>LAUNDRY_BY_DESIGN_121001155_MNK_2.jpg</t>
        </is>
      </c>
      <c r="K583" t="inlineStr">
        <is>
          <t>LAUNDRY_BY_DESIGN_121001155_MNK_3.jpg</t>
        </is>
      </c>
      <c r="L583">
        <f>IMAGE("file:///E:/Estudios%20y%20certificaciones/ESTUDIOS%20DE%20PROGRAMMING/PROGRAMMING/PERSONAL/PYTHON/Image_Generator_API/imagenes/LAUNDRY_BY_DESIGN_121001155_MNK_1.jpg")</f>
        <v/>
      </c>
      <c r="M583">
        <f>IMAGE("file:///E:/Estudios%20y%20certificaciones/ESTUDIOS%20DE%20PROGRAMMING/PROGRAMMING/PERSONAL/PYTHON/Image_Generator_API/imagenes/LAUNDRY_BY_DESIGN_121001155_MNK_2.jpg")</f>
        <v/>
      </c>
      <c r="N583">
        <f>IMAGE("file:///E:/Estudios%20y%20certificaciones/ESTUDIOS%20DE%20PROGRAMMING/PROGRAMMING/PERSONAL/PYTHON/Image_Generator_API/imagenes/LAUNDRY_BY_DESIGN_121001155_MNK_3.jpg")</f>
        <v/>
      </c>
      <c r="O583">
        <f>HYPERLINK("imagenes/LAUNDRY_BY_DESIGN_121001155_MNK_1.jpg","Ver imagen")</f>
        <v/>
      </c>
      <c r="P583">
        <f>HYPERLINK("imagenes/LAUNDRY_BY_DESIGN_121001155_MNK_2.jpg","Ver imagen")</f>
        <v/>
      </c>
      <c r="Q583">
        <f>HYPERLINK("imagenes/LAUNDRY_BY_DESIGN_121001155_MNK_3.jpg","Ver imagen")</f>
        <v/>
      </c>
    </row>
    <row r="584">
      <c r="A584" t="inlineStr">
        <is>
          <t>LAUNDRY BY DESIGN</t>
        </is>
      </c>
      <c r="B584" t="inlineStr">
        <is>
          <t>121001176</t>
        </is>
      </c>
      <c r="C584" t="inlineStr">
        <is>
          <t>32" STRETCH PUFFER (41796)</t>
        </is>
      </c>
      <c r="D584" t="inlineStr">
        <is>
          <t>BLK</t>
        </is>
      </c>
      <c r="E584" t="inlineStr">
        <is>
          <t>08A06</t>
        </is>
      </c>
      <c r="F584" t="inlineStr">
        <is>
          <t>(en blanco)</t>
        </is>
      </c>
      <c r="G584" t="inlineStr">
        <is>
          <t>PPK</t>
        </is>
      </c>
      <c r="H584" t="n">
        <v>8</v>
      </c>
      <c r="I584" t="inlineStr">
        <is>
          <t>LAUNDRY_BY_DESIGN_121001176_BLK_1.jpg</t>
        </is>
      </c>
      <c r="J584" t="inlineStr">
        <is>
          <t>LAUNDRY_BY_DESIGN_121001176_BLK_2.jpg</t>
        </is>
      </c>
      <c r="K584" t="inlineStr">
        <is>
          <t>LAUNDRY_BY_DESIGN_121001176_BLK_3.jpg</t>
        </is>
      </c>
      <c r="L584">
        <f>IMAGE("file:///E:/Estudios%20y%20certificaciones/ESTUDIOS%20DE%20PROGRAMMING/PROGRAMMING/PERSONAL/PYTHON/Image_Generator_API/imagenes/LAUNDRY_BY_DESIGN_121001176_BLK_1.jpg")</f>
        <v/>
      </c>
      <c r="M584">
        <f>IMAGE("file:///E:/Estudios%20y%20certificaciones/ESTUDIOS%20DE%20PROGRAMMING/PROGRAMMING/PERSONAL/PYTHON/Image_Generator_API/imagenes/LAUNDRY_BY_DESIGN_121001176_BLK_2.jpg")</f>
        <v/>
      </c>
      <c r="N584">
        <f>IMAGE("file:///E:/Estudios%20y%20certificaciones/ESTUDIOS%20DE%20PROGRAMMING/PROGRAMMING/PERSONAL/PYTHON/Image_Generator_API/imagenes/LAUNDRY_BY_DESIGN_121001176_BLK_3.jpg")</f>
        <v/>
      </c>
      <c r="O584">
        <f>HYPERLINK("imagenes/LAUNDRY_BY_DESIGN_121001176_BLK_1.jpg","Ver imagen")</f>
        <v/>
      </c>
      <c r="P584">
        <f>HYPERLINK("imagenes/LAUNDRY_BY_DESIGN_121001176_BLK_2.jpg","Ver imagen")</f>
        <v/>
      </c>
      <c r="Q584">
        <f>HYPERLINK("imagenes/LAUNDRY_BY_DESIGN_121001176_BLK_3.jpg","Ver imagen")</f>
        <v/>
      </c>
    </row>
    <row r="585">
      <c r="A585" t="inlineStr">
        <is>
          <t>LAUNDRY BY DESIGN</t>
        </is>
      </c>
      <c r="B585" t="inlineStr">
        <is>
          <t>121001176</t>
        </is>
      </c>
      <c r="C585" t="inlineStr">
        <is>
          <t>32" STRETCH PUFFER (41796)</t>
        </is>
      </c>
      <c r="D585" t="inlineStr">
        <is>
          <t>PN1</t>
        </is>
      </c>
      <c r="E585" t="inlineStr">
        <is>
          <t>08A06</t>
        </is>
      </c>
      <c r="F585" t="inlineStr">
        <is>
          <t>(en blanco)</t>
        </is>
      </c>
      <c r="G585" t="inlineStr">
        <is>
          <t>PPK</t>
        </is>
      </c>
      <c r="H585" t="n">
        <v>8</v>
      </c>
      <c r="I585" t="inlineStr">
        <is>
          <t>LAUNDRY_BY_DESIGN_121001176_PN1_1.jpg</t>
        </is>
      </c>
      <c r="J585" t="inlineStr">
        <is>
          <t>LAUNDRY_BY_DESIGN_121001176_PN1_2.jpg</t>
        </is>
      </c>
      <c r="K585" t="inlineStr">
        <is>
          <t>LAUNDRY_BY_DESIGN_121001176_PN1_3.jpg</t>
        </is>
      </c>
      <c r="L585">
        <f>IMAGE("file:///E:/Estudios%20y%20certificaciones/ESTUDIOS%20DE%20PROGRAMMING/PROGRAMMING/PERSONAL/PYTHON/Image_Generator_API/imagenes/LAUNDRY_BY_DESIGN_121001176_PN1_1.jpg")</f>
        <v/>
      </c>
      <c r="M585">
        <f>IMAGE("file:///E:/Estudios%20y%20certificaciones/ESTUDIOS%20DE%20PROGRAMMING/PROGRAMMING/PERSONAL/PYTHON/Image_Generator_API/imagenes/LAUNDRY_BY_DESIGN_121001176_PN1_2.jpg")</f>
        <v/>
      </c>
      <c r="N585">
        <f>IMAGE("file:///E:/Estudios%20y%20certificaciones/ESTUDIOS%20DE%20PROGRAMMING/PROGRAMMING/PERSONAL/PYTHON/Image_Generator_API/imagenes/LAUNDRY_BY_DESIGN_121001176_PN1_3.jpg")</f>
        <v/>
      </c>
      <c r="O585">
        <f>HYPERLINK("imagenes/LAUNDRY_BY_DESIGN_121001176_PN1_1.jpg","Ver imagen")</f>
        <v/>
      </c>
      <c r="P585">
        <f>HYPERLINK("imagenes/LAUNDRY_BY_DESIGN_121001176_PN1_2.jpg","Ver imagen")</f>
        <v/>
      </c>
      <c r="Q585">
        <f>HYPERLINK("imagenes/LAUNDRY_BY_DESIGN_121001176_PN1_3.jpg","Ver imagen")</f>
        <v/>
      </c>
    </row>
    <row r="586">
      <c r="A586" t="inlineStr">
        <is>
          <t>LAUNDRY BY DESIGN</t>
        </is>
      </c>
      <c r="B586" t="inlineStr">
        <is>
          <t>121001394</t>
        </is>
      </c>
      <c r="C586" t="inlineStr">
        <is>
          <t>26" FAUX SILK QUILT (47363)</t>
        </is>
      </c>
      <c r="D586" t="inlineStr">
        <is>
          <t>BLK</t>
        </is>
      </c>
      <c r="E586" t="inlineStr">
        <is>
          <t>(en blanco)</t>
        </is>
      </c>
      <c r="F586" t="inlineStr">
        <is>
          <t>(en blanco)</t>
        </is>
      </c>
      <c r="G586" t="inlineStr">
        <is>
          <t>S</t>
        </is>
      </c>
      <c r="H586" t="n">
        <v>0</v>
      </c>
      <c r="I586" t="inlineStr">
        <is>
          <t>LAUNDRY_BY_DESIGN_121001394_BLK_1.jpg</t>
        </is>
      </c>
      <c r="J586" t="inlineStr">
        <is>
          <t>LAUNDRY_BY_DESIGN_121001394_BLK_2.jpg</t>
        </is>
      </c>
      <c r="K586" t="inlineStr">
        <is>
          <t>LAUNDRY_BY_DESIGN_121001394_BLK_3.jpg</t>
        </is>
      </c>
      <c r="L586">
        <f>IMAGE("file:///E:/Estudios%20y%20certificaciones/ESTUDIOS%20DE%20PROGRAMMING/PROGRAMMING/PERSONAL/PYTHON/Image_Generator_API/imagenes/LAUNDRY_BY_DESIGN_121001394_BLK_1.jpg")</f>
        <v/>
      </c>
      <c r="M586">
        <f>IMAGE("file:///E:/Estudios%20y%20certificaciones/ESTUDIOS%20DE%20PROGRAMMING/PROGRAMMING/PERSONAL/PYTHON/Image_Generator_API/imagenes/LAUNDRY_BY_DESIGN_121001394_BLK_2.jpg")</f>
        <v/>
      </c>
      <c r="N586">
        <f>IMAGE("file:///E:/Estudios%20y%20certificaciones/ESTUDIOS%20DE%20PROGRAMMING/PROGRAMMING/PERSONAL/PYTHON/Image_Generator_API/imagenes/LAUNDRY_BY_DESIGN_121001394_BLK_3.jpg")</f>
        <v/>
      </c>
      <c r="O586">
        <f>HYPERLINK("imagenes/LAUNDRY_BY_DESIGN_121001394_BLK_1.jpg","Ver imagen")</f>
        <v/>
      </c>
      <c r="P586">
        <f>HYPERLINK("imagenes/LAUNDRY_BY_DESIGN_121001394_BLK_2.jpg","Ver imagen")</f>
        <v/>
      </c>
      <c r="Q586">
        <f>HYPERLINK("imagenes/LAUNDRY_BY_DESIGN_121001394_BLK_3.jpg","Ver imagen")</f>
        <v/>
      </c>
    </row>
    <row r="587">
      <c r="A587" t="inlineStr">
        <is>
          <t>LAUNDRY BY DESIGN</t>
        </is>
      </c>
      <c r="B587" t="inlineStr">
        <is>
          <t>121001394</t>
        </is>
      </c>
      <c r="C587" t="inlineStr">
        <is>
          <t>26" FAUX SILK QUILT (47363)</t>
        </is>
      </c>
      <c r="D587" t="inlineStr">
        <is>
          <t>BLK</t>
        </is>
      </c>
      <c r="E587" t="inlineStr">
        <is>
          <t>(en blanco)</t>
        </is>
      </c>
      <c r="F587" t="inlineStr">
        <is>
          <t>(en blanco)</t>
        </is>
      </c>
      <c r="G587" t="inlineStr">
        <is>
          <t>M</t>
        </is>
      </c>
      <c r="H587" t="n">
        <v>0</v>
      </c>
      <c r="I587" t="inlineStr">
        <is>
          <t>LAUNDRY_BY_DESIGN_121001394_BLK_1.jpg</t>
        </is>
      </c>
      <c r="J587" t="inlineStr">
        <is>
          <t>LAUNDRY_BY_DESIGN_121001394_BLK_2.jpg</t>
        </is>
      </c>
      <c r="K587" t="inlineStr">
        <is>
          <t>LAUNDRY_BY_DESIGN_121001394_BLK_3.jpg</t>
        </is>
      </c>
      <c r="L587">
        <f>IMAGE("file:///E:/Estudios%20y%20certificaciones/ESTUDIOS%20DE%20PROGRAMMING/PROGRAMMING/PERSONAL/PYTHON/Image_Generator_API/imagenes/LAUNDRY_BY_DESIGN_121001394_BLK_1.jpg")</f>
        <v/>
      </c>
      <c r="M587">
        <f>IMAGE("file:///E:/Estudios%20y%20certificaciones/ESTUDIOS%20DE%20PROGRAMMING/PROGRAMMING/PERSONAL/PYTHON/Image_Generator_API/imagenes/LAUNDRY_BY_DESIGN_121001394_BLK_2.jpg")</f>
        <v/>
      </c>
      <c r="N587">
        <f>IMAGE("file:///E:/Estudios%20y%20certificaciones/ESTUDIOS%20DE%20PROGRAMMING/PROGRAMMING/PERSONAL/PYTHON/Image_Generator_API/imagenes/LAUNDRY_BY_DESIGN_121001394_BLK_3.jpg")</f>
        <v/>
      </c>
      <c r="O587">
        <f>HYPERLINK("imagenes/LAUNDRY_BY_DESIGN_121001394_BLK_1.jpg","Ver imagen")</f>
        <v/>
      </c>
      <c r="P587">
        <f>HYPERLINK("imagenes/LAUNDRY_BY_DESIGN_121001394_BLK_2.jpg","Ver imagen")</f>
        <v/>
      </c>
      <c r="Q587">
        <f>HYPERLINK("imagenes/LAUNDRY_BY_DESIGN_121001394_BLK_3.jpg","Ver imagen")</f>
        <v/>
      </c>
    </row>
    <row r="588">
      <c r="A588" t="inlineStr">
        <is>
          <t>LAUNDRY BY DESIGN</t>
        </is>
      </c>
      <c r="B588" t="inlineStr">
        <is>
          <t>121001394</t>
        </is>
      </c>
      <c r="C588" t="inlineStr">
        <is>
          <t>26" FAUX SILK QUILT (47363)</t>
        </is>
      </c>
      <c r="D588" t="inlineStr">
        <is>
          <t>PN1</t>
        </is>
      </c>
      <c r="E588" t="inlineStr">
        <is>
          <t>(en blanco)</t>
        </is>
      </c>
      <c r="F588" t="inlineStr">
        <is>
          <t>(en blanco)</t>
        </is>
      </c>
      <c r="G588" t="inlineStr">
        <is>
          <t>S</t>
        </is>
      </c>
      <c r="H588" t="n">
        <v>3</v>
      </c>
      <c r="I588" t="inlineStr">
        <is>
          <t>LAUNDRY_BY_DESIGN_121001394_PN1_1.jpg</t>
        </is>
      </c>
      <c r="J588" t="inlineStr">
        <is>
          <t>LAUNDRY_BY_DESIGN_121001394_PN1_2.jpg</t>
        </is>
      </c>
      <c r="K588" t="inlineStr">
        <is>
          <t>LAUNDRY_BY_DESIGN_121001394_PN1_3.jpg</t>
        </is>
      </c>
      <c r="L588">
        <f>IMAGE("file:///E:/Estudios%20y%20certificaciones/ESTUDIOS%20DE%20PROGRAMMING/PROGRAMMING/PERSONAL/PYTHON/Image_Generator_API/imagenes/LAUNDRY_BY_DESIGN_121001394_PN1_1.jpg")</f>
        <v/>
      </c>
      <c r="M588">
        <f>IMAGE("file:///E:/Estudios%20y%20certificaciones/ESTUDIOS%20DE%20PROGRAMMING/PROGRAMMING/PERSONAL/PYTHON/Image_Generator_API/imagenes/LAUNDRY_BY_DESIGN_121001394_PN1_2.jpg")</f>
        <v/>
      </c>
      <c r="N588">
        <f>IMAGE("file:///E:/Estudios%20y%20certificaciones/ESTUDIOS%20DE%20PROGRAMMING/PROGRAMMING/PERSONAL/PYTHON/Image_Generator_API/imagenes/LAUNDRY_BY_DESIGN_121001394_PN1_3.jpg")</f>
        <v/>
      </c>
      <c r="O588">
        <f>HYPERLINK("imagenes/LAUNDRY_BY_DESIGN_121001394_PN1_1.jpg","Ver imagen")</f>
        <v/>
      </c>
      <c r="P588">
        <f>HYPERLINK("imagenes/LAUNDRY_BY_DESIGN_121001394_PN1_2.jpg","Ver imagen")</f>
        <v/>
      </c>
      <c r="Q588">
        <f>HYPERLINK("imagenes/LAUNDRY_BY_DESIGN_121001394_PN1_3.jpg","Ver imagen")</f>
        <v/>
      </c>
    </row>
    <row r="589">
      <c r="A589" t="inlineStr">
        <is>
          <t>LAUNDRY BY DESIGN</t>
        </is>
      </c>
      <c r="B589" t="inlineStr">
        <is>
          <t>121001394</t>
        </is>
      </c>
      <c r="C589" t="inlineStr">
        <is>
          <t>26" FAUX SILK QUILT (47363)</t>
        </is>
      </c>
      <c r="D589" t="inlineStr">
        <is>
          <t>PN1</t>
        </is>
      </c>
      <c r="E589" t="inlineStr">
        <is>
          <t>(en blanco)</t>
        </is>
      </c>
      <c r="F589" t="inlineStr">
        <is>
          <t>(en blanco)</t>
        </is>
      </c>
      <c r="G589" t="inlineStr">
        <is>
          <t>M</t>
        </is>
      </c>
      <c r="H589" t="n">
        <v>1</v>
      </c>
      <c r="I589" t="inlineStr">
        <is>
          <t>LAUNDRY_BY_DESIGN_121001394_PN1_1.jpg</t>
        </is>
      </c>
      <c r="J589" t="inlineStr">
        <is>
          <t>LAUNDRY_BY_DESIGN_121001394_PN1_2.jpg</t>
        </is>
      </c>
      <c r="K589" t="inlineStr">
        <is>
          <t>LAUNDRY_BY_DESIGN_121001394_PN1_3.jpg</t>
        </is>
      </c>
      <c r="L589">
        <f>IMAGE("file:///E:/Estudios%20y%20certificaciones/ESTUDIOS%20DE%20PROGRAMMING/PROGRAMMING/PERSONAL/PYTHON/Image_Generator_API/imagenes/LAUNDRY_BY_DESIGN_121001394_PN1_1.jpg")</f>
        <v/>
      </c>
      <c r="M589">
        <f>IMAGE("file:///E:/Estudios%20y%20certificaciones/ESTUDIOS%20DE%20PROGRAMMING/PROGRAMMING/PERSONAL/PYTHON/Image_Generator_API/imagenes/LAUNDRY_BY_DESIGN_121001394_PN1_2.jpg")</f>
        <v/>
      </c>
      <c r="N589">
        <f>IMAGE("file:///E:/Estudios%20y%20certificaciones/ESTUDIOS%20DE%20PROGRAMMING/PROGRAMMING/PERSONAL/PYTHON/Image_Generator_API/imagenes/LAUNDRY_BY_DESIGN_121001394_PN1_3.jpg")</f>
        <v/>
      </c>
      <c r="O589">
        <f>HYPERLINK("imagenes/LAUNDRY_BY_DESIGN_121001394_PN1_1.jpg","Ver imagen")</f>
        <v/>
      </c>
      <c r="P589">
        <f>HYPERLINK("imagenes/LAUNDRY_BY_DESIGN_121001394_PN1_2.jpg","Ver imagen")</f>
        <v/>
      </c>
      <c r="Q589">
        <f>HYPERLINK("imagenes/LAUNDRY_BY_DESIGN_121001394_PN1_3.jpg","Ver imagen")</f>
        <v/>
      </c>
    </row>
    <row r="590">
      <c r="A590" t="inlineStr">
        <is>
          <t>LAUNDRY BY DESIGN</t>
        </is>
      </c>
      <c r="B590" t="inlineStr">
        <is>
          <t>121001394</t>
        </is>
      </c>
      <c r="C590" t="inlineStr">
        <is>
          <t>26" FAUX SILK QUILT (47363)</t>
        </is>
      </c>
      <c r="D590" t="inlineStr">
        <is>
          <t>PN1</t>
        </is>
      </c>
      <c r="E590" t="inlineStr">
        <is>
          <t>(en blanco)</t>
        </is>
      </c>
      <c r="F590" t="inlineStr">
        <is>
          <t>(en blanco)</t>
        </is>
      </c>
      <c r="G590" t="inlineStr">
        <is>
          <t>L</t>
        </is>
      </c>
      <c r="H590" t="n">
        <v>0</v>
      </c>
      <c r="I590" t="inlineStr">
        <is>
          <t>LAUNDRY_BY_DESIGN_121001394_PN1_1.jpg</t>
        </is>
      </c>
      <c r="J590" t="inlineStr">
        <is>
          <t>LAUNDRY_BY_DESIGN_121001394_PN1_2.jpg</t>
        </is>
      </c>
      <c r="K590" t="inlineStr">
        <is>
          <t>LAUNDRY_BY_DESIGN_121001394_PN1_3.jpg</t>
        </is>
      </c>
      <c r="L590">
        <f>IMAGE("file:///E:/Estudios%20y%20certificaciones/ESTUDIOS%20DE%20PROGRAMMING/PROGRAMMING/PERSONAL/PYTHON/Image_Generator_API/imagenes/LAUNDRY_BY_DESIGN_121001394_PN1_1.jpg")</f>
        <v/>
      </c>
      <c r="M590">
        <f>IMAGE("file:///E:/Estudios%20y%20certificaciones/ESTUDIOS%20DE%20PROGRAMMING/PROGRAMMING/PERSONAL/PYTHON/Image_Generator_API/imagenes/LAUNDRY_BY_DESIGN_121001394_PN1_2.jpg")</f>
        <v/>
      </c>
      <c r="N590">
        <f>IMAGE("file:///E:/Estudios%20y%20certificaciones/ESTUDIOS%20DE%20PROGRAMMING/PROGRAMMING/PERSONAL/PYTHON/Image_Generator_API/imagenes/LAUNDRY_BY_DESIGN_121001394_PN1_3.jpg")</f>
        <v/>
      </c>
      <c r="O590">
        <f>HYPERLINK("imagenes/LAUNDRY_BY_DESIGN_121001394_PN1_1.jpg","Ver imagen")</f>
        <v/>
      </c>
      <c r="P590">
        <f>HYPERLINK("imagenes/LAUNDRY_BY_DESIGN_121001394_PN1_2.jpg","Ver imagen")</f>
        <v/>
      </c>
      <c r="Q590">
        <f>HYPERLINK("imagenes/LAUNDRY_BY_DESIGN_121001394_PN1_3.jpg","Ver imagen")</f>
        <v/>
      </c>
    </row>
    <row r="591">
      <c r="A591" t="inlineStr">
        <is>
          <t>LAUNDRY BY DESIGN</t>
        </is>
      </c>
      <c r="B591" t="inlineStr">
        <is>
          <t>121001394</t>
        </is>
      </c>
      <c r="C591" t="inlineStr">
        <is>
          <t>26" FAUX SILK QUILT (47363)</t>
        </is>
      </c>
      <c r="D591" t="inlineStr">
        <is>
          <t>PN1</t>
        </is>
      </c>
      <c r="E591" t="inlineStr">
        <is>
          <t>(en blanco)</t>
        </is>
      </c>
      <c r="F591" t="inlineStr">
        <is>
          <t>(en blanco)</t>
        </is>
      </c>
      <c r="G591" t="inlineStr">
        <is>
          <t>XXL</t>
        </is>
      </c>
      <c r="H591" t="n">
        <v>1</v>
      </c>
      <c r="I591" t="inlineStr">
        <is>
          <t>LAUNDRY_BY_DESIGN_121001394_PN1_1.jpg</t>
        </is>
      </c>
      <c r="J591" t="inlineStr">
        <is>
          <t>LAUNDRY_BY_DESIGN_121001394_PN1_2.jpg</t>
        </is>
      </c>
      <c r="K591" t="inlineStr">
        <is>
          <t>LAUNDRY_BY_DESIGN_121001394_PN1_3.jpg</t>
        </is>
      </c>
      <c r="L591">
        <f>IMAGE("file:///E:/Estudios%20y%20certificaciones/ESTUDIOS%20DE%20PROGRAMMING/PROGRAMMING/PERSONAL/PYTHON/Image_Generator_API/imagenes/LAUNDRY_BY_DESIGN_121001394_PN1_1.jpg")</f>
        <v/>
      </c>
      <c r="M591">
        <f>IMAGE("file:///E:/Estudios%20y%20certificaciones/ESTUDIOS%20DE%20PROGRAMMING/PROGRAMMING/PERSONAL/PYTHON/Image_Generator_API/imagenes/LAUNDRY_BY_DESIGN_121001394_PN1_2.jpg")</f>
        <v/>
      </c>
      <c r="N591">
        <f>IMAGE("file:///E:/Estudios%20y%20certificaciones/ESTUDIOS%20DE%20PROGRAMMING/PROGRAMMING/PERSONAL/PYTHON/Image_Generator_API/imagenes/LAUNDRY_BY_DESIGN_121001394_PN1_3.jpg")</f>
        <v/>
      </c>
      <c r="O591">
        <f>HYPERLINK("imagenes/LAUNDRY_BY_DESIGN_121001394_PN1_1.jpg","Ver imagen")</f>
        <v/>
      </c>
      <c r="P591">
        <f>HYPERLINK("imagenes/LAUNDRY_BY_DESIGN_121001394_PN1_2.jpg","Ver imagen")</f>
        <v/>
      </c>
      <c r="Q591">
        <f>HYPERLINK("imagenes/LAUNDRY_BY_DESIGN_121001394_PN1_3.jpg","Ver imagen")</f>
        <v/>
      </c>
    </row>
    <row r="592">
      <c r="A592" t="inlineStr">
        <is>
          <t>LAUNDRY BY DESIGN</t>
        </is>
      </c>
      <c r="B592" t="inlineStr">
        <is>
          <t>121001401</t>
        </is>
      </c>
      <c r="C592" t="inlineStr">
        <is>
          <t>27.5" SNOWCHIC QUILT (48128)</t>
        </is>
      </c>
      <c r="D592" t="inlineStr">
        <is>
          <t>BLK</t>
        </is>
      </c>
      <c r="E592" t="inlineStr">
        <is>
          <t>(en blanco)</t>
        </is>
      </c>
      <c r="F592" t="inlineStr">
        <is>
          <t>D2C</t>
        </is>
      </c>
      <c r="G592" t="inlineStr">
        <is>
          <t>S</t>
        </is>
      </c>
      <c r="H592" t="n">
        <v>1</v>
      </c>
      <c r="I592" t="inlineStr">
        <is>
          <t>LAUNDRY_BY_DESIGN_121001401_BLK_1.jpg</t>
        </is>
      </c>
      <c r="J592" t="inlineStr">
        <is>
          <t>LAUNDRY_BY_DESIGN_121001401_BLK_2.jpg</t>
        </is>
      </c>
      <c r="K592" t="inlineStr">
        <is>
          <t>LAUNDRY_BY_DESIGN_121001401_BLK_3.jpg</t>
        </is>
      </c>
      <c r="L592">
        <f>IMAGE("file:///E:/Estudios%20y%20certificaciones/ESTUDIOS%20DE%20PROGRAMMING/PROGRAMMING/PERSONAL/PYTHON/Image_Generator_API/imagenes/LAUNDRY_BY_DESIGN_121001401_BLK_1.jpg")</f>
        <v/>
      </c>
      <c r="M592">
        <f>IMAGE("file:///E:/Estudios%20y%20certificaciones/ESTUDIOS%20DE%20PROGRAMMING/PROGRAMMING/PERSONAL/PYTHON/Image_Generator_API/imagenes/LAUNDRY_BY_DESIGN_121001401_BLK_2.jpg")</f>
        <v/>
      </c>
      <c r="N592">
        <f>IMAGE("file:///E:/Estudios%20y%20certificaciones/ESTUDIOS%20DE%20PROGRAMMING/PROGRAMMING/PERSONAL/PYTHON/Image_Generator_API/imagenes/LAUNDRY_BY_DESIGN_121001401_BLK_3.jpg")</f>
        <v/>
      </c>
      <c r="O592">
        <f>HYPERLINK("imagenes/LAUNDRY_BY_DESIGN_121001401_BLK_1.jpg","Ver imagen")</f>
        <v/>
      </c>
      <c r="P592">
        <f>HYPERLINK("imagenes/LAUNDRY_BY_DESIGN_121001401_BLK_2.jpg","Ver imagen")</f>
        <v/>
      </c>
      <c r="Q592">
        <f>HYPERLINK("imagenes/LAUNDRY_BY_DESIGN_121001401_BLK_3.jpg","Ver imagen")</f>
        <v/>
      </c>
    </row>
    <row r="593">
      <c r="A593" t="inlineStr">
        <is>
          <t>LAUNDRY BY DESIGN</t>
        </is>
      </c>
      <c r="B593" t="inlineStr">
        <is>
          <t>121001401</t>
        </is>
      </c>
      <c r="C593" t="inlineStr">
        <is>
          <t>27.5" SNOWCHIC QUILT (48128)</t>
        </is>
      </c>
      <c r="D593" t="inlineStr">
        <is>
          <t>BLK</t>
        </is>
      </c>
      <c r="E593" t="inlineStr">
        <is>
          <t>(en blanco)</t>
        </is>
      </c>
      <c r="F593" t="inlineStr">
        <is>
          <t>(en blanco)</t>
        </is>
      </c>
      <c r="G593" t="inlineStr">
        <is>
          <t>L</t>
        </is>
      </c>
      <c r="H593" t="n">
        <v>0</v>
      </c>
      <c r="I593" t="inlineStr">
        <is>
          <t>LAUNDRY_BY_DESIGN_121001401_BLK_1.jpg</t>
        </is>
      </c>
      <c r="J593" t="inlineStr">
        <is>
          <t>LAUNDRY_BY_DESIGN_121001401_BLK_2.jpg</t>
        </is>
      </c>
      <c r="K593" t="inlineStr">
        <is>
          <t>LAUNDRY_BY_DESIGN_121001401_BLK_3.jpg</t>
        </is>
      </c>
      <c r="L593">
        <f>IMAGE("file:///E:/Estudios%20y%20certificaciones/ESTUDIOS%20DE%20PROGRAMMING/PROGRAMMING/PERSONAL/PYTHON/Image_Generator_API/imagenes/LAUNDRY_BY_DESIGN_121001401_BLK_1.jpg")</f>
        <v/>
      </c>
      <c r="M593">
        <f>IMAGE("file:///E:/Estudios%20y%20certificaciones/ESTUDIOS%20DE%20PROGRAMMING/PROGRAMMING/PERSONAL/PYTHON/Image_Generator_API/imagenes/LAUNDRY_BY_DESIGN_121001401_BLK_2.jpg")</f>
        <v/>
      </c>
      <c r="N593">
        <f>IMAGE("file:///E:/Estudios%20y%20certificaciones/ESTUDIOS%20DE%20PROGRAMMING/PROGRAMMING/PERSONAL/PYTHON/Image_Generator_API/imagenes/LAUNDRY_BY_DESIGN_121001401_BLK_3.jpg")</f>
        <v/>
      </c>
      <c r="O593">
        <f>HYPERLINK("imagenes/LAUNDRY_BY_DESIGN_121001401_BLK_1.jpg","Ver imagen")</f>
        <v/>
      </c>
      <c r="P593">
        <f>HYPERLINK("imagenes/LAUNDRY_BY_DESIGN_121001401_BLK_2.jpg","Ver imagen")</f>
        <v/>
      </c>
      <c r="Q593">
        <f>HYPERLINK("imagenes/LAUNDRY_BY_DESIGN_121001401_BLK_3.jpg","Ver imagen")</f>
        <v/>
      </c>
    </row>
    <row r="594">
      <c r="A594" t="inlineStr">
        <is>
          <t>LAUNDRY BY DESIGN</t>
        </is>
      </c>
      <c r="B594" t="inlineStr">
        <is>
          <t>121001401</t>
        </is>
      </c>
      <c r="C594" t="inlineStr">
        <is>
          <t>27.5" SNOWCHIC QUILT (48128)</t>
        </is>
      </c>
      <c r="D594" t="inlineStr">
        <is>
          <t>BLK</t>
        </is>
      </c>
      <c r="E594" t="inlineStr">
        <is>
          <t>(en blanco)</t>
        </is>
      </c>
      <c r="F594" t="inlineStr">
        <is>
          <t>(en blanco)</t>
        </is>
      </c>
      <c r="G594" t="inlineStr">
        <is>
          <t>XL</t>
        </is>
      </c>
      <c r="H594" t="n">
        <v>1</v>
      </c>
      <c r="I594" t="inlineStr">
        <is>
          <t>LAUNDRY_BY_DESIGN_121001401_BLK_1.jpg</t>
        </is>
      </c>
      <c r="J594" t="inlineStr">
        <is>
          <t>LAUNDRY_BY_DESIGN_121001401_BLK_2.jpg</t>
        </is>
      </c>
      <c r="K594" t="inlineStr">
        <is>
          <t>LAUNDRY_BY_DESIGN_121001401_BLK_3.jpg</t>
        </is>
      </c>
      <c r="L594">
        <f>IMAGE("file:///E:/Estudios%20y%20certificaciones/ESTUDIOS%20DE%20PROGRAMMING/PROGRAMMING/PERSONAL/PYTHON/Image_Generator_API/imagenes/LAUNDRY_BY_DESIGN_121001401_BLK_1.jpg")</f>
        <v/>
      </c>
      <c r="M594">
        <f>IMAGE("file:///E:/Estudios%20y%20certificaciones/ESTUDIOS%20DE%20PROGRAMMING/PROGRAMMING/PERSONAL/PYTHON/Image_Generator_API/imagenes/LAUNDRY_BY_DESIGN_121001401_BLK_2.jpg")</f>
        <v/>
      </c>
      <c r="N594">
        <f>IMAGE("file:///E:/Estudios%20y%20certificaciones/ESTUDIOS%20DE%20PROGRAMMING/PROGRAMMING/PERSONAL/PYTHON/Image_Generator_API/imagenes/LAUNDRY_BY_DESIGN_121001401_BLK_3.jpg")</f>
        <v/>
      </c>
      <c r="O594">
        <f>HYPERLINK("imagenes/LAUNDRY_BY_DESIGN_121001401_BLK_1.jpg","Ver imagen")</f>
        <v/>
      </c>
      <c r="P594">
        <f>HYPERLINK("imagenes/LAUNDRY_BY_DESIGN_121001401_BLK_2.jpg","Ver imagen")</f>
        <v/>
      </c>
      <c r="Q594">
        <f>HYPERLINK("imagenes/LAUNDRY_BY_DESIGN_121001401_BLK_3.jpg","Ver imagen")</f>
        <v/>
      </c>
    </row>
    <row r="595">
      <c r="A595" t="inlineStr">
        <is>
          <t>LAUNDRY BY DESIGN</t>
        </is>
      </c>
      <c r="B595" t="inlineStr">
        <is>
          <t>121001401</t>
        </is>
      </c>
      <c r="C595" t="inlineStr">
        <is>
          <t>27.5" SNOWCHIC QUILT (48128)</t>
        </is>
      </c>
      <c r="D595" t="inlineStr">
        <is>
          <t>PN1</t>
        </is>
      </c>
      <c r="E595" t="inlineStr">
        <is>
          <t>(en blanco)</t>
        </is>
      </c>
      <c r="F595" t="inlineStr">
        <is>
          <t>(en blanco)</t>
        </is>
      </c>
      <c r="G595" t="inlineStr">
        <is>
          <t>S</t>
        </is>
      </c>
      <c r="H595" t="n">
        <v>2</v>
      </c>
      <c r="I595" t="inlineStr">
        <is>
          <t>LAUNDRY_BY_DESIGN_121001401_PN1_1.jpg</t>
        </is>
      </c>
      <c r="J595" t="inlineStr">
        <is>
          <t>LAUNDRY_BY_DESIGN_121001401_PN1_2.jpg</t>
        </is>
      </c>
      <c r="K595" t="inlineStr">
        <is>
          <t>LAUNDRY_BY_DESIGN_121001401_PN1_3.jpg</t>
        </is>
      </c>
      <c r="L595">
        <f>IMAGE("file:///E:/Estudios%20y%20certificaciones/ESTUDIOS%20DE%20PROGRAMMING/PROGRAMMING/PERSONAL/PYTHON/Image_Generator_API/imagenes/LAUNDRY_BY_DESIGN_121001401_PN1_1.jpg")</f>
        <v/>
      </c>
      <c r="M595">
        <f>IMAGE("file:///E:/Estudios%20y%20certificaciones/ESTUDIOS%20DE%20PROGRAMMING/PROGRAMMING/PERSONAL/PYTHON/Image_Generator_API/imagenes/LAUNDRY_BY_DESIGN_121001401_PN1_2.jpg")</f>
        <v/>
      </c>
      <c r="N595">
        <f>IMAGE("file:///E:/Estudios%20y%20certificaciones/ESTUDIOS%20DE%20PROGRAMMING/PROGRAMMING/PERSONAL/PYTHON/Image_Generator_API/imagenes/LAUNDRY_BY_DESIGN_121001401_PN1_3.jpg")</f>
        <v/>
      </c>
      <c r="O595">
        <f>HYPERLINK("imagenes/LAUNDRY_BY_DESIGN_121001401_PN1_1.jpg","Ver imagen")</f>
        <v/>
      </c>
      <c r="P595">
        <f>HYPERLINK("imagenes/LAUNDRY_BY_DESIGN_121001401_PN1_2.jpg","Ver imagen")</f>
        <v/>
      </c>
      <c r="Q595">
        <f>HYPERLINK("imagenes/LAUNDRY_BY_DESIGN_121001401_PN1_3.jpg","Ver imagen")</f>
        <v/>
      </c>
    </row>
    <row r="596">
      <c r="A596" t="inlineStr">
        <is>
          <t>LAUNDRY BY DESIGN</t>
        </is>
      </c>
      <c r="B596" t="inlineStr">
        <is>
          <t>121001401</t>
        </is>
      </c>
      <c r="C596" t="inlineStr">
        <is>
          <t>27.5" SNOWCHIC QUILT (48128)</t>
        </is>
      </c>
      <c r="D596" t="inlineStr">
        <is>
          <t>PN1</t>
        </is>
      </c>
      <c r="E596" t="inlineStr">
        <is>
          <t>(en blanco)</t>
        </is>
      </c>
      <c r="F596" t="inlineStr">
        <is>
          <t>(en blanco)</t>
        </is>
      </c>
      <c r="G596" t="inlineStr">
        <is>
          <t>M</t>
        </is>
      </c>
      <c r="H596" t="n">
        <v>0</v>
      </c>
      <c r="I596" t="inlineStr">
        <is>
          <t>LAUNDRY_BY_DESIGN_121001401_PN1_1.jpg</t>
        </is>
      </c>
      <c r="J596" t="inlineStr">
        <is>
          <t>LAUNDRY_BY_DESIGN_121001401_PN1_2.jpg</t>
        </is>
      </c>
      <c r="K596" t="inlineStr">
        <is>
          <t>LAUNDRY_BY_DESIGN_121001401_PN1_3.jpg</t>
        </is>
      </c>
      <c r="L596">
        <f>IMAGE("file:///E:/Estudios%20y%20certificaciones/ESTUDIOS%20DE%20PROGRAMMING/PROGRAMMING/PERSONAL/PYTHON/Image_Generator_API/imagenes/LAUNDRY_BY_DESIGN_121001401_PN1_1.jpg")</f>
        <v/>
      </c>
      <c r="M596">
        <f>IMAGE("file:///E:/Estudios%20y%20certificaciones/ESTUDIOS%20DE%20PROGRAMMING/PROGRAMMING/PERSONAL/PYTHON/Image_Generator_API/imagenes/LAUNDRY_BY_DESIGN_121001401_PN1_2.jpg")</f>
        <v/>
      </c>
      <c r="N596">
        <f>IMAGE("file:///E:/Estudios%20y%20certificaciones/ESTUDIOS%20DE%20PROGRAMMING/PROGRAMMING/PERSONAL/PYTHON/Image_Generator_API/imagenes/LAUNDRY_BY_DESIGN_121001401_PN1_3.jpg")</f>
        <v/>
      </c>
      <c r="O596">
        <f>HYPERLINK("imagenes/LAUNDRY_BY_DESIGN_121001401_PN1_1.jpg","Ver imagen")</f>
        <v/>
      </c>
      <c r="P596">
        <f>HYPERLINK("imagenes/LAUNDRY_BY_DESIGN_121001401_PN1_2.jpg","Ver imagen")</f>
        <v/>
      </c>
      <c r="Q596">
        <f>HYPERLINK("imagenes/LAUNDRY_BY_DESIGN_121001401_PN1_3.jpg","Ver imagen")</f>
        <v/>
      </c>
    </row>
    <row r="597">
      <c r="A597" t="inlineStr">
        <is>
          <t>LAUNDRY BY DESIGN</t>
        </is>
      </c>
      <c r="B597" t="inlineStr">
        <is>
          <t>121001401</t>
        </is>
      </c>
      <c r="C597" t="inlineStr">
        <is>
          <t>27.5" SNOWCHIC QUILT (48128)</t>
        </is>
      </c>
      <c r="D597" t="inlineStr">
        <is>
          <t>PN1</t>
        </is>
      </c>
      <c r="E597" t="inlineStr">
        <is>
          <t>(en blanco)</t>
        </is>
      </c>
      <c r="F597" t="inlineStr">
        <is>
          <t>(en blanco)</t>
        </is>
      </c>
      <c r="G597" t="inlineStr">
        <is>
          <t>L</t>
        </is>
      </c>
      <c r="H597" t="n">
        <v>1</v>
      </c>
      <c r="I597" t="inlineStr">
        <is>
          <t>LAUNDRY_BY_DESIGN_121001401_PN1_1.jpg</t>
        </is>
      </c>
      <c r="J597" t="inlineStr">
        <is>
          <t>LAUNDRY_BY_DESIGN_121001401_PN1_2.jpg</t>
        </is>
      </c>
      <c r="K597" t="inlineStr">
        <is>
          <t>LAUNDRY_BY_DESIGN_121001401_PN1_3.jpg</t>
        </is>
      </c>
      <c r="L597">
        <f>IMAGE("file:///E:/Estudios%20y%20certificaciones/ESTUDIOS%20DE%20PROGRAMMING/PROGRAMMING/PERSONAL/PYTHON/Image_Generator_API/imagenes/LAUNDRY_BY_DESIGN_121001401_PN1_1.jpg")</f>
        <v/>
      </c>
      <c r="M597">
        <f>IMAGE("file:///E:/Estudios%20y%20certificaciones/ESTUDIOS%20DE%20PROGRAMMING/PROGRAMMING/PERSONAL/PYTHON/Image_Generator_API/imagenes/LAUNDRY_BY_DESIGN_121001401_PN1_2.jpg")</f>
        <v/>
      </c>
      <c r="N597">
        <f>IMAGE("file:///E:/Estudios%20y%20certificaciones/ESTUDIOS%20DE%20PROGRAMMING/PROGRAMMING/PERSONAL/PYTHON/Image_Generator_API/imagenes/LAUNDRY_BY_DESIGN_121001401_PN1_3.jpg")</f>
        <v/>
      </c>
      <c r="O597">
        <f>HYPERLINK("imagenes/LAUNDRY_BY_DESIGN_121001401_PN1_1.jpg","Ver imagen")</f>
        <v/>
      </c>
      <c r="P597">
        <f>HYPERLINK("imagenes/LAUNDRY_BY_DESIGN_121001401_PN1_2.jpg","Ver imagen")</f>
        <v/>
      </c>
      <c r="Q597">
        <f>HYPERLINK("imagenes/LAUNDRY_BY_DESIGN_121001401_PN1_3.jpg","Ver imagen")</f>
        <v/>
      </c>
    </row>
    <row r="598">
      <c r="A598" t="inlineStr">
        <is>
          <t>LAUNDRY BY DESIGN</t>
        </is>
      </c>
      <c r="B598" t="inlineStr">
        <is>
          <t>121001401</t>
        </is>
      </c>
      <c r="C598" t="inlineStr">
        <is>
          <t>27.5" SNOWCHIC QUILT (48128)</t>
        </is>
      </c>
      <c r="D598" t="inlineStr">
        <is>
          <t>PN1</t>
        </is>
      </c>
      <c r="E598" t="inlineStr">
        <is>
          <t>(en blanco)</t>
        </is>
      </c>
      <c r="F598" t="inlineStr">
        <is>
          <t>(en blanco)</t>
        </is>
      </c>
      <c r="G598" t="inlineStr">
        <is>
          <t>XL</t>
        </is>
      </c>
      <c r="H598" t="n">
        <v>1</v>
      </c>
      <c r="I598" t="inlineStr">
        <is>
          <t>LAUNDRY_BY_DESIGN_121001401_PN1_1.jpg</t>
        </is>
      </c>
      <c r="J598" t="inlineStr">
        <is>
          <t>LAUNDRY_BY_DESIGN_121001401_PN1_2.jpg</t>
        </is>
      </c>
      <c r="K598" t="inlineStr">
        <is>
          <t>LAUNDRY_BY_DESIGN_121001401_PN1_3.jpg</t>
        </is>
      </c>
      <c r="L598">
        <f>IMAGE("file:///E:/Estudios%20y%20certificaciones/ESTUDIOS%20DE%20PROGRAMMING/PROGRAMMING/PERSONAL/PYTHON/Image_Generator_API/imagenes/LAUNDRY_BY_DESIGN_121001401_PN1_1.jpg")</f>
        <v/>
      </c>
      <c r="M598">
        <f>IMAGE("file:///E:/Estudios%20y%20certificaciones/ESTUDIOS%20DE%20PROGRAMMING/PROGRAMMING/PERSONAL/PYTHON/Image_Generator_API/imagenes/LAUNDRY_BY_DESIGN_121001401_PN1_2.jpg")</f>
        <v/>
      </c>
      <c r="N598">
        <f>IMAGE("file:///E:/Estudios%20y%20certificaciones/ESTUDIOS%20DE%20PROGRAMMING/PROGRAMMING/PERSONAL/PYTHON/Image_Generator_API/imagenes/LAUNDRY_BY_DESIGN_121001401_PN1_3.jpg")</f>
        <v/>
      </c>
      <c r="O598">
        <f>HYPERLINK("imagenes/LAUNDRY_BY_DESIGN_121001401_PN1_1.jpg","Ver imagen")</f>
        <v/>
      </c>
      <c r="P598">
        <f>HYPERLINK("imagenes/LAUNDRY_BY_DESIGN_121001401_PN1_2.jpg","Ver imagen")</f>
        <v/>
      </c>
      <c r="Q598">
        <f>HYPERLINK("imagenes/LAUNDRY_BY_DESIGN_121001401_PN1_3.jpg","Ver imagen")</f>
        <v/>
      </c>
    </row>
    <row r="599">
      <c r="A599" t="inlineStr">
        <is>
          <t>LAUNDRY BY DESIGN</t>
        </is>
      </c>
      <c r="B599" t="inlineStr">
        <is>
          <t>121001913</t>
        </is>
      </c>
      <c r="C599" t="inlineStr">
        <is>
          <t>3/4 LENGTH WOOL COAT (56027)</t>
        </is>
      </c>
      <c r="D599" t="inlineStr">
        <is>
          <t>BLK</t>
        </is>
      </c>
      <c r="E599" t="inlineStr">
        <is>
          <t>(en blanco)</t>
        </is>
      </c>
      <c r="F599" t="inlineStr">
        <is>
          <t>(en blanco)</t>
        </is>
      </c>
      <c r="G599" t="inlineStr">
        <is>
          <t>LP</t>
        </is>
      </c>
      <c r="H599" t="n">
        <v>3</v>
      </c>
      <c r="I599" t="inlineStr">
        <is>
          <t>LAUNDRY_BY_DESIGN_121001913_BLK_1.jpg</t>
        </is>
      </c>
      <c r="J599" t="inlineStr">
        <is>
          <t>LAUNDRY_BY_DESIGN_121001913_BLK_2.jpg</t>
        </is>
      </c>
      <c r="K599" t="inlineStr">
        <is>
          <t>LAUNDRY_BY_DESIGN_121001913_BLK_3.jpg</t>
        </is>
      </c>
      <c r="L599">
        <f>IMAGE("file:///E:/Estudios%20y%20certificaciones/ESTUDIOS%20DE%20PROGRAMMING/PROGRAMMING/PERSONAL/PYTHON/Image_Generator_API/imagenes/LAUNDRY_BY_DESIGN_121001913_BLK_1.jpg")</f>
        <v/>
      </c>
      <c r="M599">
        <f>IMAGE("file:///E:/Estudios%20y%20certificaciones/ESTUDIOS%20DE%20PROGRAMMING/PROGRAMMING/PERSONAL/PYTHON/Image_Generator_API/imagenes/LAUNDRY_BY_DESIGN_121001913_BLK_2.jpg")</f>
        <v/>
      </c>
      <c r="N599">
        <f>IMAGE("file:///E:/Estudios%20y%20certificaciones/ESTUDIOS%20DE%20PROGRAMMING/PROGRAMMING/PERSONAL/PYTHON/Image_Generator_API/imagenes/LAUNDRY_BY_DESIGN_121001913_BLK_3.jpg")</f>
        <v/>
      </c>
      <c r="O599">
        <f>HYPERLINK("imagenes/LAUNDRY_BY_DESIGN_121001913_BLK_1.jpg","Ver imagen")</f>
        <v/>
      </c>
      <c r="P599">
        <f>HYPERLINK("imagenes/LAUNDRY_BY_DESIGN_121001913_BLK_2.jpg","Ver imagen")</f>
        <v/>
      </c>
      <c r="Q599">
        <f>HYPERLINK("imagenes/LAUNDRY_BY_DESIGN_121001913_BLK_3.jpg","Ver imagen")</f>
        <v/>
      </c>
    </row>
    <row r="600">
      <c r="A600" t="inlineStr">
        <is>
          <t>LAUNDRY BY DESIGN</t>
        </is>
      </c>
      <c r="B600" t="inlineStr">
        <is>
          <t>121001913</t>
        </is>
      </c>
      <c r="C600" t="inlineStr">
        <is>
          <t>3/4 LENGTH WOOL COAT (56027)</t>
        </is>
      </c>
      <c r="D600" t="inlineStr">
        <is>
          <t>BLK</t>
        </is>
      </c>
      <c r="E600" t="inlineStr">
        <is>
          <t>(en blanco)</t>
        </is>
      </c>
      <c r="F600" t="inlineStr">
        <is>
          <t>(en blanco)</t>
        </is>
      </c>
      <c r="G600" t="inlineStr">
        <is>
          <t>MP</t>
        </is>
      </c>
      <c r="H600" t="n">
        <v>6</v>
      </c>
      <c r="I600" t="inlineStr">
        <is>
          <t>LAUNDRY_BY_DESIGN_121001913_BLK_1.jpg</t>
        </is>
      </c>
      <c r="J600" t="inlineStr">
        <is>
          <t>LAUNDRY_BY_DESIGN_121001913_BLK_2.jpg</t>
        </is>
      </c>
      <c r="K600" t="inlineStr">
        <is>
          <t>LAUNDRY_BY_DESIGN_121001913_BLK_3.jpg</t>
        </is>
      </c>
      <c r="L600">
        <f>IMAGE("file:///E:/Estudios%20y%20certificaciones/ESTUDIOS%20DE%20PROGRAMMING/PROGRAMMING/PERSONAL/PYTHON/Image_Generator_API/imagenes/LAUNDRY_BY_DESIGN_121001913_BLK_1.jpg")</f>
        <v/>
      </c>
      <c r="M600">
        <f>IMAGE("file:///E:/Estudios%20y%20certificaciones/ESTUDIOS%20DE%20PROGRAMMING/PROGRAMMING/PERSONAL/PYTHON/Image_Generator_API/imagenes/LAUNDRY_BY_DESIGN_121001913_BLK_2.jpg")</f>
        <v/>
      </c>
      <c r="N600">
        <f>IMAGE("file:///E:/Estudios%20y%20certificaciones/ESTUDIOS%20DE%20PROGRAMMING/PROGRAMMING/PERSONAL/PYTHON/Image_Generator_API/imagenes/LAUNDRY_BY_DESIGN_121001913_BLK_3.jpg")</f>
        <v/>
      </c>
      <c r="O600">
        <f>HYPERLINK("imagenes/LAUNDRY_BY_DESIGN_121001913_BLK_1.jpg","Ver imagen")</f>
        <v/>
      </c>
      <c r="P600">
        <f>HYPERLINK("imagenes/LAUNDRY_BY_DESIGN_121001913_BLK_2.jpg","Ver imagen")</f>
        <v/>
      </c>
      <c r="Q600">
        <f>HYPERLINK("imagenes/LAUNDRY_BY_DESIGN_121001913_BLK_3.jpg","Ver imagen")</f>
        <v/>
      </c>
    </row>
    <row r="601">
      <c r="A601" t="inlineStr">
        <is>
          <t>LAUNDRY BY DESIGN</t>
        </is>
      </c>
      <c r="B601" t="inlineStr">
        <is>
          <t>121001913</t>
        </is>
      </c>
      <c r="C601" t="inlineStr">
        <is>
          <t>3/4 LENGTH WOOL COAT (56027)</t>
        </is>
      </c>
      <c r="D601" t="inlineStr">
        <is>
          <t>BLK</t>
        </is>
      </c>
      <c r="E601" t="inlineStr">
        <is>
          <t>(en blanco)</t>
        </is>
      </c>
      <c r="F601" t="inlineStr">
        <is>
          <t>(en blanco)</t>
        </is>
      </c>
      <c r="G601" t="inlineStr">
        <is>
          <t>SP</t>
        </is>
      </c>
      <c r="H601" t="n">
        <v>4</v>
      </c>
      <c r="I601" t="inlineStr">
        <is>
          <t>LAUNDRY_BY_DESIGN_121001913_BLK_1.jpg</t>
        </is>
      </c>
      <c r="J601" t="inlineStr">
        <is>
          <t>LAUNDRY_BY_DESIGN_121001913_BLK_2.jpg</t>
        </is>
      </c>
      <c r="K601" t="inlineStr">
        <is>
          <t>LAUNDRY_BY_DESIGN_121001913_BLK_3.jpg</t>
        </is>
      </c>
      <c r="L601">
        <f>IMAGE("file:///E:/Estudios%20y%20certificaciones/ESTUDIOS%20DE%20PROGRAMMING/PROGRAMMING/PERSONAL/PYTHON/Image_Generator_API/imagenes/LAUNDRY_BY_DESIGN_121001913_BLK_1.jpg")</f>
        <v/>
      </c>
      <c r="M601">
        <f>IMAGE("file:///E:/Estudios%20y%20certificaciones/ESTUDIOS%20DE%20PROGRAMMING/PROGRAMMING/PERSONAL/PYTHON/Image_Generator_API/imagenes/LAUNDRY_BY_DESIGN_121001913_BLK_2.jpg")</f>
        <v/>
      </c>
      <c r="N601">
        <f>IMAGE("file:///E:/Estudios%20y%20certificaciones/ESTUDIOS%20DE%20PROGRAMMING/PROGRAMMING/PERSONAL/PYTHON/Image_Generator_API/imagenes/LAUNDRY_BY_DESIGN_121001913_BLK_3.jpg")</f>
        <v/>
      </c>
      <c r="O601">
        <f>HYPERLINK("imagenes/LAUNDRY_BY_DESIGN_121001913_BLK_1.jpg","Ver imagen")</f>
        <v/>
      </c>
      <c r="P601">
        <f>HYPERLINK("imagenes/LAUNDRY_BY_DESIGN_121001913_BLK_2.jpg","Ver imagen")</f>
        <v/>
      </c>
      <c r="Q601">
        <f>HYPERLINK("imagenes/LAUNDRY_BY_DESIGN_121001913_BLK_3.jpg","Ver imagen")</f>
        <v/>
      </c>
    </row>
    <row r="602">
      <c r="A602" t="inlineStr">
        <is>
          <t>LAUNDRY BY DESIGN</t>
        </is>
      </c>
      <c r="B602" t="inlineStr">
        <is>
          <t>121001913</t>
        </is>
      </c>
      <c r="C602" t="inlineStr">
        <is>
          <t>3/4 LENGTH WOOL COAT (56027)</t>
        </is>
      </c>
      <c r="D602" t="inlineStr">
        <is>
          <t>BLK</t>
        </is>
      </c>
      <c r="E602" t="inlineStr">
        <is>
          <t>(en blanco)</t>
        </is>
      </c>
      <c r="F602" t="inlineStr">
        <is>
          <t>(en blanco)</t>
        </is>
      </c>
      <c r="G602" t="inlineStr">
        <is>
          <t>XLP</t>
        </is>
      </c>
      <c r="H602" t="n">
        <v>2</v>
      </c>
      <c r="I602" t="inlineStr">
        <is>
          <t>LAUNDRY_BY_DESIGN_121001913_BLK_1.jpg</t>
        </is>
      </c>
      <c r="J602" t="inlineStr">
        <is>
          <t>LAUNDRY_BY_DESIGN_121001913_BLK_2.jpg</t>
        </is>
      </c>
      <c r="K602" t="inlineStr">
        <is>
          <t>LAUNDRY_BY_DESIGN_121001913_BLK_3.jpg</t>
        </is>
      </c>
      <c r="L602">
        <f>IMAGE("file:///E:/Estudios%20y%20certificaciones/ESTUDIOS%20DE%20PROGRAMMING/PROGRAMMING/PERSONAL/PYTHON/Image_Generator_API/imagenes/LAUNDRY_BY_DESIGN_121001913_BLK_1.jpg")</f>
        <v/>
      </c>
      <c r="M602">
        <f>IMAGE("file:///E:/Estudios%20y%20certificaciones/ESTUDIOS%20DE%20PROGRAMMING/PROGRAMMING/PERSONAL/PYTHON/Image_Generator_API/imagenes/LAUNDRY_BY_DESIGN_121001913_BLK_2.jpg")</f>
        <v/>
      </c>
      <c r="N602">
        <f>IMAGE("file:///E:/Estudios%20y%20certificaciones/ESTUDIOS%20DE%20PROGRAMMING/PROGRAMMING/PERSONAL/PYTHON/Image_Generator_API/imagenes/LAUNDRY_BY_DESIGN_121001913_BLK_3.jpg")</f>
        <v/>
      </c>
      <c r="O602">
        <f>HYPERLINK("imagenes/LAUNDRY_BY_DESIGN_121001913_BLK_1.jpg","Ver imagen")</f>
        <v/>
      </c>
      <c r="P602">
        <f>HYPERLINK("imagenes/LAUNDRY_BY_DESIGN_121001913_BLK_2.jpg","Ver imagen")</f>
        <v/>
      </c>
      <c r="Q602">
        <f>HYPERLINK("imagenes/LAUNDRY_BY_DESIGN_121001913_BLK_3.jpg","Ver imagen")</f>
        <v/>
      </c>
    </row>
    <row r="603">
      <c r="A603" t="inlineStr">
        <is>
          <t>LAUNDRY BY DESIGN</t>
        </is>
      </c>
      <c r="B603" t="inlineStr">
        <is>
          <t>121001913</t>
        </is>
      </c>
      <c r="C603" t="inlineStr">
        <is>
          <t>3/4 LENGTH WOOL COAT (56027)</t>
        </is>
      </c>
      <c r="D603" t="inlineStr">
        <is>
          <t>CAM</t>
        </is>
      </c>
      <c r="E603" t="inlineStr">
        <is>
          <t>(en blanco)</t>
        </is>
      </c>
      <c r="F603" t="inlineStr">
        <is>
          <t>(en blanco)</t>
        </is>
      </c>
      <c r="G603" t="inlineStr">
        <is>
          <t>LP</t>
        </is>
      </c>
      <c r="H603" t="n">
        <v>30</v>
      </c>
      <c r="I603" t="inlineStr">
        <is>
          <t>LAUNDRY_BY_DESIGN_121001913_CAM_1.jpg</t>
        </is>
      </c>
      <c r="J603" t="inlineStr">
        <is>
          <t>LAUNDRY_BY_DESIGN_121001913_CAM_2.jpg</t>
        </is>
      </c>
      <c r="L603">
        <f>IMAGE("file:///E:/Estudios%20y%20certificaciones/ESTUDIOS%20DE%20PROGRAMMING/PROGRAMMING/PERSONAL/PYTHON/Image_Generator_API/imagenes/LAUNDRY_BY_DESIGN_121001913_CAM_1.jpg")</f>
        <v/>
      </c>
      <c r="M603">
        <f>IMAGE("file:///E:/Estudios%20y%20certificaciones/ESTUDIOS%20DE%20PROGRAMMING/PROGRAMMING/PERSONAL/PYTHON/Image_Generator_API/imagenes/LAUNDRY_BY_DESIGN_121001913_CAM_2.jpg")</f>
        <v/>
      </c>
      <c r="O603">
        <f>HYPERLINK("imagenes/LAUNDRY_BY_DESIGN_121001913_CAM_1.jpg","Ver imagen")</f>
        <v/>
      </c>
      <c r="P603">
        <f>HYPERLINK("imagenes/LAUNDRY_BY_DESIGN_121001913_CAM_2.jpg","Ver imagen")</f>
        <v/>
      </c>
    </row>
    <row r="604">
      <c r="A604" t="inlineStr">
        <is>
          <t>LAUNDRY BY DESIGN</t>
        </is>
      </c>
      <c r="B604" t="inlineStr">
        <is>
          <t>121001913</t>
        </is>
      </c>
      <c r="C604" t="inlineStr">
        <is>
          <t>3/4 LENGTH WOOL COAT (56027)</t>
        </is>
      </c>
      <c r="D604" t="inlineStr">
        <is>
          <t>CAM</t>
        </is>
      </c>
      <c r="E604" t="inlineStr">
        <is>
          <t>(en blanco)</t>
        </is>
      </c>
      <c r="F604" t="inlineStr">
        <is>
          <t>(en blanco)</t>
        </is>
      </c>
      <c r="G604" t="inlineStr">
        <is>
          <t>MP</t>
        </is>
      </c>
      <c r="H604" t="n">
        <v>28</v>
      </c>
      <c r="I604" t="inlineStr">
        <is>
          <t>LAUNDRY_BY_DESIGN_121001913_CAM_1.jpg</t>
        </is>
      </c>
      <c r="J604" t="inlineStr">
        <is>
          <t>LAUNDRY_BY_DESIGN_121001913_CAM_2.jpg</t>
        </is>
      </c>
      <c r="L604">
        <f>IMAGE("file:///E:/Estudios%20y%20certificaciones/ESTUDIOS%20DE%20PROGRAMMING/PROGRAMMING/PERSONAL/PYTHON/Image_Generator_API/imagenes/LAUNDRY_BY_DESIGN_121001913_CAM_1.jpg")</f>
        <v/>
      </c>
      <c r="M604">
        <f>IMAGE("file:///E:/Estudios%20y%20certificaciones/ESTUDIOS%20DE%20PROGRAMMING/PROGRAMMING/PERSONAL/PYTHON/Image_Generator_API/imagenes/LAUNDRY_BY_DESIGN_121001913_CAM_2.jpg")</f>
        <v/>
      </c>
      <c r="O604">
        <f>HYPERLINK("imagenes/LAUNDRY_BY_DESIGN_121001913_CAM_1.jpg","Ver imagen")</f>
        <v/>
      </c>
      <c r="P604">
        <f>HYPERLINK("imagenes/LAUNDRY_BY_DESIGN_121001913_CAM_2.jpg","Ver imagen")</f>
        <v/>
      </c>
    </row>
    <row r="605">
      <c r="A605" t="inlineStr">
        <is>
          <t>LAUNDRY BY DESIGN</t>
        </is>
      </c>
      <c r="B605" t="inlineStr">
        <is>
          <t>121001913</t>
        </is>
      </c>
      <c r="C605" t="inlineStr">
        <is>
          <t>3/4 LENGTH WOOL COAT (56027)</t>
        </is>
      </c>
      <c r="D605" t="inlineStr">
        <is>
          <t>CAM</t>
        </is>
      </c>
      <c r="E605" t="inlineStr">
        <is>
          <t>(en blanco)</t>
        </is>
      </c>
      <c r="F605" t="inlineStr">
        <is>
          <t>(en blanco)</t>
        </is>
      </c>
      <c r="G605" t="inlineStr">
        <is>
          <t>SP</t>
        </is>
      </c>
      <c r="H605" t="n">
        <v>4</v>
      </c>
      <c r="I605" t="inlineStr">
        <is>
          <t>LAUNDRY_BY_DESIGN_121001913_CAM_1.jpg</t>
        </is>
      </c>
      <c r="J605" t="inlineStr">
        <is>
          <t>LAUNDRY_BY_DESIGN_121001913_CAM_2.jpg</t>
        </is>
      </c>
      <c r="L605">
        <f>IMAGE("file:///E:/Estudios%20y%20certificaciones/ESTUDIOS%20DE%20PROGRAMMING/PROGRAMMING/PERSONAL/PYTHON/Image_Generator_API/imagenes/LAUNDRY_BY_DESIGN_121001913_CAM_1.jpg")</f>
        <v/>
      </c>
      <c r="M605">
        <f>IMAGE("file:///E:/Estudios%20y%20certificaciones/ESTUDIOS%20DE%20PROGRAMMING/PROGRAMMING/PERSONAL/PYTHON/Image_Generator_API/imagenes/LAUNDRY_BY_DESIGN_121001913_CAM_2.jpg")</f>
        <v/>
      </c>
      <c r="O605">
        <f>HYPERLINK("imagenes/LAUNDRY_BY_DESIGN_121001913_CAM_1.jpg","Ver imagen")</f>
        <v/>
      </c>
      <c r="P605">
        <f>HYPERLINK("imagenes/LAUNDRY_BY_DESIGN_121001913_CAM_2.jpg","Ver imagen")</f>
        <v/>
      </c>
    </row>
    <row r="606">
      <c r="A606" t="inlineStr">
        <is>
          <t>LAUNDRY BY DESIGN</t>
        </is>
      </c>
      <c r="B606" t="inlineStr">
        <is>
          <t>121001913</t>
        </is>
      </c>
      <c r="C606" t="inlineStr">
        <is>
          <t>3/4 LENGTH WOOL COAT (56027)</t>
        </is>
      </c>
      <c r="D606" t="inlineStr">
        <is>
          <t>CAM</t>
        </is>
      </c>
      <c r="E606" t="inlineStr">
        <is>
          <t>(en blanco)</t>
        </is>
      </c>
      <c r="F606" t="inlineStr">
        <is>
          <t>(en blanco)</t>
        </is>
      </c>
      <c r="G606" t="inlineStr">
        <is>
          <t>XLP</t>
        </is>
      </c>
      <c r="H606" t="n">
        <v>37</v>
      </c>
      <c r="I606" t="inlineStr">
        <is>
          <t>LAUNDRY_BY_DESIGN_121001913_CAM_1.jpg</t>
        </is>
      </c>
      <c r="J606" t="inlineStr">
        <is>
          <t>LAUNDRY_BY_DESIGN_121001913_CAM_2.jpg</t>
        </is>
      </c>
      <c r="L606">
        <f>IMAGE("file:///E:/Estudios%20y%20certificaciones/ESTUDIOS%20DE%20PROGRAMMING/PROGRAMMING/PERSONAL/PYTHON/Image_Generator_API/imagenes/LAUNDRY_BY_DESIGN_121001913_CAM_1.jpg")</f>
        <v/>
      </c>
      <c r="M606">
        <f>IMAGE("file:///E:/Estudios%20y%20certificaciones/ESTUDIOS%20DE%20PROGRAMMING/PROGRAMMING/PERSONAL/PYTHON/Image_Generator_API/imagenes/LAUNDRY_BY_DESIGN_121001913_CAM_2.jpg")</f>
        <v/>
      </c>
      <c r="O606">
        <f>HYPERLINK("imagenes/LAUNDRY_BY_DESIGN_121001913_CAM_1.jpg","Ver imagen")</f>
        <v/>
      </c>
      <c r="P606">
        <f>HYPERLINK("imagenes/LAUNDRY_BY_DESIGN_121001913_CAM_2.jpg","Ver imagen")</f>
        <v/>
      </c>
    </row>
    <row r="607">
      <c r="A607" t="inlineStr">
        <is>
          <t>LAUNDRY BY DESIGN</t>
        </is>
      </c>
      <c r="B607" t="inlineStr">
        <is>
          <t>121001913</t>
        </is>
      </c>
      <c r="C607" t="inlineStr">
        <is>
          <t>3/4 LENGTH WOOL COAT (56027)</t>
        </is>
      </c>
      <c r="D607" t="inlineStr">
        <is>
          <t>ICE</t>
        </is>
      </c>
      <c r="E607" t="inlineStr">
        <is>
          <t>(en blanco)</t>
        </is>
      </c>
      <c r="F607" t="inlineStr">
        <is>
          <t>(en blanco)</t>
        </is>
      </c>
      <c r="G607" t="inlineStr">
        <is>
          <t>LP</t>
        </is>
      </c>
      <c r="H607" t="n">
        <v>4</v>
      </c>
      <c r="I607" t="inlineStr">
        <is>
          <t>LAUNDRY_BY_DESIGN_121001913_ICE_1.jpg</t>
        </is>
      </c>
      <c r="J607" t="inlineStr">
        <is>
          <t>LAUNDRY_BY_DESIGN_121001913_ICE_2.jpg</t>
        </is>
      </c>
      <c r="K607" t="inlineStr">
        <is>
          <t>LAUNDRY_BY_DESIGN_121001913_ICE_3.jpg</t>
        </is>
      </c>
      <c r="L607">
        <f>IMAGE("file:///E:/Estudios%20y%20certificaciones/ESTUDIOS%20DE%20PROGRAMMING/PROGRAMMING/PERSONAL/PYTHON/Image_Generator_API/imagenes/LAUNDRY_BY_DESIGN_121001913_ICE_1.jpg")</f>
        <v/>
      </c>
      <c r="M607">
        <f>IMAGE("file:///E:/Estudios%20y%20certificaciones/ESTUDIOS%20DE%20PROGRAMMING/PROGRAMMING/PERSONAL/PYTHON/Image_Generator_API/imagenes/LAUNDRY_BY_DESIGN_121001913_ICE_2.jpg")</f>
        <v/>
      </c>
      <c r="N607">
        <f>IMAGE("file:///E:/Estudios%20y%20certificaciones/ESTUDIOS%20DE%20PROGRAMMING/PROGRAMMING/PERSONAL/PYTHON/Image_Generator_API/imagenes/LAUNDRY_BY_DESIGN_121001913_ICE_3.jpg")</f>
        <v/>
      </c>
      <c r="O607">
        <f>HYPERLINK("imagenes/LAUNDRY_BY_DESIGN_121001913_ICE_1.jpg","Ver imagen")</f>
        <v/>
      </c>
      <c r="P607">
        <f>HYPERLINK("imagenes/LAUNDRY_BY_DESIGN_121001913_ICE_2.jpg","Ver imagen")</f>
        <v/>
      </c>
      <c r="Q607">
        <f>HYPERLINK("imagenes/LAUNDRY_BY_DESIGN_121001913_ICE_3.jpg","Ver imagen")</f>
        <v/>
      </c>
    </row>
    <row r="608">
      <c r="A608" t="inlineStr">
        <is>
          <t>LAUNDRY BY DESIGN</t>
        </is>
      </c>
      <c r="B608" t="inlineStr">
        <is>
          <t>121001913</t>
        </is>
      </c>
      <c r="C608" t="inlineStr">
        <is>
          <t>3/4 LENGTH WOOL COAT (56027)</t>
        </is>
      </c>
      <c r="D608" t="inlineStr">
        <is>
          <t>ICE</t>
        </is>
      </c>
      <c r="E608" t="inlineStr">
        <is>
          <t>(en blanco)</t>
        </is>
      </c>
      <c r="F608" t="inlineStr">
        <is>
          <t>(en blanco)</t>
        </is>
      </c>
      <c r="G608" t="inlineStr">
        <is>
          <t>MP</t>
        </is>
      </c>
      <c r="H608" t="n">
        <v>16</v>
      </c>
      <c r="I608" t="inlineStr">
        <is>
          <t>LAUNDRY_BY_DESIGN_121001913_ICE_1.jpg</t>
        </is>
      </c>
      <c r="J608" t="inlineStr">
        <is>
          <t>LAUNDRY_BY_DESIGN_121001913_ICE_2.jpg</t>
        </is>
      </c>
      <c r="K608" t="inlineStr">
        <is>
          <t>LAUNDRY_BY_DESIGN_121001913_ICE_3.jpg</t>
        </is>
      </c>
      <c r="L608">
        <f>IMAGE("file:///E:/Estudios%20y%20certificaciones/ESTUDIOS%20DE%20PROGRAMMING/PROGRAMMING/PERSONAL/PYTHON/Image_Generator_API/imagenes/LAUNDRY_BY_DESIGN_121001913_ICE_1.jpg")</f>
        <v/>
      </c>
      <c r="M608">
        <f>IMAGE("file:///E:/Estudios%20y%20certificaciones/ESTUDIOS%20DE%20PROGRAMMING/PROGRAMMING/PERSONAL/PYTHON/Image_Generator_API/imagenes/LAUNDRY_BY_DESIGN_121001913_ICE_2.jpg")</f>
        <v/>
      </c>
      <c r="N608">
        <f>IMAGE("file:///E:/Estudios%20y%20certificaciones/ESTUDIOS%20DE%20PROGRAMMING/PROGRAMMING/PERSONAL/PYTHON/Image_Generator_API/imagenes/LAUNDRY_BY_DESIGN_121001913_ICE_3.jpg")</f>
        <v/>
      </c>
      <c r="O608">
        <f>HYPERLINK("imagenes/LAUNDRY_BY_DESIGN_121001913_ICE_1.jpg","Ver imagen")</f>
        <v/>
      </c>
      <c r="P608">
        <f>HYPERLINK("imagenes/LAUNDRY_BY_DESIGN_121001913_ICE_2.jpg","Ver imagen")</f>
        <v/>
      </c>
      <c r="Q608">
        <f>HYPERLINK("imagenes/LAUNDRY_BY_DESIGN_121001913_ICE_3.jpg","Ver imagen")</f>
        <v/>
      </c>
    </row>
    <row r="609">
      <c r="A609" t="inlineStr">
        <is>
          <t>LAUNDRY BY DESIGN</t>
        </is>
      </c>
      <c r="B609" t="inlineStr">
        <is>
          <t>121001913</t>
        </is>
      </c>
      <c r="C609" t="inlineStr">
        <is>
          <t>3/4 LENGTH WOOL COAT (56027)</t>
        </is>
      </c>
      <c r="D609" t="inlineStr">
        <is>
          <t>ICE</t>
        </is>
      </c>
      <c r="E609" t="inlineStr">
        <is>
          <t>(en blanco)</t>
        </is>
      </c>
      <c r="F609" t="inlineStr">
        <is>
          <t>(en blanco)</t>
        </is>
      </c>
      <c r="G609" t="inlineStr">
        <is>
          <t>SP</t>
        </is>
      </c>
      <c r="H609" t="n">
        <v>2</v>
      </c>
      <c r="I609" t="inlineStr">
        <is>
          <t>LAUNDRY_BY_DESIGN_121001913_ICE_1.jpg</t>
        </is>
      </c>
      <c r="J609" t="inlineStr">
        <is>
          <t>LAUNDRY_BY_DESIGN_121001913_ICE_2.jpg</t>
        </is>
      </c>
      <c r="K609" t="inlineStr">
        <is>
          <t>LAUNDRY_BY_DESIGN_121001913_ICE_3.jpg</t>
        </is>
      </c>
      <c r="L609">
        <f>IMAGE("file:///E:/Estudios%20y%20certificaciones/ESTUDIOS%20DE%20PROGRAMMING/PROGRAMMING/PERSONAL/PYTHON/Image_Generator_API/imagenes/LAUNDRY_BY_DESIGN_121001913_ICE_1.jpg")</f>
        <v/>
      </c>
      <c r="M609">
        <f>IMAGE("file:///E:/Estudios%20y%20certificaciones/ESTUDIOS%20DE%20PROGRAMMING/PROGRAMMING/PERSONAL/PYTHON/Image_Generator_API/imagenes/LAUNDRY_BY_DESIGN_121001913_ICE_2.jpg")</f>
        <v/>
      </c>
      <c r="N609">
        <f>IMAGE("file:///E:/Estudios%20y%20certificaciones/ESTUDIOS%20DE%20PROGRAMMING/PROGRAMMING/PERSONAL/PYTHON/Image_Generator_API/imagenes/LAUNDRY_BY_DESIGN_121001913_ICE_3.jpg")</f>
        <v/>
      </c>
      <c r="O609">
        <f>HYPERLINK("imagenes/LAUNDRY_BY_DESIGN_121001913_ICE_1.jpg","Ver imagen")</f>
        <v/>
      </c>
      <c r="P609">
        <f>HYPERLINK("imagenes/LAUNDRY_BY_DESIGN_121001913_ICE_2.jpg","Ver imagen")</f>
        <v/>
      </c>
      <c r="Q609">
        <f>HYPERLINK("imagenes/LAUNDRY_BY_DESIGN_121001913_ICE_3.jpg","Ver imagen")</f>
        <v/>
      </c>
    </row>
    <row r="610">
      <c r="A610" t="inlineStr">
        <is>
          <t>LAUNDRY BY DESIGN</t>
        </is>
      </c>
      <c r="B610" t="inlineStr">
        <is>
          <t>121001913</t>
        </is>
      </c>
      <c r="C610" t="inlineStr">
        <is>
          <t>3/4 LENGTH WOOL COAT (56027)</t>
        </is>
      </c>
      <c r="D610" t="inlineStr">
        <is>
          <t>ICE</t>
        </is>
      </c>
      <c r="E610" t="inlineStr">
        <is>
          <t>(en blanco)</t>
        </is>
      </c>
      <c r="F610" t="inlineStr">
        <is>
          <t>(en blanco)</t>
        </is>
      </c>
      <c r="G610" t="inlineStr">
        <is>
          <t>XLP</t>
        </is>
      </c>
      <c r="H610" t="n">
        <v>9</v>
      </c>
      <c r="I610" t="inlineStr">
        <is>
          <t>LAUNDRY_BY_DESIGN_121001913_ICE_1.jpg</t>
        </is>
      </c>
      <c r="J610" t="inlineStr">
        <is>
          <t>LAUNDRY_BY_DESIGN_121001913_ICE_2.jpg</t>
        </is>
      </c>
      <c r="K610" t="inlineStr">
        <is>
          <t>LAUNDRY_BY_DESIGN_121001913_ICE_3.jpg</t>
        </is>
      </c>
      <c r="L610">
        <f>IMAGE("file:///E:/Estudios%20y%20certificaciones/ESTUDIOS%20DE%20PROGRAMMING/PROGRAMMING/PERSONAL/PYTHON/Image_Generator_API/imagenes/LAUNDRY_BY_DESIGN_121001913_ICE_1.jpg")</f>
        <v/>
      </c>
      <c r="M610">
        <f>IMAGE("file:///E:/Estudios%20y%20certificaciones/ESTUDIOS%20DE%20PROGRAMMING/PROGRAMMING/PERSONAL/PYTHON/Image_Generator_API/imagenes/LAUNDRY_BY_DESIGN_121001913_ICE_2.jpg")</f>
        <v/>
      </c>
      <c r="N610">
        <f>IMAGE("file:///E:/Estudios%20y%20certificaciones/ESTUDIOS%20DE%20PROGRAMMING/PROGRAMMING/PERSONAL/PYTHON/Image_Generator_API/imagenes/LAUNDRY_BY_DESIGN_121001913_ICE_3.jpg")</f>
        <v/>
      </c>
      <c r="O610">
        <f>HYPERLINK("imagenes/LAUNDRY_BY_DESIGN_121001913_ICE_1.jpg","Ver imagen")</f>
        <v/>
      </c>
      <c r="P610">
        <f>HYPERLINK("imagenes/LAUNDRY_BY_DESIGN_121001913_ICE_2.jpg","Ver imagen")</f>
        <v/>
      </c>
      <c r="Q610">
        <f>HYPERLINK("imagenes/LAUNDRY_BY_DESIGN_121001913_ICE_3.jpg","Ver imagen")</f>
        <v/>
      </c>
    </row>
    <row r="611">
      <c r="A611" t="inlineStr">
        <is>
          <t>LAUNDRY BY DESIGN</t>
        </is>
      </c>
      <c r="B611" t="inlineStr">
        <is>
          <t>121001913</t>
        </is>
      </c>
      <c r="C611" t="inlineStr">
        <is>
          <t>3/4 LENGTH WOOL COAT (56027)</t>
        </is>
      </c>
      <c r="D611" t="inlineStr">
        <is>
          <t>RWI</t>
        </is>
      </c>
      <c r="E611" t="inlineStr">
        <is>
          <t>(en blanco)</t>
        </is>
      </c>
      <c r="F611" t="inlineStr">
        <is>
          <t>(en blanco)</t>
        </is>
      </c>
      <c r="G611" t="inlineStr">
        <is>
          <t>LP</t>
        </is>
      </c>
      <c r="H611" t="n">
        <v>12</v>
      </c>
      <c r="I611" t="inlineStr">
        <is>
          <t>LAUNDRY_BY_DESIGN_121001913_RWI_1.jpg</t>
        </is>
      </c>
      <c r="J611" t="inlineStr">
        <is>
          <t>LAUNDRY_BY_DESIGN_121001913_RWI_2.jpg</t>
        </is>
      </c>
      <c r="K611" t="inlineStr">
        <is>
          <t>LAUNDRY_BY_DESIGN_121001913_RWI_3.jpg</t>
        </is>
      </c>
      <c r="L611">
        <f>IMAGE("file:///E:/Estudios%20y%20certificaciones/ESTUDIOS%20DE%20PROGRAMMING/PROGRAMMING/PERSONAL/PYTHON/Image_Generator_API/imagenes/LAUNDRY_BY_DESIGN_121001913_RWI_1.jpg")</f>
        <v/>
      </c>
      <c r="M611">
        <f>IMAGE("file:///E:/Estudios%20y%20certificaciones/ESTUDIOS%20DE%20PROGRAMMING/PROGRAMMING/PERSONAL/PYTHON/Image_Generator_API/imagenes/LAUNDRY_BY_DESIGN_121001913_RWI_2.jpg")</f>
        <v/>
      </c>
      <c r="N611">
        <f>IMAGE("file:///E:/Estudios%20y%20certificaciones/ESTUDIOS%20DE%20PROGRAMMING/PROGRAMMING/PERSONAL/PYTHON/Image_Generator_API/imagenes/LAUNDRY_BY_DESIGN_121001913_RWI_3.jpg")</f>
        <v/>
      </c>
      <c r="O611">
        <f>HYPERLINK("imagenes/LAUNDRY_BY_DESIGN_121001913_RWI_1.jpg","Ver imagen")</f>
        <v/>
      </c>
      <c r="P611">
        <f>HYPERLINK("imagenes/LAUNDRY_BY_DESIGN_121001913_RWI_2.jpg","Ver imagen")</f>
        <v/>
      </c>
      <c r="Q611">
        <f>HYPERLINK("imagenes/LAUNDRY_BY_DESIGN_121001913_RWI_3.jpg","Ver imagen")</f>
        <v/>
      </c>
    </row>
    <row r="612">
      <c r="A612" t="inlineStr">
        <is>
          <t>LAUNDRY BY DESIGN</t>
        </is>
      </c>
      <c r="B612" t="inlineStr">
        <is>
          <t>121001913</t>
        </is>
      </c>
      <c r="C612" t="inlineStr">
        <is>
          <t>3/4 LENGTH WOOL COAT (56027)</t>
        </is>
      </c>
      <c r="D612" t="inlineStr">
        <is>
          <t>RWI</t>
        </is>
      </c>
      <c r="E612" t="inlineStr">
        <is>
          <t>(en blanco)</t>
        </is>
      </c>
      <c r="F612" t="inlineStr">
        <is>
          <t>(en blanco)</t>
        </is>
      </c>
      <c r="G612" t="inlineStr">
        <is>
          <t>MP</t>
        </is>
      </c>
      <c r="H612" t="n">
        <v>11</v>
      </c>
      <c r="I612" t="inlineStr">
        <is>
          <t>LAUNDRY_BY_DESIGN_121001913_RWI_1.jpg</t>
        </is>
      </c>
      <c r="J612" t="inlineStr">
        <is>
          <t>LAUNDRY_BY_DESIGN_121001913_RWI_2.jpg</t>
        </is>
      </c>
      <c r="K612" t="inlineStr">
        <is>
          <t>LAUNDRY_BY_DESIGN_121001913_RWI_3.jpg</t>
        </is>
      </c>
      <c r="L612">
        <f>IMAGE("file:///E:/Estudios%20y%20certificaciones/ESTUDIOS%20DE%20PROGRAMMING/PROGRAMMING/PERSONAL/PYTHON/Image_Generator_API/imagenes/LAUNDRY_BY_DESIGN_121001913_RWI_1.jpg")</f>
        <v/>
      </c>
      <c r="M612">
        <f>IMAGE("file:///E:/Estudios%20y%20certificaciones/ESTUDIOS%20DE%20PROGRAMMING/PROGRAMMING/PERSONAL/PYTHON/Image_Generator_API/imagenes/LAUNDRY_BY_DESIGN_121001913_RWI_2.jpg")</f>
        <v/>
      </c>
      <c r="N612">
        <f>IMAGE("file:///E:/Estudios%20y%20certificaciones/ESTUDIOS%20DE%20PROGRAMMING/PROGRAMMING/PERSONAL/PYTHON/Image_Generator_API/imagenes/LAUNDRY_BY_DESIGN_121001913_RWI_3.jpg")</f>
        <v/>
      </c>
      <c r="O612">
        <f>HYPERLINK("imagenes/LAUNDRY_BY_DESIGN_121001913_RWI_1.jpg","Ver imagen")</f>
        <v/>
      </c>
      <c r="P612">
        <f>HYPERLINK("imagenes/LAUNDRY_BY_DESIGN_121001913_RWI_2.jpg","Ver imagen")</f>
        <v/>
      </c>
      <c r="Q612">
        <f>HYPERLINK("imagenes/LAUNDRY_BY_DESIGN_121001913_RWI_3.jpg","Ver imagen")</f>
        <v/>
      </c>
    </row>
    <row r="613">
      <c r="A613" t="inlineStr">
        <is>
          <t>LAUNDRY BY DESIGN</t>
        </is>
      </c>
      <c r="B613" t="inlineStr">
        <is>
          <t>121001913</t>
        </is>
      </c>
      <c r="C613" t="inlineStr">
        <is>
          <t>3/4 LENGTH WOOL COAT (56027)</t>
        </is>
      </c>
      <c r="D613" t="inlineStr">
        <is>
          <t>RWI</t>
        </is>
      </c>
      <c r="E613" t="inlineStr">
        <is>
          <t>(en blanco)</t>
        </is>
      </c>
      <c r="F613" t="inlineStr">
        <is>
          <t>(en blanco)</t>
        </is>
      </c>
      <c r="G613" t="inlineStr">
        <is>
          <t>SP</t>
        </is>
      </c>
      <c r="H613" t="n">
        <v>5</v>
      </c>
      <c r="I613" t="inlineStr">
        <is>
          <t>LAUNDRY_BY_DESIGN_121001913_RWI_1.jpg</t>
        </is>
      </c>
      <c r="J613" t="inlineStr">
        <is>
          <t>LAUNDRY_BY_DESIGN_121001913_RWI_2.jpg</t>
        </is>
      </c>
      <c r="K613" t="inlineStr">
        <is>
          <t>LAUNDRY_BY_DESIGN_121001913_RWI_3.jpg</t>
        </is>
      </c>
      <c r="L613">
        <f>IMAGE("file:///E:/Estudios%20y%20certificaciones/ESTUDIOS%20DE%20PROGRAMMING/PROGRAMMING/PERSONAL/PYTHON/Image_Generator_API/imagenes/LAUNDRY_BY_DESIGN_121001913_RWI_1.jpg")</f>
        <v/>
      </c>
      <c r="M613">
        <f>IMAGE("file:///E:/Estudios%20y%20certificaciones/ESTUDIOS%20DE%20PROGRAMMING/PROGRAMMING/PERSONAL/PYTHON/Image_Generator_API/imagenes/LAUNDRY_BY_DESIGN_121001913_RWI_2.jpg")</f>
        <v/>
      </c>
      <c r="N613">
        <f>IMAGE("file:///E:/Estudios%20y%20certificaciones/ESTUDIOS%20DE%20PROGRAMMING/PROGRAMMING/PERSONAL/PYTHON/Image_Generator_API/imagenes/LAUNDRY_BY_DESIGN_121001913_RWI_3.jpg")</f>
        <v/>
      </c>
      <c r="O613">
        <f>HYPERLINK("imagenes/LAUNDRY_BY_DESIGN_121001913_RWI_1.jpg","Ver imagen")</f>
        <v/>
      </c>
      <c r="P613">
        <f>HYPERLINK("imagenes/LAUNDRY_BY_DESIGN_121001913_RWI_2.jpg","Ver imagen")</f>
        <v/>
      </c>
      <c r="Q613">
        <f>HYPERLINK("imagenes/LAUNDRY_BY_DESIGN_121001913_RWI_3.jpg","Ver imagen")</f>
        <v/>
      </c>
    </row>
    <row r="614">
      <c r="A614" t="inlineStr">
        <is>
          <t>LAUNDRY BY DESIGN</t>
        </is>
      </c>
      <c r="B614" t="inlineStr">
        <is>
          <t>121001913</t>
        </is>
      </c>
      <c r="C614" t="inlineStr">
        <is>
          <t>3/4 LENGTH WOOL COAT (56027)</t>
        </is>
      </c>
      <c r="D614" t="inlineStr">
        <is>
          <t>RWI</t>
        </is>
      </c>
      <c r="E614" t="inlineStr">
        <is>
          <t>(en blanco)</t>
        </is>
      </c>
      <c r="F614" t="inlineStr">
        <is>
          <t>(en blanco)</t>
        </is>
      </c>
      <c r="G614" t="inlineStr">
        <is>
          <t>XLP</t>
        </is>
      </c>
      <c r="H614" t="n">
        <v>14</v>
      </c>
      <c r="I614" t="inlineStr">
        <is>
          <t>LAUNDRY_BY_DESIGN_121001913_RWI_1.jpg</t>
        </is>
      </c>
      <c r="J614" t="inlineStr">
        <is>
          <t>LAUNDRY_BY_DESIGN_121001913_RWI_2.jpg</t>
        </is>
      </c>
      <c r="K614" t="inlineStr">
        <is>
          <t>LAUNDRY_BY_DESIGN_121001913_RWI_3.jpg</t>
        </is>
      </c>
      <c r="L614">
        <f>IMAGE("file:///E:/Estudios%20y%20certificaciones/ESTUDIOS%20DE%20PROGRAMMING/PROGRAMMING/PERSONAL/PYTHON/Image_Generator_API/imagenes/LAUNDRY_BY_DESIGN_121001913_RWI_1.jpg")</f>
        <v/>
      </c>
      <c r="M614">
        <f>IMAGE("file:///E:/Estudios%20y%20certificaciones/ESTUDIOS%20DE%20PROGRAMMING/PROGRAMMING/PERSONAL/PYTHON/Image_Generator_API/imagenes/LAUNDRY_BY_DESIGN_121001913_RWI_2.jpg")</f>
        <v/>
      </c>
      <c r="N614">
        <f>IMAGE("file:///E:/Estudios%20y%20certificaciones/ESTUDIOS%20DE%20PROGRAMMING/PROGRAMMING/PERSONAL/PYTHON/Image_Generator_API/imagenes/LAUNDRY_BY_DESIGN_121001913_RWI_3.jpg")</f>
        <v/>
      </c>
      <c r="O614">
        <f>HYPERLINK("imagenes/LAUNDRY_BY_DESIGN_121001913_RWI_1.jpg","Ver imagen")</f>
        <v/>
      </c>
      <c r="P614">
        <f>HYPERLINK("imagenes/LAUNDRY_BY_DESIGN_121001913_RWI_2.jpg","Ver imagen")</f>
        <v/>
      </c>
      <c r="Q614">
        <f>HYPERLINK("imagenes/LAUNDRY_BY_DESIGN_121001913_RWI_3.jpg","Ver imagen")</f>
        <v/>
      </c>
    </row>
    <row r="615">
      <c r="A615" t="inlineStr">
        <is>
          <t>LAUNDRY BY DESIGN</t>
        </is>
      </c>
      <c r="B615" t="inlineStr">
        <is>
          <t>121004097</t>
        </is>
      </c>
      <c r="C615" t="inlineStr">
        <is>
          <t>32" SOFT TECH PUFFER (80400)</t>
        </is>
      </c>
      <c r="D615" t="inlineStr">
        <is>
          <t>BLK</t>
        </is>
      </c>
      <c r="E615" t="inlineStr">
        <is>
          <t>(en blanco)</t>
        </is>
      </c>
      <c r="F615" t="inlineStr">
        <is>
          <t>(en blanco)</t>
        </is>
      </c>
      <c r="G615" t="inlineStr">
        <is>
          <t>S</t>
        </is>
      </c>
      <c r="H615" t="n">
        <v>1</v>
      </c>
      <c r="I615" t="inlineStr">
        <is>
          <t>LAUNDRY_BY_DESIGN_121004097_BLK_1.jpg</t>
        </is>
      </c>
      <c r="J615" t="inlineStr">
        <is>
          <t>LAUNDRY_BY_DESIGN_121004097_BLK_2.jpg</t>
        </is>
      </c>
      <c r="K615" t="inlineStr">
        <is>
          <t>LAUNDRY_BY_DESIGN_121004097_BLK_3.jpg</t>
        </is>
      </c>
      <c r="L615">
        <f>IMAGE("file:///E:/Estudios%20y%20certificaciones/ESTUDIOS%20DE%20PROGRAMMING/PROGRAMMING/PERSONAL/PYTHON/Image_Generator_API/imagenes/LAUNDRY_BY_DESIGN_121004097_BLK_1.jpg")</f>
        <v/>
      </c>
      <c r="M615">
        <f>IMAGE("file:///E:/Estudios%20y%20certificaciones/ESTUDIOS%20DE%20PROGRAMMING/PROGRAMMING/PERSONAL/PYTHON/Image_Generator_API/imagenes/LAUNDRY_BY_DESIGN_121004097_BLK_2.jpg")</f>
        <v/>
      </c>
      <c r="N615">
        <f>IMAGE("file:///E:/Estudios%20y%20certificaciones/ESTUDIOS%20DE%20PROGRAMMING/PROGRAMMING/PERSONAL/PYTHON/Image_Generator_API/imagenes/LAUNDRY_BY_DESIGN_121004097_BLK_3.jpg")</f>
        <v/>
      </c>
      <c r="O615">
        <f>HYPERLINK("imagenes/LAUNDRY_BY_DESIGN_121004097_BLK_1.jpg","Ver imagen")</f>
        <v/>
      </c>
      <c r="P615">
        <f>HYPERLINK("imagenes/LAUNDRY_BY_DESIGN_121004097_BLK_2.jpg","Ver imagen")</f>
        <v/>
      </c>
      <c r="Q615">
        <f>HYPERLINK("imagenes/LAUNDRY_BY_DESIGN_121004097_BLK_3.jpg","Ver imagen")</f>
        <v/>
      </c>
    </row>
    <row r="616">
      <c r="A616" t="inlineStr">
        <is>
          <t>LAUNDRY BY DESIGN</t>
        </is>
      </c>
      <c r="B616" t="inlineStr">
        <is>
          <t>121004097</t>
        </is>
      </c>
      <c r="C616" t="inlineStr">
        <is>
          <t>32" SOFT TECH PUFFER (80400)</t>
        </is>
      </c>
      <c r="D616" t="inlineStr">
        <is>
          <t>BLK</t>
        </is>
      </c>
      <c r="E616" t="inlineStr">
        <is>
          <t>(en blanco)</t>
        </is>
      </c>
      <c r="F616" t="inlineStr">
        <is>
          <t>(en blanco)</t>
        </is>
      </c>
      <c r="G616" t="inlineStr">
        <is>
          <t>L</t>
        </is>
      </c>
      <c r="H616" t="n">
        <v>1</v>
      </c>
      <c r="I616" t="inlineStr">
        <is>
          <t>LAUNDRY_BY_DESIGN_121004097_BLK_1.jpg</t>
        </is>
      </c>
      <c r="J616" t="inlineStr">
        <is>
          <t>LAUNDRY_BY_DESIGN_121004097_BLK_2.jpg</t>
        </is>
      </c>
      <c r="K616" t="inlineStr">
        <is>
          <t>LAUNDRY_BY_DESIGN_121004097_BLK_3.jpg</t>
        </is>
      </c>
      <c r="L616">
        <f>IMAGE("file:///E:/Estudios%20y%20certificaciones/ESTUDIOS%20DE%20PROGRAMMING/PROGRAMMING/PERSONAL/PYTHON/Image_Generator_API/imagenes/LAUNDRY_BY_DESIGN_121004097_BLK_1.jpg")</f>
        <v/>
      </c>
      <c r="M616">
        <f>IMAGE("file:///E:/Estudios%20y%20certificaciones/ESTUDIOS%20DE%20PROGRAMMING/PROGRAMMING/PERSONAL/PYTHON/Image_Generator_API/imagenes/LAUNDRY_BY_DESIGN_121004097_BLK_2.jpg")</f>
        <v/>
      </c>
      <c r="N616">
        <f>IMAGE("file:///E:/Estudios%20y%20certificaciones/ESTUDIOS%20DE%20PROGRAMMING/PROGRAMMING/PERSONAL/PYTHON/Image_Generator_API/imagenes/LAUNDRY_BY_DESIGN_121004097_BLK_3.jpg")</f>
        <v/>
      </c>
      <c r="O616">
        <f>HYPERLINK("imagenes/LAUNDRY_BY_DESIGN_121004097_BLK_1.jpg","Ver imagen")</f>
        <v/>
      </c>
      <c r="P616">
        <f>HYPERLINK("imagenes/LAUNDRY_BY_DESIGN_121004097_BLK_2.jpg","Ver imagen")</f>
        <v/>
      </c>
      <c r="Q616">
        <f>HYPERLINK("imagenes/LAUNDRY_BY_DESIGN_121004097_BLK_3.jpg","Ver imagen")</f>
        <v/>
      </c>
    </row>
    <row r="617">
      <c r="A617" t="inlineStr">
        <is>
          <t>LAUNDRY BY DESIGN</t>
        </is>
      </c>
      <c r="B617" t="inlineStr">
        <is>
          <t>121004097</t>
        </is>
      </c>
      <c r="C617" t="inlineStr">
        <is>
          <t>32" SOFT TECH PUFFER (80400)</t>
        </is>
      </c>
      <c r="D617" t="inlineStr">
        <is>
          <t>BLK</t>
        </is>
      </c>
      <c r="E617" t="inlineStr">
        <is>
          <t>(en blanco)</t>
        </is>
      </c>
      <c r="F617" t="inlineStr">
        <is>
          <t>(en blanco)</t>
        </is>
      </c>
      <c r="G617" t="inlineStr">
        <is>
          <t>XL</t>
        </is>
      </c>
      <c r="H617" t="n">
        <v>0</v>
      </c>
      <c r="I617" t="inlineStr">
        <is>
          <t>LAUNDRY_BY_DESIGN_121004097_BLK_1.jpg</t>
        </is>
      </c>
      <c r="J617" t="inlineStr">
        <is>
          <t>LAUNDRY_BY_DESIGN_121004097_BLK_2.jpg</t>
        </is>
      </c>
      <c r="K617" t="inlineStr">
        <is>
          <t>LAUNDRY_BY_DESIGN_121004097_BLK_3.jpg</t>
        </is>
      </c>
      <c r="L617">
        <f>IMAGE("file:///E:/Estudios%20y%20certificaciones/ESTUDIOS%20DE%20PROGRAMMING/PROGRAMMING/PERSONAL/PYTHON/Image_Generator_API/imagenes/LAUNDRY_BY_DESIGN_121004097_BLK_1.jpg")</f>
        <v/>
      </c>
      <c r="M617">
        <f>IMAGE("file:///E:/Estudios%20y%20certificaciones/ESTUDIOS%20DE%20PROGRAMMING/PROGRAMMING/PERSONAL/PYTHON/Image_Generator_API/imagenes/LAUNDRY_BY_DESIGN_121004097_BLK_2.jpg")</f>
        <v/>
      </c>
      <c r="N617">
        <f>IMAGE("file:///E:/Estudios%20y%20certificaciones/ESTUDIOS%20DE%20PROGRAMMING/PROGRAMMING/PERSONAL/PYTHON/Image_Generator_API/imagenes/LAUNDRY_BY_DESIGN_121004097_BLK_3.jpg")</f>
        <v/>
      </c>
      <c r="O617">
        <f>HYPERLINK("imagenes/LAUNDRY_BY_DESIGN_121004097_BLK_1.jpg","Ver imagen")</f>
        <v/>
      </c>
      <c r="P617">
        <f>HYPERLINK("imagenes/LAUNDRY_BY_DESIGN_121004097_BLK_2.jpg","Ver imagen")</f>
        <v/>
      </c>
      <c r="Q617">
        <f>HYPERLINK("imagenes/LAUNDRY_BY_DESIGN_121004097_BLK_3.jpg","Ver imagen")</f>
        <v/>
      </c>
    </row>
    <row r="618">
      <c r="A618" t="inlineStr">
        <is>
          <t>LAUNDRY BY DESIGN</t>
        </is>
      </c>
      <c r="B618" t="inlineStr">
        <is>
          <t>121004097</t>
        </is>
      </c>
      <c r="C618" t="inlineStr">
        <is>
          <t>32" SOFT TECH PUFFER (80400)</t>
        </is>
      </c>
      <c r="D618" t="inlineStr">
        <is>
          <t>BLK</t>
        </is>
      </c>
      <c r="E618" t="inlineStr">
        <is>
          <t>(en blanco)</t>
        </is>
      </c>
      <c r="F618" t="inlineStr">
        <is>
          <t>(en blanco)</t>
        </is>
      </c>
      <c r="G618" t="inlineStr">
        <is>
          <t>XXL</t>
        </is>
      </c>
      <c r="H618" t="n">
        <v>1</v>
      </c>
      <c r="I618" t="inlineStr">
        <is>
          <t>LAUNDRY_BY_DESIGN_121004097_BLK_1.jpg</t>
        </is>
      </c>
      <c r="J618" t="inlineStr">
        <is>
          <t>LAUNDRY_BY_DESIGN_121004097_BLK_2.jpg</t>
        </is>
      </c>
      <c r="K618" t="inlineStr">
        <is>
          <t>LAUNDRY_BY_DESIGN_121004097_BLK_3.jpg</t>
        </is>
      </c>
      <c r="L618">
        <f>IMAGE("file:///E:/Estudios%20y%20certificaciones/ESTUDIOS%20DE%20PROGRAMMING/PROGRAMMING/PERSONAL/PYTHON/Image_Generator_API/imagenes/LAUNDRY_BY_DESIGN_121004097_BLK_1.jpg")</f>
        <v/>
      </c>
      <c r="M618">
        <f>IMAGE("file:///E:/Estudios%20y%20certificaciones/ESTUDIOS%20DE%20PROGRAMMING/PROGRAMMING/PERSONAL/PYTHON/Image_Generator_API/imagenes/LAUNDRY_BY_DESIGN_121004097_BLK_2.jpg")</f>
        <v/>
      </c>
      <c r="N618">
        <f>IMAGE("file:///E:/Estudios%20y%20certificaciones/ESTUDIOS%20DE%20PROGRAMMING/PROGRAMMING/PERSONAL/PYTHON/Image_Generator_API/imagenes/LAUNDRY_BY_DESIGN_121004097_BLK_3.jpg")</f>
        <v/>
      </c>
      <c r="O618">
        <f>HYPERLINK("imagenes/LAUNDRY_BY_DESIGN_121004097_BLK_1.jpg","Ver imagen")</f>
        <v/>
      </c>
      <c r="P618">
        <f>HYPERLINK("imagenes/LAUNDRY_BY_DESIGN_121004097_BLK_2.jpg","Ver imagen")</f>
        <v/>
      </c>
      <c r="Q618">
        <f>HYPERLINK("imagenes/LAUNDRY_BY_DESIGN_121004097_BLK_3.jpg","Ver imagen")</f>
        <v/>
      </c>
    </row>
    <row r="619">
      <c r="A619" t="inlineStr">
        <is>
          <t>LAUNDRY BY DESIGN</t>
        </is>
      </c>
      <c r="B619" t="inlineStr">
        <is>
          <t>121004097</t>
        </is>
      </c>
      <c r="C619" t="inlineStr">
        <is>
          <t>32" SOFT TECH PUFFER (80400)</t>
        </is>
      </c>
      <c r="D619" t="inlineStr">
        <is>
          <t>DES</t>
        </is>
      </c>
      <c r="E619" t="inlineStr">
        <is>
          <t>(en blanco)</t>
        </is>
      </c>
      <c r="F619" t="inlineStr">
        <is>
          <t>(en blanco)</t>
        </is>
      </c>
      <c r="G619" t="inlineStr">
        <is>
          <t>S</t>
        </is>
      </c>
      <c r="H619" t="n">
        <v>3</v>
      </c>
      <c r="I619" t="inlineStr">
        <is>
          <t>LAUNDRY_BY_DESIGN_121004097_DES_1.jpg</t>
        </is>
      </c>
      <c r="J619" t="inlineStr">
        <is>
          <t>LAUNDRY_BY_DESIGN_121004097_DES_2.jpg</t>
        </is>
      </c>
      <c r="K619" t="inlineStr">
        <is>
          <t>LAUNDRY_BY_DESIGN_121004097_DES_3.jpg</t>
        </is>
      </c>
      <c r="L619">
        <f>IMAGE("file:///E:/Estudios%20y%20certificaciones/ESTUDIOS%20DE%20PROGRAMMING/PROGRAMMING/PERSONAL/PYTHON/Image_Generator_API/imagenes/LAUNDRY_BY_DESIGN_121004097_DES_1.jpg")</f>
        <v/>
      </c>
      <c r="M619">
        <f>IMAGE("file:///E:/Estudios%20y%20certificaciones/ESTUDIOS%20DE%20PROGRAMMING/PROGRAMMING/PERSONAL/PYTHON/Image_Generator_API/imagenes/LAUNDRY_BY_DESIGN_121004097_DES_2.jpg")</f>
        <v/>
      </c>
      <c r="N619">
        <f>IMAGE("file:///E:/Estudios%20y%20certificaciones/ESTUDIOS%20DE%20PROGRAMMING/PROGRAMMING/PERSONAL/PYTHON/Image_Generator_API/imagenes/LAUNDRY_BY_DESIGN_121004097_DES_3.jpg")</f>
        <v/>
      </c>
      <c r="O619">
        <f>HYPERLINK("imagenes/LAUNDRY_BY_DESIGN_121004097_DES_1.jpg","Ver imagen")</f>
        <v/>
      </c>
      <c r="P619">
        <f>HYPERLINK("imagenes/LAUNDRY_BY_DESIGN_121004097_DES_2.jpg","Ver imagen")</f>
        <v/>
      </c>
      <c r="Q619">
        <f>HYPERLINK("imagenes/LAUNDRY_BY_DESIGN_121004097_DES_3.jpg","Ver imagen")</f>
        <v/>
      </c>
    </row>
    <row r="620">
      <c r="A620" t="inlineStr">
        <is>
          <t>LAUNDRY BY DESIGN</t>
        </is>
      </c>
      <c r="B620" t="inlineStr">
        <is>
          <t>121004097</t>
        </is>
      </c>
      <c r="C620" t="inlineStr">
        <is>
          <t>32" SOFT TECH PUFFER (80400)</t>
        </is>
      </c>
      <c r="D620" t="inlineStr">
        <is>
          <t>DES</t>
        </is>
      </c>
      <c r="E620" t="inlineStr">
        <is>
          <t>(en blanco)</t>
        </is>
      </c>
      <c r="F620" t="inlineStr">
        <is>
          <t>(en blanco)</t>
        </is>
      </c>
      <c r="G620" t="inlineStr">
        <is>
          <t>M</t>
        </is>
      </c>
      <c r="H620" t="n">
        <v>4</v>
      </c>
      <c r="I620" t="inlineStr">
        <is>
          <t>LAUNDRY_BY_DESIGN_121004097_DES_1.jpg</t>
        </is>
      </c>
      <c r="J620" t="inlineStr">
        <is>
          <t>LAUNDRY_BY_DESIGN_121004097_DES_2.jpg</t>
        </is>
      </c>
      <c r="K620" t="inlineStr">
        <is>
          <t>LAUNDRY_BY_DESIGN_121004097_DES_3.jpg</t>
        </is>
      </c>
      <c r="L620">
        <f>IMAGE("file:///E:/Estudios%20y%20certificaciones/ESTUDIOS%20DE%20PROGRAMMING/PROGRAMMING/PERSONAL/PYTHON/Image_Generator_API/imagenes/LAUNDRY_BY_DESIGN_121004097_DES_1.jpg")</f>
        <v/>
      </c>
      <c r="M620">
        <f>IMAGE("file:///E:/Estudios%20y%20certificaciones/ESTUDIOS%20DE%20PROGRAMMING/PROGRAMMING/PERSONAL/PYTHON/Image_Generator_API/imagenes/LAUNDRY_BY_DESIGN_121004097_DES_2.jpg")</f>
        <v/>
      </c>
      <c r="N620">
        <f>IMAGE("file:///E:/Estudios%20y%20certificaciones/ESTUDIOS%20DE%20PROGRAMMING/PROGRAMMING/PERSONAL/PYTHON/Image_Generator_API/imagenes/LAUNDRY_BY_DESIGN_121004097_DES_3.jpg")</f>
        <v/>
      </c>
      <c r="O620">
        <f>HYPERLINK("imagenes/LAUNDRY_BY_DESIGN_121004097_DES_1.jpg","Ver imagen")</f>
        <v/>
      </c>
      <c r="P620">
        <f>HYPERLINK("imagenes/LAUNDRY_BY_DESIGN_121004097_DES_2.jpg","Ver imagen")</f>
        <v/>
      </c>
      <c r="Q620">
        <f>HYPERLINK("imagenes/LAUNDRY_BY_DESIGN_121004097_DES_3.jpg","Ver imagen")</f>
        <v/>
      </c>
    </row>
    <row r="621">
      <c r="A621" t="inlineStr">
        <is>
          <t>LAUNDRY BY DESIGN</t>
        </is>
      </c>
      <c r="B621" t="inlineStr">
        <is>
          <t>121004097</t>
        </is>
      </c>
      <c r="C621" t="inlineStr">
        <is>
          <t>32" SOFT TECH PUFFER (80400)</t>
        </is>
      </c>
      <c r="D621" t="inlineStr">
        <is>
          <t>DES</t>
        </is>
      </c>
      <c r="E621" t="inlineStr">
        <is>
          <t>(en blanco)</t>
        </is>
      </c>
      <c r="F621" t="inlineStr">
        <is>
          <t>(en blanco)</t>
        </is>
      </c>
      <c r="G621" t="inlineStr">
        <is>
          <t>L</t>
        </is>
      </c>
      <c r="H621" t="n">
        <v>3</v>
      </c>
      <c r="I621" t="inlineStr">
        <is>
          <t>LAUNDRY_BY_DESIGN_121004097_DES_1.jpg</t>
        </is>
      </c>
      <c r="J621" t="inlineStr">
        <is>
          <t>LAUNDRY_BY_DESIGN_121004097_DES_2.jpg</t>
        </is>
      </c>
      <c r="K621" t="inlineStr">
        <is>
          <t>LAUNDRY_BY_DESIGN_121004097_DES_3.jpg</t>
        </is>
      </c>
      <c r="L621">
        <f>IMAGE("file:///E:/Estudios%20y%20certificaciones/ESTUDIOS%20DE%20PROGRAMMING/PROGRAMMING/PERSONAL/PYTHON/Image_Generator_API/imagenes/LAUNDRY_BY_DESIGN_121004097_DES_1.jpg")</f>
        <v/>
      </c>
      <c r="M621">
        <f>IMAGE("file:///E:/Estudios%20y%20certificaciones/ESTUDIOS%20DE%20PROGRAMMING/PROGRAMMING/PERSONAL/PYTHON/Image_Generator_API/imagenes/LAUNDRY_BY_DESIGN_121004097_DES_2.jpg")</f>
        <v/>
      </c>
      <c r="N621">
        <f>IMAGE("file:///E:/Estudios%20y%20certificaciones/ESTUDIOS%20DE%20PROGRAMMING/PROGRAMMING/PERSONAL/PYTHON/Image_Generator_API/imagenes/LAUNDRY_BY_DESIGN_121004097_DES_3.jpg")</f>
        <v/>
      </c>
      <c r="O621">
        <f>HYPERLINK("imagenes/LAUNDRY_BY_DESIGN_121004097_DES_1.jpg","Ver imagen")</f>
        <v/>
      </c>
      <c r="P621">
        <f>HYPERLINK("imagenes/LAUNDRY_BY_DESIGN_121004097_DES_2.jpg","Ver imagen")</f>
        <v/>
      </c>
      <c r="Q621">
        <f>HYPERLINK("imagenes/LAUNDRY_BY_DESIGN_121004097_DES_3.jpg","Ver imagen")</f>
        <v/>
      </c>
    </row>
    <row r="622">
      <c r="A622" t="inlineStr">
        <is>
          <t>LAUNDRY BY DESIGN</t>
        </is>
      </c>
      <c r="B622" t="inlineStr">
        <is>
          <t>121004097</t>
        </is>
      </c>
      <c r="C622" t="inlineStr">
        <is>
          <t>32" SOFT TECH PUFFER (80400)</t>
        </is>
      </c>
      <c r="D622" t="inlineStr">
        <is>
          <t>DES</t>
        </is>
      </c>
      <c r="E622" t="inlineStr">
        <is>
          <t>(en blanco)</t>
        </is>
      </c>
      <c r="F622" t="inlineStr">
        <is>
          <t>(en blanco)</t>
        </is>
      </c>
      <c r="G622" t="inlineStr">
        <is>
          <t>XL</t>
        </is>
      </c>
      <c r="H622" t="n">
        <v>2</v>
      </c>
      <c r="I622" t="inlineStr">
        <is>
          <t>LAUNDRY_BY_DESIGN_121004097_DES_1.jpg</t>
        </is>
      </c>
      <c r="J622" t="inlineStr">
        <is>
          <t>LAUNDRY_BY_DESIGN_121004097_DES_2.jpg</t>
        </is>
      </c>
      <c r="K622" t="inlineStr">
        <is>
          <t>LAUNDRY_BY_DESIGN_121004097_DES_3.jpg</t>
        </is>
      </c>
      <c r="L622">
        <f>IMAGE("file:///E:/Estudios%20y%20certificaciones/ESTUDIOS%20DE%20PROGRAMMING/PROGRAMMING/PERSONAL/PYTHON/Image_Generator_API/imagenes/LAUNDRY_BY_DESIGN_121004097_DES_1.jpg")</f>
        <v/>
      </c>
      <c r="M622">
        <f>IMAGE("file:///E:/Estudios%20y%20certificaciones/ESTUDIOS%20DE%20PROGRAMMING/PROGRAMMING/PERSONAL/PYTHON/Image_Generator_API/imagenes/LAUNDRY_BY_DESIGN_121004097_DES_2.jpg")</f>
        <v/>
      </c>
      <c r="N622">
        <f>IMAGE("file:///E:/Estudios%20y%20certificaciones/ESTUDIOS%20DE%20PROGRAMMING/PROGRAMMING/PERSONAL/PYTHON/Image_Generator_API/imagenes/LAUNDRY_BY_DESIGN_121004097_DES_3.jpg")</f>
        <v/>
      </c>
      <c r="O622">
        <f>HYPERLINK("imagenes/LAUNDRY_BY_DESIGN_121004097_DES_1.jpg","Ver imagen")</f>
        <v/>
      </c>
      <c r="P622">
        <f>HYPERLINK("imagenes/LAUNDRY_BY_DESIGN_121004097_DES_2.jpg","Ver imagen")</f>
        <v/>
      </c>
      <c r="Q622">
        <f>HYPERLINK("imagenes/LAUNDRY_BY_DESIGN_121004097_DES_3.jpg","Ver imagen")</f>
        <v/>
      </c>
    </row>
    <row r="623">
      <c r="A623" t="inlineStr">
        <is>
          <t>LAUNDRY BY DESIGN</t>
        </is>
      </c>
      <c r="B623" t="inlineStr">
        <is>
          <t>121004097</t>
        </is>
      </c>
      <c r="C623" t="inlineStr">
        <is>
          <t>32" SOFT TECH PUFFER (80400)</t>
        </is>
      </c>
      <c r="D623" t="inlineStr">
        <is>
          <t>DGN</t>
        </is>
      </c>
      <c r="E623" t="inlineStr">
        <is>
          <t>(en blanco)</t>
        </is>
      </c>
      <c r="F623" t="inlineStr">
        <is>
          <t>D2C</t>
        </is>
      </c>
      <c r="G623" t="inlineStr">
        <is>
          <t>L</t>
        </is>
      </c>
      <c r="H623" t="n">
        <v>1</v>
      </c>
      <c r="I623" t="inlineStr">
        <is>
          <t>LAUNDRY_BY_DESIGN_121004097_DGN_1.jpg</t>
        </is>
      </c>
      <c r="J623" t="inlineStr">
        <is>
          <t>LAUNDRY_BY_DESIGN_121004097_DGN_2.jpg</t>
        </is>
      </c>
      <c r="K623" t="inlineStr">
        <is>
          <t>LAUNDRY_BY_DESIGN_121004097_DGN_3.jpg</t>
        </is>
      </c>
      <c r="L623">
        <f>IMAGE("file:///E:/Estudios%20y%20certificaciones/ESTUDIOS%20DE%20PROGRAMMING/PROGRAMMING/PERSONAL/PYTHON/Image_Generator_API/imagenes/LAUNDRY_BY_DESIGN_121004097_DGN_1.jpg")</f>
        <v/>
      </c>
      <c r="M623">
        <f>IMAGE("file:///E:/Estudios%20y%20certificaciones/ESTUDIOS%20DE%20PROGRAMMING/PROGRAMMING/PERSONAL/PYTHON/Image_Generator_API/imagenes/LAUNDRY_BY_DESIGN_121004097_DGN_2.jpg")</f>
        <v/>
      </c>
      <c r="N623">
        <f>IMAGE("file:///E:/Estudios%20y%20certificaciones/ESTUDIOS%20DE%20PROGRAMMING/PROGRAMMING/PERSONAL/PYTHON/Image_Generator_API/imagenes/LAUNDRY_BY_DESIGN_121004097_DGN_3.jpg")</f>
        <v/>
      </c>
      <c r="O623">
        <f>HYPERLINK("imagenes/LAUNDRY_BY_DESIGN_121004097_DGN_1.jpg","Ver imagen")</f>
        <v/>
      </c>
      <c r="P623">
        <f>HYPERLINK("imagenes/LAUNDRY_BY_DESIGN_121004097_DGN_2.jpg","Ver imagen")</f>
        <v/>
      </c>
      <c r="Q623">
        <f>HYPERLINK("imagenes/LAUNDRY_BY_DESIGN_121004097_DGN_3.jpg","Ver imagen")</f>
        <v/>
      </c>
    </row>
    <row r="624">
      <c r="A624" t="inlineStr">
        <is>
          <t>LAUNDRY BY DESIGN</t>
        </is>
      </c>
      <c r="B624" t="inlineStr">
        <is>
          <t>121004097</t>
        </is>
      </c>
      <c r="C624" t="inlineStr">
        <is>
          <t>32" SOFT TECH PUFFER (80400)</t>
        </is>
      </c>
      <c r="D624" t="inlineStr">
        <is>
          <t>DGN</t>
        </is>
      </c>
      <c r="E624" t="inlineStr">
        <is>
          <t>(en blanco)</t>
        </is>
      </c>
      <c r="F624" t="inlineStr">
        <is>
          <t>D2C</t>
        </is>
      </c>
      <c r="G624" t="inlineStr">
        <is>
          <t>XL</t>
        </is>
      </c>
      <c r="H624" t="n">
        <v>1</v>
      </c>
      <c r="I624" t="inlineStr">
        <is>
          <t>LAUNDRY_BY_DESIGN_121004097_DGN_1.jpg</t>
        </is>
      </c>
      <c r="J624" t="inlineStr">
        <is>
          <t>LAUNDRY_BY_DESIGN_121004097_DGN_2.jpg</t>
        </is>
      </c>
      <c r="K624" t="inlineStr">
        <is>
          <t>LAUNDRY_BY_DESIGN_121004097_DGN_3.jpg</t>
        </is>
      </c>
      <c r="L624">
        <f>IMAGE("file:///E:/Estudios%20y%20certificaciones/ESTUDIOS%20DE%20PROGRAMMING/PROGRAMMING/PERSONAL/PYTHON/Image_Generator_API/imagenes/LAUNDRY_BY_DESIGN_121004097_DGN_1.jpg")</f>
        <v/>
      </c>
      <c r="M624">
        <f>IMAGE("file:///E:/Estudios%20y%20certificaciones/ESTUDIOS%20DE%20PROGRAMMING/PROGRAMMING/PERSONAL/PYTHON/Image_Generator_API/imagenes/LAUNDRY_BY_DESIGN_121004097_DGN_2.jpg")</f>
        <v/>
      </c>
      <c r="N624">
        <f>IMAGE("file:///E:/Estudios%20y%20certificaciones/ESTUDIOS%20DE%20PROGRAMMING/PROGRAMMING/PERSONAL/PYTHON/Image_Generator_API/imagenes/LAUNDRY_BY_DESIGN_121004097_DGN_3.jpg")</f>
        <v/>
      </c>
      <c r="O624">
        <f>HYPERLINK("imagenes/LAUNDRY_BY_DESIGN_121004097_DGN_1.jpg","Ver imagen")</f>
        <v/>
      </c>
      <c r="P624">
        <f>HYPERLINK("imagenes/LAUNDRY_BY_DESIGN_121004097_DGN_2.jpg","Ver imagen")</f>
        <v/>
      </c>
      <c r="Q624">
        <f>HYPERLINK("imagenes/LAUNDRY_BY_DESIGN_121004097_DGN_3.jpg","Ver imagen")</f>
        <v/>
      </c>
    </row>
    <row r="625">
      <c r="A625" t="inlineStr">
        <is>
          <t>LAUNDRY BY DESIGN</t>
        </is>
      </c>
      <c r="B625" t="inlineStr">
        <is>
          <t>121004097</t>
        </is>
      </c>
      <c r="C625" t="inlineStr">
        <is>
          <t>32" SOFT TECH PUFFER (80400)</t>
        </is>
      </c>
      <c r="D625" t="inlineStr">
        <is>
          <t>DGN</t>
        </is>
      </c>
      <c r="E625" t="inlineStr">
        <is>
          <t>(en blanco)</t>
        </is>
      </c>
      <c r="F625" t="inlineStr">
        <is>
          <t>(en blanco)</t>
        </is>
      </c>
      <c r="G625" t="inlineStr">
        <is>
          <t>S</t>
        </is>
      </c>
      <c r="H625" t="n">
        <v>2</v>
      </c>
      <c r="I625" t="inlineStr">
        <is>
          <t>LAUNDRY_BY_DESIGN_121004097_DGN_1.jpg</t>
        </is>
      </c>
      <c r="J625" t="inlineStr">
        <is>
          <t>LAUNDRY_BY_DESIGN_121004097_DGN_2.jpg</t>
        </is>
      </c>
      <c r="K625" t="inlineStr">
        <is>
          <t>LAUNDRY_BY_DESIGN_121004097_DGN_3.jpg</t>
        </is>
      </c>
      <c r="L625">
        <f>IMAGE("file:///E:/Estudios%20y%20certificaciones/ESTUDIOS%20DE%20PROGRAMMING/PROGRAMMING/PERSONAL/PYTHON/Image_Generator_API/imagenes/LAUNDRY_BY_DESIGN_121004097_DGN_1.jpg")</f>
        <v/>
      </c>
      <c r="M625">
        <f>IMAGE("file:///E:/Estudios%20y%20certificaciones/ESTUDIOS%20DE%20PROGRAMMING/PROGRAMMING/PERSONAL/PYTHON/Image_Generator_API/imagenes/LAUNDRY_BY_DESIGN_121004097_DGN_2.jpg")</f>
        <v/>
      </c>
      <c r="N625">
        <f>IMAGE("file:///E:/Estudios%20y%20certificaciones/ESTUDIOS%20DE%20PROGRAMMING/PROGRAMMING/PERSONAL/PYTHON/Image_Generator_API/imagenes/LAUNDRY_BY_DESIGN_121004097_DGN_3.jpg")</f>
        <v/>
      </c>
      <c r="O625">
        <f>HYPERLINK("imagenes/LAUNDRY_BY_DESIGN_121004097_DGN_1.jpg","Ver imagen")</f>
        <v/>
      </c>
      <c r="P625">
        <f>HYPERLINK("imagenes/LAUNDRY_BY_DESIGN_121004097_DGN_2.jpg","Ver imagen")</f>
        <v/>
      </c>
      <c r="Q625">
        <f>HYPERLINK("imagenes/LAUNDRY_BY_DESIGN_121004097_DGN_3.jpg","Ver imagen")</f>
        <v/>
      </c>
    </row>
    <row r="626">
      <c r="A626" t="inlineStr">
        <is>
          <t>LAUNDRY BY DESIGN</t>
        </is>
      </c>
      <c r="B626" t="inlineStr">
        <is>
          <t>121004097</t>
        </is>
      </c>
      <c r="C626" t="inlineStr">
        <is>
          <t>32" SOFT TECH PUFFER (80400)</t>
        </is>
      </c>
      <c r="D626" t="inlineStr">
        <is>
          <t>DGN</t>
        </is>
      </c>
      <c r="E626" t="inlineStr">
        <is>
          <t>(en blanco)</t>
        </is>
      </c>
      <c r="F626" t="inlineStr">
        <is>
          <t>(en blanco)</t>
        </is>
      </c>
      <c r="G626" t="inlineStr">
        <is>
          <t>XL</t>
        </is>
      </c>
      <c r="H626" t="n">
        <v>94</v>
      </c>
      <c r="I626" t="inlineStr">
        <is>
          <t>LAUNDRY_BY_DESIGN_121004097_DGN_1.jpg</t>
        </is>
      </c>
      <c r="J626" t="inlineStr">
        <is>
          <t>LAUNDRY_BY_DESIGN_121004097_DGN_2.jpg</t>
        </is>
      </c>
      <c r="K626" t="inlineStr">
        <is>
          <t>LAUNDRY_BY_DESIGN_121004097_DGN_3.jpg</t>
        </is>
      </c>
      <c r="L626">
        <f>IMAGE("file:///E:/Estudios%20y%20certificaciones/ESTUDIOS%20DE%20PROGRAMMING/PROGRAMMING/PERSONAL/PYTHON/Image_Generator_API/imagenes/LAUNDRY_BY_DESIGN_121004097_DGN_1.jpg")</f>
        <v/>
      </c>
      <c r="M626">
        <f>IMAGE("file:///E:/Estudios%20y%20certificaciones/ESTUDIOS%20DE%20PROGRAMMING/PROGRAMMING/PERSONAL/PYTHON/Image_Generator_API/imagenes/LAUNDRY_BY_DESIGN_121004097_DGN_2.jpg")</f>
        <v/>
      </c>
      <c r="N626">
        <f>IMAGE("file:///E:/Estudios%20y%20certificaciones/ESTUDIOS%20DE%20PROGRAMMING/PROGRAMMING/PERSONAL/PYTHON/Image_Generator_API/imagenes/LAUNDRY_BY_DESIGN_121004097_DGN_3.jpg")</f>
        <v/>
      </c>
      <c r="O626">
        <f>HYPERLINK("imagenes/LAUNDRY_BY_DESIGN_121004097_DGN_1.jpg","Ver imagen")</f>
        <v/>
      </c>
      <c r="P626">
        <f>HYPERLINK("imagenes/LAUNDRY_BY_DESIGN_121004097_DGN_2.jpg","Ver imagen")</f>
        <v/>
      </c>
      <c r="Q626">
        <f>HYPERLINK("imagenes/LAUNDRY_BY_DESIGN_121004097_DGN_3.jpg","Ver imagen")</f>
        <v/>
      </c>
    </row>
    <row r="627">
      <c r="A627" t="inlineStr">
        <is>
          <t>LAUNDRY BY DESIGN</t>
        </is>
      </c>
      <c r="B627" t="inlineStr">
        <is>
          <t>121004097</t>
        </is>
      </c>
      <c r="C627" t="inlineStr">
        <is>
          <t>32" SOFT TECH PUFFER (80400)</t>
        </is>
      </c>
      <c r="D627" t="inlineStr">
        <is>
          <t>DGN</t>
        </is>
      </c>
      <c r="E627" t="inlineStr">
        <is>
          <t>(en blanco)</t>
        </is>
      </c>
      <c r="F627" t="inlineStr">
        <is>
          <t>(en blanco)</t>
        </is>
      </c>
      <c r="G627" t="inlineStr">
        <is>
          <t>XXL</t>
        </is>
      </c>
      <c r="H627" t="n">
        <v>2</v>
      </c>
      <c r="I627" t="inlineStr">
        <is>
          <t>LAUNDRY_BY_DESIGN_121004097_DGN_1.jpg</t>
        </is>
      </c>
      <c r="J627" t="inlineStr">
        <is>
          <t>LAUNDRY_BY_DESIGN_121004097_DGN_2.jpg</t>
        </is>
      </c>
      <c r="K627" t="inlineStr">
        <is>
          <t>LAUNDRY_BY_DESIGN_121004097_DGN_3.jpg</t>
        </is>
      </c>
      <c r="L627">
        <f>IMAGE("file:///E:/Estudios%20y%20certificaciones/ESTUDIOS%20DE%20PROGRAMMING/PROGRAMMING/PERSONAL/PYTHON/Image_Generator_API/imagenes/LAUNDRY_BY_DESIGN_121004097_DGN_1.jpg")</f>
        <v/>
      </c>
      <c r="M627">
        <f>IMAGE("file:///E:/Estudios%20y%20certificaciones/ESTUDIOS%20DE%20PROGRAMMING/PROGRAMMING/PERSONAL/PYTHON/Image_Generator_API/imagenes/LAUNDRY_BY_DESIGN_121004097_DGN_2.jpg")</f>
        <v/>
      </c>
      <c r="N627">
        <f>IMAGE("file:///E:/Estudios%20y%20certificaciones/ESTUDIOS%20DE%20PROGRAMMING/PROGRAMMING/PERSONAL/PYTHON/Image_Generator_API/imagenes/LAUNDRY_BY_DESIGN_121004097_DGN_3.jpg")</f>
        <v/>
      </c>
      <c r="O627">
        <f>HYPERLINK("imagenes/LAUNDRY_BY_DESIGN_121004097_DGN_1.jpg","Ver imagen")</f>
        <v/>
      </c>
      <c r="P627">
        <f>HYPERLINK("imagenes/LAUNDRY_BY_DESIGN_121004097_DGN_2.jpg","Ver imagen")</f>
        <v/>
      </c>
      <c r="Q627">
        <f>HYPERLINK("imagenes/LAUNDRY_BY_DESIGN_121004097_DGN_3.jpg","Ver imagen")</f>
        <v/>
      </c>
    </row>
    <row r="628">
      <c r="A628" t="inlineStr">
        <is>
          <t>LAUNDRY BY DESIGN</t>
        </is>
      </c>
      <c r="B628" t="inlineStr">
        <is>
          <t>121004097</t>
        </is>
      </c>
      <c r="C628" t="inlineStr">
        <is>
          <t>32" SOFT TECH PUFFER (80400)</t>
        </is>
      </c>
      <c r="D628" t="inlineStr">
        <is>
          <t>PRL</t>
        </is>
      </c>
      <c r="E628" t="inlineStr">
        <is>
          <t>(en blanco)</t>
        </is>
      </c>
      <c r="F628" t="inlineStr">
        <is>
          <t>(en blanco)</t>
        </is>
      </c>
      <c r="G628" t="inlineStr">
        <is>
          <t>XL</t>
        </is>
      </c>
      <c r="H628" t="n">
        <v>3</v>
      </c>
      <c r="I628" t="inlineStr">
        <is>
          <t>LAUNDRY_BY_DESIGN_121004097_PRL_1.jpg</t>
        </is>
      </c>
      <c r="J628" t="inlineStr">
        <is>
          <t>LAUNDRY_BY_DESIGN_121004097_PRL_2.jpg</t>
        </is>
      </c>
      <c r="K628" t="inlineStr">
        <is>
          <t>LAUNDRY_BY_DESIGN_121004097_PRL_3.jpg</t>
        </is>
      </c>
      <c r="L628">
        <f>IMAGE("file:///E:/Estudios%20y%20certificaciones/ESTUDIOS%20DE%20PROGRAMMING/PROGRAMMING/PERSONAL/PYTHON/Image_Generator_API/imagenes/LAUNDRY_BY_DESIGN_121004097_PRL_1.jpg")</f>
        <v/>
      </c>
      <c r="M628">
        <f>IMAGE("file:///E:/Estudios%20y%20certificaciones/ESTUDIOS%20DE%20PROGRAMMING/PROGRAMMING/PERSONAL/PYTHON/Image_Generator_API/imagenes/LAUNDRY_BY_DESIGN_121004097_PRL_2.jpg")</f>
        <v/>
      </c>
      <c r="N628">
        <f>IMAGE("file:///E:/Estudios%20y%20certificaciones/ESTUDIOS%20DE%20PROGRAMMING/PROGRAMMING/PERSONAL/PYTHON/Image_Generator_API/imagenes/LAUNDRY_BY_DESIGN_121004097_PRL_3.jpg")</f>
        <v/>
      </c>
      <c r="O628">
        <f>HYPERLINK("imagenes/LAUNDRY_BY_DESIGN_121004097_PRL_1.jpg","Ver imagen")</f>
        <v/>
      </c>
      <c r="P628">
        <f>HYPERLINK("imagenes/LAUNDRY_BY_DESIGN_121004097_PRL_2.jpg","Ver imagen")</f>
        <v/>
      </c>
      <c r="Q628">
        <f>HYPERLINK("imagenes/LAUNDRY_BY_DESIGN_121004097_PRL_3.jpg","Ver imagen")</f>
        <v/>
      </c>
    </row>
    <row r="629">
      <c r="A629" t="inlineStr">
        <is>
          <t>LAUNDRY BY DESIGN</t>
        </is>
      </c>
      <c r="B629" t="inlineStr">
        <is>
          <t>121004097</t>
        </is>
      </c>
      <c r="C629" t="inlineStr">
        <is>
          <t>32" SOFT TECH PUFFER (80400)</t>
        </is>
      </c>
      <c r="D629" t="inlineStr">
        <is>
          <t>PRL</t>
        </is>
      </c>
      <c r="E629" t="inlineStr">
        <is>
          <t>(en blanco)</t>
        </is>
      </c>
      <c r="F629" t="inlineStr">
        <is>
          <t>(en blanco)</t>
        </is>
      </c>
      <c r="G629" t="inlineStr">
        <is>
          <t>XXL</t>
        </is>
      </c>
      <c r="H629" t="n">
        <v>1</v>
      </c>
      <c r="I629" t="inlineStr">
        <is>
          <t>LAUNDRY_BY_DESIGN_121004097_PRL_1.jpg</t>
        </is>
      </c>
      <c r="J629" t="inlineStr">
        <is>
          <t>LAUNDRY_BY_DESIGN_121004097_PRL_2.jpg</t>
        </is>
      </c>
      <c r="K629" t="inlineStr">
        <is>
          <t>LAUNDRY_BY_DESIGN_121004097_PRL_3.jpg</t>
        </is>
      </c>
      <c r="L629">
        <f>IMAGE("file:///E:/Estudios%20y%20certificaciones/ESTUDIOS%20DE%20PROGRAMMING/PROGRAMMING/PERSONAL/PYTHON/Image_Generator_API/imagenes/LAUNDRY_BY_DESIGN_121004097_PRL_1.jpg")</f>
        <v/>
      </c>
      <c r="M629">
        <f>IMAGE("file:///E:/Estudios%20y%20certificaciones/ESTUDIOS%20DE%20PROGRAMMING/PROGRAMMING/PERSONAL/PYTHON/Image_Generator_API/imagenes/LAUNDRY_BY_DESIGN_121004097_PRL_2.jpg")</f>
        <v/>
      </c>
      <c r="N629">
        <f>IMAGE("file:///E:/Estudios%20y%20certificaciones/ESTUDIOS%20DE%20PROGRAMMING/PROGRAMMING/PERSONAL/PYTHON/Image_Generator_API/imagenes/LAUNDRY_BY_DESIGN_121004097_PRL_3.jpg")</f>
        <v/>
      </c>
      <c r="O629">
        <f>HYPERLINK("imagenes/LAUNDRY_BY_DESIGN_121004097_PRL_1.jpg","Ver imagen")</f>
        <v/>
      </c>
      <c r="P629">
        <f>HYPERLINK("imagenes/LAUNDRY_BY_DESIGN_121004097_PRL_2.jpg","Ver imagen")</f>
        <v/>
      </c>
      <c r="Q629">
        <f>HYPERLINK("imagenes/LAUNDRY_BY_DESIGN_121004097_PRL_3.jpg","Ver imagen")</f>
        <v/>
      </c>
    </row>
    <row r="630">
      <c r="A630" t="inlineStr">
        <is>
          <t>LAUNDRY BY DESIGN</t>
        </is>
      </c>
      <c r="B630" t="inlineStr">
        <is>
          <t>121004460</t>
        </is>
      </c>
      <c r="C630" t="inlineStr">
        <is>
          <t>26" STRETCH PUFFER (DUP13403B/91682)</t>
        </is>
      </c>
      <c r="D630" t="inlineStr">
        <is>
          <t>BLK</t>
        </is>
      </c>
      <c r="E630" t="inlineStr">
        <is>
          <t>(en blanco)</t>
        </is>
      </c>
      <c r="F630" t="inlineStr">
        <is>
          <t>(en blanco)</t>
        </is>
      </c>
      <c r="G630" t="inlineStr">
        <is>
          <t>M</t>
        </is>
      </c>
      <c r="H630" t="n">
        <v>1</v>
      </c>
      <c r="I630" t="inlineStr">
        <is>
          <t>LAUNDRY_BY_DESIGN_121004460_BLK_1.jpg</t>
        </is>
      </c>
      <c r="J630" t="inlineStr">
        <is>
          <t>LAUNDRY_BY_DESIGN_121004460_BLK_2.jpg</t>
        </is>
      </c>
      <c r="K630" t="inlineStr">
        <is>
          <t>LAUNDRY_BY_DESIGN_121004460_BLK_3.jpg</t>
        </is>
      </c>
      <c r="L630">
        <f>IMAGE("file:///E:/Estudios%20y%20certificaciones/ESTUDIOS%20DE%20PROGRAMMING/PROGRAMMING/PERSONAL/PYTHON/Image_Generator_API/imagenes/LAUNDRY_BY_DESIGN_121004460_BLK_1.jpg")</f>
        <v/>
      </c>
      <c r="M630">
        <f>IMAGE("file:///E:/Estudios%20y%20certificaciones/ESTUDIOS%20DE%20PROGRAMMING/PROGRAMMING/PERSONAL/PYTHON/Image_Generator_API/imagenes/LAUNDRY_BY_DESIGN_121004460_BLK_2.jpg")</f>
        <v/>
      </c>
      <c r="N630">
        <f>IMAGE("file:///E:/Estudios%20y%20certificaciones/ESTUDIOS%20DE%20PROGRAMMING/PROGRAMMING/PERSONAL/PYTHON/Image_Generator_API/imagenes/LAUNDRY_BY_DESIGN_121004460_BLK_3.jpg")</f>
        <v/>
      </c>
      <c r="O630">
        <f>HYPERLINK("imagenes/LAUNDRY_BY_DESIGN_121004460_BLK_1.jpg","Ver imagen")</f>
        <v/>
      </c>
      <c r="P630">
        <f>HYPERLINK("imagenes/LAUNDRY_BY_DESIGN_121004460_BLK_2.jpg","Ver imagen")</f>
        <v/>
      </c>
      <c r="Q630">
        <f>HYPERLINK("imagenes/LAUNDRY_BY_DESIGN_121004460_BLK_3.jpg","Ver imagen")</f>
        <v/>
      </c>
    </row>
    <row r="631">
      <c r="A631" t="inlineStr">
        <is>
          <t>LAUNDRY BY DESIGN</t>
        </is>
      </c>
      <c r="B631" t="inlineStr">
        <is>
          <t>121004460</t>
        </is>
      </c>
      <c r="C631" t="inlineStr">
        <is>
          <t>26" STRETCH PUFFER (DUP13403B/91682)</t>
        </is>
      </c>
      <c r="D631" t="inlineStr">
        <is>
          <t>MGN</t>
        </is>
      </c>
      <c r="E631" t="inlineStr">
        <is>
          <t>(en blanco)</t>
        </is>
      </c>
      <c r="F631" t="inlineStr">
        <is>
          <t>(en blanco)</t>
        </is>
      </c>
      <c r="G631" t="inlineStr">
        <is>
          <t>M</t>
        </is>
      </c>
      <c r="H631" t="n">
        <v>3</v>
      </c>
      <c r="I631" t="inlineStr">
        <is>
          <t>LAUNDRY_BY_DESIGN_121004460_MGN_1.jpg</t>
        </is>
      </c>
      <c r="J631" t="inlineStr">
        <is>
          <t>LAUNDRY_BY_DESIGN_121004460_MGN_2.jpg</t>
        </is>
      </c>
      <c r="K631" t="inlineStr">
        <is>
          <t>LAUNDRY_BY_DESIGN_121004460_MGN_3.jpg</t>
        </is>
      </c>
      <c r="L631">
        <f>IMAGE("file:///E:/Estudios%20y%20certificaciones/ESTUDIOS%20DE%20PROGRAMMING/PROGRAMMING/PERSONAL/PYTHON/Image_Generator_API/imagenes/LAUNDRY_BY_DESIGN_121004460_MGN_1.jpg")</f>
        <v/>
      </c>
      <c r="M631">
        <f>IMAGE("file:///E:/Estudios%20y%20certificaciones/ESTUDIOS%20DE%20PROGRAMMING/PROGRAMMING/PERSONAL/PYTHON/Image_Generator_API/imagenes/LAUNDRY_BY_DESIGN_121004460_MGN_2.jpg")</f>
        <v/>
      </c>
      <c r="N631">
        <f>IMAGE("file:///E:/Estudios%20y%20certificaciones/ESTUDIOS%20DE%20PROGRAMMING/PROGRAMMING/PERSONAL/PYTHON/Image_Generator_API/imagenes/LAUNDRY_BY_DESIGN_121004460_MGN_3.jpg")</f>
        <v/>
      </c>
      <c r="O631">
        <f>HYPERLINK("imagenes/LAUNDRY_BY_DESIGN_121004460_MGN_1.jpg","Ver imagen")</f>
        <v/>
      </c>
      <c r="P631">
        <f>HYPERLINK("imagenes/LAUNDRY_BY_DESIGN_121004460_MGN_2.jpg","Ver imagen")</f>
        <v/>
      </c>
      <c r="Q631">
        <f>HYPERLINK("imagenes/LAUNDRY_BY_DESIGN_121004460_MGN_3.jpg","Ver imagen")</f>
        <v/>
      </c>
    </row>
    <row r="632">
      <c r="A632" t="inlineStr">
        <is>
          <t>LAUNDRY BY DESIGN</t>
        </is>
      </c>
      <c r="B632" t="inlineStr">
        <is>
          <t>121004460</t>
        </is>
      </c>
      <c r="C632" t="inlineStr">
        <is>
          <t>26" STRETCH PUFFER (DUP13403B/91682)</t>
        </is>
      </c>
      <c r="D632" t="inlineStr">
        <is>
          <t>MGN</t>
        </is>
      </c>
      <c r="E632" t="inlineStr">
        <is>
          <t>(en blanco)</t>
        </is>
      </c>
      <c r="F632" t="inlineStr">
        <is>
          <t>(en blanco)</t>
        </is>
      </c>
      <c r="G632" t="inlineStr">
        <is>
          <t>L</t>
        </is>
      </c>
      <c r="H632" t="n">
        <v>4</v>
      </c>
      <c r="I632" t="inlineStr">
        <is>
          <t>LAUNDRY_BY_DESIGN_121004460_MGN_1.jpg</t>
        </is>
      </c>
      <c r="J632" t="inlineStr">
        <is>
          <t>LAUNDRY_BY_DESIGN_121004460_MGN_2.jpg</t>
        </is>
      </c>
      <c r="K632" t="inlineStr">
        <is>
          <t>LAUNDRY_BY_DESIGN_121004460_MGN_3.jpg</t>
        </is>
      </c>
      <c r="L632">
        <f>IMAGE("file:///E:/Estudios%20y%20certificaciones/ESTUDIOS%20DE%20PROGRAMMING/PROGRAMMING/PERSONAL/PYTHON/Image_Generator_API/imagenes/LAUNDRY_BY_DESIGN_121004460_MGN_1.jpg")</f>
        <v/>
      </c>
      <c r="M632">
        <f>IMAGE("file:///E:/Estudios%20y%20certificaciones/ESTUDIOS%20DE%20PROGRAMMING/PROGRAMMING/PERSONAL/PYTHON/Image_Generator_API/imagenes/LAUNDRY_BY_DESIGN_121004460_MGN_2.jpg")</f>
        <v/>
      </c>
      <c r="N632">
        <f>IMAGE("file:///E:/Estudios%20y%20certificaciones/ESTUDIOS%20DE%20PROGRAMMING/PROGRAMMING/PERSONAL/PYTHON/Image_Generator_API/imagenes/LAUNDRY_BY_DESIGN_121004460_MGN_3.jpg")</f>
        <v/>
      </c>
      <c r="O632">
        <f>HYPERLINK("imagenes/LAUNDRY_BY_DESIGN_121004460_MGN_1.jpg","Ver imagen")</f>
        <v/>
      </c>
      <c r="P632">
        <f>HYPERLINK("imagenes/LAUNDRY_BY_DESIGN_121004460_MGN_2.jpg","Ver imagen")</f>
        <v/>
      </c>
      <c r="Q632">
        <f>HYPERLINK("imagenes/LAUNDRY_BY_DESIGN_121004460_MGN_3.jpg","Ver imagen")</f>
        <v/>
      </c>
    </row>
    <row r="633">
      <c r="A633" t="inlineStr">
        <is>
          <t>LAUNDRY BY DESIGN</t>
        </is>
      </c>
      <c r="B633" t="inlineStr">
        <is>
          <t>121004460</t>
        </is>
      </c>
      <c r="C633" t="inlineStr">
        <is>
          <t>26" STRETCH PUFFER (DUP13403B/91682)</t>
        </is>
      </c>
      <c r="D633" t="inlineStr">
        <is>
          <t>MGN</t>
        </is>
      </c>
      <c r="E633" t="inlineStr">
        <is>
          <t>(en blanco)</t>
        </is>
      </c>
      <c r="F633" t="inlineStr">
        <is>
          <t>(en blanco)</t>
        </is>
      </c>
      <c r="G633" t="inlineStr">
        <is>
          <t>XL</t>
        </is>
      </c>
      <c r="H633" t="n">
        <v>9</v>
      </c>
      <c r="I633" t="inlineStr">
        <is>
          <t>LAUNDRY_BY_DESIGN_121004460_MGN_1.jpg</t>
        </is>
      </c>
      <c r="J633" t="inlineStr">
        <is>
          <t>LAUNDRY_BY_DESIGN_121004460_MGN_2.jpg</t>
        </is>
      </c>
      <c r="K633" t="inlineStr">
        <is>
          <t>LAUNDRY_BY_DESIGN_121004460_MGN_3.jpg</t>
        </is>
      </c>
      <c r="L633">
        <f>IMAGE("file:///E:/Estudios%20y%20certificaciones/ESTUDIOS%20DE%20PROGRAMMING/PROGRAMMING/PERSONAL/PYTHON/Image_Generator_API/imagenes/LAUNDRY_BY_DESIGN_121004460_MGN_1.jpg")</f>
        <v/>
      </c>
      <c r="M633">
        <f>IMAGE("file:///E:/Estudios%20y%20certificaciones/ESTUDIOS%20DE%20PROGRAMMING/PROGRAMMING/PERSONAL/PYTHON/Image_Generator_API/imagenes/LAUNDRY_BY_DESIGN_121004460_MGN_2.jpg")</f>
        <v/>
      </c>
      <c r="N633">
        <f>IMAGE("file:///E:/Estudios%20y%20certificaciones/ESTUDIOS%20DE%20PROGRAMMING/PROGRAMMING/PERSONAL/PYTHON/Image_Generator_API/imagenes/LAUNDRY_BY_DESIGN_121004460_MGN_3.jpg")</f>
        <v/>
      </c>
      <c r="O633">
        <f>HYPERLINK("imagenes/LAUNDRY_BY_DESIGN_121004460_MGN_1.jpg","Ver imagen")</f>
        <v/>
      </c>
      <c r="P633">
        <f>HYPERLINK("imagenes/LAUNDRY_BY_DESIGN_121004460_MGN_2.jpg","Ver imagen")</f>
        <v/>
      </c>
      <c r="Q633">
        <f>HYPERLINK("imagenes/LAUNDRY_BY_DESIGN_121004460_MGN_3.jpg","Ver imagen")</f>
        <v/>
      </c>
    </row>
    <row r="634">
      <c r="A634" t="inlineStr">
        <is>
          <t>LAUNDRY BY DESIGN</t>
        </is>
      </c>
      <c r="B634" t="inlineStr">
        <is>
          <t>121004460</t>
        </is>
      </c>
      <c r="C634" t="inlineStr">
        <is>
          <t>26" STRETCH PUFFER (DUP13403B/91682)</t>
        </is>
      </c>
      <c r="D634" t="inlineStr">
        <is>
          <t>MGN</t>
        </is>
      </c>
      <c r="E634" t="inlineStr">
        <is>
          <t>(en blanco)</t>
        </is>
      </c>
      <c r="F634" t="inlineStr">
        <is>
          <t>(en blanco)</t>
        </is>
      </c>
      <c r="G634" t="inlineStr">
        <is>
          <t>XXL</t>
        </is>
      </c>
      <c r="H634" t="n">
        <v>1</v>
      </c>
      <c r="I634" t="inlineStr">
        <is>
          <t>LAUNDRY_BY_DESIGN_121004460_MGN_1.jpg</t>
        </is>
      </c>
      <c r="J634" t="inlineStr">
        <is>
          <t>LAUNDRY_BY_DESIGN_121004460_MGN_2.jpg</t>
        </is>
      </c>
      <c r="K634" t="inlineStr">
        <is>
          <t>LAUNDRY_BY_DESIGN_121004460_MGN_3.jpg</t>
        </is>
      </c>
      <c r="L634">
        <f>IMAGE("file:///E:/Estudios%20y%20certificaciones/ESTUDIOS%20DE%20PROGRAMMING/PROGRAMMING/PERSONAL/PYTHON/Image_Generator_API/imagenes/LAUNDRY_BY_DESIGN_121004460_MGN_1.jpg")</f>
        <v/>
      </c>
      <c r="M634">
        <f>IMAGE("file:///E:/Estudios%20y%20certificaciones/ESTUDIOS%20DE%20PROGRAMMING/PROGRAMMING/PERSONAL/PYTHON/Image_Generator_API/imagenes/LAUNDRY_BY_DESIGN_121004460_MGN_2.jpg")</f>
        <v/>
      </c>
      <c r="N634">
        <f>IMAGE("file:///E:/Estudios%20y%20certificaciones/ESTUDIOS%20DE%20PROGRAMMING/PROGRAMMING/PERSONAL/PYTHON/Image_Generator_API/imagenes/LAUNDRY_BY_DESIGN_121004460_MGN_3.jpg")</f>
        <v/>
      </c>
      <c r="O634">
        <f>HYPERLINK("imagenes/LAUNDRY_BY_DESIGN_121004460_MGN_1.jpg","Ver imagen")</f>
        <v/>
      </c>
      <c r="P634">
        <f>HYPERLINK("imagenes/LAUNDRY_BY_DESIGN_121004460_MGN_2.jpg","Ver imagen")</f>
        <v/>
      </c>
      <c r="Q634">
        <f>HYPERLINK("imagenes/LAUNDRY_BY_DESIGN_121004460_MGN_3.jpg","Ver imagen")</f>
        <v/>
      </c>
    </row>
    <row r="635">
      <c r="A635" t="inlineStr">
        <is>
          <t>LAUNDRY BY DESIGN</t>
        </is>
      </c>
      <c r="B635" t="inlineStr">
        <is>
          <t>121004653</t>
        </is>
      </c>
      <c r="C635" t="inlineStr">
        <is>
          <t>29" SOFTSHELL (T825589 F24 MODIFIED)</t>
        </is>
      </c>
      <c r="D635" t="inlineStr">
        <is>
          <t>BLK</t>
        </is>
      </c>
      <c r="E635" t="inlineStr">
        <is>
          <t>(en blanco)</t>
        </is>
      </c>
      <c r="F635" t="inlineStr">
        <is>
          <t>(en blanco)</t>
        </is>
      </c>
      <c r="G635" t="inlineStr">
        <is>
          <t>S</t>
        </is>
      </c>
      <c r="H635" t="n">
        <v>2</v>
      </c>
      <c r="I635" t="inlineStr">
        <is>
          <t>LAUNDRY_BY_DESIGN_121004653_BLK_1.jpg</t>
        </is>
      </c>
      <c r="J635" t="inlineStr">
        <is>
          <t>LAUNDRY_BY_DESIGN_121004653_BLK_2.jpg</t>
        </is>
      </c>
      <c r="K635" t="inlineStr">
        <is>
          <t>LAUNDRY_BY_DESIGN_121004653_BLK_3.jpg</t>
        </is>
      </c>
      <c r="L635">
        <f>IMAGE("file:///E:/Estudios%20y%20certificaciones/ESTUDIOS%20DE%20PROGRAMMING/PROGRAMMING/PERSONAL/PYTHON/Image_Generator_API/imagenes/LAUNDRY_BY_DESIGN_121004653_BLK_1.jpg")</f>
        <v/>
      </c>
      <c r="M635">
        <f>IMAGE("file:///E:/Estudios%20y%20certificaciones/ESTUDIOS%20DE%20PROGRAMMING/PROGRAMMING/PERSONAL/PYTHON/Image_Generator_API/imagenes/LAUNDRY_BY_DESIGN_121004653_BLK_2.jpg")</f>
        <v/>
      </c>
      <c r="N635">
        <f>IMAGE("file:///E:/Estudios%20y%20certificaciones/ESTUDIOS%20DE%20PROGRAMMING/PROGRAMMING/PERSONAL/PYTHON/Image_Generator_API/imagenes/LAUNDRY_BY_DESIGN_121004653_BLK_3.jpg")</f>
        <v/>
      </c>
      <c r="O635">
        <f>HYPERLINK("imagenes/LAUNDRY_BY_DESIGN_121004653_BLK_1.jpg","Ver imagen")</f>
        <v/>
      </c>
      <c r="P635">
        <f>HYPERLINK("imagenes/LAUNDRY_BY_DESIGN_121004653_BLK_2.jpg","Ver imagen")</f>
        <v/>
      </c>
      <c r="Q635">
        <f>HYPERLINK("imagenes/LAUNDRY_BY_DESIGN_121004653_BLK_3.jpg","Ver imagen")</f>
        <v/>
      </c>
    </row>
    <row r="636">
      <c r="A636" t="inlineStr">
        <is>
          <t>LAUNDRY BY DESIGN</t>
        </is>
      </c>
      <c r="B636" t="inlineStr">
        <is>
          <t>121004653</t>
        </is>
      </c>
      <c r="C636" t="inlineStr">
        <is>
          <t>29" SOFTSHELL (T825589 F24 MODIFIED)</t>
        </is>
      </c>
      <c r="D636" t="inlineStr">
        <is>
          <t>BLK</t>
        </is>
      </c>
      <c r="E636" t="inlineStr">
        <is>
          <t>(en blanco)</t>
        </is>
      </c>
      <c r="F636" t="inlineStr">
        <is>
          <t>(en blanco)</t>
        </is>
      </c>
      <c r="G636" t="inlineStr">
        <is>
          <t>M</t>
        </is>
      </c>
      <c r="H636" t="n">
        <v>40</v>
      </c>
      <c r="I636" t="inlineStr">
        <is>
          <t>LAUNDRY_BY_DESIGN_121004653_BLK_1.jpg</t>
        </is>
      </c>
      <c r="J636" t="inlineStr">
        <is>
          <t>LAUNDRY_BY_DESIGN_121004653_BLK_2.jpg</t>
        </is>
      </c>
      <c r="K636" t="inlineStr">
        <is>
          <t>LAUNDRY_BY_DESIGN_121004653_BLK_3.jpg</t>
        </is>
      </c>
      <c r="L636">
        <f>IMAGE("file:///E:/Estudios%20y%20certificaciones/ESTUDIOS%20DE%20PROGRAMMING/PROGRAMMING/PERSONAL/PYTHON/Image_Generator_API/imagenes/LAUNDRY_BY_DESIGN_121004653_BLK_1.jpg")</f>
        <v/>
      </c>
      <c r="M636">
        <f>IMAGE("file:///E:/Estudios%20y%20certificaciones/ESTUDIOS%20DE%20PROGRAMMING/PROGRAMMING/PERSONAL/PYTHON/Image_Generator_API/imagenes/LAUNDRY_BY_DESIGN_121004653_BLK_2.jpg")</f>
        <v/>
      </c>
      <c r="N636">
        <f>IMAGE("file:///E:/Estudios%20y%20certificaciones/ESTUDIOS%20DE%20PROGRAMMING/PROGRAMMING/PERSONAL/PYTHON/Image_Generator_API/imagenes/LAUNDRY_BY_DESIGN_121004653_BLK_3.jpg")</f>
        <v/>
      </c>
      <c r="O636">
        <f>HYPERLINK("imagenes/LAUNDRY_BY_DESIGN_121004653_BLK_1.jpg","Ver imagen")</f>
        <v/>
      </c>
      <c r="P636">
        <f>HYPERLINK("imagenes/LAUNDRY_BY_DESIGN_121004653_BLK_2.jpg","Ver imagen")</f>
        <v/>
      </c>
      <c r="Q636">
        <f>HYPERLINK("imagenes/LAUNDRY_BY_DESIGN_121004653_BLK_3.jpg","Ver imagen")</f>
        <v/>
      </c>
    </row>
    <row r="637">
      <c r="A637" t="inlineStr">
        <is>
          <t>LAUNDRY BY DESIGN</t>
        </is>
      </c>
      <c r="B637" t="inlineStr">
        <is>
          <t>121004653</t>
        </is>
      </c>
      <c r="C637" t="inlineStr">
        <is>
          <t>29" SOFTSHELL (T825589 F24 MODIFIED)</t>
        </is>
      </c>
      <c r="D637" t="inlineStr">
        <is>
          <t>BLK</t>
        </is>
      </c>
      <c r="E637" t="inlineStr">
        <is>
          <t>(en blanco)</t>
        </is>
      </c>
      <c r="F637" t="inlineStr">
        <is>
          <t>(en blanco)</t>
        </is>
      </c>
      <c r="G637" t="inlineStr">
        <is>
          <t>L</t>
        </is>
      </c>
      <c r="H637" t="n">
        <v>2</v>
      </c>
      <c r="I637" t="inlineStr">
        <is>
          <t>LAUNDRY_BY_DESIGN_121004653_BLK_1.jpg</t>
        </is>
      </c>
      <c r="J637" t="inlineStr">
        <is>
          <t>LAUNDRY_BY_DESIGN_121004653_BLK_2.jpg</t>
        </is>
      </c>
      <c r="K637" t="inlineStr">
        <is>
          <t>LAUNDRY_BY_DESIGN_121004653_BLK_3.jpg</t>
        </is>
      </c>
      <c r="L637">
        <f>IMAGE("file:///E:/Estudios%20y%20certificaciones/ESTUDIOS%20DE%20PROGRAMMING/PROGRAMMING/PERSONAL/PYTHON/Image_Generator_API/imagenes/LAUNDRY_BY_DESIGN_121004653_BLK_1.jpg")</f>
        <v/>
      </c>
      <c r="M637">
        <f>IMAGE("file:///E:/Estudios%20y%20certificaciones/ESTUDIOS%20DE%20PROGRAMMING/PROGRAMMING/PERSONAL/PYTHON/Image_Generator_API/imagenes/LAUNDRY_BY_DESIGN_121004653_BLK_2.jpg")</f>
        <v/>
      </c>
      <c r="N637">
        <f>IMAGE("file:///E:/Estudios%20y%20certificaciones/ESTUDIOS%20DE%20PROGRAMMING/PROGRAMMING/PERSONAL/PYTHON/Image_Generator_API/imagenes/LAUNDRY_BY_DESIGN_121004653_BLK_3.jpg")</f>
        <v/>
      </c>
      <c r="O637">
        <f>HYPERLINK("imagenes/LAUNDRY_BY_DESIGN_121004653_BLK_1.jpg","Ver imagen")</f>
        <v/>
      </c>
      <c r="P637">
        <f>HYPERLINK("imagenes/LAUNDRY_BY_DESIGN_121004653_BLK_2.jpg","Ver imagen")</f>
        <v/>
      </c>
      <c r="Q637">
        <f>HYPERLINK("imagenes/LAUNDRY_BY_DESIGN_121004653_BLK_3.jpg","Ver imagen")</f>
        <v/>
      </c>
    </row>
    <row r="638">
      <c r="A638" t="inlineStr">
        <is>
          <t>LAUNDRY BY DESIGN</t>
        </is>
      </c>
      <c r="B638" t="inlineStr">
        <is>
          <t>121004653</t>
        </is>
      </c>
      <c r="C638" t="inlineStr">
        <is>
          <t>29" SOFTSHELL (T825589 F24 MODIFIED)</t>
        </is>
      </c>
      <c r="D638" t="inlineStr">
        <is>
          <t>BLK</t>
        </is>
      </c>
      <c r="E638" t="inlineStr">
        <is>
          <t>(en blanco)</t>
        </is>
      </c>
      <c r="F638" t="inlineStr">
        <is>
          <t>(en blanco)</t>
        </is>
      </c>
      <c r="G638" t="inlineStr">
        <is>
          <t>XL</t>
        </is>
      </c>
      <c r="H638" t="n">
        <v>16</v>
      </c>
      <c r="I638" t="inlineStr">
        <is>
          <t>LAUNDRY_BY_DESIGN_121004653_BLK_1.jpg</t>
        </is>
      </c>
      <c r="J638" t="inlineStr">
        <is>
          <t>LAUNDRY_BY_DESIGN_121004653_BLK_2.jpg</t>
        </is>
      </c>
      <c r="K638" t="inlineStr">
        <is>
          <t>LAUNDRY_BY_DESIGN_121004653_BLK_3.jpg</t>
        </is>
      </c>
      <c r="L638">
        <f>IMAGE("file:///E:/Estudios%20y%20certificaciones/ESTUDIOS%20DE%20PROGRAMMING/PROGRAMMING/PERSONAL/PYTHON/Image_Generator_API/imagenes/LAUNDRY_BY_DESIGN_121004653_BLK_1.jpg")</f>
        <v/>
      </c>
      <c r="M638">
        <f>IMAGE("file:///E:/Estudios%20y%20certificaciones/ESTUDIOS%20DE%20PROGRAMMING/PROGRAMMING/PERSONAL/PYTHON/Image_Generator_API/imagenes/LAUNDRY_BY_DESIGN_121004653_BLK_2.jpg")</f>
        <v/>
      </c>
      <c r="N638">
        <f>IMAGE("file:///E:/Estudios%20y%20certificaciones/ESTUDIOS%20DE%20PROGRAMMING/PROGRAMMING/PERSONAL/PYTHON/Image_Generator_API/imagenes/LAUNDRY_BY_DESIGN_121004653_BLK_3.jpg")</f>
        <v/>
      </c>
      <c r="O638">
        <f>HYPERLINK("imagenes/LAUNDRY_BY_DESIGN_121004653_BLK_1.jpg","Ver imagen")</f>
        <v/>
      </c>
      <c r="P638">
        <f>HYPERLINK("imagenes/LAUNDRY_BY_DESIGN_121004653_BLK_2.jpg","Ver imagen")</f>
        <v/>
      </c>
      <c r="Q638">
        <f>HYPERLINK("imagenes/LAUNDRY_BY_DESIGN_121004653_BLK_3.jpg","Ver imagen")</f>
        <v/>
      </c>
    </row>
    <row r="639">
      <c r="A639" t="inlineStr">
        <is>
          <t>LAUNDRY BY DESIGN</t>
        </is>
      </c>
      <c r="B639" t="inlineStr">
        <is>
          <t>121004653</t>
        </is>
      </c>
      <c r="C639" t="inlineStr">
        <is>
          <t>29" SOFTSHELL (T825589 F24 MODIFIED)</t>
        </is>
      </c>
      <c r="D639" t="inlineStr">
        <is>
          <t>BLK</t>
        </is>
      </c>
      <c r="E639" t="inlineStr">
        <is>
          <t>(en blanco)</t>
        </is>
      </c>
      <c r="F639" t="inlineStr">
        <is>
          <t>(en blanco)</t>
        </is>
      </c>
      <c r="G639" t="inlineStr">
        <is>
          <t>XXL</t>
        </is>
      </c>
      <c r="H639" t="n">
        <v>0</v>
      </c>
      <c r="I639" t="inlineStr">
        <is>
          <t>LAUNDRY_BY_DESIGN_121004653_BLK_1.jpg</t>
        </is>
      </c>
      <c r="J639" t="inlineStr">
        <is>
          <t>LAUNDRY_BY_DESIGN_121004653_BLK_2.jpg</t>
        </is>
      </c>
      <c r="K639" t="inlineStr">
        <is>
          <t>LAUNDRY_BY_DESIGN_121004653_BLK_3.jpg</t>
        </is>
      </c>
      <c r="L639">
        <f>IMAGE("file:///E:/Estudios%20y%20certificaciones/ESTUDIOS%20DE%20PROGRAMMING/PROGRAMMING/PERSONAL/PYTHON/Image_Generator_API/imagenes/LAUNDRY_BY_DESIGN_121004653_BLK_1.jpg")</f>
        <v/>
      </c>
      <c r="M639">
        <f>IMAGE("file:///E:/Estudios%20y%20certificaciones/ESTUDIOS%20DE%20PROGRAMMING/PROGRAMMING/PERSONAL/PYTHON/Image_Generator_API/imagenes/LAUNDRY_BY_DESIGN_121004653_BLK_2.jpg")</f>
        <v/>
      </c>
      <c r="N639">
        <f>IMAGE("file:///E:/Estudios%20y%20certificaciones/ESTUDIOS%20DE%20PROGRAMMING/PROGRAMMING/PERSONAL/PYTHON/Image_Generator_API/imagenes/LAUNDRY_BY_DESIGN_121004653_BLK_3.jpg")</f>
        <v/>
      </c>
      <c r="O639">
        <f>HYPERLINK("imagenes/LAUNDRY_BY_DESIGN_121004653_BLK_1.jpg","Ver imagen")</f>
        <v/>
      </c>
      <c r="P639">
        <f>HYPERLINK("imagenes/LAUNDRY_BY_DESIGN_121004653_BLK_2.jpg","Ver imagen")</f>
        <v/>
      </c>
      <c r="Q639">
        <f>HYPERLINK("imagenes/LAUNDRY_BY_DESIGN_121004653_BLK_3.jpg","Ver imagen")</f>
        <v/>
      </c>
    </row>
    <row r="640">
      <c r="A640" t="inlineStr">
        <is>
          <t>LAUNDRY BY DESIGN</t>
        </is>
      </c>
      <c r="B640" t="inlineStr">
        <is>
          <t>121004653</t>
        </is>
      </c>
      <c r="C640" t="inlineStr">
        <is>
          <t>29" SOFTSHELL (T825589 F24 MODIFIED)</t>
        </is>
      </c>
      <c r="D640" t="inlineStr">
        <is>
          <t>DES</t>
        </is>
      </c>
      <c r="E640" t="inlineStr">
        <is>
          <t>(en blanco)</t>
        </is>
      </c>
      <c r="F640" t="inlineStr">
        <is>
          <t>(en blanco)</t>
        </is>
      </c>
      <c r="G640" t="inlineStr">
        <is>
          <t>M</t>
        </is>
      </c>
      <c r="H640" t="n">
        <v>29</v>
      </c>
      <c r="I640" t="inlineStr">
        <is>
          <t>LAUNDRY_BY_DESIGN_121004653_DES_1.jpg</t>
        </is>
      </c>
      <c r="J640" t="inlineStr">
        <is>
          <t>LAUNDRY_BY_DESIGN_121004653_DES_2.jpg</t>
        </is>
      </c>
      <c r="K640" t="inlineStr">
        <is>
          <t>LAUNDRY_BY_DESIGN_121004653_DES_3.jpg</t>
        </is>
      </c>
      <c r="L640">
        <f>IMAGE("file:///E:/Estudios%20y%20certificaciones/ESTUDIOS%20DE%20PROGRAMMING/PROGRAMMING/PERSONAL/PYTHON/Image_Generator_API/imagenes/LAUNDRY_BY_DESIGN_121004653_DES_1.jpg")</f>
        <v/>
      </c>
      <c r="M640">
        <f>IMAGE("file:///E:/Estudios%20y%20certificaciones/ESTUDIOS%20DE%20PROGRAMMING/PROGRAMMING/PERSONAL/PYTHON/Image_Generator_API/imagenes/LAUNDRY_BY_DESIGN_121004653_DES_2.jpg")</f>
        <v/>
      </c>
      <c r="N640">
        <f>IMAGE("file:///E:/Estudios%20y%20certificaciones/ESTUDIOS%20DE%20PROGRAMMING/PROGRAMMING/PERSONAL/PYTHON/Image_Generator_API/imagenes/LAUNDRY_BY_DESIGN_121004653_DES_3.jpg")</f>
        <v/>
      </c>
      <c r="O640">
        <f>HYPERLINK("imagenes/LAUNDRY_BY_DESIGN_121004653_DES_1.jpg","Ver imagen")</f>
        <v/>
      </c>
      <c r="P640">
        <f>HYPERLINK("imagenes/LAUNDRY_BY_DESIGN_121004653_DES_2.jpg","Ver imagen")</f>
        <v/>
      </c>
      <c r="Q640">
        <f>HYPERLINK("imagenes/LAUNDRY_BY_DESIGN_121004653_DES_3.jpg","Ver imagen")</f>
        <v/>
      </c>
    </row>
    <row r="641">
      <c r="A641" t="inlineStr">
        <is>
          <t>LAUNDRY BY DESIGN</t>
        </is>
      </c>
      <c r="B641" t="inlineStr">
        <is>
          <t>121004653</t>
        </is>
      </c>
      <c r="C641" t="inlineStr">
        <is>
          <t>29" SOFTSHELL (T825589 F24 MODIFIED)</t>
        </is>
      </c>
      <c r="D641" t="inlineStr">
        <is>
          <t>DES</t>
        </is>
      </c>
      <c r="E641" t="inlineStr">
        <is>
          <t>(en blanco)</t>
        </is>
      </c>
      <c r="F641" t="inlineStr">
        <is>
          <t>(en blanco)</t>
        </is>
      </c>
      <c r="G641" t="inlineStr">
        <is>
          <t>L</t>
        </is>
      </c>
      <c r="H641" t="n">
        <v>11</v>
      </c>
      <c r="I641" t="inlineStr">
        <is>
          <t>LAUNDRY_BY_DESIGN_121004653_DES_1.jpg</t>
        </is>
      </c>
      <c r="J641" t="inlineStr">
        <is>
          <t>LAUNDRY_BY_DESIGN_121004653_DES_2.jpg</t>
        </is>
      </c>
      <c r="K641" t="inlineStr">
        <is>
          <t>LAUNDRY_BY_DESIGN_121004653_DES_3.jpg</t>
        </is>
      </c>
      <c r="L641">
        <f>IMAGE("file:///E:/Estudios%20y%20certificaciones/ESTUDIOS%20DE%20PROGRAMMING/PROGRAMMING/PERSONAL/PYTHON/Image_Generator_API/imagenes/LAUNDRY_BY_DESIGN_121004653_DES_1.jpg")</f>
        <v/>
      </c>
      <c r="M641">
        <f>IMAGE("file:///E:/Estudios%20y%20certificaciones/ESTUDIOS%20DE%20PROGRAMMING/PROGRAMMING/PERSONAL/PYTHON/Image_Generator_API/imagenes/LAUNDRY_BY_DESIGN_121004653_DES_2.jpg")</f>
        <v/>
      </c>
      <c r="N641">
        <f>IMAGE("file:///E:/Estudios%20y%20certificaciones/ESTUDIOS%20DE%20PROGRAMMING/PROGRAMMING/PERSONAL/PYTHON/Image_Generator_API/imagenes/LAUNDRY_BY_DESIGN_121004653_DES_3.jpg")</f>
        <v/>
      </c>
      <c r="O641">
        <f>HYPERLINK("imagenes/LAUNDRY_BY_DESIGN_121004653_DES_1.jpg","Ver imagen")</f>
        <v/>
      </c>
      <c r="P641">
        <f>HYPERLINK("imagenes/LAUNDRY_BY_DESIGN_121004653_DES_2.jpg","Ver imagen")</f>
        <v/>
      </c>
      <c r="Q641">
        <f>HYPERLINK("imagenes/LAUNDRY_BY_DESIGN_121004653_DES_3.jpg","Ver imagen")</f>
        <v/>
      </c>
    </row>
    <row r="642">
      <c r="A642" t="inlineStr">
        <is>
          <t>LAUNDRY BY DESIGN</t>
        </is>
      </c>
      <c r="B642" t="inlineStr">
        <is>
          <t>121004653</t>
        </is>
      </c>
      <c r="C642" t="inlineStr">
        <is>
          <t>29" SOFTSHELL (T825589 F24 MODIFIED)</t>
        </is>
      </c>
      <c r="D642" t="inlineStr">
        <is>
          <t>DES</t>
        </is>
      </c>
      <c r="E642" t="inlineStr">
        <is>
          <t>(en blanco)</t>
        </is>
      </c>
      <c r="F642" t="inlineStr">
        <is>
          <t>(en blanco)</t>
        </is>
      </c>
      <c r="G642" t="inlineStr">
        <is>
          <t>XL</t>
        </is>
      </c>
      <c r="H642" t="n">
        <v>31</v>
      </c>
      <c r="I642" t="inlineStr">
        <is>
          <t>LAUNDRY_BY_DESIGN_121004653_DES_1.jpg</t>
        </is>
      </c>
      <c r="J642" t="inlineStr">
        <is>
          <t>LAUNDRY_BY_DESIGN_121004653_DES_2.jpg</t>
        </is>
      </c>
      <c r="K642" t="inlineStr">
        <is>
          <t>LAUNDRY_BY_DESIGN_121004653_DES_3.jpg</t>
        </is>
      </c>
      <c r="L642">
        <f>IMAGE("file:///E:/Estudios%20y%20certificaciones/ESTUDIOS%20DE%20PROGRAMMING/PROGRAMMING/PERSONAL/PYTHON/Image_Generator_API/imagenes/LAUNDRY_BY_DESIGN_121004653_DES_1.jpg")</f>
        <v/>
      </c>
      <c r="M642">
        <f>IMAGE("file:///E:/Estudios%20y%20certificaciones/ESTUDIOS%20DE%20PROGRAMMING/PROGRAMMING/PERSONAL/PYTHON/Image_Generator_API/imagenes/LAUNDRY_BY_DESIGN_121004653_DES_2.jpg")</f>
        <v/>
      </c>
      <c r="N642">
        <f>IMAGE("file:///E:/Estudios%20y%20certificaciones/ESTUDIOS%20DE%20PROGRAMMING/PROGRAMMING/PERSONAL/PYTHON/Image_Generator_API/imagenes/LAUNDRY_BY_DESIGN_121004653_DES_3.jpg")</f>
        <v/>
      </c>
      <c r="O642">
        <f>HYPERLINK("imagenes/LAUNDRY_BY_DESIGN_121004653_DES_1.jpg","Ver imagen")</f>
        <v/>
      </c>
      <c r="P642">
        <f>HYPERLINK("imagenes/LAUNDRY_BY_DESIGN_121004653_DES_2.jpg","Ver imagen")</f>
        <v/>
      </c>
      <c r="Q642">
        <f>HYPERLINK("imagenes/LAUNDRY_BY_DESIGN_121004653_DES_3.jpg","Ver imagen")</f>
        <v/>
      </c>
    </row>
    <row r="643">
      <c r="A643" t="inlineStr">
        <is>
          <t>LAUNDRY BY DESIGN</t>
        </is>
      </c>
      <c r="B643" t="inlineStr">
        <is>
          <t>121004653</t>
        </is>
      </c>
      <c r="C643" t="inlineStr">
        <is>
          <t>29" SOFTSHELL (T825589 F24 MODIFIED)</t>
        </is>
      </c>
      <c r="D643" t="inlineStr">
        <is>
          <t>DES</t>
        </is>
      </c>
      <c r="E643" t="inlineStr">
        <is>
          <t>(en blanco)</t>
        </is>
      </c>
      <c r="F643" t="inlineStr">
        <is>
          <t>(en blanco)</t>
        </is>
      </c>
      <c r="G643" t="inlineStr">
        <is>
          <t>XXL</t>
        </is>
      </c>
      <c r="H643" t="n">
        <v>7</v>
      </c>
      <c r="I643" t="inlineStr">
        <is>
          <t>LAUNDRY_BY_DESIGN_121004653_DES_1.jpg</t>
        </is>
      </c>
      <c r="J643" t="inlineStr">
        <is>
          <t>LAUNDRY_BY_DESIGN_121004653_DES_2.jpg</t>
        </is>
      </c>
      <c r="K643" t="inlineStr">
        <is>
          <t>LAUNDRY_BY_DESIGN_121004653_DES_3.jpg</t>
        </is>
      </c>
      <c r="L643">
        <f>IMAGE("file:///E:/Estudios%20y%20certificaciones/ESTUDIOS%20DE%20PROGRAMMING/PROGRAMMING/PERSONAL/PYTHON/Image_Generator_API/imagenes/LAUNDRY_BY_DESIGN_121004653_DES_1.jpg")</f>
        <v/>
      </c>
      <c r="M643">
        <f>IMAGE("file:///E:/Estudios%20y%20certificaciones/ESTUDIOS%20DE%20PROGRAMMING/PROGRAMMING/PERSONAL/PYTHON/Image_Generator_API/imagenes/LAUNDRY_BY_DESIGN_121004653_DES_2.jpg")</f>
        <v/>
      </c>
      <c r="N643">
        <f>IMAGE("file:///E:/Estudios%20y%20certificaciones/ESTUDIOS%20DE%20PROGRAMMING/PROGRAMMING/PERSONAL/PYTHON/Image_Generator_API/imagenes/LAUNDRY_BY_DESIGN_121004653_DES_3.jpg")</f>
        <v/>
      </c>
      <c r="O643">
        <f>HYPERLINK("imagenes/LAUNDRY_BY_DESIGN_121004653_DES_1.jpg","Ver imagen")</f>
        <v/>
      </c>
      <c r="P643">
        <f>HYPERLINK("imagenes/LAUNDRY_BY_DESIGN_121004653_DES_2.jpg","Ver imagen")</f>
        <v/>
      </c>
      <c r="Q643">
        <f>HYPERLINK("imagenes/LAUNDRY_BY_DESIGN_121004653_DES_3.jpg","Ver imagen")</f>
        <v/>
      </c>
    </row>
    <row r="644">
      <c r="A644" t="inlineStr">
        <is>
          <t>LAUNDRY BY DESIGN</t>
        </is>
      </c>
      <c r="B644" t="inlineStr">
        <is>
          <t>121004998</t>
        </is>
      </c>
      <c r="C644" t="inlineStr">
        <is>
          <t>3/4" LENGTH NON WOOL COAT_HERRINGBONE(DUP13458)</t>
        </is>
      </c>
      <c r="D644" t="inlineStr">
        <is>
          <t>B2W</t>
        </is>
      </c>
      <c r="E644" t="inlineStr">
        <is>
          <t>(en blanco)</t>
        </is>
      </c>
      <c r="F644" t="inlineStr">
        <is>
          <t>(en blanco)</t>
        </is>
      </c>
      <c r="G644" t="inlineStr">
        <is>
          <t>S</t>
        </is>
      </c>
      <c r="H644" t="n">
        <v>1</v>
      </c>
      <c r="I644" t="inlineStr">
        <is>
          <t>LAUNDRY_BY_DESIGN_121004998_B2W_1.jpg</t>
        </is>
      </c>
      <c r="J644" t="inlineStr">
        <is>
          <t>LAUNDRY_BY_DESIGN_121004998_B2W_2.jpg</t>
        </is>
      </c>
      <c r="K644" t="inlineStr">
        <is>
          <t>LAUNDRY_BY_DESIGN_121004998_B2W_3.jpg</t>
        </is>
      </c>
      <c r="L644">
        <f>IMAGE("file:///E:/Estudios%20y%20certificaciones/ESTUDIOS%20DE%20PROGRAMMING/PROGRAMMING/PERSONAL/PYTHON/Image_Generator_API/imagenes/LAUNDRY_BY_DESIGN_121004998_B2W_1.jpg")</f>
        <v/>
      </c>
      <c r="M644">
        <f>IMAGE("file:///E:/Estudios%20y%20certificaciones/ESTUDIOS%20DE%20PROGRAMMING/PROGRAMMING/PERSONAL/PYTHON/Image_Generator_API/imagenes/LAUNDRY_BY_DESIGN_121004998_B2W_2.jpg")</f>
        <v/>
      </c>
      <c r="N644">
        <f>IMAGE("file:///E:/Estudios%20y%20certificaciones/ESTUDIOS%20DE%20PROGRAMMING/PROGRAMMING/PERSONAL/PYTHON/Image_Generator_API/imagenes/LAUNDRY_BY_DESIGN_121004998_B2W_3.jpg")</f>
        <v/>
      </c>
      <c r="O644">
        <f>HYPERLINK("imagenes/LAUNDRY_BY_DESIGN_121004998_B2W_1.jpg","Ver imagen")</f>
        <v/>
      </c>
      <c r="P644">
        <f>HYPERLINK("imagenes/LAUNDRY_BY_DESIGN_121004998_B2W_2.jpg","Ver imagen")</f>
        <v/>
      </c>
      <c r="Q644">
        <f>HYPERLINK("imagenes/LAUNDRY_BY_DESIGN_121004998_B2W_3.jpg","Ver imagen")</f>
        <v/>
      </c>
    </row>
    <row r="645">
      <c r="A645" t="inlineStr">
        <is>
          <t>LAUNDRY BY DESIGN</t>
        </is>
      </c>
      <c r="B645" t="inlineStr">
        <is>
          <t>121004998</t>
        </is>
      </c>
      <c r="C645" t="inlineStr">
        <is>
          <t>3/4" LENGTH NON WOOL COAT_HERRINGBONE(DUP13458)</t>
        </is>
      </c>
      <c r="D645" t="inlineStr">
        <is>
          <t>B2W</t>
        </is>
      </c>
      <c r="E645" t="inlineStr">
        <is>
          <t>(en blanco)</t>
        </is>
      </c>
      <c r="F645" t="inlineStr">
        <is>
          <t>(en blanco)</t>
        </is>
      </c>
      <c r="G645" t="inlineStr">
        <is>
          <t>M</t>
        </is>
      </c>
      <c r="H645" t="n">
        <v>5</v>
      </c>
      <c r="I645" t="inlineStr">
        <is>
          <t>LAUNDRY_BY_DESIGN_121004998_B2W_1.jpg</t>
        </is>
      </c>
      <c r="J645" t="inlineStr">
        <is>
          <t>LAUNDRY_BY_DESIGN_121004998_B2W_2.jpg</t>
        </is>
      </c>
      <c r="K645" t="inlineStr">
        <is>
          <t>LAUNDRY_BY_DESIGN_121004998_B2W_3.jpg</t>
        </is>
      </c>
      <c r="L645">
        <f>IMAGE("file:///E:/Estudios%20y%20certificaciones/ESTUDIOS%20DE%20PROGRAMMING/PROGRAMMING/PERSONAL/PYTHON/Image_Generator_API/imagenes/LAUNDRY_BY_DESIGN_121004998_B2W_1.jpg")</f>
        <v/>
      </c>
      <c r="M645">
        <f>IMAGE("file:///E:/Estudios%20y%20certificaciones/ESTUDIOS%20DE%20PROGRAMMING/PROGRAMMING/PERSONAL/PYTHON/Image_Generator_API/imagenes/LAUNDRY_BY_DESIGN_121004998_B2W_2.jpg")</f>
        <v/>
      </c>
      <c r="N645">
        <f>IMAGE("file:///E:/Estudios%20y%20certificaciones/ESTUDIOS%20DE%20PROGRAMMING/PROGRAMMING/PERSONAL/PYTHON/Image_Generator_API/imagenes/LAUNDRY_BY_DESIGN_121004998_B2W_3.jpg")</f>
        <v/>
      </c>
      <c r="O645">
        <f>HYPERLINK("imagenes/LAUNDRY_BY_DESIGN_121004998_B2W_1.jpg","Ver imagen")</f>
        <v/>
      </c>
      <c r="P645">
        <f>HYPERLINK("imagenes/LAUNDRY_BY_DESIGN_121004998_B2W_2.jpg","Ver imagen")</f>
        <v/>
      </c>
      <c r="Q645">
        <f>HYPERLINK("imagenes/LAUNDRY_BY_DESIGN_121004998_B2W_3.jpg","Ver imagen")</f>
        <v/>
      </c>
    </row>
    <row r="646">
      <c r="A646" t="inlineStr">
        <is>
          <t>LAUNDRY BY DESIGN</t>
        </is>
      </c>
      <c r="B646" t="inlineStr">
        <is>
          <t>121004998</t>
        </is>
      </c>
      <c r="C646" t="inlineStr">
        <is>
          <t>3/4" LENGTH NON WOOL COAT_HERRINGBONE(DUP13458)</t>
        </is>
      </c>
      <c r="D646" t="inlineStr">
        <is>
          <t>B2W</t>
        </is>
      </c>
      <c r="E646" t="inlineStr">
        <is>
          <t>(en blanco)</t>
        </is>
      </c>
      <c r="F646" t="inlineStr">
        <is>
          <t>(en blanco)</t>
        </is>
      </c>
      <c r="G646" t="inlineStr">
        <is>
          <t>L</t>
        </is>
      </c>
      <c r="H646" t="n">
        <v>0</v>
      </c>
      <c r="I646" t="inlineStr">
        <is>
          <t>LAUNDRY_BY_DESIGN_121004998_B2W_1.jpg</t>
        </is>
      </c>
      <c r="J646" t="inlineStr">
        <is>
          <t>LAUNDRY_BY_DESIGN_121004998_B2W_2.jpg</t>
        </is>
      </c>
      <c r="K646" t="inlineStr">
        <is>
          <t>LAUNDRY_BY_DESIGN_121004998_B2W_3.jpg</t>
        </is>
      </c>
      <c r="L646">
        <f>IMAGE("file:///E:/Estudios%20y%20certificaciones/ESTUDIOS%20DE%20PROGRAMMING/PROGRAMMING/PERSONAL/PYTHON/Image_Generator_API/imagenes/LAUNDRY_BY_DESIGN_121004998_B2W_1.jpg")</f>
        <v/>
      </c>
      <c r="M646">
        <f>IMAGE("file:///E:/Estudios%20y%20certificaciones/ESTUDIOS%20DE%20PROGRAMMING/PROGRAMMING/PERSONAL/PYTHON/Image_Generator_API/imagenes/LAUNDRY_BY_DESIGN_121004998_B2W_2.jpg")</f>
        <v/>
      </c>
      <c r="N646">
        <f>IMAGE("file:///E:/Estudios%20y%20certificaciones/ESTUDIOS%20DE%20PROGRAMMING/PROGRAMMING/PERSONAL/PYTHON/Image_Generator_API/imagenes/LAUNDRY_BY_DESIGN_121004998_B2W_3.jpg")</f>
        <v/>
      </c>
      <c r="O646">
        <f>HYPERLINK("imagenes/LAUNDRY_BY_DESIGN_121004998_B2W_1.jpg","Ver imagen")</f>
        <v/>
      </c>
      <c r="P646">
        <f>HYPERLINK("imagenes/LAUNDRY_BY_DESIGN_121004998_B2W_2.jpg","Ver imagen")</f>
        <v/>
      </c>
      <c r="Q646">
        <f>HYPERLINK("imagenes/LAUNDRY_BY_DESIGN_121004998_B2W_3.jpg","Ver imagen")</f>
        <v/>
      </c>
    </row>
    <row r="647">
      <c r="A647" t="inlineStr">
        <is>
          <t>LAUNDRY BY DESIGN</t>
        </is>
      </c>
      <c r="B647" t="inlineStr">
        <is>
          <t>121004998</t>
        </is>
      </c>
      <c r="C647" t="inlineStr">
        <is>
          <t>3/4" LENGTH NON WOOL COAT_HERRINGBONE(DUP13458)</t>
        </is>
      </c>
      <c r="D647" t="inlineStr">
        <is>
          <t>B2W</t>
        </is>
      </c>
      <c r="E647" t="inlineStr">
        <is>
          <t>(en blanco)</t>
        </is>
      </c>
      <c r="F647" t="inlineStr">
        <is>
          <t>(en blanco)</t>
        </is>
      </c>
      <c r="G647" t="inlineStr">
        <is>
          <t>XL</t>
        </is>
      </c>
      <c r="H647" t="n">
        <v>2</v>
      </c>
      <c r="I647" t="inlineStr">
        <is>
          <t>LAUNDRY_BY_DESIGN_121004998_B2W_1.jpg</t>
        </is>
      </c>
      <c r="J647" t="inlineStr">
        <is>
          <t>LAUNDRY_BY_DESIGN_121004998_B2W_2.jpg</t>
        </is>
      </c>
      <c r="K647" t="inlineStr">
        <is>
          <t>LAUNDRY_BY_DESIGN_121004998_B2W_3.jpg</t>
        </is>
      </c>
      <c r="L647">
        <f>IMAGE("file:///E:/Estudios%20y%20certificaciones/ESTUDIOS%20DE%20PROGRAMMING/PROGRAMMING/PERSONAL/PYTHON/Image_Generator_API/imagenes/LAUNDRY_BY_DESIGN_121004998_B2W_1.jpg")</f>
        <v/>
      </c>
      <c r="M647">
        <f>IMAGE("file:///E:/Estudios%20y%20certificaciones/ESTUDIOS%20DE%20PROGRAMMING/PROGRAMMING/PERSONAL/PYTHON/Image_Generator_API/imagenes/LAUNDRY_BY_DESIGN_121004998_B2W_2.jpg")</f>
        <v/>
      </c>
      <c r="N647">
        <f>IMAGE("file:///E:/Estudios%20y%20certificaciones/ESTUDIOS%20DE%20PROGRAMMING/PROGRAMMING/PERSONAL/PYTHON/Image_Generator_API/imagenes/LAUNDRY_BY_DESIGN_121004998_B2W_3.jpg")</f>
        <v/>
      </c>
      <c r="O647">
        <f>HYPERLINK("imagenes/LAUNDRY_BY_DESIGN_121004998_B2W_1.jpg","Ver imagen")</f>
        <v/>
      </c>
      <c r="P647">
        <f>HYPERLINK("imagenes/LAUNDRY_BY_DESIGN_121004998_B2W_2.jpg","Ver imagen")</f>
        <v/>
      </c>
      <c r="Q647">
        <f>HYPERLINK("imagenes/LAUNDRY_BY_DESIGN_121004998_B2W_3.jpg","Ver imagen")</f>
        <v/>
      </c>
    </row>
    <row r="648">
      <c r="A648" t="inlineStr">
        <is>
          <t>LAUNDRY BY DESIGN</t>
        </is>
      </c>
      <c r="B648" t="inlineStr">
        <is>
          <t>121004998</t>
        </is>
      </c>
      <c r="C648" t="inlineStr">
        <is>
          <t>3/4" LENGTH NON WOOL COAT_HERRINGBONE(DUP13458)</t>
        </is>
      </c>
      <c r="D648" t="inlineStr">
        <is>
          <t>BEG</t>
        </is>
      </c>
      <c r="E648" t="inlineStr">
        <is>
          <t>(en blanco)</t>
        </is>
      </c>
      <c r="F648" t="inlineStr">
        <is>
          <t>(en blanco)</t>
        </is>
      </c>
      <c r="G648" t="inlineStr">
        <is>
          <t>S</t>
        </is>
      </c>
      <c r="H648" t="n">
        <v>0</v>
      </c>
      <c r="I648" t="inlineStr">
        <is>
          <t>LAUNDRY_BY_DESIGN_121004998_BEG_1.jpg</t>
        </is>
      </c>
      <c r="J648" t="inlineStr">
        <is>
          <t>LAUNDRY_BY_DESIGN_121004998_BEG_2.jpg</t>
        </is>
      </c>
      <c r="K648" t="inlineStr">
        <is>
          <t>LAUNDRY_BY_DESIGN_121004998_BEG_3.jpg</t>
        </is>
      </c>
      <c r="L648">
        <f>IMAGE("file:///E:/Estudios%20y%20certificaciones/ESTUDIOS%20DE%20PROGRAMMING/PROGRAMMING/PERSONAL/PYTHON/Image_Generator_API/imagenes/LAUNDRY_BY_DESIGN_121004998_BEG_1.jpg")</f>
        <v/>
      </c>
      <c r="M648">
        <f>IMAGE("file:///E:/Estudios%20y%20certificaciones/ESTUDIOS%20DE%20PROGRAMMING/PROGRAMMING/PERSONAL/PYTHON/Image_Generator_API/imagenes/LAUNDRY_BY_DESIGN_121004998_BEG_2.jpg")</f>
        <v/>
      </c>
      <c r="N648">
        <f>IMAGE("file:///E:/Estudios%20y%20certificaciones/ESTUDIOS%20DE%20PROGRAMMING/PROGRAMMING/PERSONAL/PYTHON/Image_Generator_API/imagenes/LAUNDRY_BY_DESIGN_121004998_BEG_3.jpg")</f>
        <v/>
      </c>
      <c r="O648">
        <f>HYPERLINK("imagenes/LAUNDRY_BY_DESIGN_121004998_BEG_1.jpg","Ver imagen")</f>
        <v/>
      </c>
      <c r="P648">
        <f>HYPERLINK("imagenes/LAUNDRY_BY_DESIGN_121004998_BEG_2.jpg","Ver imagen")</f>
        <v/>
      </c>
      <c r="Q648">
        <f>HYPERLINK("imagenes/LAUNDRY_BY_DESIGN_121004998_BEG_3.jpg","Ver imagen")</f>
        <v/>
      </c>
    </row>
    <row r="649">
      <c r="A649" t="inlineStr">
        <is>
          <t>LAUNDRY BY DESIGN</t>
        </is>
      </c>
      <c r="B649" t="inlineStr">
        <is>
          <t>121004998</t>
        </is>
      </c>
      <c r="C649" t="inlineStr">
        <is>
          <t>3/4" LENGTH NON WOOL COAT_HERRINGBONE(DUP13458)</t>
        </is>
      </c>
      <c r="D649" t="inlineStr">
        <is>
          <t>BEG</t>
        </is>
      </c>
      <c r="E649" t="inlineStr">
        <is>
          <t>(en blanco)</t>
        </is>
      </c>
      <c r="F649" t="inlineStr">
        <is>
          <t>(en blanco)</t>
        </is>
      </c>
      <c r="G649" t="inlineStr">
        <is>
          <t>XL</t>
        </is>
      </c>
      <c r="H649" t="n">
        <v>6</v>
      </c>
      <c r="I649" t="inlineStr">
        <is>
          <t>LAUNDRY_BY_DESIGN_121004998_BEG_1.jpg</t>
        </is>
      </c>
      <c r="J649" t="inlineStr">
        <is>
          <t>LAUNDRY_BY_DESIGN_121004998_BEG_2.jpg</t>
        </is>
      </c>
      <c r="K649" t="inlineStr">
        <is>
          <t>LAUNDRY_BY_DESIGN_121004998_BEG_3.jpg</t>
        </is>
      </c>
      <c r="L649">
        <f>IMAGE("file:///E:/Estudios%20y%20certificaciones/ESTUDIOS%20DE%20PROGRAMMING/PROGRAMMING/PERSONAL/PYTHON/Image_Generator_API/imagenes/LAUNDRY_BY_DESIGN_121004998_BEG_1.jpg")</f>
        <v/>
      </c>
      <c r="M649">
        <f>IMAGE("file:///E:/Estudios%20y%20certificaciones/ESTUDIOS%20DE%20PROGRAMMING/PROGRAMMING/PERSONAL/PYTHON/Image_Generator_API/imagenes/LAUNDRY_BY_DESIGN_121004998_BEG_2.jpg")</f>
        <v/>
      </c>
      <c r="N649">
        <f>IMAGE("file:///E:/Estudios%20y%20certificaciones/ESTUDIOS%20DE%20PROGRAMMING/PROGRAMMING/PERSONAL/PYTHON/Image_Generator_API/imagenes/LAUNDRY_BY_DESIGN_121004998_BEG_3.jpg")</f>
        <v/>
      </c>
      <c r="O649">
        <f>HYPERLINK("imagenes/LAUNDRY_BY_DESIGN_121004998_BEG_1.jpg","Ver imagen")</f>
        <v/>
      </c>
      <c r="P649">
        <f>HYPERLINK("imagenes/LAUNDRY_BY_DESIGN_121004998_BEG_2.jpg","Ver imagen")</f>
        <v/>
      </c>
      <c r="Q649">
        <f>HYPERLINK("imagenes/LAUNDRY_BY_DESIGN_121004998_BEG_3.jpg","Ver imagen")</f>
        <v/>
      </c>
    </row>
    <row r="650">
      <c r="A650" t="inlineStr">
        <is>
          <t>LAUNDRY BY DESIGN</t>
        </is>
      </c>
      <c r="B650" t="inlineStr">
        <is>
          <t>121004998</t>
        </is>
      </c>
      <c r="C650" t="inlineStr">
        <is>
          <t>3/4" LENGTH NON WOOL COAT_HERRINGBONE(DUP13458)</t>
        </is>
      </c>
      <c r="D650" t="inlineStr">
        <is>
          <t>BEG</t>
        </is>
      </c>
      <c r="E650" t="inlineStr">
        <is>
          <t>(en blanco)</t>
        </is>
      </c>
      <c r="F650" t="inlineStr">
        <is>
          <t>(en blanco)</t>
        </is>
      </c>
      <c r="G650" t="inlineStr">
        <is>
          <t>XXL</t>
        </is>
      </c>
      <c r="H650" t="n">
        <v>1</v>
      </c>
      <c r="I650" t="inlineStr">
        <is>
          <t>LAUNDRY_BY_DESIGN_121004998_BEG_1.jpg</t>
        </is>
      </c>
      <c r="J650" t="inlineStr">
        <is>
          <t>LAUNDRY_BY_DESIGN_121004998_BEG_2.jpg</t>
        </is>
      </c>
      <c r="K650" t="inlineStr">
        <is>
          <t>LAUNDRY_BY_DESIGN_121004998_BEG_3.jpg</t>
        </is>
      </c>
      <c r="L650">
        <f>IMAGE("file:///E:/Estudios%20y%20certificaciones/ESTUDIOS%20DE%20PROGRAMMING/PROGRAMMING/PERSONAL/PYTHON/Image_Generator_API/imagenes/LAUNDRY_BY_DESIGN_121004998_BEG_1.jpg")</f>
        <v/>
      </c>
      <c r="M650">
        <f>IMAGE("file:///E:/Estudios%20y%20certificaciones/ESTUDIOS%20DE%20PROGRAMMING/PROGRAMMING/PERSONAL/PYTHON/Image_Generator_API/imagenes/LAUNDRY_BY_DESIGN_121004998_BEG_2.jpg")</f>
        <v/>
      </c>
      <c r="N650">
        <f>IMAGE("file:///E:/Estudios%20y%20certificaciones/ESTUDIOS%20DE%20PROGRAMMING/PROGRAMMING/PERSONAL/PYTHON/Image_Generator_API/imagenes/LAUNDRY_BY_DESIGN_121004998_BEG_3.jpg")</f>
        <v/>
      </c>
      <c r="O650">
        <f>HYPERLINK("imagenes/LAUNDRY_BY_DESIGN_121004998_BEG_1.jpg","Ver imagen")</f>
        <v/>
      </c>
      <c r="P650">
        <f>HYPERLINK("imagenes/LAUNDRY_BY_DESIGN_121004998_BEG_2.jpg","Ver imagen")</f>
        <v/>
      </c>
      <c r="Q650">
        <f>HYPERLINK("imagenes/LAUNDRY_BY_DESIGN_121004998_BEG_3.jpg","Ver imagen")</f>
        <v/>
      </c>
    </row>
    <row r="651">
      <c r="A651" t="inlineStr">
        <is>
          <t>LAUNDRY BY DESIGN</t>
        </is>
      </c>
      <c r="B651" t="inlineStr">
        <is>
          <t>121004999</t>
        </is>
      </c>
      <c r="C651" t="inlineStr">
        <is>
          <t>21" SPECIAL STI TCHES NON WOOL JACKET W EPAULETTE(DUP13422A)</t>
        </is>
      </c>
      <c r="D651" t="inlineStr">
        <is>
          <t>HGR</t>
        </is>
      </c>
      <c r="E651" t="inlineStr">
        <is>
          <t>08A06</t>
        </is>
      </c>
      <c r="F651" t="inlineStr">
        <is>
          <t>(en blanco)</t>
        </is>
      </c>
      <c r="G651" t="inlineStr">
        <is>
          <t>PPK</t>
        </is>
      </c>
      <c r="H651" t="n">
        <v>256</v>
      </c>
      <c r="I651" t="inlineStr">
        <is>
          <t>LAUNDRY_BY_DESIGN_121004999_HGR_1.jpg</t>
        </is>
      </c>
      <c r="J651" t="inlineStr">
        <is>
          <t>LAUNDRY_BY_DESIGN_121004999_HGR_2.jpg</t>
        </is>
      </c>
      <c r="K651" t="inlineStr">
        <is>
          <t>LAUNDRY_BY_DESIGN_121004999_HGR_3.jpg</t>
        </is>
      </c>
      <c r="L651">
        <f>IMAGE("file:///E:/Estudios%20y%20certificaciones/ESTUDIOS%20DE%20PROGRAMMING/PROGRAMMING/PERSONAL/PYTHON/Image_Generator_API/imagenes/LAUNDRY_BY_DESIGN_121004999_HGR_1.jpg")</f>
        <v/>
      </c>
      <c r="M651">
        <f>IMAGE("file:///E:/Estudios%20y%20certificaciones/ESTUDIOS%20DE%20PROGRAMMING/PROGRAMMING/PERSONAL/PYTHON/Image_Generator_API/imagenes/LAUNDRY_BY_DESIGN_121004999_HGR_2.jpg")</f>
        <v/>
      </c>
      <c r="N651">
        <f>IMAGE("file:///E:/Estudios%20y%20certificaciones/ESTUDIOS%20DE%20PROGRAMMING/PROGRAMMING/PERSONAL/PYTHON/Image_Generator_API/imagenes/LAUNDRY_BY_DESIGN_121004999_HGR_3.jpg")</f>
        <v/>
      </c>
      <c r="O651">
        <f>HYPERLINK("imagenes/LAUNDRY_BY_DESIGN_121004999_HGR_1.jpg","Ver imagen")</f>
        <v/>
      </c>
      <c r="P651">
        <f>HYPERLINK("imagenes/LAUNDRY_BY_DESIGN_121004999_HGR_2.jpg","Ver imagen")</f>
        <v/>
      </c>
      <c r="Q651">
        <f>HYPERLINK("imagenes/LAUNDRY_BY_DESIGN_121004999_HGR_3.jpg","Ver imagen")</f>
        <v/>
      </c>
    </row>
    <row r="652">
      <c r="A652" t="inlineStr">
        <is>
          <t>LAUNDRY BY DESIGN</t>
        </is>
      </c>
      <c r="B652" t="inlineStr">
        <is>
          <t>121004999</t>
        </is>
      </c>
      <c r="C652" t="inlineStr">
        <is>
          <t>21" SPECIAL STI TCHES NON WOOL JACKET W EPAULETTE(DUP13422A)</t>
        </is>
      </c>
      <c r="D652" t="inlineStr">
        <is>
          <t>HGR</t>
        </is>
      </c>
      <c r="E652" t="inlineStr">
        <is>
          <t>(en blanco)</t>
        </is>
      </c>
      <c r="F652" t="inlineStr">
        <is>
          <t>(en blanco)</t>
        </is>
      </c>
      <c r="G652" t="inlineStr">
        <is>
          <t>S</t>
        </is>
      </c>
      <c r="H652" t="n">
        <v>15</v>
      </c>
      <c r="I652" t="inlineStr">
        <is>
          <t>LAUNDRY_BY_DESIGN_121004999_HGR_1.jpg</t>
        </is>
      </c>
      <c r="J652" t="inlineStr">
        <is>
          <t>LAUNDRY_BY_DESIGN_121004999_HGR_2.jpg</t>
        </is>
      </c>
      <c r="K652" t="inlineStr">
        <is>
          <t>LAUNDRY_BY_DESIGN_121004999_HGR_3.jpg</t>
        </is>
      </c>
      <c r="L652">
        <f>IMAGE("file:///E:/Estudios%20y%20certificaciones/ESTUDIOS%20DE%20PROGRAMMING/PROGRAMMING/PERSONAL/PYTHON/Image_Generator_API/imagenes/LAUNDRY_BY_DESIGN_121004999_HGR_1.jpg")</f>
        <v/>
      </c>
      <c r="M652">
        <f>IMAGE("file:///E:/Estudios%20y%20certificaciones/ESTUDIOS%20DE%20PROGRAMMING/PROGRAMMING/PERSONAL/PYTHON/Image_Generator_API/imagenes/LAUNDRY_BY_DESIGN_121004999_HGR_2.jpg")</f>
        <v/>
      </c>
      <c r="N652">
        <f>IMAGE("file:///E:/Estudios%20y%20certificaciones/ESTUDIOS%20DE%20PROGRAMMING/PROGRAMMING/PERSONAL/PYTHON/Image_Generator_API/imagenes/LAUNDRY_BY_DESIGN_121004999_HGR_3.jpg")</f>
        <v/>
      </c>
      <c r="O652">
        <f>HYPERLINK("imagenes/LAUNDRY_BY_DESIGN_121004999_HGR_1.jpg","Ver imagen")</f>
        <v/>
      </c>
      <c r="P652">
        <f>HYPERLINK("imagenes/LAUNDRY_BY_DESIGN_121004999_HGR_2.jpg","Ver imagen")</f>
        <v/>
      </c>
      <c r="Q652">
        <f>HYPERLINK("imagenes/LAUNDRY_BY_DESIGN_121004999_HGR_3.jpg","Ver imagen")</f>
        <v/>
      </c>
    </row>
    <row r="653">
      <c r="A653" t="inlineStr">
        <is>
          <t>LAUNDRY BY DESIGN</t>
        </is>
      </c>
      <c r="B653" t="inlineStr">
        <is>
          <t>121004999</t>
        </is>
      </c>
      <c r="C653" t="inlineStr">
        <is>
          <t>21" SPECIAL STI TCHES NON WOOL JACKET W EPAULETTE(DUP13422A)</t>
        </is>
      </c>
      <c r="D653" t="inlineStr">
        <is>
          <t>HGR</t>
        </is>
      </c>
      <c r="E653" t="inlineStr">
        <is>
          <t>(en blanco)</t>
        </is>
      </c>
      <c r="F653" t="inlineStr">
        <is>
          <t>(en blanco)</t>
        </is>
      </c>
      <c r="G653" t="inlineStr">
        <is>
          <t>M</t>
        </is>
      </c>
      <c r="H653" t="n">
        <v>72</v>
      </c>
      <c r="I653" t="inlineStr">
        <is>
          <t>LAUNDRY_BY_DESIGN_121004999_HGR_1.jpg</t>
        </is>
      </c>
      <c r="J653" t="inlineStr">
        <is>
          <t>LAUNDRY_BY_DESIGN_121004999_HGR_2.jpg</t>
        </is>
      </c>
      <c r="K653" t="inlineStr">
        <is>
          <t>LAUNDRY_BY_DESIGN_121004999_HGR_3.jpg</t>
        </is>
      </c>
      <c r="L653">
        <f>IMAGE("file:///E:/Estudios%20y%20certificaciones/ESTUDIOS%20DE%20PROGRAMMING/PROGRAMMING/PERSONAL/PYTHON/Image_Generator_API/imagenes/LAUNDRY_BY_DESIGN_121004999_HGR_1.jpg")</f>
        <v/>
      </c>
      <c r="M653">
        <f>IMAGE("file:///E:/Estudios%20y%20certificaciones/ESTUDIOS%20DE%20PROGRAMMING/PROGRAMMING/PERSONAL/PYTHON/Image_Generator_API/imagenes/LAUNDRY_BY_DESIGN_121004999_HGR_2.jpg")</f>
        <v/>
      </c>
      <c r="N653">
        <f>IMAGE("file:///E:/Estudios%20y%20certificaciones/ESTUDIOS%20DE%20PROGRAMMING/PROGRAMMING/PERSONAL/PYTHON/Image_Generator_API/imagenes/LAUNDRY_BY_DESIGN_121004999_HGR_3.jpg")</f>
        <v/>
      </c>
      <c r="O653">
        <f>HYPERLINK("imagenes/LAUNDRY_BY_DESIGN_121004999_HGR_1.jpg","Ver imagen")</f>
        <v/>
      </c>
      <c r="P653">
        <f>HYPERLINK("imagenes/LAUNDRY_BY_DESIGN_121004999_HGR_2.jpg","Ver imagen")</f>
        <v/>
      </c>
      <c r="Q653">
        <f>HYPERLINK("imagenes/LAUNDRY_BY_DESIGN_121004999_HGR_3.jpg","Ver imagen")</f>
        <v/>
      </c>
    </row>
    <row r="654">
      <c r="A654" t="inlineStr">
        <is>
          <t>LAUNDRY BY DESIGN</t>
        </is>
      </c>
      <c r="B654" t="inlineStr">
        <is>
          <t>121004999</t>
        </is>
      </c>
      <c r="C654" t="inlineStr">
        <is>
          <t>21" SPECIAL STI TCHES NON WOOL JACKET W EPAULETTE(DUP13422A)</t>
        </is>
      </c>
      <c r="D654" t="inlineStr">
        <is>
          <t>HGR</t>
        </is>
      </c>
      <c r="E654" t="inlineStr">
        <is>
          <t>(en blanco)</t>
        </is>
      </c>
      <c r="F654" t="inlineStr">
        <is>
          <t>(en blanco)</t>
        </is>
      </c>
      <c r="G654" t="inlineStr">
        <is>
          <t>L</t>
        </is>
      </c>
      <c r="H654" t="n">
        <v>73</v>
      </c>
      <c r="I654" t="inlineStr">
        <is>
          <t>LAUNDRY_BY_DESIGN_121004999_HGR_1.jpg</t>
        </is>
      </c>
      <c r="J654" t="inlineStr">
        <is>
          <t>LAUNDRY_BY_DESIGN_121004999_HGR_2.jpg</t>
        </is>
      </c>
      <c r="K654" t="inlineStr">
        <is>
          <t>LAUNDRY_BY_DESIGN_121004999_HGR_3.jpg</t>
        </is>
      </c>
      <c r="L654">
        <f>IMAGE("file:///E:/Estudios%20y%20certificaciones/ESTUDIOS%20DE%20PROGRAMMING/PROGRAMMING/PERSONAL/PYTHON/Image_Generator_API/imagenes/LAUNDRY_BY_DESIGN_121004999_HGR_1.jpg")</f>
        <v/>
      </c>
      <c r="M654">
        <f>IMAGE("file:///E:/Estudios%20y%20certificaciones/ESTUDIOS%20DE%20PROGRAMMING/PROGRAMMING/PERSONAL/PYTHON/Image_Generator_API/imagenes/LAUNDRY_BY_DESIGN_121004999_HGR_2.jpg")</f>
        <v/>
      </c>
      <c r="N654">
        <f>IMAGE("file:///E:/Estudios%20y%20certificaciones/ESTUDIOS%20DE%20PROGRAMMING/PROGRAMMING/PERSONAL/PYTHON/Image_Generator_API/imagenes/LAUNDRY_BY_DESIGN_121004999_HGR_3.jpg")</f>
        <v/>
      </c>
      <c r="O654">
        <f>HYPERLINK("imagenes/LAUNDRY_BY_DESIGN_121004999_HGR_1.jpg","Ver imagen")</f>
        <v/>
      </c>
      <c r="P654">
        <f>HYPERLINK("imagenes/LAUNDRY_BY_DESIGN_121004999_HGR_2.jpg","Ver imagen")</f>
        <v/>
      </c>
      <c r="Q654">
        <f>HYPERLINK("imagenes/LAUNDRY_BY_DESIGN_121004999_HGR_3.jpg","Ver imagen")</f>
        <v/>
      </c>
    </row>
    <row r="655">
      <c r="A655" t="inlineStr">
        <is>
          <t>LAUNDRY BY DESIGN</t>
        </is>
      </c>
      <c r="B655" t="inlineStr">
        <is>
          <t>121004999</t>
        </is>
      </c>
      <c r="C655" t="inlineStr">
        <is>
          <t>21" SPECIAL STI TCHES NON WOOL JACKET W EPAULETTE(DUP13422A)</t>
        </is>
      </c>
      <c r="D655" t="inlineStr">
        <is>
          <t>HGR</t>
        </is>
      </c>
      <c r="E655" t="inlineStr">
        <is>
          <t>(en blanco)</t>
        </is>
      </c>
      <c r="F655" t="inlineStr">
        <is>
          <t>(en blanco)</t>
        </is>
      </c>
      <c r="G655" t="inlineStr">
        <is>
          <t>XL</t>
        </is>
      </c>
      <c r="H655" t="n">
        <v>89</v>
      </c>
      <c r="I655" t="inlineStr">
        <is>
          <t>LAUNDRY_BY_DESIGN_121004999_HGR_1.jpg</t>
        </is>
      </c>
      <c r="J655" t="inlineStr">
        <is>
          <t>LAUNDRY_BY_DESIGN_121004999_HGR_2.jpg</t>
        </is>
      </c>
      <c r="K655" t="inlineStr">
        <is>
          <t>LAUNDRY_BY_DESIGN_121004999_HGR_3.jpg</t>
        </is>
      </c>
      <c r="L655">
        <f>IMAGE("file:///E:/Estudios%20y%20certificaciones/ESTUDIOS%20DE%20PROGRAMMING/PROGRAMMING/PERSONAL/PYTHON/Image_Generator_API/imagenes/LAUNDRY_BY_DESIGN_121004999_HGR_1.jpg")</f>
        <v/>
      </c>
      <c r="M655">
        <f>IMAGE("file:///E:/Estudios%20y%20certificaciones/ESTUDIOS%20DE%20PROGRAMMING/PROGRAMMING/PERSONAL/PYTHON/Image_Generator_API/imagenes/LAUNDRY_BY_DESIGN_121004999_HGR_2.jpg")</f>
        <v/>
      </c>
      <c r="N655">
        <f>IMAGE("file:///E:/Estudios%20y%20certificaciones/ESTUDIOS%20DE%20PROGRAMMING/PROGRAMMING/PERSONAL/PYTHON/Image_Generator_API/imagenes/LAUNDRY_BY_DESIGN_121004999_HGR_3.jpg")</f>
        <v/>
      </c>
      <c r="O655">
        <f>HYPERLINK("imagenes/LAUNDRY_BY_DESIGN_121004999_HGR_1.jpg","Ver imagen")</f>
        <v/>
      </c>
      <c r="P655">
        <f>HYPERLINK("imagenes/LAUNDRY_BY_DESIGN_121004999_HGR_2.jpg","Ver imagen")</f>
        <v/>
      </c>
      <c r="Q655">
        <f>HYPERLINK("imagenes/LAUNDRY_BY_DESIGN_121004999_HGR_3.jpg","Ver imagen")</f>
        <v/>
      </c>
    </row>
    <row r="656">
      <c r="A656" t="inlineStr">
        <is>
          <t>LAUNDRY BY DESIGN</t>
        </is>
      </c>
      <c r="B656" t="inlineStr">
        <is>
          <t>121004999</t>
        </is>
      </c>
      <c r="C656" t="inlineStr">
        <is>
          <t>21" SPECIAL STI TCHES NON WOOL JACKET W EPAULETTE(DUP13422A)</t>
        </is>
      </c>
      <c r="D656" t="inlineStr">
        <is>
          <t>HGR</t>
        </is>
      </c>
      <c r="E656" t="inlineStr">
        <is>
          <t>(en blanco)</t>
        </is>
      </c>
      <c r="F656" t="inlineStr">
        <is>
          <t>(en blanco)</t>
        </is>
      </c>
      <c r="G656" t="inlineStr">
        <is>
          <t>XXL</t>
        </is>
      </c>
      <c r="H656" t="n">
        <v>58</v>
      </c>
      <c r="I656" t="inlineStr">
        <is>
          <t>LAUNDRY_BY_DESIGN_121004999_HGR_1.jpg</t>
        </is>
      </c>
      <c r="J656" t="inlineStr">
        <is>
          <t>LAUNDRY_BY_DESIGN_121004999_HGR_2.jpg</t>
        </is>
      </c>
      <c r="K656" t="inlineStr">
        <is>
          <t>LAUNDRY_BY_DESIGN_121004999_HGR_3.jpg</t>
        </is>
      </c>
      <c r="L656">
        <f>IMAGE("file:///E:/Estudios%20y%20certificaciones/ESTUDIOS%20DE%20PROGRAMMING/PROGRAMMING/PERSONAL/PYTHON/Image_Generator_API/imagenes/LAUNDRY_BY_DESIGN_121004999_HGR_1.jpg")</f>
        <v/>
      </c>
      <c r="M656">
        <f>IMAGE("file:///E:/Estudios%20y%20certificaciones/ESTUDIOS%20DE%20PROGRAMMING/PROGRAMMING/PERSONAL/PYTHON/Image_Generator_API/imagenes/LAUNDRY_BY_DESIGN_121004999_HGR_2.jpg")</f>
        <v/>
      </c>
      <c r="N656">
        <f>IMAGE("file:///E:/Estudios%20y%20certificaciones/ESTUDIOS%20DE%20PROGRAMMING/PROGRAMMING/PERSONAL/PYTHON/Image_Generator_API/imagenes/LAUNDRY_BY_DESIGN_121004999_HGR_3.jpg")</f>
        <v/>
      </c>
      <c r="O656">
        <f>HYPERLINK("imagenes/LAUNDRY_BY_DESIGN_121004999_HGR_1.jpg","Ver imagen")</f>
        <v/>
      </c>
      <c r="P656">
        <f>HYPERLINK("imagenes/LAUNDRY_BY_DESIGN_121004999_HGR_2.jpg","Ver imagen")</f>
        <v/>
      </c>
      <c r="Q656">
        <f>HYPERLINK("imagenes/LAUNDRY_BY_DESIGN_121004999_HGR_3.jpg","Ver imagen")</f>
        <v/>
      </c>
    </row>
    <row r="657">
      <c r="A657" t="inlineStr">
        <is>
          <t>LAUNDRY BY DESIGN</t>
        </is>
      </c>
      <c r="B657" t="inlineStr">
        <is>
          <t>121004999</t>
        </is>
      </c>
      <c r="C657" t="inlineStr">
        <is>
          <t>21" SPECIAL STI TCHES NON WOOL JACKET W EPAULETTE(DUP13422A)</t>
        </is>
      </c>
      <c r="D657" t="inlineStr">
        <is>
          <t>HGY</t>
        </is>
      </c>
      <c r="E657" t="inlineStr">
        <is>
          <t>08A06</t>
        </is>
      </c>
      <c r="F657" t="inlineStr">
        <is>
          <t>(en blanco)</t>
        </is>
      </c>
      <c r="G657" t="inlineStr">
        <is>
          <t>PPK</t>
        </is>
      </c>
      <c r="H657" t="n">
        <v>128</v>
      </c>
      <c r="I657" t="inlineStr">
        <is>
          <t>LAUNDRY_BY_DESIGN_121004999_HGY_1.jpg</t>
        </is>
      </c>
      <c r="J657" t="inlineStr">
        <is>
          <t>LAUNDRY_BY_DESIGN_121004999_HGY_2.jpg</t>
        </is>
      </c>
      <c r="K657" t="inlineStr">
        <is>
          <t>LAUNDRY_BY_DESIGN_121004999_HGY_3.jpg</t>
        </is>
      </c>
      <c r="L657">
        <f>IMAGE("file:///E:/Estudios%20y%20certificaciones/ESTUDIOS%20DE%20PROGRAMMING/PROGRAMMING/PERSONAL/PYTHON/Image_Generator_API/imagenes/LAUNDRY_BY_DESIGN_121004999_HGY_1.jpg")</f>
        <v/>
      </c>
      <c r="M657">
        <f>IMAGE("file:///E:/Estudios%20y%20certificaciones/ESTUDIOS%20DE%20PROGRAMMING/PROGRAMMING/PERSONAL/PYTHON/Image_Generator_API/imagenes/LAUNDRY_BY_DESIGN_121004999_HGY_2.jpg")</f>
        <v/>
      </c>
      <c r="N657">
        <f>IMAGE("file:///E:/Estudios%20y%20certificaciones/ESTUDIOS%20DE%20PROGRAMMING/PROGRAMMING/PERSONAL/PYTHON/Image_Generator_API/imagenes/LAUNDRY_BY_DESIGN_121004999_HGY_3.jpg")</f>
        <v/>
      </c>
      <c r="O657">
        <f>HYPERLINK("imagenes/LAUNDRY_BY_DESIGN_121004999_HGY_1.jpg","Ver imagen")</f>
        <v/>
      </c>
      <c r="P657">
        <f>HYPERLINK("imagenes/LAUNDRY_BY_DESIGN_121004999_HGY_2.jpg","Ver imagen")</f>
        <v/>
      </c>
      <c r="Q657">
        <f>HYPERLINK("imagenes/LAUNDRY_BY_DESIGN_121004999_HGY_3.jpg","Ver imagen")</f>
        <v/>
      </c>
    </row>
    <row r="658">
      <c r="A658" t="inlineStr">
        <is>
          <t>LAUNDRY BY DESIGN</t>
        </is>
      </c>
      <c r="B658" t="inlineStr">
        <is>
          <t>121004999</t>
        </is>
      </c>
      <c r="C658" t="inlineStr">
        <is>
          <t>21" SPECIAL STI TCHES NON WOOL JACKET W EPAULETTE(DUP13422A)</t>
        </is>
      </c>
      <c r="D658" t="inlineStr">
        <is>
          <t>HGY</t>
        </is>
      </c>
      <c r="E658" t="inlineStr">
        <is>
          <t>(en blanco)</t>
        </is>
      </c>
      <c r="F658" t="inlineStr">
        <is>
          <t>(en blanco)</t>
        </is>
      </c>
      <c r="G658" t="inlineStr">
        <is>
          <t>S</t>
        </is>
      </c>
      <c r="H658" t="n">
        <v>18</v>
      </c>
      <c r="I658" t="inlineStr">
        <is>
          <t>LAUNDRY_BY_DESIGN_121004999_HGY_1.jpg</t>
        </is>
      </c>
      <c r="J658" t="inlineStr">
        <is>
          <t>LAUNDRY_BY_DESIGN_121004999_HGY_2.jpg</t>
        </is>
      </c>
      <c r="K658" t="inlineStr">
        <is>
          <t>LAUNDRY_BY_DESIGN_121004999_HGY_3.jpg</t>
        </is>
      </c>
      <c r="L658">
        <f>IMAGE("file:///E:/Estudios%20y%20certificaciones/ESTUDIOS%20DE%20PROGRAMMING/PROGRAMMING/PERSONAL/PYTHON/Image_Generator_API/imagenes/LAUNDRY_BY_DESIGN_121004999_HGY_1.jpg")</f>
        <v/>
      </c>
      <c r="M658">
        <f>IMAGE("file:///E:/Estudios%20y%20certificaciones/ESTUDIOS%20DE%20PROGRAMMING/PROGRAMMING/PERSONAL/PYTHON/Image_Generator_API/imagenes/LAUNDRY_BY_DESIGN_121004999_HGY_2.jpg")</f>
        <v/>
      </c>
      <c r="N658">
        <f>IMAGE("file:///E:/Estudios%20y%20certificaciones/ESTUDIOS%20DE%20PROGRAMMING/PROGRAMMING/PERSONAL/PYTHON/Image_Generator_API/imagenes/LAUNDRY_BY_DESIGN_121004999_HGY_3.jpg")</f>
        <v/>
      </c>
      <c r="O658">
        <f>HYPERLINK("imagenes/LAUNDRY_BY_DESIGN_121004999_HGY_1.jpg","Ver imagen")</f>
        <v/>
      </c>
      <c r="P658">
        <f>HYPERLINK("imagenes/LAUNDRY_BY_DESIGN_121004999_HGY_2.jpg","Ver imagen")</f>
        <v/>
      </c>
      <c r="Q658">
        <f>HYPERLINK("imagenes/LAUNDRY_BY_DESIGN_121004999_HGY_3.jpg","Ver imagen")</f>
        <v/>
      </c>
    </row>
    <row r="659">
      <c r="A659" t="inlineStr">
        <is>
          <t>LAUNDRY BY DESIGN</t>
        </is>
      </c>
      <c r="B659" t="inlineStr">
        <is>
          <t>121004999</t>
        </is>
      </c>
      <c r="C659" t="inlineStr">
        <is>
          <t>21" SPECIAL STI TCHES NON WOOL JACKET W EPAULETTE(DUP13422A)</t>
        </is>
      </c>
      <c r="D659" t="inlineStr">
        <is>
          <t>HGY</t>
        </is>
      </c>
      <c r="E659" t="inlineStr">
        <is>
          <t>(en blanco)</t>
        </is>
      </c>
      <c r="F659" t="inlineStr">
        <is>
          <t>(en blanco)</t>
        </is>
      </c>
      <c r="G659" t="inlineStr">
        <is>
          <t>M</t>
        </is>
      </c>
      <c r="H659" t="n">
        <v>84</v>
      </c>
      <c r="I659" t="inlineStr">
        <is>
          <t>LAUNDRY_BY_DESIGN_121004999_HGY_1.jpg</t>
        </is>
      </c>
      <c r="J659" t="inlineStr">
        <is>
          <t>LAUNDRY_BY_DESIGN_121004999_HGY_2.jpg</t>
        </is>
      </c>
      <c r="K659" t="inlineStr">
        <is>
          <t>LAUNDRY_BY_DESIGN_121004999_HGY_3.jpg</t>
        </is>
      </c>
      <c r="L659">
        <f>IMAGE("file:///E:/Estudios%20y%20certificaciones/ESTUDIOS%20DE%20PROGRAMMING/PROGRAMMING/PERSONAL/PYTHON/Image_Generator_API/imagenes/LAUNDRY_BY_DESIGN_121004999_HGY_1.jpg")</f>
        <v/>
      </c>
      <c r="M659">
        <f>IMAGE("file:///E:/Estudios%20y%20certificaciones/ESTUDIOS%20DE%20PROGRAMMING/PROGRAMMING/PERSONAL/PYTHON/Image_Generator_API/imagenes/LAUNDRY_BY_DESIGN_121004999_HGY_2.jpg")</f>
        <v/>
      </c>
      <c r="N659">
        <f>IMAGE("file:///E:/Estudios%20y%20certificaciones/ESTUDIOS%20DE%20PROGRAMMING/PROGRAMMING/PERSONAL/PYTHON/Image_Generator_API/imagenes/LAUNDRY_BY_DESIGN_121004999_HGY_3.jpg")</f>
        <v/>
      </c>
      <c r="O659">
        <f>HYPERLINK("imagenes/LAUNDRY_BY_DESIGN_121004999_HGY_1.jpg","Ver imagen")</f>
        <v/>
      </c>
      <c r="P659">
        <f>HYPERLINK("imagenes/LAUNDRY_BY_DESIGN_121004999_HGY_2.jpg","Ver imagen")</f>
        <v/>
      </c>
      <c r="Q659">
        <f>HYPERLINK("imagenes/LAUNDRY_BY_DESIGN_121004999_HGY_3.jpg","Ver imagen")</f>
        <v/>
      </c>
    </row>
    <row r="660">
      <c r="A660" t="inlineStr">
        <is>
          <t>LAUNDRY BY DESIGN</t>
        </is>
      </c>
      <c r="B660" t="inlineStr">
        <is>
          <t>121004999</t>
        </is>
      </c>
      <c r="C660" t="inlineStr">
        <is>
          <t>21" SPECIAL STI TCHES NON WOOL JACKET W EPAULETTE(DUP13422A)</t>
        </is>
      </c>
      <c r="D660" t="inlineStr">
        <is>
          <t>HGY</t>
        </is>
      </c>
      <c r="E660" t="inlineStr">
        <is>
          <t>(en blanco)</t>
        </is>
      </c>
      <c r="F660" t="inlineStr">
        <is>
          <t>(en blanco)</t>
        </is>
      </c>
      <c r="G660" t="inlineStr">
        <is>
          <t>L</t>
        </is>
      </c>
      <c r="H660" t="n">
        <v>87</v>
      </c>
      <c r="I660" t="inlineStr">
        <is>
          <t>LAUNDRY_BY_DESIGN_121004999_HGY_1.jpg</t>
        </is>
      </c>
      <c r="J660" t="inlineStr">
        <is>
          <t>LAUNDRY_BY_DESIGN_121004999_HGY_2.jpg</t>
        </is>
      </c>
      <c r="K660" t="inlineStr">
        <is>
          <t>LAUNDRY_BY_DESIGN_121004999_HGY_3.jpg</t>
        </is>
      </c>
      <c r="L660">
        <f>IMAGE("file:///E:/Estudios%20y%20certificaciones/ESTUDIOS%20DE%20PROGRAMMING/PROGRAMMING/PERSONAL/PYTHON/Image_Generator_API/imagenes/LAUNDRY_BY_DESIGN_121004999_HGY_1.jpg")</f>
        <v/>
      </c>
      <c r="M660">
        <f>IMAGE("file:///E:/Estudios%20y%20certificaciones/ESTUDIOS%20DE%20PROGRAMMING/PROGRAMMING/PERSONAL/PYTHON/Image_Generator_API/imagenes/LAUNDRY_BY_DESIGN_121004999_HGY_2.jpg")</f>
        <v/>
      </c>
      <c r="N660">
        <f>IMAGE("file:///E:/Estudios%20y%20certificaciones/ESTUDIOS%20DE%20PROGRAMMING/PROGRAMMING/PERSONAL/PYTHON/Image_Generator_API/imagenes/LAUNDRY_BY_DESIGN_121004999_HGY_3.jpg")</f>
        <v/>
      </c>
      <c r="O660">
        <f>HYPERLINK("imagenes/LAUNDRY_BY_DESIGN_121004999_HGY_1.jpg","Ver imagen")</f>
        <v/>
      </c>
      <c r="P660">
        <f>HYPERLINK("imagenes/LAUNDRY_BY_DESIGN_121004999_HGY_2.jpg","Ver imagen")</f>
        <v/>
      </c>
      <c r="Q660">
        <f>HYPERLINK("imagenes/LAUNDRY_BY_DESIGN_121004999_HGY_3.jpg","Ver imagen")</f>
        <v/>
      </c>
    </row>
    <row r="661">
      <c r="A661" t="inlineStr">
        <is>
          <t>LAUNDRY BY DESIGN</t>
        </is>
      </c>
      <c r="B661" t="inlineStr">
        <is>
          <t>121004999</t>
        </is>
      </c>
      <c r="C661" t="inlineStr">
        <is>
          <t>21" SPECIAL STI TCHES NON WOOL JACKET W EPAULETTE(DUP13422A)</t>
        </is>
      </c>
      <c r="D661" t="inlineStr">
        <is>
          <t>HGY</t>
        </is>
      </c>
      <c r="E661" t="inlineStr">
        <is>
          <t>(en blanco)</t>
        </is>
      </c>
      <c r="F661" t="inlineStr">
        <is>
          <t>(en blanco)</t>
        </is>
      </c>
      <c r="G661" t="inlineStr">
        <is>
          <t>XL</t>
        </is>
      </c>
      <c r="H661" t="n">
        <v>102</v>
      </c>
      <c r="I661" t="inlineStr">
        <is>
          <t>LAUNDRY_BY_DESIGN_121004999_HGY_1.jpg</t>
        </is>
      </c>
      <c r="J661" t="inlineStr">
        <is>
          <t>LAUNDRY_BY_DESIGN_121004999_HGY_2.jpg</t>
        </is>
      </c>
      <c r="K661" t="inlineStr">
        <is>
          <t>LAUNDRY_BY_DESIGN_121004999_HGY_3.jpg</t>
        </is>
      </c>
      <c r="L661">
        <f>IMAGE("file:///E:/Estudios%20y%20certificaciones/ESTUDIOS%20DE%20PROGRAMMING/PROGRAMMING/PERSONAL/PYTHON/Image_Generator_API/imagenes/LAUNDRY_BY_DESIGN_121004999_HGY_1.jpg")</f>
        <v/>
      </c>
      <c r="M661">
        <f>IMAGE("file:///E:/Estudios%20y%20certificaciones/ESTUDIOS%20DE%20PROGRAMMING/PROGRAMMING/PERSONAL/PYTHON/Image_Generator_API/imagenes/LAUNDRY_BY_DESIGN_121004999_HGY_2.jpg")</f>
        <v/>
      </c>
      <c r="N661">
        <f>IMAGE("file:///E:/Estudios%20y%20certificaciones/ESTUDIOS%20DE%20PROGRAMMING/PROGRAMMING/PERSONAL/PYTHON/Image_Generator_API/imagenes/LAUNDRY_BY_DESIGN_121004999_HGY_3.jpg")</f>
        <v/>
      </c>
      <c r="O661">
        <f>HYPERLINK("imagenes/LAUNDRY_BY_DESIGN_121004999_HGY_1.jpg","Ver imagen")</f>
        <v/>
      </c>
      <c r="P661">
        <f>HYPERLINK("imagenes/LAUNDRY_BY_DESIGN_121004999_HGY_2.jpg","Ver imagen")</f>
        <v/>
      </c>
      <c r="Q661">
        <f>HYPERLINK("imagenes/LAUNDRY_BY_DESIGN_121004999_HGY_3.jpg","Ver imagen")</f>
        <v/>
      </c>
    </row>
    <row r="662">
      <c r="A662" t="inlineStr">
        <is>
          <t>LAUNDRY BY DESIGN</t>
        </is>
      </c>
      <c r="B662" t="inlineStr">
        <is>
          <t>121004999</t>
        </is>
      </c>
      <c r="C662" t="inlineStr">
        <is>
          <t>21" SPECIAL STI TCHES NON WOOL JACKET W EPAULETTE(DUP13422A)</t>
        </is>
      </c>
      <c r="D662" t="inlineStr">
        <is>
          <t>HGY</t>
        </is>
      </c>
      <c r="E662" t="inlineStr">
        <is>
          <t>(en blanco)</t>
        </is>
      </c>
      <c r="F662" t="inlineStr">
        <is>
          <t>(en blanco)</t>
        </is>
      </c>
      <c r="G662" t="inlineStr">
        <is>
          <t>XXL</t>
        </is>
      </c>
      <c r="H662" t="n">
        <v>86</v>
      </c>
      <c r="I662" t="inlineStr">
        <is>
          <t>LAUNDRY_BY_DESIGN_121004999_HGY_1.jpg</t>
        </is>
      </c>
      <c r="J662" t="inlineStr">
        <is>
          <t>LAUNDRY_BY_DESIGN_121004999_HGY_2.jpg</t>
        </is>
      </c>
      <c r="K662" t="inlineStr">
        <is>
          <t>LAUNDRY_BY_DESIGN_121004999_HGY_3.jpg</t>
        </is>
      </c>
      <c r="L662">
        <f>IMAGE("file:///E:/Estudios%20y%20certificaciones/ESTUDIOS%20DE%20PROGRAMMING/PROGRAMMING/PERSONAL/PYTHON/Image_Generator_API/imagenes/LAUNDRY_BY_DESIGN_121004999_HGY_1.jpg")</f>
        <v/>
      </c>
      <c r="M662">
        <f>IMAGE("file:///E:/Estudios%20y%20certificaciones/ESTUDIOS%20DE%20PROGRAMMING/PROGRAMMING/PERSONAL/PYTHON/Image_Generator_API/imagenes/LAUNDRY_BY_DESIGN_121004999_HGY_2.jpg")</f>
        <v/>
      </c>
      <c r="N662">
        <f>IMAGE("file:///E:/Estudios%20y%20certificaciones/ESTUDIOS%20DE%20PROGRAMMING/PROGRAMMING/PERSONAL/PYTHON/Image_Generator_API/imagenes/LAUNDRY_BY_DESIGN_121004999_HGY_3.jpg")</f>
        <v/>
      </c>
      <c r="O662">
        <f>HYPERLINK("imagenes/LAUNDRY_BY_DESIGN_121004999_HGY_1.jpg","Ver imagen")</f>
        <v/>
      </c>
      <c r="P662">
        <f>HYPERLINK("imagenes/LAUNDRY_BY_DESIGN_121004999_HGY_2.jpg","Ver imagen")</f>
        <v/>
      </c>
      <c r="Q662">
        <f>HYPERLINK("imagenes/LAUNDRY_BY_DESIGN_121004999_HGY_3.jpg","Ver imagen")</f>
        <v/>
      </c>
    </row>
    <row r="663">
      <c r="A663" t="inlineStr">
        <is>
          <t>LAUNDRY BY DESIGN</t>
        </is>
      </c>
      <c r="B663" t="inlineStr">
        <is>
          <t>121005003</t>
        </is>
      </c>
      <c r="C663" t="inlineStr">
        <is>
          <t>21" ZIP FRONT NON WOOL JACKET W PU(DUP13414)</t>
        </is>
      </c>
      <c r="D663" t="inlineStr">
        <is>
          <t>B2W</t>
        </is>
      </c>
      <c r="E663" t="inlineStr">
        <is>
          <t>08A06</t>
        </is>
      </c>
      <c r="F663" t="inlineStr">
        <is>
          <t>(en blanco)</t>
        </is>
      </c>
      <c r="G663" t="inlineStr">
        <is>
          <t>PPK</t>
        </is>
      </c>
      <c r="H663" t="n">
        <v>1344</v>
      </c>
      <c r="I663" t="inlineStr">
        <is>
          <t>LAUNDRY_BY_DESIGN_121005003_B2W_1.jpg</t>
        </is>
      </c>
      <c r="J663" t="inlineStr">
        <is>
          <t>LAUNDRY_BY_DESIGN_121005003_B2W_2.jpg</t>
        </is>
      </c>
      <c r="K663" t="inlineStr">
        <is>
          <t>LAUNDRY_BY_DESIGN_121005003_B2W_3.jpg</t>
        </is>
      </c>
      <c r="L663">
        <f>IMAGE("file:///E:/Estudios%20y%20certificaciones/ESTUDIOS%20DE%20PROGRAMMING/PROGRAMMING/PERSONAL/PYTHON/Image_Generator_API/imagenes/LAUNDRY_BY_DESIGN_121005003_B2W_1.jpg")</f>
        <v/>
      </c>
      <c r="M663">
        <f>IMAGE("file:///E:/Estudios%20y%20certificaciones/ESTUDIOS%20DE%20PROGRAMMING/PROGRAMMING/PERSONAL/PYTHON/Image_Generator_API/imagenes/LAUNDRY_BY_DESIGN_121005003_B2W_2.jpg")</f>
        <v/>
      </c>
      <c r="N663">
        <f>IMAGE("file:///E:/Estudios%20y%20certificaciones/ESTUDIOS%20DE%20PROGRAMMING/PROGRAMMING/PERSONAL/PYTHON/Image_Generator_API/imagenes/LAUNDRY_BY_DESIGN_121005003_B2W_3.jpg")</f>
        <v/>
      </c>
      <c r="O663">
        <f>HYPERLINK("imagenes/LAUNDRY_BY_DESIGN_121005003_B2W_1.jpg","Ver imagen")</f>
        <v/>
      </c>
      <c r="P663">
        <f>HYPERLINK("imagenes/LAUNDRY_BY_DESIGN_121005003_B2W_2.jpg","Ver imagen")</f>
        <v/>
      </c>
      <c r="Q663">
        <f>HYPERLINK("imagenes/LAUNDRY_BY_DESIGN_121005003_B2W_3.jpg","Ver imagen")</f>
        <v/>
      </c>
    </row>
    <row r="664">
      <c r="A664" t="inlineStr">
        <is>
          <t>LAUNDRY BY DESIGN</t>
        </is>
      </c>
      <c r="B664" t="inlineStr">
        <is>
          <t>121005003</t>
        </is>
      </c>
      <c r="C664" t="inlineStr">
        <is>
          <t>21" ZIP FRONT NON WOOL JACKET W PU(DUP13414)</t>
        </is>
      </c>
      <c r="D664" t="inlineStr">
        <is>
          <t>B2W</t>
        </is>
      </c>
      <c r="E664" t="inlineStr">
        <is>
          <t>(en blanco)</t>
        </is>
      </c>
      <c r="F664" t="inlineStr">
        <is>
          <t>D2C</t>
        </is>
      </c>
      <c r="G664" t="inlineStr">
        <is>
          <t>M</t>
        </is>
      </c>
      <c r="H664" t="n">
        <v>4</v>
      </c>
      <c r="I664" t="inlineStr">
        <is>
          <t>LAUNDRY_BY_DESIGN_121005003_B2W_1.jpg</t>
        </is>
      </c>
      <c r="J664" t="inlineStr">
        <is>
          <t>LAUNDRY_BY_DESIGN_121005003_B2W_2.jpg</t>
        </is>
      </c>
      <c r="K664" t="inlineStr">
        <is>
          <t>LAUNDRY_BY_DESIGN_121005003_B2W_3.jpg</t>
        </is>
      </c>
      <c r="L664">
        <f>IMAGE("file:///E:/Estudios%20y%20certificaciones/ESTUDIOS%20DE%20PROGRAMMING/PROGRAMMING/PERSONAL/PYTHON/Image_Generator_API/imagenes/LAUNDRY_BY_DESIGN_121005003_B2W_1.jpg")</f>
        <v/>
      </c>
      <c r="M664">
        <f>IMAGE("file:///E:/Estudios%20y%20certificaciones/ESTUDIOS%20DE%20PROGRAMMING/PROGRAMMING/PERSONAL/PYTHON/Image_Generator_API/imagenes/LAUNDRY_BY_DESIGN_121005003_B2W_2.jpg")</f>
        <v/>
      </c>
      <c r="N664">
        <f>IMAGE("file:///E:/Estudios%20y%20certificaciones/ESTUDIOS%20DE%20PROGRAMMING/PROGRAMMING/PERSONAL/PYTHON/Image_Generator_API/imagenes/LAUNDRY_BY_DESIGN_121005003_B2W_3.jpg")</f>
        <v/>
      </c>
      <c r="O664">
        <f>HYPERLINK("imagenes/LAUNDRY_BY_DESIGN_121005003_B2W_1.jpg","Ver imagen")</f>
        <v/>
      </c>
      <c r="P664">
        <f>HYPERLINK("imagenes/LAUNDRY_BY_DESIGN_121005003_B2W_2.jpg","Ver imagen")</f>
        <v/>
      </c>
      <c r="Q664">
        <f>HYPERLINK("imagenes/LAUNDRY_BY_DESIGN_121005003_B2W_3.jpg","Ver imagen")</f>
        <v/>
      </c>
    </row>
    <row r="665">
      <c r="A665" t="inlineStr">
        <is>
          <t>LAUNDRY BY DESIGN</t>
        </is>
      </c>
      <c r="B665" t="inlineStr">
        <is>
          <t>121005003</t>
        </is>
      </c>
      <c r="C665" t="inlineStr">
        <is>
          <t>21" ZIP FRONT NON WOOL JACKET W PU(DUP13414)</t>
        </is>
      </c>
      <c r="D665" t="inlineStr">
        <is>
          <t>B2W</t>
        </is>
      </c>
      <c r="E665" t="inlineStr">
        <is>
          <t>(en blanco)</t>
        </is>
      </c>
      <c r="F665" t="inlineStr">
        <is>
          <t>D2C</t>
        </is>
      </c>
      <c r="G665" t="inlineStr">
        <is>
          <t>L</t>
        </is>
      </c>
      <c r="H665" t="n">
        <v>4</v>
      </c>
      <c r="I665" t="inlineStr">
        <is>
          <t>LAUNDRY_BY_DESIGN_121005003_B2W_1.jpg</t>
        </is>
      </c>
      <c r="J665" t="inlineStr">
        <is>
          <t>LAUNDRY_BY_DESIGN_121005003_B2W_2.jpg</t>
        </is>
      </c>
      <c r="K665" t="inlineStr">
        <is>
          <t>LAUNDRY_BY_DESIGN_121005003_B2W_3.jpg</t>
        </is>
      </c>
      <c r="L665">
        <f>IMAGE("file:///E:/Estudios%20y%20certificaciones/ESTUDIOS%20DE%20PROGRAMMING/PROGRAMMING/PERSONAL/PYTHON/Image_Generator_API/imagenes/LAUNDRY_BY_DESIGN_121005003_B2W_1.jpg")</f>
        <v/>
      </c>
      <c r="M665">
        <f>IMAGE("file:///E:/Estudios%20y%20certificaciones/ESTUDIOS%20DE%20PROGRAMMING/PROGRAMMING/PERSONAL/PYTHON/Image_Generator_API/imagenes/LAUNDRY_BY_DESIGN_121005003_B2W_2.jpg")</f>
        <v/>
      </c>
      <c r="N665">
        <f>IMAGE("file:///E:/Estudios%20y%20certificaciones/ESTUDIOS%20DE%20PROGRAMMING/PROGRAMMING/PERSONAL/PYTHON/Image_Generator_API/imagenes/LAUNDRY_BY_DESIGN_121005003_B2W_3.jpg")</f>
        <v/>
      </c>
      <c r="O665">
        <f>HYPERLINK("imagenes/LAUNDRY_BY_DESIGN_121005003_B2W_1.jpg","Ver imagen")</f>
        <v/>
      </c>
      <c r="P665">
        <f>HYPERLINK("imagenes/LAUNDRY_BY_DESIGN_121005003_B2W_2.jpg","Ver imagen")</f>
        <v/>
      </c>
      <c r="Q665">
        <f>HYPERLINK("imagenes/LAUNDRY_BY_DESIGN_121005003_B2W_3.jpg","Ver imagen")</f>
        <v/>
      </c>
    </row>
    <row r="666">
      <c r="A666" t="inlineStr">
        <is>
          <t>LAUNDRY BY DESIGN</t>
        </is>
      </c>
      <c r="B666" t="inlineStr">
        <is>
          <t>121005003</t>
        </is>
      </c>
      <c r="C666" t="inlineStr">
        <is>
          <t>21" ZIP FRONT NON WOOL JACKET W PU(DUP13414)</t>
        </is>
      </c>
      <c r="D666" t="inlineStr">
        <is>
          <t>B2W</t>
        </is>
      </c>
      <c r="E666" t="inlineStr">
        <is>
          <t>(en blanco)</t>
        </is>
      </c>
      <c r="F666" t="inlineStr">
        <is>
          <t>D2C</t>
        </is>
      </c>
      <c r="G666" t="inlineStr">
        <is>
          <t>XL</t>
        </is>
      </c>
      <c r="H666" t="n">
        <v>4</v>
      </c>
      <c r="I666" t="inlineStr">
        <is>
          <t>LAUNDRY_BY_DESIGN_121005003_B2W_1.jpg</t>
        </is>
      </c>
      <c r="J666" t="inlineStr">
        <is>
          <t>LAUNDRY_BY_DESIGN_121005003_B2W_2.jpg</t>
        </is>
      </c>
      <c r="K666" t="inlineStr">
        <is>
          <t>LAUNDRY_BY_DESIGN_121005003_B2W_3.jpg</t>
        </is>
      </c>
      <c r="L666">
        <f>IMAGE("file:///E:/Estudios%20y%20certificaciones/ESTUDIOS%20DE%20PROGRAMMING/PROGRAMMING/PERSONAL/PYTHON/Image_Generator_API/imagenes/LAUNDRY_BY_DESIGN_121005003_B2W_1.jpg")</f>
        <v/>
      </c>
      <c r="M666">
        <f>IMAGE("file:///E:/Estudios%20y%20certificaciones/ESTUDIOS%20DE%20PROGRAMMING/PROGRAMMING/PERSONAL/PYTHON/Image_Generator_API/imagenes/LAUNDRY_BY_DESIGN_121005003_B2W_2.jpg")</f>
        <v/>
      </c>
      <c r="N666">
        <f>IMAGE("file:///E:/Estudios%20y%20certificaciones/ESTUDIOS%20DE%20PROGRAMMING/PROGRAMMING/PERSONAL/PYTHON/Image_Generator_API/imagenes/LAUNDRY_BY_DESIGN_121005003_B2W_3.jpg")</f>
        <v/>
      </c>
      <c r="O666">
        <f>HYPERLINK("imagenes/LAUNDRY_BY_DESIGN_121005003_B2W_1.jpg","Ver imagen")</f>
        <v/>
      </c>
      <c r="P666">
        <f>HYPERLINK("imagenes/LAUNDRY_BY_DESIGN_121005003_B2W_2.jpg","Ver imagen")</f>
        <v/>
      </c>
      <c r="Q666">
        <f>HYPERLINK("imagenes/LAUNDRY_BY_DESIGN_121005003_B2W_3.jpg","Ver imagen")</f>
        <v/>
      </c>
    </row>
    <row r="667">
      <c r="A667" t="inlineStr">
        <is>
          <t>LAUNDRY BY DESIGN</t>
        </is>
      </c>
      <c r="B667" t="inlineStr">
        <is>
          <t>121005003</t>
        </is>
      </c>
      <c r="C667" t="inlineStr">
        <is>
          <t>21" ZIP FRONT NON WOOL JACKET W PU(DUP13414)</t>
        </is>
      </c>
      <c r="D667" t="inlineStr">
        <is>
          <t>B2W</t>
        </is>
      </c>
      <c r="E667" t="inlineStr">
        <is>
          <t>(en blanco)</t>
        </is>
      </c>
      <c r="F667" t="inlineStr">
        <is>
          <t>D2C</t>
        </is>
      </c>
      <c r="G667" t="inlineStr">
        <is>
          <t>XXL</t>
        </is>
      </c>
      <c r="H667" t="n">
        <v>4</v>
      </c>
      <c r="I667" t="inlineStr">
        <is>
          <t>LAUNDRY_BY_DESIGN_121005003_B2W_1.jpg</t>
        </is>
      </c>
      <c r="J667" t="inlineStr">
        <is>
          <t>LAUNDRY_BY_DESIGN_121005003_B2W_2.jpg</t>
        </is>
      </c>
      <c r="K667" t="inlineStr">
        <is>
          <t>LAUNDRY_BY_DESIGN_121005003_B2W_3.jpg</t>
        </is>
      </c>
      <c r="L667">
        <f>IMAGE("file:///E:/Estudios%20y%20certificaciones/ESTUDIOS%20DE%20PROGRAMMING/PROGRAMMING/PERSONAL/PYTHON/Image_Generator_API/imagenes/LAUNDRY_BY_DESIGN_121005003_B2W_1.jpg")</f>
        <v/>
      </c>
      <c r="M667">
        <f>IMAGE("file:///E:/Estudios%20y%20certificaciones/ESTUDIOS%20DE%20PROGRAMMING/PROGRAMMING/PERSONAL/PYTHON/Image_Generator_API/imagenes/LAUNDRY_BY_DESIGN_121005003_B2W_2.jpg")</f>
        <v/>
      </c>
      <c r="N667">
        <f>IMAGE("file:///E:/Estudios%20y%20certificaciones/ESTUDIOS%20DE%20PROGRAMMING/PROGRAMMING/PERSONAL/PYTHON/Image_Generator_API/imagenes/LAUNDRY_BY_DESIGN_121005003_B2W_3.jpg")</f>
        <v/>
      </c>
      <c r="O667">
        <f>HYPERLINK("imagenes/LAUNDRY_BY_DESIGN_121005003_B2W_1.jpg","Ver imagen")</f>
        <v/>
      </c>
      <c r="P667">
        <f>HYPERLINK("imagenes/LAUNDRY_BY_DESIGN_121005003_B2W_2.jpg","Ver imagen")</f>
        <v/>
      </c>
      <c r="Q667">
        <f>HYPERLINK("imagenes/LAUNDRY_BY_DESIGN_121005003_B2W_3.jpg","Ver imagen")</f>
        <v/>
      </c>
    </row>
    <row r="668">
      <c r="A668" t="inlineStr">
        <is>
          <t>LAUNDRY BY DESIGN</t>
        </is>
      </c>
      <c r="B668" t="inlineStr">
        <is>
          <t>121005003</t>
        </is>
      </c>
      <c r="C668" t="inlineStr">
        <is>
          <t>21" ZIP FRONT NON WOOL JACKET W PU(DUP13414)</t>
        </is>
      </c>
      <c r="D668" t="inlineStr">
        <is>
          <t>B2W</t>
        </is>
      </c>
      <c r="E668" t="inlineStr">
        <is>
          <t>(en blanco)</t>
        </is>
      </c>
      <c r="F668" t="inlineStr">
        <is>
          <t>(en blanco)</t>
        </is>
      </c>
      <c r="G668" t="inlineStr">
        <is>
          <t>S</t>
        </is>
      </c>
      <c r="H668" t="n">
        <v>1</v>
      </c>
      <c r="I668" t="inlineStr">
        <is>
          <t>LAUNDRY_BY_DESIGN_121005003_B2W_1.jpg</t>
        </is>
      </c>
      <c r="J668" t="inlineStr">
        <is>
          <t>LAUNDRY_BY_DESIGN_121005003_B2W_2.jpg</t>
        </is>
      </c>
      <c r="K668" t="inlineStr">
        <is>
          <t>LAUNDRY_BY_DESIGN_121005003_B2W_3.jpg</t>
        </is>
      </c>
      <c r="L668">
        <f>IMAGE("file:///E:/Estudios%20y%20certificaciones/ESTUDIOS%20DE%20PROGRAMMING/PROGRAMMING/PERSONAL/PYTHON/Image_Generator_API/imagenes/LAUNDRY_BY_DESIGN_121005003_B2W_1.jpg")</f>
        <v/>
      </c>
      <c r="M668">
        <f>IMAGE("file:///E:/Estudios%20y%20certificaciones/ESTUDIOS%20DE%20PROGRAMMING/PROGRAMMING/PERSONAL/PYTHON/Image_Generator_API/imagenes/LAUNDRY_BY_DESIGN_121005003_B2W_2.jpg")</f>
        <v/>
      </c>
      <c r="N668">
        <f>IMAGE("file:///E:/Estudios%20y%20certificaciones/ESTUDIOS%20DE%20PROGRAMMING/PROGRAMMING/PERSONAL/PYTHON/Image_Generator_API/imagenes/LAUNDRY_BY_DESIGN_121005003_B2W_3.jpg")</f>
        <v/>
      </c>
      <c r="O668">
        <f>HYPERLINK("imagenes/LAUNDRY_BY_DESIGN_121005003_B2W_1.jpg","Ver imagen")</f>
        <v/>
      </c>
      <c r="P668">
        <f>HYPERLINK("imagenes/LAUNDRY_BY_DESIGN_121005003_B2W_2.jpg","Ver imagen")</f>
        <v/>
      </c>
      <c r="Q668">
        <f>HYPERLINK("imagenes/LAUNDRY_BY_DESIGN_121005003_B2W_3.jpg","Ver imagen")</f>
        <v/>
      </c>
    </row>
    <row r="669">
      <c r="A669" t="inlineStr">
        <is>
          <t>LAUNDRY BY DESIGN</t>
        </is>
      </c>
      <c r="B669" t="inlineStr">
        <is>
          <t>121005003</t>
        </is>
      </c>
      <c r="C669" t="inlineStr">
        <is>
          <t>21" ZIP FRONT NON WOOL JACKET W PU(DUP13414)</t>
        </is>
      </c>
      <c r="D669" t="inlineStr">
        <is>
          <t>B2W</t>
        </is>
      </c>
      <c r="E669" t="inlineStr">
        <is>
          <t>(en blanco)</t>
        </is>
      </c>
      <c r="F669" t="inlineStr">
        <is>
          <t>(en blanco)</t>
        </is>
      </c>
      <c r="G669" t="inlineStr">
        <is>
          <t>M</t>
        </is>
      </c>
      <c r="H669" t="n">
        <v>3</v>
      </c>
      <c r="I669" t="inlineStr">
        <is>
          <t>LAUNDRY_BY_DESIGN_121005003_B2W_1.jpg</t>
        </is>
      </c>
      <c r="J669" t="inlineStr">
        <is>
          <t>LAUNDRY_BY_DESIGN_121005003_B2W_2.jpg</t>
        </is>
      </c>
      <c r="K669" t="inlineStr">
        <is>
          <t>LAUNDRY_BY_DESIGN_121005003_B2W_3.jpg</t>
        </is>
      </c>
      <c r="L669">
        <f>IMAGE("file:///E:/Estudios%20y%20certificaciones/ESTUDIOS%20DE%20PROGRAMMING/PROGRAMMING/PERSONAL/PYTHON/Image_Generator_API/imagenes/LAUNDRY_BY_DESIGN_121005003_B2W_1.jpg")</f>
        <v/>
      </c>
      <c r="M669">
        <f>IMAGE("file:///E:/Estudios%20y%20certificaciones/ESTUDIOS%20DE%20PROGRAMMING/PROGRAMMING/PERSONAL/PYTHON/Image_Generator_API/imagenes/LAUNDRY_BY_DESIGN_121005003_B2W_2.jpg")</f>
        <v/>
      </c>
      <c r="N669">
        <f>IMAGE("file:///E:/Estudios%20y%20certificaciones/ESTUDIOS%20DE%20PROGRAMMING/PROGRAMMING/PERSONAL/PYTHON/Image_Generator_API/imagenes/LAUNDRY_BY_DESIGN_121005003_B2W_3.jpg")</f>
        <v/>
      </c>
      <c r="O669">
        <f>HYPERLINK("imagenes/LAUNDRY_BY_DESIGN_121005003_B2W_1.jpg","Ver imagen")</f>
        <v/>
      </c>
      <c r="P669">
        <f>HYPERLINK("imagenes/LAUNDRY_BY_DESIGN_121005003_B2W_2.jpg","Ver imagen")</f>
        <v/>
      </c>
      <c r="Q669">
        <f>HYPERLINK("imagenes/LAUNDRY_BY_DESIGN_121005003_B2W_3.jpg","Ver imagen")</f>
        <v/>
      </c>
    </row>
    <row r="670">
      <c r="A670" t="inlineStr">
        <is>
          <t>LAUNDRY BY DESIGN</t>
        </is>
      </c>
      <c r="B670" t="inlineStr">
        <is>
          <t>121005003</t>
        </is>
      </c>
      <c r="C670" t="inlineStr">
        <is>
          <t>21" ZIP FRONT NON WOOL JACKET W PU(DUP13414)</t>
        </is>
      </c>
      <c r="D670" t="inlineStr">
        <is>
          <t>B2W</t>
        </is>
      </c>
      <c r="E670" t="inlineStr">
        <is>
          <t>(en blanco)</t>
        </is>
      </c>
      <c r="F670" t="inlineStr">
        <is>
          <t>(en blanco)</t>
        </is>
      </c>
      <c r="G670" t="inlineStr">
        <is>
          <t>L</t>
        </is>
      </c>
      <c r="H670" t="n">
        <v>7</v>
      </c>
      <c r="I670" t="inlineStr">
        <is>
          <t>LAUNDRY_BY_DESIGN_121005003_B2W_1.jpg</t>
        </is>
      </c>
      <c r="J670" t="inlineStr">
        <is>
          <t>LAUNDRY_BY_DESIGN_121005003_B2W_2.jpg</t>
        </is>
      </c>
      <c r="K670" t="inlineStr">
        <is>
          <t>LAUNDRY_BY_DESIGN_121005003_B2W_3.jpg</t>
        </is>
      </c>
      <c r="L670">
        <f>IMAGE("file:///E:/Estudios%20y%20certificaciones/ESTUDIOS%20DE%20PROGRAMMING/PROGRAMMING/PERSONAL/PYTHON/Image_Generator_API/imagenes/LAUNDRY_BY_DESIGN_121005003_B2W_1.jpg")</f>
        <v/>
      </c>
      <c r="M670">
        <f>IMAGE("file:///E:/Estudios%20y%20certificaciones/ESTUDIOS%20DE%20PROGRAMMING/PROGRAMMING/PERSONAL/PYTHON/Image_Generator_API/imagenes/LAUNDRY_BY_DESIGN_121005003_B2W_2.jpg")</f>
        <v/>
      </c>
      <c r="N670">
        <f>IMAGE("file:///E:/Estudios%20y%20certificaciones/ESTUDIOS%20DE%20PROGRAMMING/PROGRAMMING/PERSONAL/PYTHON/Image_Generator_API/imagenes/LAUNDRY_BY_DESIGN_121005003_B2W_3.jpg")</f>
        <v/>
      </c>
      <c r="O670">
        <f>HYPERLINK("imagenes/LAUNDRY_BY_DESIGN_121005003_B2W_1.jpg","Ver imagen")</f>
        <v/>
      </c>
      <c r="P670">
        <f>HYPERLINK("imagenes/LAUNDRY_BY_DESIGN_121005003_B2W_2.jpg","Ver imagen")</f>
        <v/>
      </c>
      <c r="Q670">
        <f>HYPERLINK("imagenes/LAUNDRY_BY_DESIGN_121005003_B2W_3.jpg","Ver imagen")</f>
        <v/>
      </c>
    </row>
    <row r="671">
      <c r="A671" t="inlineStr">
        <is>
          <t>LAUNDRY BY DESIGN</t>
        </is>
      </c>
      <c r="B671" t="inlineStr">
        <is>
          <t>121005003</t>
        </is>
      </c>
      <c r="C671" t="inlineStr">
        <is>
          <t>21" ZIP FRONT NON WOOL JACKET W PU(DUP13414)</t>
        </is>
      </c>
      <c r="D671" t="inlineStr">
        <is>
          <t>B2W</t>
        </is>
      </c>
      <c r="E671" t="inlineStr">
        <is>
          <t>(en blanco)</t>
        </is>
      </c>
      <c r="F671" t="inlineStr">
        <is>
          <t>(en blanco)</t>
        </is>
      </c>
      <c r="G671" t="inlineStr">
        <is>
          <t>XL</t>
        </is>
      </c>
      <c r="H671" t="n">
        <v>38</v>
      </c>
      <c r="I671" t="inlineStr">
        <is>
          <t>LAUNDRY_BY_DESIGN_121005003_B2W_1.jpg</t>
        </is>
      </c>
      <c r="J671" t="inlineStr">
        <is>
          <t>LAUNDRY_BY_DESIGN_121005003_B2W_2.jpg</t>
        </is>
      </c>
      <c r="K671" t="inlineStr">
        <is>
          <t>LAUNDRY_BY_DESIGN_121005003_B2W_3.jpg</t>
        </is>
      </c>
      <c r="L671">
        <f>IMAGE("file:///E:/Estudios%20y%20certificaciones/ESTUDIOS%20DE%20PROGRAMMING/PROGRAMMING/PERSONAL/PYTHON/Image_Generator_API/imagenes/LAUNDRY_BY_DESIGN_121005003_B2W_1.jpg")</f>
        <v/>
      </c>
      <c r="M671">
        <f>IMAGE("file:///E:/Estudios%20y%20certificaciones/ESTUDIOS%20DE%20PROGRAMMING/PROGRAMMING/PERSONAL/PYTHON/Image_Generator_API/imagenes/LAUNDRY_BY_DESIGN_121005003_B2W_2.jpg")</f>
        <v/>
      </c>
      <c r="N671">
        <f>IMAGE("file:///E:/Estudios%20y%20certificaciones/ESTUDIOS%20DE%20PROGRAMMING/PROGRAMMING/PERSONAL/PYTHON/Image_Generator_API/imagenes/LAUNDRY_BY_DESIGN_121005003_B2W_3.jpg")</f>
        <v/>
      </c>
      <c r="O671">
        <f>HYPERLINK("imagenes/LAUNDRY_BY_DESIGN_121005003_B2W_1.jpg","Ver imagen")</f>
        <v/>
      </c>
      <c r="P671">
        <f>HYPERLINK("imagenes/LAUNDRY_BY_DESIGN_121005003_B2W_2.jpg","Ver imagen")</f>
        <v/>
      </c>
      <c r="Q671">
        <f>HYPERLINK("imagenes/LAUNDRY_BY_DESIGN_121005003_B2W_3.jpg","Ver imagen")</f>
        <v/>
      </c>
    </row>
    <row r="672">
      <c r="A672" t="inlineStr">
        <is>
          <t>LAUNDRY BY DESIGN</t>
        </is>
      </c>
      <c r="B672" t="inlineStr">
        <is>
          <t>121005003</t>
        </is>
      </c>
      <c r="C672" t="inlineStr">
        <is>
          <t>21" ZIP FRONT NON WOOL JACKET W PU(DUP13414)</t>
        </is>
      </c>
      <c r="D672" t="inlineStr">
        <is>
          <t>B2W</t>
        </is>
      </c>
      <c r="E672" t="inlineStr">
        <is>
          <t>(en blanco)</t>
        </is>
      </c>
      <c r="F672" t="inlineStr">
        <is>
          <t>(en blanco)</t>
        </is>
      </c>
      <c r="G672" t="inlineStr">
        <is>
          <t>XXL</t>
        </is>
      </c>
      <c r="H672" t="n">
        <v>44</v>
      </c>
      <c r="I672" t="inlineStr">
        <is>
          <t>LAUNDRY_BY_DESIGN_121005003_B2W_1.jpg</t>
        </is>
      </c>
      <c r="J672" t="inlineStr">
        <is>
          <t>LAUNDRY_BY_DESIGN_121005003_B2W_2.jpg</t>
        </is>
      </c>
      <c r="K672" t="inlineStr">
        <is>
          <t>LAUNDRY_BY_DESIGN_121005003_B2W_3.jpg</t>
        </is>
      </c>
      <c r="L672">
        <f>IMAGE("file:///E:/Estudios%20y%20certificaciones/ESTUDIOS%20DE%20PROGRAMMING/PROGRAMMING/PERSONAL/PYTHON/Image_Generator_API/imagenes/LAUNDRY_BY_DESIGN_121005003_B2W_1.jpg")</f>
        <v/>
      </c>
      <c r="M672">
        <f>IMAGE("file:///E:/Estudios%20y%20certificaciones/ESTUDIOS%20DE%20PROGRAMMING/PROGRAMMING/PERSONAL/PYTHON/Image_Generator_API/imagenes/LAUNDRY_BY_DESIGN_121005003_B2W_2.jpg")</f>
        <v/>
      </c>
      <c r="N672">
        <f>IMAGE("file:///E:/Estudios%20y%20certificaciones/ESTUDIOS%20DE%20PROGRAMMING/PROGRAMMING/PERSONAL/PYTHON/Image_Generator_API/imagenes/LAUNDRY_BY_DESIGN_121005003_B2W_3.jpg")</f>
        <v/>
      </c>
      <c r="O672">
        <f>HYPERLINK("imagenes/LAUNDRY_BY_DESIGN_121005003_B2W_1.jpg","Ver imagen")</f>
        <v/>
      </c>
      <c r="P672">
        <f>HYPERLINK("imagenes/LAUNDRY_BY_DESIGN_121005003_B2W_2.jpg","Ver imagen")</f>
        <v/>
      </c>
      <c r="Q672">
        <f>HYPERLINK("imagenes/LAUNDRY_BY_DESIGN_121005003_B2W_3.jpg","Ver imagen")</f>
        <v/>
      </c>
    </row>
    <row r="673">
      <c r="A673" t="inlineStr">
        <is>
          <t>LAUNDRY BY DESIGN</t>
        </is>
      </c>
      <c r="B673" t="inlineStr">
        <is>
          <t>121005003</t>
        </is>
      </c>
      <c r="C673" t="inlineStr">
        <is>
          <t>21" ZIP FRONT NON WOOL JACKET W PU(DUP13414)</t>
        </is>
      </c>
      <c r="D673" t="inlineStr">
        <is>
          <t>BEG</t>
        </is>
      </c>
      <c r="E673" t="inlineStr">
        <is>
          <t>08A06</t>
        </is>
      </c>
      <c r="F673" t="inlineStr">
        <is>
          <t>(en blanco)</t>
        </is>
      </c>
      <c r="G673" t="inlineStr">
        <is>
          <t>PPK</t>
        </is>
      </c>
      <c r="H673" t="n">
        <v>472</v>
      </c>
      <c r="I673" t="inlineStr">
        <is>
          <t>LAUNDRY_BY_DESIGN_121005003_BEG_1.jpg</t>
        </is>
      </c>
      <c r="J673" t="inlineStr">
        <is>
          <t>LAUNDRY_BY_DESIGN_121005003_BEG_2.jpg</t>
        </is>
      </c>
      <c r="K673" t="inlineStr">
        <is>
          <t>LAUNDRY_BY_DESIGN_121005003_BEG_3.jpg</t>
        </is>
      </c>
      <c r="L673">
        <f>IMAGE("file:///E:/Estudios%20y%20certificaciones/ESTUDIOS%20DE%20PROGRAMMING/PROGRAMMING/PERSONAL/PYTHON/Image_Generator_API/imagenes/LAUNDRY_BY_DESIGN_121005003_BEG_1.jpg")</f>
        <v/>
      </c>
      <c r="M673">
        <f>IMAGE("file:///E:/Estudios%20y%20certificaciones/ESTUDIOS%20DE%20PROGRAMMING/PROGRAMMING/PERSONAL/PYTHON/Image_Generator_API/imagenes/LAUNDRY_BY_DESIGN_121005003_BEG_2.jpg")</f>
        <v/>
      </c>
      <c r="N673">
        <f>IMAGE("file:///E:/Estudios%20y%20certificaciones/ESTUDIOS%20DE%20PROGRAMMING/PROGRAMMING/PERSONAL/PYTHON/Image_Generator_API/imagenes/LAUNDRY_BY_DESIGN_121005003_BEG_3.jpg")</f>
        <v/>
      </c>
      <c r="O673">
        <f>HYPERLINK("imagenes/LAUNDRY_BY_DESIGN_121005003_BEG_1.jpg","Ver imagen")</f>
        <v/>
      </c>
      <c r="P673">
        <f>HYPERLINK("imagenes/LAUNDRY_BY_DESIGN_121005003_BEG_2.jpg","Ver imagen")</f>
        <v/>
      </c>
      <c r="Q673">
        <f>HYPERLINK("imagenes/LAUNDRY_BY_DESIGN_121005003_BEG_3.jpg","Ver imagen")</f>
        <v/>
      </c>
    </row>
    <row r="674">
      <c r="A674" t="inlineStr">
        <is>
          <t>LAUNDRY BY DESIGN</t>
        </is>
      </c>
      <c r="B674" t="inlineStr">
        <is>
          <t>121005003</t>
        </is>
      </c>
      <c r="C674" t="inlineStr">
        <is>
          <t>21" ZIP FRONT NON WOOL JACKET W PU(DUP13414)</t>
        </is>
      </c>
      <c r="D674" t="inlineStr">
        <is>
          <t>BEG</t>
        </is>
      </c>
      <c r="E674" t="inlineStr">
        <is>
          <t>12A08</t>
        </is>
      </c>
      <c r="F674" t="inlineStr">
        <is>
          <t>(en blanco)</t>
        </is>
      </c>
      <c r="G674" t="inlineStr">
        <is>
          <t>PPK</t>
        </is>
      </c>
      <c r="H674" t="n">
        <v>492</v>
      </c>
      <c r="I674" t="inlineStr">
        <is>
          <t>LAUNDRY_BY_DESIGN_121005003_BEG_1.jpg</t>
        </is>
      </c>
      <c r="J674" t="inlineStr">
        <is>
          <t>LAUNDRY_BY_DESIGN_121005003_BEG_2.jpg</t>
        </is>
      </c>
      <c r="K674" t="inlineStr">
        <is>
          <t>LAUNDRY_BY_DESIGN_121005003_BEG_3.jpg</t>
        </is>
      </c>
      <c r="L674">
        <f>IMAGE("file:///E:/Estudios%20y%20certificaciones/ESTUDIOS%20DE%20PROGRAMMING/PROGRAMMING/PERSONAL/PYTHON/Image_Generator_API/imagenes/LAUNDRY_BY_DESIGN_121005003_BEG_1.jpg")</f>
        <v/>
      </c>
      <c r="M674">
        <f>IMAGE("file:///E:/Estudios%20y%20certificaciones/ESTUDIOS%20DE%20PROGRAMMING/PROGRAMMING/PERSONAL/PYTHON/Image_Generator_API/imagenes/LAUNDRY_BY_DESIGN_121005003_BEG_2.jpg")</f>
        <v/>
      </c>
      <c r="N674">
        <f>IMAGE("file:///E:/Estudios%20y%20certificaciones/ESTUDIOS%20DE%20PROGRAMMING/PROGRAMMING/PERSONAL/PYTHON/Image_Generator_API/imagenes/LAUNDRY_BY_DESIGN_121005003_BEG_3.jpg")</f>
        <v/>
      </c>
      <c r="O674">
        <f>HYPERLINK("imagenes/LAUNDRY_BY_DESIGN_121005003_BEG_1.jpg","Ver imagen")</f>
        <v/>
      </c>
      <c r="P674">
        <f>HYPERLINK("imagenes/LAUNDRY_BY_DESIGN_121005003_BEG_2.jpg","Ver imagen")</f>
        <v/>
      </c>
      <c r="Q674">
        <f>HYPERLINK("imagenes/LAUNDRY_BY_DESIGN_121005003_BEG_3.jpg","Ver imagen")</f>
        <v/>
      </c>
    </row>
    <row r="675">
      <c r="A675" t="inlineStr">
        <is>
          <t>LAUNDRY BY DESIGN</t>
        </is>
      </c>
      <c r="B675" t="inlineStr">
        <is>
          <t>121005003</t>
        </is>
      </c>
      <c r="C675" t="inlineStr">
        <is>
          <t>21" ZIP FRONT NON WOOL JACKET W PU(DUP13414)</t>
        </is>
      </c>
      <c r="D675" t="inlineStr">
        <is>
          <t>BEG</t>
        </is>
      </c>
      <c r="E675" t="inlineStr">
        <is>
          <t>(en blanco)</t>
        </is>
      </c>
      <c r="F675" t="inlineStr">
        <is>
          <t>D2C</t>
        </is>
      </c>
      <c r="G675" t="inlineStr">
        <is>
          <t>L</t>
        </is>
      </c>
      <c r="H675" t="n">
        <v>3</v>
      </c>
      <c r="I675" t="inlineStr">
        <is>
          <t>LAUNDRY_BY_DESIGN_121005003_BEG_1.jpg</t>
        </is>
      </c>
      <c r="J675" t="inlineStr">
        <is>
          <t>LAUNDRY_BY_DESIGN_121005003_BEG_2.jpg</t>
        </is>
      </c>
      <c r="K675" t="inlineStr">
        <is>
          <t>LAUNDRY_BY_DESIGN_121005003_BEG_3.jpg</t>
        </is>
      </c>
      <c r="L675">
        <f>IMAGE("file:///E:/Estudios%20y%20certificaciones/ESTUDIOS%20DE%20PROGRAMMING/PROGRAMMING/PERSONAL/PYTHON/Image_Generator_API/imagenes/LAUNDRY_BY_DESIGN_121005003_BEG_1.jpg")</f>
        <v/>
      </c>
      <c r="M675">
        <f>IMAGE("file:///E:/Estudios%20y%20certificaciones/ESTUDIOS%20DE%20PROGRAMMING/PROGRAMMING/PERSONAL/PYTHON/Image_Generator_API/imagenes/LAUNDRY_BY_DESIGN_121005003_BEG_2.jpg")</f>
        <v/>
      </c>
      <c r="N675">
        <f>IMAGE("file:///E:/Estudios%20y%20certificaciones/ESTUDIOS%20DE%20PROGRAMMING/PROGRAMMING/PERSONAL/PYTHON/Image_Generator_API/imagenes/LAUNDRY_BY_DESIGN_121005003_BEG_3.jpg")</f>
        <v/>
      </c>
      <c r="O675">
        <f>HYPERLINK("imagenes/LAUNDRY_BY_DESIGN_121005003_BEG_1.jpg","Ver imagen")</f>
        <v/>
      </c>
      <c r="P675">
        <f>HYPERLINK("imagenes/LAUNDRY_BY_DESIGN_121005003_BEG_2.jpg","Ver imagen")</f>
        <v/>
      </c>
      <c r="Q675">
        <f>HYPERLINK("imagenes/LAUNDRY_BY_DESIGN_121005003_BEG_3.jpg","Ver imagen")</f>
        <v/>
      </c>
    </row>
    <row r="676">
      <c r="A676" t="inlineStr">
        <is>
          <t>LAUNDRY BY DESIGN</t>
        </is>
      </c>
      <c r="B676" t="inlineStr">
        <is>
          <t>121005003</t>
        </is>
      </c>
      <c r="C676" t="inlineStr">
        <is>
          <t>21" ZIP FRONT NON WOOL JACKET W PU(DUP13414)</t>
        </is>
      </c>
      <c r="D676" t="inlineStr">
        <is>
          <t>BEG</t>
        </is>
      </c>
      <c r="E676" t="inlineStr">
        <is>
          <t>(en blanco)</t>
        </is>
      </c>
      <c r="F676" t="inlineStr">
        <is>
          <t>D2C</t>
        </is>
      </c>
      <c r="G676" t="inlineStr">
        <is>
          <t>XL</t>
        </is>
      </c>
      <c r="H676" t="n">
        <v>35</v>
      </c>
      <c r="I676" t="inlineStr">
        <is>
          <t>LAUNDRY_BY_DESIGN_121005003_BEG_1.jpg</t>
        </is>
      </c>
      <c r="J676" t="inlineStr">
        <is>
          <t>LAUNDRY_BY_DESIGN_121005003_BEG_2.jpg</t>
        </is>
      </c>
      <c r="K676" t="inlineStr">
        <is>
          <t>LAUNDRY_BY_DESIGN_121005003_BEG_3.jpg</t>
        </is>
      </c>
      <c r="L676">
        <f>IMAGE("file:///E:/Estudios%20y%20certificaciones/ESTUDIOS%20DE%20PROGRAMMING/PROGRAMMING/PERSONAL/PYTHON/Image_Generator_API/imagenes/LAUNDRY_BY_DESIGN_121005003_BEG_1.jpg")</f>
        <v/>
      </c>
      <c r="M676">
        <f>IMAGE("file:///E:/Estudios%20y%20certificaciones/ESTUDIOS%20DE%20PROGRAMMING/PROGRAMMING/PERSONAL/PYTHON/Image_Generator_API/imagenes/LAUNDRY_BY_DESIGN_121005003_BEG_2.jpg")</f>
        <v/>
      </c>
      <c r="N676">
        <f>IMAGE("file:///E:/Estudios%20y%20certificaciones/ESTUDIOS%20DE%20PROGRAMMING/PROGRAMMING/PERSONAL/PYTHON/Image_Generator_API/imagenes/LAUNDRY_BY_DESIGN_121005003_BEG_3.jpg")</f>
        <v/>
      </c>
      <c r="O676">
        <f>HYPERLINK("imagenes/LAUNDRY_BY_DESIGN_121005003_BEG_1.jpg","Ver imagen")</f>
        <v/>
      </c>
      <c r="P676">
        <f>HYPERLINK("imagenes/LAUNDRY_BY_DESIGN_121005003_BEG_2.jpg","Ver imagen")</f>
        <v/>
      </c>
      <c r="Q676">
        <f>HYPERLINK("imagenes/LAUNDRY_BY_DESIGN_121005003_BEG_3.jpg","Ver imagen")</f>
        <v/>
      </c>
    </row>
    <row r="677">
      <c r="A677" t="inlineStr">
        <is>
          <t>LAUNDRY BY DESIGN</t>
        </is>
      </c>
      <c r="B677" t="inlineStr">
        <is>
          <t>121005003</t>
        </is>
      </c>
      <c r="C677" t="inlineStr">
        <is>
          <t>21" ZIP FRONT NON WOOL JACKET W PU(DUP13414)</t>
        </is>
      </c>
      <c r="D677" t="inlineStr">
        <is>
          <t>BEG</t>
        </is>
      </c>
      <c r="E677" t="inlineStr">
        <is>
          <t>(en blanco)</t>
        </is>
      </c>
      <c r="F677" t="inlineStr">
        <is>
          <t>(en blanco)</t>
        </is>
      </c>
      <c r="G677" t="inlineStr">
        <is>
          <t>S</t>
        </is>
      </c>
      <c r="H677" t="n">
        <v>2</v>
      </c>
      <c r="I677" t="inlineStr">
        <is>
          <t>LAUNDRY_BY_DESIGN_121005003_BEG_1.jpg</t>
        </is>
      </c>
      <c r="J677" t="inlineStr">
        <is>
          <t>LAUNDRY_BY_DESIGN_121005003_BEG_2.jpg</t>
        </is>
      </c>
      <c r="K677" t="inlineStr">
        <is>
          <t>LAUNDRY_BY_DESIGN_121005003_BEG_3.jpg</t>
        </is>
      </c>
      <c r="L677">
        <f>IMAGE("file:///E:/Estudios%20y%20certificaciones/ESTUDIOS%20DE%20PROGRAMMING/PROGRAMMING/PERSONAL/PYTHON/Image_Generator_API/imagenes/LAUNDRY_BY_DESIGN_121005003_BEG_1.jpg")</f>
        <v/>
      </c>
      <c r="M677">
        <f>IMAGE("file:///E:/Estudios%20y%20certificaciones/ESTUDIOS%20DE%20PROGRAMMING/PROGRAMMING/PERSONAL/PYTHON/Image_Generator_API/imagenes/LAUNDRY_BY_DESIGN_121005003_BEG_2.jpg")</f>
        <v/>
      </c>
      <c r="N677">
        <f>IMAGE("file:///E:/Estudios%20y%20certificaciones/ESTUDIOS%20DE%20PROGRAMMING/PROGRAMMING/PERSONAL/PYTHON/Image_Generator_API/imagenes/LAUNDRY_BY_DESIGN_121005003_BEG_3.jpg")</f>
        <v/>
      </c>
      <c r="O677">
        <f>HYPERLINK("imagenes/LAUNDRY_BY_DESIGN_121005003_BEG_1.jpg","Ver imagen")</f>
        <v/>
      </c>
      <c r="P677">
        <f>HYPERLINK("imagenes/LAUNDRY_BY_DESIGN_121005003_BEG_2.jpg","Ver imagen")</f>
        <v/>
      </c>
      <c r="Q677">
        <f>HYPERLINK("imagenes/LAUNDRY_BY_DESIGN_121005003_BEG_3.jpg","Ver imagen")</f>
        <v/>
      </c>
    </row>
    <row r="678">
      <c r="A678" t="inlineStr">
        <is>
          <t>LAUNDRY BY DESIGN</t>
        </is>
      </c>
      <c r="B678" t="inlineStr">
        <is>
          <t>121005003</t>
        </is>
      </c>
      <c r="C678" t="inlineStr">
        <is>
          <t>21" ZIP FRONT NON WOOL JACKET W PU(DUP13414)</t>
        </is>
      </c>
      <c r="D678" t="inlineStr">
        <is>
          <t>BEG</t>
        </is>
      </c>
      <c r="E678" t="inlineStr">
        <is>
          <t>(en blanco)</t>
        </is>
      </c>
      <c r="F678" t="inlineStr">
        <is>
          <t>(en blanco)</t>
        </is>
      </c>
      <c r="G678" t="inlineStr">
        <is>
          <t>M</t>
        </is>
      </c>
      <c r="H678" t="n">
        <v>28</v>
      </c>
      <c r="I678" t="inlineStr">
        <is>
          <t>LAUNDRY_BY_DESIGN_121005003_BEG_1.jpg</t>
        </is>
      </c>
      <c r="J678" t="inlineStr">
        <is>
          <t>LAUNDRY_BY_DESIGN_121005003_BEG_2.jpg</t>
        </is>
      </c>
      <c r="K678" t="inlineStr">
        <is>
          <t>LAUNDRY_BY_DESIGN_121005003_BEG_3.jpg</t>
        </is>
      </c>
      <c r="L678">
        <f>IMAGE("file:///E:/Estudios%20y%20certificaciones/ESTUDIOS%20DE%20PROGRAMMING/PROGRAMMING/PERSONAL/PYTHON/Image_Generator_API/imagenes/LAUNDRY_BY_DESIGN_121005003_BEG_1.jpg")</f>
        <v/>
      </c>
      <c r="M678">
        <f>IMAGE("file:///E:/Estudios%20y%20certificaciones/ESTUDIOS%20DE%20PROGRAMMING/PROGRAMMING/PERSONAL/PYTHON/Image_Generator_API/imagenes/LAUNDRY_BY_DESIGN_121005003_BEG_2.jpg")</f>
        <v/>
      </c>
      <c r="N678">
        <f>IMAGE("file:///E:/Estudios%20y%20certificaciones/ESTUDIOS%20DE%20PROGRAMMING/PROGRAMMING/PERSONAL/PYTHON/Image_Generator_API/imagenes/LAUNDRY_BY_DESIGN_121005003_BEG_3.jpg")</f>
        <v/>
      </c>
      <c r="O678">
        <f>HYPERLINK("imagenes/LAUNDRY_BY_DESIGN_121005003_BEG_1.jpg","Ver imagen")</f>
        <v/>
      </c>
      <c r="P678">
        <f>HYPERLINK("imagenes/LAUNDRY_BY_DESIGN_121005003_BEG_2.jpg","Ver imagen")</f>
        <v/>
      </c>
      <c r="Q678">
        <f>HYPERLINK("imagenes/LAUNDRY_BY_DESIGN_121005003_BEG_3.jpg","Ver imagen")</f>
        <v/>
      </c>
    </row>
    <row r="679">
      <c r="A679" t="inlineStr">
        <is>
          <t>LAUNDRY BY DESIGN</t>
        </is>
      </c>
      <c r="B679" t="inlineStr">
        <is>
          <t>121005003</t>
        </is>
      </c>
      <c r="C679" t="inlineStr">
        <is>
          <t>21" ZIP FRONT NON WOOL JACKET W PU(DUP13414)</t>
        </is>
      </c>
      <c r="D679" t="inlineStr">
        <is>
          <t>BEG</t>
        </is>
      </c>
      <c r="E679" t="inlineStr">
        <is>
          <t>(en blanco)</t>
        </is>
      </c>
      <c r="F679" t="inlineStr">
        <is>
          <t>(en blanco)</t>
        </is>
      </c>
      <c r="G679" t="inlineStr">
        <is>
          <t>L</t>
        </is>
      </c>
      <c r="H679" t="n">
        <v>35</v>
      </c>
      <c r="I679" t="inlineStr">
        <is>
          <t>LAUNDRY_BY_DESIGN_121005003_BEG_1.jpg</t>
        </is>
      </c>
      <c r="J679" t="inlineStr">
        <is>
          <t>LAUNDRY_BY_DESIGN_121005003_BEG_2.jpg</t>
        </is>
      </c>
      <c r="K679" t="inlineStr">
        <is>
          <t>LAUNDRY_BY_DESIGN_121005003_BEG_3.jpg</t>
        </is>
      </c>
      <c r="L679">
        <f>IMAGE("file:///E:/Estudios%20y%20certificaciones/ESTUDIOS%20DE%20PROGRAMMING/PROGRAMMING/PERSONAL/PYTHON/Image_Generator_API/imagenes/LAUNDRY_BY_DESIGN_121005003_BEG_1.jpg")</f>
        <v/>
      </c>
      <c r="M679">
        <f>IMAGE("file:///E:/Estudios%20y%20certificaciones/ESTUDIOS%20DE%20PROGRAMMING/PROGRAMMING/PERSONAL/PYTHON/Image_Generator_API/imagenes/LAUNDRY_BY_DESIGN_121005003_BEG_2.jpg")</f>
        <v/>
      </c>
      <c r="N679">
        <f>IMAGE("file:///E:/Estudios%20y%20certificaciones/ESTUDIOS%20DE%20PROGRAMMING/PROGRAMMING/PERSONAL/PYTHON/Image_Generator_API/imagenes/LAUNDRY_BY_DESIGN_121005003_BEG_3.jpg")</f>
        <v/>
      </c>
      <c r="O679">
        <f>HYPERLINK("imagenes/LAUNDRY_BY_DESIGN_121005003_BEG_1.jpg","Ver imagen")</f>
        <v/>
      </c>
      <c r="P679">
        <f>HYPERLINK("imagenes/LAUNDRY_BY_DESIGN_121005003_BEG_2.jpg","Ver imagen")</f>
        <v/>
      </c>
      <c r="Q679">
        <f>HYPERLINK("imagenes/LAUNDRY_BY_DESIGN_121005003_BEG_3.jpg","Ver imagen")</f>
        <v/>
      </c>
    </row>
    <row r="680">
      <c r="A680" t="inlineStr">
        <is>
          <t>LAUNDRY BY DESIGN</t>
        </is>
      </c>
      <c r="B680" t="inlineStr">
        <is>
          <t>121005003</t>
        </is>
      </c>
      <c r="C680" t="inlineStr">
        <is>
          <t>21" ZIP FRONT NON WOOL JACKET W PU(DUP13414)</t>
        </is>
      </c>
      <c r="D680" t="inlineStr">
        <is>
          <t>BEG</t>
        </is>
      </c>
      <c r="E680" t="inlineStr">
        <is>
          <t>(en blanco)</t>
        </is>
      </c>
      <c r="F680" t="inlineStr">
        <is>
          <t>(en blanco)</t>
        </is>
      </c>
      <c r="G680" t="inlineStr">
        <is>
          <t>XL</t>
        </is>
      </c>
      <c r="H680" t="n">
        <v>18</v>
      </c>
      <c r="I680" t="inlineStr">
        <is>
          <t>LAUNDRY_BY_DESIGN_121005003_BEG_1.jpg</t>
        </is>
      </c>
      <c r="J680" t="inlineStr">
        <is>
          <t>LAUNDRY_BY_DESIGN_121005003_BEG_2.jpg</t>
        </is>
      </c>
      <c r="K680" t="inlineStr">
        <is>
          <t>LAUNDRY_BY_DESIGN_121005003_BEG_3.jpg</t>
        </is>
      </c>
      <c r="L680">
        <f>IMAGE("file:///E:/Estudios%20y%20certificaciones/ESTUDIOS%20DE%20PROGRAMMING/PROGRAMMING/PERSONAL/PYTHON/Image_Generator_API/imagenes/LAUNDRY_BY_DESIGN_121005003_BEG_1.jpg")</f>
        <v/>
      </c>
      <c r="M680">
        <f>IMAGE("file:///E:/Estudios%20y%20certificaciones/ESTUDIOS%20DE%20PROGRAMMING/PROGRAMMING/PERSONAL/PYTHON/Image_Generator_API/imagenes/LAUNDRY_BY_DESIGN_121005003_BEG_2.jpg")</f>
        <v/>
      </c>
      <c r="N680">
        <f>IMAGE("file:///E:/Estudios%20y%20certificaciones/ESTUDIOS%20DE%20PROGRAMMING/PROGRAMMING/PERSONAL/PYTHON/Image_Generator_API/imagenes/LAUNDRY_BY_DESIGN_121005003_BEG_3.jpg")</f>
        <v/>
      </c>
      <c r="O680">
        <f>HYPERLINK("imagenes/LAUNDRY_BY_DESIGN_121005003_BEG_1.jpg","Ver imagen")</f>
        <v/>
      </c>
      <c r="P680">
        <f>HYPERLINK("imagenes/LAUNDRY_BY_DESIGN_121005003_BEG_2.jpg","Ver imagen")</f>
        <v/>
      </c>
      <c r="Q680">
        <f>HYPERLINK("imagenes/LAUNDRY_BY_DESIGN_121005003_BEG_3.jpg","Ver imagen")</f>
        <v/>
      </c>
    </row>
    <row r="681">
      <c r="A681" t="inlineStr">
        <is>
          <t>LAUNDRY BY DESIGN</t>
        </is>
      </c>
      <c r="B681" t="inlineStr">
        <is>
          <t>121005003</t>
        </is>
      </c>
      <c r="C681" t="inlineStr">
        <is>
          <t>21" ZIP FRONT NON WOOL JACKET W PU(DUP13414)</t>
        </is>
      </c>
      <c r="D681" t="inlineStr">
        <is>
          <t>BEG</t>
        </is>
      </c>
      <c r="E681" t="inlineStr">
        <is>
          <t>(en blanco)</t>
        </is>
      </c>
      <c r="F681" t="inlineStr">
        <is>
          <t>(en blanco)</t>
        </is>
      </c>
      <c r="G681" t="inlineStr">
        <is>
          <t>XXL</t>
        </is>
      </c>
      <c r="H681" t="n">
        <v>50</v>
      </c>
      <c r="I681" t="inlineStr">
        <is>
          <t>LAUNDRY_BY_DESIGN_121005003_BEG_1.jpg</t>
        </is>
      </c>
      <c r="J681" t="inlineStr">
        <is>
          <t>LAUNDRY_BY_DESIGN_121005003_BEG_2.jpg</t>
        </is>
      </c>
      <c r="K681" t="inlineStr">
        <is>
          <t>LAUNDRY_BY_DESIGN_121005003_BEG_3.jpg</t>
        </is>
      </c>
      <c r="L681">
        <f>IMAGE("file:///E:/Estudios%20y%20certificaciones/ESTUDIOS%20DE%20PROGRAMMING/PROGRAMMING/PERSONAL/PYTHON/Image_Generator_API/imagenes/LAUNDRY_BY_DESIGN_121005003_BEG_1.jpg")</f>
        <v/>
      </c>
      <c r="M681">
        <f>IMAGE("file:///E:/Estudios%20y%20certificaciones/ESTUDIOS%20DE%20PROGRAMMING/PROGRAMMING/PERSONAL/PYTHON/Image_Generator_API/imagenes/LAUNDRY_BY_DESIGN_121005003_BEG_2.jpg")</f>
        <v/>
      </c>
      <c r="N681">
        <f>IMAGE("file:///E:/Estudios%20y%20certificaciones/ESTUDIOS%20DE%20PROGRAMMING/PROGRAMMING/PERSONAL/PYTHON/Image_Generator_API/imagenes/LAUNDRY_BY_DESIGN_121005003_BEG_3.jpg")</f>
        <v/>
      </c>
      <c r="O681">
        <f>HYPERLINK("imagenes/LAUNDRY_BY_DESIGN_121005003_BEG_1.jpg","Ver imagen")</f>
        <v/>
      </c>
      <c r="P681">
        <f>HYPERLINK("imagenes/LAUNDRY_BY_DESIGN_121005003_BEG_2.jpg","Ver imagen")</f>
        <v/>
      </c>
      <c r="Q681">
        <f>HYPERLINK("imagenes/LAUNDRY_BY_DESIGN_121005003_BEG_3.jpg","Ver imagen")</f>
        <v/>
      </c>
    </row>
    <row r="682">
      <c r="A682" t="inlineStr">
        <is>
          <t>LAUNDRY BY DESIGN</t>
        </is>
      </c>
      <c r="B682" t="inlineStr">
        <is>
          <t>121005004</t>
        </is>
      </c>
      <c r="C682" t="inlineStr">
        <is>
          <t>22" KNIT COLLAR SHORT PUFFER VEST(DUP13375)</t>
        </is>
      </c>
      <c r="D682" t="inlineStr">
        <is>
          <t>BLK</t>
        </is>
      </c>
      <c r="E682" t="inlineStr">
        <is>
          <t>(en blanco)</t>
        </is>
      </c>
      <c r="F682" t="inlineStr">
        <is>
          <t>(en blanco)</t>
        </is>
      </c>
      <c r="G682" t="inlineStr">
        <is>
          <t>M</t>
        </is>
      </c>
      <c r="H682" t="n">
        <v>1</v>
      </c>
      <c r="I682" t="inlineStr">
        <is>
          <t>LAUNDRY_BY_DESIGN_121005004_BLK_1.jpg</t>
        </is>
      </c>
      <c r="J682" t="inlineStr">
        <is>
          <t>LAUNDRY_BY_DESIGN_121005004_BLK_2.jpg</t>
        </is>
      </c>
      <c r="K682" t="inlineStr">
        <is>
          <t>LAUNDRY_BY_DESIGN_121005004_BLK_3.jpg</t>
        </is>
      </c>
      <c r="L682">
        <f>IMAGE("file:///E:/Estudios%20y%20certificaciones/ESTUDIOS%20DE%20PROGRAMMING/PROGRAMMING/PERSONAL/PYTHON/Image_Generator_API/imagenes/LAUNDRY_BY_DESIGN_121005004_BLK_1.jpg")</f>
        <v/>
      </c>
      <c r="M682">
        <f>IMAGE("file:///E:/Estudios%20y%20certificaciones/ESTUDIOS%20DE%20PROGRAMMING/PROGRAMMING/PERSONAL/PYTHON/Image_Generator_API/imagenes/LAUNDRY_BY_DESIGN_121005004_BLK_2.jpg")</f>
        <v/>
      </c>
      <c r="N682">
        <f>IMAGE("file:///E:/Estudios%20y%20certificaciones/ESTUDIOS%20DE%20PROGRAMMING/PROGRAMMING/PERSONAL/PYTHON/Image_Generator_API/imagenes/LAUNDRY_BY_DESIGN_121005004_BLK_3.jpg")</f>
        <v/>
      </c>
      <c r="O682">
        <f>HYPERLINK("imagenes/LAUNDRY_BY_DESIGN_121005004_BLK_1.jpg","Ver imagen")</f>
        <v/>
      </c>
      <c r="P682">
        <f>HYPERLINK("imagenes/LAUNDRY_BY_DESIGN_121005004_BLK_2.jpg","Ver imagen")</f>
        <v/>
      </c>
      <c r="Q682">
        <f>HYPERLINK("imagenes/LAUNDRY_BY_DESIGN_121005004_BLK_3.jpg","Ver imagen")</f>
        <v/>
      </c>
    </row>
    <row r="683">
      <c r="A683" t="inlineStr">
        <is>
          <t>LAUNDRY BY DESIGN</t>
        </is>
      </c>
      <c r="B683" t="inlineStr">
        <is>
          <t>121005004</t>
        </is>
      </c>
      <c r="C683" t="inlineStr">
        <is>
          <t>22" KNIT COLLAR SHORT PUFFER VEST(DUP13375)</t>
        </is>
      </c>
      <c r="D683" t="inlineStr">
        <is>
          <t>BLK</t>
        </is>
      </c>
      <c r="E683" t="inlineStr">
        <is>
          <t>(en blanco)</t>
        </is>
      </c>
      <c r="F683" t="inlineStr">
        <is>
          <t>(en blanco)</t>
        </is>
      </c>
      <c r="G683" t="inlineStr">
        <is>
          <t>XL</t>
        </is>
      </c>
      <c r="H683" t="n">
        <v>2</v>
      </c>
      <c r="I683" t="inlineStr">
        <is>
          <t>LAUNDRY_BY_DESIGN_121005004_BLK_1.jpg</t>
        </is>
      </c>
      <c r="J683" t="inlineStr">
        <is>
          <t>LAUNDRY_BY_DESIGN_121005004_BLK_2.jpg</t>
        </is>
      </c>
      <c r="K683" t="inlineStr">
        <is>
          <t>LAUNDRY_BY_DESIGN_121005004_BLK_3.jpg</t>
        </is>
      </c>
      <c r="L683">
        <f>IMAGE("file:///E:/Estudios%20y%20certificaciones/ESTUDIOS%20DE%20PROGRAMMING/PROGRAMMING/PERSONAL/PYTHON/Image_Generator_API/imagenes/LAUNDRY_BY_DESIGN_121005004_BLK_1.jpg")</f>
        <v/>
      </c>
      <c r="M683">
        <f>IMAGE("file:///E:/Estudios%20y%20certificaciones/ESTUDIOS%20DE%20PROGRAMMING/PROGRAMMING/PERSONAL/PYTHON/Image_Generator_API/imagenes/LAUNDRY_BY_DESIGN_121005004_BLK_2.jpg")</f>
        <v/>
      </c>
      <c r="N683">
        <f>IMAGE("file:///E:/Estudios%20y%20certificaciones/ESTUDIOS%20DE%20PROGRAMMING/PROGRAMMING/PERSONAL/PYTHON/Image_Generator_API/imagenes/LAUNDRY_BY_DESIGN_121005004_BLK_3.jpg")</f>
        <v/>
      </c>
      <c r="O683">
        <f>HYPERLINK("imagenes/LAUNDRY_BY_DESIGN_121005004_BLK_1.jpg","Ver imagen")</f>
        <v/>
      </c>
      <c r="P683">
        <f>HYPERLINK("imagenes/LAUNDRY_BY_DESIGN_121005004_BLK_2.jpg","Ver imagen")</f>
        <v/>
      </c>
      <c r="Q683">
        <f>HYPERLINK("imagenes/LAUNDRY_BY_DESIGN_121005004_BLK_3.jpg","Ver imagen")</f>
        <v/>
      </c>
    </row>
    <row r="684">
      <c r="A684" t="inlineStr">
        <is>
          <t>LAUNDRY BY DESIGN</t>
        </is>
      </c>
      <c r="B684" t="inlineStr">
        <is>
          <t>121005007</t>
        </is>
      </c>
      <c r="C684" t="inlineStr">
        <is>
          <t>34.5" NON WOOL WITH BIB COAT (DUP13410)</t>
        </is>
      </c>
      <c r="D684" t="inlineStr">
        <is>
          <t>BLK</t>
        </is>
      </c>
      <c r="E684" t="inlineStr">
        <is>
          <t>06A01</t>
        </is>
      </c>
      <c r="F684" t="inlineStr">
        <is>
          <t>(en blanco)</t>
        </is>
      </c>
      <c r="G684" t="inlineStr">
        <is>
          <t>PPK</t>
        </is>
      </c>
      <c r="H684" t="n">
        <v>12</v>
      </c>
      <c r="I684" t="inlineStr">
        <is>
          <t>LAUNDRY_BY_DESIGN_121005007_BLK_1.jpg</t>
        </is>
      </c>
      <c r="J684" t="inlineStr">
        <is>
          <t>LAUNDRY_BY_DESIGN_121005007_BLK_3.jpg</t>
        </is>
      </c>
      <c r="L684">
        <f>IMAGE("file:///E:/Estudios%20y%20certificaciones/ESTUDIOS%20DE%20PROGRAMMING/PROGRAMMING/PERSONAL/PYTHON/Image_Generator_API/imagenes/LAUNDRY_BY_DESIGN_121005007_BLK_1.jpg")</f>
        <v/>
      </c>
      <c r="M684">
        <f>IMAGE("file:///E:/Estudios%20y%20certificaciones/ESTUDIOS%20DE%20PROGRAMMING/PROGRAMMING/PERSONAL/PYTHON/Image_Generator_API/imagenes/LAUNDRY_BY_DESIGN_121005007_BLK_3.jpg")</f>
        <v/>
      </c>
      <c r="O684">
        <f>HYPERLINK("imagenes/LAUNDRY_BY_DESIGN_121005007_BLK_1.jpg","Ver imagen")</f>
        <v/>
      </c>
      <c r="P684">
        <f>HYPERLINK("imagenes/LAUNDRY_BY_DESIGN_121005007_BLK_3.jpg","Ver imagen")</f>
        <v/>
      </c>
    </row>
    <row r="685">
      <c r="A685" t="inlineStr">
        <is>
          <t>LAUNDRY BY DESIGN</t>
        </is>
      </c>
      <c r="B685" t="inlineStr">
        <is>
          <t>121005007</t>
        </is>
      </c>
      <c r="C685" t="inlineStr">
        <is>
          <t>34.5" NON WOOL WITH BIB COAT (DUP13410)</t>
        </is>
      </c>
      <c r="D685" t="inlineStr">
        <is>
          <t>BLK</t>
        </is>
      </c>
      <c r="E685" t="inlineStr">
        <is>
          <t>08A06</t>
        </is>
      </c>
      <c r="F685" t="inlineStr">
        <is>
          <t>(en blanco)</t>
        </is>
      </c>
      <c r="G685" t="inlineStr">
        <is>
          <t>PPK</t>
        </is>
      </c>
      <c r="H685" t="n">
        <v>8</v>
      </c>
      <c r="I685" t="inlineStr">
        <is>
          <t>LAUNDRY_BY_DESIGN_121005007_BLK_1.jpg</t>
        </is>
      </c>
      <c r="J685" t="inlineStr">
        <is>
          <t>LAUNDRY_BY_DESIGN_121005007_BLK_3.jpg</t>
        </is>
      </c>
      <c r="L685">
        <f>IMAGE("file:///E:/Estudios%20y%20certificaciones/ESTUDIOS%20DE%20PROGRAMMING/PROGRAMMING/PERSONAL/PYTHON/Image_Generator_API/imagenes/LAUNDRY_BY_DESIGN_121005007_BLK_1.jpg")</f>
        <v/>
      </c>
      <c r="M685">
        <f>IMAGE("file:///E:/Estudios%20y%20certificaciones/ESTUDIOS%20DE%20PROGRAMMING/PROGRAMMING/PERSONAL/PYTHON/Image_Generator_API/imagenes/LAUNDRY_BY_DESIGN_121005007_BLK_3.jpg")</f>
        <v/>
      </c>
      <c r="O685">
        <f>HYPERLINK("imagenes/LAUNDRY_BY_DESIGN_121005007_BLK_1.jpg","Ver imagen")</f>
        <v/>
      </c>
      <c r="P685">
        <f>HYPERLINK("imagenes/LAUNDRY_BY_DESIGN_121005007_BLK_3.jpg","Ver imagen")</f>
        <v/>
      </c>
    </row>
    <row r="686">
      <c r="A686" t="inlineStr">
        <is>
          <t>LAUNDRY BY DESIGN</t>
        </is>
      </c>
      <c r="B686" t="inlineStr">
        <is>
          <t>121005008</t>
        </is>
      </c>
      <c r="C686" t="inlineStr">
        <is>
          <t>30.5" SOFTSHELL WITH PLACKET(DUP13132)</t>
        </is>
      </c>
      <c r="D686" t="inlineStr">
        <is>
          <t>MGN</t>
        </is>
      </c>
      <c r="E686" t="inlineStr">
        <is>
          <t>(en blanco)</t>
        </is>
      </c>
      <c r="F686" t="inlineStr">
        <is>
          <t>D2C</t>
        </is>
      </c>
      <c r="G686" t="inlineStr">
        <is>
          <t>M</t>
        </is>
      </c>
      <c r="H686" t="n">
        <v>2</v>
      </c>
      <c r="I686" t="inlineStr">
        <is>
          <t>LAUNDRY_BY_DESIGN_121005008_MGN_1.jpg</t>
        </is>
      </c>
      <c r="J686" t="inlineStr">
        <is>
          <t>LAUNDRY_BY_DESIGN_121005008_MGN_2.jpg</t>
        </is>
      </c>
      <c r="K686" t="inlineStr">
        <is>
          <t>LAUNDRY_BY_DESIGN_121005008_MGN_3.jpg</t>
        </is>
      </c>
      <c r="L686">
        <f>IMAGE("file:///E:/Estudios%20y%20certificaciones/ESTUDIOS%20DE%20PROGRAMMING/PROGRAMMING/PERSONAL/PYTHON/Image_Generator_API/imagenes/LAUNDRY_BY_DESIGN_121005008_MGN_1.jpg")</f>
        <v/>
      </c>
      <c r="M686">
        <f>IMAGE("file:///E:/Estudios%20y%20certificaciones/ESTUDIOS%20DE%20PROGRAMMING/PROGRAMMING/PERSONAL/PYTHON/Image_Generator_API/imagenes/LAUNDRY_BY_DESIGN_121005008_MGN_2.jpg")</f>
        <v/>
      </c>
      <c r="N686">
        <f>IMAGE("file:///E:/Estudios%20y%20certificaciones/ESTUDIOS%20DE%20PROGRAMMING/PROGRAMMING/PERSONAL/PYTHON/Image_Generator_API/imagenes/LAUNDRY_BY_DESIGN_121005008_MGN_3.jpg")</f>
        <v/>
      </c>
      <c r="O686">
        <f>HYPERLINK("imagenes/LAUNDRY_BY_DESIGN_121005008_MGN_1.jpg","Ver imagen")</f>
        <v/>
      </c>
      <c r="P686">
        <f>HYPERLINK("imagenes/LAUNDRY_BY_DESIGN_121005008_MGN_2.jpg","Ver imagen")</f>
        <v/>
      </c>
      <c r="Q686">
        <f>HYPERLINK("imagenes/LAUNDRY_BY_DESIGN_121005008_MGN_3.jpg","Ver imagen")</f>
        <v/>
      </c>
    </row>
    <row r="687">
      <c r="A687" t="inlineStr">
        <is>
          <t>LAUNDRY BY DESIGN</t>
        </is>
      </c>
      <c r="B687" t="inlineStr">
        <is>
          <t>121005008</t>
        </is>
      </c>
      <c r="C687" t="inlineStr">
        <is>
          <t>30.5" SOFTSHELL WITH PLACKET(DUP13132)</t>
        </is>
      </c>
      <c r="D687" t="inlineStr">
        <is>
          <t>MGN</t>
        </is>
      </c>
      <c r="E687" t="inlineStr">
        <is>
          <t>(en blanco)</t>
        </is>
      </c>
      <c r="F687" t="inlineStr">
        <is>
          <t>D2C</t>
        </is>
      </c>
      <c r="G687" t="inlineStr">
        <is>
          <t>L</t>
        </is>
      </c>
      <c r="H687" t="n">
        <v>1</v>
      </c>
      <c r="I687" t="inlineStr">
        <is>
          <t>LAUNDRY_BY_DESIGN_121005008_MGN_1.jpg</t>
        </is>
      </c>
      <c r="J687" t="inlineStr">
        <is>
          <t>LAUNDRY_BY_DESIGN_121005008_MGN_2.jpg</t>
        </is>
      </c>
      <c r="K687" t="inlineStr">
        <is>
          <t>LAUNDRY_BY_DESIGN_121005008_MGN_3.jpg</t>
        </is>
      </c>
      <c r="L687">
        <f>IMAGE("file:///E:/Estudios%20y%20certificaciones/ESTUDIOS%20DE%20PROGRAMMING/PROGRAMMING/PERSONAL/PYTHON/Image_Generator_API/imagenes/LAUNDRY_BY_DESIGN_121005008_MGN_1.jpg")</f>
        <v/>
      </c>
      <c r="M687">
        <f>IMAGE("file:///E:/Estudios%20y%20certificaciones/ESTUDIOS%20DE%20PROGRAMMING/PROGRAMMING/PERSONAL/PYTHON/Image_Generator_API/imagenes/LAUNDRY_BY_DESIGN_121005008_MGN_2.jpg")</f>
        <v/>
      </c>
      <c r="N687">
        <f>IMAGE("file:///E:/Estudios%20y%20certificaciones/ESTUDIOS%20DE%20PROGRAMMING/PROGRAMMING/PERSONAL/PYTHON/Image_Generator_API/imagenes/LAUNDRY_BY_DESIGN_121005008_MGN_3.jpg")</f>
        <v/>
      </c>
      <c r="O687">
        <f>HYPERLINK("imagenes/LAUNDRY_BY_DESIGN_121005008_MGN_1.jpg","Ver imagen")</f>
        <v/>
      </c>
      <c r="P687">
        <f>HYPERLINK("imagenes/LAUNDRY_BY_DESIGN_121005008_MGN_2.jpg","Ver imagen")</f>
        <v/>
      </c>
      <c r="Q687">
        <f>HYPERLINK("imagenes/LAUNDRY_BY_DESIGN_121005008_MGN_3.jpg","Ver imagen")</f>
        <v/>
      </c>
    </row>
    <row r="688">
      <c r="A688" t="inlineStr">
        <is>
          <t>LAUNDRY BY DESIGN</t>
        </is>
      </c>
      <c r="B688" t="inlineStr">
        <is>
          <t>121005008</t>
        </is>
      </c>
      <c r="C688" t="inlineStr">
        <is>
          <t>30.5" SOFTSHELL WITH PLACKET(DUP13132)</t>
        </is>
      </c>
      <c r="D688" t="inlineStr">
        <is>
          <t>MGN</t>
        </is>
      </c>
      <c r="E688" t="inlineStr">
        <is>
          <t>(en blanco)</t>
        </is>
      </c>
      <c r="F688" t="inlineStr">
        <is>
          <t>D2C</t>
        </is>
      </c>
      <c r="G688" t="inlineStr">
        <is>
          <t>XL</t>
        </is>
      </c>
      <c r="H688" t="n">
        <v>4</v>
      </c>
      <c r="I688" t="inlineStr">
        <is>
          <t>LAUNDRY_BY_DESIGN_121005008_MGN_1.jpg</t>
        </is>
      </c>
      <c r="J688" t="inlineStr">
        <is>
          <t>LAUNDRY_BY_DESIGN_121005008_MGN_2.jpg</t>
        </is>
      </c>
      <c r="K688" t="inlineStr">
        <is>
          <t>LAUNDRY_BY_DESIGN_121005008_MGN_3.jpg</t>
        </is>
      </c>
      <c r="L688">
        <f>IMAGE("file:///E:/Estudios%20y%20certificaciones/ESTUDIOS%20DE%20PROGRAMMING/PROGRAMMING/PERSONAL/PYTHON/Image_Generator_API/imagenes/LAUNDRY_BY_DESIGN_121005008_MGN_1.jpg")</f>
        <v/>
      </c>
      <c r="M688">
        <f>IMAGE("file:///E:/Estudios%20y%20certificaciones/ESTUDIOS%20DE%20PROGRAMMING/PROGRAMMING/PERSONAL/PYTHON/Image_Generator_API/imagenes/LAUNDRY_BY_DESIGN_121005008_MGN_2.jpg")</f>
        <v/>
      </c>
      <c r="N688">
        <f>IMAGE("file:///E:/Estudios%20y%20certificaciones/ESTUDIOS%20DE%20PROGRAMMING/PROGRAMMING/PERSONAL/PYTHON/Image_Generator_API/imagenes/LAUNDRY_BY_DESIGN_121005008_MGN_3.jpg")</f>
        <v/>
      </c>
      <c r="O688">
        <f>HYPERLINK("imagenes/LAUNDRY_BY_DESIGN_121005008_MGN_1.jpg","Ver imagen")</f>
        <v/>
      </c>
      <c r="P688">
        <f>HYPERLINK("imagenes/LAUNDRY_BY_DESIGN_121005008_MGN_2.jpg","Ver imagen")</f>
        <v/>
      </c>
      <c r="Q688">
        <f>HYPERLINK("imagenes/LAUNDRY_BY_DESIGN_121005008_MGN_3.jpg","Ver imagen")</f>
        <v/>
      </c>
    </row>
    <row r="689">
      <c r="A689" t="inlineStr">
        <is>
          <t>LAUNDRY BY DESIGN</t>
        </is>
      </c>
      <c r="B689" t="inlineStr">
        <is>
          <t>121005008</t>
        </is>
      </c>
      <c r="C689" t="inlineStr">
        <is>
          <t>30.5" SOFTSHELL WITH PLACKET(DUP13132)</t>
        </is>
      </c>
      <c r="D689" t="inlineStr">
        <is>
          <t>MGN</t>
        </is>
      </c>
      <c r="E689" t="inlineStr">
        <is>
          <t>(en blanco)</t>
        </is>
      </c>
      <c r="F689" t="inlineStr">
        <is>
          <t>D2C</t>
        </is>
      </c>
      <c r="G689" t="inlineStr">
        <is>
          <t>XXL</t>
        </is>
      </c>
      <c r="H689" t="n">
        <v>1</v>
      </c>
      <c r="I689" t="inlineStr">
        <is>
          <t>LAUNDRY_BY_DESIGN_121005008_MGN_1.jpg</t>
        </is>
      </c>
      <c r="J689" t="inlineStr">
        <is>
          <t>LAUNDRY_BY_DESIGN_121005008_MGN_2.jpg</t>
        </is>
      </c>
      <c r="K689" t="inlineStr">
        <is>
          <t>LAUNDRY_BY_DESIGN_121005008_MGN_3.jpg</t>
        </is>
      </c>
      <c r="L689">
        <f>IMAGE("file:///E:/Estudios%20y%20certificaciones/ESTUDIOS%20DE%20PROGRAMMING/PROGRAMMING/PERSONAL/PYTHON/Image_Generator_API/imagenes/LAUNDRY_BY_DESIGN_121005008_MGN_1.jpg")</f>
        <v/>
      </c>
      <c r="M689">
        <f>IMAGE("file:///E:/Estudios%20y%20certificaciones/ESTUDIOS%20DE%20PROGRAMMING/PROGRAMMING/PERSONAL/PYTHON/Image_Generator_API/imagenes/LAUNDRY_BY_DESIGN_121005008_MGN_2.jpg")</f>
        <v/>
      </c>
      <c r="N689">
        <f>IMAGE("file:///E:/Estudios%20y%20certificaciones/ESTUDIOS%20DE%20PROGRAMMING/PROGRAMMING/PERSONAL/PYTHON/Image_Generator_API/imagenes/LAUNDRY_BY_DESIGN_121005008_MGN_3.jpg")</f>
        <v/>
      </c>
      <c r="O689">
        <f>HYPERLINK("imagenes/LAUNDRY_BY_DESIGN_121005008_MGN_1.jpg","Ver imagen")</f>
        <v/>
      </c>
      <c r="P689">
        <f>HYPERLINK("imagenes/LAUNDRY_BY_DESIGN_121005008_MGN_2.jpg","Ver imagen")</f>
        <v/>
      </c>
      <c r="Q689">
        <f>HYPERLINK("imagenes/LAUNDRY_BY_DESIGN_121005008_MGN_3.jpg","Ver imagen")</f>
        <v/>
      </c>
    </row>
    <row r="690">
      <c r="A690" t="inlineStr">
        <is>
          <t>LAUNDRY BY DESIGN</t>
        </is>
      </c>
      <c r="B690" t="inlineStr">
        <is>
          <t>121005008</t>
        </is>
      </c>
      <c r="C690" t="inlineStr">
        <is>
          <t>30.5" SOFTSHELL WITH PLACKET(DUP13132)</t>
        </is>
      </c>
      <c r="D690" t="inlineStr">
        <is>
          <t>MGN</t>
        </is>
      </c>
      <c r="E690" t="inlineStr">
        <is>
          <t>(en blanco)</t>
        </is>
      </c>
      <c r="F690" t="inlineStr">
        <is>
          <t>(en blanco)</t>
        </is>
      </c>
      <c r="G690" t="inlineStr">
        <is>
          <t>S</t>
        </is>
      </c>
      <c r="H690" t="n">
        <v>1</v>
      </c>
      <c r="I690" t="inlineStr">
        <is>
          <t>LAUNDRY_BY_DESIGN_121005008_MGN_1.jpg</t>
        </is>
      </c>
      <c r="J690" t="inlineStr">
        <is>
          <t>LAUNDRY_BY_DESIGN_121005008_MGN_2.jpg</t>
        </is>
      </c>
      <c r="K690" t="inlineStr">
        <is>
          <t>LAUNDRY_BY_DESIGN_121005008_MGN_3.jpg</t>
        </is>
      </c>
      <c r="L690">
        <f>IMAGE("file:///E:/Estudios%20y%20certificaciones/ESTUDIOS%20DE%20PROGRAMMING/PROGRAMMING/PERSONAL/PYTHON/Image_Generator_API/imagenes/LAUNDRY_BY_DESIGN_121005008_MGN_1.jpg")</f>
        <v/>
      </c>
      <c r="M690">
        <f>IMAGE("file:///E:/Estudios%20y%20certificaciones/ESTUDIOS%20DE%20PROGRAMMING/PROGRAMMING/PERSONAL/PYTHON/Image_Generator_API/imagenes/LAUNDRY_BY_DESIGN_121005008_MGN_2.jpg")</f>
        <v/>
      </c>
      <c r="N690">
        <f>IMAGE("file:///E:/Estudios%20y%20certificaciones/ESTUDIOS%20DE%20PROGRAMMING/PROGRAMMING/PERSONAL/PYTHON/Image_Generator_API/imagenes/LAUNDRY_BY_DESIGN_121005008_MGN_3.jpg")</f>
        <v/>
      </c>
      <c r="O690">
        <f>HYPERLINK("imagenes/LAUNDRY_BY_DESIGN_121005008_MGN_1.jpg","Ver imagen")</f>
        <v/>
      </c>
      <c r="P690">
        <f>HYPERLINK("imagenes/LAUNDRY_BY_DESIGN_121005008_MGN_2.jpg","Ver imagen")</f>
        <v/>
      </c>
      <c r="Q690">
        <f>HYPERLINK("imagenes/LAUNDRY_BY_DESIGN_121005008_MGN_3.jpg","Ver imagen")</f>
        <v/>
      </c>
    </row>
    <row r="691">
      <c r="A691" t="inlineStr">
        <is>
          <t>LAUNDRY BY DESIGN</t>
        </is>
      </c>
      <c r="B691" t="inlineStr">
        <is>
          <t>121005008</t>
        </is>
      </c>
      <c r="C691" t="inlineStr">
        <is>
          <t>30.5" SOFTSHELL WITH PLACKET(DUP13132)</t>
        </is>
      </c>
      <c r="D691" t="inlineStr">
        <is>
          <t>MGN</t>
        </is>
      </c>
      <c r="E691" t="inlineStr">
        <is>
          <t>(en blanco)</t>
        </is>
      </c>
      <c r="F691" t="inlineStr">
        <is>
          <t>(en blanco)</t>
        </is>
      </c>
      <c r="G691" t="inlineStr">
        <is>
          <t>M</t>
        </is>
      </c>
      <c r="H691" t="n">
        <v>4</v>
      </c>
      <c r="I691" t="inlineStr">
        <is>
          <t>LAUNDRY_BY_DESIGN_121005008_MGN_1.jpg</t>
        </is>
      </c>
      <c r="J691" t="inlineStr">
        <is>
          <t>LAUNDRY_BY_DESIGN_121005008_MGN_2.jpg</t>
        </is>
      </c>
      <c r="K691" t="inlineStr">
        <is>
          <t>LAUNDRY_BY_DESIGN_121005008_MGN_3.jpg</t>
        </is>
      </c>
      <c r="L691">
        <f>IMAGE("file:///E:/Estudios%20y%20certificaciones/ESTUDIOS%20DE%20PROGRAMMING/PROGRAMMING/PERSONAL/PYTHON/Image_Generator_API/imagenes/LAUNDRY_BY_DESIGN_121005008_MGN_1.jpg")</f>
        <v/>
      </c>
      <c r="M691">
        <f>IMAGE("file:///E:/Estudios%20y%20certificaciones/ESTUDIOS%20DE%20PROGRAMMING/PROGRAMMING/PERSONAL/PYTHON/Image_Generator_API/imagenes/LAUNDRY_BY_DESIGN_121005008_MGN_2.jpg")</f>
        <v/>
      </c>
      <c r="N691">
        <f>IMAGE("file:///E:/Estudios%20y%20certificaciones/ESTUDIOS%20DE%20PROGRAMMING/PROGRAMMING/PERSONAL/PYTHON/Image_Generator_API/imagenes/LAUNDRY_BY_DESIGN_121005008_MGN_3.jpg")</f>
        <v/>
      </c>
      <c r="O691">
        <f>HYPERLINK("imagenes/LAUNDRY_BY_DESIGN_121005008_MGN_1.jpg","Ver imagen")</f>
        <v/>
      </c>
      <c r="P691">
        <f>HYPERLINK("imagenes/LAUNDRY_BY_DESIGN_121005008_MGN_2.jpg","Ver imagen")</f>
        <v/>
      </c>
      <c r="Q691">
        <f>HYPERLINK("imagenes/LAUNDRY_BY_DESIGN_121005008_MGN_3.jpg","Ver imagen")</f>
        <v/>
      </c>
    </row>
    <row r="692">
      <c r="A692" t="inlineStr">
        <is>
          <t>LAUNDRY BY DESIGN</t>
        </is>
      </c>
      <c r="B692" t="inlineStr">
        <is>
          <t>121005008</t>
        </is>
      </c>
      <c r="C692" t="inlineStr">
        <is>
          <t>30.5" SOFTSHELL WITH PLACKET(DUP13132)</t>
        </is>
      </c>
      <c r="D692" t="inlineStr">
        <is>
          <t>MGN</t>
        </is>
      </c>
      <c r="E692" t="inlineStr">
        <is>
          <t>(en blanco)</t>
        </is>
      </c>
      <c r="F692" t="inlineStr">
        <is>
          <t>(en blanco)</t>
        </is>
      </c>
      <c r="G692" t="inlineStr">
        <is>
          <t>L</t>
        </is>
      </c>
      <c r="H692" t="n">
        <v>2</v>
      </c>
      <c r="I692" t="inlineStr">
        <is>
          <t>LAUNDRY_BY_DESIGN_121005008_MGN_1.jpg</t>
        </is>
      </c>
      <c r="J692" t="inlineStr">
        <is>
          <t>LAUNDRY_BY_DESIGN_121005008_MGN_2.jpg</t>
        </is>
      </c>
      <c r="K692" t="inlineStr">
        <is>
          <t>LAUNDRY_BY_DESIGN_121005008_MGN_3.jpg</t>
        </is>
      </c>
      <c r="L692">
        <f>IMAGE("file:///E:/Estudios%20y%20certificaciones/ESTUDIOS%20DE%20PROGRAMMING/PROGRAMMING/PERSONAL/PYTHON/Image_Generator_API/imagenes/LAUNDRY_BY_DESIGN_121005008_MGN_1.jpg")</f>
        <v/>
      </c>
      <c r="M692">
        <f>IMAGE("file:///E:/Estudios%20y%20certificaciones/ESTUDIOS%20DE%20PROGRAMMING/PROGRAMMING/PERSONAL/PYTHON/Image_Generator_API/imagenes/LAUNDRY_BY_DESIGN_121005008_MGN_2.jpg")</f>
        <v/>
      </c>
      <c r="N692">
        <f>IMAGE("file:///E:/Estudios%20y%20certificaciones/ESTUDIOS%20DE%20PROGRAMMING/PROGRAMMING/PERSONAL/PYTHON/Image_Generator_API/imagenes/LAUNDRY_BY_DESIGN_121005008_MGN_3.jpg")</f>
        <v/>
      </c>
      <c r="O692">
        <f>HYPERLINK("imagenes/LAUNDRY_BY_DESIGN_121005008_MGN_1.jpg","Ver imagen")</f>
        <v/>
      </c>
      <c r="P692">
        <f>HYPERLINK("imagenes/LAUNDRY_BY_DESIGN_121005008_MGN_2.jpg","Ver imagen")</f>
        <v/>
      </c>
      <c r="Q692">
        <f>HYPERLINK("imagenes/LAUNDRY_BY_DESIGN_121005008_MGN_3.jpg","Ver imagen")</f>
        <v/>
      </c>
    </row>
    <row r="693">
      <c r="A693" t="inlineStr">
        <is>
          <t>LAUNDRY BY DESIGN</t>
        </is>
      </c>
      <c r="B693" t="inlineStr">
        <is>
          <t>121005008</t>
        </is>
      </c>
      <c r="C693" t="inlineStr">
        <is>
          <t>30.5" SOFTSHELL WITH PLACKET(DUP13132)</t>
        </is>
      </c>
      <c r="D693" t="inlineStr">
        <is>
          <t>MGN</t>
        </is>
      </c>
      <c r="E693" t="inlineStr">
        <is>
          <t>(en blanco)</t>
        </is>
      </c>
      <c r="F693" t="inlineStr">
        <is>
          <t>(en blanco)</t>
        </is>
      </c>
      <c r="G693" t="inlineStr">
        <is>
          <t>XL</t>
        </is>
      </c>
      <c r="H693" t="n">
        <v>7</v>
      </c>
      <c r="I693" t="inlineStr">
        <is>
          <t>LAUNDRY_BY_DESIGN_121005008_MGN_1.jpg</t>
        </is>
      </c>
      <c r="J693" t="inlineStr">
        <is>
          <t>LAUNDRY_BY_DESIGN_121005008_MGN_2.jpg</t>
        </is>
      </c>
      <c r="K693" t="inlineStr">
        <is>
          <t>LAUNDRY_BY_DESIGN_121005008_MGN_3.jpg</t>
        </is>
      </c>
      <c r="L693">
        <f>IMAGE("file:///E:/Estudios%20y%20certificaciones/ESTUDIOS%20DE%20PROGRAMMING/PROGRAMMING/PERSONAL/PYTHON/Image_Generator_API/imagenes/LAUNDRY_BY_DESIGN_121005008_MGN_1.jpg")</f>
        <v/>
      </c>
      <c r="M693">
        <f>IMAGE("file:///E:/Estudios%20y%20certificaciones/ESTUDIOS%20DE%20PROGRAMMING/PROGRAMMING/PERSONAL/PYTHON/Image_Generator_API/imagenes/LAUNDRY_BY_DESIGN_121005008_MGN_2.jpg")</f>
        <v/>
      </c>
      <c r="N693">
        <f>IMAGE("file:///E:/Estudios%20y%20certificaciones/ESTUDIOS%20DE%20PROGRAMMING/PROGRAMMING/PERSONAL/PYTHON/Image_Generator_API/imagenes/LAUNDRY_BY_DESIGN_121005008_MGN_3.jpg")</f>
        <v/>
      </c>
      <c r="O693">
        <f>HYPERLINK("imagenes/LAUNDRY_BY_DESIGN_121005008_MGN_1.jpg","Ver imagen")</f>
        <v/>
      </c>
      <c r="P693">
        <f>HYPERLINK("imagenes/LAUNDRY_BY_DESIGN_121005008_MGN_2.jpg","Ver imagen")</f>
        <v/>
      </c>
      <c r="Q693">
        <f>HYPERLINK("imagenes/LAUNDRY_BY_DESIGN_121005008_MGN_3.jpg","Ver imagen")</f>
        <v/>
      </c>
    </row>
    <row r="694">
      <c r="A694" t="inlineStr">
        <is>
          <t>LAUNDRY BY DESIGN</t>
        </is>
      </c>
      <c r="B694" t="inlineStr">
        <is>
          <t>121005008</t>
        </is>
      </c>
      <c r="C694" t="inlineStr">
        <is>
          <t>30.5" SOFTSHELL WITH PLACKET(DUP13132)</t>
        </is>
      </c>
      <c r="D694" t="inlineStr">
        <is>
          <t>MGN</t>
        </is>
      </c>
      <c r="E694" t="inlineStr">
        <is>
          <t>(en blanco)</t>
        </is>
      </c>
      <c r="F694" t="inlineStr">
        <is>
          <t>(en blanco)</t>
        </is>
      </c>
      <c r="G694" t="inlineStr">
        <is>
          <t>XXL</t>
        </is>
      </c>
      <c r="H694" t="n">
        <v>5</v>
      </c>
      <c r="I694" t="inlineStr">
        <is>
          <t>LAUNDRY_BY_DESIGN_121005008_MGN_1.jpg</t>
        </is>
      </c>
      <c r="J694" t="inlineStr">
        <is>
          <t>LAUNDRY_BY_DESIGN_121005008_MGN_2.jpg</t>
        </is>
      </c>
      <c r="K694" t="inlineStr">
        <is>
          <t>LAUNDRY_BY_DESIGN_121005008_MGN_3.jpg</t>
        </is>
      </c>
      <c r="L694">
        <f>IMAGE("file:///E:/Estudios%20y%20certificaciones/ESTUDIOS%20DE%20PROGRAMMING/PROGRAMMING/PERSONAL/PYTHON/Image_Generator_API/imagenes/LAUNDRY_BY_DESIGN_121005008_MGN_1.jpg")</f>
        <v/>
      </c>
      <c r="M694">
        <f>IMAGE("file:///E:/Estudios%20y%20certificaciones/ESTUDIOS%20DE%20PROGRAMMING/PROGRAMMING/PERSONAL/PYTHON/Image_Generator_API/imagenes/LAUNDRY_BY_DESIGN_121005008_MGN_2.jpg")</f>
        <v/>
      </c>
      <c r="N694">
        <f>IMAGE("file:///E:/Estudios%20y%20certificaciones/ESTUDIOS%20DE%20PROGRAMMING/PROGRAMMING/PERSONAL/PYTHON/Image_Generator_API/imagenes/LAUNDRY_BY_DESIGN_121005008_MGN_3.jpg")</f>
        <v/>
      </c>
      <c r="O694">
        <f>HYPERLINK("imagenes/LAUNDRY_BY_DESIGN_121005008_MGN_1.jpg","Ver imagen")</f>
        <v/>
      </c>
      <c r="P694">
        <f>HYPERLINK("imagenes/LAUNDRY_BY_DESIGN_121005008_MGN_2.jpg","Ver imagen")</f>
        <v/>
      </c>
      <c r="Q694">
        <f>HYPERLINK("imagenes/LAUNDRY_BY_DESIGN_121005008_MGN_3.jpg","Ver imagen")</f>
        <v/>
      </c>
    </row>
    <row r="695">
      <c r="A695" t="inlineStr">
        <is>
          <t>LAUNDRY BY DESIGN</t>
        </is>
      </c>
      <c r="B695" t="inlineStr">
        <is>
          <t>121005009</t>
        </is>
      </c>
      <c r="C695" t="inlineStr">
        <is>
          <t>23" SHORT SHERPA JACKET(DUP13421)</t>
        </is>
      </c>
      <c r="D695" t="inlineStr">
        <is>
          <t>BLK</t>
        </is>
      </c>
      <c r="E695" t="inlineStr">
        <is>
          <t>08A06</t>
        </is>
      </c>
      <c r="F695" t="inlineStr">
        <is>
          <t>(en blanco)</t>
        </is>
      </c>
      <c r="G695" t="inlineStr">
        <is>
          <t>PPK</t>
        </is>
      </c>
      <c r="H695" t="n">
        <v>1312</v>
      </c>
      <c r="I695" t="inlineStr">
        <is>
          <t>LAUNDRY_BY_DESIGN_121005009_BLK_1.jpg</t>
        </is>
      </c>
      <c r="J695" t="inlineStr">
        <is>
          <t>LAUNDRY_BY_DESIGN_121005009_BLK_2.jpg</t>
        </is>
      </c>
      <c r="K695" t="inlineStr">
        <is>
          <t>LAUNDRY_BY_DESIGN_121005009_BLK_3.jpg</t>
        </is>
      </c>
      <c r="L695">
        <f>IMAGE("file:///E:/Estudios%20y%20certificaciones/ESTUDIOS%20DE%20PROGRAMMING/PROGRAMMING/PERSONAL/PYTHON/Image_Generator_API/imagenes/LAUNDRY_BY_DESIGN_121005009_BLK_1.jpg")</f>
        <v/>
      </c>
      <c r="M695">
        <f>IMAGE("file:///E:/Estudios%20y%20certificaciones/ESTUDIOS%20DE%20PROGRAMMING/PROGRAMMING/PERSONAL/PYTHON/Image_Generator_API/imagenes/LAUNDRY_BY_DESIGN_121005009_BLK_2.jpg")</f>
        <v/>
      </c>
      <c r="N695">
        <f>IMAGE("file:///E:/Estudios%20y%20certificaciones/ESTUDIOS%20DE%20PROGRAMMING/PROGRAMMING/PERSONAL/PYTHON/Image_Generator_API/imagenes/LAUNDRY_BY_DESIGN_121005009_BLK_3.jpg")</f>
        <v/>
      </c>
      <c r="O695">
        <f>HYPERLINK("imagenes/LAUNDRY_BY_DESIGN_121005009_BLK_1.jpg","Ver imagen")</f>
        <v/>
      </c>
      <c r="P695">
        <f>HYPERLINK("imagenes/LAUNDRY_BY_DESIGN_121005009_BLK_2.jpg","Ver imagen")</f>
        <v/>
      </c>
      <c r="Q695">
        <f>HYPERLINK("imagenes/LAUNDRY_BY_DESIGN_121005009_BLK_3.jpg","Ver imagen")</f>
        <v/>
      </c>
    </row>
    <row r="696">
      <c r="A696" t="inlineStr">
        <is>
          <t>LAUNDRY BY DESIGN</t>
        </is>
      </c>
      <c r="B696" t="inlineStr">
        <is>
          <t>121005009</t>
        </is>
      </c>
      <c r="C696" t="inlineStr">
        <is>
          <t>23" SHORT SHERPA JACKET(DUP13421)</t>
        </is>
      </c>
      <c r="D696" t="inlineStr">
        <is>
          <t>BLK</t>
        </is>
      </c>
      <c r="E696" t="inlineStr">
        <is>
          <t>(en blanco)</t>
        </is>
      </c>
      <c r="F696" t="inlineStr">
        <is>
          <t>(en blanco)</t>
        </is>
      </c>
      <c r="G696" t="inlineStr">
        <is>
          <t>M</t>
        </is>
      </c>
      <c r="H696" t="n">
        <v>2</v>
      </c>
      <c r="I696" t="inlineStr">
        <is>
          <t>LAUNDRY_BY_DESIGN_121005009_BLK_1.jpg</t>
        </is>
      </c>
      <c r="J696" t="inlineStr">
        <is>
          <t>LAUNDRY_BY_DESIGN_121005009_BLK_2.jpg</t>
        </is>
      </c>
      <c r="K696" t="inlineStr">
        <is>
          <t>LAUNDRY_BY_DESIGN_121005009_BLK_3.jpg</t>
        </is>
      </c>
      <c r="L696">
        <f>IMAGE("file:///E:/Estudios%20y%20certificaciones/ESTUDIOS%20DE%20PROGRAMMING/PROGRAMMING/PERSONAL/PYTHON/Image_Generator_API/imagenes/LAUNDRY_BY_DESIGN_121005009_BLK_1.jpg")</f>
        <v/>
      </c>
      <c r="M696">
        <f>IMAGE("file:///E:/Estudios%20y%20certificaciones/ESTUDIOS%20DE%20PROGRAMMING/PROGRAMMING/PERSONAL/PYTHON/Image_Generator_API/imagenes/LAUNDRY_BY_DESIGN_121005009_BLK_2.jpg")</f>
        <v/>
      </c>
      <c r="N696">
        <f>IMAGE("file:///E:/Estudios%20y%20certificaciones/ESTUDIOS%20DE%20PROGRAMMING/PROGRAMMING/PERSONAL/PYTHON/Image_Generator_API/imagenes/LAUNDRY_BY_DESIGN_121005009_BLK_3.jpg")</f>
        <v/>
      </c>
      <c r="O696">
        <f>HYPERLINK("imagenes/LAUNDRY_BY_DESIGN_121005009_BLK_1.jpg","Ver imagen")</f>
        <v/>
      </c>
      <c r="P696">
        <f>HYPERLINK("imagenes/LAUNDRY_BY_DESIGN_121005009_BLK_2.jpg","Ver imagen")</f>
        <v/>
      </c>
      <c r="Q696">
        <f>HYPERLINK("imagenes/LAUNDRY_BY_DESIGN_121005009_BLK_3.jpg","Ver imagen")</f>
        <v/>
      </c>
    </row>
    <row r="697">
      <c r="A697" t="inlineStr">
        <is>
          <t>LAUNDRY BY DESIGN</t>
        </is>
      </c>
      <c r="B697" t="inlineStr">
        <is>
          <t>121005009</t>
        </is>
      </c>
      <c r="C697" t="inlineStr">
        <is>
          <t>23" SHORT SHERPA JACKET(DUP13421)</t>
        </is>
      </c>
      <c r="D697" t="inlineStr">
        <is>
          <t>BLK</t>
        </is>
      </c>
      <c r="E697" t="inlineStr">
        <is>
          <t>(en blanco)</t>
        </is>
      </c>
      <c r="F697" t="inlineStr">
        <is>
          <t>(en blanco)</t>
        </is>
      </c>
      <c r="G697" t="inlineStr">
        <is>
          <t>L</t>
        </is>
      </c>
      <c r="H697" t="n">
        <v>3</v>
      </c>
      <c r="I697" t="inlineStr">
        <is>
          <t>LAUNDRY_BY_DESIGN_121005009_BLK_1.jpg</t>
        </is>
      </c>
      <c r="J697" t="inlineStr">
        <is>
          <t>LAUNDRY_BY_DESIGN_121005009_BLK_2.jpg</t>
        </is>
      </c>
      <c r="K697" t="inlineStr">
        <is>
          <t>LAUNDRY_BY_DESIGN_121005009_BLK_3.jpg</t>
        </is>
      </c>
      <c r="L697">
        <f>IMAGE("file:///E:/Estudios%20y%20certificaciones/ESTUDIOS%20DE%20PROGRAMMING/PROGRAMMING/PERSONAL/PYTHON/Image_Generator_API/imagenes/LAUNDRY_BY_DESIGN_121005009_BLK_1.jpg")</f>
        <v/>
      </c>
      <c r="M697">
        <f>IMAGE("file:///E:/Estudios%20y%20certificaciones/ESTUDIOS%20DE%20PROGRAMMING/PROGRAMMING/PERSONAL/PYTHON/Image_Generator_API/imagenes/LAUNDRY_BY_DESIGN_121005009_BLK_2.jpg")</f>
        <v/>
      </c>
      <c r="N697">
        <f>IMAGE("file:///E:/Estudios%20y%20certificaciones/ESTUDIOS%20DE%20PROGRAMMING/PROGRAMMING/PERSONAL/PYTHON/Image_Generator_API/imagenes/LAUNDRY_BY_DESIGN_121005009_BLK_3.jpg")</f>
        <v/>
      </c>
      <c r="O697">
        <f>HYPERLINK("imagenes/LAUNDRY_BY_DESIGN_121005009_BLK_1.jpg","Ver imagen")</f>
        <v/>
      </c>
      <c r="P697">
        <f>HYPERLINK("imagenes/LAUNDRY_BY_DESIGN_121005009_BLK_2.jpg","Ver imagen")</f>
        <v/>
      </c>
      <c r="Q697">
        <f>HYPERLINK("imagenes/LAUNDRY_BY_DESIGN_121005009_BLK_3.jpg","Ver imagen")</f>
        <v/>
      </c>
    </row>
    <row r="698">
      <c r="A698" t="inlineStr">
        <is>
          <t>LAUNDRY BY DESIGN</t>
        </is>
      </c>
      <c r="B698" t="inlineStr">
        <is>
          <t>121005009</t>
        </is>
      </c>
      <c r="C698" t="inlineStr">
        <is>
          <t>23" SHORT SHERPA JACKET(DUP13421)</t>
        </is>
      </c>
      <c r="D698" t="inlineStr">
        <is>
          <t>BLK</t>
        </is>
      </c>
      <c r="E698" t="inlineStr">
        <is>
          <t>(en blanco)</t>
        </is>
      </c>
      <c r="F698" t="inlineStr">
        <is>
          <t>(en blanco)</t>
        </is>
      </c>
      <c r="G698" t="inlineStr">
        <is>
          <t>XL</t>
        </is>
      </c>
      <c r="H698" t="n">
        <v>5</v>
      </c>
      <c r="I698" t="inlineStr">
        <is>
          <t>LAUNDRY_BY_DESIGN_121005009_BLK_1.jpg</t>
        </is>
      </c>
      <c r="J698" t="inlineStr">
        <is>
          <t>LAUNDRY_BY_DESIGN_121005009_BLK_2.jpg</t>
        </is>
      </c>
      <c r="K698" t="inlineStr">
        <is>
          <t>LAUNDRY_BY_DESIGN_121005009_BLK_3.jpg</t>
        </is>
      </c>
      <c r="L698">
        <f>IMAGE("file:///E:/Estudios%20y%20certificaciones/ESTUDIOS%20DE%20PROGRAMMING/PROGRAMMING/PERSONAL/PYTHON/Image_Generator_API/imagenes/LAUNDRY_BY_DESIGN_121005009_BLK_1.jpg")</f>
        <v/>
      </c>
      <c r="M698">
        <f>IMAGE("file:///E:/Estudios%20y%20certificaciones/ESTUDIOS%20DE%20PROGRAMMING/PROGRAMMING/PERSONAL/PYTHON/Image_Generator_API/imagenes/LAUNDRY_BY_DESIGN_121005009_BLK_2.jpg")</f>
        <v/>
      </c>
      <c r="N698">
        <f>IMAGE("file:///E:/Estudios%20y%20certificaciones/ESTUDIOS%20DE%20PROGRAMMING/PROGRAMMING/PERSONAL/PYTHON/Image_Generator_API/imagenes/LAUNDRY_BY_DESIGN_121005009_BLK_3.jpg")</f>
        <v/>
      </c>
      <c r="O698">
        <f>HYPERLINK("imagenes/LAUNDRY_BY_DESIGN_121005009_BLK_1.jpg","Ver imagen")</f>
        <v/>
      </c>
      <c r="P698">
        <f>HYPERLINK("imagenes/LAUNDRY_BY_DESIGN_121005009_BLK_2.jpg","Ver imagen")</f>
        <v/>
      </c>
      <c r="Q698">
        <f>HYPERLINK("imagenes/LAUNDRY_BY_DESIGN_121005009_BLK_3.jpg","Ver imagen")</f>
        <v/>
      </c>
    </row>
    <row r="699">
      <c r="A699" t="inlineStr">
        <is>
          <t>LAUNDRY BY DESIGN</t>
        </is>
      </c>
      <c r="B699" t="inlineStr">
        <is>
          <t>121005009</t>
        </is>
      </c>
      <c r="C699" t="inlineStr">
        <is>
          <t>23" SHORT SHERPA JACKET(DUP13421)</t>
        </is>
      </c>
      <c r="D699" t="inlineStr">
        <is>
          <t>BLK</t>
        </is>
      </c>
      <c r="E699" t="inlineStr">
        <is>
          <t>(en blanco)</t>
        </is>
      </c>
      <c r="F699" t="inlineStr">
        <is>
          <t>(en blanco)</t>
        </is>
      </c>
      <c r="G699" t="inlineStr">
        <is>
          <t>XXL</t>
        </is>
      </c>
      <c r="H699" t="n">
        <v>1</v>
      </c>
      <c r="I699" t="inlineStr">
        <is>
          <t>LAUNDRY_BY_DESIGN_121005009_BLK_1.jpg</t>
        </is>
      </c>
      <c r="J699" t="inlineStr">
        <is>
          <t>LAUNDRY_BY_DESIGN_121005009_BLK_2.jpg</t>
        </is>
      </c>
      <c r="K699" t="inlineStr">
        <is>
          <t>LAUNDRY_BY_DESIGN_121005009_BLK_3.jpg</t>
        </is>
      </c>
      <c r="L699">
        <f>IMAGE("file:///E:/Estudios%20y%20certificaciones/ESTUDIOS%20DE%20PROGRAMMING/PROGRAMMING/PERSONAL/PYTHON/Image_Generator_API/imagenes/LAUNDRY_BY_DESIGN_121005009_BLK_1.jpg")</f>
        <v/>
      </c>
      <c r="M699">
        <f>IMAGE("file:///E:/Estudios%20y%20certificaciones/ESTUDIOS%20DE%20PROGRAMMING/PROGRAMMING/PERSONAL/PYTHON/Image_Generator_API/imagenes/LAUNDRY_BY_DESIGN_121005009_BLK_2.jpg")</f>
        <v/>
      </c>
      <c r="N699">
        <f>IMAGE("file:///E:/Estudios%20y%20certificaciones/ESTUDIOS%20DE%20PROGRAMMING/PROGRAMMING/PERSONAL/PYTHON/Image_Generator_API/imagenes/LAUNDRY_BY_DESIGN_121005009_BLK_3.jpg")</f>
        <v/>
      </c>
      <c r="O699">
        <f>HYPERLINK("imagenes/LAUNDRY_BY_DESIGN_121005009_BLK_1.jpg","Ver imagen")</f>
        <v/>
      </c>
      <c r="P699">
        <f>HYPERLINK("imagenes/LAUNDRY_BY_DESIGN_121005009_BLK_2.jpg","Ver imagen")</f>
        <v/>
      </c>
      <c r="Q699">
        <f>HYPERLINK("imagenes/LAUNDRY_BY_DESIGN_121005009_BLK_3.jpg","Ver imagen")</f>
        <v/>
      </c>
    </row>
    <row r="700">
      <c r="A700" t="inlineStr">
        <is>
          <t>LAUNDRY BY DESIGN</t>
        </is>
      </c>
      <c r="B700" t="inlineStr">
        <is>
          <t>121005009</t>
        </is>
      </c>
      <c r="C700" t="inlineStr">
        <is>
          <t>23" SHORT SHERPA JACKET(DUP13421)</t>
        </is>
      </c>
      <c r="D700" t="inlineStr">
        <is>
          <t>CRM</t>
        </is>
      </c>
      <c r="E700" t="inlineStr">
        <is>
          <t>08A06</t>
        </is>
      </c>
      <c r="F700" t="inlineStr">
        <is>
          <t>(en blanco)</t>
        </is>
      </c>
      <c r="G700" t="inlineStr">
        <is>
          <t>PPK</t>
        </is>
      </c>
      <c r="H700" t="n">
        <v>1320</v>
      </c>
      <c r="I700" t="inlineStr">
        <is>
          <t>LAUNDRY_BY_DESIGN_121005009_CRM_1.jpg</t>
        </is>
      </c>
      <c r="J700" t="inlineStr">
        <is>
          <t>LAUNDRY_BY_DESIGN_121005009_CRM_2.jpg</t>
        </is>
      </c>
      <c r="K700" t="inlineStr">
        <is>
          <t>LAUNDRY_BY_DESIGN_121005009_CRM_3.jpg</t>
        </is>
      </c>
      <c r="L700">
        <f>IMAGE("file:///E:/Estudios%20y%20certificaciones/ESTUDIOS%20DE%20PROGRAMMING/PROGRAMMING/PERSONAL/PYTHON/Image_Generator_API/imagenes/LAUNDRY_BY_DESIGN_121005009_CRM_1.jpg")</f>
        <v/>
      </c>
      <c r="M700">
        <f>IMAGE("file:///E:/Estudios%20y%20certificaciones/ESTUDIOS%20DE%20PROGRAMMING/PROGRAMMING/PERSONAL/PYTHON/Image_Generator_API/imagenes/LAUNDRY_BY_DESIGN_121005009_CRM_2.jpg")</f>
        <v/>
      </c>
      <c r="N700">
        <f>IMAGE("file:///E:/Estudios%20y%20certificaciones/ESTUDIOS%20DE%20PROGRAMMING/PROGRAMMING/PERSONAL/PYTHON/Image_Generator_API/imagenes/LAUNDRY_BY_DESIGN_121005009_CRM_3.jpg")</f>
        <v/>
      </c>
      <c r="O700">
        <f>HYPERLINK("imagenes/LAUNDRY_BY_DESIGN_121005009_CRM_1.jpg","Ver imagen")</f>
        <v/>
      </c>
      <c r="P700">
        <f>HYPERLINK("imagenes/LAUNDRY_BY_DESIGN_121005009_CRM_2.jpg","Ver imagen")</f>
        <v/>
      </c>
      <c r="Q700">
        <f>HYPERLINK("imagenes/LAUNDRY_BY_DESIGN_121005009_CRM_3.jpg","Ver imagen")</f>
        <v/>
      </c>
    </row>
    <row r="701">
      <c r="A701" t="inlineStr">
        <is>
          <t>LAUNDRY BY DESIGN</t>
        </is>
      </c>
      <c r="B701" t="inlineStr">
        <is>
          <t>121005009</t>
        </is>
      </c>
      <c r="C701" t="inlineStr">
        <is>
          <t>23" SHORT SHERPA JACKET(DUP13421)</t>
        </is>
      </c>
      <c r="D701" t="inlineStr">
        <is>
          <t>CRM</t>
        </is>
      </c>
      <c r="E701" t="inlineStr">
        <is>
          <t>(en blanco)</t>
        </is>
      </c>
      <c r="F701" t="inlineStr">
        <is>
          <t>(en blanco)</t>
        </is>
      </c>
      <c r="G701" t="inlineStr">
        <is>
          <t>L</t>
        </is>
      </c>
      <c r="H701" t="n">
        <v>2</v>
      </c>
      <c r="I701" t="inlineStr">
        <is>
          <t>LAUNDRY_BY_DESIGN_121005009_CRM_1.jpg</t>
        </is>
      </c>
      <c r="J701" t="inlineStr">
        <is>
          <t>LAUNDRY_BY_DESIGN_121005009_CRM_2.jpg</t>
        </is>
      </c>
      <c r="K701" t="inlineStr">
        <is>
          <t>LAUNDRY_BY_DESIGN_121005009_CRM_3.jpg</t>
        </is>
      </c>
      <c r="L701">
        <f>IMAGE("file:///E:/Estudios%20y%20certificaciones/ESTUDIOS%20DE%20PROGRAMMING/PROGRAMMING/PERSONAL/PYTHON/Image_Generator_API/imagenes/LAUNDRY_BY_DESIGN_121005009_CRM_1.jpg")</f>
        <v/>
      </c>
      <c r="M701">
        <f>IMAGE("file:///E:/Estudios%20y%20certificaciones/ESTUDIOS%20DE%20PROGRAMMING/PROGRAMMING/PERSONAL/PYTHON/Image_Generator_API/imagenes/LAUNDRY_BY_DESIGN_121005009_CRM_2.jpg")</f>
        <v/>
      </c>
      <c r="N701">
        <f>IMAGE("file:///E:/Estudios%20y%20certificaciones/ESTUDIOS%20DE%20PROGRAMMING/PROGRAMMING/PERSONAL/PYTHON/Image_Generator_API/imagenes/LAUNDRY_BY_DESIGN_121005009_CRM_3.jpg")</f>
        <v/>
      </c>
      <c r="O701">
        <f>HYPERLINK("imagenes/LAUNDRY_BY_DESIGN_121005009_CRM_1.jpg","Ver imagen")</f>
        <v/>
      </c>
      <c r="P701">
        <f>HYPERLINK("imagenes/LAUNDRY_BY_DESIGN_121005009_CRM_2.jpg","Ver imagen")</f>
        <v/>
      </c>
      <c r="Q701">
        <f>HYPERLINK("imagenes/LAUNDRY_BY_DESIGN_121005009_CRM_3.jpg","Ver imagen")</f>
        <v/>
      </c>
    </row>
    <row r="702">
      <c r="A702" t="inlineStr">
        <is>
          <t>LAUNDRY BY DESIGN</t>
        </is>
      </c>
      <c r="B702" t="inlineStr">
        <is>
          <t>121005009</t>
        </is>
      </c>
      <c r="C702" t="inlineStr">
        <is>
          <t>23" SHORT SHERPA JACKET(DUP13421)</t>
        </is>
      </c>
      <c r="D702" t="inlineStr">
        <is>
          <t>CRM</t>
        </is>
      </c>
      <c r="E702" t="inlineStr">
        <is>
          <t>(en blanco)</t>
        </is>
      </c>
      <c r="F702" t="inlineStr">
        <is>
          <t>(en blanco)</t>
        </is>
      </c>
      <c r="G702" t="inlineStr">
        <is>
          <t>XL</t>
        </is>
      </c>
      <c r="H702" t="n">
        <v>3</v>
      </c>
      <c r="I702" t="inlineStr">
        <is>
          <t>LAUNDRY_BY_DESIGN_121005009_CRM_1.jpg</t>
        </is>
      </c>
      <c r="J702" t="inlineStr">
        <is>
          <t>LAUNDRY_BY_DESIGN_121005009_CRM_2.jpg</t>
        </is>
      </c>
      <c r="K702" t="inlineStr">
        <is>
          <t>LAUNDRY_BY_DESIGN_121005009_CRM_3.jpg</t>
        </is>
      </c>
      <c r="L702">
        <f>IMAGE("file:///E:/Estudios%20y%20certificaciones/ESTUDIOS%20DE%20PROGRAMMING/PROGRAMMING/PERSONAL/PYTHON/Image_Generator_API/imagenes/LAUNDRY_BY_DESIGN_121005009_CRM_1.jpg")</f>
        <v/>
      </c>
      <c r="M702">
        <f>IMAGE("file:///E:/Estudios%20y%20certificaciones/ESTUDIOS%20DE%20PROGRAMMING/PROGRAMMING/PERSONAL/PYTHON/Image_Generator_API/imagenes/LAUNDRY_BY_DESIGN_121005009_CRM_2.jpg")</f>
        <v/>
      </c>
      <c r="N702">
        <f>IMAGE("file:///E:/Estudios%20y%20certificaciones/ESTUDIOS%20DE%20PROGRAMMING/PROGRAMMING/PERSONAL/PYTHON/Image_Generator_API/imagenes/LAUNDRY_BY_DESIGN_121005009_CRM_3.jpg")</f>
        <v/>
      </c>
      <c r="O702">
        <f>HYPERLINK("imagenes/LAUNDRY_BY_DESIGN_121005009_CRM_1.jpg","Ver imagen")</f>
        <v/>
      </c>
      <c r="P702">
        <f>HYPERLINK("imagenes/LAUNDRY_BY_DESIGN_121005009_CRM_2.jpg","Ver imagen")</f>
        <v/>
      </c>
      <c r="Q702">
        <f>HYPERLINK("imagenes/LAUNDRY_BY_DESIGN_121005009_CRM_3.jpg","Ver imagen")</f>
        <v/>
      </c>
    </row>
    <row r="703">
      <c r="A703" t="inlineStr">
        <is>
          <t>LAUNDRY BY DESIGN</t>
        </is>
      </c>
      <c r="B703" t="inlineStr">
        <is>
          <t>121005009</t>
        </is>
      </c>
      <c r="C703" t="inlineStr">
        <is>
          <t>23" SHORT SHERPA JACKET(DUP13421)</t>
        </is>
      </c>
      <c r="D703" t="inlineStr">
        <is>
          <t>CRM</t>
        </is>
      </c>
      <c r="E703" t="inlineStr">
        <is>
          <t>(en blanco)</t>
        </is>
      </c>
      <c r="F703" t="inlineStr">
        <is>
          <t>(en blanco)</t>
        </is>
      </c>
      <c r="G703" t="inlineStr">
        <is>
          <t>XXL</t>
        </is>
      </c>
      <c r="H703" t="n">
        <v>0</v>
      </c>
      <c r="I703" t="inlineStr">
        <is>
          <t>LAUNDRY_BY_DESIGN_121005009_CRM_1.jpg</t>
        </is>
      </c>
      <c r="J703" t="inlineStr">
        <is>
          <t>LAUNDRY_BY_DESIGN_121005009_CRM_2.jpg</t>
        </is>
      </c>
      <c r="K703" t="inlineStr">
        <is>
          <t>LAUNDRY_BY_DESIGN_121005009_CRM_3.jpg</t>
        </is>
      </c>
      <c r="L703">
        <f>IMAGE("file:///E:/Estudios%20y%20certificaciones/ESTUDIOS%20DE%20PROGRAMMING/PROGRAMMING/PERSONAL/PYTHON/Image_Generator_API/imagenes/LAUNDRY_BY_DESIGN_121005009_CRM_1.jpg")</f>
        <v/>
      </c>
      <c r="M703">
        <f>IMAGE("file:///E:/Estudios%20y%20certificaciones/ESTUDIOS%20DE%20PROGRAMMING/PROGRAMMING/PERSONAL/PYTHON/Image_Generator_API/imagenes/LAUNDRY_BY_DESIGN_121005009_CRM_2.jpg")</f>
        <v/>
      </c>
      <c r="N703">
        <f>IMAGE("file:///E:/Estudios%20y%20certificaciones/ESTUDIOS%20DE%20PROGRAMMING/PROGRAMMING/PERSONAL/PYTHON/Image_Generator_API/imagenes/LAUNDRY_BY_DESIGN_121005009_CRM_3.jpg")</f>
        <v/>
      </c>
      <c r="O703">
        <f>HYPERLINK("imagenes/LAUNDRY_BY_DESIGN_121005009_CRM_1.jpg","Ver imagen")</f>
        <v/>
      </c>
      <c r="P703">
        <f>HYPERLINK("imagenes/LAUNDRY_BY_DESIGN_121005009_CRM_2.jpg","Ver imagen")</f>
        <v/>
      </c>
      <c r="Q703">
        <f>HYPERLINK("imagenes/LAUNDRY_BY_DESIGN_121005009_CRM_3.jpg","Ver imagen")</f>
        <v/>
      </c>
    </row>
    <row r="704">
      <c r="A704" t="inlineStr">
        <is>
          <t>LAUNDRY BY DESIGN</t>
        </is>
      </c>
      <c r="B704" t="inlineStr">
        <is>
          <t>121005069</t>
        </is>
      </c>
      <c r="C704" t="inlineStr">
        <is>
          <t>27" SNOWCHIC BOMBER QUILT(DUP13457)</t>
        </is>
      </c>
      <c r="D704" t="inlineStr">
        <is>
          <t>BLK</t>
        </is>
      </c>
      <c r="E704" t="inlineStr">
        <is>
          <t>06A01</t>
        </is>
      </c>
      <c r="F704" t="inlineStr">
        <is>
          <t>(en blanco)</t>
        </is>
      </c>
      <c r="G704" t="inlineStr">
        <is>
          <t>PPK</t>
        </is>
      </c>
      <c r="H704" t="n">
        <v>6</v>
      </c>
      <c r="I704" t="inlineStr">
        <is>
          <t>LAUNDRY_BY_DESIGN_121005069_BLK_1.jpg</t>
        </is>
      </c>
      <c r="J704" t="inlineStr">
        <is>
          <t>LAUNDRY_BY_DESIGN_121005069_BLK_2.jpg</t>
        </is>
      </c>
      <c r="K704" t="inlineStr">
        <is>
          <t>LAUNDRY_BY_DESIGN_121005069_BLK_3.jpg</t>
        </is>
      </c>
      <c r="L704">
        <f>IMAGE("file:///E:/Estudios%20y%20certificaciones/ESTUDIOS%20DE%20PROGRAMMING/PROGRAMMING/PERSONAL/PYTHON/Image_Generator_API/imagenes/LAUNDRY_BY_DESIGN_121005069_BLK_1.jpg")</f>
        <v/>
      </c>
      <c r="M704">
        <f>IMAGE("file:///E:/Estudios%20y%20certificaciones/ESTUDIOS%20DE%20PROGRAMMING/PROGRAMMING/PERSONAL/PYTHON/Image_Generator_API/imagenes/LAUNDRY_BY_DESIGN_121005069_BLK_2.jpg")</f>
        <v/>
      </c>
      <c r="N704">
        <f>IMAGE("file:///E:/Estudios%20y%20certificaciones/ESTUDIOS%20DE%20PROGRAMMING/PROGRAMMING/PERSONAL/PYTHON/Image_Generator_API/imagenes/LAUNDRY_BY_DESIGN_121005069_BLK_3.jpg")</f>
        <v/>
      </c>
      <c r="O704">
        <f>HYPERLINK("imagenes/LAUNDRY_BY_DESIGN_121005069_BLK_1.jpg","Ver imagen")</f>
        <v/>
      </c>
      <c r="P704">
        <f>HYPERLINK("imagenes/LAUNDRY_BY_DESIGN_121005069_BLK_2.jpg","Ver imagen")</f>
        <v/>
      </c>
      <c r="Q704">
        <f>HYPERLINK("imagenes/LAUNDRY_BY_DESIGN_121005069_BLK_3.jpg","Ver imagen")</f>
        <v/>
      </c>
    </row>
    <row r="705">
      <c r="A705" t="inlineStr">
        <is>
          <t>LAUNDRY BY DESIGN</t>
        </is>
      </c>
      <c r="B705" t="inlineStr">
        <is>
          <t>121005069</t>
        </is>
      </c>
      <c r="C705" t="inlineStr">
        <is>
          <t>27" SNOWCHIC BOMBER QUILT(DUP13457)</t>
        </is>
      </c>
      <c r="D705" t="inlineStr">
        <is>
          <t>BLK</t>
        </is>
      </c>
      <c r="E705" t="inlineStr">
        <is>
          <t>(en blanco)</t>
        </is>
      </c>
      <c r="F705" t="inlineStr">
        <is>
          <t>D2C</t>
        </is>
      </c>
      <c r="G705" t="inlineStr">
        <is>
          <t>XL</t>
        </is>
      </c>
      <c r="H705" t="n">
        <v>1</v>
      </c>
      <c r="I705" t="inlineStr">
        <is>
          <t>LAUNDRY_BY_DESIGN_121005069_BLK_1.jpg</t>
        </is>
      </c>
      <c r="J705" t="inlineStr">
        <is>
          <t>LAUNDRY_BY_DESIGN_121005069_BLK_2.jpg</t>
        </is>
      </c>
      <c r="K705" t="inlineStr">
        <is>
          <t>LAUNDRY_BY_DESIGN_121005069_BLK_3.jpg</t>
        </is>
      </c>
      <c r="L705">
        <f>IMAGE("file:///E:/Estudios%20y%20certificaciones/ESTUDIOS%20DE%20PROGRAMMING/PROGRAMMING/PERSONAL/PYTHON/Image_Generator_API/imagenes/LAUNDRY_BY_DESIGN_121005069_BLK_1.jpg")</f>
        <v/>
      </c>
      <c r="M705">
        <f>IMAGE("file:///E:/Estudios%20y%20certificaciones/ESTUDIOS%20DE%20PROGRAMMING/PROGRAMMING/PERSONAL/PYTHON/Image_Generator_API/imagenes/LAUNDRY_BY_DESIGN_121005069_BLK_2.jpg")</f>
        <v/>
      </c>
      <c r="N705">
        <f>IMAGE("file:///E:/Estudios%20y%20certificaciones/ESTUDIOS%20DE%20PROGRAMMING/PROGRAMMING/PERSONAL/PYTHON/Image_Generator_API/imagenes/LAUNDRY_BY_DESIGN_121005069_BLK_3.jpg")</f>
        <v/>
      </c>
      <c r="O705">
        <f>HYPERLINK("imagenes/LAUNDRY_BY_DESIGN_121005069_BLK_1.jpg","Ver imagen")</f>
        <v/>
      </c>
      <c r="P705">
        <f>HYPERLINK("imagenes/LAUNDRY_BY_DESIGN_121005069_BLK_2.jpg","Ver imagen")</f>
        <v/>
      </c>
      <c r="Q705">
        <f>HYPERLINK("imagenes/LAUNDRY_BY_DESIGN_121005069_BLK_3.jpg","Ver imagen")</f>
        <v/>
      </c>
    </row>
    <row r="706">
      <c r="A706" t="inlineStr">
        <is>
          <t>LAUNDRY BY DESIGN</t>
        </is>
      </c>
      <c r="B706" t="inlineStr">
        <is>
          <t>121005069</t>
        </is>
      </c>
      <c r="C706" t="inlineStr">
        <is>
          <t>27" SNOWCHIC BOMBER QUILT(DUP13457)</t>
        </is>
      </c>
      <c r="D706" t="inlineStr">
        <is>
          <t>BLK</t>
        </is>
      </c>
      <c r="E706" t="inlineStr">
        <is>
          <t>(en blanco)</t>
        </is>
      </c>
      <c r="F706" t="inlineStr">
        <is>
          <t>(en blanco)</t>
        </is>
      </c>
      <c r="G706" t="inlineStr">
        <is>
          <t>S</t>
        </is>
      </c>
      <c r="H706" t="n">
        <v>0</v>
      </c>
      <c r="I706" t="inlineStr">
        <is>
          <t>LAUNDRY_BY_DESIGN_121005069_BLK_1.jpg</t>
        </is>
      </c>
      <c r="J706" t="inlineStr">
        <is>
          <t>LAUNDRY_BY_DESIGN_121005069_BLK_2.jpg</t>
        </is>
      </c>
      <c r="K706" t="inlineStr">
        <is>
          <t>LAUNDRY_BY_DESIGN_121005069_BLK_3.jpg</t>
        </is>
      </c>
      <c r="L706">
        <f>IMAGE("file:///E:/Estudios%20y%20certificaciones/ESTUDIOS%20DE%20PROGRAMMING/PROGRAMMING/PERSONAL/PYTHON/Image_Generator_API/imagenes/LAUNDRY_BY_DESIGN_121005069_BLK_1.jpg")</f>
        <v/>
      </c>
      <c r="M706">
        <f>IMAGE("file:///E:/Estudios%20y%20certificaciones/ESTUDIOS%20DE%20PROGRAMMING/PROGRAMMING/PERSONAL/PYTHON/Image_Generator_API/imagenes/LAUNDRY_BY_DESIGN_121005069_BLK_2.jpg")</f>
        <v/>
      </c>
      <c r="N706">
        <f>IMAGE("file:///E:/Estudios%20y%20certificaciones/ESTUDIOS%20DE%20PROGRAMMING/PROGRAMMING/PERSONAL/PYTHON/Image_Generator_API/imagenes/LAUNDRY_BY_DESIGN_121005069_BLK_3.jpg")</f>
        <v/>
      </c>
      <c r="O706">
        <f>HYPERLINK("imagenes/LAUNDRY_BY_DESIGN_121005069_BLK_1.jpg","Ver imagen")</f>
        <v/>
      </c>
      <c r="P706">
        <f>HYPERLINK("imagenes/LAUNDRY_BY_DESIGN_121005069_BLK_2.jpg","Ver imagen")</f>
        <v/>
      </c>
      <c r="Q706">
        <f>HYPERLINK("imagenes/LAUNDRY_BY_DESIGN_121005069_BLK_3.jpg","Ver imagen")</f>
        <v/>
      </c>
    </row>
    <row r="707">
      <c r="A707" t="inlineStr">
        <is>
          <t>LAUNDRY BY DESIGN</t>
        </is>
      </c>
      <c r="B707" t="inlineStr">
        <is>
          <t>121005069</t>
        </is>
      </c>
      <c r="C707" t="inlineStr">
        <is>
          <t>27" SNOWCHIC BOMBER QUILT(DUP13457)</t>
        </is>
      </c>
      <c r="D707" t="inlineStr">
        <is>
          <t>BLK</t>
        </is>
      </c>
      <c r="E707" t="inlineStr">
        <is>
          <t>(en blanco)</t>
        </is>
      </c>
      <c r="F707" t="inlineStr">
        <is>
          <t>(en blanco)</t>
        </is>
      </c>
      <c r="G707" t="inlineStr">
        <is>
          <t>M</t>
        </is>
      </c>
      <c r="H707" t="n">
        <v>6</v>
      </c>
      <c r="I707" t="inlineStr">
        <is>
          <t>LAUNDRY_BY_DESIGN_121005069_BLK_1.jpg</t>
        </is>
      </c>
      <c r="J707" t="inlineStr">
        <is>
          <t>LAUNDRY_BY_DESIGN_121005069_BLK_2.jpg</t>
        </is>
      </c>
      <c r="K707" t="inlineStr">
        <is>
          <t>LAUNDRY_BY_DESIGN_121005069_BLK_3.jpg</t>
        </is>
      </c>
      <c r="L707">
        <f>IMAGE("file:///E:/Estudios%20y%20certificaciones/ESTUDIOS%20DE%20PROGRAMMING/PROGRAMMING/PERSONAL/PYTHON/Image_Generator_API/imagenes/LAUNDRY_BY_DESIGN_121005069_BLK_1.jpg")</f>
        <v/>
      </c>
      <c r="M707">
        <f>IMAGE("file:///E:/Estudios%20y%20certificaciones/ESTUDIOS%20DE%20PROGRAMMING/PROGRAMMING/PERSONAL/PYTHON/Image_Generator_API/imagenes/LAUNDRY_BY_DESIGN_121005069_BLK_2.jpg")</f>
        <v/>
      </c>
      <c r="N707">
        <f>IMAGE("file:///E:/Estudios%20y%20certificaciones/ESTUDIOS%20DE%20PROGRAMMING/PROGRAMMING/PERSONAL/PYTHON/Image_Generator_API/imagenes/LAUNDRY_BY_DESIGN_121005069_BLK_3.jpg")</f>
        <v/>
      </c>
      <c r="O707">
        <f>HYPERLINK("imagenes/LAUNDRY_BY_DESIGN_121005069_BLK_1.jpg","Ver imagen")</f>
        <v/>
      </c>
      <c r="P707">
        <f>HYPERLINK("imagenes/LAUNDRY_BY_DESIGN_121005069_BLK_2.jpg","Ver imagen")</f>
        <v/>
      </c>
      <c r="Q707">
        <f>HYPERLINK("imagenes/LAUNDRY_BY_DESIGN_121005069_BLK_3.jpg","Ver imagen")</f>
        <v/>
      </c>
    </row>
    <row r="708">
      <c r="A708" t="inlineStr">
        <is>
          <t>LAUNDRY BY DESIGN</t>
        </is>
      </c>
      <c r="B708" t="inlineStr">
        <is>
          <t>121005069</t>
        </is>
      </c>
      <c r="C708" t="inlineStr">
        <is>
          <t>27" SNOWCHIC BOMBER QUILT(DUP13457)</t>
        </is>
      </c>
      <c r="D708" t="inlineStr">
        <is>
          <t>BLK</t>
        </is>
      </c>
      <c r="E708" t="inlineStr">
        <is>
          <t>(en blanco)</t>
        </is>
      </c>
      <c r="F708" t="inlineStr">
        <is>
          <t>(en blanco)</t>
        </is>
      </c>
      <c r="G708" t="inlineStr">
        <is>
          <t>L</t>
        </is>
      </c>
      <c r="H708" t="n">
        <v>4</v>
      </c>
      <c r="I708" t="inlineStr">
        <is>
          <t>LAUNDRY_BY_DESIGN_121005069_BLK_1.jpg</t>
        </is>
      </c>
      <c r="J708" t="inlineStr">
        <is>
          <t>LAUNDRY_BY_DESIGN_121005069_BLK_2.jpg</t>
        </is>
      </c>
      <c r="K708" t="inlineStr">
        <is>
          <t>LAUNDRY_BY_DESIGN_121005069_BLK_3.jpg</t>
        </is>
      </c>
      <c r="L708">
        <f>IMAGE("file:///E:/Estudios%20y%20certificaciones/ESTUDIOS%20DE%20PROGRAMMING/PROGRAMMING/PERSONAL/PYTHON/Image_Generator_API/imagenes/LAUNDRY_BY_DESIGN_121005069_BLK_1.jpg")</f>
        <v/>
      </c>
      <c r="M708">
        <f>IMAGE("file:///E:/Estudios%20y%20certificaciones/ESTUDIOS%20DE%20PROGRAMMING/PROGRAMMING/PERSONAL/PYTHON/Image_Generator_API/imagenes/LAUNDRY_BY_DESIGN_121005069_BLK_2.jpg")</f>
        <v/>
      </c>
      <c r="N708">
        <f>IMAGE("file:///E:/Estudios%20y%20certificaciones/ESTUDIOS%20DE%20PROGRAMMING/PROGRAMMING/PERSONAL/PYTHON/Image_Generator_API/imagenes/LAUNDRY_BY_DESIGN_121005069_BLK_3.jpg")</f>
        <v/>
      </c>
      <c r="O708">
        <f>HYPERLINK("imagenes/LAUNDRY_BY_DESIGN_121005069_BLK_1.jpg","Ver imagen")</f>
        <v/>
      </c>
      <c r="P708">
        <f>HYPERLINK("imagenes/LAUNDRY_BY_DESIGN_121005069_BLK_2.jpg","Ver imagen")</f>
        <v/>
      </c>
      <c r="Q708">
        <f>HYPERLINK("imagenes/LAUNDRY_BY_DESIGN_121005069_BLK_3.jpg","Ver imagen")</f>
        <v/>
      </c>
    </row>
    <row r="709">
      <c r="A709" t="inlineStr">
        <is>
          <t>LAUNDRY BY DESIGN</t>
        </is>
      </c>
      <c r="B709" t="inlineStr">
        <is>
          <t>121005069</t>
        </is>
      </c>
      <c r="C709" t="inlineStr">
        <is>
          <t>27" SNOWCHIC BOMBER QUILT(DUP13457)</t>
        </is>
      </c>
      <c r="D709" t="inlineStr">
        <is>
          <t>BLK</t>
        </is>
      </c>
      <c r="E709" t="inlineStr">
        <is>
          <t>(en blanco)</t>
        </is>
      </c>
      <c r="F709" t="inlineStr">
        <is>
          <t>(en blanco)</t>
        </is>
      </c>
      <c r="G709" t="inlineStr">
        <is>
          <t>XL</t>
        </is>
      </c>
      <c r="H709" t="n">
        <v>2</v>
      </c>
      <c r="I709" t="inlineStr">
        <is>
          <t>LAUNDRY_BY_DESIGN_121005069_BLK_1.jpg</t>
        </is>
      </c>
      <c r="J709" t="inlineStr">
        <is>
          <t>LAUNDRY_BY_DESIGN_121005069_BLK_2.jpg</t>
        </is>
      </c>
      <c r="K709" t="inlineStr">
        <is>
          <t>LAUNDRY_BY_DESIGN_121005069_BLK_3.jpg</t>
        </is>
      </c>
      <c r="L709">
        <f>IMAGE("file:///E:/Estudios%20y%20certificaciones/ESTUDIOS%20DE%20PROGRAMMING/PROGRAMMING/PERSONAL/PYTHON/Image_Generator_API/imagenes/LAUNDRY_BY_DESIGN_121005069_BLK_1.jpg")</f>
        <v/>
      </c>
      <c r="M709">
        <f>IMAGE("file:///E:/Estudios%20y%20certificaciones/ESTUDIOS%20DE%20PROGRAMMING/PROGRAMMING/PERSONAL/PYTHON/Image_Generator_API/imagenes/LAUNDRY_BY_DESIGN_121005069_BLK_2.jpg")</f>
        <v/>
      </c>
      <c r="N709">
        <f>IMAGE("file:///E:/Estudios%20y%20certificaciones/ESTUDIOS%20DE%20PROGRAMMING/PROGRAMMING/PERSONAL/PYTHON/Image_Generator_API/imagenes/LAUNDRY_BY_DESIGN_121005069_BLK_3.jpg")</f>
        <v/>
      </c>
      <c r="O709">
        <f>HYPERLINK("imagenes/LAUNDRY_BY_DESIGN_121005069_BLK_1.jpg","Ver imagen")</f>
        <v/>
      </c>
      <c r="P709">
        <f>HYPERLINK("imagenes/LAUNDRY_BY_DESIGN_121005069_BLK_2.jpg","Ver imagen")</f>
        <v/>
      </c>
      <c r="Q709">
        <f>HYPERLINK("imagenes/LAUNDRY_BY_DESIGN_121005069_BLK_3.jpg","Ver imagen")</f>
        <v/>
      </c>
    </row>
    <row r="710">
      <c r="A710" t="inlineStr">
        <is>
          <t>LAUNDRY BY DESIGN</t>
        </is>
      </c>
      <c r="B710" t="inlineStr">
        <is>
          <t>121005069</t>
        </is>
      </c>
      <c r="C710" t="inlineStr">
        <is>
          <t>27" SNOWCHIC BOMBER QUILT(DUP13457)</t>
        </is>
      </c>
      <c r="D710" t="inlineStr">
        <is>
          <t>BLK</t>
        </is>
      </c>
      <c r="E710" t="inlineStr">
        <is>
          <t>(en blanco)</t>
        </is>
      </c>
      <c r="F710" t="inlineStr">
        <is>
          <t>(en blanco)</t>
        </is>
      </c>
      <c r="G710" t="inlineStr">
        <is>
          <t>XXL</t>
        </is>
      </c>
      <c r="H710" t="n">
        <v>1</v>
      </c>
      <c r="I710" t="inlineStr">
        <is>
          <t>LAUNDRY_BY_DESIGN_121005069_BLK_1.jpg</t>
        </is>
      </c>
      <c r="J710" t="inlineStr">
        <is>
          <t>LAUNDRY_BY_DESIGN_121005069_BLK_2.jpg</t>
        </is>
      </c>
      <c r="K710" t="inlineStr">
        <is>
          <t>LAUNDRY_BY_DESIGN_121005069_BLK_3.jpg</t>
        </is>
      </c>
      <c r="L710">
        <f>IMAGE("file:///E:/Estudios%20y%20certificaciones/ESTUDIOS%20DE%20PROGRAMMING/PROGRAMMING/PERSONAL/PYTHON/Image_Generator_API/imagenes/LAUNDRY_BY_DESIGN_121005069_BLK_1.jpg")</f>
        <v/>
      </c>
      <c r="M710">
        <f>IMAGE("file:///E:/Estudios%20y%20certificaciones/ESTUDIOS%20DE%20PROGRAMMING/PROGRAMMING/PERSONAL/PYTHON/Image_Generator_API/imagenes/LAUNDRY_BY_DESIGN_121005069_BLK_2.jpg")</f>
        <v/>
      </c>
      <c r="N710">
        <f>IMAGE("file:///E:/Estudios%20y%20certificaciones/ESTUDIOS%20DE%20PROGRAMMING/PROGRAMMING/PERSONAL/PYTHON/Image_Generator_API/imagenes/LAUNDRY_BY_DESIGN_121005069_BLK_3.jpg")</f>
        <v/>
      </c>
      <c r="O710">
        <f>HYPERLINK("imagenes/LAUNDRY_BY_DESIGN_121005069_BLK_1.jpg","Ver imagen")</f>
        <v/>
      </c>
      <c r="P710">
        <f>HYPERLINK("imagenes/LAUNDRY_BY_DESIGN_121005069_BLK_2.jpg","Ver imagen")</f>
        <v/>
      </c>
      <c r="Q710">
        <f>HYPERLINK("imagenes/LAUNDRY_BY_DESIGN_121005069_BLK_3.jpg","Ver imagen")</f>
        <v/>
      </c>
    </row>
    <row r="711">
      <c r="A711" t="inlineStr">
        <is>
          <t>LAUNDRY BY DESIGN</t>
        </is>
      </c>
      <c r="B711" t="inlineStr">
        <is>
          <t>121005069</t>
        </is>
      </c>
      <c r="C711" t="inlineStr">
        <is>
          <t>27" SNOWCHIC BOMBER QUILT(DUP13457)</t>
        </is>
      </c>
      <c r="D711" t="inlineStr">
        <is>
          <t>LTC</t>
        </is>
      </c>
      <c r="E711" t="inlineStr">
        <is>
          <t>(en blanco)</t>
        </is>
      </c>
      <c r="F711" t="inlineStr">
        <is>
          <t>D2C</t>
        </is>
      </c>
      <c r="G711" t="inlineStr">
        <is>
          <t>XL</t>
        </is>
      </c>
      <c r="H711" t="n">
        <v>1</v>
      </c>
      <c r="I711" t="inlineStr">
        <is>
          <t>LAUNDRY_BY_DESIGN_121005069_LTC_1.jpg</t>
        </is>
      </c>
      <c r="J711" t="inlineStr">
        <is>
          <t>LAUNDRY_BY_DESIGN_121005069_LTC_2.jpg</t>
        </is>
      </c>
      <c r="K711" t="inlineStr">
        <is>
          <t>LAUNDRY_BY_DESIGN_121005069_LTC_3.jpg</t>
        </is>
      </c>
      <c r="L711">
        <f>IMAGE("file:///E:/Estudios%20y%20certificaciones/ESTUDIOS%20DE%20PROGRAMMING/PROGRAMMING/PERSONAL/PYTHON/Image_Generator_API/imagenes/LAUNDRY_BY_DESIGN_121005069_LTC_1.jpg")</f>
        <v/>
      </c>
      <c r="M711">
        <f>IMAGE("file:///E:/Estudios%20y%20certificaciones/ESTUDIOS%20DE%20PROGRAMMING/PROGRAMMING/PERSONAL/PYTHON/Image_Generator_API/imagenes/LAUNDRY_BY_DESIGN_121005069_LTC_2.jpg")</f>
        <v/>
      </c>
      <c r="N711">
        <f>IMAGE("file:///E:/Estudios%20y%20certificaciones/ESTUDIOS%20DE%20PROGRAMMING/PROGRAMMING/PERSONAL/PYTHON/Image_Generator_API/imagenes/LAUNDRY_BY_DESIGN_121005069_LTC_3.jpg")</f>
        <v/>
      </c>
      <c r="O711">
        <f>HYPERLINK("imagenes/LAUNDRY_BY_DESIGN_121005069_LTC_1.jpg","Ver imagen")</f>
        <v/>
      </c>
      <c r="P711">
        <f>HYPERLINK("imagenes/LAUNDRY_BY_DESIGN_121005069_LTC_2.jpg","Ver imagen")</f>
        <v/>
      </c>
      <c r="Q711">
        <f>HYPERLINK("imagenes/LAUNDRY_BY_DESIGN_121005069_LTC_3.jpg","Ver imagen")</f>
        <v/>
      </c>
    </row>
    <row r="712">
      <c r="A712" t="inlineStr">
        <is>
          <t>LAUNDRY BY DESIGN</t>
        </is>
      </c>
      <c r="B712" t="inlineStr">
        <is>
          <t>121005069</t>
        </is>
      </c>
      <c r="C712" t="inlineStr">
        <is>
          <t>27" SNOWCHIC BOMBER QUILT(DUP13457)</t>
        </is>
      </c>
      <c r="D712" t="inlineStr">
        <is>
          <t>LTC</t>
        </is>
      </c>
      <c r="E712" t="inlineStr">
        <is>
          <t>(en blanco)</t>
        </is>
      </c>
      <c r="F712" t="inlineStr">
        <is>
          <t>D2C</t>
        </is>
      </c>
      <c r="G712" t="inlineStr">
        <is>
          <t>XXL</t>
        </is>
      </c>
      <c r="H712" t="n">
        <v>2</v>
      </c>
      <c r="I712" t="inlineStr">
        <is>
          <t>LAUNDRY_BY_DESIGN_121005069_LTC_1.jpg</t>
        </is>
      </c>
      <c r="J712" t="inlineStr">
        <is>
          <t>LAUNDRY_BY_DESIGN_121005069_LTC_2.jpg</t>
        </is>
      </c>
      <c r="K712" t="inlineStr">
        <is>
          <t>LAUNDRY_BY_DESIGN_121005069_LTC_3.jpg</t>
        </is>
      </c>
      <c r="L712">
        <f>IMAGE("file:///E:/Estudios%20y%20certificaciones/ESTUDIOS%20DE%20PROGRAMMING/PROGRAMMING/PERSONAL/PYTHON/Image_Generator_API/imagenes/LAUNDRY_BY_DESIGN_121005069_LTC_1.jpg")</f>
        <v/>
      </c>
      <c r="M712">
        <f>IMAGE("file:///E:/Estudios%20y%20certificaciones/ESTUDIOS%20DE%20PROGRAMMING/PROGRAMMING/PERSONAL/PYTHON/Image_Generator_API/imagenes/LAUNDRY_BY_DESIGN_121005069_LTC_2.jpg")</f>
        <v/>
      </c>
      <c r="N712">
        <f>IMAGE("file:///E:/Estudios%20y%20certificaciones/ESTUDIOS%20DE%20PROGRAMMING/PROGRAMMING/PERSONAL/PYTHON/Image_Generator_API/imagenes/LAUNDRY_BY_DESIGN_121005069_LTC_3.jpg")</f>
        <v/>
      </c>
      <c r="O712">
        <f>HYPERLINK("imagenes/LAUNDRY_BY_DESIGN_121005069_LTC_1.jpg","Ver imagen")</f>
        <v/>
      </c>
      <c r="P712">
        <f>HYPERLINK("imagenes/LAUNDRY_BY_DESIGN_121005069_LTC_2.jpg","Ver imagen")</f>
        <v/>
      </c>
      <c r="Q712">
        <f>HYPERLINK("imagenes/LAUNDRY_BY_DESIGN_121005069_LTC_3.jpg","Ver imagen")</f>
        <v/>
      </c>
    </row>
    <row r="713">
      <c r="A713" t="inlineStr">
        <is>
          <t>LAUNDRY BY DESIGN</t>
        </is>
      </c>
      <c r="B713" t="inlineStr">
        <is>
          <t>121005069</t>
        </is>
      </c>
      <c r="C713" t="inlineStr">
        <is>
          <t>27" SNOWCHIC BOMBER QUILT(DUP13457)</t>
        </is>
      </c>
      <c r="D713" t="inlineStr">
        <is>
          <t>LTC</t>
        </is>
      </c>
      <c r="E713" t="inlineStr">
        <is>
          <t>(en blanco)</t>
        </is>
      </c>
      <c r="F713" t="inlineStr">
        <is>
          <t>(en blanco)</t>
        </is>
      </c>
      <c r="G713" t="inlineStr">
        <is>
          <t>S</t>
        </is>
      </c>
      <c r="H713" t="n">
        <v>0</v>
      </c>
      <c r="I713" t="inlineStr">
        <is>
          <t>LAUNDRY_BY_DESIGN_121005069_LTC_1.jpg</t>
        </is>
      </c>
      <c r="J713" t="inlineStr">
        <is>
          <t>LAUNDRY_BY_DESIGN_121005069_LTC_2.jpg</t>
        </is>
      </c>
      <c r="K713" t="inlineStr">
        <is>
          <t>LAUNDRY_BY_DESIGN_121005069_LTC_3.jpg</t>
        </is>
      </c>
      <c r="L713">
        <f>IMAGE("file:///E:/Estudios%20y%20certificaciones/ESTUDIOS%20DE%20PROGRAMMING/PROGRAMMING/PERSONAL/PYTHON/Image_Generator_API/imagenes/LAUNDRY_BY_DESIGN_121005069_LTC_1.jpg")</f>
        <v/>
      </c>
      <c r="M713">
        <f>IMAGE("file:///E:/Estudios%20y%20certificaciones/ESTUDIOS%20DE%20PROGRAMMING/PROGRAMMING/PERSONAL/PYTHON/Image_Generator_API/imagenes/LAUNDRY_BY_DESIGN_121005069_LTC_2.jpg")</f>
        <v/>
      </c>
      <c r="N713">
        <f>IMAGE("file:///E:/Estudios%20y%20certificaciones/ESTUDIOS%20DE%20PROGRAMMING/PROGRAMMING/PERSONAL/PYTHON/Image_Generator_API/imagenes/LAUNDRY_BY_DESIGN_121005069_LTC_3.jpg")</f>
        <v/>
      </c>
      <c r="O713">
        <f>HYPERLINK("imagenes/LAUNDRY_BY_DESIGN_121005069_LTC_1.jpg","Ver imagen")</f>
        <v/>
      </c>
      <c r="P713">
        <f>HYPERLINK("imagenes/LAUNDRY_BY_DESIGN_121005069_LTC_2.jpg","Ver imagen")</f>
        <v/>
      </c>
      <c r="Q713">
        <f>HYPERLINK("imagenes/LAUNDRY_BY_DESIGN_121005069_LTC_3.jpg","Ver imagen")</f>
        <v/>
      </c>
    </row>
    <row r="714">
      <c r="A714" t="inlineStr">
        <is>
          <t>LAUNDRY BY DESIGN</t>
        </is>
      </c>
      <c r="B714" t="inlineStr">
        <is>
          <t>121005069</t>
        </is>
      </c>
      <c r="C714" t="inlineStr">
        <is>
          <t>27" SNOWCHIC BOMBER QUILT(DUP13457)</t>
        </is>
      </c>
      <c r="D714" t="inlineStr">
        <is>
          <t>LTC</t>
        </is>
      </c>
      <c r="E714" t="inlineStr">
        <is>
          <t>(en blanco)</t>
        </is>
      </c>
      <c r="F714" t="inlineStr">
        <is>
          <t>(en blanco)</t>
        </is>
      </c>
      <c r="G714" t="inlineStr">
        <is>
          <t>M</t>
        </is>
      </c>
      <c r="H714" t="n">
        <v>1</v>
      </c>
      <c r="I714" t="inlineStr">
        <is>
          <t>LAUNDRY_BY_DESIGN_121005069_LTC_1.jpg</t>
        </is>
      </c>
      <c r="J714" t="inlineStr">
        <is>
          <t>LAUNDRY_BY_DESIGN_121005069_LTC_2.jpg</t>
        </is>
      </c>
      <c r="K714" t="inlineStr">
        <is>
          <t>LAUNDRY_BY_DESIGN_121005069_LTC_3.jpg</t>
        </is>
      </c>
      <c r="L714">
        <f>IMAGE("file:///E:/Estudios%20y%20certificaciones/ESTUDIOS%20DE%20PROGRAMMING/PROGRAMMING/PERSONAL/PYTHON/Image_Generator_API/imagenes/LAUNDRY_BY_DESIGN_121005069_LTC_1.jpg")</f>
        <v/>
      </c>
      <c r="M714">
        <f>IMAGE("file:///E:/Estudios%20y%20certificaciones/ESTUDIOS%20DE%20PROGRAMMING/PROGRAMMING/PERSONAL/PYTHON/Image_Generator_API/imagenes/LAUNDRY_BY_DESIGN_121005069_LTC_2.jpg")</f>
        <v/>
      </c>
      <c r="N714">
        <f>IMAGE("file:///E:/Estudios%20y%20certificaciones/ESTUDIOS%20DE%20PROGRAMMING/PROGRAMMING/PERSONAL/PYTHON/Image_Generator_API/imagenes/LAUNDRY_BY_DESIGN_121005069_LTC_3.jpg")</f>
        <v/>
      </c>
      <c r="O714">
        <f>HYPERLINK("imagenes/LAUNDRY_BY_DESIGN_121005069_LTC_1.jpg","Ver imagen")</f>
        <v/>
      </c>
      <c r="P714">
        <f>HYPERLINK("imagenes/LAUNDRY_BY_DESIGN_121005069_LTC_2.jpg","Ver imagen")</f>
        <v/>
      </c>
      <c r="Q714">
        <f>HYPERLINK("imagenes/LAUNDRY_BY_DESIGN_121005069_LTC_3.jpg","Ver imagen")</f>
        <v/>
      </c>
    </row>
    <row r="715">
      <c r="A715" t="inlineStr">
        <is>
          <t>LAUNDRY BY DESIGN</t>
        </is>
      </c>
      <c r="B715" t="inlineStr">
        <is>
          <t>121005069</t>
        </is>
      </c>
      <c r="C715" t="inlineStr">
        <is>
          <t>27" SNOWCHIC BOMBER QUILT(DUP13457)</t>
        </is>
      </c>
      <c r="D715" t="inlineStr">
        <is>
          <t>LTC</t>
        </is>
      </c>
      <c r="E715" t="inlineStr">
        <is>
          <t>(en blanco)</t>
        </is>
      </c>
      <c r="F715" t="inlineStr">
        <is>
          <t>(en blanco)</t>
        </is>
      </c>
      <c r="G715" t="inlineStr">
        <is>
          <t>L</t>
        </is>
      </c>
      <c r="H715" t="n">
        <v>0</v>
      </c>
      <c r="I715" t="inlineStr">
        <is>
          <t>LAUNDRY_BY_DESIGN_121005069_LTC_1.jpg</t>
        </is>
      </c>
      <c r="J715" t="inlineStr">
        <is>
          <t>LAUNDRY_BY_DESIGN_121005069_LTC_2.jpg</t>
        </is>
      </c>
      <c r="K715" t="inlineStr">
        <is>
          <t>LAUNDRY_BY_DESIGN_121005069_LTC_3.jpg</t>
        </is>
      </c>
      <c r="L715">
        <f>IMAGE("file:///E:/Estudios%20y%20certificaciones/ESTUDIOS%20DE%20PROGRAMMING/PROGRAMMING/PERSONAL/PYTHON/Image_Generator_API/imagenes/LAUNDRY_BY_DESIGN_121005069_LTC_1.jpg")</f>
        <v/>
      </c>
      <c r="M715">
        <f>IMAGE("file:///E:/Estudios%20y%20certificaciones/ESTUDIOS%20DE%20PROGRAMMING/PROGRAMMING/PERSONAL/PYTHON/Image_Generator_API/imagenes/LAUNDRY_BY_DESIGN_121005069_LTC_2.jpg")</f>
        <v/>
      </c>
      <c r="N715">
        <f>IMAGE("file:///E:/Estudios%20y%20certificaciones/ESTUDIOS%20DE%20PROGRAMMING/PROGRAMMING/PERSONAL/PYTHON/Image_Generator_API/imagenes/LAUNDRY_BY_DESIGN_121005069_LTC_3.jpg")</f>
        <v/>
      </c>
      <c r="O715">
        <f>HYPERLINK("imagenes/LAUNDRY_BY_DESIGN_121005069_LTC_1.jpg","Ver imagen")</f>
        <v/>
      </c>
      <c r="P715">
        <f>HYPERLINK("imagenes/LAUNDRY_BY_DESIGN_121005069_LTC_2.jpg","Ver imagen")</f>
        <v/>
      </c>
      <c r="Q715">
        <f>HYPERLINK("imagenes/LAUNDRY_BY_DESIGN_121005069_LTC_3.jpg","Ver imagen")</f>
        <v/>
      </c>
    </row>
    <row r="716">
      <c r="A716" t="inlineStr">
        <is>
          <t>LAUNDRY BY DESIGN</t>
        </is>
      </c>
      <c r="B716" t="inlineStr">
        <is>
          <t>121005069</t>
        </is>
      </c>
      <c r="C716" t="inlineStr">
        <is>
          <t>27" SNOWCHIC BOMBER QUILT(DUP13457)</t>
        </is>
      </c>
      <c r="D716" t="inlineStr">
        <is>
          <t>LTC</t>
        </is>
      </c>
      <c r="E716" t="inlineStr">
        <is>
          <t>(en blanco)</t>
        </is>
      </c>
      <c r="F716" t="inlineStr">
        <is>
          <t>(en blanco)</t>
        </is>
      </c>
      <c r="G716" t="inlineStr">
        <is>
          <t>XL</t>
        </is>
      </c>
      <c r="H716" t="n">
        <v>0</v>
      </c>
      <c r="I716" t="inlineStr">
        <is>
          <t>LAUNDRY_BY_DESIGN_121005069_LTC_1.jpg</t>
        </is>
      </c>
      <c r="J716" t="inlineStr">
        <is>
          <t>LAUNDRY_BY_DESIGN_121005069_LTC_2.jpg</t>
        </is>
      </c>
      <c r="K716" t="inlineStr">
        <is>
          <t>LAUNDRY_BY_DESIGN_121005069_LTC_3.jpg</t>
        </is>
      </c>
      <c r="L716">
        <f>IMAGE("file:///E:/Estudios%20y%20certificaciones/ESTUDIOS%20DE%20PROGRAMMING/PROGRAMMING/PERSONAL/PYTHON/Image_Generator_API/imagenes/LAUNDRY_BY_DESIGN_121005069_LTC_1.jpg")</f>
        <v/>
      </c>
      <c r="M716">
        <f>IMAGE("file:///E:/Estudios%20y%20certificaciones/ESTUDIOS%20DE%20PROGRAMMING/PROGRAMMING/PERSONAL/PYTHON/Image_Generator_API/imagenes/LAUNDRY_BY_DESIGN_121005069_LTC_2.jpg")</f>
        <v/>
      </c>
      <c r="N716">
        <f>IMAGE("file:///E:/Estudios%20y%20certificaciones/ESTUDIOS%20DE%20PROGRAMMING/PROGRAMMING/PERSONAL/PYTHON/Image_Generator_API/imagenes/LAUNDRY_BY_DESIGN_121005069_LTC_3.jpg")</f>
        <v/>
      </c>
      <c r="O716">
        <f>HYPERLINK("imagenes/LAUNDRY_BY_DESIGN_121005069_LTC_1.jpg","Ver imagen")</f>
        <v/>
      </c>
      <c r="P716">
        <f>HYPERLINK("imagenes/LAUNDRY_BY_DESIGN_121005069_LTC_2.jpg","Ver imagen")</f>
        <v/>
      </c>
      <c r="Q716">
        <f>HYPERLINK("imagenes/LAUNDRY_BY_DESIGN_121005069_LTC_3.jpg","Ver imagen")</f>
        <v/>
      </c>
    </row>
    <row r="717">
      <c r="A717" t="inlineStr">
        <is>
          <t>LAUNDRY BY DESIGN</t>
        </is>
      </c>
      <c r="B717" t="inlineStr">
        <is>
          <t>121005069</t>
        </is>
      </c>
      <c r="C717" t="inlineStr">
        <is>
          <t>27" SNOWCHIC BOMBER QUILT(DUP13457)</t>
        </is>
      </c>
      <c r="D717" t="inlineStr">
        <is>
          <t>MGN</t>
        </is>
      </c>
      <c r="E717" t="inlineStr">
        <is>
          <t>06A01</t>
        </is>
      </c>
      <c r="F717" t="inlineStr">
        <is>
          <t>(en blanco)</t>
        </is>
      </c>
      <c r="G717" t="inlineStr">
        <is>
          <t>PPK</t>
        </is>
      </c>
      <c r="H717" t="n">
        <v>6</v>
      </c>
      <c r="I717" t="inlineStr">
        <is>
          <t>LAUNDRY_BY_DESIGN_121005069_MGN_1.jpg</t>
        </is>
      </c>
      <c r="J717" t="inlineStr">
        <is>
          <t>LAUNDRY_BY_DESIGN_121005069_MGN_2.jpg</t>
        </is>
      </c>
      <c r="K717" t="inlineStr">
        <is>
          <t>LAUNDRY_BY_DESIGN_121005069_MGN_3.jpg</t>
        </is>
      </c>
      <c r="L717">
        <f>IMAGE("file:///E:/Estudios%20y%20certificaciones/ESTUDIOS%20DE%20PROGRAMMING/PROGRAMMING/PERSONAL/PYTHON/Image_Generator_API/imagenes/LAUNDRY_BY_DESIGN_121005069_MGN_1.jpg")</f>
        <v/>
      </c>
      <c r="M717">
        <f>IMAGE("file:///E:/Estudios%20y%20certificaciones/ESTUDIOS%20DE%20PROGRAMMING/PROGRAMMING/PERSONAL/PYTHON/Image_Generator_API/imagenes/LAUNDRY_BY_DESIGN_121005069_MGN_2.jpg")</f>
        <v/>
      </c>
      <c r="N717">
        <f>IMAGE("file:///E:/Estudios%20y%20certificaciones/ESTUDIOS%20DE%20PROGRAMMING/PROGRAMMING/PERSONAL/PYTHON/Image_Generator_API/imagenes/LAUNDRY_BY_DESIGN_121005069_MGN_3.jpg")</f>
        <v/>
      </c>
      <c r="O717">
        <f>HYPERLINK("imagenes/LAUNDRY_BY_DESIGN_121005069_MGN_1.jpg","Ver imagen")</f>
        <v/>
      </c>
      <c r="P717">
        <f>HYPERLINK("imagenes/LAUNDRY_BY_DESIGN_121005069_MGN_2.jpg","Ver imagen")</f>
        <v/>
      </c>
      <c r="Q717">
        <f>HYPERLINK("imagenes/LAUNDRY_BY_DESIGN_121005069_MGN_3.jpg","Ver imagen")</f>
        <v/>
      </c>
    </row>
    <row r="718">
      <c r="A718" t="inlineStr">
        <is>
          <t>LAUNDRY BY DESIGN</t>
        </is>
      </c>
      <c r="B718" t="inlineStr">
        <is>
          <t>121005069</t>
        </is>
      </c>
      <c r="C718" t="inlineStr">
        <is>
          <t>27" SNOWCHIC BOMBER QUILT(DUP13457)</t>
        </is>
      </c>
      <c r="D718" t="inlineStr">
        <is>
          <t>MGN</t>
        </is>
      </c>
      <c r="E718" t="inlineStr">
        <is>
          <t>(en blanco)</t>
        </is>
      </c>
      <c r="F718" t="inlineStr">
        <is>
          <t>D2C</t>
        </is>
      </c>
      <c r="G718" t="inlineStr">
        <is>
          <t>M</t>
        </is>
      </c>
      <c r="H718" t="n">
        <v>3</v>
      </c>
      <c r="I718" t="inlineStr">
        <is>
          <t>LAUNDRY_BY_DESIGN_121005069_MGN_1.jpg</t>
        </is>
      </c>
      <c r="J718" t="inlineStr">
        <is>
          <t>LAUNDRY_BY_DESIGN_121005069_MGN_2.jpg</t>
        </is>
      </c>
      <c r="K718" t="inlineStr">
        <is>
          <t>LAUNDRY_BY_DESIGN_121005069_MGN_3.jpg</t>
        </is>
      </c>
      <c r="L718">
        <f>IMAGE("file:///E:/Estudios%20y%20certificaciones/ESTUDIOS%20DE%20PROGRAMMING/PROGRAMMING/PERSONAL/PYTHON/Image_Generator_API/imagenes/LAUNDRY_BY_DESIGN_121005069_MGN_1.jpg")</f>
        <v/>
      </c>
      <c r="M718">
        <f>IMAGE("file:///E:/Estudios%20y%20certificaciones/ESTUDIOS%20DE%20PROGRAMMING/PROGRAMMING/PERSONAL/PYTHON/Image_Generator_API/imagenes/LAUNDRY_BY_DESIGN_121005069_MGN_2.jpg")</f>
        <v/>
      </c>
      <c r="N718">
        <f>IMAGE("file:///E:/Estudios%20y%20certificaciones/ESTUDIOS%20DE%20PROGRAMMING/PROGRAMMING/PERSONAL/PYTHON/Image_Generator_API/imagenes/LAUNDRY_BY_DESIGN_121005069_MGN_3.jpg")</f>
        <v/>
      </c>
      <c r="O718">
        <f>HYPERLINK("imagenes/LAUNDRY_BY_DESIGN_121005069_MGN_1.jpg","Ver imagen")</f>
        <v/>
      </c>
      <c r="P718">
        <f>HYPERLINK("imagenes/LAUNDRY_BY_DESIGN_121005069_MGN_2.jpg","Ver imagen")</f>
        <v/>
      </c>
      <c r="Q718">
        <f>HYPERLINK("imagenes/LAUNDRY_BY_DESIGN_121005069_MGN_3.jpg","Ver imagen")</f>
        <v/>
      </c>
    </row>
    <row r="719">
      <c r="A719" t="inlineStr">
        <is>
          <t>LAUNDRY BY DESIGN</t>
        </is>
      </c>
      <c r="B719" t="inlineStr">
        <is>
          <t>121005069</t>
        </is>
      </c>
      <c r="C719" t="inlineStr">
        <is>
          <t>27" SNOWCHIC BOMBER QUILT(DUP13457)</t>
        </is>
      </c>
      <c r="D719" t="inlineStr">
        <is>
          <t>MGN</t>
        </is>
      </c>
      <c r="E719" t="inlineStr">
        <is>
          <t>(en blanco)</t>
        </is>
      </c>
      <c r="F719" t="inlineStr">
        <is>
          <t>D2C</t>
        </is>
      </c>
      <c r="G719" t="inlineStr">
        <is>
          <t>L</t>
        </is>
      </c>
      <c r="H719" t="n">
        <v>2</v>
      </c>
      <c r="I719" t="inlineStr">
        <is>
          <t>LAUNDRY_BY_DESIGN_121005069_MGN_1.jpg</t>
        </is>
      </c>
      <c r="J719" t="inlineStr">
        <is>
          <t>LAUNDRY_BY_DESIGN_121005069_MGN_2.jpg</t>
        </is>
      </c>
      <c r="K719" t="inlineStr">
        <is>
          <t>LAUNDRY_BY_DESIGN_121005069_MGN_3.jpg</t>
        </is>
      </c>
      <c r="L719">
        <f>IMAGE("file:///E:/Estudios%20y%20certificaciones/ESTUDIOS%20DE%20PROGRAMMING/PROGRAMMING/PERSONAL/PYTHON/Image_Generator_API/imagenes/LAUNDRY_BY_DESIGN_121005069_MGN_1.jpg")</f>
        <v/>
      </c>
      <c r="M719">
        <f>IMAGE("file:///E:/Estudios%20y%20certificaciones/ESTUDIOS%20DE%20PROGRAMMING/PROGRAMMING/PERSONAL/PYTHON/Image_Generator_API/imagenes/LAUNDRY_BY_DESIGN_121005069_MGN_2.jpg")</f>
        <v/>
      </c>
      <c r="N719">
        <f>IMAGE("file:///E:/Estudios%20y%20certificaciones/ESTUDIOS%20DE%20PROGRAMMING/PROGRAMMING/PERSONAL/PYTHON/Image_Generator_API/imagenes/LAUNDRY_BY_DESIGN_121005069_MGN_3.jpg")</f>
        <v/>
      </c>
      <c r="O719">
        <f>HYPERLINK("imagenes/LAUNDRY_BY_DESIGN_121005069_MGN_1.jpg","Ver imagen")</f>
        <v/>
      </c>
      <c r="P719">
        <f>HYPERLINK("imagenes/LAUNDRY_BY_DESIGN_121005069_MGN_2.jpg","Ver imagen")</f>
        <v/>
      </c>
      <c r="Q719">
        <f>HYPERLINK("imagenes/LAUNDRY_BY_DESIGN_121005069_MGN_3.jpg","Ver imagen")</f>
        <v/>
      </c>
    </row>
    <row r="720">
      <c r="A720" t="inlineStr">
        <is>
          <t>LAUNDRY BY DESIGN</t>
        </is>
      </c>
      <c r="B720" t="inlineStr">
        <is>
          <t>121005069</t>
        </is>
      </c>
      <c r="C720" t="inlineStr">
        <is>
          <t>27" SNOWCHIC BOMBER QUILT(DUP13457)</t>
        </is>
      </c>
      <c r="D720" t="inlineStr">
        <is>
          <t>MGN</t>
        </is>
      </c>
      <c r="E720" t="inlineStr">
        <is>
          <t>(en blanco)</t>
        </is>
      </c>
      <c r="F720" t="inlineStr">
        <is>
          <t>D2C</t>
        </is>
      </c>
      <c r="G720" t="inlineStr">
        <is>
          <t>XL</t>
        </is>
      </c>
      <c r="H720" t="n">
        <v>1</v>
      </c>
      <c r="I720" t="inlineStr">
        <is>
          <t>LAUNDRY_BY_DESIGN_121005069_MGN_1.jpg</t>
        </is>
      </c>
      <c r="J720" t="inlineStr">
        <is>
          <t>LAUNDRY_BY_DESIGN_121005069_MGN_2.jpg</t>
        </is>
      </c>
      <c r="K720" t="inlineStr">
        <is>
          <t>LAUNDRY_BY_DESIGN_121005069_MGN_3.jpg</t>
        </is>
      </c>
      <c r="L720">
        <f>IMAGE("file:///E:/Estudios%20y%20certificaciones/ESTUDIOS%20DE%20PROGRAMMING/PROGRAMMING/PERSONAL/PYTHON/Image_Generator_API/imagenes/LAUNDRY_BY_DESIGN_121005069_MGN_1.jpg")</f>
        <v/>
      </c>
      <c r="M720">
        <f>IMAGE("file:///E:/Estudios%20y%20certificaciones/ESTUDIOS%20DE%20PROGRAMMING/PROGRAMMING/PERSONAL/PYTHON/Image_Generator_API/imagenes/LAUNDRY_BY_DESIGN_121005069_MGN_2.jpg")</f>
        <v/>
      </c>
      <c r="N720">
        <f>IMAGE("file:///E:/Estudios%20y%20certificaciones/ESTUDIOS%20DE%20PROGRAMMING/PROGRAMMING/PERSONAL/PYTHON/Image_Generator_API/imagenes/LAUNDRY_BY_DESIGN_121005069_MGN_3.jpg")</f>
        <v/>
      </c>
      <c r="O720">
        <f>HYPERLINK("imagenes/LAUNDRY_BY_DESIGN_121005069_MGN_1.jpg","Ver imagen")</f>
        <v/>
      </c>
      <c r="P720">
        <f>HYPERLINK("imagenes/LAUNDRY_BY_DESIGN_121005069_MGN_2.jpg","Ver imagen")</f>
        <v/>
      </c>
      <c r="Q720">
        <f>HYPERLINK("imagenes/LAUNDRY_BY_DESIGN_121005069_MGN_3.jpg","Ver imagen")</f>
        <v/>
      </c>
    </row>
    <row r="721">
      <c r="A721" t="inlineStr">
        <is>
          <t>LAUNDRY BY DESIGN</t>
        </is>
      </c>
      <c r="B721" t="inlineStr">
        <is>
          <t>121005069</t>
        </is>
      </c>
      <c r="C721" t="inlineStr">
        <is>
          <t>27" SNOWCHIC BOMBER QUILT(DUP13457)</t>
        </is>
      </c>
      <c r="D721" t="inlineStr">
        <is>
          <t>MGN</t>
        </is>
      </c>
      <c r="E721" t="inlineStr">
        <is>
          <t>(en blanco)</t>
        </is>
      </c>
      <c r="F721" t="inlineStr">
        <is>
          <t>D2C</t>
        </is>
      </c>
      <c r="G721" t="inlineStr">
        <is>
          <t>XXL</t>
        </is>
      </c>
      <c r="H721" t="n">
        <v>0</v>
      </c>
      <c r="I721" t="inlineStr">
        <is>
          <t>LAUNDRY_BY_DESIGN_121005069_MGN_1.jpg</t>
        </is>
      </c>
      <c r="J721" t="inlineStr">
        <is>
          <t>LAUNDRY_BY_DESIGN_121005069_MGN_2.jpg</t>
        </is>
      </c>
      <c r="K721" t="inlineStr">
        <is>
          <t>LAUNDRY_BY_DESIGN_121005069_MGN_3.jpg</t>
        </is>
      </c>
      <c r="L721">
        <f>IMAGE("file:///E:/Estudios%20y%20certificaciones/ESTUDIOS%20DE%20PROGRAMMING/PROGRAMMING/PERSONAL/PYTHON/Image_Generator_API/imagenes/LAUNDRY_BY_DESIGN_121005069_MGN_1.jpg")</f>
        <v/>
      </c>
      <c r="M721">
        <f>IMAGE("file:///E:/Estudios%20y%20certificaciones/ESTUDIOS%20DE%20PROGRAMMING/PROGRAMMING/PERSONAL/PYTHON/Image_Generator_API/imagenes/LAUNDRY_BY_DESIGN_121005069_MGN_2.jpg")</f>
        <v/>
      </c>
      <c r="N721">
        <f>IMAGE("file:///E:/Estudios%20y%20certificaciones/ESTUDIOS%20DE%20PROGRAMMING/PROGRAMMING/PERSONAL/PYTHON/Image_Generator_API/imagenes/LAUNDRY_BY_DESIGN_121005069_MGN_3.jpg")</f>
        <v/>
      </c>
      <c r="O721">
        <f>HYPERLINK("imagenes/LAUNDRY_BY_DESIGN_121005069_MGN_1.jpg","Ver imagen")</f>
        <v/>
      </c>
      <c r="P721">
        <f>HYPERLINK("imagenes/LAUNDRY_BY_DESIGN_121005069_MGN_2.jpg","Ver imagen")</f>
        <v/>
      </c>
      <c r="Q721">
        <f>HYPERLINK("imagenes/LAUNDRY_BY_DESIGN_121005069_MGN_3.jpg","Ver imagen")</f>
        <v/>
      </c>
    </row>
    <row r="722">
      <c r="A722" t="inlineStr">
        <is>
          <t>LAUNDRY BY DESIGN</t>
        </is>
      </c>
      <c r="B722" t="inlineStr">
        <is>
          <t>121005069</t>
        </is>
      </c>
      <c r="C722" t="inlineStr">
        <is>
          <t>27" SNOWCHIC BOMBER QUILT(DUP13457)</t>
        </is>
      </c>
      <c r="D722" t="inlineStr">
        <is>
          <t>MGN</t>
        </is>
      </c>
      <c r="E722" t="inlineStr">
        <is>
          <t>(en blanco)</t>
        </is>
      </c>
      <c r="F722" t="inlineStr">
        <is>
          <t>(en blanco)</t>
        </is>
      </c>
      <c r="G722" t="inlineStr">
        <is>
          <t>M</t>
        </is>
      </c>
      <c r="H722" t="n">
        <v>2</v>
      </c>
      <c r="I722" t="inlineStr">
        <is>
          <t>LAUNDRY_BY_DESIGN_121005069_MGN_1.jpg</t>
        </is>
      </c>
      <c r="J722" t="inlineStr">
        <is>
          <t>LAUNDRY_BY_DESIGN_121005069_MGN_2.jpg</t>
        </is>
      </c>
      <c r="K722" t="inlineStr">
        <is>
          <t>LAUNDRY_BY_DESIGN_121005069_MGN_3.jpg</t>
        </is>
      </c>
      <c r="L722">
        <f>IMAGE("file:///E:/Estudios%20y%20certificaciones/ESTUDIOS%20DE%20PROGRAMMING/PROGRAMMING/PERSONAL/PYTHON/Image_Generator_API/imagenes/LAUNDRY_BY_DESIGN_121005069_MGN_1.jpg")</f>
        <v/>
      </c>
      <c r="M722">
        <f>IMAGE("file:///E:/Estudios%20y%20certificaciones/ESTUDIOS%20DE%20PROGRAMMING/PROGRAMMING/PERSONAL/PYTHON/Image_Generator_API/imagenes/LAUNDRY_BY_DESIGN_121005069_MGN_2.jpg")</f>
        <v/>
      </c>
      <c r="N722">
        <f>IMAGE("file:///E:/Estudios%20y%20certificaciones/ESTUDIOS%20DE%20PROGRAMMING/PROGRAMMING/PERSONAL/PYTHON/Image_Generator_API/imagenes/LAUNDRY_BY_DESIGN_121005069_MGN_3.jpg")</f>
        <v/>
      </c>
      <c r="O722">
        <f>HYPERLINK("imagenes/LAUNDRY_BY_DESIGN_121005069_MGN_1.jpg","Ver imagen")</f>
        <v/>
      </c>
      <c r="P722">
        <f>HYPERLINK("imagenes/LAUNDRY_BY_DESIGN_121005069_MGN_2.jpg","Ver imagen")</f>
        <v/>
      </c>
      <c r="Q722">
        <f>HYPERLINK("imagenes/LAUNDRY_BY_DESIGN_121005069_MGN_3.jpg","Ver imagen")</f>
        <v/>
      </c>
    </row>
    <row r="723">
      <c r="A723" t="inlineStr">
        <is>
          <t>LAUNDRY BY DESIGN</t>
        </is>
      </c>
      <c r="B723" t="inlineStr">
        <is>
          <t>121005069</t>
        </is>
      </c>
      <c r="C723" t="inlineStr">
        <is>
          <t>27" SNOWCHIC BOMBER QUILT(DUP13457)</t>
        </is>
      </c>
      <c r="D723" t="inlineStr">
        <is>
          <t>MGN</t>
        </is>
      </c>
      <c r="E723" t="inlineStr">
        <is>
          <t>(en blanco)</t>
        </is>
      </c>
      <c r="F723" t="inlineStr">
        <is>
          <t>(en blanco)</t>
        </is>
      </c>
      <c r="G723" t="inlineStr">
        <is>
          <t>L</t>
        </is>
      </c>
      <c r="H723" t="n">
        <v>0</v>
      </c>
      <c r="I723" t="inlineStr">
        <is>
          <t>LAUNDRY_BY_DESIGN_121005069_MGN_1.jpg</t>
        </is>
      </c>
      <c r="J723" t="inlineStr">
        <is>
          <t>LAUNDRY_BY_DESIGN_121005069_MGN_2.jpg</t>
        </is>
      </c>
      <c r="K723" t="inlineStr">
        <is>
          <t>LAUNDRY_BY_DESIGN_121005069_MGN_3.jpg</t>
        </is>
      </c>
      <c r="L723">
        <f>IMAGE("file:///E:/Estudios%20y%20certificaciones/ESTUDIOS%20DE%20PROGRAMMING/PROGRAMMING/PERSONAL/PYTHON/Image_Generator_API/imagenes/LAUNDRY_BY_DESIGN_121005069_MGN_1.jpg")</f>
        <v/>
      </c>
      <c r="M723">
        <f>IMAGE("file:///E:/Estudios%20y%20certificaciones/ESTUDIOS%20DE%20PROGRAMMING/PROGRAMMING/PERSONAL/PYTHON/Image_Generator_API/imagenes/LAUNDRY_BY_DESIGN_121005069_MGN_2.jpg")</f>
        <v/>
      </c>
      <c r="N723">
        <f>IMAGE("file:///E:/Estudios%20y%20certificaciones/ESTUDIOS%20DE%20PROGRAMMING/PROGRAMMING/PERSONAL/PYTHON/Image_Generator_API/imagenes/LAUNDRY_BY_DESIGN_121005069_MGN_3.jpg")</f>
        <v/>
      </c>
      <c r="O723">
        <f>HYPERLINK("imagenes/LAUNDRY_BY_DESIGN_121005069_MGN_1.jpg","Ver imagen")</f>
        <v/>
      </c>
      <c r="P723">
        <f>HYPERLINK("imagenes/LAUNDRY_BY_DESIGN_121005069_MGN_2.jpg","Ver imagen")</f>
        <v/>
      </c>
      <c r="Q723">
        <f>HYPERLINK("imagenes/LAUNDRY_BY_DESIGN_121005069_MGN_3.jpg","Ver imagen")</f>
        <v/>
      </c>
    </row>
    <row r="724">
      <c r="A724" t="inlineStr">
        <is>
          <t>LAUNDRY BY DESIGN</t>
        </is>
      </c>
      <c r="B724" t="inlineStr">
        <is>
          <t>121005069</t>
        </is>
      </c>
      <c r="C724" t="inlineStr">
        <is>
          <t>27" SNOWCHIC BOMBER QUILT(DUP13457)</t>
        </is>
      </c>
      <c r="D724" t="inlineStr">
        <is>
          <t>MGN</t>
        </is>
      </c>
      <c r="E724" t="inlineStr">
        <is>
          <t>(en blanco)</t>
        </is>
      </c>
      <c r="F724" t="inlineStr">
        <is>
          <t>(en blanco)</t>
        </is>
      </c>
      <c r="G724" t="inlineStr">
        <is>
          <t>XL</t>
        </is>
      </c>
      <c r="H724" t="n">
        <v>4</v>
      </c>
      <c r="I724" t="inlineStr">
        <is>
          <t>LAUNDRY_BY_DESIGN_121005069_MGN_1.jpg</t>
        </is>
      </c>
      <c r="J724" t="inlineStr">
        <is>
          <t>LAUNDRY_BY_DESIGN_121005069_MGN_2.jpg</t>
        </is>
      </c>
      <c r="K724" t="inlineStr">
        <is>
          <t>LAUNDRY_BY_DESIGN_121005069_MGN_3.jpg</t>
        </is>
      </c>
      <c r="L724">
        <f>IMAGE("file:///E:/Estudios%20y%20certificaciones/ESTUDIOS%20DE%20PROGRAMMING/PROGRAMMING/PERSONAL/PYTHON/Image_Generator_API/imagenes/LAUNDRY_BY_DESIGN_121005069_MGN_1.jpg")</f>
        <v/>
      </c>
      <c r="M724">
        <f>IMAGE("file:///E:/Estudios%20y%20certificaciones/ESTUDIOS%20DE%20PROGRAMMING/PROGRAMMING/PERSONAL/PYTHON/Image_Generator_API/imagenes/LAUNDRY_BY_DESIGN_121005069_MGN_2.jpg")</f>
        <v/>
      </c>
      <c r="N724">
        <f>IMAGE("file:///E:/Estudios%20y%20certificaciones/ESTUDIOS%20DE%20PROGRAMMING/PROGRAMMING/PERSONAL/PYTHON/Image_Generator_API/imagenes/LAUNDRY_BY_DESIGN_121005069_MGN_3.jpg")</f>
        <v/>
      </c>
      <c r="O724">
        <f>HYPERLINK("imagenes/LAUNDRY_BY_DESIGN_121005069_MGN_1.jpg","Ver imagen")</f>
        <v/>
      </c>
      <c r="P724">
        <f>HYPERLINK("imagenes/LAUNDRY_BY_DESIGN_121005069_MGN_2.jpg","Ver imagen")</f>
        <v/>
      </c>
      <c r="Q724">
        <f>HYPERLINK("imagenes/LAUNDRY_BY_DESIGN_121005069_MGN_3.jpg","Ver imagen")</f>
        <v/>
      </c>
    </row>
    <row r="725">
      <c r="A725" t="inlineStr">
        <is>
          <t>LAUNDRY BY DESIGN</t>
        </is>
      </c>
      <c r="B725" t="inlineStr">
        <is>
          <t>121005087</t>
        </is>
      </c>
      <c r="C725" t="inlineStr">
        <is>
          <t>21" SPECIAL STITCHES NON WOOL JACKET(DUP13422B)</t>
        </is>
      </c>
      <c r="D725" t="inlineStr">
        <is>
          <t>OAH</t>
        </is>
      </c>
      <c r="E725" t="inlineStr">
        <is>
          <t>(en blanco)</t>
        </is>
      </c>
      <c r="F725" t="inlineStr">
        <is>
          <t>(en blanco)</t>
        </is>
      </c>
      <c r="G725" t="inlineStr">
        <is>
          <t>S</t>
        </is>
      </c>
      <c r="H725" t="n">
        <v>3</v>
      </c>
      <c r="I725" t="inlineStr">
        <is>
          <t>LAUNDRY_BY_DESIGN_121005087_OAH_1.jpg</t>
        </is>
      </c>
      <c r="J725" t="inlineStr">
        <is>
          <t>LAUNDRY_BY_DESIGN_121005087_OAH_2.jpg</t>
        </is>
      </c>
      <c r="K725" t="inlineStr">
        <is>
          <t>LAUNDRY_BY_DESIGN_121005087_OAH_3.jpg</t>
        </is>
      </c>
      <c r="L725">
        <f>IMAGE("file:///E:/Estudios%20y%20certificaciones/ESTUDIOS%20DE%20PROGRAMMING/PROGRAMMING/PERSONAL/PYTHON/Image_Generator_API/imagenes/LAUNDRY_BY_DESIGN_121005087_OAH_1.jpg")</f>
        <v/>
      </c>
      <c r="M725">
        <f>IMAGE("file:///E:/Estudios%20y%20certificaciones/ESTUDIOS%20DE%20PROGRAMMING/PROGRAMMING/PERSONAL/PYTHON/Image_Generator_API/imagenes/LAUNDRY_BY_DESIGN_121005087_OAH_2.jpg")</f>
        <v/>
      </c>
      <c r="N725">
        <f>IMAGE("file:///E:/Estudios%20y%20certificaciones/ESTUDIOS%20DE%20PROGRAMMING/PROGRAMMING/PERSONAL/PYTHON/Image_Generator_API/imagenes/LAUNDRY_BY_DESIGN_121005087_OAH_3.jpg")</f>
        <v/>
      </c>
      <c r="O725">
        <f>HYPERLINK("imagenes/LAUNDRY_BY_DESIGN_121005087_OAH_1.jpg","Ver imagen")</f>
        <v/>
      </c>
      <c r="P725">
        <f>HYPERLINK("imagenes/LAUNDRY_BY_DESIGN_121005087_OAH_2.jpg","Ver imagen")</f>
        <v/>
      </c>
      <c r="Q725">
        <f>HYPERLINK("imagenes/LAUNDRY_BY_DESIGN_121005087_OAH_3.jpg","Ver imagen")</f>
        <v/>
      </c>
    </row>
    <row r="726">
      <c r="A726" t="inlineStr">
        <is>
          <t>LAUNDRY BY DESIGN</t>
        </is>
      </c>
      <c r="B726" t="inlineStr">
        <is>
          <t>121005087</t>
        </is>
      </c>
      <c r="C726" t="inlineStr">
        <is>
          <t>21" SPECIAL STITCHES NON WOOL JACKET(DUP13422B)</t>
        </is>
      </c>
      <c r="D726" t="inlineStr">
        <is>
          <t>OAH</t>
        </is>
      </c>
      <c r="E726" t="inlineStr">
        <is>
          <t>(en blanco)</t>
        </is>
      </c>
      <c r="F726" t="inlineStr">
        <is>
          <t>(en blanco)</t>
        </is>
      </c>
      <c r="G726" t="inlineStr">
        <is>
          <t>M</t>
        </is>
      </c>
      <c r="H726" t="n">
        <v>17</v>
      </c>
      <c r="I726" t="inlineStr">
        <is>
          <t>LAUNDRY_BY_DESIGN_121005087_OAH_1.jpg</t>
        </is>
      </c>
      <c r="J726" t="inlineStr">
        <is>
          <t>LAUNDRY_BY_DESIGN_121005087_OAH_2.jpg</t>
        </is>
      </c>
      <c r="K726" t="inlineStr">
        <is>
          <t>LAUNDRY_BY_DESIGN_121005087_OAH_3.jpg</t>
        </is>
      </c>
      <c r="L726">
        <f>IMAGE("file:///E:/Estudios%20y%20certificaciones/ESTUDIOS%20DE%20PROGRAMMING/PROGRAMMING/PERSONAL/PYTHON/Image_Generator_API/imagenes/LAUNDRY_BY_DESIGN_121005087_OAH_1.jpg")</f>
        <v/>
      </c>
      <c r="M726">
        <f>IMAGE("file:///E:/Estudios%20y%20certificaciones/ESTUDIOS%20DE%20PROGRAMMING/PROGRAMMING/PERSONAL/PYTHON/Image_Generator_API/imagenes/LAUNDRY_BY_DESIGN_121005087_OAH_2.jpg")</f>
        <v/>
      </c>
      <c r="N726">
        <f>IMAGE("file:///E:/Estudios%20y%20certificaciones/ESTUDIOS%20DE%20PROGRAMMING/PROGRAMMING/PERSONAL/PYTHON/Image_Generator_API/imagenes/LAUNDRY_BY_DESIGN_121005087_OAH_3.jpg")</f>
        <v/>
      </c>
      <c r="O726">
        <f>HYPERLINK("imagenes/LAUNDRY_BY_DESIGN_121005087_OAH_1.jpg","Ver imagen")</f>
        <v/>
      </c>
      <c r="P726">
        <f>HYPERLINK("imagenes/LAUNDRY_BY_DESIGN_121005087_OAH_2.jpg","Ver imagen")</f>
        <v/>
      </c>
      <c r="Q726">
        <f>HYPERLINK("imagenes/LAUNDRY_BY_DESIGN_121005087_OAH_3.jpg","Ver imagen")</f>
        <v/>
      </c>
    </row>
    <row r="727">
      <c r="A727" t="inlineStr">
        <is>
          <t>LAUNDRY BY DESIGN</t>
        </is>
      </c>
      <c r="B727" t="inlineStr">
        <is>
          <t>121005087</t>
        </is>
      </c>
      <c r="C727" t="inlineStr">
        <is>
          <t>21" SPECIAL STITCHES NON WOOL JACKET(DUP13422B)</t>
        </is>
      </c>
      <c r="D727" t="inlineStr">
        <is>
          <t>OAH</t>
        </is>
      </c>
      <c r="E727" t="inlineStr">
        <is>
          <t>(en blanco)</t>
        </is>
      </c>
      <c r="F727" t="inlineStr">
        <is>
          <t>(en blanco)</t>
        </is>
      </c>
      <c r="G727" t="inlineStr">
        <is>
          <t>L</t>
        </is>
      </c>
      <c r="H727" t="n">
        <v>15</v>
      </c>
      <c r="I727" t="inlineStr">
        <is>
          <t>LAUNDRY_BY_DESIGN_121005087_OAH_1.jpg</t>
        </is>
      </c>
      <c r="J727" t="inlineStr">
        <is>
          <t>LAUNDRY_BY_DESIGN_121005087_OAH_2.jpg</t>
        </is>
      </c>
      <c r="K727" t="inlineStr">
        <is>
          <t>LAUNDRY_BY_DESIGN_121005087_OAH_3.jpg</t>
        </is>
      </c>
      <c r="L727">
        <f>IMAGE("file:///E:/Estudios%20y%20certificaciones/ESTUDIOS%20DE%20PROGRAMMING/PROGRAMMING/PERSONAL/PYTHON/Image_Generator_API/imagenes/LAUNDRY_BY_DESIGN_121005087_OAH_1.jpg")</f>
        <v/>
      </c>
      <c r="M727">
        <f>IMAGE("file:///E:/Estudios%20y%20certificaciones/ESTUDIOS%20DE%20PROGRAMMING/PROGRAMMING/PERSONAL/PYTHON/Image_Generator_API/imagenes/LAUNDRY_BY_DESIGN_121005087_OAH_2.jpg")</f>
        <v/>
      </c>
      <c r="N727">
        <f>IMAGE("file:///E:/Estudios%20y%20certificaciones/ESTUDIOS%20DE%20PROGRAMMING/PROGRAMMING/PERSONAL/PYTHON/Image_Generator_API/imagenes/LAUNDRY_BY_DESIGN_121005087_OAH_3.jpg")</f>
        <v/>
      </c>
      <c r="O727">
        <f>HYPERLINK("imagenes/LAUNDRY_BY_DESIGN_121005087_OAH_1.jpg","Ver imagen")</f>
        <v/>
      </c>
      <c r="P727">
        <f>HYPERLINK("imagenes/LAUNDRY_BY_DESIGN_121005087_OAH_2.jpg","Ver imagen")</f>
        <v/>
      </c>
      <c r="Q727">
        <f>HYPERLINK("imagenes/LAUNDRY_BY_DESIGN_121005087_OAH_3.jpg","Ver imagen")</f>
        <v/>
      </c>
    </row>
    <row r="728">
      <c r="A728" t="inlineStr">
        <is>
          <t>LAUNDRY BY DESIGN</t>
        </is>
      </c>
      <c r="B728" t="inlineStr">
        <is>
          <t>121005087</t>
        </is>
      </c>
      <c r="C728" t="inlineStr">
        <is>
          <t>21" SPECIAL STITCHES NON WOOL JACKET(DUP13422B)</t>
        </is>
      </c>
      <c r="D728" t="inlineStr">
        <is>
          <t>OAH</t>
        </is>
      </c>
      <c r="E728" t="inlineStr">
        <is>
          <t>(en blanco)</t>
        </is>
      </c>
      <c r="F728" t="inlineStr">
        <is>
          <t>(en blanco)</t>
        </is>
      </c>
      <c r="G728" t="inlineStr">
        <is>
          <t>XL</t>
        </is>
      </c>
      <c r="H728" t="n">
        <v>45</v>
      </c>
      <c r="I728" t="inlineStr">
        <is>
          <t>LAUNDRY_BY_DESIGN_121005087_OAH_1.jpg</t>
        </is>
      </c>
      <c r="J728" t="inlineStr">
        <is>
          <t>LAUNDRY_BY_DESIGN_121005087_OAH_2.jpg</t>
        </is>
      </c>
      <c r="K728" t="inlineStr">
        <is>
          <t>LAUNDRY_BY_DESIGN_121005087_OAH_3.jpg</t>
        </is>
      </c>
      <c r="L728">
        <f>IMAGE("file:///E:/Estudios%20y%20certificaciones/ESTUDIOS%20DE%20PROGRAMMING/PROGRAMMING/PERSONAL/PYTHON/Image_Generator_API/imagenes/LAUNDRY_BY_DESIGN_121005087_OAH_1.jpg")</f>
        <v/>
      </c>
      <c r="M728">
        <f>IMAGE("file:///E:/Estudios%20y%20certificaciones/ESTUDIOS%20DE%20PROGRAMMING/PROGRAMMING/PERSONAL/PYTHON/Image_Generator_API/imagenes/LAUNDRY_BY_DESIGN_121005087_OAH_2.jpg")</f>
        <v/>
      </c>
      <c r="N728">
        <f>IMAGE("file:///E:/Estudios%20y%20certificaciones/ESTUDIOS%20DE%20PROGRAMMING/PROGRAMMING/PERSONAL/PYTHON/Image_Generator_API/imagenes/LAUNDRY_BY_DESIGN_121005087_OAH_3.jpg")</f>
        <v/>
      </c>
      <c r="O728">
        <f>HYPERLINK("imagenes/LAUNDRY_BY_DESIGN_121005087_OAH_1.jpg","Ver imagen")</f>
        <v/>
      </c>
      <c r="P728">
        <f>HYPERLINK("imagenes/LAUNDRY_BY_DESIGN_121005087_OAH_2.jpg","Ver imagen")</f>
        <v/>
      </c>
      <c r="Q728">
        <f>HYPERLINK("imagenes/LAUNDRY_BY_DESIGN_121005087_OAH_3.jpg","Ver imagen")</f>
        <v/>
      </c>
    </row>
    <row r="729">
      <c r="A729" t="inlineStr">
        <is>
          <t>LAUNDRY BY DESIGN</t>
        </is>
      </c>
      <c r="B729" t="inlineStr">
        <is>
          <t>121005087</t>
        </is>
      </c>
      <c r="C729" t="inlineStr">
        <is>
          <t>21" SPECIAL STITCHES NON WOOL JACKET(DUP13422B)</t>
        </is>
      </c>
      <c r="D729" t="inlineStr">
        <is>
          <t>OAH</t>
        </is>
      </c>
      <c r="E729" t="inlineStr">
        <is>
          <t>(en blanco)</t>
        </is>
      </c>
      <c r="F729" t="inlineStr">
        <is>
          <t>(en blanco)</t>
        </is>
      </c>
      <c r="G729" t="inlineStr">
        <is>
          <t>XXL</t>
        </is>
      </c>
      <c r="H729" t="n">
        <v>17</v>
      </c>
      <c r="I729" t="inlineStr">
        <is>
          <t>LAUNDRY_BY_DESIGN_121005087_OAH_1.jpg</t>
        </is>
      </c>
      <c r="J729" t="inlineStr">
        <is>
          <t>LAUNDRY_BY_DESIGN_121005087_OAH_2.jpg</t>
        </is>
      </c>
      <c r="K729" t="inlineStr">
        <is>
          <t>LAUNDRY_BY_DESIGN_121005087_OAH_3.jpg</t>
        </is>
      </c>
      <c r="L729">
        <f>IMAGE("file:///E:/Estudios%20y%20certificaciones/ESTUDIOS%20DE%20PROGRAMMING/PROGRAMMING/PERSONAL/PYTHON/Image_Generator_API/imagenes/LAUNDRY_BY_DESIGN_121005087_OAH_1.jpg")</f>
        <v/>
      </c>
      <c r="M729">
        <f>IMAGE("file:///E:/Estudios%20y%20certificaciones/ESTUDIOS%20DE%20PROGRAMMING/PROGRAMMING/PERSONAL/PYTHON/Image_Generator_API/imagenes/LAUNDRY_BY_DESIGN_121005087_OAH_2.jpg")</f>
        <v/>
      </c>
      <c r="N729">
        <f>IMAGE("file:///E:/Estudios%20y%20certificaciones/ESTUDIOS%20DE%20PROGRAMMING/PROGRAMMING/PERSONAL/PYTHON/Image_Generator_API/imagenes/LAUNDRY_BY_DESIGN_121005087_OAH_3.jpg")</f>
        <v/>
      </c>
      <c r="O729">
        <f>HYPERLINK("imagenes/LAUNDRY_BY_DESIGN_121005087_OAH_1.jpg","Ver imagen")</f>
        <v/>
      </c>
      <c r="P729">
        <f>HYPERLINK("imagenes/LAUNDRY_BY_DESIGN_121005087_OAH_2.jpg","Ver imagen")</f>
        <v/>
      </c>
      <c r="Q729">
        <f>HYPERLINK("imagenes/LAUNDRY_BY_DESIGN_121005087_OAH_3.jpg","Ver imagen")</f>
        <v/>
      </c>
    </row>
    <row r="730">
      <c r="A730" t="inlineStr">
        <is>
          <t>LAUNDRY BY DESIGN</t>
        </is>
      </c>
      <c r="B730" t="inlineStr">
        <is>
          <t>121005373</t>
        </is>
      </c>
      <c r="C730" t="inlineStr">
        <is>
          <t>26" SOFT TECH SHORT PUFFER</t>
        </is>
      </c>
      <c r="D730" t="inlineStr">
        <is>
          <t>DGN</t>
        </is>
      </c>
      <c r="E730" t="inlineStr">
        <is>
          <t>(en blanco)</t>
        </is>
      </c>
      <c r="F730" t="inlineStr">
        <is>
          <t>D2C</t>
        </is>
      </c>
      <c r="G730" t="inlineStr">
        <is>
          <t>S</t>
        </is>
      </c>
      <c r="H730" t="n">
        <v>1</v>
      </c>
      <c r="I730" t="inlineStr">
        <is>
          <t>LAUNDRY_BY_DESIGN_121005373_DGN_1.jpg</t>
        </is>
      </c>
      <c r="J730" t="inlineStr">
        <is>
          <t>LAUNDRY_BY_DESIGN_121005373_DGN_2.jpg</t>
        </is>
      </c>
      <c r="K730" t="inlineStr">
        <is>
          <t>LAUNDRY_BY_DESIGN_121005373_DGN_3.jpg</t>
        </is>
      </c>
      <c r="L730">
        <f>IMAGE("file:///E:/Estudios%20y%20certificaciones/ESTUDIOS%20DE%20PROGRAMMING/PROGRAMMING/PERSONAL/PYTHON/Image_Generator_API/imagenes/LAUNDRY_BY_DESIGN_121005373_DGN_1.jpg")</f>
        <v/>
      </c>
      <c r="M730">
        <f>IMAGE("file:///E:/Estudios%20y%20certificaciones/ESTUDIOS%20DE%20PROGRAMMING/PROGRAMMING/PERSONAL/PYTHON/Image_Generator_API/imagenes/LAUNDRY_BY_DESIGN_121005373_DGN_2.jpg")</f>
        <v/>
      </c>
      <c r="N730">
        <f>IMAGE("file:///E:/Estudios%20y%20certificaciones/ESTUDIOS%20DE%20PROGRAMMING/PROGRAMMING/PERSONAL/PYTHON/Image_Generator_API/imagenes/LAUNDRY_BY_DESIGN_121005373_DGN_3.jpg")</f>
        <v/>
      </c>
      <c r="O730">
        <f>HYPERLINK("imagenes/LAUNDRY_BY_DESIGN_121005373_DGN_1.jpg","Ver imagen")</f>
        <v/>
      </c>
      <c r="P730">
        <f>HYPERLINK("imagenes/LAUNDRY_BY_DESIGN_121005373_DGN_2.jpg","Ver imagen")</f>
        <v/>
      </c>
      <c r="Q730">
        <f>HYPERLINK("imagenes/LAUNDRY_BY_DESIGN_121005373_DGN_3.jpg","Ver imagen")</f>
        <v/>
      </c>
    </row>
    <row r="731">
      <c r="A731" t="inlineStr">
        <is>
          <t>LAUNDRY BY DESIGN</t>
        </is>
      </c>
      <c r="B731" t="inlineStr">
        <is>
          <t>121005373</t>
        </is>
      </c>
      <c r="C731" t="inlineStr">
        <is>
          <t>26" SOFT TECH SHORT PUFFER</t>
        </is>
      </c>
      <c r="D731" t="inlineStr">
        <is>
          <t>DGN</t>
        </is>
      </c>
      <c r="E731" t="inlineStr">
        <is>
          <t>(en blanco)</t>
        </is>
      </c>
      <c r="F731" t="inlineStr">
        <is>
          <t>D2C</t>
        </is>
      </c>
      <c r="G731" t="inlineStr">
        <is>
          <t>L</t>
        </is>
      </c>
      <c r="H731" t="n">
        <v>1</v>
      </c>
      <c r="I731" t="inlineStr">
        <is>
          <t>LAUNDRY_BY_DESIGN_121005373_DGN_1.jpg</t>
        </is>
      </c>
      <c r="J731" t="inlineStr">
        <is>
          <t>LAUNDRY_BY_DESIGN_121005373_DGN_2.jpg</t>
        </is>
      </c>
      <c r="K731" t="inlineStr">
        <is>
          <t>LAUNDRY_BY_DESIGN_121005373_DGN_3.jpg</t>
        </is>
      </c>
      <c r="L731">
        <f>IMAGE("file:///E:/Estudios%20y%20certificaciones/ESTUDIOS%20DE%20PROGRAMMING/PROGRAMMING/PERSONAL/PYTHON/Image_Generator_API/imagenes/LAUNDRY_BY_DESIGN_121005373_DGN_1.jpg")</f>
        <v/>
      </c>
      <c r="M731">
        <f>IMAGE("file:///E:/Estudios%20y%20certificaciones/ESTUDIOS%20DE%20PROGRAMMING/PROGRAMMING/PERSONAL/PYTHON/Image_Generator_API/imagenes/LAUNDRY_BY_DESIGN_121005373_DGN_2.jpg")</f>
        <v/>
      </c>
      <c r="N731">
        <f>IMAGE("file:///E:/Estudios%20y%20certificaciones/ESTUDIOS%20DE%20PROGRAMMING/PROGRAMMING/PERSONAL/PYTHON/Image_Generator_API/imagenes/LAUNDRY_BY_DESIGN_121005373_DGN_3.jpg")</f>
        <v/>
      </c>
      <c r="O731">
        <f>HYPERLINK("imagenes/LAUNDRY_BY_DESIGN_121005373_DGN_1.jpg","Ver imagen")</f>
        <v/>
      </c>
      <c r="P731">
        <f>HYPERLINK("imagenes/LAUNDRY_BY_DESIGN_121005373_DGN_2.jpg","Ver imagen")</f>
        <v/>
      </c>
      <c r="Q731">
        <f>HYPERLINK("imagenes/LAUNDRY_BY_DESIGN_121005373_DGN_3.jpg","Ver imagen")</f>
        <v/>
      </c>
    </row>
    <row r="732">
      <c r="A732" t="inlineStr">
        <is>
          <t>LAUNDRY BY DESIGN</t>
        </is>
      </c>
      <c r="B732" t="inlineStr">
        <is>
          <t>121005373</t>
        </is>
      </c>
      <c r="C732" t="inlineStr">
        <is>
          <t>26" SOFT TECH SHORT PUFFER</t>
        </is>
      </c>
      <c r="D732" t="inlineStr">
        <is>
          <t>DGN</t>
        </is>
      </c>
      <c r="E732" t="inlineStr">
        <is>
          <t>(en blanco)</t>
        </is>
      </c>
      <c r="F732" t="inlineStr">
        <is>
          <t>D2C</t>
        </is>
      </c>
      <c r="G732" t="inlineStr">
        <is>
          <t>XL</t>
        </is>
      </c>
      <c r="H732" t="n">
        <v>1</v>
      </c>
      <c r="I732" t="inlineStr">
        <is>
          <t>LAUNDRY_BY_DESIGN_121005373_DGN_1.jpg</t>
        </is>
      </c>
      <c r="J732" t="inlineStr">
        <is>
          <t>LAUNDRY_BY_DESIGN_121005373_DGN_2.jpg</t>
        </is>
      </c>
      <c r="K732" t="inlineStr">
        <is>
          <t>LAUNDRY_BY_DESIGN_121005373_DGN_3.jpg</t>
        </is>
      </c>
      <c r="L732">
        <f>IMAGE("file:///E:/Estudios%20y%20certificaciones/ESTUDIOS%20DE%20PROGRAMMING/PROGRAMMING/PERSONAL/PYTHON/Image_Generator_API/imagenes/LAUNDRY_BY_DESIGN_121005373_DGN_1.jpg")</f>
        <v/>
      </c>
      <c r="M732">
        <f>IMAGE("file:///E:/Estudios%20y%20certificaciones/ESTUDIOS%20DE%20PROGRAMMING/PROGRAMMING/PERSONAL/PYTHON/Image_Generator_API/imagenes/LAUNDRY_BY_DESIGN_121005373_DGN_2.jpg")</f>
        <v/>
      </c>
      <c r="N732">
        <f>IMAGE("file:///E:/Estudios%20y%20certificaciones/ESTUDIOS%20DE%20PROGRAMMING/PROGRAMMING/PERSONAL/PYTHON/Image_Generator_API/imagenes/LAUNDRY_BY_DESIGN_121005373_DGN_3.jpg")</f>
        <v/>
      </c>
      <c r="O732">
        <f>HYPERLINK("imagenes/LAUNDRY_BY_DESIGN_121005373_DGN_1.jpg","Ver imagen")</f>
        <v/>
      </c>
      <c r="P732">
        <f>HYPERLINK("imagenes/LAUNDRY_BY_DESIGN_121005373_DGN_2.jpg","Ver imagen")</f>
        <v/>
      </c>
      <c r="Q732">
        <f>HYPERLINK("imagenes/LAUNDRY_BY_DESIGN_121005373_DGN_3.jpg","Ver imagen")</f>
        <v/>
      </c>
    </row>
    <row r="733">
      <c r="A733" t="inlineStr">
        <is>
          <t>LAUNDRY BY DESIGN</t>
        </is>
      </c>
      <c r="B733" t="inlineStr">
        <is>
          <t>121005373</t>
        </is>
      </c>
      <c r="C733" t="inlineStr">
        <is>
          <t>26" SOFT TECH SHORT PUFFER</t>
        </is>
      </c>
      <c r="D733" t="inlineStr">
        <is>
          <t>DGN</t>
        </is>
      </c>
      <c r="E733" t="inlineStr">
        <is>
          <t>(en blanco)</t>
        </is>
      </c>
      <c r="F733" t="inlineStr">
        <is>
          <t>D2C</t>
        </is>
      </c>
      <c r="G733" t="inlineStr">
        <is>
          <t>XXL</t>
        </is>
      </c>
      <c r="H733" t="n">
        <v>1</v>
      </c>
      <c r="I733" t="inlineStr">
        <is>
          <t>LAUNDRY_BY_DESIGN_121005373_DGN_1.jpg</t>
        </is>
      </c>
      <c r="J733" t="inlineStr">
        <is>
          <t>LAUNDRY_BY_DESIGN_121005373_DGN_2.jpg</t>
        </is>
      </c>
      <c r="K733" t="inlineStr">
        <is>
          <t>LAUNDRY_BY_DESIGN_121005373_DGN_3.jpg</t>
        </is>
      </c>
      <c r="L733">
        <f>IMAGE("file:///E:/Estudios%20y%20certificaciones/ESTUDIOS%20DE%20PROGRAMMING/PROGRAMMING/PERSONAL/PYTHON/Image_Generator_API/imagenes/LAUNDRY_BY_DESIGN_121005373_DGN_1.jpg")</f>
        <v/>
      </c>
      <c r="M733">
        <f>IMAGE("file:///E:/Estudios%20y%20certificaciones/ESTUDIOS%20DE%20PROGRAMMING/PROGRAMMING/PERSONAL/PYTHON/Image_Generator_API/imagenes/LAUNDRY_BY_DESIGN_121005373_DGN_2.jpg")</f>
        <v/>
      </c>
      <c r="N733">
        <f>IMAGE("file:///E:/Estudios%20y%20certificaciones/ESTUDIOS%20DE%20PROGRAMMING/PROGRAMMING/PERSONAL/PYTHON/Image_Generator_API/imagenes/LAUNDRY_BY_DESIGN_121005373_DGN_3.jpg")</f>
        <v/>
      </c>
      <c r="O733">
        <f>HYPERLINK("imagenes/LAUNDRY_BY_DESIGN_121005373_DGN_1.jpg","Ver imagen")</f>
        <v/>
      </c>
      <c r="P733">
        <f>HYPERLINK("imagenes/LAUNDRY_BY_DESIGN_121005373_DGN_2.jpg","Ver imagen")</f>
        <v/>
      </c>
      <c r="Q733">
        <f>HYPERLINK("imagenes/LAUNDRY_BY_DESIGN_121005373_DGN_3.jpg","Ver imagen")</f>
        <v/>
      </c>
    </row>
    <row r="734">
      <c r="A734" t="inlineStr">
        <is>
          <t>LAUNDRY BY DESIGN</t>
        </is>
      </c>
      <c r="B734" t="inlineStr">
        <is>
          <t>121005373</t>
        </is>
      </c>
      <c r="C734" t="inlineStr">
        <is>
          <t>26" SOFT TECH SHORT PUFFER</t>
        </is>
      </c>
      <c r="D734" t="inlineStr">
        <is>
          <t>DGN</t>
        </is>
      </c>
      <c r="E734" t="inlineStr">
        <is>
          <t>(en blanco)</t>
        </is>
      </c>
      <c r="F734" t="inlineStr">
        <is>
          <t>(en blanco)</t>
        </is>
      </c>
      <c r="G734" t="inlineStr">
        <is>
          <t>M</t>
        </is>
      </c>
      <c r="H734" t="n">
        <v>0</v>
      </c>
      <c r="I734" t="inlineStr">
        <is>
          <t>LAUNDRY_BY_DESIGN_121005373_DGN_1.jpg</t>
        </is>
      </c>
      <c r="J734" t="inlineStr">
        <is>
          <t>LAUNDRY_BY_DESIGN_121005373_DGN_2.jpg</t>
        </is>
      </c>
      <c r="K734" t="inlineStr">
        <is>
          <t>LAUNDRY_BY_DESIGN_121005373_DGN_3.jpg</t>
        </is>
      </c>
      <c r="L734">
        <f>IMAGE("file:///E:/Estudios%20y%20certificaciones/ESTUDIOS%20DE%20PROGRAMMING/PROGRAMMING/PERSONAL/PYTHON/Image_Generator_API/imagenes/LAUNDRY_BY_DESIGN_121005373_DGN_1.jpg")</f>
        <v/>
      </c>
      <c r="M734">
        <f>IMAGE("file:///E:/Estudios%20y%20certificaciones/ESTUDIOS%20DE%20PROGRAMMING/PROGRAMMING/PERSONAL/PYTHON/Image_Generator_API/imagenes/LAUNDRY_BY_DESIGN_121005373_DGN_2.jpg")</f>
        <v/>
      </c>
      <c r="N734">
        <f>IMAGE("file:///E:/Estudios%20y%20certificaciones/ESTUDIOS%20DE%20PROGRAMMING/PROGRAMMING/PERSONAL/PYTHON/Image_Generator_API/imagenes/LAUNDRY_BY_DESIGN_121005373_DGN_3.jpg")</f>
        <v/>
      </c>
      <c r="O734">
        <f>HYPERLINK("imagenes/LAUNDRY_BY_DESIGN_121005373_DGN_1.jpg","Ver imagen")</f>
        <v/>
      </c>
      <c r="P734">
        <f>HYPERLINK("imagenes/LAUNDRY_BY_DESIGN_121005373_DGN_2.jpg","Ver imagen")</f>
        <v/>
      </c>
      <c r="Q734">
        <f>HYPERLINK("imagenes/LAUNDRY_BY_DESIGN_121005373_DGN_3.jpg","Ver imagen")</f>
        <v/>
      </c>
    </row>
    <row r="735">
      <c r="A735" t="inlineStr">
        <is>
          <t>LAUNDRY BY DESIGN</t>
        </is>
      </c>
      <c r="B735" t="inlineStr">
        <is>
          <t>121005373</t>
        </is>
      </c>
      <c r="C735" t="inlineStr">
        <is>
          <t>26" SOFT TECH SHORT PUFFER</t>
        </is>
      </c>
      <c r="D735" t="inlineStr">
        <is>
          <t>DGN</t>
        </is>
      </c>
      <c r="E735" t="inlineStr">
        <is>
          <t>(en blanco)</t>
        </is>
      </c>
      <c r="F735" t="inlineStr">
        <is>
          <t>(en blanco)</t>
        </is>
      </c>
      <c r="G735" t="inlineStr">
        <is>
          <t>L</t>
        </is>
      </c>
      <c r="H735" t="n">
        <v>13</v>
      </c>
      <c r="I735" t="inlineStr">
        <is>
          <t>LAUNDRY_BY_DESIGN_121005373_DGN_1.jpg</t>
        </is>
      </c>
      <c r="J735" t="inlineStr">
        <is>
          <t>LAUNDRY_BY_DESIGN_121005373_DGN_2.jpg</t>
        </is>
      </c>
      <c r="K735" t="inlineStr">
        <is>
          <t>LAUNDRY_BY_DESIGN_121005373_DGN_3.jpg</t>
        </is>
      </c>
      <c r="L735">
        <f>IMAGE("file:///E:/Estudios%20y%20certificaciones/ESTUDIOS%20DE%20PROGRAMMING/PROGRAMMING/PERSONAL/PYTHON/Image_Generator_API/imagenes/LAUNDRY_BY_DESIGN_121005373_DGN_1.jpg")</f>
        <v/>
      </c>
      <c r="M735">
        <f>IMAGE("file:///E:/Estudios%20y%20certificaciones/ESTUDIOS%20DE%20PROGRAMMING/PROGRAMMING/PERSONAL/PYTHON/Image_Generator_API/imagenes/LAUNDRY_BY_DESIGN_121005373_DGN_2.jpg")</f>
        <v/>
      </c>
      <c r="N735">
        <f>IMAGE("file:///E:/Estudios%20y%20certificaciones/ESTUDIOS%20DE%20PROGRAMMING/PROGRAMMING/PERSONAL/PYTHON/Image_Generator_API/imagenes/LAUNDRY_BY_DESIGN_121005373_DGN_3.jpg")</f>
        <v/>
      </c>
      <c r="O735">
        <f>HYPERLINK("imagenes/LAUNDRY_BY_DESIGN_121005373_DGN_1.jpg","Ver imagen")</f>
        <v/>
      </c>
      <c r="P735">
        <f>HYPERLINK("imagenes/LAUNDRY_BY_DESIGN_121005373_DGN_2.jpg","Ver imagen")</f>
        <v/>
      </c>
      <c r="Q735">
        <f>HYPERLINK("imagenes/LAUNDRY_BY_DESIGN_121005373_DGN_3.jpg","Ver imagen")</f>
        <v/>
      </c>
    </row>
    <row r="736">
      <c r="A736" t="inlineStr">
        <is>
          <t>LAUNDRY BY DESIGN</t>
        </is>
      </c>
      <c r="B736" t="inlineStr">
        <is>
          <t>121005373</t>
        </is>
      </c>
      <c r="C736" t="inlineStr">
        <is>
          <t>26" SOFT TECH SHORT PUFFER</t>
        </is>
      </c>
      <c r="D736" t="inlineStr">
        <is>
          <t>DGN</t>
        </is>
      </c>
      <c r="E736" t="inlineStr">
        <is>
          <t>(en blanco)</t>
        </is>
      </c>
      <c r="F736" t="inlineStr">
        <is>
          <t>(en blanco)</t>
        </is>
      </c>
      <c r="G736" t="inlineStr">
        <is>
          <t>XL</t>
        </is>
      </c>
      <c r="H736" t="n">
        <v>2</v>
      </c>
      <c r="I736" t="inlineStr">
        <is>
          <t>LAUNDRY_BY_DESIGN_121005373_DGN_1.jpg</t>
        </is>
      </c>
      <c r="J736" t="inlineStr">
        <is>
          <t>LAUNDRY_BY_DESIGN_121005373_DGN_2.jpg</t>
        </is>
      </c>
      <c r="K736" t="inlineStr">
        <is>
          <t>LAUNDRY_BY_DESIGN_121005373_DGN_3.jpg</t>
        </is>
      </c>
      <c r="L736">
        <f>IMAGE("file:///E:/Estudios%20y%20certificaciones/ESTUDIOS%20DE%20PROGRAMMING/PROGRAMMING/PERSONAL/PYTHON/Image_Generator_API/imagenes/LAUNDRY_BY_DESIGN_121005373_DGN_1.jpg")</f>
        <v/>
      </c>
      <c r="M736">
        <f>IMAGE("file:///E:/Estudios%20y%20certificaciones/ESTUDIOS%20DE%20PROGRAMMING/PROGRAMMING/PERSONAL/PYTHON/Image_Generator_API/imagenes/LAUNDRY_BY_DESIGN_121005373_DGN_2.jpg")</f>
        <v/>
      </c>
      <c r="N736">
        <f>IMAGE("file:///E:/Estudios%20y%20certificaciones/ESTUDIOS%20DE%20PROGRAMMING/PROGRAMMING/PERSONAL/PYTHON/Image_Generator_API/imagenes/LAUNDRY_BY_DESIGN_121005373_DGN_3.jpg")</f>
        <v/>
      </c>
      <c r="O736">
        <f>HYPERLINK("imagenes/LAUNDRY_BY_DESIGN_121005373_DGN_1.jpg","Ver imagen")</f>
        <v/>
      </c>
      <c r="P736">
        <f>HYPERLINK("imagenes/LAUNDRY_BY_DESIGN_121005373_DGN_2.jpg","Ver imagen")</f>
        <v/>
      </c>
      <c r="Q736">
        <f>HYPERLINK("imagenes/LAUNDRY_BY_DESIGN_121005373_DGN_3.jpg","Ver imagen")</f>
        <v/>
      </c>
    </row>
    <row r="737">
      <c r="A737" t="inlineStr">
        <is>
          <t>LAUNDRY BY DESIGN</t>
        </is>
      </c>
      <c r="B737" t="inlineStr">
        <is>
          <t>121005487</t>
        </is>
      </c>
      <c r="C737" t="inlineStr">
        <is>
          <t>27" SHERPA JACKET W/SUEDE BINDING TAPE (DUP13466)</t>
        </is>
      </c>
      <c r="D737" t="inlineStr">
        <is>
          <t>CRM</t>
        </is>
      </c>
      <c r="E737" t="inlineStr">
        <is>
          <t>08A06</t>
        </is>
      </c>
      <c r="F737" t="inlineStr">
        <is>
          <t>(en blanco)</t>
        </is>
      </c>
      <c r="G737" t="inlineStr">
        <is>
          <t>PPK</t>
        </is>
      </c>
      <c r="H737" t="n">
        <v>856</v>
      </c>
      <c r="I737" t="inlineStr">
        <is>
          <t>LAUNDRY_BY_DESIGN_121005487_CRM_2.jpg</t>
        </is>
      </c>
      <c r="J737" t="inlineStr">
        <is>
          <t>LAUNDRY_BY_DESIGN_121005487_CRM_3.jpg</t>
        </is>
      </c>
      <c r="L737">
        <f>IMAGE("file:///E:/Estudios%20y%20certificaciones/ESTUDIOS%20DE%20PROGRAMMING/PROGRAMMING/PERSONAL/PYTHON/Image_Generator_API/imagenes/LAUNDRY_BY_DESIGN_121005487_CRM_2.jpg")</f>
        <v/>
      </c>
      <c r="M737">
        <f>IMAGE("file:///E:/Estudios%20y%20certificaciones/ESTUDIOS%20DE%20PROGRAMMING/PROGRAMMING/PERSONAL/PYTHON/Image_Generator_API/imagenes/LAUNDRY_BY_DESIGN_121005487_CRM_3.jpg")</f>
        <v/>
      </c>
      <c r="O737">
        <f>HYPERLINK("imagenes/LAUNDRY_BY_DESIGN_121005487_CRM_2.jpg","Ver imagen")</f>
        <v/>
      </c>
      <c r="P737">
        <f>HYPERLINK("imagenes/LAUNDRY_BY_DESIGN_121005487_CRM_3.jpg","Ver imagen")</f>
        <v/>
      </c>
    </row>
    <row r="738">
      <c r="A738" t="inlineStr">
        <is>
          <t>LAUNDRY BY DESIGN</t>
        </is>
      </c>
      <c r="B738" t="inlineStr">
        <is>
          <t>121005487</t>
        </is>
      </c>
      <c r="C738" t="inlineStr">
        <is>
          <t>27" SHERPA JACKET W/SUEDE BINDING TAPE (DUP13466)</t>
        </is>
      </c>
      <c r="D738" t="inlineStr">
        <is>
          <t>CRM</t>
        </is>
      </c>
      <c r="E738" t="inlineStr">
        <is>
          <t>(en blanco)</t>
        </is>
      </c>
      <c r="F738" t="inlineStr">
        <is>
          <t>D2C</t>
        </is>
      </c>
      <c r="G738" t="inlineStr">
        <is>
          <t>L</t>
        </is>
      </c>
      <c r="H738" t="n">
        <v>1</v>
      </c>
      <c r="I738" t="inlineStr">
        <is>
          <t>LAUNDRY_BY_DESIGN_121005487_CRM_2.jpg</t>
        </is>
      </c>
      <c r="J738" t="inlineStr">
        <is>
          <t>LAUNDRY_BY_DESIGN_121005487_CRM_3.jpg</t>
        </is>
      </c>
      <c r="L738">
        <f>IMAGE("file:///E:/Estudios%20y%20certificaciones/ESTUDIOS%20DE%20PROGRAMMING/PROGRAMMING/PERSONAL/PYTHON/Image_Generator_API/imagenes/LAUNDRY_BY_DESIGN_121005487_CRM_2.jpg")</f>
        <v/>
      </c>
      <c r="M738">
        <f>IMAGE("file:///E:/Estudios%20y%20certificaciones/ESTUDIOS%20DE%20PROGRAMMING/PROGRAMMING/PERSONAL/PYTHON/Image_Generator_API/imagenes/LAUNDRY_BY_DESIGN_121005487_CRM_3.jpg")</f>
        <v/>
      </c>
      <c r="O738">
        <f>HYPERLINK("imagenes/LAUNDRY_BY_DESIGN_121005487_CRM_2.jpg","Ver imagen")</f>
        <v/>
      </c>
      <c r="P738">
        <f>HYPERLINK("imagenes/LAUNDRY_BY_DESIGN_121005487_CRM_3.jpg","Ver imagen")</f>
        <v/>
      </c>
    </row>
    <row r="739">
      <c r="A739" t="inlineStr">
        <is>
          <t>LAUNDRY BY DESIGN</t>
        </is>
      </c>
      <c r="B739" t="inlineStr">
        <is>
          <t>121005487</t>
        </is>
      </c>
      <c r="C739" t="inlineStr">
        <is>
          <t>27" SHERPA JACKET W/SUEDE BINDING TAPE (DUP13466)</t>
        </is>
      </c>
      <c r="D739" t="inlineStr">
        <is>
          <t>CRM</t>
        </is>
      </c>
      <c r="E739" t="inlineStr">
        <is>
          <t>(en blanco)</t>
        </is>
      </c>
      <c r="F739" t="inlineStr">
        <is>
          <t>D2C</t>
        </is>
      </c>
      <c r="G739" t="inlineStr">
        <is>
          <t>XL</t>
        </is>
      </c>
      <c r="H739" t="n">
        <v>1</v>
      </c>
      <c r="I739" t="inlineStr">
        <is>
          <t>LAUNDRY_BY_DESIGN_121005487_CRM_2.jpg</t>
        </is>
      </c>
      <c r="J739" t="inlineStr">
        <is>
          <t>LAUNDRY_BY_DESIGN_121005487_CRM_3.jpg</t>
        </is>
      </c>
      <c r="L739">
        <f>IMAGE("file:///E:/Estudios%20y%20certificaciones/ESTUDIOS%20DE%20PROGRAMMING/PROGRAMMING/PERSONAL/PYTHON/Image_Generator_API/imagenes/LAUNDRY_BY_DESIGN_121005487_CRM_2.jpg")</f>
        <v/>
      </c>
      <c r="M739">
        <f>IMAGE("file:///E:/Estudios%20y%20certificaciones/ESTUDIOS%20DE%20PROGRAMMING/PROGRAMMING/PERSONAL/PYTHON/Image_Generator_API/imagenes/LAUNDRY_BY_DESIGN_121005487_CRM_3.jpg")</f>
        <v/>
      </c>
      <c r="O739">
        <f>HYPERLINK("imagenes/LAUNDRY_BY_DESIGN_121005487_CRM_2.jpg","Ver imagen")</f>
        <v/>
      </c>
      <c r="P739">
        <f>HYPERLINK("imagenes/LAUNDRY_BY_DESIGN_121005487_CRM_3.jpg","Ver imagen")</f>
        <v/>
      </c>
    </row>
    <row r="740">
      <c r="A740" t="inlineStr">
        <is>
          <t>LAUNDRY BY DESIGN</t>
        </is>
      </c>
      <c r="B740" t="inlineStr">
        <is>
          <t>121005487</t>
        </is>
      </c>
      <c r="C740" t="inlineStr">
        <is>
          <t>27" SHERPA JACKET W/SUEDE BINDING TAPE (DUP13466)</t>
        </is>
      </c>
      <c r="D740" t="inlineStr">
        <is>
          <t>CRM</t>
        </is>
      </c>
      <c r="E740" t="inlineStr">
        <is>
          <t>(en blanco)</t>
        </is>
      </c>
      <c r="F740" t="inlineStr">
        <is>
          <t>(en blanco)</t>
        </is>
      </c>
      <c r="G740" t="inlineStr">
        <is>
          <t>XL</t>
        </is>
      </c>
      <c r="H740" t="n">
        <v>1</v>
      </c>
      <c r="I740" t="inlineStr">
        <is>
          <t>LAUNDRY_BY_DESIGN_121005487_CRM_2.jpg</t>
        </is>
      </c>
      <c r="J740" t="inlineStr">
        <is>
          <t>LAUNDRY_BY_DESIGN_121005487_CRM_3.jpg</t>
        </is>
      </c>
      <c r="L740">
        <f>IMAGE("file:///E:/Estudios%20y%20certificaciones/ESTUDIOS%20DE%20PROGRAMMING/PROGRAMMING/PERSONAL/PYTHON/Image_Generator_API/imagenes/LAUNDRY_BY_DESIGN_121005487_CRM_2.jpg")</f>
        <v/>
      </c>
      <c r="M740">
        <f>IMAGE("file:///E:/Estudios%20y%20certificaciones/ESTUDIOS%20DE%20PROGRAMMING/PROGRAMMING/PERSONAL/PYTHON/Image_Generator_API/imagenes/LAUNDRY_BY_DESIGN_121005487_CRM_3.jpg")</f>
        <v/>
      </c>
      <c r="O740">
        <f>HYPERLINK("imagenes/LAUNDRY_BY_DESIGN_121005487_CRM_2.jpg","Ver imagen")</f>
        <v/>
      </c>
      <c r="P740">
        <f>HYPERLINK("imagenes/LAUNDRY_BY_DESIGN_121005487_CRM_3.jpg","Ver imagen")</f>
        <v/>
      </c>
    </row>
    <row r="741">
      <c r="A741" t="inlineStr">
        <is>
          <t>LAUNDRY BY DESIGN</t>
        </is>
      </c>
      <c r="B741" t="inlineStr">
        <is>
          <t>121005487</t>
        </is>
      </c>
      <c r="C741" t="inlineStr">
        <is>
          <t>27" SHERPA JACKET W/SUEDE BINDING TAPE (DUP13466)</t>
        </is>
      </c>
      <c r="D741" t="inlineStr">
        <is>
          <t>ROS</t>
        </is>
      </c>
      <c r="E741" t="inlineStr">
        <is>
          <t>08A06</t>
        </is>
      </c>
      <c r="F741" t="inlineStr">
        <is>
          <t>(en blanco)</t>
        </is>
      </c>
      <c r="G741" t="inlineStr">
        <is>
          <t>PPK</t>
        </is>
      </c>
      <c r="H741" t="n">
        <v>528</v>
      </c>
      <c r="I741" t="inlineStr">
        <is>
          <t>LAUNDRY_BY_DESIGN_121005487_ROS_1.jpg</t>
        </is>
      </c>
      <c r="J741" t="inlineStr">
        <is>
          <t>LAUNDRY_BY_DESIGN_121005487_ROS_2.jpg</t>
        </is>
      </c>
      <c r="K741" t="inlineStr">
        <is>
          <t>LAUNDRY_BY_DESIGN_121005487_ROS_3.jpg</t>
        </is>
      </c>
      <c r="L741">
        <f>IMAGE("file:///E:/Estudios%20y%20certificaciones/ESTUDIOS%20DE%20PROGRAMMING/PROGRAMMING/PERSONAL/PYTHON/Image_Generator_API/imagenes/LAUNDRY_BY_DESIGN_121005487_ROS_1.jpg")</f>
        <v/>
      </c>
      <c r="M741">
        <f>IMAGE("file:///E:/Estudios%20y%20certificaciones/ESTUDIOS%20DE%20PROGRAMMING/PROGRAMMING/PERSONAL/PYTHON/Image_Generator_API/imagenes/LAUNDRY_BY_DESIGN_121005487_ROS_2.jpg")</f>
        <v/>
      </c>
      <c r="N741">
        <f>IMAGE("file:///E:/Estudios%20y%20certificaciones/ESTUDIOS%20DE%20PROGRAMMING/PROGRAMMING/PERSONAL/PYTHON/Image_Generator_API/imagenes/LAUNDRY_BY_DESIGN_121005487_ROS_3.jpg")</f>
        <v/>
      </c>
      <c r="O741">
        <f>HYPERLINK("imagenes/LAUNDRY_BY_DESIGN_121005487_ROS_1.jpg","Ver imagen")</f>
        <v/>
      </c>
      <c r="P741">
        <f>HYPERLINK("imagenes/LAUNDRY_BY_DESIGN_121005487_ROS_2.jpg","Ver imagen")</f>
        <v/>
      </c>
      <c r="Q741">
        <f>HYPERLINK("imagenes/LAUNDRY_BY_DESIGN_121005487_ROS_3.jpg","Ver imagen")</f>
        <v/>
      </c>
    </row>
    <row r="742">
      <c r="A742" t="inlineStr">
        <is>
          <t>LAUNDRY BY DESIGN</t>
        </is>
      </c>
      <c r="B742" t="inlineStr">
        <is>
          <t>121005487</t>
        </is>
      </c>
      <c r="C742" t="inlineStr">
        <is>
          <t>27" SHERPA JACKET W/SUEDE BINDING TAPE (DUP13466)</t>
        </is>
      </c>
      <c r="D742" t="inlineStr">
        <is>
          <t>ROS</t>
        </is>
      </c>
      <c r="E742" t="inlineStr">
        <is>
          <t>(en blanco)</t>
        </is>
      </c>
      <c r="F742" t="inlineStr">
        <is>
          <t>D2C</t>
        </is>
      </c>
      <c r="G742" t="inlineStr">
        <is>
          <t>S</t>
        </is>
      </c>
      <c r="H742" t="n">
        <v>0</v>
      </c>
      <c r="I742" t="inlineStr">
        <is>
          <t>LAUNDRY_BY_DESIGN_121005487_ROS_1.jpg</t>
        </is>
      </c>
      <c r="J742" t="inlineStr">
        <is>
          <t>LAUNDRY_BY_DESIGN_121005487_ROS_2.jpg</t>
        </is>
      </c>
      <c r="K742" t="inlineStr">
        <is>
          <t>LAUNDRY_BY_DESIGN_121005487_ROS_3.jpg</t>
        </is>
      </c>
      <c r="L742">
        <f>IMAGE("file:///E:/Estudios%20y%20certificaciones/ESTUDIOS%20DE%20PROGRAMMING/PROGRAMMING/PERSONAL/PYTHON/Image_Generator_API/imagenes/LAUNDRY_BY_DESIGN_121005487_ROS_1.jpg")</f>
        <v/>
      </c>
      <c r="M742">
        <f>IMAGE("file:///E:/Estudios%20y%20certificaciones/ESTUDIOS%20DE%20PROGRAMMING/PROGRAMMING/PERSONAL/PYTHON/Image_Generator_API/imagenes/LAUNDRY_BY_DESIGN_121005487_ROS_2.jpg")</f>
        <v/>
      </c>
      <c r="N742">
        <f>IMAGE("file:///E:/Estudios%20y%20certificaciones/ESTUDIOS%20DE%20PROGRAMMING/PROGRAMMING/PERSONAL/PYTHON/Image_Generator_API/imagenes/LAUNDRY_BY_DESIGN_121005487_ROS_3.jpg")</f>
        <v/>
      </c>
      <c r="O742">
        <f>HYPERLINK("imagenes/LAUNDRY_BY_DESIGN_121005487_ROS_1.jpg","Ver imagen")</f>
        <v/>
      </c>
      <c r="P742">
        <f>HYPERLINK("imagenes/LAUNDRY_BY_DESIGN_121005487_ROS_2.jpg","Ver imagen")</f>
        <v/>
      </c>
      <c r="Q742">
        <f>HYPERLINK("imagenes/LAUNDRY_BY_DESIGN_121005487_ROS_3.jpg","Ver imagen")</f>
        <v/>
      </c>
    </row>
    <row r="743">
      <c r="A743" t="inlineStr">
        <is>
          <t>LAUNDRY BY DESIGN</t>
        </is>
      </c>
      <c r="B743" t="inlineStr">
        <is>
          <t>121005487</t>
        </is>
      </c>
      <c r="C743" t="inlineStr">
        <is>
          <t>27" SHERPA JACKET W/SUEDE BINDING TAPE (DUP13466)</t>
        </is>
      </c>
      <c r="D743" t="inlineStr">
        <is>
          <t>ROS</t>
        </is>
      </c>
      <c r="E743" t="inlineStr">
        <is>
          <t>(en blanco)</t>
        </is>
      </c>
      <c r="F743" t="inlineStr">
        <is>
          <t>D2C</t>
        </is>
      </c>
      <c r="G743" t="inlineStr">
        <is>
          <t>M</t>
        </is>
      </c>
      <c r="H743" t="n">
        <v>2</v>
      </c>
      <c r="I743" t="inlineStr">
        <is>
          <t>LAUNDRY_BY_DESIGN_121005487_ROS_1.jpg</t>
        </is>
      </c>
      <c r="J743" t="inlineStr">
        <is>
          <t>LAUNDRY_BY_DESIGN_121005487_ROS_2.jpg</t>
        </is>
      </c>
      <c r="K743" t="inlineStr">
        <is>
          <t>LAUNDRY_BY_DESIGN_121005487_ROS_3.jpg</t>
        </is>
      </c>
      <c r="L743">
        <f>IMAGE("file:///E:/Estudios%20y%20certificaciones/ESTUDIOS%20DE%20PROGRAMMING/PROGRAMMING/PERSONAL/PYTHON/Image_Generator_API/imagenes/LAUNDRY_BY_DESIGN_121005487_ROS_1.jpg")</f>
        <v/>
      </c>
      <c r="M743">
        <f>IMAGE("file:///E:/Estudios%20y%20certificaciones/ESTUDIOS%20DE%20PROGRAMMING/PROGRAMMING/PERSONAL/PYTHON/Image_Generator_API/imagenes/LAUNDRY_BY_DESIGN_121005487_ROS_2.jpg")</f>
        <v/>
      </c>
      <c r="N743">
        <f>IMAGE("file:///E:/Estudios%20y%20certificaciones/ESTUDIOS%20DE%20PROGRAMMING/PROGRAMMING/PERSONAL/PYTHON/Image_Generator_API/imagenes/LAUNDRY_BY_DESIGN_121005487_ROS_3.jpg")</f>
        <v/>
      </c>
      <c r="O743">
        <f>HYPERLINK("imagenes/LAUNDRY_BY_DESIGN_121005487_ROS_1.jpg","Ver imagen")</f>
        <v/>
      </c>
      <c r="P743">
        <f>HYPERLINK("imagenes/LAUNDRY_BY_DESIGN_121005487_ROS_2.jpg","Ver imagen")</f>
        <v/>
      </c>
      <c r="Q743">
        <f>HYPERLINK("imagenes/LAUNDRY_BY_DESIGN_121005487_ROS_3.jpg","Ver imagen")</f>
        <v/>
      </c>
    </row>
    <row r="744">
      <c r="A744" t="inlineStr">
        <is>
          <t>LAUNDRY BY DESIGN</t>
        </is>
      </c>
      <c r="B744" t="inlineStr">
        <is>
          <t>121005487</t>
        </is>
      </c>
      <c r="C744" t="inlineStr">
        <is>
          <t>27" SHERPA JACKET W/SUEDE BINDING TAPE (DUP13466)</t>
        </is>
      </c>
      <c r="D744" t="inlineStr">
        <is>
          <t>ROS</t>
        </is>
      </c>
      <c r="E744" t="inlineStr">
        <is>
          <t>(en blanco)</t>
        </is>
      </c>
      <c r="F744" t="inlineStr">
        <is>
          <t>D2C</t>
        </is>
      </c>
      <c r="G744" t="inlineStr">
        <is>
          <t>L</t>
        </is>
      </c>
      <c r="H744" t="n">
        <v>2</v>
      </c>
      <c r="I744" t="inlineStr">
        <is>
          <t>LAUNDRY_BY_DESIGN_121005487_ROS_1.jpg</t>
        </is>
      </c>
      <c r="J744" t="inlineStr">
        <is>
          <t>LAUNDRY_BY_DESIGN_121005487_ROS_2.jpg</t>
        </is>
      </c>
      <c r="K744" t="inlineStr">
        <is>
          <t>LAUNDRY_BY_DESIGN_121005487_ROS_3.jpg</t>
        </is>
      </c>
      <c r="L744">
        <f>IMAGE("file:///E:/Estudios%20y%20certificaciones/ESTUDIOS%20DE%20PROGRAMMING/PROGRAMMING/PERSONAL/PYTHON/Image_Generator_API/imagenes/LAUNDRY_BY_DESIGN_121005487_ROS_1.jpg")</f>
        <v/>
      </c>
      <c r="M744">
        <f>IMAGE("file:///E:/Estudios%20y%20certificaciones/ESTUDIOS%20DE%20PROGRAMMING/PROGRAMMING/PERSONAL/PYTHON/Image_Generator_API/imagenes/LAUNDRY_BY_DESIGN_121005487_ROS_2.jpg")</f>
        <v/>
      </c>
      <c r="N744">
        <f>IMAGE("file:///E:/Estudios%20y%20certificaciones/ESTUDIOS%20DE%20PROGRAMMING/PROGRAMMING/PERSONAL/PYTHON/Image_Generator_API/imagenes/LAUNDRY_BY_DESIGN_121005487_ROS_3.jpg")</f>
        <v/>
      </c>
      <c r="O744">
        <f>HYPERLINK("imagenes/LAUNDRY_BY_DESIGN_121005487_ROS_1.jpg","Ver imagen")</f>
        <v/>
      </c>
      <c r="P744">
        <f>HYPERLINK("imagenes/LAUNDRY_BY_DESIGN_121005487_ROS_2.jpg","Ver imagen")</f>
        <v/>
      </c>
      <c r="Q744">
        <f>HYPERLINK("imagenes/LAUNDRY_BY_DESIGN_121005487_ROS_3.jpg","Ver imagen")</f>
        <v/>
      </c>
    </row>
    <row r="745">
      <c r="A745" t="inlineStr">
        <is>
          <t>LAUNDRY BY DESIGN</t>
        </is>
      </c>
      <c r="B745" t="inlineStr">
        <is>
          <t>121005487</t>
        </is>
      </c>
      <c r="C745" t="inlineStr">
        <is>
          <t>27" SHERPA JACKET W/SUEDE BINDING TAPE (DUP13466)</t>
        </is>
      </c>
      <c r="D745" t="inlineStr">
        <is>
          <t>ROS</t>
        </is>
      </c>
      <c r="E745" t="inlineStr">
        <is>
          <t>(en blanco)</t>
        </is>
      </c>
      <c r="F745" t="inlineStr">
        <is>
          <t>D2C</t>
        </is>
      </c>
      <c r="G745" t="inlineStr">
        <is>
          <t>XL</t>
        </is>
      </c>
      <c r="H745" t="n">
        <v>4</v>
      </c>
      <c r="I745" t="inlineStr">
        <is>
          <t>LAUNDRY_BY_DESIGN_121005487_ROS_1.jpg</t>
        </is>
      </c>
      <c r="J745" t="inlineStr">
        <is>
          <t>LAUNDRY_BY_DESIGN_121005487_ROS_2.jpg</t>
        </is>
      </c>
      <c r="K745" t="inlineStr">
        <is>
          <t>LAUNDRY_BY_DESIGN_121005487_ROS_3.jpg</t>
        </is>
      </c>
      <c r="L745">
        <f>IMAGE("file:///E:/Estudios%20y%20certificaciones/ESTUDIOS%20DE%20PROGRAMMING/PROGRAMMING/PERSONAL/PYTHON/Image_Generator_API/imagenes/LAUNDRY_BY_DESIGN_121005487_ROS_1.jpg")</f>
        <v/>
      </c>
      <c r="M745">
        <f>IMAGE("file:///E:/Estudios%20y%20certificaciones/ESTUDIOS%20DE%20PROGRAMMING/PROGRAMMING/PERSONAL/PYTHON/Image_Generator_API/imagenes/LAUNDRY_BY_DESIGN_121005487_ROS_2.jpg")</f>
        <v/>
      </c>
      <c r="N745">
        <f>IMAGE("file:///E:/Estudios%20y%20certificaciones/ESTUDIOS%20DE%20PROGRAMMING/PROGRAMMING/PERSONAL/PYTHON/Image_Generator_API/imagenes/LAUNDRY_BY_DESIGN_121005487_ROS_3.jpg")</f>
        <v/>
      </c>
      <c r="O745">
        <f>HYPERLINK("imagenes/LAUNDRY_BY_DESIGN_121005487_ROS_1.jpg","Ver imagen")</f>
        <v/>
      </c>
      <c r="P745">
        <f>HYPERLINK("imagenes/LAUNDRY_BY_DESIGN_121005487_ROS_2.jpg","Ver imagen")</f>
        <v/>
      </c>
      <c r="Q745">
        <f>HYPERLINK("imagenes/LAUNDRY_BY_DESIGN_121005487_ROS_3.jpg","Ver imagen")</f>
        <v/>
      </c>
    </row>
    <row r="746">
      <c r="A746" t="inlineStr">
        <is>
          <t>LAUNDRY BY DESIGN</t>
        </is>
      </c>
      <c r="B746" t="inlineStr">
        <is>
          <t>121005487</t>
        </is>
      </c>
      <c r="C746" t="inlineStr">
        <is>
          <t>27" SHERPA JACKET W/SUEDE BINDING TAPE (DUP13466)</t>
        </is>
      </c>
      <c r="D746" t="inlineStr">
        <is>
          <t>SAG</t>
        </is>
      </c>
      <c r="E746" t="inlineStr">
        <is>
          <t>08A06</t>
        </is>
      </c>
      <c r="F746" t="inlineStr">
        <is>
          <t>(en blanco)</t>
        </is>
      </c>
      <c r="G746" t="inlineStr">
        <is>
          <t>PPK</t>
        </is>
      </c>
      <c r="H746" t="n">
        <v>472</v>
      </c>
      <c r="I746" t="inlineStr">
        <is>
          <t>LAUNDRY_BY_DESIGN_121005487_SAG_1.jpg</t>
        </is>
      </c>
      <c r="J746" t="inlineStr">
        <is>
          <t>LAUNDRY_BY_DESIGN_121005487_SAG_2.jpg</t>
        </is>
      </c>
      <c r="K746" t="inlineStr">
        <is>
          <t>LAUNDRY_BY_DESIGN_121005487_SAG_3.jpg</t>
        </is>
      </c>
      <c r="L746">
        <f>IMAGE("file:///E:/Estudios%20y%20certificaciones/ESTUDIOS%20DE%20PROGRAMMING/PROGRAMMING/PERSONAL/PYTHON/Image_Generator_API/imagenes/LAUNDRY_BY_DESIGN_121005487_SAG_1.jpg")</f>
        <v/>
      </c>
      <c r="M746">
        <f>IMAGE("file:///E:/Estudios%20y%20certificaciones/ESTUDIOS%20DE%20PROGRAMMING/PROGRAMMING/PERSONAL/PYTHON/Image_Generator_API/imagenes/LAUNDRY_BY_DESIGN_121005487_SAG_2.jpg")</f>
        <v/>
      </c>
      <c r="N746">
        <f>IMAGE("file:///E:/Estudios%20y%20certificaciones/ESTUDIOS%20DE%20PROGRAMMING/PROGRAMMING/PERSONAL/PYTHON/Image_Generator_API/imagenes/LAUNDRY_BY_DESIGN_121005487_SAG_3.jpg")</f>
        <v/>
      </c>
      <c r="O746">
        <f>HYPERLINK("imagenes/LAUNDRY_BY_DESIGN_121005487_SAG_1.jpg","Ver imagen")</f>
        <v/>
      </c>
      <c r="P746">
        <f>HYPERLINK("imagenes/LAUNDRY_BY_DESIGN_121005487_SAG_2.jpg","Ver imagen")</f>
        <v/>
      </c>
      <c r="Q746">
        <f>HYPERLINK("imagenes/LAUNDRY_BY_DESIGN_121005487_SAG_3.jpg","Ver imagen")</f>
        <v/>
      </c>
    </row>
    <row r="747">
      <c r="A747" t="inlineStr">
        <is>
          <t>LAUNDRY BY DESIGN</t>
        </is>
      </c>
      <c r="B747" t="inlineStr">
        <is>
          <t>121005487</t>
        </is>
      </c>
      <c r="C747" t="inlineStr">
        <is>
          <t>27" SHERPA JACKET W/SUEDE BINDING TAPE (DUP13466)</t>
        </is>
      </c>
      <c r="D747" t="inlineStr">
        <is>
          <t>SAG</t>
        </is>
      </c>
      <c r="E747" t="inlineStr">
        <is>
          <t>(en blanco)</t>
        </is>
      </c>
      <c r="F747" t="inlineStr">
        <is>
          <t>D2C</t>
        </is>
      </c>
      <c r="G747" t="inlineStr">
        <is>
          <t>S</t>
        </is>
      </c>
      <c r="H747" t="n">
        <v>1</v>
      </c>
      <c r="I747" t="inlineStr">
        <is>
          <t>LAUNDRY_BY_DESIGN_121005487_SAG_1.jpg</t>
        </is>
      </c>
      <c r="J747" t="inlineStr">
        <is>
          <t>LAUNDRY_BY_DESIGN_121005487_SAG_2.jpg</t>
        </is>
      </c>
      <c r="K747" t="inlineStr">
        <is>
          <t>LAUNDRY_BY_DESIGN_121005487_SAG_3.jpg</t>
        </is>
      </c>
      <c r="L747">
        <f>IMAGE("file:///E:/Estudios%20y%20certificaciones/ESTUDIOS%20DE%20PROGRAMMING/PROGRAMMING/PERSONAL/PYTHON/Image_Generator_API/imagenes/LAUNDRY_BY_DESIGN_121005487_SAG_1.jpg")</f>
        <v/>
      </c>
      <c r="M747">
        <f>IMAGE("file:///E:/Estudios%20y%20certificaciones/ESTUDIOS%20DE%20PROGRAMMING/PROGRAMMING/PERSONAL/PYTHON/Image_Generator_API/imagenes/LAUNDRY_BY_DESIGN_121005487_SAG_2.jpg")</f>
        <v/>
      </c>
      <c r="N747">
        <f>IMAGE("file:///E:/Estudios%20y%20certificaciones/ESTUDIOS%20DE%20PROGRAMMING/PROGRAMMING/PERSONAL/PYTHON/Image_Generator_API/imagenes/LAUNDRY_BY_DESIGN_121005487_SAG_3.jpg")</f>
        <v/>
      </c>
      <c r="O747">
        <f>HYPERLINK("imagenes/LAUNDRY_BY_DESIGN_121005487_SAG_1.jpg","Ver imagen")</f>
        <v/>
      </c>
      <c r="P747">
        <f>HYPERLINK("imagenes/LAUNDRY_BY_DESIGN_121005487_SAG_2.jpg","Ver imagen")</f>
        <v/>
      </c>
      <c r="Q747">
        <f>HYPERLINK("imagenes/LAUNDRY_BY_DESIGN_121005487_SAG_3.jpg","Ver imagen")</f>
        <v/>
      </c>
    </row>
    <row r="748">
      <c r="A748" t="inlineStr">
        <is>
          <t>LAUNDRY BY DESIGN</t>
        </is>
      </c>
      <c r="B748" t="inlineStr">
        <is>
          <t>121005487</t>
        </is>
      </c>
      <c r="C748" t="inlineStr">
        <is>
          <t>27" SHERPA JACKET W/SUEDE BINDING TAPE (DUP13466)</t>
        </is>
      </c>
      <c r="D748" t="inlineStr">
        <is>
          <t>SAG</t>
        </is>
      </c>
      <c r="E748" t="inlineStr">
        <is>
          <t>(en blanco)</t>
        </is>
      </c>
      <c r="F748" t="inlineStr">
        <is>
          <t>D2C</t>
        </is>
      </c>
      <c r="G748" t="inlineStr">
        <is>
          <t>M</t>
        </is>
      </c>
      <c r="H748" t="n">
        <v>2</v>
      </c>
      <c r="I748" t="inlineStr">
        <is>
          <t>LAUNDRY_BY_DESIGN_121005487_SAG_1.jpg</t>
        </is>
      </c>
      <c r="J748" t="inlineStr">
        <is>
          <t>LAUNDRY_BY_DESIGN_121005487_SAG_2.jpg</t>
        </is>
      </c>
      <c r="K748" t="inlineStr">
        <is>
          <t>LAUNDRY_BY_DESIGN_121005487_SAG_3.jpg</t>
        </is>
      </c>
      <c r="L748">
        <f>IMAGE("file:///E:/Estudios%20y%20certificaciones/ESTUDIOS%20DE%20PROGRAMMING/PROGRAMMING/PERSONAL/PYTHON/Image_Generator_API/imagenes/LAUNDRY_BY_DESIGN_121005487_SAG_1.jpg")</f>
        <v/>
      </c>
      <c r="M748">
        <f>IMAGE("file:///E:/Estudios%20y%20certificaciones/ESTUDIOS%20DE%20PROGRAMMING/PROGRAMMING/PERSONAL/PYTHON/Image_Generator_API/imagenes/LAUNDRY_BY_DESIGN_121005487_SAG_2.jpg")</f>
        <v/>
      </c>
      <c r="N748">
        <f>IMAGE("file:///E:/Estudios%20y%20certificaciones/ESTUDIOS%20DE%20PROGRAMMING/PROGRAMMING/PERSONAL/PYTHON/Image_Generator_API/imagenes/LAUNDRY_BY_DESIGN_121005487_SAG_3.jpg")</f>
        <v/>
      </c>
      <c r="O748">
        <f>HYPERLINK("imagenes/LAUNDRY_BY_DESIGN_121005487_SAG_1.jpg","Ver imagen")</f>
        <v/>
      </c>
      <c r="P748">
        <f>HYPERLINK("imagenes/LAUNDRY_BY_DESIGN_121005487_SAG_2.jpg","Ver imagen")</f>
        <v/>
      </c>
      <c r="Q748">
        <f>HYPERLINK("imagenes/LAUNDRY_BY_DESIGN_121005487_SAG_3.jpg","Ver imagen")</f>
        <v/>
      </c>
    </row>
    <row r="749">
      <c r="A749" t="inlineStr">
        <is>
          <t>LAUNDRY BY DESIGN</t>
        </is>
      </c>
      <c r="B749" t="inlineStr">
        <is>
          <t>121005487</t>
        </is>
      </c>
      <c r="C749" t="inlineStr">
        <is>
          <t>27" SHERPA JACKET W/SUEDE BINDING TAPE (DUP13466)</t>
        </is>
      </c>
      <c r="D749" t="inlineStr">
        <is>
          <t>SAG</t>
        </is>
      </c>
      <c r="E749" t="inlineStr">
        <is>
          <t>(en blanco)</t>
        </is>
      </c>
      <c r="F749" t="inlineStr">
        <is>
          <t>D2C</t>
        </is>
      </c>
      <c r="G749" t="inlineStr">
        <is>
          <t>L</t>
        </is>
      </c>
      <c r="H749" t="n">
        <v>6</v>
      </c>
      <c r="I749" t="inlineStr">
        <is>
          <t>LAUNDRY_BY_DESIGN_121005487_SAG_1.jpg</t>
        </is>
      </c>
      <c r="J749" t="inlineStr">
        <is>
          <t>LAUNDRY_BY_DESIGN_121005487_SAG_2.jpg</t>
        </is>
      </c>
      <c r="K749" t="inlineStr">
        <is>
          <t>LAUNDRY_BY_DESIGN_121005487_SAG_3.jpg</t>
        </is>
      </c>
      <c r="L749">
        <f>IMAGE("file:///E:/Estudios%20y%20certificaciones/ESTUDIOS%20DE%20PROGRAMMING/PROGRAMMING/PERSONAL/PYTHON/Image_Generator_API/imagenes/LAUNDRY_BY_DESIGN_121005487_SAG_1.jpg")</f>
        <v/>
      </c>
      <c r="M749">
        <f>IMAGE("file:///E:/Estudios%20y%20certificaciones/ESTUDIOS%20DE%20PROGRAMMING/PROGRAMMING/PERSONAL/PYTHON/Image_Generator_API/imagenes/LAUNDRY_BY_DESIGN_121005487_SAG_2.jpg")</f>
        <v/>
      </c>
      <c r="N749">
        <f>IMAGE("file:///E:/Estudios%20y%20certificaciones/ESTUDIOS%20DE%20PROGRAMMING/PROGRAMMING/PERSONAL/PYTHON/Image_Generator_API/imagenes/LAUNDRY_BY_DESIGN_121005487_SAG_3.jpg")</f>
        <v/>
      </c>
      <c r="O749">
        <f>HYPERLINK("imagenes/LAUNDRY_BY_DESIGN_121005487_SAG_1.jpg","Ver imagen")</f>
        <v/>
      </c>
      <c r="P749">
        <f>HYPERLINK("imagenes/LAUNDRY_BY_DESIGN_121005487_SAG_2.jpg","Ver imagen")</f>
        <v/>
      </c>
      <c r="Q749">
        <f>HYPERLINK("imagenes/LAUNDRY_BY_DESIGN_121005487_SAG_3.jpg","Ver imagen")</f>
        <v/>
      </c>
    </row>
    <row r="750">
      <c r="A750" t="inlineStr">
        <is>
          <t>LAUNDRY BY DESIGN</t>
        </is>
      </c>
      <c r="B750" t="inlineStr">
        <is>
          <t>121005487</t>
        </is>
      </c>
      <c r="C750" t="inlineStr">
        <is>
          <t>27" SHERPA JACKET W/SUEDE BINDING TAPE (DUP13466)</t>
        </is>
      </c>
      <c r="D750" t="inlineStr">
        <is>
          <t>SAG</t>
        </is>
      </c>
      <c r="E750" t="inlineStr">
        <is>
          <t>(en blanco)</t>
        </is>
      </c>
      <c r="F750" t="inlineStr">
        <is>
          <t>D2C</t>
        </is>
      </c>
      <c r="G750" t="inlineStr">
        <is>
          <t>XL</t>
        </is>
      </c>
      <c r="H750" t="n">
        <v>1</v>
      </c>
      <c r="I750" t="inlineStr">
        <is>
          <t>LAUNDRY_BY_DESIGN_121005487_SAG_1.jpg</t>
        </is>
      </c>
      <c r="J750" t="inlineStr">
        <is>
          <t>LAUNDRY_BY_DESIGN_121005487_SAG_2.jpg</t>
        </is>
      </c>
      <c r="K750" t="inlineStr">
        <is>
          <t>LAUNDRY_BY_DESIGN_121005487_SAG_3.jpg</t>
        </is>
      </c>
      <c r="L750">
        <f>IMAGE("file:///E:/Estudios%20y%20certificaciones/ESTUDIOS%20DE%20PROGRAMMING/PROGRAMMING/PERSONAL/PYTHON/Image_Generator_API/imagenes/LAUNDRY_BY_DESIGN_121005487_SAG_1.jpg")</f>
        <v/>
      </c>
      <c r="M750">
        <f>IMAGE("file:///E:/Estudios%20y%20certificaciones/ESTUDIOS%20DE%20PROGRAMMING/PROGRAMMING/PERSONAL/PYTHON/Image_Generator_API/imagenes/LAUNDRY_BY_DESIGN_121005487_SAG_2.jpg")</f>
        <v/>
      </c>
      <c r="N750">
        <f>IMAGE("file:///E:/Estudios%20y%20certificaciones/ESTUDIOS%20DE%20PROGRAMMING/PROGRAMMING/PERSONAL/PYTHON/Image_Generator_API/imagenes/LAUNDRY_BY_DESIGN_121005487_SAG_3.jpg")</f>
        <v/>
      </c>
      <c r="O750">
        <f>HYPERLINK("imagenes/LAUNDRY_BY_DESIGN_121005487_SAG_1.jpg","Ver imagen")</f>
        <v/>
      </c>
      <c r="P750">
        <f>HYPERLINK("imagenes/LAUNDRY_BY_DESIGN_121005487_SAG_2.jpg","Ver imagen")</f>
        <v/>
      </c>
      <c r="Q750">
        <f>HYPERLINK("imagenes/LAUNDRY_BY_DESIGN_121005487_SAG_3.jpg","Ver imagen")</f>
        <v/>
      </c>
    </row>
    <row r="751">
      <c r="A751" t="inlineStr">
        <is>
          <t>LAUNDRY BY DESIGN</t>
        </is>
      </c>
      <c r="B751" t="inlineStr">
        <is>
          <t>121006245</t>
        </is>
      </c>
      <c r="C751" t="inlineStr">
        <is>
          <t>42" STRETCH MAXI PUFFER WITH PU</t>
        </is>
      </c>
      <c r="D751" t="inlineStr">
        <is>
          <t>BLK</t>
        </is>
      </c>
      <c r="E751" t="inlineStr">
        <is>
          <t>(en blanco)</t>
        </is>
      </c>
      <c r="F751" t="inlineStr">
        <is>
          <t>(en blanco)</t>
        </is>
      </c>
      <c r="G751" t="inlineStr">
        <is>
          <t>S</t>
        </is>
      </c>
      <c r="H751" t="n">
        <v>2</v>
      </c>
      <c r="I751" t="inlineStr">
        <is>
          <t>LAUNDRY_BY_DESIGN_121006245_BLK_1.jpg</t>
        </is>
      </c>
      <c r="J751" t="inlineStr">
        <is>
          <t>LAUNDRY_BY_DESIGN_121006245_BLK_2.jpg</t>
        </is>
      </c>
      <c r="K751" t="inlineStr">
        <is>
          <t>LAUNDRY_BY_DESIGN_121006245_BLK_3.jpg</t>
        </is>
      </c>
      <c r="L751">
        <f>IMAGE("file:///E:/Estudios%20y%20certificaciones/ESTUDIOS%20DE%20PROGRAMMING/PROGRAMMING/PERSONAL/PYTHON/Image_Generator_API/imagenes/LAUNDRY_BY_DESIGN_121006245_BLK_1.jpg")</f>
        <v/>
      </c>
      <c r="M751">
        <f>IMAGE("file:///E:/Estudios%20y%20certificaciones/ESTUDIOS%20DE%20PROGRAMMING/PROGRAMMING/PERSONAL/PYTHON/Image_Generator_API/imagenes/LAUNDRY_BY_DESIGN_121006245_BLK_2.jpg")</f>
        <v/>
      </c>
      <c r="N751">
        <f>IMAGE("file:///E:/Estudios%20y%20certificaciones/ESTUDIOS%20DE%20PROGRAMMING/PROGRAMMING/PERSONAL/PYTHON/Image_Generator_API/imagenes/LAUNDRY_BY_DESIGN_121006245_BLK_3.jpg")</f>
        <v/>
      </c>
      <c r="O751">
        <f>HYPERLINK("imagenes/LAUNDRY_BY_DESIGN_121006245_BLK_1.jpg","Ver imagen")</f>
        <v/>
      </c>
      <c r="P751">
        <f>HYPERLINK("imagenes/LAUNDRY_BY_DESIGN_121006245_BLK_2.jpg","Ver imagen")</f>
        <v/>
      </c>
      <c r="Q751">
        <f>HYPERLINK("imagenes/LAUNDRY_BY_DESIGN_121006245_BLK_3.jpg","Ver imagen")</f>
        <v/>
      </c>
    </row>
    <row r="752">
      <c r="A752" t="inlineStr">
        <is>
          <t>LAUNDRY BY DESIGN</t>
        </is>
      </c>
      <c r="B752" t="inlineStr">
        <is>
          <t>121006245</t>
        </is>
      </c>
      <c r="C752" t="inlineStr">
        <is>
          <t>42" STRETCH MAXI PUFFER WITH PU</t>
        </is>
      </c>
      <c r="D752" t="inlineStr">
        <is>
          <t>BLK</t>
        </is>
      </c>
      <c r="E752" t="inlineStr">
        <is>
          <t>(en blanco)</t>
        </is>
      </c>
      <c r="F752" t="inlineStr">
        <is>
          <t>(en blanco)</t>
        </is>
      </c>
      <c r="G752" t="inlineStr">
        <is>
          <t>M</t>
        </is>
      </c>
      <c r="H752" t="n">
        <v>2</v>
      </c>
      <c r="I752" t="inlineStr">
        <is>
          <t>LAUNDRY_BY_DESIGN_121006245_BLK_1.jpg</t>
        </is>
      </c>
      <c r="J752" t="inlineStr">
        <is>
          <t>LAUNDRY_BY_DESIGN_121006245_BLK_2.jpg</t>
        </is>
      </c>
      <c r="K752" t="inlineStr">
        <is>
          <t>LAUNDRY_BY_DESIGN_121006245_BLK_3.jpg</t>
        </is>
      </c>
      <c r="L752">
        <f>IMAGE("file:///E:/Estudios%20y%20certificaciones/ESTUDIOS%20DE%20PROGRAMMING/PROGRAMMING/PERSONAL/PYTHON/Image_Generator_API/imagenes/LAUNDRY_BY_DESIGN_121006245_BLK_1.jpg")</f>
        <v/>
      </c>
      <c r="M752">
        <f>IMAGE("file:///E:/Estudios%20y%20certificaciones/ESTUDIOS%20DE%20PROGRAMMING/PROGRAMMING/PERSONAL/PYTHON/Image_Generator_API/imagenes/LAUNDRY_BY_DESIGN_121006245_BLK_2.jpg")</f>
        <v/>
      </c>
      <c r="N752">
        <f>IMAGE("file:///E:/Estudios%20y%20certificaciones/ESTUDIOS%20DE%20PROGRAMMING/PROGRAMMING/PERSONAL/PYTHON/Image_Generator_API/imagenes/LAUNDRY_BY_DESIGN_121006245_BLK_3.jpg")</f>
        <v/>
      </c>
      <c r="O752">
        <f>HYPERLINK("imagenes/LAUNDRY_BY_DESIGN_121006245_BLK_1.jpg","Ver imagen")</f>
        <v/>
      </c>
      <c r="P752">
        <f>HYPERLINK("imagenes/LAUNDRY_BY_DESIGN_121006245_BLK_2.jpg","Ver imagen")</f>
        <v/>
      </c>
      <c r="Q752">
        <f>HYPERLINK("imagenes/LAUNDRY_BY_DESIGN_121006245_BLK_3.jpg","Ver imagen")</f>
        <v/>
      </c>
    </row>
    <row r="753">
      <c r="A753" t="inlineStr">
        <is>
          <t>LAUNDRY BY DESIGN</t>
        </is>
      </c>
      <c r="B753" t="inlineStr">
        <is>
          <t>121006245</t>
        </is>
      </c>
      <c r="C753" t="inlineStr">
        <is>
          <t>42" STRETCH MAXI PUFFER WITH PU</t>
        </is>
      </c>
      <c r="D753" t="inlineStr">
        <is>
          <t>BLK</t>
        </is>
      </c>
      <c r="E753" t="inlineStr">
        <is>
          <t>(en blanco)</t>
        </is>
      </c>
      <c r="F753" t="inlineStr">
        <is>
          <t>(en blanco)</t>
        </is>
      </c>
      <c r="G753" t="inlineStr">
        <is>
          <t>L</t>
        </is>
      </c>
      <c r="H753" t="n">
        <v>1</v>
      </c>
      <c r="I753" t="inlineStr">
        <is>
          <t>LAUNDRY_BY_DESIGN_121006245_BLK_1.jpg</t>
        </is>
      </c>
      <c r="J753" t="inlineStr">
        <is>
          <t>LAUNDRY_BY_DESIGN_121006245_BLK_2.jpg</t>
        </is>
      </c>
      <c r="K753" t="inlineStr">
        <is>
          <t>LAUNDRY_BY_DESIGN_121006245_BLK_3.jpg</t>
        </is>
      </c>
      <c r="L753">
        <f>IMAGE("file:///E:/Estudios%20y%20certificaciones/ESTUDIOS%20DE%20PROGRAMMING/PROGRAMMING/PERSONAL/PYTHON/Image_Generator_API/imagenes/LAUNDRY_BY_DESIGN_121006245_BLK_1.jpg")</f>
        <v/>
      </c>
      <c r="M753">
        <f>IMAGE("file:///E:/Estudios%20y%20certificaciones/ESTUDIOS%20DE%20PROGRAMMING/PROGRAMMING/PERSONAL/PYTHON/Image_Generator_API/imagenes/LAUNDRY_BY_DESIGN_121006245_BLK_2.jpg")</f>
        <v/>
      </c>
      <c r="N753">
        <f>IMAGE("file:///E:/Estudios%20y%20certificaciones/ESTUDIOS%20DE%20PROGRAMMING/PROGRAMMING/PERSONAL/PYTHON/Image_Generator_API/imagenes/LAUNDRY_BY_DESIGN_121006245_BLK_3.jpg")</f>
        <v/>
      </c>
      <c r="O753">
        <f>HYPERLINK("imagenes/LAUNDRY_BY_DESIGN_121006245_BLK_1.jpg","Ver imagen")</f>
        <v/>
      </c>
      <c r="P753">
        <f>HYPERLINK("imagenes/LAUNDRY_BY_DESIGN_121006245_BLK_2.jpg","Ver imagen")</f>
        <v/>
      </c>
      <c r="Q753">
        <f>HYPERLINK("imagenes/LAUNDRY_BY_DESIGN_121006245_BLK_3.jpg","Ver imagen")</f>
        <v/>
      </c>
    </row>
    <row r="754">
      <c r="A754" t="inlineStr">
        <is>
          <t>LAUNDRY BY DESIGN</t>
        </is>
      </c>
      <c r="B754" t="inlineStr">
        <is>
          <t>121006245</t>
        </is>
      </c>
      <c r="C754" t="inlineStr">
        <is>
          <t>42" STRETCH MAXI PUFFER WITH PU</t>
        </is>
      </c>
      <c r="D754" t="inlineStr">
        <is>
          <t>BLK</t>
        </is>
      </c>
      <c r="E754" t="inlineStr">
        <is>
          <t>(en blanco)</t>
        </is>
      </c>
      <c r="F754" t="inlineStr">
        <is>
          <t>(en blanco)</t>
        </is>
      </c>
      <c r="G754" t="inlineStr">
        <is>
          <t>XL</t>
        </is>
      </c>
      <c r="H754" t="n">
        <v>0</v>
      </c>
      <c r="I754" t="inlineStr">
        <is>
          <t>LAUNDRY_BY_DESIGN_121006245_BLK_1.jpg</t>
        </is>
      </c>
      <c r="J754" t="inlineStr">
        <is>
          <t>LAUNDRY_BY_DESIGN_121006245_BLK_2.jpg</t>
        </is>
      </c>
      <c r="K754" t="inlineStr">
        <is>
          <t>LAUNDRY_BY_DESIGN_121006245_BLK_3.jpg</t>
        </is>
      </c>
      <c r="L754">
        <f>IMAGE("file:///E:/Estudios%20y%20certificaciones/ESTUDIOS%20DE%20PROGRAMMING/PROGRAMMING/PERSONAL/PYTHON/Image_Generator_API/imagenes/LAUNDRY_BY_DESIGN_121006245_BLK_1.jpg")</f>
        <v/>
      </c>
      <c r="M754">
        <f>IMAGE("file:///E:/Estudios%20y%20certificaciones/ESTUDIOS%20DE%20PROGRAMMING/PROGRAMMING/PERSONAL/PYTHON/Image_Generator_API/imagenes/LAUNDRY_BY_DESIGN_121006245_BLK_2.jpg")</f>
        <v/>
      </c>
      <c r="N754">
        <f>IMAGE("file:///E:/Estudios%20y%20certificaciones/ESTUDIOS%20DE%20PROGRAMMING/PROGRAMMING/PERSONAL/PYTHON/Image_Generator_API/imagenes/LAUNDRY_BY_DESIGN_121006245_BLK_3.jpg")</f>
        <v/>
      </c>
      <c r="O754">
        <f>HYPERLINK("imagenes/LAUNDRY_BY_DESIGN_121006245_BLK_1.jpg","Ver imagen")</f>
        <v/>
      </c>
      <c r="P754">
        <f>HYPERLINK("imagenes/LAUNDRY_BY_DESIGN_121006245_BLK_2.jpg","Ver imagen")</f>
        <v/>
      </c>
      <c r="Q754">
        <f>HYPERLINK("imagenes/LAUNDRY_BY_DESIGN_121006245_BLK_3.jpg","Ver imagen")</f>
        <v/>
      </c>
    </row>
    <row r="755">
      <c r="A755" t="inlineStr">
        <is>
          <t>LAUNDRY BY DESIGN</t>
        </is>
      </c>
      <c r="B755" t="inlineStr">
        <is>
          <t>121006245</t>
        </is>
      </c>
      <c r="C755" t="inlineStr">
        <is>
          <t>42" STRETCH MAXI PUFFER WITH PU</t>
        </is>
      </c>
      <c r="D755" t="inlineStr">
        <is>
          <t>TFF</t>
        </is>
      </c>
      <c r="E755" t="inlineStr">
        <is>
          <t>(en blanco)</t>
        </is>
      </c>
      <c r="F755" t="inlineStr">
        <is>
          <t>(en blanco)</t>
        </is>
      </c>
      <c r="G755" t="inlineStr">
        <is>
          <t>S</t>
        </is>
      </c>
      <c r="H755" t="n">
        <v>0</v>
      </c>
      <c r="I755" t="inlineStr">
        <is>
          <t>LAUNDRY_BY_DESIGN_121006245_TFF_1.jpg</t>
        </is>
      </c>
      <c r="J755" t="inlineStr">
        <is>
          <t>LAUNDRY_BY_DESIGN_121006245_TFF_2.jpg</t>
        </is>
      </c>
      <c r="K755" t="inlineStr">
        <is>
          <t>LAUNDRY_BY_DESIGN_121006245_TFF_3.jpg</t>
        </is>
      </c>
      <c r="L755">
        <f>IMAGE("file:///E:/Estudios%20y%20certificaciones/ESTUDIOS%20DE%20PROGRAMMING/PROGRAMMING/PERSONAL/PYTHON/Image_Generator_API/imagenes/LAUNDRY_BY_DESIGN_121006245_TFF_1.jpg")</f>
        <v/>
      </c>
      <c r="M755">
        <f>IMAGE("file:///E:/Estudios%20y%20certificaciones/ESTUDIOS%20DE%20PROGRAMMING/PROGRAMMING/PERSONAL/PYTHON/Image_Generator_API/imagenes/LAUNDRY_BY_DESIGN_121006245_TFF_2.jpg")</f>
        <v/>
      </c>
      <c r="N755">
        <f>IMAGE("file:///E:/Estudios%20y%20certificaciones/ESTUDIOS%20DE%20PROGRAMMING/PROGRAMMING/PERSONAL/PYTHON/Image_Generator_API/imagenes/LAUNDRY_BY_DESIGN_121006245_TFF_3.jpg")</f>
        <v/>
      </c>
      <c r="O755">
        <f>HYPERLINK("imagenes/LAUNDRY_BY_DESIGN_121006245_TFF_1.jpg","Ver imagen")</f>
        <v/>
      </c>
      <c r="P755">
        <f>HYPERLINK("imagenes/LAUNDRY_BY_DESIGN_121006245_TFF_2.jpg","Ver imagen")</f>
        <v/>
      </c>
      <c r="Q755">
        <f>HYPERLINK("imagenes/LAUNDRY_BY_DESIGN_121006245_TFF_3.jpg","Ver imagen")</f>
        <v/>
      </c>
    </row>
    <row r="756">
      <c r="A756" t="inlineStr">
        <is>
          <t>LAUNDRY BY DESIGN</t>
        </is>
      </c>
      <c r="B756" t="inlineStr">
        <is>
          <t>121006245</t>
        </is>
      </c>
      <c r="C756" t="inlineStr">
        <is>
          <t>42" STRETCH MAXI PUFFER WITH PU</t>
        </is>
      </c>
      <c r="D756" t="inlineStr">
        <is>
          <t>TFF</t>
        </is>
      </c>
      <c r="E756" t="inlineStr">
        <is>
          <t>(en blanco)</t>
        </is>
      </c>
      <c r="F756" t="inlineStr">
        <is>
          <t>(en blanco)</t>
        </is>
      </c>
      <c r="G756" t="inlineStr">
        <is>
          <t>M</t>
        </is>
      </c>
      <c r="H756" t="n">
        <v>0</v>
      </c>
      <c r="I756" t="inlineStr">
        <is>
          <t>LAUNDRY_BY_DESIGN_121006245_TFF_1.jpg</t>
        </is>
      </c>
      <c r="J756" t="inlineStr">
        <is>
          <t>LAUNDRY_BY_DESIGN_121006245_TFF_2.jpg</t>
        </is>
      </c>
      <c r="K756" t="inlineStr">
        <is>
          <t>LAUNDRY_BY_DESIGN_121006245_TFF_3.jpg</t>
        </is>
      </c>
      <c r="L756">
        <f>IMAGE("file:///E:/Estudios%20y%20certificaciones/ESTUDIOS%20DE%20PROGRAMMING/PROGRAMMING/PERSONAL/PYTHON/Image_Generator_API/imagenes/LAUNDRY_BY_DESIGN_121006245_TFF_1.jpg")</f>
        <v/>
      </c>
      <c r="M756">
        <f>IMAGE("file:///E:/Estudios%20y%20certificaciones/ESTUDIOS%20DE%20PROGRAMMING/PROGRAMMING/PERSONAL/PYTHON/Image_Generator_API/imagenes/LAUNDRY_BY_DESIGN_121006245_TFF_2.jpg")</f>
        <v/>
      </c>
      <c r="N756">
        <f>IMAGE("file:///E:/Estudios%20y%20certificaciones/ESTUDIOS%20DE%20PROGRAMMING/PROGRAMMING/PERSONAL/PYTHON/Image_Generator_API/imagenes/LAUNDRY_BY_DESIGN_121006245_TFF_3.jpg")</f>
        <v/>
      </c>
      <c r="O756">
        <f>HYPERLINK("imagenes/LAUNDRY_BY_DESIGN_121006245_TFF_1.jpg","Ver imagen")</f>
        <v/>
      </c>
      <c r="P756">
        <f>HYPERLINK("imagenes/LAUNDRY_BY_DESIGN_121006245_TFF_2.jpg","Ver imagen")</f>
        <v/>
      </c>
      <c r="Q756">
        <f>HYPERLINK("imagenes/LAUNDRY_BY_DESIGN_121006245_TFF_3.jpg","Ver imagen")</f>
        <v/>
      </c>
    </row>
    <row r="757">
      <c r="A757" t="inlineStr">
        <is>
          <t>LAUNDRY BY DESIGN</t>
        </is>
      </c>
      <c r="B757" t="inlineStr">
        <is>
          <t>121006245</t>
        </is>
      </c>
      <c r="C757" t="inlineStr">
        <is>
          <t>42" STRETCH MAXI PUFFER WITH PU</t>
        </is>
      </c>
      <c r="D757" t="inlineStr">
        <is>
          <t>TFF</t>
        </is>
      </c>
      <c r="E757" t="inlineStr">
        <is>
          <t>(en blanco)</t>
        </is>
      </c>
      <c r="F757" t="inlineStr">
        <is>
          <t>(en blanco)</t>
        </is>
      </c>
      <c r="G757" t="inlineStr">
        <is>
          <t>L</t>
        </is>
      </c>
      <c r="H757" t="n">
        <v>1</v>
      </c>
      <c r="I757" t="inlineStr">
        <is>
          <t>LAUNDRY_BY_DESIGN_121006245_TFF_1.jpg</t>
        </is>
      </c>
      <c r="J757" t="inlineStr">
        <is>
          <t>LAUNDRY_BY_DESIGN_121006245_TFF_2.jpg</t>
        </is>
      </c>
      <c r="K757" t="inlineStr">
        <is>
          <t>LAUNDRY_BY_DESIGN_121006245_TFF_3.jpg</t>
        </is>
      </c>
      <c r="L757">
        <f>IMAGE("file:///E:/Estudios%20y%20certificaciones/ESTUDIOS%20DE%20PROGRAMMING/PROGRAMMING/PERSONAL/PYTHON/Image_Generator_API/imagenes/LAUNDRY_BY_DESIGN_121006245_TFF_1.jpg")</f>
        <v/>
      </c>
      <c r="M757">
        <f>IMAGE("file:///E:/Estudios%20y%20certificaciones/ESTUDIOS%20DE%20PROGRAMMING/PROGRAMMING/PERSONAL/PYTHON/Image_Generator_API/imagenes/LAUNDRY_BY_DESIGN_121006245_TFF_2.jpg")</f>
        <v/>
      </c>
      <c r="N757">
        <f>IMAGE("file:///E:/Estudios%20y%20certificaciones/ESTUDIOS%20DE%20PROGRAMMING/PROGRAMMING/PERSONAL/PYTHON/Image_Generator_API/imagenes/LAUNDRY_BY_DESIGN_121006245_TFF_3.jpg")</f>
        <v/>
      </c>
      <c r="O757">
        <f>HYPERLINK("imagenes/LAUNDRY_BY_DESIGN_121006245_TFF_1.jpg","Ver imagen")</f>
        <v/>
      </c>
      <c r="P757">
        <f>HYPERLINK("imagenes/LAUNDRY_BY_DESIGN_121006245_TFF_2.jpg","Ver imagen")</f>
        <v/>
      </c>
      <c r="Q757">
        <f>HYPERLINK("imagenes/LAUNDRY_BY_DESIGN_121006245_TFF_3.jpg","Ver imagen")</f>
        <v/>
      </c>
    </row>
    <row r="758">
      <c r="A758" t="inlineStr">
        <is>
          <t>LAUNDRY BY DESIGN</t>
        </is>
      </c>
      <c r="B758" t="inlineStr">
        <is>
          <t>121006245</t>
        </is>
      </c>
      <c r="C758" t="inlineStr">
        <is>
          <t>42" STRETCH MAXI PUFFER WITH PU</t>
        </is>
      </c>
      <c r="D758" t="inlineStr">
        <is>
          <t>TFF</t>
        </is>
      </c>
      <c r="E758" t="inlineStr">
        <is>
          <t>(en blanco)</t>
        </is>
      </c>
      <c r="F758" t="inlineStr">
        <is>
          <t>(en blanco)</t>
        </is>
      </c>
      <c r="G758" t="inlineStr">
        <is>
          <t>XL</t>
        </is>
      </c>
      <c r="H758" t="n">
        <v>0</v>
      </c>
      <c r="I758" t="inlineStr">
        <is>
          <t>LAUNDRY_BY_DESIGN_121006245_TFF_1.jpg</t>
        </is>
      </c>
      <c r="J758" t="inlineStr">
        <is>
          <t>LAUNDRY_BY_DESIGN_121006245_TFF_2.jpg</t>
        </is>
      </c>
      <c r="K758" t="inlineStr">
        <is>
          <t>LAUNDRY_BY_DESIGN_121006245_TFF_3.jpg</t>
        </is>
      </c>
      <c r="L758">
        <f>IMAGE("file:///E:/Estudios%20y%20certificaciones/ESTUDIOS%20DE%20PROGRAMMING/PROGRAMMING/PERSONAL/PYTHON/Image_Generator_API/imagenes/LAUNDRY_BY_DESIGN_121006245_TFF_1.jpg")</f>
        <v/>
      </c>
      <c r="M758">
        <f>IMAGE("file:///E:/Estudios%20y%20certificaciones/ESTUDIOS%20DE%20PROGRAMMING/PROGRAMMING/PERSONAL/PYTHON/Image_Generator_API/imagenes/LAUNDRY_BY_DESIGN_121006245_TFF_2.jpg")</f>
        <v/>
      </c>
      <c r="N758">
        <f>IMAGE("file:///E:/Estudios%20y%20certificaciones/ESTUDIOS%20DE%20PROGRAMMING/PROGRAMMING/PERSONAL/PYTHON/Image_Generator_API/imagenes/LAUNDRY_BY_DESIGN_121006245_TFF_3.jpg")</f>
        <v/>
      </c>
      <c r="O758">
        <f>HYPERLINK("imagenes/LAUNDRY_BY_DESIGN_121006245_TFF_1.jpg","Ver imagen")</f>
        <v/>
      </c>
      <c r="P758">
        <f>HYPERLINK("imagenes/LAUNDRY_BY_DESIGN_121006245_TFF_2.jpg","Ver imagen")</f>
        <v/>
      </c>
      <c r="Q758">
        <f>HYPERLINK("imagenes/LAUNDRY_BY_DESIGN_121006245_TFF_3.jpg","Ver imagen")</f>
        <v/>
      </c>
    </row>
    <row r="759">
      <c r="A759" t="inlineStr">
        <is>
          <t>LAUNDRY BY DESIGN</t>
        </is>
      </c>
      <c r="B759" t="inlineStr">
        <is>
          <t>121006245</t>
        </is>
      </c>
      <c r="C759" t="inlineStr">
        <is>
          <t>42" STRETCH MAXI PUFFER WITH PU</t>
        </is>
      </c>
      <c r="D759" t="inlineStr">
        <is>
          <t>TFF</t>
        </is>
      </c>
      <c r="E759" t="inlineStr">
        <is>
          <t>(en blanco)</t>
        </is>
      </c>
      <c r="F759" t="inlineStr">
        <is>
          <t>(en blanco)</t>
        </is>
      </c>
      <c r="G759" t="inlineStr">
        <is>
          <t>XXL</t>
        </is>
      </c>
      <c r="H759" t="n">
        <v>2</v>
      </c>
      <c r="I759" t="inlineStr">
        <is>
          <t>LAUNDRY_BY_DESIGN_121006245_TFF_1.jpg</t>
        </is>
      </c>
      <c r="J759" t="inlineStr">
        <is>
          <t>LAUNDRY_BY_DESIGN_121006245_TFF_2.jpg</t>
        </is>
      </c>
      <c r="K759" t="inlineStr">
        <is>
          <t>LAUNDRY_BY_DESIGN_121006245_TFF_3.jpg</t>
        </is>
      </c>
      <c r="L759">
        <f>IMAGE("file:///E:/Estudios%20y%20certificaciones/ESTUDIOS%20DE%20PROGRAMMING/PROGRAMMING/PERSONAL/PYTHON/Image_Generator_API/imagenes/LAUNDRY_BY_DESIGN_121006245_TFF_1.jpg")</f>
        <v/>
      </c>
      <c r="M759">
        <f>IMAGE("file:///E:/Estudios%20y%20certificaciones/ESTUDIOS%20DE%20PROGRAMMING/PROGRAMMING/PERSONAL/PYTHON/Image_Generator_API/imagenes/LAUNDRY_BY_DESIGN_121006245_TFF_2.jpg")</f>
        <v/>
      </c>
      <c r="N759">
        <f>IMAGE("file:///E:/Estudios%20y%20certificaciones/ESTUDIOS%20DE%20PROGRAMMING/PROGRAMMING/PERSONAL/PYTHON/Image_Generator_API/imagenes/LAUNDRY_BY_DESIGN_121006245_TFF_3.jpg")</f>
        <v/>
      </c>
      <c r="O759">
        <f>HYPERLINK("imagenes/LAUNDRY_BY_DESIGN_121006245_TFF_1.jpg","Ver imagen")</f>
        <v/>
      </c>
      <c r="P759">
        <f>HYPERLINK("imagenes/LAUNDRY_BY_DESIGN_121006245_TFF_2.jpg","Ver imagen")</f>
        <v/>
      </c>
      <c r="Q759">
        <f>HYPERLINK("imagenes/LAUNDRY_BY_DESIGN_121006245_TFF_3.jpg","Ver imagen")</f>
        <v/>
      </c>
    </row>
    <row r="760">
      <c r="A760" t="inlineStr">
        <is>
          <t>LAUNDRY BY DESIGN</t>
        </is>
      </c>
      <c r="B760" t="inlineStr">
        <is>
          <t>121009841</t>
        </is>
      </c>
      <c r="C760" t="inlineStr">
        <is>
          <t>26 SNOWCHIC QUILT WITH CORDUROY</t>
        </is>
      </c>
      <c r="D760" t="inlineStr">
        <is>
          <t>BLK</t>
        </is>
      </c>
      <c r="E760" t="inlineStr">
        <is>
          <t>06A01</t>
        </is>
      </c>
      <c r="F760" t="inlineStr">
        <is>
          <t>(en blanco)</t>
        </is>
      </c>
      <c r="G760" t="inlineStr">
        <is>
          <t>PPK</t>
        </is>
      </c>
      <c r="H760" t="n">
        <v>36</v>
      </c>
      <c r="I760" t="inlineStr">
        <is>
          <t>LAUNDRY_BY_DESIGN_121009841_BLK_1.jpg</t>
        </is>
      </c>
      <c r="J760" t="inlineStr">
        <is>
          <t>LAUNDRY_BY_DESIGN_121009841_BLK_2.jpg</t>
        </is>
      </c>
      <c r="K760" t="inlineStr">
        <is>
          <t>LAUNDRY_BY_DESIGN_121009841_BLK_3.jpg</t>
        </is>
      </c>
      <c r="L760">
        <f>IMAGE("file:///E:/Estudios%20y%20certificaciones/ESTUDIOS%20DE%20PROGRAMMING/PROGRAMMING/PERSONAL/PYTHON/Image_Generator_API/imagenes/LAUNDRY_BY_DESIGN_121009841_BLK_1.jpg")</f>
        <v/>
      </c>
      <c r="M760">
        <f>IMAGE("file:///E:/Estudios%20y%20certificaciones/ESTUDIOS%20DE%20PROGRAMMING/PROGRAMMING/PERSONAL/PYTHON/Image_Generator_API/imagenes/LAUNDRY_BY_DESIGN_121009841_BLK_2.jpg")</f>
        <v/>
      </c>
      <c r="N760">
        <f>IMAGE("file:///E:/Estudios%20y%20certificaciones/ESTUDIOS%20DE%20PROGRAMMING/PROGRAMMING/PERSONAL/PYTHON/Image_Generator_API/imagenes/LAUNDRY_BY_DESIGN_121009841_BLK_3.jpg")</f>
        <v/>
      </c>
      <c r="O760">
        <f>HYPERLINK("imagenes/LAUNDRY_BY_DESIGN_121009841_BLK_1.jpg","Ver imagen")</f>
        <v/>
      </c>
      <c r="P760">
        <f>HYPERLINK("imagenes/LAUNDRY_BY_DESIGN_121009841_BLK_2.jpg","Ver imagen")</f>
        <v/>
      </c>
      <c r="Q760">
        <f>HYPERLINK("imagenes/LAUNDRY_BY_DESIGN_121009841_BLK_3.jpg","Ver imagen")</f>
        <v/>
      </c>
    </row>
    <row r="761">
      <c r="A761" t="inlineStr">
        <is>
          <t>LAUNDRY BY DESIGN</t>
        </is>
      </c>
      <c r="B761" t="inlineStr">
        <is>
          <t>121009841</t>
        </is>
      </c>
      <c r="C761" t="inlineStr">
        <is>
          <t>26 SNOWCHIC QUILT WITH CORDUROY</t>
        </is>
      </c>
      <c r="D761" t="inlineStr">
        <is>
          <t>BLK</t>
        </is>
      </c>
      <c r="E761" t="inlineStr">
        <is>
          <t>(en blanco)</t>
        </is>
      </c>
      <c r="F761" t="inlineStr">
        <is>
          <t>(en blanco)</t>
        </is>
      </c>
      <c r="G761" t="inlineStr">
        <is>
          <t>S</t>
        </is>
      </c>
      <c r="H761" t="n">
        <v>17</v>
      </c>
      <c r="I761" t="inlineStr">
        <is>
          <t>LAUNDRY_BY_DESIGN_121009841_BLK_1.jpg</t>
        </is>
      </c>
      <c r="J761" t="inlineStr">
        <is>
          <t>LAUNDRY_BY_DESIGN_121009841_BLK_2.jpg</t>
        </is>
      </c>
      <c r="K761" t="inlineStr">
        <is>
          <t>LAUNDRY_BY_DESIGN_121009841_BLK_3.jpg</t>
        </is>
      </c>
      <c r="L761">
        <f>IMAGE("file:///E:/Estudios%20y%20certificaciones/ESTUDIOS%20DE%20PROGRAMMING/PROGRAMMING/PERSONAL/PYTHON/Image_Generator_API/imagenes/LAUNDRY_BY_DESIGN_121009841_BLK_1.jpg")</f>
        <v/>
      </c>
      <c r="M761">
        <f>IMAGE("file:///E:/Estudios%20y%20certificaciones/ESTUDIOS%20DE%20PROGRAMMING/PROGRAMMING/PERSONAL/PYTHON/Image_Generator_API/imagenes/LAUNDRY_BY_DESIGN_121009841_BLK_2.jpg")</f>
        <v/>
      </c>
      <c r="N761">
        <f>IMAGE("file:///E:/Estudios%20y%20certificaciones/ESTUDIOS%20DE%20PROGRAMMING/PROGRAMMING/PERSONAL/PYTHON/Image_Generator_API/imagenes/LAUNDRY_BY_DESIGN_121009841_BLK_3.jpg")</f>
        <v/>
      </c>
      <c r="O761">
        <f>HYPERLINK("imagenes/LAUNDRY_BY_DESIGN_121009841_BLK_1.jpg","Ver imagen")</f>
        <v/>
      </c>
      <c r="P761">
        <f>HYPERLINK("imagenes/LAUNDRY_BY_DESIGN_121009841_BLK_2.jpg","Ver imagen")</f>
        <v/>
      </c>
      <c r="Q761">
        <f>HYPERLINK("imagenes/LAUNDRY_BY_DESIGN_121009841_BLK_3.jpg","Ver imagen")</f>
        <v/>
      </c>
    </row>
    <row r="762">
      <c r="A762" t="inlineStr">
        <is>
          <t>LAUNDRY BY DESIGN</t>
        </is>
      </c>
      <c r="B762" t="inlineStr">
        <is>
          <t>121009841</t>
        </is>
      </c>
      <c r="C762" t="inlineStr">
        <is>
          <t>26 SNOWCHIC QUILT WITH CORDUROY</t>
        </is>
      </c>
      <c r="D762" t="inlineStr">
        <is>
          <t>BLK</t>
        </is>
      </c>
      <c r="E762" t="inlineStr">
        <is>
          <t>(en blanco)</t>
        </is>
      </c>
      <c r="F762" t="inlineStr">
        <is>
          <t>(en blanco)</t>
        </is>
      </c>
      <c r="G762" t="inlineStr">
        <is>
          <t>M</t>
        </is>
      </c>
      <c r="H762" t="n">
        <v>37</v>
      </c>
      <c r="I762" t="inlineStr">
        <is>
          <t>LAUNDRY_BY_DESIGN_121009841_BLK_1.jpg</t>
        </is>
      </c>
      <c r="J762" t="inlineStr">
        <is>
          <t>LAUNDRY_BY_DESIGN_121009841_BLK_2.jpg</t>
        </is>
      </c>
      <c r="K762" t="inlineStr">
        <is>
          <t>LAUNDRY_BY_DESIGN_121009841_BLK_3.jpg</t>
        </is>
      </c>
      <c r="L762">
        <f>IMAGE("file:///E:/Estudios%20y%20certificaciones/ESTUDIOS%20DE%20PROGRAMMING/PROGRAMMING/PERSONAL/PYTHON/Image_Generator_API/imagenes/LAUNDRY_BY_DESIGN_121009841_BLK_1.jpg")</f>
        <v/>
      </c>
      <c r="M762">
        <f>IMAGE("file:///E:/Estudios%20y%20certificaciones/ESTUDIOS%20DE%20PROGRAMMING/PROGRAMMING/PERSONAL/PYTHON/Image_Generator_API/imagenes/LAUNDRY_BY_DESIGN_121009841_BLK_2.jpg")</f>
        <v/>
      </c>
      <c r="N762">
        <f>IMAGE("file:///E:/Estudios%20y%20certificaciones/ESTUDIOS%20DE%20PROGRAMMING/PROGRAMMING/PERSONAL/PYTHON/Image_Generator_API/imagenes/LAUNDRY_BY_DESIGN_121009841_BLK_3.jpg")</f>
        <v/>
      </c>
      <c r="O762">
        <f>HYPERLINK("imagenes/LAUNDRY_BY_DESIGN_121009841_BLK_1.jpg","Ver imagen")</f>
        <v/>
      </c>
      <c r="P762">
        <f>HYPERLINK("imagenes/LAUNDRY_BY_DESIGN_121009841_BLK_2.jpg","Ver imagen")</f>
        <v/>
      </c>
      <c r="Q762">
        <f>HYPERLINK("imagenes/LAUNDRY_BY_DESIGN_121009841_BLK_3.jpg","Ver imagen")</f>
        <v/>
      </c>
    </row>
    <row r="763">
      <c r="A763" t="inlineStr">
        <is>
          <t>LAUNDRY BY DESIGN</t>
        </is>
      </c>
      <c r="B763" t="inlineStr">
        <is>
          <t>121009841</t>
        </is>
      </c>
      <c r="C763" t="inlineStr">
        <is>
          <t>26 SNOWCHIC QUILT WITH CORDUROY</t>
        </is>
      </c>
      <c r="D763" t="inlineStr">
        <is>
          <t>BLK</t>
        </is>
      </c>
      <c r="E763" t="inlineStr">
        <is>
          <t>(en blanco)</t>
        </is>
      </c>
      <c r="F763" t="inlineStr">
        <is>
          <t>(en blanco)</t>
        </is>
      </c>
      <c r="G763" t="inlineStr">
        <is>
          <t>L</t>
        </is>
      </c>
      <c r="H763" t="n">
        <v>38</v>
      </c>
      <c r="I763" t="inlineStr">
        <is>
          <t>LAUNDRY_BY_DESIGN_121009841_BLK_1.jpg</t>
        </is>
      </c>
      <c r="J763" t="inlineStr">
        <is>
          <t>LAUNDRY_BY_DESIGN_121009841_BLK_2.jpg</t>
        </is>
      </c>
      <c r="K763" t="inlineStr">
        <is>
          <t>LAUNDRY_BY_DESIGN_121009841_BLK_3.jpg</t>
        </is>
      </c>
      <c r="L763">
        <f>IMAGE("file:///E:/Estudios%20y%20certificaciones/ESTUDIOS%20DE%20PROGRAMMING/PROGRAMMING/PERSONAL/PYTHON/Image_Generator_API/imagenes/LAUNDRY_BY_DESIGN_121009841_BLK_1.jpg")</f>
        <v/>
      </c>
      <c r="M763">
        <f>IMAGE("file:///E:/Estudios%20y%20certificaciones/ESTUDIOS%20DE%20PROGRAMMING/PROGRAMMING/PERSONAL/PYTHON/Image_Generator_API/imagenes/LAUNDRY_BY_DESIGN_121009841_BLK_2.jpg")</f>
        <v/>
      </c>
      <c r="N763">
        <f>IMAGE("file:///E:/Estudios%20y%20certificaciones/ESTUDIOS%20DE%20PROGRAMMING/PROGRAMMING/PERSONAL/PYTHON/Image_Generator_API/imagenes/LAUNDRY_BY_DESIGN_121009841_BLK_3.jpg")</f>
        <v/>
      </c>
      <c r="O763">
        <f>HYPERLINK("imagenes/LAUNDRY_BY_DESIGN_121009841_BLK_1.jpg","Ver imagen")</f>
        <v/>
      </c>
      <c r="P763">
        <f>HYPERLINK("imagenes/LAUNDRY_BY_DESIGN_121009841_BLK_2.jpg","Ver imagen")</f>
        <v/>
      </c>
      <c r="Q763">
        <f>HYPERLINK("imagenes/LAUNDRY_BY_DESIGN_121009841_BLK_3.jpg","Ver imagen")</f>
        <v/>
      </c>
    </row>
    <row r="764">
      <c r="A764" t="inlineStr">
        <is>
          <t>LAUNDRY BY DESIGN</t>
        </is>
      </c>
      <c r="B764" t="inlineStr">
        <is>
          <t>121009841</t>
        </is>
      </c>
      <c r="C764" t="inlineStr">
        <is>
          <t>26 SNOWCHIC QUILT WITH CORDUROY</t>
        </is>
      </c>
      <c r="D764" t="inlineStr">
        <is>
          <t>BLK</t>
        </is>
      </c>
      <c r="E764" t="inlineStr">
        <is>
          <t>(en blanco)</t>
        </is>
      </c>
      <c r="F764" t="inlineStr">
        <is>
          <t>(en blanco)</t>
        </is>
      </c>
      <c r="G764" t="inlineStr">
        <is>
          <t>XL</t>
        </is>
      </c>
      <c r="H764" t="n">
        <v>43</v>
      </c>
      <c r="I764" t="inlineStr">
        <is>
          <t>LAUNDRY_BY_DESIGN_121009841_BLK_1.jpg</t>
        </is>
      </c>
      <c r="J764" t="inlineStr">
        <is>
          <t>LAUNDRY_BY_DESIGN_121009841_BLK_2.jpg</t>
        </is>
      </c>
      <c r="K764" t="inlineStr">
        <is>
          <t>LAUNDRY_BY_DESIGN_121009841_BLK_3.jpg</t>
        </is>
      </c>
      <c r="L764">
        <f>IMAGE("file:///E:/Estudios%20y%20certificaciones/ESTUDIOS%20DE%20PROGRAMMING/PROGRAMMING/PERSONAL/PYTHON/Image_Generator_API/imagenes/LAUNDRY_BY_DESIGN_121009841_BLK_1.jpg")</f>
        <v/>
      </c>
      <c r="M764">
        <f>IMAGE("file:///E:/Estudios%20y%20certificaciones/ESTUDIOS%20DE%20PROGRAMMING/PROGRAMMING/PERSONAL/PYTHON/Image_Generator_API/imagenes/LAUNDRY_BY_DESIGN_121009841_BLK_2.jpg")</f>
        <v/>
      </c>
      <c r="N764">
        <f>IMAGE("file:///E:/Estudios%20y%20certificaciones/ESTUDIOS%20DE%20PROGRAMMING/PROGRAMMING/PERSONAL/PYTHON/Image_Generator_API/imagenes/LAUNDRY_BY_DESIGN_121009841_BLK_3.jpg")</f>
        <v/>
      </c>
      <c r="O764">
        <f>HYPERLINK("imagenes/LAUNDRY_BY_DESIGN_121009841_BLK_1.jpg","Ver imagen")</f>
        <v/>
      </c>
      <c r="P764">
        <f>HYPERLINK("imagenes/LAUNDRY_BY_DESIGN_121009841_BLK_2.jpg","Ver imagen")</f>
        <v/>
      </c>
      <c r="Q764">
        <f>HYPERLINK("imagenes/LAUNDRY_BY_DESIGN_121009841_BLK_3.jpg","Ver imagen")</f>
        <v/>
      </c>
    </row>
    <row r="765">
      <c r="A765" t="inlineStr">
        <is>
          <t>LAUNDRY BY DESIGN</t>
        </is>
      </c>
      <c r="B765" t="inlineStr">
        <is>
          <t>121009841</t>
        </is>
      </c>
      <c r="C765" t="inlineStr">
        <is>
          <t>26 SNOWCHIC QUILT WITH CORDUROY</t>
        </is>
      </c>
      <c r="D765" t="inlineStr">
        <is>
          <t>BLK</t>
        </is>
      </c>
      <c r="E765" t="inlineStr">
        <is>
          <t>(en blanco)</t>
        </is>
      </c>
      <c r="F765" t="inlineStr">
        <is>
          <t>(en blanco)</t>
        </is>
      </c>
      <c r="G765" t="inlineStr">
        <is>
          <t>XXL</t>
        </is>
      </c>
      <c r="H765" t="n">
        <v>22</v>
      </c>
      <c r="I765" t="inlineStr">
        <is>
          <t>LAUNDRY_BY_DESIGN_121009841_BLK_1.jpg</t>
        </is>
      </c>
      <c r="J765" t="inlineStr">
        <is>
          <t>LAUNDRY_BY_DESIGN_121009841_BLK_2.jpg</t>
        </is>
      </c>
      <c r="K765" t="inlineStr">
        <is>
          <t>LAUNDRY_BY_DESIGN_121009841_BLK_3.jpg</t>
        </is>
      </c>
      <c r="L765">
        <f>IMAGE("file:///E:/Estudios%20y%20certificaciones/ESTUDIOS%20DE%20PROGRAMMING/PROGRAMMING/PERSONAL/PYTHON/Image_Generator_API/imagenes/LAUNDRY_BY_DESIGN_121009841_BLK_1.jpg")</f>
        <v/>
      </c>
      <c r="M765">
        <f>IMAGE("file:///E:/Estudios%20y%20certificaciones/ESTUDIOS%20DE%20PROGRAMMING/PROGRAMMING/PERSONAL/PYTHON/Image_Generator_API/imagenes/LAUNDRY_BY_DESIGN_121009841_BLK_2.jpg")</f>
        <v/>
      </c>
      <c r="N765">
        <f>IMAGE("file:///E:/Estudios%20y%20certificaciones/ESTUDIOS%20DE%20PROGRAMMING/PROGRAMMING/PERSONAL/PYTHON/Image_Generator_API/imagenes/LAUNDRY_BY_DESIGN_121009841_BLK_3.jpg")</f>
        <v/>
      </c>
      <c r="O765">
        <f>HYPERLINK("imagenes/LAUNDRY_BY_DESIGN_121009841_BLK_1.jpg","Ver imagen")</f>
        <v/>
      </c>
      <c r="P765">
        <f>HYPERLINK("imagenes/LAUNDRY_BY_DESIGN_121009841_BLK_2.jpg","Ver imagen")</f>
        <v/>
      </c>
      <c r="Q765">
        <f>HYPERLINK("imagenes/LAUNDRY_BY_DESIGN_121009841_BLK_3.jpg","Ver imagen")</f>
        <v/>
      </c>
    </row>
    <row r="766">
      <c r="A766" t="inlineStr">
        <is>
          <t>LAUNDRY BY DESIGN</t>
        </is>
      </c>
      <c r="B766" t="inlineStr">
        <is>
          <t>121009841</t>
        </is>
      </c>
      <c r="C766" t="inlineStr">
        <is>
          <t>26 SNOWCHIC QUILT WITH CORDUROY</t>
        </is>
      </c>
      <c r="D766" t="inlineStr">
        <is>
          <t>CHO</t>
        </is>
      </c>
      <c r="E766" t="inlineStr">
        <is>
          <t>(en blanco)</t>
        </is>
      </c>
      <c r="F766" t="inlineStr">
        <is>
          <t>(en blanco)</t>
        </is>
      </c>
      <c r="G766" t="inlineStr">
        <is>
          <t>S</t>
        </is>
      </c>
      <c r="H766" t="n">
        <v>5</v>
      </c>
      <c r="I766" t="inlineStr">
        <is>
          <t>LAUNDRY_BY_DESIGN_121009841_CHO_1.jpg</t>
        </is>
      </c>
      <c r="J766" t="inlineStr">
        <is>
          <t>LAUNDRY_BY_DESIGN_121009841_CHO_2.jpg</t>
        </is>
      </c>
      <c r="K766" t="inlineStr">
        <is>
          <t>LAUNDRY_BY_DESIGN_121009841_CHO_3.jpg</t>
        </is>
      </c>
      <c r="L766">
        <f>IMAGE("file:///E:/Estudios%20y%20certificaciones/ESTUDIOS%20DE%20PROGRAMMING/PROGRAMMING/PERSONAL/PYTHON/Image_Generator_API/imagenes/LAUNDRY_BY_DESIGN_121009841_CHO_1.jpg")</f>
        <v/>
      </c>
      <c r="M766">
        <f>IMAGE("file:///E:/Estudios%20y%20certificaciones/ESTUDIOS%20DE%20PROGRAMMING/PROGRAMMING/PERSONAL/PYTHON/Image_Generator_API/imagenes/LAUNDRY_BY_DESIGN_121009841_CHO_2.jpg")</f>
        <v/>
      </c>
      <c r="N766">
        <f>IMAGE("file:///E:/Estudios%20y%20certificaciones/ESTUDIOS%20DE%20PROGRAMMING/PROGRAMMING/PERSONAL/PYTHON/Image_Generator_API/imagenes/LAUNDRY_BY_DESIGN_121009841_CHO_3.jpg")</f>
        <v/>
      </c>
      <c r="O766">
        <f>HYPERLINK("imagenes/LAUNDRY_BY_DESIGN_121009841_CHO_1.jpg","Ver imagen")</f>
        <v/>
      </c>
      <c r="P766">
        <f>HYPERLINK("imagenes/LAUNDRY_BY_DESIGN_121009841_CHO_2.jpg","Ver imagen")</f>
        <v/>
      </c>
      <c r="Q766">
        <f>HYPERLINK("imagenes/LAUNDRY_BY_DESIGN_121009841_CHO_3.jpg","Ver imagen")</f>
        <v/>
      </c>
    </row>
    <row r="767">
      <c r="A767" t="inlineStr">
        <is>
          <t>LAUNDRY BY DESIGN</t>
        </is>
      </c>
      <c r="B767" t="inlineStr">
        <is>
          <t>121009841</t>
        </is>
      </c>
      <c r="C767" t="inlineStr">
        <is>
          <t>26 SNOWCHIC QUILT WITH CORDUROY</t>
        </is>
      </c>
      <c r="D767" t="inlineStr">
        <is>
          <t>CHO</t>
        </is>
      </c>
      <c r="E767" t="inlineStr">
        <is>
          <t>(en blanco)</t>
        </is>
      </c>
      <c r="F767" t="inlineStr">
        <is>
          <t>(en blanco)</t>
        </is>
      </c>
      <c r="G767" t="inlineStr">
        <is>
          <t>M</t>
        </is>
      </c>
      <c r="H767" t="n">
        <v>13</v>
      </c>
      <c r="I767" t="inlineStr">
        <is>
          <t>LAUNDRY_BY_DESIGN_121009841_CHO_1.jpg</t>
        </is>
      </c>
      <c r="J767" t="inlineStr">
        <is>
          <t>LAUNDRY_BY_DESIGN_121009841_CHO_2.jpg</t>
        </is>
      </c>
      <c r="K767" t="inlineStr">
        <is>
          <t>LAUNDRY_BY_DESIGN_121009841_CHO_3.jpg</t>
        </is>
      </c>
      <c r="L767">
        <f>IMAGE("file:///E:/Estudios%20y%20certificaciones/ESTUDIOS%20DE%20PROGRAMMING/PROGRAMMING/PERSONAL/PYTHON/Image_Generator_API/imagenes/LAUNDRY_BY_DESIGN_121009841_CHO_1.jpg")</f>
        <v/>
      </c>
      <c r="M767">
        <f>IMAGE("file:///E:/Estudios%20y%20certificaciones/ESTUDIOS%20DE%20PROGRAMMING/PROGRAMMING/PERSONAL/PYTHON/Image_Generator_API/imagenes/LAUNDRY_BY_DESIGN_121009841_CHO_2.jpg")</f>
        <v/>
      </c>
      <c r="N767">
        <f>IMAGE("file:///E:/Estudios%20y%20certificaciones/ESTUDIOS%20DE%20PROGRAMMING/PROGRAMMING/PERSONAL/PYTHON/Image_Generator_API/imagenes/LAUNDRY_BY_DESIGN_121009841_CHO_3.jpg")</f>
        <v/>
      </c>
      <c r="O767">
        <f>HYPERLINK("imagenes/LAUNDRY_BY_DESIGN_121009841_CHO_1.jpg","Ver imagen")</f>
        <v/>
      </c>
      <c r="P767">
        <f>HYPERLINK("imagenes/LAUNDRY_BY_DESIGN_121009841_CHO_2.jpg","Ver imagen")</f>
        <v/>
      </c>
      <c r="Q767">
        <f>HYPERLINK("imagenes/LAUNDRY_BY_DESIGN_121009841_CHO_3.jpg","Ver imagen")</f>
        <v/>
      </c>
    </row>
    <row r="768">
      <c r="A768" t="inlineStr">
        <is>
          <t>LAUNDRY BY DESIGN</t>
        </is>
      </c>
      <c r="B768" t="inlineStr">
        <is>
          <t>121009841</t>
        </is>
      </c>
      <c r="C768" t="inlineStr">
        <is>
          <t>26 SNOWCHIC QUILT WITH CORDUROY</t>
        </is>
      </c>
      <c r="D768" t="inlineStr">
        <is>
          <t>CHO</t>
        </is>
      </c>
      <c r="E768" t="inlineStr">
        <is>
          <t>(en blanco)</t>
        </is>
      </c>
      <c r="F768" t="inlineStr">
        <is>
          <t>(en blanco)</t>
        </is>
      </c>
      <c r="G768" t="inlineStr">
        <is>
          <t>L</t>
        </is>
      </c>
      <c r="H768" t="n">
        <v>13</v>
      </c>
      <c r="I768" t="inlineStr">
        <is>
          <t>LAUNDRY_BY_DESIGN_121009841_CHO_1.jpg</t>
        </is>
      </c>
      <c r="J768" t="inlineStr">
        <is>
          <t>LAUNDRY_BY_DESIGN_121009841_CHO_2.jpg</t>
        </is>
      </c>
      <c r="K768" t="inlineStr">
        <is>
          <t>LAUNDRY_BY_DESIGN_121009841_CHO_3.jpg</t>
        </is>
      </c>
      <c r="L768">
        <f>IMAGE("file:///E:/Estudios%20y%20certificaciones/ESTUDIOS%20DE%20PROGRAMMING/PROGRAMMING/PERSONAL/PYTHON/Image_Generator_API/imagenes/LAUNDRY_BY_DESIGN_121009841_CHO_1.jpg")</f>
        <v/>
      </c>
      <c r="M768">
        <f>IMAGE("file:///E:/Estudios%20y%20certificaciones/ESTUDIOS%20DE%20PROGRAMMING/PROGRAMMING/PERSONAL/PYTHON/Image_Generator_API/imagenes/LAUNDRY_BY_DESIGN_121009841_CHO_2.jpg")</f>
        <v/>
      </c>
      <c r="N768">
        <f>IMAGE("file:///E:/Estudios%20y%20certificaciones/ESTUDIOS%20DE%20PROGRAMMING/PROGRAMMING/PERSONAL/PYTHON/Image_Generator_API/imagenes/LAUNDRY_BY_DESIGN_121009841_CHO_3.jpg")</f>
        <v/>
      </c>
      <c r="O768">
        <f>HYPERLINK("imagenes/LAUNDRY_BY_DESIGN_121009841_CHO_1.jpg","Ver imagen")</f>
        <v/>
      </c>
      <c r="P768">
        <f>HYPERLINK("imagenes/LAUNDRY_BY_DESIGN_121009841_CHO_2.jpg","Ver imagen")</f>
        <v/>
      </c>
      <c r="Q768">
        <f>HYPERLINK("imagenes/LAUNDRY_BY_DESIGN_121009841_CHO_3.jpg","Ver imagen")</f>
        <v/>
      </c>
    </row>
    <row r="769">
      <c r="A769" t="inlineStr">
        <is>
          <t>LAUNDRY BY DESIGN</t>
        </is>
      </c>
      <c r="B769" t="inlineStr">
        <is>
          <t>121009841</t>
        </is>
      </c>
      <c r="C769" t="inlineStr">
        <is>
          <t>26 SNOWCHIC QUILT WITH CORDUROY</t>
        </is>
      </c>
      <c r="D769" t="inlineStr">
        <is>
          <t>CHO</t>
        </is>
      </c>
      <c r="E769" t="inlineStr">
        <is>
          <t>(en blanco)</t>
        </is>
      </c>
      <c r="F769" t="inlineStr">
        <is>
          <t>(en blanco)</t>
        </is>
      </c>
      <c r="G769" t="inlineStr">
        <is>
          <t>XL</t>
        </is>
      </c>
      <c r="H769" t="n">
        <v>18</v>
      </c>
      <c r="I769" t="inlineStr">
        <is>
          <t>LAUNDRY_BY_DESIGN_121009841_CHO_1.jpg</t>
        </is>
      </c>
      <c r="J769" t="inlineStr">
        <is>
          <t>LAUNDRY_BY_DESIGN_121009841_CHO_2.jpg</t>
        </is>
      </c>
      <c r="K769" t="inlineStr">
        <is>
          <t>LAUNDRY_BY_DESIGN_121009841_CHO_3.jpg</t>
        </is>
      </c>
      <c r="L769">
        <f>IMAGE("file:///E:/Estudios%20y%20certificaciones/ESTUDIOS%20DE%20PROGRAMMING/PROGRAMMING/PERSONAL/PYTHON/Image_Generator_API/imagenes/LAUNDRY_BY_DESIGN_121009841_CHO_1.jpg")</f>
        <v/>
      </c>
      <c r="M769">
        <f>IMAGE("file:///E:/Estudios%20y%20certificaciones/ESTUDIOS%20DE%20PROGRAMMING/PROGRAMMING/PERSONAL/PYTHON/Image_Generator_API/imagenes/LAUNDRY_BY_DESIGN_121009841_CHO_2.jpg")</f>
        <v/>
      </c>
      <c r="N769">
        <f>IMAGE("file:///E:/Estudios%20y%20certificaciones/ESTUDIOS%20DE%20PROGRAMMING/PROGRAMMING/PERSONAL/PYTHON/Image_Generator_API/imagenes/LAUNDRY_BY_DESIGN_121009841_CHO_3.jpg")</f>
        <v/>
      </c>
      <c r="O769">
        <f>HYPERLINK("imagenes/LAUNDRY_BY_DESIGN_121009841_CHO_1.jpg","Ver imagen")</f>
        <v/>
      </c>
      <c r="P769">
        <f>HYPERLINK("imagenes/LAUNDRY_BY_DESIGN_121009841_CHO_2.jpg","Ver imagen")</f>
        <v/>
      </c>
      <c r="Q769">
        <f>HYPERLINK("imagenes/LAUNDRY_BY_DESIGN_121009841_CHO_3.jpg","Ver imagen")</f>
        <v/>
      </c>
    </row>
    <row r="770">
      <c r="A770" t="inlineStr">
        <is>
          <t>LAUNDRY BY DESIGN</t>
        </is>
      </c>
      <c r="B770" t="inlineStr">
        <is>
          <t>121009841</t>
        </is>
      </c>
      <c r="C770" t="inlineStr">
        <is>
          <t>26 SNOWCHIC QUILT WITH CORDUROY</t>
        </is>
      </c>
      <c r="D770" t="inlineStr">
        <is>
          <t>CHO</t>
        </is>
      </c>
      <c r="E770" t="inlineStr">
        <is>
          <t>(en blanco)</t>
        </is>
      </c>
      <c r="F770" t="inlineStr">
        <is>
          <t>(en blanco)</t>
        </is>
      </c>
      <c r="G770" t="inlineStr">
        <is>
          <t>XXL</t>
        </is>
      </c>
      <c r="H770" t="n">
        <v>11</v>
      </c>
      <c r="I770" t="inlineStr">
        <is>
          <t>LAUNDRY_BY_DESIGN_121009841_CHO_1.jpg</t>
        </is>
      </c>
      <c r="J770" t="inlineStr">
        <is>
          <t>LAUNDRY_BY_DESIGN_121009841_CHO_2.jpg</t>
        </is>
      </c>
      <c r="K770" t="inlineStr">
        <is>
          <t>LAUNDRY_BY_DESIGN_121009841_CHO_3.jpg</t>
        </is>
      </c>
      <c r="L770">
        <f>IMAGE("file:///E:/Estudios%20y%20certificaciones/ESTUDIOS%20DE%20PROGRAMMING/PROGRAMMING/PERSONAL/PYTHON/Image_Generator_API/imagenes/LAUNDRY_BY_DESIGN_121009841_CHO_1.jpg")</f>
        <v/>
      </c>
      <c r="M770">
        <f>IMAGE("file:///E:/Estudios%20y%20certificaciones/ESTUDIOS%20DE%20PROGRAMMING/PROGRAMMING/PERSONAL/PYTHON/Image_Generator_API/imagenes/LAUNDRY_BY_DESIGN_121009841_CHO_2.jpg")</f>
        <v/>
      </c>
      <c r="N770">
        <f>IMAGE("file:///E:/Estudios%20y%20certificaciones/ESTUDIOS%20DE%20PROGRAMMING/PROGRAMMING/PERSONAL/PYTHON/Image_Generator_API/imagenes/LAUNDRY_BY_DESIGN_121009841_CHO_3.jpg")</f>
        <v/>
      </c>
      <c r="O770">
        <f>HYPERLINK("imagenes/LAUNDRY_BY_DESIGN_121009841_CHO_1.jpg","Ver imagen")</f>
        <v/>
      </c>
      <c r="P770">
        <f>HYPERLINK("imagenes/LAUNDRY_BY_DESIGN_121009841_CHO_2.jpg","Ver imagen")</f>
        <v/>
      </c>
      <c r="Q770">
        <f>HYPERLINK("imagenes/LAUNDRY_BY_DESIGN_121009841_CHO_3.jpg","Ver imagen")</f>
        <v/>
      </c>
    </row>
    <row r="771">
      <c r="A771" t="inlineStr">
        <is>
          <t>LAUNDRY BY DESIGN</t>
        </is>
      </c>
      <c r="B771" t="inlineStr">
        <is>
          <t>121009843</t>
        </is>
      </c>
      <c r="C771" t="inlineStr">
        <is>
          <t>26 SNOWCHIC QUILT WITH SUEDE</t>
        </is>
      </c>
      <c r="D771" t="inlineStr">
        <is>
          <t>BLK</t>
        </is>
      </c>
      <c r="E771" t="inlineStr">
        <is>
          <t>06A01</t>
        </is>
      </c>
      <c r="F771" t="inlineStr">
        <is>
          <t>(en blanco)</t>
        </is>
      </c>
      <c r="G771" t="inlineStr">
        <is>
          <t>PPK</t>
        </is>
      </c>
      <c r="H771" t="n">
        <v>5796</v>
      </c>
      <c r="I771" t="inlineStr">
        <is>
          <t>LAUNDRY_BY_DESIGN_121009843_BLK_1.jpg</t>
        </is>
      </c>
      <c r="J771" t="inlineStr">
        <is>
          <t>LAUNDRY_BY_DESIGN_121009843_BLK_2.jpg</t>
        </is>
      </c>
      <c r="K771" t="inlineStr">
        <is>
          <t>LAUNDRY_BY_DESIGN_121009843_BLK_3.jpg</t>
        </is>
      </c>
      <c r="L771">
        <f>IMAGE("file:///E:/Estudios%20y%20certificaciones/ESTUDIOS%20DE%20PROGRAMMING/PROGRAMMING/PERSONAL/PYTHON/Image_Generator_API/imagenes/LAUNDRY_BY_DESIGN_121009843_BLK_1.jpg")</f>
        <v/>
      </c>
      <c r="M771">
        <f>IMAGE("file:///E:/Estudios%20y%20certificaciones/ESTUDIOS%20DE%20PROGRAMMING/PROGRAMMING/PERSONAL/PYTHON/Image_Generator_API/imagenes/LAUNDRY_BY_DESIGN_121009843_BLK_2.jpg")</f>
        <v/>
      </c>
      <c r="N771">
        <f>IMAGE("file:///E:/Estudios%20y%20certificaciones/ESTUDIOS%20DE%20PROGRAMMING/PROGRAMMING/PERSONAL/PYTHON/Image_Generator_API/imagenes/LAUNDRY_BY_DESIGN_121009843_BLK_3.jpg")</f>
        <v/>
      </c>
      <c r="O771">
        <f>HYPERLINK("imagenes/LAUNDRY_BY_DESIGN_121009843_BLK_1.jpg","Ver imagen")</f>
        <v/>
      </c>
      <c r="P771">
        <f>HYPERLINK("imagenes/LAUNDRY_BY_DESIGN_121009843_BLK_2.jpg","Ver imagen")</f>
        <v/>
      </c>
      <c r="Q771">
        <f>HYPERLINK("imagenes/LAUNDRY_BY_DESIGN_121009843_BLK_3.jpg","Ver imagen")</f>
        <v/>
      </c>
    </row>
    <row r="772">
      <c r="A772" t="inlineStr">
        <is>
          <t>LAUNDRY BY DESIGN</t>
        </is>
      </c>
      <c r="B772" t="inlineStr">
        <is>
          <t>121009843</t>
        </is>
      </c>
      <c r="C772" t="inlineStr">
        <is>
          <t>26 SNOWCHIC QUILT WITH SUEDE</t>
        </is>
      </c>
      <c r="D772" t="inlineStr">
        <is>
          <t>BLK</t>
        </is>
      </c>
      <c r="E772" t="inlineStr">
        <is>
          <t>(en blanco)</t>
        </is>
      </c>
      <c r="F772" t="inlineStr">
        <is>
          <t>(en blanco)</t>
        </is>
      </c>
      <c r="G772" t="inlineStr">
        <is>
          <t>S</t>
        </is>
      </c>
      <c r="H772" t="n">
        <v>25</v>
      </c>
      <c r="I772" t="inlineStr">
        <is>
          <t>LAUNDRY_BY_DESIGN_121009843_BLK_1.jpg</t>
        </is>
      </c>
      <c r="J772" t="inlineStr">
        <is>
          <t>LAUNDRY_BY_DESIGN_121009843_BLK_2.jpg</t>
        </is>
      </c>
      <c r="K772" t="inlineStr">
        <is>
          <t>LAUNDRY_BY_DESIGN_121009843_BLK_3.jpg</t>
        </is>
      </c>
      <c r="L772">
        <f>IMAGE("file:///E:/Estudios%20y%20certificaciones/ESTUDIOS%20DE%20PROGRAMMING/PROGRAMMING/PERSONAL/PYTHON/Image_Generator_API/imagenes/LAUNDRY_BY_DESIGN_121009843_BLK_1.jpg")</f>
        <v/>
      </c>
      <c r="M772">
        <f>IMAGE("file:///E:/Estudios%20y%20certificaciones/ESTUDIOS%20DE%20PROGRAMMING/PROGRAMMING/PERSONAL/PYTHON/Image_Generator_API/imagenes/LAUNDRY_BY_DESIGN_121009843_BLK_2.jpg")</f>
        <v/>
      </c>
      <c r="N772">
        <f>IMAGE("file:///E:/Estudios%20y%20certificaciones/ESTUDIOS%20DE%20PROGRAMMING/PROGRAMMING/PERSONAL/PYTHON/Image_Generator_API/imagenes/LAUNDRY_BY_DESIGN_121009843_BLK_3.jpg")</f>
        <v/>
      </c>
      <c r="O772">
        <f>HYPERLINK("imagenes/LAUNDRY_BY_DESIGN_121009843_BLK_1.jpg","Ver imagen")</f>
        <v/>
      </c>
      <c r="P772">
        <f>HYPERLINK("imagenes/LAUNDRY_BY_DESIGN_121009843_BLK_2.jpg","Ver imagen")</f>
        <v/>
      </c>
      <c r="Q772">
        <f>HYPERLINK("imagenes/LAUNDRY_BY_DESIGN_121009843_BLK_3.jpg","Ver imagen")</f>
        <v/>
      </c>
    </row>
    <row r="773">
      <c r="A773" t="inlineStr">
        <is>
          <t>LAUNDRY BY DESIGN</t>
        </is>
      </c>
      <c r="B773" t="inlineStr">
        <is>
          <t>121009843</t>
        </is>
      </c>
      <c r="C773" t="inlineStr">
        <is>
          <t>26 SNOWCHIC QUILT WITH SUEDE</t>
        </is>
      </c>
      <c r="D773" t="inlineStr">
        <is>
          <t>BLK</t>
        </is>
      </c>
      <c r="E773" t="inlineStr">
        <is>
          <t>(en blanco)</t>
        </is>
      </c>
      <c r="F773" t="inlineStr">
        <is>
          <t>(en blanco)</t>
        </is>
      </c>
      <c r="G773" t="inlineStr">
        <is>
          <t>M</t>
        </is>
      </c>
      <c r="H773" t="n">
        <v>50</v>
      </c>
      <c r="I773" t="inlineStr">
        <is>
          <t>LAUNDRY_BY_DESIGN_121009843_BLK_1.jpg</t>
        </is>
      </c>
      <c r="J773" t="inlineStr">
        <is>
          <t>LAUNDRY_BY_DESIGN_121009843_BLK_2.jpg</t>
        </is>
      </c>
      <c r="K773" t="inlineStr">
        <is>
          <t>LAUNDRY_BY_DESIGN_121009843_BLK_3.jpg</t>
        </is>
      </c>
      <c r="L773">
        <f>IMAGE("file:///E:/Estudios%20y%20certificaciones/ESTUDIOS%20DE%20PROGRAMMING/PROGRAMMING/PERSONAL/PYTHON/Image_Generator_API/imagenes/LAUNDRY_BY_DESIGN_121009843_BLK_1.jpg")</f>
        <v/>
      </c>
      <c r="M773">
        <f>IMAGE("file:///E:/Estudios%20y%20certificaciones/ESTUDIOS%20DE%20PROGRAMMING/PROGRAMMING/PERSONAL/PYTHON/Image_Generator_API/imagenes/LAUNDRY_BY_DESIGN_121009843_BLK_2.jpg")</f>
        <v/>
      </c>
      <c r="N773">
        <f>IMAGE("file:///E:/Estudios%20y%20certificaciones/ESTUDIOS%20DE%20PROGRAMMING/PROGRAMMING/PERSONAL/PYTHON/Image_Generator_API/imagenes/LAUNDRY_BY_DESIGN_121009843_BLK_3.jpg")</f>
        <v/>
      </c>
      <c r="O773">
        <f>HYPERLINK("imagenes/LAUNDRY_BY_DESIGN_121009843_BLK_1.jpg","Ver imagen")</f>
        <v/>
      </c>
      <c r="P773">
        <f>HYPERLINK("imagenes/LAUNDRY_BY_DESIGN_121009843_BLK_2.jpg","Ver imagen")</f>
        <v/>
      </c>
      <c r="Q773">
        <f>HYPERLINK("imagenes/LAUNDRY_BY_DESIGN_121009843_BLK_3.jpg","Ver imagen")</f>
        <v/>
      </c>
    </row>
    <row r="774">
      <c r="A774" t="inlineStr">
        <is>
          <t>LAUNDRY BY DESIGN</t>
        </is>
      </c>
      <c r="B774" t="inlineStr">
        <is>
          <t>121009843</t>
        </is>
      </c>
      <c r="C774" t="inlineStr">
        <is>
          <t>26 SNOWCHIC QUILT WITH SUEDE</t>
        </is>
      </c>
      <c r="D774" t="inlineStr">
        <is>
          <t>BLK</t>
        </is>
      </c>
      <c r="E774" t="inlineStr">
        <is>
          <t>(en blanco)</t>
        </is>
      </c>
      <c r="F774" t="inlineStr">
        <is>
          <t>(en blanco)</t>
        </is>
      </c>
      <c r="G774" t="inlineStr">
        <is>
          <t>L</t>
        </is>
      </c>
      <c r="H774" t="n">
        <v>50</v>
      </c>
      <c r="I774" t="inlineStr">
        <is>
          <t>LAUNDRY_BY_DESIGN_121009843_BLK_1.jpg</t>
        </is>
      </c>
      <c r="J774" t="inlineStr">
        <is>
          <t>LAUNDRY_BY_DESIGN_121009843_BLK_2.jpg</t>
        </is>
      </c>
      <c r="K774" t="inlineStr">
        <is>
          <t>LAUNDRY_BY_DESIGN_121009843_BLK_3.jpg</t>
        </is>
      </c>
      <c r="L774">
        <f>IMAGE("file:///E:/Estudios%20y%20certificaciones/ESTUDIOS%20DE%20PROGRAMMING/PROGRAMMING/PERSONAL/PYTHON/Image_Generator_API/imagenes/LAUNDRY_BY_DESIGN_121009843_BLK_1.jpg")</f>
        <v/>
      </c>
      <c r="M774">
        <f>IMAGE("file:///E:/Estudios%20y%20certificaciones/ESTUDIOS%20DE%20PROGRAMMING/PROGRAMMING/PERSONAL/PYTHON/Image_Generator_API/imagenes/LAUNDRY_BY_DESIGN_121009843_BLK_2.jpg")</f>
        <v/>
      </c>
      <c r="N774">
        <f>IMAGE("file:///E:/Estudios%20y%20certificaciones/ESTUDIOS%20DE%20PROGRAMMING/PROGRAMMING/PERSONAL/PYTHON/Image_Generator_API/imagenes/LAUNDRY_BY_DESIGN_121009843_BLK_3.jpg")</f>
        <v/>
      </c>
      <c r="O774">
        <f>HYPERLINK("imagenes/LAUNDRY_BY_DESIGN_121009843_BLK_1.jpg","Ver imagen")</f>
        <v/>
      </c>
      <c r="P774">
        <f>HYPERLINK("imagenes/LAUNDRY_BY_DESIGN_121009843_BLK_2.jpg","Ver imagen")</f>
        <v/>
      </c>
      <c r="Q774">
        <f>HYPERLINK("imagenes/LAUNDRY_BY_DESIGN_121009843_BLK_3.jpg","Ver imagen")</f>
        <v/>
      </c>
    </row>
    <row r="775">
      <c r="A775" t="inlineStr">
        <is>
          <t>LAUNDRY BY DESIGN</t>
        </is>
      </c>
      <c r="B775" t="inlineStr">
        <is>
          <t>121009843</t>
        </is>
      </c>
      <c r="C775" t="inlineStr">
        <is>
          <t>26 SNOWCHIC QUILT WITH SUEDE</t>
        </is>
      </c>
      <c r="D775" t="inlineStr">
        <is>
          <t>BLK</t>
        </is>
      </c>
      <c r="E775" t="inlineStr">
        <is>
          <t>(en blanco)</t>
        </is>
      </c>
      <c r="F775" t="inlineStr">
        <is>
          <t>(en blanco)</t>
        </is>
      </c>
      <c r="G775" t="inlineStr">
        <is>
          <t>XL</t>
        </is>
      </c>
      <c r="H775" t="n">
        <v>50</v>
      </c>
      <c r="I775" t="inlineStr">
        <is>
          <t>LAUNDRY_BY_DESIGN_121009843_BLK_1.jpg</t>
        </is>
      </c>
      <c r="J775" t="inlineStr">
        <is>
          <t>LAUNDRY_BY_DESIGN_121009843_BLK_2.jpg</t>
        </is>
      </c>
      <c r="K775" t="inlineStr">
        <is>
          <t>LAUNDRY_BY_DESIGN_121009843_BLK_3.jpg</t>
        </is>
      </c>
      <c r="L775">
        <f>IMAGE("file:///E:/Estudios%20y%20certificaciones/ESTUDIOS%20DE%20PROGRAMMING/PROGRAMMING/PERSONAL/PYTHON/Image_Generator_API/imagenes/LAUNDRY_BY_DESIGN_121009843_BLK_1.jpg")</f>
        <v/>
      </c>
      <c r="M775">
        <f>IMAGE("file:///E:/Estudios%20y%20certificaciones/ESTUDIOS%20DE%20PROGRAMMING/PROGRAMMING/PERSONAL/PYTHON/Image_Generator_API/imagenes/LAUNDRY_BY_DESIGN_121009843_BLK_2.jpg")</f>
        <v/>
      </c>
      <c r="N775">
        <f>IMAGE("file:///E:/Estudios%20y%20certificaciones/ESTUDIOS%20DE%20PROGRAMMING/PROGRAMMING/PERSONAL/PYTHON/Image_Generator_API/imagenes/LAUNDRY_BY_DESIGN_121009843_BLK_3.jpg")</f>
        <v/>
      </c>
      <c r="O775">
        <f>HYPERLINK("imagenes/LAUNDRY_BY_DESIGN_121009843_BLK_1.jpg","Ver imagen")</f>
        <v/>
      </c>
      <c r="P775">
        <f>HYPERLINK("imagenes/LAUNDRY_BY_DESIGN_121009843_BLK_2.jpg","Ver imagen")</f>
        <v/>
      </c>
      <c r="Q775">
        <f>HYPERLINK("imagenes/LAUNDRY_BY_DESIGN_121009843_BLK_3.jpg","Ver imagen")</f>
        <v/>
      </c>
    </row>
    <row r="776">
      <c r="A776" t="inlineStr">
        <is>
          <t>LAUNDRY BY DESIGN</t>
        </is>
      </c>
      <c r="B776" t="inlineStr">
        <is>
          <t>121009843</t>
        </is>
      </c>
      <c r="C776" t="inlineStr">
        <is>
          <t>26 SNOWCHIC QUILT WITH SUEDE</t>
        </is>
      </c>
      <c r="D776" t="inlineStr">
        <is>
          <t>BLK</t>
        </is>
      </c>
      <c r="E776" t="inlineStr">
        <is>
          <t>(en blanco)</t>
        </is>
      </c>
      <c r="F776" t="inlineStr">
        <is>
          <t>(en blanco)</t>
        </is>
      </c>
      <c r="G776" t="inlineStr">
        <is>
          <t>XXL</t>
        </is>
      </c>
      <c r="H776" t="n">
        <v>25</v>
      </c>
      <c r="I776" t="inlineStr">
        <is>
          <t>LAUNDRY_BY_DESIGN_121009843_BLK_1.jpg</t>
        </is>
      </c>
      <c r="J776" t="inlineStr">
        <is>
          <t>LAUNDRY_BY_DESIGN_121009843_BLK_2.jpg</t>
        </is>
      </c>
      <c r="K776" t="inlineStr">
        <is>
          <t>LAUNDRY_BY_DESIGN_121009843_BLK_3.jpg</t>
        </is>
      </c>
      <c r="L776">
        <f>IMAGE("file:///E:/Estudios%20y%20certificaciones/ESTUDIOS%20DE%20PROGRAMMING/PROGRAMMING/PERSONAL/PYTHON/Image_Generator_API/imagenes/LAUNDRY_BY_DESIGN_121009843_BLK_1.jpg")</f>
        <v/>
      </c>
      <c r="M776">
        <f>IMAGE("file:///E:/Estudios%20y%20certificaciones/ESTUDIOS%20DE%20PROGRAMMING/PROGRAMMING/PERSONAL/PYTHON/Image_Generator_API/imagenes/LAUNDRY_BY_DESIGN_121009843_BLK_2.jpg")</f>
        <v/>
      </c>
      <c r="N776">
        <f>IMAGE("file:///E:/Estudios%20y%20certificaciones/ESTUDIOS%20DE%20PROGRAMMING/PROGRAMMING/PERSONAL/PYTHON/Image_Generator_API/imagenes/LAUNDRY_BY_DESIGN_121009843_BLK_3.jpg")</f>
        <v/>
      </c>
      <c r="O776">
        <f>HYPERLINK("imagenes/LAUNDRY_BY_DESIGN_121009843_BLK_1.jpg","Ver imagen")</f>
        <v/>
      </c>
      <c r="P776">
        <f>HYPERLINK("imagenes/LAUNDRY_BY_DESIGN_121009843_BLK_2.jpg","Ver imagen")</f>
        <v/>
      </c>
      <c r="Q776">
        <f>HYPERLINK("imagenes/LAUNDRY_BY_DESIGN_121009843_BLK_3.jpg","Ver imagen")</f>
        <v/>
      </c>
    </row>
    <row r="777">
      <c r="A777" t="inlineStr">
        <is>
          <t>LAUNDRY BY DESIGN</t>
        </is>
      </c>
      <c r="B777" t="inlineStr">
        <is>
          <t>121009843</t>
        </is>
      </c>
      <c r="C777" t="inlineStr">
        <is>
          <t>26 SNOWCHIC QUILT WITH SUEDE</t>
        </is>
      </c>
      <c r="D777" t="inlineStr">
        <is>
          <t>CHO</t>
        </is>
      </c>
      <c r="E777" t="inlineStr">
        <is>
          <t>06A01</t>
        </is>
      </c>
      <c r="F777" t="inlineStr">
        <is>
          <t>(en blanco)</t>
        </is>
      </c>
      <c r="G777" t="inlineStr">
        <is>
          <t>PPK</t>
        </is>
      </c>
      <c r="H777" t="n">
        <v>1920</v>
      </c>
      <c r="I777" t="inlineStr">
        <is>
          <t>LAUNDRY_BY_DESIGN_121009843_CHO_1.jpg</t>
        </is>
      </c>
      <c r="J777" t="inlineStr">
        <is>
          <t>LAUNDRY_BY_DESIGN_121009843_CHO_2.jpg</t>
        </is>
      </c>
      <c r="K777" t="inlineStr">
        <is>
          <t>LAUNDRY_BY_DESIGN_121009843_CHO_3.jpg</t>
        </is>
      </c>
      <c r="L777">
        <f>IMAGE("file:///E:/Estudios%20y%20certificaciones/ESTUDIOS%20DE%20PROGRAMMING/PROGRAMMING/PERSONAL/PYTHON/Image_Generator_API/imagenes/LAUNDRY_BY_DESIGN_121009843_CHO_1.jpg")</f>
        <v/>
      </c>
      <c r="M777">
        <f>IMAGE("file:///E:/Estudios%20y%20certificaciones/ESTUDIOS%20DE%20PROGRAMMING/PROGRAMMING/PERSONAL/PYTHON/Image_Generator_API/imagenes/LAUNDRY_BY_DESIGN_121009843_CHO_2.jpg")</f>
        <v/>
      </c>
      <c r="N777">
        <f>IMAGE("file:///E:/Estudios%20y%20certificaciones/ESTUDIOS%20DE%20PROGRAMMING/PROGRAMMING/PERSONAL/PYTHON/Image_Generator_API/imagenes/LAUNDRY_BY_DESIGN_121009843_CHO_3.jpg")</f>
        <v/>
      </c>
      <c r="O777">
        <f>HYPERLINK("imagenes/LAUNDRY_BY_DESIGN_121009843_CHO_1.jpg","Ver imagen")</f>
        <v/>
      </c>
      <c r="P777">
        <f>HYPERLINK("imagenes/LAUNDRY_BY_DESIGN_121009843_CHO_2.jpg","Ver imagen")</f>
        <v/>
      </c>
      <c r="Q777">
        <f>HYPERLINK("imagenes/LAUNDRY_BY_DESIGN_121009843_CHO_3.jpg","Ver imagen")</f>
        <v/>
      </c>
    </row>
    <row r="778">
      <c r="A778" t="inlineStr">
        <is>
          <t>LAUNDRY BY DESIGN</t>
        </is>
      </c>
      <c r="B778" t="inlineStr">
        <is>
          <t>121009843</t>
        </is>
      </c>
      <c r="C778" t="inlineStr">
        <is>
          <t>26 SNOWCHIC QUILT WITH SUEDE</t>
        </is>
      </c>
      <c r="D778" t="inlineStr">
        <is>
          <t>CHO</t>
        </is>
      </c>
      <c r="E778" t="inlineStr">
        <is>
          <t>(en blanco)</t>
        </is>
      </c>
      <c r="F778" t="inlineStr">
        <is>
          <t>(en blanco)</t>
        </is>
      </c>
      <c r="G778" t="inlineStr">
        <is>
          <t>S</t>
        </is>
      </c>
      <c r="H778" t="n">
        <v>12</v>
      </c>
      <c r="I778" t="inlineStr">
        <is>
          <t>LAUNDRY_BY_DESIGN_121009843_CHO_1.jpg</t>
        </is>
      </c>
      <c r="J778" t="inlineStr">
        <is>
          <t>LAUNDRY_BY_DESIGN_121009843_CHO_2.jpg</t>
        </is>
      </c>
      <c r="K778" t="inlineStr">
        <is>
          <t>LAUNDRY_BY_DESIGN_121009843_CHO_3.jpg</t>
        </is>
      </c>
      <c r="L778">
        <f>IMAGE("file:///E:/Estudios%20y%20certificaciones/ESTUDIOS%20DE%20PROGRAMMING/PROGRAMMING/PERSONAL/PYTHON/Image_Generator_API/imagenes/LAUNDRY_BY_DESIGN_121009843_CHO_1.jpg")</f>
        <v/>
      </c>
      <c r="M778">
        <f>IMAGE("file:///E:/Estudios%20y%20certificaciones/ESTUDIOS%20DE%20PROGRAMMING/PROGRAMMING/PERSONAL/PYTHON/Image_Generator_API/imagenes/LAUNDRY_BY_DESIGN_121009843_CHO_2.jpg")</f>
        <v/>
      </c>
      <c r="N778">
        <f>IMAGE("file:///E:/Estudios%20y%20certificaciones/ESTUDIOS%20DE%20PROGRAMMING/PROGRAMMING/PERSONAL/PYTHON/Image_Generator_API/imagenes/LAUNDRY_BY_DESIGN_121009843_CHO_3.jpg")</f>
        <v/>
      </c>
      <c r="O778">
        <f>HYPERLINK("imagenes/LAUNDRY_BY_DESIGN_121009843_CHO_1.jpg","Ver imagen")</f>
        <v/>
      </c>
      <c r="P778">
        <f>HYPERLINK("imagenes/LAUNDRY_BY_DESIGN_121009843_CHO_2.jpg","Ver imagen")</f>
        <v/>
      </c>
      <c r="Q778">
        <f>HYPERLINK("imagenes/LAUNDRY_BY_DESIGN_121009843_CHO_3.jpg","Ver imagen")</f>
        <v/>
      </c>
    </row>
    <row r="779">
      <c r="A779" t="inlineStr">
        <is>
          <t>LAUNDRY BY DESIGN</t>
        </is>
      </c>
      <c r="B779" t="inlineStr">
        <is>
          <t>121009843</t>
        </is>
      </c>
      <c r="C779" t="inlineStr">
        <is>
          <t>26 SNOWCHIC QUILT WITH SUEDE</t>
        </is>
      </c>
      <c r="D779" t="inlineStr">
        <is>
          <t>CHO</t>
        </is>
      </c>
      <c r="E779" t="inlineStr">
        <is>
          <t>(en blanco)</t>
        </is>
      </c>
      <c r="F779" t="inlineStr">
        <is>
          <t>(en blanco)</t>
        </is>
      </c>
      <c r="G779" t="inlineStr">
        <is>
          <t>M</t>
        </is>
      </c>
      <c r="H779" t="n">
        <v>25</v>
      </c>
      <c r="I779" t="inlineStr">
        <is>
          <t>LAUNDRY_BY_DESIGN_121009843_CHO_1.jpg</t>
        </is>
      </c>
      <c r="J779" t="inlineStr">
        <is>
          <t>LAUNDRY_BY_DESIGN_121009843_CHO_2.jpg</t>
        </is>
      </c>
      <c r="K779" t="inlineStr">
        <is>
          <t>LAUNDRY_BY_DESIGN_121009843_CHO_3.jpg</t>
        </is>
      </c>
      <c r="L779">
        <f>IMAGE("file:///E:/Estudios%20y%20certificaciones/ESTUDIOS%20DE%20PROGRAMMING/PROGRAMMING/PERSONAL/PYTHON/Image_Generator_API/imagenes/LAUNDRY_BY_DESIGN_121009843_CHO_1.jpg")</f>
        <v/>
      </c>
      <c r="M779">
        <f>IMAGE("file:///E:/Estudios%20y%20certificaciones/ESTUDIOS%20DE%20PROGRAMMING/PROGRAMMING/PERSONAL/PYTHON/Image_Generator_API/imagenes/LAUNDRY_BY_DESIGN_121009843_CHO_2.jpg")</f>
        <v/>
      </c>
      <c r="N779">
        <f>IMAGE("file:///E:/Estudios%20y%20certificaciones/ESTUDIOS%20DE%20PROGRAMMING/PROGRAMMING/PERSONAL/PYTHON/Image_Generator_API/imagenes/LAUNDRY_BY_DESIGN_121009843_CHO_3.jpg")</f>
        <v/>
      </c>
      <c r="O779">
        <f>HYPERLINK("imagenes/LAUNDRY_BY_DESIGN_121009843_CHO_1.jpg","Ver imagen")</f>
        <v/>
      </c>
      <c r="P779">
        <f>HYPERLINK("imagenes/LAUNDRY_BY_DESIGN_121009843_CHO_2.jpg","Ver imagen")</f>
        <v/>
      </c>
      <c r="Q779">
        <f>HYPERLINK("imagenes/LAUNDRY_BY_DESIGN_121009843_CHO_3.jpg","Ver imagen")</f>
        <v/>
      </c>
    </row>
    <row r="780">
      <c r="A780" t="inlineStr">
        <is>
          <t>LAUNDRY BY DESIGN</t>
        </is>
      </c>
      <c r="B780" t="inlineStr">
        <is>
          <t>121009843</t>
        </is>
      </c>
      <c r="C780" t="inlineStr">
        <is>
          <t>26 SNOWCHIC QUILT WITH SUEDE</t>
        </is>
      </c>
      <c r="D780" t="inlineStr">
        <is>
          <t>CHO</t>
        </is>
      </c>
      <c r="E780" t="inlineStr">
        <is>
          <t>(en blanco)</t>
        </is>
      </c>
      <c r="F780" t="inlineStr">
        <is>
          <t>(en blanco)</t>
        </is>
      </c>
      <c r="G780" t="inlineStr">
        <is>
          <t>L</t>
        </is>
      </c>
      <c r="H780" t="n">
        <v>25</v>
      </c>
      <c r="I780" t="inlineStr">
        <is>
          <t>LAUNDRY_BY_DESIGN_121009843_CHO_1.jpg</t>
        </is>
      </c>
      <c r="J780" t="inlineStr">
        <is>
          <t>LAUNDRY_BY_DESIGN_121009843_CHO_2.jpg</t>
        </is>
      </c>
      <c r="K780" t="inlineStr">
        <is>
          <t>LAUNDRY_BY_DESIGN_121009843_CHO_3.jpg</t>
        </is>
      </c>
      <c r="L780">
        <f>IMAGE("file:///E:/Estudios%20y%20certificaciones/ESTUDIOS%20DE%20PROGRAMMING/PROGRAMMING/PERSONAL/PYTHON/Image_Generator_API/imagenes/LAUNDRY_BY_DESIGN_121009843_CHO_1.jpg")</f>
        <v/>
      </c>
      <c r="M780">
        <f>IMAGE("file:///E:/Estudios%20y%20certificaciones/ESTUDIOS%20DE%20PROGRAMMING/PROGRAMMING/PERSONAL/PYTHON/Image_Generator_API/imagenes/LAUNDRY_BY_DESIGN_121009843_CHO_2.jpg")</f>
        <v/>
      </c>
      <c r="N780">
        <f>IMAGE("file:///E:/Estudios%20y%20certificaciones/ESTUDIOS%20DE%20PROGRAMMING/PROGRAMMING/PERSONAL/PYTHON/Image_Generator_API/imagenes/LAUNDRY_BY_DESIGN_121009843_CHO_3.jpg")</f>
        <v/>
      </c>
      <c r="O780">
        <f>HYPERLINK("imagenes/LAUNDRY_BY_DESIGN_121009843_CHO_1.jpg","Ver imagen")</f>
        <v/>
      </c>
      <c r="P780">
        <f>HYPERLINK("imagenes/LAUNDRY_BY_DESIGN_121009843_CHO_2.jpg","Ver imagen")</f>
        <v/>
      </c>
      <c r="Q780">
        <f>HYPERLINK("imagenes/LAUNDRY_BY_DESIGN_121009843_CHO_3.jpg","Ver imagen")</f>
        <v/>
      </c>
    </row>
    <row r="781">
      <c r="A781" t="inlineStr">
        <is>
          <t>LAUNDRY BY DESIGN</t>
        </is>
      </c>
      <c r="B781" t="inlineStr">
        <is>
          <t>121009843</t>
        </is>
      </c>
      <c r="C781" t="inlineStr">
        <is>
          <t>26 SNOWCHIC QUILT WITH SUEDE</t>
        </is>
      </c>
      <c r="D781" t="inlineStr">
        <is>
          <t>CHO</t>
        </is>
      </c>
      <c r="E781" t="inlineStr">
        <is>
          <t>(en blanco)</t>
        </is>
      </c>
      <c r="F781" t="inlineStr">
        <is>
          <t>(en blanco)</t>
        </is>
      </c>
      <c r="G781" t="inlineStr">
        <is>
          <t>XL</t>
        </is>
      </c>
      <c r="H781" t="n">
        <v>26</v>
      </c>
      <c r="I781" t="inlineStr">
        <is>
          <t>LAUNDRY_BY_DESIGN_121009843_CHO_1.jpg</t>
        </is>
      </c>
      <c r="J781" t="inlineStr">
        <is>
          <t>LAUNDRY_BY_DESIGN_121009843_CHO_2.jpg</t>
        </is>
      </c>
      <c r="K781" t="inlineStr">
        <is>
          <t>LAUNDRY_BY_DESIGN_121009843_CHO_3.jpg</t>
        </is>
      </c>
      <c r="L781">
        <f>IMAGE("file:///E:/Estudios%20y%20certificaciones/ESTUDIOS%20DE%20PROGRAMMING/PROGRAMMING/PERSONAL/PYTHON/Image_Generator_API/imagenes/LAUNDRY_BY_DESIGN_121009843_CHO_1.jpg")</f>
        <v/>
      </c>
      <c r="M781">
        <f>IMAGE("file:///E:/Estudios%20y%20certificaciones/ESTUDIOS%20DE%20PROGRAMMING/PROGRAMMING/PERSONAL/PYTHON/Image_Generator_API/imagenes/LAUNDRY_BY_DESIGN_121009843_CHO_2.jpg")</f>
        <v/>
      </c>
      <c r="N781">
        <f>IMAGE("file:///E:/Estudios%20y%20certificaciones/ESTUDIOS%20DE%20PROGRAMMING/PROGRAMMING/PERSONAL/PYTHON/Image_Generator_API/imagenes/LAUNDRY_BY_DESIGN_121009843_CHO_3.jpg")</f>
        <v/>
      </c>
      <c r="O781">
        <f>HYPERLINK("imagenes/LAUNDRY_BY_DESIGN_121009843_CHO_1.jpg","Ver imagen")</f>
        <v/>
      </c>
      <c r="P781">
        <f>HYPERLINK("imagenes/LAUNDRY_BY_DESIGN_121009843_CHO_2.jpg","Ver imagen")</f>
        <v/>
      </c>
      <c r="Q781">
        <f>HYPERLINK("imagenes/LAUNDRY_BY_DESIGN_121009843_CHO_3.jpg","Ver imagen")</f>
        <v/>
      </c>
    </row>
    <row r="782">
      <c r="A782" t="inlineStr">
        <is>
          <t>LAUNDRY BY DESIGN</t>
        </is>
      </c>
      <c r="B782" t="inlineStr">
        <is>
          <t>121009843</t>
        </is>
      </c>
      <c r="C782" t="inlineStr">
        <is>
          <t>26 SNOWCHIC QUILT WITH SUEDE</t>
        </is>
      </c>
      <c r="D782" t="inlineStr">
        <is>
          <t>CHO</t>
        </is>
      </c>
      <c r="E782" t="inlineStr">
        <is>
          <t>(en blanco)</t>
        </is>
      </c>
      <c r="F782" t="inlineStr">
        <is>
          <t>(en blanco)</t>
        </is>
      </c>
      <c r="G782" t="inlineStr">
        <is>
          <t>XXL</t>
        </is>
      </c>
      <c r="H782" t="n">
        <v>13</v>
      </c>
      <c r="I782" t="inlineStr">
        <is>
          <t>LAUNDRY_BY_DESIGN_121009843_CHO_1.jpg</t>
        </is>
      </c>
      <c r="J782" t="inlineStr">
        <is>
          <t>LAUNDRY_BY_DESIGN_121009843_CHO_2.jpg</t>
        </is>
      </c>
      <c r="K782" t="inlineStr">
        <is>
          <t>LAUNDRY_BY_DESIGN_121009843_CHO_3.jpg</t>
        </is>
      </c>
      <c r="L782">
        <f>IMAGE("file:///E:/Estudios%20y%20certificaciones/ESTUDIOS%20DE%20PROGRAMMING/PROGRAMMING/PERSONAL/PYTHON/Image_Generator_API/imagenes/LAUNDRY_BY_DESIGN_121009843_CHO_1.jpg")</f>
        <v/>
      </c>
      <c r="M782">
        <f>IMAGE("file:///E:/Estudios%20y%20certificaciones/ESTUDIOS%20DE%20PROGRAMMING/PROGRAMMING/PERSONAL/PYTHON/Image_Generator_API/imagenes/LAUNDRY_BY_DESIGN_121009843_CHO_2.jpg")</f>
        <v/>
      </c>
      <c r="N782">
        <f>IMAGE("file:///E:/Estudios%20y%20certificaciones/ESTUDIOS%20DE%20PROGRAMMING/PROGRAMMING/PERSONAL/PYTHON/Image_Generator_API/imagenes/LAUNDRY_BY_DESIGN_121009843_CHO_3.jpg")</f>
        <v/>
      </c>
      <c r="O782">
        <f>HYPERLINK("imagenes/LAUNDRY_BY_DESIGN_121009843_CHO_1.jpg","Ver imagen")</f>
        <v/>
      </c>
      <c r="P782">
        <f>HYPERLINK("imagenes/LAUNDRY_BY_DESIGN_121009843_CHO_2.jpg","Ver imagen")</f>
        <v/>
      </c>
      <c r="Q782">
        <f>HYPERLINK("imagenes/LAUNDRY_BY_DESIGN_121009843_CHO_3.jpg","Ver imagen")</f>
        <v/>
      </c>
    </row>
    <row r="783">
      <c r="A783" t="inlineStr">
        <is>
          <t>LAUNDRY BY DESIGN</t>
        </is>
      </c>
      <c r="B783" t="inlineStr">
        <is>
          <t>121009843</t>
        </is>
      </c>
      <c r="C783" t="inlineStr">
        <is>
          <t>26 SNOWCHIC QUILT WITH SUEDE</t>
        </is>
      </c>
      <c r="D783" t="inlineStr">
        <is>
          <t>NVY</t>
        </is>
      </c>
      <c r="E783" t="inlineStr">
        <is>
          <t>06A01</t>
        </is>
      </c>
      <c r="F783" t="inlineStr">
        <is>
          <t>(en blanco)</t>
        </is>
      </c>
      <c r="G783" t="inlineStr">
        <is>
          <t>PPK</t>
        </is>
      </c>
      <c r="H783" t="n">
        <v>1920</v>
      </c>
      <c r="I783" t="inlineStr">
        <is>
          <t>LAUNDRY_BY_DESIGN_121009843_NVY_1.jpg</t>
        </is>
      </c>
      <c r="J783" t="inlineStr">
        <is>
          <t>LAUNDRY_BY_DESIGN_121009843_NVY_2.jpg</t>
        </is>
      </c>
      <c r="K783" t="inlineStr">
        <is>
          <t>LAUNDRY_BY_DESIGN_121009843_NVY_3.jpg</t>
        </is>
      </c>
      <c r="L783">
        <f>IMAGE("file:///E:/Estudios%20y%20certificaciones/ESTUDIOS%20DE%20PROGRAMMING/PROGRAMMING/PERSONAL/PYTHON/Image_Generator_API/imagenes/LAUNDRY_BY_DESIGN_121009843_NVY_1.jpg")</f>
        <v/>
      </c>
      <c r="M783">
        <f>IMAGE("file:///E:/Estudios%20y%20certificaciones/ESTUDIOS%20DE%20PROGRAMMING/PROGRAMMING/PERSONAL/PYTHON/Image_Generator_API/imagenes/LAUNDRY_BY_DESIGN_121009843_NVY_2.jpg")</f>
        <v/>
      </c>
      <c r="N783">
        <f>IMAGE("file:///E:/Estudios%20y%20certificaciones/ESTUDIOS%20DE%20PROGRAMMING/PROGRAMMING/PERSONAL/PYTHON/Image_Generator_API/imagenes/LAUNDRY_BY_DESIGN_121009843_NVY_3.jpg")</f>
        <v/>
      </c>
      <c r="O783">
        <f>HYPERLINK("imagenes/LAUNDRY_BY_DESIGN_121009843_NVY_1.jpg","Ver imagen")</f>
        <v/>
      </c>
      <c r="P783">
        <f>HYPERLINK("imagenes/LAUNDRY_BY_DESIGN_121009843_NVY_2.jpg","Ver imagen")</f>
        <v/>
      </c>
      <c r="Q783">
        <f>HYPERLINK("imagenes/LAUNDRY_BY_DESIGN_121009843_NVY_3.jpg","Ver imagen")</f>
        <v/>
      </c>
    </row>
    <row r="784">
      <c r="A784" t="inlineStr">
        <is>
          <t>LAUNDRY BY DESIGN</t>
        </is>
      </c>
      <c r="B784" t="inlineStr">
        <is>
          <t>121009843</t>
        </is>
      </c>
      <c r="C784" t="inlineStr">
        <is>
          <t>26 SNOWCHIC QUILT WITH SUEDE</t>
        </is>
      </c>
      <c r="D784" t="inlineStr">
        <is>
          <t>NVY</t>
        </is>
      </c>
      <c r="E784" t="inlineStr">
        <is>
          <t>(en blanco)</t>
        </is>
      </c>
      <c r="F784" t="inlineStr">
        <is>
          <t>(en blanco)</t>
        </is>
      </c>
      <c r="G784" t="inlineStr">
        <is>
          <t>S</t>
        </is>
      </c>
      <c r="H784" t="n">
        <v>13</v>
      </c>
      <c r="I784" t="inlineStr">
        <is>
          <t>LAUNDRY_BY_DESIGN_121009843_NVY_1.jpg</t>
        </is>
      </c>
      <c r="J784" t="inlineStr">
        <is>
          <t>LAUNDRY_BY_DESIGN_121009843_NVY_2.jpg</t>
        </is>
      </c>
      <c r="K784" t="inlineStr">
        <is>
          <t>LAUNDRY_BY_DESIGN_121009843_NVY_3.jpg</t>
        </is>
      </c>
      <c r="L784">
        <f>IMAGE("file:///E:/Estudios%20y%20certificaciones/ESTUDIOS%20DE%20PROGRAMMING/PROGRAMMING/PERSONAL/PYTHON/Image_Generator_API/imagenes/LAUNDRY_BY_DESIGN_121009843_NVY_1.jpg")</f>
        <v/>
      </c>
      <c r="M784">
        <f>IMAGE("file:///E:/Estudios%20y%20certificaciones/ESTUDIOS%20DE%20PROGRAMMING/PROGRAMMING/PERSONAL/PYTHON/Image_Generator_API/imagenes/LAUNDRY_BY_DESIGN_121009843_NVY_2.jpg")</f>
        <v/>
      </c>
      <c r="N784">
        <f>IMAGE("file:///E:/Estudios%20y%20certificaciones/ESTUDIOS%20DE%20PROGRAMMING/PROGRAMMING/PERSONAL/PYTHON/Image_Generator_API/imagenes/LAUNDRY_BY_DESIGN_121009843_NVY_3.jpg")</f>
        <v/>
      </c>
      <c r="O784">
        <f>HYPERLINK("imagenes/LAUNDRY_BY_DESIGN_121009843_NVY_1.jpg","Ver imagen")</f>
        <v/>
      </c>
      <c r="P784">
        <f>HYPERLINK("imagenes/LAUNDRY_BY_DESIGN_121009843_NVY_2.jpg","Ver imagen")</f>
        <v/>
      </c>
      <c r="Q784">
        <f>HYPERLINK("imagenes/LAUNDRY_BY_DESIGN_121009843_NVY_3.jpg","Ver imagen")</f>
        <v/>
      </c>
    </row>
    <row r="785">
      <c r="A785" t="inlineStr">
        <is>
          <t>LAUNDRY BY DESIGN</t>
        </is>
      </c>
      <c r="B785" t="inlineStr">
        <is>
          <t>121009843</t>
        </is>
      </c>
      <c r="C785" t="inlineStr">
        <is>
          <t>26 SNOWCHIC QUILT WITH SUEDE</t>
        </is>
      </c>
      <c r="D785" t="inlineStr">
        <is>
          <t>NVY</t>
        </is>
      </c>
      <c r="E785" t="inlineStr">
        <is>
          <t>(en blanco)</t>
        </is>
      </c>
      <c r="F785" t="inlineStr">
        <is>
          <t>(en blanco)</t>
        </is>
      </c>
      <c r="G785" t="inlineStr">
        <is>
          <t>M</t>
        </is>
      </c>
      <c r="H785" t="n">
        <v>26</v>
      </c>
      <c r="I785" t="inlineStr">
        <is>
          <t>LAUNDRY_BY_DESIGN_121009843_NVY_1.jpg</t>
        </is>
      </c>
      <c r="J785" t="inlineStr">
        <is>
          <t>LAUNDRY_BY_DESIGN_121009843_NVY_2.jpg</t>
        </is>
      </c>
      <c r="K785" t="inlineStr">
        <is>
          <t>LAUNDRY_BY_DESIGN_121009843_NVY_3.jpg</t>
        </is>
      </c>
      <c r="L785">
        <f>IMAGE("file:///E:/Estudios%20y%20certificaciones/ESTUDIOS%20DE%20PROGRAMMING/PROGRAMMING/PERSONAL/PYTHON/Image_Generator_API/imagenes/LAUNDRY_BY_DESIGN_121009843_NVY_1.jpg")</f>
        <v/>
      </c>
      <c r="M785">
        <f>IMAGE("file:///E:/Estudios%20y%20certificaciones/ESTUDIOS%20DE%20PROGRAMMING/PROGRAMMING/PERSONAL/PYTHON/Image_Generator_API/imagenes/LAUNDRY_BY_DESIGN_121009843_NVY_2.jpg")</f>
        <v/>
      </c>
      <c r="N785">
        <f>IMAGE("file:///E:/Estudios%20y%20certificaciones/ESTUDIOS%20DE%20PROGRAMMING/PROGRAMMING/PERSONAL/PYTHON/Image_Generator_API/imagenes/LAUNDRY_BY_DESIGN_121009843_NVY_3.jpg")</f>
        <v/>
      </c>
      <c r="O785">
        <f>HYPERLINK("imagenes/LAUNDRY_BY_DESIGN_121009843_NVY_1.jpg","Ver imagen")</f>
        <v/>
      </c>
      <c r="P785">
        <f>HYPERLINK("imagenes/LAUNDRY_BY_DESIGN_121009843_NVY_2.jpg","Ver imagen")</f>
        <v/>
      </c>
      <c r="Q785">
        <f>HYPERLINK("imagenes/LAUNDRY_BY_DESIGN_121009843_NVY_3.jpg","Ver imagen")</f>
        <v/>
      </c>
    </row>
    <row r="786">
      <c r="A786" t="inlineStr">
        <is>
          <t>LAUNDRY BY DESIGN</t>
        </is>
      </c>
      <c r="B786" t="inlineStr">
        <is>
          <t>121009843</t>
        </is>
      </c>
      <c r="C786" t="inlineStr">
        <is>
          <t>26 SNOWCHIC QUILT WITH SUEDE</t>
        </is>
      </c>
      <c r="D786" t="inlineStr">
        <is>
          <t>NVY</t>
        </is>
      </c>
      <c r="E786" t="inlineStr">
        <is>
          <t>(en blanco)</t>
        </is>
      </c>
      <c r="F786" t="inlineStr">
        <is>
          <t>(en blanco)</t>
        </is>
      </c>
      <c r="G786" t="inlineStr">
        <is>
          <t>L</t>
        </is>
      </c>
      <c r="H786" t="n">
        <v>26</v>
      </c>
      <c r="I786" t="inlineStr">
        <is>
          <t>LAUNDRY_BY_DESIGN_121009843_NVY_1.jpg</t>
        </is>
      </c>
      <c r="J786" t="inlineStr">
        <is>
          <t>LAUNDRY_BY_DESIGN_121009843_NVY_2.jpg</t>
        </is>
      </c>
      <c r="K786" t="inlineStr">
        <is>
          <t>LAUNDRY_BY_DESIGN_121009843_NVY_3.jpg</t>
        </is>
      </c>
      <c r="L786">
        <f>IMAGE("file:///E:/Estudios%20y%20certificaciones/ESTUDIOS%20DE%20PROGRAMMING/PROGRAMMING/PERSONAL/PYTHON/Image_Generator_API/imagenes/LAUNDRY_BY_DESIGN_121009843_NVY_1.jpg")</f>
        <v/>
      </c>
      <c r="M786">
        <f>IMAGE("file:///E:/Estudios%20y%20certificaciones/ESTUDIOS%20DE%20PROGRAMMING/PROGRAMMING/PERSONAL/PYTHON/Image_Generator_API/imagenes/LAUNDRY_BY_DESIGN_121009843_NVY_2.jpg")</f>
        <v/>
      </c>
      <c r="N786">
        <f>IMAGE("file:///E:/Estudios%20y%20certificaciones/ESTUDIOS%20DE%20PROGRAMMING/PROGRAMMING/PERSONAL/PYTHON/Image_Generator_API/imagenes/LAUNDRY_BY_DESIGN_121009843_NVY_3.jpg")</f>
        <v/>
      </c>
      <c r="O786">
        <f>HYPERLINK("imagenes/LAUNDRY_BY_DESIGN_121009843_NVY_1.jpg","Ver imagen")</f>
        <v/>
      </c>
      <c r="P786">
        <f>HYPERLINK("imagenes/LAUNDRY_BY_DESIGN_121009843_NVY_2.jpg","Ver imagen")</f>
        <v/>
      </c>
      <c r="Q786">
        <f>HYPERLINK("imagenes/LAUNDRY_BY_DESIGN_121009843_NVY_3.jpg","Ver imagen")</f>
        <v/>
      </c>
    </row>
    <row r="787">
      <c r="A787" t="inlineStr">
        <is>
          <t>LAUNDRY BY DESIGN</t>
        </is>
      </c>
      <c r="B787" t="inlineStr">
        <is>
          <t>121009843</t>
        </is>
      </c>
      <c r="C787" t="inlineStr">
        <is>
          <t>26 SNOWCHIC QUILT WITH SUEDE</t>
        </is>
      </c>
      <c r="D787" t="inlineStr">
        <is>
          <t>NVY</t>
        </is>
      </c>
      <c r="E787" t="inlineStr">
        <is>
          <t>(en blanco)</t>
        </is>
      </c>
      <c r="F787" t="inlineStr">
        <is>
          <t>(en blanco)</t>
        </is>
      </c>
      <c r="G787" t="inlineStr">
        <is>
          <t>XL</t>
        </is>
      </c>
      <c r="H787" t="n">
        <v>26</v>
      </c>
      <c r="I787" t="inlineStr">
        <is>
          <t>LAUNDRY_BY_DESIGN_121009843_NVY_1.jpg</t>
        </is>
      </c>
      <c r="J787" t="inlineStr">
        <is>
          <t>LAUNDRY_BY_DESIGN_121009843_NVY_2.jpg</t>
        </is>
      </c>
      <c r="K787" t="inlineStr">
        <is>
          <t>LAUNDRY_BY_DESIGN_121009843_NVY_3.jpg</t>
        </is>
      </c>
      <c r="L787">
        <f>IMAGE("file:///E:/Estudios%20y%20certificaciones/ESTUDIOS%20DE%20PROGRAMMING/PROGRAMMING/PERSONAL/PYTHON/Image_Generator_API/imagenes/LAUNDRY_BY_DESIGN_121009843_NVY_1.jpg")</f>
        <v/>
      </c>
      <c r="M787">
        <f>IMAGE("file:///E:/Estudios%20y%20certificaciones/ESTUDIOS%20DE%20PROGRAMMING/PROGRAMMING/PERSONAL/PYTHON/Image_Generator_API/imagenes/LAUNDRY_BY_DESIGN_121009843_NVY_2.jpg")</f>
        <v/>
      </c>
      <c r="N787">
        <f>IMAGE("file:///E:/Estudios%20y%20certificaciones/ESTUDIOS%20DE%20PROGRAMMING/PROGRAMMING/PERSONAL/PYTHON/Image_Generator_API/imagenes/LAUNDRY_BY_DESIGN_121009843_NVY_3.jpg")</f>
        <v/>
      </c>
      <c r="O787">
        <f>HYPERLINK("imagenes/LAUNDRY_BY_DESIGN_121009843_NVY_1.jpg","Ver imagen")</f>
        <v/>
      </c>
      <c r="P787">
        <f>HYPERLINK("imagenes/LAUNDRY_BY_DESIGN_121009843_NVY_2.jpg","Ver imagen")</f>
        <v/>
      </c>
      <c r="Q787">
        <f>HYPERLINK("imagenes/LAUNDRY_BY_DESIGN_121009843_NVY_3.jpg","Ver imagen")</f>
        <v/>
      </c>
    </row>
    <row r="788">
      <c r="A788" t="inlineStr">
        <is>
          <t>LAUNDRY BY DESIGN</t>
        </is>
      </c>
      <c r="B788" t="inlineStr">
        <is>
          <t>121009843</t>
        </is>
      </c>
      <c r="C788" t="inlineStr">
        <is>
          <t>26 SNOWCHIC QUILT WITH SUEDE</t>
        </is>
      </c>
      <c r="D788" t="inlineStr">
        <is>
          <t>NVY</t>
        </is>
      </c>
      <c r="E788" t="inlineStr">
        <is>
          <t>(en blanco)</t>
        </is>
      </c>
      <c r="F788" t="inlineStr">
        <is>
          <t>(en blanco)</t>
        </is>
      </c>
      <c r="G788" t="inlineStr">
        <is>
          <t>XXL</t>
        </is>
      </c>
      <c r="H788" t="n">
        <v>13</v>
      </c>
      <c r="I788" t="inlineStr">
        <is>
          <t>LAUNDRY_BY_DESIGN_121009843_NVY_1.jpg</t>
        </is>
      </c>
      <c r="J788" t="inlineStr">
        <is>
          <t>LAUNDRY_BY_DESIGN_121009843_NVY_2.jpg</t>
        </is>
      </c>
      <c r="K788" t="inlineStr">
        <is>
          <t>LAUNDRY_BY_DESIGN_121009843_NVY_3.jpg</t>
        </is>
      </c>
      <c r="L788">
        <f>IMAGE("file:///E:/Estudios%20y%20certificaciones/ESTUDIOS%20DE%20PROGRAMMING/PROGRAMMING/PERSONAL/PYTHON/Image_Generator_API/imagenes/LAUNDRY_BY_DESIGN_121009843_NVY_1.jpg")</f>
        <v/>
      </c>
      <c r="M788">
        <f>IMAGE("file:///E:/Estudios%20y%20certificaciones/ESTUDIOS%20DE%20PROGRAMMING/PROGRAMMING/PERSONAL/PYTHON/Image_Generator_API/imagenes/LAUNDRY_BY_DESIGN_121009843_NVY_2.jpg")</f>
        <v/>
      </c>
      <c r="N788">
        <f>IMAGE("file:///E:/Estudios%20y%20certificaciones/ESTUDIOS%20DE%20PROGRAMMING/PROGRAMMING/PERSONAL/PYTHON/Image_Generator_API/imagenes/LAUNDRY_BY_DESIGN_121009843_NVY_3.jpg")</f>
        <v/>
      </c>
      <c r="O788">
        <f>HYPERLINK("imagenes/LAUNDRY_BY_DESIGN_121009843_NVY_1.jpg","Ver imagen")</f>
        <v/>
      </c>
      <c r="P788">
        <f>HYPERLINK("imagenes/LAUNDRY_BY_DESIGN_121009843_NVY_2.jpg","Ver imagen")</f>
        <v/>
      </c>
      <c r="Q788">
        <f>HYPERLINK("imagenes/LAUNDRY_BY_DESIGN_121009843_NVY_3.jpg","Ver imagen")</f>
        <v/>
      </c>
    </row>
    <row r="789">
      <c r="A789" t="inlineStr">
        <is>
          <t>LAUNDRY BY DESIGN</t>
        </is>
      </c>
      <c r="B789" t="inlineStr">
        <is>
          <t>121009844</t>
        </is>
      </c>
      <c r="C789" t="inlineStr">
        <is>
          <t>26 SNOWCHIC QUILT WITH CORDUROY</t>
        </is>
      </c>
      <c r="D789" t="inlineStr">
        <is>
          <t>BLK</t>
        </is>
      </c>
      <c r="E789" t="inlineStr">
        <is>
          <t>(en blanco)</t>
        </is>
      </c>
      <c r="F789" t="inlineStr">
        <is>
          <t>(en blanco)</t>
        </is>
      </c>
      <c r="G789" t="inlineStr">
        <is>
          <t>S</t>
        </is>
      </c>
      <c r="H789" t="n">
        <v>22</v>
      </c>
      <c r="I789" t="inlineStr">
        <is>
          <t>LAUNDRY_BY_DESIGN_121009844_BLK_1.jpg</t>
        </is>
      </c>
      <c r="J789" t="inlineStr">
        <is>
          <t>LAUNDRY_BY_DESIGN_121009844_BLK_2.jpg</t>
        </is>
      </c>
      <c r="K789" t="inlineStr">
        <is>
          <t>LAUNDRY_BY_DESIGN_121009844_BLK_3.jpg</t>
        </is>
      </c>
      <c r="L789">
        <f>IMAGE("file:///E:/Estudios%20y%20certificaciones/ESTUDIOS%20DE%20PROGRAMMING/PROGRAMMING/PERSONAL/PYTHON/Image_Generator_API/imagenes/LAUNDRY_BY_DESIGN_121009844_BLK_1.jpg")</f>
        <v/>
      </c>
      <c r="M789">
        <f>IMAGE("file:///E:/Estudios%20y%20certificaciones/ESTUDIOS%20DE%20PROGRAMMING/PROGRAMMING/PERSONAL/PYTHON/Image_Generator_API/imagenes/LAUNDRY_BY_DESIGN_121009844_BLK_2.jpg")</f>
        <v/>
      </c>
      <c r="N789">
        <f>IMAGE("file:///E:/Estudios%20y%20certificaciones/ESTUDIOS%20DE%20PROGRAMMING/PROGRAMMING/PERSONAL/PYTHON/Image_Generator_API/imagenes/LAUNDRY_BY_DESIGN_121009844_BLK_3.jpg")</f>
        <v/>
      </c>
      <c r="O789">
        <f>HYPERLINK("imagenes/LAUNDRY_BY_DESIGN_121009844_BLK_1.jpg","Ver imagen")</f>
        <v/>
      </c>
      <c r="P789">
        <f>HYPERLINK("imagenes/LAUNDRY_BY_DESIGN_121009844_BLK_2.jpg","Ver imagen")</f>
        <v/>
      </c>
      <c r="Q789">
        <f>HYPERLINK("imagenes/LAUNDRY_BY_DESIGN_121009844_BLK_3.jpg","Ver imagen")</f>
        <v/>
      </c>
    </row>
    <row r="790">
      <c r="A790" t="inlineStr">
        <is>
          <t>LAUNDRY BY DESIGN</t>
        </is>
      </c>
      <c r="B790" t="inlineStr">
        <is>
          <t>121009844</t>
        </is>
      </c>
      <c r="C790" t="inlineStr">
        <is>
          <t>26 SNOWCHIC QUILT WITH CORDUROY</t>
        </is>
      </c>
      <c r="D790" t="inlineStr">
        <is>
          <t>BLK</t>
        </is>
      </c>
      <c r="E790" t="inlineStr">
        <is>
          <t>(en blanco)</t>
        </is>
      </c>
      <c r="F790" t="inlineStr">
        <is>
          <t>(en blanco)</t>
        </is>
      </c>
      <c r="G790" t="inlineStr">
        <is>
          <t>M</t>
        </is>
      </c>
      <c r="H790" t="n">
        <v>47</v>
      </c>
      <c r="I790" t="inlineStr">
        <is>
          <t>LAUNDRY_BY_DESIGN_121009844_BLK_1.jpg</t>
        </is>
      </c>
      <c r="J790" t="inlineStr">
        <is>
          <t>LAUNDRY_BY_DESIGN_121009844_BLK_2.jpg</t>
        </is>
      </c>
      <c r="K790" t="inlineStr">
        <is>
          <t>LAUNDRY_BY_DESIGN_121009844_BLK_3.jpg</t>
        </is>
      </c>
      <c r="L790">
        <f>IMAGE("file:///E:/Estudios%20y%20certificaciones/ESTUDIOS%20DE%20PROGRAMMING/PROGRAMMING/PERSONAL/PYTHON/Image_Generator_API/imagenes/LAUNDRY_BY_DESIGN_121009844_BLK_1.jpg")</f>
        <v/>
      </c>
      <c r="M790">
        <f>IMAGE("file:///E:/Estudios%20y%20certificaciones/ESTUDIOS%20DE%20PROGRAMMING/PROGRAMMING/PERSONAL/PYTHON/Image_Generator_API/imagenes/LAUNDRY_BY_DESIGN_121009844_BLK_2.jpg")</f>
        <v/>
      </c>
      <c r="N790">
        <f>IMAGE("file:///E:/Estudios%20y%20certificaciones/ESTUDIOS%20DE%20PROGRAMMING/PROGRAMMING/PERSONAL/PYTHON/Image_Generator_API/imagenes/LAUNDRY_BY_DESIGN_121009844_BLK_3.jpg")</f>
        <v/>
      </c>
      <c r="O790">
        <f>HYPERLINK("imagenes/LAUNDRY_BY_DESIGN_121009844_BLK_1.jpg","Ver imagen")</f>
        <v/>
      </c>
      <c r="P790">
        <f>HYPERLINK("imagenes/LAUNDRY_BY_DESIGN_121009844_BLK_2.jpg","Ver imagen")</f>
        <v/>
      </c>
      <c r="Q790">
        <f>HYPERLINK("imagenes/LAUNDRY_BY_DESIGN_121009844_BLK_3.jpg","Ver imagen")</f>
        <v/>
      </c>
    </row>
    <row r="791">
      <c r="A791" t="inlineStr">
        <is>
          <t>LAUNDRY BY DESIGN</t>
        </is>
      </c>
      <c r="B791" t="inlineStr">
        <is>
          <t>121009844</t>
        </is>
      </c>
      <c r="C791" t="inlineStr">
        <is>
          <t>26 SNOWCHIC QUILT WITH CORDUROY</t>
        </is>
      </c>
      <c r="D791" t="inlineStr">
        <is>
          <t>BLK</t>
        </is>
      </c>
      <c r="E791" t="inlineStr">
        <is>
          <t>(en blanco)</t>
        </is>
      </c>
      <c r="F791" t="inlineStr">
        <is>
          <t>(en blanco)</t>
        </is>
      </c>
      <c r="G791" t="inlineStr">
        <is>
          <t>L</t>
        </is>
      </c>
      <c r="H791" t="n">
        <v>48</v>
      </c>
      <c r="I791" t="inlineStr">
        <is>
          <t>LAUNDRY_BY_DESIGN_121009844_BLK_1.jpg</t>
        </is>
      </c>
      <c r="J791" t="inlineStr">
        <is>
          <t>LAUNDRY_BY_DESIGN_121009844_BLK_2.jpg</t>
        </is>
      </c>
      <c r="K791" t="inlineStr">
        <is>
          <t>LAUNDRY_BY_DESIGN_121009844_BLK_3.jpg</t>
        </is>
      </c>
      <c r="L791">
        <f>IMAGE("file:///E:/Estudios%20y%20certificaciones/ESTUDIOS%20DE%20PROGRAMMING/PROGRAMMING/PERSONAL/PYTHON/Image_Generator_API/imagenes/LAUNDRY_BY_DESIGN_121009844_BLK_1.jpg")</f>
        <v/>
      </c>
      <c r="M791">
        <f>IMAGE("file:///E:/Estudios%20y%20certificaciones/ESTUDIOS%20DE%20PROGRAMMING/PROGRAMMING/PERSONAL/PYTHON/Image_Generator_API/imagenes/LAUNDRY_BY_DESIGN_121009844_BLK_2.jpg")</f>
        <v/>
      </c>
      <c r="N791">
        <f>IMAGE("file:///E:/Estudios%20y%20certificaciones/ESTUDIOS%20DE%20PROGRAMMING/PROGRAMMING/PERSONAL/PYTHON/Image_Generator_API/imagenes/LAUNDRY_BY_DESIGN_121009844_BLK_3.jpg")</f>
        <v/>
      </c>
      <c r="O791">
        <f>HYPERLINK("imagenes/LAUNDRY_BY_DESIGN_121009844_BLK_1.jpg","Ver imagen")</f>
        <v/>
      </c>
      <c r="P791">
        <f>HYPERLINK("imagenes/LAUNDRY_BY_DESIGN_121009844_BLK_2.jpg","Ver imagen")</f>
        <v/>
      </c>
      <c r="Q791">
        <f>HYPERLINK("imagenes/LAUNDRY_BY_DESIGN_121009844_BLK_3.jpg","Ver imagen")</f>
        <v/>
      </c>
    </row>
    <row r="792">
      <c r="A792" t="inlineStr">
        <is>
          <t>LAUNDRY BY DESIGN</t>
        </is>
      </c>
      <c r="B792" t="inlineStr">
        <is>
          <t>121009844</t>
        </is>
      </c>
      <c r="C792" t="inlineStr">
        <is>
          <t>26 SNOWCHIC QUILT WITH CORDUROY</t>
        </is>
      </c>
      <c r="D792" t="inlineStr">
        <is>
          <t>BLK</t>
        </is>
      </c>
      <c r="E792" t="inlineStr">
        <is>
          <t>(en blanco)</t>
        </is>
      </c>
      <c r="F792" t="inlineStr">
        <is>
          <t>(en blanco)</t>
        </is>
      </c>
      <c r="G792" t="inlineStr">
        <is>
          <t>XL</t>
        </is>
      </c>
      <c r="H792" t="n">
        <v>48</v>
      </c>
      <c r="I792" t="inlineStr">
        <is>
          <t>LAUNDRY_BY_DESIGN_121009844_BLK_1.jpg</t>
        </is>
      </c>
      <c r="J792" t="inlineStr">
        <is>
          <t>LAUNDRY_BY_DESIGN_121009844_BLK_2.jpg</t>
        </is>
      </c>
      <c r="K792" t="inlineStr">
        <is>
          <t>LAUNDRY_BY_DESIGN_121009844_BLK_3.jpg</t>
        </is>
      </c>
      <c r="L792">
        <f>IMAGE("file:///E:/Estudios%20y%20certificaciones/ESTUDIOS%20DE%20PROGRAMMING/PROGRAMMING/PERSONAL/PYTHON/Image_Generator_API/imagenes/LAUNDRY_BY_DESIGN_121009844_BLK_1.jpg")</f>
        <v/>
      </c>
      <c r="M792">
        <f>IMAGE("file:///E:/Estudios%20y%20certificaciones/ESTUDIOS%20DE%20PROGRAMMING/PROGRAMMING/PERSONAL/PYTHON/Image_Generator_API/imagenes/LAUNDRY_BY_DESIGN_121009844_BLK_2.jpg")</f>
        <v/>
      </c>
      <c r="N792">
        <f>IMAGE("file:///E:/Estudios%20y%20certificaciones/ESTUDIOS%20DE%20PROGRAMMING/PROGRAMMING/PERSONAL/PYTHON/Image_Generator_API/imagenes/LAUNDRY_BY_DESIGN_121009844_BLK_3.jpg")</f>
        <v/>
      </c>
      <c r="O792">
        <f>HYPERLINK("imagenes/LAUNDRY_BY_DESIGN_121009844_BLK_1.jpg","Ver imagen")</f>
        <v/>
      </c>
      <c r="P792">
        <f>HYPERLINK("imagenes/LAUNDRY_BY_DESIGN_121009844_BLK_2.jpg","Ver imagen")</f>
        <v/>
      </c>
      <c r="Q792">
        <f>HYPERLINK("imagenes/LAUNDRY_BY_DESIGN_121009844_BLK_3.jpg","Ver imagen")</f>
        <v/>
      </c>
    </row>
    <row r="793">
      <c r="A793" t="inlineStr">
        <is>
          <t>LAUNDRY BY DESIGN</t>
        </is>
      </c>
      <c r="B793" t="inlineStr">
        <is>
          <t>121009844</t>
        </is>
      </c>
      <c r="C793" t="inlineStr">
        <is>
          <t>26 SNOWCHIC QUILT WITH CORDUROY</t>
        </is>
      </c>
      <c r="D793" t="inlineStr">
        <is>
          <t>BLK</t>
        </is>
      </c>
      <c r="E793" t="inlineStr">
        <is>
          <t>(en blanco)</t>
        </is>
      </c>
      <c r="F793" t="inlineStr">
        <is>
          <t>(en blanco)</t>
        </is>
      </c>
      <c r="G793" t="inlineStr">
        <is>
          <t>XXL</t>
        </is>
      </c>
      <c r="H793" t="n">
        <v>23</v>
      </c>
      <c r="I793" t="inlineStr">
        <is>
          <t>LAUNDRY_BY_DESIGN_121009844_BLK_1.jpg</t>
        </is>
      </c>
      <c r="J793" t="inlineStr">
        <is>
          <t>LAUNDRY_BY_DESIGN_121009844_BLK_2.jpg</t>
        </is>
      </c>
      <c r="K793" t="inlineStr">
        <is>
          <t>LAUNDRY_BY_DESIGN_121009844_BLK_3.jpg</t>
        </is>
      </c>
      <c r="L793">
        <f>IMAGE("file:///E:/Estudios%20y%20certificaciones/ESTUDIOS%20DE%20PROGRAMMING/PROGRAMMING/PERSONAL/PYTHON/Image_Generator_API/imagenes/LAUNDRY_BY_DESIGN_121009844_BLK_1.jpg")</f>
        <v/>
      </c>
      <c r="M793">
        <f>IMAGE("file:///E:/Estudios%20y%20certificaciones/ESTUDIOS%20DE%20PROGRAMMING/PROGRAMMING/PERSONAL/PYTHON/Image_Generator_API/imagenes/LAUNDRY_BY_DESIGN_121009844_BLK_2.jpg")</f>
        <v/>
      </c>
      <c r="N793">
        <f>IMAGE("file:///E:/Estudios%20y%20certificaciones/ESTUDIOS%20DE%20PROGRAMMING/PROGRAMMING/PERSONAL/PYTHON/Image_Generator_API/imagenes/LAUNDRY_BY_DESIGN_121009844_BLK_3.jpg")</f>
        <v/>
      </c>
      <c r="O793">
        <f>HYPERLINK("imagenes/LAUNDRY_BY_DESIGN_121009844_BLK_1.jpg","Ver imagen")</f>
        <v/>
      </c>
      <c r="P793">
        <f>HYPERLINK("imagenes/LAUNDRY_BY_DESIGN_121009844_BLK_2.jpg","Ver imagen")</f>
        <v/>
      </c>
      <c r="Q793">
        <f>HYPERLINK("imagenes/LAUNDRY_BY_DESIGN_121009844_BLK_3.jpg","Ver imagen")</f>
        <v/>
      </c>
    </row>
    <row r="794">
      <c r="A794" t="inlineStr">
        <is>
          <t>LAUNDRY BY DESIGN</t>
        </is>
      </c>
      <c r="B794" t="inlineStr">
        <is>
          <t>121009844</t>
        </is>
      </c>
      <c r="C794" t="inlineStr">
        <is>
          <t>26 SNOWCHIC QUILT WITH CORDUROY</t>
        </is>
      </c>
      <c r="D794" t="inlineStr">
        <is>
          <t>NVY</t>
        </is>
      </c>
      <c r="E794" t="inlineStr">
        <is>
          <t>(en blanco)</t>
        </is>
      </c>
      <c r="F794" t="inlineStr">
        <is>
          <t>(en blanco)</t>
        </is>
      </c>
      <c r="G794" t="inlineStr">
        <is>
          <t>S</t>
        </is>
      </c>
      <c r="H794" t="n">
        <v>5</v>
      </c>
      <c r="I794" t="inlineStr">
        <is>
          <t>LAUNDRY_BY_DESIGN_121009844_NVY_1.jpg</t>
        </is>
      </c>
      <c r="J794" t="inlineStr">
        <is>
          <t>LAUNDRY_BY_DESIGN_121009844_NVY_2.jpg</t>
        </is>
      </c>
      <c r="K794" t="inlineStr">
        <is>
          <t>LAUNDRY_BY_DESIGN_121009844_NVY_3.jpg</t>
        </is>
      </c>
      <c r="L794">
        <f>IMAGE("file:///E:/Estudios%20y%20certificaciones/ESTUDIOS%20DE%20PROGRAMMING/PROGRAMMING/PERSONAL/PYTHON/Image_Generator_API/imagenes/LAUNDRY_BY_DESIGN_121009844_NVY_1.jpg")</f>
        <v/>
      </c>
      <c r="M794">
        <f>IMAGE("file:///E:/Estudios%20y%20certificaciones/ESTUDIOS%20DE%20PROGRAMMING/PROGRAMMING/PERSONAL/PYTHON/Image_Generator_API/imagenes/LAUNDRY_BY_DESIGN_121009844_NVY_2.jpg")</f>
        <v/>
      </c>
      <c r="N794">
        <f>IMAGE("file:///E:/Estudios%20y%20certificaciones/ESTUDIOS%20DE%20PROGRAMMING/PROGRAMMING/PERSONAL/PYTHON/Image_Generator_API/imagenes/LAUNDRY_BY_DESIGN_121009844_NVY_3.jpg")</f>
        <v/>
      </c>
      <c r="O794">
        <f>HYPERLINK("imagenes/LAUNDRY_BY_DESIGN_121009844_NVY_1.jpg","Ver imagen")</f>
        <v/>
      </c>
      <c r="P794">
        <f>HYPERLINK("imagenes/LAUNDRY_BY_DESIGN_121009844_NVY_2.jpg","Ver imagen")</f>
        <v/>
      </c>
      <c r="Q794">
        <f>HYPERLINK("imagenes/LAUNDRY_BY_DESIGN_121009844_NVY_3.jpg","Ver imagen")</f>
        <v/>
      </c>
    </row>
    <row r="795">
      <c r="A795" t="inlineStr">
        <is>
          <t>LAUNDRY BY DESIGN</t>
        </is>
      </c>
      <c r="B795" t="inlineStr">
        <is>
          <t>121009844</t>
        </is>
      </c>
      <c r="C795" t="inlineStr">
        <is>
          <t>26 SNOWCHIC QUILT WITH CORDUROY</t>
        </is>
      </c>
      <c r="D795" t="inlineStr">
        <is>
          <t>NVY</t>
        </is>
      </c>
      <c r="E795" t="inlineStr">
        <is>
          <t>(en blanco)</t>
        </is>
      </c>
      <c r="F795" t="inlineStr">
        <is>
          <t>(en blanco)</t>
        </is>
      </c>
      <c r="G795" t="inlineStr">
        <is>
          <t>M</t>
        </is>
      </c>
      <c r="H795" t="n">
        <v>15</v>
      </c>
      <c r="I795" t="inlineStr">
        <is>
          <t>LAUNDRY_BY_DESIGN_121009844_NVY_1.jpg</t>
        </is>
      </c>
      <c r="J795" t="inlineStr">
        <is>
          <t>LAUNDRY_BY_DESIGN_121009844_NVY_2.jpg</t>
        </is>
      </c>
      <c r="K795" t="inlineStr">
        <is>
          <t>LAUNDRY_BY_DESIGN_121009844_NVY_3.jpg</t>
        </is>
      </c>
      <c r="L795">
        <f>IMAGE("file:///E:/Estudios%20y%20certificaciones/ESTUDIOS%20DE%20PROGRAMMING/PROGRAMMING/PERSONAL/PYTHON/Image_Generator_API/imagenes/LAUNDRY_BY_DESIGN_121009844_NVY_1.jpg")</f>
        <v/>
      </c>
      <c r="M795">
        <f>IMAGE("file:///E:/Estudios%20y%20certificaciones/ESTUDIOS%20DE%20PROGRAMMING/PROGRAMMING/PERSONAL/PYTHON/Image_Generator_API/imagenes/LAUNDRY_BY_DESIGN_121009844_NVY_2.jpg")</f>
        <v/>
      </c>
      <c r="N795">
        <f>IMAGE("file:///E:/Estudios%20y%20certificaciones/ESTUDIOS%20DE%20PROGRAMMING/PROGRAMMING/PERSONAL/PYTHON/Image_Generator_API/imagenes/LAUNDRY_BY_DESIGN_121009844_NVY_3.jpg")</f>
        <v/>
      </c>
      <c r="O795">
        <f>HYPERLINK("imagenes/LAUNDRY_BY_DESIGN_121009844_NVY_1.jpg","Ver imagen")</f>
        <v/>
      </c>
      <c r="P795">
        <f>HYPERLINK("imagenes/LAUNDRY_BY_DESIGN_121009844_NVY_2.jpg","Ver imagen")</f>
        <v/>
      </c>
      <c r="Q795">
        <f>HYPERLINK("imagenes/LAUNDRY_BY_DESIGN_121009844_NVY_3.jpg","Ver imagen")</f>
        <v/>
      </c>
    </row>
    <row r="796">
      <c r="A796" t="inlineStr">
        <is>
          <t>LAUNDRY BY DESIGN</t>
        </is>
      </c>
      <c r="B796" t="inlineStr">
        <is>
          <t>121009844</t>
        </is>
      </c>
      <c r="C796" t="inlineStr">
        <is>
          <t>26 SNOWCHIC QUILT WITH CORDUROY</t>
        </is>
      </c>
      <c r="D796" t="inlineStr">
        <is>
          <t>NVY</t>
        </is>
      </c>
      <c r="E796" t="inlineStr">
        <is>
          <t>(en blanco)</t>
        </is>
      </c>
      <c r="F796" t="inlineStr">
        <is>
          <t>(en blanco)</t>
        </is>
      </c>
      <c r="G796" t="inlineStr">
        <is>
          <t>L</t>
        </is>
      </c>
      <c r="H796" t="n">
        <v>13</v>
      </c>
      <c r="I796" t="inlineStr">
        <is>
          <t>LAUNDRY_BY_DESIGN_121009844_NVY_1.jpg</t>
        </is>
      </c>
      <c r="J796" t="inlineStr">
        <is>
          <t>LAUNDRY_BY_DESIGN_121009844_NVY_2.jpg</t>
        </is>
      </c>
      <c r="K796" t="inlineStr">
        <is>
          <t>LAUNDRY_BY_DESIGN_121009844_NVY_3.jpg</t>
        </is>
      </c>
      <c r="L796">
        <f>IMAGE("file:///E:/Estudios%20y%20certificaciones/ESTUDIOS%20DE%20PROGRAMMING/PROGRAMMING/PERSONAL/PYTHON/Image_Generator_API/imagenes/LAUNDRY_BY_DESIGN_121009844_NVY_1.jpg")</f>
        <v/>
      </c>
      <c r="M796">
        <f>IMAGE("file:///E:/Estudios%20y%20certificaciones/ESTUDIOS%20DE%20PROGRAMMING/PROGRAMMING/PERSONAL/PYTHON/Image_Generator_API/imagenes/LAUNDRY_BY_DESIGN_121009844_NVY_2.jpg")</f>
        <v/>
      </c>
      <c r="N796">
        <f>IMAGE("file:///E:/Estudios%20y%20certificaciones/ESTUDIOS%20DE%20PROGRAMMING/PROGRAMMING/PERSONAL/PYTHON/Image_Generator_API/imagenes/LAUNDRY_BY_DESIGN_121009844_NVY_3.jpg")</f>
        <v/>
      </c>
      <c r="O796">
        <f>HYPERLINK("imagenes/LAUNDRY_BY_DESIGN_121009844_NVY_1.jpg","Ver imagen")</f>
        <v/>
      </c>
      <c r="P796">
        <f>HYPERLINK("imagenes/LAUNDRY_BY_DESIGN_121009844_NVY_2.jpg","Ver imagen")</f>
        <v/>
      </c>
      <c r="Q796">
        <f>HYPERLINK("imagenes/LAUNDRY_BY_DESIGN_121009844_NVY_3.jpg","Ver imagen")</f>
        <v/>
      </c>
    </row>
    <row r="797">
      <c r="A797" t="inlineStr">
        <is>
          <t>LAUNDRY BY DESIGN</t>
        </is>
      </c>
      <c r="B797" t="inlineStr">
        <is>
          <t>121009844</t>
        </is>
      </c>
      <c r="C797" t="inlineStr">
        <is>
          <t>26 SNOWCHIC QUILT WITH CORDUROY</t>
        </is>
      </c>
      <c r="D797" t="inlineStr">
        <is>
          <t>NVY</t>
        </is>
      </c>
      <c r="E797" t="inlineStr">
        <is>
          <t>(en blanco)</t>
        </is>
      </c>
      <c r="F797" t="inlineStr">
        <is>
          <t>(en blanco)</t>
        </is>
      </c>
      <c r="G797" t="inlineStr">
        <is>
          <t>XL</t>
        </is>
      </c>
      <c r="H797" t="n">
        <v>20</v>
      </c>
      <c r="I797" t="inlineStr">
        <is>
          <t>LAUNDRY_BY_DESIGN_121009844_NVY_1.jpg</t>
        </is>
      </c>
      <c r="J797" t="inlineStr">
        <is>
          <t>LAUNDRY_BY_DESIGN_121009844_NVY_2.jpg</t>
        </is>
      </c>
      <c r="K797" t="inlineStr">
        <is>
          <t>LAUNDRY_BY_DESIGN_121009844_NVY_3.jpg</t>
        </is>
      </c>
      <c r="L797">
        <f>IMAGE("file:///E:/Estudios%20y%20certificaciones/ESTUDIOS%20DE%20PROGRAMMING/PROGRAMMING/PERSONAL/PYTHON/Image_Generator_API/imagenes/LAUNDRY_BY_DESIGN_121009844_NVY_1.jpg")</f>
        <v/>
      </c>
      <c r="M797">
        <f>IMAGE("file:///E:/Estudios%20y%20certificaciones/ESTUDIOS%20DE%20PROGRAMMING/PROGRAMMING/PERSONAL/PYTHON/Image_Generator_API/imagenes/LAUNDRY_BY_DESIGN_121009844_NVY_2.jpg")</f>
        <v/>
      </c>
      <c r="N797">
        <f>IMAGE("file:///E:/Estudios%20y%20certificaciones/ESTUDIOS%20DE%20PROGRAMMING/PROGRAMMING/PERSONAL/PYTHON/Image_Generator_API/imagenes/LAUNDRY_BY_DESIGN_121009844_NVY_3.jpg")</f>
        <v/>
      </c>
      <c r="O797">
        <f>HYPERLINK("imagenes/LAUNDRY_BY_DESIGN_121009844_NVY_1.jpg","Ver imagen")</f>
        <v/>
      </c>
      <c r="P797">
        <f>HYPERLINK("imagenes/LAUNDRY_BY_DESIGN_121009844_NVY_2.jpg","Ver imagen")</f>
        <v/>
      </c>
      <c r="Q797">
        <f>HYPERLINK("imagenes/LAUNDRY_BY_DESIGN_121009844_NVY_3.jpg","Ver imagen")</f>
        <v/>
      </c>
    </row>
    <row r="798">
      <c r="A798" t="inlineStr">
        <is>
          <t>LAUNDRY BY DESIGN</t>
        </is>
      </c>
      <c r="B798" t="inlineStr">
        <is>
          <t>121009844</t>
        </is>
      </c>
      <c r="C798" t="inlineStr">
        <is>
          <t>26 SNOWCHIC QUILT WITH CORDUROY</t>
        </is>
      </c>
      <c r="D798" t="inlineStr">
        <is>
          <t>NVY</t>
        </is>
      </c>
      <c r="E798" t="inlineStr">
        <is>
          <t>(en blanco)</t>
        </is>
      </c>
      <c r="F798" t="inlineStr">
        <is>
          <t>(en blanco)</t>
        </is>
      </c>
      <c r="G798" t="inlineStr">
        <is>
          <t>XXL</t>
        </is>
      </c>
      <c r="H798" t="n">
        <v>11</v>
      </c>
      <c r="I798" t="inlineStr">
        <is>
          <t>LAUNDRY_BY_DESIGN_121009844_NVY_1.jpg</t>
        </is>
      </c>
      <c r="J798" t="inlineStr">
        <is>
          <t>LAUNDRY_BY_DESIGN_121009844_NVY_2.jpg</t>
        </is>
      </c>
      <c r="K798" t="inlineStr">
        <is>
          <t>LAUNDRY_BY_DESIGN_121009844_NVY_3.jpg</t>
        </is>
      </c>
      <c r="L798">
        <f>IMAGE("file:///E:/Estudios%20y%20certificaciones/ESTUDIOS%20DE%20PROGRAMMING/PROGRAMMING/PERSONAL/PYTHON/Image_Generator_API/imagenes/LAUNDRY_BY_DESIGN_121009844_NVY_1.jpg")</f>
        <v/>
      </c>
      <c r="M798">
        <f>IMAGE("file:///E:/Estudios%20y%20certificaciones/ESTUDIOS%20DE%20PROGRAMMING/PROGRAMMING/PERSONAL/PYTHON/Image_Generator_API/imagenes/LAUNDRY_BY_DESIGN_121009844_NVY_2.jpg")</f>
        <v/>
      </c>
      <c r="N798">
        <f>IMAGE("file:///E:/Estudios%20y%20certificaciones/ESTUDIOS%20DE%20PROGRAMMING/PROGRAMMING/PERSONAL/PYTHON/Image_Generator_API/imagenes/LAUNDRY_BY_DESIGN_121009844_NVY_3.jpg")</f>
        <v/>
      </c>
      <c r="O798">
        <f>HYPERLINK("imagenes/LAUNDRY_BY_DESIGN_121009844_NVY_1.jpg","Ver imagen")</f>
        <v/>
      </c>
      <c r="P798">
        <f>HYPERLINK("imagenes/LAUNDRY_BY_DESIGN_121009844_NVY_2.jpg","Ver imagen")</f>
        <v/>
      </c>
      <c r="Q798">
        <f>HYPERLINK("imagenes/LAUNDRY_BY_DESIGN_121009844_NVY_3.jpg","Ver imagen")</f>
        <v/>
      </c>
    </row>
    <row r="799">
      <c r="A799" t="inlineStr">
        <is>
          <t>LAUNDRY BY DESIGN</t>
        </is>
      </c>
      <c r="B799" t="inlineStr">
        <is>
          <t>121009845</t>
        </is>
      </c>
      <c r="C799" t="inlineStr">
        <is>
          <t>31.5 SNOWCHIC QUILT WITH CORDUROY</t>
        </is>
      </c>
      <c r="D799" t="inlineStr">
        <is>
          <t>BLK</t>
        </is>
      </c>
      <c r="E799" t="inlineStr">
        <is>
          <t>(en blanco)</t>
        </is>
      </c>
      <c r="F799" t="inlineStr">
        <is>
          <t>(en blanco)</t>
        </is>
      </c>
      <c r="G799" t="inlineStr">
        <is>
          <t>S</t>
        </is>
      </c>
      <c r="H799" t="n">
        <v>16</v>
      </c>
      <c r="I799" t="inlineStr">
        <is>
          <t>LAUNDRY_BY_DESIGN_121009845_BLK_1.jpg</t>
        </is>
      </c>
      <c r="J799" t="inlineStr">
        <is>
          <t>LAUNDRY_BY_DESIGN_121009845_BLK_2.jpg</t>
        </is>
      </c>
      <c r="K799" t="inlineStr">
        <is>
          <t>LAUNDRY_BY_DESIGN_121009845_BLK_3.jpg</t>
        </is>
      </c>
      <c r="L799">
        <f>IMAGE("file:///E:/Estudios%20y%20certificaciones/ESTUDIOS%20DE%20PROGRAMMING/PROGRAMMING/PERSONAL/PYTHON/Image_Generator_API/imagenes/LAUNDRY_BY_DESIGN_121009845_BLK_1.jpg")</f>
        <v/>
      </c>
      <c r="M799">
        <f>IMAGE("file:///E:/Estudios%20y%20certificaciones/ESTUDIOS%20DE%20PROGRAMMING/PROGRAMMING/PERSONAL/PYTHON/Image_Generator_API/imagenes/LAUNDRY_BY_DESIGN_121009845_BLK_2.jpg")</f>
        <v/>
      </c>
      <c r="N799">
        <f>IMAGE("file:///E:/Estudios%20y%20certificaciones/ESTUDIOS%20DE%20PROGRAMMING/PROGRAMMING/PERSONAL/PYTHON/Image_Generator_API/imagenes/LAUNDRY_BY_DESIGN_121009845_BLK_3.jpg")</f>
        <v/>
      </c>
      <c r="O799">
        <f>HYPERLINK("imagenes/LAUNDRY_BY_DESIGN_121009845_BLK_1.jpg","Ver imagen")</f>
        <v/>
      </c>
      <c r="P799">
        <f>HYPERLINK("imagenes/LAUNDRY_BY_DESIGN_121009845_BLK_2.jpg","Ver imagen")</f>
        <v/>
      </c>
      <c r="Q799">
        <f>HYPERLINK("imagenes/LAUNDRY_BY_DESIGN_121009845_BLK_3.jpg","Ver imagen")</f>
        <v/>
      </c>
    </row>
    <row r="800">
      <c r="A800" t="inlineStr">
        <is>
          <t>LAUNDRY BY DESIGN</t>
        </is>
      </c>
      <c r="B800" t="inlineStr">
        <is>
          <t>121009845</t>
        </is>
      </c>
      <c r="C800" t="inlineStr">
        <is>
          <t>31.5 SNOWCHIC QUILT WITH CORDUROY</t>
        </is>
      </c>
      <c r="D800" t="inlineStr">
        <is>
          <t>BLK</t>
        </is>
      </c>
      <c r="E800" t="inlineStr">
        <is>
          <t>(en blanco)</t>
        </is>
      </c>
      <c r="F800" t="inlineStr">
        <is>
          <t>(en blanco)</t>
        </is>
      </c>
      <c r="G800" t="inlineStr">
        <is>
          <t>M</t>
        </is>
      </c>
      <c r="H800" t="n">
        <v>38</v>
      </c>
      <c r="I800" t="inlineStr">
        <is>
          <t>LAUNDRY_BY_DESIGN_121009845_BLK_1.jpg</t>
        </is>
      </c>
      <c r="J800" t="inlineStr">
        <is>
          <t>LAUNDRY_BY_DESIGN_121009845_BLK_2.jpg</t>
        </is>
      </c>
      <c r="K800" t="inlineStr">
        <is>
          <t>LAUNDRY_BY_DESIGN_121009845_BLK_3.jpg</t>
        </is>
      </c>
      <c r="L800">
        <f>IMAGE("file:///E:/Estudios%20y%20certificaciones/ESTUDIOS%20DE%20PROGRAMMING/PROGRAMMING/PERSONAL/PYTHON/Image_Generator_API/imagenes/LAUNDRY_BY_DESIGN_121009845_BLK_1.jpg")</f>
        <v/>
      </c>
      <c r="M800">
        <f>IMAGE("file:///E:/Estudios%20y%20certificaciones/ESTUDIOS%20DE%20PROGRAMMING/PROGRAMMING/PERSONAL/PYTHON/Image_Generator_API/imagenes/LAUNDRY_BY_DESIGN_121009845_BLK_2.jpg")</f>
        <v/>
      </c>
      <c r="N800">
        <f>IMAGE("file:///E:/Estudios%20y%20certificaciones/ESTUDIOS%20DE%20PROGRAMMING/PROGRAMMING/PERSONAL/PYTHON/Image_Generator_API/imagenes/LAUNDRY_BY_DESIGN_121009845_BLK_3.jpg")</f>
        <v/>
      </c>
      <c r="O800">
        <f>HYPERLINK("imagenes/LAUNDRY_BY_DESIGN_121009845_BLK_1.jpg","Ver imagen")</f>
        <v/>
      </c>
      <c r="P800">
        <f>HYPERLINK("imagenes/LAUNDRY_BY_DESIGN_121009845_BLK_2.jpg","Ver imagen")</f>
        <v/>
      </c>
      <c r="Q800">
        <f>HYPERLINK("imagenes/LAUNDRY_BY_DESIGN_121009845_BLK_3.jpg","Ver imagen")</f>
        <v/>
      </c>
    </row>
    <row r="801">
      <c r="A801" t="inlineStr">
        <is>
          <t>LAUNDRY BY DESIGN</t>
        </is>
      </c>
      <c r="B801" t="inlineStr">
        <is>
          <t>121009845</t>
        </is>
      </c>
      <c r="C801" t="inlineStr">
        <is>
          <t>31.5 SNOWCHIC QUILT WITH CORDUROY</t>
        </is>
      </c>
      <c r="D801" t="inlineStr">
        <is>
          <t>BLK</t>
        </is>
      </c>
      <c r="E801" t="inlineStr">
        <is>
          <t>(en blanco)</t>
        </is>
      </c>
      <c r="F801" t="inlineStr">
        <is>
          <t>(en blanco)</t>
        </is>
      </c>
      <c r="G801" t="inlineStr">
        <is>
          <t>XL</t>
        </is>
      </c>
      <c r="H801" t="n">
        <v>42</v>
      </c>
      <c r="I801" t="inlineStr">
        <is>
          <t>LAUNDRY_BY_DESIGN_121009845_BLK_1.jpg</t>
        </is>
      </c>
      <c r="J801" t="inlineStr">
        <is>
          <t>LAUNDRY_BY_DESIGN_121009845_BLK_2.jpg</t>
        </is>
      </c>
      <c r="K801" t="inlineStr">
        <is>
          <t>LAUNDRY_BY_DESIGN_121009845_BLK_3.jpg</t>
        </is>
      </c>
      <c r="L801">
        <f>IMAGE("file:///E:/Estudios%20y%20certificaciones/ESTUDIOS%20DE%20PROGRAMMING/PROGRAMMING/PERSONAL/PYTHON/Image_Generator_API/imagenes/LAUNDRY_BY_DESIGN_121009845_BLK_1.jpg")</f>
        <v/>
      </c>
      <c r="M801">
        <f>IMAGE("file:///E:/Estudios%20y%20certificaciones/ESTUDIOS%20DE%20PROGRAMMING/PROGRAMMING/PERSONAL/PYTHON/Image_Generator_API/imagenes/LAUNDRY_BY_DESIGN_121009845_BLK_2.jpg")</f>
        <v/>
      </c>
      <c r="N801">
        <f>IMAGE("file:///E:/Estudios%20y%20certificaciones/ESTUDIOS%20DE%20PROGRAMMING/PROGRAMMING/PERSONAL/PYTHON/Image_Generator_API/imagenes/LAUNDRY_BY_DESIGN_121009845_BLK_3.jpg")</f>
        <v/>
      </c>
      <c r="O801">
        <f>HYPERLINK("imagenes/LAUNDRY_BY_DESIGN_121009845_BLK_1.jpg","Ver imagen")</f>
        <v/>
      </c>
      <c r="P801">
        <f>HYPERLINK("imagenes/LAUNDRY_BY_DESIGN_121009845_BLK_2.jpg","Ver imagen")</f>
        <v/>
      </c>
      <c r="Q801">
        <f>HYPERLINK("imagenes/LAUNDRY_BY_DESIGN_121009845_BLK_3.jpg","Ver imagen")</f>
        <v/>
      </c>
    </row>
    <row r="802">
      <c r="A802" t="inlineStr">
        <is>
          <t>LAUNDRY BY DESIGN</t>
        </is>
      </c>
      <c r="B802" t="inlineStr">
        <is>
          <t>121009845</t>
        </is>
      </c>
      <c r="C802" t="inlineStr">
        <is>
          <t>31.5 SNOWCHIC QUILT WITH CORDUROY</t>
        </is>
      </c>
      <c r="D802" t="inlineStr">
        <is>
          <t>BLK</t>
        </is>
      </c>
      <c r="E802" t="inlineStr">
        <is>
          <t>(en blanco)</t>
        </is>
      </c>
      <c r="F802" t="inlineStr">
        <is>
          <t>(en blanco)</t>
        </is>
      </c>
      <c r="G802" t="inlineStr">
        <is>
          <t>XXL</t>
        </is>
      </c>
      <c r="H802" t="n">
        <v>20</v>
      </c>
      <c r="I802" t="inlineStr">
        <is>
          <t>LAUNDRY_BY_DESIGN_121009845_BLK_1.jpg</t>
        </is>
      </c>
      <c r="J802" t="inlineStr">
        <is>
          <t>LAUNDRY_BY_DESIGN_121009845_BLK_2.jpg</t>
        </is>
      </c>
      <c r="K802" t="inlineStr">
        <is>
          <t>LAUNDRY_BY_DESIGN_121009845_BLK_3.jpg</t>
        </is>
      </c>
      <c r="L802">
        <f>IMAGE("file:///E:/Estudios%20y%20certificaciones/ESTUDIOS%20DE%20PROGRAMMING/PROGRAMMING/PERSONAL/PYTHON/Image_Generator_API/imagenes/LAUNDRY_BY_DESIGN_121009845_BLK_1.jpg")</f>
        <v/>
      </c>
      <c r="M802">
        <f>IMAGE("file:///E:/Estudios%20y%20certificaciones/ESTUDIOS%20DE%20PROGRAMMING/PROGRAMMING/PERSONAL/PYTHON/Image_Generator_API/imagenes/LAUNDRY_BY_DESIGN_121009845_BLK_2.jpg")</f>
        <v/>
      </c>
      <c r="N802">
        <f>IMAGE("file:///E:/Estudios%20y%20certificaciones/ESTUDIOS%20DE%20PROGRAMMING/PROGRAMMING/PERSONAL/PYTHON/Image_Generator_API/imagenes/LAUNDRY_BY_DESIGN_121009845_BLK_3.jpg")</f>
        <v/>
      </c>
      <c r="O802">
        <f>HYPERLINK("imagenes/LAUNDRY_BY_DESIGN_121009845_BLK_1.jpg","Ver imagen")</f>
        <v/>
      </c>
      <c r="P802">
        <f>HYPERLINK("imagenes/LAUNDRY_BY_DESIGN_121009845_BLK_2.jpg","Ver imagen")</f>
        <v/>
      </c>
      <c r="Q802">
        <f>HYPERLINK("imagenes/LAUNDRY_BY_DESIGN_121009845_BLK_3.jpg","Ver imagen")</f>
        <v/>
      </c>
    </row>
    <row r="803">
      <c r="A803" t="inlineStr">
        <is>
          <t>LAUNDRY BY DESIGN</t>
        </is>
      </c>
      <c r="B803" t="inlineStr">
        <is>
          <t>121009845</t>
        </is>
      </c>
      <c r="C803" t="inlineStr">
        <is>
          <t>31.5 SNOWCHIC QUILT WITH CORDUROY</t>
        </is>
      </c>
      <c r="D803" t="inlineStr">
        <is>
          <t>CHO</t>
        </is>
      </c>
      <c r="E803" t="inlineStr">
        <is>
          <t>(en blanco)</t>
        </is>
      </c>
      <c r="F803" t="inlineStr">
        <is>
          <t>(en blanco)</t>
        </is>
      </c>
      <c r="G803" t="inlineStr">
        <is>
          <t>S</t>
        </is>
      </c>
      <c r="H803" t="n">
        <v>1</v>
      </c>
      <c r="I803" t="inlineStr">
        <is>
          <t>LAUNDRY_BY_DESIGN_121009845_CHO_1.jpg</t>
        </is>
      </c>
      <c r="J803" t="inlineStr">
        <is>
          <t>LAUNDRY_BY_DESIGN_121009845_CHO_2.jpg</t>
        </is>
      </c>
      <c r="K803" t="inlineStr">
        <is>
          <t>LAUNDRY_BY_DESIGN_121009845_CHO_3.jpg</t>
        </is>
      </c>
      <c r="L803">
        <f>IMAGE("file:///E:/Estudios%20y%20certificaciones/ESTUDIOS%20DE%20PROGRAMMING/PROGRAMMING/PERSONAL/PYTHON/Image_Generator_API/imagenes/LAUNDRY_BY_DESIGN_121009845_CHO_1.jpg")</f>
        <v/>
      </c>
      <c r="M803">
        <f>IMAGE("file:///E:/Estudios%20y%20certificaciones/ESTUDIOS%20DE%20PROGRAMMING/PROGRAMMING/PERSONAL/PYTHON/Image_Generator_API/imagenes/LAUNDRY_BY_DESIGN_121009845_CHO_2.jpg")</f>
        <v/>
      </c>
      <c r="N803">
        <f>IMAGE("file:///E:/Estudios%20y%20certificaciones/ESTUDIOS%20DE%20PROGRAMMING/PROGRAMMING/PERSONAL/PYTHON/Image_Generator_API/imagenes/LAUNDRY_BY_DESIGN_121009845_CHO_3.jpg")</f>
        <v/>
      </c>
      <c r="O803">
        <f>HYPERLINK("imagenes/LAUNDRY_BY_DESIGN_121009845_CHO_1.jpg","Ver imagen")</f>
        <v/>
      </c>
      <c r="P803">
        <f>HYPERLINK("imagenes/LAUNDRY_BY_DESIGN_121009845_CHO_2.jpg","Ver imagen")</f>
        <v/>
      </c>
      <c r="Q803">
        <f>HYPERLINK("imagenes/LAUNDRY_BY_DESIGN_121009845_CHO_3.jpg","Ver imagen")</f>
        <v/>
      </c>
    </row>
    <row r="804">
      <c r="A804" t="inlineStr">
        <is>
          <t>LAUNDRY BY DESIGN</t>
        </is>
      </c>
      <c r="B804" t="inlineStr">
        <is>
          <t>121009845</t>
        </is>
      </c>
      <c r="C804" t="inlineStr">
        <is>
          <t>31.5 SNOWCHIC QUILT WITH CORDUROY</t>
        </is>
      </c>
      <c r="D804" t="inlineStr">
        <is>
          <t>CHO</t>
        </is>
      </c>
      <c r="E804" t="inlineStr">
        <is>
          <t>(en blanco)</t>
        </is>
      </c>
      <c r="F804" t="inlineStr">
        <is>
          <t>(en blanco)</t>
        </is>
      </c>
      <c r="G804" t="inlineStr">
        <is>
          <t>M</t>
        </is>
      </c>
      <c r="H804" t="n">
        <v>3</v>
      </c>
      <c r="I804" t="inlineStr">
        <is>
          <t>LAUNDRY_BY_DESIGN_121009845_CHO_1.jpg</t>
        </is>
      </c>
      <c r="J804" t="inlineStr">
        <is>
          <t>LAUNDRY_BY_DESIGN_121009845_CHO_2.jpg</t>
        </is>
      </c>
      <c r="K804" t="inlineStr">
        <is>
          <t>LAUNDRY_BY_DESIGN_121009845_CHO_3.jpg</t>
        </is>
      </c>
      <c r="L804">
        <f>IMAGE("file:///E:/Estudios%20y%20certificaciones/ESTUDIOS%20DE%20PROGRAMMING/PROGRAMMING/PERSONAL/PYTHON/Image_Generator_API/imagenes/LAUNDRY_BY_DESIGN_121009845_CHO_1.jpg")</f>
        <v/>
      </c>
      <c r="M804">
        <f>IMAGE("file:///E:/Estudios%20y%20certificaciones/ESTUDIOS%20DE%20PROGRAMMING/PROGRAMMING/PERSONAL/PYTHON/Image_Generator_API/imagenes/LAUNDRY_BY_DESIGN_121009845_CHO_2.jpg")</f>
        <v/>
      </c>
      <c r="N804">
        <f>IMAGE("file:///E:/Estudios%20y%20certificaciones/ESTUDIOS%20DE%20PROGRAMMING/PROGRAMMING/PERSONAL/PYTHON/Image_Generator_API/imagenes/LAUNDRY_BY_DESIGN_121009845_CHO_3.jpg")</f>
        <v/>
      </c>
      <c r="O804">
        <f>HYPERLINK("imagenes/LAUNDRY_BY_DESIGN_121009845_CHO_1.jpg","Ver imagen")</f>
        <v/>
      </c>
      <c r="P804">
        <f>HYPERLINK("imagenes/LAUNDRY_BY_DESIGN_121009845_CHO_2.jpg","Ver imagen")</f>
        <v/>
      </c>
      <c r="Q804">
        <f>HYPERLINK("imagenes/LAUNDRY_BY_DESIGN_121009845_CHO_3.jpg","Ver imagen")</f>
        <v/>
      </c>
    </row>
    <row r="805">
      <c r="A805" t="inlineStr">
        <is>
          <t>LAUNDRY BY DESIGN</t>
        </is>
      </c>
      <c r="B805" t="inlineStr">
        <is>
          <t>121009845</t>
        </is>
      </c>
      <c r="C805" t="inlineStr">
        <is>
          <t>31.5 SNOWCHIC QUILT WITH CORDUROY</t>
        </is>
      </c>
      <c r="D805" t="inlineStr">
        <is>
          <t>CHO</t>
        </is>
      </c>
      <c r="E805" t="inlineStr">
        <is>
          <t>(en blanco)</t>
        </is>
      </c>
      <c r="F805" t="inlineStr">
        <is>
          <t>(en blanco)</t>
        </is>
      </c>
      <c r="G805" t="inlineStr">
        <is>
          <t>L</t>
        </is>
      </c>
      <c r="H805" t="n">
        <v>3</v>
      </c>
      <c r="I805" t="inlineStr">
        <is>
          <t>LAUNDRY_BY_DESIGN_121009845_CHO_1.jpg</t>
        </is>
      </c>
      <c r="J805" t="inlineStr">
        <is>
          <t>LAUNDRY_BY_DESIGN_121009845_CHO_2.jpg</t>
        </is>
      </c>
      <c r="K805" t="inlineStr">
        <is>
          <t>LAUNDRY_BY_DESIGN_121009845_CHO_3.jpg</t>
        </is>
      </c>
      <c r="L805">
        <f>IMAGE("file:///E:/Estudios%20y%20certificaciones/ESTUDIOS%20DE%20PROGRAMMING/PROGRAMMING/PERSONAL/PYTHON/Image_Generator_API/imagenes/LAUNDRY_BY_DESIGN_121009845_CHO_1.jpg")</f>
        <v/>
      </c>
      <c r="M805">
        <f>IMAGE("file:///E:/Estudios%20y%20certificaciones/ESTUDIOS%20DE%20PROGRAMMING/PROGRAMMING/PERSONAL/PYTHON/Image_Generator_API/imagenes/LAUNDRY_BY_DESIGN_121009845_CHO_2.jpg")</f>
        <v/>
      </c>
      <c r="N805">
        <f>IMAGE("file:///E:/Estudios%20y%20certificaciones/ESTUDIOS%20DE%20PROGRAMMING/PROGRAMMING/PERSONAL/PYTHON/Image_Generator_API/imagenes/LAUNDRY_BY_DESIGN_121009845_CHO_3.jpg")</f>
        <v/>
      </c>
      <c r="O805">
        <f>HYPERLINK("imagenes/LAUNDRY_BY_DESIGN_121009845_CHO_1.jpg","Ver imagen")</f>
        <v/>
      </c>
      <c r="P805">
        <f>HYPERLINK("imagenes/LAUNDRY_BY_DESIGN_121009845_CHO_2.jpg","Ver imagen")</f>
        <v/>
      </c>
      <c r="Q805">
        <f>HYPERLINK("imagenes/LAUNDRY_BY_DESIGN_121009845_CHO_3.jpg","Ver imagen")</f>
        <v/>
      </c>
    </row>
    <row r="806">
      <c r="A806" t="inlineStr">
        <is>
          <t>LAUNDRY BY DESIGN</t>
        </is>
      </c>
      <c r="B806" t="inlineStr">
        <is>
          <t>121009845</t>
        </is>
      </c>
      <c r="C806" t="inlineStr">
        <is>
          <t>31.5 SNOWCHIC QUILT WITH CORDUROY</t>
        </is>
      </c>
      <c r="D806" t="inlineStr">
        <is>
          <t>CHO</t>
        </is>
      </c>
      <c r="E806" t="inlineStr">
        <is>
          <t>(en blanco)</t>
        </is>
      </c>
      <c r="F806" t="inlineStr">
        <is>
          <t>(en blanco)</t>
        </is>
      </c>
      <c r="G806" t="inlineStr">
        <is>
          <t>XL</t>
        </is>
      </c>
      <c r="H806" t="n">
        <v>12</v>
      </c>
      <c r="I806" t="inlineStr">
        <is>
          <t>LAUNDRY_BY_DESIGN_121009845_CHO_1.jpg</t>
        </is>
      </c>
      <c r="J806" t="inlineStr">
        <is>
          <t>LAUNDRY_BY_DESIGN_121009845_CHO_2.jpg</t>
        </is>
      </c>
      <c r="K806" t="inlineStr">
        <is>
          <t>LAUNDRY_BY_DESIGN_121009845_CHO_3.jpg</t>
        </is>
      </c>
      <c r="L806">
        <f>IMAGE("file:///E:/Estudios%20y%20certificaciones/ESTUDIOS%20DE%20PROGRAMMING/PROGRAMMING/PERSONAL/PYTHON/Image_Generator_API/imagenes/LAUNDRY_BY_DESIGN_121009845_CHO_1.jpg")</f>
        <v/>
      </c>
      <c r="M806">
        <f>IMAGE("file:///E:/Estudios%20y%20certificaciones/ESTUDIOS%20DE%20PROGRAMMING/PROGRAMMING/PERSONAL/PYTHON/Image_Generator_API/imagenes/LAUNDRY_BY_DESIGN_121009845_CHO_2.jpg")</f>
        <v/>
      </c>
      <c r="N806">
        <f>IMAGE("file:///E:/Estudios%20y%20certificaciones/ESTUDIOS%20DE%20PROGRAMMING/PROGRAMMING/PERSONAL/PYTHON/Image_Generator_API/imagenes/LAUNDRY_BY_DESIGN_121009845_CHO_3.jpg")</f>
        <v/>
      </c>
      <c r="O806">
        <f>HYPERLINK("imagenes/LAUNDRY_BY_DESIGN_121009845_CHO_1.jpg","Ver imagen")</f>
        <v/>
      </c>
      <c r="P806">
        <f>HYPERLINK("imagenes/LAUNDRY_BY_DESIGN_121009845_CHO_2.jpg","Ver imagen")</f>
        <v/>
      </c>
      <c r="Q806">
        <f>HYPERLINK("imagenes/LAUNDRY_BY_DESIGN_121009845_CHO_3.jpg","Ver imagen")</f>
        <v/>
      </c>
    </row>
    <row r="807">
      <c r="A807" t="inlineStr">
        <is>
          <t>LAUNDRY BY DESIGN</t>
        </is>
      </c>
      <c r="B807" t="inlineStr">
        <is>
          <t>121009845</t>
        </is>
      </c>
      <c r="C807" t="inlineStr">
        <is>
          <t>31.5 SNOWCHIC QUILT WITH CORDUROY</t>
        </is>
      </c>
      <c r="D807" t="inlineStr">
        <is>
          <t>CHO</t>
        </is>
      </c>
      <c r="E807" t="inlineStr">
        <is>
          <t>(en blanco)</t>
        </is>
      </c>
      <c r="F807" t="inlineStr">
        <is>
          <t>(en blanco)</t>
        </is>
      </c>
      <c r="G807" t="inlineStr">
        <is>
          <t>XXL</t>
        </is>
      </c>
      <c r="H807" t="n">
        <v>8</v>
      </c>
      <c r="I807" t="inlineStr">
        <is>
          <t>LAUNDRY_BY_DESIGN_121009845_CHO_1.jpg</t>
        </is>
      </c>
      <c r="J807" t="inlineStr">
        <is>
          <t>LAUNDRY_BY_DESIGN_121009845_CHO_2.jpg</t>
        </is>
      </c>
      <c r="K807" t="inlineStr">
        <is>
          <t>LAUNDRY_BY_DESIGN_121009845_CHO_3.jpg</t>
        </is>
      </c>
      <c r="L807">
        <f>IMAGE("file:///E:/Estudios%20y%20certificaciones/ESTUDIOS%20DE%20PROGRAMMING/PROGRAMMING/PERSONAL/PYTHON/Image_Generator_API/imagenes/LAUNDRY_BY_DESIGN_121009845_CHO_1.jpg")</f>
        <v/>
      </c>
      <c r="M807">
        <f>IMAGE("file:///E:/Estudios%20y%20certificaciones/ESTUDIOS%20DE%20PROGRAMMING/PROGRAMMING/PERSONAL/PYTHON/Image_Generator_API/imagenes/LAUNDRY_BY_DESIGN_121009845_CHO_2.jpg")</f>
        <v/>
      </c>
      <c r="N807">
        <f>IMAGE("file:///E:/Estudios%20y%20certificaciones/ESTUDIOS%20DE%20PROGRAMMING/PROGRAMMING/PERSONAL/PYTHON/Image_Generator_API/imagenes/LAUNDRY_BY_DESIGN_121009845_CHO_3.jpg")</f>
        <v/>
      </c>
      <c r="O807">
        <f>HYPERLINK("imagenes/LAUNDRY_BY_DESIGN_121009845_CHO_1.jpg","Ver imagen")</f>
        <v/>
      </c>
      <c r="P807">
        <f>HYPERLINK("imagenes/LAUNDRY_BY_DESIGN_121009845_CHO_2.jpg","Ver imagen")</f>
        <v/>
      </c>
      <c r="Q807">
        <f>HYPERLINK("imagenes/LAUNDRY_BY_DESIGN_121009845_CHO_3.jpg","Ver imagen")</f>
        <v/>
      </c>
    </row>
    <row r="808">
      <c r="A808" t="inlineStr">
        <is>
          <t>LAUNDRY BY DESIGN</t>
        </is>
      </c>
      <c r="B808" t="inlineStr">
        <is>
          <t>121009845</t>
        </is>
      </c>
      <c r="C808" t="inlineStr">
        <is>
          <t>31.5 SNOWCHIC QUILT WITH CORDUROY</t>
        </is>
      </c>
      <c r="D808" t="inlineStr">
        <is>
          <t>OLI</t>
        </is>
      </c>
      <c r="E808" t="inlineStr">
        <is>
          <t>(en blanco)</t>
        </is>
      </c>
      <c r="F808" t="inlineStr">
        <is>
          <t>(en blanco)</t>
        </is>
      </c>
      <c r="G808" t="inlineStr">
        <is>
          <t>S</t>
        </is>
      </c>
      <c r="H808" t="n">
        <v>0</v>
      </c>
      <c r="I808" t="inlineStr">
        <is>
          <t>LAUNDRY_BY_DESIGN_121009845_OLI_1.jpg</t>
        </is>
      </c>
      <c r="J808" t="inlineStr">
        <is>
          <t>LAUNDRY_BY_DESIGN_121009845_OLI_2.jpg</t>
        </is>
      </c>
      <c r="K808" t="inlineStr">
        <is>
          <t>LAUNDRY_BY_DESIGN_121009845_OLI_3.jpg</t>
        </is>
      </c>
      <c r="L808">
        <f>IMAGE("file:///E:/Estudios%20y%20certificaciones/ESTUDIOS%20DE%20PROGRAMMING/PROGRAMMING/PERSONAL/PYTHON/Image_Generator_API/imagenes/LAUNDRY_BY_DESIGN_121009845_OLI_1.jpg")</f>
        <v/>
      </c>
      <c r="M808">
        <f>IMAGE("file:///E:/Estudios%20y%20certificaciones/ESTUDIOS%20DE%20PROGRAMMING/PROGRAMMING/PERSONAL/PYTHON/Image_Generator_API/imagenes/LAUNDRY_BY_DESIGN_121009845_OLI_2.jpg")</f>
        <v/>
      </c>
      <c r="N808">
        <f>IMAGE("file:///E:/Estudios%20y%20certificaciones/ESTUDIOS%20DE%20PROGRAMMING/PROGRAMMING/PERSONAL/PYTHON/Image_Generator_API/imagenes/LAUNDRY_BY_DESIGN_121009845_OLI_3.jpg")</f>
        <v/>
      </c>
      <c r="O808">
        <f>HYPERLINK("imagenes/LAUNDRY_BY_DESIGN_121009845_OLI_1.jpg","Ver imagen")</f>
        <v/>
      </c>
      <c r="P808">
        <f>HYPERLINK("imagenes/LAUNDRY_BY_DESIGN_121009845_OLI_2.jpg","Ver imagen")</f>
        <v/>
      </c>
      <c r="Q808">
        <f>HYPERLINK("imagenes/LAUNDRY_BY_DESIGN_121009845_OLI_3.jpg","Ver imagen")</f>
        <v/>
      </c>
    </row>
    <row r="809">
      <c r="A809" t="inlineStr">
        <is>
          <t>LAUNDRY BY DESIGN</t>
        </is>
      </c>
      <c r="B809" t="inlineStr">
        <is>
          <t>121009845</t>
        </is>
      </c>
      <c r="C809" t="inlineStr">
        <is>
          <t>31.5 SNOWCHIC QUILT WITH CORDUROY</t>
        </is>
      </c>
      <c r="D809" t="inlineStr">
        <is>
          <t>OLI</t>
        </is>
      </c>
      <c r="E809" t="inlineStr">
        <is>
          <t>(en blanco)</t>
        </is>
      </c>
      <c r="F809" t="inlineStr">
        <is>
          <t>(en blanco)</t>
        </is>
      </c>
      <c r="G809" t="inlineStr">
        <is>
          <t>M</t>
        </is>
      </c>
      <c r="H809" t="n">
        <v>8</v>
      </c>
      <c r="I809" t="inlineStr">
        <is>
          <t>LAUNDRY_BY_DESIGN_121009845_OLI_1.jpg</t>
        </is>
      </c>
      <c r="J809" t="inlineStr">
        <is>
          <t>LAUNDRY_BY_DESIGN_121009845_OLI_2.jpg</t>
        </is>
      </c>
      <c r="K809" t="inlineStr">
        <is>
          <t>LAUNDRY_BY_DESIGN_121009845_OLI_3.jpg</t>
        </is>
      </c>
      <c r="L809">
        <f>IMAGE("file:///E:/Estudios%20y%20certificaciones/ESTUDIOS%20DE%20PROGRAMMING/PROGRAMMING/PERSONAL/PYTHON/Image_Generator_API/imagenes/LAUNDRY_BY_DESIGN_121009845_OLI_1.jpg")</f>
        <v/>
      </c>
      <c r="M809">
        <f>IMAGE("file:///E:/Estudios%20y%20certificaciones/ESTUDIOS%20DE%20PROGRAMMING/PROGRAMMING/PERSONAL/PYTHON/Image_Generator_API/imagenes/LAUNDRY_BY_DESIGN_121009845_OLI_2.jpg")</f>
        <v/>
      </c>
      <c r="N809">
        <f>IMAGE("file:///E:/Estudios%20y%20certificaciones/ESTUDIOS%20DE%20PROGRAMMING/PROGRAMMING/PERSONAL/PYTHON/Image_Generator_API/imagenes/LAUNDRY_BY_DESIGN_121009845_OLI_3.jpg")</f>
        <v/>
      </c>
      <c r="O809">
        <f>HYPERLINK("imagenes/LAUNDRY_BY_DESIGN_121009845_OLI_1.jpg","Ver imagen")</f>
        <v/>
      </c>
      <c r="P809">
        <f>HYPERLINK("imagenes/LAUNDRY_BY_DESIGN_121009845_OLI_2.jpg","Ver imagen")</f>
        <v/>
      </c>
      <c r="Q809">
        <f>HYPERLINK("imagenes/LAUNDRY_BY_DESIGN_121009845_OLI_3.jpg","Ver imagen")</f>
        <v/>
      </c>
    </row>
    <row r="810">
      <c r="A810" t="inlineStr">
        <is>
          <t>LAUNDRY BY DESIGN</t>
        </is>
      </c>
      <c r="B810" t="inlineStr">
        <is>
          <t>121009845</t>
        </is>
      </c>
      <c r="C810" t="inlineStr">
        <is>
          <t>31.5 SNOWCHIC QUILT WITH CORDUROY</t>
        </is>
      </c>
      <c r="D810" t="inlineStr">
        <is>
          <t>OLI</t>
        </is>
      </c>
      <c r="E810" t="inlineStr">
        <is>
          <t>(en blanco)</t>
        </is>
      </c>
      <c r="F810" t="inlineStr">
        <is>
          <t>(en blanco)</t>
        </is>
      </c>
      <c r="G810" t="inlineStr">
        <is>
          <t>L</t>
        </is>
      </c>
      <c r="H810" t="n">
        <v>8</v>
      </c>
      <c r="I810" t="inlineStr">
        <is>
          <t>LAUNDRY_BY_DESIGN_121009845_OLI_1.jpg</t>
        </is>
      </c>
      <c r="J810" t="inlineStr">
        <is>
          <t>LAUNDRY_BY_DESIGN_121009845_OLI_2.jpg</t>
        </is>
      </c>
      <c r="K810" t="inlineStr">
        <is>
          <t>LAUNDRY_BY_DESIGN_121009845_OLI_3.jpg</t>
        </is>
      </c>
      <c r="L810">
        <f>IMAGE("file:///E:/Estudios%20y%20certificaciones/ESTUDIOS%20DE%20PROGRAMMING/PROGRAMMING/PERSONAL/PYTHON/Image_Generator_API/imagenes/LAUNDRY_BY_DESIGN_121009845_OLI_1.jpg")</f>
        <v/>
      </c>
      <c r="M810">
        <f>IMAGE("file:///E:/Estudios%20y%20certificaciones/ESTUDIOS%20DE%20PROGRAMMING/PROGRAMMING/PERSONAL/PYTHON/Image_Generator_API/imagenes/LAUNDRY_BY_DESIGN_121009845_OLI_2.jpg")</f>
        <v/>
      </c>
      <c r="N810">
        <f>IMAGE("file:///E:/Estudios%20y%20certificaciones/ESTUDIOS%20DE%20PROGRAMMING/PROGRAMMING/PERSONAL/PYTHON/Image_Generator_API/imagenes/LAUNDRY_BY_DESIGN_121009845_OLI_3.jpg")</f>
        <v/>
      </c>
      <c r="O810">
        <f>HYPERLINK("imagenes/LAUNDRY_BY_DESIGN_121009845_OLI_1.jpg","Ver imagen")</f>
        <v/>
      </c>
      <c r="P810">
        <f>HYPERLINK("imagenes/LAUNDRY_BY_DESIGN_121009845_OLI_2.jpg","Ver imagen")</f>
        <v/>
      </c>
      <c r="Q810">
        <f>HYPERLINK("imagenes/LAUNDRY_BY_DESIGN_121009845_OLI_3.jpg","Ver imagen")</f>
        <v/>
      </c>
    </row>
    <row r="811">
      <c r="A811" t="inlineStr">
        <is>
          <t>LAUNDRY BY DESIGN</t>
        </is>
      </c>
      <c r="B811" t="inlineStr">
        <is>
          <t>121009845</t>
        </is>
      </c>
      <c r="C811" t="inlineStr">
        <is>
          <t>31.5 SNOWCHIC QUILT WITH CORDUROY</t>
        </is>
      </c>
      <c r="D811" t="inlineStr">
        <is>
          <t>OLI</t>
        </is>
      </c>
      <c r="E811" t="inlineStr">
        <is>
          <t>(en blanco)</t>
        </is>
      </c>
      <c r="F811" t="inlineStr">
        <is>
          <t>(en blanco)</t>
        </is>
      </c>
      <c r="G811" t="inlineStr">
        <is>
          <t>XL</t>
        </is>
      </c>
      <c r="H811" t="n">
        <v>15</v>
      </c>
      <c r="I811" t="inlineStr">
        <is>
          <t>LAUNDRY_BY_DESIGN_121009845_OLI_1.jpg</t>
        </is>
      </c>
      <c r="J811" t="inlineStr">
        <is>
          <t>LAUNDRY_BY_DESIGN_121009845_OLI_2.jpg</t>
        </is>
      </c>
      <c r="K811" t="inlineStr">
        <is>
          <t>LAUNDRY_BY_DESIGN_121009845_OLI_3.jpg</t>
        </is>
      </c>
      <c r="L811">
        <f>IMAGE("file:///E:/Estudios%20y%20certificaciones/ESTUDIOS%20DE%20PROGRAMMING/PROGRAMMING/PERSONAL/PYTHON/Image_Generator_API/imagenes/LAUNDRY_BY_DESIGN_121009845_OLI_1.jpg")</f>
        <v/>
      </c>
      <c r="M811">
        <f>IMAGE("file:///E:/Estudios%20y%20certificaciones/ESTUDIOS%20DE%20PROGRAMMING/PROGRAMMING/PERSONAL/PYTHON/Image_Generator_API/imagenes/LAUNDRY_BY_DESIGN_121009845_OLI_2.jpg")</f>
        <v/>
      </c>
      <c r="N811">
        <f>IMAGE("file:///E:/Estudios%20y%20certificaciones/ESTUDIOS%20DE%20PROGRAMMING/PROGRAMMING/PERSONAL/PYTHON/Image_Generator_API/imagenes/LAUNDRY_BY_DESIGN_121009845_OLI_3.jpg")</f>
        <v/>
      </c>
      <c r="O811">
        <f>HYPERLINK("imagenes/LAUNDRY_BY_DESIGN_121009845_OLI_1.jpg","Ver imagen")</f>
        <v/>
      </c>
      <c r="P811">
        <f>HYPERLINK("imagenes/LAUNDRY_BY_DESIGN_121009845_OLI_2.jpg","Ver imagen")</f>
        <v/>
      </c>
      <c r="Q811">
        <f>HYPERLINK("imagenes/LAUNDRY_BY_DESIGN_121009845_OLI_3.jpg","Ver imagen")</f>
        <v/>
      </c>
    </row>
    <row r="812">
      <c r="A812" t="inlineStr">
        <is>
          <t>LAUNDRY BY DESIGN</t>
        </is>
      </c>
      <c r="B812" t="inlineStr">
        <is>
          <t>121009845</t>
        </is>
      </c>
      <c r="C812" t="inlineStr">
        <is>
          <t>31.5 SNOWCHIC QUILT WITH CORDUROY</t>
        </is>
      </c>
      <c r="D812" t="inlineStr">
        <is>
          <t>OLI</t>
        </is>
      </c>
      <c r="E812" t="inlineStr">
        <is>
          <t>(en blanco)</t>
        </is>
      </c>
      <c r="F812" t="inlineStr">
        <is>
          <t>(en blanco)</t>
        </is>
      </c>
      <c r="G812" t="inlineStr">
        <is>
          <t>XXL</t>
        </is>
      </c>
      <c r="H812" t="n">
        <v>8</v>
      </c>
      <c r="I812" t="inlineStr">
        <is>
          <t>LAUNDRY_BY_DESIGN_121009845_OLI_1.jpg</t>
        </is>
      </c>
      <c r="J812" t="inlineStr">
        <is>
          <t>LAUNDRY_BY_DESIGN_121009845_OLI_2.jpg</t>
        </is>
      </c>
      <c r="K812" t="inlineStr">
        <is>
          <t>LAUNDRY_BY_DESIGN_121009845_OLI_3.jpg</t>
        </is>
      </c>
      <c r="L812">
        <f>IMAGE("file:///E:/Estudios%20y%20certificaciones/ESTUDIOS%20DE%20PROGRAMMING/PROGRAMMING/PERSONAL/PYTHON/Image_Generator_API/imagenes/LAUNDRY_BY_DESIGN_121009845_OLI_1.jpg")</f>
        <v/>
      </c>
      <c r="M812">
        <f>IMAGE("file:///E:/Estudios%20y%20certificaciones/ESTUDIOS%20DE%20PROGRAMMING/PROGRAMMING/PERSONAL/PYTHON/Image_Generator_API/imagenes/LAUNDRY_BY_DESIGN_121009845_OLI_2.jpg")</f>
        <v/>
      </c>
      <c r="N812">
        <f>IMAGE("file:///E:/Estudios%20y%20certificaciones/ESTUDIOS%20DE%20PROGRAMMING/PROGRAMMING/PERSONAL/PYTHON/Image_Generator_API/imagenes/LAUNDRY_BY_DESIGN_121009845_OLI_3.jpg")</f>
        <v/>
      </c>
      <c r="O812">
        <f>HYPERLINK("imagenes/LAUNDRY_BY_DESIGN_121009845_OLI_1.jpg","Ver imagen")</f>
        <v/>
      </c>
      <c r="P812">
        <f>HYPERLINK("imagenes/LAUNDRY_BY_DESIGN_121009845_OLI_2.jpg","Ver imagen")</f>
        <v/>
      </c>
      <c r="Q812">
        <f>HYPERLINK("imagenes/LAUNDRY_BY_DESIGN_121009845_OLI_3.jpg","Ver imagen")</f>
        <v/>
      </c>
    </row>
    <row r="813">
      <c r="A813" t="inlineStr">
        <is>
          <t>LAUNDRY BY DESIGN</t>
        </is>
      </c>
      <c r="B813" t="inlineStr">
        <is>
          <t>121009846</t>
        </is>
      </c>
      <c r="C813" t="inlineStr">
        <is>
          <t>26.5 SNOWCHIC PUFFER</t>
        </is>
      </c>
      <c r="D813" t="inlineStr">
        <is>
          <t>BLK</t>
        </is>
      </c>
      <c r="E813" t="inlineStr">
        <is>
          <t>06A01</t>
        </is>
      </c>
      <c r="F813" t="inlineStr">
        <is>
          <t>(en blanco)</t>
        </is>
      </c>
      <c r="G813" t="inlineStr">
        <is>
          <t>PPK</t>
        </is>
      </c>
      <c r="H813" t="n">
        <v>0</v>
      </c>
      <c r="I813" t="inlineStr">
        <is>
          <t>LAUNDRY_BY_DESIGN_121009846_BLK_1.jpg</t>
        </is>
      </c>
      <c r="J813" t="inlineStr">
        <is>
          <t>LAUNDRY_BY_DESIGN_121009846_BLK_2.jpg</t>
        </is>
      </c>
      <c r="K813" t="inlineStr">
        <is>
          <t>LAUNDRY_BY_DESIGN_121009846_BLK_3.jpg</t>
        </is>
      </c>
      <c r="L813">
        <f>IMAGE("file:///E:/Estudios%20y%20certificaciones/ESTUDIOS%20DE%20PROGRAMMING/PROGRAMMING/PERSONAL/PYTHON/Image_Generator_API/imagenes/LAUNDRY_BY_DESIGN_121009846_BLK_1.jpg")</f>
        <v/>
      </c>
      <c r="M813">
        <f>IMAGE("file:///E:/Estudios%20y%20certificaciones/ESTUDIOS%20DE%20PROGRAMMING/PROGRAMMING/PERSONAL/PYTHON/Image_Generator_API/imagenes/LAUNDRY_BY_DESIGN_121009846_BLK_2.jpg")</f>
        <v/>
      </c>
      <c r="N813">
        <f>IMAGE("file:///E:/Estudios%20y%20certificaciones/ESTUDIOS%20DE%20PROGRAMMING/PROGRAMMING/PERSONAL/PYTHON/Image_Generator_API/imagenes/LAUNDRY_BY_DESIGN_121009846_BLK_3.jpg")</f>
        <v/>
      </c>
      <c r="O813">
        <f>HYPERLINK("imagenes/LAUNDRY_BY_DESIGN_121009846_BLK_1.jpg","Ver imagen")</f>
        <v/>
      </c>
      <c r="P813">
        <f>HYPERLINK("imagenes/LAUNDRY_BY_DESIGN_121009846_BLK_2.jpg","Ver imagen")</f>
        <v/>
      </c>
      <c r="Q813">
        <f>HYPERLINK("imagenes/LAUNDRY_BY_DESIGN_121009846_BLK_3.jpg","Ver imagen")</f>
        <v/>
      </c>
    </row>
    <row r="814">
      <c r="A814" t="inlineStr">
        <is>
          <t>LAUNDRY BY DESIGN</t>
        </is>
      </c>
      <c r="B814" t="inlineStr">
        <is>
          <t>121009846</t>
        </is>
      </c>
      <c r="C814" t="inlineStr">
        <is>
          <t>26.5 SNOWCHIC PUFFER</t>
        </is>
      </c>
      <c r="D814" t="inlineStr">
        <is>
          <t>BLK</t>
        </is>
      </c>
      <c r="E814" t="inlineStr">
        <is>
          <t>(en blanco)</t>
        </is>
      </c>
      <c r="F814" t="inlineStr">
        <is>
          <t>(en blanco)</t>
        </is>
      </c>
      <c r="G814" t="inlineStr">
        <is>
          <t>S</t>
        </is>
      </c>
      <c r="H814" t="n">
        <v>12</v>
      </c>
      <c r="I814" t="inlineStr">
        <is>
          <t>LAUNDRY_BY_DESIGN_121009846_BLK_1.jpg</t>
        </is>
      </c>
      <c r="J814" t="inlineStr">
        <is>
          <t>LAUNDRY_BY_DESIGN_121009846_BLK_2.jpg</t>
        </is>
      </c>
      <c r="K814" t="inlineStr">
        <is>
          <t>LAUNDRY_BY_DESIGN_121009846_BLK_3.jpg</t>
        </is>
      </c>
      <c r="L814">
        <f>IMAGE("file:///E:/Estudios%20y%20certificaciones/ESTUDIOS%20DE%20PROGRAMMING/PROGRAMMING/PERSONAL/PYTHON/Image_Generator_API/imagenes/LAUNDRY_BY_DESIGN_121009846_BLK_1.jpg")</f>
        <v/>
      </c>
      <c r="M814">
        <f>IMAGE("file:///E:/Estudios%20y%20certificaciones/ESTUDIOS%20DE%20PROGRAMMING/PROGRAMMING/PERSONAL/PYTHON/Image_Generator_API/imagenes/LAUNDRY_BY_DESIGN_121009846_BLK_2.jpg")</f>
        <v/>
      </c>
      <c r="N814">
        <f>IMAGE("file:///E:/Estudios%20y%20certificaciones/ESTUDIOS%20DE%20PROGRAMMING/PROGRAMMING/PERSONAL/PYTHON/Image_Generator_API/imagenes/LAUNDRY_BY_DESIGN_121009846_BLK_3.jpg")</f>
        <v/>
      </c>
      <c r="O814">
        <f>HYPERLINK("imagenes/LAUNDRY_BY_DESIGN_121009846_BLK_1.jpg","Ver imagen")</f>
        <v/>
      </c>
      <c r="P814">
        <f>HYPERLINK("imagenes/LAUNDRY_BY_DESIGN_121009846_BLK_2.jpg","Ver imagen")</f>
        <v/>
      </c>
      <c r="Q814">
        <f>HYPERLINK("imagenes/LAUNDRY_BY_DESIGN_121009846_BLK_3.jpg","Ver imagen")</f>
        <v/>
      </c>
    </row>
    <row r="815">
      <c r="A815" t="inlineStr">
        <is>
          <t>LAUNDRY BY DESIGN</t>
        </is>
      </c>
      <c r="B815" t="inlineStr">
        <is>
          <t>121009846</t>
        </is>
      </c>
      <c r="C815" t="inlineStr">
        <is>
          <t>26.5 SNOWCHIC PUFFER</t>
        </is>
      </c>
      <c r="D815" t="inlineStr">
        <is>
          <t>BLK</t>
        </is>
      </c>
      <c r="E815" t="inlineStr">
        <is>
          <t>(en blanco)</t>
        </is>
      </c>
      <c r="F815" t="inlineStr">
        <is>
          <t>(en blanco)</t>
        </is>
      </c>
      <c r="G815" t="inlineStr">
        <is>
          <t>M</t>
        </is>
      </c>
      <c r="H815" t="n">
        <v>40</v>
      </c>
      <c r="I815" t="inlineStr">
        <is>
          <t>LAUNDRY_BY_DESIGN_121009846_BLK_1.jpg</t>
        </is>
      </c>
      <c r="J815" t="inlineStr">
        <is>
          <t>LAUNDRY_BY_DESIGN_121009846_BLK_2.jpg</t>
        </is>
      </c>
      <c r="K815" t="inlineStr">
        <is>
          <t>LAUNDRY_BY_DESIGN_121009846_BLK_3.jpg</t>
        </is>
      </c>
      <c r="L815">
        <f>IMAGE("file:///E:/Estudios%20y%20certificaciones/ESTUDIOS%20DE%20PROGRAMMING/PROGRAMMING/PERSONAL/PYTHON/Image_Generator_API/imagenes/LAUNDRY_BY_DESIGN_121009846_BLK_1.jpg")</f>
        <v/>
      </c>
      <c r="M815">
        <f>IMAGE("file:///E:/Estudios%20y%20certificaciones/ESTUDIOS%20DE%20PROGRAMMING/PROGRAMMING/PERSONAL/PYTHON/Image_Generator_API/imagenes/LAUNDRY_BY_DESIGN_121009846_BLK_2.jpg")</f>
        <v/>
      </c>
      <c r="N815">
        <f>IMAGE("file:///E:/Estudios%20y%20certificaciones/ESTUDIOS%20DE%20PROGRAMMING/PROGRAMMING/PERSONAL/PYTHON/Image_Generator_API/imagenes/LAUNDRY_BY_DESIGN_121009846_BLK_3.jpg")</f>
        <v/>
      </c>
      <c r="O815">
        <f>HYPERLINK("imagenes/LAUNDRY_BY_DESIGN_121009846_BLK_1.jpg","Ver imagen")</f>
        <v/>
      </c>
      <c r="P815">
        <f>HYPERLINK("imagenes/LAUNDRY_BY_DESIGN_121009846_BLK_2.jpg","Ver imagen")</f>
        <v/>
      </c>
      <c r="Q815">
        <f>HYPERLINK("imagenes/LAUNDRY_BY_DESIGN_121009846_BLK_3.jpg","Ver imagen")</f>
        <v/>
      </c>
    </row>
    <row r="816">
      <c r="A816" t="inlineStr">
        <is>
          <t>LAUNDRY BY DESIGN</t>
        </is>
      </c>
      <c r="B816" t="inlineStr">
        <is>
          <t>121009846</t>
        </is>
      </c>
      <c r="C816" t="inlineStr">
        <is>
          <t>26.5 SNOWCHIC PUFFER</t>
        </is>
      </c>
      <c r="D816" t="inlineStr">
        <is>
          <t>BLK</t>
        </is>
      </c>
      <c r="E816" t="inlineStr">
        <is>
          <t>(en blanco)</t>
        </is>
      </c>
      <c r="F816" t="inlineStr">
        <is>
          <t>(en blanco)</t>
        </is>
      </c>
      <c r="G816" t="inlineStr">
        <is>
          <t>L</t>
        </is>
      </c>
      <c r="H816" t="n">
        <v>83</v>
      </c>
      <c r="I816" t="inlineStr">
        <is>
          <t>LAUNDRY_BY_DESIGN_121009846_BLK_1.jpg</t>
        </is>
      </c>
      <c r="J816" t="inlineStr">
        <is>
          <t>LAUNDRY_BY_DESIGN_121009846_BLK_2.jpg</t>
        </is>
      </c>
      <c r="K816" t="inlineStr">
        <is>
          <t>LAUNDRY_BY_DESIGN_121009846_BLK_3.jpg</t>
        </is>
      </c>
      <c r="L816">
        <f>IMAGE("file:///E:/Estudios%20y%20certificaciones/ESTUDIOS%20DE%20PROGRAMMING/PROGRAMMING/PERSONAL/PYTHON/Image_Generator_API/imagenes/LAUNDRY_BY_DESIGN_121009846_BLK_1.jpg")</f>
        <v/>
      </c>
      <c r="M816">
        <f>IMAGE("file:///E:/Estudios%20y%20certificaciones/ESTUDIOS%20DE%20PROGRAMMING/PROGRAMMING/PERSONAL/PYTHON/Image_Generator_API/imagenes/LAUNDRY_BY_DESIGN_121009846_BLK_2.jpg")</f>
        <v/>
      </c>
      <c r="N816">
        <f>IMAGE("file:///E:/Estudios%20y%20certificaciones/ESTUDIOS%20DE%20PROGRAMMING/PROGRAMMING/PERSONAL/PYTHON/Image_Generator_API/imagenes/LAUNDRY_BY_DESIGN_121009846_BLK_3.jpg")</f>
        <v/>
      </c>
      <c r="O816">
        <f>HYPERLINK("imagenes/LAUNDRY_BY_DESIGN_121009846_BLK_1.jpg","Ver imagen")</f>
        <v/>
      </c>
      <c r="P816">
        <f>HYPERLINK("imagenes/LAUNDRY_BY_DESIGN_121009846_BLK_2.jpg","Ver imagen")</f>
        <v/>
      </c>
      <c r="Q816">
        <f>HYPERLINK("imagenes/LAUNDRY_BY_DESIGN_121009846_BLK_3.jpg","Ver imagen")</f>
        <v/>
      </c>
    </row>
    <row r="817">
      <c r="A817" t="inlineStr">
        <is>
          <t>LAUNDRY BY DESIGN</t>
        </is>
      </c>
      <c r="B817" t="inlineStr">
        <is>
          <t>121009846</t>
        </is>
      </c>
      <c r="C817" t="inlineStr">
        <is>
          <t>26.5 SNOWCHIC PUFFER</t>
        </is>
      </c>
      <c r="D817" t="inlineStr">
        <is>
          <t>BLK</t>
        </is>
      </c>
      <c r="E817" t="inlineStr">
        <is>
          <t>(en blanco)</t>
        </is>
      </c>
      <c r="F817" t="inlineStr">
        <is>
          <t>(en blanco)</t>
        </is>
      </c>
      <c r="G817" t="inlineStr">
        <is>
          <t>XL</t>
        </is>
      </c>
      <c r="H817" t="n">
        <v>40</v>
      </c>
      <c r="I817" t="inlineStr">
        <is>
          <t>LAUNDRY_BY_DESIGN_121009846_BLK_1.jpg</t>
        </is>
      </c>
      <c r="J817" t="inlineStr">
        <is>
          <t>LAUNDRY_BY_DESIGN_121009846_BLK_2.jpg</t>
        </is>
      </c>
      <c r="K817" t="inlineStr">
        <is>
          <t>LAUNDRY_BY_DESIGN_121009846_BLK_3.jpg</t>
        </is>
      </c>
      <c r="L817">
        <f>IMAGE("file:///E:/Estudios%20y%20certificaciones/ESTUDIOS%20DE%20PROGRAMMING/PROGRAMMING/PERSONAL/PYTHON/Image_Generator_API/imagenes/LAUNDRY_BY_DESIGN_121009846_BLK_1.jpg")</f>
        <v/>
      </c>
      <c r="M817">
        <f>IMAGE("file:///E:/Estudios%20y%20certificaciones/ESTUDIOS%20DE%20PROGRAMMING/PROGRAMMING/PERSONAL/PYTHON/Image_Generator_API/imagenes/LAUNDRY_BY_DESIGN_121009846_BLK_2.jpg")</f>
        <v/>
      </c>
      <c r="N817">
        <f>IMAGE("file:///E:/Estudios%20y%20certificaciones/ESTUDIOS%20DE%20PROGRAMMING/PROGRAMMING/PERSONAL/PYTHON/Image_Generator_API/imagenes/LAUNDRY_BY_DESIGN_121009846_BLK_3.jpg")</f>
        <v/>
      </c>
      <c r="O817">
        <f>HYPERLINK("imagenes/LAUNDRY_BY_DESIGN_121009846_BLK_1.jpg","Ver imagen")</f>
        <v/>
      </c>
      <c r="P817">
        <f>HYPERLINK("imagenes/LAUNDRY_BY_DESIGN_121009846_BLK_2.jpg","Ver imagen")</f>
        <v/>
      </c>
      <c r="Q817">
        <f>HYPERLINK("imagenes/LAUNDRY_BY_DESIGN_121009846_BLK_3.jpg","Ver imagen")</f>
        <v/>
      </c>
    </row>
    <row r="818">
      <c r="A818" t="inlineStr">
        <is>
          <t>LAUNDRY BY DESIGN</t>
        </is>
      </c>
      <c r="B818" t="inlineStr">
        <is>
          <t>121009846</t>
        </is>
      </c>
      <c r="C818" t="inlineStr">
        <is>
          <t>26.5 SNOWCHIC PUFFER</t>
        </is>
      </c>
      <c r="D818" t="inlineStr">
        <is>
          <t>BLK</t>
        </is>
      </c>
      <c r="E818" t="inlineStr">
        <is>
          <t>(en blanco)</t>
        </is>
      </c>
      <c r="F818" t="inlineStr">
        <is>
          <t>(en blanco)</t>
        </is>
      </c>
      <c r="G818" t="inlineStr">
        <is>
          <t>XXL</t>
        </is>
      </c>
      <c r="H818" t="n">
        <v>18</v>
      </c>
      <c r="I818" t="inlineStr">
        <is>
          <t>LAUNDRY_BY_DESIGN_121009846_BLK_1.jpg</t>
        </is>
      </c>
      <c r="J818" t="inlineStr">
        <is>
          <t>LAUNDRY_BY_DESIGN_121009846_BLK_2.jpg</t>
        </is>
      </c>
      <c r="K818" t="inlineStr">
        <is>
          <t>LAUNDRY_BY_DESIGN_121009846_BLK_3.jpg</t>
        </is>
      </c>
      <c r="L818">
        <f>IMAGE("file:///E:/Estudios%20y%20certificaciones/ESTUDIOS%20DE%20PROGRAMMING/PROGRAMMING/PERSONAL/PYTHON/Image_Generator_API/imagenes/LAUNDRY_BY_DESIGN_121009846_BLK_1.jpg")</f>
        <v/>
      </c>
      <c r="M818">
        <f>IMAGE("file:///E:/Estudios%20y%20certificaciones/ESTUDIOS%20DE%20PROGRAMMING/PROGRAMMING/PERSONAL/PYTHON/Image_Generator_API/imagenes/LAUNDRY_BY_DESIGN_121009846_BLK_2.jpg")</f>
        <v/>
      </c>
      <c r="N818">
        <f>IMAGE("file:///E:/Estudios%20y%20certificaciones/ESTUDIOS%20DE%20PROGRAMMING/PROGRAMMING/PERSONAL/PYTHON/Image_Generator_API/imagenes/LAUNDRY_BY_DESIGN_121009846_BLK_3.jpg")</f>
        <v/>
      </c>
      <c r="O818">
        <f>HYPERLINK("imagenes/LAUNDRY_BY_DESIGN_121009846_BLK_1.jpg","Ver imagen")</f>
        <v/>
      </c>
      <c r="P818">
        <f>HYPERLINK("imagenes/LAUNDRY_BY_DESIGN_121009846_BLK_2.jpg","Ver imagen")</f>
        <v/>
      </c>
      <c r="Q818">
        <f>HYPERLINK("imagenes/LAUNDRY_BY_DESIGN_121009846_BLK_3.jpg","Ver imagen")</f>
        <v/>
      </c>
    </row>
    <row r="819">
      <c r="A819" t="inlineStr">
        <is>
          <t>LAUNDRY BY DESIGN</t>
        </is>
      </c>
      <c r="B819" t="inlineStr">
        <is>
          <t>121009846</t>
        </is>
      </c>
      <c r="C819" t="inlineStr">
        <is>
          <t>26.5 SNOWCHIC PUFFER</t>
        </is>
      </c>
      <c r="D819" t="inlineStr">
        <is>
          <t>CHO</t>
        </is>
      </c>
      <c r="E819" t="inlineStr">
        <is>
          <t>(en blanco)</t>
        </is>
      </c>
      <c r="F819" t="inlineStr">
        <is>
          <t>(en blanco)</t>
        </is>
      </c>
      <c r="G819" t="inlineStr">
        <is>
          <t>S</t>
        </is>
      </c>
      <c r="H819" t="n">
        <v>1</v>
      </c>
      <c r="I819" t="inlineStr">
        <is>
          <t>LAUNDRY_BY_DESIGN_121009846_CHO_1.jpg</t>
        </is>
      </c>
      <c r="J819" t="inlineStr">
        <is>
          <t>LAUNDRY_BY_DESIGN_121009846_CHO_2.jpg</t>
        </is>
      </c>
      <c r="K819" t="inlineStr">
        <is>
          <t>LAUNDRY_BY_DESIGN_121009846_CHO_3.jpg</t>
        </is>
      </c>
      <c r="L819">
        <f>IMAGE("file:///E:/Estudios%20y%20certificaciones/ESTUDIOS%20DE%20PROGRAMMING/PROGRAMMING/PERSONAL/PYTHON/Image_Generator_API/imagenes/LAUNDRY_BY_DESIGN_121009846_CHO_1.jpg")</f>
        <v/>
      </c>
      <c r="M819">
        <f>IMAGE("file:///E:/Estudios%20y%20certificaciones/ESTUDIOS%20DE%20PROGRAMMING/PROGRAMMING/PERSONAL/PYTHON/Image_Generator_API/imagenes/LAUNDRY_BY_DESIGN_121009846_CHO_2.jpg")</f>
        <v/>
      </c>
      <c r="N819">
        <f>IMAGE("file:///E:/Estudios%20y%20certificaciones/ESTUDIOS%20DE%20PROGRAMMING/PROGRAMMING/PERSONAL/PYTHON/Image_Generator_API/imagenes/LAUNDRY_BY_DESIGN_121009846_CHO_3.jpg")</f>
        <v/>
      </c>
      <c r="O819">
        <f>HYPERLINK("imagenes/LAUNDRY_BY_DESIGN_121009846_CHO_1.jpg","Ver imagen")</f>
        <v/>
      </c>
      <c r="P819">
        <f>HYPERLINK("imagenes/LAUNDRY_BY_DESIGN_121009846_CHO_2.jpg","Ver imagen")</f>
        <v/>
      </c>
      <c r="Q819">
        <f>HYPERLINK("imagenes/LAUNDRY_BY_DESIGN_121009846_CHO_3.jpg","Ver imagen")</f>
        <v/>
      </c>
    </row>
    <row r="820">
      <c r="A820" t="inlineStr">
        <is>
          <t>LAUNDRY BY DESIGN</t>
        </is>
      </c>
      <c r="B820" t="inlineStr">
        <is>
          <t>121009846</t>
        </is>
      </c>
      <c r="C820" t="inlineStr">
        <is>
          <t>26.5 SNOWCHIC PUFFER</t>
        </is>
      </c>
      <c r="D820" t="inlineStr">
        <is>
          <t>CHO</t>
        </is>
      </c>
      <c r="E820" t="inlineStr">
        <is>
          <t>(en blanco)</t>
        </is>
      </c>
      <c r="F820" t="inlineStr">
        <is>
          <t>(en blanco)</t>
        </is>
      </c>
      <c r="G820" t="inlineStr">
        <is>
          <t>M</t>
        </is>
      </c>
      <c r="H820" t="n">
        <v>16</v>
      </c>
      <c r="I820" t="inlineStr">
        <is>
          <t>LAUNDRY_BY_DESIGN_121009846_CHO_1.jpg</t>
        </is>
      </c>
      <c r="J820" t="inlineStr">
        <is>
          <t>LAUNDRY_BY_DESIGN_121009846_CHO_2.jpg</t>
        </is>
      </c>
      <c r="K820" t="inlineStr">
        <is>
          <t>LAUNDRY_BY_DESIGN_121009846_CHO_3.jpg</t>
        </is>
      </c>
      <c r="L820">
        <f>IMAGE("file:///E:/Estudios%20y%20certificaciones/ESTUDIOS%20DE%20PROGRAMMING/PROGRAMMING/PERSONAL/PYTHON/Image_Generator_API/imagenes/LAUNDRY_BY_DESIGN_121009846_CHO_1.jpg")</f>
        <v/>
      </c>
      <c r="M820">
        <f>IMAGE("file:///E:/Estudios%20y%20certificaciones/ESTUDIOS%20DE%20PROGRAMMING/PROGRAMMING/PERSONAL/PYTHON/Image_Generator_API/imagenes/LAUNDRY_BY_DESIGN_121009846_CHO_2.jpg")</f>
        <v/>
      </c>
      <c r="N820">
        <f>IMAGE("file:///E:/Estudios%20y%20certificaciones/ESTUDIOS%20DE%20PROGRAMMING/PROGRAMMING/PERSONAL/PYTHON/Image_Generator_API/imagenes/LAUNDRY_BY_DESIGN_121009846_CHO_3.jpg")</f>
        <v/>
      </c>
      <c r="O820">
        <f>HYPERLINK("imagenes/LAUNDRY_BY_DESIGN_121009846_CHO_1.jpg","Ver imagen")</f>
        <v/>
      </c>
      <c r="P820">
        <f>HYPERLINK("imagenes/LAUNDRY_BY_DESIGN_121009846_CHO_2.jpg","Ver imagen")</f>
        <v/>
      </c>
      <c r="Q820">
        <f>HYPERLINK("imagenes/LAUNDRY_BY_DESIGN_121009846_CHO_3.jpg","Ver imagen")</f>
        <v/>
      </c>
    </row>
    <row r="821">
      <c r="A821" t="inlineStr">
        <is>
          <t>LAUNDRY BY DESIGN</t>
        </is>
      </c>
      <c r="B821" t="inlineStr">
        <is>
          <t>121009846</t>
        </is>
      </c>
      <c r="C821" t="inlineStr">
        <is>
          <t>26.5 SNOWCHIC PUFFER</t>
        </is>
      </c>
      <c r="D821" t="inlineStr">
        <is>
          <t>CHO</t>
        </is>
      </c>
      <c r="E821" t="inlineStr">
        <is>
          <t>(en blanco)</t>
        </is>
      </c>
      <c r="F821" t="inlineStr">
        <is>
          <t>(en blanco)</t>
        </is>
      </c>
      <c r="G821" t="inlineStr">
        <is>
          <t>L</t>
        </is>
      </c>
      <c r="H821" t="n">
        <v>17</v>
      </c>
      <c r="I821" t="inlineStr">
        <is>
          <t>LAUNDRY_BY_DESIGN_121009846_CHO_1.jpg</t>
        </is>
      </c>
      <c r="J821" t="inlineStr">
        <is>
          <t>LAUNDRY_BY_DESIGN_121009846_CHO_2.jpg</t>
        </is>
      </c>
      <c r="K821" t="inlineStr">
        <is>
          <t>LAUNDRY_BY_DESIGN_121009846_CHO_3.jpg</t>
        </is>
      </c>
      <c r="L821">
        <f>IMAGE("file:///E:/Estudios%20y%20certificaciones/ESTUDIOS%20DE%20PROGRAMMING/PROGRAMMING/PERSONAL/PYTHON/Image_Generator_API/imagenes/LAUNDRY_BY_DESIGN_121009846_CHO_1.jpg")</f>
        <v/>
      </c>
      <c r="M821">
        <f>IMAGE("file:///E:/Estudios%20y%20certificaciones/ESTUDIOS%20DE%20PROGRAMMING/PROGRAMMING/PERSONAL/PYTHON/Image_Generator_API/imagenes/LAUNDRY_BY_DESIGN_121009846_CHO_2.jpg")</f>
        <v/>
      </c>
      <c r="N821">
        <f>IMAGE("file:///E:/Estudios%20y%20certificaciones/ESTUDIOS%20DE%20PROGRAMMING/PROGRAMMING/PERSONAL/PYTHON/Image_Generator_API/imagenes/LAUNDRY_BY_DESIGN_121009846_CHO_3.jpg")</f>
        <v/>
      </c>
      <c r="O821">
        <f>HYPERLINK("imagenes/LAUNDRY_BY_DESIGN_121009846_CHO_1.jpg","Ver imagen")</f>
        <v/>
      </c>
      <c r="P821">
        <f>HYPERLINK("imagenes/LAUNDRY_BY_DESIGN_121009846_CHO_2.jpg","Ver imagen")</f>
        <v/>
      </c>
      <c r="Q821">
        <f>HYPERLINK("imagenes/LAUNDRY_BY_DESIGN_121009846_CHO_3.jpg","Ver imagen")</f>
        <v/>
      </c>
    </row>
    <row r="822">
      <c r="A822" t="inlineStr">
        <is>
          <t>LAUNDRY BY DESIGN</t>
        </is>
      </c>
      <c r="B822" t="inlineStr">
        <is>
          <t>121009846</t>
        </is>
      </c>
      <c r="C822" t="inlineStr">
        <is>
          <t>26.5 SNOWCHIC PUFFER</t>
        </is>
      </c>
      <c r="D822" t="inlineStr">
        <is>
          <t>CHO</t>
        </is>
      </c>
      <c r="E822" t="inlineStr">
        <is>
          <t>(en blanco)</t>
        </is>
      </c>
      <c r="F822" t="inlineStr">
        <is>
          <t>(en blanco)</t>
        </is>
      </c>
      <c r="G822" t="inlineStr">
        <is>
          <t>XL</t>
        </is>
      </c>
      <c r="H822" t="n">
        <v>16</v>
      </c>
      <c r="I822" t="inlineStr">
        <is>
          <t>LAUNDRY_BY_DESIGN_121009846_CHO_1.jpg</t>
        </is>
      </c>
      <c r="J822" t="inlineStr">
        <is>
          <t>LAUNDRY_BY_DESIGN_121009846_CHO_2.jpg</t>
        </is>
      </c>
      <c r="K822" t="inlineStr">
        <is>
          <t>LAUNDRY_BY_DESIGN_121009846_CHO_3.jpg</t>
        </is>
      </c>
      <c r="L822">
        <f>IMAGE("file:///E:/Estudios%20y%20certificaciones/ESTUDIOS%20DE%20PROGRAMMING/PROGRAMMING/PERSONAL/PYTHON/Image_Generator_API/imagenes/LAUNDRY_BY_DESIGN_121009846_CHO_1.jpg")</f>
        <v/>
      </c>
      <c r="M822">
        <f>IMAGE("file:///E:/Estudios%20y%20certificaciones/ESTUDIOS%20DE%20PROGRAMMING/PROGRAMMING/PERSONAL/PYTHON/Image_Generator_API/imagenes/LAUNDRY_BY_DESIGN_121009846_CHO_2.jpg")</f>
        <v/>
      </c>
      <c r="N822">
        <f>IMAGE("file:///E:/Estudios%20y%20certificaciones/ESTUDIOS%20DE%20PROGRAMMING/PROGRAMMING/PERSONAL/PYTHON/Image_Generator_API/imagenes/LAUNDRY_BY_DESIGN_121009846_CHO_3.jpg")</f>
        <v/>
      </c>
      <c r="O822">
        <f>HYPERLINK("imagenes/LAUNDRY_BY_DESIGN_121009846_CHO_1.jpg","Ver imagen")</f>
        <v/>
      </c>
      <c r="P822">
        <f>HYPERLINK("imagenes/LAUNDRY_BY_DESIGN_121009846_CHO_2.jpg","Ver imagen")</f>
        <v/>
      </c>
      <c r="Q822">
        <f>HYPERLINK("imagenes/LAUNDRY_BY_DESIGN_121009846_CHO_3.jpg","Ver imagen")</f>
        <v/>
      </c>
    </row>
    <row r="823">
      <c r="A823" t="inlineStr">
        <is>
          <t>LAUNDRY BY DESIGN</t>
        </is>
      </c>
      <c r="B823" t="inlineStr">
        <is>
          <t>121009846</t>
        </is>
      </c>
      <c r="C823" t="inlineStr">
        <is>
          <t>26.5 SNOWCHIC PUFFER</t>
        </is>
      </c>
      <c r="D823" t="inlineStr">
        <is>
          <t>CHO</t>
        </is>
      </c>
      <c r="E823" t="inlineStr">
        <is>
          <t>(en blanco)</t>
        </is>
      </c>
      <c r="F823" t="inlineStr">
        <is>
          <t>(en blanco)</t>
        </is>
      </c>
      <c r="G823" t="inlineStr">
        <is>
          <t>XXL</t>
        </is>
      </c>
      <c r="H823" t="n">
        <v>8</v>
      </c>
      <c r="I823" t="inlineStr">
        <is>
          <t>LAUNDRY_BY_DESIGN_121009846_CHO_1.jpg</t>
        </is>
      </c>
      <c r="J823" t="inlineStr">
        <is>
          <t>LAUNDRY_BY_DESIGN_121009846_CHO_2.jpg</t>
        </is>
      </c>
      <c r="K823" t="inlineStr">
        <is>
          <t>LAUNDRY_BY_DESIGN_121009846_CHO_3.jpg</t>
        </is>
      </c>
      <c r="L823">
        <f>IMAGE("file:///E:/Estudios%20y%20certificaciones/ESTUDIOS%20DE%20PROGRAMMING/PROGRAMMING/PERSONAL/PYTHON/Image_Generator_API/imagenes/LAUNDRY_BY_DESIGN_121009846_CHO_1.jpg")</f>
        <v/>
      </c>
      <c r="M823">
        <f>IMAGE("file:///E:/Estudios%20y%20certificaciones/ESTUDIOS%20DE%20PROGRAMMING/PROGRAMMING/PERSONAL/PYTHON/Image_Generator_API/imagenes/LAUNDRY_BY_DESIGN_121009846_CHO_2.jpg")</f>
        <v/>
      </c>
      <c r="N823">
        <f>IMAGE("file:///E:/Estudios%20y%20certificaciones/ESTUDIOS%20DE%20PROGRAMMING/PROGRAMMING/PERSONAL/PYTHON/Image_Generator_API/imagenes/LAUNDRY_BY_DESIGN_121009846_CHO_3.jpg")</f>
        <v/>
      </c>
      <c r="O823">
        <f>HYPERLINK("imagenes/LAUNDRY_BY_DESIGN_121009846_CHO_1.jpg","Ver imagen")</f>
        <v/>
      </c>
      <c r="P823">
        <f>HYPERLINK("imagenes/LAUNDRY_BY_DESIGN_121009846_CHO_2.jpg","Ver imagen")</f>
        <v/>
      </c>
      <c r="Q823">
        <f>HYPERLINK("imagenes/LAUNDRY_BY_DESIGN_121009846_CHO_3.jpg","Ver imagen")</f>
        <v/>
      </c>
    </row>
    <row r="824">
      <c r="A824" t="inlineStr">
        <is>
          <t>LAUNDRY BY DESIGN</t>
        </is>
      </c>
      <c r="B824" t="inlineStr">
        <is>
          <t>121009847</t>
        </is>
      </c>
      <c r="C824" t="inlineStr">
        <is>
          <t>26.5" STRETCH PUFFER</t>
        </is>
      </c>
      <c r="D824" t="inlineStr">
        <is>
          <t>BLK</t>
        </is>
      </c>
      <c r="E824" t="inlineStr">
        <is>
          <t>06A01</t>
        </is>
      </c>
      <c r="F824" t="inlineStr">
        <is>
          <t>(en blanco)</t>
        </is>
      </c>
      <c r="G824" t="inlineStr">
        <is>
          <t>PPK</t>
        </is>
      </c>
      <c r="H824" t="n">
        <v>0</v>
      </c>
      <c r="I824" t="inlineStr">
        <is>
          <t>LAUNDRY_BY_DESIGN_121009847_BLK_1.jpg</t>
        </is>
      </c>
      <c r="J824" t="inlineStr">
        <is>
          <t>LAUNDRY_BY_DESIGN_121009847_BLK_2.jpg</t>
        </is>
      </c>
      <c r="K824" t="inlineStr">
        <is>
          <t>LAUNDRY_BY_DESIGN_121009847_BLK_3.jpg</t>
        </is>
      </c>
      <c r="L824">
        <f>IMAGE("file:///E:/Estudios%20y%20certificaciones/ESTUDIOS%20DE%20PROGRAMMING/PROGRAMMING/PERSONAL/PYTHON/Image_Generator_API/imagenes/LAUNDRY_BY_DESIGN_121009847_BLK_1.jpg")</f>
        <v/>
      </c>
      <c r="M824">
        <f>IMAGE("file:///E:/Estudios%20y%20certificaciones/ESTUDIOS%20DE%20PROGRAMMING/PROGRAMMING/PERSONAL/PYTHON/Image_Generator_API/imagenes/LAUNDRY_BY_DESIGN_121009847_BLK_2.jpg")</f>
        <v/>
      </c>
      <c r="N824">
        <f>IMAGE("file:///E:/Estudios%20y%20certificaciones/ESTUDIOS%20DE%20PROGRAMMING/PROGRAMMING/PERSONAL/PYTHON/Image_Generator_API/imagenes/LAUNDRY_BY_DESIGN_121009847_BLK_3.jpg")</f>
        <v/>
      </c>
      <c r="O824">
        <f>HYPERLINK("imagenes/LAUNDRY_BY_DESIGN_121009847_BLK_1.jpg","Ver imagen")</f>
        <v/>
      </c>
      <c r="P824">
        <f>HYPERLINK("imagenes/LAUNDRY_BY_DESIGN_121009847_BLK_2.jpg","Ver imagen")</f>
        <v/>
      </c>
      <c r="Q824">
        <f>HYPERLINK("imagenes/LAUNDRY_BY_DESIGN_121009847_BLK_3.jpg","Ver imagen")</f>
        <v/>
      </c>
    </row>
    <row r="825">
      <c r="A825" t="inlineStr">
        <is>
          <t>LAUNDRY BY DESIGN</t>
        </is>
      </c>
      <c r="B825" t="inlineStr">
        <is>
          <t>121009847</t>
        </is>
      </c>
      <c r="C825" t="inlineStr">
        <is>
          <t>26.5" STRETCH PUFFER</t>
        </is>
      </c>
      <c r="D825" t="inlineStr">
        <is>
          <t>BLK</t>
        </is>
      </c>
      <c r="E825" t="inlineStr">
        <is>
          <t>(en blanco)</t>
        </is>
      </c>
      <c r="F825" t="inlineStr">
        <is>
          <t>(en blanco)</t>
        </is>
      </c>
      <c r="G825" t="inlineStr">
        <is>
          <t>S</t>
        </is>
      </c>
      <c r="H825" t="n">
        <v>13</v>
      </c>
      <c r="I825" t="inlineStr">
        <is>
          <t>LAUNDRY_BY_DESIGN_121009847_BLK_1.jpg</t>
        </is>
      </c>
      <c r="J825" t="inlineStr">
        <is>
          <t>LAUNDRY_BY_DESIGN_121009847_BLK_2.jpg</t>
        </is>
      </c>
      <c r="K825" t="inlineStr">
        <is>
          <t>LAUNDRY_BY_DESIGN_121009847_BLK_3.jpg</t>
        </is>
      </c>
      <c r="L825">
        <f>IMAGE("file:///E:/Estudios%20y%20certificaciones/ESTUDIOS%20DE%20PROGRAMMING/PROGRAMMING/PERSONAL/PYTHON/Image_Generator_API/imagenes/LAUNDRY_BY_DESIGN_121009847_BLK_1.jpg")</f>
        <v/>
      </c>
      <c r="M825">
        <f>IMAGE("file:///E:/Estudios%20y%20certificaciones/ESTUDIOS%20DE%20PROGRAMMING/PROGRAMMING/PERSONAL/PYTHON/Image_Generator_API/imagenes/LAUNDRY_BY_DESIGN_121009847_BLK_2.jpg")</f>
        <v/>
      </c>
      <c r="N825">
        <f>IMAGE("file:///E:/Estudios%20y%20certificaciones/ESTUDIOS%20DE%20PROGRAMMING/PROGRAMMING/PERSONAL/PYTHON/Image_Generator_API/imagenes/LAUNDRY_BY_DESIGN_121009847_BLK_3.jpg")</f>
        <v/>
      </c>
      <c r="O825">
        <f>HYPERLINK("imagenes/LAUNDRY_BY_DESIGN_121009847_BLK_1.jpg","Ver imagen")</f>
        <v/>
      </c>
      <c r="P825">
        <f>HYPERLINK("imagenes/LAUNDRY_BY_DESIGN_121009847_BLK_2.jpg","Ver imagen")</f>
        <v/>
      </c>
      <c r="Q825">
        <f>HYPERLINK("imagenes/LAUNDRY_BY_DESIGN_121009847_BLK_3.jpg","Ver imagen")</f>
        <v/>
      </c>
    </row>
    <row r="826">
      <c r="A826" t="inlineStr">
        <is>
          <t>LAUNDRY BY DESIGN</t>
        </is>
      </c>
      <c r="B826" t="inlineStr">
        <is>
          <t>121009847</t>
        </is>
      </c>
      <c r="C826" t="inlineStr">
        <is>
          <t>26.5" STRETCH PUFFER</t>
        </is>
      </c>
      <c r="D826" t="inlineStr">
        <is>
          <t>BLK</t>
        </is>
      </c>
      <c r="E826" t="inlineStr">
        <is>
          <t>(en blanco)</t>
        </is>
      </c>
      <c r="F826" t="inlineStr">
        <is>
          <t>(en blanco)</t>
        </is>
      </c>
      <c r="G826" t="inlineStr">
        <is>
          <t>M</t>
        </is>
      </c>
      <c r="H826" t="n">
        <v>38</v>
      </c>
      <c r="I826" t="inlineStr">
        <is>
          <t>LAUNDRY_BY_DESIGN_121009847_BLK_1.jpg</t>
        </is>
      </c>
      <c r="J826" t="inlineStr">
        <is>
          <t>LAUNDRY_BY_DESIGN_121009847_BLK_2.jpg</t>
        </is>
      </c>
      <c r="K826" t="inlineStr">
        <is>
          <t>LAUNDRY_BY_DESIGN_121009847_BLK_3.jpg</t>
        </is>
      </c>
      <c r="L826">
        <f>IMAGE("file:///E:/Estudios%20y%20certificaciones/ESTUDIOS%20DE%20PROGRAMMING/PROGRAMMING/PERSONAL/PYTHON/Image_Generator_API/imagenes/LAUNDRY_BY_DESIGN_121009847_BLK_1.jpg")</f>
        <v/>
      </c>
      <c r="M826">
        <f>IMAGE("file:///E:/Estudios%20y%20certificaciones/ESTUDIOS%20DE%20PROGRAMMING/PROGRAMMING/PERSONAL/PYTHON/Image_Generator_API/imagenes/LAUNDRY_BY_DESIGN_121009847_BLK_2.jpg")</f>
        <v/>
      </c>
      <c r="N826">
        <f>IMAGE("file:///E:/Estudios%20y%20certificaciones/ESTUDIOS%20DE%20PROGRAMMING/PROGRAMMING/PERSONAL/PYTHON/Image_Generator_API/imagenes/LAUNDRY_BY_DESIGN_121009847_BLK_3.jpg")</f>
        <v/>
      </c>
      <c r="O826">
        <f>HYPERLINK("imagenes/LAUNDRY_BY_DESIGN_121009847_BLK_1.jpg","Ver imagen")</f>
        <v/>
      </c>
      <c r="P826">
        <f>HYPERLINK("imagenes/LAUNDRY_BY_DESIGN_121009847_BLK_2.jpg","Ver imagen")</f>
        <v/>
      </c>
      <c r="Q826">
        <f>HYPERLINK("imagenes/LAUNDRY_BY_DESIGN_121009847_BLK_3.jpg","Ver imagen")</f>
        <v/>
      </c>
    </row>
    <row r="827">
      <c r="A827" t="inlineStr">
        <is>
          <t>LAUNDRY BY DESIGN</t>
        </is>
      </c>
      <c r="B827" t="inlineStr">
        <is>
          <t>121009847</t>
        </is>
      </c>
      <c r="C827" t="inlineStr">
        <is>
          <t>26.5" STRETCH PUFFER</t>
        </is>
      </c>
      <c r="D827" t="inlineStr">
        <is>
          <t>BLK</t>
        </is>
      </c>
      <c r="E827" t="inlineStr">
        <is>
          <t>(en blanco)</t>
        </is>
      </c>
      <c r="F827" t="inlineStr">
        <is>
          <t>(en blanco)</t>
        </is>
      </c>
      <c r="G827" t="inlineStr">
        <is>
          <t>L</t>
        </is>
      </c>
      <c r="H827" t="n">
        <v>37</v>
      </c>
      <c r="I827" t="inlineStr">
        <is>
          <t>LAUNDRY_BY_DESIGN_121009847_BLK_1.jpg</t>
        </is>
      </c>
      <c r="J827" t="inlineStr">
        <is>
          <t>LAUNDRY_BY_DESIGN_121009847_BLK_2.jpg</t>
        </is>
      </c>
      <c r="K827" t="inlineStr">
        <is>
          <t>LAUNDRY_BY_DESIGN_121009847_BLK_3.jpg</t>
        </is>
      </c>
      <c r="L827">
        <f>IMAGE("file:///E:/Estudios%20y%20certificaciones/ESTUDIOS%20DE%20PROGRAMMING/PROGRAMMING/PERSONAL/PYTHON/Image_Generator_API/imagenes/LAUNDRY_BY_DESIGN_121009847_BLK_1.jpg")</f>
        <v/>
      </c>
      <c r="M827">
        <f>IMAGE("file:///E:/Estudios%20y%20certificaciones/ESTUDIOS%20DE%20PROGRAMMING/PROGRAMMING/PERSONAL/PYTHON/Image_Generator_API/imagenes/LAUNDRY_BY_DESIGN_121009847_BLK_2.jpg")</f>
        <v/>
      </c>
      <c r="N827">
        <f>IMAGE("file:///E:/Estudios%20y%20certificaciones/ESTUDIOS%20DE%20PROGRAMMING/PROGRAMMING/PERSONAL/PYTHON/Image_Generator_API/imagenes/LAUNDRY_BY_DESIGN_121009847_BLK_3.jpg")</f>
        <v/>
      </c>
      <c r="O827">
        <f>HYPERLINK("imagenes/LAUNDRY_BY_DESIGN_121009847_BLK_1.jpg","Ver imagen")</f>
        <v/>
      </c>
      <c r="P827">
        <f>HYPERLINK("imagenes/LAUNDRY_BY_DESIGN_121009847_BLK_2.jpg","Ver imagen")</f>
        <v/>
      </c>
      <c r="Q827">
        <f>HYPERLINK("imagenes/LAUNDRY_BY_DESIGN_121009847_BLK_3.jpg","Ver imagen")</f>
        <v/>
      </c>
    </row>
    <row r="828">
      <c r="A828" t="inlineStr">
        <is>
          <t>LAUNDRY BY DESIGN</t>
        </is>
      </c>
      <c r="B828" t="inlineStr">
        <is>
          <t>121009847</t>
        </is>
      </c>
      <c r="C828" t="inlineStr">
        <is>
          <t>26.5" STRETCH PUFFER</t>
        </is>
      </c>
      <c r="D828" t="inlineStr">
        <is>
          <t>BLK</t>
        </is>
      </c>
      <c r="E828" t="inlineStr">
        <is>
          <t>(en blanco)</t>
        </is>
      </c>
      <c r="F828" t="inlineStr">
        <is>
          <t>(en blanco)</t>
        </is>
      </c>
      <c r="G828" t="inlineStr">
        <is>
          <t>XL</t>
        </is>
      </c>
      <c r="H828" t="n">
        <v>39</v>
      </c>
      <c r="I828" t="inlineStr">
        <is>
          <t>LAUNDRY_BY_DESIGN_121009847_BLK_1.jpg</t>
        </is>
      </c>
      <c r="J828" t="inlineStr">
        <is>
          <t>LAUNDRY_BY_DESIGN_121009847_BLK_2.jpg</t>
        </is>
      </c>
      <c r="K828" t="inlineStr">
        <is>
          <t>LAUNDRY_BY_DESIGN_121009847_BLK_3.jpg</t>
        </is>
      </c>
      <c r="L828">
        <f>IMAGE("file:///E:/Estudios%20y%20certificaciones/ESTUDIOS%20DE%20PROGRAMMING/PROGRAMMING/PERSONAL/PYTHON/Image_Generator_API/imagenes/LAUNDRY_BY_DESIGN_121009847_BLK_1.jpg")</f>
        <v/>
      </c>
      <c r="M828">
        <f>IMAGE("file:///E:/Estudios%20y%20certificaciones/ESTUDIOS%20DE%20PROGRAMMING/PROGRAMMING/PERSONAL/PYTHON/Image_Generator_API/imagenes/LAUNDRY_BY_DESIGN_121009847_BLK_2.jpg")</f>
        <v/>
      </c>
      <c r="N828">
        <f>IMAGE("file:///E:/Estudios%20y%20certificaciones/ESTUDIOS%20DE%20PROGRAMMING/PROGRAMMING/PERSONAL/PYTHON/Image_Generator_API/imagenes/LAUNDRY_BY_DESIGN_121009847_BLK_3.jpg")</f>
        <v/>
      </c>
      <c r="O828">
        <f>HYPERLINK("imagenes/LAUNDRY_BY_DESIGN_121009847_BLK_1.jpg","Ver imagen")</f>
        <v/>
      </c>
      <c r="P828">
        <f>HYPERLINK("imagenes/LAUNDRY_BY_DESIGN_121009847_BLK_2.jpg","Ver imagen")</f>
        <v/>
      </c>
      <c r="Q828">
        <f>HYPERLINK("imagenes/LAUNDRY_BY_DESIGN_121009847_BLK_3.jpg","Ver imagen")</f>
        <v/>
      </c>
    </row>
    <row r="829">
      <c r="A829" t="inlineStr">
        <is>
          <t>LAUNDRY BY DESIGN</t>
        </is>
      </c>
      <c r="B829" t="inlineStr">
        <is>
          <t>121009847</t>
        </is>
      </c>
      <c r="C829" t="inlineStr">
        <is>
          <t>26.5" STRETCH PUFFER</t>
        </is>
      </c>
      <c r="D829" t="inlineStr">
        <is>
          <t>BLK</t>
        </is>
      </c>
      <c r="E829" t="inlineStr">
        <is>
          <t>(en blanco)</t>
        </is>
      </c>
      <c r="F829" t="inlineStr">
        <is>
          <t>(en blanco)</t>
        </is>
      </c>
      <c r="G829" t="inlineStr">
        <is>
          <t>XXL</t>
        </is>
      </c>
      <c r="H829" t="n">
        <v>18</v>
      </c>
      <c r="I829" t="inlineStr">
        <is>
          <t>LAUNDRY_BY_DESIGN_121009847_BLK_1.jpg</t>
        </is>
      </c>
      <c r="J829" t="inlineStr">
        <is>
          <t>LAUNDRY_BY_DESIGN_121009847_BLK_2.jpg</t>
        </is>
      </c>
      <c r="K829" t="inlineStr">
        <is>
          <t>LAUNDRY_BY_DESIGN_121009847_BLK_3.jpg</t>
        </is>
      </c>
      <c r="L829">
        <f>IMAGE("file:///E:/Estudios%20y%20certificaciones/ESTUDIOS%20DE%20PROGRAMMING/PROGRAMMING/PERSONAL/PYTHON/Image_Generator_API/imagenes/LAUNDRY_BY_DESIGN_121009847_BLK_1.jpg")</f>
        <v/>
      </c>
      <c r="M829">
        <f>IMAGE("file:///E:/Estudios%20y%20certificaciones/ESTUDIOS%20DE%20PROGRAMMING/PROGRAMMING/PERSONAL/PYTHON/Image_Generator_API/imagenes/LAUNDRY_BY_DESIGN_121009847_BLK_2.jpg")</f>
        <v/>
      </c>
      <c r="N829">
        <f>IMAGE("file:///E:/Estudios%20y%20certificaciones/ESTUDIOS%20DE%20PROGRAMMING/PROGRAMMING/PERSONAL/PYTHON/Image_Generator_API/imagenes/LAUNDRY_BY_DESIGN_121009847_BLK_3.jpg")</f>
        <v/>
      </c>
      <c r="O829">
        <f>HYPERLINK("imagenes/LAUNDRY_BY_DESIGN_121009847_BLK_1.jpg","Ver imagen")</f>
        <v/>
      </c>
      <c r="P829">
        <f>HYPERLINK("imagenes/LAUNDRY_BY_DESIGN_121009847_BLK_2.jpg","Ver imagen")</f>
        <v/>
      </c>
      <c r="Q829">
        <f>HYPERLINK("imagenes/LAUNDRY_BY_DESIGN_121009847_BLK_3.jpg","Ver imagen")</f>
        <v/>
      </c>
    </row>
    <row r="830">
      <c r="A830" t="inlineStr">
        <is>
          <t>LAUNDRY BY DESIGN</t>
        </is>
      </c>
      <c r="B830" t="inlineStr">
        <is>
          <t>121009847</t>
        </is>
      </c>
      <c r="C830" t="inlineStr">
        <is>
          <t>26.5" STRETCH PUFFER</t>
        </is>
      </c>
      <c r="D830" t="inlineStr">
        <is>
          <t>MLB</t>
        </is>
      </c>
      <c r="E830" t="inlineStr">
        <is>
          <t>06A01</t>
        </is>
      </c>
      <c r="F830" t="inlineStr">
        <is>
          <t>(en blanco)</t>
        </is>
      </c>
      <c r="G830" t="inlineStr">
        <is>
          <t>PPK</t>
        </is>
      </c>
      <c r="H830" t="n">
        <v>0</v>
      </c>
      <c r="I830" t="inlineStr">
        <is>
          <t>LAUNDRY_BY_DESIGN_121009847_MLB_1.jpg</t>
        </is>
      </c>
      <c r="J830" t="inlineStr">
        <is>
          <t>LAUNDRY_BY_DESIGN_121009847_MLB_2.jpg</t>
        </is>
      </c>
      <c r="K830" t="inlineStr">
        <is>
          <t>LAUNDRY_BY_DESIGN_121009847_MLB_3.jpg</t>
        </is>
      </c>
      <c r="L830">
        <f>IMAGE("file:///E:/Estudios%20y%20certificaciones/ESTUDIOS%20DE%20PROGRAMMING/PROGRAMMING/PERSONAL/PYTHON/Image_Generator_API/imagenes/LAUNDRY_BY_DESIGN_121009847_MLB_1.jpg")</f>
        <v/>
      </c>
      <c r="M830">
        <f>IMAGE("file:///E:/Estudios%20y%20certificaciones/ESTUDIOS%20DE%20PROGRAMMING/PROGRAMMING/PERSONAL/PYTHON/Image_Generator_API/imagenes/LAUNDRY_BY_DESIGN_121009847_MLB_2.jpg")</f>
        <v/>
      </c>
      <c r="N830">
        <f>IMAGE("file:///E:/Estudios%20y%20certificaciones/ESTUDIOS%20DE%20PROGRAMMING/PROGRAMMING/PERSONAL/PYTHON/Image_Generator_API/imagenes/LAUNDRY_BY_DESIGN_121009847_MLB_3.jpg")</f>
        <v/>
      </c>
      <c r="O830">
        <f>HYPERLINK("imagenes/LAUNDRY_BY_DESIGN_121009847_MLB_1.jpg","Ver imagen")</f>
        <v/>
      </c>
      <c r="P830">
        <f>HYPERLINK("imagenes/LAUNDRY_BY_DESIGN_121009847_MLB_2.jpg","Ver imagen")</f>
        <v/>
      </c>
      <c r="Q830">
        <f>HYPERLINK("imagenes/LAUNDRY_BY_DESIGN_121009847_MLB_3.jpg","Ver imagen")</f>
        <v/>
      </c>
    </row>
    <row r="831">
      <c r="A831" t="inlineStr">
        <is>
          <t>LAUNDRY BY DESIGN</t>
        </is>
      </c>
      <c r="B831" t="inlineStr">
        <is>
          <t>121009847</t>
        </is>
      </c>
      <c r="C831" t="inlineStr">
        <is>
          <t>26.5" STRETCH PUFFER</t>
        </is>
      </c>
      <c r="D831" t="inlineStr">
        <is>
          <t>MLB</t>
        </is>
      </c>
      <c r="E831" t="inlineStr">
        <is>
          <t>(en blanco)</t>
        </is>
      </c>
      <c r="F831" t="inlineStr">
        <is>
          <t>(en blanco)</t>
        </is>
      </c>
      <c r="G831" t="inlineStr">
        <is>
          <t>S</t>
        </is>
      </c>
      <c r="H831" t="n">
        <v>9</v>
      </c>
      <c r="I831" t="inlineStr">
        <is>
          <t>LAUNDRY_BY_DESIGN_121009847_MLB_1.jpg</t>
        </is>
      </c>
      <c r="J831" t="inlineStr">
        <is>
          <t>LAUNDRY_BY_DESIGN_121009847_MLB_2.jpg</t>
        </is>
      </c>
      <c r="K831" t="inlineStr">
        <is>
          <t>LAUNDRY_BY_DESIGN_121009847_MLB_3.jpg</t>
        </is>
      </c>
      <c r="L831">
        <f>IMAGE("file:///E:/Estudios%20y%20certificaciones/ESTUDIOS%20DE%20PROGRAMMING/PROGRAMMING/PERSONAL/PYTHON/Image_Generator_API/imagenes/LAUNDRY_BY_DESIGN_121009847_MLB_1.jpg")</f>
        <v/>
      </c>
      <c r="M831">
        <f>IMAGE("file:///E:/Estudios%20y%20certificaciones/ESTUDIOS%20DE%20PROGRAMMING/PROGRAMMING/PERSONAL/PYTHON/Image_Generator_API/imagenes/LAUNDRY_BY_DESIGN_121009847_MLB_2.jpg")</f>
        <v/>
      </c>
      <c r="N831">
        <f>IMAGE("file:///E:/Estudios%20y%20certificaciones/ESTUDIOS%20DE%20PROGRAMMING/PROGRAMMING/PERSONAL/PYTHON/Image_Generator_API/imagenes/LAUNDRY_BY_DESIGN_121009847_MLB_3.jpg")</f>
        <v/>
      </c>
      <c r="O831">
        <f>HYPERLINK("imagenes/LAUNDRY_BY_DESIGN_121009847_MLB_1.jpg","Ver imagen")</f>
        <v/>
      </c>
      <c r="P831">
        <f>HYPERLINK("imagenes/LAUNDRY_BY_DESIGN_121009847_MLB_2.jpg","Ver imagen")</f>
        <v/>
      </c>
      <c r="Q831">
        <f>HYPERLINK("imagenes/LAUNDRY_BY_DESIGN_121009847_MLB_3.jpg","Ver imagen")</f>
        <v/>
      </c>
    </row>
    <row r="832">
      <c r="A832" t="inlineStr">
        <is>
          <t>LAUNDRY BY DESIGN</t>
        </is>
      </c>
      <c r="B832" t="inlineStr">
        <is>
          <t>121009847</t>
        </is>
      </c>
      <c r="C832" t="inlineStr">
        <is>
          <t>26.5" STRETCH PUFFER</t>
        </is>
      </c>
      <c r="D832" t="inlineStr">
        <is>
          <t>MLB</t>
        </is>
      </c>
      <c r="E832" t="inlineStr">
        <is>
          <t>(en blanco)</t>
        </is>
      </c>
      <c r="F832" t="inlineStr">
        <is>
          <t>(en blanco)</t>
        </is>
      </c>
      <c r="G832" t="inlineStr">
        <is>
          <t>M</t>
        </is>
      </c>
      <c r="H832" t="n">
        <v>22</v>
      </c>
      <c r="I832" t="inlineStr">
        <is>
          <t>LAUNDRY_BY_DESIGN_121009847_MLB_1.jpg</t>
        </is>
      </c>
      <c r="J832" t="inlineStr">
        <is>
          <t>LAUNDRY_BY_DESIGN_121009847_MLB_2.jpg</t>
        </is>
      </c>
      <c r="K832" t="inlineStr">
        <is>
          <t>LAUNDRY_BY_DESIGN_121009847_MLB_3.jpg</t>
        </is>
      </c>
      <c r="L832">
        <f>IMAGE("file:///E:/Estudios%20y%20certificaciones/ESTUDIOS%20DE%20PROGRAMMING/PROGRAMMING/PERSONAL/PYTHON/Image_Generator_API/imagenes/LAUNDRY_BY_DESIGN_121009847_MLB_1.jpg")</f>
        <v/>
      </c>
      <c r="M832">
        <f>IMAGE("file:///E:/Estudios%20y%20certificaciones/ESTUDIOS%20DE%20PROGRAMMING/PROGRAMMING/PERSONAL/PYTHON/Image_Generator_API/imagenes/LAUNDRY_BY_DESIGN_121009847_MLB_2.jpg")</f>
        <v/>
      </c>
      <c r="N832">
        <f>IMAGE("file:///E:/Estudios%20y%20certificaciones/ESTUDIOS%20DE%20PROGRAMMING/PROGRAMMING/PERSONAL/PYTHON/Image_Generator_API/imagenes/LAUNDRY_BY_DESIGN_121009847_MLB_3.jpg")</f>
        <v/>
      </c>
      <c r="O832">
        <f>HYPERLINK("imagenes/LAUNDRY_BY_DESIGN_121009847_MLB_1.jpg","Ver imagen")</f>
        <v/>
      </c>
      <c r="P832">
        <f>HYPERLINK("imagenes/LAUNDRY_BY_DESIGN_121009847_MLB_2.jpg","Ver imagen")</f>
        <v/>
      </c>
      <c r="Q832">
        <f>HYPERLINK("imagenes/LAUNDRY_BY_DESIGN_121009847_MLB_3.jpg","Ver imagen")</f>
        <v/>
      </c>
    </row>
    <row r="833">
      <c r="A833" t="inlineStr">
        <is>
          <t>LAUNDRY BY DESIGN</t>
        </is>
      </c>
      <c r="B833" t="inlineStr">
        <is>
          <t>121009847</t>
        </is>
      </c>
      <c r="C833" t="inlineStr">
        <is>
          <t>26.5" STRETCH PUFFER</t>
        </is>
      </c>
      <c r="D833" t="inlineStr">
        <is>
          <t>MLB</t>
        </is>
      </c>
      <c r="E833" t="inlineStr">
        <is>
          <t>(en blanco)</t>
        </is>
      </c>
      <c r="F833" t="inlineStr">
        <is>
          <t>(en blanco)</t>
        </is>
      </c>
      <c r="G833" t="inlineStr">
        <is>
          <t>L</t>
        </is>
      </c>
      <c r="H833" t="n">
        <v>18</v>
      </c>
      <c r="I833" t="inlineStr">
        <is>
          <t>LAUNDRY_BY_DESIGN_121009847_MLB_1.jpg</t>
        </is>
      </c>
      <c r="J833" t="inlineStr">
        <is>
          <t>LAUNDRY_BY_DESIGN_121009847_MLB_2.jpg</t>
        </is>
      </c>
      <c r="K833" t="inlineStr">
        <is>
          <t>LAUNDRY_BY_DESIGN_121009847_MLB_3.jpg</t>
        </is>
      </c>
      <c r="L833">
        <f>IMAGE("file:///E:/Estudios%20y%20certificaciones/ESTUDIOS%20DE%20PROGRAMMING/PROGRAMMING/PERSONAL/PYTHON/Image_Generator_API/imagenes/LAUNDRY_BY_DESIGN_121009847_MLB_1.jpg")</f>
        <v/>
      </c>
      <c r="M833">
        <f>IMAGE("file:///E:/Estudios%20y%20certificaciones/ESTUDIOS%20DE%20PROGRAMMING/PROGRAMMING/PERSONAL/PYTHON/Image_Generator_API/imagenes/LAUNDRY_BY_DESIGN_121009847_MLB_2.jpg")</f>
        <v/>
      </c>
      <c r="N833">
        <f>IMAGE("file:///E:/Estudios%20y%20certificaciones/ESTUDIOS%20DE%20PROGRAMMING/PROGRAMMING/PERSONAL/PYTHON/Image_Generator_API/imagenes/LAUNDRY_BY_DESIGN_121009847_MLB_3.jpg")</f>
        <v/>
      </c>
      <c r="O833">
        <f>HYPERLINK("imagenes/LAUNDRY_BY_DESIGN_121009847_MLB_1.jpg","Ver imagen")</f>
        <v/>
      </c>
      <c r="P833">
        <f>HYPERLINK("imagenes/LAUNDRY_BY_DESIGN_121009847_MLB_2.jpg","Ver imagen")</f>
        <v/>
      </c>
      <c r="Q833">
        <f>HYPERLINK("imagenes/LAUNDRY_BY_DESIGN_121009847_MLB_3.jpg","Ver imagen")</f>
        <v/>
      </c>
    </row>
    <row r="834">
      <c r="A834" t="inlineStr">
        <is>
          <t>LAUNDRY BY DESIGN</t>
        </is>
      </c>
      <c r="B834" t="inlineStr">
        <is>
          <t>121009847</t>
        </is>
      </c>
      <c r="C834" t="inlineStr">
        <is>
          <t>26.5" STRETCH PUFFER</t>
        </is>
      </c>
      <c r="D834" t="inlineStr">
        <is>
          <t>MLB</t>
        </is>
      </c>
      <c r="E834" t="inlineStr">
        <is>
          <t>(en blanco)</t>
        </is>
      </c>
      <c r="F834" t="inlineStr">
        <is>
          <t>(en blanco)</t>
        </is>
      </c>
      <c r="G834" t="inlineStr">
        <is>
          <t>XL</t>
        </is>
      </c>
      <c r="H834" t="n">
        <v>20</v>
      </c>
      <c r="I834" t="inlineStr">
        <is>
          <t>LAUNDRY_BY_DESIGN_121009847_MLB_1.jpg</t>
        </is>
      </c>
      <c r="J834" t="inlineStr">
        <is>
          <t>LAUNDRY_BY_DESIGN_121009847_MLB_2.jpg</t>
        </is>
      </c>
      <c r="K834" t="inlineStr">
        <is>
          <t>LAUNDRY_BY_DESIGN_121009847_MLB_3.jpg</t>
        </is>
      </c>
      <c r="L834">
        <f>IMAGE("file:///E:/Estudios%20y%20certificaciones/ESTUDIOS%20DE%20PROGRAMMING/PROGRAMMING/PERSONAL/PYTHON/Image_Generator_API/imagenes/LAUNDRY_BY_DESIGN_121009847_MLB_1.jpg")</f>
        <v/>
      </c>
      <c r="M834">
        <f>IMAGE("file:///E:/Estudios%20y%20certificaciones/ESTUDIOS%20DE%20PROGRAMMING/PROGRAMMING/PERSONAL/PYTHON/Image_Generator_API/imagenes/LAUNDRY_BY_DESIGN_121009847_MLB_2.jpg")</f>
        <v/>
      </c>
      <c r="N834">
        <f>IMAGE("file:///E:/Estudios%20y%20certificaciones/ESTUDIOS%20DE%20PROGRAMMING/PROGRAMMING/PERSONAL/PYTHON/Image_Generator_API/imagenes/LAUNDRY_BY_DESIGN_121009847_MLB_3.jpg")</f>
        <v/>
      </c>
      <c r="O834">
        <f>HYPERLINK("imagenes/LAUNDRY_BY_DESIGN_121009847_MLB_1.jpg","Ver imagen")</f>
        <v/>
      </c>
      <c r="P834">
        <f>HYPERLINK("imagenes/LAUNDRY_BY_DESIGN_121009847_MLB_2.jpg","Ver imagen")</f>
        <v/>
      </c>
      <c r="Q834">
        <f>HYPERLINK("imagenes/LAUNDRY_BY_DESIGN_121009847_MLB_3.jpg","Ver imagen")</f>
        <v/>
      </c>
    </row>
    <row r="835">
      <c r="A835" t="inlineStr">
        <is>
          <t>LAUNDRY BY DESIGN</t>
        </is>
      </c>
      <c r="B835" t="inlineStr">
        <is>
          <t>121009847</t>
        </is>
      </c>
      <c r="C835" t="inlineStr">
        <is>
          <t>26.5" STRETCH PUFFER</t>
        </is>
      </c>
      <c r="D835" t="inlineStr">
        <is>
          <t>MLB</t>
        </is>
      </c>
      <c r="E835" t="inlineStr">
        <is>
          <t>(en blanco)</t>
        </is>
      </c>
      <c r="F835" t="inlineStr">
        <is>
          <t>(en blanco)</t>
        </is>
      </c>
      <c r="G835" t="inlineStr">
        <is>
          <t>XXL</t>
        </is>
      </c>
      <c r="H835" t="n">
        <v>6</v>
      </c>
      <c r="I835" t="inlineStr">
        <is>
          <t>LAUNDRY_BY_DESIGN_121009847_MLB_1.jpg</t>
        </is>
      </c>
      <c r="J835" t="inlineStr">
        <is>
          <t>LAUNDRY_BY_DESIGN_121009847_MLB_2.jpg</t>
        </is>
      </c>
      <c r="K835" t="inlineStr">
        <is>
          <t>LAUNDRY_BY_DESIGN_121009847_MLB_3.jpg</t>
        </is>
      </c>
      <c r="L835">
        <f>IMAGE("file:///E:/Estudios%20y%20certificaciones/ESTUDIOS%20DE%20PROGRAMMING/PROGRAMMING/PERSONAL/PYTHON/Image_Generator_API/imagenes/LAUNDRY_BY_DESIGN_121009847_MLB_1.jpg")</f>
        <v/>
      </c>
      <c r="M835">
        <f>IMAGE("file:///E:/Estudios%20y%20certificaciones/ESTUDIOS%20DE%20PROGRAMMING/PROGRAMMING/PERSONAL/PYTHON/Image_Generator_API/imagenes/LAUNDRY_BY_DESIGN_121009847_MLB_2.jpg")</f>
        <v/>
      </c>
      <c r="N835">
        <f>IMAGE("file:///E:/Estudios%20y%20certificaciones/ESTUDIOS%20DE%20PROGRAMMING/PROGRAMMING/PERSONAL/PYTHON/Image_Generator_API/imagenes/LAUNDRY_BY_DESIGN_121009847_MLB_3.jpg")</f>
        <v/>
      </c>
      <c r="O835">
        <f>HYPERLINK("imagenes/LAUNDRY_BY_DESIGN_121009847_MLB_1.jpg","Ver imagen")</f>
        <v/>
      </c>
      <c r="P835">
        <f>HYPERLINK("imagenes/LAUNDRY_BY_DESIGN_121009847_MLB_2.jpg","Ver imagen")</f>
        <v/>
      </c>
      <c r="Q835">
        <f>HYPERLINK("imagenes/LAUNDRY_BY_DESIGN_121009847_MLB_3.jpg","Ver imagen")</f>
        <v/>
      </c>
    </row>
    <row r="836">
      <c r="A836" t="inlineStr">
        <is>
          <t>LAUNDRY BY DESIGN</t>
        </is>
      </c>
      <c r="B836" t="inlineStr">
        <is>
          <t>121009847</t>
        </is>
      </c>
      <c r="C836" t="inlineStr">
        <is>
          <t>26.5" STRETCH PUFFER</t>
        </is>
      </c>
      <c r="D836" t="inlineStr">
        <is>
          <t>OLI</t>
        </is>
      </c>
      <c r="E836" t="inlineStr">
        <is>
          <t>(en blanco)</t>
        </is>
      </c>
      <c r="F836" t="inlineStr">
        <is>
          <t>(en blanco)</t>
        </is>
      </c>
      <c r="G836" t="inlineStr">
        <is>
          <t>S</t>
        </is>
      </c>
      <c r="H836" t="n">
        <v>2</v>
      </c>
      <c r="I836" t="inlineStr">
        <is>
          <t>LAUNDRY_BY_DESIGN_121009847_OLI_1.jpg</t>
        </is>
      </c>
      <c r="J836" t="inlineStr">
        <is>
          <t>LAUNDRY_BY_DESIGN_121009847_OLI_2.jpg</t>
        </is>
      </c>
      <c r="K836" t="inlineStr">
        <is>
          <t>LAUNDRY_BY_DESIGN_121009847_OLI_3.jpg</t>
        </is>
      </c>
      <c r="L836">
        <f>IMAGE("file:///E:/Estudios%20y%20certificaciones/ESTUDIOS%20DE%20PROGRAMMING/PROGRAMMING/PERSONAL/PYTHON/Image_Generator_API/imagenes/LAUNDRY_BY_DESIGN_121009847_OLI_1.jpg")</f>
        <v/>
      </c>
      <c r="M836">
        <f>IMAGE("file:///E:/Estudios%20y%20certificaciones/ESTUDIOS%20DE%20PROGRAMMING/PROGRAMMING/PERSONAL/PYTHON/Image_Generator_API/imagenes/LAUNDRY_BY_DESIGN_121009847_OLI_2.jpg")</f>
        <v/>
      </c>
      <c r="N836">
        <f>IMAGE("file:///E:/Estudios%20y%20certificaciones/ESTUDIOS%20DE%20PROGRAMMING/PROGRAMMING/PERSONAL/PYTHON/Image_Generator_API/imagenes/LAUNDRY_BY_DESIGN_121009847_OLI_3.jpg")</f>
        <v/>
      </c>
      <c r="O836">
        <f>HYPERLINK("imagenes/LAUNDRY_BY_DESIGN_121009847_OLI_1.jpg","Ver imagen")</f>
        <v/>
      </c>
      <c r="P836">
        <f>HYPERLINK("imagenes/LAUNDRY_BY_DESIGN_121009847_OLI_2.jpg","Ver imagen")</f>
        <v/>
      </c>
      <c r="Q836">
        <f>HYPERLINK("imagenes/LAUNDRY_BY_DESIGN_121009847_OLI_3.jpg","Ver imagen")</f>
        <v/>
      </c>
    </row>
    <row r="837">
      <c r="A837" t="inlineStr">
        <is>
          <t>LAUNDRY BY DESIGN</t>
        </is>
      </c>
      <c r="B837" t="inlineStr">
        <is>
          <t>121009847</t>
        </is>
      </c>
      <c r="C837" t="inlineStr">
        <is>
          <t>26.5" STRETCH PUFFER</t>
        </is>
      </c>
      <c r="D837" t="inlineStr">
        <is>
          <t>OLI</t>
        </is>
      </c>
      <c r="E837" t="inlineStr">
        <is>
          <t>(en blanco)</t>
        </is>
      </c>
      <c r="F837" t="inlineStr">
        <is>
          <t>(en blanco)</t>
        </is>
      </c>
      <c r="G837" t="inlineStr">
        <is>
          <t>M</t>
        </is>
      </c>
      <c r="H837" t="n">
        <v>5</v>
      </c>
      <c r="I837" t="inlineStr">
        <is>
          <t>LAUNDRY_BY_DESIGN_121009847_OLI_1.jpg</t>
        </is>
      </c>
      <c r="J837" t="inlineStr">
        <is>
          <t>LAUNDRY_BY_DESIGN_121009847_OLI_2.jpg</t>
        </is>
      </c>
      <c r="K837" t="inlineStr">
        <is>
          <t>LAUNDRY_BY_DESIGN_121009847_OLI_3.jpg</t>
        </is>
      </c>
      <c r="L837">
        <f>IMAGE("file:///E:/Estudios%20y%20certificaciones/ESTUDIOS%20DE%20PROGRAMMING/PROGRAMMING/PERSONAL/PYTHON/Image_Generator_API/imagenes/LAUNDRY_BY_DESIGN_121009847_OLI_1.jpg")</f>
        <v/>
      </c>
      <c r="M837">
        <f>IMAGE("file:///E:/Estudios%20y%20certificaciones/ESTUDIOS%20DE%20PROGRAMMING/PROGRAMMING/PERSONAL/PYTHON/Image_Generator_API/imagenes/LAUNDRY_BY_DESIGN_121009847_OLI_2.jpg")</f>
        <v/>
      </c>
      <c r="N837">
        <f>IMAGE("file:///E:/Estudios%20y%20certificaciones/ESTUDIOS%20DE%20PROGRAMMING/PROGRAMMING/PERSONAL/PYTHON/Image_Generator_API/imagenes/LAUNDRY_BY_DESIGN_121009847_OLI_3.jpg")</f>
        <v/>
      </c>
      <c r="O837">
        <f>HYPERLINK("imagenes/LAUNDRY_BY_DESIGN_121009847_OLI_1.jpg","Ver imagen")</f>
        <v/>
      </c>
      <c r="P837">
        <f>HYPERLINK("imagenes/LAUNDRY_BY_DESIGN_121009847_OLI_2.jpg","Ver imagen")</f>
        <v/>
      </c>
      <c r="Q837">
        <f>HYPERLINK("imagenes/LAUNDRY_BY_DESIGN_121009847_OLI_3.jpg","Ver imagen")</f>
        <v/>
      </c>
    </row>
    <row r="838">
      <c r="A838" t="inlineStr">
        <is>
          <t>LAUNDRY BY DESIGN</t>
        </is>
      </c>
      <c r="B838" t="inlineStr">
        <is>
          <t>121009847</t>
        </is>
      </c>
      <c r="C838" t="inlineStr">
        <is>
          <t>26.5" STRETCH PUFFER</t>
        </is>
      </c>
      <c r="D838" t="inlineStr">
        <is>
          <t>OLI</t>
        </is>
      </c>
      <c r="E838" t="inlineStr">
        <is>
          <t>(en blanco)</t>
        </is>
      </c>
      <c r="F838" t="inlineStr">
        <is>
          <t>(en blanco)</t>
        </is>
      </c>
      <c r="G838" t="inlineStr">
        <is>
          <t>L</t>
        </is>
      </c>
      <c r="H838" t="n">
        <v>7</v>
      </c>
      <c r="I838" t="inlineStr">
        <is>
          <t>LAUNDRY_BY_DESIGN_121009847_OLI_1.jpg</t>
        </is>
      </c>
      <c r="J838" t="inlineStr">
        <is>
          <t>LAUNDRY_BY_DESIGN_121009847_OLI_2.jpg</t>
        </is>
      </c>
      <c r="K838" t="inlineStr">
        <is>
          <t>LAUNDRY_BY_DESIGN_121009847_OLI_3.jpg</t>
        </is>
      </c>
      <c r="L838">
        <f>IMAGE("file:///E:/Estudios%20y%20certificaciones/ESTUDIOS%20DE%20PROGRAMMING/PROGRAMMING/PERSONAL/PYTHON/Image_Generator_API/imagenes/LAUNDRY_BY_DESIGN_121009847_OLI_1.jpg")</f>
        <v/>
      </c>
      <c r="M838">
        <f>IMAGE("file:///E:/Estudios%20y%20certificaciones/ESTUDIOS%20DE%20PROGRAMMING/PROGRAMMING/PERSONAL/PYTHON/Image_Generator_API/imagenes/LAUNDRY_BY_DESIGN_121009847_OLI_2.jpg")</f>
        <v/>
      </c>
      <c r="N838">
        <f>IMAGE("file:///E:/Estudios%20y%20certificaciones/ESTUDIOS%20DE%20PROGRAMMING/PROGRAMMING/PERSONAL/PYTHON/Image_Generator_API/imagenes/LAUNDRY_BY_DESIGN_121009847_OLI_3.jpg")</f>
        <v/>
      </c>
      <c r="O838">
        <f>HYPERLINK("imagenes/LAUNDRY_BY_DESIGN_121009847_OLI_1.jpg","Ver imagen")</f>
        <v/>
      </c>
      <c r="P838">
        <f>HYPERLINK("imagenes/LAUNDRY_BY_DESIGN_121009847_OLI_2.jpg","Ver imagen")</f>
        <v/>
      </c>
      <c r="Q838">
        <f>HYPERLINK("imagenes/LAUNDRY_BY_DESIGN_121009847_OLI_3.jpg","Ver imagen")</f>
        <v/>
      </c>
    </row>
    <row r="839">
      <c r="A839" t="inlineStr">
        <is>
          <t>LAUNDRY BY DESIGN</t>
        </is>
      </c>
      <c r="B839" t="inlineStr">
        <is>
          <t>121009847</t>
        </is>
      </c>
      <c r="C839" t="inlineStr">
        <is>
          <t>26.5" STRETCH PUFFER</t>
        </is>
      </c>
      <c r="D839" t="inlineStr">
        <is>
          <t>OLI</t>
        </is>
      </c>
      <c r="E839" t="inlineStr">
        <is>
          <t>(en blanco)</t>
        </is>
      </c>
      <c r="F839" t="inlineStr">
        <is>
          <t>(en blanco)</t>
        </is>
      </c>
      <c r="G839" t="inlineStr">
        <is>
          <t>XL</t>
        </is>
      </c>
      <c r="H839" t="n">
        <v>12</v>
      </c>
      <c r="I839" t="inlineStr">
        <is>
          <t>LAUNDRY_BY_DESIGN_121009847_OLI_1.jpg</t>
        </is>
      </c>
      <c r="J839" t="inlineStr">
        <is>
          <t>LAUNDRY_BY_DESIGN_121009847_OLI_2.jpg</t>
        </is>
      </c>
      <c r="K839" t="inlineStr">
        <is>
          <t>LAUNDRY_BY_DESIGN_121009847_OLI_3.jpg</t>
        </is>
      </c>
      <c r="L839">
        <f>IMAGE("file:///E:/Estudios%20y%20certificaciones/ESTUDIOS%20DE%20PROGRAMMING/PROGRAMMING/PERSONAL/PYTHON/Image_Generator_API/imagenes/LAUNDRY_BY_DESIGN_121009847_OLI_1.jpg")</f>
        <v/>
      </c>
      <c r="M839">
        <f>IMAGE("file:///E:/Estudios%20y%20certificaciones/ESTUDIOS%20DE%20PROGRAMMING/PROGRAMMING/PERSONAL/PYTHON/Image_Generator_API/imagenes/LAUNDRY_BY_DESIGN_121009847_OLI_2.jpg")</f>
        <v/>
      </c>
      <c r="N839">
        <f>IMAGE("file:///E:/Estudios%20y%20certificaciones/ESTUDIOS%20DE%20PROGRAMMING/PROGRAMMING/PERSONAL/PYTHON/Image_Generator_API/imagenes/LAUNDRY_BY_DESIGN_121009847_OLI_3.jpg")</f>
        <v/>
      </c>
      <c r="O839">
        <f>HYPERLINK("imagenes/LAUNDRY_BY_DESIGN_121009847_OLI_1.jpg","Ver imagen")</f>
        <v/>
      </c>
      <c r="P839">
        <f>HYPERLINK("imagenes/LAUNDRY_BY_DESIGN_121009847_OLI_2.jpg","Ver imagen")</f>
        <v/>
      </c>
      <c r="Q839">
        <f>HYPERLINK("imagenes/LAUNDRY_BY_DESIGN_121009847_OLI_3.jpg","Ver imagen")</f>
        <v/>
      </c>
    </row>
    <row r="840">
      <c r="A840" t="inlineStr">
        <is>
          <t>LAUNDRY BY DESIGN</t>
        </is>
      </c>
      <c r="B840" t="inlineStr">
        <is>
          <t>121009847</t>
        </is>
      </c>
      <c r="C840" t="inlineStr">
        <is>
          <t>26.5" STRETCH PUFFER</t>
        </is>
      </c>
      <c r="D840" t="inlineStr">
        <is>
          <t>OLI</t>
        </is>
      </c>
      <c r="E840" t="inlineStr">
        <is>
          <t>(en blanco)</t>
        </is>
      </c>
      <c r="F840" t="inlineStr">
        <is>
          <t>(en blanco)</t>
        </is>
      </c>
      <c r="G840" t="inlineStr">
        <is>
          <t>XXL</t>
        </is>
      </c>
      <c r="H840" t="n">
        <v>6</v>
      </c>
      <c r="I840" t="inlineStr">
        <is>
          <t>LAUNDRY_BY_DESIGN_121009847_OLI_1.jpg</t>
        </is>
      </c>
      <c r="J840" t="inlineStr">
        <is>
          <t>LAUNDRY_BY_DESIGN_121009847_OLI_2.jpg</t>
        </is>
      </c>
      <c r="K840" t="inlineStr">
        <is>
          <t>LAUNDRY_BY_DESIGN_121009847_OLI_3.jpg</t>
        </is>
      </c>
      <c r="L840">
        <f>IMAGE("file:///E:/Estudios%20y%20certificaciones/ESTUDIOS%20DE%20PROGRAMMING/PROGRAMMING/PERSONAL/PYTHON/Image_Generator_API/imagenes/LAUNDRY_BY_DESIGN_121009847_OLI_1.jpg")</f>
        <v/>
      </c>
      <c r="M840">
        <f>IMAGE("file:///E:/Estudios%20y%20certificaciones/ESTUDIOS%20DE%20PROGRAMMING/PROGRAMMING/PERSONAL/PYTHON/Image_Generator_API/imagenes/LAUNDRY_BY_DESIGN_121009847_OLI_2.jpg")</f>
        <v/>
      </c>
      <c r="N840">
        <f>IMAGE("file:///E:/Estudios%20y%20certificaciones/ESTUDIOS%20DE%20PROGRAMMING/PROGRAMMING/PERSONAL/PYTHON/Image_Generator_API/imagenes/LAUNDRY_BY_DESIGN_121009847_OLI_3.jpg")</f>
        <v/>
      </c>
      <c r="O840">
        <f>HYPERLINK("imagenes/LAUNDRY_BY_DESIGN_121009847_OLI_1.jpg","Ver imagen")</f>
        <v/>
      </c>
      <c r="P840">
        <f>HYPERLINK("imagenes/LAUNDRY_BY_DESIGN_121009847_OLI_2.jpg","Ver imagen")</f>
        <v/>
      </c>
      <c r="Q840">
        <f>HYPERLINK("imagenes/LAUNDRY_BY_DESIGN_121009847_OLI_3.jpg","Ver imagen")</f>
        <v/>
      </c>
    </row>
    <row r="841">
      <c r="A841" t="inlineStr">
        <is>
          <t>LAUNDRY BY DESIGN</t>
        </is>
      </c>
      <c r="B841" t="inlineStr">
        <is>
          <t>121009848</t>
        </is>
      </c>
      <c r="C841" t="inlineStr">
        <is>
          <t>32 MIST PUFFER</t>
        </is>
      </c>
      <c r="D841" t="inlineStr">
        <is>
          <t>BLK</t>
        </is>
      </c>
      <c r="E841" t="inlineStr">
        <is>
          <t>06A01</t>
        </is>
      </c>
      <c r="F841" t="inlineStr">
        <is>
          <t>(en blanco)</t>
        </is>
      </c>
      <c r="G841" t="inlineStr">
        <is>
          <t>PPK</t>
        </is>
      </c>
      <c r="H841" t="n">
        <v>3252</v>
      </c>
      <c r="I841" t="inlineStr">
        <is>
          <t>LAUNDRY_BY_DESIGN_121009848_BLK_1.jpg</t>
        </is>
      </c>
      <c r="J841" t="inlineStr">
        <is>
          <t>LAUNDRY_BY_DESIGN_121009848_BLK_2.jpg</t>
        </is>
      </c>
      <c r="K841" t="inlineStr">
        <is>
          <t>LAUNDRY_BY_DESIGN_121009848_BLK_3.jpg</t>
        </is>
      </c>
      <c r="L841">
        <f>IMAGE("file:///E:/Estudios%20y%20certificaciones/ESTUDIOS%20DE%20PROGRAMMING/PROGRAMMING/PERSONAL/PYTHON/Image_Generator_API/imagenes/LAUNDRY_BY_DESIGN_121009848_BLK_1.jpg")</f>
        <v/>
      </c>
      <c r="M841">
        <f>IMAGE("file:///E:/Estudios%20y%20certificaciones/ESTUDIOS%20DE%20PROGRAMMING/PROGRAMMING/PERSONAL/PYTHON/Image_Generator_API/imagenes/LAUNDRY_BY_DESIGN_121009848_BLK_2.jpg")</f>
        <v/>
      </c>
      <c r="N841">
        <f>IMAGE("file:///E:/Estudios%20y%20certificaciones/ESTUDIOS%20DE%20PROGRAMMING/PROGRAMMING/PERSONAL/PYTHON/Image_Generator_API/imagenes/LAUNDRY_BY_DESIGN_121009848_BLK_3.jpg")</f>
        <v/>
      </c>
      <c r="O841">
        <f>HYPERLINK("imagenes/LAUNDRY_BY_DESIGN_121009848_BLK_1.jpg","Ver imagen")</f>
        <v/>
      </c>
      <c r="P841">
        <f>HYPERLINK("imagenes/LAUNDRY_BY_DESIGN_121009848_BLK_2.jpg","Ver imagen")</f>
        <v/>
      </c>
      <c r="Q841">
        <f>HYPERLINK("imagenes/LAUNDRY_BY_DESIGN_121009848_BLK_3.jpg","Ver imagen")</f>
        <v/>
      </c>
    </row>
    <row r="842">
      <c r="A842" t="inlineStr">
        <is>
          <t>LAUNDRY BY DESIGN</t>
        </is>
      </c>
      <c r="B842" t="inlineStr">
        <is>
          <t>121009848</t>
        </is>
      </c>
      <c r="C842" t="inlineStr">
        <is>
          <t>32 MIST PUFFER</t>
        </is>
      </c>
      <c r="D842" t="inlineStr">
        <is>
          <t>BLK</t>
        </is>
      </c>
      <c r="E842" t="inlineStr">
        <is>
          <t>(en blanco)</t>
        </is>
      </c>
      <c r="F842" t="inlineStr">
        <is>
          <t>(en blanco)</t>
        </is>
      </c>
      <c r="G842" t="inlineStr">
        <is>
          <t>S</t>
        </is>
      </c>
      <c r="H842" t="n">
        <v>16</v>
      </c>
      <c r="I842" t="inlineStr">
        <is>
          <t>LAUNDRY_BY_DESIGN_121009848_BLK_1.jpg</t>
        </is>
      </c>
      <c r="J842" t="inlineStr">
        <is>
          <t>LAUNDRY_BY_DESIGN_121009848_BLK_2.jpg</t>
        </is>
      </c>
      <c r="K842" t="inlineStr">
        <is>
          <t>LAUNDRY_BY_DESIGN_121009848_BLK_3.jpg</t>
        </is>
      </c>
      <c r="L842">
        <f>IMAGE("file:///E:/Estudios%20y%20certificaciones/ESTUDIOS%20DE%20PROGRAMMING/PROGRAMMING/PERSONAL/PYTHON/Image_Generator_API/imagenes/LAUNDRY_BY_DESIGN_121009848_BLK_1.jpg")</f>
        <v/>
      </c>
      <c r="M842">
        <f>IMAGE("file:///E:/Estudios%20y%20certificaciones/ESTUDIOS%20DE%20PROGRAMMING/PROGRAMMING/PERSONAL/PYTHON/Image_Generator_API/imagenes/LAUNDRY_BY_DESIGN_121009848_BLK_2.jpg")</f>
        <v/>
      </c>
      <c r="N842">
        <f>IMAGE("file:///E:/Estudios%20y%20certificaciones/ESTUDIOS%20DE%20PROGRAMMING/PROGRAMMING/PERSONAL/PYTHON/Image_Generator_API/imagenes/LAUNDRY_BY_DESIGN_121009848_BLK_3.jpg")</f>
        <v/>
      </c>
      <c r="O842">
        <f>HYPERLINK("imagenes/LAUNDRY_BY_DESIGN_121009848_BLK_1.jpg","Ver imagen")</f>
        <v/>
      </c>
      <c r="P842">
        <f>HYPERLINK("imagenes/LAUNDRY_BY_DESIGN_121009848_BLK_2.jpg","Ver imagen")</f>
        <v/>
      </c>
      <c r="Q842">
        <f>HYPERLINK("imagenes/LAUNDRY_BY_DESIGN_121009848_BLK_3.jpg","Ver imagen")</f>
        <v/>
      </c>
    </row>
    <row r="843">
      <c r="A843" t="inlineStr">
        <is>
          <t>LAUNDRY BY DESIGN</t>
        </is>
      </c>
      <c r="B843" t="inlineStr">
        <is>
          <t>121009848</t>
        </is>
      </c>
      <c r="C843" t="inlineStr">
        <is>
          <t>32 MIST PUFFER</t>
        </is>
      </c>
      <c r="D843" t="inlineStr">
        <is>
          <t>BLK</t>
        </is>
      </c>
      <c r="E843" t="inlineStr">
        <is>
          <t>(en blanco)</t>
        </is>
      </c>
      <c r="F843" t="inlineStr">
        <is>
          <t>(en blanco)</t>
        </is>
      </c>
      <c r="G843" t="inlineStr">
        <is>
          <t>M</t>
        </is>
      </c>
      <c r="H843" t="n">
        <v>41</v>
      </c>
      <c r="I843" t="inlineStr">
        <is>
          <t>LAUNDRY_BY_DESIGN_121009848_BLK_1.jpg</t>
        </is>
      </c>
      <c r="J843" t="inlineStr">
        <is>
          <t>LAUNDRY_BY_DESIGN_121009848_BLK_2.jpg</t>
        </is>
      </c>
      <c r="K843" t="inlineStr">
        <is>
          <t>LAUNDRY_BY_DESIGN_121009848_BLK_3.jpg</t>
        </is>
      </c>
      <c r="L843">
        <f>IMAGE("file:///E:/Estudios%20y%20certificaciones/ESTUDIOS%20DE%20PROGRAMMING/PROGRAMMING/PERSONAL/PYTHON/Image_Generator_API/imagenes/LAUNDRY_BY_DESIGN_121009848_BLK_1.jpg")</f>
        <v/>
      </c>
      <c r="M843">
        <f>IMAGE("file:///E:/Estudios%20y%20certificaciones/ESTUDIOS%20DE%20PROGRAMMING/PROGRAMMING/PERSONAL/PYTHON/Image_Generator_API/imagenes/LAUNDRY_BY_DESIGN_121009848_BLK_2.jpg")</f>
        <v/>
      </c>
      <c r="N843">
        <f>IMAGE("file:///E:/Estudios%20y%20certificaciones/ESTUDIOS%20DE%20PROGRAMMING/PROGRAMMING/PERSONAL/PYTHON/Image_Generator_API/imagenes/LAUNDRY_BY_DESIGN_121009848_BLK_3.jpg")</f>
        <v/>
      </c>
      <c r="O843">
        <f>HYPERLINK("imagenes/LAUNDRY_BY_DESIGN_121009848_BLK_1.jpg","Ver imagen")</f>
        <v/>
      </c>
      <c r="P843">
        <f>HYPERLINK("imagenes/LAUNDRY_BY_DESIGN_121009848_BLK_2.jpg","Ver imagen")</f>
        <v/>
      </c>
      <c r="Q843">
        <f>HYPERLINK("imagenes/LAUNDRY_BY_DESIGN_121009848_BLK_3.jpg","Ver imagen")</f>
        <v/>
      </c>
    </row>
    <row r="844">
      <c r="A844" t="inlineStr">
        <is>
          <t>LAUNDRY BY DESIGN</t>
        </is>
      </c>
      <c r="B844" t="inlineStr">
        <is>
          <t>121009848</t>
        </is>
      </c>
      <c r="C844" t="inlineStr">
        <is>
          <t>32 MIST PUFFER</t>
        </is>
      </c>
      <c r="D844" t="inlineStr">
        <is>
          <t>BLK</t>
        </is>
      </c>
      <c r="E844" t="inlineStr">
        <is>
          <t>(en blanco)</t>
        </is>
      </c>
      <c r="F844" t="inlineStr">
        <is>
          <t>(en blanco)</t>
        </is>
      </c>
      <c r="G844" t="inlineStr">
        <is>
          <t>L</t>
        </is>
      </c>
      <c r="H844" t="n">
        <v>33</v>
      </c>
      <c r="I844" t="inlineStr">
        <is>
          <t>LAUNDRY_BY_DESIGN_121009848_BLK_1.jpg</t>
        </is>
      </c>
      <c r="J844" t="inlineStr">
        <is>
          <t>LAUNDRY_BY_DESIGN_121009848_BLK_2.jpg</t>
        </is>
      </c>
      <c r="K844" t="inlineStr">
        <is>
          <t>LAUNDRY_BY_DESIGN_121009848_BLK_3.jpg</t>
        </is>
      </c>
      <c r="L844">
        <f>IMAGE("file:///E:/Estudios%20y%20certificaciones/ESTUDIOS%20DE%20PROGRAMMING/PROGRAMMING/PERSONAL/PYTHON/Image_Generator_API/imagenes/LAUNDRY_BY_DESIGN_121009848_BLK_1.jpg")</f>
        <v/>
      </c>
      <c r="M844">
        <f>IMAGE("file:///E:/Estudios%20y%20certificaciones/ESTUDIOS%20DE%20PROGRAMMING/PROGRAMMING/PERSONAL/PYTHON/Image_Generator_API/imagenes/LAUNDRY_BY_DESIGN_121009848_BLK_2.jpg")</f>
        <v/>
      </c>
      <c r="N844">
        <f>IMAGE("file:///E:/Estudios%20y%20certificaciones/ESTUDIOS%20DE%20PROGRAMMING/PROGRAMMING/PERSONAL/PYTHON/Image_Generator_API/imagenes/LAUNDRY_BY_DESIGN_121009848_BLK_3.jpg")</f>
        <v/>
      </c>
      <c r="O844">
        <f>HYPERLINK("imagenes/LAUNDRY_BY_DESIGN_121009848_BLK_1.jpg","Ver imagen")</f>
        <v/>
      </c>
      <c r="P844">
        <f>HYPERLINK("imagenes/LAUNDRY_BY_DESIGN_121009848_BLK_2.jpg","Ver imagen")</f>
        <v/>
      </c>
      <c r="Q844">
        <f>HYPERLINK("imagenes/LAUNDRY_BY_DESIGN_121009848_BLK_3.jpg","Ver imagen")</f>
        <v/>
      </c>
    </row>
    <row r="845">
      <c r="A845" t="inlineStr">
        <is>
          <t>LAUNDRY BY DESIGN</t>
        </is>
      </c>
      <c r="B845" t="inlineStr">
        <is>
          <t>121009848</t>
        </is>
      </c>
      <c r="C845" t="inlineStr">
        <is>
          <t>32 MIST PUFFER</t>
        </is>
      </c>
      <c r="D845" t="inlineStr">
        <is>
          <t>BLK</t>
        </is>
      </c>
      <c r="E845" t="inlineStr">
        <is>
          <t>(en blanco)</t>
        </is>
      </c>
      <c r="F845" t="inlineStr">
        <is>
          <t>(en blanco)</t>
        </is>
      </c>
      <c r="G845" t="inlineStr">
        <is>
          <t>XL</t>
        </is>
      </c>
      <c r="H845" t="n">
        <v>36</v>
      </c>
      <c r="I845" t="inlineStr">
        <is>
          <t>LAUNDRY_BY_DESIGN_121009848_BLK_1.jpg</t>
        </is>
      </c>
      <c r="J845" t="inlineStr">
        <is>
          <t>LAUNDRY_BY_DESIGN_121009848_BLK_2.jpg</t>
        </is>
      </c>
      <c r="K845" t="inlineStr">
        <is>
          <t>LAUNDRY_BY_DESIGN_121009848_BLK_3.jpg</t>
        </is>
      </c>
      <c r="L845">
        <f>IMAGE("file:///E:/Estudios%20y%20certificaciones/ESTUDIOS%20DE%20PROGRAMMING/PROGRAMMING/PERSONAL/PYTHON/Image_Generator_API/imagenes/LAUNDRY_BY_DESIGN_121009848_BLK_1.jpg")</f>
        <v/>
      </c>
      <c r="M845">
        <f>IMAGE("file:///E:/Estudios%20y%20certificaciones/ESTUDIOS%20DE%20PROGRAMMING/PROGRAMMING/PERSONAL/PYTHON/Image_Generator_API/imagenes/LAUNDRY_BY_DESIGN_121009848_BLK_2.jpg")</f>
        <v/>
      </c>
      <c r="N845">
        <f>IMAGE("file:///E:/Estudios%20y%20certificaciones/ESTUDIOS%20DE%20PROGRAMMING/PROGRAMMING/PERSONAL/PYTHON/Image_Generator_API/imagenes/LAUNDRY_BY_DESIGN_121009848_BLK_3.jpg")</f>
        <v/>
      </c>
      <c r="O845">
        <f>HYPERLINK("imagenes/LAUNDRY_BY_DESIGN_121009848_BLK_1.jpg","Ver imagen")</f>
        <v/>
      </c>
      <c r="P845">
        <f>HYPERLINK("imagenes/LAUNDRY_BY_DESIGN_121009848_BLK_2.jpg","Ver imagen")</f>
        <v/>
      </c>
      <c r="Q845">
        <f>HYPERLINK("imagenes/LAUNDRY_BY_DESIGN_121009848_BLK_3.jpg","Ver imagen")</f>
        <v/>
      </c>
    </row>
    <row r="846">
      <c r="A846" t="inlineStr">
        <is>
          <t>LAUNDRY BY DESIGN</t>
        </is>
      </c>
      <c r="B846" t="inlineStr">
        <is>
          <t>121009848</t>
        </is>
      </c>
      <c r="C846" t="inlineStr">
        <is>
          <t>32 MIST PUFFER</t>
        </is>
      </c>
      <c r="D846" t="inlineStr">
        <is>
          <t>BLK</t>
        </is>
      </c>
      <c r="E846" t="inlineStr">
        <is>
          <t>(en blanco)</t>
        </is>
      </c>
      <c r="F846" t="inlineStr">
        <is>
          <t>(en blanco)</t>
        </is>
      </c>
      <c r="G846" t="inlineStr">
        <is>
          <t>XXL</t>
        </is>
      </c>
      <c r="H846" t="n">
        <v>15</v>
      </c>
      <c r="I846" t="inlineStr">
        <is>
          <t>LAUNDRY_BY_DESIGN_121009848_BLK_1.jpg</t>
        </is>
      </c>
      <c r="J846" t="inlineStr">
        <is>
          <t>LAUNDRY_BY_DESIGN_121009848_BLK_2.jpg</t>
        </is>
      </c>
      <c r="K846" t="inlineStr">
        <is>
          <t>LAUNDRY_BY_DESIGN_121009848_BLK_3.jpg</t>
        </is>
      </c>
      <c r="L846">
        <f>IMAGE("file:///E:/Estudios%20y%20certificaciones/ESTUDIOS%20DE%20PROGRAMMING/PROGRAMMING/PERSONAL/PYTHON/Image_Generator_API/imagenes/LAUNDRY_BY_DESIGN_121009848_BLK_1.jpg")</f>
        <v/>
      </c>
      <c r="M846">
        <f>IMAGE("file:///E:/Estudios%20y%20certificaciones/ESTUDIOS%20DE%20PROGRAMMING/PROGRAMMING/PERSONAL/PYTHON/Image_Generator_API/imagenes/LAUNDRY_BY_DESIGN_121009848_BLK_2.jpg")</f>
        <v/>
      </c>
      <c r="N846">
        <f>IMAGE("file:///E:/Estudios%20y%20certificaciones/ESTUDIOS%20DE%20PROGRAMMING/PROGRAMMING/PERSONAL/PYTHON/Image_Generator_API/imagenes/LAUNDRY_BY_DESIGN_121009848_BLK_3.jpg")</f>
        <v/>
      </c>
      <c r="O846">
        <f>HYPERLINK("imagenes/LAUNDRY_BY_DESIGN_121009848_BLK_1.jpg","Ver imagen")</f>
        <v/>
      </c>
      <c r="P846">
        <f>HYPERLINK("imagenes/LAUNDRY_BY_DESIGN_121009848_BLK_2.jpg","Ver imagen")</f>
        <v/>
      </c>
      <c r="Q846">
        <f>HYPERLINK("imagenes/LAUNDRY_BY_DESIGN_121009848_BLK_3.jpg","Ver imagen")</f>
        <v/>
      </c>
    </row>
    <row r="847">
      <c r="A847" t="inlineStr">
        <is>
          <t>LAUNDRY BY DESIGN</t>
        </is>
      </c>
      <c r="B847" t="inlineStr">
        <is>
          <t>121009848</t>
        </is>
      </c>
      <c r="C847" t="inlineStr">
        <is>
          <t>32 MIST PUFFER</t>
        </is>
      </c>
      <c r="D847" t="inlineStr">
        <is>
          <t>CRM</t>
        </is>
      </c>
      <c r="E847" t="inlineStr">
        <is>
          <t>06A01</t>
        </is>
      </c>
      <c r="F847" t="inlineStr">
        <is>
          <t>(en blanco)</t>
        </is>
      </c>
      <c r="G847" t="inlineStr">
        <is>
          <t>PPK</t>
        </is>
      </c>
      <c r="H847" t="n">
        <v>1860</v>
      </c>
      <c r="I847" t="inlineStr">
        <is>
          <t>LAUNDRY_BY_DESIGN_121009848_CRM_1.jpg</t>
        </is>
      </c>
      <c r="J847" t="inlineStr">
        <is>
          <t>LAUNDRY_BY_DESIGN_121009848_CRM_2.jpg</t>
        </is>
      </c>
      <c r="K847" t="inlineStr">
        <is>
          <t>LAUNDRY_BY_DESIGN_121009848_CRM_3.jpg</t>
        </is>
      </c>
      <c r="L847">
        <f>IMAGE("file:///E:/Estudios%20y%20certificaciones/ESTUDIOS%20DE%20PROGRAMMING/PROGRAMMING/PERSONAL/PYTHON/Image_Generator_API/imagenes/LAUNDRY_BY_DESIGN_121009848_CRM_1.jpg")</f>
        <v/>
      </c>
      <c r="M847">
        <f>IMAGE("file:///E:/Estudios%20y%20certificaciones/ESTUDIOS%20DE%20PROGRAMMING/PROGRAMMING/PERSONAL/PYTHON/Image_Generator_API/imagenes/LAUNDRY_BY_DESIGN_121009848_CRM_2.jpg")</f>
        <v/>
      </c>
      <c r="N847">
        <f>IMAGE("file:///E:/Estudios%20y%20certificaciones/ESTUDIOS%20DE%20PROGRAMMING/PROGRAMMING/PERSONAL/PYTHON/Image_Generator_API/imagenes/LAUNDRY_BY_DESIGN_121009848_CRM_3.jpg")</f>
        <v/>
      </c>
      <c r="O847">
        <f>HYPERLINK("imagenes/LAUNDRY_BY_DESIGN_121009848_CRM_1.jpg","Ver imagen")</f>
        <v/>
      </c>
      <c r="P847">
        <f>HYPERLINK("imagenes/LAUNDRY_BY_DESIGN_121009848_CRM_2.jpg","Ver imagen")</f>
        <v/>
      </c>
      <c r="Q847">
        <f>HYPERLINK("imagenes/LAUNDRY_BY_DESIGN_121009848_CRM_3.jpg","Ver imagen")</f>
        <v/>
      </c>
    </row>
    <row r="848">
      <c r="A848" t="inlineStr">
        <is>
          <t>LAUNDRY BY DESIGN</t>
        </is>
      </c>
      <c r="B848" t="inlineStr">
        <is>
          <t>121009848</t>
        </is>
      </c>
      <c r="C848" t="inlineStr">
        <is>
          <t>32 MIST PUFFER</t>
        </is>
      </c>
      <c r="D848" t="inlineStr">
        <is>
          <t>CRM</t>
        </is>
      </c>
      <c r="E848" t="inlineStr">
        <is>
          <t>(en blanco)</t>
        </is>
      </c>
      <c r="F848" t="inlineStr">
        <is>
          <t>(en blanco)</t>
        </is>
      </c>
      <c r="G848" t="inlineStr">
        <is>
          <t>S</t>
        </is>
      </c>
      <c r="H848" t="n">
        <v>2</v>
      </c>
      <c r="I848" t="inlineStr">
        <is>
          <t>LAUNDRY_BY_DESIGN_121009848_CRM_1.jpg</t>
        </is>
      </c>
      <c r="J848" t="inlineStr">
        <is>
          <t>LAUNDRY_BY_DESIGN_121009848_CRM_2.jpg</t>
        </is>
      </c>
      <c r="K848" t="inlineStr">
        <is>
          <t>LAUNDRY_BY_DESIGN_121009848_CRM_3.jpg</t>
        </is>
      </c>
      <c r="L848">
        <f>IMAGE("file:///E:/Estudios%20y%20certificaciones/ESTUDIOS%20DE%20PROGRAMMING/PROGRAMMING/PERSONAL/PYTHON/Image_Generator_API/imagenes/LAUNDRY_BY_DESIGN_121009848_CRM_1.jpg")</f>
        <v/>
      </c>
      <c r="M848">
        <f>IMAGE("file:///E:/Estudios%20y%20certificaciones/ESTUDIOS%20DE%20PROGRAMMING/PROGRAMMING/PERSONAL/PYTHON/Image_Generator_API/imagenes/LAUNDRY_BY_DESIGN_121009848_CRM_2.jpg")</f>
        <v/>
      </c>
      <c r="N848">
        <f>IMAGE("file:///E:/Estudios%20y%20certificaciones/ESTUDIOS%20DE%20PROGRAMMING/PROGRAMMING/PERSONAL/PYTHON/Image_Generator_API/imagenes/LAUNDRY_BY_DESIGN_121009848_CRM_3.jpg")</f>
        <v/>
      </c>
      <c r="O848">
        <f>HYPERLINK("imagenes/LAUNDRY_BY_DESIGN_121009848_CRM_1.jpg","Ver imagen")</f>
        <v/>
      </c>
      <c r="P848">
        <f>HYPERLINK("imagenes/LAUNDRY_BY_DESIGN_121009848_CRM_2.jpg","Ver imagen")</f>
        <v/>
      </c>
      <c r="Q848">
        <f>HYPERLINK("imagenes/LAUNDRY_BY_DESIGN_121009848_CRM_3.jpg","Ver imagen")</f>
        <v/>
      </c>
    </row>
    <row r="849">
      <c r="A849" t="inlineStr">
        <is>
          <t>LAUNDRY BY DESIGN</t>
        </is>
      </c>
      <c r="B849" t="inlineStr">
        <is>
          <t>121009848</t>
        </is>
      </c>
      <c r="C849" t="inlineStr">
        <is>
          <t>32 MIST PUFFER</t>
        </is>
      </c>
      <c r="D849" t="inlineStr">
        <is>
          <t>CRM</t>
        </is>
      </c>
      <c r="E849" t="inlineStr">
        <is>
          <t>(en blanco)</t>
        </is>
      </c>
      <c r="F849" t="inlineStr">
        <is>
          <t>(en blanco)</t>
        </is>
      </c>
      <c r="G849" t="inlineStr">
        <is>
          <t>M</t>
        </is>
      </c>
      <c r="H849" t="n">
        <v>19</v>
      </c>
      <c r="I849" t="inlineStr">
        <is>
          <t>LAUNDRY_BY_DESIGN_121009848_CRM_1.jpg</t>
        </is>
      </c>
      <c r="J849" t="inlineStr">
        <is>
          <t>LAUNDRY_BY_DESIGN_121009848_CRM_2.jpg</t>
        </is>
      </c>
      <c r="K849" t="inlineStr">
        <is>
          <t>LAUNDRY_BY_DESIGN_121009848_CRM_3.jpg</t>
        </is>
      </c>
      <c r="L849">
        <f>IMAGE("file:///E:/Estudios%20y%20certificaciones/ESTUDIOS%20DE%20PROGRAMMING/PROGRAMMING/PERSONAL/PYTHON/Image_Generator_API/imagenes/LAUNDRY_BY_DESIGN_121009848_CRM_1.jpg")</f>
        <v/>
      </c>
      <c r="M849">
        <f>IMAGE("file:///E:/Estudios%20y%20certificaciones/ESTUDIOS%20DE%20PROGRAMMING/PROGRAMMING/PERSONAL/PYTHON/Image_Generator_API/imagenes/LAUNDRY_BY_DESIGN_121009848_CRM_2.jpg")</f>
        <v/>
      </c>
      <c r="N849">
        <f>IMAGE("file:///E:/Estudios%20y%20certificaciones/ESTUDIOS%20DE%20PROGRAMMING/PROGRAMMING/PERSONAL/PYTHON/Image_Generator_API/imagenes/LAUNDRY_BY_DESIGN_121009848_CRM_3.jpg")</f>
        <v/>
      </c>
      <c r="O849">
        <f>HYPERLINK("imagenes/LAUNDRY_BY_DESIGN_121009848_CRM_1.jpg","Ver imagen")</f>
        <v/>
      </c>
      <c r="P849">
        <f>HYPERLINK("imagenes/LAUNDRY_BY_DESIGN_121009848_CRM_2.jpg","Ver imagen")</f>
        <v/>
      </c>
      <c r="Q849">
        <f>HYPERLINK("imagenes/LAUNDRY_BY_DESIGN_121009848_CRM_3.jpg","Ver imagen")</f>
        <v/>
      </c>
    </row>
    <row r="850">
      <c r="A850" t="inlineStr">
        <is>
          <t>LAUNDRY BY DESIGN</t>
        </is>
      </c>
      <c r="B850" t="inlineStr">
        <is>
          <t>121009848</t>
        </is>
      </c>
      <c r="C850" t="inlineStr">
        <is>
          <t>32 MIST PUFFER</t>
        </is>
      </c>
      <c r="D850" t="inlineStr">
        <is>
          <t>CRM</t>
        </is>
      </c>
      <c r="E850" t="inlineStr">
        <is>
          <t>(en blanco)</t>
        </is>
      </c>
      <c r="F850" t="inlineStr">
        <is>
          <t>(en blanco)</t>
        </is>
      </c>
      <c r="G850" t="inlineStr">
        <is>
          <t>L</t>
        </is>
      </c>
      <c r="H850" t="n">
        <v>18</v>
      </c>
      <c r="I850" t="inlineStr">
        <is>
          <t>LAUNDRY_BY_DESIGN_121009848_CRM_1.jpg</t>
        </is>
      </c>
      <c r="J850" t="inlineStr">
        <is>
          <t>LAUNDRY_BY_DESIGN_121009848_CRM_2.jpg</t>
        </is>
      </c>
      <c r="K850" t="inlineStr">
        <is>
          <t>LAUNDRY_BY_DESIGN_121009848_CRM_3.jpg</t>
        </is>
      </c>
      <c r="L850">
        <f>IMAGE("file:///E:/Estudios%20y%20certificaciones/ESTUDIOS%20DE%20PROGRAMMING/PROGRAMMING/PERSONAL/PYTHON/Image_Generator_API/imagenes/LAUNDRY_BY_DESIGN_121009848_CRM_1.jpg")</f>
        <v/>
      </c>
      <c r="M850">
        <f>IMAGE("file:///E:/Estudios%20y%20certificaciones/ESTUDIOS%20DE%20PROGRAMMING/PROGRAMMING/PERSONAL/PYTHON/Image_Generator_API/imagenes/LAUNDRY_BY_DESIGN_121009848_CRM_2.jpg")</f>
        <v/>
      </c>
      <c r="N850">
        <f>IMAGE("file:///E:/Estudios%20y%20certificaciones/ESTUDIOS%20DE%20PROGRAMMING/PROGRAMMING/PERSONAL/PYTHON/Image_Generator_API/imagenes/LAUNDRY_BY_DESIGN_121009848_CRM_3.jpg")</f>
        <v/>
      </c>
      <c r="O850">
        <f>HYPERLINK("imagenes/LAUNDRY_BY_DESIGN_121009848_CRM_1.jpg","Ver imagen")</f>
        <v/>
      </c>
      <c r="P850">
        <f>HYPERLINK("imagenes/LAUNDRY_BY_DESIGN_121009848_CRM_2.jpg","Ver imagen")</f>
        <v/>
      </c>
      <c r="Q850">
        <f>HYPERLINK("imagenes/LAUNDRY_BY_DESIGN_121009848_CRM_3.jpg","Ver imagen")</f>
        <v/>
      </c>
    </row>
    <row r="851">
      <c r="A851" t="inlineStr">
        <is>
          <t>LAUNDRY BY DESIGN</t>
        </is>
      </c>
      <c r="B851" t="inlineStr">
        <is>
          <t>121009848</t>
        </is>
      </c>
      <c r="C851" t="inlineStr">
        <is>
          <t>32 MIST PUFFER</t>
        </is>
      </c>
      <c r="D851" t="inlineStr">
        <is>
          <t>CRM</t>
        </is>
      </c>
      <c r="E851" t="inlineStr">
        <is>
          <t>(en blanco)</t>
        </is>
      </c>
      <c r="F851" t="inlineStr">
        <is>
          <t>(en blanco)</t>
        </is>
      </c>
      <c r="G851" t="inlineStr">
        <is>
          <t>XL</t>
        </is>
      </c>
      <c r="H851" t="n">
        <v>19</v>
      </c>
      <c r="I851" t="inlineStr">
        <is>
          <t>LAUNDRY_BY_DESIGN_121009848_CRM_1.jpg</t>
        </is>
      </c>
      <c r="J851" t="inlineStr">
        <is>
          <t>LAUNDRY_BY_DESIGN_121009848_CRM_2.jpg</t>
        </is>
      </c>
      <c r="K851" t="inlineStr">
        <is>
          <t>LAUNDRY_BY_DESIGN_121009848_CRM_3.jpg</t>
        </is>
      </c>
      <c r="L851">
        <f>IMAGE("file:///E:/Estudios%20y%20certificaciones/ESTUDIOS%20DE%20PROGRAMMING/PROGRAMMING/PERSONAL/PYTHON/Image_Generator_API/imagenes/LAUNDRY_BY_DESIGN_121009848_CRM_1.jpg")</f>
        <v/>
      </c>
      <c r="M851">
        <f>IMAGE("file:///E:/Estudios%20y%20certificaciones/ESTUDIOS%20DE%20PROGRAMMING/PROGRAMMING/PERSONAL/PYTHON/Image_Generator_API/imagenes/LAUNDRY_BY_DESIGN_121009848_CRM_2.jpg")</f>
        <v/>
      </c>
      <c r="N851">
        <f>IMAGE("file:///E:/Estudios%20y%20certificaciones/ESTUDIOS%20DE%20PROGRAMMING/PROGRAMMING/PERSONAL/PYTHON/Image_Generator_API/imagenes/LAUNDRY_BY_DESIGN_121009848_CRM_3.jpg")</f>
        <v/>
      </c>
      <c r="O851">
        <f>HYPERLINK("imagenes/LAUNDRY_BY_DESIGN_121009848_CRM_1.jpg","Ver imagen")</f>
        <v/>
      </c>
      <c r="P851">
        <f>HYPERLINK("imagenes/LAUNDRY_BY_DESIGN_121009848_CRM_2.jpg","Ver imagen")</f>
        <v/>
      </c>
      <c r="Q851">
        <f>HYPERLINK("imagenes/LAUNDRY_BY_DESIGN_121009848_CRM_3.jpg","Ver imagen")</f>
        <v/>
      </c>
    </row>
    <row r="852">
      <c r="A852" t="inlineStr">
        <is>
          <t>LAUNDRY BY DESIGN</t>
        </is>
      </c>
      <c r="B852" t="inlineStr">
        <is>
          <t>121009848</t>
        </is>
      </c>
      <c r="C852" t="inlineStr">
        <is>
          <t>32 MIST PUFFER</t>
        </is>
      </c>
      <c r="D852" t="inlineStr">
        <is>
          <t>CRM</t>
        </is>
      </c>
      <c r="E852" t="inlineStr">
        <is>
          <t>(en blanco)</t>
        </is>
      </c>
      <c r="F852" t="inlineStr">
        <is>
          <t>(en blanco)</t>
        </is>
      </c>
      <c r="G852" t="inlineStr">
        <is>
          <t>XXL</t>
        </is>
      </c>
      <c r="H852" t="n">
        <v>9</v>
      </c>
      <c r="I852" t="inlineStr">
        <is>
          <t>LAUNDRY_BY_DESIGN_121009848_CRM_1.jpg</t>
        </is>
      </c>
      <c r="J852" t="inlineStr">
        <is>
          <t>LAUNDRY_BY_DESIGN_121009848_CRM_2.jpg</t>
        </is>
      </c>
      <c r="K852" t="inlineStr">
        <is>
          <t>LAUNDRY_BY_DESIGN_121009848_CRM_3.jpg</t>
        </is>
      </c>
      <c r="L852">
        <f>IMAGE("file:///E:/Estudios%20y%20certificaciones/ESTUDIOS%20DE%20PROGRAMMING/PROGRAMMING/PERSONAL/PYTHON/Image_Generator_API/imagenes/LAUNDRY_BY_DESIGN_121009848_CRM_1.jpg")</f>
        <v/>
      </c>
      <c r="M852">
        <f>IMAGE("file:///E:/Estudios%20y%20certificaciones/ESTUDIOS%20DE%20PROGRAMMING/PROGRAMMING/PERSONAL/PYTHON/Image_Generator_API/imagenes/LAUNDRY_BY_DESIGN_121009848_CRM_2.jpg")</f>
        <v/>
      </c>
      <c r="N852">
        <f>IMAGE("file:///E:/Estudios%20y%20certificaciones/ESTUDIOS%20DE%20PROGRAMMING/PROGRAMMING/PERSONAL/PYTHON/Image_Generator_API/imagenes/LAUNDRY_BY_DESIGN_121009848_CRM_3.jpg")</f>
        <v/>
      </c>
      <c r="O852">
        <f>HYPERLINK("imagenes/LAUNDRY_BY_DESIGN_121009848_CRM_1.jpg","Ver imagen")</f>
        <v/>
      </c>
      <c r="P852">
        <f>HYPERLINK("imagenes/LAUNDRY_BY_DESIGN_121009848_CRM_2.jpg","Ver imagen")</f>
        <v/>
      </c>
      <c r="Q852">
        <f>HYPERLINK("imagenes/LAUNDRY_BY_DESIGN_121009848_CRM_3.jpg","Ver imagen")</f>
        <v/>
      </c>
    </row>
    <row r="853">
      <c r="A853" t="inlineStr">
        <is>
          <t>LAUNDRY BY DESIGN</t>
        </is>
      </c>
      <c r="B853" t="inlineStr">
        <is>
          <t>121009848</t>
        </is>
      </c>
      <c r="C853" t="inlineStr">
        <is>
          <t>32 MIST PUFFER</t>
        </is>
      </c>
      <c r="D853" t="inlineStr">
        <is>
          <t>NVY</t>
        </is>
      </c>
      <c r="E853" t="inlineStr">
        <is>
          <t>06A01</t>
        </is>
      </c>
      <c r="F853" t="inlineStr">
        <is>
          <t>(en blanco)</t>
        </is>
      </c>
      <c r="G853" t="inlineStr">
        <is>
          <t>PPK</t>
        </is>
      </c>
      <c r="H853" t="n">
        <v>474</v>
      </c>
      <c r="I853" t="inlineStr">
        <is>
          <t>LAUNDRY_BY_DESIGN_121009848_NVY_1.jpg</t>
        </is>
      </c>
      <c r="J853" t="inlineStr">
        <is>
          <t>LAUNDRY_BY_DESIGN_121009848_NVY_2.jpg</t>
        </is>
      </c>
      <c r="K853" t="inlineStr">
        <is>
          <t>LAUNDRY_BY_DESIGN_121009848_NVY_3.jpg</t>
        </is>
      </c>
      <c r="L853">
        <f>IMAGE("file:///E:/Estudios%20y%20certificaciones/ESTUDIOS%20DE%20PROGRAMMING/PROGRAMMING/PERSONAL/PYTHON/Image_Generator_API/imagenes/LAUNDRY_BY_DESIGN_121009848_NVY_1.jpg")</f>
        <v/>
      </c>
      <c r="M853">
        <f>IMAGE("file:///E:/Estudios%20y%20certificaciones/ESTUDIOS%20DE%20PROGRAMMING/PROGRAMMING/PERSONAL/PYTHON/Image_Generator_API/imagenes/LAUNDRY_BY_DESIGN_121009848_NVY_2.jpg")</f>
        <v/>
      </c>
      <c r="N853">
        <f>IMAGE("file:///E:/Estudios%20y%20certificaciones/ESTUDIOS%20DE%20PROGRAMMING/PROGRAMMING/PERSONAL/PYTHON/Image_Generator_API/imagenes/LAUNDRY_BY_DESIGN_121009848_NVY_3.jpg")</f>
        <v/>
      </c>
      <c r="O853">
        <f>HYPERLINK("imagenes/LAUNDRY_BY_DESIGN_121009848_NVY_1.jpg","Ver imagen")</f>
        <v/>
      </c>
      <c r="P853">
        <f>HYPERLINK("imagenes/LAUNDRY_BY_DESIGN_121009848_NVY_2.jpg","Ver imagen")</f>
        <v/>
      </c>
      <c r="Q853">
        <f>HYPERLINK("imagenes/LAUNDRY_BY_DESIGN_121009848_NVY_3.jpg","Ver imagen")</f>
        <v/>
      </c>
    </row>
    <row r="854">
      <c r="A854" t="inlineStr">
        <is>
          <t>LAUNDRY BY DESIGN</t>
        </is>
      </c>
      <c r="B854" t="inlineStr">
        <is>
          <t>121009848</t>
        </is>
      </c>
      <c r="C854" t="inlineStr">
        <is>
          <t>32 MIST PUFFER</t>
        </is>
      </c>
      <c r="D854" t="inlineStr">
        <is>
          <t>NVY</t>
        </is>
      </c>
      <c r="E854" t="inlineStr">
        <is>
          <t>(en blanco)</t>
        </is>
      </c>
      <c r="F854" t="inlineStr">
        <is>
          <t>(en blanco)</t>
        </is>
      </c>
      <c r="G854" t="inlineStr">
        <is>
          <t>S</t>
        </is>
      </c>
      <c r="H854" t="n">
        <v>5</v>
      </c>
      <c r="I854" t="inlineStr">
        <is>
          <t>LAUNDRY_BY_DESIGN_121009848_NVY_1.jpg</t>
        </is>
      </c>
      <c r="J854" t="inlineStr">
        <is>
          <t>LAUNDRY_BY_DESIGN_121009848_NVY_2.jpg</t>
        </is>
      </c>
      <c r="K854" t="inlineStr">
        <is>
          <t>LAUNDRY_BY_DESIGN_121009848_NVY_3.jpg</t>
        </is>
      </c>
      <c r="L854">
        <f>IMAGE("file:///E:/Estudios%20y%20certificaciones/ESTUDIOS%20DE%20PROGRAMMING/PROGRAMMING/PERSONAL/PYTHON/Image_Generator_API/imagenes/LAUNDRY_BY_DESIGN_121009848_NVY_1.jpg")</f>
        <v/>
      </c>
      <c r="M854">
        <f>IMAGE("file:///E:/Estudios%20y%20certificaciones/ESTUDIOS%20DE%20PROGRAMMING/PROGRAMMING/PERSONAL/PYTHON/Image_Generator_API/imagenes/LAUNDRY_BY_DESIGN_121009848_NVY_2.jpg")</f>
        <v/>
      </c>
      <c r="N854">
        <f>IMAGE("file:///E:/Estudios%20y%20certificaciones/ESTUDIOS%20DE%20PROGRAMMING/PROGRAMMING/PERSONAL/PYTHON/Image_Generator_API/imagenes/LAUNDRY_BY_DESIGN_121009848_NVY_3.jpg")</f>
        <v/>
      </c>
      <c r="O854">
        <f>HYPERLINK("imagenes/LAUNDRY_BY_DESIGN_121009848_NVY_1.jpg","Ver imagen")</f>
        <v/>
      </c>
      <c r="P854">
        <f>HYPERLINK("imagenes/LAUNDRY_BY_DESIGN_121009848_NVY_2.jpg","Ver imagen")</f>
        <v/>
      </c>
      <c r="Q854">
        <f>HYPERLINK("imagenes/LAUNDRY_BY_DESIGN_121009848_NVY_3.jpg","Ver imagen")</f>
        <v/>
      </c>
    </row>
    <row r="855">
      <c r="A855" t="inlineStr">
        <is>
          <t>LAUNDRY BY DESIGN</t>
        </is>
      </c>
      <c r="B855" t="inlineStr">
        <is>
          <t>121009848</t>
        </is>
      </c>
      <c r="C855" t="inlineStr">
        <is>
          <t>32 MIST PUFFER</t>
        </is>
      </c>
      <c r="D855" t="inlineStr">
        <is>
          <t>NVY</t>
        </is>
      </c>
      <c r="E855" t="inlineStr">
        <is>
          <t>(en blanco)</t>
        </is>
      </c>
      <c r="F855" t="inlineStr">
        <is>
          <t>(en blanco)</t>
        </is>
      </c>
      <c r="G855" t="inlineStr">
        <is>
          <t>M</t>
        </is>
      </c>
      <c r="H855" t="n">
        <v>18</v>
      </c>
      <c r="I855" t="inlineStr">
        <is>
          <t>LAUNDRY_BY_DESIGN_121009848_NVY_1.jpg</t>
        </is>
      </c>
      <c r="J855" t="inlineStr">
        <is>
          <t>LAUNDRY_BY_DESIGN_121009848_NVY_2.jpg</t>
        </is>
      </c>
      <c r="K855" t="inlineStr">
        <is>
          <t>LAUNDRY_BY_DESIGN_121009848_NVY_3.jpg</t>
        </is>
      </c>
      <c r="L855">
        <f>IMAGE("file:///E:/Estudios%20y%20certificaciones/ESTUDIOS%20DE%20PROGRAMMING/PROGRAMMING/PERSONAL/PYTHON/Image_Generator_API/imagenes/LAUNDRY_BY_DESIGN_121009848_NVY_1.jpg")</f>
        <v/>
      </c>
      <c r="M855">
        <f>IMAGE("file:///E:/Estudios%20y%20certificaciones/ESTUDIOS%20DE%20PROGRAMMING/PROGRAMMING/PERSONAL/PYTHON/Image_Generator_API/imagenes/LAUNDRY_BY_DESIGN_121009848_NVY_2.jpg")</f>
        <v/>
      </c>
      <c r="N855">
        <f>IMAGE("file:///E:/Estudios%20y%20certificaciones/ESTUDIOS%20DE%20PROGRAMMING/PROGRAMMING/PERSONAL/PYTHON/Image_Generator_API/imagenes/LAUNDRY_BY_DESIGN_121009848_NVY_3.jpg")</f>
        <v/>
      </c>
      <c r="O855">
        <f>HYPERLINK("imagenes/LAUNDRY_BY_DESIGN_121009848_NVY_1.jpg","Ver imagen")</f>
        <v/>
      </c>
      <c r="P855">
        <f>HYPERLINK("imagenes/LAUNDRY_BY_DESIGN_121009848_NVY_2.jpg","Ver imagen")</f>
        <v/>
      </c>
      <c r="Q855">
        <f>HYPERLINK("imagenes/LAUNDRY_BY_DESIGN_121009848_NVY_3.jpg","Ver imagen")</f>
        <v/>
      </c>
    </row>
    <row r="856">
      <c r="A856" t="inlineStr">
        <is>
          <t>LAUNDRY BY DESIGN</t>
        </is>
      </c>
      <c r="B856" t="inlineStr">
        <is>
          <t>121009848</t>
        </is>
      </c>
      <c r="C856" t="inlineStr">
        <is>
          <t>32 MIST PUFFER</t>
        </is>
      </c>
      <c r="D856" t="inlineStr">
        <is>
          <t>NVY</t>
        </is>
      </c>
      <c r="E856" t="inlineStr">
        <is>
          <t>(en blanco)</t>
        </is>
      </c>
      <c r="F856" t="inlineStr">
        <is>
          <t>(en blanco)</t>
        </is>
      </c>
      <c r="G856" t="inlineStr">
        <is>
          <t>L</t>
        </is>
      </c>
      <c r="H856" t="n">
        <v>19</v>
      </c>
      <c r="I856" t="inlineStr">
        <is>
          <t>LAUNDRY_BY_DESIGN_121009848_NVY_1.jpg</t>
        </is>
      </c>
      <c r="J856" t="inlineStr">
        <is>
          <t>LAUNDRY_BY_DESIGN_121009848_NVY_2.jpg</t>
        </is>
      </c>
      <c r="K856" t="inlineStr">
        <is>
          <t>LAUNDRY_BY_DESIGN_121009848_NVY_3.jpg</t>
        </is>
      </c>
      <c r="L856">
        <f>IMAGE("file:///E:/Estudios%20y%20certificaciones/ESTUDIOS%20DE%20PROGRAMMING/PROGRAMMING/PERSONAL/PYTHON/Image_Generator_API/imagenes/LAUNDRY_BY_DESIGN_121009848_NVY_1.jpg")</f>
        <v/>
      </c>
      <c r="M856">
        <f>IMAGE("file:///E:/Estudios%20y%20certificaciones/ESTUDIOS%20DE%20PROGRAMMING/PROGRAMMING/PERSONAL/PYTHON/Image_Generator_API/imagenes/LAUNDRY_BY_DESIGN_121009848_NVY_2.jpg")</f>
        <v/>
      </c>
      <c r="N856">
        <f>IMAGE("file:///E:/Estudios%20y%20certificaciones/ESTUDIOS%20DE%20PROGRAMMING/PROGRAMMING/PERSONAL/PYTHON/Image_Generator_API/imagenes/LAUNDRY_BY_DESIGN_121009848_NVY_3.jpg")</f>
        <v/>
      </c>
      <c r="O856">
        <f>HYPERLINK("imagenes/LAUNDRY_BY_DESIGN_121009848_NVY_1.jpg","Ver imagen")</f>
        <v/>
      </c>
      <c r="P856">
        <f>HYPERLINK("imagenes/LAUNDRY_BY_DESIGN_121009848_NVY_2.jpg","Ver imagen")</f>
        <v/>
      </c>
      <c r="Q856">
        <f>HYPERLINK("imagenes/LAUNDRY_BY_DESIGN_121009848_NVY_3.jpg","Ver imagen")</f>
        <v/>
      </c>
    </row>
    <row r="857">
      <c r="A857" t="inlineStr">
        <is>
          <t>LAUNDRY BY DESIGN</t>
        </is>
      </c>
      <c r="B857" t="inlineStr">
        <is>
          <t>121009848</t>
        </is>
      </c>
      <c r="C857" t="inlineStr">
        <is>
          <t>32 MIST PUFFER</t>
        </is>
      </c>
      <c r="D857" t="inlineStr">
        <is>
          <t>NVY</t>
        </is>
      </c>
      <c r="E857" t="inlineStr">
        <is>
          <t>(en blanco)</t>
        </is>
      </c>
      <c r="F857" t="inlineStr">
        <is>
          <t>(en blanco)</t>
        </is>
      </c>
      <c r="G857" t="inlineStr">
        <is>
          <t>XL</t>
        </is>
      </c>
      <c r="H857" t="n">
        <v>17</v>
      </c>
      <c r="I857" t="inlineStr">
        <is>
          <t>LAUNDRY_BY_DESIGN_121009848_NVY_1.jpg</t>
        </is>
      </c>
      <c r="J857" t="inlineStr">
        <is>
          <t>LAUNDRY_BY_DESIGN_121009848_NVY_2.jpg</t>
        </is>
      </c>
      <c r="K857" t="inlineStr">
        <is>
          <t>LAUNDRY_BY_DESIGN_121009848_NVY_3.jpg</t>
        </is>
      </c>
      <c r="L857">
        <f>IMAGE("file:///E:/Estudios%20y%20certificaciones/ESTUDIOS%20DE%20PROGRAMMING/PROGRAMMING/PERSONAL/PYTHON/Image_Generator_API/imagenes/LAUNDRY_BY_DESIGN_121009848_NVY_1.jpg")</f>
        <v/>
      </c>
      <c r="M857">
        <f>IMAGE("file:///E:/Estudios%20y%20certificaciones/ESTUDIOS%20DE%20PROGRAMMING/PROGRAMMING/PERSONAL/PYTHON/Image_Generator_API/imagenes/LAUNDRY_BY_DESIGN_121009848_NVY_2.jpg")</f>
        <v/>
      </c>
      <c r="N857">
        <f>IMAGE("file:///E:/Estudios%20y%20certificaciones/ESTUDIOS%20DE%20PROGRAMMING/PROGRAMMING/PERSONAL/PYTHON/Image_Generator_API/imagenes/LAUNDRY_BY_DESIGN_121009848_NVY_3.jpg")</f>
        <v/>
      </c>
      <c r="O857">
        <f>HYPERLINK("imagenes/LAUNDRY_BY_DESIGN_121009848_NVY_1.jpg","Ver imagen")</f>
        <v/>
      </c>
      <c r="P857">
        <f>HYPERLINK("imagenes/LAUNDRY_BY_DESIGN_121009848_NVY_2.jpg","Ver imagen")</f>
        <v/>
      </c>
      <c r="Q857">
        <f>HYPERLINK("imagenes/LAUNDRY_BY_DESIGN_121009848_NVY_3.jpg","Ver imagen")</f>
        <v/>
      </c>
    </row>
    <row r="858">
      <c r="A858" t="inlineStr">
        <is>
          <t>LAUNDRY BY DESIGN</t>
        </is>
      </c>
      <c r="B858" t="inlineStr">
        <is>
          <t>121009848</t>
        </is>
      </c>
      <c r="C858" t="inlineStr">
        <is>
          <t>32 MIST PUFFER</t>
        </is>
      </c>
      <c r="D858" t="inlineStr">
        <is>
          <t>NVY</t>
        </is>
      </c>
      <c r="E858" t="inlineStr">
        <is>
          <t>(en blanco)</t>
        </is>
      </c>
      <c r="F858" t="inlineStr">
        <is>
          <t>(en blanco)</t>
        </is>
      </c>
      <c r="G858" t="inlineStr">
        <is>
          <t>XXL</t>
        </is>
      </c>
      <c r="H858" t="n">
        <v>4</v>
      </c>
      <c r="I858" t="inlineStr">
        <is>
          <t>LAUNDRY_BY_DESIGN_121009848_NVY_1.jpg</t>
        </is>
      </c>
      <c r="J858" t="inlineStr">
        <is>
          <t>LAUNDRY_BY_DESIGN_121009848_NVY_2.jpg</t>
        </is>
      </c>
      <c r="K858" t="inlineStr">
        <is>
          <t>LAUNDRY_BY_DESIGN_121009848_NVY_3.jpg</t>
        </is>
      </c>
      <c r="L858">
        <f>IMAGE("file:///E:/Estudios%20y%20certificaciones/ESTUDIOS%20DE%20PROGRAMMING/PROGRAMMING/PERSONAL/PYTHON/Image_Generator_API/imagenes/LAUNDRY_BY_DESIGN_121009848_NVY_1.jpg")</f>
        <v/>
      </c>
      <c r="M858">
        <f>IMAGE("file:///E:/Estudios%20y%20certificaciones/ESTUDIOS%20DE%20PROGRAMMING/PROGRAMMING/PERSONAL/PYTHON/Image_Generator_API/imagenes/LAUNDRY_BY_DESIGN_121009848_NVY_2.jpg")</f>
        <v/>
      </c>
      <c r="N858">
        <f>IMAGE("file:///E:/Estudios%20y%20certificaciones/ESTUDIOS%20DE%20PROGRAMMING/PROGRAMMING/PERSONAL/PYTHON/Image_Generator_API/imagenes/LAUNDRY_BY_DESIGN_121009848_NVY_3.jpg")</f>
        <v/>
      </c>
      <c r="O858">
        <f>HYPERLINK("imagenes/LAUNDRY_BY_DESIGN_121009848_NVY_1.jpg","Ver imagen")</f>
        <v/>
      </c>
      <c r="P858">
        <f>HYPERLINK("imagenes/LAUNDRY_BY_DESIGN_121009848_NVY_2.jpg","Ver imagen")</f>
        <v/>
      </c>
      <c r="Q858">
        <f>HYPERLINK("imagenes/LAUNDRY_BY_DESIGN_121009848_NVY_3.jpg","Ver imagen")</f>
        <v/>
      </c>
    </row>
    <row r="859">
      <c r="A859" t="inlineStr">
        <is>
          <t>LAUNDRY BY DESIGN</t>
        </is>
      </c>
      <c r="B859" t="inlineStr">
        <is>
          <t>121009849</t>
        </is>
      </c>
      <c r="C859" t="inlineStr">
        <is>
          <t>32 PETAL PUFFER</t>
        </is>
      </c>
      <c r="D859" t="inlineStr">
        <is>
          <t>BLK</t>
        </is>
      </c>
      <c r="E859" t="inlineStr">
        <is>
          <t>06A01</t>
        </is>
      </c>
      <c r="F859" t="inlineStr">
        <is>
          <t>(en blanco)</t>
        </is>
      </c>
      <c r="G859" t="inlineStr">
        <is>
          <t>PPK</t>
        </is>
      </c>
      <c r="H859" t="n">
        <v>6762</v>
      </c>
      <c r="I859" t="inlineStr">
        <is>
          <t>LAUNDRY_BY_DESIGN_121009849_BLK_1.jpg</t>
        </is>
      </c>
      <c r="J859" t="inlineStr">
        <is>
          <t>LAUNDRY_BY_DESIGN_121009849_BLK_2.jpg</t>
        </is>
      </c>
      <c r="K859" t="inlineStr">
        <is>
          <t>LAUNDRY_BY_DESIGN_121009849_BLK_3.jpg</t>
        </is>
      </c>
      <c r="L859">
        <f>IMAGE("file:///E:/Estudios%20y%20certificaciones/ESTUDIOS%20DE%20PROGRAMMING/PROGRAMMING/PERSONAL/PYTHON/Image_Generator_API/imagenes/LAUNDRY_BY_DESIGN_121009849_BLK_1.jpg")</f>
        <v/>
      </c>
      <c r="M859">
        <f>IMAGE("file:///E:/Estudios%20y%20certificaciones/ESTUDIOS%20DE%20PROGRAMMING/PROGRAMMING/PERSONAL/PYTHON/Image_Generator_API/imagenes/LAUNDRY_BY_DESIGN_121009849_BLK_2.jpg")</f>
        <v/>
      </c>
      <c r="N859">
        <f>IMAGE("file:///E:/Estudios%20y%20certificaciones/ESTUDIOS%20DE%20PROGRAMMING/PROGRAMMING/PERSONAL/PYTHON/Image_Generator_API/imagenes/LAUNDRY_BY_DESIGN_121009849_BLK_3.jpg")</f>
        <v/>
      </c>
      <c r="O859">
        <f>HYPERLINK("imagenes/LAUNDRY_BY_DESIGN_121009849_BLK_1.jpg","Ver imagen")</f>
        <v/>
      </c>
      <c r="P859">
        <f>HYPERLINK("imagenes/LAUNDRY_BY_DESIGN_121009849_BLK_2.jpg","Ver imagen")</f>
        <v/>
      </c>
      <c r="Q859">
        <f>HYPERLINK("imagenes/LAUNDRY_BY_DESIGN_121009849_BLK_3.jpg","Ver imagen")</f>
        <v/>
      </c>
    </row>
    <row r="860">
      <c r="A860" t="inlineStr">
        <is>
          <t>LAUNDRY BY DESIGN</t>
        </is>
      </c>
      <c r="B860" t="inlineStr">
        <is>
          <t>121009849</t>
        </is>
      </c>
      <c r="C860" t="inlineStr">
        <is>
          <t>32 PETAL PUFFER</t>
        </is>
      </c>
      <c r="D860" t="inlineStr">
        <is>
          <t>BLK</t>
        </is>
      </c>
      <c r="E860" t="inlineStr">
        <is>
          <t>(en blanco)</t>
        </is>
      </c>
      <c r="F860" t="inlineStr">
        <is>
          <t>(en blanco)</t>
        </is>
      </c>
      <c r="G860" t="inlineStr">
        <is>
          <t>S</t>
        </is>
      </c>
      <c r="H860" t="n">
        <v>20</v>
      </c>
      <c r="I860" t="inlineStr">
        <is>
          <t>LAUNDRY_BY_DESIGN_121009849_BLK_1.jpg</t>
        </is>
      </c>
      <c r="J860" t="inlineStr">
        <is>
          <t>LAUNDRY_BY_DESIGN_121009849_BLK_2.jpg</t>
        </is>
      </c>
      <c r="K860" t="inlineStr">
        <is>
          <t>LAUNDRY_BY_DESIGN_121009849_BLK_3.jpg</t>
        </is>
      </c>
      <c r="L860">
        <f>IMAGE("file:///E:/Estudios%20y%20certificaciones/ESTUDIOS%20DE%20PROGRAMMING/PROGRAMMING/PERSONAL/PYTHON/Image_Generator_API/imagenes/LAUNDRY_BY_DESIGN_121009849_BLK_1.jpg")</f>
        <v/>
      </c>
      <c r="M860">
        <f>IMAGE("file:///E:/Estudios%20y%20certificaciones/ESTUDIOS%20DE%20PROGRAMMING/PROGRAMMING/PERSONAL/PYTHON/Image_Generator_API/imagenes/LAUNDRY_BY_DESIGN_121009849_BLK_2.jpg")</f>
        <v/>
      </c>
      <c r="N860">
        <f>IMAGE("file:///E:/Estudios%20y%20certificaciones/ESTUDIOS%20DE%20PROGRAMMING/PROGRAMMING/PERSONAL/PYTHON/Image_Generator_API/imagenes/LAUNDRY_BY_DESIGN_121009849_BLK_3.jpg")</f>
        <v/>
      </c>
      <c r="O860">
        <f>HYPERLINK("imagenes/LAUNDRY_BY_DESIGN_121009849_BLK_1.jpg","Ver imagen")</f>
        <v/>
      </c>
      <c r="P860">
        <f>HYPERLINK("imagenes/LAUNDRY_BY_DESIGN_121009849_BLK_2.jpg","Ver imagen")</f>
        <v/>
      </c>
      <c r="Q860">
        <f>HYPERLINK("imagenes/LAUNDRY_BY_DESIGN_121009849_BLK_3.jpg","Ver imagen")</f>
        <v/>
      </c>
    </row>
    <row r="861">
      <c r="A861" t="inlineStr">
        <is>
          <t>LAUNDRY BY DESIGN</t>
        </is>
      </c>
      <c r="B861" t="inlineStr">
        <is>
          <t>121009849</t>
        </is>
      </c>
      <c r="C861" t="inlineStr">
        <is>
          <t>32 PETAL PUFFER</t>
        </is>
      </c>
      <c r="D861" t="inlineStr">
        <is>
          <t>BLK</t>
        </is>
      </c>
      <c r="E861" t="inlineStr">
        <is>
          <t>(en blanco)</t>
        </is>
      </c>
      <c r="F861" t="inlineStr">
        <is>
          <t>(en blanco)</t>
        </is>
      </c>
      <c r="G861" t="inlineStr">
        <is>
          <t>M</t>
        </is>
      </c>
      <c r="H861" t="n">
        <v>47</v>
      </c>
      <c r="I861" t="inlineStr">
        <is>
          <t>LAUNDRY_BY_DESIGN_121009849_BLK_1.jpg</t>
        </is>
      </c>
      <c r="J861" t="inlineStr">
        <is>
          <t>LAUNDRY_BY_DESIGN_121009849_BLK_2.jpg</t>
        </is>
      </c>
      <c r="K861" t="inlineStr">
        <is>
          <t>LAUNDRY_BY_DESIGN_121009849_BLK_3.jpg</t>
        </is>
      </c>
      <c r="L861">
        <f>IMAGE("file:///E:/Estudios%20y%20certificaciones/ESTUDIOS%20DE%20PROGRAMMING/PROGRAMMING/PERSONAL/PYTHON/Image_Generator_API/imagenes/LAUNDRY_BY_DESIGN_121009849_BLK_1.jpg")</f>
        <v/>
      </c>
      <c r="M861">
        <f>IMAGE("file:///E:/Estudios%20y%20certificaciones/ESTUDIOS%20DE%20PROGRAMMING/PROGRAMMING/PERSONAL/PYTHON/Image_Generator_API/imagenes/LAUNDRY_BY_DESIGN_121009849_BLK_2.jpg")</f>
        <v/>
      </c>
      <c r="N861">
        <f>IMAGE("file:///E:/Estudios%20y%20certificaciones/ESTUDIOS%20DE%20PROGRAMMING/PROGRAMMING/PERSONAL/PYTHON/Image_Generator_API/imagenes/LAUNDRY_BY_DESIGN_121009849_BLK_3.jpg")</f>
        <v/>
      </c>
      <c r="O861">
        <f>HYPERLINK("imagenes/LAUNDRY_BY_DESIGN_121009849_BLK_1.jpg","Ver imagen")</f>
        <v/>
      </c>
      <c r="P861">
        <f>HYPERLINK("imagenes/LAUNDRY_BY_DESIGN_121009849_BLK_2.jpg","Ver imagen")</f>
        <v/>
      </c>
      <c r="Q861">
        <f>HYPERLINK("imagenes/LAUNDRY_BY_DESIGN_121009849_BLK_3.jpg","Ver imagen")</f>
        <v/>
      </c>
    </row>
    <row r="862">
      <c r="A862" t="inlineStr">
        <is>
          <t>LAUNDRY BY DESIGN</t>
        </is>
      </c>
      <c r="B862" t="inlineStr">
        <is>
          <t>121009849</t>
        </is>
      </c>
      <c r="C862" t="inlineStr">
        <is>
          <t>32 PETAL PUFFER</t>
        </is>
      </c>
      <c r="D862" t="inlineStr">
        <is>
          <t>BLK</t>
        </is>
      </c>
      <c r="E862" t="inlineStr">
        <is>
          <t>(en blanco)</t>
        </is>
      </c>
      <c r="F862" t="inlineStr">
        <is>
          <t>(en blanco)</t>
        </is>
      </c>
      <c r="G862" t="inlineStr">
        <is>
          <t>L</t>
        </is>
      </c>
      <c r="H862" t="n">
        <v>43</v>
      </c>
      <c r="I862" t="inlineStr">
        <is>
          <t>LAUNDRY_BY_DESIGN_121009849_BLK_1.jpg</t>
        </is>
      </c>
      <c r="J862" t="inlineStr">
        <is>
          <t>LAUNDRY_BY_DESIGN_121009849_BLK_2.jpg</t>
        </is>
      </c>
      <c r="K862" t="inlineStr">
        <is>
          <t>LAUNDRY_BY_DESIGN_121009849_BLK_3.jpg</t>
        </is>
      </c>
      <c r="L862">
        <f>IMAGE("file:///E:/Estudios%20y%20certificaciones/ESTUDIOS%20DE%20PROGRAMMING/PROGRAMMING/PERSONAL/PYTHON/Image_Generator_API/imagenes/LAUNDRY_BY_DESIGN_121009849_BLK_1.jpg")</f>
        <v/>
      </c>
      <c r="M862">
        <f>IMAGE("file:///E:/Estudios%20y%20certificaciones/ESTUDIOS%20DE%20PROGRAMMING/PROGRAMMING/PERSONAL/PYTHON/Image_Generator_API/imagenes/LAUNDRY_BY_DESIGN_121009849_BLK_2.jpg")</f>
        <v/>
      </c>
      <c r="N862">
        <f>IMAGE("file:///E:/Estudios%20y%20certificaciones/ESTUDIOS%20DE%20PROGRAMMING/PROGRAMMING/PERSONAL/PYTHON/Image_Generator_API/imagenes/LAUNDRY_BY_DESIGN_121009849_BLK_3.jpg")</f>
        <v/>
      </c>
      <c r="O862">
        <f>HYPERLINK("imagenes/LAUNDRY_BY_DESIGN_121009849_BLK_1.jpg","Ver imagen")</f>
        <v/>
      </c>
      <c r="P862">
        <f>HYPERLINK("imagenes/LAUNDRY_BY_DESIGN_121009849_BLK_2.jpg","Ver imagen")</f>
        <v/>
      </c>
      <c r="Q862">
        <f>HYPERLINK("imagenes/LAUNDRY_BY_DESIGN_121009849_BLK_3.jpg","Ver imagen")</f>
        <v/>
      </c>
    </row>
    <row r="863">
      <c r="A863" t="inlineStr">
        <is>
          <t>LAUNDRY BY DESIGN</t>
        </is>
      </c>
      <c r="B863" t="inlineStr">
        <is>
          <t>121009849</t>
        </is>
      </c>
      <c r="C863" t="inlineStr">
        <is>
          <t>32 PETAL PUFFER</t>
        </is>
      </c>
      <c r="D863" t="inlineStr">
        <is>
          <t>BLK</t>
        </is>
      </c>
      <c r="E863" t="inlineStr">
        <is>
          <t>(en blanco)</t>
        </is>
      </c>
      <c r="F863" t="inlineStr">
        <is>
          <t>(en blanco)</t>
        </is>
      </c>
      <c r="G863" t="inlineStr">
        <is>
          <t>XL</t>
        </is>
      </c>
      <c r="H863" t="n">
        <v>48</v>
      </c>
      <c r="I863" t="inlineStr">
        <is>
          <t>LAUNDRY_BY_DESIGN_121009849_BLK_1.jpg</t>
        </is>
      </c>
      <c r="J863" t="inlineStr">
        <is>
          <t>LAUNDRY_BY_DESIGN_121009849_BLK_2.jpg</t>
        </is>
      </c>
      <c r="K863" t="inlineStr">
        <is>
          <t>LAUNDRY_BY_DESIGN_121009849_BLK_3.jpg</t>
        </is>
      </c>
      <c r="L863">
        <f>IMAGE("file:///E:/Estudios%20y%20certificaciones/ESTUDIOS%20DE%20PROGRAMMING/PROGRAMMING/PERSONAL/PYTHON/Image_Generator_API/imagenes/LAUNDRY_BY_DESIGN_121009849_BLK_1.jpg")</f>
        <v/>
      </c>
      <c r="M863">
        <f>IMAGE("file:///E:/Estudios%20y%20certificaciones/ESTUDIOS%20DE%20PROGRAMMING/PROGRAMMING/PERSONAL/PYTHON/Image_Generator_API/imagenes/LAUNDRY_BY_DESIGN_121009849_BLK_2.jpg")</f>
        <v/>
      </c>
      <c r="N863">
        <f>IMAGE("file:///E:/Estudios%20y%20certificaciones/ESTUDIOS%20DE%20PROGRAMMING/PROGRAMMING/PERSONAL/PYTHON/Image_Generator_API/imagenes/LAUNDRY_BY_DESIGN_121009849_BLK_3.jpg")</f>
        <v/>
      </c>
      <c r="O863">
        <f>HYPERLINK("imagenes/LAUNDRY_BY_DESIGN_121009849_BLK_1.jpg","Ver imagen")</f>
        <v/>
      </c>
      <c r="P863">
        <f>HYPERLINK("imagenes/LAUNDRY_BY_DESIGN_121009849_BLK_2.jpg","Ver imagen")</f>
        <v/>
      </c>
      <c r="Q863">
        <f>HYPERLINK("imagenes/LAUNDRY_BY_DESIGN_121009849_BLK_3.jpg","Ver imagen")</f>
        <v/>
      </c>
    </row>
    <row r="864">
      <c r="A864" t="inlineStr">
        <is>
          <t>LAUNDRY BY DESIGN</t>
        </is>
      </c>
      <c r="B864" t="inlineStr">
        <is>
          <t>121009849</t>
        </is>
      </c>
      <c r="C864" t="inlineStr">
        <is>
          <t>32 PETAL PUFFER</t>
        </is>
      </c>
      <c r="D864" t="inlineStr">
        <is>
          <t>BLK</t>
        </is>
      </c>
      <c r="E864" t="inlineStr">
        <is>
          <t>(en blanco)</t>
        </is>
      </c>
      <c r="F864" t="inlineStr">
        <is>
          <t>(en blanco)</t>
        </is>
      </c>
      <c r="G864" t="inlineStr">
        <is>
          <t>XXL</t>
        </is>
      </c>
      <c r="H864" t="n">
        <v>25</v>
      </c>
      <c r="I864" t="inlineStr">
        <is>
          <t>LAUNDRY_BY_DESIGN_121009849_BLK_1.jpg</t>
        </is>
      </c>
      <c r="J864" t="inlineStr">
        <is>
          <t>LAUNDRY_BY_DESIGN_121009849_BLK_2.jpg</t>
        </is>
      </c>
      <c r="K864" t="inlineStr">
        <is>
          <t>LAUNDRY_BY_DESIGN_121009849_BLK_3.jpg</t>
        </is>
      </c>
      <c r="L864">
        <f>IMAGE("file:///E:/Estudios%20y%20certificaciones/ESTUDIOS%20DE%20PROGRAMMING/PROGRAMMING/PERSONAL/PYTHON/Image_Generator_API/imagenes/LAUNDRY_BY_DESIGN_121009849_BLK_1.jpg")</f>
        <v/>
      </c>
      <c r="M864">
        <f>IMAGE("file:///E:/Estudios%20y%20certificaciones/ESTUDIOS%20DE%20PROGRAMMING/PROGRAMMING/PERSONAL/PYTHON/Image_Generator_API/imagenes/LAUNDRY_BY_DESIGN_121009849_BLK_2.jpg")</f>
        <v/>
      </c>
      <c r="N864">
        <f>IMAGE("file:///E:/Estudios%20y%20certificaciones/ESTUDIOS%20DE%20PROGRAMMING/PROGRAMMING/PERSONAL/PYTHON/Image_Generator_API/imagenes/LAUNDRY_BY_DESIGN_121009849_BLK_3.jpg")</f>
        <v/>
      </c>
      <c r="O864">
        <f>HYPERLINK("imagenes/LAUNDRY_BY_DESIGN_121009849_BLK_1.jpg","Ver imagen")</f>
        <v/>
      </c>
      <c r="P864">
        <f>HYPERLINK("imagenes/LAUNDRY_BY_DESIGN_121009849_BLK_2.jpg","Ver imagen")</f>
        <v/>
      </c>
      <c r="Q864">
        <f>HYPERLINK("imagenes/LAUNDRY_BY_DESIGN_121009849_BLK_3.jpg","Ver imagen")</f>
        <v/>
      </c>
    </row>
    <row r="865">
      <c r="A865" t="inlineStr">
        <is>
          <t>LAUNDRY BY DESIGN</t>
        </is>
      </c>
      <c r="B865" t="inlineStr">
        <is>
          <t>121009849</t>
        </is>
      </c>
      <c r="C865" t="inlineStr">
        <is>
          <t>32 PETAL PUFFER</t>
        </is>
      </c>
      <c r="D865" t="inlineStr">
        <is>
          <t>PET</t>
        </is>
      </c>
      <c r="E865" t="inlineStr">
        <is>
          <t>06A01</t>
        </is>
      </c>
      <c r="F865" t="inlineStr">
        <is>
          <t>(en blanco)</t>
        </is>
      </c>
      <c r="G865" t="inlineStr">
        <is>
          <t>PPK</t>
        </is>
      </c>
      <c r="H865" t="n">
        <v>2862</v>
      </c>
      <c r="I865" t="inlineStr">
        <is>
          <t>LAUNDRY_BY_DESIGN_121009849_PET_1.jpg</t>
        </is>
      </c>
      <c r="J865" t="inlineStr">
        <is>
          <t>LAUNDRY_BY_DESIGN_121009849_PET_2.jpg</t>
        </is>
      </c>
      <c r="K865" t="inlineStr">
        <is>
          <t>LAUNDRY_BY_DESIGN_121009849_PET_3.jpg</t>
        </is>
      </c>
      <c r="L865">
        <f>IMAGE("file:///E:/Estudios%20y%20certificaciones/ESTUDIOS%20DE%20PROGRAMMING/PROGRAMMING/PERSONAL/PYTHON/Image_Generator_API/imagenes/LAUNDRY_BY_DESIGN_121009849_PET_1.jpg")</f>
        <v/>
      </c>
      <c r="M865">
        <f>IMAGE("file:///E:/Estudios%20y%20certificaciones/ESTUDIOS%20DE%20PROGRAMMING/PROGRAMMING/PERSONAL/PYTHON/Image_Generator_API/imagenes/LAUNDRY_BY_DESIGN_121009849_PET_2.jpg")</f>
        <v/>
      </c>
      <c r="N865">
        <f>IMAGE("file:///E:/Estudios%20y%20certificaciones/ESTUDIOS%20DE%20PROGRAMMING/PROGRAMMING/PERSONAL/PYTHON/Image_Generator_API/imagenes/LAUNDRY_BY_DESIGN_121009849_PET_3.jpg")</f>
        <v/>
      </c>
      <c r="O865">
        <f>HYPERLINK("imagenes/LAUNDRY_BY_DESIGN_121009849_PET_1.jpg","Ver imagen")</f>
        <v/>
      </c>
      <c r="P865">
        <f>HYPERLINK("imagenes/LAUNDRY_BY_DESIGN_121009849_PET_2.jpg","Ver imagen")</f>
        <v/>
      </c>
      <c r="Q865">
        <f>HYPERLINK("imagenes/LAUNDRY_BY_DESIGN_121009849_PET_3.jpg","Ver imagen")</f>
        <v/>
      </c>
    </row>
    <row r="866">
      <c r="A866" t="inlineStr">
        <is>
          <t>LAUNDRY BY DESIGN</t>
        </is>
      </c>
      <c r="B866" t="inlineStr">
        <is>
          <t>121009849</t>
        </is>
      </c>
      <c r="C866" t="inlineStr">
        <is>
          <t>32 PETAL PUFFER</t>
        </is>
      </c>
      <c r="D866" t="inlineStr">
        <is>
          <t>PET</t>
        </is>
      </c>
      <c r="E866" t="inlineStr">
        <is>
          <t>(en blanco)</t>
        </is>
      </c>
      <c r="F866" t="inlineStr">
        <is>
          <t>(en blanco)</t>
        </is>
      </c>
      <c r="G866" t="inlineStr">
        <is>
          <t>S</t>
        </is>
      </c>
      <c r="H866" t="n">
        <v>8</v>
      </c>
      <c r="I866" t="inlineStr">
        <is>
          <t>LAUNDRY_BY_DESIGN_121009849_PET_1.jpg</t>
        </is>
      </c>
      <c r="J866" t="inlineStr">
        <is>
          <t>LAUNDRY_BY_DESIGN_121009849_PET_2.jpg</t>
        </is>
      </c>
      <c r="K866" t="inlineStr">
        <is>
          <t>LAUNDRY_BY_DESIGN_121009849_PET_3.jpg</t>
        </is>
      </c>
      <c r="L866">
        <f>IMAGE("file:///E:/Estudios%20y%20certificaciones/ESTUDIOS%20DE%20PROGRAMMING/PROGRAMMING/PERSONAL/PYTHON/Image_Generator_API/imagenes/LAUNDRY_BY_DESIGN_121009849_PET_1.jpg")</f>
        <v/>
      </c>
      <c r="M866">
        <f>IMAGE("file:///E:/Estudios%20y%20certificaciones/ESTUDIOS%20DE%20PROGRAMMING/PROGRAMMING/PERSONAL/PYTHON/Image_Generator_API/imagenes/LAUNDRY_BY_DESIGN_121009849_PET_2.jpg")</f>
        <v/>
      </c>
      <c r="N866">
        <f>IMAGE("file:///E:/Estudios%20y%20certificaciones/ESTUDIOS%20DE%20PROGRAMMING/PROGRAMMING/PERSONAL/PYTHON/Image_Generator_API/imagenes/LAUNDRY_BY_DESIGN_121009849_PET_3.jpg")</f>
        <v/>
      </c>
      <c r="O866">
        <f>HYPERLINK("imagenes/LAUNDRY_BY_DESIGN_121009849_PET_1.jpg","Ver imagen")</f>
        <v/>
      </c>
      <c r="P866">
        <f>HYPERLINK("imagenes/LAUNDRY_BY_DESIGN_121009849_PET_2.jpg","Ver imagen")</f>
        <v/>
      </c>
      <c r="Q866">
        <f>HYPERLINK("imagenes/LAUNDRY_BY_DESIGN_121009849_PET_3.jpg","Ver imagen")</f>
        <v/>
      </c>
    </row>
    <row r="867">
      <c r="A867" t="inlineStr">
        <is>
          <t>LAUNDRY BY DESIGN</t>
        </is>
      </c>
      <c r="B867" t="inlineStr">
        <is>
          <t>121009849</t>
        </is>
      </c>
      <c r="C867" t="inlineStr">
        <is>
          <t>32 PETAL PUFFER</t>
        </is>
      </c>
      <c r="D867" t="inlineStr">
        <is>
          <t>PET</t>
        </is>
      </c>
      <c r="E867" t="inlineStr">
        <is>
          <t>(en blanco)</t>
        </is>
      </c>
      <c r="F867" t="inlineStr">
        <is>
          <t>(en blanco)</t>
        </is>
      </c>
      <c r="G867" t="inlineStr">
        <is>
          <t>M</t>
        </is>
      </c>
      <c r="H867" t="n">
        <v>20</v>
      </c>
      <c r="I867" t="inlineStr">
        <is>
          <t>LAUNDRY_BY_DESIGN_121009849_PET_1.jpg</t>
        </is>
      </c>
      <c r="J867" t="inlineStr">
        <is>
          <t>LAUNDRY_BY_DESIGN_121009849_PET_2.jpg</t>
        </is>
      </c>
      <c r="K867" t="inlineStr">
        <is>
          <t>LAUNDRY_BY_DESIGN_121009849_PET_3.jpg</t>
        </is>
      </c>
      <c r="L867">
        <f>IMAGE("file:///E:/Estudios%20y%20certificaciones/ESTUDIOS%20DE%20PROGRAMMING/PROGRAMMING/PERSONAL/PYTHON/Image_Generator_API/imagenes/LAUNDRY_BY_DESIGN_121009849_PET_1.jpg")</f>
        <v/>
      </c>
      <c r="M867">
        <f>IMAGE("file:///E:/Estudios%20y%20certificaciones/ESTUDIOS%20DE%20PROGRAMMING/PROGRAMMING/PERSONAL/PYTHON/Image_Generator_API/imagenes/LAUNDRY_BY_DESIGN_121009849_PET_2.jpg")</f>
        <v/>
      </c>
      <c r="N867">
        <f>IMAGE("file:///E:/Estudios%20y%20certificaciones/ESTUDIOS%20DE%20PROGRAMMING/PROGRAMMING/PERSONAL/PYTHON/Image_Generator_API/imagenes/LAUNDRY_BY_DESIGN_121009849_PET_3.jpg")</f>
        <v/>
      </c>
      <c r="O867">
        <f>HYPERLINK("imagenes/LAUNDRY_BY_DESIGN_121009849_PET_1.jpg","Ver imagen")</f>
        <v/>
      </c>
      <c r="P867">
        <f>HYPERLINK("imagenes/LAUNDRY_BY_DESIGN_121009849_PET_2.jpg","Ver imagen")</f>
        <v/>
      </c>
      <c r="Q867">
        <f>HYPERLINK("imagenes/LAUNDRY_BY_DESIGN_121009849_PET_3.jpg","Ver imagen")</f>
        <v/>
      </c>
    </row>
    <row r="868">
      <c r="A868" t="inlineStr">
        <is>
          <t>LAUNDRY BY DESIGN</t>
        </is>
      </c>
      <c r="B868" t="inlineStr">
        <is>
          <t>121009849</t>
        </is>
      </c>
      <c r="C868" t="inlineStr">
        <is>
          <t>32 PETAL PUFFER</t>
        </is>
      </c>
      <c r="D868" t="inlineStr">
        <is>
          <t>PET</t>
        </is>
      </c>
      <c r="E868" t="inlineStr">
        <is>
          <t>(en blanco)</t>
        </is>
      </c>
      <c r="F868" t="inlineStr">
        <is>
          <t>(en blanco)</t>
        </is>
      </c>
      <c r="G868" t="inlineStr">
        <is>
          <t>L</t>
        </is>
      </c>
      <c r="H868" t="n">
        <v>23</v>
      </c>
      <c r="I868" t="inlineStr">
        <is>
          <t>LAUNDRY_BY_DESIGN_121009849_PET_1.jpg</t>
        </is>
      </c>
      <c r="J868" t="inlineStr">
        <is>
          <t>LAUNDRY_BY_DESIGN_121009849_PET_2.jpg</t>
        </is>
      </c>
      <c r="K868" t="inlineStr">
        <is>
          <t>LAUNDRY_BY_DESIGN_121009849_PET_3.jpg</t>
        </is>
      </c>
      <c r="L868">
        <f>IMAGE("file:///E:/Estudios%20y%20certificaciones/ESTUDIOS%20DE%20PROGRAMMING/PROGRAMMING/PERSONAL/PYTHON/Image_Generator_API/imagenes/LAUNDRY_BY_DESIGN_121009849_PET_1.jpg")</f>
        <v/>
      </c>
      <c r="M868">
        <f>IMAGE("file:///E:/Estudios%20y%20certificaciones/ESTUDIOS%20DE%20PROGRAMMING/PROGRAMMING/PERSONAL/PYTHON/Image_Generator_API/imagenes/LAUNDRY_BY_DESIGN_121009849_PET_2.jpg")</f>
        <v/>
      </c>
      <c r="N868">
        <f>IMAGE("file:///E:/Estudios%20y%20certificaciones/ESTUDIOS%20DE%20PROGRAMMING/PROGRAMMING/PERSONAL/PYTHON/Image_Generator_API/imagenes/LAUNDRY_BY_DESIGN_121009849_PET_3.jpg")</f>
        <v/>
      </c>
      <c r="O868">
        <f>HYPERLINK("imagenes/LAUNDRY_BY_DESIGN_121009849_PET_1.jpg","Ver imagen")</f>
        <v/>
      </c>
      <c r="P868">
        <f>HYPERLINK("imagenes/LAUNDRY_BY_DESIGN_121009849_PET_2.jpg","Ver imagen")</f>
        <v/>
      </c>
      <c r="Q868">
        <f>HYPERLINK("imagenes/LAUNDRY_BY_DESIGN_121009849_PET_3.jpg","Ver imagen")</f>
        <v/>
      </c>
    </row>
    <row r="869">
      <c r="A869" t="inlineStr">
        <is>
          <t>LAUNDRY BY DESIGN</t>
        </is>
      </c>
      <c r="B869" t="inlineStr">
        <is>
          <t>121009849</t>
        </is>
      </c>
      <c r="C869" t="inlineStr">
        <is>
          <t>32 PETAL PUFFER</t>
        </is>
      </c>
      <c r="D869" t="inlineStr">
        <is>
          <t>PET</t>
        </is>
      </c>
      <c r="E869" t="inlineStr">
        <is>
          <t>(en blanco)</t>
        </is>
      </c>
      <c r="F869" t="inlineStr">
        <is>
          <t>(en blanco)</t>
        </is>
      </c>
      <c r="G869" t="inlineStr">
        <is>
          <t>XL</t>
        </is>
      </c>
      <c r="H869" t="n">
        <v>17</v>
      </c>
      <c r="I869" t="inlineStr">
        <is>
          <t>LAUNDRY_BY_DESIGN_121009849_PET_1.jpg</t>
        </is>
      </c>
      <c r="J869" t="inlineStr">
        <is>
          <t>LAUNDRY_BY_DESIGN_121009849_PET_2.jpg</t>
        </is>
      </c>
      <c r="K869" t="inlineStr">
        <is>
          <t>LAUNDRY_BY_DESIGN_121009849_PET_3.jpg</t>
        </is>
      </c>
      <c r="L869">
        <f>IMAGE("file:///E:/Estudios%20y%20certificaciones/ESTUDIOS%20DE%20PROGRAMMING/PROGRAMMING/PERSONAL/PYTHON/Image_Generator_API/imagenes/LAUNDRY_BY_DESIGN_121009849_PET_1.jpg")</f>
        <v/>
      </c>
      <c r="M869">
        <f>IMAGE("file:///E:/Estudios%20y%20certificaciones/ESTUDIOS%20DE%20PROGRAMMING/PROGRAMMING/PERSONAL/PYTHON/Image_Generator_API/imagenes/LAUNDRY_BY_DESIGN_121009849_PET_2.jpg")</f>
        <v/>
      </c>
      <c r="N869">
        <f>IMAGE("file:///E:/Estudios%20y%20certificaciones/ESTUDIOS%20DE%20PROGRAMMING/PROGRAMMING/PERSONAL/PYTHON/Image_Generator_API/imagenes/LAUNDRY_BY_DESIGN_121009849_PET_3.jpg")</f>
        <v/>
      </c>
      <c r="O869">
        <f>HYPERLINK("imagenes/LAUNDRY_BY_DESIGN_121009849_PET_1.jpg","Ver imagen")</f>
        <v/>
      </c>
      <c r="P869">
        <f>HYPERLINK("imagenes/LAUNDRY_BY_DESIGN_121009849_PET_2.jpg","Ver imagen")</f>
        <v/>
      </c>
      <c r="Q869">
        <f>HYPERLINK("imagenes/LAUNDRY_BY_DESIGN_121009849_PET_3.jpg","Ver imagen")</f>
        <v/>
      </c>
    </row>
    <row r="870">
      <c r="A870" t="inlineStr">
        <is>
          <t>LAUNDRY BY DESIGN</t>
        </is>
      </c>
      <c r="B870" t="inlineStr">
        <is>
          <t>121009849</t>
        </is>
      </c>
      <c r="C870" t="inlineStr">
        <is>
          <t>32 PETAL PUFFER</t>
        </is>
      </c>
      <c r="D870" t="inlineStr">
        <is>
          <t>PET</t>
        </is>
      </c>
      <c r="E870" t="inlineStr">
        <is>
          <t>(en blanco)</t>
        </is>
      </c>
      <c r="F870" t="inlineStr">
        <is>
          <t>(en blanco)</t>
        </is>
      </c>
      <c r="G870" t="inlineStr">
        <is>
          <t>XXL</t>
        </is>
      </c>
      <c r="H870" t="n">
        <v>7</v>
      </c>
      <c r="I870" t="inlineStr">
        <is>
          <t>LAUNDRY_BY_DESIGN_121009849_PET_1.jpg</t>
        </is>
      </c>
      <c r="J870" t="inlineStr">
        <is>
          <t>LAUNDRY_BY_DESIGN_121009849_PET_2.jpg</t>
        </is>
      </c>
      <c r="K870" t="inlineStr">
        <is>
          <t>LAUNDRY_BY_DESIGN_121009849_PET_3.jpg</t>
        </is>
      </c>
      <c r="L870">
        <f>IMAGE("file:///E:/Estudios%20y%20certificaciones/ESTUDIOS%20DE%20PROGRAMMING/PROGRAMMING/PERSONAL/PYTHON/Image_Generator_API/imagenes/LAUNDRY_BY_DESIGN_121009849_PET_1.jpg")</f>
        <v/>
      </c>
      <c r="M870">
        <f>IMAGE("file:///E:/Estudios%20y%20certificaciones/ESTUDIOS%20DE%20PROGRAMMING/PROGRAMMING/PERSONAL/PYTHON/Image_Generator_API/imagenes/LAUNDRY_BY_DESIGN_121009849_PET_2.jpg")</f>
        <v/>
      </c>
      <c r="N870">
        <f>IMAGE("file:///E:/Estudios%20y%20certificaciones/ESTUDIOS%20DE%20PROGRAMMING/PROGRAMMING/PERSONAL/PYTHON/Image_Generator_API/imagenes/LAUNDRY_BY_DESIGN_121009849_PET_3.jpg")</f>
        <v/>
      </c>
      <c r="O870">
        <f>HYPERLINK("imagenes/LAUNDRY_BY_DESIGN_121009849_PET_1.jpg","Ver imagen")</f>
        <v/>
      </c>
      <c r="P870">
        <f>HYPERLINK("imagenes/LAUNDRY_BY_DESIGN_121009849_PET_2.jpg","Ver imagen")</f>
        <v/>
      </c>
      <c r="Q870">
        <f>HYPERLINK("imagenes/LAUNDRY_BY_DESIGN_121009849_PET_3.jpg","Ver imagen")</f>
        <v/>
      </c>
    </row>
    <row r="871">
      <c r="A871" t="inlineStr">
        <is>
          <t>LAUNDRY BY DESIGN</t>
        </is>
      </c>
      <c r="B871" t="inlineStr">
        <is>
          <t>121009850</t>
        </is>
      </c>
      <c r="C871" t="inlineStr">
        <is>
          <t>32 SOFT PETAL PUFFER</t>
        </is>
      </c>
      <c r="D871" t="inlineStr">
        <is>
          <t>BLK</t>
        </is>
      </c>
      <c r="E871" t="inlineStr">
        <is>
          <t>06A01</t>
        </is>
      </c>
      <c r="F871" t="inlineStr">
        <is>
          <t>(en blanco)</t>
        </is>
      </c>
      <c r="G871" t="inlineStr">
        <is>
          <t>PPK</t>
        </is>
      </c>
      <c r="H871" t="n">
        <v>5550</v>
      </c>
      <c r="I871" t="inlineStr">
        <is>
          <t>LAUNDRY_BY_DESIGN_121009850_BLK_1.jpg</t>
        </is>
      </c>
      <c r="J871" t="inlineStr">
        <is>
          <t>LAUNDRY_BY_DESIGN_121009850_BLK_2.jpg</t>
        </is>
      </c>
      <c r="K871" t="inlineStr">
        <is>
          <t>LAUNDRY_BY_DESIGN_121009850_BLK_3.jpg</t>
        </is>
      </c>
      <c r="L871">
        <f>IMAGE("file:///E:/Estudios%20y%20certificaciones/ESTUDIOS%20DE%20PROGRAMMING/PROGRAMMING/PERSONAL/PYTHON/Image_Generator_API/imagenes/LAUNDRY_BY_DESIGN_121009850_BLK_1.jpg")</f>
        <v/>
      </c>
      <c r="M871">
        <f>IMAGE("file:///E:/Estudios%20y%20certificaciones/ESTUDIOS%20DE%20PROGRAMMING/PROGRAMMING/PERSONAL/PYTHON/Image_Generator_API/imagenes/LAUNDRY_BY_DESIGN_121009850_BLK_2.jpg")</f>
        <v/>
      </c>
      <c r="N871">
        <f>IMAGE("file:///E:/Estudios%20y%20certificaciones/ESTUDIOS%20DE%20PROGRAMMING/PROGRAMMING/PERSONAL/PYTHON/Image_Generator_API/imagenes/LAUNDRY_BY_DESIGN_121009850_BLK_3.jpg")</f>
        <v/>
      </c>
      <c r="O871">
        <f>HYPERLINK("imagenes/LAUNDRY_BY_DESIGN_121009850_BLK_1.jpg","Ver imagen")</f>
        <v/>
      </c>
      <c r="P871">
        <f>HYPERLINK("imagenes/LAUNDRY_BY_DESIGN_121009850_BLK_2.jpg","Ver imagen")</f>
        <v/>
      </c>
      <c r="Q871">
        <f>HYPERLINK("imagenes/LAUNDRY_BY_DESIGN_121009850_BLK_3.jpg","Ver imagen")</f>
        <v/>
      </c>
    </row>
    <row r="872">
      <c r="A872" t="inlineStr">
        <is>
          <t>LAUNDRY BY DESIGN</t>
        </is>
      </c>
      <c r="B872" t="inlineStr">
        <is>
          <t>121009850</t>
        </is>
      </c>
      <c r="C872" t="inlineStr">
        <is>
          <t>32 SOFT PETAL PUFFER</t>
        </is>
      </c>
      <c r="D872" t="inlineStr">
        <is>
          <t>BLK</t>
        </is>
      </c>
      <c r="E872" t="inlineStr">
        <is>
          <t>(en blanco)</t>
        </is>
      </c>
      <c r="F872" t="inlineStr">
        <is>
          <t>(en blanco)</t>
        </is>
      </c>
      <c r="G872" t="inlineStr">
        <is>
          <t>S</t>
        </is>
      </c>
      <c r="H872" t="n">
        <v>5</v>
      </c>
      <c r="I872" t="inlineStr">
        <is>
          <t>LAUNDRY_BY_DESIGN_121009850_BLK_1.jpg</t>
        </is>
      </c>
      <c r="J872" t="inlineStr">
        <is>
          <t>LAUNDRY_BY_DESIGN_121009850_BLK_2.jpg</t>
        </is>
      </c>
      <c r="K872" t="inlineStr">
        <is>
          <t>LAUNDRY_BY_DESIGN_121009850_BLK_3.jpg</t>
        </is>
      </c>
      <c r="L872">
        <f>IMAGE("file:///E:/Estudios%20y%20certificaciones/ESTUDIOS%20DE%20PROGRAMMING/PROGRAMMING/PERSONAL/PYTHON/Image_Generator_API/imagenes/LAUNDRY_BY_DESIGN_121009850_BLK_1.jpg")</f>
        <v/>
      </c>
      <c r="M872">
        <f>IMAGE("file:///E:/Estudios%20y%20certificaciones/ESTUDIOS%20DE%20PROGRAMMING/PROGRAMMING/PERSONAL/PYTHON/Image_Generator_API/imagenes/LAUNDRY_BY_DESIGN_121009850_BLK_2.jpg")</f>
        <v/>
      </c>
      <c r="N872">
        <f>IMAGE("file:///E:/Estudios%20y%20certificaciones/ESTUDIOS%20DE%20PROGRAMMING/PROGRAMMING/PERSONAL/PYTHON/Image_Generator_API/imagenes/LAUNDRY_BY_DESIGN_121009850_BLK_3.jpg")</f>
        <v/>
      </c>
      <c r="O872">
        <f>HYPERLINK("imagenes/LAUNDRY_BY_DESIGN_121009850_BLK_1.jpg","Ver imagen")</f>
        <v/>
      </c>
      <c r="P872">
        <f>HYPERLINK("imagenes/LAUNDRY_BY_DESIGN_121009850_BLK_2.jpg","Ver imagen")</f>
        <v/>
      </c>
      <c r="Q872">
        <f>HYPERLINK("imagenes/LAUNDRY_BY_DESIGN_121009850_BLK_3.jpg","Ver imagen")</f>
        <v/>
      </c>
    </row>
    <row r="873">
      <c r="A873" t="inlineStr">
        <is>
          <t>LAUNDRY BY DESIGN</t>
        </is>
      </c>
      <c r="B873" t="inlineStr">
        <is>
          <t>121009850</t>
        </is>
      </c>
      <c r="C873" t="inlineStr">
        <is>
          <t>32 SOFT PETAL PUFFER</t>
        </is>
      </c>
      <c r="D873" t="inlineStr">
        <is>
          <t>BLK</t>
        </is>
      </c>
      <c r="E873" t="inlineStr">
        <is>
          <t>(en blanco)</t>
        </is>
      </c>
      <c r="F873" t="inlineStr">
        <is>
          <t>(en blanco)</t>
        </is>
      </c>
      <c r="G873" t="inlineStr">
        <is>
          <t>M</t>
        </is>
      </c>
      <c r="H873" t="n">
        <v>30</v>
      </c>
      <c r="I873" t="inlineStr">
        <is>
          <t>LAUNDRY_BY_DESIGN_121009850_BLK_1.jpg</t>
        </is>
      </c>
      <c r="J873" t="inlineStr">
        <is>
          <t>LAUNDRY_BY_DESIGN_121009850_BLK_2.jpg</t>
        </is>
      </c>
      <c r="K873" t="inlineStr">
        <is>
          <t>LAUNDRY_BY_DESIGN_121009850_BLK_3.jpg</t>
        </is>
      </c>
      <c r="L873">
        <f>IMAGE("file:///E:/Estudios%20y%20certificaciones/ESTUDIOS%20DE%20PROGRAMMING/PROGRAMMING/PERSONAL/PYTHON/Image_Generator_API/imagenes/LAUNDRY_BY_DESIGN_121009850_BLK_1.jpg")</f>
        <v/>
      </c>
      <c r="M873">
        <f>IMAGE("file:///E:/Estudios%20y%20certificaciones/ESTUDIOS%20DE%20PROGRAMMING/PROGRAMMING/PERSONAL/PYTHON/Image_Generator_API/imagenes/LAUNDRY_BY_DESIGN_121009850_BLK_2.jpg")</f>
        <v/>
      </c>
      <c r="N873">
        <f>IMAGE("file:///E:/Estudios%20y%20certificaciones/ESTUDIOS%20DE%20PROGRAMMING/PROGRAMMING/PERSONAL/PYTHON/Image_Generator_API/imagenes/LAUNDRY_BY_DESIGN_121009850_BLK_3.jpg")</f>
        <v/>
      </c>
      <c r="O873">
        <f>HYPERLINK("imagenes/LAUNDRY_BY_DESIGN_121009850_BLK_1.jpg","Ver imagen")</f>
        <v/>
      </c>
      <c r="P873">
        <f>HYPERLINK("imagenes/LAUNDRY_BY_DESIGN_121009850_BLK_2.jpg","Ver imagen")</f>
        <v/>
      </c>
      <c r="Q873">
        <f>HYPERLINK("imagenes/LAUNDRY_BY_DESIGN_121009850_BLK_3.jpg","Ver imagen")</f>
        <v/>
      </c>
    </row>
    <row r="874">
      <c r="A874" t="inlineStr">
        <is>
          <t>LAUNDRY BY DESIGN</t>
        </is>
      </c>
      <c r="B874" t="inlineStr">
        <is>
          <t>121009850</t>
        </is>
      </c>
      <c r="C874" t="inlineStr">
        <is>
          <t>32 SOFT PETAL PUFFER</t>
        </is>
      </c>
      <c r="D874" t="inlineStr">
        <is>
          <t>BLK</t>
        </is>
      </c>
      <c r="E874" t="inlineStr">
        <is>
          <t>(en blanco)</t>
        </is>
      </c>
      <c r="F874" t="inlineStr">
        <is>
          <t>(en blanco)</t>
        </is>
      </c>
      <c r="G874" t="inlineStr">
        <is>
          <t>L</t>
        </is>
      </c>
      <c r="H874" t="n">
        <v>39</v>
      </c>
      <c r="I874" t="inlineStr">
        <is>
          <t>LAUNDRY_BY_DESIGN_121009850_BLK_1.jpg</t>
        </is>
      </c>
      <c r="J874" t="inlineStr">
        <is>
          <t>LAUNDRY_BY_DESIGN_121009850_BLK_2.jpg</t>
        </is>
      </c>
      <c r="K874" t="inlineStr">
        <is>
          <t>LAUNDRY_BY_DESIGN_121009850_BLK_3.jpg</t>
        </is>
      </c>
      <c r="L874">
        <f>IMAGE("file:///E:/Estudios%20y%20certificaciones/ESTUDIOS%20DE%20PROGRAMMING/PROGRAMMING/PERSONAL/PYTHON/Image_Generator_API/imagenes/LAUNDRY_BY_DESIGN_121009850_BLK_1.jpg")</f>
        <v/>
      </c>
      <c r="M874">
        <f>IMAGE("file:///E:/Estudios%20y%20certificaciones/ESTUDIOS%20DE%20PROGRAMMING/PROGRAMMING/PERSONAL/PYTHON/Image_Generator_API/imagenes/LAUNDRY_BY_DESIGN_121009850_BLK_2.jpg")</f>
        <v/>
      </c>
      <c r="N874">
        <f>IMAGE("file:///E:/Estudios%20y%20certificaciones/ESTUDIOS%20DE%20PROGRAMMING/PROGRAMMING/PERSONAL/PYTHON/Image_Generator_API/imagenes/LAUNDRY_BY_DESIGN_121009850_BLK_3.jpg")</f>
        <v/>
      </c>
      <c r="O874">
        <f>HYPERLINK("imagenes/LAUNDRY_BY_DESIGN_121009850_BLK_1.jpg","Ver imagen")</f>
        <v/>
      </c>
      <c r="P874">
        <f>HYPERLINK("imagenes/LAUNDRY_BY_DESIGN_121009850_BLK_2.jpg","Ver imagen")</f>
        <v/>
      </c>
      <c r="Q874">
        <f>HYPERLINK("imagenes/LAUNDRY_BY_DESIGN_121009850_BLK_3.jpg","Ver imagen")</f>
        <v/>
      </c>
    </row>
    <row r="875">
      <c r="A875" t="inlineStr">
        <is>
          <t>LAUNDRY BY DESIGN</t>
        </is>
      </c>
      <c r="B875" t="inlineStr">
        <is>
          <t>121009850</t>
        </is>
      </c>
      <c r="C875" t="inlineStr">
        <is>
          <t>32 SOFT PETAL PUFFER</t>
        </is>
      </c>
      <c r="D875" t="inlineStr">
        <is>
          <t>BLK</t>
        </is>
      </c>
      <c r="E875" t="inlineStr">
        <is>
          <t>(en blanco)</t>
        </is>
      </c>
      <c r="F875" t="inlineStr">
        <is>
          <t>(en blanco)</t>
        </is>
      </c>
      <c r="G875" t="inlineStr">
        <is>
          <t>XL</t>
        </is>
      </c>
      <c r="H875" t="n">
        <v>41</v>
      </c>
      <c r="I875" t="inlineStr">
        <is>
          <t>LAUNDRY_BY_DESIGN_121009850_BLK_1.jpg</t>
        </is>
      </c>
      <c r="J875" t="inlineStr">
        <is>
          <t>LAUNDRY_BY_DESIGN_121009850_BLK_2.jpg</t>
        </is>
      </c>
      <c r="K875" t="inlineStr">
        <is>
          <t>LAUNDRY_BY_DESIGN_121009850_BLK_3.jpg</t>
        </is>
      </c>
      <c r="L875">
        <f>IMAGE("file:///E:/Estudios%20y%20certificaciones/ESTUDIOS%20DE%20PROGRAMMING/PROGRAMMING/PERSONAL/PYTHON/Image_Generator_API/imagenes/LAUNDRY_BY_DESIGN_121009850_BLK_1.jpg")</f>
        <v/>
      </c>
      <c r="M875">
        <f>IMAGE("file:///E:/Estudios%20y%20certificaciones/ESTUDIOS%20DE%20PROGRAMMING/PROGRAMMING/PERSONAL/PYTHON/Image_Generator_API/imagenes/LAUNDRY_BY_DESIGN_121009850_BLK_2.jpg")</f>
        <v/>
      </c>
      <c r="N875">
        <f>IMAGE("file:///E:/Estudios%20y%20certificaciones/ESTUDIOS%20DE%20PROGRAMMING/PROGRAMMING/PERSONAL/PYTHON/Image_Generator_API/imagenes/LAUNDRY_BY_DESIGN_121009850_BLK_3.jpg")</f>
        <v/>
      </c>
      <c r="O875">
        <f>HYPERLINK("imagenes/LAUNDRY_BY_DESIGN_121009850_BLK_1.jpg","Ver imagen")</f>
        <v/>
      </c>
      <c r="P875">
        <f>HYPERLINK("imagenes/LAUNDRY_BY_DESIGN_121009850_BLK_2.jpg","Ver imagen")</f>
        <v/>
      </c>
      <c r="Q875">
        <f>HYPERLINK("imagenes/LAUNDRY_BY_DESIGN_121009850_BLK_3.jpg","Ver imagen")</f>
        <v/>
      </c>
    </row>
    <row r="876">
      <c r="A876" t="inlineStr">
        <is>
          <t>LAUNDRY BY DESIGN</t>
        </is>
      </c>
      <c r="B876" t="inlineStr">
        <is>
          <t>121009850</t>
        </is>
      </c>
      <c r="C876" t="inlineStr">
        <is>
          <t>32 SOFT PETAL PUFFER</t>
        </is>
      </c>
      <c r="D876" t="inlineStr">
        <is>
          <t>BLK</t>
        </is>
      </c>
      <c r="E876" t="inlineStr">
        <is>
          <t>(en blanco)</t>
        </is>
      </c>
      <c r="F876" t="inlineStr">
        <is>
          <t>(en blanco)</t>
        </is>
      </c>
      <c r="G876" t="inlineStr">
        <is>
          <t>XXL</t>
        </is>
      </c>
      <c r="H876" t="n">
        <v>14</v>
      </c>
      <c r="I876" t="inlineStr">
        <is>
          <t>LAUNDRY_BY_DESIGN_121009850_BLK_1.jpg</t>
        </is>
      </c>
      <c r="J876" t="inlineStr">
        <is>
          <t>LAUNDRY_BY_DESIGN_121009850_BLK_2.jpg</t>
        </is>
      </c>
      <c r="K876" t="inlineStr">
        <is>
          <t>LAUNDRY_BY_DESIGN_121009850_BLK_3.jpg</t>
        </is>
      </c>
      <c r="L876">
        <f>IMAGE("file:///E:/Estudios%20y%20certificaciones/ESTUDIOS%20DE%20PROGRAMMING/PROGRAMMING/PERSONAL/PYTHON/Image_Generator_API/imagenes/LAUNDRY_BY_DESIGN_121009850_BLK_1.jpg")</f>
        <v/>
      </c>
      <c r="M876">
        <f>IMAGE("file:///E:/Estudios%20y%20certificaciones/ESTUDIOS%20DE%20PROGRAMMING/PROGRAMMING/PERSONAL/PYTHON/Image_Generator_API/imagenes/LAUNDRY_BY_DESIGN_121009850_BLK_2.jpg")</f>
        <v/>
      </c>
      <c r="N876">
        <f>IMAGE("file:///E:/Estudios%20y%20certificaciones/ESTUDIOS%20DE%20PROGRAMMING/PROGRAMMING/PERSONAL/PYTHON/Image_Generator_API/imagenes/LAUNDRY_BY_DESIGN_121009850_BLK_3.jpg")</f>
        <v/>
      </c>
      <c r="O876">
        <f>HYPERLINK("imagenes/LAUNDRY_BY_DESIGN_121009850_BLK_1.jpg","Ver imagen")</f>
        <v/>
      </c>
      <c r="P876">
        <f>HYPERLINK("imagenes/LAUNDRY_BY_DESIGN_121009850_BLK_2.jpg","Ver imagen")</f>
        <v/>
      </c>
      <c r="Q876">
        <f>HYPERLINK("imagenes/LAUNDRY_BY_DESIGN_121009850_BLK_3.jpg","Ver imagen")</f>
        <v/>
      </c>
    </row>
    <row r="877">
      <c r="A877" t="inlineStr">
        <is>
          <t>LAUNDRY BY DESIGN</t>
        </is>
      </c>
      <c r="B877" t="inlineStr">
        <is>
          <t>121009850</t>
        </is>
      </c>
      <c r="C877" t="inlineStr">
        <is>
          <t>32 SOFT PETAL PUFFER</t>
        </is>
      </c>
      <c r="D877" t="inlineStr">
        <is>
          <t>D96</t>
        </is>
      </c>
      <c r="E877" t="inlineStr">
        <is>
          <t>(en blanco)</t>
        </is>
      </c>
      <c r="F877" t="inlineStr">
        <is>
          <t>(en blanco)</t>
        </is>
      </c>
      <c r="G877" t="inlineStr">
        <is>
          <t>S</t>
        </is>
      </c>
      <c r="H877" t="n">
        <v>3</v>
      </c>
      <c r="I877" t="inlineStr">
        <is>
          <t>LAUNDRY_BY_DESIGN_121009850_D96_1.jpg</t>
        </is>
      </c>
      <c r="J877" t="inlineStr">
        <is>
          <t>LAUNDRY_BY_DESIGN_121009850_D96_2.jpg</t>
        </is>
      </c>
      <c r="K877" t="inlineStr">
        <is>
          <t>LAUNDRY_BY_DESIGN_121009850_D96_3.jpg</t>
        </is>
      </c>
      <c r="L877">
        <f>IMAGE("file:///E:/Estudios%20y%20certificaciones/ESTUDIOS%20DE%20PROGRAMMING/PROGRAMMING/PERSONAL/PYTHON/Image_Generator_API/imagenes/LAUNDRY_BY_DESIGN_121009850_D96_1.jpg")</f>
        <v/>
      </c>
      <c r="M877">
        <f>IMAGE("file:///E:/Estudios%20y%20certificaciones/ESTUDIOS%20DE%20PROGRAMMING/PROGRAMMING/PERSONAL/PYTHON/Image_Generator_API/imagenes/LAUNDRY_BY_DESIGN_121009850_D96_2.jpg")</f>
        <v/>
      </c>
      <c r="N877">
        <f>IMAGE("file:///E:/Estudios%20y%20certificaciones/ESTUDIOS%20DE%20PROGRAMMING/PROGRAMMING/PERSONAL/PYTHON/Image_Generator_API/imagenes/LAUNDRY_BY_DESIGN_121009850_D96_3.jpg")</f>
        <v/>
      </c>
      <c r="O877">
        <f>HYPERLINK("imagenes/LAUNDRY_BY_DESIGN_121009850_D96_1.jpg","Ver imagen")</f>
        <v/>
      </c>
      <c r="P877">
        <f>HYPERLINK("imagenes/LAUNDRY_BY_DESIGN_121009850_D96_2.jpg","Ver imagen")</f>
        <v/>
      </c>
      <c r="Q877">
        <f>HYPERLINK("imagenes/LAUNDRY_BY_DESIGN_121009850_D96_3.jpg","Ver imagen")</f>
        <v/>
      </c>
    </row>
    <row r="878">
      <c r="A878" t="inlineStr">
        <is>
          <t>LAUNDRY BY DESIGN</t>
        </is>
      </c>
      <c r="B878" t="inlineStr">
        <is>
          <t>121009850</t>
        </is>
      </c>
      <c r="C878" t="inlineStr">
        <is>
          <t>32 SOFT PETAL PUFFER</t>
        </is>
      </c>
      <c r="D878" t="inlineStr">
        <is>
          <t>D96</t>
        </is>
      </c>
      <c r="E878" t="inlineStr">
        <is>
          <t>(en blanco)</t>
        </is>
      </c>
      <c r="F878" t="inlineStr">
        <is>
          <t>(en blanco)</t>
        </is>
      </c>
      <c r="G878" t="inlineStr">
        <is>
          <t>M</t>
        </is>
      </c>
      <c r="H878" t="n">
        <v>6</v>
      </c>
      <c r="I878" t="inlineStr">
        <is>
          <t>LAUNDRY_BY_DESIGN_121009850_D96_1.jpg</t>
        </is>
      </c>
      <c r="J878" t="inlineStr">
        <is>
          <t>LAUNDRY_BY_DESIGN_121009850_D96_2.jpg</t>
        </is>
      </c>
      <c r="K878" t="inlineStr">
        <is>
          <t>LAUNDRY_BY_DESIGN_121009850_D96_3.jpg</t>
        </is>
      </c>
      <c r="L878">
        <f>IMAGE("file:///E:/Estudios%20y%20certificaciones/ESTUDIOS%20DE%20PROGRAMMING/PROGRAMMING/PERSONAL/PYTHON/Image_Generator_API/imagenes/LAUNDRY_BY_DESIGN_121009850_D96_1.jpg")</f>
        <v/>
      </c>
      <c r="M878">
        <f>IMAGE("file:///E:/Estudios%20y%20certificaciones/ESTUDIOS%20DE%20PROGRAMMING/PROGRAMMING/PERSONAL/PYTHON/Image_Generator_API/imagenes/LAUNDRY_BY_DESIGN_121009850_D96_2.jpg")</f>
        <v/>
      </c>
      <c r="N878">
        <f>IMAGE("file:///E:/Estudios%20y%20certificaciones/ESTUDIOS%20DE%20PROGRAMMING/PROGRAMMING/PERSONAL/PYTHON/Image_Generator_API/imagenes/LAUNDRY_BY_DESIGN_121009850_D96_3.jpg")</f>
        <v/>
      </c>
      <c r="O878">
        <f>HYPERLINK("imagenes/LAUNDRY_BY_DESIGN_121009850_D96_1.jpg","Ver imagen")</f>
        <v/>
      </c>
      <c r="P878">
        <f>HYPERLINK("imagenes/LAUNDRY_BY_DESIGN_121009850_D96_2.jpg","Ver imagen")</f>
        <v/>
      </c>
      <c r="Q878">
        <f>HYPERLINK("imagenes/LAUNDRY_BY_DESIGN_121009850_D96_3.jpg","Ver imagen")</f>
        <v/>
      </c>
    </row>
    <row r="879">
      <c r="A879" t="inlineStr">
        <is>
          <t>LAUNDRY BY DESIGN</t>
        </is>
      </c>
      <c r="B879" t="inlineStr">
        <is>
          <t>121009850</t>
        </is>
      </c>
      <c r="C879" t="inlineStr">
        <is>
          <t>32 SOFT PETAL PUFFER</t>
        </is>
      </c>
      <c r="D879" t="inlineStr">
        <is>
          <t>D96</t>
        </is>
      </c>
      <c r="E879" t="inlineStr">
        <is>
          <t>(en blanco)</t>
        </is>
      </c>
      <c r="F879" t="inlineStr">
        <is>
          <t>(en blanco)</t>
        </is>
      </c>
      <c r="G879" t="inlineStr">
        <is>
          <t>L</t>
        </is>
      </c>
      <c r="H879" t="n">
        <v>13</v>
      </c>
      <c r="I879" t="inlineStr">
        <is>
          <t>LAUNDRY_BY_DESIGN_121009850_D96_1.jpg</t>
        </is>
      </c>
      <c r="J879" t="inlineStr">
        <is>
          <t>LAUNDRY_BY_DESIGN_121009850_D96_2.jpg</t>
        </is>
      </c>
      <c r="K879" t="inlineStr">
        <is>
          <t>LAUNDRY_BY_DESIGN_121009850_D96_3.jpg</t>
        </is>
      </c>
      <c r="L879">
        <f>IMAGE("file:///E:/Estudios%20y%20certificaciones/ESTUDIOS%20DE%20PROGRAMMING/PROGRAMMING/PERSONAL/PYTHON/Image_Generator_API/imagenes/LAUNDRY_BY_DESIGN_121009850_D96_1.jpg")</f>
        <v/>
      </c>
      <c r="M879">
        <f>IMAGE("file:///E:/Estudios%20y%20certificaciones/ESTUDIOS%20DE%20PROGRAMMING/PROGRAMMING/PERSONAL/PYTHON/Image_Generator_API/imagenes/LAUNDRY_BY_DESIGN_121009850_D96_2.jpg")</f>
        <v/>
      </c>
      <c r="N879">
        <f>IMAGE("file:///E:/Estudios%20y%20certificaciones/ESTUDIOS%20DE%20PROGRAMMING/PROGRAMMING/PERSONAL/PYTHON/Image_Generator_API/imagenes/LAUNDRY_BY_DESIGN_121009850_D96_3.jpg")</f>
        <v/>
      </c>
      <c r="O879">
        <f>HYPERLINK("imagenes/LAUNDRY_BY_DESIGN_121009850_D96_1.jpg","Ver imagen")</f>
        <v/>
      </c>
      <c r="P879">
        <f>HYPERLINK("imagenes/LAUNDRY_BY_DESIGN_121009850_D96_2.jpg","Ver imagen")</f>
        <v/>
      </c>
      <c r="Q879">
        <f>HYPERLINK("imagenes/LAUNDRY_BY_DESIGN_121009850_D96_3.jpg","Ver imagen")</f>
        <v/>
      </c>
    </row>
    <row r="880">
      <c r="A880" t="inlineStr">
        <is>
          <t>LAUNDRY BY DESIGN</t>
        </is>
      </c>
      <c r="B880" t="inlineStr">
        <is>
          <t>121009850</t>
        </is>
      </c>
      <c r="C880" t="inlineStr">
        <is>
          <t>32 SOFT PETAL PUFFER</t>
        </is>
      </c>
      <c r="D880" t="inlineStr">
        <is>
          <t>D96</t>
        </is>
      </c>
      <c r="E880" t="inlineStr">
        <is>
          <t>(en blanco)</t>
        </is>
      </c>
      <c r="F880" t="inlineStr">
        <is>
          <t>(en blanco)</t>
        </is>
      </c>
      <c r="G880" t="inlineStr">
        <is>
          <t>XL</t>
        </is>
      </c>
      <c r="H880" t="n">
        <v>3</v>
      </c>
      <c r="I880" t="inlineStr">
        <is>
          <t>LAUNDRY_BY_DESIGN_121009850_D96_1.jpg</t>
        </is>
      </c>
      <c r="J880" t="inlineStr">
        <is>
          <t>LAUNDRY_BY_DESIGN_121009850_D96_2.jpg</t>
        </is>
      </c>
      <c r="K880" t="inlineStr">
        <is>
          <t>LAUNDRY_BY_DESIGN_121009850_D96_3.jpg</t>
        </is>
      </c>
      <c r="L880">
        <f>IMAGE("file:///E:/Estudios%20y%20certificaciones/ESTUDIOS%20DE%20PROGRAMMING/PROGRAMMING/PERSONAL/PYTHON/Image_Generator_API/imagenes/LAUNDRY_BY_DESIGN_121009850_D96_1.jpg")</f>
        <v/>
      </c>
      <c r="M880">
        <f>IMAGE("file:///E:/Estudios%20y%20certificaciones/ESTUDIOS%20DE%20PROGRAMMING/PROGRAMMING/PERSONAL/PYTHON/Image_Generator_API/imagenes/LAUNDRY_BY_DESIGN_121009850_D96_2.jpg")</f>
        <v/>
      </c>
      <c r="N880">
        <f>IMAGE("file:///E:/Estudios%20y%20certificaciones/ESTUDIOS%20DE%20PROGRAMMING/PROGRAMMING/PERSONAL/PYTHON/Image_Generator_API/imagenes/LAUNDRY_BY_DESIGN_121009850_D96_3.jpg")</f>
        <v/>
      </c>
      <c r="O880">
        <f>HYPERLINK("imagenes/LAUNDRY_BY_DESIGN_121009850_D96_1.jpg","Ver imagen")</f>
        <v/>
      </c>
      <c r="P880">
        <f>HYPERLINK("imagenes/LAUNDRY_BY_DESIGN_121009850_D96_2.jpg","Ver imagen")</f>
        <v/>
      </c>
      <c r="Q880">
        <f>HYPERLINK("imagenes/LAUNDRY_BY_DESIGN_121009850_D96_3.jpg","Ver imagen")</f>
        <v/>
      </c>
    </row>
    <row r="881">
      <c r="A881" t="inlineStr">
        <is>
          <t>LAUNDRY BY DESIGN</t>
        </is>
      </c>
      <c r="B881" t="inlineStr">
        <is>
          <t>121009850</t>
        </is>
      </c>
      <c r="C881" t="inlineStr">
        <is>
          <t>32 SOFT PETAL PUFFER</t>
        </is>
      </c>
      <c r="D881" t="inlineStr">
        <is>
          <t>D96</t>
        </is>
      </c>
      <c r="E881" t="inlineStr">
        <is>
          <t>(en blanco)</t>
        </is>
      </c>
      <c r="F881" t="inlineStr">
        <is>
          <t>(en blanco)</t>
        </is>
      </c>
      <c r="G881" t="inlineStr">
        <is>
          <t>XXL</t>
        </is>
      </c>
      <c r="H881" t="n">
        <v>3</v>
      </c>
      <c r="I881" t="inlineStr">
        <is>
          <t>LAUNDRY_BY_DESIGN_121009850_D96_1.jpg</t>
        </is>
      </c>
      <c r="J881" t="inlineStr">
        <is>
          <t>LAUNDRY_BY_DESIGN_121009850_D96_2.jpg</t>
        </is>
      </c>
      <c r="K881" t="inlineStr">
        <is>
          <t>LAUNDRY_BY_DESIGN_121009850_D96_3.jpg</t>
        </is>
      </c>
      <c r="L881">
        <f>IMAGE("file:///E:/Estudios%20y%20certificaciones/ESTUDIOS%20DE%20PROGRAMMING/PROGRAMMING/PERSONAL/PYTHON/Image_Generator_API/imagenes/LAUNDRY_BY_DESIGN_121009850_D96_1.jpg")</f>
        <v/>
      </c>
      <c r="M881">
        <f>IMAGE("file:///E:/Estudios%20y%20certificaciones/ESTUDIOS%20DE%20PROGRAMMING/PROGRAMMING/PERSONAL/PYTHON/Image_Generator_API/imagenes/LAUNDRY_BY_DESIGN_121009850_D96_2.jpg")</f>
        <v/>
      </c>
      <c r="N881">
        <f>IMAGE("file:///E:/Estudios%20y%20certificaciones/ESTUDIOS%20DE%20PROGRAMMING/PROGRAMMING/PERSONAL/PYTHON/Image_Generator_API/imagenes/LAUNDRY_BY_DESIGN_121009850_D96_3.jpg")</f>
        <v/>
      </c>
      <c r="O881">
        <f>HYPERLINK("imagenes/LAUNDRY_BY_DESIGN_121009850_D96_1.jpg","Ver imagen")</f>
        <v/>
      </c>
      <c r="P881">
        <f>HYPERLINK("imagenes/LAUNDRY_BY_DESIGN_121009850_D96_2.jpg","Ver imagen")</f>
        <v/>
      </c>
      <c r="Q881">
        <f>HYPERLINK("imagenes/LAUNDRY_BY_DESIGN_121009850_D96_3.jpg","Ver imagen")</f>
        <v/>
      </c>
    </row>
    <row r="882">
      <c r="A882" t="inlineStr">
        <is>
          <t>LAUNDRY BY DESIGN</t>
        </is>
      </c>
      <c r="B882" t="inlineStr">
        <is>
          <t>121009850</t>
        </is>
      </c>
      <c r="C882" t="inlineStr">
        <is>
          <t>32 SOFT PETAL PUFFER</t>
        </is>
      </c>
      <c r="D882" t="inlineStr">
        <is>
          <t>MGR</t>
        </is>
      </c>
      <c r="E882" t="inlineStr">
        <is>
          <t>06A01</t>
        </is>
      </c>
      <c r="F882" t="inlineStr">
        <is>
          <t>(en blanco)</t>
        </is>
      </c>
      <c r="G882" t="inlineStr">
        <is>
          <t>PPK</t>
        </is>
      </c>
      <c r="H882" t="n">
        <v>564</v>
      </c>
      <c r="I882" t="inlineStr">
        <is>
          <t>LAUNDRY_BY_DESIGN_121009850_MGR_1.jpg</t>
        </is>
      </c>
      <c r="J882" t="inlineStr">
        <is>
          <t>LAUNDRY_BY_DESIGN_121009850_MGR_2.jpg</t>
        </is>
      </c>
      <c r="K882" t="inlineStr">
        <is>
          <t>LAUNDRY_BY_DESIGN_121009850_MGR_3.jpg</t>
        </is>
      </c>
      <c r="L882">
        <f>IMAGE("file:///E:/Estudios%20y%20certificaciones/ESTUDIOS%20DE%20PROGRAMMING/PROGRAMMING/PERSONAL/PYTHON/Image_Generator_API/imagenes/LAUNDRY_BY_DESIGN_121009850_MGR_1.jpg")</f>
        <v/>
      </c>
      <c r="M882">
        <f>IMAGE("file:///E:/Estudios%20y%20certificaciones/ESTUDIOS%20DE%20PROGRAMMING/PROGRAMMING/PERSONAL/PYTHON/Image_Generator_API/imagenes/LAUNDRY_BY_DESIGN_121009850_MGR_2.jpg")</f>
        <v/>
      </c>
      <c r="N882">
        <f>IMAGE("file:///E:/Estudios%20y%20certificaciones/ESTUDIOS%20DE%20PROGRAMMING/PROGRAMMING/PERSONAL/PYTHON/Image_Generator_API/imagenes/LAUNDRY_BY_DESIGN_121009850_MGR_3.jpg")</f>
        <v/>
      </c>
      <c r="O882">
        <f>HYPERLINK("imagenes/LAUNDRY_BY_DESIGN_121009850_MGR_1.jpg","Ver imagen")</f>
        <v/>
      </c>
      <c r="P882">
        <f>HYPERLINK("imagenes/LAUNDRY_BY_DESIGN_121009850_MGR_2.jpg","Ver imagen")</f>
        <v/>
      </c>
      <c r="Q882">
        <f>HYPERLINK("imagenes/LAUNDRY_BY_DESIGN_121009850_MGR_3.jpg","Ver imagen")</f>
        <v/>
      </c>
    </row>
    <row r="883">
      <c r="A883" t="inlineStr">
        <is>
          <t>LAUNDRY BY DESIGN</t>
        </is>
      </c>
      <c r="B883" t="inlineStr">
        <is>
          <t>121009850</t>
        </is>
      </c>
      <c r="C883" t="inlineStr">
        <is>
          <t>32 SOFT PETAL PUFFER</t>
        </is>
      </c>
      <c r="D883" t="inlineStr">
        <is>
          <t>MGR</t>
        </is>
      </c>
      <c r="E883" t="inlineStr">
        <is>
          <t>(en blanco)</t>
        </is>
      </c>
      <c r="F883" t="inlineStr">
        <is>
          <t>(en blanco)</t>
        </is>
      </c>
      <c r="G883" t="inlineStr">
        <is>
          <t>S</t>
        </is>
      </c>
      <c r="H883" t="n">
        <v>1</v>
      </c>
      <c r="I883" t="inlineStr">
        <is>
          <t>LAUNDRY_BY_DESIGN_121009850_MGR_1.jpg</t>
        </is>
      </c>
      <c r="J883" t="inlineStr">
        <is>
          <t>LAUNDRY_BY_DESIGN_121009850_MGR_2.jpg</t>
        </is>
      </c>
      <c r="K883" t="inlineStr">
        <is>
          <t>LAUNDRY_BY_DESIGN_121009850_MGR_3.jpg</t>
        </is>
      </c>
      <c r="L883">
        <f>IMAGE("file:///E:/Estudios%20y%20certificaciones/ESTUDIOS%20DE%20PROGRAMMING/PROGRAMMING/PERSONAL/PYTHON/Image_Generator_API/imagenes/LAUNDRY_BY_DESIGN_121009850_MGR_1.jpg")</f>
        <v/>
      </c>
      <c r="M883">
        <f>IMAGE("file:///E:/Estudios%20y%20certificaciones/ESTUDIOS%20DE%20PROGRAMMING/PROGRAMMING/PERSONAL/PYTHON/Image_Generator_API/imagenes/LAUNDRY_BY_DESIGN_121009850_MGR_2.jpg")</f>
        <v/>
      </c>
      <c r="N883">
        <f>IMAGE("file:///E:/Estudios%20y%20certificaciones/ESTUDIOS%20DE%20PROGRAMMING/PROGRAMMING/PERSONAL/PYTHON/Image_Generator_API/imagenes/LAUNDRY_BY_DESIGN_121009850_MGR_3.jpg")</f>
        <v/>
      </c>
      <c r="O883">
        <f>HYPERLINK("imagenes/LAUNDRY_BY_DESIGN_121009850_MGR_1.jpg","Ver imagen")</f>
        <v/>
      </c>
      <c r="P883">
        <f>HYPERLINK("imagenes/LAUNDRY_BY_DESIGN_121009850_MGR_2.jpg","Ver imagen")</f>
        <v/>
      </c>
      <c r="Q883">
        <f>HYPERLINK("imagenes/LAUNDRY_BY_DESIGN_121009850_MGR_3.jpg","Ver imagen")</f>
        <v/>
      </c>
    </row>
    <row r="884">
      <c r="A884" t="inlineStr">
        <is>
          <t>LAUNDRY BY DESIGN</t>
        </is>
      </c>
      <c r="B884" t="inlineStr">
        <is>
          <t>121009850</t>
        </is>
      </c>
      <c r="C884" t="inlineStr">
        <is>
          <t>32 SOFT PETAL PUFFER</t>
        </is>
      </c>
      <c r="D884" t="inlineStr">
        <is>
          <t>MGR</t>
        </is>
      </c>
      <c r="E884" t="inlineStr">
        <is>
          <t>(en blanco)</t>
        </is>
      </c>
      <c r="F884" t="inlineStr">
        <is>
          <t>(en blanco)</t>
        </is>
      </c>
      <c r="G884" t="inlineStr">
        <is>
          <t>M</t>
        </is>
      </c>
      <c r="H884" t="n">
        <v>7</v>
      </c>
      <c r="I884" t="inlineStr">
        <is>
          <t>LAUNDRY_BY_DESIGN_121009850_MGR_1.jpg</t>
        </is>
      </c>
      <c r="J884" t="inlineStr">
        <is>
          <t>LAUNDRY_BY_DESIGN_121009850_MGR_2.jpg</t>
        </is>
      </c>
      <c r="K884" t="inlineStr">
        <is>
          <t>LAUNDRY_BY_DESIGN_121009850_MGR_3.jpg</t>
        </is>
      </c>
      <c r="L884">
        <f>IMAGE("file:///E:/Estudios%20y%20certificaciones/ESTUDIOS%20DE%20PROGRAMMING/PROGRAMMING/PERSONAL/PYTHON/Image_Generator_API/imagenes/LAUNDRY_BY_DESIGN_121009850_MGR_1.jpg")</f>
        <v/>
      </c>
      <c r="M884">
        <f>IMAGE("file:///E:/Estudios%20y%20certificaciones/ESTUDIOS%20DE%20PROGRAMMING/PROGRAMMING/PERSONAL/PYTHON/Image_Generator_API/imagenes/LAUNDRY_BY_DESIGN_121009850_MGR_2.jpg")</f>
        <v/>
      </c>
      <c r="N884">
        <f>IMAGE("file:///E:/Estudios%20y%20certificaciones/ESTUDIOS%20DE%20PROGRAMMING/PROGRAMMING/PERSONAL/PYTHON/Image_Generator_API/imagenes/LAUNDRY_BY_DESIGN_121009850_MGR_3.jpg")</f>
        <v/>
      </c>
      <c r="O884">
        <f>HYPERLINK("imagenes/LAUNDRY_BY_DESIGN_121009850_MGR_1.jpg","Ver imagen")</f>
        <v/>
      </c>
      <c r="P884">
        <f>HYPERLINK("imagenes/LAUNDRY_BY_DESIGN_121009850_MGR_2.jpg","Ver imagen")</f>
        <v/>
      </c>
      <c r="Q884">
        <f>HYPERLINK("imagenes/LAUNDRY_BY_DESIGN_121009850_MGR_3.jpg","Ver imagen")</f>
        <v/>
      </c>
    </row>
    <row r="885">
      <c r="A885" t="inlineStr">
        <is>
          <t>LAUNDRY BY DESIGN</t>
        </is>
      </c>
      <c r="B885" t="inlineStr">
        <is>
          <t>121009850</t>
        </is>
      </c>
      <c r="C885" t="inlineStr">
        <is>
          <t>32 SOFT PETAL PUFFER</t>
        </is>
      </c>
      <c r="D885" t="inlineStr">
        <is>
          <t>MGR</t>
        </is>
      </c>
      <c r="E885" t="inlineStr">
        <is>
          <t>(en blanco)</t>
        </is>
      </c>
      <c r="F885" t="inlineStr">
        <is>
          <t>(en blanco)</t>
        </is>
      </c>
      <c r="G885" t="inlineStr">
        <is>
          <t>L</t>
        </is>
      </c>
      <c r="H885" t="n">
        <v>21</v>
      </c>
      <c r="I885" t="inlineStr">
        <is>
          <t>LAUNDRY_BY_DESIGN_121009850_MGR_1.jpg</t>
        </is>
      </c>
      <c r="J885" t="inlineStr">
        <is>
          <t>LAUNDRY_BY_DESIGN_121009850_MGR_2.jpg</t>
        </is>
      </c>
      <c r="K885" t="inlineStr">
        <is>
          <t>LAUNDRY_BY_DESIGN_121009850_MGR_3.jpg</t>
        </is>
      </c>
      <c r="L885">
        <f>IMAGE("file:///E:/Estudios%20y%20certificaciones/ESTUDIOS%20DE%20PROGRAMMING/PROGRAMMING/PERSONAL/PYTHON/Image_Generator_API/imagenes/LAUNDRY_BY_DESIGN_121009850_MGR_1.jpg")</f>
        <v/>
      </c>
      <c r="M885">
        <f>IMAGE("file:///E:/Estudios%20y%20certificaciones/ESTUDIOS%20DE%20PROGRAMMING/PROGRAMMING/PERSONAL/PYTHON/Image_Generator_API/imagenes/LAUNDRY_BY_DESIGN_121009850_MGR_2.jpg")</f>
        <v/>
      </c>
      <c r="N885">
        <f>IMAGE("file:///E:/Estudios%20y%20certificaciones/ESTUDIOS%20DE%20PROGRAMMING/PROGRAMMING/PERSONAL/PYTHON/Image_Generator_API/imagenes/LAUNDRY_BY_DESIGN_121009850_MGR_3.jpg")</f>
        <v/>
      </c>
      <c r="O885">
        <f>HYPERLINK("imagenes/LAUNDRY_BY_DESIGN_121009850_MGR_1.jpg","Ver imagen")</f>
        <v/>
      </c>
      <c r="P885">
        <f>HYPERLINK("imagenes/LAUNDRY_BY_DESIGN_121009850_MGR_2.jpg","Ver imagen")</f>
        <v/>
      </c>
      <c r="Q885">
        <f>HYPERLINK("imagenes/LAUNDRY_BY_DESIGN_121009850_MGR_3.jpg","Ver imagen")</f>
        <v/>
      </c>
    </row>
    <row r="886">
      <c r="A886" t="inlineStr">
        <is>
          <t>LAUNDRY BY DESIGN</t>
        </is>
      </c>
      <c r="B886" t="inlineStr">
        <is>
          <t>121009850</t>
        </is>
      </c>
      <c r="C886" t="inlineStr">
        <is>
          <t>32 SOFT PETAL PUFFER</t>
        </is>
      </c>
      <c r="D886" t="inlineStr">
        <is>
          <t>MGR</t>
        </is>
      </c>
      <c r="E886" t="inlineStr">
        <is>
          <t>(en blanco)</t>
        </is>
      </c>
      <c r="F886" t="inlineStr">
        <is>
          <t>(en blanco)</t>
        </is>
      </c>
      <c r="G886" t="inlineStr">
        <is>
          <t>XL</t>
        </is>
      </c>
      <c r="H886" t="n">
        <v>14</v>
      </c>
      <c r="I886" t="inlineStr">
        <is>
          <t>LAUNDRY_BY_DESIGN_121009850_MGR_1.jpg</t>
        </is>
      </c>
      <c r="J886" t="inlineStr">
        <is>
          <t>LAUNDRY_BY_DESIGN_121009850_MGR_2.jpg</t>
        </is>
      </c>
      <c r="K886" t="inlineStr">
        <is>
          <t>LAUNDRY_BY_DESIGN_121009850_MGR_3.jpg</t>
        </is>
      </c>
      <c r="L886">
        <f>IMAGE("file:///E:/Estudios%20y%20certificaciones/ESTUDIOS%20DE%20PROGRAMMING/PROGRAMMING/PERSONAL/PYTHON/Image_Generator_API/imagenes/LAUNDRY_BY_DESIGN_121009850_MGR_1.jpg")</f>
        <v/>
      </c>
      <c r="M886">
        <f>IMAGE("file:///E:/Estudios%20y%20certificaciones/ESTUDIOS%20DE%20PROGRAMMING/PROGRAMMING/PERSONAL/PYTHON/Image_Generator_API/imagenes/LAUNDRY_BY_DESIGN_121009850_MGR_2.jpg")</f>
        <v/>
      </c>
      <c r="N886">
        <f>IMAGE("file:///E:/Estudios%20y%20certificaciones/ESTUDIOS%20DE%20PROGRAMMING/PROGRAMMING/PERSONAL/PYTHON/Image_Generator_API/imagenes/LAUNDRY_BY_DESIGN_121009850_MGR_3.jpg")</f>
        <v/>
      </c>
      <c r="O886">
        <f>HYPERLINK("imagenes/LAUNDRY_BY_DESIGN_121009850_MGR_1.jpg","Ver imagen")</f>
        <v/>
      </c>
      <c r="P886">
        <f>HYPERLINK("imagenes/LAUNDRY_BY_DESIGN_121009850_MGR_2.jpg","Ver imagen")</f>
        <v/>
      </c>
      <c r="Q886">
        <f>HYPERLINK("imagenes/LAUNDRY_BY_DESIGN_121009850_MGR_3.jpg","Ver imagen")</f>
        <v/>
      </c>
    </row>
    <row r="887">
      <c r="A887" t="inlineStr">
        <is>
          <t>LAUNDRY BY DESIGN</t>
        </is>
      </c>
      <c r="B887" t="inlineStr">
        <is>
          <t>121009850</t>
        </is>
      </c>
      <c r="C887" t="inlineStr">
        <is>
          <t>32 SOFT PETAL PUFFER</t>
        </is>
      </c>
      <c r="D887" t="inlineStr">
        <is>
          <t>MGR</t>
        </is>
      </c>
      <c r="E887" t="inlineStr">
        <is>
          <t>(en blanco)</t>
        </is>
      </c>
      <c r="F887" t="inlineStr">
        <is>
          <t>(en blanco)</t>
        </is>
      </c>
      <c r="G887" t="inlineStr">
        <is>
          <t>XXL</t>
        </is>
      </c>
      <c r="H887" t="n">
        <v>2</v>
      </c>
      <c r="I887" t="inlineStr">
        <is>
          <t>LAUNDRY_BY_DESIGN_121009850_MGR_1.jpg</t>
        </is>
      </c>
      <c r="J887" t="inlineStr">
        <is>
          <t>LAUNDRY_BY_DESIGN_121009850_MGR_2.jpg</t>
        </is>
      </c>
      <c r="K887" t="inlineStr">
        <is>
          <t>LAUNDRY_BY_DESIGN_121009850_MGR_3.jpg</t>
        </is>
      </c>
      <c r="L887">
        <f>IMAGE("file:///E:/Estudios%20y%20certificaciones/ESTUDIOS%20DE%20PROGRAMMING/PROGRAMMING/PERSONAL/PYTHON/Image_Generator_API/imagenes/LAUNDRY_BY_DESIGN_121009850_MGR_1.jpg")</f>
        <v/>
      </c>
      <c r="M887">
        <f>IMAGE("file:///E:/Estudios%20y%20certificaciones/ESTUDIOS%20DE%20PROGRAMMING/PROGRAMMING/PERSONAL/PYTHON/Image_Generator_API/imagenes/LAUNDRY_BY_DESIGN_121009850_MGR_2.jpg")</f>
        <v/>
      </c>
      <c r="N887">
        <f>IMAGE("file:///E:/Estudios%20y%20certificaciones/ESTUDIOS%20DE%20PROGRAMMING/PROGRAMMING/PERSONAL/PYTHON/Image_Generator_API/imagenes/LAUNDRY_BY_DESIGN_121009850_MGR_3.jpg")</f>
        <v/>
      </c>
      <c r="O887">
        <f>HYPERLINK("imagenes/LAUNDRY_BY_DESIGN_121009850_MGR_1.jpg","Ver imagen")</f>
        <v/>
      </c>
      <c r="P887">
        <f>HYPERLINK("imagenes/LAUNDRY_BY_DESIGN_121009850_MGR_2.jpg","Ver imagen")</f>
        <v/>
      </c>
      <c r="Q887">
        <f>HYPERLINK("imagenes/LAUNDRY_BY_DESIGN_121009850_MGR_3.jpg","Ver imagen")</f>
        <v/>
      </c>
    </row>
    <row r="888">
      <c r="A888" t="inlineStr">
        <is>
          <t>LAUNDRY BY DESIGN</t>
        </is>
      </c>
      <c r="B888" t="inlineStr">
        <is>
          <t>121009851</t>
        </is>
      </c>
      <c r="C888" t="inlineStr">
        <is>
          <t>32.5 SOFT PETAL PUFFER WITH CORD</t>
        </is>
      </c>
      <c r="D888" t="inlineStr">
        <is>
          <t>BLK</t>
        </is>
      </c>
      <c r="E888" t="inlineStr">
        <is>
          <t>(en blanco)</t>
        </is>
      </c>
      <c r="F888" t="inlineStr">
        <is>
          <t>(en blanco)</t>
        </is>
      </c>
      <c r="G888" t="inlineStr">
        <is>
          <t>S</t>
        </is>
      </c>
      <c r="H888" t="n">
        <v>15</v>
      </c>
      <c r="I888" t="inlineStr">
        <is>
          <t>LAUNDRY_BY_DESIGN_121009851_BLK_1.jpg</t>
        </is>
      </c>
      <c r="J888" t="inlineStr">
        <is>
          <t>LAUNDRY_BY_DESIGN_121009851_BLK_2.jpg</t>
        </is>
      </c>
      <c r="K888" t="inlineStr">
        <is>
          <t>LAUNDRY_BY_DESIGN_121009851_BLK_3.jpg</t>
        </is>
      </c>
      <c r="L888">
        <f>IMAGE("file:///E:/Estudios%20y%20certificaciones/ESTUDIOS%20DE%20PROGRAMMING/PROGRAMMING/PERSONAL/PYTHON/Image_Generator_API/imagenes/LAUNDRY_BY_DESIGN_121009851_BLK_1.jpg")</f>
        <v/>
      </c>
      <c r="M888">
        <f>IMAGE("file:///E:/Estudios%20y%20certificaciones/ESTUDIOS%20DE%20PROGRAMMING/PROGRAMMING/PERSONAL/PYTHON/Image_Generator_API/imagenes/LAUNDRY_BY_DESIGN_121009851_BLK_2.jpg")</f>
        <v/>
      </c>
      <c r="N888">
        <f>IMAGE("file:///E:/Estudios%20y%20certificaciones/ESTUDIOS%20DE%20PROGRAMMING/PROGRAMMING/PERSONAL/PYTHON/Image_Generator_API/imagenes/LAUNDRY_BY_DESIGN_121009851_BLK_3.jpg")</f>
        <v/>
      </c>
      <c r="O888">
        <f>HYPERLINK("imagenes/LAUNDRY_BY_DESIGN_121009851_BLK_1.jpg","Ver imagen")</f>
        <v/>
      </c>
      <c r="P888">
        <f>HYPERLINK("imagenes/LAUNDRY_BY_DESIGN_121009851_BLK_2.jpg","Ver imagen")</f>
        <v/>
      </c>
      <c r="Q888">
        <f>HYPERLINK("imagenes/LAUNDRY_BY_DESIGN_121009851_BLK_3.jpg","Ver imagen")</f>
        <v/>
      </c>
    </row>
    <row r="889">
      <c r="A889" t="inlineStr">
        <is>
          <t>LAUNDRY BY DESIGN</t>
        </is>
      </c>
      <c r="B889" t="inlineStr">
        <is>
          <t>121009851</t>
        </is>
      </c>
      <c r="C889" t="inlineStr">
        <is>
          <t>32.5 SOFT PETAL PUFFER WITH CORD</t>
        </is>
      </c>
      <c r="D889" t="inlineStr">
        <is>
          <t>BLK</t>
        </is>
      </c>
      <c r="E889" t="inlineStr">
        <is>
          <t>(en blanco)</t>
        </is>
      </c>
      <c r="F889" t="inlineStr">
        <is>
          <t>(en blanco)</t>
        </is>
      </c>
      <c r="G889" t="inlineStr">
        <is>
          <t>M</t>
        </is>
      </c>
      <c r="H889" t="n">
        <v>39</v>
      </c>
      <c r="I889" t="inlineStr">
        <is>
          <t>LAUNDRY_BY_DESIGN_121009851_BLK_1.jpg</t>
        </is>
      </c>
      <c r="J889" t="inlineStr">
        <is>
          <t>LAUNDRY_BY_DESIGN_121009851_BLK_2.jpg</t>
        </is>
      </c>
      <c r="K889" t="inlineStr">
        <is>
          <t>LAUNDRY_BY_DESIGN_121009851_BLK_3.jpg</t>
        </is>
      </c>
      <c r="L889">
        <f>IMAGE("file:///E:/Estudios%20y%20certificaciones/ESTUDIOS%20DE%20PROGRAMMING/PROGRAMMING/PERSONAL/PYTHON/Image_Generator_API/imagenes/LAUNDRY_BY_DESIGN_121009851_BLK_1.jpg")</f>
        <v/>
      </c>
      <c r="M889">
        <f>IMAGE("file:///E:/Estudios%20y%20certificaciones/ESTUDIOS%20DE%20PROGRAMMING/PROGRAMMING/PERSONAL/PYTHON/Image_Generator_API/imagenes/LAUNDRY_BY_DESIGN_121009851_BLK_2.jpg")</f>
        <v/>
      </c>
      <c r="N889">
        <f>IMAGE("file:///E:/Estudios%20y%20certificaciones/ESTUDIOS%20DE%20PROGRAMMING/PROGRAMMING/PERSONAL/PYTHON/Image_Generator_API/imagenes/LAUNDRY_BY_DESIGN_121009851_BLK_3.jpg")</f>
        <v/>
      </c>
      <c r="O889">
        <f>HYPERLINK("imagenes/LAUNDRY_BY_DESIGN_121009851_BLK_1.jpg","Ver imagen")</f>
        <v/>
      </c>
      <c r="P889">
        <f>HYPERLINK("imagenes/LAUNDRY_BY_DESIGN_121009851_BLK_2.jpg","Ver imagen")</f>
        <v/>
      </c>
      <c r="Q889">
        <f>HYPERLINK("imagenes/LAUNDRY_BY_DESIGN_121009851_BLK_3.jpg","Ver imagen")</f>
        <v/>
      </c>
    </row>
    <row r="890">
      <c r="A890" t="inlineStr">
        <is>
          <t>LAUNDRY BY DESIGN</t>
        </is>
      </c>
      <c r="B890" t="inlineStr">
        <is>
          <t>121009851</t>
        </is>
      </c>
      <c r="C890" t="inlineStr">
        <is>
          <t>32.5 SOFT PETAL PUFFER WITH CORD</t>
        </is>
      </c>
      <c r="D890" t="inlineStr">
        <is>
          <t>BLK</t>
        </is>
      </c>
      <c r="E890" t="inlineStr">
        <is>
          <t>(en blanco)</t>
        </is>
      </c>
      <c r="F890" t="inlineStr">
        <is>
          <t>(en blanco)</t>
        </is>
      </c>
      <c r="G890" t="inlineStr">
        <is>
          <t>L</t>
        </is>
      </c>
      <c r="H890" t="n">
        <v>40</v>
      </c>
      <c r="I890" t="inlineStr">
        <is>
          <t>LAUNDRY_BY_DESIGN_121009851_BLK_1.jpg</t>
        </is>
      </c>
      <c r="J890" t="inlineStr">
        <is>
          <t>LAUNDRY_BY_DESIGN_121009851_BLK_2.jpg</t>
        </is>
      </c>
      <c r="K890" t="inlineStr">
        <is>
          <t>LAUNDRY_BY_DESIGN_121009851_BLK_3.jpg</t>
        </is>
      </c>
      <c r="L890">
        <f>IMAGE("file:///E:/Estudios%20y%20certificaciones/ESTUDIOS%20DE%20PROGRAMMING/PROGRAMMING/PERSONAL/PYTHON/Image_Generator_API/imagenes/LAUNDRY_BY_DESIGN_121009851_BLK_1.jpg")</f>
        <v/>
      </c>
      <c r="M890">
        <f>IMAGE("file:///E:/Estudios%20y%20certificaciones/ESTUDIOS%20DE%20PROGRAMMING/PROGRAMMING/PERSONAL/PYTHON/Image_Generator_API/imagenes/LAUNDRY_BY_DESIGN_121009851_BLK_2.jpg")</f>
        <v/>
      </c>
      <c r="N890">
        <f>IMAGE("file:///E:/Estudios%20y%20certificaciones/ESTUDIOS%20DE%20PROGRAMMING/PROGRAMMING/PERSONAL/PYTHON/Image_Generator_API/imagenes/LAUNDRY_BY_DESIGN_121009851_BLK_3.jpg")</f>
        <v/>
      </c>
      <c r="O890">
        <f>HYPERLINK("imagenes/LAUNDRY_BY_DESIGN_121009851_BLK_1.jpg","Ver imagen")</f>
        <v/>
      </c>
      <c r="P890">
        <f>HYPERLINK("imagenes/LAUNDRY_BY_DESIGN_121009851_BLK_2.jpg","Ver imagen")</f>
        <v/>
      </c>
      <c r="Q890">
        <f>HYPERLINK("imagenes/LAUNDRY_BY_DESIGN_121009851_BLK_3.jpg","Ver imagen")</f>
        <v/>
      </c>
    </row>
    <row r="891">
      <c r="A891" t="inlineStr">
        <is>
          <t>LAUNDRY BY DESIGN</t>
        </is>
      </c>
      <c r="B891" t="inlineStr">
        <is>
          <t>121009851</t>
        </is>
      </c>
      <c r="C891" t="inlineStr">
        <is>
          <t>32.5 SOFT PETAL PUFFER WITH CORD</t>
        </is>
      </c>
      <c r="D891" t="inlineStr">
        <is>
          <t>BLK</t>
        </is>
      </c>
      <c r="E891" t="inlineStr">
        <is>
          <t>(en blanco)</t>
        </is>
      </c>
      <c r="F891" t="inlineStr">
        <is>
          <t>(en blanco)</t>
        </is>
      </c>
      <c r="G891" t="inlineStr">
        <is>
          <t>XL</t>
        </is>
      </c>
      <c r="H891" t="n">
        <v>42</v>
      </c>
      <c r="I891" t="inlineStr">
        <is>
          <t>LAUNDRY_BY_DESIGN_121009851_BLK_1.jpg</t>
        </is>
      </c>
      <c r="J891" t="inlineStr">
        <is>
          <t>LAUNDRY_BY_DESIGN_121009851_BLK_2.jpg</t>
        </is>
      </c>
      <c r="K891" t="inlineStr">
        <is>
          <t>LAUNDRY_BY_DESIGN_121009851_BLK_3.jpg</t>
        </is>
      </c>
      <c r="L891">
        <f>IMAGE("file:///E:/Estudios%20y%20certificaciones/ESTUDIOS%20DE%20PROGRAMMING/PROGRAMMING/PERSONAL/PYTHON/Image_Generator_API/imagenes/LAUNDRY_BY_DESIGN_121009851_BLK_1.jpg")</f>
        <v/>
      </c>
      <c r="M891">
        <f>IMAGE("file:///E:/Estudios%20y%20certificaciones/ESTUDIOS%20DE%20PROGRAMMING/PROGRAMMING/PERSONAL/PYTHON/Image_Generator_API/imagenes/LAUNDRY_BY_DESIGN_121009851_BLK_2.jpg")</f>
        <v/>
      </c>
      <c r="N891">
        <f>IMAGE("file:///E:/Estudios%20y%20certificaciones/ESTUDIOS%20DE%20PROGRAMMING/PROGRAMMING/PERSONAL/PYTHON/Image_Generator_API/imagenes/LAUNDRY_BY_DESIGN_121009851_BLK_3.jpg")</f>
        <v/>
      </c>
      <c r="O891">
        <f>HYPERLINK("imagenes/LAUNDRY_BY_DESIGN_121009851_BLK_1.jpg","Ver imagen")</f>
        <v/>
      </c>
      <c r="P891">
        <f>HYPERLINK("imagenes/LAUNDRY_BY_DESIGN_121009851_BLK_2.jpg","Ver imagen")</f>
        <v/>
      </c>
      <c r="Q891">
        <f>HYPERLINK("imagenes/LAUNDRY_BY_DESIGN_121009851_BLK_3.jpg","Ver imagen")</f>
        <v/>
      </c>
    </row>
    <row r="892">
      <c r="A892" t="inlineStr">
        <is>
          <t>LAUNDRY BY DESIGN</t>
        </is>
      </c>
      <c r="B892" t="inlineStr">
        <is>
          <t>121009851</t>
        </is>
      </c>
      <c r="C892" t="inlineStr">
        <is>
          <t>32.5 SOFT PETAL PUFFER WITH CORD</t>
        </is>
      </c>
      <c r="D892" t="inlineStr">
        <is>
          <t>BLK</t>
        </is>
      </c>
      <c r="E892" t="inlineStr">
        <is>
          <t>(en blanco)</t>
        </is>
      </c>
      <c r="F892" t="inlineStr">
        <is>
          <t>(en blanco)</t>
        </is>
      </c>
      <c r="G892" t="inlineStr">
        <is>
          <t>XXL</t>
        </is>
      </c>
      <c r="H892" t="n">
        <v>16</v>
      </c>
      <c r="I892" t="inlineStr">
        <is>
          <t>LAUNDRY_BY_DESIGN_121009851_BLK_1.jpg</t>
        </is>
      </c>
      <c r="J892" t="inlineStr">
        <is>
          <t>LAUNDRY_BY_DESIGN_121009851_BLK_2.jpg</t>
        </is>
      </c>
      <c r="K892" t="inlineStr">
        <is>
          <t>LAUNDRY_BY_DESIGN_121009851_BLK_3.jpg</t>
        </is>
      </c>
      <c r="L892">
        <f>IMAGE("file:///E:/Estudios%20y%20certificaciones/ESTUDIOS%20DE%20PROGRAMMING/PROGRAMMING/PERSONAL/PYTHON/Image_Generator_API/imagenes/LAUNDRY_BY_DESIGN_121009851_BLK_1.jpg")</f>
        <v/>
      </c>
      <c r="M892">
        <f>IMAGE("file:///E:/Estudios%20y%20certificaciones/ESTUDIOS%20DE%20PROGRAMMING/PROGRAMMING/PERSONAL/PYTHON/Image_Generator_API/imagenes/LAUNDRY_BY_DESIGN_121009851_BLK_2.jpg")</f>
        <v/>
      </c>
      <c r="N892">
        <f>IMAGE("file:///E:/Estudios%20y%20certificaciones/ESTUDIOS%20DE%20PROGRAMMING/PROGRAMMING/PERSONAL/PYTHON/Image_Generator_API/imagenes/LAUNDRY_BY_DESIGN_121009851_BLK_3.jpg")</f>
        <v/>
      </c>
      <c r="O892">
        <f>HYPERLINK("imagenes/LAUNDRY_BY_DESIGN_121009851_BLK_1.jpg","Ver imagen")</f>
        <v/>
      </c>
      <c r="P892">
        <f>HYPERLINK("imagenes/LAUNDRY_BY_DESIGN_121009851_BLK_2.jpg","Ver imagen")</f>
        <v/>
      </c>
      <c r="Q892">
        <f>HYPERLINK("imagenes/LAUNDRY_BY_DESIGN_121009851_BLK_3.jpg","Ver imagen")</f>
        <v/>
      </c>
    </row>
    <row r="893">
      <c r="A893" t="inlineStr">
        <is>
          <t>LAUNDRY BY DESIGN</t>
        </is>
      </c>
      <c r="B893" t="inlineStr">
        <is>
          <t>121009851</t>
        </is>
      </c>
      <c r="C893" t="inlineStr">
        <is>
          <t>32.5 SOFT PETAL PUFFER WITH CORD</t>
        </is>
      </c>
      <c r="D893" t="inlineStr">
        <is>
          <t>CHO</t>
        </is>
      </c>
      <c r="E893" t="inlineStr">
        <is>
          <t>(en blanco)</t>
        </is>
      </c>
      <c r="F893" t="inlineStr">
        <is>
          <t>(en blanco)</t>
        </is>
      </c>
      <c r="G893" t="inlineStr">
        <is>
          <t>S</t>
        </is>
      </c>
      <c r="H893" t="n">
        <v>1</v>
      </c>
      <c r="I893" t="inlineStr">
        <is>
          <t>LAUNDRY_BY_DESIGN_121009851_CHO_1.jpg</t>
        </is>
      </c>
      <c r="J893" t="inlineStr">
        <is>
          <t>LAUNDRY_BY_DESIGN_121009851_CHO_2.jpg</t>
        </is>
      </c>
      <c r="K893" t="inlineStr">
        <is>
          <t>LAUNDRY_BY_DESIGN_121009851_CHO_3.jpg</t>
        </is>
      </c>
      <c r="L893">
        <f>IMAGE("file:///E:/Estudios%20y%20certificaciones/ESTUDIOS%20DE%20PROGRAMMING/PROGRAMMING/PERSONAL/PYTHON/Image_Generator_API/imagenes/LAUNDRY_BY_DESIGN_121009851_CHO_1.jpg")</f>
        <v/>
      </c>
      <c r="M893">
        <f>IMAGE("file:///E:/Estudios%20y%20certificaciones/ESTUDIOS%20DE%20PROGRAMMING/PROGRAMMING/PERSONAL/PYTHON/Image_Generator_API/imagenes/LAUNDRY_BY_DESIGN_121009851_CHO_2.jpg")</f>
        <v/>
      </c>
      <c r="N893">
        <f>IMAGE("file:///E:/Estudios%20y%20certificaciones/ESTUDIOS%20DE%20PROGRAMMING/PROGRAMMING/PERSONAL/PYTHON/Image_Generator_API/imagenes/LAUNDRY_BY_DESIGN_121009851_CHO_3.jpg")</f>
        <v/>
      </c>
      <c r="O893">
        <f>HYPERLINK("imagenes/LAUNDRY_BY_DESIGN_121009851_CHO_1.jpg","Ver imagen")</f>
        <v/>
      </c>
      <c r="P893">
        <f>HYPERLINK("imagenes/LAUNDRY_BY_DESIGN_121009851_CHO_2.jpg","Ver imagen")</f>
        <v/>
      </c>
      <c r="Q893">
        <f>HYPERLINK("imagenes/LAUNDRY_BY_DESIGN_121009851_CHO_3.jpg","Ver imagen")</f>
        <v/>
      </c>
    </row>
    <row r="894">
      <c r="A894" t="inlineStr">
        <is>
          <t>LAUNDRY BY DESIGN</t>
        </is>
      </c>
      <c r="B894" t="inlineStr">
        <is>
          <t>121009851</t>
        </is>
      </c>
      <c r="C894" t="inlineStr">
        <is>
          <t>32.5 SOFT PETAL PUFFER WITH CORD</t>
        </is>
      </c>
      <c r="D894" t="inlineStr">
        <is>
          <t>CHO</t>
        </is>
      </c>
      <c r="E894" t="inlineStr">
        <is>
          <t>(en blanco)</t>
        </is>
      </c>
      <c r="F894" t="inlineStr">
        <is>
          <t>(en blanco)</t>
        </is>
      </c>
      <c r="G894" t="inlineStr">
        <is>
          <t>M</t>
        </is>
      </c>
      <c r="H894" t="n">
        <v>16</v>
      </c>
      <c r="I894" t="inlineStr">
        <is>
          <t>LAUNDRY_BY_DESIGN_121009851_CHO_1.jpg</t>
        </is>
      </c>
      <c r="J894" t="inlineStr">
        <is>
          <t>LAUNDRY_BY_DESIGN_121009851_CHO_2.jpg</t>
        </is>
      </c>
      <c r="K894" t="inlineStr">
        <is>
          <t>LAUNDRY_BY_DESIGN_121009851_CHO_3.jpg</t>
        </is>
      </c>
      <c r="L894">
        <f>IMAGE("file:///E:/Estudios%20y%20certificaciones/ESTUDIOS%20DE%20PROGRAMMING/PROGRAMMING/PERSONAL/PYTHON/Image_Generator_API/imagenes/LAUNDRY_BY_DESIGN_121009851_CHO_1.jpg")</f>
        <v/>
      </c>
      <c r="M894">
        <f>IMAGE("file:///E:/Estudios%20y%20certificaciones/ESTUDIOS%20DE%20PROGRAMMING/PROGRAMMING/PERSONAL/PYTHON/Image_Generator_API/imagenes/LAUNDRY_BY_DESIGN_121009851_CHO_2.jpg")</f>
        <v/>
      </c>
      <c r="N894">
        <f>IMAGE("file:///E:/Estudios%20y%20certificaciones/ESTUDIOS%20DE%20PROGRAMMING/PROGRAMMING/PERSONAL/PYTHON/Image_Generator_API/imagenes/LAUNDRY_BY_DESIGN_121009851_CHO_3.jpg")</f>
        <v/>
      </c>
      <c r="O894">
        <f>HYPERLINK("imagenes/LAUNDRY_BY_DESIGN_121009851_CHO_1.jpg","Ver imagen")</f>
        <v/>
      </c>
      <c r="P894">
        <f>HYPERLINK("imagenes/LAUNDRY_BY_DESIGN_121009851_CHO_2.jpg","Ver imagen")</f>
        <v/>
      </c>
      <c r="Q894">
        <f>HYPERLINK("imagenes/LAUNDRY_BY_DESIGN_121009851_CHO_3.jpg","Ver imagen")</f>
        <v/>
      </c>
    </row>
    <row r="895">
      <c r="A895" t="inlineStr">
        <is>
          <t>LAUNDRY BY DESIGN</t>
        </is>
      </c>
      <c r="B895" t="inlineStr">
        <is>
          <t>121009851</t>
        </is>
      </c>
      <c r="C895" t="inlineStr">
        <is>
          <t>32.5 SOFT PETAL PUFFER WITH CORD</t>
        </is>
      </c>
      <c r="D895" t="inlineStr">
        <is>
          <t>CHO</t>
        </is>
      </c>
      <c r="E895" t="inlineStr">
        <is>
          <t>(en blanco)</t>
        </is>
      </c>
      <c r="F895" t="inlineStr">
        <is>
          <t>(en blanco)</t>
        </is>
      </c>
      <c r="G895" t="inlineStr">
        <is>
          <t>L</t>
        </is>
      </c>
      <c r="H895" t="n">
        <v>17</v>
      </c>
      <c r="I895" t="inlineStr">
        <is>
          <t>LAUNDRY_BY_DESIGN_121009851_CHO_1.jpg</t>
        </is>
      </c>
      <c r="J895" t="inlineStr">
        <is>
          <t>LAUNDRY_BY_DESIGN_121009851_CHO_2.jpg</t>
        </is>
      </c>
      <c r="K895" t="inlineStr">
        <is>
          <t>LAUNDRY_BY_DESIGN_121009851_CHO_3.jpg</t>
        </is>
      </c>
      <c r="L895">
        <f>IMAGE("file:///E:/Estudios%20y%20certificaciones/ESTUDIOS%20DE%20PROGRAMMING/PROGRAMMING/PERSONAL/PYTHON/Image_Generator_API/imagenes/LAUNDRY_BY_DESIGN_121009851_CHO_1.jpg")</f>
        <v/>
      </c>
      <c r="M895">
        <f>IMAGE("file:///E:/Estudios%20y%20certificaciones/ESTUDIOS%20DE%20PROGRAMMING/PROGRAMMING/PERSONAL/PYTHON/Image_Generator_API/imagenes/LAUNDRY_BY_DESIGN_121009851_CHO_2.jpg")</f>
        <v/>
      </c>
      <c r="N895">
        <f>IMAGE("file:///E:/Estudios%20y%20certificaciones/ESTUDIOS%20DE%20PROGRAMMING/PROGRAMMING/PERSONAL/PYTHON/Image_Generator_API/imagenes/LAUNDRY_BY_DESIGN_121009851_CHO_3.jpg")</f>
        <v/>
      </c>
      <c r="O895">
        <f>HYPERLINK("imagenes/LAUNDRY_BY_DESIGN_121009851_CHO_1.jpg","Ver imagen")</f>
        <v/>
      </c>
      <c r="P895">
        <f>HYPERLINK("imagenes/LAUNDRY_BY_DESIGN_121009851_CHO_2.jpg","Ver imagen")</f>
        <v/>
      </c>
      <c r="Q895">
        <f>HYPERLINK("imagenes/LAUNDRY_BY_DESIGN_121009851_CHO_3.jpg","Ver imagen")</f>
        <v/>
      </c>
    </row>
    <row r="896">
      <c r="A896" t="inlineStr">
        <is>
          <t>LAUNDRY BY DESIGN</t>
        </is>
      </c>
      <c r="B896" t="inlineStr">
        <is>
          <t>121009851</t>
        </is>
      </c>
      <c r="C896" t="inlineStr">
        <is>
          <t>32.5 SOFT PETAL PUFFER WITH CORD</t>
        </is>
      </c>
      <c r="D896" t="inlineStr">
        <is>
          <t>CHO</t>
        </is>
      </c>
      <c r="E896" t="inlineStr">
        <is>
          <t>(en blanco)</t>
        </is>
      </c>
      <c r="F896" t="inlineStr">
        <is>
          <t>(en blanco)</t>
        </is>
      </c>
      <c r="G896" t="inlineStr">
        <is>
          <t>XL</t>
        </is>
      </c>
      <c r="H896" t="n">
        <v>18</v>
      </c>
      <c r="I896" t="inlineStr">
        <is>
          <t>LAUNDRY_BY_DESIGN_121009851_CHO_1.jpg</t>
        </is>
      </c>
      <c r="J896" t="inlineStr">
        <is>
          <t>LAUNDRY_BY_DESIGN_121009851_CHO_2.jpg</t>
        </is>
      </c>
      <c r="K896" t="inlineStr">
        <is>
          <t>LAUNDRY_BY_DESIGN_121009851_CHO_3.jpg</t>
        </is>
      </c>
      <c r="L896">
        <f>IMAGE("file:///E:/Estudios%20y%20certificaciones/ESTUDIOS%20DE%20PROGRAMMING/PROGRAMMING/PERSONAL/PYTHON/Image_Generator_API/imagenes/LAUNDRY_BY_DESIGN_121009851_CHO_1.jpg")</f>
        <v/>
      </c>
      <c r="M896">
        <f>IMAGE("file:///E:/Estudios%20y%20certificaciones/ESTUDIOS%20DE%20PROGRAMMING/PROGRAMMING/PERSONAL/PYTHON/Image_Generator_API/imagenes/LAUNDRY_BY_DESIGN_121009851_CHO_2.jpg")</f>
        <v/>
      </c>
      <c r="N896">
        <f>IMAGE("file:///E:/Estudios%20y%20certificaciones/ESTUDIOS%20DE%20PROGRAMMING/PROGRAMMING/PERSONAL/PYTHON/Image_Generator_API/imagenes/LAUNDRY_BY_DESIGN_121009851_CHO_3.jpg")</f>
        <v/>
      </c>
      <c r="O896">
        <f>HYPERLINK("imagenes/LAUNDRY_BY_DESIGN_121009851_CHO_1.jpg","Ver imagen")</f>
        <v/>
      </c>
      <c r="P896">
        <f>HYPERLINK("imagenes/LAUNDRY_BY_DESIGN_121009851_CHO_2.jpg","Ver imagen")</f>
        <v/>
      </c>
      <c r="Q896">
        <f>HYPERLINK("imagenes/LAUNDRY_BY_DESIGN_121009851_CHO_3.jpg","Ver imagen")</f>
        <v/>
      </c>
    </row>
    <row r="897">
      <c r="A897" t="inlineStr">
        <is>
          <t>LAUNDRY BY DESIGN</t>
        </is>
      </c>
      <c r="B897" t="inlineStr">
        <is>
          <t>121009851</t>
        </is>
      </c>
      <c r="C897" t="inlineStr">
        <is>
          <t>32.5 SOFT PETAL PUFFER WITH CORD</t>
        </is>
      </c>
      <c r="D897" t="inlineStr">
        <is>
          <t>CHO</t>
        </is>
      </c>
      <c r="E897" t="inlineStr">
        <is>
          <t>(en blanco)</t>
        </is>
      </c>
      <c r="F897" t="inlineStr">
        <is>
          <t>(en blanco)</t>
        </is>
      </c>
      <c r="G897" t="inlineStr">
        <is>
          <t>XXL</t>
        </is>
      </c>
      <c r="H897" t="n">
        <v>3</v>
      </c>
      <c r="I897" t="inlineStr">
        <is>
          <t>LAUNDRY_BY_DESIGN_121009851_CHO_1.jpg</t>
        </is>
      </c>
      <c r="J897" t="inlineStr">
        <is>
          <t>LAUNDRY_BY_DESIGN_121009851_CHO_2.jpg</t>
        </is>
      </c>
      <c r="K897" t="inlineStr">
        <is>
          <t>LAUNDRY_BY_DESIGN_121009851_CHO_3.jpg</t>
        </is>
      </c>
      <c r="L897">
        <f>IMAGE("file:///E:/Estudios%20y%20certificaciones/ESTUDIOS%20DE%20PROGRAMMING/PROGRAMMING/PERSONAL/PYTHON/Image_Generator_API/imagenes/LAUNDRY_BY_DESIGN_121009851_CHO_1.jpg")</f>
        <v/>
      </c>
      <c r="M897">
        <f>IMAGE("file:///E:/Estudios%20y%20certificaciones/ESTUDIOS%20DE%20PROGRAMMING/PROGRAMMING/PERSONAL/PYTHON/Image_Generator_API/imagenes/LAUNDRY_BY_DESIGN_121009851_CHO_2.jpg")</f>
        <v/>
      </c>
      <c r="N897">
        <f>IMAGE("file:///E:/Estudios%20y%20certificaciones/ESTUDIOS%20DE%20PROGRAMMING/PROGRAMMING/PERSONAL/PYTHON/Image_Generator_API/imagenes/LAUNDRY_BY_DESIGN_121009851_CHO_3.jpg")</f>
        <v/>
      </c>
      <c r="O897">
        <f>HYPERLINK("imagenes/LAUNDRY_BY_DESIGN_121009851_CHO_1.jpg","Ver imagen")</f>
        <v/>
      </c>
      <c r="P897">
        <f>HYPERLINK("imagenes/LAUNDRY_BY_DESIGN_121009851_CHO_2.jpg","Ver imagen")</f>
        <v/>
      </c>
      <c r="Q897">
        <f>HYPERLINK("imagenes/LAUNDRY_BY_DESIGN_121009851_CHO_3.jpg","Ver imagen")</f>
        <v/>
      </c>
    </row>
    <row r="898">
      <c r="A898" t="inlineStr">
        <is>
          <t>LAUNDRY BY DESIGN</t>
        </is>
      </c>
      <c r="B898" t="inlineStr">
        <is>
          <t>121009851</t>
        </is>
      </c>
      <c r="C898" t="inlineStr">
        <is>
          <t>32.5 SOFT PETAL PUFFER WITH CORD</t>
        </is>
      </c>
      <c r="D898" t="inlineStr">
        <is>
          <t>OLI</t>
        </is>
      </c>
      <c r="E898" t="inlineStr">
        <is>
          <t>(en blanco)</t>
        </is>
      </c>
      <c r="F898" t="inlineStr">
        <is>
          <t>(en blanco)</t>
        </is>
      </c>
      <c r="G898" t="inlineStr">
        <is>
          <t>S</t>
        </is>
      </c>
      <c r="H898" t="n">
        <v>9</v>
      </c>
      <c r="I898" t="inlineStr">
        <is>
          <t>LAUNDRY_BY_DESIGN_121009851_OLI_1.jpg</t>
        </is>
      </c>
      <c r="J898" t="inlineStr">
        <is>
          <t>LAUNDRY_BY_DESIGN_121009851_OLI_2.jpg</t>
        </is>
      </c>
      <c r="K898" t="inlineStr">
        <is>
          <t>LAUNDRY_BY_DESIGN_121009851_OLI_3.jpg</t>
        </is>
      </c>
      <c r="L898">
        <f>IMAGE("file:///E:/Estudios%20y%20certificaciones/ESTUDIOS%20DE%20PROGRAMMING/PROGRAMMING/PERSONAL/PYTHON/Image_Generator_API/imagenes/LAUNDRY_BY_DESIGN_121009851_OLI_1.jpg")</f>
        <v/>
      </c>
      <c r="M898">
        <f>IMAGE("file:///E:/Estudios%20y%20certificaciones/ESTUDIOS%20DE%20PROGRAMMING/PROGRAMMING/PERSONAL/PYTHON/Image_Generator_API/imagenes/LAUNDRY_BY_DESIGN_121009851_OLI_2.jpg")</f>
        <v/>
      </c>
      <c r="N898">
        <f>IMAGE("file:///E:/Estudios%20y%20certificaciones/ESTUDIOS%20DE%20PROGRAMMING/PROGRAMMING/PERSONAL/PYTHON/Image_Generator_API/imagenes/LAUNDRY_BY_DESIGN_121009851_OLI_3.jpg")</f>
        <v/>
      </c>
      <c r="O898">
        <f>HYPERLINK("imagenes/LAUNDRY_BY_DESIGN_121009851_OLI_1.jpg","Ver imagen")</f>
        <v/>
      </c>
      <c r="P898">
        <f>HYPERLINK("imagenes/LAUNDRY_BY_DESIGN_121009851_OLI_2.jpg","Ver imagen")</f>
        <v/>
      </c>
      <c r="Q898">
        <f>HYPERLINK("imagenes/LAUNDRY_BY_DESIGN_121009851_OLI_3.jpg","Ver imagen")</f>
        <v/>
      </c>
    </row>
    <row r="899">
      <c r="A899" t="inlineStr">
        <is>
          <t>LAUNDRY BY DESIGN</t>
        </is>
      </c>
      <c r="B899" t="inlineStr">
        <is>
          <t>121009851</t>
        </is>
      </c>
      <c r="C899" t="inlineStr">
        <is>
          <t>32.5 SOFT PETAL PUFFER WITH CORD</t>
        </is>
      </c>
      <c r="D899" t="inlineStr">
        <is>
          <t>OLI</t>
        </is>
      </c>
      <c r="E899" t="inlineStr">
        <is>
          <t>(en blanco)</t>
        </is>
      </c>
      <c r="F899" t="inlineStr">
        <is>
          <t>(en blanco)</t>
        </is>
      </c>
      <c r="G899" t="inlineStr">
        <is>
          <t>M</t>
        </is>
      </c>
      <c r="H899" t="n">
        <v>20</v>
      </c>
      <c r="I899" t="inlineStr">
        <is>
          <t>LAUNDRY_BY_DESIGN_121009851_OLI_1.jpg</t>
        </is>
      </c>
      <c r="J899" t="inlineStr">
        <is>
          <t>LAUNDRY_BY_DESIGN_121009851_OLI_2.jpg</t>
        </is>
      </c>
      <c r="K899" t="inlineStr">
        <is>
          <t>LAUNDRY_BY_DESIGN_121009851_OLI_3.jpg</t>
        </is>
      </c>
      <c r="L899">
        <f>IMAGE("file:///E:/Estudios%20y%20certificaciones/ESTUDIOS%20DE%20PROGRAMMING/PROGRAMMING/PERSONAL/PYTHON/Image_Generator_API/imagenes/LAUNDRY_BY_DESIGN_121009851_OLI_1.jpg")</f>
        <v/>
      </c>
      <c r="M899">
        <f>IMAGE("file:///E:/Estudios%20y%20certificaciones/ESTUDIOS%20DE%20PROGRAMMING/PROGRAMMING/PERSONAL/PYTHON/Image_Generator_API/imagenes/LAUNDRY_BY_DESIGN_121009851_OLI_2.jpg")</f>
        <v/>
      </c>
      <c r="N899">
        <f>IMAGE("file:///E:/Estudios%20y%20certificaciones/ESTUDIOS%20DE%20PROGRAMMING/PROGRAMMING/PERSONAL/PYTHON/Image_Generator_API/imagenes/LAUNDRY_BY_DESIGN_121009851_OLI_3.jpg")</f>
        <v/>
      </c>
      <c r="O899">
        <f>HYPERLINK("imagenes/LAUNDRY_BY_DESIGN_121009851_OLI_1.jpg","Ver imagen")</f>
        <v/>
      </c>
      <c r="P899">
        <f>HYPERLINK("imagenes/LAUNDRY_BY_DESIGN_121009851_OLI_2.jpg","Ver imagen")</f>
        <v/>
      </c>
      <c r="Q899">
        <f>HYPERLINK("imagenes/LAUNDRY_BY_DESIGN_121009851_OLI_3.jpg","Ver imagen")</f>
        <v/>
      </c>
    </row>
    <row r="900">
      <c r="A900" t="inlineStr">
        <is>
          <t>LAUNDRY BY DESIGN</t>
        </is>
      </c>
      <c r="B900" t="inlineStr">
        <is>
          <t>121009851</t>
        </is>
      </c>
      <c r="C900" t="inlineStr">
        <is>
          <t>32.5 SOFT PETAL PUFFER WITH CORD</t>
        </is>
      </c>
      <c r="D900" t="inlineStr">
        <is>
          <t>OLI</t>
        </is>
      </c>
      <c r="E900" t="inlineStr">
        <is>
          <t>(en blanco)</t>
        </is>
      </c>
      <c r="F900" t="inlineStr">
        <is>
          <t>(en blanco)</t>
        </is>
      </c>
      <c r="G900" t="inlineStr">
        <is>
          <t>L</t>
        </is>
      </c>
      <c r="H900" t="n">
        <v>15</v>
      </c>
      <c r="I900" t="inlineStr">
        <is>
          <t>LAUNDRY_BY_DESIGN_121009851_OLI_1.jpg</t>
        </is>
      </c>
      <c r="J900" t="inlineStr">
        <is>
          <t>LAUNDRY_BY_DESIGN_121009851_OLI_2.jpg</t>
        </is>
      </c>
      <c r="K900" t="inlineStr">
        <is>
          <t>LAUNDRY_BY_DESIGN_121009851_OLI_3.jpg</t>
        </is>
      </c>
      <c r="L900">
        <f>IMAGE("file:///E:/Estudios%20y%20certificaciones/ESTUDIOS%20DE%20PROGRAMMING/PROGRAMMING/PERSONAL/PYTHON/Image_Generator_API/imagenes/LAUNDRY_BY_DESIGN_121009851_OLI_1.jpg")</f>
        <v/>
      </c>
      <c r="M900">
        <f>IMAGE("file:///E:/Estudios%20y%20certificaciones/ESTUDIOS%20DE%20PROGRAMMING/PROGRAMMING/PERSONAL/PYTHON/Image_Generator_API/imagenes/LAUNDRY_BY_DESIGN_121009851_OLI_2.jpg")</f>
        <v/>
      </c>
      <c r="N900">
        <f>IMAGE("file:///E:/Estudios%20y%20certificaciones/ESTUDIOS%20DE%20PROGRAMMING/PROGRAMMING/PERSONAL/PYTHON/Image_Generator_API/imagenes/LAUNDRY_BY_DESIGN_121009851_OLI_3.jpg")</f>
        <v/>
      </c>
      <c r="O900">
        <f>HYPERLINK("imagenes/LAUNDRY_BY_DESIGN_121009851_OLI_1.jpg","Ver imagen")</f>
        <v/>
      </c>
      <c r="P900">
        <f>HYPERLINK("imagenes/LAUNDRY_BY_DESIGN_121009851_OLI_2.jpg","Ver imagen")</f>
        <v/>
      </c>
      <c r="Q900">
        <f>HYPERLINK("imagenes/LAUNDRY_BY_DESIGN_121009851_OLI_3.jpg","Ver imagen")</f>
        <v/>
      </c>
    </row>
    <row r="901">
      <c r="A901" t="inlineStr">
        <is>
          <t>LAUNDRY BY DESIGN</t>
        </is>
      </c>
      <c r="B901" t="inlineStr">
        <is>
          <t>121009851</t>
        </is>
      </c>
      <c r="C901" t="inlineStr">
        <is>
          <t>32.5 SOFT PETAL PUFFER WITH CORD</t>
        </is>
      </c>
      <c r="D901" t="inlineStr">
        <is>
          <t>OLI</t>
        </is>
      </c>
      <c r="E901" t="inlineStr">
        <is>
          <t>(en blanco)</t>
        </is>
      </c>
      <c r="F901" t="inlineStr">
        <is>
          <t>(en blanco)</t>
        </is>
      </c>
      <c r="G901" t="inlineStr">
        <is>
          <t>XL</t>
        </is>
      </c>
      <c r="H901" t="n">
        <v>15</v>
      </c>
      <c r="I901" t="inlineStr">
        <is>
          <t>LAUNDRY_BY_DESIGN_121009851_OLI_1.jpg</t>
        </is>
      </c>
      <c r="J901" t="inlineStr">
        <is>
          <t>LAUNDRY_BY_DESIGN_121009851_OLI_2.jpg</t>
        </is>
      </c>
      <c r="K901" t="inlineStr">
        <is>
          <t>LAUNDRY_BY_DESIGN_121009851_OLI_3.jpg</t>
        </is>
      </c>
      <c r="L901">
        <f>IMAGE("file:///E:/Estudios%20y%20certificaciones/ESTUDIOS%20DE%20PROGRAMMING/PROGRAMMING/PERSONAL/PYTHON/Image_Generator_API/imagenes/LAUNDRY_BY_DESIGN_121009851_OLI_1.jpg")</f>
        <v/>
      </c>
      <c r="M901">
        <f>IMAGE("file:///E:/Estudios%20y%20certificaciones/ESTUDIOS%20DE%20PROGRAMMING/PROGRAMMING/PERSONAL/PYTHON/Image_Generator_API/imagenes/LAUNDRY_BY_DESIGN_121009851_OLI_2.jpg")</f>
        <v/>
      </c>
      <c r="N901">
        <f>IMAGE("file:///E:/Estudios%20y%20certificaciones/ESTUDIOS%20DE%20PROGRAMMING/PROGRAMMING/PERSONAL/PYTHON/Image_Generator_API/imagenes/LAUNDRY_BY_DESIGN_121009851_OLI_3.jpg")</f>
        <v/>
      </c>
      <c r="O901">
        <f>HYPERLINK("imagenes/LAUNDRY_BY_DESIGN_121009851_OLI_1.jpg","Ver imagen")</f>
        <v/>
      </c>
      <c r="P901">
        <f>HYPERLINK("imagenes/LAUNDRY_BY_DESIGN_121009851_OLI_2.jpg","Ver imagen")</f>
        <v/>
      </c>
      <c r="Q901">
        <f>HYPERLINK("imagenes/LAUNDRY_BY_DESIGN_121009851_OLI_3.jpg","Ver imagen")</f>
        <v/>
      </c>
    </row>
    <row r="902">
      <c r="A902" t="inlineStr">
        <is>
          <t>LAUNDRY BY DESIGN</t>
        </is>
      </c>
      <c r="B902" t="inlineStr">
        <is>
          <t>121009851</t>
        </is>
      </c>
      <c r="C902" t="inlineStr">
        <is>
          <t>32.5 SOFT PETAL PUFFER WITH CORD</t>
        </is>
      </c>
      <c r="D902" t="inlineStr">
        <is>
          <t>OLI</t>
        </is>
      </c>
      <c r="E902" t="inlineStr">
        <is>
          <t>(en blanco)</t>
        </is>
      </c>
      <c r="F902" t="inlineStr">
        <is>
          <t>(en blanco)</t>
        </is>
      </c>
      <c r="G902" t="inlineStr">
        <is>
          <t>XXL</t>
        </is>
      </c>
      <c r="H902" t="n">
        <v>2</v>
      </c>
      <c r="I902" t="inlineStr">
        <is>
          <t>LAUNDRY_BY_DESIGN_121009851_OLI_1.jpg</t>
        </is>
      </c>
      <c r="J902" t="inlineStr">
        <is>
          <t>LAUNDRY_BY_DESIGN_121009851_OLI_2.jpg</t>
        </is>
      </c>
      <c r="K902" t="inlineStr">
        <is>
          <t>LAUNDRY_BY_DESIGN_121009851_OLI_3.jpg</t>
        </is>
      </c>
      <c r="L902">
        <f>IMAGE("file:///E:/Estudios%20y%20certificaciones/ESTUDIOS%20DE%20PROGRAMMING/PROGRAMMING/PERSONAL/PYTHON/Image_Generator_API/imagenes/LAUNDRY_BY_DESIGN_121009851_OLI_1.jpg")</f>
        <v/>
      </c>
      <c r="M902">
        <f>IMAGE("file:///E:/Estudios%20y%20certificaciones/ESTUDIOS%20DE%20PROGRAMMING/PROGRAMMING/PERSONAL/PYTHON/Image_Generator_API/imagenes/LAUNDRY_BY_DESIGN_121009851_OLI_2.jpg")</f>
        <v/>
      </c>
      <c r="N902">
        <f>IMAGE("file:///E:/Estudios%20y%20certificaciones/ESTUDIOS%20DE%20PROGRAMMING/PROGRAMMING/PERSONAL/PYTHON/Image_Generator_API/imagenes/LAUNDRY_BY_DESIGN_121009851_OLI_3.jpg")</f>
        <v/>
      </c>
      <c r="O902">
        <f>HYPERLINK("imagenes/LAUNDRY_BY_DESIGN_121009851_OLI_1.jpg","Ver imagen")</f>
        <v/>
      </c>
      <c r="P902">
        <f>HYPERLINK("imagenes/LAUNDRY_BY_DESIGN_121009851_OLI_2.jpg","Ver imagen")</f>
        <v/>
      </c>
      <c r="Q902">
        <f>HYPERLINK("imagenes/LAUNDRY_BY_DESIGN_121009851_OLI_3.jpg","Ver imagen")</f>
        <v/>
      </c>
    </row>
    <row r="903">
      <c r="A903" t="inlineStr">
        <is>
          <t>LAUNDRY BY DESIGN</t>
        </is>
      </c>
      <c r="B903" t="inlineStr">
        <is>
          <t>121009852</t>
        </is>
      </c>
      <c r="C903" t="inlineStr">
        <is>
          <t>32.5 STRETCH PUFFER</t>
        </is>
      </c>
      <c r="D903" t="inlineStr">
        <is>
          <t>BLK</t>
        </is>
      </c>
      <c r="E903" t="inlineStr">
        <is>
          <t>06A01</t>
        </is>
      </c>
      <c r="F903" t="inlineStr">
        <is>
          <t>(en blanco)</t>
        </is>
      </c>
      <c r="G903" t="inlineStr">
        <is>
          <t>PPK</t>
        </is>
      </c>
      <c r="H903" t="n">
        <v>108</v>
      </c>
      <c r="I903" t="inlineStr">
        <is>
          <t>LAUNDRY_BY_DESIGN_121009852_BLK_1.jpg</t>
        </is>
      </c>
      <c r="J903" t="inlineStr">
        <is>
          <t>LAUNDRY_BY_DESIGN_121009852_BLK_2.jpg</t>
        </is>
      </c>
      <c r="K903" t="inlineStr">
        <is>
          <t>LAUNDRY_BY_DESIGN_121009852_BLK_3.jpg</t>
        </is>
      </c>
      <c r="L903">
        <f>IMAGE("file:///E:/Estudios%20y%20certificaciones/ESTUDIOS%20DE%20PROGRAMMING/PROGRAMMING/PERSONAL/PYTHON/Image_Generator_API/imagenes/LAUNDRY_BY_DESIGN_121009852_BLK_1.jpg")</f>
        <v/>
      </c>
      <c r="M903">
        <f>IMAGE("file:///E:/Estudios%20y%20certificaciones/ESTUDIOS%20DE%20PROGRAMMING/PROGRAMMING/PERSONAL/PYTHON/Image_Generator_API/imagenes/LAUNDRY_BY_DESIGN_121009852_BLK_2.jpg")</f>
        <v/>
      </c>
      <c r="N903">
        <f>IMAGE("file:///E:/Estudios%20y%20certificaciones/ESTUDIOS%20DE%20PROGRAMMING/PROGRAMMING/PERSONAL/PYTHON/Image_Generator_API/imagenes/LAUNDRY_BY_DESIGN_121009852_BLK_3.jpg")</f>
        <v/>
      </c>
      <c r="O903">
        <f>HYPERLINK("imagenes/LAUNDRY_BY_DESIGN_121009852_BLK_1.jpg","Ver imagen")</f>
        <v/>
      </c>
      <c r="P903">
        <f>HYPERLINK("imagenes/LAUNDRY_BY_DESIGN_121009852_BLK_2.jpg","Ver imagen")</f>
        <v/>
      </c>
      <c r="Q903">
        <f>HYPERLINK("imagenes/LAUNDRY_BY_DESIGN_121009852_BLK_3.jpg","Ver imagen")</f>
        <v/>
      </c>
    </row>
    <row r="904">
      <c r="A904" t="inlineStr">
        <is>
          <t>LAUNDRY BY DESIGN</t>
        </is>
      </c>
      <c r="B904" t="inlineStr">
        <is>
          <t>121009852</t>
        </is>
      </c>
      <c r="C904" t="inlineStr">
        <is>
          <t>32.5 STRETCH PUFFER</t>
        </is>
      </c>
      <c r="D904" t="inlineStr">
        <is>
          <t>BLK</t>
        </is>
      </c>
      <c r="E904" t="inlineStr">
        <is>
          <t>(en blanco)</t>
        </is>
      </c>
      <c r="F904" t="inlineStr">
        <is>
          <t>(en blanco)</t>
        </is>
      </c>
      <c r="G904" t="inlineStr">
        <is>
          <t>S</t>
        </is>
      </c>
      <c r="H904" t="n">
        <v>8</v>
      </c>
      <c r="I904" t="inlineStr">
        <is>
          <t>LAUNDRY_BY_DESIGN_121009852_BLK_1.jpg</t>
        </is>
      </c>
      <c r="J904" t="inlineStr">
        <is>
          <t>LAUNDRY_BY_DESIGN_121009852_BLK_2.jpg</t>
        </is>
      </c>
      <c r="K904" t="inlineStr">
        <is>
          <t>LAUNDRY_BY_DESIGN_121009852_BLK_3.jpg</t>
        </is>
      </c>
      <c r="L904">
        <f>IMAGE("file:///E:/Estudios%20y%20certificaciones/ESTUDIOS%20DE%20PROGRAMMING/PROGRAMMING/PERSONAL/PYTHON/Image_Generator_API/imagenes/LAUNDRY_BY_DESIGN_121009852_BLK_1.jpg")</f>
        <v/>
      </c>
      <c r="M904">
        <f>IMAGE("file:///E:/Estudios%20y%20certificaciones/ESTUDIOS%20DE%20PROGRAMMING/PROGRAMMING/PERSONAL/PYTHON/Image_Generator_API/imagenes/LAUNDRY_BY_DESIGN_121009852_BLK_2.jpg")</f>
        <v/>
      </c>
      <c r="N904">
        <f>IMAGE("file:///E:/Estudios%20y%20certificaciones/ESTUDIOS%20DE%20PROGRAMMING/PROGRAMMING/PERSONAL/PYTHON/Image_Generator_API/imagenes/LAUNDRY_BY_DESIGN_121009852_BLK_3.jpg")</f>
        <v/>
      </c>
      <c r="O904">
        <f>HYPERLINK("imagenes/LAUNDRY_BY_DESIGN_121009852_BLK_1.jpg","Ver imagen")</f>
        <v/>
      </c>
      <c r="P904">
        <f>HYPERLINK("imagenes/LAUNDRY_BY_DESIGN_121009852_BLK_2.jpg","Ver imagen")</f>
        <v/>
      </c>
      <c r="Q904">
        <f>HYPERLINK("imagenes/LAUNDRY_BY_DESIGN_121009852_BLK_3.jpg","Ver imagen")</f>
        <v/>
      </c>
    </row>
    <row r="905">
      <c r="A905" t="inlineStr">
        <is>
          <t>LAUNDRY BY DESIGN</t>
        </is>
      </c>
      <c r="B905" t="inlineStr">
        <is>
          <t>121009852</t>
        </is>
      </c>
      <c r="C905" t="inlineStr">
        <is>
          <t>32.5 STRETCH PUFFER</t>
        </is>
      </c>
      <c r="D905" t="inlineStr">
        <is>
          <t>BLK</t>
        </is>
      </c>
      <c r="E905" t="inlineStr">
        <is>
          <t>(en blanco)</t>
        </is>
      </c>
      <c r="F905" t="inlineStr">
        <is>
          <t>(en blanco)</t>
        </is>
      </c>
      <c r="G905" t="inlineStr">
        <is>
          <t>M</t>
        </is>
      </c>
      <c r="H905" t="n">
        <v>40</v>
      </c>
      <c r="I905" t="inlineStr">
        <is>
          <t>LAUNDRY_BY_DESIGN_121009852_BLK_1.jpg</t>
        </is>
      </c>
      <c r="J905" t="inlineStr">
        <is>
          <t>LAUNDRY_BY_DESIGN_121009852_BLK_2.jpg</t>
        </is>
      </c>
      <c r="K905" t="inlineStr">
        <is>
          <t>LAUNDRY_BY_DESIGN_121009852_BLK_3.jpg</t>
        </is>
      </c>
      <c r="L905">
        <f>IMAGE("file:///E:/Estudios%20y%20certificaciones/ESTUDIOS%20DE%20PROGRAMMING/PROGRAMMING/PERSONAL/PYTHON/Image_Generator_API/imagenes/LAUNDRY_BY_DESIGN_121009852_BLK_1.jpg")</f>
        <v/>
      </c>
      <c r="M905">
        <f>IMAGE("file:///E:/Estudios%20y%20certificaciones/ESTUDIOS%20DE%20PROGRAMMING/PROGRAMMING/PERSONAL/PYTHON/Image_Generator_API/imagenes/LAUNDRY_BY_DESIGN_121009852_BLK_2.jpg")</f>
        <v/>
      </c>
      <c r="N905">
        <f>IMAGE("file:///E:/Estudios%20y%20certificaciones/ESTUDIOS%20DE%20PROGRAMMING/PROGRAMMING/PERSONAL/PYTHON/Image_Generator_API/imagenes/LAUNDRY_BY_DESIGN_121009852_BLK_3.jpg")</f>
        <v/>
      </c>
      <c r="O905">
        <f>HYPERLINK("imagenes/LAUNDRY_BY_DESIGN_121009852_BLK_1.jpg","Ver imagen")</f>
        <v/>
      </c>
      <c r="P905">
        <f>HYPERLINK("imagenes/LAUNDRY_BY_DESIGN_121009852_BLK_2.jpg","Ver imagen")</f>
        <v/>
      </c>
      <c r="Q905">
        <f>HYPERLINK("imagenes/LAUNDRY_BY_DESIGN_121009852_BLK_3.jpg","Ver imagen")</f>
        <v/>
      </c>
    </row>
    <row r="906">
      <c r="A906" t="inlineStr">
        <is>
          <t>LAUNDRY BY DESIGN</t>
        </is>
      </c>
      <c r="B906" t="inlineStr">
        <is>
          <t>121009852</t>
        </is>
      </c>
      <c r="C906" t="inlineStr">
        <is>
          <t>32.5 STRETCH PUFFER</t>
        </is>
      </c>
      <c r="D906" t="inlineStr">
        <is>
          <t>BLK</t>
        </is>
      </c>
      <c r="E906" t="inlineStr">
        <is>
          <t>(en blanco)</t>
        </is>
      </c>
      <c r="F906" t="inlineStr">
        <is>
          <t>(en blanco)</t>
        </is>
      </c>
      <c r="G906" t="inlineStr">
        <is>
          <t>L</t>
        </is>
      </c>
      <c r="H906" t="n">
        <v>43</v>
      </c>
      <c r="I906" t="inlineStr">
        <is>
          <t>LAUNDRY_BY_DESIGN_121009852_BLK_1.jpg</t>
        </is>
      </c>
      <c r="J906" t="inlineStr">
        <is>
          <t>LAUNDRY_BY_DESIGN_121009852_BLK_2.jpg</t>
        </is>
      </c>
      <c r="K906" t="inlineStr">
        <is>
          <t>LAUNDRY_BY_DESIGN_121009852_BLK_3.jpg</t>
        </is>
      </c>
      <c r="L906">
        <f>IMAGE("file:///E:/Estudios%20y%20certificaciones/ESTUDIOS%20DE%20PROGRAMMING/PROGRAMMING/PERSONAL/PYTHON/Image_Generator_API/imagenes/LAUNDRY_BY_DESIGN_121009852_BLK_1.jpg")</f>
        <v/>
      </c>
      <c r="M906">
        <f>IMAGE("file:///E:/Estudios%20y%20certificaciones/ESTUDIOS%20DE%20PROGRAMMING/PROGRAMMING/PERSONAL/PYTHON/Image_Generator_API/imagenes/LAUNDRY_BY_DESIGN_121009852_BLK_2.jpg")</f>
        <v/>
      </c>
      <c r="N906">
        <f>IMAGE("file:///E:/Estudios%20y%20certificaciones/ESTUDIOS%20DE%20PROGRAMMING/PROGRAMMING/PERSONAL/PYTHON/Image_Generator_API/imagenes/LAUNDRY_BY_DESIGN_121009852_BLK_3.jpg")</f>
        <v/>
      </c>
      <c r="O906">
        <f>HYPERLINK("imagenes/LAUNDRY_BY_DESIGN_121009852_BLK_1.jpg","Ver imagen")</f>
        <v/>
      </c>
      <c r="P906">
        <f>HYPERLINK("imagenes/LAUNDRY_BY_DESIGN_121009852_BLK_2.jpg","Ver imagen")</f>
        <v/>
      </c>
      <c r="Q906">
        <f>HYPERLINK("imagenes/LAUNDRY_BY_DESIGN_121009852_BLK_3.jpg","Ver imagen")</f>
        <v/>
      </c>
    </row>
    <row r="907">
      <c r="A907" t="inlineStr">
        <is>
          <t>LAUNDRY BY DESIGN</t>
        </is>
      </c>
      <c r="B907" t="inlineStr">
        <is>
          <t>121009852</t>
        </is>
      </c>
      <c r="C907" t="inlineStr">
        <is>
          <t>32.5 STRETCH PUFFER</t>
        </is>
      </c>
      <c r="D907" t="inlineStr">
        <is>
          <t>BLK</t>
        </is>
      </c>
      <c r="E907" t="inlineStr">
        <is>
          <t>(en blanco)</t>
        </is>
      </c>
      <c r="F907" t="inlineStr">
        <is>
          <t>(en blanco)</t>
        </is>
      </c>
      <c r="G907" t="inlineStr">
        <is>
          <t>XL</t>
        </is>
      </c>
      <c r="H907" t="n">
        <v>42</v>
      </c>
      <c r="I907" t="inlineStr">
        <is>
          <t>LAUNDRY_BY_DESIGN_121009852_BLK_1.jpg</t>
        </is>
      </c>
      <c r="J907" t="inlineStr">
        <is>
          <t>LAUNDRY_BY_DESIGN_121009852_BLK_2.jpg</t>
        </is>
      </c>
      <c r="K907" t="inlineStr">
        <is>
          <t>LAUNDRY_BY_DESIGN_121009852_BLK_3.jpg</t>
        </is>
      </c>
      <c r="L907">
        <f>IMAGE("file:///E:/Estudios%20y%20certificaciones/ESTUDIOS%20DE%20PROGRAMMING/PROGRAMMING/PERSONAL/PYTHON/Image_Generator_API/imagenes/LAUNDRY_BY_DESIGN_121009852_BLK_1.jpg")</f>
        <v/>
      </c>
      <c r="M907">
        <f>IMAGE("file:///E:/Estudios%20y%20certificaciones/ESTUDIOS%20DE%20PROGRAMMING/PROGRAMMING/PERSONAL/PYTHON/Image_Generator_API/imagenes/LAUNDRY_BY_DESIGN_121009852_BLK_2.jpg")</f>
        <v/>
      </c>
      <c r="N907">
        <f>IMAGE("file:///E:/Estudios%20y%20certificaciones/ESTUDIOS%20DE%20PROGRAMMING/PROGRAMMING/PERSONAL/PYTHON/Image_Generator_API/imagenes/LAUNDRY_BY_DESIGN_121009852_BLK_3.jpg")</f>
        <v/>
      </c>
      <c r="O907">
        <f>HYPERLINK("imagenes/LAUNDRY_BY_DESIGN_121009852_BLK_1.jpg","Ver imagen")</f>
        <v/>
      </c>
      <c r="P907">
        <f>HYPERLINK("imagenes/LAUNDRY_BY_DESIGN_121009852_BLK_2.jpg","Ver imagen")</f>
        <v/>
      </c>
      <c r="Q907">
        <f>HYPERLINK("imagenes/LAUNDRY_BY_DESIGN_121009852_BLK_3.jpg","Ver imagen")</f>
        <v/>
      </c>
    </row>
    <row r="908">
      <c r="A908" t="inlineStr">
        <is>
          <t>LAUNDRY BY DESIGN</t>
        </is>
      </c>
      <c r="B908" t="inlineStr">
        <is>
          <t>121009852</t>
        </is>
      </c>
      <c r="C908" t="inlineStr">
        <is>
          <t>32.5 STRETCH PUFFER</t>
        </is>
      </c>
      <c r="D908" t="inlineStr">
        <is>
          <t>BLK</t>
        </is>
      </c>
      <c r="E908" t="inlineStr">
        <is>
          <t>(en blanco)</t>
        </is>
      </c>
      <c r="F908" t="inlineStr">
        <is>
          <t>(en blanco)</t>
        </is>
      </c>
      <c r="G908" t="inlineStr">
        <is>
          <t>XXL</t>
        </is>
      </c>
      <c r="H908" t="n">
        <v>16</v>
      </c>
      <c r="I908" t="inlineStr">
        <is>
          <t>LAUNDRY_BY_DESIGN_121009852_BLK_1.jpg</t>
        </is>
      </c>
      <c r="J908" t="inlineStr">
        <is>
          <t>LAUNDRY_BY_DESIGN_121009852_BLK_2.jpg</t>
        </is>
      </c>
      <c r="K908" t="inlineStr">
        <is>
          <t>LAUNDRY_BY_DESIGN_121009852_BLK_3.jpg</t>
        </is>
      </c>
      <c r="L908">
        <f>IMAGE("file:///E:/Estudios%20y%20certificaciones/ESTUDIOS%20DE%20PROGRAMMING/PROGRAMMING/PERSONAL/PYTHON/Image_Generator_API/imagenes/LAUNDRY_BY_DESIGN_121009852_BLK_1.jpg")</f>
        <v/>
      </c>
      <c r="M908">
        <f>IMAGE("file:///E:/Estudios%20y%20certificaciones/ESTUDIOS%20DE%20PROGRAMMING/PROGRAMMING/PERSONAL/PYTHON/Image_Generator_API/imagenes/LAUNDRY_BY_DESIGN_121009852_BLK_2.jpg")</f>
        <v/>
      </c>
      <c r="N908">
        <f>IMAGE("file:///E:/Estudios%20y%20certificaciones/ESTUDIOS%20DE%20PROGRAMMING/PROGRAMMING/PERSONAL/PYTHON/Image_Generator_API/imagenes/LAUNDRY_BY_DESIGN_121009852_BLK_3.jpg")</f>
        <v/>
      </c>
      <c r="O908">
        <f>HYPERLINK("imagenes/LAUNDRY_BY_DESIGN_121009852_BLK_1.jpg","Ver imagen")</f>
        <v/>
      </c>
      <c r="P908">
        <f>HYPERLINK("imagenes/LAUNDRY_BY_DESIGN_121009852_BLK_2.jpg","Ver imagen")</f>
        <v/>
      </c>
      <c r="Q908">
        <f>HYPERLINK("imagenes/LAUNDRY_BY_DESIGN_121009852_BLK_3.jpg","Ver imagen")</f>
        <v/>
      </c>
    </row>
    <row r="909">
      <c r="A909" t="inlineStr">
        <is>
          <t>LAUNDRY BY DESIGN</t>
        </is>
      </c>
      <c r="B909" t="inlineStr">
        <is>
          <t>121009852</t>
        </is>
      </c>
      <c r="C909" t="inlineStr">
        <is>
          <t>32.5 STRETCH PUFFER</t>
        </is>
      </c>
      <c r="D909" t="inlineStr">
        <is>
          <t>D96</t>
        </is>
      </c>
      <c r="E909" t="inlineStr">
        <is>
          <t>06A01</t>
        </is>
      </c>
      <c r="F909" t="inlineStr">
        <is>
          <t>(en blanco)</t>
        </is>
      </c>
      <c r="G909" t="inlineStr">
        <is>
          <t>PPK</t>
        </is>
      </c>
      <c r="H909" t="n">
        <v>0</v>
      </c>
      <c r="I909" t="inlineStr">
        <is>
          <t>LAUNDRY_BY_DESIGN_121009852_D96_1.jpg</t>
        </is>
      </c>
      <c r="J909" t="inlineStr">
        <is>
          <t>LAUNDRY_BY_DESIGN_121009852_D96_2.jpg</t>
        </is>
      </c>
      <c r="K909" t="inlineStr">
        <is>
          <t>LAUNDRY_BY_DESIGN_121009852_D96_3.jpg</t>
        </is>
      </c>
      <c r="L909">
        <f>IMAGE("file:///E:/Estudios%20y%20certificaciones/ESTUDIOS%20DE%20PROGRAMMING/PROGRAMMING/PERSONAL/PYTHON/Image_Generator_API/imagenes/LAUNDRY_BY_DESIGN_121009852_D96_1.jpg")</f>
        <v/>
      </c>
      <c r="M909">
        <f>IMAGE("file:///E:/Estudios%20y%20certificaciones/ESTUDIOS%20DE%20PROGRAMMING/PROGRAMMING/PERSONAL/PYTHON/Image_Generator_API/imagenes/LAUNDRY_BY_DESIGN_121009852_D96_2.jpg")</f>
        <v/>
      </c>
      <c r="N909">
        <f>IMAGE("file:///E:/Estudios%20y%20certificaciones/ESTUDIOS%20DE%20PROGRAMMING/PROGRAMMING/PERSONAL/PYTHON/Image_Generator_API/imagenes/LAUNDRY_BY_DESIGN_121009852_D96_3.jpg")</f>
        <v/>
      </c>
      <c r="O909">
        <f>HYPERLINK("imagenes/LAUNDRY_BY_DESIGN_121009852_D96_1.jpg","Ver imagen")</f>
        <v/>
      </c>
      <c r="P909">
        <f>HYPERLINK("imagenes/LAUNDRY_BY_DESIGN_121009852_D96_2.jpg","Ver imagen")</f>
        <v/>
      </c>
      <c r="Q909">
        <f>HYPERLINK("imagenes/LAUNDRY_BY_DESIGN_121009852_D96_3.jpg","Ver imagen")</f>
        <v/>
      </c>
    </row>
    <row r="910">
      <c r="A910" t="inlineStr">
        <is>
          <t>LAUNDRY BY DESIGN</t>
        </is>
      </c>
      <c r="B910" t="inlineStr">
        <is>
          <t>121009852</t>
        </is>
      </c>
      <c r="C910" t="inlineStr">
        <is>
          <t>32.5 STRETCH PUFFER</t>
        </is>
      </c>
      <c r="D910" t="inlineStr">
        <is>
          <t>D96</t>
        </is>
      </c>
      <c r="E910" t="inlineStr">
        <is>
          <t>(en blanco)</t>
        </is>
      </c>
      <c r="F910" t="inlineStr">
        <is>
          <t>(en blanco)</t>
        </is>
      </c>
      <c r="G910" t="inlineStr">
        <is>
          <t>S</t>
        </is>
      </c>
      <c r="H910" t="n">
        <v>6</v>
      </c>
      <c r="I910" t="inlineStr">
        <is>
          <t>LAUNDRY_BY_DESIGN_121009852_D96_1.jpg</t>
        </is>
      </c>
      <c r="J910" t="inlineStr">
        <is>
          <t>LAUNDRY_BY_DESIGN_121009852_D96_2.jpg</t>
        </is>
      </c>
      <c r="K910" t="inlineStr">
        <is>
          <t>LAUNDRY_BY_DESIGN_121009852_D96_3.jpg</t>
        </is>
      </c>
      <c r="L910">
        <f>IMAGE("file:///E:/Estudios%20y%20certificaciones/ESTUDIOS%20DE%20PROGRAMMING/PROGRAMMING/PERSONAL/PYTHON/Image_Generator_API/imagenes/LAUNDRY_BY_DESIGN_121009852_D96_1.jpg")</f>
        <v/>
      </c>
      <c r="M910">
        <f>IMAGE("file:///E:/Estudios%20y%20certificaciones/ESTUDIOS%20DE%20PROGRAMMING/PROGRAMMING/PERSONAL/PYTHON/Image_Generator_API/imagenes/LAUNDRY_BY_DESIGN_121009852_D96_2.jpg")</f>
        <v/>
      </c>
      <c r="N910">
        <f>IMAGE("file:///E:/Estudios%20y%20certificaciones/ESTUDIOS%20DE%20PROGRAMMING/PROGRAMMING/PERSONAL/PYTHON/Image_Generator_API/imagenes/LAUNDRY_BY_DESIGN_121009852_D96_3.jpg")</f>
        <v/>
      </c>
      <c r="O910">
        <f>HYPERLINK("imagenes/LAUNDRY_BY_DESIGN_121009852_D96_1.jpg","Ver imagen")</f>
        <v/>
      </c>
      <c r="P910">
        <f>HYPERLINK("imagenes/LAUNDRY_BY_DESIGN_121009852_D96_2.jpg","Ver imagen")</f>
        <v/>
      </c>
      <c r="Q910">
        <f>HYPERLINK("imagenes/LAUNDRY_BY_DESIGN_121009852_D96_3.jpg","Ver imagen")</f>
        <v/>
      </c>
    </row>
    <row r="911">
      <c r="A911" t="inlineStr">
        <is>
          <t>LAUNDRY BY DESIGN</t>
        </is>
      </c>
      <c r="B911" t="inlineStr">
        <is>
          <t>121009852</t>
        </is>
      </c>
      <c r="C911" t="inlineStr">
        <is>
          <t>32.5 STRETCH PUFFER</t>
        </is>
      </c>
      <c r="D911" t="inlineStr">
        <is>
          <t>D96</t>
        </is>
      </c>
      <c r="E911" t="inlineStr">
        <is>
          <t>(en blanco)</t>
        </is>
      </c>
      <c r="F911" t="inlineStr">
        <is>
          <t>(en blanco)</t>
        </is>
      </c>
      <c r="G911" t="inlineStr">
        <is>
          <t>M</t>
        </is>
      </c>
      <c r="H911" t="n">
        <v>19</v>
      </c>
      <c r="I911" t="inlineStr">
        <is>
          <t>LAUNDRY_BY_DESIGN_121009852_D96_1.jpg</t>
        </is>
      </c>
      <c r="J911" t="inlineStr">
        <is>
          <t>LAUNDRY_BY_DESIGN_121009852_D96_2.jpg</t>
        </is>
      </c>
      <c r="K911" t="inlineStr">
        <is>
          <t>LAUNDRY_BY_DESIGN_121009852_D96_3.jpg</t>
        </is>
      </c>
      <c r="L911">
        <f>IMAGE("file:///E:/Estudios%20y%20certificaciones/ESTUDIOS%20DE%20PROGRAMMING/PROGRAMMING/PERSONAL/PYTHON/Image_Generator_API/imagenes/LAUNDRY_BY_DESIGN_121009852_D96_1.jpg")</f>
        <v/>
      </c>
      <c r="M911">
        <f>IMAGE("file:///E:/Estudios%20y%20certificaciones/ESTUDIOS%20DE%20PROGRAMMING/PROGRAMMING/PERSONAL/PYTHON/Image_Generator_API/imagenes/LAUNDRY_BY_DESIGN_121009852_D96_2.jpg")</f>
        <v/>
      </c>
      <c r="N911">
        <f>IMAGE("file:///E:/Estudios%20y%20certificaciones/ESTUDIOS%20DE%20PROGRAMMING/PROGRAMMING/PERSONAL/PYTHON/Image_Generator_API/imagenes/LAUNDRY_BY_DESIGN_121009852_D96_3.jpg")</f>
        <v/>
      </c>
      <c r="O911">
        <f>HYPERLINK("imagenes/LAUNDRY_BY_DESIGN_121009852_D96_1.jpg","Ver imagen")</f>
        <v/>
      </c>
      <c r="P911">
        <f>HYPERLINK("imagenes/LAUNDRY_BY_DESIGN_121009852_D96_2.jpg","Ver imagen")</f>
        <v/>
      </c>
      <c r="Q911">
        <f>HYPERLINK("imagenes/LAUNDRY_BY_DESIGN_121009852_D96_3.jpg","Ver imagen")</f>
        <v/>
      </c>
    </row>
    <row r="912">
      <c r="A912" t="inlineStr">
        <is>
          <t>LAUNDRY BY DESIGN</t>
        </is>
      </c>
      <c r="B912" t="inlineStr">
        <is>
          <t>121009852</t>
        </is>
      </c>
      <c r="C912" t="inlineStr">
        <is>
          <t>32.5 STRETCH PUFFER</t>
        </is>
      </c>
      <c r="D912" t="inlineStr">
        <is>
          <t>D96</t>
        </is>
      </c>
      <c r="E912" t="inlineStr">
        <is>
          <t>(en blanco)</t>
        </is>
      </c>
      <c r="F912" t="inlineStr">
        <is>
          <t>(en blanco)</t>
        </is>
      </c>
      <c r="G912" t="inlineStr">
        <is>
          <t>L</t>
        </is>
      </c>
      <c r="H912" t="n">
        <v>21</v>
      </c>
      <c r="I912" t="inlineStr">
        <is>
          <t>LAUNDRY_BY_DESIGN_121009852_D96_1.jpg</t>
        </is>
      </c>
      <c r="J912" t="inlineStr">
        <is>
          <t>LAUNDRY_BY_DESIGN_121009852_D96_2.jpg</t>
        </is>
      </c>
      <c r="K912" t="inlineStr">
        <is>
          <t>LAUNDRY_BY_DESIGN_121009852_D96_3.jpg</t>
        </is>
      </c>
      <c r="L912">
        <f>IMAGE("file:///E:/Estudios%20y%20certificaciones/ESTUDIOS%20DE%20PROGRAMMING/PROGRAMMING/PERSONAL/PYTHON/Image_Generator_API/imagenes/LAUNDRY_BY_DESIGN_121009852_D96_1.jpg")</f>
        <v/>
      </c>
      <c r="M912">
        <f>IMAGE("file:///E:/Estudios%20y%20certificaciones/ESTUDIOS%20DE%20PROGRAMMING/PROGRAMMING/PERSONAL/PYTHON/Image_Generator_API/imagenes/LAUNDRY_BY_DESIGN_121009852_D96_2.jpg")</f>
        <v/>
      </c>
      <c r="N912">
        <f>IMAGE("file:///E:/Estudios%20y%20certificaciones/ESTUDIOS%20DE%20PROGRAMMING/PROGRAMMING/PERSONAL/PYTHON/Image_Generator_API/imagenes/LAUNDRY_BY_DESIGN_121009852_D96_3.jpg")</f>
        <v/>
      </c>
      <c r="O912">
        <f>HYPERLINK("imagenes/LAUNDRY_BY_DESIGN_121009852_D96_1.jpg","Ver imagen")</f>
        <v/>
      </c>
      <c r="P912">
        <f>HYPERLINK("imagenes/LAUNDRY_BY_DESIGN_121009852_D96_2.jpg","Ver imagen")</f>
        <v/>
      </c>
      <c r="Q912">
        <f>HYPERLINK("imagenes/LAUNDRY_BY_DESIGN_121009852_D96_3.jpg","Ver imagen")</f>
        <v/>
      </c>
    </row>
    <row r="913">
      <c r="A913" t="inlineStr">
        <is>
          <t>LAUNDRY BY DESIGN</t>
        </is>
      </c>
      <c r="B913" t="inlineStr">
        <is>
          <t>121009852</t>
        </is>
      </c>
      <c r="C913" t="inlineStr">
        <is>
          <t>32.5 STRETCH PUFFER</t>
        </is>
      </c>
      <c r="D913" t="inlineStr">
        <is>
          <t>D96</t>
        </is>
      </c>
      <c r="E913" t="inlineStr">
        <is>
          <t>(en blanco)</t>
        </is>
      </c>
      <c r="F913" t="inlineStr">
        <is>
          <t>(en blanco)</t>
        </is>
      </c>
      <c r="G913" t="inlineStr">
        <is>
          <t>XL</t>
        </is>
      </c>
      <c r="H913" t="n">
        <v>18</v>
      </c>
      <c r="I913" t="inlineStr">
        <is>
          <t>LAUNDRY_BY_DESIGN_121009852_D96_1.jpg</t>
        </is>
      </c>
      <c r="J913" t="inlineStr">
        <is>
          <t>LAUNDRY_BY_DESIGN_121009852_D96_2.jpg</t>
        </is>
      </c>
      <c r="K913" t="inlineStr">
        <is>
          <t>LAUNDRY_BY_DESIGN_121009852_D96_3.jpg</t>
        </is>
      </c>
      <c r="L913">
        <f>IMAGE("file:///E:/Estudios%20y%20certificaciones/ESTUDIOS%20DE%20PROGRAMMING/PROGRAMMING/PERSONAL/PYTHON/Image_Generator_API/imagenes/LAUNDRY_BY_DESIGN_121009852_D96_1.jpg")</f>
        <v/>
      </c>
      <c r="M913">
        <f>IMAGE("file:///E:/Estudios%20y%20certificaciones/ESTUDIOS%20DE%20PROGRAMMING/PROGRAMMING/PERSONAL/PYTHON/Image_Generator_API/imagenes/LAUNDRY_BY_DESIGN_121009852_D96_2.jpg")</f>
        <v/>
      </c>
      <c r="N913">
        <f>IMAGE("file:///E:/Estudios%20y%20certificaciones/ESTUDIOS%20DE%20PROGRAMMING/PROGRAMMING/PERSONAL/PYTHON/Image_Generator_API/imagenes/LAUNDRY_BY_DESIGN_121009852_D96_3.jpg")</f>
        <v/>
      </c>
      <c r="O913">
        <f>HYPERLINK("imagenes/LAUNDRY_BY_DESIGN_121009852_D96_1.jpg","Ver imagen")</f>
        <v/>
      </c>
      <c r="P913">
        <f>HYPERLINK("imagenes/LAUNDRY_BY_DESIGN_121009852_D96_2.jpg","Ver imagen")</f>
        <v/>
      </c>
      <c r="Q913">
        <f>HYPERLINK("imagenes/LAUNDRY_BY_DESIGN_121009852_D96_3.jpg","Ver imagen")</f>
        <v/>
      </c>
    </row>
    <row r="914">
      <c r="A914" t="inlineStr">
        <is>
          <t>LAUNDRY BY DESIGN</t>
        </is>
      </c>
      <c r="B914" t="inlineStr">
        <is>
          <t>121009852</t>
        </is>
      </c>
      <c r="C914" t="inlineStr">
        <is>
          <t>32.5 STRETCH PUFFER</t>
        </is>
      </c>
      <c r="D914" t="inlineStr">
        <is>
          <t>D96</t>
        </is>
      </c>
      <c r="E914" t="inlineStr">
        <is>
          <t>(en blanco)</t>
        </is>
      </c>
      <c r="F914" t="inlineStr">
        <is>
          <t>(en blanco)</t>
        </is>
      </c>
      <c r="G914" t="inlineStr">
        <is>
          <t>XXL</t>
        </is>
      </c>
      <c r="H914" t="n">
        <v>4</v>
      </c>
      <c r="I914" t="inlineStr">
        <is>
          <t>LAUNDRY_BY_DESIGN_121009852_D96_1.jpg</t>
        </is>
      </c>
      <c r="J914" t="inlineStr">
        <is>
          <t>LAUNDRY_BY_DESIGN_121009852_D96_2.jpg</t>
        </is>
      </c>
      <c r="K914" t="inlineStr">
        <is>
          <t>LAUNDRY_BY_DESIGN_121009852_D96_3.jpg</t>
        </is>
      </c>
      <c r="L914">
        <f>IMAGE("file:///E:/Estudios%20y%20certificaciones/ESTUDIOS%20DE%20PROGRAMMING/PROGRAMMING/PERSONAL/PYTHON/Image_Generator_API/imagenes/LAUNDRY_BY_DESIGN_121009852_D96_1.jpg")</f>
        <v/>
      </c>
      <c r="M914">
        <f>IMAGE("file:///E:/Estudios%20y%20certificaciones/ESTUDIOS%20DE%20PROGRAMMING/PROGRAMMING/PERSONAL/PYTHON/Image_Generator_API/imagenes/LAUNDRY_BY_DESIGN_121009852_D96_2.jpg")</f>
        <v/>
      </c>
      <c r="N914">
        <f>IMAGE("file:///E:/Estudios%20y%20certificaciones/ESTUDIOS%20DE%20PROGRAMMING/PROGRAMMING/PERSONAL/PYTHON/Image_Generator_API/imagenes/LAUNDRY_BY_DESIGN_121009852_D96_3.jpg")</f>
        <v/>
      </c>
      <c r="O914">
        <f>HYPERLINK("imagenes/LAUNDRY_BY_DESIGN_121009852_D96_1.jpg","Ver imagen")</f>
        <v/>
      </c>
      <c r="P914">
        <f>HYPERLINK("imagenes/LAUNDRY_BY_DESIGN_121009852_D96_2.jpg","Ver imagen")</f>
        <v/>
      </c>
      <c r="Q914">
        <f>HYPERLINK("imagenes/LAUNDRY_BY_DESIGN_121009852_D96_3.jpg","Ver imagen")</f>
        <v/>
      </c>
    </row>
    <row r="915">
      <c r="A915" t="inlineStr">
        <is>
          <t>LAUNDRY BY DESIGN</t>
        </is>
      </c>
      <c r="B915" t="inlineStr">
        <is>
          <t>121009852</t>
        </is>
      </c>
      <c r="C915" t="inlineStr">
        <is>
          <t>32.5 STRETCH PUFFER</t>
        </is>
      </c>
      <c r="D915" t="inlineStr">
        <is>
          <t>NVY</t>
        </is>
      </c>
      <c r="E915" t="inlineStr">
        <is>
          <t>(en blanco)</t>
        </is>
      </c>
      <c r="F915" t="inlineStr">
        <is>
          <t>(en blanco)</t>
        </is>
      </c>
      <c r="G915" t="inlineStr">
        <is>
          <t>S</t>
        </is>
      </c>
      <c r="H915" t="n">
        <v>0</v>
      </c>
      <c r="I915" t="inlineStr">
        <is>
          <t>LAUNDRY_BY_DESIGN_121009852_NVY_1.jpg</t>
        </is>
      </c>
      <c r="J915" t="inlineStr">
        <is>
          <t>LAUNDRY_BY_DESIGN_121009852_NVY_2.jpg</t>
        </is>
      </c>
      <c r="K915" t="inlineStr">
        <is>
          <t>LAUNDRY_BY_DESIGN_121009852_NVY_3.jpg</t>
        </is>
      </c>
      <c r="L915">
        <f>IMAGE("file:///E:/Estudios%20y%20certificaciones/ESTUDIOS%20DE%20PROGRAMMING/PROGRAMMING/PERSONAL/PYTHON/Image_Generator_API/imagenes/LAUNDRY_BY_DESIGN_121009852_NVY_1.jpg")</f>
        <v/>
      </c>
      <c r="M915">
        <f>IMAGE("file:///E:/Estudios%20y%20certificaciones/ESTUDIOS%20DE%20PROGRAMMING/PROGRAMMING/PERSONAL/PYTHON/Image_Generator_API/imagenes/LAUNDRY_BY_DESIGN_121009852_NVY_2.jpg")</f>
        <v/>
      </c>
      <c r="N915">
        <f>IMAGE("file:///E:/Estudios%20y%20certificaciones/ESTUDIOS%20DE%20PROGRAMMING/PROGRAMMING/PERSONAL/PYTHON/Image_Generator_API/imagenes/LAUNDRY_BY_DESIGN_121009852_NVY_3.jpg")</f>
        <v/>
      </c>
      <c r="O915">
        <f>HYPERLINK("imagenes/LAUNDRY_BY_DESIGN_121009852_NVY_1.jpg","Ver imagen")</f>
        <v/>
      </c>
      <c r="P915">
        <f>HYPERLINK("imagenes/LAUNDRY_BY_DESIGN_121009852_NVY_2.jpg","Ver imagen")</f>
        <v/>
      </c>
      <c r="Q915">
        <f>HYPERLINK("imagenes/LAUNDRY_BY_DESIGN_121009852_NVY_3.jpg","Ver imagen")</f>
        <v/>
      </c>
    </row>
    <row r="916">
      <c r="A916" t="inlineStr">
        <is>
          <t>LAUNDRY BY DESIGN</t>
        </is>
      </c>
      <c r="B916" t="inlineStr">
        <is>
          <t>121009852</t>
        </is>
      </c>
      <c r="C916" t="inlineStr">
        <is>
          <t>32.5 STRETCH PUFFER</t>
        </is>
      </c>
      <c r="D916" t="inlineStr">
        <is>
          <t>NVY</t>
        </is>
      </c>
      <c r="E916" t="inlineStr">
        <is>
          <t>(en blanco)</t>
        </is>
      </c>
      <c r="F916" t="inlineStr">
        <is>
          <t>(en blanco)</t>
        </is>
      </c>
      <c r="G916" t="inlineStr">
        <is>
          <t>M</t>
        </is>
      </c>
      <c r="H916" t="n">
        <v>17</v>
      </c>
      <c r="I916" t="inlineStr">
        <is>
          <t>LAUNDRY_BY_DESIGN_121009852_NVY_1.jpg</t>
        </is>
      </c>
      <c r="J916" t="inlineStr">
        <is>
          <t>LAUNDRY_BY_DESIGN_121009852_NVY_2.jpg</t>
        </is>
      </c>
      <c r="K916" t="inlineStr">
        <is>
          <t>LAUNDRY_BY_DESIGN_121009852_NVY_3.jpg</t>
        </is>
      </c>
      <c r="L916">
        <f>IMAGE("file:///E:/Estudios%20y%20certificaciones/ESTUDIOS%20DE%20PROGRAMMING/PROGRAMMING/PERSONAL/PYTHON/Image_Generator_API/imagenes/LAUNDRY_BY_DESIGN_121009852_NVY_1.jpg")</f>
        <v/>
      </c>
      <c r="M916">
        <f>IMAGE("file:///E:/Estudios%20y%20certificaciones/ESTUDIOS%20DE%20PROGRAMMING/PROGRAMMING/PERSONAL/PYTHON/Image_Generator_API/imagenes/LAUNDRY_BY_DESIGN_121009852_NVY_2.jpg")</f>
        <v/>
      </c>
      <c r="N916">
        <f>IMAGE("file:///E:/Estudios%20y%20certificaciones/ESTUDIOS%20DE%20PROGRAMMING/PROGRAMMING/PERSONAL/PYTHON/Image_Generator_API/imagenes/LAUNDRY_BY_DESIGN_121009852_NVY_3.jpg")</f>
        <v/>
      </c>
      <c r="O916">
        <f>HYPERLINK("imagenes/LAUNDRY_BY_DESIGN_121009852_NVY_1.jpg","Ver imagen")</f>
        <v/>
      </c>
      <c r="P916">
        <f>HYPERLINK("imagenes/LAUNDRY_BY_DESIGN_121009852_NVY_2.jpg","Ver imagen")</f>
        <v/>
      </c>
      <c r="Q916">
        <f>HYPERLINK("imagenes/LAUNDRY_BY_DESIGN_121009852_NVY_3.jpg","Ver imagen")</f>
        <v/>
      </c>
    </row>
    <row r="917">
      <c r="A917" t="inlineStr">
        <is>
          <t>LAUNDRY BY DESIGN</t>
        </is>
      </c>
      <c r="B917" t="inlineStr">
        <is>
          <t>121009852</t>
        </is>
      </c>
      <c r="C917" t="inlineStr">
        <is>
          <t>32.5 STRETCH PUFFER</t>
        </is>
      </c>
      <c r="D917" t="inlineStr">
        <is>
          <t>NVY</t>
        </is>
      </c>
      <c r="E917" t="inlineStr">
        <is>
          <t>(en blanco)</t>
        </is>
      </c>
      <c r="F917" t="inlineStr">
        <is>
          <t>(en blanco)</t>
        </is>
      </c>
      <c r="G917" t="inlineStr">
        <is>
          <t>L</t>
        </is>
      </c>
      <c r="H917" t="n">
        <v>21</v>
      </c>
      <c r="I917" t="inlineStr">
        <is>
          <t>LAUNDRY_BY_DESIGN_121009852_NVY_1.jpg</t>
        </is>
      </c>
      <c r="J917" t="inlineStr">
        <is>
          <t>LAUNDRY_BY_DESIGN_121009852_NVY_2.jpg</t>
        </is>
      </c>
      <c r="K917" t="inlineStr">
        <is>
          <t>LAUNDRY_BY_DESIGN_121009852_NVY_3.jpg</t>
        </is>
      </c>
      <c r="L917">
        <f>IMAGE("file:///E:/Estudios%20y%20certificaciones/ESTUDIOS%20DE%20PROGRAMMING/PROGRAMMING/PERSONAL/PYTHON/Image_Generator_API/imagenes/LAUNDRY_BY_DESIGN_121009852_NVY_1.jpg")</f>
        <v/>
      </c>
      <c r="M917">
        <f>IMAGE("file:///E:/Estudios%20y%20certificaciones/ESTUDIOS%20DE%20PROGRAMMING/PROGRAMMING/PERSONAL/PYTHON/Image_Generator_API/imagenes/LAUNDRY_BY_DESIGN_121009852_NVY_2.jpg")</f>
        <v/>
      </c>
      <c r="N917">
        <f>IMAGE("file:///E:/Estudios%20y%20certificaciones/ESTUDIOS%20DE%20PROGRAMMING/PROGRAMMING/PERSONAL/PYTHON/Image_Generator_API/imagenes/LAUNDRY_BY_DESIGN_121009852_NVY_3.jpg")</f>
        <v/>
      </c>
      <c r="O917">
        <f>HYPERLINK("imagenes/LAUNDRY_BY_DESIGN_121009852_NVY_1.jpg","Ver imagen")</f>
        <v/>
      </c>
      <c r="P917">
        <f>HYPERLINK("imagenes/LAUNDRY_BY_DESIGN_121009852_NVY_2.jpg","Ver imagen")</f>
        <v/>
      </c>
      <c r="Q917">
        <f>HYPERLINK("imagenes/LAUNDRY_BY_DESIGN_121009852_NVY_3.jpg","Ver imagen")</f>
        <v/>
      </c>
    </row>
    <row r="918">
      <c r="A918" t="inlineStr">
        <is>
          <t>LAUNDRY BY DESIGN</t>
        </is>
      </c>
      <c r="B918" t="inlineStr">
        <is>
          <t>121009852</t>
        </is>
      </c>
      <c r="C918" t="inlineStr">
        <is>
          <t>32.5 STRETCH PUFFER</t>
        </is>
      </c>
      <c r="D918" t="inlineStr">
        <is>
          <t>NVY</t>
        </is>
      </c>
      <c r="E918" t="inlineStr">
        <is>
          <t>(en blanco)</t>
        </is>
      </c>
      <c r="F918" t="inlineStr">
        <is>
          <t>(en blanco)</t>
        </is>
      </c>
      <c r="G918" t="inlineStr">
        <is>
          <t>XL</t>
        </is>
      </c>
      <c r="H918" t="n">
        <v>17</v>
      </c>
      <c r="I918" t="inlineStr">
        <is>
          <t>LAUNDRY_BY_DESIGN_121009852_NVY_1.jpg</t>
        </is>
      </c>
      <c r="J918" t="inlineStr">
        <is>
          <t>LAUNDRY_BY_DESIGN_121009852_NVY_2.jpg</t>
        </is>
      </c>
      <c r="K918" t="inlineStr">
        <is>
          <t>LAUNDRY_BY_DESIGN_121009852_NVY_3.jpg</t>
        </is>
      </c>
      <c r="L918">
        <f>IMAGE("file:///E:/Estudios%20y%20certificaciones/ESTUDIOS%20DE%20PROGRAMMING/PROGRAMMING/PERSONAL/PYTHON/Image_Generator_API/imagenes/LAUNDRY_BY_DESIGN_121009852_NVY_1.jpg")</f>
        <v/>
      </c>
      <c r="M918">
        <f>IMAGE("file:///E:/Estudios%20y%20certificaciones/ESTUDIOS%20DE%20PROGRAMMING/PROGRAMMING/PERSONAL/PYTHON/Image_Generator_API/imagenes/LAUNDRY_BY_DESIGN_121009852_NVY_2.jpg")</f>
        <v/>
      </c>
      <c r="N918">
        <f>IMAGE("file:///E:/Estudios%20y%20certificaciones/ESTUDIOS%20DE%20PROGRAMMING/PROGRAMMING/PERSONAL/PYTHON/Image_Generator_API/imagenes/LAUNDRY_BY_DESIGN_121009852_NVY_3.jpg")</f>
        <v/>
      </c>
      <c r="O918">
        <f>HYPERLINK("imagenes/LAUNDRY_BY_DESIGN_121009852_NVY_1.jpg","Ver imagen")</f>
        <v/>
      </c>
      <c r="P918">
        <f>HYPERLINK("imagenes/LAUNDRY_BY_DESIGN_121009852_NVY_2.jpg","Ver imagen")</f>
        <v/>
      </c>
      <c r="Q918">
        <f>HYPERLINK("imagenes/LAUNDRY_BY_DESIGN_121009852_NVY_3.jpg","Ver imagen")</f>
        <v/>
      </c>
    </row>
    <row r="919">
      <c r="A919" t="inlineStr">
        <is>
          <t>LAUNDRY BY DESIGN</t>
        </is>
      </c>
      <c r="B919" t="inlineStr">
        <is>
          <t>121009852</t>
        </is>
      </c>
      <c r="C919" t="inlineStr">
        <is>
          <t>32.5 STRETCH PUFFER</t>
        </is>
      </c>
      <c r="D919" t="inlineStr">
        <is>
          <t>NVY</t>
        </is>
      </c>
      <c r="E919" t="inlineStr">
        <is>
          <t>(en blanco)</t>
        </is>
      </c>
      <c r="F919" t="inlineStr">
        <is>
          <t>(en blanco)</t>
        </is>
      </c>
      <c r="G919" t="inlineStr">
        <is>
          <t>XXL</t>
        </is>
      </c>
      <c r="H919" t="n">
        <v>9</v>
      </c>
      <c r="I919" t="inlineStr">
        <is>
          <t>LAUNDRY_BY_DESIGN_121009852_NVY_1.jpg</t>
        </is>
      </c>
      <c r="J919" t="inlineStr">
        <is>
          <t>LAUNDRY_BY_DESIGN_121009852_NVY_2.jpg</t>
        </is>
      </c>
      <c r="K919" t="inlineStr">
        <is>
          <t>LAUNDRY_BY_DESIGN_121009852_NVY_3.jpg</t>
        </is>
      </c>
      <c r="L919">
        <f>IMAGE("file:///E:/Estudios%20y%20certificaciones/ESTUDIOS%20DE%20PROGRAMMING/PROGRAMMING/PERSONAL/PYTHON/Image_Generator_API/imagenes/LAUNDRY_BY_DESIGN_121009852_NVY_1.jpg")</f>
        <v/>
      </c>
      <c r="M919">
        <f>IMAGE("file:///E:/Estudios%20y%20certificaciones/ESTUDIOS%20DE%20PROGRAMMING/PROGRAMMING/PERSONAL/PYTHON/Image_Generator_API/imagenes/LAUNDRY_BY_DESIGN_121009852_NVY_2.jpg")</f>
        <v/>
      </c>
      <c r="N919">
        <f>IMAGE("file:///E:/Estudios%20y%20certificaciones/ESTUDIOS%20DE%20PROGRAMMING/PROGRAMMING/PERSONAL/PYTHON/Image_Generator_API/imagenes/LAUNDRY_BY_DESIGN_121009852_NVY_3.jpg")</f>
        <v/>
      </c>
      <c r="O919">
        <f>HYPERLINK("imagenes/LAUNDRY_BY_DESIGN_121009852_NVY_1.jpg","Ver imagen")</f>
        <v/>
      </c>
      <c r="P919">
        <f>HYPERLINK("imagenes/LAUNDRY_BY_DESIGN_121009852_NVY_2.jpg","Ver imagen")</f>
        <v/>
      </c>
      <c r="Q919">
        <f>HYPERLINK("imagenes/LAUNDRY_BY_DESIGN_121009852_NVY_3.jpg","Ver imagen")</f>
        <v/>
      </c>
    </row>
    <row r="920">
      <c r="A920" t="inlineStr">
        <is>
          <t>LAUNDRY BY DESIGN</t>
        </is>
      </c>
      <c r="B920" t="inlineStr">
        <is>
          <t>121009853</t>
        </is>
      </c>
      <c r="C920" t="inlineStr">
        <is>
          <t>42 SNOWCHIC LONG PUFFER WITH CORD</t>
        </is>
      </c>
      <c r="D920" t="inlineStr">
        <is>
          <t>BLK</t>
        </is>
      </c>
      <c r="E920" t="inlineStr">
        <is>
          <t>06A01</t>
        </is>
      </c>
      <c r="F920" t="inlineStr">
        <is>
          <t>(en blanco)</t>
        </is>
      </c>
      <c r="G920" t="inlineStr">
        <is>
          <t>PPK</t>
        </is>
      </c>
      <c r="H920" t="n">
        <v>6078</v>
      </c>
      <c r="I920" t="inlineStr">
        <is>
          <t>LAUNDRY_BY_DESIGN_121009853_BLK_1.jpg</t>
        </is>
      </c>
      <c r="J920" t="inlineStr">
        <is>
          <t>LAUNDRY_BY_DESIGN_121009853_BLK_2.jpg</t>
        </is>
      </c>
      <c r="K920" t="inlineStr">
        <is>
          <t>LAUNDRY_BY_DESIGN_121009853_BLK_3.jpg</t>
        </is>
      </c>
      <c r="L920">
        <f>IMAGE("file:///E:/Estudios%20y%20certificaciones/ESTUDIOS%20DE%20PROGRAMMING/PROGRAMMING/PERSONAL/PYTHON/Image_Generator_API/imagenes/LAUNDRY_BY_DESIGN_121009853_BLK_1.jpg")</f>
        <v/>
      </c>
      <c r="M920">
        <f>IMAGE("file:///E:/Estudios%20y%20certificaciones/ESTUDIOS%20DE%20PROGRAMMING/PROGRAMMING/PERSONAL/PYTHON/Image_Generator_API/imagenes/LAUNDRY_BY_DESIGN_121009853_BLK_2.jpg")</f>
        <v/>
      </c>
      <c r="N920">
        <f>IMAGE("file:///E:/Estudios%20y%20certificaciones/ESTUDIOS%20DE%20PROGRAMMING/PROGRAMMING/PERSONAL/PYTHON/Image_Generator_API/imagenes/LAUNDRY_BY_DESIGN_121009853_BLK_3.jpg")</f>
        <v/>
      </c>
      <c r="O920">
        <f>HYPERLINK("imagenes/LAUNDRY_BY_DESIGN_121009853_BLK_1.jpg","Ver imagen")</f>
        <v/>
      </c>
      <c r="P920">
        <f>HYPERLINK("imagenes/LAUNDRY_BY_DESIGN_121009853_BLK_2.jpg","Ver imagen")</f>
        <v/>
      </c>
      <c r="Q920">
        <f>HYPERLINK("imagenes/LAUNDRY_BY_DESIGN_121009853_BLK_3.jpg","Ver imagen")</f>
        <v/>
      </c>
    </row>
    <row r="921">
      <c r="A921" t="inlineStr">
        <is>
          <t>LAUNDRY BY DESIGN</t>
        </is>
      </c>
      <c r="B921" t="inlineStr">
        <is>
          <t>121009853</t>
        </is>
      </c>
      <c r="C921" t="inlineStr">
        <is>
          <t>42 SNOWCHIC LONG PUFFER WITH CORD</t>
        </is>
      </c>
      <c r="D921" t="inlineStr">
        <is>
          <t>BLK</t>
        </is>
      </c>
      <c r="E921" t="inlineStr">
        <is>
          <t>(en blanco)</t>
        </is>
      </c>
      <c r="F921" t="inlineStr">
        <is>
          <t>(en blanco)</t>
        </is>
      </c>
      <c r="G921" t="inlineStr">
        <is>
          <t>S</t>
        </is>
      </c>
      <c r="H921" t="n">
        <v>25</v>
      </c>
      <c r="I921" t="inlineStr">
        <is>
          <t>LAUNDRY_BY_DESIGN_121009853_BLK_1.jpg</t>
        </is>
      </c>
      <c r="J921" t="inlineStr">
        <is>
          <t>LAUNDRY_BY_DESIGN_121009853_BLK_2.jpg</t>
        </is>
      </c>
      <c r="K921" t="inlineStr">
        <is>
          <t>LAUNDRY_BY_DESIGN_121009853_BLK_3.jpg</t>
        </is>
      </c>
      <c r="L921">
        <f>IMAGE("file:///E:/Estudios%20y%20certificaciones/ESTUDIOS%20DE%20PROGRAMMING/PROGRAMMING/PERSONAL/PYTHON/Image_Generator_API/imagenes/LAUNDRY_BY_DESIGN_121009853_BLK_1.jpg")</f>
        <v/>
      </c>
      <c r="M921">
        <f>IMAGE("file:///E:/Estudios%20y%20certificaciones/ESTUDIOS%20DE%20PROGRAMMING/PROGRAMMING/PERSONAL/PYTHON/Image_Generator_API/imagenes/LAUNDRY_BY_DESIGN_121009853_BLK_2.jpg")</f>
        <v/>
      </c>
      <c r="N921">
        <f>IMAGE("file:///E:/Estudios%20y%20certificaciones/ESTUDIOS%20DE%20PROGRAMMING/PROGRAMMING/PERSONAL/PYTHON/Image_Generator_API/imagenes/LAUNDRY_BY_DESIGN_121009853_BLK_3.jpg")</f>
        <v/>
      </c>
      <c r="O921">
        <f>HYPERLINK("imagenes/LAUNDRY_BY_DESIGN_121009853_BLK_1.jpg","Ver imagen")</f>
        <v/>
      </c>
      <c r="P921">
        <f>HYPERLINK("imagenes/LAUNDRY_BY_DESIGN_121009853_BLK_2.jpg","Ver imagen")</f>
        <v/>
      </c>
      <c r="Q921">
        <f>HYPERLINK("imagenes/LAUNDRY_BY_DESIGN_121009853_BLK_3.jpg","Ver imagen")</f>
        <v/>
      </c>
    </row>
    <row r="922">
      <c r="A922" t="inlineStr">
        <is>
          <t>LAUNDRY BY DESIGN</t>
        </is>
      </c>
      <c r="B922" t="inlineStr">
        <is>
          <t>121009853</t>
        </is>
      </c>
      <c r="C922" t="inlineStr">
        <is>
          <t>42 SNOWCHIC LONG PUFFER WITH CORD</t>
        </is>
      </c>
      <c r="D922" t="inlineStr">
        <is>
          <t>BLK</t>
        </is>
      </c>
      <c r="E922" t="inlineStr">
        <is>
          <t>(en blanco)</t>
        </is>
      </c>
      <c r="F922" t="inlineStr">
        <is>
          <t>(en blanco)</t>
        </is>
      </c>
      <c r="G922" t="inlineStr">
        <is>
          <t>M</t>
        </is>
      </c>
      <c r="H922" t="n">
        <v>50</v>
      </c>
      <c r="I922" t="inlineStr">
        <is>
          <t>LAUNDRY_BY_DESIGN_121009853_BLK_1.jpg</t>
        </is>
      </c>
      <c r="J922" t="inlineStr">
        <is>
          <t>LAUNDRY_BY_DESIGN_121009853_BLK_2.jpg</t>
        </is>
      </c>
      <c r="K922" t="inlineStr">
        <is>
          <t>LAUNDRY_BY_DESIGN_121009853_BLK_3.jpg</t>
        </is>
      </c>
      <c r="L922">
        <f>IMAGE("file:///E:/Estudios%20y%20certificaciones/ESTUDIOS%20DE%20PROGRAMMING/PROGRAMMING/PERSONAL/PYTHON/Image_Generator_API/imagenes/LAUNDRY_BY_DESIGN_121009853_BLK_1.jpg")</f>
        <v/>
      </c>
      <c r="M922">
        <f>IMAGE("file:///E:/Estudios%20y%20certificaciones/ESTUDIOS%20DE%20PROGRAMMING/PROGRAMMING/PERSONAL/PYTHON/Image_Generator_API/imagenes/LAUNDRY_BY_DESIGN_121009853_BLK_2.jpg")</f>
        <v/>
      </c>
      <c r="N922">
        <f>IMAGE("file:///E:/Estudios%20y%20certificaciones/ESTUDIOS%20DE%20PROGRAMMING/PROGRAMMING/PERSONAL/PYTHON/Image_Generator_API/imagenes/LAUNDRY_BY_DESIGN_121009853_BLK_3.jpg")</f>
        <v/>
      </c>
      <c r="O922">
        <f>HYPERLINK("imagenes/LAUNDRY_BY_DESIGN_121009853_BLK_1.jpg","Ver imagen")</f>
        <v/>
      </c>
      <c r="P922">
        <f>HYPERLINK("imagenes/LAUNDRY_BY_DESIGN_121009853_BLK_2.jpg","Ver imagen")</f>
        <v/>
      </c>
      <c r="Q922">
        <f>HYPERLINK("imagenes/LAUNDRY_BY_DESIGN_121009853_BLK_3.jpg","Ver imagen")</f>
        <v/>
      </c>
    </row>
    <row r="923">
      <c r="A923" t="inlineStr">
        <is>
          <t>LAUNDRY BY DESIGN</t>
        </is>
      </c>
      <c r="B923" t="inlineStr">
        <is>
          <t>121009853</t>
        </is>
      </c>
      <c r="C923" t="inlineStr">
        <is>
          <t>42 SNOWCHIC LONG PUFFER WITH CORD</t>
        </is>
      </c>
      <c r="D923" t="inlineStr">
        <is>
          <t>BLK</t>
        </is>
      </c>
      <c r="E923" t="inlineStr">
        <is>
          <t>(en blanco)</t>
        </is>
      </c>
      <c r="F923" t="inlineStr">
        <is>
          <t>(en blanco)</t>
        </is>
      </c>
      <c r="G923" t="inlineStr">
        <is>
          <t>L</t>
        </is>
      </c>
      <c r="H923" t="n">
        <v>50</v>
      </c>
      <c r="I923" t="inlineStr">
        <is>
          <t>LAUNDRY_BY_DESIGN_121009853_BLK_1.jpg</t>
        </is>
      </c>
      <c r="J923" t="inlineStr">
        <is>
          <t>LAUNDRY_BY_DESIGN_121009853_BLK_2.jpg</t>
        </is>
      </c>
      <c r="K923" t="inlineStr">
        <is>
          <t>LAUNDRY_BY_DESIGN_121009853_BLK_3.jpg</t>
        </is>
      </c>
      <c r="L923">
        <f>IMAGE("file:///E:/Estudios%20y%20certificaciones/ESTUDIOS%20DE%20PROGRAMMING/PROGRAMMING/PERSONAL/PYTHON/Image_Generator_API/imagenes/LAUNDRY_BY_DESIGN_121009853_BLK_1.jpg")</f>
        <v/>
      </c>
      <c r="M923">
        <f>IMAGE("file:///E:/Estudios%20y%20certificaciones/ESTUDIOS%20DE%20PROGRAMMING/PROGRAMMING/PERSONAL/PYTHON/Image_Generator_API/imagenes/LAUNDRY_BY_DESIGN_121009853_BLK_2.jpg")</f>
        <v/>
      </c>
      <c r="N923">
        <f>IMAGE("file:///E:/Estudios%20y%20certificaciones/ESTUDIOS%20DE%20PROGRAMMING/PROGRAMMING/PERSONAL/PYTHON/Image_Generator_API/imagenes/LAUNDRY_BY_DESIGN_121009853_BLK_3.jpg")</f>
        <v/>
      </c>
      <c r="O923">
        <f>HYPERLINK("imagenes/LAUNDRY_BY_DESIGN_121009853_BLK_1.jpg","Ver imagen")</f>
        <v/>
      </c>
      <c r="P923">
        <f>HYPERLINK("imagenes/LAUNDRY_BY_DESIGN_121009853_BLK_2.jpg","Ver imagen")</f>
        <v/>
      </c>
      <c r="Q923">
        <f>HYPERLINK("imagenes/LAUNDRY_BY_DESIGN_121009853_BLK_3.jpg","Ver imagen")</f>
        <v/>
      </c>
    </row>
    <row r="924">
      <c r="A924" t="inlineStr">
        <is>
          <t>LAUNDRY BY DESIGN</t>
        </is>
      </c>
      <c r="B924" t="inlineStr">
        <is>
          <t>121009853</t>
        </is>
      </c>
      <c r="C924" t="inlineStr">
        <is>
          <t>42 SNOWCHIC LONG PUFFER WITH CORD</t>
        </is>
      </c>
      <c r="D924" t="inlineStr">
        <is>
          <t>BLK</t>
        </is>
      </c>
      <c r="E924" t="inlineStr">
        <is>
          <t>(en blanco)</t>
        </is>
      </c>
      <c r="F924" t="inlineStr">
        <is>
          <t>(en blanco)</t>
        </is>
      </c>
      <c r="G924" t="inlineStr">
        <is>
          <t>XL</t>
        </is>
      </c>
      <c r="H924" t="n">
        <v>50</v>
      </c>
      <c r="I924" t="inlineStr">
        <is>
          <t>LAUNDRY_BY_DESIGN_121009853_BLK_1.jpg</t>
        </is>
      </c>
      <c r="J924" t="inlineStr">
        <is>
          <t>LAUNDRY_BY_DESIGN_121009853_BLK_2.jpg</t>
        </is>
      </c>
      <c r="K924" t="inlineStr">
        <is>
          <t>LAUNDRY_BY_DESIGN_121009853_BLK_3.jpg</t>
        </is>
      </c>
      <c r="L924">
        <f>IMAGE("file:///E:/Estudios%20y%20certificaciones/ESTUDIOS%20DE%20PROGRAMMING/PROGRAMMING/PERSONAL/PYTHON/Image_Generator_API/imagenes/LAUNDRY_BY_DESIGN_121009853_BLK_1.jpg")</f>
        <v/>
      </c>
      <c r="M924">
        <f>IMAGE("file:///E:/Estudios%20y%20certificaciones/ESTUDIOS%20DE%20PROGRAMMING/PROGRAMMING/PERSONAL/PYTHON/Image_Generator_API/imagenes/LAUNDRY_BY_DESIGN_121009853_BLK_2.jpg")</f>
        <v/>
      </c>
      <c r="N924">
        <f>IMAGE("file:///E:/Estudios%20y%20certificaciones/ESTUDIOS%20DE%20PROGRAMMING/PROGRAMMING/PERSONAL/PYTHON/Image_Generator_API/imagenes/LAUNDRY_BY_DESIGN_121009853_BLK_3.jpg")</f>
        <v/>
      </c>
      <c r="O924">
        <f>HYPERLINK("imagenes/LAUNDRY_BY_DESIGN_121009853_BLK_1.jpg","Ver imagen")</f>
        <v/>
      </c>
      <c r="P924">
        <f>HYPERLINK("imagenes/LAUNDRY_BY_DESIGN_121009853_BLK_2.jpg","Ver imagen")</f>
        <v/>
      </c>
      <c r="Q924">
        <f>HYPERLINK("imagenes/LAUNDRY_BY_DESIGN_121009853_BLK_3.jpg","Ver imagen")</f>
        <v/>
      </c>
    </row>
    <row r="925">
      <c r="A925" t="inlineStr">
        <is>
          <t>LAUNDRY BY DESIGN</t>
        </is>
      </c>
      <c r="B925" t="inlineStr">
        <is>
          <t>121009853</t>
        </is>
      </c>
      <c r="C925" t="inlineStr">
        <is>
          <t>42 SNOWCHIC LONG PUFFER WITH CORD</t>
        </is>
      </c>
      <c r="D925" t="inlineStr">
        <is>
          <t>BLK</t>
        </is>
      </c>
      <c r="E925" t="inlineStr">
        <is>
          <t>(en blanco)</t>
        </is>
      </c>
      <c r="F925" t="inlineStr">
        <is>
          <t>(en blanco)</t>
        </is>
      </c>
      <c r="G925" t="inlineStr">
        <is>
          <t>XXL</t>
        </is>
      </c>
      <c r="H925" t="n">
        <v>25</v>
      </c>
      <c r="I925" t="inlineStr">
        <is>
          <t>LAUNDRY_BY_DESIGN_121009853_BLK_1.jpg</t>
        </is>
      </c>
      <c r="J925" t="inlineStr">
        <is>
          <t>LAUNDRY_BY_DESIGN_121009853_BLK_2.jpg</t>
        </is>
      </c>
      <c r="K925" t="inlineStr">
        <is>
          <t>LAUNDRY_BY_DESIGN_121009853_BLK_3.jpg</t>
        </is>
      </c>
      <c r="L925">
        <f>IMAGE("file:///E:/Estudios%20y%20certificaciones/ESTUDIOS%20DE%20PROGRAMMING/PROGRAMMING/PERSONAL/PYTHON/Image_Generator_API/imagenes/LAUNDRY_BY_DESIGN_121009853_BLK_1.jpg")</f>
        <v/>
      </c>
      <c r="M925">
        <f>IMAGE("file:///E:/Estudios%20y%20certificaciones/ESTUDIOS%20DE%20PROGRAMMING/PROGRAMMING/PERSONAL/PYTHON/Image_Generator_API/imagenes/LAUNDRY_BY_DESIGN_121009853_BLK_2.jpg")</f>
        <v/>
      </c>
      <c r="N925">
        <f>IMAGE("file:///E:/Estudios%20y%20certificaciones/ESTUDIOS%20DE%20PROGRAMMING/PROGRAMMING/PERSONAL/PYTHON/Image_Generator_API/imagenes/LAUNDRY_BY_DESIGN_121009853_BLK_3.jpg")</f>
        <v/>
      </c>
      <c r="O925">
        <f>HYPERLINK("imagenes/LAUNDRY_BY_DESIGN_121009853_BLK_1.jpg","Ver imagen")</f>
        <v/>
      </c>
      <c r="P925">
        <f>HYPERLINK("imagenes/LAUNDRY_BY_DESIGN_121009853_BLK_2.jpg","Ver imagen")</f>
        <v/>
      </c>
      <c r="Q925">
        <f>HYPERLINK("imagenes/LAUNDRY_BY_DESIGN_121009853_BLK_3.jpg","Ver imagen")</f>
        <v/>
      </c>
    </row>
    <row r="926">
      <c r="A926" t="inlineStr">
        <is>
          <t>LAUNDRY BY DESIGN</t>
        </is>
      </c>
      <c r="B926" t="inlineStr">
        <is>
          <t>121009853</t>
        </is>
      </c>
      <c r="C926" t="inlineStr">
        <is>
          <t>42 SNOWCHIC LONG PUFFER WITH CORD</t>
        </is>
      </c>
      <c r="D926" t="inlineStr">
        <is>
          <t>CHO</t>
        </is>
      </c>
      <c r="E926" t="inlineStr">
        <is>
          <t>06A01</t>
        </is>
      </c>
      <c r="F926" t="inlineStr">
        <is>
          <t>(en blanco)</t>
        </is>
      </c>
      <c r="G926" t="inlineStr">
        <is>
          <t>PPK</t>
        </is>
      </c>
      <c r="H926" t="n">
        <v>1788</v>
      </c>
      <c r="I926" t="inlineStr">
        <is>
          <t>LAUNDRY_BY_DESIGN_121009853_CHO_1.jpg</t>
        </is>
      </c>
      <c r="J926" t="inlineStr">
        <is>
          <t>LAUNDRY_BY_DESIGN_121009853_CHO_2.jpg</t>
        </is>
      </c>
      <c r="K926" t="inlineStr">
        <is>
          <t>LAUNDRY_BY_DESIGN_121009853_CHO_3.jpg</t>
        </is>
      </c>
      <c r="L926">
        <f>IMAGE("file:///E:/Estudios%20y%20certificaciones/ESTUDIOS%20DE%20PROGRAMMING/PROGRAMMING/PERSONAL/PYTHON/Image_Generator_API/imagenes/LAUNDRY_BY_DESIGN_121009853_CHO_1.jpg")</f>
        <v/>
      </c>
      <c r="M926">
        <f>IMAGE("file:///E:/Estudios%20y%20certificaciones/ESTUDIOS%20DE%20PROGRAMMING/PROGRAMMING/PERSONAL/PYTHON/Image_Generator_API/imagenes/LAUNDRY_BY_DESIGN_121009853_CHO_2.jpg")</f>
        <v/>
      </c>
      <c r="N926">
        <f>IMAGE("file:///E:/Estudios%20y%20certificaciones/ESTUDIOS%20DE%20PROGRAMMING/PROGRAMMING/PERSONAL/PYTHON/Image_Generator_API/imagenes/LAUNDRY_BY_DESIGN_121009853_CHO_3.jpg")</f>
        <v/>
      </c>
      <c r="O926">
        <f>HYPERLINK("imagenes/LAUNDRY_BY_DESIGN_121009853_CHO_1.jpg","Ver imagen")</f>
        <v/>
      </c>
      <c r="P926">
        <f>HYPERLINK("imagenes/LAUNDRY_BY_DESIGN_121009853_CHO_2.jpg","Ver imagen")</f>
        <v/>
      </c>
      <c r="Q926">
        <f>HYPERLINK("imagenes/LAUNDRY_BY_DESIGN_121009853_CHO_3.jpg","Ver imagen")</f>
        <v/>
      </c>
    </row>
    <row r="927">
      <c r="A927" t="inlineStr">
        <is>
          <t>LAUNDRY BY DESIGN</t>
        </is>
      </c>
      <c r="B927" t="inlineStr">
        <is>
          <t>121009853</t>
        </is>
      </c>
      <c r="C927" t="inlineStr">
        <is>
          <t>42 SNOWCHIC LONG PUFFER WITH CORD</t>
        </is>
      </c>
      <c r="D927" t="inlineStr">
        <is>
          <t>CHO</t>
        </is>
      </c>
      <c r="E927" t="inlineStr">
        <is>
          <t>(en blanco)</t>
        </is>
      </c>
      <c r="F927" t="inlineStr">
        <is>
          <t>(en blanco)</t>
        </is>
      </c>
      <c r="G927" t="inlineStr">
        <is>
          <t>S</t>
        </is>
      </c>
      <c r="H927" t="n">
        <v>13</v>
      </c>
      <c r="I927" t="inlineStr">
        <is>
          <t>LAUNDRY_BY_DESIGN_121009853_CHO_1.jpg</t>
        </is>
      </c>
      <c r="J927" t="inlineStr">
        <is>
          <t>LAUNDRY_BY_DESIGN_121009853_CHO_2.jpg</t>
        </is>
      </c>
      <c r="K927" t="inlineStr">
        <is>
          <t>LAUNDRY_BY_DESIGN_121009853_CHO_3.jpg</t>
        </is>
      </c>
      <c r="L927">
        <f>IMAGE("file:///E:/Estudios%20y%20certificaciones/ESTUDIOS%20DE%20PROGRAMMING/PROGRAMMING/PERSONAL/PYTHON/Image_Generator_API/imagenes/LAUNDRY_BY_DESIGN_121009853_CHO_1.jpg")</f>
        <v/>
      </c>
      <c r="M927">
        <f>IMAGE("file:///E:/Estudios%20y%20certificaciones/ESTUDIOS%20DE%20PROGRAMMING/PROGRAMMING/PERSONAL/PYTHON/Image_Generator_API/imagenes/LAUNDRY_BY_DESIGN_121009853_CHO_2.jpg")</f>
        <v/>
      </c>
      <c r="N927">
        <f>IMAGE("file:///E:/Estudios%20y%20certificaciones/ESTUDIOS%20DE%20PROGRAMMING/PROGRAMMING/PERSONAL/PYTHON/Image_Generator_API/imagenes/LAUNDRY_BY_DESIGN_121009853_CHO_3.jpg")</f>
        <v/>
      </c>
      <c r="O927">
        <f>HYPERLINK("imagenes/LAUNDRY_BY_DESIGN_121009853_CHO_1.jpg","Ver imagen")</f>
        <v/>
      </c>
      <c r="P927">
        <f>HYPERLINK("imagenes/LAUNDRY_BY_DESIGN_121009853_CHO_2.jpg","Ver imagen")</f>
        <v/>
      </c>
      <c r="Q927">
        <f>HYPERLINK("imagenes/LAUNDRY_BY_DESIGN_121009853_CHO_3.jpg","Ver imagen")</f>
        <v/>
      </c>
    </row>
    <row r="928">
      <c r="A928" t="inlineStr">
        <is>
          <t>LAUNDRY BY DESIGN</t>
        </is>
      </c>
      <c r="B928" t="inlineStr">
        <is>
          <t>121009853</t>
        </is>
      </c>
      <c r="C928" t="inlineStr">
        <is>
          <t>42 SNOWCHIC LONG PUFFER WITH CORD</t>
        </is>
      </c>
      <c r="D928" t="inlineStr">
        <is>
          <t>CHO</t>
        </is>
      </c>
      <c r="E928" t="inlineStr">
        <is>
          <t>(en blanco)</t>
        </is>
      </c>
      <c r="F928" t="inlineStr">
        <is>
          <t>(en blanco)</t>
        </is>
      </c>
      <c r="G928" t="inlineStr">
        <is>
          <t>M</t>
        </is>
      </c>
      <c r="H928" t="n">
        <v>26</v>
      </c>
      <c r="I928" t="inlineStr">
        <is>
          <t>LAUNDRY_BY_DESIGN_121009853_CHO_1.jpg</t>
        </is>
      </c>
      <c r="J928" t="inlineStr">
        <is>
          <t>LAUNDRY_BY_DESIGN_121009853_CHO_2.jpg</t>
        </is>
      </c>
      <c r="K928" t="inlineStr">
        <is>
          <t>LAUNDRY_BY_DESIGN_121009853_CHO_3.jpg</t>
        </is>
      </c>
      <c r="L928">
        <f>IMAGE("file:///E:/Estudios%20y%20certificaciones/ESTUDIOS%20DE%20PROGRAMMING/PROGRAMMING/PERSONAL/PYTHON/Image_Generator_API/imagenes/LAUNDRY_BY_DESIGN_121009853_CHO_1.jpg")</f>
        <v/>
      </c>
      <c r="M928">
        <f>IMAGE("file:///E:/Estudios%20y%20certificaciones/ESTUDIOS%20DE%20PROGRAMMING/PROGRAMMING/PERSONAL/PYTHON/Image_Generator_API/imagenes/LAUNDRY_BY_DESIGN_121009853_CHO_2.jpg")</f>
        <v/>
      </c>
      <c r="N928">
        <f>IMAGE("file:///E:/Estudios%20y%20certificaciones/ESTUDIOS%20DE%20PROGRAMMING/PROGRAMMING/PERSONAL/PYTHON/Image_Generator_API/imagenes/LAUNDRY_BY_DESIGN_121009853_CHO_3.jpg")</f>
        <v/>
      </c>
      <c r="O928">
        <f>HYPERLINK("imagenes/LAUNDRY_BY_DESIGN_121009853_CHO_1.jpg","Ver imagen")</f>
        <v/>
      </c>
      <c r="P928">
        <f>HYPERLINK("imagenes/LAUNDRY_BY_DESIGN_121009853_CHO_2.jpg","Ver imagen")</f>
        <v/>
      </c>
      <c r="Q928">
        <f>HYPERLINK("imagenes/LAUNDRY_BY_DESIGN_121009853_CHO_3.jpg","Ver imagen")</f>
        <v/>
      </c>
    </row>
    <row r="929">
      <c r="A929" t="inlineStr">
        <is>
          <t>LAUNDRY BY DESIGN</t>
        </is>
      </c>
      <c r="B929" t="inlineStr">
        <is>
          <t>121009853</t>
        </is>
      </c>
      <c r="C929" t="inlineStr">
        <is>
          <t>42 SNOWCHIC LONG PUFFER WITH CORD</t>
        </is>
      </c>
      <c r="D929" t="inlineStr">
        <is>
          <t>CHO</t>
        </is>
      </c>
      <c r="E929" t="inlineStr">
        <is>
          <t>(en blanco)</t>
        </is>
      </c>
      <c r="F929" t="inlineStr">
        <is>
          <t>(en blanco)</t>
        </is>
      </c>
      <c r="G929" t="inlineStr">
        <is>
          <t>L</t>
        </is>
      </c>
      <c r="H929" t="n">
        <v>26</v>
      </c>
      <c r="I929" t="inlineStr">
        <is>
          <t>LAUNDRY_BY_DESIGN_121009853_CHO_1.jpg</t>
        </is>
      </c>
      <c r="J929" t="inlineStr">
        <is>
          <t>LAUNDRY_BY_DESIGN_121009853_CHO_2.jpg</t>
        </is>
      </c>
      <c r="K929" t="inlineStr">
        <is>
          <t>LAUNDRY_BY_DESIGN_121009853_CHO_3.jpg</t>
        </is>
      </c>
      <c r="L929">
        <f>IMAGE("file:///E:/Estudios%20y%20certificaciones/ESTUDIOS%20DE%20PROGRAMMING/PROGRAMMING/PERSONAL/PYTHON/Image_Generator_API/imagenes/LAUNDRY_BY_DESIGN_121009853_CHO_1.jpg")</f>
        <v/>
      </c>
      <c r="M929">
        <f>IMAGE("file:///E:/Estudios%20y%20certificaciones/ESTUDIOS%20DE%20PROGRAMMING/PROGRAMMING/PERSONAL/PYTHON/Image_Generator_API/imagenes/LAUNDRY_BY_DESIGN_121009853_CHO_2.jpg")</f>
        <v/>
      </c>
      <c r="N929">
        <f>IMAGE("file:///E:/Estudios%20y%20certificaciones/ESTUDIOS%20DE%20PROGRAMMING/PROGRAMMING/PERSONAL/PYTHON/Image_Generator_API/imagenes/LAUNDRY_BY_DESIGN_121009853_CHO_3.jpg")</f>
        <v/>
      </c>
      <c r="O929">
        <f>HYPERLINK("imagenes/LAUNDRY_BY_DESIGN_121009853_CHO_1.jpg","Ver imagen")</f>
        <v/>
      </c>
      <c r="P929">
        <f>HYPERLINK("imagenes/LAUNDRY_BY_DESIGN_121009853_CHO_2.jpg","Ver imagen")</f>
        <v/>
      </c>
      <c r="Q929">
        <f>HYPERLINK("imagenes/LAUNDRY_BY_DESIGN_121009853_CHO_3.jpg","Ver imagen")</f>
        <v/>
      </c>
    </row>
    <row r="930">
      <c r="A930" t="inlineStr">
        <is>
          <t>LAUNDRY BY DESIGN</t>
        </is>
      </c>
      <c r="B930" t="inlineStr">
        <is>
          <t>121009853</t>
        </is>
      </c>
      <c r="C930" t="inlineStr">
        <is>
          <t>42 SNOWCHIC LONG PUFFER WITH CORD</t>
        </is>
      </c>
      <c r="D930" t="inlineStr">
        <is>
          <t>CHO</t>
        </is>
      </c>
      <c r="E930" t="inlineStr">
        <is>
          <t>(en blanco)</t>
        </is>
      </c>
      <c r="F930" t="inlineStr">
        <is>
          <t>(en blanco)</t>
        </is>
      </c>
      <c r="G930" t="inlineStr">
        <is>
          <t>XL</t>
        </is>
      </c>
      <c r="H930" t="n">
        <v>25</v>
      </c>
      <c r="I930" t="inlineStr">
        <is>
          <t>LAUNDRY_BY_DESIGN_121009853_CHO_1.jpg</t>
        </is>
      </c>
      <c r="J930" t="inlineStr">
        <is>
          <t>LAUNDRY_BY_DESIGN_121009853_CHO_2.jpg</t>
        </is>
      </c>
      <c r="K930" t="inlineStr">
        <is>
          <t>LAUNDRY_BY_DESIGN_121009853_CHO_3.jpg</t>
        </is>
      </c>
      <c r="L930">
        <f>IMAGE("file:///E:/Estudios%20y%20certificaciones/ESTUDIOS%20DE%20PROGRAMMING/PROGRAMMING/PERSONAL/PYTHON/Image_Generator_API/imagenes/LAUNDRY_BY_DESIGN_121009853_CHO_1.jpg")</f>
        <v/>
      </c>
      <c r="M930">
        <f>IMAGE("file:///E:/Estudios%20y%20certificaciones/ESTUDIOS%20DE%20PROGRAMMING/PROGRAMMING/PERSONAL/PYTHON/Image_Generator_API/imagenes/LAUNDRY_BY_DESIGN_121009853_CHO_2.jpg")</f>
        <v/>
      </c>
      <c r="N930">
        <f>IMAGE("file:///E:/Estudios%20y%20certificaciones/ESTUDIOS%20DE%20PROGRAMMING/PROGRAMMING/PERSONAL/PYTHON/Image_Generator_API/imagenes/LAUNDRY_BY_DESIGN_121009853_CHO_3.jpg")</f>
        <v/>
      </c>
      <c r="O930">
        <f>HYPERLINK("imagenes/LAUNDRY_BY_DESIGN_121009853_CHO_1.jpg","Ver imagen")</f>
        <v/>
      </c>
      <c r="P930">
        <f>HYPERLINK("imagenes/LAUNDRY_BY_DESIGN_121009853_CHO_2.jpg","Ver imagen")</f>
        <v/>
      </c>
      <c r="Q930">
        <f>HYPERLINK("imagenes/LAUNDRY_BY_DESIGN_121009853_CHO_3.jpg","Ver imagen")</f>
        <v/>
      </c>
    </row>
    <row r="931">
      <c r="A931" t="inlineStr">
        <is>
          <t>LAUNDRY BY DESIGN</t>
        </is>
      </c>
      <c r="B931" t="inlineStr">
        <is>
          <t>121009853</t>
        </is>
      </c>
      <c r="C931" t="inlineStr">
        <is>
          <t>42 SNOWCHIC LONG PUFFER WITH CORD</t>
        </is>
      </c>
      <c r="D931" t="inlineStr">
        <is>
          <t>CHO</t>
        </is>
      </c>
      <c r="E931" t="inlineStr">
        <is>
          <t>(en blanco)</t>
        </is>
      </c>
      <c r="F931" t="inlineStr">
        <is>
          <t>(en blanco)</t>
        </is>
      </c>
      <c r="G931" t="inlineStr">
        <is>
          <t>XXL</t>
        </is>
      </c>
      <c r="H931" t="n">
        <v>13</v>
      </c>
      <c r="I931" t="inlineStr">
        <is>
          <t>LAUNDRY_BY_DESIGN_121009853_CHO_1.jpg</t>
        </is>
      </c>
      <c r="J931" t="inlineStr">
        <is>
          <t>LAUNDRY_BY_DESIGN_121009853_CHO_2.jpg</t>
        </is>
      </c>
      <c r="K931" t="inlineStr">
        <is>
          <t>LAUNDRY_BY_DESIGN_121009853_CHO_3.jpg</t>
        </is>
      </c>
      <c r="L931">
        <f>IMAGE("file:///E:/Estudios%20y%20certificaciones/ESTUDIOS%20DE%20PROGRAMMING/PROGRAMMING/PERSONAL/PYTHON/Image_Generator_API/imagenes/LAUNDRY_BY_DESIGN_121009853_CHO_1.jpg")</f>
        <v/>
      </c>
      <c r="M931">
        <f>IMAGE("file:///E:/Estudios%20y%20certificaciones/ESTUDIOS%20DE%20PROGRAMMING/PROGRAMMING/PERSONAL/PYTHON/Image_Generator_API/imagenes/LAUNDRY_BY_DESIGN_121009853_CHO_2.jpg")</f>
        <v/>
      </c>
      <c r="N931">
        <f>IMAGE("file:///E:/Estudios%20y%20certificaciones/ESTUDIOS%20DE%20PROGRAMMING/PROGRAMMING/PERSONAL/PYTHON/Image_Generator_API/imagenes/LAUNDRY_BY_DESIGN_121009853_CHO_3.jpg")</f>
        <v/>
      </c>
      <c r="O931">
        <f>HYPERLINK("imagenes/LAUNDRY_BY_DESIGN_121009853_CHO_1.jpg","Ver imagen")</f>
        <v/>
      </c>
      <c r="P931">
        <f>HYPERLINK("imagenes/LAUNDRY_BY_DESIGN_121009853_CHO_2.jpg","Ver imagen")</f>
        <v/>
      </c>
      <c r="Q931">
        <f>HYPERLINK("imagenes/LAUNDRY_BY_DESIGN_121009853_CHO_3.jpg","Ver imagen")</f>
        <v/>
      </c>
    </row>
    <row r="932">
      <c r="A932" t="inlineStr">
        <is>
          <t>LAUNDRY BY DESIGN</t>
        </is>
      </c>
      <c r="B932" t="inlineStr">
        <is>
          <t>121009858</t>
        </is>
      </c>
      <c r="C932" t="inlineStr">
        <is>
          <t>32 SNOWCHIC PUFFER REF 121004097</t>
        </is>
      </c>
      <c r="D932" t="inlineStr">
        <is>
          <t>BLK</t>
        </is>
      </c>
      <c r="E932" t="inlineStr">
        <is>
          <t>(en blanco)</t>
        </is>
      </c>
      <c r="F932" t="inlineStr">
        <is>
          <t>(en blanco)</t>
        </is>
      </c>
      <c r="G932" t="inlineStr">
        <is>
          <t>S</t>
        </is>
      </c>
      <c r="H932" t="n">
        <v>15</v>
      </c>
      <c r="I932" t="inlineStr">
        <is>
          <t>LAUNDRY_BY_DESIGN_121009858_BLK_1.jpg</t>
        </is>
      </c>
      <c r="J932" t="inlineStr">
        <is>
          <t>LAUNDRY_BY_DESIGN_121009858_BLK_2.jpg</t>
        </is>
      </c>
      <c r="K932" t="inlineStr">
        <is>
          <t>LAUNDRY_BY_DESIGN_121009858_BLK_3.jpg</t>
        </is>
      </c>
      <c r="L932">
        <f>IMAGE("file:///E:/Estudios%20y%20certificaciones/ESTUDIOS%20DE%20PROGRAMMING/PROGRAMMING/PERSONAL/PYTHON/Image_Generator_API/imagenes/LAUNDRY_BY_DESIGN_121009858_BLK_1.jpg")</f>
        <v/>
      </c>
      <c r="M932">
        <f>IMAGE("file:///E:/Estudios%20y%20certificaciones/ESTUDIOS%20DE%20PROGRAMMING/PROGRAMMING/PERSONAL/PYTHON/Image_Generator_API/imagenes/LAUNDRY_BY_DESIGN_121009858_BLK_2.jpg")</f>
        <v/>
      </c>
      <c r="N932">
        <f>IMAGE("file:///E:/Estudios%20y%20certificaciones/ESTUDIOS%20DE%20PROGRAMMING/PROGRAMMING/PERSONAL/PYTHON/Image_Generator_API/imagenes/LAUNDRY_BY_DESIGN_121009858_BLK_3.jpg")</f>
        <v/>
      </c>
      <c r="O932">
        <f>HYPERLINK("imagenes/LAUNDRY_BY_DESIGN_121009858_BLK_1.jpg","Ver imagen")</f>
        <v/>
      </c>
      <c r="P932">
        <f>HYPERLINK("imagenes/LAUNDRY_BY_DESIGN_121009858_BLK_2.jpg","Ver imagen")</f>
        <v/>
      </c>
      <c r="Q932">
        <f>HYPERLINK("imagenes/LAUNDRY_BY_DESIGN_121009858_BLK_3.jpg","Ver imagen")</f>
        <v/>
      </c>
    </row>
    <row r="933">
      <c r="A933" t="inlineStr">
        <is>
          <t>LAUNDRY BY DESIGN</t>
        </is>
      </c>
      <c r="B933" t="inlineStr">
        <is>
          <t>121009858</t>
        </is>
      </c>
      <c r="C933" t="inlineStr">
        <is>
          <t>32 SNOWCHIC PUFFER REF 121004097</t>
        </is>
      </c>
      <c r="D933" t="inlineStr">
        <is>
          <t>BLK</t>
        </is>
      </c>
      <c r="E933" t="inlineStr">
        <is>
          <t>(en blanco)</t>
        </is>
      </c>
      <c r="F933" t="inlineStr">
        <is>
          <t>(en blanco)</t>
        </is>
      </c>
      <c r="G933" t="inlineStr">
        <is>
          <t>M</t>
        </is>
      </c>
      <c r="H933" t="n">
        <v>38</v>
      </c>
      <c r="I933" t="inlineStr">
        <is>
          <t>LAUNDRY_BY_DESIGN_121009858_BLK_1.jpg</t>
        </is>
      </c>
      <c r="J933" t="inlineStr">
        <is>
          <t>LAUNDRY_BY_DESIGN_121009858_BLK_2.jpg</t>
        </is>
      </c>
      <c r="K933" t="inlineStr">
        <is>
          <t>LAUNDRY_BY_DESIGN_121009858_BLK_3.jpg</t>
        </is>
      </c>
      <c r="L933">
        <f>IMAGE("file:///E:/Estudios%20y%20certificaciones/ESTUDIOS%20DE%20PROGRAMMING/PROGRAMMING/PERSONAL/PYTHON/Image_Generator_API/imagenes/LAUNDRY_BY_DESIGN_121009858_BLK_1.jpg")</f>
        <v/>
      </c>
      <c r="M933">
        <f>IMAGE("file:///E:/Estudios%20y%20certificaciones/ESTUDIOS%20DE%20PROGRAMMING/PROGRAMMING/PERSONAL/PYTHON/Image_Generator_API/imagenes/LAUNDRY_BY_DESIGN_121009858_BLK_2.jpg")</f>
        <v/>
      </c>
      <c r="N933">
        <f>IMAGE("file:///E:/Estudios%20y%20certificaciones/ESTUDIOS%20DE%20PROGRAMMING/PROGRAMMING/PERSONAL/PYTHON/Image_Generator_API/imagenes/LAUNDRY_BY_DESIGN_121009858_BLK_3.jpg")</f>
        <v/>
      </c>
      <c r="O933">
        <f>HYPERLINK("imagenes/LAUNDRY_BY_DESIGN_121009858_BLK_1.jpg","Ver imagen")</f>
        <v/>
      </c>
      <c r="P933">
        <f>HYPERLINK("imagenes/LAUNDRY_BY_DESIGN_121009858_BLK_2.jpg","Ver imagen")</f>
        <v/>
      </c>
      <c r="Q933">
        <f>HYPERLINK("imagenes/LAUNDRY_BY_DESIGN_121009858_BLK_3.jpg","Ver imagen")</f>
        <v/>
      </c>
    </row>
    <row r="934">
      <c r="A934" t="inlineStr">
        <is>
          <t>LAUNDRY BY DESIGN</t>
        </is>
      </c>
      <c r="B934" t="inlineStr">
        <is>
          <t>121009858</t>
        </is>
      </c>
      <c r="C934" t="inlineStr">
        <is>
          <t>32 SNOWCHIC PUFFER REF 121004097</t>
        </is>
      </c>
      <c r="D934" t="inlineStr">
        <is>
          <t>BLK</t>
        </is>
      </c>
      <c r="E934" t="inlineStr">
        <is>
          <t>(en blanco)</t>
        </is>
      </c>
      <c r="F934" t="inlineStr">
        <is>
          <t>(en blanco)</t>
        </is>
      </c>
      <c r="G934" t="inlineStr">
        <is>
          <t>L</t>
        </is>
      </c>
      <c r="H934" t="n">
        <v>37</v>
      </c>
      <c r="I934" t="inlineStr">
        <is>
          <t>LAUNDRY_BY_DESIGN_121009858_BLK_1.jpg</t>
        </is>
      </c>
      <c r="J934" t="inlineStr">
        <is>
          <t>LAUNDRY_BY_DESIGN_121009858_BLK_2.jpg</t>
        </is>
      </c>
      <c r="K934" t="inlineStr">
        <is>
          <t>LAUNDRY_BY_DESIGN_121009858_BLK_3.jpg</t>
        </is>
      </c>
      <c r="L934">
        <f>IMAGE("file:///E:/Estudios%20y%20certificaciones/ESTUDIOS%20DE%20PROGRAMMING/PROGRAMMING/PERSONAL/PYTHON/Image_Generator_API/imagenes/LAUNDRY_BY_DESIGN_121009858_BLK_1.jpg")</f>
        <v/>
      </c>
      <c r="M934">
        <f>IMAGE("file:///E:/Estudios%20y%20certificaciones/ESTUDIOS%20DE%20PROGRAMMING/PROGRAMMING/PERSONAL/PYTHON/Image_Generator_API/imagenes/LAUNDRY_BY_DESIGN_121009858_BLK_2.jpg")</f>
        <v/>
      </c>
      <c r="N934">
        <f>IMAGE("file:///E:/Estudios%20y%20certificaciones/ESTUDIOS%20DE%20PROGRAMMING/PROGRAMMING/PERSONAL/PYTHON/Image_Generator_API/imagenes/LAUNDRY_BY_DESIGN_121009858_BLK_3.jpg")</f>
        <v/>
      </c>
      <c r="O934">
        <f>HYPERLINK("imagenes/LAUNDRY_BY_DESIGN_121009858_BLK_1.jpg","Ver imagen")</f>
        <v/>
      </c>
      <c r="P934">
        <f>HYPERLINK("imagenes/LAUNDRY_BY_DESIGN_121009858_BLK_2.jpg","Ver imagen")</f>
        <v/>
      </c>
      <c r="Q934">
        <f>HYPERLINK("imagenes/LAUNDRY_BY_DESIGN_121009858_BLK_3.jpg","Ver imagen")</f>
        <v/>
      </c>
    </row>
    <row r="935">
      <c r="A935" t="inlineStr">
        <is>
          <t>LAUNDRY BY DESIGN</t>
        </is>
      </c>
      <c r="B935" t="inlineStr">
        <is>
          <t>121009858</t>
        </is>
      </c>
      <c r="C935" t="inlineStr">
        <is>
          <t>32 SNOWCHIC PUFFER REF 121004097</t>
        </is>
      </c>
      <c r="D935" t="inlineStr">
        <is>
          <t>BLK</t>
        </is>
      </c>
      <c r="E935" t="inlineStr">
        <is>
          <t>(en blanco)</t>
        </is>
      </c>
      <c r="F935" t="inlineStr">
        <is>
          <t>(en blanco)</t>
        </is>
      </c>
      <c r="G935" t="inlineStr">
        <is>
          <t>XL</t>
        </is>
      </c>
      <c r="H935" t="n">
        <v>41</v>
      </c>
      <c r="I935" t="inlineStr">
        <is>
          <t>LAUNDRY_BY_DESIGN_121009858_BLK_1.jpg</t>
        </is>
      </c>
      <c r="J935" t="inlineStr">
        <is>
          <t>LAUNDRY_BY_DESIGN_121009858_BLK_2.jpg</t>
        </is>
      </c>
      <c r="K935" t="inlineStr">
        <is>
          <t>LAUNDRY_BY_DESIGN_121009858_BLK_3.jpg</t>
        </is>
      </c>
      <c r="L935">
        <f>IMAGE("file:///E:/Estudios%20y%20certificaciones/ESTUDIOS%20DE%20PROGRAMMING/PROGRAMMING/PERSONAL/PYTHON/Image_Generator_API/imagenes/LAUNDRY_BY_DESIGN_121009858_BLK_1.jpg")</f>
        <v/>
      </c>
      <c r="M935">
        <f>IMAGE("file:///E:/Estudios%20y%20certificaciones/ESTUDIOS%20DE%20PROGRAMMING/PROGRAMMING/PERSONAL/PYTHON/Image_Generator_API/imagenes/LAUNDRY_BY_DESIGN_121009858_BLK_2.jpg")</f>
        <v/>
      </c>
      <c r="N935">
        <f>IMAGE("file:///E:/Estudios%20y%20certificaciones/ESTUDIOS%20DE%20PROGRAMMING/PROGRAMMING/PERSONAL/PYTHON/Image_Generator_API/imagenes/LAUNDRY_BY_DESIGN_121009858_BLK_3.jpg")</f>
        <v/>
      </c>
      <c r="O935">
        <f>HYPERLINK("imagenes/LAUNDRY_BY_DESIGN_121009858_BLK_1.jpg","Ver imagen")</f>
        <v/>
      </c>
      <c r="P935">
        <f>HYPERLINK("imagenes/LAUNDRY_BY_DESIGN_121009858_BLK_2.jpg","Ver imagen")</f>
        <v/>
      </c>
      <c r="Q935">
        <f>HYPERLINK("imagenes/LAUNDRY_BY_DESIGN_121009858_BLK_3.jpg","Ver imagen")</f>
        <v/>
      </c>
    </row>
    <row r="936">
      <c r="A936" t="inlineStr">
        <is>
          <t>LAUNDRY BY DESIGN</t>
        </is>
      </c>
      <c r="B936" t="inlineStr">
        <is>
          <t>121009858</t>
        </is>
      </c>
      <c r="C936" t="inlineStr">
        <is>
          <t>32 SNOWCHIC PUFFER REF 121004097</t>
        </is>
      </c>
      <c r="D936" t="inlineStr">
        <is>
          <t>BLK</t>
        </is>
      </c>
      <c r="E936" t="inlineStr">
        <is>
          <t>(en blanco)</t>
        </is>
      </c>
      <c r="F936" t="inlineStr">
        <is>
          <t>(en blanco)</t>
        </is>
      </c>
      <c r="G936" t="inlineStr">
        <is>
          <t>XXL</t>
        </is>
      </c>
      <c r="H936" t="n">
        <v>22</v>
      </c>
      <c r="I936" t="inlineStr">
        <is>
          <t>LAUNDRY_BY_DESIGN_121009858_BLK_1.jpg</t>
        </is>
      </c>
      <c r="J936" t="inlineStr">
        <is>
          <t>LAUNDRY_BY_DESIGN_121009858_BLK_2.jpg</t>
        </is>
      </c>
      <c r="K936" t="inlineStr">
        <is>
          <t>LAUNDRY_BY_DESIGN_121009858_BLK_3.jpg</t>
        </is>
      </c>
      <c r="L936">
        <f>IMAGE("file:///E:/Estudios%20y%20certificaciones/ESTUDIOS%20DE%20PROGRAMMING/PROGRAMMING/PERSONAL/PYTHON/Image_Generator_API/imagenes/LAUNDRY_BY_DESIGN_121009858_BLK_1.jpg")</f>
        <v/>
      </c>
      <c r="M936">
        <f>IMAGE("file:///E:/Estudios%20y%20certificaciones/ESTUDIOS%20DE%20PROGRAMMING/PROGRAMMING/PERSONAL/PYTHON/Image_Generator_API/imagenes/LAUNDRY_BY_DESIGN_121009858_BLK_2.jpg")</f>
        <v/>
      </c>
      <c r="N936">
        <f>IMAGE("file:///E:/Estudios%20y%20certificaciones/ESTUDIOS%20DE%20PROGRAMMING/PROGRAMMING/PERSONAL/PYTHON/Image_Generator_API/imagenes/LAUNDRY_BY_DESIGN_121009858_BLK_3.jpg")</f>
        <v/>
      </c>
      <c r="O936">
        <f>HYPERLINK("imagenes/LAUNDRY_BY_DESIGN_121009858_BLK_1.jpg","Ver imagen")</f>
        <v/>
      </c>
      <c r="P936">
        <f>HYPERLINK("imagenes/LAUNDRY_BY_DESIGN_121009858_BLK_2.jpg","Ver imagen")</f>
        <v/>
      </c>
      <c r="Q936">
        <f>HYPERLINK("imagenes/LAUNDRY_BY_DESIGN_121009858_BLK_3.jpg","Ver imagen")</f>
        <v/>
      </c>
    </row>
    <row r="937">
      <c r="A937" t="inlineStr">
        <is>
          <t>LAUNDRY BY DESIGN</t>
        </is>
      </c>
      <c r="B937" t="inlineStr">
        <is>
          <t>121009858</t>
        </is>
      </c>
      <c r="C937" t="inlineStr">
        <is>
          <t>32 SNOWCHIC PUFFER REF 121004097</t>
        </is>
      </c>
      <c r="D937" t="inlineStr">
        <is>
          <t>CHO</t>
        </is>
      </c>
      <c r="E937" t="inlineStr">
        <is>
          <t>06A01</t>
        </is>
      </c>
      <c r="F937" t="inlineStr">
        <is>
          <t>(en blanco)</t>
        </is>
      </c>
      <c r="G937" t="inlineStr">
        <is>
          <t>PPK</t>
        </is>
      </c>
      <c r="H937" t="n">
        <v>672</v>
      </c>
      <c r="I937" t="inlineStr">
        <is>
          <t>LAUNDRY_BY_DESIGN_121009858_CHO_1.jpg</t>
        </is>
      </c>
      <c r="J937" t="inlineStr">
        <is>
          <t>LAUNDRY_BY_DESIGN_121009858_CHO_2.jpg</t>
        </is>
      </c>
      <c r="K937" t="inlineStr">
        <is>
          <t>LAUNDRY_BY_DESIGN_121009858_CHO_3.jpg</t>
        </is>
      </c>
      <c r="L937">
        <f>IMAGE("file:///E:/Estudios%20y%20certificaciones/ESTUDIOS%20DE%20PROGRAMMING/PROGRAMMING/PERSONAL/PYTHON/Image_Generator_API/imagenes/LAUNDRY_BY_DESIGN_121009858_CHO_1.jpg")</f>
        <v/>
      </c>
      <c r="M937">
        <f>IMAGE("file:///E:/Estudios%20y%20certificaciones/ESTUDIOS%20DE%20PROGRAMMING/PROGRAMMING/PERSONAL/PYTHON/Image_Generator_API/imagenes/LAUNDRY_BY_DESIGN_121009858_CHO_2.jpg")</f>
        <v/>
      </c>
      <c r="N937">
        <f>IMAGE("file:///E:/Estudios%20y%20certificaciones/ESTUDIOS%20DE%20PROGRAMMING/PROGRAMMING/PERSONAL/PYTHON/Image_Generator_API/imagenes/LAUNDRY_BY_DESIGN_121009858_CHO_3.jpg")</f>
        <v/>
      </c>
      <c r="O937">
        <f>HYPERLINK("imagenes/LAUNDRY_BY_DESIGN_121009858_CHO_1.jpg","Ver imagen")</f>
        <v/>
      </c>
      <c r="P937">
        <f>HYPERLINK("imagenes/LAUNDRY_BY_DESIGN_121009858_CHO_2.jpg","Ver imagen")</f>
        <v/>
      </c>
      <c r="Q937">
        <f>HYPERLINK("imagenes/LAUNDRY_BY_DESIGN_121009858_CHO_3.jpg","Ver imagen")</f>
        <v/>
      </c>
    </row>
    <row r="938">
      <c r="A938" t="inlineStr">
        <is>
          <t>LAUNDRY BY DESIGN</t>
        </is>
      </c>
      <c r="B938" t="inlineStr">
        <is>
          <t>121009858</t>
        </is>
      </c>
      <c r="C938" t="inlineStr">
        <is>
          <t>32 SNOWCHIC PUFFER REF 121004097</t>
        </is>
      </c>
      <c r="D938" t="inlineStr">
        <is>
          <t>CHO</t>
        </is>
      </c>
      <c r="E938" t="inlineStr">
        <is>
          <t>(en blanco)</t>
        </is>
      </c>
      <c r="F938" t="inlineStr">
        <is>
          <t>(en blanco)</t>
        </is>
      </c>
      <c r="G938" t="inlineStr">
        <is>
          <t>S</t>
        </is>
      </c>
      <c r="H938" t="n">
        <v>1</v>
      </c>
      <c r="I938" t="inlineStr">
        <is>
          <t>LAUNDRY_BY_DESIGN_121009858_CHO_1.jpg</t>
        </is>
      </c>
      <c r="J938" t="inlineStr">
        <is>
          <t>LAUNDRY_BY_DESIGN_121009858_CHO_2.jpg</t>
        </is>
      </c>
      <c r="K938" t="inlineStr">
        <is>
          <t>LAUNDRY_BY_DESIGN_121009858_CHO_3.jpg</t>
        </is>
      </c>
      <c r="L938">
        <f>IMAGE("file:///E:/Estudios%20y%20certificaciones/ESTUDIOS%20DE%20PROGRAMMING/PROGRAMMING/PERSONAL/PYTHON/Image_Generator_API/imagenes/LAUNDRY_BY_DESIGN_121009858_CHO_1.jpg")</f>
        <v/>
      </c>
      <c r="M938">
        <f>IMAGE("file:///E:/Estudios%20y%20certificaciones/ESTUDIOS%20DE%20PROGRAMMING/PROGRAMMING/PERSONAL/PYTHON/Image_Generator_API/imagenes/LAUNDRY_BY_DESIGN_121009858_CHO_2.jpg")</f>
        <v/>
      </c>
      <c r="N938">
        <f>IMAGE("file:///E:/Estudios%20y%20certificaciones/ESTUDIOS%20DE%20PROGRAMMING/PROGRAMMING/PERSONAL/PYTHON/Image_Generator_API/imagenes/LAUNDRY_BY_DESIGN_121009858_CHO_3.jpg")</f>
        <v/>
      </c>
      <c r="O938">
        <f>HYPERLINK("imagenes/LAUNDRY_BY_DESIGN_121009858_CHO_1.jpg","Ver imagen")</f>
        <v/>
      </c>
      <c r="P938">
        <f>HYPERLINK("imagenes/LAUNDRY_BY_DESIGN_121009858_CHO_2.jpg","Ver imagen")</f>
        <v/>
      </c>
      <c r="Q938">
        <f>HYPERLINK("imagenes/LAUNDRY_BY_DESIGN_121009858_CHO_3.jpg","Ver imagen")</f>
        <v/>
      </c>
    </row>
    <row r="939">
      <c r="A939" t="inlineStr">
        <is>
          <t>LAUNDRY BY DESIGN</t>
        </is>
      </c>
      <c r="B939" t="inlineStr">
        <is>
          <t>121009858</t>
        </is>
      </c>
      <c r="C939" t="inlineStr">
        <is>
          <t>32 SNOWCHIC PUFFER REF 121004097</t>
        </is>
      </c>
      <c r="D939" t="inlineStr">
        <is>
          <t>CHO</t>
        </is>
      </c>
      <c r="E939" t="inlineStr">
        <is>
          <t>(en blanco)</t>
        </is>
      </c>
      <c r="F939" t="inlineStr">
        <is>
          <t>(en blanco)</t>
        </is>
      </c>
      <c r="G939" t="inlineStr">
        <is>
          <t>M</t>
        </is>
      </c>
      <c r="H939" t="n">
        <v>23</v>
      </c>
      <c r="I939" t="inlineStr">
        <is>
          <t>LAUNDRY_BY_DESIGN_121009858_CHO_1.jpg</t>
        </is>
      </c>
      <c r="J939" t="inlineStr">
        <is>
          <t>LAUNDRY_BY_DESIGN_121009858_CHO_2.jpg</t>
        </is>
      </c>
      <c r="K939" t="inlineStr">
        <is>
          <t>LAUNDRY_BY_DESIGN_121009858_CHO_3.jpg</t>
        </is>
      </c>
      <c r="L939">
        <f>IMAGE("file:///E:/Estudios%20y%20certificaciones/ESTUDIOS%20DE%20PROGRAMMING/PROGRAMMING/PERSONAL/PYTHON/Image_Generator_API/imagenes/LAUNDRY_BY_DESIGN_121009858_CHO_1.jpg")</f>
        <v/>
      </c>
      <c r="M939">
        <f>IMAGE("file:///E:/Estudios%20y%20certificaciones/ESTUDIOS%20DE%20PROGRAMMING/PROGRAMMING/PERSONAL/PYTHON/Image_Generator_API/imagenes/LAUNDRY_BY_DESIGN_121009858_CHO_2.jpg")</f>
        <v/>
      </c>
      <c r="N939">
        <f>IMAGE("file:///E:/Estudios%20y%20certificaciones/ESTUDIOS%20DE%20PROGRAMMING/PROGRAMMING/PERSONAL/PYTHON/Image_Generator_API/imagenes/LAUNDRY_BY_DESIGN_121009858_CHO_3.jpg")</f>
        <v/>
      </c>
      <c r="O939">
        <f>HYPERLINK("imagenes/LAUNDRY_BY_DESIGN_121009858_CHO_1.jpg","Ver imagen")</f>
        <v/>
      </c>
      <c r="P939">
        <f>HYPERLINK("imagenes/LAUNDRY_BY_DESIGN_121009858_CHO_2.jpg","Ver imagen")</f>
        <v/>
      </c>
      <c r="Q939">
        <f>HYPERLINK("imagenes/LAUNDRY_BY_DESIGN_121009858_CHO_3.jpg","Ver imagen")</f>
        <v/>
      </c>
    </row>
    <row r="940">
      <c r="A940" t="inlineStr">
        <is>
          <t>LAUNDRY BY DESIGN</t>
        </is>
      </c>
      <c r="B940" t="inlineStr">
        <is>
          <t>121009858</t>
        </is>
      </c>
      <c r="C940" t="inlineStr">
        <is>
          <t>32 SNOWCHIC PUFFER REF 121004097</t>
        </is>
      </c>
      <c r="D940" t="inlineStr">
        <is>
          <t>CHO</t>
        </is>
      </c>
      <c r="E940" t="inlineStr">
        <is>
          <t>(en blanco)</t>
        </is>
      </c>
      <c r="F940" t="inlineStr">
        <is>
          <t>(en blanco)</t>
        </is>
      </c>
      <c r="G940" t="inlineStr">
        <is>
          <t>L</t>
        </is>
      </c>
      <c r="H940" t="n">
        <v>22</v>
      </c>
      <c r="I940" t="inlineStr">
        <is>
          <t>LAUNDRY_BY_DESIGN_121009858_CHO_1.jpg</t>
        </is>
      </c>
      <c r="J940" t="inlineStr">
        <is>
          <t>LAUNDRY_BY_DESIGN_121009858_CHO_2.jpg</t>
        </is>
      </c>
      <c r="K940" t="inlineStr">
        <is>
          <t>LAUNDRY_BY_DESIGN_121009858_CHO_3.jpg</t>
        </is>
      </c>
      <c r="L940">
        <f>IMAGE("file:///E:/Estudios%20y%20certificaciones/ESTUDIOS%20DE%20PROGRAMMING/PROGRAMMING/PERSONAL/PYTHON/Image_Generator_API/imagenes/LAUNDRY_BY_DESIGN_121009858_CHO_1.jpg")</f>
        <v/>
      </c>
      <c r="M940">
        <f>IMAGE("file:///E:/Estudios%20y%20certificaciones/ESTUDIOS%20DE%20PROGRAMMING/PROGRAMMING/PERSONAL/PYTHON/Image_Generator_API/imagenes/LAUNDRY_BY_DESIGN_121009858_CHO_2.jpg")</f>
        <v/>
      </c>
      <c r="N940">
        <f>IMAGE("file:///E:/Estudios%20y%20certificaciones/ESTUDIOS%20DE%20PROGRAMMING/PROGRAMMING/PERSONAL/PYTHON/Image_Generator_API/imagenes/LAUNDRY_BY_DESIGN_121009858_CHO_3.jpg")</f>
        <v/>
      </c>
      <c r="O940">
        <f>HYPERLINK("imagenes/LAUNDRY_BY_DESIGN_121009858_CHO_1.jpg","Ver imagen")</f>
        <v/>
      </c>
      <c r="P940">
        <f>HYPERLINK("imagenes/LAUNDRY_BY_DESIGN_121009858_CHO_2.jpg","Ver imagen")</f>
        <v/>
      </c>
      <c r="Q940">
        <f>HYPERLINK("imagenes/LAUNDRY_BY_DESIGN_121009858_CHO_3.jpg","Ver imagen")</f>
        <v/>
      </c>
    </row>
    <row r="941">
      <c r="A941" t="inlineStr">
        <is>
          <t>LAUNDRY BY DESIGN</t>
        </is>
      </c>
      <c r="B941" t="inlineStr">
        <is>
          <t>121009858</t>
        </is>
      </c>
      <c r="C941" t="inlineStr">
        <is>
          <t>32 SNOWCHIC PUFFER REF 121004097</t>
        </is>
      </c>
      <c r="D941" t="inlineStr">
        <is>
          <t>CHO</t>
        </is>
      </c>
      <c r="E941" t="inlineStr">
        <is>
          <t>(en blanco)</t>
        </is>
      </c>
      <c r="F941" t="inlineStr">
        <is>
          <t>(en blanco)</t>
        </is>
      </c>
      <c r="G941" t="inlineStr">
        <is>
          <t>XL</t>
        </is>
      </c>
      <c r="H941" t="n">
        <v>23</v>
      </c>
      <c r="I941" t="inlineStr">
        <is>
          <t>LAUNDRY_BY_DESIGN_121009858_CHO_1.jpg</t>
        </is>
      </c>
      <c r="J941" t="inlineStr">
        <is>
          <t>LAUNDRY_BY_DESIGN_121009858_CHO_2.jpg</t>
        </is>
      </c>
      <c r="K941" t="inlineStr">
        <is>
          <t>LAUNDRY_BY_DESIGN_121009858_CHO_3.jpg</t>
        </is>
      </c>
      <c r="L941">
        <f>IMAGE("file:///E:/Estudios%20y%20certificaciones/ESTUDIOS%20DE%20PROGRAMMING/PROGRAMMING/PERSONAL/PYTHON/Image_Generator_API/imagenes/LAUNDRY_BY_DESIGN_121009858_CHO_1.jpg")</f>
        <v/>
      </c>
      <c r="M941">
        <f>IMAGE("file:///E:/Estudios%20y%20certificaciones/ESTUDIOS%20DE%20PROGRAMMING/PROGRAMMING/PERSONAL/PYTHON/Image_Generator_API/imagenes/LAUNDRY_BY_DESIGN_121009858_CHO_2.jpg")</f>
        <v/>
      </c>
      <c r="N941">
        <f>IMAGE("file:///E:/Estudios%20y%20certificaciones/ESTUDIOS%20DE%20PROGRAMMING/PROGRAMMING/PERSONAL/PYTHON/Image_Generator_API/imagenes/LAUNDRY_BY_DESIGN_121009858_CHO_3.jpg")</f>
        <v/>
      </c>
      <c r="O941">
        <f>HYPERLINK("imagenes/LAUNDRY_BY_DESIGN_121009858_CHO_1.jpg","Ver imagen")</f>
        <v/>
      </c>
      <c r="P941">
        <f>HYPERLINK("imagenes/LAUNDRY_BY_DESIGN_121009858_CHO_2.jpg","Ver imagen")</f>
        <v/>
      </c>
      <c r="Q941">
        <f>HYPERLINK("imagenes/LAUNDRY_BY_DESIGN_121009858_CHO_3.jpg","Ver imagen")</f>
        <v/>
      </c>
    </row>
    <row r="942">
      <c r="A942" t="inlineStr">
        <is>
          <t>LAUNDRY BY DESIGN</t>
        </is>
      </c>
      <c r="B942" t="inlineStr">
        <is>
          <t>121009858</t>
        </is>
      </c>
      <c r="C942" t="inlineStr">
        <is>
          <t>32 SNOWCHIC PUFFER REF 121004097</t>
        </is>
      </c>
      <c r="D942" t="inlineStr">
        <is>
          <t>CHO</t>
        </is>
      </c>
      <c r="E942" t="inlineStr">
        <is>
          <t>(en blanco)</t>
        </is>
      </c>
      <c r="F942" t="inlineStr">
        <is>
          <t>(en blanco)</t>
        </is>
      </c>
      <c r="G942" t="inlineStr">
        <is>
          <t>XXL</t>
        </is>
      </c>
      <c r="H942" t="n">
        <v>2</v>
      </c>
      <c r="I942" t="inlineStr">
        <is>
          <t>LAUNDRY_BY_DESIGN_121009858_CHO_1.jpg</t>
        </is>
      </c>
      <c r="J942" t="inlineStr">
        <is>
          <t>LAUNDRY_BY_DESIGN_121009858_CHO_2.jpg</t>
        </is>
      </c>
      <c r="K942" t="inlineStr">
        <is>
          <t>LAUNDRY_BY_DESIGN_121009858_CHO_3.jpg</t>
        </is>
      </c>
      <c r="L942">
        <f>IMAGE("file:///E:/Estudios%20y%20certificaciones/ESTUDIOS%20DE%20PROGRAMMING/PROGRAMMING/PERSONAL/PYTHON/Image_Generator_API/imagenes/LAUNDRY_BY_DESIGN_121009858_CHO_1.jpg")</f>
        <v/>
      </c>
      <c r="M942">
        <f>IMAGE("file:///E:/Estudios%20y%20certificaciones/ESTUDIOS%20DE%20PROGRAMMING/PROGRAMMING/PERSONAL/PYTHON/Image_Generator_API/imagenes/LAUNDRY_BY_DESIGN_121009858_CHO_2.jpg")</f>
        <v/>
      </c>
      <c r="N942">
        <f>IMAGE("file:///E:/Estudios%20y%20certificaciones/ESTUDIOS%20DE%20PROGRAMMING/PROGRAMMING/PERSONAL/PYTHON/Image_Generator_API/imagenes/LAUNDRY_BY_DESIGN_121009858_CHO_3.jpg")</f>
        <v/>
      </c>
      <c r="O942">
        <f>HYPERLINK("imagenes/LAUNDRY_BY_DESIGN_121009858_CHO_1.jpg","Ver imagen")</f>
        <v/>
      </c>
      <c r="P942">
        <f>HYPERLINK("imagenes/LAUNDRY_BY_DESIGN_121009858_CHO_2.jpg","Ver imagen")</f>
        <v/>
      </c>
      <c r="Q942">
        <f>HYPERLINK("imagenes/LAUNDRY_BY_DESIGN_121009858_CHO_3.jpg","Ver imagen")</f>
        <v/>
      </c>
    </row>
    <row r="943">
      <c r="A943" t="inlineStr">
        <is>
          <t>LAUNDRY BY DESIGN</t>
        </is>
      </c>
      <c r="B943" t="inlineStr">
        <is>
          <t>121009858</t>
        </is>
      </c>
      <c r="C943" t="inlineStr">
        <is>
          <t>32 SNOWCHIC PUFFER REF 121004097</t>
        </is>
      </c>
      <c r="D943" t="inlineStr">
        <is>
          <t>DES</t>
        </is>
      </c>
      <c r="E943" t="inlineStr">
        <is>
          <t>06A01</t>
        </is>
      </c>
      <c r="F943" t="inlineStr">
        <is>
          <t>(en blanco)</t>
        </is>
      </c>
      <c r="G943" t="inlineStr">
        <is>
          <t>PPK</t>
        </is>
      </c>
      <c r="H943" t="n">
        <v>1866</v>
      </c>
      <c r="I943" t="inlineStr">
        <is>
          <t>LAUNDRY_BY_DESIGN_121009858_DES_1.jpg</t>
        </is>
      </c>
      <c r="J943" t="inlineStr">
        <is>
          <t>LAUNDRY_BY_DESIGN_121009858_DES_2.jpg</t>
        </is>
      </c>
      <c r="K943" t="inlineStr">
        <is>
          <t>LAUNDRY_BY_DESIGN_121009858_DES_3.jpg</t>
        </is>
      </c>
      <c r="L943">
        <f>IMAGE("file:///E:/Estudios%20y%20certificaciones/ESTUDIOS%20DE%20PROGRAMMING/PROGRAMMING/PERSONAL/PYTHON/Image_Generator_API/imagenes/LAUNDRY_BY_DESIGN_121009858_DES_1.jpg")</f>
        <v/>
      </c>
      <c r="M943">
        <f>IMAGE("file:///E:/Estudios%20y%20certificaciones/ESTUDIOS%20DE%20PROGRAMMING/PROGRAMMING/PERSONAL/PYTHON/Image_Generator_API/imagenes/LAUNDRY_BY_DESIGN_121009858_DES_2.jpg")</f>
        <v/>
      </c>
      <c r="N943">
        <f>IMAGE("file:///E:/Estudios%20y%20certificaciones/ESTUDIOS%20DE%20PROGRAMMING/PROGRAMMING/PERSONAL/PYTHON/Image_Generator_API/imagenes/LAUNDRY_BY_DESIGN_121009858_DES_3.jpg")</f>
        <v/>
      </c>
      <c r="O943">
        <f>HYPERLINK("imagenes/LAUNDRY_BY_DESIGN_121009858_DES_1.jpg","Ver imagen")</f>
        <v/>
      </c>
      <c r="P943">
        <f>HYPERLINK("imagenes/LAUNDRY_BY_DESIGN_121009858_DES_2.jpg","Ver imagen")</f>
        <v/>
      </c>
      <c r="Q943">
        <f>HYPERLINK("imagenes/LAUNDRY_BY_DESIGN_121009858_DES_3.jpg","Ver imagen")</f>
        <v/>
      </c>
    </row>
    <row r="944">
      <c r="A944" t="inlineStr">
        <is>
          <t>LAUNDRY BY DESIGN</t>
        </is>
      </c>
      <c r="B944" t="inlineStr">
        <is>
          <t>121009858</t>
        </is>
      </c>
      <c r="C944" t="inlineStr">
        <is>
          <t>32 SNOWCHIC PUFFER REF 121004097</t>
        </is>
      </c>
      <c r="D944" t="inlineStr">
        <is>
          <t>DES</t>
        </is>
      </c>
      <c r="E944" t="inlineStr">
        <is>
          <t>(en blanco)</t>
        </is>
      </c>
      <c r="F944" t="inlineStr">
        <is>
          <t>(en blanco)</t>
        </is>
      </c>
      <c r="G944" t="inlineStr">
        <is>
          <t>S</t>
        </is>
      </c>
      <c r="H944" t="n">
        <v>3</v>
      </c>
      <c r="I944" t="inlineStr">
        <is>
          <t>LAUNDRY_BY_DESIGN_121009858_DES_1.jpg</t>
        </is>
      </c>
      <c r="J944" t="inlineStr">
        <is>
          <t>LAUNDRY_BY_DESIGN_121009858_DES_2.jpg</t>
        </is>
      </c>
      <c r="K944" t="inlineStr">
        <is>
          <t>LAUNDRY_BY_DESIGN_121009858_DES_3.jpg</t>
        </is>
      </c>
      <c r="L944">
        <f>IMAGE("file:///E:/Estudios%20y%20certificaciones/ESTUDIOS%20DE%20PROGRAMMING/PROGRAMMING/PERSONAL/PYTHON/Image_Generator_API/imagenes/LAUNDRY_BY_DESIGN_121009858_DES_1.jpg")</f>
        <v/>
      </c>
      <c r="M944">
        <f>IMAGE("file:///E:/Estudios%20y%20certificaciones/ESTUDIOS%20DE%20PROGRAMMING/PROGRAMMING/PERSONAL/PYTHON/Image_Generator_API/imagenes/LAUNDRY_BY_DESIGN_121009858_DES_2.jpg")</f>
        <v/>
      </c>
      <c r="N944">
        <f>IMAGE("file:///E:/Estudios%20y%20certificaciones/ESTUDIOS%20DE%20PROGRAMMING/PROGRAMMING/PERSONAL/PYTHON/Image_Generator_API/imagenes/LAUNDRY_BY_DESIGN_121009858_DES_3.jpg")</f>
        <v/>
      </c>
      <c r="O944">
        <f>HYPERLINK("imagenes/LAUNDRY_BY_DESIGN_121009858_DES_1.jpg","Ver imagen")</f>
        <v/>
      </c>
      <c r="P944">
        <f>HYPERLINK("imagenes/LAUNDRY_BY_DESIGN_121009858_DES_2.jpg","Ver imagen")</f>
        <v/>
      </c>
      <c r="Q944">
        <f>HYPERLINK("imagenes/LAUNDRY_BY_DESIGN_121009858_DES_3.jpg","Ver imagen")</f>
        <v/>
      </c>
    </row>
    <row r="945">
      <c r="A945" t="inlineStr">
        <is>
          <t>LAUNDRY BY DESIGN</t>
        </is>
      </c>
      <c r="B945" t="inlineStr">
        <is>
          <t>121009858</t>
        </is>
      </c>
      <c r="C945" t="inlineStr">
        <is>
          <t>32 SNOWCHIC PUFFER REF 121004097</t>
        </is>
      </c>
      <c r="D945" t="inlineStr">
        <is>
          <t>DES</t>
        </is>
      </c>
      <c r="E945" t="inlineStr">
        <is>
          <t>(en blanco)</t>
        </is>
      </c>
      <c r="F945" t="inlineStr">
        <is>
          <t>(en blanco)</t>
        </is>
      </c>
      <c r="G945" t="inlineStr">
        <is>
          <t>M</t>
        </is>
      </c>
      <c r="H945" t="n">
        <v>16</v>
      </c>
      <c r="I945" t="inlineStr">
        <is>
          <t>LAUNDRY_BY_DESIGN_121009858_DES_1.jpg</t>
        </is>
      </c>
      <c r="J945" t="inlineStr">
        <is>
          <t>LAUNDRY_BY_DESIGN_121009858_DES_2.jpg</t>
        </is>
      </c>
      <c r="K945" t="inlineStr">
        <is>
          <t>LAUNDRY_BY_DESIGN_121009858_DES_3.jpg</t>
        </is>
      </c>
      <c r="L945">
        <f>IMAGE("file:///E:/Estudios%20y%20certificaciones/ESTUDIOS%20DE%20PROGRAMMING/PROGRAMMING/PERSONAL/PYTHON/Image_Generator_API/imagenes/LAUNDRY_BY_DESIGN_121009858_DES_1.jpg")</f>
        <v/>
      </c>
      <c r="M945">
        <f>IMAGE("file:///E:/Estudios%20y%20certificaciones/ESTUDIOS%20DE%20PROGRAMMING/PROGRAMMING/PERSONAL/PYTHON/Image_Generator_API/imagenes/LAUNDRY_BY_DESIGN_121009858_DES_2.jpg")</f>
        <v/>
      </c>
      <c r="N945">
        <f>IMAGE("file:///E:/Estudios%20y%20certificaciones/ESTUDIOS%20DE%20PROGRAMMING/PROGRAMMING/PERSONAL/PYTHON/Image_Generator_API/imagenes/LAUNDRY_BY_DESIGN_121009858_DES_3.jpg")</f>
        <v/>
      </c>
      <c r="O945">
        <f>HYPERLINK("imagenes/LAUNDRY_BY_DESIGN_121009858_DES_1.jpg","Ver imagen")</f>
        <v/>
      </c>
      <c r="P945">
        <f>HYPERLINK("imagenes/LAUNDRY_BY_DESIGN_121009858_DES_2.jpg","Ver imagen")</f>
        <v/>
      </c>
      <c r="Q945">
        <f>HYPERLINK("imagenes/LAUNDRY_BY_DESIGN_121009858_DES_3.jpg","Ver imagen")</f>
        <v/>
      </c>
    </row>
    <row r="946">
      <c r="A946" t="inlineStr">
        <is>
          <t>LAUNDRY BY DESIGN</t>
        </is>
      </c>
      <c r="B946" t="inlineStr">
        <is>
          <t>121009858</t>
        </is>
      </c>
      <c r="C946" t="inlineStr">
        <is>
          <t>32 SNOWCHIC PUFFER REF 121004097</t>
        </is>
      </c>
      <c r="D946" t="inlineStr">
        <is>
          <t>DES</t>
        </is>
      </c>
      <c r="E946" t="inlineStr">
        <is>
          <t>(en blanco)</t>
        </is>
      </c>
      <c r="F946" t="inlineStr">
        <is>
          <t>(en blanco)</t>
        </is>
      </c>
      <c r="G946" t="inlineStr">
        <is>
          <t>L</t>
        </is>
      </c>
      <c r="H946" t="n">
        <v>22</v>
      </c>
      <c r="I946" t="inlineStr">
        <is>
          <t>LAUNDRY_BY_DESIGN_121009858_DES_1.jpg</t>
        </is>
      </c>
      <c r="J946" t="inlineStr">
        <is>
          <t>LAUNDRY_BY_DESIGN_121009858_DES_2.jpg</t>
        </is>
      </c>
      <c r="K946" t="inlineStr">
        <is>
          <t>LAUNDRY_BY_DESIGN_121009858_DES_3.jpg</t>
        </is>
      </c>
      <c r="L946">
        <f>IMAGE("file:///E:/Estudios%20y%20certificaciones/ESTUDIOS%20DE%20PROGRAMMING/PROGRAMMING/PERSONAL/PYTHON/Image_Generator_API/imagenes/LAUNDRY_BY_DESIGN_121009858_DES_1.jpg")</f>
        <v/>
      </c>
      <c r="M946">
        <f>IMAGE("file:///E:/Estudios%20y%20certificaciones/ESTUDIOS%20DE%20PROGRAMMING/PROGRAMMING/PERSONAL/PYTHON/Image_Generator_API/imagenes/LAUNDRY_BY_DESIGN_121009858_DES_2.jpg")</f>
        <v/>
      </c>
      <c r="N946">
        <f>IMAGE("file:///E:/Estudios%20y%20certificaciones/ESTUDIOS%20DE%20PROGRAMMING/PROGRAMMING/PERSONAL/PYTHON/Image_Generator_API/imagenes/LAUNDRY_BY_DESIGN_121009858_DES_3.jpg")</f>
        <v/>
      </c>
      <c r="O946">
        <f>HYPERLINK("imagenes/LAUNDRY_BY_DESIGN_121009858_DES_1.jpg","Ver imagen")</f>
        <v/>
      </c>
      <c r="P946">
        <f>HYPERLINK("imagenes/LAUNDRY_BY_DESIGN_121009858_DES_2.jpg","Ver imagen")</f>
        <v/>
      </c>
      <c r="Q946">
        <f>HYPERLINK("imagenes/LAUNDRY_BY_DESIGN_121009858_DES_3.jpg","Ver imagen")</f>
        <v/>
      </c>
    </row>
    <row r="947">
      <c r="A947" t="inlineStr">
        <is>
          <t>LAUNDRY BY DESIGN</t>
        </is>
      </c>
      <c r="B947" t="inlineStr">
        <is>
          <t>121009858</t>
        </is>
      </c>
      <c r="C947" t="inlineStr">
        <is>
          <t>32 SNOWCHIC PUFFER REF 121004097</t>
        </is>
      </c>
      <c r="D947" t="inlineStr">
        <is>
          <t>DES</t>
        </is>
      </c>
      <c r="E947" t="inlineStr">
        <is>
          <t>(en blanco)</t>
        </is>
      </c>
      <c r="F947" t="inlineStr">
        <is>
          <t>(en blanco)</t>
        </is>
      </c>
      <c r="G947" t="inlineStr">
        <is>
          <t>XL</t>
        </is>
      </c>
      <c r="H947" t="n">
        <v>20</v>
      </c>
      <c r="I947" t="inlineStr">
        <is>
          <t>LAUNDRY_BY_DESIGN_121009858_DES_1.jpg</t>
        </is>
      </c>
      <c r="J947" t="inlineStr">
        <is>
          <t>LAUNDRY_BY_DESIGN_121009858_DES_2.jpg</t>
        </is>
      </c>
      <c r="K947" t="inlineStr">
        <is>
          <t>LAUNDRY_BY_DESIGN_121009858_DES_3.jpg</t>
        </is>
      </c>
      <c r="L947">
        <f>IMAGE("file:///E:/Estudios%20y%20certificaciones/ESTUDIOS%20DE%20PROGRAMMING/PROGRAMMING/PERSONAL/PYTHON/Image_Generator_API/imagenes/LAUNDRY_BY_DESIGN_121009858_DES_1.jpg")</f>
        <v/>
      </c>
      <c r="M947">
        <f>IMAGE("file:///E:/Estudios%20y%20certificaciones/ESTUDIOS%20DE%20PROGRAMMING/PROGRAMMING/PERSONAL/PYTHON/Image_Generator_API/imagenes/LAUNDRY_BY_DESIGN_121009858_DES_2.jpg")</f>
        <v/>
      </c>
      <c r="N947">
        <f>IMAGE("file:///E:/Estudios%20y%20certificaciones/ESTUDIOS%20DE%20PROGRAMMING/PROGRAMMING/PERSONAL/PYTHON/Image_Generator_API/imagenes/LAUNDRY_BY_DESIGN_121009858_DES_3.jpg")</f>
        <v/>
      </c>
      <c r="O947">
        <f>HYPERLINK("imagenes/LAUNDRY_BY_DESIGN_121009858_DES_1.jpg","Ver imagen")</f>
        <v/>
      </c>
      <c r="P947">
        <f>HYPERLINK("imagenes/LAUNDRY_BY_DESIGN_121009858_DES_2.jpg","Ver imagen")</f>
        <v/>
      </c>
      <c r="Q947">
        <f>HYPERLINK("imagenes/LAUNDRY_BY_DESIGN_121009858_DES_3.jpg","Ver imagen")</f>
        <v/>
      </c>
    </row>
    <row r="948">
      <c r="A948" t="inlineStr">
        <is>
          <t>LAUNDRY BY DESIGN</t>
        </is>
      </c>
      <c r="B948" t="inlineStr">
        <is>
          <t>121009858</t>
        </is>
      </c>
      <c r="C948" t="inlineStr">
        <is>
          <t>32 SNOWCHIC PUFFER REF 121004097</t>
        </is>
      </c>
      <c r="D948" t="inlineStr">
        <is>
          <t>DES</t>
        </is>
      </c>
      <c r="E948" t="inlineStr">
        <is>
          <t>(en blanco)</t>
        </is>
      </c>
      <c r="F948" t="inlineStr">
        <is>
          <t>(en blanco)</t>
        </is>
      </c>
      <c r="G948" t="inlineStr">
        <is>
          <t>XXL</t>
        </is>
      </c>
      <c r="H948" t="n">
        <v>3</v>
      </c>
      <c r="I948" t="inlineStr">
        <is>
          <t>LAUNDRY_BY_DESIGN_121009858_DES_1.jpg</t>
        </is>
      </c>
      <c r="J948" t="inlineStr">
        <is>
          <t>LAUNDRY_BY_DESIGN_121009858_DES_2.jpg</t>
        </is>
      </c>
      <c r="K948" t="inlineStr">
        <is>
          <t>LAUNDRY_BY_DESIGN_121009858_DES_3.jpg</t>
        </is>
      </c>
      <c r="L948">
        <f>IMAGE("file:///E:/Estudios%20y%20certificaciones/ESTUDIOS%20DE%20PROGRAMMING/PROGRAMMING/PERSONAL/PYTHON/Image_Generator_API/imagenes/LAUNDRY_BY_DESIGN_121009858_DES_1.jpg")</f>
        <v/>
      </c>
      <c r="M948">
        <f>IMAGE("file:///E:/Estudios%20y%20certificaciones/ESTUDIOS%20DE%20PROGRAMMING/PROGRAMMING/PERSONAL/PYTHON/Image_Generator_API/imagenes/LAUNDRY_BY_DESIGN_121009858_DES_2.jpg")</f>
        <v/>
      </c>
      <c r="N948">
        <f>IMAGE("file:///E:/Estudios%20y%20certificaciones/ESTUDIOS%20DE%20PROGRAMMING/PROGRAMMING/PERSONAL/PYTHON/Image_Generator_API/imagenes/LAUNDRY_BY_DESIGN_121009858_DES_3.jpg")</f>
        <v/>
      </c>
      <c r="O948">
        <f>HYPERLINK("imagenes/LAUNDRY_BY_DESIGN_121009858_DES_1.jpg","Ver imagen")</f>
        <v/>
      </c>
      <c r="P948">
        <f>HYPERLINK("imagenes/LAUNDRY_BY_DESIGN_121009858_DES_2.jpg","Ver imagen")</f>
        <v/>
      </c>
      <c r="Q948">
        <f>HYPERLINK("imagenes/LAUNDRY_BY_DESIGN_121009858_DES_3.jpg","Ver imagen")</f>
        <v/>
      </c>
    </row>
    <row r="949">
      <c r="A949" t="inlineStr">
        <is>
          <t>LAUNDRY BY DESIGN</t>
        </is>
      </c>
      <c r="B949" t="inlineStr">
        <is>
          <t>121DAMAGE</t>
        </is>
      </c>
      <c r="C949" t="inlineStr">
        <is>
          <t>DAMAGED STYLES</t>
        </is>
      </c>
      <c r="D949" t="inlineStr">
        <is>
          <t>ASD</t>
        </is>
      </c>
      <c r="E949" t="inlineStr">
        <is>
          <t>(en blanco)</t>
        </is>
      </c>
      <c r="F949" t="inlineStr">
        <is>
          <t>(en blanco)</t>
        </is>
      </c>
      <c r="G949" t="inlineStr">
        <is>
          <t>OS</t>
        </is>
      </c>
      <c r="H949" t="n">
        <v>23</v>
      </c>
      <c r="I949" t="inlineStr">
        <is>
          <t>LAUNDRY_BY_DESIGN_121DAMAGE_ASD_1.jpg</t>
        </is>
      </c>
      <c r="J949" t="inlineStr">
        <is>
          <t>LAUNDRY_BY_DESIGN_121DAMAGE_ASD_2.jpg</t>
        </is>
      </c>
      <c r="K949" t="inlineStr">
        <is>
          <t>LAUNDRY_BY_DESIGN_121DAMAGE_ASD_3.jpg</t>
        </is>
      </c>
      <c r="L949">
        <f>IMAGE("file:///E:/Estudios%20y%20certificaciones/ESTUDIOS%20DE%20PROGRAMMING/PROGRAMMING/PERSONAL/PYTHON/Image_Generator_API/imagenes/LAUNDRY_BY_DESIGN_121DAMAGE_ASD_1.jpg")</f>
        <v/>
      </c>
      <c r="M949">
        <f>IMAGE("file:///E:/Estudios%20y%20certificaciones/ESTUDIOS%20DE%20PROGRAMMING/PROGRAMMING/PERSONAL/PYTHON/Image_Generator_API/imagenes/LAUNDRY_BY_DESIGN_121DAMAGE_ASD_2.jpg")</f>
        <v/>
      </c>
      <c r="N949">
        <f>IMAGE("file:///E:/Estudios%20y%20certificaciones/ESTUDIOS%20DE%20PROGRAMMING/PROGRAMMING/PERSONAL/PYTHON/Image_Generator_API/imagenes/LAUNDRY_BY_DESIGN_121DAMAGE_ASD_3.jpg")</f>
        <v/>
      </c>
      <c r="O949">
        <f>HYPERLINK("imagenes/LAUNDRY_BY_DESIGN_121DAMAGE_ASD_1.jpg","Ver imagen")</f>
        <v/>
      </c>
      <c r="P949">
        <f>HYPERLINK("imagenes/LAUNDRY_BY_DESIGN_121DAMAGE_ASD_2.jpg","Ver imagen")</f>
        <v/>
      </c>
      <c r="Q949">
        <f>HYPERLINK("imagenes/LAUNDRY_BY_DESIGN_121DAMAGE_ASD_3.jpg","Ver imagen")</f>
        <v/>
      </c>
    </row>
    <row r="950">
      <c r="A950" t="inlineStr">
        <is>
          <t>LAUNDRY BY DESIGN</t>
        </is>
      </c>
      <c r="B950" t="inlineStr">
        <is>
          <t>T022120</t>
        </is>
      </c>
      <c r="C950" t="inlineStr">
        <is>
          <t>SHORT SIDE TAB QUILT</t>
        </is>
      </c>
      <c r="D950" t="inlineStr">
        <is>
          <t>PTR</t>
        </is>
      </c>
      <c r="E950" t="inlineStr">
        <is>
          <t>(en blanco)</t>
        </is>
      </c>
      <c r="F950" t="inlineStr">
        <is>
          <t>(en blanco)</t>
        </is>
      </c>
      <c r="G950" t="inlineStr">
        <is>
          <t>L</t>
        </is>
      </c>
      <c r="H950" t="n">
        <v>1</v>
      </c>
      <c r="I950" t="inlineStr">
        <is>
          <t>LAUNDRY_BY_DESIGN_T022120_PTR_1.jpg</t>
        </is>
      </c>
      <c r="J950" t="inlineStr">
        <is>
          <t>LAUNDRY_BY_DESIGN_T022120_PTR_2.jpg</t>
        </is>
      </c>
      <c r="K950" t="inlineStr">
        <is>
          <t>LAUNDRY_BY_DESIGN_T022120_PTR_3.jpg</t>
        </is>
      </c>
      <c r="L950">
        <f>IMAGE("file:///E:/Estudios%20y%20certificaciones/ESTUDIOS%20DE%20PROGRAMMING/PROGRAMMING/PERSONAL/PYTHON/Image_Generator_API/imagenes/LAUNDRY_BY_DESIGN_T022120_PTR_1.jpg")</f>
        <v/>
      </c>
      <c r="M950">
        <f>IMAGE("file:///E:/Estudios%20y%20certificaciones/ESTUDIOS%20DE%20PROGRAMMING/PROGRAMMING/PERSONAL/PYTHON/Image_Generator_API/imagenes/LAUNDRY_BY_DESIGN_T022120_PTR_2.jpg")</f>
        <v/>
      </c>
      <c r="N950">
        <f>IMAGE("file:///E:/Estudios%20y%20certificaciones/ESTUDIOS%20DE%20PROGRAMMING/PROGRAMMING/PERSONAL/PYTHON/Image_Generator_API/imagenes/LAUNDRY_BY_DESIGN_T022120_PTR_3.jpg")</f>
        <v/>
      </c>
      <c r="O950">
        <f>HYPERLINK("imagenes/LAUNDRY_BY_DESIGN_T022120_PTR_1.jpg","Ver imagen")</f>
        <v/>
      </c>
      <c r="P950">
        <f>HYPERLINK("imagenes/LAUNDRY_BY_DESIGN_T022120_PTR_2.jpg","Ver imagen")</f>
        <v/>
      </c>
      <c r="Q950">
        <f>HYPERLINK("imagenes/LAUNDRY_BY_DESIGN_T022120_PTR_3.jpg","Ver imagen")</f>
        <v/>
      </c>
    </row>
    <row r="951">
      <c r="A951" t="inlineStr">
        <is>
          <t>LAUNDRY BY DESIGN</t>
        </is>
      </c>
      <c r="B951" t="inlineStr">
        <is>
          <t>T024456</t>
        </is>
      </c>
      <c r="C951" t="inlineStr">
        <is>
          <t>SHORT WOOL</t>
        </is>
      </c>
      <c r="D951" t="inlineStr">
        <is>
          <t>BLK</t>
        </is>
      </c>
      <c r="E951" t="inlineStr">
        <is>
          <t>(en blanco)</t>
        </is>
      </c>
      <c r="F951" t="inlineStr">
        <is>
          <t>(en blanco)</t>
        </is>
      </c>
      <c r="G951" t="inlineStr">
        <is>
          <t>XS</t>
        </is>
      </c>
      <c r="H951" t="n">
        <v>1</v>
      </c>
      <c r="I951" t="inlineStr">
        <is>
          <t>LAUNDRY_BY_DESIGN_T024456_BLK_1.jpg</t>
        </is>
      </c>
      <c r="J951" t="inlineStr">
        <is>
          <t>LAUNDRY_BY_DESIGN_T024456_BLK_2.jpg</t>
        </is>
      </c>
      <c r="K951" t="inlineStr">
        <is>
          <t>LAUNDRY_BY_DESIGN_T024456_BLK_3.jpg</t>
        </is>
      </c>
      <c r="L951">
        <f>IMAGE("file:///E:/Estudios%20y%20certificaciones/ESTUDIOS%20DE%20PROGRAMMING/PROGRAMMING/PERSONAL/PYTHON/Image_Generator_API/imagenes/LAUNDRY_BY_DESIGN_T024456_BLK_1.jpg")</f>
        <v/>
      </c>
      <c r="M951">
        <f>IMAGE("file:///E:/Estudios%20y%20certificaciones/ESTUDIOS%20DE%20PROGRAMMING/PROGRAMMING/PERSONAL/PYTHON/Image_Generator_API/imagenes/LAUNDRY_BY_DESIGN_T024456_BLK_2.jpg")</f>
        <v/>
      </c>
      <c r="N951">
        <f>IMAGE("file:///E:/Estudios%20y%20certificaciones/ESTUDIOS%20DE%20PROGRAMMING/PROGRAMMING/PERSONAL/PYTHON/Image_Generator_API/imagenes/LAUNDRY_BY_DESIGN_T024456_BLK_3.jpg")</f>
        <v/>
      </c>
      <c r="O951">
        <f>HYPERLINK("imagenes/LAUNDRY_BY_DESIGN_T024456_BLK_1.jpg","Ver imagen")</f>
        <v/>
      </c>
      <c r="P951">
        <f>HYPERLINK("imagenes/LAUNDRY_BY_DESIGN_T024456_BLK_2.jpg","Ver imagen")</f>
        <v/>
      </c>
      <c r="Q951">
        <f>HYPERLINK("imagenes/LAUNDRY_BY_DESIGN_T024456_BLK_3.jpg","Ver imagen")</f>
        <v/>
      </c>
    </row>
    <row r="952">
      <c r="A952" t="inlineStr">
        <is>
          <t>LAUNDRY BY DESIGN</t>
        </is>
      </c>
      <c r="B952" t="inlineStr">
        <is>
          <t>T224210</t>
        </is>
      </c>
      <c r="C952" t="inlineStr">
        <is>
          <t>STRETCH MAXI</t>
        </is>
      </c>
      <c r="D952" t="inlineStr">
        <is>
          <t>BLK</t>
        </is>
      </c>
      <c r="E952" t="inlineStr">
        <is>
          <t>(en blanco)</t>
        </is>
      </c>
      <c r="F952" t="inlineStr">
        <is>
          <t>(en blanco)</t>
        </is>
      </c>
      <c r="G952" t="inlineStr">
        <is>
          <t>XS</t>
        </is>
      </c>
      <c r="H952" t="n">
        <v>1</v>
      </c>
      <c r="I952" t="inlineStr">
        <is>
          <t>LAUNDRY_BY_DESIGN_T224210_BLK_1.jpg</t>
        </is>
      </c>
      <c r="J952" t="inlineStr">
        <is>
          <t>LAUNDRY_BY_DESIGN_T224210_BLK_2.jpg</t>
        </is>
      </c>
      <c r="K952" t="inlineStr">
        <is>
          <t>LAUNDRY_BY_DESIGN_T224210_BLK_3.jpg</t>
        </is>
      </c>
      <c r="L952">
        <f>IMAGE("file:///E:/Estudios%20y%20certificaciones/ESTUDIOS%20DE%20PROGRAMMING/PROGRAMMING/PERSONAL/PYTHON/Image_Generator_API/imagenes/LAUNDRY_BY_DESIGN_T224210_BLK_1.jpg")</f>
        <v/>
      </c>
      <c r="M952">
        <f>IMAGE("file:///E:/Estudios%20y%20certificaciones/ESTUDIOS%20DE%20PROGRAMMING/PROGRAMMING/PERSONAL/PYTHON/Image_Generator_API/imagenes/LAUNDRY_BY_DESIGN_T224210_BLK_2.jpg")</f>
        <v/>
      </c>
      <c r="N952">
        <f>IMAGE("file:///E:/Estudios%20y%20certificaciones/ESTUDIOS%20DE%20PROGRAMMING/PROGRAMMING/PERSONAL/PYTHON/Image_Generator_API/imagenes/LAUNDRY_BY_DESIGN_T224210_BLK_3.jpg")</f>
        <v/>
      </c>
      <c r="O952">
        <f>HYPERLINK("imagenes/LAUNDRY_BY_DESIGN_T224210_BLK_1.jpg","Ver imagen")</f>
        <v/>
      </c>
      <c r="P952">
        <f>HYPERLINK("imagenes/LAUNDRY_BY_DESIGN_T224210_BLK_2.jpg","Ver imagen")</f>
        <v/>
      </c>
      <c r="Q952">
        <f>HYPERLINK("imagenes/LAUNDRY_BY_DESIGN_T224210_BLK_3.jpg","Ver imagen")</f>
        <v/>
      </c>
    </row>
    <row r="953">
      <c r="A953" t="inlineStr">
        <is>
          <t>LAUNDRY BY DESIGN</t>
        </is>
      </c>
      <c r="B953" t="inlineStr">
        <is>
          <t>T224210</t>
        </is>
      </c>
      <c r="C953" t="inlineStr">
        <is>
          <t>STRETCH MAXI</t>
        </is>
      </c>
      <c r="D953" t="inlineStr">
        <is>
          <t>BLK</t>
        </is>
      </c>
      <c r="E953" t="inlineStr">
        <is>
          <t>(en blanco)</t>
        </is>
      </c>
      <c r="F953" t="inlineStr">
        <is>
          <t>(en blanco)</t>
        </is>
      </c>
      <c r="G953" t="inlineStr">
        <is>
          <t>XXL</t>
        </is>
      </c>
      <c r="H953" t="n">
        <v>1</v>
      </c>
      <c r="I953" t="inlineStr">
        <is>
          <t>LAUNDRY_BY_DESIGN_T224210_BLK_1.jpg</t>
        </is>
      </c>
      <c r="J953" t="inlineStr">
        <is>
          <t>LAUNDRY_BY_DESIGN_T224210_BLK_2.jpg</t>
        </is>
      </c>
      <c r="K953" t="inlineStr">
        <is>
          <t>LAUNDRY_BY_DESIGN_T224210_BLK_3.jpg</t>
        </is>
      </c>
      <c r="L953">
        <f>IMAGE("file:///E:/Estudios%20y%20certificaciones/ESTUDIOS%20DE%20PROGRAMMING/PROGRAMMING/PERSONAL/PYTHON/Image_Generator_API/imagenes/LAUNDRY_BY_DESIGN_T224210_BLK_1.jpg")</f>
        <v/>
      </c>
      <c r="M953">
        <f>IMAGE("file:///E:/Estudios%20y%20certificaciones/ESTUDIOS%20DE%20PROGRAMMING/PROGRAMMING/PERSONAL/PYTHON/Image_Generator_API/imagenes/LAUNDRY_BY_DESIGN_T224210_BLK_2.jpg")</f>
        <v/>
      </c>
      <c r="N953">
        <f>IMAGE("file:///E:/Estudios%20y%20certificaciones/ESTUDIOS%20DE%20PROGRAMMING/PROGRAMMING/PERSONAL/PYTHON/Image_Generator_API/imagenes/LAUNDRY_BY_DESIGN_T224210_BLK_3.jpg")</f>
        <v/>
      </c>
      <c r="O953">
        <f>HYPERLINK("imagenes/LAUNDRY_BY_DESIGN_T224210_BLK_1.jpg","Ver imagen")</f>
        <v/>
      </c>
      <c r="P953">
        <f>HYPERLINK("imagenes/LAUNDRY_BY_DESIGN_T224210_BLK_2.jpg","Ver imagen")</f>
        <v/>
      </c>
      <c r="Q953">
        <f>HYPERLINK("imagenes/LAUNDRY_BY_DESIGN_T224210_BLK_3.jpg","Ver imagen")</f>
        <v/>
      </c>
    </row>
    <row r="954">
      <c r="A954" t="inlineStr">
        <is>
          <t>LAUNDRY BY DESIGN</t>
        </is>
      </c>
      <c r="B954" t="inlineStr">
        <is>
          <t>T224210</t>
        </is>
      </c>
      <c r="C954" t="inlineStr">
        <is>
          <t>STRETCH MAXI</t>
        </is>
      </c>
      <c r="D954" t="inlineStr">
        <is>
          <t>CB1</t>
        </is>
      </c>
      <c r="E954" t="inlineStr">
        <is>
          <t>(en blanco)</t>
        </is>
      </c>
      <c r="F954" t="inlineStr">
        <is>
          <t>(en blanco)</t>
        </is>
      </c>
      <c r="G954" t="inlineStr">
        <is>
          <t>L</t>
        </is>
      </c>
      <c r="H954" t="n">
        <v>2</v>
      </c>
      <c r="I954" t="inlineStr">
        <is>
          <t>LAUNDRY_BY_DESIGN_T224210_CB1_1.jpg</t>
        </is>
      </c>
      <c r="J954" t="inlineStr">
        <is>
          <t>LAUNDRY_BY_DESIGN_T224210_CB1_2.jpg</t>
        </is>
      </c>
      <c r="K954" t="inlineStr">
        <is>
          <t>LAUNDRY_BY_DESIGN_T224210_CB1_3.jpg</t>
        </is>
      </c>
      <c r="L954">
        <f>IMAGE("file:///E:/Estudios%20y%20certificaciones/ESTUDIOS%20DE%20PROGRAMMING/PROGRAMMING/PERSONAL/PYTHON/Image_Generator_API/imagenes/LAUNDRY_BY_DESIGN_T224210_CB1_1.jpg")</f>
        <v/>
      </c>
      <c r="M954">
        <f>IMAGE("file:///E:/Estudios%20y%20certificaciones/ESTUDIOS%20DE%20PROGRAMMING/PROGRAMMING/PERSONAL/PYTHON/Image_Generator_API/imagenes/LAUNDRY_BY_DESIGN_T224210_CB1_2.jpg")</f>
        <v/>
      </c>
      <c r="N954">
        <f>IMAGE("file:///E:/Estudios%20y%20certificaciones/ESTUDIOS%20DE%20PROGRAMMING/PROGRAMMING/PERSONAL/PYTHON/Image_Generator_API/imagenes/LAUNDRY_BY_DESIGN_T224210_CB1_3.jpg")</f>
        <v/>
      </c>
      <c r="O954">
        <f>HYPERLINK("imagenes/LAUNDRY_BY_DESIGN_T224210_CB1_1.jpg","Ver imagen")</f>
        <v/>
      </c>
      <c r="P954">
        <f>HYPERLINK("imagenes/LAUNDRY_BY_DESIGN_T224210_CB1_2.jpg","Ver imagen")</f>
        <v/>
      </c>
      <c r="Q954">
        <f>HYPERLINK("imagenes/LAUNDRY_BY_DESIGN_T224210_CB1_3.jpg","Ver imagen")</f>
        <v/>
      </c>
    </row>
    <row r="955">
      <c r="A955" t="inlineStr">
        <is>
          <t>LAUNDRY BY DESIGN</t>
        </is>
      </c>
      <c r="B955" t="inlineStr">
        <is>
          <t>T227654</t>
        </is>
      </c>
      <c r="C955" t="inlineStr">
        <is>
          <t>ASYM BELTED</t>
        </is>
      </c>
      <c r="D955" t="inlineStr">
        <is>
          <t>BLK</t>
        </is>
      </c>
      <c r="E955" t="inlineStr">
        <is>
          <t>(en blanco)</t>
        </is>
      </c>
      <c r="F955" t="inlineStr">
        <is>
          <t>(en blanco)</t>
        </is>
      </c>
      <c r="G955" t="inlineStr">
        <is>
          <t>XS</t>
        </is>
      </c>
      <c r="H955" t="n">
        <v>26</v>
      </c>
      <c r="I955" t="inlineStr">
        <is>
          <t>LAUNDRY_BY_DESIGN_T227654_BLK_1.jpg</t>
        </is>
      </c>
      <c r="J955" t="inlineStr">
        <is>
          <t>LAUNDRY_BY_DESIGN_T227654_BLK_2.jpg</t>
        </is>
      </c>
      <c r="K955" t="inlineStr">
        <is>
          <t>LAUNDRY_BY_DESIGN_T227654_BLK_3.jpg</t>
        </is>
      </c>
      <c r="L955">
        <f>IMAGE("file:///E:/Estudios%20y%20certificaciones/ESTUDIOS%20DE%20PROGRAMMING/PROGRAMMING/PERSONAL/PYTHON/Image_Generator_API/imagenes/LAUNDRY_BY_DESIGN_T227654_BLK_1.jpg")</f>
        <v/>
      </c>
      <c r="M955">
        <f>IMAGE("file:///E:/Estudios%20y%20certificaciones/ESTUDIOS%20DE%20PROGRAMMING/PROGRAMMING/PERSONAL/PYTHON/Image_Generator_API/imagenes/LAUNDRY_BY_DESIGN_T227654_BLK_2.jpg")</f>
        <v/>
      </c>
      <c r="N955">
        <f>IMAGE("file:///E:/Estudios%20y%20certificaciones/ESTUDIOS%20DE%20PROGRAMMING/PROGRAMMING/PERSONAL/PYTHON/Image_Generator_API/imagenes/LAUNDRY_BY_DESIGN_T227654_BLK_3.jpg")</f>
        <v/>
      </c>
      <c r="O955">
        <f>HYPERLINK("imagenes/LAUNDRY_BY_DESIGN_T227654_BLK_1.jpg","Ver imagen")</f>
        <v/>
      </c>
      <c r="P955">
        <f>HYPERLINK("imagenes/LAUNDRY_BY_DESIGN_T227654_BLK_2.jpg","Ver imagen")</f>
        <v/>
      </c>
      <c r="Q955">
        <f>HYPERLINK("imagenes/LAUNDRY_BY_DESIGN_T227654_BLK_3.jpg","Ver imagen")</f>
        <v/>
      </c>
    </row>
    <row r="956">
      <c r="A956" t="inlineStr">
        <is>
          <t>LAUNDRY BY DESIGN</t>
        </is>
      </c>
      <c r="B956" t="inlineStr">
        <is>
          <t>T227679</t>
        </is>
      </c>
      <c r="C956" t="inlineStr">
        <is>
          <t>SNAP FNT</t>
        </is>
      </c>
      <c r="D956" t="inlineStr">
        <is>
          <t>BLK</t>
        </is>
      </c>
      <c r="E956" t="inlineStr">
        <is>
          <t>(en blanco)</t>
        </is>
      </c>
      <c r="F956" t="inlineStr">
        <is>
          <t>(en blanco)</t>
        </is>
      </c>
      <c r="G956" t="inlineStr">
        <is>
          <t>XS</t>
        </is>
      </c>
      <c r="H956" t="n">
        <v>4</v>
      </c>
      <c r="I956" t="inlineStr">
        <is>
          <t>LAUNDRY_BY_DESIGN_T227679_BLK_1.jpg</t>
        </is>
      </c>
      <c r="J956" t="inlineStr">
        <is>
          <t>LAUNDRY_BY_DESIGN_T227679_BLK_2.jpg</t>
        </is>
      </c>
      <c r="K956" t="inlineStr">
        <is>
          <t>LAUNDRY_BY_DESIGN_T227679_BLK_3.jpg</t>
        </is>
      </c>
      <c r="L956">
        <f>IMAGE("file:///E:/Estudios%20y%20certificaciones/ESTUDIOS%20DE%20PROGRAMMING/PROGRAMMING/PERSONAL/PYTHON/Image_Generator_API/imagenes/LAUNDRY_BY_DESIGN_T227679_BLK_1.jpg")</f>
        <v/>
      </c>
      <c r="M956">
        <f>IMAGE("file:///E:/Estudios%20y%20certificaciones/ESTUDIOS%20DE%20PROGRAMMING/PROGRAMMING/PERSONAL/PYTHON/Image_Generator_API/imagenes/LAUNDRY_BY_DESIGN_T227679_BLK_2.jpg")</f>
        <v/>
      </c>
      <c r="N956">
        <f>IMAGE("file:///E:/Estudios%20y%20certificaciones/ESTUDIOS%20DE%20PROGRAMMING/PROGRAMMING/PERSONAL/PYTHON/Image_Generator_API/imagenes/LAUNDRY_BY_DESIGN_T227679_BLK_3.jpg")</f>
        <v/>
      </c>
      <c r="O956">
        <f>HYPERLINK("imagenes/LAUNDRY_BY_DESIGN_T227679_BLK_1.jpg","Ver imagen")</f>
        <v/>
      </c>
      <c r="P956">
        <f>HYPERLINK("imagenes/LAUNDRY_BY_DESIGN_T227679_BLK_2.jpg","Ver imagen")</f>
        <v/>
      </c>
      <c r="Q956">
        <f>HYPERLINK("imagenes/LAUNDRY_BY_DESIGN_T227679_BLK_3.jpg","Ver imagen")</f>
        <v/>
      </c>
    </row>
    <row r="957">
      <c r="A957" t="inlineStr">
        <is>
          <t>LAUNDRY BY DESIGN</t>
        </is>
      </c>
      <c r="B957" t="inlineStr">
        <is>
          <t>T424456</t>
        </is>
      </c>
      <c r="C957" t="inlineStr">
        <is>
          <t>WOOL COAT</t>
        </is>
      </c>
      <c r="D957" t="inlineStr">
        <is>
          <t>BLK</t>
        </is>
      </c>
      <c r="E957" t="inlineStr">
        <is>
          <t>(en blanco)</t>
        </is>
      </c>
      <c r="F957" t="inlineStr">
        <is>
          <t>(en blanco)</t>
        </is>
      </c>
      <c r="G957" t="inlineStr">
        <is>
          <t>M</t>
        </is>
      </c>
      <c r="H957" t="n">
        <v>1</v>
      </c>
      <c r="I957" t="inlineStr">
        <is>
          <t>LAUNDRY_BY_DESIGN_T424456_BLK_1.jpg</t>
        </is>
      </c>
      <c r="J957" t="inlineStr">
        <is>
          <t>LAUNDRY_BY_DESIGN_T424456_BLK_2.jpg</t>
        </is>
      </c>
      <c r="K957" t="inlineStr">
        <is>
          <t>LAUNDRY_BY_DESIGN_T424456_BLK_3.jpg</t>
        </is>
      </c>
      <c r="L957">
        <f>IMAGE("file:///E:/Estudios%20y%20certificaciones/ESTUDIOS%20DE%20PROGRAMMING/PROGRAMMING/PERSONAL/PYTHON/Image_Generator_API/imagenes/LAUNDRY_BY_DESIGN_T424456_BLK_1.jpg")</f>
        <v/>
      </c>
      <c r="M957">
        <f>IMAGE("file:///E:/Estudios%20y%20certificaciones/ESTUDIOS%20DE%20PROGRAMMING/PROGRAMMING/PERSONAL/PYTHON/Image_Generator_API/imagenes/LAUNDRY_BY_DESIGN_T424456_BLK_2.jpg")</f>
        <v/>
      </c>
      <c r="N957">
        <f>IMAGE("file:///E:/Estudios%20y%20certificaciones/ESTUDIOS%20DE%20PROGRAMMING/PROGRAMMING/PERSONAL/PYTHON/Image_Generator_API/imagenes/LAUNDRY_BY_DESIGN_T424456_BLK_3.jpg")</f>
        <v/>
      </c>
      <c r="O957">
        <f>HYPERLINK("imagenes/LAUNDRY_BY_DESIGN_T424456_BLK_1.jpg","Ver imagen")</f>
        <v/>
      </c>
      <c r="P957">
        <f>HYPERLINK("imagenes/LAUNDRY_BY_DESIGN_T424456_BLK_2.jpg","Ver imagen")</f>
        <v/>
      </c>
      <c r="Q957">
        <f>HYPERLINK("imagenes/LAUNDRY_BY_DESIGN_T424456_BLK_3.jpg","Ver imagen")</f>
        <v/>
      </c>
    </row>
    <row r="958">
      <c r="A958" t="inlineStr">
        <is>
          <t>LAUNDRY BY DESIGN</t>
        </is>
      </c>
      <c r="B958" t="inlineStr">
        <is>
          <t>T427690</t>
        </is>
      </c>
      <c r="C958" t="inlineStr">
        <is>
          <t>SNAP OFF COAT W/TIP</t>
        </is>
      </c>
      <c r="D958" t="inlineStr">
        <is>
          <t>AUB</t>
        </is>
      </c>
      <c r="E958" t="inlineStr">
        <is>
          <t>(en blanco)</t>
        </is>
      </c>
      <c r="F958" t="inlineStr">
        <is>
          <t>(en blanco)</t>
        </is>
      </c>
      <c r="G958" t="inlineStr">
        <is>
          <t>L</t>
        </is>
      </c>
      <c r="H958" t="n">
        <v>1</v>
      </c>
      <c r="I958" t="inlineStr">
        <is>
          <t>LAUNDRY_BY_DESIGN_T427690_AUB_1.jpg</t>
        </is>
      </c>
      <c r="J958" t="inlineStr">
        <is>
          <t>LAUNDRY_BY_DESIGN_T427690_AUB_2.jpg</t>
        </is>
      </c>
      <c r="K958" t="inlineStr">
        <is>
          <t>LAUNDRY_BY_DESIGN_T427690_AUB_3.jpg</t>
        </is>
      </c>
      <c r="L958">
        <f>IMAGE("file:///E:/Estudios%20y%20certificaciones/ESTUDIOS%20DE%20PROGRAMMING/PROGRAMMING/PERSONAL/PYTHON/Image_Generator_API/imagenes/LAUNDRY_BY_DESIGN_T427690_AUB_1.jpg")</f>
        <v/>
      </c>
      <c r="M958">
        <f>IMAGE("file:///E:/Estudios%20y%20certificaciones/ESTUDIOS%20DE%20PROGRAMMING/PROGRAMMING/PERSONAL/PYTHON/Image_Generator_API/imagenes/LAUNDRY_BY_DESIGN_T427690_AUB_2.jpg")</f>
        <v/>
      </c>
      <c r="N958">
        <f>IMAGE("file:///E:/Estudios%20y%20certificaciones/ESTUDIOS%20DE%20PROGRAMMING/PROGRAMMING/PERSONAL/PYTHON/Image_Generator_API/imagenes/LAUNDRY_BY_DESIGN_T427690_AUB_3.jpg")</f>
        <v/>
      </c>
      <c r="O958">
        <f>HYPERLINK("imagenes/LAUNDRY_BY_DESIGN_T427690_AUB_1.jpg","Ver imagen")</f>
        <v/>
      </c>
      <c r="P958">
        <f>HYPERLINK("imagenes/LAUNDRY_BY_DESIGN_T427690_AUB_2.jpg","Ver imagen")</f>
        <v/>
      </c>
      <c r="Q958">
        <f>HYPERLINK("imagenes/LAUNDRY_BY_DESIGN_T427690_AUB_3.jpg","Ver imagen")</f>
        <v/>
      </c>
    </row>
    <row r="959">
      <c r="A959" t="inlineStr">
        <is>
          <t>LAUNDRY BY DESIGN</t>
        </is>
      </c>
      <c r="B959" t="inlineStr">
        <is>
          <t>T427690</t>
        </is>
      </c>
      <c r="C959" t="inlineStr">
        <is>
          <t>SNAP OFF COAT W/TIP</t>
        </is>
      </c>
      <c r="D959" t="inlineStr">
        <is>
          <t>BLK</t>
        </is>
      </c>
      <c r="E959" t="inlineStr">
        <is>
          <t>(en blanco)</t>
        </is>
      </c>
      <c r="F959" t="inlineStr">
        <is>
          <t>(en blanco)</t>
        </is>
      </c>
      <c r="G959" t="inlineStr">
        <is>
          <t>L</t>
        </is>
      </c>
      <c r="H959" t="n">
        <v>1</v>
      </c>
      <c r="I959" t="inlineStr">
        <is>
          <t>LAUNDRY_BY_DESIGN_T427690_BLK_1.jpg</t>
        </is>
      </c>
      <c r="J959" t="inlineStr">
        <is>
          <t>LAUNDRY_BY_DESIGN_T427690_BLK_2.jpg</t>
        </is>
      </c>
      <c r="K959" t="inlineStr">
        <is>
          <t>LAUNDRY_BY_DESIGN_T427690_BLK_3.jpg</t>
        </is>
      </c>
      <c r="L959">
        <f>IMAGE("file:///E:/Estudios%20y%20certificaciones/ESTUDIOS%20DE%20PROGRAMMING/PROGRAMMING/PERSONAL/PYTHON/Image_Generator_API/imagenes/LAUNDRY_BY_DESIGN_T427690_BLK_1.jpg")</f>
        <v/>
      </c>
      <c r="M959">
        <f>IMAGE("file:///E:/Estudios%20y%20certificaciones/ESTUDIOS%20DE%20PROGRAMMING/PROGRAMMING/PERSONAL/PYTHON/Image_Generator_API/imagenes/LAUNDRY_BY_DESIGN_T427690_BLK_2.jpg")</f>
        <v/>
      </c>
      <c r="N959">
        <f>IMAGE("file:///E:/Estudios%20y%20certificaciones/ESTUDIOS%20DE%20PROGRAMMING/PROGRAMMING/PERSONAL/PYTHON/Image_Generator_API/imagenes/LAUNDRY_BY_DESIGN_T427690_BLK_3.jpg")</f>
        <v/>
      </c>
      <c r="O959">
        <f>HYPERLINK("imagenes/LAUNDRY_BY_DESIGN_T427690_BLK_1.jpg","Ver imagen")</f>
        <v/>
      </c>
      <c r="P959">
        <f>HYPERLINK("imagenes/LAUNDRY_BY_DESIGN_T427690_BLK_2.jpg","Ver imagen")</f>
        <v/>
      </c>
      <c r="Q959">
        <f>HYPERLINK("imagenes/LAUNDRY_BY_DESIGN_T427690_BLK_3.jpg","Ver imagen")</f>
        <v/>
      </c>
    </row>
    <row r="960">
      <c r="A960" t="inlineStr">
        <is>
          <t>LAUNDRY BY DESIGN</t>
        </is>
      </c>
      <c r="B960" t="inlineStr">
        <is>
          <t>T427690</t>
        </is>
      </c>
      <c r="C960" t="inlineStr">
        <is>
          <t>SNAP OFF COAT W/TIP</t>
        </is>
      </c>
      <c r="D960" t="inlineStr">
        <is>
          <t>BLK</t>
        </is>
      </c>
      <c r="E960" t="inlineStr">
        <is>
          <t>(en blanco)</t>
        </is>
      </c>
      <c r="F960" t="inlineStr">
        <is>
          <t>(en blanco)</t>
        </is>
      </c>
      <c r="G960" t="inlineStr">
        <is>
          <t>XL</t>
        </is>
      </c>
      <c r="H960" t="n">
        <v>51</v>
      </c>
      <c r="I960" t="inlineStr">
        <is>
          <t>LAUNDRY_BY_DESIGN_T427690_BLK_1.jpg</t>
        </is>
      </c>
      <c r="J960" t="inlineStr">
        <is>
          <t>LAUNDRY_BY_DESIGN_T427690_BLK_2.jpg</t>
        </is>
      </c>
      <c r="K960" t="inlineStr">
        <is>
          <t>LAUNDRY_BY_DESIGN_T427690_BLK_3.jpg</t>
        </is>
      </c>
      <c r="L960">
        <f>IMAGE("file:///E:/Estudios%20y%20certificaciones/ESTUDIOS%20DE%20PROGRAMMING/PROGRAMMING/PERSONAL/PYTHON/Image_Generator_API/imagenes/LAUNDRY_BY_DESIGN_T427690_BLK_1.jpg")</f>
        <v/>
      </c>
      <c r="M960">
        <f>IMAGE("file:///E:/Estudios%20y%20certificaciones/ESTUDIOS%20DE%20PROGRAMMING/PROGRAMMING/PERSONAL/PYTHON/Image_Generator_API/imagenes/LAUNDRY_BY_DESIGN_T427690_BLK_2.jpg")</f>
        <v/>
      </c>
      <c r="N960">
        <f>IMAGE("file:///E:/Estudios%20y%20certificaciones/ESTUDIOS%20DE%20PROGRAMMING/PROGRAMMING/PERSONAL/PYTHON/Image_Generator_API/imagenes/LAUNDRY_BY_DESIGN_T427690_BLK_3.jpg")</f>
        <v/>
      </c>
      <c r="O960">
        <f>HYPERLINK("imagenes/LAUNDRY_BY_DESIGN_T427690_BLK_1.jpg","Ver imagen")</f>
        <v/>
      </c>
      <c r="P960">
        <f>HYPERLINK("imagenes/LAUNDRY_BY_DESIGN_T427690_BLK_2.jpg","Ver imagen")</f>
        <v/>
      </c>
      <c r="Q960">
        <f>HYPERLINK("imagenes/LAUNDRY_BY_DESIGN_T427690_BLK_3.jpg","Ver imagen")</f>
        <v/>
      </c>
    </row>
    <row r="961">
      <c r="A961" t="inlineStr">
        <is>
          <t>LAUNDRY BY DESIGN</t>
        </is>
      </c>
      <c r="B961" t="inlineStr">
        <is>
          <t>T427690</t>
        </is>
      </c>
      <c r="C961" t="inlineStr">
        <is>
          <t>SNAP OFF COAT W/TIP</t>
        </is>
      </c>
      <c r="D961" t="inlineStr">
        <is>
          <t>FOR</t>
        </is>
      </c>
      <c r="E961" t="inlineStr">
        <is>
          <t>(en blanco)</t>
        </is>
      </c>
      <c r="F961" t="inlineStr">
        <is>
          <t>(en blanco)</t>
        </is>
      </c>
      <c r="G961" t="inlineStr">
        <is>
          <t>XXS</t>
        </is>
      </c>
      <c r="H961" t="n">
        <v>4</v>
      </c>
      <c r="I961" t="inlineStr">
        <is>
          <t>LAUNDRY_BY_DESIGN_T427690_FOR_1.jpg</t>
        </is>
      </c>
      <c r="J961" t="inlineStr">
        <is>
          <t>LAUNDRY_BY_DESIGN_T427690_FOR_2.jpg</t>
        </is>
      </c>
      <c r="K961" t="inlineStr">
        <is>
          <t>LAUNDRY_BY_DESIGN_T427690_FOR_3.jpg</t>
        </is>
      </c>
      <c r="L961">
        <f>IMAGE("file:///E:/Estudios%20y%20certificaciones/ESTUDIOS%20DE%20PROGRAMMING/PROGRAMMING/PERSONAL/PYTHON/Image_Generator_API/imagenes/LAUNDRY_BY_DESIGN_T427690_FOR_1.jpg")</f>
        <v/>
      </c>
      <c r="M961">
        <f>IMAGE("file:///E:/Estudios%20y%20certificaciones/ESTUDIOS%20DE%20PROGRAMMING/PROGRAMMING/PERSONAL/PYTHON/Image_Generator_API/imagenes/LAUNDRY_BY_DESIGN_T427690_FOR_2.jpg")</f>
        <v/>
      </c>
      <c r="N961">
        <f>IMAGE("file:///E:/Estudios%20y%20certificaciones/ESTUDIOS%20DE%20PROGRAMMING/PROGRAMMING/PERSONAL/PYTHON/Image_Generator_API/imagenes/LAUNDRY_BY_DESIGN_T427690_FOR_3.jpg")</f>
        <v/>
      </c>
      <c r="O961">
        <f>HYPERLINK("imagenes/LAUNDRY_BY_DESIGN_T427690_FOR_1.jpg","Ver imagen")</f>
        <v/>
      </c>
      <c r="P961">
        <f>HYPERLINK("imagenes/LAUNDRY_BY_DESIGN_T427690_FOR_2.jpg","Ver imagen")</f>
        <v/>
      </c>
      <c r="Q961">
        <f>HYPERLINK("imagenes/LAUNDRY_BY_DESIGN_T427690_FOR_3.jpg","Ver imagen")</f>
        <v/>
      </c>
    </row>
    <row r="962">
      <c r="A962" t="inlineStr">
        <is>
          <t>LAUNDRY BY DESIGN</t>
        </is>
      </c>
      <c r="B962" t="inlineStr">
        <is>
          <t>T427690</t>
        </is>
      </c>
      <c r="C962" t="inlineStr">
        <is>
          <t>SNAP OFF COAT W/TIP</t>
        </is>
      </c>
      <c r="D962" t="inlineStr">
        <is>
          <t>NVY</t>
        </is>
      </c>
      <c r="E962" t="inlineStr">
        <is>
          <t>(en blanco)</t>
        </is>
      </c>
      <c r="F962" t="inlineStr">
        <is>
          <t>(en blanco)</t>
        </is>
      </c>
      <c r="G962" t="inlineStr">
        <is>
          <t>XXS</t>
        </is>
      </c>
      <c r="H962" t="n">
        <v>10</v>
      </c>
      <c r="I962" t="inlineStr">
        <is>
          <t>LAUNDRY_BY_DESIGN_T427690_NVY_1.jpg</t>
        </is>
      </c>
      <c r="J962" t="inlineStr">
        <is>
          <t>LAUNDRY_BY_DESIGN_T427690_NVY_2.jpg</t>
        </is>
      </c>
      <c r="K962" t="inlineStr">
        <is>
          <t>LAUNDRY_BY_DESIGN_T427690_NVY_3.jpg</t>
        </is>
      </c>
      <c r="L962">
        <f>IMAGE("file:///E:/Estudios%20y%20certificaciones/ESTUDIOS%20DE%20PROGRAMMING/PROGRAMMING/PERSONAL/PYTHON/Image_Generator_API/imagenes/LAUNDRY_BY_DESIGN_T427690_NVY_1.jpg")</f>
        <v/>
      </c>
      <c r="M962">
        <f>IMAGE("file:///E:/Estudios%20y%20certificaciones/ESTUDIOS%20DE%20PROGRAMMING/PROGRAMMING/PERSONAL/PYTHON/Image_Generator_API/imagenes/LAUNDRY_BY_DESIGN_T427690_NVY_2.jpg")</f>
        <v/>
      </c>
      <c r="N962">
        <f>IMAGE("file:///E:/Estudios%20y%20certificaciones/ESTUDIOS%20DE%20PROGRAMMING/PROGRAMMING/PERSONAL/PYTHON/Image_Generator_API/imagenes/LAUNDRY_BY_DESIGN_T427690_NVY_3.jpg")</f>
        <v/>
      </c>
      <c r="O962">
        <f>HYPERLINK("imagenes/LAUNDRY_BY_DESIGN_T427690_NVY_1.jpg","Ver imagen")</f>
        <v/>
      </c>
      <c r="P962">
        <f>HYPERLINK("imagenes/LAUNDRY_BY_DESIGN_T427690_NVY_2.jpg","Ver imagen")</f>
        <v/>
      </c>
      <c r="Q962">
        <f>HYPERLINK("imagenes/LAUNDRY_BY_DESIGN_T427690_NVY_3.jpg","Ver imagen")</f>
        <v/>
      </c>
    </row>
    <row r="963">
      <c r="A963" t="inlineStr">
        <is>
          <t>LAUNDRY BY DESIGN</t>
        </is>
      </c>
      <c r="B963" t="inlineStr">
        <is>
          <t>T427697</t>
        </is>
      </c>
      <c r="C963" t="inlineStr">
        <is>
          <t>ASSYMETRY FRONT COAT</t>
        </is>
      </c>
      <c r="D963" t="inlineStr">
        <is>
          <t>BLK</t>
        </is>
      </c>
      <c r="E963" t="inlineStr">
        <is>
          <t>(en blanco)</t>
        </is>
      </c>
      <c r="F963" t="inlineStr">
        <is>
          <t>(en blanco)</t>
        </is>
      </c>
      <c r="G963" t="inlineStr">
        <is>
          <t>L</t>
        </is>
      </c>
      <c r="H963" t="n">
        <v>1</v>
      </c>
      <c r="I963" t="inlineStr">
        <is>
          <t>LAUNDRY_BY_DESIGN_T427697_BLK_1.jpg</t>
        </is>
      </c>
      <c r="J963" t="inlineStr">
        <is>
          <t>LAUNDRY_BY_DESIGN_T427697_BLK_2.jpg</t>
        </is>
      </c>
      <c r="K963" t="inlineStr">
        <is>
          <t>LAUNDRY_BY_DESIGN_T427697_BLK_3.jpg</t>
        </is>
      </c>
      <c r="L963">
        <f>IMAGE("file:///E:/Estudios%20y%20certificaciones/ESTUDIOS%20DE%20PROGRAMMING/PROGRAMMING/PERSONAL/PYTHON/Image_Generator_API/imagenes/LAUNDRY_BY_DESIGN_T427697_BLK_1.jpg")</f>
        <v/>
      </c>
      <c r="M963">
        <f>IMAGE("file:///E:/Estudios%20y%20certificaciones/ESTUDIOS%20DE%20PROGRAMMING/PROGRAMMING/PERSONAL/PYTHON/Image_Generator_API/imagenes/LAUNDRY_BY_DESIGN_T427697_BLK_2.jpg")</f>
        <v/>
      </c>
      <c r="N963">
        <f>IMAGE("file:///E:/Estudios%20y%20certificaciones/ESTUDIOS%20DE%20PROGRAMMING/PROGRAMMING/PERSONAL/PYTHON/Image_Generator_API/imagenes/LAUNDRY_BY_DESIGN_T427697_BLK_3.jpg")</f>
        <v/>
      </c>
      <c r="O963">
        <f>HYPERLINK("imagenes/LAUNDRY_BY_DESIGN_T427697_BLK_1.jpg","Ver imagen")</f>
        <v/>
      </c>
      <c r="P963">
        <f>HYPERLINK("imagenes/LAUNDRY_BY_DESIGN_T427697_BLK_2.jpg","Ver imagen")</f>
        <v/>
      </c>
      <c r="Q963">
        <f>HYPERLINK("imagenes/LAUNDRY_BY_DESIGN_T427697_BLK_3.jpg","Ver imagen")</f>
        <v/>
      </c>
    </row>
    <row r="964">
      <c r="A964" t="inlineStr">
        <is>
          <t>LAUNDRY BY DESIGN</t>
        </is>
      </c>
      <c r="B964" t="inlineStr">
        <is>
          <t>T432133</t>
        </is>
      </c>
      <c r="C964" t="inlineStr">
        <is>
          <t>30  FAUX SILK QUILTD</t>
        </is>
      </c>
      <c r="D964" t="inlineStr">
        <is>
          <t>PTR</t>
        </is>
      </c>
      <c r="E964" t="inlineStr">
        <is>
          <t>(en blanco)</t>
        </is>
      </c>
      <c r="F964" t="inlineStr">
        <is>
          <t>(en blanco)</t>
        </is>
      </c>
      <c r="G964" t="inlineStr">
        <is>
          <t>3X</t>
        </is>
      </c>
      <c r="H964" t="n">
        <v>1</v>
      </c>
      <c r="I964" t="inlineStr">
        <is>
          <t>LAUNDRY_BY_DESIGN_T432133_PTR_1.jpg</t>
        </is>
      </c>
      <c r="J964" t="inlineStr">
        <is>
          <t>LAUNDRY_BY_DESIGN_T432133_PTR_2.jpg</t>
        </is>
      </c>
      <c r="K964" t="inlineStr">
        <is>
          <t>LAUNDRY_BY_DESIGN_T432133_PTR_3.jpg</t>
        </is>
      </c>
      <c r="L964">
        <f>IMAGE("file:///E:/Estudios%20y%20certificaciones/ESTUDIOS%20DE%20PROGRAMMING/PROGRAMMING/PERSONAL/PYTHON/Image_Generator_API/imagenes/LAUNDRY_BY_DESIGN_T432133_PTR_1.jpg")</f>
        <v/>
      </c>
      <c r="M964">
        <f>IMAGE("file:///E:/Estudios%20y%20certificaciones/ESTUDIOS%20DE%20PROGRAMMING/PROGRAMMING/PERSONAL/PYTHON/Image_Generator_API/imagenes/LAUNDRY_BY_DESIGN_T432133_PTR_2.jpg")</f>
        <v/>
      </c>
      <c r="N964">
        <f>IMAGE("file:///E:/Estudios%20y%20certificaciones/ESTUDIOS%20DE%20PROGRAMMING/PROGRAMMING/PERSONAL/PYTHON/Image_Generator_API/imagenes/LAUNDRY_BY_DESIGN_T432133_PTR_3.jpg")</f>
        <v/>
      </c>
      <c r="O964">
        <f>HYPERLINK("imagenes/LAUNDRY_BY_DESIGN_T432133_PTR_1.jpg","Ver imagen")</f>
        <v/>
      </c>
      <c r="P964">
        <f>HYPERLINK("imagenes/LAUNDRY_BY_DESIGN_T432133_PTR_2.jpg","Ver imagen")</f>
        <v/>
      </c>
      <c r="Q964">
        <f>HYPERLINK("imagenes/LAUNDRY_BY_DESIGN_T432133_PTR_3.jpg","Ver imagen")</f>
        <v/>
      </c>
    </row>
    <row r="965">
      <c r="A965" t="inlineStr">
        <is>
          <t>LAUNDRY BY DESIGN</t>
        </is>
      </c>
      <c r="B965" t="inlineStr">
        <is>
          <t>T720472</t>
        </is>
      </c>
      <c r="C965" t="inlineStr">
        <is>
          <t>HOODED TOGGLE JKT</t>
        </is>
      </c>
      <c r="D965" t="inlineStr">
        <is>
          <t>SPA</t>
        </is>
      </c>
      <c r="E965" t="inlineStr">
        <is>
          <t>(en blanco)</t>
        </is>
      </c>
      <c r="F965" t="inlineStr">
        <is>
          <t>(en blanco)</t>
        </is>
      </c>
      <c r="G965" t="inlineStr">
        <is>
          <t>M</t>
        </is>
      </c>
      <c r="H965" t="n">
        <v>1</v>
      </c>
      <c r="I965" t="inlineStr">
        <is>
          <t>LAUNDRY_BY_DESIGN_T720472_SPA_2.jpg</t>
        </is>
      </c>
      <c r="J965" t="inlineStr">
        <is>
          <t>LAUNDRY_BY_DESIGN_T720472_SPA_3.jpg</t>
        </is>
      </c>
      <c r="L965">
        <f>IMAGE("file:///E:/Estudios%20y%20certificaciones/ESTUDIOS%20DE%20PROGRAMMING/PROGRAMMING/PERSONAL/PYTHON/Image_Generator_API/imagenes/LAUNDRY_BY_DESIGN_T720472_SPA_2.jpg")</f>
        <v/>
      </c>
      <c r="M965">
        <f>IMAGE("file:///E:/Estudios%20y%20certificaciones/ESTUDIOS%20DE%20PROGRAMMING/PROGRAMMING/PERSONAL/PYTHON/Image_Generator_API/imagenes/LAUNDRY_BY_DESIGN_T720472_SPA_3.jpg")</f>
        <v/>
      </c>
      <c r="O965">
        <f>HYPERLINK("imagenes/LAUNDRY_BY_DESIGN_T720472_SPA_2.jpg","Ver imagen")</f>
        <v/>
      </c>
      <c r="P965">
        <f>HYPERLINK("imagenes/LAUNDRY_BY_DESIGN_T720472_SPA_3.jpg","Ver imagen")</f>
        <v/>
      </c>
    </row>
    <row r="966">
      <c r="A966" t="inlineStr">
        <is>
          <t>LAUNDRY BY DESIGN</t>
        </is>
      </c>
      <c r="B966" t="inlineStr">
        <is>
          <t>T720594</t>
        </is>
      </c>
      <c r="C966" t="inlineStr">
        <is>
          <t>STAND CLLR SNAPS FNT</t>
        </is>
      </c>
      <c r="D966" t="inlineStr">
        <is>
          <t>CFG</t>
        </is>
      </c>
      <c r="E966" t="inlineStr">
        <is>
          <t>(en blanco)</t>
        </is>
      </c>
      <c r="F966" t="inlineStr">
        <is>
          <t>(en blanco)</t>
        </is>
      </c>
      <c r="G966" t="inlineStr">
        <is>
          <t>L</t>
        </is>
      </c>
      <c r="H966" t="n">
        <v>19</v>
      </c>
      <c r="I966" t="inlineStr">
        <is>
          <t>LAUNDRY_BY_DESIGN_T720594_CFG_1.jpg</t>
        </is>
      </c>
      <c r="J966" t="inlineStr">
        <is>
          <t>LAUNDRY_BY_DESIGN_T720594_CFG_2.jpg</t>
        </is>
      </c>
      <c r="K966" t="inlineStr">
        <is>
          <t>LAUNDRY_BY_DESIGN_T720594_CFG_3.jpg</t>
        </is>
      </c>
      <c r="L966">
        <f>IMAGE("file:///E:/Estudios%20y%20certificaciones/ESTUDIOS%20DE%20PROGRAMMING/PROGRAMMING/PERSONAL/PYTHON/Image_Generator_API/imagenes/LAUNDRY_BY_DESIGN_T720594_CFG_1.jpg")</f>
        <v/>
      </c>
      <c r="M966">
        <f>IMAGE("file:///E:/Estudios%20y%20certificaciones/ESTUDIOS%20DE%20PROGRAMMING/PROGRAMMING/PERSONAL/PYTHON/Image_Generator_API/imagenes/LAUNDRY_BY_DESIGN_T720594_CFG_2.jpg")</f>
        <v/>
      </c>
      <c r="N966">
        <f>IMAGE("file:///E:/Estudios%20y%20certificaciones/ESTUDIOS%20DE%20PROGRAMMING/PROGRAMMING/PERSONAL/PYTHON/Image_Generator_API/imagenes/LAUNDRY_BY_DESIGN_T720594_CFG_3.jpg")</f>
        <v/>
      </c>
      <c r="O966">
        <f>HYPERLINK("imagenes/LAUNDRY_BY_DESIGN_T720594_CFG_1.jpg","Ver imagen")</f>
        <v/>
      </c>
      <c r="P966">
        <f>HYPERLINK("imagenes/LAUNDRY_BY_DESIGN_T720594_CFG_2.jpg","Ver imagen")</f>
        <v/>
      </c>
      <c r="Q966">
        <f>HYPERLINK("imagenes/LAUNDRY_BY_DESIGN_T720594_CFG_3.jpg","Ver imagen")</f>
        <v/>
      </c>
    </row>
    <row r="967">
      <c r="A967" t="inlineStr">
        <is>
          <t>LAUNDRY BY DESIGN</t>
        </is>
      </c>
      <c r="B967" t="inlineStr">
        <is>
          <t>T720594</t>
        </is>
      </c>
      <c r="C967" t="inlineStr">
        <is>
          <t>STAND CLLR SNAPS FNT</t>
        </is>
      </c>
      <c r="D967" t="inlineStr">
        <is>
          <t>CFG</t>
        </is>
      </c>
      <c r="E967" t="inlineStr">
        <is>
          <t>(en blanco)</t>
        </is>
      </c>
      <c r="F967" t="inlineStr">
        <is>
          <t>(en blanco)</t>
        </is>
      </c>
      <c r="G967" t="inlineStr">
        <is>
          <t>XL</t>
        </is>
      </c>
      <c r="H967" t="n">
        <v>21</v>
      </c>
      <c r="I967" t="inlineStr">
        <is>
          <t>LAUNDRY_BY_DESIGN_T720594_CFG_1.jpg</t>
        </is>
      </c>
      <c r="J967" t="inlineStr">
        <is>
          <t>LAUNDRY_BY_DESIGN_T720594_CFG_2.jpg</t>
        </is>
      </c>
      <c r="K967" t="inlineStr">
        <is>
          <t>LAUNDRY_BY_DESIGN_T720594_CFG_3.jpg</t>
        </is>
      </c>
      <c r="L967">
        <f>IMAGE("file:///E:/Estudios%20y%20certificaciones/ESTUDIOS%20DE%20PROGRAMMING/PROGRAMMING/PERSONAL/PYTHON/Image_Generator_API/imagenes/LAUNDRY_BY_DESIGN_T720594_CFG_1.jpg")</f>
        <v/>
      </c>
      <c r="M967">
        <f>IMAGE("file:///E:/Estudios%20y%20certificaciones/ESTUDIOS%20DE%20PROGRAMMING/PROGRAMMING/PERSONAL/PYTHON/Image_Generator_API/imagenes/LAUNDRY_BY_DESIGN_T720594_CFG_2.jpg")</f>
        <v/>
      </c>
      <c r="N967">
        <f>IMAGE("file:///E:/Estudios%20y%20certificaciones/ESTUDIOS%20DE%20PROGRAMMING/PROGRAMMING/PERSONAL/PYTHON/Image_Generator_API/imagenes/LAUNDRY_BY_DESIGN_T720594_CFG_3.jpg")</f>
        <v/>
      </c>
      <c r="O967">
        <f>HYPERLINK("imagenes/LAUNDRY_BY_DESIGN_T720594_CFG_1.jpg","Ver imagen")</f>
        <v/>
      </c>
      <c r="P967">
        <f>HYPERLINK("imagenes/LAUNDRY_BY_DESIGN_T720594_CFG_2.jpg","Ver imagen")</f>
        <v/>
      </c>
      <c r="Q967">
        <f>HYPERLINK("imagenes/LAUNDRY_BY_DESIGN_T720594_CFG_3.jpg","Ver imagen")</f>
        <v/>
      </c>
    </row>
    <row r="968">
      <c r="A968" t="inlineStr">
        <is>
          <t>LAUNDRY BY DESIGN</t>
        </is>
      </c>
      <c r="B968" t="inlineStr">
        <is>
          <t>T724860</t>
        </is>
      </c>
      <c r="C968" t="inlineStr">
        <is>
          <t>ASYMMTR.ZIP PKTS</t>
        </is>
      </c>
      <c r="D968" t="inlineStr">
        <is>
          <t>BA7</t>
        </is>
      </c>
      <c r="E968" t="inlineStr">
        <is>
          <t>(en blanco)</t>
        </is>
      </c>
      <c r="F968" t="inlineStr">
        <is>
          <t>(en blanco)</t>
        </is>
      </c>
      <c r="G968" t="inlineStr">
        <is>
          <t>XS</t>
        </is>
      </c>
      <c r="H968" t="n">
        <v>32</v>
      </c>
      <c r="I968" t="inlineStr">
        <is>
          <t>LAUNDRY_BY_DESIGN_T724860_BA7_1.jpg</t>
        </is>
      </c>
      <c r="J968" t="inlineStr">
        <is>
          <t>LAUNDRY_BY_DESIGN_T724860_BA7_2.jpg</t>
        </is>
      </c>
      <c r="K968" t="inlineStr">
        <is>
          <t>LAUNDRY_BY_DESIGN_T724860_BA7_3.jpg</t>
        </is>
      </c>
      <c r="L968">
        <f>IMAGE("file:///E:/Estudios%20y%20certificaciones/ESTUDIOS%20DE%20PROGRAMMING/PROGRAMMING/PERSONAL/PYTHON/Image_Generator_API/imagenes/LAUNDRY_BY_DESIGN_T724860_BA7_1.jpg")</f>
        <v/>
      </c>
      <c r="M968">
        <f>IMAGE("file:///E:/Estudios%20y%20certificaciones/ESTUDIOS%20DE%20PROGRAMMING/PROGRAMMING/PERSONAL/PYTHON/Image_Generator_API/imagenes/LAUNDRY_BY_DESIGN_T724860_BA7_2.jpg")</f>
        <v/>
      </c>
      <c r="N968">
        <f>IMAGE("file:///E:/Estudios%20y%20certificaciones/ESTUDIOS%20DE%20PROGRAMMING/PROGRAMMING/PERSONAL/PYTHON/Image_Generator_API/imagenes/LAUNDRY_BY_DESIGN_T724860_BA7_3.jpg")</f>
        <v/>
      </c>
      <c r="O968">
        <f>HYPERLINK("imagenes/LAUNDRY_BY_DESIGN_T724860_BA7_1.jpg","Ver imagen")</f>
        <v/>
      </c>
      <c r="P968">
        <f>HYPERLINK("imagenes/LAUNDRY_BY_DESIGN_T724860_BA7_2.jpg","Ver imagen")</f>
        <v/>
      </c>
      <c r="Q968">
        <f>HYPERLINK("imagenes/LAUNDRY_BY_DESIGN_T724860_BA7_3.jpg","Ver imagen")</f>
        <v/>
      </c>
    </row>
    <row r="969">
      <c r="A969" t="inlineStr">
        <is>
          <t>LAUNDRY BY DESIGN</t>
        </is>
      </c>
      <c r="B969" t="inlineStr">
        <is>
          <t>T724860</t>
        </is>
      </c>
      <c r="C969" t="inlineStr">
        <is>
          <t>ASYMMTR.ZIP PKTS</t>
        </is>
      </c>
      <c r="D969" t="inlineStr">
        <is>
          <t>BA7</t>
        </is>
      </c>
      <c r="E969" t="inlineStr">
        <is>
          <t>(en blanco)</t>
        </is>
      </c>
      <c r="F969" t="inlineStr">
        <is>
          <t>(en blanco)</t>
        </is>
      </c>
      <c r="G969" t="inlineStr">
        <is>
          <t>S</t>
        </is>
      </c>
      <c r="H969" t="n">
        <v>111</v>
      </c>
      <c r="I969" t="inlineStr">
        <is>
          <t>LAUNDRY_BY_DESIGN_T724860_BA7_1.jpg</t>
        </is>
      </c>
      <c r="J969" t="inlineStr">
        <is>
          <t>LAUNDRY_BY_DESIGN_T724860_BA7_2.jpg</t>
        </is>
      </c>
      <c r="K969" t="inlineStr">
        <is>
          <t>LAUNDRY_BY_DESIGN_T724860_BA7_3.jpg</t>
        </is>
      </c>
      <c r="L969">
        <f>IMAGE("file:///E:/Estudios%20y%20certificaciones/ESTUDIOS%20DE%20PROGRAMMING/PROGRAMMING/PERSONAL/PYTHON/Image_Generator_API/imagenes/LAUNDRY_BY_DESIGN_T724860_BA7_1.jpg")</f>
        <v/>
      </c>
      <c r="M969">
        <f>IMAGE("file:///E:/Estudios%20y%20certificaciones/ESTUDIOS%20DE%20PROGRAMMING/PROGRAMMING/PERSONAL/PYTHON/Image_Generator_API/imagenes/LAUNDRY_BY_DESIGN_T724860_BA7_2.jpg")</f>
        <v/>
      </c>
      <c r="N969">
        <f>IMAGE("file:///E:/Estudios%20y%20certificaciones/ESTUDIOS%20DE%20PROGRAMMING/PROGRAMMING/PERSONAL/PYTHON/Image_Generator_API/imagenes/LAUNDRY_BY_DESIGN_T724860_BA7_3.jpg")</f>
        <v/>
      </c>
      <c r="O969">
        <f>HYPERLINK("imagenes/LAUNDRY_BY_DESIGN_T724860_BA7_1.jpg","Ver imagen")</f>
        <v/>
      </c>
      <c r="P969">
        <f>HYPERLINK("imagenes/LAUNDRY_BY_DESIGN_T724860_BA7_2.jpg","Ver imagen")</f>
        <v/>
      </c>
      <c r="Q969">
        <f>HYPERLINK("imagenes/LAUNDRY_BY_DESIGN_T724860_BA7_3.jpg","Ver imagen")</f>
        <v/>
      </c>
    </row>
    <row r="970">
      <c r="A970" t="inlineStr">
        <is>
          <t>LAUNDRY BY DESIGN</t>
        </is>
      </c>
      <c r="B970" t="inlineStr">
        <is>
          <t>T724860</t>
        </is>
      </c>
      <c r="C970" t="inlineStr">
        <is>
          <t>ASYMMTR.ZIP PKTS</t>
        </is>
      </c>
      <c r="D970" t="inlineStr">
        <is>
          <t>BA7</t>
        </is>
      </c>
      <c r="E970" t="inlineStr">
        <is>
          <t>(en blanco)</t>
        </is>
      </c>
      <c r="F970" t="inlineStr">
        <is>
          <t>(en blanco)</t>
        </is>
      </c>
      <c r="G970" t="inlineStr">
        <is>
          <t>M</t>
        </is>
      </c>
      <c r="H970" t="n">
        <v>256</v>
      </c>
      <c r="I970" t="inlineStr">
        <is>
          <t>LAUNDRY_BY_DESIGN_T724860_BA7_1.jpg</t>
        </is>
      </c>
      <c r="J970" t="inlineStr">
        <is>
          <t>LAUNDRY_BY_DESIGN_T724860_BA7_2.jpg</t>
        </is>
      </c>
      <c r="K970" t="inlineStr">
        <is>
          <t>LAUNDRY_BY_DESIGN_T724860_BA7_3.jpg</t>
        </is>
      </c>
      <c r="L970">
        <f>IMAGE("file:///E:/Estudios%20y%20certificaciones/ESTUDIOS%20DE%20PROGRAMMING/PROGRAMMING/PERSONAL/PYTHON/Image_Generator_API/imagenes/LAUNDRY_BY_DESIGN_T724860_BA7_1.jpg")</f>
        <v/>
      </c>
      <c r="M970">
        <f>IMAGE("file:///E:/Estudios%20y%20certificaciones/ESTUDIOS%20DE%20PROGRAMMING/PROGRAMMING/PERSONAL/PYTHON/Image_Generator_API/imagenes/LAUNDRY_BY_DESIGN_T724860_BA7_2.jpg")</f>
        <v/>
      </c>
      <c r="N970">
        <f>IMAGE("file:///E:/Estudios%20y%20certificaciones/ESTUDIOS%20DE%20PROGRAMMING/PROGRAMMING/PERSONAL/PYTHON/Image_Generator_API/imagenes/LAUNDRY_BY_DESIGN_T724860_BA7_3.jpg")</f>
        <v/>
      </c>
      <c r="O970">
        <f>HYPERLINK("imagenes/LAUNDRY_BY_DESIGN_T724860_BA7_1.jpg","Ver imagen")</f>
        <v/>
      </c>
      <c r="P970">
        <f>HYPERLINK("imagenes/LAUNDRY_BY_DESIGN_T724860_BA7_2.jpg","Ver imagen")</f>
        <v/>
      </c>
      <c r="Q970">
        <f>HYPERLINK("imagenes/LAUNDRY_BY_DESIGN_T724860_BA7_3.jpg","Ver imagen")</f>
        <v/>
      </c>
    </row>
    <row r="971">
      <c r="A971" t="inlineStr">
        <is>
          <t>LAUNDRY BY DESIGN</t>
        </is>
      </c>
      <c r="B971" t="inlineStr">
        <is>
          <t>T724860</t>
        </is>
      </c>
      <c r="C971" t="inlineStr">
        <is>
          <t>ASYMMTR.ZIP PKTS</t>
        </is>
      </c>
      <c r="D971" t="inlineStr">
        <is>
          <t>BA7</t>
        </is>
      </c>
      <c r="E971" t="inlineStr">
        <is>
          <t>(en blanco)</t>
        </is>
      </c>
      <c r="F971" t="inlineStr">
        <is>
          <t>(en blanco)</t>
        </is>
      </c>
      <c r="G971" t="inlineStr">
        <is>
          <t>L</t>
        </is>
      </c>
      <c r="H971" t="n">
        <v>258</v>
      </c>
      <c r="I971" t="inlineStr">
        <is>
          <t>LAUNDRY_BY_DESIGN_T724860_BA7_1.jpg</t>
        </is>
      </c>
      <c r="J971" t="inlineStr">
        <is>
          <t>LAUNDRY_BY_DESIGN_T724860_BA7_2.jpg</t>
        </is>
      </c>
      <c r="K971" t="inlineStr">
        <is>
          <t>LAUNDRY_BY_DESIGN_T724860_BA7_3.jpg</t>
        </is>
      </c>
      <c r="L971">
        <f>IMAGE("file:///E:/Estudios%20y%20certificaciones/ESTUDIOS%20DE%20PROGRAMMING/PROGRAMMING/PERSONAL/PYTHON/Image_Generator_API/imagenes/LAUNDRY_BY_DESIGN_T724860_BA7_1.jpg")</f>
        <v/>
      </c>
      <c r="M971">
        <f>IMAGE("file:///E:/Estudios%20y%20certificaciones/ESTUDIOS%20DE%20PROGRAMMING/PROGRAMMING/PERSONAL/PYTHON/Image_Generator_API/imagenes/LAUNDRY_BY_DESIGN_T724860_BA7_2.jpg")</f>
        <v/>
      </c>
      <c r="N971">
        <f>IMAGE("file:///E:/Estudios%20y%20certificaciones/ESTUDIOS%20DE%20PROGRAMMING/PROGRAMMING/PERSONAL/PYTHON/Image_Generator_API/imagenes/LAUNDRY_BY_DESIGN_T724860_BA7_3.jpg")</f>
        <v/>
      </c>
      <c r="O971">
        <f>HYPERLINK("imagenes/LAUNDRY_BY_DESIGN_T724860_BA7_1.jpg","Ver imagen")</f>
        <v/>
      </c>
      <c r="P971">
        <f>HYPERLINK("imagenes/LAUNDRY_BY_DESIGN_T724860_BA7_2.jpg","Ver imagen")</f>
        <v/>
      </c>
      <c r="Q971">
        <f>HYPERLINK("imagenes/LAUNDRY_BY_DESIGN_T724860_BA7_3.jpg","Ver imagen")</f>
        <v/>
      </c>
    </row>
    <row r="972">
      <c r="A972" t="inlineStr">
        <is>
          <t>LAUNDRY BY DESIGN</t>
        </is>
      </c>
      <c r="B972" t="inlineStr">
        <is>
          <t>T724860</t>
        </is>
      </c>
      <c r="C972" t="inlineStr">
        <is>
          <t>ASYMMTR.ZIP PKTS</t>
        </is>
      </c>
      <c r="D972" t="inlineStr">
        <is>
          <t>BA7</t>
        </is>
      </c>
      <c r="E972" t="inlineStr">
        <is>
          <t>(en blanco)</t>
        </is>
      </c>
      <c r="F972" t="inlineStr">
        <is>
          <t>(en blanco)</t>
        </is>
      </c>
      <c r="G972" t="inlineStr">
        <is>
          <t>XL</t>
        </is>
      </c>
      <c r="H972" t="n">
        <v>114</v>
      </c>
      <c r="I972" t="inlineStr">
        <is>
          <t>LAUNDRY_BY_DESIGN_T724860_BA7_1.jpg</t>
        </is>
      </c>
      <c r="J972" t="inlineStr">
        <is>
          <t>LAUNDRY_BY_DESIGN_T724860_BA7_2.jpg</t>
        </is>
      </c>
      <c r="K972" t="inlineStr">
        <is>
          <t>LAUNDRY_BY_DESIGN_T724860_BA7_3.jpg</t>
        </is>
      </c>
      <c r="L972">
        <f>IMAGE("file:///E:/Estudios%20y%20certificaciones/ESTUDIOS%20DE%20PROGRAMMING/PROGRAMMING/PERSONAL/PYTHON/Image_Generator_API/imagenes/LAUNDRY_BY_DESIGN_T724860_BA7_1.jpg")</f>
        <v/>
      </c>
      <c r="M972">
        <f>IMAGE("file:///E:/Estudios%20y%20certificaciones/ESTUDIOS%20DE%20PROGRAMMING/PROGRAMMING/PERSONAL/PYTHON/Image_Generator_API/imagenes/LAUNDRY_BY_DESIGN_T724860_BA7_2.jpg")</f>
        <v/>
      </c>
      <c r="N972">
        <f>IMAGE("file:///E:/Estudios%20y%20certificaciones/ESTUDIOS%20DE%20PROGRAMMING/PROGRAMMING/PERSONAL/PYTHON/Image_Generator_API/imagenes/LAUNDRY_BY_DESIGN_T724860_BA7_3.jpg")</f>
        <v/>
      </c>
      <c r="O972">
        <f>HYPERLINK("imagenes/LAUNDRY_BY_DESIGN_T724860_BA7_1.jpg","Ver imagen")</f>
        <v/>
      </c>
      <c r="P972">
        <f>HYPERLINK("imagenes/LAUNDRY_BY_DESIGN_T724860_BA7_2.jpg","Ver imagen")</f>
        <v/>
      </c>
      <c r="Q972">
        <f>HYPERLINK("imagenes/LAUNDRY_BY_DESIGN_T724860_BA7_3.jpg","Ver imagen")</f>
        <v/>
      </c>
    </row>
    <row r="973">
      <c r="A973" t="inlineStr">
        <is>
          <t>LAUNDRY BY DESIGN</t>
        </is>
      </c>
      <c r="B973" t="inlineStr">
        <is>
          <t>T812185</t>
        </is>
      </c>
      <c r="C973" t="inlineStr">
        <is>
          <t>3/4 HOODED MINIQUILT</t>
        </is>
      </c>
      <c r="D973" t="inlineStr">
        <is>
          <t>MGN</t>
        </is>
      </c>
      <c r="E973" t="inlineStr">
        <is>
          <t>(en blanco)</t>
        </is>
      </c>
      <c r="F973" t="inlineStr">
        <is>
          <t>(en blanco)</t>
        </is>
      </c>
      <c r="G973" t="inlineStr">
        <is>
          <t>SP</t>
        </is>
      </c>
      <c r="H973" t="n">
        <v>1</v>
      </c>
      <c r="I973" t="inlineStr">
        <is>
          <t>LAUNDRY_BY_DESIGN_T812185_MGN_1.jpg</t>
        </is>
      </c>
      <c r="J973" t="inlineStr">
        <is>
          <t>LAUNDRY_BY_DESIGN_T812185_MGN_2.jpg</t>
        </is>
      </c>
      <c r="K973" t="inlineStr">
        <is>
          <t>LAUNDRY_BY_DESIGN_T812185_MGN_3.jpg</t>
        </is>
      </c>
      <c r="L973">
        <f>IMAGE("file:///E:/Estudios%20y%20certificaciones/ESTUDIOS%20DE%20PROGRAMMING/PROGRAMMING/PERSONAL/PYTHON/Image_Generator_API/imagenes/LAUNDRY_BY_DESIGN_T812185_MGN_1.jpg")</f>
        <v/>
      </c>
      <c r="M973">
        <f>IMAGE("file:///E:/Estudios%20y%20certificaciones/ESTUDIOS%20DE%20PROGRAMMING/PROGRAMMING/PERSONAL/PYTHON/Image_Generator_API/imagenes/LAUNDRY_BY_DESIGN_T812185_MGN_2.jpg")</f>
        <v/>
      </c>
      <c r="N973">
        <f>IMAGE("file:///E:/Estudios%20y%20certificaciones/ESTUDIOS%20DE%20PROGRAMMING/PROGRAMMING/PERSONAL/PYTHON/Image_Generator_API/imagenes/LAUNDRY_BY_DESIGN_T812185_MGN_3.jpg")</f>
        <v/>
      </c>
      <c r="O973">
        <f>HYPERLINK("imagenes/LAUNDRY_BY_DESIGN_T812185_MGN_1.jpg","Ver imagen")</f>
        <v/>
      </c>
      <c r="P973">
        <f>HYPERLINK("imagenes/LAUNDRY_BY_DESIGN_T812185_MGN_2.jpg","Ver imagen")</f>
        <v/>
      </c>
      <c r="Q973">
        <f>HYPERLINK("imagenes/LAUNDRY_BY_DESIGN_T812185_MGN_3.jpg","Ver imagen")</f>
        <v/>
      </c>
    </row>
    <row r="974">
      <c r="A974" t="inlineStr">
        <is>
          <t>LAUNDRY BY DESIGN</t>
        </is>
      </c>
      <c r="B974" t="inlineStr">
        <is>
          <t>T812185</t>
        </is>
      </c>
      <c r="C974" t="inlineStr">
        <is>
          <t>3/4 HOODED MINIQUILT</t>
        </is>
      </c>
      <c r="D974" t="inlineStr">
        <is>
          <t>MGN</t>
        </is>
      </c>
      <c r="E974" t="inlineStr">
        <is>
          <t>(en blanco)</t>
        </is>
      </c>
      <c r="F974" t="inlineStr">
        <is>
          <t>(en blanco)</t>
        </is>
      </c>
      <c r="G974" t="inlineStr">
        <is>
          <t>XSP</t>
        </is>
      </c>
      <c r="H974" t="n">
        <v>1</v>
      </c>
      <c r="I974" t="inlineStr">
        <is>
          <t>LAUNDRY_BY_DESIGN_T812185_MGN_1.jpg</t>
        </is>
      </c>
      <c r="J974" t="inlineStr">
        <is>
          <t>LAUNDRY_BY_DESIGN_T812185_MGN_2.jpg</t>
        </is>
      </c>
      <c r="K974" t="inlineStr">
        <is>
          <t>LAUNDRY_BY_DESIGN_T812185_MGN_3.jpg</t>
        </is>
      </c>
      <c r="L974">
        <f>IMAGE("file:///E:/Estudios%20y%20certificaciones/ESTUDIOS%20DE%20PROGRAMMING/PROGRAMMING/PERSONAL/PYTHON/Image_Generator_API/imagenes/LAUNDRY_BY_DESIGN_T812185_MGN_1.jpg")</f>
        <v/>
      </c>
      <c r="M974">
        <f>IMAGE("file:///E:/Estudios%20y%20certificaciones/ESTUDIOS%20DE%20PROGRAMMING/PROGRAMMING/PERSONAL/PYTHON/Image_Generator_API/imagenes/LAUNDRY_BY_DESIGN_T812185_MGN_2.jpg")</f>
        <v/>
      </c>
      <c r="N974">
        <f>IMAGE("file:///E:/Estudios%20y%20certificaciones/ESTUDIOS%20DE%20PROGRAMMING/PROGRAMMING/PERSONAL/PYTHON/Image_Generator_API/imagenes/LAUNDRY_BY_DESIGN_T812185_MGN_3.jpg")</f>
        <v/>
      </c>
      <c r="O974">
        <f>HYPERLINK("imagenes/LAUNDRY_BY_DESIGN_T812185_MGN_1.jpg","Ver imagen")</f>
        <v/>
      </c>
      <c r="P974">
        <f>HYPERLINK("imagenes/LAUNDRY_BY_DESIGN_T812185_MGN_2.jpg","Ver imagen")</f>
        <v/>
      </c>
      <c r="Q974">
        <f>HYPERLINK("imagenes/LAUNDRY_BY_DESIGN_T812185_MGN_3.jpg","Ver imagen")</f>
        <v/>
      </c>
    </row>
    <row r="975">
      <c r="A975" t="inlineStr">
        <is>
          <t>LAUNDRY BY DESIGN</t>
        </is>
      </c>
      <c r="B975" t="inlineStr">
        <is>
          <t>T825090</t>
        </is>
      </c>
      <c r="C975" t="inlineStr">
        <is>
          <t>WOOL COAT</t>
        </is>
      </c>
      <c r="D975" t="inlineStr">
        <is>
          <t>LUS</t>
        </is>
      </c>
      <c r="E975" t="inlineStr">
        <is>
          <t>(en blanco)</t>
        </is>
      </c>
      <c r="F975" t="inlineStr">
        <is>
          <t>(en blanco)</t>
        </is>
      </c>
      <c r="G975" t="inlineStr">
        <is>
          <t>XL</t>
        </is>
      </c>
      <c r="H975" t="n">
        <v>1</v>
      </c>
      <c r="I975" t="inlineStr">
        <is>
          <t>LAUNDRY_BY_DESIGN_T825090_LUS_1.jpg</t>
        </is>
      </c>
      <c r="J975" t="inlineStr">
        <is>
          <t>LAUNDRY_BY_DESIGN_T825090_LUS_2.jpg</t>
        </is>
      </c>
      <c r="K975" t="inlineStr">
        <is>
          <t>LAUNDRY_BY_DESIGN_T825090_LUS_3.jpg</t>
        </is>
      </c>
      <c r="L975">
        <f>IMAGE("file:///E:/Estudios%20y%20certificaciones/ESTUDIOS%20DE%20PROGRAMMING/PROGRAMMING/PERSONAL/PYTHON/Image_Generator_API/imagenes/LAUNDRY_BY_DESIGN_T825090_LUS_1.jpg")</f>
        <v/>
      </c>
      <c r="M975">
        <f>IMAGE("file:///E:/Estudios%20y%20certificaciones/ESTUDIOS%20DE%20PROGRAMMING/PROGRAMMING/PERSONAL/PYTHON/Image_Generator_API/imagenes/LAUNDRY_BY_DESIGN_T825090_LUS_2.jpg")</f>
        <v/>
      </c>
      <c r="N975">
        <f>IMAGE("file:///E:/Estudios%20y%20certificaciones/ESTUDIOS%20DE%20PROGRAMMING/PROGRAMMING/PERSONAL/PYTHON/Image_Generator_API/imagenes/LAUNDRY_BY_DESIGN_T825090_LUS_3.jpg")</f>
        <v/>
      </c>
      <c r="O975">
        <f>HYPERLINK("imagenes/LAUNDRY_BY_DESIGN_T825090_LUS_1.jpg","Ver imagen")</f>
        <v/>
      </c>
      <c r="P975">
        <f>HYPERLINK("imagenes/LAUNDRY_BY_DESIGN_T825090_LUS_2.jpg","Ver imagen")</f>
        <v/>
      </c>
      <c r="Q975">
        <f>HYPERLINK("imagenes/LAUNDRY_BY_DESIGN_T825090_LUS_3.jpg","Ver imagen")</f>
        <v/>
      </c>
    </row>
    <row r="976">
      <c r="A976" t="inlineStr">
        <is>
          <t>LAUNDRY BY DESIGN</t>
        </is>
      </c>
      <c r="B976" t="inlineStr">
        <is>
          <t>T827690</t>
        </is>
      </c>
      <c r="C976" t="inlineStr">
        <is>
          <t>WOOL COAT</t>
        </is>
      </c>
      <c r="D976" t="inlineStr">
        <is>
          <t>LCL</t>
        </is>
      </c>
      <c r="E976" t="inlineStr">
        <is>
          <t>(en blanco)</t>
        </is>
      </c>
      <c r="F976" t="inlineStr">
        <is>
          <t>(en blanco)</t>
        </is>
      </c>
      <c r="G976" t="inlineStr">
        <is>
          <t>S</t>
        </is>
      </c>
      <c r="H976" t="n">
        <v>15</v>
      </c>
      <c r="I976" t="inlineStr">
        <is>
          <t>LAUNDRY_BY_DESIGN_T827690_LCL_1.jpg</t>
        </is>
      </c>
      <c r="J976" t="inlineStr">
        <is>
          <t>LAUNDRY_BY_DESIGN_T827690_LCL_2.jpg</t>
        </is>
      </c>
      <c r="K976" t="inlineStr">
        <is>
          <t>LAUNDRY_BY_DESIGN_T827690_LCL_3.jpg</t>
        </is>
      </c>
      <c r="L976">
        <f>IMAGE("file:///E:/Estudios%20y%20certificaciones/ESTUDIOS%20DE%20PROGRAMMING/PROGRAMMING/PERSONAL/PYTHON/Image_Generator_API/imagenes/LAUNDRY_BY_DESIGN_T827690_LCL_1.jpg")</f>
        <v/>
      </c>
      <c r="M976">
        <f>IMAGE("file:///E:/Estudios%20y%20certificaciones/ESTUDIOS%20DE%20PROGRAMMING/PROGRAMMING/PERSONAL/PYTHON/Image_Generator_API/imagenes/LAUNDRY_BY_DESIGN_T827690_LCL_2.jpg")</f>
        <v/>
      </c>
      <c r="N976">
        <f>IMAGE("file:///E:/Estudios%20y%20certificaciones/ESTUDIOS%20DE%20PROGRAMMING/PROGRAMMING/PERSONAL/PYTHON/Image_Generator_API/imagenes/LAUNDRY_BY_DESIGN_T827690_LCL_3.jpg")</f>
        <v/>
      </c>
      <c r="O976">
        <f>HYPERLINK("imagenes/LAUNDRY_BY_DESIGN_T827690_LCL_1.jpg","Ver imagen")</f>
        <v/>
      </c>
      <c r="P976">
        <f>HYPERLINK("imagenes/LAUNDRY_BY_DESIGN_T827690_LCL_2.jpg","Ver imagen")</f>
        <v/>
      </c>
      <c r="Q976">
        <f>HYPERLINK("imagenes/LAUNDRY_BY_DESIGN_T827690_LCL_3.jpg","Ver imagen")</f>
        <v/>
      </c>
    </row>
    <row r="977">
      <c r="A977" t="inlineStr">
        <is>
          <t>LAUNDRY BY DESIGN</t>
        </is>
      </c>
      <c r="B977" t="inlineStr">
        <is>
          <t>T827690</t>
        </is>
      </c>
      <c r="C977" t="inlineStr">
        <is>
          <t>WOOL COAT</t>
        </is>
      </c>
      <c r="D977" t="inlineStr">
        <is>
          <t>LCL</t>
        </is>
      </c>
      <c r="E977" t="inlineStr">
        <is>
          <t>(en blanco)</t>
        </is>
      </c>
      <c r="F977" t="inlineStr">
        <is>
          <t>(en blanco)</t>
        </is>
      </c>
      <c r="G977" t="inlineStr">
        <is>
          <t>L</t>
        </is>
      </c>
      <c r="H977" t="n">
        <v>1</v>
      </c>
      <c r="I977" t="inlineStr">
        <is>
          <t>LAUNDRY_BY_DESIGN_T827690_LCL_1.jpg</t>
        </is>
      </c>
      <c r="J977" t="inlineStr">
        <is>
          <t>LAUNDRY_BY_DESIGN_T827690_LCL_2.jpg</t>
        </is>
      </c>
      <c r="K977" t="inlineStr">
        <is>
          <t>LAUNDRY_BY_DESIGN_T827690_LCL_3.jpg</t>
        </is>
      </c>
      <c r="L977">
        <f>IMAGE("file:///E:/Estudios%20y%20certificaciones/ESTUDIOS%20DE%20PROGRAMMING/PROGRAMMING/PERSONAL/PYTHON/Image_Generator_API/imagenes/LAUNDRY_BY_DESIGN_T827690_LCL_1.jpg")</f>
        <v/>
      </c>
      <c r="M977">
        <f>IMAGE("file:///E:/Estudios%20y%20certificaciones/ESTUDIOS%20DE%20PROGRAMMING/PROGRAMMING/PERSONAL/PYTHON/Image_Generator_API/imagenes/LAUNDRY_BY_DESIGN_T827690_LCL_2.jpg")</f>
        <v/>
      </c>
      <c r="N977">
        <f>IMAGE("file:///E:/Estudios%20y%20certificaciones/ESTUDIOS%20DE%20PROGRAMMING/PROGRAMMING/PERSONAL/PYTHON/Image_Generator_API/imagenes/LAUNDRY_BY_DESIGN_T827690_LCL_3.jpg")</f>
        <v/>
      </c>
      <c r="O977">
        <f>HYPERLINK("imagenes/LAUNDRY_BY_DESIGN_T827690_LCL_1.jpg","Ver imagen")</f>
        <v/>
      </c>
      <c r="P977">
        <f>HYPERLINK("imagenes/LAUNDRY_BY_DESIGN_T827690_LCL_2.jpg","Ver imagen")</f>
        <v/>
      </c>
      <c r="Q977">
        <f>HYPERLINK("imagenes/LAUNDRY_BY_DESIGN_T827690_LCL_3.jpg","Ver imagen")</f>
        <v/>
      </c>
    </row>
    <row r="978">
      <c r="A978" t="inlineStr">
        <is>
          <t>LAUNDRY BY DESIGN</t>
        </is>
      </c>
      <c r="B978" t="inlineStr">
        <is>
          <t>T829590</t>
        </is>
      </c>
      <c r="C978" t="inlineStr">
        <is>
          <t>FANCY WOOL COAT</t>
        </is>
      </c>
      <c r="D978" t="inlineStr">
        <is>
          <t>FNC</t>
        </is>
      </c>
      <c r="E978" t="inlineStr">
        <is>
          <t>(en blanco)</t>
        </is>
      </c>
      <c r="F978" t="inlineStr">
        <is>
          <t>(en blanco)</t>
        </is>
      </c>
      <c r="G978" t="inlineStr">
        <is>
          <t>L</t>
        </is>
      </c>
      <c r="H978" t="n">
        <v>2</v>
      </c>
      <c r="I978" t="inlineStr">
        <is>
          <t>LAUNDRY_BY_DESIGN_T829590_FNC_1.jpg</t>
        </is>
      </c>
      <c r="J978" t="inlineStr">
        <is>
          <t>LAUNDRY_BY_DESIGN_T829590_FNC_2.jpg</t>
        </is>
      </c>
      <c r="K978" t="inlineStr">
        <is>
          <t>LAUNDRY_BY_DESIGN_T829590_FNC_3.jpg</t>
        </is>
      </c>
      <c r="L978">
        <f>IMAGE("file:///E:/Estudios%20y%20certificaciones/ESTUDIOS%20DE%20PROGRAMMING/PROGRAMMING/PERSONAL/PYTHON/Image_Generator_API/imagenes/LAUNDRY_BY_DESIGN_T829590_FNC_1.jpg")</f>
        <v/>
      </c>
      <c r="M978">
        <f>IMAGE("file:///E:/Estudios%20y%20certificaciones/ESTUDIOS%20DE%20PROGRAMMING/PROGRAMMING/PERSONAL/PYTHON/Image_Generator_API/imagenes/LAUNDRY_BY_DESIGN_T829590_FNC_2.jpg")</f>
        <v/>
      </c>
      <c r="N978">
        <f>IMAGE("file:///E:/Estudios%20y%20certificaciones/ESTUDIOS%20DE%20PROGRAMMING/PROGRAMMING/PERSONAL/PYTHON/Image_Generator_API/imagenes/LAUNDRY_BY_DESIGN_T829590_FNC_3.jpg")</f>
        <v/>
      </c>
      <c r="O978">
        <f>HYPERLINK("imagenes/LAUNDRY_BY_DESIGN_T829590_FNC_1.jpg","Ver imagen")</f>
        <v/>
      </c>
      <c r="P978">
        <f>HYPERLINK("imagenes/LAUNDRY_BY_DESIGN_T829590_FNC_2.jpg","Ver imagen")</f>
        <v/>
      </c>
      <c r="Q978">
        <f>HYPERLINK("imagenes/LAUNDRY_BY_DESIGN_T829590_FNC_3.jpg","Ver imagen")</f>
        <v/>
      </c>
    </row>
    <row r="979">
      <c r="A979" t="inlineStr">
        <is>
          <t>LAUNDRY BY DESIGN</t>
        </is>
      </c>
      <c r="B979" t="inlineStr">
        <is>
          <t>T829991</t>
        </is>
      </c>
      <c r="C979" t="inlineStr">
        <is>
          <t>HOODED  ZIP FNT</t>
        </is>
      </c>
      <c r="D979" t="inlineStr">
        <is>
          <t>SLA</t>
        </is>
      </c>
      <c r="E979" t="inlineStr">
        <is>
          <t>(en blanco)</t>
        </is>
      </c>
      <c r="F979" t="inlineStr">
        <is>
          <t>(en blanco)</t>
        </is>
      </c>
      <c r="G979" t="inlineStr">
        <is>
          <t>XS</t>
        </is>
      </c>
      <c r="H979" t="n">
        <v>3</v>
      </c>
      <c r="I979" t="inlineStr">
        <is>
          <t>LAUNDRY_BY_DESIGN_T829991_SLA_1.jpg</t>
        </is>
      </c>
      <c r="J979" t="inlineStr">
        <is>
          <t>LAUNDRY_BY_DESIGN_T829991_SLA_2.jpg</t>
        </is>
      </c>
      <c r="K979" t="inlineStr">
        <is>
          <t>LAUNDRY_BY_DESIGN_T829991_SLA_3.jpg</t>
        </is>
      </c>
      <c r="L979">
        <f>IMAGE("file:///E:/Estudios%20y%20certificaciones/ESTUDIOS%20DE%20PROGRAMMING/PROGRAMMING/PERSONAL/PYTHON/Image_Generator_API/imagenes/LAUNDRY_BY_DESIGN_T829991_SLA_1.jpg")</f>
        <v/>
      </c>
      <c r="M979">
        <f>IMAGE("file:///E:/Estudios%20y%20certificaciones/ESTUDIOS%20DE%20PROGRAMMING/PROGRAMMING/PERSONAL/PYTHON/Image_Generator_API/imagenes/LAUNDRY_BY_DESIGN_T829991_SLA_2.jpg")</f>
        <v/>
      </c>
      <c r="N979">
        <f>IMAGE("file:///E:/Estudios%20y%20certificaciones/ESTUDIOS%20DE%20PROGRAMMING/PROGRAMMING/PERSONAL/PYTHON/Image_Generator_API/imagenes/LAUNDRY_BY_DESIGN_T829991_SLA_3.jpg")</f>
        <v/>
      </c>
      <c r="O979">
        <f>HYPERLINK("imagenes/LAUNDRY_BY_DESIGN_T829991_SLA_1.jpg","Ver imagen")</f>
        <v/>
      </c>
      <c r="P979">
        <f>HYPERLINK("imagenes/LAUNDRY_BY_DESIGN_T829991_SLA_2.jpg","Ver imagen")</f>
        <v/>
      </c>
      <c r="Q979">
        <f>HYPERLINK("imagenes/LAUNDRY_BY_DESIGN_T829991_SLA_3.jpg","Ver imagen")</f>
        <v/>
      </c>
    </row>
    <row r="980">
      <c r="A980" t="inlineStr">
        <is>
          <t>LAUNDRY BY DESIGN</t>
        </is>
      </c>
      <c r="B980" t="inlineStr">
        <is>
          <t>T829991</t>
        </is>
      </c>
      <c r="C980" t="inlineStr">
        <is>
          <t>HOODED  ZIP FNT</t>
        </is>
      </c>
      <c r="D980" t="inlineStr">
        <is>
          <t>SLA</t>
        </is>
      </c>
      <c r="E980" t="inlineStr">
        <is>
          <t>(en blanco)</t>
        </is>
      </c>
      <c r="F980" t="inlineStr">
        <is>
          <t>(en blanco)</t>
        </is>
      </c>
      <c r="G980" t="inlineStr">
        <is>
          <t>S</t>
        </is>
      </c>
      <c r="H980" t="n">
        <v>7</v>
      </c>
      <c r="I980" t="inlineStr">
        <is>
          <t>LAUNDRY_BY_DESIGN_T829991_SLA_1.jpg</t>
        </is>
      </c>
      <c r="J980" t="inlineStr">
        <is>
          <t>LAUNDRY_BY_DESIGN_T829991_SLA_2.jpg</t>
        </is>
      </c>
      <c r="K980" t="inlineStr">
        <is>
          <t>LAUNDRY_BY_DESIGN_T829991_SLA_3.jpg</t>
        </is>
      </c>
      <c r="L980">
        <f>IMAGE("file:///E:/Estudios%20y%20certificaciones/ESTUDIOS%20DE%20PROGRAMMING/PROGRAMMING/PERSONAL/PYTHON/Image_Generator_API/imagenes/LAUNDRY_BY_DESIGN_T829991_SLA_1.jpg")</f>
        <v/>
      </c>
      <c r="M980">
        <f>IMAGE("file:///E:/Estudios%20y%20certificaciones/ESTUDIOS%20DE%20PROGRAMMING/PROGRAMMING/PERSONAL/PYTHON/Image_Generator_API/imagenes/LAUNDRY_BY_DESIGN_T829991_SLA_2.jpg")</f>
        <v/>
      </c>
      <c r="N980">
        <f>IMAGE("file:///E:/Estudios%20y%20certificaciones/ESTUDIOS%20DE%20PROGRAMMING/PROGRAMMING/PERSONAL/PYTHON/Image_Generator_API/imagenes/LAUNDRY_BY_DESIGN_T829991_SLA_3.jpg")</f>
        <v/>
      </c>
      <c r="O980">
        <f>HYPERLINK("imagenes/LAUNDRY_BY_DESIGN_T829991_SLA_1.jpg","Ver imagen")</f>
        <v/>
      </c>
      <c r="P980">
        <f>HYPERLINK("imagenes/LAUNDRY_BY_DESIGN_T829991_SLA_2.jpg","Ver imagen")</f>
        <v/>
      </c>
      <c r="Q980">
        <f>HYPERLINK("imagenes/LAUNDRY_BY_DESIGN_T829991_SLA_3.jpg","Ver imagen")</f>
        <v/>
      </c>
    </row>
    <row r="981">
      <c r="A981" t="inlineStr">
        <is>
          <t>LAUNDRY BY DESIGN</t>
        </is>
      </c>
      <c r="B981" t="inlineStr">
        <is>
          <t>T829991</t>
        </is>
      </c>
      <c r="C981" t="inlineStr">
        <is>
          <t>HOODED  ZIP FNT</t>
        </is>
      </c>
      <c r="D981" t="inlineStr">
        <is>
          <t>SLA</t>
        </is>
      </c>
      <c r="E981" t="inlineStr">
        <is>
          <t>(en blanco)</t>
        </is>
      </c>
      <c r="F981" t="inlineStr">
        <is>
          <t>(en blanco)</t>
        </is>
      </c>
      <c r="G981" t="inlineStr">
        <is>
          <t>M</t>
        </is>
      </c>
      <c r="H981" t="n">
        <v>8</v>
      </c>
      <c r="I981" t="inlineStr">
        <is>
          <t>LAUNDRY_BY_DESIGN_T829991_SLA_1.jpg</t>
        </is>
      </c>
      <c r="J981" t="inlineStr">
        <is>
          <t>LAUNDRY_BY_DESIGN_T829991_SLA_2.jpg</t>
        </is>
      </c>
      <c r="K981" t="inlineStr">
        <is>
          <t>LAUNDRY_BY_DESIGN_T829991_SLA_3.jpg</t>
        </is>
      </c>
      <c r="L981">
        <f>IMAGE("file:///E:/Estudios%20y%20certificaciones/ESTUDIOS%20DE%20PROGRAMMING/PROGRAMMING/PERSONAL/PYTHON/Image_Generator_API/imagenes/LAUNDRY_BY_DESIGN_T829991_SLA_1.jpg")</f>
        <v/>
      </c>
      <c r="M981">
        <f>IMAGE("file:///E:/Estudios%20y%20certificaciones/ESTUDIOS%20DE%20PROGRAMMING/PROGRAMMING/PERSONAL/PYTHON/Image_Generator_API/imagenes/LAUNDRY_BY_DESIGN_T829991_SLA_2.jpg")</f>
        <v/>
      </c>
      <c r="N981">
        <f>IMAGE("file:///E:/Estudios%20y%20certificaciones/ESTUDIOS%20DE%20PROGRAMMING/PROGRAMMING/PERSONAL/PYTHON/Image_Generator_API/imagenes/LAUNDRY_BY_DESIGN_T829991_SLA_3.jpg")</f>
        <v/>
      </c>
      <c r="O981">
        <f>HYPERLINK("imagenes/LAUNDRY_BY_DESIGN_T829991_SLA_1.jpg","Ver imagen")</f>
        <v/>
      </c>
      <c r="P981">
        <f>HYPERLINK("imagenes/LAUNDRY_BY_DESIGN_T829991_SLA_2.jpg","Ver imagen")</f>
        <v/>
      </c>
      <c r="Q981">
        <f>HYPERLINK("imagenes/LAUNDRY_BY_DESIGN_T829991_SLA_3.jpg","Ver imagen")</f>
        <v/>
      </c>
    </row>
    <row r="982">
      <c r="A982" t="inlineStr">
        <is>
          <t>LAUNDRY BY DESIGN</t>
        </is>
      </c>
      <c r="B982" t="inlineStr">
        <is>
          <t>T829991</t>
        </is>
      </c>
      <c r="C982" t="inlineStr">
        <is>
          <t>HOODED  ZIP FNT</t>
        </is>
      </c>
      <c r="D982" t="inlineStr">
        <is>
          <t>SLA</t>
        </is>
      </c>
      <c r="E982" t="inlineStr">
        <is>
          <t>(en blanco)</t>
        </is>
      </c>
      <c r="F982" t="inlineStr">
        <is>
          <t>(en blanco)</t>
        </is>
      </c>
      <c r="G982" t="inlineStr">
        <is>
          <t>L</t>
        </is>
      </c>
      <c r="H982" t="n">
        <v>9</v>
      </c>
      <c r="I982" t="inlineStr">
        <is>
          <t>LAUNDRY_BY_DESIGN_T829991_SLA_1.jpg</t>
        </is>
      </c>
      <c r="J982" t="inlineStr">
        <is>
          <t>LAUNDRY_BY_DESIGN_T829991_SLA_2.jpg</t>
        </is>
      </c>
      <c r="K982" t="inlineStr">
        <is>
          <t>LAUNDRY_BY_DESIGN_T829991_SLA_3.jpg</t>
        </is>
      </c>
      <c r="L982">
        <f>IMAGE("file:///E:/Estudios%20y%20certificaciones/ESTUDIOS%20DE%20PROGRAMMING/PROGRAMMING/PERSONAL/PYTHON/Image_Generator_API/imagenes/LAUNDRY_BY_DESIGN_T829991_SLA_1.jpg")</f>
        <v/>
      </c>
      <c r="M982">
        <f>IMAGE("file:///E:/Estudios%20y%20certificaciones/ESTUDIOS%20DE%20PROGRAMMING/PROGRAMMING/PERSONAL/PYTHON/Image_Generator_API/imagenes/LAUNDRY_BY_DESIGN_T829991_SLA_2.jpg")</f>
        <v/>
      </c>
      <c r="N982">
        <f>IMAGE("file:///E:/Estudios%20y%20certificaciones/ESTUDIOS%20DE%20PROGRAMMING/PROGRAMMING/PERSONAL/PYTHON/Image_Generator_API/imagenes/LAUNDRY_BY_DESIGN_T829991_SLA_3.jpg")</f>
        <v/>
      </c>
      <c r="O982">
        <f>HYPERLINK("imagenes/LAUNDRY_BY_DESIGN_T829991_SLA_1.jpg","Ver imagen")</f>
        <v/>
      </c>
      <c r="P982">
        <f>HYPERLINK("imagenes/LAUNDRY_BY_DESIGN_T829991_SLA_2.jpg","Ver imagen")</f>
        <v/>
      </c>
      <c r="Q982">
        <f>HYPERLINK("imagenes/LAUNDRY_BY_DESIGN_T829991_SLA_3.jpg","Ver imagen")</f>
        <v/>
      </c>
    </row>
    <row r="983">
      <c r="A983" t="inlineStr">
        <is>
          <t>LAUNDRY BY DESIGN</t>
        </is>
      </c>
      <c r="B983" t="inlineStr">
        <is>
          <t>T829991</t>
        </is>
      </c>
      <c r="C983" t="inlineStr">
        <is>
          <t>HOODED  ZIP FNT</t>
        </is>
      </c>
      <c r="D983" t="inlineStr">
        <is>
          <t>SLA</t>
        </is>
      </c>
      <c r="E983" t="inlineStr">
        <is>
          <t>(en blanco)</t>
        </is>
      </c>
      <c r="F983" t="inlineStr">
        <is>
          <t>(en blanco)</t>
        </is>
      </c>
      <c r="G983" t="inlineStr">
        <is>
          <t>XL</t>
        </is>
      </c>
      <c r="H983" t="n">
        <v>3</v>
      </c>
      <c r="I983" t="inlineStr">
        <is>
          <t>LAUNDRY_BY_DESIGN_T829991_SLA_1.jpg</t>
        </is>
      </c>
      <c r="J983" t="inlineStr">
        <is>
          <t>LAUNDRY_BY_DESIGN_T829991_SLA_2.jpg</t>
        </is>
      </c>
      <c r="K983" t="inlineStr">
        <is>
          <t>LAUNDRY_BY_DESIGN_T829991_SLA_3.jpg</t>
        </is>
      </c>
      <c r="L983">
        <f>IMAGE("file:///E:/Estudios%20y%20certificaciones/ESTUDIOS%20DE%20PROGRAMMING/PROGRAMMING/PERSONAL/PYTHON/Image_Generator_API/imagenes/LAUNDRY_BY_DESIGN_T829991_SLA_1.jpg")</f>
        <v/>
      </c>
      <c r="M983">
        <f>IMAGE("file:///E:/Estudios%20y%20certificaciones/ESTUDIOS%20DE%20PROGRAMMING/PROGRAMMING/PERSONAL/PYTHON/Image_Generator_API/imagenes/LAUNDRY_BY_DESIGN_T829991_SLA_2.jpg")</f>
        <v/>
      </c>
      <c r="N983">
        <f>IMAGE("file:///E:/Estudios%20y%20certificaciones/ESTUDIOS%20DE%20PROGRAMMING/PROGRAMMING/PERSONAL/PYTHON/Image_Generator_API/imagenes/LAUNDRY_BY_DESIGN_T829991_SLA_3.jpg")</f>
        <v/>
      </c>
      <c r="O983">
        <f>HYPERLINK("imagenes/LAUNDRY_BY_DESIGN_T829991_SLA_1.jpg","Ver imagen")</f>
        <v/>
      </c>
      <c r="P983">
        <f>HYPERLINK("imagenes/LAUNDRY_BY_DESIGN_T829991_SLA_2.jpg","Ver imagen")</f>
        <v/>
      </c>
      <c r="Q983">
        <f>HYPERLINK("imagenes/LAUNDRY_BY_DESIGN_T829991_SLA_3.jpg","Ver imagen")</f>
        <v/>
      </c>
    </row>
    <row r="984">
      <c r="A984" t="inlineStr">
        <is>
          <t>NAUTICA CLASSICS</t>
        </is>
      </c>
      <c r="B984" t="inlineStr">
        <is>
          <t>117000481</t>
        </is>
      </c>
      <c r="C984" t="inlineStr">
        <is>
          <t>NAUTICA SOFTSHELL JKT</t>
        </is>
      </c>
      <c r="D984" t="inlineStr">
        <is>
          <t>BLK</t>
        </is>
      </c>
      <c r="E984" t="inlineStr">
        <is>
          <t>(en blanco)</t>
        </is>
      </c>
      <c r="F984" t="inlineStr">
        <is>
          <t>(en blanco)</t>
        </is>
      </c>
      <c r="G984" t="inlineStr">
        <is>
          <t>S</t>
        </is>
      </c>
      <c r="H984" t="n">
        <v>143</v>
      </c>
      <c r="I984" t="inlineStr">
        <is>
          <t>NAUTICA_CLASSICS_117000481_BLK_1.jpg</t>
        </is>
      </c>
      <c r="J984" t="inlineStr">
        <is>
          <t>NAUTICA_CLASSICS_117000481_BLK_2.jpg</t>
        </is>
      </c>
      <c r="K984" t="inlineStr">
        <is>
          <t>NAUTICA_CLASSICS_117000481_BLK_3.jpg</t>
        </is>
      </c>
      <c r="L984">
        <f>IMAGE("file:///E:/Estudios%20y%20certificaciones/ESTUDIOS%20DE%20PROGRAMMING/PROGRAMMING/PERSONAL/PYTHON/Image_Generator_API/imagenes/NAUTICA_CLASSICS_117000481_BLK_1.jpg")</f>
        <v/>
      </c>
      <c r="M984">
        <f>IMAGE("file:///E:/Estudios%20y%20certificaciones/ESTUDIOS%20DE%20PROGRAMMING/PROGRAMMING/PERSONAL/PYTHON/Image_Generator_API/imagenes/NAUTICA_CLASSICS_117000481_BLK_2.jpg")</f>
        <v/>
      </c>
      <c r="N984">
        <f>IMAGE("file:///E:/Estudios%20y%20certificaciones/ESTUDIOS%20DE%20PROGRAMMING/PROGRAMMING/PERSONAL/PYTHON/Image_Generator_API/imagenes/NAUTICA_CLASSICS_117000481_BLK_3.jpg")</f>
        <v/>
      </c>
      <c r="O984">
        <f>HYPERLINK("imagenes/NAUTICA_CLASSICS_117000481_BLK_1.jpg","Ver imagen")</f>
        <v/>
      </c>
      <c r="P984">
        <f>HYPERLINK("imagenes/NAUTICA_CLASSICS_117000481_BLK_2.jpg","Ver imagen")</f>
        <v/>
      </c>
      <c r="Q984">
        <f>HYPERLINK("imagenes/NAUTICA_CLASSICS_117000481_BLK_3.jpg","Ver imagen")</f>
        <v/>
      </c>
    </row>
    <row r="985">
      <c r="A985" t="inlineStr">
        <is>
          <t>NAUTICA CLASSICS</t>
        </is>
      </c>
      <c r="B985" t="inlineStr">
        <is>
          <t>117000481</t>
        </is>
      </c>
      <c r="C985" t="inlineStr">
        <is>
          <t>NAUTICA SOFTSHELL JKT</t>
        </is>
      </c>
      <c r="D985" t="inlineStr">
        <is>
          <t>BLK</t>
        </is>
      </c>
      <c r="E985" t="inlineStr">
        <is>
          <t>(en blanco)</t>
        </is>
      </c>
      <c r="F985" t="inlineStr">
        <is>
          <t>(en blanco)</t>
        </is>
      </c>
      <c r="G985" t="inlineStr">
        <is>
          <t>L</t>
        </is>
      </c>
      <c r="H985" t="n">
        <v>1</v>
      </c>
      <c r="I985" t="inlineStr">
        <is>
          <t>NAUTICA_CLASSICS_117000481_BLK_1.jpg</t>
        </is>
      </c>
      <c r="J985" t="inlineStr">
        <is>
          <t>NAUTICA_CLASSICS_117000481_BLK_2.jpg</t>
        </is>
      </c>
      <c r="K985" t="inlineStr">
        <is>
          <t>NAUTICA_CLASSICS_117000481_BLK_3.jpg</t>
        </is>
      </c>
      <c r="L985">
        <f>IMAGE("file:///E:/Estudios%20y%20certificaciones/ESTUDIOS%20DE%20PROGRAMMING/PROGRAMMING/PERSONAL/PYTHON/Image_Generator_API/imagenes/NAUTICA_CLASSICS_117000481_BLK_1.jpg")</f>
        <v/>
      </c>
      <c r="M985">
        <f>IMAGE("file:///E:/Estudios%20y%20certificaciones/ESTUDIOS%20DE%20PROGRAMMING/PROGRAMMING/PERSONAL/PYTHON/Image_Generator_API/imagenes/NAUTICA_CLASSICS_117000481_BLK_2.jpg")</f>
        <v/>
      </c>
      <c r="N985">
        <f>IMAGE("file:///E:/Estudios%20y%20certificaciones/ESTUDIOS%20DE%20PROGRAMMING/PROGRAMMING/PERSONAL/PYTHON/Image_Generator_API/imagenes/NAUTICA_CLASSICS_117000481_BLK_3.jpg")</f>
        <v/>
      </c>
      <c r="O985">
        <f>HYPERLINK("imagenes/NAUTICA_CLASSICS_117000481_BLK_1.jpg","Ver imagen")</f>
        <v/>
      </c>
      <c r="P985">
        <f>HYPERLINK("imagenes/NAUTICA_CLASSICS_117000481_BLK_2.jpg","Ver imagen")</f>
        <v/>
      </c>
      <c r="Q985">
        <f>HYPERLINK("imagenes/NAUTICA_CLASSICS_117000481_BLK_3.jpg","Ver imagen")</f>
        <v/>
      </c>
    </row>
    <row r="986">
      <c r="A986" t="inlineStr">
        <is>
          <t>NAUTICA CLASSICS</t>
        </is>
      </c>
      <c r="B986" t="inlineStr">
        <is>
          <t>117000481</t>
        </is>
      </c>
      <c r="C986" t="inlineStr">
        <is>
          <t>NAUTICA SOFTSHELL JKT</t>
        </is>
      </c>
      <c r="D986" t="inlineStr">
        <is>
          <t>NSS</t>
        </is>
      </c>
      <c r="E986" t="inlineStr">
        <is>
          <t>(en blanco)</t>
        </is>
      </c>
      <c r="F986" t="inlineStr">
        <is>
          <t>(en blanco)</t>
        </is>
      </c>
      <c r="G986" t="inlineStr">
        <is>
          <t>XS</t>
        </is>
      </c>
      <c r="H986" t="n">
        <v>3</v>
      </c>
      <c r="I986" t="inlineStr">
        <is>
          <t>NAUTICA_CLASSICS_117000481_NSS_1.jpg</t>
        </is>
      </c>
      <c r="J986" t="inlineStr">
        <is>
          <t>NAUTICA_CLASSICS_117000481_NSS_2.jpg</t>
        </is>
      </c>
      <c r="K986" t="inlineStr">
        <is>
          <t>NAUTICA_CLASSICS_117000481_NSS_3.jpg</t>
        </is>
      </c>
      <c r="L986">
        <f>IMAGE("file:///E:/Estudios%20y%20certificaciones/ESTUDIOS%20DE%20PROGRAMMING/PROGRAMMING/PERSONAL/PYTHON/Image_Generator_API/imagenes/NAUTICA_CLASSICS_117000481_NSS_1.jpg")</f>
        <v/>
      </c>
      <c r="M986">
        <f>IMAGE("file:///E:/Estudios%20y%20certificaciones/ESTUDIOS%20DE%20PROGRAMMING/PROGRAMMING/PERSONAL/PYTHON/Image_Generator_API/imagenes/NAUTICA_CLASSICS_117000481_NSS_2.jpg")</f>
        <v/>
      </c>
      <c r="N986">
        <f>IMAGE("file:///E:/Estudios%20y%20certificaciones/ESTUDIOS%20DE%20PROGRAMMING/PROGRAMMING/PERSONAL/PYTHON/Image_Generator_API/imagenes/NAUTICA_CLASSICS_117000481_NSS_3.jpg")</f>
        <v/>
      </c>
      <c r="O986">
        <f>HYPERLINK("imagenes/NAUTICA_CLASSICS_117000481_NSS_1.jpg","Ver imagen")</f>
        <v/>
      </c>
      <c r="P986">
        <f>HYPERLINK("imagenes/NAUTICA_CLASSICS_117000481_NSS_2.jpg","Ver imagen")</f>
        <v/>
      </c>
      <c r="Q986">
        <f>HYPERLINK("imagenes/NAUTICA_CLASSICS_117000481_NSS_3.jpg","Ver imagen")</f>
        <v/>
      </c>
    </row>
    <row r="987">
      <c r="A987" t="inlineStr">
        <is>
          <t>NAUTICA CLASSICS</t>
        </is>
      </c>
      <c r="B987" t="inlineStr">
        <is>
          <t>117000481</t>
        </is>
      </c>
      <c r="C987" t="inlineStr">
        <is>
          <t>NAUTICA SOFTSHELL JKT</t>
        </is>
      </c>
      <c r="D987" t="inlineStr">
        <is>
          <t>NSS</t>
        </is>
      </c>
      <c r="E987" t="inlineStr">
        <is>
          <t>(en blanco)</t>
        </is>
      </c>
      <c r="F987" t="inlineStr">
        <is>
          <t>(en blanco)</t>
        </is>
      </c>
      <c r="G987" t="inlineStr">
        <is>
          <t>S</t>
        </is>
      </c>
      <c r="H987" t="n">
        <v>10</v>
      </c>
      <c r="I987" t="inlineStr">
        <is>
          <t>NAUTICA_CLASSICS_117000481_NSS_1.jpg</t>
        </is>
      </c>
      <c r="J987" t="inlineStr">
        <is>
          <t>NAUTICA_CLASSICS_117000481_NSS_2.jpg</t>
        </is>
      </c>
      <c r="K987" t="inlineStr">
        <is>
          <t>NAUTICA_CLASSICS_117000481_NSS_3.jpg</t>
        </is>
      </c>
      <c r="L987">
        <f>IMAGE("file:///E:/Estudios%20y%20certificaciones/ESTUDIOS%20DE%20PROGRAMMING/PROGRAMMING/PERSONAL/PYTHON/Image_Generator_API/imagenes/NAUTICA_CLASSICS_117000481_NSS_1.jpg")</f>
        <v/>
      </c>
      <c r="M987">
        <f>IMAGE("file:///E:/Estudios%20y%20certificaciones/ESTUDIOS%20DE%20PROGRAMMING/PROGRAMMING/PERSONAL/PYTHON/Image_Generator_API/imagenes/NAUTICA_CLASSICS_117000481_NSS_2.jpg")</f>
        <v/>
      </c>
      <c r="N987">
        <f>IMAGE("file:///E:/Estudios%20y%20certificaciones/ESTUDIOS%20DE%20PROGRAMMING/PROGRAMMING/PERSONAL/PYTHON/Image_Generator_API/imagenes/NAUTICA_CLASSICS_117000481_NSS_3.jpg")</f>
        <v/>
      </c>
      <c r="O987">
        <f>HYPERLINK("imagenes/NAUTICA_CLASSICS_117000481_NSS_1.jpg","Ver imagen")</f>
        <v/>
      </c>
      <c r="P987">
        <f>HYPERLINK("imagenes/NAUTICA_CLASSICS_117000481_NSS_2.jpg","Ver imagen")</f>
        <v/>
      </c>
      <c r="Q987">
        <f>HYPERLINK("imagenes/NAUTICA_CLASSICS_117000481_NSS_3.jpg","Ver imagen")</f>
        <v/>
      </c>
    </row>
    <row r="988">
      <c r="A988" t="inlineStr">
        <is>
          <t>NAUTICA CLASSICS</t>
        </is>
      </c>
      <c r="B988" t="inlineStr">
        <is>
          <t>117000481</t>
        </is>
      </c>
      <c r="C988" t="inlineStr">
        <is>
          <t>NAUTICA SOFTSHELL JKT</t>
        </is>
      </c>
      <c r="D988" t="inlineStr">
        <is>
          <t>NSS</t>
        </is>
      </c>
      <c r="E988" t="inlineStr">
        <is>
          <t>(en blanco)</t>
        </is>
      </c>
      <c r="F988" t="inlineStr">
        <is>
          <t>(en blanco)</t>
        </is>
      </c>
      <c r="G988" t="inlineStr">
        <is>
          <t>M</t>
        </is>
      </c>
      <c r="H988" t="n">
        <v>11</v>
      </c>
      <c r="I988" t="inlineStr">
        <is>
          <t>NAUTICA_CLASSICS_117000481_NSS_1.jpg</t>
        </is>
      </c>
      <c r="J988" t="inlineStr">
        <is>
          <t>NAUTICA_CLASSICS_117000481_NSS_2.jpg</t>
        </is>
      </c>
      <c r="K988" t="inlineStr">
        <is>
          <t>NAUTICA_CLASSICS_117000481_NSS_3.jpg</t>
        </is>
      </c>
      <c r="L988">
        <f>IMAGE("file:///E:/Estudios%20y%20certificaciones/ESTUDIOS%20DE%20PROGRAMMING/PROGRAMMING/PERSONAL/PYTHON/Image_Generator_API/imagenes/NAUTICA_CLASSICS_117000481_NSS_1.jpg")</f>
        <v/>
      </c>
      <c r="M988">
        <f>IMAGE("file:///E:/Estudios%20y%20certificaciones/ESTUDIOS%20DE%20PROGRAMMING/PROGRAMMING/PERSONAL/PYTHON/Image_Generator_API/imagenes/NAUTICA_CLASSICS_117000481_NSS_2.jpg")</f>
        <v/>
      </c>
      <c r="N988">
        <f>IMAGE("file:///E:/Estudios%20y%20certificaciones/ESTUDIOS%20DE%20PROGRAMMING/PROGRAMMING/PERSONAL/PYTHON/Image_Generator_API/imagenes/NAUTICA_CLASSICS_117000481_NSS_3.jpg")</f>
        <v/>
      </c>
      <c r="O988">
        <f>HYPERLINK("imagenes/NAUTICA_CLASSICS_117000481_NSS_1.jpg","Ver imagen")</f>
        <v/>
      </c>
      <c r="P988">
        <f>HYPERLINK("imagenes/NAUTICA_CLASSICS_117000481_NSS_2.jpg","Ver imagen")</f>
        <v/>
      </c>
      <c r="Q988">
        <f>HYPERLINK("imagenes/NAUTICA_CLASSICS_117000481_NSS_3.jpg","Ver imagen")</f>
        <v/>
      </c>
    </row>
    <row r="989">
      <c r="A989" t="inlineStr">
        <is>
          <t>NAUTICA CLASSICS</t>
        </is>
      </c>
      <c r="B989" t="inlineStr">
        <is>
          <t>117000481</t>
        </is>
      </c>
      <c r="C989" t="inlineStr">
        <is>
          <t>NAUTICA SOFTSHELL JKT</t>
        </is>
      </c>
      <c r="D989" t="inlineStr">
        <is>
          <t>NSS</t>
        </is>
      </c>
      <c r="E989" t="inlineStr">
        <is>
          <t>(en blanco)</t>
        </is>
      </c>
      <c r="F989" t="inlineStr">
        <is>
          <t>(en blanco)</t>
        </is>
      </c>
      <c r="G989" t="inlineStr">
        <is>
          <t>L</t>
        </is>
      </c>
      <c r="H989" t="n">
        <v>11</v>
      </c>
      <c r="I989" t="inlineStr">
        <is>
          <t>NAUTICA_CLASSICS_117000481_NSS_1.jpg</t>
        </is>
      </c>
      <c r="J989" t="inlineStr">
        <is>
          <t>NAUTICA_CLASSICS_117000481_NSS_2.jpg</t>
        </is>
      </c>
      <c r="K989" t="inlineStr">
        <is>
          <t>NAUTICA_CLASSICS_117000481_NSS_3.jpg</t>
        </is>
      </c>
      <c r="L989">
        <f>IMAGE("file:///E:/Estudios%20y%20certificaciones/ESTUDIOS%20DE%20PROGRAMMING/PROGRAMMING/PERSONAL/PYTHON/Image_Generator_API/imagenes/NAUTICA_CLASSICS_117000481_NSS_1.jpg")</f>
        <v/>
      </c>
      <c r="M989">
        <f>IMAGE("file:///E:/Estudios%20y%20certificaciones/ESTUDIOS%20DE%20PROGRAMMING/PROGRAMMING/PERSONAL/PYTHON/Image_Generator_API/imagenes/NAUTICA_CLASSICS_117000481_NSS_2.jpg")</f>
        <v/>
      </c>
      <c r="N989">
        <f>IMAGE("file:///E:/Estudios%20y%20certificaciones/ESTUDIOS%20DE%20PROGRAMMING/PROGRAMMING/PERSONAL/PYTHON/Image_Generator_API/imagenes/NAUTICA_CLASSICS_117000481_NSS_3.jpg")</f>
        <v/>
      </c>
      <c r="O989">
        <f>HYPERLINK("imagenes/NAUTICA_CLASSICS_117000481_NSS_1.jpg","Ver imagen")</f>
        <v/>
      </c>
      <c r="P989">
        <f>HYPERLINK("imagenes/NAUTICA_CLASSICS_117000481_NSS_2.jpg","Ver imagen")</f>
        <v/>
      </c>
      <c r="Q989">
        <f>HYPERLINK("imagenes/NAUTICA_CLASSICS_117000481_NSS_3.jpg","Ver imagen")</f>
        <v/>
      </c>
    </row>
    <row r="990">
      <c r="A990" t="inlineStr">
        <is>
          <t>NAUTICA CLASSICS</t>
        </is>
      </c>
      <c r="B990" t="inlineStr">
        <is>
          <t>117000481</t>
        </is>
      </c>
      <c r="C990" t="inlineStr">
        <is>
          <t>NAUTICA SOFTSHELL JKT</t>
        </is>
      </c>
      <c r="D990" t="inlineStr">
        <is>
          <t>NSS</t>
        </is>
      </c>
      <c r="E990" t="inlineStr">
        <is>
          <t>(en blanco)</t>
        </is>
      </c>
      <c r="F990" t="inlineStr">
        <is>
          <t>(en blanco)</t>
        </is>
      </c>
      <c r="G990" t="inlineStr">
        <is>
          <t>XL</t>
        </is>
      </c>
      <c r="H990" t="n">
        <v>1</v>
      </c>
      <c r="I990" t="inlineStr">
        <is>
          <t>NAUTICA_CLASSICS_117000481_NSS_1.jpg</t>
        </is>
      </c>
      <c r="J990" t="inlineStr">
        <is>
          <t>NAUTICA_CLASSICS_117000481_NSS_2.jpg</t>
        </is>
      </c>
      <c r="K990" t="inlineStr">
        <is>
          <t>NAUTICA_CLASSICS_117000481_NSS_3.jpg</t>
        </is>
      </c>
      <c r="L990">
        <f>IMAGE("file:///E:/Estudios%20y%20certificaciones/ESTUDIOS%20DE%20PROGRAMMING/PROGRAMMING/PERSONAL/PYTHON/Image_Generator_API/imagenes/NAUTICA_CLASSICS_117000481_NSS_1.jpg")</f>
        <v/>
      </c>
      <c r="M990">
        <f>IMAGE("file:///E:/Estudios%20y%20certificaciones/ESTUDIOS%20DE%20PROGRAMMING/PROGRAMMING/PERSONAL/PYTHON/Image_Generator_API/imagenes/NAUTICA_CLASSICS_117000481_NSS_2.jpg")</f>
        <v/>
      </c>
      <c r="N990">
        <f>IMAGE("file:///E:/Estudios%20y%20certificaciones/ESTUDIOS%20DE%20PROGRAMMING/PROGRAMMING/PERSONAL/PYTHON/Image_Generator_API/imagenes/NAUTICA_CLASSICS_117000481_NSS_3.jpg")</f>
        <v/>
      </c>
      <c r="O990">
        <f>HYPERLINK("imagenes/NAUTICA_CLASSICS_117000481_NSS_1.jpg","Ver imagen")</f>
        <v/>
      </c>
      <c r="P990">
        <f>HYPERLINK("imagenes/NAUTICA_CLASSICS_117000481_NSS_2.jpg","Ver imagen")</f>
        <v/>
      </c>
      <c r="Q990">
        <f>HYPERLINK("imagenes/NAUTICA_CLASSICS_117000481_NSS_3.jpg","Ver imagen")</f>
        <v/>
      </c>
    </row>
    <row r="991">
      <c r="A991" t="inlineStr">
        <is>
          <t>NAUTICA CLASSICS</t>
        </is>
      </c>
      <c r="B991" t="inlineStr">
        <is>
          <t>117000482</t>
        </is>
      </c>
      <c r="C991" t="inlineStr">
        <is>
          <t>NAUTICA SOFT SHELL JACKET</t>
        </is>
      </c>
      <c r="D991" t="inlineStr">
        <is>
          <t>BLK</t>
        </is>
      </c>
      <c r="E991" t="inlineStr">
        <is>
          <t>(en blanco)</t>
        </is>
      </c>
      <c r="F991" t="inlineStr">
        <is>
          <t>(en blanco)</t>
        </is>
      </c>
      <c r="G991" t="inlineStr">
        <is>
          <t>S</t>
        </is>
      </c>
      <c r="H991" t="n">
        <v>3</v>
      </c>
      <c r="I991" t="inlineStr">
        <is>
          <t>NAUTICA_CLASSICS_117000482_BLK_1.jpg</t>
        </is>
      </c>
      <c r="J991" t="inlineStr">
        <is>
          <t>NAUTICA_CLASSICS_117000482_BLK_2.jpg</t>
        </is>
      </c>
      <c r="K991" t="inlineStr">
        <is>
          <t>NAUTICA_CLASSICS_117000482_BLK_3.jpg</t>
        </is>
      </c>
      <c r="L991">
        <f>IMAGE("file:///E:/Estudios%20y%20certificaciones/ESTUDIOS%20DE%20PROGRAMMING/PROGRAMMING/PERSONAL/PYTHON/Image_Generator_API/imagenes/NAUTICA_CLASSICS_117000482_BLK_1.jpg")</f>
        <v/>
      </c>
      <c r="M991">
        <f>IMAGE("file:///E:/Estudios%20y%20certificaciones/ESTUDIOS%20DE%20PROGRAMMING/PROGRAMMING/PERSONAL/PYTHON/Image_Generator_API/imagenes/NAUTICA_CLASSICS_117000482_BLK_2.jpg")</f>
        <v/>
      </c>
      <c r="N991">
        <f>IMAGE("file:///E:/Estudios%20y%20certificaciones/ESTUDIOS%20DE%20PROGRAMMING/PROGRAMMING/PERSONAL/PYTHON/Image_Generator_API/imagenes/NAUTICA_CLASSICS_117000482_BLK_3.jpg")</f>
        <v/>
      </c>
      <c r="O991">
        <f>HYPERLINK("imagenes/NAUTICA_CLASSICS_117000482_BLK_1.jpg","Ver imagen")</f>
        <v/>
      </c>
      <c r="P991">
        <f>HYPERLINK("imagenes/NAUTICA_CLASSICS_117000482_BLK_2.jpg","Ver imagen")</f>
        <v/>
      </c>
      <c r="Q991">
        <f>HYPERLINK("imagenes/NAUTICA_CLASSICS_117000482_BLK_3.jpg","Ver imagen")</f>
        <v/>
      </c>
    </row>
    <row r="992">
      <c r="A992" t="inlineStr">
        <is>
          <t>NAUTICA CLASSICS</t>
        </is>
      </c>
      <c r="B992" t="inlineStr">
        <is>
          <t>117000488</t>
        </is>
      </c>
      <c r="C992" t="inlineStr">
        <is>
          <t>NAUTICA WOMENS PUFFER</t>
        </is>
      </c>
      <c r="D992" t="inlineStr">
        <is>
          <t>C2B</t>
        </is>
      </c>
      <c r="E992" t="inlineStr">
        <is>
          <t>(en blanco)</t>
        </is>
      </c>
      <c r="F992" t="inlineStr">
        <is>
          <t>(en blanco)</t>
        </is>
      </c>
      <c r="G992" t="inlineStr">
        <is>
          <t>S</t>
        </is>
      </c>
      <c r="H992" t="n">
        <v>1</v>
      </c>
      <c r="I992" t="inlineStr">
        <is>
          <t>NAUTICA_CLASSICS_117000488_C2B_1.jpg</t>
        </is>
      </c>
      <c r="J992" t="inlineStr">
        <is>
          <t>NAUTICA_CLASSICS_117000488_C2B_2.jpg</t>
        </is>
      </c>
      <c r="K992" t="inlineStr">
        <is>
          <t>NAUTICA_CLASSICS_117000488_C2B_3.jpg</t>
        </is>
      </c>
      <c r="L992">
        <f>IMAGE("file:///E:/Estudios%20y%20certificaciones/ESTUDIOS%20DE%20PROGRAMMING/PROGRAMMING/PERSONAL/PYTHON/Image_Generator_API/imagenes/NAUTICA_CLASSICS_117000488_C2B_1.jpg")</f>
        <v/>
      </c>
      <c r="M992">
        <f>IMAGE("file:///E:/Estudios%20y%20certificaciones/ESTUDIOS%20DE%20PROGRAMMING/PROGRAMMING/PERSONAL/PYTHON/Image_Generator_API/imagenes/NAUTICA_CLASSICS_117000488_C2B_2.jpg")</f>
        <v/>
      </c>
      <c r="N992">
        <f>IMAGE("file:///E:/Estudios%20y%20certificaciones/ESTUDIOS%20DE%20PROGRAMMING/PROGRAMMING/PERSONAL/PYTHON/Image_Generator_API/imagenes/NAUTICA_CLASSICS_117000488_C2B_3.jpg")</f>
        <v/>
      </c>
      <c r="O992">
        <f>HYPERLINK("imagenes/NAUTICA_CLASSICS_117000488_C2B_1.jpg","Ver imagen")</f>
        <v/>
      </c>
      <c r="P992">
        <f>HYPERLINK("imagenes/NAUTICA_CLASSICS_117000488_C2B_2.jpg","Ver imagen")</f>
        <v/>
      </c>
      <c r="Q992">
        <f>HYPERLINK("imagenes/NAUTICA_CLASSICS_117000488_C2B_3.jpg","Ver imagen")</f>
        <v/>
      </c>
    </row>
    <row r="993">
      <c r="A993" t="inlineStr">
        <is>
          <t>NAUTICA CLASSICS</t>
        </is>
      </c>
      <c r="B993" t="inlineStr">
        <is>
          <t>117000488</t>
        </is>
      </c>
      <c r="C993" t="inlineStr">
        <is>
          <t>NAUTICA WOMENS PUFFER</t>
        </is>
      </c>
      <c r="D993" t="inlineStr">
        <is>
          <t>LMS</t>
        </is>
      </c>
      <c r="E993" t="inlineStr">
        <is>
          <t>(en blanco)</t>
        </is>
      </c>
      <c r="F993" t="inlineStr">
        <is>
          <t>(en blanco)</t>
        </is>
      </c>
      <c r="G993" t="inlineStr">
        <is>
          <t>S</t>
        </is>
      </c>
      <c r="H993" t="n">
        <v>2</v>
      </c>
      <c r="I993" t="inlineStr">
        <is>
          <t>NAUTICA_CLASSICS_117000488_LMS_1.jpg</t>
        </is>
      </c>
      <c r="J993" t="inlineStr">
        <is>
          <t>NAUTICA_CLASSICS_117000488_LMS_2.jpg</t>
        </is>
      </c>
      <c r="K993" t="inlineStr">
        <is>
          <t>NAUTICA_CLASSICS_117000488_LMS_3.jpg</t>
        </is>
      </c>
      <c r="L993">
        <f>IMAGE("file:///E:/Estudios%20y%20certificaciones/ESTUDIOS%20DE%20PROGRAMMING/PROGRAMMING/PERSONAL/PYTHON/Image_Generator_API/imagenes/NAUTICA_CLASSICS_117000488_LMS_1.jpg")</f>
        <v/>
      </c>
      <c r="M993">
        <f>IMAGE("file:///E:/Estudios%20y%20certificaciones/ESTUDIOS%20DE%20PROGRAMMING/PROGRAMMING/PERSONAL/PYTHON/Image_Generator_API/imagenes/NAUTICA_CLASSICS_117000488_LMS_2.jpg")</f>
        <v/>
      </c>
      <c r="N993">
        <f>IMAGE("file:///E:/Estudios%20y%20certificaciones/ESTUDIOS%20DE%20PROGRAMMING/PROGRAMMING/PERSONAL/PYTHON/Image_Generator_API/imagenes/NAUTICA_CLASSICS_117000488_LMS_3.jpg")</f>
        <v/>
      </c>
      <c r="O993">
        <f>HYPERLINK("imagenes/NAUTICA_CLASSICS_117000488_LMS_1.jpg","Ver imagen")</f>
        <v/>
      </c>
      <c r="P993">
        <f>HYPERLINK("imagenes/NAUTICA_CLASSICS_117000488_LMS_2.jpg","Ver imagen")</f>
        <v/>
      </c>
      <c r="Q993">
        <f>HYPERLINK("imagenes/NAUTICA_CLASSICS_117000488_LMS_3.jpg","Ver imagen")</f>
        <v/>
      </c>
    </row>
    <row r="994">
      <c r="A994" t="inlineStr">
        <is>
          <t>NAUTICA CLASSICS</t>
        </is>
      </c>
      <c r="B994" t="inlineStr">
        <is>
          <t>117000489</t>
        </is>
      </c>
      <c r="C994" t="inlineStr">
        <is>
          <t>NAUTICA STRETCH PUFFER</t>
        </is>
      </c>
      <c r="D994" t="inlineStr">
        <is>
          <t>AYB</t>
        </is>
      </c>
      <c r="E994" t="inlineStr">
        <is>
          <t>(en blanco)</t>
        </is>
      </c>
      <c r="F994" t="inlineStr">
        <is>
          <t>(en blanco)</t>
        </is>
      </c>
      <c r="G994" t="inlineStr">
        <is>
          <t>M</t>
        </is>
      </c>
      <c r="H994" t="n">
        <v>4</v>
      </c>
      <c r="I994" t="inlineStr">
        <is>
          <t>NAUTICA_CLASSICS_117000489_AYB_1.jpg</t>
        </is>
      </c>
      <c r="J994" t="inlineStr">
        <is>
          <t>NAUTICA_CLASSICS_117000489_AYB_2.jpg</t>
        </is>
      </c>
      <c r="K994" t="inlineStr">
        <is>
          <t>NAUTICA_CLASSICS_117000489_AYB_3.jpg</t>
        </is>
      </c>
      <c r="L994">
        <f>IMAGE("file:///E:/Estudios%20y%20certificaciones/ESTUDIOS%20DE%20PROGRAMMING/PROGRAMMING/PERSONAL/PYTHON/Image_Generator_API/imagenes/NAUTICA_CLASSICS_117000489_AYB_1.jpg")</f>
        <v/>
      </c>
      <c r="M994">
        <f>IMAGE("file:///E:/Estudios%20y%20certificaciones/ESTUDIOS%20DE%20PROGRAMMING/PROGRAMMING/PERSONAL/PYTHON/Image_Generator_API/imagenes/NAUTICA_CLASSICS_117000489_AYB_2.jpg")</f>
        <v/>
      </c>
      <c r="N994">
        <f>IMAGE("file:///E:/Estudios%20y%20certificaciones/ESTUDIOS%20DE%20PROGRAMMING/PROGRAMMING/PERSONAL/PYTHON/Image_Generator_API/imagenes/NAUTICA_CLASSICS_117000489_AYB_3.jpg")</f>
        <v/>
      </c>
      <c r="O994">
        <f>HYPERLINK("imagenes/NAUTICA_CLASSICS_117000489_AYB_1.jpg","Ver imagen")</f>
        <v/>
      </c>
      <c r="P994">
        <f>HYPERLINK("imagenes/NAUTICA_CLASSICS_117000489_AYB_2.jpg","Ver imagen")</f>
        <v/>
      </c>
      <c r="Q994">
        <f>HYPERLINK("imagenes/NAUTICA_CLASSICS_117000489_AYB_3.jpg","Ver imagen")</f>
        <v/>
      </c>
    </row>
    <row r="995">
      <c r="A995" t="inlineStr">
        <is>
          <t>NAUTICA CLASSICS</t>
        </is>
      </c>
      <c r="B995" t="inlineStr">
        <is>
          <t>117000489</t>
        </is>
      </c>
      <c r="C995" t="inlineStr">
        <is>
          <t>NAUTICA STRETCH PUFFER</t>
        </is>
      </c>
      <c r="D995" t="inlineStr">
        <is>
          <t>VDE</t>
        </is>
      </c>
      <c r="E995" t="inlineStr">
        <is>
          <t>(en blanco)</t>
        </is>
      </c>
      <c r="F995" t="inlineStr">
        <is>
          <t>(en blanco)</t>
        </is>
      </c>
      <c r="G995" t="inlineStr">
        <is>
          <t>L</t>
        </is>
      </c>
      <c r="H995" t="n">
        <v>32</v>
      </c>
      <c r="I995" t="inlineStr">
        <is>
          <t>NAUTICA_CLASSICS_117000489_VDE_1.jpg</t>
        </is>
      </c>
      <c r="J995" t="inlineStr">
        <is>
          <t>NAUTICA_CLASSICS_117000489_VDE_2.jpg</t>
        </is>
      </c>
      <c r="K995" t="inlineStr">
        <is>
          <t>NAUTICA_CLASSICS_117000489_VDE_3.jpg</t>
        </is>
      </c>
      <c r="L995">
        <f>IMAGE("file:///E:/Estudios%20y%20certificaciones/ESTUDIOS%20DE%20PROGRAMMING/PROGRAMMING/PERSONAL/PYTHON/Image_Generator_API/imagenes/NAUTICA_CLASSICS_117000489_VDE_1.jpg")</f>
        <v/>
      </c>
      <c r="M995">
        <f>IMAGE("file:///E:/Estudios%20y%20certificaciones/ESTUDIOS%20DE%20PROGRAMMING/PROGRAMMING/PERSONAL/PYTHON/Image_Generator_API/imagenes/NAUTICA_CLASSICS_117000489_VDE_2.jpg")</f>
        <v/>
      </c>
      <c r="N995">
        <f>IMAGE("file:///E:/Estudios%20y%20certificaciones/ESTUDIOS%20DE%20PROGRAMMING/PROGRAMMING/PERSONAL/PYTHON/Image_Generator_API/imagenes/NAUTICA_CLASSICS_117000489_VDE_3.jpg")</f>
        <v/>
      </c>
      <c r="O995">
        <f>HYPERLINK("imagenes/NAUTICA_CLASSICS_117000489_VDE_1.jpg","Ver imagen")</f>
        <v/>
      </c>
      <c r="P995">
        <f>HYPERLINK("imagenes/NAUTICA_CLASSICS_117000489_VDE_2.jpg","Ver imagen")</f>
        <v/>
      </c>
      <c r="Q995">
        <f>HYPERLINK("imagenes/NAUTICA_CLASSICS_117000489_VDE_3.jpg","Ver imagen")</f>
        <v/>
      </c>
    </row>
    <row r="996">
      <c r="A996" t="inlineStr">
        <is>
          <t>NAUTICA CLASSICS</t>
        </is>
      </c>
      <c r="B996" t="inlineStr">
        <is>
          <t>117000490</t>
        </is>
      </c>
      <c r="C996" t="inlineStr">
        <is>
          <t>WOMENS NAUTICA STRETCH PUFFER</t>
        </is>
      </c>
      <c r="D996" t="inlineStr">
        <is>
          <t>BLK</t>
        </is>
      </c>
      <c r="E996" t="inlineStr">
        <is>
          <t>(en blanco)</t>
        </is>
      </c>
      <c r="F996" t="inlineStr">
        <is>
          <t>(en blanco)</t>
        </is>
      </c>
      <c r="G996" t="inlineStr">
        <is>
          <t>S</t>
        </is>
      </c>
      <c r="H996" t="n">
        <v>1</v>
      </c>
      <c r="I996" t="inlineStr">
        <is>
          <t>NAUTICA_CLASSICS_117000490_BLK_1.jpg</t>
        </is>
      </c>
      <c r="J996" t="inlineStr">
        <is>
          <t>NAUTICA_CLASSICS_117000490_BLK_2.jpg</t>
        </is>
      </c>
      <c r="K996" t="inlineStr">
        <is>
          <t>NAUTICA_CLASSICS_117000490_BLK_3.jpg</t>
        </is>
      </c>
      <c r="L996">
        <f>IMAGE("file:///E:/Estudios%20y%20certificaciones/ESTUDIOS%20DE%20PROGRAMMING/PROGRAMMING/PERSONAL/PYTHON/Image_Generator_API/imagenes/NAUTICA_CLASSICS_117000490_BLK_1.jpg")</f>
        <v/>
      </c>
      <c r="M996">
        <f>IMAGE("file:///E:/Estudios%20y%20certificaciones/ESTUDIOS%20DE%20PROGRAMMING/PROGRAMMING/PERSONAL/PYTHON/Image_Generator_API/imagenes/NAUTICA_CLASSICS_117000490_BLK_2.jpg")</f>
        <v/>
      </c>
      <c r="N996">
        <f>IMAGE("file:///E:/Estudios%20y%20certificaciones/ESTUDIOS%20DE%20PROGRAMMING/PROGRAMMING/PERSONAL/PYTHON/Image_Generator_API/imagenes/NAUTICA_CLASSICS_117000490_BLK_3.jpg")</f>
        <v/>
      </c>
      <c r="O996">
        <f>HYPERLINK("imagenes/NAUTICA_CLASSICS_117000490_BLK_1.jpg","Ver imagen")</f>
        <v/>
      </c>
      <c r="P996">
        <f>HYPERLINK("imagenes/NAUTICA_CLASSICS_117000490_BLK_2.jpg","Ver imagen")</f>
        <v/>
      </c>
      <c r="Q996">
        <f>HYPERLINK("imagenes/NAUTICA_CLASSICS_117000490_BLK_3.jpg","Ver imagen")</f>
        <v/>
      </c>
    </row>
    <row r="997">
      <c r="A997" t="inlineStr">
        <is>
          <t>NAUTICA CLASSICS</t>
        </is>
      </c>
      <c r="B997" t="inlineStr">
        <is>
          <t>117000492</t>
        </is>
      </c>
      <c r="C997" t="inlineStr">
        <is>
          <t>NAUTICA WOMENS STRETCH PUFFER</t>
        </is>
      </c>
      <c r="D997" t="inlineStr">
        <is>
          <t>BLK</t>
        </is>
      </c>
      <c r="E997" t="inlineStr">
        <is>
          <t>(en blanco)</t>
        </is>
      </c>
      <c r="F997" t="inlineStr">
        <is>
          <t>(en blanco)</t>
        </is>
      </c>
      <c r="G997" t="inlineStr">
        <is>
          <t>XL</t>
        </is>
      </c>
      <c r="H997" t="n">
        <v>1</v>
      </c>
      <c r="I997" t="inlineStr">
        <is>
          <t>NAUTICA_CLASSICS_117000492_BLK_1.jpg</t>
        </is>
      </c>
      <c r="J997" t="inlineStr">
        <is>
          <t>NAUTICA_CLASSICS_117000492_BLK_2.jpg</t>
        </is>
      </c>
      <c r="K997" t="inlineStr">
        <is>
          <t>NAUTICA_CLASSICS_117000492_BLK_3.jpg</t>
        </is>
      </c>
      <c r="L997">
        <f>IMAGE("file:///E:/Estudios%20y%20certificaciones/ESTUDIOS%20DE%20PROGRAMMING/PROGRAMMING/PERSONAL/PYTHON/Image_Generator_API/imagenes/NAUTICA_CLASSICS_117000492_BLK_1.jpg")</f>
        <v/>
      </c>
      <c r="M997">
        <f>IMAGE("file:///E:/Estudios%20y%20certificaciones/ESTUDIOS%20DE%20PROGRAMMING/PROGRAMMING/PERSONAL/PYTHON/Image_Generator_API/imagenes/NAUTICA_CLASSICS_117000492_BLK_2.jpg")</f>
        <v/>
      </c>
      <c r="N997">
        <f>IMAGE("file:///E:/Estudios%20y%20certificaciones/ESTUDIOS%20DE%20PROGRAMMING/PROGRAMMING/PERSONAL/PYTHON/Image_Generator_API/imagenes/NAUTICA_CLASSICS_117000492_BLK_3.jpg")</f>
        <v/>
      </c>
      <c r="O997">
        <f>HYPERLINK("imagenes/NAUTICA_CLASSICS_117000492_BLK_1.jpg","Ver imagen")</f>
        <v/>
      </c>
      <c r="P997">
        <f>HYPERLINK("imagenes/NAUTICA_CLASSICS_117000492_BLK_2.jpg","Ver imagen")</f>
        <v/>
      </c>
      <c r="Q997">
        <f>HYPERLINK("imagenes/NAUTICA_CLASSICS_117000492_BLK_3.jpg","Ver imagen")</f>
        <v/>
      </c>
    </row>
    <row r="998">
      <c r="A998" t="inlineStr">
        <is>
          <t>NAUTICA CLASSICS</t>
        </is>
      </c>
      <c r="B998" t="inlineStr">
        <is>
          <t>117000492</t>
        </is>
      </c>
      <c r="C998" t="inlineStr">
        <is>
          <t>NAUTICA WOMENS STRETCH PUFFER</t>
        </is>
      </c>
      <c r="D998" t="inlineStr">
        <is>
          <t>NAR</t>
        </is>
      </c>
      <c r="E998" t="inlineStr">
        <is>
          <t>(en blanco)</t>
        </is>
      </c>
      <c r="F998" t="inlineStr">
        <is>
          <t>D2C</t>
        </is>
      </c>
      <c r="G998" t="inlineStr">
        <is>
          <t>XS</t>
        </is>
      </c>
      <c r="H998" t="n">
        <v>9</v>
      </c>
      <c r="I998" t="inlineStr">
        <is>
          <t>NAUTICA_CLASSICS_117000492_NAR_1.jpg</t>
        </is>
      </c>
      <c r="J998" t="inlineStr">
        <is>
          <t>NAUTICA_CLASSICS_117000492_NAR_2.jpg</t>
        </is>
      </c>
      <c r="K998" t="inlineStr">
        <is>
          <t>NAUTICA_CLASSICS_117000492_NAR_3.jpg</t>
        </is>
      </c>
      <c r="L998">
        <f>IMAGE("file:///E:/Estudios%20y%20certificaciones/ESTUDIOS%20DE%20PROGRAMMING/PROGRAMMING/PERSONAL/PYTHON/Image_Generator_API/imagenes/NAUTICA_CLASSICS_117000492_NAR_1.jpg")</f>
        <v/>
      </c>
      <c r="M998">
        <f>IMAGE("file:///E:/Estudios%20y%20certificaciones/ESTUDIOS%20DE%20PROGRAMMING/PROGRAMMING/PERSONAL/PYTHON/Image_Generator_API/imagenes/NAUTICA_CLASSICS_117000492_NAR_2.jpg")</f>
        <v/>
      </c>
      <c r="N998">
        <f>IMAGE("file:///E:/Estudios%20y%20certificaciones/ESTUDIOS%20DE%20PROGRAMMING/PROGRAMMING/PERSONAL/PYTHON/Image_Generator_API/imagenes/NAUTICA_CLASSICS_117000492_NAR_3.jpg")</f>
        <v/>
      </c>
      <c r="O998">
        <f>HYPERLINK("imagenes/NAUTICA_CLASSICS_117000492_NAR_1.jpg","Ver imagen")</f>
        <v/>
      </c>
      <c r="P998">
        <f>HYPERLINK("imagenes/NAUTICA_CLASSICS_117000492_NAR_2.jpg","Ver imagen")</f>
        <v/>
      </c>
      <c r="Q998">
        <f>HYPERLINK("imagenes/NAUTICA_CLASSICS_117000492_NAR_3.jpg","Ver imagen")</f>
        <v/>
      </c>
    </row>
    <row r="999">
      <c r="A999" t="inlineStr">
        <is>
          <t>NAUTICA CLASSICS</t>
        </is>
      </c>
      <c r="B999" t="inlineStr">
        <is>
          <t>117000492</t>
        </is>
      </c>
      <c r="C999" t="inlineStr">
        <is>
          <t>NAUTICA WOMENS STRETCH PUFFER</t>
        </is>
      </c>
      <c r="D999" t="inlineStr">
        <is>
          <t>NAR</t>
        </is>
      </c>
      <c r="E999" t="inlineStr">
        <is>
          <t>(en blanco)</t>
        </is>
      </c>
      <c r="F999" t="inlineStr">
        <is>
          <t>D2C</t>
        </is>
      </c>
      <c r="G999" t="inlineStr">
        <is>
          <t>S</t>
        </is>
      </c>
      <c r="H999" t="n">
        <v>1</v>
      </c>
      <c r="I999" t="inlineStr">
        <is>
          <t>NAUTICA_CLASSICS_117000492_NAR_1.jpg</t>
        </is>
      </c>
      <c r="J999" t="inlineStr">
        <is>
          <t>NAUTICA_CLASSICS_117000492_NAR_2.jpg</t>
        </is>
      </c>
      <c r="K999" t="inlineStr">
        <is>
          <t>NAUTICA_CLASSICS_117000492_NAR_3.jpg</t>
        </is>
      </c>
      <c r="L999">
        <f>IMAGE("file:///E:/Estudios%20y%20certificaciones/ESTUDIOS%20DE%20PROGRAMMING/PROGRAMMING/PERSONAL/PYTHON/Image_Generator_API/imagenes/NAUTICA_CLASSICS_117000492_NAR_1.jpg")</f>
        <v/>
      </c>
      <c r="M999">
        <f>IMAGE("file:///E:/Estudios%20y%20certificaciones/ESTUDIOS%20DE%20PROGRAMMING/PROGRAMMING/PERSONAL/PYTHON/Image_Generator_API/imagenes/NAUTICA_CLASSICS_117000492_NAR_2.jpg")</f>
        <v/>
      </c>
      <c r="N999">
        <f>IMAGE("file:///E:/Estudios%20y%20certificaciones/ESTUDIOS%20DE%20PROGRAMMING/PROGRAMMING/PERSONAL/PYTHON/Image_Generator_API/imagenes/NAUTICA_CLASSICS_117000492_NAR_3.jpg")</f>
        <v/>
      </c>
      <c r="O999">
        <f>HYPERLINK("imagenes/NAUTICA_CLASSICS_117000492_NAR_1.jpg","Ver imagen")</f>
        <v/>
      </c>
      <c r="P999">
        <f>HYPERLINK("imagenes/NAUTICA_CLASSICS_117000492_NAR_2.jpg","Ver imagen")</f>
        <v/>
      </c>
      <c r="Q999">
        <f>HYPERLINK("imagenes/NAUTICA_CLASSICS_117000492_NAR_3.jpg","Ver imagen")</f>
        <v/>
      </c>
    </row>
    <row r="1000">
      <c r="A1000" t="inlineStr">
        <is>
          <t>NAUTICA CLASSICS</t>
        </is>
      </c>
      <c r="B1000" t="inlineStr">
        <is>
          <t>117000492</t>
        </is>
      </c>
      <c r="C1000" t="inlineStr">
        <is>
          <t>NAUTICA WOMENS STRETCH PUFFER</t>
        </is>
      </c>
      <c r="D1000" t="inlineStr">
        <is>
          <t>SPQ</t>
        </is>
      </c>
      <c r="E1000" t="inlineStr">
        <is>
          <t>(en blanco)</t>
        </is>
      </c>
      <c r="F1000" t="inlineStr">
        <is>
          <t>(en blanco)</t>
        </is>
      </c>
      <c r="G1000" t="inlineStr">
        <is>
          <t>S</t>
        </is>
      </c>
      <c r="H1000" t="n">
        <v>2</v>
      </c>
      <c r="I1000" t="inlineStr">
        <is>
          <t>NAUTICA_CLASSICS_117000492_SPQ_1.jpg</t>
        </is>
      </c>
      <c r="J1000" t="inlineStr">
        <is>
          <t>NAUTICA_CLASSICS_117000492_SPQ_2.jpg</t>
        </is>
      </c>
      <c r="K1000" t="inlineStr">
        <is>
          <t>NAUTICA_CLASSICS_117000492_SPQ_3.jpg</t>
        </is>
      </c>
      <c r="L1000">
        <f>IMAGE("file:///E:/Estudios%20y%20certificaciones/ESTUDIOS%20DE%20PROGRAMMING/PROGRAMMING/PERSONAL/PYTHON/Image_Generator_API/imagenes/NAUTICA_CLASSICS_117000492_SPQ_1.jpg")</f>
        <v/>
      </c>
      <c r="M1000">
        <f>IMAGE("file:///E:/Estudios%20y%20certificaciones/ESTUDIOS%20DE%20PROGRAMMING/PROGRAMMING/PERSONAL/PYTHON/Image_Generator_API/imagenes/NAUTICA_CLASSICS_117000492_SPQ_2.jpg")</f>
        <v/>
      </c>
      <c r="N1000">
        <f>IMAGE("file:///E:/Estudios%20y%20certificaciones/ESTUDIOS%20DE%20PROGRAMMING/PROGRAMMING/PERSONAL/PYTHON/Image_Generator_API/imagenes/NAUTICA_CLASSICS_117000492_SPQ_3.jpg")</f>
        <v/>
      </c>
      <c r="O1000">
        <f>HYPERLINK("imagenes/NAUTICA_CLASSICS_117000492_SPQ_1.jpg","Ver imagen")</f>
        <v/>
      </c>
      <c r="P1000">
        <f>HYPERLINK("imagenes/NAUTICA_CLASSICS_117000492_SPQ_2.jpg","Ver imagen")</f>
        <v/>
      </c>
      <c r="Q1000">
        <f>HYPERLINK("imagenes/NAUTICA_CLASSICS_117000492_SPQ_3.jpg","Ver imagen")</f>
        <v/>
      </c>
    </row>
    <row r="1001">
      <c r="A1001" t="inlineStr">
        <is>
          <t>NAUTICA CLASSICS</t>
        </is>
      </c>
      <c r="B1001" t="inlineStr">
        <is>
          <t>117000492</t>
        </is>
      </c>
      <c r="C1001" t="inlineStr">
        <is>
          <t>NAUTICA WOMENS STRETCH PUFFER</t>
        </is>
      </c>
      <c r="D1001" t="inlineStr">
        <is>
          <t>SPQ</t>
        </is>
      </c>
      <c r="E1001" t="inlineStr">
        <is>
          <t>(en blanco)</t>
        </is>
      </c>
      <c r="F1001" t="inlineStr">
        <is>
          <t>(en blanco)</t>
        </is>
      </c>
      <c r="G1001" t="inlineStr">
        <is>
          <t>M</t>
        </is>
      </c>
      <c r="H1001" t="n">
        <v>3</v>
      </c>
      <c r="I1001" t="inlineStr">
        <is>
          <t>NAUTICA_CLASSICS_117000492_SPQ_1.jpg</t>
        </is>
      </c>
      <c r="J1001" t="inlineStr">
        <is>
          <t>NAUTICA_CLASSICS_117000492_SPQ_2.jpg</t>
        </is>
      </c>
      <c r="K1001" t="inlineStr">
        <is>
          <t>NAUTICA_CLASSICS_117000492_SPQ_3.jpg</t>
        </is>
      </c>
      <c r="L1001">
        <f>IMAGE("file:///E:/Estudios%20y%20certificaciones/ESTUDIOS%20DE%20PROGRAMMING/PROGRAMMING/PERSONAL/PYTHON/Image_Generator_API/imagenes/NAUTICA_CLASSICS_117000492_SPQ_1.jpg")</f>
        <v/>
      </c>
      <c r="M1001">
        <f>IMAGE("file:///E:/Estudios%20y%20certificaciones/ESTUDIOS%20DE%20PROGRAMMING/PROGRAMMING/PERSONAL/PYTHON/Image_Generator_API/imagenes/NAUTICA_CLASSICS_117000492_SPQ_2.jpg")</f>
        <v/>
      </c>
      <c r="N1001">
        <f>IMAGE("file:///E:/Estudios%20y%20certificaciones/ESTUDIOS%20DE%20PROGRAMMING/PROGRAMMING/PERSONAL/PYTHON/Image_Generator_API/imagenes/NAUTICA_CLASSICS_117000492_SPQ_3.jpg")</f>
        <v/>
      </c>
      <c r="O1001">
        <f>HYPERLINK("imagenes/NAUTICA_CLASSICS_117000492_SPQ_1.jpg","Ver imagen")</f>
        <v/>
      </c>
      <c r="P1001">
        <f>HYPERLINK("imagenes/NAUTICA_CLASSICS_117000492_SPQ_2.jpg","Ver imagen")</f>
        <v/>
      </c>
      <c r="Q1001">
        <f>HYPERLINK("imagenes/NAUTICA_CLASSICS_117000492_SPQ_3.jpg","Ver imagen")</f>
        <v/>
      </c>
    </row>
    <row r="1002">
      <c r="A1002" t="inlineStr">
        <is>
          <t>NAUTICA CLASSICS</t>
        </is>
      </c>
      <c r="B1002" t="inlineStr">
        <is>
          <t>117000492</t>
        </is>
      </c>
      <c r="C1002" t="inlineStr">
        <is>
          <t>NAUTICA WOMENS STRETCH PUFFER</t>
        </is>
      </c>
      <c r="D1002" t="inlineStr">
        <is>
          <t>SPQ</t>
        </is>
      </c>
      <c r="E1002" t="inlineStr">
        <is>
          <t>(en blanco)</t>
        </is>
      </c>
      <c r="F1002" t="inlineStr">
        <is>
          <t>(en blanco)</t>
        </is>
      </c>
      <c r="G1002" t="inlineStr">
        <is>
          <t>L</t>
        </is>
      </c>
      <c r="H1002" t="n">
        <v>1</v>
      </c>
      <c r="I1002" t="inlineStr">
        <is>
          <t>NAUTICA_CLASSICS_117000492_SPQ_1.jpg</t>
        </is>
      </c>
      <c r="J1002" t="inlineStr">
        <is>
          <t>NAUTICA_CLASSICS_117000492_SPQ_2.jpg</t>
        </is>
      </c>
      <c r="K1002" t="inlineStr">
        <is>
          <t>NAUTICA_CLASSICS_117000492_SPQ_3.jpg</t>
        </is>
      </c>
      <c r="L1002">
        <f>IMAGE("file:///E:/Estudios%20y%20certificaciones/ESTUDIOS%20DE%20PROGRAMMING/PROGRAMMING/PERSONAL/PYTHON/Image_Generator_API/imagenes/NAUTICA_CLASSICS_117000492_SPQ_1.jpg")</f>
        <v/>
      </c>
      <c r="M1002">
        <f>IMAGE("file:///E:/Estudios%20y%20certificaciones/ESTUDIOS%20DE%20PROGRAMMING/PROGRAMMING/PERSONAL/PYTHON/Image_Generator_API/imagenes/NAUTICA_CLASSICS_117000492_SPQ_2.jpg")</f>
        <v/>
      </c>
      <c r="N1002">
        <f>IMAGE("file:///E:/Estudios%20y%20certificaciones/ESTUDIOS%20DE%20PROGRAMMING/PROGRAMMING/PERSONAL/PYTHON/Image_Generator_API/imagenes/NAUTICA_CLASSICS_117000492_SPQ_3.jpg")</f>
        <v/>
      </c>
      <c r="O1002">
        <f>HYPERLINK("imagenes/NAUTICA_CLASSICS_117000492_SPQ_1.jpg","Ver imagen")</f>
        <v/>
      </c>
      <c r="P1002">
        <f>HYPERLINK("imagenes/NAUTICA_CLASSICS_117000492_SPQ_2.jpg","Ver imagen")</f>
        <v/>
      </c>
      <c r="Q1002">
        <f>HYPERLINK("imagenes/NAUTICA_CLASSICS_117000492_SPQ_3.jpg","Ver imagen")</f>
        <v/>
      </c>
    </row>
    <row r="1003">
      <c r="A1003" t="inlineStr">
        <is>
          <t>NAUTICA CLASSICS</t>
        </is>
      </c>
      <c r="B1003" t="inlineStr">
        <is>
          <t>117000492</t>
        </is>
      </c>
      <c r="C1003" t="inlineStr">
        <is>
          <t>NAUTICA WOMENS STRETCH PUFFER</t>
        </is>
      </c>
      <c r="D1003" t="inlineStr">
        <is>
          <t>SPQ</t>
        </is>
      </c>
      <c r="E1003" t="inlineStr">
        <is>
          <t>(en blanco)</t>
        </is>
      </c>
      <c r="F1003" t="inlineStr">
        <is>
          <t>(en blanco)</t>
        </is>
      </c>
      <c r="G1003" t="inlineStr">
        <is>
          <t>XL</t>
        </is>
      </c>
      <c r="H1003" t="n">
        <v>3</v>
      </c>
      <c r="I1003" t="inlineStr">
        <is>
          <t>NAUTICA_CLASSICS_117000492_SPQ_1.jpg</t>
        </is>
      </c>
      <c r="J1003" t="inlineStr">
        <is>
          <t>NAUTICA_CLASSICS_117000492_SPQ_2.jpg</t>
        </is>
      </c>
      <c r="K1003" t="inlineStr">
        <is>
          <t>NAUTICA_CLASSICS_117000492_SPQ_3.jpg</t>
        </is>
      </c>
      <c r="L1003">
        <f>IMAGE("file:///E:/Estudios%20y%20certificaciones/ESTUDIOS%20DE%20PROGRAMMING/PROGRAMMING/PERSONAL/PYTHON/Image_Generator_API/imagenes/NAUTICA_CLASSICS_117000492_SPQ_1.jpg")</f>
        <v/>
      </c>
      <c r="M1003">
        <f>IMAGE("file:///E:/Estudios%20y%20certificaciones/ESTUDIOS%20DE%20PROGRAMMING/PROGRAMMING/PERSONAL/PYTHON/Image_Generator_API/imagenes/NAUTICA_CLASSICS_117000492_SPQ_2.jpg")</f>
        <v/>
      </c>
      <c r="N1003">
        <f>IMAGE("file:///E:/Estudios%20y%20certificaciones/ESTUDIOS%20DE%20PROGRAMMING/PROGRAMMING/PERSONAL/PYTHON/Image_Generator_API/imagenes/NAUTICA_CLASSICS_117000492_SPQ_3.jpg")</f>
        <v/>
      </c>
      <c r="O1003">
        <f>HYPERLINK("imagenes/NAUTICA_CLASSICS_117000492_SPQ_1.jpg","Ver imagen")</f>
        <v/>
      </c>
      <c r="P1003">
        <f>HYPERLINK("imagenes/NAUTICA_CLASSICS_117000492_SPQ_2.jpg","Ver imagen")</f>
        <v/>
      </c>
      <c r="Q1003">
        <f>HYPERLINK("imagenes/NAUTICA_CLASSICS_117000492_SPQ_3.jpg","Ver imagen")</f>
        <v/>
      </c>
    </row>
    <row r="1004">
      <c r="A1004" t="inlineStr">
        <is>
          <t>NAUTICA CLASSICS</t>
        </is>
      </c>
      <c r="B1004" t="inlineStr">
        <is>
          <t>117000673</t>
        </is>
      </c>
      <c r="C1004" t="inlineStr">
        <is>
          <t>NAUTICA STRETCH PACKABLE</t>
        </is>
      </c>
      <c r="D1004" t="inlineStr">
        <is>
          <t>1111</t>
        </is>
      </c>
      <c r="E1004" t="inlineStr">
        <is>
          <t>(en blanco)</t>
        </is>
      </c>
      <c r="F1004" t="inlineStr">
        <is>
          <t>(en blanco)</t>
        </is>
      </c>
      <c r="G1004" t="inlineStr">
        <is>
          <t>S</t>
        </is>
      </c>
      <c r="H1004" t="n">
        <v>5</v>
      </c>
      <c r="I1004" t="inlineStr">
        <is>
          <t>NAUTICA_CLASSICS_117000673_1111_1.jpg</t>
        </is>
      </c>
      <c r="J1004" t="inlineStr">
        <is>
          <t>NAUTICA_CLASSICS_117000673_1111_2.jpg</t>
        </is>
      </c>
      <c r="K1004" t="inlineStr">
        <is>
          <t>NAUTICA_CLASSICS_117000673_1111_3.jpg</t>
        </is>
      </c>
      <c r="L1004">
        <f>IMAGE("file:///E:/Estudios%20y%20certificaciones/ESTUDIOS%20DE%20PROGRAMMING/PROGRAMMING/PERSONAL/PYTHON/Image_Generator_API/imagenes/NAUTICA_CLASSICS_117000673_1111_1.jpg")</f>
        <v/>
      </c>
      <c r="M1004">
        <f>IMAGE("file:///E:/Estudios%20y%20certificaciones/ESTUDIOS%20DE%20PROGRAMMING/PROGRAMMING/PERSONAL/PYTHON/Image_Generator_API/imagenes/NAUTICA_CLASSICS_117000673_1111_2.jpg")</f>
        <v/>
      </c>
      <c r="N1004">
        <f>IMAGE("file:///E:/Estudios%20y%20certificaciones/ESTUDIOS%20DE%20PROGRAMMING/PROGRAMMING/PERSONAL/PYTHON/Image_Generator_API/imagenes/NAUTICA_CLASSICS_117000673_1111_3.jpg")</f>
        <v/>
      </c>
      <c r="O1004">
        <f>HYPERLINK("imagenes/NAUTICA_CLASSICS_117000673_1111_1.jpg","Ver imagen")</f>
        <v/>
      </c>
      <c r="P1004">
        <f>HYPERLINK("imagenes/NAUTICA_CLASSICS_117000673_1111_2.jpg","Ver imagen")</f>
        <v/>
      </c>
      <c r="Q1004">
        <f>HYPERLINK("imagenes/NAUTICA_CLASSICS_117000673_1111_3.jpg","Ver imagen")</f>
        <v/>
      </c>
    </row>
    <row r="1005">
      <c r="A1005" t="inlineStr">
        <is>
          <t>NAUTICA CLASSICS</t>
        </is>
      </c>
      <c r="B1005" t="inlineStr">
        <is>
          <t>117000673</t>
        </is>
      </c>
      <c r="C1005" t="inlineStr">
        <is>
          <t>NAUTICA STRETCH PACKABLE</t>
        </is>
      </c>
      <c r="D1005" t="inlineStr">
        <is>
          <t>AYB</t>
        </is>
      </c>
      <c r="E1005" t="inlineStr">
        <is>
          <t>(en blanco)</t>
        </is>
      </c>
      <c r="F1005" t="inlineStr">
        <is>
          <t>(en blanco)</t>
        </is>
      </c>
      <c r="G1005" t="inlineStr">
        <is>
          <t>XS</t>
        </is>
      </c>
      <c r="H1005" t="n">
        <v>1</v>
      </c>
      <c r="I1005" t="inlineStr">
        <is>
          <t>NAUTICA_CLASSICS_117000673_AYB_1.jpg</t>
        </is>
      </c>
      <c r="J1005" t="inlineStr">
        <is>
          <t>NAUTICA_CLASSICS_117000673_AYB_2.jpg</t>
        </is>
      </c>
      <c r="K1005" t="inlineStr">
        <is>
          <t>NAUTICA_CLASSICS_117000673_AYB_3.jpg</t>
        </is>
      </c>
      <c r="L1005">
        <f>IMAGE("file:///E:/Estudios%20y%20certificaciones/ESTUDIOS%20DE%20PROGRAMMING/PROGRAMMING/PERSONAL/PYTHON/Image_Generator_API/imagenes/NAUTICA_CLASSICS_117000673_AYB_1.jpg")</f>
        <v/>
      </c>
      <c r="M1005">
        <f>IMAGE("file:///E:/Estudios%20y%20certificaciones/ESTUDIOS%20DE%20PROGRAMMING/PROGRAMMING/PERSONAL/PYTHON/Image_Generator_API/imagenes/NAUTICA_CLASSICS_117000673_AYB_2.jpg")</f>
        <v/>
      </c>
      <c r="N1005">
        <f>IMAGE("file:///E:/Estudios%20y%20certificaciones/ESTUDIOS%20DE%20PROGRAMMING/PROGRAMMING/PERSONAL/PYTHON/Image_Generator_API/imagenes/NAUTICA_CLASSICS_117000673_AYB_3.jpg")</f>
        <v/>
      </c>
      <c r="O1005">
        <f>HYPERLINK("imagenes/NAUTICA_CLASSICS_117000673_AYB_1.jpg","Ver imagen")</f>
        <v/>
      </c>
      <c r="P1005">
        <f>HYPERLINK("imagenes/NAUTICA_CLASSICS_117000673_AYB_2.jpg","Ver imagen")</f>
        <v/>
      </c>
      <c r="Q1005">
        <f>HYPERLINK("imagenes/NAUTICA_CLASSICS_117000673_AYB_3.jpg","Ver imagen")</f>
        <v/>
      </c>
    </row>
    <row r="1006">
      <c r="A1006" t="inlineStr">
        <is>
          <t>NAUTICA CLASSICS</t>
        </is>
      </c>
      <c r="B1006" t="inlineStr">
        <is>
          <t>117000673</t>
        </is>
      </c>
      <c r="C1006" t="inlineStr">
        <is>
          <t>NAUTICA STRETCH PACKABLE</t>
        </is>
      </c>
      <c r="D1006" t="inlineStr">
        <is>
          <t>AYB</t>
        </is>
      </c>
      <c r="E1006" t="inlineStr">
        <is>
          <t>(en blanco)</t>
        </is>
      </c>
      <c r="F1006" t="inlineStr">
        <is>
          <t>(en blanco)</t>
        </is>
      </c>
      <c r="G1006" t="inlineStr">
        <is>
          <t>S</t>
        </is>
      </c>
      <c r="H1006" t="n">
        <v>1</v>
      </c>
      <c r="I1006" t="inlineStr">
        <is>
          <t>NAUTICA_CLASSICS_117000673_AYB_1.jpg</t>
        </is>
      </c>
      <c r="J1006" t="inlineStr">
        <is>
          <t>NAUTICA_CLASSICS_117000673_AYB_2.jpg</t>
        </is>
      </c>
      <c r="K1006" t="inlineStr">
        <is>
          <t>NAUTICA_CLASSICS_117000673_AYB_3.jpg</t>
        </is>
      </c>
      <c r="L1006">
        <f>IMAGE("file:///E:/Estudios%20y%20certificaciones/ESTUDIOS%20DE%20PROGRAMMING/PROGRAMMING/PERSONAL/PYTHON/Image_Generator_API/imagenes/NAUTICA_CLASSICS_117000673_AYB_1.jpg")</f>
        <v/>
      </c>
      <c r="M1006">
        <f>IMAGE("file:///E:/Estudios%20y%20certificaciones/ESTUDIOS%20DE%20PROGRAMMING/PROGRAMMING/PERSONAL/PYTHON/Image_Generator_API/imagenes/NAUTICA_CLASSICS_117000673_AYB_2.jpg")</f>
        <v/>
      </c>
      <c r="N1006">
        <f>IMAGE("file:///E:/Estudios%20y%20certificaciones/ESTUDIOS%20DE%20PROGRAMMING/PROGRAMMING/PERSONAL/PYTHON/Image_Generator_API/imagenes/NAUTICA_CLASSICS_117000673_AYB_3.jpg")</f>
        <v/>
      </c>
      <c r="O1006">
        <f>HYPERLINK("imagenes/NAUTICA_CLASSICS_117000673_AYB_1.jpg","Ver imagen")</f>
        <v/>
      </c>
      <c r="P1006">
        <f>HYPERLINK("imagenes/NAUTICA_CLASSICS_117000673_AYB_2.jpg","Ver imagen")</f>
        <v/>
      </c>
      <c r="Q1006">
        <f>HYPERLINK("imagenes/NAUTICA_CLASSICS_117000673_AYB_3.jpg","Ver imagen")</f>
        <v/>
      </c>
    </row>
    <row r="1007">
      <c r="A1007" t="inlineStr">
        <is>
          <t>NAUTICA CLASSICS</t>
        </is>
      </c>
      <c r="B1007" t="inlineStr">
        <is>
          <t>117000673</t>
        </is>
      </c>
      <c r="C1007" t="inlineStr">
        <is>
          <t>NAUTICA STRETCH PACKABLE</t>
        </is>
      </c>
      <c r="D1007" t="inlineStr">
        <is>
          <t>AYB</t>
        </is>
      </c>
      <c r="E1007" t="inlineStr">
        <is>
          <t>(en blanco)</t>
        </is>
      </c>
      <c r="F1007" t="inlineStr">
        <is>
          <t>(en blanco)</t>
        </is>
      </c>
      <c r="G1007" t="inlineStr">
        <is>
          <t>L</t>
        </is>
      </c>
      <c r="H1007" t="n">
        <v>1</v>
      </c>
      <c r="I1007" t="inlineStr">
        <is>
          <t>NAUTICA_CLASSICS_117000673_AYB_1.jpg</t>
        </is>
      </c>
      <c r="J1007" t="inlineStr">
        <is>
          <t>NAUTICA_CLASSICS_117000673_AYB_2.jpg</t>
        </is>
      </c>
      <c r="K1007" t="inlineStr">
        <is>
          <t>NAUTICA_CLASSICS_117000673_AYB_3.jpg</t>
        </is>
      </c>
      <c r="L1007">
        <f>IMAGE("file:///E:/Estudios%20y%20certificaciones/ESTUDIOS%20DE%20PROGRAMMING/PROGRAMMING/PERSONAL/PYTHON/Image_Generator_API/imagenes/NAUTICA_CLASSICS_117000673_AYB_1.jpg")</f>
        <v/>
      </c>
      <c r="M1007">
        <f>IMAGE("file:///E:/Estudios%20y%20certificaciones/ESTUDIOS%20DE%20PROGRAMMING/PROGRAMMING/PERSONAL/PYTHON/Image_Generator_API/imagenes/NAUTICA_CLASSICS_117000673_AYB_2.jpg")</f>
        <v/>
      </c>
      <c r="N1007">
        <f>IMAGE("file:///E:/Estudios%20y%20certificaciones/ESTUDIOS%20DE%20PROGRAMMING/PROGRAMMING/PERSONAL/PYTHON/Image_Generator_API/imagenes/NAUTICA_CLASSICS_117000673_AYB_3.jpg")</f>
        <v/>
      </c>
      <c r="O1007">
        <f>HYPERLINK("imagenes/NAUTICA_CLASSICS_117000673_AYB_1.jpg","Ver imagen")</f>
        <v/>
      </c>
      <c r="P1007">
        <f>HYPERLINK("imagenes/NAUTICA_CLASSICS_117000673_AYB_2.jpg","Ver imagen")</f>
        <v/>
      </c>
      <c r="Q1007">
        <f>HYPERLINK("imagenes/NAUTICA_CLASSICS_117000673_AYB_3.jpg","Ver imagen")</f>
        <v/>
      </c>
    </row>
    <row r="1008">
      <c r="A1008" t="inlineStr">
        <is>
          <t>NAUTICA CLASSICS</t>
        </is>
      </c>
      <c r="B1008" t="inlineStr">
        <is>
          <t>117000673</t>
        </is>
      </c>
      <c r="C1008" t="inlineStr">
        <is>
          <t>NAUTICA STRETCH PACKABLE</t>
        </is>
      </c>
      <c r="D1008" t="inlineStr">
        <is>
          <t>AYB</t>
        </is>
      </c>
      <c r="E1008" t="inlineStr">
        <is>
          <t>(en blanco)</t>
        </is>
      </c>
      <c r="F1008" t="inlineStr">
        <is>
          <t>(en blanco)</t>
        </is>
      </c>
      <c r="G1008" t="inlineStr">
        <is>
          <t>XL</t>
        </is>
      </c>
      <c r="H1008" t="n">
        <v>1</v>
      </c>
      <c r="I1008" t="inlineStr">
        <is>
          <t>NAUTICA_CLASSICS_117000673_AYB_1.jpg</t>
        </is>
      </c>
      <c r="J1008" t="inlineStr">
        <is>
          <t>NAUTICA_CLASSICS_117000673_AYB_2.jpg</t>
        </is>
      </c>
      <c r="K1008" t="inlineStr">
        <is>
          <t>NAUTICA_CLASSICS_117000673_AYB_3.jpg</t>
        </is>
      </c>
      <c r="L1008">
        <f>IMAGE("file:///E:/Estudios%20y%20certificaciones/ESTUDIOS%20DE%20PROGRAMMING/PROGRAMMING/PERSONAL/PYTHON/Image_Generator_API/imagenes/NAUTICA_CLASSICS_117000673_AYB_1.jpg")</f>
        <v/>
      </c>
      <c r="M1008">
        <f>IMAGE("file:///E:/Estudios%20y%20certificaciones/ESTUDIOS%20DE%20PROGRAMMING/PROGRAMMING/PERSONAL/PYTHON/Image_Generator_API/imagenes/NAUTICA_CLASSICS_117000673_AYB_2.jpg")</f>
        <v/>
      </c>
      <c r="N1008">
        <f>IMAGE("file:///E:/Estudios%20y%20certificaciones/ESTUDIOS%20DE%20PROGRAMMING/PROGRAMMING/PERSONAL/PYTHON/Image_Generator_API/imagenes/NAUTICA_CLASSICS_117000673_AYB_3.jpg")</f>
        <v/>
      </c>
      <c r="O1008">
        <f>HYPERLINK("imagenes/NAUTICA_CLASSICS_117000673_AYB_1.jpg","Ver imagen")</f>
        <v/>
      </c>
      <c r="P1008">
        <f>HYPERLINK("imagenes/NAUTICA_CLASSICS_117000673_AYB_2.jpg","Ver imagen")</f>
        <v/>
      </c>
      <c r="Q1008">
        <f>HYPERLINK("imagenes/NAUTICA_CLASSICS_117000673_AYB_3.jpg","Ver imagen")</f>
        <v/>
      </c>
    </row>
    <row r="1009">
      <c r="A1009" t="inlineStr">
        <is>
          <t>NAUTICA CLASSICS</t>
        </is>
      </c>
      <c r="B1009" t="inlineStr">
        <is>
          <t>117000673</t>
        </is>
      </c>
      <c r="C1009" t="inlineStr">
        <is>
          <t>NAUTICA STRETCH PACKABLE</t>
        </is>
      </c>
      <c r="D1009" t="inlineStr">
        <is>
          <t>BLK</t>
        </is>
      </c>
      <c r="E1009" t="inlineStr">
        <is>
          <t>(en blanco)</t>
        </is>
      </c>
      <c r="F1009" t="inlineStr">
        <is>
          <t>(en blanco)</t>
        </is>
      </c>
      <c r="G1009" t="inlineStr">
        <is>
          <t>XS</t>
        </is>
      </c>
      <c r="H1009" t="n">
        <v>8</v>
      </c>
      <c r="I1009" t="inlineStr">
        <is>
          <t>NAUTICA_CLASSICS_117000673_BLK_1.jpg</t>
        </is>
      </c>
      <c r="J1009" t="inlineStr">
        <is>
          <t>NAUTICA_CLASSICS_117000673_BLK_2.jpg</t>
        </is>
      </c>
      <c r="K1009" t="inlineStr">
        <is>
          <t>NAUTICA_CLASSICS_117000673_BLK_3.jpg</t>
        </is>
      </c>
      <c r="L1009">
        <f>IMAGE("file:///E:/Estudios%20y%20certificaciones/ESTUDIOS%20DE%20PROGRAMMING/PROGRAMMING/PERSONAL/PYTHON/Image_Generator_API/imagenes/NAUTICA_CLASSICS_117000673_BLK_1.jpg")</f>
        <v/>
      </c>
      <c r="M1009">
        <f>IMAGE("file:///E:/Estudios%20y%20certificaciones/ESTUDIOS%20DE%20PROGRAMMING/PROGRAMMING/PERSONAL/PYTHON/Image_Generator_API/imagenes/NAUTICA_CLASSICS_117000673_BLK_2.jpg")</f>
        <v/>
      </c>
      <c r="N1009">
        <f>IMAGE("file:///E:/Estudios%20y%20certificaciones/ESTUDIOS%20DE%20PROGRAMMING/PROGRAMMING/PERSONAL/PYTHON/Image_Generator_API/imagenes/NAUTICA_CLASSICS_117000673_BLK_3.jpg")</f>
        <v/>
      </c>
      <c r="O1009">
        <f>HYPERLINK("imagenes/NAUTICA_CLASSICS_117000673_BLK_1.jpg","Ver imagen")</f>
        <v/>
      </c>
      <c r="P1009">
        <f>HYPERLINK("imagenes/NAUTICA_CLASSICS_117000673_BLK_2.jpg","Ver imagen")</f>
        <v/>
      </c>
      <c r="Q1009">
        <f>HYPERLINK("imagenes/NAUTICA_CLASSICS_117000673_BLK_3.jpg","Ver imagen")</f>
        <v/>
      </c>
    </row>
    <row r="1010">
      <c r="A1010" t="inlineStr">
        <is>
          <t>NAUTICA CLASSICS</t>
        </is>
      </c>
      <c r="B1010" t="inlineStr">
        <is>
          <t>117000673</t>
        </is>
      </c>
      <c r="C1010" t="inlineStr">
        <is>
          <t>NAUTICA STRETCH PACKABLE</t>
        </is>
      </c>
      <c r="D1010" t="inlineStr">
        <is>
          <t>BLK</t>
        </is>
      </c>
      <c r="E1010" t="inlineStr">
        <is>
          <t>(en blanco)</t>
        </is>
      </c>
      <c r="F1010" t="inlineStr">
        <is>
          <t>(en blanco)</t>
        </is>
      </c>
      <c r="G1010" t="inlineStr">
        <is>
          <t>M</t>
        </is>
      </c>
      <c r="H1010" t="n">
        <v>20</v>
      </c>
      <c r="I1010" t="inlineStr">
        <is>
          <t>NAUTICA_CLASSICS_117000673_BLK_1.jpg</t>
        </is>
      </c>
      <c r="J1010" t="inlineStr">
        <is>
          <t>NAUTICA_CLASSICS_117000673_BLK_2.jpg</t>
        </is>
      </c>
      <c r="K1010" t="inlineStr">
        <is>
          <t>NAUTICA_CLASSICS_117000673_BLK_3.jpg</t>
        </is>
      </c>
      <c r="L1010">
        <f>IMAGE("file:///E:/Estudios%20y%20certificaciones/ESTUDIOS%20DE%20PROGRAMMING/PROGRAMMING/PERSONAL/PYTHON/Image_Generator_API/imagenes/NAUTICA_CLASSICS_117000673_BLK_1.jpg")</f>
        <v/>
      </c>
      <c r="M1010">
        <f>IMAGE("file:///E:/Estudios%20y%20certificaciones/ESTUDIOS%20DE%20PROGRAMMING/PROGRAMMING/PERSONAL/PYTHON/Image_Generator_API/imagenes/NAUTICA_CLASSICS_117000673_BLK_2.jpg")</f>
        <v/>
      </c>
      <c r="N1010">
        <f>IMAGE("file:///E:/Estudios%20y%20certificaciones/ESTUDIOS%20DE%20PROGRAMMING/PROGRAMMING/PERSONAL/PYTHON/Image_Generator_API/imagenes/NAUTICA_CLASSICS_117000673_BLK_3.jpg")</f>
        <v/>
      </c>
      <c r="O1010">
        <f>HYPERLINK("imagenes/NAUTICA_CLASSICS_117000673_BLK_1.jpg","Ver imagen")</f>
        <v/>
      </c>
      <c r="P1010">
        <f>HYPERLINK("imagenes/NAUTICA_CLASSICS_117000673_BLK_2.jpg","Ver imagen")</f>
        <v/>
      </c>
      <c r="Q1010">
        <f>HYPERLINK("imagenes/NAUTICA_CLASSICS_117000673_BLK_3.jpg","Ver imagen")</f>
        <v/>
      </c>
    </row>
    <row r="1011">
      <c r="A1011" t="inlineStr">
        <is>
          <t>NAUTICA CLASSICS</t>
        </is>
      </c>
      <c r="B1011" t="inlineStr">
        <is>
          <t>117000673</t>
        </is>
      </c>
      <c r="C1011" t="inlineStr">
        <is>
          <t>NAUTICA STRETCH PACKABLE</t>
        </is>
      </c>
      <c r="D1011" t="inlineStr">
        <is>
          <t>BLK</t>
        </is>
      </c>
      <c r="E1011" t="inlineStr">
        <is>
          <t>(en blanco)</t>
        </is>
      </c>
      <c r="F1011" t="inlineStr">
        <is>
          <t>(en blanco)</t>
        </is>
      </c>
      <c r="G1011" t="inlineStr">
        <is>
          <t>L</t>
        </is>
      </c>
      <c r="H1011" t="n">
        <v>16</v>
      </c>
      <c r="I1011" t="inlineStr">
        <is>
          <t>NAUTICA_CLASSICS_117000673_BLK_1.jpg</t>
        </is>
      </c>
      <c r="J1011" t="inlineStr">
        <is>
          <t>NAUTICA_CLASSICS_117000673_BLK_2.jpg</t>
        </is>
      </c>
      <c r="K1011" t="inlineStr">
        <is>
          <t>NAUTICA_CLASSICS_117000673_BLK_3.jpg</t>
        </is>
      </c>
      <c r="L1011">
        <f>IMAGE("file:///E:/Estudios%20y%20certificaciones/ESTUDIOS%20DE%20PROGRAMMING/PROGRAMMING/PERSONAL/PYTHON/Image_Generator_API/imagenes/NAUTICA_CLASSICS_117000673_BLK_1.jpg")</f>
        <v/>
      </c>
      <c r="M1011">
        <f>IMAGE("file:///E:/Estudios%20y%20certificaciones/ESTUDIOS%20DE%20PROGRAMMING/PROGRAMMING/PERSONAL/PYTHON/Image_Generator_API/imagenes/NAUTICA_CLASSICS_117000673_BLK_2.jpg")</f>
        <v/>
      </c>
      <c r="N1011">
        <f>IMAGE("file:///E:/Estudios%20y%20certificaciones/ESTUDIOS%20DE%20PROGRAMMING/PROGRAMMING/PERSONAL/PYTHON/Image_Generator_API/imagenes/NAUTICA_CLASSICS_117000673_BLK_3.jpg")</f>
        <v/>
      </c>
      <c r="O1011">
        <f>HYPERLINK("imagenes/NAUTICA_CLASSICS_117000673_BLK_1.jpg","Ver imagen")</f>
        <v/>
      </c>
      <c r="P1011">
        <f>HYPERLINK("imagenes/NAUTICA_CLASSICS_117000673_BLK_2.jpg","Ver imagen")</f>
        <v/>
      </c>
      <c r="Q1011">
        <f>HYPERLINK("imagenes/NAUTICA_CLASSICS_117000673_BLK_3.jpg","Ver imagen")</f>
        <v/>
      </c>
    </row>
    <row r="1012">
      <c r="A1012" t="inlineStr">
        <is>
          <t>NAUTICA CLASSICS</t>
        </is>
      </c>
      <c r="B1012" t="inlineStr">
        <is>
          <t>117000673</t>
        </is>
      </c>
      <c r="C1012" t="inlineStr">
        <is>
          <t>NAUTICA STRETCH PACKABLE</t>
        </is>
      </c>
      <c r="D1012" t="inlineStr">
        <is>
          <t>NSS</t>
        </is>
      </c>
      <c r="E1012" t="inlineStr">
        <is>
          <t>(en blanco)</t>
        </is>
      </c>
      <c r="F1012" t="inlineStr">
        <is>
          <t>(en blanco)</t>
        </is>
      </c>
      <c r="G1012" t="inlineStr">
        <is>
          <t>S</t>
        </is>
      </c>
      <c r="H1012" t="n">
        <v>5</v>
      </c>
      <c r="I1012" t="inlineStr">
        <is>
          <t>NAUTICA_CLASSICS_117000673_NSS_1.jpg</t>
        </is>
      </c>
      <c r="J1012" t="inlineStr">
        <is>
          <t>NAUTICA_CLASSICS_117000673_NSS_2.jpg</t>
        </is>
      </c>
      <c r="K1012" t="inlineStr">
        <is>
          <t>NAUTICA_CLASSICS_117000673_NSS_3.jpg</t>
        </is>
      </c>
      <c r="L1012">
        <f>IMAGE("file:///E:/Estudios%20y%20certificaciones/ESTUDIOS%20DE%20PROGRAMMING/PROGRAMMING/PERSONAL/PYTHON/Image_Generator_API/imagenes/NAUTICA_CLASSICS_117000673_NSS_1.jpg")</f>
        <v/>
      </c>
      <c r="M1012">
        <f>IMAGE("file:///E:/Estudios%20y%20certificaciones/ESTUDIOS%20DE%20PROGRAMMING/PROGRAMMING/PERSONAL/PYTHON/Image_Generator_API/imagenes/NAUTICA_CLASSICS_117000673_NSS_2.jpg")</f>
        <v/>
      </c>
      <c r="N1012">
        <f>IMAGE("file:///E:/Estudios%20y%20certificaciones/ESTUDIOS%20DE%20PROGRAMMING/PROGRAMMING/PERSONAL/PYTHON/Image_Generator_API/imagenes/NAUTICA_CLASSICS_117000673_NSS_3.jpg")</f>
        <v/>
      </c>
      <c r="O1012">
        <f>HYPERLINK("imagenes/NAUTICA_CLASSICS_117000673_NSS_1.jpg","Ver imagen")</f>
        <v/>
      </c>
      <c r="P1012">
        <f>HYPERLINK("imagenes/NAUTICA_CLASSICS_117000673_NSS_2.jpg","Ver imagen")</f>
        <v/>
      </c>
      <c r="Q1012">
        <f>HYPERLINK("imagenes/NAUTICA_CLASSICS_117000673_NSS_3.jpg","Ver imagen")</f>
        <v/>
      </c>
    </row>
    <row r="1013">
      <c r="A1013" t="inlineStr">
        <is>
          <t>NAUTICA CLASSICS</t>
        </is>
      </c>
      <c r="B1013" t="inlineStr">
        <is>
          <t>117000673</t>
        </is>
      </c>
      <c r="C1013" t="inlineStr">
        <is>
          <t>NAUTICA STRETCH PACKABLE</t>
        </is>
      </c>
      <c r="D1013" t="inlineStr">
        <is>
          <t>SAG</t>
        </is>
      </c>
      <c r="E1013" t="inlineStr">
        <is>
          <t>(en blanco)</t>
        </is>
      </c>
      <c r="F1013" t="inlineStr">
        <is>
          <t>(en blanco)</t>
        </is>
      </c>
      <c r="G1013" t="inlineStr">
        <is>
          <t>XS</t>
        </is>
      </c>
      <c r="H1013" t="n">
        <v>9</v>
      </c>
      <c r="I1013" t="inlineStr">
        <is>
          <t>NAUTICA_CLASSICS_117000673_SAG_1.jpg</t>
        </is>
      </c>
      <c r="J1013" t="inlineStr">
        <is>
          <t>NAUTICA_CLASSICS_117000673_SAG_2.jpg</t>
        </is>
      </c>
      <c r="K1013" t="inlineStr">
        <is>
          <t>NAUTICA_CLASSICS_117000673_SAG_3.jpg</t>
        </is>
      </c>
      <c r="L1013">
        <f>IMAGE("file:///E:/Estudios%20y%20certificaciones/ESTUDIOS%20DE%20PROGRAMMING/PROGRAMMING/PERSONAL/PYTHON/Image_Generator_API/imagenes/NAUTICA_CLASSICS_117000673_SAG_1.jpg")</f>
        <v/>
      </c>
      <c r="M1013">
        <f>IMAGE("file:///E:/Estudios%20y%20certificaciones/ESTUDIOS%20DE%20PROGRAMMING/PROGRAMMING/PERSONAL/PYTHON/Image_Generator_API/imagenes/NAUTICA_CLASSICS_117000673_SAG_2.jpg")</f>
        <v/>
      </c>
      <c r="N1013">
        <f>IMAGE("file:///E:/Estudios%20y%20certificaciones/ESTUDIOS%20DE%20PROGRAMMING/PROGRAMMING/PERSONAL/PYTHON/Image_Generator_API/imagenes/NAUTICA_CLASSICS_117000673_SAG_3.jpg")</f>
        <v/>
      </c>
      <c r="O1013">
        <f>HYPERLINK("imagenes/NAUTICA_CLASSICS_117000673_SAG_1.jpg","Ver imagen")</f>
        <v/>
      </c>
      <c r="P1013">
        <f>HYPERLINK("imagenes/NAUTICA_CLASSICS_117000673_SAG_2.jpg","Ver imagen")</f>
        <v/>
      </c>
      <c r="Q1013">
        <f>HYPERLINK("imagenes/NAUTICA_CLASSICS_117000673_SAG_3.jpg","Ver imagen")</f>
        <v/>
      </c>
    </row>
    <row r="1014">
      <c r="A1014" t="inlineStr">
        <is>
          <t>NAUTICA CLASSICS</t>
        </is>
      </c>
      <c r="B1014" t="inlineStr">
        <is>
          <t>117000679</t>
        </is>
      </c>
      <c r="C1014" t="inlineStr">
        <is>
          <t>NAUTICA SOFTSHELL JKT</t>
        </is>
      </c>
      <c r="D1014" t="inlineStr">
        <is>
          <t>BLK</t>
        </is>
      </c>
      <c r="E1014" t="inlineStr">
        <is>
          <t>(en blanco)</t>
        </is>
      </c>
      <c r="F1014" t="inlineStr">
        <is>
          <t>(en blanco)</t>
        </is>
      </c>
      <c r="G1014" t="inlineStr">
        <is>
          <t>S</t>
        </is>
      </c>
      <c r="H1014" t="n">
        <v>3</v>
      </c>
      <c r="I1014" t="inlineStr">
        <is>
          <t>NAUTICA_CLASSICS_117000679_BLK_1.jpg</t>
        </is>
      </c>
      <c r="J1014" t="inlineStr">
        <is>
          <t>NAUTICA_CLASSICS_117000679_BLK_2.jpg</t>
        </is>
      </c>
      <c r="K1014" t="inlineStr">
        <is>
          <t>NAUTICA_CLASSICS_117000679_BLK_3.jpg</t>
        </is>
      </c>
      <c r="L1014">
        <f>IMAGE("file:///E:/Estudios%20y%20certificaciones/ESTUDIOS%20DE%20PROGRAMMING/PROGRAMMING/PERSONAL/PYTHON/Image_Generator_API/imagenes/NAUTICA_CLASSICS_117000679_BLK_1.jpg")</f>
        <v/>
      </c>
      <c r="M1014">
        <f>IMAGE("file:///E:/Estudios%20y%20certificaciones/ESTUDIOS%20DE%20PROGRAMMING/PROGRAMMING/PERSONAL/PYTHON/Image_Generator_API/imagenes/NAUTICA_CLASSICS_117000679_BLK_2.jpg")</f>
        <v/>
      </c>
      <c r="N1014">
        <f>IMAGE("file:///E:/Estudios%20y%20certificaciones/ESTUDIOS%20DE%20PROGRAMMING/PROGRAMMING/PERSONAL/PYTHON/Image_Generator_API/imagenes/NAUTICA_CLASSICS_117000679_BLK_3.jpg")</f>
        <v/>
      </c>
      <c r="O1014">
        <f>HYPERLINK("imagenes/NAUTICA_CLASSICS_117000679_BLK_1.jpg","Ver imagen")</f>
        <v/>
      </c>
      <c r="P1014">
        <f>HYPERLINK("imagenes/NAUTICA_CLASSICS_117000679_BLK_2.jpg","Ver imagen")</f>
        <v/>
      </c>
      <c r="Q1014">
        <f>HYPERLINK("imagenes/NAUTICA_CLASSICS_117000679_BLK_3.jpg","Ver imagen")</f>
        <v/>
      </c>
    </row>
    <row r="1015">
      <c r="A1015" t="inlineStr">
        <is>
          <t>NAUTICA CLASSICS</t>
        </is>
      </c>
      <c r="B1015" t="inlineStr">
        <is>
          <t>117000679</t>
        </is>
      </c>
      <c r="C1015" t="inlineStr">
        <is>
          <t>NAUTICA SOFTSHELL JKT</t>
        </is>
      </c>
      <c r="D1015" t="inlineStr">
        <is>
          <t>BLK</t>
        </is>
      </c>
      <c r="E1015" t="inlineStr">
        <is>
          <t>(en blanco)</t>
        </is>
      </c>
      <c r="F1015" t="inlineStr">
        <is>
          <t>(en blanco)</t>
        </is>
      </c>
      <c r="G1015" t="inlineStr">
        <is>
          <t>M</t>
        </is>
      </c>
      <c r="H1015" t="n">
        <v>2</v>
      </c>
      <c r="I1015" t="inlineStr">
        <is>
          <t>NAUTICA_CLASSICS_117000679_BLK_1.jpg</t>
        </is>
      </c>
      <c r="J1015" t="inlineStr">
        <is>
          <t>NAUTICA_CLASSICS_117000679_BLK_2.jpg</t>
        </is>
      </c>
      <c r="K1015" t="inlineStr">
        <is>
          <t>NAUTICA_CLASSICS_117000679_BLK_3.jpg</t>
        </is>
      </c>
      <c r="L1015">
        <f>IMAGE("file:///E:/Estudios%20y%20certificaciones/ESTUDIOS%20DE%20PROGRAMMING/PROGRAMMING/PERSONAL/PYTHON/Image_Generator_API/imagenes/NAUTICA_CLASSICS_117000679_BLK_1.jpg")</f>
        <v/>
      </c>
      <c r="M1015">
        <f>IMAGE("file:///E:/Estudios%20y%20certificaciones/ESTUDIOS%20DE%20PROGRAMMING/PROGRAMMING/PERSONAL/PYTHON/Image_Generator_API/imagenes/NAUTICA_CLASSICS_117000679_BLK_2.jpg")</f>
        <v/>
      </c>
      <c r="N1015">
        <f>IMAGE("file:///E:/Estudios%20y%20certificaciones/ESTUDIOS%20DE%20PROGRAMMING/PROGRAMMING/PERSONAL/PYTHON/Image_Generator_API/imagenes/NAUTICA_CLASSICS_117000679_BLK_3.jpg")</f>
        <v/>
      </c>
      <c r="O1015">
        <f>HYPERLINK("imagenes/NAUTICA_CLASSICS_117000679_BLK_1.jpg","Ver imagen")</f>
        <v/>
      </c>
      <c r="P1015">
        <f>HYPERLINK("imagenes/NAUTICA_CLASSICS_117000679_BLK_2.jpg","Ver imagen")</f>
        <v/>
      </c>
      <c r="Q1015">
        <f>HYPERLINK("imagenes/NAUTICA_CLASSICS_117000679_BLK_3.jpg","Ver imagen")</f>
        <v/>
      </c>
    </row>
    <row r="1016">
      <c r="A1016" t="inlineStr">
        <is>
          <t>NAUTICA CLASSICS</t>
        </is>
      </c>
      <c r="B1016" t="inlineStr">
        <is>
          <t>117000679</t>
        </is>
      </c>
      <c r="C1016" t="inlineStr">
        <is>
          <t>NAUTICA SOFTSHELL JKT</t>
        </is>
      </c>
      <c r="D1016" t="inlineStr">
        <is>
          <t>BLK</t>
        </is>
      </c>
      <c r="E1016" t="inlineStr">
        <is>
          <t>(en blanco)</t>
        </is>
      </c>
      <c r="F1016" t="inlineStr">
        <is>
          <t>(en blanco)</t>
        </is>
      </c>
      <c r="G1016" t="inlineStr">
        <is>
          <t>L</t>
        </is>
      </c>
      <c r="H1016" t="n">
        <v>1</v>
      </c>
      <c r="I1016" t="inlineStr">
        <is>
          <t>NAUTICA_CLASSICS_117000679_BLK_1.jpg</t>
        </is>
      </c>
      <c r="J1016" t="inlineStr">
        <is>
          <t>NAUTICA_CLASSICS_117000679_BLK_2.jpg</t>
        </is>
      </c>
      <c r="K1016" t="inlineStr">
        <is>
          <t>NAUTICA_CLASSICS_117000679_BLK_3.jpg</t>
        </is>
      </c>
      <c r="L1016">
        <f>IMAGE("file:///E:/Estudios%20y%20certificaciones/ESTUDIOS%20DE%20PROGRAMMING/PROGRAMMING/PERSONAL/PYTHON/Image_Generator_API/imagenes/NAUTICA_CLASSICS_117000679_BLK_1.jpg")</f>
        <v/>
      </c>
      <c r="M1016">
        <f>IMAGE("file:///E:/Estudios%20y%20certificaciones/ESTUDIOS%20DE%20PROGRAMMING/PROGRAMMING/PERSONAL/PYTHON/Image_Generator_API/imagenes/NAUTICA_CLASSICS_117000679_BLK_2.jpg")</f>
        <v/>
      </c>
      <c r="N1016">
        <f>IMAGE("file:///E:/Estudios%20y%20certificaciones/ESTUDIOS%20DE%20PROGRAMMING/PROGRAMMING/PERSONAL/PYTHON/Image_Generator_API/imagenes/NAUTICA_CLASSICS_117000679_BLK_3.jpg")</f>
        <v/>
      </c>
      <c r="O1016">
        <f>HYPERLINK("imagenes/NAUTICA_CLASSICS_117000679_BLK_1.jpg","Ver imagen")</f>
        <v/>
      </c>
      <c r="P1016">
        <f>HYPERLINK("imagenes/NAUTICA_CLASSICS_117000679_BLK_2.jpg","Ver imagen")</f>
        <v/>
      </c>
      <c r="Q1016">
        <f>HYPERLINK("imagenes/NAUTICA_CLASSICS_117000679_BLK_3.jpg","Ver imagen")</f>
        <v/>
      </c>
    </row>
    <row r="1017">
      <c r="A1017" t="inlineStr">
        <is>
          <t>NAUTICA CLASSICS</t>
        </is>
      </c>
      <c r="B1017" t="inlineStr">
        <is>
          <t>117000679</t>
        </is>
      </c>
      <c r="C1017" t="inlineStr">
        <is>
          <t>NAUTICA SOFTSHELL JKT</t>
        </is>
      </c>
      <c r="D1017" t="inlineStr">
        <is>
          <t>BLU</t>
        </is>
      </c>
      <c r="E1017" t="inlineStr">
        <is>
          <t>(en blanco)</t>
        </is>
      </c>
      <c r="F1017" t="inlineStr">
        <is>
          <t>(en blanco)</t>
        </is>
      </c>
      <c r="G1017" t="inlineStr">
        <is>
          <t>S</t>
        </is>
      </c>
      <c r="H1017" t="n">
        <v>5</v>
      </c>
      <c r="I1017" t="inlineStr">
        <is>
          <t>NAUTICA_CLASSICS_117000679_BLU_1.jpg</t>
        </is>
      </c>
      <c r="J1017" t="inlineStr">
        <is>
          <t>NAUTICA_CLASSICS_117000679_BLU_2.jpg</t>
        </is>
      </c>
      <c r="K1017" t="inlineStr">
        <is>
          <t>NAUTICA_CLASSICS_117000679_BLU_3.jpg</t>
        </is>
      </c>
      <c r="L1017">
        <f>IMAGE("file:///E:/Estudios%20y%20certificaciones/ESTUDIOS%20DE%20PROGRAMMING/PROGRAMMING/PERSONAL/PYTHON/Image_Generator_API/imagenes/NAUTICA_CLASSICS_117000679_BLU_1.jpg")</f>
        <v/>
      </c>
      <c r="M1017">
        <f>IMAGE("file:///E:/Estudios%20y%20certificaciones/ESTUDIOS%20DE%20PROGRAMMING/PROGRAMMING/PERSONAL/PYTHON/Image_Generator_API/imagenes/NAUTICA_CLASSICS_117000679_BLU_2.jpg")</f>
        <v/>
      </c>
      <c r="N1017">
        <f>IMAGE("file:///E:/Estudios%20y%20certificaciones/ESTUDIOS%20DE%20PROGRAMMING/PROGRAMMING/PERSONAL/PYTHON/Image_Generator_API/imagenes/NAUTICA_CLASSICS_117000679_BLU_3.jpg")</f>
        <v/>
      </c>
      <c r="O1017">
        <f>HYPERLINK("imagenes/NAUTICA_CLASSICS_117000679_BLU_1.jpg","Ver imagen")</f>
        <v/>
      </c>
      <c r="P1017">
        <f>HYPERLINK("imagenes/NAUTICA_CLASSICS_117000679_BLU_2.jpg","Ver imagen")</f>
        <v/>
      </c>
      <c r="Q1017">
        <f>HYPERLINK("imagenes/NAUTICA_CLASSICS_117000679_BLU_3.jpg","Ver imagen")</f>
        <v/>
      </c>
    </row>
    <row r="1018">
      <c r="A1018" t="inlineStr">
        <is>
          <t>NAUTICA CLASSICS</t>
        </is>
      </c>
      <c r="B1018" t="inlineStr">
        <is>
          <t>117000679</t>
        </is>
      </c>
      <c r="C1018" t="inlineStr">
        <is>
          <t>NAUTICA SOFTSHELL JKT</t>
        </is>
      </c>
      <c r="D1018" t="inlineStr">
        <is>
          <t>BLU</t>
        </is>
      </c>
      <c r="E1018" t="inlineStr">
        <is>
          <t>(en blanco)</t>
        </is>
      </c>
      <c r="F1018" t="inlineStr">
        <is>
          <t>(en blanco)</t>
        </is>
      </c>
      <c r="G1018" t="inlineStr">
        <is>
          <t>M</t>
        </is>
      </c>
      <c r="H1018" t="n">
        <v>10</v>
      </c>
      <c r="I1018" t="inlineStr">
        <is>
          <t>NAUTICA_CLASSICS_117000679_BLU_1.jpg</t>
        </is>
      </c>
      <c r="J1018" t="inlineStr">
        <is>
          <t>NAUTICA_CLASSICS_117000679_BLU_2.jpg</t>
        </is>
      </c>
      <c r="K1018" t="inlineStr">
        <is>
          <t>NAUTICA_CLASSICS_117000679_BLU_3.jpg</t>
        </is>
      </c>
      <c r="L1018">
        <f>IMAGE("file:///E:/Estudios%20y%20certificaciones/ESTUDIOS%20DE%20PROGRAMMING/PROGRAMMING/PERSONAL/PYTHON/Image_Generator_API/imagenes/NAUTICA_CLASSICS_117000679_BLU_1.jpg")</f>
        <v/>
      </c>
      <c r="M1018">
        <f>IMAGE("file:///E:/Estudios%20y%20certificaciones/ESTUDIOS%20DE%20PROGRAMMING/PROGRAMMING/PERSONAL/PYTHON/Image_Generator_API/imagenes/NAUTICA_CLASSICS_117000679_BLU_2.jpg")</f>
        <v/>
      </c>
      <c r="N1018">
        <f>IMAGE("file:///E:/Estudios%20y%20certificaciones/ESTUDIOS%20DE%20PROGRAMMING/PROGRAMMING/PERSONAL/PYTHON/Image_Generator_API/imagenes/NAUTICA_CLASSICS_117000679_BLU_3.jpg")</f>
        <v/>
      </c>
      <c r="O1018">
        <f>HYPERLINK("imagenes/NAUTICA_CLASSICS_117000679_BLU_1.jpg","Ver imagen")</f>
        <v/>
      </c>
      <c r="P1018">
        <f>HYPERLINK("imagenes/NAUTICA_CLASSICS_117000679_BLU_2.jpg","Ver imagen")</f>
        <v/>
      </c>
      <c r="Q1018">
        <f>HYPERLINK("imagenes/NAUTICA_CLASSICS_117000679_BLU_3.jpg","Ver imagen")</f>
        <v/>
      </c>
    </row>
    <row r="1019">
      <c r="A1019" t="inlineStr">
        <is>
          <t>NAUTICA CLASSICS</t>
        </is>
      </c>
      <c r="B1019" t="inlineStr">
        <is>
          <t>117000684</t>
        </is>
      </c>
      <c r="C1019" t="inlineStr">
        <is>
          <t>NAUTICA STRETCH PACKABLE</t>
        </is>
      </c>
      <c r="D1019" t="inlineStr">
        <is>
          <t>BLK</t>
        </is>
      </c>
      <c r="E1019" t="inlineStr">
        <is>
          <t>(en blanco)</t>
        </is>
      </c>
      <c r="F1019" t="inlineStr">
        <is>
          <t>(en blanco)</t>
        </is>
      </c>
      <c r="G1019" t="inlineStr">
        <is>
          <t>XS</t>
        </is>
      </c>
      <c r="H1019" t="n">
        <v>1</v>
      </c>
      <c r="I1019" t="inlineStr">
        <is>
          <t>NAUTICA_CLASSICS_117000684_BLK_1.jpg</t>
        </is>
      </c>
      <c r="J1019" t="inlineStr">
        <is>
          <t>NAUTICA_CLASSICS_117000684_BLK_2.jpg</t>
        </is>
      </c>
      <c r="K1019" t="inlineStr">
        <is>
          <t>NAUTICA_CLASSICS_117000684_BLK_3.jpg</t>
        </is>
      </c>
      <c r="L1019">
        <f>IMAGE("file:///E:/Estudios%20y%20certificaciones/ESTUDIOS%20DE%20PROGRAMMING/PROGRAMMING/PERSONAL/PYTHON/Image_Generator_API/imagenes/NAUTICA_CLASSICS_117000684_BLK_1.jpg")</f>
        <v/>
      </c>
      <c r="M1019">
        <f>IMAGE("file:///E:/Estudios%20y%20certificaciones/ESTUDIOS%20DE%20PROGRAMMING/PROGRAMMING/PERSONAL/PYTHON/Image_Generator_API/imagenes/NAUTICA_CLASSICS_117000684_BLK_2.jpg")</f>
        <v/>
      </c>
      <c r="N1019">
        <f>IMAGE("file:///E:/Estudios%20y%20certificaciones/ESTUDIOS%20DE%20PROGRAMMING/PROGRAMMING/PERSONAL/PYTHON/Image_Generator_API/imagenes/NAUTICA_CLASSICS_117000684_BLK_3.jpg")</f>
        <v/>
      </c>
      <c r="O1019">
        <f>HYPERLINK("imagenes/NAUTICA_CLASSICS_117000684_BLK_1.jpg","Ver imagen")</f>
        <v/>
      </c>
      <c r="P1019">
        <f>HYPERLINK("imagenes/NAUTICA_CLASSICS_117000684_BLK_2.jpg","Ver imagen")</f>
        <v/>
      </c>
      <c r="Q1019">
        <f>HYPERLINK("imagenes/NAUTICA_CLASSICS_117000684_BLK_3.jpg","Ver imagen")</f>
        <v/>
      </c>
    </row>
    <row r="1020">
      <c r="A1020" t="inlineStr">
        <is>
          <t>NAUTICA CLASSICS</t>
        </is>
      </c>
      <c r="B1020" t="inlineStr">
        <is>
          <t>117000688</t>
        </is>
      </c>
      <c r="C1020" t="inlineStr">
        <is>
          <t>NAUTICA WOMENS PUFFER</t>
        </is>
      </c>
      <c r="D1020" t="inlineStr">
        <is>
          <t>BLK</t>
        </is>
      </c>
      <c r="E1020" t="inlineStr">
        <is>
          <t>(en blanco)</t>
        </is>
      </c>
      <c r="F1020" t="inlineStr">
        <is>
          <t>(en blanco)</t>
        </is>
      </c>
      <c r="G1020" t="inlineStr">
        <is>
          <t>S</t>
        </is>
      </c>
      <c r="H1020" t="n">
        <v>1</v>
      </c>
      <c r="I1020" t="inlineStr">
        <is>
          <t>NAUTICA_CLASSICS_117000688_BLK_1.jpg</t>
        </is>
      </c>
      <c r="J1020" t="inlineStr">
        <is>
          <t>NAUTICA_CLASSICS_117000688_BLK_2.jpg</t>
        </is>
      </c>
      <c r="K1020" t="inlineStr">
        <is>
          <t>NAUTICA_CLASSICS_117000688_BLK_3.jpg</t>
        </is>
      </c>
      <c r="L1020">
        <f>IMAGE("file:///E:/Estudios%20y%20certificaciones/ESTUDIOS%20DE%20PROGRAMMING/PROGRAMMING/PERSONAL/PYTHON/Image_Generator_API/imagenes/NAUTICA_CLASSICS_117000688_BLK_1.jpg")</f>
        <v/>
      </c>
      <c r="M1020">
        <f>IMAGE("file:///E:/Estudios%20y%20certificaciones/ESTUDIOS%20DE%20PROGRAMMING/PROGRAMMING/PERSONAL/PYTHON/Image_Generator_API/imagenes/NAUTICA_CLASSICS_117000688_BLK_2.jpg")</f>
        <v/>
      </c>
      <c r="N1020">
        <f>IMAGE("file:///E:/Estudios%20y%20certificaciones/ESTUDIOS%20DE%20PROGRAMMING/PROGRAMMING/PERSONAL/PYTHON/Image_Generator_API/imagenes/NAUTICA_CLASSICS_117000688_BLK_3.jpg")</f>
        <v/>
      </c>
      <c r="O1020">
        <f>HYPERLINK("imagenes/NAUTICA_CLASSICS_117000688_BLK_1.jpg","Ver imagen")</f>
        <v/>
      </c>
      <c r="P1020">
        <f>HYPERLINK("imagenes/NAUTICA_CLASSICS_117000688_BLK_2.jpg","Ver imagen")</f>
        <v/>
      </c>
      <c r="Q1020">
        <f>HYPERLINK("imagenes/NAUTICA_CLASSICS_117000688_BLK_3.jpg","Ver imagen")</f>
        <v/>
      </c>
    </row>
    <row r="1021">
      <c r="A1021" t="inlineStr">
        <is>
          <t>NAUTICA CLASSICS</t>
        </is>
      </c>
      <c r="B1021" t="inlineStr">
        <is>
          <t>117000690</t>
        </is>
      </c>
      <c r="C1021" t="inlineStr">
        <is>
          <t>NAUTICA PUFFER</t>
        </is>
      </c>
      <c r="D1021" t="inlineStr">
        <is>
          <t>NSS</t>
        </is>
      </c>
      <c r="E1021" t="inlineStr">
        <is>
          <t>(en blanco)</t>
        </is>
      </c>
      <c r="F1021" t="inlineStr">
        <is>
          <t>(en blanco)</t>
        </is>
      </c>
      <c r="G1021" t="inlineStr">
        <is>
          <t>L</t>
        </is>
      </c>
      <c r="H1021" t="n">
        <v>2</v>
      </c>
      <c r="I1021" t="inlineStr">
        <is>
          <t>NAUTICA_CLASSICS_117000690_NSS_1.jpg</t>
        </is>
      </c>
      <c r="J1021" t="inlineStr">
        <is>
          <t>NAUTICA_CLASSICS_117000690_NSS_2.jpg</t>
        </is>
      </c>
      <c r="K1021" t="inlineStr">
        <is>
          <t>NAUTICA_CLASSICS_117000690_NSS_3.jpg</t>
        </is>
      </c>
      <c r="L1021">
        <f>IMAGE("file:///E:/Estudios%20y%20certificaciones/ESTUDIOS%20DE%20PROGRAMMING/PROGRAMMING/PERSONAL/PYTHON/Image_Generator_API/imagenes/NAUTICA_CLASSICS_117000690_NSS_1.jpg")</f>
        <v/>
      </c>
      <c r="M1021">
        <f>IMAGE("file:///E:/Estudios%20y%20certificaciones/ESTUDIOS%20DE%20PROGRAMMING/PROGRAMMING/PERSONAL/PYTHON/Image_Generator_API/imagenes/NAUTICA_CLASSICS_117000690_NSS_2.jpg")</f>
        <v/>
      </c>
      <c r="N1021">
        <f>IMAGE("file:///E:/Estudios%20y%20certificaciones/ESTUDIOS%20DE%20PROGRAMMING/PROGRAMMING/PERSONAL/PYTHON/Image_Generator_API/imagenes/NAUTICA_CLASSICS_117000690_NSS_3.jpg")</f>
        <v/>
      </c>
      <c r="O1021">
        <f>HYPERLINK("imagenes/NAUTICA_CLASSICS_117000690_NSS_1.jpg","Ver imagen")</f>
        <v/>
      </c>
      <c r="P1021">
        <f>HYPERLINK("imagenes/NAUTICA_CLASSICS_117000690_NSS_2.jpg","Ver imagen")</f>
        <v/>
      </c>
      <c r="Q1021">
        <f>HYPERLINK("imagenes/NAUTICA_CLASSICS_117000690_NSS_3.jpg","Ver imagen")</f>
        <v/>
      </c>
    </row>
    <row r="1022">
      <c r="A1022" t="inlineStr">
        <is>
          <t>NAUTICA CLASSICS</t>
        </is>
      </c>
      <c r="B1022" t="inlineStr">
        <is>
          <t>117000691</t>
        </is>
      </c>
      <c r="C1022" t="inlineStr">
        <is>
          <t>NAUTICA STRETCH LONG PUFFER</t>
        </is>
      </c>
      <c r="D1022" t="inlineStr">
        <is>
          <t>BLK</t>
        </is>
      </c>
      <c r="E1022" t="inlineStr">
        <is>
          <t>(en blanco)</t>
        </is>
      </c>
      <c r="F1022" t="inlineStr">
        <is>
          <t>(en blanco)</t>
        </is>
      </c>
      <c r="G1022" t="inlineStr">
        <is>
          <t>XL</t>
        </is>
      </c>
      <c r="H1022" t="n">
        <v>5</v>
      </c>
      <c r="I1022" t="inlineStr">
        <is>
          <t>NAUTICA_CLASSICS_117000691_BLK_1.jpg</t>
        </is>
      </c>
      <c r="J1022" t="inlineStr">
        <is>
          <t>NAUTICA_CLASSICS_117000691_BLK_3.jpg</t>
        </is>
      </c>
      <c r="L1022">
        <f>IMAGE("file:///E:/Estudios%20y%20certificaciones/ESTUDIOS%20DE%20PROGRAMMING/PROGRAMMING/PERSONAL/PYTHON/Image_Generator_API/imagenes/NAUTICA_CLASSICS_117000691_BLK_1.jpg")</f>
        <v/>
      </c>
      <c r="M1022">
        <f>IMAGE("file:///E:/Estudios%20y%20certificaciones/ESTUDIOS%20DE%20PROGRAMMING/PROGRAMMING/PERSONAL/PYTHON/Image_Generator_API/imagenes/NAUTICA_CLASSICS_117000691_BLK_3.jpg")</f>
        <v/>
      </c>
      <c r="O1022">
        <f>HYPERLINK("imagenes/NAUTICA_CLASSICS_117000691_BLK_1.jpg","Ver imagen")</f>
        <v/>
      </c>
      <c r="P1022">
        <f>HYPERLINK("imagenes/NAUTICA_CLASSICS_117000691_BLK_3.jpg","Ver imagen")</f>
        <v/>
      </c>
    </row>
    <row r="1023">
      <c r="A1023" t="inlineStr">
        <is>
          <t>NAUTICA CLASSICS</t>
        </is>
      </c>
      <c r="B1023" t="inlineStr">
        <is>
          <t>117000691</t>
        </is>
      </c>
      <c r="C1023" t="inlineStr">
        <is>
          <t>NAUTICA STRETCH LONG PUFFER</t>
        </is>
      </c>
      <c r="D1023" t="inlineStr">
        <is>
          <t>LMS</t>
        </is>
      </c>
      <c r="E1023" t="inlineStr">
        <is>
          <t>(en blanco)</t>
        </is>
      </c>
      <c r="F1023" t="inlineStr">
        <is>
          <t>(en blanco)</t>
        </is>
      </c>
      <c r="G1023" t="inlineStr">
        <is>
          <t>XS</t>
        </is>
      </c>
      <c r="H1023" t="n">
        <v>1</v>
      </c>
      <c r="I1023" t="inlineStr">
        <is>
          <t>NAUTICA_CLASSICS_117000691_LMS_1.jpg</t>
        </is>
      </c>
      <c r="J1023" t="inlineStr">
        <is>
          <t>NAUTICA_CLASSICS_117000691_LMS_2.jpg</t>
        </is>
      </c>
      <c r="K1023" t="inlineStr">
        <is>
          <t>NAUTICA_CLASSICS_117000691_LMS_3.jpg</t>
        </is>
      </c>
      <c r="L1023">
        <f>IMAGE("file:///E:/Estudios%20y%20certificaciones/ESTUDIOS%20DE%20PROGRAMMING/PROGRAMMING/PERSONAL/PYTHON/Image_Generator_API/imagenes/NAUTICA_CLASSICS_117000691_LMS_1.jpg")</f>
        <v/>
      </c>
      <c r="M1023">
        <f>IMAGE("file:///E:/Estudios%20y%20certificaciones/ESTUDIOS%20DE%20PROGRAMMING/PROGRAMMING/PERSONAL/PYTHON/Image_Generator_API/imagenes/NAUTICA_CLASSICS_117000691_LMS_2.jpg")</f>
        <v/>
      </c>
      <c r="N1023">
        <f>IMAGE("file:///E:/Estudios%20y%20certificaciones/ESTUDIOS%20DE%20PROGRAMMING/PROGRAMMING/PERSONAL/PYTHON/Image_Generator_API/imagenes/NAUTICA_CLASSICS_117000691_LMS_3.jpg")</f>
        <v/>
      </c>
      <c r="O1023">
        <f>HYPERLINK("imagenes/NAUTICA_CLASSICS_117000691_LMS_1.jpg","Ver imagen")</f>
        <v/>
      </c>
      <c r="P1023">
        <f>HYPERLINK("imagenes/NAUTICA_CLASSICS_117000691_LMS_2.jpg","Ver imagen")</f>
        <v/>
      </c>
      <c r="Q1023">
        <f>HYPERLINK("imagenes/NAUTICA_CLASSICS_117000691_LMS_3.jpg","Ver imagen")</f>
        <v/>
      </c>
    </row>
    <row r="1024">
      <c r="A1024" t="inlineStr">
        <is>
          <t>NAUTICA CLASSICS</t>
        </is>
      </c>
      <c r="B1024" t="inlineStr">
        <is>
          <t>117000691</t>
        </is>
      </c>
      <c r="C1024" t="inlineStr">
        <is>
          <t>NAUTICA STRETCH LONG PUFFER</t>
        </is>
      </c>
      <c r="D1024" t="inlineStr">
        <is>
          <t>LMS</t>
        </is>
      </c>
      <c r="E1024" t="inlineStr">
        <is>
          <t>(en blanco)</t>
        </is>
      </c>
      <c r="F1024" t="inlineStr">
        <is>
          <t>(en blanco)</t>
        </is>
      </c>
      <c r="G1024" t="inlineStr">
        <is>
          <t>S</t>
        </is>
      </c>
      <c r="H1024" t="n">
        <v>1</v>
      </c>
      <c r="I1024" t="inlineStr">
        <is>
          <t>NAUTICA_CLASSICS_117000691_LMS_1.jpg</t>
        </is>
      </c>
      <c r="J1024" t="inlineStr">
        <is>
          <t>NAUTICA_CLASSICS_117000691_LMS_2.jpg</t>
        </is>
      </c>
      <c r="K1024" t="inlineStr">
        <is>
          <t>NAUTICA_CLASSICS_117000691_LMS_3.jpg</t>
        </is>
      </c>
      <c r="L1024">
        <f>IMAGE("file:///E:/Estudios%20y%20certificaciones/ESTUDIOS%20DE%20PROGRAMMING/PROGRAMMING/PERSONAL/PYTHON/Image_Generator_API/imagenes/NAUTICA_CLASSICS_117000691_LMS_1.jpg")</f>
        <v/>
      </c>
      <c r="M1024">
        <f>IMAGE("file:///E:/Estudios%20y%20certificaciones/ESTUDIOS%20DE%20PROGRAMMING/PROGRAMMING/PERSONAL/PYTHON/Image_Generator_API/imagenes/NAUTICA_CLASSICS_117000691_LMS_2.jpg")</f>
        <v/>
      </c>
      <c r="N1024">
        <f>IMAGE("file:///E:/Estudios%20y%20certificaciones/ESTUDIOS%20DE%20PROGRAMMING/PROGRAMMING/PERSONAL/PYTHON/Image_Generator_API/imagenes/NAUTICA_CLASSICS_117000691_LMS_3.jpg")</f>
        <v/>
      </c>
      <c r="O1024">
        <f>HYPERLINK("imagenes/NAUTICA_CLASSICS_117000691_LMS_1.jpg","Ver imagen")</f>
        <v/>
      </c>
      <c r="P1024">
        <f>HYPERLINK("imagenes/NAUTICA_CLASSICS_117000691_LMS_2.jpg","Ver imagen")</f>
        <v/>
      </c>
      <c r="Q1024">
        <f>HYPERLINK("imagenes/NAUTICA_CLASSICS_117000691_LMS_3.jpg","Ver imagen")</f>
        <v/>
      </c>
    </row>
    <row r="1025">
      <c r="A1025" t="inlineStr">
        <is>
          <t>NAUTICA CLASSICS</t>
        </is>
      </c>
      <c r="B1025" t="inlineStr">
        <is>
          <t>117000691</t>
        </is>
      </c>
      <c r="C1025" t="inlineStr">
        <is>
          <t>NAUTICA STRETCH LONG PUFFER</t>
        </is>
      </c>
      <c r="D1025" t="inlineStr">
        <is>
          <t>LMS</t>
        </is>
      </c>
      <c r="E1025" t="inlineStr">
        <is>
          <t>(en blanco)</t>
        </is>
      </c>
      <c r="F1025" t="inlineStr">
        <is>
          <t>(en blanco)</t>
        </is>
      </c>
      <c r="G1025" t="inlineStr">
        <is>
          <t>XXS</t>
        </is>
      </c>
      <c r="H1025" t="n">
        <v>2</v>
      </c>
      <c r="I1025" t="inlineStr">
        <is>
          <t>NAUTICA_CLASSICS_117000691_LMS_1.jpg</t>
        </is>
      </c>
      <c r="J1025" t="inlineStr">
        <is>
          <t>NAUTICA_CLASSICS_117000691_LMS_2.jpg</t>
        </is>
      </c>
      <c r="K1025" t="inlineStr">
        <is>
          <t>NAUTICA_CLASSICS_117000691_LMS_3.jpg</t>
        </is>
      </c>
      <c r="L1025">
        <f>IMAGE("file:///E:/Estudios%20y%20certificaciones/ESTUDIOS%20DE%20PROGRAMMING/PROGRAMMING/PERSONAL/PYTHON/Image_Generator_API/imagenes/NAUTICA_CLASSICS_117000691_LMS_1.jpg")</f>
        <v/>
      </c>
      <c r="M1025">
        <f>IMAGE("file:///E:/Estudios%20y%20certificaciones/ESTUDIOS%20DE%20PROGRAMMING/PROGRAMMING/PERSONAL/PYTHON/Image_Generator_API/imagenes/NAUTICA_CLASSICS_117000691_LMS_2.jpg")</f>
        <v/>
      </c>
      <c r="N1025">
        <f>IMAGE("file:///E:/Estudios%20y%20certificaciones/ESTUDIOS%20DE%20PROGRAMMING/PROGRAMMING/PERSONAL/PYTHON/Image_Generator_API/imagenes/NAUTICA_CLASSICS_117000691_LMS_3.jpg")</f>
        <v/>
      </c>
      <c r="O1025">
        <f>HYPERLINK("imagenes/NAUTICA_CLASSICS_117000691_LMS_1.jpg","Ver imagen")</f>
        <v/>
      </c>
      <c r="P1025">
        <f>HYPERLINK("imagenes/NAUTICA_CLASSICS_117000691_LMS_2.jpg","Ver imagen")</f>
        <v/>
      </c>
      <c r="Q1025">
        <f>HYPERLINK("imagenes/NAUTICA_CLASSICS_117000691_LMS_3.jpg","Ver imagen")</f>
        <v/>
      </c>
    </row>
    <row r="1026">
      <c r="A1026" t="inlineStr">
        <is>
          <t>NAUTICA CLASSICS</t>
        </is>
      </c>
      <c r="B1026" t="inlineStr">
        <is>
          <t>117000691</t>
        </is>
      </c>
      <c r="C1026" t="inlineStr">
        <is>
          <t>NAUTICA STRETCH LONG PUFFER</t>
        </is>
      </c>
      <c r="D1026" t="inlineStr">
        <is>
          <t>SPQ</t>
        </is>
      </c>
      <c r="E1026" t="inlineStr">
        <is>
          <t>(en blanco)</t>
        </is>
      </c>
      <c r="F1026" t="inlineStr">
        <is>
          <t>(en blanco)</t>
        </is>
      </c>
      <c r="G1026" t="inlineStr">
        <is>
          <t>XS</t>
        </is>
      </c>
      <c r="H1026" t="n">
        <v>1</v>
      </c>
      <c r="I1026" t="inlineStr">
        <is>
          <t>NAUTICA_CLASSICS_117000691_SPQ_1.jpg</t>
        </is>
      </c>
      <c r="J1026" t="inlineStr">
        <is>
          <t>NAUTICA_CLASSICS_117000691_SPQ_2.jpg</t>
        </is>
      </c>
      <c r="K1026" t="inlineStr">
        <is>
          <t>NAUTICA_CLASSICS_117000691_SPQ_3.jpg</t>
        </is>
      </c>
      <c r="L1026">
        <f>IMAGE("file:///E:/Estudios%20y%20certificaciones/ESTUDIOS%20DE%20PROGRAMMING/PROGRAMMING/PERSONAL/PYTHON/Image_Generator_API/imagenes/NAUTICA_CLASSICS_117000691_SPQ_1.jpg")</f>
        <v/>
      </c>
      <c r="M1026">
        <f>IMAGE("file:///E:/Estudios%20y%20certificaciones/ESTUDIOS%20DE%20PROGRAMMING/PROGRAMMING/PERSONAL/PYTHON/Image_Generator_API/imagenes/NAUTICA_CLASSICS_117000691_SPQ_2.jpg")</f>
        <v/>
      </c>
      <c r="N1026">
        <f>IMAGE("file:///E:/Estudios%20y%20certificaciones/ESTUDIOS%20DE%20PROGRAMMING/PROGRAMMING/PERSONAL/PYTHON/Image_Generator_API/imagenes/NAUTICA_CLASSICS_117000691_SPQ_3.jpg")</f>
        <v/>
      </c>
      <c r="O1026">
        <f>HYPERLINK("imagenes/NAUTICA_CLASSICS_117000691_SPQ_1.jpg","Ver imagen")</f>
        <v/>
      </c>
      <c r="P1026">
        <f>HYPERLINK("imagenes/NAUTICA_CLASSICS_117000691_SPQ_2.jpg","Ver imagen")</f>
        <v/>
      </c>
      <c r="Q1026">
        <f>HYPERLINK("imagenes/NAUTICA_CLASSICS_117000691_SPQ_3.jpg","Ver imagen")</f>
        <v/>
      </c>
    </row>
    <row r="1027">
      <c r="A1027" t="inlineStr">
        <is>
          <t>NAUTICA CLASSICS</t>
        </is>
      </c>
      <c r="B1027" t="inlineStr">
        <is>
          <t>117000691</t>
        </is>
      </c>
      <c r="C1027" t="inlineStr">
        <is>
          <t>NAUTICA STRETCH LONG PUFFER</t>
        </is>
      </c>
      <c r="D1027" t="inlineStr">
        <is>
          <t>SPQ</t>
        </is>
      </c>
      <c r="E1027" t="inlineStr">
        <is>
          <t>(en blanco)</t>
        </is>
      </c>
      <c r="F1027" t="inlineStr">
        <is>
          <t>(en blanco)</t>
        </is>
      </c>
      <c r="G1027" t="inlineStr">
        <is>
          <t>S</t>
        </is>
      </c>
      <c r="H1027" t="n">
        <v>2</v>
      </c>
      <c r="I1027" t="inlineStr">
        <is>
          <t>NAUTICA_CLASSICS_117000691_SPQ_1.jpg</t>
        </is>
      </c>
      <c r="J1027" t="inlineStr">
        <is>
          <t>NAUTICA_CLASSICS_117000691_SPQ_2.jpg</t>
        </is>
      </c>
      <c r="K1027" t="inlineStr">
        <is>
          <t>NAUTICA_CLASSICS_117000691_SPQ_3.jpg</t>
        </is>
      </c>
      <c r="L1027">
        <f>IMAGE("file:///E:/Estudios%20y%20certificaciones/ESTUDIOS%20DE%20PROGRAMMING/PROGRAMMING/PERSONAL/PYTHON/Image_Generator_API/imagenes/NAUTICA_CLASSICS_117000691_SPQ_1.jpg")</f>
        <v/>
      </c>
      <c r="M1027">
        <f>IMAGE("file:///E:/Estudios%20y%20certificaciones/ESTUDIOS%20DE%20PROGRAMMING/PROGRAMMING/PERSONAL/PYTHON/Image_Generator_API/imagenes/NAUTICA_CLASSICS_117000691_SPQ_2.jpg")</f>
        <v/>
      </c>
      <c r="N1027">
        <f>IMAGE("file:///E:/Estudios%20y%20certificaciones/ESTUDIOS%20DE%20PROGRAMMING/PROGRAMMING/PERSONAL/PYTHON/Image_Generator_API/imagenes/NAUTICA_CLASSICS_117000691_SPQ_3.jpg")</f>
        <v/>
      </c>
      <c r="O1027">
        <f>HYPERLINK("imagenes/NAUTICA_CLASSICS_117000691_SPQ_1.jpg","Ver imagen")</f>
        <v/>
      </c>
      <c r="P1027">
        <f>HYPERLINK("imagenes/NAUTICA_CLASSICS_117000691_SPQ_2.jpg","Ver imagen")</f>
        <v/>
      </c>
      <c r="Q1027">
        <f>HYPERLINK("imagenes/NAUTICA_CLASSICS_117000691_SPQ_3.jpg","Ver imagen")</f>
        <v/>
      </c>
    </row>
    <row r="1028">
      <c r="A1028" t="inlineStr">
        <is>
          <t>NAUTICA CLASSICS</t>
        </is>
      </c>
      <c r="B1028" t="inlineStr">
        <is>
          <t>117000709</t>
        </is>
      </c>
      <c r="C1028" t="inlineStr">
        <is>
          <t>NAUTICA WOMENS SOFT MIST HVY PUFFER</t>
        </is>
      </c>
      <c r="D1028" t="inlineStr">
        <is>
          <t>BLK</t>
        </is>
      </c>
      <c r="E1028" t="inlineStr">
        <is>
          <t>(en blanco)</t>
        </is>
      </c>
      <c r="F1028" t="inlineStr">
        <is>
          <t>(en blanco)</t>
        </is>
      </c>
      <c r="G1028" t="inlineStr">
        <is>
          <t>XS</t>
        </is>
      </c>
      <c r="H1028" t="n">
        <v>15</v>
      </c>
      <c r="I1028" t="inlineStr">
        <is>
          <t>NAUTICA_CLASSICS_117000709_BLK_1.jpg</t>
        </is>
      </c>
      <c r="J1028" t="inlineStr">
        <is>
          <t>NAUTICA_CLASSICS_117000709_BLK_2.jpg</t>
        </is>
      </c>
      <c r="K1028" t="inlineStr">
        <is>
          <t>NAUTICA_CLASSICS_117000709_BLK_3.jpg</t>
        </is>
      </c>
      <c r="L1028">
        <f>IMAGE("file:///E:/Estudios%20y%20certificaciones/ESTUDIOS%20DE%20PROGRAMMING/PROGRAMMING/PERSONAL/PYTHON/Image_Generator_API/imagenes/NAUTICA_CLASSICS_117000709_BLK_1.jpg")</f>
        <v/>
      </c>
      <c r="M1028">
        <f>IMAGE("file:///E:/Estudios%20y%20certificaciones/ESTUDIOS%20DE%20PROGRAMMING/PROGRAMMING/PERSONAL/PYTHON/Image_Generator_API/imagenes/NAUTICA_CLASSICS_117000709_BLK_2.jpg")</f>
        <v/>
      </c>
      <c r="N1028">
        <f>IMAGE("file:///E:/Estudios%20y%20certificaciones/ESTUDIOS%20DE%20PROGRAMMING/PROGRAMMING/PERSONAL/PYTHON/Image_Generator_API/imagenes/NAUTICA_CLASSICS_117000709_BLK_3.jpg")</f>
        <v/>
      </c>
      <c r="O1028">
        <f>HYPERLINK("imagenes/NAUTICA_CLASSICS_117000709_BLK_1.jpg","Ver imagen")</f>
        <v/>
      </c>
      <c r="P1028">
        <f>HYPERLINK("imagenes/NAUTICA_CLASSICS_117000709_BLK_2.jpg","Ver imagen")</f>
        <v/>
      </c>
      <c r="Q1028">
        <f>HYPERLINK("imagenes/NAUTICA_CLASSICS_117000709_BLK_3.jpg","Ver imagen")</f>
        <v/>
      </c>
    </row>
    <row r="1029">
      <c r="A1029" t="inlineStr">
        <is>
          <t>NAUTICA CLASSICS</t>
        </is>
      </c>
      <c r="B1029" t="inlineStr">
        <is>
          <t>117000709</t>
        </is>
      </c>
      <c r="C1029" t="inlineStr">
        <is>
          <t>NAUTICA WOMENS SOFT MIST HVY PUFFER</t>
        </is>
      </c>
      <c r="D1029" t="inlineStr">
        <is>
          <t>BLK</t>
        </is>
      </c>
      <c r="E1029" t="inlineStr">
        <is>
          <t>(en blanco)</t>
        </is>
      </c>
      <c r="F1029" t="inlineStr">
        <is>
          <t>(en blanco)</t>
        </is>
      </c>
      <c r="G1029" t="inlineStr">
        <is>
          <t>XL</t>
        </is>
      </c>
      <c r="H1029" t="n">
        <v>0</v>
      </c>
      <c r="I1029" t="inlineStr">
        <is>
          <t>NAUTICA_CLASSICS_117000709_BLK_1.jpg</t>
        </is>
      </c>
      <c r="J1029" t="inlineStr">
        <is>
          <t>NAUTICA_CLASSICS_117000709_BLK_2.jpg</t>
        </is>
      </c>
      <c r="K1029" t="inlineStr">
        <is>
          <t>NAUTICA_CLASSICS_117000709_BLK_3.jpg</t>
        </is>
      </c>
      <c r="L1029">
        <f>IMAGE("file:///E:/Estudios%20y%20certificaciones/ESTUDIOS%20DE%20PROGRAMMING/PROGRAMMING/PERSONAL/PYTHON/Image_Generator_API/imagenes/NAUTICA_CLASSICS_117000709_BLK_1.jpg")</f>
        <v/>
      </c>
      <c r="M1029">
        <f>IMAGE("file:///E:/Estudios%20y%20certificaciones/ESTUDIOS%20DE%20PROGRAMMING/PROGRAMMING/PERSONAL/PYTHON/Image_Generator_API/imagenes/NAUTICA_CLASSICS_117000709_BLK_2.jpg")</f>
        <v/>
      </c>
      <c r="N1029">
        <f>IMAGE("file:///E:/Estudios%20y%20certificaciones/ESTUDIOS%20DE%20PROGRAMMING/PROGRAMMING/PERSONAL/PYTHON/Image_Generator_API/imagenes/NAUTICA_CLASSICS_117000709_BLK_3.jpg")</f>
        <v/>
      </c>
      <c r="O1029">
        <f>HYPERLINK("imagenes/NAUTICA_CLASSICS_117000709_BLK_1.jpg","Ver imagen")</f>
        <v/>
      </c>
      <c r="P1029">
        <f>HYPERLINK("imagenes/NAUTICA_CLASSICS_117000709_BLK_2.jpg","Ver imagen")</f>
        <v/>
      </c>
      <c r="Q1029">
        <f>HYPERLINK("imagenes/NAUTICA_CLASSICS_117000709_BLK_3.jpg","Ver imagen")</f>
        <v/>
      </c>
    </row>
    <row r="1030">
      <c r="A1030" t="inlineStr">
        <is>
          <t>NAUTICA CLASSICS</t>
        </is>
      </c>
      <c r="B1030" t="inlineStr">
        <is>
          <t>117000709</t>
        </is>
      </c>
      <c r="C1030" t="inlineStr">
        <is>
          <t>NAUTICA WOMENS SOFT MIST HVY PUFFER</t>
        </is>
      </c>
      <c r="D1030" t="inlineStr">
        <is>
          <t>BLK</t>
        </is>
      </c>
      <c r="E1030" t="inlineStr">
        <is>
          <t>(en blanco)</t>
        </is>
      </c>
      <c r="F1030" t="inlineStr">
        <is>
          <t>(en blanco)</t>
        </is>
      </c>
      <c r="G1030" t="inlineStr">
        <is>
          <t>XXL</t>
        </is>
      </c>
      <c r="H1030" t="n">
        <v>0</v>
      </c>
      <c r="I1030" t="inlineStr">
        <is>
          <t>NAUTICA_CLASSICS_117000709_BLK_1.jpg</t>
        </is>
      </c>
      <c r="J1030" t="inlineStr">
        <is>
          <t>NAUTICA_CLASSICS_117000709_BLK_2.jpg</t>
        </is>
      </c>
      <c r="K1030" t="inlineStr">
        <is>
          <t>NAUTICA_CLASSICS_117000709_BLK_3.jpg</t>
        </is>
      </c>
      <c r="L1030">
        <f>IMAGE("file:///E:/Estudios%20y%20certificaciones/ESTUDIOS%20DE%20PROGRAMMING/PROGRAMMING/PERSONAL/PYTHON/Image_Generator_API/imagenes/NAUTICA_CLASSICS_117000709_BLK_1.jpg")</f>
        <v/>
      </c>
      <c r="M1030">
        <f>IMAGE("file:///E:/Estudios%20y%20certificaciones/ESTUDIOS%20DE%20PROGRAMMING/PROGRAMMING/PERSONAL/PYTHON/Image_Generator_API/imagenes/NAUTICA_CLASSICS_117000709_BLK_2.jpg")</f>
        <v/>
      </c>
      <c r="N1030">
        <f>IMAGE("file:///E:/Estudios%20y%20certificaciones/ESTUDIOS%20DE%20PROGRAMMING/PROGRAMMING/PERSONAL/PYTHON/Image_Generator_API/imagenes/NAUTICA_CLASSICS_117000709_BLK_3.jpg")</f>
        <v/>
      </c>
      <c r="O1030">
        <f>HYPERLINK("imagenes/NAUTICA_CLASSICS_117000709_BLK_1.jpg","Ver imagen")</f>
        <v/>
      </c>
      <c r="P1030">
        <f>HYPERLINK("imagenes/NAUTICA_CLASSICS_117000709_BLK_2.jpg","Ver imagen")</f>
        <v/>
      </c>
      <c r="Q1030">
        <f>HYPERLINK("imagenes/NAUTICA_CLASSICS_117000709_BLK_3.jpg","Ver imagen")</f>
        <v/>
      </c>
    </row>
    <row r="1031">
      <c r="A1031" t="inlineStr">
        <is>
          <t>NAUTICA CLASSICS</t>
        </is>
      </c>
      <c r="B1031" t="inlineStr">
        <is>
          <t>117000709</t>
        </is>
      </c>
      <c r="C1031" t="inlineStr">
        <is>
          <t>NAUTICA WOMENS SOFT MIST HVY PUFFER</t>
        </is>
      </c>
      <c r="D1031" t="inlineStr">
        <is>
          <t>BLK</t>
        </is>
      </c>
      <c r="E1031" t="inlineStr">
        <is>
          <t>(en blanco)</t>
        </is>
      </c>
      <c r="F1031" t="inlineStr">
        <is>
          <t>(en blanco)</t>
        </is>
      </c>
      <c r="G1031" t="inlineStr">
        <is>
          <t>XXS</t>
        </is>
      </c>
      <c r="H1031" t="n">
        <v>38</v>
      </c>
      <c r="I1031" t="inlineStr">
        <is>
          <t>NAUTICA_CLASSICS_117000709_BLK_1.jpg</t>
        </is>
      </c>
      <c r="J1031" t="inlineStr">
        <is>
          <t>NAUTICA_CLASSICS_117000709_BLK_2.jpg</t>
        </is>
      </c>
      <c r="K1031" t="inlineStr">
        <is>
          <t>NAUTICA_CLASSICS_117000709_BLK_3.jpg</t>
        </is>
      </c>
      <c r="L1031">
        <f>IMAGE("file:///E:/Estudios%20y%20certificaciones/ESTUDIOS%20DE%20PROGRAMMING/PROGRAMMING/PERSONAL/PYTHON/Image_Generator_API/imagenes/NAUTICA_CLASSICS_117000709_BLK_1.jpg")</f>
        <v/>
      </c>
      <c r="M1031">
        <f>IMAGE("file:///E:/Estudios%20y%20certificaciones/ESTUDIOS%20DE%20PROGRAMMING/PROGRAMMING/PERSONAL/PYTHON/Image_Generator_API/imagenes/NAUTICA_CLASSICS_117000709_BLK_2.jpg")</f>
        <v/>
      </c>
      <c r="N1031">
        <f>IMAGE("file:///E:/Estudios%20y%20certificaciones/ESTUDIOS%20DE%20PROGRAMMING/PROGRAMMING/PERSONAL/PYTHON/Image_Generator_API/imagenes/NAUTICA_CLASSICS_117000709_BLK_3.jpg")</f>
        <v/>
      </c>
      <c r="O1031">
        <f>HYPERLINK("imagenes/NAUTICA_CLASSICS_117000709_BLK_1.jpg","Ver imagen")</f>
        <v/>
      </c>
      <c r="P1031">
        <f>HYPERLINK("imagenes/NAUTICA_CLASSICS_117000709_BLK_2.jpg","Ver imagen")</f>
        <v/>
      </c>
      <c r="Q1031">
        <f>HYPERLINK("imagenes/NAUTICA_CLASSICS_117000709_BLK_3.jpg","Ver imagen")</f>
        <v/>
      </c>
    </row>
    <row r="1032">
      <c r="A1032" t="inlineStr">
        <is>
          <t>NAUTICA CLASSICS</t>
        </is>
      </c>
      <c r="B1032" t="inlineStr">
        <is>
          <t>117000709</t>
        </is>
      </c>
      <c r="C1032" t="inlineStr">
        <is>
          <t>NAUTICA WOMENS SOFT MIST HVY PUFFER</t>
        </is>
      </c>
      <c r="D1032" t="inlineStr">
        <is>
          <t>VDE</t>
        </is>
      </c>
      <c r="E1032" t="inlineStr">
        <is>
          <t>(en blanco)</t>
        </is>
      </c>
      <c r="F1032" t="inlineStr">
        <is>
          <t>(en blanco)</t>
        </is>
      </c>
      <c r="G1032" t="inlineStr">
        <is>
          <t>XS</t>
        </is>
      </c>
      <c r="H1032" t="n">
        <v>2</v>
      </c>
      <c r="I1032" t="inlineStr">
        <is>
          <t>NAUTICA_CLASSICS_117000709_VDE_1.jpg</t>
        </is>
      </c>
      <c r="J1032" t="inlineStr">
        <is>
          <t>NAUTICA_CLASSICS_117000709_VDE_2.jpg</t>
        </is>
      </c>
      <c r="K1032" t="inlineStr">
        <is>
          <t>NAUTICA_CLASSICS_117000709_VDE_3.jpg</t>
        </is>
      </c>
      <c r="L1032">
        <f>IMAGE("file:///E:/Estudios%20y%20certificaciones/ESTUDIOS%20DE%20PROGRAMMING/PROGRAMMING/PERSONAL/PYTHON/Image_Generator_API/imagenes/NAUTICA_CLASSICS_117000709_VDE_1.jpg")</f>
        <v/>
      </c>
      <c r="M1032">
        <f>IMAGE("file:///E:/Estudios%20y%20certificaciones/ESTUDIOS%20DE%20PROGRAMMING/PROGRAMMING/PERSONAL/PYTHON/Image_Generator_API/imagenes/NAUTICA_CLASSICS_117000709_VDE_2.jpg")</f>
        <v/>
      </c>
      <c r="N1032">
        <f>IMAGE("file:///E:/Estudios%20y%20certificaciones/ESTUDIOS%20DE%20PROGRAMMING/PROGRAMMING/PERSONAL/PYTHON/Image_Generator_API/imagenes/NAUTICA_CLASSICS_117000709_VDE_3.jpg")</f>
        <v/>
      </c>
      <c r="O1032">
        <f>HYPERLINK("imagenes/NAUTICA_CLASSICS_117000709_VDE_1.jpg","Ver imagen")</f>
        <v/>
      </c>
      <c r="P1032">
        <f>HYPERLINK("imagenes/NAUTICA_CLASSICS_117000709_VDE_2.jpg","Ver imagen")</f>
        <v/>
      </c>
      <c r="Q1032">
        <f>HYPERLINK("imagenes/NAUTICA_CLASSICS_117000709_VDE_3.jpg","Ver imagen")</f>
        <v/>
      </c>
    </row>
    <row r="1033">
      <c r="A1033" t="inlineStr">
        <is>
          <t>NAUTICA CLASSICS</t>
        </is>
      </c>
      <c r="B1033" t="inlineStr">
        <is>
          <t>117000709</t>
        </is>
      </c>
      <c r="C1033" t="inlineStr">
        <is>
          <t>NAUTICA WOMENS SOFT MIST HVY PUFFER</t>
        </is>
      </c>
      <c r="D1033" t="inlineStr">
        <is>
          <t>WTW</t>
        </is>
      </c>
      <c r="E1033" t="inlineStr">
        <is>
          <t>(en blanco)</t>
        </is>
      </c>
      <c r="F1033" t="inlineStr">
        <is>
          <t>(en blanco)</t>
        </is>
      </c>
      <c r="G1033" t="inlineStr">
        <is>
          <t>XS</t>
        </is>
      </c>
      <c r="H1033" t="n">
        <v>11</v>
      </c>
      <c r="I1033" t="inlineStr">
        <is>
          <t>NAUTICA_CLASSICS_117000709_WTW_1.jpg</t>
        </is>
      </c>
      <c r="J1033" t="inlineStr">
        <is>
          <t>NAUTICA_CLASSICS_117000709_WTW_2.jpg</t>
        </is>
      </c>
      <c r="K1033" t="inlineStr">
        <is>
          <t>NAUTICA_CLASSICS_117000709_WTW_3.jpg</t>
        </is>
      </c>
      <c r="L1033">
        <f>IMAGE("file:///E:/Estudios%20y%20certificaciones/ESTUDIOS%20DE%20PROGRAMMING/PROGRAMMING/PERSONAL/PYTHON/Image_Generator_API/imagenes/NAUTICA_CLASSICS_117000709_WTW_1.jpg")</f>
        <v/>
      </c>
      <c r="M1033">
        <f>IMAGE("file:///E:/Estudios%20y%20certificaciones/ESTUDIOS%20DE%20PROGRAMMING/PROGRAMMING/PERSONAL/PYTHON/Image_Generator_API/imagenes/NAUTICA_CLASSICS_117000709_WTW_2.jpg")</f>
        <v/>
      </c>
      <c r="N1033">
        <f>IMAGE("file:///E:/Estudios%20y%20certificaciones/ESTUDIOS%20DE%20PROGRAMMING/PROGRAMMING/PERSONAL/PYTHON/Image_Generator_API/imagenes/NAUTICA_CLASSICS_117000709_WTW_3.jpg")</f>
        <v/>
      </c>
      <c r="O1033">
        <f>HYPERLINK("imagenes/NAUTICA_CLASSICS_117000709_WTW_1.jpg","Ver imagen")</f>
        <v/>
      </c>
      <c r="P1033">
        <f>HYPERLINK("imagenes/NAUTICA_CLASSICS_117000709_WTW_2.jpg","Ver imagen")</f>
        <v/>
      </c>
      <c r="Q1033">
        <f>HYPERLINK("imagenes/NAUTICA_CLASSICS_117000709_WTW_3.jpg","Ver imagen")</f>
        <v/>
      </c>
    </row>
    <row r="1034">
      <c r="A1034" t="inlineStr">
        <is>
          <t>NAUTICA CLASSICS</t>
        </is>
      </c>
      <c r="B1034" t="inlineStr">
        <is>
          <t>117000709</t>
        </is>
      </c>
      <c r="C1034" t="inlineStr">
        <is>
          <t>NAUTICA WOMENS SOFT MIST HVY PUFFER</t>
        </is>
      </c>
      <c r="D1034" t="inlineStr">
        <is>
          <t>WTW</t>
        </is>
      </c>
      <c r="E1034" t="inlineStr">
        <is>
          <t>(en blanco)</t>
        </is>
      </c>
      <c r="F1034" t="inlineStr">
        <is>
          <t>(en blanco)</t>
        </is>
      </c>
      <c r="G1034" t="inlineStr">
        <is>
          <t>XXS</t>
        </is>
      </c>
      <c r="H1034" t="n">
        <v>6</v>
      </c>
      <c r="I1034" t="inlineStr">
        <is>
          <t>NAUTICA_CLASSICS_117000709_WTW_1.jpg</t>
        </is>
      </c>
      <c r="J1034" t="inlineStr">
        <is>
          <t>NAUTICA_CLASSICS_117000709_WTW_2.jpg</t>
        </is>
      </c>
      <c r="K1034" t="inlineStr">
        <is>
          <t>NAUTICA_CLASSICS_117000709_WTW_3.jpg</t>
        </is>
      </c>
      <c r="L1034">
        <f>IMAGE("file:///E:/Estudios%20y%20certificaciones/ESTUDIOS%20DE%20PROGRAMMING/PROGRAMMING/PERSONAL/PYTHON/Image_Generator_API/imagenes/NAUTICA_CLASSICS_117000709_WTW_1.jpg")</f>
        <v/>
      </c>
      <c r="M1034">
        <f>IMAGE("file:///E:/Estudios%20y%20certificaciones/ESTUDIOS%20DE%20PROGRAMMING/PROGRAMMING/PERSONAL/PYTHON/Image_Generator_API/imagenes/NAUTICA_CLASSICS_117000709_WTW_2.jpg")</f>
        <v/>
      </c>
      <c r="N1034">
        <f>IMAGE("file:///E:/Estudios%20y%20certificaciones/ESTUDIOS%20DE%20PROGRAMMING/PROGRAMMING/PERSONAL/PYTHON/Image_Generator_API/imagenes/NAUTICA_CLASSICS_117000709_WTW_3.jpg")</f>
        <v/>
      </c>
      <c r="O1034">
        <f>HYPERLINK("imagenes/NAUTICA_CLASSICS_117000709_WTW_1.jpg","Ver imagen")</f>
        <v/>
      </c>
      <c r="P1034">
        <f>HYPERLINK("imagenes/NAUTICA_CLASSICS_117000709_WTW_2.jpg","Ver imagen")</f>
        <v/>
      </c>
      <c r="Q1034">
        <f>HYPERLINK("imagenes/NAUTICA_CLASSICS_117000709_WTW_3.jpg","Ver imagen")</f>
        <v/>
      </c>
    </row>
    <row r="1035">
      <c r="A1035" t="inlineStr">
        <is>
          <t>NAUTICA CLASSICS</t>
        </is>
      </c>
      <c r="B1035" t="inlineStr">
        <is>
          <t>117000710</t>
        </is>
      </c>
      <c r="C1035" t="inlineStr">
        <is>
          <t>NAUTICA SOFT MIST PUFFER</t>
        </is>
      </c>
      <c r="D1035" t="inlineStr">
        <is>
          <t>WTW</t>
        </is>
      </c>
      <c r="E1035" t="inlineStr">
        <is>
          <t>(en blanco)</t>
        </is>
      </c>
      <c r="F1035" t="inlineStr">
        <is>
          <t>(en blanco)</t>
        </is>
      </c>
      <c r="G1035" t="inlineStr">
        <is>
          <t>XL</t>
        </is>
      </c>
      <c r="H1035" t="n">
        <v>2</v>
      </c>
      <c r="I1035" t="inlineStr">
        <is>
          <t>NAUTICA_CLASSICS_117000710_WTW_1.jpg</t>
        </is>
      </c>
      <c r="J1035" t="inlineStr">
        <is>
          <t>NAUTICA_CLASSICS_117000710_WTW_2.jpg</t>
        </is>
      </c>
      <c r="K1035" t="inlineStr">
        <is>
          <t>NAUTICA_CLASSICS_117000710_WTW_3.jpg</t>
        </is>
      </c>
      <c r="L1035">
        <f>IMAGE("file:///E:/Estudios%20y%20certificaciones/ESTUDIOS%20DE%20PROGRAMMING/PROGRAMMING/PERSONAL/PYTHON/Image_Generator_API/imagenes/NAUTICA_CLASSICS_117000710_WTW_1.jpg")</f>
        <v/>
      </c>
      <c r="M1035">
        <f>IMAGE("file:///E:/Estudios%20y%20certificaciones/ESTUDIOS%20DE%20PROGRAMMING/PROGRAMMING/PERSONAL/PYTHON/Image_Generator_API/imagenes/NAUTICA_CLASSICS_117000710_WTW_2.jpg")</f>
        <v/>
      </c>
      <c r="N1035">
        <f>IMAGE("file:///E:/Estudios%20y%20certificaciones/ESTUDIOS%20DE%20PROGRAMMING/PROGRAMMING/PERSONAL/PYTHON/Image_Generator_API/imagenes/NAUTICA_CLASSICS_117000710_WTW_3.jpg")</f>
        <v/>
      </c>
      <c r="O1035">
        <f>HYPERLINK("imagenes/NAUTICA_CLASSICS_117000710_WTW_1.jpg","Ver imagen")</f>
        <v/>
      </c>
      <c r="P1035">
        <f>HYPERLINK("imagenes/NAUTICA_CLASSICS_117000710_WTW_2.jpg","Ver imagen")</f>
        <v/>
      </c>
      <c r="Q1035">
        <f>HYPERLINK("imagenes/NAUTICA_CLASSICS_117000710_WTW_3.jpg","Ver imagen")</f>
        <v/>
      </c>
    </row>
    <row r="1036">
      <c r="A1036" t="inlineStr">
        <is>
          <t>NAUTICA CLASSICS</t>
        </is>
      </c>
      <c r="B1036" t="inlineStr">
        <is>
          <t>117000711</t>
        </is>
      </c>
      <c r="C1036" t="inlineStr">
        <is>
          <t>NAUTICA SOFT MIST</t>
        </is>
      </c>
      <c r="D1036" t="inlineStr">
        <is>
          <t>BLK</t>
        </is>
      </c>
      <c r="E1036" t="inlineStr">
        <is>
          <t>07A08</t>
        </is>
      </c>
      <c r="F1036" t="inlineStr">
        <is>
          <t>B2230</t>
        </is>
      </c>
      <c r="G1036" t="inlineStr">
        <is>
          <t>PPK</t>
        </is>
      </c>
      <c r="H1036" t="n">
        <v>0</v>
      </c>
      <c r="I1036" t="inlineStr">
        <is>
          <t>NAUTICA_CLASSICS_117000711_BLK_1.jpg</t>
        </is>
      </c>
      <c r="J1036" t="inlineStr">
        <is>
          <t>NAUTICA_CLASSICS_117000711_BLK_2.jpg</t>
        </is>
      </c>
      <c r="K1036" t="inlineStr">
        <is>
          <t>NAUTICA_CLASSICS_117000711_BLK_3.jpg</t>
        </is>
      </c>
      <c r="L1036">
        <f>IMAGE("file:///E:/Estudios%20y%20certificaciones/ESTUDIOS%20DE%20PROGRAMMING/PROGRAMMING/PERSONAL/PYTHON/Image_Generator_API/imagenes/NAUTICA_CLASSICS_117000711_BLK_1.jpg")</f>
        <v/>
      </c>
      <c r="M1036">
        <f>IMAGE("file:///E:/Estudios%20y%20certificaciones/ESTUDIOS%20DE%20PROGRAMMING/PROGRAMMING/PERSONAL/PYTHON/Image_Generator_API/imagenes/NAUTICA_CLASSICS_117000711_BLK_2.jpg")</f>
        <v/>
      </c>
      <c r="N1036">
        <f>IMAGE("file:///E:/Estudios%20y%20certificaciones/ESTUDIOS%20DE%20PROGRAMMING/PROGRAMMING/PERSONAL/PYTHON/Image_Generator_API/imagenes/NAUTICA_CLASSICS_117000711_BLK_3.jpg")</f>
        <v/>
      </c>
      <c r="O1036">
        <f>HYPERLINK("imagenes/NAUTICA_CLASSICS_117000711_BLK_1.jpg","Ver imagen")</f>
        <v/>
      </c>
      <c r="P1036">
        <f>HYPERLINK("imagenes/NAUTICA_CLASSICS_117000711_BLK_2.jpg","Ver imagen")</f>
        <v/>
      </c>
      <c r="Q1036">
        <f>HYPERLINK("imagenes/NAUTICA_CLASSICS_117000711_BLK_3.jpg","Ver imagen")</f>
        <v/>
      </c>
    </row>
    <row r="1037">
      <c r="A1037" t="inlineStr">
        <is>
          <t>NAUTICA CLASSICS</t>
        </is>
      </c>
      <c r="B1037" t="inlineStr">
        <is>
          <t>117000711</t>
        </is>
      </c>
      <c r="C1037" t="inlineStr">
        <is>
          <t>NAUTICA SOFT MIST</t>
        </is>
      </c>
      <c r="D1037" t="inlineStr">
        <is>
          <t>BLK</t>
        </is>
      </c>
      <c r="E1037" t="inlineStr">
        <is>
          <t>08A05</t>
        </is>
      </c>
      <c r="F1037" t="inlineStr">
        <is>
          <t>(en blanco)</t>
        </is>
      </c>
      <c r="G1037" t="inlineStr">
        <is>
          <t>PPK</t>
        </is>
      </c>
      <c r="H1037" t="n">
        <v>4944</v>
      </c>
      <c r="I1037" t="inlineStr">
        <is>
          <t>NAUTICA_CLASSICS_117000711_BLK_1.jpg</t>
        </is>
      </c>
      <c r="J1037" t="inlineStr">
        <is>
          <t>NAUTICA_CLASSICS_117000711_BLK_2.jpg</t>
        </is>
      </c>
      <c r="K1037" t="inlineStr">
        <is>
          <t>NAUTICA_CLASSICS_117000711_BLK_3.jpg</t>
        </is>
      </c>
      <c r="L1037">
        <f>IMAGE("file:///E:/Estudios%20y%20certificaciones/ESTUDIOS%20DE%20PROGRAMMING/PROGRAMMING/PERSONAL/PYTHON/Image_Generator_API/imagenes/NAUTICA_CLASSICS_117000711_BLK_1.jpg")</f>
        <v/>
      </c>
      <c r="M1037">
        <f>IMAGE("file:///E:/Estudios%20y%20certificaciones/ESTUDIOS%20DE%20PROGRAMMING/PROGRAMMING/PERSONAL/PYTHON/Image_Generator_API/imagenes/NAUTICA_CLASSICS_117000711_BLK_2.jpg")</f>
        <v/>
      </c>
      <c r="N1037">
        <f>IMAGE("file:///E:/Estudios%20y%20certificaciones/ESTUDIOS%20DE%20PROGRAMMING/PROGRAMMING/PERSONAL/PYTHON/Image_Generator_API/imagenes/NAUTICA_CLASSICS_117000711_BLK_3.jpg")</f>
        <v/>
      </c>
      <c r="O1037">
        <f>HYPERLINK("imagenes/NAUTICA_CLASSICS_117000711_BLK_1.jpg","Ver imagen")</f>
        <v/>
      </c>
      <c r="P1037">
        <f>HYPERLINK("imagenes/NAUTICA_CLASSICS_117000711_BLK_2.jpg","Ver imagen")</f>
        <v/>
      </c>
      <c r="Q1037">
        <f>HYPERLINK("imagenes/NAUTICA_CLASSICS_117000711_BLK_3.jpg","Ver imagen")</f>
        <v/>
      </c>
    </row>
    <row r="1038">
      <c r="A1038" t="inlineStr">
        <is>
          <t>NAUTICA CLASSICS</t>
        </is>
      </c>
      <c r="B1038" t="inlineStr">
        <is>
          <t>117000711</t>
        </is>
      </c>
      <c r="C1038" t="inlineStr">
        <is>
          <t>NAUTICA SOFT MIST</t>
        </is>
      </c>
      <c r="D1038" t="inlineStr">
        <is>
          <t>CST</t>
        </is>
      </c>
      <c r="E1038" t="inlineStr">
        <is>
          <t>(en blanco)</t>
        </is>
      </c>
      <c r="F1038" t="inlineStr">
        <is>
          <t>(en blanco)</t>
        </is>
      </c>
      <c r="G1038" t="inlineStr">
        <is>
          <t>S</t>
        </is>
      </c>
      <c r="H1038" t="n">
        <v>4</v>
      </c>
      <c r="I1038" t="inlineStr">
        <is>
          <t>NAUTICA_CLASSICS_117000711_CST_1.jpg</t>
        </is>
      </c>
      <c r="J1038" t="inlineStr">
        <is>
          <t>NAUTICA_CLASSICS_117000711_CST_2.jpg</t>
        </is>
      </c>
      <c r="K1038" t="inlineStr">
        <is>
          <t>NAUTICA_CLASSICS_117000711_CST_3.jpg</t>
        </is>
      </c>
      <c r="L1038">
        <f>IMAGE("file:///E:/Estudios%20y%20certificaciones/ESTUDIOS%20DE%20PROGRAMMING/PROGRAMMING/PERSONAL/PYTHON/Image_Generator_API/imagenes/NAUTICA_CLASSICS_117000711_CST_1.jpg")</f>
        <v/>
      </c>
      <c r="M1038">
        <f>IMAGE("file:///E:/Estudios%20y%20certificaciones/ESTUDIOS%20DE%20PROGRAMMING/PROGRAMMING/PERSONAL/PYTHON/Image_Generator_API/imagenes/NAUTICA_CLASSICS_117000711_CST_2.jpg")</f>
        <v/>
      </c>
      <c r="N1038">
        <f>IMAGE("file:///E:/Estudios%20y%20certificaciones/ESTUDIOS%20DE%20PROGRAMMING/PROGRAMMING/PERSONAL/PYTHON/Image_Generator_API/imagenes/NAUTICA_CLASSICS_117000711_CST_3.jpg")</f>
        <v/>
      </c>
      <c r="O1038">
        <f>HYPERLINK("imagenes/NAUTICA_CLASSICS_117000711_CST_1.jpg","Ver imagen")</f>
        <v/>
      </c>
      <c r="P1038">
        <f>HYPERLINK("imagenes/NAUTICA_CLASSICS_117000711_CST_2.jpg","Ver imagen")</f>
        <v/>
      </c>
      <c r="Q1038">
        <f>HYPERLINK("imagenes/NAUTICA_CLASSICS_117000711_CST_3.jpg","Ver imagen")</f>
        <v/>
      </c>
    </row>
    <row r="1039">
      <c r="A1039" t="inlineStr">
        <is>
          <t>NAUTICA CLASSICS</t>
        </is>
      </c>
      <c r="B1039" t="inlineStr">
        <is>
          <t>117000711</t>
        </is>
      </c>
      <c r="C1039" t="inlineStr">
        <is>
          <t>NAUTICA SOFT MIST</t>
        </is>
      </c>
      <c r="D1039" t="inlineStr">
        <is>
          <t>CST</t>
        </is>
      </c>
      <c r="E1039" t="inlineStr">
        <is>
          <t>(en blanco)</t>
        </is>
      </c>
      <c r="F1039" t="inlineStr">
        <is>
          <t>(en blanco)</t>
        </is>
      </c>
      <c r="G1039" t="inlineStr">
        <is>
          <t>M</t>
        </is>
      </c>
      <c r="H1039" t="n">
        <v>2</v>
      </c>
      <c r="I1039" t="inlineStr">
        <is>
          <t>NAUTICA_CLASSICS_117000711_CST_1.jpg</t>
        </is>
      </c>
      <c r="J1039" t="inlineStr">
        <is>
          <t>NAUTICA_CLASSICS_117000711_CST_2.jpg</t>
        </is>
      </c>
      <c r="K1039" t="inlineStr">
        <is>
          <t>NAUTICA_CLASSICS_117000711_CST_3.jpg</t>
        </is>
      </c>
      <c r="L1039">
        <f>IMAGE("file:///E:/Estudios%20y%20certificaciones/ESTUDIOS%20DE%20PROGRAMMING/PROGRAMMING/PERSONAL/PYTHON/Image_Generator_API/imagenes/NAUTICA_CLASSICS_117000711_CST_1.jpg")</f>
        <v/>
      </c>
      <c r="M1039">
        <f>IMAGE("file:///E:/Estudios%20y%20certificaciones/ESTUDIOS%20DE%20PROGRAMMING/PROGRAMMING/PERSONAL/PYTHON/Image_Generator_API/imagenes/NAUTICA_CLASSICS_117000711_CST_2.jpg")</f>
        <v/>
      </c>
      <c r="N1039">
        <f>IMAGE("file:///E:/Estudios%20y%20certificaciones/ESTUDIOS%20DE%20PROGRAMMING/PROGRAMMING/PERSONAL/PYTHON/Image_Generator_API/imagenes/NAUTICA_CLASSICS_117000711_CST_3.jpg")</f>
        <v/>
      </c>
      <c r="O1039">
        <f>HYPERLINK("imagenes/NAUTICA_CLASSICS_117000711_CST_1.jpg","Ver imagen")</f>
        <v/>
      </c>
      <c r="P1039">
        <f>HYPERLINK("imagenes/NAUTICA_CLASSICS_117000711_CST_2.jpg","Ver imagen")</f>
        <v/>
      </c>
      <c r="Q1039">
        <f>HYPERLINK("imagenes/NAUTICA_CLASSICS_117000711_CST_3.jpg","Ver imagen")</f>
        <v/>
      </c>
    </row>
    <row r="1040">
      <c r="A1040" t="inlineStr">
        <is>
          <t>NAUTICA CLASSICS</t>
        </is>
      </c>
      <c r="B1040" t="inlineStr">
        <is>
          <t>117000711</t>
        </is>
      </c>
      <c r="C1040" t="inlineStr">
        <is>
          <t>NAUTICA SOFT MIST</t>
        </is>
      </c>
      <c r="D1040" t="inlineStr">
        <is>
          <t>PS3</t>
        </is>
      </c>
      <c r="E1040" t="inlineStr">
        <is>
          <t>08A05</t>
        </is>
      </c>
      <c r="F1040" t="inlineStr">
        <is>
          <t>(en blanco)</t>
        </is>
      </c>
      <c r="G1040" t="inlineStr">
        <is>
          <t>PPK</t>
        </is>
      </c>
      <c r="H1040" t="n">
        <v>600</v>
      </c>
      <c r="I1040" t="inlineStr">
        <is>
          <t>NAUTICA_CLASSICS_117000711_PS3_1.jpg</t>
        </is>
      </c>
      <c r="J1040" t="inlineStr">
        <is>
          <t>NAUTICA_CLASSICS_117000711_PS3_2.jpg</t>
        </is>
      </c>
      <c r="K1040" t="inlineStr">
        <is>
          <t>NAUTICA_CLASSICS_117000711_PS3_3.jpg</t>
        </is>
      </c>
      <c r="L1040">
        <f>IMAGE("file:///E:/Estudios%20y%20certificaciones/ESTUDIOS%20DE%20PROGRAMMING/PROGRAMMING/PERSONAL/PYTHON/Image_Generator_API/imagenes/NAUTICA_CLASSICS_117000711_PS3_1.jpg")</f>
        <v/>
      </c>
      <c r="M1040">
        <f>IMAGE("file:///E:/Estudios%20y%20certificaciones/ESTUDIOS%20DE%20PROGRAMMING/PROGRAMMING/PERSONAL/PYTHON/Image_Generator_API/imagenes/NAUTICA_CLASSICS_117000711_PS3_2.jpg")</f>
        <v/>
      </c>
      <c r="N1040">
        <f>IMAGE("file:///E:/Estudios%20y%20certificaciones/ESTUDIOS%20DE%20PROGRAMMING/PROGRAMMING/PERSONAL/PYTHON/Image_Generator_API/imagenes/NAUTICA_CLASSICS_117000711_PS3_3.jpg")</f>
        <v/>
      </c>
      <c r="O1040">
        <f>HYPERLINK("imagenes/NAUTICA_CLASSICS_117000711_PS3_1.jpg","Ver imagen")</f>
        <v/>
      </c>
      <c r="P1040">
        <f>HYPERLINK("imagenes/NAUTICA_CLASSICS_117000711_PS3_2.jpg","Ver imagen")</f>
        <v/>
      </c>
      <c r="Q1040">
        <f>HYPERLINK("imagenes/NAUTICA_CLASSICS_117000711_PS3_3.jpg","Ver imagen")</f>
        <v/>
      </c>
    </row>
    <row r="1041">
      <c r="A1041" t="inlineStr">
        <is>
          <t>NAUTICA CLASSICS</t>
        </is>
      </c>
      <c r="B1041" t="inlineStr">
        <is>
          <t>117000711</t>
        </is>
      </c>
      <c r="C1041" t="inlineStr">
        <is>
          <t>NAUTICA SOFT MIST</t>
        </is>
      </c>
      <c r="D1041" t="inlineStr">
        <is>
          <t>PS3</t>
        </is>
      </c>
      <c r="E1041" t="inlineStr">
        <is>
          <t>(en blanco)</t>
        </is>
      </c>
      <c r="F1041" t="inlineStr">
        <is>
          <t>D2C</t>
        </is>
      </c>
      <c r="G1041" t="inlineStr">
        <is>
          <t>XS</t>
        </is>
      </c>
      <c r="H1041" t="n">
        <v>40</v>
      </c>
      <c r="I1041" t="inlineStr">
        <is>
          <t>NAUTICA_CLASSICS_117000711_PS3_1.jpg</t>
        </is>
      </c>
      <c r="J1041" t="inlineStr">
        <is>
          <t>NAUTICA_CLASSICS_117000711_PS3_2.jpg</t>
        </is>
      </c>
      <c r="K1041" t="inlineStr">
        <is>
          <t>NAUTICA_CLASSICS_117000711_PS3_3.jpg</t>
        </is>
      </c>
      <c r="L1041">
        <f>IMAGE("file:///E:/Estudios%20y%20certificaciones/ESTUDIOS%20DE%20PROGRAMMING/PROGRAMMING/PERSONAL/PYTHON/Image_Generator_API/imagenes/NAUTICA_CLASSICS_117000711_PS3_1.jpg")</f>
        <v/>
      </c>
      <c r="M1041">
        <f>IMAGE("file:///E:/Estudios%20y%20certificaciones/ESTUDIOS%20DE%20PROGRAMMING/PROGRAMMING/PERSONAL/PYTHON/Image_Generator_API/imagenes/NAUTICA_CLASSICS_117000711_PS3_2.jpg")</f>
        <v/>
      </c>
      <c r="N1041">
        <f>IMAGE("file:///E:/Estudios%20y%20certificaciones/ESTUDIOS%20DE%20PROGRAMMING/PROGRAMMING/PERSONAL/PYTHON/Image_Generator_API/imagenes/NAUTICA_CLASSICS_117000711_PS3_3.jpg")</f>
        <v/>
      </c>
      <c r="O1041">
        <f>HYPERLINK("imagenes/NAUTICA_CLASSICS_117000711_PS3_1.jpg","Ver imagen")</f>
        <v/>
      </c>
      <c r="P1041">
        <f>HYPERLINK("imagenes/NAUTICA_CLASSICS_117000711_PS3_2.jpg","Ver imagen")</f>
        <v/>
      </c>
      <c r="Q1041">
        <f>HYPERLINK("imagenes/NAUTICA_CLASSICS_117000711_PS3_3.jpg","Ver imagen")</f>
        <v/>
      </c>
    </row>
    <row r="1042">
      <c r="A1042" t="inlineStr">
        <is>
          <t>NAUTICA CLASSICS</t>
        </is>
      </c>
      <c r="B1042" t="inlineStr">
        <is>
          <t>117000711</t>
        </is>
      </c>
      <c r="C1042" t="inlineStr">
        <is>
          <t>NAUTICA SOFT MIST</t>
        </is>
      </c>
      <c r="D1042" t="inlineStr">
        <is>
          <t>PS3</t>
        </is>
      </c>
      <c r="E1042" t="inlineStr">
        <is>
          <t>(en blanco)</t>
        </is>
      </c>
      <c r="F1042" t="inlineStr">
        <is>
          <t>D2C</t>
        </is>
      </c>
      <c r="G1042" t="inlineStr">
        <is>
          <t>S</t>
        </is>
      </c>
      <c r="H1042" t="n">
        <v>72</v>
      </c>
      <c r="I1042" t="inlineStr">
        <is>
          <t>NAUTICA_CLASSICS_117000711_PS3_1.jpg</t>
        </is>
      </c>
      <c r="J1042" t="inlineStr">
        <is>
          <t>NAUTICA_CLASSICS_117000711_PS3_2.jpg</t>
        </is>
      </c>
      <c r="K1042" t="inlineStr">
        <is>
          <t>NAUTICA_CLASSICS_117000711_PS3_3.jpg</t>
        </is>
      </c>
      <c r="L1042">
        <f>IMAGE("file:///E:/Estudios%20y%20certificaciones/ESTUDIOS%20DE%20PROGRAMMING/PROGRAMMING/PERSONAL/PYTHON/Image_Generator_API/imagenes/NAUTICA_CLASSICS_117000711_PS3_1.jpg")</f>
        <v/>
      </c>
      <c r="M1042">
        <f>IMAGE("file:///E:/Estudios%20y%20certificaciones/ESTUDIOS%20DE%20PROGRAMMING/PROGRAMMING/PERSONAL/PYTHON/Image_Generator_API/imagenes/NAUTICA_CLASSICS_117000711_PS3_2.jpg")</f>
        <v/>
      </c>
      <c r="N1042">
        <f>IMAGE("file:///E:/Estudios%20y%20certificaciones/ESTUDIOS%20DE%20PROGRAMMING/PROGRAMMING/PERSONAL/PYTHON/Image_Generator_API/imagenes/NAUTICA_CLASSICS_117000711_PS3_3.jpg")</f>
        <v/>
      </c>
      <c r="O1042">
        <f>HYPERLINK("imagenes/NAUTICA_CLASSICS_117000711_PS3_1.jpg","Ver imagen")</f>
        <v/>
      </c>
      <c r="P1042">
        <f>HYPERLINK("imagenes/NAUTICA_CLASSICS_117000711_PS3_2.jpg","Ver imagen")</f>
        <v/>
      </c>
      <c r="Q1042">
        <f>HYPERLINK("imagenes/NAUTICA_CLASSICS_117000711_PS3_3.jpg","Ver imagen")</f>
        <v/>
      </c>
    </row>
    <row r="1043">
      <c r="A1043" t="inlineStr">
        <is>
          <t>NAUTICA CLASSICS</t>
        </is>
      </c>
      <c r="B1043" t="inlineStr">
        <is>
          <t>117000711</t>
        </is>
      </c>
      <c r="C1043" t="inlineStr">
        <is>
          <t>NAUTICA SOFT MIST</t>
        </is>
      </c>
      <c r="D1043" t="inlineStr">
        <is>
          <t>PS3</t>
        </is>
      </c>
      <c r="E1043" t="inlineStr">
        <is>
          <t>(en blanco)</t>
        </is>
      </c>
      <c r="F1043" t="inlineStr">
        <is>
          <t>D2C</t>
        </is>
      </c>
      <c r="G1043" t="inlineStr">
        <is>
          <t>M</t>
        </is>
      </c>
      <c r="H1043" t="n">
        <v>49</v>
      </c>
      <c r="I1043" t="inlineStr">
        <is>
          <t>NAUTICA_CLASSICS_117000711_PS3_1.jpg</t>
        </is>
      </c>
      <c r="J1043" t="inlineStr">
        <is>
          <t>NAUTICA_CLASSICS_117000711_PS3_2.jpg</t>
        </is>
      </c>
      <c r="K1043" t="inlineStr">
        <is>
          <t>NAUTICA_CLASSICS_117000711_PS3_3.jpg</t>
        </is>
      </c>
      <c r="L1043">
        <f>IMAGE("file:///E:/Estudios%20y%20certificaciones/ESTUDIOS%20DE%20PROGRAMMING/PROGRAMMING/PERSONAL/PYTHON/Image_Generator_API/imagenes/NAUTICA_CLASSICS_117000711_PS3_1.jpg")</f>
        <v/>
      </c>
      <c r="M1043">
        <f>IMAGE("file:///E:/Estudios%20y%20certificaciones/ESTUDIOS%20DE%20PROGRAMMING/PROGRAMMING/PERSONAL/PYTHON/Image_Generator_API/imagenes/NAUTICA_CLASSICS_117000711_PS3_2.jpg")</f>
        <v/>
      </c>
      <c r="N1043">
        <f>IMAGE("file:///E:/Estudios%20y%20certificaciones/ESTUDIOS%20DE%20PROGRAMMING/PROGRAMMING/PERSONAL/PYTHON/Image_Generator_API/imagenes/NAUTICA_CLASSICS_117000711_PS3_3.jpg")</f>
        <v/>
      </c>
      <c r="O1043">
        <f>HYPERLINK("imagenes/NAUTICA_CLASSICS_117000711_PS3_1.jpg","Ver imagen")</f>
        <v/>
      </c>
      <c r="P1043">
        <f>HYPERLINK("imagenes/NAUTICA_CLASSICS_117000711_PS3_2.jpg","Ver imagen")</f>
        <v/>
      </c>
      <c r="Q1043">
        <f>HYPERLINK("imagenes/NAUTICA_CLASSICS_117000711_PS3_3.jpg","Ver imagen")</f>
        <v/>
      </c>
    </row>
    <row r="1044">
      <c r="A1044" t="inlineStr">
        <is>
          <t>NAUTICA CLASSICS</t>
        </is>
      </c>
      <c r="B1044" t="inlineStr">
        <is>
          <t>117000711</t>
        </is>
      </c>
      <c r="C1044" t="inlineStr">
        <is>
          <t>NAUTICA SOFT MIST</t>
        </is>
      </c>
      <c r="D1044" t="inlineStr">
        <is>
          <t>PS3</t>
        </is>
      </c>
      <c r="E1044" t="inlineStr">
        <is>
          <t>(en blanco)</t>
        </is>
      </c>
      <c r="F1044" t="inlineStr">
        <is>
          <t>D2C</t>
        </is>
      </c>
      <c r="G1044" t="inlineStr">
        <is>
          <t>L</t>
        </is>
      </c>
      <c r="H1044" t="n">
        <v>45</v>
      </c>
      <c r="I1044" t="inlineStr">
        <is>
          <t>NAUTICA_CLASSICS_117000711_PS3_1.jpg</t>
        </is>
      </c>
      <c r="J1044" t="inlineStr">
        <is>
          <t>NAUTICA_CLASSICS_117000711_PS3_2.jpg</t>
        </is>
      </c>
      <c r="K1044" t="inlineStr">
        <is>
          <t>NAUTICA_CLASSICS_117000711_PS3_3.jpg</t>
        </is>
      </c>
      <c r="L1044">
        <f>IMAGE("file:///E:/Estudios%20y%20certificaciones/ESTUDIOS%20DE%20PROGRAMMING/PROGRAMMING/PERSONAL/PYTHON/Image_Generator_API/imagenes/NAUTICA_CLASSICS_117000711_PS3_1.jpg")</f>
        <v/>
      </c>
      <c r="M1044">
        <f>IMAGE("file:///E:/Estudios%20y%20certificaciones/ESTUDIOS%20DE%20PROGRAMMING/PROGRAMMING/PERSONAL/PYTHON/Image_Generator_API/imagenes/NAUTICA_CLASSICS_117000711_PS3_2.jpg")</f>
        <v/>
      </c>
      <c r="N1044">
        <f>IMAGE("file:///E:/Estudios%20y%20certificaciones/ESTUDIOS%20DE%20PROGRAMMING/PROGRAMMING/PERSONAL/PYTHON/Image_Generator_API/imagenes/NAUTICA_CLASSICS_117000711_PS3_3.jpg")</f>
        <v/>
      </c>
      <c r="O1044">
        <f>HYPERLINK("imagenes/NAUTICA_CLASSICS_117000711_PS3_1.jpg","Ver imagen")</f>
        <v/>
      </c>
      <c r="P1044">
        <f>HYPERLINK("imagenes/NAUTICA_CLASSICS_117000711_PS3_2.jpg","Ver imagen")</f>
        <v/>
      </c>
      <c r="Q1044">
        <f>HYPERLINK("imagenes/NAUTICA_CLASSICS_117000711_PS3_3.jpg","Ver imagen")</f>
        <v/>
      </c>
    </row>
    <row r="1045">
      <c r="A1045" t="inlineStr">
        <is>
          <t>NAUTICA CLASSICS</t>
        </is>
      </c>
      <c r="B1045" t="inlineStr">
        <is>
          <t>117000711</t>
        </is>
      </c>
      <c r="C1045" t="inlineStr">
        <is>
          <t>NAUTICA SOFT MIST</t>
        </is>
      </c>
      <c r="D1045" t="inlineStr">
        <is>
          <t>WIL</t>
        </is>
      </c>
      <c r="E1045" t="inlineStr">
        <is>
          <t>07A08</t>
        </is>
      </c>
      <c r="F1045" t="inlineStr">
        <is>
          <t>B2230</t>
        </is>
      </c>
      <c r="G1045" t="inlineStr">
        <is>
          <t>PPK</t>
        </is>
      </c>
      <c r="H1045" t="n">
        <v>0</v>
      </c>
      <c r="I1045" t="inlineStr">
        <is>
          <t>NAUTICA_CLASSICS_117000711_WIL_1.jpg</t>
        </is>
      </c>
      <c r="J1045" t="inlineStr">
        <is>
          <t>NAUTICA_CLASSICS_117000711_WIL_2.jpg</t>
        </is>
      </c>
      <c r="K1045" t="inlineStr">
        <is>
          <t>NAUTICA_CLASSICS_117000711_WIL_3.jpg</t>
        </is>
      </c>
      <c r="L1045">
        <f>IMAGE("file:///E:/Estudios%20y%20certificaciones/ESTUDIOS%20DE%20PROGRAMMING/PROGRAMMING/PERSONAL/PYTHON/Image_Generator_API/imagenes/NAUTICA_CLASSICS_117000711_WIL_1.jpg")</f>
        <v/>
      </c>
      <c r="M1045">
        <f>IMAGE("file:///E:/Estudios%20y%20certificaciones/ESTUDIOS%20DE%20PROGRAMMING/PROGRAMMING/PERSONAL/PYTHON/Image_Generator_API/imagenes/NAUTICA_CLASSICS_117000711_WIL_2.jpg")</f>
        <v/>
      </c>
      <c r="N1045">
        <f>IMAGE("file:///E:/Estudios%20y%20certificaciones/ESTUDIOS%20DE%20PROGRAMMING/PROGRAMMING/PERSONAL/PYTHON/Image_Generator_API/imagenes/NAUTICA_CLASSICS_117000711_WIL_3.jpg")</f>
        <v/>
      </c>
      <c r="O1045">
        <f>HYPERLINK("imagenes/NAUTICA_CLASSICS_117000711_WIL_1.jpg","Ver imagen")</f>
        <v/>
      </c>
      <c r="P1045">
        <f>HYPERLINK("imagenes/NAUTICA_CLASSICS_117000711_WIL_2.jpg","Ver imagen")</f>
        <v/>
      </c>
      <c r="Q1045">
        <f>HYPERLINK("imagenes/NAUTICA_CLASSICS_117000711_WIL_3.jpg","Ver imagen")</f>
        <v/>
      </c>
    </row>
    <row r="1046">
      <c r="A1046" t="inlineStr">
        <is>
          <t>NAUTICA CLASSICS</t>
        </is>
      </c>
      <c r="B1046" t="inlineStr">
        <is>
          <t>117000711</t>
        </is>
      </c>
      <c r="C1046" t="inlineStr">
        <is>
          <t>NAUTICA SOFT MIST</t>
        </is>
      </c>
      <c r="D1046" t="inlineStr">
        <is>
          <t>WIL</t>
        </is>
      </c>
      <c r="E1046" t="inlineStr">
        <is>
          <t>(en blanco)</t>
        </is>
      </c>
      <c r="F1046" t="inlineStr">
        <is>
          <t>D2C</t>
        </is>
      </c>
      <c r="G1046" t="inlineStr">
        <is>
          <t>XS</t>
        </is>
      </c>
      <c r="H1046" t="n">
        <v>49</v>
      </c>
      <c r="I1046" t="inlineStr">
        <is>
          <t>NAUTICA_CLASSICS_117000711_WIL_1.jpg</t>
        </is>
      </c>
      <c r="J1046" t="inlineStr">
        <is>
          <t>NAUTICA_CLASSICS_117000711_WIL_2.jpg</t>
        </is>
      </c>
      <c r="K1046" t="inlineStr">
        <is>
          <t>NAUTICA_CLASSICS_117000711_WIL_3.jpg</t>
        </is>
      </c>
      <c r="L1046">
        <f>IMAGE("file:///E:/Estudios%20y%20certificaciones/ESTUDIOS%20DE%20PROGRAMMING/PROGRAMMING/PERSONAL/PYTHON/Image_Generator_API/imagenes/NAUTICA_CLASSICS_117000711_WIL_1.jpg")</f>
        <v/>
      </c>
      <c r="M1046">
        <f>IMAGE("file:///E:/Estudios%20y%20certificaciones/ESTUDIOS%20DE%20PROGRAMMING/PROGRAMMING/PERSONAL/PYTHON/Image_Generator_API/imagenes/NAUTICA_CLASSICS_117000711_WIL_2.jpg")</f>
        <v/>
      </c>
      <c r="N1046">
        <f>IMAGE("file:///E:/Estudios%20y%20certificaciones/ESTUDIOS%20DE%20PROGRAMMING/PROGRAMMING/PERSONAL/PYTHON/Image_Generator_API/imagenes/NAUTICA_CLASSICS_117000711_WIL_3.jpg")</f>
        <v/>
      </c>
      <c r="O1046">
        <f>HYPERLINK("imagenes/NAUTICA_CLASSICS_117000711_WIL_1.jpg","Ver imagen")</f>
        <v/>
      </c>
      <c r="P1046">
        <f>HYPERLINK("imagenes/NAUTICA_CLASSICS_117000711_WIL_2.jpg","Ver imagen")</f>
        <v/>
      </c>
      <c r="Q1046">
        <f>HYPERLINK("imagenes/NAUTICA_CLASSICS_117000711_WIL_3.jpg","Ver imagen")</f>
        <v/>
      </c>
    </row>
    <row r="1047">
      <c r="A1047" t="inlineStr">
        <is>
          <t>NAUTICA CLASSICS</t>
        </is>
      </c>
      <c r="B1047" t="inlineStr">
        <is>
          <t>117000711</t>
        </is>
      </c>
      <c r="C1047" t="inlineStr">
        <is>
          <t>NAUTICA SOFT MIST</t>
        </is>
      </c>
      <c r="D1047" t="inlineStr">
        <is>
          <t>WIL</t>
        </is>
      </c>
      <c r="E1047" t="inlineStr">
        <is>
          <t>(en blanco)</t>
        </is>
      </c>
      <c r="F1047" t="inlineStr">
        <is>
          <t>D2C</t>
        </is>
      </c>
      <c r="G1047" t="inlineStr">
        <is>
          <t>S</t>
        </is>
      </c>
      <c r="H1047" t="n">
        <v>100</v>
      </c>
      <c r="I1047" t="inlineStr">
        <is>
          <t>NAUTICA_CLASSICS_117000711_WIL_1.jpg</t>
        </is>
      </c>
      <c r="J1047" t="inlineStr">
        <is>
          <t>NAUTICA_CLASSICS_117000711_WIL_2.jpg</t>
        </is>
      </c>
      <c r="K1047" t="inlineStr">
        <is>
          <t>NAUTICA_CLASSICS_117000711_WIL_3.jpg</t>
        </is>
      </c>
      <c r="L1047">
        <f>IMAGE("file:///E:/Estudios%20y%20certificaciones/ESTUDIOS%20DE%20PROGRAMMING/PROGRAMMING/PERSONAL/PYTHON/Image_Generator_API/imagenes/NAUTICA_CLASSICS_117000711_WIL_1.jpg")</f>
        <v/>
      </c>
      <c r="M1047">
        <f>IMAGE("file:///E:/Estudios%20y%20certificaciones/ESTUDIOS%20DE%20PROGRAMMING/PROGRAMMING/PERSONAL/PYTHON/Image_Generator_API/imagenes/NAUTICA_CLASSICS_117000711_WIL_2.jpg")</f>
        <v/>
      </c>
      <c r="N1047">
        <f>IMAGE("file:///E:/Estudios%20y%20certificaciones/ESTUDIOS%20DE%20PROGRAMMING/PROGRAMMING/PERSONAL/PYTHON/Image_Generator_API/imagenes/NAUTICA_CLASSICS_117000711_WIL_3.jpg")</f>
        <v/>
      </c>
      <c r="O1047">
        <f>HYPERLINK("imagenes/NAUTICA_CLASSICS_117000711_WIL_1.jpg","Ver imagen")</f>
        <v/>
      </c>
      <c r="P1047">
        <f>HYPERLINK("imagenes/NAUTICA_CLASSICS_117000711_WIL_2.jpg","Ver imagen")</f>
        <v/>
      </c>
      <c r="Q1047">
        <f>HYPERLINK("imagenes/NAUTICA_CLASSICS_117000711_WIL_3.jpg","Ver imagen")</f>
        <v/>
      </c>
    </row>
    <row r="1048">
      <c r="A1048" t="inlineStr">
        <is>
          <t>NAUTICA CLASSICS</t>
        </is>
      </c>
      <c r="B1048" t="inlineStr">
        <is>
          <t>117000711</t>
        </is>
      </c>
      <c r="C1048" t="inlineStr">
        <is>
          <t>NAUTICA SOFT MIST</t>
        </is>
      </c>
      <c r="D1048" t="inlineStr">
        <is>
          <t>WIL</t>
        </is>
      </c>
      <c r="E1048" t="inlineStr">
        <is>
          <t>(en blanco)</t>
        </is>
      </c>
      <c r="F1048" t="inlineStr">
        <is>
          <t>D2C</t>
        </is>
      </c>
      <c r="G1048" t="inlineStr">
        <is>
          <t>M</t>
        </is>
      </c>
      <c r="H1048" t="n">
        <v>99</v>
      </c>
      <c r="I1048" t="inlineStr">
        <is>
          <t>NAUTICA_CLASSICS_117000711_WIL_1.jpg</t>
        </is>
      </c>
      <c r="J1048" t="inlineStr">
        <is>
          <t>NAUTICA_CLASSICS_117000711_WIL_2.jpg</t>
        </is>
      </c>
      <c r="K1048" t="inlineStr">
        <is>
          <t>NAUTICA_CLASSICS_117000711_WIL_3.jpg</t>
        </is>
      </c>
      <c r="L1048">
        <f>IMAGE("file:///E:/Estudios%20y%20certificaciones/ESTUDIOS%20DE%20PROGRAMMING/PROGRAMMING/PERSONAL/PYTHON/Image_Generator_API/imagenes/NAUTICA_CLASSICS_117000711_WIL_1.jpg")</f>
        <v/>
      </c>
      <c r="M1048">
        <f>IMAGE("file:///E:/Estudios%20y%20certificaciones/ESTUDIOS%20DE%20PROGRAMMING/PROGRAMMING/PERSONAL/PYTHON/Image_Generator_API/imagenes/NAUTICA_CLASSICS_117000711_WIL_2.jpg")</f>
        <v/>
      </c>
      <c r="N1048">
        <f>IMAGE("file:///E:/Estudios%20y%20certificaciones/ESTUDIOS%20DE%20PROGRAMMING/PROGRAMMING/PERSONAL/PYTHON/Image_Generator_API/imagenes/NAUTICA_CLASSICS_117000711_WIL_3.jpg")</f>
        <v/>
      </c>
      <c r="O1048">
        <f>HYPERLINK("imagenes/NAUTICA_CLASSICS_117000711_WIL_1.jpg","Ver imagen")</f>
        <v/>
      </c>
      <c r="P1048">
        <f>HYPERLINK("imagenes/NAUTICA_CLASSICS_117000711_WIL_2.jpg","Ver imagen")</f>
        <v/>
      </c>
      <c r="Q1048">
        <f>HYPERLINK("imagenes/NAUTICA_CLASSICS_117000711_WIL_3.jpg","Ver imagen")</f>
        <v/>
      </c>
    </row>
    <row r="1049">
      <c r="A1049" t="inlineStr">
        <is>
          <t>NAUTICA CLASSICS</t>
        </is>
      </c>
      <c r="B1049" t="inlineStr">
        <is>
          <t>117000711</t>
        </is>
      </c>
      <c r="C1049" t="inlineStr">
        <is>
          <t>NAUTICA SOFT MIST</t>
        </is>
      </c>
      <c r="D1049" t="inlineStr">
        <is>
          <t>WIL</t>
        </is>
      </c>
      <c r="E1049" t="inlineStr">
        <is>
          <t>(en blanco)</t>
        </is>
      </c>
      <c r="F1049" t="inlineStr">
        <is>
          <t>D2C</t>
        </is>
      </c>
      <c r="G1049" t="inlineStr">
        <is>
          <t>L</t>
        </is>
      </c>
      <c r="H1049" t="n">
        <v>98</v>
      </c>
      <c r="I1049" t="inlineStr">
        <is>
          <t>NAUTICA_CLASSICS_117000711_WIL_1.jpg</t>
        </is>
      </c>
      <c r="J1049" t="inlineStr">
        <is>
          <t>NAUTICA_CLASSICS_117000711_WIL_2.jpg</t>
        </is>
      </c>
      <c r="K1049" t="inlineStr">
        <is>
          <t>NAUTICA_CLASSICS_117000711_WIL_3.jpg</t>
        </is>
      </c>
      <c r="L1049">
        <f>IMAGE("file:///E:/Estudios%20y%20certificaciones/ESTUDIOS%20DE%20PROGRAMMING/PROGRAMMING/PERSONAL/PYTHON/Image_Generator_API/imagenes/NAUTICA_CLASSICS_117000711_WIL_1.jpg")</f>
        <v/>
      </c>
      <c r="M1049">
        <f>IMAGE("file:///E:/Estudios%20y%20certificaciones/ESTUDIOS%20DE%20PROGRAMMING/PROGRAMMING/PERSONAL/PYTHON/Image_Generator_API/imagenes/NAUTICA_CLASSICS_117000711_WIL_2.jpg")</f>
        <v/>
      </c>
      <c r="N1049">
        <f>IMAGE("file:///E:/Estudios%20y%20certificaciones/ESTUDIOS%20DE%20PROGRAMMING/PROGRAMMING/PERSONAL/PYTHON/Image_Generator_API/imagenes/NAUTICA_CLASSICS_117000711_WIL_3.jpg")</f>
        <v/>
      </c>
      <c r="O1049">
        <f>HYPERLINK("imagenes/NAUTICA_CLASSICS_117000711_WIL_1.jpg","Ver imagen")</f>
        <v/>
      </c>
      <c r="P1049">
        <f>HYPERLINK("imagenes/NAUTICA_CLASSICS_117000711_WIL_2.jpg","Ver imagen")</f>
        <v/>
      </c>
      <c r="Q1049">
        <f>HYPERLINK("imagenes/NAUTICA_CLASSICS_117000711_WIL_3.jpg","Ver imagen")</f>
        <v/>
      </c>
    </row>
    <row r="1050">
      <c r="A1050" t="inlineStr">
        <is>
          <t>NAUTICA CLASSICS</t>
        </is>
      </c>
      <c r="B1050" t="inlineStr">
        <is>
          <t>117000711</t>
        </is>
      </c>
      <c r="C1050" t="inlineStr">
        <is>
          <t>NAUTICA SOFT MIST</t>
        </is>
      </c>
      <c r="D1050" t="inlineStr">
        <is>
          <t>WIL</t>
        </is>
      </c>
      <c r="E1050" t="inlineStr">
        <is>
          <t>(en blanco)</t>
        </is>
      </c>
      <c r="F1050" t="inlineStr">
        <is>
          <t>(en blanco)</t>
        </is>
      </c>
      <c r="G1050" t="inlineStr">
        <is>
          <t>XS</t>
        </is>
      </c>
      <c r="H1050" t="n">
        <v>66</v>
      </c>
      <c r="I1050" t="inlineStr">
        <is>
          <t>NAUTICA_CLASSICS_117000711_WIL_1.jpg</t>
        </is>
      </c>
      <c r="J1050" t="inlineStr">
        <is>
          <t>NAUTICA_CLASSICS_117000711_WIL_2.jpg</t>
        </is>
      </c>
      <c r="K1050" t="inlineStr">
        <is>
          <t>NAUTICA_CLASSICS_117000711_WIL_3.jpg</t>
        </is>
      </c>
      <c r="L1050">
        <f>IMAGE("file:///E:/Estudios%20y%20certificaciones/ESTUDIOS%20DE%20PROGRAMMING/PROGRAMMING/PERSONAL/PYTHON/Image_Generator_API/imagenes/NAUTICA_CLASSICS_117000711_WIL_1.jpg")</f>
        <v/>
      </c>
      <c r="M1050">
        <f>IMAGE("file:///E:/Estudios%20y%20certificaciones/ESTUDIOS%20DE%20PROGRAMMING/PROGRAMMING/PERSONAL/PYTHON/Image_Generator_API/imagenes/NAUTICA_CLASSICS_117000711_WIL_2.jpg")</f>
        <v/>
      </c>
      <c r="N1050">
        <f>IMAGE("file:///E:/Estudios%20y%20certificaciones/ESTUDIOS%20DE%20PROGRAMMING/PROGRAMMING/PERSONAL/PYTHON/Image_Generator_API/imagenes/NAUTICA_CLASSICS_117000711_WIL_3.jpg")</f>
        <v/>
      </c>
      <c r="O1050">
        <f>HYPERLINK("imagenes/NAUTICA_CLASSICS_117000711_WIL_1.jpg","Ver imagen")</f>
        <v/>
      </c>
      <c r="P1050">
        <f>HYPERLINK("imagenes/NAUTICA_CLASSICS_117000711_WIL_2.jpg","Ver imagen")</f>
        <v/>
      </c>
      <c r="Q1050">
        <f>HYPERLINK("imagenes/NAUTICA_CLASSICS_117000711_WIL_3.jpg","Ver imagen")</f>
        <v/>
      </c>
    </row>
    <row r="1051">
      <c r="A1051" t="inlineStr">
        <is>
          <t>NAUTICA CLASSICS</t>
        </is>
      </c>
      <c r="B1051" t="inlineStr">
        <is>
          <t>117000711</t>
        </is>
      </c>
      <c r="C1051" t="inlineStr">
        <is>
          <t>NAUTICA SOFT MIST</t>
        </is>
      </c>
      <c r="D1051" t="inlineStr">
        <is>
          <t>WIL</t>
        </is>
      </c>
      <c r="E1051" t="inlineStr">
        <is>
          <t>(en blanco)</t>
        </is>
      </c>
      <c r="F1051" t="inlineStr">
        <is>
          <t>(en blanco)</t>
        </is>
      </c>
      <c r="G1051" t="inlineStr">
        <is>
          <t>S</t>
        </is>
      </c>
      <c r="H1051" t="n">
        <v>74</v>
      </c>
      <c r="I1051" t="inlineStr">
        <is>
          <t>NAUTICA_CLASSICS_117000711_WIL_1.jpg</t>
        </is>
      </c>
      <c r="J1051" t="inlineStr">
        <is>
          <t>NAUTICA_CLASSICS_117000711_WIL_2.jpg</t>
        </is>
      </c>
      <c r="K1051" t="inlineStr">
        <is>
          <t>NAUTICA_CLASSICS_117000711_WIL_3.jpg</t>
        </is>
      </c>
      <c r="L1051">
        <f>IMAGE("file:///E:/Estudios%20y%20certificaciones/ESTUDIOS%20DE%20PROGRAMMING/PROGRAMMING/PERSONAL/PYTHON/Image_Generator_API/imagenes/NAUTICA_CLASSICS_117000711_WIL_1.jpg")</f>
        <v/>
      </c>
      <c r="M1051">
        <f>IMAGE("file:///E:/Estudios%20y%20certificaciones/ESTUDIOS%20DE%20PROGRAMMING/PROGRAMMING/PERSONAL/PYTHON/Image_Generator_API/imagenes/NAUTICA_CLASSICS_117000711_WIL_2.jpg")</f>
        <v/>
      </c>
      <c r="N1051">
        <f>IMAGE("file:///E:/Estudios%20y%20certificaciones/ESTUDIOS%20DE%20PROGRAMMING/PROGRAMMING/PERSONAL/PYTHON/Image_Generator_API/imagenes/NAUTICA_CLASSICS_117000711_WIL_3.jpg")</f>
        <v/>
      </c>
      <c r="O1051">
        <f>HYPERLINK("imagenes/NAUTICA_CLASSICS_117000711_WIL_1.jpg","Ver imagen")</f>
        <v/>
      </c>
      <c r="P1051">
        <f>HYPERLINK("imagenes/NAUTICA_CLASSICS_117000711_WIL_2.jpg","Ver imagen")</f>
        <v/>
      </c>
      <c r="Q1051">
        <f>HYPERLINK("imagenes/NAUTICA_CLASSICS_117000711_WIL_3.jpg","Ver imagen")</f>
        <v/>
      </c>
    </row>
    <row r="1052">
      <c r="A1052" t="inlineStr">
        <is>
          <t>NAUTICA CLASSICS</t>
        </is>
      </c>
      <c r="B1052" t="inlineStr">
        <is>
          <t>117000711</t>
        </is>
      </c>
      <c r="C1052" t="inlineStr">
        <is>
          <t>NAUTICA SOFT MIST</t>
        </is>
      </c>
      <c r="D1052" t="inlineStr">
        <is>
          <t>WIL</t>
        </is>
      </c>
      <c r="E1052" t="inlineStr">
        <is>
          <t>(en blanco)</t>
        </is>
      </c>
      <c r="F1052" t="inlineStr">
        <is>
          <t>(en blanco)</t>
        </is>
      </c>
      <c r="G1052" t="inlineStr">
        <is>
          <t>M</t>
        </is>
      </c>
      <c r="H1052" t="n">
        <v>16</v>
      </c>
      <c r="I1052" t="inlineStr">
        <is>
          <t>NAUTICA_CLASSICS_117000711_WIL_1.jpg</t>
        </is>
      </c>
      <c r="J1052" t="inlineStr">
        <is>
          <t>NAUTICA_CLASSICS_117000711_WIL_2.jpg</t>
        </is>
      </c>
      <c r="K1052" t="inlineStr">
        <is>
          <t>NAUTICA_CLASSICS_117000711_WIL_3.jpg</t>
        </is>
      </c>
      <c r="L1052">
        <f>IMAGE("file:///E:/Estudios%20y%20certificaciones/ESTUDIOS%20DE%20PROGRAMMING/PROGRAMMING/PERSONAL/PYTHON/Image_Generator_API/imagenes/NAUTICA_CLASSICS_117000711_WIL_1.jpg")</f>
        <v/>
      </c>
      <c r="M1052">
        <f>IMAGE("file:///E:/Estudios%20y%20certificaciones/ESTUDIOS%20DE%20PROGRAMMING/PROGRAMMING/PERSONAL/PYTHON/Image_Generator_API/imagenes/NAUTICA_CLASSICS_117000711_WIL_2.jpg")</f>
        <v/>
      </c>
      <c r="N1052">
        <f>IMAGE("file:///E:/Estudios%20y%20certificaciones/ESTUDIOS%20DE%20PROGRAMMING/PROGRAMMING/PERSONAL/PYTHON/Image_Generator_API/imagenes/NAUTICA_CLASSICS_117000711_WIL_3.jpg")</f>
        <v/>
      </c>
      <c r="O1052">
        <f>HYPERLINK("imagenes/NAUTICA_CLASSICS_117000711_WIL_1.jpg","Ver imagen")</f>
        <v/>
      </c>
      <c r="P1052">
        <f>HYPERLINK("imagenes/NAUTICA_CLASSICS_117000711_WIL_2.jpg","Ver imagen")</f>
        <v/>
      </c>
      <c r="Q1052">
        <f>HYPERLINK("imagenes/NAUTICA_CLASSICS_117000711_WIL_3.jpg","Ver imagen")</f>
        <v/>
      </c>
    </row>
    <row r="1053">
      <c r="A1053" t="inlineStr">
        <is>
          <t>NAUTICA CLASSICS</t>
        </is>
      </c>
      <c r="B1053" t="inlineStr">
        <is>
          <t>117000711</t>
        </is>
      </c>
      <c r="C1053" t="inlineStr">
        <is>
          <t>NAUTICA SOFT MIST</t>
        </is>
      </c>
      <c r="D1053" t="inlineStr">
        <is>
          <t>WIL</t>
        </is>
      </c>
      <c r="E1053" t="inlineStr">
        <is>
          <t>(en blanco)</t>
        </is>
      </c>
      <c r="F1053" t="inlineStr">
        <is>
          <t>(en blanco)</t>
        </is>
      </c>
      <c r="G1053" t="inlineStr">
        <is>
          <t>L</t>
        </is>
      </c>
      <c r="H1053" t="n">
        <v>16</v>
      </c>
      <c r="I1053" t="inlineStr">
        <is>
          <t>NAUTICA_CLASSICS_117000711_WIL_1.jpg</t>
        </is>
      </c>
      <c r="J1053" t="inlineStr">
        <is>
          <t>NAUTICA_CLASSICS_117000711_WIL_2.jpg</t>
        </is>
      </c>
      <c r="K1053" t="inlineStr">
        <is>
          <t>NAUTICA_CLASSICS_117000711_WIL_3.jpg</t>
        </is>
      </c>
      <c r="L1053">
        <f>IMAGE("file:///E:/Estudios%20y%20certificaciones/ESTUDIOS%20DE%20PROGRAMMING/PROGRAMMING/PERSONAL/PYTHON/Image_Generator_API/imagenes/NAUTICA_CLASSICS_117000711_WIL_1.jpg")</f>
        <v/>
      </c>
      <c r="M1053">
        <f>IMAGE("file:///E:/Estudios%20y%20certificaciones/ESTUDIOS%20DE%20PROGRAMMING/PROGRAMMING/PERSONAL/PYTHON/Image_Generator_API/imagenes/NAUTICA_CLASSICS_117000711_WIL_2.jpg")</f>
        <v/>
      </c>
      <c r="N1053">
        <f>IMAGE("file:///E:/Estudios%20y%20certificaciones/ESTUDIOS%20DE%20PROGRAMMING/PROGRAMMING/PERSONAL/PYTHON/Image_Generator_API/imagenes/NAUTICA_CLASSICS_117000711_WIL_3.jpg")</f>
        <v/>
      </c>
      <c r="O1053">
        <f>HYPERLINK("imagenes/NAUTICA_CLASSICS_117000711_WIL_1.jpg","Ver imagen")</f>
        <v/>
      </c>
      <c r="P1053">
        <f>HYPERLINK("imagenes/NAUTICA_CLASSICS_117000711_WIL_2.jpg","Ver imagen")</f>
        <v/>
      </c>
      <c r="Q1053">
        <f>HYPERLINK("imagenes/NAUTICA_CLASSICS_117000711_WIL_3.jpg","Ver imagen")</f>
        <v/>
      </c>
    </row>
    <row r="1054">
      <c r="A1054" t="inlineStr">
        <is>
          <t>NAUTICA CLASSICS</t>
        </is>
      </c>
      <c r="B1054" t="inlineStr">
        <is>
          <t>117000712</t>
        </is>
      </c>
      <c r="C1054" t="inlineStr">
        <is>
          <t>NAUTICA WOMENS COAT</t>
        </is>
      </c>
      <c r="D1054" t="inlineStr">
        <is>
          <t>BLK</t>
        </is>
      </c>
      <c r="E1054" t="inlineStr">
        <is>
          <t>(en blanco)</t>
        </is>
      </c>
      <c r="F1054" t="inlineStr">
        <is>
          <t>(en blanco)</t>
        </is>
      </c>
      <c r="G1054" t="inlineStr">
        <is>
          <t>XS</t>
        </is>
      </c>
      <c r="H1054" t="n">
        <v>25</v>
      </c>
      <c r="I1054" t="inlineStr">
        <is>
          <t>NAUTICA_CLASSICS_117000712_BLK_1.jpg</t>
        </is>
      </c>
      <c r="J1054" t="inlineStr">
        <is>
          <t>NAUTICA_CLASSICS_117000712_BLK_2.jpg</t>
        </is>
      </c>
      <c r="K1054" t="inlineStr">
        <is>
          <t>NAUTICA_CLASSICS_117000712_BLK_3.jpg</t>
        </is>
      </c>
      <c r="L1054">
        <f>IMAGE("file:///E:/Estudios%20y%20certificaciones/ESTUDIOS%20DE%20PROGRAMMING/PROGRAMMING/PERSONAL/PYTHON/Image_Generator_API/imagenes/NAUTICA_CLASSICS_117000712_BLK_1.jpg")</f>
        <v/>
      </c>
      <c r="M1054">
        <f>IMAGE("file:///E:/Estudios%20y%20certificaciones/ESTUDIOS%20DE%20PROGRAMMING/PROGRAMMING/PERSONAL/PYTHON/Image_Generator_API/imagenes/NAUTICA_CLASSICS_117000712_BLK_2.jpg")</f>
        <v/>
      </c>
      <c r="N1054">
        <f>IMAGE("file:///E:/Estudios%20y%20certificaciones/ESTUDIOS%20DE%20PROGRAMMING/PROGRAMMING/PERSONAL/PYTHON/Image_Generator_API/imagenes/NAUTICA_CLASSICS_117000712_BLK_3.jpg")</f>
        <v/>
      </c>
      <c r="O1054">
        <f>HYPERLINK("imagenes/NAUTICA_CLASSICS_117000712_BLK_1.jpg","Ver imagen")</f>
        <v/>
      </c>
      <c r="P1054">
        <f>HYPERLINK("imagenes/NAUTICA_CLASSICS_117000712_BLK_2.jpg","Ver imagen")</f>
        <v/>
      </c>
      <c r="Q1054">
        <f>HYPERLINK("imagenes/NAUTICA_CLASSICS_117000712_BLK_3.jpg","Ver imagen")</f>
        <v/>
      </c>
    </row>
    <row r="1055">
      <c r="A1055" t="inlineStr">
        <is>
          <t>NAUTICA CLASSICS</t>
        </is>
      </c>
      <c r="B1055" t="inlineStr">
        <is>
          <t>117000712</t>
        </is>
      </c>
      <c r="C1055" t="inlineStr">
        <is>
          <t>NAUTICA WOMENS COAT</t>
        </is>
      </c>
      <c r="D1055" t="inlineStr">
        <is>
          <t>BLK</t>
        </is>
      </c>
      <c r="E1055" t="inlineStr">
        <is>
          <t>(en blanco)</t>
        </is>
      </c>
      <c r="F1055" t="inlineStr">
        <is>
          <t>(en blanco)</t>
        </is>
      </c>
      <c r="G1055" t="inlineStr">
        <is>
          <t>M</t>
        </is>
      </c>
      <c r="H1055" t="n">
        <v>1</v>
      </c>
      <c r="I1055" t="inlineStr">
        <is>
          <t>NAUTICA_CLASSICS_117000712_BLK_1.jpg</t>
        </is>
      </c>
      <c r="J1055" t="inlineStr">
        <is>
          <t>NAUTICA_CLASSICS_117000712_BLK_2.jpg</t>
        </is>
      </c>
      <c r="K1055" t="inlineStr">
        <is>
          <t>NAUTICA_CLASSICS_117000712_BLK_3.jpg</t>
        </is>
      </c>
      <c r="L1055">
        <f>IMAGE("file:///E:/Estudios%20y%20certificaciones/ESTUDIOS%20DE%20PROGRAMMING/PROGRAMMING/PERSONAL/PYTHON/Image_Generator_API/imagenes/NAUTICA_CLASSICS_117000712_BLK_1.jpg")</f>
        <v/>
      </c>
      <c r="M1055">
        <f>IMAGE("file:///E:/Estudios%20y%20certificaciones/ESTUDIOS%20DE%20PROGRAMMING/PROGRAMMING/PERSONAL/PYTHON/Image_Generator_API/imagenes/NAUTICA_CLASSICS_117000712_BLK_2.jpg")</f>
        <v/>
      </c>
      <c r="N1055">
        <f>IMAGE("file:///E:/Estudios%20y%20certificaciones/ESTUDIOS%20DE%20PROGRAMMING/PROGRAMMING/PERSONAL/PYTHON/Image_Generator_API/imagenes/NAUTICA_CLASSICS_117000712_BLK_3.jpg")</f>
        <v/>
      </c>
      <c r="O1055">
        <f>HYPERLINK("imagenes/NAUTICA_CLASSICS_117000712_BLK_1.jpg","Ver imagen")</f>
        <v/>
      </c>
      <c r="P1055">
        <f>HYPERLINK("imagenes/NAUTICA_CLASSICS_117000712_BLK_2.jpg","Ver imagen")</f>
        <v/>
      </c>
      <c r="Q1055">
        <f>HYPERLINK("imagenes/NAUTICA_CLASSICS_117000712_BLK_3.jpg","Ver imagen")</f>
        <v/>
      </c>
    </row>
    <row r="1056">
      <c r="A1056" t="inlineStr">
        <is>
          <t>NAUTICA CLASSICS</t>
        </is>
      </c>
      <c r="B1056" t="inlineStr">
        <is>
          <t>117000712</t>
        </is>
      </c>
      <c r="C1056" t="inlineStr">
        <is>
          <t>NAUTICA WOMENS COAT</t>
        </is>
      </c>
      <c r="D1056" t="inlineStr">
        <is>
          <t>BLK</t>
        </is>
      </c>
      <c r="E1056" t="inlineStr">
        <is>
          <t>(en blanco)</t>
        </is>
      </c>
      <c r="F1056" t="inlineStr">
        <is>
          <t>(en blanco)</t>
        </is>
      </c>
      <c r="G1056" t="inlineStr">
        <is>
          <t>XXS</t>
        </is>
      </c>
      <c r="H1056" t="n">
        <v>26</v>
      </c>
      <c r="I1056" t="inlineStr">
        <is>
          <t>NAUTICA_CLASSICS_117000712_BLK_1.jpg</t>
        </is>
      </c>
      <c r="J1056" t="inlineStr">
        <is>
          <t>NAUTICA_CLASSICS_117000712_BLK_2.jpg</t>
        </is>
      </c>
      <c r="K1056" t="inlineStr">
        <is>
          <t>NAUTICA_CLASSICS_117000712_BLK_3.jpg</t>
        </is>
      </c>
      <c r="L1056">
        <f>IMAGE("file:///E:/Estudios%20y%20certificaciones/ESTUDIOS%20DE%20PROGRAMMING/PROGRAMMING/PERSONAL/PYTHON/Image_Generator_API/imagenes/NAUTICA_CLASSICS_117000712_BLK_1.jpg")</f>
        <v/>
      </c>
      <c r="M1056">
        <f>IMAGE("file:///E:/Estudios%20y%20certificaciones/ESTUDIOS%20DE%20PROGRAMMING/PROGRAMMING/PERSONAL/PYTHON/Image_Generator_API/imagenes/NAUTICA_CLASSICS_117000712_BLK_2.jpg")</f>
        <v/>
      </c>
      <c r="N1056">
        <f>IMAGE("file:///E:/Estudios%20y%20certificaciones/ESTUDIOS%20DE%20PROGRAMMING/PROGRAMMING/PERSONAL/PYTHON/Image_Generator_API/imagenes/NAUTICA_CLASSICS_117000712_BLK_3.jpg")</f>
        <v/>
      </c>
      <c r="O1056">
        <f>HYPERLINK("imagenes/NAUTICA_CLASSICS_117000712_BLK_1.jpg","Ver imagen")</f>
        <v/>
      </c>
      <c r="P1056">
        <f>HYPERLINK("imagenes/NAUTICA_CLASSICS_117000712_BLK_2.jpg","Ver imagen")</f>
        <v/>
      </c>
      <c r="Q1056">
        <f>HYPERLINK("imagenes/NAUTICA_CLASSICS_117000712_BLK_3.jpg","Ver imagen")</f>
        <v/>
      </c>
    </row>
    <row r="1057">
      <c r="A1057" t="inlineStr">
        <is>
          <t>NAUTICA CLASSICS</t>
        </is>
      </c>
      <c r="B1057" t="inlineStr">
        <is>
          <t>117000712</t>
        </is>
      </c>
      <c r="C1057" t="inlineStr">
        <is>
          <t>NAUTICA WOMENS COAT</t>
        </is>
      </c>
      <c r="D1057" t="inlineStr">
        <is>
          <t>LMS</t>
        </is>
      </c>
      <c r="E1057" t="inlineStr">
        <is>
          <t>(en blanco)</t>
        </is>
      </c>
      <c r="F1057" t="inlineStr">
        <is>
          <t>(en blanco)</t>
        </is>
      </c>
      <c r="G1057" t="inlineStr">
        <is>
          <t>S</t>
        </is>
      </c>
      <c r="H1057" t="n">
        <v>1</v>
      </c>
      <c r="I1057" t="inlineStr">
        <is>
          <t>NAUTICA_CLASSICS_117000712_LMS_1.jpg</t>
        </is>
      </c>
      <c r="J1057" t="inlineStr">
        <is>
          <t>NAUTICA_CLASSICS_117000712_LMS_2.jpg</t>
        </is>
      </c>
      <c r="K1057" t="inlineStr">
        <is>
          <t>NAUTICA_CLASSICS_117000712_LMS_3.jpg</t>
        </is>
      </c>
      <c r="L1057">
        <f>IMAGE("file:///E:/Estudios%20y%20certificaciones/ESTUDIOS%20DE%20PROGRAMMING/PROGRAMMING/PERSONAL/PYTHON/Image_Generator_API/imagenes/NAUTICA_CLASSICS_117000712_LMS_1.jpg")</f>
        <v/>
      </c>
      <c r="M1057">
        <f>IMAGE("file:///E:/Estudios%20y%20certificaciones/ESTUDIOS%20DE%20PROGRAMMING/PROGRAMMING/PERSONAL/PYTHON/Image_Generator_API/imagenes/NAUTICA_CLASSICS_117000712_LMS_2.jpg")</f>
        <v/>
      </c>
      <c r="N1057">
        <f>IMAGE("file:///E:/Estudios%20y%20certificaciones/ESTUDIOS%20DE%20PROGRAMMING/PROGRAMMING/PERSONAL/PYTHON/Image_Generator_API/imagenes/NAUTICA_CLASSICS_117000712_LMS_3.jpg")</f>
        <v/>
      </c>
      <c r="O1057">
        <f>HYPERLINK("imagenes/NAUTICA_CLASSICS_117000712_LMS_1.jpg","Ver imagen")</f>
        <v/>
      </c>
      <c r="P1057">
        <f>HYPERLINK("imagenes/NAUTICA_CLASSICS_117000712_LMS_2.jpg","Ver imagen")</f>
        <v/>
      </c>
      <c r="Q1057">
        <f>HYPERLINK("imagenes/NAUTICA_CLASSICS_117000712_LMS_3.jpg","Ver imagen")</f>
        <v/>
      </c>
    </row>
    <row r="1058">
      <c r="A1058" t="inlineStr">
        <is>
          <t>NAUTICA CLASSICS</t>
        </is>
      </c>
      <c r="B1058" t="inlineStr">
        <is>
          <t>117000712</t>
        </is>
      </c>
      <c r="C1058" t="inlineStr">
        <is>
          <t>NAUTICA WOMENS COAT</t>
        </is>
      </c>
      <c r="D1058" t="inlineStr">
        <is>
          <t>NAR</t>
        </is>
      </c>
      <c r="E1058" t="inlineStr">
        <is>
          <t>(en blanco)</t>
        </is>
      </c>
      <c r="F1058" t="inlineStr">
        <is>
          <t>(en blanco)</t>
        </is>
      </c>
      <c r="G1058" t="inlineStr">
        <is>
          <t>S</t>
        </is>
      </c>
      <c r="H1058" t="n">
        <v>10</v>
      </c>
      <c r="I1058" t="inlineStr">
        <is>
          <t>NAUTICA_CLASSICS_117000712_NAR_1.jpg</t>
        </is>
      </c>
      <c r="J1058" t="inlineStr">
        <is>
          <t>NAUTICA_CLASSICS_117000712_NAR_2.jpg</t>
        </is>
      </c>
      <c r="K1058" t="inlineStr">
        <is>
          <t>NAUTICA_CLASSICS_117000712_NAR_3.jpg</t>
        </is>
      </c>
      <c r="L1058">
        <f>IMAGE("file:///E:/Estudios%20y%20certificaciones/ESTUDIOS%20DE%20PROGRAMMING/PROGRAMMING/PERSONAL/PYTHON/Image_Generator_API/imagenes/NAUTICA_CLASSICS_117000712_NAR_1.jpg")</f>
        <v/>
      </c>
      <c r="M1058">
        <f>IMAGE("file:///E:/Estudios%20y%20certificaciones/ESTUDIOS%20DE%20PROGRAMMING/PROGRAMMING/PERSONAL/PYTHON/Image_Generator_API/imagenes/NAUTICA_CLASSICS_117000712_NAR_2.jpg")</f>
        <v/>
      </c>
      <c r="N1058">
        <f>IMAGE("file:///E:/Estudios%20y%20certificaciones/ESTUDIOS%20DE%20PROGRAMMING/PROGRAMMING/PERSONAL/PYTHON/Image_Generator_API/imagenes/NAUTICA_CLASSICS_117000712_NAR_3.jpg")</f>
        <v/>
      </c>
      <c r="O1058">
        <f>HYPERLINK("imagenes/NAUTICA_CLASSICS_117000712_NAR_1.jpg","Ver imagen")</f>
        <v/>
      </c>
      <c r="P1058">
        <f>HYPERLINK("imagenes/NAUTICA_CLASSICS_117000712_NAR_2.jpg","Ver imagen")</f>
        <v/>
      </c>
      <c r="Q1058">
        <f>HYPERLINK("imagenes/NAUTICA_CLASSICS_117000712_NAR_3.jpg","Ver imagen")</f>
        <v/>
      </c>
    </row>
    <row r="1059">
      <c r="A1059" t="inlineStr">
        <is>
          <t>NAUTICA CLASSICS</t>
        </is>
      </c>
      <c r="B1059" t="inlineStr">
        <is>
          <t>117000712</t>
        </is>
      </c>
      <c r="C1059" t="inlineStr">
        <is>
          <t>NAUTICA WOMENS COAT</t>
        </is>
      </c>
      <c r="D1059" t="inlineStr">
        <is>
          <t>NAR</t>
        </is>
      </c>
      <c r="E1059" t="inlineStr">
        <is>
          <t>(en blanco)</t>
        </is>
      </c>
      <c r="F1059" t="inlineStr">
        <is>
          <t>(en blanco)</t>
        </is>
      </c>
      <c r="G1059" t="inlineStr">
        <is>
          <t>M</t>
        </is>
      </c>
      <c r="H1059" t="n">
        <v>10</v>
      </c>
      <c r="I1059" t="inlineStr">
        <is>
          <t>NAUTICA_CLASSICS_117000712_NAR_1.jpg</t>
        </is>
      </c>
      <c r="J1059" t="inlineStr">
        <is>
          <t>NAUTICA_CLASSICS_117000712_NAR_2.jpg</t>
        </is>
      </c>
      <c r="K1059" t="inlineStr">
        <is>
          <t>NAUTICA_CLASSICS_117000712_NAR_3.jpg</t>
        </is>
      </c>
      <c r="L1059">
        <f>IMAGE("file:///E:/Estudios%20y%20certificaciones/ESTUDIOS%20DE%20PROGRAMMING/PROGRAMMING/PERSONAL/PYTHON/Image_Generator_API/imagenes/NAUTICA_CLASSICS_117000712_NAR_1.jpg")</f>
        <v/>
      </c>
      <c r="M1059">
        <f>IMAGE("file:///E:/Estudios%20y%20certificaciones/ESTUDIOS%20DE%20PROGRAMMING/PROGRAMMING/PERSONAL/PYTHON/Image_Generator_API/imagenes/NAUTICA_CLASSICS_117000712_NAR_2.jpg")</f>
        <v/>
      </c>
      <c r="N1059">
        <f>IMAGE("file:///E:/Estudios%20y%20certificaciones/ESTUDIOS%20DE%20PROGRAMMING/PROGRAMMING/PERSONAL/PYTHON/Image_Generator_API/imagenes/NAUTICA_CLASSICS_117000712_NAR_3.jpg")</f>
        <v/>
      </c>
      <c r="O1059">
        <f>HYPERLINK("imagenes/NAUTICA_CLASSICS_117000712_NAR_1.jpg","Ver imagen")</f>
        <v/>
      </c>
      <c r="P1059">
        <f>HYPERLINK("imagenes/NAUTICA_CLASSICS_117000712_NAR_2.jpg","Ver imagen")</f>
        <v/>
      </c>
      <c r="Q1059">
        <f>HYPERLINK("imagenes/NAUTICA_CLASSICS_117000712_NAR_3.jpg","Ver imagen")</f>
        <v/>
      </c>
    </row>
    <row r="1060">
      <c r="A1060" t="inlineStr">
        <is>
          <t>NAUTICA CLASSICS</t>
        </is>
      </c>
      <c r="B1060" t="inlineStr">
        <is>
          <t>117000712</t>
        </is>
      </c>
      <c r="C1060" t="inlineStr">
        <is>
          <t>NAUTICA WOMENS COAT</t>
        </is>
      </c>
      <c r="D1060" t="inlineStr">
        <is>
          <t>NAR</t>
        </is>
      </c>
      <c r="E1060" t="inlineStr">
        <is>
          <t>(en blanco)</t>
        </is>
      </c>
      <c r="F1060" t="inlineStr">
        <is>
          <t>(en blanco)</t>
        </is>
      </c>
      <c r="G1060" t="inlineStr">
        <is>
          <t>XL</t>
        </is>
      </c>
      <c r="H1060" t="n">
        <v>9</v>
      </c>
      <c r="I1060" t="inlineStr">
        <is>
          <t>NAUTICA_CLASSICS_117000712_NAR_1.jpg</t>
        </is>
      </c>
      <c r="J1060" t="inlineStr">
        <is>
          <t>NAUTICA_CLASSICS_117000712_NAR_2.jpg</t>
        </is>
      </c>
      <c r="K1060" t="inlineStr">
        <is>
          <t>NAUTICA_CLASSICS_117000712_NAR_3.jpg</t>
        </is>
      </c>
      <c r="L1060">
        <f>IMAGE("file:///E:/Estudios%20y%20certificaciones/ESTUDIOS%20DE%20PROGRAMMING/PROGRAMMING/PERSONAL/PYTHON/Image_Generator_API/imagenes/NAUTICA_CLASSICS_117000712_NAR_1.jpg")</f>
        <v/>
      </c>
      <c r="M1060">
        <f>IMAGE("file:///E:/Estudios%20y%20certificaciones/ESTUDIOS%20DE%20PROGRAMMING/PROGRAMMING/PERSONAL/PYTHON/Image_Generator_API/imagenes/NAUTICA_CLASSICS_117000712_NAR_2.jpg")</f>
        <v/>
      </c>
      <c r="N1060">
        <f>IMAGE("file:///E:/Estudios%20y%20certificaciones/ESTUDIOS%20DE%20PROGRAMMING/PROGRAMMING/PERSONAL/PYTHON/Image_Generator_API/imagenes/NAUTICA_CLASSICS_117000712_NAR_3.jpg")</f>
        <v/>
      </c>
      <c r="O1060">
        <f>HYPERLINK("imagenes/NAUTICA_CLASSICS_117000712_NAR_1.jpg","Ver imagen")</f>
        <v/>
      </c>
      <c r="P1060">
        <f>HYPERLINK("imagenes/NAUTICA_CLASSICS_117000712_NAR_2.jpg","Ver imagen")</f>
        <v/>
      </c>
      <c r="Q1060">
        <f>HYPERLINK("imagenes/NAUTICA_CLASSICS_117000712_NAR_3.jpg","Ver imagen")</f>
        <v/>
      </c>
    </row>
    <row r="1061">
      <c r="A1061" t="inlineStr">
        <is>
          <t>NAUTICA CLASSICS</t>
        </is>
      </c>
      <c r="B1061" t="inlineStr">
        <is>
          <t>117000712</t>
        </is>
      </c>
      <c r="C1061" t="inlineStr">
        <is>
          <t>NAUTICA WOMENS COAT</t>
        </is>
      </c>
      <c r="D1061" t="inlineStr">
        <is>
          <t>NAR</t>
        </is>
      </c>
      <c r="E1061" t="inlineStr">
        <is>
          <t>(en blanco)</t>
        </is>
      </c>
      <c r="F1061" t="inlineStr">
        <is>
          <t>(en blanco)</t>
        </is>
      </c>
      <c r="G1061" t="inlineStr">
        <is>
          <t>XXS</t>
        </is>
      </c>
      <c r="H1061" t="n">
        <v>9</v>
      </c>
      <c r="I1061" t="inlineStr">
        <is>
          <t>NAUTICA_CLASSICS_117000712_NAR_1.jpg</t>
        </is>
      </c>
      <c r="J1061" t="inlineStr">
        <is>
          <t>NAUTICA_CLASSICS_117000712_NAR_2.jpg</t>
        </is>
      </c>
      <c r="K1061" t="inlineStr">
        <is>
          <t>NAUTICA_CLASSICS_117000712_NAR_3.jpg</t>
        </is>
      </c>
      <c r="L1061">
        <f>IMAGE("file:///E:/Estudios%20y%20certificaciones/ESTUDIOS%20DE%20PROGRAMMING/PROGRAMMING/PERSONAL/PYTHON/Image_Generator_API/imagenes/NAUTICA_CLASSICS_117000712_NAR_1.jpg")</f>
        <v/>
      </c>
      <c r="M1061">
        <f>IMAGE("file:///E:/Estudios%20y%20certificaciones/ESTUDIOS%20DE%20PROGRAMMING/PROGRAMMING/PERSONAL/PYTHON/Image_Generator_API/imagenes/NAUTICA_CLASSICS_117000712_NAR_2.jpg")</f>
        <v/>
      </c>
      <c r="N1061">
        <f>IMAGE("file:///E:/Estudios%20y%20certificaciones/ESTUDIOS%20DE%20PROGRAMMING/PROGRAMMING/PERSONAL/PYTHON/Image_Generator_API/imagenes/NAUTICA_CLASSICS_117000712_NAR_3.jpg")</f>
        <v/>
      </c>
      <c r="O1061">
        <f>HYPERLINK("imagenes/NAUTICA_CLASSICS_117000712_NAR_1.jpg","Ver imagen")</f>
        <v/>
      </c>
      <c r="P1061">
        <f>HYPERLINK("imagenes/NAUTICA_CLASSICS_117000712_NAR_2.jpg","Ver imagen")</f>
        <v/>
      </c>
      <c r="Q1061">
        <f>HYPERLINK("imagenes/NAUTICA_CLASSICS_117000712_NAR_3.jpg","Ver imagen")</f>
        <v/>
      </c>
    </row>
    <row r="1062">
      <c r="A1062" t="inlineStr">
        <is>
          <t>NAUTICA CLASSICS</t>
        </is>
      </c>
      <c r="B1062" t="inlineStr">
        <is>
          <t>117000713</t>
        </is>
      </c>
      <c r="C1062" t="inlineStr">
        <is>
          <t>NAUTICA MAXI STRETCH PUFFER</t>
        </is>
      </c>
      <c r="D1062" t="inlineStr">
        <is>
          <t>BLK</t>
        </is>
      </c>
      <c r="E1062" t="inlineStr">
        <is>
          <t>(en blanco)</t>
        </is>
      </c>
      <c r="F1062" t="inlineStr">
        <is>
          <t>(en blanco)</t>
        </is>
      </c>
      <c r="G1062" t="inlineStr">
        <is>
          <t>S</t>
        </is>
      </c>
      <c r="H1062" t="n">
        <v>2</v>
      </c>
      <c r="I1062" t="inlineStr">
        <is>
          <t>NAUTICA_CLASSICS_117000713_BLK_1.jpg</t>
        </is>
      </c>
      <c r="J1062" t="inlineStr">
        <is>
          <t>NAUTICA_CLASSICS_117000713_BLK_2.jpg</t>
        </is>
      </c>
      <c r="K1062" t="inlineStr">
        <is>
          <t>NAUTICA_CLASSICS_117000713_BLK_3.jpg</t>
        </is>
      </c>
      <c r="L1062">
        <f>IMAGE("file:///E:/Estudios%20y%20certificaciones/ESTUDIOS%20DE%20PROGRAMMING/PROGRAMMING/PERSONAL/PYTHON/Image_Generator_API/imagenes/NAUTICA_CLASSICS_117000713_BLK_1.jpg")</f>
        <v/>
      </c>
      <c r="M1062">
        <f>IMAGE("file:///E:/Estudios%20y%20certificaciones/ESTUDIOS%20DE%20PROGRAMMING/PROGRAMMING/PERSONAL/PYTHON/Image_Generator_API/imagenes/NAUTICA_CLASSICS_117000713_BLK_2.jpg")</f>
        <v/>
      </c>
      <c r="N1062">
        <f>IMAGE("file:///E:/Estudios%20y%20certificaciones/ESTUDIOS%20DE%20PROGRAMMING/PROGRAMMING/PERSONAL/PYTHON/Image_Generator_API/imagenes/NAUTICA_CLASSICS_117000713_BLK_3.jpg")</f>
        <v/>
      </c>
      <c r="O1062">
        <f>HYPERLINK("imagenes/NAUTICA_CLASSICS_117000713_BLK_1.jpg","Ver imagen")</f>
        <v/>
      </c>
      <c r="P1062">
        <f>HYPERLINK("imagenes/NAUTICA_CLASSICS_117000713_BLK_2.jpg","Ver imagen")</f>
        <v/>
      </c>
      <c r="Q1062">
        <f>HYPERLINK("imagenes/NAUTICA_CLASSICS_117000713_BLK_3.jpg","Ver imagen")</f>
        <v/>
      </c>
    </row>
    <row r="1063">
      <c r="A1063" t="inlineStr">
        <is>
          <t>NAUTICA CLASSICS</t>
        </is>
      </c>
      <c r="B1063" t="inlineStr">
        <is>
          <t>117000717</t>
        </is>
      </c>
      <c r="C1063" t="inlineStr">
        <is>
          <t>NAUTICA STRETCH PUFFER</t>
        </is>
      </c>
      <c r="D1063" t="inlineStr">
        <is>
          <t>BLK</t>
        </is>
      </c>
      <c r="E1063" t="inlineStr">
        <is>
          <t>(en blanco)</t>
        </is>
      </c>
      <c r="F1063" t="inlineStr">
        <is>
          <t>(en blanco)</t>
        </is>
      </c>
      <c r="G1063" t="inlineStr">
        <is>
          <t>XS</t>
        </is>
      </c>
      <c r="H1063" t="n">
        <v>2</v>
      </c>
      <c r="I1063" t="inlineStr">
        <is>
          <t>NAUTICA_CLASSICS_117000717_BLK_2.jpg</t>
        </is>
      </c>
      <c r="J1063" t="inlineStr">
        <is>
          <t>NAUTICA_CLASSICS_117000717_BLK_3.jpg</t>
        </is>
      </c>
      <c r="L1063">
        <f>IMAGE("file:///E:/Estudios%20y%20certificaciones/ESTUDIOS%20DE%20PROGRAMMING/PROGRAMMING/PERSONAL/PYTHON/Image_Generator_API/imagenes/NAUTICA_CLASSICS_117000717_BLK_2.jpg")</f>
        <v/>
      </c>
      <c r="M1063">
        <f>IMAGE("file:///E:/Estudios%20y%20certificaciones/ESTUDIOS%20DE%20PROGRAMMING/PROGRAMMING/PERSONAL/PYTHON/Image_Generator_API/imagenes/NAUTICA_CLASSICS_117000717_BLK_3.jpg")</f>
        <v/>
      </c>
      <c r="O1063">
        <f>HYPERLINK("imagenes/NAUTICA_CLASSICS_117000717_BLK_2.jpg","Ver imagen")</f>
        <v/>
      </c>
      <c r="P1063">
        <f>HYPERLINK("imagenes/NAUTICA_CLASSICS_117000717_BLK_3.jpg","Ver imagen")</f>
        <v/>
      </c>
    </row>
    <row r="1064">
      <c r="A1064" t="inlineStr">
        <is>
          <t>NAUTICA CLASSICS</t>
        </is>
      </c>
      <c r="B1064" t="inlineStr">
        <is>
          <t>117000717</t>
        </is>
      </c>
      <c r="C1064" t="inlineStr">
        <is>
          <t>NAUTICA STRETCH PUFFER</t>
        </is>
      </c>
      <c r="D1064" t="inlineStr">
        <is>
          <t>BLK</t>
        </is>
      </c>
      <c r="E1064" t="inlineStr">
        <is>
          <t>(en blanco)</t>
        </is>
      </c>
      <c r="F1064" t="inlineStr">
        <is>
          <t>(en blanco)</t>
        </is>
      </c>
      <c r="G1064" t="inlineStr">
        <is>
          <t>S</t>
        </is>
      </c>
      <c r="H1064" t="n">
        <v>3</v>
      </c>
      <c r="I1064" t="inlineStr">
        <is>
          <t>NAUTICA_CLASSICS_117000717_BLK_2.jpg</t>
        </is>
      </c>
      <c r="J1064" t="inlineStr">
        <is>
          <t>NAUTICA_CLASSICS_117000717_BLK_3.jpg</t>
        </is>
      </c>
      <c r="L1064">
        <f>IMAGE("file:///E:/Estudios%20y%20certificaciones/ESTUDIOS%20DE%20PROGRAMMING/PROGRAMMING/PERSONAL/PYTHON/Image_Generator_API/imagenes/NAUTICA_CLASSICS_117000717_BLK_2.jpg")</f>
        <v/>
      </c>
      <c r="M1064">
        <f>IMAGE("file:///E:/Estudios%20y%20certificaciones/ESTUDIOS%20DE%20PROGRAMMING/PROGRAMMING/PERSONAL/PYTHON/Image_Generator_API/imagenes/NAUTICA_CLASSICS_117000717_BLK_3.jpg")</f>
        <v/>
      </c>
      <c r="O1064">
        <f>HYPERLINK("imagenes/NAUTICA_CLASSICS_117000717_BLK_2.jpg","Ver imagen")</f>
        <v/>
      </c>
      <c r="P1064">
        <f>HYPERLINK("imagenes/NAUTICA_CLASSICS_117000717_BLK_3.jpg","Ver imagen")</f>
        <v/>
      </c>
    </row>
    <row r="1065">
      <c r="A1065" t="inlineStr">
        <is>
          <t>NAUTICA CLASSICS</t>
        </is>
      </c>
      <c r="B1065" t="inlineStr">
        <is>
          <t>117000722</t>
        </is>
      </c>
      <c r="C1065" t="inlineStr">
        <is>
          <t>NAUTICA WOMEN STRETCH PUFFER</t>
        </is>
      </c>
      <c r="D1065" t="inlineStr">
        <is>
          <t>BLK</t>
        </is>
      </c>
      <c r="E1065" t="inlineStr">
        <is>
          <t>(en blanco)</t>
        </is>
      </c>
      <c r="F1065" t="inlineStr">
        <is>
          <t>(en blanco)</t>
        </is>
      </c>
      <c r="G1065" t="inlineStr">
        <is>
          <t>XS</t>
        </is>
      </c>
      <c r="H1065" t="n">
        <v>6</v>
      </c>
      <c r="I1065" t="inlineStr">
        <is>
          <t>NAUTICA_CLASSICS_117000722_BLK_1.jpg</t>
        </is>
      </c>
      <c r="J1065" t="inlineStr">
        <is>
          <t>NAUTICA_CLASSICS_117000722_BLK_2.jpg</t>
        </is>
      </c>
      <c r="K1065" t="inlineStr">
        <is>
          <t>NAUTICA_CLASSICS_117000722_BLK_3.jpg</t>
        </is>
      </c>
      <c r="L1065">
        <f>IMAGE("file:///E:/Estudios%20y%20certificaciones/ESTUDIOS%20DE%20PROGRAMMING/PROGRAMMING/PERSONAL/PYTHON/Image_Generator_API/imagenes/NAUTICA_CLASSICS_117000722_BLK_1.jpg")</f>
        <v/>
      </c>
      <c r="M1065">
        <f>IMAGE("file:///E:/Estudios%20y%20certificaciones/ESTUDIOS%20DE%20PROGRAMMING/PROGRAMMING/PERSONAL/PYTHON/Image_Generator_API/imagenes/NAUTICA_CLASSICS_117000722_BLK_2.jpg")</f>
        <v/>
      </c>
      <c r="N1065">
        <f>IMAGE("file:///E:/Estudios%20y%20certificaciones/ESTUDIOS%20DE%20PROGRAMMING/PROGRAMMING/PERSONAL/PYTHON/Image_Generator_API/imagenes/NAUTICA_CLASSICS_117000722_BLK_3.jpg")</f>
        <v/>
      </c>
      <c r="O1065">
        <f>HYPERLINK("imagenes/NAUTICA_CLASSICS_117000722_BLK_1.jpg","Ver imagen")</f>
        <v/>
      </c>
      <c r="P1065">
        <f>HYPERLINK("imagenes/NAUTICA_CLASSICS_117000722_BLK_2.jpg","Ver imagen")</f>
        <v/>
      </c>
      <c r="Q1065">
        <f>HYPERLINK("imagenes/NAUTICA_CLASSICS_117000722_BLK_3.jpg","Ver imagen")</f>
        <v/>
      </c>
    </row>
    <row r="1066">
      <c r="A1066" t="inlineStr">
        <is>
          <t>NAUTICA CLASSICS</t>
        </is>
      </c>
      <c r="B1066" t="inlineStr">
        <is>
          <t>117000722</t>
        </is>
      </c>
      <c r="C1066" t="inlineStr">
        <is>
          <t>NAUTICA WOMEN STRETCH PUFFER</t>
        </is>
      </c>
      <c r="D1066" t="inlineStr">
        <is>
          <t>BLK</t>
        </is>
      </c>
      <c r="E1066" t="inlineStr">
        <is>
          <t>(en blanco)</t>
        </is>
      </c>
      <c r="F1066" t="inlineStr">
        <is>
          <t>(en blanco)</t>
        </is>
      </c>
      <c r="G1066" t="inlineStr">
        <is>
          <t>M</t>
        </is>
      </c>
      <c r="H1066" t="n">
        <v>0</v>
      </c>
      <c r="I1066" t="inlineStr">
        <is>
          <t>NAUTICA_CLASSICS_117000722_BLK_1.jpg</t>
        </is>
      </c>
      <c r="J1066" t="inlineStr">
        <is>
          <t>NAUTICA_CLASSICS_117000722_BLK_2.jpg</t>
        </is>
      </c>
      <c r="K1066" t="inlineStr">
        <is>
          <t>NAUTICA_CLASSICS_117000722_BLK_3.jpg</t>
        </is>
      </c>
      <c r="L1066">
        <f>IMAGE("file:///E:/Estudios%20y%20certificaciones/ESTUDIOS%20DE%20PROGRAMMING/PROGRAMMING/PERSONAL/PYTHON/Image_Generator_API/imagenes/NAUTICA_CLASSICS_117000722_BLK_1.jpg")</f>
        <v/>
      </c>
      <c r="M1066">
        <f>IMAGE("file:///E:/Estudios%20y%20certificaciones/ESTUDIOS%20DE%20PROGRAMMING/PROGRAMMING/PERSONAL/PYTHON/Image_Generator_API/imagenes/NAUTICA_CLASSICS_117000722_BLK_2.jpg")</f>
        <v/>
      </c>
      <c r="N1066">
        <f>IMAGE("file:///E:/Estudios%20y%20certificaciones/ESTUDIOS%20DE%20PROGRAMMING/PROGRAMMING/PERSONAL/PYTHON/Image_Generator_API/imagenes/NAUTICA_CLASSICS_117000722_BLK_3.jpg")</f>
        <v/>
      </c>
      <c r="O1066">
        <f>HYPERLINK("imagenes/NAUTICA_CLASSICS_117000722_BLK_1.jpg","Ver imagen")</f>
        <v/>
      </c>
      <c r="P1066">
        <f>HYPERLINK("imagenes/NAUTICA_CLASSICS_117000722_BLK_2.jpg","Ver imagen")</f>
        <v/>
      </c>
      <c r="Q1066">
        <f>HYPERLINK("imagenes/NAUTICA_CLASSICS_117000722_BLK_3.jpg","Ver imagen")</f>
        <v/>
      </c>
    </row>
    <row r="1067">
      <c r="A1067" t="inlineStr">
        <is>
          <t>NAUTICA CLASSICS</t>
        </is>
      </c>
      <c r="B1067" t="inlineStr">
        <is>
          <t>117000722</t>
        </is>
      </c>
      <c r="C1067" t="inlineStr">
        <is>
          <t>NAUTICA WOMEN STRETCH PUFFER</t>
        </is>
      </c>
      <c r="D1067" t="inlineStr">
        <is>
          <t>BLK</t>
        </is>
      </c>
      <c r="E1067" t="inlineStr">
        <is>
          <t>(en blanco)</t>
        </is>
      </c>
      <c r="F1067" t="inlineStr">
        <is>
          <t>(en blanco)</t>
        </is>
      </c>
      <c r="G1067" t="inlineStr">
        <is>
          <t>L</t>
        </is>
      </c>
      <c r="H1067" t="n">
        <v>0</v>
      </c>
      <c r="I1067" t="inlineStr">
        <is>
          <t>NAUTICA_CLASSICS_117000722_BLK_1.jpg</t>
        </is>
      </c>
      <c r="J1067" t="inlineStr">
        <is>
          <t>NAUTICA_CLASSICS_117000722_BLK_2.jpg</t>
        </is>
      </c>
      <c r="K1067" t="inlineStr">
        <is>
          <t>NAUTICA_CLASSICS_117000722_BLK_3.jpg</t>
        </is>
      </c>
      <c r="L1067">
        <f>IMAGE("file:///E:/Estudios%20y%20certificaciones/ESTUDIOS%20DE%20PROGRAMMING/PROGRAMMING/PERSONAL/PYTHON/Image_Generator_API/imagenes/NAUTICA_CLASSICS_117000722_BLK_1.jpg")</f>
        <v/>
      </c>
      <c r="M1067">
        <f>IMAGE("file:///E:/Estudios%20y%20certificaciones/ESTUDIOS%20DE%20PROGRAMMING/PROGRAMMING/PERSONAL/PYTHON/Image_Generator_API/imagenes/NAUTICA_CLASSICS_117000722_BLK_2.jpg")</f>
        <v/>
      </c>
      <c r="N1067">
        <f>IMAGE("file:///E:/Estudios%20y%20certificaciones/ESTUDIOS%20DE%20PROGRAMMING/PROGRAMMING/PERSONAL/PYTHON/Image_Generator_API/imagenes/NAUTICA_CLASSICS_117000722_BLK_3.jpg")</f>
        <v/>
      </c>
      <c r="O1067">
        <f>HYPERLINK("imagenes/NAUTICA_CLASSICS_117000722_BLK_1.jpg","Ver imagen")</f>
        <v/>
      </c>
      <c r="P1067">
        <f>HYPERLINK("imagenes/NAUTICA_CLASSICS_117000722_BLK_2.jpg","Ver imagen")</f>
        <v/>
      </c>
      <c r="Q1067">
        <f>HYPERLINK("imagenes/NAUTICA_CLASSICS_117000722_BLK_3.jpg","Ver imagen")</f>
        <v/>
      </c>
    </row>
    <row r="1068">
      <c r="A1068" t="inlineStr">
        <is>
          <t>NAUTICA CLASSICS</t>
        </is>
      </c>
      <c r="B1068" t="inlineStr">
        <is>
          <t>117000722</t>
        </is>
      </c>
      <c r="C1068" t="inlineStr">
        <is>
          <t>NAUTICA WOMEN STRETCH PUFFER</t>
        </is>
      </c>
      <c r="D1068" t="inlineStr">
        <is>
          <t>NSS</t>
        </is>
      </c>
      <c r="E1068" t="inlineStr">
        <is>
          <t>(en blanco)</t>
        </is>
      </c>
      <c r="F1068" t="inlineStr">
        <is>
          <t>(en blanco)</t>
        </is>
      </c>
      <c r="G1068" t="inlineStr">
        <is>
          <t>XS</t>
        </is>
      </c>
      <c r="H1068" t="n">
        <v>4</v>
      </c>
      <c r="I1068" t="inlineStr">
        <is>
          <t>NAUTICA_CLASSICS_117000722_NSS_1.jpg</t>
        </is>
      </c>
      <c r="J1068" t="inlineStr">
        <is>
          <t>NAUTICA_CLASSICS_117000722_NSS_2.jpg</t>
        </is>
      </c>
      <c r="K1068" t="inlineStr">
        <is>
          <t>NAUTICA_CLASSICS_117000722_NSS_3.jpg</t>
        </is>
      </c>
      <c r="L1068">
        <f>IMAGE("file:///E:/Estudios%20y%20certificaciones/ESTUDIOS%20DE%20PROGRAMMING/PROGRAMMING/PERSONAL/PYTHON/Image_Generator_API/imagenes/NAUTICA_CLASSICS_117000722_NSS_1.jpg")</f>
        <v/>
      </c>
      <c r="M1068">
        <f>IMAGE("file:///E:/Estudios%20y%20certificaciones/ESTUDIOS%20DE%20PROGRAMMING/PROGRAMMING/PERSONAL/PYTHON/Image_Generator_API/imagenes/NAUTICA_CLASSICS_117000722_NSS_2.jpg")</f>
        <v/>
      </c>
      <c r="N1068">
        <f>IMAGE("file:///E:/Estudios%20y%20certificaciones/ESTUDIOS%20DE%20PROGRAMMING/PROGRAMMING/PERSONAL/PYTHON/Image_Generator_API/imagenes/NAUTICA_CLASSICS_117000722_NSS_3.jpg")</f>
        <v/>
      </c>
      <c r="O1068">
        <f>HYPERLINK("imagenes/NAUTICA_CLASSICS_117000722_NSS_1.jpg","Ver imagen")</f>
        <v/>
      </c>
      <c r="P1068">
        <f>HYPERLINK("imagenes/NAUTICA_CLASSICS_117000722_NSS_2.jpg","Ver imagen")</f>
        <v/>
      </c>
      <c r="Q1068">
        <f>HYPERLINK("imagenes/NAUTICA_CLASSICS_117000722_NSS_3.jpg","Ver imagen")</f>
        <v/>
      </c>
    </row>
    <row r="1069">
      <c r="A1069" t="inlineStr">
        <is>
          <t>NAUTICA CLASSICS</t>
        </is>
      </c>
      <c r="B1069" t="inlineStr">
        <is>
          <t>117001128</t>
        </is>
      </c>
      <c r="C1069" t="inlineStr">
        <is>
          <t>NAUTICA STRETCH PUFFER W/FUR LINED HOOD</t>
        </is>
      </c>
      <c r="D1069" t="inlineStr">
        <is>
          <t>BLK</t>
        </is>
      </c>
      <c r="E1069" t="inlineStr">
        <is>
          <t>(en blanco)</t>
        </is>
      </c>
      <c r="F1069" t="inlineStr">
        <is>
          <t>(en blanco)</t>
        </is>
      </c>
      <c r="G1069" t="inlineStr">
        <is>
          <t>XS</t>
        </is>
      </c>
      <c r="H1069" t="n">
        <v>42</v>
      </c>
      <c r="I1069" t="inlineStr">
        <is>
          <t>NAUTICA_CLASSICS_117001128_BLK_1.jpg</t>
        </is>
      </c>
      <c r="J1069" t="inlineStr">
        <is>
          <t>NAUTICA_CLASSICS_117001128_BLK_2.jpg</t>
        </is>
      </c>
      <c r="K1069" t="inlineStr">
        <is>
          <t>NAUTICA_CLASSICS_117001128_BLK_3.jpg</t>
        </is>
      </c>
      <c r="L1069">
        <f>IMAGE("file:///E:/Estudios%20y%20certificaciones/ESTUDIOS%20DE%20PROGRAMMING/PROGRAMMING/PERSONAL/PYTHON/Image_Generator_API/imagenes/NAUTICA_CLASSICS_117001128_BLK_1.jpg")</f>
        <v/>
      </c>
      <c r="M1069">
        <f>IMAGE("file:///E:/Estudios%20y%20certificaciones/ESTUDIOS%20DE%20PROGRAMMING/PROGRAMMING/PERSONAL/PYTHON/Image_Generator_API/imagenes/NAUTICA_CLASSICS_117001128_BLK_2.jpg")</f>
        <v/>
      </c>
      <c r="N1069">
        <f>IMAGE("file:///E:/Estudios%20y%20certificaciones/ESTUDIOS%20DE%20PROGRAMMING/PROGRAMMING/PERSONAL/PYTHON/Image_Generator_API/imagenes/NAUTICA_CLASSICS_117001128_BLK_3.jpg")</f>
        <v/>
      </c>
      <c r="O1069">
        <f>HYPERLINK("imagenes/NAUTICA_CLASSICS_117001128_BLK_1.jpg","Ver imagen")</f>
        <v/>
      </c>
      <c r="P1069">
        <f>HYPERLINK("imagenes/NAUTICA_CLASSICS_117001128_BLK_2.jpg","Ver imagen")</f>
        <v/>
      </c>
      <c r="Q1069">
        <f>HYPERLINK("imagenes/NAUTICA_CLASSICS_117001128_BLK_3.jpg","Ver imagen")</f>
        <v/>
      </c>
    </row>
    <row r="1070">
      <c r="A1070" t="inlineStr">
        <is>
          <t>NAUTICA CLASSICS</t>
        </is>
      </c>
      <c r="B1070" t="inlineStr">
        <is>
          <t>117001128</t>
        </is>
      </c>
      <c r="C1070" t="inlineStr">
        <is>
          <t>NAUTICA STRETCH PUFFER W/FUR LINED HOOD</t>
        </is>
      </c>
      <c r="D1070" t="inlineStr">
        <is>
          <t>BLK</t>
        </is>
      </c>
      <c r="E1070" t="inlineStr">
        <is>
          <t>(en blanco)</t>
        </is>
      </c>
      <c r="F1070" t="inlineStr">
        <is>
          <t>(en blanco)</t>
        </is>
      </c>
      <c r="G1070" t="inlineStr">
        <is>
          <t>XXL</t>
        </is>
      </c>
      <c r="H1070" t="n">
        <v>6</v>
      </c>
      <c r="I1070" t="inlineStr">
        <is>
          <t>NAUTICA_CLASSICS_117001128_BLK_1.jpg</t>
        </is>
      </c>
      <c r="J1070" t="inlineStr">
        <is>
          <t>NAUTICA_CLASSICS_117001128_BLK_2.jpg</t>
        </is>
      </c>
      <c r="K1070" t="inlineStr">
        <is>
          <t>NAUTICA_CLASSICS_117001128_BLK_3.jpg</t>
        </is>
      </c>
      <c r="L1070">
        <f>IMAGE("file:///E:/Estudios%20y%20certificaciones/ESTUDIOS%20DE%20PROGRAMMING/PROGRAMMING/PERSONAL/PYTHON/Image_Generator_API/imagenes/NAUTICA_CLASSICS_117001128_BLK_1.jpg")</f>
        <v/>
      </c>
      <c r="M1070">
        <f>IMAGE("file:///E:/Estudios%20y%20certificaciones/ESTUDIOS%20DE%20PROGRAMMING/PROGRAMMING/PERSONAL/PYTHON/Image_Generator_API/imagenes/NAUTICA_CLASSICS_117001128_BLK_2.jpg")</f>
        <v/>
      </c>
      <c r="N1070">
        <f>IMAGE("file:///E:/Estudios%20y%20certificaciones/ESTUDIOS%20DE%20PROGRAMMING/PROGRAMMING/PERSONAL/PYTHON/Image_Generator_API/imagenes/NAUTICA_CLASSICS_117001128_BLK_3.jpg")</f>
        <v/>
      </c>
      <c r="O1070">
        <f>HYPERLINK("imagenes/NAUTICA_CLASSICS_117001128_BLK_1.jpg","Ver imagen")</f>
        <v/>
      </c>
      <c r="P1070">
        <f>HYPERLINK("imagenes/NAUTICA_CLASSICS_117001128_BLK_2.jpg","Ver imagen")</f>
        <v/>
      </c>
      <c r="Q1070">
        <f>HYPERLINK("imagenes/NAUTICA_CLASSICS_117001128_BLK_3.jpg","Ver imagen")</f>
        <v/>
      </c>
    </row>
    <row r="1071">
      <c r="A1071" t="inlineStr">
        <is>
          <t>NAUTICA CLASSICS</t>
        </is>
      </c>
      <c r="B1071" t="inlineStr">
        <is>
          <t>117001128</t>
        </is>
      </c>
      <c r="C1071" t="inlineStr">
        <is>
          <t>NAUTICA STRETCH PUFFER W/FUR LINED HOOD</t>
        </is>
      </c>
      <c r="D1071" t="inlineStr">
        <is>
          <t>BLK</t>
        </is>
      </c>
      <c r="E1071" t="inlineStr">
        <is>
          <t>(en blanco)</t>
        </is>
      </c>
      <c r="F1071" t="inlineStr">
        <is>
          <t>(en blanco)</t>
        </is>
      </c>
      <c r="G1071" t="inlineStr">
        <is>
          <t>XXS</t>
        </is>
      </c>
      <c r="H1071" t="n">
        <v>84</v>
      </c>
      <c r="I1071" t="inlineStr">
        <is>
          <t>NAUTICA_CLASSICS_117001128_BLK_1.jpg</t>
        </is>
      </c>
      <c r="J1071" t="inlineStr">
        <is>
          <t>NAUTICA_CLASSICS_117001128_BLK_2.jpg</t>
        </is>
      </c>
      <c r="K1071" t="inlineStr">
        <is>
          <t>NAUTICA_CLASSICS_117001128_BLK_3.jpg</t>
        </is>
      </c>
      <c r="L1071">
        <f>IMAGE("file:///E:/Estudios%20y%20certificaciones/ESTUDIOS%20DE%20PROGRAMMING/PROGRAMMING/PERSONAL/PYTHON/Image_Generator_API/imagenes/NAUTICA_CLASSICS_117001128_BLK_1.jpg")</f>
        <v/>
      </c>
      <c r="M1071">
        <f>IMAGE("file:///E:/Estudios%20y%20certificaciones/ESTUDIOS%20DE%20PROGRAMMING/PROGRAMMING/PERSONAL/PYTHON/Image_Generator_API/imagenes/NAUTICA_CLASSICS_117001128_BLK_2.jpg")</f>
        <v/>
      </c>
      <c r="N1071">
        <f>IMAGE("file:///E:/Estudios%20y%20certificaciones/ESTUDIOS%20DE%20PROGRAMMING/PROGRAMMING/PERSONAL/PYTHON/Image_Generator_API/imagenes/NAUTICA_CLASSICS_117001128_BLK_3.jpg")</f>
        <v/>
      </c>
      <c r="O1071">
        <f>HYPERLINK("imagenes/NAUTICA_CLASSICS_117001128_BLK_1.jpg","Ver imagen")</f>
        <v/>
      </c>
      <c r="P1071">
        <f>HYPERLINK("imagenes/NAUTICA_CLASSICS_117001128_BLK_2.jpg","Ver imagen")</f>
        <v/>
      </c>
      <c r="Q1071">
        <f>HYPERLINK("imagenes/NAUTICA_CLASSICS_117001128_BLK_3.jpg","Ver imagen")</f>
        <v/>
      </c>
    </row>
    <row r="1072">
      <c r="A1072" t="inlineStr">
        <is>
          <t>NAUTICA CLASSICS</t>
        </is>
      </c>
      <c r="B1072" t="inlineStr">
        <is>
          <t>117001128</t>
        </is>
      </c>
      <c r="C1072" t="inlineStr">
        <is>
          <t>NAUTICA STRETCH PUFFER W/FUR LINED HOOD</t>
        </is>
      </c>
      <c r="D1072" t="inlineStr">
        <is>
          <t>C2B</t>
        </is>
      </c>
      <c r="E1072" t="inlineStr">
        <is>
          <t>(en blanco)</t>
        </is>
      </c>
      <c r="F1072" t="inlineStr">
        <is>
          <t>(en blanco)</t>
        </is>
      </c>
      <c r="G1072" t="inlineStr">
        <is>
          <t>XS</t>
        </is>
      </c>
      <c r="H1072" t="n">
        <v>1</v>
      </c>
      <c r="I1072" t="inlineStr">
        <is>
          <t>NAUTICA_CLASSICS_117001128_C2B_1.jpg</t>
        </is>
      </c>
      <c r="J1072" t="inlineStr">
        <is>
          <t>NAUTICA_CLASSICS_117001128_C2B_2.jpg</t>
        </is>
      </c>
      <c r="K1072" t="inlineStr">
        <is>
          <t>NAUTICA_CLASSICS_117001128_C2B_3.jpg</t>
        </is>
      </c>
      <c r="L1072">
        <f>IMAGE("file:///E:/Estudios%20y%20certificaciones/ESTUDIOS%20DE%20PROGRAMMING/PROGRAMMING/PERSONAL/PYTHON/Image_Generator_API/imagenes/NAUTICA_CLASSICS_117001128_C2B_1.jpg")</f>
        <v/>
      </c>
      <c r="M1072">
        <f>IMAGE("file:///E:/Estudios%20y%20certificaciones/ESTUDIOS%20DE%20PROGRAMMING/PROGRAMMING/PERSONAL/PYTHON/Image_Generator_API/imagenes/NAUTICA_CLASSICS_117001128_C2B_2.jpg")</f>
        <v/>
      </c>
      <c r="N1072">
        <f>IMAGE("file:///E:/Estudios%20y%20certificaciones/ESTUDIOS%20DE%20PROGRAMMING/PROGRAMMING/PERSONAL/PYTHON/Image_Generator_API/imagenes/NAUTICA_CLASSICS_117001128_C2B_3.jpg")</f>
        <v/>
      </c>
      <c r="O1072">
        <f>HYPERLINK("imagenes/NAUTICA_CLASSICS_117001128_C2B_1.jpg","Ver imagen")</f>
        <v/>
      </c>
      <c r="P1072">
        <f>HYPERLINK("imagenes/NAUTICA_CLASSICS_117001128_C2B_2.jpg","Ver imagen")</f>
        <v/>
      </c>
      <c r="Q1072">
        <f>HYPERLINK("imagenes/NAUTICA_CLASSICS_117001128_C2B_3.jpg","Ver imagen")</f>
        <v/>
      </c>
    </row>
    <row r="1073">
      <c r="A1073" t="inlineStr">
        <is>
          <t>NAUTICA CLASSICS</t>
        </is>
      </c>
      <c r="B1073" t="inlineStr">
        <is>
          <t>117001128</t>
        </is>
      </c>
      <c r="C1073" t="inlineStr">
        <is>
          <t>NAUTICA STRETCH PUFFER W/FUR LINED HOOD</t>
        </is>
      </c>
      <c r="D1073" t="inlineStr">
        <is>
          <t>C2B</t>
        </is>
      </c>
      <c r="E1073" t="inlineStr">
        <is>
          <t>(en blanco)</t>
        </is>
      </c>
      <c r="F1073" t="inlineStr">
        <is>
          <t>(en blanco)</t>
        </is>
      </c>
      <c r="G1073" t="inlineStr">
        <is>
          <t>L</t>
        </is>
      </c>
      <c r="H1073" t="n">
        <v>1</v>
      </c>
      <c r="I1073" t="inlineStr">
        <is>
          <t>NAUTICA_CLASSICS_117001128_C2B_1.jpg</t>
        </is>
      </c>
      <c r="J1073" t="inlineStr">
        <is>
          <t>NAUTICA_CLASSICS_117001128_C2B_2.jpg</t>
        </is>
      </c>
      <c r="K1073" t="inlineStr">
        <is>
          <t>NAUTICA_CLASSICS_117001128_C2B_3.jpg</t>
        </is>
      </c>
      <c r="L1073">
        <f>IMAGE("file:///E:/Estudios%20y%20certificaciones/ESTUDIOS%20DE%20PROGRAMMING/PROGRAMMING/PERSONAL/PYTHON/Image_Generator_API/imagenes/NAUTICA_CLASSICS_117001128_C2B_1.jpg")</f>
        <v/>
      </c>
      <c r="M1073">
        <f>IMAGE("file:///E:/Estudios%20y%20certificaciones/ESTUDIOS%20DE%20PROGRAMMING/PROGRAMMING/PERSONAL/PYTHON/Image_Generator_API/imagenes/NAUTICA_CLASSICS_117001128_C2B_2.jpg")</f>
        <v/>
      </c>
      <c r="N1073">
        <f>IMAGE("file:///E:/Estudios%20y%20certificaciones/ESTUDIOS%20DE%20PROGRAMMING/PROGRAMMING/PERSONAL/PYTHON/Image_Generator_API/imagenes/NAUTICA_CLASSICS_117001128_C2B_3.jpg")</f>
        <v/>
      </c>
      <c r="O1073">
        <f>HYPERLINK("imagenes/NAUTICA_CLASSICS_117001128_C2B_1.jpg","Ver imagen")</f>
        <v/>
      </c>
      <c r="P1073">
        <f>HYPERLINK("imagenes/NAUTICA_CLASSICS_117001128_C2B_2.jpg","Ver imagen")</f>
        <v/>
      </c>
      <c r="Q1073">
        <f>HYPERLINK("imagenes/NAUTICA_CLASSICS_117001128_C2B_3.jpg","Ver imagen")</f>
        <v/>
      </c>
    </row>
    <row r="1074">
      <c r="A1074" t="inlineStr">
        <is>
          <t>NAUTICA CLASSICS</t>
        </is>
      </c>
      <c r="B1074" t="inlineStr">
        <is>
          <t>117001128</t>
        </is>
      </c>
      <c r="C1074" t="inlineStr">
        <is>
          <t>NAUTICA STRETCH PUFFER W/FUR LINED HOOD</t>
        </is>
      </c>
      <c r="D1074" t="inlineStr">
        <is>
          <t>C2B</t>
        </is>
      </c>
      <c r="E1074" t="inlineStr">
        <is>
          <t>(en blanco)</t>
        </is>
      </c>
      <c r="F1074" t="inlineStr">
        <is>
          <t>(en blanco)</t>
        </is>
      </c>
      <c r="G1074" t="inlineStr">
        <is>
          <t>XL</t>
        </is>
      </c>
      <c r="H1074" t="n">
        <v>5</v>
      </c>
      <c r="I1074" t="inlineStr">
        <is>
          <t>NAUTICA_CLASSICS_117001128_C2B_1.jpg</t>
        </is>
      </c>
      <c r="J1074" t="inlineStr">
        <is>
          <t>NAUTICA_CLASSICS_117001128_C2B_2.jpg</t>
        </is>
      </c>
      <c r="K1074" t="inlineStr">
        <is>
          <t>NAUTICA_CLASSICS_117001128_C2B_3.jpg</t>
        </is>
      </c>
      <c r="L1074">
        <f>IMAGE("file:///E:/Estudios%20y%20certificaciones/ESTUDIOS%20DE%20PROGRAMMING/PROGRAMMING/PERSONAL/PYTHON/Image_Generator_API/imagenes/NAUTICA_CLASSICS_117001128_C2B_1.jpg")</f>
        <v/>
      </c>
      <c r="M1074">
        <f>IMAGE("file:///E:/Estudios%20y%20certificaciones/ESTUDIOS%20DE%20PROGRAMMING/PROGRAMMING/PERSONAL/PYTHON/Image_Generator_API/imagenes/NAUTICA_CLASSICS_117001128_C2B_2.jpg")</f>
        <v/>
      </c>
      <c r="N1074">
        <f>IMAGE("file:///E:/Estudios%20y%20certificaciones/ESTUDIOS%20DE%20PROGRAMMING/PROGRAMMING/PERSONAL/PYTHON/Image_Generator_API/imagenes/NAUTICA_CLASSICS_117001128_C2B_3.jpg")</f>
        <v/>
      </c>
      <c r="O1074">
        <f>HYPERLINK("imagenes/NAUTICA_CLASSICS_117001128_C2B_1.jpg","Ver imagen")</f>
        <v/>
      </c>
      <c r="P1074">
        <f>HYPERLINK("imagenes/NAUTICA_CLASSICS_117001128_C2B_2.jpg","Ver imagen")</f>
        <v/>
      </c>
      <c r="Q1074">
        <f>HYPERLINK("imagenes/NAUTICA_CLASSICS_117001128_C2B_3.jpg","Ver imagen")</f>
        <v/>
      </c>
    </row>
    <row r="1075">
      <c r="A1075" t="inlineStr">
        <is>
          <t>NAUTICA CLASSICS</t>
        </is>
      </c>
      <c r="B1075" t="inlineStr">
        <is>
          <t>117001128</t>
        </is>
      </c>
      <c r="C1075" t="inlineStr">
        <is>
          <t>NAUTICA STRETCH PUFFER W/FUR LINED HOOD</t>
        </is>
      </c>
      <c r="D1075" t="inlineStr">
        <is>
          <t>C2B</t>
        </is>
      </c>
      <c r="E1075" t="inlineStr">
        <is>
          <t>(en blanco)</t>
        </is>
      </c>
      <c r="F1075" t="inlineStr">
        <is>
          <t>(en blanco)</t>
        </is>
      </c>
      <c r="G1075" t="inlineStr">
        <is>
          <t>XXS</t>
        </is>
      </c>
      <c r="H1075" t="n">
        <v>24</v>
      </c>
      <c r="I1075" t="inlineStr">
        <is>
          <t>NAUTICA_CLASSICS_117001128_C2B_1.jpg</t>
        </is>
      </c>
      <c r="J1075" t="inlineStr">
        <is>
          <t>NAUTICA_CLASSICS_117001128_C2B_2.jpg</t>
        </is>
      </c>
      <c r="K1075" t="inlineStr">
        <is>
          <t>NAUTICA_CLASSICS_117001128_C2B_3.jpg</t>
        </is>
      </c>
      <c r="L1075">
        <f>IMAGE("file:///E:/Estudios%20y%20certificaciones/ESTUDIOS%20DE%20PROGRAMMING/PROGRAMMING/PERSONAL/PYTHON/Image_Generator_API/imagenes/NAUTICA_CLASSICS_117001128_C2B_1.jpg")</f>
        <v/>
      </c>
      <c r="M1075">
        <f>IMAGE("file:///E:/Estudios%20y%20certificaciones/ESTUDIOS%20DE%20PROGRAMMING/PROGRAMMING/PERSONAL/PYTHON/Image_Generator_API/imagenes/NAUTICA_CLASSICS_117001128_C2B_2.jpg")</f>
        <v/>
      </c>
      <c r="N1075">
        <f>IMAGE("file:///E:/Estudios%20y%20certificaciones/ESTUDIOS%20DE%20PROGRAMMING/PROGRAMMING/PERSONAL/PYTHON/Image_Generator_API/imagenes/NAUTICA_CLASSICS_117001128_C2B_3.jpg")</f>
        <v/>
      </c>
      <c r="O1075">
        <f>HYPERLINK("imagenes/NAUTICA_CLASSICS_117001128_C2B_1.jpg","Ver imagen")</f>
        <v/>
      </c>
      <c r="P1075">
        <f>HYPERLINK("imagenes/NAUTICA_CLASSICS_117001128_C2B_2.jpg","Ver imagen")</f>
        <v/>
      </c>
      <c r="Q1075">
        <f>HYPERLINK("imagenes/NAUTICA_CLASSICS_117001128_C2B_3.jpg","Ver imagen")</f>
        <v/>
      </c>
    </row>
    <row r="1076">
      <c r="A1076" t="inlineStr">
        <is>
          <t>NAUTICA CLASSICS</t>
        </is>
      </c>
      <c r="B1076" t="inlineStr">
        <is>
          <t>117001128</t>
        </is>
      </c>
      <c r="C1076" t="inlineStr">
        <is>
          <t>NAUTICA STRETCH PUFFER W/FUR LINED HOOD</t>
        </is>
      </c>
      <c r="D1076" t="inlineStr">
        <is>
          <t>LMS</t>
        </is>
      </c>
      <c r="E1076" t="inlineStr">
        <is>
          <t>(en blanco)</t>
        </is>
      </c>
      <c r="F1076" t="inlineStr">
        <is>
          <t>(en blanco)</t>
        </is>
      </c>
      <c r="G1076" t="inlineStr">
        <is>
          <t>XS</t>
        </is>
      </c>
      <c r="H1076" t="n">
        <v>18</v>
      </c>
      <c r="I1076" t="inlineStr">
        <is>
          <t>NAUTICA_CLASSICS_117001128_LMS_1.jpg</t>
        </is>
      </c>
      <c r="J1076" t="inlineStr">
        <is>
          <t>NAUTICA_CLASSICS_117001128_LMS_2.jpg</t>
        </is>
      </c>
      <c r="K1076" t="inlineStr">
        <is>
          <t>NAUTICA_CLASSICS_117001128_LMS_3.jpg</t>
        </is>
      </c>
      <c r="L1076">
        <f>IMAGE("file:///E:/Estudios%20y%20certificaciones/ESTUDIOS%20DE%20PROGRAMMING/PROGRAMMING/PERSONAL/PYTHON/Image_Generator_API/imagenes/NAUTICA_CLASSICS_117001128_LMS_1.jpg")</f>
        <v/>
      </c>
      <c r="M1076">
        <f>IMAGE("file:///E:/Estudios%20y%20certificaciones/ESTUDIOS%20DE%20PROGRAMMING/PROGRAMMING/PERSONAL/PYTHON/Image_Generator_API/imagenes/NAUTICA_CLASSICS_117001128_LMS_2.jpg")</f>
        <v/>
      </c>
      <c r="N1076">
        <f>IMAGE("file:///E:/Estudios%20y%20certificaciones/ESTUDIOS%20DE%20PROGRAMMING/PROGRAMMING/PERSONAL/PYTHON/Image_Generator_API/imagenes/NAUTICA_CLASSICS_117001128_LMS_3.jpg")</f>
        <v/>
      </c>
      <c r="O1076">
        <f>HYPERLINK("imagenes/NAUTICA_CLASSICS_117001128_LMS_1.jpg","Ver imagen")</f>
        <v/>
      </c>
      <c r="P1076">
        <f>HYPERLINK("imagenes/NAUTICA_CLASSICS_117001128_LMS_2.jpg","Ver imagen")</f>
        <v/>
      </c>
      <c r="Q1076">
        <f>HYPERLINK("imagenes/NAUTICA_CLASSICS_117001128_LMS_3.jpg","Ver imagen")</f>
        <v/>
      </c>
    </row>
    <row r="1077">
      <c r="A1077" t="inlineStr">
        <is>
          <t>NAUTICA CLASSICS</t>
        </is>
      </c>
      <c r="B1077" t="inlineStr">
        <is>
          <t>117001128</t>
        </is>
      </c>
      <c r="C1077" t="inlineStr">
        <is>
          <t>NAUTICA STRETCH PUFFER W/FUR LINED HOOD</t>
        </is>
      </c>
      <c r="D1077" t="inlineStr">
        <is>
          <t>LMS</t>
        </is>
      </c>
      <c r="E1077" t="inlineStr">
        <is>
          <t>(en blanco)</t>
        </is>
      </c>
      <c r="F1077" t="inlineStr">
        <is>
          <t>(en blanco)</t>
        </is>
      </c>
      <c r="G1077" t="inlineStr">
        <is>
          <t>L</t>
        </is>
      </c>
      <c r="H1077" t="n">
        <v>1</v>
      </c>
      <c r="I1077" t="inlineStr">
        <is>
          <t>NAUTICA_CLASSICS_117001128_LMS_1.jpg</t>
        </is>
      </c>
      <c r="J1077" t="inlineStr">
        <is>
          <t>NAUTICA_CLASSICS_117001128_LMS_2.jpg</t>
        </is>
      </c>
      <c r="K1077" t="inlineStr">
        <is>
          <t>NAUTICA_CLASSICS_117001128_LMS_3.jpg</t>
        </is>
      </c>
      <c r="L1077">
        <f>IMAGE("file:///E:/Estudios%20y%20certificaciones/ESTUDIOS%20DE%20PROGRAMMING/PROGRAMMING/PERSONAL/PYTHON/Image_Generator_API/imagenes/NAUTICA_CLASSICS_117001128_LMS_1.jpg")</f>
        <v/>
      </c>
      <c r="M1077">
        <f>IMAGE("file:///E:/Estudios%20y%20certificaciones/ESTUDIOS%20DE%20PROGRAMMING/PROGRAMMING/PERSONAL/PYTHON/Image_Generator_API/imagenes/NAUTICA_CLASSICS_117001128_LMS_2.jpg")</f>
        <v/>
      </c>
      <c r="N1077">
        <f>IMAGE("file:///E:/Estudios%20y%20certificaciones/ESTUDIOS%20DE%20PROGRAMMING/PROGRAMMING/PERSONAL/PYTHON/Image_Generator_API/imagenes/NAUTICA_CLASSICS_117001128_LMS_3.jpg")</f>
        <v/>
      </c>
      <c r="O1077">
        <f>HYPERLINK("imagenes/NAUTICA_CLASSICS_117001128_LMS_1.jpg","Ver imagen")</f>
        <v/>
      </c>
      <c r="P1077">
        <f>HYPERLINK("imagenes/NAUTICA_CLASSICS_117001128_LMS_2.jpg","Ver imagen")</f>
        <v/>
      </c>
      <c r="Q1077">
        <f>HYPERLINK("imagenes/NAUTICA_CLASSICS_117001128_LMS_3.jpg","Ver imagen")</f>
        <v/>
      </c>
    </row>
    <row r="1078">
      <c r="A1078" t="inlineStr">
        <is>
          <t>NAUTICA CLASSICS</t>
        </is>
      </c>
      <c r="B1078" t="inlineStr">
        <is>
          <t>117001128</t>
        </is>
      </c>
      <c r="C1078" t="inlineStr">
        <is>
          <t>NAUTICA STRETCH PUFFER W/FUR LINED HOOD</t>
        </is>
      </c>
      <c r="D1078" t="inlineStr">
        <is>
          <t>LMS</t>
        </is>
      </c>
      <c r="E1078" t="inlineStr">
        <is>
          <t>(en blanco)</t>
        </is>
      </c>
      <c r="F1078" t="inlineStr">
        <is>
          <t>(en blanco)</t>
        </is>
      </c>
      <c r="G1078" t="inlineStr">
        <is>
          <t>XL</t>
        </is>
      </c>
      <c r="H1078" t="n">
        <v>11</v>
      </c>
      <c r="I1078" t="inlineStr">
        <is>
          <t>NAUTICA_CLASSICS_117001128_LMS_1.jpg</t>
        </is>
      </c>
      <c r="J1078" t="inlineStr">
        <is>
          <t>NAUTICA_CLASSICS_117001128_LMS_2.jpg</t>
        </is>
      </c>
      <c r="K1078" t="inlineStr">
        <is>
          <t>NAUTICA_CLASSICS_117001128_LMS_3.jpg</t>
        </is>
      </c>
      <c r="L1078">
        <f>IMAGE("file:///E:/Estudios%20y%20certificaciones/ESTUDIOS%20DE%20PROGRAMMING/PROGRAMMING/PERSONAL/PYTHON/Image_Generator_API/imagenes/NAUTICA_CLASSICS_117001128_LMS_1.jpg")</f>
        <v/>
      </c>
      <c r="M1078">
        <f>IMAGE("file:///E:/Estudios%20y%20certificaciones/ESTUDIOS%20DE%20PROGRAMMING/PROGRAMMING/PERSONAL/PYTHON/Image_Generator_API/imagenes/NAUTICA_CLASSICS_117001128_LMS_2.jpg")</f>
        <v/>
      </c>
      <c r="N1078">
        <f>IMAGE("file:///E:/Estudios%20y%20certificaciones/ESTUDIOS%20DE%20PROGRAMMING/PROGRAMMING/PERSONAL/PYTHON/Image_Generator_API/imagenes/NAUTICA_CLASSICS_117001128_LMS_3.jpg")</f>
        <v/>
      </c>
      <c r="O1078">
        <f>HYPERLINK("imagenes/NAUTICA_CLASSICS_117001128_LMS_1.jpg","Ver imagen")</f>
        <v/>
      </c>
      <c r="P1078">
        <f>HYPERLINK("imagenes/NAUTICA_CLASSICS_117001128_LMS_2.jpg","Ver imagen")</f>
        <v/>
      </c>
      <c r="Q1078">
        <f>HYPERLINK("imagenes/NAUTICA_CLASSICS_117001128_LMS_3.jpg","Ver imagen")</f>
        <v/>
      </c>
    </row>
    <row r="1079">
      <c r="A1079" t="inlineStr">
        <is>
          <t>NAUTICA CLASSICS</t>
        </is>
      </c>
      <c r="B1079" t="inlineStr">
        <is>
          <t>117001128</t>
        </is>
      </c>
      <c r="C1079" t="inlineStr">
        <is>
          <t>NAUTICA STRETCH PUFFER W/FUR LINED HOOD</t>
        </is>
      </c>
      <c r="D1079" t="inlineStr">
        <is>
          <t>LMS</t>
        </is>
      </c>
      <c r="E1079" t="inlineStr">
        <is>
          <t>(en blanco)</t>
        </is>
      </c>
      <c r="F1079" t="inlineStr">
        <is>
          <t>(en blanco)</t>
        </is>
      </c>
      <c r="G1079" t="inlineStr">
        <is>
          <t>XXL</t>
        </is>
      </c>
      <c r="H1079" t="n">
        <v>25</v>
      </c>
      <c r="I1079" t="inlineStr">
        <is>
          <t>NAUTICA_CLASSICS_117001128_LMS_1.jpg</t>
        </is>
      </c>
      <c r="J1079" t="inlineStr">
        <is>
          <t>NAUTICA_CLASSICS_117001128_LMS_2.jpg</t>
        </is>
      </c>
      <c r="K1079" t="inlineStr">
        <is>
          <t>NAUTICA_CLASSICS_117001128_LMS_3.jpg</t>
        </is>
      </c>
      <c r="L1079">
        <f>IMAGE("file:///E:/Estudios%20y%20certificaciones/ESTUDIOS%20DE%20PROGRAMMING/PROGRAMMING/PERSONAL/PYTHON/Image_Generator_API/imagenes/NAUTICA_CLASSICS_117001128_LMS_1.jpg")</f>
        <v/>
      </c>
      <c r="M1079">
        <f>IMAGE("file:///E:/Estudios%20y%20certificaciones/ESTUDIOS%20DE%20PROGRAMMING/PROGRAMMING/PERSONAL/PYTHON/Image_Generator_API/imagenes/NAUTICA_CLASSICS_117001128_LMS_2.jpg")</f>
        <v/>
      </c>
      <c r="N1079">
        <f>IMAGE("file:///E:/Estudios%20y%20certificaciones/ESTUDIOS%20DE%20PROGRAMMING/PROGRAMMING/PERSONAL/PYTHON/Image_Generator_API/imagenes/NAUTICA_CLASSICS_117001128_LMS_3.jpg")</f>
        <v/>
      </c>
      <c r="O1079">
        <f>HYPERLINK("imagenes/NAUTICA_CLASSICS_117001128_LMS_1.jpg","Ver imagen")</f>
        <v/>
      </c>
      <c r="P1079">
        <f>HYPERLINK("imagenes/NAUTICA_CLASSICS_117001128_LMS_2.jpg","Ver imagen")</f>
        <v/>
      </c>
      <c r="Q1079">
        <f>HYPERLINK("imagenes/NAUTICA_CLASSICS_117001128_LMS_3.jpg","Ver imagen")</f>
        <v/>
      </c>
    </row>
    <row r="1080">
      <c r="A1080" t="inlineStr">
        <is>
          <t>NAUTICA CLASSICS</t>
        </is>
      </c>
      <c r="B1080" t="inlineStr">
        <is>
          <t>117001128</t>
        </is>
      </c>
      <c r="C1080" t="inlineStr">
        <is>
          <t>NAUTICA STRETCH PUFFER W/FUR LINED HOOD</t>
        </is>
      </c>
      <c r="D1080" t="inlineStr">
        <is>
          <t>LMS</t>
        </is>
      </c>
      <c r="E1080" t="inlineStr">
        <is>
          <t>(en blanco)</t>
        </is>
      </c>
      <c r="F1080" t="inlineStr">
        <is>
          <t>(en blanco)</t>
        </is>
      </c>
      <c r="G1080" t="inlineStr">
        <is>
          <t>XXS</t>
        </is>
      </c>
      <c r="H1080" t="n">
        <v>41</v>
      </c>
      <c r="I1080" t="inlineStr">
        <is>
          <t>NAUTICA_CLASSICS_117001128_LMS_1.jpg</t>
        </is>
      </c>
      <c r="J1080" t="inlineStr">
        <is>
          <t>NAUTICA_CLASSICS_117001128_LMS_2.jpg</t>
        </is>
      </c>
      <c r="K1080" t="inlineStr">
        <is>
          <t>NAUTICA_CLASSICS_117001128_LMS_3.jpg</t>
        </is>
      </c>
      <c r="L1080">
        <f>IMAGE("file:///E:/Estudios%20y%20certificaciones/ESTUDIOS%20DE%20PROGRAMMING/PROGRAMMING/PERSONAL/PYTHON/Image_Generator_API/imagenes/NAUTICA_CLASSICS_117001128_LMS_1.jpg")</f>
        <v/>
      </c>
      <c r="M1080">
        <f>IMAGE("file:///E:/Estudios%20y%20certificaciones/ESTUDIOS%20DE%20PROGRAMMING/PROGRAMMING/PERSONAL/PYTHON/Image_Generator_API/imagenes/NAUTICA_CLASSICS_117001128_LMS_2.jpg")</f>
        <v/>
      </c>
      <c r="N1080">
        <f>IMAGE("file:///E:/Estudios%20y%20certificaciones/ESTUDIOS%20DE%20PROGRAMMING/PROGRAMMING/PERSONAL/PYTHON/Image_Generator_API/imagenes/NAUTICA_CLASSICS_117001128_LMS_3.jpg")</f>
        <v/>
      </c>
      <c r="O1080">
        <f>HYPERLINK("imagenes/NAUTICA_CLASSICS_117001128_LMS_1.jpg","Ver imagen")</f>
        <v/>
      </c>
      <c r="P1080">
        <f>HYPERLINK("imagenes/NAUTICA_CLASSICS_117001128_LMS_2.jpg","Ver imagen")</f>
        <v/>
      </c>
      <c r="Q1080">
        <f>HYPERLINK("imagenes/NAUTICA_CLASSICS_117001128_LMS_3.jpg","Ver imagen")</f>
        <v/>
      </c>
    </row>
    <row r="1081">
      <c r="A1081" t="inlineStr">
        <is>
          <t>NAUTICA CLASSICS</t>
        </is>
      </c>
      <c r="B1081" t="inlineStr">
        <is>
          <t>117001128</t>
        </is>
      </c>
      <c r="C1081" t="inlineStr">
        <is>
          <t>NAUTICA STRETCH PUFFER W/FUR LINED HOOD</t>
        </is>
      </c>
      <c r="D1081" t="inlineStr">
        <is>
          <t>NSS</t>
        </is>
      </c>
      <c r="E1081" t="inlineStr">
        <is>
          <t>(en blanco)</t>
        </is>
      </c>
      <c r="F1081" t="inlineStr">
        <is>
          <t>(en blanco)</t>
        </is>
      </c>
      <c r="G1081" t="inlineStr">
        <is>
          <t>XS</t>
        </is>
      </c>
      <c r="H1081" t="n">
        <v>0</v>
      </c>
      <c r="I1081" t="inlineStr">
        <is>
          <t>NAUTICA_CLASSICS_117001128_NSS_1.jpg</t>
        </is>
      </c>
      <c r="J1081" t="inlineStr">
        <is>
          <t>NAUTICA_CLASSICS_117001128_NSS_2.jpg</t>
        </is>
      </c>
      <c r="K1081" t="inlineStr">
        <is>
          <t>NAUTICA_CLASSICS_117001128_NSS_3.jpg</t>
        </is>
      </c>
      <c r="L1081">
        <f>IMAGE("file:///E:/Estudios%20y%20certificaciones/ESTUDIOS%20DE%20PROGRAMMING/PROGRAMMING/PERSONAL/PYTHON/Image_Generator_API/imagenes/NAUTICA_CLASSICS_117001128_NSS_1.jpg")</f>
        <v/>
      </c>
      <c r="M1081">
        <f>IMAGE("file:///E:/Estudios%20y%20certificaciones/ESTUDIOS%20DE%20PROGRAMMING/PROGRAMMING/PERSONAL/PYTHON/Image_Generator_API/imagenes/NAUTICA_CLASSICS_117001128_NSS_2.jpg")</f>
        <v/>
      </c>
      <c r="N1081">
        <f>IMAGE("file:///E:/Estudios%20y%20certificaciones/ESTUDIOS%20DE%20PROGRAMMING/PROGRAMMING/PERSONAL/PYTHON/Image_Generator_API/imagenes/NAUTICA_CLASSICS_117001128_NSS_3.jpg")</f>
        <v/>
      </c>
      <c r="O1081">
        <f>HYPERLINK("imagenes/NAUTICA_CLASSICS_117001128_NSS_1.jpg","Ver imagen")</f>
        <v/>
      </c>
      <c r="P1081">
        <f>HYPERLINK("imagenes/NAUTICA_CLASSICS_117001128_NSS_2.jpg","Ver imagen")</f>
        <v/>
      </c>
      <c r="Q1081">
        <f>HYPERLINK("imagenes/NAUTICA_CLASSICS_117001128_NSS_3.jpg","Ver imagen")</f>
        <v/>
      </c>
    </row>
    <row r="1082">
      <c r="A1082" t="inlineStr">
        <is>
          <t>NAUTICA CLASSICS</t>
        </is>
      </c>
      <c r="B1082" t="inlineStr">
        <is>
          <t>117001128</t>
        </is>
      </c>
      <c r="C1082" t="inlineStr">
        <is>
          <t>NAUTICA STRETCH PUFFER W/FUR LINED HOOD</t>
        </is>
      </c>
      <c r="D1082" t="inlineStr">
        <is>
          <t>NSS</t>
        </is>
      </c>
      <c r="E1082" t="inlineStr">
        <is>
          <t>(en blanco)</t>
        </is>
      </c>
      <c r="F1082" t="inlineStr">
        <is>
          <t>(en blanco)</t>
        </is>
      </c>
      <c r="G1082" t="inlineStr">
        <is>
          <t>XXS</t>
        </is>
      </c>
      <c r="H1082" t="n">
        <v>30</v>
      </c>
      <c r="I1082" t="inlineStr">
        <is>
          <t>NAUTICA_CLASSICS_117001128_NSS_1.jpg</t>
        </is>
      </c>
      <c r="J1082" t="inlineStr">
        <is>
          <t>NAUTICA_CLASSICS_117001128_NSS_2.jpg</t>
        </is>
      </c>
      <c r="K1082" t="inlineStr">
        <is>
          <t>NAUTICA_CLASSICS_117001128_NSS_3.jpg</t>
        </is>
      </c>
      <c r="L1082">
        <f>IMAGE("file:///E:/Estudios%20y%20certificaciones/ESTUDIOS%20DE%20PROGRAMMING/PROGRAMMING/PERSONAL/PYTHON/Image_Generator_API/imagenes/NAUTICA_CLASSICS_117001128_NSS_1.jpg")</f>
        <v/>
      </c>
      <c r="M1082">
        <f>IMAGE("file:///E:/Estudios%20y%20certificaciones/ESTUDIOS%20DE%20PROGRAMMING/PROGRAMMING/PERSONAL/PYTHON/Image_Generator_API/imagenes/NAUTICA_CLASSICS_117001128_NSS_2.jpg")</f>
        <v/>
      </c>
      <c r="N1082">
        <f>IMAGE("file:///E:/Estudios%20y%20certificaciones/ESTUDIOS%20DE%20PROGRAMMING/PROGRAMMING/PERSONAL/PYTHON/Image_Generator_API/imagenes/NAUTICA_CLASSICS_117001128_NSS_3.jpg")</f>
        <v/>
      </c>
      <c r="O1082">
        <f>HYPERLINK("imagenes/NAUTICA_CLASSICS_117001128_NSS_1.jpg","Ver imagen")</f>
        <v/>
      </c>
      <c r="P1082">
        <f>HYPERLINK("imagenes/NAUTICA_CLASSICS_117001128_NSS_2.jpg","Ver imagen")</f>
        <v/>
      </c>
      <c r="Q1082">
        <f>HYPERLINK("imagenes/NAUTICA_CLASSICS_117001128_NSS_3.jpg","Ver imagen")</f>
        <v/>
      </c>
    </row>
    <row r="1083">
      <c r="A1083" t="inlineStr">
        <is>
          <t>NAUTICA CLASSICS</t>
        </is>
      </c>
      <c r="B1083" t="inlineStr">
        <is>
          <t>117001128</t>
        </is>
      </c>
      <c r="C1083" t="inlineStr">
        <is>
          <t>NAUTICA STRETCH PUFFER W/FUR LINED HOOD</t>
        </is>
      </c>
      <c r="D1083" t="inlineStr">
        <is>
          <t>S8E</t>
        </is>
      </c>
      <c r="E1083" t="inlineStr">
        <is>
          <t>(en blanco)</t>
        </is>
      </c>
      <c r="F1083" t="inlineStr">
        <is>
          <t>(en blanco)</t>
        </is>
      </c>
      <c r="G1083" t="inlineStr">
        <is>
          <t>XXS</t>
        </is>
      </c>
      <c r="H1083" t="n">
        <v>1</v>
      </c>
      <c r="I1083" t="inlineStr">
        <is>
          <t>NAUTICA_CLASSICS_117001128_S8E_1.jpg</t>
        </is>
      </c>
      <c r="J1083" t="inlineStr">
        <is>
          <t>NAUTICA_CLASSICS_117001128_S8E_2.jpg</t>
        </is>
      </c>
      <c r="K1083" t="inlineStr">
        <is>
          <t>NAUTICA_CLASSICS_117001128_S8E_3.jpg</t>
        </is>
      </c>
      <c r="L1083">
        <f>IMAGE("file:///E:/Estudios%20y%20certificaciones/ESTUDIOS%20DE%20PROGRAMMING/PROGRAMMING/PERSONAL/PYTHON/Image_Generator_API/imagenes/NAUTICA_CLASSICS_117001128_S8E_1.jpg")</f>
        <v/>
      </c>
      <c r="M1083">
        <f>IMAGE("file:///E:/Estudios%20y%20certificaciones/ESTUDIOS%20DE%20PROGRAMMING/PROGRAMMING/PERSONAL/PYTHON/Image_Generator_API/imagenes/NAUTICA_CLASSICS_117001128_S8E_2.jpg")</f>
        <v/>
      </c>
      <c r="N1083">
        <f>IMAGE("file:///E:/Estudios%20y%20certificaciones/ESTUDIOS%20DE%20PROGRAMMING/PROGRAMMING/PERSONAL/PYTHON/Image_Generator_API/imagenes/NAUTICA_CLASSICS_117001128_S8E_3.jpg")</f>
        <v/>
      </c>
      <c r="O1083">
        <f>HYPERLINK("imagenes/NAUTICA_CLASSICS_117001128_S8E_1.jpg","Ver imagen")</f>
        <v/>
      </c>
      <c r="P1083">
        <f>HYPERLINK("imagenes/NAUTICA_CLASSICS_117001128_S8E_2.jpg","Ver imagen")</f>
        <v/>
      </c>
      <c r="Q1083">
        <f>HYPERLINK("imagenes/NAUTICA_CLASSICS_117001128_S8E_3.jpg","Ver imagen")</f>
        <v/>
      </c>
    </row>
    <row r="1084">
      <c r="A1084" t="inlineStr">
        <is>
          <t>NAUTICA CLASSICS</t>
        </is>
      </c>
      <c r="B1084" t="inlineStr">
        <is>
          <t>117001128</t>
        </is>
      </c>
      <c r="C1084" t="inlineStr">
        <is>
          <t>NAUTICA STRETCH PUFFER W/FUR LINED HOOD</t>
        </is>
      </c>
      <c r="D1084" t="inlineStr">
        <is>
          <t>SPQ</t>
        </is>
      </c>
      <c r="E1084" t="inlineStr">
        <is>
          <t>(en blanco)</t>
        </is>
      </c>
      <c r="F1084" t="inlineStr">
        <is>
          <t>(en blanco)</t>
        </is>
      </c>
      <c r="G1084" t="inlineStr">
        <is>
          <t>XS</t>
        </is>
      </c>
      <c r="H1084" t="n">
        <v>15</v>
      </c>
      <c r="I1084" t="inlineStr">
        <is>
          <t>NAUTICA_CLASSICS_117001128_SPQ_1.jpg</t>
        </is>
      </c>
      <c r="J1084" t="inlineStr">
        <is>
          <t>NAUTICA_CLASSICS_117001128_SPQ_2.jpg</t>
        </is>
      </c>
      <c r="K1084" t="inlineStr">
        <is>
          <t>NAUTICA_CLASSICS_117001128_SPQ_3.jpg</t>
        </is>
      </c>
      <c r="L1084">
        <f>IMAGE("file:///E:/Estudios%20y%20certificaciones/ESTUDIOS%20DE%20PROGRAMMING/PROGRAMMING/PERSONAL/PYTHON/Image_Generator_API/imagenes/NAUTICA_CLASSICS_117001128_SPQ_1.jpg")</f>
        <v/>
      </c>
      <c r="M1084">
        <f>IMAGE("file:///E:/Estudios%20y%20certificaciones/ESTUDIOS%20DE%20PROGRAMMING/PROGRAMMING/PERSONAL/PYTHON/Image_Generator_API/imagenes/NAUTICA_CLASSICS_117001128_SPQ_2.jpg")</f>
        <v/>
      </c>
      <c r="N1084">
        <f>IMAGE("file:///E:/Estudios%20y%20certificaciones/ESTUDIOS%20DE%20PROGRAMMING/PROGRAMMING/PERSONAL/PYTHON/Image_Generator_API/imagenes/NAUTICA_CLASSICS_117001128_SPQ_3.jpg")</f>
        <v/>
      </c>
      <c r="O1084">
        <f>HYPERLINK("imagenes/NAUTICA_CLASSICS_117001128_SPQ_1.jpg","Ver imagen")</f>
        <v/>
      </c>
      <c r="P1084">
        <f>HYPERLINK("imagenes/NAUTICA_CLASSICS_117001128_SPQ_2.jpg","Ver imagen")</f>
        <v/>
      </c>
      <c r="Q1084">
        <f>HYPERLINK("imagenes/NAUTICA_CLASSICS_117001128_SPQ_3.jpg","Ver imagen")</f>
        <v/>
      </c>
    </row>
    <row r="1085">
      <c r="A1085" t="inlineStr">
        <is>
          <t>NAUTICA CLASSICS</t>
        </is>
      </c>
      <c r="B1085" t="inlineStr">
        <is>
          <t>117001128</t>
        </is>
      </c>
      <c r="C1085" t="inlineStr">
        <is>
          <t>NAUTICA STRETCH PUFFER W/FUR LINED HOOD</t>
        </is>
      </c>
      <c r="D1085" t="inlineStr">
        <is>
          <t>SPQ</t>
        </is>
      </c>
      <c r="E1085" t="inlineStr">
        <is>
          <t>(en blanco)</t>
        </is>
      </c>
      <c r="F1085" t="inlineStr">
        <is>
          <t>(en blanco)</t>
        </is>
      </c>
      <c r="G1085" t="inlineStr">
        <is>
          <t>S</t>
        </is>
      </c>
      <c r="H1085" t="n">
        <v>16</v>
      </c>
      <c r="I1085" t="inlineStr">
        <is>
          <t>NAUTICA_CLASSICS_117001128_SPQ_1.jpg</t>
        </is>
      </c>
      <c r="J1085" t="inlineStr">
        <is>
          <t>NAUTICA_CLASSICS_117001128_SPQ_2.jpg</t>
        </is>
      </c>
      <c r="K1085" t="inlineStr">
        <is>
          <t>NAUTICA_CLASSICS_117001128_SPQ_3.jpg</t>
        </is>
      </c>
      <c r="L1085">
        <f>IMAGE("file:///E:/Estudios%20y%20certificaciones/ESTUDIOS%20DE%20PROGRAMMING/PROGRAMMING/PERSONAL/PYTHON/Image_Generator_API/imagenes/NAUTICA_CLASSICS_117001128_SPQ_1.jpg")</f>
        <v/>
      </c>
      <c r="M1085">
        <f>IMAGE("file:///E:/Estudios%20y%20certificaciones/ESTUDIOS%20DE%20PROGRAMMING/PROGRAMMING/PERSONAL/PYTHON/Image_Generator_API/imagenes/NAUTICA_CLASSICS_117001128_SPQ_2.jpg")</f>
        <v/>
      </c>
      <c r="N1085">
        <f>IMAGE("file:///E:/Estudios%20y%20certificaciones/ESTUDIOS%20DE%20PROGRAMMING/PROGRAMMING/PERSONAL/PYTHON/Image_Generator_API/imagenes/NAUTICA_CLASSICS_117001128_SPQ_3.jpg")</f>
        <v/>
      </c>
      <c r="O1085">
        <f>HYPERLINK("imagenes/NAUTICA_CLASSICS_117001128_SPQ_1.jpg","Ver imagen")</f>
        <v/>
      </c>
      <c r="P1085">
        <f>HYPERLINK("imagenes/NAUTICA_CLASSICS_117001128_SPQ_2.jpg","Ver imagen")</f>
        <v/>
      </c>
      <c r="Q1085">
        <f>HYPERLINK("imagenes/NAUTICA_CLASSICS_117001128_SPQ_3.jpg","Ver imagen")</f>
        <v/>
      </c>
    </row>
    <row r="1086">
      <c r="A1086" t="inlineStr">
        <is>
          <t>NAUTICA CLASSICS</t>
        </is>
      </c>
      <c r="B1086" t="inlineStr">
        <is>
          <t>117001128</t>
        </is>
      </c>
      <c r="C1086" t="inlineStr">
        <is>
          <t>NAUTICA STRETCH PUFFER W/FUR LINED HOOD</t>
        </is>
      </c>
      <c r="D1086" t="inlineStr">
        <is>
          <t>SPQ</t>
        </is>
      </c>
      <c r="E1086" t="inlineStr">
        <is>
          <t>(en blanco)</t>
        </is>
      </c>
      <c r="F1086" t="inlineStr">
        <is>
          <t>(en blanco)</t>
        </is>
      </c>
      <c r="G1086" t="inlineStr">
        <is>
          <t>M</t>
        </is>
      </c>
      <c r="H1086" t="n">
        <v>4</v>
      </c>
      <c r="I1086" t="inlineStr">
        <is>
          <t>NAUTICA_CLASSICS_117001128_SPQ_1.jpg</t>
        </is>
      </c>
      <c r="J1086" t="inlineStr">
        <is>
          <t>NAUTICA_CLASSICS_117001128_SPQ_2.jpg</t>
        </is>
      </c>
      <c r="K1086" t="inlineStr">
        <is>
          <t>NAUTICA_CLASSICS_117001128_SPQ_3.jpg</t>
        </is>
      </c>
      <c r="L1086">
        <f>IMAGE("file:///E:/Estudios%20y%20certificaciones/ESTUDIOS%20DE%20PROGRAMMING/PROGRAMMING/PERSONAL/PYTHON/Image_Generator_API/imagenes/NAUTICA_CLASSICS_117001128_SPQ_1.jpg")</f>
        <v/>
      </c>
      <c r="M1086">
        <f>IMAGE("file:///E:/Estudios%20y%20certificaciones/ESTUDIOS%20DE%20PROGRAMMING/PROGRAMMING/PERSONAL/PYTHON/Image_Generator_API/imagenes/NAUTICA_CLASSICS_117001128_SPQ_2.jpg")</f>
        <v/>
      </c>
      <c r="N1086">
        <f>IMAGE("file:///E:/Estudios%20y%20certificaciones/ESTUDIOS%20DE%20PROGRAMMING/PROGRAMMING/PERSONAL/PYTHON/Image_Generator_API/imagenes/NAUTICA_CLASSICS_117001128_SPQ_3.jpg")</f>
        <v/>
      </c>
      <c r="O1086">
        <f>HYPERLINK("imagenes/NAUTICA_CLASSICS_117001128_SPQ_1.jpg","Ver imagen")</f>
        <v/>
      </c>
      <c r="P1086">
        <f>HYPERLINK("imagenes/NAUTICA_CLASSICS_117001128_SPQ_2.jpg","Ver imagen")</f>
        <v/>
      </c>
      <c r="Q1086">
        <f>HYPERLINK("imagenes/NAUTICA_CLASSICS_117001128_SPQ_3.jpg","Ver imagen")</f>
        <v/>
      </c>
    </row>
    <row r="1087">
      <c r="A1087" t="inlineStr">
        <is>
          <t>NAUTICA CLASSICS</t>
        </is>
      </c>
      <c r="B1087" t="inlineStr">
        <is>
          <t>117001128</t>
        </is>
      </c>
      <c r="C1087" t="inlineStr">
        <is>
          <t>NAUTICA STRETCH PUFFER W/FUR LINED HOOD</t>
        </is>
      </c>
      <c r="D1087" t="inlineStr">
        <is>
          <t>SPQ</t>
        </is>
      </c>
      <c r="E1087" t="inlineStr">
        <is>
          <t>(en blanco)</t>
        </is>
      </c>
      <c r="F1087" t="inlineStr">
        <is>
          <t>(en blanco)</t>
        </is>
      </c>
      <c r="G1087" t="inlineStr">
        <is>
          <t>L</t>
        </is>
      </c>
      <c r="H1087" t="n">
        <v>7</v>
      </c>
      <c r="I1087" t="inlineStr">
        <is>
          <t>NAUTICA_CLASSICS_117001128_SPQ_1.jpg</t>
        </is>
      </c>
      <c r="J1087" t="inlineStr">
        <is>
          <t>NAUTICA_CLASSICS_117001128_SPQ_2.jpg</t>
        </is>
      </c>
      <c r="K1087" t="inlineStr">
        <is>
          <t>NAUTICA_CLASSICS_117001128_SPQ_3.jpg</t>
        </is>
      </c>
      <c r="L1087">
        <f>IMAGE("file:///E:/Estudios%20y%20certificaciones/ESTUDIOS%20DE%20PROGRAMMING/PROGRAMMING/PERSONAL/PYTHON/Image_Generator_API/imagenes/NAUTICA_CLASSICS_117001128_SPQ_1.jpg")</f>
        <v/>
      </c>
      <c r="M1087">
        <f>IMAGE("file:///E:/Estudios%20y%20certificaciones/ESTUDIOS%20DE%20PROGRAMMING/PROGRAMMING/PERSONAL/PYTHON/Image_Generator_API/imagenes/NAUTICA_CLASSICS_117001128_SPQ_2.jpg")</f>
        <v/>
      </c>
      <c r="N1087">
        <f>IMAGE("file:///E:/Estudios%20y%20certificaciones/ESTUDIOS%20DE%20PROGRAMMING/PROGRAMMING/PERSONAL/PYTHON/Image_Generator_API/imagenes/NAUTICA_CLASSICS_117001128_SPQ_3.jpg")</f>
        <v/>
      </c>
      <c r="O1087">
        <f>HYPERLINK("imagenes/NAUTICA_CLASSICS_117001128_SPQ_1.jpg","Ver imagen")</f>
        <v/>
      </c>
      <c r="P1087">
        <f>HYPERLINK("imagenes/NAUTICA_CLASSICS_117001128_SPQ_2.jpg","Ver imagen")</f>
        <v/>
      </c>
      <c r="Q1087">
        <f>HYPERLINK("imagenes/NAUTICA_CLASSICS_117001128_SPQ_3.jpg","Ver imagen")</f>
        <v/>
      </c>
    </row>
    <row r="1088">
      <c r="A1088" t="inlineStr">
        <is>
          <t>NAUTICA CLASSICS</t>
        </is>
      </c>
      <c r="B1088" t="inlineStr">
        <is>
          <t>117001128</t>
        </is>
      </c>
      <c r="C1088" t="inlineStr">
        <is>
          <t>NAUTICA STRETCH PUFFER W/FUR LINED HOOD</t>
        </is>
      </c>
      <c r="D1088" t="inlineStr">
        <is>
          <t>SPQ</t>
        </is>
      </c>
      <c r="E1088" t="inlineStr">
        <is>
          <t>(en blanco)</t>
        </is>
      </c>
      <c r="F1088" t="inlineStr">
        <is>
          <t>(en blanco)</t>
        </is>
      </c>
      <c r="G1088" t="inlineStr">
        <is>
          <t>XL</t>
        </is>
      </c>
      <c r="H1088" t="n">
        <v>1</v>
      </c>
      <c r="I1088" t="inlineStr">
        <is>
          <t>NAUTICA_CLASSICS_117001128_SPQ_1.jpg</t>
        </is>
      </c>
      <c r="J1088" t="inlineStr">
        <is>
          <t>NAUTICA_CLASSICS_117001128_SPQ_2.jpg</t>
        </is>
      </c>
      <c r="K1088" t="inlineStr">
        <is>
          <t>NAUTICA_CLASSICS_117001128_SPQ_3.jpg</t>
        </is>
      </c>
      <c r="L1088">
        <f>IMAGE("file:///E:/Estudios%20y%20certificaciones/ESTUDIOS%20DE%20PROGRAMMING/PROGRAMMING/PERSONAL/PYTHON/Image_Generator_API/imagenes/NAUTICA_CLASSICS_117001128_SPQ_1.jpg")</f>
        <v/>
      </c>
      <c r="M1088">
        <f>IMAGE("file:///E:/Estudios%20y%20certificaciones/ESTUDIOS%20DE%20PROGRAMMING/PROGRAMMING/PERSONAL/PYTHON/Image_Generator_API/imagenes/NAUTICA_CLASSICS_117001128_SPQ_2.jpg")</f>
        <v/>
      </c>
      <c r="N1088">
        <f>IMAGE("file:///E:/Estudios%20y%20certificaciones/ESTUDIOS%20DE%20PROGRAMMING/PROGRAMMING/PERSONAL/PYTHON/Image_Generator_API/imagenes/NAUTICA_CLASSICS_117001128_SPQ_3.jpg")</f>
        <v/>
      </c>
      <c r="O1088">
        <f>HYPERLINK("imagenes/NAUTICA_CLASSICS_117001128_SPQ_1.jpg","Ver imagen")</f>
        <v/>
      </c>
      <c r="P1088">
        <f>HYPERLINK("imagenes/NAUTICA_CLASSICS_117001128_SPQ_2.jpg","Ver imagen")</f>
        <v/>
      </c>
      <c r="Q1088">
        <f>HYPERLINK("imagenes/NAUTICA_CLASSICS_117001128_SPQ_3.jpg","Ver imagen")</f>
        <v/>
      </c>
    </row>
    <row r="1089">
      <c r="A1089" t="inlineStr">
        <is>
          <t>NAUTICA CLASSICS</t>
        </is>
      </c>
      <c r="B1089" t="inlineStr">
        <is>
          <t>117001128</t>
        </is>
      </c>
      <c r="C1089" t="inlineStr">
        <is>
          <t>NAUTICA STRETCH PUFFER W/FUR LINED HOOD</t>
        </is>
      </c>
      <c r="D1089" t="inlineStr">
        <is>
          <t>SPQ</t>
        </is>
      </c>
      <c r="E1089" t="inlineStr">
        <is>
          <t>(en blanco)</t>
        </is>
      </c>
      <c r="F1089" t="inlineStr">
        <is>
          <t>(en blanco)</t>
        </is>
      </c>
      <c r="G1089" t="inlineStr">
        <is>
          <t>XXS</t>
        </is>
      </c>
      <c r="H1089" t="n">
        <v>57</v>
      </c>
      <c r="I1089" t="inlineStr">
        <is>
          <t>NAUTICA_CLASSICS_117001128_SPQ_1.jpg</t>
        </is>
      </c>
      <c r="J1089" t="inlineStr">
        <is>
          <t>NAUTICA_CLASSICS_117001128_SPQ_2.jpg</t>
        </is>
      </c>
      <c r="K1089" t="inlineStr">
        <is>
          <t>NAUTICA_CLASSICS_117001128_SPQ_3.jpg</t>
        </is>
      </c>
      <c r="L1089">
        <f>IMAGE("file:///E:/Estudios%20y%20certificaciones/ESTUDIOS%20DE%20PROGRAMMING/PROGRAMMING/PERSONAL/PYTHON/Image_Generator_API/imagenes/NAUTICA_CLASSICS_117001128_SPQ_1.jpg")</f>
        <v/>
      </c>
      <c r="M1089">
        <f>IMAGE("file:///E:/Estudios%20y%20certificaciones/ESTUDIOS%20DE%20PROGRAMMING/PROGRAMMING/PERSONAL/PYTHON/Image_Generator_API/imagenes/NAUTICA_CLASSICS_117001128_SPQ_2.jpg")</f>
        <v/>
      </c>
      <c r="N1089">
        <f>IMAGE("file:///E:/Estudios%20y%20certificaciones/ESTUDIOS%20DE%20PROGRAMMING/PROGRAMMING/PERSONAL/PYTHON/Image_Generator_API/imagenes/NAUTICA_CLASSICS_117001128_SPQ_3.jpg")</f>
        <v/>
      </c>
      <c r="O1089">
        <f>HYPERLINK("imagenes/NAUTICA_CLASSICS_117001128_SPQ_1.jpg","Ver imagen")</f>
        <v/>
      </c>
      <c r="P1089">
        <f>HYPERLINK("imagenes/NAUTICA_CLASSICS_117001128_SPQ_2.jpg","Ver imagen")</f>
        <v/>
      </c>
      <c r="Q1089">
        <f>HYPERLINK("imagenes/NAUTICA_CLASSICS_117001128_SPQ_3.jpg","Ver imagen")</f>
        <v/>
      </c>
    </row>
    <row r="1090">
      <c r="A1090" t="inlineStr">
        <is>
          <t>NAUTICA CLASSICS</t>
        </is>
      </c>
      <c r="B1090" t="inlineStr">
        <is>
          <t>117001173</t>
        </is>
      </c>
      <c r="C1090" t="inlineStr">
        <is>
          <t>NAUTICA RAIN</t>
        </is>
      </c>
      <c r="D1090" t="inlineStr">
        <is>
          <t>BLK</t>
        </is>
      </c>
      <c r="E1090" t="inlineStr">
        <is>
          <t>(en blanco)</t>
        </is>
      </c>
      <c r="F1090" t="inlineStr">
        <is>
          <t>(en blanco)</t>
        </is>
      </c>
      <c r="G1090" t="inlineStr">
        <is>
          <t>S</t>
        </is>
      </c>
      <c r="H1090" t="n">
        <v>5</v>
      </c>
      <c r="I1090" t="inlineStr">
        <is>
          <t>NAUTICA_CLASSICS_117001173_BLK_1.jpg</t>
        </is>
      </c>
      <c r="J1090" t="inlineStr">
        <is>
          <t>NAUTICA_CLASSICS_117001173_BLK_2.jpg</t>
        </is>
      </c>
      <c r="K1090" t="inlineStr">
        <is>
          <t>NAUTICA_CLASSICS_117001173_BLK_3.jpg</t>
        </is>
      </c>
      <c r="L1090">
        <f>IMAGE("file:///E:/Estudios%20y%20certificaciones/ESTUDIOS%20DE%20PROGRAMMING/PROGRAMMING/PERSONAL/PYTHON/Image_Generator_API/imagenes/NAUTICA_CLASSICS_117001173_BLK_1.jpg")</f>
        <v/>
      </c>
      <c r="M1090">
        <f>IMAGE("file:///E:/Estudios%20y%20certificaciones/ESTUDIOS%20DE%20PROGRAMMING/PROGRAMMING/PERSONAL/PYTHON/Image_Generator_API/imagenes/NAUTICA_CLASSICS_117001173_BLK_2.jpg")</f>
        <v/>
      </c>
      <c r="N1090">
        <f>IMAGE("file:///E:/Estudios%20y%20certificaciones/ESTUDIOS%20DE%20PROGRAMMING/PROGRAMMING/PERSONAL/PYTHON/Image_Generator_API/imagenes/NAUTICA_CLASSICS_117001173_BLK_3.jpg")</f>
        <v/>
      </c>
      <c r="O1090">
        <f>HYPERLINK("imagenes/NAUTICA_CLASSICS_117001173_BLK_1.jpg","Ver imagen")</f>
        <v/>
      </c>
      <c r="P1090">
        <f>HYPERLINK("imagenes/NAUTICA_CLASSICS_117001173_BLK_2.jpg","Ver imagen")</f>
        <v/>
      </c>
      <c r="Q1090">
        <f>HYPERLINK("imagenes/NAUTICA_CLASSICS_117001173_BLK_3.jpg","Ver imagen")</f>
        <v/>
      </c>
    </row>
    <row r="1091">
      <c r="A1091" t="inlineStr">
        <is>
          <t>NAUTICA CLASSICS</t>
        </is>
      </c>
      <c r="B1091" t="inlineStr">
        <is>
          <t>117001173</t>
        </is>
      </c>
      <c r="C1091" t="inlineStr">
        <is>
          <t>NAUTICA RAIN</t>
        </is>
      </c>
      <c r="D1091" t="inlineStr">
        <is>
          <t>BLK</t>
        </is>
      </c>
      <c r="E1091" t="inlineStr">
        <is>
          <t>(en blanco)</t>
        </is>
      </c>
      <c r="F1091" t="inlineStr">
        <is>
          <t>(en blanco)</t>
        </is>
      </c>
      <c r="G1091" t="inlineStr">
        <is>
          <t>M</t>
        </is>
      </c>
      <c r="H1091" t="n">
        <v>3</v>
      </c>
      <c r="I1091" t="inlineStr">
        <is>
          <t>NAUTICA_CLASSICS_117001173_BLK_1.jpg</t>
        </is>
      </c>
      <c r="J1091" t="inlineStr">
        <is>
          <t>NAUTICA_CLASSICS_117001173_BLK_2.jpg</t>
        </is>
      </c>
      <c r="K1091" t="inlineStr">
        <is>
          <t>NAUTICA_CLASSICS_117001173_BLK_3.jpg</t>
        </is>
      </c>
      <c r="L1091">
        <f>IMAGE("file:///E:/Estudios%20y%20certificaciones/ESTUDIOS%20DE%20PROGRAMMING/PROGRAMMING/PERSONAL/PYTHON/Image_Generator_API/imagenes/NAUTICA_CLASSICS_117001173_BLK_1.jpg")</f>
        <v/>
      </c>
      <c r="M1091">
        <f>IMAGE("file:///E:/Estudios%20y%20certificaciones/ESTUDIOS%20DE%20PROGRAMMING/PROGRAMMING/PERSONAL/PYTHON/Image_Generator_API/imagenes/NAUTICA_CLASSICS_117001173_BLK_2.jpg")</f>
        <v/>
      </c>
      <c r="N1091">
        <f>IMAGE("file:///E:/Estudios%20y%20certificaciones/ESTUDIOS%20DE%20PROGRAMMING/PROGRAMMING/PERSONAL/PYTHON/Image_Generator_API/imagenes/NAUTICA_CLASSICS_117001173_BLK_3.jpg")</f>
        <v/>
      </c>
      <c r="O1091">
        <f>HYPERLINK("imagenes/NAUTICA_CLASSICS_117001173_BLK_1.jpg","Ver imagen")</f>
        <v/>
      </c>
      <c r="P1091">
        <f>HYPERLINK("imagenes/NAUTICA_CLASSICS_117001173_BLK_2.jpg","Ver imagen")</f>
        <v/>
      </c>
      <c r="Q1091">
        <f>HYPERLINK("imagenes/NAUTICA_CLASSICS_117001173_BLK_3.jpg","Ver imagen")</f>
        <v/>
      </c>
    </row>
    <row r="1092">
      <c r="A1092" t="inlineStr">
        <is>
          <t>NAUTICA CLASSICS</t>
        </is>
      </c>
      <c r="B1092" t="inlineStr">
        <is>
          <t>117001173</t>
        </is>
      </c>
      <c r="C1092" t="inlineStr">
        <is>
          <t>NAUTICA RAIN</t>
        </is>
      </c>
      <c r="D1092" t="inlineStr">
        <is>
          <t>BLK</t>
        </is>
      </c>
      <c r="E1092" t="inlineStr">
        <is>
          <t>(en blanco)</t>
        </is>
      </c>
      <c r="F1092" t="inlineStr">
        <is>
          <t>(en blanco)</t>
        </is>
      </c>
      <c r="G1092" t="inlineStr">
        <is>
          <t>L</t>
        </is>
      </c>
      <c r="H1092" t="n">
        <v>1</v>
      </c>
      <c r="I1092" t="inlineStr">
        <is>
          <t>NAUTICA_CLASSICS_117001173_BLK_1.jpg</t>
        </is>
      </c>
      <c r="J1092" t="inlineStr">
        <is>
          <t>NAUTICA_CLASSICS_117001173_BLK_2.jpg</t>
        </is>
      </c>
      <c r="K1092" t="inlineStr">
        <is>
          <t>NAUTICA_CLASSICS_117001173_BLK_3.jpg</t>
        </is>
      </c>
      <c r="L1092">
        <f>IMAGE("file:///E:/Estudios%20y%20certificaciones/ESTUDIOS%20DE%20PROGRAMMING/PROGRAMMING/PERSONAL/PYTHON/Image_Generator_API/imagenes/NAUTICA_CLASSICS_117001173_BLK_1.jpg")</f>
        <v/>
      </c>
      <c r="M1092">
        <f>IMAGE("file:///E:/Estudios%20y%20certificaciones/ESTUDIOS%20DE%20PROGRAMMING/PROGRAMMING/PERSONAL/PYTHON/Image_Generator_API/imagenes/NAUTICA_CLASSICS_117001173_BLK_2.jpg")</f>
        <v/>
      </c>
      <c r="N1092">
        <f>IMAGE("file:///E:/Estudios%20y%20certificaciones/ESTUDIOS%20DE%20PROGRAMMING/PROGRAMMING/PERSONAL/PYTHON/Image_Generator_API/imagenes/NAUTICA_CLASSICS_117001173_BLK_3.jpg")</f>
        <v/>
      </c>
      <c r="O1092">
        <f>HYPERLINK("imagenes/NAUTICA_CLASSICS_117001173_BLK_1.jpg","Ver imagen")</f>
        <v/>
      </c>
      <c r="P1092">
        <f>HYPERLINK("imagenes/NAUTICA_CLASSICS_117001173_BLK_2.jpg","Ver imagen")</f>
        <v/>
      </c>
      <c r="Q1092">
        <f>HYPERLINK("imagenes/NAUTICA_CLASSICS_117001173_BLK_3.jpg","Ver imagen")</f>
        <v/>
      </c>
    </row>
    <row r="1093">
      <c r="A1093" t="inlineStr">
        <is>
          <t>NAUTICA CLASSICS</t>
        </is>
      </c>
      <c r="B1093" t="inlineStr">
        <is>
          <t>117001253</t>
        </is>
      </c>
      <c r="C1093" t="inlineStr">
        <is>
          <t>NEW VAPOR</t>
        </is>
      </c>
      <c r="D1093" t="inlineStr">
        <is>
          <t>B4K</t>
        </is>
      </c>
      <c r="E1093" t="inlineStr">
        <is>
          <t>08A05</t>
        </is>
      </c>
      <c r="F1093" t="inlineStr">
        <is>
          <t>(en blanco)</t>
        </is>
      </c>
      <c r="G1093" t="inlineStr">
        <is>
          <t>PPK</t>
        </is>
      </c>
      <c r="H1093" t="n">
        <v>760</v>
      </c>
      <c r="I1093" t="inlineStr">
        <is>
          <t>NAUTICA_CLASSICS_117001253_B4K_1.jpg</t>
        </is>
      </c>
      <c r="J1093" t="inlineStr">
        <is>
          <t>NAUTICA_CLASSICS_117001253_B4K_2.jpg</t>
        </is>
      </c>
      <c r="K1093" t="inlineStr">
        <is>
          <t>NAUTICA_CLASSICS_117001253_B4K_3.jpg</t>
        </is>
      </c>
      <c r="L1093">
        <f>IMAGE("file:///E:/Estudios%20y%20certificaciones/ESTUDIOS%20DE%20PROGRAMMING/PROGRAMMING/PERSONAL/PYTHON/Image_Generator_API/imagenes/NAUTICA_CLASSICS_117001253_B4K_1.jpg")</f>
        <v/>
      </c>
      <c r="M1093">
        <f>IMAGE("file:///E:/Estudios%20y%20certificaciones/ESTUDIOS%20DE%20PROGRAMMING/PROGRAMMING/PERSONAL/PYTHON/Image_Generator_API/imagenes/NAUTICA_CLASSICS_117001253_B4K_2.jpg")</f>
        <v/>
      </c>
      <c r="N1093">
        <f>IMAGE("file:///E:/Estudios%20y%20certificaciones/ESTUDIOS%20DE%20PROGRAMMING/PROGRAMMING/PERSONAL/PYTHON/Image_Generator_API/imagenes/NAUTICA_CLASSICS_117001253_B4K_3.jpg")</f>
        <v/>
      </c>
      <c r="O1093">
        <f>HYPERLINK("imagenes/NAUTICA_CLASSICS_117001253_B4K_1.jpg","Ver imagen")</f>
        <v/>
      </c>
      <c r="P1093">
        <f>HYPERLINK("imagenes/NAUTICA_CLASSICS_117001253_B4K_2.jpg","Ver imagen")</f>
        <v/>
      </c>
      <c r="Q1093">
        <f>HYPERLINK("imagenes/NAUTICA_CLASSICS_117001253_B4K_3.jpg","Ver imagen")</f>
        <v/>
      </c>
    </row>
    <row r="1094">
      <c r="A1094" t="inlineStr">
        <is>
          <t>NAUTICA CLASSICS</t>
        </is>
      </c>
      <c r="B1094" t="inlineStr">
        <is>
          <t>117001253</t>
        </is>
      </c>
      <c r="C1094" t="inlineStr">
        <is>
          <t>NEW VAPOR</t>
        </is>
      </c>
      <c r="D1094" t="inlineStr">
        <is>
          <t>B4K</t>
        </is>
      </c>
      <c r="E1094" t="inlineStr">
        <is>
          <t>(en blanco)</t>
        </is>
      </c>
      <c r="F1094" t="inlineStr">
        <is>
          <t>D2C</t>
        </is>
      </c>
      <c r="G1094" t="inlineStr">
        <is>
          <t>XS</t>
        </is>
      </c>
      <c r="H1094" t="n">
        <v>1</v>
      </c>
      <c r="I1094" t="inlineStr">
        <is>
          <t>NAUTICA_CLASSICS_117001253_B4K_1.jpg</t>
        </is>
      </c>
      <c r="J1094" t="inlineStr">
        <is>
          <t>NAUTICA_CLASSICS_117001253_B4K_2.jpg</t>
        </is>
      </c>
      <c r="K1094" t="inlineStr">
        <is>
          <t>NAUTICA_CLASSICS_117001253_B4K_3.jpg</t>
        </is>
      </c>
      <c r="L1094">
        <f>IMAGE("file:///E:/Estudios%20y%20certificaciones/ESTUDIOS%20DE%20PROGRAMMING/PROGRAMMING/PERSONAL/PYTHON/Image_Generator_API/imagenes/NAUTICA_CLASSICS_117001253_B4K_1.jpg")</f>
        <v/>
      </c>
      <c r="M1094">
        <f>IMAGE("file:///E:/Estudios%20y%20certificaciones/ESTUDIOS%20DE%20PROGRAMMING/PROGRAMMING/PERSONAL/PYTHON/Image_Generator_API/imagenes/NAUTICA_CLASSICS_117001253_B4K_2.jpg")</f>
        <v/>
      </c>
      <c r="N1094">
        <f>IMAGE("file:///E:/Estudios%20y%20certificaciones/ESTUDIOS%20DE%20PROGRAMMING/PROGRAMMING/PERSONAL/PYTHON/Image_Generator_API/imagenes/NAUTICA_CLASSICS_117001253_B4K_3.jpg")</f>
        <v/>
      </c>
      <c r="O1094">
        <f>HYPERLINK("imagenes/NAUTICA_CLASSICS_117001253_B4K_1.jpg","Ver imagen")</f>
        <v/>
      </c>
      <c r="P1094">
        <f>HYPERLINK("imagenes/NAUTICA_CLASSICS_117001253_B4K_2.jpg","Ver imagen")</f>
        <v/>
      </c>
      <c r="Q1094">
        <f>HYPERLINK("imagenes/NAUTICA_CLASSICS_117001253_B4K_3.jpg","Ver imagen")</f>
        <v/>
      </c>
    </row>
    <row r="1095">
      <c r="A1095" t="inlineStr">
        <is>
          <t>NAUTICA CLASSICS</t>
        </is>
      </c>
      <c r="B1095" t="inlineStr">
        <is>
          <t>117001253</t>
        </is>
      </c>
      <c r="C1095" t="inlineStr">
        <is>
          <t>NEW VAPOR</t>
        </is>
      </c>
      <c r="D1095" t="inlineStr">
        <is>
          <t>B4K</t>
        </is>
      </c>
      <c r="E1095" t="inlineStr">
        <is>
          <t>(en blanco)</t>
        </is>
      </c>
      <c r="F1095" t="inlineStr">
        <is>
          <t>D2C</t>
        </is>
      </c>
      <c r="G1095" t="inlineStr">
        <is>
          <t>S</t>
        </is>
      </c>
      <c r="H1095" t="n">
        <v>11</v>
      </c>
      <c r="I1095" t="inlineStr">
        <is>
          <t>NAUTICA_CLASSICS_117001253_B4K_1.jpg</t>
        </is>
      </c>
      <c r="J1095" t="inlineStr">
        <is>
          <t>NAUTICA_CLASSICS_117001253_B4K_2.jpg</t>
        </is>
      </c>
      <c r="K1095" t="inlineStr">
        <is>
          <t>NAUTICA_CLASSICS_117001253_B4K_3.jpg</t>
        </is>
      </c>
      <c r="L1095">
        <f>IMAGE("file:///E:/Estudios%20y%20certificaciones/ESTUDIOS%20DE%20PROGRAMMING/PROGRAMMING/PERSONAL/PYTHON/Image_Generator_API/imagenes/NAUTICA_CLASSICS_117001253_B4K_1.jpg")</f>
        <v/>
      </c>
      <c r="M1095">
        <f>IMAGE("file:///E:/Estudios%20y%20certificaciones/ESTUDIOS%20DE%20PROGRAMMING/PROGRAMMING/PERSONAL/PYTHON/Image_Generator_API/imagenes/NAUTICA_CLASSICS_117001253_B4K_2.jpg")</f>
        <v/>
      </c>
      <c r="N1095">
        <f>IMAGE("file:///E:/Estudios%20y%20certificaciones/ESTUDIOS%20DE%20PROGRAMMING/PROGRAMMING/PERSONAL/PYTHON/Image_Generator_API/imagenes/NAUTICA_CLASSICS_117001253_B4K_3.jpg")</f>
        <v/>
      </c>
      <c r="O1095">
        <f>HYPERLINK("imagenes/NAUTICA_CLASSICS_117001253_B4K_1.jpg","Ver imagen")</f>
        <v/>
      </c>
      <c r="P1095">
        <f>HYPERLINK("imagenes/NAUTICA_CLASSICS_117001253_B4K_2.jpg","Ver imagen")</f>
        <v/>
      </c>
      <c r="Q1095">
        <f>HYPERLINK("imagenes/NAUTICA_CLASSICS_117001253_B4K_3.jpg","Ver imagen")</f>
        <v/>
      </c>
    </row>
    <row r="1096">
      <c r="A1096" t="inlineStr">
        <is>
          <t>NAUTICA CLASSICS</t>
        </is>
      </c>
      <c r="B1096" t="inlineStr">
        <is>
          <t>117001253</t>
        </is>
      </c>
      <c r="C1096" t="inlineStr">
        <is>
          <t>NEW VAPOR</t>
        </is>
      </c>
      <c r="D1096" t="inlineStr">
        <is>
          <t>B4K</t>
        </is>
      </c>
      <c r="E1096" t="inlineStr">
        <is>
          <t>(en blanco)</t>
        </is>
      </c>
      <c r="F1096" t="inlineStr">
        <is>
          <t>D2C</t>
        </is>
      </c>
      <c r="G1096" t="inlineStr">
        <is>
          <t>M</t>
        </is>
      </c>
      <c r="H1096" t="n">
        <v>3</v>
      </c>
      <c r="I1096" t="inlineStr">
        <is>
          <t>NAUTICA_CLASSICS_117001253_B4K_1.jpg</t>
        </is>
      </c>
      <c r="J1096" t="inlineStr">
        <is>
          <t>NAUTICA_CLASSICS_117001253_B4K_2.jpg</t>
        </is>
      </c>
      <c r="K1096" t="inlineStr">
        <is>
          <t>NAUTICA_CLASSICS_117001253_B4K_3.jpg</t>
        </is>
      </c>
      <c r="L1096">
        <f>IMAGE("file:///E:/Estudios%20y%20certificaciones/ESTUDIOS%20DE%20PROGRAMMING/PROGRAMMING/PERSONAL/PYTHON/Image_Generator_API/imagenes/NAUTICA_CLASSICS_117001253_B4K_1.jpg")</f>
        <v/>
      </c>
      <c r="M1096">
        <f>IMAGE("file:///E:/Estudios%20y%20certificaciones/ESTUDIOS%20DE%20PROGRAMMING/PROGRAMMING/PERSONAL/PYTHON/Image_Generator_API/imagenes/NAUTICA_CLASSICS_117001253_B4K_2.jpg")</f>
        <v/>
      </c>
      <c r="N1096">
        <f>IMAGE("file:///E:/Estudios%20y%20certificaciones/ESTUDIOS%20DE%20PROGRAMMING/PROGRAMMING/PERSONAL/PYTHON/Image_Generator_API/imagenes/NAUTICA_CLASSICS_117001253_B4K_3.jpg")</f>
        <v/>
      </c>
      <c r="O1096">
        <f>HYPERLINK("imagenes/NAUTICA_CLASSICS_117001253_B4K_1.jpg","Ver imagen")</f>
        <v/>
      </c>
      <c r="P1096">
        <f>HYPERLINK("imagenes/NAUTICA_CLASSICS_117001253_B4K_2.jpg","Ver imagen")</f>
        <v/>
      </c>
      <c r="Q1096">
        <f>HYPERLINK("imagenes/NAUTICA_CLASSICS_117001253_B4K_3.jpg","Ver imagen")</f>
        <v/>
      </c>
    </row>
    <row r="1097">
      <c r="A1097" t="inlineStr">
        <is>
          <t>NAUTICA CLASSICS</t>
        </is>
      </c>
      <c r="B1097" t="inlineStr">
        <is>
          <t>117001253</t>
        </is>
      </c>
      <c r="C1097" t="inlineStr">
        <is>
          <t>NEW VAPOR</t>
        </is>
      </c>
      <c r="D1097" t="inlineStr">
        <is>
          <t>B4K</t>
        </is>
      </c>
      <c r="E1097" t="inlineStr">
        <is>
          <t>(en blanco)</t>
        </is>
      </c>
      <c r="F1097" t="inlineStr">
        <is>
          <t>D2C</t>
        </is>
      </c>
      <c r="G1097" t="inlineStr">
        <is>
          <t>L</t>
        </is>
      </c>
      <c r="H1097" t="n">
        <v>7</v>
      </c>
      <c r="I1097" t="inlineStr">
        <is>
          <t>NAUTICA_CLASSICS_117001253_B4K_1.jpg</t>
        </is>
      </c>
      <c r="J1097" t="inlineStr">
        <is>
          <t>NAUTICA_CLASSICS_117001253_B4K_2.jpg</t>
        </is>
      </c>
      <c r="K1097" t="inlineStr">
        <is>
          <t>NAUTICA_CLASSICS_117001253_B4K_3.jpg</t>
        </is>
      </c>
      <c r="L1097">
        <f>IMAGE("file:///E:/Estudios%20y%20certificaciones/ESTUDIOS%20DE%20PROGRAMMING/PROGRAMMING/PERSONAL/PYTHON/Image_Generator_API/imagenes/NAUTICA_CLASSICS_117001253_B4K_1.jpg")</f>
        <v/>
      </c>
      <c r="M1097">
        <f>IMAGE("file:///E:/Estudios%20y%20certificaciones/ESTUDIOS%20DE%20PROGRAMMING/PROGRAMMING/PERSONAL/PYTHON/Image_Generator_API/imagenes/NAUTICA_CLASSICS_117001253_B4K_2.jpg")</f>
        <v/>
      </c>
      <c r="N1097">
        <f>IMAGE("file:///E:/Estudios%20y%20certificaciones/ESTUDIOS%20DE%20PROGRAMMING/PROGRAMMING/PERSONAL/PYTHON/Image_Generator_API/imagenes/NAUTICA_CLASSICS_117001253_B4K_3.jpg")</f>
        <v/>
      </c>
      <c r="O1097">
        <f>HYPERLINK("imagenes/NAUTICA_CLASSICS_117001253_B4K_1.jpg","Ver imagen")</f>
        <v/>
      </c>
      <c r="P1097">
        <f>HYPERLINK("imagenes/NAUTICA_CLASSICS_117001253_B4K_2.jpg","Ver imagen")</f>
        <v/>
      </c>
      <c r="Q1097">
        <f>HYPERLINK("imagenes/NAUTICA_CLASSICS_117001253_B4K_3.jpg","Ver imagen")</f>
        <v/>
      </c>
    </row>
    <row r="1098">
      <c r="A1098" t="inlineStr">
        <is>
          <t>NAUTICA CLASSICS</t>
        </is>
      </c>
      <c r="B1098" t="inlineStr">
        <is>
          <t>117001253</t>
        </is>
      </c>
      <c r="C1098" t="inlineStr">
        <is>
          <t>NEW VAPOR</t>
        </is>
      </c>
      <c r="D1098" t="inlineStr">
        <is>
          <t>B4K</t>
        </is>
      </c>
      <c r="E1098" t="inlineStr">
        <is>
          <t>(en blanco)</t>
        </is>
      </c>
      <c r="F1098" t="inlineStr">
        <is>
          <t>D2C</t>
        </is>
      </c>
      <c r="G1098" t="inlineStr">
        <is>
          <t>XL</t>
        </is>
      </c>
      <c r="H1098" t="n">
        <v>0</v>
      </c>
      <c r="I1098" t="inlineStr">
        <is>
          <t>NAUTICA_CLASSICS_117001253_B4K_1.jpg</t>
        </is>
      </c>
      <c r="J1098" t="inlineStr">
        <is>
          <t>NAUTICA_CLASSICS_117001253_B4K_2.jpg</t>
        </is>
      </c>
      <c r="K1098" t="inlineStr">
        <is>
          <t>NAUTICA_CLASSICS_117001253_B4K_3.jpg</t>
        </is>
      </c>
      <c r="L1098">
        <f>IMAGE("file:///E:/Estudios%20y%20certificaciones/ESTUDIOS%20DE%20PROGRAMMING/PROGRAMMING/PERSONAL/PYTHON/Image_Generator_API/imagenes/NAUTICA_CLASSICS_117001253_B4K_1.jpg")</f>
        <v/>
      </c>
      <c r="M1098">
        <f>IMAGE("file:///E:/Estudios%20y%20certificaciones/ESTUDIOS%20DE%20PROGRAMMING/PROGRAMMING/PERSONAL/PYTHON/Image_Generator_API/imagenes/NAUTICA_CLASSICS_117001253_B4K_2.jpg")</f>
        <v/>
      </c>
      <c r="N1098">
        <f>IMAGE("file:///E:/Estudios%20y%20certificaciones/ESTUDIOS%20DE%20PROGRAMMING/PROGRAMMING/PERSONAL/PYTHON/Image_Generator_API/imagenes/NAUTICA_CLASSICS_117001253_B4K_3.jpg")</f>
        <v/>
      </c>
      <c r="O1098">
        <f>HYPERLINK("imagenes/NAUTICA_CLASSICS_117001253_B4K_1.jpg","Ver imagen")</f>
        <v/>
      </c>
      <c r="P1098">
        <f>HYPERLINK("imagenes/NAUTICA_CLASSICS_117001253_B4K_2.jpg","Ver imagen")</f>
        <v/>
      </c>
      <c r="Q1098">
        <f>HYPERLINK("imagenes/NAUTICA_CLASSICS_117001253_B4K_3.jpg","Ver imagen")</f>
        <v/>
      </c>
    </row>
    <row r="1099">
      <c r="A1099" t="inlineStr">
        <is>
          <t>NAUTICA CLASSICS</t>
        </is>
      </c>
      <c r="B1099" t="inlineStr">
        <is>
          <t>117001253</t>
        </is>
      </c>
      <c r="C1099" t="inlineStr">
        <is>
          <t>NEW VAPOR</t>
        </is>
      </c>
      <c r="D1099" t="inlineStr">
        <is>
          <t>BLK</t>
        </is>
      </c>
      <c r="E1099" t="inlineStr">
        <is>
          <t>08A05</t>
        </is>
      </c>
      <c r="F1099" t="inlineStr">
        <is>
          <t>(en blanco)</t>
        </is>
      </c>
      <c r="G1099" t="inlineStr">
        <is>
          <t>PPK</t>
        </is>
      </c>
      <c r="H1099" t="n">
        <v>1192</v>
      </c>
      <c r="I1099" t="inlineStr">
        <is>
          <t>NAUTICA_CLASSICS_117001253_BLK_1.jpg</t>
        </is>
      </c>
      <c r="J1099" t="inlineStr">
        <is>
          <t>NAUTICA_CLASSICS_117001253_BLK_2.jpg</t>
        </is>
      </c>
      <c r="K1099" t="inlineStr">
        <is>
          <t>NAUTICA_CLASSICS_117001253_BLK_3.jpg</t>
        </is>
      </c>
      <c r="L1099">
        <f>IMAGE("file:///E:/Estudios%20y%20certificaciones/ESTUDIOS%20DE%20PROGRAMMING/PROGRAMMING/PERSONAL/PYTHON/Image_Generator_API/imagenes/NAUTICA_CLASSICS_117001253_BLK_1.jpg")</f>
        <v/>
      </c>
      <c r="M1099">
        <f>IMAGE("file:///E:/Estudios%20y%20certificaciones/ESTUDIOS%20DE%20PROGRAMMING/PROGRAMMING/PERSONAL/PYTHON/Image_Generator_API/imagenes/NAUTICA_CLASSICS_117001253_BLK_2.jpg")</f>
        <v/>
      </c>
      <c r="N1099">
        <f>IMAGE("file:///E:/Estudios%20y%20certificaciones/ESTUDIOS%20DE%20PROGRAMMING/PROGRAMMING/PERSONAL/PYTHON/Image_Generator_API/imagenes/NAUTICA_CLASSICS_117001253_BLK_3.jpg")</f>
        <v/>
      </c>
      <c r="O1099">
        <f>HYPERLINK("imagenes/NAUTICA_CLASSICS_117001253_BLK_1.jpg","Ver imagen")</f>
        <v/>
      </c>
      <c r="P1099">
        <f>HYPERLINK("imagenes/NAUTICA_CLASSICS_117001253_BLK_2.jpg","Ver imagen")</f>
        <v/>
      </c>
      <c r="Q1099">
        <f>HYPERLINK("imagenes/NAUTICA_CLASSICS_117001253_BLK_3.jpg","Ver imagen")</f>
        <v/>
      </c>
    </row>
    <row r="1100">
      <c r="A1100" t="inlineStr">
        <is>
          <t>NAUTICA CLASSICS</t>
        </is>
      </c>
      <c r="B1100" t="inlineStr">
        <is>
          <t>117001253</t>
        </is>
      </c>
      <c r="C1100" t="inlineStr">
        <is>
          <t>NEW VAPOR</t>
        </is>
      </c>
      <c r="D1100" t="inlineStr">
        <is>
          <t>BLK</t>
        </is>
      </c>
      <c r="E1100" t="inlineStr">
        <is>
          <t>(en blanco)</t>
        </is>
      </c>
      <c r="F1100" t="inlineStr">
        <is>
          <t>D2C</t>
        </is>
      </c>
      <c r="G1100" t="inlineStr">
        <is>
          <t>XS</t>
        </is>
      </c>
      <c r="H1100" t="n">
        <v>7</v>
      </c>
      <c r="I1100" t="inlineStr">
        <is>
          <t>NAUTICA_CLASSICS_117001253_BLK_1.jpg</t>
        </is>
      </c>
      <c r="J1100" t="inlineStr">
        <is>
          <t>NAUTICA_CLASSICS_117001253_BLK_2.jpg</t>
        </is>
      </c>
      <c r="K1100" t="inlineStr">
        <is>
          <t>NAUTICA_CLASSICS_117001253_BLK_3.jpg</t>
        </is>
      </c>
      <c r="L1100">
        <f>IMAGE("file:///E:/Estudios%20y%20certificaciones/ESTUDIOS%20DE%20PROGRAMMING/PROGRAMMING/PERSONAL/PYTHON/Image_Generator_API/imagenes/NAUTICA_CLASSICS_117001253_BLK_1.jpg")</f>
        <v/>
      </c>
      <c r="M1100">
        <f>IMAGE("file:///E:/Estudios%20y%20certificaciones/ESTUDIOS%20DE%20PROGRAMMING/PROGRAMMING/PERSONAL/PYTHON/Image_Generator_API/imagenes/NAUTICA_CLASSICS_117001253_BLK_2.jpg")</f>
        <v/>
      </c>
      <c r="N1100">
        <f>IMAGE("file:///E:/Estudios%20y%20certificaciones/ESTUDIOS%20DE%20PROGRAMMING/PROGRAMMING/PERSONAL/PYTHON/Image_Generator_API/imagenes/NAUTICA_CLASSICS_117001253_BLK_3.jpg")</f>
        <v/>
      </c>
      <c r="O1100">
        <f>HYPERLINK("imagenes/NAUTICA_CLASSICS_117001253_BLK_1.jpg","Ver imagen")</f>
        <v/>
      </c>
      <c r="P1100">
        <f>HYPERLINK("imagenes/NAUTICA_CLASSICS_117001253_BLK_2.jpg","Ver imagen")</f>
        <v/>
      </c>
      <c r="Q1100">
        <f>HYPERLINK("imagenes/NAUTICA_CLASSICS_117001253_BLK_3.jpg","Ver imagen")</f>
        <v/>
      </c>
    </row>
    <row r="1101">
      <c r="A1101" t="inlineStr">
        <is>
          <t>NAUTICA CLASSICS</t>
        </is>
      </c>
      <c r="B1101" t="inlineStr">
        <is>
          <t>117001253</t>
        </is>
      </c>
      <c r="C1101" t="inlineStr">
        <is>
          <t>NEW VAPOR</t>
        </is>
      </c>
      <c r="D1101" t="inlineStr">
        <is>
          <t>BLK</t>
        </is>
      </c>
      <c r="E1101" t="inlineStr">
        <is>
          <t>(en blanco)</t>
        </is>
      </c>
      <c r="F1101" t="inlineStr">
        <is>
          <t>D2C</t>
        </is>
      </c>
      <c r="G1101" t="inlineStr">
        <is>
          <t>S</t>
        </is>
      </c>
      <c r="H1101" t="n">
        <v>30</v>
      </c>
      <c r="I1101" t="inlineStr">
        <is>
          <t>NAUTICA_CLASSICS_117001253_BLK_1.jpg</t>
        </is>
      </c>
      <c r="J1101" t="inlineStr">
        <is>
          <t>NAUTICA_CLASSICS_117001253_BLK_2.jpg</t>
        </is>
      </c>
      <c r="K1101" t="inlineStr">
        <is>
          <t>NAUTICA_CLASSICS_117001253_BLK_3.jpg</t>
        </is>
      </c>
      <c r="L1101">
        <f>IMAGE("file:///E:/Estudios%20y%20certificaciones/ESTUDIOS%20DE%20PROGRAMMING/PROGRAMMING/PERSONAL/PYTHON/Image_Generator_API/imagenes/NAUTICA_CLASSICS_117001253_BLK_1.jpg")</f>
        <v/>
      </c>
      <c r="M1101">
        <f>IMAGE("file:///E:/Estudios%20y%20certificaciones/ESTUDIOS%20DE%20PROGRAMMING/PROGRAMMING/PERSONAL/PYTHON/Image_Generator_API/imagenes/NAUTICA_CLASSICS_117001253_BLK_2.jpg")</f>
        <v/>
      </c>
      <c r="N1101">
        <f>IMAGE("file:///E:/Estudios%20y%20certificaciones/ESTUDIOS%20DE%20PROGRAMMING/PROGRAMMING/PERSONAL/PYTHON/Image_Generator_API/imagenes/NAUTICA_CLASSICS_117001253_BLK_3.jpg")</f>
        <v/>
      </c>
      <c r="O1101">
        <f>HYPERLINK("imagenes/NAUTICA_CLASSICS_117001253_BLK_1.jpg","Ver imagen")</f>
        <v/>
      </c>
      <c r="P1101">
        <f>HYPERLINK("imagenes/NAUTICA_CLASSICS_117001253_BLK_2.jpg","Ver imagen")</f>
        <v/>
      </c>
      <c r="Q1101">
        <f>HYPERLINK("imagenes/NAUTICA_CLASSICS_117001253_BLK_3.jpg","Ver imagen")</f>
        <v/>
      </c>
    </row>
    <row r="1102">
      <c r="A1102" t="inlineStr">
        <is>
          <t>NAUTICA CLASSICS</t>
        </is>
      </c>
      <c r="B1102" t="inlineStr">
        <is>
          <t>117001253</t>
        </is>
      </c>
      <c r="C1102" t="inlineStr">
        <is>
          <t>NEW VAPOR</t>
        </is>
      </c>
      <c r="D1102" t="inlineStr">
        <is>
          <t>BLK</t>
        </is>
      </c>
      <c r="E1102" t="inlineStr">
        <is>
          <t>(en blanco)</t>
        </is>
      </c>
      <c r="F1102" t="inlineStr">
        <is>
          <t>D2C</t>
        </is>
      </c>
      <c r="G1102" t="inlineStr">
        <is>
          <t>M</t>
        </is>
      </c>
      <c r="H1102" t="n">
        <v>23</v>
      </c>
      <c r="I1102" t="inlineStr">
        <is>
          <t>NAUTICA_CLASSICS_117001253_BLK_1.jpg</t>
        </is>
      </c>
      <c r="J1102" t="inlineStr">
        <is>
          <t>NAUTICA_CLASSICS_117001253_BLK_2.jpg</t>
        </is>
      </c>
      <c r="K1102" t="inlineStr">
        <is>
          <t>NAUTICA_CLASSICS_117001253_BLK_3.jpg</t>
        </is>
      </c>
      <c r="L1102">
        <f>IMAGE("file:///E:/Estudios%20y%20certificaciones/ESTUDIOS%20DE%20PROGRAMMING/PROGRAMMING/PERSONAL/PYTHON/Image_Generator_API/imagenes/NAUTICA_CLASSICS_117001253_BLK_1.jpg")</f>
        <v/>
      </c>
      <c r="M1102">
        <f>IMAGE("file:///E:/Estudios%20y%20certificaciones/ESTUDIOS%20DE%20PROGRAMMING/PROGRAMMING/PERSONAL/PYTHON/Image_Generator_API/imagenes/NAUTICA_CLASSICS_117001253_BLK_2.jpg")</f>
        <v/>
      </c>
      <c r="N1102">
        <f>IMAGE("file:///E:/Estudios%20y%20certificaciones/ESTUDIOS%20DE%20PROGRAMMING/PROGRAMMING/PERSONAL/PYTHON/Image_Generator_API/imagenes/NAUTICA_CLASSICS_117001253_BLK_3.jpg")</f>
        <v/>
      </c>
      <c r="O1102">
        <f>HYPERLINK("imagenes/NAUTICA_CLASSICS_117001253_BLK_1.jpg","Ver imagen")</f>
        <v/>
      </c>
      <c r="P1102">
        <f>HYPERLINK("imagenes/NAUTICA_CLASSICS_117001253_BLK_2.jpg","Ver imagen")</f>
        <v/>
      </c>
      <c r="Q1102">
        <f>HYPERLINK("imagenes/NAUTICA_CLASSICS_117001253_BLK_3.jpg","Ver imagen")</f>
        <v/>
      </c>
    </row>
    <row r="1103">
      <c r="A1103" t="inlineStr">
        <is>
          <t>NAUTICA CLASSICS</t>
        </is>
      </c>
      <c r="B1103" t="inlineStr">
        <is>
          <t>117001253</t>
        </is>
      </c>
      <c r="C1103" t="inlineStr">
        <is>
          <t>NEW VAPOR</t>
        </is>
      </c>
      <c r="D1103" t="inlineStr">
        <is>
          <t>BLK</t>
        </is>
      </c>
      <c r="E1103" t="inlineStr">
        <is>
          <t>(en blanco)</t>
        </is>
      </c>
      <c r="F1103" t="inlineStr">
        <is>
          <t>D2C</t>
        </is>
      </c>
      <c r="G1103" t="inlineStr">
        <is>
          <t>L</t>
        </is>
      </c>
      <c r="H1103" t="n">
        <v>31</v>
      </c>
      <c r="I1103" t="inlineStr">
        <is>
          <t>NAUTICA_CLASSICS_117001253_BLK_1.jpg</t>
        </is>
      </c>
      <c r="J1103" t="inlineStr">
        <is>
          <t>NAUTICA_CLASSICS_117001253_BLK_2.jpg</t>
        </is>
      </c>
      <c r="K1103" t="inlineStr">
        <is>
          <t>NAUTICA_CLASSICS_117001253_BLK_3.jpg</t>
        </is>
      </c>
      <c r="L1103">
        <f>IMAGE("file:///E:/Estudios%20y%20certificaciones/ESTUDIOS%20DE%20PROGRAMMING/PROGRAMMING/PERSONAL/PYTHON/Image_Generator_API/imagenes/NAUTICA_CLASSICS_117001253_BLK_1.jpg")</f>
        <v/>
      </c>
      <c r="M1103">
        <f>IMAGE("file:///E:/Estudios%20y%20certificaciones/ESTUDIOS%20DE%20PROGRAMMING/PROGRAMMING/PERSONAL/PYTHON/Image_Generator_API/imagenes/NAUTICA_CLASSICS_117001253_BLK_2.jpg")</f>
        <v/>
      </c>
      <c r="N1103">
        <f>IMAGE("file:///E:/Estudios%20y%20certificaciones/ESTUDIOS%20DE%20PROGRAMMING/PROGRAMMING/PERSONAL/PYTHON/Image_Generator_API/imagenes/NAUTICA_CLASSICS_117001253_BLK_3.jpg")</f>
        <v/>
      </c>
      <c r="O1103">
        <f>HYPERLINK("imagenes/NAUTICA_CLASSICS_117001253_BLK_1.jpg","Ver imagen")</f>
        <v/>
      </c>
      <c r="P1103">
        <f>HYPERLINK("imagenes/NAUTICA_CLASSICS_117001253_BLK_2.jpg","Ver imagen")</f>
        <v/>
      </c>
      <c r="Q1103">
        <f>HYPERLINK("imagenes/NAUTICA_CLASSICS_117001253_BLK_3.jpg","Ver imagen")</f>
        <v/>
      </c>
    </row>
    <row r="1104">
      <c r="A1104" t="inlineStr">
        <is>
          <t>NAUTICA CLASSICS</t>
        </is>
      </c>
      <c r="B1104" t="inlineStr">
        <is>
          <t>117001253</t>
        </is>
      </c>
      <c r="C1104" t="inlineStr">
        <is>
          <t>NEW VAPOR</t>
        </is>
      </c>
      <c r="D1104" t="inlineStr">
        <is>
          <t>BLK</t>
        </is>
      </c>
      <c r="E1104" t="inlineStr">
        <is>
          <t>(en blanco)</t>
        </is>
      </c>
      <c r="F1104" t="inlineStr">
        <is>
          <t>D2C</t>
        </is>
      </c>
      <c r="G1104" t="inlineStr">
        <is>
          <t>XL</t>
        </is>
      </c>
      <c r="H1104" t="n">
        <v>5</v>
      </c>
      <c r="I1104" t="inlineStr">
        <is>
          <t>NAUTICA_CLASSICS_117001253_BLK_1.jpg</t>
        </is>
      </c>
      <c r="J1104" t="inlineStr">
        <is>
          <t>NAUTICA_CLASSICS_117001253_BLK_2.jpg</t>
        </is>
      </c>
      <c r="K1104" t="inlineStr">
        <is>
          <t>NAUTICA_CLASSICS_117001253_BLK_3.jpg</t>
        </is>
      </c>
      <c r="L1104">
        <f>IMAGE("file:///E:/Estudios%20y%20certificaciones/ESTUDIOS%20DE%20PROGRAMMING/PROGRAMMING/PERSONAL/PYTHON/Image_Generator_API/imagenes/NAUTICA_CLASSICS_117001253_BLK_1.jpg")</f>
        <v/>
      </c>
      <c r="M1104">
        <f>IMAGE("file:///E:/Estudios%20y%20certificaciones/ESTUDIOS%20DE%20PROGRAMMING/PROGRAMMING/PERSONAL/PYTHON/Image_Generator_API/imagenes/NAUTICA_CLASSICS_117001253_BLK_2.jpg")</f>
        <v/>
      </c>
      <c r="N1104">
        <f>IMAGE("file:///E:/Estudios%20y%20certificaciones/ESTUDIOS%20DE%20PROGRAMMING/PROGRAMMING/PERSONAL/PYTHON/Image_Generator_API/imagenes/NAUTICA_CLASSICS_117001253_BLK_3.jpg")</f>
        <v/>
      </c>
      <c r="O1104">
        <f>HYPERLINK("imagenes/NAUTICA_CLASSICS_117001253_BLK_1.jpg","Ver imagen")</f>
        <v/>
      </c>
      <c r="P1104">
        <f>HYPERLINK("imagenes/NAUTICA_CLASSICS_117001253_BLK_2.jpg","Ver imagen")</f>
        <v/>
      </c>
      <c r="Q1104">
        <f>HYPERLINK("imagenes/NAUTICA_CLASSICS_117001253_BLK_3.jpg","Ver imagen")</f>
        <v/>
      </c>
    </row>
    <row r="1105">
      <c r="A1105" t="inlineStr">
        <is>
          <t>NAUTICA CLASSICS</t>
        </is>
      </c>
      <c r="B1105" t="inlineStr">
        <is>
          <t>117001253</t>
        </is>
      </c>
      <c r="C1105" t="inlineStr">
        <is>
          <t>NEW VAPOR</t>
        </is>
      </c>
      <c r="D1105" t="inlineStr">
        <is>
          <t>BLK</t>
        </is>
      </c>
      <c r="E1105" t="inlineStr">
        <is>
          <t>(en blanco)</t>
        </is>
      </c>
      <c r="F1105" t="inlineStr">
        <is>
          <t>N1160</t>
        </is>
      </c>
      <c r="G1105" t="inlineStr">
        <is>
          <t>XS</t>
        </is>
      </c>
      <c r="H1105" t="n">
        <v>14</v>
      </c>
      <c r="I1105" t="inlineStr">
        <is>
          <t>NAUTICA_CLASSICS_117001253_BLK_1.jpg</t>
        </is>
      </c>
      <c r="J1105" t="inlineStr">
        <is>
          <t>NAUTICA_CLASSICS_117001253_BLK_2.jpg</t>
        </is>
      </c>
      <c r="K1105" t="inlineStr">
        <is>
          <t>NAUTICA_CLASSICS_117001253_BLK_3.jpg</t>
        </is>
      </c>
      <c r="L1105">
        <f>IMAGE("file:///E:/Estudios%20y%20certificaciones/ESTUDIOS%20DE%20PROGRAMMING/PROGRAMMING/PERSONAL/PYTHON/Image_Generator_API/imagenes/NAUTICA_CLASSICS_117001253_BLK_1.jpg")</f>
        <v/>
      </c>
      <c r="M1105">
        <f>IMAGE("file:///E:/Estudios%20y%20certificaciones/ESTUDIOS%20DE%20PROGRAMMING/PROGRAMMING/PERSONAL/PYTHON/Image_Generator_API/imagenes/NAUTICA_CLASSICS_117001253_BLK_2.jpg")</f>
        <v/>
      </c>
      <c r="N1105">
        <f>IMAGE("file:///E:/Estudios%20y%20certificaciones/ESTUDIOS%20DE%20PROGRAMMING/PROGRAMMING/PERSONAL/PYTHON/Image_Generator_API/imagenes/NAUTICA_CLASSICS_117001253_BLK_3.jpg")</f>
        <v/>
      </c>
      <c r="O1105">
        <f>HYPERLINK("imagenes/NAUTICA_CLASSICS_117001253_BLK_1.jpg","Ver imagen")</f>
        <v/>
      </c>
      <c r="P1105">
        <f>HYPERLINK("imagenes/NAUTICA_CLASSICS_117001253_BLK_2.jpg","Ver imagen")</f>
        <v/>
      </c>
      <c r="Q1105">
        <f>HYPERLINK("imagenes/NAUTICA_CLASSICS_117001253_BLK_3.jpg","Ver imagen")</f>
        <v/>
      </c>
    </row>
    <row r="1106">
      <c r="A1106" t="inlineStr">
        <is>
          <t>NAUTICA CLASSICS</t>
        </is>
      </c>
      <c r="B1106" t="inlineStr">
        <is>
          <t>117001253</t>
        </is>
      </c>
      <c r="C1106" t="inlineStr">
        <is>
          <t>NEW VAPOR</t>
        </is>
      </c>
      <c r="D1106" t="inlineStr">
        <is>
          <t>OXA</t>
        </is>
      </c>
      <c r="E1106" t="inlineStr">
        <is>
          <t>08A05</t>
        </is>
      </c>
      <c r="F1106" t="inlineStr">
        <is>
          <t>(en blanco)</t>
        </is>
      </c>
      <c r="G1106" t="inlineStr">
        <is>
          <t>PPK</t>
        </is>
      </c>
      <c r="H1106" t="n">
        <v>1560</v>
      </c>
      <c r="I1106" t="inlineStr">
        <is>
          <t>NAUTICA_CLASSICS_117001253_OXA_2.jpg</t>
        </is>
      </c>
      <c r="J1106" t="inlineStr">
        <is>
          <t>NAUTICA_CLASSICS_117001253_OXA_3.jpg</t>
        </is>
      </c>
      <c r="L1106">
        <f>IMAGE("file:///E:/Estudios%20y%20certificaciones/ESTUDIOS%20DE%20PROGRAMMING/PROGRAMMING/PERSONAL/PYTHON/Image_Generator_API/imagenes/NAUTICA_CLASSICS_117001253_OXA_2.jpg")</f>
        <v/>
      </c>
      <c r="M1106">
        <f>IMAGE("file:///E:/Estudios%20y%20certificaciones/ESTUDIOS%20DE%20PROGRAMMING/PROGRAMMING/PERSONAL/PYTHON/Image_Generator_API/imagenes/NAUTICA_CLASSICS_117001253_OXA_3.jpg")</f>
        <v/>
      </c>
      <c r="O1106">
        <f>HYPERLINK("imagenes/NAUTICA_CLASSICS_117001253_OXA_2.jpg","Ver imagen")</f>
        <v/>
      </c>
      <c r="P1106">
        <f>HYPERLINK("imagenes/NAUTICA_CLASSICS_117001253_OXA_3.jpg","Ver imagen")</f>
        <v/>
      </c>
    </row>
    <row r="1107">
      <c r="A1107" t="inlineStr">
        <is>
          <t>NAUTICA CLASSICS</t>
        </is>
      </c>
      <c r="B1107" t="inlineStr">
        <is>
          <t>117001253</t>
        </is>
      </c>
      <c r="C1107" t="inlineStr">
        <is>
          <t>NEW VAPOR</t>
        </is>
      </c>
      <c r="D1107" t="inlineStr">
        <is>
          <t>OXA</t>
        </is>
      </c>
      <c r="E1107" t="inlineStr">
        <is>
          <t>(en blanco)</t>
        </is>
      </c>
      <c r="F1107" t="inlineStr">
        <is>
          <t>D2C</t>
        </is>
      </c>
      <c r="G1107" t="inlineStr">
        <is>
          <t>XS</t>
        </is>
      </c>
      <c r="H1107" t="n">
        <v>3</v>
      </c>
      <c r="I1107" t="inlineStr">
        <is>
          <t>NAUTICA_CLASSICS_117001253_OXA_2.jpg</t>
        </is>
      </c>
      <c r="J1107" t="inlineStr">
        <is>
          <t>NAUTICA_CLASSICS_117001253_OXA_3.jpg</t>
        </is>
      </c>
      <c r="L1107">
        <f>IMAGE("file:///E:/Estudios%20y%20certificaciones/ESTUDIOS%20DE%20PROGRAMMING/PROGRAMMING/PERSONAL/PYTHON/Image_Generator_API/imagenes/NAUTICA_CLASSICS_117001253_OXA_2.jpg")</f>
        <v/>
      </c>
      <c r="M1107">
        <f>IMAGE("file:///E:/Estudios%20y%20certificaciones/ESTUDIOS%20DE%20PROGRAMMING/PROGRAMMING/PERSONAL/PYTHON/Image_Generator_API/imagenes/NAUTICA_CLASSICS_117001253_OXA_3.jpg")</f>
        <v/>
      </c>
      <c r="O1107">
        <f>HYPERLINK("imagenes/NAUTICA_CLASSICS_117001253_OXA_2.jpg","Ver imagen")</f>
        <v/>
      </c>
      <c r="P1107">
        <f>HYPERLINK("imagenes/NAUTICA_CLASSICS_117001253_OXA_3.jpg","Ver imagen")</f>
        <v/>
      </c>
    </row>
    <row r="1108">
      <c r="A1108" t="inlineStr">
        <is>
          <t>NAUTICA CLASSICS</t>
        </is>
      </c>
      <c r="B1108" t="inlineStr">
        <is>
          <t>117001253</t>
        </is>
      </c>
      <c r="C1108" t="inlineStr">
        <is>
          <t>NEW VAPOR</t>
        </is>
      </c>
      <c r="D1108" t="inlineStr">
        <is>
          <t>OXA</t>
        </is>
      </c>
      <c r="E1108" t="inlineStr">
        <is>
          <t>(en blanco)</t>
        </is>
      </c>
      <c r="F1108" t="inlineStr">
        <is>
          <t>D2C</t>
        </is>
      </c>
      <c r="G1108" t="inlineStr">
        <is>
          <t>S</t>
        </is>
      </c>
      <c r="H1108" t="n">
        <v>3</v>
      </c>
      <c r="I1108" t="inlineStr">
        <is>
          <t>NAUTICA_CLASSICS_117001253_OXA_2.jpg</t>
        </is>
      </c>
      <c r="J1108" t="inlineStr">
        <is>
          <t>NAUTICA_CLASSICS_117001253_OXA_3.jpg</t>
        </is>
      </c>
      <c r="L1108">
        <f>IMAGE("file:///E:/Estudios%20y%20certificaciones/ESTUDIOS%20DE%20PROGRAMMING/PROGRAMMING/PERSONAL/PYTHON/Image_Generator_API/imagenes/NAUTICA_CLASSICS_117001253_OXA_2.jpg")</f>
        <v/>
      </c>
      <c r="M1108">
        <f>IMAGE("file:///E:/Estudios%20y%20certificaciones/ESTUDIOS%20DE%20PROGRAMMING/PROGRAMMING/PERSONAL/PYTHON/Image_Generator_API/imagenes/NAUTICA_CLASSICS_117001253_OXA_3.jpg")</f>
        <v/>
      </c>
      <c r="O1108">
        <f>HYPERLINK("imagenes/NAUTICA_CLASSICS_117001253_OXA_2.jpg","Ver imagen")</f>
        <v/>
      </c>
      <c r="P1108">
        <f>HYPERLINK("imagenes/NAUTICA_CLASSICS_117001253_OXA_3.jpg","Ver imagen")</f>
        <v/>
      </c>
    </row>
    <row r="1109">
      <c r="A1109" t="inlineStr">
        <is>
          <t>NAUTICA CLASSICS</t>
        </is>
      </c>
      <c r="B1109" t="inlineStr">
        <is>
          <t>117001253</t>
        </is>
      </c>
      <c r="C1109" t="inlineStr">
        <is>
          <t>NEW VAPOR</t>
        </is>
      </c>
      <c r="D1109" t="inlineStr">
        <is>
          <t>OXA</t>
        </is>
      </c>
      <c r="E1109" t="inlineStr">
        <is>
          <t>(en blanco)</t>
        </is>
      </c>
      <c r="F1109" t="inlineStr">
        <is>
          <t>D2C</t>
        </is>
      </c>
      <c r="G1109" t="inlineStr">
        <is>
          <t>M</t>
        </is>
      </c>
      <c r="H1109" t="n">
        <v>2</v>
      </c>
      <c r="I1109" t="inlineStr">
        <is>
          <t>NAUTICA_CLASSICS_117001253_OXA_2.jpg</t>
        </is>
      </c>
      <c r="J1109" t="inlineStr">
        <is>
          <t>NAUTICA_CLASSICS_117001253_OXA_3.jpg</t>
        </is>
      </c>
      <c r="L1109">
        <f>IMAGE("file:///E:/Estudios%20y%20certificaciones/ESTUDIOS%20DE%20PROGRAMMING/PROGRAMMING/PERSONAL/PYTHON/Image_Generator_API/imagenes/NAUTICA_CLASSICS_117001253_OXA_2.jpg")</f>
        <v/>
      </c>
      <c r="M1109">
        <f>IMAGE("file:///E:/Estudios%20y%20certificaciones/ESTUDIOS%20DE%20PROGRAMMING/PROGRAMMING/PERSONAL/PYTHON/Image_Generator_API/imagenes/NAUTICA_CLASSICS_117001253_OXA_3.jpg")</f>
        <v/>
      </c>
      <c r="O1109">
        <f>HYPERLINK("imagenes/NAUTICA_CLASSICS_117001253_OXA_2.jpg","Ver imagen")</f>
        <v/>
      </c>
      <c r="P1109">
        <f>HYPERLINK("imagenes/NAUTICA_CLASSICS_117001253_OXA_3.jpg","Ver imagen")</f>
        <v/>
      </c>
    </row>
    <row r="1110">
      <c r="A1110" t="inlineStr">
        <is>
          <t>NAUTICA CLASSICS</t>
        </is>
      </c>
      <c r="B1110" t="inlineStr">
        <is>
          <t>117001253</t>
        </is>
      </c>
      <c r="C1110" t="inlineStr">
        <is>
          <t>NEW VAPOR</t>
        </is>
      </c>
      <c r="D1110" t="inlineStr">
        <is>
          <t>OXA</t>
        </is>
      </c>
      <c r="E1110" t="inlineStr">
        <is>
          <t>(en blanco)</t>
        </is>
      </c>
      <c r="F1110" t="inlineStr">
        <is>
          <t>D2C</t>
        </is>
      </c>
      <c r="G1110" t="inlineStr">
        <is>
          <t>L</t>
        </is>
      </c>
      <c r="H1110" t="n">
        <v>13</v>
      </c>
      <c r="I1110" t="inlineStr">
        <is>
          <t>NAUTICA_CLASSICS_117001253_OXA_2.jpg</t>
        </is>
      </c>
      <c r="J1110" t="inlineStr">
        <is>
          <t>NAUTICA_CLASSICS_117001253_OXA_3.jpg</t>
        </is>
      </c>
      <c r="L1110">
        <f>IMAGE("file:///E:/Estudios%20y%20certificaciones/ESTUDIOS%20DE%20PROGRAMMING/PROGRAMMING/PERSONAL/PYTHON/Image_Generator_API/imagenes/NAUTICA_CLASSICS_117001253_OXA_2.jpg")</f>
        <v/>
      </c>
      <c r="M1110">
        <f>IMAGE("file:///E:/Estudios%20y%20certificaciones/ESTUDIOS%20DE%20PROGRAMMING/PROGRAMMING/PERSONAL/PYTHON/Image_Generator_API/imagenes/NAUTICA_CLASSICS_117001253_OXA_3.jpg")</f>
        <v/>
      </c>
      <c r="O1110">
        <f>HYPERLINK("imagenes/NAUTICA_CLASSICS_117001253_OXA_2.jpg","Ver imagen")</f>
        <v/>
      </c>
      <c r="P1110">
        <f>HYPERLINK("imagenes/NAUTICA_CLASSICS_117001253_OXA_3.jpg","Ver imagen")</f>
        <v/>
      </c>
    </row>
    <row r="1111">
      <c r="A1111" t="inlineStr">
        <is>
          <t>NAUTICA CLASSICS</t>
        </is>
      </c>
      <c r="B1111" t="inlineStr">
        <is>
          <t>117001253</t>
        </is>
      </c>
      <c r="C1111" t="inlineStr">
        <is>
          <t>NEW VAPOR</t>
        </is>
      </c>
      <c r="D1111" t="inlineStr">
        <is>
          <t>OXA</t>
        </is>
      </c>
      <c r="E1111" t="inlineStr">
        <is>
          <t>(en blanco)</t>
        </is>
      </c>
      <c r="F1111" t="inlineStr">
        <is>
          <t>D2C</t>
        </is>
      </c>
      <c r="G1111" t="inlineStr">
        <is>
          <t>XL</t>
        </is>
      </c>
      <c r="H1111" t="n">
        <v>2</v>
      </c>
      <c r="I1111" t="inlineStr">
        <is>
          <t>NAUTICA_CLASSICS_117001253_OXA_2.jpg</t>
        </is>
      </c>
      <c r="J1111" t="inlineStr">
        <is>
          <t>NAUTICA_CLASSICS_117001253_OXA_3.jpg</t>
        </is>
      </c>
      <c r="L1111">
        <f>IMAGE("file:///E:/Estudios%20y%20certificaciones/ESTUDIOS%20DE%20PROGRAMMING/PROGRAMMING/PERSONAL/PYTHON/Image_Generator_API/imagenes/NAUTICA_CLASSICS_117001253_OXA_2.jpg")</f>
        <v/>
      </c>
      <c r="M1111">
        <f>IMAGE("file:///E:/Estudios%20y%20certificaciones/ESTUDIOS%20DE%20PROGRAMMING/PROGRAMMING/PERSONAL/PYTHON/Image_Generator_API/imagenes/NAUTICA_CLASSICS_117001253_OXA_3.jpg")</f>
        <v/>
      </c>
      <c r="O1111">
        <f>HYPERLINK("imagenes/NAUTICA_CLASSICS_117001253_OXA_2.jpg","Ver imagen")</f>
        <v/>
      </c>
      <c r="P1111">
        <f>HYPERLINK("imagenes/NAUTICA_CLASSICS_117001253_OXA_3.jpg","Ver imagen")</f>
        <v/>
      </c>
    </row>
    <row r="1112">
      <c r="A1112" t="inlineStr">
        <is>
          <t>NAUTICA CLASSICS</t>
        </is>
      </c>
      <c r="B1112" t="inlineStr">
        <is>
          <t>117001253</t>
        </is>
      </c>
      <c r="C1112" t="inlineStr">
        <is>
          <t>NEW VAPOR</t>
        </is>
      </c>
      <c r="D1112" t="inlineStr">
        <is>
          <t>OXA</t>
        </is>
      </c>
      <c r="E1112" t="inlineStr">
        <is>
          <t>(en blanco)</t>
        </is>
      </c>
      <c r="F1112" t="inlineStr">
        <is>
          <t>N1160</t>
        </is>
      </c>
      <c r="G1112" t="inlineStr">
        <is>
          <t>S</t>
        </is>
      </c>
      <c r="H1112" t="n">
        <v>15</v>
      </c>
      <c r="I1112" t="inlineStr">
        <is>
          <t>NAUTICA_CLASSICS_117001253_OXA_2.jpg</t>
        </is>
      </c>
      <c r="J1112" t="inlineStr">
        <is>
          <t>NAUTICA_CLASSICS_117001253_OXA_3.jpg</t>
        </is>
      </c>
      <c r="L1112">
        <f>IMAGE("file:///E:/Estudios%20y%20certificaciones/ESTUDIOS%20DE%20PROGRAMMING/PROGRAMMING/PERSONAL/PYTHON/Image_Generator_API/imagenes/NAUTICA_CLASSICS_117001253_OXA_2.jpg")</f>
        <v/>
      </c>
      <c r="M1112">
        <f>IMAGE("file:///E:/Estudios%20y%20certificaciones/ESTUDIOS%20DE%20PROGRAMMING/PROGRAMMING/PERSONAL/PYTHON/Image_Generator_API/imagenes/NAUTICA_CLASSICS_117001253_OXA_3.jpg")</f>
        <v/>
      </c>
      <c r="O1112">
        <f>HYPERLINK("imagenes/NAUTICA_CLASSICS_117001253_OXA_2.jpg","Ver imagen")</f>
        <v/>
      </c>
      <c r="P1112">
        <f>HYPERLINK("imagenes/NAUTICA_CLASSICS_117001253_OXA_3.jpg","Ver imagen")</f>
        <v/>
      </c>
    </row>
    <row r="1113">
      <c r="A1113" t="inlineStr">
        <is>
          <t>NAUTICA CLASSICS</t>
        </is>
      </c>
      <c r="B1113" t="inlineStr">
        <is>
          <t>117001619</t>
        </is>
      </c>
      <c r="C1113" t="inlineStr">
        <is>
          <t>NAUTICA WOMENS PLUS SIZE PUFFER</t>
        </is>
      </c>
      <c r="D1113" t="inlineStr">
        <is>
          <t>BLK</t>
        </is>
      </c>
      <c r="E1113" t="inlineStr">
        <is>
          <t>(en blanco)</t>
        </is>
      </c>
      <c r="F1113" t="inlineStr">
        <is>
          <t>(en blanco)</t>
        </is>
      </c>
      <c r="G1113" t="inlineStr">
        <is>
          <t>1X</t>
        </is>
      </c>
      <c r="H1113" t="n">
        <v>1</v>
      </c>
      <c r="I1113" t="inlineStr">
        <is>
          <t>NAUTICA_CLASSICS_117001619_BLK_1.jpg</t>
        </is>
      </c>
      <c r="J1113" t="inlineStr">
        <is>
          <t>NAUTICA_CLASSICS_117001619_BLK_2.jpg</t>
        </is>
      </c>
      <c r="K1113" t="inlineStr">
        <is>
          <t>NAUTICA_CLASSICS_117001619_BLK_3.jpg</t>
        </is>
      </c>
      <c r="L1113">
        <f>IMAGE("file:///E:/Estudios%20y%20certificaciones/ESTUDIOS%20DE%20PROGRAMMING/PROGRAMMING/PERSONAL/PYTHON/Image_Generator_API/imagenes/NAUTICA_CLASSICS_117001619_BLK_1.jpg")</f>
        <v/>
      </c>
      <c r="M1113">
        <f>IMAGE("file:///E:/Estudios%20y%20certificaciones/ESTUDIOS%20DE%20PROGRAMMING/PROGRAMMING/PERSONAL/PYTHON/Image_Generator_API/imagenes/NAUTICA_CLASSICS_117001619_BLK_2.jpg")</f>
        <v/>
      </c>
      <c r="N1113">
        <f>IMAGE("file:///E:/Estudios%20y%20certificaciones/ESTUDIOS%20DE%20PROGRAMMING/PROGRAMMING/PERSONAL/PYTHON/Image_Generator_API/imagenes/NAUTICA_CLASSICS_117001619_BLK_3.jpg")</f>
        <v/>
      </c>
      <c r="O1113">
        <f>HYPERLINK("imagenes/NAUTICA_CLASSICS_117001619_BLK_1.jpg","Ver imagen")</f>
        <v/>
      </c>
      <c r="P1113">
        <f>HYPERLINK("imagenes/NAUTICA_CLASSICS_117001619_BLK_2.jpg","Ver imagen")</f>
        <v/>
      </c>
      <c r="Q1113">
        <f>HYPERLINK("imagenes/NAUTICA_CLASSICS_117001619_BLK_3.jpg","Ver imagen")</f>
        <v/>
      </c>
    </row>
    <row r="1114">
      <c r="A1114" t="inlineStr">
        <is>
          <t>NAUTICA CLASSICS</t>
        </is>
      </c>
      <c r="B1114" t="inlineStr">
        <is>
          <t>117001619</t>
        </is>
      </c>
      <c r="C1114" t="inlineStr">
        <is>
          <t>NAUTICA WOMENS PLUS SIZE PUFFER</t>
        </is>
      </c>
      <c r="D1114" t="inlineStr">
        <is>
          <t>BLK</t>
        </is>
      </c>
      <c r="E1114" t="inlineStr">
        <is>
          <t>(en blanco)</t>
        </is>
      </c>
      <c r="F1114" t="inlineStr">
        <is>
          <t>(en blanco)</t>
        </is>
      </c>
      <c r="G1114" t="inlineStr">
        <is>
          <t>2X</t>
        </is>
      </c>
      <c r="H1114" t="n">
        <v>1</v>
      </c>
      <c r="I1114" t="inlineStr">
        <is>
          <t>NAUTICA_CLASSICS_117001619_BLK_1.jpg</t>
        </is>
      </c>
      <c r="J1114" t="inlineStr">
        <is>
          <t>NAUTICA_CLASSICS_117001619_BLK_2.jpg</t>
        </is>
      </c>
      <c r="K1114" t="inlineStr">
        <is>
          <t>NAUTICA_CLASSICS_117001619_BLK_3.jpg</t>
        </is>
      </c>
      <c r="L1114">
        <f>IMAGE("file:///E:/Estudios%20y%20certificaciones/ESTUDIOS%20DE%20PROGRAMMING/PROGRAMMING/PERSONAL/PYTHON/Image_Generator_API/imagenes/NAUTICA_CLASSICS_117001619_BLK_1.jpg")</f>
        <v/>
      </c>
      <c r="M1114">
        <f>IMAGE("file:///E:/Estudios%20y%20certificaciones/ESTUDIOS%20DE%20PROGRAMMING/PROGRAMMING/PERSONAL/PYTHON/Image_Generator_API/imagenes/NAUTICA_CLASSICS_117001619_BLK_2.jpg")</f>
        <v/>
      </c>
      <c r="N1114">
        <f>IMAGE("file:///E:/Estudios%20y%20certificaciones/ESTUDIOS%20DE%20PROGRAMMING/PROGRAMMING/PERSONAL/PYTHON/Image_Generator_API/imagenes/NAUTICA_CLASSICS_117001619_BLK_3.jpg")</f>
        <v/>
      </c>
      <c r="O1114">
        <f>HYPERLINK("imagenes/NAUTICA_CLASSICS_117001619_BLK_1.jpg","Ver imagen")</f>
        <v/>
      </c>
      <c r="P1114">
        <f>HYPERLINK("imagenes/NAUTICA_CLASSICS_117001619_BLK_2.jpg","Ver imagen")</f>
        <v/>
      </c>
      <c r="Q1114">
        <f>HYPERLINK("imagenes/NAUTICA_CLASSICS_117001619_BLK_3.jpg","Ver imagen")</f>
        <v/>
      </c>
    </row>
    <row r="1115">
      <c r="A1115" t="inlineStr">
        <is>
          <t>NAUTICA CLASSICS</t>
        </is>
      </c>
      <c r="B1115" t="inlineStr">
        <is>
          <t>117001619</t>
        </is>
      </c>
      <c r="C1115" t="inlineStr">
        <is>
          <t>NAUTICA WOMENS PLUS SIZE PUFFER</t>
        </is>
      </c>
      <c r="D1115" t="inlineStr">
        <is>
          <t>BLK</t>
        </is>
      </c>
      <c r="E1115" t="inlineStr">
        <is>
          <t>(en blanco)</t>
        </is>
      </c>
      <c r="F1115" t="inlineStr">
        <is>
          <t>(en blanco)</t>
        </is>
      </c>
      <c r="G1115" t="inlineStr">
        <is>
          <t>3X</t>
        </is>
      </c>
      <c r="H1115" t="n">
        <v>6</v>
      </c>
      <c r="I1115" t="inlineStr">
        <is>
          <t>NAUTICA_CLASSICS_117001619_BLK_1.jpg</t>
        </is>
      </c>
      <c r="J1115" t="inlineStr">
        <is>
          <t>NAUTICA_CLASSICS_117001619_BLK_2.jpg</t>
        </is>
      </c>
      <c r="K1115" t="inlineStr">
        <is>
          <t>NAUTICA_CLASSICS_117001619_BLK_3.jpg</t>
        </is>
      </c>
      <c r="L1115">
        <f>IMAGE("file:///E:/Estudios%20y%20certificaciones/ESTUDIOS%20DE%20PROGRAMMING/PROGRAMMING/PERSONAL/PYTHON/Image_Generator_API/imagenes/NAUTICA_CLASSICS_117001619_BLK_1.jpg")</f>
        <v/>
      </c>
      <c r="M1115">
        <f>IMAGE("file:///E:/Estudios%20y%20certificaciones/ESTUDIOS%20DE%20PROGRAMMING/PROGRAMMING/PERSONAL/PYTHON/Image_Generator_API/imagenes/NAUTICA_CLASSICS_117001619_BLK_2.jpg")</f>
        <v/>
      </c>
      <c r="N1115">
        <f>IMAGE("file:///E:/Estudios%20y%20certificaciones/ESTUDIOS%20DE%20PROGRAMMING/PROGRAMMING/PERSONAL/PYTHON/Image_Generator_API/imagenes/NAUTICA_CLASSICS_117001619_BLK_3.jpg")</f>
        <v/>
      </c>
      <c r="O1115">
        <f>HYPERLINK("imagenes/NAUTICA_CLASSICS_117001619_BLK_1.jpg","Ver imagen")</f>
        <v/>
      </c>
      <c r="P1115">
        <f>HYPERLINK("imagenes/NAUTICA_CLASSICS_117001619_BLK_2.jpg","Ver imagen")</f>
        <v/>
      </c>
      <c r="Q1115">
        <f>HYPERLINK("imagenes/NAUTICA_CLASSICS_117001619_BLK_3.jpg","Ver imagen")</f>
        <v/>
      </c>
    </row>
    <row r="1116">
      <c r="A1116" t="inlineStr">
        <is>
          <t>NAUTICA CLASSICS</t>
        </is>
      </c>
      <c r="B1116" t="inlineStr">
        <is>
          <t>117001619</t>
        </is>
      </c>
      <c r="C1116" t="inlineStr">
        <is>
          <t>NAUTICA WOMENS PLUS SIZE PUFFER</t>
        </is>
      </c>
      <c r="D1116" t="inlineStr">
        <is>
          <t>NSS</t>
        </is>
      </c>
      <c r="E1116" t="inlineStr">
        <is>
          <t>(en blanco)</t>
        </is>
      </c>
      <c r="F1116" t="inlineStr">
        <is>
          <t>(en blanco)</t>
        </is>
      </c>
      <c r="G1116" t="inlineStr">
        <is>
          <t>1X</t>
        </is>
      </c>
      <c r="H1116" t="n">
        <v>14</v>
      </c>
      <c r="I1116" t="inlineStr">
        <is>
          <t>NAUTICA_CLASSICS_117001619_NSS_1.jpg</t>
        </is>
      </c>
      <c r="J1116" t="inlineStr">
        <is>
          <t>NAUTICA_CLASSICS_117001619_NSS_2.jpg</t>
        </is>
      </c>
      <c r="K1116" t="inlineStr">
        <is>
          <t>NAUTICA_CLASSICS_117001619_NSS_3.jpg</t>
        </is>
      </c>
      <c r="L1116">
        <f>IMAGE("file:///E:/Estudios%20y%20certificaciones/ESTUDIOS%20DE%20PROGRAMMING/PROGRAMMING/PERSONAL/PYTHON/Image_Generator_API/imagenes/NAUTICA_CLASSICS_117001619_NSS_1.jpg")</f>
        <v/>
      </c>
      <c r="M1116">
        <f>IMAGE("file:///E:/Estudios%20y%20certificaciones/ESTUDIOS%20DE%20PROGRAMMING/PROGRAMMING/PERSONAL/PYTHON/Image_Generator_API/imagenes/NAUTICA_CLASSICS_117001619_NSS_2.jpg")</f>
        <v/>
      </c>
      <c r="N1116">
        <f>IMAGE("file:///E:/Estudios%20y%20certificaciones/ESTUDIOS%20DE%20PROGRAMMING/PROGRAMMING/PERSONAL/PYTHON/Image_Generator_API/imagenes/NAUTICA_CLASSICS_117001619_NSS_3.jpg")</f>
        <v/>
      </c>
      <c r="O1116">
        <f>HYPERLINK("imagenes/NAUTICA_CLASSICS_117001619_NSS_1.jpg","Ver imagen")</f>
        <v/>
      </c>
      <c r="P1116">
        <f>HYPERLINK("imagenes/NAUTICA_CLASSICS_117001619_NSS_2.jpg","Ver imagen")</f>
        <v/>
      </c>
      <c r="Q1116">
        <f>HYPERLINK("imagenes/NAUTICA_CLASSICS_117001619_NSS_3.jpg","Ver imagen")</f>
        <v/>
      </c>
    </row>
    <row r="1117">
      <c r="A1117" t="inlineStr">
        <is>
          <t>NAUTICA CLASSICS</t>
        </is>
      </c>
      <c r="B1117" t="inlineStr">
        <is>
          <t>117001619</t>
        </is>
      </c>
      <c r="C1117" t="inlineStr">
        <is>
          <t>NAUTICA WOMENS PLUS SIZE PUFFER</t>
        </is>
      </c>
      <c r="D1117" t="inlineStr">
        <is>
          <t>NSS</t>
        </is>
      </c>
      <c r="E1117" t="inlineStr">
        <is>
          <t>(en blanco)</t>
        </is>
      </c>
      <c r="F1117" t="inlineStr">
        <is>
          <t>(en blanco)</t>
        </is>
      </c>
      <c r="G1117" t="inlineStr">
        <is>
          <t>2X</t>
        </is>
      </c>
      <c r="H1117" t="n">
        <v>9</v>
      </c>
      <c r="I1117" t="inlineStr">
        <is>
          <t>NAUTICA_CLASSICS_117001619_NSS_1.jpg</t>
        </is>
      </c>
      <c r="J1117" t="inlineStr">
        <is>
          <t>NAUTICA_CLASSICS_117001619_NSS_2.jpg</t>
        </is>
      </c>
      <c r="K1117" t="inlineStr">
        <is>
          <t>NAUTICA_CLASSICS_117001619_NSS_3.jpg</t>
        </is>
      </c>
      <c r="L1117">
        <f>IMAGE("file:///E:/Estudios%20y%20certificaciones/ESTUDIOS%20DE%20PROGRAMMING/PROGRAMMING/PERSONAL/PYTHON/Image_Generator_API/imagenes/NAUTICA_CLASSICS_117001619_NSS_1.jpg")</f>
        <v/>
      </c>
      <c r="M1117">
        <f>IMAGE("file:///E:/Estudios%20y%20certificaciones/ESTUDIOS%20DE%20PROGRAMMING/PROGRAMMING/PERSONAL/PYTHON/Image_Generator_API/imagenes/NAUTICA_CLASSICS_117001619_NSS_2.jpg")</f>
        <v/>
      </c>
      <c r="N1117">
        <f>IMAGE("file:///E:/Estudios%20y%20certificaciones/ESTUDIOS%20DE%20PROGRAMMING/PROGRAMMING/PERSONAL/PYTHON/Image_Generator_API/imagenes/NAUTICA_CLASSICS_117001619_NSS_3.jpg")</f>
        <v/>
      </c>
      <c r="O1117">
        <f>HYPERLINK("imagenes/NAUTICA_CLASSICS_117001619_NSS_1.jpg","Ver imagen")</f>
        <v/>
      </c>
      <c r="P1117">
        <f>HYPERLINK("imagenes/NAUTICA_CLASSICS_117001619_NSS_2.jpg","Ver imagen")</f>
        <v/>
      </c>
      <c r="Q1117">
        <f>HYPERLINK("imagenes/NAUTICA_CLASSICS_117001619_NSS_3.jpg","Ver imagen")</f>
        <v/>
      </c>
    </row>
    <row r="1118">
      <c r="A1118" t="inlineStr">
        <is>
          <t>NAUTICA CLASSICS</t>
        </is>
      </c>
      <c r="B1118" t="inlineStr">
        <is>
          <t>117001619</t>
        </is>
      </c>
      <c r="C1118" t="inlineStr">
        <is>
          <t>NAUTICA WOMENS PLUS SIZE PUFFER</t>
        </is>
      </c>
      <c r="D1118" t="inlineStr">
        <is>
          <t>NSS</t>
        </is>
      </c>
      <c r="E1118" t="inlineStr">
        <is>
          <t>(en blanco)</t>
        </is>
      </c>
      <c r="F1118" t="inlineStr">
        <is>
          <t>(en blanco)</t>
        </is>
      </c>
      <c r="G1118" t="inlineStr">
        <is>
          <t>3X</t>
        </is>
      </c>
      <c r="H1118" t="n">
        <v>21</v>
      </c>
      <c r="I1118" t="inlineStr">
        <is>
          <t>NAUTICA_CLASSICS_117001619_NSS_1.jpg</t>
        </is>
      </c>
      <c r="J1118" t="inlineStr">
        <is>
          <t>NAUTICA_CLASSICS_117001619_NSS_2.jpg</t>
        </is>
      </c>
      <c r="K1118" t="inlineStr">
        <is>
          <t>NAUTICA_CLASSICS_117001619_NSS_3.jpg</t>
        </is>
      </c>
      <c r="L1118">
        <f>IMAGE("file:///E:/Estudios%20y%20certificaciones/ESTUDIOS%20DE%20PROGRAMMING/PROGRAMMING/PERSONAL/PYTHON/Image_Generator_API/imagenes/NAUTICA_CLASSICS_117001619_NSS_1.jpg")</f>
        <v/>
      </c>
      <c r="M1118">
        <f>IMAGE("file:///E:/Estudios%20y%20certificaciones/ESTUDIOS%20DE%20PROGRAMMING/PROGRAMMING/PERSONAL/PYTHON/Image_Generator_API/imagenes/NAUTICA_CLASSICS_117001619_NSS_2.jpg")</f>
        <v/>
      </c>
      <c r="N1118">
        <f>IMAGE("file:///E:/Estudios%20y%20certificaciones/ESTUDIOS%20DE%20PROGRAMMING/PROGRAMMING/PERSONAL/PYTHON/Image_Generator_API/imagenes/NAUTICA_CLASSICS_117001619_NSS_3.jpg")</f>
        <v/>
      </c>
      <c r="O1118">
        <f>HYPERLINK("imagenes/NAUTICA_CLASSICS_117001619_NSS_1.jpg","Ver imagen")</f>
        <v/>
      </c>
      <c r="P1118">
        <f>HYPERLINK("imagenes/NAUTICA_CLASSICS_117001619_NSS_2.jpg","Ver imagen")</f>
        <v/>
      </c>
      <c r="Q1118">
        <f>HYPERLINK("imagenes/NAUTICA_CLASSICS_117001619_NSS_3.jpg","Ver imagen")</f>
        <v/>
      </c>
    </row>
    <row r="1119">
      <c r="A1119" t="inlineStr">
        <is>
          <t>NAUTICA CLASSICS</t>
        </is>
      </c>
      <c r="B1119" t="inlineStr">
        <is>
          <t>117001619</t>
        </is>
      </c>
      <c r="C1119" t="inlineStr">
        <is>
          <t>NAUTICA WOMENS PLUS SIZE PUFFER</t>
        </is>
      </c>
      <c r="D1119" t="inlineStr">
        <is>
          <t>SPQ</t>
        </is>
      </c>
      <c r="E1119" t="inlineStr">
        <is>
          <t>(en blanco)</t>
        </is>
      </c>
      <c r="F1119" t="inlineStr">
        <is>
          <t>(en blanco)</t>
        </is>
      </c>
      <c r="G1119" t="inlineStr">
        <is>
          <t>1X</t>
        </is>
      </c>
      <c r="H1119" t="n">
        <v>18</v>
      </c>
      <c r="I1119" t="inlineStr">
        <is>
          <t>NAUTICA_CLASSICS_117001619_SPQ_1.jpg</t>
        </is>
      </c>
      <c r="J1119" t="inlineStr">
        <is>
          <t>NAUTICA_CLASSICS_117001619_SPQ_2.jpg</t>
        </is>
      </c>
      <c r="K1119" t="inlineStr">
        <is>
          <t>NAUTICA_CLASSICS_117001619_SPQ_3.jpg</t>
        </is>
      </c>
      <c r="L1119">
        <f>IMAGE("file:///E:/Estudios%20y%20certificaciones/ESTUDIOS%20DE%20PROGRAMMING/PROGRAMMING/PERSONAL/PYTHON/Image_Generator_API/imagenes/NAUTICA_CLASSICS_117001619_SPQ_1.jpg")</f>
        <v/>
      </c>
      <c r="M1119">
        <f>IMAGE("file:///E:/Estudios%20y%20certificaciones/ESTUDIOS%20DE%20PROGRAMMING/PROGRAMMING/PERSONAL/PYTHON/Image_Generator_API/imagenes/NAUTICA_CLASSICS_117001619_SPQ_2.jpg")</f>
        <v/>
      </c>
      <c r="N1119">
        <f>IMAGE("file:///E:/Estudios%20y%20certificaciones/ESTUDIOS%20DE%20PROGRAMMING/PROGRAMMING/PERSONAL/PYTHON/Image_Generator_API/imagenes/NAUTICA_CLASSICS_117001619_SPQ_3.jpg")</f>
        <v/>
      </c>
      <c r="O1119">
        <f>HYPERLINK("imagenes/NAUTICA_CLASSICS_117001619_SPQ_1.jpg","Ver imagen")</f>
        <v/>
      </c>
      <c r="P1119">
        <f>HYPERLINK("imagenes/NAUTICA_CLASSICS_117001619_SPQ_2.jpg","Ver imagen")</f>
        <v/>
      </c>
      <c r="Q1119">
        <f>HYPERLINK("imagenes/NAUTICA_CLASSICS_117001619_SPQ_3.jpg","Ver imagen")</f>
        <v/>
      </c>
    </row>
    <row r="1120">
      <c r="A1120" t="inlineStr">
        <is>
          <t>NAUTICA CLASSICS</t>
        </is>
      </c>
      <c r="B1120" t="inlineStr">
        <is>
          <t>117001619</t>
        </is>
      </c>
      <c r="C1120" t="inlineStr">
        <is>
          <t>NAUTICA WOMENS PLUS SIZE PUFFER</t>
        </is>
      </c>
      <c r="D1120" t="inlineStr">
        <is>
          <t>SPQ</t>
        </is>
      </c>
      <c r="E1120" t="inlineStr">
        <is>
          <t>(en blanco)</t>
        </is>
      </c>
      <c r="F1120" t="inlineStr">
        <is>
          <t>(en blanco)</t>
        </is>
      </c>
      <c r="G1120" t="inlineStr">
        <is>
          <t>2X</t>
        </is>
      </c>
      <c r="H1120" t="n">
        <v>18</v>
      </c>
      <c r="I1120" t="inlineStr">
        <is>
          <t>NAUTICA_CLASSICS_117001619_SPQ_1.jpg</t>
        </is>
      </c>
      <c r="J1120" t="inlineStr">
        <is>
          <t>NAUTICA_CLASSICS_117001619_SPQ_2.jpg</t>
        </is>
      </c>
      <c r="K1120" t="inlineStr">
        <is>
          <t>NAUTICA_CLASSICS_117001619_SPQ_3.jpg</t>
        </is>
      </c>
      <c r="L1120">
        <f>IMAGE("file:///E:/Estudios%20y%20certificaciones/ESTUDIOS%20DE%20PROGRAMMING/PROGRAMMING/PERSONAL/PYTHON/Image_Generator_API/imagenes/NAUTICA_CLASSICS_117001619_SPQ_1.jpg")</f>
        <v/>
      </c>
      <c r="M1120">
        <f>IMAGE("file:///E:/Estudios%20y%20certificaciones/ESTUDIOS%20DE%20PROGRAMMING/PROGRAMMING/PERSONAL/PYTHON/Image_Generator_API/imagenes/NAUTICA_CLASSICS_117001619_SPQ_2.jpg")</f>
        <v/>
      </c>
      <c r="N1120">
        <f>IMAGE("file:///E:/Estudios%20y%20certificaciones/ESTUDIOS%20DE%20PROGRAMMING/PROGRAMMING/PERSONAL/PYTHON/Image_Generator_API/imagenes/NAUTICA_CLASSICS_117001619_SPQ_3.jpg")</f>
        <v/>
      </c>
      <c r="O1120">
        <f>HYPERLINK("imagenes/NAUTICA_CLASSICS_117001619_SPQ_1.jpg","Ver imagen")</f>
        <v/>
      </c>
      <c r="P1120">
        <f>HYPERLINK("imagenes/NAUTICA_CLASSICS_117001619_SPQ_2.jpg","Ver imagen")</f>
        <v/>
      </c>
      <c r="Q1120">
        <f>HYPERLINK("imagenes/NAUTICA_CLASSICS_117001619_SPQ_3.jpg","Ver imagen")</f>
        <v/>
      </c>
    </row>
    <row r="1121">
      <c r="A1121" t="inlineStr">
        <is>
          <t>NAUTICA CLASSICS</t>
        </is>
      </c>
      <c r="B1121" t="inlineStr">
        <is>
          <t>117001619</t>
        </is>
      </c>
      <c r="C1121" t="inlineStr">
        <is>
          <t>NAUTICA WOMENS PLUS SIZE PUFFER</t>
        </is>
      </c>
      <c r="D1121" t="inlineStr">
        <is>
          <t>SPQ</t>
        </is>
      </c>
      <c r="E1121" t="inlineStr">
        <is>
          <t>(en blanco)</t>
        </is>
      </c>
      <c r="F1121" t="inlineStr">
        <is>
          <t>(en blanco)</t>
        </is>
      </c>
      <c r="G1121" t="inlineStr">
        <is>
          <t>3X</t>
        </is>
      </c>
      <c r="H1121" t="n">
        <v>19</v>
      </c>
      <c r="I1121" t="inlineStr">
        <is>
          <t>NAUTICA_CLASSICS_117001619_SPQ_1.jpg</t>
        </is>
      </c>
      <c r="J1121" t="inlineStr">
        <is>
          <t>NAUTICA_CLASSICS_117001619_SPQ_2.jpg</t>
        </is>
      </c>
      <c r="K1121" t="inlineStr">
        <is>
          <t>NAUTICA_CLASSICS_117001619_SPQ_3.jpg</t>
        </is>
      </c>
      <c r="L1121">
        <f>IMAGE("file:///E:/Estudios%20y%20certificaciones/ESTUDIOS%20DE%20PROGRAMMING/PROGRAMMING/PERSONAL/PYTHON/Image_Generator_API/imagenes/NAUTICA_CLASSICS_117001619_SPQ_1.jpg")</f>
        <v/>
      </c>
      <c r="M1121">
        <f>IMAGE("file:///E:/Estudios%20y%20certificaciones/ESTUDIOS%20DE%20PROGRAMMING/PROGRAMMING/PERSONAL/PYTHON/Image_Generator_API/imagenes/NAUTICA_CLASSICS_117001619_SPQ_2.jpg")</f>
        <v/>
      </c>
      <c r="N1121">
        <f>IMAGE("file:///E:/Estudios%20y%20certificaciones/ESTUDIOS%20DE%20PROGRAMMING/PROGRAMMING/PERSONAL/PYTHON/Image_Generator_API/imagenes/NAUTICA_CLASSICS_117001619_SPQ_3.jpg")</f>
        <v/>
      </c>
      <c r="O1121">
        <f>HYPERLINK("imagenes/NAUTICA_CLASSICS_117001619_SPQ_1.jpg","Ver imagen")</f>
        <v/>
      </c>
      <c r="P1121">
        <f>HYPERLINK("imagenes/NAUTICA_CLASSICS_117001619_SPQ_2.jpg","Ver imagen")</f>
        <v/>
      </c>
      <c r="Q1121">
        <f>HYPERLINK("imagenes/NAUTICA_CLASSICS_117001619_SPQ_3.jpg","Ver imagen")</f>
        <v/>
      </c>
    </row>
    <row r="1122">
      <c r="A1122" t="inlineStr">
        <is>
          <t>NAUTICA CLASSICS</t>
        </is>
      </c>
      <c r="B1122" t="inlineStr">
        <is>
          <t>117001645</t>
        </is>
      </c>
      <c r="C1122" t="inlineStr">
        <is>
          <t>NAUTICA STRETCH LONG PUFFER PLUS SIZE</t>
        </is>
      </c>
      <c r="D1122" t="inlineStr">
        <is>
          <t>BLK</t>
        </is>
      </c>
      <c r="E1122" t="inlineStr">
        <is>
          <t>(en blanco)</t>
        </is>
      </c>
      <c r="F1122" t="inlineStr">
        <is>
          <t>(en blanco)</t>
        </is>
      </c>
      <c r="G1122" t="inlineStr">
        <is>
          <t>0X</t>
        </is>
      </c>
      <c r="H1122" t="n">
        <v>8</v>
      </c>
      <c r="I1122" t="inlineStr">
        <is>
          <t>NAUTICA_CLASSICS_117001645_BLK_1.jpg</t>
        </is>
      </c>
      <c r="J1122" t="inlineStr">
        <is>
          <t>NAUTICA_CLASSICS_117001645_BLK_2.jpg</t>
        </is>
      </c>
      <c r="K1122" t="inlineStr">
        <is>
          <t>NAUTICA_CLASSICS_117001645_BLK_3.jpg</t>
        </is>
      </c>
      <c r="L1122">
        <f>IMAGE("file:///E:/Estudios%20y%20certificaciones/ESTUDIOS%20DE%20PROGRAMMING/PROGRAMMING/PERSONAL/PYTHON/Image_Generator_API/imagenes/NAUTICA_CLASSICS_117001645_BLK_1.jpg")</f>
        <v/>
      </c>
      <c r="M1122">
        <f>IMAGE("file:///E:/Estudios%20y%20certificaciones/ESTUDIOS%20DE%20PROGRAMMING/PROGRAMMING/PERSONAL/PYTHON/Image_Generator_API/imagenes/NAUTICA_CLASSICS_117001645_BLK_2.jpg")</f>
        <v/>
      </c>
      <c r="N1122">
        <f>IMAGE("file:///E:/Estudios%20y%20certificaciones/ESTUDIOS%20DE%20PROGRAMMING/PROGRAMMING/PERSONAL/PYTHON/Image_Generator_API/imagenes/NAUTICA_CLASSICS_117001645_BLK_3.jpg")</f>
        <v/>
      </c>
      <c r="O1122">
        <f>HYPERLINK("imagenes/NAUTICA_CLASSICS_117001645_BLK_1.jpg","Ver imagen")</f>
        <v/>
      </c>
      <c r="P1122">
        <f>HYPERLINK("imagenes/NAUTICA_CLASSICS_117001645_BLK_2.jpg","Ver imagen")</f>
        <v/>
      </c>
      <c r="Q1122">
        <f>HYPERLINK("imagenes/NAUTICA_CLASSICS_117001645_BLK_3.jpg","Ver imagen")</f>
        <v/>
      </c>
    </row>
    <row r="1123">
      <c r="A1123" t="inlineStr">
        <is>
          <t>NAUTICA CLASSICS</t>
        </is>
      </c>
      <c r="B1123" t="inlineStr">
        <is>
          <t>117001645</t>
        </is>
      </c>
      <c r="C1123" t="inlineStr">
        <is>
          <t>NAUTICA STRETCH LONG PUFFER PLUS SIZE</t>
        </is>
      </c>
      <c r="D1123" t="inlineStr">
        <is>
          <t>BLK</t>
        </is>
      </c>
      <c r="E1123" t="inlineStr">
        <is>
          <t>(en blanco)</t>
        </is>
      </c>
      <c r="F1123" t="inlineStr">
        <is>
          <t>(en blanco)</t>
        </is>
      </c>
      <c r="G1123" t="inlineStr">
        <is>
          <t>1X</t>
        </is>
      </c>
      <c r="H1123" t="n">
        <v>1</v>
      </c>
      <c r="I1123" t="inlineStr">
        <is>
          <t>NAUTICA_CLASSICS_117001645_BLK_1.jpg</t>
        </is>
      </c>
      <c r="J1123" t="inlineStr">
        <is>
          <t>NAUTICA_CLASSICS_117001645_BLK_2.jpg</t>
        </is>
      </c>
      <c r="K1123" t="inlineStr">
        <is>
          <t>NAUTICA_CLASSICS_117001645_BLK_3.jpg</t>
        </is>
      </c>
      <c r="L1123">
        <f>IMAGE("file:///E:/Estudios%20y%20certificaciones/ESTUDIOS%20DE%20PROGRAMMING/PROGRAMMING/PERSONAL/PYTHON/Image_Generator_API/imagenes/NAUTICA_CLASSICS_117001645_BLK_1.jpg")</f>
        <v/>
      </c>
      <c r="M1123">
        <f>IMAGE("file:///E:/Estudios%20y%20certificaciones/ESTUDIOS%20DE%20PROGRAMMING/PROGRAMMING/PERSONAL/PYTHON/Image_Generator_API/imagenes/NAUTICA_CLASSICS_117001645_BLK_2.jpg")</f>
        <v/>
      </c>
      <c r="N1123">
        <f>IMAGE("file:///E:/Estudios%20y%20certificaciones/ESTUDIOS%20DE%20PROGRAMMING/PROGRAMMING/PERSONAL/PYTHON/Image_Generator_API/imagenes/NAUTICA_CLASSICS_117001645_BLK_3.jpg")</f>
        <v/>
      </c>
      <c r="O1123">
        <f>HYPERLINK("imagenes/NAUTICA_CLASSICS_117001645_BLK_1.jpg","Ver imagen")</f>
        <v/>
      </c>
      <c r="P1123">
        <f>HYPERLINK("imagenes/NAUTICA_CLASSICS_117001645_BLK_2.jpg","Ver imagen")</f>
        <v/>
      </c>
      <c r="Q1123">
        <f>HYPERLINK("imagenes/NAUTICA_CLASSICS_117001645_BLK_3.jpg","Ver imagen")</f>
        <v/>
      </c>
    </row>
    <row r="1124">
      <c r="A1124" t="inlineStr">
        <is>
          <t>NAUTICA CLASSICS</t>
        </is>
      </c>
      <c r="B1124" t="inlineStr">
        <is>
          <t>117001645</t>
        </is>
      </c>
      <c r="C1124" t="inlineStr">
        <is>
          <t>NAUTICA STRETCH LONG PUFFER PLUS SIZE</t>
        </is>
      </c>
      <c r="D1124" t="inlineStr">
        <is>
          <t>BLK</t>
        </is>
      </c>
      <c r="E1124" t="inlineStr">
        <is>
          <t>(en blanco)</t>
        </is>
      </c>
      <c r="F1124" t="inlineStr">
        <is>
          <t>(en blanco)</t>
        </is>
      </c>
      <c r="G1124" t="inlineStr">
        <is>
          <t>2X</t>
        </is>
      </c>
      <c r="H1124" t="n">
        <v>3</v>
      </c>
      <c r="I1124" t="inlineStr">
        <is>
          <t>NAUTICA_CLASSICS_117001645_BLK_1.jpg</t>
        </is>
      </c>
      <c r="J1124" t="inlineStr">
        <is>
          <t>NAUTICA_CLASSICS_117001645_BLK_2.jpg</t>
        </is>
      </c>
      <c r="K1124" t="inlineStr">
        <is>
          <t>NAUTICA_CLASSICS_117001645_BLK_3.jpg</t>
        </is>
      </c>
      <c r="L1124">
        <f>IMAGE("file:///E:/Estudios%20y%20certificaciones/ESTUDIOS%20DE%20PROGRAMMING/PROGRAMMING/PERSONAL/PYTHON/Image_Generator_API/imagenes/NAUTICA_CLASSICS_117001645_BLK_1.jpg")</f>
        <v/>
      </c>
      <c r="M1124">
        <f>IMAGE("file:///E:/Estudios%20y%20certificaciones/ESTUDIOS%20DE%20PROGRAMMING/PROGRAMMING/PERSONAL/PYTHON/Image_Generator_API/imagenes/NAUTICA_CLASSICS_117001645_BLK_2.jpg")</f>
        <v/>
      </c>
      <c r="N1124">
        <f>IMAGE("file:///E:/Estudios%20y%20certificaciones/ESTUDIOS%20DE%20PROGRAMMING/PROGRAMMING/PERSONAL/PYTHON/Image_Generator_API/imagenes/NAUTICA_CLASSICS_117001645_BLK_3.jpg")</f>
        <v/>
      </c>
      <c r="O1124">
        <f>HYPERLINK("imagenes/NAUTICA_CLASSICS_117001645_BLK_1.jpg","Ver imagen")</f>
        <v/>
      </c>
      <c r="P1124">
        <f>HYPERLINK("imagenes/NAUTICA_CLASSICS_117001645_BLK_2.jpg","Ver imagen")</f>
        <v/>
      </c>
      <c r="Q1124">
        <f>HYPERLINK("imagenes/NAUTICA_CLASSICS_117001645_BLK_3.jpg","Ver imagen")</f>
        <v/>
      </c>
    </row>
    <row r="1125">
      <c r="A1125" t="inlineStr">
        <is>
          <t>NAUTICA CLASSICS</t>
        </is>
      </c>
      <c r="B1125" t="inlineStr">
        <is>
          <t>117001645</t>
        </is>
      </c>
      <c r="C1125" t="inlineStr">
        <is>
          <t>NAUTICA STRETCH LONG PUFFER PLUS SIZE</t>
        </is>
      </c>
      <c r="D1125" t="inlineStr">
        <is>
          <t>BLK</t>
        </is>
      </c>
      <c r="E1125" t="inlineStr">
        <is>
          <t>(en blanco)</t>
        </is>
      </c>
      <c r="F1125" t="inlineStr">
        <is>
          <t>(en blanco)</t>
        </is>
      </c>
      <c r="G1125" t="inlineStr">
        <is>
          <t>3X</t>
        </is>
      </c>
      <c r="H1125" t="n">
        <v>4</v>
      </c>
      <c r="I1125" t="inlineStr">
        <is>
          <t>NAUTICA_CLASSICS_117001645_BLK_1.jpg</t>
        </is>
      </c>
      <c r="J1125" t="inlineStr">
        <is>
          <t>NAUTICA_CLASSICS_117001645_BLK_2.jpg</t>
        </is>
      </c>
      <c r="K1125" t="inlineStr">
        <is>
          <t>NAUTICA_CLASSICS_117001645_BLK_3.jpg</t>
        </is>
      </c>
      <c r="L1125">
        <f>IMAGE("file:///E:/Estudios%20y%20certificaciones/ESTUDIOS%20DE%20PROGRAMMING/PROGRAMMING/PERSONAL/PYTHON/Image_Generator_API/imagenes/NAUTICA_CLASSICS_117001645_BLK_1.jpg")</f>
        <v/>
      </c>
      <c r="M1125">
        <f>IMAGE("file:///E:/Estudios%20y%20certificaciones/ESTUDIOS%20DE%20PROGRAMMING/PROGRAMMING/PERSONAL/PYTHON/Image_Generator_API/imagenes/NAUTICA_CLASSICS_117001645_BLK_2.jpg")</f>
        <v/>
      </c>
      <c r="N1125">
        <f>IMAGE("file:///E:/Estudios%20y%20certificaciones/ESTUDIOS%20DE%20PROGRAMMING/PROGRAMMING/PERSONAL/PYTHON/Image_Generator_API/imagenes/NAUTICA_CLASSICS_117001645_BLK_3.jpg")</f>
        <v/>
      </c>
      <c r="O1125">
        <f>HYPERLINK("imagenes/NAUTICA_CLASSICS_117001645_BLK_1.jpg","Ver imagen")</f>
        <v/>
      </c>
      <c r="P1125">
        <f>HYPERLINK("imagenes/NAUTICA_CLASSICS_117001645_BLK_2.jpg","Ver imagen")</f>
        <v/>
      </c>
      <c r="Q1125">
        <f>HYPERLINK("imagenes/NAUTICA_CLASSICS_117001645_BLK_3.jpg","Ver imagen")</f>
        <v/>
      </c>
    </row>
    <row r="1126">
      <c r="A1126" t="inlineStr">
        <is>
          <t>NAUTICA CLASSICS</t>
        </is>
      </c>
      <c r="B1126" t="inlineStr">
        <is>
          <t>117001645</t>
        </is>
      </c>
      <c r="C1126" t="inlineStr">
        <is>
          <t>NAUTICA STRETCH LONG PUFFER PLUS SIZE</t>
        </is>
      </c>
      <c r="D1126" t="inlineStr">
        <is>
          <t>NSS</t>
        </is>
      </c>
      <c r="E1126" t="inlineStr">
        <is>
          <t>(en blanco)</t>
        </is>
      </c>
      <c r="F1126" t="inlineStr">
        <is>
          <t>(en blanco)</t>
        </is>
      </c>
      <c r="G1126" t="inlineStr">
        <is>
          <t>0X</t>
        </is>
      </c>
      <c r="H1126" t="n">
        <v>32</v>
      </c>
      <c r="I1126" t="inlineStr">
        <is>
          <t>NAUTICA_CLASSICS_117001645_NSS_1.jpg</t>
        </is>
      </c>
      <c r="J1126" t="inlineStr">
        <is>
          <t>NAUTICA_CLASSICS_117001645_NSS_2.jpg</t>
        </is>
      </c>
      <c r="K1126" t="inlineStr">
        <is>
          <t>NAUTICA_CLASSICS_117001645_NSS_3.jpg</t>
        </is>
      </c>
      <c r="L1126">
        <f>IMAGE("file:///E:/Estudios%20y%20certificaciones/ESTUDIOS%20DE%20PROGRAMMING/PROGRAMMING/PERSONAL/PYTHON/Image_Generator_API/imagenes/NAUTICA_CLASSICS_117001645_NSS_1.jpg")</f>
        <v/>
      </c>
      <c r="M1126">
        <f>IMAGE("file:///E:/Estudios%20y%20certificaciones/ESTUDIOS%20DE%20PROGRAMMING/PROGRAMMING/PERSONAL/PYTHON/Image_Generator_API/imagenes/NAUTICA_CLASSICS_117001645_NSS_2.jpg")</f>
        <v/>
      </c>
      <c r="N1126">
        <f>IMAGE("file:///E:/Estudios%20y%20certificaciones/ESTUDIOS%20DE%20PROGRAMMING/PROGRAMMING/PERSONAL/PYTHON/Image_Generator_API/imagenes/NAUTICA_CLASSICS_117001645_NSS_3.jpg")</f>
        <v/>
      </c>
      <c r="O1126">
        <f>HYPERLINK("imagenes/NAUTICA_CLASSICS_117001645_NSS_1.jpg","Ver imagen")</f>
        <v/>
      </c>
      <c r="P1126">
        <f>HYPERLINK("imagenes/NAUTICA_CLASSICS_117001645_NSS_2.jpg","Ver imagen")</f>
        <v/>
      </c>
      <c r="Q1126">
        <f>HYPERLINK("imagenes/NAUTICA_CLASSICS_117001645_NSS_3.jpg","Ver imagen")</f>
        <v/>
      </c>
    </row>
    <row r="1127">
      <c r="A1127" t="inlineStr">
        <is>
          <t>NAUTICA CLASSICS</t>
        </is>
      </c>
      <c r="B1127" t="inlineStr">
        <is>
          <t>117001645</t>
        </is>
      </c>
      <c r="C1127" t="inlineStr">
        <is>
          <t>NAUTICA STRETCH LONG PUFFER PLUS SIZE</t>
        </is>
      </c>
      <c r="D1127" t="inlineStr">
        <is>
          <t>NSS</t>
        </is>
      </c>
      <c r="E1127" t="inlineStr">
        <is>
          <t>(en blanco)</t>
        </is>
      </c>
      <c r="F1127" t="inlineStr">
        <is>
          <t>(en blanco)</t>
        </is>
      </c>
      <c r="G1127" t="inlineStr">
        <is>
          <t>1X</t>
        </is>
      </c>
      <c r="H1127" t="n">
        <v>2</v>
      </c>
      <c r="I1127" t="inlineStr">
        <is>
          <t>NAUTICA_CLASSICS_117001645_NSS_1.jpg</t>
        </is>
      </c>
      <c r="J1127" t="inlineStr">
        <is>
          <t>NAUTICA_CLASSICS_117001645_NSS_2.jpg</t>
        </is>
      </c>
      <c r="K1127" t="inlineStr">
        <is>
          <t>NAUTICA_CLASSICS_117001645_NSS_3.jpg</t>
        </is>
      </c>
      <c r="L1127">
        <f>IMAGE("file:///E:/Estudios%20y%20certificaciones/ESTUDIOS%20DE%20PROGRAMMING/PROGRAMMING/PERSONAL/PYTHON/Image_Generator_API/imagenes/NAUTICA_CLASSICS_117001645_NSS_1.jpg")</f>
        <v/>
      </c>
      <c r="M1127">
        <f>IMAGE("file:///E:/Estudios%20y%20certificaciones/ESTUDIOS%20DE%20PROGRAMMING/PROGRAMMING/PERSONAL/PYTHON/Image_Generator_API/imagenes/NAUTICA_CLASSICS_117001645_NSS_2.jpg")</f>
        <v/>
      </c>
      <c r="N1127">
        <f>IMAGE("file:///E:/Estudios%20y%20certificaciones/ESTUDIOS%20DE%20PROGRAMMING/PROGRAMMING/PERSONAL/PYTHON/Image_Generator_API/imagenes/NAUTICA_CLASSICS_117001645_NSS_3.jpg")</f>
        <v/>
      </c>
      <c r="O1127">
        <f>HYPERLINK("imagenes/NAUTICA_CLASSICS_117001645_NSS_1.jpg","Ver imagen")</f>
        <v/>
      </c>
      <c r="P1127">
        <f>HYPERLINK("imagenes/NAUTICA_CLASSICS_117001645_NSS_2.jpg","Ver imagen")</f>
        <v/>
      </c>
      <c r="Q1127">
        <f>HYPERLINK("imagenes/NAUTICA_CLASSICS_117001645_NSS_3.jpg","Ver imagen")</f>
        <v/>
      </c>
    </row>
    <row r="1128">
      <c r="A1128" t="inlineStr">
        <is>
          <t>NAUTICA CLASSICS</t>
        </is>
      </c>
      <c r="B1128" t="inlineStr">
        <is>
          <t>117001645</t>
        </is>
      </c>
      <c r="C1128" t="inlineStr">
        <is>
          <t>NAUTICA STRETCH LONG PUFFER PLUS SIZE</t>
        </is>
      </c>
      <c r="D1128" t="inlineStr">
        <is>
          <t>NSS</t>
        </is>
      </c>
      <c r="E1128" t="inlineStr">
        <is>
          <t>(en blanco)</t>
        </is>
      </c>
      <c r="F1128" t="inlineStr">
        <is>
          <t>(en blanco)</t>
        </is>
      </c>
      <c r="G1128" t="inlineStr">
        <is>
          <t>2X</t>
        </is>
      </c>
      <c r="H1128" t="n">
        <v>3</v>
      </c>
      <c r="I1128" t="inlineStr">
        <is>
          <t>NAUTICA_CLASSICS_117001645_NSS_1.jpg</t>
        </is>
      </c>
      <c r="J1128" t="inlineStr">
        <is>
          <t>NAUTICA_CLASSICS_117001645_NSS_2.jpg</t>
        </is>
      </c>
      <c r="K1128" t="inlineStr">
        <is>
          <t>NAUTICA_CLASSICS_117001645_NSS_3.jpg</t>
        </is>
      </c>
      <c r="L1128">
        <f>IMAGE("file:///E:/Estudios%20y%20certificaciones/ESTUDIOS%20DE%20PROGRAMMING/PROGRAMMING/PERSONAL/PYTHON/Image_Generator_API/imagenes/NAUTICA_CLASSICS_117001645_NSS_1.jpg")</f>
        <v/>
      </c>
      <c r="M1128">
        <f>IMAGE("file:///E:/Estudios%20y%20certificaciones/ESTUDIOS%20DE%20PROGRAMMING/PROGRAMMING/PERSONAL/PYTHON/Image_Generator_API/imagenes/NAUTICA_CLASSICS_117001645_NSS_2.jpg")</f>
        <v/>
      </c>
      <c r="N1128">
        <f>IMAGE("file:///E:/Estudios%20y%20certificaciones/ESTUDIOS%20DE%20PROGRAMMING/PROGRAMMING/PERSONAL/PYTHON/Image_Generator_API/imagenes/NAUTICA_CLASSICS_117001645_NSS_3.jpg")</f>
        <v/>
      </c>
      <c r="O1128">
        <f>HYPERLINK("imagenes/NAUTICA_CLASSICS_117001645_NSS_1.jpg","Ver imagen")</f>
        <v/>
      </c>
      <c r="P1128">
        <f>HYPERLINK("imagenes/NAUTICA_CLASSICS_117001645_NSS_2.jpg","Ver imagen")</f>
        <v/>
      </c>
      <c r="Q1128">
        <f>HYPERLINK("imagenes/NAUTICA_CLASSICS_117001645_NSS_3.jpg","Ver imagen")</f>
        <v/>
      </c>
    </row>
    <row r="1129">
      <c r="A1129" t="inlineStr">
        <is>
          <t>NAUTICA CLASSICS</t>
        </is>
      </c>
      <c r="B1129" t="inlineStr">
        <is>
          <t>117001645</t>
        </is>
      </c>
      <c r="C1129" t="inlineStr">
        <is>
          <t>NAUTICA STRETCH LONG PUFFER PLUS SIZE</t>
        </is>
      </c>
      <c r="D1129" t="inlineStr">
        <is>
          <t>NSS</t>
        </is>
      </c>
      <c r="E1129" t="inlineStr">
        <is>
          <t>(en blanco)</t>
        </is>
      </c>
      <c r="F1129" t="inlineStr">
        <is>
          <t>(en blanco)</t>
        </is>
      </c>
      <c r="G1129" t="inlineStr">
        <is>
          <t>3X</t>
        </is>
      </c>
      <c r="H1129" t="n">
        <v>2</v>
      </c>
      <c r="I1129" t="inlineStr">
        <is>
          <t>NAUTICA_CLASSICS_117001645_NSS_1.jpg</t>
        </is>
      </c>
      <c r="J1129" t="inlineStr">
        <is>
          <t>NAUTICA_CLASSICS_117001645_NSS_2.jpg</t>
        </is>
      </c>
      <c r="K1129" t="inlineStr">
        <is>
          <t>NAUTICA_CLASSICS_117001645_NSS_3.jpg</t>
        </is>
      </c>
      <c r="L1129">
        <f>IMAGE("file:///E:/Estudios%20y%20certificaciones/ESTUDIOS%20DE%20PROGRAMMING/PROGRAMMING/PERSONAL/PYTHON/Image_Generator_API/imagenes/NAUTICA_CLASSICS_117001645_NSS_1.jpg")</f>
        <v/>
      </c>
      <c r="M1129">
        <f>IMAGE("file:///E:/Estudios%20y%20certificaciones/ESTUDIOS%20DE%20PROGRAMMING/PROGRAMMING/PERSONAL/PYTHON/Image_Generator_API/imagenes/NAUTICA_CLASSICS_117001645_NSS_2.jpg")</f>
        <v/>
      </c>
      <c r="N1129">
        <f>IMAGE("file:///E:/Estudios%20y%20certificaciones/ESTUDIOS%20DE%20PROGRAMMING/PROGRAMMING/PERSONAL/PYTHON/Image_Generator_API/imagenes/NAUTICA_CLASSICS_117001645_NSS_3.jpg")</f>
        <v/>
      </c>
      <c r="O1129">
        <f>HYPERLINK("imagenes/NAUTICA_CLASSICS_117001645_NSS_1.jpg","Ver imagen")</f>
        <v/>
      </c>
      <c r="P1129">
        <f>HYPERLINK("imagenes/NAUTICA_CLASSICS_117001645_NSS_2.jpg","Ver imagen")</f>
        <v/>
      </c>
      <c r="Q1129">
        <f>HYPERLINK("imagenes/NAUTICA_CLASSICS_117001645_NSS_3.jpg","Ver imagen")</f>
        <v/>
      </c>
    </row>
    <row r="1130">
      <c r="A1130" t="inlineStr">
        <is>
          <t>NAUTICA CLASSICS</t>
        </is>
      </c>
      <c r="B1130" t="inlineStr">
        <is>
          <t>117001645</t>
        </is>
      </c>
      <c r="C1130" t="inlineStr">
        <is>
          <t>NAUTICA STRETCH LONG PUFFER PLUS SIZE</t>
        </is>
      </c>
      <c r="D1130" t="inlineStr">
        <is>
          <t>NSS</t>
        </is>
      </c>
      <c r="E1130" t="inlineStr">
        <is>
          <t>(en blanco)</t>
        </is>
      </c>
      <c r="F1130" t="inlineStr">
        <is>
          <t>(en blanco)</t>
        </is>
      </c>
      <c r="G1130" t="inlineStr">
        <is>
          <t>4X</t>
        </is>
      </c>
      <c r="H1130" t="n">
        <v>1</v>
      </c>
      <c r="I1130" t="inlineStr">
        <is>
          <t>NAUTICA_CLASSICS_117001645_NSS_1.jpg</t>
        </is>
      </c>
      <c r="J1130" t="inlineStr">
        <is>
          <t>NAUTICA_CLASSICS_117001645_NSS_2.jpg</t>
        </is>
      </c>
      <c r="K1130" t="inlineStr">
        <is>
          <t>NAUTICA_CLASSICS_117001645_NSS_3.jpg</t>
        </is>
      </c>
      <c r="L1130">
        <f>IMAGE("file:///E:/Estudios%20y%20certificaciones/ESTUDIOS%20DE%20PROGRAMMING/PROGRAMMING/PERSONAL/PYTHON/Image_Generator_API/imagenes/NAUTICA_CLASSICS_117001645_NSS_1.jpg")</f>
        <v/>
      </c>
      <c r="M1130">
        <f>IMAGE("file:///E:/Estudios%20y%20certificaciones/ESTUDIOS%20DE%20PROGRAMMING/PROGRAMMING/PERSONAL/PYTHON/Image_Generator_API/imagenes/NAUTICA_CLASSICS_117001645_NSS_2.jpg")</f>
        <v/>
      </c>
      <c r="N1130">
        <f>IMAGE("file:///E:/Estudios%20y%20certificaciones/ESTUDIOS%20DE%20PROGRAMMING/PROGRAMMING/PERSONAL/PYTHON/Image_Generator_API/imagenes/NAUTICA_CLASSICS_117001645_NSS_3.jpg")</f>
        <v/>
      </c>
      <c r="O1130">
        <f>HYPERLINK("imagenes/NAUTICA_CLASSICS_117001645_NSS_1.jpg","Ver imagen")</f>
        <v/>
      </c>
      <c r="P1130">
        <f>HYPERLINK("imagenes/NAUTICA_CLASSICS_117001645_NSS_2.jpg","Ver imagen")</f>
        <v/>
      </c>
      <c r="Q1130">
        <f>HYPERLINK("imagenes/NAUTICA_CLASSICS_117001645_NSS_3.jpg","Ver imagen")</f>
        <v/>
      </c>
    </row>
    <row r="1131">
      <c r="A1131" t="inlineStr">
        <is>
          <t>NAUTICA CLASSICS</t>
        </is>
      </c>
      <c r="B1131" t="inlineStr">
        <is>
          <t>117001646</t>
        </is>
      </c>
      <c r="C1131" t="inlineStr">
        <is>
          <t>NAUTICA STRETCH PUFFER W/FUR LINED HOOD</t>
        </is>
      </c>
      <c r="D1131" t="inlineStr">
        <is>
          <t>BLK</t>
        </is>
      </c>
      <c r="E1131" t="inlineStr">
        <is>
          <t>(en blanco)</t>
        </is>
      </c>
      <c r="F1131" t="inlineStr">
        <is>
          <t>(en blanco)</t>
        </is>
      </c>
      <c r="G1131" t="inlineStr">
        <is>
          <t>0X</t>
        </is>
      </c>
      <c r="H1131" t="n">
        <v>2</v>
      </c>
      <c r="I1131" t="inlineStr">
        <is>
          <t>NAUTICA_CLASSICS_117001646_BLK_1.jpg</t>
        </is>
      </c>
      <c r="J1131" t="inlineStr">
        <is>
          <t>NAUTICA_CLASSICS_117001646_BLK_2.jpg</t>
        </is>
      </c>
      <c r="K1131" t="inlineStr">
        <is>
          <t>NAUTICA_CLASSICS_117001646_BLK_3.jpg</t>
        </is>
      </c>
      <c r="L1131">
        <f>IMAGE("file:///E:/Estudios%20y%20certificaciones/ESTUDIOS%20DE%20PROGRAMMING/PROGRAMMING/PERSONAL/PYTHON/Image_Generator_API/imagenes/NAUTICA_CLASSICS_117001646_BLK_1.jpg")</f>
        <v/>
      </c>
      <c r="M1131">
        <f>IMAGE("file:///E:/Estudios%20y%20certificaciones/ESTUDIOS%20DE%20PROGRAMMING/PROGRAMMING/PERSONAL/PYTHON/Image_Generator_API/imagenes/NAUTICA_CLASSICS_117001646_BLK_2.jpg")</f>
        <v/>
      </c>
      <c r="N1131">
        <f>IMAGE("file:///E:/Estudios%20y%20certificaciones/ESTUDIOS%20DE%20PROGRAMMING/PROGRAMMING/PERSONAL/PYTHON/Image_Generator_API/imagenes/NAUTICA_CLASSICS_117001646_BLK_3.jpg")</f>
        <v/>
      </c>
      <c r="O1131">
        <f>HYPERLINK("imagenes/NAUTICA_CLASSICS_117001646_BLK_1.jpg","Ver imagen")</f>
        <v/>
      </c>
      <c r="P1131">
        <f>HYPERLINK("imagenes/NAUTICA_CLASSICS_117001646_BLK_2.jpg","Ver imagen")</f>
        <v/>
      </c>
      <c r="Q1131">
        <f>HYPERLINK("imagenes/NAUTICA_CLASSICS_117001646_BLK_3.jpg","Ver imagen")</f>
        <v/>
      </c>
    </row>
    <row r="1132">
      <c r="A1132" t="inlineStr">
        <is>
          <t>NAUTICA CLASSICS</t>
        </is>
      </c>
      <c r="B1132" t="inlineStr">
        <is>
          <t>117001646</t>
        </is>
      </c>
      <c r="C1132" t="inlineStr">
        <is>
          <t>NAUTICA STRETCH PUFFER W/FUR LINED HOOD</t>
        </is>
      </c>
      <c r="D1132" t="inlineStr">
        <is>
          <t>BLK</t>
        </is>
      </c>
      <c r="E1132" t="inlineStr">
        <is>
          <t>(en blanco)</t>
        </is>
      </c>
      <c r="F1132" t="inlineStr">
        <is>
          <t>(en blanco)</t>
        </is>
      </c>
      <c r="G1132" t="inlineStr">
        <is>
          <t>1X</t>
        </is>
      </c>
      <c r="H1132" t="n">
        <v>1</v>
      </c>
      <c r="I1132" t="inlineStr">
        <is>
          <t>NAUTICA_CLASSICS_117001646_BLK_1.jpg</t>
        </is>
      </c>
      <c r="J1132" t="inlineStr">
        <is>
          <t>NAUTICA_CLASSICS_117001646_BLK_2.jpg</t>
        </is>
      </c>
      <c r="K1132" t="inlineStr">
        <is>
          <t>NAUTICA_CLASSICS_117001646_BLK_3.jpg</t>
        </is>
      </c>
      <c r="L1132">
        <f>IMAGE("file:///E:/Estudios%20y%20certificaciones/ESTUDIOS%20DE%20PROGRAMMING/PROGRAMMING/PERSONAL/PYTHON/Image_Generator_API/imagenes/NAUTICA_CLASSICS_117001646_BLK_1.jpg")</f>
        <v/>
      </c>
      <c r="M1132">
        <f>IMAGE("file:///E:/Estudios%20y%20certificaciones/ESTUDIOS%20DE%20PROGRAMMING/PROGRAMMING/PERSONAL/PYTHON/Image_Generator_API/imagenes/NAUTICA_CLASSICS_117001646_BLK_2.jpg")</f>
        <v/>
      </c>
      <c r="N1132">
        <f>IMAGE("file:///E:/Estudios%20y%20certificaciones/ESTUDIOS%20DE%20PROGRAMMING/PROGRAMMING/PERSONAL/PYTHON/Image_Generator_API/imagenes/NAUTICA_CLASSICS_117001646_BLK_3.jpg")</f>
        <v/>
      </c>
      <c r="O1132">
        <f>HYPERLINK("imagenes/NAUTICA_CLASSICS_117001646_BLK_1.jpg","Ver imagen")</f>
        <v/>
      </c>
      <c r="P1132">
        <f>HYPERLINK("imagenes/NAUTICA_CLASSICS_117001646_BLK_2.jpg","Ver imagen")</f>
        <v/>
      </c>
      <c r="Q1132">
        <f>HYPERLINK("imagenes/NAUTICA_CLASSICS_117001646_BLK_3.jpg","Ver imagen")</f>
        <v/>
      </c>
    </row>
    <row r="1133">
      <c r="A1133" t="inlineStr">
        <is>
          <t>NAUTICA CLASSICS</t>
        </is>
      </c>
      <c r="B1133" t="inlineStr">
        <is>
          <t>117001646</t>
        </is>
      </c>
      <c r="C1133" t="inlineStr">
        <is>
          <t>NAUTICA STRETCH PUFFER W/FUR LINED HOOD</t>
        </is>
      </c>
      <c r="D1133" t="inlineStr">
        <is>
          <t>BLK</t>
        </is>
      </c>
      <c r="E1133" t="inlineStr">
        <is>
          <t>(en blanco)</t>
        </is>
      </c>
      <c r="F1133" t="inlineStr">
        <is>
          <t>(en blanco)</t>
        </is>
      </c>
      <c r="G1133" t="inlineStr">
        <is>
          <t>2X</t>
        </is>
      </c>
      <c r="H1133" t="n">
        <v>2</v>
      </c>
      <c r="I1133" t="inlineStr">
        <is>
          <t>NAUTICA_CLASSICS_117001646_BLK_1.jpg</t>
        </is>
      </c>
      <c r="J1133" t="inlineStr">
        <is>
          <t>NAUTICA_CLASSICS_117001646_BLK_2.jpg</t>
        </is>
      </c>
      <c r="K1133" t="inlineStr">
        <is>
          <t>NAUTICA_CLASSICS_117001646_BLK_3.jpg</t>
        </is>
      </c>
      <c r="L1133">
        <f>IMAGE("file:///E:/Estudios%20y%20certificaciones/ESTUDIOS%20DE%20PROGRAMMING/PROGRAMMING/PERSONAL/PYTHON/Image_Generator_API/imagenes/NAUTICA_CLASSICS_117001646_BLK_1.jpg")</f>
        <v/>
      </c>
      <c r="M1133">
        <f>IMAGE("file:///E:/Estudios%20y%20certificaciones/ESTUDIOS%20DE%20PROGRAMMING/PROGRAMMING/PERSONAL/PYTHON/Image_Generator_API/imagenes/NAUTICA_CLASSICS_117001646_BLK_2.jpg")</f>
        <v/>
      </c>
      <c r="N1133">
        <f>IMAGE("file:///E:/Estudios%20y%20certificaciones/ESTUDIOS%20DE%20PROGRAMMING/PROGRAMMING/PERSONAL/PYTHON/Image_Generator_API/imagenes/NAUTICA_CLASSICS_117001646_BLK_3.jpg")</f>
        <v/>
      </c>
      <c r="O1133">
        <f>HYPERLINK("imagenes/NAUTICA_CLASSICS_117001646_BLK_1.jpg","Ver imagen")</f>
        <v/>
      </c>
      <c r="P1133">
        <f>HYPERLINK("imagenes/NAUTICA_CLASSICS_117001646_BLK_2.jpg","Ver imagen")</f>
        <v/>
      </c>
      <c r="Q1133">
        <f>HYPERLINK("imagenes/NAUTICA_CLASSICS_117001646_BLK_3.jpg","Ver imagen")</f>
        <v/>
      </c>
    </row>
    <row r="1134">
      <c r="A1134" t="inlineStr">
        <is>
          <t>NAUTICA CLASSICS</t>
        </is>
      </c>
      <c r="B1134" t="inlineStr">
        <is>
          <t>117001646</t>
        </is>
      </c>
      <c r="C1134" t="inlineStr">
        <is>
          <t>NAUTICA STRETCH PUFFER W/FUR LINED HOOD</t>
        </is>
      </c>
      <c r="D1134" t="inlineStr">
        <is>
          <t>BLK</t>
        </is>
      </c>
      <c r="E1134" t="inlineStr">
        <is>
          <t>(en blanco)</t>
        </is>
      </c>
      <c r="F1134" t="inlineStr">
        <is>
          <t>(en blanco)</t>
        </is>
      </c>
      <c r="G1134" t="inlineStr">
        <is>
          <t>3X</t>
        </is>
      </c>
      <c r="H1134" t="n">
        <v>2</v>
      </c>
      <c r="I1134" t="inlineStr">
        <is>
          <t>NAUTICA_CLASSICS_117001646_BLK_1.jpg</t>
        </is>
      </c>
      <c r="J1134" t="inlineStr">
        <is>
          <t>NAUTICA_CLASSICS_117001646_BLK_2.jpg</t>
        </is>
      </c>
      <c r="K1134" t="inlineStr">
        <is>
          <t>NAUTICA_CLASSICS_117001646_BLK_3.jpg</t>
        </is>
      </c>
      <c r="L1134">
        <f>IMAGE("file:///E:/Estudios%20y%20certificaciones/ESTUDIOS%20DE%20PROGRAMMING/PROGRAMMING/PERSONAL/PYTHON/Image_Generator_API/imagenes/NAUTICA_CLASSICS_117001646_BLK_1.jpg")</f>
        <v/>
      </c>
      <c r="M1134">
        <f>IMAGE("file:///E:/Estudios%20y%20certificaciones/ESTUDIOS%20DE%20PROGRAMMING/PROGRAMMING/PERSONAL/PYTHON/Image_Generator_API/imagenes/NAUTICA_CLASSICS_117001646_BLK_2.jpg")</f>
        <v/>
      </c>
      <c r="N1134">
        <f>IMAGE("file:///E:/Estudios%20y%20certificaciones/ESTUDIOS%20DE%20PROGRAMMING/PROGRAMMING/PERSONAL/PYTHON/Image_Generator_API/imagenes/NAUTICA_CLASSICS_117001646_BLK_3.jpg")</f>
        <v/>
      </c>
      <c r="O1134">
        <f>HYPERLINK("imagenes/NAUTICA_CLASSICS_117001646_BLK_1.jpg","Ver imagen")</f>
        <v/>
      </c>
      <c r="P1134">
        <f>HYPERLINK("imagenes/NAUTICA_CLASSICS_117001646_BLK_2.jpg","Ver imagen")</f>
        <v/>
      </c>
      <c r="Q1134">
        <f>HYPERLINK("imagenes/NAUTICA_CLASSICS_117001646_BLK_3.jpg","Ver imagen")</f>
        <v/>
      </c>
    </row>
    <row r="1135">
      <c r="A1135" t="inlineStr">
        <is>
          <t>NAUTICA CLASSICS</t>
        </is>
      </c>
      <c r="B1135" t="inlineStr">
        <is>
          <t>117001646</t>
        </is>
      </c>
      <c r="C1135" t="inlineStr">
        <is>
          <t>NAUTICA STRETCH PUFFER W/FUR LINED HOOD</t>
        </is>
      </c>
      <c r="D1135" t="inlineStr">
        <is>
          <t>BLK</t>
        </is>
      </c>
      <c r="E1135" t="inlineStr">
        <is>
          <t>(en blanco)</t>
        </is>
      </c>
      <c r="F1135" t="inlineStr">
        <is>
          <t>(en blanco)</t>
        </is>
      </c>
      <c r="G1135" t="inlineStr">
        <is>
          <t>4X</t>
        </is>
      </c>
      <c r="H1135" t="n">
        <v>2</v>
      </c>
      <c r="I1135" t="inlineStr">
        <is>
          <t>NAUTICA_CLASSICS_117001646_BLK_1.jpg</t>
        </is>
      </c>
      <c r="J1135" t="inlineStr">
        <is>
          <t>NAUTICA_CLASSICS_117001646_BLK_2.jpg</t>
        </is>
      </c>
      <c r="K1135" t="inlineStr">
        <is>
          <t>NAUTICA_CLASSICS_117001646_BLK_3.jpg</t>
        </is>
      </c>
      <c r="L1135">
        <f>IMAGE("file:///E:/Estudios%20y%20certificaciones/ESTUDIOS%20DE%20PROGRAMMING/PROGRAMMING/PERSONAL/PYTHON/Image_Generator_API/imagenes/NAUTICA_CLASSICS_117001646_BLK_1.jpg")</f>
        <v/>
      </c>
      <c r="M1135">
        <f>IMAGE("file:///E:/Estudios%20y%20certificaciones/ESTUDIOS%20DE%20PROGRAMMING/PROGRAMMING/PERSONAL/PYTHON/Image_Generator_API/imagenes/NAUTICA_CLASSICS_117001646_BLK_2.jpg")</f>
        <v/>
      </c>
      <c r="N1135">
        <f>IMAGE("file:///E:/Estudios%20y%20certificaciones/ESTUDIOS%20DE%20PROGRAMMING/PROGRAMMING/PERSONAL/PYTHON/Image_Generator_API/imagenes/NAUTICA_CLASSICS_117001646_BLK_3.jpg")</f>
        <v/>
      </c>
      <c r="O1135">
        <f>HYPERLINK("imagenes/NAUTICA_CLASSICS_117001646_BLK_1.jpg","Ver imagen")</f>
        <v/>
      </c>
      <c r="P1135">
        <f>HYPERLINK("imagenes/NAUTICA_CLASSICS_117001646_BLK_2.jpg","Ver imagen")</f>
        <v/>
      </c>
      <c r="Q1135">
        <f>HYPERLINK("imagenes/NAUTICA_CLASSICS_117001646_BLK_3.jpg","Ver imagen")</f>
        <v/>
      </c>
    </row>
    <row r="1136">
      <c r="A1136" t="inlineStr">
        <is>
          <t>NAUTICA CLASSICS</t>
        </is>
      </c>
      <c r="B1136" t="inlineStr">
        <is>
          <t>117001646</t>
        </is>
      </c>
      <c r="C1136" t="inlineStr">
        <is>
          <t>NAUTICA STRETCH PUFFER W/FUR LINED HOOD</t>
        </is>
      </c>
      <c r="D1136" t="inlineStr">
        <is>
          <t>LMS</t>
        </is>
      </c>
      <c r="E1136" t="inlineStr">
        <is>
          <t>(en blanco)</t>
        </is>
      </c>
      <c r="F1136" t="inlineStr">
        <is>
          <t>(en blanco)</t>
        </is>
      </c>
      <c r="G1136" t="inlineStr">
        <is>
          <t>2X</t>
        </is>
      </c>
      <c r="H1136" t="n">
        <v>1</v>
      </c>
      <c r="I1136" t="inlineStr">
        <is>
          <t>NAUTICA_CLASSICS_117001646_LMS_1.jpg</t>
        </is>
      </c>
      <c r="J1136" t="inlineStr">
        <is>
          <t>NAUTICA_CLASSICS_117001646_LMS_2.jpg</t>
        </is>
      </c>
      <c r="K1136" t="inlineStr">
        <is>
          <t>NAUTICA_CLASSICS_117001646_LMS_3.jpg</t>
        </is>
      </c>
      <c r="L1136">
        <f>IMAGE("file:///E:/Estudios%20y%20certificaciones/ESTUDIOS%20DE%20PROGRAMMING/PROGRAMMING/PERSONAL/PYTHON/Image_Generator_API/imagenes/NAUTICA_CLASSICS_117001646_LMS_1.jpg")</f>
        <v/>
      </c>
      <c r="M1136">
        <f>IMAGE("file:///E:/Estudios%20y%20certificaciones/ESTUDIOS%20DE%20PROGRAMMING/PROGRAMMING/PERSONAL/PYTHON/Image_Generator_API/imagenes/NAUTICA_CLASSICS_117001646_LMS_2.jpg")</f>
        <v/>
      </c>
      <c r="N1136">
        <f>IMAGE("file:///E:/Estudios%20y%20certificaciones/ESTUDIOS%20DE%20PROGRAMMING/PROGRAMMING/PERSONAL/PYTHON/Image_Generator_API/imagenes/NAUTICA_CLASSICS_117001646_LMS_3.jpg")</f>
        <v/>
      </c>
      <c r="O1136">
        <f>HYPERLINK("imagenes/NAUTICA_CLASSICS_117001646_LMS_1.jpg","Ver imagen")</f>
        <v/>
      </c>
      <c r="P1136">
        <f>HYPERLINK("imagenes/NAUTICA_CLASSICS_117001646_LMS_2.jpg","Ver imagen")</f>
        <v/>
      </c>
      <c r="Q1136">
        <f>HYPERLINK("imagenes/NAUTICA_CLASSICS_117001646_LMS_3.jpg","Ver imagen")</f>
        <v/>
      </c>
    </row>
    <row r="1137">
      <c r="A1137" t="inlineStr">
        <is>
          <t>NAUTICA CLASSICS</t>
        </is>
      </c>
      <c r="B1137" t="inlineStr">
        <is>
          <t>117001646</t>
        </is>
      </c>
      <c r="C1137" t="inlineStr">
        <is>
          <t>NAUTICA STRETCH PUFFER W/FUR LINED HOOD</t>
        </is>
      </c>
      <c r="D1137" t="inlineStr">
        <is>
          <t>LMS</t>
        </is>
      </c>
      <c r="E1137" t="inlineStr">
        <is>
          <t>(en blanco)</t>
        </is>
      </c>
      <c r="F1137" t="inlineStr">
        <is>
          <t>(en blanco)</t>
        </is>
      </c>
      <c r="G1137" t="inlineStr">
        <is>
          <t>3X</t>
        </is>
      </c>
      <c r="H1137" t="n">
        <v>3</v>
      </c>
      <c r="I1137" t="inlineStr">
        <is>
          <t>NAUTICA_CLASSICS_117001646_LMS_1.jpg</t>
        </is>
      </c>
      <c r="J1137" t="inlineStr">
        <is>
          <t>NAUTICA_CLASSICS_117001646_LMS_2.jpg</t>
        </is>
      </c>
      <c r="K1137" t="inlineStr">
        <is>
          <t>NAUTICA_CLASSICS_117001646_LMS_3.jpg</t>
        </is>
      </c>
      <c r="L1137">
        <f>IMAGE("file:///E:/Estudios%20y%20certificaciones/ESTUDIOS%20DE%20PROGRAMMING/PROGRAMMING/PERSONAL/PYTHON/Image_Generator_API/imagenes/NAUTICA_CLASSICS_117001646_LMS_1.jpg")</f>
        <v/>
      </c>
      <c r="M1137">
        <f>IMAGE("file:///E:/Estudios%20y%20certificaciones/ESTUDIOS%20DE%20PROGRAMMING/PROGRAMMING/PERSONAL/PYTHON/Image_Generator_API/imagenes/NAUTICA_CLASSICS_117001646_LMS_2.jpg")</f>
        <v/>
      </c>
      <c r="N1137">
        <f>IMAGE("file:///E:/Estudios%20y%20certificaciones/ESTUDIOS%20DE%20PROGRAMMING/PROGRAMMING/PERSONAL/PYTHON/Image_Generator_API/imagenes/NAUTICA_CLASSICS_117001646_LMS_3.jpg")</f>
        <v/>
      </c>
      <c r="O1137">
        <f>HYPERLINK("imagenes/NAUTICA_CLASSICS_117001646_LMS_1.jpg","Ver imagen")</f>
        <v/>
      </c>
      <c r="P1137">
        <f>HYPERLINK("imagenes/NAUTICA_CLASSICS_117001646_LMS_2.jpg","Ver imagen")</f>
        <v/>
      </c>
      <c r="Q1137">
        <f>HYPERLINK("imagenes/NAUTICA_CLASSICS_117001646_LMS_3.jpg","Ver imagen")</f>
        <v/>
      </c>
    </row>
    <row r="1138">
      <c r="A1138" t="inlineStr">
        <is>
          <t>NAUTICA CLASSICS</t>
        </is>
      </c>
      <c r="B1138" t="inlineStr">
        <is>
          <t>117001710</t>
        </is>
      </c>
      <c r="C1138" t="inlineStr">
        <is>
          <t>NAUTICA STRETCH PUFFER VEST</t>
        </is>
      </c>
      <c r="D1138" t="inlineStr">
        <is>
          <t>NSS</t>
        </is>
      </c>
      <c r="E1138" t="inlineStr">
        <is>
          <t>(en blanco)</t>
        </is>
      </c>
      <c r="F1138" t="inlineStr">
        <is>
          <t>(en blanco)</t>
        </is>
      </c>
      <c r="G1138" t="inlineStr">
        <is>
          <t>XXL</t>
        </is>
      </c>
      <c r="H1138" t="n">
        <v>4</v>
      </c>
      <c r="I1138" t="inlineStr">
        <is>
          <t>NAUTICA_CLASSICS_117001710_NSS_1.jpg</t>
        </is>
      </c>
      <c r="J1138" t="inlineStr">
        <is>
          <t>NAUTICA_CLASSICS_117001710_NSS_2.jpg</t>
        </is>
      </c>
      <c r="K1138" t="inlineStr">
        <is>
          <t>NAUTICA_CLASSICS_117001710_NSS_3.jpg</t>
        </is>
      </c>
      <c r="L1138">
        <f>IMAGE("file:///E:/Estudios%20y%20certificaciones/ESTUDIOS%20DE%20PROGRAMMING/PROGRAMMING/PERSONAL/PYTHON/Image_Generator_API/imagenes/NAUTICA_CLASSICS_117001710_NSS_1.jpg")</f>
        <v/>
      </c>
      <c r="M1138">
        <f>IMAGE("file:///E:/Estudios%20y%20certificaciones/ESTUDIOS%20DE%20PROGRAMMING/PROGRAMMING/PERSONAL/PYTHON/Image_Generator_API/imagenes/NAUTICA_CLASSICS_117001710_NSS_2.jpg")</f>
        <v/>
      </c>
      <c r="N1138">
        <f>IMAGE("file:///E:/Estudios%20y%20certificaciones/ESTUDIOS%20DE%20PROGRAMMING/PROGRAMMING/PERSONAL/PYTHON/Image_Generator_API/imagenes/NAUTICA_CLASSICS_117001710_NSS_3.jpg")</f>
        <v/>
      </c>
      <c r="O1138">
        <f>HYPERLINK("imagenes/NAUTICA_CLASSICS_117001710_NSS_1.jpg","Ver imagen")</f>
        <v/>
      </c>
      <c r="P1138">
        <f>HYPERLINK("imagenes/NAUTICA_CLASSICS_117001710_NSS_2.jpg","Ver imagen")</f>
        <v/>
      </c>
      <c r="Q1138">
        <f>HYPERLINK("imagenes/NAUTICA_CLASSICS_117001710_NSS_3.jpg","Ver imagen")</f>
        <v/>
      </c>
    </row>
    <row r="1139">
      <c r="A1139" t="inlineStr">
        <is>
          <t>NAUTICA CLASSICS</t>
        </is>
      </c>
      <c r="B1139" t="inlineStr">
        <is>
          <t>117001710</t>
        </is>
      </c>
      <c r="C1139" t="inlineStr">
        <is>
          <t>NAUTICA STRETCH PUFFER VEST</t>
        </is>
      </c>
      <c r="D1139" t="inlineStr">
        <is>
          <t>VDE</t>
        </is>
      </c>
      <c r="E1139" t="inlineStr">
        <is>
          <t>(en blanco)</t>
        </is>
      </c>
      <c r="F1139" t="inlineStr">
        <is>
          <t>(en blanco)</t>
        </is>
      </c>
      <c r="G1139" t="inlineStr">
        <is>
          <t>L</t>
        </is>
      </c>
      <c r="H1139" t="n">
        <v>1</v>
      </c>
      <c r="I1139" t="inlineStr">
        <is>
          <t>NAUTICA_CLASSICS_117001710_VDE_1.jpg</t>
        </is>
      </c>
      <c r="J1139" t="inlineStr">
        <is>
          <t>NAUTICA_CLASSICS_117001710_VDE_2.jpg</t>
        </is>
      </c>
      <c r="K1139" t="inlineStr">
        <is>
          <t>NAUTICA_CLASSICS_117001710_VDE_3.jpg</t>
        </is>
      </c>
      <c r="L1139">
        <f>IMAGE("file:///E:/Estudios%20y%20certificaciones/ESTUDIOS%20DE%20PROGRAMMING/PROGRAMMING/PERSONAL/PYTHON/Image_Generator_API/imagenes/NAUTICA_CLASSICS_117001710_VDE_1.jpg")</f>
        <v/>
      </c>
      <c r="M1139">
        <f>IMAGE("file:///E:/Estudios%20y%20certificaciones/ESTUDIOS%20DE%20PROGRAMMING/PROGRAMMING/PERSONAL/PYTHON/Image_Generator_API/imagenes/NAUTICA_CLASSICS_117001710_VDE_2.jpg")</f>
        <v/>
      </c>
      <c r="N1139">
        <f>IMAGE("file:///E:/Estudios%20y%20certificaciones/ESTUDIOS%20DE%20PROGRAMMING/PROGRAMMING/PERSONAL/PYTHON/Image_Generator_API/imagenes/NAUTICA_CLASSICS_117001710_VDE_3.jpg")</f>
        <v/>
      </c>
      <c r="O1139">
        <f>HYPERLINK("imagenes/NAUTICA_CLASSICS_117001710_VDE_1.jpg","Ver imagen")</f>
        <v/>
      </c>
      <c r="P1139">
        <f>HYPERLINK("imagenes/NAUTICA_CLASSICS_117001710_VDE_2.jpg","Ver imagen")</f>
        <v/>
      </c>
      <c r="Q1139">
        <f>HYPERLINK("imagenes/NAUTICA_CLASSICS_117001710_VDE_3.jpg","Ver imagen")</f>
        <v/>
      </c>
    </row>
    <row r="1140">
      <c r="A1140" t="inlineStr">
        <is>
          <t>NAUTICA CLASSICS</t>
        </is>
      </c>
      <c r="B1140" t="inlineStr">
        <is>
          <t>117001802</t>
        </is>
      </c>
      <c r="C1140" t="inlineStr">
        <is>
          <t>STRETCH PUFFER</t>
        </is>
      </c>
      <c r="D1140" t="inlineStr">
        <is>
          <t>B4K</t>
        </is>
      </c>
      <c r="E1140" t="inlineStr">
        <is>
          <t>(en blanco)</t>
        </is>
      </c>
      <c r="F1140" t="inlineStr">
        <is>
          <t>(en blanco)</t>
        </is>
      </c>
      <c r="G1140" t="inlineStr">
        <is>
          <t>S</t>
        </is>
      </c>
      <c r="H1140" t="n">
        <v>5</v>
      </c>
      <c r="I1140" t="inlineStr">
        <is>
          <t>NAUTICA_CLASSICS_117001802_B4K_1.jpg</t>
        </is>
      </c>
      <c r="J1140" t="inlineStr">
        <is>
          <t>NAUTICA_CLASSICS_117001802_B4K_2.jpg</t>
        </is>
      </c>
      <c r="K1140" t="inlineStr">
        <is>
          <t>NAUTICA_CLASSICS_117001802_B4K_3.jpg</t>
        </is>
      </c>
      <c r="L1140">
        <f>IMAGE("file:///E:/Estudios%20y%20certificaciones/ESTUDIOS%20DE%20PROGRAMMING/PROGRAMMING/PERSONAL/PYTHON/Image_Generator_API/imagenes/NAUTICA_CLASSICS_117001802_B4K_1.jpg")</f>
        <v/>
      </c>
      <c r="M1140">
        <f>IMAGE("file:///E:/Estudios%20y%20certificaciones/ESTUDIOS%20DE%20PROGRAMMING/PROGRAMMING/PERSONAL/PYTHON/Image_Generator_API/imagenes/NAUTICA_CLASSICS_117001802_B4K_2.jpg")</f>
        <v/>
      </c>
      <c r="N1140">
        <f>IMAGE("file:///E:/Estudios%20y%20certificaciones/ESTUDIOS%20DE%20PROGRAMMING/PROGRAMMING/PERSONAL/PYTHON/Image_Generator_API/imagenes/NAUTICA_CLASSICS_117001802_B4K_3.jpg")</f>
        <v/>
      </c>
      <c r="O1140">
        <f>HYPERLINK("imagenes/NAUTICA_CLASSICS_117001802_B4K_1.jpg","Ver imagen")</f>
        <v/>
      </c>
      <c r="P1140">
        <f>HYPERLINK("imagenes/NAUTICA_CLASSICS_117001802_B4K_2.jpg","Ver imagen")</f>
        <v/>
      </c>
      <c r="Q1140">
        <f>HYPERLINK("imagenes/NAUTICA_CLASSICS_117001802_B4K_3.jpg","Ver imagen")</f>
        <v/>
      </c>
    </row>
    <row r="1141">
      <c r="A1141" t="inlineStr">
        <is>
          <t>NAUTICA CLASSICS</t>
        </is>
      </c>
      <c r="B1141" t="inlineStr">
        <is>
          <t>117001802</t>
        </is>
      </c>
      <c r="C1141" t="inlineStr">
        <is>
          <t>STRETCH PUFFER</t>
        </is>
      </c>
      <c r="D1141" t="inlineStr">
        <is>
          <t>BLK</t>
        </is>
      </c>
      <c r="E1141" t="inlineStr">
        <is>
          <t>07A08</t>
        </is>
      </c>
      <c r="F1141" t="inlineStr">
        <is>
          <t>B2230</t>
        </is>
      </c>
      <c r="G1141" t="inlineStr">
        <is>
          <t>PPK</t>
        </is>
      </c>
      <c r="H1141" t="n">
        <v>0</v>
      </c>
      <c r="I1141" t="inlineStr">
        <is>
          <t>NAUTICA_CLASSICS_117001802_BLK_1.jpg</t>
        </is>
      </c>
      <c r="J1141" t="inlineStr">
        <is>
          <t>NAUTICA_CLASSICS_117001802_BLK_2.jpg</t>
        </is>
      </c>
      <c r="K1141" t="inlineStr">
        <is>
          <t>NAUTICA_CLASSICS_117001802_BLK_3.jpg</t>
        </is>
      </c>
      <c r="L1141">
        <f>IMAGE("file:///E:/Estudios%20y%20certificaciones/ESTUDIOS%20DE%20PROGRAMMING/PROGRAMMING/PERSONAL/PYTHON/Image_Generator_API/imagenes/NAUTICA_CLASSICS_117001802_BLK_1.jpg")</f>
        <v/>
      </c>
      <c r="M1141">
        <f>IMAGE("file:///E:/Estudios%20y%20certificaciones/ESTUDIOS%20DE%20PROGRAMMING/PROGRAMMING/PERSONAL/PYTHON/Image_Generator_API/imagenes/NAUTICA_CLASSICS_117001802_BLK_2.jpg")</f>
        <v/>
      </c>
      <c r="N1141">
        <f>IMAGE("file:///E:/Estudios%20y%20certificaciones/ESTUDIOS%20DE%20PROGRAMMING/PROGRAMMING/PERSONAL/PYTHON/Image_Generator_API/imagenes/NAUTICA_CLASSICS_117001802_BLK_3.jpg")</f>
        <v/>
      </c>
      <c r="O1141">
        <f>HYPERLINK("imagenes/NAUTICA_CLASSICS_117001802_BLK_1.jpg","Ver imagen")</f>
        <v/>
      </c>
      <c r="P1141">
        <f>HYPERLINK("imagenes/NAUTICA_CLASSICS_117001802_BLK_2.jpg","Ver imagen")</f>
        <v/>
      </c>
      <c r="Q1141">
        <f>HYPERLINK("imagenes/NAUTICA_CLASSICS_117001802_BLK_3.jpg","Ver imagen")</f>
        <v/>
      </c>
    </row>
    <row r="1142">
      <c r="A1142" t="inlineStr">
        <is>
          <t>NAUTICA CLASSICS</t>
        </is>
      </c>
      <c r="B1142" t="inlineStr">
        <is>
          <t>117001802</t>
        </is>
      </c>
      <c r="C1142" t="inlineStr">
        <is>
          <t>STRETCH PUFFER</t>
        </is>
      </c>
      <c r="D1142" t="inlineStr">
        <is>
          <t>BLK</t>
        </is>
      </c>
      <c r="E1142" t="inlineStr">
        <is>
          <t>08A05</t>
        </is>
      </c>
      <c r="F1142" t="inlineStr">
        <is>
          <t>M2360</t>
        </is>
      </c>
      <c r="G1142" t="inlineStr">
        <is>
          <t>PPK</t>
        </is>
      </c>
      <c r="H1142" t="n">
        <v>72</v>
      </c>
      <c r="I1142" t="inlineStr">
        <is>
          <t>NAUTICA_CLASSICS_117001802_BLK_1.jpg</t>
        </is>
      </c>
      <c r="J1142" t="inlineStr">
        <is>
          <t>NAUTICA_CLASSICS_117001802_BLK_2.jpg</t>
        </is>
      </c>
      <c r="K1142" t="inlineStr">
        <is>
          <t>NAUTICA_CLASSICS_117001802_BLK_3.jpg</t>
        </is>
      </c>
      <c r="L1142">
        <f>IMAGE("file:///E:/Estudios%20y%20certificaciones/ESTUDIOS%20DE%20PROGRAMMING/PROGRAMMING/PERSONAL/PYTHON/Image_Generator_API/imagenes/NAUTICA_CLASSICS_117001802_BLK_1.jpg")</f>
        <v/>
      </c>
      <c r="M1142">
        <f>IMAGE("file:///E:/Estudios%20y%20certificaciones/ESTUDIOS%20DE%20PROGRAMMING/PROGRAMMING/PERSONAL/PYTHON/Image_Generator_API/imagenes/NAUTICA_CLASSICS_117001802_BLK_2.jpg")</f>
        <v/>
      </c>
      <c r="N1142">
        <f>IMAGE("file:///E:/Estudios%20y%20certificaciones/ESTUDIOS%20DE%20PROGRAMMING/PROGRAMMING/PERSONAL/PYTHON/Image_Generator_API/imagenes/NAUTICA_CLASSICS_117001802_BLK_3.jpg")</f>
        <v/>
      </c>
      <c r="O1142">
        <f>HYPERLINK("imagenes/NAUTICA_CLASSICS_117001802_BLK_1.jpg","Ver imagen")</f>
        <v/>
      </c>
      <c r="P1142">
        <f>HYPERLINK("imagenes/NAUTICA_CLASSICS_117001802_BLK_2.jpg","Ver imagen")</f>
        <v/>
      </c>
      <c r="Q1142">
        <f>HYPERLINK("imagenes/NAUTICA_CLASSICS_117001802_BLK_3.jpg","Ver imagen")</f>
        <v/>
      </c>
    </row>
    <row r="1143">
      <c r="A1143" t="inlineStr">
        <is>
          <t>NAUTICA CLASSICS</t>
        </is>
      </c>
      <c r="B1143" t="inlineStr">
        <is>
          <t>117001802</t>
        </is>
      </c>
      <c r="C1143" t="inlineStr">
        <is>
          <t>STRETCH PUFFER</t>
        </is>
      </c>
      <c r="D1143" t="inlineStr">
        <is>
          <t>BLK</t>
        </is>
      </c>
      <c r="E1143" t="inlineStr">
        <is>
          <t>(en blanco)</t>
        </is>
      </c>
      <c r="F1143" t="inlineStr">
        <is>
          <t>D2C</t>
        </is>
      </c>
      <c r="G1143" t="inlineStr">
        <is>
          <t>XS</t>
        </is>
      </c>
      <c r="H1143" t="n">
        <v>20</v>
      </c>
      <c r="I1143" t="inlineStr">
        <is>
          <t>NAUTICA_CLASSICS_117001802_BLK_1.jpg</t>
        </is>
      </c>
      <c r="J1143" t="inlineStr">
        <is>
          <t>NAUTICA_CLASSICS_117001802_BLK_2.jpg</t>
        </is>
      </c>
      <c r="K1143" t="inlineStr">
        <is>
          <t>NAUTICA_CLASSICS_117001802_BLK_3.jpg</t>
        </is>
      </c>
      <c r="L1143">
        <f>IMAGE("file:///E:/Estudios%20y%20certificaciones/ESTUDIOS%20DE%20PROGRAMMING/PROGRAMMING/PERSONAL/PYTHON/Image_Generator_API/imagenes/NAUTICA_CLASSICS_117001802_BLK_1.jpg")</f>
        <v/>
      </c>
      <c r="M1143">
        <f>IMAGE("file:///E:/Estudios%20y%20certificaciones/ESTUDIOS%20DE%20PROGRAMMING/PROGRAMMING/PERSONAL/PYTHON/Image_Generator_API/imagenes/NAUTICA_CLASSICS_117001802_BLK_2.jpg")</f>
        <v/>
      </c>
      <c r="N1143">
        <f>IMAGE("file:///E:/Estudios%20y%20certificaciones/ESTUDIOS%20DE%20PROGRAMMING/PROGRAMMING/PERSONAL/PYTHON/Image_Generator_API/imagenes/NAUTICA_CLASSICS_117001802_BLK_3.jpg")</f>
        <v/>
      </c>
      <c r="O1143">
        <f>HYPERLINK("imagenes/NAUTICA_CLASSICS_117001802_BLK_1.jpg","Ver imagen")</f>
        <v/>
      </c>
      <c r="P1143">
        <f>HYPERLINK("imagenes/NAUTICA_CLASSICS_117001802_BLK_2.jpg","Ver imagen")</f>
        <v/>
      </c>
      <c r="Q1143">
        <f>HYPERLINK("imagenes/NAUTICA_CLASSICS_117001802_BLK_3.jpg","Ver imagen")</f>
        <v/>
      </c>
    </row>
    <row r="1144">
      <c r="A1144" t="inlineStr">
        <is>
          <t>NAUTICA CLASSICS</t>
        </is>
      </c>
      <c r="B1144" t="inlineStr">
        <is>
          <t>117001802</t>
        </is>
      </c>
      <c r="C1144" t="inlineStr">
        <is>
          <t>STRETCH PUFFER</t>
        </is>
      </c>
      <c r="D1144" t="inlineStr">
        <is>
          <t>BLK</t>
        </is>
      </c>
      <c r="E1144" t="inlineStr">
        <is>
          <t>(en blanco)</t>
        </is>
      </c>
      <c r="F1144" t="inlineStr">
        <is>
          <t>D2C</t>
        </is>
      </c>
      <c r="G1144" t="inlineStr">
        <is>
          <t>S</t>
        </is>
      </c>
      <c r="H1144" t="n">
        <v>40</v>
      </c>
      <c r="I1144" t="inlineStr">
        <is>
          <t>NAUTICA_CLASSICS_117001802_BLK_1.jpg</t>
        </is>
      </c>
      <c r="J1144" t="inlineStr">
        <is>
          <t>NAUTICA_CLASSICS_117001802_BLK_2.jpg</t>
        </is>
      </c>
      <c r="K1144" t="inlineStr">
        <is>
          <t>NAUTICA_CLASSICS_117001802_BLK_3.jpg</t>
        </is>
      </c>
      <c r="L1144">
        <f>IMAGE("file:///E:/Estudios%20y%20certificaciones/ESTUDIOS%20DE%20PROGRAMMING/PROGRAMMING/PERSONAL/PYTHON/Image_Generator_API/imagenes/NAUTICA_CLASSICS_117001802_BLK_1.jpg")</f>
        <v/>
      </c>
      <c r="M1144">
        <f>IMAGE("file:///E:/Estudios%20y%20certificaciones/ESTUDIOS%20DE%20PROGRAMMING/PROGRAMMING/PERSONAL/PYTHON/Image_Generator_API/imagenes/NAUTICA_CLASSICS_117001802_BLK_2.jpg")</f>
        <v/>
      </c>
      <c r="N1144">
        <f>IMAGE("file:///E:/Estudios%20y%20certificaciones/ESTUDIOS%20DE%20PROGRAMMING/PROGRAMMING/PERSONAL/PYTHON/Image_Generator_API/imagenes/NAUTICA_CLASSICS_117001802_BLK_3.jpg")</f>
        <v/>
      </c>
      <c r="O1144">
        <f>HYPERLINK("imagenes/NAUTICA_CLASSICS_117001802_BLK_1.jpg","Ver imagen")</f>
        <v/>
      </c>
      <c r="P1144">
        <f>HYPERLINK("imagenes/NAUTICA_CLASSICS_117001802_BLK_2.jpg","Ver imagen")</f>
        <v/>
      </c>
      <c r="Q1144">
        <f>HYPERLINK("imagenes/NAUTICA_CLASSICS_117001802_BLK_3.jpg","Ver imagen")</f>
        <v/>
      </c>
    </row>
    <row r="1145">
      <c r="A1145" t="inlineStr">
        <is>
          <t>NAUTICA CLASSICS</t>
        </is>
      </c>
      <c r="B1145" t="inlineStr">
        <is>
          <t>117001802</t>
        </is>
      </c>
      <c r="C1145" t="inlineStr">
        <is>
          <t>STRETCH PUFFER</t>
        </is>
      </c>
      <c r="D1145" t="inlineStr">
        <is>
          <t>BLK</t>
        </is>
      </c>
      <c r="E1145" t="inlineStr">
        <is>
          <t>(en blanco)</t>
        </is>
      </c>
      <c r="F1145" t="inlineStr">
        <is>
          <t>D2C</t>
        </is>
      </c>
      <c r="G1145" t="inlineStr">
        <is>
          <t>M</t>
        </is>
      </c>
      <c r="H1145" t="n">
        <v>36</v>
      </c>
      <c r="I1145" t="inlineStr">
        <is>
          <t>NAUTICA_CLASSICS_117001802_BLK_1.jpg</t>
        </is>
      </c>
      <c r="J1145" t="inlineStr">
        <is>
          <t>NAUTICA_CLASSICS_117001802_BLK_2.jpg</t>
        </is>
      </c>
      <c r="K1145" t="inlineStr">
        <is>
          <t>NAUTICA_CLASSICS_117001802_BLK_3.jpg</t>
        </is>
      </c>
      <c r="L1145">
        <f>IMAGE("file:///E:/Estudios%20y%20certificaciones/ESTUDIOS%20DE%20PROGRAMMING/PROGRAMMING/PERSONAL/PYTHON/Image_Generator_API/imagenes/NAUTICA_CLASSICS_117001802_BLK_1.jpg")</f>
        <v/>
      </c>
      <c r="M1145">
        <f>IMAGE("file:///E:/Estudios%20y%20certificaciones/ESTUDIOS%20DE%20PROGRAMMING/PROGRAMMING/PERSONAL/PYTHON/Image_Generator_API/imagenes/NAUTICA_CLASSICS_117001802_BLK_2.jpg")</f>
        <v/>
      </c>
      <c r="N1145">
        <f>IMAGE("file:///E:/Estudios%20y%20certificaciones/ESTUDIOS%20DE%20PROGRAMMING/PROGRAMMING/PERSONAL/PYTHON/Image_Generator_API/imagenes/NAUTICA_CLASSICS_117001802_BLK_3.jpg")</f>
        <v/>
      </c>
      <c r="O1145">
        <f>HYPERLINK("imagenes/NAUTICA_CLASSICS_117001802_BLK_1.jpg","Ver imagen")</f>
        <v/>
      </c>
      <c r="P1145">
        <f>HYPERLINK("imagenes/NAUTICA_CLASSICS_117001802_BLK_2.jpg","Ver imagen")</f>
        <v/>
      </c>
      <c r="Q1145">
        <f>HYPERLINK("imagenes/NAUTICA_CLASSICS_117001802_BLK_3.jpg","Ver imagen")</f>
        <v/>
      </c>
    </row>
    <row r="1146">
      <c r="A1146" t="inlineStr">
        <is>
          <t>NAUTICA CLASSICS</t>
        </is>
      </c>
      <c r="B1146" t="inlineStr">
        <is>
          <t>117001802</t>
        </is>
      </c>
      <c r="C1146" t="inlineStr">
        <is>
          <t>STRETCH PUFFER</t>
        </is>
      </c>
      <c r="D1146" t="inlineStr">
        <is>
          <t>BLK</t>
        </is>
      </c>
      <c r="E1146" t="inlineStr">
        <is>
          <t>(en blanco)</t>
        </is>
      </c>
      <c r="F1146" t="inlineStr">
        <is>
          <t>D2C</t>
        </is>
      </c>
      <c r="G1146" t="inlineStr">
        <is>
          <t>L</t>
        </is>
      </c>
      <c r="H1146" t="n">
        <v>39</v>
      </c>
      <c r="I1146" t="inlineStr">
        <is>
          <t>NAUTICA_CLASSICS_117001802_BLK_1.jpg</t>
        </is>
      </c>
      <c r="J1146" t="inlineStr">
        <is>
          <t>NAUTICA_CLASSICS_117001802_BLK_2.jpg</t>
        </is>
      </c>
      <c r="K1146" t="inlineStr">
        <is>
          <t>NAUTICA_CLASSICS_117001802_BLK_3.jpg</t>
        </is>
      </c>
      <c r="L1146">
        <f>IMAGE("file:///E:/Estudios%20y%20certificaciones/ESTUDIOS%20DE%20PROGRAMMING/PROGRAMMING/PERSONAL/PYTHON/Image_Generator_API/imagenes/NAUTICA_CLASSICS_117001802_BLK_1.jpg")</f>
        <v/>
      </c>
      <c r="M1146">
        <f>IMAGE("file:///E:/Estudios%20y%20certificaciones/ESTUDIOS%20DE%20PROGRAMMING/PROGRAMMING/PERSONAL/PYTHON/Image_Generator_API/imagenes/NAUTICA_CLASSICS_117001802_BLK_2.jpg")</f>
        <v/>
      </c>
      <c r="N1146">
        <f>IMAGE("file:///E:/Estudios%20y%20certificaciones/ESTUDIOS%20DE%20PROGRAMMING/PROGRAMMING/PERSONAL/PYTHON/Image_Generator_API/imagenes/NAUTICA_CLASSICS_117001802_BLK_3.jpg")</f>
        <v/>
      </c>
      <c r="O1146">
        <f>HYPERLINK("imagenes/NAUTICA_CLASSICS_117001802_BLK_1.jpg","Ver imagen")</f>
        <v/>
      </c>
      <c r="P1146">
        <f>HYPERLINK("imagenes/NAUTICA_CLASSICS_117001802_BLK_2.jpg","Ver imagen")</f>
        <v/>
      </c>
      <c r="Q1146">
        <f>HYPERLINK("imagenes/NAUTICA_CLASSICS_117001802_BLK_3.jpg","Ver imagen")</f>
        <v/>
      </c>
    </row>
    <row r="1147">
      <c r="A1147" t="inlineStr">
        <is>
          <t>NAUTICA CLASSICS</t>
        </is>
      </c>
      <c r="B1147" t="inlineStr">
        <is>
          <t>117001802</t>
        </is>
      </c>
      <c r="C1147" t="inlineStr">
        <is>
          <t>STRETCH PUFFER</t>
        </is>
      </c>
      <c r="D1147" t="inlineStr">
        <is>
          <t>BLK</t>
        </is>
      </c>
      <c r="E1147" t="inlineStr">
        <is>
          <t>(en blanco)</t>
        </is>
      </c>
      <c r="F1147" t="inlineStr">
        <is>
          <t>D2C</t>
        </is>
      </c>
      <c r="G1147" t="inlineStr">
        <is>
          <t>XL</t>
        </is>
      </c>
      <c r="H1147" t="n">
        <v>19</v>
      </c>
      <c r="I1147" t="inlineStr">
        <is>
          <t>NAUTICA_CLASSICS_117001802_BLK_1.jpg</t>
        </is>
      </c>
      <c r="J1147" t="inlineStr">
        <is>
          <t>NAUTICA_CLASSICS_117001802_BLK_2.jpg</t>
        </is>
      </c>
      <c r="K1147" t="inlineStr">
        <is>
          <t>NAUTICA_CLASSICS_117001802_BLK_3.jpg</t>
        </is>
      </c>
      <c r="L1147">
        <f>IMAGE("file:///E:/Estudios%20y%20certificaciones/ESTUDIOS%20DE%20PROGRAMMING/PROGRAMMING/PERSONAL/PYTHON/Image_Generator_API/imagenes/NAUTICA_CLASSICS_117001802_BLK_1.jpg")</f>
        <v/>
      </c>
      <c r="M1147">
        <f>IMAGE("file:///E:/Estudios%20y%20certificaciones/ESTUDIOS%20DE%20PROGRAMMING/PROGRAMMING/PERSONAL/PYTHON/Image_Generator_API/imagenes/NAUTICA_CLASSICS_117001802_BLK_2.jpg")</f>
        <v/>
      </c>
      <c r="N1147">
        <f>IMAGE("file:///E:/Estudios%20y%20certificaciones/ESTUDIOS%20DE%20PROGRAMMING/PROGRAMMING/PERSONAL/PYTHON/Image_Generator_API/imagenes/NAUTICA_CLASSICS_117001802_BLK_3.jpg")</f>
        <v/>
      </c>
      <c r="O1147">
        <f>HYPERLINK("imagenes/NAUTICA_CLASSICS_117001802_BLK_1.jpg","Ver imagen")</f>
        <v/>
      </c>
      <c r="P1147">
        <f>HYPERLINK("imagenes/NAUTICA_CLASSICS_117001802_BLK_2.jpg","Ver imagen")</f>
        <v/>
      </c>
      <c r="Q1147">
        <f>HYPERLINK("imagenes/NAUTICA_CLASSICS_117001802_BLK_3.jpg","Ver imagen")</f>
        <v/>
      </c>
    </row>
    <row r="1148">
      <c r="A1148" t="inlineStr">
        <is>
          <t>NAUTICA CLASSICS</t>
        </is>
      </c>
      <c r="B1148" t="inlineStr">
        <is>
          <t>117001802</t>
        </is>
      </c>
      <c r="C1148" t="inlineStr">
        <is>
          <t>STRETCH PUFFER</t>
        </is>
      </c>
      <c r="D1148" t="inlineStr">
        <is>
          <t>BLK</t>
        </is>
      </c>
      <c r="E1148" t="inlineStr">
        <is>
          <t>(en blanco)</t>
        </is>
      </c>
      <c r="F1148" t="inlineStr">
        <is>
          <t>(en blanco)</t>
        </is>
      </c>
      <c r="G1148" t="inlineStr">
        <is>
          <t>XS</t>
        </is>
      </c>
      <c r="H1148" t="n">
        <v>300</v>
      </c>
      <c r="I1148" t="inlineStr">
        <is>
          <t>NAUTICA_CLASSICS_117001802_BLK_1.jpg</t>
        </is>
      </c>
      <c r="J1148" t="inlineStr">
        <is>
          <t>NAUTICA_CLASSICS_117001802_BLK_2.jpg</t>
        </is>
      </c>
      <c r="K1148" t="inlineStr">
        <is>
          <t>NAUTICA_CLASSICS_117001802_BLK_3.jpg</t>
        </is>
      </c>
      <c r="L1148">
        <f>IMAGE("file:///E:/Estudios%20y%20certificaciones/ESTUDIOS%20DE%20PROGRAMMING/PROGRAMMING/PERSONAL/PYTHON/Image_Generator_API/imagenes/NAUTICA_CLASSICS_117001802_BLK_1.jpg")</f>
        <v/>
      </c>
      <c r="M1148">
        <f>IMAGE("file:///E:/Estudios%20y%20certificaciones/ESTUDIOS%20DE%20PROGRAMMING/PROGRAMMING/PERSONAL/PYTHON/Image_Generator_API/imagenes/NAUTICA_CLASSICS_117001802_BLK_2.jpg")</f>
        <v/>
      </c>
      <c r="N1148">
        <f>IMAGE("file:///E:/Estudios%20y%20certificaciones/ESTUDIOS%20DE%20PROGRAMMING/PROGRAMMING/PERSONAL/PYTHON/Image_Generator_API/imagenes/NAUTICA_CLASSICS_117001802_BLK_3.jpg")</f>
        <v/>
      </c>
      <c r="O1148">
        <f>HYPERLINK("imagenes/NAUTICA_CLASSICS_117001802_BLK_1.jpg","Ver imagen")</f>
        <v/>
      </c>
      <c r="P1148">
        <f>HYPERLINK("imagenes/NAUTICA_CLASSICS_117001802_BLK_2.jpg","Ver imagen")</f>
        <v/>
      </c>
      <c r="Q1148">
        <f>HYPERLINK("imagenes/NAUTICA_CLASSICS_117001802_BLK_3.jpg","Ver imagen")</f>
        <v/>
      </c>
    </row>
    <row r="1149">
      <c r="A1149" t="inlineStr">
        <is>
          <t>NAUTICA CLASSICS</t>
        </is>
      </c>
      <c r="B1149" t="inlineStr">
        <is>
          <t>117001802</t>
        </is>
      </c>
      <c r="C1149" t="inlineStr">
        <is>
          <t>STRETCH PUFFER</t>
        </is>
      </c>
      <c r="D1149" t="inlineStr">
        <is>
          <t>BLK</t>
        </is>
      </c>
      <c r="E1149" t="inlineStr">
        <is>
          <t>(en blanco)</t>
        </is>
      </c>
      <c r="F1149" t="inlineStr">
        <is>
          <t>(en blanco)</t>
        </is>
      </c>
      <c r="G1149" t="inlineStr">
        <is>
          <t>S</t>
        </is>
      </c>
      <c r="H1149" t="n">
        <v>610</v>
      </c>
      <c r="I1149" t="inlineStr">
        <is>
          <t>NAUTICA_CLASSICS_117001802_BLK_1.jpg</t>
        </is>
      </c>
      <c r="J1149" t="inlineStr">
        <is>
          <t>NAUTICA_CLASSICS_117001802_BLK_2.jpg</t>
        </is>
      </c>
      <c r="K1149" t="inlineStr">
        <is>
          <t>NAUTICA_CLASSICS_117001802_BLK_3.jpg</t>
        </is>
      </c>
      <c r="L1149">
        <f>IMAGE("file:///E:/Estudios%20y%20certificaciones/ESTUDIOS%20DE%20PROGRAMMING/PROGRAMMING/PERSONAL/PYTHON/Image_Generator_API/imagenes/NAUTICA_CLASSICS_117001802_BLK_1.jpg")</f>
        <v/>
      </c>
      <c r="M1149">
        <f>IMAGE("file:///E:/Estudios%20y%20certificaciones/ESTUDIOS%20DE%20PROGRAMMING/PROGRAMMING/PERSONAL/PYTHON/Image_Generator_API/imagenes/NAUTICA_CLASSICS_117001802_BLK_2.jpg")</f>
        <v/>
      </c>
      <c r="N1149">
        <f>IMAGE("file:///E:/Estudios%20y%20certificaciones/ESTUDIOS%20DE%20PROGRAMMING/PROGRAMMING/PERSONAL/PYTHON/Image_Generator_API/imagenes/NAUTICA_CLASSICS_117001802_BLK_3.jpg")</f>
        <v/>
      </c>
      <c r="O1149">
        <f>HYPERLINK("imagenes/NAUTICA_CLASSICS_117001802_BLK_1.jpg","Ver imagen")</f>
        <v/>
      </c>
      <c r="P1149">
        <f>HYPERLINK("imagenes/NAUTICA_CLASSICS_117001802_BLK_2.jpg","Ver imagen")</f>
        <v/>
      </c>
      <c r="Q1149">
        <f>HYPERLINK("imagenes/NAUTICA_CLASSICS_117001802_BLK_3.jpg","Ver imagen")</f>
        <v/>
      </c>
    </row>
    <row r="1150">
      <c r="A1150" t="inlineStr">
        <is>
          <t>NAUTICA CLASSICS</t>
        </is>
      </c>
      <c r="B1150" t="inlineStr">
        <is>
          <t>117001802</t>
        </is>
      </c>
      <c r="C1150" t="inlineStr">
        <is>
          <t>STRETCH PUFFER</t>
        </is>
      </c>
      <c r="D1150" t="inlineStr">
        <is>
          <t>BLK</t>
        </is>
      </c>
      <c r="E1150" t="inlineStr">
        <is>
          <t>(en blanco)</t>
        </is>
      </c>
      <c r="F1150" t="inlineStr">
        <is>
          <t>(en blanco)</t>
        </is>
      </c>
      <c r="G1150" t="inlineStr">
        <is>
          <t>M</t>
        </is>
      </c>
      <c r="H1150" t="n">
        <v>628</v>
      </c>
      <c r="I1150" t="inlineStr">
        <is>
          <t>NAUTICA_CLASSICS_117001802_BLK_1.jpg</t>
        </is>
      </c>
      <c r="J1150" t="inlineStr">
        <is>
          <t>NAUTICA_CLASSICS_117001802_BLK_2.jpg</t>
        </is>
      </c>
      <c r="K1150" t="inlineStr">
        <is>
          <t>NAUTICA_CLASSICS_117001802_BLK_3.jpg</t>
        </is>
      </c>
      <c r="L1150">
        <f>IMAGE("file:///E:/Estudios%20y%20certificaciones/ESTUDIOS%20DE%20PROGRAMMING/PROGRAMMING/PERSONAL/PYTHON/Image_Generator_API/imagenes/NAUTICA_CLASSICS_117001802_BLK_1.jpg")</f>
        <v/>
      </c>
      <c r="M1150">
        <f>IMAGE("file:///E:/Estudios%20y%20certificaciones/ESTUDIOS%20DE%20PROGRAMMING/PROGRAMMING/PERSONAL/PYTHON/Image_Generator_API/imagenes/NAUTICA_CLASSICS_117001802_BLK_2.jpg")</f>
        <v/>
      </c>
      <c r="N1150">
        <f>IMAGE("file:///E:/Estudios%20y%20certificaciones/ESTUDIOS%20DE%20PROGRAMMING/PROGRAMMING/PERSONAL/PYTHON/Image_Generator_API/imagenes/NAUTICA_CLASSICS_117001802_BLK_3.jpg")</f>
        <v/>
      </c>
      <c r="O1150">
        <f>HYPERLINK("imagenes/NAUTICA_CLASSICS_117001802_BLK_1.jpg","Ver imagen")</f>
        <v/>
      </c>
      <c r="P1150">
        <f>HYPERLINK("imagenes/NAUTICA_CLASSICS_117001802_BLK_2.jpg","Ver imagen")</f>
        <v/>
      </c>
      <c r="Q1150">
        <f>HYPERLINK("imagenes/NAUTICA_CLASSICS_117001802_BLK_3.jpg","Ver imagen")</f>
        <v/>
      </c>
    </row>
    <row r="1151">
      <c r="A1151" t="inlineStr">
        <is>
          <t>NAUTICA CLASSICS</t>
        </is>
      </c>
      <c r="B1151" t="inlineStr">
        <is>
          <t>117001802</t>
        </is>
      </c>
      <c r="C1151" t="inlineStr">
        <is>
          <t>STRETCH PUFFER</t>
        </is>
      </c>
      <c r="D1151" t="inlineStr">
        <is>
          <t>BLK</t>
        </is>
      </c>
      <c r="E1151" t="inlineStr">
        <is>
          <t>(en blanco)</t>
        </is>
      </c>
      <c r="F1151" t="inlineStr">
        <is>
          <t>(en blanco)</t>
        </is>
      </c>
      <c r="G1151" t="inlineStr">
        <is>
          <t>L</t>
        </is>
      </c>
      <c r="H1151" t="n">
        <v>590</v>
      </c>
      <c r="I1151" t="inlineStr">
        <is>
          <t>NAUTICA_CLASSICS_117001802_BLK_1.jpg</t>
        </is>
      </c>
      <c r="J1151" t="inlineStr">
        <is>
          <t>NAUTICA_CLASSICS_117001802_BLK_2.jpg</t>
        </is>
      </c>
      <c r="K1151" t="inlineStr">
        <is>
          <t>NAUTICA_CLASSICS_117001802_BLK_3.jpg</t>
        </is>
      </c>
      <c r="L1151">
        <f>IMAGE("file:///E:/Estudios%20y%20certificaciones/ESTUDIOS%20DE%20PROGRAMMING/PROGRAMMING/PERSONAL/PYTHON/Image_Generator_API/imagenes/NAUTICA_CLASSICS_117001802_BLK_1.jpg")</f>
        <v/>
      </c>
      <c r="M1151">
        <f>IMAGE("file:///E:/Estudios%20y%20certificaciones/ESTUDIOS%20DE%20PROGRAMMING/PROGRAMMING/PERSONAL/PYTHON/Image_Generator_API/imagenes/NAUTICA_CLASSICS_117001802_BLK_2.jpg")</f>
        <v/>
      </c>
      <c r="N1151">
        <f>IMAGE("file:///E:/Estudios%20y%20certificaciones/ESTUDIOS%20DE%20PROGRAMMING/PROGRAMMING/PERSONAL/PYTHON/Image_Generator_API/imagenes/NAUTICA_CLASSICS_117001802_BLK_3.jpg")</f>
        <v/>
      </c>
      <c r="O1151">
        <f>HYPERLINK("imagenes/NAUTICA_CLASSICS_117001802_BLK_1.jpg","Ver imagen")</f>
        <v/>
      </c>
      <c r="P1151">
        <f>HYPERLINK("imagenes/NAUTICA_CLASSICS_117001802_BLK_2.jpg","Ver imagen")</f>
        <v/>
      </c>
      <c r="Q1151">
        <f>HYPERLINK("imagenes/NAUTICA_CLASSICS_117001802_BLK_3.jpg","Ver imagen")</f>
        <v/>
      </c>
    </row>
    <row r="1152">
      <c r="A1152" t="inlineStr">
        <is>
          <t>NAUTICA CLASSICS</t>
        </is>
      </c>
      <c r="B1152" t="inlineStr">
        <is>
          <t>117001802</t>
        </is>
      </c>
      <c r="C1152" t="inlineStr">
        <is>
          <t>STRETCH PUFFER</t>
        </is>
      </c>
      <c r="D1152" t="inlineStr">
        <is>
          <t>BLK</t>
        </is>
      </c>
      <c r="E1152" t="inlineStr">
        <is>
          <t>(en blanco)</t>
        </is>
      </c>
      <c r="F1152" t="inlineStr">
        <is>
          <t>(en blanco)</t>
        </is>
      </c>
      <c r="G1152" t="inlineStr">
        <is>
          <t>XL</t>
        </is>
      </c>
      <c r="H1152" t="n">
        <v>310</v>
      </c>
      <c r="I1152" t="inlineStr">
        <is>
          <t>NAUTICA_CLASSICS_117001802_BLK_1.jpg</t>
        </is>
      </c>
      <c r="J1152" t="inlineStr">
        <is>
          <t>NAUTICA_CLASSICS_117001802_BLK_2.jpg</t>
        </is>
      </c>
      <c r="K1152" t="inlineStr">
        <is>
          <t>NAUTICA_CLASSICS_117001802_BLK_3.jpg</t>
        </is>
      </c>
      <c r="L1152">
        <f>IMAGE("file:///E:/Estudios%20y%20certificaciones/ESTUDIOS%20DE%20PROGRAMMING/PROGRAMMING/PERSONAL/PYTHON/Image_Generator_API/imagenes/NAUTICA_CLASSICS_117001802_BLK_1.jpg")</f>
        <v/>
      </c>
      <c r="M1152">
        <f>IMAGE("file:///E:/Estudios%20y%20certificaciones/ESTUDIOS%20DE%20PROGRAMMING/PROGRAMMING/PERSONAL/PYTHON/Image_Generator_API/imagenes/NAUTICA_CLASSICS_117001802_BLK_2.jpg")</f>
        <v/>
      </c>
      <c r="N1152">
        <f>IMAGE("file:///E:/Estudios%20y%20certificaciones/ESTUDIOS%20DE%20PROGRAMMING/PROGRAMMING/PERSONAL/PYTHON/Image_Generator_API/imagenes/NAUTICA_CLASSICS_117001802_BLK_3.jpg")</f>
        <v/>
      </c>
      <c r="O1152">
        <f>HYPERLINK("imagenes/NAUTICA_CLASSICS_117001802_BLK_1.jpg","Ver imagen")</f>
        <v/>
      </c>
      <c r="P1152">
        <f>HYPERLINK("imagenes/NAUTICA_CLASSICS_117001802_BLK_2.jpg","Ver imagen")</f>
        <v/>
      </c>
      <c r="Q1152">
        <f>HYPERLINK("imagenes/NAUTICA_CLASSICS_117001802_BLK_3.jpg","Ver imagen")</f>
        <v/>
      </c>
    </row>
    <row r="1153">
      <c r="A1153" t="inlineStr">
        <is>
          <t>NAUTICA CLASSICS</t>
        </is>
      </c>
      <c r="B1153" t="inlineStr">
        <is>
          <t>117001802</t>
        </is>
      </c>
      <c r="C1153" t="inlineStr">
        <is>
          <t>STRETCH PUFFER</t>
        </is>
      </c>
      <c r="D1153" t="inlineStr">
        <is>
          <t>HBE</t>
        </is>
      </c>
      <c r="E1153" t="inlineStr">
        <is>
          <t>07A08</t>
        </is>
      </c>
      <c r="F1153" t="inlineStr">
        <is>
          <t>B2230</t>
        </is>
      </c>
      <c r="G1153" t="inlineStr">
        <is>
          <t>PPK</t>
        </is>
      </c>
      <c r="H1153" t="n">
        <v>0</v>
      </c>
      <c r="I1153" t="inlineStr">
        <is>
          <t>NAUTICA_CLASSICS_117001802_HBE_1.jpg</t>
        </is>
      </c>
      <c r="J1153" t="inlineStr">
        <is>
          <t>NAUTICA_CLASSICS_117001802_HBE_2.jpg</t>
        </is>
      </c>
      <c r="K1153" t="inlineStr">
        <is>
          <t>NAUTICA_CLASSICS_117001802_HBE_3.jpg</t>
        </is>
      </c>
      <c r="L1153">
        <f>IMAGE("file:///E:/Estudios%20y%20certificaciones/ESTUDIOS%20DE%20PROGRAMMING/PROGRAMMING/PERSONAL/PYTHON/Image_Generator_API/imagenes/NAUTICA_CLASSICS_117001802_HBE_1.jpg")</f>
        <v/>
      </c>
      <c r="M1153">
        <f>IMAGE("file:///E:/Estudios%20y%20certificaciones/ESTUDIOS%20DE%20PROGRAMMING/PROGRAMMING/PERSONAL/PYTHON/Image_Generator_API/imagenes/NAUTICA_CLASSICS_117001802_HBE_2.jpg")</f>
        <v/>
      </c>
      <c r="N1153">
        <f>IMAGE("file:///E:/Estudios%20y%20certificaciones/ESTUDIOS%20DE%20PROGRAMMING/PROGRAMMING/PERSONAL/PYTHON/Image_Generator_API/imagenes/NAUTICA_CLASSICS_117001802_HBE_3.jpg")</f>
        <v/>
      </c>
      <c r="O1153">
        <f>HYPERLINK("imagenes/NAUTICA_CLASSICS_117001802_HBE_1.jpg","Ver imagen")</f>
        <v/>
      </c>
      <c r="P1153">
        <f>HYPERLINK("imagenes/NAUTICA_CLASSICS_117001802_HBE_2.jpg","Ver imagen")</f>
        <v/>
      </c>
      <c r="Q1153">
        <f>HYPERLINK("imagenes/NAUTICA_CLASSICS_117001802_HBE_3.jpg","Ver imagen")</f>
        <v/>
      </c>
    </row>
    <row r="1154">
      <c r="A1154" t="inlineStr">
        <is>
          <t>NAUTICA CLASSICS</t>
        </is>
      </c>
      <c r="B1154" t="inlineStr">
        <is>
          <t>117001802</t>
        </is>
      </c>
      <c r="C1154" t="inlineStr">
        <is>
          <t>STRETCH PUFFER</t>
        </is>
      </c>
      <c r="D1154" t="inlineStr">
        <is>
          <t>PS3</t>
        </is>
      </c>
      <c r="E1154" t="inlineStr">
        <is>
          <t>(en blanco)</t>
        </is>
      </c>
      <c r="F1154" t="inlineStr">
        <is>
          <t>D2C</t>
        </is>
      </c>
      <c r="G1154" t="inlineStr">
        <is>
          <t>XS</t>
        </is>
      </c>
      <c r="H1154" t="n">
        <v>20</v>
      </c>
      <c r="I1154" t="inlineStr">
        <is>
          <t>NAUTICA_CLASSICS_117001802_PS3_1.jpg</t>
        </is>
      </c>
      <c r="J1154" t="inlineStr">
        <is>
          <t>NAUTICA_CLASSICS_117001802_PS3_2.jpg</t>
        </is>
      </c>
      <c r="K1154" t="inlineStr">
        <is>
          <t>NAUTICA_CLASSICS_117001802_PS3_3.jpg</t>
        </is>
      </c>
      <c r="L1154">
        <f>IMAGE("file:///E:/Estudios%20y%20certificaciones/ESTUDIOS%20DE%20PROGRAMMING/PROGRAMMING/PERSONAL/PYTHON/Image_Generator_API/imagenes/NAUTICA_CLASSICS_117001802_PS3_1.jpg")</f>
        <v/>
      </c>
      <c r="M1154">
        <f>IMAGE("file:///E:/Estudios%20y%20certificaciones/ESTUDIOS%20DE%20PROGRAMMING/PROGRAMMING/PERSONAL/PYTHON/Image_Generator_API/imagenes/NAUTICA_CLASSICS_117001802_PS3_2.jpg")</f>
        <v/>
      </c>
      <c r="N1154">
        <f>IMAGE("file:///E:/Estudios%20y%20certificaciones/ESTUDIOS%20DE%20PROGRAMMING/PROGRAMMING/PERSONAL/PYTHON/Image_Generator_API/imagenes/NAUTICA_CLASSICS_117001802_PS3_3.jpg")</f>
        <v/>
      </c>
      <c r="O1154">
        <f>HYPERLINK("imagenes/NAUTICA_CLASSICS_117001802_PS3_1.jpg","Ver imagen")</f>
        <v/>
      </c>
      <c r="P1154">
        <f>HYPERLINK("imagenes/NAUTICA_CLASSICS_117001802_PS3_2.jpg","Ver imagen")</f>
        <v/>
      </c>
      <c r="Q1154">
        <f>HYPERLINK("imagenes/NAUTICA_CLASSICS_117001802_PS3_3.jpg","Ver imagen")</f>
        <v/>
      </c>
    </row>
    <row r="1155">
      <c r="A1155" t="inlineStr">
        <is>
          <t>NAUTICA CLASSICS</t>
        </is>
      </c>
      <c r="B1155" t="inlineStr">
        <is>
          <t>117001802</t>
        </is>
      </c>
      <c r="C1155" t="inlineStr">
        <is>
          <t>STRETCH PUFFER</t>
        </is>
      </c>
      <c r="D1155" t="inlineStr">
        <is>
          <t>PS3</t>
        </is>
      </c>
      <c r="E1155" t="inlineStr">
        <is>
          <t>(en blanco)</t>
        </is>
      </c>
      <c r="F1155" t="inlineStr">
        <is>
          <t>D2C</t>
        </is>
      </c>
      <c r="G1155" t="inlineStr">
        <is>
          <t>S</t>
        </is>
      </c>
      <c r="H1155" t="n">
        <v>40</v>
      </c>
      <c r="I1155" t="inlineStr">
        <is>
          <t>NAUTICA_CLASSICS_117001802_PS3_1.jpg</t>
        </is>
      </c>
      <c r="J1155" t="inlineStr">
        <is>
          <t>NAUTICA_CLASSICS_117001802_PS3_2.jpg</t>
        </is>
      </c>
      <c r="K1155" t="inlineStr">
        <is>
          <t>NAUTICA_CLASSICS_117001802_PS3_3.jpg</t>
        </is>
      </c>
      <c r="L1155">
        <f>IMAGE("file:///E:/Estudios%20y%20certificaciones/ESTUDIOS%20DE%20PROGRAMMING/PROGRAMMING/PERSONAL/PYTHON/Image_Generator_API/imagenes/NAUTICA_CLASSICS_117001802_PS3_1.jpg")</f>
        <v/>
      </c>
      <c r="M1155">
        <f>IMAGE("file:///E:/Estudios%20y%20certificaciones/ESTUDIOS%20DE%20PROGRAMMING/PROGRAMMING/PERSONAL/PYTHON/Image_Generator_API/imagenes/NAUTICA_CLASSICS_117001802_PS3_2.jpg")</f>
        <v/>
      </c>
      <c r="N1155">
        <f>IMAGE("file:///E:/Estudios%20y%20certificaciones/ESTUDIOS%20DE%20PROGRAMMING/PROGRAMMING/PERSONAL/PYTHON/Image_Generator_API/imagenes/NAUTICA_CLASSICS_117001802_PS3_3.jpg")</f>
        <v/>
      </c>
      <c r="O1155">
        <f>HYPERLINK("imagenes/NAUTICA_CLASSICS_117001802_PS3_1.jpg","Ver imagen")</f>
        <v/>
      </c>
      <c r="P1155">
        <f>HYPERLINK("imagenes/NAUTICA_CLASSICS_117001802_PS3_2.jpg","Ver imagen")</f>
        <v/>
      </c>
      <c r="Q1155">
        <f>HYPERLINK("imagenes/NAUTICA_CLASSICS_117001802_PS3_3.jpg","Ver imagen")</f>
        <v/>
      </c>
    </row>
    <row r="1156">
      <c r="A1156" t="inlineStr">
        <is>
          <t>NAUTICA CLASSICS</t>
        </is>
      </c>
      <c r="B1156" t="inlineStr">
        <is>
          <t>117001802</t>
        </is>
      </c>
      <c r="C1156" t="inlineStr">
        <is>
          <t>STRETCH PUFFER</t>
        </is>
      </c>
      <c r="D1156" t="inlineStr">
        <is>
          <t>PS3</t>
        </is>
      </c>
      <c r="E1156" t="inlineStr">
        <is>
          <t>(en blanco)</t>
        </is>
      </c>
      <c r="F1156" t="inlineStr">
        <is>
          <t>D2C</t>
        </is>
      </c>
      <c r="G1156" t="inlineStr">
        <is>
          <t>M</t>
        </is>
      </c>
      <c r="H1156" t="n">
        <v>39</v>
      </c>
      <c r="I1156" t="inlineStr">
        <is>
          <t>NAUTICA_CLASSICS_117001802_PS3_1.jpg</t>
        </is>
      </c>
      <c r="J1156" t="inlineStr">
        <is>
          <t>NAUTICA_CLASSICS_117001802_PS3_2.jpg</t>
        </is>
      </c>
      <c r="K1156" t="inlineStr">
        <is>
          <t>NAUTICA_CLASSICS_117001802_PS3_3.jpg</t>
        </is>
      </c>
      <c r="L1156">
        <f>IMAGE("file:///E:/Estudios%20y%20certificaciones/ESTUDIOS%20DE%20PROGRAMMING/PROGRAMMING/PERSONAL/PYTHON/Image_Generator_API/imagenes/NAUTICA_CLASSICS_117001802_PS3_1.jpg")</f>
        <v/>
      </c>
      <c r="M1156">
        <f>IMAGE("file:///E:/Estudios%20y%20certificaciones/ESTUDIOS%20DE%20PROGRAMMING/PROGRAMMING/PERSONAL/PYTHON/Image_Generator_API/imagenes/NAUTICA_CLASSICS_117001802_PS3_2.jpg")</f>
        <v/>
      </c>
      <c r="N1156">
        <f>IMAGE("file:///E:/Estudios%20y%20certificaciones/ESTUDIOS%20DE%20PROGRAMMING/PROGRAMMING/PERSONAL/PYTHON/Image_Generator_API/imagenes/NAUTICA_CLASSICS_117001802_PS3_3.jpg")</f>
        <v/>
      </c>
      <c r="O1156">
        <f>HYPERLINK("imagenes/NAUTICA_CLASSICS_117001802_PS3_1.jpg","Ver imagen")</f>
        <v/>
      </c>
      <c r="P1156">
        <f>HYPERLINK("imagenes/NAUTICA_CLASSICS_117001802_PS3_2.jpg","Ver imagen")</f>
        <v/>
      </c>
      <c r="Q1156">
        <f>HYPERLINK("imagenes/NAUTICA_CLASSICS_117001802_PS3_3.jpg","Ver imagen")</f>
        <v/>
      </c>
    </row>
    <row r="1157">
      <c r="A1157" t="inlineStr">
        <is>
          <t>NAUTICA CLASSICS</t>
        </is>
      </c>
      <c r="B1157" t="inlineStr">
        <is>
          <t>117001802</t>
        </is>
      </c>
      <c r="C1157" t="inlineStr">
        <is>
          <t>STRETCH PUFFER</t>
        </is>
      </c>
      <c r="D1157" t="inlineStr">
        <is>
          <t>PS3</t>
        </is>
      </c>
      <c r="E1157" t="inlineStr">
        <is>
          <t>(en blanco)</t>
        </is>
      </c>
      <c r="F1157" t="inlineStr">
        <is>
          <t>D2C</t>
        </is>
      </c>
      <c r="G1157" t="inlineStr">
        <is>
          <t>L</t>
        </is>
      </c>
      <c r="H1157" t="n">
        <v>39</v>
      </c>
      <c r="I1157" t="inlineStr">
        <is>
          <t>NAUTICA_CLASSICS_117001802_PS3_1.jpg</t>
        </is>
      </c>
      <c r="J1157" t="inlineStr">
        <is>
          <t>NAUTICA_CLASSICS_117001802_PS3_2.jpg</t>
        </is>
      </c>
      <c r="K1157" t="inlineStr">
        <is>
          <t>NAUTICA_CLASSICS_117001802_PS3_3.jpg</t>
        </is>
      </c>
      <c r="L1157">
        <f>IMAGE("file:///E:/Estudios%20y%20certificaciones/ESTUDIOS%20DE%20PROGRAMMING/PROGRAMMING/PERSONAL/PYTHON/Image_Generator_API/imagenes/NAUTICA_CLASSICS_117001802_PS3_1.jpg")</f>
        <v/>
      </c>
      <c r="M1157">
        <f>IMAGE("file:///E:/Estudios%20y%20certificaciones/ESTUDIOS%20DE%20PROGRAMMING/PROGRAMMING/PERSONAL/PYTHON/Image_Generator_API/imagenes/NAUTICA_CLASSICS_117001802_PS3_2.jpg")</f>
        <v/>
      </c>
      <c r="N1157">
        <f>IMAGE("file:///E:/Estudios%20y%20certificaciones/ESTUDIOS%20DE%20PROGRAMMING/PROGRAMMING/PERSONAL/PYTHON/Image_Generator_API/imagenes/NAUTICA_CLASSICS_117001802_PS3_3.jpg")</f>
        <v/>
      </c>
      <c r="O1157">
        <f>HYPERLINK("imagenes/NAUTICA_CLASSICS_117001802_PS3_1.jpg","Ver imagen")</f>
        <v/>
      </c>
      <c r="P1157">
        <f>HYPERLINK("imagenes/NAUTICA_CLASSICS_117001802_PS3_2.jpg","Ver imagen")</f>
        <v/>
      </c>
      <c r="Q1157">
        <f>HYPERLINK("imagenes/NAUTICA_CLASSICS_117001802_PS3_3.jpg","Ver imagen")</f>
        <v/>
      </c>
    </row>
    <row r="1158">
      <c r="A1158" t="inlineStr">
        <is>
          <t>NAUTICA CLASSICS</t>
        </is>
      </c>
      <c r="B1158" t="inlineStr">
        <is>
          <t>117001802</t>
        </is>
      </c>
      <c r="C1158" t="inlineStr">
        <is>
          <t>STRETCH PUFFER</t>
        </is>
      </c>
      <c r="D1158" t="inlineStr">
        <is>
          <t>PS3</t>
        </is>
      </c>
      <c r="E1158" t="inlineStr">
        <is>
          <t>(en blanco)</t>
        </is>
      </c>
      <c r="F1158" t="inlineStr">
        <is>
          <t>N1160</t>
        </is>
      </c>
      <c r="G1158" t="inlineStr">
        <is>
          <t>L</t>
        </is>
      </c>
      <c r="H1158" t="n">
        <v>72</v>
      </c>
      <c r="I1158" t="inlineStr">
        <is>
          <t>NAUTICA_CLASSICS_117001802_PS3_1.jpg</t>
        </is>
      </c>
      <c r="J1158" t="inlineStr">
        <is>
          <t>NAUTICA_CLASSICS_117001802_PS3_2.jpg</t>
        </is>
      </c>
      <c r="K1158" t="inlineStr">
        <is>
          <t>NAUTICA_CLASSICS_117001802_PS3_3.jpg</t>
        </is>
      </c>
      <c r="L1158">
        <f>IMAGE("file:///E:/Estudios%20y%20certificaciones/ESTUDIOS%20DE%20PROGRAMMING/PROGRAMMING/PERSONAL/PYTHON/Image_Generator_API/imagenes/NAUTICA_CLASSICS_117001802_PS3_1.jpg")</f>
        <v/>
      </c>
      <c r="M1158">
        <f>IMAGE("file:///E:/Estudios%20y%20certificaciones/ESTUDIOS%20DE%20PROGRAMMING/PROGRAMMING/PERSONAL/PYTHON/Image_Generator_API/imagenes/NAUTICA_CLASSICS_117001802_PS3_2.jpg")</f>
        <v/>
      </c>
      <c r="N1158">
        <f>IMAGE("file:///E:/Estudios%20y%20certificaciones/ESTUDIOS%20DE%20PROGRAMMING/PROGRAMMING/PERSONAL/PYTHON/Image_Generator_API/imagenes/NAUTICA_CLASSICS_117001802_PS3_3.jpg")</f>
        <v/>
      </c>
      <c r="O1158">
        <f>HYPERLINK("imagenes/NAUTICA_CLASSICS_117001802_PS3_1.jpg","Ver imagen")</f>
        <v/>
      </c>
      <c r="P1158">
        <f>HYPERLINK("imagenes/NAUTICA_CLASSICS_117001802_PS3_2.jpg","Ver imagen")</f>
        <v/>
      </c>
      <c r="Q1158">
        <f>HYPERLINK("imagenes/NAUTICA_CLASSICS_117001802_PS3_3.jpg","Ver imagen")</f>
        <v/>
      </c>
    </row>
    <row r="1159">
      <c r="A1159" t="inlineStr">
        <is>
          <t>NAUTICA CLASSICS</t>
        </is>
      </c>
      <c r="B1159" t="inlineStr">
        <is>
          <t>117001802</t>
        </is>
      </c>
      <c r="C1159" t="inlineStr">
        <is>
          <t>STRETCH PUFFER</t>
        </is>
      </c>
      <c r="D1159" t="inlineStr">
        <is>
          <t>PS3</t>
        </is>
      </c>
      <c r="E1159" t="inlineStr">
        <is>
          <t>(en blanco)</t>
        </is>
      </c>
      <c r="F1159" t="inlineStr">
        <is>
          <t>(en blanco)</t>
        </is>
      </c>
      <c r="G1159" t="inlineStr">
        <is>
          <t>XS</t>
        </is>
      </c>
      <c r="H1159" t="n">
        <v>39</v>
      </c>
      <c r="I1159" t="inlineStr">
        <is>
          <t>NAUTICA_CLASSICS_117001802_PS3_1.jpg</t>
        </is>
      </c>
      <c r="J1159" t="inlineStr">
        <is>
          <t>NAUTICA_CLASSICS_117001802_PS3_2.jpg</t>
        </is>
      </c>
      <c r="K1159" t="inlineStr">
        <is>
          <t>NAUTICA_CLASSICS_117001802_PS3_3.jpg</t>
        </is>
      </c>
      <c r="L1159">
        <f>IMAGE("file:///E:/Estudios%20y%20certificaciones/ESTUDIOS%20DE%20PROGRAMMING/PROGRAMMING/PERSONAL/PYTHON/Image_Generator_API/imagenes/NAUTICA_CLASSICS_117001802_PS3_1.jpg")</f>
        <v/>
      </c>
      <c r="M1159">
        <f>IMAGE("file:///E:/Estudios%20y%20certificaciones/ESTUDIOS%20DE%20PROGRAMMING/PROGRAMMING/PERSONAL/PYTHON/Image_Generator_API/imagenes/NAUTICA_CLASSICS_117001802_PS3_2.jpg")</f>
        <v/>
      </c>
      <c r="N1159">
        <f>IMAGE("file:///E:/Estudios%20y%20certificaciones/ESTUDIOS%20DE%20PROGRAMMING/PROGRAMMING/PERSONAL/PYTHON/Image_Generator_API/imagenes/NAUTICA_CLASSICS_117001802_PS3_3.jpg")</f>
        <v/>
      </c>
      <c r="O1159">
        <f>HYPERLINK("imagenes/NAUTICA_CLASSICS_117001802_PS3_1.jpg","Ver imagen")</f>
        <v/>
      </c>
      <c r="P1159">
        <f>HYPERLINK("imagenes/NAUTICA_CLASSICS_117001802_PS3_2.jpg","Ver imagen")</f>
        <v/>
      </c>
      <c r="Q1159">
        <f>HYPERLINK("imagenes/NAUTICA_CLASSICS_117001802_PS3_3.jpg","Ver imagen")</f>
        <v/>
      </c>
    </row>
    <row r="1160">
      <c r="A1160" t="inlineStr">
        <is>
          <t>NAUTICA CLASSICS</t>
        </is>
      </c>
      <c r="B1160" t="inlineStr">
        <is>
          <t>117001802</t>
        </is>
      </c>
      <c r="C1160" t="inlineStr">
        <is>
          <t>STRETCH PUFFER</t>
        </is>
      </c>
      <c r="D1160" t="inlineStr">
        <is>
          <t>PS3</t>
        </is>
      </c>
      <c r="E1160" t="inlineStr">
        <is>
          <t>(en blanco)</t>
        </is>
      </c>
      <c r="F1160" t="inlineStr">
        <is>
          <t>(en blanco)</t>
        </is>
      </c>
      <c r="G1160" t="inlineStr">
        <is>
          <t>S</t>
        </is>
      </c>
      <c r="H1160" t="n">
        <v>49</v>
      </c>
      <c r="I1160" t="inlineStr">
        <is>
          <t>NAUTICA_CLASSICS_117001802_PS3_1.jpg</t>
        </is>
      </c>
      <c r="J1160" t="inlineStr">
        <is>
          <t>NAUTICA_CLASSICS_117001802_PS3_2.jpg</t>
        </is>
      </c>
      <c r="K1160" t="inlineStr">
        <is>
          <t>NAUTICA_CLASSICS_117001802_PS3_3.jpg</t>
        </is>
      </c>
      <c r="L1160">
        <f>IMAGE("file:///E:/Estudios%20y%20certificaciones/ESTUDIOS%20DE%20PROGRAMMING/PROGRAMMING/PERSONAL/PYTHON/Image_Generator_API/imagenes/NAUTICA_CLASSICS_117001802_PS3_1.jpg")</f>
        <v/>
      </c>
      <c r="M1160">
        <f>IMAGE("file:///E:/Estudios%20y%20certificaciones/ESTUDIOS%20DE%20PROGRAMMING/PROGRAMMING/PERSONAL/PYTHON/Image_Generator_API/imagenes/NAUTICA_CLASSICS_117001802_PS3_2.jpg")</f>
        <v/>
      </c>
      <c r="N1160">
        <f>IMAGE("file:///E:/Estudios%20y%20certificaciones/ESTUDIOS%20DE%20PROGRAMMING/PROGRAMMING/PERSONAL/PYTHON/Image_Generator_API/imagenes/NAUTICA_CLASSICS_117001802_PS3_3.jpg")</f>
        <v/>
      </c>
      <c r="O1160">
        <f>HYPERLINK("imagenes/NAUTICA_CLASSICS_117001802_PS3_1.jpg","Ver imagen")</f>
        <v/>
      </c>
      <c r="P1160">
        <f>HYPERLINK("imagenes/NAUTICA_CLASSICS_117001802_PS3_2.jpg","Ver imagen")</f>
        <v/>
      </c>
      <c r="Q1160">
        <f>HYPERLINK("imagenes/NAUTICA_CLASSICS_117001802_PS3_3.jpg","Ver imagen")</f>
        <v/>
      </c>
    </row>
    <row r="1161">
      <c r="A1161" t="inlineStr">
        <is>
          <t>NAUTICA CLASSICS</t>
        </is>
      </c>
      <c r="B1161" t="inlineStr">
        <is>
          <t>117001802</t>
        </is>
      </c>
      <c r="C1161" t="inlineStr">
        <is>
          <t>STRETCH PUFFER</t>
        </is>
      </c>
      <c r="D1161" t="inlineStr">
        <is>
          <t>PS3</t>
        </is>
      </c>
      <c r="E1161" t="inlineStr">
        <is>
          <t>(en blanco)</t>
        </is>
      </c>
      <c r="F1161" t="inlineStr">
        <is>
          <t>(en blanco)</t>
        </is>
      </c>
      <c r="G1161" t="inlineStr">
        <is>
          <t>M</t>
        </is>
      </c>
      <c r="H1161" t="n">
        <v>15</v>
      </c>
      <c r="I1161" t="inlineStr">
        <is>
          <t>NAUTICA_CLASSICS_117001802_PS3_1.jpg</t>
        </is>
      </c>
      <c r="J1161" t="inlineStr">
        <is>
          <t>NAUTICA_CLASSICS_117001802_PS3_2.jpg</t>
        </is>
      </c>
      <c r="K1161" t="inlineStr">
        <is>
          <t>NAUTICA_CLASSICS_117001802_PS3_3.jpg</t>
        </is>
      </c>
      <c r="L1161">
        <f>IMAGE("file:///E:/Estudios%20y%20certificaciones/ESTUDIOS%20DE%20PROGRAMMING/PROGRAMMING/PERSONAL/PYTHON/Image_Generator_API/imagenes/NAUTICA_CLASSICS_117001802_PS3_1.jpg")</f>
        <v/>
      </c>
      <c r="M1161">
        <f>IMAGE("file:///E:/Estudios%20y%20certificaciones/ESTUDIOS%20DE%20PROGRAMMING/PROGRAMMING/PERSONAL/PYTHON/Image_Generator_API/imagenes/NAUTICA_CLASSICS_117001802_PS3_2.jpg")</f>
        <v/>
      </c>
      <c r="N1161">
        <f>IMAGE("file:///E:/Estudios%20y%20certificaciones/ESTUDIOS%20DE%20PROGRAMMING/PROGRAMMING/PERSONAL/PYTHON/Image_Generator_API/imagenes/NAUTICA_CLASSICS_117001802_PS3_3.jpg")</f>
        <v/>
      </c>
      <c r="O1161">
        <f>HYPERLINK("imagenes/NAUTICA_CLASSICS_117001802_PS3_1.jpg","Ver imagen")</f>
        <v/>
      </c>
      <c r="P1161">
        <f>HYPERLINK("imagenes/NAUTICA_CLASSICS_117001802_PS3_2.jpg","Ver imagen")</f>
        <v/>
      </c>
      <c r="Q1161">
        <f>HYPERLINK("imagenes/NAUTICA_CLASSICS_117001802_PS3_3.jpg","Ver imagen")</f>
        <v/>
      </c>
    </row>
    <row r="1162">
      <c r="A1162" t="inlineStr">
        <is>
          <t>NAUTICA CLASSICS</t>
        </is>
      </c>
      <c r="B1162" t="inlineStr">
        <is>
          <t>117001802</t>
        </is>
      </c>
      <c r="C1162" t="inlineStr">
        <is>
          <t>STRETCH PUFFER</t>
        </is>
      </c>
      <c r="D1162" t="inlineStr">
        <is>
          <t>PS3</t>
        </is>
      </c>
      <c r="E1162" t="inlineStr">
        <is>
          <t>(en blanco)</t>
        </is>
      </c>
      <c r="F1162" t="inlineStr">
        <is>
          <t>(en blanco)</t>
        </is>
      </c>
      <c r="G1162" t="inlineStr">
        <is>
          <t>L</t>
        </is>
      </c>
      <c r="H1162" t="n">
        <v>14</v>
      </c>
      <c r="I1162" t="inlineStr">
        <is>
          <t>NAUTICA_CLASSICS_117001802_PS3_1.jpg</t>
        </is>
      </c>
      <c r="J1162" t="inlineStr">
        <is>
          <t>NAUTICA_CLASSICS_117001802_PS3_2.jpg</t>
        </is>
      </c>
      <c r="K1162" t="inlineStr">
        <is>
          <t>NAUTICA_CLASSICS_117001802_PS3_3.jpg</t>
        </is>
      </c>
      <c r="L1162">
        <f>IMAGE("file:///E:/Estudios%20y%20certificaciones/ESTUDIOS%20DE%20PROGRAMMING/PROGRAMMING/PERSONAL/PYTHON/Image_Generator_API/imagenes/NAUTICA_CLASSICS_117001802_PS3_1.jpg")</f>
        <v/>
      </c>
      <c r="M1162">
        <f>IMAGE("file:///E:/Estudios%20y%20certificaciones/ESTUDIOS%20DE%20PROGRAMMING/PROGRAMMING/PERSONAL/PYTHON/Image_Generator_API/imagenes/NAUTICA_CLASSICS_117001802_PS3_2.jpg")</f>
        <v/>
      </c>
      <c r="N1162">
        <f>IMAGE("file:///E:/Estudios%20y%20certificaciones/ESTUDIOS%20DE%20PROGRAMMING/PROGRAMMING/PERSONAL/PYTHON/Image_Generator_API/imagenes/NAUTICA_CLASSICS_117001802_PS3_3.jpg")</f>
        <v/>
      </c>
      <c r="O1162">
        <f>HYPERLINK("imagenes/NAUTICA_CLASSICS_117001802_PS3_1.jpg","Ver imagen")</f>
        <v/>
      </c>
      <c r="P1162">
        <f>HYPERLINK("imagenes/NAUTICA_CLASSICS_117001802_PS3_2.jpg","Ver imagen")</f>
        <v/>
      </c>
      <c r="Q1162">
        <f>HYPERLINK("imagenes/NAUTICA_CLASSICS_117001802_PS3_3.jpg","Ver imagen")</f>
        <v/>
      </c>
    </row>
    <row r="1163">
      <c r="A1163" t="inlineStr">
        <is>
          <t>NAUTICA CLASSICS</t>
        </is>
      </c>
      <c r="B1163" t="inlineStr">
        <is>
          <t>117001802</t>
        </is>
      </c>
      <c r="C1163" t="inlineStr">
        <is>
          <t>STRETCH PUFFER</t>
        </is>
      </c>
      <c r="D1163" t="inlineStr">
        <is>
          <t>PS3</t>
        </is>
      </c>
      <c r="E1163" t="inlineStr">
        <is>
          <t>(en blanco)</t>
        </is>
      </c>
      <c r="F1163" t="inlineStr">
        <is>
          <t>(en blanco)</t>
        </is>
      </c>
      <c r="G1163" t="inlineStr">
        <is>
          <t>XL</t>
        </is>
      </c>
      <c r="H1163" t="n">
        <v>1</v>
      </c>
      <c r="I1163" t="inlineStr">
        <is>
          <t>NAUTICA_CLASSICS_117001802_PS3_1.jpg</t>
        </is>
      </c>
      <c r="J1163" t="inlineStr">
        <is>
          <t>NAUTICA_CLASSICS_117001802_PS3_2.jpg</t>
        </is>
      </c>
      <c r="K1163" t="inlineStr">
        <is>
          <t>NAUTICA_CLASSICS_117001802_PS3_3.jpg</t>
        </is>
      </c>
      <c r="L1163">
        <f>IMAGE("file:///E:/Estudios%20y%20certificaciones/ESTUDIOS%20DE%20PROGRAMMING/PROGRAMMING/PERSONAL/PYTHON/Image_Generator_API/imagenes/NAUTICA_CLASSICS_117001802_PS3_1.jpg")</f>
        <v/>
      </c>
      <c r="M1163">
        <f>IMAGE("file:///E:/Estudios%20y%20certificaciones/ESTUDIOS%20DE%20PROGRAMMING/PROGRAMMING/PERSONAL/PYTHON/Image_Generator_API/imagenes/NAUTICA_CLASSICS_117001802_PS3_2.jpg")</f>
        <v/>
      </c>
      <c r="N1163">
        <f>IMAGE("file:///E:/Estudios%20y%20certificaciones/ESTUDIOS%20DE%20PROGRAMMING/PROGRAMMING/PERSONAL/PYTHON/Image_Generator_API/imagenes/NAUTICA_CLASSICS_117001802_PS3_3.jpg")</f>
        <v/>
      </c>
      <c r="O1163">
        <f>HYPERLINK("imagenes/NAUTICA_CLASSICS_117001802_PS3_1.jpg","Ver imagen")</f>
        <v/>
      </c>
      <c r="P1163">
        <f>HYPERLINK("imagenes/NAUTICA_CLASSICS_117001802_PS3_2.jpg","Ver imagen")</f>
        <v/>
      </c>
      <c r="Q1163">
        <f>HYPERLINK("imagenes/NAUTICA_CLASSICS_117001802_PS3_3.jpg","Ver imagen")</f>
        <v/>
      </c>
    </row>
    <row r="1164">
      <c r="A1164" t="inlineStr">
        <is>
          <t>NAUTICA CLASSICS</t>
        </is>
      </c>
      <c r="B1164" t="inlineStr">
        <is>
          <t>117001802</t>
        </is>
      </c>
      <c r="C1164" t="inlineStr">
        <is>
          <t>STRETCH PUFFER</t>
        </is>
      </c>
      <c r="D1164" t="inlineStr">
        <is>
          <t>ZCR</t>
        </is>
      </c>
      <c r="E1164" t="inlineStr">
        <is>
          <t>08A05</t>
        </is>
      </c>
      <c r="F1164" t="inlineStr">
        <is>
          <t>M1625</t>
        </is>
      </c>
      <c r="G1164" t="inlineStr">
        <is>
          <t>PPK</t>
        </is>
      </c>
      <c r="H1164" t="n">
        <v>248</v>
      </c>
      <c r="I1164" t="inlineStr">
        <is>
          <t>NAUTICA_CLASSICS_117001802_ZCR_1.jpg</t>
        </is>
      </c>
      <c r="J1164" t="inlineStr">
        <is>
          <t>NAUTICA_CLASSICS_117001802_ZCR_2.jpg</t>
        </is>
      </c>
      <c r="K1164" t="inlineStr">
        <is>
          <t>NAUTICA_CLASSICS_117001802_ZCR_3.jpg</t>
        </is>
      </c>
      <c r="L1164">
        <f>IMAGE("file:///E:/Estudios%20y%20certificaciones/ESTUDIOS%20DE%20PROGRAMMING/PROGRAMMING/PERSONAL/PYTHON/Image_Generator_API/imagenes/NAUTICA_CLASSICS_117001802_ZCR_1.jpg")</f>
        <v/>
      </c>
      <c r="M1164">
        <f>IMAGE("file:///E:/Estudios%20y%20certificaciones/ESTUDIOS%20DE%20PROGRAMMING/PROGRAMMING/PERSONAL/PYTHON/Image_Generator_API/imagenes/NAUTICA_CLASSICS_117001802_ZCR_2.jpg")</f>
        <v/>
      </c>
      <c r="N1164">
        <f>IMAGE("file:///E:/Estudios%20y%20certificaciones/ESTUDIOS%20DE%20PROGRAMMING/PROGRAMMING/PERSONAL/PYTHON/Image_Generator_API/imagenes/NAUTICA_CLASSICS_117001802_ZCR_3.jpg")</f>
        <v/>
      </c>
      <c r="O1164">
        <f>HYPERLINK("imagenes/NAUTICA_CLASSICS_117001802_ZCR_1.jpg","Ver imagen")</f>
        <v/>
      </c>
      <c r="P1164">
        <f>HYPERLINK("imagenes/NAUTICA_CLASSICS_117001802_ZCR_2.jpg","Ver imagen")</f>
        <v/>
      </c>
      <c r="Q1164">
        <f>HYPERLINK("imagenes/NAUTICA_CLASSICS_117001802_ZCR_3.jpg","Ver imagen")</f>
        <v/>
      </c>
    </row>
    <row r="1165">
      <c r="A1165" t="inlineStr">
        <is>
          <t>NAUTICA CLASSICS</t>
        </is>
      </c>
      <c r="B1165" t="inlineStr">
        <is>
          <t>117001802</t>
        </is>
      </c>
      <c r="C1165" t="inlineStr">
        <is>
          <t>STRETCH PUFFER</t>
        </is>
      </c>
      <c r="D1165" t="inlineStr">
        <is>
          <t>ZCR</t>
        </is>
      </c>
      <c r="E1165" t="inlineStr">
        <is>
          <t>(en blanco)</t>
        </is>
      </c>
      <c r="F1165" t="inlineStr">
        <is>
          <t>D2C</t>
        </is>
      </c>
      <c r="G1165" t="inlineStr">
        <is>
          <t>S</t>
        </is>
      </c>
      <c r="H1165" t="n">
        <v>4</v>
      </c>
      <c r="I1165" t="inlineStr">
        <is>
          <t>NAUTICA_CLASSICS_117001802_ZCR_1.jpg</t>
        </is>
      </c>
      <c r="J1165" t="inlineStr">
        <is>
          <t>NAUTICA_CLASSICS_117001802_ZCR_2.jpg</t>
        </is>
      </c>
      <c r="K1165" t="inlineStr">
        <is>
          <t>NAUTICA_CLASSICS_117001802_ZCR_3.jpg</t>
        </is>
      </c>
      <c r="L1165">
        <f>IMAGE("file:///E:/Estudios%20y%20certificaciones/ESTUDIOS%20DE%20PROGRAMMING/PROGRAMMING/PERSONAL/PYTHON/Image_Generator_API/imagenes/NAUTICA_CLASSICS_117001802_ZCR_1.jpg")</f>
        <v/>
      </c>
      <c r="M1165">
        <f>IMAGE("file:///E:/Estudios%20y%20certificaciones/ESTUDIOS%20DE%20PROGRAMMING/PROGRAMMING/PERSONAL/PYTHON/Image_Generator_API/imagenes/NAUTICA_CLASSICS_117001802_ZCR_2.jpg")</f>
        <v/>
      </c>
      <c r="N1165">
        <f>IMAGE("file:///E:/Estudios%20y%20certificaciones/ESTUDIOS%20DE%20PROGRAMMING/PROGRAMMING/PERSONAL/PYTHON/Image_Generator_API/imagenes/NAUTICA_CLASSICS_117001802_ZCR_3.jpg")</f>
        <v/>
      </c>
      <c r="O1165">
        <f>HYPERLINK("imagenes/NAUTICA_CLASSICS_117001802_ZCR_1.jpg","Ver imagen")</f>
        <v/>
      </c>
      <c r="P1165">
        <f>HYPERLINK("imagenes/NAUTICA_CLASSICS_117001802_ZCR_2.jpg","Ver imagen")</f>
        <v/>
      </c>
      <c r="Q1165">
        <f>HYPERLINK("imagenes/NAUTICA_CLASSICS_117001802_ZCR_3.jpg","Ver imagen")</f>
        <v/>
      </c>
    </row>
    <row r="1166">
      <c r="A1166" t="inlineStr">
        <is>
          <t>NAUTICA CLASSICS</t>
        </is>
      </c>
      <c r="B1166" t="inlineStr">
        <is>
          <t>117001802</t>
        </is>
      </c>
      <c r="C1166" t="inlineStr">
        <is>
          <t>STRETCH PUFFER</t>
        </is>
      </c>
      <c r="D1166" t="inlineStr">
        <is>
          <t>ZCR</t>
        </is>
      </c>
      <c r="E1166" t="inlineStr">
        <is>
          <t>(en blanco)</t>
        </is>
      </c>
      <c r="F1166" t="inlineStr">
        <is>
          <t>D2C</t>
        </is>
      </c>
      <c r="G1166" t="inlineStr">
        <is>
          <t>M</t>
        </is>
      </c>
      <c r="H1166" t="n">
        <v>14</v>
      </c>
      <c r="I1166" t="inlineStr">
        <is>
          <t>NAUTICA_CLASSICS_117001802_ZCR_1.jpg</t>
        </is>
      </c>
      <c r="J1166" t="inlineStr">
        <is>
          <t>NAUTICA_CLASSICS_117001802_ZCR_2.jpg</t>
        </is>
      </c>
      <c r="K1166" t="inlineStr">
        <is>
          <t>NAUTICA_CLASSICS_117001802_ZCR_3.jpg</t>
        </is>
      </c>
      <c r="L1166">
        <f>IMAGE("file:///E:/Estudios%20y%20certificaciones/ESTUDIOS%20DE%20PROGRAMMING/PROGRAMMING/PERSONAL/PYTHON/Image_Generator_API/imagenes/NAUTICA_CLASSICS_117001802_ZCR_1.jpg")</f>
        <v/>
      </c>
      <c r="M1166">
        <f>IMAGE("file:///E:/Estudios%20y%20certificaciones/ESTUDIOS%20DE%20PROGRAMMING/PROGRAMMING/PERSONAL/PYTHON/Image_Generator_API/imagenes/NAUTICA_CLASSICS_117001802_ZCR_2.jpg")</f>
        <v/>
      </c>
      <c r="N1166">
        <f>IMAGE("file:///E:/Estudios%20y%20certificaciones/ESTUDIOS%20DE%20PROGRAMMING/PROGRAMMING/PERSONAL/PYTHON/Image_Generator_API/imagenes/NAUTICA_CLASSICS_117001802_ZCR_3.jpg")</f>
        <v/>
      </c>
      <c r="O1166">
        <f>HYPERLINK("imagenes/NAUTICA_CLASSICS_117001802_ZCR_1.jpg","Ver imagen")</f>
        <v/>
      </c>
      <c r="P1166">
        <f>HYPERLINK("imagenes/NAUTICA_CLASSICS_117001802_ZCR_2.jpg","Ver imagen")</f>
        <v/>
      </c>
      <c r="Q1166">
        <f>HYPERLINK("imagenes/NAUTICA_CLASSICS_117001802_ZCR_3.jpg","Ver imagen")</f>
        <v/>
      </c>
    </row>
    <row r="1167">
      <c r="A1167" t="inlineStr">
        <is>
          <t>NAUTICA CLASSICS</t>
        </is>
      </c>
      <c r="B1167" t="inlineStr">
        <is>
          <t>117001802</t>
        </is>
      </c>
      <c r="C1167" t="inlineStr">
        <is>
          <t>STRETCH PUFFER</t>
        </is>
      </c>
      <c r="D1167" t="inlineStr">
        <is>
          <t>ZCR</t>
        </is>
      </c>
      <c r="E1167" t="inlineStr">
        <is>
          <t>(en blanco)</t>
        </is>
      </c>
      <c r="F1167" t="inlineStr">
        <is>
          <t>D2C</t>
        </is>
      </c>
      <c r="G1167" t="inlineStr">
        <is>
          <t>L</t>
        </is>
      </c>
      <c r="H1167" t="n">
        <v>10</v>
      </c>
      <c r="I1167" t="inlineStr">
        <is>
          <t>NAUTICA_CLASSICS_117001802_ZCR_1.jpg</t>
        </is>
      </c>
      <c r="J1167" t="inlineStr">
        <is>
          <t>NAUTICA_CLASSICS_117001802_ZCR_2.jpg</t>
        </is>
      </c>
      <c r="K1167" t="inlineStr">
        <is>
          <t>NAUTICA_CLASSICS_117001802_ZCR_3.jpg</t>
        </is>
      </c>
      <c r="L1167">
        <f>IMAGE("file:///E:/Estudios%20y%20certificaciones/ESTUDIOS%20DE%20PROGRAMMING/PROGRAMMING/PERSONAL/PYTHON/Image_Generator_API/imagenes/NAUTICA_CLASSICS_117001802_ZCR_1.jpg")</f>
        <v/>
      </c>
      <c r="M1167">
        <f>IMAGE("file:///E:/Estudios%20y%20certificaciones/ESTUDIOS%20DE%20PROGRAMMING/PROGRAMMING/PERSONAL/PYTHON/Image_Generator_API/imagenes/NAUTICA_CLASSICS_117001802_ZCR_2.jpg")</f>
        <v/>
      </c>
      <c r="N1167">
        <f>IMAGE("file:///E:/Estudios%20y%20certificaciones/ESTUDIOS%20DE%20PROGRAMMING/PROGRAMMING/PERSONAL/PYTHON/Image_Generator_API/imagenes/NAUTICA_CLASSICS_117001802_ZCR_3.jpg")</f>
        <v/>
      </c>
      <c r="O1167">
        <f>HYPERLINK("imagenes/NAUTICA_CLASSICS_117001802_ZCR_1.jpg","Ver imagen")</f>
        <v/>
      </c>
      <c r="P1167">
        <f>HYPERLINK("imagenes/NAUTICA_CLASSICS_117001802_ZCR_2.jpg","Ver imagen")</f>
        <v/>
      </c>
      <c r="Q1167">
        <f>HYPERLINK("imagenes/NAUTICA_CLASSICS_117001802_ZCR_3.jpg","Ver imagen")</f>
        <v/>
      </c>
    </row>
    <row r="1168">
      <c r="A1168" t="inlineStr">
        <is>
          <t>NAUTICA CLASSICS</t>
        </is>
      </c>
      <c r="B1168" t="inlineStr">
        <is>
          <t>117001802</t>
        </is>
      </c>
      <c r="C1168" t="inlineStr">
        <is>
          <t>STRETCH PUFFER</t>
        </is>
      </c>
      <c r="D1168" t="inlineStr">
        <is>
          <t>ZCR</t>
        </is>
      </c>
      <c r="E1168" t="inlineStr">
        <is>
          <t>(en blanco)</t>
        </is>
      </c>
      <c r="F1168" t="inlineStr">
        <is>
          <t>D2C</t>
        </is>
      </c>
      <c r="G1168" t="inlineStr">
        <is>
          <t>XL</t>
        </is>
      </c>
      <c r="H1168" t="n">
        <v>5</v>
      </c>
      <c r="I1168" t="inlineStr">
        <is>
          <t>NAUTICA_CLASSICS_117001802_ZCR_1.jpg</t>
        </is>
      </c>
      <c r="J1168" t="inlineStr">
        <is>
          <t>NAUTICA_CLASSICS_117001802_ZCR_2.jpg</t>
        </is>
      </c>
      <c r="K1168" t="inlineStr">
        <is>
          <t>NAUTICA_CLASSICS_117001802_ZCR_3.jpg</t>
        </is>
      </c>
      <c r="L1168">
        <f>IMAGE("file:///E:/Estudios%20y%20certificaciones/ESTUDIOS%20DE%20PROGRAMMING/PROGRAMMING/PERSONAL/PYTHON/Image_Generator_API/imagenes/NAUTICA_CLASSICS_117001802_ZCR_1.jpg")</f>
        <v/>
      </c>
      <c r="M1168">
        <f>IMAGE("file:///E:/Estudios%20y%20certificaciones/ESTUDIOS%20DE%20PROGRAMMING/PROGRAMMING/PERSONAL/PYTHON/Image_Generator_API/imagenes/NAUTICA_CLASSICS_117001802_ZCR_2.jpg")</f>
        <v/>
      </c>
      <c r="N1168">
        <f>IMAGE("file:///E:/Estudios%20y%20certificaciones/ESTUDIOS%20DE%20PROGRAMMING/PROGRAMMING/PERSONAL/PYTHON/Image_Generator_API/imagenes/NAUTICA_CLASSICS_117001802_ZCR_3.jpg")</f>
        <v/>
      </c>
      <c r="O1168">
        <f>HYPERLINK("imagenes/NAUTICA_CLASSICS_117001802_ZCR_1.jpg","Ver imagen")</f>
        <v/>
      </c>
      <c r="P1168">
        <f>HYPERLINK("imagenes/NAUTICA_CLASSICS_117001802_ZCR_2.jpg","Ver imagen")</f>
        <v/>
      </c>
      <c r="Q1168">
        <f>HYPERLINK("imagenes/NAUTICA_CLASSICS_117001802_ZCR_3.jpg","Ver imagen")</f>
        <v/>
      </c>
    </row>
    <row r="1169">
      <c r="A1169" t="inlineStr">
        <is>
          <t>NAUTICA CLASSICS</t>
        </is>
      </c>
      <c r="B1169" t="inlineStr">
        <is>
          <t>117001802</t>
        </is>
      </c>
      <c r="C1169" t="inlineStr">
        <is>
          <t>STRETCH PUFFER</t>
        </is>
      </c>
      <c r="D1169" t="inlineStr">
        <is>
          <t>ZCR</t>
        </is>
      </c>
      <c r="E1169" t="inlineStr">
        <is>
          <t>(en blanco)</t>
        </is>
      </c>
      <c r="F1169" t="inlineStr">
        <is>
          <t>(en blanco)</t>
        </is>
      </c>
      <c r="G1169" t="inlineStr">
        <is>
          <t>XS</t>
        </is>
      </c>
      <c r="H1169" t="n">
        <v>1</v>
      </c>
      <c r="I1169" t="inlineStr">
        <is>
          <t>NAUTICA_CLASSICS_117001802_ZCR_1.jpg</t>
        </is>
      </c>
      <c r="J1169" t="inlineStr">
        <is>
          <t>NAUTICA_CLASSICS_117001802_ZCR_2.jpg</t>
        </is>
      </c>
      <c r="K1169" t="inlineStr">
        <is>
          <t>NAUTICA_CLASSICS_117001802_ZCR_3.jpg</t>
        </is>
      </c>
      <c r="L1169">
        <f>IMAGE("file:///E:/Estudios%20y%20certificaciones/ESTUDIOS%20DE%20PROGRAMMING/PROGRAMMING/PERSONAL/PYTHON/Image_Generator_API/imagenes/NAUTICA_CLASSICS_117001802_ZCR_1.jpg")</f>
        <v/>
      </c>
      <c r="M1169">
        <f>IMAGE("file:///E:/Estudios%20y%20certificaciones/ESTUDIOS%20DE%20PROGRAMMING/PROGRAMMING/PERSONAL/PYTHON/Image_Generator_API/imagenes/NAUTICA_CLASSICS_117001802_ZCR_2.jpg")</f>
        <v/>
      </c>
      <c r="N1169">
        <f>IMAGE("file:///E:/Estudios%20y%20certificaciones/ESTUDIOS%20DE%20PROGRAMMING/PROGRAMMING/PERSONAL/PYTHON/Image_Generator_API/imagenes/NAUTICA_CLASSICS_117001802_ZCR_3.jpg")</f>
        <v/>
      </c>
      <c r="O1169">
        <f>HYPERLINK("imagenes/NAUTICA_CLASSICS_117001802_ZCR_1.jpg","Ver imagen")</f>
        <v/>
      </c>
      <c r="P1169">
        <f>HYPERLINK("imagenes/NAUTICA_CLASSICS_117001802_ZCR_2.jpg","Ver imagen")</f>
        <v/>
      </c>
      <c r="Q1169">
        <f>HYPERLINK("imagenes/NAUTICA_CLASSICS_117001802_ZCR_3.jpg","Ver imagen")</f>
        <v/>
      </c>
    </row>
    <row r="1170">
      <c r="A1170" t="inlineStr">
        <is>
          <t>NAUTICA CLASSICS</t>
        </is>
      </c>
      <c r="B1170" t="inlineStr">
        <is>
          <t>117001802P</t>
        </is>
      </c>
      <c r="C1170" t="inlineStr">
        <is>
          <t>STRETCH PUFFER - PLUS</t>
        </is>
      </c>
      <c r="D1170" t="inlineStr">
        <is>
          <t>B4K</t>
        </is>
      </c>
      <c r="E1170" t="inlineStr">
        <is>
          <t>08A23</t>
        </is>
      </c>
      <c r="F1170" t="inlineStr">
        <is>
          <t>B2230</t>
        </is>
      </c>
      <c r="G1170" t="inlineStr">
        <is>
          <t>PPK</t>
        </is>
      </c>
      <c r="H1170" t="n">
        <v>0</v>
      </c>
      <c r="I1170" t="inlineStr">
        <is>
          <t>NAUTICA_CLASSICS_117001802P_B4K_1.jpg</t>
        </is>
      </c>
      <c r="J1170" t="inlineStr">
        <is>
          <t>NAUTICA_CLASSICS_117001802P_B4K_2.jpg</t>
        </is>
      </c>
      <c r="K1170" t="inlineStr">
        <is>
          <t>NAUTICA_CLASSICS_117001802P_B4K_3.jpg</t>
        </is>
      </c>
      <c r="L1170">
        <f>IMAGE("file:///E:/Estudios%20y%20certificaciones/ESTUDIOS%20DE%20PROGRAMMING/PROGRAMMING/PERSONAL/PYTHON/Image_Generator_API/imagenes/NAUTICA_CLASSICS_117001802P_B4K_1.jpg")</f>
        <v/>
      </c>
      <c r="M1170">
        <f>IMAGE("file:///E:/Estudios%20y%20certificaciones/ESTUDIOS%20DE%20PROGRAMMING/PROGRAMMING/PERSONAL/PYTHON/Image_Generator_API/imagenes/NAUTICA_CLASSICS_117001802P_B4K_2.jpg")</f>
        <v/>
      </c>
      <c r="N1170">
        <f>IMAGE("file:///E:/Estudios%20y%20certificaciones/ESTUDIOS%20DE%20PROGRAMMING/PROGRAMMING/PERSONAL/PYTHON/Image_Generator_API/imagenes/NAUTICA_CLASSICS_117001802P_B4K_3.jpg")</f>
        <v/>
      </c>
      <c r="O1170">
        <f>HYPERLINK("imagenes/NAUTICA_CLASSICS_117001802P_B4K_1.jpg","Ver imagen")</f>
        <v/>
      </c>
      <c r="P1170">
        <f>HYPERLINK("imagenes/NAUTICA_CLASSICS_117001802P_B4K_2.jpg","Ver imagen")</f>
        <v/>
      </c>
      <c r="Q1170">
        <f>HYPERLINK("imagenes/NAUTICA_CLASSICS_117001802P_B4K_3.jpg","Ver imagen")</f>
        <v/>
      </c>
    </row>
    <row r="1171">
      <c r="A1171" t="inlineStr">
        <is>
          <t>NAUTICA CLASSICS</t>
        </is>
      </c>
      <c r="B1171" t="inlineStr">
        <is>
          <t>117001802P</t>
        </is>
      </c>
      <c r="C1171" t="inlineStr">
        <is>
          <t>STRETCH PUFFER - PLUS</t>
        </is>
      </c>
      <c r="D1171" t="inlineStr">
        <is>
          <t>BLK</t>
        </is>
      </c>
      <c r="E1171" t="inlineStr">
        <is>
          <t>08A23</t>
        </is>
      </c>
      <c r="F1171" t="inlineStr">
        <is>
          <t>B2230</t>
        </is>
      </c>
      <c r="G1171" t="inlineStr">
        <is>
          <t>PPK</t>
        </is>
      </c>
      <c r="H1171" t="n">
        <v>0</v>
      </c>
      <c r="I1171" t="inlineStr">
        <is>
          <t>NAUTICA_CLASSICS_117001802P_BLK_2.jpg</t>
        </is>
      </c>
      <c r="J1171" t="inlineStr">
        <is>
          <t>NAUTICA_CLASSICS_117001802P_BLK_3.jpg</t>
        </is>
      </c>
      <c r="L1171">
        <f>IMAGE("file:///E:/Estudios%20y%20certificaciones/ESTUDIOS%20DE%20PROGRAMMING/PROGRAMMING/PERSONAL/PYTHON/Image_Generator_API/imagenes/NAUTICA_CLASSICS_117001802P_BLK_2.jpg")</f>
        <v/>
      </c>
      <c r="M1171">
        <f>IMAGE("file:///E:/Estudios%20y%20certificaciones/ESTUDIOS%20DE%20PROGRAMMING/PROGRAMMING/PERSONAL/PYTHON/Image_Generator_API/imagenes/NAUTICA_CLASSICS_117001802P_BLK_3.jpg")</f>
        <v/>
      </c>
      <c r="O1171">
        <f>HYPERLINK("imagenes/NAUTICA_CLASSICS_117001802P_BLK_2.jpg","Ver imagen")</f>
        <v/>
      </c>
      <c r="P1171">
        <f>HYPERLINK("imagenes/NAUTICA_CLASSICS_117001802P_BLK_3.jpg","Ver imagen")</f>
        <v/>
      </c>
    </row>
    <row r="1172">
      <c r="A1172" t="inlineStr">
        <is>
          <t>NAUTICA CLASSICS</t>
        </is>
      </c>
      <c r="B1172" t="inlineStr">
        <is>
          <t>117001802P</t>
        </is>
      </c>
      <c r="C1172" t="inlineStr">
        <is>
          <t>STRETCH PUFFER - PLUS</t>
        </is>
      </c>
      <c r="D1172" t="inlineStr">
        <is>
          <t>HBE</t>
        </is>
      </c>
      <c r="E1172" t="inlineStr">
        <is>
          <t>08A23</t>
        </is>
      </c>
      <c r="F1172" t="inlineStr">
        <is>
          <t>B2230</t>
        </is>
      </c>
      <c r="G1172" t="inlineStr">
        <is>
          <t>PPK</t>
        </is>
      </c>
      <c r="H1172" t="n">
        <v>0</v>
      </c>
      <c r="I1172" t="inlineStr">
        <is>
          <t>NAUTICA_CLASSICS_117001802P_HBE_1.jpg</t>
        </is>
      </c>
      <c r="J1172" t="inlineStr">
        <is>
          <t>NAUTICA_CLASSICS_117001802P_HBE_3.jpg</t>
        </is>
      </c>
      <c r="L1172">
        <f>IMAGE("file:///E:/Estudios%20y%20certificaciones/ESTUDIOS%20DE%20PROGRAMMING/PROGRAMMING/PERSONAL/PYTHON/Image_Generator_API/imagenes/NAUTICA_CLASSICS_117001802P_HBE_1.jpg")</f>
        <v/>
      </c>
      <c r="M1172">
        <f>IMAGE("file:///E:/Estudios%20y%20certificaciones/ESTUDIOS%20DE%20PROGRAMMING/PROGRAMMING/PERSONAL/PYTHON/Image_Generator_API/imagenes/NAUTICA_CLASSICS_117001802P_HBE_3.jpg")</f>
        <v/>
      </c>
      <c r="O1172">
        <f>HYPERLINK("imagenes/NAUTICA_CLASSICS_117001802P_HBE_1.jpg","Ver imagen")</f>
        <v/>
      </c>
      <c r="P1172">
        <f>HYPERLINK("imagenes/NAUTICA_CLASSICS_117001802P_HBE_3.jpg","Ver imagen")</f>
        <v/>
      </c>
    </row>
    <row r="1173">
      <c r="A1173" t="inlineStr">
        <is>
          <t>NAUTICA CLASSICS</t>
        </is>
      </c>
      <c r="B1173" t="inlineStr">
        <is>
          <t>117001802P</t>
        </is>
      </c>
      <c r="C1173" t="inlineStr">
        <is>
          <t>STRETCH PUFFER - PLUS</t>
        </is>
      </c>
      <c r="D1173" t="inlineStr">
        <is>
          <t>PRY</t>
        </is>
      </c>
      <c r="E1173" t="inlineStr">
        <is>
          <t>08A23</t>
        </is>
      </c>
      <c r="F1173" t="inlineStr">
        <is>
          <t>B2230</t>
        </is>
      </c>
      <c r="G1173" t="inlineStr">
        <is>
          <t>PPK</t>
        </is>
      </c>
      <c r="H1173" t="n">
        <v>0</v>
      </c>
      <c r="I1173" t="inlineStr">
        <is>
          <t>NAUTICA_CLASSICS_117001802P_PRY_1.jpg</t>
        </is>
      </c>
      <c r="J1173" t="inlineStr">
        <is>
          <t>NAUTICA_CLASSICS_117001802P_PRY_2.jpg</t>
        </is>
      </c>
      <c r="K1173" t="inlineStr">
        <is>
          <t>NAUTICA_CLASSICS_117001802P_PRY_3.jpg</t>
        </is>
      </c>
      <c r="L1173">
        <f>IMAGE("file:///E:/Estudios%20y%20certificaciones/ESTUDIOS%20DE%20PROGRAMMING/PROGRAMMING/PERSONAL/PYTHON/Image_Generator_API/imagenes/NAUTICA_CLASSICS_117001802P_PRY_1.jpg")</f>
        <v/>
      </c>
      <c r="M1173">
        <f>IMAGE("file:///E:/Estudios%20y%20certificaciones/ESTUDIOS%20DE%20PROGRAMMING/PROGRAMMING/PERSONAL/PYTHON/Image_Generator_API/imagenes/NAUTICA_CLASSICS_117001802P_PRY_2.jpg")</f>
        <v/>
      </c>
      <c r="N1173">
        <f>IMAGE("file:///E:/Estudios%20y%20certificaciones/ESTUDIOS%20DE%20PROGRAMMING/PROGRAMMING/PERSONAL/PYTHON/Image_Generator_API/imagenes/NAUTICA_CLASSICS_117001802P_PRY_3.jpg")</f>
        <v/>
      </c>
      <c r="O1173">
        <f>HYPERLINK("imagenes/NAUTICA_CLASSICS_117001802P_PRY_1.jpg","Ver imagen")</f>
        <v/>
      </c>
      <c r="P1173">
        <f>HYPERLINK("imagenes/NAUTICA_CLASSICS_117001802P_PRY_2.jpg","Ver imagen")</f>
        <v/>
      </c>
      <c r="Q1173">
        <f>HYPERLINK("imagenes/NAUTICA_CLASSICS_117001802P_PRY_3.jpg","Ver imagen")</f>
        <v/>
      </c>
    </row>
    <row r="1174">
      <c r="A1174" t="inlineStr">
        <is>
          <t>NAUTICA CLASSICS</t>
        </is>
      </c>
      <c r="B1174" t="inlineStr">
        <is>
          <t>117001807</t>
        </is>
      </c>
      <c r="C1174" t="inlineStr">
        <is>
          <t>NAUTICA PUFFER</t>
        </is>
      </c>
      <c r="D1174" t="inlineStr">
        <is>
          <t>B4K</t>
        </is>
      </c>
      <c r="E1174" t="inlineStr">
        <is>
          <t>(en blanco)</t>
        </is>
      </c>
      <c r="F1174" t="inlineStr">
        <is>
          <t>D2C</t>
        </is>
      </c>
      <c r="G1174" t="inlineStr">
        <is>
          <t>XS</t>
        </is>
      </c>
      <c r="H1174" t="n">
        <v>16</v>
      </c>
      <c r="I1174" t="inlineStr">
        <is>
          <t>NAUTICA_CLASSICS_117001807_B4K_1.jpg</t>
        </is>
      </c>
      <c r="J1174" t="inlineStr">
        <is>
          <t>NAUTICA_CLASSICS_117001807_B4K_2.jpg</t>
        </is>
      </c>
      <c r="K1174" t="inlineStr">
        <is>
          <t>NAUTICA_CLASSICS_117001807_B4K_3.jpg</t>
        </is>
      </c>
      <c r="L1174">
        <f>IMAGE("file:///E:/Estudios%20y%20certificaciones/ESTUDIOS%20DE%20PROGRAMMING/PROGRAMMING/PERSONAL/PYTHON/Image_Generator_API/imagenes/NAUTICA_CLASSICS_117001807_B4K_1.jpg")</f>
        <v/>
      </c>
      <c r="M1174">
        <f>IMAGE("file:///E:/Estudios%20y%20certificaciones/ESTUDIOS%20DE%20PROGRAMMING/PROGRAMMING/PERSONAL/PYTHON/Image_Generator_API/imagenes/NAUTICA_CLASSICS_117001807_B4K_2.jpg")</f>
        <v/>
      </c>
      <c r="N1174">
        <f>IMAGE("file:///E:/Estudios%20y%20certificaciones/ESTUDIOS%20DE%20PROGRAMMING/PROGRAMMING/PERSONAL/PYTHON/Image_Generator_API/imagenes/NAUTICA_CLASSICS_117001807_B4K_3.jpg")</f>
        <v/>
      </c>
      <c r="O1174">
        <f>HYPERLINK("imagenes/NAUTICA_CLASSICS_117001807_B4K_1.jpg","Ver imagen")</f>
        <v/>
      </c>
      <c r="P1174">
        <f>HYPERLINK("imagenes/NAUTICA_CLASSICS_117001807_B4K_2.jpg","Ver imagen")</f>
        <v/>
      </c>
      <c r="Q1174">
        <f>HYPERLINK("imagenes/NAUTICA_CLASSICS_117001807_B4K_3.jpg","Ver imagen")</f>
        <v/>
      </c>
    </row>
    <row r="1175">
      <c r="A1175" t="inlineStr">
        <is>
          <t>NAUTICA CLASSICS</t>
        </is>
      </c>
      <c r="B1175" t="inlineStr">
        <is>
          <t>117001807</t>
        </is>
      </c>
      <c r="C1175" t="inlineStr">
        <is>
          <t>NAUTICA PUFFER</t>
        </is>
      </c>
      <c r="D1175" t="inlineStr">
        <is>
          <t>B4K</t>
        </is>
      </c>
      <c r="E1175" t="inlineStr">
        <is>
          <t>(en blanco)</t>
        </is>
      </c>
      <c r="F1175" t="inlineStr">
        <is>
          <t>D2C</t>
        </is>
      </c>
      <c r="G1175" t="inlineStr">
        <is>
          <t>S</t>
        </is>
      </c>
      <c r="H1175" t="n">
        <v>27</v>
      </c>
      <c r="I1175" t="inlineStr">
        <is>
          <t>NAUTICA_CLASSICS_117001807_B4K_1.jpg</t>
        </is>
      </c>
      <c r="J1175" t="inlineStr">
        <is>
          <t>NAUTICA_CLASSICS_117001807_B4K_2.jpg</t>
        </is>
      </c>
      <c r="K1175" t="inlineStr">
        <is>
          <t>NAUTICA_CLASSICS_117001807_B4K_3.jpg</t>
        </is>
      </c>
      <c r="L1175">
        <f>IMAGE("file:///E:/Estudios%20y%20certificaciones/ESTUDIOS%20DE%20PROGRAMMING/PROGRAMMING/PERSONAL/PYTHON/Image_Generator_API/imagenes/NAUTICA_CLASSICS_117001807_B4K_1.jpg")</f>
        <v/>
      </c>
      <c r="M1175">
        <f>IMAGE("file:///E:/Estudios%20y%20certificaciones/ESTUDIOS%20DE%20PROGRAMMING/PROGRAMMING/PERSONAL/PYTHON/Image_Generator_API/imagenes/NAUTICA_CLASSICS_117001807_B4K_2.jpg")</f>
        <v/>
      </c>
      <c r="N1175">
        <f>IMAGE("file:///E:/Estudios%20y%20certificaciones/ESTUDIOS%20DE%20PROGRAMMING/PROGRAMMING/PERSONAL/PYTHON/Image_Generator_API/imagenes/NAUTICA_CLASSICS_117001807_B4K_3.jpg")</f>
        <v/>
      </c>
      <c r="O1175">
        <f>HYPERLINK("imagenes/NAUTICA_CLASSICS_117001807_B4K_1.jpg","Ver imagen")</f>
        <v/>
      </c>
      <c r="P1175">
        <f>HYPERLINK("imagenes/NAUTICA_CLASSICS_117001807_B4K_2.jpg","Ver imagen")</f>
        <v/>
      </c>
      <c r="Q1175">
        <f>HYPERLINK("imagenes/NAUTICA_CLASSICS_117001807_B4K_3.jpg","Ver imagen")</f>
        <v/>
      </c>
    </row>
    <row r="1176">
      <c r="A1176" t="inlineStr">
        <is>
          <t>NAUTICA CLASSICS</t>
        </is>
      </c>
      <c r="B1176" t="inlineStr">
        <is>
          <t>117001807</t>
        </is>
      </c>
      <c r="C1176" t="inlineStr">
        <is>
          <t>NAUTICA PUFFER</t>
        </is>
      </c>
      <c r="D1176" t="inlineStr">
        <is>
          <t>B4K</t>
        </is>
      </c>
      <c r="E1176" t="inlineStr">
        <is>
          <t>(en blanco)</t>
        </is>
      </c>
      <c r="F1176" t="inlineStr">
        <is>
          <t>D2C</t>
        </is>
      </c>
      <c r="G1176" t="inlineStr">
        <is>
          <t>M</t>
        </is>
      </c>
      <c r="H1176" t="n">
        <v>5</v>
      </c>
      <c r="I1176" t="inlineStr">
        <is>
          <t>NAUTICA_CLASSICS_117001807_B4K_1.jpg</t>
        </is>
      </c>
      <c r="J1176" t="inlineStr">
        <is>
          <t>NAUTICA_CLASSICS_117001807_B4K_2.jpg</t>
        </is>
      </c>
      <c r="K1176" t="inlineStr">
        <is>
          <t>NAUTICA_CLASSICS_117001807_B4K_3.jpg</t>
        </is>
      </c>
      <c r="L1176">
        <f>IMAGE("file:///E:/Estudios%20y%20certificaciones/ESTUDIOS%20DE%20PROGRAMMING/PROGRAMMING/PERSONAL/PYTHON/Image_Generator_API/imagenes/NAUTICA_CLASSICS_117001807_B4K_1.jpg")</f>
        <v/>
      </c>
      <c r="M1176">
        <f>IMAGE("file:///E:/Estudios%20y%20certificaciones/ESTUDIOS%20DE%20PROGRAMMING/PROGRAMMING/PERSONAL/PYTHON/Image_Generator_API/imagenes/NAUTICA_CLASSICS_117001807_B4K_2.jpg")</f>
        <v/>
      </c>
      <c r="N1176">
        <f>IMAGE("file:///E:/Estudios%20y%20certificaciones/ESTUDIOS%20DE%20PROGRAMMING/PROGRAMMING/PERSONAL/PYTHON/Image_Generator_API/imagenes/NAUTICA_CLASSICS_117001807_B4K_3.jpg")</f>
        <v/>
      </c>
      <c r="O1176">
        <f>HYPERLINK("imagenes/NAUTICA_CLASSICS_117001807_B4K_1.jpg","Ver imagen")</f>
        <v/>
      </c>
      <c r="P1176">
        <f>HYPERLINK("imagenes/NAUTICA_CLASSICS_117001807_B4K_2.jpg","Ver imagen")</f>
        <v/>
      </c>
      <c r="Q1176">
        <f>HYPERLINK("imagenes/NAUTICA_CLASSICS_117001807_B4K_3.jpg","Ver imagen")</f>
        <v/>
      </c>
    </row>
    <row r="1177">
      <c r="A1177" t="inlineStr">
        <is>
          <t>NAUTICA CLASSICS</t>
        </is>
      </c>
      <c r="B1177" t="inlineStr">
        <is>
          <t>117001807</t>
        </is>
      </c>
      <c r="C1177" t="inlineStr">
        <is>
          <t>NAUTICA PUFFER</t>
        </is>
      </c>
      <c r="D1177" t="inlineStr">
        <is>
          <t>B4K</t>
        </is>
      </c>
      <c r="E1177" t="inlineStr">
        <is>
          <t>(en blanco)</t>
        </is>
      </c>
      <c r="F1177" t="inlineStr">
        <is>
          <t>D2C</t>
        </is>
      </c>
      <c r="G1177" t="inlineStr">
        <is>
          <t>L</t>
        </is>
      </c>
      <c r="H1177" t="n">
        <v>4</v>
      </c>
      <c r="I1177" t="inlineStr">
        <is>
          <t>NAUTICA_CLASSICS_117001807_B4K_1.jpg</t>
        </is>
      </c>
      <c r="J1177" t="inlineStr">
        <is>
          <t>NAUTICA_CLASSICS_117001807_B4K_2.jpg</t>
        </is>
      </c>
      <c r="K1177" t="inlineStr">
        <is>
          <t>NAUTICA_CLASSICS_117001807_B4K_3.jpg</t>
        </is>
      </c>
      <c r="L1177">
        <f>IMAGE("file:///E:/Estudios%20y%20certificaciones/ESTUDIOS%20DE%20PROGRAMMING/PROGRAMMING/PERSONAL/PYTHON/Image_Generator_API/imagenes/NAUTICA_CLASSICS_117001807_B4K_1.jpg")</f>
        <v/>
      </c>
      <c r="M1177">
        <f>IMAGE("file:///E:/Estudios%20y%20certificaciones/ESTUDIOS%20DE%20PROGRAMMING/PROGRAMMING/PERSONAL/PYTHON/Image_Generator_API/imagenes/NAUTICA_CLASSICS_117001807_B4K_2.jpg")</f>
        <v/>
      </c>
      <c r="N1177">
        <f>IMAGE("file:///E:/Estudios%20y%20certificaciones/ESTUDIOS%20DE%20PROGRAMMING/PROGRAMMING/PERSONAL/PYTHON/Image_Generator_API/imagenes/NAUTICA_CLASSICS_117001807_B4K_3.jpg")</f>
        <v/>
      </c>
      <c r="O1177">
        <f>HYPERLINK("imagenes/NAUTICA_CLASSICS_117001807_B4K_1.jpg","Ver imagen")</f>
        <v/>
      </c>
      <c r="P1177">
        <f>HYPERLINK("imagenes/NAUTICA_CLASSICS_117001807_B4K_2.jpg","Ver imagen")</f>
        <v/>
      </c>
      <c r="Q1177">
        <f>HYPERLINK("imagenes/NAUTICA_CLASSICS_117001807_B4K_3.jpg","Ver imagen")</f>
        <v/>
      </c>
    </row>
    <row r="1178">
      <c r="A1178" t="inlineStr">
        <is>
          <t>NAUTICA CLASSICS</t>
        </is>
      </c>
      <c r="B1178" t="inlineStr">
        <is>
          <t>117001807</t>
        </is>
      </c>
      <c r="C1178" t="inlineStr">
        <is>
          <t>NAUTICA PUFFER</t>
        </is>
      </c>
      <c r="D1178" t="inlineStr">
        <is>
          <t>BLK</t>
        </is>
      </c>
      <c r="E1178" t="inlineStr">
        <is>
          <t>07A08</t>
        </is>
      </c>
      <c r="F1178" t="inlineStr">
        <is>
          <t>B2230</t>
        </is>
      </c>
      <c r="G1178" t="inlineStr">
        <is>
          <t>PPK</t>
        </is>
      </c>
      <c r="H1178" t="n">
        <v>0</v>
      </c>
      <c r="I1178" t="inlineStr">
        <is>
          <t>NAUTICA_CLASSICS_117001807_BLK_2.jpg</t>
        </is>
      </c>
      <c r="J1178" t="inlineStr">
        <is>
          <t>NAUTICA_CLASSICS_117001807_BLK_3.jpg</t>
        </is>
      </c>
      <c r="L1178">
        <f>IMAGE("file:///E:/Estudios%20y%20certificaciones/ESTUDIOS%20DE%20PROGRAMMING/PROGRAMMING/PERSONAL/PYTHON/Image_Generator_API/imagenes/NAUTICA_CLASSICS_117001807_BLK_2.jpg")</f>
        <v/>
      </c>
      <c r="M1178">
        <f>IMAGE("file:///E:/Estudios%20y%20certificaciones/ESTUDIOS%20DE%20PROGRAMMING/PROGRAMMING/PERSONAL/PYTHON/Image_Generator_API/imagenes/NAUTICA_CLASSICS_117001807_BLK_3.jpg")</f>
        <v/>
      </c>
      <c r="O1178">
        <f>HYPERLINK("imagenes/NAUTICA_CLASSICS_117001807_BLK_2.jpg","Ver imagen")</f>
        <v/>
      </c>
      <c r="P1178">
        <f>HYPERLINK("imagenes/NAUTICA_CLASSICS_117001807_BLK_3.jpg","Ver imagen")</f>
        <v/>
      </c>
    </row>
    <row r="1179">
      <c r="A1179" t="inlineStr">
        <is>
          <t>NAUTICA CLASSICS</t>
        </is>
      </c>
      <c r="B1179" t="inlineStr">
        <is>
          <t>117001807</t>
        </is>
      </c>
      <c r="C1179" t="inlineStr">
        <is>
          <t>NAUTICA PUFFER</t>
        </is>
      </c>
      <c r="D1179" t="inlineStr">
        <is>
          <t>BLK</t>
        </is>
      </c>
      <c r="E1179" t="inlineStr">
        <is>
          <t>08A05</t>
        </is>
      </c>
      <c r="F1179" t="inlineStr">
        <is>
          <t>(en blanco)</t>
        </is>
      </c>
      <c r="G1179" t="inlineStr">
        <is>
          <t>PPK</t>
        </is>
      </c>
      <c r="H1179" t="n">
        <v>6568</v>
      </c>
      <c r="I1179" t="inlineStr">
        <is>
          <t>NAUTICA_CLASSICS_117001807_BLK_2.jpg</t>
        </is>
      </c>
      <c r="J1179" t="inlineStr">
        <is>
          <t>NAUTICA_CLASSICS_117001807_BLK_3.jpg</t>
        </is>
      </c>
      <c r="L1179">
        <f>IMAGE("file:///E:/Estudios%20y%20certificaciones/ESTUDIOS%20DE%20PROGRAMMING/PROGRAMMING/PERSONAL/PYTHON/Image_Generator_API/imagenes/NAUTICA_CLASSICS_117001807_BLK_2.jpg")</f>
        <v/>
      </c>
      <c r="M1179">
        <f>IMAGE("file:///E:/Estudios%20y%20certificaciones/ESTUDIOS%20DE%20PROGRAMMING/PROGRAMMING/PERSONAL/PYTHON/Image_Generator_API/imagenes/NAUTICA_CLASSICS_117001807_BLK_3.jpg")</f>
        <v/>
      </c>
      <c r="O1179">
        <f>HYPERLINK("imagenes/NAUTICA_CLASSICS_117001807_BLK_2.jpg","Ver imagen")</f>
        <v/>
      </c>
      <c r="P1179">
        <f>HYPERLINK("imagenes/NAUTICA_CLASSICS_117001807_BLK_3.jpg","Ver imagen")</f>
        <v/>
      </c>
    </row>
    <row r="1180">
      <c r="A1180" t="inlineStr">
        <is>
          <t>NAUTICA CLASSICS</t>
        </is>
      </c>
      <c r="B1180" t="inlineStr">
        <is>
          <t>117001807</t>
        </is>
      </c>
      <c r="C1180" t="inlineStr">
        <is>
          <t>NAUTICA PUFFER</t>
        </is>
      </c>
      <c r="D1180" t="inlineStr">
        <is>
          <t>BLK</t>
        </is>
      </c>
      <c r="E1180" t="inlineStr">
        <is>
          <t>(en blanco)</t>
        </is>
      </c>
      <c r="F1180" t="inlineStr">
        <is>
          <t>D2C</t>
        </is>
      </c>
      <c r="G1180" t="inlineStr">
        <is>
          <t>XS</t>
        </is>
      </c>
      <c r="H1180" t="n">
        <v>69</v>
      </c>
      <c r="I1180" t="inlineStr">
        <is>
          <t>NAUTICA_CLASSICS_117001807_BLK_2.jpg</t>
        </is>
      </c>
      <c r="J1180" t="inlineStr">
        <is>
          <t>NAUTICA_CLASSICS_117001807_BLK_3.jpg</t>
        </is>
      </c>
      <c r="L1180">
        <f>IMAGE("file:///E:/Estudios%20y%20certificaciones/ESTUDIOS%20DE%20PROGRAMMING/PROGRAMMING/PERSONAL/PYTHON/Image_Generator_API/imagenes/NAUTICA_CLASSICS_117001807_BLK_2.jpg")</f>
        <v/>
      </c>
      <c r="M1180">
        <f>IMAGE("file:///E:/Estudios%20y%20certificaciones/ESTUDIOS%20DE%20PROGRAMMING/PROGRAMMING/PERSONAL/PYTHON/Image_Generator_API/imagenes/NAUTICA_CLASSICS_117001807_BLK_3.jpg")</f>
        <v/>
      </c>
      <c r="O1180">
        <f>HYPERLINK("imagenes/NAUTICA_CLASSICS_117001807_BLK_2.jpg","Ver imagen")</f>
        <v/>
      </c>
      <c r="P1180">
        <f>HYPERLINK("imagenes/NAUTICA_CLASSICS_117001807_BLK_3.jpg","Ver imagen")</f>
        <v/>
      </c>
    </row>
    <row r="1181">
      <c r="A1181" t="inlineStr">
        <is>
          <t>NAUTICA CLASSICS</t>
        </is>
      </c>
      <c r="B1181" t="inlineStr">
        <is>
          <t>117001807</t>
        </is>
      </c>
      <c r="C1181" t="inlineStr">
        <is>
          <t>NAUTICA PUFFER</t>
        </is>
      </c>
      <c r="D1181" t="inlineStr">
        <is>
          <t>BLK</t>
        </is>
      </c>
      <c r="E1181" t="inlineStr">
        <is>
          <t>(en blanco)</t>
        </is>
      </c>
      <c r="F1181" t="inlineStr">
        <is>
          <t>D2C</t>
        </is>
      </c>
      <c r="G1181" t="inlineStr">
        <is>
          <t>S</t>
        </is>
      </c>
      <c r="H1181" t="n">
        <v>139</v>
      </c>
      <c r="I1181" t="inlineStr">
        <is>
          <t>NAUTICA_CLASSICS_117001807_BLK_2.jpg</t>
        </is>
      </c>
      <c r="J1181" t="inlineStr">
        <is>
          <t>NAUTICA_CLASSICS_117001807_BLK_3.jpg</t>
        </is>
      </c>
      <c r="L1181">
        <f>IMAGE("file:///E:/Estudios%20y%20certificaciones/ESTUDIOS%20DE%20PROGRAMMING/PROGRAMMING/PERSONAL/PYTHON/Image_Generator_API/imagenes/NAUTICA_CLASSICS_117001807_BLK_2.jpg")</f>
        <v/>
      </c>
      <c r="M1181">
        <f>IMAGE("file:///E:/Estudios%20y%20certificaciones/ESTUDIOS%20DE%20PROGRAMMING/PROGRAMMING/PERSONAL/PYTHON/Image_Generator_API/imagenes/NAUTICA_CLASSICS_117001807_BLK_3.jpg")</f>
        <v/>
      </c>
      <c r="O1181">
        <f>HYPERLINK("imagenes/NAUTICA_CLASSICS_117001807_BLK_2.jpg","Ver imagen")</f>
        <v/>
      </c>
      <c r="P1181">
        <f>HYPERLINK("imagenes/NAUTICA_CLASSICS_117001807_BLK_3.jpg","Ver imagen")</f>
        <v/>
      </c>
    </row>
    <row r="1182">
      <c r="A1182" t="inlineStr">
        <is>
          <t>NAUTICA CLASSICS</t>
        </is>
      </c>
      <c r="B1182" t="inlineStr">
        <is>
          <t>117001807</t>
        </is>
      </c>
      <c r="C1182" t="inlineStr">
        <is>
          <t>NAUTICA PUFFER</t>
        </is>
      </c>
      <c r="D1182" t="inlineStr">
        <is>
          <t>BLK</t>
        </is>
      </c>
      <c r="E1182" t="inlineStr">
        <is>
          <t>(en blanco)</t>
        </is>
      </c>
      <c r="F1182" t="inlineStr">
        <is>
          <t>D2C</t>
        </is>
      </c>
      <c r="G1182" t="inlineStr">
        <is>
          <t>M</t>
        </is>
      </c>
      <c r="H1182" t="n">
        <v>82</v>
      </c>
      <c r="I1182" t="inlineStr">
        <is>
          <t>NAUTICA_CLASSICS_117001807_BLK_2.jpg</t>
        </is>
      </c>
      <c r="J1182" t="inlineStr">
        <is>
          <t>NAUTICA_CLASSICS_117001807_BLK_3.jpg</t>
        </is>
      </c>
      <c r="L1182">
        <f>IMAGE("file:///E:/Estudios%20y%20certificaciones/ESTUDIOS%20DE%20PROGRAMMING/PROGRAMMING/PERSONAL/PYTHON/Image_Generator_API/imagenes/NAUTICA_CLASSICS_117001807_BLK_2.jpg")</f>
        <v/>
      </c>
      <c r="M1182">
        <f>IMAGE("file:///E:/Estudios%20y%20certificaciones/ESTUDIOS%20DE%20PROGRAMMING/PROGRAMMING/PERSONAL/PYTHON/Image_Generator_API/imagenes/NAUTICA_CLASSICS_117001807_BLK_3.jpg")</f>
        <v/>
      </c>
      <c r="O1182">
        <f>HYPERLINK("imagenes/NAUTICA_CLASSICS_117001807_BLK_2.jpg","Ver imagen")</f>
        <v/>
      </c>
      <c r="P1182">
        <f>HYPERLINK("imagenes/NAUTICA_CLASSICS_117001807_BLK_3.jpg","Ver imagen")</f>
        <v/>
      </c>
    </row>
    <row r="1183">
      <c r="A1183" t="inlineStr">
        <is>
          <t>NAUTICA CLASSICS</t>
        </is>
      </c>
      <c r="B1183" t="inlineStr">
        <is>
          <t>117001807</t>
        </is>
      </c>
      <c r="C1183" t="inlineStr">
        <is>
          <t>NAUTICA PUFFER</t>
        </is>
      </c>
      <c r="D1183" t="inlineStr">
        <is>
          <t>BLK</t>
        </is>
      </c>
      <c r="E1183" t="inlineStr">
        <is>
          <t>(en blanco)</t>
        </is>
      </c>
      <c r="F1183" t="inlineStr">
        <is>
          <t>D2C</t>
        </is>
      </c>
      <c r="G1183" t="inlineStr">
        <is>
          <t>L</t>
        </is>
      </c>
      <c r="H1183" t="n">
        <v>55</v>
      </c>
      <c r="I1183" t="inlineStr">
        <is>
          <t>NAUTICA_CLASSICS_117001807_BLK_2.jpg</t>
        </is>
      </c>
      <c r="J1183" t="inlineStr">
        <is>
          <t>NAUTICA_CLASSICS_117001807_BLK_3.jpg</t>
        </is>
      </c>
      <c r="L1183">
        <f>IMAGE("file:///E:/Estudios%20y%20certificaciones/ESTUDIOS%20DE%20PROGRAMMING/PROGRAMMING/PERSONAL/PYTHON/Image_Generator_API/imagenes/NAUTICA_CLASSICS_117001807_BLK_2.jpg")</f>
        <v/>
      </c>
      <c r="M1183">
        <f>IMAGE("file:///E:/Estudios%20y%20certificaciones/ESTUDIOS%20DE%20PROGRAMMING/PROGRAMMING/PERSONAL/PYTHON/Image_Generator_API/imagenes/NAUTICA_CLASSICS_117001807_BLK_3.jpg")</f>
        <v/>
      </c>
      <c r="O1183">
        <f>HYPERLINK("imagenes/NAUTICA_CLASSICS_117001807_BLK_2.jpg","Ver imagen")</f>
        <v/>
      </c>
      <c r="P1183">
        <f>HYPERLINK("imagenes/NAUTICA_CLASSICS_117001807_BLK_3.jpg","Ver imagen")</f>
        <v/>
      </c>
    </row>
    <row r="1184">
      <c r="A1184" t="inlineStr">
        <is>
          <t>NAUTICA CLASSICS</t>
        </is>
      </c>
      <c r="B1184" t="inlineStr">
        <is>
          <t>117001807</t>
        </is>
      </c>
      <c r="C1184" t="inlineStr">
        <is>
          <t>NAUTICA PUFFER</t>
        </is>
      </c>
      <c r="D1184" t="inlineStr">
        <is>
          <t>BLK</t>
        </is>
      </c>
      <c r="E1184" t="inlineStr">
        <is>
          <t>(en blanco)</t>
        </is>
      </c>
      <c r="F1184" t="inlineStr">
        <is>
          <t>(en blanco)</t>
        </is>
      </c>
      <c r="G1184" t="inlineStr">
        <is>
          <t>XS</t>
        </is>
      </c>
      <c r="H1184" t="n">
        <v>70</v>
      </c>
      <c r="I1184" t="inlineStr">
        <is>
          <t>NAUTICA_CLASSICS_117001807_BLK_2.jpg</t>
        </is>
      </c>
      <c r="J1184" t="inlineStr">
        <is>
          <t>NAUTICA_CLASSICS_117001807_BLK_3.jpg</t>
        </is>
      </c>
      <c r="L1184">
        <f>IMAGE("file:///E:/Estudios%20y%20certificaciones/ESTUDIOS%20DE%20PROGRAMMING/PROGRAMMING/PERSONAL/PYTHON/Image_Generator_API/imagenes/NAUTICA_CLASSICS_117001807_BLK_2.jpg")</f>
        <v/>
      </c>
      <c r="M1184">
        <f>IMAGE("file:///E:/Estudios%20y%20certificaciones/ESTUDIOS%20DE%20PROGRAMMING/PROGRAMMING/PERSONAL/PYTHON/Image_Generator_API/imagenes/NAUTICA_CLASSICS_117001807_BLK_3.jpg")</f>
        <v/>
      </c>
      <c r="O1184">
        <f>HYPERLINK("imagenes/NAUTICA_CLASSICS_117001807_BLK_2.jpg","Ver imagen")</f>
        <v/>
      </c>
      <c r="P1184">
        <f>HYPERLINK("imagenes/NAUTICA_CLASSICS_117001807_BLK_3.jpg","Ver imagen")</f>
        <v/>
      </c>
    </row>
    <row r="1185">
      <c r="A1185" t="inlineStr">
        <is>
          <t>NAUTICA CLASSICS</t>
        </is>
      </c>
      <c r="B1185" t="inlineStr">
        <is>
          <t>117001807</t>
        </is>
      </c>
      <c r="C1185" t="inlineStr">
        <is>
          <t>NAUTICA PUFFER</t>
        </is>
      </c>
      <c r="D1185" t="inlineStr">
        <is>
          <t>BLK</t>
        </is>
      </c>
      <c r="E1185" t="inlineStr">
        <is>
          <t>(en blanco)</t>
        </is>
      </c>
      <c r="F1185" t="inlineStr">
        <is>
          <t>(en blanco)</t>
        </is>
      </c>
      <c r="G1185" t="inlineStr">
        <is>
          <t>S</t>
        </is>
      </c>
      <c r="H1185" t="n">
        <v>35</v>
      </c>
      <c r="I1185" t="inlineStr">
        <is>
          <t>NAUTICA_CLASSICS_117001807_BLK_2.jpg</t>
        </is>
      </c>
      <c r="J1185" t="inlineStr">
        <is>
          <t>NAUTICA_CLASSICS_117001807_BLK_3.jpg</t>
        </is>
      </c>
      <c r="L1185">
        <f>IMAGE("file:///E:/Estudios%20y%20certificaciones/ESTUDIOS%20DE%20PROGRAMMING/PROGRAMMING/PERSONAL/PYTHON/Image_Generator_API/imagenes/NAUTICA_CLASSICS_117001807_BLK_2.jpg")</f>
        <v/>
      </c>
      <c r="M1185">
        <f>IMAGE("file:///E:/Estudios%20y%20certificaciones/ESTUDIOS%20DE%20PROGRAMMING/PROGRAMMING/PERSONAL/PYTHON/Image_Generator_API/imagenes/NAUTICA_CLASSICS_117001807_BLK_3.jpg")</f>
        <v/>
      </c>
      <c r="O1185">
        <f>HYPERLINK("imagenes/NAUTICA_CLASSICS_117001807_BLK_2.jpg","Ver imagen")</f>
        <v/>
      </c>
      <c r="P1185">
        <f>HYPERLINK("imagenes/NAUTICA_CLASSICS_117001807_BLK_3.jpg","Ver imagen")</f>
        <v/>
      </c>
    </row>
    <row r="1186">
      <c r="A1186" t="inlineStr">
        <is>
          <t>NAUTICA CLASSICS</t>
        </is>
      </c>
      <c r="B1186" t="inlineStr">
        <is>
          <t>117001807</t>
        </is>
      </c>
      <c r="C1186" t="inlineStr">
        <is>
          <t>NAUTICA PUFFER</t>
        </is>
      </c>
      <c r="D1186" t="inlineStr">
        <is>
          <t>DEF</t>
        </is>
      </c>
      <c r="E1186" t="inlineStr">
        <is>
          <t>07A08</t>
        </is>
      </c>
      <c r="F1186" t="inlineStr">
        <is>
          <t>B2230</t>
        </is>
      </c>
      <c r="G1186" t="inlineStr">
        <is>
          <t>PPK</t>
        </is>
      </c>
      <c r="H1186" t="n">
        <v>0</v>
      </c>
      <c r="I1186" t="inlineStr">
        <is>
          <t>NAUTICA_CLASSICS_117001807_DEF_1.jpg</t>
        </is>
      </c>
      <c r="J1186" t="inlineStr">
        <is>
          <t>NAUTICA_CLASSICS_117001807_DEF_3.jpg</t>
        </is>
      </c>
      <c r="L1186">
        <f>IMAGE("file:///E:/Estudios%20y%20certificaciones/ESTUDIOS%20DE%20PROGRAMMING/PROGRAMMING/PERSONAL/PYTHON/Image_Generator_API/imagenes/NAUTICA_CLASSICS_117001807_DEF_1.jpg")</f>
        <v/>
      </c>
      <c r="M1186">
        <f>IMAGE("file:///E:/Estudios%20y%20certificaciones/ESTUDIOS%20DE%20PROGRAMMING/PROGRAMMING/PERSONAL/PYTHON/Image_Generator_API/imagenes/NAUTICA_CLASSICS_117001807_DEF_3.jpg")</f>
        <v/>
      </c>
      <c r="O1186">
        <f>HYPERLINK("imagenes/NAUTICA_CLASSICS_117001807_DEF_1.jpg","Ver imagen")</f>
        <v/>
      </c>
      <c r="P1186">
        <f>HYPERLINK("imagenes/NAUTICA_CLASSICS_117001807_DEF_3.jpg","Ver imagen")</f>
        <v/>
      </c>
    </row>
    <row r="1187">
      <c r="A1187" t="inlineStr">
        <is>
          <t>NAUTICA CLASSICS</t>
        </is>
      </c>
      <c r="B1187" t="inlineStr">
        <is>
          <t>117001807</t>
        </is>
      </c>
      <c r="C1187" t="inlineStr">
        <is>
          <t>NAUTICA PUFFER</t>
        </is>
      </c>
      <c r="D1187" t="inlineStr">
        <is>
          <t>DEF</t>
        </is>
      </c>
      <c r="E1187" t="inlineStr">
        <is>
          <t>(en blanco)</t>
        </is>
      </c>
      <c r="F1187" t="inlineStr">
        <is>
          <t>(en blanco)</t>
        </is>
      </c>
      <c r="G1187" t="inlineStr">
        <is>
          <t>XS</t>
        </is>
      </c>
      <c r="H1187" t="n">
        <v>67</v>
      </c>
      <c r="I1187" t="inlineStr">
        <is>
          <t>NAUTICA_CLASSICS_117001807_DEF_1.jpg</t>
        </is>
      </c>
      <c r="J1187" t="inlineStr">
        <is>
          <t>NAUTICA_CLASSICS_117001807_DEF_3.jpg</t>
        </is>
      </c>
      <c r="L1187">
        <f>IMAGE("file:///E:/Estudios%20y%20certificaciones/ESTUDIOS%20DE%20PROGRAMMING/PROGRAMMING/PERSONAL/PYTHON/Image_Generator_API/imagenes/NAUTICA_CLASSICS_117001807_DEF_1.jpg")</f>
        <v/>
      </c>
      <c r="M1187">
        <f>IMAGE("file:///E:/Estudios%20y%20certificaciones/ESTUDIOS%20DE%20PROGRAMMING/PROGRAMMING/PERSONAL/PYTHON/Image_Generator_API/imagenes/NAUTICA_CLASSICS_117001807_DEF_3.jpg")</f>
        <v/>
      </c>
      <c r="O1187">
        <f>HYPERLINK("imagenes/NAUTICA_CLASSICS_117001807_DEF_1.jpg","Ver imagen")</f>
        <v/>
      </c>
      <c r="P1187">
        <f>HYPERLINK("imagenes/NAUTICA_CLASSICS_117001807_DEF_3.jpg","Ver imagen")</f>
        <v/>
      </c>
    </row>
    <row r="1188">
      <c r="A1188" t="inlineStr">
        <is>
          <t>NAUTICA CLASSICS</t>
        </is>
      </c>
      <c r="B1188" t="inlineStr">
        <is>
          <t>117001807</t>
        </is>
      </c>
      <c r="C1188" t="inlineStr">
        <is>
          <t>NAUTICA PUFFER</t>
        </is>
      </c>
      <c r="D1188" t="inlineStr">
        <is>
          <t>DEF</t>
        </is>
      </c>
      <c r="E1188" t="inlineStr">
        <is>
          <t>(en blanco)</t>
        </is>
      </c>
      <c r="F1188" t="inlineStr">
        <is>
          <t>(en blanco)</t>
        </is>
      </c>
      <c r="G1188" t="inlineStr">
        <is>
          <t>S</t>
        </is>
      </c>
      <c r="H1188" t="n">
        <v>112</v>
      </c>
      <c r="I1188" t="inlineStr">
        <is>
          <t>NAUTICA_CLASSICS_117001807_DEF_1.jpg</t>
        </is>
      </c>
      <c r="J1188" t="inlineStr">
        <is>
          <t>NAUTICA_CLASSICS_117001807_DEF_3.jpg</t>
        </is>
      </c>
      <c r="L1188">
        <f>IMAGE("file:///E:/Estudios%20y%20certificaciones/ESTUDIOS%20DE%20PROGRAMMING/PROGRAMMING/PERSONAL/PYTHON/Image_Generator_API/imagenes/NAUTICA_CLASSICS_117001807_DEF_1.jpg")</f>
        <v/>
      </c>
      <c r="M1188">
        <f>IMAGE("file:///E:/Estudios%20y%20certificaciones/ESTUDIOS%20DE%20PROGRAMMING/PROGRAMMING/PERSONAL/PYTHON/Image_Generator_API/imagenes/NAUTICA_CLASSICS_117001807_DEF_3.jpg")</f>
        <v/>
      </c>
      <c r="O1188">
        <f>HYPERLINK("imagenes/NAUTICA_CLASSICS_117001807_DEF_1.jpg","Ver imagen")</f>
        <v/>
      </c>
      <c r="P1188">
        <f>HYPERLINK("imagenes/NAUTICA_CLASSICS_117001807_DEF_3.jpg","Ver imagen")</f>
        <v/>
      </c>
    </row>
    <row r="1189">
      <c r="A1189" t="inlineStr">
        <is>
          <t>NAUTICA CLASSICS</t>
        </is>
      </c>
      <c r="B1189" t="inlineStr">
        <is>
          <t>117001807</t>
        </is>
      </c>
      <c r="C1189" t="inlineStr">
        <is>
          <t>NAUTICA PUFFER</t>
        </is>
      </c>
      <c r="D1189" t="inlineStr">
        <is>
          <t>DEF</t>
        </is>
      </c>
      <c r="E1189" t="inlineStr">
        <is>
          <t>(en blanco)</t>
        </is>
      </c>
      <c r="F1189" t="inlineStr">
        <is>
          <t>(en blanco)</t>
        </is>
      </c>
      <c r="G1189" t="inlineStr">
        <is>
          <t>M</t>
        </is>
      </c>
      <c r="H1189" t="n">
        <v>44</v>
      </c>
      <c r="I1189" t="inlineStr">
        <is>
          <t>NAUTICA_CLASSICS_117001807_DEF_1.jpg</t>
        </is>
      </c>
      <c r="J1189" t="inlineStr">
        <is>
          <t>NAUTICA_CLASSICS_117001807_DEF_3.jpg</t>
        </is>
      </c>
      <c r="L1189">
        <f>IMAGE("file:///E:/Estudios%20y%20certificaciones/ESTUDIOS%20DE%20PROGRAMMING/PROGRAMMING/PERSONAL/PYTHON/Image_Generator_API/imagenes/NAUTICA_CLASSICS_117001807_DEF_1.jpg")</f>
        <v/>
      </c>
      <c r="M1189">
        <f>IMAGE("file:///E:/Estudios%20y%20certificaciones/ESTUDIOS%20DE%20PROGRAMMING/PROGRAMMING/PERSONAL/PYTHON/Image_Generator_API/imagenes/NAUTICA_CLASSICS_117001807_DEF_3.jpg")</f>
        <v/>
      </c>
      <c r="O1189">
        <f>HYPERLINK("imagenes/NAUTICA_CLASSICS_117001807_DEF_1.jpg","Ver imagen")</f>
        <v/>
      </c>
      <c r="P1189">
        <f>HYPERLINK("imagenes/NAUTICA_CLASSICS_117001807_DEF_3.jpg","Ver imagen")</f>
        <v/>
      </c>
    </row>
    <row r="1190">
      <c r="A1190" t="inlineStr">
        <is>
          <t>NAUTICA CLASSICS</t>
        </is>
      </c>
      <c r="B1190" t="inlineStr">
        <is>
          <t>117001807</t>
        </is>
      </c>
      <c r="C1190" t="inlineStr">
        <is>
          <t>NAUTICA PUFFER</t>
        </is>
      </c>
      <c r="D1190" t="inlineStr">
        <is>
          <t>DEF</t>
        </is>
      </c>
      <c r="E1190" t="inlineStr">
        <is>
          <t>(en blanco)</t>
        </is>
      </c>
      <c r="F1190" t="inlineStr">
        <is>
          <t>(en blanco)</t>
        </is>
      </c>
      <c r="G1190" t="inlineStr">
        <is>
          <t>L</t>
        </is>
      </c>
      <c r="H1190" t="n">
        <v>61</v>
      </c>
      <c r="I1190" t="inlineStr">
        <is>
          <t>NAUTICA_CLASSICS_117001807_DEF_1.jpg</t>
        </is>
      </c>
      <c r="J1190" t="inlineStr">
        <is>
          <t>NAUTICA_CLASSICS_117001807_DEF_3.jpg</t>
        </is>
      </c>
      <c r="L1190">
        <f>IMAGE("file:///E:/Estudios%20y%20certificaciones/ESTUDIOS%20DE%20PROGRAMMING/PROGRAMMING/PERSONAL/PYTHON/Image_Generator_API/imagenes/NAUTICA_CLASSICS_117001807_DEF_1.jpg")</f>
        <v/>
      </c>
      <c r="M1190">
        <f>IMAGE("file:///E:/Estudios%20y%20certificaciones/ESTUDIOS%20DE%20PROGRAMMING/PROGRAMMING/PERSONAL/PYTHON/Image_Generator_API/imagenes/NAUTICA_CLASSICS_117001807_DEF_3.jpg")</f>
        <v/>
      </c>
      <c r="O1190">
        <f>HYPERLINK("imagenes/NAUTICA_CLASSICS_117001807_DEF_1.jpg","Ver imagen")</f>
        <v/>
      </c>
      <c r="P1190">
        <f>HYPERLINK("imagenes/NAUTICA_CLASSICS_117001807_DEF_3.jpg","Ver imagen")</f>
        <v/>
      </c>
    </row>
    <row r="1191">
      <c r="A1191" t="inlineStr">
        <is>
          <t>NAUTICA CLASSICS</t>
        </is>
      </c>
      <c r="B1191" t="inlineStr">
        <is>
          <t>117001807</t>
        </is>
      </c>
      <c r="C1191" t="inlineStr">
        <is>
          <t>NAUTICA PUFFER</t>
        </is>
      </c>
      <c r="D1191" t="inlineStr">
        <is>
          <t>PRY</t>
        </is>
      </c>
      <c r="E1191" t="inlineStr">
        <is>
          <t>07A08</t>
        </is>
      </c>
      <c r="F1191" t="inlineStr">
        <is>
          <t>B2230</t>
        </is>
      </c>
      <c r="G1191" t="inlineStr">
        <is>
          <t>PPK</t>
        </is>
      </c>
      <c r="H1191" t="n">
        <v>0</v>
      </c>
      <c r="I1191" t="inlineStr">
        <is>
          <t>NAUTICA_CLASSICS_117001807_PRY_1.jpg</t>
        </is>
      </c>
      <c r="J1191" t="inlineStr">
        <is>
          <t>NAUTICA_CLASSICS_117001807_PRY_2.jpg</t>
        </is>
      </c>
      <c r="K1191" t="inlineStr">
        <is>
          <t>NAUTICA_CLASSICS_117001807_PRY_3.jpg</t>
        </is>
      </c>
      <c r="L1191">
        <f>IMAGE("file:///E:/Estudios%20y%20certificaciones/ESTUDIOS%20DE%20PROGRAMMING/PROGRAMMING/PERSONAL/PYTHON/Image_Generator_API/imagenes/NAUTICA_CLASSICS_117001807_PRY_1.jpg")</f>
        <v/>
      </c>
      <c r="M1191">
        <f>IMAGE("file:///E:/Estudios%20y%20certificaciones/ESTUDIOS%20DE%20PROGRAMMING/PROGRAMMING/PERSONAL/PYTHON/Image_Generator_API/imagenes/NAUTICA_CLASSICS_117001807_PRY_2.jpg")</f>
        <v/>
      </c>
      <c r="N1191">
        <f>IMAGE("file:///E:/Estudios%20y%20certificaciones/ESTUDIOS%20DE%20PROGRAMMING/PROGRAMMING/PERSONAL/PYTHON/Image_Generator_API/imagenes/NAUTICA_CLASSICS_117001807_PRY_3.jpg")</f>
        <v/>
      </c>
      <c r="O1191">
        <f>HYPERLINK("imagenes/NAUTICA_CLASSICS_117001807_PRY_1.jpg","Ver imagen")</f>
        <v/>
      </c>
      <c r="P1191">
        <f>HYPERLINK("imagenes/NAUTICA_CLASSICS_117001807_PRY_2.jpg","Ver imagen")</f>
        <v/>
      </c>
      <c r="Q1191">
        <f>HYPERLINK("imagenes/NAUTICA_CLASSICS_117001807_PRY_3.jpg","Ver imagen")</f>
        <v/>
      </c>
    </row>
    <row r="1192">
      <c r="A1192" t="inlineStr">
        <is>
          <t>NAUTICA CLASSICS</t>
        </is>
      </c>
      <c r="B1192" t="inlineStr">
        <is>
          <t>117001807</t>
        </is>
      </c>
      <c r="C1192" t="inlineStr">
        <is>
          <t>NAUTICA PUFFER</t>
        </is>
      </c>
      <c r="D1192" t="inlineStr">
        <is>
          <t>PRY</t>
        </is>
      </c>
      <c r="E1192" t="inlineStr">
        <is>
          <t>(en blanco)</t>
        </is>
      </c>
      <c r="F1192" t="inlineStr">
        <is>
          <t>D2C</t>
        </is>
      </c>
      <c r="G1192" t="inlineStr">
        <is>
          <t>XS</t>
        </is>
      </c>
      <c r="H1192" t="n">
        <v>44</v>
      </c>
      <c r="I1192" t="inlineStr">
        <is>
          <t>NAUTICA_CLASSICS_117001807_PRY_1.jpg</t>
        </is>
      </c>
      <c r="J1192" t="inlineStr">
        <is>
          <t>NAUTICA_CLASSICS_117001807_PRY_2.jpg</t>
        </is>
      </c>
      <c r="K1192" t="inlineStr">
        <is>
          <t>NAUTICA_CLASSICS_117001807_PRY_3.jpg</t>
        </is>
      </c>
      <c r="L1192">
        <f>IMAGE("file:///E:/Estudios%20y%20certificaciones/ESTUDIOS%20DE%20PROGRAMMING/PROGRAMMING/PERSONAL/PYTHON/Image_Generator_API/imagenes/NAUTICA_CLASSICS_117001807_PRY_1.jpg")</f>
        <v/>
      </c>
      <c r="M1192">
        <f>IMAGE("file:///E:/Estudios%20y%20certificaciones/ESTUDIOS%20DE%20PROGRAMMING/PROGRAMMING/PERSONAL/PYTHON/Image_Generator_API/imagenes/NAUTICA_CLASSICS_117001807_PRY_2.jpg")</f>
        <v/>
      </c>
      <c r="N1192">
        <f>IMAGE("file:///E:/Estudios%20y%20certificaciones/ESTUDIOS%20DE%20PROGRAMMING/PROGRAMMING/PERSONAL/PYTHON/Image_Generator_API/imagenes/NAUTICA_CLASSICS_117001807_PRY_3.jpg")</f>
        <v/>
      </c>
      <c r="O1192">
        <f>HYPERLINK("imagenes/NAUTICA_CLASSICS_117001807_PRY_1.jpg","Ver imagen")</f>
        <v/>
      </c>
      <c r="P1192">
        <f>HYPERLINK("imagenes/NAUTICA_CLASSICS_117001807_PRY_2.jpg","Ver imagen")</f>
        <v/>
      </c>
      <c r="Q1192">
        <f>HYPERLINK("imagenes/NAUTICA_CLASSICS_117001807_PRY_3.jpg","Ver imagen")</f>
        <v/>
      </c>
    </row>
    <row r="1193">
      <c r="A1193" t="inlineStr">
        <is>
          <t>NAUTICA CLASSICS</t>
        </is>
      </c>
      <c r="B1193" t="inlineStr">
        <is>
          <t>117001807</t>
        </is>
      </c>
      <c r="C1193" t="inlineStr">
        <is>
          <t>NAUTICA PUFFER</t>
        </is>
      </c>
      <c r="D1193" t="inlineStr">
        <is>
          <t>PRY</t>
        </is>
      </c>
      <c r="E1193" t="inlineStr">
        <is>
          <t>(en blanco)</t>
        </is>
      </c>
      <c r="F1193" t="inlineStr">
        <is>
          <t>D2C</t>
        </is>
      </c>
      <c r="G1193" t="inlineStr">
        <is>
          <t>S</t>
        </is>
      </c>
      <c r="H1193" t="n">
        <v>68</v>
      </c>
      <c r="I1193" t="inlineStr">
        <is>
          <t>NAUTICA_CLASSICS_117001807_PRY_1.jpg</t>
        </is>
      </c>
      <c r="J1193" t="inlineStr">
        <is>
          <t>NAUTICA_CLASSICS_117001807_PRY_2.jpg</t>
        </is>
      </c>
      <c r="K1193" t="inlineStr">
        <is>
          <t>NAUTICA_CLASSICS_117001807_PRY_3.jpg</t>
        </is>
      </c>
      <c r="L1193">
        <f>IMAGE("file:///E:/Estudios%20y%20certificaciones/ESTUDIOS%20DE%20PROGRAMMING/PROGRAMMING/PERSONAL/PYTHON/Image_Generator_API/imagenes/NAUTICA_CLASSICS_117001807_PRY_1.jpg")</f>
        <v/>
      </c>
      <c r="M1193">
        <f>IMAGE("file:///E:/Estudios%20y%20certificaciones/ESTUDIOS%20DE%20PROGRAMMING/PROGRAMMING/PERSONAL/PYTHON/Image_Generator_API/imagenes/NAUTICA_CLASSICS_117001807_PRY_2.jpg")</f>
        <v/>
      </c>
      <c r="N1193">
        <f>IMAGE("file:///E:/Estudios%20y%20certificaciones/ESTUDIOS%20DE%20PROGRAMMING/PROGRAMMING/PERSONAL/PYTHON/Image_Generator_API/imagenes/NAUTICA_CLASSICS_117001807_PRY_3.jpg")</f>
        <v/>
      </c>
      <c r="O1193">
        <f>HYPERLINK("imagenes/NAUTICA_CLASSICS_117001807_PRY_1.jpg","Ver imagen")</f>
        <v/>
      </c>
      <c r="P1193">
        <f>HYPERLINK("imagenes/NAUTICA_CLASSICS_117001807_PRY_2.jpg","Ver imagen")</f>
        <v/>
      </c>
      <c r="Q1193">
        <f>HYPERLINK("imagenes/NAUTICA_CLASSICS_117001807_PRY_3.jpg","Ver imagen")</f>
        <v/>
      </c>
    </row>
    <row r="1194">
      <c r="A1194" t="inlineStr">
        <is>
          <t>NAUTICA CLASSICS</t>
        </is>
      </c>
      <c r="B1194" t="inlineStr">
        <is>
          <t>117001807</t>
        </is>
      </c>
      <c r="C1194" t="inlineStr">
        <is>
          <t>NAUTICA PUFFER</t>
        </is>
      </c>
      <c r="D1194" t="inlineStr">
        <is>
          <t>PRY</t>
        </is>
      </c>
      <c r="E1194" t="inlineStr">
        <is>
          <t>(en blanco)</t>
        </is>
      </c>
      <c r="F1194" t="inlineStr">
        <is>
          <t>D2C</t>
        </is>
      </c>
      <c r="G1194" t="inlineStr">
        <is>
          <t>M</t>
        </is>
      </c>
      <c r="H1194" t="n">
        <v>44</v>
      </c>
      <c r="I1194" t="inlineStr">
        <is>
          <t>NAUTICA_CLASSICS_117001807_PRY_1.jpg</t>
        </is>
      </c>
      <c r="J1194" t="inlineStr">
        <is>
          <t>NAUTICA_CLASSICS_117001807_PRY_2.jpg</t>
        </is>
      </c>
      <c r="K1194" t="inlineStr">
        <is>
          <t>NAUTICA_CLASSICS_117001807_PRY_3.jpg</t>
        </is>
      </c>
      <c r="L1194">
        <f>IMAGE("file:///E:/Estudios%20y%20certificaciones/ESTUDIOS%20DE%20PROGRAMMING/PROGRAMMING/PERSONAL/PYTHON/Image_Generator_API/imagenes/NAUTICA_CLASSICS_117001807_PRY_1.jpg")</f>
        <v/>
      </c>
      <c r="M1194">
        <f>IMAGE("file:///E:/Estudios%20y%20certificaciones/ESTUDIOS%20DE%20PROGRAMMING/PROGRAMMING/PERSONAL/PYTHON/Image_Generator_API/imagenes/NAUTICA_CLASSICS_117001807_PRY_2.jpg")</f>
        <v/>
      </c>
      <c r="N1194">
        <f>IMAGE("file:///E:/Estudios%20y%20certificaciones/ESTUDIOS%20DE%20PROGRAMMING/PROGRAMMING/PERSONAL/PYTHON/Image_Generator_API/imagenes/NAUTICA_CLASSICS_117001807_PRY_3.jpg")</f>
        <v/>
      </c>
      <c r="O1194">
        <f>HYPERLINK("imagenes/NAUTICA_CLASSICS_117001807_PRY_1.jpg","Ver imagen")</f>
        <v/>
      </c>
      <c r="P1194">
        <f>HYPERLINK("imagenes/NAUTICA_CLASSICS_117001807_PRY_2.jpg","Ver imagen")</f>
        <v/>
      </c>
      <c r="Q1194">
        <f>HYPERLINK("imagenes/NAUTICA_CLASSICS_117001807_PRY_3.jpg","Ver imagen")</f>
        <v/>
      </c>
    </row>
    <row r="1195">
      <c r="A1195" t="inlineStr">
        <is>
          <t>NAUTICA CLASSICS</t>
        </is>
      </c>
      <c r="B1195" t="inlineStr">
        <is>
          <t>117001807</t>
        </is>
      </c>
      <c r="C1195" t="inlineStr">
        <is>
          <t>NAUTICA PUFFER</t>
        </is>
      </c>
      <c r="D1195" t="inlineStr">
        <is>
          <t>PRY</t>
        </is>
      </c>
      <c r="E1195" t="inlineStr">
        <is>
          <t>(en blanco)</t>
        </is>
      </c>
      <c r="F1195" t="inlineStr">
        <is>
          <t>D2C</t>
        </is>
      </c>
      <c r="G1195" t="inlineStr">
        <is>
          <t>L</t>
        </is>
      </c>
      <c r="H1195" t="n">
        <v>42</v>
      </c>
      <c r="I1195" t="inlineStr">
        <is>
          <t>NAUTICA_CLASSICS_117001807_PRY_1.jpg</t>
        </is>
      </c>
      <c r="J1195" t="inlineStr">
        <is>
          <t>NAUTICA_CLASSICS_117001807_PRY_2.jpg</t>
        </is>
      </c>
      <c r="K1195" t="inlineStr">
        <is>
          <t>NAUTICA_CLASSICS_117001807_PRY_3.jpg</t>
        </is>
      </c>
      <c r="L1195">
        <f>IMAGE("file:///E:/Estudios%20y%20certificaciones/ESTUDIOS%20DE%20PROGRAMMING/PROGRAMMING/PERSONAL/PYTHON/Image_Generator_API/imagenes/NAUTICA_CLASSICS_117001807_PRY_1.jpg")</f>
        <v/>
      </c>
      <c r="M1195">
        <f>IMAGE("file:///E:/Estudios%20y%20certificaciones/ESTUDIOS%20DE%20PROGRAMMING/PROGRAMMING/PERSONAL/PYTHON/Image_Generator_API/imagenes/NAUTICA_CLASSICS_117001807_PRY_2.jpg")</f>
        <v/>
      </c>
      <c r="N1195">
        <f>IMAGE("file:///E:/Estudios%20y%20certificaciones/ESTUDIOS%20DE%20PROGRAMMING/PROGRAMMING/PERSONAL/PYTHON/Image_Generator_API/imagenes/NAUTICA_CLASSICS_117001807_PRY_3.jpg")</f>
        <v/>
      </c>
      <c r="O1195">
        <f>HYPERLINK("imagenes/NAUTICA_CLASSICS_117001807_PRY_1.jpg","Ver imagen")</f>
        <v/>
      </c>
      <c r="P1195">
        <f>HYPERLINK("imagenes/NAUTICA_CLASSICS_117001807_PRY_2.jpg","Ver imagen")</f>
        <v/>
      </c>
      <c r="Q1195">
        <f>HYPERLINK("imagenes/NAUTICA_CLASSICS_117001807_PRY_3.jpg","Ver imagen")</f>
        <v/>
      </c>
    </row>
    <row r="1196">
      <c r="A1196" t="inlineStr">
        <is>
          <t>NAUTICA CLASSICS</t>
        </is>
      </c>
      <c r="B1196" t="inlineStr">
        <is>
          <t>117001836</t>
        </is>
      </c>
      <c r="C1196" t="inlineStr">
        <is>
          <t>STRETCH PUFFER</t>
        </is>
      </c>
      <c r="D1196" t="inlineStr">
        <is>
          <t>BLK</t>
        </is>
      </c>
      <c r="E1196" t="inlineStr">
        <is>
          <t>07A08</t>
        </is>
      </c>
      <c r="F1196" t="inlineStr">
        <is>
          <t>B2230</t>
        </is>
      </c>
      <c r="G1196" t="inlineStr">
        <is>
          <t>PPK</t>
        </is>
      </c>
      <c r="H1196" t="n">
        <v>0</v>
      </c>
      <c r="I1196" t="inlineStr">
        <is>
          <t>NAUTICA_CLASSICS_117001836_BLK_2.jpg</t>
        </is>
      </c>
      <c r="J1196" t="inlineStr">
        <is>
          <t>NAUTICA_CLASSICS_117001836_BLK_3.jpg</t>
        </is>
      </c>
      <c r="L1196">
        <f>IMAGE("file:///E:/Estudios%20y%20certificaciones/ESTUDIOS%20DE%20PROGRAMMING/PROGRAMMING/PERSONAL/PYTHON/Image_Generator_API/imagenes/NAUTICA_CLASSICS_117001836_BLK_2.jpg")</f>
        <v/>
      </c>
      <c r="M1196">
        <f>IMAGE("file:///E:/Estudios%20y%20certificaciones/ESTUDIOS%20DE%20PROGRAMMING/PROGRAMMING/PERSONAL/PYTHON/Image_Generator_API/imagenes/NAUTICA_CLASSICS_117001836_BLK_3.jpg")</f>
        <v/>
      </c>
      <c r="O1196">
        <f>HYPERLINK("imagenes/NAUTICA_CLASSICS_117001836_BLK_2.jpg","Ver imagen")</f>
        <v/>
      </c>
      <c r="P1196">
        <f>HYPERLINK("imagenes/NAUTICA_CLASSICS_117001836_BLK_3.jpg","Ver imagen")</f>
        <v/>
      </c>
    </row>
    <row r="1197">
      <c r="A1197" t="inlineStr">
        <is>
          <t>NAUTICA CLASSICS</t>
        </is>
      </c>
      <c r="B1197" t="inlineStr">
        <is>
          <t>117001836</t>
        </is>
      </c>
      <c r="C1197" t="inlineStr">
        <is>
          <t>STRETCH PUFFER</t>
        </is>
      </c>
      <c r="D1197" t="inlineStr">
        <is>
          <t>BLK</t>
        </is>
      </c>
      <c r="E1197" t="inlineStr">
        <is>
          <t>08A05</t>
        </is>
      </c>
      <c r="F1197" t="inlineStr">
        <is>
          <t>(en blanco)</t>
        </is>
      </c>
      <c r="G1197" t="inlineStr">
        <is>
          <t>PPK</t>
        </is>
      </c>
      <c r="H1197" t="n">
        <v>3632</v>
      </c>
      <c r="I1197" t="inlineStr">
        <is>
          <t>NAUTICA_CLASSICS_117001836_BLK_2.jpg</t>
        </is>
      </c>
      <c r="J1197" t="inlineStr">
        <is>
          <t>NAUTICA_CLASSICS_117001836_BLK_3.jpg</t>
        </is>
      </c>
      <c r="L1197">
        <f>IMAGE("file:///E:/Estudios%20y%20certificaciones/ESTUDIOS%20DE%20PROGRAMMING/PROGRAMMING/PERSONAL/PYTHON/Image_Generator_API/imagenes/NAUTICA_CLASSICS_117001836_BLK_2.jpg")</f>
        <v/>
      </c>
      <c r="M1197">
        <f>IMAGE("file:///E:/Estudios%20y%20certificaciones/ESTUDIOS%20DE%20PROGRAMMING/PROGRAMMING/PERSONAL/PYTHON/Image_Generator_API/imagenes/NAUTICA_CLASSICS_117001836_BLK_3.jpg")</f>
        <v/>
      </c>
      <c r="O1197">
        <f>HYPERLINK("imagenes/NAUTICA_CLASSICS_117001836_BLK_2.jpg","Ver imagen")</f>
        <v/>
      </c>
      <c r="P1197">
        <f>HYPERLINK("imagenes/NAUTICA_CLASSICS_117001836_BLK_3.jpg","Ver imagen")</f>
        <v/>
      </c>
    </row>
    <row r="1198">
      <c r="A1198" t="inlineStr">
        <is>
          <t>NAUTICA CLASSICS</t>
        </is>
      </c>
      <c r="B1198" t="inlineStr">
        <is>
          <t>117001836</t>
        </is>
      </c>
      <c r="C1198" t="inlineStr">
        <is>
          <t>STRETCH PUFFER</t>
        </is>
      </c>
      <c r="D1198" t="inlineStr">
        <is>
          <t>BLK</t>
        </is>
      </c>
      <c r="E1198" t="inlineStr">
        <is>
          <t>(en blanco)</t>
        </is>
      </c>
      <c r="F1198" t="inlineStr">
        <is>
          <t>D2C</t>
        </is>
      </c>
      <c r="G1198" t="inlineStr">
        <is>
          <t>XS</t>
        </is>
      </c>
      <c r="H1198" t="n">
        <v>60</v>
      </c>
      <c r="I1198" t="inlineStr">
        <is>
          <t>NAUTICA_CLASSICS_117001836_BLK_2.jpg</t>
        </is>
      </c>
      <c r="J1198" t="inlineStr">
        <is>
          <t>NAUTICA_CLASSICS_117001836_BLK_3.jpg</t>
        </is>
      </c>
      <c r="L1198">
        <f>IMAGE("file:///E:/Estudios%20y%20certificaciones/ESTUDIOS%20DE%20PROGRAMMING/PROGRAMMING/PERSONAL/PYTHON/Image_Generator_API/imagenes/NAUTICA_CLASSICS_117001836_BLK_2.jpg")</f>
        <v/>
      </c>
      <c r="M1198">
        <f>IMAGE("file:///E:/Estudios%20y%20certificaciones/ESTUDIOS%20DE%20PROGRAMMING/PROGRAMMING/PERSONAL/PYTHON/Image_Generator_API/imagenes/NAUTICA_CLASSICS_117001836_BLK_3.jpg")</f>
        <v/>
      </c>
      <c r="O1198">
        <f>HYPERLINK("imagenes/NAUTICA_CLASSICS_117001836_BLK_2.jpg","Ver imagen")</f>
        <v/>
      </c>
      <c r="P1198">
        <f>HYPERLINK("imagenes/NAUTICA_CLASSICS_117001836_BLK_3.jpg","Ver imagen")</f>
        <v/>
      </c>
    </row>
    <row r="1199">
      <c r="A1199" t="inlineStr">
        <is>
          <t>NAUTICA CLASSICS</t>
        </is>
      </c>
      <c r="B1199" t="inlineStr">
        <is>
          <t>117001836</t>
        </is>
      </c>
      <c r="C1199" t="inlineStr">
        <is>
          <t>STRETCH PUFFER</t>
        </is>
      </c>
      <c r="D1199" t="inlineStr">
        <is>
          <t>BLK</t>
        </is>
      </c>
      <c r="E1199" t="inlineStr">
        <is>
          <t>(en blanco)</t>
        </is>
      </c>
      <c r="F1199" t="inlineStr">
        <is>
          <t>D2C</t>
        </is>
      </c>
      <c r="G1199" t="inlineStr">
        <is>
          <t>S</t>
        </is>
      </c>
      <c r="H1199" t="n">
        <v>118</v>
      </c>
      <c r="I1199" t="inlineStr">
        <is>
          <t>NAUTICA_CLASSICS_117001836_BLK_2.jpg</t>
        </is>
      </c>
      <c r="J1199" t="inlineStr">
        <is>
          <t>NAUTICA_CLASSICS_117001836_BLK_3.jpg</t>
        </is>
      </c>
      <c r="L1199">
        <f>IMAGE("file:///E:/Estudios%20y%20certificaciones/ESTUDIOS%20DE%20PROGRAMMING/PROGRAMMING/PERSONAL/PYTHON/Image_Generator_API/imagenes/NAUTICA_CLASSICS_117001836_BLK_2.jpg")</f>
        <v/>
      </c>
      <c r="M1199">
        <f>IMAGE("file:///E:/Estudios%20y%20certificaciones/ESTUDIOS%20DE%20PROGRAMMING/PROGRAMMING/PERSONAL/PYTHON/Image_Generator_API/imagenes/NAUTICA_CLASSICS_117001836_BLK_3.jpg")</f>
        <v/>
      </c>
      <c r="O1199">
        <f>HYPERLINK("imagenes/NAUTICA_CLASSICS_117001836_BLK_2.jpg","Ver imagen")</f>
        <v/>
      </c>
      <c r="P1199">
        <f>HYPERLINK("imagenes/NAUTICA_CLASSICS_117001836_BLK_3.jpg","Ver imagen")</f>
        <v/>
      </c>
    </row>
    <row r="1200">
      <c r="A1200" t="inlineStr">
        <is>
          <t>NAUTICA CLASSICS</t>
        </is>
      </c>
      <c r="B1200" t="inlineStr">
        <is>
          <t>117001836</t>
        </is>
      </c>
      <c r="C1200" t="inlineStr">
        <is>
          <t>STRETCH PUFFER</t>
        </is>
      </c>
      <c r="D1200" t="inlineStr">
        <is>
          <t>BLK</t>
        </is>
      </c>
      <c r="E1200" t="inlineStr">
        <is>
          <t>(en blanco)</t>
        </is>
      </c>
      <c r="F1200" t="inlineStr">
        <is>
          <t>D2C</t>
        </is>
      </c>
      <c r="G1200" t="inlineStr">
        <is>
          <t>M</t>
        </is>
      </c>
      <c r="H1200" t="n">
        <v>112</v>
      </c>
      <c r="I1200" t="inlineStr">
        <is>
          <t>NAUTICA_CLASSICS_117001836_BLK_2.jpg</t>
        </is>
      </c>
      <c r="J1200" t="inlineStr">
        <is>
          <t>NAUTICA_CLASSICS_117001836_BLK_3.jpg</t>
        </is>
      </c>
      <c r="L1200">
        <f>IMAGE("file:///E:/Estudios%20y%20certificaciones/ESTUDIOS%20DE%20PROGRAMMING/PROGRAMMING/PERSONAL/PYTHON/Image_Generator_API/imagenes/NAUTICA_CLASSICS_117001836_BLK_2.jpg")</f>
        <v/>
      </c>
      <c r="M1200">
        <f>IMAGE("file:///E:/Estudios%20y%20certificaciones/ESTUDIOS%20DE%20PROGRAMMING/PROGRAMMING/PERSONAL/PYTHON/Image_Generator_API/imagenes/NAUTICA_CLASSICS_117001836_BLK_3.jpg")</f>
        <v/>
      </c>
      <c r="O1200">
        <f>HYPERLINK("imagenes/NAUTICA_CLASSICS_117001836_BLK_2.jpg","Ver imagen")</f>
        <v/>
      </c>
      <c r="P1200">
        <f>HYPERLINK("imagenes/NAUTICA_CLASSICS_117001836_BLK_3.jpg","Ver imagen")</f>
        <v/>
      </c>
    </row>
    <row r="1201">
      <c r="A1201" t="inlineStr">
        <is>
          <t>NAUTICA CLASSICS</t>
        </is>
      </c>
      <c r="B1201" t="inlineStr">
        <is>
          <t>117001836</t>
        </is>
      </c>
      <c r="C1201" t="inlineStr">
        <is>
          <t>STRETCH PUFFER</t>
        </is>
      </c>
      <c r="D1201" t="inlineStr">
        <is>
          <t>BLK</t>
        </is>
      </c>
      <c r="E1201" t="inlineStr">
        <is>
          <t>(en blanco)</t>
        </is>
      </c>
      <c r="F1201" t="inlineStr">
        <is>
          <t>D2C</t>
        </is>
      </c>
      <c r="G1201" t="inlineStr">
        <is>
          <t>L</t>
        </is>
      </c>
      <c r="H1201" t="n">
        <v>117</v>
      </c>
      <c r="I1201" t="inlineStr">
        <is>
          <t>NAUTICA_CLASSICS_117001836_BLK_2.jpg</t>
        </is>
      </c>
      <c r="J1201" t="inlineStr">
        <is>
          <t>NAUTICA_CLASSICS_117001836_BLK_3.jpg</t>
        </is>
      </c>
      <c r="L1201">
        <f>IMAGE("file:///E:/Estudios%20y%20certificaciones/ESTUDIOS%20DE%20PROGRAMMING/PROGRAMMING/PERSONAL/PYTHON/Image_Generator_API/imagenes/NAUTICA_CLASSICS_117001836_BLK_2.jpg")</f>
        <v/>
      </c>
      <c r="M1201">
        <f>IMAGE("file:///E:/Estudios%20y%20certificaciones/ESTUDIOS%20DE%20PROGRAMMING/PROGRAMMING/PERSONAL/PYTHON/Image_Generator_API/imagenes/NAUTICA_CLASSICS_117001836_BLK_3.jpg")</f>
        <v/>
      </c>
      <c r="O1201">
        <f>HYPERLINK("imagenes/NAUTICA_CLASSICS_117001836_BLK_2.jpg","Ver imagen")</f>
        <v/>
      </c>
      <c r="P1201">
        <f>HYPERLINK("imagenes/NAUTICA_CLASSICS_117001836_BLK_3.jpg","Ver imagen")</f>
        <v/>
      </c>
    </row>
    <row r="1202">
      <c r="A1202" t="inlineStr">
        <is>
          <t>NAUTICA CLASSICS</t>
        </is>
      </c>
      <c r="B1202" t="inlineStr">
        <is>
          <t>117001836</t>
        </is>
      </c>
      <c r="C1202" t="inlineStr">
        <is>
          <t>STRETCH PUFFER</t>
        </is>
      </c>
      <c r="D1202" t="inlineStr">
        <is>
          <t>BLK</t>
        </is>
      </c>
      <c r="E1202" t="inlineStr">
        <is>
          <t>(en blanco)</t>
        </is>
      </c>
      <c r="F1202" t="inlineStr">
        <is>
          <t>(en blanco)</t>
        </is>
      </c>
      <c r="G1202" t="inlineStr">
        <is>
          <t>XS</t>
        </is>
      </c>
      <c r="H1202" t="n">
        <v>60</v>
      </c>
      <c r="I1202" t="inlineStr">
        <is>
          <t>NAUTICA_CLASSICS_117001836_BLK_2.jpg</t>
        </is>
      </c>
      <c r="J1202" t="inlineStr">
        <is>
          <t>NAUTICA_CLASSICS_117001836_BLK_3.jpg</t>
        </is>
      </c>
      <c r="L1202">
        <f>IMAGE("file:///E:/Estudios%20y%20certificaciones/ESTUDIOS%20DE%20PROGRAMMING/PROGRAMMING/PERSONAL/PYTHON/Image_Generator_API/imagenes/NAUTICA_CLASSICS_117001836_BLK_2.jpg")</f>
        <v/>
      </c>
      <c r="M1202">
        <f>IMAGE("file:///E:/Estudios%20y%20certificaciones/ESTUDIOS%20DE%20PROGRAMMING/PROGRAMMING/PERSONAL/PYTHON/Image_Generator_API/imagenes/NAUTICA_CLASSICS_117001836_BLK_3.jpg")</f>
        <v/>
      </c>
      <c r="O1202">
        <f>HYPERLINK("imagenes/NAUTICA_CLASSICS_117001836_BLK_2.jpg","Ver imagen")</f>
        <v/>
      </c>
      <c r="P1202">
        <f>HYPERLINK("imagenes/NAUTICA_CLASSICS_117001836_BLK_3.jpg","Ver imagen")</f>
        <v/>
      </c>
    </row>
    <row r="1203">
      <c r="A1203" t="inlineStr">
        <is>
          <t>NAUTICA CLASSICS</t>
        </is>
      </c>
      <c r="B1203" t="inlineStr">
        <is>
          <t>117001836</t>
        </is>
      </c>
      <c r="C1203" t="inlineStr">
        <is>
          <t>STRETCH PUFFER</t>
        </is>
      </c>
      <c r="D1203" t="inlineStr">
        <is>
          <t>BLK</t>
        </is>
      </c>
      <c r="E1203" t="inlineStr">
        <is>
          <t>(en blanco)</t>
        </is>
      </c>
      <c r="F1203" t="inlineStr">
        <is>
          <t>(en blanco)</t>
        </is>
      </c>
      <c r="G1203" t="inlineStr">
        <is>
          <t>S</t>
        </is>
      </c>
      <c r="H1203" t="n">
        <v>60</v>
      </c>
      <c r="I1203" t="inlineStr">
        <is>
          <t>NAUTICA_CLASSICS_117001836_BLK_2.jpg</t>
        </is>
      </c>
      <c r="J1203" t="inlineStr">
        <is>
          <t>NAUTICA_CLASSICS_117001836_BLK_3.jpg</t>
        </is>
      </c>
      <c r="L1203">
        <f>IMAGE("file:///E:/Estudios%20y%20certificaciones/ESTUDIOS%20DE%20PROGRAMMING/PROGRAMMING/PERSONAL/PYTHON/Image_Generator_API/imagenes/NAUTICA_CLASSICS_117001836_BLK_2.jpg")</f>
        <v/>
      </c>
      <c r="M1203">
        <f>IMAGE("file:///E:/Estudios%20y%20certificaciones/ESTUDIOS%20DE%20PROGRAMMING/PROGRAMMING/PERSONAL/PYTHON/Image_Generator_API/imagenes/NAUTICA_CLASSICS_117001836_BLK_3.jpg")</f>
        <v/>
      </c>
      <c r="O1203">
        <f>HYPERLINK("imagenes/NAUTICA_CLASSICS_117001836_BLK_2.jpg","Ver imagen")</f>
        <v/>
      </c>
      <c r="P1203">
        <f>HYPERLINK("imagenes/NAUTICA_CLASSICS_117001836_BLK_3.jpg","Ver imagen")</f>
        <v/>
      </c>
    </row>
    <row r="1204">
      <c r="A1204" t="inlineStr">
        <is>
          <t>NAUTICA CLASSICS</t>
        </is>
      </c>
      <c r="B1204" t="inlineStr">
        <is>
          <t>117001836</t>
        </is>
      </c>
      <c r="C1204" t="inlineStr">
        <is>
          <t>STRETCH PUFFER</t>
        </is>
      </c>
      <c r="D1204" t="inlineStr">
        <is>
          <t>BM0</t>
        </is>
      </c>
      <c r="E1204" t="inlineStr">
        <is>
          <t>08A05</t>
        </is>
      </c>
      <c r="F1204" t="inlineStr">
        <is>
          <t>(en blanco)</t>
        </is>
      </c>
      <c r="G1204" t="inlineStr">
        <is>
          <t>PPK</t>
        </is>
      </c>
      <c r="H1204" t="n">
        <v>784</v>
      </c>
      <c r="I1204" t="inlineStr">
        <is>
          <t>NAUTICA_CLASSICS_117001836_BM0_1.jpg</t>
        </is>
      </c>
      <c r="J1204" t="inlineStr">
        <is>
          <t>NAUTICA_CLASSICS_117001836_BM0_2.jpg</t>
        </is>
      </c>
      <c r="K1204" t="inlineStr">
        <is>
          <t>NAUTICA_CLASSICS_117001836_BM0_3.jpg</t>
        </is>
      </c>
      <c r="L1204">
        <f>IMAGE("file:///E:/Estudios%20y%20certificaciones/ESTUDIOS%20DE%20PROGRAMMING/PROGRAMMING/PERSONAL/PYTHON/Image_Generator_API/imagenes/NAUTICA_CLASSICS_117001836_BM0_1.jpg")</f>
        <v/>
      </c>
      <c r="M1204">
        <f>IMAGE("file:///E:/Estudios%20y%20certificaciones/ESTUDIOS%20DE%20PROGRAMMING/PROGRAMMING/PERSONAL/PYTHON/Image_Generator_API/imagenes/NAUTICA_CLASSICS_117001836_BM0_2.jpg")</f>
        <v/>
      </c>
      <c r="N1204">
        <f>IMAGE("file:///E:/Estudios%20y%20certificaciones/ESTUDIOS%20DE%20PROGRAMMING/PROGRAMMING/PERSONAL/PYTHON/Image_Generator_API/imagenes/NAUTICA_CLASSICS_117001836_BM0_3.jpg")</f>
        <v/>
      </c>
      <c r="O1204">
        <f>HYPERLINK("imagenes/NAUTICA_CLASSICS_117001836_BM0_1.jpg","Ver imagen")</f>
        <v/>
      </c>
      <c r="P1204">
        <f>HYPERLINK("imagenes/NAUTICA_CLASSICS_117001836_BM0_2.jpg","Ver imagen")</f>
        <v/>
      </c>
      <c r="Q1204">
        <f>HYPERLINK("imagenes/NAUTICA_CLASSICS_117001836_BM0_3.jpg","Ver imagen")</f>
        <v/>
      </c>
    </row>
    <row r="1205">
      <c r="A1205" t="inlineStr">
        <is>
          <t>NAUTICA CLASSICS</t>
        </is>
      </c>
      <c r="B1205" t="inlineStr">
        <is>
          <t>117001836</t>
        </is>
      </c>
      <c r="C1205" t="inlineStr">
        <is>
          <t>STRETCH PUFFER</t>
        </is>
      </c>
      <c r="D1205" t="inlineStr">
        <is>
          <t>BM0</t>
        </is>
      </c>
      <c r="E1205" t="inlineStr">
        <is>
          <t>(en blanco)</t>
        </is>
      </c>
      <c r="F1205" t="inlineStr">
        <is>
          <t>D2C</t>
        </is>
      </c>
      <c r="G1205" t="inlineStr">
        <is>
          <t>XS</t>
        </is>
      </c>
      <c r="H1205" t="n">
        <v>57</v>
      </c>
      <c r="I1205" t="inlineStr">
        <is>
          <t>NAUTICA_CLASSICS_117001836_BM0_1.jpg</t>
        </is>
      </c>
      <c r="J1205" t="inlineStr">
        <is>
          <t>NAUTICA_CLASSICS_117001836_BM0_2.jpg</t>
        </is>
      </c>
      <c r="K1205" t="inlineStr">
        <is>
          <t>NAUTICA_CLASSICS_117001836_BM0_3.jpg</t>
        </is>
      </c>
      <c r="L1205">
        <f>IMAGE("file:///E:/Estudios%20y%20certificaciones/ESTUDIOS%20DE%20PROGRAMMING/PROGRAMMING/PERSONAL/PYTHON/Image_Generator_API/imagenes/NAUTICA_CLASSICS_117001836_BM0_1.jpg")</f>
        <v/>
      </c>
      <c r="M1205">
        <f>IMAGE("file:///E:/Estudios%20y%20certificaciones/ESTUDIOS%20DE%20PROGRAMMING/PROGRAMMING/PERSONAL/PYTHON/Image_Generator_API/imagenes/NAUTICA_CLASSICS_117001836_BM0_2.jpg")</f>
        <v/>
      </c>
      <c r="N1205">
        <f>IMAGE("file:///E:/Estudios%20y%20certificaciones/ESTUDIOS%20DE%20PROGRAMMING/PROGRAMMING/PERSONAL/PYTHON/Image_Generator_API/imagenes/NAUTICA_CLASSICS_117001836_BM0_3.jpg")</f>
        <v/>
      </c>
      <c r="O1205">
        <f>HYPERLINK("imagenes/NAUTICA_CLASSICS_117001836_BM0_1.jpg","Ver imagen")</f>
        <v/>
      </c>
      <c r="P1205">
        <f>HYPERLINK("imagenes/NAUTICA_CLASSICS_117001836_BM0_2.jpg","Ver imagen")</f>
        <v/>
      </c>
      <c r="Q1205">
        <f>HYPERLINK("imagenes/NAUTICA_CLASSICS_117001836_BM0_3.jpg","Ver imagen")</f>
        <v/>
      </c>
    </row>
    <row r="1206">
      <c r="A1206" t="inlineStr">
        <is>
          <t>NAUTICA CLASSICS</t>
        </is>
      </c>
      <c r="B1206" t="inlineStr">
        <is>
          <t>117001836</t>
        </is>
      </c>
      <c r="C1206" t="inlineStr">
        <is>
          <t>STRETCH PUFFER</t>
        </is>
      </c>
      <c r="D1206" t="inlineStr">
        <is>
          <t>BM0</t>
        </is>
      </c>
      <c r="E1206" t="inlineStr">
        <is>
          <t>(en blanco)</t>
        </is>
      </c>
      <c r="F1206" t="inlineStr">
        <is>
          <t>D2C</t>
        </is>
      </c>
      <c r="G1206" t="inlineStr">
        <is>
          <t>S</t>
        </is>
      </c>
      <c r="H1206" t="n">
        <v>116</v>
      </c>
      <c r="I1206" t="inlineStr">
        <is>
          <t>NAUTICA_CLASSICS_117001836_BM0_1.jpg</t>
        </is>
      </c>
      <c r="J1206" t="inlineStr">
        <is>
          <t>NAUTICA_CLASSICS_117001836_BM0_2.jpg</t>
        </is>
      </c>
      <c r="K1206" t="inlineStr">
        <is>
          <t>NAUTICA_CLASSICS_117001836_BM0_3.jpg</t>
        </is>
      </c>
      <c r="L1206">
        <f>IMAGE("file:///E:/Estudios%20y%20certificaciones/ESTUDIOS%20DE%20PROGRAMMING/PROGRAMMING/PERSONAL/PYTHON/Image_Generator_API/imagenes/NAUTICA_CLASSICS_117001836_BM0_1.jpg")</f>
        <v/>
      </c>
      <c r="M1206">
        <f>IMAGE("file:///E:/Estudios%20y%20certificaciones/ESTUDIOS%20DE%20PROGRAMMING/PROGRAMMING/PERSONAL/PYTHON/Image_Generator_API/imagenes/NAUTICA_CLASSICS_117001836_BM0_2.jpg")</f>
        <v/>
      </c>
      <c r="N1206">
        <f>IMAGE("file:///E:/Estudios%20y%20certificaciones/ESTUDIOS%20DE%20PROGRAMMING/PROGRAMMING/PERSONAL/PYTHON/Image_Generator_API/imagenes/NAUTICA_CLASSICS_117001836_BM0_3.jpg")</f>
        <v/>
      </c>
      <c r="O1206">
        <f>HYPERLINK("imagenes/NAUTICA_CLASSICS_117001836_BM0_1.jpg","Ver imagen")</f>
        <v/>
      </c>
      <c r="P1206">
        <f>HYPERLINK("imagenes/NAUTICA_CLASSICS_117001836_BM0_2.jpg","Ver imagen")</f>
        <v/>
      </c>
      <c r="Q1206">
        <f>HYPERLINK("imagenes/NAUTICA_CLASSICS_117001836_BM0_3.jpg","Ver imagen")</f>
        <v/>
      </c>
    </row>
    <row r="1207">
      <c r="A1207" t="inlineStr">
        <is>
          <t>NAUTICA CLASSICS</t>
        </is>
      </c>
      <c r="B1207" t="inlineStr">
        <is>
          <t>117001836</t>
        </is>
      </c>
      <c r="C1207" t="inlineStr">
        <is>
          <t>STRETCH PUFFER</t>
        </is>
      </c>
      <c r="D1207" t="inlineStr">
        <is>
          <t>BM0</t>
        </is>
      </c>
      <c r="E1207" t="inlineStr">
        <is>
          <t>(en blanco)</t>
        </is>
      </c>
      <c r="F1207" t="inlineStr">
        <is>
          <t>D2C</t>
        </is>
      </c>
      <c r="G1207" t="inlineStr">
        <is>
          <t>M</t>
        </is>
      </c>
      <c r="H1207" t="n">
        <v>64</v>
      </c>
      <c r="I1207" t="inlineStr">
        <is>
          <t>NAUTICA_CLASSICS_117001836_BM0_1.jpg</t>
        </is>
      </c>
      <c r="J1207" t="inlineStr">
        <is>
          <t>NAUTICA_CLASSICS_117001836_BM0_2.jpg</t>
        </is>
      </c>
      <c r="K1207" t="inlineStr">
        <is>
          <t>NAUTICA_CLASSICS_117001836_BM0_3.jpg</t>
        </is>
      </c>
      <c r="L1207">
        <f>IMAGE("file:///E:/Estudios%20y%20certificaciones/ESTUDIOS%20DE%20PROGRAMMING/PROGRAMMING/PERSONAL/PYTHON/Image_Generator_API/imagenes/NAUTICA_CLASSICS_117001836_BM0_1.jpg")</f>
        <v/>
      </c>
      <c r="M1207">
        <f>IMAGE("file:///E:/Estudios%20y%20certificaciones/ESTUDIOS%20DE%20PROGRAMMING/PROGRAMMING/PERSONAL/PYTHON/Image_Generator_API/imagenes/NAUTICA_CLASSICS_117001836_BM0_2.jpg")</f>
        <v/>
      </c>
      <c r="N1207">
        <f>IMAGE("file:///E:/Estudios%20y%20certificaciones/ESTUDIOS%20DE%20PROGRAMMING/PROGRAMMING/PERSONAL/PYTHON/Image_Generator_API/imagenes/NAUTICA_CLASSICS_117001836_BM0_3.jpg")</f>
        <v/>
      </c>
      <c r="O1207">
        <f>HYPERLINK("imagenes/NAUTICA_CLASSICS_117001836_BM0_1.jpg","Ver imagen")</f>
        <v/>
      </c>
      <c r="P1207">
        <f>HYPERLINK("imagenes/NAUTICA_CLASSICS_117001836_BM0_2.jpg","Ver imagen")</f>
        <v/>
      </c>
      <c r="Q1207">
        <f>HYPERLINK("imagenes/NAUTICA_CLASSICS_117001836_BM0_3.jpg","Ver imagen")</f>
        <v/>
      </c>
    </row>
    <row r="1208">
      <c r="A1208" t="inlineStr">
        <is>
          <t>NAUTICA CLASSICS</t>
        </is>
      </c>
      <c r="B1208" t="inlineStr">
        <is>
          <t>117001836</t>
        </is>
      </c>
      <c r="C1208" t="inlineStr">
        <is>
          <t>STRETCH PUFFER</t>
        </is>
      </c>
      <c r="D1208" t="inlineStr">
        <is>
          <t>BM0</t>
        </is>
      </c>
      <c r="E1208" t="inlineStr">
        <is>
          <t>(en blanco)</t>
        </is>
      </c>
      <c r="F1208" t="inlineStr">
        <is>
          <t>D2C</t>
        </is>
      </c>
      <c r="G1208" t="inlineStr">
        <is>
          <t>L</t>
        </is>
      </c>
      <c r="H1208" t="n">
        <v>73</v>
      </c>
      <c r="I1208" t="inlineStr">
        <is>
          <t>NAUTICA_CLASSICS_117001836_BM0_1.jpg</t>
        </is>
      </c>
      <c r="J1208" t="inlineStr">
        <is>
          <t>NAUTICA_CLASSICS_117001836_BM0_2.jpg</t>
        </is>
      </c>
      <c r="K1208" t="inlineStr">
        <is>
          <t>NAUTICA_CLASSICS_117001836_BM0_3.jpg</t>
        </is>
      </c>
      <c r="L1208">
        <f>IMAGE("file:///E:/Estudios%20y%20certificaciones/ESTUDIOS%20DE%20PROGRAMMING/PROGRAMMING/PERSONAL/PYTHON/Image_Generator_API/imagenes/NAUTICA_CLASSICS_117001836_BM0_1.jpg")</f>
        <v/>
      </c>
      <c r="M1208">
        <f>IMAGE("file:///E:/Estudios%20y%20certificaciones/ESTUDIOS%20DE%20PROGRAMMING/PROGRAMMING/PERSONAL/PYTHON/Image_Generator_API/imagenes/NAUTICA_CLASSICS_117001836_BM0_2.jpg")</f>
        <v/>
      </c>
      <c r="N1208">
        <f>IMAGE("file:///E:/Estudios%20y%20certificaciones/ESTUDIOS%20DE%20PROGRAMMING/PROGRAMMING/PERSONAL/PYTHON/Image_Generator_API/imagenes/NAUTICA_CLASSICS_117001836_BM0_3.jpg")</f>
        <v/>
      </c>
      <c r="O1208">
        <f>HYPERLINK("imagenes/NAUTICA_CLASSICS_117001836_BM0_1.jpg","Ver imagen")</f>
        <v/>
      </c>
      <c r="P1208">
        <f>HYPERLINK("imagenes/NAUTICA_CLASSICS_117001836_BM0_2.jpg","Ver imagen")</f>
        <v/>
      </c>
      <c r="Q1208">
        <f>HYPERLINK("imagenes/NAUTICA_CLASSICS_117001836_BM0_3.jpg","Ver imagen")</f>
        <v/>
      </c>
    </row>
    <row r="1209">
      <c r="A1209" t="inlineStr">
        <is>
          <t>NAUTICA CLASSICS</t>
        </is>
      </c>
      <c r="B1209" t="inlineStr">
        <is>
          <t>117001836</t>
        </is>
      </c>
      <c r="C1209" t="inlineStr">
        <is>
          <t>STRETCH PUFFER</t>
        </is>
      </c>
      <c r="D1209" t="inlineStr">
        <is>
          <t>BM0</t>
        </is>
      </c>
      <c r="E1209" t="inlineStr">
        <is>
          <t>(en blanco)</t>
        </is>
      </c>
      <c r="F1209" t="inlineStr">
        <is>
          <t>(en blanco)</t>
        </is>
      </c>
      <c r="G1209" t="inlineStr">
        <is>
          <t>XS</t>
        </is>
      </c>
      <c r="H1209" t="n">
        <v>40</v>
      </c>
      <c r="I1209" t="inlineStr">
        <is>
          <t>NAUTICA_CLASSICS_117001836_BM0_1.jpg</t>
        </is>
      </c>
      <c r="J1209" t="inlineStr">
        <is>
          <t>NAUTICA_CLASSICS_117001836_BM0_2.jpg</t>
        </is>
      </c>
      <c r="K1209" t="inlineStr">
        <is>
          <t>NAUTICA_CLASSICS_117001836_BM0_3.jpg</t>
        </is>
      </c>
      <c r="L1209">
        <f>IMAGE("file:///E:/Estudios%20y%20certificaciones/ESTUDIOS%20DE%20PROGRAMMING/PROGRAMMING/PERSONAL/PYTHON/Image_Generator_API/imagenes/NAUTICA_CLASSICS_117001836_BM0_1.jpg")</f>
        <v/>
      </c>
      <c r="M1209">
        <f>IMAGE("file:///E:/Estudios%20y%20certificaciones/ESTUDIOS%20DE%20PROGRAMMING/PROGRAMMING/PERSONAL/PYTHON/Image_Generator_API/imagenes/NAUTICA_CLASSICS_117001836_BM0_2.jpg")</f>
        <v/>
      </c>
      <c r="N1209">
        <f>IMAGE("file:///E:/Estudios%20y%20certificaciones/ESTUDIOS%20DE%20PROGRAMMING/PROGRAMMING/PERSONAL/PYTHON/Image_Generator_API/imagenes/NAUTICA_CLASSICS_117001836_BM0_3.jpg")</f>
        <v/>
      </c>
      <c r="O1209">
        <f>HYPERLINK("imagenes/NAUTICA_CLASSICS_117001836_BM0_1.jpg","Ver imagen")</f>
        <v/>
      </c>
      <c r="P1209">
        <f>HYPERLINK("imagenes/NAUTICA_CLASSICS_117001836_BM0_2.jpg","Ver imagen")</f>
        <v/>
      </c>
      <c r="Q1209">
        <f>HYPERLINK("imagenes/NAUTICA_CLASSICS_117001836_BM0_3.jpg","Ver imagen")</f>
        <v/>
      </c>
    </row>
    <row r="1210">
      <c r="A1210" t="inlineStr">
        <is>
          <t>NAUTICA CLASSICS</t>
        </is>
      </c>
      <c r="B1210" t="inlineStr">
        <is>
          <t>117001836</t>
        </is>
      </c>
      <c r="C1210" t="inlineStr">
        <is>
          <t>STRETCH PUFFER</t>
        </is>
      </c>
      <c r="D1210" t="inlineStr">
        <is>
          <t>BM0</t>
        </is>
      </c>
      <c r="E1210" t="inlineStr">
        <is>
          <t>(en blanco)</t>
        </is>
      </c>
      <c r="F1210" t="inlineStr">
        <is>
          <t>(en blanco)</t>
        </is>
      </c>
      <c r="G1210" t="inlineStr">
        <is>
          <t>S</t>
        </is>
      </c>
      <c r="H1210" t="n">
        <v>14</v>
      </c>
      <c r="I1210" t="inlineStr">
        <is>
          <t>NAUTICA_CLASSICS_117001836_BM0_1.jpg</t>
        </is>
      </c>
      <c r="J1210" t="inlineStr">
        <is>
          <t>NAUTICA_CLASSICS_117001836_BM0_2.jpg</t>
        </is>
      </c>
      <c r="K1210" t="inlineStr">
        <is>
          <t>NAUTICA_CLASSICS_117001836_BM0_3.jpg</t>
        </is>
      </c>
      <c r="L1210">
        <f>IMAGE("file:///E:/Estudios%20y%20certificaciones/ESTUDIOS%20DE%20PROGRAMMING/PROGRAMMING/PERSONAL/PYTHON/Image_Generator_API/imagenes/NAUTICA_CLASSICS_117001836_BM0_1.jpg")</f>
        <v/>
      </c>
      <c r="M1210">
        <f>IMAGE("file:///E:/Estudios%20y%20certificaciones/ESTUDIOS%20DE%20PROGRAMMING/PROGRAMMING/PERSONAL/PYTHON/Image_Generator_API/imagenes/NAUTICA_CLASSICS_117001836_BM0_2.jpg")</f>
        <v/>
      </c>
      <c r="N1210">
        <f>IMAGE("file:///E:/Estudios%20y%20certificaciones/ESTUDIOS%20DE%20PROGRAMMING/PROGRAMMING/PERSONAL/PYTHON/Image_Generator_API/imagenes/NAUTICA_CLASSICS_117001836_BM0_3.jpg")</f>
        <v/>
      </c>
      <c r="O1210">
        <f>HYPERLINK("imagenes/NAUTICA_CLASSICS_117001836_BM0_1.jpg","Ver imagen")</f>
        <v/>
      </c>
      <c r="P1210">
        <f>HYPERLINK("imagenes/NAUTICA_CLASSICS_117001836_BM0_2.jpg","Ver imagen")</f>
        <v/>
      </c>
      <c r="Q1210">
        <f>HYPERLINK("imagenes/NAUTICA_CLASSICS_117001836_BM0_3.jpg","Ver imagen")</f>
        <v/>
      </c>
    </row>
    <row r="1211">
      <c r="A1211" t="inlineStr">
        <is>
          <t>NAUTICA CLASSICS</t>
        </is>
      </c>
      <c r="B1211" t="inlineStr">
        <is>
          <t>117001836P</t>
        </is>
      </c>
      <c r="C1211" t="inlineStr">
        <is>
          <t>STRETCH PUFFER - PLUS</t>
        </is>
      </c>
      <c r="D1211" t="inlineStr">
        <is>
          <t>BLK</t>
        </is>
      </c>
      <c r="E1211" t="inlineStr">
        <is>
          <t>08A23</t>
        </is>
      </c>
      <c r="F1211" t="inlineStr">
        <is>
          <t>B2230</t>
        </is>
      </c>
      <c r="G1211" t="inlineStr">
        <is>
          <t>PPK</t>
        </is>
      </c>
      <c r="H1211" t="n">
        <v>0</v>
      </c>
      <c r="I1211" t="inlineStr">
        <is>
          <t>NAUTICA_CLASSICS_117001836P_BLK_1.jpg</t>
        </is>
      </c>
      <c r="J1211" t="inlineStr">
        <is>
          <t>NAUTICA_CLASSICS_117001836P_BLK_2.jpg</t>
        </is>
      </c>
      <c r="K1211" t="inlineStr">
        <is>
          <t>NAUTICA_CLASSICS_117001836P_BLK_3.jpg</t>
        </is>
      </c>
      <c r="L1211">
        <f>IMAGE("file:///E:/Estudios%20y%20certificaciones/ESTUDIOS%20DE%20PROGRAMMING/PROGRAMMING/PERSONAL/PYTHON/Image_Generator_API/imagenes/NAUTICA_CLASSICS_117001836P_BLK_1.jpg")</f>
        <v/>
      </c>
      <c r="M1211">
        <f>IMAGE("file:///E:/Estudios%20y%20certificaciones/ESTUDIOS%20DE%20PROGRAMMING/PROGRAMMING/PERSONAL/PYTHON/Image_Generator_API/imagenes/NAUTICA_CLASSICS_117001836P_BLK_2.jpg")</f>
        <v/>
      </c>
      <c r="N1211">
        <f>IMAGE("file:///E:/Estudios%20y%20certificaciones/ESTUDIOS%20DE%20PROGRAMMING/PROGRAMMING/PERSONAL/PYTHON/Image_Generator_API/imagenes/NAUTICA_CLASSICS_117001836P_BLK_3.jpg")</f>
        <v/>
      </c>
      <c r="O1211">
        <f>HYPERLINK("imagenes/NAUTICA_CLASSICS_117001836P_BLK_1.jpg","Ver imagen")</f>
        <v/>
      </c>
      <c r="P1211">
        <f>HYPERLINK("imagenes/NAUTICA_CLASSICS_117001836P_BLK_2.jpg","Ver imagen")</f>
        <v/>
      </c>
      <c r="Q1211">
        <f>HYPERLINK("imagenes/NAUTICA_CLASSICS_117001836P_BLK_3.jpg","Ver imagen")</f>
        <v/>
      </c>
    </row>
    <row r="1212">
      <c r="A1212" t="inlineStr">
        <is>
          <t>NAUTICA CLASSICS</t>
        </is>
      </c>
      <c r="B1212" t="inlineStr">
        <is>
          <t>117001836P</t>
        </is>
      </c>
      <c r="C1212" t="inlineStr">
        <is>
          <t>STRETCH PUFFER - PLUS</t>
        </is>
      </c>
      <c r="D1212" t="inlineStr">
        <is>
          <t>BM0</t>
        </is>
      </c>
      <c r="E1212" t="inlineStr">
        <is>
          <t>08A23</t>
        </is>
      </c>
      <c r="F1212" t="inlineStr">
        <is>
          <t>B2230</t>
        </is>
      </c>
      <c r="G1212" t="inlineStr">
        <is>
          <t>PPK</t>
        </is>
      </c>
      <c r="H1212" t="n">
        <v>0</v>
      </c>
      <c r="I1212" t="inlineStr">
        <is>
          <t>NAUTICA_CLASSICS_117001836P_BM0_1.jpg</t>
        </is>
      </c>
      <c r="J1212" t="inlineStr">
        <is>
          <t>NAUTICA_CLASSICS_117001836P_BM0_2.jpg</t>
        </is>
      </c>
      <c r="K1212" t="inlineStr">
        <is>
          <t>NAUTICA_CLASSICS_117001836P_BM0_3.jpg</t>
        </is>
      </c>
      <c r="L1212">
        <f>IMAGE("file:///E:/Estudios%20y%20certificaciones/ESTUDIOS%20DE%20PROGRAMMING/PROGRAMMING/PERSONAL/PYTHON/Image_Generator_API/imagenes/NAUTICA_CLASSICS_117001836P_BM0_1.jpg")</f>
        <v/>
      </c>
      <c r="M1212">
        <f>IMAGE("file:///E:/Estudios%20y%20certificaciones/ESTUDIOS%20DE%20PROGRAMMING/PROGRAMMING/PERSONAL/PYTHON/Image_Generator_API/imagenes/NAUTICA_CLASSICS_117001836P_BM0_2.jpg")</f>
        <v/>
      </c>
      <c r="N1212">
        <f>IMAGE("file:///E:/Estudios%20y%20certificaciones/ESTUDIOS%20DE%20PROGRAMMING/PROGRAMMING/PERSONAL/PYTHON/Image_Generator_API/imagenes/NAUTICA_CLASSICS_117001836P_BM0_3.jpg")</f>
        <v/>
      </c>
      <c r="O1212">
        <f>HYPERLINK("imagenes/NAUTICA_CLASSICS_117001836P_BM0_1.jpg","Ver imagen")</f>
        <v/>
      </c>
      <c r="P1212">
        <f>HYPERLINK("imagenes/NAUTICA_CLASSICS_117001836P_BM0_2.jpg","Ver imagen")</f>
        <v/>
      </c>
      <c r="Q1212">
        <f>HYPERLINK("imagenes/NAUTICA_CLASSICS_117001836P_BM0_3.jpg","Ver imagen")</f>
        <v/>
      </c>
    </row>
    <row r="1213">
      <c r="A1213" t="inlineStr">
        <is>
          <t>NAUTICA CLASSICS</t>
        </is>
      </c>
      <c r="B1213" t="inlineStr">
        <is>
          <t>117001872</t>
        </is>
      </c>
      <c r="C1213" t="inlineStr">
        <is>
          <t>MAXI BELTED STRETCH</t>
        </is>
      </c>
      <c r="D1213" t="inlineStr">
        <is>
          <t>BLK</t>
        </is>
      </c>
      <c r="E1213" t="inlineStr">
        <is>
          <t>07A08</t>
        </is>
      </c>
      <c r="F1213" t="inlineStr">
        <is>
          <t>B2230</t>
        </is>
      </c>
      <c r="G1213" t="inlineStr">
        <is>
          <t>PPK</t>
        </is>
      </c>
      <c r="H1213" t="n">
        <v>0</v>
      </c>
      <c r="I1213" t="inlineStr">
        <is>
          <t>NAUTICA_CLASSICS_117001872_BLK_2.jpg</t>
        </is>
      </c>
      <c r="J1213" t="inlineStr">
        <is>
          <t>NAUTICA_CLASSICS_117001872_BLK_3.jpg</t>
        </is>
      </c>
      <c r="L1213">
        <f>IMAGE("file:///E:/Estudios%20y%20certificaciones/ESTUDIOS%20DE%20PROGRAMMING/PROGRAMMING/PERSONAL/PYTHON/Image_Generator_API/imagenes/NAUTICA_CLASSICS_117001872_BLK_2.jpg")</f>
        <v/>
      </c>
      <c r="M1213">
        <f>IMAGE("file:///E:/Estudios%20y%20certificaciones/ESTUDIOS%20DE%20PROGRAMMING/PROGRAMMING/PERSONAL/PYTHON/Image_Generator_API/imagenes/NAUTICA_CLASSICS_117001872_BLK_3.jpg")</f>
        <v/>
      </c>
      <c r="O1213">
        <f>HYPERLINK("imagenes/NAUTICA_CLASSICS_117001872_BLK_2.jpg","Ver imagen")</f>
        <v/>
      </c>
      <c r="P1213">
        <f>HYPERLINK("imagenes/NAUTICA_CLASSICS_117001872_BLK_3.jpg","Ver imagen")</f>
        <v/>
      </c>
    </row>
    <row r="1214">
      <c r="A1214" t="inlineStr">
        <is>
          <t>NAUTICA CLASSICS</t>
        </is>
      </c>
      <c r="B1214" t="inlineStr">
        <is>
          <t>117001872</t>
        </is>
      </c>
      <c r="C1214" t="inlineStr">
        <is>
          <t>MAXI BELTED STRETCH</t>
        </is>
      </c>
      <c r="D1214" t="inlineStr">
        <is>
          <t>BLK</t>
        </is>
      </c>
      <c r="E1214" t="inlineStr">
        <is>
          <t>08A05</t>
        </is>
      </c>
      <c r="F1214" t="inlineStr">
        <is>
          <t>(en blanco)</t>
        </is>
      </c>
      <c r="G1214" t="inlineStr">
        <is>
          <t>PPK</t>
        </is>
      </c>
      <c r="H1214" t="n">
        <v>2040</v>
      </c>
      <c r="I1214" t="inlineStr">
        <is>
          <t>NAUTICA_CLASSICS_117001872_BLK_2.jpg</t>
        </is>
      </c>
      <c r="J1214" t="inlineStr">
        <is>
          <t>NAUTICA_CLASSICS_117001872_BLK_3.jpg</t>
        </is>
      </c>
      <c r="L1214">
        <f>IMAGE("file:///E:/Estudios%20y%20certificaciones/ESTUDIOS%20DE%20PROGRAMMING/PROGRAMMING/PERSONAL/PYTHON/Image_Generator_API/imagenes/NAUTICA_CLASSICS_117001872_BLK_2.jpg")</f>
        <v/>
      </c>
      <c r="M1214">
        <f>IMAGE("file:///E:/Estudios%20y%20certificaciones/ESTUDIOS%20DE%20PROGRAMMING/PROGRAMMING/PERSONAL/PYTHON/Image_Generator_API/imagenes/NAUTICA_CLASSICS_117001872_BLK_3.jpg")</f>
        <v/>
      </c>
      <c r="O1214">
        <f>HYPERLINK("imagenes/NAUTICA_CLASSICS_117001872_BLK_2.jpg","Ver imagen")</f>
        <v/>
      </c>
      <c r="P1214">
        <f>HYPERLINK("imagenes/NAUTICA_CLASSICS_117001872_BLK_3.jpg","Ver imagen")</f>
        <v/>
      </c>
    </row>
    <row r="1215">
      <c r="A1215" t="inlineStr">
        <is>
          <t>NAUTICA CLASSICS</t>
        </is>
      </c>
      <c r="B1215" t="inlineStr">
        <is>
          <t>117001872</t>
        </is>
      </c>
      <c r="C1215" t="inlineStr">
        <is>
          <t>MAXI BELTED STRETCH</t>
        </is>
      </c>
      <c r="D1215" t="inlineStr">
        <is>
          <t>BLK</t>
        </is>
      </c>
      <c r="E1215" t="inlineStr">
        <is>
          <t>(en blanco)</t>
        </is>
      </c>
      <c r="F1215" t="inlineStr">
        <is>
          <t>D2C</t>
        </is>
      </c>
      <c r="G1215" t="inlineStr">
        <is>
          <t>XS</t>
        </is>
      </c>
      <c r="H1215" t="n">
        <v>50</v>
      </c>
      <c r="I1215" t="inlineStr">
        <is>
          <t>NAUTICA_CLASSICS_117001872_BLK_2.jpg</t>
        </is>
      </c>
      <c r="J1215" t="inlineStr">
        <is>
          <t>NAUTICA_CLASSICS_117001872_BLK_3.jpg</t>
        </is>
      </c>
      <c r="L1215">
        <f>IMAGE("file:///E:/Estudios%20y%20certificaciones/ESTUDIOS%20DE%20PROGRAMMING/PROGRAMMING/PERSONAL/PYTHON/Image_Generator_API/imagenes/NAUTICA_CLASSICS_117001872_BLK_2.jpg")</f>
        <v/>
      </c>
      <c r="M1215">
        <f>IMAGE("file:///E:/Estudios%20y%20certificaciones/ESTUDIOS%20DE%20PROGRAMMING/PROGRAMMING/PERSONAL/PYTHON/Image_Generator_API/imagenes/NAUTICA_CLASSICS_117001872_BLK_3.jpg")</f>
        <v/>
      </c>
      <c r="O1215">
        <f>HYPERLINK("imagenes/NAUTICA_CLASSICS_117001872_BLK_2.jpg","Ver imagen")</f>
        <v/>
      </c>
      <c r="P1215">
        <f>HYPERLINK("imagenes/NAUTICA_CLASSICS_117001872_BLK_3.jpg","Ver imagen")</f>
        <v/>
      </c>
    </row>
    <row r="1216">
      <c r="A1216" t="inlineStr">
        <is>
          <t>NAUTICA CLASSICS</t>
        </is>
      </c>
      <c r="B1216" t="inlineStr">
        <is>
          <t>117001872</t>
        </is>
      </c>
      <c r="C1216" t="inlineStr">
        <is>
          <t>MAXI BELTED STRETCH</t>
        </is>
      </c>
      <c r="D1216" t="inlineStr">
        <is>
          <t>BLK</t>
        </is>
      </c>
      <c r="E1216" t="inlineStr">
        <is>
          <t>(en blanco)</t>
        </is>
      </c>
      <c r="F1216" t="inlineStr">
        <is>
          <t>D2C</t>
        </is>
      </c>
      <c r="G1216" t="inlineStr">
        <is>
          <t>S</t>
        </is>
      </c>
      <c r="H1216" t="n">
        <v>97</v>
      </c>
      <c r="I1216" t="inlineStr">
        <is>
          <t>NAUTICA_CLASSICS_117001872_BLK_2.jpg</t>
        </is>
      </c>
      <c r="J1216" t="inlineStr">
        <is>
          <t>NAUTICA_CLASSICS_117001872_BLK_3.jpg</t>
        </is>
      </c>
      <c r="L1216">
        <f>IMAGE("file:///E:/Estudios%20y%20certificaciones/ESTUDIOS%20DE%20PROGRAMMING/PROGRAMMING/PERSONAL/PYTHON/Image_Generator_API/imagenes/NAUTICA_CLASSICS_117001872_BLK_2.jpg")</f>
        <v/>
      </c>
      <c r="M1216">
        <f>IMAGE("file:///E:/Estudios%20y%20certificaciones/ESTUDIOS%20DE%20PROGRAMMING/PROGRAMMING/PERSONAL/PYTHON/Image_Generator_API/imagenes/NAUTICA_CLASSICS_117001872_BLK_3.jpg")</f>
        <v/>
      </c>
      <c r="O1216">
        <f>HYPERLINK("imagenes/NAUTICA_CLASSICS_117001872_BLK_2.jpg","Ver imagen")</f>
        <v/>
      </c>
      <c r="P1216">
        <f>HYPERLINK("imagenes/NAUTICA_CLASSICS_117001872_BLK_3.jpg","Ver imagen")</f>
        <v/>
      </c>
    </row>
    <row r="1217">
      <c r="A1217" t="inlineStr">
        <is>
          <t>NAUTICA CLASSICS</t>
        </is>
      </c>
      <c r="B1217" t="inlineStr">
        <is>
          <t>117001872</t>
        </is>
      </c>
      <c r="C1217" t="inlineStr">
        <is>
          <t>MAXI BELTED STRETCH</t>
        </is>
      </c>
      <c r="D1217" t="inlineStr">
        <is>
          <t>BLK</t>
        </is>
      </c>
      <c r="E1217" t="inlineStr">
        <is>
          <t>(en blanco)</t>
        </is>
      </c>
      <c r="F1217" t="inlineStr">
        <is>
          <t>D2C</t>
        </is>
      </c>
      <c r="G1217" t="inlineStr">
        <is>
          <t>M</t>
        </is>
      </c>
      <c r="H1217" t="n">
        <v>93</v>
      </c>
      <c r="I1217" t="inlineStr">
        <is>
          <t>NAUTICA_CLASSICS_117001872_BLK_2.jpg</t>
        </is>
      </c>
      <c r="J1217" t="inlineStr">
        <is>
          <t>NAUTICA_CLASSICS_117001872_BLK_3.jpg</t>
        </is>
      </c>
      <c r="L1217">
        <f>IMAGE("file:///E:/Estudios%20y%20certificaciones/ESTUDIOS%20DE%20PROGRAMMING/PROGRAMMING/PERSONAL/PYTHON/Image_Generator_API/imagenes/NAUTICA_CLASSICS_117001872_BLK_2.jpg")</f>
        <v/>
      </c>
      <c r="M1217">
        <f>IMAGE("file:///E:/Estudios%20y%20certificaciones/ESTUDIOS%20DE%20PROGRAMMING/PROGRAMMING/PERSONAL/PYTHON/Image_Generator_API/imagenes/NAUTICA_CLASSICS_117001872_BLK_3.jpg")</f>
        <v/>
      </c>
      <c r="O1217">
        <f>HYPERLINK("imagenes/NAUTICA_CLASSICS_117001872_BLK_2.jpg","Ver imagen")</f>
        <v/>
      </c>
      <c r="P1217">
        <f>HYPERLINK("imagenes/NAUTICA_CLASSICS_117001872_BLK_3.jpg","Ver imagen")</f>
        <v/>
      </c>
    </row>
    <row r="1218">
      <c r="A1218" t="inlineStr">
        <is>
          <t>NAUTICA CLASSICS</t>
        </is>
      </c>
      <c r="B1218" t="inlineStr">
        <is>
          <t>117001872</t>
        </is>
      </c>
      <c r="C1218" t="inlineStr">
        <is>
          <t>MAXI BELTED STRETCH</t>
        </is>
      </c>
      <c r="D1218" t="inlineStr">
        <is>
          <t>BLK</t>
        </is>
      </c>
      <c r="E1218" t="inlineStr">
        <is>
          <t>(en blanco)</t>
        </is>
      </c>
      <c r="F1218" t="inlineStr">
        <is>
          <t>D2C</t>
        </is>
      </c>
      <c r="G1218" t="inlineStr">
        <is>
          <t>L</t>
        </is>
      </c>
      <c r="H1218" t="n">
        <v>92</v>
      </c>
      <c r="I1218" t="inlineStr">
        <is>
          <t>NAUTICA_CLASSICS_117001872_BLK_2.jpg</t>
        </is>
      </c>
      <c r="J1218" t="inlineStr">
        <is>
          <t>NAUTICA_CLASSICS_117001872_BLK_3.jpg</t>
        </is>
      </c>
      <c r="L1218">
        <f>IMAGE("file:///E:/Estudios%20y%20certificaciones/ESTUDIOS%20DE%20PROGRAMMING/PROGRAMMING/PERSONAL/PYTHON/Image_Generator_API/imagenes/NAUTICA_CLASSICS_117001872_BLK_2.jpg")</f>
        <v/>
      </c>
      <c r="M1218">
        <f>IMAGE("file:///E:/Estudios%20y%20certificaciones/ESTUDIOS%20DE%20PROGRAMMING/PROGRAMMING/PERSONAL/PYTHON/Image_Generator_API/imagenes/NAUTICA_CLASSICS_117001872_BLK_3.jpg")</f>
        <v/>
      </c>
      <c r="O1218">
        <f>HYPERLINK("imagenes/NAUTICA_CLASSICS_117001872_BLK_2.jpg","Ver imagen")</f>
        <v/>
      </c>
      <c r="P1218">
        <f>HYPERLINK("imagenes/NAUTICA_CLASSICS_117001872_BLK_3.jpg","Ver imagen")</f>
        <v/>
      </c>
    </row>
    <row r="1219">
      <c r="A1219" t="inlineStr">
        <is>
          <t>NAUTICA CLASSICS</t>
        </is>
      </c>
      <c r="B1219" t="inlineStr">
        <is>
          <t>117001872</t>
        </is>
      </c>
      <c r="C1219" t="inlineStr">
        <is>
          <t>MAXI BELTED STRETCH</t>
        </is>
      </c>
      <c r="D1219" t="inlineStr">
        <is>
          <t>BLK</t>
        </is>
      </c>
      <c r="E1219" t="inlineStr">
        <is>
          <t>(en blanco)</t>
        </is>
      </c>
      <c r="F1219" t="inlineStr">
        <is>
          <t>(en blanco)</t>
        </is>
      </c>
      <c r="G1219" t="inlineStr">
        <is>
          <t>XS</t>
        </is>
      </c>
      <c r="H1219" t="n">
        <v>68</v>
      </c>
      <c r="I1219" t="inlineStr">
        <is>
          <t>NAUTICA_CLASSICS_117001872_BLK_2.jpg</t>
        </is>
      </c>
      <c r="J1219" t="inlineStr">
        <is>
          <t>NAUTICA_CLASSICS_117001872_BLK_3.jpg</t>
        </is>
      </c>
      <c r="L1219">
        <f>IMAGE("file:///E:/Estudios%20y%20certificaciones/ESTUDIOS%20DE%20PROGRAMMING/PROGRAMMING/PERSONAL/PYTHON/Image_Generator_API/imagenes/NAUTICA_CLASSICS_117001872_BLK_2.jpg")</f>
        <v/>
      </c>
      <c r="M1219">
        <f>IMAGE("file:///E:/Estudios%20y%20certificaciones/ESTUDIOS%20DE%20PROGRAMMING/PROGRAMMING/PERSONAL/PYTHON/Image_Generator_API/imagenes/NAUTICA_CLASSICS_117001872_BLK_3.jpg")</f>
        <v/>
      </c>
      <c r="O1219">
        <f>HYPERLINK("imagenes/NAUTICA_CLASSICS_117001872_BLK_2.jpg","Ver imagen")</f>
        <v/>
      </c>
      <c r="P1219">
        <f>HYPERLINK("imagenes/NAUTICA_CLASSICS_117001872_BLK_3.jpg","Ver imagen")</f>
        <v/>
      </c>
    </row>
    <row r="1220">
      <c r="A1220" t="inlineStr">
        <is>
          <t>NAUTICA CLASSICS</t>
        </is>
      </c>
      <c r="B1220" t="inlineStr">
        <is>
          <t>117001872</t>
        </is>
      </c>
      <c r="C1220" t="inlineStr">
        <is>
          <t>MAXI BELTED STRETCH</t>
        </is>
      </c>
      <c r="D1220" t="inlineStr">
        <is>
          <t>BLK</t>
        </is>
      </c>
      <c r="E1220" t="inlineStr">
        <is>
          <t>(en blanco)</t>
        </is>
      </c>
      <c r="F1220" t="inlineStr">
        <is>
          <t>(en blanco)</t>
        </is>
      </c>
      <c r="G1220" t="inlineStr">
        <is>
          <t>S</t>
        </is>
      </c>
      <c r="H1220" t="n">
        <v>75</v>
      </c>
      <c r="I1220" t="inlineStr">
        <is>
          <t>NAUTICA_CLASSICS_117001872_BLK_2.jpg</t>
        </is>
      </c>
      <c r="J1220" t="inlineStr">
        <is>
          <t>NAUTICA_CLASSICS_117001872_BLK_3.jpg</t>
        </is>
      </c>
      <c r="L1220">
        <f>IMAGE("file:///E:/Estudios%20y%20certificaciones/ESTUDIOS%20DE%20PROGRAMMING/PROGRAMMING/PERSONAL/PYTHON/Image_Generator_API/imagenes/NAUTICA_CLASSICS_117001872_BLK_2.jpg")</f>
        <v/>
      </c>
      <c r="M1220">
        <f>IMAGE("file:///E:/Estudios%20y%20certificaciones/ESTUDIOS%20DE%20PROGRAMMING/PROGRAMMING/PERSONAL/PYTHON/Image_Generator_API/imagenes/NAUTICA_CLASSICS_117001872_BLK_3.jpg")</f>
        <v/>
      </c>
      <c r="O1220">
        <f>HYPERLINK("imagenes/NAUTICA_CLASSICS_117001872_BLK_2.jpg","Ver imagen")</f>
        <v/>
      </c>
      <c r="P1220">
        <f>HYPERLINK("imagenes/NAUTICA_CLASSICS_117001872_BLK_3.jpg","Ver imagen")</f>
        <v/>
      </c>
    </row>
    <row r="1221">
      <c r="A1221" t="inlineStr">
        <is>
          <t>NAUTICA CLASSICS</t>
        </is>
      </c>
      <c r="B1221" t="inlineStr">
        <is>
          <t>117001872</t>
        </is>
      </c>
      <c r="C1221" t="inlineStr">
        <is>
          <t>MAXI BELTED STRETCH</t>
        </is>
      </c>
      <c r="D1221" t="inlineStr">
        <is>
          <t>BLK</t>
        </is>
      </c>
      <c r="E1221" t="inlineStr">
        <is>
          <t>(en blanco)</t>
        </is>
      </c>
      <c r="F1221" t="inlineStr">
        <is>
          <t>(en blanco)</t>
        </is>
      </c>
      <c r="G1221" t="inlineStr">
        <is>
          <t>M</t>
        </is>
      </c>
      <c r="H1221" t="n">
        <v>15</v>
      </c>
      <c r="I1221" t="inlineStr">
        <is>
          <t>NAUTICA_CLASSICS_117001872_BLK_2.jpg</t>
        </is>
      </c>
      <c r="J1221" t="inlineStr">
        <is>
          <t>NAUTICA_CLASSICS_117001872_BLK_3.jpg</t>
        </is>
      </c>
      <c r="L1221">
        <f>IMAGE("file:///E:/Estudios%20y%20certificaciones/ESTUDIOS%20DE%20PROGRAMMING/PROGRAMMING/PERSONAL/PYTHON/Image_Generator_API/imagenes/NAUTICA_CLASSICS_117001872_BLK_2.jpg")</f>
        <v/>
      </c>
      <c r="M1221">
        <f>IMAGE("file:///E:/Estudios%20y%20certificaciones/ESTUDIOS%20DE%20PROGRAMMING/PROGRAMMING/PERSONAL/PYTHON/Image_Generator_API/imagenes/NAUTICA_CLASSICS_117001872_BLK_3.jpg")</f>
        <v/>
      </c>
      <c r="O1221">
        <f>HYPERLINK("imagenes/NAUTICA_CLASSICS_117001872_BLK_2.jpg","Ver imagen")</f>
        <v/>
      </c>
      <c r="P1221">
        <f>HYPERLINK("imagenes/NAUTICA_CLASSICS_117001872_BLK_3.jpg","Ver imagen")</f>
        <v/>
      </c>
    </row>
    <row r="1222">
      <c r="A1222" t="inlineStr">
        <is>
          <t>NAUTICA CLASSICS</t>
        </is>
      </c>
      <c r="B1222" t="inlineStr">
        <is>
          <t>117001872</t>
        </is>
      </c>
      <c r="C1222" t="inlineStr">
        <is>
          <t>MAXI BELTED STRETCH</t>
        </is>
      </c>
      <c r="D1222" t="inlineStr">
        <is>
          <t>BLK</t>
        </is>
      </c>
      <c r="E1222" t="inlineStr">
        <is>
          <t>(en blanco)</t>
        </is>
      </c>
      <c r="F1222" t="inlineStr">
        <is>
          <t>(en blanco)</t>
        </is>
      </c>
      <c r="G1222" t="inlineStr">
        <is>
          <t>L</t>
        </is>
      </c>
      <c r="H1222" t="n">
        <v>15</v>
      </c>
      <c r="I1222" t="inlineStr">
        <is>
          <t>NAUTICA_CLASSICS_117001872_BLK_2.jpg</t>
        </is>
      </c>
      <c r="J1222" t="inlineStr">
        <is>
          <t>NAUTICA_CLASSICS_117001872_BLK_3.jpg</t>
        </is>
      </c>
      <c r="L1222">
        <f>IMAGE("file:///E:/Estudios%20y%20certificaciones/ESTUDIOS%20DE%20PROGRAMMING/PROGRAMMING/PERSONAL/PYTHON/Image_Generator_API/imagenes/NAUTICA_CLASSICS_117001872_BLK_2.jpg")</f>
        <v/>
      </c>
      <c r="M1222">
        <f>IMAGE("file:///E:/Estudios%20y%20certificaciones/ESTUDIOS%20DE%20PROGRAMMING/PROGRAMMING/PERSONAL/PYTHON/Image_Generator_API/imagenes/NAUTICA_CLASSICS_117001872_BLK_3.jpg")</f>
        <v/>
      </c>
      <c r="O1222">
        <f>HYPERLINK("imagenes/NAUTICA_CLASSICS_117001872_BLK_2.jpg","Ver imagen")</f>
        <v/>
      </c>
      <c r="P1222">
        <f>HYPERLINK("imagenes/NAUTICA_CLASSICS_117001872_BLK_3.jpg","Ver imagen")</f>
        <v/>
      </c>
    </row>
    <row r="1223">
      <c r="A1223" t="inlineStr">
        <is>
          <t>NAUTICA CLASSICS</t>
        </is>
      </c>
      <c r="B1223" t="inlineStr">
        <is>
          <t>117001872</t>
        </is>
      </c>
      <c r="C1223" t="inlineStr">
        <is>
          <t>MAXI BELTED STRETCH</t>
        </is>
      </c>
      <c r="D1223" t="inlineStr">
        <is>
          <t>PRY</t>
        </is>
      </c>
      <c r="E1223" t="inlineStr">
        <is>
          <t>07A08</t>
        </is>
      </c>
      <c r="F1223" t="inlineStr">
        <is>
          <t>B2230</t>
        </is>
      </c>
      <c r="G1223" t="inlineStr">
        <is>
          <t>PPK</t>
        </is>
      </c>
      <c r="H1223" t="n">
        <v>0</v>
      </c>
      <c r="I1223" t="inlineStr">
        <is>
          <t>NAUTICA_CLASSICS_117001872_PRY_2.jpg</t>
        </is>
      </c>
      <c r="L1223">
        <f>IMAGE("file:///E:/Estudios%20y%20certificaciones/ESTUDIOS%20DE%20PROGRAMMING/PROGRAMMING/PERSONAL/PYTHON/Image_Generator_API/imagenes/NAUTICA_CLASSICS_117001872_PRY_2.jpg")</f>
        <v/>
      </c>
      <c r="O1223">
        <f>HYPERLINK("imagenes/NAUTICA_CLASSICS_117001872_PRY_2.jpg","Ver imagen")</f>
        <v/>
      </c>
    </row>
    <row r="1224">
      <c r="A1224" t="inlineStr">
        <is>
          <t>NAUTICA CLASSICS</t>
        </is>
      </c>
      <c r="B1224" t="inlineStr">
        <is>
          <t>117001872</t>
        </is>
      </c>
      <c r="C1224" t="inlineStr">
        <is>
          <t>MAXI BELTED STRETCH</t>
        </is>
      </c>
      <c r="D1224" t="inlineStr">
        <is>
          <t>PRY</t>
        </is>
      </c>
      <c r="E1224" t="inlineStr">
        <is>
          <t>08A05</t>
        </is>
      </c>
      <c r="F1224" t="inlineStr">
        <is>
          <t>(en blanco)</t>
        </is>
      </c>
      <c r="G1224" t="inlineStr">
        <is>
          <t>PPK</t>
        </is>
      </c>
      <c r="H1224" t="n">
        <v>1584</v>
      </c>
      <c r="I1224" t="inlineStr">
        <is>
          <t>NAUTICA_CLASSICS_117001872_PRY_2.jpg</t>
        </is>
      </c>
      <c r="L1224">
        <f>IMAGE("file:///E:/Estudios%20y%20certificaciones/ESTUDIOS%20DE%20PROGRAMMING/PROGRAMMING/PERSONAL/PYTHON/Image_Generator_API/imagenes/NAUTICA_CLASSICS_117001872_PRY_2.jpg")</f>
        <v/>
      </c>
      <c r="O1224">
        <f>HYPERLINK("imagenes/NAUTICA_CLASSICS_117001872_PRY_2.jpg","Ver imagen")</f>
        <v/>
      </c>
    </row>
    <row r="1225">
      <c r="A1225" t="inlineStr">
        <is>
          <t>NAUTICA CLASSICS</t>
        </is>
      </c>
      <c r="B1225" t="inlineStr">
        <is>
          <t>117001872</t>
        </is>
      </c>
      <c r="C1225" t="inlineStr">
        <is>
          <t>MAXI BELTED STRETCH</t>
        </is>
      </c>
      <c r="D1225" t="inlineStr">
        <is>
          <t>PRY</t>
        </is>
      </c>
      <c r="E1225" t="inlineStr">
        <is>
          <t>(en blanco)</t>
        </is>
      </c>
      <c r="F1225" t="inlineStr">
        <is>
          <t>D2C</t>
        </is>
      </c>
      <c r="G1225" t="inlineStr">
        <is>
          <t>XS</t>
        </is>
      </c>
      <c r="H1225" t="n">
        <v>50</v>
      </c>
      <c r="I1225" t="inlineStr">
        <is>
          <t>NAUTICA_CLASSICS_117001872_PRY_2.jpg</t>
        </is>
      </c>
      <c r="L1225">
        <f>IMAGE("file:///E:/Estudios%20y%20certificaciones/ESTUDIOS%20DE%20PROGRAMMING/PROGRAMMING/PERSONAL/PYTHON/Image_Generator_API/imagenes/NAUTICA_CLASSICS_117001872_PRY_2.jpg")</f>
        <v/>
      </c>
      <c r="O1225">
        <f>HYPERLINK("imagenes/NAUTICA_CLASSICS_117001872_PRY_2.jpg","Ver imagen")</f>
        <v/>
      </c>
    </row>
    <row r="1226">
      <c r="A1226" t="inlineStr">
        <is>
          <t>NAUTICA CLASSICS</t>
        </is>
      </c>
      <c r="B1226" t="inlineStr">
        <is>
          <t>117001872</t>
        </is>
      </c>
      <c r="C1226" t="inlineStr">
        <is>
          <t>MAXI BELTED STRETCH</t>
        </is>
      </c>
      <c r="D1226" t="inlineStr">
        <is>
          <t>PRY</t>
        </is>
      </c>
      <c r="E1226" t="inlineStr">
        <is>
          <t>(en blanco)</t>
        </is>
      </c>
      <c r="F1226" t="inlineStr">
        <is>
          <t>D2C</t>
        </is>
      </c>
      <c r="G1226" t="inlineStr">
        <is>
          <t>S</t>
        </is>
      </c>
      <c r="H1226" t="n">
        <v>72</v>
      </c>
      <c r="I1226" t="inlineStr">
        <is>
          <t>NAUTICA_CLASSICS_117001872_PRY_2.jpg</t>
        </is>
      </c>
      <c r="L1226">
        <f>IMAGE("file:///E:/Estudios%20y%20certificaciones/ESTUDIOS%20DE%20PROGRAMMING/PROGRAMMING/PERSONAL/PYTHON/Image_Generator_API/imagenes/NAUTICA_CLASSICS_117001872_PRY_2.jpg")</f>
        <v/>
      </c>
      <c r="O1226">
        <f>HYPERLINK("imagenes/NAUTICA_CLASSICS_117001872_PRY_2.jpg","Ver imagen")</f>
        <v/>
      </c>
    </row>
    <row r="1227">
      <c r="A1227" t="inlineStr">
        <is>
          <t>NAUTICA CLASSICS</t>
        </is>
      </c>
      <c r="B1227" t="inlineStr">
        <is>
          <t>117001872</t>
        </is>
      </c>
      <c r="C1227" t="inlineStr">
        <is>
          <t>MAXI BELTED STRETCH</t>
        </is>
      </c>
      <c r="D1227" t="inlineStr">
        <is>
          <t>PRY</t>
        </is>
      </c>
      <c r="E1227" t="inlineStr">
        <is>
          <t>(en blanco)</t>
        </is>
      </c>
      <c r="F1227" t="inlineStr">
        <is>
          <t>D2C</t>
        </is>
      </c>
      <c r="G1227" t="inlineStr">
        <is>
          <t>M</t>
        </is>
      </c>
      <c r="H1227" t="n">
        <v>45</v>
      </c>
      <c r="I1227" t="inlineStr">
        <is>
          <t>NAUTICA_CLASSICS_117001872_PRY_2.jpg</t>
        </is>
      </c>
      <c r="L1227">
        <f>IMAGE("file:///E:/Estudios%20y%20certificaciones/ESTUDIOS%20DE%20PROGRAMMING/PROGRAMMING/PERSONAL/PYTHON/Image_Generator_API/imagenes/NAUTICA_CLASSICS_117001872_PRY_2.jpg")</f>
        <v/>
      </c>
      <c r="O1227">
        <f>HYPERLINK("imagenes/NAUTICA_CLASSICS_117001872_PRY_2.jpg","Ver imagen")</f>
        <v/>
      </c>
    </row>
    <row r="1228">
      <c r="A1228" t="inlineStr">
        <is>
          <t>NAUTICA CLASSICS</t>
        </is>
      </c>
      <c r="B1228" t="inlineStr">
        <is>
          <t>117001872</t>
        </is>
      </c>
      <c r="C1228" t="inlineStr">
        <is>
          <t>MAXI BELTED STRETCH</t>
        </is>
      </c>
      <c r="D1228" t="inlineStr">
        <is>
          <t>PRY</t>
        </is>
      </c>
      <c r="E1228" t="inlineStr">
        <is>
          <t>(en blanco)</t>
        </is>
      </c>
      <c r="F1228" t="inlineStr">
        <is>
          <t>D2C</t>
        </is>
      </c>
      <c r="G1228" t="inlineStr">
        <is>
          <t>L</t>
        </is>
      </c>
      <c r="H1228" t="n">
        <v>46</v>
      </c>
      <c r="I1228" t="inlineStr">
        <is>
          <t>NAUTICA_CLASSICS_117001872_PRY_2.jpg</t>
        </is>
      </c>
      <c r="L1228">
        <f>IMAGE("file:///E:/Estudios%20y%20certificaciones/ESTUDIOS%20DE%20PROGRAMMING/PROGRAMMING/PERSONAL/PYTHON/Image_Generator_API/imagenes/NAUTICA_CLASSICS_117001872_PRY_2.jpg")</f>
        <v/>
      </c>
      <c r="O1228">
        <f>HYPERLINK("imagenes/NAUTICA_CLASSICS_117001872_PRY_2.jpg","Ver imagen")</f>
        <v/>
      </c>
    </row>
    <row r="1229">
      <c r="A1229" t="inlineStr">
        <is>
          <t>NAUTICA CLASSICS</t>
        </is>
      </c>
      <c r="B1229" t="inlineStr">
        <is>
          <t>117001877</t>
        </is>
      </c>
      <c r="C1229" t="inlineStr">
        <is>
          <t>3/4 STRETCH PUFFER</t>
        </is>
      </c>
      <c r="D1229" t="inlineStr">
        <is>
          <t>B4K</t>
        </is>
      </c>
      <c r="E1229" t="inlineStr">
        <is>
          <t>(en blanco)</t>
        </is>
      </c>
      <c r="F1229" t="inlineStr">
        <is>
          <t>(en blanco)</t>
        </is>
      </c>
      <c r="G1229" t="inlineStr">
        <is>
          <t>XS</t>
        </is>
      </c>
      <c r="H1229" t="n">
        <v>113</v>
      </c>
      <c r="I1229" t="inlineStr">
        <is>
          <t>NAUTICA_CLASSICS_117001877_B4K_1.jpg</t>
        </is>
      </c>
      <c r="J1229" t="inlineStr">
        <is>
          <t>NAUTICA_CLASSICS_117001877_B4K_2.jpg</t>
        </is>
      </c>
      <c r="K1229" t="inlineStr">
        <is>
          <t>NAUTICA_CLASSICS_117001877_B4K_3.jpg</t>
        </is>
      </c>
      <c r="L1229">
        <f>IMAGE("file:///E:/Estudios%20y%20certificaciones/ESTUDIOS%20DE%20PROGRAMMING/PROGRAMMING/PERSONAL/PYTHON/Image_Generator_API/imagenes/NAUTICA_CLASSICS_117001877_B4K_1.jpg")</f>
        <v/>
      </c>
      <c r="M1229">
        <f>IMAGE("file:///E:/Estudios%20y%20certificaciones/ESTUDIOS%20DE%20PROGRAMMING/PROGRAMMING/PERSONAL/PYTHON/Image_Generator_API/imagenes/NAUTICA_CLASSICS_117001877_B4K_2.jpg")</f>
        <v/>
      </c>
      <c r="N1229">
        <f>IMAGE("file:///E:/Estudios%20y%20certificaciones/ESTUDIOS%20DE%20PROGRAMMING/PROGRAMMING/PERSONAL/PYTHON/Image_Generator_API/imagenes/NAUTICA_CLASSICS_117001877_B4K_3.jpg")</f>
        <v/>
      </c>
      <c r="O1229">
        <f>HYPERLINK("imagenes/NAUTICA_CLASSICS_117001877_B4K_1.jpg","Ver imagen")</f>
        <v/>
      </c>
      <c r="P1229">
        <f>HYPERLINK("imagenes/NAUTICA_CLASSICS_117001877_B4K_2.jpg","Ver imagen")</f>
        <v/>
      </c>
      <c r="Q1229">
        <f>HYPERLINK("imagenes/NAUTICA_CLASSICS_117001877_B4K_3.jpg","Ver imagen")</f>
        <v/>
      </c>
    </row>
    <row r="1230">
      <c r="A1230" t="inlineStr">
        <is>
          <t>NAUTICA CLASSICS</t>
        </is>
      </c>
      <c r="B1230" t="inlineStr">
        <is>
          <t>117001877</t>
        </is>
      </c>
      <c r="C1230" t="inlineStr">
        <is>
          <t>3/4 STRETCH PUFFER</t>
        </is>
      </c>
      <c r="D1230" t="inlineStr">
        <is>
          <t>B4K</t>
        </is>
      </c>
      <c r="E1230" t="inlineStr">
        <is>
          <t>(en blanco)</t>
        </is>
      </c>
      <c r="F1230" t="inlineStr">
        <is>
          <t>(en blanco)</t>
        </is>
      </c>
      <c r="G1230" t="inlineStr">
        <is>
          <t>S</t>
        </is>
      </c>
      <c r="H1230" t="n">
        <v>182</v>
      </c>
      <c r="I1230" t="inlineStr">
        <is>
          <t>NAUTICA_CLASSICS_117001877_B4K_1.jpg</t>
        </is>
      </c>
      <c r="J1230" t="inlineStr">
        <is>
          <t>NAUTICA_CLASSICS_117001877_B4K_2.jpg</t>
        </is>
      </c>
      <c r="K1230" t="inlineStr">
        <is>
          <t>NAUTICA_CLASSICS_117001877_B4K_3.jpg</t>
        </is>
      </c>
      <c r="L1230">
        <f>IMAGE("file:///E:/Estudios%20y%20certificaciones/ESTUDIOS%20DE%20PROGRAMMING/PROGRAMMING/PERSONAL/PYTHON/Image_Generator_API/imagenes/NAUTICA_CLASSICS_117001877_B4K_1.jpg")</f>
        <v/>
      </c>
      <c r="M1230">
        <f>IMAGE("file:///E:/Estudios%20y%20certificaciones/ESTUDIOS%20DE%20PROGRAMMING/PROGRAMMING/PERSONAL/PYTHON/Image_Generator_API/imagenes/NAUTICA_CLASSICS_117001877_B4K_2.jpg")</f>
        <v/>
      </c>
      <c r="N1230">
        <f>IMAGE("file:///E:/Estudios%20y%20certificaciones/ESTUDIOS%20DE%20PROGRAMMING/PROGRAMMING/PERSONAL/PYTHON/Image_Generator_API/imagenes/NAUTICA_CLASSICS_117001877_B4K_3.jpg")</f>
        <v/>
      </c>
      <c r="O1230">
        <f>HYPERLINK("imagenes/NAUTICA_CLASSICS_117001877_B4K_1.jpg","Ver imagen")</f>
        <v/>
      </c>
      <c r="P1230">
        <f>HYPERLINK("imagenes/NAUTICA_CLASSICS_117001877_B4K_2.jpg","Ver imagen")</f>
        <v/>
      </c>
      <c r="Q1230">
        <f>HYPERLINK("imagenes/NAUTICA_CLASSICS_117001877_B4K_3.jpg","Ver imagen")</f>
        <v/>
      </c>
    </row>
    <row r="1231">
      <c r="A1231" t="inlineStr">
        <is>
          <t>NAUTICA CLASSICS</t>
        </is>
      </c>
      <c r="B1231" t="inlineStr">
        <is>
          <t>117001877</t>
        </is>
      </c>
      <c r="C1231" t="inlineStr">
        <is>
          <t>3/4 STRETCH PUFFER</t>
        </is>
      </c>
      <c r="D1231" t="inlineStr">
        <is>
          <t>B4K</t>
        </is>
      </c>
      <c r="E1231" t="inlineStr">
        <is>
          <t>(en blanco)</t>
        </is>
      </c>
      <c r="F1231" t="inlineStr">
        <is>
          <t>(en blanco)</t>
        </is>
      </c>
      <c r="G1231" t="inlineStr">
        <is>
          <t>M</t>
        </is>
      </c>
      <c r="H1231" t="n">
        <v>120</v>
      </c>
      <c r="I1231" t="inlineStr">
        <is>
          <t>NAUTICA_CLASSICS_117001877_B4K_1.jpg</t>
        </is>
      </c>
      <c r="J1231" t="inlineStr">
        <is>
          <t>NAUTICA_CLASSICS_117001877_B4K_2.jpg</t>
        </is>
      </c>
      <c r="K1231" t="inlineStr">
        <is>
          <t>NAUTICA_CLASSICS_117001877_B4K_3.jpg</t>
        </is>
      </c>
      <c r="L1231">
        <f>IMAGE("file:///E:/Estudios%20y%20certificaciones/ESTUDIOS%20DE%20PROGRAMMING/PROGRAMMING/PERSONAL/PYTHON/Image_Generator_API/imagenes/NAUTICA_CLASSICS_117001877_B4K_1.jpg")</f>
        <v/>
      </c>
      <c r="M1231">
        <f>IMAGE("file:///E:/Estudios%20y%20certificaciones/ESTUDIOS%20DE%20PROGRAMMING/PROGRAMMING/PERSONAL/PYTHON/Image_Generator_API/imagenes/NAUTICA_CLASSICS_117001877_B4K_2.jpg")</f>
        <v/>
      </c>
      <c r="N1231">
        <f>IMAGE("file:///E:/Estudios%20y%20certificaciones/ESTUDIOS%20DE%20PROGRAMMING/PROGRAMMING/PERSONAL/PYTHON/Image_Generator_API/imagenes/NAUTICA_CLASSICS_117001877_B4K_3.jpg")</f>
        <v/>
      </c>
      <c r="O1231">
        <f>HYPERLINK("imagenes/NAUTICA_CLASSICS_117001877_B4K_1.jpg","Ver imagen")</f>
        <v/>
      </c>
      <c r="P1231">
        <f>HYPERLINK("imagenes/NAUTICA_CLASSICS_117001877_B4K_2.jpg","Ver imagen")</f>
        <v/>
      </c>
      <c r="Q1231">
        <f>HYPERLINK("imagenes/NAUTICA_CLASSICS_117001877_B4K_3.jpg","Ver imagen")</f>
        <v/>
      </c>
    </row>
    <row r="1232">
      <c r="A1232" t="inlineStr">
        <is>
          <t>NAUTICA CLASSICS</t>
        </is>
      </c>
      <c r="B1232" t="inlineStr">
        <is>
          <t>117001877</t>
        </is>
      </c>
      <c r="C1232" t="inlineStr">
        <is>
          <t>3/4 STRETCH PUFFER</t>
        </is>
      </c>
      <c r="D1232" t="inlineStr">
        <is>
          <t>B4K</t>
        </is>
      </c>
      <c r="E1232" t="inlineStr">
        <is>
          <t>(en blanco)</t>
        </is>
      </c>
      <c r="F1232" t="inlineStr">
        <is>
          <t>(en blanco)</t>
        </is>
      </c>
      <c r="G1232" t="inlineStr">
        <is>
          <t>L</t>
        </is>
      </c>
      <c r="H1232" t="n">
        <v>121</v>
      </c>
      <c r="I1232" t="inlineStr">
        <is>
          <t>NAUTICA_CLASSICS_117001877_B4K_1.jpg</t>
        </is>
      </c>
      <c r="J1232" t="inlineStr">
        <is>
          <t>NAUTICA_CLASSICS_117001877_B4K_2.jpg</t>
        </is>
      </c>
      <c r="K1232" t="inlineStr">
        <is>
          <t>NAUTICA_CLASSICS_117001877_B4K_3.jpg</t>
        </is>
      </c>
      <c r="L1232">
        <f>IMAGE("file:///E:/Estudios%20y%20certificaciones/ESTUDIOS%20DE%20PROGRAMMING/PROGRAMMING/PERSONAL/PYTHON/Image_Generator_API/imagenes/NAUTICA_CLASSICS_117001877_B4K_1.jpg")</f>
        <v/>
      </c>
      <c r="M1232">
        <f>IMAGE("file:///E:/Estudios%20y%20certificaciones/ESTUDIOS%20DE%20PROGRAMMING/PROGRAMMING/PERSONAL/PYTHON/Image_Generator_API/imagenes/NAUTICA_CLASSICS_117001877_B4K_2.jpg")</f>
        <v/>
      </c>
      <c r="N1232">
        <f>IMAGE("file:///E:/Estudios%20y%20certificaciones/ESTUDIOS%20DE%20PROGRAMMING/PROGRAMMING/PERSONAL/PYTHON/Image_Generator_API/imagenes/NAUTICA_CLASSICS_117001877_B4K_3.jpg")</f>
        <v/>
      </c>
      <c r="O1232">
        <f>HYPERLINK("imagenes/NAUTICA_CLASSICS_117001877_B4K_1.jpg","Ver imagen")</f>
        <v/>
      </c>
      <c r="P1232">
        <f>HYPERLINK("imagenes/NAUTICA_CLASSICS_117001877_B4K_2.jpg","Ver imagen")</f>
        <v/>
      </c>
      <c r="Q1232">
        <f>HYPERLINK("imagenes/NAUTICA_CLASSICS_117001877_B4K_3.jpg","Ver imagen")</f>
        <v/>
      </c>
    </row>
    <row r="1233">
      <c r="A1233" t="inlineStr">
        <is>
          <t>NAUTICA CLASSICS</t>
        </is>
      </c>
      <c r="B1233" t="inlineStr">
        <is>
          <t>117001877</t>
        </is>
      </c>
      <c r="C1233" t="inlineStr">
        <is>
          <t>3/4 STRETCH PUFFER</t>
        </is>
      </c>
      <c r="D1233" t="inlineStr">
        <is>
          <t>B4K</t>
        </is>
      </c>
      <c r="E1233" t="inlineStr">
        <is>
          <t>(en blanco)</t>
        </is>
      </c>
      <c r="F1233" t="inlineStr">
        <is>
          <t>(en blanco)</t>
        </is>
      </c>
      <c r="G1233" t="inlineStr">
        <is>
          <t>XL</t>
        </is>
      </c>
      <c r="H1233" t="n">
        <v>6</v>
      </c>
      <c r="I1233" t="inlineStr">
        <is>
          <t>NAUTICA_CLASSICS_117001877_B4K_1.jpg</t>
        </is>
      </c>
      <c r="J1233" t="inlineStr">
        <is>
          <t>NAUTICA_CLASSICS_117001877_B4K_2.jpg</t>
        </is>
      </c>
      <c r="K1233" t="inlineStr">
        <is>
          <t>NAUTICA_CLASSICS_117001877_B4K_3.jpg</t>
        </is>
      </c>
      <c r="L1233">
        <f>IMAGE("file:///E:/Estudios%20y%20certificaciones/ESTUDIOS%20DE%20PROGRAMMING/PROGRAMMING/PERSONAL/PYTHON/Image_Generator_API/imagenes/NAUTICA_CLASSICS_117001877_B4K_1.jpg")</f>
        <v/>
      </c>
      <c r="M1233">
        <f>IMAGE("file:///E:/Estudios%20y%20certificaciones/ESTUDIOS%20DE%20PROGRAMMING/PROGRAMMING/PERSONAL/PYTHON/Image_Generator_API/imagenes/NAUTICA_CLASSICS_117001877_B4K_2.jpg")</f>
        <v/>
      </c>
      <c r="N1233">
        <f>IMAGE("file:///E:/Estudios%20y%20certificaciones/ESTUDIOS%20DE%20PROGRAMMING/PROGRAMMING/PERSONAL/PYTHON/Image_Generator_API/imagenes/NAUTICA_CLASSICS_117001877_B4K_3.jpg")</f>
        <v/>
      </c>
      <c r="O1233">
        <f>HYPERLINK("imagenes/NAUTICA_CLASSICS_117001877_B4K_1.jpg","Ver imagen")</f>
        <v/>
      </c>
      <c r="P1233">
        <f>HYPERLINK("imagenes/NAUTICA_CLASSICS_117001877_B4K_2.jpg","Ver imagen")</f>
        <v/>
      </c>
      <c r="Q1233">
        <f>HYPERLINK("imagenes/NAUTICA_CLASSICS_117001877_B4K_3.jpg","Ver imagen")</f>
        <v/>
      </c>
    </row>
    <row r="1234">
      <c r="A1234" t="inlineStr">
        <is>
          <t>NAUTICA CLASSICS</t>
        </is>
      </c>
      <c r="B1234" t="inlineStr">
        <is>
          <t>117001877</t>
        </is>
      </c>
      <c r="C1234" t="inlineStr">
        <is>
          <t>3/4 STRETCH PUFFER</t>
        </is>
      </c>
      <c r="D1234" t="inlineStr">
        <is>
          <t>BLK</t>
        </is>
      </c>
      <c r="E1234" t="inlineStr">
        <is>
          <t>07A08</t>
        </is>
      </c>
      <c r="F1234" t="inlineStr">
        <is>
          <t>B2230</t>
        </is>
      </c>
      <c r="G1234" t="inlineStr">
        <is>
          <t>PPK</t>
        </is>
      </c>
      <c r="H1234" t="n">
        <v>525</v>
      </c>
      <c r="I1234" t="inlineStr">
        <is>
          <t>NAUTICA_CLASSICS_117001877_BLK_1.jpg</t>
        </is>
      </c>
      <c r="J1234" t="inlineStr">
        <is>
          <t>NAUTICA_CLASSICS_117001877_BLK_2.jpg</t>
        </is>
      </c>
      <c r="K1234" t="inlineStr">
        <is>
          <t>NAUTICA_CLASSICS_117001877_BLK_3.jpg</t>
        </is>
      </c>
      <c r="L1234">
        <f>IMAGE("file:///E:/Estudios%20y%20certificaciones/ESTUDIOS%20DE%20PROGRAMMING/PROGRAMMING/PERSONAL/PYTHON/Image_Generator_API/imagenes/NAUTICA_CLASSICS_117001877_BLK_1.jpg")</f>
        <v/>
      </c>
      <c r="M1234">
        <f>IMAGE("file:///E:/Estudios%20y%20certificaciones/ESTUDIOS%20DE%20PROGRAMMING/PROGRAMMING/PERSONAL/PYTHON/Image_Generator_API/imagenes/NAUTICA_CLASSICS_117001877_BLK_2.jpg")</f>
        <v/>
      </c>
      <c r="N1234">
        <f>IMAGE("file:///E:/Estudios%20y%20certificaciones/ESTUDIOS%20DE%20PROGRAMMING/PROGRAMMING/PERSONAL/PYTHON/Image_Generator_API/imagenes/NAUTICA_CLASSICS_117001877_BLK_3.jpg")</f>
        <v/>
      </c>
      <c r="O1234">
        <f>HYPERLINK("imagenes/NAUTICA_CLASSICS_117001877_BLK_1.jpg","Ver imagen")</f>
        <v/>
      </c>
      <c r="P1234">
        <f>HYPERLINK("imagenes/NAUTICA_CLASSICS_117001877_BLK_2.jpg","Ver imagen")</f>
        <v/>
      </c>
      <c r="Q1234">
        <f>HYPERLINK("imagenes/NAUTICA_CLASSICS_117001877_BLK_3.jpg","Ver imagen")</f>
        <v/>
      </c>
    </row>
    <row r="1235">
      <c r="A1235" t="inlineStr">
        <is>
          <t>NAUTICA CLASSICS</t>
        </is>
      </c>
      <c r="B1235" t="inlineStr">
        <is>
          <t>117001877</t>
        </is>
      </c>
      <c r="C1235" t="inlineStr">
        <is>
          <t>3/4 STRETCH PUFFER</t>
        </is>
      </c>
      <c r="D1235" t="inlineStr">
        <is>
          <t>BLK</t>
        </is>
      </c>
      <c r="E1235" t="inlineStr">
        <is>
          <t>(en blanco)</t>
        </is>
      </c>
      <c r="F1235" t="inlineStr">
        <is>
          <t>(en blanco)</t>
        </is>
      </c>
      <c r="G1235" t="inlineStr">
        <is>
          <t>XS</t>
        </is>
      </c>
      <c r="H1235" t="n">
        <v>153</v>
      </c>
      <c r="I1235" t="inlineStr">
        <is>
          <t>NAUTICA_CLASSICS_117001877_BLK_1.jpg</t>
        </is>
      </c>
      <c r="J1235" t="inlineStr">
        <is>
          <t>NAUTICA_CLASSICS_117001877_BLK_2.jpg</t>
        </is>
      </c>
      <c r="K1235" t="inlineStr">
        <is>
          <t>NAUTICA_CLASSICS_117001877_BLK_3.jpg</t>
        </is>
      </c>
      <c r="L1235">
        <f>IMAGE("file:///E:/Estudios%20y%20certificaciones/ESTUDIOS%20DE%20PROGRAMMING/PROGRAMMING/PERSONAL/PYTHON/Image_Generator_API/imagenes/NAUTICA_CLASSICS_117001877_BLK_1.jpg")</f>
        <v/>
      </c>
      <c r="M1235">
        <f>IMAGE("file:///E:/Estudios%20y%20certificaciones/ESTUDIOS%20DE%20PROGRAMMING/PROGRAMMING/PERSONAL/PYTHON/Image_Generator_API/imagenes/NAUTICA_CLASSICS_117001877_BLK_2.jpg")</f>
        <v/>
      </c>
      <c r="N1235">
        <f>IMAGE("file:///E:/Estudios%20y%20certificaciones/ESTUDIOS%20DE%20PROGRAMMING/PROGRAMMING/PERSONAL/PYTHON/Image_Generator_API/imagenes/NAUTICA_CLASSICS_117001877_BLK_3.jpg")</f>
        <v/>
      </c>
      <c r="O1235">
        <f>HYPERLINK("imagenes/NAUTICA_CLASSICS_117001877_BLK_1.jpg","Ver imagen")</f>
        <v/>
      </c>
      <c r="P1235">
        <f>HYPERLINK("imagenes/NAUTICA_CLASSICS_117001877_BLK_2.jpg","Ver imagen")</f>
        <v/>
      </c>
      <c r="Q1235">
        <f>HYPERLINK("imagenes/NAUTICA_CLASSICS_117001877_BLK_3.jpg","Ver imagen")</f>
        <v/>
      </c>
    </row>
    <row r="1236">
      <c r="A1236" t="inlineStr">
        <is>
          <t>NAUTICA CLASSICS</t>
        </is>
      </c>
      <c r="B1236" t="inlineStr">
        <is>
          <t>117001877</t>
        </is>
      </c>
      <c r="C1236" t="inlineStr">
        <is>
          <t>3/4 STRETCH PUFFER</t>
        </is>
      </c>
      <c r="D1236" t="inlineStr">
        <is>
          <t>BLK</t>
        </is>
      </c>
      <c r="E1236" t="inlineStr">
        <is>
          <t>(en blanco)</t>
        </is>
      </c>
      <c r="F1236" t="inlineStr">
        <is>
          <t>(en blanco)</t>
        </is>
      </c>
      <c r="G1236" t="inlineStr">
        <is>
          <t>S</t>
        </is>
      </c>
      <c r="H1236" t="n">
        <v>232</v>
      </c>
      <c r="I1236" t="inlineStr">
        <is>
          <t>NAUTICA_CLASSICS_117001877_BLK_1.jpg</t>
        </is>
      </c>
      <c r="J1236" t="inlineStr">
        <is>
          <t>NAUTICA_CLASSICS_117001877_BLK_2.jpg</t>
        </is>
      </c>
      <c r="K1236" t="inlineStr">
        <is>
          <t>NAUTICA_CLASSICS_117001877_BLK_3.jpg</t>
        </is>
      </c>
      <c r="L1236">
        <f>IMAGE("file:///E:/Estudios%20y%20certificaciones/ESTUDIOS%20DE%20PROGRAMMING/PROGRAMMING/PERSONAL/PYTHON/Image_Generator_API/imagenes/NAUTICA_CLASSICS_117001877_BLK_1.jpg")</f>
        <v/>
      </c>
      <c r="M1236">
        <f>IMAGE("file:///E:/Estudios%20y%20certificaciones/ESTUDIOS%20DE%20PROGRAMMING/PROGRAMMING/PERSONAL/PYTHON/Image_Generator_API/imagenes/NAUTICA_CLASSICS_117001877_BLK_2.jpg")</f>
        <v/>
      </c>
      <c r="N1236">
        <f>IMAGE("file:///E:/Estudios%20y%20certificaciones/ESTUDIOS%20DE%20PROGRAMMING/PROGRAMMING/PERSONAL/PYTHON/Image_Generator_API/imagenes/NAUTICA_CLASSICS_117001877_BLK_3.jpg")</f>
        <v/>
      </c>
      <c r="O1236">
        <f>HYPERLINK("imagenes/NAUTICA_CLASSICS_117001877_BLK_1.jpg","Ver imagen")</f>
        <v/>
      </c>
      <c r="P1236">
        <f>HYPERLINK("imagenes/NAUTICA_CLASSICS_117001877_BLK_2.jpg","Ver imagen")</f>
        <v/>
      </c>
      <c r="Q1236">
        <f>HYPERLINK("imagenes/NAUTICA_CLASSICS_117001877_BLK_3.jpg","Ver imagen")</f>
        <v/>
      </c>
    </row>
    <row r="1237">
      <c r="A1237" t="inlineStr">
        <is>
          <t>NAUTICA CLASSICS</t>
        </is>
      </c>
      <c r="B1237" t="inlineStr">
        <is>
          <t>117001877</t>
        </is>
      </c>
      <c r="C1237" t="inlineStr">
        <is>
          <t>3/4 STRETCH PUFFER</t>
        </is>
      </c>
      <c r="D1237" t="inlineStr">
        <is>
          <t>BLK</t>
        </is>
      </c>
      <c r="E1237" t="inlineStr">
        <is>
          <t>(en blanco)</t>
        </is>
      </c>
      <c r="F1237" t="inlineStr">
        <is>
          <t>(en blanco)</t>
        </is>
      </c>
      <c r="G1237" t="inlineStr">
        <is>
          <t>M</t>
        </is>
      </c>
      <c r="H1237" t="n">
        <v>161</v>
      </c>
      <c r="I1237" t="inlineStr">
        <is>
          <t>NAUTICA_CLASSICS_117001877_BLK_1.jpg</t>
        </is>
      </c>
      <c r="J1237" t="inlineStr">
        <is>
          <t>NAUTICA_CLASSICS_117001877_BLK_2.jpg</t>
        </is>
      </c>
      <c r="K1237" t="inlineStr">
        <is>
          <t>NAUTICA_CLASSICS_117001877_BLK_3.jpg</t>
        </is>
      </c>
      <c r="L1237">
        <f>IMAGE("file:///E:/Estudios%20y%20certificaciones/ESTUDIOS%20DE%20PROGRAMMING/PROGRAMMING/PERSONAL/PYTHON/Image_Generator_API/imagenes/NAUTICA_CLASSICS_117001877_BLK_1.jpg")</f>
        <v/>
      </c>
      <c r="M1237">
        <f>IMAGE("file:///E:/Estudios%20y%20certificaciones/ESTUDIOS%20DE%20PROGRAMMING/PROGRAMMING/PERSONAL/PYTHON/Image_Generator_API/imagenes/NAUTICA_CLASSICS_117001877_BLK_2.jpg")</f>
        <v/>
      </c>
      <c r="N1237">
        <f>IMAGE("file:///E:/Estudios%20y%20certificaciones/ESTUDIOS%20DE%20PROGRAMMING/PROGRAMMING/PERSONAL/PYTHON/Image_Generator_API/imagenes/NAUTICA_CLASSICS_117001877_BLK_3.jpg")</f>
        <v/>
      </c>
      <c r="O1237">
        <f>HYPERLINK("imagenes/NAUTICA_CLASSICS_117001877_BLK_1.jpg","Ver imagen")</f>
        <v/>
      </c>
      <c r="P1237">
        <f>HYPERLINK("imagenes/NAUTICA_CLASSICS_117001877_BLK_2.jpg","Ver imagen")</f>
        <v/>
      </c>
      <c r="Q1237">
        <f>HYPERLINK("imagenes/NAUTICA_CLASSICS_117001877_BLK_3.jpg","Ver imagen")</f>
        <v/>
      </c>
    </row>
    <row r="1238">
      <c r="A1238" t="inlineStr">
        <is>
          <t>NAUTICA CLASSICS</t>
        </is>
      </c>
      <c r="B1238" t="inlineStr">
        <is>
          <t>117001877</t>
        </is>
      </c>
      <c r="C1238" t="inlineStr">
        <is>
          <t>3/4 STRETCH PUFFER</t>
        </is>
      </c>
      <c r="D1238" t="inlineStr">
        <is>
          <t>BLK</t>
        </is>
      </c>
      <c r="E1238" t="inlineStr">
        <is>
          <t>(en blanco)</t>
        </is>
      </c>
      <c r="F1238" t="inlineStr">
        <is>
          <t>(en blanco)</t>
        </is>
      </c>
      <c r="G1238" t="inlineStr">
        <is>
          <t>L</t>
        </is>
      </c>
      <c r="H1238" t="n">
        <v>165</v>
      </c>
      <c r="I1238" t="inlineStr">
        <is>
          <t>NAUTICA_CLASSICS_117001877_BLK_1.jpg</t>
        </is>
      </c>
      <c r="J1238" t="inlineStr">
        <is>
          <t>NAUTICA_CLASSICS_117001877_BLK_2.jpg</t>
        </is>
      </c>
      <c r="K1238" t="inlineStr">
        <is>
          <t>NAUTICA_CLASSICS_117001877_BLK_3.jpg</t>
        </is>
      </c>
      <c r="L1238">
        <f>IMAGE("file:///E:/Estudios%20y%20certificaciones/ESTUDIOS%20DE%20PROGRAMMING/PROGRAMMING/PERSONAL/PYTHON/Image_Generator_API/imagenes/NAUTICA_CLASSICS_117001877_BLK_1.jpg")</f>
        <v/>
      </c>
      <c r="M1238">
        <f>IMAGE("file:///E:/Estudios%20y%20certificaciones/ESTUDIOS%20DE%20PROGRAMMING/PROGRAMMING/PERSONAL/PYTHON/Image_Generator_API/imagenes/NAUTICA_CLASSICS_117001877_BLK_2.jpg")</f>
        <v/>
      </c>
      <c r="N1238">
        <f>IMAGE("file:///E:/Estudios%20y%20certificaciones/ESTUDIOS%20DE%20PROGRAMMING/PROGRAMMING/PERSONAL/PYTHON/Image_Generator_API/imagenes/NAUTICA_CLASSICS_117001877_BLK_3.jpg")</f>
        <v/>
      </c>
      <c r="O1238">
        <f>HYPERLINK("imagenes/NAUTICA_CLASSICS_117001877_BLK_1.jpg","Ver imagen")</f>
        <v/>
      </c>
      <c r="P1238">
        <f>HYPERLINK("imagenes/NAUTICA_CLASSICS_117001877_BLK_2.jpg","Ver imagen")</f>
        <v/>
      </c>
      <c r="Q1238">
        <f>HYPERLINK("imagenes/NAUTICA_CLASSICS_117001877_BLK_3.jpg","Ver imagen")</f>
        <v/>
      </c>
    </row>
    <row r="1239">
      <c r="A1239" t="inlineStr">
        <is>
          <t>NAUTICA CLASSICS</t>
        </is>
      </c>
      <c r="B1239" t="inlineStr">
        <is>
          <t>117001877</t>
        </is>
      </c>
      <c r="C1239" t="inlineStr">
        <is>
          <t>3/4 STRETCH PUFFER</t>
        </is>
      </c>
      <c r="D1239" t="inlineStr">
        <is>
          <t>BLK</t>
        </is>
      </c>
      <c r="E1239" t="inlineStr">
        <is>
          <t>(en blanco)</t>
        </is>
      </c>
      <c r="F1239" t="inlineStr">
        <is>
          <t>(en blanco)</t>
        </is>
      </c>
      <c r="G1239" t="inlineStr">
        <is>
          <t>XL</t>
        </is>
      </c>
      <c r="H1239" t="n">
        <v>3</v>
      </c>
      <c r="I1239" t="inlineStr">
        <is>
          <t>NAUTICA_CLASSICS_117001877_BLK_1.jpg</t>
        </is>
      </c>
      <c r="J1239" t="inlineStr">
        <is>
          <t>NAUTICA_CLASSICS_117001877_BLK_2.jpg</t>
        </is>
      </c>
      <c r="K1239" t="inlineStr">
        <is>
          <t>NAUTICA_CLASSICS_117001877_BLK_3.jpg</t>
        </is>
      </c>
      <c r="L1239">
        <f>IMAGE("file:///E:/Estudios%20y%20certificaciones/ESTUDIOS%20DE%20PROGRAMMING/PROGRAMMING/PERSONAL/PYTHON/Image_Generator_API/imagenes/NAUTICA_CLASSICS_117001877_BLK_1.jpg")</f>
        <v/>
      </c>
      <c r="M1239">
        <f>IMAGE("file:///E:/Estudios%20y%20certificaciones/ESTUDIOS%20DE%20PROGRAMMING/PROGRAMMING/PERSONAL/PYTHON/Image_Generator_API/imagenes/NAUTICA_CLASSICS_117001877_BLK_2.jpg")</f>
        <v/>
      </c>
      <c r="N1239">
        <f>IMAGE("file:///E:/Estudios%20y%20certificaciones/ESTUDIOS%20DE%20PROGRAMMING/PROGRAMMING/PERSONAL/PYTHON/Image_Generator_API/imagenes/NAUTICA_CLASSICS_117001877_BLK_3.jpg")</f>
        <v/>
      </c>
      <c r="O1239">
        <f>HYPERLINK("imagenes/NAUTICA_CLASSICS_117001877_BLK_1.jpg","Ver imagen")</f>
        <v/>
      </c>
      <c r="P1239">
        <f>HYPERLINK("imagenes/NAUTICA_CLASSICS_117001877_BLK_2.jpg","Ver imagen")</f>
        <v/>
      </c>
      <c r="Q1239">
        <f>HYPERLINK("imagenes/NAUTICA_CLASSICS_117001877_BLK_3.jpg","Ver imagen")</f>
        <v/>
      </c>
    </row>
    <row r="1240">
      <c r="A1240" t="inlineStr">
        <is>
          <t>NAUTICA CLASSICS</t>
        </is>
      </c>
      <c r="B1240" t="inlineStr">
        <is>
          <t>117001877</t>
        </is>
      </c>
      <c r="C1240" t="inlineStr">
        <is>
          <t>3/4 STRETCH PUFFER</t>
        </is>
      </c>
      <c r="D1240" t="inlineStr">
        <is>
          <t>OXA</t>
        </is>
      </c>
      <c r="E1240" t="inlineStr">
        <is>
          <t>(en blanco)</t>
        </is>
      </c>
      <c r="F1240" t="inlineStr">
        <is>
          <t>(en blanco)</t>
        </is>
      </c>
      <c r="G1240" t="inlineStr">
        <is>
          <t>XS</t>
        </is>
      </c>
      <c r="H1240" t="n">
        <v>12</v>
      </c>
      <c r="I1240" t="inlineStr">
        <is>
          <t>NAUTICA_CLASSICS_117001877_OXA_1.jpg</t>
        </is>
      </c>
      <c r="J1240" t="inlineStr">
        <is>
          <t>NAUTICA_CLASSICS_117001877_OXA_2.jpg</t>
        </is>
      </c>
      <c r="K1240" t="inlineStr">
        <is>
          <t>NAUTICA_CLASSICS_117001877_OXA_3.jpg</t>
        </is>
      </c>
      <c r="L1240">
        <f>IMAGE("file:///E:/Estudios%20y%20certificaciones/ESTUDIOS%20DE%20PROGRAMMING/PROGRAMMING/PERSONAL/PYTHON/Image_Generator_API/imagenes/NAUTICA_CLASSICS_117001877_OXA_1.jpg")</f>
        <v/>
      </c>
      <c r="M1240">
        <f>IMAGE("file:///E:/Estudios%20y%20certificaciones/ESTUDIOS%20DE%20PROGRAMMING/PROGRAMMING/PERSONAL/PYTHON/Image_Generator_API/imagenes/NAUTICA_CLASSICS_117001877_OXA_2.jpg")</f>
        <v/>
      </c>
      <c r="N1240">
        <f>IMAGE("file:///E:/Estudios%20y%20certificaciones/ESTUDIOS%20DE%20PROGRAMMING/PROGRAMMING/PERSONAL/PYTHON/Image_Generator_API/imagenes/NAUTICA_CLASSICS_117001877_OXA_3.jpg")</f>
        <v/>
      </c>
      <c r="O1240">
        <f>HYPERLINK("imagenes/NAUTICA_CLASSICS_117001877_OXA_1.jpg","Ver imagen")</f>
        <v/>
      </c>
      <c r="P1240">
        <f>HYPERLINK("imagenes/NAUTICA_CLASSICS_117001877_OXA_2.jpg","Ver imagen")</f>
        <v/>
      </c>
      <c r="Q1240">
        <f>HYPERLINK("imagenes/NAUTICA_CLASSICS_117001877_OXA_3.jpg","Ver imagen")</f>
        <v/>
      </c>
    </row>
    <row r="1241">
      <c r="A1241" t="inlineStr">
        <is>
          <t>NAUTICA CLASSICS</t>
        </is>
      </c>
      <c r="B1241" t="inlineStr">
        <is>
          <t>117001877</t>
        </is>
      </c>
      <c r="C1241" t="inlineStr">
        <is>
          <t>3/4 STRETCH PUFFER</t>
        </is>
      </c>
      <c r="D1241" t="inlineStr">
        <is>
          <t>OXA</t>
        </is>
      </c>
      <c r="E1241" t="inlineStr">
        <is>
          <t>(en blanco)</t>
        </is>
      </c>
      <c r="F1241" t="inlineStr">
        <is>
          <t>(en blanco)</t>
        </is>
      </c>
      <c r="G1241" t="inlineStr">
        <is>
          <t>S</t>
        </is>
      </c>
      <c r="H1241" t="n">
        <v>25</v>
      </c>
      <c r="I1241" t="inlineStr">
        <is>
          <t>NAUTICA_CLASSICS_117001877_OXA_1.jpg</t>
        </is>
      </c>
      <c r="J1241" t="inlineStr">
        <is>
          <t>NAUTICA_CLASSICS_117001877_OXA_2.jpg</t>
        </is>
      </c>
      <c r="K1241" t="inlineStr">
        <is>
          <t>NAUTICA_CLASSICS_117001877_OXA_3.jpg</t>
        </is>
      </c>
      <c r="L1241">
        <f>IMAGE("file:///E:/Estudios%20y%20certificaciones/ESTUDIOS%20DE%20PROGRAMMING/PROGRAMMING/PERSONAL/PYTHON/Image_Generator_API/imagenes/NAUTICA_CLASSICS_117001877_OXA_1.jpg")</f>
        <v/>
      </c>
      <c r="M1241">
        <f>IMAGE("file:///E:/Estudios%20y%20certificaciones/ESTUDIOS%20DE%20PROGRAMMING/PROGRAMMING/PERSONAL/PYTHON/Image_Generator_API/imagenes/NAUTICA_CLASSICS_117001877_OXA_2.jpg")</f>
        <v/>
      </c>
      <c r="N1241">
        <f>IMAGE("file:///E:/Estudios%20y%20certificaciones/ESTUDIOS%20DE%20PROGRAMMING/PROGRAMMING/PERSONAL/PYTHON/Image_Generator_API/imagenes/NAUTICA_CLASSICS_117001877_OXA_3.jpg")</f>
        <v/>
      </c>
      <c r="O1241">
        <f>HYPERLINK("imagenes/NAUTICA_CLASSICS_117001877_OXA_1.jpg","Ver imagen")</f>
        <v/>
      </c>
      <c r="P1241">
        <f>HYPERLINK("imagenes/NAUTICA_CLASSICS_117001877_OXA_2.jpg","Ver imagen")</f>
        <v/>
      </c>
      <c r="Q1241">
        <f>HYPERLINK("imagenes/NAUTICA_CLASSICS_117001877_OXA_3.jpg","Ver imagen")</f>
        <v/>
      </c>
    </row>
    <row r="1242">
      <c r="A1242" t="inlineStr">
        <is>
          <t>NAUTICA CLASSICS</t>
        </is>
      </c>
      <c r="B1242" t="inlineStr">
        <is>
          <t>117001877</t>
        </is>
      </c>
      <c r="C1242" t="inlineStr">
        <is>
          <t>3/4 STRETCH PUFFER</t>
        </is>
      </c>
      <c r="D1242" t="inlineStr">
        <is>
          <t>OXA</t>
        </is>
      </c>
      <c r="E1242" t="inlineStr">
        <is>
          <t>(en blanco)</t>
        </is>
      </c>
      <c r="F1242" t="inlineStr">
        <is>
          <t>(en blanco)</t>
        </is>
      </c>
      <c r="G1242" t="inlineStr">
        <is>
          <t>M</t>
        </is>
      </c>
      <c r="H1242" t="n">
        <v>23</v>
      </c>
      <c r="I1242" t="inlineStr">
        <is>
          <t>NAUTICA_CLASSICS_117001877_OXA_1.jpg</t>
        </is>
      </c>
      <c r="J1242" t="inlineStr">
        <is>
          <t>NAUTICA_CLASSICS_117001877_OXA_2.jpg</t>
        </is>
      </c>
      <c r="K1242" t="inlineStr">
        <is>
          <t>NAUTICA_CLASSICS_117001877_OXA_3.jpg</t>
        </is>
      </c>
      <c r="L1242">
        <f>IMAGE("file:///E:/Estudios%20y%20certificaciones/ESTUDIOS%20DE%20PROGRAMMING/PROGRAMMING/PERSONAL/PYTHON/Image_Generator_API/imagenes/NAUTICA_CLASSICS_117001877_OXA_1.jpg")</f>
        <v/>
      </c>
      <c r="M1242">
        <f>IMAGE("file:///E:/Estudios%20y%20certificaciones/ESTUDIOS%20DE%20PROGRAMMING/PROGRAMMING/PERSONAL/PYTHON/Image_Generator_API/imagenes/NAUTICA_CLASSICS_117001877_OXA_2.jpg")</f>
        <v/>
      </c>
      <c r="N1242">
        <f>IMAGE("file:///E:/Estudios%20y%20certificaciones/ESTUDIOS%20DE%20PROGRAMMING/PROGRAMMING/PERSONAL/PYTHON/Image_Generator_API/imagenes/NAUTICA_CLASSICS_117001877_OXA_3.jpg")</f>
        <v/>
      </c>
      <c r="O1242">
        <f>HYPERLINK("imagenes/NAUTICA_CLASSICS_117001877_OXA_1.jpg","Ver imagen")</f>
        <v/>
      </c>
      <c r="P1242">
        <f>HYPERLINK("imagenes/NAUTICA_CLASSICS_117001877_OXA_2.jpg","Ver imagen")</f>
        <v/>
      </c>
      <c r="Q1242">
        <f>HYPERLINK("imagenes/NAUTICA_CLASSICS_117001877_OXA_3.jpg","Ver imagen")</f>
        <v/>
      </c>
    </row>
    <row r="1243">
      <c r="A1243" t="inlineStr">
        <is>
          <t>NAUTICA CLASSICS</t>
        </is>
      </c>
      <c r="B1243" t="inlineStr">
        <is>
          <t>117001877</t>
        </is>
      </c>
      <c r="C1243" t="inlineStr">
        <is>
          <t>3/4 STRETCH PUFFER</t>
        </is>
      </c>
      <c r="D1243" t="inlineStr">
        <is>
          <t>OXA</t>
        </is>
      </c>
      <c r="E1243" t="inlineStr">
        <is>
          <t>(en blanco)</t>
        </is>
      </c>
      <c r="F1243" t="inlineStr">
        <is>
          <t>(en blanco)</t>
        </is>
      </c>
      <c r="G1243" t="inlineStr">
        <is>
          <t>L</t>
        </is>
      </c>
      <c r="H1243" t="n">
        <v>24</v>
      </c>
      <c r="I1243" t="inlineStr">
        <is>
          <t>NAUTICA_CLASSICS_117001877_OXA_1.jpg</t>
        </is>
      </c>
      <c r="J1243" t="inlineStr">
        <is>
          <t>NAUTICA_CLASSICS_117001877_OXA_2.jpg</t>
        </is>
      </c>
      <c r="K1243" t="inlineStr">
        <is>
          <t>NAUTICA_CLASSICS_117001877_OXA_3.jpg</t>
        </is>
      </c>
      <c r="L1243">
        <f>IMAGE("file:///E:/Estudios%20y%20certificaciones/ESTUDIOS%20DE%20PROGRAMMING/PROGRAMMING/PERSONAL/PYTHON/Image_Generator_API/imagenes/NAUTICA_CLASSICS_117001877_OXA_1.jpg")</f>
        <v/>
      </c>
      <c r="M1243">
        <f>IMAGE("file:///E:/Estudios%20y%20certificaciones/ESTUDIOS%20DE%20PROGRAMMING/PROGRAMMING/PERSONAL/PYTHON/Image_Generator_API/imagenes/NAUTICA_CLASSICS_117001877_OXA_2.jpg")</f>
        <v/>
      </c>
      <c r="N1243">
        <f>IMAGE("file:///E:/Estudios%20y%20certificaciones/ESTUDIOS%20DE%20PROGRAMMING/PROGRAMMING/PERSONAL/PYTHON/Image_Generator_API/imagenes/NAUTICA_CLASSICS_117001877_OXA_3.jpg")</f>
        <v/>
      </c>
      <c r="O1243">
        <f>HYPERLINK("imagenes/NAUTICA_CLASSICS_117001877_OXA_1.jpg","Ver imagen")</f>
        <v/>
      </c>
      <c r="P1243">
        <f>HYPERLINK("imagenes/NAUTICA_CLASSICS_117001877_OXA_2.jpg","Ver imagen")</f>
        <v/>
      </c>
      <c r="Q1243">
        <f>HYPERLINK("imagenes/NAUTICA_CLASSICS_117001877_OXA_3.jpg","Ver imagen")</f>
        <v/>
      </c>
    </row>
    <row r="1244">
      <c r="A1244" t="inlineStr">
        <is>
          <t>NAUTICA CLASSICS</t>
        </is>
      </c>
      <c r="B1244" t="inlineStr">
        <is>
          <t>117001877</t>
        </is>
      </c>
      <c r="C1244" t="inlineStr">
        <is>
          <t>3/4 STRETCH PUFFER</t>
        </is>
      </c>
      <c r="D1244" t="inlineStr">
        <is>
          <t>OXA</t>
        </is>
      </c>
      <c r="E1244" t="inlineStr">
        <is>
          <t>(en blanco)</t>
        </is>
      </c>
      <c r="F1244" t="inlineStr">
        <is>
          <t>(en blanco)</t>
        </is>
      </c>
      <c r="G1244" t="inlineStr">
        <is>
          <t>XL</t>
        </is>
      </c>
      <c r="H1244" t="n">
        <v>8</v>
      </c>
      <c r="I1244" t="inlineStr">
        <is>
          <t>NAUTICA_CLASSICS_117001877_OXA_1.jpg</t>
        </is>
      </c>
      <c r="J1244" t="inlineStr">
        <is>
          <t>NAUTICA_CLASSICS_117001877_OXA_2.jpg</t>
        </is>
      </c>
      <c r="K1244" t="inlineStr">
        <is>
          <t>NAUTICA_CLASSICS_117001877_OXA_3.jpg</t>
        </is>
      </c>
      <c r="L1244">
        <f>IMAGE("file:///E:/Estudios%20y%20certificaciones/ESTUDIOS%20DE%20PROGRAMMING/PROGRAMMING/PERSONAL/PYTHON/Image_Generator_API/imagenes/NAUTICA_CLASSICS_117001877_OXA_1.jpg")</f>
        <v/>
      </c>
      <c r="M1244">
        <f>IMAGE("file:///E:/Estudios%20y%20certificaciones/ESTUDIOS%20DE%20PROGRAMMING/PROGRAMMING/PERSONAL/PYTHON/Image_Generator_API/imagenes/NAUTICA_CLASSICS_117001877_OXA_2.jpg")</f>
        <v/>
      </c>
      <c r="N1244">
        <f>IMAGE("file:///E:/Estudios%20y%20certificaciones/ESTUDIOS%20DE%20PROGRAMMING/PROGRAMMING/PERSONAL/PYTHON/Image_Generator_API/imagenes/NAUTICA_CLASSICS_117001877_OXA_3.jpg")</f>
        <v/>
      </c>
      <c r="O1244">
        <f>HYPERLINK("imagenes/NAUTICA_CLASSICS_117001877_OXA_1.jpg","Ver imagen")</f>
        <v/>
      </c>
      <c r="P1244">
        <f>HYPERLINK("imagenes/NAUTICA_CLASSICS_117001877_OXA_2.jpg","Ver imagen")</f>
        <v/>
      </c>
      <c r="Q1244">
        <f>HYPERLINK("imagenes/NAUTICA_CLASSICS_117001877_OXA_3.jpg","Ver imagen")</f>
        <v/>
      </c>
    </row>
    <row r="1245">
      <c r="A1245" t="inlineStr">
        <is>
          <t>NAUTICA CLASSICS</t>
        </is>
      </c>
      <c r="B1245" t="inlineStr">
        <is>
          <t>117001922</t>
        </is>
      </c>
      <c r="C1245" t="inlineStr">
        <is>
          <t>STRETCH PUFFER</t>
        </is>
      </c>
      <c r="D1245" t="inlineStr">
        <is>
          <t>BLK</t>
        </is>
      </c>
      <c r="E1245" t="inlineStr">
        <is>
          <t>08A05</t>
        </is>
      </c>
      <c r="F1245" t="inlineStr">
        <is>
          <t>(en blanco)</t>
        </is>
      </c>
      <c r="G1245" t="inlineStr">
        <is>
          <t>PPK</t>
        </is>
      </c>
      <c r="H1245" t="n">
        <v>3552</v>
      </c>
      <c r="I1245" t="inlineStr">
        <is>
          <t>NAUTICA_CLASSICS_117001922_BLK_1.jpg</t>
        </is>
      </c>
      <c r="J1245" t="inlineStr">
        <is>
          <t>NAUTICA_CLASSICS_117001922_BLK_2.jpg</t>
        </is>
      </c>
      <c r="K1245" t="inlineStr">
        <is>
          <t>NAUTICA_CLASSICS_117001922_BLK_3.jpg</t>
        </is>
      </c>
      <c r="L1245">
        <f>IMAGE("file:///E:/Estudios%20y%20certificaciones/ESTUDIOS%20DE%20PROGRAMMING/PROGRAMMING/PERSONAL/PYTHON/Image_Generator_API/imagenes/NAUTICA_CLASSICS_117001922_BLK_1.jpg")</f>
        <v/>
      </c>
      <c r="M1245">
        <f>IMAGE("file:///E:/Estudios%20y%20certificaciones/ESTUDIOS%20DE%20PROGRAMMING/PROGRAMMING/PERSONAL/PYTHON/Image_Generator_API/imagenes/NAUTICA_CLASSICS_117001922_BLK_2.jpg")</f>
        <v/>
      </c>
      <c r="N1245">
        <f>IMAGE("file:///E:/Estudios%20y%20certificaciones/ESTUDIOS%20DE%20PROGRAMMING/PROGRAMMING/PERSONAL/PYTHON/Image_Generator_API/imagenes/NAUTICA_CLASSICS_117001922_BLK_3.jpg")</f>
        <v/>
      </c>
      <c r="O1245">
        <f>HYPERLINK("imagenes/NAUTICA_CLASSICS_117001922_BLK_1.jpg","Ver imagen")</f>
        <v/>
      </c>
      <c r="P1245">
        <f>HYPERLINK("imagenes/NAUTICA_CLASSICS_117001922_BLK_2.jpg","Ver imagen")</f>
        <v/>
      </c>
      <c r="Q1245">
        <f>HYPERLINK("imagenes/NAUTICA_CLASSICS_117001922_BLK_3.jpg","Ver imagen")</f>
        <v/>
      </c>
    </row>
    <row r="1246">
      <c r="A1246" t="inlineStr">
        <is>
          <t>NAUTICA CLASSICS</t>
        </is>
      </c>
      <c r="B1246" t="inlineStr">
        <is>
          <t>117001922</t>
        </is>
      </c>
      <c r="C1246" t="inlineStr">
        <is>
          <t>STRETCH PUFFER</t>
        </is>
      </c>
      <c r="D1246" t="inlineStr">
        <is>
          <t>WIL</t>
        </is>
      </c>
      <c r="E1246" t="inlineStr">
        <is>
          <t>08A05</t>
        </is>
      </c>
      <c r="F1246" t="inlineStr">
        <is>
          <t>(en blanco)</t>
        </is>
      </c>
      <c r="G1246" t="inlineStr">
        <is>
          <t>PPK</t>
        </is>
      </c>
      <c r="H1246" t="n">
        <v>3560</v>
      </c>
      <c r="I1246" t="inlineStr">
        <is>
          <t>NAUTICA_CLASSICS_117001922_WIL_1.jpg</t>
        </is>
      </c>
      <c r="J1246" t="inlineStr">
        <is>
          <t>NAUTICA_CLASSICS_117001922_WIL_2.jpg</t>
        </is>
      </c>
      <c r="K1246" t="inlineStr">
        <is>
          <t>NAUTICA_CLASSICS_117001922_WIL_3.jpg</t>
        </is>
      </c>
      <c r="L1246">
        <f>IMAGE("file:///E:/Estudios%20y%20certificaciones/ESTUDIOS%20DE%20PROGRAMMING/PROGRAMMING/PERSONAL/PYTHON/Image_Generator_API/imagenes/NAUTICA_CLASSICS_117001922_WIL_1.jpg")</f>
        <v/>
      </c>
      <c r="M1246">
        <f>IMAGE("file:///E:/Estudios%20y%20certificaciones/ESTUDIOS%20DE%20PROGRAMMING/PROGRAMMING/PERSONAL/PYTHON/Image_Generator_API/imagenes/NAUTICA_CLASSICS_117001922_WIL_2.jpg")</f>
        <v/>
      </c>
      <c r="N1246">
        <f>IMAGE("file:///E:/Estudios%20y%20certificaciones/ESTUDIOS%20DE%20PROGRAMMING/PROGRAMMING/PERSONAL/PYTHON/Image_Generator_API/imagenes/NAUTICA_CLASSICS_117001922_WIL_3.jpg")</f>
        <v/>
      </c>
      <c r="O1246">
        <f>HYPERLINK("imagenes/NAUTICA_CLASSICS_117001922_WIL_1.jpg","Ver imagen")</f>
        <v/>
      </c>
      <c r="P1246">
        <f>HYPERLINK("imagenes/NAUTICA_CLASSICS_117001922_WIL_2.jpg","Ver imagen")</f>
        <v/>
      </c>
      <c r="Q1246">
        <f>HYPERLINK("imagenes/NAUTICA_CLASSICS_117001922_WIL_3.jpg","Ver imagen")</f>
        <v/>
      </c>
    </row>
    <row r="1247">
      <c r="A1247" t="inlineStr">
        <is>
          <t>NAUTICA CLASSICS</t>
        </is>
      </c>
      <c r="B1247" t="inlineStr">
        <is>
          <t>117002333M</t>
        </is>
      </c>
      <c r="C1247" t="inlineStr">
        <is>
          <t>NAUTICA BONDED RAIN</t>
        </is>
      </c>
      <c r="D1247" t="inlineStr">
        <is>
          <t>BLK</t>
        </is>
      </c>
      <c r="E1247" t="inlineStr">
        <is>
          <t>(en blanco)</t>
        </is>
      </c>
      <c r="F1247" t="inlineStr">
        <is>
          <t>(en blanco)</t>
        </is>
      </c>
      <c r="G1247" t="inlineStr">
        <is>
          <t>XS</t>
        </is>
      </c>
      <c r="H1247" t="n">
        <v>17</v>
      </c>
      <c r="I1247" t="inlineStr">
        <is>
          <t>NAUTICA_CLASSICS_117002333M_BLK_1.jpg</t>
        </is>
      </c>
      <c r="J1247" t="inlineStr">
        <is>
          <t>NAUTICA_CLASSICS_117002333M_BLK_2.jpg</t>
        </is>
      </c>
      <c r="K1247" t="inlineStr">
        <is>
          <t>NAUTICA_CLASSICS_117002333M_BLK_3.jpg</t>
        </is>
      </c>
      <c r="L1247">
        <f>IMAGE("file:///E:/Estudios%20y%20certificaciones/ESTUDIOS%20DE%20PROGRAMMING/PROGRAMMING/PERSONAL/PYTHON/Image_Generator_API/imagenes/NAUTICA_CLASSICS_117002333M_BLK_1.jpg")</f>
        <v/>
      </c>
      <c r="M1247">
        <f>IMAGE("file:///E:/Estudios%20y%20certificaciones/ESTUDIOS%20DE%20PROGRAMMING/PROGRAMMING/PERSONAL/PYTHON/Image_Generator_API/imagenes/NAUTICA_CLASSICS_117002333M_BLK_2.jpg")</f>
        <v/>
      </c>
      <c r="N1247">
        <f>IMAGE("file:///E:/Estudios%20y%20certificaciones/ESTUDIOS%20DE%20PROGRAMMING/PROGRAMMING/PERSONAL/PYTHON/Image_Generator_API/imagenes/NAUTICA_CLASSICS_117002333M_BLK_3.jpg")</f>
        <v/>
      </c>
      <c r="O1247">
        <f>HYPERLINK("imagenes/NAUTICA_CLASSICS_117002333M_BLK_1.jpg","Ver imagen")</f>
        <v/>
      </c>
      <c r="P1247">
        <f>HYPERLINK("imagenes/NAUTICA_CLASSICS_117002333M_BLK_2.jpg","Ver imagen")</f>
        <v/>
      </c>
      <c r="Q1247">
        <f>HYPERLINK("imagenes/NAUTICA_CLASSICS_117002333M_BLK_3.jpg","Ver imagen")</f>
        <v/>
      </c>
    </row>
    <row r="1248">
      <c r="A1248" t="inlineStr">
        <is>
          <t>NAUTICA CLASSICS</t>
        </is>
      </c>
      <c r="B1248" t="inlineStr">
        <is>
          <t>117002333M</t>
        </is>
      </c>
      <c r="C1248" t="inlineStr">
        <is>
          <t>NAUTICA BONDED RAIN</t>
        </is>
      </c>
      <c r="D1248" t="inlineStr">
        <is>
          <t>BLK</t>
        </is>
      </c>
      <c r="E1248" t="inlineStr">
        <is>
          <t>(en blanco)</t>
        </is>
      </c>
      <c r="F1248" t="inlineStr">
        <is>
          <t>(en blanco)</t>
        </is>
      </c>
      <c r="G1248" t="inlineStr">
        <is>
          <t>S</t>
        </is>
      </c>
      <c r="H1248" t="n">
        <v>23</v>
      </c>
      <c r="I1248" t="inlineStr">
        <is>
          <t>NAUTICA_CLASSICS_117002333M_BLK_1.jpg</t>
        </is>
      </c>
      <c r="J1248" t="inlineStr">
        <is>
          <t>NAUTICA_CLASSICS_117002333M_BLK_2.jpg</t>
        </is>
      </c>
      <c r="K1248" t="inlineStr">
        <is>
          <t>NAUTICA_CLASSICS_117002333M_BLK_3.jpg</t>
        </is>
      </c>
      <c r="L1248">
        <f>IMAGE("file:///E:/Estudios%20y%20certificaciones/ESTUDIOS%20DE%20PROGRAMMING/PROGRAMMING/PERSONAL/PYTHON/Image_Generator_API/imagenes/NAUTICA_CLASSICS_117002333M_BLK_1.jpg")</f>
        <v/>
      </c>
      <c r="M1248">
        <f>IMAGE("file:///E:/Estudios%20y%20certificaciones/ESTUDIOS%20DE%20PROGRAMMING/PROGRAMMING/PERSONAL/PYTHON/Image_Generator_API/imagenes/NAUTICA_CLASSICS_117002333M_BLK_2.jpg")</f>
        <v/>
      </c>
      <c r="N1248">
        <f>IMAGE("file:///E:/Estudios%20y%20certificaciones/ESTUDIOS%20DE%20PROGRAMMING/PROGRAMMING/PERSONAL/PYTHON/Image_Generator_API/imagenes/NAUTICA_CLASSICS_117002333M_BLK_3.jpg")</f>
        <v/>
      </c>
      <c r="O1248">
        <f>HYPERLINK("imagenes/NAUTICA_CLASSICS_117002333M_BLK_1.jpg","Ver imagen")</f>
        <v/>
      </c>
      <c r="P1248">
        <f>HYPERLINK("imagenes/NAUTICA_CLASSICS_117002333M_BLK_2.jpg","Ver imagen")</f>
        <v/>
      </c>
      <c r="Q1248">
        <f>HYPERLINK("imagenes/NAUTICA_CLASSICS_117002333M_BLK_3.jpg","Ver imagen")</f>
        <v/>
      </c>
    </row>
    <row r="1249">
      <c r="A1249" t="inlineStr">
        <is>
          <t>NAUTICA CLASSICS</t>
        </is>
      </c>
      <c r="B1249" t="inlineStr">
        <is>
          <t>117002333M</t>
        </is>
      </c>
      <c r="C1249" t="inlineStr">
        <is>
          <t>NAUTICA BONDED RAIN</t>
        </is>
      </c>
      <c r="D1249" t="inlineStr">
        <is>
          <t>BLK</t>
        </is>
      </c>
      <c r="E1249" t="inlineStr">
        <is>
          <t>(en blanco)</t>
        </is>
      </c>
      <c r="F1249" t="inlineStr">
        <is>
          <t>(en blanco)</t>
        </is>
      </c>
      <c r="G1249" t="inlineStr">
        <is>
          <t>M</t>
        </is>
      </c>
      <c r="H1249" t="n">
        <v>1</v>
      </c>
      <c r="I1249" t="inlineStr">
        <is>
          <t>NAUTICA_CLASSICS_117002333M_BLK_1.jpg</t>
        </is>
      </c>
      <c r="J1249" t="inlineStr">
        <is>
          <t>NAUTICA_CLASSICS_117002333M_BLK_2.jpg</t>
        </is>
      </c>
      <c r="K1249" t="inlineStr">
        <is>
          <t>NAUTICA_CLASSICS_117002333M_BLK_3.jpg</t>
        </is>
      </c>
      <c r="L1249">
        <f>IMAGE("file:///E:/Estudios%20y%20certificaciones/ESTUDIOS%20DE%20PROGRAMMING/PROGRAMMING/PERSONAL/PYTHON/Image_Generator_API/imagenes/NAUTICA_CLASSICS_117002333M_BLK_1.jpg")</f>
        <v/>
      </c>
      <c r="M1249">
        <f>IMAGE("file:///E:/Estudios%20y%20certificaciones/ESTUDIOS%20DE%20PROGRAMMING/PROGRAMMING/PERSONAL/PYTHON/Image_Generator_API/imagenes/NAUTICA_CLASSICS_117002333M_BLK_2.jpg")</f>
        <v/>
      </c>
      <c r="N1249">
        <f>IMAGE("file:///E:/Estudios%20y%20certificaciones/ESTUDIOS%20DE%20PROGRAMMING/PROGRAMMING/PERSONAL/PYTHON/Image_Generator_API/imagenes/NAUTICA_CLASSICS_117002333M_BLK_3.jpg")</f>
        <v/>
      </c>
      <c r="O1249">
        <f>HYPERLINK("imagenes/NAUTICA_CLASSICS_117002333M_BLK_1.jpg","Ver imagen")</f>
        <v/>
      </c>
      <c r="P1249">
        <f>HYPERLINK("imagenes/NAUTICA_CLASSICS_117002333M_BLK_2.jpg","Ver imagen")</f>
        <v/>
      </c>
      <c r="Q1249">
        <f>HYPERLINK("imagenes/NAUTICA_CLASSICS_117002333M_BLK_3.jpg","Ver imagen")</f>
        <v/>
      </c>
    </row>
    <row r="1250">
      <c r="A1250" t="inlineStr">
        <is>
          <t>NAUTICA CLASSICS</t>
        </is>
      </c>
      <c r="B1250" t="inlineStr">
        <is>
          <t>117002333P</t>
        </is>
      </c>
      <c r="C1250" t="inlineStr">
        <is>
          <t>NAUTICA BONDED RAIN</t>
        </is>
      </c>
      <c r="D1250" t="inlineStr">
        <is>
          <t>BHQ</t>
        </is>
      </c>
      <c r="E1250" t="inlineStr">
        <is>
          <t>(en blanco)</t>
        </is>
      </c>
      <c r="F1250" t="inlineStr">
        <is>
          <t>(en blanco)</t>
        </is>
      </c>
      <c r="G1250" t="inlineStr">
        <is>
          <t>1X</t>
        </is>
      </c>
      <c r="H1250" t="n">
        <v>26</v>
      </c>
      <c r="I1250" t="inlineStr">
        <is>
          <t>NAUTICA_CLASSICS_117002333P_BHQ_1.jpg</t>
        </is>
      </c>
      <c r="J1250" t="inlineStr">
        <is>
          <t>NAUTICA_CLASSICS_117002333P_BHQ_2.jpg</t>
        </is>
      </c>
      <c r="K1250" t="inlineStr">
        <is>
          <t>NAUTICA_CLASSICS_117002333P_BHQ_3.jpg</t>
        </is>
      </c>
      <c r="L1250">
        <f>IMAGE("file:///E:/Estudios%20y%20certificaciones/ESTUDIOS%20DE%20PROGRAMMING/PROGRAMMING/PERSONAL/PYTHON/Image_Generator_API/imagenes/NAUTICA_CLASSICS_117002333P_BHQ_1.jpg")</f>
        <v/>
      </c>
      <c r="M1250">
        <f>IMAGE("file:///E:/Estudios%20y%20certificaciones/ESTUDIOS%20DE%20PROGRAMMING/PROGRAMMING/PERSONAL/PYTHON/Image_Generator_API/imagenes/NAUTICA_CLASSICS_117002333P_BHQ_2.jpg")</f>
        <v/>
      </c>
      <c r="N1250">
        <f>IMAGE("file:///E:/Estudios%20y%20certificaciones/ESTUDIOS%20DE%20PROGRAMMING/PROGRAMMING/PERSONAL/PYTHON/Image_Generator_API/imagenes/NAUTICA_CLASSICS_117002333P_BHQ_3.jpg")</f>
        <v/>
      </c>
      <c r="O1250">
        <f>HYPERLINK("imagenes/NAUTICA_CLASSICS_117002333P_BHQ_1.jpg","Ver imagen")</f>
        <v/>
      </c>
      <c r="P1250">
        <f>HYPERLINK("imagenes/NAUTICA_CLASSICS_117002333P_BHQ_2.jpg","Ver imagen")</f>
        <v/>
      </c>
      <c r="Q1250">
        <f>HYPERLINK("imagenes/NAUTICA_CLASSICS_117002333P_BHQ_3.jpg","Ver imagen")</f>
        <v/>
      </c>
    </row>
    <row r="1251">
      <c r="A1251" t="inlineStr">
        <is>
          <t>NAUTICA CLASSICS</t>
        </is>
      </c>
      <c r="B1251" t="inlineStr">
        <is>
          <t>117002333P</t>
        </is>
      </c>
      <c r="C1251" t="inlineStr">
        <is>
          <t>NAUTICA BONDED RAIN</t>
        </is>
      </c>
      <c r="D1251" t="inlineStr">
        <is>
          <t>BHQ</t>
        </is>
      </c>
      <c r="E1251" t="inlineStr">
        <is>
          <t>(en blanco)</t>
        </is>
      </c>
      <c r="F1251" t="inlineStr">
        <is>
          <t>(en blanco)</t>
        </is>
      </c>
      <c r="G1251" t="inlineStr">
        <is>
          <t>2X</t>
        </is>
      </c>
      <c r="H1251" t="n">
        <v>25</v>
      </c>
      <c r="I1251" t="inlineStr">
        <is>
          <t>NAUTICA_CLASSICS_117002333P_BHQ_1.jpg</t>
        </is>
      </c>
      <c r="J1251" t="inlineStr">
        <is>
          <t>NAUTICA_CLASSICS_117002333P_BHQ_2.jpg</t>
        </is>
      </c>
      <c r="K1251" t="inlineStr">
        <is>
          <t>NAUTICA_CLASSICS_117002333P_BHQ_3.jpg</t>
        </is>
      </c>
      <c r="L1251">
        <f>IMAGE("file:///E:/Estudios%20y%20certificaciones/ESTUDIOS%20DE%20PROGRAMMING/PROGRAMMING/PERSONAL/PYTHON/Image_Generator_API/imagenes/NAUTICA_CLASSICS_117002333P_BHQ_1.jpg")</f>
        <v/>
      </c>
      <c r="M1251">
        <f>IMAGE("file:///E:/Estudios%20y%20certificaciones/ESTUDIOS%20DE%20PROGRAMMING/PROGRAMMING/PERSONAL/PYTHON/Image_Generator_API/imagenes/NAUTICA_CLASSICS_117002333P_BHQ_2.jpg")</f>
        <v/>
      </c>
      <c r="N1251">
        <f>IMAGE("file:///E:/Estudios%20y%20certificaciones/ESTUDIOS%20DE%20PROGRAMMING/PROGRAMMING/PERSONAL/PYTHON/Image_Generator_API/imagenes/NAUTICA_CLASSICS_117002333P_BHQ_3.jpg")</f>
        <v/>
      </c>
      <c r="O1251">
        <f>HYPERLINK("imagenes/NAUTICA_CLASSICS_117002333P_BHQ_1.jpg","Ver imagen")</f>
        <v/>
      </c>
      <c r="P1251">
        <f>HYPERLINK("imagenes/NAUTICA_CLASSICS_117002333P_BHQ_2.jpg","Ver imagen")</f>
        <v/>
      </c>
      <c r="Q1251">
        <f>HYPERLINK("imagenes/NAUTICA_CLASSICS_117002333P_BHQ_3.jpg","Ver imagen")</f>
        <v/>
      </c>
    </row>
    <row r="1252">
      <c r="A1252" t="inlineStr">
        <is>
          <t>NAUTICA CLASSICS</t>
        </is>
      </c>
      <c r="B1252" t="inlineStr">
        <is>
          <t>117002333P</t>
        </is>
      </c>
      <c r="C1252" t="inlineStr">
        <is>
          <t>NAUTICA BONDED RAIN</t>
        </is>
      </c>
      <c r="D1252" t="inlineStr">
        <is>
          <t>BHQ</t>
        </is>
      </c>
      <c r="E1252" t="inlineStr">
        <is>
          <t>(en blanco)</t>
        </is>
      </c>
      <c r="F1252" t="inlineStr">
        <is>
          <t>(en blanco)</t>
        </is>
      </c>
      <c r="G1252" t="inlineStr">
        <is>
          <t>3X</t>
        </is>
      </c>
      <c r="H1252" t="n">
        <v>20</v>
      </c>
      <c r="I1252" t="inlineStr">
        <is>
          <t>NAUTICA_CLASSICS_117002333P_BHQ_1.jpg</t>
        </is>
      </c>
      <c r="J1252" t="inlineStr">
        <is>
          <t>NAUTICA_CLASSICS_117002333P_BHQ_2.jpg</t>
        </is>
      </c>
      <c r="K1252" t="inlineStr">
        <is>
          <t>NAUTICA_CLASSICS_117002333P_BHQ_3.jpg</t>
        </is>
      </c>
      <c r="L1252">
        <f>IMAGE("file:///E:/Estudios%20y%20certificaciones/ESTUDIOS%20DE%20PROGRAMMING/PROGRAMMING/PERSONAL/PYTHON/Image_Generator_API/imagenes/NAUTICA_CLASSICS_117002333P_BHQ_1.jpg")</f>
        <v/>
      </c>
      <c r="M1252">
        <f>IMAGE("file:///E:/Estudios%20y%20certificaciones/ESTUDIOS%20DE%20PROGRAMMING/PROGRAMMING/PERSONAL/PYTHON/Image_Generator_API/imagenes/NAUTICA_CLASSICS_117002333P_BHQ_2.jpg")</f>
        <v/>
      </c>
      <c r="N1252">
        <f>IMAGE("file:///E:/Estudios%20y%20certificaciones/ESTUDIOS%20DE%20PROGRAMMING/PROGRAMMING/PERSONAL/PYTHON/Image_Generator_API/imagenes/NAUTICA_CLASSICS_117002333P_BHQ_3.jpg")</f>
        <v/>
      </c>
      <c r="O1252">
        <f>HYPERLINK("imagenes/NAUTICA_CLASSICS_117002333P_BHQ_1.jpg","Ver imagen")</f>
        <v/>
      </c>
      <c r="P1252">
        <f>HYPERLINK("imagenes/NAUTICA_CLASSICS_117002333P_BHQ_2.jpg","Ver imagen")</f>
        <v/>
      </c>
      <c r="Q1252">
        <f>HYPERLINK("imagenes/NAUTICA_CLASSICS_117002333P_BHQ_3.jpg","Ver imagen")</f>
        <v/>
      </c>
    </row>
    <row r="1253">
      <c r="A1253" t="inlineStr">
        <is>
          <t>NAUTICA CLASSICS</t>
        </is>
      </c>
      <c r="B1253" t="inlineStr">
        <is>
          <t>117002333P</t>
        </is>
      </c>
      <c r="C1253" t="inlineStr">
        <is>
          <t>NAUTICA BONDED RAIN</t>
        </is>
      </c>
      <c r="D1253" t="inlineStr">
        <is>
          <t>BLK</t>
        </is>
      </c>
      <c r="E1253" t="inlineStr">
        <is>
          <t>(en blanco)</t>
        </is>
      </c>
      <c r="F1253" t="inlineStr">
        <is>
          <t>(en blanco)</t>
        </is>
      </c>
      <c r="G1253" t="inlineStr">
        <is>
          <t>1X</t>
        </is>
      </c>
      <c r="H1253" t="n">
        <v>1</v>
      </c>
      <c r="I1253" t="inlineStr">
        <is>
          <t>NAUTICA_CLASSICS_117002333P_BLK_1.jpg</t>
        </is>
      </c>
      <c r="J1253" t="inlineStr">
        <is>
          <t>NAUTICA_CLASSICS_117002333P_BLK_2.jpg</t>
        </is>
      </c>
      <c r="K1253" t="inlineStr">
        <is>
          <t>NAUTICA_CLASSICS_117002333P_BLK_3.jpg</t>
        </is>
      </c>
      <c r="L1253">
        <f>IMAGE("file:///E:/Estudios%20y%20certificaciones/ESTUDIOS%20DE%20PROGRAMMING/PROGRAMMING/PERSONAL/PYTHON/Image_Generator_API/imagenes/NAUTICA_CLASSICS_117002333P_BLK_1.jpg")</f>
        <v/>
      </c>
      <c r="M1253">
        <f>IMAGE("file:///E:/Estudios%20y%20certificaciones/ESTUDIOS%20DE%20PROGRAMMING/PROGRAMMING/PERSONAL/PYTHON/Image_Generator_API/imagenes/NAUTICA_CLASSICS_117002333P_BLK_2.jpg")</f>
        <v/>
      </c>
      <c r="N1253">
        <f>IMAGE("file:///E:/Estudios%20y%20certificaciones/ESTUDIOS%20DE%20PROGRAMMING/PROGRAMMING/PERSONAL/PYTHON/Image_Generator_API/imagenes/NAUTICA_CLASSICS_117002333P_BLK_3.jpg")</f>
        <v/>
      </c>
      <c r="O1253">
        <f>HYPERLINK("imagenes/NAUTICA_CLASSICS_117002333P_BLK_1.jpg","Ver imagen")</f>
        <v/>
      </c>
      <c r="P1253">
        <f>HYPERLINK("imagenes/NAUTICA_CLASSICS_117002333P_BLK_2.jpg","Ver imagen")</f>
        <v/>
      </c>
      <c r="Q1253">
        <f>HYPERLINK("imagenes/NAUTICA_CLASSICS_117002333P_BLK_3.jpg","Ver imagen")</f>
        <v/>
      </c>
    </row>
    <row r="1254">
      <c r="A1254" t="inlineStr">
        <is>
          <t>NAUTICA CLASSICS</t>
        </is>
      </c>
      <c r="B1254" t="inlineStr">
        <is>
          <t>117002333P</t>
        </is>
      </c>
      <c r="C1254" t="inlineStr">
        <is>
          <t>NAUTICA BONDED RAIN</t>
        </is>
      </c>
      <c r="D1254" t="inlineStr">
        <is>
          <t>BLK</t>
        </is>
      </c>
      <c r="E1254" t="inlineStr">
        <is>
          <t>(en blanco)</t>
        </is>
      </c>
      <c r="F1254" t="inlineStr">
        <is>
          <t>(en blanco)</t>
        </is>
      </c>
      <c r="G1254" t="inlineStr">
        <is>
          <t>3X</t>
        </is>
      </c>
      <c r="H1254" t="n">
        <v>3</v>
      </c>
      <c r="I1254" t="inlineStr">
        <is>
          <t>NAUTICA_CLASSICS_117002333P_BLK_1.jpg</t>
        </is>
      </c>
      <c r="J1254" t="inlineStr">
        <is>
          <t>NAUTICA_CLASSICS_117002333P_BLK_2.jpg</t>
        </is>
      </c>
      <c r="K1254" t="inlineStr">
        <is>
          <t>NAUTICA_CLASSICS_117002333P_BLK_3.jpg</t>
        </is>
      </c>
      <c r="L1254">
        <f>IMAGE("file:///E:/Estudios%20y%20certificaciones/ESTUDIOS%20DE%20PROGRAMMING/PROGRAMMING/PERSONAL/PYTHON/Image_Generator_API/imagenes/NAUTICA_CLASSICS_117002333P_BLK_1.jpg")</f>
        <v/>
      </c>
      <c r="M1254">
        <f>IMAGE("file:///E:/Estudios%20y%20certificaciones/ESTUDIOS%20DE%20PROGRAMMING/PROGRAMMING/PERSONAL/PYTHON/Image_Generator_API/imagenes/NAUTICA_CLASSICS_117002333P_BLK_2.jpg")</f>
        <v/>
      </c>
      <c r="N1254">
        <f>IMAGE("file:///E:/Estudios%20y%20certificaciones/ESTUDIOS%20DE%20PROGRAMMING/PROGRAMMING/PERSONAL/PYTHON/Image_Generator_API/imagenes/NAUTICA_CLASSICS_117002333P_BLK_3.jpg")</f>
        <v/>
      </c>
      <c r="O1254">
        <f>HYPERLINK("imagenes/NAUTICA_CLASSICS_117002333P_BLK_1.jpg","Ver imagen")</f>
        <v/>
      </c>
      <c r="P1254">
        <f>HYPERLINK("imagenes/NAUTICA_CLASSICS_117002333P_BLK_2.jpg","Ver imagen")</f>
        <v/>
      </c>
      <c r="Q1254">
        <f>HYPERLINK("imagenes/NAUTICA_CLASSICS_117002333P_BLK_3.jpg","Ver imagen")</f>
        <v/>
      </c>
    </row>
    <row r="1255">
      <c r="A1255" t="inlineStr">
        <is>
          <t>NAUTICA CLASSICS</t>
        </is>
      </c>
      <c r="B1255" t="inlineStr">
        <is>
          <t>117002748</t>
        </is>
      </c>
      <c r="C1255" t="inlineStr">
        <is>
          <t>STRETCH PUFFER</t>
        </is>
      </c>
      <c r="D1255" t="inlineStr">
        <is>
          <t>BLK</t>
        </is>
      </c>
      <c r="E1255" t="inlineStr">
        <is>
          <t>07A08</t>
        </is>
      </c>
      <c r="F1255" t="inlineStr">
        <is>
          <t>B2230</t>
        </is>
      </c>
      <c r="G1255" t="inlineStr">
        <is>
          <t>PPK</t>
        </is>
      </c>
      <c r="H1255" t="n">
        <v>0</v>
      </c>
      <c r="I1255" t="inlineStr">
        <is>
          <t>NAUTICA_CLASSICS_117002748_BLK_2.jpg</t>
        </is>
      </c>
      <c r="J1255" t="inlineStr">
        <is>
          <t>NAUTICA_CLASSICS_117002748_BLK_3.jpg</t>
        </is>
      </c>
      <c r="L1255">
        <f>IMAGE("file:///E:/Estudios%20y%20certificaciones/ESTUDIOS%20DE%20PROGRAMMING/PROGRAMMING/PERSONAL/PYTHON/Image_Generator_API/imagenes/NAUTICA_CLASSICS_117002748_BLK_2.jpg")</f>
        <v/>
      </c>
      <c r="M1255">
        <f>IMAGE("file:///E:/Estudios%20y%20certificaciones/ESTUDIOS%20DE%20PROGRAMMING/PROGRAMMING/PERSONAL/PYTHON/Image_Generator_API/imagenes/NAUTICA_CLASSICS_117002748_BLK_3.jpg")</f>
        <v/>
      </c>
      <c r="O1255">
        <f>HYPERLINK("imagenes/NAUTICA_CLASSICS_117002748_BLK_2.jpg","Ver imagen")</f>
        <v/>
      </c>
      <c r="P1255">
        <f>HYPERLINK("imagenes/NAUTICA_CLASSICS_117002748_BLK_3.jpg","Ver imagen")</f>
        <v/>
      </c>
    </row>
    <row r="1256">
      <c r="A1256" t="inlineStr">
        <is>
          <t>NAUTICA CLASSICS</t>
        </is>
      </c>
      <c r="B1256" t="inlineStr">
        <is>
          <t>117002748</t>
        </is>
      </c>
      <c r="C1256" t="inlineStr">
        <is>
          <t>STRETCH PUFFER</t>
        </is>
      </c>
      <c r="D1256" t="inlineStr">
        <is>
          <t>BLK</t>
        </is>
      </c>
      <c r="E1256" t="inlineStr">
        <is>
          <t>08A05</t>
        </is>
      </c>
      <c r="F1256" t="inlineStr">
        <is>
          <t>(en blanco)</t>
        </is>
      </c>
      <c r="G1256" t="inlineStr">
        <is>
          <t>PPK</t>
        </is>
      </c>
      <c r="H1256" t="n">
        <v>4392</v>
      </c>
      <c r="I1256" t="inlineStr">
        <is>
          <t>NAUTICA_CLASSICS_117002748_BLK_2.jpg</t>
        </is>
      </c>
      <c r="J1256" t="inlineStr">
        <is>
          <t>NAUTICA_CLASSICS_117002748_BLK_3.jpg</t>
        </is>
      </c>
      <c r="L1256">
        <f>IMAGE("file:///E:/Estudios%20y%20certificaciones/ESTUDIOS%20DE%20PROGRAMMING/PROGRAMMING/PERSONAL/PYTHON/Image_Generator_API/imagenes/NAUTICA_CLASSICS_117002748_BLK_2.jpg")</f>
        <v/>
      </c>
      <c r="M1256">
        <f>IMAGE("file:///E:/Estudios%20y%20certificaciones/ESTUDIOS%20DE%20PROGRAMMING/PROGRAMMING/PERSONAL/PYTHON/Image_Generator_API/imagenes/NAUTICA_CLASSICS_117002748_BLK_3.jpg")</f>
        <v/>
      </c>
      <c r="O1256">
        <f>HYPERLINK("imagenes/NAUTICA_CLASSICS_117002748_BLK_2.jpg","Ver imagen")</f>
        <v/>
      </c>
      <c r="P1256">
        <f>HYPERLINK("imagenes/NAUTICA_CLASSICS_117002748_BLK_3.jpg","Ver imagen")</f>
        <v/>
      </c>
    </row>
    <row r="1257">
      <c r="A1257" t="inlineStr">
        <is>
          <t>NAUTICA CLASSICS</t>
        </is>
      </c>
      <c r="B1257" t="inlineStr">
        <is>
          <t>117002748</t>
        </is>
      </c>
      <c r="C1257" t="inlineStr">
        <is>
          <t>STRETCH PUFFER</t>
        </is>
      </c>
      <c r="D1257" t="inlineStr">
        <is>
          <t>BLK</t>
        </is>
      </c>
      <c r="E1257" t="inlineStr">
        <is>
          <t>(en blanco)</t>
        </is>
      </c>
      <c r="F1257" t="inlineStr">
        <is>
          <t>D2C</t>
        </is>
      </c>
      <c r="G1257" t="inlineStr">
        <is>
          <t>XS</t>
        </is>
      </c>
      <c r="H1257" t="n">
        <v>57</v>
      </c>
      <c r="I1257" t="inlineStr">
        <is>
          <t>NAUTICA_CLASSICS_117002748_BLK_2.jpg</t>
        </is>
      </c>
      <c r="J1257" t="inlineStr">
        <is>
          <t>NAUTICA_CLASSICS_117002748_BLK_3.jpg</t>
        </is>
      </c>
      <c r="L1257">
        <f>IMAGE("file:///E:/Estudios%20y%20certificaciones/ESTUDIOS%20DE%20PROGRAMMING/PROGRAMMING/PERSONAL/PYTHON/Image_Generator_API/imagenes/NAUTICA_CLASSICS_117002748_BLK_2.jpg")</f>
        <v/>
      </c>
      <c r="M1257">
        <f>IMAGE("file:///E:/Estudios%20y%20certificaciones/ESTUDIOS%20DE%20PROGRAMMING/PROGRAMMING/PERSONAL/PYTHON/Image_Generator_API/imagenes/NAUTICA_CLASSICS_117002748_BLK_3.jpg")</f>
        <v/>
      </c>
      <c r="O1257">
        <f>HYPERLINK("imagenes/NAUTICA_CLASSICS_117002748_BLK_2.jpg","Ver imagen")</f>
        <v/>
      </c>
      <c r="P1257">
        <f>HYPERLINK("imagenes/NAUTICA_CLASSICS_117002748_BLK_3.jpg","Ver imagen")</f>
        <v/>
      </c>
    </row>
    <row r="1258">
      <c r="A1258" t="inlineStr">
        <is>
          <t>NAUTICA CLASSICS</t>
        </is>
      </c>
      <c r="B1258" t="inlineStr">
        <is>
          <t>117002748</t>
        </is>
      </c>
      <c r="C1258" t="inlineStr">
        <is>
          <t>STRETCH PUFFER</t>
        </is>
      </c>
      <c r="D1258" t="inlineStr">
        <is>
          <t>BLK</t>
        </is>
      </c>
      <c r="E1258" t="inlineStr">
        <is>
          <t>(en blanco)</t>
        </is>
      </c>
      <c r="F1258" t="inlineStr">
        <is>
          <t>D2C</t>
        </is>
      </c>
      <c r="G1258" t="inlineStr">
        <is>
          <t>S</t>
        </is>
      </c>
      <c r="H1258" t="n">
        <v>99</v>
      </c>
      <c r="I1258" t="inlineStr">
        <is>
          <t>NAUTICA_CLASSICS_117002748_BLK_2.jpg</t>
        </is>
      </c>
      <c r="J1258" t="inlineStr">
        <is>
          <t>NAUTICA_CLASSICS_117002748_BLK_3.jpg</t>
        </is>
      </c>
      <c r="L1258">
        <f>IMAGE("file:///E:/Estudios%20y%20certificaciones/ESTUDIOS%20DE%20PROGRAMMING/PROGRAMMING/PERSONAL/PYTHON/Image_Generator_API/imagenes/NAUTICA_CLASSICS_117002748_BLK_2.jpg")</f>
        <v/>
      </c>
      <c r="M1258">
        <f>IMAGE("file:///E:/Estudios%20y%20certificaciones/ESTUDIOS%20DE%20PROGRAMMING/PROGRAMMING/PERSONAL/PYTHON/Image_Generator_API/imagenes/NAUTICA_CLASSICS_117002748_BLK_3.jpg")</f>
        <v/>
      </c>
      <c r="O1258">
        <f>HYPERLINK("imagenes/NAUTICA_CLASSICS_117002748_BLK_2.jpg","Ver imagen")</f>
        <v/>
      </c>
      <c r="P1258">
        <f>HYPERLINK("imagenes/NAUTICA_CLASSICS_117002748_BLK_3.jpg","Ver imagen")</f>
        <v/>
      </c>
    </row>
    <row r="1259">
      <c r="A1259" t="inlineStr">
        <is>
          <t>NAUTICA CLASSICS</t>
        </is>
      </c>
      <c r="B1259" t="inlineStr">
        <is>
          <t>117002748</t>
        </is>
      </c>
      <c r="C1259" t="inlineStr">
        <is>
          <t>STRETCH PUFFER</t>
        </is>
      </c>
      <c r="D1259" t="inlineStr">
        <is>
          <t>BLK</t>
        </is>
      </c>
      <c r="E1259" t="inlineStr">
        <is>
          <t>(en blanco)</t>
        </is>
      </c>
      <c r="F1259" t="inlineStr">
        <is>
          <t>D2C</t>
        </is>
      </c>
      <c r="G1259" t="inlineStr">
        <is>
          <t>M</t>
        </is>
      </c>
      <c r="H1259" t="n">
        <v>67</v>
      </c>
      <c r="I1259" t="inlineStr">
        <is>
          <t>NAUTICA_CLASSICS_117002748_BLK_2.jpg</t>
        </is>
      </c>
      <c r="J1259" t="inlineStr">
        <is>
          <t>NAUTICA_CLASSICS_117002748_BLK_3.jpg</t>
        </is>
      </c>
      <c r="L1259">
        <f>IMAGE("file:///E:/Estudios%20y%20certificaciones/ESTUDIOS%20DE%20PROGRAMMING/PROGRAMMING/PERSONAL/PYTHON/Image_Generator_API/imagenes/NAUTICA_CLASSICS_117002748_BLK_2.jpg")</f>
        <v/>
      </c>
      <c r="M1259">
        <f>IMAGE("file:///E:/Estudios%20y%20certificaciones/ESTUDIOS%20DE%20PROGRAMMING/PROGRAMMING/PERSONAL/PYTHON/Image_Generator_API/imagenes/NAUTICA_CLASSICS_117002748_BLK_3.jpg")</f>
        <v/>
      </c>
      <c r="O1259">
        <f>HYPERLINK("imagenes/NAUTICA_CLASSICS_117002748_BLK_2.jpg","Ver imagen")</f>
        <v/>
      </c>
      <c r="P1259">
        <f>HYPERLINK("imagenes/NAUTICA_CLASSICS_117002748_BLK_3.jpg","Ver imagen")</f>
        <v/>
      </c>
    </row>
    <row r="1260">
      <c r="A1260" t="inlineStr">
        <is>
          <t>NAUTICA CLASSICS</t>
        </is>
      </c>
      <c r="B1260" t="inlineStr">
        <is>
          <t>117002748</t>
        </is>
      </c>
      <c r="C1260" t="inlineStr">
        <is>
          <t>STRETCH PUFFER</t>
        </is>
      </c>
      <c r="D1260" t="inlineStr">
        <is>
          <t>BLK</t>
        </is>
      </c>
      <c r="E1260" t="inlineStr">
        <is>
          <t>(en blanco)</t>
        </is>
      </c>
      <c r="F1260" t="inlineStr">
        <is>
          <t>D2C</t>
        </is>
      </c>
      <c r="G1260" t="inlineStr">
        <is>
          <t>L</t>
        </is>
      </c>
      <c r="H1260" t="n">
        <v>57</v>
      </c>
      <c r="I1260" t="inlineStr">
        <is>
          <t>NAUTICA_CLASSICS_117002748_BLK_2.jpg</t>
        </is>
      </c>
      <c r="J1260" t="inlineStr">
        <is>
          <t>NAUTICA_CLASSICS_117002748_BLK_3.jpg</t>
        </is>
      </c>
      <c r="L1260">
        <f>IMAGE("file:///E:/Estudios%20y%20certificaciones/ESTUDIOS%20DE%20PROGRAMMING/PROGRAMMING/PERSONAL/PYTHON/Image_Generator_API/imagenes/NAUTICA_CLASSICS_117002748_BLK_2.jpg")</f>
        <v/>
      </c>
      <c r="M1260">
        <f>IMAGE("file:///E:/Estudios%20y%20certificaciones/ESTUDIOS%20DE%20PROGRAMMING/PROGRAMMING/PERSONAL/PYTHON/Image_Generator_API/imagenes/NAUTICA_CLASSICS_117002748_BLK_3.jpg")</f>
        <v/>
      </c>
      <c r="O1260">
        <f>HYPERLINK("imagenes/NAUTICA_CLASSICS_117002748_BLK_2.jpg","Ver imagen")</f>
        <v/>
      </c>
      <c r="P1260">
        <f>HYPERLINK("imagenes/NAUTICA_CLASSICS_117002748_BLK_3.jpg","Ver imagen")</f>
        <v/>
      </c>
    </row>
    <row r="1261">
      <c r="A1261" t="inlineStr">
        <is>
          <t>NAUTICA CLASSICS</t>
        </is>
      </c>
      <c r="B1261" t="inlineStr">
        <is>
          <t>117002748</t>
        </is>
      </c>
      <c r="C1261" t="inlineStr">
        <is>
          <t>STRETCH PUFFER</t>
        </is>
      </c>
      <c r="D1261" t="inlineStr">
        <is>
          <t>BLK</t>
        </is>
      </c>
      <c r="E1261" t="inlineStr">
        <is>
          <t>(en blanco)</t>
        </is>
      </c>
      <c r="F1261" t="inlineStr">
        <is>
          <t>(en blanco)</t>
        </is>
      </c>
      <c r="G1261" t="inlineStr">
        <is>
          <t>XS</t>
        </is>
      </c>
      <c r="H1261" t="n">
        <v>108</v>
      </c>
      <c r="I1261" t="inlineStr">
        <is>
          <t>NAUTICA_CLASSICS_117002748_BLK_2.jpg</t>
        </is>
      </c>
      <c r="J1261" t="inlineStr">
        <is>
          <t>NAUTICA_CLASSICS_117002748_BLK_3.jpg</t>
        </is>
      </c>
      <c r="L1261">
        <f>IMAGE("file:///E:/Estudios%20y%20certificaciones/ESTUDIOS%20DE%20PROGRAMMING/PROGRAMMING/PERSONAL/PYTHON/Image_Generator_API/imagenes/NAUTICA_CLASSICS_117002748_BLK_2.jpg")</f>
        <v/>
      </c>
      <c r="M1261">
        <f>IMAGE("file:///E:/Estudios%20y%20certificaciones/ESTUDIOS%20DE%20PROGRAMMING/PROGRAMMING/PERSONAL/PYTHON/Image_Generator_API/imagenes/NAUTICA_CLASSICS_117002748_BLK_3.jpg")</f>
        <v/>
      </c>
      <c r="O1261">
        <f>HYPERLINK("imagenes/NAUTICA_CLASSICS_117002748_BLK_2.jpg","Ver imagen")</f>
        <v/>
      </c>
      <c r="P1261">
        <f>HYPERLINK("imagenes/NAUTICA_CLASSICS_117002748_BLK_3.jpg","Ver imagen")</f>
        <v/>
      </c>
    </row>
    <row r="1262">
      <c r="A1262" t="inlineStr">
        <is>
          <t>NAUTICA CLASSICS</t>
        </is>
      </c>
      <c r="B1262" t="inlineStr">
        <is>
          <t>117002748</t>
        </is>
      </c>
      <c r="C1262" t="inlineStr">
        <is>
          <t>STRETCH PUFFER</t>
        </is>
      </c>
      <c r="D1262" t="inlineStr">
        <is>
          <t>BLK</t>
        </is>
      </c>
      <c r="E1262" t="inlineStr">
        <is>
          <t>(en blanco)</t>
        </is>
      </c>
      <c r="F1262" t="inlineStr">
        <is>
          <t>(en blanco)</t>
        </is>
      </c>
      <c r="G1262" t="inlineStr">
        <is>
          <t>S</t>
        </is>
      </c>
      <c r="H1262" t="n">
        <v>130</v>
      </c>
      <c r="I1262" t="inlineStr">
        <is>
          <t>NAUTICA_CLASSICS_117002748_BLK_2.jpg</t>
        </is>
      </c>
      <c r="J1262" t="inlineStr">
        <is>
          <t>NAUTICA_CLASSICS_117002748_BLK_3.jpg</t>
        </is>
      </c>
      <c r="L1262">
        <f>IMAGE("file:///E:/Estudios%20y%20certificaciones/ESTUDIOS%20DE%20PROGRAMMING/PROGRAMMING/PERSONAL/PYTHON/Image_Generator_API/imagenes/NAUTICA_CLASSICS_117002748_BLK_2.jpg")</f>
        <v/>
      </c>
      <c r="M1262">
        <f>IMAGE("file:///E:/Estudios%20y%20certificaciones/ESTUDIOS%20DE%20PROGRAMMING/PROGRAMMING/PERSONAL/PYTHON/Image_Generator_API/imagenes/NAUTICA_CLASSICS_117002748_BLK_3.jpg")</f>
        <v/>
      </c>
      <c r="O1262">
        <f>HYPERLINK("imagenes/NAUTICA_CLASSICS_117002748_BLK_2.jpg","Ver imagen")</f>
        <v/>
      </c>
      <c r="P1262">
        <f>HYPERLINK("imagenes/NAUTICA_CLASSICS_117002748_BLK_3.jpg","Ver imagen")</f>
        <v/>
      </c>
    </row>
    <row r="1263">
      <c r="A1263" t="inlineStr">
        <is>
          <t>NAUTICA CLASSICS</t>
        </is>
      </c>
      <c r="B1263" t="inlineStr">
        <is>
          <t>117002748</t>
        </is>
      </c>
      <c r="C1263" t="inlineStr">
        <is>
          <t>STRETCH PUFFER</t>
        </is>
      </c>
      <c r="D1263" t="inlineStr">
        <is>
          <t>BLK</t>
        </is>
      </c>
      <c r="E1263" t="inlineStr">
        <is>
          <t>(en blanco)</t>
        </is>
      </c>
      <c r="F1263" t="inlineStr">
        <is>
          <t>(en blanco)</t>
        </is>
      </c>
      <c r="G1263" t="inlineStr">
        <is>
          <t>M</t>
        </is>
      </c>
      <c r="H1263" t="n">
        <v>70</v>
      </c>
      <c r="I1263" t="inlineStr">
        <is>
          <t>NAUTICA_CLASSICS_117002748_BLK_2.jpg</t>
        </is>
      </c>
      <c r="J1263" t="inlineStr">
        <is>
          <t>NAUTICA_CLASSICS_117002748_BLK_3.jpg</t>
        </is>
      </c>
      <c r="L1263">
        <f>IMAGE("file:///E:/Estudios%20y%20certificaciones/ESTUDIOS%20DE%20PROGRAMMING/PROGRAMMING/PERSONAL/PYTHON/Image_Generator_API/imagenes/NAUTICA_CLASSICS_117002748_BLK_2.jpg")</f>
        <v/>
      </c>
      <c r="M1263">
        <f>IMAGE("file:///E:/Estudios%20y%20certificaciones/ESTUDIOS%20DE%20PROGRAMMING/PROGRAMMING/PERSONAL/PYTHON/Image_Generator_API/imagenes/NAUTICA_CLASSICS_117002748_BLK_3.jpg")</f>
        <v/>
      </c>
      <c r="O1263">
        <f>HYPERLINK("imagenes/NAUTICA_CLASSICS_117002748_BLK_2.jpg","Ver imagen")</f>
        <v/>
      </c>
      <c r="P1263">
        <f>HYPERLINK("imagenes/NAUTICA_CLASSICS_117002748_BLK_3.jpg","Ver imagen")</f>
        <v/>
      </c>
    </row>
    <row r="1264">
      <c r="A1264" t="inlineStr">
        <is>
          <t>NAUTICA CLASSICS</t>
        </is>
      </c>
      <c r="B1264" t="inlineStr">
        <is>
          <t>117002748</t>
        </is>
      </c>
      <c r="C1264" t="inlineStr">
        <is>
          <t>STRETCH PUFFER</t>
        </is>
      </c>
      <c r="D1264" t="inlineStr">
        <is>
          <t>BLK</t>
        </is>
      </c>
      <c r="E1264" t="inlineStr">
        <is>
          <t>(en blanco)</t>
        </is>
      </c>
      <c r="F1264" t="inlineStr">
        <is>
          <t>(en blanco)</t>
        </is>
      </c>
      <c r="G1264" t="inlineStr">
        <is>
          <t>L</t>
        </is>
      </c>
      <c r="H1264" t="n">
        <v>60</v>
      </c>
      <c r="I1264" t="inlineStr">
        <is>
          <t>NAUTICA_CLASSICS_117002748_BLK_2.jpg</t>
        </is>
      </c>
      <c r="J1264" t="inlineStr">
        <is>
          <t>NAUTICA_CLASSICS_117002748_BLK_3.jpg</t>
        </is>
      </c>
      <c r="L1264">
        <f>IMAGE("file:///E:/Estudios%20y%20certificaciones/ESTUDIOS%20DE%20PROGRAMMING/PROGRAMMING/PERSONAL/PYTHON/Image_Generator_API/imagenes/NAUTICA_CLASSICS_117002748_BLK_2.jpg")</f>
        <v/>
      </c>
      <c r="M1264">
        <f>IMAGE("file:///E:/Estudios%20y%20certificaciones/ESTUDIOS%20DE%20PROGRAMMING/PROGRAMMING/PERSONAL/PYTHON/Image_Generator_API/imagenes/NAUTICA_CLASSICS_117002748_BLK_3.jpg")</f>
        <v/>
      </c>
      <c r="O1264">
        <f>HYPERLINK("imagenes/NAUTICA_CLASSICS_117002748_BLK_2.jpg","Ver imagen")</f>
        <v/>
      </c>
      <c r="P1264">
        <f>HYPERLINK("imagenes/NAUTICA_CLASSICS_117002748_BLK_3.jpg","Ver imagen")</f>
        <v/>
      </c>
    </row>
    <row r="1265">
      <c r="A1265" t="inlineStr">
        <is>
          <t>NAUTICA CLASSICS</t>
        </is>
      </c>
      <c r="B1265" t="inlineStr">
        <is>
          <t>117002748</t>
        </is>
      </c>
      <c r="C1265" t="inlineStr">
        <is>
          <t>STRETCH PUFFER</t>
        </is>
      </c>
      <c r="D1265" t="inlineStr">
        <is>
          <t>NAR</t>
        </is>
      </c>
      <c r="E1265" t="inlineStr">
        <is>
          <t>08A05</t>
        </is>
      </c>
      <c r="F1265" t="inlineStr">
        <is>
          <t>(en blanco)</t>
        </is>
      </c>
      <c r="G1265" t="inlineStr">
        <is>
          <t>PPK</t>
        </is>
      </c>
      <c r="H1265" t="n">
        <v>1624</v>
      </c>
      <c r="I1265" t="inlineStr">
        <is>
          <t>NAUTICA_CLASSICS_117002748_NAR_1.jpg</t>
        </is>
      </c>
      <c r="J1265" t="inlineStr">
        <is>
          <t>NAUTICA_CLASSICS_117002748_NAR_2.jpg</t>
        </is>
      </c>
      <c r="K1265" t="inlineStr">
        <is>
          <t>NAUTICA_CLASSICS_117002748_NAR_3.jpg</t>
        </is>
      </c>
      <c r="L1265">
        <f>IMAGE("file:///E:/Estudios%20y%20certificaciones/ESTUDIOS%20DE%20PROGRAMMING/PROGRAMMING/PERSONAL/PYTHON/Image_Generator_API/imagenes/NAUTICA_CLASSICS_117002748_NAR_1.jpg")</f>
        <v/>
      </c>
      <c r="M1265">
        <f>IMAGE("file:///E:/Estudios%20y%20certificaciones/ESTUDIOS%20DE%20PROGRAMMING/PROGRAMMING/PERSONAL/PYTHON/Image_Generator_API/imagenes/NAUTICA_CLASSICS_117002748_NAR_2.jpg")</f>
        <v/>
      </c>
      <c r="N1265">
        <f>IMAGE("file:///E:/Estudios%20y%20certificaciones/ESTUDIOS%20DE%20PROGRAMMING/PROGRAMMING/PERSONAL/PYTHON/Image_Generator_API/imagenes/NAUTICA_CLASSICS_117002748_NAR_3.jpg")</f>
        <v/>
      </c>
      <c r="O1265">
        <f>HYPERLINK("imagenes/NAUTICA_CLASSICS_117002748_NAR_1.jpg","Ver imagen")</f>
        <v/>
      </c>
      <c r="P1265">
        <f>HYPERLINK("imagenes/NAUTICA_CLASSICS_117002748_NAR_2.jpg","Ver imagen")</f>
        <v/>
      </c>
      <c r="Q1265">
        <f>HYPERLINK("imagenes/NAUTICA_CLASSICS_117002748_NAR_3.jpg","Ver imagen")</f>
        <v/>
      </c>
    </row>
    <row r="1266">
      <c r="A1266" t="inlineStr">
        <is>
          <t>NAUTICA CLASSICS</t>
        </is>
      </c>
      <c r="B1266" t="inlineStr">
        <is>
          <t>117002748</t>
        </is>
      </c>
      <c r="C1266" t="inlineStr">
        <is>
          <t>STRETCH PUFFER</t>
        </is>
      </c>
      <c r="D1266" t="inlineStr">
        <is>
          <t>NAR</t>
        </is>
      </c>
      <c r="E1266" t="inlineStr">
        <is>
          <t>(en blanco)</t>
        </is>
      </c>
      <c r="F1266" t="inlineStr">
        <is>
          <t>D2C</t>
        </is>
      </c>
      <c r="G1266" t="inlineStr">
        <is>
          <t>XS</t>
        </is>
      </c>
      <c r="H1266" t="n">
        <v>49</v>
      </c>
      <c r="I1266" t="inlineStr">
        <is>
          <t>NAUTICA_CLASSICS_117002748_NAR_1.jpg</t>
        </is>
      </c>
      <c r="J1266" t="inlineStr">
        <is>
          <t>NAUTICA_CLASSICS_117002748_NAR_2.jpg</t>
        </is>
      </c>
      <c r="K1266" t="inlineStr">
        <is>
          <t>NAUTICA_CLASSICS_117002748_NAR_3.jpg</t>
        </is>
      </c>
      <c r="L1266">
        <f>IMAGE("file:///E:/Estudios%20y%20certificaciones/ESTUDIOS%20DE%20PROGRAMMING/PROGRAMMING/PERSONAL/PYTHON/Image_Generator_API/imagenes/NAUTICA_CLASSICS_117002748_NAR_1.jpg")</f>
        <v/>
      </c>
      <c r="M1266">
        <f>IMAGE("file:///E:/Estudios%20y%20certificaciones/ESTUDIOS%20DE%20PROGRAMMING/PROGRAMMING/PERSONAL/PYTHON/Image_Generator_API/imagenes/NAUTICA_CLASSICS_117002748_NAR_2.jpg")</f>
        <v/>
      </c>
      <c r="N1266">
        <f>IMAGE("file:///E:/Estudios%20y%20certificaciones/ESTUDIOS%20DE%20PROGRAMMING/PROGRAMMING/PERSONAL/PYTHON/Image_Generator_API/imagenes/NAUTICA_CLASSICS_117002748_NAR_3.jpg")</f>
        <v/>
      </c>
      <c r="O1266">
        <f>HYPERLINK("imagenes/NAUTICA_CLASSICS_117002748_NAR_1.jpg","Ver imagen")</f>
        <v/>
      </c>
      <c r="P1266">
        <f>HYPERLINK("imagenes/NAUTICA_CLASSICS_117002748_NAR_2.jpg","Ver imagen")</f>
        <v/>
      </c>
      <c r="Q1266">
        <f>HYPERLINK("imagenes/NAUTICA_CLASSICS_117002748_NAR_3.jpg","Ver imagen")</f>
        <v/>
      </c>
    </row>
    <row r="1267">
      <c r="A1267" t="inlineStr">
        <is>
          <t>NAUTICA CLASSICS</t>
        </is>
      </c>
      <c r="B1267" t="inlineStr">
        <is>
          <t>117002748</t>
        </is>
      </c>
      <c r="C1267" t="inlineStr">
        <is>
          <t>STRETCH PUFFER</t>
        </is>
      </c>
      <c r="D1267" t="inlineStr">
        <is>
          <t>NAR</t>
        </is>
      </c>
      <c r="E1267" t="inlineStr">
        <is>
          <t>(en blanco)</t>
        </is>
      </c>
      <c r="F1267" t="inlineStr">
        <is>
          <t>D2C</t>
        </is>
      </c>
      <c r="G1267" t="inlineStr">
        <is>
          <t>S</t>
        </is>
      </c>
      <c r="H1267" t="n">
        <v>80</v>
      </c>
      <c r="I1267" t="inlineStr">
        <is>
          <t>NAUTICA_CLASSICS_117002748_NAR_1.jpg</t>
        </is>
      </c>
      <c r="J1267" t="inlineStr">
        <is>
          <t>NAUTICA_CLASSICS_117002748_NAR_2.jpg</t>
        </is>
      </c>
      <c r="K1267" t="inlineStr">
        <is>
          <t>NAUTICA_CLASSICS_117002748_NAR_3.jpg</t>
        </is>
      </c>
      <c r="L1267">
        <f>IMAGE("file:///E:/Estudios%20y%20certificaciones/ESTUDIOS%20DE%20PROGRAMMING/PROGRAMMING/PERSONAL/PYTHON/Image_Generator_API/imagenes/NAUTICA_CLASSICS_117002748_NAR_1.jpg")</f>
        <v/>
      </c>
      <c r="M1267">
        <f>IMAGE("file:///E:/Estudios%20y%20certificaciones/ESTUDIOS%20DE%20PROGRAMMING/PROGRAMMING/PERSONAL/PYTHON/Image_Generator_API/imagenes/NAUTICA_CLASSICS_117002748_NAR_2.jpg")</f>
        <v/>
      </c>
      <c r="N1267">
        <f>IMAGE("file:///E:/Estudios%20y%20certificaciones/ESTUDIOS%20DE%20PROGRAMMING/PROGRAMMING/PERSONAL/PYTHON/Image_Generator_API/imagenes/NAUTICA_CLASSICS_117002748_NAR_3.jpg")</f>
        <v/>
      </c>
      <c r="O1267">
        <f>HYPERLINK("imagenes/NAUTICA_CLASSICS_117002748_NAR_1.jpg","Ver imagen")</f>
        <v/>
      </c>
      <c r="P1267">
        <f>HYPERLINK("imagenes/NAUTICA_CLASSICS_117002748_NAR_2.jpg","Ver imagen")</f>
        <v/>
      </c>
      <c r="Q1267">
        <f>HYPERLINK("imagenes/NAUTICA_CLASSICS_117002748_NAR_3.jpg","Ver imagen")</f>
        <v/>
      </c>
    </row>
    <row r="1268">
      <c r="A1268" t="inlineStr">
        <is>
          <t>NAUTICA CLASSICS</t>
        </is>
      </c>
      <c r="B1268" t="inlineStr">
        <is>
          <t>117002748</t>
        </is>
      </c>
      <c r="C1268" t="inlineStr">
        <is>
          <t>STRETCH PUFFER</t>
        </is>
      </c>
      <c r="D1268" t="inlineStr">
        <is>
          <t>NAR</t>
        </is>
      </c>
      <c r="E1268" t="inlineStr">
        <is>
          <t>(en blanco)</t>
        </is>
      </c>
      <c r="F1268" t="inlineStr">
        <is>
          <t>D2C</t>
        </is>
      </c>
      <c r="G1268" t="inlineStr">
        <is>
          <t>M</t>
        </is>
      </c>
      <c r="H1268" t="n">
        <v>37</v>
      </c>
      <c r="I1268" t="inlineStr">
        <is>
          <t>NAUTICA_CLASSICS_117002748_NAR_1.jpg</t>
        </is>
      </c>
      <c r="J1268" t="inlineStr">
        <is>
          <t>NAUTICA_CLASSICS_117002748_NAR_2.jpg</t>
        </is>
      </c>
      <c r="K1268" t="inlineStr">
        <is>
          <t>NAUTICA_CLASSICS_117002748_NAR_3.jpg</t>
        </is>
      </c>
      <c r="L1268">
        <f>IMAGE("file:///E:/Estudios%20y%20certificaciones/ESTUDIOS%20DE%20PROGRAMMING/PROGRAMMING/PERSONAL/PYTHON/Image_Generator_API/imagenes/NAUTICA_CLASSICS_117002748_NAR_1.jpg")</f>
        <v/>
      </c>
      <c r="M1268">
        <f>IMAGE("file:///E:/Estudios%20y%20certificaciones/ESTUDIOS%20DE%20PROGRAMMING/PROGRAMMING/PERSONAL/PYTHON/Image_Generator_API/imagenes/NAUTICA_CLASSICS_117002748_NAR_2.jpg")</f>
        <v/>
      </c>
      <c r="N1268">
        <f>IMAGE("file:///E:/Estudios%20y%20certificaciones/ESTUDIOS%20DE%20PROGRAMMING/PROGRAMMING/PERSONAL/PYTHON/Image_Generator_API/imagenes/NAUTICA_CLASSICS_117002748_NAR_3.jpg")</f>
        <v/>
      </c>
      <c r="O1268">
        <f>HYPERLINK("imagenes/NAUTICA_CLASSICS_117002748_NAR_1.jpg","Ver imagen")</f>
        <v/>
      </c>
      <c r="P1268">
        <f>HYPERLINK("imagenes/NAUTICA_CLASSICS_117002748_NAR_2.jpg","Ver imagen")</f>
        <v/>
      </c>
      <c r="Q1268">
        <f>HYPERLINK("imagenes/NAUTICA_CLASSICS_117002748_NAR_3.jpg","Ver imagen")</f>
        <v/>
      </c>
    </row>
    <row r="1269">
      <c r="A1269" t="inlineStr">
        <is>
          <t>NAUTICA CLASSICS</t>
        </is>
      </c>
      <c r="B1269" t="inlineStr">
        <is>
          <t>117002748</t>
        </is>
      </c>
      <c r="C1269" t="inlineStr">
        <is>
          <t>STRETCH PUFFER</t>
        </is>
      </c>
      <c r="D1269" t="inlineStr">
        <is>
          <t>NAR</t>
        </is>
      </c>
      <c r="E1269" t="inlineStr">
        <is>
          <t>(en blanco)</t>
        </is>
      </c>
      <c r="F1269" t="inlineStr">
        <is>
          <t>D2C</t>
        </is>
      </c>
      <c r="G1269" t="inlineStr">
        <is>
          <t>L</t>
        </is>
      </c>
      <c r="H1269" t="n">
        <v>37</v>
      </c>
      <c r="I1269" t="inlineStr">
        <is>
          <t>NAUTICA_CLASSICS_117002748_NAR_1.jpg</t>
        </is>
      </c>
      <c r="J1269" t="inlineStr">
        <is>
          <t>NAUTICA_CLASSICS_117002748_NAR_2.jpg</t>
        </is>
      </c>
      <c r="K1269" t="inlineStr">
        <is>
          <t>NAUTICA_CLASSICS_117002748_NAR_3.jpg</t>
        </is>
      </c>
      <c r="L1269">
        <f>IMAGE("file:///E:/Estudios%20y%20certificaciones/ESTUDIOS%20DE%20PROGRAMMING/PROGRAMMING/PERSONAL/PYTHON/Image_Generator_API/imagenes/NAUTICA_CLASSICS_117002748_NAR_1.jpg")</f>
        <v/>
      </c>
      <c r="M1269">
        <f>IMAGE("file:///E:/Estudios%20y%20certificaciones/ESTUDIOS%20DE%20PROGRAMMING/PROGRAMMING/PERSONAL/PYTHON/Image_Generator_API/imagenes/NAUTICA_CLASSICS_117002748_NAR_2.jpg")</f>
        <v/>
      </c>
      <c r="N1269">
        <f>IMAGE("file:///E:/Estudios%20y%20certificaciones/ESTUDIOS%20DE%20PROGRAMMING/PROGRAMMING/PERSONAL/PYTHON/Image_Generator_API/imagenes/NAUTICA_CLASSICS_117002748_NAR_3.jpg")</f>
        <v/>
      </c>
      <c r="O1269">
        <f>HYPERLINK("imagenes/NAUTICA_CLASSICS_117002748_NAR_1.jpg","Ver imagen")</f>
        <v/>
      </c>
      <c r="P1269">
        <f>HYPERLINK("imagenes/NAUTICA_CLASSICS_117002748_NAR_2.jpg","Ver imagen")</f>
        <v/>
      </c>
      <c r="Q1269">
        <f>HYPERLINK("imagenes/NAUTICA_CLASSICS_117002748_NAR_3.jpg","Ver imagen")</f>
        <v/>
      </c>
    </row>
    <row r="1270">
      <c r="A1270" t="inlineStr">
        <is>
          <t>NAUTICA CLASSICS</t>
        </is>
      </c>
      <c r="B1270" t="inlineStr">
        <is>
          <t>117002748</t>
        </is>
      </c>
      <c r="C1270" t="inlineStr">
        <is>
          <t>STRETCH PUFFER</t>
        </is>
      </c>
      <c r="D1270" t="inlineStr">
        <is>
          <t>NAR</t>
        </is>
      </c>
      <c r="E1270" t="inlineStr">
        <is>
          <t>(en blanco)</t>
        </is>
      </c>
      <c r="F1270" t="inlineStr">
        <is>
          <t>(en blanco)</t>
        </is>
      </c>
      <c r="G1270" t="inlineStr">
        <is>
          <t>XS</t>
        </is>
      </c>
      <c r="H1270" t="n">
        <v>31</v>
      </c>
      <c r="I1270" t="inlineStr">
        <is>
          <t>NAUTICA_CLASSICS_117002748_NAR_1.jpg</t>
        </is>
      </c>
      <c r="J1270" t="inlineStr">
        <is>
          <t>NAUTICA_CLASSICS_117002748_NAR_2.jpg</t>
        </is>
      </c>
      <c r="K1270" t="inlineStr">
        <is>
          <t>NAUTICA_CLASSICS_117002748_NAR_3.jpg</t>
        </is>
      </c>
      <c r="L1270">
        <f>IMAGE("file:///E:/Estudios%20y%20certificaciones/ESTUDIOS%20DE%20PROGRAMMING/PROGRAMMING/PERSONAL/PYTHON/Image_Generator_API/imagenes/NAUTICA_CLASSICS_117002748_NAR_1.jpg")</f>
        <v/>
      </c>
      <c r="M1270">
        <f>IMAGE("file:///E:/Estudios%20y%20certificaciones/ESTUDIOS%20DE%20PROGRAMMING/PROGRAMMING/PERSONAL/PYTHON/Image_Generator_API/imagenes/NAUTICA_CLASSICS_117002748_NAR_2.jpg")</f>
        <v/>
      </c>
      <c r="N1270">
        <f>IMAGE("file:///E:/Estudios%20y%20certificaciones/ESTUDIOS%20DE%20PROGRAMMING/PROGRAMMING/PERSONAL/PYTHON/Image_Generator_API/imagenes/NAUTICA_CLASSICS_117002748_NAR_3.jpg")</f>
        <v/>
      </c>
      <c r="O1270">
        <f>HYPERLINK("imagenes/NAUTICA_CLASSICS_117002748_NAR_1.jpg","Ver imagen")</f>
        <v/>
      </c>
      <c r="P1270">
        <f>HYPERLINK("imagenes/NAUTICA_CLASSICS_117002748_NAR_2.jpg","Ver imagen")</f>
        <v/>
      </c>
      <c r="Q1270">
        <f>HYPERLINK("imagenes/NAUTICA_CLASSICS_117002748_NAR_3.jpg","Ver imagen")</f>
        <v/>
      </c>
    </row>
    <row r="1271">
      <c r="A1271" t="inlineStr">
        <is>
          <t>NAUTICA CLASSICS</t>
        </is>
      </c>
      <c r="B1271" t="inlineStr">
        <is>
          <t>117002748</t>
        </is>
      </c>
      <c r="C1271" t="inlineStr">
        <is>
          <t>STRETCH PUFFER</t>
        </is>
      </c>
      <c r="D1271" t="inlineStr">
        <is>
          <t>NAR</t>
        </is>
      </c>
      <c r="E1271" t="inlineStr">
        <is>
          <t>(en blanco)</t>
        </is>
      </c>
      <c r="F1271" t="inlineStr">
        <is>
          <t>(en blanco)</t>
        </is>
      </c>
      <c r="G1271" t="inlineStr">
        <is>
          <t>S</t>
        </is>
      </c>
      <c r="H1271" t="n">
        <v>27</v>
      </c>
      <c r="I1271" t="inlineStr">
        <is>
          <t>NAUTICA_CLASSICS_117002748_NAR_1.jpg</t>
        </is>
      </c>
      <c r="J1271" t="inlineStr">
        <is>
          <t>NAUTICA_CLASSICS_117002748_NAR_2.jpg</t>
        </is>
      </c>
      <c r="K1271" t="inlineStr">
        <is>
          <t>NAUTICA_CLASSICS_117002748_NAR_3.jpg</t>
        </is>
      </c>
      <c r="L1271">
        <f>IMAGE("file:///E:/Estudios%20y%20certificaciones/ESTUDIOS%20DE%20PROGRAMMING/PROGRAMMING/PERSONAL/PYTHON/Image_Generator_API/imagenes/NAUTICA_CLASSICS_117002748_NAR_1.jpg")</f>
        <v/>
      </c>
      <c r="M1271">
        <f>IMAGE("file:///E:/Estudios%20y%20certificaciones/ESTUDIOS%20DE%20PROGRAMMING/PROGRAMMING/PERSONAL/PYTHON/Image_Generator_API/imagenes/NAUTICA_CLASSICS_117002748_NAR_2.jpg")</f>
        <v/>
      </c>
      <c r="N1271">
        <f>IMAGE("file:///E:/Estudios%20y%20certificaciones/ESTUDIOS%20DE%20PROGRAMMING/PROGRAMMING/PERSONAL/PYTHON/Image_Generator_API/imagenes/NAUTICA_CLASSICS_117002748_NAR_3.jpg")</f>
        <v/>
      </c>
      <c r="O1271">
        <f>HYPERLINK("imagenes/NAUTICA_CLASSICS_117002748_NAR_1.jpg","Ver imagen")</f>
        <v/>
      </c>
      <c r="P1271">
        <f>HYPERLINK("imagenes/NAUTICA_CLASSICS_117002748_NAR_2.jpg","Ver imagen")</f>
        <v/>
      </c>
      <c r="Q1271">
        <f>HYPERLINK("imagenes/NAUTICA_CLASSICS_117002748_NAR_3.jpg","Ver imagen")</f>
        <v/>
      </c>
    </row>
    <row r="1272">
      <c r="A1272" t="inlineStr">
        <is>
          <t>NAUTICA CLASSICS</t>
        </is>
      </c>
      <c r="B1272" t="inlineStr">
        <is>
          <t>117002748</t>
        </is>
      </c>
      <c r="C1272" t="inlineStr">
        <is>
          <t>STRETCH PUFFER</t>
        </is>
      </c>
      <c r="D1272" t="inlineStr">
        <is>
          <t>NAR</t>
        </is>
      </c>
      <c r="E1272" t="inlineStr">
        <is>
          <t>(en blanco)</t>
        </is>
      </c>
      <c r="F1272" t="inlineStr">
        <is>
          <t>(en blanco)</t>
        </is>
      </c>
      <c r="G1272" t="inlineStr">
        <is>
          <t>M</t>
        </is>
      </c>
      <c r="H1272" t="n">
        <v>14</v>
      </c>
      <c r="I1272" t="inlineStr">
        <is>
          <t>NAUTICA_CLASSICS_117002748_NAR_1.jpg</t>
        </is>
      </c>
      <c r="J1272" t="inlineStr">
        <is>
          <t>NAUTICA_CLASSICS_117002748_NAR_2.jpg</t>
        </is>
      </c>
      <c r="K1272" t="inlineStr">
        <is>
          <t>NAUTICA_CLASSICS_117002748_NAR_3.jpg</t>
        </is>
      </c>
      <c r="L1272">
        <f>IMAGE("file:///E:/Estudios%20y%20certificaciones/ESTUDIOS%20DE%20PROGRAMMING/PROGRAMMING/PERSONAL/PYTHON/Image_Generator_API/imagenes/NAUTICA_CLASSICS_117002748_NAR_1.jpg")</f>
        <v/>
      </c>
      <c r="M1272">
        <f>IMAGE("file:///E:/Estudios%20y%20certificaciones/ESTUDIOS%20DE%20PROGRAMMING/PROGRAMMING/PERSONAL/PYTHON/Image_Generator_API/imagenes/NAUTICA_CLASSICS_117002748_NAR_2.jpg")</f>
        <v/>
      </c>
      <c r="N1272">
        <f>IMAGE("file:///E:/Estudios%20y%20certificaciones/ESTUDIOS%20DE%20PROGRAMMING/PROGRAMMING/PERSONAL/PYTHON/Image_Generator_API/imagenes/NAUTICA_CLASSICS_117002748_NAR_3.jpg")</f>
        <v/>
      </c>
      <c r="O1272">
        <f>HYPERLINK("imagenes/NAUTICA_CLASSICS_117002748_NAR_1.jpg","Ver imagen")</f>
        <v/>
      </c>
      <c r="P1272">
        <f>HYPERLINK("imagenes/NAUTICA_CLASSICS_117002748_NAR_2.jpg","Ver imagen")</f>
        <v/>
      </c>
      <c r="Q1272">
        <f>HYPERLINK("imagenes/NAUTICA_CLASSICS_117002748_NAR_3.jpg","Ver imagen")</f>
        <v/>
      </c>
    </row>
    <row r="1273">
      <c r="A1273" t="inlineStr">
        <is>
          <t>NAUTICA CLASSICS</t>
        </is>
      </c>
      <c r="B1273" t="inlineStr">
        <is>
          <t>117002748</t>
        </is>
      </c>
      <c r="C1273" t="inlineStr">
        <is>
          <t>STRETCH PUFFER</t>
        </is>
      </c>
      <c r="D1273" t="inlineStr">
        <is>
          <t>NAR</t>
        </is>
      </c>
      <c r="E1273" t="inlineStr">
        <is>
          <t>(en blanco)</t>
        </is>
      </c>
      <c r="F1273" t="inlineStr">
        <is>
          <t>(en blanco)</t>
        </is>
      </c>
      <c r="G1273" t="inlineStr">
        <is>
          <t>L</t>
        </is>
      </c>
      <c r="H1273" t="n">
        <v>17</v>
      </c>
      <c r="I1273" t="inlineStr">
        <is>
          <t>NAUTICA_CLASSICS_117002748_NAR_1.jpg</t>
        </is>
      </c>
      <c r="J1273" t="inlineStr">
        <is>
          <t>NAUTICA_CLASSICS_117002748_NAR_2.jpg</t>
        </is>
      </c>
      <c r="K1273" t="inlineStr">
        <is>
          <t>NAUTICA_CLASSICS_117002748_NAR_3.jpg</t>
        </is>
      </c>
      <c r="L1273">
        <f>IMAGE("file:///E:/Estudios%20y%20certificaciones/ESTUDIOS%20DE%20PROGRAMMING/PROGRAMMING/PERSONAL/PYTHON/Image_Generator_API/imagenes/NAUTICA_CLASSICS_117002748_NAR_1.jpg")</f>
        <v/>
      </c>
      <c r="M1273">
        <f>IMAGE("file:///E:/Estudios%20y%20certificaciones/ESTUDIOS%20DE%20PROGRAMMING/PROGRAMMING/PERSONAL/PYTHON/Image_Generator_API/imagenes/NAUTICA_CLASSICS_117002748_NAR_2.jpg")</f>
        <v/>
      </c>
      <c r="N1273">
        <f>IMAGE("file:///E:/Estudios%20y%20certificaciones/ESTUDIOS%20DE%20PROGRAMMING/PROGRAMMING/PERSONAL/PYTHON/Image_Generator_API/imagenes/NAUTICA_CLASSICS_117002748_NAR_3.jpg")</f>
        <v/>
      </c>
      <c r="O1273">
        <f>HYPERLINK("imagenes/NAUTICA_CLASSICS_117002748_NAR_1.jpg","Ver imagen")</f>
        <v/>
      </c>
      <c r="P1273">
        <f>HYPERLINK("imagenes/NAUTICA_CLASSICS_117002748_NAR_2.jpg","Ver imagen")</f>
        <v/>
      </c>
      <c r="Q1273">
        <f>HYPERLINK("imagenes/NAUTICA_CLASSICS_117002748_NAR_3.jpg","Ver imagen")</f>
        <v/>
      </c>
    </row>
    <row r="1274">
      <c r="A1274" t="inlineStr">
        <is>
          <t>NAUTICA CLASSICS</t>
        </is>
      </c>
      <c r="B1274" t="inlineStr">
        <is>
          <t>117003388M</t>
        </is>
      </c>
      <c r="C1274" t="inlineStr">
        <is>
          <t>VAPOR RAIN JKT WITH HOOD</t>
        </is>
      </c>
      <c r="D1274" t="inlineStr">
        <is>
          <t>BLK</t>
        </is>
      </c>
      <c r="E1274" t="inlineStr">
        <is>
          <t>(en blanco)</t>
        </is>
      </c>
      <c r="F1274" t="inlineStr">
        <is>
          <t>(en blanco)</t>
        </is>
      </c>
      <c r="G1274" t="inlineStr">
        <is>
          <t>XS</t>
        </is>
      </c>
      <c r="H1274" t="n">
        <v>17</v>
      </c>
      <c r="I1274" t="inlineStr">
        <is>
          <t>NAUTICA_CLASSICS_117003388M_BLK_1.jpg</t>
        </is>
      </c>
      <c r="J1274" t="inlineStr">
        <is>
          <t>NAUTICA_CLASSICS_117003388M_BLK_2.jpg</t>
        </is>
      </c>
      <c r="K1274" t="inlineStr">
        <is>
          <t>NAUTICA_CLASSICS_117003388M_BLK_3.jpg</t>
        </is>
      </c>
      <c r="L1274">
        <f>IMAGE("file:///E:/Estudios%20y%20certificaciones/ESTUDIOS%20DE%20PROGRAMMING/PROGRAMMING/PERSONAL/PYTHON/Image_Generator_API/imagenes/NAUTICA_CLASSICS_117003388M_BLK_1.jpg")</f>
        <v/>
      </c>
      <c r="M1274">
        <f>IMAGE("file:///E:/Estudios%20y%20certificaciones/ESTUDIOS%20DE%20PROGRAMMING/PROGRAMMING/PERSONAL/PYTHON/Image_Generator_API/imagenes/NAUTICA_CLASSICS_117003388M_BLK_2.jpg")</f>
        <v/>
      </c>
      <c r="N1274">
        <f>IMAGE("file:///E:/Estudios%20y%20certificaciones/ESTUDIOS%20DE%20PROGRAMMING/PROGRAMMING/PERSONAL/PYTHON/Image_Generator_API/imagenes/NAUTICA_CLASSICS_117003388M_BLK_3.jpg")</f>
        <v/>
      </c>
      <c r="O1274">
        <f>HYPERLINK("imagenes/NAUTICA_CLASSICS_117003388M_BLK_1.jpg","Ver imagen")</f>
        <v/>
      </c>
      <c r="P1274">
        <f>HYPERLINK("imagenes/NAUTICA_CLASSICS_117003388M_BLK_2.jpg","Ver imagen")</f>
        <v/>
      </c>
      <c r="Q1274">
        <f>HYPERLINK("imagenes/NAUTICA_CLASSICS_117003388M_BLK_3.jpg","Ver imagen")</f>
        <v/>
      </c>
    </row>
    <row r="1275">
      <c r="A1275" t="inlineStr">
        <is>
          <t>NAUTICA CLASSICS</t>
        </is>
      </c>
      <c r="B1275" t="inlineStr">
        <is>
          <t>117003388M</t>
        </is>
      </c>
      <c r="C1275" t="inlineStr">
        <is>
          <t>VAPOR RAIN JKT WITH HOOD</t>
        </is>
      </c>
      <c r="D1275" t="inlineStr">
        <is>
          <t>BLK</t>
        </is>
      </c>
      <c r="E1275" t="inlineStr">
        <is>
          <t>(en blanco)</t>
        </is>
      </c>
      <c r="F1275" t="inlineStr">
        <is>
          <t>(en blanco)</t>
        </is>
      </c>
      <c r="G1275" t="inlineStr">
        <is>
          <t>S</t>
        </is>
      </c>
      <c r="H1275" t="n">
        <v>13</v>
      </c>
      <c r="I1275" t="inlineStr">
        <is>
          <t>NAUTICA_CLASSICS_117003388M_BLK_1.jpg</t>
        </is>
      </c>
      <c r="J1275" t="inlineStr">
        <is>
          <t>NAUTICA_CLASSICS_117003388M_BLK_2.jpg</t>
        </is>
      </c>
      <c r="K1275" t="inlineStr">
        <is>
          <t>NAUTICA_CLASSICS_117003388M_BLK_3.jpg</t>
        </is>
      </c>
      <c r="L1275">
        <f>IMAGE("file:///E:/Estudios%20y%20certificaciones/ESTUDIOS%20DE%20PROGRAMMING/PROGRAMMING/PERSONAL/PYTHON/Image_Generator_API/imagenes/NAUTICA_CLASSICS_117003388M_BLK_1.jpg")</f>
        <v/>
      </c>
      <c r="M1275">
        <f>IMAGE("file:///E:/Estudios%20y%20certificaciones/ESTUDIOS%20DE%20PROGRAMMING/PROGRAMMING/PERSONAL/PYTHON/Image_Generator_API/imagenes/NAUTICA_CLASSICS_117003388M_BLK_2.jpg")</f>
        <v/>
      </c>
      <c r="N1275">
        <f>IMAGE("file:///E:/Estudios%20y%20certificaciones/ESTUDIOS%20DE%20PROGRAMMING/PROGRAMMING/PERSONAL/PYTHON/Image_Generator_API/imagenes/NAUTICA_CLASSICS_117003388M_BLK_3.jpg")</f>
        <v/>
      </c>
      <c r="O1275">
        <f>HYPERLINK("imagenes/NAUTICA_CLASSICS_117003388M_BLK_1.jpg","Ver imagen")</f>
        <v/>
      </c>
      <c r="P1275">
        <f>HYPERLINK("imagenes/NAUTICA_CLASSICS_117003388M_BLK_2.jpg","Ver imagen")</f>
        <v/>
      </c>
      <c r="Q1275">
        <f>HYPERLINK("imagenes/NAUTICA_CLASSICS_117003388M_BLK_3.jpg","Ver imagen")</f>
        <v/>
      </c>
    </row>
    <row r="1276">
      <c r="A1276" t="inlineStr">
        <is>
          <t>NAUTICA CLASSICS</t>
        </is>
      </c>
      <c r="B1276" t="inlineStr">
        <is>
          <t>117003388M</t>
        </is>
      </c>
      <c r="C1276" t="inlineStr">
        <is>
          <t>VAPOR RAIN JKT WITH HOOD</t>
        </is>
      </c>
      <c r="D1276" t="inlineStr">
        <is>
          <t>BLU</t>
        </is>
      </c>
      <c r="E1276" t="inlineStr">
        <is>
          <t>(en blanco)</t>
        </is>
      </c>
      <c r="F1276" t="inlineStr">
        <is>
          <t>(en blanco)</t>
        </is>
      </c>
      <c r="G1276" t="inlineStr">
        <is>
          <t>XS</t>
        </is>
      </c>
      <c r="H1276" t="n">
        <v>25</v>
      </c>
      <c r="I1276" t="inlineStr">
        <is>
          <t>NAUTICA_CLASSICS_117003388M_BLU_1.jpg</t>
        </is>
      </c>
      <c r="J1276" t="inlineStr">
        <is>
          <t>NAUTICA_CLASSICS_117003388M_BLU_2.jpg</t>
        </is>
      </c>
      <c r="K1276" t="inlineStr">
        <is>
          <t>NAUTICA_CLASSICS_117003388M_BLU_3.jpg</t>
        </is>
      </c>
      <c r="L1276">
        <f>IMAGE("file:///E:/Estudios%20y%20certificaciones/ESTUDIOS%20DE%20PROGRAMMING/PROGRAMMING/PERSONAL/PYTHON/Image_Generator_API/imagenes/NAUTICA_CLASSICS_117003388M_BLU_1.jpg")</f>
        <v/>
      </c>
      <c r="M1276">
        <f>IMAGE("file:///E:/Estudios%20y%20certificaciones/ESTUDIOS%20DE%20PROGRAMMING/PROGRAMMING/PERSONAL/PYTHON/Image_Generator_API/imagenes/NAUTICA_CLASSICS_117003388M_BLU_2.jpg")</f>
        <v/>
      </c>
      <c r="N1276">
        <f>IMAGE("file:///E:/Estudios%20y%20certificaciones/ESTUDIOS%20DE%20PROGRAMMING/PROGRAMMING/PERSONAL/PYTHON/Image_Generator_API/imagenes/NAUTICA_CLASSICS_117003388M_BLU_3.jpg")</f>
        <v/>
      </c>
      <c r="O1276">
        <f>HYPERLINK("imagenes/NAUTICA_CLASSICS_117003388M_BLU_1.jpg","Ver imagen")</f>
        <v/>
      </c>
      <c r="P1276">
        <f>HYPERLINK("imagenes/NAUTICA_CLASSICS_117003388M_BLU_2.jpg","Ver imagen")</f>
        <v/>
      </c>
      <c r="Q1276">
        <f>HYPERLINK("imagenes/NAUTICA_CLASSICS_117003388M_BLU_3.jpg","Ver imagen")</f>
        <v/>
      </c>
    </row>
    <row r="1277">
      <c r="A1277" t="inlineStr">
        <is>
          <t>NAUTICA CLASSICS</t>
        </is>
      </c>
      <c r="B1277" t="inlineStr">
        <is>
          <t>117003388M</t>
        </is>
      </c>
      <c r="C1277" t="inlineStr">
        <is>
          <t>VAPOR RAIN JKT WITH HOOD</t>
        </is>
      </c>
      <c r="D1277" t="inlineStr">
        <is>
          <t>BLU</t>
        </is>
      </c>
      <c r="E1277" t="inlineStr">
        <is>
          <t>(en blanco)</t>
        </is>
      </c>
      <c r="F1277" t="inlineStr">
        <is>
          <t>(en blanco)</t>
        </is>
      </c>
      <c r="G1277" t="inlineStr">
        <is>
          <t>S</t>
        </is>
      </c>
      <c r="H1277" t="n">
        <v>23</v>
      </c>
      <c r="I1277" t="inlineStr">
        <is>
          <t>NAUTICA_CLASSICS_117003388M_BLU_1.jpg</t>
        </is>
      </c>
      <c r="J1277" t="inlineStr">
        <is>
          <t>NAUTICA_CLASSICS_117003388M_BLU_2.jpg</t>
        </is>
      </c>
      <c r="K1277" t="inlineStr">
        <is>
          <t>NAUTICA_CLASSICS_117003388M_BLU_3.jpg</t>
        </is>
      </c>
      <c r="L1277">
        <f>IMAGE("file:///E:/Estudios%20y%20certificaciones/ESTUDIOS%20DE%20PROGRAMMING/PROGRAMMING/PERSONAL/PYTHON/Image_Generator_API/imagenes/NAUTICA_CLASSICS_117003388M_BLU_1.jpg")</f>
        <v/>
      </c>
      <c r="M1277">
        <f>IMAGE("file:///E:/Estudios%20y%20certificaciones/ESTUDIOS%20DE%20PROGRAMMING/PROGRAMMING/PERSONAL/PYTHON/Image_Generator_API/imagenes/NAUTICA_CLASSICS_117003388M_BLU_2.jpg")</f>
        <v/>
      </c>
      <c r="N1277">
        <f>IMAGE("file:///E:/Estudios%20y%20certificaciones/ESTUDIOS%20DE%20PROGRAMMING/PROGRAMMING/PERSONAL/PYTHON/Image_Generator_API/imagenes/NAUTICA_CLASSICS_117003388M_BLU_3.jpg")</f>
        <v/>
      </c>
      <c r="O1277">
        <f>HYPERLINK("imagenes/NAUTICA_CLASSICS_117003388M_BLU_1.jpg","Ver imagen")</f>
        <v/>
      </c>
      <c r="P1277">
        <f>HYPERLINK("imagenes/NAUTICA_CLASSICS_117003388M_BLU_2.jpg","Ver imagen")</f>
        <v/>
      </c>
      <c r="Q1277">
        <f>HYPERLINK("imagenes/NAUTICA_CLASSICS_117003388M_BLU_3.jpg","Ver imagen")</f>
        <v/>
      </c>
    </row>
    <row r="1278">
      <c r="A1278" t="inlineStr">
        <is>
          <t>NAUTICA CLASSICS</t>
        </is>
      </c>
      <c r="B1278" t="inlineStr">
        <is>
          <t>117003388PT</t>
        </is>
      </c>
      <c r="C1278" t="inlineStr">
        <is>
          <t>VAPOR RAIN JKT WITH HOOD</t>
        </is>
      </c>
      <c r="D1278" t="inlineStr">
        <is>
          <t>BLU</t>
        </is>
      </c>
      <c r="E1278" t="inlineStr">
        <is>
          <t>(en blanco)</t>
        </is>
      </c>
      <c r="F1278" t="inlineStr">
        <is>
          <t>(en blanco)</t>
        </is>
      </c>
      <c r="G1278" t="inlineStr">
        <is>
          <t>LP</t>
        </is>
      </c>
      <c r="H1278" t="n">
        <v>2</v>
      </c>
      <c r="I1278" t="inlineStr">
        <is>
          <t>NAUTICA_CLASSICS_117003388PT_BLU_1.jpg</t>
        </is>
      </c>
      <c r="J1278" t="inlineStr">
        <is>
          <t>NAUTICA_CLASSICS_117003388PT_BLU_2.jpg</t>
        </is>
      </c>
      <c r="K1278" t="inlineStr">
        <is>
          <t>NAUTICA_CLASSICS_117003388PT_BLU_3.jpg</t>
        </is>
      </c>
      <c r="L1278">
        <f>IMAGE("file:///E:/Estudios%20y%20certificaciones/ESTUDIOS%20DE%20PROGRAMMING/PROGRAMMING/PERSONAL/PYTHON/Image_Generator_API/imagenes/NAUTICA_CLASSICS_117003388PT_BLU_1.jpg")</f>
        <v/>
      </c>
      <c r="M1278">
        <f>IMAGE("file:///E:/Estudios%20y%20certificaciones/ESTUDIOS%20DE%20PROGRAMMING/PROGRAMMING/PERSONAL/PYTHON/Image_Generator_API/imagenes/NAUTICA_CLASSICS_117003388PT_BLU_2.jpg")</f>
        <v/>
      </c>
      <c r="N1278">
        <f>IMAGE("file:///E:/Estudios%20y%20certificaciones/ESTUDIOS%20DE%20PROGRAMMING/PROGRAMMING/PERSONAL/PYTHON/Image_Generator_API/imagenes/NAUTICA_CLASSICS_117003388PT_BLU_3.jpg")</f>
        <v/>
      </c>
      <c r="O1278">
        <f>HYPERLINK("imagenes/NAUTICA_CLASSICS_117003388PT_BLU_1.jpg","Ver imagen")</f>
        <v/>
      </c>
      <c r="P1278">
        <f>HYPERLINK("imagenes/NAUTICA_CLASSICS_117003388PT_BLU_2.jpg","Ver imagen")</f>
        <v/>
      </c>
      <c r="Q1278">
        <f>HYPERLINK("imagenes/NAUTICA_CLASSICS_117003388PT_BLU_3.jpg","Ver imagen")</f>
        <v/>
      </c>
    </row>
    <row r="1279">
      <c r="A1279" t="inlineStr">
        <is>
          <t>NAUTICA CLASSICS</t>
        </is>
      </c>
      <c r="B1279" t="inlineStr">
        <is>
          <t>117003388PT</t>
        </is>
      </c>
      <c r="C1279" t="inlineStr">
        <is>
          <t>VAPOR RAIN JKT WITH HOOD</t>
        </is>
      </c>
      <c r="D1279" t="inlineStr">
        <is>
          <t>BLU</t>
        </is>
      </c>
      <c r="E1279" t="inlineStr">
        <is>
          <t>(en blanco)</t>
        </is>
      </c>
      <c r="F1279" t="inlineStr">
        <is>
          <t>(en blanco)</t>
        </is>
      </c>
      <c r="G1279" t="inlineStr">
        <is>
          <t>MP</t>
        </is>
      </c>
      <c r="H1279" t="n">
        <v>8</v>
      </c>
      <c r="I1279" t="inlineStr">
        <is>
          <t>NAUTICA_CLASSICS_117003388PT_BLU_1.jpg</t>
        </is>
      </c>
      <c r="J1279" t="inlineStr">
        <is>
          <t>NAUTICA_CLASSICS_117003388PT_BLU_2.jpg</t>
        </is>
      </c>
      <c r="K1279" t="inlineStr">
        <is>
          <t>NAUTICA_CLASSICS_117003388PT_BLU_3.jpg</t>
        </is>
      </c>
      <c r="L1279">
        <f>IMAGE("file:///E:/Estudios%20y%20certificaciones/ESTUDIOS%20DE%20PROGRAMMING/PROGRAMMING/PERSONAL/PYTHON/Image_Generator_API/imagenes/NAUTICA_CLASSICS_117003388PT_BLU_1.jpg")</f>
        <v/>
      </c>
      <c r="M1279">
        <f>IMAGE("file:///E:/Estudios%20y%20certificaciones/ESTUDIOS%20DE%20PROGRAMMING/PROGRAMMING/PERSONAL/PYTHON/Image_Generator_API/imagenes/NAUTICA_CLASSICS_117003388PT_BLU_2.jpg")</f>
        <v/>
      </c>
      <c r="N1279">
        <f>IMAGE("file:///E:/Estudios%20y%20certificaciones/ESTUDIOS%20DE%20PROGRAMMING/PROGRAMMING/PERSONAL/PYTHON/Image_Generator_API/imagenes/NAUTICA_CLASSICS_117003388PT_BLU_3.jpg")</f>
        <v/>
      </c>
      <c r="O1279">
        <f>HYPERLINK("imagenes/NAUTICA_CLASSICS_117003388PT_BLU_1.jpg","Ver imagen")</f>
        <v/>
      </c>
      <c r="P1279">
        <f>HYPERLINK("imagenes/NAUTICA_CLASSICS_117003388PT_BLU_2.jpg","Ver imagen")</f>
        <v/>
      </c>
      <c r="Q1279">
        <f>HYPERLINK("imagenes/NAUTICA_CLASSICS_117003388PT_BLU_3.jpg","Ver imagen")</f>
        <v/>
      </c>
    </row>
    <row r="1280">
      <c r="A1280" t="inlineStr">
        <is>
          <t>NAUTICA CLASSICS</t>
        </is>
      </c>
      <c r="B1280" t="inlineStr">
        <is>
          <t>117003388PT</t>
        </is>
      </c>
      <c r="C1280" t="inlineStr">
        <is>
          <t>VAPOR RAIN JKT WITH HOOD</t>
        </is>
      </c>
      <c r="D1280" t="inlineStr">
        <is>
          <t>BLU</t>
        </is>
      </c>
      <c r="E1280" t="inlineStr">
        <is>
          <t>(en blanco)</t>
        </is>
      </c>
      <c r="F1280" t="inlineStr">
        <is>
          <t>(en blanco)</t>
        </is>
      </c>
      <c r="G1280" t="inlineStr">
        <is>
          <t>SP</t>
        </is>
      </c>
      <c r="H1280" t="n">
        <v>2</v>
      </c>
      <c r="I1280" t="inlineStr">
        <is>
          <t>NAUTICA_CLASSICS_117003388PT_BLU_1.jpg</t>
        </is>
      </c>
      <c r="J1280" t="inlineStr">
        <is>
          <t>NAUTICA_CLASSICS_117003388PT_BLU_2.jpg</t>
        </is>
      </c>
      <c r="K1280" t="inlineStr">
        <is>
          <t>NAUTICA_CLASSICS_117003388PT_BLU_3.jpg</t>
        </is>
      </c>
      <c r="L1280">
        <f>IMAGE("file:///E:/Estudios%20y%20certificaciones/ESTUDIOS%20DE%20PROGRAMMING/PROGRAMMING/PERSONAL/PYTHON/Image_Generator_API/imagenes/NAUTICA_CLASSICS_117003388PT_BLU_1.jpg")</f>
        <v/>
      </c>
      <c r="M1280">
        <f>IMAGE("file:///E:/Estudios%20y%20certificaciones/ESTUDIOS%20DE%20PROGRAMMING/PROGRAMMING/PERSONAL/PYTHON/Image_Generator_API/imagenes/NAUTICA_CLASSICS_117003388PT_BLU_2.jpg")</f>
        <v/>
      </c>
      <c r="N1280">
        <f>IMAGE("file:///E:/Estudios%20y%20certificaciones/ESTUDIOS%20DE%20PROGRAMMING/PROGRAMMING/PERSONAL/PYTHON/Image_Generator_API/imagenes/NAUTICA_CLASSICS_117003388PT_BLU_3.jpg")</f>
        <v/>
      </c>
      <c r="O1280">
        <f>HYPERLINK("imagenes/NAUTICA_CLASSICS_117003388PT_BLU_1.jpg","Ver imagen")</f>
        <v/>
      </c>
      <c r="P1280">
        <f>HYPERLINK("imagenes/NAUTICA_CLASSICS_117003388PT_BLU_2.jpg","Ver imagen")</f>
        <v/>
      </c>
      <c r="Q1280">
        <f>HYPERLINK("imagenes/NAUTICA_CLASSICS_117003388PT_BLU_3.jpg","Ver imagen")</f>
        <v/>
      </c>
    </row>
    <row r="1281">
      <c r="A1281" t="inlineStr">
        <is>
          <t>NAUTICA CLASSICS</t>
        </is>
      </c>
      <c r="B1281" t="inlineStr">
        <is>
          <t>117003388PT</t>
        </is>
      </c>
      <c r="C1281" t="inlineStr">
        <is>
          <t>VAPOR RAIN JKT WITH HOOD</t>
        </is>
      </c>
      <c r="D1281" t="inlineStr">
        <is>
          <t>BLU</t>
        </is>
      </c>
      <c r="E1281" t="inlineStr">
        <is>
          <t>(en blanco)</t>
        </is>
      </c>
      <c r="F1281" t="inlineStr">
        <is>
          <t>(en blanco)</t>
        </is>
      </c>
      <c r="G1281" t="inlineStr">
        <is>
          <t>XLP</t>
        </is>
      </c>
      <c r="H1281" t="n">
        <v>10</v>
      </c>
      <c r="I1281" t="inlineStr">
        <is>
          <t>NAUTICA_CLASSICS_117003388PT_BLU_1.jpg</t>
        </is>
      </c>
      <c r="J1281" t="inlineStr">
        <is>
          <t>NAUTICA_CLASSICS_117003388PT_BLU_2.jpg</t>
        </is>
      </c>
      <c r="K1281" t="inlineStr">
        <is>
          <t>NAUTICA_CLASSICS_117003388PT_BLU_3.jpg</t>
        </is>
      </c>
      <c r="L1281">
        <f>IMAGE("file:///E:/Estudios%20y%20certificaciones/ESTUDIOS%20DE%20PROGRAMMING/PROGRAMMING/PERSONAL/PYTHON/Image_Generator_API/imagenes/NAUTICA_CLASSICS_117003388PT_BLU_1.jpg")</f>
        <v/>
      </c>
      <c r="M1281">
        <f>IMAGE("file:///E:/Estudios%20y%20certificaciones/ESTUDIOS%20DE%20PROGRAMMING/PROGRAMMING/PERSONAL/PYTHON/Image_Generator_API/imagenes/NAUTICA_CLASSICS_117003388PT_BLU_2.jpg")</f>
        <v/>
      </c>
      <c r="N1281">
        <f>IMAGE("file:///E:/Estudios%20y%20certificaciones/ESTUDIOS%20DE%20PROGRAMMING/PROGRAMMING/PERSONAL/PYTHON/Image_Generator_API/imagenes/NAUTICA_CLASSICS_117003388PT_BLU_3.jpg")</f>
        <v/>
      </c>
      <c r="O1281">
        <f>HYPERLINK("imagenes/NAUTICA_CLASSICS_117003388PT_BLU_1.jpg","Ver imagen")</f>
        <v/>
      </c>
      <c r="P1281">
        <f>HYPERLINK("imagenes/NAUTICA_CLASSICS_117003388PT_BLU_2.jpg","Ver imagen")</f>
        <v/>
      </c>
      <c r="Q1281">
        <f>HYPERLINK("imagenes/NAUTICA_CLASSICS_117003388PT_BLU_3.jpg","Ver imagen")</f>
        <v/>
      </c>
    </row>
    <row r="1282">
      <c r="A1282" t="inlineStr">
        <is>
          <t>NAUTICA CLASSICS</t>
        </is>
      </c>
      <c r="B1282" t="inlineStr">
        <is>
          <t>117003388PT</t>
        </is>
      </c>
      <c r="C1282" t="inlineStr">
        <is>
          <t>VAPOR RAIN JKT WITH HOOD</t>
        </is>
      </c>
      <c r="D1282" t="inlineStr">
        <is>
          <t>NSS</t>
        </is>
      </c>
      <c r="E1282" t="inlineStr">
        <is>
          <t>(en blanco)</t>
        </is>
      </c>
      <c r="F1282" t="inlineStr">
        <is>
          <t>(en blanco)</t>
        </is>
      </c>
      <c r="G1282" t="inlineStr">
        <is>
          <t>MP</t>
        </is>
      </c>
      <c r="H1282" t="n">
        <v>2</v>
      </c>
      <c r="I1282" t="inlineStr">
        <is>
          <t>NAUTICA_CLASSICS_117003388PT_NSS_1.jpg</t>
        </is>
      </c>
      <c r="J1282" t="inlineStr">
        <is>
          <t>NAUTICA_CLASSICS_117003388PT_NSS_2.jpg</t>
        </is>
      </c>
      <c r="K1282" t="inlineStr">
        <is>
          <t>NAUTICA_CLASSICS_117003388PT_NSS_3.jpg</t>
        </is>
      </c>
      <c r="L1282">
        <f>IMAGE("file:///E:/Estudios%20y%20certificaciones/ESTUDIOS%20DE%20PROGRAMMING/PROGRAMMING/PERSONAL/PYTHON/Image_Generator_API/imagenes/NAUTICA_CLASSICS_117003388PT_NSS_1.jpg")</f>
        <v/>
      </c>
      <c r="M1282">
        <f>IMAGE("file:///E:/Estudios%20y%20certificaciones/ESTUDIOS%20DE%20PROGRAMMING/PROGRAMMING/PERSONAL/PYTHON/Image_Generator_API/imagenes/NAUTICA_CLASSICS_117003388PT_NSS_2.jpg")</f>
        <v/>
      </c>
      <c r="N1282">
        <f>IMAGE("file:///E:/Estudios%20y%20certificaciones/ESTUDIOS%20DE%20PROGRAMMING/PROGRAMMING/PERSONAL/PYTHON/Image_Generator_API/imagenes/NAUTICA_CLASSICS_117003388PT_NSS_3.jpg")</f>
        <v/>
      </c>
      <c r="O1282">
        <f>HYPERLINK("imagenes/NAUTICA_CLASSICS_117003388PT_NSS_1.jpg","Ver imagen")</f>
        <v/>
      </c>
      <c r="P1282">
        <f>HYPERLINK("imagenes/NAUTICA_CLASSICS_117003388PT_NSS_2.jpg","Ver imagen")</f>
        <v/>
      </c>
      <c r="Q1282">
        <f>HYPERLINK("imagenes/NAUTICA_CLASSICS_117003388PT_NSS_3.jpg","Ver imagen")</f>
        <v/>
      </c>
    </row>
    <row r="1283">
      <c r="A1283" t="inlineStr">
        <is>
          <t>NAUTICA CLASSICS</t>
        </is>
      </c>
      <c r="B1283" t="inlineStr">
        <is>
          <t>117003388PT</t>
        </is>
      </c>
      <c r="C1283" t="inlineStr">
        <is>
          <t>VAPOR RAIN JKT WITH HOOD</t>
        </is>
      </c>
      <c r="D1283" t="inlineStr">
        <is>
          <t>NSS</t>
        </is>
      </c>
      <c r="E1283" t="inlineStr">
        <is>
          <t>(en blanco)</t>
        </is>
      </c>
      <c r="F1283" t="inlineStr">
        <is>
          <t>(en blanco)</t>
        </is>
      </c>
      <c r="G1283" t="inlineStr">
        <is>
          <t>XLP</t>
        </is>
      </c>
      <c r="H1283" t="n">
        <v>2</v>
      </c>
      <c r="I1283" t="inlineStr">
        <is>
          <t>NAUTICA_CLASSICS_117003388PT_NSS_1.jpg</t>
        </is>
      </c>
      <c r="J1283" t="inlineStr">
        <is>
          <t>NAUTICA_CLASSICS_117003388PT_NSS_2.jpg</t>
        </is>
      </c>
      <c r="K1283" t="inlineStr">
        <is>
          <t>NAUTICA_CLASSICS_117003388PT_NSS_3.jpg</t>
        </is>
      </c>
      <c r="L1283">
        <f>IMAGE("file:///E:/Estudios%20y%20certificaciones/ESTUDIOS%20DE%20PROGRAMMING/PROGRAMMING/PERSONAL/PYTHON/Image_Generator_API/imagenes/NAUTICA_CLASSICS_117003388PT_NSS_1.jpg")</f>
        <v/>
      </c>
      <c r="M1283">
        <f>IMAGE("file:///E:/Estudios%20y%20certificaciones/ESTUDIOS%20DE%20PROGRAMMING/PROGRAMMING/PERSONAL/PYTHON/Image_Generator_API/imagenes/NAUTICA_CLASSICS_117003388PT_NSS_2.jpg")</f>
        <v/>
      </c>
      <c r="N1283">
        <f>IMAGE("file:///E:/Estudios%20y%20certificaciones/ESTUDIOS%20DE%20PROGRAMMING/PROGRAMMING/PERSONAL/PYTHON/Image_Generator_API/imagenes/NAUTICA_CLASSICS_117003388PT_NSS_3.jpg")</f>
        <v/>
      </c>
      <c r="O1283">
        <f>HYPERLINK("imagenes/NAUTICA_CLASSICS_117003388PT_NSS_1.jpg","Ver imagen")</f>
        <v/>
      </c>
      <c r="P1283">
        <f>HYPERLINK("imagenes/NAUTICA_CLASSICS_117003388PT_NSS_2.jpg","Ver imagen")</f>
        <v/>
      </c>
      <c r="Q1283">
        <f>HYPERLINK("imagenes/NAUTICA_CLASSICS_117003388PT_NSS_3.jpg","Ver imagen")</f>
        <v/>
      </c>
    </row>
    <row r="1284">
      <c r="A1284" t="inlineStr">
        <is>
          <t>NAUTICA CLASSICS</t>
        </is>
      </c>
      <c r="B1284" t="inlineStr">
        <is>
          <t>117003389</t>
        </is>
      </c>
      <c r="C1284" t="inlineStr">
        <is>
          <t>NAUTICA HOODED SHELL RAIN</t>
        </is>
      </c>
      <c r="D1284" t="inlineStr">
        <is>
          <t>BHQ</t>
        </is>
      </c>
      <c r="E1284" t="inlineStr">
        <is>
          <t>(en blanco)</t>
        </is>
      </c>
      <c r="F1284" t="inlineStr">
        <is>
          <t>(en blanco)</t>
        </is>
      </c>
      <c r="G1284" t="inlineStr">
        <is>
          <t>L</t>
        </is>
      </c>
      <c r="H1284" t="n">
        <v>19</v>
      </c>
      <c r="I1284" t="inlineStr">
        <is>
          <t>NAUTICA_CLASSICS_117003389_BHQ_1.jpg</t>
        </is>
      </c>
      <c r="J1284" t="inlineStr">
        <is>
          <t>NAUTICA_CLASSICS_117003389_BHQ_2.jpg</t>
        </is>
      </c>
      <c r="K1284" t="inlineStr">
        <is>
          <t>NAUTICA_CLASSICS_117003389_BHQ_3.jpg</t>
        </is>
      </c>
      <c r="L1284">
        <f>IMAGE("file:///E:/Estudios%20y%20certificaciones/ESTUDIOS%20DE%20PROGRAMMING/PROGRAMMING/PERSONAL/PYTHON/Image_Generator_API/imagenes/NAUTICA_CLASSICS_117003389_BHQ_1.jpg")</f>
        <v/>
      </c>
      <c r="M1284">
        <f>IMAGE("file:///E:/Estudios%20y%20certificaciones/ESTUDIOS%20DE%20PROGRAMMING/PROGRAMMING/PERSONAL/PYTHON/Image_Generator_API/imagenes/NAUTICA_CLASSICS_117003389_BHQ_2.jpg")</f>
        <v/>
      </c>
      <c r="N1284">
        <f>IMAGE("file:///E:/Estudios%20y%20certificaciones/ESTUDIOS%20DE%20PROGRAMMING/PROGRAMMING/PERSONAL/PYTHON/Image_Generator_API/imagenes/NAUTICA_CLASSICS_117003389_BHQ_3.jpg")</f>
        <v/>
      </c>
      <c r="O1284">
        <f>HYPERLINK("imagenes/NAUTICA_CLASSICS_117003389_BHQ_1.jpg","Ver imagen")</f>
        <v/>
      </c>
      <c r="P1284">
        <f>HYPERLINK("imagenes/NAUTICA_CLASSICS_117003389_BHQ_2.jpg","Ver imagen")</f>
        <v/>
      </c>
      <c r="Q1284">
        <f>HYPERLINK("imagenes/NAUTICA_CLASSICS_117003389_BHQ_3.jpg","Ver imagen")</f>
        <v/>
      </c>
    </row>
    <row r="1285">
      <c r="A1285" t="inlineStr">
        <is>
          <t>NAUTICA CLASSICS</t>
        </is>
      </c>
      <c r="B1285" t="inlineStr">
        <is>
          <t>117003389</t>
        </is>
      </c>
      <c r="C1285" t="inlineStr">
        <is>
          <t>NAUTICA HOODED SHELL RAIN</t>
        </is>
      </c>
      <c r="D1285" t="inlineStr">
        <is>
          <t>MAW</t>
        </is>
      </c>
      <c r="E1285" t="inlineStr">
        <is>
          <t>(en blanco)</t>
        </is>
      </c>
      <c r="F1285" t="inlineStr">
        <is>
          <t>(en blanco)</t>
        </is>
      </c>
      <c r="G1285" t="inlineStr">
        <is>
          <t>XS</t>
        </is>
      </c>
      <c r="H1285" t="n">
        <v>115</v>
      </c>
      <c r="I1285" t="inlineStr">
        <is>
          <t>NAUTICA_CLASSICS_117003389_MAW_1.jpg</t>
        </is>
      </c>
      <c r="J1285" t="inlineStr">
        <is>
          <t>NAUTICA_CLASSICS_117003389_MAW_2.jpg</t>
        </is>
      </c>
      <c r="K1285" t="inlineStr">
        <is>
          <t>NAUTICA_CLASSICS_117003389_MAW_3.jpg</t>
        </is>
      </c>
      <c r="L1285">
        <f>IMAGE("file:///E:/Estudios%20y%20certificaciones/ESTUDIOS%20DE%20PROGRAMMING/PROGRAMMING/PERSONAL/PYTHON/Image_Generator_API/imagenes/NAUTICA_CLASSICS_117003389_MAW_1.jpg")</f>
        <v/>
      </c>
      <c r="M1285">
        <f>IMAGE("file:///E:/Estudios%20y%20certificaciones/ESTUDIOS%20DE%20PROGRAMMING/PROGRAMMING/PERSONAL/PYTHON/Image_Generator_API/imagenes/NAUTICA_CLASSICS_117003389_MAW_2.jpg")</f>
        <v/>
      </c>
      <c r="N1285">
        <f>IMAGE("file:///E:/Estudios%20y%20certificaciones/ESTUDIOS%20DE%20PROGRAMMING/PROGRAMMING/PERSONAL/PYTHON/Image_Generator_API/imagenes/NAUTICA_CLASSICS_117003389_MAW_3.jpg")</f>
        <v/>
      </c>
      <c r="O1285">
        <f>HYPERLINK("imagenes/NAUTICA_CLASSICS_117003389_MAW_1.jpg","Ver imagen")</f>
        <v/>
      </c>
      <c r="P1285">
        <f>HYPERLINK("imagenes/NAUTICA_CLASSICS_117003389_MAW_2.jpg","Ver imagen")</f>
        <v/>
      </c>
      <c r="Q1285">
        <f>HYPERLINK("imagenes/NAUTICA_CLASSICS_117003389_MAW_3.jpg","Ver imagen")</f>
        <v/>
      </c>
    </row>
    <row r="1286">
      <c r="A1286" t="inlineStr">
        <is>
          <t>NAUTICA CLASSICS</t>
        </is>
      </c>
      <c r="B1286" t="inlineStr">
        <is>
          <t>117003389</t>
        </is>
      </c>
      <c r="C1286" t="inlineStr">
        <is>
          <t>NAUTICA HOODED SHELL RAIN</t>
        </is>
      </c>
      <c r="D1286" t="inlineStr">
        <is>
          <t>MAW</t>
        </is>
      </c>
      <c r="E1286" t="inlineStr">
        <is>
          <t>(en blanco)</t>
        </is>
      </c>
      <c r="F1286" t="inlineStr">
        <is>
          <t>(en blanco)</t>
        </is>
      </c>
      <c r="G1286" t="inlineStr">
        <is>
          <t>S</t>
        </is>
      </c>
      <c r="H1286" t="n">
        <v>216</v>
      </c>
      <c r="I1286" t="inlineStr">
        <is>
          <t>NAUTICA_CLASSICS_117003389_MAW_1.jpg</t>
        </is>
      </c>
      <c r="J1286" t="inlineStr">
        <is>
          <t>NAUTICA_CLASSICS_117003389_MAW_2.jpg</t>
        </is>
      </c>
      <c r="K1286" t="inlineStr">
        <is>
          <t>NAUTICA_CLASSICS_117003389_MAW_3.jpg</t>
        </is>
      </c>
      <c r="L1286">
        <f>IMAGE("file:///E:/Estudios%20y%20certificaciones/ESTUDIOS%20DE%20PROGRAMMING/PROGRAMMING/PERSONAL/PYTHON/Image_Generator_API/imagenes/NAUTICA_CLASSICS_117003389_MAW_1.jpg")</f>
        <v/>
      </c>
      <c r="M1286">
        <f>IMAGE("file:///E:/Estudios%20y%20certificaciones/ESTUDIOS%20DE%20PROGRAMMING/PROGRAMMING/PERSONAL/PYTHON/Image_Generator_API/imagenes/NAUTICA_CLASSICS_117003389_MAW_2.jpg")</f>
        <v/>
      </c>
      <c r="N1286">
        <f>IMAGE("file:///E:/Estudios%20y%20certificaciones/ESTUDIOS%20DE%20PROGRAMMING/PROGRAMMING/PERSONAL/PYTHON/Image_Generator_API/imagenes/NAUTICA_CLASSICS_117003389_MAW_3.jpg")</f>
        <v/>
      </c>
      <c r="O1286">
        <f>HYPERLINK("imagenes/NAUTICA_CLASSICS_117003389_MAW_1.jpg","Ver imagen")</f>
        <v/>
      </c>
      <c r="P1286">
        <f>HYPERLINK("imagenes/NAUTICA_CLASSICS_117003389_MAW_2.jpg","Ver imagen")</f>
        <v/>
      </c>
      <c r="Q1286">
        <f>HYPERLINK("imagenes/NAUTICA_CLASSICS_117003389_MAW_3.jpg","Ver imagen")</f>
        <v/>
      </c>
    </row>
    <row r="1287">
      <c r="A1287" t="inlineStr">
        <is>
          <t>NAUTICA CLASSICS</t>
        </is>
      </c>
      <c r="B1287" t="inlineStr">
        <is>
          <t>117003389</t>
        </is>
      </c>
      <c r="C1287" t="inlineStr">
        <is>
          <t>NAUTICA HOODED SHELL RAIN</t>
        </is>
      </c>
      <c r="D1287" t="inlineStr">
        <is>
          <t>MAW</t>
        </is>
      </c>
      <c r="E1287" t="inlineStr">
        <is>
          <t>(en blanco)</t>
        </is>
      </c>
      <c r="F1287" t="inlineStr">
        <is>
          <t>(en blanco)</t>
        </is>
      </c>
      <c r="G1287" t="inlineStr">
        <is>
          <t>M</t>
        </is>
      </c>
      <c r="H1287" t="n">
        <v>211</v>
      </c>
      <c r="I1287" t="inlineStr">
        <is>
          <t>NAUTICA_CLASSICS_117003389_MAW_1.jpg</t>
        </is>
      </c>
      <c r="J1287" t="inlineStr">
        <is>
          <t>NAUTICA_CLASSICS_117003389_MAW_2.jpg</t>
        </is>
      </c>
      <c r="K1287" t="inlineStr">
        <is>
          <t>NAUTICA_CLASSICS_117003389_MAW_3.jpg</t>
        </is>
      </c>
      <c r="L1287">
        <f>IMAGE("file:///E:/Estudios%20y%20certificaciones/ESTUDIOS%20DE%20PROGRAMMING/PROGRAMMING/PERSONAL/PYTHON/Image_Generator_API/imagenes/NAUTICA_CLASSICS_117003389_MAW_1.jpg")</f>
        <v/>
      </c>
      <c r="M1287">
        <f>IMAGE("file:///E:/Estudios%20y%20certificaciones/ESTUDIOS%20DE%20PROGRAMMING/PROGRAMMING/PERSONAL/PYTHON/Image_Generator_API/imagenes/NAUTICA_CLASSICS_117003389_MAW_2.jpg")</f>
        <v/>
      </c>
      <c r="N1287">
        <f>IMAGE("file:///E:/Estudios%20y%20certificaciones/ESTUDIOS%20DE%20PROGRAMMING/PROGRAMMING/PERSONAL/PYTHON/Image_Generator_API/imagenes/NAUTICA_CLASSICS_117003389_MAW_3.jpg")</f>
        <v/>
      </c>
      <c r="O1287">
        <f>HYPERLINK("imagenes/NAUTICA_CLASSICS_117003389_MAW_1.jpg","Ver imagen")</f>
        <v/>
      </c>
      <c r="P1287">
        <f>HYPERLINK("imagenes/NAUTICA_CLASSICS_117003389_MAW_2.jpg","Ver imagen")</f>
        <v/>
      </c>
      <c r="Q1287">
        <f>HYPERLINK("imagenes/NAUTICA_CLASSICS_117003389_MAW_3.jpg","Ver imagen")</f>
        <v/>
      </c>
    </row>
    <row r="1288">
      <c r="A1288" t="inlineStr">
        <is>
          <t>NAUTICA CLASSICS</t>
        </is>
      </c>
      <c r="B1288" t="inlineStr">
        <is>
          <t>117003389</t>
        </is>
      </c>
      <c r="C1288" t="inlineStr">
        <is>
          <t>NAUTICA HOODED SHELL RAIN</t>
        </is>
      </c>
      <c r="D1288" t="inlineStr">
        <is>
          <t>MAW</t>
        </is>
      </c>
      <c r="E1288" t="inlineStr">
        <is>
          <t>(en blanco)</t>
        </is>
      </c>
      <c r="F1288" t="inlineStr">
        <is>
          <t>(en blanco)</t>
        </is>
      </c>
      <c r="G1288" t="inlineStr">
        <is>
          <t>L</t>
        </is>
      </c>
      <c r="H1288" t="n">
        <v>265</v>
      </c>
      <c r="I1288" t="inlineStr">
        <is>
          <t>NAUTICA_CLASSICS_117003389_MAW_1.jpg</t>
        </is>
      </c>
      <c r="J1288" t="inlineStr">
        <is>
          <t>NAUTICA_CLASSICS_117003389_MAW_2.jpg</t>
        </is>
      </c>
      <c r="K1288" t="inlineStr">
        <is>
          <t>NAUTICA_CLASSICS_117003389_MAW_3.jpg</t>
        </is>
      </c>
      <c r="L1288">
        <f>IMAGE("file:///E:/Estudios%20y%20certificaciones/ESTUDIOS%20DE%20PROGRAMMING/PROGRAMMING/PERSONAL/PYTHON/Image_Generator_API/imagenes/NAUTICA_CLASSICS_117003389_MAW_1.jpg")</f>
        <v/>
      </c>
      <c r="M1288">
        <f>IMAGE("file:///E:/Estudios%20y%20certificaciones/ESTUDIOS%20DE%20PROGRAMMING/PROGRAMMING/PERSONAL/PYTHON/Image_Generator_API/imagenes/NAUTICA_CLASSICS_117003389_MAW_2.jpg")</f>
        <v/>
      </c>
      <c r="N1288">
        <f>IMAGE("file:///E:/Estudios%20y%20certificaciones/ESTUDIOS%20DE%20PROGRAMMING/PROGRAMMING/PERSONAL/PYTHON/Image_Generator_API/imagenes/NAUTICA_CLASSICS_117003389_MAW_3.jpg")</f>
        <v/>
      </c>
      <c r="O1288">
        <f>HYPERLINK("imagenes/NAUTICA_CLASSICS_117003389_MAW_1.jpg","Ver imagen")</f>
        <v/>
      </c>
      <c r="P1288">
        <f>HYPERLINK("imagenes/NAUTICA_CLASSICS_117003389_MAW_2.jpg","Ver imagen")</f>
        <v/>
      </c>
      <c r="Q1288">
        <f>HYPERLINK("imagenes/NAUTICA_CLASSICS_117003389_MAW_3.jpg","Ver imagen")</f>
        <v/>
      </c>
    </row>
    <row r="1289">
      <c r="A1289" t="inlineStr">
        <is>
          <t>NAUTICA CLASSICS</t>
        </is>
      </c>
      <c r="B1289" t="inlineStr">
        <is>
          <t>117003389</t>
        </is>
      </c>
      <c r="C1289" t="inlineStr">
        <is>
          <t>NAUTICA HOODED SHELL RAIN</t>
        </is>
      </c>
      <c r="D1289" t="inlineStr">
        <is>
          <t>MAW</t>
        </is>
      </c>
      <c r="E1289" t="inlineStr">
        <is>
          <t>(en blanco)</t>
        </is>
      </c>
      <c r="F1289" t="inlineStr">
        <is>
          <t>(en blanco)</t>
        </is>
      </c>
      <c r="G1289" t="inlineStr">
        <is>
          <t>XL</t>
        </is>
      </c>
      <c r="H1289" t="n">
        <v>75</v>
      </c>
      <c r="I1289" t="inlineStr">
        <is>
          <t>NAUTICA_CLASSICS_117003389_MAW_1.jpg</t>
        </is>
      </c>
      <c r="J1289" t="inlineStr">
        <is>
          <t>NAUTICA_CLASSICS_117003389_MAW_2.jpg</t>
        </is>
      </c>
      <c r="K1289" t="inlineStr">
        <is>
          <t>NAUTICA_CLASSICS_117003389_MAW_3.jpg</t>
        </is>
      </c>
      <c r="L1289">
        <f>IMAGE("file:///E:/Estudios%20y%20certificaciones/ESTUDIOS%20DE%20PROGRAMMING/PROGRAMMING/PERSONAL/PYTHON/Image_Generator_API/imagenes/NAUTICA_CLASSICS_117003389_MAW_1.jpg")</f>
        <v/>
      </c>
      <c r="M1289">
        <f>IMAGE("file:///E:/Estudios%20y%20certificaciones/ESTUDIOS%20DE%20PROGRAMMING/PROGRAMMING/PERSONAL/PYTHON/Image_Generator_API/imagenes/NAUTICA_CLASSICS_117003389_MAW_2.jpg")</f>
        <v/>
      </c>
      <c r="N1289">
        <f>IMAGE("file:///E:/Estudios%20y%20certificaciones/ESTUDIOS%20DE%20PROGRAMMING/PROGRAMMING/PERSONAL/PYTHON/Image_Generator_API/imagenes/NAUTICA_CLASSICS_117003389_MAW_3.jpg")</f>
        <v/>
      </c>
      <c r="O1289">
        <f>HYPERLINK("imagenes/NAUTICA_CLASSICS_117003389_MAW_1.jpg","Ver imagen")</f>
        <v/>
      </c>
      <c r="P1289">
        <f>HYPERLINK("imagenes/NAUTICA_CLASSICS_117003389_MAW_2.jpg","Ver imagen")</f>
        <v/>
      </c>
      <c r="Q1289">
        <f>HYPERLINK("imagenes/NAUTICA_CLASSICS_117003389_MAW_3.jpg","Ver imagen")</f>
        <v/>
      </c>
    </row>
    <row r="1290">
      <c r="A1290" t="inlineStr">
        <is>
          <t>NAUTICA CLASSICS</t>
        </is>
      </c>
      <c r="B1290" t="inlineStr">
        <is>
          <t>117003389</t>
        </is>
      </c>
      <c r="C1290" t="inlineStr">
        <is>
          <t>NAUTICA HOODED SHELL RAIN</t>
        </is>
      </c>
      <c r="D1290" t="inlineStr">
        <is>
          <t>NSS</t>
        </is>
      </c>
      <c r="E1290" t="inlineStr">
        <is>
          <t>(en blanco)</t>
        </is>
      </c>
      <c r="F1290" t="inlineStr">
        <is>
          <t>(en blanco)</t>
        </is>
      </c>
      <c r="G1290" t="inlineStr">
        <is>
          <t>XS</t>
        </is>
      </c>
      <c r="H1290" t="n">
        <v>4</v>
      </c>
      <c r="I1290" t="inlineStr">
        <is>
          <t>NAUTICA_CLASSICS_117003389_NSS_1.jpg</t>
        </is>
      </c>
      <c r="J1290" t="inlineStr">
        <is>
          <t>NAUTICA_CLASSICS_117003389_NSS_2.jpg</t>
        </is>
      </c>
      <c r="K1290" t="inlineStr">
        <is>
          <t>NAUTICA_CLASSICS_117003389_NSS_3.jpg</t>
        </is>
      </c>
      <c r="L1290">
        <f>IMAGE("file:///E:/Estudios%20y%20certificaciones/ESTUDIOS%20DE%20PROGRAMMING/PROGRAMMING/PERSONAL/PYTHON/Image_Generator_API/imagenes/NAUTICA_CLASSICS_117003389_NSS_1.jpg")</f>
        <v/>
      </c>
      <c r="M1290">
        <f>IMAGE("file:///E:/Estudios%20y%20certificaciones/ESTUDIOS%20DE%20PROGRAMMING/PROGRAMMING/PERSONAL/PYTHON/Image_Generator_API/imagenes/NAUTICA_CLASSICS_117003389_NSS_2.jpg")</f>
        <v/>
      </c>
      <c r="N1290">
        <f>IMAGE("file:///E:/Estudios%20y%20certificaciones/ESTUDIOS%20DE%20PROGRAMMING/PROGRAMMING/PERSONAL/PYTHON/Image_Generator_API/imagenes/NAUTICA_CLASSICS_117003389_NSS_3.jpg")</f>
        <v/>
      </c>
      <c r="O1290">
        <f>HYPERLINK("imagenes/NAUTICA_CLASSICS_117003389_NSS_1.jpg","Ver imagen")</f>
        <v/>
      </c>
      <c r="P1290">
        <f>HYPERLINK("imagenes/NAUTICA_CLASSICS_117003389_NSS_2.jpg","Ver imagen")</f>
        <v/>
      </c>
      <c r="Q1290">
        <f>HYPERLINK("imagenes/NAUTICA_CLASSICS_117003389_NSS_3.jpg","Ver imagen")</f>
        <v/>
      </c>
    </row>
    <row r="1291">
      <c r="A1291" t="inlineStr">
        <is>
          <t>NAUTICA CLASSICS</t>
        </is>
      </c>
      <c r="B1291" t="inlineStr">
        <is>
          <t>117003389</t>
        </is>
      </c>
      <c r="C1291" t="inlineStr">
        <is>
          <t>NAUTICA HOODED SHELL RAIN</t>
        </is>
      </c>
      <c r="D1291" t="inlineStr">
        <is>
          <t>NSS</t>
        </is>
      </c>
      <c r="E1291" t="inlineStr">
        <is>
          <t>(en blanco)</t>
        </is>
      </c>
      <c r="F1291" t="inlineStr">
        <is>
          <t>(en blanco)</t>
        </is>
      </c>
      <c r="G1291" t="inlineStr">
        <is>
          <t>M</t>
        </is>
      </c>
      <c r="H1291" t="n">
        <v>15</v>
      </c>
      <c r="I1291" t="inlineStr">
        <is>
          <t>NAUTICA_CLASSICS_117003389_NSS_1.jpg</t>
        </is>
      </c>
      <c r="J1291" t="inlineStr">
        <is>
          <t>NAUTICA_CLASSICS_117003389_NSS_2.jpg</t>
        </is>
      </c>
      <c r="K1291" t="inlineStr">
        <is>
          <t>NAUTICA_CLASSICS_117003389_NSS_3.jpg</t>
        </is>
      </c>
      <c r="L1291">
        <f>IMAGE("file:///E:/Estudios%20y%20certificaciones/ESTUDIOS%20DE%20PROGRAMMING/PROGRAMMING/PERSONAL/PYTHON/Image_Generator_API/imagenes/NAUTICA_CLASSICS_117003389_NSS_1.jpg")</f>
        <v/>
      </c>
      <c r="M1291">
        <f>IMAGE("file:///E:/Estudios%20y%20certificaciones/ESTUDIOS%20DE%20PROGRAMMING/PROGRAMMING/PERSONAL/PYTHON/Image_Generator_API/imagenes/NAUTICA_CLASSICS_117003389_NSS_2.jpg")</f>
        <v/>
      </c>
      <c r="N1291">
        <f>IMAGE("file:///E:/Estudios%20y%20certificaciones/ESTUDIOS%20DE%20PROGRAMMING/PROGRAMMING/PERSONAL/PYTHON/Image_Generator_API/imagenes/NAUTICA_CLASSICS_117003389_NSS_3.jpg")</f>
        <v/>
      </c>
      <c r="O1291">
        <f>HYPERLINK("imagenes/NAUTICA_CLASSICS_117003389_NSS_1.jpg","Ver imagen")</f>
        <v/>
      </c>
      <c r="P1291">
        <f>HYPERLINK("imagenes/NAUTICA_CLASSICS_117003389_NSS_2.jpg","Ver imagen")</f>
        <v/>
      </c>
      <c r="Q1291">
        <f>HYPERLINK("imagenes/NAUTICA_CLASSICS_117003389_NSS_3.jpg","Ver imagen")</f>
        <v/>
      </c>
    </row>
    <row r="1292">
      <c r="A1292" t="inlineStr">
        <is>
          <t>NAUTICA CLASSICS</t>
        </is>
      </c>
      <c r="B1292" t="inlineStr">
        <is>
          <t>117003389</t>
        </is>
      </c>
      <c r="C1292" t="inlineStr">
        <is>
          <t>NAUTICA HOODED SHELL RAIN</t>
        </is>
      </c>
      <c r="D1292" t="inlineStr">
        <is>
          <t>NSS</t>
        </is>
      </c>
      <c r="E1292" t="inlineStr">
        <is>
          <t>(en blanco)</t>
        </is>
      </c>
      <c r="F1292" t="inlineStr">
        <is>
          <t>(en blanco)</t>
        </is>
      </c>
      <c r="G1292" t="inlineStr">
        <is>
          <t>L</t>
        </is>
      </c>
      <c r="H1292" t="n">
        <v>45</v>
      </c>
      <c r="I1292" t="inlineStr">
        <is>
          <t>NAUTICA_CLASSICS_117003389_NSS_1.jpg</t>
        </is>
      </c>
      <c r="J1292" t="inlineStr">
        <is>
          <t>NAUTICA_CLASSICS_117003389_NSS_2.jpg</t>
        </is>
      </c>
      <c r="K1292" t="inlineStr">
        <is>
          <t>NAUTICA_CLASSICS_117003389_NSS_3.jpg</t>
        </is>
      </c>
      <c r="L1292">
        <f>IMAGE("file:///E:/Estudios%20y%20certificaciones/ESTUDIOS%20DE%20PROGRAMMING/PROGRAMMING/PERSONAL/PYTHON/Image_Generator_API/imagenes/NAUTICA_CLASSICS_117003389_NSS_1.jpg")</f>
        <v/>
      </c>
      <c r="M1292">
        <f>IMAGE("file:///E:/Estudios%20y%20certificaciones/ESTUDIOS%20DE%20PROGRAMMING/PROGRAMMING/PERSONAL/PYTHON/Image_Generator_API/imagenes/NAUTICA_CLASSICS_117003389_NSS_2.jpg")</f>
        <v/>
      </c>
      <c r="N1292">
        <f>IMAGE("file:///E:/Estudios%20y%20certificaciones/ESTUDIOS%20DE%20PROGRAMMING/PROGRAMMING/PERSONAL/PYTHON/Image_Generator_API/imagenes/NAUTICA_CLASSICS_117003389_NSS_3.jpg")</f>
        <v/>
      </c>
      <c r="O1292">
        <f>HYPERLINK("imagenes/NAUTICA_CLASSICS_117003389_NSS_1.jpg","Ver imagen")</f>
        <v/>
      </c>
      <c r="P1292">
        <f>HYPERLINK("imagenes/NAUTICA_CLASSICS_117003389_NSS_2.jpg","Ver imagen")</f>
        <v/>
      </c>
      <c r="Q1292">
        <f>HYPERLINK("imagenes/NAUTICA_CLASSICS_117003389_NSS_3.jpg","Ver imagen")</f>
        <v/>
      </c>
    </row>
    <row r="1293">
      <c r="A1293" t="inlineStr">
        <is>
          <t>NAUTICA CLASSICS</t>
        </is>
      </c>
      <c r="B1293" t="inlineStr">
        <is>
          <t>117003391</t>
        </is>
      </c>
      <c r="C1293" t="inlineStr">
        <is>
          <t>NAUTICA PACKABLE STRETCH PUFFER</t>
        </is>
      </c>
      <c r="D1293" t="inlineStr">
        <is>
          <t>BLK</t>
        </is>
      </c>
      <c r="E1293" t="inlineStr">
        <is>
          <t>08A05</t>
        </is>
      </c>
      <c r="F1293" t="inlineStr">
        <is>
          <t>(en blanco)</t>
        </is>
      </c>
      <c r="G1293" t="inlineStr">
        <is>
          <t>PPK</t>
        </is>
      </c>
      <c r="H1293" t="n">
        <v>5192</v>
      </c>
      <c r="I1293" t="inlineStr">
        <is>
          <t>NAUTICA_CLASSICS_117003391_BLK_1.jpg</t>
        </is>
      </c>
      <c r="J1293" t="inlineStr">
        <is>
          <t>NAUTICA_CLASSICS_117003391_BLK_2.jpg</t>
        </is>
      </c>
      <c r="K1293" t="inlineStr">
        <is>
          <t>NAUTICA_CLASSICS_117003391_BLK_3.jpg</t>
        </is>
      </c>
      <c r="L1293">
        <f>IMAGE("file:///E:/Estudios%20y%20certificaciones/ESTUDIOS%20DE%20PROGRAMMING/PROGRAMMING/PERSONAL/PYTHON/Image_Generator_API/imagenes/NAUTICA_CLASSICS_117003391_BLK_1.jpg")</f>
        <v/>
      </c>
      <c r="M1293">
        <f>IMAGE("file:///E:/Estudios%20y%20certificaciones/ESTUDIOS%20DE%20PROGRAMMING/PROGRAMMING/PERSONAL/PYTHON/Image_Generator_API/imagenes/NAUTICA_CLASSICS_117003391_BLK_2.jpg")</f>
        <v/>
      </c>
      <c r="N1293">
        <f>IMAGE("file:///E:/Estudios%20y%20certificaciones/ESTUDIOS%20DE%20PROGRAMMING/PROGRAMMING/PERSONAL/PYTHON/Image_Generator_API/imagenes/NAUTICA_CLASSICS_117003391_BLK_3.jpg")</f>
        <v/>
      </c>
      <c r="O1293">
        <f>HYPERLINK("imagenes/NAUTICA_CLASSICS_117003391_BLK_1.jpg","Ver imagen")</f>
        <v/>
      </c>
      <c r="P1293">
        <f>HYPERLINK("imagenes/NAUTICA_CLASSICS_117003391_BLK_2.jpg","Ver imagen")</f>
        <v/>
      </c>
      <c r="Q1293">
        <f>HYPERLINK("imagenes/NAUTICA_CLASSICS_117003391_BLK_3.jpg","Ver imagen")</f>
        <v/>
      </c>
    </row>
    <row r="1294">
      <c r="A1294" t="inlineStr">
        <is>
          <t>NAUTICA CLASSICS</t>
        </is>
      </c>
      <c r="B1294" t="inlineStr">
        <is>
          <t>117003391</t>
        </is>
      </c>
      <c r="C1294" t="inlineStr">
        <is>
          <t>NAUTICA PACKABLE STRETCH PUFFER</t>
        </is>
      </c>
      <c r="D1294" t="inlineStr">
        <is>
          <t>BLK</t>
        </is>
      </c>
      <c r="E1294" t="inlineStr">
        <is>
          <t>(en blanco)</t>
        </is>
      </c>
      <c r="F1294" t="inlineStr">
        <is>
          <t>(en blanco)</t>
        </is>
      </c>
      <c r="G1294" t="inlineStr">
        <is>
          <t>XS</t>
        </is>
      </c>
      <c r="H1294" t="n">
        <v>12</v>
      </c>
      <c r="I1294" t="inlineStr">
        <is>
          <t>NAUTICA_CLASSICS_117003391_BLK_1.jpg</t>
        </is>
      </c>
      <c r="J1294" t="inlineStr">
        <is>
          <t>NAUTICA_CLASSICS_117003391_BLK_2.jpg</t>
        </is>
      </c>
      <c r="K1294" t="inlineStr">
        <is>
          <t>NAUTICA_CLASSICS_117003391_BLK_3.jpg</t>
        </is>
      </c>
      <c r="L1294">
        <f>IMAGE("file:///E:/Estudios%20y%20certificaciones/ESTUDIOS%20DE%20PROGRAMMING/PROGRAMMING/PERSONAL/PYTHON/Image_Generator_API/imagenes/NAUTICA_CLASSICS_117003391_BLK_1.jpg")</f>
        <v/>
      </c>
      <c r="M1294">
        <f>IMAGE("file:///E:/Estudios%20y%20certificaciones/ESTUDIOS%20DE%20PROGRAMMING/PROGRAMMING/PERSONAL/PYTHON/Image_Generator_API/imagenes/NAUTICA_CLASSICS_117003391_BLK_2.jpg")</f>
        <v/>
      </c>
      <c r="N1294">
        <f>IMAGE("file:///E:/Estudios%20y%20certificaciones/ESTUDIOS%20DE%20PROGRAMMING/PROGRAMMING/PERSONAL/PYTHON/Image_Generator_API/imagenes/NAUTICA_CLASSICS_117003391_BLK_3.jpg")</f>
        <v/>
      </c>
      <c r="O1294">
        <f>HYPERLINK("imagenes/NAUTICA_CLASSICS_117003391_BLK_1.jpg","Ver imagen")</f>
        <v/>
      </c>
      <c r="P1294">
        <f>HYPERLINK("imagenes/NAUTICA_CLASSICS_117003391_BLK_2.jpg","Ver imagen")</f>
        <v/>
      </c>
      <c r="Q1294">
        <f>HYPERLINK("imagenes/NAUTICA_CLASSICS_117003391_BLK_3.jpg","Ver imagen")</f>
        <v/>
      </c>
    </row>
    <row r="1295">
      <c r="A1295" t="inlineStr">
        <is>
          <t>NAUTICA CLASSICS</t>
        </is>
      </c>
      <c r="B1295" t="inlineStr">
        <is>
          <t>117003391</t>
        </is>
      </c>
      <c r="C1295" t="inlineStr">
        <is>
          <t>NAUTICA PACKABLE STRETCH PUFFER</t>
        </is>
      </c>
      <c r="D1295" t="inlineStr">
        <is>
          <t>NSS</t>
        </is>
      </c>
      <c r="E1295" t="inlineStr">
        <is>
          <t>08A05</t>
        </is>
      </c>
      <c r="F1295" t="inlineStr">
        <is>
          <t>(en blanco)</t>
        </is>
      </c>
      <c r="G1295" t="inlineStr">
        <is>
          <t>PPK</t>
        </is>
      </c>
      <c r="H1295" t="n">
        <v>648</v>
      </c>
      <c r="I1295" t="inlineStr">
        <is>
          <t>NAUTICA_CLASSICS_117003391_NSS_1.jpg</t>
        </is>
      </c>
      <c r="J1295" t="inlineStr">
        <is>
          <t>NAUTICA_CLASSICS_117003391_NSS_2.jpg</t>
        </is>
      </c>
      <c r="K1295" t="inlineStr">
        <is>
          <t>NAUTICA_CLASSICS_117003391_NSS_3.jpg</t>
        </is>
      </c>
      <c r="L1295">
        <f>IMAGE("file:///E:/Estudios%20y%20certificaciones/ESTUDIOS%20DE%20PROGRAMMING/PROGRAMMING/PERSONAL/PYTHON/Image_Generator_API/imagenes/NAUTICA_CLASSICS_117003391_NSS_1.jpg")</f>
        <v/>
      </c>
      <c r="M1295">
        <f>IMAGE("file:///E:/Estudios%20y%20certificaciones/ESTUDIOS%20DE%20PROGRAMMING/PROGRAMMING/PERSONAL/PYTHON/Image_Generator_API/imagenes/NAUTICA_CLASSICS_117003391_NSS_2.jpg")</f>
        <v/>
      </c>
      <c r="N1295">
        <f>IMAGE("file:///E:/Estudios%20y%20certificaciones/ESTUDIOS%20DE%20PROGRAMMING/PROGRAMMING/PERSONAL/PYTHON/Image_Generator_API/imagenes/NAUTICA_CLASSICS_117003391_NSS_3.jpg")</f>
        <v/>
      </c>
      <c r="O1295">
        <f>HYPERLINK("imagenes/NAUTICA_CLASSICS_117003391_NSS_1.jpg","Ver imagen")</f>
        <v/>
      </c>
      <c r="P1295">
        <f>HYPERLINK("imagenes/NAUTICA_CLASSICS_117003391_NSS_2.jpg","Ver imagen")</f>
        <v/>
      </c>
      <c r="Q1295">
        <f>HYPERLINK("imagenes/NAUTICA_CLASSICS_117003391_NSS_3.jpg","Ver imagen")</f>
        <v/>
      </c>
    </row>
    <row r="1296">
      <c r="A1296" t="inlineStr">
        <is>
          <t>NAUTICA CLASSICS</t>
        </is>
      </c>
      <c r="B1296" t="inlineStr">
        <is>
          <t>117003391</t>
        </is>
      </c>
      <c r="C1296" t="inlineStr">
        <is>
          <t>NAUTICA PACKABLE STRETCH PUFFER</t>
        </is>
      </c>
      <c r="D1296" t="inlineStr">
        <is>
          <t>NSS</t>
        </is>
      </c>
      <c r="E1296" t="inlineStr">
        <is>
          <t>(en blanco)</t>
        </is>
      </c>
      <c r="F1296" t="inlineStr">
        <is>
          <t>(en blanco)</t>
        </is>
      </c>
      <c r="G1296" t="inlineStr">
        <is>
          <t>XS</t>
        </is>
      </c>
      <c r="H1296" t="n">
        <v>33</v>
      </c>
      <c r="I1296" t="inlineStr">
        <is>
          <t>NAUTICA_CLASSICS_117003391_NSS_1.jpg</t>
        </is>
      </c>
      <c r="J1296" t="inlineStr">
        <is>
          <t>NAUTICA_CLASSICS_117003391_NSS_2.jpg</t>
        </is>
      </c>
      <c r="K1296" t="inlineStr">
        <is>
          <t>NAUTICA_CLASSICS_117003391_NSS_3.jpg</t>
        </is>
      </c>
      <c r="L1296">
        <f>IMAGE("file:///E:/Estudios%20y%20certificaciones/ESTUDIOS%20DE%20PROGRAMMING/PROGRAMMING/PERSONAL/PYTHON/Image_Generator_API/imagenes/NAUTICA_CLASSICS_117003391_NSS_1.jpg")</f>
        <v/>
      </c>
      <c r="M1296">
        <f>IMAGE("file:///E:/Estudios%20y%20certificaciones/ESTUDIOS%20DE%20PROGRAMMING/PROGRAMMING/PERSONAL/PYTHON/Image_Generator_API/imagenes/NAUTICA_CLASSICS_117003391_NSS_2.jpg")</f>
        <v/>
      </c>
      <c r="N1296">
        <f>IMAGE("file:///E:/Estudios%20y%20certificaciones/ESTUDIOS%20DE%20PROGRAMMING/PROGRAMMING/PERSONAL/PYTHON/Image_Generator_API/imagenes/NAUTICA_CLASSICS_117003391_NSS_3.jpg")</f>
        <v/>
      </c>
      <c r="O1296">
        <f>HYPERLINK("imagenes/NAUTICA_CLASSICS_117003391_NSS_1.jpg","Ver imagen")</f>
        <v/>
      </c>
      <c r="P1296">
        <f>HYPERLINK("imagenes/NAUTICA_CLASSICS_117003391_NSS_2.jpg","Ver imagen")</f>
        <v/>
      </c>
      <c r="Q1296">
        <f>HYPERLINK("imagenes/NAUTICA_CLASSICS_117003391_NSS_3.jpg","Ver imagen")</f>
        <v/>
      </c>
    </row>
    <row r="1297">
      <c r="A1297" t="inlineStr">
        <is>
          <t>NAUTICA CLASSICS</t>
        </is>
      </c>
      <c r="B1297" t="inlineStr">
        <is>
          <t>117003391</t>
        </is>
      </c>
      <c r="C1297" t="inlineStr">
        <is>
          <t>NAUTICA PACKABLE STRETCH PUFFER</t>
        </is>
      </c>
      <c r="D1297" t="inlineStr">
        <is>
          <t>NSS</t>
        </is>
      </c>
      <c r="E1297" t="inlineStr">
        <is>
          <t>(en blanco)</t>
        </is>
      </c>
      <c r="F1297" t="inlineStr">
        <is>
          <t>(en blanco)</t>
        </is>
      </c>
      <c r="G1297" t="inlineStr">
        <is>
          <t>S</t>
        </is>
      </c>
      <c r="H1297" t="n">
        <v>40</v>
      </c>
      <c r="I1297" t="inlineStr">
        <is>
          <t>NAUTICA_CLASSICS_117003391_NSS_1.jpg</t>
        </is>
      </c>
      <c r="J1297" t="inlineStr">
        <is>
          <t>NAUTICA_CLASSICS_117003391_NSS_2.jpg</t>
        </is>
      </c>
      <c r="K1297" t="inlineStr">
        <is>
          <t>NAUTICA_CLASSICS_117003391_NSS_3.jpg</t>
        </is>
      </c>
      <c r="L1297">
        <f>IMAGE("file:///E:/Estudios%20y%20certificaciones/ESTUDIOS%20DE%20PROGRAMMING/PROGRAMMING/PERSONAL/PYTHON/Image_Generator_API/imagenes/NAUTICA_CLASSICS_117003391_NSS_1.jpg")</f>
        <v/>
      </c>
      <c r="M1297">
        <f>IMAGE("file:///E:/Estudios%20y%20certificaciones/ESTUDIOS%20DE%20PROGRAMMING/PROGRAMMING/PERSONAL/PYTHON/Image_Generator_API/imagenes/NAUTICA_CLASSICS_117003391_NSS_2.jpg")</f>
        <v/>
      </c>
      <c r="N1297">
        <f>IMAGE("file:///E:/Estudios%20y%20certificaciones/ESTUDIOS%20DE%20PROGRAMMING/PROGRAMMING/PERSONAL/PYTHON/Image_Generator_API/imagenes/NAUTICA_CLASSICS_117003391_NSS_3.jpg")</f>
        <v/>
      </c>
      <c r="O1297">
        <f>HYPERLINK("imagenes/NAUTICA_CLASSICS_117003391_NSS_1.jpg","Ver imagen")</f>
        <v/>
      </c>
      <c r="P1297">
        <f>HYPERLINK("imagenes/NAUTICA_CLASSICS_117003391_NSS_2.jpg","Ver imagen")</f>
        <v/>
      </c>
      <c r="Q1297">
        <f>HYPERLINK("imagenes/NAUTICA_CLASSICS_117003391_NSS_3.jpg","Ver imagen")</f>
        <v/>
      </c>
    </row>
    <row r="1298">
      <c r="A1298" t="inlineStr">
        <is>
          <t>NAUTICA CLASSICS</t>
        </is>
      </c>
      <c r="B1298" t="inlineStr">
        <is>
          <t>117003391</t>
        </is>
      </c>
      <c r="C1298" t="inlineStr">
        <is>
          <t>NAUTICA PACKABLE STRETCH PUFFER</t>
        </is>
      </c>
      <c r="D1298" t="inlineStr">
        <is>
          <t>SW4</t>
        </is>
      </c>
      <c r="E1298" t="inlineStr">
        <is>
          <t>(en blanco)</t>
        </is>
      </c>
      <c r="F1298" t="inlineStr">
        <is>
          <t>(en blanco)</t>
        </is>
      </c>
      <c r="G1298" t="inlineStr">
        <is>
          <t>XS</t>
        </is>
      </c>
      <c r="H1298" t="n">
        <v>38</v>
      </c>
      <c r="I1298" t="inlineStr">
        <is>
          <t>NAUTICA_CLASSICS_117003391_SW4_1.jpg</t>
        </is>
      </c>
      <c r="J1298" t="inlineStr">
        <is>
          <t>NAUTICA_CLASSICS_117003391_SW4_3.jpg</t>
        </is>
      </c>
      <c r="L1298">
        <f>IMAGE("file:///E:/Estudios%20y%20certificaciones/ESTUDIOS%20DE%20PROGRAMMING/PROGRAMMING/PERSONAL/PYTHON/Image_Generator_API/imagenes/NAUTICA_CLASSICS_117003391_SW4_1.jpg")</f>
        <v/>
      </c>
      <c r="M1298">
        <f>IMAGE("file:///E:/Estudios%20y%20certificaciones/ESTUDIOS%20DE%20PROGRAMMING/PROGRAMMING/PERSONAL/PYTHON/Image_Generator_API/imagenes/NAUTICA_CLASSICS_117003391_SW4_3.jpg")</f>
        <v/>
      </c>
      <c r="O1298">
        <f>HYPERLINK("imagenes/NAUTICA_CLASSICS_117003391_SW4_1.jpg","Ver imagen")</f>
        <v/>
      </c>
      <c r="P1298">
        <f>HYPERLINK("imagenes/NAUTICA_CLASSICS_117003391_SW4_3.jpg","Ver imagen")</f>
        <v/>
      </c>
    </row>
    <row r="1299">
      <c r="A1299" t="inlineStr">
        <is>
          <t>NAUTICA CLASSICS</t>
        </is>
      </c>
      <c r="B1299" t="inlineStr">
        <is>
          <t>117003391</t>
        </is>
      </c>
      <c r="C1299" t="inlineStr">
        <is>
          <t>NAUTICA PACKABLE STRETCH PUFFER</t>
        </is>
      </c>
      <c r="D1299" t="inlineStr">
        <is>
          <t>SW4</t>
        </is>
      </c>
      <c r="E1299" t="inlineStr">
        <is>
          <t>(en blanco)</t>
        </is>
      </c>
      <c r="F1299" t="inlineStr">
        <is>
          <t>(en blanco)</t>
        </is>
      </c>
      <c r="G1299" t="inlineStr">
        <is>
          <t>S</t>
        </is>
      </c>
      <c r="H1299" t="n">
        <v>36</v>
      </c>
      <c r="I1299" t="inlineStr">
        <is>
          <t>NAUTICA_CLASSICS_117003391_SW4_1.jpg</t>
        </is>
      </c>
      <c r="J1299" t="inlineStr">
        <is>
          <t>NAUTICA_CLASSICS_117003391_SW4_3.jpg</t>
        </is>
      </c>
      <c r="L1299">
        <f>IMAGE("file:///E:/Estudios%20y%20certificaciones/ESTUDIOS%20DE%20PROGRAMMING/PROGRAMMING/PERSONAL/PYTHON/Image_Generator_API/imagenes/NAUTICA_CLASSICS_117003391_SW4_1.jpg")</f>
        <v/>
      </c>
      <c r="M1299">
        <f>IMAGE("file:///E:/Estudios%20y%20certificaciones/ESTUDIOS%20DE%20PROGRAMMING/PROGRAMMING/PERSONAL/PYTHON/Image_Generator_API/imagenes/NAUTICA_CLASSICS_117003391_SW4_3.jpg")</f>
        <v/>
      </c>
      <c r="O1299">
        <f>HYPERLINK("imagenes/NAUTICA_CLASSICS_117003391_SW4_1.jpg","Ver imagen")</f>
        <v/>
      </c>
      <c r="P1299">
        <f>HYPERLINK("imagenes/NAUTICA_CLASSICS_117003391_SW4_3.jpg","Ver imagen")</f>
        <v/>
      </c>
    </row>
    <row r="1300">
      <c r="A1300" t="inlineStr">
        <is>
          <t>NAUTICA CLASSICS</t>
        </is>
      </c>
      <c r="B1300" t="inlineStr">
        <is>
          <t>117003391</t>
        </is>
      </c>
      <c r="C1300" t="inlineStr">
        <is>
          <t>NAUTICA PACKABLE STRETCH PUFFER</t>
        </is>
      </c>
      <c r="D1300" t="inlineStr">
        <is>
          <t>SW4</t>
        </is>
      </c>
      <c r="E1300" t="inlineStr">
        <is>
          <t>(en blanco)</t>
        </is>
      </c>
      <c r="F1300" t="inlineStr">
        <is>
          <t>(en blanco)</t>
        </is>
      </c>
      <c r="G1300" t="inlineStr">
        <is>
          <t>M</t>
        </is>
      </c>
      <c r="H1300" t="n">
        <v>9</v>
      </c>
      <c r="I1300" t="inlineStr">
        <is>
          <t>NAUTICA_CLASSICS_117003391_SW4_1.jpg</t>
        </is>
      </c>
      <c r="J1300" t="inlineStr">
        <is>
          <t>NAUTICA_CLASSICS_117003391_SW4_3.jpg</t>
        </is>
      </c>
      <c r="L1300">
        <f>IMAGE("file:///E:/Estudios%20y%20certificaciones/ESTUDIOS%20DE%20PROGRAMMING/PROGRAMMING/PERSONAL/PYTHON/Image_Generator_API/imagenes/NAUTICA_CLASSICS_117003391_SW4_1.jpg")</f>
        <v/>
      </c>
      <c r="M1300">
        <f>IMAGE("file:///E:/Estudios%20y%20certificaciones/ESTUDIOS%20DE%20PROGRAMMING/PROGRAMMING/PERSONAL/PYTHON/Image_Generator_API/imagenes/NAUTICA_CLASSICS_117003391_SW4_3.jpg")</f>
        <v/>
      </c>
      <c r="O1300">
        <f>HYPERLINK("imagenes/NAUTICA_CLASSICS_117003391_SW4_1.jpg","Ver imagen")</f>
        <v/>
      </c>
      <c r="P1300">
        <f>HYPERLINK("imagenes/NAUTICA_CLASSICS_117003391_SW4_3.jpg","Ver imagen")</f>
        <v/>
      </c>
    </row>
    <row r="1301">
      <c r="A1301" t="inlineStr">
        <is>
          <t>NAUTICA CLASSICS</t>
        </is>
      </c>
      <c r="B1301" t="inlineStr">
        <is>
          <t>117003391</t>
        </is>
      </c>
      <c r="C1301" t="inlineStr">
        <is>
          <t>NAUTICA PACKABLE STRETCH PUFFER</t>
        </is>
      </c>
      <c r="D1301" t="inlineStr">
        <is>
          <t>SW4</t>
        </is>
      </c>
      <c r="E1301" t="inlineStr">
        <is>
          <t>(en blanco)</t>
        </is>
      </c>
      <c r="F1301" t="inlineStr">
        <is>
          <t>(en blanco)</t>
        </is>
      </c>
      <c r="G1301" t="inlineStr">
        <is>
          <t>L</t>
        </is>
      </c>
      <c r="H1301" t="n">
        <v>20</v>
      </c>
      <c r="I1301" t="inlineStr">
        <is>
          <t>NAUTICA_CLASSICS_117003391_SW4_1.jpg</t>
        </is>
      </c>
      <c r="J1301" t="inlineStr">
        <is>
          <t>NAUTICA_CLASSICS_117003391_SW4_3.jpg</t>
        </is>
      </c>
      <c r="L1301">
        <f>IMAGE("file:///E:/Estudios%20y%20certificaciones/ESTUDIOS%20DE%20PROGRAMMING/PROGRAMMING/PERSONAL/PYTHON/Image_Generator_API/imagenes/NAUTICA_CLASSICS_117003391_SW4_1.jpg")</f>
        <v/>
      </c>
      <c r="M1301">
        <f>IMAGE("file:///E:/Estudios%20y%20certificaciones/ESTUDIOS%20DE%20PROGRAMMING/PROGRAMMING/PERSONAL/PYTHON/Image_Generator_API/imagenes/NAUTICA_CLASSICS_117003391_SW4_3.jpg")</f>
        <v/>
      </c>
      <c r="O1301">
        <f>HYPERLINK("imagenes/NAUTICA_CLASSICS_117003391_SW4_1.jpg","Ver imagen")</f>
        <v/>
      </c>
      <c r="P1301">
        <f>HYPERLINK("imagenes/NAUTICA_CLASSICS_117003391_SW4_3.jpg","Ver imagen")</f>
        <v/>
      </c>
    </row>
    <row r="1302">
      <c r="A1302" t="inlineStr">
        <is>
          <t>NAUTICA CLASSICS</t>
        </is>
      </c>
      <c r="B1302" t="inlineStr">
        <is>
          <t>117003391</t>
        </is>
      </c>
      <c r="C1302" t="inlineStr">
        <is>
          <t>NAUTICA PACKABLE STRETCH PUFFER</t>
        </is>
      </c>
      <c r="D1302" t="inlineStr">
        <is>
          <t>SW4</t>
        </is>
      </c>
      <c r="E1302" t="inlineStr">
        <is>
          <t>(en blanco)</t>
        </is>
      </c>
      <c r="F1302" t="inlineStr">
        <is>
          <t>(en blanco)</t>
        </is>
      </c>
      <c r="G1302" t="inlineStr">
        <is>
          <t>XL</t>
        </is>
      </c>
      <c r="H1302" t="n">
        <v>10</v>
      </c>
      <c r="I1302" t="inlineStr">
        <is>
          <t>NAUTICA_CLASSICS_117003391_SW4_1.jpg</t>
        </is>
      </c>
      <c r="J1302" t="inlineStr">
        <is>
          <t>NAUTICA_CLASSICS_117003391_SW4_3.jpg</t>
        </is>
      </c>
      <c r="L1302">
        <f>IMAGE("file:///E:/Estudios%20y%20certificaciones/ESTUDIOS%20DE%20PROGRAMMING/PROGRAMMING/PERSONAL/PYTHON/Image_Generator_API/imagenes/NAUTICA_CLASSICS_117003391_SW4_1.jpg")</f>
        <v/>
      </c>
      <c r="M1302">
        <f>IMAGE("file:///E:/Estudios%20y%20certificaciones/ESTUDIOS%20DE%20PROGRAMMING/PROGRAMMING/PERSONAL/PYTHON/Image_Generator_API/imagenes/NAUTICA_CLASSICS_117003391_SW4_3.jpg")</f>
        <v/>
      </c>
      <c r="O1302">
        <f>HYPERLINK("imagenes/NAUTICA_CLASSICS_117003391_SW4_1.jpg","Ver imagen")</f>
        <v/>
      </c>
      <c r="P1302">
        <f>HYPERLINK("imagenes/NAUTICA_CLASSICS_117003391_SW4_3.jpg","Ver imagen")</f>
        <v/>
      </c>
    </row>
    <row r="1303">
      <c r="A1303" t="inlineStr">
        <is>
          <t>NAUTICA CLASSICS</t>
        </is>
      </c>
      <c r="B1303" t="inlineStr">
        <is>
          <t>117003450</t>
        </is>
      </c>
      <c r="C1303" t="inlineStr">
        <is>
          <t>NAUTICA WOMENS STRETCH PUFFER</t>
        </is>
      </c>
      <c r="D1303" t="inlineStr">
        <is>
          <t>BLK</t>
        </is>
      </c>
      <c r="E1303" t="inlineStr">
        <is>
          <t>08A05</t>
        </is>
      </c>
      <c r="F1303" t="inlineStr">
        <is>
          <t>(en blanco)</t>
        </is>
      </c>
      <c r="G1303" t="inlineStr">
        <is>
          <t>PPK</t>
        </is>
      </c>
      <c r="H1303" t="n">
        <v>4880</v>
      </c>
      <c r="I1303" t="inlineStr">
        <is>
          <t>NAUTICA_CLASSICS_117003450_BLK_1.jpg</t>
        </is>
      </c>
      <c r="J1303" t="inlineStr">
        <is>
          <t>NAUTICA_CLASSICS_117003450_BLK_2.jpg</t>
        </is>
      </c>
      <c r="K1303" t="inlineStr">
        <is>
          <t>NAUTICA_CLASSICS_117003450_BLK_3.jpg</t>
        </is>
      </c>
      <c r="L1303">
        <f>IMAGE("file:///E:/Estudios%20y%20certificaciones/ESTUDIOS%20DE%20PROGRAMMING/PROGRAMMING/PERSONAL/PYTHON/Image_Generator_API/imagenes/NAUTICA_CLASSICS_117003450_BLK_1.jpg")</f>
        <v/>
      </c>
      <c r="M1303">
        <f>IMAGE("file:///E:/Estudios%20y%20certificaciones/ESTUDIOS%20DE%20PROGRAMMING/PROGRAMMING/PERSONAL/PYTHON/Image_Generator_API/imagenes/NAUTICA_CLASSICS_117003450_BLK_2.jpg")</f>
        <v/>
      </c>
      <c r="N1303">
        <f>IMAGE("file:///E:/Estudios%20y%20certificaciones/ESTUDIOS%20DE%20PROGRAMMING/PROGRAMMING/PERSONAL/PYTHON/Image_Generator_API/imagenes/NAUTICA_CLASSICS_117003450_BLK_3.jpg")</f>
        <v/>
      </c>
      <c r="O1303">
        <f>HYPERLINK("imagenes/NAUTICA_CLASSICS_117003450_BLK_1.jpg","Ver imagen")</f>
        <v/>
      </c>
      <c r="P1303">
        <f>HYPERLINK("imagenes/NAUTICA_CLASSICS_117003450_BLK_2.jpg","Ver imagen")</f>
        <v/>
      </c>
      <c r="Q1303">
        <f>HYPERLINK("imagenes/NAUTICA_CLASSICS_117003450_BLK_3.jpg","Ver imagen")</f>
        <v/>
      </c>
    </row>
    <row r="1304">
      <c r="A1304" t="inlineStr">
        <is>
          <t>NAUTICA CLASSICS</t>
        </is>
      </c>
      <c r="B1304" t="inlineStr">
        <is>
          <t>117003450</t>
        </is>
      </c>
      <c r="C1304" t="inlineStr">
        <is>
          <t>NAUTICA WOMENS STRETCH PUFFER</t>
        </is>
      </c>
      <c r="D1304" t="inlineStr">
        <is>
          <t>PRY</t>
        </is>
      </c>
      <c r="E1304" t="inlineStr">
        <is>
          <t>08A05</t>
        </is>
      </c>
      <c r="F1304" t="inlineStr">
        <is>
          <t>(en blanco)</t>
        </is>
      </c>
      <c r="G1304" t="inlineStr">
        <is>
          <t>PPK</t>
        </is>
      </c>
      <c r="H1304" t="n">
        <v>1456</v>
      </c>
      <c r="I1304" t="inlineStr">
        <is>
          <t>NAUTICA_CLASSICS_117003450_PRY_1.jpg</t>
        </is>
      </c>
      <c r="J1304" t="inlineStr">
        <is>
          <t>NAUTICA_CLASSICS_117003450_PRY_2.jpg</t>
        </is>
      </c>
      <c r="K1304" t="inlineStr">
        <is>
          <t>NAUTICA_CLASSICS_117003450_PRY_3.jpg</t>
        </is>
      </c>
      <c r="L1304">
        <f>IMAGE("file:///E:/Estudios%20y%20certificaciones/ESTUDIOS%20DE%20PROGRAMMING/PROGRAMMING/PERSONAL/PYTHON/Image_Generator_API/imagenes/NAUTICA_CLASSICS_117003450_PRY_1.jpg")</f>
        <v/>
      </c>
      <c r="M1304">
        <f>IMAGE("file:///E:/Estudios%20y%20certificaciones/ESTUDIOS%20DE%20PROGRAMMING/PROGRAMMING/PERSONAL/PYTHON/Image_Generator_API/imagenes/NAUTICA_CLASSICS_117003450_PRY_2.jpg")</f>
        <v/>
      </c>
      <c r="N1304">
        <f>IMAGE("file:///E:/Estudios%20y%20certificaciones/ESTUDIOS%20DE%20PROGRAMMING/PROGRAMMING/PERSONAL/PYTHON/Image_Generator_API/imagenes/NAUTICA_CLASSICS_117003450_PRY_3.jpg")</f>
        <v/>
      </c>
      <c r="O1304">
        <f>HYPERLINK("imagenes/NAUTICA_CLASSICS_117003450_PRY_1.jpg","Ver imagen")</f>
        <v/>
      </c>
      <c r="P1304">
        <f>HYPERLINK("imagenes/NAUTICA_CLASSICS_117003450_PRY_2.jpg","Ver imagen")</f>
        <v/>
      </c>
      <c r="Q1304">
        <f>HYPERLINK("imagenes/NAUTICA_CLASSICS_117003450_PRY_3.jpg","Ver imagen")</f>
        <v/>
      </c>
    </row>
    <row r="1305">
      <c r="A1305" t="inlineStr">
        <is>
          <t>NAUTICA CLASSICS</t>
        </is>
      </c>
      <c r="B1305" t="inlineStr">
        <is>
          <t>117003450</t>
        </is>
      </c>
      <c r="C1305" t="inlineStr">
        <is>
          <t>NAUTICA WOMENS STRETCH PUFFER</t>
        </is>
      </c>
      <c r="D1305" t="inlineStr">
        <is>
          <t>ZCR</t>
        </is>
      </c>
      <c r="E1305" t="inlineStr">
        <is>
          <t>08A05</t>
        </is>
      </c>
      <c r="F1305" t="inlineStr">
        <is>
          <t>(en blanco)</t>
        </is>
      </c>
      <c r="G1305" t="inlineStr">
        <is>
          <t>PPK</t>
        </is>
      </c>
      <c r="H1305" t="n">
        <v>2552</v>
      </c>
      <c r="I1305" t="inlineStr">
        <is>
          <t>NAUTICA_CLASSICS_117003450_ZCR_1.jpg</t>
        </is>
      </c>
      <c r="J1305" t="inlineStr">
        <is>
          <t>NAUTICA_CLASSICS_117003450_ZCR_2.jpg</t>
        </is>
      </c>
      <c r="K1305" t="inlineStr">
        <is>
          <t>NAUTICA_CLASSICS_117003450_ZCR_3.jpg</t>
        </is>
      </c>
      <c r="L1305">
        <f>IMAGE("file:///E:/Estudios%20y%20certificaciones/ESTUDIOS%20DE%20PROGRAMMING/PROGRAMMING/PERSONAL/PYTHON/Image_Generator_API/imagenes/NAUTICA_CLASSICS_117003450_ZCR_1.jpg")</f>
        <v/>
      </c>
      <c r="M1305">
        <f>IMAGE("file:///E:/Estudios%20y%20certificaciones/ESTUDIOS%20DE%20PROGRAMMING/PROGRAMMING/PERSONAL/PYTHON/Image_Generator_API/imagenes/NAUTICA_CLASSICS_117003450_ZCR_2.jpg")</f>
        <v/>
      </c>
      <c r="N1305">
        <f>IMAGE("file:///E:/Estudios%20y%20certificaciones/ESTUDIOS%20DE%20PROGRAMMING/PROGRAMMING/PERSONAL/PYTHON/Image_Generator_API/imagenes/NAUTICA_CLASSICS_117003450_ZCR_3.jpg")</f>
        <v/>
      </c>
      <c r="O1305">
        <f>HYPERLINK("imagenes/NAUTICA_CLASSICS_117003450_ZCR_1.jpg","Ver imagen")</f>
        <v/>
      </c>
      <c r="P1305">
        <f>HYPERLINK("imagenes/NAUTICA_CLASSICS_117003450_ZCR_2.jpg","Ver imagen")</f>
        <v/>
      </c>
      <c r="Q1305">
        <f>HYPERLINK("imagenes/NAUTICA_CLASSICS_117003450_ZCR_3.jpg","Ver imagen")</f>
        <v/>
      </c>
    </row>
    <row r="1306">
      <c r="A1306" t="inlineStr">
        <is>
          <t>NAUTICA CLASSICS</t>
        </is>
      </c>
      <c r="B1306" t="inlineStr">
        <is>
          <t>117003535</t>
        </is>
      </c>
      <c r="C1306" t="inlineStr">
        <is>
          <t>JACKET WITH INSIDE QUILTING</t>
        </is>
      </c>
      <c r="D1306" t="inlineStr">
        <is>
          <t>BLK</t>
        </is>
      </c>
      <c r="E1306" t="inlineStr">
        <is>
          <t>(en blanco)</t>
        </is>
      </c>
      <c r="F1306" t="inlineStr">
        <is>
          <t>(en blanco)</t>
        </is>
      </c>
      <c r="G1306" t="inlineStr">
        <is>
          <t>S</t>
        </is>
      </c>
      <c r="H1306" t="n">
        <v>18</v>
      </c>
      <c r="I1306" t="inlineStr">
        <is>
          <t>NAUTICA_CLASSICS_117003535_BLK_1.jpg</t>
        </is>
      </c>
      <c r="J1306" t="inlineStr">
        <is>
          <t>NAUTICA_CLASSICS_117003535_BLK_2.jpg</t>
        </is>
      </c>
      <c r="K1306" t="inlineStr">
        <is>
          <t>NAUTICA_CLASSICS_117003535_BLK_3.jpg</t>
        </is>
      </c>
      <c r="L1306">
        <f>IMAGE("file:///E:/Estudios%20y%20certificaciones/ESTUDIOS%20DE%20PROGRAMMING/PROGRAMMING/PERSONAL/PYTHON/Image_Generator_API/imagenes/NAUTICA_CLASSICS_117003535_BLK_1.jpg")</f>
        <v/>
      </c>
      <c r="M1306">
        <f>IMAGE("file:///E:/Estudios%20y%20certificaciones/ESTUDIOS%20DE%20PROGRAMMING/PROGRAMMING/PERSONAL/PYTHON/Image_Generator_API/imagenes/NAUTICA_CLASSICS_117003535_BLK_2.jpg")</f>
        <v/>
      </c>
      <c r="N1306">
        <f>IMAGE("file:///E:/Estudios%20y%20certificaciones/ESTUDIOS%20DE%20PROGRAMMING/PROGRAMMING/PERSONAL/PYTHON/Image_Generator_API/imagenes/NAUTICA_CLASSICS_117003535_BLK_3.jpg")</f>
        <v/>
      </c>
      <c r="O1306">
        <f>HYPERLINK("imagenes/NAUTICA_CLASSICS_117003535_BLK_1.jpg","Ver imagen")</f>
        <v/>
      </c>
      <c r="P1306">
        <f>HYPERLINK("imagenes/NAUTICA_CLASSICS_117003535_BLK_2.jpg","Ver imagen")</f>
        <v/>
      </c>
      <c r="Q1306">
        <f>HYPERLINK("imagenes/NAUTICA_CLASSICS_117003535_BLK_3.jpg","Ver imagen")</f>
        <v/>
      </c>
    </row>
    <row r="1307">
      <c r="A1307" t="inlineStr">
        <is>
          <t>NAUTICA CLASSICS</t>
        </is>
      </c>
      <c r="B1307" t="inlineStr">
        <is>
          <t>117003535</t>
        </is>
      </c>
      <c r="C1307" t="inlineStr">
        <is>
          <t>JACKET WITH INSIDE QUILTING</t>
        </is>
      </c>
      <c r="D1307" t="inlineStr">
        <is>
          <t>BLK</t>
        </is>
      </c>
      <c r="E1307" t="inlineStr">
        <is>
          <t>(en blanco)</t>
        </is>
      </c>
      <c r="F1307" t="inlineStr">
        <is>
          <t>(en blanco)</t>
        </is>
      </c>
      <c r="G1307" t="inlineStr">
        <is>
          <t>M</t>
        </is>
      </c>
      <c r="H1307" t="n">
        <v>15</v>
      </c>
      <c r="I1307" t="inlineStr">
        <is>
          <t>NAUTICA_CLASSICS_117003535_BLK_1.jpg</t>
        </is>
      </c>
      <c r="J1307" t="inlineStr">
        <is>
          <t>NAUTICA_CLASSICS_117003535_BLK_2.jpg</t>
        </is>
      </c>
      <c r="K1307" t="inlineStr">
        <is>
          <t>NAUTICA_CLASSICS_117003535_BLK_3.jpg</t>
        </is>
      </c>
      <c r="L1307">
        <f>IMAGE("file:///E:/Estudios%20y%20certificaciones/ESTUDIOS%20DE%20PROGRAMMING/PROGRAMMING/PERSONAL/PYTHON/Image_Generator_API/imagenes/NAUTICA_CLASSICS_117003535_BLK_1.jpg")</f>
        <v/>
      </c>
      <c r="M1307">
        <f>IMAGE("file:///E:/Estudios%20y%20certificaciones/ESTUDIOS%20DE%20PROGRAMMING/PROGRAMMING/PERSONAL/PYTHON/Image_Generator_API/imagenes/NAUTICA_CLASSICS_117003535_BLK_2.jpg")</f>
        <v/>
      </c>
      <c r="N1307">
        <f>IMAGE("file:///E:/Estudios%20y%20certificaciones/ESTUDIOS%20DE%20PROGRAMMING/PROGRAMMING/PERSONAL/PYTHON/Image_Generator_API/imagenes/NAUTICA_CLASSICS_117003535_BLK_3.jpg")</f>
        <v/>
      </c>
      <c r="O1307">
        <f>HYPERLINK("imagenes/NAUTICA_CLASSICS_117003535_BLK_1.jpg","Ver imagen")</f>
        <v/>
      </c>
      <c r="P1307">
        <f>HYPERLINK("imagenes/NAUTICA_CLASSICS_117003535_BLK_2.jpg","Ver imagen")</f>
        <v/>
      </c>
      <c r="Q1307">
        <f>HYPERLINK("imagenes/NAUTICA_CLASSICS_117003535_BLK_3.jpg","Ver imagen")</f>
        <v/>
      </c>
    </row>
    <row r="1308">
      <c r="A1308" t="inlineStr">
        <is>
          <t>NAUTICA CLASSICS</t>
        </is>
      </c>
      <c r="B1308" t="inlineStr">
        <is>
          <t>117003535</t>
        </is>
      </c>
      <c r="C1308" t="inlineStr">
        <is>
          <t>JACKET WITH INSIDE QUILTING</t>
        </is>
      </c>
      <c r="D1308" t="inlineStr">
        <is>
          <t>BLK</t>
        </is>
      </c>
      <c r="E1308" t="inlineStr">
        <is>
          <t>(en blanco)</t>
        </is>
      </c>
      <c r="F1308" t="inlineStr">
        <is>
          <t>(en blanco)</t>
        </is>
      </c>
      <c r="G1308" t="inlineStr">
        <is>
          <t>L</t>
        </is>
      </c>
      <c r="H1308" t="n">
        <v>13</v>
      </c>
      <c r="I1308" t="inlineStr">
        <is>
          <t>NAUTICA_CLASSICS_117003535_BLK_1.jpg</t>
        </is>
      </c>
      <c r="J1308" t="inlineStr">
        <is>
          <t>NAUTICA_CLASSICS_117003535_BLK_2.jpg</t>
        </is>
      </c>
      <c r="K1308" t="inlineStr">
        <is>
          <t>NAUTICA_CLASSICS_117003535_BLK_3.jpg</t>
        </is>
      </c>
      <c r="L1308">
        <f>IMAGE("file:///E:/Estudios%20y%20certificaciones/ESTUDIOS%20DE%20PROGRAMMING/PROGRAMMING/PERSONAL/PYTHON/Image_Generator_API/imagenes/NAUTICA_CLASSICS_117003535_BLK_1.jpg")</f>
        <v/>
      </c>
      <c r="M1308">
        <f>IMAGE("file:///E:/Estudios%20y%20certificaciones/ESTUDIOS%20DE%20PROGRAMMING/PROGRAMMING/PERSONAL/PYTHON/Image_Generator_API/imagenes/NAUTICA_CLASSICS_117003535_BLK_2.jpg")</f>
        <v/>
      </c>
      <c r="N1308">
        <f>IMAGE("file:///E:/Estudios%20y%20certificaciones/ESTUDIOS%20DE%20PROGRAMMING/PROGRAMMING/PERSONAL/PYTHON/Image_Generator_API/imagenes/NAUTICA_CLASSICS_117003535_BLK_3.jpg")</f>
        <v/>
      </c>
      <c r="O1308">
        <f>HYPERLINK("imagenes/NAUTICA_CLASSICS_117003535_BLK_1.jpg","Ver imagen")</f>
        <v/>
      </c>
      <c r="P1308">
        <f>HYPERLINK("imagenes/NAUTICA_CLASSICS_117003535_BLK_2.jpg","Ver imagen")</f>
        <v/>
      </c>
      <c r="Q1308">
        <f>HYPERLINK("imagenes/NAUTICA_CLASSICS_117003535_BLK_3.jpg","Ver imagen")</f>
        <v/>
      </c>
    </row>
    <row r="1309">
      <c r="A1309" t="inlineStr">
        <is>
          <t>NAUTICA CLASSICS</t>
        </is>
      </c>
      <c r="B1309" t="inlineStr">
        <is>
          <t>117003535</t>
        </is>
      </c>
      <c r="C1309" t="inlineStr">
        <is>
          <t>JACKET WITH INSIDE QUILTING</t>
        </is>
      </c>
      <c r="D1309" t="inlineStr">
        <is>
          <t>BLK</t>
        </is>
      </c>
      <c r="E1309" t="inlineStr">
        <is>
          <t>(en blanco)</t>
        </is>
      </c>
      <c r="F1309" t="inlineStr">
        <is>
          <t>(en blanco)</t>
        </is>
      </c>
      <c r="G1309" t="inlineStr">
        <is>
          <t>XL</t>
        </is>
      </c>
      <c r="H1309" t="n">
        <v>4</v>
      </c>
      <c r="I1309" t="inlineStr">
        <is>
          <t>NAUTICA_CLASSICS_117003535_BLK_1.jpg</t>
        </is>
      </c>
      <c r="J1309" t="inlineStr">
        <is>
          <t>NAUTICA_CLASSICS_117003535_BLK_2.jpg</t>
        </is>
      </c>
      <c r="K1309" t="inlineStr">
        <is>
          <t>NAUTICA_CLASSICS_117003535_BLK_3.jpg</t>
        </is>
      </c>
      <c r="L1309">
        <f>IMAGE("file:///E:/Estudios%20y%20certificaciones/ESTUDIOS%20DE%20PROGRAMMING/PROGRAMMING/PERSONAL/PYTHON/Image_Generator_API/imagenes/NAUTICA_CLASSICS_117003535_BLK_1.jpg")</f>
        <v/>
      </c>
      <c r="M1309">
        <f>IMAGE("file:///E:/Estudios%20y%20certificaciones/ESTUDIOS%20DE%20PROGRAMMING/PROGRAMMING/PERSONAL/PYTHON/Image_Generator_API/imagenes/NAUTICA_CLASSICS_117003535_BLK_2.jpg")</f>
        <v/>
      </c>
      <c r="N1309">
        <f>IMAGE("file:///E:/Estudios%20y%20certificaciones/ESTUDIOS%20DE%20PROGRAMMING/PROGRAMMING/PERSONAL/PYTHON/Image_Generator_API/imagenes/NAUTICA_CLASSICS_117003535_BLK_3.jpg")</f>
        <v/>
      </c>
      <c r="O1309">
        <f>HYPERLINK("imagenes/NAUTICA_CLASSICS_117003535_BLK_1.jpg","Ver imagen")</f>
        <v/>
      </c>
      <c r="P1309">
        <f>HYPERLINK("imagenes/NAUTICA_CLASSICS_117003535_BLK_2.jpg","Ver imagen")</f>
        <v/>
      </c>
      <c r="Q1309">
        <f>HYPERLINK("imagenes/NAUTICA_CLASSICS_117003535_BLK_3.jpg","Ver imagen")</f>
        <v/>
      </c>
    </row>
    <row r="1310">
      <c r="A1310" t="inlineStr">
        <is>
          <t>NAUTICA CLASSICS</t>
        </is>
      </c>
      <c r="B1310" t="inlineStr">
        <is>
          <t>117003535</t>
        </is>
      </c>
      <c r="C1310" t="inlineStr">
        <is>
          <t>JACKET WITH INSIDE QUILTING</t>
        </is>
      </c>
      <c r="D1310" t="inlineStr">
        <is>
          <t>BLU</t>
        </is>
      </c>
      <c r="E1310" t="inlineStr">
        <is>
          <t>(en blanco)</t>
        </is>
      </c>
      <c r="F1310" t="inlineStr">
        <is>
          <t>(en blanco)</t>
        </is>
      </c>
      <c r="G1310" t="inlineStr">
        <is>
          <t>S</t>
        </is>
      </c>
      <c r="H1310" t="n">
        <v>1</v>
      </c>
      <c r="I1310" t="inlineStr">
        <is>
          <t>NAUTICA_CLASSICS_117003535_BLU_1.jpg</t>
        </is>
      </c>
      <c r="J1310" t="inlineStr">
        <is>
          <t>NAUTICA_CLASSICS_117003535_BLU_2.jpg</t>
        </is>
      </c>
      <c r="K1310" t="inlineStr">
        <is>
          <t>NAUTICA_CLASSICS_117003535_BLU_3.jpg</t>
        </is>
      </c>
      <c r="L1310">
        <f>IMAGE("file:///E:/Estudios%20y%20certificaciones/ESTUDIOS%20DE%20PROGRAMMING/PROGRAMMING/PERSONAL/PYTHON/Image_Generator_API/imagenes/NAUTICA_CLASSICS_117003535_BLU_1.jpg")</f>
        <v/>
      </c>
      <c r="M1310">
        <f>IMAGE("file:///E:/Estudios%20y%20certificaciones/ESTUDIOS%20DE%20PROGRAMMING/PROGRAMMING/PERSONAL/PYTHON/Image_Generator_API/imagenes/NAUTICA_CLASSICS_117003535_BLU_2.jpg")</f>
        <v/>
      </c>
      <c r="N1310">
        <f>IMAGE("file:///E:/Estudios%20y%20certificaciones/ESTUDIOS%20DE%20PROGRAMMING/PROGRAMMING/PERSONAL/PYTHON/Image_Generator_API/imagenes/NAUTICA_CLASSICS_117003535_BLU_3.jpg")</f>
        <v/>
      </c>
      <c r="O1310">
        <f>HYPERLINK("imagenes/NAUTICA_CLASSICS_117003535_BLU_1.jpg","Ver imagen")</f>
        <v/>
      </c>
      <c r="P1310">
        <f>HYPERLINK("imagenes/NAUTICA_CLASSICS_117003535_BLU_2.jpg","Ver imagen")</f>
        <v/>
      </c>
      <c r="Q1310">
        <f>HYPERLINK("imagenes/NAUTICA_CLASSICS_117003535_BLU_3.jpg","Ver imagen")</f>
        <v/>
      </c>
    </row>
    <row r="1311">
      <c r="A1311" t="inlineStr">
        <is>
          <t>NAUTICA CLASSICS</t>
        </is>
      </c>
      <c r="B1311" t="inlineStr">
        <is>
          <t>117003535</t>
        </is>
      </c>
      <c r="C1311" t="inlineStr">
        <is>
          <t>JACKET WITH INSIDE QUILTING</t>
        </is>
      </c>
      <c r="D1311" t="inlineStr">
        <is>
          <t>BLU</t>
        </is>
      </c>
      <c r="E1311" t="inlineStr">
        <is>
          <t>(en blanco)</t>
        </is>
      </c>
      <c r="F1311" t="inlineStr">
        <is>
          <t>(en blanco)</t>
        </is>
      </c>
      <c r="G1311" t="inlineStr">
        <is>
          <t>M</t>
        </is>
      </c>
      <c r="H1311" t="n">
        <v>2</v>
      </c>
      <c r="I1311" t="inlineStr">
        <is>
          <t>NAUTICA_CLASSICS_117003535_BLU_1.jpg</t>
        </is>
      </c>
      <c r="J1311" t="inlineStr">
        <is>
          <t>NAUTICA_CLASSICS_117003535_BLU_2.jpg</t>
        </is>
      </c>
      <c r="K1311" t="inlineStr">
        <is>
          <t>NAUTICA_CLASSICS_117003535_BLU_3.jpg</t>
        </is>
      </c>
      <c r="L1311">
        <f>IMAGE("file:///E:/Estudios%20y%20certificaciones/ESTUDIOS%20DE%20PROGRAMMING/PROGRAMMING/PERSONAL/PYTHON/Image_Generator_API/imagenes/NAUTICA_CLASSICS_117003535_BLU_1.jpg")</f>
        <v/>
      </c>
      <c r="M1311">
        <f>IMAGE("file:///E:/Estudios%20y%20certificaciones/ESTUDIOS%20DE%20PROGRAMMING/PROGRAMMING/PERSONAL/PYTHON/Image_Generator_API/imagenes/NAUTICA_CLASSICS_117003535_BLU_2.jpg")</f>
        <v/>
      </c>
      <c r="N1311">
        <f>IMAGE("file:///E:/Estudios%20y%20certificaciones/ESTUDIOS%20DE%20PROGRAMMING/PROGRAMMING/PERSONAL/PYTHON/Image_Generator_API/imagenes/NAUTICA_CLASSICS_117003535_BLU_3.jpg")</f>
        <v/>
      </c>
      <c r="O1311">
        <f>HYPERLINK("imagenes/NAUTICA_CLASSICS_117003535_BLU_1.jpg","Ver imagen")</f>
        <v/>
      </c>
      <c r="P1311">
        <f>HYPERLINK("imagenes/NAUTICA_CLASSICS_117003535_BLU_2.jpg","Ver imagen")</f>
        <v/>
      </c>
      <c r="Q1311">
        <f>HYPERLINK("imagenes/NAUTICA_CLASSICS_117003535_BLU_3.jpg","Ver imagen")</f>
        <v/>
      </c>
    </row>
    <row r="1312">
      <c r="A1312" t="inlineStr">
        <is>
          <t>NAUTICA CLASSICS</t>
        </is>
      </c>
      <c r="B1312" t="inlineStr">
        <is>
          <t>117003535</t>
        </is>
      </c>
      <c r="C1312" t="inlineStr">
        <is>
          <t>JACKET WITH INSIDE QUILTING</t>
        </is>
      </c>
      <c r="D1312" t="inlineStr">
        <is>
          <t>BLU</t>
        </is>
      </c>
      <c r="E1312" t="inlineStr">
        <is>
          <t>(en blanco)</t>
        </is>
      </c>
      <c r="F1312" t="inlineStr">
        <is>
          <t>(en blanco)</t>
        </is>
      </c>
      <c r="G1312" t="inlineStr">
        <is>
          <t>XL</t>
        </is>
      </c>
      <c r="H1312" t="n">
        <v>1</v>
      </c>
      <c r="I1312" t="inlineStr">
        <is>
          <t>NAUTICA_CLASSICS_117003535_BLU_1.jpg</t>
        </is>
      </c>
      <c r="J1312" t="inlineStr">
        <is>
          <t>NAUTICA_CLASSICS_117003535_BLU_2.jpg</t>
        </is>
      </c>
      <c r="K1312" t="inlineStr">
        <is>
          <t>NAUTICA_CLASSICS_117003535_BLU_3.jpg</t>
        </is>
      </c>
      <c r="L1312">
        <f>IMAGE("file:///E:/Estudios%20y%20certificaciones/ESTUDIOS%20DE%20PROGRAMMING/PROGRAMMING/PERSONAL/PYTHON/Image_Generator_API/imagenes/NAUTICA_CLASSICS_117003535_BLU_1.jpg")</f>
        <v/>
      </c>
      <c r="M1312">
        <f>IMAGE("file:///E:/Estudios%20y%20certificaciones/ESTUDIOS%20DE%20PROGRAMMING/PROGRAMMING/PERSONAL/PYTHON/Image_Generator_API/imagenes/NAUTICA_CLASSICS_117003535_BLU_2.jpg")</f>
        <v/>
      </c>
      <c r="N1312">
        <f>IMAGE("file:///E:/Estudios%20y%20certificaciones/ESTUDIOS%20DE%20PROGRAMMING/PROGRAMMING/PERSONAL/PYTHON/Image_Generator_API/imagenes/NAUTICA_CLASSICS_117003535_BLU_3.jpg")</f>
        <v/>
      </c>
      <c r="O1312">
        <f>HYPERLINK("imagenes/NAUTICA_CLASSICS_117003535_BLU_1.jpg","Ver imagen")</f>
        <v/>
      </c>
      <c r="P1312">
        <f>HYPERLINK("imagenes/NAUTICA_CLASSICS_117003535_BLU_2.jpg","Ver imagen")</f>
        <v/>
      </c>
      <c r="Q1312">
        <f>HYPERLINK("imagenes/NAUTICA_CLASSICS_117003535_BLU_3.jpg","Ver imagen")</f>
        <v/>
      </c>
    </row>
    <row r="1313">
      <c r="A1313" t="inlineStr">
        <is>
          <t>NAUTICA CLASSICS</t>
        </is>
      </c>
      <c r="B1313" t="inlineStr">
        <is>
          <t>117003535</t>
        </is>
      </c>
      <c r="C1313" t="inlineStr">
        <is>
          <t>JACKET WITH INSIDE QUILTING</t>
        </is>
      </c>
      <c r="D1313" t="inlineStr">
        <is>
          <t>PRP</t>
        </is>
      </c>
      <c r="E1313" t="inlineStr">
        <is>
          <t>(en blanco)</t>
        </is>
      </c>
      <c r="F1313" t="inlineStr">
        <is>
          <t>(en blanco)</t>
        </is>
      </c>
      <c r="G1313" t="inlineStr">
        <is>
          <t>XS</t>
        </is>
      </c>
      <c r="H1313" t="n">
        <v>44</v>
      </c>
      <c r="I1313" t="inlineStr">
        <is>
          <t>NAUTICA_CLASSICS_117003535_PRP_1.jpg</t>
        </is>
      </c>
      <c r="J1313" t="inlineStr">
        <is>
          <t>NAUTICA_CLASSICS_117003535_PRP_2.jpg</t>
        </is>
      </c>
      <c r="K1313" t="inlineStr">
        <is>
          <t>NAUTICA_CLASSICS_117003535_PRP_3.jpg</t>
        </is>
      </c>
      <c r="L1313">
        <f>IMAGE("file:///E:/Estudios%20y%20certificaciones/ESTUDIOS%20DE%20PROGRAMMING/PROGRAMMING/PERSONAL/PYTHON/Image_Generator_API/imagenes/NAUTICA_CLASSICS_117003535_PRP_1.jpg")</f>
        <v/>
      </c>
      <c r="M1313">
        <f>IMAGE("file:///E:/Estudios%20y%20certificaciones/ESTUDIOS%20DE%20PROGRAMMING/PROGRAMMING/PERSONAL/PYTHON/Image_Generator_API/imagenes/NAUTICA_CLASSICS_117003535_PRP_2.jpg")</f>
        <v/>
      </c>
      <c r="N1313">
        <f>IMAGE("file:///E:/Estudios%20y%20certificaciones/ESTUDIOS%20DE%20PROGRAMMING/PROGRAMMING/PERSONAL/PYTHON/Image_Generator_API/imagenes/NAUTICA_CLASSICS_117003535_PRP_3.jpg")</f>
        <v/>
      </c>
      <c r="O1313">
        <f>HYPERLINK("imagenes/NAUTICA_CLASSICS_117003535_PRP_1.jpg","Ver imagen")</f>
        <v/>
      </c>
      <c r="P1313">
        <f>HYPERLINK("imagenes/NAUTICA_CLASSICS_117003535_PRP_2.jpg","Ver imagen")</f>
        <v/>
      </c>
      <c r="Q1313">
        <f>HYPERLINK("imagenes/NAUTICA_CLASSICS_117003535_PRP_3.jpg","Ver imagen")</f>
        <v/>
      </c>
    </row>
    <row r="1314">
      <c r="A1314" t="inlineStr">
        <is>
          <t>NAUTICA CLASSICS</t>
        </is>
      </c>
      <c r="B1314" t="inlineStr">
        <is>
          <t>117003535</t>
        </is>
      </c>
      <c r="C1314" t="inlineStr">
        <is>
          <t>JACKET WITH INSIDE QUILTING</t>
        </is>
      </c>
      <c r="D1314" t="inlineStr">
        <is>
          <t>PRP</t>
        </is>
      </c>
      <c r="E1314" t="inlineStr">
        <is>
          <t>(en blanco)</t>
        </is>
      </c>
      <c r="F1314" t="inlineStr">
        <is>
          <t>(en blanco)</t>
        </is>
      </c>
      <c r="G1314" t="inlineStr">
        <is>
          <t>S</t>
        </is>
      </c>
      <c r="H1314" t="n">
        <v>22</v>
      </c>
      <c r="I1314" t="inlineStr">
        <is>
          <t>NAUTICA_CLASSICS_117003535_PRP_1.jpg</t>
        </is>
      </c>
      <c r="J1314" t="inlineStr">
        <is>
          <t>NAUTICA_CLASSICS_117003535_PRP_2.jpg</t>
        </is>
      </c>
      <c r="K1314" t="inlineStr">
        <is>
          <t>NAUTICA_CLASSICS_117003535_PRP_3.jpg</t>
        </is>
      </c>
      <c r="L1314">
        <f>IMAGE("file:///E:/Estudios%20y%20certificaciones/ESTUDIOS%20DE%20PROGRAMMING/PROGRAMMING/PERSONAL/PYTHON/Image_Generator_API/imagenes/NAUTICA_CLASSICS_117003535_PRP_1.jpg")</f>
        <v/>
      </c>
      <c r="M1314">
        <f>IMAGE("file:///E:/Estudios%20y%20certificaciones/ESTUDIOS%20DE%20PROGRAMMING/PROGRAMMING/PERSONAL/PYTHON/Image_Generator_API/imagenes/NAUTICA_CLASSICS_117003535_PRP_2.jpg")</f>
        <v/>
      </c>
      <c r="N1314">
        <f>IMAGE("file:///E:/Estudios%20y%20certificaciones/ESTUDIOS%20DE%20PROGRAMMING/PROGRAMMING/PERSONAL/PYTHON/Image_Generator_API/imagenes/NAUTICA_CLASSICS_117003535_PRP_3.jpg")</f>
        <v/>
      </c>
      <c r="O1314">
        <f>HYPERLINK("imagenes/NAUTICA_CLASSICS_117003535_PRP_1.jpg","Ver imagen")</f>
        <v/>
      </c>
      <c r="P1314">
        <f>HYPERLINK("imagenes/NAUTICA_CLASSICS_117003535_PRP_2.jpg","Ver imagen")</f>
        <v/>
      </c>
      <c r="Q1314">
        <f>HYPERLINK("imagenes/NAUTICA_CLASSICS_117003535_PRP_3.jpg","Ver imagen")</f>
        <v/>
      </c>
    </row>
    <row r="1315">
      <c r="A1315" t="inlineStr">
        <is>
          <t>NAUTICA CLASSICS</t>
        </is>
      </c>
      <c r="B1315" t="inlineStr">
        <is>
          <t>117003762</t>
        </is>
      </c>
      <c r="C1315" t="inlineStr">
        <is>
          <t>HYBRID SOFTSHELL STRETCH JACKET</t>
        </is>
      </c>
      <c r="D1315" t="inlineStr">
        <is>
          <t>BLK</t>
        </is>
      </c>
      <c r="E1315" t="inlineStr">
        <is>
          <t>(en blanco)</t>
        </is>
      </c>
      <c r="F1315" t="inlineStr">
        <is>
          <t>(en blanco)</t>
        </is>
      </c>
      <c r="G1315" t="inlineStr">
        <is>
          <t>XS</t>
        </is>
      </c>
      <c r="H1315" t="n">
        <v>67</v>
      </c>
      <c r="I1315" t="inlineStr">
        <is>
          <t>NAUTICA_CLASSICS_117003762_BLK_1.jpg</t>
        </is>
      </c>
      <c r="J1315" t="inlineStr">
        <is>
          <t>NAUTICA_CLASSICS_117003762_BLK_2.jpg</t>
        </is>
      </c>
      <c r="K1315" t="inlineStr">
        <is>
          <t>NAUTICA_CLASSICS_117003762_BLK_3.jpg</t>
        </is>
      </c>
      <c r="L1315">
        <f>IMAGE("file:///E:/Estudios%20y%20certificaciones/ESTUDIOS%20DE%20PROGRAMMING/PROGRAMMING/PERSONAL/PYTHON/Image_Generator_API/imagenes/NAUTICA_CLASSICS_117003762_BLK_1.jpg")</f>
        <v/>
      </c>
      <c r="M1315">
        <f>IMAGE("file:///E:/Estudios%20y%20certificaciones/ESTUDIOS%20DE%20PROGRAMMING/PROGRAMMING/PERSONAL/PYTHON/Image_Generator_API/imagenes/NAUTICA_CLASSICS_117003762_BLK_2.jpg")</f>
        <v/>
      </c>
      <c r="N1315">
        <f>IMAGE("file:///E:/Estudios%20y%20certificaciones/ESTUDIOS%20DE%20PROGRAMMING/PROGRAMMING/PERSONAL/PYTHON/Image_Generator_API/imagenes/NAUTICA_CLASSICS_117003762_BLK_3.jpg")</f>
        <v/>
      </c>
      <c r="O1315">
        <f>HYPERLINK("imagenes/NAUTICA_CLASSICS_117003762_BLK_1.jpg","Ver imagen")</f>
        <v/>
      </c>
      <c r="P1315">
        <f>HYPERLINK("imagenes/NAUTICA_CLASSICS_117003762_BLK_2.jpg","Ver imagen")</f>
        <v/>
      </c>
      <c r="Q1315">
        <f>HYPERLINK("imagenes/NAUTICA_CLASSICS_117003762_BLK_3.jpg","Ver imagen")</f>
        <v/>
      </c>
    </row>
    <row r="1316">
      <c r="A1316" t="inlineStr">
        <is>
          <t>NAUTICA CLASSICS</t>
        </is>
      </c>
      <c r="B1316" t="inlineStr">
        <is>
          <t>117003762</t>
        </is>
      </c>
      <c r="C1316" t="inlineStr">
        <is>
          <t>HYBRID SOFTSHELL STRETCH JACKET</t>
        </is>
      </c>
      <c r="D1316" t="inlineStr">
        <is>
          <t>BLK</t>
        </is>
      </c>
      <c r="E1316" t="inlineStr">
        <is>
          <t>(en blanco)</t>
        </is>
      </c>
      <c r="F1316" t="inlineStr">
        <is>
          <t>(en blanco)</t>
        </is>
      </c>
      <c r="G1316" t="inlineStr">
        <is>
          <t>S</t>
        </is>
      </c>
      <c r="H1316" t="n">
        <v>140</v>
      </c>
      <c r="I1316" t="inlineStr">
        <is>
          <t>NAUTICA_CLASSICS_117003762_BLK_1.jpg</t>
        </is>
      </c>
      <c r="J1316" t="inlineStr">
        <is>
          <t>NAUTICA_CLASSICS_117003762_BLK_2.jpg</t>
        </is>
      </c>
      <c r="K1316" t="inlineStr">
        <is>
          <t>NAUTICA_CLASSICS_117003762_BLK_3.jpg</t>
        </is>
      </c>
      <c r="L1316">
        <f>IMAGE("file:///E:/Estudios%20y%20certificaciones/ESTUDIOS%20DE%20PROGRAMMING/PROGRAMMING/PERSONAL/PYTHON/Image_Generator_API/imagenes/NAUTICA_CLASSICS_117003762_BLK_1.jpg")</f>
        <v/>
      </c>
      <c r="M1316">
        <f>IMAGE("file:///E:/Estudios%20y%20certificaciones/ESTUDIOS%20DE%20PROGRAMMING/PROGRAMMING/PERSONAL/PYTHON/Image_Generator_API/imagenes/NAUTICA_CLASSICS_117003762_BLK_2.jpg")</f>
        <v/>
      </c>
      <c r="N1316">
        <f>IMAGE("file:///E:/Estudios%20y%20certificaciones/ESTUDIOS%20DE%20PROGRAMMING/PROGRAMMING/PERSONAL/PYTHON/Image_Generator_API/imagenes/NAUTICA_CLASSICS_117003762_BLK_3.jpg")</f>
        <v/>
      </c>
      <c r="O1316">
        <f>HYPERLINK("imagenes/NAUTICA_CLASSICS_117003762_BLK_1.jpg","Ver imagen")</f>
        <v/>
      </c>
      <c r="P1316">
        <f>HYPERLINK("imagenes/NAUTICA_CLASSICS_117003762_BLK_2.jpg","Ver imagen")</f>
        <v/>
      </c>
      <c r="Q1316">
        <f>HYPERLINK("imagenes/NAUTICA_CLASSICS_117003762_BLK_3.jpg","Ver imagen")</f>
        <v/>
      </c>
    </row>
    <row r="1317">
      <c r="A1317" t="inlineStr">
        <is>
          <t>NAUTICA CLASSICS</t>
        </is>
      </c>
      <c r="B1317" t="inlineStr">
        <is>
          <t>117003762</t>
        </is>
      </c>
      <c r="C1317" t="inlineStr">
        <is>
          <t>HYBRID SOFTSHELL STRETCH JACKET</t>
        </is>
      </c>
      <c r="D1317" t="inlineStr">
        <is>
          <t>BLK</t>
        </is>
      </c>
      <c r="E1317" t="inlineStr">
        <is>
          <t>(en blanco)</t>
        </is>
      </c>
      <c r="F1317" t="inlineStr">
        <is>
          <t>(en blanco)</t>
        </is>
      </c>
      <c r="G1317" t="inlineStr">
        <is>
          <t>M</t>
        </is>
      </c>
      <c r="H1317" t="n">
        <v>117</v>
      </c>
      <c r="I1317" t="inlineStr">
        <is>
          <t>NAUTICA_CLASSICS_117003762_BLK_1.jpg</t>
        </is>
      </c>
      <c r="J1317" t="inlineStr">
        <is>
          <t>NAUTICA_CLASSICS_117003762_BLK_2.jpg</t>
        </is>
      </c>
      <c r="K1317" t="inlineStr">
        <is>
          <t>NAUTICA_CLASSICS_117003762_BLK_3.jpg</t>
        </is>
      </c>
      <c r="L1317">
        <f>IMAGE("file:///E:/Estudios%20y%20certificaciones/ESTUDIOS%20DE%20PROGRAMMING/PROGRAMMING/PERSONAL/PYTHON/Image_Generator_API/imagenes/NAUTICA_CLASSICS_117003762_BLK_1.jpg")</f>
        <v/>
      </c>
      <c r="M1317">
        <f>IMAGE("file:///E:/Estudios%20y%20certificaciones/ESTUDIOS%20DE%20PROGRAMMING/PROGRAMMING/PERSONAL/PYTHON/Image_Generator_API/imagenes/NAUTICA_CLASSICS_117003762_BLK_2.jpg")</f>
        <v/>
      </c>
      <c r="N1317">
        <f>IMAGE("file:///E:/Estudios%20y%20certificaciones/ESTUDIOS%20DE%20PROGRAMMING/PROGRAMMING/PERSONAL/PYTHON/Image_Generator_API/imagenes/NAUTICA_CLASSICS_117003762_BLK_3.jpg")</f>
        <v/>
      </c>
      <c r="O1317">
        <f>HYPERLINK("imagenes/NAUTICA_CLASSICS_117003762_BLK_1.jpg","Ver imagen")</f>
        <v/>
      </c>
      <c r="P1317">
        <f>HYPERLINK("imagenes/NAUTICA_CLASSICS_117003762_BLK_2.jpg","Ver imagen")</f>
        <v/>
      </c>
      <c r="Q1317">
        <f>HYPERLINK("imagenes/NAUTICA_CLASSICS_117003762_BLK_3.jpg","Ver imagen")</f>
        <v/>
      </c>
    </row>
    <row r="1318">
      <c r="A1318" t="inlineStr">
        <is>
          <t>NAUTICA CLASSICS</t>
        </is>
      </c>
      <c r="B1318" t="inlineStr">
        <is>
          <t>117003762</t>
        </is>
      </c>
      <c r="C1318" t="inlineStr">
        <is>
          <t>HYBRID SOFTSHELL STRETCH JACKET</t>
        </is>
      </c>
      <c r="D1318" t="inlineStr">
        <is>
          <t>BLK</t>
        </is>
      </c>
      <c r="E1318" t="inlineStr">
        <is>
          <t>(en blanco)</t>
        </is>
      </c>
      <c r="F1318" t="inlineStr">
        <is>
          <t>(en blanco)</t>
        </is>
      </c>
      <c r="G1318" t="inlineStr">
        <is>
          <t>L</t>
        </is>
      </c>
      <c r="H1318" t="n">
        <v>42</v>
      </c>
      <c r="I1318" t="inlineStr">
        <is>
          <t>NAUTICA_CLASSICS_117003762_BLK_1.jpg</t>
        </is>
      </c>
      <c r="J1318" t="inlineStr">
        <is>
          <t>NAUTICA_CLASSICS_117003762_BLK_2.jpg</t>
        </is>
      </c>
      <c r="K1318" t="inlineStr">
        <is>
          <t>NAUTICA_CLASSICS_117003762_BLK_3.jpg</t>
        </is>
      </c>
      <c r="L1318">
        <f>IMAGE("file:///E:/Estudios%20y%20certificaciones/ESTUDIOS%20DE%20PROGRAMMING/PROGRAMMING/PERSONAL/PYTHON/Image_Generator_API/imagenes/NAUTICA_CLASSICS_117003762_BLK_1.jpg")</f>
        <v/>
      </c>
      <c r="M1318">
        <f>IMAGE("file:///E:/Estudios%20y%20certificaciones/ESTUDIOS%20DE%20PROGRAMMING/PROGRAMMING/PERSONAL/PYTHON/Image_Generator_API/imagenes/NAUTICA_CLASSICS_117003762_BLK_2.jpg")</f>
        <v/>
      </c>
      <c r="N1318">
        <f>IMAGE("file:///E:/Estudios%20y%20certificaciones/ESTUDIOS%20DE%20PROGRAMMING/PROGRAMMING/PERSONAL/PYTHON/Image_Generator_API/imagenes/NAUTICA_CLASSICS_117003762_BLK_3.jpg")</f>
        <v/>
      </c>
      <c r="O1318">
        <f>HYPERLINK("imagenes/NAUTICA_CLASSICS_117003762_BLK_1.jpg","Ver imagen")</f>
        <v/>
      </c>
      <c r="P1318">
        <f>HYPERLINK("imagenes/NAUTICA_CLASSICS_117003762_BLK_2.jpg","Ver imagen")</f>
        <v/>
      </c>
      <c r="Q1318">
        <f>HYPERLINK("imagenes/NAUTICA_CLASSICS_117003762_BLK_3.jpg","Ver imagen")</f>
        <v/>
      </c>
    </row>
    <row r="1319">
      <c r="A1319" t="inlineStr">
        <is>
          <t>NAUTICA CLASSICS</t>
        </is>
      </c>
      <c r="B1319" t="inlineStr">
        <is>
          <t>117003762</t>
        </is>
      </c>
      <c r="C1319" t="inlineStr">
        <is>
          <t>HYBRID SOFTSHELL STRETCH JACKET</t>
        </is>
      </c>
      <c r="D1319" t="inlineStr">
        <is>
          <t>BLK</t>
        </is>
      </c>
      <c r="E1319" t="inlineStr">
        <is>
          <t>(en blanco)</t>
        </is>
      </c>
      <c r="F1319" t="inlineStr">
        <is>
          <t>(en blanco)</t>
        </is>
      </c>
      <c r="G1319" t="inlineStr">
        <is>
          <t>XL</t>
        </is>
      </c>
      <c r="H1319" t="n">
        <v>44</v>
      </c>
      <c r="I1319" t="inlineStr">
        <is>
          <t>NAUTICA_CLASSICS_117003762_BLK_1.jpg</t>
        </is>
      </c>
      <c r="J1319" t="inlineStr">
        <is>
          <t>NAUTICA_CLASSICS_117003762_BLK_2.jpg</t>
        </is>
      </c>
      <c r="K1319" t="inlineStr">
        <is>
          <t>NAUTICA_CLASSICS_117003762_BLK_3.jpg</t>
        </is>
      </c>
      <c r="L1319">
        <f>IMAGE("file:///E:/Estudios%20y%20certificaciones/ESTUDIOS%20DE%20PROGRAMMING/PROGRAMMING/PERSONAL/PYTHON/Image_Generator_API/imagenes/NAUTICA_CLASSICS_117003762_BLK_1.jpg")</f>
        <v/>
      </c>
      <c r="M1319">
        <f>IMAGE("file:///E:/Estudios%20y%20certificaciones/ESTUDIOS%20DE%20PROGRAMMING/PROGRAMMING/PERSONAL/PYTHON/Image_Generator_API/imagenes/NAUTICA_CLASSICS_117003762_BLK_2.jpg")</f>
        <v/>
      </c>
      <c r="N1319">
        <f>IMAGE("file:///E:/Estudios%20y%20certificaciones/ESTUDIOS%20DE%20PROGRAMMING/PROGRAMMING/PERSONAL/PYTHON/Image_Generator_API/imagenes/NAUTICA_CLASSICS_117003762_BLK_3.jpg")</f>
        <v/>
      </c>
      <c r="O1319">
        <f>HYPERLINK("imagenes/NAUTICA_CLASSICS_117003762_BLK_1.jpg","Ver imagen")</f>
        <v/>
      </c>
      <c r="P1319">
        <f>HYPERLINK("imagenes/NAUTICA_CLASSICS_117003762_BLK_2.jpg","Ver imagen")</f>
        <v/>
      </c>
      <c r="Q1319">
        <f>HYPERLINK("imagenes/NAUTICA_CLASSICS_117003762_BLK_3.jpg","Ver imagen")</f>
        <v/>
      </c>
    </row>
    <row r="1320">
      <c r="A1320" t="inlineStr">
        <is>
          <t>NAUTICA CLASSICS</t>
        </is>
      </c>
      <c r="B1320" t="inlineStr">
        <is>
          <t>117003762</t>
        </is>
      </c>
      <c r="C1320" t="inlineStr">
        <is>
          <t>HYBRID SOFTSHELL STRETCH JACKET</t>
        </is>
      </c>
      <c r="D1320" t="inlineStr">
        <is>
          <t>NSS</t>
        </is>
      </c>
      <c r="E1320" t="inlineStr">
        <is>
          <t>(en blanco)</t>
        </is>
      </c>
      <c r="F1320" t="inlineStr">
        <is>
          <t>(en blanco)</t>
        </is>
      </c>
      <c r="G1320" t="inlineStr">
        <is>
          <t>XS</t>
        </is>
      </c>
      <c r="H1320" t="n">
        <v>26</v>
      </c>
      <c r="I1320" t="inlineStr">
        <is>
          <t>NAUTICA_CLASSICS_117003762_NSS_1.jpg</t>
        </is>
      </c>
      <c r="J1320" t="inlineStr">
        <is>
          <t>NAUTICA_CLASSICS_117003762_NSS_2.jpg</t>
        </is>
      </c>
      <c r="K1320" t="inlineStr">
        <is>
          <t>NAUTICA_CLASSICS_117003762_NSS_3.jpg</t>
        </is>
      </c>
      <c r="L1320">
        <f>IMAGE("file:///E:/Estudios%20y%20certificaciones/ESTUDIOS%20DE%20PROGRAMMING/PROGRAMMING/PERSONAL/PYTHON/Image_Generator_API/imagenes/NAUTICA_CLASSICS_117003762_NSS_1.jpg")</f>
        <v/>
      </c>
      <c r="M1320">
        <f>IMAGE("file:///E:/Estudios%20y%20certificaciones/ESTUDIOS%20DE%20PROGRAMMING/PROGRAMMING/PERSONAL/PYTHON/Image_Generator_API/imagenes/NAUTICA_CLASSICS_117003762_NSS_2.jpg")</f>
        <v/>
      </c>
      <c r="N1320">
        <f>IMAGE("file:///E:/Estudios%20y%20certificaciones/ESTUDIOS%20DE%20PROGRAMMING/PROGRAMMING/PERSONAL/PYTHON/Image_Generator_API/imagenes/NAUTICA_CLASSICS_117003762_NSS_3.jpg")</f>
        <v/>
      </c>
      <c r="O1320">
        <f>HYPERLINK("imagenes/NAUTICA_CLASSICS_117003762_NSS_1.jpg","Ver imagen")</f>
        <v/>
      </c>
      <c r="P1320">
        <f>HYPERLINK("imagenes/NAUTICA_CLASSICS_117003762_NSS_2.jpg","Ver imagen")</f>
        <v/>
      </c>
      <c r="Q1320">
        <f>HYPERLINK("imagenes/NAUTICA_CLASSICS_117003762_NSS_3.jpg","Ver imagen")</f>
        <v/>
      </c>
    </row>
    <row r="1321">
      <c r="A1321" t="inlineStr">
        <is>
          <t>NAUTICA CLASSICS</t>
        </is>
      </c>
      <c r="B1321" t="inlineStr">
        <is>
          <t>117003762</t>
        </is>
      </c>
      <c r="C1321" t="inlineStr">
        <is>
          <t>HYBRID SOFTSHELL STRETCH JACKET</t>
        </is>
      </c>
      <c r="D1321" t="inlineStr">
        <is>
          <t>NSS</t>
        </is>
      </c>
      <c r="E1321" t="inlineStr">
        <is>
          <t>(en blanco)</t>
        </is>
      </c>
      <c r="F1321" t="inlineStr">
        <is>
          <t>(en blanco)</t>
        </is>
      </c>
      <c r="G1321" t="inlineStr">
        <is>
          <t>S</t>
        </is>
      </c>
      <c r="H1321" t="n">
        <v>128</v>
      </c>
      <c r="I1321" t="inlineStr">
        <is>
          <t>NAUTICA_CLASSICS_117003762_NSS_1.jpg</t>
        </is>
      </c>
      <c r="J1321" t="inlineStr">
        <is>
          <t>NAUTICA_CLASSICS_117003762_NSS_2.jpg</t>
        </is>
      </c>
      <c r="K1321" t="inlineStr">
        <is>
          <t>NAUTICA_CLASSICS_117003762_NSS_3.jpg</t>
        </is>
      </c>
      <c r="L1321">
        <f>IMAGE("file:///E:/Estudios%20y%20certificaciones/ESTUDIOS%20DE%20PROGRAMMING/PROGRAMMING/PERSONAL/PYTHON/Image_Generator_API/imagenes/NAUTICA_CLASSICS_117003762_NSS_1.jpg")</f>
        <v/>
      </c>
      <c r="M1321">
        <f>IMAGE("file:///E:/Estudios%20y%20certificaciones/ESTUDIOS%20DE%20PROGRAMMING/PROGRAMMING/PERSONAL/PYTHON/Image_Generator_API/imagenes/NAUTICA_CLASSICS_117003762_NSS_2.jpg")</f>
        <v/>
      </c>
      <c r="N1321">
        <f>IMAGE("file:///E:/Estudios%20y%20certificaciones/ESTUDIOS%20DE%20PROGRAMMING/PROGRAMMING/PERSONAL/PYTHON/Image_Generator_API/imagenes/NAUTICA_CLASSICS_117003762_NSS_3.jpg")</f>
        <v/>
      </c>
      <c r="O1321">
        <f>HYPERLINK("imagenes/NAUTICA_CLASSICS_117003762_NSS_1.jpg","Ver imagen")</f>
        <v/>
      </c>
      <c r="P1321">
        <f>HYPERLINK("imagenes/NAUTICA_CLASSICS_117003762_NSS_2.jpg","Ver imagen")</f>
        <v/>
      </c>
      <c r="Q1321">
        <f>HYPERLINK("imagenes/NAUTICA_CLASSICS_117003762_NSS_3.jpg","Ver imagen")</f>
        <v/>
      </c>
    </row>
    <row r="1322">
      <c r="A1322" t="inlineStr">
        <is>
          <t>NAUTICA CLASSICS</t>
        </is>
      </c>
      <c r="B1322" t="inlineStr">
        <is>
          <t>117003762</t>
        </is>
      </c>
      <c r="C1322" t="inlineStr">
        <is>
          <t>HYBRID SOFTSHELL STRETCH JACKET</t>
        </is>
      </c>
      <c r="D1322" t="inlineStr">
        <is>
          <t>NSS</t>
        </is>
      </c>
      <c r="E1322" t="inlineStr">
        <is>
          <t>(en blanco)</t>
        </is>
      </c>
      <c r="F1322" t="inlineStr">
        <is>
          <t>(en blanco)</t>
        </is>
      </c>
      <c r="G1322" t="inlineStr">
        <is>
          <t>M</t>
        </is>
      </c>
      <c r="H1322" t="n">
        <v>104</v>
      </c>
      <c r="I1322" t="inlineStr">
        <is>
          <t>NAUTICA_CLASSICS_117003762_NSS_1.jpg</t>
        </is>
      </c>
      <c r="J1322" t="inlineStr">
        <is>
          <t>NAUTICA_CLASSICS_117003762_NSS_2.jpg</t>
        </is>
      </c>
      <c r="K1322" t="inlineStr">
        <is>
          <t>NAUTICA_CLASSICS_117003762_NSS_3.jpg</t>
        </is>
      </c>
      <c r="L1322">
        <f>IMAGE("file:///E:/Estudios%20y%20certificaciones/ESTUDIOS%20DE%20PROGRAMMING/PROGRAMMING/PERSONAL/PYTHON/Image_Generator_API/imagenes/NAUTICA_CLASSICS_117003762_NSS_1.jpg")</f>
        <v/>
      </c>
      <c r="M1322">
        <f>IMAGE("file:///E:/Estudios%20y%20certificaciones/ESTUDIOS%20DE%20PROGRAMMING/PROGRAMMING/PERSONAL/PYTHON/Image_Generator_API/imagenes/NAUTICA_CLASSICS_117003762_NSS_2.jpg")</f>
        <v/>
      </c>
      <c r="N1322">
        <f>IMAGE("file:///E:/Estudios%20y%20certificaciones/ESTUDIOS%20DE%20PROGRAMMING/PROGRAMMING/PERSONAL/PYTHON/Image_Generator_API/imagenes/NAUTICA_CLASSICS_117003762_NSS_3.jpg")</f>
        <v/>
      </c>
      <c r="O1322">
        <f>HYPERLINK("imagenes/NAUTICA_CLASSICS_117003762_NSS_1.jpg","Ver imagen")</f>
        <v/>
      </c>
      <c r="P1322">
        <f>HYPERLINK("imagenes/NAUTICA_CLASSICS_117003762_NSS_2.jpg","Ver imagen")</f>
        <v/>
      </c>
      <c r="Q1322">
        <f>HYPERLINK("imagenes/NAUTICA_CLASSICS_117003762_NSS_3.jpg","Ver imagen")</f>
        <v/>
      </c>
    </row>
    <row r="1323">
      <c r="A1323" t="inlineStr">
        <is>
          <t>NAUTICA CLASSICS</t>
        </is>
      </c>
      <c r="B1323" t="inlineStr">
        <is>
          <t>117003762</t>
        </is>
      </c>
      <c r="C1323" t="inlineStr">
        <is>
          <t>HYBRID SOFTSHELL STRETCH JACKET</t>
        </is>
      </c>
      <c r="D1323" t="inlineStr">
        <is>
          <t>NSS</t>
        </is>
      </c>
      <c r="E1323" t="inlineStr">
        <is>
          <t>(en blanco)</t>
        </is>
      </c>
      <c r="F1323" t="inlineStr">
        <is>
          <t>(en blanco)</t>
        </is>
      </c>
      <c r="G1323" t="inlineStr">
        <is>
          <t>L</t>
        </is>
      </c>
      <c r="H1323" t="n">
        <v>84</v>
      </c>
      <c r="I1323" t="inlineStr">
        <is>
          <t>NAUTICA_CLASSICS_117003762_NSS_1.jpg</t>
        </is>
      </c>
      <c r="J1323" t="inlineStr">
        <is>
          <t>NAUTICA_CLASSICS_117003762_NSS_2.jpg</t>
        </is>
      </c>
      <c r="K1323" t="inlineStr">
        <is>
          <t>NAUTICA_CLASSICS_117003762_NSS_3.jpg</t>
        </is>
      </c>
      <c r="L1323">
        <f>IMAGE("file:///E:/Estudios%20y%20certificaciones/ESTUDIOS%20DE%20PROGRAMMING/PROGRAMMING/PERSONAL/PYTHON/Image_Generator_API/imagenes/NAUTICA_CLASSICS_117003762_NSS_1.jpg")</f>
        <v/>
      </c>
      <c r="M1323">
        <f>IMAGE("file:///E:/Estudios%20y%20certificaciones/ESTUDIOS%20DE%20PROGRAMMING/PROGRAMMING/PERSONAL/PYTHON/Image_Generator_API/imagenes/NAUTICA_CLASSICS_117003762_NSS_2.jpg")</f>
        <v/>
      </c>
      <c r="N1323">
        <f>IMAGE("file:///E:/Estudios%20y%20certificaciones/ESTUDIOS%20DE%20PROGRAMMING/PROGRAMMING/PERSONAL/PYTHON/Image_Generator_API/imagenes/NAUTICA_CLASSICS_117003762_NSS_3.jpg")</f>
        <v/>
      </c>
      <c r="O1323">
        <f>HYPERLINK("imagenes/NAUTICA_CLASSICS_117003762_NSS_1.jpg","Ver imagen")</f>
        <v/>
      </c>
      <c r="P1323">
        <f>HYPERLINK("imagenes/NAUTICA_CLASSICS_117003762_NSS_2.jpg","Ver imagen")</f>
        <v/>
      </c>
      <c r="Q1323">
        <f>HYPERLINK("imagenes/NAUTICA_CLASSICS_117003762_NSS_3.jpg","Ver imagen")</f>
        <v/>
      </c>
    </row>
    <row r="1324">
      <c r="A1324" t="inlineStr">
        <is>
          <t>NAUTICA CLASSICS</t>
        </is>
      </c>
      <c r="B1324" t="inlineStr">
        <is>
          <t>117003762</t>
        </is>
      </c>
      <c r="C1324" t="inlineStr">
        <is>
          <t>HYBRID SOFTSHELL STRETCH JACKET</t>
        </is>
      </c>
      <c r="D1324" t="inlineStr">
        <is>
          <t>NSS</t>
        </is>
      </c>
      <c r="E1324" t="inlineStr">
        <is>
          <t>(en blanco)</t>
        </is>
      </c>
      <c r="F1324" t="inlineStr">
        <is>
          <t>(en blanco)</t>
        </is>
      </c>
      <c r="G1324" t="inlineStr">
        <is>
          <t>XL</t>
        </is>
      </c>
      <c r="H1324" t="n">
        <v>58</v>
      </c>
      <c r="I1324" t="inlineStr">
        <is>
          <t>NAUTICA_CLASSICS_117003762_NSS_1.jpg</t>
        </is>
      </c>
      <c r="J1324" t="inlineStr">
        <is>
          <t>NAUTICA_CLASSICS_117003762_NSS_2.jpg</t>
        </is>
      </c>
      <c r="K1324" t="inlineStr">
        <is>
          <t>NAUTICA_CLASSICS_117003762_NSS_3.jpg</t>
        </is>
      </c>
      <c r="L1324">
        <f>IMAGE("file:///E:/Estudios%20y%20certificaciones/ESTUDIOS%20DE%20PROGRAMMING/PROGRAMMING/PERSONAL/PYTHON/Image_Generator_API/imagenes/NAUTICA_CLASSICS_117003762_NSS_1.jpg")</f>
        <v/>
      </c>
      <c r="M1324">
        <f>IMAGE("file:///E:/Estudios%20y%20certificaciones/ESTUDIOS%20DE%20PROGRAMMING/PROGRAMMING/PERSONAL/PYTHON/Image_Generator_API/imagenes/NAUTICA_CLASSICS_117003762_NSS_2.jpg")</f>
        <v/>
      </c>
      <c r="N1324">
        <f>IMAGE("file:///E:/Estudios%20y%20certificaciones/ESTUDIOS%20DE%20PROGRAMMING/PROGRAMMING/PERSONAL/PYTHON/Image_Generator_API/imagenes/NAUTICA_CLASSICS_117003762_NSS_3.jpg")</f>
        <v/>
      </c>
      <c r="O1324">
        <f>HYPERLINK("imagenes/NAUTICA_CLASSICS_117003762_NSS_1.jpg","Ver imagen")</f>
        <v/>
      </c>
      <c r="P1324">
        <f>HYPERLINK("imagenes/NAUTICA_CLASSICS_117003762_NSS_2.jpg","Ver imagen")</f>
        <v/>
      </c>
      <c r="Q1324">
        <f>HYPERLINK("imagenes/NAUTICA_CLASSICS_117003762_NSS_3.jpg","Ver imagen")</f>
        <v/>
      </c>
    </row>
    <row r="1325">
      <c r="A1325" t="inlineStr">
        <is>
          <t>NAUTICA CLASSICS</t>
        </is>
      </c>
      <c r="B1325" t="inlineStr">
        <is>
          <t>117003875</t>
        </is>
      </c>
      <c r="C1325" t="inlineStr">
        <is>
          <t>SOFTSHELL JACKET</t>
        </is>
      </c>
      <c r="D1325" t="inlineStr">
        <is>
          <t>BLK</t>
        </is>
      </c>
      <c r="E1325" t="inlineStr">
        <is>
          <t>08A05</t>
        </is>
      </c>
      <c r="F1325" t="inlineStr">
        <is>
          <t>(en blanco)</t>
        </is>
      </c>
      <c r="G1325" t="inlineStr">
        <is>
          <t>PPK</t>
        </is>
      </c>
      <c r="H1325" t="n">
        <v>1888</v>
      </c>
      <c r="I1325" t="inlineStr">
        <is>
          <t>NAUTICA_CLASSICS_117003875_BLK_1.jpg</t>
        </is>
      </c>
      <c r="J1325" t="inlineStr">
        <is>
          <t>NAUTICA_CLASSICS_117003875_BLK_2.jpg</t>
        </is>
      </c>
      <c r="K1325" t="inlineStr">
        <is>
          <t>NAUTICA_CLASSICS_117003875_BLK_3.jpg</t>
        </is>
      </c>
      <c r="L1325">
        <f>IMAGE("file:///E:/Estudios%20y%20certificaciones/ESTUDIOS%20DE%20PROGRAMMING/PROGRAMMING/PERSONAL/PYTHON/Image_Generator_API/imagenes/NAUTICA_CLASSICS_117003875_BLK_1.jpg")</f>
        <v/>
      </c>
      <c r="M1325">
        <f>IMAGE("file:///E:/Estudios%20y%20certificaciones/ESTUDIOS%20DE%20PROGRAMMING/PROGRAMMING/PERSONAL/PYTHON/Image_Generator_API/imagenes/NAUTICA_CLASSICS_117003875_BLK_2.jpg")</f>
        <v/>
      </c>
      <c r="N1325">
        <f>IMAGE("file:///E:/Estudios%20y%20certificaciones/ESTUDIOS%20DE%20PROGRAMMING/PROGRAMMING/PERSONAL/PYTHON/Image_Generator_API/imagenes/NAUTICA_CLASSICS_117003875_BLK_3.jpg")</f>
        <v/>
      </c>
      <c r="O1325">
        <f>HYPERLINK("imagenes/NAUTICA_CLASSICS_117003875_BLK_1.jpg","Ver imagen")</f>
        <v/>
      </c>
      <c r="P1325">
        <f>HYPERLINK("imagenes/NAUTICA_CLASSICS_117003875_BLK_2.jpg","Ver imagen")</f>
        <v/>
      </c>
      <c r="Q1325">
        <f>HYPERLINK("imagenes/NAUTICA_CLASSICS_117003875_BLK_3.jpg","Ver imagen")</f>
        <v/>
      </c>
    </row>
    <row r="1326">
      <c r="A1326" t="inlineStr">
        <is>
          <t>NAUTICA CLASSICS</t>
        </is>
      </c>
      <c r="B1326" t="inlineStr">
        <is>
          <t>117003875</t>
        </is>
      </c>
      <c r="C1326" t="inlineStr">
        <is>
          <t>SOFTSHELL JACKET</t>
        </is>
      </c>
      <c r="D1326" t="inlineStr">
        <is>
          <t>BLK</t>
        </is>
      </c>
      <c r="E1326" t="inlineStr">
        <is>
          <t>(en blanco)</t>
        </is>
      </c>
      <c r="F1326" t="inlineStr">
        <is>
          <t>(en blanco)</t>
        </is>
      </c>
      <c r="G1326" t="inlineStr">
        <is>
          <t>S</t>
        </is>
      </c>
      <c r="H1326" t="n">
        <v>7</v>
      </c>
      <c r="I1326" t="inlineStr">
        <is>
          <t>NAUTICA_CLASSICS_117003875_BLK_1.jpg</t>
        </is>
      </c>
      <c r="J1326" t="inlineStr">
        <is>
          <t>NAUTICA_CLASSICS_117003875_BLK_2.jpg</t>
        </is>
      </c>
      <c r="K1326" t="inlineStr">
        <is>
          <t>NAUTICA_CLASSICS_117003875_BLK_3.jpg</t>
        </is>
      </c>
      <c r="L1326">
        <f>IMAGE("file:///E:/Estudios%20y%20certificaciones/ESTUDIOS%20DE%20PROGRAMMING/PROGRAMMING/PERSONAL/PYTHON/Image_Generator_API/imagenes/NAUTICA_CLASSICS_117003875_BLK_1.jpg")</f>
        <v/>
      </c>
      <c r="M1326">
        <f>IMAGE("file:///E:/Estudios%20y%20certificaciones/ESTUDIOS%20DE%20PROGRAMMING/PROGRAMMING/PERSONAL/PYTHON/Image_Generator_API/imagenes/NAUTICA_CLASSICS_117003875_BLK_2.jpg")</f>
        <v/>
      </c>
      <c r="N1326">
        <f>IMAGE("file:///E:/Estudios%20y%20certificaciones/ESTUDIOS%20DE%20PROGRAMMING/PROGRAMMING/PERSONAL/PYTHON/Image_Generator_API/imagenes/NAUTICA_CLASSICS_117003875_BLK_3.jpg")</f>
        <v/>
      </c>
      <c r="O1326">
        <f>HYPERLINK("imagenes/NAUTICA_CLASSICS_117003875_BLK_1.jpg","Ver imagen")</f>
        <v/>
      </c>
      <c r="P1326">
        <f>HYPERLINK("imagenes/NAUTICA_CLASSICS_117003875_BLK_2.jpg","Ver imagen")</f>
        <v/>
      </c>
      <c r="Q1326">
        <f>HYPERLINK("imagenes/NAUTICA_CLASSICS_117003875_BLK_3.jpg","Ver imagen")</f>
        <v/>
      </c>
    </row>
    <row r="1327">
      <c r="A1327" t="inlineStr">
        <is>
          <t>NAUTICA CLASSICS</t>
        </is>
      </c>
      <c r="B1327" t="inlineStr">
        <is>
          <t>117003875</t>
        </is>
      </c>
      <c r="C1327" t="inlineStr">
        <is>
          <t>SOFTSHELL JACKET</t>
        </is>
      </c>
      <c r="D1327" t="inlineStr">
        <is>
          <t>BLK</t>
        </is>
      </c>
      <c r="E1327" t="inlineStr">
        <is>
          <t>(en blanco)</t>
        </is>
      </c>
      <c r="F1327" t="inlineStr">
        <is>
          <t>(en blanco)</t>
        </is>
      </c>
      <c r="G1327" t="inlineStr">
        <is>
          <t>M</t>
        </is>
      </c>
      <c r="H1327" t="n">
        <v>3</v>
      </c>
      <c r="I1327" t="inlineStr">
        <is>
          <t>NAUTICA_CLASSICS_117003875_BLK_1.jpg</t>
        </is>
      </c>
      <c r="J1327" t="inlineStr">
        <is>
          <t>NAUTICA_CLASSICS_117003875_BLK_2.jpg</t>
        </is>
      </c>
      <c r="K1327" t="inlineStr">
        <is>
          <t>NAUTICA_CLASSICS_117003875_BLK_3.jpg</t>
        </is>
      </c>
      <c r="L1327">
        <f>IMAGE("file:///E:/Estudios%20y%20certificaciones/ESTUDIOS%20DE%20PROGRAMMING/PROGRAMMING/PERSONAL/PYTHON/Image_Generator_API/imagenes/NAUTICA_CLASSICS_117003875_BLK_1.jpg")</f>
        <v/>
      </c>
      <c r="M1327">
        <f>IMAGE("file:///E:/Estudios%20y%20certificaciones/ESTUDIOS%20DE%20PROGRAMMING/PROGRAMMING/PERSONAL/PYTHON/Image_Generator_API/imagenes/NAUTICA_CLASSICS_117003875_BLK_2.jpg")</f>
        <v/>
      </c>
      <c r="N1327">
        <f>IMAGE("file:///E:/Estudios%20y%20certificaciones/ESTUDIOS%20DE%20PROGRAMMING/PROGRAMMING/PERSONAL/PYTHON/Image_Generator_API/imagenes/NAUTICA_CLASSICS_117003875_BLK_3.jpg")</f>
        <v/>
      </c>
      <c r="O1327">
        <f>HYPERLINK("imagenes/NAUTICA_CLASSICS_117003875_BLK_1.jpg","Ver imagen")</f>
        <v/>
      </c>
      <c r="P1327">
        <f>HYPERLINK("imagenes/NAUTICA_CLASSICS_117003875_BLK_2.jpg","Ver imagen")</f>
        <v/>
      </c>
      <c r="Q1327">
        <f>HYPERLINK("imagenes/NAUTICA_CLASSICS_117003875_BLK_3.jpg","Ver imagen")</f>
        <v/>
      </c>
    </row>
    <row r="1328">
      <c r="A1328" t="inlineStr">
        <is>
          <t>NAUTICA CLASSICS</t>
        </is>
      </c>
      <c r="B1328" t="inlineStr">
        <is>
          <t>117003875</t>
        </is>
      </c>
      <c r="C1328" t="inlineStr">
        <is>
          <t>SOFTSHELL JACKET</t>
        </is>
      </c>
      <c r="D1328" t="inlineStr">
        <is>
          <t>BLK</t>
        </is>
      </c>
      <c r="E1328" t="inlineStr">
        <is>
          <t>(en blanco)</t>
        </is>
      </c>
      <c r="F1328" t="inlineStr">
        <is>
          <t>(en blanco)</t>
        </is>
      </c>
      <c r="G1328" t="inlineStr">
        <is>
          <t>L</t>
        </is>
      </c>
      <c r="H1328" t="n">
        <v>1</v>
      </c>
      <c r="I1328" t="inlineStr">
        <is>
          <t>NAUTICA_CLASSICS_117003875_BLK_1.jpg</t>
        </is>
      </c>
      <c r="J1328" t="inlineStr">
        <is>
          <t>NAUTICA_CLASSICS_117003875_BLK_2.jpg</t>
        </is>
      </c>
      <c r="K1328" t="inlineStr">
        <is>
          <t>NAUTICA_CLASSICS_117003875_BLK_3.jpg</t>
        </is>
      </c>
      <c r="L1328">
        <f>IMAGE("file:///E:/Estudios%20y%20certificaciones/ESTUDIOS%20DE%20PROGRAMMING/PROGRAMMING/PERSONAL/PYTHON/Image_Generator_API/imagenes/NAUTICA_CLASSICS_117003875_BLK_1.jpg")</f>
        <v/>
      </c>
      <c r="M1328">
        <f>IMAGE("file:///E:/Estudios%20y%20certificaciones/ESTUDIOS%20DE%20PROGRAMMING/PROGRAMMING/PERSONAL/PYTHON/Image_Generator_API/imagenes/NAUTICA_CLASSICS_117003875_BLK_2.jpg")</f>
        <v/>
      </c>
      <c r="N1328">
        <f>IMAGE("file:///E:/Estudios%20y%20certificaciones/ESTUDIOS%20DE%20PROGRAMMING/PROGRAMMING/PERSONAL/PYTHON/Image_Generator_API/imagenes/NAUTICA_CLASSICS_117003875_BLK_3.jpg")</f>
        <v/>
      </c>
      <c r="O1328">
        <f>HYPERLINK("imagenes/NAUTICA_CLASSICS_117003875_BLK_1.jpg","Ver imagen")</f>
        <v/>
      </c>
      <c r="P1328">
        <f>HYPERLINK("imagenes/NAUTICA_CLASSICS_117003875_BLK_2.jpg","Ver imagen")</f>
        <v/>
      </c>
      <c r="Q1328">
        <f>HYPERLINK("imagenes/NAUTICA_CLASSICS_117003875_BLK_3.jpg","Ver imagen")</f>
        <v/>
      </c>
    </row>
    <row r="1329">
      <c r="A1329" t="inlineStr">
        <is>
          <t>NAUTICA CLASSICS</t>
        </is>
      </c>
      <c r="B1329" t="inlineStr">
        <is>
          <t>117003875</t>
        </is>
      </c>
      <c r="C1329" t="inlineStr">
        <is>
          <t>SOFTSHELL JACKET</t>
        </is>
      </c>
      <c r="D1329" t="inlineStr">
        <is>
          <t>CTI</t>
        </is>
      </c>
      <c r="E1329" t="inlineStr">
        <is>
          <t>(en blanco)</t>
        </is>
      </c>
      <c r="F1329" t="inlineStr">
        <is>
          <t>(en blanco)</t>
        </is>
      </c>
      <c r="G1329" t="inlineStr">
        <is>
          <t>S</t>
        </is>
      </c>
      <c r="H1329" t="n">
        <v>4</v>
      </c>
      <c r="I1329" t="inlineStr">
        <is>
          <t>NAUTICA_CLASSICS_117003875_CTI_1.jpg</t>
        </is>
      </c>
      <c r="J1329" t="inlineStr">
        <is>
          <t>NAUTICA_CLASSICS_117003875_CTI_2.jpg</t>
        </is>
      </c>
      <c r="K1329" t="inlineStr">
        <is>
          <t>NAUTICA_CLASSICS_117003875_CTI_3.jpg</t>
        </is>
      </c>
      <c r="L1329">
        <f>IMAGE("file:///E:/Estudios%20y%20certificaciones/ESTUDIOS%20DE%20PROGRAMMING/PROGRAMMING/PERSONAL/PYTHON/Image_Generator_API/imagenes/NAUTICA_CLASSICS_117003875_CTI_1.jpg")</f>
        <v/>
      </c>
      <c r="M1329">
        <f>IMAGE("file:///E:/Estudios%20y%20certificaciones/ESTUDIOS%20DE%20PROGRAMMING/PROGRAMMING/PERSONAL/PYTHON/Image_Generator_API/imagenes/NAUTICA_CLASSICS_117003875_CTI_2.jpg")</f>
        <v/>
      </c>
      <c r="N1329">
        <f>IMAGE("file:///E:/Estudios%20y%20certificaciones/ESTUDIOS%20DE%20PROGRAMMING/PROGRAMMING/PERSONAL/PYTHON/Image_Generator_API/imagenes/NAUTICA_CLASSICS_117003875_CTI_3.jpg")</f>
        <v/>
      </c>
      <c r="O1329">
        <f>HYPERLINK("imagenes/NAUTICA_CLASSICS_117003875_CTI_1.jpg","Ver imagen")</f>
        <v/>
      </c>
      <c r="P1329">
        <f>HYPERLINK("imagenes/NAUTICA_CLASSICS_117003875_CTI_2.jpg","Ver imagen")</f>
        <v/>
      </c>
      <c r="Q1329">
        <f>HYPERLINK("imagenes/NAUTICA_CLASSICS_117003875_CTI_3.jpg","Ver imagen")</f>
        <v/>
      </c>
    </row>
    <row r="1330">
      <c r="A1330" t="inlineStr">
        <is>
          <t>NAUTICA CLASSICS</t>
        </is>
      </c>
      <c r="B1330" t="inlineStr">
        <is>
          <t>117003875</t>
        </is>
      </c>
      <c r="C1330" t="inlineStr">
        <is>
          <t>SOFTSHELL JACKET</t>
        </is>
      </c>
      <c r="D1330" t="inlineStr">
        <is>
          <t>CTI</t>
        </is>
      </c>
      <c r="E1330" t="inlineStr">
        <is>
          <t>(en blanco)</t>
        </is>
      </c>
      <c r="F1330" t="inlineStr">
        <is>
          <t>(en blanco)</t>
        </is>
      </c>
      <c r="G1330" t="inlineStr">
        <is>
          <t>M</t>
        </is>
      </c>
      <c r="H1330" t="n">
        <v>1</v>
      </c>
      <c r="I1330" t="inlineStr">
        <is>
          <t>NAUTICA_CLASSICS_117003875_CTI_1.jpg</t>
        </is>
      </c>
      <c r="J1330" t="inlineStr">
        <is>
          <t>NAUTICA_CLASSICS_117003875_CTI_2.jpg</t>
        </is>
      </c>
      <c r="K1330" t="inlineStr">
        <is>
          <t>NAUTICA_CLASSICS_117003875_CTI_3.jpg</t>
        </is>
      </c>
      <c r="L1330">
        <f>IMAGE("file:///E:/Estudios%20y%20certificaciones/ESTUDIOS%20DE%20PROGRAMMING/PROGRAMMING/PERSONAL/PYTHON/Image_Generator_API/imagenes/NAUTICA_CLASSICS_117003875_CTI_1.jpg")</f>
        <v/>
      </c>
      <c r="M1330">
        <f>IMAGE("file:///E:/Estudios%20y%20certificaciones/ESTUDIOS%20DE%20PROGRAMMING/PROGRAMMING/PERSONAL/PYTHON/Image_Generator_API/imagenes/NAUTICA_CLASSICS_117003875_CTI_2.jpg")</f>
        <v/>
      </c>
      <c r="N1330">
        <f>IMAGE("file:///E:/Estudios%20y%20certificaciones/ESTUDIOS%20DE%20PROGRAMMING/PROGRAMMING/PERSONAL/PYTHON/Image_Generator_API/imagenes/NAUTICA_CLASSICS_117003875_CTI_3.jpg")</f>
        <v/>
      </c>
      <c r="O1330">
        <f>HYPERLINK("imagenes/NAUTICA_CLASSICS_117003875_CTI_1.jpg","Ver imagen")</f>
        <v/>
      </c>
      <c r="P1330">
        <f>HYPERLINK("imagenes/NAUTICA_CLASSICS_117003875_CTI_2.jpg","Ver imagen")</f>
        <v/>
      </c>
      <c r="Q1330">
        <f>HYPERLINK("imagenes/NAUTICA_CLASSICS_117003875_CTI_3.jpg","Ver imagen")</f>
        <v/>
      </c>
    </row>
    <row r="1331">
      <c r="A1331" t="inlineStr">
        <is>
          <t>NAUTICA CLASSICS</t>
        </is>
      </c>
      <c r="B1331" t="inlineStr">
        <is>
          <t>117003875</t>
        </is>
      </c>
      <c r="C1331" t="inlineStr">
        <is>
          <t>SOFTSHELL JACKET</t>
        </is>
      </c>
      <c r="D1331" t="inlineStr">
        <is>
          <t>CTI</t>
        </is>
      </c>
      <c r="E1331" t="inlineStr">
        <is>
          <t>(en blanco)</t>
        </is>
      </c>
      <c r="F1331" t="inlineStr">
        <is>
          <t>(en blanco)</t>
        </is>
      </c>
      <c r="G1331" t="inlineStr">
        <is>
          <t>L</t>
        </is>
      </c>
      <c r="H1331" t="n">
        <v>1</v>
      </c>
      <c r="I1331" t="inlineStr">
        <is>
          <t>NAUTICA_CLASSICS_117003875_CTI_1.jpg</t>
        </is>
      </c>
      <c r="J1331" t="inlineStr">
        <is>
          <t>NAUTICA_CLASSICS_117003875_CTI_2.jpg</t>
        </is>
      </c>
      <c r="K1331" t="inlineStr">
        <is>
          <t>NAUTICA_CLASSICS_117003875_CTI_3.jpg</t>
        </is>
      </c>
      <c r="L1331">
        <f>IMAGE("file:///E:/Estudios%20y%20certificaciones/ESTUDIOS%20DE%20PROGRAMMING/PROGRAMMING/PERSONAL/PYTHON/Image_Generator_API/imagenes/NAUTICA_CLASSICS_117003875_CTI_1.jpg")</f>
        <v/>
      </c>
      <c r="M1331">
        <f>IMAGE("file:///E:/Estudios%20y%20certificaciones/ESTUDIOS%20DE%20PROGRAMMING/PROGRAMMING/PERSONAL/PYTHON/Image_Generator_API/imagenes/NAUTICA_CLASSICS_117003875_CTI_2.jpg")</f>
        <v/>
      </c>
      <c r="N1331">
        <f>IMAGE("file:///E:/Estudios%20y%20certificaciones/ESTUDIOS%20DE%20PROGRAMMING/PROGRAMMING/PERSONAL/PYTHON/Image_Generator_API/imagenes/NAUTICA_CLASSICS_117003875_CTI_3.jpg")</f>
        <v/>
      </c>
      <c r="O1331">
        <f>HYPERLINK("imagenes/NAUTICA_CLASSICS_117003875_CTI_1.jpg","Ver imagen")</f>
        <v/>
      </c>
      <c r="P1331">
        <f>HYPERLINK("imagenes/NAUTICA_CLASSICS_117003875_CTI_2.jpg","Ver imagen")</f>
        <v/>
      </c>
      <c r="Q1331">
        <f>HYPERLINK("imagenes/NAUTICA_CLASSICS_117003875_CTI_3.jpg","Ver imagen")</f>
        <v/>
      </c>
    </row>
    <row r="1332">
      <c r="A1332" t="inlineStr">
        <is>
          <t>NAUTICA CLASSICS</t>
        </is>
      </c>
      <c r="B1332" t="inlineStr">
        <is>
          <t>117003875</t>
        </is>
      </c>
      <c r="C1332" t="inlineStr">
        <is>
          <t>SOFTSHELL JACKET</t>
        </is>
      </c>
      <c r="D1332" t="inlineStr">
        <is>
          <t>PLF</t>
        </is>
      </c>
      <c r="E1332" t="inlineStr">
        <is>
          <t>08A05</t>
        </is>
      </c>
      <c r="F1332" t="inlineStr">
        <is>
          <t>(en blanco)</t>
        </is>
      </c>
      <c r="G1332" t="inlineStr">
        <is>
          <t>PPK</t>
        </is>
      </c>
      <c r="H1332" t="n">
        <v>1208</v>
      </c>
      <c r="I1332" t="inlineStr">
        <is>
          <t>NAUTICA_CLASSICS_117003875_PLF_1.jpg</t>
        </is>
      </c>
      <c r="J1332" t="inlineStr">
        <is>
          <t>NAUTICA_CLASSICS_117003875_PLF_2.jpg</t>
        </is>
      </c>
      <c r="K1332" t="inlineStr">
        <is>
          <t>NAUTICA_CLASSICS_117003875_PLF_3.jpg</t>
        </is>
      </c>
      <c r="L1332">
        <f>IMAGE("file:///E:/Estudios%20y%20certificaciones/ESTUDIOS%20DE%20PROGRAMMING/PROGRAMMING/PERSONAL/PYTHON/Image_Generator_API/imagenes/NAUTICA_CLASSICS_117003875_PLF_1.jpg")</f>
        <v/>
      </c>
      <c r="M1332">
        <f>IMAGE("file:///E:/Estudios%20y%20certificaciones/ESTUDIOS%20DE%20PROGRAMMING/PROGRAMMING/PERSONAL/PYTHON/Image_Generator_API/imagenes/NAUTICA_CLASSICS_117003875_PLF_2.jpg")</f>
        <v/>
      </c>
      <c r="N1332">
        <f>IMAGE("file:///E:/Estudios%20y%20certificaciones/ESTUDIOS%20DE%20PROGRAMMING/PROGRAMMING/PERSONAL/PYTHON/Image_Generator_API/imagenes/NAUTICA_CLASSICS_117003875_PLF_3.jpg")</f>
        <v/>
      </c>
      <c r="O1332">
        <f>HYPERLINK("imagenes/NAUTICA_CLASSICS_117003875_PLF_1.jpg","Ver imagen")</f>
        <v/>
      </c>
      <c r="P1332">
        <f>HYPERLINK("imagenes/NAUTICA_CLASSICS_117003875_PLF_2.jpg","Ver imagen")</f>
        <v/>
      </c>
      <c r="Q1332">
        <f>HYPERLINK("imagenes/NAUTICA_CLASSICS_117003875_PLF_3.jpg","Ver imagen")</f>
        <v/>
      </c>
    </row>
    <row r="1333">
      <c r="A1333" t="inlineStr">
        <is>
          <t>NAUTICA CLASSICS</t>
        </is>
      </c>
      <c r="B1333" t="inlineStr">
        <is>
          <t>117003875</t>
        </is>
      </c>
      <c r="C1333" t="inlineStr">
        <is>
          <t>SOFTSHELL JACKET</t>
        </is>
      </c>
      <c r="D1333" t="inlineStr">
        <is>
          <t>PS3</t>
        </is>
      </c>
      <c r="E1333" t="inlineStr">
        <is>
          <t>08A05</t>
        </is>
      </c>
      <c r="F1333" t="inlineStr">
        <is>
          <t>(en blanco)</t>
        </is>
      </c>
      <c r="G1333" t="inlineStr">
        <is>
          <t>PPK</t>
        </is>
      </c>
      <c r="H1333" t="n">
        <v>280</v>
      </c>
      <c r="I1333" t="inlineStr">
        <is>
          <t>NAUTICA_CLASSICS_117003875_PS3_1.jpg</t>
        </is>
      </c>
      <c r="J1333" t="inlineStr">
        <is>
          <t>NAUTICA_CLASSICS_117003875_PS3_2.jpg</t>
        </is>
      </c>
      <c r="K1333" t="inlineStr">
        <is>
          <t>NAUTICA_CLASSICS_117003875_PS3_3.jpg</t>
        </is>
      </c>
      <c r="L1333">
        <f>IMAGE("file:///E:/Estudios%20y%20certificaciones/ESTUDIOS%20DE%20PROGRAMMING/PROGRAMMING/PERSONAL/PYTHON/Image_Generator_API/imagenes/NAUTICA_CLASSICS_117003875_PS3_1.jpg")</f>
        <v/>
      </c>
      <c r="M1333">
        <f>IMAGE("file:///E:/Estudios%20y%20certificaciones/ESTUDIOS%20DE%20PROGRAMMING/PROGRAMMING/PERSONAL/PYTHON/Image_Generator_API/imagenes/NAUTICA_CLASSICS_117003875_PS3_2.jpg")</f>
        <v/>
      </c>
      <c r="N1333">
        <f>IMAGE("file:///E:/Estudios%20y%20certificaciones/ESTUDIOS%20DE%20PROGRAMMING/PROGRAMMING/PERSONAL/PYTHON/Image_Generator_API/imagenes/NAUTICA_CLASSICS_117003875_PS3_3.jpg")</f>
        <v/>
      </c>
      <c r="O1333">
        <f>HYPERLINK("imagenes/NAUTICA_CLASSICS_117003875_PS3_1.jpg","Ver imagen")</f>
        <v/>
      </c>
      <c r="P1333">
        <f>HYPERLINK("imagenes/NAUTICA_CLASSICS_117003875_PS3_2.jpg","Ver imagen")</f>
        <v/>
      </c>
      <c r="Q1333">
        <f>HYPERLINK("imagenes/NAUTICA_CLASSICS_117003875_PS3_3.jpg","Ver imagen")</f>
        <v/>
      </c>
    </row>
    <row r="1334">
      <c r="A1334" t="inlineStr">
        <is>
          <t>NAUTICA CLASSICS</t>
        </is>
      </c>
      <c r="B1334" t="inlineStr">
        <is>
          <t>117003875</t>
        </is>
      </c>
      <c r="C1334" t="inlineStr">
        <is>
          <t>SOFTSHELL JACKET</t>
        </is>
      </c>
      <c r="D1334" t="inlineStr">
        <is>
          <t>SAG</t>
        </is>
      </c>
      <c r="E1334" t="inlineStr">
        <is>
          <t>(en blanco)</t>
        </is>
      </c>
      <c r="F1334" t="inlineStr">
        <is>
          <t>(en blanco)</t>
        </is>
      </c>
      <c r="G1334" t="inlineStr">
        <is>
          <t>S</t>
        </is>
      </c>
      <c r="H1334" t="n">
        <v>1</v>
      </c>
      <c r="I1334" t="inlineStr">
        <is>
          <t>NAUTICA_CLASSICS_117003875_SAG_1.jpg</t>
        </is>
      </c>
      <c r="J1334" t="inlineStr">
        <is>
          <t>NAUTICA_CLASSICS_117003875_SAG_2.jpg</t>
        </is>
      </c>
      <c r="K1334" t="inlineStr">
        <is>
          <t>NAUTICA_CLASSICS_117003875_SAG_3.jpg</t>
        </is>
      </c>
      <c r="L1334">
        <f>IMAGE("file:///E:/Estudios%20y%20certificaciones/ESTUDIOS%20DE%20PROGRAMMING/PROGRAMMING/PERSONAL/PYTHON/Image_Generator_API/imagenes/NAUTICA_CLASSICS_117003875_SAG_1.jpg")</f>
        <v/>
      </c>
      <c r="M1334">
        <f>IMAGE("file:///E:/Estudios%20y%20certificaciones/ESTUDIOS%20DE%20PROGRAMMING/PROGRAMMING/PERSONAL/PYTHON/Image_Generator_API/imagenes/NAUTICA_CLASSICS_117003875_SAG_2.jpg")</f>
        <v/>
      </c>
      <c r="N1334">
        <f>IMAGE("file:///E:/Estudios%20y%20certificaciones/ESTUDIOS%20DE%20PROGRAMMING/PROGRAMMING/PERSONAL/PYTHON/Image_Generator_API/imagenes/NAUTICA_CLASSICS_117003875_SAG_3.jpg")</f>
        <v/>
      </c>
      <c r="O1334">
        <f>HYPERLINK("imagenes/NAUTICA_CLASSICS_117003875_SAG_1.jpg","Ver imagen")</f>
        <v/>
      </c>
      <c r="P1334">
        <f>HYPERLINK("imagenes/NAUTICA_CLASSICS_117003875_SAG_2.jpg","Ver imagen")</f>
        <v/>
      </c>
      <c r="Q1334">
        <f>HYPERLINK("imagenes/NAUTICA_CLASSICS_117003875_SAG_3.jpg","Ver imagen")</f>
        <v/>
      </c>
    </row>
    <row r="1335">
      <c r="A1335" t="inlineStr">
        <is>
          <t>NAUTICA CLASSICS</t>
        </is>
      </c>
      <c r="B1335" t="inlineStr">
        <is>
          <t>117003875</t>
        </is>
      </c>
      <c r="C1335" t="inlineStr">
        <is>
          <t>SOFTSHELL JACKET</t>
        </is>
      </c>
      <c r="D1335" t="inlineStr">
        <is>
          <t>SAG</t>
        </is>
      </c>
      <c r="E1335" t="inlineStr">
        <is>
          <t>(en blanco)</t>
        </is>
      </c>
      <c r="F1335" t="inlineStr">
        <is>
          <t>(en blanco)</t>
        </is>
      </c>
      <c r="G1335" t="inlineStr">
        <is>
          <t>L</t>
        </is>
      </c>
      <c r="H1335" t="n">
        <v>1</v>
      </c>
      <c r="I1335" t="inlineStr">
        <is>
          <t>NAUTICA_CLASSICS_117003875_SAG_1.jpg</t>
        </is>
      </c>
      <c r="J1335" t="inlineStr">
        <is>
          <t>NAUTICA_CLASSICS_117003875_SAG_2.jpg</t>
        </is>
      </c>
      <c r="K1335" t="inlineStr">
        <is>
          <t>NAUTICA_CLASSICS_117003875_SAG_3.jpg</t>
        </is>
      </c>
      <c r="L1335">
        <f>IMAGE("file:///E:/Estudios%20y%20certificaciones/ESTUDIOS%20DE%20PROGRAMMING/PROGRAMMING/PERSONAL/PYTHON/Image_Generator_API/imagenes/NAUTICA_CLASSICS_117003875_SAG_1.jpg")</f>
        <v/>
      </c>
      <c r="M1335">
        <f>IMAGE("file:///E:/Estudios%20y%20certificaciones/ESTUDIOS%20DE%20PROGRAMMING/PROGRAMMING/PERSONAL/PYTHON/Image_Generator_API/imagenes/NAUTICA_CLASSICS_117003875_SAG_2.jpg")</f>
        <v/>
      </c>
      <c r="N1335">
        <f>IMAGE("file:///E:/Estudios%20y%20certificaciones/ESTUDIOS%20DE%20PROGRAMMING/PROGRAMMING/PERSONAL/PYTHON/Image_Generator_API/imagenes/NAUTICA_CLASSICS_117003875_SAG_3.jpg")</f>
        <v/>
      </c>
      <c r="O1335">
        <f>HYPERLINK("imagenes/NAUTICA_CLASSICS_117003875_SAG_1.jpg","Ver imagen")</f>
        <v/>
      </c>
      <c r="P1335">
        <f>HYPERLINK("imagenes/NAUTICA_CLASSICS_117003875_SAG_2.jpg","Ver imagen")</f>
        <v/>
      </c>
      <c r="Q1335">
        <f>HYPERLINK("imagenes/NAUTICA_CLASSICS_117003875_SAG_3.jpg","Ver imagen")</f>
        <v/>
      </c>
    </row>
    <row r="1336">
      <c r="A1336" t="inlineStr">
        <is>
          <t>NAUTICA CLASSICS</t>
        </is>
      </c>
      <c r="B1336" t="inlineStr">
        <is>
          <t>117003875</t>
        </is>
      </c>
      <c r="C1336" t="inlineStr">
        <is>
          <t>SOFTSHELL JACKET</t>
        </is>
      </c>
      <c r="D1336" t="inlineStr">
        <is>
          <t>WIL</t>
        </is>
      </c>
      <c r="E1336" t="inlineStr">
        <is>
          <t>08A05</t>
        </is>
      </c>
      <c r="F1336" t="inlineStr">
        <is>
          <t>(en blanco)</t>
        </is>
      </c>
      <c r="G1336" t="inlineStr">
        <is>
          <t>PPK</t>
        </is>
      </c>
      <c r="H1336" t="n">
        <v>368</v>
      </c>
      <c r="I1336" t="inlineStr">
        <is>
          <t>NAUTICA_CLASSICS_117003875_WIL_1.jpg</t>
        </is>
      </c>
      <c r="J1336" t="inlineStr">
        <is>
          <t>NAUTICA_CLASSICS_117003875_WIL_2.jpg</t>
        </is>
      </c>
      <c r="K1336" t="inlineStr">
        <is>
          <t>NAUTICA_CLASSICS_117003875_WIL_3.jpg</t>
        </is>
      </c>
      <c r="L1336">
        <f>IMAGE("file:///E:/Estudios%20y%20certificaciones/ESTUDIOS%20DE%20PROGRAMMING/PROGRAMMING/PERSONAL/PYTHON/Image_Generator_API/imagenes/NAUTICA_CLASSICS_117003875_WIL_1.jpg")</f>
        <v/>
      </c>
      <c r="M1336">
        <f>IMAGE("file:///E:/Estudios%20y%20certificaciones/ESTUDIOS%20DE%20PROGRAMMING/PROGRAMMING/PERSONAL/PYTHON/Image_Generator_API/imagenes/NAUTICA_CLASSICS_117003875_WIL_2.jpg")</f>
        <v/>
      </c>
      <c r="N1336">
        <f>IMAGE("file:///E:/Estudios%20y%20certificaciones/ESTUDIOS%20DE%20PROGRAMMING/PROGRAMMING/PERSONAL/PYTHON/Image_Generator_API/imagenes/NAUTICA_CLASSICS_117003875_WIL_3.jpg")</f>
        <v/>
      </c>
      <c r="O1336">
        <f>HYPERLINK("imagenes/NAUTICA_CLASSICS_117003875_WIL_1.jpg","Ver imagen")</f>
        <v/>
      </c>
      <c r="P1336">
        <f>HYPERLINK("imagenes/NAUTICA_CLASSICS_117003875_WIL_2.jpg","Ver imagen")</f>
        <v/>
      </c>
      <c r="Q1336">
        <f>HYPERLINK("imagenes/NAUTICA_CLASSICS_117003875_WIL_3.jpg","Ver imagen")</f>
        <v/>
      </c>
    </row>
    <row r="1337">
      <c r="A1337" t="inlineStr">
        <is>
          <t>NAUTICA CLASSICS</t>
        </is>
      </c>
      <c r="B1337" t="inlineStr">
        <is>
          <t>117003876</t>
        </is>
      </c>
      <c r="C1337" t="inlineStr">
        <is>
          <t>SOFTSHELL JKT WITH BIB</t>
        </is>
      </c>
      <c r="D1337" t="inlineStr">
        <is>
          <t>BLK</t>
        </is>
      </c>
      <c r="E1337" t="inlineStr">
        <is>
          <t>(en blanco)</t>
        </is>
      </c>
      <c r="F1337" t="inlineStr">
        <is>
          <t>(en blanco)</t>
        </is>
      </c>
      <c r="G1337" t="inlineStr">
        <is>
          <t>XS</t>
        </is>
      </c>
      <c r="H1337" t="n">
        <v>2</v>
      </c>
      <c r="I1337" t="inlineStr">
        <is>
          <t>NAUTICA_CLASSICS_117003876_BLK_1.jpg</t>
        </is>
      </c>
      <c r="J1337" t="inlineStr">
        <is>
          <t>NAUTICA_CLASSICS_117003876_BLK_2.jpg</t>
        </is>
      </c>
      <c r="K1337" t="inlineStr">
        <is>
          <t>NAUTICA_CLASSICS_117003876_BLK_3.jpg</t>
        </is>
      </c>
      <c r="L1337">
        <f>IMAGE("file:///E:/Estudios%20y%20certificaciones/ESTUDIOS%20DE%20PROGRAMMING/PROGRAMMING/PERSONAL/PYTHON/Image_Generator_API/imagenes/NAUTICA_CLASSICS_117003876_BLK_1.jpg")</f>
        <v/>
      </c>
      <c r="M1337">
        <f>IMAGE("file:///E:/Estudios%20y%20certificaciones/ESTUDIOS%20DE%20PROGRAMMING/PROGRAMMING/PERSONAL/PYTHON/Image_Generator_API/imagenes/NAUTICA_CLASSICS_117003876_BLK_2.jpg")</f>
        <v/>
      </c>
      <c r="N1337">
        <f>IMAGE("file:///E:/Estudios%20y%20certificaciones/ESTUDIOS%20DE%20PROGRAMMING/PROGRAMMING/PERSONAL/PYTHON/Image_Generator_API/imagenes/NAUTICA_CLASSICS_117003876_BLK_3.jpg")</f>
        <v/>
      </c>
      <c r="O1337">
        <f>HYPERLINK("imagenes/NAUTICA_CLASSICS_117003876_BLK_1.jpg","Ver imagen")</f>
        <v/>
      </c>
      <c r="P1337">
        <f>HYPERLINK("imagenes/NAUTICA_CLASSICS_117003876_BLK_2.jpg","Ver imagen")</f>
        <v/>
      </c>
      <c r="Q1337">
        <f>HYPERLINK("imagenes/NAUTICA_CLASSICS_117003876_BLK_3.jpg","Ver imagen")</f>
        <v/>
      </c>
    </row>
    <row r="1338">
      <c r="A1338" t="inlineStr">
        <is>
          <t>NAUTICA CLASSICS</t>
        </is>
      </c>
      <c r="B1338" t="inlineStr">
        <is>
          <t>117003876</t>
        </is>
      </c>
      <c r="C1338" t="inlineStr">
        <is>
          <t>SOFTSHELL JKT WITH BIB</t>
        </is>
      </c>
      <c r="D1338" t="inlineStr">
        <is>
          <t>BLK</t>
        </is>
      </c>
      <c r="E1338" t="inlineStr">
        <is>
          <t>(en blanco)</t>
        </is>
      </c>
      <c r="F1338" t="inlineStr">
        <is>
          <t>(en blanco)</t>
        </is>
      </c>
      <c r="G1338" t="inlineStr">
        <is>
          <t>S</t>
        </is>
      </c>
      <c r="H1338" t="n">
        <v>2</v>
      </c>
      <c r="I1338" t="inlineStr">
        <is>
          <t>NAUTICA_CLASSICS_117003876_BLK_1.jpg</t>
        </is>
      </c>
      <c r="J1338" t="inlineStr">
        <is>
          <t>NAUTICA_CLASSICS_117003876_BLK_2.jpg</t>
        </is>
      </c>
      <c r="K1338" t="inlineStr">
        <is>
          <t>NAUTICA_CLASSICS_117003876_BLK_3.jpg</t>
        </is>
      </c>
      <c r="L1338">
        <f>IMAGE("file:///E:/Estudios%20y%20certificaciones/ESTUDIOS%20DE%20PROGRAMMING/PROGRAMMING/PERSONAL/PYTHON/Image_Generator_API/imagenes/NAUTICA_CLASSICS_117003876_BLK_1.jpg")</f>
        <v/>
      </c>
      <c r="M1338">
        <f>IMAGE("file:///E:/Estudios%20y%20certificaciones/ESTUDIOS%20DE%20PROGRAMMING/PROGRAMMING/PERSONAL/PYTHON/Image_Generator_API/imagenes/NAUTICA_CLASSICS_117003876_BLK_2.jpg")</f>
        <v/>
      </c>
      <c r="N1338">
        <f>IMAGE("file:///E:/Estudios%20y%20certificaciones/ESTUDIOS%20DE%20PROGRAMMING/PROGRAMMING/PERSONAL/PYTHON/Image_Generator_API/imagenes/NAUTICA_CLASSICS_117003876_BLK_3.jpg")</f>
        <v/>
      </c>
      <c r="O1338">
        <f>HYPERLINK("imagenes/NAUTICA_CLASSICS_117003876_BLK_1.jpg","Ver imagen")</f>
        <v/>
      </c>
      <c r="P1338">
        <f>HYPERLINK("imagenes/NAUTICA_CLASSICS_117003876_BLK_2.jpg","Ver imagen")</f>
        <v/>
      </c>
      <c r="Q1338">
        <f>HYPERLINK("imagenes/NAUTICA_CLASSICS_117003876_BLK_3.jpg","Ver imagen")</f>
        <v/>
      </c>
    </row>
    <row r="1339">
      <c r="A1339" t="inlineStr">
        <is>
          <t>NAUTICA CLASSICS</t>
        </is>
      </c>
      <c r="B1339" t="inlineStr">
        <is>
          <t>117003876</t>
        </is>
      </c>
      <c r="C1339" t="inlineStr">
        <is>
          <t>SOFTSHELL JKT WITH BIB</t>
        </is>
      </c>
      <c r="D1339" t="inlineStr">
        <is>
          <t>BLK</t>
        </is>
      </c>
      <c r="E1339" t="inlineStr">
        <is>
          <t>(en blanco)</t>
        </is>
      </c>
      <c r="F1339" t="inlineStr">
        <is>
          <t>(en blanco)</t>
        </is>
      </c>
      <c r="G1339" t="inlineStr">
        <is>
          <t>M</t>
        </is>
      </c>
      <c r="H1339" t="n">
        <v>2</v>
      </c>
      <c r="I1339" t="inlineStr">
        <is>
          <t>NAUTICA_CLASSICS_117003876_BLK_1.jpg</t>
        </is>
      </c>
      <c r="J1339" t="inlineStr">
        <is>
          <t>NAUTICA_CLASSICS_117003876_BLK_2.jpg</t>
        </is>
      </c>
      <c r="K1339" t="inlineStr">
        <is>
          <t>NAUTICA_CLASSICS_117003876_BLK_3.jpg</t>
        </is>
      </c>
      <c r="L1339">
        <f>IMAGE("file:///E:/Estudios%20y%20certificaciones/ESTUDIOS%20DE%20PROGRAMMING/PROGRAMMING/PERSONAL/PYTHON/Image_Generator_API/imagenes/NAUTICA_CLASSICS_117003876_BLK_1.jpg")</f>
        <v/>
      </c>
      <c r="M1339">
        <f>IMAGE("file:///E:/Estudios%20y%20certificaciones/ESTUDIOS%20DE%20PROGRAMMING/PROGRAMMING/PERSONAL/PYTHON/Image_Generator_API/imagenes/NAUTICA_CLASSICS_117003876_BLK_2.jpg")</f>
        <v/>
      </c>
      <c r="N1339">
        <f>IMAGE("file:///E:/Estudios%20y%20certificaciones/ESTUDIOS%20DE%20PROGRAMMING/PROGRAMMING/PERSONAL/PYTHON/Image_Generator_API/imagenes/NAUTICA_CLASSICS_117003876_BLK_3.jpg")</f>
        <v/>
      </c>
      <c r="O1339">
        <f>HYPERLINK("imagenes/NAUTICA_CLASSICS_117003876_BLK_1.jpg","Ver imagen")</f>
        <v/>
      </c>
      <c r="P1339">
        <f>HYPERLINK("imagenes/NAUTICA_CLASSICS_117003876_BLK_2.jpg","Ver imagen")</f>
        <v/>
      </c>
      <c r="Q1339">
        <f>HYPERLINK("imagenes/NAUTICA_CLASSICS_117003876_BLK_3.jpg","Ver imagen")</f>
        <v/>
      </c>
    </row>
    <row r="1340">
      <c r="A1340" t="inlineStr">
        <is>
          <t>NAUTICA CLASSICS</t>
        </is>
      </c>
      <c r="B1340" t="inlineStr">
        <is>
          <t>117003876</t>
        </is>
      </c>
      <c r="C1340" t="inlineStr">
        <is>
          <t>SOFTSHELL JKT WITH BIB</t>
        </is>
      </c>
      <c r="D1340" t="inlineStr">
        <is>
          <t>BLK</t>
        </is>
      </c>
      <c r="E1340" t="inlineStr">
        <is>
          <t>(en blanco)</t>
        </is>
      </c>
      <c r="F1340" t="inlineStr">
        <is>
          <t>(en blanco)</t>
        </is>
      </c>
      <c r="G1340" t="inlineStr">
        <is>
          <t>L</t>
        </is>
      </c>
      <c r="H1340" t="n">
        <v>5</v>
      </c>
      <c r="I1340" t="inlineStr">
        <is>
          <t>NAUTICA_CLASSICS_117003876_BLK_1.jpg</t>
        </is>
      </c>
      <c r="J1340" t="inlineStr">
        <is>
          <t>NAUTICA_CLASSICS_117003876_BLK_2.jpg</t>
        </is>
      </c>
      <c r="K1340" t="inlineStr">
        <is>
          <t>NAUTICA_CLASSICS_117003876_BLK_3.jpg</t>
        </is>
      </c>
      <c r="L1340">
        <f>IMAGE("file:///E:/Estudios%20y%20certificaciones/ESTUDIOS%20DE%20PROGRAMMING/PROGRAMMING/PERSONAL/PYTHON/Image_Generator_API/imagenes/NAUTICA_CLASSICS_117003876_BLK_1.jpg")</f>
        <v/>
      </c>
      <c r="M1340">
        <f>IMAGE("file:///E:/Estudios%20y%20certificaciones/ESTUDIOS%20DE%20PROGRAMMING/PROGRAMMING/PERSONAL/PYTHON/Image_Generator_API/imagenes/NAUTICA_CLASSICS_117003876_BLK_2.jpg")</f>
        <v/>
      </c>
      <c r="N1340">
        <f>IMAGE("file:///E:/Estudios%20y%20certificaciones/ESTUDIOS%20DE%20PROGRAMMING/PROGRAMMING/PERSONAL/PYTHON/Image_Generator_API/imagenes/NAUTICA_CLASSICS_117003876_BLK_3.jpg")</f>
        <v/>
      </c>
      <c r="O1340">
        <f>HYPERLINK("imagenes/NAUTICA_CLASSICS_117003876_BLK_1.jpg","Ver imagen")</f>
        <v/>
      </c>
      <c r="P1340">
        <f>HYPERLINK("imagenes/NAUTICA_CLASSICS_117003876_BLK_2.jpg","Ver imagen")</f>
        <v/>
      </c>
      <c r="Q1340">
        <f>HYPERLINK("imagenes/NAUTICA_CLASSICS_117003876_BLK_3.jpg","Ver imagen")</f>
        <v/>
      </c>
    </row>
    <row r="1341">
      <c r="A1341" t="inlineStr">
        <is>
          <t>NAUTICA CLASSICS</t>
        </is>
      </c>
      <c r="B1341" t="inlineStr">
        <is>
          <t>117003876</t>
        </is>
      </c>
      <c r="C1341" t="inlineStr">
        <is>
          <t>SOFTSHELL JKT WITH BIB</t>
        </is>
      </c>
      <c r="D1341" t="inlineStr">
        <is>
          <t>BLK</t>
        </is>
      </c>
      <c r="E1341" t="inlineStr">
        <is>
          <t>(en blanco)</t>
        </is>
      </c>
      <c r="F1341" t="inlineStr">
        <is>
          <t>(en blanco)</t>
        </is>
      </c>
      <c r="G1341" t="inlineStr">
        <is>
          <t>XL</t>
        </is>
      </c>
      <c r="H1341" t="n">
        <v>2</v>
      </c>
      <c r="I1341" t="inlineStr">
        <is>
          <t>NAUTICA_CLASSICS_117003876_BLK_1.jpg</t>
        </is>
      </c>
      <c r="J1341" t="inlineStr">
        <is>
          <t>NAUTICA_CLASSICS_117003876_BLK_2.jpg</t>
        </is>
      </c>
      <c r="K1341" t="inlineStr">
        <is>
          <t>NAUTICA_CLASSICS_117003876_BLK_3.jpg</t>
        </is>
      </c>
      <c r="L1341">
        <f>IMAGE("file:///E:/Estudios%20y%20certificaciones/ESTUDIOS%20DE%20PROGRAMMING/PROGRAMMING/PERSONAL/PYTHON/Image_Generator_API/imagenes/NAUTICA_CLASSICS_117003876_BLK_1.jpg")</f>
        <v/>
      </c>
      <c r="M1341">
        <f>IMAGE("file:///E:/Estudios%20y%20certificaciones/ESTUDIOS%20DE%20PROGRAMMING/PROGRAMMING/PERSONAL/PYTHON/Image_Generator_API/imagenes/NAUTICA_CLASSICS_117003876_BLK_2.jpg")</f>
        <v/>
      </c>
      <c r="N1341">
        <f>IMAGE("file:///E:/Estudios%20y%20certificaciones/ESTUDIOS%20DE%20PROGRAMMING/PROGRAMMING/PERSONAL/PYTHON/Image_Generator_API/imagenes/NAUTICA_CLASSICS_117003876_BLK_3.jpg")</f>
        <v/>
      </c>
      <c r="O1341">
        <f>HYPERLINK("imagenes/NAUTICA_CLASSICS_117003876_BLK_1.jpg","Ver imagen")</f>
        <v/>
      </c>
      <c r="P1341">
        <f>HYPERLINK("imagenes/NAUTICA_CLASSICS_117003876_BLK_2.jpg","Ver imagen")</f>
        <v/>
      </c>
      <c r="Q1341">
        <f>HYPERLINK("imagenes/NAUTICA_CLASSICS_117003876_BLK_3.jpg","Ver imagen")</f>
        <v/>
      </c>
    </row>
    <row r="1342">
      <c r="A1342" t="inlineStr">
        <is>
          <t>NAUTICA CLASSICS</t>
        </is>
      </c>
      <c r="B1342" t="inlineStr">
        <is>
          <t>117003876</t>
        </is>
      </c>
      <c r="C1342" t="inlineStr">
        <is>
          <t>SOFTSHELL JKT WITH BIB</t>
        </is>
      </c>
      <c r="D1342" t="inlineStr">
        <is>
          <t>LMS</t>
        </is>
      </c>
      <c r="E1342" t="inlineStr">
        <is>
          <t>(en blanco)</t>
        </is>
      </c>
      <c r="F1342" t="inlineStr">
        <is>
          <t>(en blanco)</t>
        </is>
      </c>
      <c r="G1342" t="inlineStr">
        <is>
          <t>S</t>
        </is>
      </c>
      <c r="H1342" t="n">
        <v>1</v>
      </c>
      <c r="I1342" t="inlineStr">
        <is>
          <t>NAUTICA_CLASSICS_117003876_LMS_1.jpg</t>
        </is>
      </c>
      <c r="J1342" t="inlineStr">
        <is>
          <t>NAUTICA_CLASSICS_117003876_LMS_2.jpg</t>
        </is>
      </c>
      <c r="K1342" t="inlineStr">
        <is>
          <t>NAUTICA_CLASSICS_117003876_LMS_3.jpg</t>
        </is>
      </c>
      <c r="L1342">
        <f>IMAGE("file:///E:/Estudios%20y%20certificaciones/ESTUDIOS%20DE%20PROGRAMMING/PROGRAMMING/PERSONAL/PYTHON/Image_Generator_API/imagenes/NAUTICA_CLASSICS_117003876_LMS_1.jpg")</f>
        <v/>
      </c>
      <c r="M1342">
        <f>IMAGE("file:///E:/Estudios%20y%20certificaciones/ESTUDIOS%20DE%20PROGRAMMING/PROGRAMMING/PERSONAL/PYTHON/Image_Generator_API/imagenes/NAUTICA_CLASSICS_117003876_LMS_2.jpg")</f>
        <v/>
      </c>
      <c r="N1342">
        <f>IMAGE("file:///E:/Estudios%20y%20certificaciones/ESTUDIOS%20DE%20PROGRAMMING/PROGRAMMING/PERSONAL/PYTHON/Image_Generator_API/imagenes/NAUTICA_CLASSICS_117003876_LMS_3.jpg")</f>
        <v/>
      </c>
      <c r="O1342">
        <f>HYPERLINK("imagenes/NAUTICA_CLASSICS_117003876_LMS_1.jpg","Ver imagen")</f>
        <v/>
      </c>
      <c r="P1342">
        <f>HYPERLINK("imagenes/NAUTICA_CLASSICS_117003876_LMS_2.jpg","Ver imagen")</f>
        <v/>
      </c>
      <c r="Q1342">
        <f>HYPERLINK("imagenes/NAUTICA_CLASSICS_117003876_LMS_3.jpg","Ver imagen")</f>
        <v/>
      </c>
    </row>
    <row r="1343">
      <c r="A1343" t="inlineStr">
        <is>
          <t>NAUTICA CLASSICS</t>
        </is>
      </c>
      <c r="B1343" t="inlineStr">
        <is>
          <t>117003876</t>
        </is>
      </c>
      <c r="C1343" t="inlineStr">
        <is>
          <t>SOFTSHELL JKT WITH BIB</t>
        </is>
      </c>
      <c r="D1343" t="inlineStr">
        <is>
          <t>LMS</t>
        </is>
      </c>
      <c r="E1343" t="inlineStr">
        <is>
          <t>(en blanco)</t>
        </is>
      </c>
      <c r="F1343" t="inlineStr">
        <is>
          <t>(en blanco)</t>
        </is>
      </c>
      <c r="G1343" t="inlineStr">
        <is>
          <t>M</t>
        </is>
      </c>
      <c r="H1343" t="n">
        <v>1</v>
      </c>
      <c r="I1343" t="inlineStr">
        <is>
          <t>NAUTICA_CLASSICS_117003876_LMS_1.jpg</t>
        </is>
      </c>
      <c r="J1343" t="inlineStr">
        <is>
          <t>NAUTICA_CLASSICS_117003876_LMS_2.jpg</t>
        </is>
      </c>
      <c r="K1343" t="inlineStr">
        <is>
          <t>NAUTICA_CLASSICS_117003876_LMS_3.jpg</t>
        </is>
      </c>
      <c r="L1343">
        <f>IMAGE("file:///E:/Estudios%20y%20certificaciones/ESTUDIOS%20DE%20PROGRAMMING/PROGRAMMING/PERSONAL/PYTHON/Image_Generator_API/imagenes/NAUTICA_CLASSICS_117003876_LMS_1.jpg")</f>
        <v/>
      </c>
      <c r="M1343">
        <f>IMAGE("file:///E:/Estudios%20y%20certificaciones/ESTUDIOS%20DE%20PROGRAMMING/PROGRAMMING/PERSONAL/PYTHON/Image_Generator_API/imagenes/NAUTICA_CLASSICS_117003876_LMS_2.jpg")</f>
        <v/>
      </c>
      <c r="N1343">
        <f>IMAGE("file:///E:/Estudios%20y%20certificaciones/ESTUDIOS%20DE%20PROGRAMMING/PROGRAMMING/PERSONAL/PYTHON/Image_Generator_API/imagenes/NAUTICA_CLASSICS_117003876_LMS_3.jpg")</f>
        <v/>
      </c>
      <c r="O1343">
        <f>HYPERLINK("imagenes/NAUTICA_CLASSICS_117003876_LMS_1.jpg","Ver imagen")</f>
        <v/>
      </c>
      <c r="P1343">
        <f>HYPERLINK("imagenes/NAUTICA_CLASSICS_117003876_LMS_2.jpg","Ver imagen")</f>
        <v/>
      </c>
      <c r="Q1343">
        <f>HYPERLINK("imagenes/NAUTICA_CLASSICS_117003876_LMS_3.jpg","Ver imagen")</f>
        <v/>
      </c>
    </row>
    <row r="1344">
      <c r="A1344" t="inlineStr">
        <is>
          <t>NAUTICA CLASSICS</t>
        </is>
      </c>
      <c r="B1344" t="inlineStr">
        <is>
          <t>117003879</t>
        </is>
      </c>
      <c r="C1344" t="inlineStr">
        <is>
          <t>SOFTSHELL JACKET W/FUR LINED HOOD</t>
        </is>
      </c>
      <c r="D1344" t="inlineStr">
        <is>
          <t>BLK</t>
        </is>
      </c>
      <c r="E1344" t="inlineStr">
        <is>
          <t>(en blanco)</t>
        </is>
      </c>
      <c r="F1344" t="inlineStr">
        <is>
          <t>(en blanco)</t>
        </is>
      </c>
      <c r="G1344" t="inlineStr">
        <is>
          <t>S</t>
        </is>
      </c>
      <c r="H1344" t="n">
        <v>18</v>
      </c>
      <c r="I1344" t="inlineStr">
        <is>
          <t>NAUTICA_CLASSICS_117003879_BLK_1.jpg</t>
        </is>
      </c>
      <c r="J1344" t="inlineStr">
        <is>
          <t>NAUTICA_CLASSICS_117003879_BLK_2.jpg</t>
        </is>
      </c>
      <c r="K1344" t="inlineStr">
        <is>
          <t>NAUTICA_CLASSICS_117003879_BLK_3.jpg</t>
        </is>
      </c>
      <c r="L1344">
        <f>IMAGE("file:///E:/Estudios%20y%20certificaciones/ESTUDIOS%20DE%20PROGRAMMING/PROGRAMMING/PERSONAL/PYTHON/Image_Generator_API/imagenes/NAUTICA_CLASSICS_117003879_BLK_1.jpg")</f>
        <v/>
      </c>
      <c r="M1344">
        <f>IMAGE("file:///E:/Estudios%20y%20certificaciones/ESTUDIOS%20DE%20PROGRAMMING/PROGRAMMING/PERSONAL/PYTHON/Image_Generator_API/imagenes/NAUTICA_CLASSICS_117003879_BLK_2.jpg")</f>
        <v/>
      </c>
      <c r="N1344">
        <f>IMAGE("file:///E:/Estudios%20y%20certificaciones/ESTUDIOS%20DE%20PROGRAMMING/PROGRAMMING/PERSONAL/PYTHON/Image_Generator_API/imagenes/NAUTICA_CLASSICS_117003879_BLK_3.jpg")</f>
        <v/>
      </c>
      <c r="O1344">
        <f>HYPERLINK("imagenes/NAUTICA_CLASSICS_117003879_BLK_1.jpg","Ver imagen")</f>
        <v/>
      </c>
      <c r="P1344">
        <f>HYPERLINK("imagenes/NAUTICA_CLASSICS_117003879_BLK_2.jpg","Ver imagen")</f>
        <v/>
      </c>
      <c r="Q1344">
        <f>HYPERLINK("imagenes/NAUTICA_CLASSICS_117003879_BLK_3.jpg","Ver imagen")</f>
        <v/>
      </c>
    </row>
    <row r="1345">
      <c r="A1345" t="inlineStr">
        <is>
          <t>NAUTICA CLASSICS</t>
        </is>
      </c>
      <c r="B1345" t="inlineStr">
        <is>
          <t>117003879</t>
        </is>
      </c>
      <c r="C1345" t="inlineStr">
        <is>
          <t>SOFTSHELL JACKET W/FUR LINED HOOD</t>
        </is>
      </c>
      <c r="D1345" t="inlineStr">
        <is>
          <t>BLK</t>
        </is>
      </c>
      <c r="E1345" t="inlineStr">
        <is>
          <t>(en blanco)</t>
        </is>
      </c>
      <c r="F1345" t="inlineStr">
        <is>
          <t>(en blanco)</t>
        </is>
      </c>
      <c r="G1345" t="inlineStr">
        <is>
          <t>M</t>
        </is>
      </c>
      <c r="H1345" t="n">
        <v>22</v>
      </c>
      <c r="I1345" t="inlineStr">
        <is>
          <t>NAUTICA_CLASSICS_117003879_BLK_1.jpg</t>
        </is>
      </c>
      <c r="J1345" t="inlineStr">
        <is>
          <t>NAUTICA_CLASSICS_117003879_BLK_2.jpg</t>
        </is>
      </c>
      <c r="K1345" t="inlineStr">
        <is>
          <t>NAUTICA_CLASSICS_117003879_BLK_3.jpg</t>
        </is>
      </c>
      <c r="L1345">
        <f>IMAGE("file:///E:/Estudios%20y%20certificaciones/ESTUDIOS%20DE%20PROGRAMMING/PROGRAMMING/PERSONAL/PYTHON/Image_Generator_API/imagenes/NAUTICA_CLASSICS_117003879_BLK_1.jpg")</f>
        <v/>
      </c>
      <c r="M1345">
        <f>IMAGE("file:///E:/Estudios%20y%20certificaciones/ESTUDIOS%20DE%20PROGRAMMING/PROGRAMMING/PERSONAL/PYTHON/Image_Generator_API/imagenes/NAUTICA_CLASSICS_117003879_BLK_2.jpg")</f>
        <v/>
      </c>
      <c r="N1345">
        <f>IMAGE("file:///E:/Estudios%20y%20certificaciones/ESTUDIOS%20DE%20PROGRAMMING/PROGRAMMING/PERSONAL/PYTHON/Image_Generator_API/imagenes/NAUTICA_CLASSICS_117003879_BLK_3.jpg")</f>
        <v/>
      </c>
      <c r="O1345">
        <f>HYPERLINK("imagenes/NAUTICA_CLASSICS_117003879_BLK_1.jpg","Ver imagen")</f>
        <v/>
      </c>
      <c r="P1345">
        <f>HYPERLINK("imagenes/NAUTICA_CLASSICS_117003879_BLK_2.jpg","Ver imagen")</f>
        <v/>
      </c>
      <c r="Q1345">
        <f>HYPERLINK("imagenes/NAUTICA_CLASSICS_117003879_BLK_3.jpg","Ver imagen")</f>
        <v/>
      </c>
    </row>
    <row r="1346">
      <c r="A1346" t="inlineStr">
        <is>
          <t>NAUTICA CLASSICS</t>
        </is>
      </c>
      <c r="B1346" t="inlineStr">
        <is>
          <t>117003879</t>
        </is>
      </c>
      <c r="C1346" t="inlineStr">
        <is>
          <t>SOFTSHELL JACKET W/FUR LINED HOOD</t>
        </is>
      </c>
      <c r="D1346" t="inlineStr">
        <is>
          <t>BLK</t>
        </is>
      </c>
      <c r="E1346" t="inlineStr">
        <is>
          <t>(en blanco)</t>
        </is>
      </c>
      <c r="F1346" t="inlineStr">
        <is>
          <t>(en blanco)</t>
        </is>
      </c>
      <c r="G1346" t="inlineStr">
        <is>
          <t>L</t>
        </is>
      </c>
      <c r="H1346" t="n">
        <v>13</v>
      </c>
      <c r="I1346" t="inlineStr">
        <is>
          <t>NAUTICA_CLASSICS_117003879_BLK_1.jpg</t>
        </is>
      </c>
      <c r="J1346" t="inlineStr">
        <is>
          <t>NAUTICA_CLASSICS_117003879_BLK_2.jpg</t>
        </is>
      </c>
      <c r="K1346" t="inlineStr">
        <is>
          <t>NAUTICA_CLASSICS_117003879_BLK_3.jpg</t>
        </is>
      </c>
      <c r="L1346">
        <f>IMAGE("file:///E:/Estudios%20y%20certificaciones/ESTUDIOS%20DE%20PROGRAMMING/PROGRAMMING/PERSONAL/PYTHON/Image_Generator_API/imagenes/NAUTICA_CLASSICS_117003879_BLK_1.jpg")</f>
        <v/>
      </c>
      <c r="M1346">
        <f>IMAGE("file:///E:/Estudios%20y%20certificaciones/ESTUDIOS%20DE%20PROGRAMMING/PROGRAMMING/PERSONAL/PYTHON/Image_Generator_API/imagenes/NAUTICA_CLASSICS_117003879_BLK_2.jpg")</f>
        <v/>
      </c>
      <c r="N1346">
        <f>IMAGE("file:///E:/Estudios%20y%20certificaciones/ESTUDIOS%20DE%20PROGRAMMING/PROGRAMMING/PERSONAL/PYTHON/Image_Generator_API/imagenes/NAUTICA_CLASSICS_117003879_BLK_3.jpg")</f>
        <v/>
      </c>
      <c r="O1346">
        <f>HYPERLINK("imagenes/NAUTICA_CLASSICS_117003879_BLK_1.jpg","Ver imagen")</f>
        <v/>
      </c>
      <c r="P1346">
        <f>HYPERLINK("imagenes/NAUTICA_CLASSICS_117003879_BLK_2.jpg","Ver imagen")</f>
        <v/>
      </c>
      <c r="Q1346">
        <f>HYPERLINK("imagenes/NAUTICA_CLASSICS_117003879_BLK_3.jpg","Ver imagen")</f>
        <v/>
      </c>
    </row>
    <row r="1347">
      <c r="A1347" t="inlineStr">
        <is>
          <t>NAUTICA CLASSICS</t>
        </is>
      </c>
      <c r="B1347" t="inlineStr">
        <is>
          <t>117003879</t>
        </is>
      </c>
      <c r="C1347" t="inlineStr">
        <is>
          <t>SOFTSHELL JACKET W/FUR LINED HOOD</t>
        </is>
      </c>
      <c r="D1347" t="inlineStr">
        <is>
          <t>BLK</t>
        </is>
      </c>
      <c r="E1347" t="inlineStr">
        <is>
          <t>(en blanco)</t>
        </is>
      </c>
      <c r="F1347" t="inlineStr">
        <is>
          <t>(en blanco)</t>
        </is>
      </c>
      <c r="G1347" t="inlineStr">
        <is>
          <t>XL</t>
        </is>
      </c>
      <c r="H1347" t="n">
        <v>11</v>
      </c>
      <c r="I1347" t="inlineStr">
        <is>
          <t>NAUTICA_CLASSICS_117003879_BLK_1.jpg</t>
        </is>
      </c>
      <c r="J1347" t="inlineStr">
        <is>
          <t>NAUTICA_CLASSICS_117003879_BLK_2.jpg</t>
        </is>
      </c>
      <c r="K1347" t="inlineStr">
        <is>
          <t>NAUTICA_CLASSICS_117003879_BLK_3.jpg</t>
        </is>
      </c>
      <c r="L1347">
        <f>IMAGE("file:///E:/Estudios%20y%20certificaciones/ESTUDIOS%20DE%20PROGRAMMING/PROGRAMMING/PERSONAL/PYTHON/Image_Generator_API/imagenes/NAUTICA_CLASSICS_117003879_BLK_1.jpg")</f>
        <v/>
      </c>
      <c r="M1347">
        <f>IMAGE("file:///E:/Estudios%20y%20certificaciones/ESTUDIOS%20DE%20PROGRAMMING/PROGRAMMING/PERSONAL/PYTHON/Image_Generator_API/imagenes/NAUTICA_CLASSICS_117003879_BLK_2.jpg")</f>
        <v/>
      </c>
      <c r="N1347">
        <f>IMAGE("file:///E:/Estudios%20y%20certificaciones/ESTUDIOS%20DE%20PROGRAMMING/PROGRAMMING/PERSONAL/PYTHON/Image_Generator_API/imagenes/NAUTICA_CLASSICS_117003879_BLK_3.jpg")</f>
        <v/>
      </c>
      <c r="O1347">
        <f>HYPERLINK("imagenes/NAUTICA_CLASSICS_117003879_BLK_1.jpg","Ver imagen")</f>
        <v/>
      </c>
      <c r="P1347">
        <f>HYPERLINK("imagenes/NAUTICA_CLASSICS_117003879_BLK_2.jpg","Ver imagen")</f>
        <v/>
      </c>
      <c r="Q1347">
        <f>HYPERLINK("imagenes/NAUTICA_CLASSICS_117003879_BLK_3.jpg","Ver imagen")</f>
        <v/>
      </c>
    </row>
    <row r="1348">
      <c r="A1348" t="inlineStr">
        <is>
          <t>NAUTICA CLASSICS</t>
        </is>
      </c>
      <c r="B1348" t="inlineStr">
        <is>
          <t>117003879</t>
        </is>
      </c>
      <c r="C1348" t="inlineStr">
        <is>
          <t>SOFTSHELL JACKET W/FUR LINED HOOD</t>
        </is>
      </c>
      <c r="D1348" t="inlineStr">
        <is>
          <t>CTI</t>
        </is>
      </c>
      <c r="E1348" t="inlineStr">
        <is>
          <t>(en blanco)</t>
        </is>
      </c>
      <c r="F1348" t="inlineStr">
        <is>
          <t>(en blanco)</t>
        </is>
      </c>
      <c r="G1348" t="inlineStr">
        <is>
          <t>S</t>
        </is>
      </c>
      <c r="H1348" t="n">
        <v>16</v>
      </c>
      <c r="I1348" t="inlineStr">
        <is>
          <t>NAUTICA_CLASSICS_117003879_CTI_1.jpg</t>
        </is>
      </c>
      <c r="J1348" t="inlineStr">
        <is>
          <t>NAUTICA_CLASSICS_117003879_CTI_3.jpg</t>
        </is>
      </c>
      <c r="L1348">
        <f>IMAGE("file:///E:/Estudios%20y%20certificaciones/ESTUDIOS%20DE%20PROGRAMMING/PROGRAMMING/PERSONAL/PYTHON/Image_Generator_API/imagenes/NAUTICA_CLASSICS_117003879_CTI_1.jpg")</f>
        <v/>
      </c>
      <c r="M1348">
        <f>IMAGE("file:///E:/Estudios%20y%20certificaciones/ESTUDIOS%20DE%20PROGRAMMING/PROGRAMMING/PERSONAL/PYTHON/Image_Generator_API/imagenes/NAUTICA_CLASSICS_117003879_CTI_3.jpg")</f>
        <v/>
      </c>
      <c r="O1348">
        <f>HYPERLINK("imagenes/NAUTICA_CLASSICS_117003879_CTI_1.jpg","Ver imagen")</f>
        <v/>
      </c>
      <c r="P1348">
        <f>HYPERLINK("imagenes/NAUTICA_CLASSICS_117003879_CTI_3.jpg","Ver imagen")</f>
        <v/>
      </c>
    </row>
    <row r="1349">
      <c r="A1349" t="inlineStr">
        <is>
          <t>NAUTICA CLASSICS</t>
        </is>
      </c>
      <c r="B1349" t="inlineStr">
        <is>
          <t>117003879</t>
        </is>
      </c>
      <c r="C1349" t="inlineStr">
        <is>
          <t>SOFTSHELL JACKET W/FUR LINED HOOD</t>
        </is>
      </c>
      <c r="D1349" t="inlineStr">
        <is>
          <t>CTI</t>
        </is>
      </c>
      <c r="E1349" t="inlineStr">
        <is>
          <t>(en blanco)</t>
        </is>
      </c>
      <c r="F1349" t="inlineStr">
        <is>
          <t>(en blanco)</t>
        </is>
      </c>
      <c r="G1349" t="inlineStr">
        <is>
          <t>M</t>
        </is>
      </c>
      <c r="H1349" t="n">
        <v>16</v>
      </c>
      <c r="I1349" t="inlineStr">
        <is>
          <t>NAUTICA_CLASSICS_117003879_CTI_1.jpg</t>
        </is>
      </c>
      <c r="J1349" t="inlineStr">
        <is>
          <t>NAUTICA_CLASSICS_117003879_CTI_3.jpg</t>
        </is>
      </c>
      <c r="L1349">
        <f>IMAGE("file:///E:/Estudios%20y%20certificaciones/ESTUDIOS%20DE%20PROGRAMMING/PROGRAMMING/PERSONAL/PYTHON/Image_Generator_API/imagenes/NAUTICA_CLASSICS_117003879_CTI_1.jpg")</f>
        <v/>
      </c>
      <c r="M1349">
        <f>IMAGE("file:///E:/Estudios%20y%20certificaciones/ESTUDIOS%20DE%20PROGRAMMING/PROGRAMMING/PERSONAL/PYTHON/Image_Generator_API/imagenes/NAUTICA_CLASSICS_117003879_CTI_3.jpg")</f>
        <v/>
      </c>
      <c r="O1349">
        <f>HYPERLINK("imagenes/NAUTICA_CLASSICS_117003879_CTI_1.jpg","Ver imagen")</f>
        <v/>
      </c>
      <c r="P1349">
        <f>HYPERLINK("imagenes/NAUTICA_CLASSICS_117003879_CTI_3.jpg","Ver imagen")</f>
        <v/>
      </c>
    </row>
    <row r="1350">
      <c r="A1350" t="inlineStr">
        <is>
          <t>NAUTICA CLASSICS</t>
        </is>
      </c>
      <c r="B1350" t="inlineStr">
        <is>
          <t>117003879</t>
        </is>
      </c>
      <c r="C1350" t="inlineStr">
        <is>
          <t>SOFTSHELL JACKET W/FUR LINED HOOD</t>
        </is>
      </c>
      <c r="D1350" t="inlineStr">
        <is>
          <t>CTI</t>
        </is>
      </c>
      <c r="E1350" t="inlineStr">
        <is>
          <t>(en blanco)</t>
        </is>
      </c>
      <c r="F1350" t="inlineStr">
        <is>
          <t>(en blanco)</t>
        </is>
      </c>
      <c r="G1350" t="inlineStr">
        <is>
          <t>L</t>
        </is>
      </c>
      <c r="H1350" t="n">
        <v>16</v>
      </c>
      <c r="I1350" t="inlineStr">
        <is>
          <t>NAUTICA_CLASSICS_117003879_CTI_1.jpg</t>
        </is>
      </c>
      <c r="J1350" t="inlineStr">
        <is>
          <t>NAUTICA_CLASSICS_117003879_CTI_3.jpg</t>
        </is>
      </c>
      <c r="L1350">
        <f>IMAGE("file:///E:/Estudios%20y%20certificaciones/ESTUDIOS%20DE%20PROGRAMMING/PROGRAMMING/PERSONAL/PYTHON/Image_Generator_API/imagenes/NAUTICA_CLASSICS_117003879_CTI_1.jpg")</f>
        <v/>
      </c>
      <c r="M1350">
        <f>IMAGE("file:///E:/Estudios%20y%20certificaciones/ESTUDIOS%20DE%20PROGRAMMING/PROGRAMMING/PERSONAL/PYTHON/Image_Generator_API/imagenes/NAUTICA_CLASSICS_117003879_CTI_3.jpg")</f>
        <v/>
      </c>
      <c r="O1350">
        <f>HYPERLINK("imagenes/NAUTICA_CLASSICS_117003879_CTI_1.jpg","Ver imagen")</f>
        <v/>
      </c>
      <c r="P1350">
        <f>HYPERLINK("imagenes/NAUTICA_CLASSICS_117003879_CTI_3.jpg","Ver imagen")</f>
        <v/>
      </c>
    </row>
    <row r="1351">
      <c r="A1351" t="inlineStr">
        <is>
          <t>NAUTICA CLASSICS</t>
        </is>
      </c>
      <c r="B1351" t="inlineStr">
        <is>
          <t>117003879</t>
        </is>
      </c>
      <c r="C1351" t="inlineStr">
        <is>
          <t>SOFTSHELL JACKET W/FUR LINED HOOD</t>
        </is>
      </c>
      <c r="D1351" t="inlineStr">
        <is>
          <t>CTI</t>
        </is>
      </c>
      <c r="E1351" t="inlineStr">
        <is>
          <t>(en blanco)</t>
        </is>
      </c>
      <c r="F1351" t="inlineStr">
        <is>
          <t>(en blanco)</t>
        </is>
      </c>
      <c r="G1351" t="inlineStr">
        <is>
          <t>XL</t>
        </is>
      </c>
      <c r="H1351" t="n">
        <v>16</v>
      </c>
      <c r="I1351" t="inlineStr">
        <is>
          <t>NAUTICA_CLASSICS_117003879_CTI_1.jpg</t>
        </is>
      </c>
      <c r="J1351" t="inlineStr">
        <is>
          <t>NAUTICA_CLASSICS_117003879_CTI_3.jpg</t>
        </is>
      </c>
      <c r="L1351">
        <f>IMAGE("file:///E:/Estudios%20y%20certificaciones/ESTUDIOS%20DE%20PROGRAMMING/PROGRAMMING/PERSONAL/PYTHON/Image_Generator_API/imagenes/NAUTICA_CLASSICS_117003879_CTI_1.jpg")</f>
        <v/>
      </c>
      <c r="M1351">
        <f>IMAGE("file:///E:/Estudios%20y%20certificaciones/ESTUDIOS%20DE%20PROGRAMMING/PROGRAMMING/PERSONAL/PYTHON/Image_Generator_API/imagenes/NAUTICA_CLASSICS_117003879_CTI_3.jpg")</f>
        <v/>
      </c>
      <c r="O1351">
        <f>HYPERLINK("imagenes/NAUTICA_CLASSICS_117003879_CTI_1.jpg","Ver imagen")</f>
        <v/>
      </c>
      <c r="P1351">
        <f>HYPERLINK("imagenes/NAUTICA_CLASSICS_117003879_CTI_3.jpg","Ver imagen")</f>
        <v/>
      </c>
    </row>
    <row r="1352">
      <c r="A1352" t="inlineStr">
        <is>
          <t>NAUTICA CLASSICS</t>
        </is>
      </c>
      <c r="B1352" t="inlineStr">
        <is>
          <t>117003879</t>
        </is>
      </c>
      <c r="C1352" t="inlineStr">
        <is>
          <t>SOFTSHELL JACKET W/FUR LINED HOOD</t>
        </is>
      </c>
      <c r="D1352" t="inlineStr">
        <is>
          <t>NSS</t>
        </is>
      </c>
      <c r="E1352" t="inlineStr">
        <is>
          <t>(en blanco)</t>
        </is>
      </c>
      <c r="F1352" t="inlineStr">
        <is>
          <t>(en blanco)</t>
        </is>
      </c>
      <c r="G1352" t="inlineStr">
        <is>
          <t>S</t>
        </is>
      </c>
      <c r="H1352" t="n">
        <v>4</v>
      </c>
      <c r="I1352" t="inlineStr">
        <is>
          <t>NAUTICA_CLASSICS_117003879_NSS_1.jpg</t>
        </is>
      </c>
      <c r="J1352" t="inlineStr">
        <is>
          <t>NAUTICA_CLASSICS_117003879_NSS_2.jpg</t>
        </is>
      </c>
      <c r="K1352" t="inlineStr">
        <is>
          <t>NAUTICA_CLASSICS_117003879_NSS_3.jpg</t>
        </is>
      </c>
      <c r="L1352">
        <f>IMAGE("file:///E:/Estudios%20y%20certificaciones/ESTUDIOS%20DE%20PROGRAMMING/PROGRAMMING/PERSONAL/PYTHON/Image_Generator_API/imagenes/NAUTICA_CLASSICS_117003879_NSS_1.jpg")</f>
        <v/>
      </c>
      <c r="M1352">
        <f>IMAGE("file:///E:/Estudios%20y%20certificaciones/ESTUDIOS%20DE%20PROGRAMMING/PROGRAMMING/PERSONAL/PYTHON/Image_Generator_API/imagenes/NAUTICA_CLASSICS_117003879_NSS_2.jpg")</f>
        <v/>
      </c>
      <c r="N1352">
        <f>IMAGE("file:///E:/Estudios%20y%20certificaciones/ESTUDIOS%20DE%20PROGRAMMING/PROGRAMMING/PERSONAL/PYTHON/Image_Generator_API/imagenes/NAUTICA_CLASSICS_117003879_NSS_3.jpg")</f>
        <v/>
      </c>
      <c r="O1352">
        <f>HYPERLINK("imagenes/NAUTICA_CLASSICS_117003879_NSS_1.jpg","Ver imagen")</f>
        <v/>
      </c>
      <c r="P1352">
        <f>HYPERLINK("imagenes/NAUTICA_CLASSICS_117003879_NSS_2.jpg","Ver imagen")</f>
        <v/>
      </c>
      <c r="Q1352">
        <f>HYPERLINK("imagenes/NAUTICA_CLASSICS_117003879_NSS_3.jpg","Ver imagen")</f>
        <v/>
      </c>
    </row>
    <row r="1353">
      <c r="A1353" t="inlineStr">
        <is>
          <t>NAUTICA CLASSICS</t>
        </is>
      </c>
      <c r="B1353" t="inlineStr">
        <is>
          <t>117003879</t>
        </is>
      </c>
      <c r="C1353" t="inlineStr">
        <is>
          <t>SOFTSHELL JACKET W/FUR LINED HOOD</t>
        </is>
      </c>
      <c r="D1353" t="inlineStr">
        <is>
          <t>NSS</t>
        </is>
      </c>
      <c r="E1353" t="inlineStr">
        <is>
          <t>(en blanco)</t>
        </is>
      </c>
      <c r="F1353" t="inlineStr">
        <is>
          <t>(en blanco)</t>
        </is>
      </c>
      <c r="G1353" t="inlineStr">
        <is>
          <t>M</t>
        </is>
      </c>
      <c r="H1353" t="n">
        <v>6</v>
      </c>
      <c r="I1353" t="inlineStr">
        <is>
          <t>NAUTICA_CLASSICS_117003879_NSS_1.jpg</t>
        </is>
      </c>
      <c r="J1353" t="inlineStr">
        <is>
          <t>NAUTICA_CLASSICS_117003879_NSS_2.jpg</t>
        </is>
      </c>
      <c r="K1353" t="inlineStr">
        <is>
          <t>NAUTICA_CLASSICS_117003879_NSS_3.jpg</t>
        </is>
      </c>
      <c r="L1353">
        <f>IMAGE("file:///E:/Estudios%20y%20certificaciones/ESTUDIOS%20DE%20PROGRAMMING/PROGRAMMING/PERSONAL/PYTHON/Image_Generator_API/imagenes/NAUTICA_CLASSICS_117003879_NSS_1.jpg")</f>
        <v/>
      </c>
      <c r="M1353">
        <f>IMAGE("file:///E:/Estudios%20y%20certificaciones/ESTUDIOS%20DE%20PROGRAMMING/PROGRAMMING/PERSONAL/PYTHON/Image_Generator_API/imagenes/NAUTICA_CLASSICS_117003879_NSS_2.jpg")</f>
        <v/>
      </c>
      <c r="N1353">
        <f>IMAGE("file:///E:/Estudios%20y%20certificaciones/ESTUDIOS%20DE%20PROGRAMMING/PROGRAMMING/PERSONAL/PYTHON/Image_Generator_API/imagenes/NAUTICA_CLASSICS_117003879_NSS_3.jpg")</f>
        <v/>
      </c>
      <c r="O1353">
        <f>HYPERLINK("imagenes/NAUTICA_CLASSICS_117003879_NSS_1.jpg","Ver imagen")</f>
        <v/>
      </c>
      <c r="P1353">
        <f>HYPERLINK("imagenes/NAUTICA_CLASSICS_117003879_NSS_2.jpg","Ver imagen")</f>
        <v/>
      </c>
      <c r="Q1353">
        <f>HYPERLINK("imagenes/NAUTICA_CLASSICS_117003879_NSS_3.jpg","Ver imagen")</f>
        <v/>
      </c>
    </row>
    <row r="1354">
      <c r="A1354" t="inlineStr">
        <is>
          <t>NAUTICA CLASSICS</t>
        </is>
      </c>
      <c r="B1354" t="inlineStr">
        <is>
          <t>117003879</t>
        </is>
      </c>
      <c r="C1354" t="inlineStr">
        <is>
          <t>SOFTSHELL JACKET W/FUR LINED HOOD</t>
        </is>
      </c>
      <c r="D1354" t="inlineStr">
        <is>
          <t>NSS</t>
        </is>
      </c>
      <c r="E1354" t="inlineStr">
        <is>
          <t>(en blanco)</t>
        </is>
      </c>
      <c r="F1354" t="inlineStr">
        <is>
          <t>(en blanco)</t>
        </is>
      </c>
      <c r="G1354" t="inlineStr">
        <is>
          <t>L</t>
        </is>
      </c>
      <c r="H1354" t="n">
        <v>3</v>
      </c>
      <c r="I1354" t="inlineStr">
        <is>
          <t>NAUTICA_CLASSICS_117003879_NSS_1.jpg</t>
        </is>
      </c>
      <c r="J1354" t="inlineStr">
        <is>
          <t>NAUTICA_CLASSICS_117003879_NSS_2.jpg</t>
        </is>
      </c>
      <c r="K1354" t="inlineStr">
        <is>
          <t>NAUTICA_CLASSICS_117003879_NSS_3.jpg</t>
        </is>
      </c>
      <c r="L1354">
        <f>IMAGE("file:///E:/Estudios%20y%20certificaciones/ESTUDIOS%20DE%20PROGRAMMING/PROGRAMMING/PERSONAL/PYTHON/Image_Generator_API/imagenes/NAUTICA_CLASSICS_117003879_NSS_1.jpg")</f>
        <v/>
      </c>
      <c r="M1354">
        <f>IMAGE("file:///E:/Estudios%20y%20certificaciones/ESTUDIOS%20DE%20PROGRAMMING/PROGRAMMING/PERSONAL/PYTHON/Image_Generator_API/imagenes/NAUTICA_CLASSICS_117003879_NSS_2.jpg")</f>
        <v/>
      </c>
      <c r="N1354">
        <f>IMAGE("file:///E:/Estudios%20y%20certificaciones/ESTUDIOS%20DE%20PROGRAMMING/PROGRAMMING/PERSONAL/PYTHON/Image_Generator_API/imagenes/NAUTICA_CLASSICS_117003879_NSS_3.jpg")</f>
        <v/>
      </c>
      <c r="O1354">
        <f>HYPERLINK("imagenes/NAUTICA_CLASSICS_117003879_NSS_1.jpg","Ver imagen")</f>
        <v/>
      </c>
      <c r="P1354">
        <f>HYPERLINK("imagenes/NAUTICA_CLASSICS_117003879_NSS_2.jpg","Ver imagen")</f>
        <v/>
      </c>
      <c r="Q1354">
        <f>HYPERLINK("imagenes/NAUTICA_CLASSICS_117003879_NSS_3.jpg","Ver imagen")</f>
        <v/>
      </c>
    </row>
    <row r="1355">
      <c r="A1355" t="inlineStr">
        <is>
          <t>NAUTICA CLASSICS</t>
        </is>
      </c>
      <c r="B1355" t="inlineStr">
        <is>
          <t>117003879</t>
        </is>
      </c>
      <c r="C1355" t="inlineStr">
        <is>
          <t>SOFTSHELL JACKET W/FUR LINED HOOD</t>
        </is>
      </c>
      <c r="D1355" t="inlineStr">
        <is>
          <t>NSS</t>
        </is>
      </c>
      <c r="E1355" t="inlineStr">
        <is>
          <t>(en blanco)</t>
        </is>
      </c>
      <c r="F1355" t="inlineStr">
        <is>
          <t>(en blanco)</t>
        </is>
      </c>
      <c r="G1355" t="inlineStr">
        <is>
          <t>XL</t>
        </is>
      </c>
      <c r="H1355" t="n">
        <v>2</v>
      </c>
      <c r="I1355" t="inlineStr">
        <is>
          <t>NAUTICA_CLASSICS_117003879_NSS_1.jpg</t>
        </is>
      </c>
      <c r="J1355" t="inlineStr">
        <is>
          <t>NAUTICA_CLASSICS_117003879_NSS_2.jpg</t>
        </is>
      </c>
      <c r="K1355" t="inlineStr">
        <is>
          <t>NAUTICA_CLASSICS_117003879_NSS_3.jpg</t>
        </is>
      </c>
      <c r="L1355">
        <f>IMAGE("file:///E:/Estudios%20y%20certificaciones/ESTUDIOS%20DE%20PROGRAMMING/PROGRAMMING/PERSONAL/PYTHON/Image_Generator_API/imagenes/NAUTICA_CLASSICS_117003879_NSS_1.jpg")</f>
        <v/>
      </c>
      <c r="M1355">
        <f>IMAGE("file:///E:/Estudios%20y%20certificaciones/ESTUDIOS%20DE%20PROGRAMMING/PROGRAMMING/PERSONAL/PYTHON/Image_Generator_API/imagenes/NAUTICA_CLASSICS_117003879_NSS_2.jpg")</f>
        <v/>
      </c>
      <c r="N1355">
        <f>IMAGE("file:///E:/Estudios%20y%20certificaciones/ESTUDIOS%20DE%20PROGRAMMING/PROGRAMMING/PERSONAL/PYTHON/Image_Generator_API/imagenes/NAUTICA_CLASSICS_117003879_NSS_3.jpg")</f>
        <v/>
      </c>
      <c r="O1355">
        <f>HYPERLINK("imagenes/NAUTICA_CLASSICS_117003879_NSS_1.jpg","Ver imagen")</f>
        <v/>
      </c>
      <c r="P1355">
        <f>HYPERLINK("imagenes/NAUTICA_CLASSICS_117003879_NSS_2.jpg","Ver imagen")</f>
        <v/>
      </c>
      <c r="Q1355">
        <f>HYPERLINK("imagenes/NAUTICA_CLASSICS_117003879_NSS_3.jpg","Ver imagen")</f>
        <v/>
      </c>
    </row>
    <row r="1356">
      <c r="A1356" t="inlineStr">
        <is>
          <t>NAUTICA CLASSICS</t>
        </is>
      </c>
      <c r="B1356" t="inlineStr">
        <is>
          <t>117003882</t>
        </is>
      </c>
      <c r="C1356" t="inlineStr">
        <is>
          <t>NAUTICA PACKABLE PUFFER</t>
        </is>
      </c>
      <c r="D1356" t="inlineStr">
        <is>
          <t>BLK</t>
        </is>
      </c>
      <c r="E1356" t="inlineStr">
        <is>
          <t>(en blanco)</t>
        </is>
      </c>
      <c r="F1356" t="inlineStr">
        <is>
          <t>(en blanco)</t>
        </is>
      </c>
      <c r="G1356" t="inlineStr">
        <is>
          <t>S</t>
        </is>
      </c>
      <c r="H1356" t="n">
        <v>1</v>
      </c>
      <c r="I1356" t="inlineStr">
        <is>
          <t>NAUTICA_CLASSICS_117003882_BLK_1.jpg</t>
        </is>
      </c>
      <c r="J1356" t="inlineStr">
        <is>
          <t>NAUTICA_CLASSICS_117003882_BLK_2.jpg</t>
        </is>
      </c>
      <c r="K1356" t="inlineStr">
        <is>
          <t>NAUTICA_CLASSICS_117003882_BLK_3.jpg</t>
        </is>
      </c>
      <c r="L1356">
        <f>IMAGE("file:///E:/Estudios%20y%20certificaciones/ESTUDIOS%20DE%20PROGRAMMING/PROGRAMMING/PERSONAL/PYTHON/Image_Generator_API/imagenes/NAUTICA_CLASSICS_117003882_BLK_1.jpg")</f>
        <v/>
      </c>
      <c r="M1356">
        <f>IMAGE("file:///E:/Estudios%20y%20certificaciones/ESTUDIOS%20DE%20PROGRAMMING/PROGRAMMING/PERSONAL/PYTHON/Image_Generator_API/imagenes/NAUTICA_CLASSICS_117003882_BLK_2.jpg")</f>
        <v/>
      </c>
      <c r="N1356">
        <f>IMAGE("file:///E:/Estudios%20y%20certificaciones/ESTUDIOS%20DE%20PROGRAMMING/PROGRAMMING/PERSONAL/PYTHON/Image_Generator_API/imagenes/NAUTICA_CLASSICS_117003882_BLK_3.jpg")</f>
        <v/>
      </c>
      <c r="O1356">
        <f>HYPERLINK("imagenes/NAUTICA_CLASSICS_117003882_BLK_1.jpg","Ver imagen")</f>
        <v/>
      </c>
      <c r="P1356">
        <f>HYPERLINK("imagenes/NAUTICA_CLASSICS_117003882_BLK_2.jpg","Ver imagen")</f>
        <v/>
      </c>
      <c r="Q1356">
        <f>HYPERLINK("imagenes/NAUTICA_CLASSICS_117003882_BLK_3.jpg","Ver imagen")</f>
        <v/>
      </c>
    </row>
    <row r="1357">
      <c r="A1357" t="inlineStr">
        <is>
          <t>NAUTICA CLASSICS</t>
        </is>
      </c>
      <c r="B1357" t="inlineStr">
        <is>
          <t>117003882</t>
        </is>
      </c>
      <c r="C1357" t="inlineStr">
        <is>
          <t>NAUTICA PACKABLE PUFFER</t>
        </is>
      </c>
      <c r="D1357" t="inlineStr">
        <is>
          <t>BLK</t>
        </is>
      </c>
      <c r="E1357" t="inlineStr">
        <is>
          <t>(en blanco)</t>
        </is>
      </c>
      <c r="F1357" t="inlineStr">
        <is>
          <t>(en blanco)</t>
        </is>
      </c>
      <c r="G1357" t="inlineStr">
        <is>
          <t>M</t>
        </is>
      </c>
      <c r="H1357" t="n">
        <v>0</v>
      </c>
      <c r="I1357" t="inlineStr">
        <is>
          <t>NAUTICA_CLASSICS_117003882_BLK_1.jpg</t>
        </is>
      </c>
      <c r="J1357" t="inlineStr">
        <is>
          <t>NAUTICA_CLASSICS_117003882_BLK_2.jpg</t>
        </is>
      </c>
      <c r="K1357" t="inlineStr">
        <is>
          <t>NAUTICA_CLASSICS_117003882_BLK_3.jpg</t>
        </is>
      </c>
      <c r="L1357">
        <f>IMAGE("file:///E:/Estudios%20y%20certificaciones/ESTUDIOS%20DE%20PROGRAMMING/PROGRAMMING/PERSONAL/PYTHON/Image_Generator_API/imagenes/NAUTICA_CLASSICS_117003882_BLK_1.jpg")</f>
        <v/>
      </c>
      <c r="M1357">
        <f>IMAGE("file:///E:/Estudios%20y%20certificaciones/ESTUDIOS%20DE%20PROGRAMMING/PROGRAMMING/PERSONAL/PYTHON/Image_Generator_API/imagenes/NAUTICA_CLASSICS_117003882_BLK_2.jpg")</f>
        <v/>
      </c>
      <c r="N1357">
        <f>IMAGE("file:///E:/Estudios%20y%20certificaciones/ESTUDIOS%20DE%20PROGRAMMING/PROGRAMMING/PERSONAL/PYTHON/Image_Generator_API/imagenes/NAUTICA_CLASSICS_117003882_BLK_3.jpg")</f>
        <v/>
      </c>
      <c r="O1357">
        <f>HYPERLINK("imagenes/NAUTICA_CLASSICS_117003882_BLK_1.jpg","Ver imagen")</f>
        <v/>
      </c>
      <c r="P1357">
        <f>HYPERLINK("imagenes/NAUTICA_CLASSICS_117003882_BLK_2.jpg","Ver imagen")</f>
        <v/>
      </c>
      <c r="Q1357">
        <f>HYPERLINK("imagenes/NAUTICA_CLASSICS_117003882_BLK_3.jpg","Ver imagen")</f>
        <v/>
      </c>
    </row>
    <row r="1358">
      <c r="A1358" t="inlineStr">
        <is>
          <t>NAUTICA CLASSICS</t>
        </is>
      </c>
      <c r="B1358" t="inlineStr">
        <is>
          <t>117003882</t>
        </is>
      </c>
      <c r="C1358" t="inlineStr">
        <is>
          <t>NAUTICA PACKABLE PUFFER</t>
        </is>
      </c>
      <c r="D1358" t="inlineStr">
        <is>
          <t>NAR</t>
        </is>
      </c>
      <c r="E1358" t="inlineStr">
        <is>
          <t>(en blanco)</t>
        </is>
      </c>
      <c r="F1358" t="inlineStr">
        <is>
          <t>(en blanco)</t>
        </is>
      </c>
      <c r="G1358" t="inlineStr">
        <is>
          <t>S</t>
        </is>
      </c>
      <c r="H1358" t="n">
        <v>3</v>
      </c>
      <c r="I1358" t="inlineStr">
        <is>
          <t>NAUTICA_CLASSICS_117003882_NAR_1.jpg</t>
        </is>
      </c>
      <c r="J1358" t="inlineStr">
        <is>
          <t>NAUTICA_CLASSICS_117003882_NAR_2.jpg</t>
        </is>
      </c>
      <c r="K1358" t="inlineStr">
        <is>
          <t>NAUTICA_CLASSICS_117003882_NAR_3.jpg</t>
        </is>
      </c>
      <c r="L1358">
        <f>IMAGE("file:///E:/Estudios%20y%20certificaciones/ESTUDIOS%20DE%20PROGRAMMING/PROGRAMMING/PERSONAL/PYTHON/Image_Generator_API/imagenes/NAUTICA_CLASSICS_117003882_NAR_1.jpg")</f>
        <v/>
      </c>
      <c r="M1358">
        <f>IMAGE("file:///E:/Estudios%20y%20certificaciones/ESTUDIOS%20DE%20PROGRAMMING/PROGRAMMING/PERSONAL/PYTHON/Image_Generator_API/imagenes/NAUTICA_CLASSICS_117003882_NAR_2.jpg")</f>
        <v/>
      </c>
      <c r="N1358">
        <f>IMAGE("file:///E:/Estudios%20y%20certificaciones/ESTUDIOS%20DE%20PROGRAMMING/PROGRAMMING/PERSONAL/PYTHON/Image_Generator_API/imagenes/NAUTICA_CLASSICS_117003882_NAR_3.jpg")</f>
        <v/>
      </c>
      <c r="O1358">
        <f>HYPERLINK("imagenes/NAUTICA_CLASSICS_117003882_NAR_1.jpg","Ver imagen")</f>
        <v/>
      </c>
      <c r="P1358">
        <f>HYPERLINK("imagenes/NAUTICA_CLASSICS_117003882_NAR_2.jpg","Ver imagen")</f>
        <v/>
      </c>
      <c r="Q1358">
        <f>HYPERLINK("imagenes/NAUTICA_CLASSICS_117003882_NAR_3.jpg","Ver imagen")</f>
        <v/>
      </c>
    </row>
    <row r="1359">
      <c r="A1359" t="inlineStr">
        <is>
          <t>NAUTICA CLASSICS</t>
        </is>
      </c>
      <c r="B1359" t="inlineStr">
        <is>
          <t>117003882</t>
        </is>
      </c>
      <c r="C1359" t="inlineStr">
        <is>
          <t>NAUTICA PACKABLE PUFFER</t>
        </is>
      </c>
      <c r="D1359" t="inlineStr">
        <is>
          <t>NAR</t>
        </is>
      </c>
      <c r="E1359" t="inlineStr">
        <is>
          <t>(en blanco)</t>
        </is>
      </c>
      <c r="F1359" t="inlineStr">
        <is>
          <t>(en blanco)</t>
        </is>
      </c>
      <c r="G1359" t="inlineStr">
        <is>
          <t>M</t>
        </is>
      </c>
      <c r="H1359" t="n">
        <v>2</v>
      </c>
      <c r="I1359" t="inlineStr">
        <is>
          <t>NAUTICA_CLASSICS_117003882_NAR_1.jpg</t>
        </is>
      </c>
      <c r="J1359" t="inlineStr">
        <is>
          <t>NAUTICA_CLASSICS_117003882_NAR_2.jpg</t>
        </is>
      </c>
      <c r="K1359" t="inlineStr">
        <is>
          <t>NAUTICA_CLASSICS_117003882_NAR_3.jpg</t>
        </is>
      </c>
      <c r="L1359">
        <f>IMAGE("file:///E:/Estudios%20y%20certificaciones/ESTUDIOS%20DE%20PROGRAMMING/PROGRAMMING/PERSONAL/PYTHON/Image_Generator_API/imagenes/NAUTICA_CLASSICS_117003882_NAR_1.jpg")</f>
        <v/>
      </c>
      <c r="M1359">
        <f>IMAGE("file:///E:/Estudios%20y%20certificaciones/ESTUDIOS%20DE%20PROGRAMMING/PROGRAMMING/PERSONAL/PYTHON/Image_Generator_API/imagenes/NAUTICA_CLASSICS_117003882_NAR_2.jpg")</f>
        <v/>
      </c>
      <c r="N1359">
        <f>IMAGE("file:///E:/Estudios%20y%20certificaciones/ESTUDIOS%20DE%20PROGRAMMING/PROGRAMMING/PERSONAL/PYTHON/Image_Generator_API/imagenes/NAUTICA_CLASSICS_117003882_NAR_3.jpg")</f>
        <v/>
      </c>
      <c r="O1359">
        <f>HYPERLINK("imagenes/NAUTICA_CLASSICS_117003882_NAR_1.jpg","Ver imagen")</f>
        <v/>
      </c>
      <c r="P1359">
        <f>HYPERLINK("imagenes/NAUTICA_CLASSICS_117003882_NAR_2.jpg","Ver imagen")</f>
        <v/>
      </c>
      <c r="Q1359">
        <f>HYPERLINK("imagenes/NAUTICA_CLASSICS_117003882_NAR_3.jpg","Ver imagen")</f>
        <v/>
      </c>
    </row>
    <row r="1360">
      <c r="A1360" t="inlineStr">
        <is>
          <t>NAUTICA CLASSICS</t>
        </is>
      </c>
      <c r="B1360" t="inlineStr">
        <is>
          <t>117003882</t>
        </is>
      </c>
      <c r="C1360" t="inlineStr">
        <is>
          <t>NAUTICA PACKABLE PUFFER</t>
        </is>
      </c>
      <c r="D1360" t="inlineStr">
        <is>
          <t>NAR</t>
        </is>
      </c>
      <c r="E1360" t="inlineStr">
        <is>
          <t>(en blanco)</t>
        </is>
      </c>
      <c r="F1360" t="inlineStr">
        <is>
          <t>(en blanco)</t>
        </is>
      </c>
      <c r="G1360" t="inlineStr">
        <is>
          <t>XL</t>
        </is>
      </c>
      <c r="H1360" t="n">
        <v>4</v>
      </c>
      <c r="I1360" t="inlineStr">
        <is>
          <t>NAUTICA_CLASSICS_117003882_NAR_1.jpg</t>
        </is>
      </c>
      <c r="J1360" t="inlineStr">
        <is>
          <t>NAUTICA_CLASSICS_117003882_NAR_2.jpg</t>
        </is>
      </c>
      <c r="K1360" t="inlineStr">
        <is>
          <t>NAUTICA_CLASSICS_117003882_NAR_3.jpg</t>
        </is>
      </c>
      <c r="L1360">
        <f>IMAGE("file:///E:/Estudios%20y%20certificaciones/ESTUDIOS%20DE%20PROGRAMMING/PROGRAMMING/PERSONAL/PYTHON/Image_Generator_API/imagenes/NAUTICA_CLASSICS_117003882_NAR_1.jpg")</f>
        <v/>
      </c>
      <c r="M1360">
        <f>IMAGE("file:///E:/Estudios%20y%20certificaciones/ESTUDIOS%20DE%20PROGRAMMING/PROGRAMMING/PERSONAL/PYTHON/Image_Generator_API/imagenes/NAUTICA_CLASSICS_117003882_NAR_2.jpg")</f>
        <v/>
      </c>
      <c r="N1360">
        <f>IMAGE("file:///E:/Estudios%20y%20certificaciones/ESTUDIOS%20DE%20PROGRAMMING/PROGRAMMING/PERSONAL/PYTHON/Image_Generator_API/imagenes/NAUTICA_CLASSICS_117003882_NAR_3.jpg")</f>
        <v/>
      </c>
      <c r="O1360">
        <f>HYPERLINK("imagenes/NAUTICA_CLASSICS_117003882_NAR_1.jpg","Ver imagen")</f>
        <v/>
      </c>
      <c r="P1360">
        <f>HYPERLINK("imagenes/NAUTICA_CLASSICS_117003882_NAR_2.jpg","Ver imagen")</f>
        <v/>
      </c>
      <c r="Q1360">
        <f>HYPERLINK("imagenes/NAUTICA_CLASSICS_117003882_NAR_3.jpg","Ver imagen")</f>
        <v/>
      </c>
    </row>
    <row r="1361">
      <c r="A1361" t="inlineStr">
        <is>
          <t>NAUTICA CLASSICS</t>
        </is>
      </c>
      <c r="B1361" t="inlineStr">
        <is>
          <t>117003882</t>
        </is>
      </c>
      <c r="C1361" t="inlineStr">
        <is>
          <t>NAUTICA PACKABLE PUFFER</t>
        </is>
      </c>
      <c r="D1361" t="inlineStr">
        <is>
          <t>NSS</t>
        </is>
      </c>
      <c r="E1361" t="inlineStr">
        <is>
          <t>(en blanco)</t>
        </is>
      </c>
      <c r="F1361" t="inlineStr">
        <is>
          <t>(en blanco)</t>
        </is>
      </c>
      <c r="G1361" t="inlineStr">
        <is>
          <t>S</t>
        </is>
      </c>
      <c r="H1361" t="n">
        <v>0</v>
      </c>
      <c r="I1361" t="inlineStr">
        <is>
          <t>NAUTICA_CLASSICS_117003882_NSS_1.jpg</t>
        </is>
      </c>
      <c r="J1361" t="inlineStr">
        <is>
          <t>NAUTICA_CLASSICS_117003882_NSS_2.jpg</t>
        </is>
      </c>
      <c r="K1361" t="inlineStr">
        <is>
          <t>NAUTICA_CLASSICS_117003882_NSS_3.jpg</t>
        </is>
      </c>
      <c r="L1361">
        <f>IMAGE("file:///E:/Estudios%20y%20certificaciones/ESTUDIOS%20DE%20PROGRAMMING/PROGRAMMING/PERSONAL/PYTHON/Image_Generator_API/imagenes/NAUTICA_CLASSICS_117003882_NSS_1.jpg")</f>
        <v/>
      </c>
      <c r="M1361">
        <f>IMAGE("file:///E:/Estudios%20y%20certificaciones/ESTUDIOS%20DE%20PROGRAMMING/PROGRAMMING/PERSONAL/PYTHON/Image_Generator_API/imagenes/NAUTICA_CLASSICS_117003882_NSS_2.jpg")</f>
        <v/>
      </c>
      <c r="N1361">
        <f>IMAGE("file:///E:/Estudios%20y%20certificaciones/ESTUDIOS%20DE%20PROGRAMMING/PROGRAMMING/PERSONAL/PYTHON/Image_Generator_API/imagenes/NAUTICA_CLASSICS_117003882_NSS_3.jpg")</f>
        <v/>
      </c>
      <c r="O1361">
        <f>HYPERLINK("imagenes/NAUTICA_CLASSICS_117003882_NSS_1.jpg","Ver imagen")</f>
        <v/>
      </c>
      <c r="P1361">
        <f>HYPERLINK("imagenes/NAUTICA_CLASSICS_117003882_NSS_2.jpg","Ver imagen")</f>
        <v/>
      </c>
      <c r="Q1361">
        <f>HYPERLINK("imagenes/NAUTICA_CLASSICS_117003882_NSS_3.jpg","Ver imagen")</f>
        <v/>
      </c>
    </row>
    <row r="1362">
      <c r="A1362" t="inlineStr">
        <is>
          <t>NAUTICA CLASSICS</t>
        </is>
      </c>
      <c r="B1362" t="inlineStr">
        <is>
          <t>117003882</t>
        </is>
      </c>
      <c r="C1362" t="inlineStr">
        <is>
          <t>NAUTICA PACKABLE PUFFER</t>
        </is>
      </c>
      <c r="D1362" t="inlineStr">
        <is>
          <t>NSS</t>
        </is>
      </c>
      <c r="E1362" t="inlineStr">
        <is>
          <t>(en blanco)</t>
        </is>
      </c>
      <c r="F1362" t="inlineStr">
        <is>
          <t>(en blanco)</t>
        </is>
      </c>
      <c r="G1362" t="inlineStr">
        <is>
          <t>M</t>
        </is>
      </c>
      <c r="H1362" t="n">
        <v>3</v>
      </c>
      <c r="I1362" t="inlineStr">
        <is>
          <t>NAUTICA_CLASSICS_117003882_NSS_1.jpg</t>
        </is>
      </c>
      <c r="J1362" t="inlineStr">
        <is>
          <t>NAUTICA_CLASSICS_117003882_NSS_2.jpg</t>
        </is>
      </c>
      <c r="K1362" t="inlineStr">
        <is>
          <t>NAUTICA_CLASSICS_117003882_NSS_3.jpg</t>
        </is>
      </c>
      <c r="L1362">
        <f>IMAGE("file:///E:/Estudios%20y%20certificaciones/ESTUDIOS%20DE%20PROGRAMMING/PROGRAMMING/PERSONAL/PYTHON/Image_Generator_API/imagenes/NAUTICA_CLASSICS_117003882_NSS_1.jpg")</f>
        <v/>
      </c>
      <c r="M1362">
        <f>IMAGE("file:///E:/Estudios%20y%20certificaciones/ESTUDIOS%20DE%20PROGRAMMING/PROGRAMMING/PERSONAL/PYTHON/Image_Generator_API/imagenes/NAUTICA_CLASSICS_117003882_NSS_2.jpg")</f>
        <v/>
      </c>
      <c r="N1362">
        <f>IMAGE("file:///E:/Estudios%20y%20certificaciones/ESTUDIOS%20DE%20PROGRAMMING/PROGRAMMING/PERSONAL/PYTHON/Image_Generator_API/imagenes/NAUTICA_CLASSICS_117003882_NSS_3.jpg")</f>
        <v/>
      </c>
      <c r="O1362">
        <f>HYPERLINK("imagenes/NAUTICA_CLASSICS_117003882_NSS_1.jpg","Ver imagen")</f>
        <v/>
      </c>
      <c r="P1362">
        <f>HYPERLINK("imagenes/NAUTICA_CLASSICS_117003882_NSS_2.jpg","Ver imagen")</f>
        <v/>
      </c>
      <c r="Q1362">
        <f>HYPERLINK("imagenes/NAUTICA_CLASSICS_117003882_NSS_3.jpg","Ver imagen")</f>
        <v/>
      </c>
    </row>
    <row r="1363">
      <c r="A1363" t="inlineStr">
        <is>
          <t>NAUTICA CLASSICS</t>
        </is>
      </c>
      <c r="B1363" t="inlineStr">
        <is>
          <t>117003891</t>
        </is>
      </c>
      <c r="C1363" t="inlineStr">
        <is>
          <t>MECH STRETCH PUFFER</t>
        </is>
      </c>
      <c r="D1363" t="inlineStr">
        <is>
          <t>B4K</t>
        </is>
      </c>
      <c r="E1363" t="inlineStr">
        <is>
          <t>08A05</t>
        </is>
      </c>
      <c r="F1363" t="inlineStr">
        <is>
          <t>(en blanco)</t>
        </is>
      </c>
      <c r="G1363" t="inlineStr">
        <is>
          <t>PPK</t>
        </is>
      </c>
      <c r="H1363" t="n">
        <v>2144</v>
      </c>
      <c r="I1363" t="inlineStr">
        <is>
          <t>NAUTICA_CLASSICS_117003891_B4K_1.jpg</t>
        </is>
      </c>
      <c r="J1363" t="inlineStr">
        <is>
          <t>NAUTICA_CLASSICS_117003891_B4K_2.jpg</t>
        </is>
      </c>
      <c r="K1363" t="inlineStr">
        <is>
          <t>NAUTICA_CLASSICS_117003891_B4K_3.jpg</t>
        </is>
      </c>
      <c r="L1363">
        <f>IMAGE("file:///E:/Estudios%20y%20certificaciones/ESTUDIOS%20DE%20PROGRAMMING/PROGRAMMING/PERSONAL/PYTHON/Image_Generator_API/imagenes/NAUTICA_CLASSICS_117003891_B4K_1.jpg")</f>
        <v/>
      </c>
      <c r="M1363">
        <f>IMAGE("file:///E:/Estudios%20y%20certificaciones/ESTUDIOS%20DE%20PROGRAMMING/PROGRAMMING/PERSONAL/PYTHON/Image_Generator_API/imagenes/NAUTICA_CLASSICS_117003891_B4K_2.jpg")</f>
        <v/>
      </c>
      <c r="N1363">
        <f>IMAGE("file:///E:/Estudios%20y%20certificaciones/ESTUDIOS%20DE%20PROGRAMMING/PROGRAMMING/PERSONAL/PYTHON/Image_Generator_API/imagenes/NAUTICA_CLASSICS_117003891_B4K_3.jpg")</f>
        <v/>
      </c>
      <c r="O1363">
        <f>HYPERLINK("imagenes/NAUTICA_CLASSICS_117003891_B4K_1.jpg","Ver imagen")</f>
        <v/>
      </c>
      <c r="P1363">
        <f>HYPERLINK("imagenes/NAUTICA_CLASSICS_117003891_B4K_2.jpg","Ver imagen")</f>
        <v/>
      </c>
      <c r="Q1363">
        <f>HYPERLINK("imagenes/NAUTICA_CLASSICS_117003891_B4K_3.jpg","Ver imagen")</f>
        <v/>
      </c>
    </row>
    <row r="1364">
      <c r="A1364" t="inlineStr">
        <is>
          <t>NAUTICA CLASSICS</t>
        </is>
      </c>
      <c r="B1364" t="inlineStr">
        <is>
          <t>117003891</t>
        </is>
      </c>
      <c r="C1364" t="inlineStr">
        <is>
          <t>MECH STRETCH PUFFER</t>
        </is>
      </c>
      <c r="D1364" t="inlineStr">
        <is>
          <t>BLK</t>
        </is>
      </c>
      <c r="E1364" t="inlineStr">
        <is>
          <t>(en blanco)</t>
        </is>
      </c>
      <c r="F1364" t="inlineStr">
        <is>
          <t>(en blanco)</t>
        </is>
      </c>
      <c r="G1364" t="inlineStr">
        <is>
          <t>XS</t>
        </is>
      </c>
      <c r="H1364" t="n">
        <v>391</v>
      </c>
      <c r="I1364" t="inlineStr">
        <is>
          <t>NAUTICA_CLASSICS_117003891_BLK_1.jpg</t>
        </is>
      </c>
      <c r="J1364" t="inlineStr">
        <is>
          <t>NAUTICA_CLASSICS_117003891_BLK_2.jpg</t>
        </is>
      </c>
      <c r="K1364" t="inlineStr">
        <is>
          <t>NAUTICA_CLASSICS_117003891_BLK_3.jpg</t>
        </is>
      </c>
      <c r="L1364">
        <f>IMAGE("file:///E:/Estudios%20y%20certificaciones/ESTUDIOS%20DE%20PROGRAMMING/PROGRAMMING/PERSONAL/PYTHON/Image_Generator_API/imagenes/NAUTICA_CLASSICS_117003891_BLK_1.jpg")</f>
        <v/>
      </c>
      <c r="M1364">
        <f>IMAGE("file:///E:/Estudios%20y%20certificaciones/ESTUDIOS%20DE%20PROGRAMMING/PROGRAMMING/PERSONAL/PYTHON/Image_Generator_API/imagenes/NAUTICA_CLASSICS_117003891_BLK_2.jpg")</f>
        <v/>
      </c>
      <c r="N1364">
        <f>IMAGE("file:///E:/Estudios%20y%20certificaciones/ESTUDIOS%20DE%20PROGRAMMING/PROGRAMMING/PERSONAL/PYTHON/Image_Generator_API/imagenes/NAUTICA_CLASSICS_117003891_BLK_3.jpg")</f>
        <v/>
      </c>
      <c r="O1364">
        <f>HYPERLINK("imagenes/NAUTICA_CLASSICS_117003891_BLK_1.jpg","Ver imagen")</f>
        <v/>
      </c>
      <c r="P1364">
        <f>HYPERLINK("imagenes/NAUTICA_CLASSICS_117003891_BLK_2.jpg","Ver imagen")</f>
        <v/>
      </c>
      <c r="Q1364">
        <f>HYPERLINK("imagenes/NAUTICA_CLASSICS_117003891_BLK_3.jpg","Ver imagen")</f>
        <v/>
      </c>
    </row>
    <row r="1365">
      <c r="A1365" t="inlineStr">
        <is>
          <t>NAUTICA CLASSICS</t>
        </is>
      </c>
      <c r="B1365" t="inlineStr">
        <is>
          <t>117003891</t>
        </is>
      </c>
      <c r="C1365" t="inlineStr">
        <is>
          <t>MECH STRETCH PUFFER</t>
        </is>
      </c>
      <c r="D1365" t="inlineStr">
        <is>
          <t>BLK</t>
        </is>
      </c>
      <c r="E1365" t="inlineStr">
        <is>
          <t>(en blanco)</t>
        </is>
      </c>
      <c r="F1365" t="inlineStr">
        <is>
          <t>(en blanco)</t>
        </is>
      </c>
      <c r="G1365" t="inlineStr">
        <is>
          <t>S</t>
        </is>
      </c>
      <c r="H1365" t="n">
        <v>20</v>
      </c>
      <c r="I1365" t="inlineStr">
        <is>
          <t>NAUTICA_CLASSICS_117003891_BLK_1.jpg</t>
        </is>
      </c>
      <c r="J1365" t="inlineStr">
        <is>
          <t>NAUTICA_CLASSICS_117003891_BLK_2.jpg</t>
        </is>
      </c>
      <c r="K1365" t="inlineStr">
        <is>
          <t>NAUTICA_CLASSICS_117003891_BLK_3.jpg</t>
        </is>
      </c>
      <c r="L1365">
        <f>IMAGE("file:///E:/Estudios%20y%20certificaciones/ESTUDIOS%20DE%20PROGRAMMING/PROGRAMMING/PERSONAL/PYTHON/Image_Generator_API/imagenes/NAUTICA_CLASSICS_117003891_BLK_1.jpg")</f>
        <v/>
      </c>
      <c r="M1365">
        <f>IMAGE("file:///E:/Estudios%20y%20certificaciones/ESTUDIOS%20DE%20PROGRAMMING/PROGRAMMING/PERSONAL/PYTHON/Image_Generator_API/imagenes/NAUTICA_CLASSICS_117003891_BLK_2.jpg")</f>
        <v/>
      </c>
      <c r="N1365">
        <f>IMAGE("file:///E:/Estudios%20y%20certificaciones/ESTUDIOS%20DE%20PROGRAMMING/PROGRAMMING/PERSONAL/PYTHON/Image_Generator_API/imagenes/NAUTICA_CLASSICS_117003891_BLK_3.jpg")</f>
        <v/>
      </c>
      <c r="O1365">
        <f>HYPERLINK("imagenes/NAUTICA_CLASSICS_117003891_BLK_1.jpg","Ver imagen")</f>
        <v/>
      </c>
      <c r="P1365">
        <f>HYPERLINK("imagenes/NAUTICA_CLASSICS_117003891_BLK_2.jpg","Ver imagen")</f>
        <v/>
      </c>
      <c r="Q1365">
        <f>HYPERLINK("imagenes/NAUTICA_CLASSICS_117003891_BLK_3.jpg","Ver imagen")</f>
        <v/>
      </c>
    </row>
    <row r="1366">
      <c r="A1366" t="inlineStr">
        <is>
          <t>NAUTICA CLASSICS</t>
        </is>
      </c>
      <c r="B1366" t="inlineStr">
        <is>
          <t>117003891</t>
        </is>
      </c>
      <c r="C1366" t="inlineStr">
        <is>
          <t>MECH STRETCH PUFFER</t>
        </is>
      </c>
      <c r="D1366" t="inlineStr">
        <is>
          <t>BUE</t>
        </is>
      </c>
      <c r="E1366" t="inlineStr">
        <is>
          <t>(en blanco)</t>
        </is>
      </c>
      <c r="F1366" t="inlineStr">
        <is>
          <t>(en blanco)</t>
        </is>
      </c>
      <c r="G1366" t="inlineStr">
        <is>
          <t>S</t>
        </is>
      </c>
      <c r="H1366" t="n">
        <v>2</v>
      </c>
      <c r="I1366" t="inlineStr">
        <is>
          <t>NAUTICA_CLASSICS_117003891_BUE_1.jpg</t>
        </is>
      </c>
      <c r="J1366" t="inlineStr">
        <is>
          <t>NAUTICA_CLASSICS_117003891_BUE_2.jpg</t>
        </is>
      </c>
      <c r="K1366" t="inlineStr">
        <is>
          <t>NAUTICA_CLASSICS_117003891_BUE_3.jpg</t>
        </is>
      </c>
      <c r="L1366">
        <f>IMAGE("file:///E:/Estudios%20y%20certificaciones/ESTUDIOS%20DE%20PROGRAMMING/PROGRAMMING/PERSONAL/PYTHON/Image_Generator_API/imagenes/NAUTICA_CLASSICS_117003891_BUE_1.jpg")</f>
        <v/>
      </c>
      <c r="M1366">
        <f>IMAGE("file:///E:/Estudios%20y%20certificaciones/ESTUDIOS%20DE%20PROGRAMMING/PROGRAMMING/PERSONAL/PYTHON/Image_Generator_API/imagenes/NAUTICA_CLASSICS_117003891_BUE_2.jpg")</f>
        <v/>
      </c>
      <c r="N1366">
        <f>IMAGE("file:///E:/Estudios%20y%20certificaciones/ESTUDIOS%20DE%20PROGRAMMING/PROGRAMMING/PERSONAL/PYTHON/Image_Generator_API/imagenes/NAUTICA_CLASSICS_117003891_BUE_3.jpg")</f>
        <v/>
      </c>
      <c r="O1366">
        <f>HYPERLINK("imagenes/NAUTICA_CLASSICS_117003891_BUE_1.jpg","Ver imagen")</f>
        <v/>
      </c>
      <c r="P1366">
        <f>HYPERLINK("imagenes/NAUTICA_CLASSICS_117003891_BUE_2.jpg","Ver imagen")</f>
        <v/>
      </c>
      <c r="Q1366">
        <f>HYPERLINK("imagenes/NAUTICA_CLASSICS_117003891_BUE_3.jpg","Ver imagen")</f>
        <v/>
      </c>
    </row>
    <row r="1367">
      <c r="A1367" t="inlineStr">
        <is>
          <t>NAUTICA CLASSICS</t>
        </is>
      </c>
      <c r="B1367" t="inlineStr">
        <is>
          <t>117003891</t>
        </is>
      </c>
      <c r="C1367" t="inlineStr">
        <is>
          <t>MECH STRETCH PUFFER</t>
        </is>
      </c>
      <c r="D1367" t="inlineStr">
        <is>
          <t>BUE</t>
        </is>
      </c>
      <c r="E1367" t="inlineStr">
        <is>
          <t>(en blanco)</t>
        </is>
      </c>
      <c r="F1367" t="inlineStr">
        <is>
          <t>(en blanco)</t>
        </is>
      </c>
      <c r="G1367" t="inlineStr">
        <is>
          <t>M</t>
        </is>
      </c>
      <c r="H1367" t="n">
        <v>2</v>
      </c>
      <c r="I1367" t="inlineStr">
        <is>
          <t>NAUTICA_CLASSICS_117003891_BUE_1.jpg</t>
        </is>
      </c>
      <c r="J1367" t="inlineStr">
        <is>
          <t>NAUTICA_CLASSICS_117003891_BUE_2.jpg</t>
        </is>
      </c>
      <c r="K1367" t="inlineStr">
        <is>
          <t>NAUTICA_CLASSICS_117003891_BUE_3.jpg</t>
        </is>
      </c>
      <c r="L1367">
        <f>IMAGE("file:///E:/Estudios%20y%20certificaciones/ESTUDIOS%20DE%20PROGRAMMING/PROGRAMMING/PERSONAL/PYTHON/Image_Generator_API/imagenes/NAUTICA_CLASSICS_117003891_BUE_1.jpg")</f>
        <v/>
      </c>
      <c r="M1367">
        <f>IMAGE("file:///E:/Estudios%20y%20certificaciones/ESTUDIOS%20DE%20PROGRAMMING/PROGRAMMING/PERSONAL/PYTHON/Image_Generator_API/imagenes/NAUTICA_CLASSICS_117003891_BUE_2.jpg")</f>
        <v/>
      </c>
      <c r="N1367">
        <f>IMAGE("file:///E:/Estudios%20y%20certificaciones/ESTUDIOS%20DE%20PROGRAMMING/PROGRAMMING/PERSONAL/PYTHON/Image_Generator_API/imagenes/NAUTICA_CLASSICS_117003891_BUE_3.jpg")</f>
        <v/>
      </c>
      <c r="O1367">
        <f>HYPERLINK("imagenes/NAUTICA_CLASSICS_117003891_BUE_1.jpg","Ver imagen")</f>
        <v/>
      </c>
      <c r="P1367">
        <f>HYPERLINK("imagenes/NAUTICA_CLASSICS_117003891_BUE_2.jpg","Ver imagen")</f>
        <v/>
      </c>
      <c r="Q1367">
        <f>HYPERLINK("imagenes/NAUTICA_CLASSICS_117003891_BUE_3.jpg","Ver imagen")</f>
        <v/>
      </c>
    </row>
    <row r="1368">
      <c r="A1368" t="inlineStr">
        <is>
          <t>NAUTICA CLASSICS</t>
        </is>
      </c>
      <c r="B1368" t="inlineStr">
        <is>
          <t>117003891</t>
        </is>
      </c>
      <c r="C1368" t="inlineStr">
        <is>
          <t>MECH STRETCH PUFFER</t>
        </is>
      </c>
      <c r="D1368" t="inlineStr">
        <is>
          <t>LMS</t>
        </is>
      </c>
      <c r="E1368" t="inlineStr">
        <is>
          <t>08A05</t>
        </is>
      </c>
      <c r="F1368" t="inlineStr">
        <is>
          <t>(en blanco)</t>
        </is>
      </c>
      <c r="G1368" t="inlineStr">
        <is>
          <t>PPK</t>
        </is>
      </c>
      <c r="H1368" t="n">
        <v>208</v>
      </c>
      <c r="I1368" t="inlineStr">
        <is>
          <t>NAUTICA_CLASSICS_117003891_LMS_1.jpg</t>
        </is>
      </c>
      <c r="J1368" t="inlineStr">
        <is>
          <t>NAUTICA_CLASSICS_117003891_LMS_2.jpg</t>
        </is>
      </c>
      <c r="K1368" t="inlineStr">
        <is>
          <t>NAUTICA_CLASSICS_117003891_LMS_3.jpg</t>
        </is>
      </c>
      <c r="L1368">
        <f>IMAGE("file:///E:/Estudios%20y%20certificaciones/ESTUDIOS%20DE%20PROGRAMMING/PROGRAMMING/PERSONAL/PYTHON/Image_Generator_API/imagenes/NAUTICA_CLASSICS_117003891_LMS_1.jpg")</f>
        <v/>
      </c>
      <c r="M1368">
        <f>IMAGE("file:///E:/Estudios%20y%20certificaciones/ESTUDIOS%20DE%20PROGRAMMING/PROGRAMMING/PERSONAL/PYTHON/Image_Generator_API/imagenes/NAUTICA_CLASSICS_117003891_LMS_2.jpg")</f>
        <v/>
      </c>
      <c r="N1368">
        <f>IMAGE("file:///E:/Estudios%20y%20certificaciones/ESTUDIOS%20DE%20PROGRAMMING/PROGRAMMING/PERSONAL/PYTHON/Image_Generator_API/imagenes/NAUTICA_CLASSICS_117003891_LMS_3.jpg")</f>
        <v/>
      </c>
      <c r="O1368">
        <f>HYPERLINK("imagenes/NAUTICA_CLASSICS_117003891_LMS_1.jpg","Ver imagen")</f>
        <v/>
      </c>
      <c r="P1368">
        <f>HYPERLINK("imagenes/NAUTICA_CLASSICS_117003891_LMS_2.jpg","Ver imagen")</f>
        <v/>
      </c>
      <c r="Q1368">
        <f>HYPERLINK("imagenes/NAUTICA_CLASSICS_117003891_LMS_3.jpg","Ver imagen")</f>
        <v/>
      </c>
    </row>
    <row r="1369">
      <c r="A1369" t="inlineStr">
        <is>
          <t>NAUTICA CLASSICS</t>
        </is>
      </c>
      <c r="B1369" t="inlineStr">
        <is>
          <t>117003891</t>
        </is>
      </c>
      <c r="C1369" t="inlineStr">
        <is>
          <t>MECH STRETCH PUFFER</t>
        </is>
      </c>
      <c r="D1369" t="inlineStr">
        <is>
          <t>LMS</t>
        </is>
      </c>
      <c r="E1369" t="inlineStr">
        <is>
          <t>(en blanco)</t>
        </is>
      </c>
      <c r="F1369" t="inlineStr">
        <is>
          <t>(en blanco)</t>
        </is>
      </c>
      <c r="G1369" t="inlineStr">
        <is>
          <t>S</t>
        </is>
      </c>
      <c r="H1369" t="n">
        <v>1</v>
      </c>
      <c r="I1369" t="inlineStr">
        <is>
          <t>NAUTICA_CLASSICS_117003891_LMS_1.jpg</t>
        </is>
      </c>
      <c r="J1369" t="inlineStr">
        <is>
          <t>NAUTICA_CLASSICS_117003891_LMS_2.jpg</t>
        </is>
      </c>
      <c r="K1369" t="inlineStr">
        <is>
          <t>NAUTICA_CLASSICS_117003891_LMS_3.jpg</t>
        </is>
      </c>
      <c r="L1369">
        <f>IMAGE("file:///E:/Estudios%20y%20certificaciones/ESTUDIOS%20DE%20PROGRAMMING/PROGRAMMING/PERSONAL/PYTHON/Image_Generator_API/imagenes/NAUTICA_CLASSICS_117003891_LMS_1.jpg")</f>
        <v/>
      </c>
      <c r="M1369">
        <f>IMAGE("file:///E:/Estudios%20y%20certificaciones/ESTUDIOS%20DE%20PROGRAMMING/PROGRAMMING/PERSONAL/PYTHON/Image_Generator_API/imagenes/NAUTICA_CLASSICS_117003891_LMS_2.jpg")</f>
        <v/>
      </c>
      <c r="N1369">
        <f>IMAGE("file:///E:/Estudios%20y%20certificaciones/ESTUDIOS%20DE%20PROGRAMMING/PROGRAMMING/PERSONAL/PYTHON/Image_Generator_API/imagenes/NAUTICA_CLASSICS_117003891_LMS_3.jpg")</f>
        <v/>
      </c>
      <c r="O1369">
        <f>HYPERLINK("imagenes/NAUTICA_CLASSICS_117003891_LMS_1.jpg","Ver imagen")</f>
        <v/>
      </c>
      <c r="P1369">
        <f>HYPERLINK("imagenes/NAUTICA_CLASSICS_117003891_LMS_2.jpg","Ver imagen")</f>
        <v/>
      </c>
      <c r="Q1369">
        <f>HYPERLINK("imagenes/NAUTICA_CLASSICS_117003891_LMS_3.jpg","Ver imagen")</f>
        <v/>
      </c>
    </row>
    <row r="1370">
      <c r="A1370" t="inlineStr">
        <is>
          <t>NAUTICA CLASSICS</t>
        </is>
      </c>
      <c r="B1370" t="inlineStr">
        <is>
          <t>117003891</t>
        </is>
      </c>
      <c r="C1370" t="inlineStr">
        <is>
          <t>MECH STRETCH PUFFER</t>
        </is>
      </c>
      <c r="D1370" t="inlineStr">
        <is>
          <t>PRP</t>
        </is>
      </c>
      <c r="E1370" t="inlineStr">
        <is>
          <t>(en blanco)</t>
        </is>
      </c>
      <c r="F1370" t="inlineStr">
        <is>
          <t>N1160</t>
        </is>
      </c>
      <c r="G1370" t="inlineStr">
        <is>
          <t>XS</t>
        </is>
      </c>
      <c r="H1370" t="n">
        <v>10</v>
      </c>
      <c r="I1370" t="inlineStr">
        <is>
          <t>NAUTICA_CLASSICS_117003891_PRP_1.jpg</t>
        </is>
      </c>
      <c r="J1370" t="inlineStr">
        <is>
          <t>NAUTICA_CLASSICS_117003891_PRP_2.jpg</t>
        </is>
      </c>
      <c r="K1370" t="inlineStr">
        <is>
          <t>NAUTICA_CLASSICS_117003891_PRP_3.jpg</t>
        </is>
      </c>
      <c r="L1370">
        <f>IMAGE("file:///E:/Estudios%20y%20certificaciones/ESTUDIOS%20DE%20PROGRAMMING/PROGRAMMING/PERSONAL/PYTHON/Image_Generator_API/imagenes/NAUTICA_CLASSICS_117003891_PRP_1.jpg")</f>
        <v/>
      </c>
      <c r="M1370">
        <f>IMAGE("file:///E:/Estudios%20y%20certificaciones/ESTUDIOS%20DE%20PROGRAMMING/PROGRAMMING/PERSONAL/PYTHON/Image_Generator_API/imagenes/NAUTICA_CLASSICS_117003891_PRP_2.jpg")</f>
        <v/>
      </c>
      <c r="N1370">
        <f>IMAGE("file:///E:/Estudios%20y%20certificaciones/ESTUDIOS%20DE%20PROGRAMMING/PROGRAMMING/PERSONAL/PYTHON/Image_Generator_API/imagenes/NAUTICA_CLASSICS_117003891_PRP_3.jpg")</f>
        <v/>
      </c>
      <c r="O1370">
        <f>HYPERLINK("imagenes/NAUTICA_CLASSICS_117003891_PRP_1.jpg","Ver imagen")</f>
        <v/>
      </c>
      <c r="P1370">
        <f>HYPERLINK("imagenes/NAUTICA_CLASSICS_117003891_PRP_2.jpg","Ver imagen")</f>
        <v/>
      </c>
      <c r="Q1370">
        <f>HYPERLINK("imagenes/NAUTICA_CLASSICS_117003891_PRP_3.jpg","Ver imagen")</f>
        <v/>
      </c>
    </row>
    <row r="1371">
      <c r="A1371" t="inlineStr">
        <is>
          <t>NAUTICA CLASSICS</t>
        </is>
      </c>
      <c r="B1371" t="inlineStr">
        <is>
          <t>117003891</t>
        </is>
      </c>
      <c r="C1371" t="inlineStr">
        <is>
          <t>MECH STRETCH PUFFER</t>
        </is>
      </c>
      <c r="D1371" t="inlineStr">
        <is>
          <t>PRY</t>
        </is>
      </c>
      <c r="E1371" t="inlineStr">
        <is>
          <t>08A05</t>
        </is>
      </c>
      <c r="F1371" t="inlineStr">
        <is>
          <t>(en blanco)</t>
        </is>
      </c>
      <c r="G1371" t="inlineStr">
        <is>
          <t>PPK</t>
        </is>
      </c>
      <c r="H1371" t="n">
        <v>248</v>
      </c>
      <c r="I1371" t="inlineStr">
        <is>
          <t>NAUTICA_CLASSICS_117003891_PRY_1.jpg</t>
        </is>
      </c>
      <c r="J1371" t="inlineStr">
        <is>
          <t>NAUTICA_CLASSICS_117003891_PRY_2.jpg</t>
        </is>
      </c>
      <c r="K1371" t="inlineStr">
        <is>
          <t>NAUTICA_CLASSICS_117003891_PRY_3.jpg</t>
        </is>
      </c>
      <c r="L1371">
        <f>IMAGE("file:///E:/Estudios%20y%20certificaciones/ESTUDIOS%20DE%20PROGRAMMING/PROGRAMMING/PERSONAL/PYTHON/Image_Generator_API/imagenes/NAUTICA_CLASSICS_117003891_PRY_1.jpg")</f>
        <v/>
      </c>
      <c r="M1371">
        <f>IMAGE("file:///E:/Estudios%20y%20certificaciones/ESTUDIOS%20DE%20PROGRAMMING/PROGRAMMING/PERSONAL/PYTHON/Image_Generator_API/imagenes/NAUTICA_CLASSICS_117003891_PRY_2.jpg")</f>
        <v/>
      </c>
      <c r="N1371">
        <f>IMAGE("file:///E:/Estudios%20y%20certificaciones/ESTUDIOS%20DE%20PROGRAMMING/PROGRAMMING/PERSONAL/PYTHON/Image_Generator_API/imagenes/NAUTICA_CLASSICS_117003891_PRY_3.jpg")</f>
        <v/>
      </c>
      <c r="O1371">
        <f>HYPERLINK("imagenes/NAUTICA_CLASSICS_117003891_PRY_1.jpg","Ver imagen")</f>
        <v/>
      </c>
      <c r="P1371">
        <f>HYPERLINK("imagenes/NAUTICA_CLASSICS_117003891_PRY_2.jpg","Ver imagen")</f>
        <v/>
      </c>
      <c r="Q1371">
        <f>HYPERLINK("imagenes/NAUTICA_CLASSICS_117003891_PRY_3.jpg","Ver imagen")</f>
        <v/>
      </c>
    </row>
    <row r="1372">
      <c r="A1372" t="inlineStr">
        <is>
          <t>NAUTICA CLASSICS</t>
        </is>
      </c>
      <c r="B1372" t="inlineStr">
        <is>
          <t>117003974</t>
        </is>
      </c>
      <c r="C1372" t="inlineStr">
        <is>
          <t>STRETCH PUFFER</t>
        </is>
      </c>
      <c r="D1372" t="inlineStr">
        <is>
          <t>HBE</t>
        </is>
      </c>
      <c r="E1372" t="inlineStr">
        <is>
          <t>(en blanco)</t>
        </is>
      </c>
      <c r="F1372" t="inlineStr">
        <is>
          <t>(en blanco)</t>
        </is>
      </c>
      <c r="G1372" t="inlineStr">
        <is>
          <t>S</t>
        </is>
      </c>
      <c r="H1372" t="n">
        <v>1</v>
      </c>
      <c r="I1372" t="inlineStr">
        <is>
          <t>NAUTICA_CLASSICS_117003974_HBE_1.jpg</t>
        </is>
      </c>
      <c r="J1372" t="inlineStr">
        <is>
          <t>NAUTICA_CLASSICS_117003974_HBE_2.jpg</t>
        </is>
      </c>
      <c r="K1372" t="inlineStr">
        <is>
          <t>NAUTICA_CLASSICS_117003974_HBE_3.jpg</t>
        </is>
      </c>
      <c r="L1372">
        <f>IMAGE("file:///E:/Estudios%20y%20certificaciones/ESTUDIOS%20DE%20PROGRAMMING/PROGRAMMING/PERSONAL/PYTHON/Image_Generator_API/imagenes/NAUTICA_CLASSICS_117003974_HBE_1.jpg")</f>
        <v/>
      </c>
      <c r="M1372">
        <f>IMAGE("file:///E:/Estudios%20y%20certificaciones/ESTUDIOS%20DE%20PROGRAMMING/PROGRAMMING/PERSONAL/PYTHON/Image_Generator_API/imagenes/NAUTICA_CLASSICS_117003974_HBE_2.jpg")</f>
        <v/>
      </c>
      <c r="N1372">
        <f>IMAGE("file:///E:/Estudios%20y%20certificaciones/ESTUDIOS%20DE%20PROGRAMMING/PROGRAMMING/PERSONAL/PYTHON/Image_Generator_API/imagenes/NAUTICA_CLASSICS_117003974_HBE_3.jpg")</f>
        <v/>
      </c>
      <c r="O1372">
        <f>HYPERLINK("imagenes/NAUTICA_CLASSICS_117003974_HBE_1.jpg","Ver imagen")</f>
        <v/>
      </c>
      <c r="P1372">
        <f>HYPERLINK("imagenes/NAUTICA_CLASSICS_117003974_HBE_2.jpg","Ver imagen")</f>
        <v/>
      </c>
      <c r="Q1372">
        <f>HYPERLINK("imagenes/NAUTICA_CLASSICS_117003974_HBE_3.jpg","Ver imagen")</f>
        <v/>
      </c>
    </row>
    <row r="1373">
      <c r="A1373" t="inlineStr">
        <is>
          <t>NAUTICA CLASSICS</t>
        </is>
      </c>
      <c r="B1373" t="inlineStr">
        <is>
          <t>117003974</t>
        </is>
      </c>
      <c r="C1373" t="inlineStr">
        <is>
          <t>STRETCH PUFFER</t>
        </is>
      </c>
      <c r="D1373" t="inlineStr">
        <is>
          <t>LMS</t>
        </is>
      </c>
      <c r="E1373" t="inlineStr">
        <is>
          <t>(en blanco)</t>
        </is>
      </c>
      <c r="F1373" t="inlineStr">
        <is>
          <t>(en blanco)</t>
        </is>
      </c>
      <c r="G1373" t="inlineStr">
        <is>
          <t>S</t>
        </is>
      </c>
      <c r="H1373" t="n">
        <v>8</v>
      </c>
      <c r="I1373" t="inlineStr">
        <is>
          <t>NAUTICA_CLASSICS_117003974_LMS_1.jpg</t>
        </is>
      </c>
      <c r="J1373" t="inlineStr">
        <is>
          <t>NAUTICA_CLASSICS_117003974_LMS_2.jpg</t>
        </is>
      </c>
      <c r="K1373" t="inlineStr">
        <is>
          <t>NAUTICA_CLASSICS_117003974_LMS_3.jpg</t>
        </is>
      </c>
      <c r="L1373">
        <f>IMAGE("file:///E:/Estudios%20y%20certificaciones/ESTUDIOS%20DE%20PROGRAMMING/PROGRAMMING/PERSONAL/PYTHON/Image_Generator_API/imagenes/NAUTICA_CLASSICS_117003974_LMS_1.jpg")</f>
        <v/>
      </c>
      <c r="M1373">
        <f>IMAGE("file:///E:/Estudios%20y%20certificaciones/ESTUDIOS%20DE%20PROGRAMMING/PROGRAMMING/PERSONAL/PYTHON/Image_Generator_API/imagenes/NAUTICA_CLASSICS_117003974_LMS_2.jpg")</f>
        <v/>
      </c>
      <c r="N1373">
        <f>IMAGE("file:///E:/Estudios%20y%20certificaciones/ESTUDIOS%20DE%20PROGRAMMING/PROGRAMMING/PERSONAL/PYTHON/Image_Generator_API/imagenes/NAUTICA_CLASSICS_117003974_LMS_3.jpg")</f>
        <v/>
      </c>
      <c r="O1373">
        <f>HYPERLINK("imagenes/NAUTICA_CLASSICS_117003974_LMS_1.jpg","Ver imagen")</f>
        <v/>
      </c>
      <c r="P1373">
        <f>HYPERLINK("imagenes/NAUTICA_CLASSICS_117003974_LMS_2.jpg","Ver imagen")</f>
        <v/>
      </c>
      <c r="Q1373">
        <f>HYPERLINK("imagenes/NAUTICA_CLASSICS_117003974_LMS_3.jpg","Ver imagen")</f>
        <v/>
      </c>
    </row>
    <row r="1374">
      <c r="A1374" t="inlineStr">
        <is>
          <t>NAUTICA CLASSICS</t>
        </is>
      </c>
      <c r="B1374" t="inlineStr">
        <is>
          <t>117003974</t>
        </is>
      </c>
      <c r="C1374" t="inlineStr">
        <is>
          <t>STRETCH PUFFER</t>
        </is>
      </c>
      <c r="D1374" t="inlineStr">
        <is>
          <t>LMS</t>
        </is>
      </c>
      <c r="E1374" t="inlineStr">
        <is>
          <t>(en blanco)</t>
        </is>
      </c>
      <c r="F1374" t="inlineStr">
        <is>
          <t>(en blanco)</t>
        </is>
      </c>
      <c r="G1374" t="inlineStr">
        <is>
          <t>M</t>
        </is>
      </c>
      <c r="H1374" t="n">
        <v>5</v>
      </c>
      <c r="I1374" t="inlineStr">
        <is>
          <t>NAUTICA_CLASSICS_117003974_LMS_1.jpg</t>
        </is>
      </c>
      <c r="J1374" t="inlineStr">
        <is>
          <t>NAUTICA_CLASSICS_117003974_LMS_2.jpg</t>
        </is>
      </c>
      <c r="K1374" t="inlineStr">
        <is>
          <t>NAUTICA_CLASSICS_117003974_LMS_3.jpg</t>
        </is>
      </c>
      <c r="L1374">
        <f>IMAGE("file:///E:/Estudios%20y%20certificaciones/ESTUDIOS%20DE%20PROGRAMMING/PROGRAMMING/PERSONAL/PYTHON/Image_Generator_API/imagenes/NAUTICA_CLASSICS_117003974_LMS_1.jpg")</f>
        <v/>
      </c>
      <c r="M1374">
        <f>IMAGE("file:///E:/Estudios%20y%20certificaciones/ESTUDIOS%20DE%20PROGRAMMING/PROGRAMMING/PERSONAL/PYTHON/Image_Generator_API/imagenes/NAUTICA_CLASSICS_117003974_LMS_2.jpg")</f>
        <v/>
      </c>
      <c r="N1374">
        <f>IMAGE("file:///E:/Estudios%20y%20certificaciones/ESTUDIOS%20DE%20PROGRAMMING/PROGRAMMING/PERSONAL/PYTHON/Image_Generator_API/imagenes/NAUTICA_CLASSICS_117003974_LMS_3.jpg")</f>
        <v/>
      </c>
      <c r="O1374">
        <f>HYPERLINK("imagenes/NAUTICA_CLASSICS_117003974_LMS_1.jpg","Ver imagen")</f>
        <v/>
      </c>
      <c r="P1374">
        <f>HYPERLINK("imagenes/NAUTICA_CLASSICS_117003974_LMS_2.jpg","Ver imagen")</f>
        <v/>
      </c>
      <c r="Q1374">
        <f>HYPERLINK("imagenes/NAUTICA_CLASSICS_117003974_LMS_3.jpg","Ver imagen")</f>
        <v/>
      </c>
    </row>
    <row r="1375">
      <c r="A1375" t="inlineStr">
        <is>
          <t>NAUTICA CLASSICS</t>
        </is>
      </c>
      <c r="B1375" t="inlineStr">
        <is>
          <t>117003974</t>
        </is>
      </c>
      <c r="C1375" t="inlineStr">
        <is>
          <t>STRETCH PUFFER</t>
        </is>
      </c>
      <c r="D1375" t="inlineStr">
        <is>
          <t>LMS</t>
        </is>
      </c>
      <c r="E1375" t="inlineStr">
        <is>
          <t>(en blanco)</t>
        </is>
      </c>
      <c r="F1375" t="inlineStr">
        <is>
          <t>(en blanco)</t>
        </is>
      </c>
      <c r="G1375" t="inlineStr">
        <is>
          <t>L</t>
        </is>
      </c>
      <c r="H1375" t="n">
        <v>13</v>
      </c>
      <c r="I1375" t="inlineStr">
        <is>
          <t>NAUTICA_CLASSICS_117003974_LMS_1.jpg</t>
        </is>
      </c>
      <c r="J1375" t="inlineStr">
        <is>
          <t>NAUTICA_CLASSICS_117003974_LMS_2.jpg</t>
        </is>
      </c>
      <c r="K1375" t="inlineStr">
        <is>
          <t>NAUTICA_CLASSICS_117003974_LMS_3.jpg</t>
        </is>
      </c>
      <c r="L1375">
        <f>IMAGE("file:///E:/Estudios%20y%20certificaciones/ESTUDIOS%20DE%20PROGRAMMING/PROGRAMMING/PERSONAL/PYTHON/Image_Generator_API/imagenes/NAUTICA_CLASSICS_117003974_LMS_1.jpg")</f>
        <v/>
      </c>
      <c r="M1375">
        <f>IMAGE("file:///E:/Estudios%20y%20certificaciones/ESTUDIOS%20DE%20PROGRAMMING/PROGRAMMING/PERSONAL/PYTHON/Image_Generator_API/imagenes/NAUTICA_CLASSICS_117003974_LMS_2.jpg")</f>
        <v/>
      </c>
      <c r="N1375">
        <f>IMAGE("file:///E:/Estudios%20y%20certificaciones/ESTUDIOS%20DE%20PROGRAMMING/PROGRAMMING/PERSONAL/PYTHON/Image_Generator_API/imagenes/NAUTICA_CLASSICS_117003974_LMS_3.jpg")</f>
        <v/>
      </c>
      <c r="O1375">
        <f>HYPERLINK("imagenes/NAUTICA_CLASSICS_117003974_LMS_1.jpg","Ver imagen")</f>
        <v/>
      </c>
      <c r="P1375">
        <f>HYPERLINK("imagenes/NAUTICA_CLASSICS_117003974_LMS_2.jpg","Ver imagen")</f>
        <v/>
      </c>
      <c r="Q1375">
        <f>HYPERLINK("imagenes/NAUTICA_CLASSICS_117003974_LMS_3.jpg","Ver imagen")</f>
        <v/>
      </c>
    </row>
    <row r="1376">
      <c r="A1376" t="inlineStr">
        <is>
          <t>NAUTICA CLASSICS</t>
        </is>
      </c>
      <c r="B1376" t="inlineStr">
        <is>
          <t>117003975</t>
        </is>
      </c>
      <c r="C1376" t="inlineStr">
        <is>
          <t>STRETCH PUFFER</t>
        </is>
      </c>
      <c r="D1376" t="inlineStr">
        <is>
          <t>BLK</t>
        </is>
      </c>
      <c r="E1376" t="inlineStr">
        <is>
          <t>(en blanco)</t>
        </is>
      </c>
      <c r="F1376" t="inlineStr">
        <is>
          <t>(en blanco)</t>
        </is>
      </c>
      <c r="G1376" t="inlineStr">
        <is>
          <t>S</t>
        </is>
      </c>
      <c r="H1376" t="n">
        <v>0</v>
      </c>
      <c r="I1376" t="inlineStr">
        <is>
          <t>NAUTICA_CLASSICS_117003975_BLK_2.jpg</t>
        </is>
      </c>
      <c r="J1376" t="inlineStr">
        <is>
          <t>NAUTICA_CLASSICS_117003975_BLK_3.jpg</t>
        </is>
      </c>
      <c r="L1376">
        <f>IMAGE("file:///E:/Estudios%20y%20certificaciones/ESTUDIOS%20DE%20PROGRAMMING/PROGRAMMING/PERSONAL/PYTHON/Image_Generator_API/imagenes/NAUTICA_CLASSICS_117003975_BLK_2.jpg")</f>
        <v/>
      </c>
      <c r="M1376">
        <f>IMAGE("file:///E:/Estudios%20y%20certificaciones/ESTUDIOS%20DE%20PROGRAMMING/PROGRAMMING/PERSONAL/PYTHON/Image_Generator_API/imagenes/NAUTICA_CLASSICS_117003975_BLK_3.jpg")</f>
        <v/>
      </c>
      <c r="O1376">
        <f>HYPERLINK("imagenes/NAUTICA_CLASSICS_117003975_BLK_2.jpg","Ver imagen")</f>
        <v/>
      </c>
      <c r="P1376">
        <f>HYPERLINK("imagenes/NAUTICA_CLASSICS_117003975_BLK_3.jpg","Ver imagen")</f>
        <v/>
      </c>
    </row>
    <row r="1377">
      <c r="A1377" t="inlineStr">
        <is>
          <t>NAUTICA CLASSICS</t>
        </is>
      </c>
      <c r="B1377" t="inlineStr">
        <is>
          <t>117003975</t>
        </is>
      </c>
      <c r="C1377" t="inlineStr">
        <is>
          <t>STRETCH PUFFER</t>
        </is>
      </c>
      <c r="D1377" t="inlineStr">
        <is>
          <t>BLK</t>
        </is>
      </c>
      <c r="E1377" t="inlineStr">
        <is>
          <t>(en blanco)</t>
        </is>
      </c>
      <c r="F1377" t="inlineStr">
        <is>
          <t>(en blanco)</t>
        </is>
      </c>
      <c r="G1377" t="inlineStr">
        <is>
          <t>L</t>
        </is>
      </c>
      <c r="H1377" t="n">
        <v>9</v>
      </c>
      <c r="I1377" t="inlineStr">
        <is>
          <t>NAUTICA_CLASSICS_117003975_BLK_2.jpg</t>
        </is>
      </c>
      <c r="J1377" t="inlineStr">
        <is>
          <t>NAUTICA_CLASSICS_117003975_BLK_3.jpg</t>
        </is>
      </c>
      <c r="L1377">
        <f>IMAGE("file:///E:/Estudios%20y%20certificaciones/ESTUDIOS%20DE%20PROGRAMMING/PROGRAMMING/PERSONAL/PYTHON/Image_Generator_API/imagenes/NAUTICA_CLASSICS_117003975_BLK_2.jpg")</f>
        <v/>
      </c>
      <c r="M1377">
        <f>IMAGE("file:///E:/Estudios%20y%20certificaciones/ESTUDIOS%20DE%20PROGRAMMING/PROGRAMMING/PERSONAL/PYTHON/Image_Generator_API/imagenes/NAUTICA_CLASSICS_117003975_BLK_3.jpg")</f>
        <v/>
      </c>
      <c r="O1377">
        <f>HYPERLINK("imagenes/NAUTICA_CLASSICS_117003975_BLK_2.jpg","Ver imagen")</f>
        <v/>
      </c>
      <c r="P1377">
        <f>HYPERLINK("imagenes/NAUTICA_CLASSICS_117003975_BLK_3.jpg","Ver imagen")</f>
        <v/>
      </c>
    </row>
    <row r="1378">
      <c r="A1378" t="inlineStr">
        <is>
          <t>NAUTICA CLASSICS</t>
        </is>
      </c>
      <c r="B1378" t="inlineStr">
        <is>
          <t>117003975</t>
        </is>
      </c>
      <c r="C1378" t="inlineStr">
        <is>
          <t>STRETCH PUFFER</t>
        </is>
      </c>
      <c r="D1378" t="inlineStr">
        <is>
          <t>BLU</t>
        </is>
      </c>
      <c r="E1378" t="inlineStr">
        <is>
          <t>(en blanco)</t>
        </is>
      </c>
      <c r="F1378" t="inlineStr">
        <is>
          <t>(en blanco)</t>
        </is>
      </c>
      <c r="G1378" t="inlineStr">
        <is>
          <t>XS</t>
        </is>
      </c>
      <c r="H1378" t="n">
        <v>13</v>
      </c>
      <c r="I1378" t="inlineStr">
        <is>
          <t>NAUTICA_CLASSICS_117003975_BLU_1.jpg</t>
        </is>
      </c>
      <c r="J1378" t="inlineStr">
        <is>
          <t>NAUTICA_CLASSICS_117003975_BLU_2.jpg</t>
        </is>
      </c>
      <c r="K1378" t="inlineStr">
        <is>
          <t>NAUTICA_CLASSICS_117003975_BLU_3.jpg</t>
        </is>
      </c>
      <c r="L1378">
        <f>IMAGE("file:///E:/Estudios%20y%20certificaciones/ESTUDIOS%20DE%20PROGRAMMING/PROGRAMMING/PERSONAL/PYTHON/Image_Generator_API/imagenes/NAUTICA_CLASSICS_117003975_BLU_1.jpg")</f>
        <v/>
      </c>
      <c r="M1378">
        <f>IMAGE("file:///E:/Estudios%20y%20certificaciones/ESTUDIOS%20DE%20PROGRAMMING/PROGRAMMING/PERSONAL/PYTHON/Image_Generator_API/imagenes/NAUTICA_CLASSICS_117003975_BLU_2.jpg")</f>
        <v/>
      </c>
      <c r="N1378">
        <f>IMAGE("file:///E:/Estudios%20y%20certificaciones/ESTUDIOS%20DE%20PROGRAMMING/PROGRAMMING/PERSONAL/PYTHON/Image_Generator_API/imagenes/NAUTICA_CLASSICS_117003975_BLU_3.jpg")</f>
        <v/>
      </c>
      <c r="O1378">
        <f>HYPERLINK("imagenes/NAUTICA_CLASSICS_117003975_BLU_1.jpg","Ver imagen")</f>
        <v/>
      </c>
      <c r="P1378">
        <f>HYPERLINK("imagenes/NAUTICA_CLASSICS_117003975_BLU_2.jpg","Ver imagen")</f>
        <v/>
      </c>
      <c r="Q1378">
        <f>HYPERLINK("imagenes/NAUTICA_CLASSICS_117003975_BLU_3.jpg","Ver imagen")</f>
        <v/>
      </c>
    </row>
    <row r="1379">
      <c r="A1379" t="inlineStr">
        <is>
          <t>NAUTICA CLASSICS</t>
        </is>
      </c>
      <c r="B1379" t="inlineStr">
        <is>
          <t>117003975</t>
        </is>
      </c>
      <c r="C1379" t="inlineStr">
        <is>
          <t>STRETCH PUFFER</t>
        </is>
      </c>
      <c r="D1379" t="inlineStr">
        <is>
          <t>BLU</t>
        </is>
      </c>
      <c r="E1379" t="inlineStr">
        <is>
          <t>(en blanco)</t>
        </is>
      </c>
      <c r="F1379" t="inlineStr">
        <is>
          <t>(en blanco)</t>
        </is>
      </c>
      <c r="G1379" t="inlineStr">
        <is>
          <t>L</t>
        </is>
      </c>
      <c r="H1379" t="n">
        <v>7</v>
      </c>
      <c r="I1379" t="inlineStr">
        <is>
          <t>NAUTICA_CLASSICS_117003975_BLU_1.jpg</t>
        </is>
      </c>
      <c r="J1379" t="inlineStr">
        <is>
          <t>NAUTICA_CLASSICS_117003975_BLU_2.jpg</t>
        </is>
      </c>
      <c r="K1379" t="inlineStr">
        <is>
          <t>NAUTICA_CLASSICS_117003975_BLU_3.jpg</t>
        </is>
      </c>
      <c r="L1379">
        <f>IMAGE("file:///E:/Estudios%20y%20certificaciones/ESTUDIOS%20DE%20PROGRAMMING/PROGRAMMING/PERSONAL/PYTHON/Image_Generator_API/imagenes/NAUTICA_CLASSICS_117003975_BLU_1.jpg")</f>
        <v/>
      </c>
      <c r="M1379">
        <f>IMAGE("file:///E:/Estudios%20y%20certificaciones/ESTUDIOS%20DE%20PROGRAMMING/PROGRAMMING/PERSONAL/PYTHON/Image_Generator_API/imagenes/NAUTICA_CLASSICS_117003975_BLU_2.jpg")</f>
        <v/>
      </c>
      <c r="N1379">
        <f>IMAGE("file:///E:/Estudios%20y%20certificaciones/ESTUDIOS%20DE%20PROGRAMMING/PROGRAMMING/PERSONAL/PYTHON/Image_Generator_API/imagenes/NAUTICA_CLASSICS_117003975_BLU_3.jpg")</f>
        <v/>
      </c>
      <c r="O1379">
        <f>HYPERLINK("imagenes/NAUTICA_CLASSICS_117003975_BLU_1.jpg","Ver imagen")</f>
        <v/>
      </c>
      <c r="P1379">
        <f>HYPERLINK("imagenes/NAUTICA_CLASSICS_117003975_BLU_2.jpg","Ver imagen")</f>
        <v/>
      </c>
      <c r="Q1379">
        <f>HYPERLINK("imagenes/NAUTICA_CLASSICS_117003975_BLU_3.jpg","Ver imagen")</f>
        <v/>
      </c>
    </row>
    <row r="1380">
      <c r="A1380" t="inlineStr">
        <is>
          <t>NAUTICA CLASSICS</t>
        </is>
      </c>
      <c r="B1380" t="inlineStr">
        <is>
          <t>117003975</t>
        </is>
      </c>
      <c r="C1380" t="inlineStr">
        <is>
          <t>STRETCH PUFFER</t>
        </is>
      </c>
      <c r="D1380" t="inlineStr">
        <is>
          <t>BLU</t>
        </is>
      </c>
      <c r="E1380" t="inlineStr">
        <is>
          <t>(en blanco)</t>
        </is>
      </c>
      <c r="F1380" t="inlineStr">
        <is>
          <t>(en blanco)</t>
        </is>
      </c>
      <c r="G1380" t="inlineStr">
        <is>
          <t>XL</t>
        </is>
      </c>
      <c r="H1380" t="n">
        <v>9</v>
      </c>
      <c r="I1380" t="inlineStr">
        <is>
          <t>NAUTICA_CLASSICS_117003975_BLU_1.jpg</t>
        </is>
      </c>
      <c r="J1380" t="inlineStr">
        <is>
          <t>NAUTICA_CLASSICS_117003975_BLU_2.jpg</t>
        </is>
      </c>
      <c r="K1380" t="inlineStr">
        <is>
          <t>NAUTICA_CLASSICS_117003975_BLU_3.jpg</t>
        </is>
      </c>
      <c r="L1380">
        <f>IMAGE("file:///E:/Estudios%20y%20certificaciones/ESTUDIOS%20DE%20PROGRAMMING/PROGRAMMING/PERSONAL/PYTHON/Image_Generator_API/imagenes/NAUTICA_CLASSICS_117003975_BLU_1.jpg")</f>
        <v/>
      </c>
      <c r="M1380">
        <f>IMAGE("file:///E:/Estudios%20y%20certificaciones/ESTUDIOS%20DE%20PROGRAMMING/PROGRAMMING/PERSONAL/PYTHON/Image_Generator_API/imagenes/NAUTICA_CLASSICS_117003975_BLU_2.jpg")</f>
        <v/>
      </c>
      <c r="N1380">
        <f>IMAGE("file:///E:/Estudios%20y%20certificaciones/ESTUDIOS%20DE%20PROGRAMMING/PROGRAMMING/PERSONAL/PYTHON/Image_Generator_API/imagenes/NAUTICA_CLASSICS_117003975_BLU_3.jpg")</f>
        <v/>
      </c>
      <c r="O1380">
        <f>HYPERLINK("imagenes/NAUTICA_CLASSICS_117003975_BLU_1.jpg","Ver imagen")</f>
        <v/>
      </c>
      <c r="P1380">
        <f>HYPERLINK("imagenes/NAUTICA_CLASSICS_117003975_BLU_2.jpg","Ver imagen")</f>
        <v/>
      </c>
      <c r="Q1380">
        <f>HYPERLINK("imagenes/NAUTICA_CLASSICS_117003975_BLU_3.jpg","Ver imagen")</f>
        <v/>
      </c>
    </row>
    <row r="1381">
      <c r="A1381" t="inlineStr">
        <is>
          <t>NAUTICA CLASSICS</t>
        </is>
      </c>
      <c r="B1381" t="inlineStr">
        <is>
          <t>117003975</t>
        </is>
      </c>
      <c r="C1381" t="inlineStr">
        <is>
          <t>STRETCH PUFFER</t>
        </is>
      </c>
      <c r="D1381" t="inlineStr">
        <is>
          <t>CTI</t>
        </is>
      </c>
      <c r="E1381" t="inlineStr">
        <is>
          <t>(en blanco)</t>
        </is>
      </c>
      <c r="F1381" t="inlineStr">
        <is>
          <t>(en blanco)</t>
        </is>
      </c>
      <c r="G1381" t="inlineStr">
        <is>
          <t>XS</t>
        </is>
      </c>
      <c r="H1381" t="n">
        <v>1</v>
      </c>
      <c r="I1381" t="inlineStr">
        <is>
          <t>NAUTICA_CLASSICS_117003975_CTI_1.jpg</t>
        </is>
      </c>
      <c r="J1381" t="inlineStr">
        <is>
          <t>NAUTICA_CLASSICS_117003975_CTI_2.jpg</t>
        </is>
      </c>
      <c r="K1381" t="inlineStr">
        <is>
          <t>NAUTICA_CLASSICS_117003975_CTI_3.jpg</t>
        </is>
      </c>
      <c r="L1381">
        <f>IMAGE("file:///E:/Estudios%20y%20certificaciones/ESTUDIOS%20DE%20PROGRAMMING/PROGRAMMING/PERSONAL/PYTHON/Image_Generator_API/imagenes/NAUTICA_CLASSICS_117003975_CTI_1.jpg")</f>
        <v/>
      </c>
      <c r="M1381">
        <f>IMAGE("file:///E:/Estudios%20y%20certificaciones/ESTUDIOS%20DE%20PROGRAMMING/PROGRAMMING/PERSONAL/PYTHON/Image_Generator_API/imagenes/NAUTICA_CLASSICS_117003975_CTI_2.jpg")</f>
        <v/>
      </c>
      <c r="N1381">
        <f>IMAGE("file:///E:/Estudios%20y%20certificaciones/ESTUDIOS%20DE%20PROGRAMMING/PROGRAMMING/PERSONAL/PYTHON/Image_Generator_API/imagenes/NAUTICA_CLASSICS_117003975_CTI_3.jpg")</f>
        <v/>
      </c>
      <c r="O1381">
        <f>HYPERLINK("imagenes/NAUTICA_CLASSICS_117003975_CTI_1.jpg","Ver imagen")</f>
        <v/>
      </c>
      <c r="P1381">
        <f>HYPERLINK("imagenes/NAUTICA_CLASSICS_117003975_CTI_2.jpg","Ver imagen")</f>
        <v/>
      </c>
      <c r="Q1381">
        <f>HYPERLINK("imagenes/NAUTICA_CLASSICS_117003975_CTI_3.jpg","Ver imagen")</f>
        <v/>
      </c>
    </row>
    <row r="1382">
      <c r="A1382" t="inlineStr">
        <is>
          <t>NAUTICA CLASSICS</t>
        </is>
      </c>
      <c r="B1382" t="inlineStr">
        <is>
          <t>117003975</t>
        </is>
      </c>
      <c r="C1382" t="inlineStr">
        <is>
          <t>STRETCH PUFFER</t>
        </is>
      </c>
      <c r="D1382" t="inlineStr">
        <is>
          <t>OLI</t>
        </is>
      </c>
      <c r="E1382" t="inlineStr">
        <is>
          <t>09S01</t>
        </is>
      </c>
      <c r="F1382" t="inlineStr">
        <is>
          <t>(en blanco)</t>
        </is>
      </c>
      <c r="G1382" t="inlineStr">
        <is>
          <t>PPK</t>
        </is>
      </c>
      <c r="H1382" t="n">
        <v>135</v>
      </c>
      <c r="I1382" t="inlineStr">
        <is>
          <t>NAUTICA_CLASSICS_117003975_OLI_1.jpg</t>
        </is>
      </c>
      <c r="J1382" t="inlineStr">
        <is>
          <t>NAUTICA_CLASSICS_117003975_OLI_2.jpg</t>
        </is>
      </c>
      <c r="K1382" t="inlineStr">
        <is>
          <t>NAUTICA_CLASSICS_117003975_OLI_3.jpg</t>
        </is>
      </c>
      <c r="L1382">
        <f>IMAGE("file:///E:/Estudios%20y%20certificaciones/ESTUDIOS%20DE%20PROGRAMMING/PROGRAMMING/PERSONAL/PYTHON/Image_Generator_API/imagenes/NAUTICA_CLASSICS_117003975_OLI_1.jpg")</f>
        <v/>
      </c>
      <c r="M1382">
        <f>IMAGE("file:///E:/Estudios%20y%20certificaciones/ESTUDIOS%20DE%20PROGRAMMING/PROGRAMMING/PERSONAL/PYTHON/Image_Generator_API/imagenes/NAUTICA_CLASSICS_117003975_OLI_2.jpg")</f>
        <v/>
      </c>
      <c r="N1382">
        <f>IMAGE("file:///E:/Estudios%20y%20certificaciones/ESTUDIOS%20DE%20PROGRAMMING/PROGRAMMING/PERSONAL/PYTHON/Image_Generator_API/imagenes/NAUTICA_CLASSICS_117003975_OLI_3.jpg")</f>
        <v/>
      </c>
      <c r="O1382">
        <f>HYPERLINK("imagenes/NAUTICA_CLASSICS_117003975_OLI_1.jpg","Ver imagen")</f>
        <v/>
      </c>
      <c r="P1382">
        <f>HYPERLINK("imagenes/NAUTICA_CLASSICS_117003975_OLI_2.jpg","Ver imagen")</f>
        <v/>
      </c>
      <c r="Q1382">
        <f>HYPERLINK("imagenes/NAUTICA_CLASSICS_117003975_OLI_3.jpg","Ver imagen")</f>
        <v/>
      </c>
    </row>
    <row r="1383">
      <c r="A1383" t="inlineStr">
        <is>
          <t>NAUTICA CLASSICS</t>
        </is>
      </c>
      <c r="B1383" t="inlineStr">
        <is>
          <t>117003975</t>
        </is>
      </c>
      <c r="C1383" t="inlineStr">
        <is>
          <t>STRETCH PUFFER</t>
        </is>
      </c>
      <c r="D1383" t="inlineStr">
        <is>
          <t>OLI</t>
        </is>
      </c>
      <c r="E1383" t="inlineStr">
        <is>
          <t>(en blanco)</t>
        </is>
      </c>
      <c r="F1383" t="inlineStr">
        <is>
          <t>(en blanco)</t>
        </is>
      </c>
      <c r="G1383" t="inlineStr">
        <is>
          <t>XS</t>
        </is>
      </c>
      <c r="H1383" t="n">
        <v>4</v>
      </c>
      <c r="I1383" t="inlineStr">
        <is>
          <t>NAUTICA_CLASSICS_117003975_OLI_1.jpg</t>
        </is>
      </c>
      <c r="J1383" t="inlineStr">
        <is>
          <t>NAUTICA_CLASSICS_117003975_OLI_2.jpg</t>
        </is>
      </c>
      <c r="K1383" t="inlineStr">
        <is>
          <t>NAUTICA_CLASSICS_117003975_OLI_3.jpg</t>
        </is>
      </c>
      <c r="L1383">
        <f>IMAGE("file:///E:/Estudios%20y%20certificaciones/ESTUDIOS%20DE%20PROGRAMMING/PROGRAMMING/PERSONAL/PYTHON/Image_Generator_API/imagenes/NAUTICA_CLASSICS_117003975_OLI_1.jpg")</f>
        <v/>
      </c>
      <c r="M1383">
        <f>IMAGE("file:///E:/Estudios%20y%20certificaciones/ESTUDIOS%20DE%20PROGRAMMING/PROGRAMMING/PERSONAL/PYTHON/Image_Generator_API/imagenes/NAUTICA_CLASSICS_117003975_OLI_2.jpg")</f>
        <v/>
      </c>
      <c r="N1383">
        <f>IMAGE("file:///E:/Estudios%20y%20certificaciones/ESTUDIOS%20DE%20PROGRAMMING/PROGRAMMING/PERSONAL/PYTHON/Image_Generator_API/imagenes/NAUTICA_CLASSICS_117003975_OLI_3.jpg")</f>
        <v/>
      </c>
      <c r="O1383">
        <f>HYPERLINK("imagenes/NAUTICA_CLASSICS_117003975_OLI_1.jpg","Ver imagen")</f>
        <v/>
      </c>
      <c r="P1383">
        <f>HYPERLINK("imagenes/NAUTICA_CLASSICS_117003975_OLI_2.jpg","Ver imagen")</f>
        <v/>
      </c>
      <c r="Q1383">
        <f>HYPERLINK("imagenes/NAUTICA_CLASSICS_117003975_OLI_3.jpg","Ver imagen")</f>
        <v/>
      </c>
    </row>
    <row r="1384">
      <c r="A1384" t="inlineStr">
        <is>
          <t>NAUTICA CLASSICS</t>
        </is>
      </c>
      <c r="B1384" t="inlineStr">
        <is>
          <t>117003975</t>
        </is>
      </c>
      <c r="C1384" t="inlineStr">
        <is>
          <t>STRETCH PUFFER</t>
        </is>
      </c>
      <c r="D1384" t="inlineStr">
        <is>
          <t>OLI</t>
        </is>
      </c>
      <c r="E1384" t="inlineStr">
        <is>
          <t>(en blanco)</t>
        </is>
      </c>
      <c r="F1384" t="inlineStr">
        <is>
          <t>(en blanco)</t>
        </is>
      </c>
      <c r="G1384" t="inlineStr">
        <is>
          <t>M</t>
        </is>
      </c>
      <c r="H1384" t="n">
        <v>3</v>
      </c>
      <c r="I1384" t="inlineStr">
        <is>
          <t>NAUTICA_CLASSICS_117003975_OLI_1.jpg</t>
        </is>
      </c>
      <c r="J1384" t="inlineStr">
        <is>
          <t>NAUTICA_CLASSICS_117003975_OLI_2.jpg</t>
        </is>
      </c>
      <c r="K1384" t="inlineStr">
        <is>
          <t>NAUTICA_CLASSICS_117003975_OLI_3.jpg</t>
        </is>
      </c>
      <c r="L1384">
        <f>IMAGE("file:///E:/Estudios%20y%20certificaciones/ESTUDIOS%20DE%20PROGRAMMING/PROGRAMMING/PERSONAL/PYTHON/Image_Generator_API/imagenes/NAUTICA_CLASSICS_117003975_OLI_1.jpg")</f>
        <v/>
      </c>
      <c r="M1384">
        <f>IMAGE("file:///E:/Estudios%20y%20certificaciones/ESTUDIOS%20DE%20PROGRAMMING/PROGRAMMING/PERSONAL/PYTHON/Image_Generator_API/imagenes/NAUTICA_CLASSICS_117003975_OLI_2.jpg")</f>
        <v/>
      </c>
      <c r="N1384">
        <f>IMAGE("file:///E:/Estudios%20y%20certificaciones/ESTUDIOS%20DE%20PROGRAMMING/PROGRAMMING/PERSONAL/PYTHON/Image_Generator_API/imagenes/NAUTICA_CLASSICS_117003975_OLI_3.jpg")</f>
        <v/>
      </c>
      <c r="O1384">
        <f>HYPERLINK("imagenes/NAUTICA_CLASSICS_117003975_OLI_1.jpg","Ver imagen")</f>
        <v/>
      </c>
      <c r="P1384">
        <f>HYPERLINK("imagenes/NAUTICA_CLASSICS_117003975_OLI_2.jpg","Ver imagen")</f>
        <v/>
      </c>
      <c r="Q1384">
        <f>HYPERLINK("imagenes/NAUTICA_CLASSICS_117003975_OLI_3.jpg","Ver imagen")</f>
        <v/>
      </c>
    </row>
    <row r="1385">
      <c r="A1385" t="inlineStr">
        <is>
          <t>NAUTICA CLASSICS</t>
        </is>
      </c>
      <c r="B1385" t="inlineStr">
        <is>
          <t>117003975</t>
        </is>
      </c>
      <c r="C1385" t="inlineStr">
        <is>
          <t>STRETCH PUFFER</t>
        </is>
      </c>
      <c r="D1385" t="inlineStr">
        <is>
          <t>OLI</t>
        </is>
      </c>
      <c r="E1385" t="inlineStr">
        <is>
          <t>(en blanco)</t>
        </is>
      </c>
      <c r="F1385" t="inlineStr">
        <is>
          <t>(en blanco)</t>
        </is>
      </c>
      <c r="G1385" t="inlineStr">
        <is>
          <t>L</t>
        </is>
      </c>
      <c r="H1385" t="n">
        <v>3</v>
      </c>
      <c r="I1385" t="inlineStr">
        <is>
          <t>NAUTICA_CLASSICS_117003975_OLI_1.jpg</t>
        </is>
      </c>
      <c r="J1385" t="inlineStr">
        <is>
          <t>NAUTICA_CLASSICS_117003975_OLI_2.jpg</t>
        </is>
      </c>
      <c r="K1385" t="inlineStr">
        <is>
          <t>NAUTICA_CLASSICS_117003975_OLI_3.jpg</t>
        </is>
      </c>
      <c r="L1385">
        <f>IMAGE("file:///E:/Estudios%20y%20certificaciones/ESTUDIOS%20DE%20PROGRAMMING/PROGRAMMING/PERSONAL/PYTHON/Image_Generator_API/imagenes/NAUTICA_CLASSICS_117003975_OLI_1.jpg")</f>
        <v/>
      </c>
      <c r="M1385">
        <f>IMAGE("file:///E:/Estudios%20y%20certificaciones/ESTUDIOS%20DE%20PROGRAMMING/PROGRAMMING/PERSONAL/PYTHON/Image_Generator_API/imagenes/NAUTICA_CLASSICS_117003975_OLI_2.jpg")</f>
        <v/>
      </c>
      <c r="N1385">
        <f>IMAGE("file:///E:/Estudios%20y%20certificaciones/ESTUDIOS%20DE%20PROGRAMMING/PROGRAMMING/PERSONAL/PYTHON/Image_Generator_API/imagenes/NAUTICA_CLASSICS_117003975_OLI_3.jpg")</f>
        <v/>
      </c>
      <c r="O1385">
        <f>HYPERLINK("imagenes/NAUTICA_CLASSICS_117003975_OLI_1.jpg","Ver imagen")</f>
        <v/>
      </c>
      <c r="P1385">
        <f>HYPERLINK("imagenes/NAUTICA_CLASSICS_117003975_OLI_2.jpg","Ver imagen")</f>
        <v/>
      </c>
      <c r="Q1385">
        <f>HYPERLINK("imagenes/NAUTICA_CLASSICS_117003975_OLI_3.jpg","Ver imagen")</f>
        <v/>
      </c>
    </row>
    <row r="1386">
      <c r="A1386" t="inlineStr">
        <is>
          <t>NAUTICA CLASSICS</t>
        </is>
      </c>
      <c r="B1386" t="inlineStr">
        <is>
          <t>117003975</t>
        </is>
      </c>
      <c r="C1386" t="inlineStr">
        <is>
          <t>STRETCH PUFFER</t>
        </is>
      </c>
      <c r="D1386" t="inlineStr">
        <is>
          <t>OLI</t>
        </is>
      </c>
      <c r="E1386" t="inlineStr">
        <is>
          <t>(en blanco)</t>
        </is>
      </c>
      <c r="F1386" t="inlineStr">
        <is>
          <t>(en blanco)</t>
        </is>
      </c>
      <c r="G1386" t="inlineStr">
        <is>
          <t>XL</t>
        </is>
      </c>
      <c r="H1386" t="n">
        <v>6</v>
      </c>
      <c r="I1386" t="inlineStr">
        <is>
          <t>NAUTICA_CLASSICS_117003975_OLI_1.jpg</t>
        </is>
      </c>
      <c r="J1386" t="inlineStr">
        <is>
          <t>NAUTICA_CLASSICS_117003975_OLI_2.jpg</t>
        </is>
      </c>
      <c r="K1386" t="inlineStr">
        <is>
          <t>NAUTICA_CLASSICS_117003975_OLI_3.jpg</t>
        </is>
      </c>
      <c r="L1386">
        <f>IMAGE("file:///E:/Estudios%20y%20certificaciones/ESTUDIOS%20DE%20PROGRAMMING/PROGRAMMING/PERSONAL/PYTHON/Image_Generator_API/imagenes/NAUTICA_CLASSICS_117003975_OLI_1.jpg")</f>
        <v/>
      </c>
      <c r="M1386">
        <f>IMAGE("file:///E:/Estudios%20y%20certificaciones/ESTUDIOS%20DE%20PROGRAMMING/PROGRAMMING/PERSONAL/PYTHON/Image_Generator_API/imagenes/NAUTICA_CLASSICS_117003975_OLI_2.jpg")</f>
        <v/>
      </c>
      <c r="N1386">
        <f>IMAGE("file:///E:/Estudios%20y%20certificaciones/ESTUDIOS%20DE%20PROGRAMMING/PROGRAMMING/PERSONAL/PYTHON/Image_Generator_API/imagenes/NAUTICA_CLASSICS_117003975_OLI_3.jpg")</f>
        <v/>
      </c>
      <c r="O1386">
        <f>HYPERLINK("imagenes/NAUTICA_CLASSICS_117003975_OLI_1.jpg","Ver imagen")</f>
        <v/>
      </c>
      <c r="P1386">
        <f>HYPERLINK("imagenes/NAUTICA_CLASSICS_117003975_OLI_2.jpg","Ver imagen")</f>
        <v/>
      </c>
      <c r="Q1386">
        <f>HYPERLINK("imagenes/NAUTICA_CLASSICS_117003975_OLI_3.jpg","Ver imagen")</f>
        <v/>
      </c>
    </row>
    <row r="1387">
      <c r="A1387" t="inlineStr">
        <is>
          <t>NAUTICA CLASSICS</t>
        </is>
      </c>
      <c r="B1387" t="inlineStr">
        <is>
          <t>117003975P</t>
        </is>
      </c>
      <c r="C1387" t="inlineStr">
        <is>
          <t>STRETCH PUFFER PLUS</t>
        </is>
      </c>
      <c r="D1387" t="inlineStr">
        <is>
          <t>BLK</t>
        </is>
      </c>
      <c r="E1387" t="inlineStr">
        <is>
          <t>(en blanco)</t>
        </is>
      </c>
      <c r="F1387" t="inlineStr">
        <is>
          <t>(en blanco)</t>
        </is>
      </c>
      <c r="G1387" t="inlineStr">
        <is>
          <t>1X</t>
        </is>
      </c>
      <c r="H1387" t="n">
        <v>1</v>
      </c>
      <c r="I1387" t="inlineStr">
        <is>
          <t>NAUTICA_CLASSICS_117003975P_BLK_2.jpg</t>
        </is>
      </c>
      <c r="J1387" t="inlineStr">
        <is>
          <t>NAUTICA_CLASSICS_117003975P_BLK_3.jpg</t>
        </is>
      </c>
      <c r="L1387">
        <f>IMAGE("file:///E:/Estudios%20y%20certificaciones/ESTUDIOS%20DE%20PROGRAMMING/PROGRAMMING/PERSONAL/PYTHON/Image_Generator_API/imagenes/NAUTICA_CLASSICS_117003975P_BLK_2.jpg")</f>
        <v/>
      </c>
      <c r="M1387">
        <f>IMAGE("file:///E:/Estudios%20y%20certificaciones/ESTUDIOS%20DE%20PROGRAMMING/PROGRAMMING/PERSONAL/PYTHON/Image_Generator_API/imagenes/NAUTICA_CLASSICS_117003975P_BLK_3.jpg")</f>
        <v/>
      </c>
      <c r="O1387">
        <f>HYPERLINK("imagenes/NAUTICA_CLASSICS_117003975P_BLK_2.jpg","Ver imagen")</f>
        <v/>
      </c>
      <c r="P1387">
        <f>HYPERLINK("imagenes/NAUTICA_CLASSICS_117003975P_BLK_3.jpg","Ver imagen")</f>
        <v/>
      </c>
    </row>
    <row r="1388">
      <c r="A1388" t="inlineStr">
        <is>
          <t>NAUTICA CLASSICS</t>
        </is>
      </c>
      <c r="B1388" t="inlineStr">
        <is>
          <t>117003975P</t>
        </is>
      </c>
      <c r="C1388" t="inlineStr">
        <is>
          <t>STRETCH PUFFER PLUS</t>
        </is>
      </c>
      <c r="D1388" t="inlineStr">
        <is>
          <t>BLK</t>
        </is>
      </c>
      <c r="E1388" t="inlineStr">
        <is>
          <t>(en blanco)</t>
        </is>
      </c>
      <c r="F1388" t="inlineStr">
        <is>
          <t>(en blanco)</t>
        </is>
      </c>
      <c r="G1388" t="inlineStr">
        <is>
          <t>2X</t>
        </is>
      </c>
      <c r="H1388" t="n">
        <v>1</v>
      </c>
      <c r="I1388" t="inlineStr">
        <is>
          <t>NAUTICA_CLASSICS_117003975P_BLK_2.jpg</t>
        </is>
      </c>
      <c r="J1388" t="inlineStr">
        <is>
          <t>NAUTICA_CLASSICS_117003975P_BLK_3.jpg</t>
        </is>
      </c>
      <c r="L1388">
        <f>IMAGE("file:///E:/Estudios%20y%20certificaciones/ESTUDIOS%20DE%20PROGRAMMING/PROGRAMMING/PERSONAL/PYTHON/Image_Generator_API/imagenes/NAUTICA_CLASSICS_117003975P_BLK_2.jpg")</f>
        <v/>
      </c>
      <c r="M1388">
        <f>IMAGE("file:///E:/Estudios%20y%20certificaciones/ESTUDIOS%20DE%20PROGRAMMING/PROGRAMMING/PERSONAL/PYTHON/Image_Generator_API/imagenes/NAUTICA_CLASSICS_117003975P_BLK_3.jpg")</f>
        <v/>
      </c>
      <c r="O1388">
        <f>HYPERLINK("imagenes/NAUTICA_CLASSICS_117003975P_BLK_2.jpg","Ver imagen")</f>
        <v/>
      </c>
      <c r="P1388">
        <f>HYPERLINK("imagenes/NAUTICA_CLASSICS_117003975P_BLK_3.jpg","Ver imagen")</f>
        <v/>
      </c>
    </row>
    <row r="1389">
      <c r="A1389" t="inlineStr">
        <is>
          <t>NAUTICA CLASSICS</t>
        </is>
      </c>
      <c r="B1389" t="inlineStr">
        <is>
          <t>117003975P</t>
        </is>
      </c>
      <c r="C1389" t="inlineStr">
        <is>
          <t>STRETCH PUFFER PLUS</t>
        </is>
      </c>
      <c r="D1389" t="inlineStr">
        <is>
          <t>BLK</t>
        </is>
      </c>
      <c r="E1389" t="inlineStr">
        <is>
          <t>(en blanco)</t>
        </is>
      </c>
      <c r="F1389" t="inlineStr">
        <is>
          <t>(en blanco)</t>
        </is>
      </c>
      <c r="G1389" t="inlineStr">
        <is>
          <t>3X</t>
        </is>
      </c>
      <c r="H1389" t="n">
        <v>1</v>
      </c>
      <c r="I1389" t="inlineStr">
        <is>
          <t>NAUTICA_CLASSICS_117003975P_BLK_2.jpg</t>
        </is>
      </c>
      <c r="J1389" t="inlineStr">
        <is>
          <t>NAUTICA_CLASSICS_117003975P_BLK_3.jpg</t>
        </is>
      </c>
      <c r="L1389">
        <f>IMAGE("file:///E:/Estudios%20y%20certificaciones/ESTUDIOS%20DE%20PROGRAMMING/PROGRAMMING/PERSONAL/PYTHON/Image_Generator_API/imagenes/NAUTICA_CLASSICS_117003975P_BLK_2.jpg")</f>
        <v/>
      </c>
      <c r="M1389">
        <f>IMAGE("file:///E:/Estudios%20y%20certificaciones/ESTUDIOS%20DE%20PROGRAMMING/PROGRAMMING/PERSONAL/PYTHON/Image_Generator_API/imagenes/NAUTICA_CLASSICS_117003975P_BLK_3.jpg")</f>
        <v/>
      </c>
      <c r="O1389">
        <f>HYPERLINK("imagenes/NAUTICA_CLASSICS_117003975P_BLK_2.jpg","Ver imagen")</f>
        <v/>
      </c>
      <c r="P1389">
        <f>HYPERLINK("imagenes/NAUTICA_CLASSICS_117003975P_BLK_3.jpg","Ver imagen")</f>
        <v/>
      </c>
    </row>
    <row r="1390">
      <c r="A1390" t="inlineStr">
        <is>
          <t>NAUTICA CLASSICS</t>
        </is>
      </c>
      <c r="B1390" t="inlineStr">
        <is>
          <t>117003975P</t>
        </is>
      </c>
      <c r="C1390" t="inlineStr">
        <is>
          <t>STRETCH PUFFER PLUS</t>
        </is>
      </c>
      <c r="D1390" t="inlineStr">
        <is>
          <t>BLU</t>
        </is>
      </c>
      <c r="E1390" t="inlineStr">
        <is>
          <t>(en blanco)</t>
        </is>
      </c>
      <c r="F1390" t="inlineStr">
        <is>
          <t>(en blanco)</t>
        </is>
      </c>
      <c r="G1390" t="inlineStr">
        <is>
          <t>1X</t>
        </is>
      </c>
      <c r="H1390" t="n">
        <v>2</v>
      </c>
      <c r="I1390" t="inlineStr">
        <is>
          <t>NAUTICA_CLASSICS_117003975P_BLU_1.jpg</t>
        </is>
      </c>
      <c r="J1390" t="inlineStr">
        <is>
          <t>NAUTICA_CLASSICS_117003975P_BLU_2.jpg</t>
        </is>
      </c>
      <c r="K1390" t="inlineStr">
        <is>
          <t>NAUTICA_CLASSICS_117003975P_BLU_3.jpg</t>
        </is>
      </c>
      <c r="L1390">
        <f>IMAGE("file:///E:/Estudios%20y%20certificaciones/ESTUDIOS%20DE%20PROGRAMMING/PROGRAMMING/PERSONAL/PYTHON/Image_Generator_API/imagenes/NAUTICA_CLASSICS_117003975P_BLU_1.jpg")</f>
        <v/>
      </c>
      <c r="M1390">
        <f>IMAGE("file:///E:/Estudios%20y%20certificaciones/ESTUDIOS%20DE%20PROGRAMMING/PROGRAMMING/PERSONAL/PYTHON/Image_Generator_API/imagenes/NAUTICA_CLASSICS_117003975P_BLU_2.jpg")</f>
        <v/>
      </c>
      <c r="N1390">
        <f>IMAGE("file:///E:/Estudios%20y%20certificaciones/ESTUDIOS%20DE%20PROGRAMMING/PROGRAMMING/PERSONAL/PYTHON/Image_Generator_API/imagenes/NAUTICA_CLASSICS_117003975P_BLU_3.jpg")</f>
        <v/>
      </c>
      <c r="O1390">
        <f>HYPERLINK("imagenes/NAUTICA_CLASSICS_117003975P_BLU_1.jpg","Ver imagen")</f>
        <v/>
      </c>
      <c r="P1390">
        <f>HYPERLINK("imagenes/NAUTICA_CLASSICS_117003975P_BLU_2.jpg","Ver imagen")</f>
        <v/>
      </c>
      <c r="Q1390">
        <f>HYPERLINK("imagenes/NAUTICA_CLASSICS_117003975P_BLU_3.jpg","Ver imagen")</f>
        <v/>
      </c>
    </row>
    <row r="1391">
      <c r="A1391" t="inlineStr">
        <is>
          <t>NAUTICA CLASSICS</t>
        </is>
      </c>
      <c r="B1391" t="inlineStr">
        <is>
          <t>117003975P</t>
        </is>
      </c>
      <c r="C1391" t="inlineStr">
        <is>
          <t>STRETCH PUFFER PLUS</t>
        </is>
      </c>
      <c r="D1391" t="inlineStr">
        <is>
          <t>BLU</t>
        </is>
      </c>
      <c r="E1391" t="inlineStr">
        <is>
          <t>(en blanco)</t>
        </is>
      </c>
      <c r="F1391" t="inlineStr">
        <is>
          <t>(en blanco)</t>
        </is>
      </c>
      <c r="G1391" t="inlineStr">
        <is>
          <t>2X</t>
        </is>
      </c>
      <c r="H1391" t="n">
        <v>1</v>
      </c>
      <c r="I1391" t="inlineStr">
        <is>
          <t>NAUTICA_CLASSICS_117003975P_BLU_1.jpg</t>
        </is>
      </c>
      <c r="J1391" t="inlineStr">
        <is>
          <t>NAUTICA_CLASSICS_117003975P_BLU_2.jpg</t>
        </is>
      </c>
      <c r="K1391" t="inlineStr">
        <is>
          <t>NAUTICA_CLASSICS_117003975P_BLU_3.jpg</t>
        </is>
      </c>
      <c r="L1391">
        <f>IMAGE("file:///E:/Estudios%20y%20certificaciones/ESTUDIOS%20DE%20PROGRAMMING/PROGRAMMING/PERSONAL/PYTHON/Image_Generator_API/imagenes/NAUTICA_CLASSICS_117003975P_BLU_1.jpg")</f>
        <v/>
      </c>
      <c r="M1391">
        <f>IMAGE("file:///E:/Estudios%20y%20certificaciones/ESTUDIOS%20DE%20PROGRAMMING/PROGRAMMING/PERSONAL/PYTHON/Image_Generator_API/imagenes/NAUTICA_CLASSICS_117003975P_BLU_2.jpg")</f>
        <v/>
      </c>
      <c r="N1391">
        <f>IMAGE("file:///E:/Estudios%20y%20certificaciones/ESTUDIOS%20DE%20PROGRAMMING/PROGRAMMING/PERSONAL/PYTHON/Image_Generator_API/imagenes/NAUTICA_CLASSICS_117003975P_BLU_3.jpg")</f>
        <v/>
      </c>
      <c r="O1391">
        <f>HYPERLINK("imagenes/NAUTICA_CLASSICS_117003975P_BLU_1.jpg","Ver imagen")</f>
        <v/>
      </c>
      <c r="P1391">
        <f>HYPERLINK("imagenes/NAUTICA_CLASSICS_117003975P_BLU_2.jpg","Ver imagen")</f>
        <v/>
      </c>
      <c r="Q1391">
        <f>HYPERLINK("imagenes/NAUTICA_CLASSICS_117003975P_BLU_3.jpg","Ver imagen")</f>
        <v/>
      </c>
    </row>
    <row r="1392">
      <c r="A1392" t="inlineStr">
        <is>
          <t>NAUTICA CLASSICS</t>
        </is>
      </c>
      <c r="B1392" t="inlineStr">
        <is>
          <t>117003975P</t>
        </is>
      </c>
      <c r="C1392" t="inlineStr">
        <is>
          <t>STRETCH PUFFER PLUS</t>
        </is>
      </c>
      <c r="D1392" t="inlineStr">
        <is>
          <t>BLU</t>
        </is>
      </c>
      <c r="E1392" t="inlineStr">
        <is>
          <t>(en blanco)</t>
        </is>
      </c>
      <c r="F1392" t="inlineStr">
        <is>
          <t>(en blanco)</t>
        </is>
      </c>
      <c r="G1392" t="inlineStr">
        <is>
          <t>3X</t>
        </is>
      </c>
      <c r="H1392" t="n">
        <v>1</v>
      </c>
      <c r="I1392" t="inlineStr">
        <is>
          <t>NAUTICA_CLASSICS_117003975P_BLU_1.jpg</t>
        </is>
      </c>
      <c r="J1392" t="inlineStr">
        <is>
          <t>NAUTICA_CLASSICS_117003975P_BLU_2.jpg</t>
        </is>
      </c>
      <c r="K1392" t="inlineStr">
        <is>
          <t>NAUTICA_CLASSICS_117003975P_BLU_3.jpg</t>
        </is>
      </c>
      <c r="L1392">
        <f>IMAGE("file:///E:/Estudios%20y%20certificaciones/ESTUDIOS%20DE%20PROGRAMMING/PROGRAMMING/PERSONAL/PYTHON/Image_Generator_API/imagenes/NAUTICA_CLASSICS_117003975P_BLU_1.jpg")</f>
        <v/>
      </c>
      <c r="M1392">
        <f>IMAGE("file:///E:/Estudios%20y%20certificaciones/ESTUDIOS%20DE%20PROGRAMMING/PROGRAMMING/PERSONAL/PYTHON/Image_Generator_API/imagenes/NAUTICA_CLASSICS_117003975P_BLU_2.jpg")</f>
        <v/>
      </c>
      <c r="N1392">
        <f>IMAGE("file:///E:/Estudios%20y%20certificaciones/ESTUDIOS%20DE%20PROGRAMMING/PROGRAMMING/PERSONAL/PYTHON/Image_Generator_API/imagenes/NAUTICA_CLASSICS_117003975P_BLU_3.jpg")</f>
        <v/>
      </c>
      <c r="O1392">
        <f>HYPERLINK("imagenes/NAUTICA_CLASSICS_117003975P_BLU_1.jpg","Ver imagen")</f>
        <v/>
      </c>
      <c r="P1392">
        <f>HYPERLINK("imagenes/NAUTICA_CLASSICS_117003975P_BLU_2.jpg","Ver imagen")</f>
        <v/>
      </c>
      <c r="Q1392">
        <f>HYPERLINK("imagenes/NAUTICA_CLASSICS_117003975P_BLU_3.jpg","Ver imagen")</f>
        <v/>
      </c>
    </row>
    <row r="1393">
      <c r="A1393" t="inlineStr">
        <is>
          <t>NAUTICA CLASSICS</t>
        </is>
      </c>
      <c r="B1393" t="inlineStr">
        <is>
          <t>117003975P</t>
        </is>
      </c>
      <c r="C1393" t="inlineStr">
        <is>
          <t>STRETCH PUFFER PLUS</t>
        </is>
      </c>
      <c r="D1393" t="inlineStr">
        <is>
          <t>CTI</t>
        </is>
      </c>
      <c r="E1393" t="inlineStr">
        <is>
          <t>(en blanco)</t>
        </is>
      </c>
      <c r="F1393" t="inlineStr">
        <is>
          <t>(en blanco)</t>
        </is>
      </c>
      <c r="G1393" t="inlineStr">
        <is>
          <t>1X</t>
        </is>
      </c>
      <c r="H1393" t="n">
        <v>4</v>
      </c>
      <c r="I1393" t="inlineStr">
        <is>
          <t>NAUTICA_CLASSICS_117003975P_CTI_1.jpg</t>
        </is>
      </c>
      <c r="J1393" t="inlineStr">
        <is>
          <t>NAUTICA_CLASSICS_117003975P_CTI_2.jpg</t>
        </is>
      </c>
      <c r="K1393" t="inlineStr">
        <is>
          <t>NAUTICA_CLASSICS_117003975P_CTI_3.jpg</t>
        </is>
      </c>
      <c r="L1393">
        <f>IMAGE("file:///E:/Estudios%20y%20certificaciones/ESTUDIOS%20DE%20PROGRAMMING/PROGRAMMING/PERSONAL/PYTHON/Image_Generator_API/imagenes/NAUTICA_CLASSICS_117003975P_CTI_1.jpg")</f>
        <v/>
      </c>
      <c r="M1393">
        <f>IMAGE("file:///E:/Estudios%20y%20certificaciones/ESTUDIOS%20DE%20PROGRAMMING/PROGRAMMING/PERSONAL/PYTHON/Image_Generator_API/imagenes/NAUTICA_CLASSICS_117003975P_CTI_2.jpg")</f>
        <v/>
      </c>
      <c r="N1393">
        <f>IMAGE("file:///E:/Estudios%20y%20certificaciones/ESTUDIOS%20DE%20PROGRAMMING/PROGRAMMING/PERSONAL/PYTHON/Image_Generator_API/imagenes/NAUTICA_CLASSICS_117003975P_CTI_3.jpg")</f>
        <v/>
      </c>
      <c r="O1393">
        <f>HYPERLINK("imagenes/NAUTICA_CLASSICS_117003975P_CTI_1.jpg","Ver imagen")</f>
        <v/>
      </c>
      <c r="P1393">
        <f>HYPERLINK("imagenes/NAUTICA_CLASSICS_117003975P_CTI_2.jpg","Ver imagen")</f>
        <v/>
      </c>
      <c r="Q1393">
        <f>HYPERLINK("imagenes/NAUTICA_CLASSICS_117003975P_CTI_3.jpg","Ver imagen")</f>
        <v/>
      </c>
    </row>
    <row r="1394">
      <c r="A1394" t="inlineStr">
        <is>
          <t>NAUTICA CLASSICS</t>
        </is>
      </c>
      <c r="B1394" t="inlineStr">
        <is>
          <t>117003975P</t>
        </is>
      </c>
      <c r="C1394" t="inlineStr">
        <is>
          <t>STRETCH PUFFER PLUS</t>
        </is>
      </c>
      <c r="D1394" t="inlineStr">
        <is>
          <t>CTI</t>
        </is>
      </c>
      <c r="E1394" t="inlineStr">
        <is>
          <t>(en blanco)</t>
        </is>
      </c>
      <c r="F1394" t="inlineStr">
        <is>
          <t>(en blanco)</t>
        </is>
      </c>
      <c r="G1394" t="inlineStr">
        <is>
          <t>2X</t>
        </is>
      </c>
      <c r="H1394" t="n">
        <v>3</v>
      </c>
      <c r="I1394" t="inlineStr">
        <is>
          <t>NAUTICA_CLASSICS_117003975P_CTI_1.jpg</t>
        </is>
      </c>
      <c r="J1394" t="inlineStr">
        <is>
          <t>NAUTICA_CLASSICS_117003975P_CTI_2.jpg</t>
        </is>
      </c>
      <c r="K1394" t="inlineStr">
        <is>
          <t>NAUTICA_CLASSICS_117003975P_CTI_3.jpg</t>
        </is>
      </c>
      <c r="L1394">
        <f>IMAGE("file:///E:/Estudios%20y%20certificaciones/ESTUDIOS%20DE%20PROGRAMMING/PROGRAMMING/PERSONAL/PYTHON/Image_Generator_API/imagenes/NAUTICA_CLASSICS_117003975P_CTI_1.jpg")</f>
        <v/>
      </c>
      <c r="M1394">
        <f>IMAGE("file:///E:/Estudios%20y%20certificaciones/ESTUDIOS%20DE%20PROGRAMMING/PROGRAMMING/PERSONAL/PYTHON/Image_Generator_API/imagenes/NAUTICA_CLASSICS_117003975P_CTI_2.jpg")</f>
        <v/>
      </c>
      <c r="N1394">
        <f>IMAGE("file:///E:/Estudios%20y%20certificaciones/ESTUDIOS%20DE%20PROGRAMMING/PROGRAMMING/PERSONAL/PYTHON/Image_Generator_API/imagenes/NAUTICA_CLASSICS_117003975P_CTI_3.jpg")</f>
        <v/>
      </c>
      <c r="O1394">
        <f>HYPERLINK("imagenes/NAUTICA_CLASSICS_117003975P_CTI_1.jpg","Ver imagen")</f>
        <v/>
      </c>
      <c r="P1394">
        <f>HYPERLINK("imagenes/NAUTICA_CLASSICS_117003975P_CTI_2.jpg","Ver imagen")</f>
        <v/>
      </c>
      <c r="Q1394">
        <f>HYPERLINK("imagenes/NAUTICA_CLASSICS_117003975P_CTI_3.jpg","Ver imagen")</f>
        <v/>
      </c>
    </row>
    <row r="1395">
      <c r="A1395" t="inlineStr">
        <is>
          <t>NAUTICA CLASSICS</t>
        </is>
      </c>
      <c r="B1395" t="inlineStr">
        <is>
          <t>117003975P</t>
        </is>
      </c>
      <c r="C1395" t="inlineStr">
        <is>
          <t>STRETCH PUFFER PLUS</t>
        </is>
      </c>
      <c r="D1395" t="inlineStr">
        <is>
          <t>CTI</t>
        </is>
      </c>
      <c r="E1395" t="inlineStr">
        <is>
          <t>(en blanco)</t>
        </is>
      </c>
      <c r="F1395" t="inlineStr">
        <is>
          <t>(en blanco)</t>
        </is>
      </c>
      <c r="G1395" t="inlineStr">
        <is>
          <t>3X</t>
        </is>
      </c>
      <c r="H1395" t="n">
        <v>6</v>
      </c>
      <c r="I1395" t="inlineStr">
        <is>
          <t>NAUTICA_CLASSICS_117003975P_CTI_1.jpg</t>
        </is>
      </c>
      <c r="J1395" t="inlineStr">
        <is>
          <t>NAUTICA_CLASSICS_117003975P_CTI_2.jpg</t>
        </is>
      </c>
      <c r="K1395" t="inlineStr">
        <is>
          <t>NAUTICA_CLASSICS_117003975P_CTI_3.jpg</t>
        </is>
      </c>
      <c r="L1395">
        <f>IMAGE("file:///E:/Estudios%20y%20certificaciones/ESTUDIOS%20DE%20PROGRAMMING/PROGRAMMING/PERSONAL/PYTHON/Image_Generator_API/imagenes/NAUTICA_CLASSICS_117003975P_CTI_1.jpg")</f>
        <v/>
      </c>
      <c r="M1395">
        <f>IMAGE("file:///E:/Estudios%20y%20certificaciones/ESTUDIOS%20DE%20PROGRAMMING/PROGRAMMING/PERSONAL/PYTHON/Image_Generator_API/imagenes/NAUTICA_CLASSICS_117003975P_CTI_2.jpg")</f>
        <v/>
      </c>
      <c r="N1395">
        <f>IMAGE("file:///E:/Estudios%20y%20certificaciones/ESTUDIOS%20DE%20PROGRAMMING/PROGRAMMING/PERSONAL/PYTHON/Image_Generator_API/imagenes/NAUTICA_CLASSICS_117003975P_CTI_3.jpg")</f>
        <v/>
      </c>
      <c r="O1395">
        <f>HYPERLINK("imagenes/NAUTICA_CLASSICS_117003975P_CTI_1.jpg","Ver imagen")</f>
        <v/>
      </c>
      <c r="P1395">
        <f>HYPERLINK("imagenes/NAUTICA_CLASSICS_117003975P_CTI_2.jpg","Ver imagen")</f>
        <v/>
      </c>
      <c r="Q1395">
        <f>HYPERLINK("imagenes/NAUTICA_CLASSICS_117003975P_CTI_3.jpg","Ver imagen")</f>
        <v/>
      </c>
    </row>
    <row r="1396">
      <c r="A1396" t="inlineStr">
        <is>
          <t>NAUTICA CLASSICS</t>
        </is>
      </c>
      <c r="B1396" t="inlineStr">
        <is>
          <t>117003977</t>
        </is>
      </c>
      <c r="C1396" t="inlineStr">
        <is>
          <t>LT WEIGH PUFFER</t>
        </is>
      </c>
      <c r="D1396" t="inlineStr">
        <is>
          <t>BLK</t>
        </is>
      </c>
      <c r="E1396" t="inlineStr">
        <is>
          <t>08A05</t>
        </is>
      </c>
      <c r="F1396" t="inlineStr">
        <is>
          <t>(en blanco)</t>
        </is>
      </c>
      <c r="G1396" t="inlineStr">
        <is>
          <t>PPK</t>
        </is>
      </c>
      <c r="H1396" t="n">
        <v>3712</v>
      </c>
      <c r="I1396" t="inlineStr">
        <is>
          <t>NAUTICA_CLASSICS_117003977_BLK_1.jpg</t>
        </is>
      </c>
      <c r="J1396" t="inlineStr">
        <is>
          <t>NAUTICA_CLASSICS_117003977_BLK_2.jpg</t>
        </is>
      </c>
      <c r="K1396" t="inlineStr">
        <is>
          <t>NAUTICA_CLASSICS_117003977_BLK_3.jpg</t>
        </is>
      </c>
      <c r="L1396">
        <f>IMAGE("file:///E:/Estudios%20y%20certificaciones/ESTUDIOS%20DE%20PROGRAMMING/PROGRAMMING/PERSONAL/PYTHON/Image_Generator_API/imagenes/NAUTICA_CLASSICS_117003977_BLK_1.jpg")</f>
        <v/>
      </c>
      <c r="M1396">
        <f>IMAGE("file:///E:/Estudios%20y%20certificaciones/ESTUDIOS%20DE%20PROGRAMMING/PROGRAMMING/PERSONAL/PYTHON/Image_Generator_API/imagenes/NAUTICA_CLASSICS_117003977_BLK_2.jpg")</f>
        <v/>
      </c>
      <c r="N1396">
        <f>IMAGE("file:///E:/Estudios%20y%20certificaciones/ESTUDIOS%20DE%20PROGRAMMING/PROGRAMMING/PERSONAL/PYTHON/Image_Generator_API/imagenes/NAUTICA_CLASSICS_117003977_BLK_3.jpg")</f>
        <v/>
      </c>
      <c r="O1396">
        <f>HYPERLINK("imagenes/NAUTICA_CLASSICS_117003977_BLK_1.jpg","Ver imagen")</f>
        <v/>
      </c>
      <c r="P1396">
        <f>HYPERLINK("imagenes/NAUTICA_CLASSICS_117003977_BLK_2.jpg","Ver imagen")</f>
        <v/>
      </c>
      <c r="Q1396">
        <f>HYPERLINK("imagenes/NAUTICA_CLASSICS_117003977_BLK_3.jpg","Ver imagen")</f>
        <v/>
      </c>
    </row>
    <row r="1397">
      <c r="A1397" t="inlineStr">
        <is>
          <t>NAUTICA CLASSICS</t>
        </is>
      </c>
      <c r="B1397" t="inlineStr">
        <is>
          <t>117003977</t>
        </is>
      </c>
      <c r="C1397" t="inlineStr">
        <is>
          <t>LT WEIGH PUFFER</t>
        </is>
      </c>
      <c r="D1397" t="inlineStr">
        <is>
          <t>BLK</t>
        </is>
      </c>
      <c r="E1397" t="inlineStr">
        <is>
          <t>(en blanco)</t>
        </is>
      </c>
      <c r="F1397" t="inlineStr">
        <is>
          <t>D2C</t>
        </is>
      </c>
      <c r="G1397" t="inlineStr">
        <is>
          <t>XS</t>
        </is>
      </c>
      <c r="H1397" t="n">
        <v>20</v>
      </c>
      <c r="I1397" t="inlineStr">
        <is>
          <t>NAUTICA_CLASSICS_117003977_BLK_1.jpg</t>
        </is>
      </c>
      <c r="J1397" t="inlineStr">
        <is>
          <t>NAUTICA_CLASSICS_117003977_BLK_2.jpg</t>
        </is>
      </c>
      <c r="K1397" t="inlineStr">
        <is>
          <t>NAUTICA_CLASSICS_117003977_BLK_3.jpg</t>
        </is>
      </c>
      <c r="L1397">
        <f>IMAGE("file:///E:/Estudios%20y%20certificaciones/ESTUDIOS%20DE%20PROGRAMMING/PROGRAMMING/PERSONAL/PYTHON/Image_Generator_API/imagenes/NAUTICA_CLASSICS_117003977_BLK_1.jpg")</f>
        <v/>
      </c>
      <c r="M1397">
        <f>IMAGE("file:///E:/Estudios%20y%20certificaciones/ESTUDIOS%20DE%20PROGRAMMING/PROGRAMMING/PERSONAL/PYTHON/Image_Generator_API/imagenes/NAUTICA_CLASSICS_117003977_BLK_2.jpg")</f>
        <v/>
      </c>
      <c r="N1397">
        <f>IMAGE("file:///E:/Estudios%20y%20certificaciones/ESTUDIOS%20DE%20PROGRAMMING/PROGRAMMING/PERSONAL/PYTHON/Image_Generator_API/imagenes/NAUTICA_CLASSICS_117003977_BLK_3.jpg")</f>
        <v/>
      </c>
      <c r="O1397">
        <f>HYPERLINK("imagenes/NAUTICA_CLASSICS_117003977_BLK_1.jpg","Ver imagen")</f>
        <v/>
      </c>
      <c r="P1397">
        <f>HYPERLINK("imagenes/NAUTICA_CLASSICS_117003977_BLK_2.jpg","Ver imagen")</f>
        <v/>
      </c>
      <c r="Q1397">
        <f>HYPERLINK("imagenes/NAUTICA_CLASSICS_117003977_BLK_3.jpg","Ver imagen")</f>
        <v/>
      </c>
    </row>
    <row r="1398">
      <c r="A1398" t="inlineStr">
        <is>
          <t>NAUTICA CLASSICS</t>
        </is>
      </c>
      <c r="B1398" t="inlineStr">
        <is>
          <t>117003977</t>
        </is>
      </c>
      <c r="C1398" t="inlineStr">
        <is>
          <t>LT WEIGH PUFFER</t>
        </is>
      </c>
      <c r="D1398" t="inlineStr">
        <is>
          <t>BLK</t>
        </is>
      </c>
      <c r="E1398" t="inlineStr">
        <is>
          <t>(en blanco)</t>
        </is>
      </c>
      <c r="F1398" t="inlineStr">
        <is>
          <t>D2C</t>
        </is>
      </c>
      <c r="G1398" t="inlineStr">
        <is>
          <t>S</t>
        </is>
      </c>
      <c r="H1398" t="n">
        <v>40</v>
      </c>
      <c r="I1398" t="inlineStr">
        <is>
          <t>NAUTICA_CLASSICS_117003977_BLK_1.jpg</t>
        </is>
      </c>
      <c r="J1398" t="inlineStr">
        <is>
          <t>NAUTICA_CLASSICS_117003977_BLK_2.jpg</t>
        </is>
      </c>
      <c r="K1398" t="inlineStr">
        <is>
          <t>NAUTICA_CLASSICS_117003977_BLK_3.jpg</t>
        </is>
      </c>
      <c r="L1398">
        <f>IMAGE("file:///E:/Estudios%20y%20certificaciones/ESTUDIOS%20DE%20PROGRAMMING/PROGRAMMING/PERSONAL/PYTHON/Image_Generator_API/imagenes/NAUTICA_CLASSICS_117003977_BLK_1.jpg")</f>
        <v/>
      </c>
      <c r="M1398">
        <f>IMAGE("file:///E:/Estudios%20y%20certificaciones/ESTUDIOS%20DE%20PROGRAMMING/PROGRAMMING/PERSONAL/PYTHON/Image_Generator_API/imagenes/NAUTICA_CLASSICS_117003977_BLK_2.jpg")</f>
        <v/>
      </c>
      <c r="N1398">
        <f>IMAGE("file:///E:/Estudios%20y%20certificaciones/ESTUDIOS%20DE%20PROGRAMMING/PROGRAMMING/PERSONAL/PYTHON/Image_Generator_API/imagenes/NAUTICA_CLASSICS_117003977_BLK_3.jpg")</f>
        <v/>
      </c>
      <c r="O1398">
        <f>HYPERLINK("imagenes/NAUTICA_CLASSICS_117003977_BLK_1.jpg","Ver imagen")</f>
        <v/>
      </c>
      <c r="P1398">
        <f>HYPERLINK("imagenes/NAUTICA_CLASSICS_117003977_BLK_2.jpg","Ver imagen")</f>
        <v/>
      </c>
      <c r="Q1398">
        <f>HYPERLINK("imagenes/NAUTICA_CLASSICS_117003977_BLK_3.jpg","Ver imagen")</f>
        <v/>
      </c>
    </row>
    <row r="1399">
      <c r="A1399" t="inlineStr">
        <is>
          <t>NAUTICA CLASSICS</t>
        </is>
      </c>
      <c r="B1399" t="inlineStr">
        <is>
          <t>117003977</t>
        </is>
      </c>
      <c r="C1399" t="inlineStr">
        <is>
          <t>LT WEIGH PUFFER</t>
        </is>
      </c>
      <c r="D1399" t="inlineStr">
        <is>
          <t>BLK</t>
        </is>
      </c>
      <c r="E1399" t="inlineStr">
        <is>
          <t>(en blanco)</t>
        </is>
      </c>
      <c r="F1399" t="inlineStr">
        <is>
          <t>D2C</t>
        </is>
      </c>
      <c r="G1399" t="inlineStr">
        <is>
          <t>M</t>
        </is>
      </c>
      <c r="H1399" t="n">
        <v>39</v>
      </c>
      <c r="I1399" t="inlineStr">
        <is>
          <t>NAUTICA_CLASSICS_117003977_BLK_1.jpg</t>
        </is>
      </c>
      <c r="J1399" t="inlineStr">
        <is>
          <t>NAUTICA_CLASSICS_117003977_BLK_2.jpg</t>
        </is>
      </c>
      <c r="K1399" t="inlineStr">
        <is>
          <t>NAUTICA_CLASSICS_117003977_BLK_3.jpg</t>
        </is>
      </c>
      <c r="L1399">
        <f>IMAGE("file:///E:/Estudios%20y%20certificaciones/ESTUDIOS%20DE%20PROGRAMMING/PROGRAMMING/PERSONAL/PYTHON/Image_Generator_API/imagenes/NAUTICA_CLASSICS_117003977_BLK_1.jpg")</f>
        <v/>
      </c>
      <c r="M1399">
        <f>IMAGE("file:///E:/Estudios%20y%20certificaciones/ESTUDIOS%20DE%20PROGRAMMING/PROGRAMMING/PERSONAL/PYTHON/Image_Generator_API/imagenes/NAUTICA_CLASSICS_117003977_BLK_2.jpg")</f>
        <v/>
      </c>
      <c r="N1399">
        <f>IMAGE("file:///E:/Estudios%20y%20certificaciones/ESTUDIOS%20DE%20PROGRAMMING/PROGRAMMING/PERSONAL/PYTHON/Image_Generator_API/imagenes/NAUTICA_CLASSICS_117003977_BLK_3.jpg")</f>
        <v/>
      </c>
      <c r="O1399">
        <f>HYPERLINK("imagenes/NAUTICA_CLASSICS_117003977_BLK_1.jpg","Ver imagen")</f>
        <v/>
      </c>
      <c r="P1399">
        <f>HYPERLINK("imagenes/NAUTICA_CLASSICS_117003977_BLK_2.jpg","Ver imagen")</f>
        <v/>
      </c>
      <c r="Q1399">
        <f>HYPERLINK("imagenes/NAUTICA_CLASSICS_117003977_BLK_3.jpg","Ver imagen")</f>
        <v/>
      </c>
    </row>
    <row r="1400">
      <c r="A1400" t="inlineStr">
        <is>
          <t>NAUTICA CLASSICS</t>
        </is>
      </c>
      <c r="B1400" t="inlineStr">
        <is>
          <t>117003977</t>
        </is>
      </c>
      <c r="C1400" t="inlineStr">
        <is>
          <t>LT WEIGH PUFFER</t>
        </is>
      </c>
      <c r="D1400" t="inlineStr">
        <is>
          <t>BLK</t>
        </is>
      </c>
      <c r="E1400" t="inlineStr">
        <is>
          <t>(en blanco)</t>
        </is>
      </c>
      <c r="F1400" t="inlineStr">
        <is>
          <t>D2C</t>
        </is>
      </c>
      <c r="G1400" t="inlineStr">
        <is>
          <t>L</t>
        </is>
      </c>
      <c r="H1400" t="n">
        <v>40</v>
      </c>
      <c r="I1400" t="inlineStr">
        <is>
          <t>NAUTICA_CLASSICS_117003977_BLK_1.jpg</t>
        </is>
      </c>
      <c r="J1400" t="inlineStr">
        <is>
          <t>NAUTICA_CLASSICS_117003977_BLK_2.jpg</t>
        </is>
      </c>
      <c r="K1400" t="inlineStr">
        <is>
          <t>NAUTICA_CLASSICS_117003977_BLK_3.jpg</t>
        </is>
      </c>
      <c r="L1400">
        <f>IMAGE("file:///E:/Estudios%20y%20certificaciones/ESTUDIOS%20DE%20PROGRAMMING/PROGRAMMING/PERSONAL/PYTHON/Image_Generator_API/imagenes/NAUTICA_CLASSICS_117003977_BLK_1.jpg")</f>
        <v/>
      </c>
      <c r="M1400">
        <f>IMAGE("file:///E:/Estudios%20y%20certificaciones/ESTUDIOS%20DE%20PROGRAMMING/PROGRAMMING/PERSONAL/PYTHON/Image_Generator_API/imagenes/NAUTICA_CLASSICS_117003977_BLK_2.jpg")</f>
        <v/>
      </c>
      <c r="N1400">
        <f>IMAGE("file:///E:/Estudios%20y%20certificaciones/ESTUDIOS%20DE%20PROGRAMMING/PROGRAMMING/PERSONAL/PYTHON/Image_Generator_API/imagenes/NAUTICA_CLASSICS_117003977_BLK_3.jpg")</f>
        <v/>
      </c>
      <c r="O1400">
        <f>HYPERLINK("imagenes/NAUTICA_CLASSICS_117003977_BLK_1.jpg","Ver imagen")</f>
        <v/>
      </c>
      <c r="P1400">
        <f>HYPERLINK("imagenes/NAUTICA_CLASSICS_117003977_BLK_2.jpg","Ver imagen")</f>
        <v/>
      </c>
      <c r="Q1400">
        <f>HYPERLINK("imagenes/NAUTICA_CLASSICS_117003977_BLK_3.jpg","Ver imagen")</f>
        <v/>
      </c>
    </row>
    <row r="1401">
      <c r="A1401" t="inlineStr">
        <is>
          <t>NAUTICA CLASSICS</t>
        </is>
      </c>
      <c r="B1401" t="inlineStr">
        <is>
          <t>117003977</t>
        </is>
      </c>
      <c r="C1401" t="inlineStr">
        <is>
          <t>LT WEIGH PUFFER</t>
        </is>
      </c>
      <c r="D1401" t="inlineStr">
        <is>
          <t>BLK</t>
        </is>
      </c>
      <c r="E1401" t="inlineStr">
        <is>
          <t>(en blanco)</t>
        </is>
      </c>
      <c r="F1401" t="inlineStr">
        <is>
          <t>D2C</t>
        </is>
      </c>
      <c r="G1401" t="inlineStr">
        <is>
          <t>XL</t>
        </is>
      </c>
      <c r="H1401" t="n">
        <v>20</v>
      </c>
      <c r="I1401" t="inlineStr">
        <is>
          <t>NAUTICA_CLASSICS_117003977_BLK_1.jpg</t>
        </is>
      </c>
      <c r="J1401" t="inlineStr">
        <is>
          <t>NAUTICA_CLASSICS_117003977_BLK_2.jpg</t>
        </is>
      </c>
      <c r="K1401" t="inlineStr">
        <is>
          <t>NAUTICA_CLASSICS_117003977_BLK_3.jpg</t>
        </is>
      </c>
      <c r="L1401">
        <f>IMAGE("file:///E:/Estudios%20y%20certificaciones/ESTUDIOS%20DE%20PROGRAMMING/PROGRAMMING/PERSONAL/PYTHON/Image_Generator_API/imagenes/NAUTICA_CLASSICS_117003977_BLK_1.jpg")</f>
        <v/>
      </c>
      <c r="M1401">
        <f>IMAGE("file:///E:/Estudios%20y%20certificaciones/ESTUDIOS%20DE%20PROGRAMMING/PROGRAMMING/PERSONAL/PYTHON/Image_Generator_API/imagenes/NAUTICA_CLASSICS_117003977_BLK_2.jpg")</f>
        <v/>
      </c>
      <c r="N1401">
        <f>IMAGE("file:///E:/Estudios%20y%20certificaciones/ESTUDIOS%20DE%20PROGRAMMING/PROGRAMMING/PERSONAL/PYTHON/Image_Generator_API/imagenes/NAUTICA_CLASSICS_117003977_BLK_3.jpg")</f>
        <v/>
      </c>
      <c r="O1401">
        <f>HYPERLINK("imagenes/NAUTICA_CLASSICS_117003977_BLK_1.jpg","Ver imagen")</f>
        <v/>
      </c>
      <c r="P1401">
        <f>HYPERLINK("imagenes/NAUTICA_CLASSICS_117003977_BLK_2.jpg","Ver imagen")</f>
        <v/>
      </c>
      <c r="Q1401">
        <f>HYPERLINK("imagenes/NAUTICA_CLASSICS_117003977_BLK_3.jpg","Ver imagen")</f>
        <v/>
      </c>
    </row>
    <row r="1402">
      <c r="A1402" t="inlineStr">
        <is>
          <t>NAUTICA CLASSICS</t>
        </is>
      </c>
      <c r="B1402" t="inlineStr">
        <is>
          <t>117003977</t>
        </is>
      </c>
      <c r="C1402" t="inlineStr">
        <is>
          <t>LT WEIGH PUFFER</t>
        </is>
      </c>
      <c r="D1402" t="inlineStr">
        <is>
          <t>BLK</t>
        </is>
      </c>
      <c r="E1402" t="inlineStr">
        <is>
          <t>(en blanco)</t>
        </is>
      </c>
      <c r="F1402" t="inlineStr">
        <is>
          <t>(en blanco)</t>
        </is>
      </c>
      <c r="G1402" t="inlineStr">
        <is>
          <t>XS</t>
        </is>
      </c>
      <c r="H1402" t="n">
        <v>16</v>
      </c>
      <c r="I1402" t="inlineStr">
        <is>
          <t>NAUTICA_CLASSICS_117003977_BLK_1.jpg</t>
        </is>
      </c>
      <c r="J1402" t="inlineStr">
        <is>
          <t>NAUTICA_CLASSICS_117003977_BLK_2.jpg</t>
        </is>
      </c>
      <c r="K1402" t="inlineStr">
        <is>
          <t>NAUTICA_CLASSICS_117003977_BLK_3.jpg</t>
        </is>
      </c>
      <c r="L1402">
        <f>IMAGE("file:///E:/Estudios%20y%20certificaciones/ESTUDIOS%20DE%20PROGRAMMING/PROGRAMMING/PERSONAL/PYTHON/Image_Generator_API/imagenes/NAUTICA_CLASSICS_117003977_BLK_1.jpg")</f>
        <v/>
      </c>
      <c r="M1402">
        <f>IMAGE("file:///E:/Estudios%20y%20certificaciones/ESTUDIOS%20DE%20PROGRAMMING/PROGRAMMING/PERSONAL/PYTHON/Image_Generator_API/imagenes/NAUTICA_CLASSICS_117003977_BLK_2.jpg")</f>
        <v/>
      </c>
      <c r="N1402">
        <f>IMAGE("file:///E:/Estudios%20y%20certificaciones/ESTUDIOS%20DE%20PROGRAMMING/PROGRAMMING/PERSONAL/PYTHON/Image_Generator_API/imagenes/NAUTICA_CLASSICS_117003977_BLK_3.jpg")</f>
        <v/>
      </c>
      <c r="O1402">
        <f>HYPERLINK("imagenes/NAUTICA_CLASSICS_117003977_BLK_1.jpg","Ver imagen")</f>
        <v/>
      </c>
      <c r="P1402">
        <f>HYPERLINK("imagenes/NAUTICA_CLASSICS_117003977_BLK_2.jpg","Ver imagen")</f>
        <v/>
      </c>
      <c r="Q1402">
        <f>HYPERLINK("imagenes/NAUTICA_CLASSICS_117003977_BLK_3.jpg","Ver imagen")</f>
        <v/>
      </c>
    </row>
    <row r="1403">
      <c r="A1403" t="inlineStr">
        <is>
          <t>NAUTICA CLASSICS</t>
        </is>
      </c>
      <c r="B1403" t="inlineStr">
        <is>
          <t>117003977</t>
        </is>
      </c>
      <c r="C1403" t="inlineStr">
        <is>
          <t>LT WEIGH PUFFER</t>
        </is>
      </c>
      <c r="D1403" t="inlineStr">
        <is>
          <t>BLK</t>
        </is>
      </c>
      <c r="E1403" t="inlineStr">
        <is>
          <t>(en blanco)</t>
        </is>
      </c>
      <c r="F1403" t="inlineStr">
        <is>
          <t>(en blanco)</t>
        </is>
      </c>
      <c r="G1403" t="inlineStr">
        <is>
          <t>S</t>
        </is>
      </c>
      <c r="H1403" t="n">
        <v>23</v>
      </c>
      <c r="I1403" t="inlineStr">
        <is>
          <t>NAUTICA_CLASSICS_117003977_BLK_1.jpg</t>
        </is>
      </c>
      <c r="J1403" t="inlineStr">
        <is>
          <t>NAUTICA_CLASSICS_117003977_BLK_2.jpg</t>
        </is>
      </c>
      <c r="K1403" t="inlineStr">
        <is>
          <t>NAUTICA_CLASSICS_117003977_BLK_3.jpg</t>
        </is>
      </c>
      <c r="L1403">
        <f>IMAGE("file:///E:/Estudios%20y%20certificaciones/ESTUDIOS%20DE%20PROGRAMMING/PROGRAMMING/PERSONAL/PYTHON/Image_Generator_API/imagenes/NAUTICA_CLASSICS_117003977_BLK_1.jpg")</f>
        <v/>
      </c>
      <c r="M1403">
        <f>IMAGE("file:///E:/Estudios%20y%20certificaciones/ESTUDIOS%20DE%20PROGRAMMING/PROGRAMMING/PERSONAL/PYTHON/Image_Generator_API/imagenes/NAUTICA_CLASSICS_117003977_BLK_2.jpg")</f>
        <v/>
      </c>
      <c r="N1403">
        <f>IMAGE("file:///E:/Estudios%20y%20certificaciones/ESTUDIOS%20DE%20PROGRAMMING/PROGRAMMING/PERSONAL/PYTHON/Image_Generator_API/imagenes/NAUTICA_CLASSICS_117003977_BLK_3.jpg")</f>
        <v/>
      </c>
      <c r="O1403">
        <f>HYPERLINK("imagenes/NAUTICA_CLASSICS_117003977_BLK_1.jpg","Ver imagen")</f>
        <v/>
      </c>
      <c r="P1403">
        <f>HYPERLINK("imagenes/NAUTICA_CLASSICS_117003977_BLK_2.jpg","Ver imagen")</f>
        <v/>
      </c>
      <c r="Q1403">
        <f>HYPERLINK("imagenes/NAUTICA_CLASSICS_117003977_BLK_3.jpg","Ver imagen")</f>
        <v/>
      </c>
    </row>
    <row r="1404">
      <c r="A1404" t="inlineStr">
        <is>
          <t>NAUTICA CLASSICS</t>
        </is>
      </c>
      <c r="B1404" t="inlineStr">
        <is>
          <t>117003977</t>
        </is>
      </c>
      <c r="C1404" t="inlineStr">
        <is>
          <t>LT WEIGH PUFFER</t>
        </is>
      </c>
      <c r="D1404" t="inlineStr">
        <is>
          <t>BLK</t>
        </is>
      </c>
      <c r="E1404" t="inlineStr">
        <is>
          <t>(en blanco)</t>
        </is>
      </c>
      <c r="F1404" t="inlineStr">
        <is>
          <t>(en blanco)</t>
        </is>
      </c>
      <c r="G1404" t="inlineStr">
        <is>
          <t>M</t>
        </is>
      </c>
      <c r="H1404" t="n">
        <v>13</v>
      </c>
      <c r="I1404" t="inlineStr">
        <is>
          <t>NAUTICA_CLASSICS_117003977_BLK_1.jpg</t>
        </is>
      </c>
      <c r="J1404" t="inlineStr">
        <is>
          <t>NAUTICA_CLASSICS_117003977_BLK_2.jpg</t>
        </is>
      </c>
      <c r="K1404" t="inlineStr">
        <is>
          <t>NAUTICA_CLASSICS_117003977_BLK_3.jpg</t>
        </is>
      </c>
      <c r="L1404">
        <f>IMAGE("file:///E:/Estudios%20y%20certificaciones/ESTUDIOS%20DE%20PROGRAMMING/PROGRAMMING/PERSONAL/PYTHON/Image_Generator_API/imagenes/NAUTICA_CLASSICS_117003977_BLK_1.jpg")</f>
        <v/>
      </c>
      <c r="M1404">
        <f>IMAGE("file:///E:/Estudios%20y%20certificaciones/ESTUDIOS%20DE%20PROGRAMMING/PROGRAMMING/PERSONAL/PYTHON/Image_Generator_API/imagenes/NAUTICA_CLASSICS_117003977_BLK_2.jpg")</f>
        <v/>
      </c>
      <c r="N1404">
        <f>IMAGE("file:///E:/Estudios%20y%20certificaciones/ESTUDIOS%20DE%20PROGRAMMING/PROGRAMMING/PERSONAL/PYTHON/Image_Generator_API/imagenes/NAUTICA_CLASSICS_117003977_BLK_3.jpg")</f>
        <v/>
      </c>
      <c r="O1404">
        <f>HYPERLINK("imagenes/NAUTICA_CLASSICS_117003977_BLK_1.jpg","Ver imagen")</f>
        <v/>
      </c>
      <c r="P1404">
        <f>HYPERLINK("imagenes/NAUTICA_CLASSICS_117003977_BLK_2.jpg","Ver imagen")</f>
        <v/>
      </c>
      <c r="Q1404">
        <f>HYPERLINK("imagenes/NAUTICA_CLASSICS_117003977_BLK_3.jpg","Ver imagen")</f>
        <v/>
      </c>
    </row>
    <row r="1405">
      <c r="A1405" t="inlineStr">
        <is>
          <t>NAUTICA CLASSICS</t>
        </is>
      </c>
      <c r="B1405" t="inlineStr">
        <is>
          <t>117003977</t>
        </is>
      </c>
      <c r="C1405" t="inlineStr">
        <is>
          <t>LT WEIGH PUFFER</t>
        </is>
      </c>
      <c r="D1405" t="inlineStr">
        <is>
          <t>BLK</t>
        </is>
      </c>
      <c r="E1405" t="inlineStr">
        <is>
          <t>(en blanco)</t>
        </is>
      </c>
      <c r="F1405" t="inlineStr">
        <is>
          <t>(en blanco)</t>
        </is>
      </c>
      <c r="G1405" t="inlineStr">
        <is>
          <t>L</t>
        </is>
      </c>
      <c r="H1405" t="n">
        <v>23</v>
      </c>
      <c r="I1405" t="inlineStr">
        <is>
          <t>NAUTICA_CLASSICS_117003977_BLK_1.jpg</t>
        </is>
      </c>
      <c r="J1405" t="inlineStr">
        <is>
          <t>NAUTICA_CLASSICS_117003977_BLK_2.jpg</t>
        </is>
      </c>
      <c r="K1405" t="inlineStr">
        <is>
          <t>NAUTICA_CLASSICS_117003977_BLK_3.jpg</t>
        </is>
      </c>
      <c r="L1405">
        <f>IMAGE("file:///E:/Estudios%20y%20certificaciones/ESTUDIOS%20DE%20PROGRAMMING/PROGRAMMING/PERSONAL/PYTHON/Image_Generator_API/imagenes/NAUTICA_CLASSICS_117003977_BLK_1.jpg")</f>
        <v/>
      </c>
      <c r="M1405">
        <f>IMAGE("file:///E:/Estudios%20y%20certificaciones/ESTUDIOS%20DE%20PROGRAMMING/PROGRAMMING/PERSONAL/PYTHON/Image_Generator_API/imagenes/NAUTICA_CLASSICS_117003977_BLK_2.jpg")</f>
        <v/>
      </c>
      <c r="N1405">
        <f>IMAGE("file:///E:/Estudios%20y%20certificaciones/ESTUDIOS%20DE%20PROGRAMMING/PROGRAMMING/PERSONAL/PYTHON/Image_Generator_API/imagenes/NAUTICA_CLASSICS_117003977_BLK_3.jpg")</f>
        <v/>
      </c>
      <c r="O1405">
        <f>HYPERLINK("imagenes/NAUTICA_CLASSICS_117003977_BLK_1.jpg","Ver imagen")</f>
        <v/>
      </c>
      <c r="P1405">
        <f>HYPERLINK("imagenes/NAUTICA_CLASSICS_117003977_BLK_2.jpg","Ver imagen")</f>
        <v/>
      </c>
      <c r="Q1405">
        <f>HYPERLINK("imagenes/NAUTICA_CLASSICS_117003977_BLK_3.jpg","Ver imagen")</f>
        <v/>
      </c>
    </row>
    <row r="1406">
      <c r="A1406" t="inlineStr">
        <is>
          <t>NAUTICA CLASSICS</t>
        </is>
      </c>
      <c r="B1406" t="inlineStr">
        <is>
          <t>117003977</t>
        </is>
      </c>
      <c r="C1406" t="inlineStr">
        <is>
          <t>LT WEIGH PUFFER</t>
        </is>
      </c>
      <c r="D1406" t="inlineStr">
        <is>
          <t>BLK</t>
        </is>
      </c>
      <c r="E1406" t="inlineStr">
        <is>
          <t>(en blanco)</t>
        </is>
      </c>
      <c r="F1406" t="inlineStr">
        <is>
          <t>(en blanco)</t>
        </is>
      </c>
      <c r="G1406" t="inlineStr">
        <is>
          <t>XL</t>
        </is>
      </c>
      <c r="H1406" t="n">
        <v>7</v>
      </c>
      <c r="I1406" t="inlineStr">
        <is>
          <t>NAUTICA_CLASSICS_117003977_BLK_1.jpg</t>
        </is>
      </c>
      <c r="J1406" t="inlineStr">
        <is>
          <t>NAUTICA_CLASSICS_117003977_BLK_2.jpg</t>
        </is>
      </c>
      <c r="K1406" t="inlineStr">
        <is>
          <t>NAUTICA_CLASSICS_117003977_BLK_3.jpg</t>
        </is>
      </c>
      <c r="L1406">
        <f>IMAGE("file:///E:/Estudios%20y%20certificaciones/ESTUDIOS%20DE%20PROGRAMMING/PROGRAMMING/PERSONAL/PYTHON/Image_Generator_API/imagenes/NAUTICA_CLASSICS_117003977_BLK_1.jpg")</f>
        <v/>
      </c>
      <c r="M1406">
        <f>IMAGE("file:///E:/Estudios%20y%20certificaciones/ESTUDIOS%20DE%20PROGRAMMING/PROGRAMMING/PERSONAL/PYTHON/Image_Generator_API/imagenes/NAUTICA_CLASSICS_117003977_BLK_2.jpg")</f>
        <v/>
      </c>
      <c r="N1406">
        <f>IMAGE("file:///E:/Estudios%20y%20certificaciones/ESTUDIOS%20DE%20PROGRAMMING/PROGRAMMING/PERSONAL/PYTHON/Image_Generator_API/imagenes/NAUTICA_CLASSICS_117003977_BLK_3.jpg")</f>
        <v/>
      </c>
      <c r="O1406">
        <f>HYPERLINK("imagenes/NAUTICA_CLASSICS_117003977_BLK_1.jpg","Ver imagen")</f>
        <v/>
      </c>
      <c r="P1406">
        <f>HYPERLINK("imagenes/NAUTICA_CLASSICS_117003977_BLK_2.jpg","Ver imagen")</f>
        <v/>
      </c>
      <c r="Q1406">
        <f>HYPERLINK("imagenes/NAUTICA_CLASSICS_117003977_BLK_3.jpg","Ver imagen")</f>
        <v/>
      </c>
    </row>
    <row r="1407">
      <c r="A1407" t="inlineStr">
        <is>
          <t>NAUTICA CLASSICS</t>
        </is>
      </c>
      <c r="B1407" t="inlineStr">
        <is>
          <t>117003977</t>
        </is>
      </c>
      <c r="C1407" t="inlineStr">
        <is>
          <t>LT WEIGH PUFFER</t>
        </is>
      </c>
      <c r="D1407" t="inlineStr">
        <is>
          <t>BLK</t>
        </is>
      </c>
      <c r="E1407" t="inlineStr">
        <is>
          <t>(en blanco)</t>
        </is>
      </c>
      <c r="F1407" t="inlineStr">
        <is>
          <t>(en blanco)</t>
        </is>
      </c>
      <c r="G1407" t="inlineStr">
        <is>
          <t>XXL</t>
        </is>
      </c>
      <c r="H1407" t="n">
        <v>6</v>
      </c>
      <c r="I1407" t="inlineStr">
        <is>
          <t>NAUTICA_CLASSICS_117003977_BLK_1.jpg</t>
        </is>
      </c>
      <c r="J1407" t="inlineStr">
        <is>
          <t>NAUTICA_CLASSICS_117003977_BLK_2.jpg</t>
        </is>
      </c>
      <c r="K1407" t="inlineStr">
        <is>
          <t>NAUTICA_CLASSICS_117003977_BLK_3.jpg</t>
        </is>
      </c>
      <c r="L1407">
        <f>IMAGE("file:///E:/Estudios%20y%20certificaciones/ESTUDIOS%20DE%20PROGRAMMING/PROGRAMMING/PERSONAL/PYTHON/Image_Generator_API/imagenes/NAUTICA_CLASSICS_117003977_BLK_1.jpg")</f>
        <v/>
      </c>
      <c r="M1407">
        <f>IMAGE("file:///E:/Estudios%20y%20certificaciones/ESTUDIOS%20DE%20PROGRAMMING/PROGRAMMING/PERSONAL/PYTHON/Image_Generator_API/imagenes/NAUTICA_CLASSICS_117003977_BLK_2.jpg")</f>
        <v/>
      </c>
      <c r="N1407">
        <f>IMAGE("file:///E:/Estudios%20y%20certificaciones/ESTUDIOS%20DE%20PROGRAMMING/PROGRAMMING/PERSONAL/PYTHON/Image_Generator_API/imagenes/NAUTICA_CLASSICS_117003977_BLK_3.jpg")</f>
        <v/>
      </c>
      <c r="O1407">
        <f>HYPERLINK("imagenes/NAUTICA_CLASSICS_117003977_BLK_1.jpg","Ver imagen")</f>
        <v/>
      </c>
      <c r="P1407">
        <f>HYPERLINK("imagenes/NAUTICA_CLASSICS_117003977_BLK_2.jpg","Ver imagen")</f>
        <v/>
      </c>
      <c r="Q1407">
        <f>HYPERLINK("imagenes/NAUTICA_CLASSICS_117003977_BLK_3.jpg","Ver imagen")</f>
        <v/>
      </c>
    </row>
    <row r="1408">
      <c r="A1408" t="inlineStr">
        <is>
          <t>NAUTICA CLASSICS</t>
        </is>
      </c>
      <c r="B1408" t="inlineStr">
        <is>
          <t>117003977</t>
        </is>
      </c>
      <c r="C1408" t="inlineStr">
        <is>
          <t>LT WEIGH PUFFER</t>
        </is>
      </c>
      <c r="D1408" t="inlineStr">
        <is>
          <t>BLK</t>
        </is>
      </c>
      <c r="E1408" t="inlineStr">
        <is>
          <t>(en blanco)</t>
        </is>
      </c>
      <c r="F1408" t="inlineStr">
        <is>
          <t>(en blanco)</t>
        </is>
      </c>
      <c r="G1408" t="inlineStr">
        <is>
          <t>XXS</t>
        </is>
      </c>
      <c r="H1408" t="n">
        <v>9</v>
      </c>
      <c r="I1408" t="inlineStr">
        <is>
          <t>NAUTICA_CLASSICS_117003977_BLK_1.jpg</t>
        </is>
      </c>
      <c r="J1408" t="inlineStr">
        <is>
          <t>NAUTICA_CLASSICS_117003977_BLK_2.jpg</t>
        </is>
      </c>
      <c r="K1408" t="inlineStr">
        <is>
          <t>NAUTICA_CLASSICS_117003977_BLK_3.jpg</t>
        </is>
      </c>
      <c r="L1408">
        <f>IMAGE("file:///E:/Estudios%20y%20certificaciones/ESTUDIOS%20DE%20PROGRAMMING/PROGRAMMING/PERSONAL/PYTHON/Image_Generator_API/imagenes/NAUTICA_CLASSICS_117003977_BLK_1.jpg")</f>
        <v/>
      </c>
      <c r="M1408">
        <f>IMAGE("file:///E:/Estudios%20y%20certificaciones/ESTUDIOS%20DE%20PROGRAMMING/PROGRAMMING/PERSONAL/PYTHON/Image_Generator_API/imagenes/NAUTICA_CLASSICS_117003977_BLK_2.jpg")</f>
        <v/>
      </c>
      <c r="N1408">
        <f>IMAGE("file:///E:/Estudios%20y%20certificaciones/ESTUDIOS%20DE%20PROGRAMMING/PROGRAMMING/PERSONAL/PYTHON/Image_Generator_API/imagenes/NAUTICA_CLASSICS_117003977_BLK_3.jpg")</f>
        <v/>
      </c>
      <c r="O1408">
        <f>HYPERLINK("imagenes/NAUTICA_CLASSICS_117003977_BLK_1.jpg","Ver imagen")</f>
        <v/>
      </c>
      <c r="P1408">
        <f>HYPERLINK("imagenes/NAUTICA_CLASSICS_117003977_BLK_2.jpg","Ver imagen")</f>
        <v/>
      </c>
      <c r="Q1408">
        <f>HYPERLINK("imagenes/NAUTICA_CLASSICS_117003977_BLK_3.jpg","Ver imagen")</f>
        <v/>
      </c>
    </row>
    <row r="1409">
      <c r="A1409" t="inlineStr">
        <is>
          <t>NAUTICA CLASSICS</t>
        </is>
      </c>
      <c r="B1409" t="inlineStr">
        <is>
          <t>117003977</t>
        </is>
      </c>
      <c r="C1409" t="inlineStr">
        <is>
          <t>LT WEIGH PUFFER</t>
        </is>
      </c>
      <c r="D1409" t="inlineStr">
        <is>
          <t>HT1</t>
        </is>
      </c>
      <c r="E1409" t="inlineStr">
        <is>
          <t>(en blanco)</t>
        </is>
      </c>
      <c r="F1409" t="inlineStr">
        <is>
          <t>(en blanco)</t>
        </is>
      </c>
      <c r="G1409" t="inlineStr">
        <is>
          <t>L</t>
        </is>
      </c>
      <c r="H1409" t="n">
        <v>2</v>
      </c>
      <c r="I1409" t="inlineStr">
        <is>
          <t>NAUTICA_CLASSICS_117003977_HT1_1.jpg</t>
        </is>
      </c>
      <c r="J1409" t="inlineStr">
        <is>
          <t>NAUTICA_CLASSICS_117003977_HT1_2.jpg</t>
        </is>
      </c>
      <c r="K1409" t="inlineStr">
        <is>
          <t>NAUTICA_CLASSICS_117003977_HT1_3.jpg</t>
        </is>
      </c>
      <c r="L1409">
        <f>IMAGE("file:///E:/Estudios%20y%20certificaciones/ESTUDIOS%20DE%20PROGRAMMING/PROGRAMMING/PERSONAL/PYTHON/Image_Generator_API/imagenes/NAUTICA_CLASSICS_117003977_HT1_1.jpg")</f>
        <v/>
      </c>
      <c r="M1409">
        <f>IMAGE("file:///E:/Estudios%20y%20certificaciones/ESTUDIOS%20DE%20PROGRAMMING/PROGRAMMING/PERSONAL/PYTHON/Image_Generator_API/imagenes/NAUTICA_CLASSICS_117003977_HT1_2.jpg")</f>
        <v/>
      </c>
      <c r="N1409">
        <f>IMAGE("file:///E:/Estudios%20y%20certificaciones/ESTUDIOS%20DE%20PROGRAMMING/PROGRAMMING/PERSONAL/PYTHON/Image_Generator_API/imagenes/NAUTICA_CLASSICS_117003977_HT1_3.jpg")</f>
        <v/>
      </c>
      <c r="O1409">
        <f>HYPERLINK("imagenes/NAUTICA_CLASSICS_117003977_HT1_1.jpg","Ver imagen")</f>
        <v/>
      </c>
      <c r="P1409">
        <f>HYPERLINK("imagenes/NAUTICA_CLASSICS_117003977_HT1_2.jpg","Ver imagen")</f>
        <v/>
      </c>
      <c r="Q1409">
        <f>HYPERLINK("imagenes/NAUTICA_CLASSICS_117003977_HT1_3.jpg","Ver imagen")</f>
        <v/>
      </c>
    </row>
    <row r="1410">
      <c r="A1410" t="inlineStr">
        <is>
          <t>NAUTICA CLASSICS</t>
        </is>
      </c>
      <c r="B1410" t="inlineStr">
        <is>
          <t>117003977</t>
        </is>
      </c>
      <c r="C1410" t="inlineStr">
        <is>
          <t>LT WEIGH PUFFER</t>
        </is>
      </c>
      <c r="D1410" t="inlineStr">
        <is>
          <t>NSS</t>
        </is>
      </c>
      <c r="E1410" t="inlineStr">
        <is>
          <t>08A05</t>
        </is>
      </c>
      <c r="F1410" t="inlineStr">
        <is>
          <t>(en blanco)</t>
        </is>
      </c>
      <c r="G1410" t="inlineStr">
        <is>
          <t>PPK</t>
        </is>
      </c>
      <c r="H1410" t="n">
        <v>1320</v>
      </c>
      <c r="I1410" t="inlineStr">
        <is>
          <t>NAUTICA_CLASSICS_117003977_NSS_1.jpg</t>
        </is>
      </c>
      <c r="J1410" t="inlineStr">
        <is>
          <t>NAUTICA_CLASSICS_117003977_NSS_2.jpg</t>
        </is>
      </c>
      <c r="K1410" t="inlineStr">
        <is>
          <t>NAUTICA_CLASSICS_117003977_NSS_3.jpg</t>
        </is>
      </c>
      <c r="L1410">
        <f>IMAGE("file:///E:/Estudios%20y%20certificaciones/ESTUDIOS%20DE%20PROGRAMMING/PROGRAMMING/PERSONAL/PYTHON/Image_Generator_API/imagenes/NAUTICA_CLASSICS_117003977_NSS_1.jpg")</f>
        <v/>
      </c>
      <c r="M1410">
        <f>IMAGE("file:///E:/Estudios%20y%20certificaciones/ESTUDIOS%20DE%20PROGRAMMING/PROGRAMMING/PERSONAL/PYTHON/Image_Generator_API/imagenes/NAUTICA_CLASSICS_117003977_NSS_2.jpg")</f>
        <v/>
      </c>
      <c r="N1410">
        <f>IMAGE("file:///E:/Estudios%20y%20certificaciones/ESTUDIOS%20DE%20PROGRAMMING/PROGRAMMING/PERSONAL/PYTHON/Image_Generator_API/imagenes/NAUTICA_CLASSICS_117003977_NSS_3.jpg")</f>
        <v/>
      </c>
      <c r="O1410">
        <f>HYPERLINK("imagenes/NAUTICA_CLASSICS_117003977_NSS_1.jpg","Ver imagen")</f>
        <v/>
      </c>
      <c r="P1410">
        <f>HYPERLINK("imagenes/NAUTICA_CLASSICS_117003977_NSS_2.jpg","Ver imagen")</f>
        <v/>
      </c>
      <c r="Q1410">
        <f>HYPERLINK("imagenes/NAUTICA_CLASSICS_117003977_NSS_3.jpg","Ver imagen")</f>
        <v/>
      </c>
    </row>
    <row r="1411">
      <c r="A1411" t="inlineStr">
        <is>
          <t>NAUTICA CLASSICS</t>
        </is>
      </c>
      <c r="B1411" t="inlineStr">
        <is>
          <t>117003977</t>
        </is>
      </c>
      <c r="C1411" t="inlineStr">
        <is>
          <t>LT WEIGH PUFFER</t>
        </is>
      </c>
      <c r="D1411" t="inlineStr">
        <is>
          <t>NSS</t>
        </is>
      </c>
      <c r="E1411" t="inlineStr">
        <is>
          <t>(en blanco)</t>
        </is>
      </c>
      <c r="F1411" t="inlineStr">
        <is>
          <t>D2C</t>
        </is>
      </c>
      <c r="G1411" t="inlineStr">
        <is>
          <t>XS</t>
        </is>
      </c>
      <c r="H1411" t="n">
        <v>25</v>
      </c>
      <c r="I1411" t="inlineStr">
        <is>
          <t>NAUTICA_CLASSICS_117003977_NSS_1.jpg</t>
        </is>
      </c>
      <c r="J1411" t="inlineStr">
        <is>
          <t>NAUTICA_CLASSICS_117003977_NSS_2.jpg</t>
        </is>
      </c>
      <c r="K1411" t="inlineStr">
        <is>
          <t>NAUTICA_CLASSICS_117003977_NSS_3.jpg</t>
        </is>
      </c>
      <c r="L1411">
        <f>IMAGE("file:///E:/Estudios%20y%20certificaciones/ESTUDIOS%20DE%20PROGRAMMING/PROGRAMMING/PERSONAL/PYTHON/Image_Generator_API/imagenes/NAUTICA_CLASSICS_117003977_NSS_1.jpg")</f>
        <v/>
      </c>
      <c r="M1411">
        <f>IMAGE("file:///E:/Estudios%20y%20certificaciones/ESTUDIOS%20DE%20PROGRAMMING/PROGRAMMING/PERSONAL/PYTHON/Image_Generator_API/imagenes/NAUTICA_CLASSICS_117003977_NSS_2.jpg")</f>
        <v/>
      </c>
      <c r="N1411">
        <f>IMAGE("file:///E:/Estudios%20y%20certificaciones/ESTUDIOS%20DE%20PROGRAMMING/PROGRAMMING/PERSONAL/PYTHON/Image_Generator_API/imagenes/NAUTICA_CLASSICS_117003977_NSS_3.jpg")</f>
        <v/>
      </c>
      <c r="O1411">
        <f>HYPERLINK("imagenes/NAUTICA_CLASSICS_117003977_NSS_1.jpg","Ver imagen")</f>
        <v/>
      </c>
      <c r="P1411">
        <f>HYPERLINK("imagenes/NAUTICA_CLASSICS_117003977_NSS_2.jpg","Ver imagen")</f>
        <v/>
      </c>
      <c r="Q1411">
        <f>HYPERLINK("imagenes/NAUTICA_CLASSICS_117003977_NSS_3.jpg","Ver imagen")</f>
        <v/>
      </c>
    </row>
    <row r="1412">
      <c r="A1412" t="inlineStr">
        <is>
          <t>NAUTICA CLASSICS</t>
        </is>
      </c>
      <c r="B1412" t="inlineStr">
        <is>
          <t>117003977</t>
        </is>
      </c>
      <c r="C1412" t="inlineStr">
        <is>
          <t>LT WEIGH PUFFER</t>
        </is>
      </c>
      <c r="D1412" t="inlineStr">
        <is>
          <t>NSS</t>
        </is>
      </c>
      <c r="E1412" t="inlineStr">
        <is>
          <t>(en blanco)</t>
        </is>
      </c>
      <c r="F1412" t="inlineStr">
        <is>
          <t>D2C</t>
        </is>
      </c>
      <c r="G1412" t="inlineStr">
        <is>
          <t>S</t>
        </is>
      </c>
      <c r="H1412" t="n">
        <v>27</v>
      </c>
      <c r="I1412" t="inlineStr">
        <is>
          <t>NAUTICA_CLASSICS_117003977_NSS_1.jpg</t>
        </is>
      </c>
      <c r="J1412" t="inlineStr">
        <is>
          <t>NAUTICA_CLASSICS_117003977_NSS_2.jpg</t>
        </is>
      </c>
      <c r="K1412" t="inlineStr">
        <is>
          <t>NAUTICA_CLASSICS_117003977_NSS_3.jpg</t>
        </is>
      </c>
      <c r="L1412">
        <f>IMAGE("file:///E:/Estudios%20y%20certificaciones/ESTUDIOS%20DE%20PROGRAMMING/PROGRAMMING/PERSONAL/PYTHON/Image_Generator_API/imagenes/NAUTICA_CLASSICS_117003977_NSS_1.jpg")</f>
        <v/>
      </c>
      <c r="M1412">
        <f>IMAGE("file:///E:/Estudios%20y%20certificaciones/ESTUDIOS%20DE%20PROGRAMMING/PROGRAMMING/PERSONAL/PYTHON/Image_Generator_API/imagenes/NAUTICA_CLASSICS_117003977_NSS_2.jpg")</f>
        <v/>
      </c>
      <c r="N1412">
        <f>IMAGE("file:///E:/Estudios%20y%20certificaciones/ESTUDIOS%20DE%20PROGRAMMING/PROGRAMMING/PERSONAL/PYTHON/Image_Generator_API/imagenes/NAUTICA_CLASSICS_117003977_NSS_3.jpg")</f>
        <v/>
      </c>
      <c r="O1412">
        <f>HYPERLINK("imagenes/NAUTICA_CLASSICS_117003977_NSS_1.jpg","Ver imagen")</f>
        <v/>
      </c>
      <c r="P1412">
        <f>HYPERLINK("imagenes/NAUTICA_CLASSICS_117003977_NSS_2.jpg","Ver imagen")</f>
        <v/>
      </c>
      <c r="Q1412">
        <f>HYPERLINK("imagenes/NAUTICA_CLASSICS_117003977_NSS_3.jpg","Ver imagen")</f>
        <v/>
      </c>
    </row>
    <row r="1413">
      <c r="A1413" t="inlineStr">
        <is>
          <t>NAUTICA CLASSICS</t>
        </is>
      </c>
      <c r="B1413" t="inlineStr">
        <is>
          <t>117003977</t>
        </is>
      </c>
      <c r="C1413" t="inlineStr">
        <is>
          <t>LT WEIGH PUFFER</t>
        </is>
      </c>
      <c r="D1413" t="inlineStr">
        <is>
          <t>NSS</t>
        </is>
      </c>
      <c r="E1413" t="inlineStr">
        <is>
          <t>(en blanco)</t>
        </is>
      </c>
      <c r="F1413" t="inlineStr">
        <is>
          <t>D2C</t>
        </is>
      </c>
      <c r="G1413" t="inlineStr">
        <is>
          <t>M</t>
        </is>
      </c>
      <c r="H1413" t="n">
        <v>19</v>
      </c>
      <c r="I1413" t="inlineStr">
        <is>
          <t>NAUTICA_CLASSICS_117003977_NSS_1.jpg</t>
        </is>
      </c>
      <c r="J1413" t="inlineStr">
        <is>
          <t>NAUTICA_CLASSICS_117003977_NSS_2.jpg</t>
        </is>
      </c>
      <c r="K1413" t="inlineStr">
        <is>
          <t>NAUTICA_CLASSICS_117003977_NSS_3.jpg</t>
        </is>
      </c>
      <c r="L1413">
        <f>IMAGE("file:///E:/Estudios%20y%20certificaciones/ESTUDIOS%20DE%20PROGRAMMING/PROGRAMMING/PERSONAL/PYTHON/Image_Generator_API/imagenes/NAUTICA_CLASSICS_117003977_NSS_1.jpg")</f>
        <v/>
      </c>
      <c r="M1413">
        <f>IMAGE("file:///E:/Estudios%20y%20certificaciones/ESTUDIOS%20DE%20PROGRAMMING/PROGRAMMING/PERSONAL/PYTHON/Image_Generator_API/imagenes/NAUTICA_CLASSICS_117003977_NSS_2.jpg")</f>
        <v/>
      </c>
      <c r="N1413">
        <f>IMAGE("file:///E:/Estudios%20y%20certificaciones/ESTUDIOS%20DE%20PROGRAMMING/PROGRAMMING/PERSONAL/PYTHON/Image_Generator_API/imagenes/NAUTICA_CLASSICS_117003977_NSS_3.jpg")</f>
        <v/>
      </c>
      <c r="O1413">
        <f>HYPERLINK("imagenes/NAUTICA_CLASSICS_117003977_NSS_1.jpg","Ver imagen")</f>
        <v/>
      </c>
      <c r="P1413">
        <f>HYPERLINK("imagenes/NAUTICA_CLASSICS_117003977_NSS_2.jpg","Ver imagen")</f>
        <v/>
      </c>
      <c r="Q1413">
        <f>HYPERLINK("imagenes/NAUTICA_CLASSICS_117003977_NSS_3.jpg","Ver imagen")</f>
        <v/>
      </c>
    </row>
    <row r="1414">
      <c r="A1414" t="inlineStr">
        <is>
          <t>NAUTICA CLASSICS</t>
        </is>
      </c>
      <c r="B1414" t="inlineStr">
        <is>
          <t>117003977</t>
        </is>
      </c>
      <c r="C1414" t="inlineStr">
        <is>
          <t>LT WEIGH PUFFER</t>
        </is>
      </c>
      <c r="D1414" t="inlineStr">
        <is>
          <t>NSS</t>
        </is>
      </c>
      <c r="E1414" t="inlineStr">
        <is>
          <t>(en blanco)</t>
        </is>
      </c>
      <c r="F1414" t="inlineStr">
        <is>
          <t>D2C</t>
        </is>
      </c>
      <c r="G1414" t="inlineStr">
        <is>
          <t>L</t>
        </is>
      </c>
      <c r="H1414" t="n">
        <v>32</v>
      </c>
      <c r="I1414" t="inlineStr">
        <is>
          <t>NAUTICA_CLASSICS_117003977_NSS_1.jpg</t>
        </is>
      </c>
      <c r="J1414" t="inlineStr">
        <is>
          <t>NAUTICA_CLASSICS_117003977_NSS_2.jpg</t>
        </is>
      </c>
      <c r="K1414" t="inlineStr">
        <is>
          <t>NAUTICA_CLASSICS_117003977_NSS_3.jpg</t>
        </is>
      </c>
      <c r="L1414">
        <f>IMAGE("file:///E:/Estudios%20y%20certificaciones/ESTUDIOS%20DE%20PROGRAMMING/PROGRAMMING/PERSONAL/PYTHON/Image_Generator_API/imagenes/NAUTICA_CLASSICS_117003977_NSS_1.jpg")</f>
        <v/>
      </c>
      <c r="M1414">
        <f>IMAGE("file:///E:/Estudios%20y%20certificaciones/ESTUDIOS%20DE%20PROGRAMMING/PROGRAMMING/PERSONAL/PYTHON/Image_Generator_API/imagenes/NAUTICA_CLASSICS_117003977_NSS_2.jpg")</f>
        <v/>
      </c>
      <c r="N1414">
        <f>IMAGE("file:///E:/Estudios%20y%20certificaciones/ESTUDIOS%20DE%20PROGRAMMING/PROGRAMMING/PERSONAL/PYTHON/Image_Generator_API/imagenes/NAUTICA_CLASSICS_117003977_NSS_3.jpg")</f>
        <v/>
      </c>
      <c r="O1414">
        <f>HYPERLINK("imagenes/NAUTICA_CLASSICS_117003977_NSS_1.jpg","Ver imagen")</f>
        <v/>
      </c>
      <c r="P1414">
        <f>HYPERLINK("imagenes/NAUTICA_CLASSICS_117003977_NSS_2.jpg","Ver imagen")</f>
        <v/>
      </c>
      <c r="Q1414">
        <f>HYPERLINK("imagenes/NAUTICA_CLASSICS_117003977_NSS_3.jpg","Ver imagen")</f>
        <v/>
      </c>
    </row>
    <row r="1415">
      <c r="A1415" t="inlineStr">
        <is>
          <t>NAUTICA CLASSICS</t>
        </is>
      </c>
      <c r="B1415" t="inlineStr">
        <is>
          <t>117003977</t>
        </is>
      </c>
      <c r="C1415" t="inlineStr">
        <is>
          <t>LT WEIGH PUFFER</t>
        </is>
      </c>
      <c r="D1415" t="inlineStr">
        <is>
          <t>NSS</t>
        </is>
      </c>
      <c r="E1415" t="inlineStr">
        <is>
          <t>(en blanco)</t>
        </is>
      </c>
      <c r="F1415" t="inlineStr">
        <is>
          <t>N1160</t>
        </is>
      </c>
      <c r="G1415" t="inlineStr">
        <is>
          <t>M</t>
        </is>
      </c>
      <c r="H1415" t="n">
        <v>7</v>
      </c>
      <c r="I1415" t="inlineStr">
        <is>
          <t>NAUTICA_CLASSICS_117003977_NSS_1.jpg</t>
        </is>
      </c>
      <c r="J1415" t="inlineStr">
        <is>
          <t>NAUTICA_CLASSICS_117003977_NSS_2.jpg</t>
        </is>
      </c>
      <c r="K1415" t="inlineStr">
        <is>
          <t>NAUTICA_CLASSICS_117003977_NSS_3.jpg</t>
        </is>
      </c>
      <c r="L1415">
        <f>IMAGE("file:///E:/Estudios%20y%20certificaciones/ESTUDIOS%20DE%20PROGRAMMING/PROGRAMMING/PERSONAL/PYTHON/Image_Generator_API/imagenes/NAUTICA_CLASSICS_117003977_NSS_1.jpg")</f>
        <v/>
      </c>
      <c r="M1415">
        <f>IMAGE("file:///E:/Estudios%20y%20certificaciones/ESTUDIOS%20DE%20PROGRAMMING/PROGRAMMING/PERSONAL/PYTHON/Image_Generator_API/imagenes/NAUTICA_CLASSICS_117003977_NSS_2.jpg")</f>
        <v/>
      </c>
      <c r="N1415">
        <f>IMAGE("file:///E:/Estudios%20y%20certificaciones/ESTUDIOS%20DE%20PROGRAMMING/PROGRAMMING/PERSONAL/PYTHON/Image_Generator_API/imagenes/NAUTICA_CLASSICS_117003977_NSS_3.jpg")</f>
        <v/>
      </c>
      <c r="O1415">
        <f>HYPERLINK("imagenes/NAUTICA_CLASSICS_117003977_NSS_1.jpg","Ver imagen")</f>
        <v/>
      </c>
      <c r="P1415">
        <f>HYPERLINK("imagenes/NAUTICA_CLASSICS_117003977_NSS_2.jpg","Ver imagen")</f>
        <v/>
      </c>
      <c r="Q1415">
        <f>HYPERLINK("imagenes/NAUTICA_CLASSICS_117003977_NSS_3.jpg","Ver imagen")</f>
        <v/>
      </c>
    </row>
    <row r="1416">
      <c r="A1416" t="inlineStr">
        <is>
          <t>NAUTICA CLASSICS</t>
        </is>
      </c>
      <c r="B1416" t="inlineStr">
        <is>
          <t>117003977</t>
        </is>
      </c>
      <c r="C1416" t="inlineStr">
        <is>
          <t>LT WEIGH PUFFER</t>
        </is>
      </c>
      <c r="D1416" t="inlineStr">
        <is>
          <t>SW4</t>
        </is>
      </c>
      <c r="E1416" t="inlineStr">
        <is>
          <t>(en blanco)</t>
        </is>
      </c>
      <c r="F1416" t="inlineStr">
        <is>
          <t>(en blanco)</t>
        </is>
      </c>
      <c r="G1416" t="inlineStr">
        <is>
          <t>XS</t>
        </is>
      </c>
      <c r="H1416" t="n">
        <v>12</v>
      </c>
      <c r="I1416" t="inlineStr">
        <is>
          <t>NAUTICA_CLASSICS_117003977_SW4_1.jpg</t>
        </is>
      </c>
      <c r="J1416" t="inlineStr">
        <is>
          <t>NAUTICA_CLASSICS_117003977_SW4_2.jpg</t>
        </is>
      </c>
      <c r="K1416" t="inlineStr">
        <is>
          <t>NAUTICA_CLASSICS_117003977_SW4_3.jpg</t>
        </is>
      </c>
      <c r="L1416">
        <f>IMAGE("file:///E:/Estudios%20y%20certificaciones/ESTUDIOS%20DE%20PROGRAMMING/PROGRAMMING/PERSONAL/PYTHON/Image_Generator_API/imagenes/NAUTICA_CLASSICS_117003977_SW4_1.jpg")</f>
        <v/>
      </c>
      <c r="M1416">
        <f>IMAGE("file:///E:/Estudios%20y%20certificaciones/ESTUDIOS%20DE%20PROGRAMMING/PROGRAMMING/PERSONAL/PYTHON/Image_Generator_API/imagenes/NAUTICA_CLASSICS_117003977_SW4_2.jpg")</f>
        <v/>
      </c>
      <c r="N1416">
        <f>IMAGE("file:///E:/Estudios%20y%20certificaciones/ESTUDIOS%20DE%20PROGRAMMING/PROGRAMMING/PERSONAL/PYTHON/Image_Generator_API/imagenes/NAUTICA_CLASSICS_117003977_SW4_3.jpg")</f>
        <v/>
      </c>
      <c r="O1416">
        <f>HYPERLINK("imagenes/NAUTICA_CLASSICS_117003977_SW4_1.jpg","Ver imagen")</f>
        <v/>
      </c>
      <c r="P1416">
        <f>HYPERLINK("imagenes/NAUTICA_CLASSICS_117003977_SW4_2.jpg","Ver imagen")</f>
        <v/>
      </c>
      <c r="Q1416">
        <f>HYPERLINK("imagenes/NAUTICA_CLASSICS_117003977_SW4_3.jpg","Ver imagen")</f>
        <v/>
      </c>
    </row>
    <row r="1417">
      <c r="A1417" t="inlineStr">
        <is>
          <t>NAUTICA CLASSICS</t>
        </is>
      </c>
      <c r="B1417" t="inlineStr">
        <is>
          <t>117003977</t>
        </is>
      </c>
      <c r="C1417" t="inlineStr">
        <is>
          <t>LT WEIGH PUFFER</t>
        </is>
      </c>
      <c r="D1417" t="inlineStr">
        <is>
          <t>SW4</t>
        </is>
      </c>
      <c r="E1417" t="inlineStr">
        <is>
          <t>(en blanco)</t>
        </is>
      </c>
      <c r="F1417" t="inlineStr">
        <is>
          <t>(en blanco)</t>
        </is>
      </c>
      <c r="G1417" t="inlineStr">
        <is>
          <t>S</t>
        </is>
      </c>
      <c r="H1417" t="n">
        <v>11</v>
      </c>
      <c r="I1417" t="inlineStr">
        <is>
          <t>NAUTICA_CLASSICS_117003977_SW4_1.jpg</t>
        </is>
      </c>
      <c r="J1417" t="inlineStr">
        <is>
          <t>NAUTICA_CLASSICS_117003977_SW4_2.jpg</t>
        </is>
      </c>
      <c r="K1417" t="inlineStr">
        <is>
          <t>NAUTICA_CLASSICS_117003977_SW4_3.jpg</t>
        </is>
      </c>
      <c r="L1417">
        <f>IMAGE("file:///E:/Estudios%20y%20certificaciones/ESTUDIOS%20DE%20PROGRAMMING/PROGRAMMING/PERSONAL/PYTHON/Image_Generator_API/imagenes/NAUTICA_CLASSICS_117003977_SW4_1.jpg")</f>
        <v/>
      </c>
      <c r="M1417">
        <f>IMAGE("file:///E:/Estudios%20y%20certificaciones/ESTUDIOS%20DE%20PROGRAMMING/PROGRAMMING/PERSONAL/PYTHON/Image_Generator_API/imagenes/NAUTICA_CLASSICS_117003977_SW4_2.jpg")</f>
        <v/>
      </c>
      <c r="N1417">
        <f>IMAGE("file:///E:/Estudios%20y%20certificaciones/ESTUDIOS%20DE%20PROGRAMMING/PROGRAMMING/PERSONAL/PYTHON/Image_Generator_API/imagenes/NAUTICA_CLASSICS_117003977_SW4_3.jpg")</f>
        <v/>
      </c>
      <c r="O1417">
        <f>HYPERLINK("imagenes/NAUTICA_CLASSICS_117003977_SW4_1.jpg","Ver imagen")</f>
        <v/>
      </c>
      <c r="P1417">
        <f>HYPERLINK("imagenes/NAUTICA_CLASSICS_117003977_SW4_2.jpg","Ver imagen")</f>
        <v/>
      </c>
      <c r="Q1417">
        <f>HYPERLINK("imagenes/NAUTICA_CLASSICS_117003977_SW4_3.jpg","Ver imagen")</f>
        <v/>
      </c>
    </row>
    <row r="1418">
      <c r="A1418" t="inlineStr">
        <is>
          <t>NAUTICA CLASSICS</t>
        </is>
      </c>
      <c r="B1418" t="inlineStr">
        <is>
          <t>117003977</t>
        </is>
      </c>
      <c r="C1418" t="inlineStr">
        <is>
          <t>LT WEIGH PUFFER</t>
        </is>
      </c>
      <c r="D1418" t="inlineStr">
        <is>
          <t>SW4</t>
        </is>
      </c>
      <c r="E1418" t="inlineStr">
        <is>
          <t>(en blanco)</t>
        </is>
      </c>
      <c r="F1418" t="inlineStr">
        <is>
          <t>(en blanco)</t>
        </is>
      </c>
      <c r="G1418" t="inlineStr">
        <is>
          <t>M</t>
        </is>
      </c>
      <c r="H1418" t="n">
        <v>22</v>
      </c>
      <c r="I1418" t="inlineStr">
        <is>
          <t>NAUTICA_CLASSICS_117003977_SW4_1.jpg</t>
        </is>
      </c>
      <c r="J1418" t="inlineStr">
        <is>
          <t>NAUTICA_CLASSICS_117003977_SW4_2.jpg</t>
        </is>
      </c>
      <c r="K1418" t="inlineStr">
        <is>
          <t>NAUTICA_CLASSICS_117003977_SW4_3.jpg</t>
        </is>
      </c>
      <c r="L1418">
        <f>IMAGE("file:///E:/Estudios%20y%20certificaciones/ESTUDIOS%20DE%20PROGRAMMING/PROGRAMMING/PERSONAL/PYTHON/Image_Generator_API/imagenes/NAUTICA_CLASSICS_117003977_SW4_1.jpg")</f>
        <v/>
      </c>
      <c r="M1418">
        <f>IMAGE("file:///E:/Estudios%20y%20certificaciones/ESTUDIOS%20DE%20PROGRAMMING/PROGRAMMING/PERSONAL/PYTHON/Image_Generator_API/imagenes/NAUTICA_CLASSICS_117003977_SW4_2.jpg")</f>
        <v/>
      </c>
      <c r="N1418">
        <f>IMAGE("file:///E:/Estudios%20y%20certificaciones/ESTUDIOS%20DE%20PROGRAMMING/PROGRAMMING/PERSONAL/PYTHON/Image_Generator_API/imagenes/NAUTICA_CLASSICS_117003977_SW4_3.jpg")</f>
        <v/>
      </c>
      <c r="O1418">
        <f>HYPERLINK("imagenes/NAUTICA_CLASSICS_117003977_SW4_1.jpg","Ver imagen")</f>
        <v/>
      </c>
      <c r="P1418">
        <f>HYPERLINK("imagenes/NAUTICA_CLASSICS_117003977_SW4_2.jpg","Ver imagen")</f>
        <v/>
      </c>
      <c r="Q1418">
        <f>HYPERLINK("imagenes/NAUTICA_CLASSICS_117003977_SW4_3.jpg","Ver imagen")</f>
        <v/>
      </c>
    </row>
    <row r="1419">
      <c r="A1419" t="inlineStr">
        <is>
          <t>NAUTICA CLASSICS</t>
        </is>
      </c>
      <c r="B1419" t="inlineStr">
        <is>
          <t>117003977</t>
        </is>
      </c>
      <c r="C1419" t="inlineStr">
        <is>
          <t>LT WEIGH PUFFER</t>
        </is>
      </c>
      <c r="D1419" t="inlineStr">
        <is>
          <t>SW4</t>
        </is>
      </c>
      <c r="E1419" t="inlineStr">
        <is>
          <t>(en blanco)</t>
        </is>
      </c>
      <c r="F1419" t="inlineStr">
        <is>
          <t>(en blanco)</t>
        </is>
      </c>
      <c r="G1419" t="inlineStr">
        <is>
          <t>L</t>
        </is>
      </c>
      <c r="H1419" t="n">
        <v>22</v>
      </c>
      <c r="I1419" t="inlineStr">
        <is>
          <t>NAUTICA_CLASSICS_117003977_SW4_1.jpg</t>
        </is>
      </c>
      <c r="J1419" t="inlineStr">
        <is>
          <t>NAUTICA_CLASSICS_117003977_SW4_2.jpg</t>
        </is>
      </c>
      <c r="K1419" t="inlineStr">
        <is>
          <t>NAUTICA_CLASSICS_117003977_SW4_3.jpg</t>
        </is>
      </c>
      <c r="L1419">
        <f>IMAGE("file:///E:/Estudios%20y%20certificaciones/ESTUDIOS%20DE%20PROGRAMMING/PROGRAMMING/PERSONAL/PYTHON/Image_Generator_API/imagenes/NAUTICA_CLASSICS_117003977_SW4_1.jpg")</f>
        <v/>
      </c>
      <c r="M1419">
        <f>IMAGE("file:///E:/Estudios%20y%20certificaciones/ESTUDIOS%20DE%20PROGRAMMING/PROGRAMMING/PERSONAL/PYTHON/Image_Generator_API/imagenes/NAUTICA_CLASSICS_117003977_SW4_2.jpg")</f>
        <v/>
      </c>
      <c r="N1419">
        <f>IMAGE("file:///E:/Estudios%20y%20certificaciones/ESTUDIOS%20DE%20PROGRAMMING/PROGRAMMING/PERSONAL/PYTHON/Image_Generator_API/imagenes/NAUTICA_CLASSICS_117003977_SW4_3.jpg")</f>
        <v/>
      </c>
      <c r="O1419">
        <f>HYPERLINK("imagenes/NAUTICA_CLASSICS_117003977_SW4_1.jpg","Ver imagen")</f>
        <v/>
      </c>
      <c r="P1419">
        <f>HYPERLINK("imagenes/NAUTICA_CLASSICS_117003977_SW4_2.jpg","Ver imagen")</f>
        <v/>
      </c>
      <c r="Q1419">
        <f>HYPERLINK("imagenes/NAUTICA_CLASSICS_117003977_SW4_3.jpg","Ver imagen")</f>
        <v/>
      </c>
    </row>
    <row r="1420">
      <c r="A1420" t="inlineStr">
        <is>
          <t>NAUTICA CLASSICS</t>
        </is>
      </c>
      <c r="B1420" t="inlineStr">
        <is>
          <t>117003977</t>
        </is>
      </c>
      <c r="C1420" t="inlineStr">
        <is>
          <t>LT WEIGH PUFFER</t>
        </is>
      </c>
      <c r="D1420" t="inlineStr">
        <is>
          <t>SW4</t>
        </is>
      </c>
      <c r="E1420" t="inlineStr">
        <is>
          <t>(en blanco)</t>
        </is>
      </c>
      <c r="F1420" t="inlineStr">
        <is>
          <t>(en blanco)</t>
        </is>
      </c>
      <c r="G1420" t="inlineStr">
        <is>
          <t>XL</t>
        </is>
      </c>
      <c r="H1420" t="n">
        <v>22</v>
      </c>
      <c r="I1420" t="inlineStr">
        <is>
          <t>NAUTICA_CLASSICS_117003977_SW4_1.jpg</t>
        </is>
      </c>
      <c r="J1420" t="inlineStr">
        <is>
          <t>NAUTICA_CLASSICS_117003977_SW4_2.jpg</t>
        </is>
      </c>
      <c r="K1420" t="inlineStr">
        <is>
          <t>NAUTICA_CLASSICS_117003977_SW4_3.jpg</t>
        </is>
      </c>
      <c r="L1420">
        <f>IMAGE("file:///E:/Estudios%20y%20certificaciones/ESTUDIOS%20DE%20PROGRAMMING/PROGRAMMING/PERSONAL/PYTHON/Image_Generator_API/imagenes/NAUTICA_CLASSICS_117003977_SW4_1.jpg")</f>
        <v/>
      </c>
      <c r="M1420">
        <f>IMAGE("file:///E:/Estudios%20y%20certificaciones/ESTUDIOS%20DE%20PROGRAMMING/PROGRAMMING/PERSONAL/PYTHON/Image_Generator_API/imagenes/NAUTICA_CLASSICS_117003977_SW4_2.jpg")</f>
        <v/>
      </c>
      <c r="N1420">
        <f>IMAGE("file:///E:/Estudios%20y%20certificaciones/ESTUDIOS%20DE%20PROGRAMMING/PROGRAMMING/PERSONAL/PYTHON/Image_Generator_API/imagenes/NAUTICA_CLASSICS_117003977_SW4_3.jpg")</f>
        <v/>
      </c>
      <c r="O1420">
        <f>HYPERLINK("imagenes/NAUTICA_CLASSICS_117003977_SW4_1.jpg","Ver imagen")</f>
        <v/>
      </c>
      <c r="P1420">
        <f>HYPERLINK("imagenes/NAUTICA_CLASSICS_117003977_SW4_2.jpg","Ver imagen")</f>
        <v/>
      </c>
      <c r="Q1420">
        <f>HYPERLINK("imagenes/NAUTICA_CLASSICS_117003977_SW4_3.jpg","Ver imagen")</f>
        <v/>
      </c>
    </row>
    <row r="1421">
      <c r="A1421" t="inlineStr">
        <is>
          <t>NAUTICA CLASSICS</t>
        </is>
      </c>
      <c r="B1421" t="inlineStr">
        <is>
          <t>117003977</t>
        </is>
      </c>
      <c r="C1421" t="inlineStr">
        <is>
          <t>LT WEIGH PUFFER</t>
        </is>
      </c>
      <c r="D1421" t="inlineStr">
        <is>
          <t>SW4</t>
        </is>
      </c>
      <c r="E1421" t="inlineStr">
        <is>
          <t>(en blanco)</t>
        </is>
      </c>
      <c r="F1421" t="inlineStr">
        <is>
          <t>(en blanco)</t>
        </is>
      </c>
      <c r="G1421" t="inlineStr">
        <is>
          <t>XXL</t>
        </is>
      </c>
      <c r="H1421" t="n">
        <v>14</v>
      </c>
      <c r="I1421" t="inlineStr">
        <is>
          <t>NAUTICA_CLASSICS_117003977_SW4_1.jpg</t>
        </is>
      </c>
      <c r="J1421" t="inlineStr">
        <is>
          <t>NAUTICA_CLASSICS_117003977_SW4_2.jpg</t>
        </is>
      </c>
      <c r="K1421" t="inlineStr">
        <is>
          <t>NAUTICA_CLASSICS_117003977_SW4_3.jpg</t>
        </is>
      </c>
      <c r="L1421">
        <f>IMAGE("file:///E:/Estudios%20y%20certificaciones/ESTUDIOS%20DE%20PROGRAMMING/PROGRAMMING/PERSONAL/PYTHON/Image_Generator_API/imagenes/NAUTICA_CLASSICS_117003977_SW4_1.jpg")</f>
        <v/>
      </c>
      <c r="M1421">
        <f>IMAGE("file:///E:/Estudios%20y%20certificaciones/ESTUDIOS%20DE%20PROGRAMMING/PROGRAMMING/PERSONAL/PYTHON/Image_Generator_API/imagenes/NAUTICA_CLASSICS_117003977_SW4_2.jpg")</f>
        <v/>
      </c>
      <c r="N1421">
        <f>IMAGE("file:///E:/Estudios%20y%20certificaciones/ESTUDIOS%20DE%20PROGRAMMING/PROGRAMMING/PERSONAL/PYTHON/Image_Generator_API/imagenes/NAUTICA_CLASSICS_117003977_SW4_3.jpg")</f>
        <v/>
      </c>
      <c r="O1421">
        <f>HYPERLINK("imagenes/NAUTICA_CLASSICS_117003977_SW4_1.jpg","Ver imagen")</f>
        <v/>
      </c>
      <c r="P1421">
        <f>HYPERLINK("imagenes/NAUTICA_CLASSICS_117003977_SW4_2.jpg","Ver imagen")</f>
        <v/>
      </c>
      <c r="Q1421">
        <f>HYPERLINK("imagenes/NAUTICA_CLASSICS_117003977_SW4_3.jpg","Ver imagen")</f>
        <v/>
      </c>
    </row>
    <row r="1422">
      <c r="A1422" t="inlineStr">
        <is>
          <t>NAUTICA CLASSICS</t>
        </is>
      </c>
      <c r="B1422" t="inlineStr">
        <is>
          <t>117003977</t>
        </is>
      </c>
      <c r="C1422" t="inlineStr">
        <is>
          <t>LT WEIGH PUFFER</t>
        </is>
      </c>
      <c r="D1422" t="inlineStr">
        <is>
          <t>SW4</t>
        </is>
      </c>
      <c r="E1422" t="inlineStr">
        <is>
          <t>(en blanco)</t>
        </is>
      </c>
      <c r="F1422" t="inlineStr">
        <is>
          <t>(en blanco)</t>
        </is>
      </c>
      <c r="G1422" t="inlineStr">
        <is>
          <t>XXS</t>
        </is>
      </c>
      <c r="H1422" t="n">
        <v>7</v>
      </c>
      <c r="I1422" t="inlineStr">
        <is>
          <t>NAUTICA_CLASSICS_117003977_SW4_1.jpg</t>
        </is>
      </c>
      <c r="J1422" t="inlineStr">
        <is>
          <t>NAUTICA_CLASSICS_117003977_SW4_2.jpg</t>
        </is>
      </c>
      <c r="K1422" t="inlineStr">
        <is>
          <t>NAUTICA_CLASSICS_117003977_SW4_3.jpg</t>
        </is>
      </c>
      <c r="L1422">
        <f>IMAGE("file:///E:/Estudios%20y%20certificaciones/ESTUDIOS%20DE%20PROGRAMMING/PROGRAMMING/PERSONAL/PYTHON/Image_Generator_API/imagenes/NAUTICA_CLASSICS_117003977_SW4_1.jpg")</f>
        <v/>
      </c>
      <c r="M1422">
        <f>IMAGE("file:///E:/Estudios%20y%20certificaciones/ESTUDIOS%20DE%20PROGRAMMING/PROGRAMMING/PERSONAL/PYTHON/Image_Generator_API/imagenes/NAUTICA_CLASSICS_117003977_SW4_2.jpg")</f>
        <v/>
      </c>
      <c r="N1422">
        <f>IMAGE("file:///E:/Estudios%20y%20certificaciones/ESTUDIOS%20DE%20PROGRAMMING/PROGRAMMING/PERSONAL/PYTHON/Image_Generator_API/imagenes/NAUTICA_CLASSICS_117003977_SW4_3.jpg")</f>
        <v/>
      </c>
      <c r="O1422">
        <f>HYPERLINK("imagenes/NAUTICA_CLASSICS_117003977_SW4_1.jpg","Ver imagen")</f>
        <v/>
      </c>
      <c r="P1422">
        <f>HYPERLINK("imagenes/NAUTICA_CLASSICS_117003977_SW4_2.jpg","Ver imagen")</f>
        <v/>
      </c>
      <c r="Q1422">
        <f>HYPERLINK("imagenes/NAUTICA_CLASSICS_117003977_SW4_3.jpg","Ver imagen")</f>
        <v/>
      </c>
    </row>
    <row r="1423">
      <c r="A1423" t="inlineStr">
        <is>
          <t>NAUTICA CLASSICS</t>
        </is>
      </c>
      <c r="B1423" t="inlineStr">
        <is>
          <t>117003977</t>
        </is>
      </c>
      <c r="C1423" t="inlineStr">
        <is>
          <t>LT WEIGH PUFFER</t>
        </is>
      </c>
      <c r="D1423" t="inlineStr">
        <is>
          <t>WIL</t>
        </is>
      </c>
      <c r="E1423" t="inlineStr">
        <is>
          <t>08A05</t>
        </is>
      </c>
      <c r="F1423" t="inlineStr">
        <is>
          <t>(en blanco)</t>
        </is>
      </c>
      <c r="G1423" t="inlineStr">
        <is>
          <t>PPK</t>
        </is>
      </c>
      <c r="H1423" t="n">
        <v>1264</v>
      </c>
      <c r="I1423" t="inlineStr">
        <is>
          <t>NAUTICA_CLASSICS_117003977_WIL_1.jpg</t>
        </is>
      </c>
      <c r="J1423" t="inlineStr">
        <is>
          <t>NAUTICA_CLASSICS_117003977_WIL_2.jpg</t>
        </is>
      </c>
      <c r="K1423" t="inlineStr">
        <is>
          <t>NAUTICA_CLASSICS_117003977_WIL_3.jpg</t>
        </is>
      </c>
      <c r="L1423">
        <f>IMAGE("file:///E:/Estudios%20y%20certificaciones/ESTUDIOS%20DE%20PROGRAMMING/PROGRAMMING/PERSONAL/PYTHON/Image_Generator_API/imagenes/NAUTICA_CLASSICS_117003977_WIL_1.jpg")</f>
        <v/>
      </c>
      <c r="M1423">
        <f>IMAGE("file:///E:/Estudios%20y%20certificaciones/ESTUDIOS%20DE%20PROGRAMMING/PROGRAMMING/PERSONAL/PYTHON/Image_Generator_API/imagenes/NAUTICA_CLASSICS_117003977_WIL_2.jpg")</f>
        <v/>
      </c>
      <c r="N1423">
        <f>IMAGE("file:///E:/Estudios%20y%20certificaciones/ESTUDIOS%20DE%20PROGRAMMING/PROGRAMMING/PERSONAL/PYTHON/Image_Generator_API/imagenes/NAUTICA_CLASSICS_117003977_WIL_3.jpg")</f>
        <v/>
      </c>
      <c r="O1423">
        <f>HYPERLINK("imagenes/NAUTICA_CLASSICS_117003977_WIL_1.jpg","Ver imagen")</f>
        <v/>
      </c>
      <c r="P1423">
        <f>HYPERLINK("imagenes/NAUTICA_CLASSICS_117003977_WIL_2.jpg","Ver imagen")</f>
        <v/>
      </c>
      <c r="Q1423">
        <f>HYPERLINK("imagenes/NAUTICA_CLASSICS_117003977_WIL_3.jpg","Ver imagen")</f>
        <v/>
      </c>
    </row>
    <row r="1424">
      <c r="A1424" t="inlineStr">
        <is>
          <t>NAUTICA CLASSICS</t>
        </is>
      </c>
      <c r="B1424" t="inlineStr">
        <is>
          <t>117003977</t>
        </is>
      </c>
      <c r="C1424" t="inlineStr">
        <is>
          <t>LT WEIGH PUFFER</t>
        </is>
      </c>
      <c r="D1424" t="inlineStr">
        <is>
          <t>WIL</t>
        </is>
      </c>
      <c r="E1424" t="inlineStr">
        <is>
          <t>(en blanco)</t>
        </is>
      </c>
      <c r="F1424" t="inlineStr">
        <is>
          <t>(en blanco)</t>
        </is>
      </c>
      <c r="G1424" t="inlineStr">
        <is>
          <t>XS</t>
        </is>
      </c>
      <c r="H1424" t="n">
        <v>18</v>
      </c>
      <c r="I1424" t="inlineStr">
        <is>
          <t>NAUTICA_CLASSICS_117003977_WIL_1.jpg</t>
        </is>
      </c>
      <c r="J1424" t="inlineStr">
        <is>
          <t>NAUTICA_CLASSICS_117003977_WIL_2.jpg</t>
        </is>
      </c>
      <c r="K1424" t="inlineStr">
        <is>
          <t>NAUTICA_CLASSICS_117003977_WIL_3.jpg</t>
        </is>
      </c>
      <c r="L1424">
        <f>IMAGE("file:///E:/Estudios%20y%20certificaciones/ESTUDIOS%20DE%20PROGRAMMING/PROGRAMMING/PERSONAL/PYTHON/Image_Generator_API/imagenes/NAUTICA_CLASSICS_117003977_WIL_1.jpg")</f>
        <v/>
      </c>
      <c r="M1424">
        <f>IMAGE("file:///E:/Estudios%20y%20certificaciones/ESTUDIOS%20DE%20PROGRAMMING/PROGRAMMING/PERSONAL/PYTHON/Image_Generator_API/imagenes/NAUTICA_CLASSICS_117003977_WIL_2.jpg")</f>
        <v/>
      </c>
      <c r="N1424">
        <f>IMAGE("file:///E:/Estudios%20y%20certificaciones/ESTUDIOS%20DE%20PROGRAMMING/PROGRAMMING/PERSONAL/PYTHON/Image_Generator_API/imagenes/NAUTICA_CLASSICS_117003977_WIL_3.jpg")</f>
        <v/>
      </c>
      <c r="O1424">
        <f>HYPERLINK("imagenes/NAUTICA_CLASSICS_117003977_WIL_1.jpg","Ver imagen")</f>
        <v/>
      </c>
      <c r="P1424">
        <f>HYPERLINK("imagenes/NAUTICA_CLASSICS_117003977_WIL_2.jpg","Ver imagen")</f>
        <v/>
      </c>
      <c r="Q1424">
        <f>HYPERLINK("imagenes/NAUTICA_CLASSICS_117003977_WIL_3.jpg","Ver imagen")</f>
        <v/>
      </c>
    </row>
    <row r="1425">
      <c r="A1425" t="inlineStr">
        <is>
          <t>NAUTICA CLASSICS</t>
        </is>
      </c>
      <c r="B1425" t="inlineStr">
        <is>
          <t>117003977</t>
        </is>
      </c>
      <c r="C1425" t="inlineStr">
        <is>
          <t>LT WEIGH PUFFER</t>
        </is>
      </c>
      <c r="D1425" t="inlineStr">
        <is>
          <t>WIL</t>
        </is>
      </c>
      <c r="E1425" t="inlineStr">
        <is>
          <t>(en blanco)</t>
        </is>
      </c>
      <c r="F1425" t="inlineStr">
        <is>
          <t>(en blanco)</t>
        </is>
      </c>
      <c r="G1425" t="inlineStr">
        <is>
          <t>S</t>
        </is>
      </c>
      <c r="H1425" t="n">
        <v>16</v>
      </c>
      <c r="I1425" t="inlineStr">
        <is>
          <t>NAUTICA_CLASSICS_117003977_WIL_1.jpg</t>
        </is>
      </c>
      <c r="J1425" t="inlineStr">
        <is>
          <t>NAUTICA_CLASSICS_117003977_WIL_2.jpg</t>
        </is>
      </c>
      <c r="K1425" t="inlineStr">
        <is>
          <t>NAUTICA_CLASSICS_117003977_WIL_3.jpg</t>
        </is>
      </c>
      <c r="L1425">
        <f>IMAGE("file:///E:/Estudios%20y%20certificaciones/ESTUDIOS%20DE%20PROGRAMMING/PROGRAMMING/PERSONAL/PYTHON/Image_Generator_API/imagenes/NAUTICA_CLASSICS_117003977_WIL_1.jpg")</f>
        <v/>
      </c>
      <c r="M1425">
        <f>IMAGE("file:///E:/Estudios%20y%20certificaciones/ESTUDIOS%20DE%20PROGRAMMING/PROGRAMMING/PERSONAL/PYTHON/Image_Generator_API/imagenes/NAUTICA_CLASSICS_117003977_WIL_2.jpg")</f>
        <v/>
      </c>
      <c r="N1425">
        <f>IMAGE("file:///E:/Estudios%20y%20certificaciones/ESTUDIOS%20DE%20PROGRAMMING/PROGRAMMING/PERSONAL/PYTHON/Image_Generator_API/imagenes/NAUTICA_CLASSICS_117003977_WIL_3.jpg")</f>
        <v/>
      </c>
      <c r="O1425">
        <f>HYPERLINK("imagenes/NAUTICA_CLASSICS_117003977_WIL_1.jpg","Ver imagen")</f>
        <v/>
      </c>
      <c r="P1425">
        <f>HYPERLINK("imagenes/NAUTICA_CLASSICS_117003977_WIL_2.jpg","Ver imagen")</f>
        <v/>
      </c>
      <c r="Q1425">
        <f>HYPERLINK("imagenes/NAUTICA_CLASSICS_117003977_WIL_3.jpg","Ver imagen")</f>
        <v/>
      </c>
    </row>
    <row r="1426">
      <c r="A1426" t="inlineStr">
        <is>
          <t>NAUTICA CLASSICS</t>
        </is>
      </c>
      <c r="B1426" t="inlineStr">
        <is>
          <t>117003977</t>
        </is>
      </c>
      <c r="C1426" t="inlineStr">
        <is>
          <t>LT WEIGH PUFFER</t>
        </is>
      </c>
      <c r="D1426" t="inlineStr">
        <is>
          <t>WIL</t>
        </is>
      </c>
      <c r="E1426" t="inlineStr">
        <is>
          <t>(en blanco)</t>
        </is>
      </c>
      <c r="F1426" t="inlineStr">
        <is>
          <t>(en blanco)</t>
        </is>
      </c>
      <c r="G1426" t="inlineStr">
        <is>
          <t>M</t>
        </is>
      </c>
      <c r="H1426" t="n">
        <v>17</v>
      </c>
      <c r="I1426" t="inlineStr">
        <is>
          <t>NAUTICA_CLASSICS_117003977_WIL_1.jpg</t>
        </is>
      </c>
      <c r="J1426" t="inlineStr">
        <is>
          <t>NAUTICA_CLASSICS_117003977_WIL_2.jpg</t>
        </is>
      </c>
      <c r="K1426" t="inlineStr">
        <is>
          <t>NAUTICA_CLASSICS_117003977_WIL_3.jpg</t>
        </is>
      </c>
      <c r="L1426">
        <f>IMAGE("file:///E:/Estudios%20y%20certificaciones/ESTUDIOS%20DE%20PROGRAMMING/PROGRAMMING/PERSONAL/PYTHON/Image_Generator_API/imagenes/NAUTICA_CLASSICS_117003977_WIL_1.jpg")</f>
        <v/>
      </c>
      <c r="M1426">
        <f>IMAGE("file:///E:/Estudios%20y%20certificaciones/ESTUDIOS%20DE%20PROGRAMMING/PROGRAMMING/PERSONAL/PYTHON/Image_Generator_API/imagenes/NAUTICA_CLASSICS_117003977_WIL_2.jpg")</f>
        <v/>
      </c>
      <c r="N1426">
        <f>IMAGE("file:///E:/Estudios%20y%20certificaciones/ESTUDIOS%20DE%20PROGRAMMING/PROGRAMMING/PERSONAL/PYTHON/Image_Generator_API/imagenes/NAUTICA_CLASSICS_117003977_WIL_3.jpg")</f>
        <v/>
      </c>
      <c r="O1426">
        <f>HYPERLINK("imagenes/NAUTICA_CLASSICS_117003977_WIL_1.jpg","Ver imagen")</f>
        <v/>
      </c>
      <c r="P1426">
        <f>HYPERLINK("imagenes/NAUTICA_CLASSICS_117003977_WIL_2.jpg","Ver imagen")</f>
        <v/>
      </c>
      <c r="Q1426">
        <f>HYPERLINK("imagenes/NAUTICA_CLASSICS_117003977_WIL_3.jpg","Ver imagen")</f>
        <v/>
      </c>
    </row>
    <row r="1427">
      <c r="A1427" t="inlineStr">
        <is>
          <t>NAUTICA CLASSICS</t>
        </is>
      </c>
      <c r="B1427" t="inlineStr">
        <is>
          <t>117003977</t>
        </is>
      </c>
      <c r="C1427" t="inlineStr">
        <is>
          <t>LT WEIGH PUFFER</t>
        </is>
      </c>
      <c r="D1427" t="inlineStr">
        <is>
          <t>WIL</t>
        </is>
      </c>
      <c r="E1427" t="inlineStr">
        <is>
          <t>(en blanco)</t>
        </is>
      </c>
      <c r="F1427" t="inlineStr">
        <is>
          <t>(en blanco)</t>
        </is>
      </c>
      <c r="G1427" t="inlineStr">
        <is>
          <t>L</t>
        </is>
      </c>
      <c r="H1427" t="n">
        <v>12</v>
      </c>
      <c r="I1427" t="inlineStr">
        <is>
          <t>NAUTICA_CLASSICS_117003977_WIL_1.jpg</t>
        </is>
      </c>
      <c r="J1427" t="inlineStr">
        <is>
          <t>NAUTICA_CLASSICS_117003977_WIL_2.jpg</t>
        </is>
      </c>
      <c r="K1427" t="inlineStr">
        <is>
          <t>NAUTICA_CLASSICS_117003977_WIL_3.jpg</t>
        </is>
      </c>
      <c r="L1427">
        <f>IMAGE("file:///E:/Estudios%20y%20certificaciones/ESTUDIOS%20DE%20PROGRAMMING/PROGRAMMING/PERSONAL/PYTHON/Image_Generator_API/imagenes/NAUTICA_CLASSICS_117003977_WIL_1.jpg")</f>
        <v/>
      </c>
      <c r="M1427">
        <f>IMAGE("file:///E:/Estudios%20y%20certificaciones/ESTUDIOS%20DE%20PROGRAMMING/PROGRAMMING/PERSONAL/PYTHON/Image_Generator_API/imagenes/NAUTICA_CLASSICS_117003977_WIL_2.jpg")</f>
        <v/>
      </c>
      <c r="N1427">
        <f>IMAGE("file:///E:/Estudios%20y%20certificaciones/ESTUDIOS%20DE%20PROGRAMMING/PROGRAMMING/PERSONAL/PYTHON/Image_Generator_API/imagenes/NAUTICA_CLASSICS_117003977_WIL_3.jpg")</f>
        <v/>
      </c>
      <c r="O1427">
        <f>HYPERLINK("imagenes/NAUTICA_CLASSICS_117003977_WIL_1.jpg","Ver imagen")</f>
        <v/>
      </c>
      <c r="P1427">
        <f>HYPERLINK("imagenes/NAUTICA_CLASSICS_117003977_WIL_2.jpg","Ver imagen")</f>
        <v/>
      </c>
      <c r="Q1427">
        <f>HYPERLINK("imagenes/NAUTICA_CLASSICS_117003977_WIL_3.jpg","Ver imagen")</f>
        <v/>
      </c>
    </row>
    <row r="1428">
      <c r="A1428" t="inlineStr">
        <is>
          <t>NAUTICA CLASSICS</t>
        </is>
      </c>
      <c r="B1428" t="inlineStr">
        <is>
          <t>117003977</t>
        </is>
      </c>
      <c r="C1428" t="inlineStr">
        <is>
          <t>LT WEIGH PUFFER</t>
        </is>
      </c>
      <c r="D1428" t="inlineStr">
        <is>
          <t>WIL</t>
        </is>
      </c>
      <c r="E1428" t="inlineStr">
        <is>
          <t>(en blanco)</t>
        </is>
      </c>
      <c r="F1428" t="inlineStr">
        <is>
          <t>(en blanco)</t>
        </is>
      </c>
      <c r="G1428" t="inlineStr">
        <is>
          <t>XL</t>
        </is>
      </c>
      <c r="H1428" t="n">
        <v>5</v>
      </c>
      <c r="I1428" t="inlineStr">
        <is>
          <t>NAUTICA_CLASSICS_117003977_WIL_1.jpg</t>
        </is>
      </c>
      <c r="J1428" t="inlineStr">
        <is>
          <t>NAUTICA_CLASSICS_117003977_WIL_2.jpg</t>
        </is>
      </c>
      <c r="K1428" t="inlineStr">
        <is>
          <t>NAUTICA_CLASSICS_117003977_WIL_3.jpg</t>
        </is>
      </c>
      <c r="L1428">
        <f>IMAGE("file:///E:/Estudios%20y%20certificaciones/ESTUDIOS%20DE%20PROGRAMMING/PROGRAMMING/PERSONAL/PYTHON/Image_Generator_API/imagenes/NAUTICA_CLASSICS_117003977_WIL_1.jpg")</f>
        <v/>
      </c>
      <c r="M1428">
        <f>IMAGE("file:///E:/Estudios%20y%20certificaciones/ESTUDIOS%20DE%20PROGRAMMING/PROGRAMMING/PERSONAL/PYTHON/Image_Generator_API/imagenes/NAUTICA_CLASSICS_117003977_WIL_2.jpg")</f>
        <v/>
      </c>
      <c r="N1428">
        <f>IMAGE("file:///E:/Estudios%20y%20certificaciones/ESTUDIOS%20DE%20PROGRAMMING/PROGRAMMING/PERSONAL/PYTHON/Image_Generator_API/imagenes/NAUTICA_CLASSICS_117003977_WIL_3.jpg")</f>
        <v/>
      </c>
      <c r="O1428">
        <f>HYPERLINK("imagenes/NAUTICA_CLASSICS_117003977_WIL_1.jpg","Ver imagen")</f>
        <v/>
      </c>
      <c r="P1428">
        <f>HYPERLINK("imagenes/NAUTICA_CLASSICS_117003977_WIL_2.jpg","Ver imagen")</f>
        <v/>
      </c>
      <c r="Q1428">
        <f>HYPERLINK("imagenes/NAUTICA_CLASSICS_117003977_WIL_3.jpg","Ver imagen")</f>
        <v/>
      </c>
    </row>
    <row r="1429">
      <c r="A1429" t="inlineStr">
        <is>
          <t>NAUTICA CLASSICS</t>
        </is>
      </c>
      <c r="B1429" t="inlineStr">
        <is>
          <t>117003977P</t>
        </is>
      </c>
      <c r="C1429" t="inlineStr">
        <is>
          <t>LT WEIGH PUFFER PLUS</t>
        </is>
      </c>
      <c r="D1429" t="inlineStr">
        <is>
          <t>BLK</t>
        </is>
      </c>
      <c r="E1429" t="inlineStr">
        <is>
          <t>(en blanco)</t>
        </is>
      </c>
      <c r="F1429" t="inlineStr">
        <is>
          <t>(en blanco)</t>
        </is>
      </c>
      <c r="G1429" t="inlineStr">
        <is>
          <t>0X</t>
        </is>
      </c>
      <c r="H1429" t="n">
        <v>120</v>
      </c>
      <c r="I1429" t="inlineStr">
        <is>
          <t>NAUTICA_CLASSICS_117003977P_BLK_1.jpg</t>
        </is>
      </c>
      <c r="J1429" t="inlineStr">
        <is>
          <t>NAUTICA_CLASSICS_117003977P_BLK_2.jpg</t>
        </is>
      </c>
      <c r="K1429" t="inlineStr">
        <is>
          <t>NAUTICA_CLASSICS_117003977P_BLK_3.jpg</t>
        </is>
      </c>
      <c r="L1429">
        <f>IMAGE("file:///E:/Estudios%20y%20certificaciones/ESTUDIOS%20DE%20PROGRAMMING/PROGRAMMING/PERSONAL/PYTHON/Image_Generator_API/imagenes/NAUTICA_CLASSICS_117003977P_BLK_1.jpg")</f>
        <v/>
      </c>
      <c r="M1429">
        <f>IMAGE("file:///E:/Estudios%20y%20certificaciones/ESTUDIOS%20DE%20PROGRAMMING/PROGRAMMING/PERSONAL/PYTHON/Image_Generator_API/imagenes/NAUTICA_CLASSICS_117003977P_BLK_2.jpg")</f>
        <v/>
      </c>
      <c r="N1429">
        <f>IMAGE("file:///E:/Estudios%20y%20certificaciones/ESTUDIOS%20DE%20PROGRAMMING/PROGRAMMING/PERSONAL/PYTHON/Image_Generator_API/imagenes/NAUTICA_CLASSICS_117003977P_BLK_3.jpg")</f>
        <v/>
      </c>
      <c r="O1429">
        <f>HYPERLINK("imagenes/NAUTICA_CLASSICS_117003977P_BLK_1.jpg","Ver imagen")</f>
        <v/>
      </c>
      <c r="P1429">
        <f>HYPERLINK("imagenes/NAUTICA_CLASSICS_117003977P_BLK_2.jpg","Ver imagen")</f>
        <v/>
      </c>
      <c r="Q1429">
        <f>HYPERLINK("imagenes/NAUTICA_CLASSICS_117003977P_BLK_3.jpg","Ver imagen")</f>
        <v/>
      </c>
    </row>
    <row r="1430">
      <c r="A1430" t="inlineStr">
        <is>
          <t>NAUTICA CLASSICS</t>
        </is>
      </c>
      <c r="B1430" t="inlineStr">
        <is>
          <t>117003977P</t>
        </is>
      </c>
      <c r="C1430" t="inlineStr">
        <is>
          <t>LT WEIGH PUFFER PLUS</t>
        </is>
      </c>
      <c r="D1430" t="inlineStr">
        <is>
          <t>BLK</t>
        </is>
      </c>
      <c r="E1430" t="inlineStr">
        <is>
          <t>(en blanco)</t>
        </is>
      </c>
      <c r="F1430" t="inlineStr">
        <is>
          <t>(en blanco)</t>
        </is>
      </c>
      <c r="G1430" t="inlineStr">
        <is>
          <t>1X</t>
        </is>
      </c>
      <c r="H1430" t="n">
        <v>172</v>
      </c>
      <c r="I1430" t="inlineStr">
        <is>
          <t>NAUTICA_CLASSICS_117003977P_BLK_1.jpg</t>
        </is>
      </c>
      <c r="J1430" t="inlineStr">
        <is>
          <t>NAUTICA_CLASSICS_117003977P_BLK_2.jpg</t>
        </is>
      </c>
      <c r="K1430" t="inlineStr">
        <is>
          <t>NAUTICA_CLASSICS_117003977P_BLK_3.jpg</t>
        </is>
      </c>
      <c r="L1430">
        <f>IMAGE("file:///E:/Estudios%20y%20certificaciones/ESTUDIOS%20DE%20PROGRAMMING/PROGRAMMING/PERSONAL/PYTHON/Image_Generator_API/imagenes/NAUTICA_CLASSICS_117003977P_BLK_1.jpg")</f>
        <v/>
      </c>
      <c r="M1430">
        <f>IMAGE("file:///E:/Estudios%20y%20certificaciones/ESTUDIOS%20DE%20PROGRAMMING/PROGRAMMING/PERSONAL/PYTHON/Image_Generator_API/imagenes/NAUTICA_CLASSICS_117003977P_BLK_2.jpg")</f>
        <v/>
      </c>
      <c r="N1430">
        <f>IMAGE("file:///E:/Estudios%20y%20certificaciones/ESTUDIOS%20DE%20PROGRAMMING/PROGRAMMING/PERSONAL/PYTHON/Image_Generator_API/imagenes/NAUTICA_CLASSICS_117003977P_BLK_3.jpg")</f>
        <v/>
      </c>
      <c r="O1430">
        <f>HYPERLINK("imagenes/NAUTICA_CLASSICS_117003977P_BLK_1.jpg","Ver imagen")</f>
        <v/>
      </c>
      <c r="P1430">
        <f>HYPERLINK("imagenes/NAUTICA_CLASSICS_117003977P_BLK_2.jpg","Ver imagen")</f>
        <v/>
      </c>
      <c r="Q1430">
        <f>HYPERLINK("imagenes/NAUTICA_CLASSICS_117003977P_BLK_3.jpg","Ver imagen")</f>
        <v/>
      </c>
    </row>
    <row r="1431">
      <c r="A1431" t="inlineStr">
        <is>
          <t>NAUTICA CLASSICS</t>
        </is>
      </c>
      <c r="B1431" t="inlineStr">
        <is>
          <t>117003977P</t>
        </is>
      </c>
      <c r="C1431" t="inlineStr">
        <is>
          <t>LT WEIGH PUFFER PLUS</t>
        </is>
      </c>
      <c r="D1431" t="inlineStr">
        <is>
          <t>BLK</t>
        </is>
      </c>
      <c r="E1431" t="inlineStr">
        <is>
          <t>(en blanco)</t>
        </is>
      </c>
      <c r="F1431" t="inlineStr">
        <is>
          <t>(en blanco)</t>
        </is>
      </c>
      <c r="G1431" t="inlineStr">
        <is>
          <t>2X</t>
        </is>
      </c>
      <c r="H1431" t="n">
        <v>216</v>
      </c>
      <c r="I1431" t="inlineStr">
        <is>
          <t>NAUTICA_CLASSICS_117003977P_BLK_1.jpg</t>
        </is>
      </c>
      <c r="J1431" t="inlineStr">
        <is>
          <t>NAUTICA_CLASSICS_117003977P_BLK_2.jpg</t>
        </is>
      </c>
      <c r="K1431" t="inlineStr">
        <is>
          <t>NAUTICA_CLASSICS_117003977P_BLK_3.jpg</t>
        </is>
      </c>
      <c r="L1431">
        <f>IMAGE("file:///E:/Estudios%20y%20certificaciones/ESTUDIOS%20DE%20PROGRAMMING/PROGRAMMING/PERSONAL/PYTHON/Image_Generator_API/imagenes/NAUTICA_CLASSICS_117003977P_BLK_1.jpg")</f>
        <v/>
      </c>
      <c r="M1431">
        <f>IMAGE("file:///E:/Estudios%20y%20certificaciones/ESTUDIOS%20DE%20PROGRAMMING/PROGRAMMING/PERSONAL/PYTHON/Image_Generator_API/imagenes/NAUTICA_CLASSICS_117003977P_BLK_2.jpg")</f>
        <v/>
      </c>
      <c r="N1431">
        <f>IMAGE("file:///E:/Estudios%20y%20certificaciones/ESTUDIOS%20DE%20PROGRAMMING/PROGRAMMING/PERSONAL/PYTHON/Image_Generator_API/imagenes/NAUTICA_CLASSICS_117003977P_BLK_3.jpg")</f>
        <v/>
      </c>
      <c r="O1431">
        <f>HYPERLINK("imagenes/NAUTICA_CLASSICS_117003977P_BLK_1.jpg","Ver imagen")</f>
        <v/>
      </c>
      <c r="P1431">
        <f>HYPERLINK("imagenes/NAUTICA_CLASSICS_117003977P_BLK_2.jpg","Ver imagen")</f>
        <v/>
      </c>
      <c r="Q1431">
        <f>HYPERLINK("imagenes/NAUTICA_CLASSICS_117003977P_BLK_3.jpg","Ver imagen")</f>
        <v/>
      </c>
    </row>
    <row r="1432">
      <c r="A1432" t="inlineStr">
        <is>
          <t>NAUTICA CLASSICS</t>
        </is>
      </c>
      <c r="B1432" t="inlineStr">
        <is>
          <t>117003977P</t>
        </is>
      </c>
      <c r="C1432" t="inlineStr">
        <is>
          <t>LT WEIGH PUFFER PLUS</t>
        </is>
      </c>
      <c r="D1432" t="inlineStr">
        <is>
          <t>BLK</t>
        </is>
      </c>
      <c r="E1432" t="inlineStr">
        <is>
          <t>(en blanco)</t>
        </is>
      </c>
      <c r="F1432" t="inlineStr">
        <is>
          <t>(en blanco)</t>
        </is>
      </c>
      <c r="G1432" t="inlineStr">
        <is>
          <t>3X</t>
        </is>
      </c>
      <c r="H1432" t="n">
        <v>184</v>
      </c>
      <c r="I1432" t="inlineStr">
        <is>
          <t>NAUTICA_CLASSICS_117003977P_BLK_1.jpg</t>
        </is>
      </c>
      <c r="J1432" t="inlineStr">
        <is>
          <t>NAUTICA_CLASSICS_117003977P_BLK_2.jpg</t>
        </is>
      </c>
      <c r="K1432" t="inlineStr">
        <is>
          <t>NAUTICA_CLASSICS_117003977P_BLK_3.jpg</t>
        </is>
      </c>
      <c r="L1432">
        <f>IMAGE("file:///E:/Estudios%20y%20certificaciones/ESTUDIOS%20DE%20PROGRAMMING/PROGRAMMING/PERSONAL/PYTHON/Image_Generator_API/imagenes/NAUTICA_CLASSICS_117003977P_BLK_1.jpg")</f>
        <v/>
      </c>
      <c r="M1432">
        <f>IMAGE("file:///E:/Estudios%20y%20certificaciones/ESTUDIOS%20DE%20PROGRAMMING/PROGRAMMING/PERSONAL/PYTHON/Image_Generator_API/imagenes/NAUTICA_CLASSICS_117003977P_BLK_2.jpg")</f>
        <v/>
      </c>
      <c r="N1432">
        <f>IMAGE("file:///E:/Estudios%20y%20certificaciones/ESTUDIOS%20DE%20PROGRAMMING/PROGRAMMING/PERSONAL/PYTHON/Image_Generator_API/imagenes/NAUTICA_CLASSICS_117003977P_BLK_3.jpg")</f>
        <v/>
      </c>
      <c r="O1432">
        <f>HYPERLINK("imagenes/NAUTICA_CLASSICS_117003977P_BLK_1.jpg","Ver imagen")</f>
        <v/>
      </c>
      <c r="P1432">
        <f>HYPERLINK("imagenes/NAUTICA_CLASSICS_117003977P_BLK_2.jpg","Ver imagen")</f>
        <v/>
      </c>
      <c r="Q1432">
        <f>HYPERLINK("imagenes/NAUTICA_CLASSICS_117003977P_BLK_3.jpg","Ver imagen")</f>
        <v/>
      </c>
    </row>
    <row r="1433">
      <c r="A1433" t="inlineStr">
        <is>
          <t>NAUTICA CLASSICS</t>
        </is>
      </c>
      <c r="B1433" t="inlineStr">
        <is>
          <t>117003977P</t>
        </is>
      </c>
      <c r="C1433" t="inlineStr">
        <is>
          <t>LT WEIGH PUFFER PLUS</t>
        </is>
      </c>
      <c r="D1433" t="inlineStr">
        <is>
          <t>BLK</t>
        </is>
      </c>
      <c r="E1433" t="inlineStr">
        <is>
          <t>(en blanco)</t>
        </is>
      </c>
      <c r="F1433" t="inlineStr">
        <is>
          <t>(en blanco)</t>
        </is>
      </c>
      <c r="G1433" t="inlineStr">
        <is>
          <t>4X</t>
        </is>
      </c>
      <c r="H1433" t="n">
        <v>109</v>
      </c>
      <c r="I1433" t="inlineStr">
        <is>
          <t>NAUTICA_CLASSICS_117003977P_BLK_1.jpg</t>
        </is>
      </c>
      <c r="J1433" t="inlineStr">
        <is>
          <t>NAUTICA_CLASSICS_117003977P_BLK_2.jpg</t>
        </is>
      </c>
      <c r="K1433" t="inlineStr">
        <is>
          <t>NAUTICA_CLASSICS_117003977P_BLK_3.jpg</t>
        </is>
      </c>
      <c r="L1433">
        <f>IMAGE("file:///E:/Estudios%20y%20certificaciones/ESTUDIOS%20DE%20PROGRAMMING/PROGRAMMING/PERSONAL/PYTHON/Image_Generator_API/imagenes/NAUTICA_CLASSICS_117003977P_BLK_1.jpg")</f>
        <v/>
      </c>
      <c r="M1433">
        <f>IMAGE("file:///E:/Estudios%20y%20certificaciones/ESTUDIOS%20DE%20PROGRAMMING/PROGRAMMING/PERSONAL/PYTHON/Image_Generator_API/imagenes/NAUTICA_CLASSICS_117003977P_BLK_2.jpg")</f>
        <v/>
      </c>
      <c r="N1433">
        <f>IMAGE("file:///E:/Estudios%20y%20certificaciones/ESTUDIOS%20DE%20PROGRAMMING/PROGRAMMING/PERSONAL/PYTHON/Image_Generator_API/imagenes/NAUTICA_CLASSICS_117003977P_BLK_3.jpg")</f>
        <v/>
      </c>
      <c r="O1433">
        <f>HYPERLINK("imagenes/NAUTICA_CLASSICS_117003977P_BLK_1.jpg","Ver imagen")</f>
        <v/>
      </c>
      <c r="P1433">
        <f>HYPERLINK("imagenes/NAUTICA_CLASSICS_117003977P_BLK_2.jpg","Ver imagen")</f>
        <v/>
      </c>
      <c r="Q1433">
        <f>HYPERLINK("imagenes/NAUTICA_CLASSICS_117003977P_BLK_3.jpg","Ver imagen")</f>
        <v/>
      </c>
    </row>
    <row r="1434">
      <c r="A1434" t="inlineStr">
        <is>
          <t>NAUTICA CLASSICS</t>
        </is>
      </c>
      <c r="B1434" t="inlineStr">
        <is>
          <t>117003977P</t>
        </is>
      </c>
      <c r="C1434" t="inlineStr">
        <is>
          <t>LT WEIGH PUFFER PLUS</t>
        </is>
      </c>
      <c r="D1434" t="inlineStr">
        <is>
          <t>SW4</t>
        </is>
      </c>
      <c r="E1434" t="inlineStr">
        <is>
          <t>(en blanco)</t>
        </is>
      </c>
      <c r="F1434" t="inlineStr">
        <is>
          <t>(en blanco)</t>
        </is>
      </c>
      <c r="G1434" t="inlineStr">
        <is>
          <t>0X</t>
        </is>
      </c>
      <c r="H1434" t="n">
        <v>82</v>
      </c>
      <c r="I1434" t="inlineStr">
        <is>
          <t>NAUTICA_CLASSICS_117003977P_SW4_1.jpg</t>
        </is>
      </c>
      <c r="J1434" t="inlineStr">
        <is>
          <t>NAUTICA_CLASSICS_117003977P_SW4_2.jpg</t>
        </is>
      </c>
      <c r="K1434" t="inlineStr">
        <is>
          <t>NAUTICA_CLASSICS_117003977P_SW4_3.jpg</t>
        </is>
      </c>
      <c r="L1434">
        <f>IMAGE("file:///E:/Estudios%20y%20certificaciones/ESTUDIOS%20DE%20PROGRAMMING/PROGRAMMING/PERSONAL/PYTHON/Image_Generator_API/imagenes/NAUTICA_CLASSICS_117003977P_SW4_1.jpg")</f>
        <v/>
      </c>
      <c r="M1434">
        <f>IMAGE("file:///E:/Estudios%20y%20certificaciones/ESTUDIOS%20DE%20PROGRAMMING/PROGRAMMING/PERSONAL/PYTHON/Image_Generator_API/imagenes/NAUTICA_CLASSICS_117003977P_SW4_2.jpg")</f>
        <v/>
      </c>
      <c r="N1434">
        <f>IMAGE("file:///E:/Estudios%20y%20certificaciones/ESTUDIOS%20DE%20PROGRAMMING/PROGRAMMING/PERSONAL/PYTHON/Image_Generator_API/imagenes/NAUTICA_CLASSICS_117003977P_SW4_3.jpg")</f>
        <v/>
      </c>
      <c r="O1434">
        <f>HYPERLINK("imagenes/NAUTICA_CLASSICS_117003977P_SW4_1.jpg","Ver imagen")</f>
        <v/>
      </c>
      <c r="P1434">
        <f>HYPERLINK("imagenes/NAUTICA_CLASSICS_117003977P_SW4_2.jpg","Ver imagen")</f>
        <v/>
      </c>
      <c r="Q1434">
        <f>HYPERLINK("imagenes/NAUTICA_CLASSICS_117003977P_SW4_3.jpg","Ver imagen")</f>
        <v/>
      </c>
    </row>
    <row r="1435">
      <c r="A1435" t="inlineStr">
        <is>
          <t>NAUTICA CLASSICS</t>
        </is>
      </c>
      <c r="B1435" t="inlineStr">
        <is>
          <t>117003977P</t>
        </is>
      </c>
      <c r="C1435" t="inlineStr">
        <is>
          <t>LT WEIGH PUFFER PLUS</t>
        </is>
      </c>
      <c r="D1435" t="inlineStr">
        <is>
          <t>SW4</t>
        </is>
      </c>
      <c r="E1435" t="inlineStr">
        <is>
          <t>(en blanco)</t>
        </is>
      </c>
      <c r="F1435" t="inlineStr">
        <is>
          <t>(en blanco)</t>
        </is>
      </c>
      <c r="G1435" t="inlineStr">
        <is>
          <t>1X</t>
        </is>
      </c>
      <c r="H1435" t="n">
        <v>182</v>
      </c>
      <c r="I1435" t="inlineStr">
        <is>
          <t>NAUTICA_CLASSICS_117003977P_SW4_1.jpg</t>
        </is>
      </c>
      <c r="J1435" t="inlineStr">
        <is>
          <t>NAUTICA_CLASSICS_117003977P_SW4_2.jpg</t>
        </is>
      </c>
      <c r="K1435" t="inlineStr">
        <is>
          <t>NAUTICA_CLASSICS_117003977P_SW4_3.jpg</t>
        </is>
      </c>
      <c r="L1435">
        <f>IMAGE("file:///E:/Estudios%20y%20certificaciones/ESTUDIOS%20DE%20PROGRAMMING/PROGRAMMING/PERSONAL/PYTHON/Image_Generator_API/imagenes/NAUTICA_CLASSICS_117003977P_SW4_1.jpg")</f>
        <v/>
      </c>
      <c r="M1435">
        <f>IMAGE("file:///E:/Estudios%20y%20certificaciones/ESTUDIOS%20DE%20PROGRAMMING/PROGRAMMING/PERSONAL/PYTHON/Image_Generator_API/imagenes/NAUTICA_CLASSICS_117003977P_SW4_2.jpg")</f>
        <v/>
      </c>
      <c r="N1435">
        <f>IMAGE("file:///E:/Estudios%20y%20certificaciones/ESTUDIOS%20DE%20PROGRAMMING/PROGRAMMING/PERSONAL/PYTHON/Image_Generator_API/imagenes/NAUTICA_CLASSICS_117003977P_SW4_3.jpg")</f>
        <v/>
      </c>
      <c r="O1435">
        <f>HYPERLINK("imagenes/NAUTICA_CLASSICS_117003977P_SW4_1.jpg","Ver imagen")</f>
        <v/>
      </c>
      <c r="P1435">
        <f>HYPERLINK("imagenes/NAUTICA_CLASSICS_117003977P_SW4_2.jpg","Ver imagen")</f>
        <v/>
      </c>
      <c r="Q1435">
        <f>HYPERLINK("imagenes/NAUTICA_CLASSICS_117003977P_SW4_3.jpg","Ver imagen")</f>
        <v/>
      </c>
    </row>
    <row r="1436">
      <c r="A1436" t="inlineStr">
        <is>
          <t>NAUTICA CLASSICS</t>
        </is>
      </c>
      <c r="B1436" t="inlineStr">
        <is>
          <t>117003977P</t>
        </is>
      </c>
      <c r="C1436" t="inlineStr">
        <is>
          <t>LT WEIGH PUFFER PLUS</t>
        </is>
      </c>
      <c r="D1436" t="inlineStr">
        <is>
          <t>SW4</t>
        </is>
      </c>
      <c r="E1436" t="inlineStr">
        <is>
          <t>(en blanco)</t>
        </is>
      </c>
      <c r="F1436" t="inlineStr">
        <is>
          <t>(en blanco)</t>
        </is>
      </c>
      <c r="G1436" t="inlineStr">
        <is>
          <t>2X</t>
        </is>
      </c>
      <c r="H1436" t="n">
        <v>204</v>
      </c>
      <c r="I1436" t="inlineStr">
        <is>
          <t>NAUTICA_CLASSICS_117003977P_SW4_1.jpg</t>
        </is>
      </c>
      <c r="J1436" t="inlineStr">
        <is>
          <t>NAUTICA_CLASSICS_117003977P_SW4_2.jpg</t>
        </is>
      </c>
      <c r="K1436" t="inlineStr">
        <is>
          <t>NAUTICA_CLASSICS_117003977P_SW4_3.jpg</t>
        </is>
      </c>
      <c r="L1436">
        <f>IMAGE("file:///E:/Estudios%20y%20certificaciones/ESTUDIOS%20DE%20PROGRAMMING/PROGRAMMING/PERSONAL/PYTHON/Image_Generator_API/imagenes/NAUTICA_CLASSICS_117003977P_SW4_1.jpg")</f>
        <v/>
      </c>
      <c r="M1436">
        <f>IMAGE("file:///E:/Estudios%20y%20certificaciones/ESTUDIOS%20DE%20PROGRAMMING/PROGRAMMING/PERSONAL/PYTHON/Image_Generator_API/imagenes/NAUTICA_CLASSICS_117003977P_SW4_2.jpg")</f>
        <v/>
      </c>
      <c r="N1436">
        <f>IMAGE("file:///E:/Estudios%20y%20certificaciones/ESTUDIOS%20DE%20PROGRAMMING/PROGRAMMING/PERSONAL/PYTHON/Image_Generator_API/imagenes/NAUTICA_CLASSICS_117003977P_SW4_3.jpg")</f>
        <v/>
      </c>
      <c r="O1436">
        <f>HYPERLINK("imagenes/NAUTICA_CLASSICS_117003977P_SW4_1.jpg","Ver imagen")</f>
        <v/>
      </c>
      <c r="P1436">
        <f>HYPERLINK("imagenes/NAUTICA_CLASSICS_117003977P_SW4_2.jpg","Ver imagen")</f>
        <v/>
      </c>
      <c r="Q1436">
        <f>HYPERLINK("imagenes/NAUTICA_CLASSICS_117003977P_SW4_3.jpg","Ver imagen")</f>
        <v/>
      </c>
    </row>
    <row r="1437">
      <c r="A1437" t="inlineStr">
        <is>
          <t>NAUTICA CLASSICS</t>
        </is>
      </c>
      <c r="B1437" t="inlineStr">
        <is>
          <t>117003977P</t>
        </is>
      </c>
      <c r="C1437" t="inlineStr">
        <is>
          <t>LT WEIGH PUFFER PLUS</t>
        </is>
      </c>
      <c r="D1437" t="inlineStr">
        <is>
          <t>SW4</t>
        </is>
      </c>
      <c r="E1437" t="inlineStr">
        <is>
          <t>(en blanco)</t>
        </is>
      </c>
      <c r="F1437" t="inlineStr">
        <is>
          <t>(en blanco)</t>
        </is>
      </c>
      <c r="G1437" t="inlineStr">
        <is>
          <t>3X</t>
        </is>
      </c>
      <c r="H1437" t="n">
        <v>133</v>
      </c>
      <c r="I1437" t="inlineStr">
        <is>
          <t>NAUTICA_CLASSICS_117003977P_SW4_1.jpg</t>
        </is>
      </c>
      <c r="J1437" t="inlineStr">
        <is>
          <t>NAUTICA_CLASSICS_117003977P_SW4_2.jpg</t>
        </is>
      </c>
      <c r="K1437" t="inlineStr">
        <is>
          <t>NAUTICA_CLASSICS_117003977P_SW4_3.jpg</t>
        </is>
      </c>
      <c r="L1437">
        <f>IMAGE("file:///E:/Estudios%20y%20certificaciones/ESTUDIOS%20DE%20PROGRAMMING/PROGRAMMING/PERSONAL/PYTHON/Image_Generator_API/imagenes/NAUTICA_CLASSICS_117003977P_SW4_1.jpg")</f>
        <v/>
      </c>
      <c r="M1437">
        <f>IMAGE("file:///E:/Estudios%20y%20certificaciones/ESTUDIOS%20DE%20PROGRAMMING/PROGRAMMING/PERSONAL/PYTHON/Image_Generator_API/imagenes/NAUTICA_CLASSICS_117003977P_SW4_2.jpg")</f>
        <v/>
      </c>
      <c r="N1437">
        <f>IMAGE("file:///E:/Estudios%20y%20certificaciones/ESTUDIOS%20DE%20PROGRAMMING/PROGRAMMING/PERSONAL/PYTHON/Image_Generator_API/imagenes/NAUTICA_CLASSICS_117003977P_SW4_3.jpg")</f>
        <v/>
      </c>
      <c r="O1437">
        <f>HYPERLINK("imagenes/NAUTICA_CLASSICS_117003977P_SW4_1.jpg","Ver imagen")</f>
        <v/>
      </c>
      <c r="P1437">
        <f>HYPERLINK("imagenes/NAUTICA_CLASSICS_117003977P_SW4_2.jpg","Ver imagen")</f>
        <v/>
      </c>
      <c r="Q1437">
        <f>HYPERLINK("imagenes/NAUTICA_CLASSICS_117003977P_SW4_3.jpg","Ver imagen")</f>
        <v/>
      </c>
    </row>
    <row r="1438">
      <c r="A1438" t="inlineStr">
        <is>
          <t>NAUTICA CLASSICS</t>
        </is>
      </c>
      <c r="B1438" t="inlineStr">
        <is>
          <t>117003977P</t>
        </is>
      </c>
      <c r="C1438" t="inlineStr">
        <is>
          <t>LT WEIGH PUFFER PLUS</t>
        </is>
      </c>
      <c r="D1438" t="inlineStr">
        <is>
          <t>SW4</t>
        </is>
      </c>
      <c r="E1438" t="inlineStr">
        <is>
          <t>(en blanco)</t>
        </is>
      </c>
      <c r="F1438" t="inlineStr">
        <is>
          <t>(en blanco)</t>
        </is>
      </c>
      <c r="G1438" t="inlineStr">
        <is>
          <t>4X</t>
        </is>
      </c>
      <c r="H1438" t="n">
        <v>50</v>
      </c>
      <c r="I1438" t="inlineStr">
        <is>
          <t>NAUTICA_CLASSICS_117003977P_SW4_1.jpg</t>
        </is>
      </c>
      <c r="J1438" t="inlineStr">
        <is>
          <t>NAUTICA_CLASSICS_117003977P_SW4_2.jpg</t>
        </is>
      </c>
      <c r="K1438" t="inlineStr">
        <is>
          <t>NAUTICA_CLASSICS_117003977P_SW4_3.jpg</t>
        </is>
      </c>
      <c r="L1438">
        <f>IMAGE("file:///E:/Estudios%20y%20certificaciones/ESTUDIOS%20DE%20PROGRAMMING/PROGRAMMING/PERSONAL/PYTHON/Image_Generator_API/imagenes/NAUTICA_CLASSICS_117003977P_SW4_1.jpg")</f>
        <v/>
      </c>
      <c r="M1438">
        <f>IMAGE("file:///E:/Estudios%20y%20certificaciones/ESTUDIOS%20DE%20PROGRAMMING/PROGRAMMING/PERSONAL/PYTHON/Image_Generator_API/imagenes/NAUTICA_CLASSICS_117003977P_SW4_2.jpg")</f>
        <v/>
      </c>
      <c r="N1438">
        <f>IMAGE("file:///E:/Estudios%20y%20certificaciones/ESTUDIOS%20DE%20PROGRAMMING/PROGRAMMING/PERSONAL/PYTHON/Image_Generator_API/imagenes/NAUTICA_CLASSICS_117003977P_SW4_3.jpg")</f>
        <v/>
      </c>
      <c r="O1438">
        <f>HYPERLINK("imagenes/NAUTICA_CLASSICS_117003977P_SW4_1.jpg","Ver imagen")</f>
        <v/>
      </c>
      <c r="P1438">
        <f>HYPERLINK("imagenes/NAUTICA_CLASSICS_117003977P_SW4_2.jpg","Ver imagen")</f>
        <v/>
      </c>
      <c r="Q1438">
        <f>HYPERLINK("imagenes/NAUTICA_CLASSICS_117003977P_SW4_3.jpg","Ver imagen")</f>
        <v/>
      </c>
    </row>
    <row r="1439">
      <c r="A1439" t="inlineStr">
        <is>
          <t>NAUTICA CLASSICS</t>
        </is>
      </c>
      <c r="B1439" t="inlineStr">
        <is>
          <t>117004036</t>
        </is>
      </c>
      <c r="C1439" t="inlineStr">
        <is>
          <t>STRETCH PUFFER</t>
        </is>
      </c>
      <c r="D1439" t="inlineStr">
        <is>
          <t>BLK</t>
        </is>
      </c>
      <c r="E1439" t="inlineStr">
        <is>
          <t>08A05</t>
        </is>
      </c>
      <c r="F1439" t="inlineStr">
        <is>
          <t>(en blanco)</t>
        </is>
      </c>
      <c r="G1439" t="inlineStr">
        <is>
          <t>PPK</t>
        </is>
      </c>
      <c r="H1439" t="n">
        <v>15592</v>
      </c>
      <c r="I1439" t="inlineStr">
        <is>
          <t>NAUTICA_CLASSICS_117004036_BLK_2.jpg</t>
        </is>
      </c>
      <c r="J1439" t="inlineStr">
        <is>
          <t>NAUTICA_CLASSICS_117004036_BLK_3.jpg</t>
        </is>
      </c>
      <c r="L1439">
        <f>IMAGE("file:///E:/Estudios%20y%20certificaciones/ESTUDIOS%20DE%20PROGRAMMING/PROGRAMMING/PERSONAL/PYTHON/Image_Generator_API/imagenes/NAUTICA_CLASSICS_117004036_BLK_2.jpg")</f>
        <v/>
      </c>
      <c r="M1439">
        <f>IMAGE("file:///E:/Estudios%20y%20certificaciones/ESTUDIOS%20DE%20PROGRAMMING/PROGRAMMING/PERSONAL/PYTHON/Image_Generator_API/imagenes/NAUTICA_CLASSICS_117004036_BLK_3.jpg")</f>
        <v/>
      </c>
      <c r="O1439">
        <f>HYPERLINK("imagenes/NAUTICA_CLASSICS_117004036_BLK_2.jpg","Ver imagen")</f>
        <v/>
      </c>
      <c r="P1439">
        <f>HYPERLINK("imagenes/NAUTICA_CLASSICS_117004036_BLK_3.jpg","Ver imagen")</f>
        <v/>
      </c>
    </row>
    <row r="1440">
      <c r="A1440" t="inlineStr">
        <is>
          <t>NAUTICA CLASSICS</t>
        </is>
      </c>
      <c r="B1440" t="inlineStr">
        <is>
          <t>117004036</t>
        </is>
      </c>
      <c r="C1440" t="inlineStr">
        <is>
          <t>STRETCH PUFFER</t>
        </is>
      </c>
      <c r="D1440" t="inlineStr">
        <is>
          <t>BLK</t>
        </is>
      </c>
      <c r="E1440" t="inlineStr">
        <is>
          <t>(en blanco)</t>
        </is>
      </c>
      <c r="F1440" t="inlineStr">
        <is>
          <t>(en blanco)</t>
        </is>
      </c>
      <c r="G1440" t="inlineStr">
        <is>
          <t>XS</t>
        </is>
      </c>
      <c r="H1440" t="n">
        <v>191</v>
      </c>
      <c r="I1440" t="inlineStr">
        <is>
          <t>NAUTICA_CLASSICS_117004036_BLK_2.jpg</t>
        </is>
      </c>
      <c r="J1440" t="inlineStr">
        <is>
          <t>NAUTICA_CLASSICS_117004036_BLK_3.jpg</t>
        </is>
      </c>
      <c r="L1440">
        <f>IMAGE("file:///E:/Estudios%20y%20certificaciones/ESTUDIOS%20DE%20PROGRAMMING/PROGRAMMING/PERSONAL/PYTHON/Image_Generator_API/imagenes/NAUTICA_CLASSICS_117004036_BLK_2.jpg")</f>
        <v/>
      </c>
      <c r="M1440">
        <f>IMAGE("file:///E:/Estudios%20y%20certificaciones/ESTUDIOS%20DE%20PROGRAMMING/PROGRAMMING/PERSONAL/PYTHON/Image_Generator_API/imagenes/NAUTICA_CLASSICS_117004036_BLK_3.jpg")</f>
        <v/>
      </c>
      <c r="O1440">
        <f>HYPERLINK("imagenes/NAUTICA_CLASSICS_117004036_BLK_2.jpg","Ver imagen")</f>
        <v/>
      </c>
      <c r="P1440">
        <f>HYPERLINK("imagenes/NAUTICA_CLASSICS_117004036_BLK_3.jpg","Ver imagen")</f>
        <v/>
      </c>
    </row>
    <row r="1441">
      <c r="A1441" t="inlineStr">
        <is>
          <t>NAUTICA CLASSICS</t>
        </is>
      </c>
      <c r="B1441" t="inlineStr">
        <is>
          <t>117004036</t>
        </is>
      </c>
      <c r="C1441" t="inlineStr">
        <is>
          <t>STRETCH PUFFER</t>
        </is>
      </c>
      <c r="D1441" t="inlineStr">
        <is>
          <t>BLK</t>
        </is>
      </c>
      <c r="E1441" t="inlineStr">
        <is>
          <t>(en blanco)</t>
        </is>
      </c>
      <c r="F1441" t="inlineStr">
        <is>
          <t>(en blanco)</t>
        </is>
      </c>
      <c r="G1441" t="inlineStr">
        <is>
          <t>S</t>
        </is>
      </c>
      <c r="H1441" t="n">
        <v>353</v>
      </c>
      <c r="I1441" t="inlineStr">
        <is>
          <t>NAUTICA_CLASSICS_117004036_BLK_2.jpg</t>
        </is>
      </c>
      <c r="J1441" t="inlineStr">
        <is>
          <t>NAUTICA_CLASSICS_117004036_BLK_3.jpg</t>
        </is>
      </c>
      <c r="L1441">
        <f>IMAGE("file:///E:/Estudios%20y%20certificaciones/ESTUDIOS%20DE%20PROGRAMMING/PROGRAMMING/PERSONAL/PYTHON/Image_Generator_API/imagenes/NAUTICA_CLASSICS_117004036_BLK_2.jpg")</f>
        <v/>
      </c>
      <c r="M1441">
        <f>IMAGE("file:///E:/Estudios%20y%20certificaciones/ESTUDIOS%20DE%20PROGRAMMING/PROGRAMMING/PERSONAL/PYTHON/Image_Generator_API/imagenes/NAUTICA_CLASSICS_117004036_BLK_3.jpg")</f>
        <v/>
      </c>
      <c r="O1441">
        <f>HYPERLINK("imagenes/NAUTICA_CLASSICS_117004036_BLK_2.jpg","Ver imagen")</f>
        <v/>
      </c>
      <c r="P1441">
        <f>HYPERLINK("imagenes/NAUTICA_CLASSICS_117004036_BLK_3.jpg","Ver imagen")</f>
        <v/>
      </c>
    </row>
    <row r="1442">
      <c r="A1442" t="inlineStr">
        <is>
          <t>NAUTICA CLASSICS</t>
        </is>
      </c>
      <c r="B1442" t="inlineStr">
        <is>
          <t>117004036</t>
        </is>
      </c>
      <c r="C1442" t="inlineStr">
        <is>
          <t>STRETCH PUFFER</t>
        </is>
      </c>
      <c r="D1442" t="inlineStr">
        <is>
          <t>BLK</t>
        </is>
      </c>
      <c r="E1442" t="inlineStr">
        <is>
          <t>(en blanco)</t>
        </is>
      </c>
      <c r="F1442" t="inlineStr">
        <is>
          <t>(en blanco)</t>
        </is>
      </c>
      <c r="G1442" t="inlineStr">
        <is>
          <t>M</t>
        </is>
      </c>
      <c r="H1442" t="n">
        <v>357</v>
      </c>
      <c r="I1442" t="inlineStr">
        <is>
          <t>NAUTICA_CLASSICS_117004036_BLK_2.jpg</t>
        </is>
      </c>
      <c r="J1442" t="inlineStr">
        <is>
          <t>NAUTICA_CLASSICS_117004036_BLK_3.jpg</t>
        </is>
      </c>
      <c r="L1442">
        <f>IMAGE("file:///E:/Estudios%20y%20certificaciones/ESTUDIOS%20DE%20PROGRAMMING/PROGRAMMING/PERSONAL/PYTHON/Image_Generator_API/imagenes/NAUTICA_CLASSICS_117004036_BLK_2.jpg")</f>
        <v/>
      </c>
      <c r="M1442">
        <f>IMAGE("file:///E:/Estudios%20y%20certificaciones/ESTUDIOS%20DE%20PROGRAMMING/PROGRAMMING/PERSONAL/PYTHON/Image_Generator_API/imagenes/NAUTICA_CLASSICS_117004036_BLK_3.jpg")</f>
        <v/>
      </c>
      <c r="O1442">
        <f>HYPERLINK("imagenes/NAUTICA_CLASSICS_117004036_BLK_2.jpg","Ver imagen")</f>
        <v/>
      </c>
      <c r="P1442">
        <f>HYPERLINK("imagenes/NAUTICA_CLASSICS_117004036_BLK_3.jpg","Ver imagen")</f>
        <v/>
      </c>
    </row>
    <row r="1443">
      <c r="A1443" t="inlineStr">
        <is>
          <t>NAUTICA CLASSICS</t>
        </is>
      </c>
      <c r="B1443" t="inlineStr">
        <is>
          <t>117004036</t>
        </is>
      </c>
      <c r="C1443" t="inlineStr">
        <is>
          <t>STRETCH PUFFER</t>
        </is>
      </c>
      <c r="D1443" t="inlineStr">
        <is>
          <t>BLK</t>
        </is>
      </c>
      <c r="E1443" t="inlineStr">
        <is>
          <t>(en blanco)</t>
        </is>
      </c>
      <c r="F1443" t="inlineStr">
        <is>
          <t>(en blanco)</t>
        </is>
      </c>
      <c r="G1443" t="inlineStr">
        <is>
          <t>L</t>
        </is>
      </c>
      <c r="H1443" t="n">
        <v>358</v>
      </c>
      <c r="I1443" t="inlineStr">
        <is>
          <t>NAUTICA_CLASSICS_117004036_BLK_2.jpg</t>
        </is>
      </c>
      <c r="J1443" t="inlineStr">
        <is>
          <t>NAUTICA_CLASSICS_117004036_BLK_3.jpg</t>
        </is>
      </c>
      <c r="L1443">
        <f>IMAGE("file:///E:/Estudios%20y%20certificaciones/ESTUDIOS%20DE%20PROGRAMMING/PROGRAMMING/PERSONAL/PYTHON/Image_Generator_API/imagenes/NAUTICA_CLASSICS_117004036_BLK_2.jpg")</f>
        <v/>
      </c>
      <c r="M1443">
        <f>IMAGE("file:///E:/Estudios%20y%20certificaciones/ESTUDIOS%20DE%20PROGRAMMING/PROGRAMMING/PERSONAL/PYTHON/Image_Generator_API/imagenes/NAUTICA_CLASSICS_117004036_BLK_3.jpg")</f>
        <v/>
      </c>
      <c r="O1443">
        <f>HYPERLINK("imagenes/NAUTICA_CLASSICS_117004036_BLK_2.jpg","Ver imagen")</f>
        <v/>
      </c>
      <c r="P1443">
        <f>HYPERLINK("imagenes/NAUTICA_CLASSICS_117004036_BLK_3.jpg","Ver imagen")</f>
        <v/>
      </c>
    </row>
    <row r="1444">
      <c r="A1444" t="inlineStr">
        <is>
          <t>NAUTICA CLASSICS</t>
        </is>
      </c>
      <c r="B1444" t="inlineStr">
        <is>
          <t>117004036</t>
        </is>
      </c>
      <c r="C1444" t="inlineStr">
        <is>
          <t>STRETCH PUFFER</t>
        </is>
      </c>
      <c r="D1444" t="inlineStr">
        <is>
          <t>BLK</t>
        </is>
      </c>
      <c r="E1444" t="inlineStr">
        <is>
          <t>(en blanco)</t>
        </is>
      </c>
      <c r="F1444" t="inlineStr">
        <is>
          <t>(en blanco)</t>
        </is>
      </c>
      <c r="G1444" t="inlineStr">
        <is>
          <t>XL</t>
        </is>
      </c>
      <c r="H1444" t="n">
        <v>179</v>
      </c>
      <c r="I1444" t="inlineStr">
        <is>
          <t>NAUTICA_CLASSICS_117004036_BLK_2.jpg</t>
        </is>
      </c>
      <c r="J1444" t="inlineStr">
        <is>
          <t>NAUTICA_CLASSICS_117004036_BLK_3.jpg</t>
        </is>
      </c>
      <c r="L1444">
        <f>IMAGE("file:///E:/Estudios%20y%20certificaciones/ESTUDIOS%20DE%20PROGRAMMING/PROGRAMMING/PERSONAL/PYTHON/Image_Generator_API/imagenes/NAUTICA_CLASSICS_117004036_BLK_2.jpg")</f>
        <v/>
      </c>
      <c r="M1444">
        <f>IMAGE("file:///E:/Estudios%20y%20certificaciones/ESTUDIOS%20DE%20PROGRAMMING/PROGRAMMING/PERSONAL/PYTHON/Image_Generator_API/imagenes/NAUTICA_CLASSICS_117004036_BLK_3.jpg")</f>
        <v/>
      </c>
      <c r="O1444">
        <f>HYPERLINK("imagenes/NAUTICA_CLASSICS_117004036_BLK_2.jpg","Ver imagen")</f>
        <v/>
      </c>
      <c r="P1444">
        <f>HYPERLINK("imagenes/NAUTICA_CLASSICS_117004036_BLK_3.jpg","Ver imagen")</f>
        <v/>
      </c>
    </row>
    <row r="1445">
      <c r="A1445" t="inlineStr">
        <is>
          <t>NAUTICA CLASSICS</t>
        </is>
      </c>
      <c r="B1445" t="inlineStr">
        <is>
          <t>117004036</t>
        </is>
      </c>
      <c r="C1445" t="inlineStr">
        <is>
          <t>STRETCH PUFFER</t>
        </is>
      </c>
      <c r="D1445" t="inlineStr">
        <is>
          <t>NAR</t>
        </is>
      </c>
      <c r="E1445" t="inlineStr">
        <is>
          <t>08A05</t>
        </is>
      </c>
      <c r="F1445" t="inlineStr">
        <is>
          <t>(en blanco)</t>
        </is>
      </c>
      <c r="G1445" t="inlineStr">
        <is>
          <t>PPK</t>
        </is>
      </c>
      <c r="H1445" t="n">
        <v>1928</v>
      </c>
      <c r="I1445" t="inlineStr">
        <is>
          <t>NAUTICA_CLASSICS_117004036_NAR_1.jpg</t>
        </is>
      </c>
      <c r="J1445" t="inlineStr">
        <is>
          <t>NAUTICA_CLASSICS_117004036_NAR_2.jpg</t>
        </is>
      </c>
      <c r="K1445" t="inlineStr">
        <is>
          <t>NAUTICA_CLASSICS_117004036_NAR_3.jpg</t>
        </is>
      </c>
      <c r="L1445">
        <f>IMAGE("file:///E:/Estudios%20y%20certificaciones/ESTUDIOS%20DE%20PROGRAMMING/PROGRAMMING/PERSONAL/PYTHON/Image_Generator_API/imagenes/NAUTICA_CLASSICS_117004036_NAR_1.jpg")</f>
        <v/>
      </c>
      <c r="M1445">
        <f>IMAGE("file:///E:/Estudios%20y%20certificaciones/ESTUDIOS%20DE%20PROGRAMMING/PROGRAMMING/PERSONAL/PYTHON/Image_Generator_API/imagenes/NAUTICA_CLASSICS_117004036_NAR_2.jpg")</f>
        <v/>
      </c>
      <c r="N1445">
        <f>IMAGE("file:///E:/Estudios%20y%20certificaciones/ESTUDIOS%20DE%20PROGRAMMING/PROGRAMMING/PERSONAL/PYTHON/Image_Generator_API/imagenes/NAUTICA_CLASSICS_117004036_NAR_3.jpg")</f>
        <v/>
      </c>
      <c r="O1445">
        <f>HYPERLINK("imagenes/NAUTICA_CLASSICS_117004036_NAR_1.jpg","Ver imagen")</f>
        <v/>
      </c>
      <c r="P1445">
        <f>HYPERLINK("imagenes/NAUTICA_CLASSICS_117004036_NAR_2.jpg","Ver imagen")</f>
        <v/>
      </c>
      <c r="Q1445">
        <f>HYPERLINK("imagenes/NAUTICA_CLASSICS_117004036_NAR_3.jpg","Ver imagen")</f>
        <v/>
      </c>
    </row>
    <row r="1446">
      <c r="A1446" t="inlineStr">
        <is>
          <t>NAUTICA CLASSICS</t>
        </is>
      </c>
      <c r="B1446" t="inlineStr">
        <is>
          <t>117004036</t>
        </is>
      </c>
      <c r="C1446" t="inlineStr">
        <is>
          <t>STRETCH PUFFER</t>
        </is>
      </c>
      <c r="D1446" t="inlineStr">
        <is>
          <t>NAR</t>
        </is>
      </c>
      <c r="E1446" t="inlineStr">
        <is>
          <t>(en blanco)</t>
        </is>
      </c>
      <c r="F1446" t="inlineStr">
        <is>
          <t>(en blanco)</t>
        </is>
      </c>
      <c r="G1446" t="inlineStr">
        <is>
          <t>XS</t>
        </is>
      </c>
      <c r="H1446" t="n">
        <v>16</v>
      </c>
      <c r="I1446" t="inlineStr">
        <is>
          <t>NAUTICA_CLASSICS_117004036_NAR_1.jpg</t>
        </is>
      </c>
      <c r="J1446" t="inlineStr">
        <is>
          <t>NAUTICA_CLASSICS_117004036_NAR_2.jpg</t>
        </is>
      </c>
      <c r="K1446" t="inlineStr">
        <is>
          <t>NAUTICA_CLASSICS_117004036_NAR_3.jpg</t>
        </is>
      </c>
      <c r="L1446">
        <f>IMAGE("file:///E:/Estudios%20y%20certificaciones/ESTUDIOS%20DE%20PROGRAMMING/PROGRAMMING/PERSONAL/PYTHON/Image_Generator_API/imagenes/NAUTICA_CLASSICS_117004036_NAR_1.jpg")</f>
        <v/>
      </c>
      <c r="M1446">
        <f>IMAGE("file:///E:/Estudios%20y%20certificaciones/ESTUDIOS%20DE%20PROGRAMMING/PROGRAMMING/PERSONAL/PYTHON/Image_Generator_API/imagenes/NAUTICA_CLASSICS_117004036_NAR_2.jpg")</f>
        <v/>
      </c>
      <c r="N1446">
        <f>IMAGE("file:///E:/Estudios%20y%20certificaciones/ESTUDIOS%20DE%20PROGRAMMING/PROGRAMMING/PERSONAL/PYTHON/Image_Generator_API/imagenes/NAUTICA_CLASSICS_117004036_NAR_3.jpg")</f>
        <v/>
      </c>
      <c r="O1446">
        <f>HYPERLINK("imagenes/NAUTICA_CLASSICS_117004036_NAR_1.jpg","Ver imagen")</f>
        <v/>
      </c>
      <c r="P1446">
        <f>HYPERLINK("imagenes/NAUTICA_CLASSICS_117004036_NAR_2.jpg","Ver imagen")</f>
        <v/>
      </c>
      <c r="Q1446">
        <f>HYPERLINK("imagenes/NAUTICA_CLASSICS_117004036_NAR_3.jpg","Ver imagen")</f>
        <v/>
      </c>
    </row>
    <row r="1447">
      <c r="A1447" t="inlineStr">
        <is>
          <t>NAUTICA CLASSICS</t>
        </is>
      </c>
      <c r="B1447" t="inlineStr">
        <is>
          <t>117004036</t>
        </is>
      </c>
      <c r="C1447" t="inlineStr">
        <is>
          <t>STRETCH PUFFER</t>
        </is>
      </c>
      <c r="D1447" t="inlineStr">
        <is>
          <t>NAR</t>
        </is>
      </c>
      <c r="E1447" t="inlineStr">
        <is>
          <t>(en blanco)</t>
        </is>
      </c>
      <c r="F1447" t="inlineStr">
        <is>
          <t>(en blanco)</t>
        </is>
      </c>
      <c r="G1447" t="inlineStr">
        <is>
          <t>S</t>
        </is>
      </c>
      <c r="H1447" t="n">
        <v>38</v>
      </c>
      <c r="I1447" t="inlineStr">
        <is>
          <t>NAUTICA_CLASSICS_117004036_NAR_1.jpg</t>
        </is>
      </c>
      <c r="J1447" t="inlineStr">
        <is>
          <t>NAUTICA_CLASSICS_117004036_NAR_2.jpg</t>
        </is>
      </c>
      <c r="K1447" t="inlineStr">
        <is>
          <t>NAUTICA_CLASSICS_117004036_NAR_3.jpg</t>
        </is>
      </c>
      <c r="L1447">
        <f>IMAGE("file:///E:/Estudios%20y%20certificaciones/ESTUDIOS%20DE%20PROGRAMMING/PROGRAMMING/PERSONAL/PYTHON/Image_Generator_API/imagenes/NAUTICA_CLASSICS_117004036_NAR_1.jpg")</f>
        <v/>
      </c>
      <c r="M1447">
        <f>IMAGE("file:///E:/Estudios%20y%20certificaciones/ESTUDIOS%20DE%20PROGRAMMING/PROGRAMMING/PERSONAL/PYTHON/Image_Generator_API/imagenes/NAUTICA_CLASSICS_117004036_NAR_2.jpg")</f>
        <v/>
      </c>
      <c r="N1447">
        <f>IMAGE("file:///E:/Estudios%20y%20certificaciones/ESTUDIOS%20DE%20PROGRAMMING/PROGRAMMING/PERSONAL/PYTHON/Image_Generator_API/imagenes/NAUTICA_CLASSICS_117004036_NAR_3.jpg")</f>
        <v/>
      </c>
      <c r="O1447">
        <f>HYPERLINK("imagenes/NAUTICA_CLASSICS_117004036_NAR_1.jpg","Ver imagen")</f>
        <v/>
      </c>
      <c r="P1447">
        <f>HYPERLINK("imagenes/NAUTICA_CLASSICS_117004036_NAR_2.jpg","Ver imagen")</f>
        <v/>
      </c>
      <c r="Q1447">
        <f>HYPERLINK("imagenes/NAUTICA_CLASSICS_117004036_NAR_3.jpg","Ver imagen")</f>
        <v/>
      </c>
    </row>
    <row r="1448">
      <c r="A1448" t="inlineStr">
        <is>
          <t>NAUTICA CLASSICS</t>
        </is>
      </c>
      <c r="B1448" t="inlineStr">
        <is>
          <t>117004036</t>
        </is>
      </c>
      <c r="C1448" t="inlineStr">
        <is>
          <t>STRETCH PUFFER</t>
        </is>
      </c>
      <c r="D1448" t="inlineStr">
        <is>
          <t>NAR</t>
        </is>
      </c>
      <c r="E1448" t="inlineStr">
        <is>
          <t>(en blanco)</t>
        </is>
      </c>
      <c r="F1448" t="inlineStr">
        <is>
          <t>(en blanco)</t>
        </is>
      </c>
      <c r="G1448" t="inlineStr">
        <is>
          <t>M</t>
        </is>
      </c>
      <c r="H1448" t="n">
        <v>35</v>
      </c>
      <c r="I1448" t="inlineStr">
        <is>
          <t>NAUTICA_CLASSICS_117004036_NAR_1.jpg</t>
        </is>
      </c>
      <c r="J1448" t="inlineStr">
        <is>
          <t>NAUTICA_CLASSICS_117004036_NAR_2.jpg</t>
        </is>
      </c>
      <c r="K1448" t="inlineStr">
        <is>
          <t>NAUTICA_CLASSICS_117004036_NAR_3.jpg</t>
        </is>
      </c>
      <c r="L1448">
        <f>IMAGE("file:///E:/Estudios%20y%20certificaciones/ESTUDIOS%20DE%20PROGRAMMING/PROGRAMMING/PERSONAL/PYTHON/Image_Generator_API/imagenes/NAUTICA_CLASSICS_117004036_NAR_1.jpg")</f>
        <v/>
      </c>
      <c r="M1448">
        <f>IMAGE("file:///E:/Estudios%20y%20certificaciones/ESTUDIOS%20DE%20PROGRAMMING/PROGRAMMING/PERSONAL/PYTHON/Image_Generator_API/imagenes/NAUTICA_CLASSICS_117004036_NAR_2.jpg")</f>
        <v/>
      </c>
      <c r="N1448">
        <f>IMAGE("file:///E:/Estudios%20y%20certificaciones/ESTUDIOS%20DE%20PROGRAMMING/PROGRAMMING/PERSONAL/PYTHON/Image_Generator_API/imagenes/NAUTICA_CLASSICS_117004036_NAR_3.jpg")</f>
        <v/>
      </c>
      <c r="O1448">
        <f>HYPERLINK("imagenes/NAUTICA_CLASSICS_117004036_NAR_1.jpg","Ver imagen")</f>
        <v/>
      </c>
      <c r="P1448">
        <f>HYPERLINK("imagenes/NAUTICA_CLASSICS_117004036_NAR_2.jpg","Ver imagen")</f>
        <v/>
      </c>
      <c r="Q1448">
        <f>HYPERLINK("imagenes/NAUTICA_CLASSICS_117004036_NAR_3.jpg","Ver imagen")</f>
        <v/>
      </c>
    </row>
    <row r="1449">
      <c r="A1449" t="inlineStr">
        <is>
          <t>NAUTICA CLASSICS</t>
        </is>
      </c>
      <c r="B1449" t="inlineStr">
        <is>
          <t>117004036</t>
        </is>
      </c>
      <c r="C1449" t="inlineStr">
        <is>
          <t>STRETCH PUFFER</t>
        </is>
      </c>
      <c r="D1449" t="inlineStr">
        <is>
          <t>NAR</t>
        </is>
      </c>
      <c r="E1449" t="inlineStr">
        <is>
          <t>(en blanco)</t>
        </is>
      </c>
      <c r="F1449" t="inlineStr">
        <is>
          <t>(en blanco)</t>
        </is>
      </c>
      <c r="G1449" t="inlineStr">
        <is>
          <t>L</t>
        </is>
      </c>
      <c r="H1449" t="n">
        <v>39</v>
      </c>
      <c r="I1449" t="inlineStr">
        <is>
          <t>NAUTICA_CLASSICS_117004036_NAR_1.jpg</t>
        </is>
      </c>
      <c r="J1449" t="inlineStr">
        <is>
          <t>NAUTICA_CLASSICS_117004036_NAR_2.jpg</t>
        </is>
      </c>
      <c r="K1449" t="inlineStr">
        <is>
          <t>NAUTICA_CLASSICS_117004036_NAR_3.jpg</t>
        </is>
      </c>
      <c r="L1449">
        <f>IMAGE("file:///E:/Estudios%20y%20certificaciones/ESTUDIOS%20DE%20PROGRAMMING/PROGRAMMING/PERSONAL/PYTHON/Image_Generator_API/imagenes/NAUTICA_CLASSICS_117004036_NAR_1.jpg")</f>
        <v/>
      </c>
      <c r="M1449">
        <f>IMAGE("file:///E:/Estudios%20y%20certificaciones/ESTUDIOS%20DE%20PROGRAMMING/PROGRAMMING/PERSONAL/PYTHON/Image_Generator_API/imagenes/NAUTICA_CLASSICS_117004036_NAR_2.jpg")</f>
        <v/>
      </c>
      <c r="N1449">
        <f>IMAGE("file:///E:/Estudios%20y%20certificaciones/ESTUDIOS%20DE%20PROGRAMMING/PROGRAMMING/PERSONAL/PYTHON/Image_Generator_API/imagenes/NAUTICA_CLASSICS_117004036_NAR_3.jpg")</f>
        <v/>
      </c>
      <c r="O1449">
        <f>HYPERLINK("imagenes/NAUTICA_CLASSICS_117004036_NAR_1.jpg","Ver imagen")</f>
        <v/>
      </c>
      <c r="P1449">
        <f>HYPERLINK("imagenes/NAUTICA_CLASSICS_117004036_NAR_2.jpg","Ver imagen")</f>
        <v/>
      </c>
      <c r="Q1449">
        <f>HYPERLINK("imagenes/NAUTICA_CLASSICS_117004036_NAR_3.jpg","Ver imagen")</f>
        <v/>
      </c>
    </row>
    <row r="1450">
      <c r="A1450" t="inlineStr">
        <is>
          <t>NAUTICA CLASSICS</t>
        </is>
      </c>
      <c r="B1450" t="inlineStr">
        <is>
          <t>117004036</t>
        </is>
      </c>
      <c r="C1450" t="inlineStr">
        <is>
          <t>STRETCH PUFFER</t>
        </is>
      </c>
      <c r="D1450" t="inlineStr">
        <is>
          <t>NAR</t>
        </is>
      </c>
      <c r="E1450" t="inlineStr">
        <is>
          <t>(en blanco)</t>
        </is>
      </c>
      <c r="F1450" t="inlineStr">
        <is>
          <t>(en blanco)</t>
        </is>
      </c>
      <c r="G1450" t="inlineStr">
        <is>
          <t>XL</t>
        </is>
      </c>
      <c r="H1450" t="n">
        <v>12</v>
      </c>
      <c r="I1450" t="inlineStr">
        <is>
          <t>NAUTICA_CLASSICS_117004036_NAR_1.jpg</t>
        </is>
      </c>
      <c r="J1450" t="inlineStr">
        <is>
          <t>NAUTICA_CLASSICS_117004036_NAR_2.jpg</t>
        </is>
      </c>
      <c r="K1450" t="inlineStr">
        <is>
          <t>NAUTICA_CLASSICS_117004036_NAR_3.jpg</t>
        </is>
      </c>
      <c r="L1450">
        <f>IMAGE("file:///E:/Estudios%20y%20certificaciones/ESTUDIOS%20DE%20PROGRAMMING/PROGRAMMING/PERSONAL/PYTHON/Image_Generator_API/imagenes/NAUTICA_CLASSICS_117004036_NAR_1.jpg")</f>
        <v/>
      </c>
      <c r="M1450">
        <f>IMAGE("file:///E:/Estudios%20y%20certificaciones/ESTUDIOS%20DE%20PROGRAMMING/PROGRAMMING/PERSONAL/PYTHON/Image_Generator_API/imagenes/NAUTICA_CLASSICS_117004036_NAR_2.jpg")</f>
        <v/>
      </c>
      <c r="N1450">
        <f>IMAGE("file:///E:/Estudios%20y%20certificaciones/ESTUDIOS%20DE%20PROGRAMMING/PROGRAMMING/PERSONAL/PYTHON/Image_Generator_API/imagenes/NAUTICA_CLASSICS_117004036_NAR_3.jpg")</f>
        <v/>
      </c>
      <c r="O1450">
        <f>HYPERLINK("imagenes/NAUTICA_CLASSICS_117004036_NAR_1.jpg","Ver imagen")</f>
        <v/>
      </c>
      <c r="P1450">
        <f>HYPERLINK("imagenes/NAUTICA_CLASSICS_117004036_NAR_2.jpg","Ver imagen")</f>
        <v/>
      </c>
      <c r="Q1450">
        <f>HYPERLINK("imagenes/NAUTICA_CLASSICS_117004036_NAR_3.jpg","Ver imagen")</f>
        <v/>
      </c>
    </row>
    <row r="1451">
      <c r="A1451" t="inlineStr">
        <is>
          <t>NAUTICA CLASSICS</t>
        </is>
      </c>
      <c r="B1451" t="inlineStr">
        <is>
          <t>117004036</t>
        </is>
      </c>
      <c r="C1451" t="inlineStr">
        <is>
          <t>STRETCH PUFFER</t>
        </is>
      </c>
      <c r="D1451" t="inlineStr">
        <is>
          <t>NSS</t>
        </is>
      </c>
      <c r="E1451" t="inlineStr">
        <is>
          <t>(en blanco)</t>
        </is>
      </c>
      <c r="F1451" t="inlineStr">
        <is>
          <t>(en blanco)</t>
        </is>
      </c>
      <c r="G1451" t="inlineStr">
        <is>
          <t>S</t>
        </is>
      </c>
      <c r="H1451" t="n">
        <v>1</v>
      </c>
      <c r="I1451" t="inlineStr">
        <is>
          <t>NAUTICA_CLASSICS_117004036_NSS_1.jpg</t>
        </is>
      </c>
      <c r="J1451" t="inlineStr">
        <is>
          <t>NAUTICA_CLASSICS_117004036_NSS_2.jpg</t>
        </is>
      </c>
      <c r="K1451" t="inlineStr">
        <is>
          <t>NAUTICA_CLASSICS_117004036_NSS_3.jpg</t>
        </is>
      </c>
      <c r="L1451">
        <f>IMAGE("file:///E:/Estudios%20y%20certificaciones/ESTUDIOS%20DE%20PROGRAMMING/PROGRAMMING/PERSONAL/PYTHON/Image_Generator_API/imagenes/NAUTICA_CLASSICS_117004036_NSS_1.jpg")</f>
        <v/>
      </c>
      <c r="M1451">
        <f>IMAGE("file:///E:/Estudios%20y%20certificaciones/ESTUDIOS%20DE%20PROGRAMMING/PROGRAMMING/PERSONAL/PYTHON/Image_Generator_API/imagenes/NAUTICA_CLASSICS_117004036_NSS_2.jpg")</f>
        <v/>
      </c>
      <c r="N1451">
        <f>IMAGE("file:///E:/Estudios%20y%20certificaciones/ESTUDIOS%20DE%20PROGRAMMING/PROGRAMMING/PERSONAL/PYTHON/Image_Generator_API/imagenes/NAUTICA_CLASSICS_117004036_NSS_3.jpg")</f>
        <v/>
      </c>
      <c r="O1451">
        <f>HYPERLINK("imagenes/NAUTICA_CLASSICS_117004036_NSS_1.jpg","Ver imagen")</f>
        <v/>
      </c>
      <c r="P1451">
        <f>HYPERLINK("imagenes/NAUTICA_CLASSICS_117004036_NSS_2.jpg","Ver imagen")</f>
        <v/>
      </c>
      <c r="Q1451">
        <f>HYPERLINK("imagenes/NAUTICA_CLASSICS_117004036_NSS_3.jpg","Ver imagen")</f>
        <v/>
      </c>
    </row>
    <row r="1452">
      <c r="A1452" t="inlineStr">
        <is>
          <t>NAUTICA CLASSICS</t>
        </is>
      </c>
      <c r="B1452" t="inlineStr">
        <is>
          <t>117004036</t>
        </is>
      </c>
      <c r="C1452" t="inlineStr">
        <is>
          <t>STRETCH PUFFER</t>
        </is>
      </c>
      <c r="D1452" t="inlineStr">
        <is>
          <t>SW4</t>
        </is>
      </c>
      <c r="E1452" t="inlineStr">
        <is>
          <t>(en blanco)</t>
        </is>
      </c>
      <c r="F1452" t="inlineStr">
        <is>
          <t>(en blanco)</t>
        </is>
      </c>
      <c r="G1452" t="inlineStr">
        <is>
          <t>S</t>
        </is>
      </c>
      <c r="H1452" t="n">
        <v>1</v>
      </c>
      <c r="I1452" t="inlineStr">
        <is>
          <t>NAUTICA_CLASSICS_117004036_SW4_1.jpg</t>
        </is>
      </c>
      <c r="J1452" t="inlineStr">
        <is>
          <t>NAUTICA_CLASSICS_117004036_SW4_2.jpg</t>
        </is>
      </c>
      <c r="K1452" t="inlineStr">
        <is>
          <t>NAUTICA_CLASSICS_117004036_SW4_3.jpg</t>
        </is>
      </c>
      <c r="L1452">
        <f>IMAGE("file:///E:/Estudios%20y%20certificaciones/ESTUDIOS%20DE%20PROGRAMMING/PROGRAMMING/PERSONAL/PYTHON/Image_Generator_API/imagenes/NAUTICA_CLASSICS_117004036_SW4_1.jpg")</f>
        <v/>
      </c>
      <c r="M1452">
        <f>IMAGE("file:///E:/Estudios%20y%20certificaciones/ESTUDIOS%20DE%20PROGRAMMING/PROGRAMMING/PERSONAL/PYTHON/Image_Generator_API/imagenes/NAUTICA_CLASSICS_117004036_SW4_2.jpg")</f>
        <v/>
      </c>
      <c r="N1452">
        <f>IMAGE("file:///E:/Estudios%20y%20certificaciones/ESTUDIOS%20DE%20PROGRAMMING/PROGRAMMING/PERSONAL/PYTHON/Image_Generator_API/imagenes/NAUTICA_CLASSICS_117004036_SW4_3.jpg")</f>
        <v/>
      </c>
      <c r="O1452">
        <f>HYPERLINK("imagenes/NAUTICA_CLASSICS_117004036_SW4_1.jpg","Ver imagen")</f>
        <v/>
      </c>
      <c r="P1452">
        <f>HYPERLINK("imagenes/NAUTICA_CLASSICS_117004036_SW4_2.jpg","Ver imagen")</f>
        <v/>
      </c>
      <c r="Q1452">
        <f>HYPERLINK("imagenes/NAUTICA_CLASSICS_117004036_SW4_3.jpg","Ver imagen")</f>
        <v/>
      </c>
    </row>
    <row r="1453">
      <c r="A1453" t="inlineStr">
        <is>
          <t>NAUTICA CLASSICS</t>
        </is>
      </c>
      <c r="B1453" t="inlineStr">
        <is>
          <t>117004036</t>
        </is>
      </c>
      <c r="C1453" t="inlineStr">
        <is>
          <t>STRETCH PUFFER</t>
        </is>
      </c>
      <c r="D1453" t="inlineStr">
        <is>
          <t>WIL</t>
        </is>
      </c>
      <c r="E1453" t="inlineStr">
        <is>
          <t>08A05</t>
        </is>
      </c>
      <c r="F1453" t="inlineStr">
        <is>
          <t>(en blanco)</t>
        </is>
      </c>
      <c r="G1453" t="inlineStr">
        <is>
          <t>PPK</t>
        </is>
      </c>
      <c r="H1453" t="n">
        <v>2480</v>
      </c>
      <c r="I1453" t="inlineStr">
        <is>
          <t>NAUTICA_CLASSICS_117004036_WIL_1.jpg</t>
        </is>
      </c>
      <c r="J1453" t="inlineStr">
        <is>
          <t>NAUTICA_CLASSICS_117004036_WIL_2.jpg</t>
        </is>
      </c>
      <c r="K1453" t="inlineStr">
        <is>
          <t>NAUTICA_CLASSICS_117004036_WIL_3.jpg</t>
        </is>
      </c>
      <c r="L1453">
        <f>IMAGE("file:///E:/Estudios%20y%20certificaciones/ESTUDIOS%20DE%20PROGRAMMING/PROGRAMMING/PERSONAL/PYTHON/Image_Generator_API/imagenes/NAUTICA_CLASSICS_117004036_WIL_1.jpg")</f>
        <v/>
      </c>
      <c r="M1453">
        <f>IMAGE("file:///E:/Estudios%20y%20certificaciones/ESTUDIOS%20DE%20PROGRAMMING/PROGRAMMING/PERSONAL/PYTHON/Image_Generator_API/imagenes/NAUTICA_CLASSICS_117004036_WIL_2.jpg")</f>
        <v/>
      </c>
      <c r="N1453">
        <f>IMAGE("file:///E:/Estudios%20y%20certificaciones/ESTUDIOS%20DE%20PROGRAMMING/PROGRAMMING/PERSONAL/PYTHON/Image_Generator_API/imagenes/NAUTICA_CLASSICS_117004036_WIL_3.jpg")</f>
        <v/>
      </c>
      <c r="O1453">
        <f>HYPERLINK("imagenes/NAUTICA_CLASSICS_117004036_WIL_1.jpg","Ver imagen")</f>
        <v/>
      </c>
      <c r="P1453">
        <f>HYPERLINK("imagenes/NAUTICA_CLASSICS_117004036_WIL_2.jpg","Ver imagen")</f>
        <v/>
      </c>
      <c r="Q1453">
        <f>HYPERLINK("imagenes/NAUTICA_CLASSICS_117004036_WIL_3.jpg","Ver imagen")</f>
        <v/>
      </c>
    </row>
    <row r="1454">
      <c r="A1454" t="inlineStr">
        <is>
          <t>NAUTICA CLASSICS</t>
        </is>
      </c>
      <c r="B1454" t="inlineStr">
        <is>
          <t>117004038</t>
        </is>
      </c>
      <c r="C1454" t="inlineStr">
        <is>
          <t>LONG PUFFER</t>
        </is>
      </c>
      <c r="D1454" t="inlineStr">
        <is>
          <t>BLK</t>
        </is>
      </c>
      <c r="E1454" t="inlineStr">
        <is>
          <t>(en blanco)</t>
        </is>
      </c>
      <c r="F1454" t="inlineStr">
        <is>
          <t>(en blanco)</t>
        </is>
      </c>
      <c r="G1454" t="inlineStr">
        <is>
          <t>L</t>
        </is>
      </c>
      <c r="H1454" t="n">
        <v>1</v>
      </c>
      <c r="I1454" t="inlineStr">
        <is>
          <t>NAUTICA_CLASSICS_117004038_BLK_1.jpg</t>
        </is>
      </c>
      <c r="J1454" t="inlineStr">
        <is>
          <t>NAUTICA_CLASSICS_117004038_BLK_2.jpg</t>
        </is>
      </c>
      <c r="K1454" t="inlineStr">
        <is>
          <t>NAUTICA_CLASSICS_117004038_BLK_3.jpg</t>
        </is>
      </c>
      <c r="L1454">
        <f>IMAGE("file:///E:/Estudios%20y%20certificaciones/ESTUDIOS%20DE%20PROGRAMMING/PROGRAMMING/PERSONAL/PYTHON/Image_Generator_API/imagenes/NAUTICA_CLASSICS_117004038_BLK_1.jpg")</f>
        <v/>
      </c>
      <c r="M1454">
        <f>IMAGE("file:///E:/Estudios%20y%20certificaciones/ESTUDIOS%20DE%20PROGRAMMING/PROGRAMMING/PERSONAL/PYTHON/Image_Generator_API/imagenes/NAUTICA_CLASSICS_117004038_BLK_2.jpg")</f>
        <v/>
      </c>
      <c r="N1454">
        <f>IMAGE("file:///E:/Estudios%20y%20certificaciones/ESTUDIOS%20DE%20PROGRAMMING/PROGRAMMING/PERSONAL/PYTHON/Image_Generator_API/imagenes/NAUTICA_CLASSICS_117004038_BLK_3.jpg")</f>
        <v/>
      </c>
      <c r="O1454">
        <f>HYPERLINK("imagenes/NAUTICA_CLASSICS_117004038_BLK_1.jpg","Ver imagen")</f>
        <v/>
      </c>
      <c r="P1454">
        <f>HYPERLINK("imagenes/NAUTICA_CLASSICS_117004038_BLK_2.jpg","Ver imagen")</f>
        <v/>
      </c>
      <c r="Q1454">
        <f>HYPERLINK("imagenes/NAUTICA_CLASSICS_117004038_BLK_3.jpg","Ver imagen")</f>
        <v/>
      </c>
    </row>
    <row r="1455">
      <c r="A1455" t="inlineStr">
        <is>
          <t>NAUTICA CLASSICS</t>
        </is>
      </c>
      <c r="B1455" t="inlineStr">
        <is>
          <t>117004038</t>
        </is>
      </c>
      <c r="C1455" t="inlineStr">
        <is>
          <t>LONG PUFFER</t>
        </is>
      </c>
      <c r="D1455" t="inlineStr">
        <is>
          <t>SIG</t>
        </is>
      </c>
      <c r="E1455" t="inlineStr">
        <is>
          <t>(en blanco)</t>
        </is>
      </c>
      <c r="F1455" t="inlineStr">
        <is>
          <t>(en blanco)</t>
        </is>
      </c>
      <c r="G1455" t="inlineStr">
        <is>
          <t>S</t>
        </is>
      </c>
      <c r="H1455" t="n">
        <v>1</v>
      </c>
      <c r="I1455" t="inlineStr">
        <is>
          <t>NAUTICA_CLASSICS_117004038_SIG_1.jpg</t>
        </is>
      </c>
      <c r="J1455" t="inlineStr">
        <is>
          <t>NAUTICA_CLASSICS_117004038_SIG_2.jpg</t>
        </is>
      </c>
      <c r="K1455" t="inlineStr">
        <is>
          <t>NAUTICA_CLASSICS_117004038_SIG_3.jpg</t>
        </is>
      </c>
      <c r="L1455">
        <f>IMAGE("file:///E:/Estudios%20y%20certificaciones/ESTUDIOS%20DE%20PROGRAMMING/PROGRAMMING/PERSONAL/PYTHON/Image_Generator_API/imagenes/NAUTICA_CLASSICS_117004038_SIG_1.jpg")</f>
        <v/>
      </c>
      <c r="M1455">
        <f>IMAGE("file:///E:/Estudios%20y%20certificaciones/ESTUDIOS%20DE%20PROGRAMMING/PROGRAMMING/PERSONAL/PYTHON/Image_Generator_API/imagenes/NAUTICA_CLASSICS_117004038_SIG_2.jpg")</f>
        <v/>
      </c>
      <c r="N1455">
        <f>IMAGE("file:///E:/Estudios%20y%20certificaciones/ESTUDIOS%20DE%20PROGRAMMING/PROGRAMMING/PERSONAL/PYTHON/Image_Generator_API/imagenes/NAUTICA_CLASSICS_117004038_SIG_3.jpg")</f>
        <v/>
      </c>
      <c r="O1455">
        <f>HYPERLINK("imagenes/NAUTICA_CLASSICS_117004038_SIG_1.jpg","Ver imagen")</f>
        <v/>
      </c>
      <c r="P1455">
        <f>HYPERLINK("imagenes/NAUTICA_CLASSICS_117004038_SIG_2.jpg","Ver imagen")</f>
        <v/>
      </c>
      <c r="Q1455">
        <f>HYPERLINK("imagenes/NAUTICA_CLASSICS_117004038_SIG_3.jpg","Ver imagen")</f>
        <v/>
      </c>
    </row>
    <row r="1456">
      <c r="A1456" t="inlineStr">
        <is>
          <t>NAUTICA CLASSICS</t>
        </is>
      </c>
      <c r="B1456" t="inlineStr">
        <is>
          <t>117004040</t>
        </is>
      </c>
      <c r="C1456" t="inlineStr">
        <is>
          <t>LONG PUFFER</t>
        </is>
      </c>
      <c r="D1456" t="inlineStr">
        <is>
          <t>BLK</t>
        </is>
      </c>
      <c r="E1456" t="inlineStr">
        <is>
          <t>(en blanco)</t>
        </is>
      </c>
      <c r="F1456" t="inlineStr">
        <is>
          <t>(en blanco)</t>
        </is>
      </c>
      <c r="G1456" t="inlineStr">
        <is>
          <t>XS</t>
        </is>
      </c>
      <c r="H1456" t="n">
        <v>1</v>
      </c>
      <c r="I1456" t="inlineStr">
        <is>
          <t>NAUTICA_CLASSICS_117004040_BLK_1.jpg</t>
        </is>
      </c>
      <c r="J1456" t="inlineStr">
        <is>
          <t>NAUTICA_CLASSICS_117004040_BLK_2.jpg</t>
        </is>
      </c>
      <c r="K1456" t="inlineStr">
        <is>
          <t>NAUTICA_CLASSICS_117004040_BLK_3.jpg</t>
        </is>
      </c>
      <c r="L1456">
        <f>IMAGE("file:///E:/Estudios%20y%20certificaciones/ESTUDIOS%20DE%20PROGRAMMING/PROGRAMMING/PERSONAL/PYTHON/Image_Generator_API/imagenes/NAUTICA_CLASSICS_117004040_BLK_1.jpg")</f>
        <v/>
      </c>
      <c r="M1456">
        <f>IMAGE("file:///E:/Estudios%20y%20certificaciones/ESTUDIOS%20DE%20PROGRAMMING/PROGRAMMING/PERSONAL/PYTHON/Image_Generator_API/imagenes/NAUTICA_CLASSICS_117004040_BLK_2.jpg")</f>
        <v/>
      </c>
      <c r="N1456">
        <f>IMAGE("file:///E:/Estudios%20y%20certificaciones/ESTUDIOS%20DE%20PROGRAMMING/PROGRAMMING/PERSONAL/PYTHON/Image_Generator_API/imagenes/NAUTICA_CLASSICS_117004040_BLK_3.jpg")</f>
        <v/>
      </c>
      <c r="O1456">
        <f>HYPERLINK("imagenes/NAUTICA_CLASSICS_117004040_BLK_1.jpg","Ver imagen")</f>
        <v/>
      </c>
      <c r="P1456">
        <f>HYPERLINK("imagenes/NAUTICA_CLASSICS_117004040_BLK_2.jpg","Ver imagen")</f>
        <v/>
      </c>
      <c r="Q1456">
        <f>HYPERLINK("imagenes/NAUTICA_CLASSICS_117004040_BLK_3.jpg","Ver imagen")</f>
        <v/>
      </c>
    </row>
    <row r="1457">
      <c r="A1457" t="inlineStr">
        <is>
          <t>NAUTICA CLASSICS</t>
        </is>
      </c>
      <c r="B1457" t="inlineStr">
        <is>
          <t>117004040</t>
        </is>
      </c>
      <c r="C1457" t="inlineStr">
        <is>
          <t>LONG PUFFER</t>
        </is>
      </c>
      <c r="D1457" t="inlineStr">
        <is>
          <t>NSS</t>
        </is>
      </c>
      <c r="E1457" t="inlineStr">
        <is>
          <t>(en blanco)</t>
        </is>
      </c>
      <c r="F1457" t="inlineStr">
        <is>
          <t>(en blanco)</t>
        </is>
      </c>
      <c r="G1457" t="inlineStr">
        <is>
          <t>S</t>
        </is>
      </c>
      <c r="H1457" t="n">
        <v>1</v>
      </c>
      <c r="I1457" t="inlineStr">
        <is>
          <t>NAUTICA_CLASSICS_117004040_NSS_1.jpg</t>
        </is>
      </c>
      <c r="J1457" t="inlineStr">
        <is>
          <t>NAUTICA_CLASSICS_117004040_NSS_2.jpg</t>
        </is>
      </c>
      <c r="K1457" t="inlineStr">
        <is>
          <t>NAUTICA_CLASSICS_117004040_NSS_3.jpg</t>
        </is>
      </c>
      <c r="L1457">
        <f>IMAGE("file:///E:/Estudios%20y%20certificaciones/ESTUDIOS%20DE%20PROGRAMMING/PROGRAMMING/PERSONAL/PYTHON/Image_Generator_API/imagenes/NAUTICA_CLASSICS_117004040_NSS_1.jpg")</f>
        <v/>
      </c>
      <c r="M1457">
        <f>IMAGE("file:///E:/Estudios%20y%20certificaciones/ESTUDIOS%20DE%20PROGRAMMING/PROGRAMMING/PERSONAL/PYTHON/Image_Generator_API/imagenes/NAUTICA_CLASSICS_117004040_NSS_2.jpg")</f>
        <v/>
      </c>
      <c r="N1457">
        <f>IMAGE("file:///E:/Estudios%20y%20certificaciones/ESTUDIOS%20DE%20PROGRAMMING/PROGRAMMING/PERSONAL/PYTHON/Image_Generator_API/imagenes/NAUTICA_CLASSICS_117004040_NSS_3.jpg")</f>
        <v/>
      </c>
      <c r="O1457">
        <f>HYPERLINK("imagenes/NAUTICA_CLASSICS_117004040_NSS_1.jpg","Ver imagen")</f>
        <v/>
      </c>
      <c r="P1457">
        <f>HYPERLINK("imagenes/NAUTICA_CLASSICS_117004040_NSS_2.jpg","Ver imagen")</f>
        <v/>
      </c>
      <c r="Q1457">
        <f>HYPERLINK("imagenes/NAUTICA_CLASSICS_117004040_NSS_3.jpg","Ver imagen")</f>
        <v/>
      </c>
    </row>
    <row r="1458">
      <c r="A1458" t="inlineStr">
        <is>
          <t>NAUTICA CLASSICS</t>
        </is>
      </c>
      <c r="B1458" t="inlineStr">
        <is>
          <t>117004074</t>
        </is>
      </c>
      <c r="C1458" t="inlineStr">
        <is>
          <t>3/4 STRETCH PUFFER</t>
        </is>
      </c>
      <c r="D1458" t="inlineStr">
        <is>
          <t>BLK</t>
        </is>
      </c>
      <c r="E1458" t="inlineStr">
        <is>
          <t>(en blanco)</t>
        </is>
      </c>
      <c r="F1458" t="inlineStr">
        <is>
          <t>D2C</t>
        </is>
      </c>
      <c r="G1458" t="inlineStr">
        <is>
          <t>XS</t>
        </is>
      </c>
      <c r="H1458" t="n">
        <v>119</v>
      </c>
      <c r="I1458" t="inlineStr">
        <is>
          <t>NAUTICA_CLASSICS_117004074_BLK_1.jpg</t>
        </is>
      </c>
      <c r="J1458" t="inlineStr">
        <is>
          <t>NAUTICA_CLASSICS_117004074_BLK_2.jpg</t>
        </is>
      </c>
      <c r="K1458" t="inlineStr">
        <is>
          <t>NAUTICA_CLASSICS_117004074_BLK_3.jpg</t>
        </is>
      </c>
      <c r="L1458">
        <f>IMAGE("file:///E:/Estudios%20y%20certificaciones/ESTUDIOS%20DE%20PROGRAMMING/PROGRAMMING/PERSONAL/PYTHON/Image_Generator_API/imagenes/NAUTICA_CLASSICS_117004074_BLK_1.jpg")</f>
        <v/>
      </c>
      <c r="M1458">
        <f>IMAGE("file:///E:/Estudios%20y%20certificaciones/ESTUDIOS%20DE%20PROGRAMMING/PROGRAMMING/PERSONAL/PYTHON/Image_Generator_API/imagenes/NAUTICA_CLASSICS_117004074_BLK_2.jpg")</f>
        <v/>
      </c>
      <c r="N1458">
        <f>IMAGE("file:///E:/Estudios%20y%20certificaciones/ESTUDIOS%20DE%20PROGRAMMING/PROGRAMMING/PERSONAL/PYTHON/Image_Generator_API/imagenes/NAUTICA_CLASSICS_117004074_BLK_3.jpg")</f>
        <v/>
      </c>
      <c r="O1458">
        <f>HYPERLINK("imagenes/NAUTICA_CLASSICS_117004074_BLK_1.jpg","Ver imagen")</f>
        <v/>
      </c>
      <c r="P1458">
        <f>HYPERLINK("imagenes/NAUTICA_CLASSICS_117004074_BLK_2.jpg","Ver imagen")</f>
        <v/>
      </c>
      <c r="Q1458">
        <f>HYPERLINK("imagenes/NAUTICA_CLASSICS_117004074_BLK_3.jpg","Ver imagen")</f>
        <v/>
      </c>
    </row>
    <row r="1459">
      <c r="A1459" t="inlineStr">
        <is>
          <t>NAUTICA CLASSICS</t>
        </is>
      </c>
      <c r="B1459" t="inlineStr">
        <is>
          <t>117004074</t>
        </is>
      </c>
      <c r="C1459" t="inlineStr">
        <is>
          <t>3/4 STRETCH PUFFER</t>
        </is>
      </c>
      <c r="D1459" t="inlineStr">
        <is>
          <t>BLK</t>
        </is>
      </c>
      <c r="E1459" t="inlineStr">
        <is>
          <t>(en blanco)</t>
        </is>
      </c>
      <c r="F1459" t="inlineStr">
        <is>
          <t>D2C</t>
        </is>
      </c>
      <c r="G1459" t="inlineStr">
        <is>
          <t>S</t>
        </is>
      </c>
      <c r="H1459" t="n">
        <v>152</v>
      </c>
      <c r="I1459" t="inlineStr">
        <is>
          <t>NAUTICA_CLASSICS_117004074_BLK_1.jpg</t>
        </is>
      </c>
      <c r="J1459" t="inlineStr">
        <is>
          <t>NAUTICA_CLASSICS_117004074_BLK_2.jpg</t>
        </is>
      </c>
      <c r="K1459" t="inlineStr">
        <is>
          <t>NAUTICA_CLASSICS_117004074_BLK_3.jpg</t>
        </is>
      </c>
      <c r="L1459">
        <f>IMAGE("file:///E:/Estudios%20y%20certificaciones/ESTUDIOS%20DE%20PROGRAMMING/PROGRAMMING/PERSONAL/PYTHON/Image_Generator_API/imagenes/NAUTICA_CLASSICS_117004074_BLK_1.jpg")</f>
        <v/>
      </c>
      <c r="M1459">
        <f>IMAGE("file:///E:/Estudios%20y%20certificaciones/ESTUDIOS%20DE%20PROGRAMMING/PROGRAMMING/PERSONAL/PYTHON/Image_Generator_API/imagenes/NAUTICA_CLASSICS_117004074_BLK_2.jpg")</f>
        <v/>
      </c>
      <c r="N1459">
        <f>IMAGE("file:///E:/Estudios%20y%20certificaciones/ESTUDIOS%20DE%20PROGRAMMING/PROGRAMMING/PERSONAL/PYTHON/Image_Generator_API/imagenes/NAUTICA_CLASSICS_117004074_BLK_3.jpg")</f>
        <v/>
      </c>
      <c r="O1459">
        <f>HYPERLINK("imagenes/NAUTICA_CLASSICS_117004074_BLK_1.jpg","Ver imagen")</f>
        <v/>
      </c>
      <c r="P1459">
        <f>HYPERLINK("imagenes/NAUTICA_CLASSICS_117004074_BLK_2.jpg","Ver imagen")</f>
        <v/>
      </c>
      <c r="Q1459">
        <f>HYPERLINK("imagenes/NAUTICA_CLASSICS_117004074_BLK_3.jpg","Ver imagen")</f>
        <v/>
      </c>
    </row>
    <row r="1460">
      <c r="A1460" t="inlineStr">
        <is>
          <t>NAUTICA CLASSICS</t>
        </is>
      </c>
      <c r="B1460" t="inlineStr">
        <is>
          <t>117004074</t>
        </is>
      </c>
      <c r="C1460" t="inlineStr">
        <is>
          <t>3/4 STRETCH PUFFER</t>
        </is>
      </c>
      <c r="D1460" t="inlineStr">
        <is>
          <t>BLK</t>
        </is>
      </c>
      <c r="E1460" t="inlineStr">
        <is>
          <t>(en blanco)</t>
        </is>
      </c>
      <c r="F1460" t="inlineStr">
        <is>
          <t>D2C</t>
        </is>
      </c>
      <c r="G1460" t="inlineStr">
        <is>
          <t>M</t>
        </is>
      </c>
      <c r="H1460" t="n">
        <v>148</v>
      </c>
      <c r="I1460" t="inlineStr">
        <is>
          <t>NAUTICA_CLASSICS_117004074_BLK_1.jpg</t>
        </is>
      </c>
      <c r="J1460" t="inlineStr">
        <is>
          <t>NAUTICA_CLASSICS_117004074_BLK_2.jpg</t>
        </is>
      </c>
      <c r="K1460" t="inlineStr">
        <is>
          <t>NAUTICA_CLASSICS_117004074_BLK_3.jpg</t>
        </is>
      </c>
      <c r="L1460">
        <f>IMAGE("file:///E:/Estudios%20y%20certificaciones/ESTUDIOS%20DE%20PROGRAMMING/PROGRAMMING/PERSONAL/PYTHON/Image_Generator_API/imagenes/NAUTICA_CLASSICS_117004074_BLK_1.jpg")</f>
        <v/>
      </c>
      <c r="M1460">
        <f>IMAGE("file:///E:/Estudios%20y%20certificaciones/ESTUDIOS%20DE%20PROGRAMMING/PROGRAMMING/PERSONAL/PYTHON/Image_Generator_API/imagenes/NAUTICA_CLASSICS_117004074_BLK_2.jpg")</f>
        <v/>
      </c>
      <c r="N1460">
        <f>IMAGE("file:///E:/Estudios%20y%20certificaciones/ESTUDIOS%20DE%20PROGRAMMING/PROGRAMMING/PERSONAL/PYTHON/Image_Generator_API/imagenes/NAUTICA_CLASSICS_117004074_BLK_3.jpg")</f>
        <v/>
      </c>
      <c r="O1460">
        <f>HYPERLINK("imagenes/NAUTICA_CLASSICS_117004074_BLK_1.jpg","Ver imagen")</f>
        <v/>
      </c>
      <c r="P1460">
        <f>HYPERLINK("imagenes/NAUTICA_CLASSICS_117004074_BLK_2.jpg","Ver imagen")</f>
        <v/>
      </c>
      <c r="Q1460">
        <f>HYPERLINK("imagenes/NAUTICA_CLASSICS_117004074_BLK_3.jpg","Ver imagen")</f>
        <v/>
      </c>
    </row>
    <row r="1461">
      <c r="A1461" t="inlineStr">
        <is>
          <t>NAUTICA CLASSICS</t>
        </is>
      </c>
      <c r="B1461" t="inlineStr">
        <is>
          <t>117004074</t>
        </is>
      </c>
      <c r="C1461" t="inlineStr">
        <is>
          <t>3/4 STRETCH PUFFER</t>
        </is>
      </c>
      <c r="D1461" t="inlineStr">
        <is>
          <t>BLK</t>
        </is>
      </c>
      <c r="E1461" t="inlineStr">
        <is>
          <t>(en blanco)</t>
        </is>
      </c>
      <c r="F1461" t="inlineStr">
        <is>
          <t>D2C</t>
        </is>
      </c>
      <c r="G1461" t="inlineStr">
        <is>
          <t>L</t>
        </is>
      </c>
      <c r="H1461" t="n">
        <v>166</v>
      </c>
      <c r="I1461" t="inlineStr">
        <is>
          <t>NAUTICA_CLASSICS_117004074_BLK_1.jpg</t>
        </is>
      </c>
      <c r="J1461" t="inlineStr">
        <is>
          <t>NAUTICA_CLASSICS_117004074_BLK_2.jpg</t>
        </is>
      </c>
      <c r="K1461" t="inlineStr">
        <is>
          <t>NAUTICA_CLASSICS_117004074_BLK_3.jpg</t>
        </is>
      </c>
      <c r="L1461">
        <f>IMAGE("file:///E:/Estudios%20y%20certificaciones/ESTUDIOS%20DE%20PROGRAMMING/PROGRAMMING/PERSONAL/PYTHON/Image_Generator_API/imagenes/NAUTICA_CLASSICS_117004074_BLK_1.jpg")</f>
        <v/>
      </c>
      <c r="M1461">
        <f>IMAGE("file:///E:/Estudios%20y%20certificaciones/ESTUDIOS%20DE%20PROGRAMMING/PROGRAMMING/PERSONAL/PYTHON/Image_Generator_API/imagenes/NAUTICA_CLASSICS_117004074_BLK_2.jpg")</f>
        <v/>
      </c>
      <c r="N1461">
        <f>IMAGE("file:///E:/Estudios%20y%20certificaciones/ESTUDIOS%20DE%20PROGRAMMING/PROGRAMMING/PERSONAL/PYTHON/Image_Generator_API/imagenes/NAUTICA_CLASSICS_117004074_BLK_3.jpg")</f>
        <v/>
      </c>
      <c r="O1461">
        <f>HYPERLINK("imagenes/NAUTICA_CLASSICS_117004074_BLK_1.jpg","Ver imagen")</f>
        <v/>
      </c>
      <c r="P1461">
        <f>HYPERLINK("imagenes/NAUTICA_CLASSICS_117004074_BLK_2.jpg","Ver imagen")</f>
        <v/>
      </c>
      <c r="Q1461">
        <f>HYPERLINK("imagenes/NAUTICA_CLASSICS_117004074_BLK_3.jpg","Ver imagen")</f>
        <v/>
      </c>
    </row>
    <row r="1462">
      <c r="A1462" t="inlineStr">
        <is>
          <t>NAUTICA CLASSICS</t>
        </is>
      </c>
      <c r="B1462" t="inlineStr">
        <is>
          <t>117004074</t>
        </is>
      </c>
      <c r="C1462" t="inlineStr">
        <is>
          <t>3/4 STRETCH PUFFER</t>
        </is>
      </c>
      <c r="D1462" t="inlineStr">
        <is>
          <t>BLK</t>
        </is>
      </c>
      <c r="E1462" t="inlineStr">
        <is>
          <t>(en blanco)</t>
        </is>
      </c>
      <c r="F1462" t="inlineStr">
        <is>
          <t>D2C</t>
        </is>
      </c>
      <c r="G1462" t="inlineStr">
        <is>
          <t>XL</t>
        </is>
      </c>
      <c r="H1462" t="n">
        <v>42</v>
      </c>
      <c r="I1462" t="inlineStr">
        <is>
          <t>NAUTICA_CLASSICS_117004074_BLK_1.jpg</t>
        </is>
      </c>
      <c r="J1462" t="inlineStr">
        <is>
          <t>NAUTICA_CLASSICS_117004074_BLK_2.jpg</t>
        </is>
      </c>
      <c r="K1462" t="inlineStr">
        <is>
          <t>NAUTICA_CLASSICS_117004074_BLK_3.jpg</t>
        </is>
      </c>
      <c r="L1462">
        <f>IMAGE("file:///E:/Estudios%20y%20certificaciones/ESTUDIOS%20DE%20PROGRAMMING/PROGRAMMING/PERSONAL/PYTHON/Image_Generator_API/imagenes/NAUTICA_CLASSICS_117004074_BLK_1.jpg")</f>
        <v/>
      </c>
      <c r="M1462">
        <f>IMAGE("file:///E:/Estudios%20y%20certificaciones/ESTUDIOS%20DE%20PROGRAMMING/PROGRAMMING/PERSONAL/PYTHON/Image_Generator_API/imagenes/NAUTICA_CLASSICS_117004074_BLK_2.jpg")</f>
        <v/>
      </c>
      <c r="N1462">
        <f>IMAGE("file:///E:/Estudios%20y%20certificaciones/ESTUDIOS%20DE%20PROGRAMMING/PROGRAMMING/PERSONAL/PYTHON/Image_Generator_API/imagenes/NAUTICA_CLASSICS_117004074_BLK_3.jpg")</f>
        <v/>
      </c>
      <c r="O1462">
        <f>HYPERLINK("imagenes/NAUTICA_CLASSICS_117004074_BLK_1.jpg","Ver imagen")</f>
        <v/>
      </c>
      <c r="P1462">
        <f>HYPERLINK("imagenes/NAUTICA_CLASSICS_117004074_BLK_2.jpg","Ver imagen")</f>
        <v/>
      </c>
      <c r="Q1462">
        <f>HYPERLINK("imagenes/NAUTICA_CLASSICS_117004074_BLK_3.jpg","Ver imagen")</f>
        <v/>
      </c>
    </row>
    <row r="1463">
      <c r="A1463" t="inlineStr">
        <is>
          <t>NAUTICA CLASSICS</t>
        </is>
      </c>
      <c r="B1463" t="inlineStr">
        <is>
          <t>117004074</t>
        </is>
      </c>
      <c r="C1463" t="inlineStr">
        <is>
          <t>3/4 STRETCH PUFFER</t>
        </is>
      </c>
      <c r="D1463" t="inlineStr">
        <is>
          <t>BLK</t>
        </is>
      </c>
      <c r="E1463" t="inlineStr">
        <is>
          <t>(en blanco)</t>
        </is>
      </c>
      <c r="F1463" t="inlineStr">
        <is>
          <t>(en blanco)</t>
        </is>
      </c>
      <c r="G1463" t="inlineStr">
        <is>
          <t>XS</t>
        </is>
      </c>
      <c r="H1463" t="n">
        <v>2</v>
      </c>
      <c r="I1463" t="inlineStr">
        <is>
          <t>NAUTICA_CLASSICS_117004074_BLK_1.jpg</t>
        </is>
      </c>
      <c r="J1463" t="inlineStr">
        <is>
          <t>NAUTICA_CLASSICS_117004074_BLK_2.jpg</t>
        </is>
      </c>
      <c r="K1463" t="inlineStr">
        <is>
          <t>NAUTICA_CLASSICS_117004074_BLK_3.jpg</t>
        </is>
      </c>
      <c r="L1463">
        <f>IMAGE("file:///E:/Estudios%20y%20certificaciones/ESTUDIOS%20DE%20PROGRAMMING/PROGRAMMING/PERSONAL/PYTHON/Image_Generator_API/imagenes/NAUTICA_CLASSICS_117004074_BLK_1.jpg")</f>
        <v/>
      </c>
      <c r="M1463">
        <f>IMAGE("file:///E:/Estudios%20y%20certificaciones/ESTUDIOS%20DE%20PROGRAMMING/PROGRAMMING/PERSONAL/PYTHON/Image_Generator_API/imagenes/NAUTICA_CLASSICS_117004074_BLK_2.jpg")</f>
        <v/>
      </c>
      <c r="N1463">
        <f>IMAGE("file:///E:/Estudios%20y%20certificaciones/ESTUDIOS%20DE%20PROGRAMMING/PROGRAMMING/PERSONAL/PYTHON/Image_Generator_API/imagenes/NAUTICA_CLASSICS_117004074_BLK_3.jpg")</f>
        <v/>
      </c>
      <c r="O1463">
        <f>HYPERLINK("imagenes/NAUTICA_CLASSICS_117004074_BLK_1.jpg","Ver imagen")</f>
        <v/>
      </c>
      <c r="P1463">
        <f>HYPERLINK("imagenes/NAUTICA_CLASSICS_117004074_BLK_2.jpg","Ver imagen")</f>
        <v/>
      </c>
      <c r="Q1463">
        <f>HYPERLINK("imagenes/NAUTICA_CLASSICS_117004074_BLK_3.jpg","Ver imagen")</f>
        <v/>
      </c>
    </row>
    <row r="1464">
      <c r="A1464" t="inlineStr">
        <is>
          <t>NAUTICA CLASSICS</t>
        </is>
      </c>
      <c r="B1464" t="inlineStr">
        <is>
          <t>117004074</t>
        </is>
      </c>
      <c r="C1464" t="inlineStr">
        <is>
          <t>3/4 STRETCH PUFFER</t>
        </is>
      </c>
      <c r="D1464" t="inlineStr">
        <is>
          <t>BLK</t>
        </is>
      </c>
      <c r="E1464" t="inlineStr">
        <is>
          <t>(en blanco)</t>
        </is>
      </c>
      <c r="F1464" t="inlineStr">
        <is>
          <t>(en blanco)</t>
        </is>
      </c>
      <c r="G1464" t="inlineStr">
        <is>
          <t>S</t>
        </is>
      </c>
      <c r="H1464" t="n">
        <v>2</v>
      </c>
      <c r="I1464" t="inlineStr">
        <is>
          <t>NAUTICA_CLASSICS_117004074_BLK_1.jpg</t>
        </is>
      </c>
      <c r="J1464" t="inlineStr">
        <is>
          <t>NAUTICA_CLASSICS_117004074_BLK_2.jpg</t>
        </is>
      </c>
      <c r="K1464" t="inlineStr">
        <is>
          <t>NAUTICA_CLASSICS_117004074_BLK_3.jpg</t>
        </is>
      </c>
      <c r="L1464">
        <f>IMAGE("file:///E:/Estudios%20y%20certificaciones/ESTUDIOS%20DE%20PROGRAMMING/PROGRAMMING/PERSONAL/PYTHON/Image_Generator_API/imagenes/NAUTICA_CLASSICS_117004074_BLK_1.jpg")</f>
        <v/>
      </c>
      <c r="M1464">
        <f>IMAGE("file:///E:/Estudios%20y%20certificaciones/ESTUDIOS%20DE%20PROGRAMMING/PROGRAMMING/PERSONAL/PYTHON/Image_Generator_API/imagenes/NAUTICA_CLASSICS_117004074_BLK_2.jpg")</f>
        <v/>
      </c>
      <c r="N1464">
        <f>IMAGE("file:///E:/Estudios%20y%20certificaciones/ESTUDIOS%20DE%20PROGRAMMING/PROGRAMMING/PERSONAL/PYTHON/Image_Generator_API/imagenes/NAUTICA_CLASSICS_117004074_BLK_3.jpg")</f>
        <v/>
      </c>
      <c r="O1464">
        <f>HYPERLINK("imagenes/NAUTICA_CLASSICS_117004074_BLK_1.jpg","Ver imagen")</f>
        <v/>
      </c>
      <c r="P1464">
        <f>HYPERLINK("imagenes/NAUTICA_CLASSICS_117004074_BLK_2.jpg","Ver imagen")</f>
        <v/>
      </c>
      <c r="Q1464">
        <f>HYPERLINK("imagenes/NAUTICA_CLASSICS_117004074_BLK_3.jpg","Ver imagen")</f>
        <v/>
      </c>
    </row>
    <row r="1465">
      <c r="A1465" t="inlineStr">
        <is>
          <t>NAUTICA CLASSICS</t>
        </is>
      </c>
      <c r="B1465" t="inlineStr">
        <is>
          <t>117004074</t>
        </is>
      </c>
      <c r="C1465" t="inlineStr">
        <is>
          <t>3/4 STRETCH PUFFER</t>
        </is>
      </c>
      <c r="D1465" t="inlineStr">
        <is>
          <t>BLK</t>
        </is>
      </c>
      <c r="E1465" t="inlineStr">
        <is>
          <t>(en blanco)</t>
        </is>
      </c>
      <c r="F1465" t="inlineStr">
        <is>
          <t>(en blanco)</t>
        </is>
      </c>
      <c r="G1465" t="inlineStr">
        <is>
          <t>M</t>
        </is>
      </c>
      <c r="H1465" t="n">
        <v>16</v>
      </c>
      <c r="I1465" t="inlineStr">
        <is>
          <t>NAUTICA_CLASSICS_117004074_BLK_1.jpg</t>
        </is>
      </c>
      <c r="J1465" t="inlineStr">
        <is>
          <t>NAUTICA_CLASSICS_117004074_BLK_2.jpg</t>
        </is>
      </c>
      <c r="K1465" t="inlineStr">
        <is>
          <t>NAUTICA_CLASSICS_117004074_BLK_3.jpg</t>
        </is>
      </c>
      <c r="L1465">
        <f>IMAGE("file:///E:/Estudios%20y%20certificaciones/ESTUDIOS%20DE%20PROGRAMMING/PROGRAMMING/PERSONAL/PYTHON/Image_Generator_API/imagenes/NAUTICA_CLASSICS_117004074_BLK_1.jpg")</f>
        <v/>
      </c>
      <c r="M1465">
        <f>IMAGE("file:///E:/Estudios%20y%20certificaciones/ESTUDIOS%20DE%20PROGRAMMING/PROGRAMMING/PERSONAL/PYTHON/Image_Generator_API/imagenes/NAUTICA_CLASSICS_117004074_BLK_2.jpg")</f>
        <v/>
      </c>
      <c r="N1465">
        <f>IMAGE("file:///E:/Estudios%20y%20certificaciones/ESTUDIOS%20DE%20PROGRAMMING/PROGRAMMING/PERSONAL/PYTHON/Image_Generator_API/imagenes/NAUTICA_CLASSICS_117004074_BLK_3.jpg")</f>
        <v/>
      </c>
      <c r="O1465">
        <f>HYPERLINK("imagenes/NAUTICA_CLASSICS_117004074_BLK_1.jpg","Ver imagen")</f>
        <v/>
      </c>
      <c r="P1465">
        <f>HYPERLINK("imagenes/NAUTICA_CLASSICS_117004074_BLK_2.jpg","Ver imagen")</f>
        <v/>
      </c>
      <c r="Q1465">
        <f>HYPERLINK("imagenes/NAUTICA_CLASSICS_117004074_BLK_3.jpg","Ver imagen")</f>
        <v/>
      </c>
    </row>
    <row r="1466">
      <c r="A1466" t="inlineStr">
        <is>
          <t>NAUTICA CLASSICS</t>
        </is>
      </c>
      <c r="B1466" t="inlineStr">
        <is>
          <t>117004074</t>
        </is>
      </c>
      <c r="C1466" t="inlineStr">
        <is>
          <t>3/4 STRETCH PUFFER</t>
        </is>
      </c>
      <c r="D1466" t="inlineStr">
        <is>
          <t>BLK</t>
        </is>
      </c>
      <c r="E1466" t="inlineStr">
        <is>
          <t>(en blanco)</t>
        </is>
      </c>
      <c r="F1466" t="inlineStr">
        <is>
          <t>(en blanco)</t>
        </is>
      </c>
      <c r="G1466" t="inlineStr">
        <is>
          <t>L</t>
        </is>
      </c>
      <c r="H1466" t="n">
        <v>10</v>
      </c>
      <c r="I1466" t="inlineStr">
        <is>
          <t>NAUTICA_CLASSICS_117004074_BLK_1.jpg</t>
        </is>
      </c>
      <c r="J1466" t="inlineStr">
        <is>
          <t>NAUTICA_CLASSICS_117004074_BLK_2.jpg</t>
        </is>
      </c>
      <c r="K1466" t="inlineStr">
        <is>
          <t>NAUTICA_CLASSICS_117004074_BLK_3.jpg</t>
        </is>
      </c>
      <c r="L1466">
        <f>IMAGE("file:///E:/Estudios%20y%20certificaciones/ESTUDIOS%20DE%20PROGRAMMING/PROGRAMMING/PERSONAL/PYTHON/Image_Generator_API/imagenes/NAUTICA_CLASSICS_117004074_BLK_1.jpg")</f>
        <v/>
      </c>
      <c r="M1466">
        <f>IMAGE("file:///E:/Estudios%20y%20certificaciones/ESTUDIOS%20DE%20PROGRAMMING/PROGRAMMING/PERSONAL/PYTHON/Image_Generator_API/imagenes/NAUTICA_CLASSICS_117004074_BLK_2.jpg")</f>
        <v/>
      </c>
      <c r="N1466">
        <f>IMAGE("file:///E:/Estudios%20y%20certificaciones/ESTUDIOS%20DE%20PROGRAMMING/PROGRAMMING/PERSONAL/PYTHON/Image_Generator_API/imagenes/NAUTICA_CLASSICS_117004074_BLK_3.jpg")</f>
        <v/>
      </c>
      <c r="O1466">
        <f>HYPERLINK("imagenes/NAUTICA_CLASSICS_117004074_BLK_1.jpg","Ver imagen")</f>
        <v/>
      </c>
      <c r="P1466">
        <f>HYPERLINK("imagenes/NAUTICA_CLASSICS_117004074_BLK_2.jpg","Ver imagen")</f>
        <v/>
      </c>
      <c r="Q1466">
        <f>HYPERLINK("imagenes/NAUTICA_CLASSICS_117004074_BLK_3.jpg","Ver imagen")</f>
        <v/>
      </c>
    </row>
    <row r="1467">
      <c r="A1467" t="inlineStr">
        <is>
          <t>NAUTICA CLASSICS</t>
        </is>
      </c>
      <c r="B1467" t="inlineStr">
        <is>
          <t>117004074</t>
        </is>
      </c>
      <c r="C1467" t="inlineStr">
        <is>
          <t>3/4 STRETCH PUFFER</t>
        </is>
      </c>
      <c r="D1467" t="inlineStr">
        <is>
          <t>BLK</t>
        </is>
      </c>
      <c r="E1467" t="inlineStr">
        <is>
          <t>(en blanco)</t>
        </is>
      </c>
      <c r="F1467" t="inlineStr">
        <is>
          <t>(en blanco)</t>
        </is>
      </c>
      <c r="G1467" t="inlineStr">
        <is>
          <t>XL</t>
        </is>
      </c>
      <c r="H1467" t="n">
        <v>31</v>
      </c>
      <c r="I1467" t="inlineStr">
        <is>
          <t>NAUTICA_CLASSICS_117004074_BLK_1.jpg</t>
        </is>
      </c>
      <c r="J1467" t="inlineStr">
        <is>
          <t>NAUTICA_CLASSICS_117004074_BLK_2.jpg</t>
        </is>
      </c>
      <c r="K1467" t="inlineStr">
        <is>
          <t>NAUTICA_CLASSICS_117004074_BLK_3.jpg</t>
        </is>
      </c>
      <c r="L1467">
        <f>IMAGE("file:///E:/Estudios%20y%20certificaciones/ESTUDIOS%20DE%20PROGRAMMING/PROGRAMMING/PERSONAL/PYTHON/Image_Generator_API/imagenes/NAUTICA_CLASSICS_117004074_BLK_1.jpg")</f>
        <v/>
      </c>
      <c r="M1467">
        <f>IMAGE("file:///E:/Estudios%20y%20certificaciones/ESTUDIOS%20DE%20PROGRAMMING/PROGRAMMING/PERSONAL/PYTHON/Image_Generator_API/imagenes/NAUTICA_CLASSICS_117004074_BLK_2.jpg")</f>
        <v/>
      </c>
      <c r="N1467">
        <f>IMAGE("file:///E:/Estudios%20y%20certificaciones/ESTUDIOS%20DE%20PROGRAMMING/PROGRAMMING/PERSONAL/PYTHON/Image_Generator_API/imagenes/NAUTICA_CLASSICS_117004074_BLK_3.jpg")</f>
        <v/>
      </c>
      <c r="O1467">
        <f>HYPERLINK("imagenes/NAUTICA_CLASSICS_117004074_BLK_1.jpg","Ver imagen")</f>
        <v/>
      </c>
      <c r="P1467">
        <f>HYPERLINK("imagenes/NAUTICA_CLASSICS_117004074_BLK_2.jpg","Ver imagen")</f>
        <v/>
      </c>
      <c r="Q1467">
        <f>HYPERLINK("imagenes/NAUTICA_CLASSICS_117004074_BLK_3.jpg","Ver imagen")</f>
        <v/>
      </c>
    </row>
    <row r="1468">
      <c r="A1468" t="inlineStr">
        <is>
          <t>NAUTICA CLASSICS</t>
        </is>
      </c>
      <c r="B1468" t="inlineStr">
        <is>
          <t>117004074</t>
        </is>
      </c>
      <c r="C1468" t="inlineStr">
        <is>
          <t>3/4 STRETCH PUFFER</t>
        </is>
      </c>
      <c r="D1468" t="inlineStr">
        <is>
          <t>CTI</t>
        </is>
      </c>
      <c r="E1468" t="inlineStr">
        <is>
          <t>(en blanco)</t>
        </is>
      </c>
      <c r="F1468" t="inlineStr">
        <is>
          <t>(en blanco)</t>
        </is>
      </c>
      <c r="G1468" t="inlineStr">
        <is>
          <t>XS</t>
        </is>
      </c>
      <c r="H1468" t="n">
        <v>5</v>
      </c>
      <c r="I1468" t="inlineStr">
        <is>
          <t>NAUTICA_CLASSICS_117004074_CTI_1.jpg</t>
        </is>
      </c>
      <c r="J1468" t="inlineStr">
        <is>
          <t>NAUTICA_CLASSICS_117004074_CTI_2.jpg</t>
        </is>
      </c>
      <c r="K1468" t="inlineStr">
        <is>
          <t>NAUTICA_CLASSICS_117004074_CTI_3.jpg</t>
        </is>
      </c>
      <c r="L1468">
        <f>IMAGE("file:///E:/Estudios%20y%20certificaciones/ESTUDIOS%20DE%20PROGRAMMING/PROGRAMMING/PERSONAL/PYTHON/Image_Generator_API/imagenes/NAUTICA_CLASSICS_117004074_CTI_1.jpg")</f>
        <v/>
      </c>
      <c r="M1468">
        <f>IMAGE("file:///E:/Estudios%20y%20certificaciones/ESTUDIOS%20DE%20PROGRAMMING/PROGRAMMING/PERSONAL/PYTHON/Image_Generator_API/imagenes/NAUTICA_CLASSICS_117004074_CTI_2.jpg")</f>
        <v/>
      </c>
      <c r="N1468">
        <f>IMAGE("file:///E:/Estudios%20y%20certificaciones/ESTUDIOS%20DE%20PROGRAMMING/PROGRAMMING/PERSONAL/PYTHON/Image_Generator_API/imagenes/NAUTICA_CLASSICS_117004074_CTI_3.jpg")</f>
        <v/>
      </c>
      <c r="O1468">
        <f>HYPERLINK("imagenes/NAUTICA_CLASSICS_117004074_CTI_1.jpg","Ver imagen")</f>
        <v/>
      </c>
      <c r="P1468">
        <f>HYPERLINK("imagenes/NAUTICA_CLASSICS_117004074_CTI_2.jpg","Ver imagen")</f>
        <v/>
      </c>
      <c r="Q1468">
        <f>HYPERLINK("imagenes/NAUTICA_CLASSICS_117004074_CTI_3.jpg","Ver imagen")</f>
        <v/>
      </c>
    </row>
    <row r="1469">
      <c r="A1469" t="inlineStr">
        <is>
          <t>NAUTICA CLASSICS</t>
        </is>
      </c>
      <c r="B1469" t="inlineStr">
        <is>
          <t>117004074</t>
        </is>
      </c>
      <c r="C1469" t="inlineStr">
        <is>
          <t>3/4 STRETCH PUFFER</t>
        </is>
      </c>
      <c r="D1469" t="inlineStr">
        <is>
          <t>CTI</t>
        </is>
      </c>
      <c r="E1469" t="inlineStr">
        <is>
          <t>(en blanco)</t>
        </is>
      </c>
      <c r="F1469" t="inlineStr">
        <is>
          <t>(en blanco)</t>
        </is>
      </c>
      <c r="G1469" t="inlineStr">
        <is>
          <t>S</t>
        </is>
      </c>
      <c r="H1469" t="n">
        <v>3</v>
      </c>
      <c r="I1469" t="inlineStr">
        <is>
          <t>NAUTICA_CLASSICS_117004074_CTI_1.jpg</t>
        </is>
      </c>
      <c r="J1469" t="inlineStr">
        <is>
          <t>NAUTICA_CLASSICS_117004074_CTI_2.jpg</t>
        </is>
      </c>
      <c r="K1469" t="inlineStr">
        <is>
          <t>NAUTICA_CLASSICS_117004074_CTI_3.jpg</t>
        </is>
      </c>
      <c r="L1469">
        <f>IMAGE("file:///E:/Estudios%20y%20certificaciones/ESTUDIOS%20DE%20PROGRAMMING/PROGRAMMING/PERSONAL/PYTHON/Image_Generator_API/imagenes/NAUTICA_CLASSICS_117004074_CTI_1.jpg")</f>
        <v/>
      </c>
      <c r="M1469">
        <f>IMAGE("file:///E:/Estudios%20y%20certificaciones/ESTUDIOS%20DE%20PROGRAMMING/PROGRAMMING/PERSONAL/PYTHON/Image_Generator_API/imagenes/NAUTICA_CLASSICS_117004074_CTI_2.jpg")</f>
        <v/>
      </c>
      <c r="N1469">
        <f>IMAGE("file:///E:/Estudios%20y%20certificaciones/ESTUDIOS%20DE%20PROGRAMMING/PROGRAMMING/PERSONAL/PYTHON/Image_Generator_API/imagenes/NAUTICA_CLASSICS_117004074_CTI_3.jpg")</f>
        <v/>
      </c>
      <c r="O1469">
        <f>HYPERLINK("imagenes/NAUTICA_CLASSICS_117004074_CTI_1.jpg","Ver imagen")</f>
        <v/>
      </c>
      <c r="P1469">
        <f>HYPERLINK("imagenes/NAUTICA_CLASSICS_117004074_CTI_2.jpg","Ver imagen")</f>
        <v/>
      </c>
      <c r="Q1469">
        <f>HYPERLINK("imagenes/NAUTICA_CLASSICS_117004074_CTI_3.jpg","Ver imagen")</f>
        <v/>
      </c>
    </row>
    <row r="1470">
      <c r="A1470" t="inlineStr">
        <is>
          <t>NAUTICA CLASSICS</t>
        </is>
      </c>
      <c r="B1470" t="inlineStr">
        <is>
          <t>117004074</t>
        </is>
      </c>
      <c r="C1470" t="inlineStr">
        <is>
          <t>3/4 STRETCH PUFFER</t>
        </is>
      </c>
      <c r="D1470" t="inlineStr">
        <is>
          <t>CTI</t>
        </is>
      </c>
      <c r="E1470" t="inlineStr">
        <is>
          <t>(en blanco)</t>
        </is>
      </c>
      <c r="F1470" t="inlineStr">
        <is>
          <t>(en blanco)</t>
        </is>
      </c>
      <c r="G1470" t="inlineStr">
        <is>
          <t>L</t>
        </is>
      </c>
      <c r="H1470" t="n">
        <v>4</v>
      </c>
      <c r="I1470" t="inlineStr">
        <is>
          <t>NAUTICA_CLASSICS_117004074_CTI_1.jpg</t>
        </is>
      </c>
      <c r="J1470" t="inlineStr">
        <is>
          <t>NAUTICA_CLASSICS_117004074_CTI_2.jpg</t>
        </is>
      </c>
      <c r="K1470" t="inlineStr">
        <is>
          <t>NAUTICA_CLASSICS_117004074_CTI_3.jpg</t>
        </is>
      </c>
      <c r="L1470">
        <f>IMAGE("file:///E:/Estudios%20y%20certificaciones/ESTUDIOS%20DE%20PROGRAMMING/PROGRAMMING/PERSONAL/PYTHON/Image_Generator_API/imagenes/NAUTICA_CLASSICS_117004074_CTI_1.jpg")</f>
        <v/>
      </c>
      <c r="M1470">
        <f>IMAGE("file:///E:/Estudios%20y%20certificaciones/ESTUDIOS%20DE%20PROGRAMMING/PROGRAMMING/PERSONAL/PYTHON/Image_Generator_API/imagenes/NAUTICA_CLASSICS_117004074_CTI_2.jpg")</f>
        <v/>
      </c>
      <c r="N1470">
        <f>IMAGE("file:///E:/Estudios%20y%20certificaciones/ESTUDIOS%20DE%20PROGRAMMING/PROGRAMMING/PERSONAL/PYTHON/Image_Generator_API/imagenes/NAUTICA_CLASSICS_117004074_CTI_3.jpg")</f>
        <v/>
      </c>
      <c r="O1470">
        <f>HYPERLINK("imagenes/NAUTICA_CLASSICS_117004074_CTI_1.jpg","Ver imagen")</f>
        <v/>
      </c>
      <c r="P1470">
        <f>HYPERLINK("imagenes/NAUTICA_CLASSICS_117004074_CTI_2.jpg","Ver imagen")</f>
        <v/>
      </c>
      <c r="Q1470">
        <f>HYPERLINK("imagenes/NAUTICA_CLASSICS_117004074_CTI_3.jpg","Ver imagen")</f>
        <v/>
      </c>
    </row>
    <row r="1471">
      <c r="A1471" t="inlineStr">
        <is>
          <t>NAUTICA CLASSICS</t>
        </is>
      </c>
      <c r="B1471" t="inlineStr">
        <is>
          <t>117004074</t>
        </is>
      </c>
      <c r="C1471" t="inlineStr">
        <is>
          <t>3/4 STRETCH PUFFER</t>
        </is>
      </c>
      <c r="D1471" t="inlineStr">
        <is>
          <t>CTI</t>
        </is>
      </c>
      <c r="E1471" t="inlineStr">
        <is>
          <t>(en blanco)</t>
        </is>
      </c>
      <c r="F1471" t="inlineStr">
        <is>
          <t>(en blanco)</t>
        </is>
      </c>
      <c r="G1471" t="inlineStr">
        <is>
          <t>XL</t>
        </is>
      </c>
      <c r="H1471" t="n">
        <v>4</v>
      </c>
      <c r="I1471" t="inlineStr">
        <is>
          <t>NAUTICA_CLASSICS_117004074_CTI_1.jpg</t>
        </is>
      </c>
      <c r="J1471" t="inlineStr">
        <is>
          <t>NAUTICA_CLASSICS_117004074_CTI_2.jpg</t>
        </is>
      </c>
      <c r="K1471" t="inlineStr">
        <is>
          <t>NAUTICA_CLASSICS_117004074_CTI_3.jpg</t>
        </is>
      </c>
      <c r="L1471">
        <f>IMAGE("file:///E:/Estudios%20y%20certificaciones/ESTUDIOS%20DE%20PROGRAMMING/PROGRAMMING/PERSONAL/PYTHON/Image_Generator_API/imagenes/NAUTICA_CLASSICS_117004074_CTI_1.jpg")</f>
        <v/>
      </c>
      <c r="M1471">
        <f>IMAGE("file:///E:/Estudios%20y%20certificaciones/ESTUDIOS%20DE%20PROGRAMMING/PROGRAMMING/PERSONAL/PYTHON/Image_Generator_API/imagenes/NAUTICA_CLASSICS_117004074_CTI_2.jpg")</f>
        <v/>
      </c>
      <c r="N1471">
        <f>IMAGE("file:///E:/Estudios%20y%20certificaciones/ESTUDIOS%20DE%20PROGRAMMING/PROGRAMMING/PERSONAL/PYTHON/Image_Generator_API/imagenes/NAUTICA_CLASSICS_117004074_CTI_3.jpg")</f>
        <v/>
      </c>
      <c r="O1471">
        <f>HYPERLINK("imagenes/NAUTICA_CLASSICS_117004074_CTI_1.jpg","Ver imagen")</f>
        <v/>
      </c>
      <c r="P1471">
        <f>HYPERLINK("imagenes/NAUTICA_CLASSICS_117004074_CTI_2.jpg","Ver imagen")</f>
        <v/>
      </c>
      <c r="Q1471">
        <f>HYPERLINK("imagenes/NAUTICA_CLASSICS_117004074_CTI_3.jpg","Ver imagen")</f>
        <v/>
      </c>
    </row>
    <row r="1472">
      <c r="A1472" t="inlineStr">
        <is>
          <t>NAUTICA CLASSICS</t>
        </is>
      </c>
      <c r="B1472" t="inlineStr">
        <is>
          <t>117004074</t>
        </is>
      </c>
      <c r="C1472" t="inlineStr">
        <is>
          <t>3/4 STRETCH PUFFER</t>
        </is>
      </c>
      <c r="D1472" t="inlineStr">
        <is>
          <t>CTI</t>
        </is>
      </c>
      <c r="E1472" t="inlineStr">
        <is>
          <t>(en blanco)</t>
        </is>
      </c>
      <c r="F1472" t="inlineStr">
        <is>
          <t>(en blanco)</t>
        </is>
      </c>
      <c r="G1472" t="inlineStr">
        <is>
          <t>XXL</t>
        </is>
      </c>
      <c r="H1472" t="n">
        <v>11</v>
      </c>
      <c r="I1472" t="inlineStr">
        <is>
          <t>NAUTICA_CLASSICS_117004074_CTI_1.jpg</t>
        </is>
      </c>
      <c r="J1472" t="inlineStr">
        <is>
          <t>NAUTICA_CLASSICS_117004074_CTI_2.jpg</t>
        </is>
      </c>
      <c r="K1472" t="inlineStr">
        <is>
          <t>NAUTICA_CLASSICS_117004074_CTI_3.jpg</t>
        </is>
      </c>
      <c r="L1472">
        <f>IMAGE("file:///E:/Estudios%20y%20certificaciones/ESTUDIOS%20DE%20PROGRAMMING/PROGRAMMING/PERSONAL/PYTHON/Image_Generator_API/imagenes/NAUTICA_CLASSICS_117004074_CTI_1.jpg")</f>
        <v/>
      </c>
      <c r="M1472">
        <f>IMAGE("file:///E:/Estudios%20y%20certificaciones/ESTUDIOS%20DE%20PROGRAMMING/PROGRAMMING/PERSONAL/PYTHON/Image_Generator_API/imagenes/NAUTICA_CLASSICS_117004074_CTI_2.jpg")</f>
        <v/>
      </c>
      <c r="N1472">
        <f>IMAGE("file:///E:/Estudios%20y%20certificaciones/ESTUDIOS%20DE%20PROGRAMMING/PROGRAMMING/PERSONAL/PYTHON/Image_Generator_API/imagenes/NAUTICA_CLASSICS_117004074_CTI_3.jpg")</f>
        <v/>
      </c>
      <c r="O1472">
        <f>HYPERLINK("imagenes/NAUTICA_CLASSICS_117004074_CTI_1.jpg","Ver imagen")</f>
        <v/>
      </c>
      <c r="P1472">
        <f>HYPERLINK("imagenes/NAUTICA_CLASSICS_117004074_CTI_2.jpg","Ver imagen")</f>
        <v/>
      </c>
      <c r="Q1472">
        <f>HYPERLINK("imagenes/NAUTICA_CLASSICS_117004074_CTI_3.jpg","Ver imagen")</f>
        <v/>
      </c>
    </row>
    <row r="1473">
      <c r="A1473" t="inlineStr">
        <is>
          <t>NAUTICA CLASSICS</t>
        </is>
      </c>
      <c r="B1473" t="inlineStr">
        <is>
          <t>117004074</t>
        </is>
      </c>
      <c r="C1473" t="inlineStr">
        <is>
          <t>3/4 STRETCH PUFFER</t>
        </is>
      </c>
      <c r="D1473" t="inlineStr">
        <is>
          <t>CTI</t>
        </is>
      </c>
      <c r="E1473" t="inlineStr">
        <is>
          <t>(en blanco)</t>
        </is>
      </c>
      <c r="F1473" t="inlineStr">
        <is>
          <t>(en blanco)</t>
        </is>
      </c>
      <c r="G1473" t="inlineStr">
        <is>
          <t>XXS</t>
        </is>
      </c>
      <c r="H1473" t="n">
        <v>2</v>
      </c>
      <c r="I1473" t="inlineStr">
        <is>
          <t>NAUTICA_CLASSICS_117004074_CTI_1.jpg</t>
        </is>
      </c>
      <c r="J1473" t="inlineStr">
        <is>
          <t>NAUTICA_CLASSICS_117004074_CTI_2.jpg</t>
        </is>
      </c>
      <c r="K1473" t="inlineStr">
        <is>
          <t>NAUTICA_CLASSICS_117004074_CTI_3.jpg</t>
        </is>
      </c>
      <c r="L1473">
        <f>IMAGE("file:///E:/Estudios%20y%20certificaciones/ESTUDIOS%20DE%20PROGRAMMING/PROGRAMMING/PERSONAL/PYTHON/Image_Generator_API/imagenes/NAUTICA_CLASSICS_117004074_CTI_1.jpg")</f>
        <v/>
      </c>
      <c r="M1473">
        <f>IMAGE("file:///E:/Estudios%20y%20certificaciones/ESTUDIOS%20DE%20PROGRAMMING/PROGRAMMING/PERSONAL/PYTHON/Image_Generator_API/imagenes/NAUTICA_CLASSICS_117004074_CTI_2.jpg")</f>
        <v/>
      </c>
      <c r="N1473">
        <f>IMAGE("file:///E:/Estudios%20y%20certificaciones/ESTUDIOS%20DE%20PROGRAMMING/PROGRAMMING/PERSONAL/PYTHON/Image_Generator_API/imagenes/NAUTICA_CLASSICS_117004074_CTI_3.jpg")</f>
        <v/>
      </c>
      <c r="O1473">
        <f>HYPERLINK("imagenes/NAUTICA_CLASSICS_117004074_CTI_1.jpg","Ver imagen")</f>
        <v/>
      </c>
      <c r="P1473">
        <f>HYPERLINK("imagenes/NAUTICA_CLASSICS_117004074_CTI_2.jpg","Ver imagen")</f>
        <v/>
      </c>
      <c r="Q1473">
        <f>HYPERLINK("imagenes/NAUTICA_CLASSICS_117004074_CTI_3.jpg","Ver imagen")</f>
        <v/>
      </c>
    </row>
    <row r="1474">
      <c r="A1474" t="inlineStr">
        <is>
          <t>NAUTICA CLASSICS</t>
        </is>
      </c>
      <c r="B1474" t="inlineStr">
        <is>
          <t>117004074</t>
        </is>
      </c>
      <c r="C1474" t="inlineStr">
        <is>
          <t>3/4 STRETCH PUFFER</t>
        </is>
      </c>
      <c r="D1474" t="inlineStr">
        <is>
          <t>HT1</t>
        </is>
      </c>
      <c r="E1474" t="inlineStr">
        <is>
          <t>08A05</t>
        </is>
      </c>
      <c r="F1474" t="inlineStr">
        <is>
          <t>(en blanco)</t>
        </is>
      </c>
      <c r="G1474" t="inlineStr">
        <is>
          <t>PPK</t>
        </is>
      </c>
      <c r="H1474" t="n">
        <v>0</v>
      </c>
      <c r="I1474" t="inlineStr">
        <is>
          <t>NAUTICA_CLASSICS_117004074_HT1_1.jpg</t>
        </is>
      </c>
      <c r="J1474" t="inlineStr">
        <is>
          <t>NAUTICA_CLASSICS_117004074_HT1_2.jpg</t>
        </is>
      </c>
      <c r="K1474" t="inlineStr">
        <is>
          <t>NAUTICA_CLASSICS_117004074_HT1_3.jpg</t>
        </is>
      </c>
      <c r="L1474">
        <f>IMAGE("file:///E:/Estudios%20y%20certificaciones/ESTUDIOS%20DE%20PROGRAMMING/PROGRAMMING/PERSONAL/PYTHON/Image_Generator_API/imagenes/NAUTICA_CLASSICS_117004074_HT1_1.jpg")</f>
        <v/>
      </c>
      <c r="M1474">
        <f>IMAGE("file:///E:/Estudios%20y%20certificaciones/ESTUDIOS%20DE%20PROGRAMMING/PROGRAMMING/PERSONAL/PYTHON/Image_Generator_API/imagenes/NAUTICA_CLASSICS_117004074_HT1_2.jpg")</f>
        <v/>
      </c>
      <c r="N1474">
        <f>IMAGE("file:///E:/Estudios%20y%20certificaciones/ESTUDIOS%20DE%20PROGRAMMING/PROGRAMMING/PERSONAL/PYTHON/Image_Generator_API/imagenes/NAUTICA_CLASSICS_117004074_HT1_3.jpg")</f>
        <v/>
      </c>
      <c r="O1474">
        <f>HYPERLINK("imagenes/NAUTICA_CLASSICS_117004074_HT1_1.jpg","Ver imagen")</f>
        <v/>
      </c>
      <c r="P1474">
        <f>HYPERLINK("imagenes/NAUTICA_CLASSICS_117004074_HT1_2.jpg","Ver imagen")</f>
        <v/>
      </c>
      <c r="Q1474">
        <f>HYPERLINK("imagenes/NAUTICA_CLASSICS_117004074_HT1_3.jpg","Ver imagen")</f>
        <v/>
      </c>
    </row>
    <row r="1475">
      <c r="A1475" t="inlineStr">
        <is>
          <t>NAUTICA CLASSICS</t>
        </is>
      </c>
      <c r="B1475" t="inlineStr">
        <is>
          <t>117004074</t>
        </is>
      </c>
      <c r="C1475" t="inlineStr">
        <is>
          <t>3/4 STRETCH PUFFER</t>
        </is>
      </c>
      <c r="D1475" t="inlineStr">
        <is>
          <t>HT1</t>
        </is>
      </c>
      <c r="E1475" t="inlineStr">
        <is>
          <t>(en blanco)</t>
        </is>
      </c>
      <c r="F1475" t="inlineStr">
        <is>
          <t>D2C</t>
        </is>
      </c>
      <c r="G1475" t="inlineStr">
        <is>
          <t>XS</t>
        </is>
      </c>
      <c r="H1475" t="n">
        <v>10</v>
      </c>
      <c r="I1475" t="inlineStr">
        <is>
          <t>NAUTICA_CLASSICS_117004074_HT1_1.jpg</t>
        </is>
      </c>
      <c r="J1475" t="inlineStr">
        <is>
          <t>NAUTICA_CLASSICS_117004074_HT1_2.jpg</t>
        </is>
      </c>
      <c r="K1475" t="inlineStr">
        <is>
          <t>NAUTICA_CLASSICS_117004074_HT1_3.jpg</t>
        </is>
      </c>
      <c r="L1475">
        <f>IMAGE("file:///E:/Estudios%20y%20certificaciones/ESTUDIOS%20DE%20PROGRAMMING/PROGRAMMING/PERSONAL/PYTHON/Image_Generator_API/imagenes/NAUTICA_CLASSICS_117004074_HT1_1.jpg")</f>
        <v/>
      </c>
      <c r="M1475">
        <f>IMAGE("file:///E:/Estudios%20y%20certificaciones/ESTUDIOS%20DE%20PROGRAMMING/PROGRAMMING/PERSONAL/PYTHON/Image_Generator_API/imagenes/NAUTICA_CLASSICS_117004074_HT1_2.jpg")</f>
        <v/>
      </c>
      <c r="N1475">
        <f>IMAGE("file:///E:/Estudios%20y%20certificaciones/ESTUDIOS%20DE%20PROGRAMMING/PROGRAMMING/PERSONAL/PYTHON/Image_Generator_API/imagenes/NAUTICA_CLASSICS_117004074_HT1_3.jpg")</f>
        <v/>
      </c>
      <c r="O1475">
        <f>HYPERLINK("imagenes/NAUTICA_CLASSICS_117004074_HT1_1.jpg","Ver imagen")</f>
        <v/>
      </c>
      <c r="P1475">
        <f>HYPERLINK("imagenes/NAUTICA_CLASSICS_117004074_HT1_2.jpg","Ver imagen")</f>
        <v/>
      </c>
      <c r="Q1475">
        <f>HYPERLINK("imagenes/NAUTICA_CLASSICS_117004074_HT1_3.jpg","Ver imagen")</f>
        <v/>
      </c>
    </row>
    <row r="1476">
      <c r="A1476" t="inlineStr">
        <is>
          <t>NAUTICA CLASSICS</t>
        </is>
      </c>
      <c r="B1476" t="inlineStr">
        <is>
          <t>117004074</t>
        </is>
      </c>
      <c r="C1476" t="inlineStr">
        <is>
          <t>3/4 STRETCH PUFFER</t>
        </is>
      </c>
      <c r="D1476" t="inlineStr">
        <is>
          <t>HT1</t>
        </is>
      </c>
      <c r="E1476" t="inlineStr">
        <is>
          <t>(en blanco)</t>
        </is>
      </c>
      <c r="F1476" t="inlineStr">
        <is>
          <t>D2C</t>
        </is>
      </c>
      <c r="G1476" t="inlineStr">
        <is>
          <t>S</t>
        </is>
      </c>
      <c r="H1476" t="n">
        <v>20</v>
      </c>
      <c r="I1476" t="inlineStr">
        <is>
          <t>NAUTICA_CLASSICS_117004074_HT1_1.jpg</t>
        </is>
      </c>
      <c r="J1476" t="inlineStr">
        <is>
          <t>NAUTICA_CLASSICS_117004074_HT1_2.jpg</t>
        </is>
      </c>
      <c r="K1476" t="inlineStr">
        <is>
          <t>NAUTICA_CLASSICS_117004074_HT1_3.jpg</t>
        </is>
      </c>
      <c r="L1476">
        <f>IMAGE("file:///E:/Estudios%20y%20certificaciones/ESTUDIOS%20DE%20PROGRAMMING/PROGRAMMING/PERSONAL/PYTHON/Image_Generator_API/imagenes/NAUTICA_CLASSICS_117004074_HT1_1.jpg")</f>
        <v/>
      </c>
      <c r="M1476">
        <f>IMAGE("file:///E:/Estudios%20y%20certificaciones/ESTUDIOS%20DE%20PROGRAMMING/PROGRAMMING/PERSONAL/PYTHON/Image_Generator_API/imagenes/NAUTICA_CLASSICS_117004074_HT1_2.jpg")</f>
        <v/>
      </c>
      <c r="N1476">
        <f>IMAGE("file:///E:/Estudios%20y%20certificaciones/ESTUDIOS%20DE%20PROGRAMMING/PROGRAMMING/PERSONAL/PYTHON/Image_Generator_API/imagenes/NAUTICA_CLASSICS_117004074_HT1_3.jpg")</f>
        <v/>
      </c>
      <c r="O1476">
        <f>HYPERLINK("imagenes/NAUTICA_CLASSICS_117004074_HT1_1.jpg","Ver imagen")</f>
        <v/>
      </c>
      <c r="P1476">
        <f>HYPERLINK("imagenes/NAUTICA_CLASSICS_117004074_HT1_2.jpg","Ver imagen")</f>
        <v/>
      </c>
      <c r="Q1476">
        <f>HYPERLINK("imagenes/NAUTICA_CLASSICS_117004074_HT1_3.jpg","Ver imagen")</f>
        <v/>
      </c>
    </row>
    <row r="1477">
      <c r="A1477" t="inlineStr">
        <is>
          <t>NAUTICA CLASSICS</t>
        </is>
      </c>
      <c r="B1477" t="inlineStr">
        <is>
          <t>117004074</t>
        </is>
      </c>
      <c r="C1477" t="inlineStr">
        <is>
          <t>3/4 STRETCH PUFFER</t>
        </is>
      </c>
      <c r="D1477" t="inlineStr">
        <is>
          <t>HT1</t>
        </is>
      </c>
      <c r="E1477" t="inlineStr">
        <is>
          <t>(en blanco)</t>
        </is>
      </c>
      <c r="F1477" t="inlineStr">
        <is>
          <t>D2C</t>
        </is>
      </c>
      <c r="G1477" t="inlineStr">
        <is>
          <t>M</t>
        </is>
      </c>
      <c r="H1477" t="n">
        <v>19</v>
      </c>
      <c r="I1477" t="inlineStr">
        <is>
          <t>NAUTICA_CLASSICS_117004074_HT1_1.jpg</t>
        </is>
      </c>
      <c r="J1477" t="inlineStr">
        <is>
          <t>NAUTICA_CLASSICS_117004074_HT1_2.jpg</t>
        </is>
      </c>
      <c r="K1477" t="inlineStr">
        <is>
          <t>NAUTICA_CLASSICS_117004074_HT1_3.jpg</t>
        </is>
      </c>
      <c r="L1477">
        <f>IMAGE("file:///E:/Estudios%20y%20certificaciones/ESTUDIOS%20DE%20PROGRAMMING/PROGRAMMING/PERSONAL/PYTHON/Image_Generator_API/imagenes/NAUTICA_CLASSICS_117004074_HT1_1.jpg")</f>
        <v/>
      </c>
      <c r="M1477">
        <f>IMAGE("file:///E:/Estudios%20y%20certificaciones/ESTUDIOS%20DE%20PROGRAMMING/PROGRAMMING/PERSONAL/PYTHON/Image_Generator_API/imagenes/NAUTICA_CLASSICS_117004074_HT1_2.jpg")</f>
        <v/>
      </c>
      <c r="N1477">
        <f>IMAGE("file:///E:/Estudios%20y%20certificaciones/ESTUDIOS%20DE%20PROGRAMMING/PROGRAMMING/PERSONAL/PYTHON/Image_Generator_API/imagenes/NAUTICA_CLASSICS_117004074_HT1_3.jpg")</f>
        <v/>
      </c>
      <c r="O1477">
        <f>HYPERLINK("imagenes/NAUTICA_CLASSICS_117004074_HT1_1.jpg","Ver imagen")</f>
        <v/>
      </c>
      <c r="P1477">
        <f>HYPERLINK("imagenes/NAUTICA_CLASSICS_117004074_HT1_2.jpg","Ver imagen")</f>
        <v/>
      </c>
      <c r="Q1477">
        <f>HYPERLINK("imagenes/NAUTICA_CLASSICS_117004074_HT1_3.jpg","Ver imagen")</f>
        <v/>
      </c>
    </row>
    <row r="1478">
      <c r="A1478" t="inlineStr">
        <is>
          <t>NAUTICA CLASSICS</t>
        </is>
      </c>
      <c r="B1478" t="inlineStr">
        <is>
          <t>117004074</t>
        </is>
      </c>
      <c r="C1478" t="inlineStr">
        <is>
          <t>3/4 STRETCH PUFFER</t>
        </is>
      </c>
      <c r="D1478" t="inlineStr">
        <is>
          <t>HT1</t>
        </is>
      </c>
      <c r="E1478" t="inlineStr">
        <is>
          <t>(en blanco)</t>
        </is>
      </c>
      <c r="F1478" t="inlineStr">
        <is>
          <t>D2C</t>
        </is>
      </c>
      <c r="G1478" t="inlineStr">
        <is>
          <t>L</t>
        </is>
      </c>
      <c r="H1478" t="n">
        <v>16</v>
      </c>
      <c r="I1478" t="inlineStr">
        <is>
          <t>NAUTICA_CLASSICS_117004074_HT1_1.jpg</t>
        </is>
      </c>
      <c r="J1478" t="inlineStr">
        <is>
          <t>NAUTICA_CLASSICS_117004074_HT1_2.jpg</t>
        </is>
      </c>
      <c r="K1478" t="inlineStr">
        <is>
          <t>NAUTICA_CLASSICS_117004074_HT1_3.jpg</t>
        </is>
      </c>
      <c r="L1478">
        <f>IMAGE("file:///E:/Estudios%20y%20certificaciones/ESTUDIOS%20DE%20PROGRAMMING/PROGRAMMING/PERSONAL/PYTHON/Image_Generator_API/imagenes/NAUTICA_CLASSICS_117004074_HT1_1.jpg")</f>
        <v/>
      </c>
      <c r="M1478">
        <f>IMAGE("file:///E:/Estudios%20y%20certificaciones/ESTUDIOS%20DE%20PROGRAMMING/PROGRAMMING/PERSONAL/PYTHON/Image_Generator_API/imagenes/NAUTICA_CLASSICS_117004074_HT1_2.jpg")</f>
        <v/>
      </c>
      <c r="N1478">
        <f>IMAGE("file:///E:/Estudios%20y%20certificaciones/ESTUDIOS%20DE%20PROGRAMMING/PROGRAMMING/PERSONAL/PYTHON/Image_Generator_API/imagenes/NAUTICA_CLASSICS_117004074_HT1_3.jpg")</f>
        <v/>
      </c>
      <c r="O1478">
        <f>HYPERLINK("imagenes/NAUTICA_CLASSICS_117004074_HT1_1.jpg","Ver imagen")</f>
        <v/>
      </c>
      <c r="P1478">
        <f>HYPERLINK("imagenes/NAUTICA_CLASSICS_117004074_HT1_2.jpg","Ver imagen")</f>
        <v/>
      </c>
      <c r="Q1478">
        <f>HYPERLINK("imagenes/NAUTICA_CLASSICS_117004074_HT1_3.jpg","Ver imagen")</f>
        <v/>
      </c>
    </row>
    <row r="1479">
      <c r="A1479" t="inlineStr">
        <is>
          <t>NAUTICA CLASSICS</t>
        </is>
      </c>
      <c r="B1479" t="inlineStr">
        <is>
          <t>117004074</t>
        </is>
      </c>
      <c r="C1479" t="inlineStr">
        <is>
          <t>3/4 STRETCH PUFFER</t>
        </is>
      </c>
      <c r="D1479" t="inlineStr">
        <is>
          <t>HT1</t>
        </is>
      </c>
      <c r="E1479" t="inlineStr">
        <is>
          <t>(en blanco)</t>
        </is>
      </c>
      <c r="F1479" t="inlineStr">
        <is>
          <t>D2C</t>
        </is>
      </c>
      <c r="G1479" t="inlineStr">
        <is>
          <t>XL</t>
        </is>
      </c>
      <c r="H1479" t="n">
        <v>10</v>
      </c>
      <c r="I1479" t="inlineStr">
        <is>
          <t>NAUTICA_CLASSICS_117004074_HT1_1.jpg</t>
        </is>
      </c>
      <c r="J1479" t="inlineStr">
        <is>
          <t>NAUTICA_CLASSICS_117004074_HT1_2.jpg</t>
        </is>
      </c>
      <c r="K1479" t="inlineStr">
        <is>
          <t>NAUTICA_CLASSICS_117004074_HT1_3.jpg</t>
        </is>
      </c>
      <c r="L1479">
        <f>IMAGE("file:///E:/Estudios%20y%20certificaciones/ESTUDIOS%20DE%20PROGRAMMING/PROGRAMMING/PERSONAL/PYTHON/Image_Generator_API/imagenes/NAUTICA_CLASSICS_117004074_HT1_1.jpg")</f>
        <v/>
      </c>
      <c r="M1479">
        <f>IMAGE("file:///E:/Estudios%20y%20certificaciones/ESTUDIOS%20DE%20PROGRAMMING/PROGRAMMING/PERSONAL/PYTHON/Image_Generator_API/imagenes/NAUTICA_CLASSICS_117004074_HT1_2.jpg")</f>
        <v/>
      </c>
      <c r="N1479">
        <f>IMAGE("file:///E:/Estudios%20y%20certificaciones/ESTUDIOS%20DE%20PROGRAMMING/PROGRAMMING/PERSONAL/PYTHON/Image_Generator_API/imagenes/NAUTICA_CLASSICS_117004074_HT1_3.jpg")</f>
        <v/>
      </c>
      <c r="O1479">
        <f>HYPERLINK("imagenes/NAUTICA_CLASSICS_117004074_HT1_1.jpg","Ver imagen")</f>
        <v/>
      </c>
      <c r="P1479">
        <f>HYPERLINK("imagenes/NAUTICA_CLASSICS_117004074_HT1_2.jpg","Ver imagen")</f>
        <v/>
      </c>
      <c r="Q1479">
        <f>HYPERLINK("imagenes/NAUTICA_CLASSICS_117004074_HT1_3.jpg","Ver imagen")</f>
        <v/>
      </c>
    </row>
    <row r="1480">
      <c r="A1480" t="inlineStr">
        <is>
          <t>NAUTICA CLASSICS</t>
        </is>
      </c>
      <c r="B1480" t="inlineStr">
        <is>
          <t>117004074</t>
        </is>
      </c>
      <c r="C1480" t="inlineStr">
        <is>
          <t>3/4 STRETCH PUFFER</t>
        </is>
      </c>
      <c r="D1480" t="inlineStr">
        <is>
          <t>HT1</t>
        </is>
      </c>
      <c r="E1480" t="inlineStr">
        <is>
          <t>(en blanco)</t>
        </is>
      </c>
      <c r="F1480" t="inlineStr">
        <is>
          <t>(en blanco)</t>
        </is>
      </c>
      <c r="G1480" t="inlineStr">
        <is>
          <t>0X</t>
        </is>
      </c>
      <c r="H1480" t="n">
        <v>1</v>
      </c>
      <c r="I1480" t="inlineStr">
        <is>
          <t>NAUTICA_CLASSICS_117004074_HT1_1.jpg</t>
        </is>
      </c>
      <c r="J1480" t="inlineStr">
        <is>
          <t>NAUTICA_CLASSICS_117004074_HT1_2.jpg</t>
        </is>
      </c>
      <c r="K1480" t="inlineStr">
        <is>
          <t>NAUTICA_CLASSICS_117004074_HT1_3.jpg</t>
        </is>
      </c>
      <c r="L1480">
        <f>IMAGE("file:///E:/Estudios%20y%20certificaciones/ESTUDIOS%20DE%20PROGRAMMING/PROGRAMMING/PERSONAL/PYTHON/Image_Generator_API/imagenes/NAUTICA_CLASSICS_117004074_HT1_1.jpg")</f>
        <v/>
      </c>
      <c r="M1480">
        <f>IMAGE("file:///E:/Estudios%20y%20certificaciones/ESTUDIOS%20DE%20PROGRAMMING/PROGRAMMING/PERSONAL/PYTHON/Image_Generator_API/imagenes/NAUTICA_CLASSICS_117004074_HT1_2.jpg")</f>
        <v/>
      </c>
      <c r="N1480">
        <f>IMAGE("file:///E:/Estudios%20y%20certificaciones/ESTUDIOS%20DE%20PROGRAMMING/PROGRAMMING/PERSONAL/PYTHON/Image_Generator_API/imagenes/NAUTICA_CLASSICS_117004074_HT1_3.jpg")</f>
        <v/>
      </c>
      <c r="O1480">
        <f>HYPERLINK("imagenes/NAUTICA_CLASSICS_117004074_HT1_1.jpg","Ver imagen")</f>
        <v/>
      </c>
      <c r="P1480">
        <f>HYPERLINK("imagenes/NAUTICA_CLASSICS_117004074_HT1_2.jpg","Ver imagen")</f>
        <v/>
      </c>
      <c r="Q1480">
        <f>HYPERLINK("imagenes/NAUTICA_CLASSICS_117004074_HT1_3.jpg","Ver imagen")</f>
        <v/>
      </c>
    </row>
    <row r="1481">
      <c r="A1481" t="inlineStr">
        <is>
          <t>NAUTICA CLASSICS</t>
        </is>
      </c>
      <c r="B1481" t="inlineStr">
        <is>
          <t>117004074</t>
        </is>
      </c>
      <c r="C1481" t="inlineStr">
        <is>
          <t>3/4 STRETCH PUFFER</t>
        </is>
      </c>
      <c r="D1481" t="inlineStr">
        <is>
          <t>NAR</t>
        </is>
      </c>
      <c r="E1481" t="inlineStr">
        <is>
          <t>08A05</t>
        </is>
      </c>
      <c r="F1481" t="inlineStr">
        <is>
          <t>(en blanco)</t>
        </is>
      </c>
      <c r="G1481" t="inlineStr">
        <is>
          <t>PPK</t>
        </is>
      </c>
      <c r="H1481" t="n">
        <v>1816</v>
      </c>
      <c r="I1481" t="inlineStr">
        <is>
          <t>NAUTICA_CLASSICS_117004074_NAR_1.jpg</t>
        </is>
      </c>
      <c r="J1481" t="inlineStr">
        <is>
          <t>NAUTICA_CLASSICS_117004074_NAR_2.jpg</t>
        </is>
      </c>
      <c r="K1481" t="inlineStr">
        <is>
          <t>NAUTICA_CLASSICS_117004074_NAR_3.jpg</t>
        </is>
      </c>
      <c r="L1481">
        <f>IMAGE("file:///E:/Estudios%20y%20certificaciones/ESTUDIOS%20DE%20PROGRAMMING/PROGRAMMING/PERSONAL/PYTHON/Image_Generator_API/imagenes/NAUTICA_CLASSICS_117004074_NAR_1.jpg")</f>
        <v/>
      </c>
      <c r="M1481">
        <f>IMAGE("file:///E:/Estudios%20y%20certificaciones/ESTUDIOS%20DE%20PROGRAMMING/PROGRAMMING/PERSONAL/PYTHON/Image_Generator_API/imagenes/NAUTICA_CLASSICS_117004074_NAR_2.jpg")</f>
        <v/>
      </c>
      <c r="N1481">
        <f>IMAGE("file:///E:/Estudios%20y%20certificaciones/ESTUDIOS%20DE%20PROGRAMMING/PROGRAMMING/PERSONAL/PYTHON/Image_Generator_API/imagenes/NAUTICA_CLASSICS_117004074_NAR_3.jpg")</f>
        <v/>
      </c>
      <c r="O1481">
        <f>HYPERLINK("imagenes/NAUTICA_CLASSICS_117004074_NAR_1.jpg","Ver imagen")</f>
        <v/>
      </c>
      <c r="P1481">
        <f>HYPERLINK("imagenes/NAUTICA_CLASSICS_117004074_NAR_2.jpg","Ver imagen")</f>
        <v/>
      </c>
      <c r="Q1481">
        <f>HYPERLINK("imagenes/NAUTICA_CLASSICS_117004074_NAR_3.jpg","Ver imagen")</f>
        <v/>
      </c>
    </row>
    <row r="1482">
      <c r="A1482" t="inlineStr">
        <is>
          <t>NAUTICA CLASSICS</t>
        </is>
      </c>
      <c r="B1482" t="inlineStr">
        <is>
          <t>117004074</t>
        </is>
      </c>
      <c r="C1482" t="inlineStr">
        <is>
          <t>3/4 STRETCH PUFFER</t>
        </is>
      </c>
      <c r="D1482" t="inlineStr">
        <is>
          <t>NAR</t>
        </is>
      </c>
      <c r="E1482" t="inlineStr">
        <is>
          <t>(en blanco)</t>
        </is>
      </c>
      <c r="F1482" t="inlineStr">
        <is>
          <t>D2C</t>
        </is>
      </c>
      <c r="G1482" t="inlineStr">
        <is>
          <t>XS</t>
        </is>
      </c>
      <c r="H1482" t="n">
        <v>6</v>
      </c>
      <c r="I1482" t="inlineStr">
        <is>
          <t>NAUTICA_CLASSICS_117004074_NAR_1.jpg</t>
        </is>
      </c>
      <c r="J1482" t="inlineStr">
        <is>
          <t>NAUTICA_CLASSICS_117004074_NAR_2.jpg</t>
        </is>
      </c>
      <c r="K1482" t="inlineStr">
        <is>
          <t>NAUTICA_CLASSICS_117004074_NAR_3.jpg</t>
        </is>
      </c>
      <c r="L1482">
        <f>IMAGE("file:///E:/Estudios%20y%20certificaciones/ESTUDIOS%20DE%20PROGRAMMING/PROGRAMMING/PERSONAL/PYTHON/Image_Generator_API/imagenes/NAUTICA_CLASSICS_117004074_NAR_1.jpg")</f>
        <v/>
      </c>
      <c r="M1482">
        <f>IMAGE("file:///E:/Estudios%20y%20certificaciones/ESTUDIOS%20DE%20PROGRAMMING/PROGRAMMING/PERSONAL/PYTHON/Image_Generator_API/imagenes/NAUTICA_CLASSICS_117004074_NAR_2.jpg")</f>
        <v/>
      </c>
      <c r="N1482">
        <f>IMAGE("file:///E:/Estudios%20y%20certificaciones/ESTUDIOS%20DE%20PROGRAMMING/PROGRAMMING/PERSONAL/PYTHON/Image_Generator_API/imagenes/NAUTICA_CLASSICS_117004074_NAR_3.jpg")</f>
        <v/>
      </c>
      <c r="O1482">
        <f>HYPERLINK("imagenes/NAUTICA_CLASSICS_117004074_NAR_1.jpg","Ver imagen")</f>
        <v/>
      </c>
      <c r="P1482">
        <f>HYPERLINK("imagenes/NAUTICA_CLASSICS_117004074_NAR_2.jpg","Ver imagen")</f>
        <v/>
      </c>
      <c r="Q1482">
        <f>HYPERLINK("imagenes/NAUTICA_CLASSICS_117004074_NAR_3.jpg","Ver imagen")</f>
        <v/>
      </c>
    </row>
    <row r="1483">
      <c r="A1483" t="inlineStr">
        <is>
          <t>NAUTICA CLASSICS</t>
        </is>
      </c>
      <c r="B1483" t="inlineStr">
        <is>
          <t>117004074</t>
        </is>
      </c>
      <c r="C1483" t="inlineStr">
        <is>
          <t>3/4 STRETCH PUFFER</t>
        </is>
      </c>
      <c r="D1483" t="inlineStr">
        <is>
          <t>NAR</t>
        </is>
      </c>
      <c r="E1483" t="inlineStr">
        <is>
          <t>(en blanco)</t>
        </is>
      </c>
      <c r="F1483" t="inlineStr">
        <is>
          <t>D2C</t>
        </is>
      </c>
      <c r="G1483" t="inlineStr">
        <is>
          <t>S</t>
        </is>
      </c>
      <c r="H1483" t="n">
        <v>14</v>
      </c>
      <c r="I1483" t="inlineStr">
        <is>
          <t>NAUTICA_CLASSICS_117004074_NAR_1.jpg</t>
        </is>
      </c>
      <c r="J1483" t="inlineStr">
        <is>
          <t>NAUTICA_CLASSICS_117004074_NAR_2.jpg</t>
        </is>
      </c>
      <c r="K1483" t="inlineStr">
        <is>
          <t>NAUTICA_CLASSICS_117004074_NAR_3.jpg</t>
        </is>
      </c>
      <c r="L1483">
        <f>IMAGE("file:///E:/Estudios%20y%20certificaciones/ESTUDIOS%20DE%20PROGRAMMING/PROGRAMMING/PERSONAL/PYTHON/Image_Generator_API/imagenes/NAUTICA_CLASSICS_117004074_NAR_1.jpg")</f>
        <v/>
      </c>
      <c r="M1483">
        <f>IMAGE("file:///E:/Estudios%20y%20certificaciones/ESTUDIOS%20DE%20PROGRAMMING/PROGRAMMING/PERSONAL/PYTHON/Image_Generator_API/imagenes/NAUTICA_CLASSICS_117004074_NAR_2.jpg")</f>
        <v/>
      </c>
      <c r="N1483">
        <f>IMAGE("file:///E:/Estudios%20y%20certificaciones/ESTUDIOS%20DE%20PROGRAMMING/PROGRAMMING/PERSONAL/PYTHON/Image_Generator_API/imagenes/NAUTICA_CLASSICS_117004074_NAR_3.jpg")</f>
        <v/>
      </c>
      <c r="O1483">
        <f>HYPERLINK("imagenes/NAUTICA_CLASSICS_117004074_NAR_1.jpg","Ver imagen")</f>
        <v/>
      </c>
      <c r="P1483">
        <f>HYPERLINK("imagenes/NAUTICA_CLASSICS_117004074_NAR_2.jpg","Ver imagen")</f>
        <v/>
      </c>
      <c r="Q1483">
        <f>HYPERLINK("imagenes/NAUTICA_CLASSICS_117004074_NAR_3.jpg","Ver imagen")</f>
        <v/>
      </c>
    </row>
    <row r="1484">
      <c r="A1484" t="inlineStr">
        <is>
          <t>NAUTICA CLASSICS</t>
        </is>
      </c>
      <c r="B1484" t="inlineStr">
        <is>
          <t>117004074</t>
        </is>
      </c>
      <c r="C1484" t="inlineStr">
        <is>
          <t>3/4 STRETCH PUFFER</t>
        </is>
      </c>
      <c r="D1484" t="inlineStr">
        <is>
          <t>NAR</t>
        </is>
      </c>
      <c r="E1484" t="inlineStr">
        <is>
          <t>(en blanco)</t>
        </is>
      </c>
      <c r="F1484" t="inlineStr">
        <is>
          <t>D2C</t>
        </is>
      </c>
      <c r="G1484" t="inlineStr">
        <is>
          <t>M</t>
        </is>
      </c>
      <c r="H1484" t="n">
        <v>9</v>
      </c>
      <c r="I1484" t="inlineStr">
        <is>
          <t>NAUTICA_CLASSICS_117004074_NAR_1.jpg</t>
        </is>
      </c>
      <c r="J1484" t="inlineStr">
        <is>
          <t>NAUTICA_CLASSICS_117004074_NAR_2.jpg</t>
        </is>
      </c>
      <c r="K1484" t="inlineStr">
        <is>
          <t>NAUTICA_CLASSICS_117004074_NAR_3.jpg</t>
        </is>
      </c>
      <c r="L1484">
        <f>IMAGE("file:///E:/Estudios%20y%20certificaciones/ESTUDIOS%20DE%20PROGRAMMING/PROGRAMMING/PERSONAL/PYTHON/Image_Generator_API/imagenes/NAUTICA_CLASSICS_117004074_NAR_1.jpg")</f>
        <v/>
      </c>
      <c r="M1484">
        <f>IMAGE("file:///E:/Estudios%20y%20certificaciones/ESTUDIOS%20DE%20PROGRAMMING/PROGRAMMING/PERSONAL/PYTHON/Image_Generator_API/imagenes/NAUTICA_CLASSICS_117004074_NAR_2.jpg")</f>
        <v/>
      </c>
      <c r="N1484">
        <f>IMAGE("file:///E:/Estudios%20y%20certificaciones/ESTUDIOS%20DE%20PROGRAMMING/PROGRAMMING/PERSONAL/PYTHON/Image_Generator_API/imagenes/NAUTICA_CLASSICS_117004074_NAR_3.jpg")</f>
        <v/>
      </c>
      <c r="O1484">
        <f>HYPERLINK("imagenes/NAUTICA_CLASSICS_117004074_NAR_1.jpg","Ver imagen")</f>
        <v/>
      </c>
      <c r="P1484">
        <f>HYPERLINK("imagenes/NAUTICA_CLASSICS_117004074_NAR_2.jpg","Ver imagen")</f>
        <v/>
      </c>
      <c r="Q1484">
        <f>HYPERLINK("imagenes/NAUTICA_CLASSICS_117004074_NAR_3.jpg","Ver imagen")</f>
        <v/>
      </c>
    </row>
    <row r="1485">
      <c r="A1485" t="inlineStr">
        <is>
          <t>NAUTICA CLASSICS</t>
        </is>
      </c>
      <c r="B1485" t="inlineStr">
        <is>
          <t>117004074</t>
        </is>
      </c>
      <c r="C1485" t="inlineStr">
        <is>
          <t>3/4 STRETCH PUFFER</t>
        </is>
      </c>
      <c r="D1485" t="inlineStr">
        <is>
          <t>NAR</t>
        </is>
      </c>
      <c r="E1485" t="inlineStr">
        <is>
          <t>(en blanco)</t>
        </is>
      </c>
      <c r="F1485" t="inlineStr">
        <is>
          <t>D2C</t>
        </is>
      </c>
      <c r="G1485" t="inlineStr">
        <is>
          <t>L</t>
        </is>
      </c>
      <c r="H1485" t="n">
        <v>10</v>
      </c>
      <c r="I1485" t="inlineStr">
        <is>
          <t>NAUTICA_CLASSICS_117004074_NAR_1.jpg</t>
        </is>
      </c>
      <c r="J1485" t="inlineStr">
        <is>
          <t>NAUTICA_CLASSICS_117004074_NAR_2.jpg</t>
        </is>
      </c>
      <c r="K1485" t="inlineStr">
        <is>
          <t>NAUTICA_CLASSICS_117004074_NAR_3.jpg</t>
        </is>
      </c>
      <c r="L1485">
        <f>IMAGE("file:///E:/Estudios%20y%20certificaciones/ESTUDIOS%20DE%20PROGRAMMING/PROGRAMMING/PERSONAL/PYTHON/Image_Generator_API/imagenes/NAUTICA_CLASSICS_117004074_NAR_1.jpg")</f>
        <v/>
      </c>
      <c r="M1485">
        <f>IMAGE("file:///E:/Estudios%20y%20certificaciones/ESTUDIOS%20DE%20PROGRAMMING/PROGRAMMING/PERSONAL/PYTHON/Image_Generator_API/imagenes/NAUTICA_CLASSICS_117004074_NAR_2.jpg")</f>
        <v/>
      </c>
      <c r="N1485">
        <f>IMAGE("file:///E:/Estudios%20y%20certificaciones/ESTUDIOS%20DE%20PROGRAMMING/PROGRAMMING/PERSONAL/PYTHON/Image_Generator_API/imagenes/NAUTICA_CLASSICS_117004074_NAR_3.jpg")</f>
        <v/>
      </c>
      <c r="O1485">
        <f>HYPERLINK("imagenes/NAUTICA_CLASSICS_117004074_NAR_1.jpg","Ver imagen")</f>
        <v/>
      </c>
      <c r="P1485">
        <f>HYPERLINK("imagenes/NAUTICA_CLASSICS_117004074_NAR_2.jpg","Ver imagen")</f>
        <v/>
      </c>
      <c r="Q1485">
        <f>HYPERLINK("imagenes/NAUTICA_CLASSICS_117004074_NAR_3.jpg","Ver imagen")</f>
        <v/>
      </c>
    </row>
    <row r="1486">
      <c r="A1486" t="inlineStr">
        <is>
          <t>NAUTICA CLASSICS</t>
        </is>
      </c>
      <c r="B1486" t="inlineStr">
        <is>
          <t>117004074</t>
        </is>
      </c>
      <c r="C1486" t="inlineStr">
        <is>
          <t>3/4 STRETCH PUFFER</t>
        </is>
      </c>
      <c r="D1486" t="inlineStr">
        <is>
          <t>NAR</t>
        </is>
      </c>
      <c r="E1486" t="inlineStr">
        <is>
          <t>(en blanco)</t>
        </is>
      </c>
      <c r="F1486" t="inlineStr">
        <is>
          <t>D2C</t>
        </is>
      </c>
      <c r="G1486" t="inlineStr">
        <is>
          <t>XL</t>
        </is>
      </c>
      <c r="H1486" t="n">
        <v>3</v>
      </c>
      <c r="I1486" t="inlineStr">
        <is>
          <t>NAUTICA_CLASSICS_117004074_NAR_1.jpg</t>
        </is>
      </c>
      <c r="J1486" t="inlineStr">
        <is>
          <t>NAUTICA_CLASSICS_117004074_NAR_2.jpg</t>
        </is>
      </c>
      <c r="K1486" t="inlineStr">
        <is>
          <t>NAUTICA_CLASSICS_117004074_NAR_3.jpg</t>
        </is>
      </c>
      <c r="L1486">
        <f>IMAGE("file:///E:/Estudios%20y%20certificaciones/ESTUDIOS%20DE%20PROGRAMMING/PROGRAMMING/PERSONAL/PYTHON/Image_Generator_API/imagenes/NAUTICA_CLASSICS_117004074_NAR_1.jpg")</f>
        <v/>
      </c>
      <c r="M1486">
        <f>IMAGE("file:///E:/Estudios%20y%20certificaciones/ESTUDIOS%20DE%20PROGRAMMING/PROGRAMMING/PERSONAL/PYTHON/Image_Generator_API/imagenes/NAUTICA_CLASSICS_117004074_NAR_2.jpg")</f>
        <v/>
      </c>
      <c r="N1486">
        <f>IMAGE("file:///E:/Estudios%20y%20certificaciones/ESTUDIOS%20DE%20PROGRAMMING/PROGRAMMING/PERSONAL/PYTHON/Image_Generator_API/imagenes/NAUTICA_CLASSICS_117004074_NAR_3.jpg")</f>
        <v/>
      </c>
      <c r="O1486">
        <f>HYPERLINK("imagenes/NAUTICA_CLASSICS_117004074_NAR_1.jpg","Ver imagen")</f>
        <v/>
      </c>
      <c r="P1486">
        <f>HYPERLINK("imagenes/NAUTICA_CLASSICS_117004074_NAR_2.jpg","Ver imagen")</f>
        <v/>
      </c>
      <c r="Q1486">
        <f>HYPERLINK("imagenes/NAUTICA_CLASSICS_117004074_NAR_3.jpg","Ver imagen")</f>
        <v/>
      </c>
    </row>
    <row r="1487">
      <c r="A1487" t="inlineStr">
        <is>
          <t>NAUTICA CLASSICS</t>
        </is>
      </c>
      <c r="B1487" t="inlineStr">
        <is>
          <t>117004074</t>
        </is>
      </c>
      <c r="C1487" t="inlineStr">
        <is>
          <t>3/4 STRETCH PUFFER</t>
        </is>
      </c>
      <c r="D1487" t="inlineStr">
        <is>
          <t>ZCR</t>
        </is>
      </c>
      <c r="E1487" t="inlineStr">
        <is>
          <t>(en blanco)</t>
        </is>
      </c>
      <c r="F1487" t="inlineStr">
        <is>
          <t>D2C</t>
        </is>
      </c>
      <c r="G1487" t="inlineStr">
        <is>
          <t>XS</t>
        </is>
      </c>
      <c r="H1487" t="n">
        <v>12</v>
      </c>
      <c r="I1487" t="inlineStr">
        <is>
          <t>NAUTICA_CLASSICS_117004074_ZCR_1.jpg</t>
        </is>
      </c>
      <c r="J1487" t="inlineStr">
        <is>
          <t>NAUTICA_CLASSICS_117004074_ZCR_2.jpg</t>
        </is>
      </c>
      <c r="K1487" t="inlineStr">
        <is>
          <t>NAUTICA_CLASSICS_117004074_ZCR_3.jpg</t>
        </is>
      </c>
      <c r="L1487">
        <f>IMAGE("file:///E:/Estudios%20y%20certificaciones/ESTUDIOS%20DE%20PROGRAMMING/PROGRAMMING/PERSONAL/PYTHON/Image_Generator_API/imagenes/NAUTICA_CLASSICS_117004074_ZCR_1.jpg")</f>
        <v/>
      </c>
      <c r="M1487">
        <f>IMAGE("file:///E:/Estudios%20y%20certificaciones/ESTUDIOS%20DE%20PROGRAMMING/PROGRAMMING/PERSONAL/PYTHON/Image_Generator_API/imagenes/NAUTICA_CLASSICS_117004074_ZCR_2.jpg")</f>
        <v/>
      </c>
      <c r="N1487">
        <f>IMAGE("file:///E:/Estudios%20y%20certificaciones/ESTUDIOS%20DE%20PROGRAMMING/PROGRAMMING/PERSONAL/PYTHON/Image_Generator_API/imagenes/NAUTICA_CLASSICS_117004074_ZCR_3.jpg")</f>
        <v/>
      </c>
      <c r="O1487">
        <f>HYPERLINK("imagenes/NAUTICA_CLASSICS_117004074_ZCR_1.jpg","Ver imagen")</f>
        <v/>
      </c>
      <c r="P1487">
        <f>HYPERLINK("imagenes/NAUTICA_CLASSICS_117004074_ZCR_2.jpg","Ver imagen")</f>
        <v/>
      </c>
      <c r="Q1487">
        <f>HYPERLINK("imagenes/NAUTICA_CLASSICS_117004074_ZCR_3.jpg","Ver imagen")</f>
        <v/>
      </c>
    </row>
    <row r="1488">
      <c r="A1488" t="inlineStr">
        <is>
          <t>NAUTICA CLASSICS</t>
        </is>
      </c>
      <c r="B1488" t="inlineStr">
        <is>
          <t>117004074</t>
        </is>
      </c>
      <c r="C1488" t="inlineStr">
        <is>
          <t>3/4 STRETCH PUFFER</t>
        </is>
      </c>
      <c r="D1488" t="inlineStr">
        <is>
          <t>ZCR</t>
        </is>
      </c>
      <c r="E1488" t="inlineStr">
        <is>
          <t>(en blanco)</t>
        </is>
      </c>
      <c r="F1488" t="inlineStr">
        <is>
          <t>D2C</t>
        </is>
      </c>
      <c r="G1488" t="inlineStr">
        <is>
          <t>S</t>
        </is>
      </c>
      <c r="H1488" t="n">
        <v>36</v>
      </c>
      <c r="I1488" t="inlineStr">
        <is>
          <t>NAUTICA_CLASSICS_117004074_ZCR_1.jpg</t>
        </is>
      </c>
      <c r="J1488" t="inlineStr">
        <is>
          <t>NAUTICA_CLASSICS_117004074_ZCR_2.jpg</t>
        </is>
      </c>
      <c r="K1488" t="inlineStr">
        <is>
          <t>NAUTICA_CLASSICS_117004074_ZCR_3.jpg</t>
        </is>
      </c>
      <c r="L1488">
        <f>IMAGE("file:///E:/Estudios%20y%20certificaciones/ESTUDIOS%20DE%20PROGRAMMING/PROGRAMMING/PERSONAL/PYTHON/Image_Generator_API/imagenes/NAUTICA_CLASSICS_117004074_ZCR_1.jpg")</f>
        <v/>
      </c>
      <c r="M1488">
        <f>IMAGE("file:///E:/Estudios%20y%20certificaciones/ESTUDIOS%20DE%20PROGRAMMING/PROGRAMMING/PERSONAL/PYTHON/Image_Generator_API/imagenes/NAUTICA_CLASSICS_117004074_ZCR_2.jpg")</f>
        <v/>
      </c>
      <c r="N1488">
        <f>IMAGE("file:///E:/Estudios%20y%20certificaciones/ESTUDIOS%20DE%20PROGRAMMING/PROGRAMMING/PERSONAL/PYTHON/Image_Generator_API/imagenes/NAUTICA_CLASSICS_117004074_ZCR_3.jpg")</f>
        <v/>
      </c>
      <c r="O1488">
        <f>HYPERLINK("imagenes/NAUTICA_CLASSICS_117004074_ZCR_1.jpg","Ver imagen")</f>
        <v/>
      </c>
      <c r="P1488">
        <f>HYPERLINK("imagenes/NAUTICA_CLASSICS_117004074_ZCR_2.jpg","Ver imagen")</f>
        <v/>
      </c>
      <c r="Q1488">
        <f>HYPERLINK("imagenes/NAUTICA_CLASSICS_117004074_ZCR_3.jpg","Ver imagen")</f>
        <v/>
      </c>
    </row>
    <row r="1489">
      <c r="A1489" t="inlineStr">
        <is>
          <t>NAUTICA CLASSICS</t>
        </is>
      </c>
      <c r="B1489" t="inlineStr">
        <is>
          <t>117004074</t>
        </is>
      </c>
      <c r="C1489" t="inlineStr">
        <is>
          <t>3/4 STRETCH PUFFER</t>
        </is>
      </c>
      <c r="D1489" t="inlineStr">
        <is>
          <t>ZCR</t>
        </is>
      </c>
      <c r="E1489" t="inlineStr">
        <is>
          <t>(en blanco)</t>
        </is>
      </c>
      <c r="F1489" t="inlineStr">
        <is>
          <t>D2C</t>
        </is>
      </c>
      <c r="G1489" t="inlineStr">
        <is>
          <t>M</t>
        </is>
      </c>
      <c r="H1489" t="n">
        <v>26</v>
      </c>
      <c r="I1489" t="inlineStr">
        <is>
          <t>NAUTICA_CLASSICS_117004074_ZCR_1.jpg</t>
        </is>
      </c>
      <c r="J1489" t="inlineStr">
        <is>
          <t>NAUTICA_CLASSICS_117004074_ZCR_2.jpg</t>
        </is>
      </c>
      <c r="K1489" t="inlineStr">
        <is>
          <t>NAUTICA_CLASSICS_117004074_ZCR_3.jpg</t>
        </is>
      </c>
      <c r="L1489">
        <f>IMAGE("file:///E:/Estudios%20y%20certificaciones/ESTUDIOS%20DE%20PROGRAMMING/PROGRAMMING/PERSONAL/PYTHON/Image_Generator_API/imagenes/NAUTICA_CLASSICS_117004074_ZCR_1.jpg")</f>
        <v/>
      </c>
      <c r="M1489">
        <f>IMAGE("file:///E:/Estudios%20y%20certificaciones/ESTUDIOS%20DE%20PROGRAMMING/PROGRAMMING/PERSONAL/PYTHON/Image_Generator_API/imagenes/NAUTICA_CLASSICS_117004074_ZCR_2.jpg")</f>
        <v/>
      </c>
      <c r="N1489">
        <f>IMAGE("file:///E:/Estudios%20y%20certificaciones/ESTUDIOS%20DE%20PROGRAMMING/PROGRAMMING/PERSONAL/PYTHON/Image_Generator_API/imagenes/NAUTICA_CLASSICS_117004074_ZCR_3.jpg")</f>
        <v/>
      </c>
      <c r="O1489">
        <f>HYPERLINK("imagenes/NAUTICA_CLASSICS_117004074_ZCR_1.jpg","Ver imagen")</f>
        <v/>
      </c>
      <c r="P1489">
        <f>HYPERLINK("imagenes/NAUTICA_CLASSICS_117004074_ZCR_2.jpg","Ver imagen")</f>
        <v/>
      </c>
      <c r="Q1489">
        <f>HYPERLINK("imagenes/NAUTICA_CLASSICS_117004074_ZCR_3.jpg","Ver imagen")</f>
        <v/>
      </c>
    </row>
    <row r="1490">
      <c r="A1490" t="inlineStr">
        <is>
          <t>NAUTICA CLASSICS</t>
        </is>
      </c>
      <c r="B1490" t="inlineStr">
        <is>
          <t>117004074</t>
        </is>
      </c>
      <c r="C1490" t="inlineStr">
        <is>
          <t>3/4 STRETCH PUFFER</t>
        </is>
      </c>
      <c r="D1490" t="inlineStr">
        <is>
          <t>ZCR</t>
        </is>
      </c>
      <c r="E1490" t="inlineStr">
        <is>
          <t>(en blanco)</t>
        </is>
      </c>
      <c r="F1490" t="inlineStr">
        <is>
          <t>D2C</t>
        </is>
      </c>
      <c r="G1490" t="inlineStr">
        <is>
          <t>L</t>
        </is>
      </c>
      <c r="H1490" t="n">
        <v>35</v>
      </c>
      <c r="I1490" t="inlineStr">
        <is>
          <t>NAUTICA_CLASSICS_117004074_ZCR_1.jpg</t>
        </is>
      </c>
      <c r="J1490" t="inlineStr">
        <is>
          <t>NAUTICA_CLASSICS_117004074_ZCR_2.jpg</t>
        </is>
      </c>
      <c r="K1490" t="inlineStr">
        <is>
          <t>NAUTICA_CLASSICS_117004074_ZCR_3.jpg</t>
        </is>
      </c>
      <c r="L1490">
        <f>IMAGE("file:///E:/Estudios%20y%20certificaciones/ESTUDIOS%20DE%20PROGRAMMING/PROGRAMMING/PERSONAL/PYTHON/Image_Generator_API/imagenes/NAUTICA_CLASSICS_117004074_ZCR_1.jpg")</f>
        <v/>
      </c>
      <c r="M1490">
        <f>IMAGE("file:///E:/Estudios%20y%20certificaciones/ESTUDIOS%20DE%20PROGRAMMING/PROGRAMMING/PERSONAL/PYTHON/Image_Generator_API/imagenes/NAUTICA_CLASSICS_117004074_ZCR_2.jpg")</f>
        <v/>
      </c>
      <c r="N1490">
        <f>IMAGE("file:///E:/Estudios%20y%20certificaciones/ESTUDIOS%20DE%20PROGRAMMING/PROGRAMMING/PERSONAL/PYTHON/Image_Generator_API/imagenes/NAUTICA_CLASSICS_117004074_ZCR_3.jpg")</f>
        <v/>
      </c>
      <c r="O1490">
        <f>HYPERLINK("imagenes/NAUTICA_CLASSICS_117004074_ZCR_1.jpg","Ver imagen")</f>
        <v/>
      </c>
      <c r="P1490">
        <f>HYPERLINK("imagenes/NAUTICA_CLASSICS_117004074_ZCR_2.jpg","Ver imagen")</f>
        <v/>
      </c>
      <c r="Q1490">
        <f>HYPERLINK("imagenes/NAUTICA_CLASSICS_117004074_ZCR_3.jpg","Ver imagen")</f>
        <v/>
      </c>
    </row>
    <row r="1491">
      <c r="A1491" t="inlineStr">
        <is>
          <t>NAUTICA CLASSICS</t>
        </is>
      </c>
      <c r="B1491" t="inlineStr">
        <is>
          <t>117004074</t>
        </is>
      </c>
      <c r="C1491" t="inlineStr">
        <is>
          <t>3/4 STRETCH PUFFER</t>
        </is>
      </c>
      <c r="D1491" t="inlineStr">
        <is>
          <t>ZCR</t>
        </is>
      </c>
      <c r="E1491" t="inlineStr">
        <is>
          <t>(en blanco)</t>
        </is>
      </c>
      <c r="F1491" t="inlineStr">
        <is>
          <t>D2C</t>
        </is>
      </c>
      <c r="G1491" t="inlineStr">
        <is>
          <t>XL</t>
        </is>
      </c>
      <c r="H1491" t="n">
        <v>21</v>
      </c>
      <c r="I1491" t="inlineStr">
        <is>
          <t>NAUTICA_CLASSICS_117004074_ZCR_1.jpg</t>
        </is>
      </c>
      <c r="J1491" t="inlineStr">
        <is>
          <t>NAUTICA_CLASSICS_117004074_ZCR_2.jpg</t>
        </is>
      </c>
      <c r="K1491" t="inlineStr">
        <is>
          <t>NAUTICA_CLASSICS_117004074_ZCR_3.jpg</t>
        </is>
      </c>
      <c r="L1491">
        <f>IMAGE("file:///E:/Estudios%20y%20certificaciones/ESTUDIOS%20DE%20PROGRAMMING/PROGRAMMING/PERSONAL/PYTHON/Image_Generator_API/imagenes/NAUTICA_CLASSICS_117004074_ZCR_1.jpg")</f>
        <v/>
      </c>
      <c r="M1491">
        <f>IMAGE("file:///E:/Estudios%20y%20certificaciones/ESTUDIOS%20DE%20PROGRAMMING/PROGRAMMING/PERSONAL/PYTHON/Image_Generator_API/imagenes/NAUTICA_CLASSICS_117004074_ZCR_2.jpg")</f>
        <v/>
      </c>
      <c r="N1491">
        <f>IMAGE("file:///E:/Estudios%20y%20certificaciones/ESTUDIOS%20DE%20PROGRAMMING/PROGRAMMING/PERSONAL/PYTHON/Image_Generator_API/imagenes/NAUTICA_CLASSICS_117004074_ZCR_3.jpg")</f>
        <v/>
      </c>
      <c r="O1491">
        <f>HYPERLINK("imagenes/NAUTICA_CLASSICS_117004074_ZCR_1.jpg","Ver imagen")</f>
        <v/>
      </c>
      <c r="P1491">
        <f>HYPERLINK("imagenes/NAUTICA_CLASSICS_117004074_ZCR_2.jpg","Ver imagen")</f>
        <v/>
      </c>
      <c r="Q1491">
        <f>HYPERLINK("imagenes/NAUTICA_CLASSICS_117004074_ZCR_3.jpg","Ver imagen")</f>
        <v/>
      </c>
    </row>
    <row r="1492">
      <c r="A1492" t="inlineStr">
        <is>
          <t>NAUTICA CLASSICS</t>
        </is>
      </c>
      <c r="B1492" t="inlineStr">
        <is>
          <t>117004074P</t>
        </is>
      </c>
      <c r="C1492" t="inlineStr">
        <is>
          <t>3/4 STRETCH PUFFER PLUS</t>
        </is>
      </c>
      <c r="D1492" t="inlineStr">
        <is>
          <t>BLK</t>
        </is>
      </c>
      <c r="E1492" t="inlineStr">
        <is>
          <t>(en blanco)</t>
        </is>
      </c>
      <c r="F1492" t="inlineStr">
        <is>
          <t>(en blanco)</t>
        </is>
      </c>
      <c r="G1492" t="inlineStr">
        <is>
          <t>0X</t>
        </is>
      </c>
      <c r="H1492" t="n">
        <v>10</v>
      </c>
      <c r="I1492" t="inlineStr">
        <is>
          <t>NAUTICA_CLASSICS_117004074P_BLK_1.jpg</t>
        </is>
      </c>
      <c r="J1492" t="inlineStr">
        <is>
          <t>NAUTICA_CLASSICS_117004074P_BLK_2.jpg</t>
        </is>
      </c>
      <c r="K1492" t="inlineStr">
        <is>
          <t>NAUTICA_CLASSICS_117004074P_BLK_3.jpg</t>
        </is>
      </c>
      <c r="L1492">
        <f>IMAGE("file:///E:/Estudios%20y%20certificaciones/ESTUDIOS%20DE%20PROGRAMMING/PROGRAMMING/PERSONAL/PYTHON/Image_Generator_API/imagenes/NAUTICA_CLASSICS_117004074P_BLK_1.jpg")</f>
        <v/>
      </c>
      <c r="M1492">
        <f>IMAGE("file:///E:/Estudios%20y%20certificaciones/ESTUDIOS%20DE%20PROGRAMMING/PROGRAMMING/PERSONAL/PYTHON/Image_Generator_API/imagenes/NAUTICA_CLASSICS_117004074P_BLK_2.jpg")</f>
        <v/>
      </c>
      <c r="N1492">
        <f>IMAGE("file:///E:/Estudios%20y%20certificaciones/ESTUDIOS%20DE%20PROGRAMMING/PROGRAMMING/PERSONAL/PYTHON/Image_Generator_API/imagenes/NAUTICA_CLASSICS_117004074P_BLK_3.jpg")</f>
        <v/>
      </c>
      <c r="O1492">
        <f>HYPERLINK("imagenes/NAUTICA_CLASSICS_117004074P_BLK_1.jpg","Ver imagen")</f>
        <v/>
      </c>
      <c r="P1492">
        <f>HYPERLINK("imagenes/NAUTICA_CLASSICS_117004074P_BLK_2.jpg","Ver imagen")</f>
        <v/>
      </c>
      <c r="Q1492">
        <f>HYPERLINK("imagenes/NAUTICA_CLASSICS_117004074P_BLK_3.jpg","Ver imagen")</f>
        <v/>
      </c>
    </row>
    <row r="1493">
      <c r="A1493" t="inlineStr">
        <is>
          <t>NAUTICA CLASSICS</t>
        </is>
      </c>
      <c r="B1493" t="inlineStr">
        <is>
          <t>117004074P</t>
        </is>
      </c>
      <c r="C1493" t="inlineStr">
        <is>
          <t>3/4 STRETCH PUFFER PLUS</t>
        </is>
      </c>
      <c r="D1493" t="inlineStr">
        <is>
          <t>BLK</t>
        </is>
      </c>
      <c r="E1493" t="inlineStr">
        <is>
          <t>(en blanco)</t>
        </is>
      </c>
      <c r="F1493" t="inlineStr">
        <is>
          <t>(en blanco)</t>
        </is>
      </c>
      <c r="G1493" t="inlineStr">
        <is>
          <t>1X</t>
        </is>
      </c>
      <c r="H1493" t="n">
        <v>8</v>
      </c>
      <c r="I1493" t="inlineStr">
        <is>
          <t>NAUTICA_CLASSICS_117004074P_BLK_1.jpg</t>
        </is>
      </c>
      <c r="J1493" t="inlineStr">
        <is>
          <t>NAUTICA_CLASSICS_117004074P_BLK_2.jpg</t>
        </is>
      </c>
      <c r="K1493" t="inlineStr">
        <is>
          <t>NAUTICA_CLASSICS_117004074P_BLK_3.jpg</t>
        </is>
      </c>
      <c r="L1493">
        <f>IMAGE("file:///E:/Estudios%20y%20certificaciones/ESTUDIOS%20DE%20PROGRAMMING/PROGRAMMING/PERSONAL/PYTHON/Image_Generator_API/imagenes/NAUTICA_CLASSICS_117004074P_BLK_1.jpg")</f>
        <v/>
      </c>
      <c r="M1493">
        <f>IMAGE("file:///E:/Estudios%20y%20certificaciones/ESTUDIOS%20DE%20PROGRAMMING/PROGRAMMING/PERSONAL/PYTHON/Image_Generator_API/imagenes/NAUTICA_CLASSICS_117004074P_BLK_2.jpg")</f>
        <v/>
      </c>
      <c r="N1493">
        <f>IMAGE("file:///E:/Estudios%20y%20certificaciones/ESTUDIOS%20DE%20PROGRAMMING/PROGRAMMING/PERSONAL/PYTHON/Image_Generator_API/imagenes/NAUTICA_CLASSICS_117004074P_BLK_3.jpg")</f>
        <v/>
      </c>
      <c r="O1493">
        <f>HYPERLINK("imagenes/NAUTICA_CLASSICS_117004074P_BLK_1.jpg","Ver imagen")</f>
        <v/>
      </c>
      <c r="P1493">
        <f>HYPERLINK("imagenes/NAUTICA_CLASSICS_117004074P_BLK_2.jpg","Ver imagen")</f>
        <v/>
      </c>
      <c r="Q1493">
        <f>HYPERLINK("imagenes/NAUTICA_CLASSICS_117004074P_BLK_3.jpg","Ver imagen")</f>
        <v/>
      </c>
    </row>
    <row r="1494">
      <c r="A1494" t="inlineStr">
        <is>
          <t>NAUTICA CLASSICS</t>
        </is>
      </c>
      <c r="B1494" t="inlineStr">
        <is>
          <t>117004074P</t>
        </is>
      </c>
      <c r="C1494" t="inlineStr">
        <is>
          <t>3/4 STRETCH PUFFER PLUS</t>
        </is>
      </c>
      <c r="D1494" t="inlineStr">
        <is>
          <t>BLK</t>
        </is>
      </c>
      <c r="E1494" t="inlineStr">
        <is>
          <t>(en blanco)</t>
        </is>
      </c>
      <c r="F1494" t="inlineStr">
        <is>
          <t>(en blanco)</t>
        </is>
      </c>
      <c r="G1494" t="inlineStr">
        <is>
          <t>2X</t>
        </is>
      </c>
      <c r="H1494" t="n">
        <v>9</v>
      </c>
      <c r="I1494" t="inlineStr">
        <is>
          <t>NAUTICA_CLASSICS_117004074P_BLK_1.jpg</t>
        </is>
      </c>
      <c r="J1494" t="inlineStr">
        <is>
          <t>NAUTICA_CLASSICS_117004074P_BLK_2.jpg</t>
        </is>
      </c>
      <c r="K1494" t="inlineStr">
        <is>
          <t>NAUTICA_CLASSICS_117004074P_BLK_3.jpg</t>
        </is>
      </c>
      <c r="L1494">
        <f>IMAGE("file:///E:/Estudios%20y%20certificaciones/ESTUDIOS%20DE%20PROGRAMMING/PROGRAMMING/PERSONAL/PYTHON/Image_Generator_API/imagenes/NAUTICA_CLASSICS_117004074P_BLK_1.jpg")</f>
        <v/>
      </c>
      <c r="M1494">
        <f>IMAGE("file:///E:/Estudios%20y%20certificaciones/ESTUDIOS%20DE%20PROGRAMMING/PROGRAMMING/PERSONAL/PYTHON/Image_Generator_API/imagenes/NAUTICA_CLASSICS_117004074P_BLK_2.jpg")</f>
        <v/>
      </c>
      <c r="N1494">
        <f>IMAGE("file:///E:/Estudios%20y%20certificaciones/ESTUDIOS%20DE%20PROGRAMMING/PROGRAMMING/PERSONAL/PYTHON/Image_Generator_API/imagenes/NAUTICA_CLASSICS_117004074P_BLK_3.jpg")</f>
        <v/>
      </c>
      <c r="O1494">
        <f>HYPERLINK("imagenes/NAUTICA_CLASSICS_117004074P_BLK_1.jpg","Ver imagen")</f>
        <v/>
      </c>
      <c r="P1494">
        <f>HYPERLINK("imagenes/NAUTICA_CLASSICS_117004074P_BLK_2.jpg","Ver imagen")</f>
        <v/>
      </c>
      <c r="Q1494">
        <f>HYPERLINK("imagenes/NAUTICA_CLASSICS_117004074P_BLK_3.jpg","Ver imagen")</f>
        <v/>
      </c>
    </row>
    <row r="1495">
      <c r="A1495" t="inlineStr">
        <is>
          <t>NAUTICA CLASSICS</t>
        </is>
      </c>
      <c r="B1495" t="inlineStr">
        <is>
          <t>117004074P</t>
        </is>
      </c>
      <c r="C1495" t="inlineStr">
        <is>
          <t>3/4 STRETCH PUFFER PLUS</t>
        </is>
      </c>
      <c r="D1495" t="inlineStr">
        <is>
          <t>BLK</t>
        </is>
      </c>
      <c r="E1495" t="inlineStr">
        <is>
          <t>(en blanco)</t>
        </is>
      </c>
      <c r="F1495" t="inlineStr">
        <is>
          <t>(en blanco)</t>
        </is>
      </c>
      <c r="G1495" t="inlineStr">
        <is>
          <t>3X</t>
        </is>
      </c>
      <c r="H1495" t="n">
        <v>9</v>
      </c>
      <c r="I1495" t="inlineStr">
        <is>
          <t>NAUTICA_CLASSICS_117004074P_BLK_1.jpg</t>
        </is>
      </c>
      <c r="J1495" t="inlineStr">
        <is>
          <t>NAUTICA_CLASSICS_117004074P_BLK_2.jpg</t>
        </is>
      </c>
      <c r="K1495" t="inlineStr">
        <is>
          <t>NAUTICA_CLASSICS_117004074P_BLK_3.jpg</t>
        </is>
      </c>
      <c r="L1495">
        <f>IMAGE("file:///E:/Estudios%20y%20certificaciones/ESTUDIOS%20DE%20PROGRAMMING/PROGRAMMING/PERSONAL/PYTHON/Image_Generator_API/imagenes/NAUTICA_CLASSICS_117004074P_BLK_1.jpg")</f>
        <v/>
      </c>
      <c r="M1495">
        <f>IMAGE("file:///E:/Estudios%20y%20certificaciones/ESTUDIOS%20DE%20PROGRAMMING/PROGRAMMING/PERSONAL/PYTHON/Image_Generator_API/imagenes/NAUTICA_CLASSICS_117004074P_BLK_2.jpg")</f>
        <v/>
      </c>
      <c r="N1495">
        <f>IMAGE("file:///E:/Estudios%20y%20certificaciones/ESTUDIOS%20DE%20PROGRAMMING/PROGRAMMING/PERSONAL/PYTHON/Image_Generator_API/imagenes/NAUTICA_CLASSICS_117004074P_BLK_3.jpg")</f>
        <v/>
      </c>
      <c r="O1495">
        <f>HYPERLINK("imagenes/NAUTICA_CLASSICS_117004074P_BLK_1.jpg","Ver imagen")</f>
        <v/>
      </c>
      <c r="P1495">
        <f>HYPERLINK("imagenes/NAUTICA_CLASSICS_117004074P_BLK_2.jpg","Ver imagen")</f>
        <v/>
      </c>
      <c r="Q1495">
        <f>HYPERLINK("imagenes/NAUTICA_CLASSICS_117004074P_BLK_3.jpg","Ver imagen")</f>
        <v/>
      </c>
    </row>
    <row r="1496">
      <c r="A1496" t="inlineStr">
        <is>
          <t>NAUTICA CLASSICS</t>
        </is>
      </c>
      <c r="B1496" t="inlineStr">
        <is>
          <t>117004074P</t>
        </is>
      </c>
      <c r="C1496" t="inlineStr">
        <is>
          <t>3/4 STRETCH PUFFER PLUS</t>
        </is>
      </c>
      <c r="D1496" t="inlineStr">
        <is>
          <t>BLK</t>
        </is>
      </c>
      <c r="E1496" t="inlineStr">
        <is>
          <t>(en blanco)</t>
        </is>
      </c>
      <c r="F1496" t="inlineStr">
        <is>
          <t>(en blanco)</t>
        </is>
      </c>
      <c r="G1496" t="inlineStr">
        <is>
          <t>4X</t>
        </is>
      </c>
      <c r="H1496" t="n">
        <v>15</v>
      </c>
      <c r="I1496" t="inlineStr">
        <is>
          <t>NAUTICA_CLASSICS_117004074P_BLK_1.jpg</t>
        </is>
      </c>
      <c r="J1496" t="inlineStr">
        <is>
          <t>NAUTICA_CLASSICS_117004074P_BLK_2.jpg</t>
        </is>
      </c>
      <c r="K1496" t="inlineStr">
        <is>
          <t>NAUTICA_CLASSICS_117004074P_BLK_3.jpg</t>
        </is>
      </c>
      <c r="L1496">
        <f>IMAGE("file:///E:/Estudios%20y%20certificaciones/ESTUDIOS%20DE%20PROGRAMMING/PROGRAMMING/PERSONAL/PYTHON/Image_Generator_API/imagenes/NAUTICA_CLASSICS_117004074P_BLK_1.jpg")</f>
        <v/>
      </c>
      <c r="M1496">
        <f>IMAGE("file:///E:/Estudios%20y%20certificaciones/ESTUDIOS%20DE%20PROGRAMMING/PROGRAMMING/PERSONAL/PYTHON/Image_Generator_API/imagenes/NAUTICA_CLASSICS_117004074P_BLK_2.jpg")</f>
        <v/>
      </c>
      <c r="N1496">
        <f>IMAGE("file:///E:/Estudios%20y%20certificaciones/ESTUDIOS%20DE%20PROGRAMMING/PROGRAMMING/PERSONAL/PYTHON/Image_Generator_API/imagenes/NAUTICA_CLASSICS_117004074P_BLK_3.jpg")</f>
        <v/>
      </c>
      <c r="O1496">
        <f>HYPERLINK("imagenes/NAUTICA_CLASSICS_117004074P_BLK_1.jpg","Ver imagen")</f>
        <v/>
      </c>
      <c r="P1496">
        <f>HYPERLINK("imagenes/NAUTICA_CLASSICS_117004074P_BLK_2.jpg","Ver imagen")</f>
        <v/>
      </c>
      <c r="Q1496">
        <f>HYPERLINK("imagenes/NAUTICA_CLASSICS_117004074P_BLK_3.jpg","Ver imagen")</f>
        <v/>
      </c>
    </row>
    <row r="1497">
      <c r="A1497" t="inlineStr">
        <is>
          <t>NAUTICA CLASSICS</t>
        </is>
      </c>
      <c r="B1497" t="inlineStr">
        <is>
          <t>117004074P</t>
        </is>
      </c>
      <c r="C1497" t="inlineStr">
        <is>
          <t>3/4 STRETCH PUFFER PLUS</t>
        </is>
      </c>
      <c r="D1497" t="inlineStr">
        <is>
          <t>CTI</t>
        </is>
      </c>
      <c r="E1497" t="inlineStr">
        <is>
          <t>(en blanco)</t>
        </is>
      </c>
      <c r="F1497" t="inlineStr">
        <is>
          <t>(en blanco)</t>
        </is>
      </c>
      <c r="G1497" t="inlineStr">
        <is>
          <t>0X</t>
        </is>
      </c>
      <c r="H1497" t="n">
        <v>7</v>
      </c>
      <c r="I1497" t="inlineStr">
        <is>
          <t>NAUTICA_CLASSICS_117004074P_CTI_1.jpg</t>
        </is>
      </c>
      <c r="J1497" t="inlineStr">
        <is>
          <t>NAUTICA_CLASSICS_117004074P_CTI_2.jpg</t>
        </is>
      </c>
      <c r="K1497" t="inlineStr">
        <is>
          <t>NAUTICA_CLASSICS_117004074P_CTI_3.jpg</t>
        </is>
      </c>
      <c r="L1497">
        <f>IMAGE("file:///E:/Estudios%20y%20certificaciones/ESTUDIOS%20DE%20PROGRAMMING/PROGRAMMING/PERSONAL/PYTHON/Image_Generator_API/imagenes/NAUTICA_CLASSICS_117004074P_CTI_1.jpg")</f>
        <v/>
      </c>
      <c r="M1497">
        <f>IMAGE("file:///E:/Estudios%20y%20certificaciones/ESTUDIOS%20DE%20PROGRAMMING/PROGRAMMING/PERSONAL/PYTHON/Image_Generator_API/imagenes/NAUTICA_CLASSICS_117004074P_CTI_2.jpg")</f>
        <v/>
      </c>
      <c r="N1497">
        <f>IMAGE("file:///E:/Estudios%20y%20certificaciones/ESTUDIOS%20DE%20PROGRAMMING/PROGRAMMING/PERSONAL/PYTHON/Image_Generator_API/imagenes/NAUTICA_CLASSICS_117004074P_CTI_3.jpg")</f>
        <v/>
      </c>
      <c r="O1497">
        <f>HYPERLINK("imagenes/NAUTICA_CLASSICS_117004074P_CTI_1.jpg","Ver imagen")</f>
        <v/>
      </c>
      <c r="P1497">
        <f>HYPERLINK("imagenes/NAUTICA_CLASSICS_117004074P_CTI_2.jpg","Ver imagen")</f>
        <v/>
      </c>
      <c r="Q1497">
        <f>HYPERLINK("imagenes/NAUTICA_CLASSICS_117004074P_CTI_3.jpg","Ver imagen")</f>
        <v/>
      </c>
    </row>
    <row r="1498">
      <c r="A1498" t="inlineStr">
        <is>
          <t>NAUTICA CLASSICS</t>
        </is>
      </c>
      <c r="B1498" t="inlineStr">
        <is>
          <t>117004074P</t>
        </is>
      </c>
      <c r="C1498" t="inlineStr">
        <is>
          <t>3/4 STRETCH PUFFER PLUS</t>
        </is>
      </c>
      <c r="D1498" t="inlineStr">
        <is>
          <t>CTI</t>
        </is>
      </c>
      <c r="E1498" t="inlineStr">
        <is>
          <t>(en blanco)</t>
        </is>
      </c>
      <c r="F1498" t="inlineStr">
        <is>
          <t>(en blanco)</t>
        </is>
      </c>
      <c r="G1498" t="inlineStr">
        <is>
          <t>1X</t>
        </is>
      </c>
      <c r="H1498" t="n">
        <v>11</v>
      </c>
      <c r="I1498" t="inlineStr">
        <is>
          <t>NAUTICA_CLASSICS_117004074P_CTI_1.jpg</t>
        </is>
      </c>
      <c r="J1498" t="inlineStr">
        <is>
          <t>NAUTICA_CLASSICS_117004074P_CTI_2.jpg</t>
        </is>
      </c>
      <c r="K1498" t="inlineStr">
        <is>
          <t>NAUTICA_CLASSICS_117004074P_CTI_3.jpg</t>
        </is>
      </c>
      <c r="L1498">
        <f>IMAGE("file:///E:/Estudios%20y%20certificaciones/ESTUDIOS%20DE%20PROGRAMMING/PROGRAMMING/PERSONAL/PYTHON/Image_Generator_API/imagenes/NAUTICA_CLASSICS_117004074P_CTI_1.jpg")</f>
        <v/>
      </c>
      <c r="M1498">
        <f>IMAGE("file:///E:/Estudios%20y%20certificaciones/ESTUDIOS%20DE%20PROGRAMMING/PROGRAMMING/PERSONAL/PYTHON/Image_Generator_API/imagenes/NAUTICA_CLASSICS_117004074P_CTI_2.jpg")</f>
        <v/>
      </c>
      <c r="N1498">
        <f>IMAGE("file:///E:/Estudios%20y%20certificaciones/ESTUDIOS%20DE%20PROGRAMMING/PROGRAMMING/PERSONAL/PYTHON/Image_Generator_API/imagenes/NAUTICA_CLASSICS_117004074P_CTI_3.jpg")</f>
        <v/>
      </c>
      <c r="O1498">
        <f>HYPERLINK("imagenes/NAUTICA_CLASSICS_117004074P_CTI_1.jpg","Ver imagen")</f>
        <v/>
      </c>
      <c r="P1498">
        <f>HYPERLINK("imagenes/NAUTICA_CLASSICS_117004074P_CTI_2.jpg","Ver imagen")</f>
        <v/>
      </c>
      <c r="Q1498">
        <f>HYPERLINK("imagenes/NAUTICA_CLASSICS_117004074P_CTI_3.jpg","Ver imagen")</f>
        <v/>
      </c>
    </row>
    <row r="1499">
      <c r="A1499" t="inlineStr">
        <is>
          <t>NAUTICA CLASSICS</t>
        </is>
      </c>
      <c r="B1499" t="inlineStr">
        <is>
          <t>117004074P</t>
        </is>
      </c>
      <c r="C1499" t="inlineStr">
        <is>
          <t>3/4 STRETCH PUFFER PLUS</t>
        </is>
      </c>
      <c r="D1499" t="inlineStr">
        <is>
          <t>CTI</t>
        </is>
      </c>
      <c r="E1499" t="inlineStr">
        <is>
          <t>(en blanco)</t>
        </is>
      </c>
      <c r="F1499" t="inlineStr">
        <is>
          <t>(en blanco)</t>
        </is>
      </c>
      <c r="G1499" t="inlineStr">
        <is>
          <t>2X</t>
        </is>
      </c>
      <c r="H1499" t="n">
        <v>13</v>
      </c>
      <c r="I1499" t="inlineStr">
        <is>
          <t>NAUTICA_CLASSICS_117004074P_CTI_1.jpg</t>
        </is>
      </c>
      <c r="J1499" t="inlineStr">
        <is>
          <t>NAUTICA_CLASSICS_117004074P_CTI_2.jpg</t>
        </is>
      </c>
      <c r="K1499" t="inlineStr">
        <is>
          <t>NAUTICA_CLASSICS_117004074P_CTI_3.jpg</t>
        </is>
      </c>
      <c r="L1499">
        <f>IMAGE("file:///E:/Estudios%20y%20certificaciones/ESTUDIOS%20DE%20PROGRAMMING/PROGRAMMING/PERSONAL/PYTHON/Image_Generator_API/imagenes/NAUTICA_CLASSICS_117004074P_CTI_1.jpg")</f>
        <v/>
      </c>
      <c r="M1499">
        <f>IMAGE("file:///E:/Estudios%20y%20certificaciones/ESTUDIOS%20DE%20PROGRAMMING/PROGRAMMING/PERSONAL/PYTHON/Image_Generator_API/imagenes/NAUTICA_CLASSICS_117004074P_CTI_2.jpg")</f>
        <v/>
      </c>
      <c r="N1499">
        <f>IMAGE("file:///E:/Estudios%20y%20certificaciones/ESTUDIOS%20DE%20PROGRAMMING/PROGRAMMING/PERSONAL/PYTHON/Image_Generator_API/imagenes/NAUTICA_CLASSICS_117004074P_CTI_3.jpg")</f>
        <v/>
      </c>
      <c r="O1499">
        <f>HYPERLINK("imagenes/NAUTICA_CLASSICS_117004074P_CTI_1.jpg","Ver imagen")</f>
        <v/>
      </c>
      <c r="P1499">
        <f>HYPERLINK("imagenes/NAUTICA_CLASSICS_117004074P_CTI_2.jpg","Ver imagen")</f>
        <v/>
      </c>
      <c r="Q1499">
        <f>HYPERLINK("imagenes/NAUTICA_CLASSICS_117004074P_CTI_3.jpg","Ver imagen")</f>
        <v/>
      </c>
    </row>
    <row r="1500">
      <c r="A1500" t="inlineStr">
        <is>
          <t>NAUTICA CLASSICS</t>
        </is>
      </c>
      <c r="B1500" t="inlineStr">
        <is>
          <t>117004074P</t>
        </is>
      </c>
      <c r="C1500" t="inlineStr">
        <is>
          <t>3/4 STRETCH PUFFER PLUS</t>
        </is>
      </c>
      <c r="D1500" t="inlineStr">
        <is>
          <t>CTI</t>
        </is>
      </c>
      <c r="E1500" t="inlineStr">
        <is>
          <t>(en blanco)</t>
        </is>
      </c>
      <c r="F1500" t="inlineStr">
        <is>
          <t>(en blanco)</t>
        </is>
      </c>
      <c r="G1500" t="inlineStr">
        <is>
          <t>3X</t>
        </is>
      </c>
      <c r="H1500" t="n">
        <v>11</v>
      </c>
      <c r="I1500" t="inlineStr">
        <is>
          <t>NAUTICA_CLASSICS_117004074P_CTI_1.jpg</t>
        </is>
      </c>
      <c r="J1500" t="inlineStr">
        <is>
          <t>NAUTICA_CLASSICS_117004074P_CTI_2.jpg</t>
        </is>
      </c>
      <c r="K1500" t="inlineStr">
        <is>
          <t>NAUTICA_CLASSICS_117004074P_CTI_3.jpg</t>
        </is>
      </c>
      <c r="L1500">
        <f>IMAGE("file:///E:/Estudios%20y%20certificaciones/ESTUDIOS%20DE%20PROGRAMMING/PROGRAMMING/PERSONAL/PYTHON/Image_Generator_API/imagenes/NAUTICA_CLASSICS_117004074P_CTI_1.jpg")</f>
        <v/>
      </c>
      <c r="M1500">
        <f>IMAGE("file:///E:/Estudios%20y%20certificaciones/ESTUDIOS%20DE%20PROGRAMMING/PROGRAMMING/PERSONAL/PYTHON/Image_Generator_API/imagenes/NAUTICA_CLASSICS_117004074P_CTI_2.jpg")</f>
        <v/>
      </c>
      <c r="N1500">
        <f>IMAGE("file:///E:/Estudios%20y%20certificaciones/ESTUDIOS%20DE%20PROGRAMMING/PROGRAMMING/PERSONAL/PYTHON/Image_Generator_API/imagenes/NAUTICA_CLASSICS_117004074P_CTI_3.jpg")</f>
        <v/>
      </c>
      <c r="O1500">
        <f>HYPERLINK("imagenes/NAUTICA_CLASSICS_117004074P_CTI_1.jpg","Ver imagen")</f>
        <v/>
      </c>
      <c r="P1500">
        <f>HYPERLINK("imagenes/NAUTICA_CLASSICS_117004074P_CTI_2.jpg","Ver imagen")</f>
        <v/>
      </c>
      <c r="Q1500">
        <f>HYPERLINK("imagenes/NAUTICA_CLASSICS_117004074P_CTI_3.jpg","Ver imagen")</f>
        <v/>
      </c>
    </row>
    <row r="1501">
      <c r="A1501" t="inlineStr">
        <is>
          <t>NAUTICA CLASSICS</t>
        </is>
      </c>
      <c r="B1501" t="inlineStr">
        <is>
          <t>117004074P</t>
        </is>
      </c>
      <c r="C1501" t="inlineStr">
        <is>
          <t>3/4 STRETCH PUFFER PLUS</t>
        </is>
      </c>
      <c r="D1501" t="inlineStr">
        <is>
          <t>CTI</t>
        </is>
      </c>
      <c r="E1501" t="inlineStr">
        <is>
          <t>(en blanco)</t>
        </is>
      </c>
      <c r="F1501" t="inlineStr">
        <is>
          <t>(en blanco)</t>
        </is>
      </c>
      <c r="G1501" t="inlineStr">
        <is>
          <t>4X</t>
        </is>
      </c>
      <c r="H1501" t="n">
        <v>15</v>
      </c>
      <c r="I1501" t="inlineStr">
        <is>
          <t>NAUTICA_CLASSICS_117004074P_CTI_1.jpg</t>
        </is>
      </c>
      <c r="J1501" t="inlineStr">
        <is>
          <t>NAUTICA_CLASSICS_117004074P_CTI_2.jpg</t>
        </is>
      </c>
      <c r="K1501" t="inlineStr">
        <is>
          <t>NAUTICA_CLASSICS_117004074P_CTI_3.jpg</t>
        </is>
      </c>
      <c r="L1501">
        <f>IMAGE("file:///E:/Estudios%20y%20certificaciones/ESTUDIOS%20DE%20PROGRAMMING/PROGRAMMING/PERSONAL/PYTHON/Image_Generator_API/imagenes/NAUTICA_CLASSICS_117004074P_CTI_1.jpg")</f>
        <v/>
      </c>
      <c r="M1501">
        <f>IMAGE("file:///E:/Estudios%20y%20certificaciones/ESTUDIOS%20DE%20PROGRAMMING/PROGRAMMING/PERSONAL/PYTHON/Image_Generator_API/imagenes/NAUTICA_CLASSICS_117004074P_CTI_2.jpg")</f>
        <v/>
      </c>
      <c r="N1501">
        <f>IMAGE("file:///E:/Estudios%20y%20certificaciones/ESTUDIOS%20DE%20PROGRAMMING/PROGRAMMING/PERSONAL/PYTHON/Image_Generator_API/imagenes/NAUTICA_CLASSICS_117004074P_CTI_3.jpg")</f>
        <v/>
      </c>
      <c r="O1501">
        <f>HYPERLINK("imagenes/NAUTICA_CLASSICS_117004074P_CTI_1.jpg","Ver imagen")</f>
        <v/>
      </c>
      <c r="P1501">
        <f>HYPERLINK("imagenes/NAUTICA_CLASSICS_117004074P_CTI_2.jpg","Ver imagen")</f>
        <v/>
      </c>
      <c r="Q1501">
        <f>HYPERLINK("imagenes/NAUTICA_CLASSICS_117004074P_CTI_3.jpg","Ver imagen")</f>
        <v/>
      </c>
    </row>
    <row r="1502">
      <c r="A1502" t="inlineStr">
        <is>
          <t>NAUTICA CLASSICS</t>
        </is>
      </c>
      <c r="B1502" t="inlineStr">
        <is>
          <t>117004075</t>
        </is>
      </c>
      <c r="C1502" t="inlineStr">
        <is>
          <t>3/4 PUFFER</t>
        </is>
      </c>
      <c r="D1502" t="inlineStr">
        <is>
          <t>BLK</t>
        </is>
      </c>
      <c r="E1502" t="inlineStr">
        <is>
          <t>(en blanco)</t>
        </is>
      </c>
      <c r="F1502" t="inlineStr">
        <is>
          <t>(en blanco)</t>
        </is>
      </c>
      <c r="G1502" t="inlineStr">
        <is>
          <t>S</t>
        </is>
      </c>
      <c r="H1502" t="n">
        <v>4</v>
      </c>
      <c r="I1502" t="inlineStr">
        <is>
          <t>NAUTICA_CLASSICS_117004075_BLK_1.jpg</t>
        </is>
      </c>
      <c r="J1502" t="inlineStr">
        <is>
          <t>NAUTICA_CLASSICS_117004075_BLK_2.jpg</t>
        </is>
      </c>
      <c r="K1502" t="inlineStr">
        <is>
          <t>NAUTICA_CLASSICS_117004075_BLK_3.jpg</t>
        </is>
      </c>
      <c r="L1502">
        <f>IMAGE("file:///E:/Estudios%20y%20certificaciones/ESTUDIOS%20DE%20PROGRAMMING/PROGRAMMING/PERSONAL/PYTHON/Image_Generator_API/imagenes/NAUTICA_CLASSICS_117004075_BLK_1.jpg")</f>
        <v/>
      </c>
      <c r="M1502">
        <f>IMAGE("file:///E:/Estudios%20y%20certificaciones/ESTUDIOS%20DE%20PROGRAMMING/PROGRAMMING/PERSONAL/PYTHON/Image_Generator_API/imagenes/NAUTICA_CLASSICS_117004075_BLK_2.jpg")</f>
        <v/>
      </c>
      <c r="N1502">
        <f>IMAGE("file:///E:/Estudios%20y%20certificaciones/ESTUDIOS%20DE%20PROGRAMMING/PROGRAMMING/PERSONAL/PYTHON/Image_Generator_API/imagenes/NAUTICA_CLASSICS_117004075_BLK_3.jpg")</f>
        <v/>
      </c>
      <c r="O1502">
        <f>HYPERLINK("imagenes/NAUTICA_CLASSICS_117004075_BLK_1.jpg","Ver imagen")</f>
        <v/>
      </c>
      <c r="P1502">
        <f>HYPERLINK("imagenes/NAUTICA_CLASSICS_117004075_BLK_2.jpg","Ver imagen")</f>
        <v/>
      </c>
      <c r="Q1502">
        <f>HYPERLINK("imagenes/NAUTICA_CLASSICS_117004075_BLK_3.jpg","Ver imagen")</f>
        <v/>
      </c>
    </row>
    <row r="1503">
      <c r="A1503" t="inlineStr">
        <is>
          <t>NAUTICA CLASSICS</t>
        </is>
      </c>
      <c r="B1503" t="inlineStr">
        <is>
          <t>117004075</t>
        </is>
      </c>
      <c r="C1503" t="inlineStr">
        <is>
          <t>3/4 PUFFER</t>
        </is>
      </c>
      <c r="D1503" t="inlineStr">
        <is>
          <t>BLK</t>
        </is>
      </c>
      <c r="E1503" t="inlineStr">
        <is>
          <t>(en blanco)</t>
        </is>
      </c>
      <c r="F1503" t="inlineStr">
        <is>
          <t>(en blanco)</t>
        </is>
      </c>
      <c r="G1503" t="inlineStr">
        <is>
          <t>M</t>
        </is>
      </c>
      <c r="H1503" t="n">
        <v>5</v>
      </c>
      <c r="I1503" t="inlineStr">
        <is>
          <t>NAUTICA_CLASSICS_117004075_BLK_1.jpg</t>
        </is>
      </c>
      <c r="J1503" t="inlineStr">
        <is>
          <t>NAUTICA_CLASSICS_117004075_BLK_2.jpg</t>
        </is>
      </c>
      <c r="K1503" t="inlineStr">
        <is>
          <t>NAUTICA_CLASSICS_117004075_BLK_3.jpg</t>
        </is>
      </c>
      <c r="L1503">
        <f>IMAGE("file:///E:/Estudios%20y%20certificaciones/ESTUDIOS%20DE%20PROGRAMMING/PROGRAMMING/PERSONAL/PYTHON/Image_Generator_API/imagenes/NAUTICA_CLASSICS_117004075_BLK_1.jpg")</f>
        <v/>
      </c>
      <c r="M1503">
        <f>IMAGE("file:///E:/Estudios%20y%20certificaciones/ESTUDIOS%20DE%20PROGRAMMING/PROGRAMMING/PERSONAL/PYTHON/Image_Generator_API/imagenes/NAUTICA_CLASSICS_117004075_BLK_2.jpg")</f>
        <v/>
      </c>
      <c r="N1503">
        <f>IMAGE("file:///E:/Estudios%20y%20certificaciones/ESTUDIOS%20DE%20PROGRAMMING/PROGRAMMING/PERSONAL/PYTHON/Image_Generator_API/imagenes/NAUTICA_CLASSICS_117004075_BLK_3.jpg")</f>
        <v/>
      </c>
      <c r="O1503">
        <f>HYPERLINK("imagenes/NAUTICA_CLASSICS_117004075_BLK_1.jpg","Ver imagen")</f>
        <v/>
      </c>
      <c r="P1503">
        <f>HYPERLINK("imagenes/NAUTICA_CLASSICS_117004075_BLK_2.jpg","Ver imagen")</f>
        <v/>
      </c>
      <c r="Q1503">
        <f>HYPERLINK("imagenes/NAUTICA_CLASSICS_117004075_BLK_3.jpg","Ver imagen")</f>
        <v/>
      </c>
    </row>
    <row r="1504">
      <c r="A1504" t="inlineStr">
        <is>
          <t>NAUTICA CLASSICS</t>
        </is>
      </c>
      <c r="B1504" t="inlineStr">
        <is>
          <t>117004075</t>
        </is>
      </c>
      <c r="C1504" t="inlineStr">
        <is>
          <t>3/4 PUFFER</t>
        </is>
      </c>
      <c r="D1504" t="inlineStr">
        <is>
          <t>BLK</t>
        </is>
      </c>
      <c r="E1504" t="inlineStr">
        <is>
          <t>(en blanco)</t>
        </is>
      </c>
      <c r="F1504" t="inlineStr">
        <is>
          <t>(en blanco)</t>
        </is>
      </c>
      <c r="G1504" t="inlineStr">
        <is>
          <t>L</t>
        </is>
      </c>
      <c r="H1504" t="n">
        <v>4</v>
      </c>
      <c r="I1504" t="inlineStr">
        <is>
          <t>NAUTICA_CLASSICS_117004075_BLK_1.jpg</t>
        </is>
      </c>
      <c r="J1504" t="inlineStr">
        <is>
          <t>NAUTICA_CLASSICS_117004075_BLK_2.jpg</t>
        </is>
      </c>
      <c r="K1504" t="inlineStr">
        <is>
          <t>NAUTICA_CLASSICS_117004075_BLK_3.jpg</t>
        </is>
      </c>
      <c r="L1504">
        <f>IMAGE("file:///E:/Estudios%20y%20certificaciones/ESTUDIOS%20DE%20PROGRAMMING/PROGRAMMING/PERSONAL/PYTHON/Image_Generator_API/imagenes/NAUTICA_CLASSICS_117004075_BLK_1.jpg")</f>
        <v/>
      </c>
      <c r="M1504">
        <f>IMAGE("file:///E:/Estudios%20y%20certificaciones/ESTUDIOS%20DE%20PROGRAMMING/PROGRAMMING/PERSONAL/PYTHON/Image_Generator_API/imagenes/NAUTICA_CLASSICS_117004075_BLK_2.jpg")</f>
        <v/>
      </c>
      <c r="N1504">
        <f>IMAGE("file:///E:/Estudios%20y%20certificaciones/ESTUDIOS%20DE%20PROGRAMMING/PROGRAMMING/PERSONAL/PYTHON/Image_Generator_API/imagenes/NAUTICA_CLASSICS_117004075_BLK_3.jpg")</f>
        <v/>
      </c>
      <c r="O1504">
        <f>HYPERLINK("imagenes/NAUTICA_CLASSICS_117004075_BLK_1.jpg","Ver imagen")</f>
        <v/>
      </c>
      <c r="P1504">
        <f>HYPERLINK("imagenes/NAUTICA_CLASSICS_117004075_BLK_2.jpg","Ver imagen")</f>
        <v/>
      </c>
      <c r="Q1504">
        <f>HYPERLINK("imagenes/NAUTICA_CLASSICS_117004075_BLK_3.jpg","Ver imagen")</f>
        <v/>
      </c>
    </row>
    <row r="1505">
      <c r="A1505" t="inlineStr">
        <is>
          <t>NAUTICA CLASSICS</t>
        </is>
      </c>
      <c r="B1505" t="inlineStr">
        <is>
          <t>117004075</t>
        </is>
      </c>
      <c r="C1505" t="inlineStr">
        <is>
          <t>3/4 PUFFER</t>
        </is>
      </c>
      <c r="D1505" t="inlineStr">
        <is>
          <t>BLK</t>
        </is>
      </c>
      <c r="E1505" t="inlineStr">
        <is>
          <t>(en blanco)</t>
        </is>
      </c>
      <c r="F1505" t="inlineStr">
        <is>
          <t>(en blanco)</t>
        </is>
      </c>
      <c r="G1505" t="inlineStr">
        <is>
          <t>XL</t>
        </is>
      </c>
      <c r="H1505" t="n">
        <v>17</v>
      </c>
      <c r="I1505" t="inlineStr">
        <is>
          <t>NAUTICA_CLASSICS_117004075_BLK_1.jpg</t>
        </is>
      </c>
      <c r="J1505" t="inlineStr">
        <is>
          <t>NAUTICA_CLASSICS_117004075_BLK_2.jpg</t>
        </is>
      </c>
      <c r="K1505" t="inlineStr">
        <is>
          <t>NAUTICA_CLASSICS_117004075_BLK_3.jpg</t>
        </is>
      </c>
      <c r="L1505">
        <f>IMAGE("file:///E:/Estudios%20y%20certificaciones/ESTUDIOS%20DE%20PROGRAMMING/PROGRAMMING/PERSONAL/PYTHON/Image_Generator_API/imagenes/NAUTICA_CLASSICS_117004075_BLK_1.jpg")</f>
        <v/>
      </c>
      <c r="M1505">
        <f>IMAGE("file:///E:/Estudios%20y%20certificaciones/ESTUDIOS%20DE%20PROGRAMMING/PROGRAMMING/PERSONAL/PYTHON/Image_Generator_API/imagenes/NAUTICA_CLASSICS_117004075_BLK_2.jpg")</f>
        <v/>
      </c>
      <c r="N1505">
        <f>IMAGE("file:///E:/Estudios%20y%20certificaciones/ESTUDIOS%20DE%20PROGRAMMING/PROGRAMMING/PERSONAL/PYTHON/Image_Generator_API/imagenes/NAUTICA_CLASSICS_117004075_BLK_3.jpg")</f>
        <v/>
      </c>
      <c r="O1505">
        <f>HYPERLINK("imagenes/NAUTICA_CLASSICS_117004075_BLK_1.jpg","Ver imagen")</f>
        <v/>
      </c>
      <c r="P1505">
        <f>HYPERLINK("imagenes/NAUTICA_CLASSICS_117004075_BLK_2.jpg","Ver imagen")</f>
        <v/>
      </c>
      <c r="Q1505">
        <f>HYPERLINK("imagenes/NAUTICA_CLASSICS_117004075_BLK_3.jpg","Ver imagen")</f>
        <v/>
      </c>
    </row>
    <row r="1506">
      <c r="A1506" t="inlineStr">
        <is>
          <t>NAUTICA CLASSICS</t>
        </is>
      </c>
      <c r="B1506" t="inlineStr">
        <is>
          <t>117004075</t>
        </is>
      </c>
      <c r="C1506" t="inlineStr">
        <is>
          <t>3/4 PUFFER</t>
        </is>
      </c>
      <c r="D1506" t="inlineStr">
        <is>
          <t>NAR</t>
        </is>
      </c>
      <c r="E1506" t="inlineStr">
        <is>
          <t>09S01</t>
        </is>
      </c>
      <c r="F1506" t="inlineStr">
        <is>
          <t>(en blanco)</t>
        </is>
      </c>
      <c r="G1506" t="inlineStr">
        <is>
          <t>PPK</t>
        </is>
      </c>
      <c r="H1506" t="n">
        <v>9</v>
      </c>
      <c r="I1506" t="inlineStr">
        <is>
          <t>NAUTICA_CLASSICS_117004075_NAR_1.jpg</t>
        </is>
      </c>
      <c r="J1506" t="inlineStr">
        <is>
          <t>NAUTICA_CLASSICS_117004075_NAR_2.jpg</t>
        </is>
      </c>
      <c r="K1506" t="inlineStr">
        <is>
          <t>NAUTICA_CLASSICS_117004075_NAR_3.jpg</t>
        </is>
      </c>
      <c r="L1506">
        <f>IMAGE("file:///E:/Estudios%20y%20certificaciones/ESTUDIOS%20DE%20PROGRAMMING/PROGRAMMING/PERSONAL/PYTHON/Image_Generator_API/imagenes/NAUTICA_CLASSICS_117004075_NAR_1.jpg")</f>
        <v/>
      </c>
      <c r="M1506">
        <f>IMAGE("file:///E:/Estudios%20y%20certificaciones/ESTUDIOS%20DE%20PROGRAMMING/PROGRAMMING/PERSONAL/PYTHON/Image_Generator_API/imagenes/NAUTICA_CLASSICS_117004075_NAR_2.jpg")</f>
        <v/>
      </c>
      <c r="N1506">
        <f>IMAGE("file:///E:/Estudios%20y%20certificaciones/ESTUDIOS%20DE%20PROGRAMMING/PROGRAMMING/PERSONAL/PYTHON/Image_Generator_API/imagenes/NAUTICA_CLASSICS_117004075_NAR_3.jpg")</f>
        <v/>
      </c>
      <c r="O1506">
        <f>HYPERLINK("imagenes/NAUTICA_CLASSICS_117004075_NAR_1.jpg","Ver imagen")</f>
        <v/>
      </c>
      <c r="P1506">
        <f>HYPERLINK("imagenes/NAUTICA_CLASSICS_117004075_NAR_2.jpg","Ver imagen")</f>
        <v/>
      </c>
      <c r="Q1506">
        <f>HYPERLINK("imagenes/NAUTICA_CLASSICS_117004075_NAR_3.jpg","Ver imagen")</f>
        <v/>
      </c>
    </row>
    <row r="1507">
      <c r="A1507" t="inlineStr">
        <is>
          <t>NAUTICA CLASSICS</t>
        </is>
      </c>
      <c r="B1507" t="inlineStr">
        <is>
          <t>117004075</t>
        </is>
      </c>
      <c r="C1507" t="inlineStr">
        <is>
          <t>3/4 PUFFER</t>
        </is>
      </c>
      <c r="D1507" t="inlineStr">
        <is>
          <t>NAR</t>
        </is>
      </c>
      <c r="E1507" t="inlineStr">
        <is>
          <t>(en blanco)</t>
        </is>
      </c>
      <c r="F1507" t="inlineStr">
        <is>
          <t>(en blanco)</t>
        </is>
      </c>
      <c r="G1507" t="inlineStr">
        <is>
          <t>S</t>
        </is>
      </c>
      <c r="H1507" t="n">
        <v>11</v>
      </c>
      <c r="I1507" t="inlineStr">
        <is>
          <t>NAUTICA_CLASSICS_117004075_NAR_1.jpg</t>
        </is>
      </c>
      <c r="J1507" t="inlineStr">
        <is>
          <t>NAUTICA_CLASSICS_117004075_NAR_2.jpg</t>
        </is>
      </c>
      <c r="K1507" t="inlineStr">
        <is>
          <t>NAUTICA_CLASSICS_117004075_NAR_3.jpg</t>
        </is>
      </c>
      <c r="L1507">
        <f>IMAGE("file:///E:/Estudios%20y%20certificaciones/ESTUDIOS%20DE%20PROGRAMMING/PROGRAMMING/PERSONAL/PYTHON/Image_Generator_API/imagenes/NAUTICA_CLASSICS_117004075_NAR_1.jpg")</f>
        <v/>
      </c>
      <c r="M1507">
        <f>IMAGE("file:///E:/Estudios%20y%20certificaciones/ESTUDIOS%20DE%20PROGRAMMING/PROGRAMMING/PERSONAL/PYTHON/Image_Generator_API/imagenes/NAUTICA_CLASSICS_117004075_NAR_2.jpg")</f>
        <v/>
      </c>
      <c r="N1507">
        <f>IMAGE("file:///E:/Estudios%20y%20certificaciones/ESTUDIOS%20DE%20PROGRAMMING/PROGRAMMING/PERSONAL/PYTHON/Image_Generator_API/imagenes/NAUTICA_CLASSICS_117004075_NAR_3.jpg")</f>
        <v/>
      </c>
      <c r="O1507">
        <f>HYPERLINK("imagenes/NAUTICA_CLASSICS_117004075_NAR_1.jpg","Ver imagen")</f>
        <v/>
      </c>
      <c r="P1507">
        <f>HYPERLINK("imagenes/NAUTICA_CLASSICS_117004075_NAR_2.jpg","Ver imagen")</f>
        <v/>
      </c>
      <c r="Q1507">
        <f>HYPERLINK("imagenes/NAUTICA_CLASSICS_117004075_NAR_3.jpg","Ver imagen")</f>
        <v/>
      </c>
    </row>
    <row r="1508">
      <c r="A1508" t="inlineStr">
        <is>
          <t>NAUTICA CLASSICS</t>
        </is>
      </c>
      <c r="B1508" t="inlineStr">
        <is>
          <t>117004075</t>
        </is>
      </c>
      <c r="C1508" t="inlineStr">
        <is>
          <t>3/4 PUFFER</t>
        </is>
      </c>
      <c r="D1508" t="inlineStr">
        <is>
          <t>NAR</t>
        </is>
      </c>
      <c r="E1508" t="inlineStr">
        <is>
          <t>(en blanco)</t>
        </is>
      </c>
      <c r="F1508" t="inlineStr">
        <is>
          <t>(en blanco)</t>
        </is>
      </c>
      <c r="G1508" t="inlineStr">
        <is>
          <t>M</t>
        </is>
      </c>
      <c r="H1508" t="n">
        <v>11</v>
      </c>
      <c r="I1508" t="inlineStr">
        <is>
          <t>NAUTICA_CLASSICS_117004075_NAR_1.jpg</t>
        </is>
      </c>
      <c r="J1508" t="inlineStr">
        <is>
          <t>NAUTICA_CLASSICS_117004075_NAR_2.jpg</t>
        </is>
      </c>
      <c r="K1508" t="inlineStr">
        <is>
          <t>NAUTICA_CLASSICS_117004075_NAR_3.jpg</t>
        </is>
      </c>
      <c r="L1508">
        <f>IMAGE("file:///E:/Estudios%20y%20certificaciones/ESTUDIOS%20DE%20PROGRAMMING/PROGRAMMING/PERSONAL/PYTHON/Image_Generator_API/imagenes/NAUTICA_CLASSICS_117004075_NAR_1.jpg")</f>
        <v/>
      </c>
      <c r="M1508">
        <f>IMAGE("file:///E:/Estudios%20y%20certificaciones/ESTUDIOS%20DE%20PROGRAMMING/PROGRAMMING/PERSONAL/PYTHON/Image_Generator_API/imagenes/NAUTICA_CLASSICS_117004075_NAR_2.jpg")</f>
        <v/>
      </c>
      <c r="N1508">
        <f>IMAGE("file:///E:/Estudios%20y%20certificaciones/ESTUDIOS%20DE%20PROGRAMMING/PROGRAMMING/PERSONAL/PYTHON/Image_Generator_API/imagenes/NAUTICA_CLASSICS_117004075_NAR_3.jpg")</f>
        <v/>
      </c>
      <c r="O1508">
        <f>HYPERLINK("imagenes/NAUTICA_CLASSICS_117004075_NAR_1.jpg","Ver imagen")</f>
        <v/>
      </c>
      <c r="P1508">
        <f>HYPERLINK("imagenes/NAUTICA_CLASSICS_117004075_NAR_2.jpg","Ver imagen")</f>
        <v/>
      </c>
      <c r="Q1508">
        <f>HYPERLINK("imagenes/NAUTICA_CLASSICS_117004075_NAR_3.jpg","Ver imagen")</f>
        <v/>
      </c>
    </row>
    <row r="1509">
      <c r="A1509" t="inlineStr">
        <is>
          <t>NAUTICA CLASSICS</t>
        </is>
      </c>
      <c r="B1509" t="inlineStr">
        <is>
          <t>117004075</t>
        </is>
      </c>
      <c r="C1509" t="inlineStr">
        <is>
          <t>3/4 PUFFER</t>
        </is>
      </c>
      <c r="D1509" t="inlineStr">
        <is>
          <t>NAR</t>
        </is>
      </c>
      <c r="E1509" t="inlineStr">
        <is>
          <t>(en blanco)</t>
        </is>
      </c>
      <c r="F1509" t="inlineStr">
        <is>
          <t>(en blanco)</t>
        </is>
      </c>
      <c r="G1509" t="inlineStr">
        <is>
          <t>L</t>
        </is>
      </c>
      <c r="H1509" t="n">
        <v>6</v>
      </c>
      <c r="I1509" t="inlineStr">
        <is>
          <t>NAUTICA_CLASSICS_117004075_NAR_1.jpg</t>
        </is>
      </c>
      <c r="J1509" t="inlineStr">
        <is>
          <t>NAUTICA_CLASSICS_117004075_NAR_2.jpg</t>
        </is>
      </c>
      <c r="K1509" t="inlineStr">
        <is>
          <t>NAUTICA_CLASSICS_117004075_NAR_3.jpg</t>
        </is>
      </c>
      <c r="L1509">
        <f>IMAGE("file:///E:/Estudios%20y%20certificaciones/ESTUDIOS%20DE%20PROGRAMMING/PROGRAMMING/PERSONAL/PYTHON/Image_Generator_API/imagenes/NAUTICA_CLASSICS_117004075_NAR_1.jpg")</f>
        <v/>
      </c>
      <c r="M1509">
        <f>IMAGE("file:///E:/Estudios%20y%20certificaciones/ESTUDIOS%20DE%20PROGRAMMING/PROGRAMMING/PERSONAL/PYTHON/Image_Generator_API/imagenes/NAUTICA_CLASSICS_117004075_NAR_2.jpg")</f>
        <v/>
      </c>
      <c r="N1509">
        <f>IMAGE("file:///E:/Estudios%20y%20certificaciones/ESTUDIOS%20DE%20PROGRAMMING/PROGRAMMING/PERSONAL/PYTHON/Image_Generator_API/imagenes/NAUTICA_CLASSICS_117004075_NAR_3.jpg")</f>
        <v/>
      </c>
      <c r="O1509">
        <f>HYPERLINK("imagenes/NAUTICA_CLASSICS_117004075_NAR_1.jpg","Ver imagen")</f>
        <v/>
      </c>
      <c r="P1509">
        <f>HYPERLINK("imagenes/NAUTICA_CLASSICS_117004075_NAR_2.jpg","Ver imagen")</f>
        <v/>
      </c>
      <c r="Q1509">
        <f>HYPERLINK("imagenes/NAUTICA_CLASSICS_117004075_NAR_3.jpg","Ver imagen")</f>
        <v/>
      </c>
    </row>
    <row r="1510">
      <c r="A1510" t="inlineStr">
        <is>
          <t>NAUTICA CLASSICS</t>
        </is>
      </c>
      <c r="B1510" t="inlineStr">
        <is>
          <t>117004075</t>
        </is>
      </c>
      <c r="C1510" t="inlineStr">
        <is>
          <t>3/4 PUFFER</t>
        </is>
      </c>
      <c r="D1510" t="inlineStr">
        <is>
          <t>NAR</t>
        </is>
      </c>
      <c r="E1510" t="inlineStr">
        <is>
          <t>(en blanco)</t>
        </is>
      </c>
      <c r="F1510" t="inlineStr">
        <is>
          <t>(en blanco)</t>
        </is>
      </c>
      <c r="G1510" t="inlineStr">
        <is>
          <t>XL</t>
        </is>
      </c>
      <c r="H1510" t="n">
        <v>22</v>
      </c>
      <c r="I1510" t="inlineStr">
        <is>
          <t>NAUTICA_CLASSICS_117004075_NAR_1.jpg</t>
        </is>
      </c>
      <c r="J1510" t="inlineStr">
        <is>
          <t>NAUTICA_CLASSICS_117004075_NAR_2.jpg</t>
        </is>
      </c>
      <c r="K1510" t="inlineStr">
        <is>
          <t>NAUTICA_CLASSICS_117004075_NAR_3.jpg</t>
        </is>
      </c>
      <c r="L1510">
        <f>IMAGE("file:///E:/Estudios%20y%20certificaciones/ESTUDIOS%20DE%20PROGRAMMING/PROGRAMMING/PERSONAL/PYTHON/Image_Generator_API/imagenes/NAUTICA_CLASSICS_117004075_NAR_1.jpg")</f>
        <v/>
      </c>
      <c r="M1510">
        <f>IMAGE("file:///E:/Estudios%20y%20certificaciones/ESTUDIOS%20DE%20PROGRAMMING/PROGRAMMING/PERSONAL/PYTHON/Image_Generator_API/imagenes/NAUTICA_CLASSICS_117004075_NAR_2.jpg")</f>
        <v/>
      </c>
      <c r="N1510">
        <f>IMAGE("file:///E:/Estudios%20y%20certificaciones/ESTUDIOS%20DE%20PROGRAMMING/PROGRAMMING/PERSONAL/PYTHON/Image_Generator_API/imagenes/NAUTICA_CLASSICS_117004075_NAR_3.jpg")</f>
        <v/>
      </c>
      <c r="O1510">
        <f>HYPERLINK("imagenes/NAUTICA_CLASSICS_117004075_NAR_1.jpg","Ver imagen")</f>
        <v/>
      </c>
      <c r="P1510">
        <f>HYPERLINK("imagenes/NAUTICA_CLASSICS_117004075_NAR_2.jpg","Ver imagen")</f>
        <v/>
      </c>
      <c r="Q1510">
        <f>HYPERLINK("imagenes/NAUTICA_CLASSICS_117004075_NAR_3.jpg","Ver imagen")</f>
        <v/>
      </c>
    </row>
    <row r="1511">
      <c r="A1511" t="inlineStr">
        <is>
          <t>NAUTICA CLASSICS</t>
        </is>
      </c>
      <c r="B1511" t="inlineStr">
        <is>
          <t>117004075</t>
        </is>
      </c>
      <c r="C1511" t="inlineStr">
        <is>
          <t>3/4 PUFFER</t>
        </is>
      </c>
      <c r="D1511" t="inlineStr">
        <is>
          <t>SW4</t>
        </is>
      </c>
      <c r="E1511" t="inlineStr">
        <is>
          <t>09S01</t>
        </is>
      </c>
      <c r="F1511" t="inlineStr">
        <is>
          <t>(en blanco)</t>
        </is>
      </c>
      <c r="G1511" t="inlineStr">
        <is>
          <t>PPK</t>
        </is>
      </c>
      <c r="H1511" t="n">
        <v>45</v>
      </c>
      <c r="I1511" t="inlineStr">
        <is>
          <t>NAUTICA_CLASSICS_117004075_SW4_1.jpg</t>
        </is>
      </c>
      <c r="J1511" t="inlineStr">
        <is>
          <t>NAUTICA_CLASSICS_117004075_SW4_2.jpg</t>
        </is>
      </c>
      <c r="K1511" t="inlineStr">
        <is>
          <t>NAUTICA_CLASSICS_117004075_SW4_3.jpg</t>
        </is>
      </c>
      <c r="L1511">
        <f>IMAGE("file:///E:/Estudios%20y%20certificaciones/ESTUDIOS%20DE%20PROGRAMMING/PROGRAMMING/PERSONAL/PYTHON/Image_Generator_API/imagenes/NAUTICA_CLASSICS_117004075_SW4_1.jpg")</f>
        <v/>
      </c>
      <c r="M1511">
        <f>IMAGE("file:///E:/Estudios%20y%20certificaciones/ESTUDIOS%20DE%20PROGRAMMING/PROGRAMMING/PERSONAL/PYTHON/Image_Generator_API/imagenes/NAUTICA_CLASSICS_117004075_SW4_2.jpg")</f>
        <v/>
      </c>
      <c r="N1511">
        <f>IMAGE("file:///E:/Estudios%20y%20certificaciones/ESTUDIOS%20DE%20PROGRAMMING/PROGRAMMING/PERSONAL/PYTHON/Image_Generator_API/imagenes/NAUTICA_CLASSICS_117004075_SW4_3.jpg")</f>
        <v/>
      </c>
      <c r="O1511">
        <f>HYPERLINK("imagenes/NAUTICA_CLASSICS_117004075_SW4_1.jpg","Ver imagen")</f>
        <v/>
      </c>
      <c r="P1511">
        <f>HYPERLINK("imagenes/NAUTICA_CLASSICS_117004075_SW4_2.jpg","Ver imagen")</f>
        <v/>
      </c>
      <c r="Q1511">
        <f>HYPERLINK("imagenes/NAUTICA_CLASSICS_117004075_SW4_3.jpg","Ver imagen")</f>
        <v/>
      </c>
    </row>
    <row r="1512">
      <c r="A1512" t="inlineStr">
        <is>
          <t>NAUTICA CLASSICS</t>
        </is>
      </c>
      <c r="B1512" t="inlineStr">
        <is>
          <t>117004075</t>
        </is>
      </c>
      <c r="C1512" t="inlineStr">
        <is>
          <t>3/4 PUFFER</t>
        </is>
      </c>
      <c r="D1512" t="inlineStr">
        <is>
          <t>SW4</t>
        </is>
      </c>
      <c r="E1512" t="inlineStr">
        <is>
          <t>(en blanco)</t>
        </is>
      </c>
      <c r="F1512" t="inlineStr">
        <is>
          <t>(en blanco)</t>
        </is>
      </c>
      <c r="G1512" t="inlineStr">
        <is>
          <t>S</t>
        </is>
      </c>
      <c r="H1512" t="n">
        <v>1</v>
      </c>
      <c r="I1512" t="inlineStr">
        <is>
          <t>NAUTICA_CLASSICS_117004075_SW4_1.jpg</t>
        </is>
      </c>
      <c r="J1512" t="inlineStr">
        <is>
          <t>NAUTICA_CLASSICS_117004075_SW4_2.jpg</t>
        </is>
      </c>
      <c r="K1512" t="inlineStr">
        <is>
          <t>NAUTICA_CLASSICS_117004075_SW4_3.jpg</t>
        </is>
      </c>
      <c r="L1512">
        <f>IMAGE("file:///E:/Estudios%20y%20certificaciones/ESTUDIOS%20DE%20PROGRAMMING/PROGRAMMING/PERSONAL/PYTHON/Image_Generator_API/imagenes/NAUTICA_CLASSICS_117004075_SW4_1.jpg")</f>
        <v/>
      </c>
      <c r="M1512">
        <f>IMAGE("file:///E:/Estudios%20y%20certificaciones/ESTUDIOS%20DE%20PROGRAMMING/PROGRAMMING/PERSONAL/PYTHON/Image_Generator_API/imagenes/NAUTICA_CLASSICS_117004075_SW4_2.jpg")</f>
        <v/>
      </c>
      <c r="N1512">
        <f>IMAGE("file:///E:/Estudios%20y%20certificaciones/ESTUDIOS%20DE%20PROGRAMMING/PROGRAMMING/PERSONAL/PYTHON/Image_Generator_API/imagenes/NAUTICA_CLASSICS_117004075_SW4_3.jpg")</f>
        <v/>
      </c>
      <c r="O1512">
        <f>HYPERLINK("imagenes/NAUTICA_CLASSICS_117004075_SW4_1.jpg","Ver imagen")</f>
        <v/>
      </c>
      <c r="P1512">
        <f>HYPERLINK("imagenes/NAUTICA_CLASSICS_117004075_SW4_2.jpg","Ver imagen")</f>
        <v/>
      </c>
      <c r="Q1512">
        <f>HYPERLINK("imagenes/NAUTICA_CLASSICS_117004075_SW4_3.jpg","Ver imagen")</f>
        <v/>
      </c>
    </row>
    <row r="1513">
      <c r="A1513" t="inlineStr">
        <is>
          <t>NAUTICA CLASSICS</t>
        </is>
      </c>
      <c r="B1513" t="inlineStr">
        <is>
          <t>117004075</t>
        </is>
      </c>
      <c r="C1513" t="inlineStr">
        <is>
          <t>3/4 PUFFER</t>
        </is>
      </c>
      <c r="D1513" t="inlineStr">
        <is>
          <t>SW4</t>
        </is>
      </c>
      <c r="E1513" t="inlineStr">
        <is>
          <t>(en blanco)</t>
        </is>
      </c>
      <c r="F1513" t="inlineStr">
        <is>
          <t>(en blanco)</t>
        </is>
      </c>
      <c r="G1513" t="inlineStr">
        <is>
          <t>M</t>
        </is>
      </c>
      <c r="H1513" t="n">
        <v>9</v>
      </c>
      <c r="I1513" t="inlineStr">
        <is>
          <t>NAUTICA_CLASSICS_117004075_SW4_1.jpg</t>
        </is>
      </c>
      <c r="J1513" t="inlineStr">
        <is>
          <t>NAUTICA_CLASSICS_117004075_SW4_2.jpg</t>
        </is>
      </c>
      <c r="K1513" t="inlineStr">
        <is>
          <t>NAUTICA_CLASSICS_117004075_SW4_3.jpg</t>
        </is>
      </c>
      <c r="L1513">
        <f>IMAGE("file:///E:/Estudios%20y%20certificaciones/ESTUDIOS%20DE%20PROGRAMMING/PROGRAMMING/PERSONAL/PYTHON/Image_Generator_API/imagenes/NAUTICA_CLASSICS_117004075_SW4_1.jpg")</f>
        <v/>
      </c>
      <c r="M1513">
        <f>IMAGE("file:///E:/Estudios%20y%20certificaciones/ESTUDIOS%20DE%20PROGRAMMING/PROGRAMMING/PERSONAL/PYTHON/Image_Generator_API/imagenes/NAUTICA_CLASSICS_117004075_SW4_2.jpg")</f>
        <v/>
      </c>
      <c r="N1513">
        <f>IMAGE("file:///E:/Estudios%20y%20certificaciones/ESTUDIOS%20DE%20PROGRAMMING/PROGRAMMING/PERSONAL/PYTHON/Image_Generator_API/imagenes/NAUTICA_CLASSICS_117004075_SW4_3.jpg")</f>
        <v/>
      </c>
      <c r="O1513">
        <f>HYPERLINK("imagenes/NAUTICA_CLASSICS_117004075_SW4_1.jpg","Ver imagen")</f>
        <v/>
      </c>
      <c r="P1513">
        <f>HYPERLINK("imagenes/NAUTICA_CLASSICS_117004075_SW4_2.jpg","Ver imagen")</f>
        <v/>
      </c>
      <c r="Q1513">
        <f>HYPERLINK("imagenes/NAUTICA_CLASSICS_117004075_SW4_3.jpg","Ver imagen")</f>
        <v/>
      </c>
    </row>
    <row r="1514">
      <c r="A1514" t="inlineStr">
        <is>
          <t>NAUTICA CLASSICS</t>
        </is>
      </c>
      <c r="B1514" t="inlineStr">
        <is>
          <t>117004075</t>
        </is>
      </c>
      <c r="C1514" t="inlineStr">
        <is>
          <t>3/4 PUFFER</t>
        </is>
      </c>
      <c r="D1514" t="inlineStr">
        <is>
          <t>SW4</t>
        </is>
      </c>
      <c r="E1514" t="inlineStr">
        <is>
          <t>(en blanco)</t>
        </is>
      </c>
      <c r="F1514" t="inlineStr">
        <is>
          <t>(en blanco)</t>
        </is>
      </c>
      <c r="G1514" t="inlineStr">
        <is>
          <t>L</t>
        </is>
      </c>
      <c r="H1514" t="n">
        <v>8</v>
      </c>
      <c r="I1514" t="inlineStr">
        <is>
          <t>NAUTICA_CLASSICS_117004075_SW4_1.jpg</t>
        </is>
      </c>
      <c r="J1514" t="inlineStr">
        <is>
          <t>NAUTICA_CLASSICS_117004075_SW4_2.jpg</t>
        </is>
      </c>
      <c r="K1514" t="inlineStr">
        <is>
          <t>NAUTICA_CLASSICS_117004075_SW4_3.jpg</t>
        </is>
      </c>
      <c r="L1514">
        <f>IMAGE("file:///E:/Estudios%20y%20certificaciones/ESTUDIOS%20DE%20PROGRAMMING/PROGRAMMING/PERSONAL/PYTHON/Image_Generator_API/imagenes/NAUTICA_CLASSICS_117004075_SW4_1.jpg")</f>
        <v/>
      </c>
      <c r="M1514">
        <f>IMAGE("file:///E:/Estudios%20y%20certificaciones/ESTUDIOS%20DE%20PROGRAMMING/PROGRAMMING/PERSONAL/PYTHON/Image_Generator_API/imagenes/NAUTICA_CLASSICS_117004075_SW4_2.jpg")</f>
        <v/>
      </c>
      <c r="N1514">
        <f>IMAGE("file:///E:/Estudios%20y%20certificaciones/ESTUDIOS%20DE%20PROGRAMMING/PROGRAMMING/PERSONAL/PYTHON/Image_Generator_API/imagenes/NAUTICA_CLASSICS_117004075_SW4_3.jpg")</f>
        <v/>
      </c>
      <c r="O1514">
        <f>HYPERLINK("imagenes/NAUTICA_CLASSICS_117004075_SW4_1.jpg","Ver imagen")</f>
        <v/>
      </c>
      <c r="P1514">
        <f>HYPERLINK("imagenes/NAUTICA_CLASSICS_117004075_SW4_2.jpg","Ver imagen")</f>
        <v/>
      </c>
      <c r="Q1514">
        <f>HYPERLINK("imagenes/NAUTICA_CLASSICS_117004075_SW4_3.jpg","Ver imagen")</f>
        <v/>
      </c>
    </row>
    <row r="1515">
      <c r="A1515" t="inlineStr">
        <is>
          <t>NAUTICA CLASSICS</t>
        </is>
      </c>
      <c r="B1515" t="inlineStr">
        <is>
          <t>117004075</t>
        </is>
      </c>
      <c r="C1515" t="inlineStr">
        <is>
          <t>3/4 PUFFER</t>
        </is>
      </c>
      <c r="D1515" t="inlineStr">
        <is>
          <t>SW4</t>
        </is>
      </c>
      <c r="E1515" t="inlineStr">
        <is>
          <t>(en blanco)</t>
        </is>
      </c>
      <c r="F1515" t="inlineStr">
        <is>
          <t>(en blanco)</t>
        </is>
      </c>
      <c r="G1515" t="inlineStr">
        <is>
          <t>XL</t>
        </is>
      </c>
      <c r="H1515" t="n">
        <v>20</v>
      </c>
      <c r="I1515" t="inlineStr">
        <is>
          <t>NAUTICA_CLASSICS_117004075_SW4_1.jpg</t>
        </is>
      </c>
      <c r="J1515" t="inlineStr">
        <is>
          <t>NAUTICA_CLASSICS_117004075_SW4_2.jpg</t>
        </is>
      </c>
      <c r="K1515" t="inlineStr">
        <is>
          <t>NAUTICA_CLASSICS_117004075_SW4_3.jpg</t>
        </is>
      </c>
      <c r="L1515">
        <f>IMAGE("file:///E:/Estudios%20y%20certificaciones/ESTUDIOS%20DE%20PROGRAMMING/PROGRAMMING/PERSONAL/PYTHON/Image_Generator_API/imagenes/NAUTICA_CLASSICS_117004075_SW4_1.jpg")</f>
        <v/>
      </c>
      <c r="M1515">
        <f>IMAGE("file:///E:/Estudios%20y%20certificaciones/ESTUDIOS%20DE%20PROGRAMMING/PROGRAMMING/PERSONAL/PYTHON/Image_Generator_API/imagenes/NAUTICA_CLASSICS_117004075_SW4_2.jpg")</f>
        <v/>
      </c>
      <c r="N1515">
        <f>IMAGE("file:///E:/Estudios%20y%20certificaciones/ESTUDIOS%20DE%20PROGRAMMING/PROGRAMMING/PERSONAL/PYTHON/Image_Generator_API/imagenes/NAUTICA_CLASSICS_117004075_SW4_3.jpg")</f>
        <v/>
      </c>
      <c r="O1515">
        <f>HYPERLINK("imagenes/NAUTICA_CLASSICS_117004075_SW4_1.jpg","Ver imagen")</f>
        <v/>
      </c>
      <c r="P1515">
        <f>HYPERLINK("imagenes/NAUTICA_CLASSICS_117004075_SW4_2.jpg","Ver imagen")</f>
        <v/>
      </c>
      <c r="Q1515">
        <f>HYPERLINK("imagenes/NAUTICA_CLASSICS_117004075_SW4_3.jpg","Ver imagen")</f>
        <v/>
      </c>
    </row>
    <row r="1516">
      <c r="A1516" t="inlineStr">
        <is>
          <t>NAUTICA CLASSICS</t>
        </is>
      </c>
      <c r="B1516" t="inlineStr">
        <is>
          <t>117004078</t>
        </is>
      </c>
      <c r="C1516" t="inlineStr">
        <is>
          <t>3/4 PUFFER</t>
        </is>
      </c>
      <c r="D1516" t="inlineStr">
        <is>
          <t>BLK</t>
        </is>
      </c>
      <c r="E1516" t="inlineStr">
        <is>
          <t>(en blanco)</t>
        </is>
      </c>
      <c r="F1516" t="inlineStr">
        <is>
          <t>(en blanco)</t>
        </is>
      </c>
      <c r="G1516" t="inlineStr">
        <is>
          <t>XS</t>
        </is>
      </c>
      <c r="H1516" t="n">
        <v>6</v>
      </c>
      <c r="I1516" t="inlineStr">
        <is>
          <t>NAUTICA_CLASSICS_117004078_BLK_1.jpg</t>
        </is>
      </c>
      <c r="J1516" t="inlineStr">
        <is>
          <t>NAUTICA_CLASSICS_117004078_BLK_2.jpg</t>
        </is>
      </c>
      <c r="K1516" t="inlineStr">
        <is>
          <t>NAUTICA_CLASSICS_117004078_BLK_3.jpg</t>
        </is>
      </c>
      <c r="L1516">
        <f>IMAGE("file:///E:/Estudios%20y%20certificaciones/ESTUDIOS%20DE%20PROGRAMMING/PROGRAMMING/PERSONAL/PYTHON/Image_Generator_API/imagenes/NAUTICA_CLASSICS_117004078_BLK_1.jpg")</f>
        <v/>
      </c>
      <c r="M1516">
        <f>IMAGE("file:///E:/Estudios%20y%20certificaciones/ESTUDIOS%20DE%20PROGRAMMING/PROGRAMMING/PERSONAL/PYTHON/Image_Generator_API/imagenes/NAUTICA_CLASSICS_117004078_BLK_2.jpg")</f>
        <v/>
      </c>
      <c r="N1516">
        <f>IMAGE("file:///E:/Estudios%20y%20certificaciones/ESTUDIOS%20DE%20PROGRAMMING/PROGRAMMING/PERSONAL/PYTHON/Image_Generator_API/imagenes/NAUTICA_CLASSICS_117004078_BLK_3.jpg")</f>
        <v/>
      </c>
      <c r="O1516">
        <f>HYPERLINK("imagenes/NAUTICA_CLASSICS_117004078_BLK_1.jpg","Ver imagen")</f>
        <v/>
      </c>
      <c r="P1516">
        <f>HYPERLINK("imagenes/NAUTICA_CLASSICS_117004078_BLK_2.jpg","Ver imagen")</f>
        <v/>
      </c>
      <c r="Q1516">
        <f>HYPERLINK("imagenes/NAUTICA_CLASSICS_117004078_BLK_3.jpg","Ver imagen")</f>
        <v/>
      </c>
    </row>
    <row r="1517">
      <c r="A1517" t="inlineStr">
        <is>
          <t>NAUTICA CLASSICS</t>
        </is>
      </c>
      <c r="B1517" t="inlineStr">
        <is>
          <t>117004078</t>
        </is>
      </c>
      <c r="C1517" t="inlineStr">
        <is>
          <t>3/4 PUFFER</t>
        </is>
      </c>
      <c r="D1517" t="inlineStr">
        <is>
          <t>BLK</t>
        </is>
      </c>
      <c r="E1517" t="inlineStr">
        <is>
          <t>(en blanco)</t>
        </is>
      </c>
      <c r="F1517" t="inlineStr">
        <is>
          <t>(en blanco)</t>
        </is>
      </c>
      <c r="G1517" t="inlineStr">
        <is>
          <t>S</t>
        </is>
      </c>
      <c r="H1517" t="n">
        <v>13</v>
      </c>
      <c r="I1517" t="inlineStr">
        <is>
          <t>NAUTICA_CLASSICS_117004078_BLK_1.jpg</t>
        </is>
      </c>
      <c r="J1517" t="inlineStr">
        <is>
          <t>NAUTICA_CLASSICS_117004078_BLK_2.jpg</t>
        </is>
      </c>
      <c r="K1517" t="inlineStr">
        <is>
          <t>NAUTICA_CLASSICS_117004078_BLK_3.jpg</t>
        </is>
      </c>
      <c r="L1517">
        <f>IMAGE("file:///E:/Estudios%20y%20certificaciones/ESTUDIOS%20DE%20PROGRAMMING/PROGRAMMING/PERSONAL/PYTHON/Image_Generator_API/imagenes/NAUTICA_CLASSICS_117004078_BLK_1.jpg")</f>
        <v/>
      </c>
      <c r="M1517">
        <f>IMAGE("file:///E:/Estudios%20y%20certificaciones/ESTUDIOS%20DE%20PROGRAMMING/PROGRAMMING/PERSONAL/PYTHON/Image_Generator_API/imagenes/NAUTICA_CLASSICS_117004078_BLK_2.jpg")</f>
        <v/>
      </c>
      <c r="N1517">
        <f>IMAGE("file:///E:/Estudios%20y%20certificaciones/ESTUDIOS%20DE%20PROGRAMMING/PROGRAMMING/PERSONAL/PYTHON/Image_Generator_API/imagenes/NAUTICA_CLASSICS_117004078_BLK_3.jpg")</f>
        <v/>
      </c>
      <c r="O1517">
        <f>HYPERLINK("imagenes/NAUTICA_CLASSICS_117004078_BLK_1.jpg","Ver imagen")</f>
        <v/>
      </c>
      <c r="P1517">
        <f>HYPERLINK("imagenes/NAUTICA_CLASSICS_117004078_BLK_2.jpg","Ver imagen")</f>
        <v/>
      </c>
      <c r="Q1517">
        <f>HYPERLINK("imagenes/NAUTICA_CLASSICS_117004078_BLK_3.jpg","Ver imagen")</f>
        <v/>
      </c>
    </row>
    <row r="1518">
      <c r="A1518" t="inlineStr">
        <is>
          <t>NAUTICA CLASSICS</t>
        </is>
      </c>
      <c r="B1518" t="inlineStr">
        <is>
          <t>117004078</t>
        </is>
      </c>
      <c r="C1518" t="inlineStr">
        <is>
          <t>3/4 PUFFER</t>
        </is>
      </c>
      <c r="D1518" t="inlineStr">
        <is>
          <t>BLK</t>
        </is>
      </c>
      <c r="E1518" t="inlineStr">
        <is>
          <t>(en blanco)</t>
        </is>
      </c>
      <c r="F1518" t="inlineStr">
        <is>
          <t>(en blanco)</t>
        </is>
      </c>
      <c r="G1518" t="inlineStr">
        <is>
          <t>M</t>
        </is>
      </c>
      <c r="H1518" t="n">
        <v>3</v>
      </c>
      <c r="I1518" t="inlineStr">
        <is>
          <t>NAUTICA_CLASSICS_117004078_BLK_1.jpg</t>
        </is>
      </c>
      <c r="J1518" t="inlineStr">
        <is>
          <t>NAUTICA_CLASSICS_117004078_BLK_2.jpg</t>
        </is>
      </c>
      <c r="K1518" t="inlineStr">
        <is>
          <t>NAUTICA_CLASSICS_117004078_BLK_3.jpg</t>
        </is>
      </c>
      <c r="L1518">
        <f>IMAGE("file:///E:/Estudios%20y%20certificaciones/ESTUDIOS%20DE%20PROGRAMMING/PROGRAMMING/PERSONAL/PYTHON/Image_Generator_API/imagenes/NAUTICA_CLASSICS_117004078_BLK_1.jpg")</f>
        <v/>
      </c>
      <c r="M1518">
        <f>IMAGE("file:///E:/Estudios%20y%20certificaciones/ESTUDIOS%20DE%20PROGRAMMING/PROGRAMMING/PERSONAL/PYTHON/Image_Generator_API/imagenes/NAUTICA_CLASSICS_117004078_BLK_2.jpg")</f>
        <v/>
      </c>
      <c r="N1518">
        <f>IMAGE("file:///E:/Estudios%20y%20certificaciones/ESTUDIOS%20DE%20PROGRAMMING/PROGRAMMING/PERSONAL/PYTHON/Image_Generator_API/imagenes/NAUTICA_CLASSICS_117004078_BLK_3.jpg")</f>
        <v/>
      </c>
      <c r="O1518">
        <f>HYPERLINK("imagenes/NAUTICA_CLASSICS_117004078_BLK_1.jpg","Ver imagen")</f>
        <v/>
      </c>
      <c r="P1518">
        <f>HYPERLINK("imagenes/NAUTICA_CLASSICS_117004078_BLK_2.jpg","Ver imagen")</f>
        <v/>
      </c>
      <c r="Q1518">
        <f>HYPERLINK("imagenes/NAUTICA_CLASSICS_117004078_BLK_3.jpg","Ver imagen")</f>
        <v/>
      </c>
    </row>
    <row r="1519">
      <c r="A1519" t="inlineStr">
        <is>
          <t>NAUTICA CLASSICS</t>
        </is>
      </c>
      <c r="B1519" t="inlineStr">
        <is>
          <t>117004078</t>
        </is>
      </c>
      <c r="C1519" t="inlineStr">
        <is>
          <t>3/4 PUFFER</t>
        </is>
      </c>
      <c r="D1519" t="inlineStr">
        <is>
          <t>BLK</t>
        </is>
      </c>
      <c r="E1519" t="inlineStr">
        <is>
          <t>(en blanco)</t>
        </is>
      </c>
      <c r="F1519" t="inlineStr">
        <is>
          <t>(en blanco)</t>
        </is>
      </c>
      <c r="G1519" t="inlineStr">
        <is>
          <t>L</t>
        </is>
      </c>
      <c r="H1519" t="n">
        <v>5</v>
      </c>
      <c r="I1519" t="inlineStr">
        <is>
          <t>NAUTICA_CLASSICS_117004078_BLK_1.jpg</t>
        </is>
      </c>
      <c r="J1519" t="inlineStr">
        <is>
          <t>NAUTICA_CLASSICS_117004078_BLK_2.jpg</t>
        </is>
      </c>
      <c r="K1519" t="inlineStr">
        <is>
          <t>NAUTICA_CLASSICS_117004078_BLK_3.jpg</t>
        </is>
      </c>
      <c r="L1519">
        <f>IMAGE("file:///E:/Estudios%20y%20certificaciones/ESTUDIOS%20DE%20PROGRAMMING/PROGRAMMING/PERSONAL/PYTHON/Image_Generator_API/imagenes/NAUTICA_CLASSICS_117004078_BLK_1.jpg")</f>
        <v/>
      </c>
      <c r="M1519">
        <f>IMAGE("file:///E:/Estudios%20y%20certificaciones/ESTUDIOS%20DE%20PROGRAMMING/PROGRAMMING/PERSONAL/PYTHON/Image_Generator_API/imagenes/NAUTICA_CLASSICS_117004078_BLK_2.jpg")</f>
        <v/>
      </c>
      <c r="N1519">
        <f>IMAGE("file:///E:/Estudios%20y%20certificaciones/ESTUDIOS%20DE%20PROGRAMMING/PROGRAMMING/PERSONAL/PYTHON/Image_Generator_API/imagenes/NAUTICA_CLASSICS_117004078_BLK_3.jpg")</f>
        <v/>
      </c>
      <c r="O1519">
        <f>HYPERLINK("imagenes/NAUTICA_CLASSICS_117004078_BLK_1.jpg","Ver imagen")</f>
        <v/>
      </c>
      <c r="P1519">
        <f>HYPERLINK("imagenes/NAUTICA_CLASSICS_117004078_BLK_2.jpg","Ver imagen")</f>
        <v/>
      </c>
      <c r="Q1519">
        <f>HYPERLINK("imagenes/NAUTICA_CLASSICS_117004078_BLK_3.jpg","Ver imagen")</f>
        <v/>
      </c>
    </row>
    <row r="1520">
      <c r="A1520" t="inlineStr">
        <is>
          <t>NAUTICA CLASSICS</t>
        </is>
      </c>
      <c r="B1520" t="inlineStr">
        <is>
          <t>117004078</t>
        </is>
      </c>
      <c r="C1520" t="inlineStr">
        <is>
          <t>3/4 PUFFER</t>
        </is>
      </c>
      <c r="D1520" t="inlineStr">
        <is>
          <t>BLK</t>
        </is>
      </c>
      <c r="E1520" t="inlineStr">
        <is>
          <t>(en blanco)</t>
        </is>
      </c>
      <c r="F1520" t="inlineStr">
        <is>
          <t>(en blanco)</t>
        </is>
      </c>
      <c r="G1520" t="inlineStr">
        <is>
          <t>XL</t>
        </is>
      </c>
      <c r="H1520" t="n">
        <v>7</v>
      </c>
      <c r="I1520" t="inlineStr">
        <is>
          <t>NAUTICA_CLASSICS_117004078_BLK_1.jpg</t>
        </is>
      </c>
      <c r="J1520" t="inlineStr">
        <is>
          <t>NAUTICA_CLASSICS_117004078_BLK_2.jpg</t>
        </is>
      </c>
      <c r="K1520" t="inlineStr">
        <is>
          <t>NAUTICA_CLASSICS_117004078_BLK_3.jpg</t>
        </is>
      </c>
      <c r="L1520">
        <f>IMAGE("file:///E:/Estudios%20y%20certificaciones/ESTUDIOS%20DE%20PROGRAMMING/PROGRAMMING/PERSONAL/PYTHON/Image_Generator_API/imagenes/NAUTICA_CLASSICS_117004078_BLK_1.jpg")</f>
        <v/>
      </c>
      <c r="M1520">
        <f>IMAGE("file:///E:/Estudios%20y%20certificaciones/ESTUDIOS%20DE%20PROGRAMMING/PROGRAMMING/PERSONAL/PYTHON/Image_Generator_API/imagenes/NAUTICA_CLASSICS_117004078_BLK_2.jpg")</f>
        <v/>
      </c>
      <c r="N1520">
        <f>IMAGE("file:///E:/Estudios%20y%20certificaciones/ESTUDIOS%20DE%20PROGRAMMING/PROGRAMMING/PERSONAL/PYTHON/Image_Generator_API/imagenes/NAUTICA_CLASSICS_117004078_BLK_3.jpg")</f>
        <v/>
      </c>
      <c r="O1520">
        <f>HYPERLINK("imagenes/NAUTICA_CLASSICS_117004078_BLK_1.jpg","Ver imagen")</f>
        <v/>
      </c>
      <c r="P1520">
        <f>HYPERLINK("imagenes/NAUTICA_CLASSICS_117004078_BLK_2.jpg","Ver imagen")</f>
        <v/>
      </c>
      <c r="Q1520">
        <f>HYPERLINK("imagenes/NAUTICA_CLASSICS_117004078_BLK_3.jpg","Ver imagen")</f>
        <v/>
      </c>
    </row>
    <row r="1521">
      <c r="A1521" t="inlineStr">
        <is>
          <t>NAUTICA CLASSICS</t>
        </is>
      </c>
      <c r="B1521" t="inlineStr">
        <is>
          <t>117004078</t>
        </is>
      </c>
      <c r="C1521" t="inlineStr">
        <is>
          <t>3/4 PUFFER</t>
        </is>
      </c>
      <c r="D1521" t="inlineStr">
        <is>
          <t>BLK</t>
        </is>
      </c>
      <c r="E1521" t="inlineStr">
        <is>
          <t>(en blanco)</t>
        </is>
      </c>
      <c r="F1521" t="inlineStr">
        <is>
          <t>(en blanco)</t>
        </is>
      </c>
      <c r="G1521" t="inlineStr">
        <is>
          <t>XXL</t>
        </is>
      </c>
      <c r="H1521" t="n">
        <v>10</v>
      </c>
      <c r="I1521" t="inlineStr">
        <is>
          <t>NAUTICA_CLASSICS_117004078_BLK_1.jpg</t>
        </is>
      </c>
      <c r="J1521" t="inlineStr">
        <is>
          <t>NAUTICA_CLASSICS_117004078_BLK_2.jpg</t>
        </is>
      </c>
      <c r="K1521" t="inlineStr">
        <is>
          <t>NAUTICA_CLASSICS_117004078_BLK_3.jpg</t>
        </is>
      </c>
      <c r="L1521">
        <f>IMAGE("file:///E:/Estudios%20y%20certificaciones/ESTUDIOS%20DE%20PROGRAMMING/PROGRAMMING/PERSONAL/PYTHON/Image_Generator_API/imagenes/NAUTICA_CLASSICS_117004078_BLK_1.jpg")</f>
        <v/>
      </c>
      <c r="M1521">
        <f>IMAGE("file:///E:/Estudios%20y%20certificaciones/ESTUDIOS%20DE%20PROGRAMMING/PROGRAMMING/PERSONAL/PYTHON/Image_Generator_API/imagenes/NAUTICA_CLASSICS_117004078_BLK_2.jpg")</f>
        <v/>
      </c>
      <c r="N1521">
        <f>IMAGE("file:///E:/Estudios%20y%20certificaciones/ESTUDIOS%20DE%20PROGRAMMING/PROGRAMMING/PERSONAL/PYTHON/Image_Generator_API/imagenes/NAUTICA_CLASSICS_117004078_BLK_3.jpg")</f>
        <v/>
      </c>
      <c r="O1521">
        <f>HYPERLINK("imagenes/NAUTICA_CLASSICS_117004078_BLK_1.jpg","Ver imagen")</f>
        <v/>
      </c>
      <c r="P1521">
        <f>HYPERLINK("imagenes/NAUTICA_CLASSICS_117004078_BLK_2.jpg","Ver imagen")</f>
        <v/>
      </c>
      <c r="Q1521">
        <f>HYPERLINK("imagenes/NAUTICA_CLASSICS_117004078_BLK_3.jpg","Ver imagen")</f>
        <v/>
      </c>
    </row>
    <row r="1522">
      <c r="A1522" t="inlineStr">
        <is>
          <t>NAUTICA CLASSICS</t>
        </is>
      </c>
      <c r="B1522" t="inlineStr">
        <is>
          <t>117004078</t>
        </is>
      </c>
      <c r="C1522" t="inlineStr">
        <is>
          <t>3/4 PUFFER</t>
        </is>
      </c>
      <c r="D1522" t="inlineStr">
        <is>
          <t>BLK</t>
        </is>
      </c>
      <c r="E1522" t="inlineStr">
        <is>
          <t>(en blanco)</t>
        </is>
      </c>
      <c r="F1522" t="inlineStr">
        <is>
          <t>(en blanco)</t>
        </is>
      </c>
      <c r="G1522" t="inlineStr">
        <is>
          <t>XXS</t>
        </is>
      </c>
      <c r="H1522" t="n">
        <v>17</v>
      </c>
      <c r="I1522" t="inlineStr">
        <is>
          <t>NAUTICA_CLASSICS_117004078_BLK_1.jpg</t>
        </is>
      </c>
      <c r="J1522" t="inlineStr">
        <is>
          <t>NAUTICA_CLASSICS_117004078_BLK_2.jpg</t>
        </is>
      </c>
      <c r="K1522" t="inlineStr">
        <is>
          <t>NAUTICA_CLASSICS_117004078_BLK_3.jpg</t>
        </is>
      </c>
      <c r="L1522">
        <f>IMAGE("file:///E:/Estudios%20y%20certificaciones/ESTUDIOS%20DE%20PROGRAMMING/PROGRAMMING/PERSONAL/PYTHON/Image_Generator_API/imagenes/NAUTICA_CLASSICS_117004078_BLK_1.jpg")</f>
        <v/>
      </c>
      <c r="M1522">
        <f>IMAGE("file:///E:/Estudios%20y%20certificaciones/ESTUDIOS%20DE%20PROGRAMMING/PROGRAMMING/PERSONAL/PYTHON/Image_Generator_API/imagenes/NAUTICA_CLASSICS_117004078_BLK_2.jpg")</f>
        <v/>
      </c>
      <c r="N1522">
        <f>IMAGE("file:///E:/Estudios%20y%20certificaciones/ESTUDIOS%20DE%20PROGRAMMING/PROGRAMMING/PERSONAL/PYTHON/Image_Generator_API/imagenes/NAUTICA_CLASSICS_117004078_BLK_3.jpg")</f>
        <v/>
      </c>
      <c r="O1522">
        <f>HYPERLINK("imagenes/NAUTICA_CLASSICS_117004078_BLK_1.jpg","Ver imagen")</f>
        <v/>
      </c>
      <c r="P1522">
        <f>HYPERLINK("imagenes/NAUTICA_CLASSICS_117004078_BLK_2.jpg","Ver imagen")</f>
        <v/>
      </c>
      <c r="Q1522">
        <f>HYPERLINK("imagenes/NAUTICA_CLASSICS_117004078_BLK_3.jpg","Ver imagen")</f>
        <v/>
      </c>
    </row>
    <row r="1523">
      <c r="A1523" t="inlineStr">
        <is>
          <t>NAUTICA CLASSICS</t>
        </is>
      </c>
      <c r="B1523" t="inlineStr">
        <is>
          <t>117004078</t>
        </is>
      </c>
      <c r="C1523" t="inlineStr">
        <is>
          <t>3/4 PUFFER</t>
        </is>
      </c>
      <c r="D1523" t="inlineStr">
        <is>
          <t>NSS</t>
        </is>
      </c>
      <c r="E1523" t="inlineStr">
        <is>
          <t>(en blanco)</t>
        </is>
      </c>
      <c r="F1523" t="inlineStr">
        <is>
          <t>(en blanco)</t>
        </is>
      </c>
      <c r="G1523" t="inlineStr">
        <is>
          <t>XS</t>
        </is>
      </c>
      <c r="H1523" t="n">
        <v>25</v>
      </c>
      <c r="I1523" t="inlineStr">
        <is>
          <t>NAUTICA_CLASSICS_117004078_NSS_1.jpg</t>
        </is>
      </c>
      <c r="J1523" t="inlineStr">
        <is>
          <t>NAUTICA_CLASSICS_117004078_NSS_2.jpg</t>
        </is>
      </c>
      <c r="K1523" t="inlineStr">
        <is>
          <t>NAUTICA_CLASSICS_117004078_NSS_3.jpg</t>
        </is>
      </c>
      <c r="L1523">
        <f>IMAGE("file:///E:/Estudios%20y%20certificaciones/ESTUDIOS%20DE%20PROGRAMMING/PROGRAMMING/PERSONAL/PYTHON/Image_Generator_API/imagenes/NAUTICA_CLASSICS_117004078_NSS_1.jpg")</f>
        <v/>
      </c>
      <c r="M1523">
        <f>IMAGE("file:///E:/Estudios%20y%20certificaciones/ESTUDIOS%20DE%20PROGRAMMING/PROGRAMMING/PERSONAL/PYTHON/Image_Generator_API/imagenes/NAUTICA_CLASSICS_117004078_NSS_2.jpg")</f>
        <v/>
      </c>
      <c r="N1523">
        <f>IMAGE("file:///E:/Estudios%20y%20certificaciones/ESTUDIOS%20DE%20PROGRAMMING/PROGRAMMING/PERSONAL/PYTHON/Image_Generator_API/imagenes/NAUTICA_CLASSICS_117004078_NSS_3.jpg")</f>
        <v/>
      </c>
      <c r="O1523">
        <f>HYPERLINK("imagenes/NAUTICA_CLASSICS_117004078_NSS_1.jpg","Ver imagen")</f>
        <v/>
      </c>
      <c r="P1523">
        <f>HYPERLINK("imagenes/NAUTICA_CLASSICS_117004078_NSS_2.jpg","Ver imagen")</f>
        <v/>
      </c>
      <c r="Q1523">
        <f>HYPERLINK("imagenes/NAUTICA_CLASSICS_117004078_NSS_3.jpg","Ver imagen")</f>
        <v/>
      </c>
    </row>
    <row r="1524">
      <c r="A1524" t="inlineStr">
        <is>
          <t>NAUTICA CLASSICS</t>
        </is>
      </c>
      <c r="B1524" t="inlineStr">
        <is>
          <t>117004078</t>
        </is>
      </c>
      <c r="C1524" t="inlineStr">
        <is>
          <t>3/4 PUFFER</t>
        </is>
      </c>
      <c r="D1524" t="inlineStr">
        <is>
          <t>NSS</t>
        </is>
      </c>
      <c r="E1524" t="inlineStr">
        <is>
          <t>(en blanco)</t>
        </is>
      </c>
      <c r="F1524" t="inlineStr">
        <is>
          <t>(en blanco)</t>
        </is>
      </c>
      <c r="G1524" t="inlineStr">
        <is>
          <t>S</t>
        </is>
      </c>
      <c r="H1524" t="n">
        <v>42</v>
      </c>
      <c r="I1524" t="inlineStr">
        <is>
          <t>NAUTICA_CLASSICS_117004078_NSS_1.jpg</t>
        </is>
      </c>
      <c r="J1524" t="inlineStr">
        <is>
          <t>NAUTICA_CLASSICS_117004078_NSS_2.jpg</t>
        </is>
      </c>
      <c r="K1524" t="inlineStr">
        <is>
          <t>NAUTICA_CLASSICS_117004078_NSS_3.jpg</t>
        </is>
      </c>
      <c r="L1524">
        <f>IMAGE("file:///E:/Estudios%20y%20certificaciones/ESTUDIOS%20DE%20PROGRAMMING/PROGRAMMING/PERSONAL/PYTHON/Image_Generator_API/imagenes/NAUTICA_CLASSICS_117004078_NSS_1.jpg")</f>
        <v/>
      </c>
      <c r="M1524">
        <f>IMAGE("file:///E:/Estudios%20y%20certificaciones/ESTUDIOS%20DE%20PROGRAMMING/PROGRAMMING/PERSONAL/PYTHON/Image_Generator_API/imagenes/NAUTICA_CLASSICS_117004078_NSS_2.jpg")</f>
        <v/>
      </c>
      <c r="N1524">
        <f>IMAGE("file:///E:/Estudios%20y%20certificaciones/ESTUDIOS%20DE%20PROGRAMMING/PROGRAMMING/PERSONAL/PYTHON/Image_Generator_API/imagenes/NAUTICA_CLASSICS_117004078_NSS_3.jpg")</f>
        <v/>
      </c>
      <c r="O1524">
        <f>HYPERLINK("imagenes/NAUTICA_CLASSICS_117004078_NSS_1.jpg","Ver imagen")</f>
        <v/>
      </c>
      <c r="P1524">
        <f>HYPERLINK("imagenes/NAUTICA_CLASSICS_117004078_NSS_2.jpg","Ver imagen")</f>
        <v/>
      </c>
      <c r="Q1524">
        <f>HYPERLINK("imagenes/NAUTICA_CLASSICS_117004078_NSS_3.jpg","Ver imagen")</f>
        <v/>
      </c>
    </row>
    <row r="1525">
      <c r="A1525" t="inlineStr">
        <is>
          <t>NAUTICA CLASSICS</t>
        </is>
      </c>
      <c r="B1525" t="inlineStr">
        <is>
          <t>117004078</t>
        </is>
      </c>
      <c r="C1525" t="inlineStr">
        <is>
          <t>3/4 PUFFER</t>
        </is>
      </c>
      <c r="D1525" t="inlineStr">
        <is>
          <t>NSS</t>
        </is>
      </c>
      <c r="E1525" t="inlineStr">
        <is>
          <t>(en blanco)</t>
        </is>
      </c>
      <c r="F1525" t="inlineStr">
        <is>
          <t>(en blanco)</t>
        </is>
      </c>
      <c r="G1525" t="inlineStr">
        <is>
          <t>M</t>
        </is>
      </c>
      <c r="H1525" t="n">
        <v>6</v>
      </c>
      <c r="I1525" t="inlineStr">
        <is>
          <t>NAUTICA_CLASSICS_117004078_NSS_1.jpg</t>
        </is>
      </c>
      <c r="J1525" t="inlineStr">
        <is>
          <t>NAUTICA_CLASSICS_117004078_NSS_2.jpg</t>
        </is>
      </c>
      <c r="K1525" t="inlineStr">
        <is>
          <t>NAUTICA_CLASSICS_117004078_NSS_3.jpg</t>
        </is>
      </c>
      <c r="L1525">
        <f>IMAGE("file:///E:/Estudios%20y%20certificaciones/ESTUDIOS%20DE%20PROGRAMMING/PROGRAMMING/PERSONAL/PYTHON/Image_Generator_API/imagenes/NAUTICA_CLASSICS_117004078_NSS_1.jpg")</f>
        <v/>
      </c>
      <c r="M1525">
        <f>IMAGE("file:///E:/Estudios%20y%20certificaciones/ESTUDIOS%20DE%20PROGRAMMING/PROGRAMMING/PERSONAL/PYTHON/Image_Generator_API/imagenes/NAUTICA_CLASSICS_117004078_NSS_2.jpg")</f>
        <v/>
      </c>
      <c r="N1525">
        <f>IMAGE("file:///E:/Estudios%20y%20certificaciones/ESTUDIOS%20DE%20PROGRAMMING/PROGRAMMING/PERSONAL/PYTHON/Image_Generator_API/imagenes/NAUTICA_CLASSICS_117004078_NSS_3.jpg")</f>
        <v/>
      </c>
      <c r="O1525">
        <f>HYPERLINK("imagenes/NAUTICA_CLASSICS_117004078_NSS_1.jpg","Ver imagen")</f>
        <v/>
      </c>
      <c r="P1525">
        <f>HYPERLINK("imagenes/NAUTICA_CLASSICS_117004078_NSS_2.jpg","Ver imagen")</f>
        <v/>
      </c>
      <c r="Q1525">
        <f>HYPERLINK("imagenes/NAUTICA_CLASSICS_117004078_NSS_3.jpg","Ver imagen")</f>
        <v/>
      </c>
    </row>
    <row r="1526">
      <c r="A1526" t="inlineStr">
        <is>
          <t>NAUTICA CLASSICS</t>
        </is>
      </c>
      <c r="B1526" t="inlineStr">
        <is>
          <t>117004078</t>
        </is>
      </c>
      <c r="C1526" t="inlineStr">
        <is>
          <t>3/4 PUFFER</t>
        </is>
      </c>
      <c r="D1526" t="inlineStr">
        <is>
          <t>NSS</t>
        </is>
      </c>
      <c r="E1526" t="inlineStr">
        <is>
          <t>(en blanco)</t>
        </is>
      </c>
      <c r="F1526" t="inlineStr">
        <is>
          <t>(en blanco)</t>
        </is>
      </c>
      <c r="G1526" t="inlineStr">
        <is>
          <t>L</t>
        </is>
      </c>
      <c r="H1526" t="n">
        <v>9</v>
      </c>
      <c r="I1526" t="inlineStr">
        <is>
          <t>NAUTICA_CLASSICS_117004078_NSS_1.jpg</t>
        </is>
      </c>
      <c r="J1526" t="inlineStr">
        <is>
          <t>NAUTICA_CLASSICS_117004078_NSS_2.jpg</t>
        </is>
      </c>
      <c r="K1526" t="inlineStr">
        <is>
          <t>NAUTICA_CLASSICS_117004078_NSS_3.jpg</t>
        </is>
      </c>
      <c r="L1526">
        <f>IMAGE("file:///E:/Estudios%20y%20certificaciones/ESTUDIOS%20DE%20PROGRAMMING/PROGRAMMING/PERSONAL/PYTHON/Image_Generator_API/imagenes/NAUTICA_CLASSICS_117004078_NSS_1.jpg")</f>
        <v/>
      </c>
      <c r="M1526">
        <f>IMAGE("file:///E:/Estudios%20y%20certificaciones/ESTUDIOS%20DE%20PROGRAMMING/PROGRAMMING/PERSONAL/PYTHON/Image_Generator_API/imagenes/NAUTICA_CLASSICS_117004078_NSS_2.jpg")</f>
        <v/>
      </c>
      <c r="N1526">
        <f>IMAGE("file:///E:/Estudios%20y%20certificaciones/ESTUDIOS%20DE%20PROGRAMMING/PROGRAMMING/PERSONAL/PYTHON/Image_Generator_API/imagenes/NAUTICA_CLASSICS_117004078_NSS_3.jpg")</f>
        <v/>
      </c>
      <c r="O1526">
        <f>HYPERLINK("imagenes/NAUTICA_CLASSICS_117004078_NSS_1.jpg","Ver imagen")</f>
        <v/>
      </c>
      <c r="P1526">
        <f>HYPERLINK("imagenes/NAUTICA_CLASSICS_117004078_NSS_2.jpg","Ver imagen")</f>
        <v/>
      </c>
      <c r="Q1526">
        <f>HYPERLINK("imagenes/NAUTICA_CLASSICS_117004078_NSS_3.jpg","Ver imagen")</f>
        <v/>
      </c>
    </row>
    <row r="1527">
      <c r="A1527" t="inlineStr">
        <is>
          <t>NAUTICA CLASSICS</t>
        </is>
      </c>
      <c r="B1527" t="inlineStr">
        <is>
          <t>117004078</t>
        </is>
      </c>
      <c r="C1527" t="inlineStr">
        <is>
          <t>3/4 PUFFER</t>
        </is>
      </c>
      <c r="D1527" t="inlineStr">
        <is>
          <t>NSS</t>
        </is>
      </c>
      <c r="E1527" t="inlineStr">
        <is>
          <t>(en blanco)</t>
        </is>
      </c>
      <c r="F1527" t="inlineStr">
        <is>
          <t>(en blanco)</t>
        </is>
      </c>
      <c r="G1527" t="inlineStr">
        <is>
          <t>XL</t>
        </is>
      </c>
      <c r="H1527" t="n">
        <v>7</v>
      </c>
      <c r="I1527" t="inlineStr">
        <is>
          <t>NAUTICA_CLASSICS_117004078_NSS_1.jpg</t>
        </is>
      </c>
      <c r="J1527" t="inlineStr">
        <is>
          <t>NAUTICA_CLASSICS_117004078_NSS_2.jpg</t>
        </is>
      </c>
      <c r="K1527" t="inlineStr">
        <is>
          <t>NAUTICA_CLASSICS_117004078_NSS_3.jpg</t>
        </is>
      </c>
      <c r="L1527">
        <f>IMAGE("file:///E:/Estudios%20y%20certificaciones/ESTUDIOS%20DE%20PROGRAMMING/PROGRAMMING/PERSONAL/PYTHON/Image_Generator_API/imagenes/NAUTICA_CLASSICS_117004078_NSS_1.jpg")</f>
        <v/>
      </c>
      <c r="M1527">
        <f>IMAGE("file:///E:/Estudios%20y%20certificaciones/ESTUDIOS%20DE%20PROGRAMMING/PROGRAMMING/PERSONAL/PYTHON/Image_Generator_API/imagenes/NAUTICA_CLASSICS_117004078_NSS_2.jpg")</f>
        <v/>
      </c>
      <c r="N1527">
        <f>IMAGE("file:///E:/Estudios%20y%20certificaciones/ESTUDIOS%20DE%20PROGRAMMING/PROGRAMMING/PERSONAL/PYTHON/Image_Generator_API/imagenes/NAUTICA_CLASSICS_117004078_NSS_3.jpg")</f>
        <v/>
      </c>
      <c r="O1527">
        <f>HYPERLINK("imagenes/NAUTICA_CLASSICS_117004078_NSS_1.jpg","Ver imagen")</f>
        <v/>
      </c>
      <c r="P1527">
        <f>HYPERLINK("imagenes/NAUTICA_CLASSICS_117004078_NSS_2.jpg","Ver imagen")</f>
        <v/>
      </c>
      <c r="Q1527">
        <f>HYPERLINK("imagenes/NAUTICA_CLASSICS_117004078_NSS_3.jpg","Ver imagen")</f>
        <v/>
      </c>
    </row>
    <row r="1528">
      <c r="A1528" t="inlineStr">
        <is>
          <t>NAUTICA CLASSICS</t>
        </is>
      </c>
      <c r="B1528" t="inlineStr">
        <is>
          <t>117004078</t>
        </is>
      </c>
      <c r="C1528" t="inlineStr">
        <is>
          <t>3/4 PUFFER</t>
        </is>
      </c>
      <c r="D1528" t="inlineStr">
        <is>
          <t>NSS</t>
        </is>
      </c>
      <c r="E1528" t="inlineStr">
        <is>
          <t>(en blanco)</t>
        </is>
      </c>
      <c r="F1528" t="inlineStr">
        <is>
          <t>(en blanco)</t>
        </is>
      </c>
      <c r="G1528" t="inlineStr">
        <is>
          <t>XXL</t>
        </is>
      </c>
      <c r="H1528" t="n">
        <v>11</v>
      </c>
      <c r="I1528" t="inlineStr">
        <is>
          <t>NAUTICA_CLASSICS_117004078_NSS_1.jpg</t>
        </is>
      </c>
      <c r="J1528" t="inlineStr">
        <is>
          <t>NAUTICA_CLASSICS_117004078_NSS_2.jpg</t>
        </is>
      </c>
      <c r="K1528" t="inlineStr">
        <is>
          <t>NAUTICA_CLASSICS_117004078_NSS_3.jpg</t>
        </is>
      </c>
      <c r="L1528">
        <f>IMAGE("file:///E:/Estudios%20y%20certificaciones/ESTUDIOS%20DE%20PROGRAMMING/PROGRAMMING/PERSONAL/PYTHON/Image_Generator_API/imagenes/NAUTICA_CLASSICS_117004078_NSS_1.jpg")</f>
        <v/>
      </c>
      <c r="M1528">
        <f>IMAGE("file:///E:/Estudios%20y%20certificaciones/ESTUDIOS%20DE%20PROGRAMMING/PROGRAMMING/PERSONAL/PYTHON/Image_Generator_API/imagenes/NAUTICA_CLASSICS_117004078_NSS_2.jpg")</f>
        <v/>
      </c>
      <c r="N1528">
        <f>IMAGE("file:///E:/Estudios%20y%20certificaciones/ESTUDIOS%20DE%20PROGRAMMING/PROGRAMMING/PERSONAL/PYTHON/Image_Generator_API/imagenes/NAUTICA_CLASSICS_117004078_NSS_3.jpg")</f>
        <v/>
      </c>
      <c r="O1528">
        <f>HYPERLINK("imagenes/NAUTICA_CLASSICS_117004078_NSS_1.jpg","Ver imagen")</f>
        <v/>
      </c>
      <c r="P1528">
        <f>HYPERLINK("imagenes/NAUTICA_CLASSICS_117004078_NSS_2.jpg","Ver imagen")</f>
        <v/>
      </c>
      <c r="Q1528">
        <f>HYPERLINK("imagenes/NAUTICA_CLASSICS_117004078_NSS_3.jpg","Ver imagen")</f>
        <v/>
      </c>
    </row>
    <row r="1529">
      <c r="A1529" t="inlineStr">
        <is>
          <t>NAUTICA CLASSICS</t>
        </is>
      </c>
      <c r="B1529" t="inlineStr">
        <is>
          <t>117004078</t>
        </is>
      </c>
      <c r="C1529" t="inlineStr">
        <is>
          <t>3/4 PUFFER</t>
        </is>
      </c>
      <c r="D1529" t="inlineStr">
        <is>
          <t>NSS</t>
        </is>
      </c>
      <c r="E1529" t="inlineStr">
        <is>
          <t>(en blanco)</t>
        </is>
      </c>
      <c r="F1529" t="inlineStr">
        <is>
          <t>(en blanco)</t>
        </is>
      </c>
      <c r="G1529" t="inlineStr">
        <is>
          <t>XXS</t>
        </is>
      </c>
      <c r="H1529" t="n">
        <v>37</v>
      </c>
      <c r="I1529" t="inlineStr">
        <is>
          <t>NAUTICA_CLASSICS_117004078_NSS_1.jpg</t>
        </is>
      </c>
      <c r="J1529" t="inlineStr">
        <is>
          <t>NAUTICA_CLASSICS_117004078_NSS_2.jpg</t>
        </is>
      </c>
      <c r="K1529" t="inlineStr">
        <is>
          <t>NAUTICA_CLASSICS_117004078_NSS_3.jpg</t>
        </is>
      </c>
      <c r="L1529">
        <f>IMAGE("file:///E:/Estudios%20y%20certificaciones/ESTUDIOS%20DE%20PROGRAMMING/PROGRAMMING/PERSONAL/PYTHON/Image_Generator_API/imagenes/NAUTICA_CLASSICS_117004078_NSS_1.jpg")</f>
        <v/>
      </c>
      <c r="M1529">
        <f>IMAGE("file:///E:/Estudios%20y%20certificaciones/ESTUDIOS%20DE%20PROGRAMMING/PROGRAMMING/PERSONAL/PYTHON/Image_Generator_API/imagenes/NAUTICA_CLASSICS_117004078_NSS_2.jpg")</f>
        <v/>
      </c>
      <c r="N1529">
        <f>IMAGE("file:///E:/Estudios%20y%20certificaciones/ESTUDIOS%20DE%20PROGRAMMING/PROGRAMMING/PERSONAL/PYTHON/Image_Generator_API/imagenes/NAUTICA_CLASSICS_117004078_NSS_3.jpg")</f>
        <v/>
      </c>
      <c r="O1529">
        <f>HYPERLINK("imagenes/NAUTICA_CLASSICS_117004078_NSS_1.jpg","Ver imagen")</f>
        <v/>
      </c>
      <c r="P1529">
        <f>HYPERLINK("imagenes/NAUTICA_CLASSICS_117004078_NSS_2.jpg","Ver imagen")</f>
        <v/>
      </c>
      <c r="Q1529">
        <f>HYPERLINK("imagenes/NAUTICA_CLASSICS_117004078_NSS_3.jpg","Ver imagen")</f>
        <v/>
      </c>
    </row>
    <row r="1530">
      <c r="A1530" t="inlineStr">
        <is>
          <t>NAUTICA CLASSICS</t>
        </is>
      </c>
      <c r="B1530" t="inlineStr">
        <is>
          <t>117004079</t>
        </is>
      </c>
      <c r="C1530" t="inlineStr">
        <is>
          <t>3/4 PUFFER</t>
        </is>
      </c>
      <c r="D1530" t="inlineStr">
        <is>
          <t>BLK</t>
        </is>
      </c>
      <c r="E1530" t="inlineStr">
        <is>
          <t>(en blanco)</t>
        </is>
      </c>
      <c r="F1530" t="inlineStr">
        <is>
          <t>(en blanco)</t>
        </is>
      </c>
      <c r="G1530" t="inlineStr">
        <is>
          <t>M</t>
        </is>
      </c>
      <c r="H1530" t="n">
        <v>1</v>
      </c>
      <c r="I1530" t="inlineStr">
        <is>
          <t>NAUTICA_CLASSICS_117004079_BLK_1.jpg</t>
        </is>
      </c>
      <c r="J1530" t="inlineStr">
        <is>
          <t>NAUTICA_CLASSICS_117004079_BLK_2.jpg</t>
        </is>
      </c>
      <c r="K1530" t="inlineStr">
        <is>
          <t>NAUTICA_CLASSICS_117004079_BLK_3.jpg</t>
        </is>
      </c>
      <c r="L1530">
        <f>IMAGE("file:///E:/Estudios%20y%20certificaciones/ESTUDIOS%20DE%20PROGRAMMING/PROGRAMMING/PERSONAL/PYTHON/Image_Generator_API/imagenes/NAUTICA_CLASSICS_117004079_BLK_1.jpg")</f>
        <v/>
      </c>
      <c r="M1530">
        <f>IMAGE("file:///E:/Estudios%20y%20certificaciones/ESTUDIOS%20DE%20PROGRAMMING/PROGRAMMING/PERSONAL/PYTHON/Image_Generator_API/imagenes/NAUTICA_CLASSICS_117004079_BLK_2.jpg")</f>
        <v/>
      </c>
      <c r="N1530">
        <f>IMAGE("file:///E:/Estudios%20y%20certificaciones/ESTUDIOS%20DE%20PROGRAMMING/PROGRAMMING/PERSONAL/PYTHON/Image_Generator_API/imagenes/NAUTICA_CLASSICS_117004079_BLK_3.jpg")</f>
        <v/>
      </c>
      <c r="O1530">
        <f>HYPERLINK("imagenes/NAUTICA_CLASSICS_117004079_BLK_1.jpg","Ver imagen")</f>
        <v/>
      </c>
      <c r="P1530">
        <f>HYPERLINK("imagenes/NAUTICA_CLASSICS_117004079_BLK_2.jpg","Ver imagen")</f>
        <v/>
      </c>
      <c r="Q1530">
        <f>HYPERLINK("imagenes/NAUTICA_CLASSICS_117004079_BLK_3.jpg","Ver imagen")</f>
        <v/>
      </c>
    </row>
    <row r="1531">
      <c r="A1531" t="inlineStr">
        <is>
          <t>NAUTICA CLASSICS</t>
        </is>
      </c>
      <c r="B1531" t="inlineStr">
        <is>
          <t>117004079</t>
        </is>
      </c>
      <c r="C1531" t="inlineStr">
        <is>
          <t>3/4 PUFFER</t>
        </is>
      </c>
      <c r="D1531" t="inlineStr">
        <is>
          <t>BLK</t>
        </is>
      </c>
      <c r="E1531" t="inlineStr">
        <is>
          <t>(en blanco)</t>
        </is>
      </c>
      <c r="F1531" t="inlineStr">
        <is>
          <t>(en blanco)</t>
        </is>
      </c>
      <c r="G1531" t="inlineStr">
        <is>
          <t>L</t>
        </is>
      </c>
      <c r="H1531" t="n">
        <v>1</v>
      </c>
      <c r="I1531" t="inlineStr">
        <is>
          <t>NAUTICA_CLASSICS_117004079_BLK_1.jpg</t>
        </is>
      </c>
      <c r="J1531" t="inlineStr">
        <is>
          <t>NAUTICA_CLASSICS_117004079_BLK_2.jpg</t>
        </is>
      </c>
      <c r="K1531" t="inlineStr">
        <is>
          <t>NAUTICA_CLASSICS_117004079_BLK_3.jpg</t>
        </is>
      </c>
      <c r="L1531">
        <f>IMAGE("file:///E:/Estudios%20y%20certificaciones/ESTUDIOS%20DE%20PROGRAMMING/PROGRAMMING/PERSONAL/PYTHON/Image_Generator_API/imagenes/NAUTICA_CLASSICS_117004079_BLK_1.jpg")</f>
        <v/>
      </c>
      <c r="M1531">
        <f>IMAGE("file:///E:/Estudios%20y%20certificaciones/ESTUDIOS%20DE%20PROGRAMMING/PROGRAMMING/PERSONAL/PYTHON/Image_Generator_API/imagenes/NAUTICA_CLASSICS_117004079_BLK_2.jpg")</f>
        <v/>
      </c>
      <c r="N1531">
        <f>IMAGE("file:///E:/Estudios%20y%20certificaciones/ESTUDIOS%20DE%20PROGRAMMING/PROGRAMMING/PERSONAL/PYTHON/Image_Generator_API/imagenes/NAUTICA_CLASSICS_117004079_BLK_3.jpg")</f>
        <v/>
      </c>
      <c r="O1531">
        <f>HYPERLINK("imagenes/NAUTICA_CLASSICS_117004079_BLK_1.jpg","Ver imagen")</f>
        <v/>
      </c>
      <c r="P1531">
        <f>HYPERLINK("imagenes/NAUTICA_CLASSICS_117004079_BLK_2.jpg","Ver imagen")</f>
        <v/>
      </c>
      <c r="Q1531">
        <f>HYPERLINK("imagenes/NAUTICA_CLASSICS_117004079_BLK_3.jpg","Ver imagen")</f>
        <v/>
      </c>
    </row>
    <row r="1532">
      <c r="A1532" t="inlineStr">
        <is>
          <t>NAUTICA CLASSICS</t>
        </is>
      </c>
      <c r="B1532" t="inlineStr">
        <is>
          <t>117004079</t>
        </is>
      </c>
      <c r="C1532" t="inlineStr">
        <is>
          <t>3/4 PUFFER</t>
        </is>
      </c>
      <c r="D1532" t="inlineStr">
        <is>
          <t>LMS</t>
        </is>
      </c>
      <c r="E1532" t="inlineStr">
        <is>
          <t>(en blanco)</t>
        </is>
      </c>
      <c r="F1532" t="inlineStr">
        <is>
          <t>(en blanco)</t>
        </is>
      </c>
      <c r="G1532" t="inlineStr">
        <is>
          <t>M</t>
        </is>
      </c>
      <c r="H1532" t="n">
        <v>1</v>
      </c>
      <c r="I1532" t="inlineStr">
        <is>
          <t>NAUTICA_CLASSICS_117004079_LMS_1.jpg</t>
        </is>
      </c>
      <c r="J1532" t="inlineStr">
        <is>
          <t>NAUTICA_CLASSICS_117004079_LMS_2.jpg</t>
        </is>
      </c>
      <c r="K1532" t="inlineStr">
        <is>
          <t>NAUTICA_CLASSICS_117004079_LMS_3.jpg</t>
        </is>
      </c>
      <c r="L1532">
        <f>IMAGE("file:///E:/Estudios%20y%20certificaciones/ESTUDIOS%20DE%20PROGRAMMING/PROGRAMMING/PERSONAL/PYTHON/Image_Generator_API/imagenes/NAUTICA_CLASSICS_117004079_LMS_1.jpg")</f>
        <v/>
      </c>
      <c r="M1532">
        <f>IMAGE("file:///E:/Estudios%20y%20certificaciones/ESTUDIOS%20DE%20PROGRAMMING/PROGRAMMING/PERSONAL/PYTHON/Image_Generator_API/imagenes/NAUTICA_CLASSICS_117004079_LMS_2.jpg")</f>
        <v/>
      </c>
      <c r="N1532">
        <f>IMAGE("file:///E:/Estudios%20y%20certificaciones/ESTUDIOS%20DE%20PROGRAMMING/PROGRAMMING/PERSONAL/PYTHON/Image_Generator_API/imagenes/NAUTICA_CLASSICS_117004079_LMS_3.jpg")</f>
        <v/>
      </c>
      <c r="O1532">
        <f>HYPERLINK("imagenes/NAUTICA_CLASSICS_117004079_LMS_1.jpg","Ver imagen")</f>
        <v/>
      </c>
      <c r="P1532">
        <f>HYPERLINK("imagenes/NAUTICA_CLASSICS_117004079_LMS_2.jpg","Ver imagen")</f>
        <v/>
      </c>
      <c r="Q1532">
        <f>HYPERLINK("imagenes/NAUTICA_CLASSICS_117004079_LMS_3.jpg","Ver imagen")</f>
        <v/>
      </c>
    </row>
    <row r="1533">
      <c r="A1533" t="inlineStr">
        <is>
          <t>NAUTICA CLASSICS</t>
        </is>
      </c>
      <c r="B1533" t="inlineStr">
        <is>
          <t>117004079</t>
        </is>
      </c>
      <c r="C1533" t="inlineStr">
        <is>
          <t>3/4 PUFFER</t>
        </is>
      </c>
      <c r="D1533" t="inlineStr">
        <is>
          <t>LMS</t>
        </is>
      </c>
      <c r="E1533" t="inlineStr">
        <is>
          <t>(en blanco)</t>
        </is>
      </c>
      <c r="F1533" t="inlineStr">
        <is>
          <t>(en blanco)</t>
        </is>
      </c>
      <c r="G1533" t="inlineStr">
        <is>
          <t>XL</t>
        </is>
      </c>
      <c r="H1533" t="n">
        <v>1</v>
      </c>
      <c r="I1533" t="inlineStr">
        <is>
          <t>NAUTICA_CLASSICS_117004079_LMS_1.jpg</t>
        </is>
      </c>
      <c r="J1533" t="inlineStr">
        <is>
          <t>NAUTICA_CLASSICS_117004079_LMS_2.jpg</t>
        </is>
      </c>
      <c r="K1533" t="inlineStr">
        <is>
          <t>NAUTICA_CLASSICS_117004079_LMS_3.jpg</t>
        </is>
      </c>
      <c r="L1533">
        <f>IMAGE("file:///E:/Estudios%20y%20certificaciones/ESTUDIOS%20DE%20PROGRAMMING/PROGRAMMING/PERSONAL/PYTHON/Image_Generator_API/imagenes/NAUTICA_CLASSICS_117004079_LMS_1.jpg")</f>
        <v/>
      </c>
      <c r="M1533">
        <f>IMAGE("file:///E:/Estudios%20y%20certificaciones/ESTUDIOS%20DE%20PROGRAMMING/PROGRAMMING/PERSONAL/PYTHON/Image_Generator_API/imagenes/NAUTICA_CLASSICS_117004079_LMS_2.jpg")</f>
        <v/>
      </c>
      <c r="N1533">
        <f>IMAGE("file:///E:/Estudios%20y%20certificaciones/ESTUDIOS%20DE%20PROGRAMMING/PROGRAMMING/PERSONAL/PYTHON/Image_Generator_API/imagenes/NAUTICA_CLASSICS_117004079_LMS_3.jpg")</f>
        <v/>
      </c>
      <c r="O1533">
        <f>HYPERLINK("imagenes/NAUTICA_CLASSICS_117004079_LMS_1.jpg","Ver imagen")</f>
        <v/>
      </c>
      <c r="P1533">
        <f>HYPERLINK("imagenes/NAUTICA_CLASSICS_117004079_LMS_2.jpg","Ver imagen")</f>
        <v/>
      </c>
      <c r="Q1533">
        <f>HYPERLINK("imagenes/NAUTICA_CLASSICS_117004079_LMS_3.jpg","Ver imagen")</f>
        <v/>
      </c>
    </row>
    <row r="1534">
      <c r="A1534" t="inlineStr">
        <is>
          <t>NAUTICA CLASSICS</t>
        </is>
      </c>
      <c r="B1534" t="inlineStr">
        <is>
          <t>117004080</t>
        </is>
      </c>
      <c r="C1534" t="inlineStr">
        <is>
          <t>3/4 PUFFER</t>
        </is>
      </c>
      <c r="D1534" t="inlineStr">
        <is>
          <t>BLK</t>
        </is>
      </c>
      <c r="E1534" t="inlineStr">
        <is>
          <t>(en blanco)</t>
        </is>
      </c>
      <c r="F1534" t="inlineStr">
        <is>
          <t>(en blanco)</t>
        </is>
      </c>
      <c r="G1534" t="inlineStr">
        <is>
          <t>XS</t>
        </is>
      </c>
      <c r="H1534" t="n">
        <v>3</v>
      </c>
      <c r="I1534" t="inlineStr">
        <is>
          <t>NAUTICA_CLASSICS_117004080_BLK_1.jpg</t>
        </is>
      </c>
      <c r="J1534" t="inlineStr">
        <is>
          <t>NAUTICA_CLASSICS_117004080_BLK_2.jpg</t>
        </is>
      </c>
      <c r="K1534" t="inlineStr">
        <is>
          <t>NAUTICA_CLASSICS_117004080_BLK_3.jpg</t>
        </is>
      </c>
      <c r="L1534">
        <f>IMAGE("file:///E:/Estudios%20y%20certificaciones/ESTUDIOS%20DE%20PROGRAMMING/PROGRAMMING/PERSONAL/PYTHON/Image_Generator_API/imagenes/NAUTICA_CLASSICS_117004080_BLK_1.jpg")</f>
        <v/>
      </c>
      <c r="M1534">
        <f>IMAGE("file:///E:/Estudios%20y%20certificaciones/ESTUDIOS%20DE%20PROGRAMMING/PROGRAMMING/PERSONAL/PYTHON/Image_Generator_API/imagenes/NAUTICA_CLASSICS_117004080_BLK_2.jpg")</f>
        <v/>
      </c>
      <c r="N1534">
        <f>IMAGE("file:///E:/Estudios%20y%20certificaciones/ESTUDIOS%20DE%20PROGRAMMING/PROGRAMMING/PERSONAL/PYTHON/Image_Generator_API/imagenes/NAUTICA_CLASSICS_117004080_BLK_3.jpg")</f>
        <v/>
      </c>
      <c r="O1534">
        <f>HYPERLINK("imagenes/NAUTICA_CLASSICS_117004080_BLK_1.jpg","Ver imagen")</f>
        <v/>
      </c>
      <c r="P1534">
        <f>HYPERLINK("imagenes/NAUTICA_CLASSICS_117004080_BLK_2.jpg","Ver imagen")</f>
        <v/>
      </c>
      <c r="Q1534">
        <f>HYPERLINK("imagenes/NAUTICA_CLASSICS_117004080_BLK_3.jpg","Ver imagen")</f>
        <v/>
      </c>
    </row>
    <row r="1535">
      <c r="A1535" t="inlineStr">
        <is>
          <t>NAUTICA CLASSICS</t>
        </is>
      </c>
      <c r="B1535" t="inlineStr">
        <is>
          <t>117004080</t>
        </is>
      </c>
      <c r="C1535" t="inlineStr">
        <is>
          <t>3/4 PUFFER</t>
        </is>
      </c>
      <c r="D1535" t="inlineStr">
        <is>
          <t>NSS</t>
        </is>
      </c>
      <c r="E1535" t="inlineStr">
        <is>
          <t>(en blanco)</t>
        </is>
      </c>
      <c r="F1535" t="inlineStr">
        <is>
          <t>(en blanco)</t>
        </is>
      </c>
      <c r="G1535" t="inlineStr">
        <is>
          <t>XS</t>
        </is>
      </c>
      <c r="H1535" t="n">
        <v>17</v>
      </c>
      <c r="I1535" t="inlineStr">
        <is>
          <t>NAUTICA_CLASSICS_117004080_NSS_1.jpg</t>
        </is>
      </c>
      <c r="J1535" t="inlineStr">
        <is>
          <t>NAUTICA_CLASSICS_117004080_NSS_2.jpg</t>
        </is>
      </c>
      <c r="K1535" t="inlineStr">
        <is>
          <t>NAUTICA_CLASSICS_117004080_NSS_3.jpg</t>
        </is>
      </c>
      <c r="L1535">
        <f>IMAGE("file:///E:/Estudios%20y%20certificaciones/ESTUDIOS%20DE%20PROGRAMMING/PROGRAMMING/PERSONAL/PYTHON/Image_Generator_API/imagenes/NAUTICA_CLASSICS_117004080_NSS_1.jpg")</f>
        <v/>
      </c>
      <c r="M1535">
        <f>IMAGE("file:///E:/Estudios%20y%20certificaciones/ESTUDIOS%20DE%20PROGRAMMING/PROGRAMMING/PERSONAL/PYTHON/Image_Generator_API/imagenes/NAUTICA_CLASSICS_117004080_NSS_2.jpg")</f>
        <v/>
      </c>
      <c r="N1535">
        <f>IMAGE("file:///E:/Estudios%20y%20certificaciones/ESTUDIOS%20DE%20PROGRAMMING/PROGRAMMING/PERSONAL/PYTHON/Image_Generator_API/imagenes/NAUTICA_CLASSICS_117004080_NSS_3.jpg")</f>
        <v/>
      </c>
      <c r="O1535">
        <f>HYPERLINK("imagenes/NAUTICA_CLASSICS_117004080_NSS_1.jpg","Ver imagen")</f>
        <v/>
      </c>
      <c r="P1535">
        <f>HYPERLINK("imagenes/NAUTICA_CLASSICS_117004080_NSS_2.jpg","Ver imagen")</f>
        <v/>
      </c>
      <c r="Q1535">
        <f>HYPERLINK("imagenes/NAUTICA_CLASSICS_117004080_NSS_3.jpg","Ver imagen")</f>
        <v/>
      </c>
    </row>
    <row r="1536">
      <c r="A1536" t="inlineStr">
        <is>
          <t>NAUTICA CLASSICS</t>
        </is>
      </c>
      <c r="B1536" t="inlineStr">
        <is>
          <t>117004080</t>
        </is>
      </c>
      <c r="C1536" t="inlineStr">
        <is>
          <t>3/4 PUFFER</t>
        </is>
      </c>
      <c r="D1536" t="inlineStr">
        <is>
          <t>NSS</t>
        </is>
      </c>
      <c r="E1536" t="inlineStr">
        <is>
          <t>(en blanco)</t>
        </is>
      </c>
      <c r="F1536" t="inlineStr">
        <is>
          <t>(en blanco)</t>
        </is>
      </c>
      <c r="G1536" t="inlineStr">
        <is>
          <t>S</t>
        </is>
      </c>
      <c r="H1536" t="n">
        <v>28</v>
      </c>
      <c r="I1536" t="inlineStr">
        <is>
          <t>NAUTICA_CLASSICS_117004080_NSS_1.jpg</t>
        </is>
      </c>
      <c r="J1536" t="inlineStr">
        <is>
          <t>NAUTICA_CLASSICS_117004080_NSS_2.jpg</t>
        </is>
      </c>
      <c r="K1536" t="inlineStr">
        <is>
          <t>NAUTICA_CLASSICS_117004080_NSS_3.jpg</t>
        </is>
      </c>
      <c r="L1536">
        <f>IMAGE("file:///E:/Estudios%20y%20certificaciones/ESTUDIOS%20DE%20PROGRAMMING/PROGRAMMING/PERSONAL/PYTHON/Image_Generator_API/imagenes/NAUTICA_CLASSICS_117004080_NSS_1.jpg")</f>
        <v/>
      </c>
      <c r="M1536">
        <f>IMAGE("file:///E:/Estudios%20y%20certificaciones/ESTUDIOS%20DE%20PROGRAMMING/PROGRAMMING/PERSONAL/PYTHON/Image_Generator_API/imagenes/NAUTICA_CLASSICS_117004080_NSS_2.jpg")</f>
        <v/>
      </c>
      <c r="N1536">
        <f>IMAGE("file:///E:/Estudios%20y%20certificaciones/ESTUDIOS%20DE%20PROGRAMMING/PROGRAMMING/PERSONAL/PYTHON/Image_Generator_API/imagenes/NAUTICA_CLASSICS_117004080_NSS_3.jpg")</f>
        <v/>
      </c>
      <c r="O1536">
        <f>HYPERLINK("imagenes/NAUTICA_CLASSICS_117004080_NSS_1.jpg","Ver imagen")</f>
        <v/>
      </c>
      <c r="P1536">
        <f>HYPERLINK("imagenes/NAUTICA_CLASSICS_117004080_NSS_2.jpg","Ver imagen")</f>
        <v/>
      </c>
      <c r="Q1536">
        <f>HYPERLINK("imagenes/NAUTICA_CLASSICS_117004080_NSS_3.jpg","Ver imagen")</f>
        <v/>
      </c>
    </row>
    <row r="1537">
      <c r="A1537" t="inlineStr">
        <is>
          <t>NAUTICA CLASSICS</t>
        </is>
      </c>
      <c r="B1537" t="inlineStr">
        <is>
          <t>117004080</t>
        </is>
      </c>
      <c r="C1537" t="inlineStr">
        <is>
          <t>3/4 PUFFER</t>
        </is>
      </c>
      <c r="D1537" t="inlineStr">
        <is>
          <t>NSS</t>
        </is>
      </c>
      <c r="E1537" t="inlineStr">
        <is>
          <t>(en blanco)</t>
        </is>
      </c>
      <c r="F1537" t="inlineStr">
        <is>
          <t>(en blanco)</t>
        </is>
      </c>
      <c r="G1537" t="inlineStr">
        <is>
          <t>XL</t>
        </is>
      </c>
      <c r="H1537" t="n">
        <v>6</v>
      </c>
      <c r="I1537" t="inlineStr">
        <is>
          <t>NAUTICA_CLASSICS_117004080_NSS_1.jpg</t>
        </is>
      </c>
      <c r="J1537" t="inlineStr">
        <is>
          <t>NAUTICA_CLASSICS_117004080_NSS_2.jpg</t>
        </is>
      </c>
      <c r="K1537" t="inlineStr">
        <is>
          <t>NAUTICA_CLASSICS_117004080_NSS_3.jpg</t>
        </is>
      </c>
      <c r="L1537">
        <f>IMAGE("file:///E:/Estudios%20y%20certificaciones/ESTUDIOS%20DE%20PROGRAMMING/PROGRAMMING/PERSONAL/PYTHON/Image_Generator_API/imagenes/NAUTICA_CLASSICS_117004080_NSS_1.jpg")</f>
        <v/>
      </c>
      <c r="M1537">
        <f>IMAGE("file:///E:/Estudios%20y%20certificaciones/ESTUDIOS%20DE%20PROGRAMMING/PROGRAMMING/PERSONAL/PYTHON/Image_Generator_API/imagenes/NAUTICA_CLASSICS_117004080_NSS_2.jpg")</f>
        <v/>
      </c>
      <c r="N1537">
        <f>IMAGE("file:///E:/Estudios%20y%20certificaciones/ESTUDIOS%20DE%20PROGRAMMING/PROGRAMMING/PERSONAL/PYTHON/Image_Generator_API/imagenes/NAUTICA_CLASSICS_117004080_NSS_3.jpg")</f>
        <v/>
      </c>
      <c r="O1537">
        <f>HYPERLINK("imagenes/NAUTICA_CLASSICS_117004080_NSS_1.jpg","Ver imagen")</f>
        <v/>
      </c>
      <c r="P1537">
        <f>HYPERLINK("imagenes/NAUTICA_CLASSICS_117004080_NSS_2.jpg","Ver imagen")</f>
        <v/>
      </c>
      <c r="Q1537">
        <f>HYPERLINK("imagenes/NAUTICA_CLASSICS_117004080_NSS_3.jpg","Ver imagen")</f>
        <v/>
      </c>
    </row>
    <row r="1538">
      <c r="A1538" t="inlineStr">
        <is>
          <t>NAUTICA CLASSICS</t>
        </is>
      </c>
      <c r="B1538" t="inlineStr">
        <is>
          <t>117004080</t>
        </is>
      </c>
      <c r="C1538" t="inlineStr">
        <is>
          <t>3/4 PUFFER</t>
        </is>
      </c>
      <c r="D1538" t="inlineStr">
        <is>
          <t>R0S</t>
        </is>
      </c>
      <c r="E1538" t="inlineStr">
        <is>
          <t>(en blanco)</t>
        </is>
      </c>
      <c r="F1538" t="inlineStr">
        <is>
          <t>(en blanco)</t>
        </is>
      </c>
      <c r="G1538" t="inlineStr">
        <is>
          <t>S</t>
        </is>
      </c>
      <c r="H1538" t="n">
        <v>10</v>
      </c>
      <c r="I1538" t="inlineStr">
        <is>
          <t>NAUTICA_CLASSICS_117004080_R0S_1.jpg</t>
        </is>
      </c>
      <c r="J1538" t="inlineStr">
        <is>
          <t>NAUTICA_CLASSICS_117004080_R0S_2.jpg</t>
        </is>
      </c>
      <c r="K1538" t="inlineStr">
        <is>
          <t>NAUTICA_CLASSICS_117004080_R0S_3.jpg</t>
        </is>
      </c>
      <c r="L1538">
        <f>IMAGE("file:///E:/Estudios%20y%20certificaciones/ESTUDIOS%20DE%20PROGRAMMING/PROGRAMMING/PERSONAL/PYTHON/Image_Generator_API/imagenes/NAUTICA_CLASSICS_117004080_R0S_1.jpg")</f>
        <v/>
      </c>
      <c r="M1538">
        <f>IMAGE("file:///E:/Estudios%20y%20certificaciones/ESTUDIOS%20DE%20PROGRAMMING/PROGRAMMING/PERSONAL/PYTHON/Image_Generator_API/imagenes/NAUTICA_CLASSICS_117004080_R0S_2.jpg")</f>
        <v/>
      </c>
      <c r="N1538">
        <f>IMAGE("file:///E:/Estudios%20y%20certificaciones/ESTUDIOS%20DE%20PROGRAMMING/PROGRAMMING/PERSONAL/PYTHON/Image_Generator_API/imagenes/NAUTICA_CLASSICS_117004080_R0S_3.jpg")</f>
        <v/>
      </c>
      <c r="O1538">
        <f>HYPERLINK("imagenes/NAUTICA_CLASSICS_117004080_R0S_1.jpg","Ver imagen")</f>
        <v/>
      </c>
      <c r="P1538">
        <f>HYPERLINK("imagenes/NAUTICA_CLASSICS_117004080_R0S_2.jpg","Ver imagen")</f>
        <v/>
      </c>
      <c r="Q1538">
        <f>HYPERLINK("imagenes/NAUTICA_CLASSICS_117004080_R0S_3.jpg","Ver imagen")</f>
        <v/>
      </c>
    </row>
    <row r="1539">
      <c r="A1539" t="inlineStr">
        <is>
          <t>NAUTICA CLASSICS</t>
        </is>
      </c>
      <c r="B1539" t="inlineStr">
        <is>
          <t>117004080</t>
        </is>
      </c>
      <c r="C1539" t="inlineStr">
        <is>
          <t>3/4 PUFFER</t>
        </is>
      </c>
      <c r="D1539" t="inlineStr">
        <is>
          <t>R0S</t>
        </is>
      </c>
      <c r="E1539" t="inlineStr">
        <is>
          <t>(en blanco)</t>
        </is>
      </c>
      <c r="F1539" t="inlineStr">
        <is>
          <t>(en blanco)</t>
        </is>
      </c>
      <c r="G1539" t="inlineStr">
        <is>
          <t>M</t>
        </is>
      </c>
      <c r="H1539" t="n">
        <v>10</v>
      </c>
      <c r="I1539" t="inlineStr">
        <is>
          <t>NAUTICA_CLASSICS_117004080_R0S_1.jpg</t>
        </is>
      </c>
      <c r="J1539" t="inlineStr">
        <is>
          <t>NAUTICA_CLASSICS_117004080_R0S_2.jpg</t>
        </is>
      </c>
      <c r="K1539" t="inlineStr">
        <is>
          <t>NAUTICA_CLASSICS_117004080_R0S_3.jpg</t>
        </is>
      </c>
      <c r="L1539">
        <f>IMAGE("file:///E:/Estudios%20y%20certificaciones/ESTUDIOS%20DE%20PROGRAMMING/PROGRAMMING/PERSONAL/PYTHON/Image_Generator_API/imagenes/NAUTICA_CLASSICS_117004080_R0S_1.jpg")</f>
        <v/>
      </c>
      <c r="M1539">
        <f>IMAGE("file:///E:/Estudios%20y%20certificaciones/ESTUDIOS%20DE%20PROGRAMMING/PROGRAMMING/PERSONAL/PYTHON/Image_Generator_API/imagenes/NAUTICA_CLASSICS_117004080_R0S_2.jpg")</f>
        <v/>
      </c>
      <c r="N1539">
        <f>IMAGE("file:///E:/Estudios%20y%20certificaciones/ESTUDIOS%20DE%20PROGRAMMING/PROGRAMMING/PERSONAL/PYTHON/Image_Generator_API/imagenes/NAUTICA_CLASSICS_117004080_R0S_3.jpg")</f>
        <v/>
      </c>
      <c r="O1539">
        <f>HYPERLINK("imagenes/NAUTICA_CLASSICS_117004080_R0S_1.jpg","Ver imagen")</f>
        <v/>
      </c>
      <c r="P1539">
        <f>HYPERLINK("imagenes/NAUTICA_CLASSICS_117004080_R0S_2.jpg","Ver imagen")</f>
        <v/>
      </c>
      <c r="Q1539">
        <f>HYPERLINK("imagenes/NAUTICA_CLASSICS_117004080_R0S_3.jpg","Ver imagen")</f>
        <v/>
      </c>
    </row>
    <row r="1540">
      <c r="A1540" t="inlineStr">
        <is>
          <t>NAUTICA CLASSICS</t>
        </is>
      </c>
      <c r="B1540" t="inlineStr">
        <is>
          <t>117004080</t>
        </is>
      </c>
      <c r="C1540" t="inlineStr">
        <is>
          <t>3/4 PUFFER</t>
        </is>
      </c>
      <c r="D1540" t="inlineStr">
        <is>
          <t>R0S</t>
        </is>
      </c>
      <c r="E1540" t="inlineStr">
        <is>
          <t>(en blanco)</t>
        </is>
      </c>
      <c r="F1540" t="inlineStr">
        <is>
          <t>(en blanco)</t>
        </is>
      </c>
      <c r="G1540" t="inlineStr">
        <is>
          <t>L</t>
        </is>
      </c>
      <c r="H1540" t="n">
        <v>12</v>
      </c>
      <c r="I1540" t="inlineStr">
        <is>
          <t>NAUTICA_CLASSICS_117004080_R0S_1.jpg</t>
        </is>
      </c>
      <c r="J1540" t="inlineStr">
        <is>
          <t>NAUTICA_CLASSICS_117004080_R0S_2.jpg</t>
        </is>
      </c>
      <c r="K1540" t="inlineStr">
        <is>
          <t>NAUTICA_CLASSICS_117004080_R0S_3.jpg</t>
        </is>
      </c>
      <c r="L1540">
        <f>IMAGE("file:///E:/Estudios%20y%20certificaciones/ESTUDIOS%20DE%20PROGRAMMING/PROGRAMMING/PERSONAL/PYTHON/Image_Generator_API/imagenes/NAUTICA_CLASSICS_117004080_R0S_1.jpg")</f>
        <v/>
      </c>
      <c r="M1540">
        <f>IMAGE("file:///E:/Estudios%20y%20certificaciones/ESTUDIOS%20DE%20PROGRAMMING/PROGRAMMING/PERSONAL/PYTHON/Image_Generator_API/imagenes/NAUTICA_CLASSICS_117004080_R0S_2.jpg")</f>
        <v/>
      </c>
      <c r="N1540">
        <f>IMAGE("file:///E:/Estudios%20y%20certificaciones/ESTUDIOS%20DE%20PROGRAMMING/PROGRAMMING/PERSONAL/PYTHON/Image_Generator_API/imagenes/NAUTICA_CLASSICS_117004080_R0S_3.jpg")</f>
        <v/>
      </c>
      <c r="O1540">
        <f>HYPERLINK("imagenes/NAUTICA_CLASSICS_117004080_R0S_1.jpg","Ver imagen")</f>
        <v/>
      </c>
      <c r="P1540">
        <f>HYPERLINK("imagenes/NAUTICA_CLASSICS_117004080_R0S_2.jpg","Ver imagen")</f>
        <v/>
      </c>
      <c r="Q1540">
        <f>HYPERLINK("imagenes/NAUTICA_CLASSICS_117004080_R0S_3.jpg","Ver imagen")</f>
        <v/>
      </c>
    </row>
    <row r="1541">
      <c r="A1541" t="inlineStr">
        <is>
          <t>NAUTICA CLASSICS</t>
        </is>
      </c>
      <c r="B1541" t="inlineStr">
        <is>
          <t>117004080</t>
        </is>
      </c>
      <c r="C1541" t="inlineStr">
        <is>
          <t>3/4 PUFFER</t>
        </is>
      </c>
      <c r="D1541" t="inlineStr">
        <is>
          <t>R0S</t>
        </is>
      </c>
      <c r="E1541" t="inlineStr">
        <is>
          <t>(en blanco)</t>
        </is>
      </c>
      <c r="F1541" t="inlineStr">
        <is>
          <t>(en blanco)</t>
        </is>
      </c>
      <c r="G1541" t="inlineStr">
        <is>
          <t>XL</t>
        </is>
      </c>
      <c r="H1541" t="n">
        <v>11</v>
      </c>
      <c r="I1541" t="inlineStr">
        <is>
          <t>NAUTICA_CLASSICS_117004080_R0S_1.jpg</t>
        </is>
      </c>
      <c r="J1541" t="inlineStr">
        <is>
          <t>NAUTICA_CLASSICS_117004080_R0S_2.jpg</t>
        </is>
      </c>
      <c r="K1541" t="inlineStr">
        <is>
          <t>NAUTICA_CLASSICS_117004080_R0S_3.jpg</t>
        </is>
      </c>
      <c r="L1541">
        <f>IMAGE("file:///E:/Estudios%20y%20certificaciones/ESTUDIOS%20DE%20PROGRAMMING/PROGRAMMING/PERSONAL/PYTHON/Image_Generator_API/imagenes/NAUTICA_CLASSICS_117004080_R0S_1.jpg")</f>
        <v/>
      </c>
      <c r="M1541">
        <f>IMAGE("file:///E:/Estudios%20y%20certificaciones/ESTUDIOS%20DE%20PROGRAMMING/PROGRAMMING/PERSONAL/PYTHON/Image_Generator_API/imagenes/NAUTICA_CLASSICS_117004080_R0S_2.jpg")</f>
        <v/>
      </c>
      <c r="N1541">
        <f>IMAGE("file:///E:/Estudios%20y%20certificaciones/ESTUDIOS%20DE%20PROGRAMMING/PROGRAMMING/PERSONAL/PYTHON/Image_Generator_API/imagenes/NAUTICA_CLASSICS_117004080_R0S_3.jpg")</f>
        <v/>
      </c>
      <c r="O1541">
        <f>HYPERLINK("imagenes/NAUTICA_CLASSICS_117004080_R0S_1.jpg","Ver imagen")</f>
        <v/>
      </c>
      <c r="P1541">
        <f>HYPERLINK("imagenes/NAUTICA_CLASSICS_117004080_R0S_2.jpg","Ver imagen")</f>
        <v/>
      </c>
      <c r="Q1541">
        <f>HYPERLINK("imagenes/NAUTICA_CLASSICS_117004080_R0S_3.jpg","Ver imagen")</f>
        <v/>
      </c>
    </row>
    <row r="1542">
      <c r="A1542" t="inlineStr">
        <is>
          <t>NAUTICA CLASSICS</t>
        </is>
      </c>
      <c r="B1542" t="inlineStr">
        <is>
          <t>117004082</t>
        </is>
      </c>
      <c r="C1542" t="inlineStr">
        <is>
          <t>soft mist puffer</t>
        </is>
      </c>
      <c r="D1542" t="inlineStr">
        <is>
          <t>BLK</t>
        </is>
      </c>
      <c r="E1542" t="inlineStr">
        <is>
          <t>(en blanco)</t>
        </is>
      </c>
      <c r="F1542" t="inlineStr">
        <is>
          <t>(en blanco)</t>
        </is>
      </c>
      <c r="G1542" t="inlineStr">
        <is>
          <t>XS</t>
        </is>
      </c>
      <c r="H1542" t="n">
        <v>8</v>
      </c>
      <c r="I1542" t="inlineStr">
        <is>
          <t>NAUTICA_CLASSICS_117004082_BLK_1.jpg</t>
        </is>
      </c>
      <c r="J1542" t="inlineStr">
        <is>
          <t>NAUTICA_CLASSICS_117004082_BLK_2.jpg</t>
        </is>
      </c>
      <c r="K1542" t="inlineStr">
        <is>
          <t>NAUTICA_CLASSICS_117004082_BLK_3.jpg</t>
        </is>
      </c>
      <c r="L1542">
        <f>IMAGE("file:///E:/Estudios%20y%20certificaciones/ESTUDIOS%20DE%20PROGRAMMING/PROGRAMMING/PERSONAL/PYTHON/Image_Generator_API/imagenes/NAUTICA_CLASSICS_117004082_BLK_1.jpg")</f>
        <v/>
      </c>
      <c r="M1542">
        <f>IMAGE("file:///E:/Estudios%20y%20certificaciones/ESTUDIOS%20DE%20PROGRAMMING/PROGRAMMING/PERSONAL/PYTHON/Image_Generator_API/imagenes/NAUTICA_CLASSICS_117004082_BLK_2.jpg")</f>
        <v/>
      </c>
      <c r="N1542">
        <f>IMAGE("file:///E:/Estudios%20y%20certificaciones/ESTUDIOS%20DE%20PROGRAMMING/PROGRAMMING/PERSONAL/PYTHON/Image_Generator_API/imagenes/NAUTICA_CLASSICS_117004082_BLK_3.jpg")</f>
        <v/>
      </c>
      <c r="O1542">
        <f>HYPERLINK("imagenes/NAUTICA_CLASSICS_117004082_BLK_1.jpg","Ver imagen")</f>
        <v/>
      </c>
      <c r="P1542">
        <f>HYPERLINK("imagenes/NAUTICA_CLASSICS_117004082_BLK_2.jpg","Ver imagen")</f>
        <v/>
      </c>
      <c r="Q1542">
        <f>HYPERLINK("imagenes/NAUTICA_CLASSICS_117004082_BLK_3.jpg","Ver imagen")</f>
        <v/>
      </c>
    </row>
    <row r="1543">
      <c r="A1543" t="inlineStr">
        <is>
          <t>NAUTICA CLASSICS</t>
        </is>
      </c>
      <c r="B1543" t="inlineStr">
        <is>
          <t>117004082</t>
        </is>
      </c>
      <c r="C1543" t="inlineStr">
        <is>
          <t>soft mist puffer</t>
        </is>
      </c>
      <c r="D1543" t="inlineStr">
        <is>
          <t>BLK</t>
        </is>
      </c>
      <c r="E1543" t="inlineStr">
        <is>
          <t>(en blanco)</t>
        </is>
      </c>
      <c r="F1543" t="inlineStr">
        <is>
          <t>(en blanco)</t>
        </is>
      </c>
      <c r="G1543" t="inlineStr">
        <is>
          <t>S</t>
        </is>
      </c>
      <c r="H1543" t="n">
        <v>3</v>
      </c>
      <c r="I1543" t="inlineStr">
        <is>
          <t>NAUTICA_CLASSICS_117004082_BLK_1.jpg</t>
        </is>
      </c>
      <c r="J1543" t="inlineStr">
        <is>
          <t>NAUTICA_CLASSICS_117004082_BLK_2.jpg</t>
        </is>
      </c>
      <c r="K1543" t="inlineStr">
        <is>
          <t>NAUTICA_CLASSICS_117004082_BLK_3.jpg</t>
        </is>
      </c>
      <c r="L1543">
        <f>IMAGE("file:///E:/Estudios%20y%20certificaciones/ESTUDIOS%20DE%20PROGRAMMING/PROGRAMMING/PERSONAL/PYTHON/Image_Generator_API/imagenes/NAUTICA_CLASSICS_117004082_BLK_1.jpg")</f>
        <v/>
      </c>
      <c r="M1543">
        <f>IMAGE("file:///E:/Estudios%20y%20certificaciones/ESTUDIOS%20DE%20PROGRAMMING/PROGRAMMING/PERSONAL/PYTHON/Image_Generator_API/imagenes/NAUTICA_CLASSICS_117004082_BLK_2.jpg")</f>
        <v/>
      </c>
      <c r="N1543">
        <f>IMAGE("file:///E:/Estudios%20y%20certificaciones/ESTUDIOS%20DE%20PROGRAMMING/PROGRAMMING/PERSONAL/PYTHON/Image_Generator_API/imagenes/NAUTICA_CLASSICS_117004082_BLK_3.jpg")</f>
        <v/>
      </c>
      <c r="O1543">
        <f>HYPERLINK("imagenes/NAUTICA_CLASSICS_117004082_BLK_1.jpg","Ver imagen")</f>
        <v/>
      </c>
      <c r="P1543">
        <f>HYPERLINK("imagenes/NAUTICA_CLASSICS_117004082_BLK_2.jpg","Ver imagen")</f>
        <v/>
      </c>
      <c r="Q1543">
        <f>HYPERLINK("imagenes/NAUTICA_CLASSICS_117004082_BLK_3.jpg","Ver imagen")</f>
        <v/>
      </c>
    </row>
    <row r="1544">
      <c r="A1544" t="inlineStr">
        <is>
          <t>NAUTICA CLASSICS</t>
        </is>
      </c>
      <c r="B1544" t="inlineStr">
        <is>
          <t>117004082</t>
        </is>
      </c>
      <c r="C1544" t="inlineStr">
        <is>
          <t>soft mist puffer</t>
        </is>
      </c>
      <c r="D1544" t="inlineStr">
        <is>
          <t>BLK</t>
        </is>
      </c>
      <c r="E1544" t="inlineStr">
        <is>
          <t>(en blanco)</t>
        </is>
      </c>
      <c r="F1544" t="inlineStr">
        <is>
          <t>(en blanco)</t>
        </is>
      </c>
      <c r="G1544" t="inlineStr">
        <is>
          <t>M</t>
        </is>
      </c>
      <c r="H1544" t="n">
        <v>1</v>
      </c>
      <c r="I1544" t="inlineStr">
        <is>
          <t>NAUTICA_CLASSICS_117004082_BLK_1.jpg</t>
        </is>
      </c>
      <c r="J1544" t="inlineStr">
        <is>
          <t>NAUTICA_CLASSICS_117004082_BLK_2.jpg</t>
        </is>
      </c>
      <c r="K1544" t="inlineStr">
        <is>
          <t>NAUTICA_CLASSICS_117004082_BLK_3.jpg</t>
        </is>
      </c>
      <c r="L1544">
        <f>IMAGE("file:///E:/Estudios%20y%20certificaciones/ESTUDIOS%20DE%20PROGRAMMING/PROGRAMMING/PERSONAL/PYTHON/Image_Generator_API/imagenes/NAUTICA_CLASSICS_117004082_BLK_1.jpg")</f>
        <v/>
      </c>
      <c r="M1544">
        <f>IMAGE("file:///E:/Estudios%20y%20certificaciones/ESTUDIOS%20DE%20PROGRAMMING/PROGRAMMING/PERSONAL/PYTHON/Image_Generator_API/imagenes/NAUTICA_CLASSICS_117004082_BLK_2.jpg")</f>
        <v/>
      </c>
      <c r="N1544">
        <f>IMAGE("file:///E:/Estudios%20y%20certificaciones/ESTUDIOS%20DE%20PROGRAMMING/PROGRAMMING/PERSONAL/PYTHON/Image_Generator_API/imagenes/NAUTICA_CLASSICS_117004082_BLK_3.jpg")</f>
        <v/>
      </c>
      <c r="O1544">
        <f>HYPERLINK("imagenes/NAUTICA_CLASSICS_117004082_BLK_1.jpg","Ver imagen")</f>
        <v/>
      </c>
      <c r="P1544">
        <f>HYPERLINK("imagenes/NAUTICA_CLASSICS_117004082_BLK_2.jpg","Ver imagen")</f>
        <v/>
      </c>
      <c r="Q1544">
        <f>HYPERLINK("imagenes/NAUTICA_CLASSICS_117004082_BLK_3.jpg","Ver imagen")</f>
        <v/>
      </c>
    </row>
    <row r="1545">
      <c r="A1545" t="inlineStr">
        <is>
          <t>NAUTICA CLASSICS</t>
        </is>
      </c>
      <c r="B1545" t="inlineStr">
        <is>
          <t>117004082</t>
        </is>
      </c>
      <c r="C1545" t="inlineStr">
        <is>
          <t>soft mist puffer</t>
        </is>
      </c>
      <c r="D1545" t="inlineStr">
        <is>
          <t>BUE</t>
        </is>
      </c>
      <c r="E1545" t="inlineStr">
        <is>
          <t>(en blanco)</t>
        </is>
      </c>
      <c r="F1545" t="inlineStr">
        <is>
          <t>(en blanco)</t>
        </is>
      </c>
      <c r="G1545" t="inlineStr">
        <is>
          <t>S</t>
        </is>
      </c>
      <c r="H1545" t="n">
        <v>13</v>
      </c>
      <c r="I1545" t="inlineStr">
        <is>
          <t>NAUTICA_CLASSICS_117004082_BUE_1.jpg</t>
        </is>
      </c>
      <c r="J1545" t="inlineStr">
        <is>
          <t>NAUTICA_CLASSICS_117004082_BUE_2.jpg</t>
        </is>
      </c>
      <c r="K1545" t="inlineStr">
        <is>
          <t>NAUTICA_CLASSICS_117004082_BUE_3.jpg</t>
        </is>
      </c>
      <c r="L1545">
        <f>IMAGE("file:///E:/Estudios%20y%20certificaciones/ESTUDIOS%20DE%20PROGRAMMING/PROGRAMMING/PERSONAL/PYTHON/Image_Generator_API/imagenes/NAUTICA_CLASSICS_117004082_BUE_1.jpg")</f>
        <v/>
      </c>
      <c r="M1545">
        <f>IMAGE("file:///E:/Estudios%20y%20certificaciones/ESTUDIOS%20DE%20PROGRAMMING/PROGRAMMING/PERSONAL/PYTHON/Image_Generator_API/imagenes/NAUTICA_CLASSICS_117004082_BUE_2.jpg")</f>
        <v/>
      </c>
      <c r="N1545">
        <f>IMAGE("file:///E:/Estudios%20y%20certificaciones/ESTUDIOS%20DE%20PROGRAMMING/PROGRAMMING/PERSONAL/PYTHON/Image_Generator_API/imagenes/NAUTICA_CLASSICS_117004082_BUE_3.jpg")</f>
        <v/>
      </c>
      <c r="O1545">
        <f>HYPERLINK("imagenes/NAUTICA_CLASSICS_117004082_BUE_1.jpg","Ver imagen")</f>
        <v/>
      </c>
      <c r="P1545">
        <f>HYPERLINK("imagenes/NAUTICA_CLASSICS_117004082_BUE_2.jpg","Ver imagen")</f>
        <v/>
      </c>
      <c r="Q1545">
        <f>HYPERLINK("imagenes/NAUTICA_CLASSICS_117004082_BUE_3.jpg","Ver imagen")</f>
        <v/>
      </c>
    </row>
    <row r="1546">
      <c r="A1546" t="inlineStr">
        <is>
          <t>NAUTICA CLASSICS</t>
        </is>
      </c>
      <c r="B1546" t="inlineStr">
        <is>
          <t>117004082</t>
        </is>
      </c>
      <c r="C1546" t="inlineStr">
        <is>
          <t>soft mist puffer</t>
        </is>
      </c>
      <c r="D1546" t="inlineStr">
        <is>
          <t>BUE</t>
        </is>
      </c>
      <c r="E1546" t="inlineStr">
        <is>
          <t>(en blanco)</t>
        </is>
      </c>
      <c r="F1546" t="inlineStr">
        <is>
          <t>(en blanco)</t>
        </is>
      </c>
      <c r="G1546" t="inlineStr">
        <is>
          <t>M</t>
        </is>
      </c>
      <c r="H1546" t="n">
        <v>6</v>
      </c>
      <c r="I1546" t="inlineStr">
        <is>
          <t>NAUTICA_CLASSICS_117004082_BUE_1.jpg</t>
        </is>
      </c>
      <c r="J1546" t="inlineStr">
        <is>
          <t>NAUTICA_CLASSICS_117004082_BUE_2.jpg</t>
        </is>
      </c>
      <c r="K1546" t="inlineStr">
        <is>
          <t>NAUTICA_CLASSICS_117004082_BUE_3.jpg</t>
        </is>
      </c>
      <c r="L1546">
        <f>IMAGE("file:///E:/Estudios%20y%20certificaciones/ESTUDIOS%20DE%20PROGRAMMING/PROGRAMMING/PERSONAL/PYTHON/Image_Generator_API/imagenes/NAUTICA_CLASSICS_117004082_BUE_1.jpg")</f>
        <v/>
      </c>
      <c r="M1546">
        <f>IMAGE("file:///E:/Estudios%20y%20certificaciones/ESTUDIOS%20DE%20PROGRAMMING/PROGRAMMING/PERSONAL/PYTHON/Image_Generator_API/imagenes/NAUTICA_CLASSICS_117004082_BUE_2.jpg")</f>
        <v/>
      </c>
      <c r="N1546">
        <f>IMAGE("file:///E:/Estudios%20y%20certificaciones/ESTUDIOS%20DE%20PROGRAMMING/PROGRAMMING/PERSONAL/PYTHON/Image_Generator_API/imagenes/NAUTICA_CLASSICS_117004082_BUE_3.jpg")</f>
        <v/>
      </c>
      <c r="O1546">
        <f>HYPERLINK("imagenes/NAUTICA_CLASSICS_117004082_BUE_1.jpg","Ver imagen")</f>
        <v/>
      </c>
      <c r="P1546">
        <f>HYPERLINK("imagenes/NAUTICA_CLASSICS_117004082_BUE_2.jpg","Ver imagen")</f>
        <v/>
      </c>
      <c r="Q1546">
        <f>HYPERLINK("imagenes/NAUTICA_CLASSICS_117004082_BUE_3.jpg","Ver imagen")</f>
        <v/>
      </c>
    </row>
    <row r="1547">
      <c r="A1547" t="inlineStr">
        <is>
          <t>NAUTICA CLASSICS</t>
        </is>
      </c>
      <c r="B1547" t="inlineStr">
        <is>
          <t>117004082</t>
        </is>
      </c>
      <c r="C1547" t="inlineStr">
        <is>
          <t>soft mist puffer</t>
        </is>
      </c>
      <c r="D1547" t="inlineStr">
        <is>
          <t>BUE</t>
        </is>
      </c>
      <c r="E1547" t="inlineStr">
        <is>
          <t>(en blanco)</t>
        </is>
      </c>
      <c r="F1547" t="inlineStr">
        <is>
          <t>(en blanco)</t>
        </is>
      </c>
      <c r="G1547" t="inlineStr">
        <is>
          <t>L</t>
        </is>
      </c>
      <c r="H1547" t="n">
        <v>4</v>
      </c>
      <c r="I1547" t="inlineStr">
        <is>
          <t>NAUTICA_CLASSICS_117004082_BUE_1.jpg</t>
        </is>
      </c>
      <c r="J1547" t="inlineStr">
        <is>
          <t>NAUTICA_CLASSICS_117004082_BUE_2.jpg</t>
        </is>
      </c>
      <c r="K1547" t="inlineStr">
        <is>
          <t>NAUTICA_CLASSICS_117004082_BUE_3.jpg</t>
        </is>
      </c>
      <c r="L1547">
        <f>IMAGE("file:///E:/Estudios%20y%20certificaciones/ESTUDIOS%20DE%20PROGRAMMING/PROGRAMMING/PERSONAL/PYTHON/Image_Generator_API/imagenes/NAUTICA_CLASSICS_117004082_BUE_1.jpg")</f>
        <v/>
      </c>
      <c r="M1547">
        <f>IMAGE("file:///E:/Estudios%20y%20certificaciones/ESTUDIOS%20DE%20PROGRAMMING/PROGRAMMING/PERSONAL/PYTHON/Image_Generator_API/imagenes/NAUTICA_CLASSICS_117004082_BUE_2.jpg")</f>
        <v/>
      </c>
      <c r="N1547">
        <f>IMAGE("file:///E:/Estudios%20y%20certificaciones/ESTUDIOS%20DE%20PROGRAMMING/PROGRAMMING/PERSONAL/PYTHON/Image_Generator_API/imagenes/NAUTICA_CLASSICS_117004082_BUE_3.jpg")</f>
        <v/>
      </c>
      <c r="O1547">
        <f>HYPERLINK("imagenes/NAUTICA_CLASSICS_117004082_BUE_1.jpg","Ver imagen")</f>
        <v/>
      </c>
      <c r="P1547">
        <f>HYPERLINK("imagenes/NAUTICA_CLASSICS_117004082_BUE_2.jpg","Ver imagen")</f>
        <v/>
      </c>
      <c r="Q1547">
        <f>HYPERLINK("imagenes/NAUTICA_CLASSICS_117004082_BUE_3.jpg","Ver imagen")</f>
        <v/>
      </c>
    </row>
    <row r="1548">
      <c r="A1548" t="inlineStr">
        <is>
          <t>NAUTICA CLASSICS</t>
        </is>
      </c>
      <c r="B1548" t="inlineStr">
        <is>
          <t>117004093</t>
        </is>
      </c>
      <c r="C1548" t="inlineStr">
        <is>
          <t>soft mist puffer</t>
        </is>
      </c>
      <c r="D1548" t="inlineStr">
        <is>
          <t>BLK</t>
        </is>
      </c>
      <c r="E1548" t="inlineStr">
        <is>
          <t>07A08</t>
        </is>
      </c>
      <c r="F1548" t="inlineStr">
        <is>
          <t>B2230</t>
        </is>
      </c>
      <c r="G1548" t="inlineStr">
        <is>
          <t>PPK</t>
        </is>
      </c>
      <c r="H1548" t="n">
        <v>0</v>
      </c>
      <c r="I1548" t="inlineStr">
        <is>
          <t>NAUTICA_CLASSICS_117004093_BLK_1.jpg</t>
        </is>
      </c>
      <c r="J1548" t="inlineStr">
        <is>
          <t>NAUTICA_CLASSICS_117004093_BLK_2.jpg</t>
        </is>
      </c>
      <c r="K1548" t="inlineStr">
        <is>
          <t>NAUTICA_CLASSICS_117004093_BLK_3.jpg</t>
        </is>
      </c>
      <c r="L1548">
        <f>IMAGE("file:///E:/Estudios%20y%20certificaciones/ESTUDIOS%20DE%20PROGRAMMING/PROGRAMMING/PERSONAL/PYTHON/Image_Generator_API/imagenes/NAUTICA_CLASSICS_117004093_BLK_1.jpg")</f>
        <v/>
      </c>
      <c r="M1548">
        <f>IMAGE("file:///E:/Estudios%20y%20certificaciones/ESTUDIOS%20DE%20PROGRAMMING/PROGRAMMING/PERSONAL/PYTHON/Image_Generator_API/imagenes/NAUTICA_CLASSICS_117004093_BLK_2.jpg")</f>
        <v/>
      </c>
      <c r="N1548">
        <f>IMAGE("file:///E:/Estudios%20y%20certificaciones/ESTUDIOS%20DE%20PROGRAMMING/PROGRAMMING/PERSONAL/PYTHON/Image_Generator_API/imagenes/NAUTICA_CLASSICS_117004093_BLK_3.jpg")</f>
        <v/>
      </c>
      <c r="O1548">
        <f>HYPERLINK("imagenes/NAUTICA_CLASSICS_117004093_BLK_1.jpg","Ver imagen")</f>
        <v/>
      </c>
      <c r="P1548">
        <f>HYPERLINK("imagenes/NAUTICA_CLASSICS_117004093_BLK_2.jpg","Ver imagen")</f>
        <v/>
      </c>
      <c r="Q1548">
        <f>HYPERLINK("imagenes/NAUTICA_CLASSICS_117004093_BLK_3.jpg","Ver imagen")</f>
        <v/>
      </c>
    </row>
    <row r="1549">
      <c r="A1549" t="inlineStr">
        <is>
          <t>NAUTICA CLASSICS</t>
        </is>
      </c>
      <c r="B1549" t="inlineStr">
        <is>
          <t>117004093</t>
        </is>
      </c>
      <c r="C1549" t="inlineStr">
        <is>
          <t>soft mist puffer</t>
        </is>
      </c>
      <c r="D1549" t="inlineStr">
        <is>
          <t>BLK</t>
        </is>
      </c>
      <c r="E1549" t="inlineStr">
        <is>
          <t>08A05</t>
        </is>
      </c>
      <c r="F1549" t="inlineStr">
        <is>
          <t>(en blanco)</t>
        </is>
      </c>
      <c r="G1549" t="inlineStr">
        <is>
          <t>PPK</t>
        </is>
      </c>
      <c r="H1549" t="n">
        <v>1432</v>
      </c>
      <c r="I1549" t="inlineStr">
        <is>
          <t>NAUTICA_CLASSICS_117004093_BLK_1.jpg</t>
        </is>
      </c>
      <c r="J1549" t="inlineStr">
        <is>
          <t>NAUTICA_CLASSICS_117004093_BLK_2.jpg</t>
        </is>
      </c>
      <c r="K1549" t="inlineStr">
        <is>
          <t>NAUTICA_CLASSICS_117004093_BLK_3.jpg</t>
        </is>
      </c>
      <c r="L1549">
        <f>IMAGE("file:///E:/Estudios%20y%20certificaciones/ESTUDIOS%20DE%20PROGRAMMING/PROGRAMMING/PERSONAL/PYTHON/Image_Generator_API/imagenes/NAUTICA_CLASSICS_117004093_BLK_1.jpg")</f>
        <v/>
      </c>
      <c r="M1549">
        <f>IMAGE("file:///E:/Estudios%20y%20certificaciones/ESTUDIOS%20DE%20PROGRAMMING/PROGRAMMING/PERSONAL/PYTHON/Image_Generator_API/imagenes/NAUTICA_CLASSICS_117004093_BLK_2.jpg")</f>
        <v/>
      </c>
      <c r="N1549">
        <f>IMAGE("file:///E:/Estudios%20y%20certificaciones/ESTUDIOS%20DE%20PROGRAMMING/PROGRAMMING/PERSONAL/PYTHON/Image_Generator_API/imagenes/NAUTICA_CLASSICS_117004093_BLK_3.jpg")</f>
        <v/>
      </c>
      <c r="O1549">
        <f>HYPERLINK("imagenes/NAUTICA_CLASSICS_117004093_BLK_1.jpg","Ver imagen")</f>
        <v/>
      </c>
      <c r="P1549">
        <f>HYPERLINK("imagenes/NAUTICA_CLASSICS_117004093_BLK_2.jpg","Ver imagen")</f>
        <v/>
      </c>
      <c r="Q1549">
        <f>HYPERLINK("imagenes/NAUTICA_CLASSICS_117004093_BLK_3.jpg","Ver imagen")</f>
        <v/>
      </c>
    </row>
    <row r="1550">
      <c r="A1550" t="inlineStr">
        <is>
          <t>NAUTICA CLASSICS</t>
        </is>
      </c>
      <c r="B1550" t="inlineStr">
        <is>
          <t>117004093</t>
        </is>
      </c>
      <c r="C1550" t="inlineStr">
        <is>
          <t>soft mist puffer</t>
        </is>
      </c>
      <c r="D1550" t="inlineStr">
        <is>
          <t>BLK</t>
        </is>
      </c>
      <c r="E1550" t="inlineStr">
        <is>
          <t>(en blanco)</t>
        </is>
      </c>
      <c r="F1550" t="inlineStr">
        <is>
          <t>D2C</t>
        </is>
      </c>
      <c r="G1550" t="inlineStr">
        <is>
          <t>XS</t>
        </is>
      </c>
      <c r="H1550" t="n">
        <v>7</v>
      </c>
      <c r="I1550" t="inlineStr">
        <is>
          <t>NAUTICA_CLASSICS_117004093_BLK_1.jpg</t>
        </is>
      </c>
      <c r="J1550" t="inlineStr">
        <is>
          <t>NAUTICA_CLASSICS_117004093_BLK_2.jpg</t>
        </is>
      </c>
      <c r="K1550" t="inlineStr">
        <is>
          <t>NAUTICA_CLASSICS_117004093_BLK_3.jpg</t>
        </is>
      </c>
      <c r="L1550">
        <f>IMAGE("file:///E:/Estudios%20y%20certificaciones/ESTUDIOS%20DE%20PROGRAMMING/PROGRAMMING/PERSONAL/PYTHON/Image_Generator_API/imagenes/NAUTICA_CLASSICS_117004093_BLK_1.jpg")</f>
        <v/>
      </c>
      <c r="M1550">
        <f>IMAGE("file:///E:/Estudios%20y%20certificaciones/ESTUDIOS%20DE%20PROGRAMMING/PROGRAMMING/PERSONAL/PYTHON/Image_Generator_API/imagenes/NAUTICA_CLASSICS_117004093_BLK_2.jpg")</f>
        <v/>
      </c>
      <c r="N1550">
        <f>IMAGE("file:///E:/Estudios%20y%20certificaciones/ESTUDIOS%20DE%20PROGRAMMING/PROGRAMMING/PERSONAL/PYTHON/Image_Generator_API/imagenes/NAUTICA_CLASSICS_117004093_BLK_3.jpg")</f>
        <v/>
      </c>
      <c r="O1550">
        <f>HYPERLINK("imagenes/NAUTICA_CLASSICS_117004093_BLK_1.jpg","Ver imagen")</f>
        <v/>
      </c>
      <c r="P1550">
        <f>HYPERLINK("imagenes/NAUTICA_CLASSICS_117004093_BLK_2.jpg","Ver imagen")</f>
        <v/>
      </c>
      <c r="Q1550">
        <f>HYPERLINK("imagenes/NAUTICA_CLASSICS_117004093_BLK_3.jpg","Ver imagen")</f>
        <v/>
      </c>
    </row>
    <row r="1551">
      <c r="A1551" t="inlineStr">
        <is>
          <t>NAUTICA CLASSICS</t>
        </is>
      </c>
      <c r="B1551" t="inlineStr">
        <is>
          <t>117004093</t>
        </is>
      </c>
      <c r="C1551" t="inlineStr">
        <is>
          <t>soft mist puffer</t>
        </is>
      </c>
      <c r="D1551" t="inlineStr">
        <is>
          <t>BLK</t>
        </is>
      </c>
      <c r="E1551" t="inlineStr">
        <is>
          <t>(en blanco)</t>
        </is>
      </c>
      <c r="F1551" t="inlineStr">
        <is>
          <t>D2C</t>
        </is>
      </c>
      <c r="G1551" t="inlineStr">
        <is>
          <t>S</t>
        </is>
      </c>
      <c r="H1551" t="n">
        <v>8</v>
      </c>
      <c r="I1551" t="inlineStr">
        <is>
          <t>NAUTICA_CLASSICS_117004093_BLK_1.jpg</t>
        </is>
      </c>
      <c r="J1551" t="inlineStr">
        <is>
          <t>NAUTICA_CLASSICS_117004093_BLK_2.jpg</t>
        </is>
      </c>
      <c r="K1551" t="inlineStr">
        <is>
          <t>NAUTICA_CLASSICS_117004093_BLK_3.jpg</t>
        </is>
      </c>
      <c r="L1551">
        <f>IMAGE("file:///E:/Estudios%20y%20certificaciones/ESTUDIOS%20DE%20PROGRAMMING/PROGRAMMING/PERSONAL/PYTHON/Image_Generator_API/imagenes/NAUTICA_CLASSICS_117004093_BLK_1.jpg")</f>
        <v/>
      </c>
      <c r="M1551">
        <f>IMAGE("file:///E:/Estudios%20y%20certificaciones/ESTUDIOS%20DE%20PROGRAMMING/PROGRAMMING/PERSONAL/PYTHON/Image_Generator_API/imagenes/NAUTICA_CLASSICS_117004093_BLK_2.jpg")</f>
        <v/>
      </c>
      <c r="N1551">
        <f>IMAGE("file:///E:/Estudios%20y%20certificaciones/ESTUDIOS%20DE%20PROGRAMMING/PROGRAMMING/PERSONAL/PYTHON/Image_Generator_API/imagenes/NAUTICA_CLASSICS_117004093_BLK_3.jpg")</f>
        <v/>
      </c>
      <c r="O1551">
        <f>HYPERLINK("imagenes/NAUTICA_CLASSICS_117004093_BLK_1.jpg","Ver imagen")</f>
        <v/>
      </c>
      <c r="P1551">
        <f>HYPERLINK("imagenes/NAUTICA_CLASSICS_117004093_BLK_2.jpg","Ver imagen")</f>
        <v/>
      </c>
      <c r="Q1551">
        <f>HYPERLINK("imagenes/NAUTICA_CLASSICS_117004093_BLK_3.jpg","Ver imagen")</f>
        <v/>
      </c>
    </row>
    <row r="1552">
      <c r="A1552" t="inlineStr">
        <is>
          <t>NAUTICA CLASSICS</t>
        </is>
      </c>
      <c r="B1552" t="inlineStr">
        <is>
          <t>117004093</t>
        </is>
      </c>
      <c r="C1552" t="inlineStr">
        <is>
          <t>soft mist puffer</t>
        </is>
      </c>
      <c r="D1552" t="inlineStr">
        <is>
          <t>BLK</t>
        </is>
      </c>
      <c r="E1552" t="inlineStr">
        <is>
          <t>(en blanco)</t>
        </is>
      </c>
      <c r="F1552" t="inlineStr">
        <is>
          <t>D2C</t>
        </is>
      </c>
      <c r="G1552" t="inlineStr">
        <is>
          <t>M</t>
        </is>
      </c>
      <c r="H1552" t="n">
        <v>1</v>
      </c>
      <c r="I1552" t="inlineStr">
        <is>
          <t>NAUTICA_CLASSICS_117004093_BLK_1.jpg</t>
        </is>
      </c>
      <c r="J1552" t="inlineStr">
        <is>
          <t>NAUTICA_CLASSICS_117004093_BLK_2.jpg</t>
        </is>
      </c>
      <c r="K1552" t="inlineStr">
        <is>
          <t>NAUTICA_CLASSICS_117004093_BLK_3.jpg</t>
        </is>
      </c>
      <c r="L1552">
        <f>IMAGE("file:///E:/Estudios%20y%20certificaciones/ESTUDIOS%20DE%20PROGRAMMING/PROGRAMMING/PERSONAL/PYTHON/Image_Generator_API/imagenes/NAUTICA_CLASSICS_117004093_BLK_1.jpg")</f>
        <v/>
      </c>
      <c r="M1552">
        <f>IMAGE("file:///E:/Estudios%20y%20certificaciones/ESTUDIOS%20DE%20PROGRAMMING/PROGRAMMING/PERSONAL/PYTHON/Image_Generator_API/imagenes/NAUTICA_CLASSICS_117004093_BLK_2.jpg")</f>
        <v/>
      </c>
      <c r="N1552">
        <f>IMAGE("file:///E:/Estudios%20y%20certificaciones/ESTUDIOS%20DE%20PROGRAMMING/PROGRAMMING/PERSONAL/PYTHON/Image_Generator_API/imagenes/NAUTICA_CLASSICS_117004093_BLK_3.jpg")</f>
        <v/>
      </c>
      <c r="O1552">
        <f>HYPERLINK("imagenes/NAUTICA_CLASSICS_117004093_BLK_1.jpg","Ver imagen")</f>
        <v/>
      </c>
      <c r="P1552">
        <f>HYPERLINK("imagenes/NAUTICA_CLASSICS_117004093_BLK_2.jpg","Ver imagen")</f>
        <v/>
      </c>
      <c r="Q1552">
        <f>HYPERLINK("imagenes/NAUTICA_CLASSICS_117004093_BLK_3.jpg","Ver imagen")</f>
        <v/>
      </c>
    </row>
    <row r="1553">
      <c r="A1553" t="inlineStr">
        <is>
          <t>NAUTICA CLASSICS</t>
        </is>
      </c>
      <c r="B1553" t="inlineStr">
        <is>
          <t>117004093</t>
        </is>
      </c>
      <c r="C1553" t="inlineStr">
        <is>
          <t>soft mist puffer</t>
        </is>
      </c>
      <c r="D1553" t="inlineStr">
        <is>
          <t>BLK</t>
        </is>
      </c>
      <c r="E1553" t="inlineStr">
        <is>
          <t>(en blanco)</t>
        </is>
      </c>
      <c r="F1553" t="inlineStr">
        <is>
          <t>D2C</t>
        </is>
      </c>
      <c r="G1553" t="inlineStr">
        <is>
          <t>L</t>
        </is>
      </c>
      <c r="H1553" t="n">
        <v>3</v>
      </c>
      <c r="I1553" t="inlineStr">
        <is>
          <t>NAUTICA_CLASSICS_117004093_BLK_1.jpg</t>
        </is>
      </c>
      <c r="J1553" t="inlineStr">
        <is>
          <t>NAUTICA_CLASSICS_117004093_BLK_2.jpg</t>
        </is>
      </c>
      <c r="K1553" t="inlineStr">
        <is>
          <t>NAUTICA_CLASSICS_117004093_BLK_3.jpg</t>
        </is>
      </c>
      <c r="L1553">
        <f>IMAGE("file:///E:/Estudios%20y%20certificaciones/ESTUDIOS%20DE%20PROGRAMMING/PROGRAMMING/PERSONAL/PYTHON/Image_Generator_API/imagenes/NAUTICA_CLASSICS_117004093_BLK_1.jpg")</f>
        <v/>
      </c>
      <c r="M1553">
        <f>IMAGE("file:///E:/Estudios%20y%20certificaciones/ESTUDIOS%20DE%20PROGRAMMING/PROGRAMMING/PERSONAL/PYTHON/Image_Generator_API/imagenes/NAUTICA_CLASSICS_117004093_BLK_2.jpg")</f>
        <v/>
      </c>
      <c r="N1553">
        <f>IMAGE("file:///E:/Estudios%20y%20certificaciones/ESTUDIOS%20DE%20PROGRAMMING/PROGRAMMING/PERSONAL/PYTHON/Image_Generator_API/imagenes/NAUTICA_CLASSICS_117004093_BLK_3.jpg")</f>
        <v/>
      </c>
      <c r="O1553">
        <f>HYPERLINK("imagenes/NAUTICA_CLASSICS_117004093_BLK_1.jpg","Ver imagen")</f>
        <v/>
      </c>
      <c r="P1553">
        <f>HYPERLINK("imagenes/NAUTICA_CLASSICS_117004093_BLK_2.jpg","Ver imagen")</f>
        <v/>
      </c>
      <c r="Q1553">
        <f>HYPERLINK("imagenes/NAUTICA_CLASSICS_117004093_BLK_3.jpg","Ver imagen")</f>
        <v/>
      </c>
    </row>
    <row r="1554">
      <c r="A1554" t="inlineStr">
        <is>
          <t>NAUTICA CLASSICS</t>
        </is>
      </c>
      <c r="B1554" t="inlineStr">
        <is>
          <t>117004093</t>
        </is>
      </c>
      <c r="C1554" t="inlineStr">
        <is>
          <t>soft mist puffer</t>
        </is>
      </c>
      <c r="D1554" t="inlineStr">
        <is>
          <t>BLK</t>
        </is>
      </c>
      <c r="E1554" t="inlineStr">
        <is>
          <t>(en blanco)</t>
        </is>
      </c>
      <c r="F1554" t="inlineStr">
        <is>
          <t>D2C</t>
        </is>
      </c>
      <c r="G1554" t="inlineStr">
        <is>
          <t>XXS</t>
        </is>
      </c>
      <c r="H1554" t="n">
        <v>10</v>
      </c>
      <c r="I1554" t="inlineStr">
        <is>
          <t>NAUTICA_CLASSICS_117004093_BLK_1.jpg</t>
        </is>
      </c>
      <c r="J1554" t="inlineStr">
        <is>
          <t>NAUTICA_CLASSICS_117004093_BLK_2.jpg</t>
        </is>
      </c>
      <c r="K1554" t="inlineStr">
        <is>
          <t>NAUTICA_CLASSICS_117004093_BLK_3.jpg</t>
        </is>
      </c>
      <c r="L1554">
        <f>IMAGE("file:///E:/Estudios%20y%20certificaciones/ESTUDIOS%20DE%20PROGRAMMING/PROGRAMMING/PERSONAL/PYTHON/Image_Generator_API/imagenes/NAUTICA_CLASSICS_117004093_BLK_1.jpg")</f>
        <v/>
      </c>
      <c r="M1554">
        <f>IMAGE("file:///E:/Estudios%20y%20certificaciones/ESTUDIOS%20DE%20PROGRAMMING/PROGRAMMING/PERSONAL/PYTHON/Image_Generator_API/imagenes/NAUTICA_CLASSICS_117004093_BLK_2.jpg")</f>
        <v/>
      </c>
      <c r="N1554">
        <f>IMAGE("file:///E:/Estudios%20y%20certificaciones/ESTUDIOS%20DE%20PROGRAMMING/PROGRAMMING/PERSONAL/PYTHON/Image_Generator_API/imagenes/NAUTICA_CLASSICS_117004093_BLK_3.jpg")</f>
        <v/>
      </c>
      <c r="O1554">
        <f>HYPERLINK("imagenes/NAUTICA_CLASSICS_117004093_BLK_1.jpg","Ver imagen")</f>
        <v/>
      </c>
      <c r="P1554">
        <f>HYPERLINK("imagenes/NAUTICA_CLASSICS_117004093_BLK_2.jpg","Ver imagen")</f>
        <v/>
      </c>
      <c r="Q1554">
        <f>HYPERLINK("imagenes/NAUTICA_CLASSICS_117004093_BLK_3.jpg","Ver imagen")</f>
        <v/>
      </c>
    </row>
    <row r="1555">
      <c r="A1555" t="inlineStr">
        <is>
          <t>NAUTICA CLASSICS</t>
        </is>
      </c>
      <c r="B1555" t="inlineStr">
        <is>
          <t>117004093</t>
        </is>
      </c>
      <c r="C1555" t="inlineStr">
        <is>
          <t>soft mist puffer</t>
        </is>
      </c>
      <c r="D1555" t="inlineStr">
        <is>
          <t>BLK</t>
        </is>
      </c>
      <c r="E1555" t="inlineStr">
        <is>
          <t>(en blanco)</t>
        </is>
      </c>
      <c r="F1555" t="inlineStr">
        <is>
          <t>MACYS ECOM</t>
        </is>
      </c>
      <c r="G1555" t="inlineStr">
        <is>
          <t>XS</t>
        </is>
      </c>
      <c r="H1555" t="n">
        <v>0</v>
      </c>
      <c r="I1555" t="inlineStr">
        <is>
          <t>NAUTICA_CLASSICS_117004093_BLK_1.jpg</t>
        </is>
      </c>
      <c r="J1555" t="inlineStr">
        <is>
          <t>NAUTICA_CLASSICS_117004093_BLK_2.jpg</t>
        </is>
      </c>
      <c r="K1555" t="inlineStr">
        <is>
          <t>NAUTICA_CLASSICS_117004093_BLK_3.jpg</t>
        </is>
      </c>
      <c r="L1555">
        <f>IMAGE("file:///E:/Estudios%20y%20certificaciones/ESTUDIOS%20DE%20PROGRAMMING/PROGRAMMING/PERSONAL/PYTHON/Image_Generator_API/imagenes/NAUTICA_CLASSICS_117004093_BLK_1.jpg")</f>
        <v/>
      </c>
      <c r="M1555">
        <f>IMAGE("file:///E:/Estudios%20y%20certificaciones/ESTUDIOS%20DE%20PROGRAMMING/PROGRAMMING/PERSONAL/PYTHON/Image_Generator_API/imagenes/NAUTICA_CLASSICS_117004093_BLK_2.jpg")</f>
        <v/>
      </c>
      <c r="N1555">
        <f>IMAGE("file:///E:/Estudios%20y%20certificaciones/ESTUDIOS%20DE%20PROGRAMMING/PROGRAMMING/PERSONAL/PYTHON/Image_Generator_API/imagenes/NAUTICA_CLASSICS_117004093_BLK_3.jpg")</f>
        <v/>
      </c>
      <c r="O1555">
        <f>HYPERLINK("imagenes/NAUTICA_CLASSICS_117004093_BLK_1.jpg","Ver imagen")</f>
        <v/>
      </c>
      <c r="P1555">
        <f>HYPERLINK("imagenes/NAUTICA_CLASSICS_117004093_BLK_2.jpg","Ver imagen")</f>
        <v/>
      </c>
      <c r="Q1555">
        <f>HYPERLINK("imagenes/NAUTICA_CLASSICS_117004093_BLK_3.jpg","Ver imagen")</f>
        <v/>
      </c>
    </row>
    <row r="1556">
      <c r="A1556" t="inlineStr">
        <is>
          <t>NAUTICA CLASSICS</t>
        </is>
      </c>
      <c r="B1556" t="inlineStr">
        <is>
          <t>117004093</t>
        </is>
      </c>
      <c r="C1556" t="inlineStr">
        <is>
          <t>soft mist puffer</t>
        </is>
      </c>
      <c r="D1556" t="inlineStr">
        <is>
          <t>BLK</t>
        </is>
      </c>
      <c r="E1556" t="inlineStr">
        <is>
          <t>(en blanco)</t>
        </is>
      </c>
      <c r="F1556" t="inlineStr">
        <is>
          <t>MACYS ECOM</t>
        </is>
      </c>
      <c r="G1556" t="inlineStr">
        <is>
          <t>S</t>
        </is>
      </c>
      <c r="H1556" t="n">
        <v>1</v>
      </c>
      <c r="I1556" t="inlineStr">
        <is>
          <t>NAUTICA_CLASSICS_117004093_BLK_1.jpg</t>
        </is>
      </c>
      <c r="J1556" t="inlineStr">
        <is>
          <t>NAUTICA_CLASSICS_117004093_BLK_2.jpg</t>
        </is>
      </c>
      <c r="K1556" t="inlineStr">
        <is>
          <t>NAUTICA_CLASSICS_117004093_BLK_3.jpg</t>
        </is>
      </c>
      <c r="L1556">
        <f>IMAGE("file:///E:/Estudios%20y%20certificaciones/ESTUDIOS%20DE%20PROGRAMMING/PROGRAMMING/PERSONAL/PYTHON/Image_Generator_API/imagenes/NAUTICA_CLASSICS_117004093_BLK_1.jpg")</f>
        <v/>
      </c>
      <c r="M1556">
        <f>IMAGE("file:///E:/Estudios%20y%20certificaciones/ESTUDIOS%20DE%20PROGRAMMING/PROGRAMMING/PERSONAL/PYTHON/Image_Generator_API/imagenes/NAUTICA_CLASSICS_117004093_BLK_2.jpg")</f>
        <v/>
      </c>
      <c r="N1556">
        <f>IMAGE("file:///E:/Estudios%20y%20certificaciones/ESTUDIOS%20DE%20PROGRAMMING/PROGRAMMING/PERSONAL/PYTHON/Image_Generator_API/imagenes/NAUTICA_CLASSICS_117004093_BLK_3.jpg")</f>
        <v/>
      </c>
      <c r="O1556">
        <f>HYPERLINK("imagenes/NAUTICA_CLASSICS_117004093_BLK_1.jpg","Ver imagen")</f>
        <v/>
      </c>
      <c r="P1556">
        <f>HYPERLINK("imagenes/NAUTICA_CLASSICS_117004093_BLK_2.jpg","Ver imagen")</f>
        <v/>
      </c>
      <c r="Q1556">
        <f>HYPERLINK("imagenes/NAUTICA_CLASSICS_117004093_BLK_3.jpg","Ver imagen")</f>
        <v/>
      </c>
    </row>
    <row r="1557">
      <c r="A1557" t="inlineStr">
        <is>
          <t>NAUTICA CLASSICS</t>
        </is>
      </c>
      <c r="B1557" t="inlineStr">
        <is>
          <t>117004093</t>
        </is>
      </c>
      <c r="C1557" t="inlineStr">
        <is>
          <t>soft mist puffer</t>
        </is>
      </c>
      <c r="D1557" t="inlineStr">
        <is>
          <t>BLK</t>
        </is>
      </c>
      <c r="E1557" t="inlineStr">
        <is>
          <t>(en blanco)</t>
        </is>
      </c>
      <c r="F1557" t="inlineStr">
        <is>
          <t>MACYS ECOM</t>
        </is>
      </c>
      <c r="G1557" t="inlineStr">
        <is>
          <t>M</t>
        </is>
      </c>
      <c r="H1557" t="n">
        <v>0</v>
      </c>
      <c r="I1557" t="inlineStr">
        <is>
          <t>NAUTICA_CLASSICS_117004093_BLK_1.jpg</t>
        </is>
      </c>
      <c r="J1557" t="inlineStr">
        <is>
          <t>NAUTICA_CLASSICS_117004093_BLK_2.jpg</t>
        </is>
      </c>
      <c r="K1557" t="inlineStr">
        <is>
          <t>NAUTICA_CLASSICS_117004093_BLK_3.jpg</t>
        </is>
      </c>
      <c r="L1557">
        <f>IMAGE("file:///E:/Estudios%20y%20certificaciones/ESTUDIOS%20DE%20PROGRAMMING/PROGRAMMING/PERSONAL/PYTHON/Image_Generator_API/imagenes/NAUTICA_CLASSICS_117004093_BLK_1.jpg")</f>
        <v/>
      </c>
      <c r="M1557">
        <f>IMAGE("file:///E:/Estudios%20y%20certificaciones/ESTUDIOS%20DE%20PROGRAMMING/PROGRAMMING/PERSONAL/PYTHON/Image_Generator_API/imagenes/NAUTICA_CLASSICS_117004093_BLK_2.jpg")</f>
        <v/>
      </c>
      <c r="N1557">
        <f>IMAGE("file:///E:/Estudios%20y%20certificaciones/ESTUDIOS%20DE%20PROGRAMMING/PROGRAMMING/PERSONAL/PYTHON/Image_Generator_API/imagenes/NAUTICA_CLASSICS_117004093_BLK_3.jpg")</f>
        <v/>
      </c>
      <c r="O1557">
        <f>HYPERLINK("imagenes/NAUTICA_CLASSICS_117004093_BLK_1.jpg","Ver imagen")</f>
        <v/>
      </c>
      <c r="P1557">
        <f>HYPERLINK("imagenes/NAUTICA_CLASSICS_117004093_BLK_2.jpg","Ver imagen")</f>
        <v/>
      </c>
      <c r="Q1557">
        <f>HYPERLINK("imagenes/NAUTICA_CLASSICS_117004093_BLK_3.jpg","Ver imagen")</f>
        <v/>
      </c>
    </row>
    <row r="1558">
      <c r="A1558" t="inlineStr">
        <is>
          <t>NAUTICA CLASSICS</t>
        </is>
      </c>
      <c r="B1558" t="inlineStr">
        <is>
          <t>117004093</t>
        </is>
      </c>
      <c r="C1558" t="inlineStr">
        <is>
          <t>soft mist puffer</t>
        </is>
      </c>
      <c r="D1558" t="inlineStr">
        <is>
          <t>BLK</t>
        </is>
      </c>
      <c r="E1558" t="inlineStr">
        <is>
          <t>(en blanco)</t>
        </is>
      </c>
      <c r="F1558" t="inlineStr">
        <is>
          <t>MACYS ECOM</t>
        </is>
      </c>
      <c r="G1558" t="inlineStr">
        <is>
          <t>L</t>
        </is>
      </c>
      <c r="H1558" t="n">
        <v>0</v>
      </c>
      <c r="I1558" t="inlineStr">
        <is>
          <t>NAUTICA_CLASSICS_117004093_BLK_1.jpg</t>
        </is>
      </c>
      <c r="J1558" t="inlineStr">
        <is>
          <t>NAUTICA_CLASSICS_117004093_BLK_2.jpg</t>
        </is>
      </c>
      <c r="K1558" t="inlineStr">
        <is>
          <t>NAUTICA_CLASSICS_117004093_BLK_3.jpg</t>
        </is>
      </c>
      <c r="L1558">
        <f>IMAGE("file:///E:/Estudios%20y%20certificaciones/ESTUDIOS%20DE%20PROGRAMMING/PROGRAMMING/PERSONAL/PYTHON/Image_Generator_API/imagenes/NAUTICA_CLASSICS_117004093_BLK_1.jpg")</f>
        <v/>
      </c>
      <c r="M1558">
        <f>IMAGE("file:///E:/Estudios%20y%20certificaciones/ESTUDIOS%20DE%20PROGRAMMING/PROGRAMMING/PERSONAL/PYTHON/Image_Generator_API/imagenes/NAUTICA_CLASSICS_117004093_BLK_2.jpg")</f>
        <v/>
      </c>
      <c r="N1558">
        <f>IMAGE("file:///E:/Estudios%20y%20certificaciones/ESTUDIOS%20DE%20PROGRAMMING/PROGRAMMING/PERSONAL/PYTHON/Image_Generator_API/imagenes/NAUTICA_CLASSICS_117004093_BLK_3.jpg")</f>
        <v/>
      </c>
      <c r="O1558">
        <f>HYPERLINK("imagenes/NAUTICA_CLASSICS_117004093_BLK_1.jpg","Ver imagen")</f>
        <v/>
      </c>
      <c r="P1558">
        <f>HYPERLINK("imagenes/NAUTICA_CLASSICS_117004093_BLK_2.jpg","Ver imagen")</f>
        <v/>
      </c>
      <c r="Q1558">
        <f>HYPERLINK("imagenes/NAUTICA_CLASSICS_117004093_BLK_3.jpg","Ver imagen")</f>
        <v/>
      </c>
    </row>
    <row r="1559">
      <c r="A1559" t="inlineStr">
        <is>
          <t>NAUTICA CLASSICS</t>
        </is>
      </c>
      <c r="B1559" t="inlineStr">
        <is>
          <t>117004093</t>
        </is>
      </c>
      <c r="C1559" t="inlineStr">
        <is>
          <t>soft mist puffer</t>
        </is>
      </c>
      <c r="D1559" t="inlineStr">
        <is>
          <t>BLK</t>
        </is>
      </c>
      <c r="E1559" t="inlineStr">
        <is>
          <t>(en blanco)</t>
        </is>
      </c>
      <c r="F1559" t="inlineStr">
        <is>
          <t>MACYS ECOM</t>
        </is>
      </c>
      <c r="G1559" t="inlineStr">
        <is>
          <t>XL</t>
        </is>
      </c>
      <c r="H1559" t="n">
        <v>0</v>
      </c>
      <c r="I1559" t="inlineStr">
        <is>
          <t>NAUTICA_CLASSICS_117004093_BLK_1.jpg</t>
        </is>
      </c>
      <c r="J1559" t="inlineStr">
        <is>
          <t>NAUTICA_CLASSICS_117004093_BLK_2.jpg</t>
        </is>
      </c>
      <c r="K1559" t="inlineStr">
        <is>
          <t>NAUTICA_CLASSICS_117004093_BLK_3.jpg</t>
        </is>
      </c>
      <c r="L1559">
        <f>IMAGE("file:///E:/Estudios%20y%20certificaciones/ESTUDIOS%20DE%20PROGRAMMING/PROGRAMMING/PERSONAL/PYTHON/Image_Generator_API/imagenes/NAUTICA_CLASSICS_117004093_BLK_1.jpg")</f>
        <v/>
      </c>
      <c r="M1559">
        <f>IMAGE("file:///E:/Estudios%20y%20certificaciones/ESTUDIOS%20DE%20PROGRAMMING/PROGRAMMING/PERSONAL/PYTHON/Image_Generator_API/imagenes/NAUTICA_CLASSICS_117004093_BLK_2.jpg")</f>
        <v/>
      </c>
      <c r="N1559">
        <f>IMAGE("file:///E:/Estudios%20y%20certificaciones/ESTUDIOS%20DE%20PROGRAMMING/PROGRAMMING/PERSONAL/PYTHON/Image_Generator_API/imagenes/NAUTICA_CLASSICS_117004093_BLK_3.jpg")</f>
        <v/>
      </c>
      <c r="O1559">
        <f>HYPERLINK("imagenes/NAUTICA_CLASSICS_117004093_BLK_1.jpg","Ver imagen")</f>
        <v/>
      </c>
      <c r="P1559">
        <f>HYPERLINK("imagenes/NAUTICA_CLASSICS_117004093_BLK_2.jpg","Ver imagen")</f>
        <v/>
      </c>
      <c r="Q1559">
        <f>HYPERLINK("imagenes/NAUTICA_CLASSICS_117004093_BLK_3.jpg","Ver imagen")</f>
        <v/>
      </c>
    </row>
    <row r="1560">
      <c r="A1560" t="inlineStr">
        <is>
          <t>NAUTICA CLASSICS</t>
        </is>
      </c>
      <c r="B1560" t="inlineStr">
        <is>
          <t>117004093</t>
        </is>
      </c>
      <c r="C1560" t="inlineStr">
        <is>
          <t>soft mist puffer</t>
        </is>
      </c>
      <c r="D1560" t="inlineStr">
        <is>
          <t>BLK</t>
        </is>
      </c>
      <c r="E1560" t="inlineStr">
        <is>
          <t>(en blanco)</t>
        </is>
      </c>
      <c r="F1560" t="inlineStr">
        <is>
          <t>(en blanco)</t>
        </is>
      </c>
      <c r="G1560" t="inlineStr">
        <is>
          <t>XS</t>
        </is>
      </c>
      <c r="H1560" t="n">
        <v>470</v>
      </c>
      <c r="I1560" t="inlineStr">
        <is>
          <t>NAUTICA_CLASSICS_117004093_BLK_1.jpg</t>
        </is>
      </c>
      <c r="J1560" t="inlineStr">
        <is>
          <t>NAUTICA_CLASSICS_117004093_BLK_2.jpg</t>
        </is>
      </c>
      <c r="K1560" t="inlineStr">
        <is>
          <t>NAUTICA_CLASSICS_117004093_BLK_3.jpg</t>
        </is>
      </c>
      <c r="L1560">
        <f>IMAGE("file:///E:/Estudios%20y%20certificaciones/ESTUDIOS%20DE%20PROGRAMMING/PROGRAMMING/PERSONAL/PYTHON/Image_Generator_API/imagenes/NAUTICA_CLASSICS_117004093_BLK_1.jpg")</f>
        <v/>
      </c>
      <c r="M1560">
        <f>IMAGE("file:///E:/Estudios%20y%20certificaciones/ESTUDIOS%20DE%20PROGRAMMING/PROGRAMMING/PERSONAL/PYTHON/Image_Generator_API/imagenes/NAUTICA_CLASSICS_117004093_BLK_2.jpg")</f>
        <v/>
      </c>
      <c r="N1560">
        <f>IMAGE("file:///E:/Estudios%20y%20certificaciones/ESTUDIOS%20DE%20PROGRAMMING/PROGRAMMING/PERSONAL/PYTHON/Image_Generator_API/imagenes/NAUTICA_CLASSICS_117004093_BLK_3.jpg")</f>
        <v/>
      </c>
      <c r="O1560">
        <f>HYPERLINK("imagenes/NAUTICA_CLASSICS_117004093_BLK_1.jpg","Ver imagen")</f>
        <v/>
      </c>
      <c r="P1560">
        <f>HYPERLINK("imagenes/NAUTICA_CLASSICS_117004093_BLK_2.jpg","Ver imagen")</f>
        <v/>
      </c>
      <c r="Q1560">
        <f>HYPERLINK("imagenes/NAUTICA_CLASSICS_117004093_BLK_3.jpg","Ver imagen")</f>
        <v/>
      </c>
    </row>
    <row r="1561">
      <c r="A1561" t="inlineStr">
        <is>
          <t>NAUTICA CLASSICS</t>
        </is>
      </c>
      <c r="B1561" t="inlineStr">
        <is>
          <t>117004093</t>
        </is>
      </c>
      <c r="C1561" t="inlineStr">
        <is>
          <t>soft mist puffer</t>
        </is>
      </c>
      <c r="D1561" t="inlineStr">
        <is>
          <t>BLK</t>
        </is>
      </c>
      <c r="E1561" t="inlineStr">
        <is>
          <t>(en blanco)</t>
        </is>
      </c>
      <c r="F1561" t="inlineStr">
        <is>
          <t>(en blanco)</t>
        </is>
      </c>
      <c r="G1561" t="inlineStr">
        <is>
          <t>S</t>
        </is>
      </c>
      <c r="H1561" t="n">
        <v>713</v>
      </c>
      <c r="I1561" t="inlineStr">
        <is>
          <t>NAUTICA_CLASSICS_117004093_BLK_1.jpg</t>
        </is>
      </c>
      <c r="J1561" t="inlineStr">
        <is>
          <t>NAUTICA_CLASSICS_117004093_BLK_2.jpg</t>
        </is>
      </c>
      <c r="K1561" t="inlineStr">
        <is>
          <t>NAUTICA_CLASSICS_117004093_BLK_3.jpg</t>
        </is>
      </c>
      <c r="L1561">
        <f>IMAGE("file:///E:/Estudios%20y%20certificaciones/ESTUDIOS%20DE%20PROGRAMMING/PROGRAMMING/PERSONAL/PYTHON/Image_Generator_API/imagenes/NAUTICA_CLASSICS_117004093_BLK_1.jpg")</f>
        <v/>
      </c>
      <c r="M1561">
        <f>IMAGE("file:///E:/Estudios%20y%20certificaciones/ESTUDIOS%20DE%20PROGRAMMING/PROGRAMMING/PERSONAL/PYTHON/Image_Generator_API/imagenes/NAUTICA_CLASSICS_117004093_BLK_2.jpg")</f>
        <v/>
      </c>
      <c r="N1561">
        <f>IMAGE("file:///E:/Estudios%20y%20certificaciones/ESTUDIOS%20DE%20PROGRAMMING/PROGRAMMING/PERSONAL/PYTHON/Image_Generator_API/imagenes/NAUTICA_CLASSICS_117004093_BLK_3.jpg")</f>
        <v/>
      </c>
      <c r="O1561">
        <f>HYPERLINK("imagenes/NAUTICA_CLASSICS_117004093_BLK_1.jpg","Ver imagen")</f>
        <v/>
      </c>
      <c r="P1561">
        <f>HYPERLINK("imagenes/NAUTICA_CLASSICS_117004093_BLK_2.jpg","Ver imagen")</f>
        <v/>
      </c>
      <c r="Q1561">
        <f>HYPERLINK("imagenes/NAUTICA_CLASSICS_117004093_BLK_3.jpg","Ver imagen")</f>
        <v/>
      </c>
    </row>
    <row r="1562">
      <c r="A1562" t="inlineStr">
        <is>
          <t>NAUTICA CLASSICS</t>
        </is>
      </c>
      <c r="B1562" t="inlineStr">
        <is>
          <t>117004093</t>
        </is>
      </c>
      <c r="C1562" t="inlineStr">
        <is>
          <t>soft mist puffer</t>
        </is>
      </c>
      <c r="D1562" t="inlineStr">
        <is>
          <t>BLK</t>
        </is>
      </c>
      <c r="E1562" t="inlineStr">
        <is>
          <t>(en blanco)</t>
        </is>
      </c>
      <c r="F1562" t="inlineStr">
        <is>
          <t>(en blanco)</t>
        </is>
      </c>
      <c r="G1562" t="inlineStr">
        <is>
          <t>M</t>
        </is>
      </c>
      <c r="H1562" t="n">
        <v>388</v>
      </c>
      <c r="I1562" t="inlineStr">
        <is>
          <t>NAUTICA_CLASSICS_117004093_BLK_1.jpg</t>
        </is>
      </c>
      <c r="J1562" t="inlineStr">
        <is>
          <t>NAUTICA_CLASSICS_117004093_BLK_2.jpg</t>
        </is>
      </c>
      <c r="K1562" t="inlineStr">
        <is>
          <t>NAUTICA_CLASSICS_117004093_BLK_3.jpg</t>
        </is>
      </c>
      <c r="L1562">
        <f>IMAGE("file:///E:/Estudios%20y%20certificaciones/ESTUDIOS%20DE%20PROGRAMMING/PROGRAMMING/PERSONAL/PYTHON/Image_Generator_API/imagenes/NAUTICA_CLASSICS_117004093_BLK_1.jpg")</f>
        <v/>
      </c>
      <c r="M1562">
        <f>IMAGE("file:///E:/Estudios%20y%20certificaciones/ESTUDIOS%20DE%20PROGRAMMING/PROGRAMMING/PERSONAL/PYTHON/Image_Generator_API/imagenes/NAUTICA_CLASSICS_117004093_BLK_2.jpg")</f>
        <v/>
      </c>
      <c r="N1562">
        <f>IMAGE("file:///E:/Estudios%20y%20certificaciones/ESTUDIOS%20DE%20PROGRAMMING/PROGRAMMING/PERSONAL/PYTHON/Image_Generator_API/imagenes/NAUTICA_CLASSICS_117004093_BLK_3.jpg")</f>
        <v/>
      </c>
      <c r="O1562">
        <f>HYPERLINK("imagenes/NAUTICA_CLASSICS_117004093_BLK_1.jpg","Ver imagen")</f>
        <v/>
      </c>
      <c r="P1562">
        <f>HYPERLINK("imagenes/NAUTICA_CLASSICS_117004093_BLK_2.jpg","Ver imagen")</f>
        <v/>
      </c>
      <c r="Q1562">
        <f>HYPERLINK("imagenes/NAUTICA_CLASSICS_117004093_BLK_3.jpg","Ver imagen")</f>
        <v/>
      </c>
    </row>
    <row r="1563">
      <c r="A1563" t="inlineStr">
        <is>
          <t>NAUTICA CLASSICS</t>
        </is>
      </c>
      <c r="B1563" t="inlineStr">
        <is>
          <t>117004093</t>
        </is>
      </c>
      <c r="C1563" t="inlineStr">
        <is>
          <t>soft mist puffer</t>
        </is>
      </c>
      <c r="D1563" t="inlineStr">
        <is>
          <t>BLK</t>
        </is>
      </c>
      <c r="E1563" t="inlineStr">
        <is>
          <t>(en blanco)</t>
        </is>
      </c>
      <c r="F1563" t="inlineStr">
        <is>
          <t>(en blanco)</t>
        </is>
      </c>
      <c r="G1563" t="inlineStr">
        <is>
          <t>L</t>
        </is>
      </c>
      <c r="H1563" t="n">
        <v>379</v>
      </c>
      <c r="I1563" t="inlineStr">
        <is>
          <t>NAUTICA_CLASSICS_117004093_BLK_1.jpg</t>
        </is>
      </c>
      <c r="J1563" t="inlineStr">
        <is>
          <t>NAUTICA_CLASSICS_117004093_BLK_2.jpg</t>
        </is>
      </c>
      <c r="K1563" t="inlineStr">
        <is>
          <t>NAUTICA_CLASSICS_117004093_BLK_3.jpg</t>
        </is>
      </c>
      <c r="L1563">
        <f>IMAGE("file:///E:/Estudios%20y%20certificaciones/ESTUDIOS%20DE%20PROGRAMMING/PROGRAMMING/PERSONAL/PYTHON/Image_Generator_API/imagenes/NAUTICA_CLASSICS_117004093_BLK_1.jpg")</f>
        <v/>
      </c>
      <c r="M1563">
        <f>IMAGE("file:///E:/Estudios%20y%20certificaciones/ESTUDIOS%20DE%20PROGRAMMING/PROGRAMMING/PERSONAL/PYTHON/Image_Generator_API/imagenes/NAUTICA_CLASSICS_117004093_BLK_2.jpg")</f>
        <v/>
      </c>
      <c r="N1563">
        <f>IMAGE("file:///E:/Estudios%20y%20certificaciones/ESTUDIOS%20DE%20PROGRAMMING/PROGRAMMING/PERSONAL/PYTHON/Image_Generator_API/imagenes/NAUTICA_CLASSICS_117004093_BLK_3.jpg")</f>
        <v/>
      </c>
      <c r="O1563">
        <f>HYPERLINK("imagenes/NAUTICA_CLASSICS_117004093_BLK_1.jpg","Ver imagen")</f>
        <v/>
      </c>
      <c r="P1563">
        <f>HYPERLINK("imagenes/NAUTICA_CLASSICS_117004093_BLK_2.jpg","Ver imagen")</f>
        <v/>
      </c>
      <c r="Q1563">
        <f>HYPERLINK("imagenes/NAUTICA_CLASSICS_117004093_BLK_3.jpg","Ver imagen")</f>
        <v/>
      </c>
    </row>
    <row r="1564">
      <c r="A1564" t="inlineStr">
        <is>
          <t>NAUTICA CLASSICS</t>
        </is>
      </c>
      <c r="B1564" t="inlineStr">
        <is>
          <t>117004093</t>
        </is>
      </c>
      <c r="C1564" t="inlineStr">
        <is>
          <t>soft mist puffer</t>
        </is>
      </c>
      <c r="D1564" t="inlineStr">
        <is>
          <t>BLK</t>
        </is>
      </c>
      <c r="E1564" t="inlineStr">
        <is>
          <t>(en blanco)</t>
        </is>
      </c>
      <c r="F1564" t="inlineStr">
        <is>
          <t>(en blanco)</t>
        </is>
      </c>
      <c r="G1564" t="inlineStr">
        <is>
          <t>XL</t>
        </is>
      </c>
      <c r="H1564" t="n">
        <v>3</v>
      </c>
      <c r="I1564" t="inlineStr">
        <is>
          <t>NAUTICA_CLASSICS_117004093_BLK_1.jpg</t>
        </is>
      </c>
      <c r="J1564" t="inlineStr">
        <is>
          <t>NAUTICA_CLASSICS_117004093_BLK_2.jpg</t>
        </is>
      </c>
      <c r="K1564" t="inlineStr">
        <is>
          <t>NAUTICA_CLASSICS_117004093_BLK_3.jpg</t>
        </is>
      </c>
      <c r="L1564">
        <f>IMAGE("file:///E:/Estudios%20y%20certificaciones/ESTUDIOS%20DE%20PROGRAMMING/PROGRAMMING/PERSONAL/PYTHON/Image_Generator_API/imagenes/NAUTICA_CLASSICS_117004093_BLK_1.jpg")</f>
        <v/>
      </c>
      <c r="M1564">
        <f>IMAGE("file:///E:/Estudios%20y%20certificaciones/ESTUDIOS%20DE%20PROGRAMMING/PROGRAMMING/PERSONAL/PYTHON/Image_Generator_API/imagenes/NAUTICA_CLASSICS_117004093_BLK_2.jpg")</f>
        <v/>
      </c>
      <c r="N1564">
        <f>IMAGE("file:///E:/Estudios%20y%20certificaciones/ESTUDIOS%20DE%20PROGRAMMING/PROGRAMMING/PERSONAL/PYTHON/Image_Generator_API/imagenes/NAUTICA_CLASSICS_117004093_BLK_3.jpg")</f>
        <v/>
      </c>
      <c r="O1564">
        <f>HYPERLINK("imagenes/NAUTICA_CLASSICS_117004093_BLK_1.jpg","Ver imagen")</f>
        <v/>
      </c>
      <c r="P1564">
        <f>HYPERLINK("imagenes/NAUTICA_CLASSICS_117004093_BLK_2.jpg","Ver imagen")</f>
        <v/>
      </c>
      <c r="Q1564">
        <f>HYPERLINK("imagenes/NAUTICA_CLASSICS_117004093_BLK_3.jpg","Ver imagen")</f>
        <v/>
      </c>
    </row>
    <row r="1565">
      <c r="A1565" t="inlineStr">
        <is>
          <t>NAUTICA CLASSICS</t>
        </is>
      </c>
      <c r="B1565" t="inlineStr">
        <is>
          <t>117004093</t>
        </is>
      </c>
      <c r="C1565" t="inlineStr">
        <is>
          <t>soft mist puffer</t>
        </is>
      </c>
      <c r="D1565" t="inlineStr">
        <is>
          <t>BLK</t>
        </is>
      </c>
      <c r="E1565" t="inlineStr">
        <is>
          <t>(en blanco)</t>
        </is>
      </c>
      <c r="F1565" t="inlineStr">
        <is>
          <t>(en blanco)</t>
        </is>
      </c>
      <c r="G1565" t="inlineStr">
        <is>
          <t>XXS</t>
        </is>
      </c>
      <c r="H1565" t="n">
        <v>93</v>
      </c>
      <c r="I1565" t="inlineStr">
        <is>
          <t>NAUTICA_CLASSICS_117004093_BLK_1.jpg</t>
        </is>
      </c>
      <c r="J1565" t="inlineStr">
        <is>
          <t>NAUTICA_CLASSICS_117004093_BLK_2.jpg</t>
        </is>
      </c>
      <c r="K1565" t="inlineStr">
        <is>
          <t>NAUTICA_CLASSICS_117004093_BLK_3.jpg</t>
        </is>
      </c>
      <c r="L1565">
        <f>IMAGE("file:///E:/Estudios%20y%20certificaciones/ESTUDIOS%20DE%20PROGRAMMING/PROGRAMMING/PERSONAL/PYTHON/Image_Generator_API/imagenes/NAUTICA_CLASSICS_117004093_BLK_1.jpg")</f>
        <v/>
      </c>
      <c r="M1565">
        <f>IMAGE("file:///E:/Estudios%20y%20certificaciones/ESTUDIOS%20DE%20PROGRAMMING/PROGRAMMING/PERSONAL/PYTHON/Image_Generator_API/imagenes/NAUTICA_CLASSICS_117004093_BLK_2.jpg")</f>
        <v/>
      </c>
      <c r="N1565">
        <f>IMAGE("file:///E:/Estudios%20y%20certificaciones/ESTUDIOS%20DE%20PROGRAMMING/PROGRAMMING/PERSONAL/PYTHON/Image_Generator_API/imagenes/NAUTICA_CLASSICS_117004093_BLK_3.jpg")</f>
        <v/>
      </c>
      <c r="O1565">
        <f>HYPERLINK("imagenes/NAUTICA_CLASSICS_117004093_BLK_1.jpg","Ver imagen")</f>
        <v/>
      </c>
      <c r="P1565">
        <f>HYPERLINK("imagenes/NAUTICA_CLASSICS_117004093_BLK_2.jpg","Ver imagen")</f>
        <v/>
      </c>
      <c r="Q1565">
        <f>HYPERLINK("imagenes/NAUTICA_CLASSICS_117004093_BLK_3.jpg","Ver imagen")</f>
        <v/>
      </c>
    </row>
    <row r="1566">
      <c r="A1566" t="inlineStr">
        <is>
          <t>NAUTICA CLASSICS</t>
        </is>
      </c>
      <c r="B1566" t="inlineStr">
        <is>
          <t>117004093</t>
        </is>
      </c>
      <c r="C1566" t="inlineStr">
        <is>
          <t>soft mist puffer</t>
        </is>
      </c>
      <c r="D1566" t="inlineStr">
        <is>
          <t>CTI</t>
        </is>
      </c>
      <c r="E1566" t="inlineStr">
        <is>
          <t>08A05</t>
        </is>
      </c>
      <c r="F1566" t="inlineStr">
        <is>
          <t>(en blanco)</t>
        </is>
      </c>
      <c r="G1566" t="inlineStr">
        <is>
          <t>PPK</t>
        </is>
      </c>
      <c r="H1566" t="n">
        <v>1400</v>
      </c>
      <c r="I1566" t="inlineStr">
        <is>
          <t>NAUTICA_CLASSICS_117004093_CTI_1.jpg</t>
        </is>
      </c>
      <c r="J1566" t="inlineStr">
        <is>
          <t>NAUTICA_CLASSICS_117004093_CTI_2.jpg</t>
        </is>
      </c>
      <c r="K1566" t="inlineStr">
        <is>
          <t>NAUTICA_CLASSICS_117004093_CTI_3.jpg</t>
        </is>
      </c>
      <c r="L1566">
        <f>IMAGE("file:///E:/Estudios%20y%20certificaciones/ESTUDIOS%20DE%20PROGRAMMING/PROGRAMMING/PERSONAL/PYTHON/Image_Generator_API/imagenes/NAUTICA_CLASSICS_117004093_CTI_1.jpg")</f>
        <v/>
      </c>
      <c r="M1566">
        <f>IMAGE("file:///E:/Estudios%20y%20certificaciones/ESTUDIOS%20DE%20PROGRAMMING/PROGRAMMING/PERSONAL/PYTHON/Image_Generator_API/imagenes/NAUTICA_CLASSICS_117004093_CTI_2.jpg")</f>
        <v/>
      </c>
      <c r="N1566">
        <f>IMAGE("file:///E:/Estudios%20y%20certificaciones/ESTUDIOS%20DE%20PROGRAMMING/PROGRAMMING/PERSONAL/PYTHON/Image_Generator_API/imagenes/NAUTICA_CLASSICS_117004093_CTI_3.jpg")</f>
        <v/>
      </c>
      <c r="O1566">
        <f>HYPERLINK("imagenes/NAUTICA_CLASSICS_117004093_CTI_1.jpg","Ver imagen")</f>
        <v/>
      </c>
      <c r="P1566">
        <f>HYPERLINK("imagenes/NAUTICA_CLASSICS_117004093_CTI_2.jpg","Ver imagen")</f>
        <v/>
      </c>
      <c r="Q1566">
        <f>HYPERLINK("imagenes/NAUTICA_CLASSICS_117004093_CTI_3.jpg","Ver imagen")</f>
        <v/>
      </c>
    </row>
    <row r="1567">
      <c r="A1567" t="inlineStr">
        <is>
          <t>NAUTICA CLASSICS</t>
        </is>
      </c>
      <c r="B1567" t="inlineStr">
        <is>
          <t>117004093</t>
        </is>
      </c>
      <c r="C1567" t="inlineStr">
        <is>
          <t>soft mist puffer</t>
        </is>
      </c>
      <c r="D1567" t="inlineStr">
        <is>
          <t>CTI</t>
        </is>
      </c>
      <c r="E1567" t="inlineStr">
        <is>
          <t>(en blanco)</t>
        </is>
      </c>
      <c r="F1567" t="inlineStr">
        <is>
          <t>(en blanco)</t>
        </is>
      </c>
      <c r="G1567" t="inlineStr">
        <is>
          <t>XS</t>
        </is>
      </c>
      <c r="H1567" t="n">
        <v>95</v>
      </c>
      <c r="I1567" t="inlineStr">
        <is>
          <t>NAUTICA_CLASSICS_117004093_CTI_1.jpg</t>
        </is>
      </c>
      <c r="J1567" t="inlineStr">
        <is>
          <t>NAUTICA_CLASSICS_117004093_CTI_2.jpg</t>
        </is>
      </c>
      <c r="K1567" t="inlineStr">
        <is>
          <t>NAUTICA_CLASSICS_117004093_CTI_3.jpg</t>
        </is>
      </c>
      <c r="L1567">
        <f>IMAGE("file:///E:/Estudios%20y%20certificaciones/ESTUDIOS%20DE%20PROGRAMMING/PROGRAMMING/PERSONAL/PYTHON/Image_Generator_API/imagenes/NAUTICA_CLASSICS_117004093_CTI_1.jpg")</f>
        <v/>
      </c>
      <c r="M1567">
        <f>IMAGE("file:///E:/Estudios%20y%20certificaciones/ESTUDIOS%20DE%20PROGRAMMING/PROGRAMMING/PERSONAL/PYTHON/Image_Generator_API/imagenes/NAUTICA_CLASSICS_117004093_CTI_2.jpg")</f>
        <v/>
      </c>
      <c r="N1567">
        <f>IMAGE("file:///E:/Estudios%20y%20certificaciones/ESTUDIOS%20DE%20PROGRAMMING/PROGRAMMING/PERSONAL/PYTHON/Image_Generator_API/imagenes/NAUTICA_CLASSICS_117004093_CTI_3.jpg")</f>
        <v/>
      </c>
      <c r="O1567">
        <f>HYPERLINK("imagenes/NAUTICA_CLASSICS_117004093_CTI_1.jpg","Ver imagen")</f>
        <v/>
      </c>
      <c r="P1567">
        <f>HYPERLINK("imagenes/NAUTICA_CLASSICS_117004093_CTI_2.jpg","Ver imagen")</f>
        <v/>
      </c>
      <c r="Q1567">
        <f>HYPERLINK("imagenes/NAUTICA_CLASSICS_117004093_CTI_3.jpg","Ver imagen")</f>
        <v/>
      </c>
    </row>
    <row r="1568">
      <c r="A1568" t="inlineStr">
        <is>
          <t>NAUTICA CLASSICS</t>
        </is>
      </c>
      <c r="B1568" t="inlineStr">
        <is>
          <t>117004093</t>
        </is>
      </c>
      <c r="C1568" t="inlineStr">
        <is>
          <t>soft mist puffer</t>
        </is>
      </c>
      <c r="D1568" t="inlineStr">
        <is>
          <t>CTI</t>
        </is>
      </c>
      <c r="E1568" t="inlineStr">
        <is>
          <t>(en blanco)</t>
        </is>
      </c>
      <c r="F1568" t="inlineStr">
        <is>
          <t>(en blanco)</t>
        </is>
      </c>
      <c r="G1568" t="inlineStr">
        <is>
          <t>S</t>
        </is>
      </c>
      <c r="H1568" t="n">
        <v>122</v>
      </c>
      <c r="I1568" t="inlineStr">
        <is>
          <t>NAUTICA_CLASSICS_117004093_CTI_1.jpg</t>
        </is>
      </c>
      <c r="J1568" t="inlineStr">
        <is>
          <t>NAUTICA_CLASSICS_117004093_CTI_2.jpg</t>
        </is>
      </c>
      <c r="K1568" t="inlineStr">
        <is>
          <t>NAUTICA_CLASSICS_117004093_CTI_3.jpg</t>
        </is>
      </c>
      <c r="L1568">
        <f>IMAGE("file:///E:/Estudios%20y%20certificaciones/ESTUDIOS%20DE%20PROGRAMMING/PROGRAMMING/PERSONAL/PYTHON/Image_Generator_API/imagenes/NAUTICA_CLASSICS_117004093_CTI_1.jpg")</f>
        <v/>
      </c>
      <c r="M1568">
        <f>IMAGE("file:///E:/Estudios%20y%20certificaciones/ESTUDIOS%20DE%20PROGRAMMING/PROGRAMMING/PERSONAL/PYTHON/Image_Generator_API/imagenes/NAUTICA_CLASSICS_117004093_CTI_2.jpg")</f>
        <v/>
      </c>
      <c r="N1568">
        <f>IMAGE("file:///E:/Estudios%20y%20certificaciones/ESTUDIOS%20DE%20PROGRAMMING/PROGRAMMING/PERSONAL/PYTHON/Image_Generator_API/imagenes/NAUTICA_CLASSICS_117004093_CTI_3.jpg")</f>
        <v/>
      </c>
      <c r="O1568">
        <f>HYPERLINK("imagenes/NAUTICA_CLASSICS_117004093_CTI_1.jpg","Ver imagen")</f>
        <v/>
      </c>
      <c r="P1568">
        <f>HYPERLINK("imagenes/NAUTICA_CLASSICS_117004093_CTI_2.jpg","Ver imagen")</f>
        <v/>
      </c>
      <c r="Q1568">
        <f>HYPERLINK("imagenes/NAUTICA_CLASSICS_117004093_CTI_3.jpg","Ver imagen")</f>
        <v/>
      </c>
    </row>
    <row r="1569">
      <c r="A1569" t="inlineStr">
        <is>
          <t>NAUTICA CLASSICS</t>
        </is>
      </c>
      <c r="B1569" t="inlineStr">
        <is>
          <t>117004093</t>
        </is>
      </c>
      <c r="C1569" t="inlineStr">
        <is>
          <t>soft mist puffer</t>
        </is>
      </c>
      <c r="D1569" t="inlineStr">
        <is>
          <t>CTI</t>
        </is>
      </c>
      <c r="E1569" t="inlineStr">
        <is>
          <t>(en blanco)</t>
        </is>
      </c>
      <c r="F1569" t="inlineStr">
        <is>
          <t>(en blanco)</t>
        </is>
      </c>
      <c r="G1569" t="inlineStr">
        <is>
          <t>M</t>
        </is>
      </c>
      <c r="H1569" t="n">
        <v>78</v>
      </c>
      <c r="I1569" t="inlineStr">
        <is>
          <t>NAUTICA_CLASSICS_117004093_CTI_1.jpg</t>
        </is>
      </c>
      <c r="J1569" t="inlineStr">
        <is>
          <t>NAUTICA_CLASSICS_117004093_CTI_2.jpg</t>
        </is>
      </c>
      <c r="K1569" t="inlineStr">
        <is>
          <t>NAUTICA_CLASSICS_117004093_CTI_3.jpg</t>
        </is>
      </c>
      <c r="L1569">
        <f>IMAGE("file:///E:/Estudios%20y%20certificaciones/ESTUDIOS%20DE%20PROGRAMMING/PROGRAMMING/PERSONAL/PYTHON/Image_Generator_API/imagenes/NAUTICA_CLASSICS_117004093_CTI_1.jpg")</f>
        <v/>
      </c>
      <c r="M1569">
        <f>IMAGE("file:///E:/Estudios%20y%20certificaciones/ESTUDIOS%20DE%20PROGRAMMING/PROGRAMMING/PERSONAL/PYTHON/Image_Generator_API/imagenes/NAUTICA_CLASSICS_117004093_CTI_2.jpg")</f>
        <v/>
      </c>
      <c r="N1569">
        <f>IMAGE("file:///E:/Estudios%20y%20certificaciones/ESTUDIOS%20DE%20PROGRAMMING/PROGRAMMING/PERSONAL/PYTHON/Image_Generator_API/imagenes/NAUTICA_CLASSICS_117004093_CTI_3.jpg")</f>
        <v/>
      </c>
      <c r="O1569">
        <f>HYPERLINK("imagenes/NAUTICA_CLASSICS_117004093_CTI_1.jpg","Ver imagen")</f>
        <v/>
      </c>
      <c r="P1569">
        <f>HYPERLINK("imagenes/NAUTICA_CLASSICS_117004093_CTI_2.jpg","Ver imagen")</f>
        <v/>
      </c>
      <c r="Q1569">
        <f>HYPERLINK("imagenes/NAUTICA_CLASSICS_117004093_CTI_3.jpg","Ver imagen")</f>
        <v/>
      </c>
    </row>
    <row r="1570">
      <c r="A1570" t="inlineStr">
        <is>
          <t>NAUTICA CLASSICS</t>
        </is>
      </c>
      <c r="B1570" t="inlineStr">
        <is>
          <t>117004093</t>
        </is>
      </c>
      <c r="C1570" t="inlineStr">
        <is>
          <t>soft mist puffer</t>
        </is>
      </c>
      <c r="D1570" t="inlineStr">
        <is>
          <t>CTI</t>
        </is>
      </c>
      <c r="E1570" t="inlineStr">
        <is>
          <t>(en blanco)</t>
        </is>
      </c>
      <c r="F1570" t="inlineStr">
        <is>
          <t>(en blanco)</t>
        </is>
      </c>
      <c r="G1570" t="inlineStr">
        <is>
          <t>L</t>
        </is>
      </c>
      <c r="H1570" t="n">
        <v>78</v>
      </c>
      <c r="I1570" t="inlineStr">
        <is>
          <t>NAUTICA_CLASSICS_117004093_CTI_1.jpg</t>
        </is>
      </c>
      <c r="J1570" t="inlineStr">
        <is>
          <t>NAUTICA_CLASSICS_117004093_CTI_2.jpg</t>
        </is>
      </c>
      <c r="K1570" t="inlineStr">
        <is>
          <t>NAUTICA_CLASSICS_117004093_CTI_3.jpg</t>
        </is>
      </c>
      <c r="L1570">
        <f>IMAGE("file:///E:/Estudios%20y%20certificaciones/ESTUDIOS%20DE%20PROGRAMMING/PROGRAMMING/PERSONAL/PYTHON/Image_Generator_API/imagenes/NAUTICA_CLASSICS_117004093_CTI_1.jpg")</f>
        <v/>
      </c>
      <c r="M1570">
        <f>IMAGE("file:///E:/Estudios%20y%20certificaciones/ESTUDIOS%20DE%20PROGRAMMING/PROGRAMMING/PERSONAL/PYTHON/Image_Generator_API/imagenes/NAUTICA_CLASSICS_117004093_CTI_2.jpg")</f>
        <v/>
      </c>
      <c r="N1570">
        <f>IMAGE("file:///E:/Estudios%20y%20certificaciones/ESTUDIOS%20DE%20PROGRAMMING/PROGRAMMING/PERSONAL/PYTHON/Image_Generator_API/imagenes/NAUTICA_CLASSICS_117004093_CTI_3.jpg")</f>
        <v/>
      </c>
      <c r="O1570">
        <f>HYPERLINK("imagenes/NAUTICA_CLASSICS_117004093_CTI_1.jpg","Ver imagen")</f>
        <v/>
      </c>
      <c r="P1570">
        <f>HYPERLINK("imagenes/NAUTICA_CLASSICS_117004093_CTI_2.jpg","Ver imagen")</f>
        <v/>
      </c>
      <c r="Q1570">
        <f>HYPERLINK("imagenes/NAUTICA_CLASSICS_117004093_CTI_3.jpg","Ver imagen")</f>
        <v/>
      </c>
    </row>
    <row r="1571">
      <c r="A1571" t="inlineStr">
        <is>
          <t>NAUTICA CLASSICS</t>
        </is>
      </c>
      <c r="B1571" t="inlineStr">
        <is>
          <t>117004093</t>
        </is>
      </c>
      <c r="C1571" t="inlineStr">
        <is>
          <t>soft mist puffer</t>
        </is>
      </c>
      <c r="D1571" t="inlineStr">
        <is>
          <t>CTI</t>
        </is>
      </c>
      <c r="E1571" t="inlineStr">
        <is>
          <t>(en blanco)</t>
        </is>
      </c>
      <c r="F1571" t="inlineStr">
        <is>
          <t>(en blanco)</t>
        </is>
      </c>
      <c r="G1571" t="inlineStr">
        <is>
          <t>XL</t>
        </is>
      </c>
      <c r="H1571" t="n">
        <v>6</v>
      </c>
      <c r="I1571" t="inlineStr">
        <is>
          <t>NAUTICA_CLASSICS_117004093_CTI_1.jpg</t>
        </is>
      </c>
      <c r="J1571" t="inlineStr">
        <is>
          <t>NAUTICA_CLASSICS_117004093_CTI_2.jpg</t>
        </is>
      </c>
      <c r="K1571" t="inlineStr">
        <is>
          <t>NAUTICA_CLASSICS_117004093_CTI_3.jpg</t>
        </is>
      </c>
      <c r="L1571">
        <f>IMAGE("file:///E:/Estudios%20y%20certificaciones/ESTUDIOS%20DE%20PROGRAMMING/PROGRAMMING/PERSONAL/PYTHON/Image_Generator_API/imagenes/NAUTICA_CLASSICS_117004093_CTI_1.jpg")</f>
        <v/>
      </c>
      <c r="M1571">
        <f>IMAGE("file:///E:/Estudios%20y%20certificaciones/ESTUDIOS%20DE%20PROGRAMMING/PROGRAMMING/PERSONAL/PYTHON/Image_Generator_API/imagenes/NAUTICA_CLASSICS_117004093_CTI_2.jpg")</f>
        <v/>
      </c>
      <c r="N1571">
        <f>IMAGE("file:///E:/Estudios%20y%20certificaciones/ESTUDIOS%20DE%20PROGRAMMING/PROGRAMMING/PERSONAL/PYTHON/Image_Generator_API/imagenes/NAUTICA_CLASSICS_117004093_CTI_3.jpg")</f>
        <v/>
      </c>
      <c r="O1571">
        <f>HYPERLINK("imagenes/NAUTICA_CLASSICS_117004093_CTI_1.jpg","Ver imagen")</f>
        <v/>
      </c>
      <c r="P1571">
        <f>HYPERLINK("imagenes/NAUTICA_CLASSICS_117004093_CTI_2.jpg","Ver imagen")</f>
        <v/>
      </c>
      <c r="Q1571">
        <f>HYPERLINK("imagenes/NAUTICA_CLASSICS_117004093_CTI_3.jpg","Ver imagen")</f>
        <v/>
      </c>
    </row>
    <row r="1572">
      <c r="A1572" t="inlineStr">
        <is>
          <t>NAUTICA CLASSICS</t>
        </is>
      </c>
      <c r="B1572" t="inlineStr">
        <is>
          <t>117004093</t>
        </is>
      </c>
      <c r="C1572" t="inlineStr">
        <is>
          <t>soft mist puffer</t>
        </is>
      </c>
      <c r="D1572" t="inlineStr">
        <is>
          <t>CTI</t>
        </is>
      </c>
      <c r="E1572" t="inlineStr">
        <is>
          <t>(en blanco)</t>
        </is>
      </c>
      <c r="F1572" t="inlineStr">
        <is>
          <t>(en blanco)</t>
        </is>
      </c>
      <c r="G1572" t="inlineStr">
        <is>
          <t>XXL</t>
        </is>
      </c>
      <c r="H1572" t="n">
        <v>5</v>
      </c>
      <c r="I1572" t="inlineStr">
        <is>
          <t>NAUTICA_CLASSICS_117004093_CTI_1.jpg</t>
        </is>
      </c>
      <c r="J1572" t="inlineStr">
        <is>
          <t>NAUTICA_CLASSICS_117004093_CTI_2.jpg</t>
        </is>
      </c>
      <c r="K1572" t="inlineStr">
        <is>
          <t>NAUTICA_CLASSICS_117004093_CTI_3.jpg</t>
        </is>
      </c>
      <c r="L1572">
        <f>IMAGE("file:///E:/Estudios%20y%20certificaciones/ESTUDIOS%20DE%20PROGRAMMING/PROGRAMMING/PERSONAL/PYTHON/Image_Generator_API/imagenes/NAUTICA_CLASSICS_117004093_CTI_1.jpg")</f>
        <v/>
      </c>
      <c r="M1572">
        <f>IMAGE("file:///E:/Estudios%20y%20certificaciones/ESTUDIOS%20DE%20PROGRAMMING/PROGRAMMING/PERSONAL/PYTHON/Image_Generator_API/imagenes/NAUTICA_CLASSICS_117004093_CTI_2.jpg")</f>
        <v/>
      </c>
      <c r="N1572">
        <f>IMAGE("file:///E:/Estudios%20y%20certificaciones/ESTUDIOS%20DE%20PROGRAMMING/PROGRAMMING/PERSONAL/PYTHON/Image_Generator_API/imagenes/NAUTICA_CLASSICS_117004093_CTI_3.jpg")</f>
        <v/>
      </c>
      <c r="O1572">
        <f>HYPERLINK("imagenes/NAUTICA_CLASSICS_117004093_CTI_1.jpg","Ver imagen")</f>
        <v/>
      </c>
      <c r="P1572">
        <f>HYPERLINK("imagenes/NAUTICA_CLASSICS_117004093_CTI_2.jpg","Ver imagen")</f>
        <v/>
      </c>
      <c r="Q1572">
        <f>HYPERLINK("imagenes/NAUTICA_CLASSICS_117004093_CTI_3.jpg","Ver imagen")</f>
        <v/>
      </c>
    </row>
    <row r="1573">
      <c r="A1573" t="inlineStr">
        <is>
          <t>NAUTICA CLASSICS</t>
        </is>
      </c>
      <c r="B1573" t="inlineStr">
        <is>
          <t>117004093</t>
        </is>
      </c>
      <c r="C1573" t="inlineStr">
        <is>
          <t>soft mist puffer</t>
        </is>
      </c>
      <c r="D1573" t="inlineStr">
        <is>
          <t>CTI</t>
        </is>
      </c>
      <c r="E1573" t="inlineStr">
        <is>
          <t>(en blanco)</t>
        </is>
      </c>
      <c r="F1573" t="inlineStr">
        <is>
          <t>(en blanco)</t>
        </is>
      </c>
      <c r="G1573" t="inlineStr">
        <is>
          <t>XXS</t>
        </is>
      </c>
      <c r="H1573" t="n">
        <v>14</v>
      </c>
      <c r="I1573" t="inlineStr">
        <is>
          <t>NAUTICA_CLASSICS_117004093_CTI_1.jpg</t>
        </is>
      </c>
      <c r="J1573" t="inlineStr">
        <is>
          <t>NAUTICA_CLASSICS_117004093_CTI_2.jpg</t>
        </is>
      </c>
      <c r="K1573" t="inlineStr">
        <is>
          <t>NAUTICA_CLASSICS_117004093_CTI_3.jpg</t>
        </is>
      </c>
      <c r="L1573">
        <f>IMAGE("file:///E:/Estudios%20y%20certificaciones/ESTUDIOS%20DE%20PROGRAMMING/PROGRAMMING/PERSONAL/PYTHON/Image_Generator_API/imagenes/NAUTICA_CLASSICS_117004093_CTI_1.jpg")</f>
        <v/>
      </c>
      <c r="M1573">
        <f>IMAGE("file:///E:/Estudios%20y%20certificaciones/ESTUDIOS%20DE%20PROGRAMMING/PROGRAMMING/PERSONAL/PYTHON/Image_Generator_API/imagenes/NAUTICA_CLASSICS_117004093_CTI_2.jpg")</f>
        <v/>
      </c>
      <c r="N1573">
        <f>IMAGE("file:///E:/Estudios%20y%20certificaciones/ESTUDIOS%20DE%20PROGRAMMING/PROGRAMMING/PERSONAL/PYTHON/Image_Generator_API/imagenes/NAUTICA_CLASSICS_117004093_CTI_3.jpg")</f>
        <v/>
      </c>
      <c r="O1573">
        <f>HYPERLINK("imagenes/NAUTICA_CLASSICS_117004093_CTI_1.jpg","Ver imagen")</f>
        <v/>
      </c>
      <c r="P1573">
        <f>HYPERLINK("imagenes/NAUTICA_CLASSICS_117004093_CTI_2.jpg","Ver imagen")</f>
        <v/>
      </c>
      <c r="Q1573">
        <f>HYPERLINK("imagenes/NAUTICA_CLASSICS_117004093_CTI_3.jpg","Ver imagen")</f>
        <v/>
      </c>
    </row>
    <row r="1574">
      <c r="A1574" t="inlineStr">
        <is>
          <t>NAUTICA CLASSICS</t>
        </is>
      </c>
      <c r="B1574" t="inlineStr">
        <is>
          <t>117004093</t>
        </is>
      </c>
      <c r="C1574" t="inlineStr">
        <is>
          <t>soft mist puffer</t>
        </is>
      </c>
      <c r="D1574" t="inlineStr">
        <is>
          <t>LMS</t>
        </is>
      </c>
      <c r="E1574" t="inlineStr">
        <is>
          <t>(en blanco)</t>
        </is>
      </c>
      <c r="F1574" t="inlineStr">
        <is>
          <t>(en blanco)</t>
        </is>
      </c>
      <c r="G1574" t="inlineStr">
        <is>
          <t>XS</t>
        </is>
      </c>
      <c r="H1574" t="n">
        <v>4</v>
      </c>
      <c r="I1574" t="inlineStr">
        <is>
          <t>NAUTICA_CLASSICS_117004093_LMS_1.jpg</t>
        </is>
      </c>
      <c r="J1574" t="inlineStr">
        <is>
          <t>NAUTICA_CLASSICS_117004093_LMS_2.jpg</t>
        </is>
      </c>
      <c r="K1574" t="inlineStr">
        <is>
          <t>NAUTICA_CLASSICS_117004093_LMS_3.jpg</t>
        </is>
      </c>
      <c r="L1574">
        <f>IMAGE("file:///E:/Estudios%20y%20certificaciones/ESTUDIOS%20DE%20PROGRAMMING/PROGRAMMING/PERSONAL/PYTHON/Image_Generator_API/imagenes/NAUTICA_CLASSICS_117004093_LMS_1.jpg")</f>
        <v/>
      </c>
      <c r="M1574">
        <f>IMAGE("file:///E:/Estudios%20y%20certificaciones/ESTUDIOS%20DE%20PROGRAMMING/PROGRAMMING/PERSONAL/PYTHON/Image_Generator_API/imagenes/NAUTICA_CLASSICS_117004093_LMS_2.jpg")</f>
        <v/>
      </c>
      <c r="N1574">
        <f>IMAGE("file:///E:/Estudios%20y%20certificaciones/ESTUDIOS%20DE%20PROGRAMMING/PROGRAMMING/PERSONAL/PYTHON/Image_Generator_API/imagenes/NAUTICA_CLASSICS_117004093_LMS_3.jpg")</f>
        <v/>
      </c>
      <c r="O1574">
        <f>HYPERLINK("imagenes/NAUTICA_CLASSICS_117004093_LMS_1.jpg","Ver imagen")</f>
        <v/>
      </c>
      <c r="P1574">
        <f>HYPERLINK("imagenes/NAUTICA_CLASSICS_117004093_LMS_2.jpg","Ver imagen")</f>
        <v/>
      </c>
      <c r="Q1574">
        <f>HYPERLINK("imagenes/NAUTICA_CLASSICS_117004093_LMS_3.jpg","Ver imagen")</f>
        <v/>
      </c>
    </row>
    <row r="1575">
      <c r="A1575" t="inlineStr">
        <is>
          <t>NAUTICA CLASSICS</t>
        </is>
      </c>
      <c r="B1575" t="inlineStr">
        <is>
          <t>117004093</t>
        </is>
      </c>
      <c r="C1575" t="inlineStr">
        <is>
          <t>soft mist puffer</t>
        </is>
      </c>
      <c r="D1575" t="inlineStr">
        <is>
          <t>LMS</t>
        </is>
      </c>
      <c r="E1575" t="inlineStr">
        <is>
          <t>(en blanco)</t>
        </is>
      </c>
      <c r="F1575" t="inlineStr">
        <is>
          <t>(en blanco)</t>
        </is>
      </c>
      <c r="G1575" t="inlineStr">
        <is>
          <t>S</t>
        </is>
      </c>
      <c r="H1575" t="n">
        <v>8</v>
      </c>
      <c r="I1575" t="inlineStr">
        <is>
          <t>NAUTICA_CLASSICS_117004093_LMS_1.jpg</t>
        </is>
      </c>
      <c r="J1575" t="inlineStr">
        <is>
          <t>NAUTICA_CLASSICS_117004093_LMS_2.jpg</t>
        </is>
      </c>
      <c r="K1575" t="inlineStr">
        <is>
          <t>NAUTICA_CLASSICS_117004093_LMS_3.jpg</t>
        </is>
      </c>
      <c r="L1575">
        <f>IMAGE("file:///E:/Estudios%20y%20certificaciones/ESTUDIOS%20DE%20PROGRAMMING/PROGRAMMING/PERSONAL/PYTHON/Image_Generator_API/imagenes/NAUTICA_CLASSICS_117004093_LMS_1.jpg")</f>
        <v/>
      </c>
      <c r="M1575">
        <f>IMAGE("file:///E:/Estudios%20y%20certificaciones/ESTUDIOS%20DE%20PROGRAMMING/PROGRAMMING/PERSONAL/PYTHON/Image_Generator_API/imagenes/NAUTICA_CLASSICS_117004093_LMS_2.jpg")</f>
        <v/>
      </c>
      <c r="N1575">
        <f>IMAGE("file:///E:/Estudios%20y%20certificaciones/ESTUDIOS%20DE%20PROGRAMMING/PROGRAMMING/PERSONAL/PYTHON/Image_Generator_API/imagenes/NAUTICA_CLASSICS_117004093_LMS_3.jpg")</f>
        <v/>
      </c>
      <c r="O1575">
        <f>HYPERLINK("imagenes/NAUTICA_CLASSICS_117004093_LMS_1.jpg","Ver imagen")</f>
        <v/>
      </c>
      <c r="P1575">
        <f>HYPERLINK("imagenes/NAUTICA_CLASSICS_117004093_LMS_2.jpg","Ver imagen")</f>
        <v/>
      </c>
      <c r="Q1575">
        <f>HYPERLINK("imagenes/NAUTICA_CLASSICS_117004093_LMS_3.jpg","Ver imagen")</f>
        <v/>
      </c>
    </row>
    <row r="1576">
      <c r="A1576" t="inlineStr">
        <is>
          <t>NAUTICA CLASSICS</t>
        </is>
      </c>
      <c r="B1576" t="inlineStr">
        <is>
          <t>117004093</t>
        </is>
      </c>
      <c r="C1576" t="inlineStr">
        <is>
          <t>soft mist puffer</t>
        </is>
      </c>
      <c r="D1576" t="inlineStr">
        <is>
          <t>LMS</t>
        </is>
      </c>
      <c r="E1576" t="inlineStr">
        <is>
          <t>(en blanco)</t>
        </is>
      </c>
      <c r="F1576" t="inlineStr">
        <is>
          <t>(en blanco)</t>
        </is>
      </c>
      <c r="G1576" t="inlineStr">
        <is>
          <t>M</t>
        </is>
      </c>
      <c r="H1576" t="n">
        <v>2</v>
      </c>
      <c r="I1576" t="inlineStr">
        <is>
          <t>NAUTICA_CLASSICS_117004093_LMS_1.jpg</t>
        </is>
      </c>
      <c r="J1576" t="inlineStr">
        <is>
          <t>NAUTICA_CLASSICS_117004093_LMS_2.jpg</t>
        </is>
      </c>
      <c r="K1576" t="inlineStr">
        <is>
          <t>NAUTICA_CLASSICS_117004093_LMS_3.jpg</t>
        </is>
      </c>
      <c r="L1576">
        <f>IMAGE("file:///E:/Estudios%20y%20certificaciones/ESTUDIOS%20DE%20PROGRAMMING/PROGRAMMING/PERSONAL/PYTHON/Image_Generator_API/imagenes/NAUTICA_CLASSICS_117004093_LMS_1.jpg")</f>
        <v/>
      </c>
      <c r="M1576">
        <f>IMAGE("file:///E:/Estudios%20y%20certificaciones/ESTUDIOS%20DE%20PROGRAMMING/PROGRAMMING/PERSONAL/PYTHON/Image_Generator_API/imagenes/NAUTICA_CLASSICS_117004093_LMS_2.jpg")</f>
        <v/>
      </c>
      <c r="N1576">
        <f>IMAGE("file:///E:/Estudios%20y%20certificaciones/ESTUDIOS%20DE%20PROGRAMMING/PROGRAMMING/PERSONAL/PYTHON/Image_Generator_API/imagenes/NAUTICA_CLASSICS_117004093_LMS_3.jpg")</f>
        <v/>
      </c>
      <c r="O1576">
        <f>HYPERLINK("imagenes/NAUTICA_CLASSICS_117004093_LMS_1.jpg","Ver imagen")</f>
        <v/>
      </c>
      <c r="P1576">
        <f>HYPERLINK("imagenes/NAUTICA_CLASSICS_117004093_LMS_2.jpg","Ver imagen")</f>
        <v/>
      </c>
      <c r="Q1576">
        <f>HYPERLINK("imagenes/NAUTICA_CLASSICS_117004093_LMS_3.jpg","Ver imagen")</f>
        <v/>
      </c>
    </row>
    <row r="1577">
      <c r="A1577" t="inlineStr">
        <is>
          <t>NAUTICA CLASSICS</t>
        </is>
      </c>
      <c r="B1577" t="inlineStr">
        <is>
          <t>117004093</t>
        </is>
      </c>
      <c r="C1577" t="inlineStr">
        <is>
          <t>soft mist puffer</t>
        </is>
      </c>
      <c r="D1577" t="inlineStr">
        <is>
          <t>LMS</t>
        </is>
      </c>
      <c r="E1577" t="inlineStr">
        <is>
          <t>(en blanco)</t>
        </is>
      </c>
      <c r="F1577" t="inlineStr">
        <is>
          <t>(en blanco)</t>
        </is>
      </c>
      <c r="G1577" t="inlineStr">
        <is>
          <t>L</t>
        </is>
      </c>
      <c r="H1577" t="n">
        <v>9</v>
      </c>
      <c r="I1577" t="inlineStr">
        <is>
          <t>NAUTICA_CLASSICS_117004093_LMS_1.jpg</t>
        </is>
      </c>
      <c r="J1577" t="inlineStr">
        <is>
          <t>NAUTICA_CLASSICS_117004093_LMS_2.jpg</t>
        </is>
      </c>
      <c r="K1577" t="inlineStr">
        <is>
          <t>NAUTICA_CLASSICS_117004093_LMS_3.jpg</t>
        </is>
      </c>
      <c r="L1577">
        <f>IMAGE("file:///E:/Estudios%20y%20certificaciones/ESTUDIOS%20DE%20PROGRAMMING/PROGRAMMING/PERSONAL/PYTHON/Image_Generator_API/imagenes/NAUTICA_CLASSICS_117004093_LMS_1.jpg")</f>
        <v/>
      </c>
      <c r="M1577">
        <f>IMAGE("file:///E:/Estudios%20y%20certificaciones/ESTUDIOS%20DE%20PROGRAMMING/PROGRAMMING/PERSONAL/PYTHON/Image_Generator_API/imagenes/NAUTICA_CLASSICS_117004093_LMS_2.jpg")</f>
        <v/>
      </c>
      <c r="N1577">
        <f>IMAGE("file:///E:/Estudios%20y%20certificaciones/ESTUDIOS%20DE%20PROGRAMMING/PROGRAMMING/PERSONAL/PYTHON/Image_Generator_API/imagenes/NAUTICA_CLASSICS_117004093_LMS_3.jpg")</f>
        <v/>
      </c>
      <c r="O1577">
        <f>HYPERLINK("imagenes/NAUTICA_CLASSICS_117004093_LMS_1.jpg","Ver imagen")</f>
        <v/>
      </c>
      <c r="P1577">
        <f>HYPERLINK("imagenes/NAUTICA_CLASSICS_117004093_LMS_2.jpg","Ver imagen")</f>
        <v/>
      </c>
      <c r="Q1577">
        <f>HYPERLINK("imagenes/NAUTICA_CLASSICS_117004093_LMS_3.jpg","Ver imagen")</f>
        <v/>
      </c>
    </row>
    <row r="1578">
      <c r="A1578" t="inlineStr">
        <is>
          <t>NAUTICA CLASSICS</t>
        </is>
      </c>
      <c r="B1578" t="inlineStr">
        <is>
          <t>117004093</t>
        </is>
      </c>
      <c r="C1578" t="inlineStr">
        <is>
          <t>soft mist puffer</t>
        </is>
      </c>
      <c r="D1578" t="inlineStr">
        <is>
          <t>NSS</t>
        </is>
      </c>
      <c r="E1578" t="inlineStr">
        <is>
          <t>(en blanco)</t>
        </is>
      </c>
      <c r="F1578" t="inlineStr">
        <is>
          <t>D2C</t>
        </is>
      </c>
      <c r="G1578" t="inlineStr">
        <is>
          <t>XS</t>
        </is>
      </c>
      <c r="H1578" t="n">
        <v>8</v>
      </c>
      <c r="I1578" t="inlineStr">
        <is>
          <t>NAUTICA_CLASSICS_117004093_NSS_1.jpg</t>
        </is>
      </c>
      <c r="J1578" t="inlineStr">
        <is>
          <t>NAUTICA_CLASSICS_117004093_NSS_2.jpg</t>
        </is>
      </c>
      <c r="K1578" t="inlineStr">
        <is>
          <t>NAUTICA_CLASSICS_117004093_NSS_3.jpg</t>
        </is>
      </c>
      <c r="L1578">
        <f>IMAGE("file:///E:/Estudios%20y%20certificaciones/ESTUDIOS%20DE%20PROGRAMMING/PROGRAMMING/PERSONAL/PYTHON/Image_Generator_API/imagenes/NAUTICA_CLASSICS_117004093_NSS_1.jpg")</f>
        <v/>
      </c>
      <c r="M1578">
        <f>IMAGE("file:///E:/Estudios%20y%20certificaciones/ESTUDIOS%20DE%20PROGRAMMING/PROGRAMMING/PERSONAL/PYTHON/Image_Generator_API/imagenes/NAUTICA_CLASSICS_117004093_NSS_2.jpg")</f>
        <v/>
      </c>
      <c r="N1578">
        <f>IMAGE("file:///E:/Estudios%20y%20certificaciones/ESTUDIOS%20DE%20PROGRAMMING/PROGRAMMING/PERSONAL/PYTHON/Image_Generator_API/imagenes/NAUTICA_CLASSICS_117004093_NSS_3.jpg")</f>
        <v/>
      </c>
      <c r="O1578">
        <f>HYPERLINK("imagenes/NAUTICA_CLASSICS_117004093_NSS_1.jpg","Ver imagen")</f>
        <v/>
      </c>
      <c r="P1578">
        <f>HYPERLINK("imagenes/NAUTICA_CLASSICS_117004093_NSS_2.jpg","Ver imagen")</f>
        <v/>
      </c>
      <c r="Q1578">
        <f>HYPERLINK("imagenes/NAUTICA_CLASSICS_117004093_NSS_3.jpg","Ver imagen")</f>
        <v/>
      </c>
    </row>
    <row r="1579">
      <c r="A1579" t="inlineStr">
        <is>
          <t>NAUTICA CLASSICS</t>
        </is>
      </c>
      <c r="B1579" t="inlineStr">
        <is>
          <t>117004093</t>
        </is>
      </c>
      <c r="C1579" t="inlineStr">
        <is>
          <t>soft mist puffer</t>
        </is>
      </c>
      <c r="D1579" t="inlineStr">
        <is>
          <t>NSS</t>
        </is>
      </c>
      <c r="E1579" t="inlineStr">
        <is>
          <t>(en blanco)</t>
        </is>
      </c>
      <c r="F1579" t="inlineStr">
        <is>
          <t>D2C</t>
        </is>
      </c>
      <c r="G1579" t="inlineStr">
        <is>
          <t>S</t>
        </is>
      </c>
      <c r="H1579" t="n">
        <v>9</v>
      </c>
      <c r="I1579" t="inlineStr">
        <is>
          <t>NAUTICA_CLASSICS_117004093_NSS_1.jpg</t>
        </is>
      </c>
      <c r="J1579" t="inlineStr">
        <is>
          <t>NAUTICA_CLASSICS_117004093_NSS_2.jpg</t>
        </is>
      </c>
      <c r="K1579" t="inlineStr">
        <is>
          <t>NAUTICA_CLASSICS_117004093_NSS_3.jpg</t>
        </is>
      </c>
      <c r="L1579">
        <f>IMAGE("file:///E:/Estudios%20y%20certificaciones/ESTUDIOS%20DE%20PROGRAMMING/PROGRAMMING/PERSONAL/PYTHON/Image_Generator_API/imagenes/NAUTICA_CLASSICS_117004093_NSS_1.jpg")</f>
        <v/>
      </c>
      <c r="M1579">
        <f>IMAGE("file:///E:/Estudios%20y%20certificaciones/ESTUDIOS%20DE%20PROGRAMMING/PROGRAMMING/PERSONAL/PYTHON/Image_Generator_API/imagenes/NAUTICA_CLASSICS_117004093_NSS_2.jpg")</f>
        <v/>
      </c>
      <c r="N1579">
        <f>IMAGE("file:///E:/Estudios%20y%20certificaciones/ESTUDIOS%20DE%20PROGRAMMING/PROGRAMMING/PERSONAL/PYTHON/Image_Generator_API/imagenes/NAUTICA_CLASSICS_117004093_NSS_3.jpg")</f>
        <v/>
      </c>
      <c r="O1579">
        <f>HYPERLINK("imagenes/NAUTICA_CLASSICS_117004093_NSS_1.jpg","Ver imagen")</f>
        <v/>
      </c>
      <c r="P1579">
        <f>HYPERLINK("imagenes/NAUTICA_CLASSICS_117004093_NSS_2.jpg","Ver imagen")</f>
        <v/>
      </c>
      <c r="Q1579">
        <f>HYPERLINK("imagenes/NAUTICA_CLASSICS_117004093_NSS_3.jpg","Ver imagen")</f>
        <v/>
      </c>
    </row>
    <row r="1580">
      <c r="A1580" t="inlineStr">
        <is>
          <t>NAUTICA CLASSICS</t>
        </is>
      </c>
      <c r="B1580" t="inlineStr">
        <is>
          <t>117004093</t>
        </is>
      </c>
      <c r="C1580" t="inlineStr">
        <is>
          <t>soft mist puffer</t>
        </is>
      </c>
      <c r="D1580" t="inlineStr">
        <is>
          <t>NSS</t>
        </is>
      </c>
      <c r="E1580" t="inlineStr">
        <is>
          <t>(en blanco)</t>
        </is>
      </c>
      <c r="F1580" t="inlineStr">
        <is>
          <t>D2C</t>
        </is>
      </c>
      <c r="G1580" t="inlineStr">
        <is>
          <t>M</t>
        </is>
      </c>
      <c r="H1580" t="n">
        <v>1</v>
      </c>
      <c r="I1580" t="inlineStr">
        <is>
          <t>NAUTICA_CLASSICS_117004093_NSS_1.jpg</t>
        </is>
      </c>
      <c r="J1580" t="inlineStr">
        <is>
          <t>NAUTICA_CLASSICS_117004093_NSS_2.jpg</t>
        </is>
      </c>
      <c r="K1580" t="inlineStr">
        <is>
          <t>NAUTICA_CLASSICS_117004093_NSS_3.jpg</t>
        </is>
      </c>
      <c r="L1580">
        <f>IMAGE("file:///E:/Estudios%20y%20certificaciones/ESTUDIOS%20DE%20PROGRAMMING/PROGRAMMING/PERSONAL/PYTHON/Image_Generator_API/imagenes/NAUTICA_CLASSICS_117004093_NSS_1.jpg")</f>
        <v/>
      </c>
      <c r="M1580">
        <f>IMAGE("file:///E:/Estudios%20y%20certificaciones/ESTUDIOS%20DE%20PROGRAMMING/PROGRAMMING/PERSONAL/PYTHON/Image_Generator_API/imagenes/NAUTICA_CLASSICS_117004093_NSS_2.jpg")</f>
        <v/>
      </c>
      <c r="N1580">
        <f>IMAGE("file:///E:/Estudios%20y%20certificaciones/ESTUDIOS%20DE%20PROGRAMMING/PROGRAMMING/PERSONAL/PYTHON/Image_Generator_API/imagenes/NAUTICA_CLASSICS_117004093_NSS_3.jpg")</f>
        <v/>
      </c>
      <c r="O1580">
        <f>HYPERLINK("imagenes/NAUTICA_CLASSICS_117004093_NSS_1.jpg","Ver imagen")</f>
        <v/>
      </c>
      <c r="P1580">
        <f>HYPERLINK("imagenes/NAUTICA_CLASSICS_117004093_NSS_2.jpg","Ver imagen")</f>
        <v/>
      </c>
      <c r="Q1580">
        <f>HYPERLINK("imagenes/NAUTICA_CLASSICS_117004093_NSS_3.jpg","Ver imagen")</f>
        <v/>
      </c>
    </row>
    <row r="1581">
      <c r="A1581" t="inlineStr">
        <is>
          <t>NAUTICA CLASSICS</t>
        </is>
      </c>
      <c r="B1581" t="inlineStr">
        <is>
          <t>117004093</t>
        </is>
      </c>
      <c r="C1581" t="inlineStr">
        <is>
          <t>soft mist puffer</t>
        </is>
      </c>
      <c r="D1581" t="inlineStr">
        <is>
          <t>NSS</t>
        </is>
      </c>
      <c r="E1581" t="inlineStr">
        <is>
          <t>(en blanco)</t>
        </is>
      </c>
      <c r="F1581" t="inlineStr">
        <is>
          <t>D2C</t>
        </is>
      </c>
      <c r="G1581" t="inlineStr">
        <is>
          <t>L</t>
        </is>
      </c>
      <c r="H1581" t="n">
        <v>0</v>
      </c>
      <c r="I1581" t="inlineStr">
        <is>
          <t>NAUTICA_CLASSICS_117004093_NSS_1.jpg</t>
        </is>
      </c>
      <c r="J1581" t="inlineStr">
        <is>
          <t>NAUTICA_CLASSICS_117004093_NSS_2.jpg</t>
        </is>
      </c>
      <c r="K1581" t="inlineStr">
        <is>
          <t>NAUTICA_CLASSICS_117004093_NSS_3.jpg</t>
        </is>
      </c>
      <c r="L1581">
        <f>IMAGE("file:///E:/Estudios%20y%20certificaciones/ESTUDIOS%20DE%20PROGRAMMING/PROGRAMMING/PERSONAL/PYTHON/Image_Generator_API/imagenes/NAUTICA_CLASSICS_117004093_NSS_1.jpg")</f>
        <v/>
      </c>
      <c r="M1581">
        <f>IMAGE("file:///E:/Estudios%20y%20certificaciones/ESTUDIOS%20DE%20PROGRAMMING/PROGRAMMING/PERSONAL/PYTHON/Image_Generator_API/imagenes/NAUTICA_CLASSICS_117004093_NSS_2.jpg")</f>
        <v/>
      </c>
      <c r="N1581">
        <f>IMAGE("file:///E:/Estudios%20y%20certificaciones/ESTUDIOS%20DE%20PROGRAMMING/PROGRAMMING/PERSONAL/PYTHON/Image_Generator_API/imagenes/NAUTICA_CLASSICS_117004093_NSS_3.jpg")</f>
        <v/>
      </c>
      <c r="O1581">
        <f>HYPERLINK("imagenes/NAUTICA_CLASSICS_117004093_NSS_1.jpg","Ver imagen")</f>
        <v/>
      </c>
      <c r="P1581">
        <f>HYPERLINK("imagenes/NAUTICA_CLASSICS_117004093_NSS_2.jpg","Ver imagen")</f>
        <v/>
      </c>
      <c r="Q1581">
        <f>HYPERLINK("imagenes/NAUTICA_CLASSICS_117004093_NSS_3.jpg","Ver imagen")</f>
        <v/>
      </c>
    </row>
    <row r="1582">
      <c r="A1582" t="inlineStr">
        <is>
          <t>NAUTICA CLASSICS</t>
        </is>
      </c>
      <c r="B1582" t="inlineStr">
        <is>
          <t>117004093</t>
        </is>
      </c>
      <c r="C1582" t="inlineStr">
        <is>
          <t>soft mist puffer</t>
        </is>
      </c>
      <c r="D1582" t="inlineStr">
        <is>
          <t>NSS</t>
        </is>
      </c>
      <c r="E1582" t="inlineStr">
        <is>
          <t>(en blanco)</t>
        </is>
      </c>
      <c r="F1582" t="inlineStr">
        <is>
          <t>D2C</t>
        </is>
      </c>
      <c r="G1582" t="inlineStr">
        <is>
          <t>XL</t>
        </is>
      </c>
      <c r="H1582" t="n">
        <v>0</v>
      </c>
      <c r="I1582" t="inlineStr">
        <is>
          <t>NAUTICA_CLASSICS_117004093_NSS_1.jpg</t>
        </is>
      </c>
      <c r="J1582" t="inlineStr">
        <is>
          <t>NAUTICA_CLASSICS_117004093_NSS_2.jpg</t>
        </is>
      </c>
      <c r="K1582" t="inlineStr">
        <is>
          <t>NAUTICA_CLASSICS_117004093_NSS_3.jpg</t>
        </is>
      </c>
      <c r="L1582">
        <f>IMAGE("file:///E:/Estudios%20y%20certificaciones/ESTUDIOS%20DE%20PROGRAMMING/PROGRAMMING/PERSONAL/PYTHON/Image_Generator_API/imagenes/NAUTICA_CLASSICS_117004093_NSS_1.jpg")</f>
        <v/>
      </c>
      <c r="M1582">
        <f>IMAGE("file:///E:/Estudios%20y%20certificaciones/ESTUDIOS%20DE%20PROGRAMMING/PROGRAMMING/PERSONAL/PYTHON/Image_Generator_API/imagenes/NAUTICA_CLASSICS_117004093_NSS_2.jpg")</f>
        <v/>
      </c>
      <c r="N1582">
        <f>IMAGE("file:///E:/Estudios%20y%20certificaciones/ESTUDIOS%20DE%20PROGRAMMING/PROGRAMMING/PERSONAL/PYTHON/Image_Generator_API/imagenes/NAUTICA_CLASSICS_117004093_NSS_3.jpg")</f>
        <v/>
      </c>
      <c r="O1582">
        <f>HYPERLINK("imagenes/NAUTICA_CLASSICS_117004093_NSS_1.jpg","Ver imagen")</f>
        <v/>
      </c>
      <c r="P1582">
        <f>HYPERLINK("imagenes/NAUTICA_CLASSICS_117004093_NSS_2.jpg","Ver imagen")</f>
        <v/>
      </c>
      <c r="Q1582">
        <f>HYPERLINK("imagenes/NAUTICA_CLASSICS_117004093_NSS_3.jpg","Ver imagen")</f>
        <v/>
      </c>
    </row>
    <row r="1583">
      <c r="A1583" t="inlineStr">
        <is>
          <t>NAUTICA CLASSICS</t>
        </is>
      </c>
      <c r="B1583" t="inlineStr">
        <is>
          <t>117004093</t>
        </is>
      </c>
      <c r="C1583" t="inlineStr">
        <is>
          <t>soft mist puffer</t>
        </is>
      </c>
      <c r="D1583" t="inlineStr">
        <is>
          <t>NSS</t>
        </is>
      </c>
      <c r="E1583" t="inlineStr">
        <is>
          <t>(en blanco)</t>
        </is>
      </c>
      <c r="F1583" t="inlineStr">
        <is>
          <t>D2C</t>
        </is>
      </c>
      <c r="G1583" t="inlineStr">
        <is>
          <t>XXS</t>
        </is>
      </c>
      <c r="H1583" t="n">
        <v>10</v>
      </c>
      <c r="I1583" t="inlineStr">
        <is>
          <t>NAUTICA_CLASSICS_117004093_NSS_1.jpg</t>
        </is>
      </c>
      <c r="J1583" t="inlineStr">
        <is>
          <t>NAUTICA_CLASSICS_117004093_NSS_2.jpg</t>
        </is>
      </c>
      <c r="K1583" t="inlineStr">
        <is>
          <t>NAUTICA_CLASSICS_117004093_NSS_3.jpg</t>
        </is>
      </c>
      <c r="L1583">
        <f>IMAGE("file:///E:/Estudios%20y%20certificaciones/ESTUDIOS%20DE%20PROGRAMMING/PROGRAMMING/PERSONAL/PYTHON/Image_Generator_API/imagenes/NAUTICA_CLASSICS_117004093_NSS_1.jpg")</f>
        <v/>
      </c>
      <c r="M1583">
        <f>IMAGE("file:///E:/Estudios%20y%20certificaciones/ESTUDIOS%20DE%20PROGRAMMING/PROGRAMMING/PERSONAL/PYTHON/Image_Generator_API/imagenes/NAUTICA_CLASSICS_117004093_NSS_2.jpg")</f>
        <v/>
      </c>
      <c r="N1583">
        <f>IMAGE("file:///E:/Estudios%20y%20certificaciones/ESTUDIOS%20DE%20PROGRAMMING/PROGRAMMING/PERSONAL/PYTHON/Image_Generator_API/imagenes/NAUTICA_CLASSICS_117004093_NSS_3.jpg")</f>
        <v/>
      </c>
      <c r="O1583">
        <f>HYPERLINK("imagenes/NAUTICA_CLASSICS_117004093_NSS_1.jpg","Ver imagen")</f>
        <v/>
      </c>
      <c r="P1583">
        <f>HYPERLINK("imagenes/NAUTICA_CLASSICS_117004093_NSS_2.jpg","Ver imagen")</f>
        <v/>
      </c>
      <c r="Q1583">
        <f>HYPERLINK("imagenes/NAUTICA_CLASSICS_117004093_NSS_3.jpg","Ver imagen")</f>
        <v/>
      </c>
    </row>
    <row r="1584">
      <c r="A1584" t="inlineStr">
        <is>
          <t>NAUTICA CLASSICS</t>
        </is>
      </c>
      <c r="B1584" t="inlineStr">
        <is>
          <t>117004093</t>
        </is>
      </c>
      <c r="C1584" t="inlineStr">
        <is>
          <t>soft mist puffer</t>
        </is>
      </c>
      <c r="D1584" t="inlineStr">
        <is>
          <t>NSS</t>
        </is>
      </c>
      <c r="E1584" t="inlineStr">
        <is>
          <t>(en blanco)</t>
        </is>
      </c>
      <c r="F1584" t="inlineStr">
        <is>
          <t>MACYS ECOM</t>
        </is>
      </c>
      <c r="G1584" t="inlineStr">
        <is>
          <t>XS</t>
        </is>
      </c>
      <c r="H1584" t="n">
        <v>171</v>
      </c>
      <c r="I1584" t="inlineStr">
        <is>
          <t>NAUTICA_CLASSICS_117004093_NSS_1.jpg</t>
        </is>
      </c>
      <c r="J1584" t="inlineStr">
        <is>
          <t>NAUTICA_CLASSICS_117004093_NSS_2.jpg</t>
        </is>
      </c>
      <c r="K1584" t="inlineStr">
        <is>
          <t>NAUTICA_CLASSICS_117004093_NSS_3.jpg</t>
        </is>
      </c>
      <c r="L1584">
        <f>IMAGE("file:///E:/Estudios%20y%20certificaciones/ESTUDIOS%20DE%20PROGRAMMING/PROGRAMMING/PERSONAL/PYTHON/Image_Generator_API/imagenes/NAUTICA_CLASSICS_117004093_NSS_1.jpg")</f>
        <v/>
      </c>
      <c r="M1584">
        <f>IMAGE("file:///E:/Estudios%20y%20certificaciones/ESTUDIOS%20DE%20PROGRAMMING/PROGRAMMING/PERSONAL/PYTHON/Image_Generator_API/imagenes/NAUTICA_CLASSICS_117004093_NSS_2.jpg")</f>
        <v/>
      </c>
      <c r="N1584">
        <f>IMAGE("file:///E:/Estudios%20y%20certificaciones/ESTUDIOS%20DE%20PROGRAMMING/PROGRAMMING/PERSONAL/PYTHON/Image_Generator_API/imagenes/NAUTICA_CLASSICS_117004093_NSS_3.jpg")</f>
        <v/>
      </c>
      <c r="O1584">
        <f>HYPERLINK("imagenes/NAUTICA_CLASSICS_117004093_NSS_1.jpg","Ver imagen")</f>
        <v/>
      </c>
      <c r="P1584">
        <f>HYPERLINK("imagenes/NAUTICA_CLASSICS_117004093_NSS_2.jpg","Ver imagen")</f>
        <v/>
      </c>
      <c r="Q1584">
        <f>HYPERLINK("imagenes/NAUTICA_CLASSICS_117004093_NSS_3.jpg","Ver imagen")</f>
        <v/>
      </c>
    </row>
    <row r="1585">
      <c r="A1585" t="inlineStr">
        <is>
          <t>NAUTICA CLASSICS</t>
        </is>
      </c>
      <c r="B1585" t="inlineStr">
        <is>
          <t>117004093</t>
        </is>
      </c>
      <c r="C1585" t="inlineStr">
        <is>
          <t>soft mist puffer</t>
        </is>
      </c>
      <c r="D1585" t="inlineStr">
        <is>
          <t>NSS</t>
        </is>
      </c>
      <c r="E1585" t="inlineStr">
        <is>
          <t>(en blanco)</t>
        </is>
      </c>
      <c r="F1585" t="inlineStr">
        <is>
          <t>MACYS ECOM</t>
        </is>
      </c>
      <c r="G1585" t="inlineStr">
        <is>
          <t>S</t>
        </is>
      </c>
      <c r="H1585" t="n">
        <v>342</v>
      </c>
      <c r="I1585" t="inlineStr">
        <is>
          <t>NAUTICA_CLASSICS_117004093_NSS_1.jpg</t>
        </is>
      </c>
      <c r="J1585" t="inlineStr">
        <is>
          <t>NAUTICA_CLASSICS_117004093_NSS_2.jpg</t>
        </is>
      </c>
      <c r="K1585" t="inlineStr">
        <is>
          <t>NAUTICA_CLASSICS_117004093_NSS_3.jpg</t>
        </is>
      </c>
      <c r="L1585">
        <f>IMAGE("file:///E:/Estudios%20y%20certificaciones/ESTUDIOS%20DE%20PROGRAMMING/PROGRAMMING/PERSONAL/PYTHON/Image_Generator_API/imagenes/NAUTICA_CLASSICS_117004093_NSS_1.jpg")</f>
        <v/>
      </c>
      <c r="M1585">
        <f>IMAGE("file:///E:/Estudios%20y%20certificaciones/ESTUDIOS%20DE%20PROGRAMMING/PROGRAMMING/PERSONAL/PYTHON/Image_Generator_API/imagenes/NAUTICA_CLASSICS_117004093_NSS_2.jpg")</f>
        <v/>
      </c>
      <c r="N1585">
        <f>IMAGE("file:///E:/Estudios%20y%20certificaciones/ESTUDIOS%20DE%20PROGRAMMING/PROGRAMMING/PERSONAL/PYTHON/Image_Generator_API/imagenes/NAUTICA_CLASSICS_117004093_NSS_3.jpg")</f>
        <v/>
      </c>
      <c r="O1585">
        <f>HYPERLINK("imagenes/NAUTICA_CLASSICS_117004093_NSS_1.jpg","Ver imagen")</f>
        <v/>
      </c>
      <c r="P1585">
        <f>HYPERLINK("imagenes/NAUTICA_CLASSICS_117004093_NSS_2.jpg","Ver imagen")</f>
        <v/>
      </c>
      <c r="Q1585">
        <f>HYPERLINK("imagenes/NAUTICA_CLASSICS_117004093_NSS_3.jpg","Ver imagen")</f>
        <v/>
      </c>
    </row>
    <row r="1586">
      <c r="A1586" t="inlineStr">
        <is>
          <t>NAUTICA CLASSICS</t>
        </is>
      </c>
      <c r="B1586" t="inlineStr">
        <is>
          <t>117004093</t>
        </is>
      </c>
      <c r="C1586" t="inlineStr">
        <is>
          <t>soft mist puffer</t>
        </is>
      </c>
      <c r="D1586" t="inlineStr">
        <is>
          <t>NSS</t>
        </is>
      </c>
      <c r="E1586" t="inlineStr">
        <is>
          <t>(en blanco)</t>
        </is>
      </c>
      <c r="F1586" t="inlineStr">
        <is>
          <t>MACYS ECOM</t>
        </is>
      </c>
      <c r="G1586" t="inlineStr">
        <is>
          <t>M</t>
        </is>
      </c>
      <c r="H1586" t="n">
        <v>379</v>
      </c>
      <c r="I1586" t="inlineStr">
        <is>
          <t>NAUTICA_CLASSICS_117004093_NSS_1.jpg</t>
        </is>
      </c>
      <c r="J1586" t="inlineStr">
        <is>
          <t>NAUTICA_CLASSICS_117004093_NSS_2.jpg</t>
        </is>
      </c>
      <c r="K1586" t="inlineStr">
        <is>
          <t>NAUTICA_CLASSICS_117004093_NSS_3.jpg</t>
        </is>
      </c>
      <c r="L1586">
        <f>IMAGE("file:///E:/Estudios%20y%20certificaciones/ESTUDIOS%20DE%20PROGRAMMING/PROGRAMMING/PERSONAL/PYTHON/Image_Generator_API/imagenes/NAUTICA_CLASSICS_117004093_NSS_1.jpg")</f>
        <v/>
      </c>
      <c r="M1586">
        <f>IMAGE("file:///E:/Estudios%20y%20certificaciones/ESTUDIOS%20DE%20PROGRAMMING/PROGRAMMING/PERSONAL/PYTHON/Image_Generator_API/imagenes/NAUTICA_CLASSICS_117004093_NSS_2.jpg")</f>
        <v/>
      </c>
      <c r="N1586">
        <f>IMAGE("file:///E:/Estudios%20y%20certificaciones/ESTUDIOS%20DE%20PROGRAMMING/PROGRAMMING/PERSONAL/PYTHON/Image_Generator_API/imagenes/NAUTICA_CLASSICS_117004093_NSS_3.jpg")</f>
        <v/>
      </c>
      <c r="O1586">
        <f>HYPERLINK("imagenes/NAUTICA_CLASSICS_117004093_NSS_1.jpg","Ver imagen")</f>
        <v/>
      </c>
      <c r="P1586">
        <f>HYPERLINK("imagenes/NAUTICA_CLASSICS_117004093_NSS_2.jpg","Ver imagen")</f>
        <v/>
      </c>
      <c r="Q1586">
        <f>HYPERLINK("imagenes/NAUTICA_CLASSICS_117004093_NSS_3.jpg","Ver imagen")</f>
        <v/>
      </c>
    </row>
    <row r="1587">
      <c r="A1587" t="inlineStr">
        <is>
          <t>NAUTICA CLASSICS</t>
        </is>
      </c>
      <c r="B1587" t="inlineStr">
        <is>
          <t>117004093</t>
        </is>
      </c>
      <c r="C1587" t="inlineStr">
        <is>
          <t>soft mist puffer</t>
        </is>
      </c>
      <c r="D1587" t="inlineStr">
        <is>
          <t>NSS</t>
        </is>
      </c>
      <c r="E1587" t="inlineStr">
        <is>
          <t>(en blanco)</t>
        </is>
      </c>
      <c r="F1587" t="inlineStr">
        <is>
          <t>MACYS ECOM</t>
        </is>
      </c>
      <c r="G1587" t="inlineStr">
        <is>
          <t>L</t>
        </is>
      </c>
      <c r="H1587" t="n">
        <v>375</v>
      </c>
      <c r="I1587" t="inlineStr">
        <is>
          <t>NAUTICA_CLASSICS_117004093_NSS_1.jpg</t>
        </is>
      </c>
      <c r="J1587" t="inlineStr">
        <is>
          <t>NAUTICA_CLASSICS_117004093_NSS_2.jpg</t>
        </is>
      </c>
      <c r="K1587" t="inlineStr">
        <is>
          <t>NAUTICA_CLASSICS_117004093_NSS_3.jpg</t>
        </is>
      </c>
      <c r="L1587">
        <f>IMAGE("file:///E:/Estudios%20y%20certificaciones/ESTUDIOS%20DE%20PROGRAMMING/PROGRAMMING/PERSONAL/PYTHON/Image_Generator_API/imagenes/NAUTICA_CLASSICS_117004093_NSS_1.jpg")</f>
        <v/>
      </c>
      <c r="M1587">
        <f>IMAGE("file:///E:/Estudios%20y%20certificaciones/ESTUDIOS%20DE%20PROGRAMMING/PROGRAMMING/PERSONAL/PYTHON/Image_Generator_API/imagenes/NAUTICA_CLASSICS_117004093_NSS_2.jpg")</f>
        <v/>
      </c>
      <c r="N1587">
        <f>IMAGE("file:///E:/Estudios%20y%20certificaciones/ESTUDIOS%20DE%20PROGRAMMING/PROGRAMMING/PERSONAL/PYTHON/Image_Generator_API/imagenes/NAUTICA_CLASSICS_117004093_NSS_3.jpg")</f>
        <v/>
      </c>
      <c r="O1587">
        <f>HYPERLINK("imagenes/NAUTICA_CLASSICS_117004093_NSS_1.jpg","Ver imagen")</f>
        <v/>
      </c>
      <c r="P1587">
        <f>HYPERLINK("imagenes/NAUTICA_CLASSICS_117004093_NSS_2.jpg","Ver imagen")</f>
        <v/>
      </c>
      <c r="Q1587">
        <f>HYPERLINK("imagenes/NAUTICA_CLASSICS_117004093_NSS_3.jpg","Ver imagen")</f>
        <v/>
      </c>
    </row>
    <row r="1588">
      <c r="A1588" t="inlineStr">
        <is>
          <t>NAUTICA CLASSICS</t>
        </is>
      </c>
      <c r="B1588" t="inlineStr">
        <is>
          <t>117004093</t>
        </is>
      </c>
      <c r="C1588" t="inlineStr">
        <is>
          <t>soft mist puffer</t>
        </is>
      </c>
      <c r="D1588" t="inlineStr">
        <is>
          <t>NSS</t>
        </is>
      </c>
      <c r="E1588" t="inlineStr">
        <is>
          <t>(en blanco)</t>
        </is>
      </c>
      <c r="F1588" t="inlineStr">
        <is>
          <t>MACYS ECOM</t>
        </is>
      </c>
      <c r="G1588" t="inlineStr">
        <is>
          <t>XL</t>
        </is>
      </c>
      <c r="H1588" t="n">
        <v>211</v>
      </c>
      <c r="I1588" t="inlineStr">
        <is>
          <t>NAUTICA_CLASSICS_117004093_NSS_1.jpg</t>
        </is>
      </c>
      <c r="J1588" t="inlineStr">
        <is>
          <t>NAUTICA_CLASSICS_117004093_NSS_2.jpg</t>
        </is>
      </c>
      <c r="K1588" t="inlineStr">
        <is>
          <t>NAUTICA_CLASSICS_117004093_NSS_3.jpg</t>
        </is>
      </c>
      <c r="L1588">
        <f>IMAGE("file:///E:/Estudios%20y%20certificaciones/ESTUDIOS%20DE%20PROGRAMMING/PROGRAMMING/PERSONAL/PYTHON/Image_Generator_API/imagenes/NAUTICA_CLASSICS_117004093_NSS_1.jpg")</f>
        <v/>
      </c>
      <c r="M1588">
        <f>IMAGE("file:///E:/Estudios%20y%20certificaciones/ESTUDIOS%20DE%20PROGRAMMING/PROGRAMMING/PERSONAL/PYTHON/Image_Generator_API/imagenes/NAUTICA_CLASSICS_117004093_NSS_2.jpg")</f>
        <v/>
      </c>
      <c r="N1588">
        <f>IMAGE("file:///E:/Estudios%20y%20certificaciones/ESTUDIOS%20DE%20PROGRAMMING/PROGRAMMING/PERSONAL/PYTHON/Image_Generator_API/imagenes/NAUTICA_CLASSICS_117004093_NSS_3.jpg")</f>
        <v/>
      </c>
      <c r="O1588">
        <f>HYPERLINK("imagenes/NAUTICA_CLASSICS_117004093_NSS_1.jpg","Ver imagen")</f>
        <v/>
      </c>
      <c r="P1588">
        <f>HYPERLINK("imagenes/NAUTICA_CLASSICS_117004093_NSS_2.jpg","Ver imagen")</f>
        <v/>
      </c>
      <c r="Q1588">
        <f>HYPERLINK("imagenes/NAUTICA_CLASSICS_117004093_NSS_3.jpg","Ver imagen")</f>
        <v/>
      </c>
    </row>
    <row r="1589">
      <c r="A1589" t="inlineStr">
        <is>
          <t>NAUTICA CLASSICS</t>
        </is>
      </c>
      <c r="B1589" t="inlineStr">
        <is>
          <t>117004093</t>
        </is>
      </c>
      <c r="C1589" t="inlineStr">
        <is>
          <t>soft mist puffer</t>
        </is>
      </c>
      <c r="D1589" t="inlineStr">
        <is>
          <t>NSS</t>
        </is>
      </c>
      <c r="E1589" t="inlineStr">
        <is>
          <t>(en blanco)</t>
        </is>
      </c>
      <c r="F1589" t="inlineStr">
        <is>
          <t>MACYS ECOM</t>
        </is>
      </c>
      <c r="G1589" t="inlineStr">
        <is>
          <t>XXL</t>
        </is>
      </c>
      <c r="H1589" t="n">
        <v>32</v>
      </c>
      <c r="I1589" t="inlineStr">
        <is>
          <t>NAUTICA_CLASSICS_117004093_NSS_1.jpg</t>
        </is>
      </c>
      <c r="J1589" t="inlineStr">
        <is>
          <t>NAUTICA_CLASSICS_117004093_NSS_2.jpg</t>
        </is>
      </c>
      <c r="K1589" t="inlineStr">
        <is>
          <t>NAUTICA_CLASSICS_117004093_NSS_3.jpg</t>
        </is>
      </c>
      <c r="L1589">
        <f>IMAGE("file:///E:/Estudios%20y%20certificaciones/ESTUDIOS%20DE%20PROGRAMMING/PROGRAMMING/PERSONAL/PYTHON/Image_Generator_API/imagenes/NAUTICA_CLASSICS_117004093_NSS_1.jpg")</f>
        <v/>
      </c>
      <c r="M1589">
        <f>IMAGE("file:///E:/Estudios%20y%20certificaciones/ESTUDIOS%20DE%20PROGRAMMING/PROGRAMMING/PERSONAL/PYTHON/Image_Generator_API/imagenes/NAUTICA_CLASSICS_117004093_NSS_2.jpg")</f>
        <v/>
      </c>
      <c r="N1589">
        <f>IMAGE("file:///E:/Estudios%20y%20certificaciones/ESTUDIOS%20DE%20PROGRAMMING/PROGRAMMING/PERSONAL/PYTHON/Image_Generator_API/imagenes/NAUTICA_CLASSICS_117004093_NSS_3.jpg")</f>
        <v/>
      </c>
      <c r="O1589">
        <f>HYPERLINK("imagenes/NAUTICA_CLASSICS_117004093_NSS_1.jpg","Ver imagen")</f>
        <v/>
      </c>
      <c r="P1589">
        <f>HYPERLINK("imagenes/NAUTICA_CLASSICS_117004093_NSS_2.jpg","Ver imagen")</f>
        <v/>
      </c>
      <c r="Q1589">
        <f>HYPERLINK("imagenes/NAUTICA_CLASSICS_117004093_NSS_3.jpg","Ver imagen")</f>
        <v/>
      </c>
    </row>
    <row r="1590">
      <c r="A1590" t="inlineStr">
        <is>
          <t>NAUTICA CLASSICS</t>
        </is>
      </c>
      <c r="B1590" t="inlineStr">
        <is>
          <t>117004093</t>
        </is>
      </c>
      <c r="C1590" t="inlineStr">
        <is>
          <t>soft mist puffer</t>
        </is>
      </c>
      <c r="D1590" t="inlineStr">
        <is>
          <t>NSS</t>
        </is>
      </c>
      <c r="E1590" t="inlineStr">
        <is>
          <t>(en blanco)</t>
        </is>
      </c>
      <c r="F1590" t="inlineStr">
        <is>
          <t>MACYS ECOM</t>
        </is>
      </c>
      <c r="G1590" t="inlineStr">
        <is>
          <t>XXS</t>
        </is>
      </c>
      <c r="H1590" t="n">
        <v>38</v>
      </c>
      <c r="I1590" t="inlineStr">
        <is>
          <t>NAUTICA_CLASSICS_117004093_NSS_1.jpg</t>
        </is>
      </c>
      <c r="J1590" t="inlineStr">
        <is>
          <t>NAUTICA_CLASSICS_117004093_NSS_2.jpg</t>
        </is>
      </c>
      <c r="K1590" t="inlineStr">
        <is>
          <t>NAUTICA_CLASSICS_117004093_NSS_3.jpg</t>
        </is>
      </c>
      <c r="L1590">
        <f>IMAGE("file:///E:/Estudios%20y%20certificaciones/ESTUDIOS%20DE%20PROGRAMMING/PROGRAMMING/PERSONAL/PYTHON/Image_Generator_API/imagenes/NAUTICA_CLASSICS_117004093_NSS_1.jpg")</f>
        <v/>
      </c>
      <c r="M1590">
        <f>IMAGE("file:///E:/Estudios%20y%20certificaciones/ESTUDIOS%20DE%20PROGRAMMING/PROGRAMMING/PERSONAL/PYTHON/Image_Generator_API/imagenes/NAUTICA_CLASSICS_117004093_NSS_2.jpg")</f>
        <v/>
      </c>
      <c r="N1590">
        <f>IMAGE("file:///E:/Estudios%20y%20certificaciones/ESTUDIOS%20DE%20PROGRAMMING/PROGRAMMING/PERSONAL/PYTHON/Image_Generator_API/imagenes/NAUTICA_CLASSICS_117004093_NSS_3.jpg")</f>
        <v/>
      </c>
      <c r="O1590">
        <f>HYPERLINK("imagenes/NAUTICA_CLASSICS_117004093_NSS_1.jpg","Ver imagen")</f>
        <v/>
      </c>
      <c r="P1590">
        <f>HYPERLINK("imagenes/NAUTICA_CLASSICS_117004093_NSS_2.jpg","Ver imagen")</f>
        <v/>
      </c>
      <c r="Q1590">
        <f>HYPERLINK("imagenes/NAUTICA_CLASSICS_117004093_NSS_3.jpg","Ver imagen")</f>
        <v/>
      </c>
    </row>
    <row r="1591">
      <c r="A1591" t="inlineStr">
        <is>
          <t>NAUTICA CLASSICS</t>
        </is>
      </c>
      <c r="B1591" t="inlineStr">
        <is>
          <t>117004093</t>
        </is>
      </c>
      <c r="C1591" t="inlineStr">
        <is>
          <t>soft mist puffer</t>
        </is>
      </c>
      <c r="D1591" t="inlineStr">
        <is>
          <t>SW4</t>
        </is>
      </c>
      <c r="E1591" t="inlineStr">
        <is>
          <t>07A08</t>
        </is>
      </c>
      <c r="F1591" t="inlineStr">
        <is>
          <t>B2230</t>
        </is>
      </c>
      <c r="G1591" t="inlineStr">
        <is>
          <t>PPK</t>
        </is>
      </c>
      <c r="H1591" t="n">
        <v>0</v>
      </c>
      <c r="I1591" t="inlineStr">
        <is>
          <t>NAUTICA_CLASSICS_117004093_SW4_1.jpg</t>
        </is>
      </c>
      <c r="J1591" t="inlineStr">
        <is>
          <t>NAUTICA_CLASSICS_117004093_SW4_2.jpg</t>
        </is>
      </c>
      <c r="K1591" t="inlineStr">
        <is>
          <t>NAUTICA_CLASSICS_117004093_SW4_3.jpg</t>
        </is>
      </c>
      <c r="L1591">
        <f>IMAGE("file:///E:/Estudios%20y%20certificaciones/ESTUDIOS%20DE%20PROGRAMMING/PROGRAMMING/PERSONAL/PYTHON/Image_Generator_API/imagenes/NAUTICA_CLASSICS_117004093_SW4_1.jpg")</f>
        <v/>
      </c>
      <c r="M1591">
        <f>IMAGE("file:///E:/Estudios%20y%20certificaciones/ESTUDIOS%20DE%20PROGRAMMING/PROGRAMMING/PERSONAL/PYTHON/Image_Generator_API/imagenes/NAUTICA_CLASSICS_117004093_SW4_2.jpg")</f>
        <v/>
      </c>
      <c r="N1591">
        <f>IMAGE("file:///E:/Estudios%20y%20certificaciones/ESTUDIOS%20DE%20PROGRAMMING/PROGRAMMING/PERSONAL/PYTHON/Image_Generator_API/imagenes/NAUTICA_CLASSICS_117004093_SW4_3.jpg")</f>
        <v/>
      </c>
      <c r="O1591">
        <f>HYPERLINK("imagenes/NAUTICA_CLASSICS_117004093_SW4_1.jpg","Ver imagen")</f>
        <v/>
      </c>
      <c r="P1591">
        <f>HYPERLINK("imagenes/NAUTICA_CLASSICS_117004093_SW4_2.jpg","Ver imagen")</f>
        <v/>
      </c>
      <c r="Q1591">
        <f>HYPERLINK("imagenes/NAUTICA_CLASSICS_117004093_SW4_3.jpg","Ver imagen")</f>
        <v/>
      </c>
    </row>
    <row r="1592">
      <c r="A1592" t="inlineStr">
        <is>
          <t>NAUTICA CLASSICS</t>
        </is>
      </c>
      <c r="B1592" t="inlineStr">
        <is>
          <t>117004093</t>
        </is>
      </c>
      <c r="C1592" t="inlineStr">
        <is>
          <t>soft mist puffer</t>
        </is>
      </c>
      <c r="D1592" t="inlineStr">
        <is>
          <t>SW4</t>
        </is>
      </c>
      <c r="E1592" t="inlineStr">
        <is>
          <t>(en blanco)</t>
        </is>
      </c>
      <c r="F1592" t="inlineStr">
        <is>
          <t>D2C</t>
        </is>
      </c>
      <c r="G1592" t="inlineStr">
        <is>
          <t>XS</t>
        </is>
      </c>
      <c r="H1592" t="n">
        <v>10</v>
      </c>
      <c r="I1592" t="inlineStr">
        <is>
          <t>NAUTICA_CLASSICS_117004093_SW4_1.jpg</t>
        </is>
      </c>
      <c r="J1592" t="inlineStr">
        <is>
          <t>NAUTICA_CLASSICS_117004093_SW4_2.jpg</t>
        </is>
      </c>
      <c r="K1592" t="inlineStr">
        <is>
          <t>NAUTICA_CLASSICS_117004093_SW4_3.jpg</t>
        </is>
      </c>
      <c r="L1592">
        <f>IMAGE("file:///E:/Estudios%20y%20certificaciones/ESTUDIOS%20DE%20PROGRAMMING/PROGRAMMING/PERSONAL/PYTHON/Image_Generator_API/imagenes/NAUTICA_CLASSICS_117004093_SW4_1.jpg")</f>
        <v/>
      </c>
      <c r="M1592">
        <f>IMAGE("file:///E:/Estudios%20y%20certificaciones/ESTUDIOS%20DE%20PROGRAMMING/PROGRAMMING/PERSONAL/PYTHON/Image_Generator_API/imagenes/NAUTICA_CLASSICS_117004093_SW4_2.jpg")</f>
        <v/>
      </c>
      <c r="N1592">
        <f>IMAGE("file:///E:/Estudios%20y%20certificaciones/ESTUDIOS%20DE%20PROGRAMMING/PROGRAMMING/PERSONAL/PYTHON/Image_Generator_API/imagenes/NAUTICA_CLASSICS_117004093_SW4_3.jpg")</f>
        <v/>
      </c>
      <c r="O1592">
        <f>HYPERLINK("imagenes/NAUTICA_CLASSICS_117004093_SW4_1.jpg","Ver imagen")</f>
        <v/>
      </c>
      <c r="P1592">
        <f>HYPERLINK("imagenes/NAUTICA_CLASSICS_117004093_SW4_2.jpg","Ver imagen")</f>
        <v/>
      </c>
      <c r="Q1592">
        <f>HYPERLINK("imagenes/NAUTICA_CLASSICS_117004093_SW4_3.jpg","Ver imagen")</f>
        <v/>
      </c>
    </row>
    <row r="1593">
      <c r="A1593" t="inlineStr">
        <is>
          <t>NAUTICA CLASSICS</t>
        </is>
      </c>
      <c r="B1593" t="inlineStr">
        <is>
          <t>117004093</t>
        </is>
      </c>
      <c r="C1593" t="inlineStr">
        <is>
          <t>soft mist puffer</t>
        </is>
      </c>
      <c r="D1593" t="inlineStr">
        <is>
          <t>SW4</t>
        </is>
      </c>
      <c r="E1593" t="inlineStr">
        <is>
          <t>(en blanco)</t>
        </is>
      </c>
      <c r="F1593" t="inlineStr">
        <is>
          <t>D2C</t>
        </is>
      </c>
      <c r="G1593" t="inlineStr">
        <is>
          <t>S</t>
        </is>
      </c>
      <c r="H1593" t="n">
        <v>9</v>
      </c>
      <c r="I1593" t="inlineStr">
        <is>
          <t>NAUTICA_CLASSICS_117004093_SW4_1.jpg</t>
        </is>
      </c>
      <c r="J1593" t="inlineStr">
        <is>
          <t>NAUTICA_CLASSICS_117004093_SW4_2.jpg</t>
        </is>
      </c>
      <c r="K1593" t="inlineStr">
        <is>
          <t>NAUTICA_CLASSICS_117004093_SW4_3.jpg</t>
        </is>
      </c>
      <c r="L1593">
        <f>IMAGE("file:///E:/Estudios%20y%20certificaciones/ESTUDIOS%20DE%20PROGRAMMING/PROGRAMMING/PERSONAL/PYTHON/Image_Generator_API/imagenes/NAUTICA_CLASSICS_117004093_SW4_1.jpg")</f>
        <v/>
      </c>
      <c r="M1593">
        <f>IMAGE("file:///E:/Estudios%20y%20certificaciones/ESTUDIOS%20DE%20PROGRAMMING/PROGRAMMING/PERSONAL/PYTHON/Image_Generator_API/imagenes/NAUTICA_CLASSICS_117004093_SW4_2.jpg")</f>
        <v/>
      </c>
      <c r="N1593">
        <f>IMAGE("file:///E:/Estudios%20y%20certificaciones/ESTUDIOS%20DE%20PROGRAMMING/PROGRAMMING/PERSONAL/PYTHON/Image_Generator_API/imagenes/NAUTICA_CLASSICS_117004093_SW4_3.jpg")</f>
        <v/>
      </c>
      <c r="O1593">
        <f>HYPERLINK("imagenes/NAUTICA_CLASSICS_117004093_SW4_1.jpg","Ver imagen")</f>
        <v/>
      </c>
      <c r="P1593">
        <f>HYPERLINK("imagenes/NAUTICA_CLASSICS_117004093_SW4_2.jpg","Ver imagen")</f>
        <v/>
      </c>
      <c r="Q1593">
        <f>HYPERLINK("imagenes/NAUTICA_CLASSICS_117004093_SW4_3.jpg","Ver imagen")</f>
        <v/>
      </c>
    </row>
    <row r="1594">
      <c r="A1594" t="inlineStr">
        <is>
          <t>NAUTICA CLASSICS</t>
        </is>
      </c>
      <c r="B1594" t="inlineStr">
        <is>
          <t>117004093</t>
        </is>
      </c>
      <c r="C1594" t="inlineStr">
        <is>
          <t>soft mist puffer</t>
        </is>
      </c>
      <c r="D1594" t="inlineStr">
        <is>
          <t>SW4</t>
        </is>
      </c>
      <c r="E1594" t="inlineStr">
        <is>
          <t>(en blanco)</t>
        </is>
      </c>
      <c r="F1594" t="inlineStr">
        <is>
          <t>D2C</t>
        </is>
      </c>
      <c r="G1594" t="inlineStr">
        <is>
          <t>L</t>
        </is>
      </c>
      <c r="H1594" t="n">
        <v>10</v>
      </c>
      <c r="I1594" t="inlineStr">
        <is>
          <t>NAUTICA_CLASSICS_117004093_SW4_1.jpg</t>
        </is>
      </c>
      <c r="J1594" t="inlineStr">
        <is>
          <t>NAUTICA_CLASSICS_117004093_SW4_2.jpg</t>
        </is>
      </c>
      <c r="K1594" t="inlineStr">
        <is>
          <t>NAUTICA_CLASSICS_117004093_SW4_3.jpg</t>
        </is>
      </c>
      <c r="L1594">
        <f>IMAGE("file:///E:/Estudios%20y%20certificaciones/ESTUDIOS%20DE%20PROGRAMMING/PROGRAMMING/PERSONAL/PYTHON/Image_Generator_API/imagenes/NAUTICA_CLASSICS_117004093_SW4_1.jpg")</f>
        <v/>
      </c>
      <c r="M1594">
        <f>IMAGE("file:///E:/Estudios%20y%20certificaciones/ESTUDIOS%20DE%20PROGRAMMING/PROGRAMMING/PERSONAL/PYTHON/Image_Generator_API/imagenes/NAUTICA_CLASSICS_117004093_SW4_2.jpg")</f>
        <v/>
      </c>
      <c r="N1594">
        <f>IMAGE("file:///E:/Estudios%20y%20certificaciones/ESTUDIOS%20DE%20PROGRAMMING/PROGRAMMING/PERSONAL/PYTHON/Image_Generator_API/imagenes/NAUTICA_CLASSICS_117004093_SW4_3.jpg")</f>
        <v/>
      </c>
      <c r="O1594">
        <f>HYPERLINK("imagenes/NAUTICA_CLASSICS_117004093_SW4_1.jpg","Ver imagen")</f>
        <v/>
      </c>
      <c r="P1594">
        <f>HYPERLINK("imagenes/NAUTICA_CLASSICS_117004093_SW4_2.jpg","Ver imagen")</f>
        <v/>
      </c>
      <c r="Q1594">
        <f>HYPERLINK("imagenes/NAUTICA_CLASSICS_117004093_SW4_3.jpg","Ver imagen")</f>
        <v/>
      </c>
    </row>
    <row r="1595">
      <c r="A1595" t="inlineStr">
        <is>
          <t>NAUTICA CLASSICS</t>
        </is>
      </c>
      <c r="B1595" t="inlineStr">
        <is>
          <t>117004093</t>
        </is>
      </c>
      <c r="C1595" t="inlineStr">
        <is>
          <t>soft mist puffer</t>
        </is>
      </c>
      <c r="D1595" t="inlineStr">
        <is>
          <t>SW4</t>
        </is>
      </c>
      <c r="E1595" t="inlineStr">
        <is>
          <t>(en blanco)</t>
        </is>
      </c>
      <c r="F1595" t="inlineStr">
        <is>
          <t>D2C</t>
        </is>
      </c>
      <c r="G1595" t="inlineStr">
        <is>
          <t>XL</t>
        </is>
      </c>
      <c r="H1595" t="n">
        <v>9</v>
      </c>
      <c r="I1595" t="inlineStr">
        <is>
          <t>NAUTICA_CLASSICS_117004093_SW4_1.jpg</t>
        </is>
      </c>
      <c r="J1595" t="inlineStr">
        <is>
          <t>NAUTICA_CLASSICS_117004093_SW4_2.jpg</t>
        </is>
      </c>
      <c r="K1595" t="inlineStr">
        <is>
          <t>NAUTICA_CLASSICS_117004093_SW4_3.jpg</t>
        </is>
      </c>
      <c r="L1595">
        <f>IMAGE("file:///E:/Estudios%20y%20certificaciones/ESTUDIOS%20DE%20PROGRAMMING/PROGRAMMING/PERSONAL/PYTHON/Image_Generator_API/imagenes/NAUTICA_CLASSICS_117004093_SW4_1.jpg")</f>
        <v/>
      </c>
      <c r="M1595">
        <f>IMAGE("file:///E:/Estudios%20y%20certificaciones/ESTUDIOS%20DE%20PROGRAMMING/PROGRAMMING/PERSONAL/PYTHON/Image_Generator_API/imagenes/NAUTICA_CLASSICS_117004093_SW4_2.jpg")</f>
        <v/>
      </c>
      <c r="N1595">
        <f>IMAGE("file:///E:/Estudios%20y%20certificaciones/ESTUDIOS%20DE%20PROGRAMMING/PROGRAMMING/PERSONAL/PYTHON/Image_Generator_API/imagenes/NAUTICA_CLASSICS_117004093_SW4_3.jpg")</f>
        <v/>
      </c>
      <c r="O1595">
        <f>HYPERLINK("imagenes/NAUTICA_CLASSICS_117004093_SW4_1.jpg","Ver imagen")</f>
        <v/>
      </c>
      <c r="P1595">
        <f>HYPERLINK("imagenes/NAUTICA_CLASSICS_117004093_SW4_2.jpg","Ver imagen")</f>
        <v/>
      </c>
      <c r="Q1595">
        <f>HYPERLINK("imagenes/NAUTICA_CLASSICS_117004093_SW4_3.jpg","Ver imagen")</f>
        <v/>
      </c>
    </row>
    <row r="1596">
      <c r="A1596" t="inlineStr">
        <is>
          <t>NAUTICA CLASSICS</t>
        </is>
      </c>
      <c r="B1596" t="inlineStr">
        <is>
          <t>117004093</t>
        </is>
      </c>
      <c r="C1596" t="inlineStr">
        <is>
          <t>soft mist puffer</t>
        </is>
      </c>
      <c r="D1596" t="inlineStr">
        <is>
          <t>SW4</t>
        </is>
      </c>
      <c r="E1596" t="inlineStr">
        <is>
          <t>(en blanco)</t>
        </is>
      </c>
      <c r="F1596" t="inlineStr">
        <is>
          <t>D2C</t>
        </is>
      </c>
      <c r="G1596" t="inlineStr">
        <is>
          <t>XXS</t>
        </is>
      </c>
      <c r="H1596" t="n">
        <v>5</v>
      </c>
      <c r="I1596" t="inlineStr">
        <is>
          <t>NAUTICA_CLASSICS_117004093_SW4_1.jpg</t>
        </is>
      </c>
      <c r="J1596" t="inlineStr">
        <is>
          <t>NAUTICA_CLASSICS_117004093_SW4_2.jpg</t>
        </is>
      </c>
      <c r="K1596" t="inlineStr">
        <is>
          <t>NAUTICA_CLASSICS_117004093_SW4_3.jpg</t>
        </is>
      </c>
      <c r="L1596">
        <f>IMAGE("file:///E:/Estudios%20y%20certificaciones/ESTUDIOS%20DE%20PROGRAMMING/PROGRAMMING/PERSONAL/PYTHON/Image_Generator_API/imagenes/NAUTICA_CLASSICS_117004093_SW4_1.jpg")</f>
        <v/>
      </c>
      <c r="M1596">
        <f>IMAGE("file:///E:/Estudios%20y%20certificaciones/ESTUDIOS%20DE%20PROGRAMMING/PROGRAMMING/PERSONAL/PYTHON/Image_Generator_API/imagenes/NAUTICA_CLASSICS_117004093_SW4_2.jpg")</f>
        <v/>
      </c>
      <c r="N1596">
        <f>IMAGE("file:///E:/Estudios%20y%20certificaciones/ESTUDIOS%20DE%20PROGRAMMING/PROGRAMMING/PERSONAL/PYTHON/Image_Generator_API/imagenes/NAUTICA_CLASSICS_117004093_SW4_3.jpg")</f>
        <v/>
      </c>
      <c r="O1596">
        <f>HYPERLINK("imagenes/NAUTICA_CLASSICS_117004093_SW4_1.jpg","Ver imagen")</f>
        <v/>
      </c>
      <c r="P1596">
        <f>HYPERLINK("imagenes/NAUTICA_CLASSICS_117004093_SW4_2.jpg","Ver imagen")</f>
        <v/>
      </c>
      <c r="Q1596">
        <f>HYPERLINK("imagenes/NAUTICA_CLASSICS_117004093_SW4_3.jpg","Ver imagen")</f>
        <v/>
      </c>
    </row>
    <row r="1597">
      <c r="A1597" t="inlineStr">
        <is>
          <t>NAUTICA CLASSICS</t>
        </is>
      </c>
      <c r="B1597" t="inlineStr">
        <is>
          <t>117004093</t>
        </is>
      </c>
      <c r="C1597" t="inlineStr">
        <is>
          <t>soft mist puffer</t>
        </is>
      </c>
      <c r="D1597" t="inlineStr">
        <is>
          <t>SW4</t>
        </is>
      </c>
      <c r="E1597" t="inlineStr">
        <is>
          <t>(en blanco)</t>
        </is>
      </c>
      <c r="F1597" t="inlineStr">
        <is>
          <t>MACYS ECOM</t>
        </is>
      </c>
      <c r="G1597" t="inlineStr">
        <is>
          <t>XS</t>
        </is>
      </c>
      <c r="H1597" t="n">
        <v>177</v>
      </c>
      <c r="I1597" t="inlineStr">
        <is>
          <t>NAUTICA_CLASSICS_117004093_SW4_1.jpg</t>
        </is>
      </c>
      <c r="J1597" t="inlineStr">
        <is>
          <t>NAUTICA_CLASSICS_117004093_SW4_2.jpg</t>
        </is>
      </c>
      <c r="K1597" t="inlineStr">
        <is>
          <t>NAUTICA_CLASSICS_117004093_SW4_3.jpg</t>
        </is>
      </c>
      <c r="L1597">
        <f>IMAGE("file:///E:/Estudios%20y%20certificaciones/ESTUDIOS%20DE%20PROGRAMMING/PROGRAMMING/PERSONAL/PYTHON/Image_Generator_API/imagenes/NAUTICA_CLASSICS_117004093_SW4_1.jpg")</f>
        <v/>
      </c>
      <c r="M1597">
        <f>IMAGE("file:///E:/Estudios%20y%20certificaciones/ESTUDIOS%20DE%20PROGRAMMING/PROGRAMMING/PERSONAL/PYTHON/Image_Generator_API/imagenes/NAUTICA_CLASSICS_117004093_SW4_2.jpg")</f>
        <v/>
      </c>
      <c r="N1597">
        <f>IMAGE("file:///E:/Estudios%20y%20certificaciones/ESTUDIOS%20DE%20PROGRAMMING/PROGRAMMING/PERSONAL/PYTHON/Image_Generator_API/imagenes/NAUTICA_CLASSICS_117004093_SW4_3.jpg")</f>
        <v/>
      </c>
      <c r="O1597">
        <f>HYPERLINK("imagenes/NAUTICA_CLASSICS_117004093_SW4_1.jpg","Ver imagen")</f>
        <v/>
      </c>
      <c r="P1597">
        <f>HYPERLINK("imagenes/NAUTICA_CLASSICS_117004093_SW4_2.jpg","Ver imagen")</f>
        <v/>
      </c>
      <c r="Q1597">
        <f>HYPERLINK("imagenes/NAUTICA_CLASSICS_117004093_SW4_3.jpg","Ver imagen")</f>
        <v/>
      </c>
    </row>
    <row r="1598">
      <c r="A1598" t="inlineStr">
        <is>
          <t>NAUTICA CLASSICS</t>
        </is>
      </c>
      <c r="B1598" t="inlineStr">
        <is>
          <t>117004093</t>
        </is>
      </c>
      <c r="C1598" t="inlineStr">
        <is>
          <t>soft mist puffer</t>
        </is>
      </c>
      <c r="D1598" t="inlineStr">
        <is>
          <t>SW4</t>
        </is>
      </c>
      <c r="E1598" t="inlineStr">
        <is>
          <t>(en blanco)</t>
        </is>
      </c>
      <c r="F1598" t="inlineStr">
        <is>
          <t>MACYS ECOM</t>
        </is>
      </c>
      <c r="G1598" t="inlineStr">
        <is>
          <t>S</t>
        </is>
      </c>
      <c r="H1598" t="n">
        <v>375</v>
      </c>
      <c r="I1598" t="inlineStr">
        <is>
          <t>NAUTICA_CLASSICS_117004093_SW4_1.jpg</t>
        </is>
      </c>
      <c r="J1598" t="inlineStr">
        <is>
          <t>NAUTICA_CLASSICS_117004093_SW4_2.jpg</t>
        </is>
      </c>
      <c r="K1598" t="inlineStr">
        <is>
          <t>NAUTICA_CLASSICS_117004093_SW4_3.jpg</t>
        </is>
      </c>
      <c r="L1598">
        <f>IMAGE("file:///E:/Estudios%20y%20certificaciones/ESTUDIOS%20DE%20PROGRAMMING/PROGRAMMING/PERSONAL/PYTHON/Image_Generator_API/imagenes/NAUTICA_CLASSICS_117004093_SW4_1.jpg")</f>
        <v/>
      </c>
      <c r="M1598">
        <f>IMAGE("file:///E:/Estudios%20y%20certificaciones/ESTUDIOS%20DE%20PROGRAMMING/PROGRAMMING/PERSONAL/PYTHON/Image_Generator_API/imagenes/NAUTICA_CLASSICS_117004093_SW4_2.jpg")</f>
        <v/>
      </c>
      <c r="N1598">
        <f>IMAGE("file:///E:/Estudios%20y%20certificaciones/ESTUDIOS%20DE%20PROGRAMMING/PROGRAMMING/PERSONAL/PYTHON/Image_Generator_API/imagenes/NAUTICA_CLASSICS_117004093_SW4_3.jpg")</f>
        <v/>
      </c>
      <c r="O1598">
        <f>HYPERLINK("imagenes/NAUTICA_CLASSICS_117004093_SW4_1.jpg","Ver imagen")</f>
        <v/>
      </c>
      <c r="P1598">
        <f>HYPERLINK("imagenes/NAUTICA_CLASSICS_117004093_SW4_2.jpg","Ver imagen")</f>
        <v/>
      </c>
      <c r="Q1598">
        <f>HYPERLINK("imagenes/NAUTICA_CLASSICS_117004093_SW4_3.jpg","Ver imagen")</f>
        <v/>
      </c>
    </row>
    <row r="1599">
      <c r="A1599" t="inlineStr">
        <is>
          <t>NAUTICA CLASSICS</t>
        </is>
      </c>
      <c r="B1599" t="inlineStr">
        <is>
          <t>117004093</t>
        </is>
      </c>
      <c r="C1599" t="inlineStr">
        <is>
          <t>soft mist puffer</t>
        </is>
      </c>
      <c r="D1599" t="inlineStr">
        <is>
          <t>SW4</t>
        </is>
      </c>
      <c r="E1599" t="inlineStr">
        <is>
          <t>(en blanco)</t>
        </is>
      </c>
      <c r="F1599" t="inlineStr">
        <is>
          <t>MACYS ECOM</t>
        </is>
      </c>
      <c r="G1599" t="inlineStr">
        <is>
          <t>M</t>
        </is>
      </c>
      <c r="H1599" t="n">
        <v>368</v>
      </c>
      <c r="I1599" t="inlineStr">
        <is>
          <t>NAUTICA_CLASSICS_117004093_SW4_1.jpg</t>
        </is>
      </c>
      <c r="J1599" t="inlineStr">
        <is>
          <t>NAUTICA_CLASSICS_117004093_SW4_2.jpg</t>
        </is>
      </c>
      <c r="K1599" t="inlineStr">
        <is>
          <t>NAUTICA_CLASSICS_117004093_SW4_3.jpg</t>
        </is>
      </c>
      <c r="L1599">
        <f>IMAGE("file:///E:/Estudios%20y%20certificaciones/ESTUDIOS%20DE%20PROGRAMMING/PROGRAMMING/PERSONAL/PYTHON/Image_Generator_API/imagenes/NAUTICA_CLASSICS_117004093_SW4_1.jpg")</f>
        <v/>
      </c>
      <c r="M1599">
        <f>IMAGE("file:///E:/Estudios%20y%20certificaciones/ESTUDIOS%20DE%20PROGRAMMING/PROGRAMMING/PERSONAL/PYTHON/Image_Generator_API/imagenes/NAUTICA_CLASSICS_117004093_SW4_2.jpg")</f>
        <v/>
      </c>
      <c r="N1599">
        <f>IMAGE("file:///E:/Estudios%20y%20certificaciones/ESTUDIOS%20DE%20PROGRAMMING/PROGRAMMING/PERSONAL/PYTHON/Image_Generator_API/imagenes/NAUTICA_CLASSICS_117004093_SW4_3.jpg")</f>
        <v/>
      </c>
      <c r="O1599">
        <f>HYPERLINK("imagenes/NAUTICA_CLASSICS_117004093_SW4_1.jpg","Ver imagen")</f>
        <v/>
      </c>
      <c r="P1599">
        <f>HYPERLINK("imagenes/NAUTICA_CLASSICS_117004093_SW4_2.jpg","Ver imagen")</f>
        <v/>
      </c>
      <c r="Q1599">
        <f>HYPERLINK("imagenes/NAUTICA_CLASSICS_117004093_SW4_3.jpg","Ver imagen")</f>
        <v/>
      </c>
    </row>
    <row r="1600">
      <c r="A1600" t="inlineStr">
        <is>
          <t>NAUTICA CLASSICS</t>
        </is>
      </c>
      <c r="B1600" t="inlineStr">
        <is>
          <t>117004093</t>
        </is>
      </c>
      <c r="C1600" t="inlineStr">
        <is>
          <t>soft mist puffer</t>
        </is>
      </c>
      <c r="D1600" t="inlineStr">
        <is>
          <t>SW4</t>
        </is>
      </c>
      <c r="E1600" t="inlineStr">
        <is>
          <t>(en blanco)</t>
        </is>
      </c>
      <c r="F1600" t="inlineStr">
        <is>
          <t>MACYS ECOM</t>
        </is>
      </c>
      <c r="G1600" t="inlineStr">
        <is>
          <t>L</t>
        </is>
      </c>
      <c r="H1600" t="n">
        <v>372</v>
      </c>
      <c r="I1600" t="inlineStr">
        <is>
          <t>NAUTICA_CLASSICS_117004093_SW4_1.jpg</t>
        </is>
      </c>
      <c r="J1600" t="inlineStr">
        <is>
          <t>NAUTICA_CLASSICS_117004093_SW4_2.jpg</t>
        </is>
      </c>
      <c r="K1600" t="inlineStr">
        <is>
          <t>NAUTICA_CLASSICS_117004093_SW4_3.jpg</t>
        </is>
      </c>
      <c r="L1600">
        <f>IMAGE("file:///E:/Estudios%20y%20certificaciones/ESTUDIOS%20DE%20PROGRAMMING/PROGRAMMING/PERSONAL/PYTHON/Image_Generator_API/imagenes/NAUTICA_CLASSICS_117004093_SW4_1.jpg")</f>
        <v/>
      </c>
      <c r="M1600">
        <f>IMAGE("file:///E:/Estudios%20y%20certificaciones/ESTUDIOS%20DE%20PROGRAMMING/PROGRAMMING/PERSONAL/PYTHON/Image_Generator_API/imagenes/NAUTICA_CLASSICS_117004093_SW4_2.jpg")</f>
        <v/>
      </c>
      <c r="N1600">
        <f>IMAGE("file:///E:/Estudios%20y%20certificaciones/ESTUDIOS%20DE%20PROGRAMMING/PROGRAMMING/PERSONAL/PYTHON/Image_Generator_API/imagenes/NAUTICA_CLASSICS_117004093_SW4_3.jpg")</f>
        <v/>
      </c>
      <c r="O1600">
        <f>HYPERLINK("imagenes/NAUTICA_CLASSICS_117004093_SW4_1.jpg","Ver imagen")</f>
        <v/>
      </c>
      <c r="P1600">
        <f>HYPERLINK("imagenes/NAUTICA_CLASSICS_117004093_SW4_2.jpg","Ver imagen")</f>
        <v/>
      </c>
      <c r="Q1600">
        <f>HYPERLINK("imagenes/NAUTICA_CLASSICS_117004093_SW4_3.jpg","Ver imagen")</f>
        <v/>
      </c>
    </row>
    <row r="1601">
      <c r="A1601" t="inlineStr">
        <is>
          <t>NAUTICA CLASSICS</t>
        </is>
      </c>
      <c r="B1601" t="inlineStr">
        <is>
          <t>117004093</t>
        </is>
      </c>
      <c r="C1601" t="inlineStr">
        <is>
          <t>soft mist puffer</t>
        </is>
      </c>
      <c r="D1601" t="inlineStr">
        <is>
          <t>SW4</t>
        </is>
      </c>
      <c r="E1601" t="inlineStr">
        <is>
          <t>(en blanco)</t>
        </is>
      </c>
      <c r="F1601" t="inlineStr">
        <is>
          <t>MACYS ECOM</t>
        </is>
      </c>
      <c r="G1601" t="inlineStr">
        <is>
          <t>XL</t>
        </is>
      </c>
      <c r="H1601" t="n">
        <v>155</v>
      </c>
      <c r="I1601" t="inlineStr">
        <is>
          <t>NAUTICA_CLASSICS_117004093_SW4_1.jpg</t>
        </is>
      </c>
      <c r="J1601" t="inlineStr">
        <is>
          <t>NAUTICA_CLASSICS_117004093_SW4_2.jpg</t>
        </is>
      </c>
      <c r="K1601" t="inlineStr">
        <is>
          <t>NAUTICA_CLASSICS_117004093_SW4_3.jpg</t>
        </is>
      </c>
      <c r="L1601">
        <f>IMAGE("file:///E:/Estudios%20y%20certificaciones/ESTUDIOS%20DE%20PROGRAMMING/PROGRAMMING/PERSONAL/PYTHON/Image_Generator_API/imagenes/NAUTICA_CLASSICS_117004093_SW4_1.jpg")</f>
        <v/>
      </c>
      <c r="M1601">
        <f>IMAGE("file:///E:/Estudios%20y%20certificaciones/ESTUDIOS%20DE%20PROGRAMMING/PROGRAMMING/PERSONAL/PYTHON/Image_Generator_API/imagenes/NAUTICA_CLASSICS_117004093_SW4_2.jpg")</f>
        <v/>
      </c>
      <c r="N1601">
        <f>IMAGE("file:///E:/Estudios%20y%20certificaciones/ESTUDIOS%20DE%20PROGRAMMING/PROGRAMMING/PERSONAL/PYTHON/Image_Generator_API/imagenes/NAUTICA_CLASSICS_117004093_SW4_3.jpg")</f>
        <v/>
      </c>
      <c r="O1601">
        <f>HYPERLINK("imagenes/NAUTICA_CLASSICS_117004093_SW4_1.jpg","Ver imagen")</f>
        <v/>
      </c>
      <c r="P1601">
        <f>HYPERLINK("imagenes/NAUTICA_CLASSICS_117004093_SW4_2.jpg","Ver imagen")</f>
        <v/>
      </c>
      <c r="Q1601">
        <f>HYPERLINK("imagenes/NAUTICA_CLASSICS_117004093_SW4_3.jpg","Ver imagen")</f>
        <v/>
      </c>
    </row>
    <row r="1602">
      <c r="A1602" t="inlineStr">
        <is>
          <t>NAUTICA CLASSICS</t>
        </is>
      </c>
      <c r="B1602" t="inlineStr">
        <is>
          <t>117004093</t>
        </is>
      </c>
      <c r="C1602" t="inlineStr">
        <is>
          <t>soft mist puffer</t>
        </is>
      </c>
      <c r="D1602" t="inlineStr">
        <is>
          <t>SW4</t>
        </is>
      </c>
      <c r="E1602" t="inlineStr">
        <is>
          <t>(en blanco)</t>
        </is>
      </c>
      <c r="F1602" t="inlineStr">
        <is>
          <t>(en blanco)</t>
        </is>
      </c>
      <c r="G1602" t="inlineStr">
        <is>
          <t>XS</t>
        </is>
      </c>
      <c r="H1602" t="n">
        <v>180</v>
      </c>
      <c r="I1602" t="inlineStr">
        <is>
          <t>NAUTICA_CLASSICS_117004093_SW4_1.jpg</t>
        </is>
      </c>
      <c r="J1602" t="inlineStr">
        <is>
          <t>NAUTICA_CLASSICS_117004093_SW4_2.jpg</t>
        </is>
      </c>
      <c r="K1602" t="inlineStr">
        <is>
          <t>NAUTICA_CLASSICS_117004093_SW4_3.jpg</t>
        </is>
      </c>
      <c r="L1602">
        <f>IMAGE("file:///E:/Estudios%20y%20certificaciones/ESTUDIOS%20DE%20PROGRAMMING/PROGRAMMING/PERSONAL/PYTHON/Image_Generator_API/imagenes/NAUTICA_CLASSICS_117004093_SW4_1.jpg")</f>
        <v/>
      </c>
      <c r="M1602">
        <f>IMAGE("file:///E:/Estudios%20y%20certificaciones/ESTUDIOS%20DE%20PROGRAMMING/PROGRAMMING/PERSONAL/PYTHON/Image_Generator_API/imagenes/NAUTICA_CLASSICS_117004093_SW4_2.jpg")</f>
        <v/>
      </c>
      <c r="N1602">
        <f>IMAGE("file:///E:/Estudios%20y%20certificaciones/ESTUDIOS%20DE%20PROGRAMMING/PROGRAMMING/PERSONAL/PYTHON/Image_Generator_API/imagenes/NAUTICA_CLASSICS_117004093_SW4_3.jpg")</f>
        <v/>
      </c>
      <c r="O1602">
        <f>HYPERLINK("imagenes/NAUTICA_CLASSICS_117004093_SW4_1.jpg","Ver imagen")</f>
        <v/>
      </c>
      <c r="P1602">
        <f>HYPERLINK("imagenes/NAUTICA_CLASSICS_117004093_SW4_2.jpg","Ver imagen")</f>
        <v/>
      </c>
      <c r="Q1602">
        <f>HYPERLINK("imagenes/NAUTICA_CLASSICS_117004093_SW4_3.jpg","Ver imagen")</f>
        <v/>
      </c>
    </row>
    <row r="1603">
      <c r="A1603" t="inlineStr">
        <is>
          <t>NAUTICA CLASSICS</t>
        </is>
      </c>
      <c r="B1603" t="inlineStr">
        <is>
          <t>117004093</t>
        </is>
      </c>
      <c r="C1603" t="inlineStr">
        <is>
          <t>soft mist puffer</t>
        </is>
      </c>
      <c r="D1603" t="inlineStr">
        <is>
          <t>SW4</t>
        </is>
      </c>
      <c r="E1603" t="inlineStr">
        <is>
          <t>(en blanco)</t>
        </is>
      </c>
      <c r="F1603" t="inlineStr">
        <is>
          <t>(en blanco)</t>
        </is>
      </c>
      <c r="G1603" t="inlineStr">
        <is>
          <t>S</t>
        </is>
      </c>
      <c r="H1603" t="n">
        <v>240</v>
      </c>
      <c r="I1603" t="inlineStr">
        <is>
          <t>NAUTICA_CLASSICS_117004093_SW4_1.jpg</t>
        </is>
      </c>
      <c r="J1603" t="inlineStr">
        <is>
          <t>NAUTICA_CLASSICS_117004093_SW4_2.jpg</t>
        </is>
      </c>
      <c r="K1603" t="inlineStr">
        <is>
          <t>NAUTICA_CLASSICS_117004093_SW4_3.jpg</t>
        </is>
      </c>
      <c r="L1603">
        <f>IMAGE("file:///E:/Estudios%20y%20certificaciones/ESTUDIOS%20DE%20PROGRAMMING/PROGRAMMING/PERSONAL/PYTHON/Image_Generator_API/imagenes/NAUTICA_CLASSICS_117004093_SW4_1.jpg")</f>
        <v/>
      </c>
      <c r="M1603">
        <f>IMAGE("file:///E:/Estudios%20y%20certificaciones/ESTUDIOS%20DE%20PROGRAMMING/PROGRAMMING/PERSONAL/PYTHON/Image_Generator_API/imagenes/NAUTICA_CLASSICS_117004093_SW4_2.jpg")</f>
        <v/>
      </c>
      <c r="N1603">
        <f>IMAGE("file:///E:/Estudios%20y%20certificaciones/ESTUDIOS%20DE%20PROGRAMMING/PROGRAMMING/PERSONAL/PYTHON/Image_Generator_API/imagenes/NAUTICA_CLASSICS_117004093_SW4_3.jpg")</f>
        <v/>
      </c>
      <c r="O1603">
        <f>HYPERLINK("imagenes/NAUTICA_CLASSICS_117004093_SW4_1.jpg","Ver imagen")</f>
        <v/>
      </c>
      <c r="P1603">
        <f>HYPERLINK("imagenes/NAUTICA_CLASSICS_117004093_SW4_2.jpg","Ver imagen")</f>
        <v/>
      </c>
      <c r="Q1603">
        <f>HYPERLINK("imagenes/NAUTICA_CLASSICS_117004093_SW4_3.jpg","Ver imagen")</f>
        <v/>
      </c>
    </row>
    <row r="1604">
      <c r="A1604" t="inlineStr">
        <is>
          <t>NAUTICA CLASSICS</t>
        </is>
      </c>
      <c r="B1604" t="inlineStr">
        <is>
          <t>117004093</t>
        </is>
      </c>
      <c r="C1604" t="inlineStr">
        <is>
          <t>soft mist puffer</t>
        </is>
      </c>
      <c r="D1604" t="inlineStr">
        <is>
          <t>SW4</t>
        </is>
      </c>
      <c r="E1604" t="inlineStr">
        <is>
          <t>(en blanco)</t>
        </is>
      </c>
      <c r="F1604" t="inlineStr">
        <is>
          <t>(en blanco)</t>
        </is>
      </c>
      <c r="G1604" t="inlineStr">
        <is>
          <t>M</t>
        </is>
      </c>
      <c r="H1604" t="n">
        <v>25</v>
      </c>
      <c r="I1604" t="inlineStr">
        <is>
          <t>NAUTICA_CLASSICS_117004093_SW4_1.jpg</t>
        </is>
      </c>
      <c r="J1604" t="inlineStr">
        <is>
          <t>NAUTICA_CLASSICS_117004093_SW4_2.jpg</t>
        </is>
      </c>
      <c r="K1604" t="inlineStr">
        <is>
          <t>NAUTICA_CLASSICS_117004093_SW4_3.jpg</t>
        </is>
      </c>
      <c r="L1604">
        <f>IMAGE("file:///E:/Estudios%20y%20certificaciones/ESTUDIOS%20DE%20PROGRAMMING/PROGRAMMING/PERSONAL/PYTHON/Image_Generator_API/imagenes/NAUTICA_CLASSICS_117004093_SW4_1.jpg")</f>
        <v/>
      </c>
      <c r="M1604">
        <f>IMAGE("file:///E:/Estudios%20y%20certificaciones/ESTUDIOS%20DE%20PROGRAMMING/PROGRAMMING/PERSONAL/PYTHON/Image_Generator_API/imagenes/NAUTICA_CLASSICS_117004093_SW4_2.jpg")</f>
        <v/>
      </c>
      <c r="N1604">
        <f>IMAGE("file:///E:/Estudios%20y%20certificaciones/ESTUDIOS%20DE%20PROGRAMMING/PROGRAMMING/PERSONAL/PYTHON/Image_Generator_API/imagenes/NAUTICA_CLASSICS_117004093_SW4_3.jpg")</f>
        <v/>
      </c>
      <c r="O1604">
        <f>HYPERLINK("imagenes/NAUTICA_CLASSICS_117004093_SW4_1.jpg","Ver imagen")</f>
        <v/>
      </c>
      <c r="P1604">
        <f>HYPERLINK("imagenes/NAUTICA_CLASSICS_117004093_SW4_2.jpg","Ver imagen")</f>
        <v/>
      </c>
      <c r="Q1604">
        <f>HYPERLINK("imagenes/NAUTICA_CLASSICS_117004093_SW4_3.jpg","Ver imagen")</f>
        <v/>
      </c>
    </row>
    <row r="1605">
      <c r="A1605" t="inlineStr">
        <is>
          <t>NAUTICA CLASSICS</t>
        </is>
      </c>
      <c r="B1605" t="inlineStr">
        <is>
          <t>117004093</t>
        </is>
      </c>
      <c r="C1605" t="inlineStr">
        <is>
          <t>soft mist puffer</t>
        </is>
      </c>
      <c r="D1605" t="inlineStr">
        <is>
          <t>SW4</t>
        </is>
      </c>
      <c r="E1605" t="inlineStr">
        <is>
          <t>(en blanco)</t>
        </is>
      </c>
      <c r="F1605" t="inlineStr">
        <is>
          <t>(en blanco)</t>
        </is>
      </c>
      <c r="G1605" t="inlineStr">
        <is>
          <t>L</t>
        </is>
      </c>
      <c r="H1605" t="n">
        <v>29</v>
      </c>
      <c r="I1605" t="inlineStr">
        <is>
          <t>NAUTICA_CLASSICS_117004093_SW4_1.jpg</t>
        </is>
      </c>
      <c r="J1605" t="inlineStr">
        <is>
          <t>NAUTICA_CLASSICS_117004093_SW4_2.jpg</t>
        </is>
      </c>
      <c r="K1605" t="inlineStr">
        <is>
          <t>NAUTICA_CLASSICS_117004093_SW4_3.jpg</t>
        </is>
      </c>
      <c r="L1605">
        <f>IMAGE("file:///E:/Estudios%20y%20certificaciones/ESTUDIOS%20DE%20PROGRAMMING/PROGRAMMING/PERSONAL/PYTHON/Image_Generator_API/imagenes/NAUTICA_CLASSICS_117004093_SW4_1.jpg")</f>
        <v/>
      </c>
      <c r="M1605">
        <f>IMAGE("file:///E:/Estudios%20y%20certificaciones/ESTUDIOS%20DE%20PROGRAMMING/PROGRAMMING/PERSONAL/PYTHON/Image_Generator_API/imagenes/NAUTICA_CLASSICS_117004093_SW4_2.jpg")</f>
        <v/>
      </c>
      <c r="N1605">
        <f>IMAGE("file:///E:/Estudios%20y%20certificaciones/ESTUDIOS%20DE%20PROGRAMMING/PROGRAMMING/PERSONAL/PYTHON/Image_Generator_API/imagenes/NAUTICA_CLASSICS_117004093_SW4_3.jpg")</f>
        <v/>
      </c>
      <c r="O1605">
        <f>HYPERLINK("imagenes/NAUTICA_CLASSICS_117004093_SW4_1.jpg","Ver imagen")</f>
        <v/>
      </c>
      <c r="P1605">
        <f>HYPERLINK("imagenes/NAUTICA_CLASSICS_117004093_SW4_2.jpg","Ver imagen")</f>
        <v/>
      </c>
      <c r="Q1605">
        <f>HYPERLINK("imagenes/NAUTICA_CLASSICS_117004093_SW4_3.jpg","Ver imagen")</f>
        <v/>
      </c>
    </row>
    <row r="1606">
      <c r="A1606" t="inlineStr">
        <is>
          <t>NAUTICA CLASSICS</t>
        </is>
      </c>
      <c r="B1606" t="inlineStr">
        <is>
          <t>117004093</t>
        </is>
      </c>
      <c r="C1606" t="inlineStr">
        <is>
          <t>soft mist puffer</t>
        </is>
      </c>
      <c r="D1606" t="inlineStr">
        <is>
          <t>SW4</t>
        </is>
      </c>
      <c r="E1606" t="inlineStr">
        <is>
          <t>(en blanco)</t>
        </is>
      </c>
      <c r="F1606" t="inlineStr">
        <is>
          <t>(en blanco)</t>
        </is>
      </c>
      <c r="G1606" t="inlineStr">
        <is>
          <t>XL</t>
        </is>
      </c>
      <c r="H1606" t="n">
        <v>8</v>
      </c>
      <c r="I1606" t="inlineStr">
        <is>
          <t>NAUTICA_CLASSICS_117004093_SW4_1.jpg</t>
        </is>
      </c>
      <c r="J1606" t="inlineStr">
        <is>
          <t>NAUTICA_CLASSICS_117004093_SW4_2.jpg</t>
        </is>
      </c>
      <c r="K1606" t="inlineStr">
        <is>
          <t>NAUTICA_CLASSICS_117004093_SW4_3.jpg</t>
        </is>
      </c>
      <c r="L1606">
        <f>IMAGE("file:///E:/Estudios%20y%20certificaciones/ESTUDIOS%20DE%20PROGRAMMING/PROGRAMMING/PERSONAL/PYTHON/Image_Generator_API/imagenes/NAUTICA_CLASSICS_117004093_SW4_1.jpg")</f>
        <v/>
      </c>
      <c r="M1606">
        <f>IMAGE("file:///E:/Estudios%20y%20certificaciones/ESTUDIOS%20DE%20PROGRAMMING/PROGRAMMING/PERSONAL/PYTHON/Image_Generator_API/imagenes/NAUTICA_CLASSICS_117004093_SW4_2.jpg")</f>
        <v/>
      </c>
      <c r="N1606">
        <f>IMAGE("file:///E:/Estudios%20y%20certificaciones/ESTUDIOS%20DE%20PROGRAMMING/PROGRAMMING/PERSONAL/PYTHON/Image_Generator_API/imagenes/NAUTICA_CLASSICS_117004093_SW4_3.jpg")</f>
        <v/>
      </c>
      <c r="O1606">
        <f>HYPERLINK("imagenes/NAUTICA_CLASSICS_117004093_SW4_1.jpg","Ver imagen")</f>
        <v/>
      </c>
      <c r="P1606">
        <f>HYPERLINK("imagenes/NAUTICA_CLASSICS_117004093_SW4_2.jpg","Ver imagen")</f>
        <v/>
      </c>
      <c r="Q1606">
        <f>HYPERLINK("imagenes/NAUTICA_CLASSICS_117004093_SW4_3.jpg","Ver imagen")</f>
        <v/>
      </c>
    </row>
    <row r="1607">
      <c r="A1607" t="inlineStr">
        <is>
          <t>NAUTICA CLASSICS</t>
        </is>
      </c>
      <c r="B1607" t="inlineStr">
        <is>
          <t>117004093</t>
        </is>
      </c>
      <c r="C1607" t="inlineStr">
        <is>
          <t>soft mist puffer</t>
        </is>
      </c>
      <c r="D1607" t="inlineStr">
        <is>
          <t>SW4</t>
        </is>
      </c>
      <c r="E1607" t="inlineStr">
        <is>
          <t>(en blanco)</t>
        </is>
      </c>
      <c r="F1607" t="inlineStr">
        <is>
          <t>(en blanco)</t>
        </is>
      </c>
      <c r="G1607" t="inlineStr">
        <is>
          <t>XXL</t>
        </is>
      </c>
      <c r="H1607" t="n">
        <v>3</v>
      </c>
      <c r="I1607" t="inlineStr">
        <is>
          <t>NAUTICA_CLASSICS_117004093_SW4_1.jpg</t>
        </is>
      </c>
      <c r="J1607" t="inlineStr">
        <is>
          <t>NAUTICA_CLASSICS_117004093_SW4_2.jpg</t>
        </is>
      </c>
      <c r="K1607" t="inlineStr">
        <is>
          <t>NAUTICA_CLASSICS_117004093_SW4_3.jpg</t>
        </is>
      </c>
      <c r="L1607">
        <f>IMAGE("file:///E:/Estudios%20y%20certificaciones/ESTUDIOS%20DE%20PROGRAMMING/PROGRAMMING/PERSONAL/PYTHON/Image_Generator_API/imagenes/NAUTICA_CLASSICS_117004093_SW4_1.jpg")</f>
        <v/>
      </c>
      <c r="M1607">
        <f>IMAGE("file:///E:/Estudios%20y%20certificaciones/ESTUDIOS%20DE%20PROGRAMMING/PROGRAMMING/PERSONAL/PYTHON/Image_Generator_API/imagenes/NAUTICA_CLASSICS_117004093_SW4_2.jpg")</f>
        <v/>
      </c>
      <c r="N1607">
        <f>IMAGE("file:///E:/Estudios%20y%20certificaciones/ESTUDIOS%20DE%20PROGRAMMING/PROGRAMMING/PERSONAL/PYTHON/Image_Generator_API/imagenes/NAUTICA_CLASSICS_117004093_SW4_3.jpg")</f>
        <v/>
      </c>
      <c r="O1607">
        <f>HYPERLINK("imagenes/NAUTICA_CLASSICS_117004093_SW4_1.jpg","Ver imagen")</f>
        <v/>
      </c>
      <c r="P1607">
        <f>HYPERLINK("imagenes/NAUTICA_CLASSICS_117004093_SW4_2.jpg","Ver imagen")</f>
        <v/>
      </c>
      <c r="Q1607">
        <f>HYPERLINK("imagenes/NAUTICA_CLASSICS_117004093_SW4_3.jpg","Ver imagen")</f>
        <v/>
      </c>
    </row>
    <row r="1608">
      <c r="A1608" t="inlineStr">
        <is>
          <t>NAUTICA CLASSICS</t>
        </is>
      </c>
      <c r="B1608" t="inlineStr">
        <is>
          <t>117004093</t>
        </is>
      </c>
      <c r="C1608" t="inlineStr">
        <is>
          <t>soft mist puffer</t>
        </is>
      </c>
      <c r="D1608" t="inlineStr">
        <is>
          <t>SW4</t>
        </is>
      </c>
      <c r="E1608" t="inlineStr">
        <is>
          <t>(en blanco)</t>
        </is>
      </c>
      <c r="F1608" t="inlineStr">
        <is>
          <t>(en blanco)</t>
        </is>
      </c>
      <c r="G1608" t="inlineStr">
        <is>
          <t>XXS</t>
        </is>
      </c>
      <c r="H1608" t="n">
        <v>37</v>
      </c>
      <c r="I1608" t="inlineStr">
        <is>
          <t>NAUTICA_CLASSICS_117004093_SW4_1.jpg</t>
        </is>
      </c>
      <c r="J1608" t="inlineStr">
        <is>
          <t>NAUTICA_CLASSICS_117004093_SW4_2.jpg</t>
        </is>
      </c>
      <c r="K1608" t="inlineStr">
        <is>
          <t>NAUTICA_CLASSICS_117004093_SW4_3.jpg</t>
        </is>
      </c>
      <c r="L1608">
        <f>IMAGE("file:///E:/Estudios%20y%20certificaciones/ESTUDIOS%20DE%20PROGRAMMING/PROGRAMMING/PERSONAL/PYTHON/Image_Generator_API/imagenes/NAUTICA_CLASSICS_117004093_SW4_1.jpg")</f>
        <v/>
      </c>
      <c r="M1608">
        <f>IMAGE("file:///E:/Estudios%20y%20certificaciones/ESTUDIOS%20DE%20PROGRAMMING/PROGRAMMING/PERSONAL/PYTHON/Image_Generator_API/imagenes/NAUTICA_CLASSICS_117004093_SW4_2.jpg")</f>
        <v/>
      </c>
      <c r="N1608">
        <f>IMAGE("file:///E:/Estudios%20y%20certificaciones/ESTUDIOS%20DE%20PROGRAMMING/PROGRAMMING/PERSONAL/PYTHON/Image_Generator_API/imagenes/NAUTICA_CLASSICS_117004093_SW4_3.jpg")</f>
        <v/>
      </c>
      <c r="O1608">
        <f>HYPERLINK("imagenes/NAUTICA_CLASSICS_117004093_SW4_1.jpg","Ver imagen")</f>
        <v/>
      </c>
      <c r="P1608">
        <f>HYPERLINK("imagenes/NAUTICA_CLASSICS_117004093_SW4_2.jpg","Ver imagen")</f>
        <v/>
      </c>
      <c r="Q1608">
        <f>HYPERLINK("imagenes/NAUTICA_CLASSICS_117004093_SW4_3.jpg","Ver imagen")</f>
        <v/>
      </c>
    </row>
    <row r="1609">
      <c r="A1609" t="inlineStr">
        <is>
          <t>NAUTICA CLASSICS</t>
        </is>
      </c>
      <c r="B1609" t="inlineStr">
        <is>
          <t>117004220</t>
        </is>
      </c>
      <c r="C1609" t="inlineStr">
        <is>
          <t>SOFT MIST COAT</t>
        </is>
      </c>
      <c r="D1609" t="inlineStr">
        <is>
          <t>B4K</t>
        </is>
      </c>
      <c r="E1609" t="inlineStr">
        <is>
          <t>(en blanco)</t>
        </is>
      </c>
      <c r="F1609" t="inlineStr">
        <is>
          <t>(en blanco)</t>
        </is>
      </c>
      <c r="G1609" t="inlineStr">
        <is>
          <t>XS</t>
        </is>
      </c>
      <c r="H1609" t="n">
        <v>4</v>
      </c>
      <c r="I1609" t="inlineStr">
        <is>
          <t>NAUTICA_CLASSICS_117004220_B4K_1.jpg</t>
        </is>
      </c>
      <c r="J1609" t="inlineStr">
        <is>
          <t>NAUTICA_CLASSICS_117004220_B4K_2.jpg</t>
        </is>
      </c>
      <c r="K1609" t="inlineStr">
        <is>
          <t>NAUTICA_CLASSICS_117004220_B4K_3.jpg</t>
        </is>
      </c>
      <c r="L1609">
        <f>IMAGE("file:///E:/Estudios%20y%20certificaciones/ESTUDIOS%20DE%20PROGRAMMING/PROGRAMMING/PERSONAL/PYTHON/Image_Generator_API/imagenes/NAUTICA_CLASSICS_117004220_B4K_1.jpg")</f>
        <v/>
      </c>
      <c r="M1609">
        <f>IMAGE("file:///E:/Estudios%20y%20certificaciones/ESTUDIOS%20DE%20PROGRAMMING/PROGRAMMING/PERSONAL/PYTHON/Image_Generator_API/imagenes/NAUTICA_CLASSICS_117004220_B4K_2.jpg")</f>
        <v/>
      </c>
      <c r="N1609">
        <f>IMAGE("file:///E:/Estudios%20y%20certificaciones/ESTUDIOS%20DE%20PROGRAMMING/PROGRAMMING/PERSONAL/PYTHON/Image_Generator_API/imagenes/NAUTICA_CLASSICS_117004220_B4K_3.jpg")</f>
        <v/>
      </c>
      <c r="O1609">
        <f>HYPERLINK("imagenes/NAUTICA_CLASSICS_117004220_B4K_1.jpg","Ver imagen")</f>
        <v/>
      </c>
      <c r="P1609">
        <f>HYPERLINK("imagenes/NAUTICA_CLASSICS_117004220_B4K_2.jpg","Ver imagen")</f>
        <v/>
      </c>
      <c r="Q1609">
        <f>HYPERLINK("imagenes/NAUTICA_CLASSICS_117004220_B4K_3.jpg","Ver imagen")</f>
        <v/>
      </c>
    </row>
    <row r="1610">
      <c r="A1610" t="inlineStr">
        <is>
          <t>NAUTICA CLASSICS</t>
        </is>
      </c>
      <c r="B1610" t="inlineStr">
        <is>
          <t>117004220</t>
        </is>
      </c>
      <c r="C1610" t="inlineStr">
        <is>
          <t>SOFT MIST COAT</t>
        </is>
      </c>
      <c r="D1610" t="inlineStr">
        <is>
          <t>B4K</t>
        </is>
      </c>
      <c r="E1610" t="inlineStr">
        <is>
          <t>(en blanco)</t>
        </is>
      </c>
      <c r="F1610" t="inlineStr">
        <is>
          <t>(en blanco)</t>
        </is>
      </c>
      <c r="G1610" t="inlineStr">
        <is>
          <t>S</t>
        </is>
      </c>
      <c r="H1610" t="n">
        <v>3</v>
      </c>
      <c r="I1610" t="inlineStr">
        <is>
          <t>NAUTICA_CLASSICS_117004220_B4K_1.jpg</t>
        </is>
      </c>
      <c r="J1610" t="inlineStr">
        <is>
          <t>NAUTICA_CLASSICS_117004220_B4K_2.jpg</t>
        </is>
      </c>
      <c r="K1610" t="inlineStr">
        <is>
          <t>NAUTICA_CLASSICS_117004220_B4K_3.jpg</t>
        </is>
      </c>
      <c r="L1610">
        <f>IMAGE("file:///E:/Estudios%20y%20certificaciones/ESTUDIOS%20DE%20PROGRAMMING/PROGRAMMING/PERSONAL/PYTHON/Image_Generator_API/imagenes/NAUTICA_CLASSICS_117004220_B4K_1.jpg")</f>
        <v/>
      </c>
      <c r="M1610">
        <f>IMAGE("file:///E:/Estudios%20y%20certificaciones/ESTUDIOS%20DE%20PROGRAMMING/PROGRAMMING/PERSONAL/PYTHON/Image_Generator_API/imagenes/NAUTICA_CLASSICS_117004220_B4K_2.jpg")</f>
        <v/>
      </c>
      <c r="N1610">
        <f>IMAGE("file:///E:/Estudios%20y%20certificaciones/ESTUDIOS%20DE%20PROGRAMMING/PROGRAMMING/PERSONAL/PYTHON/Image_Generator_API/imagenes/NAUTICA_CLASSICS_117004220_B4K_3.jpg")</f>
        <v/>
      </c>
      <c r="O1610">
        <f>HYPERLINK("imagenes/NAUTICA_CLASSICS_117004220_B4K_1.jpg","Ver imagen")</f>
        <v/>
      </c>
      <c r="P1610">
        <f>HYPERLINK("imagenes/NAUTICA_CLASSICS_117004220_B4K_2.jpg","Ver imagen")</f>
        <v/>
      </c>
      <c r="Q1610">
        <f>HYPERLINK("imagenes/NAUTICA_CLASSICS_117004220_B4K_3.jpg","Ver imagen")</f>
        <v/>
      </c>
    </row>
    <row r="1611">
      <c r="A1611" t="inlineStr">
        <is>
          <t>NAUTICA CLASSICS</t>
        </is>
      </c>
      <c r="B1611" t="inlineStr">
        <is>
          <t>117004220</t>
        </is>
      </c>
      <c r="C1611" t="inlineStr">
        <is>
          <t>SOFT MIST COAT</t>
        </is>
      </c>
      <c r="D1611" t="inlineStr">
        <is>
          <t>BLK</t>
        </is>
      </c>
      <c r="E1611" t="inlineStr">
        <is>
          <t>(en blanco)</t>
        </is>
      </c>
      <c r="F1611" t="inlineStr">
        <is>
          <t>D2C</t>
        </is>
      </c>
      <c r="G1611" t="inlineStr">
        <is>
          <t>XS</t>
        </is>
      </c>
      <c r="H1611" t="n">
        <v>50</v>
      </c>
      <c r="I1611" t="inlineStr">
        <is>
          <t>NAUTICA_CLASSICS_117004220_BLK_1.jpg</t>
        </is>
      </c>
      <c r="J1611" t="inlineStr">
        <is>
          <t>NAUTICA_CLASSICS_117004220_BLK_2.jpg</t>
        </is>
      </c>
      <c r="K1611" t="inlineStr">
        <is>
          <t>NAUTICA_CLASSICS_117004220_BLK_3.jpg</t>
        </is>
      </c>
      <c r="L1611">
        <f>IMAGE("file:///E:/Estudios%20y%20certificaciones/ESTUDIOS%20DE%20PROGRAMMING/PROGRAMMING/PERSONAL/PYTHON/Image_Generator_API/imagenes/NAUTICA_CLASSICS_117004220_BLK_1.jpg")</f>
        <v/>
      </c>
      <c r="M1611">
        <f>IMAGE("file:///E:/Estudios%20y%20certificaciones/ESTUDIOS%20DE%20PROGRAMMING/PROGRAMMING/PERSONAL/PYTHON/Image_Generator_API/imagenes/NAUTICA_CLASSICS_117004220_BLK_2.jpg")</f>
        <v/>
      </c>
      <c r="N1611">
        <f>IMAGE("file:///E:/Estudios%20y%20certificaciones/ESTUDIOS%20DE%20PROGRAMMING/PROGRAMMING/PERSONAL/PYTHON/Image_Generator_API/imagenes/NAUTICA_CLASSICS_117004220_BLK_3.jpg")</f>
        <v/>
      </c>
      <c r="O1611">
        <f>HYPERLINK("imagenes/NAUTICA_CLASSICS_117004220_BLK_1.jpg","Ver imagen")</f>
        <v/>
      </c>
      <c r="P1611">
        <f>HYPERLINK("imagenes/NAUTICA_CLASSICS_117004220_BLK_2.jpg","Ver imagen")</f>
        <v/>
      </c>
      <c r="Q1611">
        <f>HYPERLINK("imagenes/NAUTICA_CLASSICS_117004220_BLK_3.jpg","Ver imagen")</f>
        <v/>
      </c>
    </row>
    <row r="1612">
      <c r="A1612" t="inlineStr">
        <is>
          <t>NAUTICA CLASSICS</t>
        </is>
      </c>
      <c r="B1612" t="inlineStr">
        <is>
          <t>117004220</t>
        </is>
      </c>
      <c r="C1612" t="inlineStr">
        <is>
          <t>SOFT MIST COAT</t>
        </is>
      </c>
      <c r="D1612" t="inlineStr">
        <is>
          <t>BLK</t>
        </is>
      </c>
      <c r="E1612" t="inlineStr">
        <is>
          <t>(en blanco)</t>
        </is>
      </c>
      <c r="F1612" t="inlineStr">
        <is>
          <t>D2C</t>
        </is>
      </c>
      <c r="G1612" t="inlineStr">
        <is>
          <t>S</t>
        </is>
      </c>
      <c r="H1612" t="n">
        <v>97</v>
      </c>
      <c r="I1612" t="inlineStr">
        <is>
          <t>NAUTICA_CLASSICS_117004220_BLK_1.jpg</t>
        </is>
      </c>
      <c r="J1612" t="inlineStr">
        <is>
          <t>NAUTICA_CLASSICS_117004220_BLK_2.jpg</t>
        </is>
      </c>
      <c r="K1612" t="inlineStr">
        <is>
          <t>NAUTICA_CLASSICS_117004220_BLK_3.jpg</t>
        </is>
      </c>
      <c r="L1612">
        <f>IMAGE("file:///E:/Estudios%20y%20certificaciones/ESTUDIOS%20DE%20PROGRAMMING/PROGRAMMING/PERSONAL/PYTHON/Image_Generator_API/imagenes/NAUTICA_CLASSICS_117004220_BLK_1.jpg")</f>
        <v/>
      </c>
      <c r="M1612">
        <f>IMAGE("file:///E:/Estudios%20y%20certificaciones/ESTUDIOS%20DE%20PROGRAMMING/PROGRAMMING/PERSONAL/PYTHON/Image_Generator_API/imagenes/NAUTICA_CLASSICS_117004220_BLK_2.jpg")</f>
        <v/>
      </c>
      <c r="N1612">
        <f>IMAGE("file:///E:/Estudios%20y%20certificaciones/ESTUDIOS%20DE%20PROGRAMMING/PROGRAMMING/PERSONAL/PYTHON/Image_Generator_API/imagenes/NAUTICA_CLASSICS_117004220_BLK_3.jpg")</f>
        <v/>
      </c>
      <c r="O1612">
        <f>HYPERLINK("imagenes/NAUTICA_CLASSICS_117004220_BLK_1.jpg","Ver imagen")</f>
        <v/>
      </c>
      <c r="P1612">
        <f>HYPERLINK("imagenes/NAUTICA_CLASSICS_117004220_BLK_2.jpg","Ver imagen")</f>
        <v/>
      </c>
      <c r="Q1612">
        <f>HYPERLINK("imagenes/NAUTICA_CLASSICS_117004220_BLK_3.jpg","Ver imagen")</f>
        <v/>
      </c>
    </row>
    <row r="1613">
      <c r="A1613" t="inlineStr">
        <is>
          <t>NAUTICA CLASSICS</t>
        </is>
      </c>
      <c r="B1613" t="inlineStr">
        <is>
          <t>117004220</t>
        </is>
      </c>
      <c r="C1613" t="inlineStr">
        <is>
          <t>SOFT MIST COAT</t>
        </is>
      </c>
      <c r="D1613" t="inlineStr">
        <is>
          <t>BLK</t>
        </is>
      </c>
      <c r="E1613" t="inlineStr">
        <is>
          <t>(en blanco)</t>
        </is>
      </c>
      <c r="F1613" t="inlineStr">
        <is>
          <t>D2C</t>
        </is>
      </c>
      <c r="G1613" t="inlineStr">
        <is>
          <t>M</t>
        </is>
      </c>
      <c r="H1613" t="n">
        <v>98</v>
      </c>
      <c r="I1613" t="inlineStr">
        <is>
          <t>NAUTICA_CLASSICS_117004220_BLK_1.jpg</t>
        </is>
      </c>
      <c r="J1613" t="inlineStr">
        <is>
          <t>NAUTICA_CLASSICS_117004220_BLK_2.jpg</t>
        </is>
      </c>
      <c r="K1613" t="inlineStr">
        <is>
          <t>NAUTICA_CLASSICS_117004220_BLK_3.jpg</t>
        </is>
      </c>
      <c r="L1613">
        <f>IMAGE("file:///E:/Estudios%20y%20certificaciones/ESTUDIOS%20DE%20PROGRAMMING/PROGRAMMING/PERSONAL/PYTHON/Image_Generator_API/imagenes/NAUTICA_CLASSICS_117004220_BLK_1.jpg")</f>
        <v/>
      </c>
      <c r="M1613">
        <f>IMAGE("file:///E:/Estudios%20y%20certificaciones/ESTUDIOS%20DE%20PROGRAMMING/PROGRAMMING/PERSONAL/PYTHON/Image_Generator_API/imagenes/NAUTICA_CLASSICS_117004220_BLK_2.jpg")</f>
        <v/>
      </c>
      <c r="N1613">
        <f>IMAGE("file:///E:/Estudios%20y%20certificaciones/ESTUDIOS%20DE%20PROGRAMMING/PROGRAMMING/PERSONAL/PYTHON/Image_Generator_API/imagenes/NAUTICA_CLASSICS_117004220_BLK_3.jpg")</f>
        <v/>
      </c>
      <c r="O1613">
        <f>HYPERLINK("imagenes/NAUTICA_CLASSICS_117004220_BLK_1.jpg","Ver imagen")</f>
        <v/>
      </c>
      <c r="P1613">
        <f>HYPERLINK("imagenes/NAUTICA_CLASSICS_117004220_BLK_2.jpg","Ver imagen")</f>
        <v/>
      </c>
      <c r="Q1613">
        <f>HYPERLINK("imagenes/NAUTICA_CLASSICS_117004220_BLK_3.jpg","Ver imagen")</f>
        <v/>
      </c>
    </row>
    <row r="1614">
      <c r="A1614" t="inlineStr">
        <is>
          <t>NAUTICA CLASSICS</t>
        </is>
      </c>
      <c r="B1614" t="inlineStr">
        <is>
          <t>117004220</t>
        </is>
      </c>
      <c r="C1614" t="inlineStr">
        <is>
          <t>SOFT MIST COAT</t>
        </is>
      </c>
      <c r="D1614" t="inlineStr">
        <is>
          <t>BLK</t>
        </is>
      </c>
      <c r="E1614" t="inlineStr">
        <is>
          <t>(en blanco)</t>
        </is>
      </c>
      <c r="F1614" t="inlineStr">
        <is>
          <t>D2C</t>
        </is>
      </c>
      <c r="G1614" t="inlineStr">
        <is>
          <t>L</t>
        </is>
      </c>
      <c r="H1614" t="n">
        <v>51</v>
      </c>
      <c r="I1614" t="inlineStr">
        <is>
          <t>NAUTICA_CLASSICS_117004220_BLK_1.jpg</t>
        </is>
      </c>
      <c r="J1614" t="inlineStr">
        <is>
          <t>NAUTICA_CLASSICS_117004220_BLK_2.jpg</t>
        </is>
      </c>
      <c r="K1614" t="inlineStr">
        <is>
          <t>NAUTICA_CLASSICS_117004220_BLK_3.jpg</t>
        </is>
      </c>
      <c r="L1614">
        <f>IMAGE("file:///E:/Estudios%20y%20certificaciones/ESTUDIOS%20DE%20PROGRAMMING/PROGRAMMING/PERSONAL/PYTHON/Image_Generator_API/imagenes/NAUTICA_CLASSICS_117004220_BLK_1.jpg")</f>
        <v/>
      </c>
      <c r="M1614">
        <f>IMAGE("file:///E:/Estudios%20y%20certificaciones/ESTUDIOS%20DE%20PROGRAMMING/PROGRAMMING/PERSONAL/PYTHON/Image_Generator_API/imagenes/NAUTICA_CLASSICS_117004220_BLK_2.jpg")</f>
        <v/>
      </c>
      <c r="N1614">
        <f>IMAGE("file:///E:/Estudios%20y%20certificaciones/ESTUDIOS%20DE%20PROGRAMMING/PROGRAMMING/PERSONAL/PYTHON/Image_Generator_API/imagenes/NAUTICA_CLASSICS_117004220_BLK_3.jpg")</f>
        <v/>
      </c>
      <c r="O1614">
        <f>HYPERLINK("imagenes/NAUTICA_CLASSICS_117004220_BLK_1.jpg","Ver imagen")</f>
        <v/>
      </c>
      <c r="P1614">
        <f>HYPERLINK("imagenes/NAUTICA_CLASSICS_117004220_BLK_2.jpg","Ver imagen")</f>
        <v/>
      </c>
      <c r="Q1614">
        <f>HYPERLINK("imagenes/NAUTICA_CLASSICS_117004220_BLK_3.jpg","Ver imagen")</f>
        <v/>
      </c>
    </row>
    <row r="1615">
      <c r="A1615" t="inlineStr">
        <is>
          <t>NAUTICA CLASSICS</t>
        </is>
      </c>
      <c r="B1615" t="inlineStr">
        <is>
          <t>117004220</t>
        </is>
      </c>
      <c r="C1615" t="inlineStr">
        <is>
          <t>SOFT MIST COAT</t>
        </is>
      </c>
      <c r="D1615" t="inlineStr">
        <is>
          <t>BLK</t>
        </is>
      </c>
      <c r="E1615" t="inlineStr">
        <is>
          <t>(en blanco)</t>
        </is>
      </c>
      <c r="F1615" t="inlineStr">
        <is>
          <t>D2C</t>
        </is>
      </c>
      <c r="G1615" t="inlineStr">
        <is>
          <t>XL</t>
        </is>
      </c>
      <c r="H1615" t="n">
        <v>18</v>
      </c>
      <c r="I1615" t="inlineStr">
        <is>
          <t>NAUTICA_CLASSICS_117004220_BLK_1.jpg</t>
        </is>
      </c>
      <c r="J1615" t="inlineStr">
        <is>
          <t>NAUTICA_CLASSICS_117004220_BLK_2.jpg</t>
        </is>
      </c>
      <c r="K1615" t="inlineStr">
        <is>
          <t>NAUTICA_CLASSICS_117004220_BLK_3.jpg</t>
        </is>
      </c>
      <c r="L1615">
        <f>IMAGE("file:///E:/Estudios%20y%20certificaciones/ESTUDIOS%20DE%20PROGRAMMING/PROGRAMMING/PERSONAL/PYTHON/Image_Generator_API/imagenes/NAUTICA_CLASSICS_117004220_BLK_1.jpg")</f>
        <v/>
      </c>
      <c r="M1615">
        <f>IMAGE("file:///E:/Estudios%20y%20certificaciones/ESTUDIOS%20DE%20PROGRAMMING/PROGRAMMING/PERSONAL/PYTHON/Image_Generator_API/imagenes/NAUTICA_CLASSICS_117004220_BLK_2.jpg")</f>
        <v/>
      </c>
      <c r="N1615">
        <f>IMAGE("file:///E:/Estudios%20y%20certificaciones/ESTUDIOS%20DE%20PROGRAMMING/PROGRAMMING/PERSONAL/PYTHON/Image_Generator_API/imagenes/NAUTICA_CLASSICS_117004220_BLK_3.jpg")</f>
        <v/>
      </c>
      <c r="O1615">
        <f>HYPERLINK("imagenes/NAUTICA_CLASSICS_117004220_BLK_1.jpg","Ver imagen")</f>
        <v/>
      </c>
      <c r="P1615">
        <f>HYPERLINK("imagenes/NAUTICA_CLASSICS_117004220_BLK_2.jpg","Ver imagen")</f>
        <v/>
      </c>
      <c r="Q1615">
        <f>HYPERLINK("imagenes/NAUTICA_CLASSICS_117004220_BLK_3.jpg","Ver imagen")</f>
        <v/>
      </c>
    </row>
    <row r="1616">
      <c r="A1616" t="inlineStr">
        <is>
          <t>NAUTICA CLASSICS</t>
        </is>
      </c>
      <c r="B1616" t="inlineStr">
        <is>
          <t>117004220</t>
        </is>
      </c>
      <c r="C1616" t="inlineStr">
        <is>
          <t>SOFT MIST COAT</t>
        </is>
      </c>
      <c r="D1616" t="inlineStr">
        <is>
          <t>BLK</t>
        </is>
      </c>
      <c r="E1616" t="inlineStr">
        <is>
          <t>(en blanco)</t>
        </is>
      </c>
      <c r="F1616" t="inlineStr">
        <is>
          <t>(en blanco)</t>
        </is>
      </c>
      <c r="G1616" t="inlineStr">
        <is>
          <t>XS</t>
        </is>
      </c>
      <c r="H1616" t="n">
        <v>58</v>
      </c>
      <c r="I1616" t="inlineStr">
        <is>
          <t>NAUTICA_CLASSICS_117004220_BLK_1.jpg</t>
        </is>
      </c>
      <c r="J1616" t="inlineStr">
        <is>
          <t>NAUTICA_CLASSICS_117004220_BLK_2.jpg</t>
        </is>
      </c>
      <c r="K1616" t="inlineStr">
        <is>
          <t>NAUTICA_CLASSICS_117004220_BLK_3.jpg</t>
        </is>
      </c>
      <c r="L1616">
        <f>IMAGE("file:///E:/Estudios%20y%20certificaciones/ESTUDIOS%20DE%20PROGRAMMING/PROGRAMMING/PERSONAL/PYTHON/Image_Generator_API/imagenes/NAUTICA_CLASSICS_117004220_BLK_1.jpg")</f>
        <v/>
      </c>
      <c r="M1616">
        <f>IMAGE("file:///E:/Estudios%20y%20certificaciones/ESTUDIOS%20DE%20PROGRAMMING/PROGRAMMING/PERSONAL/PYTHON/Image_Generator_API/imagenes/NAUTICA_CLASSICS_117004220_BLK_2.jpg")</f>
        <v/>
      </c>
      <c r="N1616">
        <f>IMAGE("file:///E:/Estudios%20y%20certificaciones/ESTUDIOS%20DE%20PROGRAMMING/PROGRAMMING/PERSONAL/PYTHON/Image_Generator_API/imagenes/NAUTICA_CLASSICS_117004220_BLK_3.jpg")</f>
        <v/>
      </c>
      <c r="O1616">
        <f>HYPERLINK("imagenes/NAUTICA_CLASSICS_117004220_BLK_1.jpg","Ver imagen")</f>
        <v/>
      </c>
      <c r="P1616">
        <f>HYPERLINK("imagenes/NAUTICA_CLASSICS_117004220_BLK_2.jpg","Ver imagen")</f>
        <v/>
      </c>
      <c r="Q1616">
        <f>HYPERLINK("imagenes/NAUTICA_CLASSICS_117004220_BLK_3.jpg","Ver imagen")</f>
        <v/>
      </c>
    </row>
    <row r="1617">
      <c r="A1617" t="inlineStr">
        <is>
          <t>NAUTICA CLASSICS</t>
        </is>
      </c>
      <c r="B1617" t="inlineStr">
        <is>
          <t>117004220</t>
        </is>
      </c>
      <c r="C1617" t="inlineStr">
        <is>
          <t>SOFT MIST COAT</t>
        </is>
      </c>
      <c r="D1617" t="inlineStr">
        <is>
          <t>BLK</t>
        </is>
      </c>
      <c r="E1617" t="inlineStr">
        <is>
          <t>(en blanco)</t>
        </is>
      </c>
      <c r="F1617" t="inlineStr">
        <is>
          <t>(en blanco)</t>
        </is>
      </c>
      <c r="G1617" t="inlineStr">
        <is>
          <t>S</t>
        </is>
      </c>
      <c r="H1617" t="n">
        <v>218</v>
      </c>
      <c r="I1617" t="inlineStr">
        <is>
          <t>NAUTICA_CLASSICS_117004220_BLK_1.jpg</t>
        </is>
      </c>
      <c r="J1617" t="inlineStr">
        <is>
          <t>NAUTICA_CLASSICS_117004220_BLK_2.jpg</t>
        </is>
      </c>
      <c r="K1617" t="inlineStr">
        <is>
          <t>NAUTICA_CLASSICS_117004220_BLK_3.jpg</t>
        </is>
      </c>
      <c r="L1617">
        <f>IMAGE("file:///E:/Estudios%20y%20certificaciones/ESTUDIOS%20DE%20PROGRAMMING/PROGRAMMING/PERSONAL/PYTHON/Image_Generator_API/imagenes/NAUTICA_CLASSICS_117004220_BLK_1.jpg")</f>
        <v/>
      </c>
      <c r="M1617">
        <f>IMAGE("file:///E:/Estudios%20y%20certificaciones/ESTUDIOS%20DE%20PROGRAMMING/PROGRAMMING/PERSONAL/PYTHON/Image_Generator_API/imagenes/NAUTICA_CLASSICS_117004220_BLK_2.jpg")</f>
        <v/>
      </c>
      <c r="N1617">
        <f>IMAGE("file:///E:/Estudios%20y%20certificaciones/ESTUDIOS%20DE%20PROGRAMMING/PROGRAMMING/PERSONAL/PYTHON/Image_Generator_API/imagenes/NAUTICA_CLASSICS_117004220_BLK_3.jpg")</f>
        <v/>
      </c>
      <c r="O1617">
        <f>HYPERLINK("imagenes/NAUTICA_CLASSICS_117004220_BLK_1.jpg","Ver imagen")</f>
        <v/>
      </c>
      <c r="P1617">
        <f>HYPERLINK("imagenes/NAUTICA_CLASSICS_117004220_BLK_2.jpg","Ver imagen")</f>
        <v/>
      </c>
      <c r="Q1617">
        <f>HYPERLINK("imagenes/NAUTICA_CLASSICS_117004220_BLK_3.jpg","Ver imagen")</f>
        <v/>
      </c>
    </row>
    <row r="1618">
      <c r="A1618" t="inlineStr">
        <is>
          <t>NAUTICA CLASSICS</t>
        </is>
      </c>
      <c r="B1618" t="inlineStr">
        <is>
          <t>117004220</t>
        </is>
      </c>
      <c r="C1618" t="inlineStr">
        <is>
          <t>SOFT MIST COAT</t>
        </is>
      </c>
      <c r="D1618" t="inlineStr">
        <is>
          <t>BLK</t>
        </is>
      </c>
      <c r="E1618" t="inlineStr">
        <is>
          <t>(en blanco)</t>
        </is>
      </c>
      <c r="F1618" t="inlineStr">
        <is>
          <t>(en blanco)</t>
        </is>
      </c>
      <c r="G1618" t="inlineStr">
        <is>
          <t>M</t>
        </is>
      </c>
      <c r="H1618" t="n">
        <v>249</v>
      </c>
      <c r="I1618" t="inlineStr">
        <is>
          <t>NAUTICA_CLASSICS_117004220_BLK_1.jpg</t>
        </is>
      </c>
      <c r="J1618" t="inlineStr">
        <is>
          <t>NAUTICA_CLASSICS_117004220_BLK_2.jpg</t>
        </is>
      </c>
      <c r="K1618" t="inlineStr">
        <is>
          <t>NAUTICA_CLASSICS_117004220_BLK_3.jpg</t>
        </is>
      </c>
      <c r="L1618">
        <f>IMAGE("file:///E:/Estudios%20y%20certificaciones/ESTUDIOS%20DE%20PROGRAMMING/PROGRAMMING/PERSONAL/PYTHON/Image_Generator_API/imagenes/NAUTICA_CLASSICS_117004220_BLK_1.jpg")</f>
        <v/>
      </c>
      <c r="M1618">
        <f>IMAGE("file:///E:/Estudios%20y%20certificaciones/ESTUDIOS%20DE%20PROGRAMMING/PROGRAMMING/PERSONAL/PYTHON/Image_Generator_API/imagenes/NAUTICA_CLASSICS_117004220_BLK_2.jpg")</f>
        <v/>
      </c>
      <c r="N1618">
        <f>IMAGE("file:///E:/Estudios%20y%20certificaciones/ESTUDIOS%20DE%20PROGRAMMING/PROGRAMMING/PERSONAL/PYTHON/Image_Generator_API/imagenes/NAUTICA_CLASSICS_117004220_BLK_3.jpg")</f>
        <v/>
      </c>
      <c r="O1618">
        <f>HYPERLINK("imagenes/NAUTICA_CLASSICS_117004220_BLK_1.jpg","Ver imagen")</f>
        <v/>
      </c>
      <c r="P1618">
        <f>HYPERLINK("imagenes/NAUTICA_CLASSICS_117004220_BLK_2.jpg","Ver imagen")</f>
        <v/>
      </c>
      <c r="Q1618">
        <f>HYPERLINK("imagenes/NAUTICA_CLASSICS_117004220_BLK_3.jpg","Ver imagen")</f>
        <v/>
      </c>
    </row>
    <row r="1619">
      <c r="A1619" t="inlineStr">
        <is>
          <t>NAUTICA CLASSICS</t>
        </is>
      </c>
      <c r="B1619" t="inlineStr">
        <is>
          <t>117004220</t>
        </is>
      </c>
      <c r="C1619" t="inlineStr">
        <is>
          <t>SOFT MIST COAT</t>
        </is>
      </c>
      <c r="D1619" t="inlineStr">
        <is>
          <t>BLK</t>
        </is>
      </c>
      <c r="E1619" t="inlineStr">
        <is>
          <t>(en blanco)</t>
        </is>
      </c>
      <c r="F1619" t="inlineStr">
        <is>
          <t>(en blanco)</t>
        </is>
      </c>
      <c r="G1619" t="inlineStr">
        <is>
          <t>XL</t>
        </is>
      </c>
      <c r="H1619" t="n">
        <v>8</v>
      </c>
      <c r="I1619" t="inlineStr">
        <is>
          <t>NAUTICA_CLASSICS_117004220_BLK_1.jpg</t>
        </is>
      </c>
      <c r="J1619" t="inlineStr">
        <is>
          <t>NAUTICA_CLASSICS_117004220_BLK_2.jpg</t>
        </is>
      </c>
      <c r="K1619" t="inlineStr">
        <is>
          <t>NAUTICA_CLASSICS_117004220_BLK_3.jpg</t>
        </is>
      </c>
      <c r="L1619">
        <f>IMAGE("file:///E:/Estudios%20y%20certificaciones/ESTUDIOS%20DE%20PROGRAMMING/PROGRAMMING/PERSONAL/PYTHON/Image_Generator_API/imagenes/NAUTICA_CLASSICS_117004220_BLK_1.jpg")</f>
        <v/>
      </c>
      <c r="M1619">
        <f>IMAGE("file:///E:/Estudios%20y%20certificaciones/ESTUDIOS%20DE%20PROGRAMMING/PROGRAMMING/PERSONAL/PYTHON/Image_Generator_API/imagenes/NAUTICA_CLASSICS_117004220_BLK_2.jpg")</f>
        <v/>
      </c>
      <c r="N1619">
        <f>IMAGE("file:///E:/Estudios%20y%20certificaciones/ESTUDIOS%20DE%20PROGRAMMING/PROGRAMMING/PERSONAL/PYTHON/Image_Generator_API/imagenes/NAUTICA_CLASSICS_117004220_BLK_3.jpg")</f>
        <v/>
      </c>
      <c r="O1619">
        <f>HYPERLINK("imagenes/NAUTICA_CLASSICS_117004220_BLK_1.jpg","Ver imagen")</f>
        <v/>
      </c>
      <c r="P1619">
        <f>HYPERLINK("imagenes/NAUTICA_CLASSICS_117004220_BLK_2.jpg","Ver imagen")</f>
        <v/>
      </c>
      <c r="Q1619">
        <f>HYPERLINK("imagenes/NAUTICA_CLASSICS_117004220_BLK_3.jpg","Ver imagen")</f>
        <v/>
      </c>
    </row>
    <row r="1620">
      <c r="A1620" t="inlineStr">
        <is>
          <t>NAUTICA CLASSICS</t>
        </is>
      </c>
      <c r="B1620" t="inlineStr">
        <is>
          <t>117004220</t>
        </is>
      </c>
      <c r="C1620" t="inlineStr">
        <is>
          <t>SOFT MIST COAT</t>
        </is>
      </c>
      <c r="D1620" t="inlineStr">
        <is>
          <t>BLK</t>
        </is>
      </c>
      <c r="E1620" t="inlineStr">
        <is>
          <t>(en blanco)</t>
        </is>
      </c>
      <c r="F1620" t="inlineStr">
        <is>
          <t>(en blanco)</t>
        </is>
      </c>
      <c r="G1620" t="inlineStr">
        <is>
          <t>XXL</t>
        </is>
      </c>
      <c r="H1620" t="n">
        <v>4</v>
      </c>
      <c r="I1620" t="inlineStr">
        <is>
          <t>NAUTICA_CLASSICS_117004220_BLK_1.jpg</t>
        </is>
      </c>
      <c r="J1620" t="inlineStr">
        <is>
          <t>NAUTICA_CLASSICS_117004220_BLK_2.jpg</t>
        </is>
      </c>
      <c r="K1620" t="inlineStr">
        <is>
          <t>NAUTICA_CLASSICS_117004220_BLK_3.jpg</t>
        </is>
      </c>
      <c r="L1620">
        <f>IMAGE("file:///E:/Estudios%20y%20certificaciones/ESTUDIOS%20DE%20PROGRAMMING/PROGRAMMING/PERSONAL/PYTHON/Image_Generator_API/imagenes/NAUTICA_CLASSICS_117004220_BLK_1.jpg")</f>
        <v/>
      </c>
      <c r="M1620">
        <f>IMAGE("file:///E:/Estudios%20y%20certificaciones/ESTUDIOS%20DE%20PROGRAMMING/PROGRAMMING/PERSONAL/PYTHON/Image_Generator_API/imagenes/NAUTICA_CLASSICS_117004220_BLK_2.jpg")</f>
        <v/>
      </c>
      <c r="N1620">
        <f>IMAGE("file:///E:/Estudios%20y%20certificaciones/ESTUDIOS%20DE%20PROGRAMMING/PROGRAMMING/PERSONAL/PYTHON/Image_Generator_API/imagenes/NAUTICA_CLASSICS_117004220_BLK_3.jpg")</f>
        <v/>
      </c>
      <c r="O1620">
        <f>HYPERLINK("imagenes/NAUTICA_CLASSICS_117004220_BLK_1.jpg","Ver imagen")</f>
        <v/>
      </c>
      <c r="P1620">
        <f>HYPERLINK("imagenes/NAUTICA_CLASSICS_117004220_BLK_2.jpg","Ver imagen")</f>
        <v/>
      </c>
      <c r="Q1620">
        <f>HYPERLINK("imagenes/NAUTICA_CLASSICS_117004220_BLK_3.jpg","Ver imagen")</f>
        <v/>
      </c>
    </row>
    <row r="1621">
      <c r="A1621" t="inlineStr">
        <is>
          <t>NAUTICA CLASSICS</t>
        </is>
      </c>
      <c r="B1621" t="inlineStr">
        <is>
          <t>117004220</t>
        </is>
      </c>
      <c r="C1621" t="inlineStr">
        <is>
          <t>SOFT MIST COAT</t>
        </is>
      </c>
      <c r="D1621" t="inlineStr">
        <is>
          <t>BLK</t>
        </is>
      </c>
      <c r="E1621" t="inlineStr">
        <is>
          <t>(en blanco)</t>
        </is>
      </c>
      <c r="F1621" t="inlineStr">
        <is>
          <t>(en blanco)</t>
        </is>
      </c>
      <c r="G1621" t="inlineStr">
        <is>
          <t>XXS</t>
        </is>
      </c>
      <c r="H1621" t="n">
        <v>110</v>
      </c>
      <c r="I1621" t="inlineStr">
        <is>
          <t>NAUTICA_CLASSICS_117004220_BLK_1.jpg</t>
        </is>
      </c>
      <c r="J1621" t="inlineStr">
        <is>
          <t>NAUTICA_CLASSICS_117004220_BLK_2.jpg</t>
        </is>
      </c>
      <c r="K1621" t="inlineStr">
        <is>
          <t>NAUTICA_CLASSICS_117004220_BLK_3.jpg</t>
        </is>
      </c>
      <c r="L1621">
        <f>IMAGE("file:///E:/Estudios%20y%20certificaciones/ESTUDIOS%20DE%20PROGRAMMING/PROGRAMMING/PERSONAL/PYTHON/Image_Generator_API/imagenes/NAUTICA_CLASSICS_117004220_BLK_1.jpg")</f>
        <v/>
      </c>
      <c r="M1621">
        <f>IMAGE("file:///E:/Estudios%20y%20certificaciones/ESTUDIOS%20DE%20PROGRAMMING/PROGRAMMING/PERSONAL/PYTHON/Image_Generator_API/imagenes/NAUTICA_CLASSICS_117004220_BLK_2.jpg")</f>
        <v/>
      </c>
      <c r="N1621">
        <f>IMAGE("file:///E:/Estudios%20y%20certificaciones/ESTUDIOS%20DE%20PROGRAMMING/PROGRAMMING/PERSONAL/PYTHON/Image_Generator_API/imagenes/NAUTICA_CLASSICS_117004220_BLK_3.jpg")</f>
        <v/>
      </c>
      <c r="O1621">
        <f>HYPERLINK("imagenes/NAUTICA_CLASSICS_117004220_BLK_1.jpg","Ver imagen")</f>
        <v/>
      </c>
      <c r="P1621">
        <f>HYPERLINK("imagenes/NAUTICA_CLASSICS_117004220_BLK_2.jpg","Ver imagen")</f>
        <v/>
      </c>
      <c r="Q1621">
        <f>HYPERLINK("imagenes/NAUTICA_CLASSICS_117004220_BLK_3.jpg","Ver imagen")</f>
        <v/>
      </c>
    </row>
    <row r="1622">
      <c r="A1622" t="inlineStr">
        <is>
          <t>NAUTICA CLASSICS</t>
        </is>
      </c>
      <c r="B1622" t="inlineStr">
        <is>
          <t>117004220</t>
        </is>
      </c>
      <c r="C1622" t="inlineStr">
        <is>
          <t>SOFT MIST COAT</t>
        </is>
      </c>
      <c r="D1622" t="inlineStr">
        <is>
          <t>NAR</t>
        </is>
      </c>
      <c r="E1622" t="inlineStr">
        <is>
          <t>(en blanco)</t>
        </is>
      </c>
      <c r="F1622" t="inlineStr">
        <is>
          <t>D2C</t>
        </is>
      </c>
      <c r="G1622" t="inlineStr">
        <is>
          <t>XS</t>
        </is>
      </c>
      <c r="H1622" t="n">
        <v>50</v>
      </c>
      <c r="I1622" t="inlineStr">
        <is>
          <t>NAUTICA_CLASSICS_117004220_NAR_1.jpg</t>
        </is>
      </c>
      <c r="J1622" t="inlineStr">
        <is>
          <t>NAUTICA_CLASSICS_117004220_NAR_2.jpg</t>
        </is>
      </c>
      <c r="K1622" t="inlineStr">
        <is>
          <t>NAUTICA_CLASSICS_117004220_NAR_3.jpg</t>
        </is>
      </c>
      <c r="L1622">
        <f>IMAGE("file:///E:/Estudios%20y%20certificaciones/ESTUDIOS%20DE%20PROGRAMMING/PROGRAMMING/PERSONAL/PYTHON/Image_Generator_API/imagenes/NAUTICA_CLASSICS_117004220_NAR_1.jpg")</f>
        <v/>
      </c>
      <c r="M1622">
        <f>IMAGE("file:///E:/Estudios%20y%20certificaciones/ESTUDIOS%20DE%20PROGRAMMING/PROGRAMMING/PERSONAL/PYTHON/Image_Generator_API/imagenes/NAUTICA_CLASSICS_117004220_NAR_2.jpg")</f>
        <v/>
      </c>
      <c r="N1622">
        <f>IMAGE("file:///E:/Estudios%20y%20certificaciones/ESTUDIOS%20DE%20PROGRAMMING/PROGRAMMING/PERSONAL/PYTHON/Image_Generator_API/imagenes/NAUTICA_CLASSICS_117004220_NAR_3.jpg")</f>
        <v/>
      </c>
      <c r="O1622">
        <f>HYPERLINK("imagenes/NAUTICA_CLASSICS_117004220_NAR_1.jpg","Ver imagen")</f>
        <v/>
      </c>
      <c r="P1622">
        <f>HYPERLINK("imagenes/NAUTICA_CLASSICS_117004220_NAR_2.jpg","Ver imagen")</f>
        <v/>
      </c>
      <c r="Q1622">
        <f>HYPERLINK("imagenes/NAUTICA_CLASSICS_117004220_NAR_3.jpg","Ver imagen")</f>
        <v/>
      </c>
    </row>
    <row r="1623">
      <c r="A1623" t="inlineStr">
        <is>
          <t>NAUTICA CLASSICS</t>
        </is>
      </c>
      <c r="B1623" t="inlineStr">
        <is>
          <t>117004220</t>
        </is>
      </c>
      <c r="C1623" t="inlineStr">
        <is>
          <t>SOFT MIST COAT</t>
        </is>
      </c>
      <c r="D1623" t="inlineStr">
        <is>
          <t>NAR</t>
        </is>
      </c>
      <c r="E1623" t="inlineStr">
        <is>
          <t>(en blanco)</t>
        </is>
      </c>
      <c r="F1623" t="inlineStr">
        <is>
          <t>D2C</t>
        </is>
      </c>
      <c r="G1623" t="inlineStr">
        <is>
          <t>S</t>
        </is>
      </c>
      <c r="H1623" t="n">
        <v>100</v>
      </c>
      <c r="I1623" t="inlineStr">
        <is>
          <t>NAUTICA_CLASSICS_117004220_NAR_1.jpg</t>
        </is>
      </c>
      <c r="J1623" t="inlineStr">
        <is>
          <t>NAUTICA_CLASSICS_117004220_NAR_2.jpg</t>
        </is>
      </c>
      <c r="K1623" t="inlineStr">
        <is>
          <t>NAUTICA_CLASSICS_117004220_NAR_3.jpg</t>
        </is>
      </c>
      <c r="L1623">
        <f>IMAGE("file:///E:/Estudios%20y%20certificaciones/ESTUDIOS%20DE%20PROGRAMMING/PROGRAMMING/PERSONAL/PYTHON/Image_Generator_API/imagenes/NAUTICA_CLASSICS_117004220_NAR_1.jpg")</f>
        <v/>
      </c>
      <c r="M1623">
        <f>IMAGE("file:///E:/Estudios%20y%20certificaciones/ESTUDIOS%20DE%20PROGRAMMING/PROGRAMMING/PERSONAL/PYTHON/Image_Generator_API/imagenes/NAUTICA_CLASSICS_117004220_NAR_2.jpg")</f>
        <v/>
      </c>
      <c r="N1623">
        <f>IMAGE("file:///E:/Estudios%20y%20certificaciones/ESTUDIOS%20DE%20PROGRAMMING/PROGRAMMING/PERSONAL/PYTHON/Image_Generator_API/imagenes/NAUTICA_CLASSICS_117004220_NAR_3.jpg")</f>
        <v/>
      </c>
      <c r="O1623">
        <f>HYPERLINK("imagenes/NAUTICA_CLASSICS_117004220_NAR_1.jpg","Ver imagen")</f>
        <v/>
      </c>
      <c r="P1623">
        <f>HYPERLINK("imagenes/NAUTICA_CLASSICS_117004220_NAR_2.jpg","Ver imagen")</f>
        <v/>
      </c>
      <c r="Q1623">
        <f>HYPERLINK("imagenes/NAUTICA_CLASSICS_117004220_NAR_3.jpg","Ver imagen")</f>
        <v/>
      </c>
    </row>
    <row r="1624">
      <c r="A1624" t="inlineStr">
        <is>
          <t>NAUTICA CLASSICS</t>
        </is>
      </c>
      <c r="B1624" t="inlineStr">
        <is>
          <t>117004220</t>
        </is>
      </c>
      <c r="C1624" t="inlineStr">
        <is>
          <t>SOFT MIST COAT</t>
        </is>
      </c>
      <c r="D1624" t="inlineStr">
        <is>
          <t>NAR</t>
        </is>
      </c>
      <c r="E1624" t="inlineStr">
        <is>
          <t>(en blanco)</t>
        </is>
      </c>
      <c r="F1624" t="inlineStr">
        <is>
          <t>D2C</t>
        </is>
      </c>
      <c r="G1624" t="inlineStr">
        <is>
          <t>M</t>
        </is>
      </c>
      <c r="H1624" t="n">
        <v>97</v>
      </c>
      <c r="I1624" t="inlineStr">
        <is>
          <t>NAUTICA_CLASSICS_117004220_NAR_1.jpg</t>
        </is>
      </c>
      <c r="J1624" t="inlineStr">
        <is>
          <t>NAUTICA_CLASSICS_117004220_NAR_2.jpg</t>
        </is>
      </c>
      <c r="K1624" t="inlineStr">
        <is>
          <t>NAUTICA_CLASSICS_117004220_NAR_3.jpg</t>
        </is>
      </c>
      <c r="L1624">
        <f>IMAGE("file:///E:/Estudios%20y%20certificaciones/ESTUDIOS%20DE%20PROGRAMMING/PROGRAMMING/PERSONAL/PYTHON/Image_Generator_API/imagenes/NAUTICA_CLASSICS_117004220_NAR_1.jpg")</f>
        <v/>
      </c>
      <c r="M1624">
        <f>IMAGE("file:///E:/Estudios%20y%20certificaciones/ESTUDIOS%20DE%20PROGRAMMING/PROGRAMMING/PERSONAL/PYTHON/Image_Generator_API/imagenes/NAUTICA_CLASSICS_117004220_NAR_2.jpg")</f>
        <v/>
      </c>
      <c r="N1624">
        <f>IMAGE("file:///E:/Estudios%20y%20certificaciones/ESTUDIOS%20DE%20PROGRAMMING/PROGRAMMING/PERSONAL/PYTHON/Image_Generator_API/imagenes/NAUTICA_CLASSICS_117004220_NAR_3.jpg")</f>
        <v/>
      </c>
      <c r="O1624">
        <f>HYPERLINK("imagenes/NAUTICA_CLASSICS_117004220_NAR_1.jpg","Ver imagen")</f>
        <v/>
      </c>
      <c r="P1624">
        <f>HYPERLINK("imagenes/NAUTICA_CLASSICS_117004220_NAR_2.jpg","Ver imagen")</f>
        <v/>
      </c>
      <c r="Q1624">
        <f>HYPERLINK("imagenes/NAUTICA_CLASSICS_117004220_NAR_3.jpg","Ver imagen")</f>
        <v/>
      </c>
    </row>
    <row r="1625">
      <c r="A1625" t="inlineStr">
        <is>
          <t>NAUTICA CLASSICS</t>
        </is>
      </c>
      <c r="B1625" t="inlineStr">
        <is>
          <t>117004220</t>
        </is>
      </c>
      <c r="C1625" t="inlineStr">
        <is>
          <t>SOFT MIST COAT</t>
        </is>
      </c>
      <c r="D1625" t="inlineStr">
        <is>
          <t>NAR</t>
        </is>
      </c>
      <c r="E1625" t="inlineStr">
        <is>
          <t>(en blanco)</t>
        </is>
      </c>
      <c r="F1625" t="inlineStr">
        <is>
          <t>D2C</t>
        </is>
      </c>
      <c r="G1625" t="inlineStr">
        <is>
          <t>L</t>
        </is>
      </c>
      <c r="H1625" t="n">
        <v>47</v>
      </c>
      <c r="I1625" t="inlineStr">
        <is>
          <t>NAUTICA_CLASSICS_117004220_NAR_1.jpg</t>
        </is>
      </c>
      <c r="J1625" t="inlineStr">
        <is>
          <t>NAUTICA_CLASSICS_117004220_NAR_2.jpg</t>
        </is>
      </c>
      <c r="K1625" t="inlineStr">
        <is>
          <t>NAUTICA_CLASSICS_117004220_NAR_3.jpg</t>
        </is>
      </c>
      <c r="L1625">
        <f>IMAGE("file:///E:/Estudios%20y%20certificaciones/ESTUDIOS%20DE%20PROGRAMMING/PROGRAMMING/PERSONAL/PYTHON/Image_Generator_API/imagenes/NAUTICA_CLASSICS_117004220_NAR_1.jpg")</f>
        <v/>
      </c>
      <c r="M1625">
        <f>IMAGE("file:///E:/Estudios%20y%20certificaciones/ESTUDIOS%20DE%20PROGRAMMING/PROGRAMMING/PERSONAL/PYTHON/Image_Generator_API/imagenes/NAUTICA_CLASSICS_117004220_NAR_2.jpg")</f>
        <v/>
      </c>
      <c r="N1625">
        <f>IMAGE("file:///E:/Estudios%20y%20certificaciones/ESTUDIOS%20DE%20PROGRAMMING/PROGRAMMING/PERSONAL/PYTHON/Image_Generator_API/imagenes/NAUTICA_CLASSICS_117004220_NAR_3.jpg")</f>
        <v/>
      </c>
      <c r="O1625">
        <f>HYPERLINK("imagenes/NAUTICA_CLASSICS_117004220_NAR_1.jpg","Ver imagen")</f>
        <v/>
      </c>
      <c r="P1625">
        <f>HYPERLINK("imagenes/NAUTICA_CLASSICS_117004220_NAR_2.jpg","Ver imagen")</f>
        <v/>
      </c>
      <c r="Q1625">
        <f>HYPERLINK("imagenes/NAUTICA_CLASSICS_117004220_NAR_3.jpg","Ver imagen")</f>
        <v/>
      </c>
    </row>
    <row r="1626">
      <c r="A1626" t="inlineStr">
        <is>
          <t>NAUTICA CLASSICS</t>
        </is>
      </c>
      <c r="B1626" t="inlineStr">
        <is>
          <t>117004220</t>
        </is>
      </c>
      <c r="C1626" t="inlineStr">
        <is>
          <t>SOFT MIST COAT</t>
        </is>
      </c>
      <c r="D1626" t="inlineStr">
        <is>
          <t>NAR</t>
        </is>
      </c>
      <c r="E1626" t="inlineStr">
        <is>
          <t>(en blanco)</t>
        </is>
      </c>
      <c r="F1626" t="inlineStr">
        <is>
          <t>D2C</t>
        </is>
      </c>
      <c r="G1626" t="inlineStr">
        <is>
          <t>XL</t>
        </is>
      </c>
      <c r="H1626" t="n">
        <v>33</v>
      </c>
      <c r="I1626" t="inlineStr">
        <is>
          <t>NAUTICA_CLASSICS_117004220_NAR_1.jpg</t>
        </is>
      </c>
      <c r="J1626" t="inlineStr">
        <is>
          <t>NAUTICA_CLASSICS_117004220_NAR_2.jpg</t>
        </is>
      </c>
      <c r="K1626" t="inlineStr">
        <is>
          <t>NAUTICA_CLASSICS_117004220_NAR_3.jpg</t>
        </is>
      </c>
      <c r="L1626">
        <f>IMAGE("file:///E:/Estudios%20y%20certificaciones/ESTUDIOS%20DE%20PROGRAMMING/PROGRAMMING/PERSONAL/PYTHON/Image_Generator_API/imagenes/NAUTICA_CLASSICS_117004220_NAR_1.jpg")</f>
        <v/>
      </c>
      <c r="M1626">
        <f>IMAGE("file:///E:/Estudios%20y%20certificaciones/ESTUDIOS%20DE%20PROGRAMMING/PROGRAMMING/PERSONAL/PYTHON/Image_Generator_API/imagenes/NAUTICA_CLASSICS_117004220_NAR_2.jpg")</f>
        <v/>
      </c>
      <c r="N1626">
        <f>IMAGE("file:///E:/Estudios%20y%20certificaciones/ESTUDIOS%20DE%20PROGRAMMING/PROGRAMMING/PERSONAL/PYTHON/Image_Generator_API/imagenes/NAUTICA_CLASSICS_117004220_NAR_3.jpg")</f>
        <v/>
      </c>
      <c r="O1626">
        <f>HYPERLINK("imagenes/NAUTICA_CLASSICS_117004220_NAR_1.jpg","Ver imagen")</f>
        <v/>
      </c>
      <c r="P1626">
        <f>HYPERLINK("imagenes/NAUTICA_CLASSICS_117004220_NAR_2.jpg","Ver imagen")</f>
        <v/>
      </c>
      <c r="Q1626">
        <f>HYPERLINK("imagenes/NAUTICA_CLASSICS_117004220_NAR_3.jpg","Ver imagen")</f>
        <v/>
      </c>
    </row>
    <row r="1627">
      <c r="A1627" t="inlineStr">
        <is>
          <t>NAUTICA CLASSICS</t>
        </is>
      </c>
      <c r="B1627" t="inlineStr">
        <is>
          <t>117004220</t>
        </is>
      </c>
      <c r="C1627" t="inlineStr">
        <is>
          <t>SOFT MIST COAT</t>
        </is>
      </c>
      <c r="D1627" t="inlineStr">
        <is>
          <t>NAR</t>
        </is>
      </c>
      <c r="E1627" t="inlineStr">
        <is>
          <t>(en blanco)</t>
        </is>
      </c>
      <c r="F1627" t="inlineStr">
        <is>
          <t>(en blanco)</t>
        </is>
      </c>
      <c r="G1627" t="inlineStr">
        <is>
          <t>XS</t>
        </is>
      </c>
      <c r="H1627" t="n">
        <v>21</v>
      </c>
      <c r="I1627" t="inlineStr">
        <is>
          <t>NAUTICA_CLASSICS_117004220_NAR_1.jpg</t>
        </is>
      </c>
      <c r="J1627" t="inlineStr">
        <is>
          <t>NAUTICA_CLASSICS_117004220_NAR_2.jpg</t>
        </is>
      </c>
      <c r="K1627" t="inlineStr">
        <is>
          <t>NAUTICA_CLASSICS_117004220_NAR_3.jpg</t>
        </is>
      </c>
      <c r="L1627">
        <f>IMAGE("file:///E:/Estudios%20y%20certificaciones/ESTUDIOS%20DE%20PROGRAMMING/PROGRAMMING/PERSONAL/PYTHON/Image_Generator_API/imagenes/NAUTICA_CLASSICS_117004220_NAR_1.jpg")</f>
        <v/>
      </c>
      <c r="M1627">
        <f>IMAGE("file:///E:/Estudios%20y%20certificaciones/ESTUDIOS%20DE%20PROGRAMMING/PROGRAMMING/PERSONAL/PYTHON/Image_Generator_API/imagenes/NAUTICA_CLASSICS_117004220_NAR_2.jpg")</f>
        <v/>
      </c>
      <c r="N1627">
        <f>IMAGE("file:///E:/Estudios%20y%20certificaciones/ESTUDIOS%20DE%20PROGRAMMING/PROGRAMMING/PERSONAL/PYTHON/Image_Generator_API/imagenes/NAUTICA_CLASSICS_117004220_NAR_3.jpg")</f>
        <v/>
      </c>
      <c r="O1627">
        <f>HYPERLINK("imagenes/NAUTICA_CLASSICS_117004220_NAR_1.jpg","Ver imagen")</f>
        <v/>
      </c>
      <c r="P1627">
        <f>HYPERLINK("imagenes/NAUTICA_CLASSICS_117004220_NAR_2.jpg","Ver imagen")</f>
        <v/>
      </c>
      <c r="Q1627">
        <f>HYPERLINK("imagenes/NAUTICA_CLASSICS_117004220_NAR_3.jpg","Ver imagen")</f>
        <v/>
      </c>
    </row>
    <row r="1628">
      <c r="A1628" t="inlineStr">
        <is>
          <t>NAUTICA CLASSICS</t>
        </is>
      </c>
      <c r="B1628" t="inlineStr">
        <is>
          <t>117004220</t>
        </is>
      </c>
      <c r="C1628" t="inlineStr">
        <is>
          <t>SOFT MIST COAT</t>
        </is>
      </c>
      <c r="D1628" t="inlineStr">
        <is>
          <t>NAR</t>
        </is>
      </c>
      <c r="E1628" t="inlineStr">
        <is>
          <t>(en blanco)</t>
        </is>
      </c>
      <c r="F1628" t="inlineStr">
        <is>
          <t>(en blanco)</t>
        </is>
      </c>
      <c r="G1628" t="inlineStr">
        <is>
          <t>S</t>
        </is>
      </c>
      <c r="H1628" t="n">
        <v>38</v>
      </c>
      <c r="I1628" t="inlineStr">
        <is>
          <t>NAUTICA_CLASSICS_117004220_NAR_1.jpg</t>
        </is>
      </c>
      <c r="J1628" t="inlineStr">
        <is>
          <t>NAUTICA_CLASSICS_117004220_NAR_2.jpg</t>
        </is>
      </c>
      <c r="K1628" t="inlineStr">
        <is>
          <t>NAUTICA_CLASSICS_117004220_NAR_3.jpg</t>
        </is>
      </c>
      <c r="L1628">
        <f>IMAGE("file:///E:/Estudios%20y%20certificaciones/ESTUDIOS%20DE%20PROGRAMMING/PROGRAMMING/PERSONAL/PYTHON/Image_Generator_API/imagenes/NAUTICA_CLASSICS_117004220_NAR_1.jpg")</f>
        <v/>
      </c>
      <c r="M1628">
        <f>IMAGE("file:///E:/Estudios%20y%20certificaciones/ESTUDIOS%20DE%20PROGRAMMING/PROGRAMMING/PERSONAL/PYTHON/Image_Generator_API/imagenes/NAUTICA_CLASSICS_117004220_NAR_2.jpg")</f>
        <v/>
      </c>
      <c r="N1628">
        <f>IMAGE("file:///E:/Estudios%20y%20certificaciones/ESTUDIOS%20DE%20PROGRAMMING/PROGRAMMING/PERSONAL/PYTHON/Image_Generator_API/imagenes/NAUTICA_CLASSICS_117004220_NAR_3.jpg")</f>
        <v/>
      </c>
      <c r="O1628">
        <f>HYPERLINK("imagenes/NAUTICA_CLASSICS_117004220_NAR_1.jpg","Ver imagen")</f>
        <v/>
      </c>
      <c r="P1628">
        <f>HYPERLINK("imagenes/NAUTICA_CLASSICS_117004220_NAR_2.jpg","Ver imagen")</f>
        <v/>
      </c>
      <c r="Q1628">
        <f>HYPERLINK("imagenes/NAUTICA_CLASSICS_117004220_NAR_3.jpg","Ver imagen")</f>
        <v/>
      </c>
    </row>
    <row r="1629">
      <c r="A1629" t="inlineStr">
        <is>
          <t>NAUTICA CLASSICS</t>
        </is>
      </c>
      <c r="B1629" t="inlineStr">
        <is>
          <t>117004220</t>
        </is>
      </c>
      <c r="C1629" t="inlineStr">
        <is>
          <t>SOFT MIST COAT</t>
        </is>
      </c>
      <c r="D1629" t="inlineStr">
        <is>
          <t>NAR</t>
        </is>
      </c>
      <c r="E1629" t="inlineStr">
        <is>
          <t>(en blanco)</t>
        </is>
      </c>
      <c r="F1629" t="inlineStr">
        <is>
          <t>(en blanco)</t>
        </is>
      </c>
      <c r="G1629" t="inlineStr">
        <is>
          <t>M</t>
        </is>
      </c>
      <c r="H1629" t="n">
        <v>4</v>
      </c>
      <c r="I1629" t="inlineStr">
        <is>
          <t>NAUTICA_CLASSICS_117004220_NAR_1.jpg</t>
        </is>
      </c>
      <c r="J1629" t="inlineStr">
        <is>
          <t>NAUTICA_CLASSICS_117004220_NAR_2.jpg</t>
        </is>
      </c>
      <c r="K1629" t="inlineStr">
        <is>
          <t>NAUTICA_CLASSICS_117004220_NAR_3.jpg</t>
        </is>
      </c>
      <c r="L1629">
        <f>IMAGE("file:///E:/Estudios%20y%20certificaciones/ESTUDIOS%20DE%20PROGRAMMING/PROGRAMMING/PERSONAL/PYTHON/Image_Generator_API/imagenes/NAUTICA_CLASSICS_117004220_NAR_1.jpg")</f>
        <v/>
      </c>
      <c r="M1629">
        <f>IMAGE("file:///E:/Estudios%20y%20certificaciones/ESTUDIOS%20DE%20PROGRAMMING/PROGRAMMING/PERSONAL/PYTHON/Image_Generator_API/imagenes/NAUTICA_CLASSICS_117004220_NAR_2.jpg")</f>
        <v/>
      </c>
      <c r="N1629">
        <f>IMAGE("file:///E:/Estudios%20y%20certificaciones/ESTUDIOS%20DE%20PROGRAMMING/PROGRAMMING/PERSONAL/PYTHON/Image_Generator_API/imagenes/NAUTICA_CLASSICS_117004220_NAR_3.jpg")</f>
        <v/>
      </c>
      <c r="O1629">
        <f>HYPERLINK("imagenes/NAUTICA_CLASSICS_117004220_NAR_1.jpg","Ver imagen")</f>
        <v/>
      </c>
      <c r="P1629">
        <f>HYPERLINK("imagenes/NAUTICA_CLASSICS_117004220_NAR_2.jpg","Ver imagen")</f>
        <v/>
      </c>
      <c r="Q1629">
        <f>HYPERLINK("imagenes/NAUTICA_CLASSICS_117004220_NAR_3.jpg","Ver imagen")</f>
        <v/>
      </c>
    </row>
    <row r="1630">
      <c r="A1630" t="inlineStr">
        <is>
          <t>NAUTICA CLASSICS</t>
        </is>
      </c>
      <c r="B1630" t="inlineStr">
        <is>
          <t>117004220</t>
        </is>
      </c>
      <c r="C1630" t="inlineStr">
        <is>
          <t>SOFT MIST COAT</t>
        </is>
      </c>
      <c r="D1630" t="inlineStr">
        <is>
          <t>NAR</t>
        </is>
      </c>
      <c r="E1630" t="inlineStr">
        <is>
          <t>(en blanco)</t>
        </is>
      </c>
      <c r="F1630" t="inlineStr">
        <is>
          <t>(en blanco)</t>
        </is>
      </c>
      <c r="G1630" t="inlineStr">
        <is>
          <t>XXL</t>
        </is>
      </c>
      <c r="H1630" t="n">
        <v>10</v>
      </c>
      <c r="I1630" t="inlineStr">
        <is>
          <t>NAUTICA_CLASSICS_117004220_NAR_1.jpg</t>
        </is>
      </c>
      <c r="J1630" t="inlineStr">
        <is>
          <t>NAUTICA_CLASSICS_117004220_NAR_2.jpg</t>
        </is>
      </c>
      <c r="K1630" t="inlineStr">
        <is>
          <t>NAUTICA_CLASSICS_117004220_NAR_3.jpg</t>
        </is>
      </c>
      <c r="L1630">
        <f>IMAGE("file:///E:/Estudios%20y%20certificaciones/ESTUDIOS%20DE%20PROGRAMMING/PROGRAMMING/PERSONAL/PYTHON/Image_Generator_API/imagenes/NAUTICA_CLASSICS_117004220_NAR_1.jpg")</f>
        <v/>
      </c>
      <c r="M1630">
        <f>IMAGE("file:///E:/Estudios%20y%20certificaciones/ESTUDIOS%20DE%20PROGRAMMING/PROGRAMMING/PERSONAL/PYTHON/Image_Generator_API/imagenes/NAUTICA_CLASSICS_117004220_NAR_2.jpg")</f>
        <v/>
      </c>
      <c r="N1630">
        <f>IMAGE("file:///E:/Estudios%20y%20certificaciones/ESTUDIOS%20DE%20PROGRAMMING/PROGRAMMING/PERSONAL/PYTHON/Image_Generator_API/imagenes/NAUTICA_CLASSICS_117004220_NAR_3.jpg")</f>
        <v/>
      </c>
      <c r="O1630">
        <f>HYPERLINK("imagenes/NAUTICA_CLASSICS_117004220_NAR_1.jpg","Ver imagen")</f>
        <v/>
      </c>
      <c r="P1630">
        <f>HYPERLINK("imagenes/NAUTICA_CLASSICS_117004220_NAR_2.jpg","Ver imagen")</f>
        <v/>
      </c>
      <c r="Q1630">
        <f>HYPERLINK("imagenes/NAUTICA_CLASSICS_117004220_NAR_3.jpg","Ver imagen")</f>
        <v/>
      </c>
    </row>
    <row r="1631">
      <c r="A1631" t="inlineStr">
        <is>
          <t>NAUTICA CLASSICS</t>
        </is>
      </c>
      <c r="B1631" t="inlineStr">
        <is>
          <t>117004220</t>
        </is>
      </c>
      <c r="C1631" t="inlineStr">
        <is>
          <t>SOFT MIST COAT</t>
        </is>
      </c>
      <c r="D1631" t="inlineStr">
        <is>
          <t>NAR</t>
        </is>
      </c>
      <c r="E1631" t="inlineStr">
        <is>
          <t>(en blanco)</t>
        </is>
      </c>
      <c r="F1631" t="inlineStr">
        <is>
          <t>(en blanco)</t>
        </is>
      </c>
      <c r="G1631" t="inlineStr">
        <is>
          <t>XXS</t>
        </is>
      </c>
      <c r="H1631" t="n">
        <v>47</v>
      </c>
      <c r="I1631" t="inlineStr">
        <is>
          <t>NAUTICA_CLASSICS_117004220_NAR_1.jpg</t>
        </is>
      </c>
      <c r="J1631" t="inlineStr">
        <is>
          <t>NAUTICA_CLASSICS_117004220_NAR_2.jpg</t>
        </is>
      </c>
      <c r="K1631" t="inlineStr">
        <is>
          <t>NAUTICA_CLASSICS_117004220_NAR_3.jpg</t>
        </is>
      </c>
      <c r="L1631">
        <f>IMAGE("file:///E:/Estudios%20y%20certificaciones/ESTUDIOS%20DE%20PROGRAMMING/PROGRAMMING/PERSONAL/PYTHON/Image_Generator_API/imagenes/NAUTICA_CLASSICS_117004220_NAR_1.jpg")</f>
        <v/>
      </c>
      <c r="M1631">
        <f>IMAGE("file:///E:/Estudios%20y%20certificaciones/ESTUDIOS%20DE%20PROGRAMMING/PROGRAMMING/PERSONAL/PYTHON/Image_Generator_API/imagenes/NAUTICA_CLASSICS_117004220_NAR_2.jpg")</f>
        <v/>
      </c>
      <c r="N1631">
        <f>IMAGE("file:///E:/Estudios%20y%20certificaciones/ESTUDIOS%20DE%20PROGRAMMING/PROGRAMMING/PERSONAL/PYTHON/Image_Generator_API/imagenes/NAUTICA_CLASSICS_117004220_NAR_3.jpg")</f>
        <v/>
      </c>
      <c r="O1631">
        <f>HYPERLINK("imagenes/NAUTICA_CLASSICS_117004220_NAR_1.jpg","Ver imagen")</f>
        <v/>
      </c>
      <c r="P1631">
        <f>HYPERLINK("imagenes/NAUTICA_CLASSICS_117004220_NAR_2.jpg","Ver imagen")</f>
        <v/>
      </c>
      <c r="Q1631">
        <f>HYPERLINK("imagenes/NAUTICA_CLASSICS_117004220_NAR_3.jpg","Ver imagen")</f>
        <v/>
      </c>
    </row>
    <row r="1632">
      <c r="A1632" t="inlineStr">
        <is>
          <t>NAUTICA CLASSICS</t>
        </is>
      </c>
      <c r="B1632" t="inlineStr">
        <is>
          <t>117004220</t>
        </is>
      </c>
      <c r="C1632" t="inlineStr">
        <is>
          <t>SOFT MIST COAT</t>
        </is>
      </c>
      <c r="D1632" t="inlineStr">
        <is>
          <t>NSS</t>
        </is>
      </c>
      <c r="E1632" t="inlineStr">
        <is>
          <t>(en blanco)</t>
        </is>
      </c>
      <c r="F1632" t="inlineStr">
        <is>
          <t>(en blanco)</t>
        </is>
      </c>
      <c r="G1632" t="inlineStr">
        <is>
          <t>XL</t>
        </is>
      </c>
      <c r="H1632" t="n">
        <v>1</v>
      </c>
      <c r="I1632" t="inlineStr">
        <is>
          <t>NAUTICA_CLASSICS_117004220_NSS_1.jpg</t>
        </is>
      </c>
      <c r="J1632" t="inlineStr">
        <is>
          <t>NAUTICA_CLASSICS_117004220_NSS_2.jpg</t>
        </is>
      </c>
      <c r="K1632" t="inlineStr">
        <is>
          <t>NAUTICA_CLASSICS_117004220_NSS_3.jpg</t>
        </is>
      </c>
      <c r="L1632">
        <f>IMAGE("file:///E:/Estudios%20y%20certificaciones/ESTUDIOS%20DE%20PROGRAMMING/PROGRAMMING/PERSONAL/PYTHON/Image_Generator_API/imagenes/NAUTICA_CLASSICS_117004220_NSS_1.jpg")</f>
        <v/>
      </c>
      <c r="M1632">
        <f>IMAGE("file:///E:/Estudios%20y%20certificaciones/ESTUDIOS%20DE%20PROGRAMMING/PROGRAMMING/PERSONAL/PYTHON/Image_Generator_API/imagenes/NAUTICA_CLASSICS_117004220_NSS_2.jpg")</f>
        <v/>
      </c>
      <c r="N1632">
        <f>IMAGE("file:///E:/Estudios%20y%20certificaciones/ESTUDIOS%20DE%20PROGRAMMING/PROGRAMMING/PERSONAL/PYTHON/Image_Generator_API/imagenes/NAUTICA_CLASSICS_117004220_NSS_3.jpg")</f>
        <v/>
      </c>
      <c r="O1632">
        <f>HYPERLINK("imagenes/NAUTICA_CLASSICS_117004220_NSS_1.jpg","Ver imagen")</f>
        <v/>
      </c>
      <c r="P1632">
        <f>HYPERLINK("imagenes/NAUTICA_CLASSICS_117004220_NSS_2.jpg","Ver imagen")</f>
        <v/>
      </c>
      <c r="Q1632">
        <f>HYPERLINK("imagenes/NAUTICA_CLASSICS_117004220_NSS_3.jpg","Ver imagen")</f>
        <v/>
      </c>
    </row>
    <row r="1633">
      <c r="A1633" t="inlineStr">
        <is>
          <t>NAUTICA CLASSICS</t>
        </is>
      </c>
      <c r="B1633" t="inlineStr">
        <is>
          <t>117004220</t>
        </is>
      </c>
      <c r="C1633" t="inlineStr">
        <is>
          <t>SOFT MIST COAT</t>
        </is>
      </c>
      <c r="D1633" t="inlineStr">
        <is>
          <t>OLI</t>
        </is>
      </c>
      <c r="E1633" t="inlineStr">
        <is>
          <t>(en blanco)</t>
        </is>
      </c>
      <c r="F1633" t="inlineStr">
        <is>
          <t>(en blanco)</t>
        </is>
      </c>
      <c r="G1633" t="inlineStr">
        <is>
          <t>XS</t>
        </is>
      </c>
      <c r="H1633" t="n">
        <v>35</v>
      </c>
      <c r="I1633" t="inlineStr">
        <is>
          <t>NAUTICA_CLASSICS_117004220_OLI_1.jpg</t>
        </is>
      </c>
      <c r="J1633" t="inlineStr">
        <is>
          <t>NAUTICA_CLASSICS_117004220_OLI_2.jpg</t>
        </is>
      </c>
      <c r="K1633" t="inlineStr">
        <is>
          <t>NAUTICA_CLASSICS_117004220_OLI_3.jpg</t>
        </is>
      </c>
      <c r="L1633">
        <f>IMAGE("file:///E:/Estudios%20y%20certificaciones/ESTUDIOS%20DE%20PROGRAMMING/PROGRAMMING/PERSONAL/PYTHON/Image_Generator_API/imagenes/NAUTICA_CLASSICS_117004220_OLI_1.jpg")</f>
        <v/>
      </c>
      <c r="M1633">
        <f>IMAGE("file:///E:/Estudios%20y%20certificaciones/ESTUDIOS%20DE%20PROGRAMMING/PROGRAMMING/PERSONAL/PYTHON/Image_Generator_API/imagenes/NAUTICA_CLASSICS_117004220_OLI_2.jpg")</f>
        <v/>
      </c>
      <c r="N1633">
        <f>IMAGE("file:///E:/Estudios%20y%20certificaciones/ESTUDIOS%20DE%20PROGRAMMING/PROGRAMMING/PERSONAL/PYTHON/Image_Generator_API/imagenes/NAUTICA_CLASSICS_117004220_OLI_3.jpg")</f>
        <v/>
      </c>
      <c r="O1633">
        <f>HYPERLINK("imagenes/NAUTICA_CLASSICS_117004220_OLI_1.jpg","Ver imagen")</f>
        <v/>
      </c>
      <c r="P1633">
        <f>HYPERLINK("imagenes/NAUTICA_CLASSICS_117004220_OLI_2.jpg","Ver imagen")</f>
        <v/>
      </c>
      <c r="Q1633">
        <f>HYPERLINK("imagenes/NAUTICA_CLASSICS_117004220_OLI_3.jpg","Ver imagen")</f>
        <v/>
      </c>
    </row>
    <row r="1634">
      <c r="A1634" t="inlineStr">
        <is>
          <t>NAUTICA CLASSICS</t>
        </is>
      </c>
      <c r="B1634" t="inlineStr">
        <is>
          <t>117004220</t>
        </is>
      </c>
      <c r="C1634" t="inlineStr">
        <is>
          <t>SOFT MIST COAT</t>
        </is>
      </c>
      <c r="D1634" t="inlineStr">
        <is>
          <t>OLI</t>
        </is>
      </c>
      <c r="E1634" t="inlineStr">
        <is>
          <t>(en blanco)</t>
        </is>
      </c>
      <c r="F1634" t="inlineStr">
        <is>
          <t>(en blanco)</t>
        </is>
      </c>
      <c r="G1634" t="inlineStr">
        <is>
          <t>S</t>
        </is>
      </c>
      <c r="H1634" t="n">
        <v>98</v>
      </c>
      <c r="I1634" t="inlineStr">
        <is>
          <t>NAUTICA_CLASSICS_117004220_OLI_1.jpg</t>
        </is>
      </c>
      <c r="J1634" t="inlineStr">
        <is>
          <t>NAUTICA_CLASSICS_117004220_OLI_2.jpg</t>
        </is>
      </c>
      <c r="K1634" t="inlineStr">
        <is>
          <t>NAUTICA_CLASSICS_117004220_OLI_3.jpg</t>
        </is>
      </c>
      <c r="L1634">
        <f>IMAGE("file:///E:/Estudios%20y%20certificaciones/ESTUDIOS%20DE%20PROGRAMMING/PROGRAMMING/PERSONAL/PYTHON/Image_Generator_API/imagenes/NAUTICA_CLASSICS_117004220_OLI_1.jpg")</f>
        <v/>
      </c>
      <c r="M1634">
        <f>IMAGE("file:///E:/Estudios%20y%20certificaciones/ESTUDIOS%20DE%20PROGRAMMING/PROGRAMMING/PERSONAL/PYTHON/Image_Generator_API/imagenes/NAUTICA_CLASSICS_117004220_OLI_2.jpg")</f>
        <v/>
      </c>
      <c r="N1634">
        <f>IMAGE("file:///E:/Estudios%20y%20certificaciones/ESTUDIOS%20DE%20PROGRAMMING/PROGRAMMING/PERSONAL/PYTHON/Image_Generator_API/imagenes/NAUTICA_CLASSICS_117004220_OLI_3.jpg")</f>
        <v/>
      </c>
      <c r="O1634">
        <f>HYPERLINK("imagenes/NAUTICA_CLASSICS_117004220_OLI_1.jpg","Ver imagen")</f>
        <v/>
      </c>
      <c r="P1634">
        <f>HYPERLINK("imagenes/NAUTICA_CLASSICS_117004220_OLI_2.jpg","Ver imagen")</f>
        <v/>
      </c>
      <c r="Q1634">
        <f>HYPERLINK("imagenes/NAUTICA_CLASSICS_117004220_OLI_3.jpg","Ver imagen")</f>
        <v/>
      </c>
    </row>
    <row r="1635">
      <c r="A1635" t="inlineStr">
        <is>
          <t>NAUTICA CLASSICS</t>
        </is>
      </c>
      <c r="B1635" t="inlineStr">
        <is>
          <t>117004220</t>
        </is>
      </c>
      <c r="C1635" t="inlineStr">
        <is>
          <t>SOFT MIST COAT</t>
        </is>
      </c>
      <c r="D1635" t="inlineStr">
        <is>
          <t>OLI</t>
        </is>
      </c>
      <c r="E1635" t="inlineStr">
        <is>
          <t>(en blanco)</t>
        </is>
      </c>
      <c r="F1635" t="inlineStr">
        <is>
          <t>(en blanco)</t>
        </is>
      </c>
      <c r="G1635" t="inlineStr">
        <is>
          <t>M</t>
        </is>
      </c>
      <c r="H1635" t="n">
        <v>60</v>
      </c>
      <c r="I1635" t="inlineStr">
        <is>
          <t>NAUTICA_CLASSICS_117004220_OLI_1.jpg</t>
        </is>
      </c>
      <c r="J1635" t="inlineStr">
        <is>
          <t>NAUTICA_CLASSICS_117004220_OLI_2.jpg</t>
        </is>
      </c>
      <c r="K1635" t="inlineStr">
        <is>
          <t>NAUTICA_CLASSICS_117004220_OLI_3.jpg</t>
        </is>
      </c>
      <c r="L1635">
        <f>IMAGE("file:///E:/Estudios%20y%20certificaciones/ESTUDIOS%20DE%20PROGRAMMING/PROGRAMMING/PERSONAL/PYTHON/Image_Generator_API/imagenes/NAUTICA_CLASSICS_117004220_OLI_1.jpg")</f>
        <v/>
      </c>
      <c r="M1635">
        <f>IMAGE("file:///E:/Estudios%20y%20certificaciones/ESTUDIOS%20DE%20PROGRAMMING/PROGRAMMING/PERSONAL/PYTHON/Image_Generator_API/imagenes/NAUTICA_CLASSICS_117004220_OLI_2.jpg")</f>
        <v/>
      </c>
      <c r="N1635">
        <f>IMAGE("file:///E:/Estudios%20y%20certificaciones/ESTUDIOS%20DE%20PROGRAMMING/PROGRAMMING/PERSONAL/PYTHON/Image_Generator_API/imagenes/NAUTICA_CLASSICS_117004220_OLI_3.jpg")</f>
        <v/>
      </c>
      <c r="O1635">
        <f>HYPERLINK("imagenes/NAUTICA_CLASSICS_117004220_OLI_1.jpg","Ver imagen")</f>
        <v/>
      </c>
      <c r="P1635">
        <f>HYPERLINK("imagenes/NAUTICA_CLASSICS_117004220_OLI_2.jpg","Ver imagen")</f>
        <v/>
      </c>
      <c r="Q1635">
        <f>HYPERLINK("imagenes/NAUTICA_CLASSICS_117004220_OLI_3.jpg","Ver imagen")</f>
        <v/>
      </c>
    </row>
    <row r="1636">
      <c r="A1636" t="inlineStr">
        <is>
          <t>NAUTICA CLASSICS</t>
        </is>
      </c>
      <c r="B1636" t="inlineStr">
        <is>
          <t>117004220</t>
        </is>
      </c>
      <c r="C1636" t="inlineStr">
        <is>
          <t>SOFT MIST COAT</t>
        </is>
      </c>
      <c r="D1636" t="inlineStr">
        <is>
          <t>OLI</t>
        </is>
      </c>
      <c r="E1636" t="inlineStr">
        <is>
          <t>(en blanco)</t>
        </is>
      </c>
      <c r="F1636" t="inlineStr">
        <is>
          <t>(en blanco)</t>
        </is>
      </c>
      <c r="G1636" t="inlineStr">
        <is>
          <t>XXL</t>
        </is>
      </c>
      <c r="H1636" t="n">
        <v>2</v>
      </c>
      <c r="I1636" t="inlineStr">
        <is>
          <t>NAUTICA_CLASSICS_117004220_OLI_1.jpg</t>
        </is>
      </c>
      <c r="J1636" t="inlineStr">
        <is>
          <t>NAUTICA_CLASSICS_117004220_OLI_2.jpg</t>
        </is>
      </c>
      <c r="K1636" t="inlineStr">
        <is>
          <t>NAUTICA_CLASSICS_117004220_OLI_3.jpg</t>
        </is>
      </c>
      <c r="L1636">
        <f>IMAGE("file:///E:/Estudios%20y%20certificaciones/ESTUDIOS%20DE%20PROGRAMMING/PROGRAMMING/PERSONAL/PYTHON/Image_Generator_API/imagenes/NAUTICA_CLASSICS_117004220_OLI_1.jpg")</f>
        <v/>
      </c>
      <c r="M1636">
        <f>IMAGE("file:///E:/Estudios%20y%20certificaciones/ESTUDIOS%20DE%20PROGRAMMING/PROGRAMMING/PERSONAL/PYTHON/Image_Generator_API/imagenes/NAUTICA_CLASSICS_117004220_OLI_2.jpg")</f>
        <v/>
      </c>
      <c r="N1636">
        <f>IMAGE("file:///E:/Estudios%20y%20certificaciones/ESTUDIOS%20DE%20PROGRAMMING/PROGRAMMING/PERSONAL/PYTHON/Image_Generator_API/imagenes/NAUTICA_CLASSICS_117004220_OLI_3.jpg")</f>
        <v/>
      </c>
      <c r="O1636">
        <f>HYPERLINK("imagenes/NAUTICA_CLASSICS_117004220_OLI_1.jpg","Ver imagen")</f>
        <v/>
      </c>
      <c r="P1636">
        <f>HYPERLINK("imagenes/NAUTICA_CLASSICS_117004220_OLI_2.jpg","Ver imagen")</f>
        <v/>
      </c>
      <c r="Q1636">
        <f>HYPERLINK("imagenes/NAUTICA_CLASSICS_117004220_OLI_3.jpg","Ver imagen")</f>
        <v/>
      </c>
    </row>
    <row r="1637">
      <c r="A1637" t="inlineStr">
        <is>
          <t>NAUTICA CLASSICS</t>
        </is>
      </c>
      <c r="B1637" t="inlineStr">
        <is>
          <t>117004220</t>
        </is>
      </c>
      <c r="C1637" t="inlineStr">
        <is>
          <t>SOFT MIST COAT</t>
        </is>
      </c>
      <c r="D1637" t="inlineStr">
        <is>
          <t>OLI</t>
        </is>
      </c>
      <c r="E1637" t="inlineStr">
        <is>
          <t>(en blanco)</t>
        </is>
      </c>
      <c r="F1637" t="inlineStr">
        <is>
          <t>(en blanco)</t>
        </is>
      </c>
      <c r="G1637" t="inlineStr">
        <is>
          <t>XXS</t>
        </is>
      </c>
      <c r="H1637" t="n">
        <v>36</v>
      </c>
      <c r="I1637" t="inlineStr">
        <is>
          <t>NAUTICA_CLASSICS_117004220_OLI_1.jpg</t>
        </is>
      </c>
      <c r="J1637" t="inlineStr">
        <is>
          <t>NAUTICA_CLASSICS_117004220_OLI_2.jpg</t>
        </is>
      </c>
      <c r="K1637" t="inlineStr">
        <is>
          <t>NAUTICA_CLASSICS_117004220_OLI_3.jpg</t>
        </is>
      </c>
      <c r="L1637">
        <f>IMAGE("file:///E:/Estudios%20y%20certificaciones/ESTUDIOS%20DE%20PROGRAMMING/PROGRAMMING/PERSONAL/PYTHON/Image_Generator_API/imagenes/NAUTICA_CLASSICS_117004220_OLI_1.jpg")</f>
        <v/>
      </c>
      <c r="M1637">
        <f>IMAGE("file:///E:/Estudios%20y%20certificaciones/ESTUDIOS%20DE%20PROGRAMMING/PROGRAMMING/PERSONAL/PYTHON/Image_Generator_API/imagenes/NAUTICA_CLASSICS_117004220_OLI_2.jpg")</f>
        <v/>
      </c>
      <c r="N1637">
        <f>IMAGE("file:///E:/Estudios%20y%20certificaciones/ESTUDIOS%20DE%20PROGRAMMING/PROGRAMMING/PERSONAL/PYTHON/Image_Generator_API/imagenes/NAUTICA_CLASSICS_117004220_OLI_3.jpg")</f>
        <v/>
      </c>
      <c r="O1637">
        <f>HYPERLINK("imagenes/NAUTICA_CLASSICS_117004220_OLI_1.jpg","Ver imagen")</f>
        <v/>
      </c>
      <c r="P1637">
        <f>HYPERLINK("imagenes/NAUTICA_CLASSICS_117004220_OLI_2.jpg","Ver imagen")</f>
        <v/>
      </c>
      <c r="Q1637">
        <f>HYPERLINK("imagenes/NAUTICA_CLASSICS_117004220_OLI_3.jpg","Ver imagen")</f>
        <v/>
      </c>
    </row>
    <row r="1638">
      <c r="A1638" t="inlineStr">
        <is>
          <t>NAUTICA CLASSICS</t>
        </is>
      </c>
      <c r="B1638" t="inlineStr">
        <is>
          <t>117004220</t>
        </is>
      </c>
      <c r="C1638" t="inlineStr">
        <is>
          <t>SOFT MIST COAT</t>
        </is>
      </c>
      <c r="D1638" t="inlineStr">
        <is>
          <t>SW4</t>
        </is>
      </c>
      <c r="E1638" t="inlineStr">
        <is>
          <t>(en blanco)</t>
        </is>
      </c>
      <c r="F1638" t="inlineStr">
        <is>
          <t>(en blanco)</t>
        </is>
      </c>
      <c r="G1638" t="inlineStr">
        <is>
          <t>XS</t>
        </is>
      </c>
      <c r="H1638" t="n">
        <v>29</v>
      </c>
      <c r="I1638" t="inlineStr">
        <is>
          <t>NAUTICA_CLASSICS_117004220_SW4_1.jpg</t>
        </is>
      </c>
      <c r="J1638" t="inlineStr">
        <is>
          <t>NAUTICA_CLASSICS_117004220_SW4_2.jpg</t>
        </is>
      </c>
      <c r="K1638" t="inlineStr">
        <is>
          <t>NAUTICA_CLASSICS_117004220_SW4_3.jpg</t>
        </is>
      </c>
      <c r="L1638">
        <f>IMAGE("file:///E:/Estudios%20y%20certificaciones/ESTUDIOS%20DE%20PROGRAMMING/PROGRAMMING/PERSONAL/PYTHON/Image_Generator_API/imagenes/NAUTICA_CLASSICS_117004220_SW4_1.jpg")</f>
        <v/>
      </c>
      <c r="M1638">
        <f>IMAGE("file:///E:/Estudios%20y%20certificaciones/ESTUDIOS%20DE%20PROGRAMMING/PROGRAMMING/PERSONAL/PYTHON/Image_Generator_API/imagenes/NAUTICA_CLASSICS_117004220_SW4_2.jpg")</f>
        <v/>
      </c>
      <c r="N1638">
        <f>IMAGE("file:///E:/Estudios%20y%20certificaciones/ESTUDIOS%20DE%20PROGRAMMING/PROGRAMMING/PERSONAL/PYTHON/Image_Generator_API/imagenes/NAUTICA_CLASSICS_117004220_SW4_3.jpg")</f>
        <v/>
      </c>
      <c r="O1638">
        <f>HYPERLINK("imagenes/NAUTICA_CLASSICS_117004220_SW4_1.jpg","Ver imagen")</f>
        <v/>
      </c>
      <c r="P1638">
        <f>HYPERLINK("imagenes/NAUTICA_CLASSICS_117004220_SW4_2.jpg","Ver imagen")</f>
        <v/>
      </c>
      <c r="Q1638">
        <f>HYPERLINK("imagenes/NAUTICA_CLASSICS_117004220_SW4_3.jpg","Ver imagen")</f>
        <v/>
      </c>
    </row>
    <row r="1639">
      <c r="A1639" t="inlineStr">
        <is>
          <t>NAUTICA CLASSICS</t>
        </is>
      </c>
      <c r="B1639" t="inlineStr">
        <is>
          <t>117004220</t>
        </is>
      </c>
      <c r="C1639" t="inlineStr">
        <is>
          <t>SOFT MIST COAT</t>
        </is>
      </c>
      <c r="D1639" t="inlineStr">
        <is>
          <t>SW4</t>
        </is>
      </c>
      <c r="E1639" t="inlineStr">
        <is>
          <t>(en blanco)</t>
        </is>
      </c>
      <c r="F1639" t="inlineStr">
        <is>
          <t>(en blanco)</t>
        </is>
      </c>
      <c r="G1639" t="inlineStr">
        <is>
          <t>S</t>
        </is>
      </c>
      <c r="H1639" t="n">
        <v>45</v>
      </c>
      <c r="I1639" t="inlineStr">
        <is>
          <t>NAUTICA_CLASSICS_117004220_SW4_1.jpg</t>
        </is>
      </c>
      <c r="J1639" t="inlineStr">
        <is>
          <t>NAUTICA_CLASSICS_117004220_SW4_2.jpg</t>
        </is>
      </c>
      <c r="K1639" t="inlineStr">
        <is>
          <t>NAUTICA_CLASSICS_117004220_SW4_3.jpg</t>
        </is>
      </c>
      <c r="L1639">
        <f>IMAGE("file:///E:/Estudios%20y%20certificaciones/ESTUDIOS%20DE%20PROGRAMMING/PROGRAMMING/PERSONAL/PYTHON/Image_Generator_API/imagenes/NAUTICA_CLASSICS_117004220_SW4_1.jpg")</f>
        <v/>
      </c>
      <c r="M1639">
        <f>IMAGE("file:///E:/Estudios%20y%20certificaciones/ESTUDIOS%20DE%20PROGRAMMING/PROGRAMMING/PERSONAL/PYTHON/Image_Generator_API/imagenes/NAUTICA_CLASSICS_117004220_SW4_2.jpg")</f>
        <v/>
      </c>
      <c r="N1639">
        <f>IMAGE("file:///E:/Estudios%20y%20certificaciones/ESTUDIOS%20DE%20PROGRAMMING/PROGRAMMING/PERSONAL/PYTHON/Image_Generator_API/imagenes/NAUTICA_CLASSICS_117004220_SW4_3.jpg")</f>
        <v/>
      </c>
      <c r="O1639">
        <f>HYPERLINK("imagenes/NAUTICA_CLASSICS_117004220_SW4_1.jpg","Ver imagen")</f>
        <v/>
      </c>
      <c r="P1639">
        <f>HYPERLINK("imagenes/NAUTICA_CLASSICS_117004220_SW4_2.jpg","Ver imagen")</f>
        <v/>
      </c>
      <c r="Q1639">
        <f>HYPERLINK("imagenes/NAUTICA_CLASSICS_117004220_SW4_3.jpg","Ver imagen")</f>
        <v/>
      </c>
    </row>
    <row r="1640">
      <c r="A1640" t="inlineStr">
        <is>
          <t>NAUTICA CLASSICS</t>
        </is>
      </c>
      <c r="B1640" t="inlineStr">
        <is>
          <t>117004220</t>
        </is>
      </c>
      <c r="C1640" t="inlineStr">
        <is>
          <t>SOFT MIST COAT</t>
        </is>
      </c>
      <c r="D1640" t="inlineStr">
        <is>
          <t>SW4</t>
        </is>
      </c>
      <c r="E1640" t="inlineStr">
        <is>
          <t>(en blanco)</t>
        </is>
      </c>
      <c r="F1640" t="inlineStr">
        <is>
          <t>(en blanco)</t>
        </is>
      </c>
      <c r="G1640" t="inlineStr">
        <is>
          <t>M</t>
        </is>
      </c>
      <c r="H1640" t="n">
        <v>68</v>
      </c>
      <c r="I1640" t="inlineStr">
        <is>
          <t>NAUTICA_CLASSICS_117004220_SW4_1.jpg</t>
        </is>
      </c>
      <c r="J1640" t="inlineStr">
        <is>
          <t>NAUTICA_CLASSICS_117004220_SW4_2.jpg</t>
        </is>
      </c>
      <c r="K1640" t="inlineStr">
        <is>
          <t>NAUTICA_CLASSICS_117004220_SW4_3.jpg</t>
        </is>
      </c>
      <c r="L1640">
        <f>IMAGE("file:///E:/Estudios%20y%20certificaciones/ESTUDIOS%20DE%20PROGRAMMING/PROGRAMMING/PERSONAL/PYTHON/Image_Generator_API/imagenes/NAUTICA_CLASSICS_117004220_SW4_1.jpg")</f>
        <v/>
      </c>
      <c r="M1640">
        <f>IMAGE("file:///E:/Estudios%20y%20certificaciones/ESTUDIOS%20DE%20PROGRAMMING/PROGRAMMING/PERSONAL/PYTHON/Image_Generator_API/imagenes/NAUTICA_CLASSICS_117004220_SW4_2.jpg")</f>
        <v/>
      </c>
      <c r="N1640">
        <f>IMAGE("file:///E:/Estudios%20y%20certificaciones/ESTUDIOS%20DE%20PROGRAMMING/PROGRAMMING/PERSONAL/PYTHON/Image_Generator_API/imagenes/NAUTICA_CLASSICS_117004220_SW4_3.jpg")</f>
        <v/>
      </c>
      <c r="O1640">
        <f>HYPERLINK("imagenes/NAUTICA_CLASSICS_117004220_SW4_1.jpg","Ver imagen")</f>
        <v/>
      </c>
      <c r="P1640">
        <f>HYPERLINK("imagenes/NAUTICA_CLASSICS_117004220_SW4_2.jpg","Ver imagen")</f>
        <v/>
      </c>
      <c r="Q1640">
        <f>HYPERLINK("imagenes/NAUTICA_CLASSICS_117004220_SW4_3.jpg","Ver imagen")</f>
        <v/>
      </c>
    </row>
    <row r="1641">
      <c r="A1641" t="inlineStr">
        <is>
          <t>NAUTICA CLASSICS</t>
        </is>
      </c>
      <c r="B1641" t="inlineStr">
        <is>
          <t>117004220</t>
        </is>
      </c>
      <c r="C1641" t="inlineStr">
        <is>
          <t>SOFT MIST COAT</t>
        </is>
      </c>
      <c r="D1641" t="inlineStr">
        <is>
          <t>SW4</t>
        </is>
      </c>
      <c r="E1641" t="inlineStr">
        <is>
          <t>(en blanco)</t>
        </is>
      </c>
      <c r="F1641" t="inlineStr">
        <is>
          <t>(en blanco)</t>
        </is>
      </c>
      <c r="G1641" t="inlineStr">
        <is>
          <t>L</t>
        </is>
      </c>
      <c r="H1641" t="n">
        <v>47</v>
      </c>
      <c r="I1641" t="inlineStr">
        <is>
          <t>NAUTICA_CLASSICS_117004220_SW4_1.jpg</t>
        </is>
      </c>
      <c r="J1641" t="inlineStr">
        <is>
          <t>NAUTICA_CLASSICS_117004220_SW4_2.jpg</t>
        </is>
      </c>
      <c r="K1641" t="inlineStr">
        <is>
          <t>NAUTICA_CLASSICS_117004220_SW4_3.jpg</t>
        </is>
      </c>
      <c r="L1641">
        <f>IMAGE("file:///E:/Estudios%20y%20certificaciones/ESTUDIOS%20DE%20PROGRAMMING/PROGRAMMING/PERSONAL/PYTHON/Image_Generator_API/imagenes/NAUTICA_CLASSICS_117004220_SW4_1.jpg")</f>
        <v/>
      </c>
      <c r="M1641">
        <f>IMAGE("file:///E:/Estudios%20y%20certificaciones/ESTUDIOS%20DE%20PROGRAMMING/PROGRAMMING/PERSONAL/PYTHON/Image_Generator_API/imagenes/NAUTICA_CLASSICS_117004220_SW4_2.jpg")</f>
        <v/>
      </c>
      <c r="N1641">
        <f>IMAGE("file:///E:/Estudios%20y%20certificaciones/ESTUDIOS%20DE%20PROGRAMMING/PROGRAMMING/PERSONAL/PYTHON/Image_Generator_API/imagenes/NAUTICA_CLASSICS_117004220_SW4_3.jpg")</f>
        <v/>
      </c>
      <c r="O1641">
        <f>HYPERLINK("imagenes/NAUTICA_CLASSICS_117004220_SW4_1.jpg","Ver imagen")</f>
        <v/>
      </c>
      <c r="P1641">
        <f>HYPERLINK("imagenes/NAUTICA_CLASSICS_117004220_SW4_2.jpg","Ver imagen")</f>
        <v/>
      </c>
      <c r="Q1641">
        <f>HYPERLINK("imagenes/NAUTICA_CLASSICS_117004220_SW4_3.jpg","Ver imagen")</f>
        <v/>
      </c>
    </row>
    <row r="1642">
      <c r="A1642" t="inlineStr">
        <is>
          <t>NAUTICA CLASSICS</t>
        </is>
      </c>
      <c r="B1642" t="inlineStr">
        <is>
          <t>117004220</t>
        </is>
      </c>
      <c r="C1642" t="inlineStr">
        <is>
          <t>SOFT MIST COAT</t>
        </is>
      </c>
      <c r="D1642" t="inlineStr">
        <is>
          <t>SW4</t>
        </is>
      </c>
      <c r="E1642" t="inlineStr">
        <is>
          <t>(en blanco)</t>
        </is>
      </c>
      <c r="F1642" t="inlineStr">
        <is>
          <t>(en blanco)</t>
        </is>
      </c>
      <c r="G1642" t="inlineStr">
        <is>
          <t>XL</t>
        </is>
      </c>
      <c r="H1642" t="n">
        <v>13</v>
      </c>
      <c r="I1642" t="inlineStr">
        <is>
          <t>NAUTICA_CLASSICS_117004220_SW4_1.jpg</t>
        </is>
      </c>
      <c r="J1642" t="inlineStr">
        <is>
          <t>NAUTICA_CLASSICS_117004220_SW4_2.jpg</t>
        </is>
      </c>
      <c r="K1642" t="inlineStr">
        <is>
          <t>NAUTICA_CLASSICS_117004220_SW4_3.jpg</t>
        </is>
      </c>
      <c r="L1642">
        <f>IMAGE("file:///E:/Estudios%20y%20certificaciones/ESTUDIOS%20DE%20PROGRAMMING/PROGRAMMING/PERSONAL/PYTHON/Image_Generator_API/imagenes/NAUTICA_CLASSICS_117004220_SW4_1.jpg")</f>
        <v/>
      </c>
      <c r="M1642">
        <f>IMAGE("file:///E:/Estudios%20y%20certificaciones/ESTUDIOS%20DE%20PROGRAMMING/PROGRAMMING/PERSONAL/PYTHON/Image_Generator_API/imagenes/NAUTICA_CLASSICS_117004220_SW4_2.jpg")</f>
        <v/>
      </c>
      <c r="N1642">
        <f>IMAGE("file:///E:/Estudios%20y%20certificaciones/ESTUDIOS%20DE%20PROGRAMMING/PROGRAMMING/PERSONAL/PYTHON/Image_Generator_API/imagenes/NAUTICA_CLASSICS_117004220_SW4_3.jpg")</f>
        <v/>
      </c>
      <c r="O1642">
        <f>HYPERLINK("imagenes/NAUTICA_CLASSICS_117004220_SW4_1.jpg","Ver imagen")</f>
        <v/>
      </c>
      <c r="P1642">
        <f>HYPERLINK("imagenes/NAUTICA_CLASSICS_117004220_SW4_2.jpg","Ver imagen")</f>
        <v/>
      </c>
      <c r="Q1642">
        <f>HYPERLINK("imagenes/NAUTICA_CLASSICS_117004220_SW4_3.jpg","Ver imagen")</f>
        <v/>
      </c>
    </row>
    <row r="1643">
      <c r="A1643" t="inlineStr">
        <is>
          <t>NAUTICA CLASSICS</t>
        </is>
      </c>
      <c r="B1643" t="inlineStr">
        <is>
          <t>117004220</t>
        </is>
      </c>
      <c r="C1643" t="inlineStr">
        <is>
          <t>SOFT MIST COAT</t>
        </is>
      </c>
      <c r="D1643" t="inlineStr">
        <is>
          <t>SW4</t>
        </is>
      </c>
      <c r="E1643" t="inlineStr">
        <is>
          <t>(en blanco)</t>
        </is>
      </c>
      <c r="F1643" t="inlineStr">
        <is>
          <t>(en blanco)</t>
        </is>
      </c>
      <c r="G1643" t="inlineStr">
        <is>
          <t>XXL</t>
        </is>
      </c>
      <c r="H1643" t="n">
        <v>1</v>
      </c>
      <c r="I1643" t="inlineStr">
        <is>
          <t>NAUTICA_CLASSICS_117004220_SW4_1.jpg</t>
        </is>
      </c>
      <c r="J1643" t="inlineStr">
        <is>
          <t>NAUTICA_CLASSICS_117004220_SW4_2.jpg</t>
        </is>
      </c>
      <c r="K1643" t="inlineStr">
        <is>
          <t>NAUTICA_CLASSICS_117004220_SW4_3.jpg</t>
        </is>
      </c>
      <c r="L1643">
        <f>IMAGE("file:///E:/Estudios%20y%20certificaciones/ESTUDIOS%20DE%20PROGRAMMING/PROGRAMMING/PERSONAL/PYTHON/Image_Generator_API/imagenes/NAUTICA_CLASSICS_117004220_SW4_1.jpg")</f>
        <v/>
      </c>
      <c r="M1643">
        <f>IMAGE("file:///E:/Estudios%20y%20certificaciones/ESTUDIOS%20DE%20PROGRAMMING/PROGRAMMING/PERSONAL/PYTHON/Image_Generator_API/imagenes/NAUTICA_CLASSICS_117004220_SW4_2.jpg")</f>
        <v/>
      </c>
      <c r="N1643">
        <f>IMAGE("file:///E:/Estudios%20y%20certificaciones/ESTUDIOS%20DE%20PROGRAMMING/PROGRAMMING/PERSONAL/PYTHON/Image_Generator_API/imagenes/NAUTICA_CLASSICS_117004220_SW4_3.jpg")</f>
        <v/>
      </c>
      <c r="O1643">
        <f>HYPERLINK("imagenes/NAUTICA_CLASSICS_117004220_SW4_1.jpg","Ver imagen")</f>
        <v/>
      </c>
      <c r="P1643">
        <f>HYPERLINK("imagenes/NAUTICA_CLASSICS_117004220_SW4_2.jpg","Ver imagen")</f>
        <v/>
      </c>
      <c r="Q1643">
        <f>HYPERLINK("imagenes/NAUTICA_CLASSICS_117004220_SW4_3.jpg","Ver imagen")</f>
        <v/>
      </c>
    </row>
    <row r="1644">
      <c r="A1644" t="inlineStr">
        <is>
          <t>NAUTICA CLASSICS</t>
        </is>
      </c>
      <c r="B1644" t="inlineStr">
        <is>
          <t>117004220</t>
        </is>
      </c>
      <c r="C1644" t="inlineStr">
        <is>
          <t>SOFT MIST COAT</t>
        </is>
      </c>
      <c r="D1644" t="inlineStr">
        <is>
          <t>SW4</t>
        </is>
      </c>
      <c r="E1644" t="inlineStr">
        <is>
          <t>(en blanco)</t>
        </is>
      </c>
      <c r="F1644" t="inlineStr">
        <is>
          <t>(en blanco)</t>
        </is>
      </c>
      <c r="G1644" t="inlineStr">
        <is>
          <t>XXS</t>
        </is>
      </c>
      <c r="H1644" t="n">
        <v>43</v>
      </c>
      <c r="I1644" t="inlineStr">
        <is>
          <t>NAUTICA_CLASSICS_117004220_SW4_1.jpg</t>
        </is>
      </c>
      <c r="J1644" t="inlineStr">
        <is>
          <t>NAUTICA_CLASSICS_117004220_SW4_2.jpg</t>
        </is>
      </c>
      <c r="K1644" t="inlineStr">
        <is>
          <t>NAUTICA_CLASSICS_117004220_SW4_3.jpg</t>
        </is>
      </c>
      <c r="L1644">
        <f>IMAGE("file:///E:/Estudios%20y%20certificaciones/ESTUDIOS%20DE%20PROGRAMMING/PROGRAMMING/PERSONAL/PYTHON/Image_Generator_API/imagenes/NAUTICA_CLASSICS_117004220_SW4_1.jpg")</f>
        <v/>
      </c>
      <c r="M1644">
        <f>IMAGE("file:///E:/Estudios%20y%20certificaciones/ESTUDIOS%20DE%20PROGRAMMING/PROGRAMMING/PERSONAL/PYTHON/Image_Generator_API/imagenes/NAUTICA_CLASSICS_117004220_SW4_2.jpg")</f>
        <v/>
      </c>
      <c r="N1644">
        <f>IMAGE("file:///E:/Estudios%20y%20certificaciones/ESTUDIOS%20DE%20PROGRAMMING/PROGRAMMING/PERSONAL/PYTHON/Image_Generator_API/imagenes/NAUTICA_CLASSICS_117004220_SW4_3.jpg")</f>
        <v/>
      </c>
      <c r="O1644">
        <f>HYPERLINK("imagenes/NAUTICA_CLASSICS_117004220_SW4_1.jpg","Ver imagen")</f>
        <v/>
      </c>
      <c r="P1644">
        <f>HYPERLINK("imagenes/NAUTICA_CLASSICS_117004220_SW4_2.jpg","Ver imagen")</f>
        <v/>
      </c>
      <c r="Q1644">
        <f>HYPERLINK("imagenes/NAUTICA_CLASSICS_117004220_SW4_3.jpg","Ver imagen")</f>
        <v/>
      </c>
    </row>
    <row r="1645">
      <c r="A1645" t="inlineStr">
        <is>
          <t>NAUTICA CLASSICS</t>
        </is>
      </c>
      <c r="B1645" t="inlineStr">
        <is>
          <t>117004220</t>
        </is>
      </c>
      <c r="C1645" t="inlineStr">
        <is>
          <t>SOFT MIST COAT</t>
        </is>
      </c>
      <c r="D1645" t="inlineStr">
        <is>
          <t>ZCR</t>
        </is>
      </c>
      <c r="E1645" t="inlineStr">
        <is>
          <t>(en blanco)</t>
        </is>
      </c>
      <c r="F1645" t="inlineStr">
        <is>
          <t>(en blanco)</t>
        </is>
      </c>
      <c r="G1645" t="inlineStr">
        <is>
          <t>XS</t>
        </is>
      </c>
      <c r="H1645" t="n">
        <v>7</v>
      </c>
      <c r="I1645" t="inlineStr">
        <is>
          <t>NAUTICA_CLASSICS_117004220_ZCR_1.jpg</t>
        </is>
      </c>
      <c r="J1645" t="inlineStr">
        <is>
          <t>NAUTICA_CLASSICS_117004220_ZCR_2.jpg</t>
        </is>
      </c>
      <c r="K1645" t="inlineStr">
        <is>
          <t>NAUTICA_CLASSICS_117004220_ZCR_3.jpg</t>
        </is>
      </c>
      <c r="L1645">
        <f>IMAGE("file:///E:/Estudios%20y%20certificaciones/ESTUDIOS%20DE%20PROGRAMMING/PROGRAMMING/PERSONAL/PYTHON/Image_Generator_API/imagenes/NAUTICA_CLASSICS_117004220_ZCR_1.jpg")</f>
        <v/>
      </c>
      <c r="M1645">
        <f>IMAGE("file:///E:/Estudios%20y%20certificaciones/ESTUDIOS%20DE%20PROGRAMMING/PROGRAMMING/PERSONAL/PYTHON/Image_Generator_API/imagenes/NAUTICA_CLASSICS_117004220_ZCR_2.jpg")</f>
        <v/>
      </c>
      <c r="N1645">
        <f>IMAGE("file:///E:/Estudios%20y%20certificaciones/ESTUDIOS%20DE%20PROGRAMMING/PROGRAMMING/PERSONAL/PYTHON/Image_Generator_API/imagenes/NAUTICA_CLASSICS_117004220_ZCR_3.jpg")</f>
        <v/>
      </c>
      <c r="O1645">
        <f>HYPERLINK("imagenes/NAUTICA_CLASSICS_117004220_ZCR_1.jpg","Ver imagen")</f>
        <v/>
      </c>
      <c r="P1645">
        <f>HYPERLINK("imagenes/NAUTICA_CLASSICS_117004220_ZCR_2.jpg","Ver imagen")</f>
        <v/>
      </c>
      <c r="Q1645">
        <f>HYPERLINK("imagenes/NAUTICA_CLASSICS_117004220_ZCR_3.jpg","Ver imagen")</f>
        <v/>
      </c>
    </row>
    <row r="1646">
      <c r="A1646" t="inlineStr">
        <is>
          <t>NAUTICA CLASSICS</t>
        </is>
      </c>
      <c r="B1646" t="inlineStr">
        <is>
          <t>117004220</t>
        </is>
      </c>
      <c r="C1646" t="inlineStr">
        <is>
          <t>SOFT MIST COAT</t>
        </is>
      </c>
      <c r="D1646" t="inlineStr">
        <is>
          <t>ZCR</t>
        </is>
      </c>
      <c r="E1646" t="inlineStr">
        <is>
          <t>(en blanco)</t>
        </is>
      </c>
      <c r="F1646" t="inlineStr">
        <is>
          <t>(en blanco)</t>
        </is>
      </c>
      <c r="G1646" t="inlineStr">
        <is>
          <t>S</t>
        </is>
      </c>
      <c r="H1646" t="n">
        <v>6</v>
      </c>
      <c r="I1646" t="inlineStr">
        <is>
          <t>NAUTICA_CLASSICS_117004220_ZCR_1.jpg</t>
        </is>
      </c>
      <c r="J1646" t="inlineStr">
        <is>
          <t>NAUTICA_CLASSICS_117004220_ZCR_2.jpg</t>
        </is>
      </c>
      <c r="K1646" t="inlineStr">
        <is>
          <t>NAUTICA_CLASSICS_117004220_ZCR_3.jpg</t>
        </is>
      </c>
      <c r="L1646">
        <f>IMAGE("file:///E:/Estudios%20y%20certificaciones/ESTUDIOS%20DE%20PROGRAMMING/PROGRAMMING/PERSONAL/PYTHON/Image_Generator_API/imagenes/NAUTICA_CLASSICS_117004220_ZCR_1.jpg")</f>
        <v/>
      </c>
      <c r="M1646">
        <f>IMAGE("file:///E:/Estudios%20y%20certificaciones/ESTUDIOS%20DE%20PROGRAMMING/PROGRAMMING/PERSONAL/PYTHON/Image_Generator_API/imagenes/NAUTICA_CLASSICS_117004220_ZCR_2.jpg")</f>
        <v/>
      </c>
      <c r="N1646">
        <f>IMAGE("file:///E:/Estudios%20y%20certificaciones/ESTUDIOS%20DE%20PROGRAMMING/PROGRAMMING/PERSONAL/PYTHON/Image_Generator_API/imagenes/NAUTICA_CLASSICS_117004220_ZCR_3.jpg")</f>
        <v/>
      </c>
      <c r="O1646">
        <f>HYPERLINK("imagenes/NAUTICA_CLASSICS_117004220_ZCR_1.jpg","Ver imagen")</f>
        <v/>
      </c>
      <c r="P1646">
        <f>HYPERLINK("imagenes/NAUTICA_CLASSICS_117004220_ZCR_2.jpg","Ver imagen")</f>
        <v/>
      </c>
      <c r="Q1646">
        <f>HYPERLINK("imagenes/NAUTICA_CLASSICS_117004220_ZCR_3.jpg","Ver imagen")</f>
        <v/>
      </c>
    </row>
    <row r="1647">
      <c r="A1647" t="inlineStr">
        <is>
          <t>NAUTICA CLASSICS</t>
        </is>
      </c>
      <c r="B1647" t="inlineStr">
        <is>
          <t>117004220</t>
        </is>
      </c>
      <c r="C1647" t="inlineStr">
        <is>
          <t>SOFT MIST COAT</t>
        </is>
      </c>
      <c r="D1647" t="inlineStr">
        <is>
          <t>ZCR</t>
        </is>
      </c>
      <c r="E1647" t="inlineStr">
        <is>
          <t>(en blanco)</t>
        </is>
      </c>
      <c r="F1647" t="inlineStr">
        <is>
          <t>(en blanco)</t>
        </is>
      </c>
      <c r="G1647" t="inlineStr">
        <is>
          <t>M</t>
        </is>
      </c>
      <c r="H1647" t="n">
        <v>2</v>
      </c>
      <c r="I1647" t="inlineStr">
        <is>
          <t>NAUTICA_CLASSICS_117004220_ZCR_1.jpg</t>
        </is>
      </c>
      <c r="J1647" t="inlineStr">
        <is>
          <t>NAUTICA_CLASSICS_117004220_ZCR_2.jpg</t>
        </is>
      </c>
      <c r="K1647" t="inlineStr">
        <is>
          <t>NAUTICA_CLASSICS_117004220_ZCR_3.jpg</t>
        </is>
      </c>
      <c r="L1647">
        <f>IMAGE("file:///E:/Estudios%20y%20certificaciones/ESTUDIOS%20DE%20PROGRAMMING/PROGRAMMING/PERSONAL/PYTHON/Image_Generator_API/imagenes/NAUTICA_CLASSICS_117004220_ZCR_1.jpg")</f>
        <v/>
      </c>
      <c r="M1647">
        <f>IMAGE("file:///E:/Estudios%20y%20certificaciones/ESTUDIOS%20DE%20PROGRAMMING/PROGRAMMING/PERSONAL/PYTHON/Image_Generator_API/imagenes/NAUTICA_CLASSICS_117004220_ZCR_2.jpg")</f>
        <v/>
      </c>
      <c r="N1647">
        <f>IMAGE("file:///E:/Estudios%20y%20certificaciones/ESTUDIOS%20DE%20PROGRAMMING/PROGRAMMING/PERSONAL/PYTHON/Image_Generator_API/imagenes/NAUTICA_CLASSICS_117004220_ZCR_3.jpg")</f>
        <v/>
      </c>
      <c r="O1647">
        <f>HYPERLINK("imagenes/NAUTICA_CLASSICS_117004220_ZCR_1.jpg","Ver imagen")</f>
        <v/>
      </c>
      <c r="P1647">
        <f>HYPERLINK("imagenes/NAUTICA_CLASSICS_117004220_ZCR_2.jpg","Ver imagen")</f>
        <v/>
      </c>
      <c r="Q1647">
        <f>HYPERLINK("imagenes/NAUTICA_CLASSICS_117004220_ZCR_3.jpg","Ver imagen")</f>
        <v/>
      </c>
    </row>
    <row r="1648">
      <c r="A1648" t="inlineStr">
        <is>
          <t>NAUTICA CLASSICS</t>
        </is>
      </c>
      <c r="B1648" t="inlineStr">
        <is>
          <t>117004254</t>
        </is>
      </c>
      <c r="C1648" t="inlineStr">
        <is>
          <t>NAUTICA LONG PUFFER</t>
        </is>
      </c>
      <c r="D1648" t="inlineStr">
        <is>
          <t>BLK</t>
        </is>
      </c>
      <c r="E1648" t="inlineStr">
        <is>
          <t>(en blanco)</t>
        </is>
      </c>
      <c r="F1648" t="inlineStr">
        <is>
          <t>(en blanco)</t>
        </is>
      </c>
      <c r="G1648" t="inlineStr">
        <is>
          <t>S</t>
        </is>
      </c>
      <c r="H1648" t="n">
        <v>1</v>
      </c>
      <c r="I1648" t="inlineStr">
        <is>
          <t>NAUTICA_CLASSICS_117004254_BLK_1.jpg</t>
        </is>
      </c>
      <c r="J1648" t="inlineStr">
        <is>
          <t>NAUTICA_CLASSICS_117004254_BLK_2.jpg</t>
        </is>
      </c>
      <c r="K1648" t="inlineStr">
        <is>
          <t>NAUTICA_CLASSICS_117004254_BLK_3.jpg</t>
        </is>
      </c>
      <c r="L1648">
        <f>IMAGE("file:///E:/Estudios%20y%20certificaciones/ESTUDIOS%20DE%20PROGRAMMING/PROGRAMMING/PERSONAL/PYTHON/Image_Generator_API/imagenes/NAUTICA_CLASSICS_117004254_BLK_1.jpg")</f>
        <v/>
      </c>
      <c r="M1648">
        <f>IMAGE("file:///E:/Estudios%20y%20certificaciones/ESTUDIOS%20DE%20PROGRAMMING/PROGRAMMING/PERSONAL/PYTHON/Image_Generator_API/imagenes/NAUTICA_CLASSICS_117004254_BLK_2.jpg")</f>
        <v/>
      </c>
      <c r="N1648">
        <f>IMAGE("file:///E:/Estudios%20y%20certificaciones/ESTUDIOS%20DE%20PROGRAMMING/PROGRAMMING/PERSONAL/PYTHON/Image_Generator_API/imagenes/NAUTICA_CLASSICS_117004254_BLK_3.jpg")</f>
        <v/>
      </c>
      <c r="O1648">
        <f>HYPERLINK("imagenes/NAUTICA_CLASSICS_117004254_BLK_1.jpg","Ver imagen")</f>
        <v/>
      </c>
      <c r="P1648">
        <f>HYPERLINK("imagenes/NAUTICA_CLASSICS_117004254_BLK_2.jpg","Ver imagen")</f>
        <v/>
      </c>
      <c r="Q1648">
        <f>HYPERLINK("imagenes/NAUTICA_CLASSICS_117004254_BLK_3.jpg","Ver imagen")</f>
        <v/>
      </c>
    </row>
    <row r="1649">
      <c r="A1649" t="inlineStr">
        <is>
          <t>NAUTICA CLASSICS</t>
        </is>
      </c>
      <c r="B1649" t="inlineStr">
        <is>
          <t>117004254</t>
        </is>
      </c>
      <c r="C1649" t="inlineStr">
        <is>
          <t>NAUTICA LONG PUFFER</t>
        </is>
      </c>
      <c r="D1649" t="inlineStr">
        <is>
          <t>BLK</t>
        </is>
      </c>
      <c r="E1649" t="inlineStr">
        <is>
          <t>(en blanco)</t>
        </is>
      </c>
      <c r="F1649" t="inlineStr">
        <is>
          <t>(en blanco)</t>
        </is>
      </c>
      <c r="G1649" t="inlineStr">
        <is>
          <t>L</t>
        </is>
      </c>
      <c r="H1649" t="n">
        <v>1</v>
      </c>
      <c r="I1649" t="inlineStr">
        <is>
          <t>NAUTICA_CLASSICS_117004254_BLK_1.jpg</t>
        </is>
      </c>
      <c r="J1649" t="inlineStr">
        <is>
          <t>NAUTICA_CLASSICS_117004254_BLK_2.jpg</t>
        </is>
      </c>
      <c r="K1649" t="inlineStr">
        <is>
          <t>NAUTICA_CLASSICS_117004254_BLK_3.jpg</t>
        </is>
      </c>
      <c r="L1649">
        <f>IMAGE("file:///E:/Estudios%20y%20certificaciones/ESTUDIOS%20DE%20PROGRAMMING/PROGRAMMING/PERSONAL/PYTHON/Image_Generator_API/imagenes/NAUTICA_CLASSICS_117004254_BLK_1.jpg")</f>
        <v/>
      </c>
      <c r="M1649">
        <f>IMAGE("file:///E:/Estudios%20y%20certificaciones/ESTUDIOS%20DE%20PROGRAMMING/PROGRAMMING/PERSONAL/PYTHON/Image_Generator_API/imagenes/NAUTICA_CLASSICS_117004254_BLK_2.jpg")</f>
        <v/>
      </c>
      <c r="N1649">
        <f>IMAGE("file:///E:/Estudios%20y%20certificaciones/ESTUDIOS%20DE%20PROGRAMMING/PROGRAMMING/PERSONAL/PYTHON/Image_Generator_API/imagenes/NAUTICA_CLASSICS_117004254_BLK_3.jpg")</f>
        <v/>
      </c>
      <c r="O1649">
        <f>HYPERLINK("imagenes/NAUTICA_CLASSICS_117004254_BLK_1.jpg","Ver imagen")</f>
        <v/>
      </c>
      <c r="P1649">
        <f>HYPERLINK("imagenes/NAUTICA_CLASSICS_117004254_BLK_2.jpg","Ver imagen")</f>
        <v/>
      </c>
      <c r="Q1649">
        <f>HYPERLINK("imagenes/NAUTICA_CLASSICS_117004254_BLK_3.jpg","Ver imagen")</f>
        <v/>
      </c>
    </row>
    <row r="1650">
      <c r="A1650" t="inlineStr">
        <is>
          <t>NAUTICA CLASSICS</t>
        </is>
      </c>
      <c r="B1650" t="inlineStr">
        <is>
          <t>117004254</t>
        </is>
      </c>
      <c r="C1650" t="inlineStr">
        <is>
          <t>NAUTICA LONG PUFFER</t>
        </is>
      </c>
      <c r="D1650" t="inlineStr">
        <is>
          <t>CTI</t>
        </is>
      </c>
      <c r="E1650" t="inlineStr">
        <is>
          <t>(en blanco)</t>
        </is>
      </c>
      <c r="F1650" t="inlineStr">
        <is>
          <t>(en blanco)</t>
        </is>
      </c>
      <c r="G1650" t="inlineStr">
        <is>
          <t>S</t>
        </is>
      </c>
      <c r="H1650" t="n">
        <v>3</v>
      </c>
      <c r="I1650" t="inlineStr">
        <is>
          <t>NAUTICA_CLASSICS_117004254_CTI_1.jpg</t>
        </is>
      </c>
      <c r="J1650" t="inlineStr">
        <is>
          <t>NAUTICA_CLASSICS_117004254_CTI_2.jpg</t>
        </is>
      </c>
      <c r="K1650" t="inlineStr">
        <is>
          <t>NAUTICA_CLASSICS_117004254_CTI_3.jpg</t>
        </is>
      </c>
      <c r="L1650">
        <f>IMAGE("file:///E:/Estudios%20y%20certificaciones/ESTUDIOS%20DE%20PROGRAMMING/PROGRAMMING/PERSONAL/PYTHON/Image_Generator_API/imagenes/NAUTICA_CLASSICS_117004254_CTI_1.jpg")</f>
        <v/>
      </c>
      <c r="M1650">
        <f>IMAGE("file:///E:/Estudios%20y%20certificaciones/ESTUDIOS%20DE%20PROGRAMMING/PROGRAMMING/PERSONAL/PYTHON/Image_Generator_API/imagenes/NAUTICA_CLASSICS_117004254_CTI_2.jpg")</f>
        <v/>
      </c>
      <c r="N1650">
        <f>IMAGE("file:///E:/Estudios%20y%20certificaciones/ESTUDIOS%20DE%20PROGRAMMING/PROGRAMMING/PERSONAL/PYTHON/Image_Generator_API/imagenes/NAUTICA_CLASSICS_117004254_CTI_3.jpg")</f>
        <v/>
      </c>
      <c r="O1650">
        <f>HYPERLINK("imagenes/NAUTICA_CLASSICS_117004254_CTI_1.jpg","Ver imagen")</f>
        <v/>
      </c>
      <c r="P1650">
        <f>HYPERLINK("imagenes/NAUTICA_CLASSICS_117004254_CTI_2.jpg","Ver imagen")</f>
        <v/>
      </c>
      <c r="Q1650">
        <f>HYPERLINK("imagenes/NAUTICA_CLASSICS_117004254_CTI_3.jpg","Ver imagen")</f>
        <v/>
      </c>
    </row>
    <row r="1651">
      <c r="A1651" t="inlineStr">
        <is>
          <t>NAUTICA CLASSICS</t>
        </is>
      </c>
      <c r="B1651" t="inlineStr">
        <is>
          <t>117004254</t>
        </is>
      </c>
      <c r="C1651" t="inlineStr">
        <is>
          <t>NAUTICA LONG PUFFER</t>
        </is>
      </c>
      <c r="D1651" t="inlineStr">
        <is>
          <t>CTI</t>
        </is>
      </c>
      <c r="E1651" t="inlineStr">
        <is>
          <t>(en blanco)</t>
        </is>
      </c>
      <c r="F1651" t="inlineStr">
        <is>
          <t>(en blanco)</t>
        </is>
      </c>
      <c r="G1651" t="inlineStr">
        <is>
          <t>M</t>
        </is>
      </c>
      <c r="H1651" t="n">
        <v>4</v>
      </c>
      <c r="I1651" t="inlineStr">
        <is>
          <t>NAUTICA_CLASSICS_117004254_CTI_1.jpg</t>
        </is>
      </c>
      <c r="J1651" t="inlineStr">
        <is>
          <t>NAUTICA_CLASSICS_117004254_CTI_2.jpg</t>
        </is>
      </c>
      <c r="K1651" t="inlineStr">
        <is>
          <t>NAUTICA_CLASSICS_117004254_CTI_3.jpg</t>
        </is>
      </c>
      <c r="L1651">
        <f>IMAGE("file:///E:/Estudios%20y%20certificaciones/ESTUDIOS%20DE%20PROGRAMMING/PROGRAMMING/PERSONAL/PYTHON/Image_Generator_API/imagenes/NAUTICA_CLASSICS_117004254_CTI_1.jpg")</f>
        <v/>
      </c>
      <c r="M1651">
        <f>IMAGE("file:///E:/Estudios%20y%20certificaciones/ESTUDIOS%20DE%20PROGRAMMING/PROGRAMMING/PERSONAL/PYTHON/Image_Generator_API/imagenes/NAUTICA_CLASSICS_117004254_CTI_2.jpg")</f>
        <v/>
      </c>
      <c r="N1651">
        <f>IMAGE("file:///E:/Estudios%20y%20certificaciones/ESTUDIOS%20DE%20PROGRAMMING/PROGRAMMING/PERSONAL/PYTHON/Image_Generator_API/imagenes/NAUTICA_CLASSICS_117004254_CTI_3.jpg")</f>
        <v/>
      </c>
      <c r="O1651">
        <f>HYPERLINK("imagenes/NAUTICA_CLASSICS_117004254_CTI_1.jpg","Ver imagen")</f>
        <v/>
      </c>
      <c r="P1651">
        <f>HYPERLINK("imagenes/NAUTICA_CLASSICS_117004254_CTI_2.jpg","Ver imagen")</f>
        <v/>
      </c>
      <c r="Q1651">
        <f>HYPERLINK("imagenes/NAUTICA_CLASSICS_117004254_CTI_3.jpg","Ver imagen")</f>
        <v/>
      </c>
    </row>
    <row r="1652">
      <c r="A1652" t="inlineStr">
        <is>
          <t>NAUTICA CLASSICS</t>
        </is>
      </c>
      <c r="B1652" t="inlineStr">
        <is>
          <t>117004254</t>
        </is>
      </c>
      <c r="C1652" t="inlineStr">
        <is>
          <t>NAUTICA LONG PUFFER</t>
        </is>
      </c>
      <c r="D1652" t="inlineStr">
        <is>
          <t>LMS</t>
        </is>
      </c>
      <c r="E1652" t="inlineStr">
        <is>
          <t>(en blanco)</t>
        </is>
      </c>
      <c r="F1652" t="inlineStr">
        <is>
          <t>(en blanco)</t>
        </is>
      </c>
      <c r="G1652" t="inlineStr">
        <is>
          <t>S</t>
        </is>
      </c>
      <c r="H1652" t="n">
        <v>23</v>
      </c>
      <c r="I1652" t="inlineStr">
        <is>
          <t>NAUTICA_CLASSICS_117004254_LMS_1.jpg</t>
        </is>
      </c>
      <c r="J1652" t="inlineStr">
        <is>
          <t>NAUTICA_CLASSICS_117004254_LMS_2.jpg</t>
        </is>
      </c>
      <c r="K1652" t="inlineStr">
        <is>
          <t>NAUTICA_CLASSICS_117004254_LMS_3.jpg</t>
        </is>
      </c>
      <c r="L1652">
        <f>IMAGE("file:///E:/Estudios%20y%20certificaciones/ESTUDIOS%20DE%20PROGRAMMING/PROGRAMMING/PERSONAL/PYTHON/Image_Generator_API/imagenes/NAUTICA_CLASSICS_117004254_LMS_1.jpg")</f>
        <v/>
      </c>
      <c r="M1652">
        <f>IMAGE("file:///E:/Estudios%20y%20certificaciones/ESTUDIOS%20DE%20PROGRAMMING/PROGRAMMING/PERSONAL/PYTHON/Image_Generator_API/imagenes/NAUTICA_CLASSICS_117004254_LMS_2.jpg")</f>
        <v/>
      </c>
      <c r="N1652">
        <f>IMAGE("file:///E:/Estudios%20y%20certificaciones/ESTUDIOS%20DE%20PROGRAMMING/PROGRAMMING/PERSONAL/PYTHON/Image_Generator_API/imagenes/NAUTICA_CLASSICS_117004254_LMS_3.jpg")</f>
        <v/>
      </c>
      <c r="O1652">
        <f>HYPERLINK("imagenes/NAUTICA_CLASSICS_117004254_LMS_1.jpg","Ver imagen")</f>
        <v/>
      </c>
      <c r="P1652">
        <f>HYPERLINK("imagenes/NAUTICA_CLASSICS_117004254_LMS_2.jpg","Ver imagen")</f>
        <v/>
      </c>
      <c r="Q1652">
        <f>HYPERLINK("imagenes/NAUTICA_CLASSICS_117004254_LMS_3.jpg","Ver imagen")</f>
        <v/>
      </c>
    </row>
    <row r="1653">
      <c r="A1653" t="inlineStr">
        <is>
          <t>NAUTICA CLASSICS</t>
        </is>
      </c>
      <c r="B1653" t="inlineStr">
        <is>
          <t>117004254</t>
        </is>
      </c>
      <c r="C1653" t="inlineStr">
        <is>
          <t>NAUTICA LONG PUFFER</t>
        </is>
      </c>
      <c r="D1653" t="inlineStr">
        <is>
          <t>LMS</t>
        </is>
      </c>
      <c r="E1653" t="inlineStr">
        <is>
          <t>(en blanco)</t>
        </is>
      </c>
      <c r="F1653" t="inlineStr">
        <is>
          <t>(en blanco)</t>
        </is>
      </c>
      <c r="G1653" t="inlineStr">
        <is>
          <t>M</t>
        </is>
      </c>
      <c r="H1653" t="n">
        <v>15</v>
      </c>
      <c r="I1653" t="inlineStr">
        <is>
          <t>NAUTICA_CLASSICS_117004254_LMS_1.jpg</t>
        </is>
      </c>
      <c r="J1653" t="inlineStr">
        <is>
          <t>NAUTICA_CLASSICS_117004254_LMS_2.jpg</t>
        </is>
      </c>
      <c r="K1653" t="inlineStr">
        <is>
          <t>NAUTICA_CLASSICS_117004254_LMS_3.jpg</t>
        </is>
      </c>
      <c r="L1653">
        <f>IMAGE("file:///E:/Estudios%20y%20certificaciones/ESTUDIOS%20DE%20PROGRAMMING/PROGRAMMING/PERSONAL/PYTHON/Image_Generator_API/imagenes/NAUTICA_CLASSICS_117004254_LMS_1.jpg")</f>
        <v/>
      </c>
      <c r="M1653">
        <f>IMAGE("file:///E:/Estudios%20y%20certificaciones/ESTUDIOS%20DE%20PROGRAMMING/PROGRAMMING/PERSONAL/PYTHON/Image_Generator_API/imagenes/NAUTICA_CLASSICS_117004254_LMS_2.jpg")</f>
        <v/>
      </c>
      <c r="N1653">
        <f>IMAGE("file:///E:/Estudios%20y%20certificaciones/ESTUDIOS%20DE%20PROGRAMMING/PROGRAMMING/PERSONAL/PYTHON/Image_Generator_API/imagenes/NAUTICA_CLASSICS_117004254_LMS_3.jpg")</f>
        <v/>
      </c>
      <c r="O1653">
        <f>HYPERLINK("imagenes/NAUTICA_CLASSICS_117004254_LMS_1.jpg","Ver imagen")</f>
        <v/>
      </c>
      <c r="P1653">
        <f>HYPERLINK("imagenes/NAUTICA_CLASSICS_117004254_LMS_2.jpg","Ver imagen")</f>
        <v/>
      </c>
      <c r="Q1653">
        <f>HYPERLINK("imagenes/NAUTICA_CLASSICS_117004254_LMS_3.jpg","Ver imagen")</f>
        <v/>
      </c>
    </row>
    <row r="1654">
      <c r="A1654" t="inlineStr">
        <is>
          <t>NAUTICA CLASSICS</t>
        </is>
      </c>
      <c r="B1654" t="inlineStr">
        <is>
          <t>117004254</t>
        </is>
      </c>
      <c r="C1654" t="inlineStr">
        <is>
          <t>NAUTICA LONG PUFFER</t>
        </is>
      </c>
      <c r="D1654" t="inlineStr">
        <is>
          <t>LMS</t>
        </is>
      </c>
      <c r="E1654" t="inlineStr">
        <is>
          <t>(en blanco)</t>
        </is>
      </c>
      <c r="F1654" t="inlineStr">
        <is>
          <t>(en blanco)</t>
        </is>
      </c>
      <c r="G1654" t="inlineStr">
        <is>
          <t>L</t>
        </is>
      </c>
      <c r="H1654" t="n">
        <v>2</v>
      </c>
      <c r="I1654" t="inlineStr">
        <is>
          <t>NAUTICA_CLASSICS_117004254_LMS_1.jpg</t>
        </is>
      </c>
      <c r="J1654" t="inlineStr">
        <is>
          <t>NAUTICA_CLASSICS_117004254_LMS_2.jpg</t>
        </is>
      </c>
      <c r="K1654" t="inlineStr">
        <is>
          <t>NAUTICA_CLASSICS_117004254_LMS_3.jpg</t>
        </is>
      </c>
      <c r="L1654">
        <f>IMAGE("file:///E:/Estudios%20y%20certificaciones/ESTUDIOS%20DE%20PROGRAMMING/PROGRAMMING/PERSONAL/PYTHON/Image_Generator_API/imagenes/NAUTICA_CLASSICS_117004254_LMS_1.jpg")</f>
        <v/>
      </c>
      <c r="M1654">
        <f>IMAGE("file:///E:/Estudios%20y%20certificaciones/ESTUDIOS%20DE%20PROGRAMMING/PROGRAMMING/PERSONAL/PYTHON/Image_Generator_API/imagenes/NAUTICA_CLASSICS_117004254_LMS_2.jpg")</f>
        <v/>
      </c>
      <c r="N1654">
        <f>IMAGE("file:///E:/Estudios%20y%20certificaciones/ESTUDIOS%20DE%20PROGRAMMING/PROGRAMMING/PERSONAL/PYTHON/Image_Generator_API/imagenes/NAUTICA_CLASSICS_117004254_LMS_3.jpg")</f>
        <v/>
      </c>
      <c r="O1654">
        <f>HYPERLINK("imagenes/NAUTICA_CLASSICS_117004254_LMS_1.jpg","Ver imagen")</f>
        <v/>
      </c>
      <c r="P1654">
        <f>HYPERLINK("imagenes/NAUTICA_CLASSICS_117004254_LMS_2.jpg","Ver imagen")</f>
        <v/>
      </c>
      <c r="Q1654">
        <f>HYPERLINK("imagenes/NAUTICA_CLASSICS_117004254_LMS_3.jpg","Ver imagen")</f>
        <v/>
      </c>
    </row>
    <row r="1655">
      <c r="A1655" t="inlineStr">
        <is>
          <t>NAUTICA CLASSICS</t>
        </is>
      </c>
      <c r="B1655" t="inlineStr">
        <is>
          <t>117004254</t>
        </is>
      </c>
      <c r="C1655" t="inlineStr">
        <is>
          <t>NAUTICA LONG PUFFER</t>
        </is>
      </c>
      <c r="D1655" t="inlineStr">
        <is>
          <t>LMS</t>
        </is>
      </c>
      <c r="E1655" t="inlineStr">
        <is>
          <t>(en blanco)</t>
        </is>
      </c>
      <c r="F1655" t="inlineStr">
        <is>
          <t>(en blanco)</t>
        </is>
      </c>
      <c r="G1655" t="inlineStr">
        <is>
          <t>XL</t>
        </is>
      </c>
      <c r="H1655" t="n">
        <v>5</v>
      </c>
      <c r="I1655" t="inlineStr">
        <is>
          <t>NAUTICA_CLASSICS_117004254_LMS_1.jpg</t>
        </is>
      </c>
      <c r="J1655" t="inlineStr">
        <is>
          <t>NAUTICA_CLASSICS_117004254_LMS_2.jpg</t>
        </is>
      </c>
      <c r="K1655" t="inlineStr">
        <is>
          <t>NAUTICA_CLASSICS_117004254_LMS_3.jpg</t>
        </is>
      </c>
      <c r="L1655">
        <f>IMAGE("file:///E:/Estudios%20y%20certificaciones/ESTUDIOS%20DE%20PROGRAMMING/PROGRAMMING/PERSONAL/PYTHON/Image_Generator_API/imagenes/NAUTICA_CLASSICS_117004254_LMS_1.jpg")</f>
        <v/>
      </c>
      <c r="M1655">
        <f>IMAGE("file:///E:/Estudios%20y%20certificaciones/ESTUDIOS%20DE%20PROGRAMMING/PROGRAMMING/PERSONAL/PYTHON/Image_Generator_API/imagenes/NAUTICA_CLASSICS_117004254_LMS_2.jpg")</f>
        <v/>
      </c>
      <c r="N1655">
        <f>IMAGE("file:///E:/Estudios%20y%20certificaciones/ESTUDIOS%20DE%20PROGRAMMING/PROGRAMMING/PERSONAL/PYTHON/Image_Generator_API/imagenes/NAUTICA_CLASSICS_117004254_LMS_3.jpg")</f>
        <v/>
      </c>
      <c r="O1655">
        <f>HYPERLINK("imagenes/NAUTICA_CLASSICS_117004254_LMS_1.jpg","Ver imagen")</f>
        <v/>
      </c>
      <c r="P1655">
        <f>HYPERLINK("imagenes/NAUTICA_CLASSICS_117004254_LMS_2.jpg","Ver imagen")</f>
        <v/>
      </c>
      <c r="Q1655">
        <f>HYPERLINK("imagenes/NAUTICA_CLASSICS_117004254_LMS_3.jpg","Ver imagen")</f>
        <v/>
      </c>
    </row>
    <row r="1656">
      <c r="A1656" t="inlineStr">
        <is>
          <t>NAUTICA CLASSICS</t>
        </is>
      </c>
      <c r="B1656" t="inlineStr">
        <is>
          <t>117004254</t>
        </is>
      </c>
      <c r="C1656" t="inlineStr">
        <is>
          <t>NAUTICA LONG PUFFER</t>
        </is>
      </c>
      <c r="D1656" t="inlineStr">
        <is>
          <t>NSS</t>
        </is>
      </c>
      <c r="E1656" t="inlineStr">
        <is>
          <t>(en blanco)</t>
        </is>
      </c>
      <c r="F1656" t="inlineStr">
        <is>
          <t>(en blanco)</t>
        </is>
      </c>
      <c r="G1656" t="inlineStr">
        <is>
          <t>S</t>
        </is>
      </c>
      <c r="H1656" t="n">
        <v>5</v>
      </c>
      <c r="I1656" t="inlineStr">
        <is>
          <t>NAUTICA_CLASSICS_117004254_NSS_1.jpg</t>
        </is>
      </c>
      <c r="J1656" t="inlineStr">
        <is>
          <t>NAUTICA_CLASSICS_117004254_NSS_2.jpg</t>
        </is>
      </c>
      <c r="K1656" t="inlineStr">
        <is>
          <t>NAUTICA_CLASSICS_117004254_NSS_3.jpg</t>
        </is>
      </c>
      <c r="L1656">
        <f>IMAGE("file:///E:/Estudios%20y%20certificaciones/ESTUDIOS%20DE%20PROGRAMMING/PROGRAMMING/PERSONAL/PYTHON/Image_Generator_API/imagenes/NAUTICA_CLASSICS_117004254_NSS_1.jpg")</f>
        <v/>
      </c>
      <c r="M1656">
        <f>IMAGE("file:///E:/Estudios%20y%20certificaciones/ESTUDIOS%20DE%20PROGRAMMING/PROGRAMMING/PERSONAL/PYTHON/Image_Generator_API/imagenes/NAUTICA_CLASSICS_117004254_NSS_2.jpg")</f>
        <v/>
      </c>
      <c r="N1656">
        <f>IMAGE("file:///E:/Estudios%20y%20certificaciones/ESTUDIOS%20DE%20PROGRAMMING/PROGRAMMING/PERSONAL/PYTHON/Image_Generator_API/imagenes/NAUTICA_CLASSICS_117004254_NSS_3.jpg")</f>
        <v/>
      </c>
      <c r="O1656">
        <f>HYPERLINK("imagenes/NAUTICA_CLASSICS_117004254_NSS_1.jpg","Ver imagen")</f>
        <v/>
      </c>
      <c r="P1656">
        <f>HYPERLINK("imagenes/NAUTICA_CLASSICS_117004254_NSS_2.jpg","Ver imagen")</f>
        <v/>
      </c>
      <c r="Q1656">
        <f>HYPERLINK("imagenes/NAUTICA_CLASSICS_117004254_NSS_3.jpg","Ver imagen")</f>
        <v/>
      </c>
    </row>
    <row r="1657">
      <c r="A1657" t="inlineStr">
        <is>
          <t>NAUTICA CLASSICS</t>
        </is>
      </c>
      <c r="B1657" t="inlineStr">
        <is>
          <t>117004254</t>
        </is>
      </c>
      <c r="C1657" t="inlineStr">
        <is>
          <t>NAUTICA LONG PUFFER</t>
        </is>
      </c>
      <c r="D1657" t="inlineStr">
        <is>
          <t>NSS</t>
        </is>
      </c>
      <c r="E1657" t="inlineStr">
        <is>
          <t>(en blanco)</t>
        </is>
      </c>
      <c r="F1657" t="inlineStr">
        <is>
          <t>(en blanco)</t>
        </is>
      </c>
      <c r="G1657" t="inlineStr">
        <is>
          <t>M</t>
        </is>
      </c>
      <c r="H1657" t="n">
        <v>3</v>
      </c>
      <c r="I1657" t="inlineStr">
        <is>
          <t>NAUTICA_CLASSICS_117004254_NSS_1.jpg</t>
        </is>
      </c>
      <c r="J1657" t="inlineStr">
        <is>
          <t>NAUTICA_CLASSICS_117004254_NSS_2.jpg</t>
        </is>
      </c>
      <c r="K1657" t="inlineStr">
        <is>
          <t>NAUTICA_CLASSICS_117004254_NSS_3.jpg</t>
        </is>
      </c>
      <c r="L1657">
        <f>IMAGE("file:///E:/Estudios%20y%20certificaciones/ESTUDIOS%20DE%20PROGRAMMING/PROGRAMMING/PERSONAL/PYTHON/Image_Generator_API/imagenes/NAUTICA_CLASSICS_117004254_NSS_1.jpg")</f>
        <v/>
      </c>
      <c r="M1657">
        <f>IMAGE("file:///E:/Estudios%20y%20certificaciones/ESTUDIOS%20DE%20PROGRAMMING/PROGRAMMING/PERSONAL/PYTHON/Image_Generator_API/imagenes/NAUTICA_CLASSICS_117004254_NSS_2.jpg")</f>
        <v/>
      </c>
      <c r="N1657">
        <f>IMAGE("file:///E:/Estudios%20y%20certificaciones/ESTUDIOS%20DE%20PROGRAMMING/PROGRAMMING/PERSONAL/PYTHON/Image_Generator_API/imagenes/NAUTICA_CLASSICS_117004254_NSS_3.jpg")</f>
        <v/>
      </c>
      <c r="O1657">
        <f>HYPERLINK("imagenes/NAUTICA_CLASSICS_117004254_NSS_1.jpg","Ver imagen")</f>
        <v/>
      </c>
      <c r="P1657">
        <f>HYPERLINK("imagenes/NAUTICA_CLASSICS_117004254_NSS_2.jpg","Ver imagen")</f>
        <v/>
      </c>
      <c r="Q1657">
        <f>HYPERLINK("imagenes/NAUTICA_CLASSICS_117004254_NSS_3.jpg","Ver imagen")</f>
        <v/>
      </c>
    </row>
    <row r="1658">
      <c r="A1658" t="inlineStr">
        <is>
          <t>NAUTICA CLASSICS</t>
        </is>
      </c>
      <c r="B1658" t="inlineStr">
        <is>
          <t>117004410</t>
        </is>
      </c>
      <c r="C1658" t="inlineStr">
        <is>
          <t>LT WEIGHT PUFFER</t>
        </is>
      </c>
      <c r="D1658" t="inlineStr">
        <is>
          <t>BLK</t>
        </is>
      </c>
      <c r="E1658" t="inlineStr">
        <is>
          <t>08A05</t>
        </is>
      </c>
      <c r="F1658" t="inlineStr">
        <is>
          <t>(en blanco)</t>
        </is>
      </c>
      <c r="G1658" t="inlineStr">
        <is>
          <t>PPK</t>
        </is>
      </c>
      <c r="H1658" t="n">
        <v>2032</v>
      </c>
      <c r="I1658" t="inlineStr">
        <is>
          <t>NAUTICA_CLASSICS_117004410_BLK_1.jpg</t>
        </is>
      </c>
      <c r="J1658" t="inlineStr">
        <is>
          <t>NAUTICA_CLASSICS_117004410_BLK_2.jpg</t>
        </is>
      </c>
      <c r="K1658" t="inlineStr">
        <is>
          <t>NAUTICA_CLASSICS_117004410_BLK_3.jpg</t>
        </is>
      </c>
      <c r="L1658">
        <f>IMAGE("file:///E:/Estudios%20y%20certificaciones/ESTUDIOS%20DE%20PROGRAMMING/PROGRAMMING/PERSONAL/PYTHON/Image_Generator_API/imagenes/NAUTICA_CLASSICS_117004410_BLK_1.jpg")</f>
        <v/>
      </c>
      <c r="M1658">
        <f>IMAGE("file:///E:/Estudios%20y%20certificaciones/ESTUDIOS%20DE%20PROGRAMMING/PROGRAMMING/PERSONAL/PYTHON/Image_Generator_API/imagenes/NAUTICA_CLASSICS_117004410_BLK_2.jpg")</f>
        <v/>
      </c>
      <c r="N1658">
        <f>IMAGE("file:///E:/Estudios%20y%20certificaciones/ESTUDIOS%20DE%20PROGRAMMING/PROGRAMMING/PERSONAL/PYTHON/Image_Generator_API/imagenes/NAUTICA_CLASSICS_117004410_BLK_3.jpg")</f>
        <v/>
      </c>
      <c r="O1658">
        <f>HYPERLINK("imagenes/NAUTICA_CLASSICS_117004410_BLK_1.jpg","Ver imagen")</f>
        <v/>
      </c>
      <c r="P1658">
        <f>HYPERLINK("imagenes/NAUTICA_CLASSICS_117004410_BLK_2.jpg","Ver imagen")</f>
        <v/>
      </c>
      <c r="Q1658">
        <f>HYPERLINK("imagenes/NAUTICA_CLASSICS_117004410_BLK_3.jpg","Ver imagen")</f>
        <v/>
      </c>
    </row>
    <row r="1659">
      <c r="A1659" t="inlineStr">
        <is>
          <t>NAUTICA CLASSICS</t>
        </is>
      </c>
      <c r="B1659" t="inlineStr">
        <is>
          <t>117004410</t>
        </is>
      </c>
      <c r="C1659" t="inlineStr">
        <is>
          <t>LT WEIGHT PUFFER</t>
        </is>
      </c>
      <c r="D1659" t="inlineStr">
        <is>
          <t>BLK</t>
        </is>
      </c>
      <c r="E1659" t="inlineStr">
        <is>
          <t>(en blanco)</t>
        </is>
      </c>
      <c r="F1659" t="inlineStr">
        <is>
          <t>(en blanco)</t>
        </is>
      </c>
      <c r="G1659" t="inlineStr">
        <is>
          <t>XS</t>
        </is>
      </c>
      <c r="H1659" t="n">
        <v>5</v>
      </c>
      <c r="I1659" t="inlineStr">
        <is>
          <t>NAUTICA_CLASSICS_117004410_BLK_1.jpg</t>
        </is>
      </c>
      <c r="J1659" t="inlineStr">
        <is>
          <t>NAUTICA_CLASSICS_117004410_BLK_2.jpg</t>
        </is>
      </c>
      <c r="K1659" t="inlineStr">
        <is>
          <t>NAUTICA_CLASSICS_117004410_BLK_3.jpg</t>
        </is>
      </c>
      <c r="L1659">
        <f>IMAGE("file:///E:/Estudios%20y%20certificaciones/ESTUDIOS%20DE%20PROGRAMMING/PROGRAMMING/PERSONAL/PYTHON/Image_Generator_API/imagenes/NAUTICA_CLASSICS_117004410_BLK_1.jpg")</f>
        <v/>
      </c>
      <c r="M1659">
        <f>IMAGE("file:///E:/Estudios%20y%20certificaciones/ESTUDIOS%20DE%20PROGRAMMING/PROGRAMMING/PERSONAL/PYTHON/Image_Generator_API/imagenes/NAUTICA_CLASSICS_117004410_BLK_2.jpg")</f>
        <v/>
      </c>
      <c r="N1659">
        <f>IMAGE("file:///E:/Estudios%20y%20certificaciones/ESTUDIOS%20DE%20PROGRAMMING/PROGRAMMING/PERSONAL/PYTHON/Image_Generator_API/imagenes/NAUTICA_CLASSICS_117004410_BLK_3.jpg")</f>
        <v/>
      </c>
      <c r="O1659">
        <f>HYPERLINK("imagenes/NAUTICA_CLASSICS_117004410_BLK_1.jpg","Ver imagen")</f>
        <v/>
      </c>
      <c r="P1659">
        <f>HYPERLINK("imagenes/NAUTICA_CLASSICS_117004410_BLK_2.jpg","Ver imagen")</f>
        <v/>
      </c>
      <c r="Q1659">
        <f>HYPERLINK("imagenes/NAUTICA_CLASSICS_117004410_BLK_3.jpg","Ver imagen")</f>
        <v/>
      </c>
    </row>
    <row r="1660">
      <c r="A1660" t="inlineStr">
        <is>
          <t>NAUTICA CLASSICS</t>
        </is>
      </c>
      <c r="B1660" t="inlineStr">
        <is>
          <t>117004410</t>
        </is>
      </c>
      <c r="C1660" t="inlineStr">
        <is>
          <t>LT WEIGHT PUFFER</t>
        </is>
      </c>
      <c r="D1660" t="inlineStr">
        <is>
          <t>BLK</t>
        </is>
      </c>
      <c r="E1660" t="inlineStr">
        <is>
          <t>(en blanco)</t>
        </is>
      </c>
      <c r="F1660" t="inlineStr">
        <is>
          <t>(en blanco)</t>
        </is>
      </c>
      <c r="G1660" t="inlineStr">
        <is>
          <t>S</t>
        </is>
      </c>
      <c r="H1660" t="n">
        <v>14</v>
      </c>
      <c r="I1660" t="inlineStr">
        <is>
          <t>NAUTICA_CLASSICS_117004410_BLK_1.jpg</t>
        </is>
      </c>
      <c r="J1660" t="inlineStr">
        <is>
          <t>NAUTICA_CLASSICS_117004410_BLK_2.jpg</t>
        </is>
      </c>
      <c r="K1660" t="inlineStr">
        <is>
          <t>NAUTICA_CLASSICS_117004410_BLK_3.jpg</t>
        </is>
      </c>
      <c r="L1660">
        <f>IMAGE("file:///E:/Estudios%20y%20certificaciones/ESTUDIOS%20DE%20PROGRAMMING/PROGRAMMING/PERSONAL/PYTHON/Image_Generator_API/imagenes/NAUTICA_CLASSICS_117004410_BLK_1.jpg")</f>
        <v/>
      </c>
      <c r="M1660">
        <f>IMAGE("file:///E:/Estudios%20y%20certificaciones/ESTUDIOS%20DE%20PROGRAMMING/PROGRAMMING/PERSONAL/PYTHON/Image_Generator_API/imagenes/NAUTICA_CLASSICS_117004410_BLK_2.jpg")</f>
        <v/>
      </c>
      <c r="N1660">
        <f>IMAGE("file:///E:/Estudios%20y%20certificaciones/ESTUDIOS%20DE%20PROGRAMMING/PROGRAMMING/PERSONAL/PYTHON/Image_Generator_API/imagenes/NAUTICA_CLASSICS_117004410_BLK_3.jpg")</f>
        <v/>
      </c>
      <c r="O1660">
        <f>HYPERLINK("imagenes/NAUTICA_CLASSICS_117004410_BLK_1.jpg","Ver imagen")</f>
        <v/>
      </c>
      <c r="P1660">
        <f>HYPERLINK("imagenes/NAUTICA_CLASSICS_117004410_BLK_2.jpg","Ver imagen")</f>
        <v/>
      </c>
      <c r="Q1660">
        <f>HYPERLINK("imagenes/NAUTICA_CLASSICS_117004410_BLK_3.jpg","Ver imagen")</f>
        <v/>
      </c>
    </row>
    <row r="1661">
      <c r="A1661" t="inlineStr">
        <is>
          <t>NAUTICA CLASSICS</t>
        </is>
      </c>
      <c r="B1661" t="inlineStr">
        <is>
          <t>117004410</t>
        </is>
      </c>
      <c r="C1661" t="inlineStr">
        <is>
          <t>LT WEIGHT PUFFER</t>
        </is>
      </c>
      <c r="D1661" t="inlineStr">
        <is>
          <t>BLK</t>
        </is>
      </c>
      <c r="E1661" t="inlineStr">
        <is>
          <t>(en blanco)</t>
        </is>
      </c>
      <c r="F1661" t="inlineStr">
        <is>
          <t>(en blanco)</t>
        </is>
      </c>
      <c r="G1661" t="inlineStr">
        <is>
          <t>M</t>
        </is>
      </c>
      <c r="H1661" t="n">
        <v>5</v>
      </c>
      <c r="I1661" t="inlineStr">
        <is>
          <t>NAUTICA_CLASSICS_117004410_BLK_1.jpg</t>
        </is>
      </c>
      <c r="J1661" t="inlineStr">
        <is>
          <t>NAUTICA_CLASSICS_117004410_BLK_2.jpg</t>
        </is>
      </c>
      <c r="K1661" t="inlineStr">
        <is>
          <t>NAUTICA_CLASSICS_117004410_BLK_3.jpg</t>
        </is>
      </c>
      <c r="L1661">
        <f>IMAGE("file:///E:/Estudios%20y%20certificaciones/ESTUDIOS%20DE%20PROGRAMMING/PROGRAMMING/PERSONAL/PYTHON/Image_Generator_API/imagenes/NAUTICA_CLASSICS_117004410_BLK_1.jpg")</f>
        <v/>
      </c>
      <c r="M1661">
        <f>IMAGE("file:///E:/Estudios%20y%20certificaciones/ESTUDIOS%20DE%20PROGRAMMING/PROGRAMMING/PERSONAL/PYTHON/Image_Generator_API/imagenes/NAUTICA_CLASSICS_117004410_BLK_2.jpg")</f>
        <v/>
      </c>
      <c r="N1661">
        <f>IMAGE("file:///E:/Estudios%20y%20certificaciones/ESTUDIOS%20DE%20PROGRAMMING/PROGRAMMING/PERSONAL/PYTHON/Image_Generator_API/imagenes/NAUTICA_CLASSICS_117004410_BLK_3.jpg")</f>
        <v/>
      </c>
      <c r="O1661">
        <f>HYPERLINK("imagenes/NAUTICA_CLASSICS_117004410_BLK_1.jpg","Ver imagen")</f>
        <v/>
      </c>
      <c r="P1661">
        <f>HYPERLINK("imagenes/NAUTICA_CLASSICS_117004410_BLK_2.jpg","Ver imagen")</f>
        <v/>
      </c>
      <c r="Q1661">
        <f>HYPERLINK("imagenes/NAUTICA_CLASSICS_117004410_BLK_3.jpg","Ver imagen")</f>
        <v/>
      </c>
    </row>
    <row r="1662">
      <c r="A1662" t="inlineStr">
        <is>
          <t>NAUTICA CLASSICS</t>
        </is>
      </c>
      <c r="B1662" t="inlineStr">
        <is>
          <t>117004410</t>
        </is>
      </c>
      <c r="C1662" t="inlineStr">
        <is>
          <t>LT WEIGHT PUFFER</t>
        </is>
      </c>
      <c r="D1662" t="inlineStr">
        <is>
          <t>BLK</t>
        </is>
      </c>
      <c r="E1662" t="inlineStr">
        <is>
          <t>(en blanco)</t>
        </is>
      </c>
      <c r="F1662" t="inlineStr">
        <is>
          <t>(en blanco)</t>
        </is>
      </c>
      <c r="G1662" t="inlineStr">
        <is>
          <t>L</t>
        </is>
      </c>
      <c r="H1662" t="n">
        <v>4</v>
      </c>
      <c r="I1662" t="inlineStr">
        <is>
          <t>NAUTICA_CLASSICS_117004410_BLK_1.jpg</t>
        </is>
      </c>
      <c r="J1662" t="inlineStr">
        <is>
          <t>NAUTICA_CLASSICS_117004410_BLK_2.jpg</t>
        </is>
      </c>
      <c r="K1662" t="inlineStr">
        <is>
          <t>NAUTICA_CLASSICS_117004410_BLK_3.jpg</t>
        </is>
      </c>
      <c r="L1662">
        <f>IMAGE("file:///E:/Estudios%20y%20certificaciones/ESTUDIOS%20DE%20PROGRAMMING/PROGRAMMING/PERSONAL/PYTHON/Image_Generator_API/imagenes/NAUTICA_CLASSICS_117004410_BLK_1.jpg")</f>
        <v/>
      </c>
      <c r="M1662">
        <f>IMAGE("file:///E:/Estudios%20y%20certificaciones/ESTUDIOS%20DE%20PROGRAMMING/PROGRAMMING/PERSONAL/PYTHON/Image_Generator_API/imagenes/NAUTICA_CLASSICS_117004410_BLK_2.jpg")</f>
        <v/>
      </c>
      <c r="N1662">
        <f>IMAGE("file:///E:/Estudios%20y%20certificaciones/ESTUDIOS%20DE%20PROGRAMMING/PROGRAMMING/PERSONAL/PYTHON/Image_Generator_API/imagenes/NAUTICA_CLASSICS_117004410_BLK_3.jpg")</f>
        <v/>
      </c>
      <c r="O1662">
        <f>HYPERLINK("imagenes/NAUTICA_CLASSICS_117004410_BLK_1.jpg","Ver imagen")</f>
        <v/>
      </c>
      <c r="P1662">
        <f>HYPERLINK("imagenes/NAUTICA_CLASSICS_117004410_BLK_2.jpg","Ver imagen")</f>
        <v/>
      </c>
      <c r="Q1662">
        <f>HYPERLINK("imagenes/NAUTICA_CLASSICS_117004410_BLK_3.jpg","Ver imagen")</f>
        <v/>
      </c>
    </row>
    <row r="1663">
      <c r="A1663" t="inlineStr">
        <is>
          <t>NAUTICA CLASSICS</t>
        </is>
      </c>
      <c r="B1663" t="inlineStr">
        <is>
          <t>117004410</t>
        </is>
      </c>
      <c r="C1663" t="inlineStr">
        <is>
          <t>LT WEIGHT PUFFER</t>
        </is>
      </c>
      <c r="D1663" t="inlineStr">
        <is>
          <t>BLK</t>
        </is>
      </c>
      <c r="E1663" t="inlineStr">
        <is>
          <t>(en blanco)</t>
        </is>
      </c>
      <c r="F1663" t="inlineStr">
        <is>
          <t>(en blanco)</t>
        </is>
      </c>
      <c r="G1663" t="inlineStr">
        <is>
          <t>XL</t>
        </is>
      </c>
      <c r="H1663" t="n">
        <v>6</v>
      </c>
      <c r="I1663" t="inlineStr">
        <is>
          <t>NAUTICA_CLASSICS_117004410_BLK_1.jpg</t>
        </is>
      </c>
      <c r="J1663" t="inlineStr">
        <is>
          <t>NAUTICA_CLASSICS_117004410_BLK_2.jpg</t>
        </is>
      </c>
      <c r="K1663" t="inlineStr">
        <is>
          <t>NAUTICA_CLASSICS_117004410_BLK_3.jpg</t>
        </is>
      </c>
      <c r="L1663">
        <f>IMAGE("file:///E:/Estudios%20y%20certificaciones/ESTUDIOS%20DE%20PROGRAMMING/PROGRAMMING/PERSONAL/PYTHON/Image_Generator_API/imagenes/NAUTICA_CLASSICS_117004410_BLK_1.jpg")</f>
        <v/>
      </c>
      <c r="M1663">
        <f>IMAGE("file:///E:/Estudios%20y%20certificaciones/ESTUDIOS%20DE%20PROGRAMMING/PROGRAMMING/PERSONAL/PYTHON/Image_Generator_API/imagenes/NAUTICA_CLASSICS_117004410_BLK_2.jpg")</f>
        <v/>
      </c>
      <c r="N1663">
        <f>IMAGE("file:///E:/Estudios%20y%20certificaciones/ESTUDIOS%20DE%20PROGRAMMING/PROGRAMMING/PERSONAL/PYTHON/Image_Generator_API/imagenes/NAUTICA_CLASSICS_117004410_BLK_3.jpg")</f>
        <v/>
      </c>
      <c r="O1663">
        <f>HYPERLINK("imagenes/NAUTICA_CLASSICS_117004410_BLK_1.jpg","Ver imagen")</f>
        <v/>
      </c>
      <c r="P1663">
        <f>HYPERLINK("imagenes/NAUTICA_CLASSICS_117004410_BLK_2.jpg","Ver imagen")</f>
        <v/>
      </c>
      <c r="Q1663">
        <f>HYPERLINK("imagenes/NAUTICA_CLASSICS_117004410_BLK_3.jpg","Ver imagen")</f>
        <v/>
      </c>
    </row>
    <row r="1664">
      <c r="A1664" t="inlineStr">
        <is>
          <t>NAUTICA CLASSICS</t>
        </is>
      </c>
      <c r="B1664" t="inlineStr">
        <is>
          <t>117004410</t>
        </is>
      </c>
      <c r="C1664" t="inlineStr">
        <is>
          <t>LT WEIGHT PUFFER</t>
        </is>
      </c>
      <c r="D1664" t="inlineStr">
        <is>
          <t>D96</t>
        </is>
      </c>
      <c r="E1664" t="inlineStr">
        <is>
          <t>08A05</t>
        </is>
      </c>
      <c r="F1664" t="inlineStr">
        <is>
          <t>(en blanco)</t>
        </is>
      </c>
      <c r="G1664" t="inlineStr">
        <is>
          <t>PPK</t>
        </is>
      </c>
      <c r="H1664" t="n">
        <v>1384</v>
      </c>
      <c r="I1664" t="inlineStr">
        <is>
          <t>NAUTICA_CLASSICS_117004410_D96_1.jpg</t>
        </is>
      </c>
      <c r="J1664" t="inlineStr">
        <is>
          <t>NAUTICA_CLASSICS_117004410_D96_2.jpg</t>
        </is>
      </c>
      <c r="K1664" t="inlineStr">
        <is>
          <t>NAUTICA_CLASSICS_117004410_D96_3.jpg</t>
        </is>
      </c>
      <c r="L1664">
        <f>IMAGE("file:///E:/Estudios%20y%20certificaciones/ESTUDIOS%20DE%20PROGRAMMING/PROGRAMMING/PERSONAL/PYTHON/Image_Generator_API/imagenes/NAUTICA_CLASSICS_117004410_D96_1.jpg")</f>
        <v/>
      </c>
      <c r="M1664">
        <f>IMAGE("file:///E:/Estudios%20y%20certificaciones/ESTUDIOS%20DE%20PROGRAMMING/PROGRAMMING/PERSONAL/PYTHON/Image_Generator_API/imagenes/NAUTICA_CLASSICS_117004410_D96_2.jpg")</f>
        <v/>
      </c>
      <c r="N1664">
        <f>IMAGE("file:///E:/Estudios%20y%20certificaciones/ESTUDIOS%20DE%20PROGRAMMING/PROGRAMMING/PERSONAL/PYTHON/Image_Generator_API/imagenes/NAUTICA_CLASSICS_117004410_D96_3.jpg")</f>
        <v/>
      </c>
      <c r="O1664">
        <f>HYPERLINK("imagenes/NAUTICA_CLASSICS_117004410_D96_1.jpg","Ver imagen")</f>
        <v/>
      </c>
      <c r="P1664">
        <f>HYPERLINK("imagenes/NAUTICA_CLASSICS_117004410_D96_2.jpg","Ver imagen")</f>
        <v/>
      </c>
      <c r="Q1664">
        <f>HYPERLINK("imagenes/NAUTICA_CLASSICS_117004410_D96_3.jpg","Ver imagen")</f>
        <v/>
      </c>
    </row>
    <row r="1665">
      <c r="A1665" t="inlineStr">
        <is>
          <t>NAUTICA CLASSICS</t>
        </is>
      </c>
      <c r="B1665" t="inlineStr">
        <is>
          <t>117004410</t>
        </is>
      </c>
      <c r="C1665" t="inlineStr">
        <is>
          <t>LT WEIGHT PUFFER</t>
        </is>
      </c>
      <c r="D1665" t="inlineStr">
        <is>
          <t>D96</t>
        </is>
      </c>
      <c r="E1665" t="inlineStr">
        <is>
          <t>(en blanco)</t>
        </is>
      </c>
      <c r="F1665" t="inlineStr">
        <is>
          <t>(en blanco)</t>
        </is>
      </c>
      <c r="G1665" t="inlineStr">
        <is>
          <t>XS</t>
        </is>
      </c>
      <c r="H1665" t="n">
        <v>5</v>
      </c>
      <c r="I1665" t="inlineStr">
        <is>
          <t>NAUTICA_CLASSICS_117004410_D96_1.jpg</t>
        </is>
      </c>
      <c r="J1665" t="inlineStr">
        <is>
          <t>NAUTICA_CLASSICS_117004410_D96_2.jpg</t>
        </is>
      </c>
      <c r="K1665" t="inlineStr">
        <is>
          <t>NAUTICA_CLASSICS_117004410_D96_3.jpg</t>
        </is>
      </c>
      <c r="L1665">
        <f>IMAGE("file:///E:/Estudios%20y%20certificaciones/ESTUDIOS%20DE%20PROGRAMMING/PROGRAMMING/PERSONAL/PYTHON/Image_Generator_API/imagenes/NAUTICA_CLASSICS_117004410_D96_1.jpg")</f>
        <v/>
      </c>
      <c r="M1665">
        <f>IMAGE("file:///E:/Estudios%20y%20certificaciones/ESTUDIOS%20DE%20PROGRAMMING/PROGRAMMING/PERSONAL/PYTHON/Image_Generator_API/imagenes/NAUTICA_CLASSICS_117004410_D96_2.jpg")</f>
        <v/>
      </c>
      <c r="N1665">
        <f>IMAGE("file:///E:/Estudios%20y%20certificaciones/ESTUDIOS%20DE%20PROGRAMMING/PROGRAMMING/PERSONAL/PYTHON/Image_Generator_API/imagenes/NAUTICA_CLASSICS_117004410_D96_3.jpg")</f>
        <v/>
      </c>
      <c r="O1665">
        <f>HYPERLINK("imagenes/NAUTICA_CLASSICS_117004410_D96_1.jpg","Ver imagen")</f>
        <v/>
      </c>
      <c r="P1665">
        <f>HYPERLINK("imagenes/NAUTICA_CLASSICS_117004410_D96_2.jpg","Ver imagen")</f>
        <v/>
      </c>
      <c r="Q1665">
        <f>HYPERLINK("imagenes/NAUTICA_CLASSICS_117004410_D96_3.jpg","Ver imagen")</f>
        <v/>
      </c>
    </row>
    <row r="1666">
      <c r="A1666" t="inlineStr">
        <is>
          <t>NAUTICA CLASSICS</t>
        </is>
      </c>
      <c r="B1666" t="inlineStr">
        <is>
          <t>117004410</t>
        </is>
      </c>
      <c r="C1666" t="inlineStr">
        <is>
          <t>LT WEIGHT PUFFER</t>
        </is>
      </c>
      <c r="D1666" t="inlineStr">
        <is>
          <t>D96</t>
        </is>
      </c>
      <c r="E1666" t="inlineStr">
        <is>
          <t>(en blanco)</t>
        </is>
      </c>
      <c r="F1666" t="inlineStr">
        <is>
          <t>(en blanco)</t>
        </is>
      </c>
      <c r="G1666" t="inlineStr">
        <is>
          <t>S</t>
        </is>
      </c>
      <c r="H1666" t="n">
        <v>8</v>
      </c>
      <c r="I1666" t="inlineStr">
        <is>
          <t>NAUTICA_CLASSICS_117004410_D96_1.jpg</t>
        </is>
      </c>
      <c r="J1666" t="inlineStr">
        <is>
          <t>NAUTICA_CLASSICS_117004410_D96_2.jpg</t>
        </is>
      </c>
      <c r="K1666" t="inlineStr">
        <is>
          <t>NAUTICA_CLASSICS_117004410_D96_3.jpg</t>
        </is>
      </c>
      <c r="L1666">
        <f>IMAGE("file:///E:/Estudios%20y%20certificaciones/ESTUDIOS%20DE%20PROGRAMMING/PROGRAMMING/PERSONAL/PYTHON/Image_Generator_API/imagenes/NAUTICA_CLASSICS_117004410_D96_1.jpg")</f>
        <v/>
      </c>
      <c r="M1666">
        <f>IMAGE("file:///E:/Estudios%20y%20certificaciones/ESTUDIOS%20DE%20PROGRAMMING/PROGRAMMING/PERSONAL/PYTHON/Image_Generator_API/imagenes/NAUTICA_CLASSICS_117004410_D96_2.jpg")</f>
        <v/>
      </c>
      <c r="N1666">
        <f>IMAGE("file:///E:/Estudios%20y%20certificaciones/ESTUDIOS%20DE%20PROGRAMMING/PROGRAMMING/PERSONAL/PYTHON/Image_Generator_API/imagenes/NAUTICA_CLASSICS_117004410_D96_3.jpg")</f>
        <v/>
      </c>
      <c r="O1666">
        <f>HYPERLINK("imagenes/NAUTICA_CLASSICS_117004410_D96_1.jpg","Ver imagen")</f>
        <v/>
      </c>
      <c r="P1666">
        <f>HYPERLINK("imagenes/NAUTICA_CLASSICS_117004410_D96_2.jpg","Ver imagen")</f>
        <v/>
      </c>
      <c r="Q1666">
        <f>HYPERLINK("imagenes/NAUTICA_CLASSICS_117004410_D96_3.jpg","Ver imagen")</f>
        <v/>
      </c>
    </row>
    <row r="1667">
      <c r="A1667" t="inlineStr">
        <is>
          <t>NAUTICA CLASSICS</t>
        </is>
      </c>
      <c r="B1667" t="inlineStr">
        <is>
          <t>117004410</t>
        </is>
      </c>
      <c r="C1667" t="inlineStr">
        <is>
          <t>LT WEIGHT PUFFER</t>
        </is>
      </c>
      <c r="D1667" t="inlineStr">
        <is>
          <t>D96</t>
        </is>
      </c>
      <c r="E1667" t="inlineStr">
        <is>
          <t>(en blanco)</t>
        </is>
      </c>
      <c r="F1667" t="inlineStr">
        <is>
          <t>(en blanco)</t>
        </is>
      </c>
      <c r="G1667" t="inlineStr">
        <is>
          <t>M</t>
        </is>
      </c>
      <c r="H1667" t="n">
        <v>6</v>
      </c>
      <c r="I1667" t="inlineStr">
        <is>
          <t>NAUTICA_CLASSICS_117004410_D96_1.jpg</t>
        </is>
      </c>
      <c r="J1667" t="inlineStr">
        <is>
          <t>NAUTICA_CLASSICS_117004410_D96_2.jpg</t>
        </is>
      </c>
      <c r="K1667" t="inlineStr">
        <is>
          <t>NAUTICA_CLASSICS_117004410_D96_3.jpg</t>
        </is>
      </c>
      <c r="L1667">
        <f>IMAGE("file:///E:/Estudios%20y%20certificaciones/ESTUDIOS%20DE%20PROGRAMMING/PROGRAMMING/PERSONAL/PYTHON/Image_Generator_API/imagenes/NAUTICA_CLASSICS_117004410_D96_1.jpg")</f>
        <v/>
      </c>
      <c r="M1667">
        <f>IMAGE("file:///E:/Estudios%20y%20certificaciones/ESTUDIOS%20DE%20PROGRAMMING/PROGRAMMING/PERSONAL/PYTHON/Image_Generator_API/imagenes/NAUTICA_CLASSICS_117004410_D96_2.jpg")</f>
        <v/>
      </c>
      <c r="N1667">
        <f>IMAGE("file:///E:/Estudios%20y%20certificaciones/ESTUDIOS%20DE%20PROGRAMMING/PROGRAMMING/PERSONAL/PYTHON/Image_Generator_API/imagenes/NAUTICA_CLASSICS_117004410_D96_3.jpg")</f>
        <v/>
      </c>
      <c r="O1667">
        <f>HYPERLINK("imagenes/NAUTICA_CLASSICS_117004410_D96_1.jpg","Ver imagen")</f>
        <v/>
      </c>
      <c r="P1667">
        <f>HYPERLINK("imagenes/NAUTICA_CLASSICS_117004410_D96_2.jpg","Ver imagen")</f>
        <v/>
      </c>
      <c r="Q1667">
        <f>HYPERLINK("imagenes/NAUTICA_CLASSICS_117004410_D96_3.jpg","Ver imagen")</f>
        <v/>
      </c>
    </row>
    <row r="1668">
      <c r="A1668" t="inlineStr">
        <is>
          <t>NAUTICA CLASSICS</t>
        </is>
      </c>
      <c r="B1668" t="inlineStr">
        <is>
          <t>117004410</t>
        </is>
      </c>
      <c r="C1668" t="inlineStr">
        <is>
          <t>LT WEIGHT PUFFER</t>
        </is>
      </c>
      <c r="D1668" t="inlineStr">
        <is>
          <t>D96</t>
        </is>
      </c>
      <c r="E1668" t="inlineStr">
        <is>
          <t>(en blanco)</t>
        </is>
      </c>
      <c r="F1668" t="inlineStr">
        <is>
          <t>(en blanco)</t>
        </is>
      </c>
      <c r="G1668" t="inlineStr">
        <is>
          <t>L</t>
        </is>
      </c>
      <c r="H1668" t="n">
        <v>7</v>
      </c>
      <c r="I1668" t="inlineStr">
        <is>
          <t>NAUTICA_CLASSICS_117004410_D96_1.jpg</t>
        </is>
      </c>
      <c r="J1668" t="inlineStr">
        <is>
          <t>NAUTICA_CLASSICS_117004410_D96_2.jpg</t>
        </is>
      </c>
      <c r="K1668" t="inlineStr">
        <is>
          <t>NAUTICA_CLASSICS_117004410_D96_3.jpg</t>
        </is>
      </c>
      <c r="L1668">
        <f>IMAGE("file:///E:/Estudios%20y%20certificaciones/ESTUDIOS%20DE%20PROGRAMMING/PROGRAMMING/PERSONAL/PYTHON/Image_Generator_API/imagenes/NAUTICA_CLASSICS_117004410_D96_1.jpg")</f>
        <v/>
      </c>
      <c r="M1668">
        <f>IMAGE("file:///E:/Estudios%20y%20certificaciones/ESTUDIOS%20DE%20PROGRAMMING/PROGRAMMING/PERSONAL/PYTHON/Image_Generator_API/imagenes/NAUTICA_CLASSICS_117004410_D96_2.jpg")</f>
        <v/>
      </c>
      <c r="N1668">
        <f>IMAGE("file:///E:/Estudios%20y%20certificaciones/ESTUDIOS%20DE%20PROGRAMMING/PROGRAMMING/PERSONAL/PYTHON/Image_Generator_API/imagenes/NAUTICA_CLASSICS_117004410_D96_3.jpg")</f>
        <v/>
      </c>
      <c r="O1668">
        <f>HYPERLINK("imagenes/NAUTICA_CLASSICS_117004410_D96_1.jpg","Ver imagen")</f>
        <v/>
      </c>
      <c r="P1668">
        <f>HYPERLINK("imagenes/NAUTICA_CLASSICS_117004410_D96_2.jpg","Ver imagen")</f>
        <v/>
      </c>
      <c r="Q1668">
        <f>HYPERLINK("imagenes/NAUTICA_CLASSICS_117004410_D96_3.jpg","Ver imagen")</f>
        <v/>
      </c>
    </row>
    <row r="1669">
      <c r="A1669" t="inlineStr">
        <is>
          <t>NAUTICA CLASSICS</t>
        </is>
      </c>
      <c r="B1669" t="inlineStr">
        <is>
          <t>117004410</t>
        </is>
      </c>
      <c r="C1669" t="inlineStr">
        <is>
          <t>LT WEIGHT PUFFER</t>
        </is>
      </c>
      <c r="D1669" t="inlineStr">
        <is>
          <t>D96</t>
        </is>
      </c>
      <c r="E1669" t="inlineStr">
        <is>
          <t>(en blanco)</t>
        </is>
      </c>
      <c r="F1669" t="inlineStr">
        <is>
          <t>(en blanco)</t>
        </is>
      </c>
      <c r="G1669" t="inlineStr">
        <is>
          <t>XL</t>
        </is>
      </c>
      <c r="H1669" t="n">
        <v>4</v>
      </c>
      <c r="I1669" t="inlineStr">
        <is>
          <t>NAUTICA_CLASSICS_117004410_D96_1.jpg</t>
        </is>
      </c>
      <c r="J1669" t="inlineStr">
        <is>
          <t>NAUTICA_CLASSICS_117004410_D96_2.jpg</t>
        </is>
      </c>
      <c r="K1669" t="inlineStr">
        <is>
          <t>NAUTICA_CLASSICS_117004410_D96_3.jpg</t>
        </is>
      </c>
      <c r="L1669">
        <f>IMAGE("file:///E:/Estudios%20y%20certificaciones/ESTUDIOS%20DE%20PROGRAMMING/PROGRAMMING/PERSONAL/PYTHON/Image_Generator_API/imagenes/NAUTICA_CLASSICS_117004410_D96_1.jpg")</f>
        <v/>
      </c>
      <c r="M1669">
        <f>IMAGE("file:///E:/Estudios%20y%20certificaciones/ESTUDIOS%20DE%20PROGRAMMING/PROGRAMMING/PERSONAL/PYTHON/Image_Generator_API/imagenes/NAUTICA_CLASSICS_117004410_D96_2.jpg")</f>
        <v/>
      </c>
      <c r="N1669">
        <f>IMAGE("file:///E:/Estudios%20y%20certificaciones/ESTUDIOS%20DE%20PROGRAMMING/PROGRAMMING/PERSONAL/PYTHON/Image_Generator_API/imagenes/NAUTICA_CLASSICS_117004410_D96_3.jpg")</f>
        <v/>
      </c>
      <c r="O1669">
        <f>HYPERLINK("imagenes/NAUTICA_CLASSICS_117004410_D96_1.jpg","Ver imagen")</f>
        <v/>
      </c>
      <c r="P1669">
        <f>HYPERLINK("imagenes/NAUTICA_CLASSICS_117004410_D96_2.jpg","Ver imagen")</f>
        <v/>
      </c>
      <c r="Q1669">
        <f>HYPERLINK("imagenes/NAUTICA_CLASSICS_117004410_D96_3.jpg","Ver imagen")</f>
        <v/>
      </c>
    </row>
    <row r="1670">
      <c r="A1670" t="inlineStr">
        <is>
          <t>NAUTICA CLASSICS</t>
        </is>
      </c>
      <c r="B1670" t="inlineStr">
        <is>
          <t>117004417</t>
        </is>
      </c>
      <c r="C1670" t="inlineStr">
        <is>
          <t>SOFTSHELL JKT</t>
        </is>
      </c>
      <c r="D1670" t="inlineStr">
        <is>
          <t>LMS</t>
        </is>
      </c>
      <c r="E1670" t="inlineStr">
        <is>
          <t>(en blanco)</t>
        </is>
      </c>
      <c r="F1670" t="inlineStr">
        <is>
          <t>(en blanco)</t>
        </is>
      </c>
      <c r="G1670" t="inlineStr">
        <is>
          <t>L</t>
        </is>
      </c>
      <c r="H1670" t="n">
        <v>2</v>
      </c>
      <c r="I1670" t="inlineStr">
        <is>
          <t>NAUTICA_CLASSICS_117004417_LMS_1.jpg</t>
        </is>
      </c>
      <c r="J1670" t="inlineStr">
        <is>
          <t>NAUTICA_CLASSICS_117004417_LMS_2.jpg</t>
        </is>
      </c>
      <c r="K1670" t="inlineStr">
        <is>
          <t>NAUTICA_CLASSICS_117004417_LMS_3.jpg</t>
        </is>
      </c>
      <c r="L1670">
        <f>IMAGE("file:///E:/Estudios%20y%20certificaciones/ESTUDIOS%20DE%20PROGRAMMING/PROGRAMMING/PERSONAL/PYTHON/Image_Generator_API/imagenes/NAUTICA_CLASSICS_117004417_LMS_1.jpg")</f>
        <v/>
      </c>
      <c r="M1670">
        <f>IMAGE("file:///E:/Estudios%20y%20certificaciones/ESTUDIOS%20DE%20PROGRAMMING/PROGRAMMING/PERSONAL/PYTHON/Image_Generator_API/imagenes/NAUTICA_CLASSICS_117004417_LMS_2.jpg")</f>
        <v/>
      </c>
      <c r="N1670">
        <f>IMAGE("file:///E:/Estudios%20y%20certificaciones/ESTUDIOS%20DE%20PROGRAMMING/PROGRAMMING/PERSONAL/PYTHON/Image_Generator_API/imagenes/NAUTICA_CLASSICS_117004417_LMS_3.jpg")</f>
        <v/>
      </c>
      <c r="O1670">
        <f>HYPERLINK("imagenes/NAUTICA_CLASSICS_117004417_LMS_1.jpg","Ver imagen")</f>
        <v/>
      </c>
      <c r="P1670">
        <f>HYPERLINK("imagenes/NAUTICA_CLASSICS_117004417_LMS_2.jpg","Ver imagen")</f>
        <v/>
      </c>
      <c r="Q1670">
        <f>HYPERLINK("imagenes/NAUTICA_CLASSICS_117004417_LMS_3.jpg","Ver imagen")</f>
        <v/>
      </c>
    </row>
    <row r="1671">
      <c r="A1671" t="inlineStr">
        <is>
          <t>NAUTICA CLASSICS</t>
        </is>
      </c>
      <c r="B1671" t="inlineStr">
        <is>
          <t>117004417</t>
        </is>
      </c>
      <c r="C1671" t="inlineStr">
        <is>
          <t>SOFTSHELL JKT</t>
        </is>
      </c>
      <c r="D1671" t="inlineStr">
        <is>
          <t>LMS</t>
        </is>
      </c>
      <c r="E1671" t="inlineStr">
        <is>
          <t>(en blanco)</t>
        </is>
      </c>
      <c r="F1671" t="inlineStr">
        <is>
          <t>(en blanco)</t>
        </is>
      </c>
      <c r="G1671" t="inlineStr">
        <is>
          <t>XL</t>
        </is>
      </c>
      <c r="H1671" t="n">
        <v>1</v>
      </c>
      <c r="I1671" t="inlineStr">
        <is>
          <t>NAUTICA_CLASSICS_117004417_LMS_1.jpg</t>
        </is>
      </c>
      <c r="J1671" t="inlineStr">
        <is>
          <t>NAUTICA_CLASSICS_117004417_LMS_2.jpg</t>
        </is>
      </c>
      <c r="K1671" t="inlineStr">
        <is>
          <t>NAUTICA_CLASSICS_117004417_LMS_3.jpg</t>
        </is>
      </c>
      <c r="L1671">
        <f>IMAGE("file:///E:/Estudios%20y%20certificaciones/ESTUDIOS%20DE%20PROGRAMMING/PROGRAMMING/PERSONAL/PYTHON/Image_Generator_API/imagenes/NAUTICA_CLASSICS_117004417_LMS_1.jpg")</f>
        <v/>
      </c>
      <c r="M1671">
        <f>IMAGE("file:///E:/Estudios%20y%20certificaciones/ESTUDIOS%20DE%20PROGRAMMING/PROGRAMMING/PERSONAL/PYTHON/Image_Generator_API/imagenes/NAUTICA_CLASSICS_117004417_LMS_2.jpg")</f>
        <v/>
      </c>
      <c r="N1671">
        <f>IMAGE("file:///E:/Estudios%20y%20certificaciones/ESTUDIOS%20DE%20PROGRAMMING/PROGRAMMING/PERSONAL/PYTHON/Image_Generator_API/imagenes/NAUTICA_CLASSICS_117004417_LMS_3.jpg")</f>
        <v/>
      </c>
      <c r="O1671">
        <f>HYPERLINK("imagenes/NAUTICA_CLASSICS_117004417_LMS_1.jpg","Ver imagen")</f>
        <v/>
      </c>
      <c r="P1671">
        <f>HYPERLINK("imagenes/NAUTICA_CLASSICS_117004417_LMS_2.jpg","Ver imagen")</f>
        <v/>
      </c>
      <c r="Q1671">
        <f>HYPERLINK("imagenes/NAUTICA_CLASSICS_117004417_LMS_3.jpg","Ver imagen")</f>
        <v/>
      </c>
    </row>
    <row r="1672">
      <c r="A1672" t="inlineStr">
        <is>
          <t>NAUTICA CLASSICS</t>
        </is>
      </c>
      <c r="B1672" t="inlineStr">
        <is>
          <t>117004554</t>
        </is>
      </c>
      <c r="C1672" t="inlineStr">
        <is>
          <t>BONDED RAIN WITH BIB</t>
        </is>
      </c>
      <c r="D1672" t="inlineStr">
        <is>
          <t>BLK</t>
        </is>
      </c>
      <c r="E1672" t="inlineStr">
        <is>
          <t>05A05</t>
        </is>
      </c>
      <c r="F1672" t="inlineStr">
        <is>
          <t>(en blanco)</t>
        </is>
      </c>
      <c r="G1672" t="inlineStr">
        <is>
          <t>PPK</t>
        </is>
      </c>
      <c r="H1672" t="n">
        <v>8</v>
      </c>
      <c r="I1672" t="inlineStr">
        <is>
          <t>NAUTICA_CLASSICS_117004554_BLK_1.jpg</t>
        </is>
      </c>
      <c r="J1672" t="inlineStr">
        <is>
          <t>NAUTICA_CLASSICS_117004554_BLK_2.jpg</t>
        </is>
      </c>
      <c r="K1672" t="inlineStr">
        <is>
          <t>NAUTICA_CLASSICS_117004554_BLK_3.jpg</t>
        </is>
      </c>
      <c r="L1672">
        <f>IMAGE("file:///E:/Estudios%20y%20certificaciones/ESTUDIOS%20DE%20PROGRAMMING/PROGRAMMING/PERSONAL/PYTHON/Image_Generator_API/imagenes/NAUTICA_CLASSICS_117004554_BLK_1.jpg")</f>
        <v/>
      </c>
      <c r="M1672">
        <f>IMAGE("file:///E:/Estudios%20y%20certificaciones/ESTUDIOS%20DE%20PROGRAMMING/PROGRAMMING/PERSONAL/PYTHON/Image_Generator_API/imagenes/NAUTICA_CLASSICS_117004554_BLK_2.jpg")</f>
        <v/>
      </c>
      <c r="N1672">
        <f>IMAGE("file:///E:/Estudios%20y%20certificaciones/ESTUDIOS%20DE%20PROGRAMMING/PROGRAMMING/PERSONAL/PYTHON/Image_Generator_API/imagenes/NAUTICA_CLASSICS_117004554_BLK_3.jpg")</f>
        <v/>
      </c>
      <c r="O1672">
        <f>HYPERLINK("imagenes/NAUTICA_CLASSICS_117004554_BLK_1.jpg","Ver imagen")</f>
        <v/>
      </c>
      <c r="P1672">
        <f>HYPERLINK("imagenes/NAUTICA_CLASSICS_117004554_BLK_2.jpg","Ver imagen")</f>
        <v/>
      </c>
      <c r="Q1672">
        <f>HYPERLINK("imagenes/NAUTICA_CLASSICS_117004554_BLK_3.jpg","Ver imagen")</f>
        <v/>
      </c>
    </row>
    <row r="1673">
      <c r="A1673" t="inlineStr">
        <is>
          <t>NAUTICA CLASSICS</t>
        </is>
      </c>
      <c r="B1673" t="inlineStr">
        <is>
          <t>117004554</t>
        </is>
      </c>
      <c r="C1673" t="inlineStr">
        <is>
          <t>BONDED RAIN WITH BIB</t>
        </is>
      </c>
      <c r="D1673" t="inlineStr">
        <is>
          <t>BLK</t>
        </is>
      </c>
      <c r="E1673" t="inlineStr">
        <is>
          <t>(en blanco)</t>
        </is>
      </c>
      <c r="F1673" t="inlineStr">
        <is>
          <t>(en blanco)</t>
        </is>
      </c>
      <c r="G1673" t="inlineStr">
        <is>
          <t>XS</t>
        </is>
      </c>
      <c r="H1673" t="n">
        <v>206</v>
      </c>
      <c r="I1673" t="inlineStr">
        <is>
          <t>NAUTICA_CLASSICS_117004554_BLK_1.jpg</t>
        </is>
      </c>
      <c r="J1673" t="inlineStr">
        <is>
          <t>NAUTICA_CLASSICS_117004554_BLK_2.jpg</t>
        </is>
      </c>
      <c r="K1673" t="inlineStr">
        <is>
          <t>NAUTICA_CLASSICS_117004554_BLK_3.jpg</t>
        </is>
      </c>
      <c r="L1673">
        <f>IMAGE("file:///E:/Estudios%20y%20certificaciones/ESTUDIOS%20DE%20PROGRAMMING/PROGRAMMING/PERSONAL/PYTHON/Image_Generator_API/imagenes/NAUTICA_CLASSICS_117004554_BLK_1.jpg")</f>
        <v/>
      </c>
      <c r="M1673">
        <f>IMAGE("file:///E:/Estudios%20y%20certificaciones/ESTUDIOS%20DE%20PROGRAMMING/PROGRAMMING/PERSONAL/PYTHON/Image_Generator_API/imagenes/NAUTICA_CLASSICS_117004554_BLK_2.jpg")</f>
        <v/>
      </c>
      <c r="N1673">
        <f>IMAGE("file:///E:/Estudios%20y%20certificaciones/ESTUDIOS%20DE%20PROGRAMMING/PROGRAMMING/PERSONAL/PYTHON/Image_Generator_API/imagenes/NAUTICA_CLASSICS_117004554_BLK_3.jpg")</f>
        <v/>
      </c>
      <c r="O1673">
        <f>HYPERLINK("imagenes/NAUTICA_CLASSICS_117004554_BLK_1.jpg","Ver imagen")</f>
        <v/>
      </c>
      <c r="P1673">
        <f>HYPERLINK("imagenes/NAUTICA_CLASSICS_117004554_BLK_2.jpg","Ver imagen")</f>
        <v/>
      </c>
      <c r="Q1673">
        <f>HYPERLINK("imagenes/NAUTICA_CLASSICS_117004554_BLK_3.jpg","Ver imagen")</f>
        <v/>
      </c>
    </row>
    <row r="1674">
      <c r="A1674" t="inlineStr">
        <is>
          <t>NAUTICA CLASSICS</t>
        </is>
      </c>
      <c r="B1674" t="inlineStr">
        <is>
          <t>117004554</t>
        </is>
      </c>
      <c r="C1674" t="inlineStr">
        <is>
          <t>BONDED RAIN WITH BIB</t>
        </is>
      </c>
      <c r="D1674" t="inlineStr">
        <is>
          <t>BLK</t>
        </is>
      </c>
      <c r="E1674" t="inlineStr">
        <is>
          <t>(en blanco)</t>
        </is>
      </c>
      <c r="F1674" t="inlineStr">
        <is>
          <t>(en blanco)</t>
        </is>
      </c>
      <c r="G1674" t="inlineStr">
        <is>
          <t>S</t>
        </is>
      </c>
      <c r="H1674" t="n">
        <v>166</v>
      </c>
      <c r="I1674" t="inlineStr">
        <is>
          <t>NAUTICA_CLASSICS_117004554_BLK_1.jpg</t>
        </is>
      </c>
      <c r="J1674" t="inlineStr">
        <is>
          <t>NAUTICA_CLASSICS_117004554_BLK_2.jpg</t>
        </is>
      </c>
      <c r="K1674" t="inlineStr">
        <is>
          <t>NAUTICA_CLASSICS_117004554_BLK_3.jpg</t>
        </is>
      </c>
      <c r="L1674">
        <f>IMAGE("file:///E:/Estudios%20y%20certificaciones/ESTUDIOS%20DE%20PROGRAMMING/PROGRAMMING/PERSONAL/PYTHON/Image_Generator_API/imagenes/NAUTICA_CLASSICS_117004554_BLK_1.jpg")</f>
        <v/>
      </c>
      <c r="M1674">
        <f>IMAGE("file:///E:/Estudios%20y%20certificaciones/ESTUDIOS%20DE%20PROGRAMMING/PROGRAMMING/PERSONAL/PYTHON/Image_Generator_API/imagenes/NAUTICA_CLASSICS_117004554_BLK_2.jpg")</f>
        <v/>
      </c>
      <c r="N1674">
        <f>IMAGE("file:///E:/Estudios%20y%20certificaciones/ESTUDIOS%20DE%20PROGRAMMING/PROGRAMMING/PERSONAL/PYTHON/Image_Generator_API/imagenes/NAUTICA_CLASSICS_117004554_BLK_3.jpg")</f>
        <v/>
      </c>
      <c r="O1674">
        <f>HYPERLINK("imagenes/NAUTICA_CLASSICS_117004554_BLK_1.jpg","Ver imagen")</f>
        <v/>
      </c>
      <c r="P1674">
        <f>HYPERLINK("imagenes/NAUTICA_CLASSICS_117004554_BLK_2.jpg","Ver imagen")</f>
        <v/>
      </c>
      <c r="Q1674">
        <f>HYPERLINK("imagenes/NAUTICA_CLASSICS_117004554_BLK_3.jpg","Ver imagen")</f>
        <v/>
      </c>
    </row>
    <row r="1675">
      <c r="A1675" t="inlineStr">
        <is>
          <t>NAUTICA CLASSICS</t>
        </is>
      </c>
      <c r="B1675" t="inlineStr">
        <is>
          <t>117004554</t>
        </is>
      </c>
      <c r="C1675" t="inlineStr">
        <is>
          <t>BONDED RAIN WITH BIB</t>
        </is>
      </c>
      <c r="D1675" t="inlineStr">
        <is>
          <t>BLK</t>
        </is>
      </c>
      <c r="E1675" t="inlineStr">
        <is>
          <t>(en blanco)</t>
        </is>
      </c>
      <c r="F1675" t="inlineStr">
        <is>
          <t>(en blanco)</t>
        </is>
      </c>
      <c r="G1675" t="inlineStr">
        <is>
          <t>M</t>
        </is>
      </c>
      <c r="H1675" t="n">
        <v>30</v>
      </c>
      <c r="I1675" t="inlineStr">
        <is>
          <t>NAUTICA_CLASSICS_117004554_BLK_1.jpg</t>
        </is>
      </c>
      <c r="J1675" t="inlineStr">
        <is>
          <t>NAUTICA_CLASSICS_117004554_BLK_2.jpg</t>
        </is>
      </c>
      <c r="K1675" t="inlineStr">
        <is>
          <t>NAUTICA_CLASSICS_117004554_BLK_3.jpg</t>
        </is>
      </c>
      <c r="L1675">
        <f>IMAGE("file:///E:/Estudios%20y%20certificaciones/ESTUDIOS%20DE%20PROGRAMMING/PROGRAMMING/PERSONAL/PYTHON/Image_Generator_API/imagenes/NAUTICA_CLASSICS_117004554_BLK_1.jpg")</f>
        <v/>
      </c>
      <c r="M1675">
        <f>IMAGE("file:///E:/Estudios%20y%20certificaciones/ESTUDIOS%20DE%20PROGRAMMING/PROGRAMMING/PERSONAL/PYTHON/Image_Generator_API/imagenes/NAUTICA_CLASSICS_117004554_BLK_2.jpg")</f>
        <v/>
      </c>
      <c r="N1675">
        <f>IMAGE("file:///E:/Estudios%20y%20certificaciones/ESTUDIOS%20DE%20PROGRAMMING/PROGRAMMING/PERSONAL/PYTHON/Image_Generator_API/imagenes/NAUTICA_CLASSICS_117004554_BLK_3.jpg")</f>
        <v/>
      </c>
      <c r="O1675">
        <f>HYPERLINK("imagenes/NAUTICA_CLASSICS_117004554_BLK_1.jpg","Ver imagen")</f>
        <v/>
      </c>
      <c r="P1675">
        <f>HYPERLINK("imagenes/NAUTICA_CLASSICS_117004554_BLK_2.jpg","Ver imagen")</f>
        <v/>
      </c>
      <c r="Q1675">
        <f>HYPERLINK("imagenes/NAUTICA_CLASSICS_117004554_BLK_3.jpg","Ver imagen")</f>
        <v/>
      </c>
    </row>
    <row r="1676">
      <c r="A1676" t="inlineStr">
        <is>
          <t>NAUTICA CLASSICS</t>
        </is>
      </c>
      <c r="B1676" t="inlineStr">
        <is>
          <t>117004554</t>
        </is>
      </c>
      <c r="C1676" t="inlineStr">
        <is>
          <t>BONDED RAIN WITH BIB</t>
        </is>
      </c>
      <c r="D1676" t="inlineStr">
        <is>
          <t>BLK</t>
        </is>
      </c>
      <c r="E1676" t="inlineStr">
        <is>
          <t>(en blanco)</t>
        </is>
      </c>
      <c r="F1676" t="inlineStr">
        <is>
          <t>(en blanco)</t>
        </is>
      </c>
      <c r="G1676" t="inlineStr">
        <is>
          <t>L</t>
        </is>
      </c>
      <c r="H1676" t="n">
        <v>86</v>
      </c>
      <c r="I1676" t="inlineStr">
        <is>
          <t>NAUTICA_CLASSICS_117004554_BLK_1.jpg</t>
        </is>
      </c>
      <c r="J1676" t="inlineStr">
        <is>
          <t>NAUTICA_CLASSICS_117004554_BLK_2.jpg</t>
        </is>
      </c>
      <c r="K1676" t="inlineStr">
        <is>
          <t>NAUTICA_CLASSICS_117004554_BLK_3.jpg</t>
        </is>
      </c>
      <c r="L1676">
        <f>IMAGE("file:///E:/Estudios%20y%20certificaciones/ESTUDIOS%20DE%20PROGRAMMING/PROGRAMMING/PERSONAL/PYTHON/Image_Generator_API/imagenes/NAUTICA_CLASSICS_117004554_BLK_1.jpg")</f>
        <v/>
      </c>
      <c r="M1676">
        <f>IMAGE("file:///E:/Estudios%20y%20certificaciones/ESTUDIOS%20DE%20PROGRAMMING/PROGRAMMING/PERSONAL/PYTHON/Image_Generator_API/imagenes/NAUTICA_CLASSICS_117004554_BLK_2.jpg")</f>
        <v/>
      </c>
      <c r="N1676">
        <f>IMAGE("file:///E:/Estudios%20y%20certificaciones/ESTUDIOS%20DE%20PROGRAMMING/PROGRAMMING/PERSONAL/PYTHON/Image_Generator_API/imagenes/NAUTICA_CLASSICS_117004554_BLK_3.jpg")</f>
        <v/>
      </c>
      <c r="O1676">
        <f>HYPERLINK("imagenes/NAUTICA_CLASSICS_117004554_BLK_1.jpg","Ver imagen")</f>
        <v/>
      </c>
      <c r="P1676">
        <f>HYPERLINK("imagenes/NAUTICA_CLASSICS_117004554_BLK_2.jpg","Ver imagen")</f>
        <v/>
      </c>
      <c r="Q1676">
        <f>HYPERLINK("imagenes/NAUTICA_CLASSICS_117004554_BLK_3.jpg","Ver imagen")</f>
        <v/>
      </c>
    </row>
    <row r="1677">
      <c r="A1677" t="inlineStr">
        <is>
          <t>NAUTICA CLASSICS</t>
        </is>
      </c>
      <c r="B1677" t="inlineStr">
        <is>
          <t>117004554</t>
        </is>
      </c>
      <c r="C1677" t="inlineStr">
        <is>
          <t>BONDED RAIN WITH BIB</t>
        </is>
      </c>
      <c r="D1677" t="inlineStr">
        <is>
          <t>LMS</t>
        </is>
      </c>
      <c r="E1677" t="inlineStr">
        <is>
          <t>(en blanco)</t>
        </is>
      </c>
      <c r="F1677" t="inlineStr">
        <is>
          <t>(en blanco)</t>
        </is>
      </c>
      <c r="G1677" t="inlineStr">
        <is>
          <t>XS</t>
        </is>
      </c>
      <c r="H1677" t="n">
        <v>78</v>
      </c>
      <c r="I1677" t="inlineStr">
        <is>
          <t>NAUTICA_CLASSICS_117004554_LMS_1.jpg</t>
        </is>
      </c>
      <c r="J1677" t="inlineStr">
        <is>
          <t>NAUTICA_CLASSICS_117004554_LMS_2.jpg</t>
        </is>
      </c>
      <c r="K1677" t="inlineStr">
        <is>
          <t>NAUTICA_CLASSICS_117004554_LMS_3.jpg</t>
        </is>
      </c>
      <c r="L1677">
        <f>IMAGE("file:///E:/Estudios%20y%20certificaciones/ESTUDIOS%20DE%20PROGRAMMING/PROGRAMMING/PERSONAL/PYTHON/Image_Generator_API/imagenes/NAUTICA_CLASSICS_117004554_LMS_1.jpg")</f>
        <v/>
      </c>
      <c r="M1677">
        <f>IMAGE("file:///E:/Estudios%20y%20certificaciones/ESTUDIOS%20DE%20PROGRAMMING/PROGRAMMING/PERSONAL/PYTHON/Image_Generator_API/imagenes/NAUTICA_CLASSICS_117004554_LMS_2.jpg")</f>
        <v/>
      </c>
      <c r="N1677">
        <f>IMAGE("file:///E:/Estudios%20y%20certificaciones/ESTUDIOS%20DE%20PROGRAMMING/PROGRAMMING/PERSONAL/PYTHON/Image_Generator_API/imagenes/NAUTICA_CLASSICS_117004554_LMS_3.jpg")</f>
        <v/>
      </c>
      <c r="O1677">
        <f>HYPERLINK("imagenes/NAUTICA_CLASSICS_117004554_LMS_1.jpg","Ver imagen")</f>
        <v/>
      </c>
      <c r="P1677">
        <f>HYPERLINK("imagenes/NAUTICA_CLASSICS_117004554_LMS_2.jpg","Ver imagen")</f>
        <v/>
      </c>
      <c r="Q1677">
        <f>HYPERLINK("imagenes/NAUTICA_CLASSICS_117004554_LMS_3.jpg","Ver imagen")</f>
        <v/>
      </c>
    </row>
    <row r="1678">
      <c r="A1678" t="inlineStr">
        <is>
          <t>NAUTICA CLASSICS</t>
        </is>
      </c>
      <c r="B1678" t="inlineStr">
        <is>
          <t>117004554</t>
        </is>
      </c>
      <c r="C1678" t="inlineStr">
        <is>
          <t>BONDED RAIN WITH BIB</t>
        </is>
      </c>
      <c r="D1678" t="inlineStr">
        <is>
          <t>LMS</t>
        </is>
      </c>
      <c r="E1678" t="inlineStr">
        <is>
          <t>(en blanco)</t>
        </is>
      </c>
      <c r="F1678" t="inlineStr">
        <is>
          <t>(en blanco)</t>
        </is>
      </c>
      <c r="G1678" t="inlineStr">
        <is>
          <t>S</t>
        </is>
      </c>
      <c r="H1678" t="n">
        <v>121</v>
      </c>
      <c r="I1678" t="inlineStr">
        <is>
          <t>NAUTICA_CLASSICS_117004554_LMS_1.jpg</t>
        </is>
      </c>
      <c r="J1678" t="inlineStr">
        <is>
          <t>NAUTICA_CLASSICS_117004554_LMS_2.jpg</t>
        </is>
      </c>
      <c r="K1678" t="inlineStr">
        <is>
          <t>NAUTICA_CLASSICS_117004554_LMS_3.jpg</t>
        </is>
      </c>
      <c r="L1678">
        <f>IMAGE("file:///E:/Estudios%20y%20certificaciones/ESTUDIOS%20DE%20PROGRAMMING/PROGRAMMING/PERSONAL/PYTHON/Image_Generator_API/imagenes/NAUTICA_CLASSICS_117004554_LMS_1.jpg")</f>
        <v/>
      </c>
      <c r="M1678">
        <f>IMAGE("file:///E:/Estudios%20y%20certificaciones/ESTUDIOS%20DE%20PROGRAMMING/PROGRAMMING/PERSONAL/PYTHON/Image_Generator_API/imagenes/NAUTICA_CLASSICS_117004554_LMS_2.jpg")</f>
        <v/>
      </c>
      <c r="N1678">
        <f>IMAGE("file:///E:/Estudios%20y%20certificaciones/ESTUDIOS%20DE%20PROGRAMMING/PROGRAMMING/PERSONAL/PYTHON/Image_Generator_API/imagenes/NAUTICA_CLASSICS_117004554_LMS_3.jpg")</f>
        <v/>
      </c>
      <c r="O1678">
        <f>HYPERLINK("imagenes/NAUTICA_CLASSICS_117004554_LMS_1.jpg","Ver imagen")</f>
        <v/>
      </c>
      <c r="P1678">
        <f>HYPERLINK("imagenes/NAUTICA_CLASSICS_117004554_LMS_2.jpg","Ver imagen")</f>
        <v/>
      </c>
      <c r="Q1678">
        <f>HYPERLINK("imagenes/NAUTICA_CLASSICS_117004554_LMS_3.jpg","Ver imagen")</f>
        <v/>
      </c>
    </row>
    <row r="1679">
      <c r="A1679" t="inlineStr">
        <is>
          <t>NAUTICA CLASSICS</t>
        </is>
      </c>
      <c r="B1679" t="inlineStr">
        <is>
          <t>117004554</t>
        </is>
      </c>
      <c r="C1679" t="inlineStr">
        <is>
          <t>BONDED RAIN WITH BIB</t>
        </is>
      </c>
      <c r="D1679" t="inlineStr">
        <is>
          <t>LMS</t>
        </is>
      </c>
      <c r="E1679" t="inlineStr">
        <is>
          <t>(en blanco)</t>
        </is>
      </c>
      <c r="F1679" t="inlineStr">
        <is>
          <t>(en blanco)</t>
        </is>
      </c>
      <c r="G1679" t="inlineStr">
        <is>
          <t>M</t>
        </is>
      </c>
      <c r="H1679" t="n">
        <v>99</v>
      </c>
      <c r="I1679" t="inlineStr">
        <is>
          <t>NAUTICA_CLASSICS_117004554_LMS_1.jpg</t>
        </is>
      </c>
      <c r="J1679" t="inlineStr">
        <is>
          <t>NAUTICA_CLASSICS_117004554_LMS_2.jpg</t>
        </is>
      </c>
      <c r="K1679" t="inlineStr">
        <is>
          <t>NAUTICA_CLASSICS_117004554_LMS_3.jpg</t>
        </is>
      </c>
      <c r="L1679">
        <f>IMAGE("file:///E:/Estudios%20y%20certificaciones/ESTUDIOS%20DE%20PROGRAMMING/PROGRAMMING/PERSONAL/PYTHON/Image_Generator_API/imagenes/NAUTICA_CLASSICS_117004554_LMS_1.jpg")</f>
        <v/>
      </c>
      <c r="M1679">
        <f>IMAGE("file:///E:/Estudios%20y%20certificaciones/ESTUDIOS%20DE%20PROGRAMMING/PROGRAMMING/PERSONAL/PYTHON/Image_Generator_API/imagenes/NAUTICA_CLASSICS_117004554_LMS_2.jpg")</f>
        <v/>
      </c>
      <c r="N1679">
        <f>IMAGE("file:///E:/Estudios%20y%20certificaciones/ESTUDIOS%20DE%20PROGRAMMING/PROGRAMMING/PERSONAL/PYTHON/Image_Generator_API/imagenes/NAUTICA_CLASSICS_117004554_LMS_3.jpg")</f>
        <v/>
      </c>
      <c r="O1679">
        <f>HYPERLINK("imagenes/NAUTICA_CLASSICS_117004554_LMS_1.jpg","Ver imagen")</f>
        <v/>
      </c>
      <c r="P1679">
        <f>HYPERLINK("imagenes/NAUTICA_CLASSICS_117004554_LMS_2.jpg","Ver imagen")</f>
        <v/>
      </c>
      <c r="Q1679">
        <f>HYPERLINK("imagenes/NAUTICA_CLASSICS_117004554_LMS_3.jpg","Ver imagen")</f>
        <v/>
      </c>
    </row>
    <row r="1680">
      <c r="A1680" t="inlineStr">
        <is>
          <t>NAUTICA CLASSICS</t>
        </is>
      </c>
      <c r="B1680" t="inlineStr">
        <is>
          <t>117004554</t>
        </is>
      </c>
      <c r="C1680" t="inlineStr">
        <is>
          <t>BONDED RAIN WITH BIB</t>
        </is>
      </c>
      <c r="D1680" t="inlineStr">
        <is>
          <t>LMS</t>
        </is>
      </c>
      <c r="E1680" t="inlineStr">
        <is>
          <t>(en blanco)</t>
        </is>
      </c>
      <c r="F1680" t="inlineStr">
        <is>
          <t>(en blanco)</t>
        </is>
      </c>
      <c r="G1680" t="inlineStr">
        <is>
          <t>L</t>
        </is>
      </c>
      <c r="H1680" t="n">
        <v>97</v>
      </c>
      <c r="I1680" t="inlineStr">
        <is>
          <t>NAUTICA_CLASSICS_117004554_LMS_1.jpg</t>
        </is>
      </c>
      <c r="J1680" t="inlineStr">
        <is>
          <t>NAUTICA_CLASSICS_117004554_LMS_2.jpg</t>
        </is>
      </c>
      <c r="K1680" t="inlineStr">
        <is>
          <t>NAUTICA_CLASSICS_117004554_LMS_3.jpg</t>
        </is>
      </c>
      <c r="L1680">
        <f>IMAGE("file:///E:/Estudios%20y%20certificaciones/ESTUDIOS%20DE%20PROGRAMMING/PROGRAMMING/PERSONAL/PYTHON/Image_Generator_API/imagenes/NAUTICA_CLASSICS_117004554_LMS_1.jpg")</f>
        <v/>
      </c>
      <c r="M1680">
        <f>IMAGE("file:///E:/Estudios%20y%20certificaciones/ESTUDIOS%20DE%20PROGRAMMING/PROGRAMMING/PERSONAL/PYTHON/Image_Generator_API/imagenes/NAUTICA_CLASSICS_117004554_LMS_2.jpg")</f>
        <v/>
      </c>
      <c r="N1680">
        <f>IMAGE("file:///E:/Estudios%20y%20certificaciones/ESTUDIOS%20DE%20PROGRAMMING/PROGRAMMING/PERSONAL/PYTHON/Image_Generator_API/imagenes/NAUTICA_CLASSICS_117004554_LMS_3.jpg")</f>
        <v/>
      </c>
      <c r="O1680">
        <f>HYPERLINK("imagenes/NAUTICA_CLASSICS_117004554_LMS_1.jpg","Ver imagen")</f>
        <v/>
      </c>
      <c r="P1680">
        <f>HYPERLINK("imagenes/NAUTICA_CLASSICS_117004554_LMS_2.jpg","Ver imagen")</f>
        <v/>
      </c>
      <c r="Q1680">
        <f>HYPERLINK("imagenes/NAUTICA_CLASSICS_117004554_LMS_3.jpg","Ver imagen")</f>
        <v/>
      </c>
    </row>
    <row r="1681">
      <c r="A1681" t="inlineStr">
        <is>
          <t>NAUTICA CLASSICS</t>
        </is>
      </c>
      <c r="B1681" t="inlineStr">
        <is>
          <t>117004554</t>
        </is>
      </c>
      <c r="C1681" t="inlineStr">
        <is>
          <t>BONDED RAIN WITH BIB</t>
        </is>
      </c>
      <c r="D1681" t="inlineStr">
        <is>
          <t>LMS</t>
        </is>
      </c>
      <c r="E1681" t="inlineStr">
        <is>
          <t>(en blanco)</t>
        </is>
      </c>
      <c r="F1681" t="inlineStr">
        <is>
          <t>(en blanco)</t>
        </is>
      </c>
      <c r="G1681" t="inlineStr">
        <is>
          <t>XL</t>
        </is>
      </c>
      <c r="H1681" t="n">
        <v>42</v>
      </c>
      <c r="I1681" t="inlineStr">
        <is>
          <t>NAUTICA_CLASSICS_117004554_LMS_1.jpg</t>
        </is>
      </c>
      <c r="J1681" t="inlineStr">
        <is>
          <t>NAUTICA_CLASSICS_117004554_LMS_2.jpg</t>
        </is>
      </c>
      <c r="K1681" t="inlineStr">
        <is>
          <t>NAUTICA_CLASSICS_117004554_LMS_3.jpg</t>
        </is>
      </c>
      <c r="L1681">
        <f>IMAGE("file:///E:/Estudios%20y%20certificaciones/ESTUDIOS%20DE%20PROGRAMMING/PROGRAMMING/PERSONAL/PYTHON/Image_Generator_API/imagenes/NAUTICA_CLASSICS_117004554_LMS_1.jpg")</f>
        <v/>
      </c>
      <c r="M1681">
        <f>IMAGE("file:///E:/Estudios%20y%20certificaciones/ESTUDIOS%20DE%20PROGRAMMING/PROGRAMMING/PERSONAL/PYTHON/Image_Generator_API/imagenes/NAUTICA_CLASSICS_117004554_LMS_2.jpg")</f>
        <v/>
      </c>
      <c r="N1681">
        <f>IMAGE("file:///E:/Estudios%20y%20certificaciones/ESTUDIOS%20DE%20PROGRAMMING/PROGRAMMING/PERSONAL/PYTHON/Image_Generator_API/imagenes/NAUTICA_CLASSICS_117004554_LMS_3.jpg")</f>
        <v/>
      </c>
      <c r="O1681">
        <f>HYPERLINK("imagenes/NAUTICA_CLASSICS_117004554_LMS_1.jpg","Ver imagen")</f>
        <v/>
      </c>
      <c r="P1681">
        <f>HYPERLINK("imagenes/NAUTICA_CLASSICS_117004554_LMS_2.jpg","Ver imagen")</f>
        <v/>
      </c>
      <c r="Q1681">
        <f>HYPERLINK("imagenes/NAUTICA_CLASSICS_117004554_LMS_3.jpg","Ver imagen")</f>
        <v/>
      </c>
    </row>
    <row r="1682">
      <c r="A1682" t="inlineStr">
        <is>
          <t>NAUTICA CLASSICS</t>
        </is>
      </c>
      <c r="B1682" t="inlineStr">
        <is>
          <t>117004648</t>
        </is>
      </c>
      <c r="C1682" t="inlineStr">
        <is>
          <t>SOFT MIST COAT WITH BIB</t>
        </is>
      </c>
      <c r="D1682" t="inlineStr">
        <is>
          <t>BLK</t>
        </is>
      </c>
      <c r="E1682" t="inlineStr">
        <is>
          <t>(en blanco)</t>
        </is>
      </c>
      <c r="F1682" t="inlineStr">
        <is>
          <t>(en blanco)</t>
        </is>
      </c>
      <c r="G1682" t="inlineStr">
        <is>
          <t>XS</t>
        </is>
      </c>
      <c r="H1682" t="n">
        <v>3</v>
      </c>
      <c r="I1682" t="inlineStr">
        <is>
          <t>NAUTICA_CLASSICS_117004648_BLK_1.jpg</t>
        </is>
      </c>
      <c r="J1682" t="inlineStr">
        <is>
          <t>NAUTICA_CLASSICS_117004648_BLK_2.jpg</t>
        </is>
      </c>
      <c r="K1682" t="inlineStr">
        <is>
          <t>NAUTICA_CLASSICS_117004648_BLK_3.jpg</t>
        </is>
      </c>
      <c r="L1682">
        <f>IMAGE("file:///E:/Estudios%20y%20certificaciones/ESTUDIOS%20DE%20PROGRAMMING/PROGRAMMING/PERSONAL/PYTHON/Image_Generator_API/imagenes/NAUTICA_CLASSICS_117004648_BLK_1.jpg")</f>
        <v/>
      </c>
      <c r="M1682">
        <f>IMAGE("file:///E:/Estudios%20y%20certificaciones/ESTUDIOS%20DE%20PROGRAMMING/PROGRAMMING/PERSONAL/PYTHON/Image_Generator_API/imagenes/NAUTICA_CLASSICS_117004648_BLK_2.jpg")</f>
        <v/>
      </c>
      <c r="N1682">
        <f>IMAGE("file:///E:/Estudios%20y%20certificaciones/ESTUDIOS%20DE%20PROGRAMMING/PROGRAMMING/PERSONAL/PYTHON/Image_Generator_API/imagenes/NAUTICA_CLASSICS_117004648_BLK_3.jpg")</f>
        <v/>
      </c>
      <c r="O1682">
        <f>HYPERLINK("imagenes/NAUTICA_CLASSICS_117004648_BLK_1.jpg","Ver imagen")</f>
        <v/>
      </c>
      <c r="P1682">
        <f>HYPERLINK("imagenes/NAUTICA_CLASSICS_117004648_BLK_2.jpg","Ver imagen")</f>
        <v/>
      </c>
      <c r="Q1682">
        <f>HYPERLINK("imagenes/NAUTICA_CLASSICS_117004648_BLK_3.jpg","Ver imagen")</f>
        <v/>
      </c>
    </row>
    <row r="1683">
      <c r="A1683" t="inlineStr">
        <is>
          <t>NAUTICA CLASSICS</t>
        </is>
      </c>
      <c r="B1683" t="inlineStr">
        <is>
          <t>117004648</t>
        </is>
      </c>
      <c r="C1683" t="inlineStr">
        <is>
          <t>SOFT MIST COAT WITH BIB</t>
        </is>
      </c>
      <c r="D1683" t="inlineStr">
        <is>
          <t>BLK</t>
        </is>
      </c>
      <c r="E1683" t="inlineStr">
        <is>
          <t>(en blanco)</t>
        </is>
      </c>
      <c r="F1683" t="inlineStr">
        <is>
          <t>(en blanco)</t>
        </is>
      </c>
      <c r="G1683" t="inlineStr">
        <is>
          <t>S</t>
        </is>
      </c>
      <c r="H1683" t="n">
        <v>18</v>
      </c>
      <c r="I1683" t="inlineStr">
        <is>
          <t>NAUTICA_CLASSICS_117004648_BLK_1.jpg</t>
        </is>
      </c>
      <c r="J1683" t="inlineStr">
        <is>
          <t>NAUTICA_CLASSICS_117004648_BLK_2.jpg</t>
        </is>
      </c>
      <c r="K1683" t="inlineStr">
        <is>
          <t>NAUTICA_CLASSICS_117004648_BLK_3.jpg</t>
        </is>
      </c>
      <c r="L1683">
        <f>IMAGE("file:///E:/Estudios%20y%20certificaciones/ESTUDIOS%20DE%20PROGRAMMING/PROGRAMMING/PERSONAL/PYTHON/Image_Generator_API/imagenes/NAUTICA_CLASSICS_117004648_BLK_1.jpg")</f>
        <v/>
      </c>
      <c r="M1683">
        <f>IMAGE("file:///E:/Estudios%20y%20certificaciones/ESTUDIOS%20DE%20PROGRAMMING/PROGRAMMING/PERSONAL/PYTHON/Image_Generator_API/imagenes/NAUTICA_CLASSICS_117004648_BLK_2.jpg")</f>
        <v/>
      </c>
      <c r="N1683">
        <f>IMAGE("file:///E:/Estudios%20y%20certificaciones/ESTUDIOS%20DE%20PROGRAMMING/PROGRAMMING/PERSONAL/PYTHON/Image_Generator_API/imagenes/NAUTICA_CLASSICS_117004648_BLK_3.jpg")</f>
        <v/>
      </c>
      <c r="O1683">
        <f>HYPERLINK("imagenes/NAUTICA_CLASSICS_117004648_BLK_1.jpg","Ver imagen")</f>
        <v/>
      </c>
      <c r="P1683">
        <f>HYPERLINK("imagenes/NAUTICA_CLASSICS_117004648_BLK_2.jpg","Ver imagen")</f>
        <v/>
      </c>
      <c r="Q1683">
        <f>HYPERLINK("imagenes/NAUTICA_CLASSICS_117004648_BLK_3.jpg","Ver imagen")</f>
        <v/>
      </c>
    </row>
    <row r="1684">
      <c r="A1684" t="inlineStr">
        <is>
          <t>NAUTICA CLASSICS</t>
        </is>
      </c>
      <c r="B1684" t="inlineStr">
        <is>
          <t>117004648</t>
        </is>
      </c>
      <c r="C1684" t="inlineStr">
        <is>
          <t>SOFT MIST COAT WITH BIB</t>
        </is>
      </c>
      <c r="D1684" t="inlineStr">
        <is>
          <t>BLK</t>
        </is>
      </c>
      <c r="E1684" t="inlineStr">
        <is>
          <t>(en blanco)</t>
        </is>
      </c>
      <c r="F1684" t="inlineStr">
        <is>
          <t>(en blanco)</t>
        </is>
      </c>
      <c r="G1684" t="inlineStr">
        <is>
          <t>M</t>
        </is>
      </c>
      <c r="H1684" t="n">
        <v>21</v>
      </c>
      <c r="I1684" t="inlineStr">
        <is>
          <t>NAUTICA_CLASSICS_117004648_BLK_1.jpg</t>
        </is>
      </c>
      <c r="J1684" t="inlineStr">
        <is>
          <t>NAUTICA_CLASSICS_117004648_BLK_2.jpg</t>
        </is>
      </c>
      <c r="K1684" t="inlineStr">
        <is>
          <t>NAUTICA_CLASSICS_117004648_BLK_3.jpg</t>
        </is>
      </c>
      <c r="L1684">
        <f>IMAGE("file:///E:/Estudios%20y%20certificaciones/ESTUDIOS%20DE%20PROGRAMMING/PROGRAMMING/PERSONAL/PYTHON/Image_Generator_API/imagenes/NAUTICA_CLASSICS_117004648_BLK_1.jpg")</f>
        <v/>
      </c>
      <c r="M1684">
        <f>IMAGE("file:///E:/Estudios%20y%20certificaciones/ESTUDIOS%20DE%20PROGRAMMING/PROGRAMMING/PERSONAL/PYTHON/Image_Generator_API/imagenes/NAUTICA_CLASSICS_117004648_BLK_2.jpg")</f>
        <v/>
      </c>
      <c r="N1684">
        <f>IMAGE("file:///E:/Estudios%20y%20certificaciones/ESTUDIOS%20DE%20PROGRAMMING/PROGRAMMING/PERSONAL/PYTHON/Image_Generator_API/imagenes/NAUTICA_CLASSICS_117004648_BLK_3.jpg")</f>
        <v/>
      </c>
      <c r="O1684">
        <f>HYPERLINK("imagenes/NAUTICA_CLASSICS_117004648_BLK_1.jpg","Ver imagen")</f>
        <v/>
      </c>
      <c r="P1684">
        <f>HYPERLINK("imagenes/NAUTICA_CLASSICS_117004648_BLK_2.jpg","Ver imagen")</f>
        <v/>
      </c>
      <c r="Q1684">
        <f>HYPERLINK("imagenes/NAUTICA_CLASSICS_117004648_BLK_3.jpg","Ver imagen")</f>
        <v/>
      </c>
    </row>
    <row r="1685">
      <c r="A1685" t="inlineStr">
        <is>
          <t>NAUTICA CLASSICS</t>
        </is>
      </c>
      <c r="B1685" t="inlineStr">
        <is>
          <t>117004648</t>
        </is>
      </c>
      <c r="C1685" t="inlineStr">
        <is>
          <t>SOFT MIST COAT WITH BIB</t>
        </is>
      </c>
      <c r="D1685" t="inlineStr">
        <is>
          <t>BLK</t>
        </is>
      </c>
      <c r="E1685" t="inlineStr">
        <is>
          <t>(en blanco)</t>
        </is>
      </c>
      <c r="F1685" t="inlineStr">
        <is>
          <t>(en blanco)</t>
        </is>
      </c>
      <c r="G1685" t="inlineStr">
        <is>
          <t>L</t>
        </is>
      </c>
      <c r="H1685" t="n">
        <v>18</v>
      </c>
      <c r="I1685" t="inlineStr">
        <is>
          <t>NAUTICA_CLASSICS_117004648_BLK_1.jpg</t>
        </is>
      </c>
      <c r="J1685" t="inlineStr">
        <is>
          <t>NAUTICA_CLASSICS_117004648_BLK_2.jpg</t>
        </is>
      </c>
      <c r="K1685" t="inlineStr">
        <is>
          <t>NAUTICA_CLASSICS_117004648_BLK_3.jpg</t>
        </is>
      </c>
      <c r="L1685">
        <f>IMAGE("file:///E:/Estudios%20y%20certificaciones/ESTUDIOS%20DE%20PROGRAMMING/PROGRAMMING/PERSONAL/PYTHON/Image_Generator_API/imagenes/NAUTICA_CLASSICS_117004648_BLK_1.jpg")</f>
        <v/>
      </c>
      <c r="M1685">
        <f>IMAGE("file:///E:/Estudios%20y%20certificaciones/ESTUDIOS%20DE%20PROGRAMMING/PROGRAMMING/PERSONAL/PYTHON/Image_Generator_API/imagenes/NAUTICA_CLASSICS_117004648_BLK_2.jpg")</f>
        <v/>
      </c>
      <c r="N1685">
        <f>IMAGE("file:///E:/Estudios%20y%20certificaciones/ESTUDIOS%20DE%20PROGRAMMING/PROGRAMMING/PERSONAL/PYTHON/Image_Generator_API/imagenes/NAUTICA_CLASSICS_117004648_BLK_3.jpg")</f>
        <v/>
      </c>
      <c r="O1685">
        <f>HYPERLINK("imagenes/NAUTICA_CLASSICS_117004648_BLK_1.jpg","Ver imagen")</f>
        <v/>
      </c>
      <c r="P1685">
        <f>HYPERLINK("imagenes/NAUTICA_CLASSICS_117004648_BLK_2.jpg","Ver imagen")</f>
        <v/>
      </c>
      <c r="Q1685">
        <f>HYPERLINK("imagenes/NAUTICA_CLASSICS_117004648_BLK_3.jpg","Ver imagen")</f>
        <v/>
      </c>
    </row>
    <row r="1686">
      <c r="A1686" t="inlineStr">
        <is>
          <t>NAUTICA CLASSICS</t>
        </is>
      </c>
      <c r="B1686" t="inlineStr">
        <is>
          <t>117004648</t>
        </is>
      </c>
      <c r="C1686" t="inlineStr">
        <is>
          <t>SOFT MIST COAT WITH BIB</t>
        </is>
      </c>
      <c r="D1686" t="inlineStr">
        <is>
          <t>NSS</t>
        </is>
      </c>
      <c r="E1686" t="inlineStr">
        <is>
          <t>(en blanco)</t>
        </is>
      </c>
      <c r="F1686" t="inlineStr">
        <is>
          <t>(en blanco)</t>
        </is>
      </c>
      <c r="G1686" t="inlineStr">
        <is>
          <t>M</t>
        </is>
      </c>
      <c r="H1686" t="n">
        <v>4</v>
      </c>
      <c r="I1686" t="inlineStr">
        <is>
          <t>NAUTICA_CLASSICS_117004648_NSS_1.jpg</t>
        </is>
      </c>
      <c r="J1686" t="inlineStr">
        <is>
          <t>NAUTICA_CLASSICS_117004648_NSS_3.jpg</t>
        </is>
      </c>
      <c r="L1686">
        <f>IMAGE("file:///E:/Estudios%20y%20certificaciones/ESTUDIOS%20DE%20PROGRAMMING/PROGRAMMING/PERSONAL/PYTHON/Image_Generator_API/imagenes/NAUTICA_CLASSICS_117004648_NSS_1.jpg")</f>
        <v/>
      </c>
      <c r="M1686">
        <f>IMAGE("file:///E:/Estudios%20y%20certificaciones/ESTUDIOS%20DE%20PROGRAMMING/PROGRAMMING/PERSONAL/PYTHON/Image_Generator_API/imagenes/NAUTICA_CLASSICS_117004648_NSS_3.jpg")</f>
        <v/>
      </c>
      <c r="O1686">
        <f>HYPERLINK("imagenes/NAUTICA_CLASSICS_117004648_NSS_1.jpg","Ver imagen")</f>
        <v/>
      </c>
      <c r="P1686">
        <f>HYPERLINK("imagenes/NAUTICA_CLASSICS_117004648_NSS_3.jpg","Ver imagen")</f>
        <v/>
      </c>
    </row>
    <row r="1687">
      <c r="A1687" t="inlineStr">
        <is>
          <t>NAUTICA CLASSICS</t>
        </is>
      </c>
      <c r="B1687" t="inlineStr">
        <is>
          <t>117004742</t>
        </is>
      </c>
      <c r="C1687" t="inlineStr">
        <is>
          <t>BONDED RAIN JKT</t>
        </is>
      </c>
      <c r="D1687" t="inlineStr">
        <is>
          <t>BLK</t>
        </is>
      </c>
      <c r="E1687" t="inlineStr">
        <is>
          <t>(en blanco)</t>
        </is>
      </c>
      <c r="F1687" t="inlineStr">
        <is>
          <t>(en blanco)</t>
        </is>
      </c>
      <c r="G1687" t="inlineStr">
        <is>
          <t>XS</t>
        </is>
      </c>
      <c r="H1687" t="n">
        <v>246</v>
      </c>
      <c r="I1687" t="inlineStr">
        <is>
          <t>NAUTICA_CLASSICS_117004742_BLK_1.jpg</t>
        </is>
      </c>
      <c r="J1687" t="inlineStr">
        <is>
          <t>NAUTICA_CLASSICS_117004742_BLK_2.jpg</t>
        </is>
      </c>
      <c r="K1687" t="inlineStr">
        <is>
          <t>NAUTICA_CLASSICS_117004742_BLK_3.jpg</t>
        </is>
      </c>
      <c r="L1687">
        <f>IMAGE("file:///E:/Estudios%20y%20certificaciones/ESTUDIOS%20DE%20PROGRAMMING/PROGRAMMING/PERSONAL/PYTHON/Image_Generator_API/imagenes/NAUTICA_CLASSICS_117004742_BLK_1.jpg")</f>
        <v/>
      </c>
      <c r="M1687">
        <f>IMAGE("file:///E:/Estudios%20y%20certificaciones/ESTUDIOS%20DE%20PROGRAMMING/PROGRAMMING/PERSONAL/PYTHON/Image_Generator_API/imagenes/NAUTICA_CLASSICS_117004742_BLK_2.jpg")</f>
        <v/>
      </c>
      <c r="N1687">
        <f>IMAGE("file:///E:/Estudios%20y%20certificaciones/ESTUDIOS%20DE%20PROGRAMMING/PROGRAMMING/PERSONAL/PYTHON/Image_Generator_API/imagenes/NAUTICA_CLASSICS_117004742_BLK_3.jpg")</f>
        <v/>
      </c>
      <c r="O1687">
        <f>HYPERLINK("imagenes/NAUTICA_CLASSICS_117004742_BLK_1.jpg","Ver imagen")</f>
        <v/>
      </c>
      <c r="P1687">
        <f>HYPERLINK("imagenes/NAUTICA_CLASSICS_117004742_BLK_2.jpg","Ver imagen")</f>
        <v/>
      </c>
      <c r="Q1687">
        <f>HYPERLINK("imagenes/NAUTICA_CLASSICS_117004742_BLK_3.jpg","Ver imagen")</f>
        <v/>
      </c>
    </row>
    <row r="1688">
      <c r="A1688" t="inlineStr">
        <is>
          <t>NAUTICA CLASSICS</t>
        </is>
      </c>
      <c r="B1688" t="inlineStr">
        <is>
          <t>117004742</t>
        </is>
      </c>
      <c r="C1688" t="inlineStr">
        <is>
          <t>BONDED RAIN JKT</t>
        </is>
      </c>
      <c r="D1688" t="inlineStr">
        <is>
          <t>BLK</t>
        </is>
      </c>
      <c r="E1688" t="inlineStr">
        <is>
          <t>(en blanco)</t>
        </is>
      </c>
      <c r="F1688" t="inlineStr">
        <is>
          <t>(en blanco)</t>
        </is>
      </c>
      <c r="G1688" t="inlineStr">
        <is>
          <t>S</t>
        </is>
      </c>
      <c r="H1688" t="n">
        <v>520</v>
      </c>
      <c r="I1688" t="inlineStr">
        <is>
          <t>NAUTICA_CLASSICS_117004742_BLK_1.jpg</t>
        </is>
      </c>
      <c r="J1688" t="inlineStr">
        <is>
          <t>NAUTICA_CLASSICS_117004742_BLK_2.jpg</t>
        </is>
      </c>
      <c r="K1688" t="inlineStr">
        <is>
          <t>NAUTICA_CLASSICS_117004742_BLK_3.jpg</t>
        </is>
      </c>
      <c r="L1688">
        <f>IMAGE("file:///E:/Estudios%20y%20certificaciones/ESTUDIOS%20DE%20PROGRAMMING/PROGRAMMING/PERSONAL/PYTHON/Image_Generator_API/imagenes/NAUTICA_CLASSICS_117004742_BLK_1.jpg")</f>
        <v/>
      </c>
      <c r="M1688">
        <f>IMAGE("file:///E:/Estudios%20y%20certificaciones/ESTUDIOS%20DE%20PROGRAMMING/PROGRAMMING/PERSONAL/PYTHON/Image_Generator_API/imagenes/NAUTICA_CLASSICS_117004742_BLK_2.jpg")</f>
        <v/>
      </c>
      <c r="N1688">
        <f>IMAGE("file:///E:/Estudios%20y%20certificaciones/ESTUDIOS%20DE%20PROGRAMMING/PROGRAMMING/PERSONAL/PYTHON/Image_Generator_API/imagenes/NAUTICA_CLASSICS_117004742_BLK_3.jpg")</f>
        <v/>
      </c>
      <c r="O1688">
        <f>HYPERLINK("imagenes/NAUTICA_CLASSICS_117004742_BLK_1.jpg","Ver imagen")</f>
        <v/>
      </c>
      <c r="P1688">
        <f>HYPERLINK("imagenes/NAUTICA_CLASSICS_117004742_BLK_2.jpg","Ver imagen")</f>
        <v/>
      </c>
      <c r="Q1688">
        <f>HYPERLINK("imagenes/NAUTICA_CLASSICS_117004742_BLK_3.jpg","Ver imagen")</f>
        <v/>
      </c>
    </row>
    <row r="1689">
      <c r="A1689" t="inlineStr">
        <is>
          <t>NAUTICA CLASSICS</t>
        </is>
      </c>
      <c r="B1689" t="inlineStr">
        <is>
          <t>117004742</t>
        </is>
      </c>
      <c r="C1689" t="inlineStr">
        <is>
          <t>BONDED RAIN JKT</t>
        </is>
      </c>
      <c r="D1689" t="inlineStr">
        <is>
          <t>BLK</t>
        </is>
      </c>
      <c r="E1689" t="inlineStr">
        <is>
          <t>(en blanco)</t>
        </is>
      </c>
      <c r="F1689" t="inlineStr">
        <is>
          <t>(en blanco)</t>
        </is>
      </c>
      <c r="G1689" t="inlineStr">
        <is>
          <t>M</t>
        </is>
      </c>
      <c r="H1689" t="n">
        <v>502</v>
      </c>
      <c r="I1689" t="inlineStr">
        <is>
          <t>NAUTICA_CLASSICS_117004742_BLK_1.jpg</t>
        </is>
      </c>
      <c r="J1689" t="inlineStr">
        <is>
          <t>NAUTICA_CLASSICS_117004742_BLK_2.jpg</t>
        </is>
      </c>
      <c r="K1689" t="inlineStr">
        <is>
          <t>NAUTICA_CLASSICS_117004742_BLK_3.jpg</t>
        </is>
      </c>
      <c r="L1689">
        <f>IMAGE("file:///E:/Estudios%20y%20certificaciones/ESTUDIOS%20DE%20PROGRAMMING/PROGRAMMING/PERSONAL/PYTHON/Image_Generator_API/imagenes/NAUTICA_CLASSICS_117004742_BLK_1.jpg")</f>
        <v/>
      </c>
      <c r="M1689">
        <f>IMAGE("file:///E:/Estudios%20y%20certificaciones/ESTUDIOS%20DE%20PROGRAMMING/PROGRAMMING/PERSONAL/PYTHON/Image_Generator_API/imagenes/NAUTICA_CLASSICS_117004742_BLK_2.jpg")</f>
        <v/>
      </c>
      <c r="N1689">
        <f>IMAGE("file:///E:/Estudios%20y%20certificaciones/ESTUDIOS%20DE%20PROGRAMMING/PROGRAMMING/PERSONAL/PYTHON/Image_Generator_API/imagenes/NAUTICA_CLASSICS_117004742_BLK_3.jpg")</f>
        <v/>
      </c>
      <c r="O1689">
        <f>HYPERLINK("imagenes/NAUTICA_CLASSICS_117004742_BLK_1.jpg","Ver imagen")</f>
        <v/>
      </c>
      <c r="P1689">
        <f>HYPERLINK("imagenes/NAUTICA_CLASSICS_117004742_BLK_2.jpg","Ver imagen")</f>
        <v/>
      </c>
      <c r="Q1689">
        <f>HYPERLINK("imagenes/NAUTICA_CLASSICS_117004742_BLK_3.jpg","Ver imagen")</f>
        <v/>
      </c>
    </row>
    <row r="1690">
      <c r="A1690" t="inlineStr">
        <is>
          <t>NAUTICA CLASSICS</t>
        </is>
      </c>
      <c r="B1690" t="inlineStr">
        <is>
          <t>117004742</t>
        </is>
      </c>
      <c r="C1690" t="inlineStr">
        <is>
          <t>BONDED RAIN JKT</t>
        </is>
      </c>
      <c r="D1690" t="inlineStr">
        <is>
          <t>BLK</t>
        </is>
      </c>
      <c r="E1690" t="inlineStr">
        <is>
          <t>(en blanco)</t>
        </is>
      </c>
      <c r="F1690" t="inlineStr">
        <is>
          <t>(en blanco)</t>
        </is>
      </c>
      <c r="G1690" t="inlineStr">
        <is>
          <t>L</t>
        </is>
      </c>
      <c r="H1690" t="n">
        <v>490</v>
      </c>
      <c r="I1690" t="inlineStr">
        <is>
          <t>NAUTICA_CLASSICS_117004742_BLK_1.jpg</t>
        </is>
      </c>
      <c r="J1690" t="inlineStr">
        <is>
          <t>NAUTICA_CLASSICS_117004742_BLK_2.jpg</t>
        </is>
      </c>
      <c r="K1690" t="inlineStr">
        <is>
          <t>NAUTICA_CLASSICS_117004742_BLK_3.jpg</t>
        </is>
      </c>
      <c r="L1690">
        <f>IMAGE("file:///E:/Estudios%20y%20certificaciones/ESTUDIOS%20DE%20PROGRAMMING/PROGRAMMING/PERSONAL/PYTHON/Image_Generator_API/imagenes/NAUTICA_CLASSICS_117004742_BLK_1.jpg")</f>
        <v/>
      </c>
      <c r="M1690">
        <f>IMAGE("file:///E:/Estudios%20y%20certificaciones/ESTUDIOS%20DE%20PROGRAMMING/PROGRAMMING/PERSONAL/PYTHON/Image_Generator_API/imagenes/NAUTICA_CLASSICS_117004742_BLK_2.jpg")</f>
        <v/>
      </c>
      <c r="N1690">
        <f>IMAGE("file:///E:/Estudios%20y%20certificaciones/ESTUDIOS%20DE%20PROGRAMMING/PROGRAMMING/PERSONAL/PYTHON/Image_Generator_API/imagenes/NAUTICA_CLASSICS_117004742_BLK_3.jpg")</f>
        <v/>
      </c>
      <c r="O1690">
        <f>HYPERLINK("imagenes/NAUTICA_CLASSICS_117004742_BLK_1.jpg","Ver imagen")</f>
        <v/>
      </c>
      <c r="P1690">
        <f>HYPERLINK("imagenes/NAUTICA_CLASSICS_117004742_BLK_2.jpg","Ver imagen")</f>
        <v/>
      </c>
      <c r="Q1690">
        <f>HYPERLINK("imagenes/NAUTICA_CLASSICS_117004742_BLK_3.jpg","Ver imagen")</f>
        <v/>
      </c>
    </row>
    <row r="1691">
      <c r="A1691" t="inlineStr">
        <is>
          <t>NAUTICA CLASSICS</t>
        </is>
      </c>
      <c r="B1691" t="inlineStr">
        <is>
          <t>117004742</t>
        </is>
      </c>
      <c r="C1691" t="inlineStr">
        <is>
          <t>BONDED RAIN JKT</t>
        </is>
      </c>
      <c r="D1691" t="inlineStr">
        <is>
          <t>BLK</t>
        </is>
      </c>
      <c r="E1691" t="inlineStr">
        <is>
          <t>(en blanco)</t>
        </is>
      </c>
      <c r="F1691" t="inlineStr">
        <is>
          <t>(en blanco)</t>
        </is>
      </c>
      <c r="G1691" t="inlineStr">
        <is>
          <t>XL</t>
        </is>
      </c>
      <c r="H1691" t="n">
        <v>222</v>
      </c>
      <c r="I1691" t="inlineStr">
        <is>
          <t>NAUTICA_CLASSICS_117004742_BLK_1.jpg</t>
        </is>
      </c>
      <c r="J1691" t="inlineStr">
        <is>
          <t>NAUTICA_CLASSICS_117004742_BLK_2.jpg</t>
        </is>
      </c>
      <c r="K1691" t="inlineStr">
        <is>
          <t>NAUTICA_CLASSICS_117004742_BLK_3.jpg</t>
        </is>
      </c>
      <c r="L1691">
        <f>IMAGE("file:///E:/Estudios%20y%20certificaciones/ESTUDIOS%20DE%20PROGRAMMING/PROGRAMMING/PERSONAL/PYTHON/Image_Generator_API/imagenes/NAUTICA_CLASSICS_117004742_BLK_1.jpg")</f>
        <v/>
      </c>
      <c r="M1691">
        <f>IMAGE("file:///E:/Estudios%20y%20certificaciones/ESTUDIOS%20DE%20PROGRAMMING/PROGRAMMING/PERSONAL/PYTHON/Image_Generator_API/imagenes/NAUTICA_CLASSICS_117004742_BLK_2.jpg")</f>
        <v/>
      </c>
      <c r="N1691">
        <f>IMAGE("file:///E:/Estudios%20y%20certificaciones/ESTUDIOS%20DE%20PROGRAMMING/PROGRAMMING/PERSONAL/PYTHON/Image_Generator_API/imagenes/NAUTICA_CLASSICS_117004742_BLK_3.jpg")</f>
        <v/>
      </c>
      <c r="O1691">
        <f>HYPERLINK("imagenes/NAUTICA_CLASSICS_117004742_BLK_1.jpg","Ver imagen")</f>
        <v/>
      </c>
      <c r="P1691">
        <f>HYPERLINK("imagenes/NAUTICA_CLASSICS_117004742_BLK_2.jpg","Ver imagen")</f>
        <v/>
      </c>
      <c r="Q1691">
        <f>HYPERLINK("imagenes/NAUTICA_CLASSICS_117004742_BLK_3.jpg","Ver imagen")</f>
        <v/>
      </c>
    </row>
    <row r="1692">
      <c r="A1692" t="inlineStr">
        <is>
          <t>NAUTICA CLASSICS</t>
        </is>
      </c>
      <c r="B1692" t="inlineStr">
        <is>
          <t>117004742</t>
        </is>
      </c>
      <c r="C1692" t="inlineStr">
        <is>
          <t>BONDED RAIN JKT</t>
        </is>
      </c>
      <c r="D1692" t="inlineStr">
        <is>
          <t>SAG</t>
        </is>
      </c>
      <c r="E1692" t="inlineStr">
        <is>
          <t>(en blanco)</t>
        </is>
      </c>
      <c r="F1692" t="inlineStr">
        <is>
          <t>(en blanco)</t>
        </is>
      </c>
      <c r="G1692" t="inlineStr">
        <is>
          <t>XS</t>
        </is>
      </c>
      <c r="H1692" t="n">
        <v>54</v>
      </c>
      <c r="I1692" t="inlineStr">
        <is>
          <t>NAUTICA_CLASSICS_117004742_SAG_1.jpg</t>
        </is>
      </c>
      <c r="J1692" t="inlineStr">
        <is>
          <t>NAUTICA_CLASSICS_117004742_SAG_2.jpg</t>
        </is>
      </c>
      <c r="K1692" t="inlineStr">
        <is>
          <t>NAUTICA_CLASSICS_117004742_SAG_3.jpg</t>
        </is>
      </c>
      <c r="L1692">
        <f>IMAGE("file:///E:/Estudios%20y%20certificaciones/ESTUDIOS%20DE%20PROGRAMMING/PROGRAMMING/PERSONAL/PYTHON/Image_Generator_API/imagenes/NAUTICA_CLASSICS_117004742_SAG_1.jpg")</f>
        <v/>
      </c>
      <c r="M1692">
        <f>IMAGE("file:///E:/Estudios%20y%20certificaciones/ESTUDIOS%20DE%20PROGRAMMING/PROGRAMMING/PERSONAL/PYTHON/Image_Generator_API/imagenes/NAUTICA_CLASSICS_117004742_SAG_2.jpg")</f>
        <v/>
      </c>
      <c r="N1692">
        <f>IMAGE("file:///E:/Estudios%20y%20certificaciones/ESTUDIOS%20DE%20PROGRAMMING/PROGRAMMING/PERSONAL/PYTHON/Image_Generator_API/imagenes/NAUTICA_CLASSICS_117004742_SAG_3.jpg")</f>
        <v/>
      </c>
      <c r="O1692">
        <f>HYPERLINK("imagenes/NAUTICA_CLASSICS_117004742_SAG_1.jpg","Ver imagen")</f>
        <v/>
      </c>
      <c r="P1692">
        <f>HYPERLINK("imagenes/NAUTICA_CLASSICS_117004742_SAG_2.jpg","Ver imagen")</f>
        <v/>
      </c>
      <c r="Q1692">
        <f>HYPERLINK("imagenes/NAUTICA_CLASSICS_117004742_SAG_3.jpg","Ver imagen")</f>
        <v/>
      </c>
    </row>
    <row r="1693">
      <c r="A1693" t="inlineStr">
        <is>
          <t>NAUTICA CLASSICS</t>
        </is>
      </c>
      <c r="B1693" t="inlineStr">
        <is>
          <t>117004742</t>
        </is>
      </c>
      <c r="C1693" t="inlineStr">
        <is>
          <t>BONDED RAIN JKT</t>
        </is>
      </c>
      <c r="D1693" t="inlineStr">
        <is>
          <t>SAG</t>
        </is>
      </c>
      <c r="E1693" t="inlineStr">
        <is>
          <t>(en blanco)</t>
        </is>
      </c>
      <c r="F1693" t="inlineStr">
        <is>
          <t>(en blanco)</t>
        </is>
      </c>
      <c r="G1693" t="inlineStr">
        <is>
          <t>S</t>
        </is>
      </c>
      <c r="H1693" t="n">
        <v>105</v>
      </c>
      <c r="I1693" t="inlineStr">
        <is>
          <t>NAUTICA_CLASSICS_117004742_SAG_1.jpg</t>
        </is>
      </c>
      <c r="J1693" t="inlineStr">
        <is>
          <t>NAUTICA_CLASSICS_117004742_SAG_2.jpg</t>
        </is>
      </c>
      <c r="K1693" t="inlineStr">
        <is>
          <t>NAUTICA_CLASSICS_117004742_SAG_3.jpg</t>
        </is>
      </c>
      <c r="L1693">
        <f>IMAGE("file:///E:/Estudios%20y%20certificaciones/ESTUDIOS%20DE%20PROGRAMMING/PROGRAMMING/PERSONAL/PYTHON/Image_Generator_API/imagenes/NAUTICA_CLASSICS_117004742_SAG_1.jpg")</f>
        <v/>
      </c>
      <c r="M1693">
        <f>IMAGE("file:///E:/Estudios%20y%20certificaciones/ESTUDIOS%20DE%20PROGRAMMING/PROGRAMMING/PERSONAL/PYTHON/Image_Generator_API/imagenes/NAUTICA_CLASSICS_117004742_SAG_2.jpg")</f>
        <v/>
      </c>
      <c r="N1693">
        <f>IMAGE("file:///E:/Estudios%20y%20certificaciones/ESTUDIOS%20DE%20PROGRAMMING/PROGRAMMING/PERSONAL/PYTHON/Image_Generator_API/imagenes/NAUTICA_CLASSICS_117004742_SAG_3.jpg")</f>
        <v/>
      </c>
      <c r="O1693">
        <f>HYPERLINK("imagenes/NAUTICA_CLASSICS_117004742_SAG_1.jpg","Ver imagen")</f>
        <v/>
      </c>
      <c r="P1693">
        <f>HYPERLINK("imagenes/NAUTICA_CLASSICS_117004742_SAG_2.jpg","Ver imagen")</f>
        <v/>
      </c>
      <c r="Q1693">
        <f>HYPERLINK("imagenes/NAUTICA_CLASSICS_117004742_SAG_3.jpg","Ver imagen")</f>
        <v/>
      </c>
    </row>
    <row r="1694">
      <c r="A1694" t="inlineStr">
        <is>
          <t>NAUTICA CLASSICS</t>
        </is>
      </c>
      <c r="B1694" t="inlineStr">
        <is>
          <t>117004742</t>
        </is>
      </c>
      <c r="C1694" t="inlineStr">
        <is>
          <t>BONDED RAIN JKT</t>
        </is>
      </c>
      <c r="D1694" t="inlineStr">
        <is>
          <t>SAG</t>
        </is>
      </c>
      <c r="E1694" t="inlineStr">
        <is>
          <t>(en blanco)</t>
        </is>
      </c>
      <c r="F1694" t="inlineStr">
        <is>
          <t>(en blanco)</t>
        </is>
      </c>
      <c r="G1694" t="inlineStr">
        <is>
          <t>M</t>
        </is>
      </c>
      <c r="H1694" t="n">
        <v>80</v>
      </c>
      <c r="I1694" t="inlineStr">
        <is>
          <t>NAUTICA_CLASSICS_117004742_SAG_1.jpg</t>
        </is>
      </c>
      <c r="J1694" t="inlineStr">
        <is>
          <t>NAUTICA_CLASSICS_117004742_SAG_2.jpg</t>
        </is>
      </c>
      <c r="K1694" t="inlineStr">
        <is>
          <t>NAUTICA_CLASSICS_117004742_SAG_3.jpg</t>
        </is>
      </c>
      <c r="L1694">
        <f>IMAGE("file:///E:/Estudios%20y%20certificaciones/ESTUDIOS%20DE%20PROGRAMMING/PROGRAMMING/PERSONAL/PYTHON/Image_Generator_API/imagenes/NAUTICA_CLASSICS_117004742_SAG_1.jpg")</f>
        <v/>
      </c>
      <c r="M1694">
        <f>IMAGE("file:///E:/Estudios%20y%20certificaciones/ESTUDIOS%20DE%20PROGRAMMING/PROGRAMMING/PERSONAL/PYTHON/Image_Generator_API/imagenes/NAUTICA_CLASSICS_117004742_SAG_2.jpg")</f>
        <v/>
      </c>
      <c r="N1694">
        <f>IMAGE("file:///E:/Estudios%20y%20certificaciones/ESTUDIOS%20DE%20PROGRAMMING/PROGRAMMING/PERSONAL/PYTHON/Image_Generator_API/imagenes/NAUTICA_CLASSICS_117004742_SAG_3.jpg")</f>
        <v/>
      </c>
      <c r="O1694">
        <f>HYPERLINK("imagenes/NAUTICA_CLASSICS_117004742_SAG_1.jpg","Ver imagen")</f>
        <v/>
      </c>
      <c r="P1694">
        <f>HYPERLINK("imagenes/NAUTICA_CLASSICS_117004742_SAG_2.jpg","Ver imagen")</f>
        <v/>
      </c>
      <c r="Q1694">
        <f>HYPERLINK("imagenes/NAUTICA_CLASSICS_117004742_SAG_3.jpg","Ver imagen")</f>
        <v/>
      </c>
    </row>
    <row r="1695">
      <c r="A1695" t="inlineStr">
        <is>
          <t>NAUTICA CLASSICS</t>
        </is>
      </c>
      <c r="B1695" t="inlineStr">
        <is>
          <t>117004742</t>
        </is>
      </c>
      <c r="C1695" t="inlineStr">
        <is>
          <t>BONDED RAIN JKT</t>
        </is>
      </c>
      <c r="D1695" t="inlineStr">
        <is>
          <t>SAG</t>
        </is>
      </c>
      <c r="E1695" t="inlineStr">
        <is>
          <t>(en blanco)</t>
        </is>
      </c>
      <c r="F1695" t="inlineStr">
        <is>
          <t>(en blanco)</t>
        </is>
      </c>
      <c r="G1695" t="inlineStr">
        <is>
          <t>L</t>
        </is>
      </c>
      <c r="H1695" t="n">
        <v>90</v>
      </c>
      <c r="I1695" t="inlineStr">
        <is>
          <t>NAUTICA_CLASSICS_117004742_SAG_1.jpg</t>
        </is>
      </c>
      <c r="J1695" t="inlineStr">
        <is>
          <t>NAUTICA_CLASSICS_117004742_SAG_2.jpg</t>
        </is>
      </c>
      <c r="K1695" t="inlineStr">
        <is>
          <t>NAUTICA_CLASSICS_117004742_SAG_3.jpg</t>
        </is>
      </c>
      <c r="L1695">
        <f>IMAGE("file:///E:/Estudios%20y%20certificaciones/ESTUDIOS%20DE%20PROGRAMMING/PROGRAMMING/PERSONAL/PYTHON/Image_Generator_API/imagenes/NAUTICA_CLASSICS_117004742_SAG_1.jpg")</f>
        <v/>
      </c>
      <c r="M1695">
        <f>IMAGE("file:///E:/Estudios%20y%20certificaciones/ESTUDIOS%20DE%20PROGRAMMING/PROGRAMMING/PERSONAL/PYTHON/Image_Generator_API/imagenes/NAUTICA_CLASSICS_117004742_SAG_2.jpg")</f>
        <v/>
      </c>
      <c r="N1695">
        <f>IMAGE("file:///E:/Estudios%20y%20certificaciones/ESTUDIOS%20DE%20PROGRAMMING/PROGRAMMING/PERSONAL/PYTHON/Image_Generator_API/imagenes/NAUTICA_CLASSICS_117004742_SAG_3.jpg")</f>
        <v/>
      </c>
      <c r="O1695">
        <f>HYPERLINK("imagenes/NAUTICA_CLASSICS_117004742_SAG_1.jpg","Ver imagen")</f>
        <v/>
      </c>
      <c r="P1695">
        <f>HYPERLINK("imagenes/NAUTICA_CLASSICS_117004742_SAG_2.jpg","Ver imagen")</f>
        <v/>
      </c>
      <c r="Q1695">
        <f>HYPERLINK("imagenes/NAUTICA_CLASSICS_117004742_SAG_3.jpg","Ver imagen")</f>
        <v/>
      </c>
    </row>
    <row r="1696">
      <c r="A1696" t="inlineStr">
        <is>
          <t>NAUTICA CLASSICS</t>
        </is>
      </c>
      <c r="B1696" t="inlineStr">
        <is>
          <t>117004742</t>
        </is>
      </c>
      <c r="C1696" t="inlineStr">
        <is>
          <t>BONDED RAIN JKT</t>
        </is>
      </c>
      <c r="D1696" t="inlineStr">
        <is>
          <t>SAG</t>
        </is>
      </c>
      <c r="E1696" t="inlineStr">
        <is>
          <t>(en blanco)</t>
        </is>
      </c>
      <c r="F1696" t="inlineStr">
        <is>
          <t>(en blanco)</t>
        </is>
      </c>
      <c r="G1696" t="inlineStr">
        <is>
          <t>XL</t>
        </is>
      </c>
      <c r="H1696" t="n">
        <v>49</v>
      </c>
      <c r="I1696" t="inlineStr">
        <is>
          <t>NAUTICA_CLASSICS_117004742_SAG_1.jpg</t>
        </is>
      </c>
      <c r="J1696" t="inlineStr">
        <is>
          <t>NAUTICA_CLASSICS_117004742_SAG_2.jpg</t>
        </is>
      </c>
      <c r="K1696" t="inlineStr">
        <is>
          <t>NAUTICA_CLASSICS_117004742_SAG_3.jpg</t>
        </is>
      </c>
      <c r="L1696">
        <f>IMAGE("file:///E:/Estudios%20y%20certificaciones/ESTUDIOS%20DE%20PROGRAMMING/PROGRAMMING/PERSONAL/PYTHON/Image_Generator_API/imagenes/NAUTICA_CLASSICS_117004742_SAG_1.jpg")</f>
        <v/>
      </c>
      <c r="M1696">
        <f>IMAGE("file:///E:/Estudios%20y%20certificaciones/ESTUDIOS%20DE%20PROGRAMMING/PROGRAMMING/PERSONAL/PYTHON/Image_Generator_API/imagenes/NAUTICA_CLASSICS_117004742_SAG_2.jpg")</f>
        <v/>
      </c>
      <c r="N1696">
        <f>IMAGE("file:///E:/Estudios%20y%20certificaciones/ESTUDIOS%20DE%20PROGRAMMING/PROGRAMMING/PERSONAL/PYTHON/Image_Generator_API/imagenes/NAUTICA_CLASSICS_117004742_SAG_3.jpg")</f>
        <v/>
      </c>
      <c r="O1696">
        <f>HYPERLINK("imagenes/NAUTICA_CLASSICS_117004742_SAG_1.jpg","Ver imagen")</f>
        <v/>
      </c>
      <c r="P1696">
        <f>HYPERLINK("imagenes/NAUTICA_CLASSICS_117004742_SAG_2.jpg","Ver imagen")</f>
        <v/>
      </c>
      <c r="Q1696">
        <f>HYPERLINK("imagenes/NAUTICA_CLASSICS_117004742_SAG_3.jpg","Ver imagen")</f>
        <v/>
      </c>
    </row>
    <row r="1697">
      <c r="A1697" t="inlineStr">
        <is>
          <t>NAUTICA CLASSICS</t>
        </is>
      </c>
      <c r="B1697" t="inlineStr">
        <is>
          <t>117004745</t>
        </is>
      </c>
      <c r="C1697" t="inlineStr">
        <is>
          <t>STRETCH W/ BIB &amp; NYLON INTERIOR</t>
        </is>
      </c>
      <c r="D1697" t="inlineStr">
        <is>
          <t>BLK</t>
        </is>
      </c>
      <c r="E1697" t="inlineStr">
        <is>
          <t>09S01</t>
        </is>
      </c>
      <c r="F1697" t="inlineStr">
        <is>
          <t>(en blanco)</t>
        </is>
      </c>
      <c r="G1697" t="inlineStr">
        <is>
          <t>PPK</t>
        </is>
      </c>
      <c r="H1697" t="n">
        <v>36</v>
      </c>
      <c r="I1697" t="inlineStr">
        <is>
          <t>NAUTICA_CLASSICS_117004745_BLK_1.jpg</t>
        </is>
      </c>
      <c r="J1697" t="inlineStr">
        <is>
          <t>NAUTICA_CLASSICS_117004745_BLK_2.jpg</t>
        </is>
      </c>
      <c r="K1697" t="inlineStr">
        <is>
          <t>NAUTICA_CLASSICS_117004745_BLK_3.jpg</t>
        </is>
      </c>
      <c r="L1697">
        <f>IMAGE("file:///E:/Estudios%20y%20certificaciones/ESTUDIOS%20DE%20PROGRAMMING/PROGRAMMING/PERSONAL/PYTHON/Image_Generator_API/imagenes/NAUTICA_CLASSICS_117004745_BLK_1.jpg")</f>
        <v/>
      </c>
      <c r="M1697">
        <f>IMAGE("file:///E:/Estudios%20y%20certificaciones/ESTUDIOS%20DE%20PROGRAMMING/PROGRAMMING/PERSONAL/PYTHON/Image_Generator_API/imagenes/NAUTICA_CLASSICS_117004745_BLK_2.jpg")</f>
        <v/>
      </c>
      <c r="N1697">
        <f>IMAGE("file:///E:/Estudios%20y%20certificaciones/ESTUDIOS%20DE%20PROGRAMMING/PROGRAMMING/PERSONAL/PYTHON/Image_Generator_API/imagenes/NAUTICA_CLASSICS_117004745_BLK_3.jpg")</f>
        <v/>
      </c>
      <c r="O1697">
        <f>HYPERLINK("imagenes/NAUTICA_CLASSICS_117004745_BLK_1.jpg","Ver imagen")</f>
        <v/>
      </c>
      <c r="P1697">
        <f>HYPERLINK("imagenes/NAUTICA_CLASSICS_117004745_BLK_2.jpg","Ver imagen")</f>
        <v/>
      </c>
      <c r="Q1697">
        <f>HYPERLINK("imagenes/NAUTICA_CLASSICS_117004745_BLK_3.jpg","Ver imagen")</f>
        <v/>
      </c>
    </row>
    <row r="1698">
      <c r="A1698" t="inlineStr">
        <is>
          <t>NAUTICA CLASSICS</t>
        </is>
      </c>
      <c r="B1698" t="inlineStr">
        <is>
          <t>117004745</t>
        </is>
      </c>
      <c r="C1698" t="inlineStr">
        <is>
          <t>STRETCH W/ BIB &amp; NYLON INTERIOR</t>
        </is>
      </c>
      <c r="D1698" t="inlineStr">
        <is>
          <t>BLK</t>
        </is>
      </c>
      <c r="E1698" t="inlineStr">
        <is>
          <t>(en blanco)</t>
        </is>
      </c>
      <c r="F1698" t="inlineStr">
        <is>
          <t>(en blanco)</t>
        </is>
      </c>
      <c r="G1698" t="inlineStr">
        <is>
          <t>M</t>
        </is>
      </c>
      <c r="H1698" t="n">
        <v>1</v>
      </c>
      <c r="I1698" t="inlineStr">
        <is>
          <t>NAUTICA_CLASSICS_117004745_BLK_1.jpg</t>
        </is>
      </c>
      <c r="J1698" t="inlineStr">
        <is>
          <t>NAUTICA_CLASSICS_117004745_BLK_2.jpg</t>
        </is>
      </c>
      <c r="K1698" t="inlineStr">
        <is>
          <t>NAUTICA_CLASSICS_117004745_BLK_3.jpg</t>
        </is>
      </c>
      <c r="L1698">
        <f>IMAGE("file:///E:/Estudios%20y%20certificaciones/ESTUDIOS%20DE%20PROGRAMMING/PROGRAMMING/PERSONAL/PYTHON/Image_Generator_API/imagenes/NAUTICA_CLASSICS_117004745_BLK_1.jpg")</f>
        <v/>
      </c>
      <c r="M1698">
        <f>IMAGE("file:///E:/Estudios%20y%20certificaciones/ESTUDIOS%20DE%20PROGRAMMING/PROGRAMMING/PERSONAL/PYTHON/Image_Generator_API/imagenes/NAUTICA_CLASSICS_117004745_BLK_2.jpg")</f>
        <v/>
      </c>
      <c r="N1698">
        <f>IMAGE("file:///E:/Estudios%20y%20certificaciones/ESTUDIOS%20DE%20PROGRAMMING/PROGRAMMING/PERSONAL/PYTHON/Image_Generator_API/imagenes/NAUTICA_CLASSICS_117004745_BLK_3.jpg")</f>
        <v/>
      </c>
      <c r="O1698">
        <f>HYPERLINK("imagenes/NAUTICA_CLASSICS_117004745_BLK_1.jpg","Ver imagen")</f>
        <v/>
      </c>
      <c r="P1698">
        <f>HYPERLINK("imagenes/NAUTICA_CLASSICS_117004745_BLK_2.jpg","Ver imagen")</f>
        <v/>
      </c>
      <c r="Q1698">
        <f>HYPERLINK("imagenes/NAUTICA_CLASSICS_117004745_BLK_3.jpg","Ver imagen")</f>
        <v/>
      </c>
    </row>
    <row r="1699">
      <c r="A1699" t="inlineStr">
        <is>
          <t>NAUTICA CLASSICS</t>
        </is>
      </c>
      <c r="B1699" t="inlineStr">
        <is>
          <t>117004745</t>
        </is>
      </c>
      <c r="C1699" t="inlineStr">
        <is>
          <t>STRETCH W/ BIB &amp; NYLON INTERIOR</t>
        </is>
      </c>
      <c r="D1699" t="inlineStr">
        <is>
          <t>BLK</t>
        </is>
      </c>
      <c r="E1699" t="inlineStr">
        <is>
          <t>(en blanco)</t>
        </is>
      </c>
      <c r="F1699" t="inlineStr">
        <is>
          <t>(en blanco)</t>
        </is>
      </c>
      <c r="G1699" t="inlineStr">
        <is>
          <t>L</t>
        </is>
      </c>
      <c r="H1699" t="n">
        <v>2</v>
      </c>
      <c r="I1699" t="inlineStr">
        <is>
          <t>NAUTICA_CLASSICS_117004745_BLK_1.jpg</t>
        </is>
      </c>
      <c r="J1699" t="inlineStr">
        <is>
          <t>NAUTICA_CLASSICS_117004745_BLK_2.jpg</t>
        </is>
      </c>
      <c r="K1699" t="inlineStr">
        <is>
          <t>NAUTICA_CLASSICS_117004745_BLK_3.jpg</t>
        </is>
      </c>
      <c r="L1699">
        <f>IMAGE("file:///E:/Estudios%20y%20certificaciones/ESTUDIOS%20DE%20PROGRAMMING/PROGRAMMING/PERSONAL/PYTHON/Image_Generator_API/imagenes/NAUTICA_CLASSICS_117004745_BLK_1.jpg")</f>
        <v/>
      </c>
      <c r="M1699">
        <f>IMAGE("file:///E:/Estudios%20y%20certificaciones/ESTUDIOS%20DE%20PROGRAMMING/PROGRAMMING/PERSONAL/PYTHON/Image_Generator_API/imagenes/NAUTICA_CLASSICS_117004745_BLK_2.jpg")</f>
        <v/>
      </c>
      <c r="N1699">
        <f>IMAGE("file:///E:/Estudios%20y%20certificaciones/ESTUDIOS%20DE%20PROGRAMMING/PROGRAMMING/PERSONAL/PYTHON/Image_Generator_API/imagenes/NAUTICA_CLASSICS_117004745_BLK_3.jpg")</f>
        <v/>
      </c>
      <c r="O1699">
        <f>HYPERLINK("imagenes/NAUTICA_CLASSICS_117004745_BLK_1.jpg","Ver imagen")</f>
        <v/>
      </c>
      <c r="P1699">
        <f>HYPERLINK("imagenes/NAUTICA_CLASSICS_117004745_BLK_2.jpg","Ver imagen")</f>
        <v/>
      </c>
      <c r="Q1699">
        <f>HYPERLINK("imagenes/NAUTICA_CLASSICS_117004745_BLK_3.jpg","Ver imagen")</f>
        <v/>
      </c>
    </row>
    <row r="1700">
      <c r="A1700" t="inlineStr">
        <is>
          <t>NAUTICA CLASSICS</t>
        </is>
      </c>
      <c r="B1700" t="inlineStr">
        <is>
          <t>117004745</t>
        </is>
      </c>
      <c r="C1700" t="inlineStr">
        <is>
          <t>STRETCH W/ BIB &amp; NYLON INTERIOR</t>
        </is>
      </c>
      <c r="D1700" t="inlineStr">
        <is>
          <t>NSS</t>
        </is>
      </c>
      <c r="E1700" t="inlineStr">
        <is>
          <t>(en blanco)</t>
        </is>
      </c>
      <c r="F1700" t="inlineStr">
        <is>
          <t>(en blanco)</t>
        </is>
      </c>
      <c r="G1700" t="inlineStr">
        <is>
          <t>S</t>
        </is>
      </c>
      <c r="H1700" t="n">
        <v>14</v>
      </c>
      <c r="I1700" t="inlineStr">
        <is>
          <t>NAUTICA_CLASSICS_117004745_NSS_1.jpg</t>
        </is>
      </c>
      <c r="J1700" t="inlineStr">
        <is>
          <t>NAUTICA_CLASSICS_117004745_NSS_2.jpg</t>
        </is>
      </c>
      <c r="K1700" t="inlineStr">
        <is>
          <t>NAUTICA_CLASSICS_117004745_NSS_3.jpg</t>
        </is>
      </c>
      <c r="L1700">
        <f>IMAGE("file:///E:/Estudios%20y%20certificaciones/ESTUDIOS%20DE%20PROGRAMMING/PROGRAMMING/PERSONAL/PYTHON/Image_Generator_API/imagenes/NAUTICA_CLASSICS_117004745_NSS_1.jpg")</f>
        <v/>
      </c>
      <c r="M1700">
        <f>IMAGE("file:///E:/Estudios%20y%20certificaciones/ESTUDIOS%20DE%20PROGRAMMING/PROGRAMMING/PERSONAL/PYTHON/Image_Generator_API/imagenes/NAUTICA_CLASSICS_117004745_NSS_2.jpg")</f>
        <v/>
      </c>
      <c r="N1700">
        <f>IMAGE("file:///E:/Estudios%20y%20certificaciones/ESTUDIOS%20DE%20PROGRAMMING/PROGRAMMING/PERSONAL/PYTHON/Image_Generator_API/imagenes/NAUTICA_CLASSICS_117004745_NSS_3.jpg")</f>
        <v/>
      </c>
      <c r="O1700">
        <f>HYPERLINK("imagenes/NAUTICA_CLASSICS_117004745_NSS_1.jpg","Ver imagen")</f>
        <v/>
      </c>
      <c r="P1700">
        <f>HYPERLINK("imagenes/NAUTICA_CLASSICS_117004745_NSS_2.jpg","Ver imagen")</f>
        <v/>
      </c>
      <c r="Q1700">
        <f>HYPERLINK("imagenes/NAUTICA_CLASSICS_117004745_NSS_3.jpg","Ver imagen")</f>
        <v/>
      </c>
    </row>
    <row r="1701">
      <c r="A1701" t="inlineStr">
        <is>
          <t>NAUTICA CLASSICS</t>
        </is>
      </c>
      <c r="B1701" t="inlineStr">
        <is>
          <t>117004745</t>
        </is>
      </c>
      <c r="C1701" t="inlineStr">
        <is>
          <t>STRETCH W/ BIB &amp; NYLON INTERIOR</t>
        </is>
      </c>
      <c r="D1701" t="inlineStr">
        <is>
          <t>NSS</t>
        </is>
      </c>
      <c r="E1701" t="inlineStr">
        <is>
          <t>(en blanco)</t>
        </is>
      </c>
      <c r="F1701" t="inlineStr">
        <is>
          <t>(en blanco)</t>
        </is>
      </c>
      <c r="G1701" t="inlineStr">
        <is>
          <t>M</t>
        </is>
      </c>
      <c r="H1701" t="n">
        <v>3</v>
      </c>
      <c r="I1701" t="inlineStr">
        <is>
          <t>NAUTICA_CLASSICS_117004745_NSS_1.jpg</t>
        </is>
      </c>
      <c r="J1701" t="inlineStr">
        <is>
          <t>NAUTICA_CLASSICS_117004745_NSS_2.jpg</t>
        </is>
      </c>
      <c r="K1701" t="inlineStr">
        <is>
          <t>NAUTICA_CLASSICS_117004745_NSS_3.jpg</t>
        </is>
      </c>
      <c r="L1701">
        <f>IMAGE("file:///E:/Estudios%20y%20certificaciones/ESTUDIOS%20DE%20PROGRAMMING/PROGRAMMING/PERSONAL/PYTHON/Image_Generator_API/imagenes/NAUTICA_CLASSICS_117004745_NSS_1.jpg")</f>
        <v/>
      </c>
      <c r="M1701">
        <f>IMAGE("file:///E:/Estudios%20y%20certificaciones/ESTUDIOS%20DE%20PROGRAMMING/PROGRAMMING/PERSONAL/PYTHON/Image_Generator_API/imagenes/NAUTICA_CLASSICS_117004745_NSS_2.jpg")</f>
        <v/>
      </c>
      <c r="N1701">
        <f>IMAGE("file:///E:/Estudios%20y%20certificaciones/ESTUDIOS%20DE%20PROGRAMMING/PROGRAMMING/PERSONAL/PYTHON/Image_Generator_API/imagenes/NAUTICA_CLASSICS_117004745_NSS_3.jpg")</f>
        <v/>
      </c>
      <c r="O1701">
        <f>HYPERLINK("imagenes/NAUTICA_CLASSICS_117004745_NSS_1.jpg","Ver imagen")</f>
        <v/>
      </c>
      <c r="P1701">
        <f>HYPERLINK("imagenes/NAUTICA_CLASSICS_117004745_NSS_2.jpg","Ver imagen")</f>
        <v/>
      </c>
      <c r="Q1701">
        <f>HYPERLINK("imagenes/NAUTICA_CLASSICS_117004745_NSS_3.jpg","Ver imagen")</f>
        <v/>
      </c>
    </row>
    <row r="1702">
      <c r="A1702" t="inlineStr">
        <is>
          <t>NAUTICA CLASSICS</t>
        </is>
      </c>
      <c r="B1702" t="inlineStr">
        <is>
          <t>117004745</t>
        </is>
      </c>
      <c r="C1702" t="inlineStr">
        <is>
          <t>STRETCH W/ BIB &amp; NYLON INTERIOR</t>
        </is>
      </c>
      <c r="D1702" t="inlineStr">
        <is>
          <t>NSS</t>
        </is>
      </c>
      <c r="E1702" t="inlineStr">
        <is>
          <t>(en blanco)</t>
        </is>
      </c>
      <c r="F1702" t="inlineStr">
        <is>
          <t>(en blanco)</t>
        </is>
      </c>
      <c r="G1702" t="inlineStr">
        <is>
          <t>L</t>
        </is>
      </c>
      <c r="H1702" t="n">
        <v>10</v>
      </c>
      <c r="I1702" t="inlineStr">
        <is>
          <t>NAUTICA_CLASSICS_117004745_NSS_1.jpg</t>
        </is>
      </c>
      <c r="J1702" t="inlineStr">
        <is>
          <t>NAUTICA_CLASSICS_117004745_NSS_2.jpg</t>
        </is>
      </c>
      <c r="K1702" t="inlineStr">
        <is>
          <t>NAUTICA_CLASSICS_117004745_NSS_3.jpg</t>
        </is>
      </c>
      <c r="L1702">
        <f>IMAGE("file:///E:/Estudios%20y%20certificaciones/ESTUDIOS%20DE%20PROGRAMMING/PROGRAMMING/PERSONAL/PYTHON/Image_Generator_API/imagenes/NAUTICA_CLASSICS_117004745_NSS_1.jpg")</f>
        <v/>
      </c>
      <c r="M1702">
        <f>IMAGE("file:///E:/Estudios%20y%20certificaciones/ESTUDIOS%20DE%20PROGRAMMING/PROGRAMMING/PERSONAL/PYTHON/Image_Generator_API/imagenes/NAUTICA_CLASSICS_117004745_NSS_2.jpg")</f>
        <v/>
      </c>
      <c r="N1702">
        <f>IMAGE("file:///E:/Estudios%20y%20certificaciones/ESTUDIOS%20DE%20PROGRAMMING/PROGRAMMING/PERSONAL/PYTHON/Image_Generator_API/imagenes/NAUTICA_CLASSICS_117004745_NSS_3.jpg")</f>
        <v/>
      </c>
      <c r="O1702">
        <f>HYPERLINK("imagenes/NAUTICA_CLASSICS_117004745_NSS_1.jpg","Ver imagen")</f>
        <v/>
      </c>
      <c r="P1702">
        <f>HYPERLINK("imagenes/NAUTICA_CLASSICS_117004745_NSS_2.jpg","Ver imagen")</f>
        <v/>
      </c>
      <c r="Q1702">
        <f>HYPERLINK("imagenes/NAUTICA_CLASSICS_117004745_NSS_3.jpg","Ver imagen")</f>
        <v/>
      </c>
    </row>
    <row r="1703">
      <c r="A1703" t="inlineStr">
        <is>
          <t>NAUTICA CLASSICS</t>
        </is>
      </c>
      <c r="B1703" t="inlineStr">
        <is>
          <t>117004745</t>
        </is>
      </c>
      <c r="C1703" t="inlineStr">
        <is>
          <t>STRETCH W/ BIB &amp; NYLON INTERIOR</t>
        </is>
      </c>
      <c r="D1703" t="inlineStr">
        <is>
          <t>NSS</t>
        </is>
      </c>
      <c r="E1703" t="inlineStr">
        <is>
          <t>(en blanco)</t>
        </is>
      </c>
      <c r="F1703" t="inlineStr">
        <is>
          <t>(en blanco)</t>
        </is>
      </c>
      <c r="G1703" t="inlineStr">
        <is>
          <t>XL</t>
        </is>
      </c>
      <c r="H1703" t="n">
        <v>6</v>
      </c>
      <c r="I1703" t="inlineStr">
        <is>
          <t>NAUTICA_CLASSICS_117004745_NSS_1.jpg</t>
        </is>
      </c>
      <c r="J1703" t="inlineStr">
        <is>
          <t>NAUTICA_CLASSICS_117004745_NSS_2.jpg</t>
        </is>
      </c>
      <c r="K1703" t="inlineStr">
        <is>
          <t>NAUTICA_CLASSICS_117004745_NSS_3.jpg</t>
        </is>
      </c>
      <c r="L1703">
        <f>IMAGE("file:///E:/Estudios%20y%20certificaciones/ESTUDIOS%20DE%20PROGRAMMING/PROGRAMMING/PERSONAL/PYTHON/Image_Generator_API/imagenes/NAUTICA_CLASSICS_117004745_NSS_1.jpg")</f>
        <v/>
      </c>
      <c r="M1703">
        <f>IMAGE("file:///E:/Estudios%20y%20certificaciones/ESTUDIOS%20DE%20PROGRAMMING/PROGRAMMING/PERSONAL/PYTHON/Image_Generator_API/imagenes/NAUTICA_CLASSICS_117004745_NSS_2.jpg")</f>
        <v/>
      </c>
      <c r="N1703">
        <f>IMAGE("file:///E:/Estudios%20y%20certificaciones/ESTUDIOS%20DE%20PROGRAMMING/PROGRAMMING/PERSONAL/PYTHON/Image_Generator_API/imagenes/NAUTICA_CLASSICS_117004745_NSS_3.jpg")</f>
        <v/>
      </c>
      <c r="O1703">
        <f>HYPERLINK("imagenes/NAUTICA_CLASSICS_117004745_NSS_1.jpg","Ver imagen")</f>
        <v/>
      </c>
      <c r="P1703">
        <f>HYPERLINK("imagenes/NAUTICA_CLASSICS_117004745_NSS_2.jpg","Ver imagen")</f>
        <v/>
      </c>
      <c r="Q1703">
        <f>HYPERLINK("imagenes/NAUTICA_CLASSICS_117004745_NSS_3.jpg","Ver imagen")</f>
        <v/>
      </c>
    </row>
    <row r="1704">
      <c r="A1704" t="inlineStr">
        <is>
          <t>NAUTICA CLASSICS</t>
        </is>
      </c>
      <c r="B1704" t="inlineStr">
        <is>
          <t>117004745</t>
        </is>
      </c>
      <c r="C1704" t="inlineStr">
        <is>
          <t>STRETCH W/ BIB &amp; NYLON INTERIOR</t>
        </is>
      </c>
      <c r="D1704" t="inlineStr">
        <is>
          <t>PRY</t>
        </is>
      </c>
      <c r="E1704" t="inlineStr">
        <is>
          <t>08A05</t>
        </is>
      </c>
      <c r="F1704" t="inlineStr">
        <is>
          <t>(en blanco)</t>
        </is>
      </c>
      <c r="G1704" t="inlineStr">
        <is>
          <t>PPK</t>
        </is>
      </c>
      <c r="H1704" t="n">
        <v>344</v>
      </c>
      <c r="I1704" t="inlineStr">
        <is>
          <t>NAUTICA_CLASSICS_117004745_PRY_1.jpg</t>
        </is>
      </c>
      <c r="J1704" t="inlineStr">
        <is>
          <t>NAUTICA_CLASSICS_117004745_PRY_2.jpg</t>
        </is>
      </c>
      <c r="K1704" t="inlineStr">
        <is>
          <t>NAUTICA_CLASSICS_117004745_PRY_3.jpg</t>
        </is>
      </c>
      <c r="L1704">
        <f>IMAGE("file:///E:/Estudios%20y%20certificaciones/ESTUDIOS%20DE%20PROGRAMMING/PROGRAMMING/PERSONAL/PYTHON/Image_Generator_API/imagenes/NAUTICA_CLASSICS_117004745_PRY_1.jpg")</f>
        <v/>
      </c>
      <c r="M1704">
        <f>IMAGE("file:///E:/Estudios%20y%20certificaciones/ESTUDIOS%20DE%20PROGRAMMING/PROGRAMMING/PERSONAL/PYTHON/Image_Generator_API/imagenes/NAUTICA_CLASSICS_117004745_PRY_2.jpg")</f>
        <v/>
      </c>
      <c r="N1704">
        <f>IMAGE("file:///E:/Estudios%20y%20certificaciones/ESTUDIOS%20DE%20PROGRAMMING/PROGRAMMING/PERSONAL/PYTHON/Image_Generator_API/imagenes/NAUTICA_CLASSICS_117004745_PRY_3.jpg")</f>
        <v/>
      </c>
      <c r="O1704">
        <f>HYPERLINK("imagenes/NAUTICA_CLASSICS_117004745_PRY_1.jpg","Ver imagen")</f>
        <v/>
      </c>
      <c r="P1704">
        <f>HYPERLINK("imagenes/NAUTICA_CLASSICS_117004745_PRY_2.jpg","Ver imagen")</f>
        <v/>
      </c>
      <c r="Q1704">
        <f>HYPERLINK("imagenes/NAUTICA_CLASSICS_117004745_PRY_3.jpg","Ver imagen")</f>
        <v/>
      </c>
    </row>
    <row r="1705">
      <c r="A1705" t="inlineStr">
        <is>
          <t>NAUTICA CLASSICS</t>
        </is>
      </c>
      <c r="B1705" t="inlineStr">
        <is>
          <t>117004746</t>
        </is>
      </c>
      <c r="C1705" t="inlineStr">
        <is>
          <t>STRETCH PUFFFER WITH BIB</t>
        </is>
      </c>
      <c r="D1705" t="inlineStr">
        <is>
          <t>BLK</t>
        </is>
      </c>
      <c r="E1705" t="inlineStr">
        <is>
          <t>(en blanco)</t>
        </is>
      </c>
      <c r="F1705" t="inlineStr">
        <is>
          <t>(en blanco)</t>
        </is>
      </c>
      <c r="G1705" t="inlineStr">
        <is>
          <t>XS</t>
        </is>
      </c>
      <c r="H1705" t="n">
        <v>9</v>
      </c>
      <c r="I1705" t="inlineStr">
        <is>
          <t>NAUTICA_CLASSICS_117004746_BLK_1.jpg</t>
        </is>
      </c>
      <c r="J1705" t="inlineStr">
        <is>
          <t>NAUTICA_CLASSICS_117004746_BLK_2.jpg</t>
        </is>
      </c>
      <c r="K1705" t="inlineStr">
        <is>
          <t>NAUTICA_CLASSICS_117004746_BLK_3.jpg</t>
        </is>
      </c>
      <c r="L1705">
        <f>IMAGE("file:///E:/Estudios%20y%20certificaciones/ESTUDIOS%20DE%20PROGRAMMING/PROGRAMMING/PERSONAL/PYTHON/Image_Generator_API/imagenes/NAUTICA_CLASSICS_117004746_BLK_1.jpg")</f>
        <v/>
      </c>
      <c r="M1705">
        <f>IMAGE("file:///E:/Estudios%20y%20certificaciones/ESTUDIOS%20DE%20PROGRAMMING/PROGRAMMING/PERSONAL/PYTHON/Image_Generator_API/imagenes/NAUTICA_CLASSICS_117004746_BLK_2.jpg")</f>
        <v/>
      </c>
      <c r="N1705">
        <f>IMAGE("file:///E:/Estudios%20y%20certificaciones/ESTUDIOS%20DE%20PROGRAMMING/PROGRAMMING/PERSONAL/PYTHON/Image_Generator_API/imagenes/NAUTICA_CLASSICS_117004746_BLK_3.jpg")</f>
        <v/>
      </c>
      <c r="O1705">
        <f>HYPERLINK("imagenes/NAUTICA_CLASSICS_117004746_BLK_1.jpg","Ver imagen")</f>
        <v/>
      </c>
      <c r="P1705">
        <f>HYPERLINK("imagenes/NAUTICA_CLASSICS_117004746_BLK_2.jpg","Ver imagen")</f>
        <v/>
      </c>
      <c r="Q1705">
        <f>HYPERLINK("imagenes/NAUTICA_CLASSICS_117004746_BLK_3.jpg","Ver imagen")</f>
        <v/>
      </c>
    </row>
    <row r="1706">
      <c r="A1706" t="inlineStr">
        <is>
          <t>NAUTICA CLASSICS</t>
        </is>
      </c>
      <c r="B1706" t="inlineStr">
        <is>
          <t>117004746</t>
        </is>
      </c>
      <c r="C1706" t="inlineStr">
        <is>
          <t>STRETCH PUFFFER WITH BIB</t>
        </is>
      </c>
      <c r="D1706" t="inlineStr">
        <is>
          <t>BLK</t>
        </is>
      </c>
      <c r="E1706" t="inlineStr">
        <is>
          <t>(en blanco)</t>
        </is>
      </c>
      <c r="F1706" t="inlineStr">
        <is>
          <t>(en blanco)</t>
        </is>
      </c>
      <c r="G1706" t="inlineStr">
        <is>
          <t>S</t>
        </is>
      </c>
      <c r="H1706" t="n">
        <v>7</v>
      </c>
      <c r="I1706" t="inlineStr">
        <is>
          <t>NAUTICA_CLASSICS_117004746_BLK_1.jpg</t>
        </is>
      </c>
      <c r="J1706" t="inlineStr">
        <is>
          <t>NAUTICA_CLASSICS_117004746_BLK_2.jpg</t>
        </is>
      </c>
      <c r="K1706" t="inlineStr">
        <is>
          <t>NAUTICA_CLASSICS_117004746_BLK_3.jpg</t>
        </is>
      </c>
      <c r="L1706">
        <f>IMAGE("file:///E:/Estudios%20y%20certificaciones/ESTUDIOS%20DE%20PROGRAMMING/PROGRAMMING/PERSONAL/PYTHON/Image_Generator_API/imagenes/NAUTICA_CLASSICS_117004746_BLK_1.jpg")</f>
        <v/>
      </c>
      <c r="M1706">
        <f>IMAGE("file:///E:/Estudios%20y%20certificaciones/ESTUDIOS%20DE%20PROGRAMMING/PROGRAMMING/PERSONAL/PYTHON/Image_Generator_API/imagenes/NAUTICA_CLASSICS_117004746_BLK_2.jpg")</f>
        <v/>
      </c>
      <c r="N1706">
        <f>IMAGE("file:///E:/Estudios%20y%20certificaciones/ESTUDIOS%20DE%20PROGRAMMING/PROGRAMMING/PERSONAL/PYTHON/Image_Generator_API/imagenes/NAUTICA_CLASSICS_117004746_BLK_3.jpg")</f>
        <v/>
      </c>
      <c r="O1706">
        <f>HYPERLINK("imagenes/NAUTICA_CLASSICS_117004746_BLK_1.jpg","Ver imagen")</f>
        <v/>
      </c>
      <c r="P1706">
        <f>HYPERLINK("imagenes/NAUTICA_CLASSICS_117004746_BLK_2.jpg","Ver imagen")</f>
        <v/>
      </c>
      <c r="Q1706">
        <f>HYPERLINK("imagenes/NAUTICA_CLASSICS_117004746_BLK_3.jpg","Ver imagen")</f>
        <v/>
      </c>
    </row>
    <row r="1707">
      <c r="A1707" t="inlineStr">
        <is>
          <t>NAUTICA CLASSICS</t>
        </is>
      </c>
      <c r="B1707" t="inlineStr">
        <is>
          <t>117004746</t>
        </is>
      </c>
      <c r="C1707" t="inlineStr">
        <is>
          <t>STRETCH PUFFFER WITH BIB</t>
        </is>
      </c>
      <c r="D1707" t="inlineStr">
        <is>
          <t>NSS</t>
        </is>
      </c>
      <c r="E1707" t="inlineStr">
        <is>
          <t>(en blanco)</t>
        </is>
      </c>
      <c r="F1707" t="inlineStr">
        <is>
          <t>(en blanco)</t>
        </is>
      </c>
      <c r="G1707" t="inlineStr">
        <is>
          <t>M</t>
        </is>
      </c>
      <c r="H1707" t="n">
        <v>4</v>
      </c>
      <c r="I1707" t="inlineStr">
        <is>
          <t>NAUTICA_CLASSICS_117004746_NSS_1.jpg</t>
        </is>
      </c>
      <c r="J1707" t="inlineStr">
        <is>
          <t>NAUTICA_CLASSICS_117004746_NSS_2.jpg</t>
        </is>
      </c>
      <c r="K1707" t="inlineStr">
        <is>
          <t>NAUTICA_CLASSICS_117004746_NSS_3.jpg</t>
        </is>
      </c>
      <c r="L1707">
        <f>IMAGE("file:///E:/Estudios%20y%20certificaciones/ESTUDIOS%20DE%20PROGRAMMING/PROGRAMMING/PERSONAL/PYTHON/Image_Generator_API/imagenes/NAUTICA_CLASSICS_117004746_NSS_1.jpg")</f>
        <v/>
      </c>
      <c r="M1707">
        <f>IMAGE("file:///E:/Estudios%20y%20certificaciones/ESTUDIOS%20DE%20PROGRAMMING/PROGRAMMING/PERSONAL/PYTHON/Image_Generator_API/imagenes/NAUTICA_CLASSICS_117004746_NSS_2.jpg")</f>
        <v/>
      </c>
      <c r="N1707">
        <f>IMAGE("file:///E:/Estudios%20y%20certificaciones/ESTUDIOS%20DE%20PROGRAMMING/PROGRAMMING/PERSONAL/PYTHON/Image_Generator_API/imagenes/NAUTICA_CLASSICS_117004746_NSS_3.jpg")</f>
        <v/>
      </c>
      <c r="O1707">
        <f>HYPERLINK("imagenes/NAUTICA_CLASSICS_117004746_NSS_1.jpg","Ver imagen")</f>
        <v/>
      </c>
      <c r="P1707">
        <f>HYPERLINK("imagenes/NAUTICA_CLASSICS_117004746_NSS_2.jpg","Ver imagen")</f>
        <v/>
      </c>
      <c r="Q1707">
        <f>HYPERLINK("imagenes/NAUTICA_CLASSICS_117004746_NSS_3.jpg","Ver imagen")</f>
        <v/>
      </c>
    </row>
    <row r="1708">
      <c r="A1708" t="inlineStr">
        <is>
          <t>NAUTICA CLASSICS</t>
        </is>
      </c>
      <c r="B1708" t="inlineStr">
        <is>
          <t>117004746</t>
        </is>
      </c>
      <c r="C1708" t="inlineStr">
        <is>
          <t>STRETCH PUFFFER WITH BIB</t>
        </is>
      </c>
      <c r="D1708" t="inlineStr">
        <is>
          <t>NSS</t>
        </is>
      </c>
      <c r="E1708" t="inlineStr">
        <is>
          <t>(en blanco)</t>
        </is>
      </c>
      <c r="F1708" t="inlineStr">
        <is>
          <t>(en blanco)</t>
        </is>
      </c>
      <c r="G1708" t="inlineStr">
        <is>
          <t>XL</t>
        </is>
      </c>
      <c r="H1708" t="n">
        <v>5</v>
      </c>
      <c r="I1708" t="inlineStr">
        <is>
          <t>NAUTICA_CLASSICS_117004746_NSS_1.jpg</t>
        </is>
      </c>
      <c r="J1708" t="inlineStr">
        <is>
          <t>NAUTICA_CLASSICS_117004746_NSS_2.jpg</t>
        </is>
      </c>
      <c r="K1708" t="inlineStr">
        <is>
          <t>NAUTICA_CLASSICS_117004746_NSS_3.jpg</t>
        </is>
      </c>
      <c r="L1708">
        <f>IMAGE("file:///E:/Estudios%20y%20certificaciones/ESTUDIOS%20DE%20PROGRAMMING/PROGRAMMING/PERSONAL/PYTHON/Image_Generator_API/imagenes/NAUTICA_CLASSICS_117004746_NSS_1.jpg")</f>
        <v/>
      </c>
      <c r="M1708">
        <f>IMAGE("file:///E:/Estudios%20y%20certificaciones/ESTUDIOS%20DE%20PROGRAMMING/PROGRAMMING/PERSONAL/PYTHON/Image_Generator_API/imagenes/NAUTICA_CLASSICS_117004746_NSS_2.jpg")</f>
        <v/>
      </c>
      <c r="N1708">
        <f>IMAGE("file:///E:/Estudios%20y%20certificaciones/ESTUDIOS%20DE%20PROGRAMMING/PROGRAMMING/PERSONAL/PYTHON/Image_Generator_API/imagenes/NAUTICA_CLASSICS_117004746_NSS_3.jpg")</f>
        <v/>
      </c>
      <c r="O1708">
        <f>HYPERLINK("imagenes/NAUTICA_CLASSICS_117004746_NSS_1.jpg","Ver imagen")</f>
        <v/>
      </c>
      <c r="P1708">
        <f>HYPERLINK("imagenes/NAUTICA_CLASSICS_117004746_NSS_2.jpg","Ver imagen")</f>
        <v/>
      </c>
      <c r="Q1708">
        <f>HYPERLINK("imagenes/NAUTICA_CLASSICS_117004746_NSS_3.jpg","Ver imagen")</f>
        <v/>
      </c>
    </row>
    <row r="1709">
      <c r="A1709" t="inlineStr">
        <is>
          <t>NAUTICA CLASSICS</t>
        </is>
      </c>
      <c r="B1709" t="inlineStr">
        <is>
          <t>117004771</t>
        </is>
      </c>
      <c r="C1709" t="inlineStr">
        <is>
          <t>STRETCH PUFFER W/BELT</t>
        </is>
      </c>
      <c r="D1709" t="inlineStr">
        <is>
          <t>BLK</t>
        </is>
      </c>
      <c r="E1709" t="inlineStr">
        <is>
          <t>05A05</t>
        </is>
      </c>
      <c r="F1709" t="inlineStr">
        <is>
          <t>(en blanco)</t>
        </is>
      </c>
      <c r="G1709" t="inlineStr">
        <is>
          <t>PPK</t>
        </is>
      </c>
      <c r="H1709" t="n">
        <v>2680</v>
      </c>
      <c r="I1709" t="inlineStr">
        <is>
          <t>NAUTICA_CLASSICS_117004771_BLK_1.jpg</t>
        </is>
      </c>
      <c r="J1709" t="inlineStr">
        <is>
          <t>NAUTICA_CLASSICS_117004771_BLK_2.jpg</t>
        </is>
      </c>
      <c r="K1709" t="inlineStr">
        <is>
          <t>NAUTICA_CLASSICS_117004771_BLK_3.jpg</t>
        </is>
      </c>
      <c r="L1709">
        <f>IMAGE("file:///E:/Estudios%20y%20certificaciones/ESTUDIOS%20DE%20PROGRAMMING/PROGRAMMING/PERSONAL/PYTHON/Image_Generator_API/imagenes/NAUTICA_CLASSICS_117004771_BLK_1.jpg")</f>
        <v/>
      </c>
      <c r="M1709">
        <f>IMAGE("file:///E:/Estudios%20y%20certificaciones/ESTUDIOS%20DE%20PROGRAMMING/PROGRAMMING/PERSONAL/PYTHON/Image_Generator_API/imagenes/NAUTICA_CLASSICS_117004771_BLK_2.jpg")</f>
        <v/>
      </c>
      <c r="N1709">
        <f>IMAGE("file:///E:/Estudios%20y%20certificaciones/ESTUDIOS%20DE%20PROGRAMMING/PROGRAMMING/PERSONAL/PYTHON/Image_Generator_API/imagenes/NAUTICA_CLASSICS_117004771_BLK_3.jpg")</f>
        <v/>
      </c>
      <c r="O1709">
        <f>HYPERLINK("imagenes/NAUTICA_CLASSICS_117004771_BLK_1.jpg","Ver imagen")</f>
        <v/>
      </c>
      <c r="P1709">
        <f>HYPERLINK("imagenes/NAUTICA_CLASSICS_117004771_BLK_2.jpg","Ver imagen")</f>
        <v/>
      </c>
      <c r="Q1709">
        <f>HYPERLINK("imagenes/NAUTICA_CLASSICS_117004771_BLK_3.jpg","Ver imagen")</f>
        <v/>
      </c>
    </row>
    <row r="1710">
      <c r="A1710" t="inlineStr">
        <is>
          <t>NAUTICA CLASSICS</t>
        </is>
      </c>
      <c r="B1710" t="inlineStr">
        <is>
          <t>117004771</t>
        </is>
      </c>
      <c r="C1710" t="inlineStr">
        <is>
          <t>STRETCH PUFFER W/BELT</t>
        </is>
      </c>
      <c r="D1710" t="inlineStr">
        <is>
          <t>BLK</t>
        </is>
      </c>
      <c r="E1710" t="inlineStr">
        <is>
          <t>(en blanco)</t>
        </is>
      </c>
      <c r="F1710" t="inlineStr">
        <is>
          <t>(en blanco)</t>
        </is>
      </c>
      <c r="G1710" t="inlineStr">
        <is>
          <t>S</t>
        </is>
      </c>
      <c r="H1710" t="n">
        <v>73</v>
      </c>
      <c r="I1710" t="inlineStr">
        <is>
          <t>NAUTICA_CLASSICS_117004771_BLK_1.jpg</t>
        </is>
      </c>
      <c r="J1710" t="inlineStr">
        <is>
          <t>NAUTICA_CLASSICS_117004771_BLK_2.jpg</t>
        </is>
      </c>
      <c r="K1710" t="inlineStr">
        <is>
          <t>NAUTICA_CLASSICS_117004771_BLK_3.jpg</t>
        </is>
      </c>
      <c r="L1710">
        <f>IMAGE("file:///E:/Estudios%20y%20certificaciones/ESTUDIOS%20DE%20PROGRAMMING/PROGRAMMING/PERSONAL/PYTHON/Image_Generator_API/imagenes/NAUTICA_CLASSICS_117004771_BLK_1.jpg")</f>
        <v/>
      </c>
      <c r="M1710">
        <f>IMAGE("file:///E:/Estudios%20y%20certificaciones/ESTUDIOS%20DE%20PROGRAMMING/PROGRAMMING/PERSONAL/PYTHON/Image_Generator_API/imagenes/NAUTICA_CLASSICS_117004771_BLK_2.jpg")</f>
        <v/>
      </c>
      <c r="N1710">
        <f>IMAGE("file:///E:/Estudios%20y%20certificaciones/ESTUDIOS%20DE%20PROGRAMMING/PROGRAMMING/PERSONAL/PYTHON/Image_Generator_API/imagenes/NAUTICA_CLASSICS_117004771_BLK_3.jpg")</f>
        <v/>
      </c>
      <c r="O1710">
        <f>HYPERLINK("imagenes/NAUTICA_CLASSICS_117004771_BLK_1.jpg","Ver imagen")</f>
        <v/>
      </c>
      <c r="P1710">
        <f>HYPERLINK("imagenes/NAUTICA_CLASSICS_117004771_BLK_2.jpg","Ver imagen")</f>
        <v/>
      </c>
      <c r="Q1710">
        <f>HYPERLINK("imagenes/NAUTICA_CLASSICS_117004771_BLK_3.jpg","Ver imagen")</f>
        <v/>
      </c>
    </row>
    <row r="1711">
      <c r="A1711" t="inlineStr">
        <is>
          <t>NAUTICA CLASSICS</t>
        </is>
      </c>
      <c r="B1711" t="inlineStr">
        <is>
          <t>117004771</t>
        </is>
      </c>
      <c r="C1711" t="inlineStr">
        <is>
          <t>STRETCH PUFFER W/BELT</t>
        </is>
      </c>
      <c r="D1711" t="inlineStr">
        <is>
          <t>BLK</t>
        </is>
      </c>
      <c r="E1711" t="inlineStr">
        <is>
          <t>(en blanco)</t>
        </is>
      </c>
      <c r="F1711" t="inlineStr">
        <is>
          <t>(en blanco)</t>
        </is>
      </c>
      <c r="G1711" t="inlineStr">
        <is>
          <t>M</t>
        </is>
      </c>
      <c r="H1711" t="n">
        <v>75</v>
      </c>
      <c r="I1711" t="inlineStr">
        <is>
          <t>NAUTICA_CLASSICS_117004771_BLK_1.jpg</t>
        </is>
      </c>
      <c r="J1711" t="inlineStr">
        <is>
          <t>NAUTICA_CLASSICS_117004771_BLK_2.jpg</t>
        </is>
      </c>
      <c r="K1711" t="inlineStr">
        <is>
          <t>NAUTICA_CLASSICS_117004771_BLK_3.jpg</t>
        </is>
      </c>
      <c r="L1711">
        <f>IMAGE("file:///E:/Estudios%20y%20certificaciones/ESTUDIOS%20DE%20PROGRAMMING/PROGRAMMING/PERSONAL/PYTHON/Image_Generator_API/imagenes/NAUTICA_CLASSICS_117004771_BLK_1.jpg")</f>
        <v/>
      </c>
      <c r="M1711">
        <f>IMAGE("file:///E:/Estudios%20y%20certificaciones/ESTUDIOS%20DE%20PROGRAMMING/PROGRAMMING/PERSONAL/PYTHON/Image_Generator_API/imagenes/NAUTICA_CLASSICS_117004771_BLK_2.jpg")</f>
        <v/>
      </c>
      <c r="N1711">
        <f>IMAGE("file:///E:/Estudios%20y%20certificaciones/ESTUDIOS%20DE%20PROGRAMMING/PROGRAMMING/PERSONAL/PYTHON/Image_Generator_API/imagenes/NAUTICA_CLASSICS_117004771_BLK_3.jpg")</f>
        <v/>
      </c>
      <c r="O1711">
        <f>HYPERLINK("imagenes/NAUTICA_CLASSICS_117004771_BLK_1.jpg","Ver imagen")</f>
        <v/>
      </c>
      <c r="P1711">
        <f>HYPERLINK("imagenes/NAUTICA_CLASSICS_117004771_BLK_2.jpg","Ver imagen")</f>
        <v/>
      </c>
      <c r="Q1711">
        <f>HYPERLINK("imagenes/NAUTICA_CLASSICS_117004771_BLK_3.jpg","Ver imagen")</f>
        <v/>
      </c>
    </row>
    <row r="1712">
      <c r="A1712" t="inlineStr">
        <is>
          <t>NAUTICA CLASSICS</t>
        </is>
      </c>
      <c r="B1712" t="inlineStr">
        <is>
          <t>117004771</t>
        </is>
      </c>
      <c r="C1712" t="inlineStr">
        <is>
          <t>STRETCH PUFFER W/BELT</t>
        </is>
      </c>
      <c r="D1712" t="inlineStr">
        <is>
          <t>BLK</t>
        </is>
      </c>
      <c r="E1712" t="inlineStr">
        <is>
          <t>(en blanco)</t>
        </is>
      </c>
      <c r="F1712" t="inlineStr">
        <is>
          <t>(en blanco)</t>
        </is>
      </c>
      <c r="G1712" t="inlineStr">
        <is>
          <t>L</t>
        </is>
      </c>
      <c r="H1712" t="n">
        <v>76</v>
      </c>
      <c r="I1712" t="inlineStr">
        <is>
          <t>NAUTICA_CLASSICS_117004771_BLK_1.jpg</t>
        </is>
      </c>
      <c r="J1712" t="inlineStr">
        <is>
          <t>NAUTICA_CLASSICS_117004771_BLK_2.jpg</t>
        </is>
      </c>
      <c r="K1712" t="inlineStr">
        <is>
          <t>NAUTICA_CLASSICS_117004771_BLK_3.jpg</t>
        </is>
      </c>
      <c r="L1712">
        <f>IMAGE("file:///E:/Estudios%20y%20certificaciones/ESTUDIOS%20DE%20PROGRAMMING/PROGRAMMING/PERSONAL/PYTHON/Image_Generator_API/imagenes/NAUTICA_CLASSICS_117004771_BLK_1.jpg")</f>
        <v/>
      </c>
      <c r="M1712">
        <f>IMAGE("file:///E:/Estudios%20y%20certificaciones/ESTUDIOS%20DE%20PROGRAMMING/PROGRAMMING/PERSONAL/PYTHON/Image_Generator_API/imagenes/NAUTICA_CLASSICS_117004771_BLK_2.jpg")</f>
        <v/>
      </c>
      <c r="N1712">
        <f>IMAGE("file:///E:/Estudios%20y%20certificaciones/ESTUDIOS%20DE%20PROGRAMMING/PROGRAMMING/PERSONAL/PYTHON/Image_Generator_API/imagenes/NAUTICA_CLASSICS_117004771_BLK_3.jpg")</f>
        <v/>
      </c>
      <c r="O1712">
        <f>HYPERLINK("imagenes/NAUTICA_CLASSICS_117004771_BLK_1.jpg","Ver imagen")</f>
        <v/>
      </c>
      <c r="P1712">
        <f>HYPERLINK("imagenes/NAUTICA_CLASSICS_117004771_BLK_2.jpg","Ver imagen")</f>
        <v/>
      </c>
      <c r="Q1712">
        <f>HYPERLINK("imagenes/NAUTICA_CLASSICS_117004771_BLK_3.jpg","Ver imagen")</f>
        <v/>
      </c>
    </row>
    <row r="1713">
      <c r="A1713" t="inlineStr">
        <is>
          <t>NAUTICA CLASSICS</t>
        </is>
      </c>
      <c r="B1713" t="inlineStr">
        <is>
          <t>117004771</t>
        </is>
      </c>
      <c r="C1713" t="inlineStr">
        <is>
          <t>STRETCH PUFFER W/BELT</t>
        </is>
      </c>
      <c r="D1713" t="inlineStr">
        <is>
          <t>BLK</t>
        </is>
      </c>
      <c r="E1713" t="inlineStr">
        <is>
          <t>(en blanco)</t>
        </is>
      </c>
      <c r="F1713" t="inlineStr">
        <is>
          <t>(en blanco)</t>
        </is>
      </c>
      <c r="G1713" t="inlineStr">
        <is>
          <t>XL</t>
        </is>
      </c>
      <c r="H1713" t="n">
        <v>0</v>
      </c>
      <c r="I1713" t="inlineStr">
        <is>
          <t>NAUTICA_CLASSICS_117004771_BLK_1.jpg</t>
        </is>
      </c>
      <c r="J1713" t="inlineStr">
        <is>
          <t>NAUTICA_CLASSICS_117004771_BLK_2.jpg</t>
        </is>
      </c>
      <c r="K1713" t="inlineStr">
        <is>
          <t>NAUTICA_CLASSICS_117004771_BLK_3.jpg</t>
        </is>
      </c>
      <c r="L1713">
        <f>IMAGE("file:///E:/Estudios%20y%20certificaciones/ESTUDIOS%20DE%20PROGRAMMING/PROGRAMMING/PERSONAL/PYTHON/Image_Generator_API/imagenes/NAUTICA_CLASSICS_117004771_BLK_1.jpg")</f>
        <v/>
      </c>
      <c r="M1713">
        <f>IMAGE("file:///E:/Estudios%20y%20certificaciones/ESTUDIOS%20DE%20PROGRAMMING/PROGRAMMING/PERSONAL/PYTHON/Image_Generator_API/imagenes/NAUTICA_CLASSICS_117004771_BLK_2.jpg")</f>
        <v/>
      </c>
      <c r="N1713">
        <f>IMAGE("file:///E:/Estudios%20y%20certificaciones/ESTUDIOS%20DE%20PROGRAMMING/PROGRAMMING/PERSONAL/PYTHON/Image_Generator_API/imagenes/NAUTICA_CLASSICS_117004771_BLK_3.jpg")</f>
        <v/>
      </c>
      <c r="O1713">
        <f>HYPERLINK("imagenes/NAUTICA_CLASSICS_117004771_BLK_1.jpg","Ver imagen")</f>
        <v/>
      </c>
      <c r="P1713">
        <f>HYPERLINK("imagenes/NAUTICA_CLASSICS_117004771_BLK_2.jpg","Ver imagen")</f>
        <v/>
      </c>
      <c r="Q1713">
        <f>HYPERLINK("imagenes/NAUTICA_CLASSICS_117004771_BLK_3.jpg","Ver imagen")</f>
        <v/>
      </c>
    </row>
    <row r="1714">
      <c r="A1714" t="inlineStr">
        <is>
          <t>NAUTICA CLASSICS</t>
        </is>
      </c>
      <c r="B1714" t="inlineStr">
        <is>
          <t>117004795</t>
        </is>
      </c>
      <c r="C1714" t="inlineStr">
        <is>
          <t>STRETCH JACKET WITH PLACKET</t>
        </is>
      </c>
      <c r="D1714" t="inlineStr">
        <is>
          <t>BLK</t>
        </is>
      </c>
      <c r="E1714" t="inlineStr">
        <is>
          <t>(en blanco)</t>
        </is>
      </c>
      <c r="F1714" t="inlineStr">
        <is>
          <t>D2C</t>
        </is>
      </c>
      <c r="G1714" t="inlineStr">
        <is>
          <t>XS</t>
        </is>
      </c>
      <c r="H1714" t="n">
        <v>15</v>
      </c>
      <c r="I1714" t="inlineStr">
        <is>
          <t>NAUTICA_CLASSICS_117004795_BLK_1.jpg</t>
        </is>
      </c>
      <c r="J1714" t="inlineStr">
        <is>
          <t>NAUTICA_CLASSICS_117004795_BLK_2.jpg</t>
        </is>
      </c>
      <c r="K1714" t="inlineStr">
        <is>
          <t>NAUTICA_CLASSICS_117004795_BLK_3.jpg</t>
        </is>
      </c>
      <c r="L1714">
        <f>IMAGE("file:///E:/Estudios%20y%20certificaciones/ESTUDIOS%20DE%20PROGRAMMING/PROGRAMMING/PERSONAL/PYTHON/Image_Generator_API/imagenes/NAUTICA_CLASSICS_117004795_BLK_1.jpg")</f>
        <v/>
      </c>
      <c r="M1714">
        <f>IMAGE("file:///E:/Estudios%20y%20certificaciones/ESTUDIOS%20DE%20PROGRAMMING/PROGRAMMING/PERSONAL/PYTHON/Image_Generator_API/imagenes/NAUTICA_CLASSICS_117004795_BLK_2.jpg")</f>
        <v/>
      </c>
      <c r="N1714">
        <f>IMAGE("file:///E:/Estudios%20y%20certificaciones/ESTUDIOS%20DE%20PROGRAMMING/PROGRAMMING/PERSONAL/PYTHON/Image_Generator_API/imagenes/NAUTICA_CLASSICS_117004795_BLK_3.jpg")</f>
        <v/>
      </c>
      <c r="O1714">
        <f>HYPERLINK("imagenes/NAUTICA_CLASSICS_117004795_BLK_1.jpg","Ver imagen")</f>
        <v/>
      </c>
      <c r="P1714">
        <f>HYPERLINK("imagenes/NAUTICA_CLASSICS_117004795_BLK_2.jpg","Ver imagen")</f>
        <v/>
      </c>
      <c r="Q1714">
        <f>HYPERLINK("imagenes/NAUTICA_CLASSICS_117004795_BLK_3.jpg","Ver imagen")</f>
        <v/>
      </c>
    </row>
    <row r="1715">
      <c r="A1715" t="inlineStr">
        <is>
          <t>NAUTICA CLASSICS</t>
        </is>
      </c>
      <c r="B1715" t="inlineStr">
        <is>
          <t>117004795</t>
        </is>
      </c>
      <c r="C1715" t="inlineStr">
        <is>
          <t>STRETCH JACKET WITH PLACKET</t>
        </is>
      </c>
      <c r="D1715" t="inlineStr">
        <is>
          <t>BLK</t>
        </is>
      </c>
      <c r="E1715" t="inlineStr">
        <is>
          <t>(en blanco)</t>
        </is>
      </c>
      <c r="F1715" t="inlineStr">
        <is>
          <t>D2C</t>
        </is>
      </c>
      <c r="G1715" t="inlineStr">
        <is>
          <t>S</t>
        </is>
      </c>
      <c r="H1715" t="n">
        <v>39</v>
      </c>
      <c r="I1715" t="inlineStr">
        <is>
          <t>NAUTICA_CLASSICS_117004795_BLK_1.jpg</t>
        </is>
      </c>
      <c r="J1715" t="inlineStr">
        <is>
          <t>NAUTICA_CLASSICS_117004795_BLK_2.jpg</t>
        </is>
      </c>
      <c r="K1715" t="inlineStr">
        <is>
          <t>NAUTICA_CLASSICS_117004795_BLK_3.jpg</t>
        </is>
      </c>
      <c r="L1715">
        <f>IMAGE("file:///E:/Estudios%20y%20certificaciones/ESTUDIOS%20DE%20PROGRAMMING/PROGRAMMING/PERSONAL/PYTHON/Image_Generator_API/imagenes/NAUTICA_CLASSICS_117004795_BLK_1.jpg")</f>
        <v/>
      </c>
      <c r="M1715">
        <f>IMAGE("file:///E:/Estudios%20y%20certificaciones/ESTUDIOS%20DE%20PROGRAMMING/PROGRAMMING/PERSONAL/PYTHON/Image_Generator_API/imagenes/NAUTICA_CLASSICS_117004795_BLK_2.jpg")</f>
        <v/>
      </c>
      <c r="N1715">
        <f>IMAGE("file:///E:/Estudios%20y%20certificaciones/ESTUDIOS%20DE%20PROGRAMMING/PROGRAMMING/PERSONAL/PYTHON/Image_Generator_API/imagenes/NAUTICA_CLASSICS_117004795_BLK_3.jpg")</f>
        <v/>
      </c>
      <c r="O1715">
        <f>HYPERLINK("imagenes/NAUTICA_CLASSICS_117004795_BLK_1.jpg","Ver imagen")</f>
        <v/>
      </c>
      <c r="P1715">
        <f>HYPERLINK("imagenes/NAUTICA_CLASSICS_117004795_BLK_2.jpg","Ver imagen")</f>
        <v/>
      </c>
      <c r="Q1715">
        <f>HYPERLINK("imagenes/NAUTICA_CLASSICS_117004795_BLK_3.jpg","Ver imagen")</f>
        <v/>
      </c>
    </row>
    <row r="1716">
      <c r="A1716" t="inlineStr">
        <is>
          <t>NAUTICA CLASSICS</t>
        </is>
      </c>
      <c r="B1716" t="inlineStr">
        <is>
          <t>117004795</t>
        </is>
      </c>
      <c r="C1716" t="inlineStr">
        <is>
          <t>STRETCH JACKET WITH PLACKET</t>
        </is>
      </c>
      <c r="D1716" t="inlineStr">
        <is>
          <t>BLK</t>
        </is>
      </c>
      <c r="E1716" t="inlineStr">
        <is>
          <t>(en blanco)</t>
        </is>
      </c>
      <c r="F1716" t="inlineStr">
        <is>
          <t>D2C</t>
        </is>
      </c>
      <c r="G1716" t="inlineStr">
        <is>
          <t>M</t>
        </is>
      </c>
      <c r="H1716" t="n">
        <v>40</v>
      </c>
      <c r="I1716" t="inlineStr">
        <is>
          <t>NAUTICA_CLASSICS_117004795_BLK_1.jpg</t>
        </is>
      </c>
      <c r="J1716" t="inlineStr">
        <is>
          <t>NAUTICA_CLASSICS_117004795_BLK_2.jpg</t>
        </is>
      </c>
      <c r="K1716" t="inlineStr">
        <is>
          <t>NAUTICA_CLASSICS_117004795_BLK_3.jpg</t>
        </is>
      </c>
      <c r="L1716">
        <f>IMAGE("file:///E:/Estudios%20y%20certificaciones/ESTUDIOS%20DE%20PROGRAMMING/PROGRAMMING/PERSONAL/PYTHON/Image_Generator_API/imagenes/NAUTICA_CLASSICS_117004795_BLK_1.jpg")</f>
        <v/>
      </c>
      <c r="M1716">
        <f>IMAGE("file:///E:/Estudios%20y%20certificaciones/ESTUDIOS%20DE%20PROGRAMMING/PROGRAMMING/PERSONAL/PYTHON/Image_Generator_API/imagenes/NAUTICA_CLASSICS_117004795_BLK_2.jpg")</f>
        <v/>
      </c>
      <c r="N1716">
        <f>IMAGE("file:///E:/Estudios%20y%20certificaciones/ESTUDIOS%20DE%20PROGRAMMING/PROGRAMMING/PERSONAL/PYTHON/Image_Generator_API/imagenes/NAUTICA_CLASSICS_117004795_BLK_3.jpg")</f>
        <v/>
      </c>
      <c r="O1716">
        <f>HYPERLINK("imagenes/NAUTICA_CLASSICS_117004795_BLK_1.jpg","Ver imagen")</f>
        <v/>
      </c>
      <c r="P1716">
        <f>HYPERLINK("imagenes/NAUTICA_CLASSICS_117004795_BLK_2.jpg","Ver imagen")</f>
        <v/>
      </c>
      <c r="Q1716">
        <f>HYPERLINK("imagenes/NAUTICA_CLASSICS_117004795_BLK_3.jpg","Ver imagen")</f>
        <v/>
      </c>
    </row>
    <row r="1717">
      <c r="A1717" t="inlineStr">
        <is>
          <t>NAUTICA CLASSICS</t>
        </is>
      </c>
      <c r="B1717" t="inlineStr">
        <is>
          <t>117004795</t>
        </is>
      </c>
      <c r="C1717" t="inlineStr">
        <is>
          <t>STRETCH JACKET WITH PLACKET</t>
        </is>
      </c>
      <c r="D1717" t="inlineStr">
        <is>
          <t>BLK</t>
        </is>
      </c>
      <c r="E1717" t="inlineStr">
        <is>
          <t>(en blanco)</t>
        </is>
      </c>
      <c r="F1717" t="inlineStr">
        <is>
          <t>D2C</t>
        </is>
      </c>
      <c r="G1717" t="inlineStr">
        <is>
          <t>L</t>
        </is>
      </c>
      <c r="H1717" t="n">
        <v>23</v>
      </c>
      <c r="I1717" t="inlineStr">
        <is>
          <t>NAUTICA_CLASSICS_117004795_BLK_1.jpg</t>
        </is>
      </c>
      <c r="J1717" t="inlineStr">
        <is>
          <t>NAUTICA_CLASSICS_117004795_BLK_2.jpg</t>
        </is>
      </c>
      <c r="K1717" t="inlineStr">
        <is>
          <t>NAUTICA_CLASSICS_117004795_BLK_3.jpg</t>
        </is>
      </c>
      <c r="L1717">
        <f>IMAGE("file:///E:/Estudios%20y%20certificaciones/ESTUDIOS%20DE%20PROGRAMMING/PROGRAMMING/PERSONAL/PYTHON/Image_Generator_API/imagenes/NAUTICA_CLASSICS_117004795_BLK_1.jpg")</f>
        <v/>
      </c>
      <c r="M1717">
        <f>IMAGE("file:///E:/Estudios%20y%20certificaciones/ESTUDIOS%20DE%20PROGRAMMING/PROGRAMMING/PERSONAL/PYTHON/Image_Generator_API/imagenes/NAUTICA_CLASSICS_117004795_BLK_2.jpg")</f>
        <v/>
      </c>
      <c r="N1717">
        <f>IMAGE("file:///E:/Estudios%20y%20certificaciones/ESTUDIOS%20DE%20PROGRAMMING/PROGRAMMING/PERSONAL/PYTHON/Image_Generator_API/imagenes/NAUTICA_CLASSICS_117004795_BLK_3.jpg")</f>
        <v/>
      </c>
      <c r="O1717">
        <f>HYPERLINK("imagenes/NAUTICA_CLASSICS_117004795_BLK_1.jpg","Ver imagen")</f>
        <v/>
      </c>
      <c r="P1717">
        <f>HYPERLINK("imagenes/NAUTICA_CLASSICS_117004795_BLK_2.jpg","Ver imagen")</f>
        <v/>
      </c>
      <c r="Q1717">
        <f>HYPERLINK("imagenes/NAUTICA_CLASSICS_117004795_BLK_3.jpg","Ver imagen")</f>
        <v/>
      </c>
    </row>
    <row r="1718">
      <c r="A1718" t="inlineStr">
        <is>
          <t>NAUTICA CLASSICS</t>
        </is>
      </c>
      <c r="B1718" t="inlineStr">
        <is>
          <t>117004795</t>
        </is>
      </c>
      <c r="C1718" t="inlineStr">
        <is>
          <t>STRETCH JACKET WITH PLACKET</t>
        </is>
      </c>
      <c r="D1718" t="inlineStr">
        <is>
          <t>BLK</t>
        </is>
      </c>
      <c r="E1718" t="inlineStr">
        <is>
          <t>(en blanco)</t>
        </is>
      </c>
      <c r="F1718" t="inlineStr">
        <is>
          <t>(en blanco)</t>
        </is>
      </c>
      <c r="G1718" t="inlineStr">
        <is>
          <t>XS</t>
        </is>
      </c>
      <c r="H1718" t="n">
        <v>75</v>
      </c>
      <c r="I1718" t="inlineStr">
        <is>
          <t>NAUTICA_CLASSICS_117004795_BLK_1.jpg</t>
        </is>
      </c>
      <c r="J1718" t="inlineStr">
        <is>
          <t>NAUTICA_CLASSICS_117004795_BLK_2.jpg</t>
        </is>
      </c>
      <c r="K1718" t="inlineStr">
        <is>
          <t>NAUTICA_CLASSICS_117004795_BLK_3.jpg</t>
        </is>
      </c>
      <c r="L1718">
        <f>IMAGE("file:///E:/Estudios%20y%20certificaciones/ESTUDIOS%20DE%20PROGRAMMING/PROGRAMMING/PERSONAL/PYTHON/Image_Generator_API/imagenes/NAUTICA_CLASSICS_117004795_BLK_1.jpg")</f>
        <v/>
      </c>
      <c r="M1718">
        <f>IMAGE("file:///E:/Estudios%20y%20certificaciones/ESTUDIOS%20DE%20PROGRAMMING/PROGRAMMING/PERSONAL/PYTHON/Image_Generator_API/imagenes/NAUTICA_CLASSICS_117004795_BLK_2.jpg")</f>
        <v/>
      </c>
      <c r="N1718">
        <f>IMAGE("file:///E:/Estudios%20y%20certificaciones/ESTUDIOS%20DE%20PROGRAMMING/PROGRAMMING/PERSONAL/PYTHON/Image_Generator_API/imagenes/NAUTICA_CLASSICS_117004795_BLK_3.jpg")</f>
        <v/>
      </c>
      <c r="O1718">
        <f>HYPERLINK("imagenes/NAUTICA_CLASSICS_117004795_BLK_1.jpg","Ver imagen")</f>
        <v/>
      </c>
      <c r="P1718">
        <f>HYPERLINK("imagenes/NAUTICA_CLASSICS_117004795_BLK_2.jpg","Ver imagen")</f>
        <v/>
      </c>
      <c r="Q1718">
        <f>HYPERLINK("imagenes/NAUTICA_CLASSICS_117004795_BLK_3.jpg","Ver imagen")</f>
        <v/>
      </c>
    </row>
    <row r="1719">
      <c r="A1719" t="inlineStr">
        <is>
          <t>NAUTICA CLASSICS</t>
        </is>
      </c>
      <c r="B1719" t="inlineStr">
        <is>
          <t>117004795</t>
        </is>
      </c>
      <c r="C1719" t="inlineStr">
        <is>
          <t>STRETCH JACKET WITH PLACKET</t>
        </is>
      </c>
      <c r="D1719" t="inlineStr">
        <is>
          <t>BLK</t>
        </is>
      </c>
      <c r="E1719" t="inlineStr">
        <is>
          <t>(en blanco)</t>
        </is>
      </c>
      <c r="F1719" t="inlineStr">
        <is>
          <t>(en blanco)</t>
        </is>
      </c>
      <c r="G1719" t="inlineStr">
        <is>
          <t>S</t>
        </is>
      </c>
      <c r="H1719" t="n">
        <v>83</v>
      </c>
      <c r="I1719" t="inlineStr">
        <is>
          <t>NAUTICA_CLASSICS_117004795_BLK_1.jpg</t>
        </is>
      </c>
      <c r="J1719" t="inlineStr">
        <is>
          <t>NAUTICA_CLASSICS_117004795_BLK_2.jpg</t>
        </is>
      </c>
      <c r="K1719" t="inlineStr">
        <is>
          <t>NAUTICA_CLASSICS_117004795_BLK_3.jpg</t>
        </is>
      </c>
      <c r="L1719">
        <f>IMAGE("file:///E:/Estudios%20y%20certificaciones/ESTUDIOS%20DE%20PROGRAMMING/PROGRAMMING/PERSONAL/PYTHON/Image_Generator_API/imagenes/NAUTICA_CLASSICS_117004795_BLK_1.jpg")</f>
        <v/>
      </c>
      <c r="M1719">
        <f>IMAGE("file:///E:/Estudios%20y%20certificaciones/ESTUDIOS%20DE%20PROGRAMMING/PROGRAMMING/PERSONAL/PYTHON/Image_Generator_API/imagenes/NAUTICA_CLASSICS_117004795_BLK_2.jpg")</f>
        <v/>
      </c>
      <c r="N1719">
        <f>IMAGE("file:///E:/Estudios%20y%20certificaciones/ESTUDIOS%20DE%20PROGRAMMING/PROGRAMMING/PERSONAL/PYTHON/Image_Generator_API/imagenes/NAUTICA_CLASSICS_117004795_BLK_3.jpg")</f>
        <v/>
      </c>
      <c r="O1719">
        <f>HYPERLINK("imagenes/NAUTICA_CLASSICS_117004795_BLK_1.jpg","Ver imagen")</f>
        <v/>
      </c>
      <c r="P1719">
        <f>HYPERLINK("imagenes/NAUTICA_CLASSICS_117004795_BLK_2.jpg","Ver imagen")</f>
        <v/>
      </c>
      <c r="Q1719">
        <f>HYPERLINK("imagenes/NAUTICA_CLASSICS_117004795_BLK_3.jpg","Ver imagen")</f>
        <v/>
      </c>
    </row>
    <row r="1720">
      <c r="A1720" t="inlineStr">
        <is>
          <t>NAUTICA CLASSICS</t>
        </is>
      </c>
      <c r="B1720" t="inlineStr">
        <is>
          <t>117004795</t>
        </is>
      </c>
      <c r="C1720" t="inlineStr">
        <is>
          <t>STRETCH JACKET WITH PLACKET</t>
        </is>
      </c>
      <c r="D1720" t="inlineStr">
        <is>
          <t>BLK</t>
        </is>
      </c>
      <c r="E1720" t="inlineStr">
        <is>
          <t>(en blanco)</t>
        </is>
      </c>
      <c r="F1720" t="inlineStr">
        <is>
          <t>(en blanco)</t>
        </is>
      </c>
      <c r="G1720" t="inlineStr">
        <is>
          <t>M</t>
        </is>
      </c>
      <c r="H1720" t="n">
        <v>10</v>
      </c>
      <c r="I1720" t="inlineStr">
        <is>
          <t>NAUTICA_CLASSICS_117004795_BLK_1.jpg</t>
        </is>
      </c>
      <c r="J1720" t="inlineStr">
        <is>
          <t>NAUTICA_CLASSICS_117004795_BLK_2.jpg</t>
        </is>
      </c>
      <c r="K1720" t="inlineStr">
        <is>
          <t>NAUTICA_CLASSICS_117004795_BLK_3.jpg</t>
        </is>
      </c>
      <c r="L1720">
        <f>IMAGE("file:///E:/Estudios%20y%20certificaciones/ESTUDIOS%20DE%20PROGRAMMING/PROGRAMMING/PERSONAL/PYTHON/Image_Generator_API/imagenes/NAUTICA_CLASSICS_117004795_BLK_1.jpg")</f>
        <v/>
      </c>
      <c r="M1720">
        <f>IMAGE("file:///E:/Estudios%20y%20certificaciones/ESTUDIOS%20DE%20PROGRAMMING/PROGRAMMING/PERSONAL/PYTHON/Image_Generator_API/imagenes/NAUTICA_CLASSICS_117004795_BLK_2.jpg")</f>
        <v/>
      </c>
      <c r="N1720">
        <f>IMAGE("file:///E:/Estudios%20y%20certificaciones/ESTUDIOS%20DE%20PROGRAMMING/PROGRAMMING/PERSONAL/PYTHON/Image_Generator_API/imagenes/NAUTICA_CLASSICS_117004795_BLK_3.jpg")</f>
        <v/>
      </c>
      <c r="O1720">
        <f>HYPERLINK("imagenes/NAUTICA_CLASSICS_117004795_BLK_1.jpg","Ver imagen")</f>
        <v/>
      </c>
      <c r="P1720">
        <f>HYPERLINK("imagenes/NAUTICA_CLASSICS_117004795_BLK_2.jpg","Ver imagen")</f>
        <v/>
      </c>
      <c r="Q1720">
        <f>HYPERLINK("imagenes/NAUTICA_CLASSICS_117004795_BLK_3.jpg","Ver imagen")</f>
        <v/>
      </c>
    </row>
    <row r="1721">
      <c r="A1721" t="inlineStr">
        <is>
          <t>NAUTICA CLASSICS</t>
        </is>
      </c>
      <c r="B1721" t="inlineStr">
        <is>
          <t>117004795</t>
        </is>
      </c>
      <c r="C1721" t="inlineStr">
        <is>
          <t>STRETCH JACKET WITH PLACKET</t>
        </is>
      </c>
      <c r="D1721" t="inlineStr">
        <is>
          <t>BLK</t>
        </is>
      </c>
      <c r="E1721" t="inlineStr">
        <is>
          <t>(en blanco)</t>
        </is>
      </c>
      <c r="F1721" t="inlineStr">
        <is>
          <t>(en blanco)</t>
        </is>
      </c>
      <c r="G1721" t="inlineStr">
        <is>
          <t>L</t>
        </is>
      </c>
      <c r="H1721" t="n">
        <v>0</v>
      </c>
      <c r="I1721" t="inlineStr">
        <is>
          <t>NAUTICA_CLASSICS_117004795_BLK_1.jpg</t>
        </is>
      </c>
      <c r="J1721" t="inlineStr">
        <is>
          <t>NAUTICA_CLASSICS_117004795_BLK_2.jpg</t>
        </is>
      </c>
      <c r="K1721" t="inlineStr">
        <is>
          <t>NAUTICA_CLASSICS_117004795_BLK_3.jpg</t>
        </is>
      </c>
      <c r="L1721">
        <f>IMAGE("file:///E:/Estudios%20y%20certificaciones/ESTUDIOS%20DE%20PROGRAMMING/PROGRAMMING/PERSONAL/PYTHON/Image_Generator_API/imagenes/NAUTICA_CLASSICS_117004795_BLK_1.jpg")</f>
        <v/>
      </c>
      <c r="M1721">
        <f>IMAGE("file:///E:/Estudios%20y%20certificaciones/ESTUDIOS%20DE%20PROGRAMMING/PROGRAMMING/PERSONAL/PYTHON/Image_Generator_API/imagenes/NAUTICA_CLASSICS_117004795_BLK_2.jpg")</f>
        <v/>
      </c>
      <c r="N1721">
        <f>IMAGE("file:///E:/Estudios%20y%20certificaciones/ESTUDIOS%20DE%20PROGRAMMING/PROGRAMMING/PERSONAL/PYTHON/Image_Generator_API/imagenes/NAUTICA_CLASSICS_117004795_BLK_3.jpg")</f>
        <v/>
      </c>
      <c r="O1721">
        <f>HYPERLINK("imagenes/NAUTICA_CLASSICS_117004795_BLK_1.jpg","Ver imagen")</f>
        <v/>
      </c>
      <c r="P1721">
        <f>HYPERLINK("imagenes/NAUTICA_CLASSICS_117004795_BLK_2.jpg","Ver imagen")</f>
        <v/>
      </c>
      <c r="Q1721">
        <f>HYPERLINK("imagenes/NAUTICA_CLASSICS_117004795_BLK_3.jpg","Ver imagen")</f>
        <v/>
      </c>
    </row>
    <row r="1722">
      <c r="A1722" t="inlineStr">
        <is>
          <t>NAUTICA CLASSICS</t>
        </is>
      </c>
      <c r="B1722" t="inlineStr">
        <is>
          <t>117004817</t>
        </is>
      </c>
      <c r="C1722" t="inlineStr">
        <is>
          <t>PUFFER W/BIB</t>
        </is>
      </c>
      <c r="D1722" t="inlineStr">
        <is>
          <t>BLK</t>
        </is>
      </c>
      <c r="E1722" t="inlineStr">
        <is>
          <t>(en blanco)</t>
        </is>
      </c>
      <c r="F1722" t="inlineStr">
        <is>
          <t>(en blanco)</t>
        </is>
      </c>
      <c r="G1722" t="inlineStr">
        <is>
          <t>S</t>
        </is>
      </c>
      <c r="H1722" t="n">
        <v>4</v>
      </c>
      <c r="I1722" t="inlineStr">
        <is>
          <t>NAUTICA_CLASSICS_117004817_BLK_1.jpg</t>
        </is>
      </c>
      <c r="J1722" t="inlineStr">
        <is>
          <t>NAUTICA_CLASSICS_117004817_BLK_2.jpg</t>
        </is>
      </c>
      <c r="K1722" t="inlineStr">
        <is>
          <t>NAUTICA_CLASSICS_117004817_BLK_3.jpg</t>
        </is>
      </c>
      <c r="L1722">
        <f>IMAGE("file:///E:/Estudios%20y%20certificaciones/ESTUDIOS%20DE%20PROGRAMMING/PROGRAMMING/PERSONAL/PYTHON/Image_Generator_API/imagenes/NAUTICA_CLASSICS_117004817_BLK_1.jpg")</f>
        <v/>
      </c>
      <c r="M1722">
        <f>IMAGE("file:///E:/Estudios%20y%20certificaciones/ESTUDIOS%20DE%20PROGRAMMING/PROGRAMMING/PERSONAL/PYTHON/Image_Generator_API/imagenes/NAUTICA_CLASSICS_117004817_BLK_2.jpg")</f>
        <v/>
      </c>
      <c r="N1722">
        <f>IMAGE("file:///E:/Estudios%20y%20certificaciones/ESTUDIOS%20DE%20PROGRAMMING/PROGRAMMING/PERSONAL/PYTHON/Image_Generator_API/imagenes/NAUTICA_CLASSICS_117004817_BLK_3.jpg")</f>
        <v/>
      </c>
      <c r="O1722">
        <f>HYPERLINK("imagenes/NAUTICA_CLASSICS_117004817_BLK_1.jpg","Ver imagen")</f>
        <v/>
      </c>
      <c r="P1722">
        <f>HYPERLINK("imagenes/NAUTICA_CLASSICS_117004817_BLK_2.jpg","Ver imagen")</f>
        <v/>
      </c>
      <c r="Q1722">
        <f>HYPERLINK("imagenes/NAUTICA_CLASSICS_117004817_BLK_3.jpg","Ver imagen")</f>
        <v/>
      </c>
    </row>
    <row r="1723">
      <c r="A1723" t="inlineStr">
        <is>
          <t>NAUTICA CLASSICS</t>
        </is>
      </c>
      <c r="B1723" t="inlineStr">
        <is>
          <t>117004817</t>
        </is>
      </c>
      <c r="C1723" t="inlineStr">
        <is>
          <t>PUFFER W/BIB</t>
        </is>
      </c>
      <c r="D1723" t="inlineStr">
        <is>
          <t>BLK</t>
        </is>
      </c>
      <c r="E1723" t="inlineStr">
        <is>
          <t>(en blanco)</t>
        </is>
      </c>
      <c r="F1723" t="inlineStr">
        <is>
          <t>(en blanco)</t>
        </is>
      </c>
      <c r="G1723" t="inlineStr">
        <is>
          <t>M</t>
        </is>
      </c>
      <c r="H1723" t="n">
        <v>3</v>
      </c>
      <c r="I1723" t="inlineStr">
        <is>
          <t>NAUTICA_CLASSICS_117004817_BLK_1.jpg</t>
        </is>
      </c>
      <c r="J1723" t="inlineStr">
        <is>
          <t>NAUTICA_CLASSICS_117004817_BLK_2.jpg</t>
        </is>
      </c>
      <c r="K1723" t="inlineStr">
        <is>
          <t>NAUTICA_CLASSICS_117004817_BLK_3.jpg</t>
        </is>
      </c>
      <c r="L1723">
        <f>IMAGE("file:///E:/Estudios%20y%20certificaciones/ESTUDIOS%20DE%20PROGRAMMING/PROGRAMMING/PERSONAL/PYTHON/Image_Generator_API/imagenes/NAUTICA_CLASSICS_117004817_BLK_1.jpg")</f>
        <v/>
      </c>
      <c r="M1723">
        <f>IMAGE("file:///E:/Estudios%20y%20certificaciones/ESTUDIOS%20DE%20PROGRAMMING/PROGRAMMING/PERSONAL/PYTHON/Image_Generator_API/imagenes/NAUTICA_CLASSICS_117004817_BLK_2.jpg")</f>
        <v/>
      </c>
      <c r="N1723">
        <f>IMAGE("file:///E:/Estudios%20y%20certificaciones/ESTUDIOS%20DE%20PROGRAMMING/PROGRAMMING/PERSONAL/PYTHON/Image_Generator_API/imagenes/NAUTICA_CLASSICS_117004817_BLK_3.jpg")</f>
        <v/>
      </c>
      <c r="O1723">
        <f>HYPERLINK("imagenes/NAUTICA_CLASSICS_117004817_BLK_1.jpg","Ver imagen")</f>
        <v/>
      </c>
      <c r="P1723">
        <f>HYPERLINK("imagenes/NAUTICA_CLASSICS_117004817_BLK_2.jpg","Ver imagen")</f>
        <v/>
      </c>
      <c r="Q1723">
        <f>HYPERLINK("imagenes/NAUTICA_CLASSICS_117004817_BLK_3.jpg","Ver imagen")</f>
        <v/>
      </c>
    </row>
    <row r="1724">
      <c r="A1724" t="inlineStr">
        <is>
          <t>NAUTICA CLASSICS</t>
        </is>
      </c>
      <c r="B1724" t="inlineStr">
        <is>
          <t>117004817</t>
        </is>
      </c>
      <c r="C1724" t="inlineStr">
        <is>
          <t>PUFFER W/BIB</t>
        </is>
      </c>
      <c r="D1724" t="inlineStr">
        <is>
          <t>BLK</t>
        </is>
      </c>
      <c r="E1724" t="inlineStr">
        <is>
          <t>(en blanco)</t>
        </is>
      </c>
      <c r="F1724" t="inlineStr">
        <is>
          <t>(en blanco)</t>
        </is>
      </c>
      <c r="G1724" t="inlineStr">
        <is>
          <t>L</t>
        </is>
      </c>
      <c r="H1724" t="n">
        <v>3</v>
      </c>
      <c r="I1724" t="inlineStr">
        <is>
          <t>NAUTICA_CLASSICS_117004817_BLK_1.jpg</t>
        </is>
      </c>
      <c r="J1724" t="inlineStr">
        <is>
          <t>NAUTICA_CLASSICS_117004817_BLK_2.jpg</t>
        </is>
      </c>
      <c r="K1724" t="inlineStr">
        <is>
          <t>NAUTICA_CLASSICS_117004817_BLK_3.jpg</t>
        </is>
      </c>
      <c r="L1724">
        <f>IMAGE("file:///E:/Estudios%20y%20certificaciones/ESTUDIOS%20DE%20PROGRAMMING/PROGRAMMING/PERSONAL/PYTHON/Image_Generator_API/imagenes/NAUTICA_CLASSICS_117004817_BLK_1.jpg")</f>
        <v/>
      </c>
      <c r="M1724">
        <f>IMAGE("file:///E:/Estudios%20y%20certificaciones/ESTUDIOS%20DE%20PROGRAMMING/PROGRAMMING/PERSONAL/PYTHON/Image_Generator_API/imagenes/NAUTICA_CLASSICS_117004817_BLK_2.jpg")</f>
        <v/>
      </c>
      <c r="N1724">
        <f>IMAGE("file:///E:/Estudios%20y%20certificaciones/ESTUDIOS%20DE%20PROGRAMMING/PROGRAMMING/PERSONAL/PYTHON/Image_Generator_API/imagenes/NAUTICA_CLASSICS_117004817_BLK_3.jpg")</f>
        <v/>
      </c>
      <c r="O1724">
        <f>HYPERLINK("imagenes/NAUTICA_CLASSICS_117004817_BLK_1.jpg","Ver imagen")</f>
        <v/>
      </c>
      <c r="P1724">
        <f>HYPERLINK("imagenes/NAUTICA_CLASSICS_117004817_BLK_2.jpg","Ver imagen")</f>
        <v/>
      </c>
      <c r="Q1724">
        <f>HYPERLINK("imagenes/NAUTICA_CLASSICS_117004817_BLK_3.jpg","Ver imagen")</f>
        <v/>
      </c>
    </row>
    <row r="1725">
      <c r="A1725" t="inlineStr">
        <is>
          <t>NAUTICA CLASSICS</t>
        </is>
      </c>
      <c r="B1725" t="inlineStr">
        <is>
          <t>117004817</t>
        </is>
      </c>
      <c r="C1725" t="inlineStr">
        <is>
          <t>PUFFER W/BIB</t>
        </is>
      </c>
      <c r="D1725" t="inlineStr">
        <is>
          <t>CTI</t>
        </is>
      </c>
      <c r="E1725" t="inlineStr">
        <is>
          <t>(en blanco)</t>
        </is>
      </c>
      <c r="F1725" t="inlineStr">
        <is>
          <t>(en blanco)</t>
        </is>
      </c>
      <c r="G1725" t="inlineStr">
        <is>
          <t>XS</t>
        </is>
      </c>
      <c r="H1725" t="n">
        <v>6</v>
      </c>
      <c r="I1725" t="inlineStr">
        <is>
          <t>NAUTICA_CLASSICS_117004817_CTI_1.jpg</t>
        </is>
      </c>
      <c r="J1725" t="inlineStr">
        <is>
          <t>NAUTICA_CLASSICS_117004817_CTI_2.jpg</t>
        </is>
      </c>
      <c r="K1725" t="inlineStr">
        <is>
          <t>NAUTICA_CLASSICS_117004817_CTI_3.jpg</t>
        </is>
      </c>
      <c r="L1725">
        <f>IMAGE("file:///E:/Estudios%20y%20certificaciones/ESTUDIOS%20DE%20PROGRAMMING/PROGRAMMING/PERSONAL/PYTHON/Image_Generator_API/imagenes/NAUTICA_CLASSICS_117004817_CTI_1.jpg")</f>
        <v/>
      </c>
      <c r="M1725">
        <f>IMAGE("file:///E:/Estudios%20y%20certificaciones/ESTUDIOS%20DE%20PROGRAMMING/PROGRAMMING/PERSONAL/PYTHON/Image_Generator_API/imagenes/NAUTICA_CLASSICS_117004817_CTI_2.jpg")</f>
        <v/>
      </c>
      <c r="N1725">
        <f>IMAGE("file:///E:/Estudios%20y%20certificaciones/ESTUDIOS%20DE%20PROGRAMMING/PROGRAMMING/PERSONAL/PYTHON/Image_Generator_API/imagenes/NAUTICA_CLASSICS_117004817_CTI_3.jpg")</f>
        <v/>
      </c>
      <c r="O1725">
        <f>HYPERLINK("imagenes/NAUTICA_CLASSICS_117004817_CTI_1.jpg","Ver imagen")</f>
        <v/>
      </c>
      <c r="P1725">
        <f>HYPERLINK("imagenes/NAUTICA_CLASSICS_117004817_CTI_2.jpg","Ver imagen")</f>
        <v/>
      </c>
      <c r="Q1725">
        <f>HYPERLINK("imagenes/NAUTICA_CLASSICS_117004817_CTI_3.jpg","Ver imagen")</f>
        <v/>
      </c>
    </row>
    <row r="1726">
      <c r="A1726" t="inlineStr">
        <is>
          <t>NAUTICA CLASSICS</t>
        </is>
      </c>
      <c r="B1726" t="inlineStr">
        <is>
          <t>117004817</t>
        </is>
      </c>
      <c r="C1726" t="inlineStr">
        <is>
          <t>PUFFER W/BIB</t>
        </is>
      </c>
      <c r="D1726" t="inlineStr">
        <is>
          <t>SW4</t>
        </is>
      </c>
      <c r="E1726" t="inlineStr">
        <is>
          <t>(en blanco)</t>
        </is>
      </c>
      <c r="F1726" t="inlineStr">
        <is>
          <t>(en blanco)</t>
        </is>
      </c>
      <c r="G1726" t="inlineStr">
        <is>
          <t>S</t>
        </is>
      </c>
      <c r="H1726" t="n">
        <v>2</v>
      </c>
      <c r="I1726" t="inlineStr">
        <is>
          <t>NAUTICA_CLASSICS_117004817_SW4_1.jpg</t>
        </is>
      </c>
      <c r="J1726" t="inlineStr">
        <is>
          <t>NAUTICA_CLASSICS_117004817_SW4_2.jpg</t>
        </is>
      </c>
      <c r="K1726" t="inlineStr">
        <is>
          <t>NAUTICA_CLASSICS_117004817_SW4_3.jpg</t>
        </is>
      </c>
      <c r="L1726">
        <f>IMAGE("file:///E:/Estudios%20y%20certificaciones/ESTUDIOS%20DE%20PROGRAMMING/PROGRAMMING/PERSONAL/PYTHON/Image_Generator_API/imagenes/NAUTICA_CLASSICS_117004817_SW4_1.jpg")</f>
        <v/>
      </c>
      <c r="M1726">
        <f>IMAGE("file:///E:/Estudios%20y%20certificaciones/ESTUDIOS%20DE%20PROGRAMMING/PROGRAMMING/PERSONAL/PYTHON/Image_Generator_API/imagenes/NAUTICA_CLASSICS_117004817_SW4_2.jpg")</f>
        <v/>
      </c>
      <c r="N1726">
        <f>IMAGE("file:///E:/Estudios%20y%20certificaciones/ESTUDIOS%20DE%20PROGRAMMING/PROGRAMMING/PERSONAL/PYTHON/Image_Generator_API/imagenes/NAUTICA_CLASSICS_117004817_SW4_3.jpg")</f>
        <v/>
      </c>
      <c r="O1726">
        <f>HYPERLINK("imagenes/NAUTICA_CLASSICS_117004817_SW4_1.jpg","Ver imagen")</f>
        <v/>
      </c>
      <c r="P1726">
        <f>HYPERLINK("imagenes/NAUTICA_CLASSICS_117004817_SW4_2.jpg","Ver imagen")</f>
        <v/>
      </c>
      <c r="Q1726">
        <f>HYPERLINK("imagenes/NAUTICA_CLASSICS_117004817_SW4_3.jpg","Ver imagen")</f>
        <v/>
      </c>
    </row>
    <row r="1727">
      <c r="A1727" t="inlineStr">
        <is>
          <t>NAUTICA CLASSICS</t>
        </is>
      </c>
      <c r="B1727" t="inlineStr">
        <is>
          <t>117004817</t>
        </is>
      </c>
      <c r="C1727" t="inlineStr">
        <is>
          <t>PUFFER W/BIB</t>
        </is>
      </c>
      <c r="D1727" t="inlineStr">
        <is>
          <t>SW4</t>
        </is>
      </c>
      <c r="E1727" t="inlineStr">
        <is>
          <t>(en blanco)</t>
        </is>
      </c>
      <c r="F1727" t="inlineStr">
        <is>
          <t>(en blanco)</t>
        </is>
      </c>
      <c r="G1727" t="inlineStr">
        <is>
          <t>M</t>
        </is>
      </c>
      <c r="H1727" t="n">
        <v>3</v>
      </c>
      <c r="I1727" t="inlineStr">
        <is>
          <t>NAUTICA_CLASSICS_117004817_SW4_1.jpg</t>
        </is>
      </c>
      <c r="J1727" t="inlineStr">
        <is>
          <t>NAUTICA_CLASSICS_117004817_SW4_2.jpg</t>
        </is>
      </c>
      <c r="K1727" t="inlineStr">
        <is>
          <t>NAUTICA_CLASSICS_117004817_SW4_3.jpg</t>
        </is>
      </c>
      <c r="L1727">
        <f>IMAGE("file:///E:/Estudios%20y%20certificaciones/ESTUDIOS%20DE%20PROGRAMMING/PROGRAMMING/PERSONAL/PYTHON/Image_Generator_API/imagenes/NAUTICA_CLASSICS_117004817_SW4_1.jpg")</f>
        <v/>
      </c>
      <c r="M1727">
        <f>IMAGE("file:///E:/Estudios%20y%20certificaciones/ESTUDIOS%20DE%20PROGRAMMING/PROGRAMMING/PERSONAL/PYTHON/Image_Generator_API/imagenes/NAUTICA_CLASSICS_117004817_SW4_2.jpg")</f>
        <v/>
      </c>
      <c r="N1727">
        <f>IMAGE("file:///E:/Estudios%20y%20certificaciones/ESTUDIOS%20DE%20PROGRAMMING/PROGRAMMING/PERSONAL/PYTHON/Image_Generator_API/imagenes/NAUTICA_CLASSICS_117004817_SW4_3.jpg")</f>
        <v/>
      </c>
      <c r="O1727">
        <f>HYPERLINK("imagenes/NAUTICA_CLASSICS_117004817_SW4_1.jpg","Ver imagen")</f>
        <v/>
      </c>
      <c r="P1727">
        <f>HYPERLINK("imagenes/NAUTICA_CLASSICS_117004817_SW4_2.jpg","Ver imagen")</f>
        <v/>
      </c>
      <c r="Q1727">
        <f>HYPERLINK("imagenes/NAUTICA_CLASSICS_117004817_SW4_3.jpg","Ver imagen")</f>
        <v/>
      </c>
    </row>
    <row r="1728">
      <c r="A1728" t="inlineStr">
        <is>
          <t>NAUTICA CLASSICS</t>
        </is>
      </c>
      <c r="B1728" t="inlineStr">
        <is>
          <t>117004817</t>
        </is>
      </c>
      <c r="C1728" t="inlineStr">
        <is>
          <t>PUFFER W/BIB</t>
        </is>
      </c>
      <c r="D1728" t="inlineStr">
        <is>
          <t>SW4</t>
        </is>
      </c>
      <c r="E1728" t="inlineStr">
        <is>
          <t>(en blanco)</t>
        </is>
      </c>
      <c r="F1728" t="inlineStr">
        <is>
          <t>(en blanco)</t>
        </is>
      </c>
      <c r="G1728" t="inlineStr">
        <is>
          <t>L</t>
        </is>
      </c>
      <c r="H1728" t="n">
        <v>1</v>
      </c>
      <c r="I1728" t="inlineStr">
        <is>
          <t>NAUTICA_CLASSICS_117004817_SW4_1.jpg</t>
        </is>
      </c>
      <c r="J1728" t="inlineStr">
        <is>
          <t>NAUTICA_CLASSICS_117004817_SW4_2.jpg</t>
        </is>
      </c>
      <c r="K1728" t="inlineStr">
        <is>
          <t>NAUTICA_CLASSICS_117004817_SW4_3.jpg</t>
        </is>
      </c>
      <c r="L1728">
        <f>IMAGE("file:///E:/Estudios%20y%20certificaciones/ESTUDIOS%20DE%20PROGRAMMING/PROGRAMMING/PERSONAL/PYTHON/Image_Generator_API/imagenes/NAUTICA_CLASSICS_117004817_SW4_1.jpg")</f>
        <v/>
      </c>
      <c r="M1728">
        <f>IMAGE("file:///E:/Estudios%20y%20certificaciones/ESTUDIOS%20DE%20PROGRAMMING/PROGRAMMING/PERSONAL/PYTHON/Image_Generator_API/imagenes/NAUTICA_CLASSICS_117004817_SW4_2.jpg")</f>
        <v/>
      </c>
      <c r="N1728">
        <f>IMAGE("file:///E:/Estudios%20y%20certificaciones/ESTUDIOS%20DE%20PROGRAMMING/PROGRAMMING/PERSONAL/PYTHON/Image_Generator_API/imagenes/NAUTICA_CLASSICS_117004817_SW4_3.jpg")</f>
        <v/>
      </c>
      <c r="O1728">
        <f>HYPERLINK("imagenes/NAUTICA_CLASSICS_117004817_SW4_1.jpg","Ver imagen")</f>
        <v/>
      </c>
      <c r="P1728">
        <f>HYPERLINK("imagenes/NAUTICA_CLASSICS_117004817_SW4_2.jpg","Ver imagen")</f>
        <v/>
      </c>
      <c r="Q1728">
        <f>HYPERLINK("imagenes/NAUTICA_CLASSICS_117004817_SW4_3.jpg","Ver imagen")</f>
        <v/>
      </c>
    </row>
    <row r="1729">
      <c r="A1729" t="inlineStr">
        <is>
          <t>NAUTICA CLASSICS</t>
        </is>
      </c>
      <c r="B1729" t="inlineStr">
        <is>
          <t>117004817</t>
        </is>
      </c>
      <c r="C1729" t="inlineStr">
        <is>
          <t>PUFFER W/BIB</t>
        </is>
      </c>
      <c r="D1729" t="inlineStr">
        <is>
          <t>SW4</t>
        </is>
      </c>
      <c r="E1729" t="inlineStr">
        <is>
          <t>(en blanco)</t>
        </is>
      </c>
      <c r="F1729" t="inlineStr">
        <is>
          <t>(en blanco)</t>
        </is>
      </c>
      <c r="G1729" t="inlineStr">
        <is>
          <t>XL</t>
        </is>
      </c>
      <c r="H1729" t="n">
        <v>2</v>
      </c>
      <c r="I1729" t="inlineStr">
        <is>
          <t>NAUTICA_CLASSICS_117004817_SW4_1.jpg</t>
        </is>
      </c>
      <c r="J1729" t="inlineStr">
        <is>
          <t>NAUTICA_CLASSICS_117004817_SW4_2.jpg</t>
        </is>
      </c>
      <c r="K1729" t="inlineStr">
        <is>
          <t>NAUTICA_CLASSICS_117004817_SW4_3.jpg</t>
        </is>
      </c>
      <c r="L1729">
        <f>IMAGE("file:///E:/Estudios%20y%20certificaciones/ESTUDIOS%20DE%20PROGRAMMING/PROGRAMMING/PERSONAL/PYTHON/Image_Generator_API/imagenes/NAUTICA_CLASSICS_117004817_SW4_1.jpg")</f>
        <v/>
      </c>
      <c r="M1729">
        <f>IMAGE("file:///E:/Estudios%20y%20certificaciones/ESTUDIOS%20DE%20PROGRAMMING/PROGRAMMING/PERSONAL/PYTHON/Image_Generator_API/imagenes/NAUTICA_CLASSICS_117004817_SW4_2.jpg")</f>
        <v/>
      </c>
      <c r="N1729">
        <f>IMAGE("file:///E:/Estudios%20y%20certificaciones/ESTUDIOS%20DE%20PROGRAMMING/PROGRAMMING/PERSONAL/PYTHON/Image_Generator_API/imagenes/NAUTICA_CLASSICS_117004817_SW4_3.jpg")</f>
        <v/>
      </c>
      <c r="O1729">
        <f>HYPERLINK("imagenes/NAUTICA_CLASSICS_117004817_SW4_1.jpg","Ver imagen")</f>
        <v/>
      </c>
      <c r="P1729">
        <f>HYPERLINK("imagenes/NAUTICA_CLASSICS_117004817_SW4_2.jpg","Ver imagen")</f>
        <v/>
      </c>
      <c r="Q1729">
        <f>HYPERLINK("imagenes/NAUTICA_CLASSICS_117004817_SW4_3.jpg","Ver imagen")</f>
        <v/>
      </c>
    </row>
    <row r="1730">
      <c r="A1730" t="inlineStr">
        <is>
          <t>NAUTICA CLASSICS</t>
        </is>
      </c>
      <c r="B1730" t="inlineStr">
        <is>
          <t>117005001</t>
        </is>
      </c>
      <c r="C1730" t="inlineStr">
        <is>
          <t>STRETCH 3/4 PUFFER</t>
        </is>
      </c>
      <c r="D1730" t="inlineStr">
        <is>
          <t>BLK</t>
        </is>
      </c>
      <c r="E1730" t="inlineStr">
        <is>
          <t>(en blanco)</t>
        </is>
      </c>
      <c r="F1730" t="inlineStr">
        <is>
          <t>N1160</t>
        </is>
      </c>
      <c r="G1730" t="inlineStr">
        <is>
          <t>S</t>
        </is>
      </c>
      <c r="H1730" t="n">
        <v>10</v>
      </c>
      <c r="I1730" t="inlineStr">
        <is>
          <t>NAUTICA_CLASSICS_117005001_BLK_1.jpg</t>
        </is>
      </c>
      <c r="J1730" t="inlineStr">
        <is>
          <t>NAUTICA_CLASSICS_117005001_BLK_2.jpg</t>
        </is>
      </c>
      <c r="K1730" t="inlineStr">
        <is>
          <t>NAUTICA_CLASSICS_117005001_BLK_3.jpg</t>
        </is>
      </c>
      <c r="L1730">
        <f>IMAGE("file:///E:/Estudios%20y%20certificaciones/ESTUDIOS%20DE%20PROGRAMMING/PROGRAMMING/PERSONAL/PYTHON/Image_Generator_API/imagenes/NAUTICA_CLASSICS_117005001_BLK_1.jpg")</f>
        <v/>
      </c>
      <c r="M1730">
        <f>IMAGE("file:///E:/Estudios%20y%20certificaciones/ESTUDIOS%20DE%20PROGRAMMING/PROGRAMMING/PERSONAL/PYTHON/Image_Generator_API/imagenes/NAUTICA_CLASSICS_117005001_BLK_2.jpg")</f>
        <v/>
      </c>
      <c r="N1730">
        <f>IMAGE("file:///E:/Estudios%20y%20certificaciones/ESTUDIOS%20DE%20PROGRAMMING/PROGRAMMING/PERSONAL/PYTHON/Image_Generator_API/imagenes/NAUTICA_CLASSICS_117005001_BLK_3.jpg")</f>
        <v/>
      </c>
      <c r="O1730">
        <f>HYPERLINK("imagenes/NAUTICA_CLASSICS_117005001_BLK_1.jpg","Ver imagen")</f>
        <v/>
      </c>
      <c r="P1730">
        <f>HYPERLINK("imagenes/NAUTICA_CLASSICS_117005001_BLK_2.jpg","Ver imagen")</f>
        <v/>
      </c>
      <c r="Q1730">
        <f>HYPERLINK("imagenes/NAUTICA_CLASSICS_117005001_BLK_3.jpg","Ver imagen")</f>
        <v/>
      </c>
    </row>
    <row r="1731">
      <c r="A1731" t="inlineStr">
        <is>
          <t>NAUTICA CLASSICS</t>
        </is>
      </c>
      <c r="B1731" t="inlineStr">
        <is>
          <t>117005001</t>
        </is>
      </c>
      <c r="C1731" t="inlineStr">
        <is>
          <t>STRETCH 3/4 PUFFER</t>
        </is>
      </c>
      <c r="D1731" t="inlineStr">
        <is>
          <t>BLK</t>
        </is>
      </c>
      <c r="E1731" t="inlineStr">
        <is>
          <t>(en blanco)</t>
        </is>
      </c>
      <c r="F1731" t="inlineStr">
        <is>
          <t>(en blanco)</t>
        </is>
      </c>
      <c r="G1731" t="inlineStr">
        <is>
          <t>XS</t>
        </is>
      </c>
      <c r="H1731" t="n">
        <v>455</v>
      </c>
      <c r="I1731" t="inlineStr">
        <is>
          <t>NAUTICA_CLASSICS_117005001_BLK_1.jpg</t>
        </is>
      </c>
      <c r="J1731" t="inlineStr">
        <is>
          <t>NAUTICA_CLASSICS_117005001_BLK_2.jpg</t>
        </is>
      </c>
      <c r="K1731" t="inlineStr">
        <is>
          <t>NAUTICA_CLASSICS_117005001_BLK_3.jpg</t>
        </is>
      </c>
      <c r="L1731">
        <f>IMAGE("file:///E:/Estudios%20y%20certificaciones/ESTUDIOS%20DE%20PROGRAMMING/PROGRAMMING/PERSONAL/PYTHON/Image_Generator_API/imagenes/NAUTICA_CLASSICS_117005001_BLK_1.jpg")</f>
        <v/>
      </c>
      <c r="M1731">
        <f>IMAGE("file:///E:/Estudios%20y%20certificaciones/ESTUDIOS%20DE%20PROGRAMMING/PROGRAMMING/PERSONAL/PYTHON/Image_Generator_API/imagenes/NAUTICA_CLASSICS_117005001_BLK_2.jpg")</f>
        <v/>
      </c>
      <c r="N1731">
        <f>IMAGE("file:///E:/Estudios%20y%20certificaciones/ESTUDIOS%20DE%20PROGRAMMING/PROGRAMMING/PERSONAL/PYTHON/Image_Generator_API/imagenes/NAUTICA_CLASSICS_117005001_BLK_3.jpg")</f>
        <v/>
      </c>
      <c r="O1731">
        <f>HYPERLINK("imagenes/NAUTICA_CLASSICS_117005001_BLK_1.jpg","Ver imagen")</f>
        <v/>
      </c>
      <c r="P1731">
        <f>HYPERLINK("imagenes/NAUTICA_CLASSICS_117005001_BLK_2.jpg","Ver imagen")</f>
        <v/>
      </c>
      <c r="Q1731">
        <f>HYPERLINK("imagenes/NAUTICA_CLASSICS_117005001_BLK_3.jpg","Ver imagen")</f>
        <v/>
      </c>
    </row>
    <row r="1732">
      <c r="A1732" t="inlineStr">
        <is>
          <t>NAUTICA CLASSICS</t>
        </is>
      </c>
      <c r="B1732" t="inlineStr">
        <is>
          <t>117005001</t>
        </is>
      </c>
      <c r="C1732" t="inlineStr">
        <is>
          <t>STRETCH 3/4 PUFFER</t>
        </is>
      </c>
      <c r="D1732" t="inlineStr">
        <is>
          <t>BLK</t>
        </is>
      </c>
      <c r="E1732" t="inlineStr">
        <is>
          <t>(en blanco)</t>
        </is>
      </c>
      <c r="F1732" t="inlineStr">
        <is>
          <t>(en blanco)</t>
        </is>
      </c>
      <c r="G1732" t="inlineStr">
        <is>
          <t>S</t>
        </is>
      </c>
      <c r="H1732" t="n">
        <v>2</v>
      </c>
      <c r="I1732" t="inlineStr">
        <is>
          <t>NAUTICA_CLASSICS_117005001_BLK_1.jpg</t>
        </is>
      </c>
      <c r="J1732" t="inlineStr">
        <is>
          <t>NAUTICA_CLASSICS_117005001_BLK_2.jpg</t>
        </is>
      </c>
      <c r="K1732" t="inlineStr">
        <is>
          <t>NAUTICA_CLASSICS_117005001_BLK_3.jpg</t>
        </is>
      </c>
      <c r="L1732">
        <f>IMAGE("file:///E:/Estudios%20y%20certificaciones/ESTUDIOS%20DE%20PROGRAMMING/PROGRAMMING/PERSONAL/PYTHON/Image_Generator_API/imagenes/NAUTICA_CLASSICS_117005001_BLK_1.jpg")</f>
        <v/>
      </c>
      <c r="M1732">
        <f>IMAGE("file:///E:/Estudios%20y%20certificaciones/ESTUDIOS%20DE%20PROGRAMMING/PROGRAMMING/PERSONAL/PYTHON/Image_Generator_API/imagenes/NAUTICA_CLASSICS_117005001_BLK_2.jpg")</f>
        <v/>
      </c>
      <c r="N1732">
        <f>IMAGE("file:///E:/Estudios%20y%20certificaciones/ESTUDIOS%20DE%20PROGRAMMING/PROGRAMMING/PERSONAL/PYTHON/Image_Generator_API/imagenes/NAUTICA_CLASSICS_117005001_BLK_3.jpg")</f>
        <v/>
      </c>
      <c r="O1732">
        <f>HYPERLINK("imagenes/NAUTICA_CLASSICS_117005001_BLK_1.jpg","Ver imagen")</f>
        <v/>
      </c>
      <c r="P1732">
        <f>HYPERLINK("imagenes/NAUTICA_CLASSICS_117005001_BLK_2.jpg","Ver imagen")</f>
        <v/>
      </c>
      <c r="Q1732">
        <f>HYPERLINK("imagenes/NAUTICA_CLASSICS_117005001_BLK_3.jpg","Ver imagen")</f>
        <v/>
      </c>
    </row>
    <row r="1733">
      <c r="A1733" t="inlineStr">
        <is>
          <t>NAUTICA CLASSICS</t>
        </is>
      </c>
      <c r="B1733" t="inlineStr">
        <is>
          <t>117005001</t>
        </is>
      </c>
      <c r="C1733" t="inlineStr">
        <is>
          <t>STRETCH 3/4 PUFFER</t>
        </is>
      </c>
      <c r="D1733" t="inlineStr">
        <is>
          <t>BLK</t>
        </is>
      </c>
      <c r="E1733" t="inlineStr">
        <is>
          <t>(en blanco)</t>
        </is>
      </c>
      <c r="F1733" t="inlineStr">
        <is>
          <t>(en blanco)</t>
        </is>
      </c>
      <c r="G1733" t="inlineStr">
        <is>
          <t>M</t>
        </is>
      </c>
      <c r="H1733" t="n">
        <v>1</v>
      </c>
      <c r="I1733" t="inlineStr">
        <is>
          <t>NAUTICA_CLASSICS_117005001_BLK_1.jpg</t>
        </is>
      </c>
      <c r="J1733" t="inlineStr">
        <is>
          <t>NAUTICA_CLASSICS_117005001_BLK_2.jpg</t>
        </is>
      </c>
      <c r="K1733" t="inlineStr">
        <is>
          <t>NAUTICA_CLASSICS_117005001_BLK_3.jpg</t>
        </is>
      </c>
      <c r="L1733">
        <f>IMAGE("file:///E:/Estudios%20y%20certificaciones/ESTUDIOS%20DE%20PROGRAMMING/PROGRAMMING/PERSONAL/PYTHON/Image_Generator_API/imagenes/NAUTICA_CLASSICS_117005001_BLK_1.jpg")</f>
        <v/>
      </c>
      <c r="M1733">
        <f>IMAGE("file:///E:/Estudios%20y%20certificaciones/ESTUDIOS%20DE%20PROGRAMMING/PROGRAMMING/PERSONAL/PYTHON/Image_Generator_API/imagenes/NAUTICA_CLASSICS_117005001_BLK_2.jpg")</f>
        <v/>
      </c>
      <c r="N1733">
        <f>IMAGE("file:///E:/Estudios%20y%20certificaciones/ESTUDIOS%20DE%20PROGRAMMING/PROGRAMMING/PERSONAL/PYTHON/Image_Generator_API/imagenes/NAUTICA_CLASSICS_117005001_BLK_3.jpg")</f>
        <v/>
      </c>
      <c r="O1733">
        <f>HYPERLINK("imagenes/NAUTICA_CLASSICS_117005001_BLK_1.jpg","Ver imagen")</f>
        <v/>
      </c>
      <c r="P1733">
        <f>HYPERLINK("imagenes/NAUTICA_CLASSICS_117005001_BLK_2.jpg","Ver imagen")</f>
        <v/>
      </c>
      <c r="Q1733">
        <f>HYPERLINK("imagenes/NAUTICA_CLASSICS_117005001_BLK_3.jpg","Ver imagen")</f>
        <v/>
      </c>
    </row>
    <row r="1734">
      <c r="A1734" t="inlineStr">
        <is>
          <t>NAUTICA CLASSICS</t>
        </is>
      </c>
      <c r="B1734" t="inlineStr">
        <is>
          <t>117005001</t>
        </is>
      </c>
      <c r="C1734" t="inlineStr">
        <is>
          <t>STRETCH 3/4 PUFFER</t>
        </is>
      </c>
      <c r="D1734" t="inlineStr">
        <is>
          <t>HBE</t>
        </is>
      </c>
      <c r="E1734" t="inlineStr">
        <is>
          <t>07A08</t>
        </is>
      </c>
      <c r="F1734" t="inlineStr">
        <is>
          <t>B2230</t>
        </is>
      </c>
      <c r="G1734" t="inlineStr">
        <is>
          <t>PPK</t>
        </is>
      </c>
      <c r="H1734" t="n">
        <v>406</v>
      </c>
      <c r="I1734" t="inlineStr">
        <is>
          <t>NAUTICA_CLASSICS_117005001_HBE_1.jpg</t>
        </is>
      </c>
      <c r="J1734" t="inlineStr">
        <is>
          <t>NAUTICA_CLASSICS_117005001_HBE_2.jpg</t>
        </is>
      </c>
      <c r="K1734" t="inlineStr">
        <is>
          <t>NAUTICA_CLASSICS_117005001_HBE_3.jpg</t>
        </is>
      </c>
      <c r="L1734">
        <f>IMAGE("file:///E:/Estudios%20y%20certificaciones/ESTUDIOS%20DE%20PROGRAMMING/PROGRAMMING/PERSONAL/PYTHON/Image_Generator_API/imagenes/NAUTICA_CLASSICS_117005001_HBE_1.jpg")</f>
        <v/>
      </c>
      <c r="M1734">
        <f>IMAGE("file:///E:/Estudios%20y%20certificaciones/ESTUDIOS%20DE%20PROGRAMMING/PROGRAMMING/PERSONAL/PYTHON/Image_Generator_API/imagenes/NAUTICA_CLASSICS_117005001_HBE_2.jpg")</f>
        <v/>
      </c>
      <c r="N1734">
        <f>IMAGE("file:///E:/Estudios%20y%20certificaciones/ESTUDIOS%20DE%20PROGRAMMING/PROGRAMMING/PERSONAL/PYTHON/Image_Generator_API/imagenes/NAUTICA_CLASSICS_117005001_HBE_3.jpg")</f>
        <v/>
      </c>
      <c r="O1734">
        <f>HYPERLINK("imagenes/NAUTICA_CLASSICS_117005001_HBE_1.jpg","Ver imagen")</f>
        <v/>
      </c>
      <c r="P1734">
        <f>HYPERLINK("imagenes/NAUTICA_CLASSICS_117005001_HBE_2.jpg","Ver imagen")</f>
        <v/>
      </c>
      <c r="Q1734">
        <f>HYPERLINK("imagenes/NAUTICA_CLASSICS_117005001_HBE_3.jpg","Ver imagen")</f>
        <v/>
      </c>
    </row>
    <row r="1735">
      <c r="A1735" t="inlineStr">
        <is>
          <t>NAUTICA CLASSICS</t>
        </is>
      </c>
      <c r="B1735" t="inlineStr">
        <is>
          <t>117005001</t>
        </is>
      </c>
      <c r="C1735" t="inlineStr">
        <is>
          <t>STRETCH 3/4 PUFFER</t>
        </is>
      </c>
      <c r="D1735" t="inlineStr">
        <is>
          <t>HBE</t>
        </is>
      </c>
      <c r="E1735" t="inlineStr">
        <is>
          <t>(en blanco)</t>
        </is>
      </c>
      <c r="F1735" t="inlineStr">
        <is>
          <t>(en blanco)</t>
        </is>
      </c>
      <c r="G1735" t="inlineStr">
        <is>
          <t>XS</t>
        </is>
      </c>
      <c r="H1735" t="n">
        <v>1</v>
      </c>
      <c r="I1735" t="inlineStr">
        <is>
          <t>NAUTICA_CLASSICS_117005001_HBE_1.jpg</t>
        </is>
      </c>
      <c r="J1735" t="inlineStr">
        <is>
          <t>NAUTICA_CLASSICS_117005001_HBE_2.jpg</t>
        </is>
      </c>
      <c r="K1735" t="inlineStr">
        <is>
          <t>NAUTICA_CLASSICS_117005001_HBE_3.jpg</t>
        </is>
      </c>
      <c r="L1735">
        <f>IMAGE("file:///E:/Estudios%20y%20certificaciones/ESTUDIOS%20DE%20PROGRAMMING/PROGRAMMING/PERSONAL/PYTHON/Image_Generator_API/imagenes/NAUTICA_CLASSICS_117005001_HBE_1.jpg")</f>
        <v/>
      </c>
      <c r="M1735">
        <f>IMAGE("file:///E:/Estudios%20y%20certificaciones/ESTUDIOS%20DE%20PROGRAMMING/PROGRAMMING/PERSONAL/PYTHON/Image_Generator_API/imagenes/NAUTICA_CLASSICS_117005001_HBE_2.jpg")</f>
        <v/>
      </c>
      <c r="N1735">
        <f>IMAGE("file:///E:/Estudios%20y%20certificaciones/ESTUDIOS%20DE%20PROGRAMMING/PROGRAMMING/PERSONAL/PYTHON/Image_Generator_API/imagenes/NAUTICA_CLASSICS_117005001_HBE_3.jpg")</f>
        <v/>
      </c>
      <c r="O1735">
        <f>HYPERLINK("imagenes/NAUTICA_CLASSICS_117005001_HBE_1.jpg","Ver imagen")</f>
        <v/>
      </c>
      <c r="P1735">
        <f>HYPERLINK("imagenes/NAUTICA_CLASSICS_117005001_HBE_2.jpg","Ver imagen")</f>
        <v/>
      </c>
      <c r="Q1735">
        <f>HYPERLINK("imagenes/NAUTICA_CLASSICS_117005001_HBE_3.jpg","Ver imagen")</f>
        <v/>
      </c>
    </row>
    <row r="1736">
      <c r="A1736" t="inlineStr">
        <is>
          <t>NAUTICA CLASSICS</t>
        </is>
      </c>
      <c r="B1736" t="inlineStr">
        <is>
          <t>117005001</t>
        </is>
      </c>
      <c r="C1736" t="inlineStr">
        <is>
          <t>STRETCH 3/4 PUFFER</t>
        </is>
      </c>
      <c r="D1736" t="inlineStr">
        <is>
          <t>HBE</t>
        </is>
      </c>
      <c r="E1736" t="inlineStr">
        <is>
          <t>(en blanco)</t>
        </is>
      </c>
      <c r="F1736" t="inlineStr">
        <is>
          <t>(en blanco)</t>
        </is>
      </c>
      <c r="G1736" t="inlineStr">
        <is>
          <t>S</t>
        </is>
      </c>
      <c r="H1736" t="n">
        <v>14</v>
      </c>
      <c r="I1736" t="inlineStr">
        <is>
          <t>NAUTICA_CLASSICS_117005001_HBE_1.jpg</t>
        </is>
      </c>
      <c r="J1736" t="inlineStr">
        <is>
          <t>NAUTICA_CLASSICS_117005001_HBE_2.jpg</t>
        </is>
      </c>
      <c r="K1736" t="inlineStr">
        <is>
          <t>NAUTICA_CLASSICS_117005001_HBE_3.jpg</t>
        </is>
      </c>
      <c r="L1736">
        <f>IMAGE("file:///E:/Estudios%20y%20certificaciones/ESTUDIOS%20DE%20PROGRAMMING/PROGRAMMING/PERSONAL/PYTHON/Image_Generator_API/imagenes/NAUTICA_CLASSICS_117005001_HBE_1.jpg")</f>
        <v/>
      </c>
      <c r="M1736">
        <f>IMAGE("file:///E:/Estudios%20y%20certificaciones/ESTUDIOS%20DE%20PROGRAMMING/PROGRAMMING/PERSONAL/PYTHON/Image_Generator_API/imagenes/NAUTICA_CLASSICS_117005001_HBE_2.jpg")</f>
        <v/>
      </c>
      <c r="N1736">
        <f>IMAGE("file:///E:/Estudios%20y%20certificaciones/ESTUDIOS%20DE%20PROGRAMMING/PROGRAMMING/PERSONAL/PYTHON/Image_Generator_API/imagenes/NAUTICA_CLASSICS_117005001_HBE_3.jpg")</f>
        <v/>
      </c>
      <c r="O1736">
        <f>HYPERLINK("imagenes/NAUTICA_CLASSICS_117005001_HBE_1.jpg","Ver imagen")</f>
        <v/>
      </c>
      <c r="P1736">
        <f>HYPERLINK("imagenes/NAUTICA_CLASSICS_117005001_HBE_2.jpg","Ver imagen")</f>
        <v/>
      </c>
      <c r="Q1736">
        <f>HYPERLINK("imagenes/NAUTICA_CLASSICS_117005001_HBE_3.jpg","Ver imagen")</f>
        <v/>
      </c>
    </row>
    <row r="1737">
      <c r="A1737" t="inlineStr">
        <is>
          <t>NAUTICA CLASSICS</t>
        </is>
      </c>
      <c r="B1737" t="inlineStr">
        <is>
          <t>117005001</t>
        </is>
      </c>
      <c r="C1737" t="inlineStr">
        <is>
          <t>STRETCH 3/4 PUFFER</t>
        </is>
      </c>
      <c r="D1737" t="inlineStr">
        <is>
          <t>HBE</t>
        </is>
      </c>
      <c r="E1737" t="inlineStr">
        <is>
          <t>(en blanco)</t>
        </is>
      </c>
      <c r="F1737" t="inlineStr">
        <is>
          <t>(en blanco)</t>
        </is>
      </c>
      <c r="G1737" t="inlineStr">
        <is>
          <t>M</t>
        </is>
      </c>
      <c r="H1737" t="n">
        <v>1</v>
      </c>
      <c r="I1737" t="inlineStr">
        <is>
          <t>NAUTICA_CLASSICS_117005001_HBE_1.jpg</t>
        </is>
      </c>
      <c r="J1737" t="inlineStr">
        <is>
          <t>NAUTICA_CLASSICS_117005001_HBE_2.jpg</t>
        </is>
      </c>
      <c r="K1737" t="inlineStr">
        <is>
          <t>NAUTICA_CLASSICS_117005001_HBE_3.jpg</t>
        </is>
      </c>
      <c r="L1737">
        <f>IMAGE("file:///E:/Estudios%20y%20certificaciones/ESTUDIOS%20DE%20PROGRAMMING/PROGRAMMING/PERSONAL/PYTHON/Image_Generator_API/imagenes/NAUTICA_CLASSICS_117005001_HBE_1.jpg")</f>
        <v/>
      </c>
      <c r="M1737">
        <f>IMAGE("file:///E:/Estudios%20y%20certificaciones/ESTUDIOS%20DE%20PROGRAMMING/PROGRAMMING/PERSONAL/PYTHON/Image_Generator_API/imagenes/NAUTICA_CLASSICS_117005001_HBE_2.jpg")</f>
        <v/>
      </c>
      <c r="N1737">
        <f>IMAGE("file:///E:/Estudios%20y%20certificaciones/ESTUDIOS%20DE%20PROGRAMMING/PROGRAMMING/PERSONAL/PYTHON/Image_Generator_API/imagenes/NAUTICA_CLASSICS_117005001_HBE_3.jpg")</f>
        <v/>
      </c>
      <c r="O1737">
        <f>HYPERLINK("imagenes/NAUTICA_CLASSICS_117005001_HBE_1.jpg","Ver imagen")</f>
        <v/>
      </c>
      <c r="P1737">
        <f>HYPERLINK("imagenes/NAUTICA_CLASSICS_117005001_HBE_2.jpg","Ver imagen")</f>
        <v/>
      </c>
      <c r="Q1737">
        <f>HYPERLINK("imagenes/NAUTICA_CLASSICS_117005001_HBE_3.jpg","Ver imagen")</f>
        <v/>
      </c>
    </row>
    <row r="1738">
      <c r="A1738" t="inlineStr">
        <is>
          <t>NAUTICA CLASSICS</t>
        </is>
      </c>
      <c r="B1738" t="inlineStr">
        <is>
          <t>117005001</t>
        </is>
      </c>
      <c r="C1738" t="inlineStr">
        <is>
          <t>STRETCH 3/4 PUFFER</t>
        </is>
      </c>
      <c r="D1738" t="inlineStr">
        <is>
          <t>LMS</t>
        </is>
      </c>
      <c r="E1738" t="inlineStr">
        <is>
          <t>(en blanco)</t>
        </is>
      </c>
      <c r="F1738" t="inlineStr">
        <is>
          <t>D2C</t>
        </is>
      </c>
      <c r="G1738" t="inlineStr">
        <is>
          <t>XS</t>
        </is>
      </c>
      <c r="H1738" t="n">
        <v>14</v>
      </c>
      <c r="I1738" t="inlineStr">
        <is>
          <t>NAUTICA_CLASSICS_117005001_LMS_1.jpg</t>
        </is>
      </c>
      <c r="J1738" t="inlineStr">
        <is>
          <t>NAUTICA_CLASSICS_117005001_LMS_2.jpg</t>
        </is>
      </c>
      <c r="K1738" t="inlineStr">
        <is>
          <t>NAUTICA_CLASSICS_117005001_LMS_3.jpg</t>
        </is>
      </c>
      <c r="L1738">
        <f>IMAGE("file:///E:/Estudios%20y%20certificaciones/ESTUDIOS%20DE%20PROGRAMMING/PROGRAMMING/PERSONAL/PYTHON/Image_Generator_API/imagenes/NAUTICA_CLASSICS_117005001_LMS_1.jpg")</f>
        <v/>
      </c>
      <c r="M1738">
        <f>IMAGE("file:///E:/Estudios%20y%20certificaciones/ESTUDIOS%20DE%20PROGRAMMING/PROGRAMMING/PERSONAL/PYTHON/Image_Generator_API/imagenes/NAUTICA_CLASSICS_117005001_LMS_2.jpg")</f>
        <v/>
      </c>
      <c r="N1738">
        <f>IMAGE("file:///E:/Estudios%20y%20certificaciones/ESTUDIOS%20DE%20PROGRAMMING/PROGRAMMING/PERSONAL/PYTHON/Image_Generator_API/imagenes/NAUTICA_CLASSICS_117005001_LMS_3.jpg")</f>
        <v/>
      </c>
      <c r="O1738">
        <f>HYPERLINK("imagenes/NAUTICA_CLASSICS_117005001_LMS_1.jpg","Ver imagen")</f>
        <v/>
      </c>
      <c r="P1738">
        <f>HYPERLINK("imagenes/NAUTICA_CLASSICS_117005001_LMS_2.jpg","Ver imagen")</f>
        <v/>
      </c>
      <c r="Q1738">
        <f>HYPERLINK("imagenes/NAUTICA_CLASSICS_117005001_LMS_3.jpg","Ver imagen")</f>
        <v/>
      </c>
    </row>
    <row r="1739">
      <c r="A1739" t="inlineStr">
        <is>
          <t>NAUTICA CLASSICS</t>
        </is>
      </c>
      <c r="B1739" t="inlineStr">
        <is>
          <t>117005001</t>
        </is>
      </c>
      <c r="C1739" t="inlineStr">
        <is>
          <t>STRETCH 3/4 PUFFER</t>
        </is>
      </c>
      <c r="D1739" t="inlineStr">
        <is>
          <t>LMS</t>
        </is>
      </c>
      <c r="E1739" t="inlineStr">
        <is>
          <t>(en blanco)</t>
        </is>
      </c>
      <c r="F1739" t="inlineStr">
        <is>
          <t>D2C</t>
        </is>
      </c>
      <c r="G1739" t="inlineStr">
        <is>
          <t>S</t>
        </is>
      </c>
      <c r="H1739" t="n">
        <v>40</v>
      </c>
      <c r="I1739" t="inlineStr">
        <is>
          <t>NAUTICA_CLASSICS_117005001_LMS_1.jpg</t>
        </is>
      </c>
      <c r="J1739" t="inlineStr">
        <is>
          <t>NAUTICA_CLASSICS_117005001_LMS_2.jpg</t>
        </is>
      </c>
      <c r="K1739" t="inlineStr">
        <is>
          <t>NAUTICA_CLASSICS_117005001_LMS_3.jpg</t>
        </is>
      </c>
      <c r="L1739">
        <f>IMAGE("file:///E:/Estudios%20y%20certificaciones/ESTUDIOS%20DE%20PROGRAMMING/PROGRAMMING/PERSONAL/PYTHON/Image_Generator_API/imagenes/NAUTICA_CLASSICS_117005001_LMS_1.jpg")</f>
        <v/>
      </c>
      <c r="M1739">
        <f>IMAGE("file:///E:/Estudios%20y%20certificaciones/ESTUDIOS%20DE%20PROGRAMMING/PROGRAMMING/PERSONAL/PYTHON/Image_Generator_API/imagenes/NAUTICA_CLASSICS_117005001_LMS_2.jpg")</f>
        <v/>
      </c>
      <c r="N1739">
        <f>IMAGE("file:///E:/Estudios%20y%20certificaciones/ESTUDIOS%20DE%20PROGRAMMING/PROGRAMMING/PERSONAL/PYTHON/Image_Generator_API/imagenes/NAUTICA_CLASSICS_117005001_LMS_3.jpg")</f>
        <v/>
      </c>
      <c r="O1739">
        <f>HYPERLINK("imagenes/NAUTICA_CLASSICS_117005001_LMS_1.jpg","Ver imagen")</f>
        <v/>
      </c>
      <c r="P1739">
        <f>HYPERLINK("imagenes/NAUTICA_CLASSICS_117005001_LMS_2.jpg","Ver imagen")</f>
        <v/>
      </c>
      <c r="Q1739">
        <f>HYPERLINK("imagenes/NAUTICA_CLASSICS_117005001_LMS_3.jpg","Ver imagen")</f>
        <v/>
      </c>
    </row>
    <row r="1740">
      <c r="A1740" t="inlineStr">
        <is>
          <t>NAUTICA CLASSICS</t>
        </is>
      </c>
      <c r="B1740" t="inlineStr">
        <is>
          <t>117005001</t>
        </is>
      </c>
      <c r="C1740" t="inlineStr">
        <is>
          <t>STRETCH 3/4 PUFFER</t>
        </is>
      </c>
      <c r="D1740" t="inlineStr">
        <is>
          <t>LMS</t>
        </is>
      </c>
      <c r="E1740" t="inlineStr">
        <is>
          <t>(en blanco)</t>
        </is>
      </c>
      <c r="F1740" t="inlineStr">
        <is>
          <t>D2C</t>
        </is>
      </c>
      <c r="G1740" t="inlineStr">
        <is>
          <t>M</t>
        </is>
      </c>
      <c r="H1740" t="n">
        <v>39</v>
      </c>
      <c r="I1740" t="inlineStr">
        <is>
          <t>NAUTICA_CLASSICS_117005001_LMS_1.jpg</t>
        </is>
      </c>
      <c r="J1740" t="inlineStr">
        <is>
          <t>NAUTICA_CLASSICS_117005001_LMS_2.jpg</t>
        </is>
      </c>
      <c r="K1740" t="inlineStr">
        <is>
          <t>NAUTICA_CLASSICS_117005001_LMS_3.jpg</t>
        </is>
      </c>
      <c r="L1740">
        <f>IMAGE("file:///E:/Estudios%20y%20certificaciones/ESTUDIOS%20DE%20PROGRAMMING/PROGRAMMING/PERSONAL/PYTHON/Image_Generator_API/imagenes/NAUTICA_CLASSICS_117005001_LMS_1.jpg")</f>
        <v/>
      </c>
      <c r="M1740">
        <f>IMAGE("file:///E:/Estudios%20y%20certificaciones/ESTUDIOS%20DE%20PROGRAMMING/PROGRAMMING/PERSONAL/PYTHON/Image_Generator_API/imagenes/NAUTICA_CLASSICS_117005001_LMS_2.jpg")</f>
        <v/>
      </c>
      <c r="N1740">
        <f>IMAGE("file:///E:/Estudios%20y%20certificaciones/ESTUDIOS%20DE%20PROGRAMMING/PROGRAMMING/PERSONAL/PYTHON/Image_Generator_API/imagenes/NAUTICA_CLASSICS_117005001_LMS_3.jpg")</f>
        <v/>
      </c>
      <c r="O1740">
        <f>HYPERLINK("imagenes/NAUTICA_CLASSICS_117005001_LMS_1.jpg","Ver imagen")</f>
        <v/>
      </c>
      <c r="P1740">
        <f>HYPERLINK("imagenes/NAUTICA_CLASSICS_117005001_LMS_2.jpg","Ver imagen")</f>
        <v/>
      </c>
      <c r="Q1740">
        <f>HYPERLINK("imagenes/NAUTICA_CLASSICS_117005001_LMS_3.jpg","Ver imagen")</f>
        <v/>
      </c>
    </row>
    <row r="1741">
      <c r="A1741" t="inlineStr">
        <is>
          <t>NAUTICA CLASSICS</t>
        </is>
      </c>
      <c r="B1741" t="inlineStr">
        <is>
          <t>117005001</t>
        </is>
      </c>
      <c r="C1741" t="inlineStr">
        <is>
          <t>STRETCH 3/4 PUFFER</t>
        </is>
      </c>
      <c r="D1741" t="inlineStr">
        <is>
          <t>LMS</t>
        </is>
      </c>
      <c r="E1741" t="inlineStr">
        <is>
          <t>(en blanco)</t>
        </is>
      </c>
      <c r="F1741" t="inlineStr">
        <is>
          <t>D2C</t>
        </is>
      </c>
      <c r="G1741" t="inlineStr">
        <is>
          <t>L</t>
        </is>
      </c>
      <c r="H1741" t="n">
        <v>37</v>
      </c>
      <c r="I1741" t="inlineStr">
        <is>
          <t>NAUTICA_CLASSICS_117005001_LMS_1.jpg</t>
        </is>
      </c>
      <c r="J1741" t="inlineStr">
        <is>
          <t>NAUTICA_CLASSICS_117005001_LMS_2.jpg</t>
        </is>
      </c>
      <c r="K1741" t="inlineStr">
        <is>
          <t>NAUTICA_CLASSICS_117005001_LMS_3.jpg</t>
        </is>
      </c>
      <c r="L1741">
        <f>IMAGE("file:///E:/Estudios%20y%20certificaciones/ESTUDIOS%20DE%20PROGRAMMING/PROGRAMMING/PERSONAL/PYTHON/Image_Generator_API/imagenes/NAUTICA_CLASSICS_117005001_LMS_1.jpg")</f>
        <v/>
      </c>
      <c r="M1741">
        <f>IMAGE("file:///E:/Estudios%20y%20certificaciones/ESTUDIOS%20DE%20PROGRAMMING/PROGRAMMING/PERSONAL/PYTHON/Image_Generator_API/imagenes/NAUTICA_CLASSICS_117005001_LMS_2.jpg")</f>
        <v/>
      </c>
      <c r="N1741">
        <f>IMAGE("file:///E:/Estudios%20y%20certificaciones/ESTUDIOS%20DE%20PROGRAMMING/PROGRAMMING/PERSONAL/PYTHON/Image_Generator_API/imagenes/NAUTICA_CLASSICS_117005001_LMS_3.jpg")</f>
        <v/>
      </c>
      <c r="O1741">
        <f>HYPERLINK("imagenes/NAUTICA_CLASSICS_117005001_LMS_1.jpg","Ver imagen")</f>
        <v/>
      </c>
      <c r="P1741">
        <f>HYPERLINK("imagenes/NAUTICA_CLASSICS_117005001_LMS_2.jpg","Ver imagen")</f>
        <v/>
      </c>
      <c r="Q1741">
        <f>HYPERLINK("imagenes/NAUTICA_CLASSICS_117005001_LMS_3.jpg","Ver imagen")</f>
        <v/>
      </c>
    </row>
    <row r="1742">
      <c r="A1742" t="inlineStr">
        <is>
          <t>NAUTICA CLASSICS</t>
        </is>
      </c>
      <c r="B1742" t="inlineStr">
        <is>
          <t>117005001</t>
        </is>
      </c>
      <c r="C1742" t="inlineStr">
        <is>
          <t>STRETCH 3/4 PUFFER</t>
        </is>
      </c>
      <c r="D1742" t="inlineStr">
        <is>
          <t>LMS</t>
        </is>
      </c>
      <c r="E1742" t="inlineStr">
        <is>
          <t>(en blanco)</t>
        </is>
      </c>
      <c r="F1742" t="inlineStr">
        <is>
          <t>D2C</t>
        </is>
      </c>
      <c r="G1742" t="inlineStr">
        <is>
          <t>XL</t>
        </is>
      </c>
      <c r="H1742" t="n">
        <v>13</v>
      </c>
      <c r="I1742" t="inlineStr">
        <is>
          <t>NAUTICA_CLASSICS_117005001_LMS_1.jpg</t>
        </is>
      </c>
      <c r="J1742" t="inlineStr">
        <is>
          <t>NAUTICA_CLASSICS_117005001_LMS_2.jpg</t>
        </is>
      </c>
      <c r="K1742" t="inlineStr">
        <is>
          <t>NAUTICA_CLASSICS_117005001_LMS_3.jpg</t>
        </is>
      </c>
      <c r="L1742">
        <f>IMAGE("file:///E:/Estudios%20y%20certificaciones/ESTUDIOS%20DE%20PROGRAMMING/PROGRAMMING/PERSONAL/PYTHON/Image_Generator_API/imagenes/NAUTICA_CLASSICS_117005001_LMS_1.jpg")</f>
        <v/>
      </c>
      <c r="M1742">
        <f>IMAGE("file:///E:/Estudios%20y%20certificaciones/ESTUDIOS%20DE%20PROGRAMMING/PROGRAMMING/PERSONAL/PYTHON/Image_Generator_API/imagenes/NAUTICA_CLASSICS_117005001_LMS_2.jpg")</f>
        <v/>
      </c>
      <c r="N1742">
        <f>IMAGE("file:///E:/Estudios%20y%20certificaciones/ESTUDIOS%20DE%20PROGRAMMING/PROGRAMMING/PERSONAL/PYTHON/Image_Generator_API/imagenes/NAUTICA_CLASSICS_117005001_LMS_3.jpg")</f>
        <v/>
      </c>
      <c r="O1742">
        <f>HYPERLINK("imagenes/NAUTICA_CLASSICS_117005001_LMS_1.jpg","Ver imagen")</f>
        <v/>
      </c>
      <c r="P1742">
        <f>HYPERLINK("imagenes/NAUTICA_CLASSICS_117005001_LMS_2.jpg","Ver imagen")</f>
        <v/>
      </c>
      <c r="Q1742">
        <f>HYPERLINK("imagenes/NAUTICA_CLASSICS_117005001_LMS_3.jpg","Ver imagen")</f>
        <v/>
      </c>
    </row>
    <row r="1743">
      <c r="A1743" t="inlineStr">
        <is>
          <t>NAUTICA CLASSICS</t>
        </is>
      </c>
      <c r="B1743" t="inlineStr">
        <is>
          <t>117005001</t>
        </is>
      </c>
      <c r="C1743" t="inlineStr">
        <is>
          <t>STRETCH 3/4 PUFFER</t>
        </is>
      </c>
      <c r="D1743" t="inlineStr">
        <is>
          <t>LMS</t>
        </is>
      </c>
      <c r="E1743" t="inlineStr">
        <is>
          <t>(en blanco)</t>
        </is>
      </c>
      <c r="F1743" t="inlineStr">
        <is>
          <t>(en blanco)</t>
        </is>
      </c>
      <c r="G1743" t="inlineStr">
        <is>
          <t>XS</t>
        </is>
      </c>
      <c r="H1743" t="n">
        <v>4</v>
      </c>
      <c r="I1743" t="inlineStr">
        <is>
          <t>NAUTICA_CLASSICS_117005001_LMS_1.jpg</t>
        </is>
      </c>
      <c r="J1743" t="inlineStr">
        <is>
          <t>NAUTICA_CLASSICS_117005001_LMS_2.jpg</t>
        </is>
      </c>
      <c r="K1743" t="inlineStr">
        <is>
          <t>NAUTICA_CLASSICS_117005001_LMS_3.jpg</t>
        </is>
      </c>
      <c r="L1743">
        <f>IMAGE("file:///E:/Estudios%20y%20certificaciones/ESTUDIOS%20DE%20PROGRAMMING/PROGRAMMING/PERSONAL/PYTHON/Image_Generator_API/imagenes/NAUTICA_CLASSICS_117005001_LMS_1.jpg")</f>
        <v/>
      </c>
      <c r="M1743">
        <f>IMAGE("file:///E:/Estudios%20y%20certificaciones/ESTUDIOS%20DE%20PROGRAMMING/PROGRAMMING/PERSONAL/PYTHON/Image_Generator_API/imagenes/NAUTICA_CLASSICS_117005001_LMS_2.jpg")</f>
        <v/>
      </c>
      <c r="N1743">
        <f>IMAGE("file:///E:/Estudios%20y%20certificaciones/ESTUDIOS%20DE%20PROGRAMMING/PROGRAMMING/PERSONAL/PYTHON/Image_Generator_API/imagenes/NAUTICA_CLASSICS_117005001_LMS_3.jpg")</f>
        <v/>
      </c>
      <c r="O1743">
        <f>HYPERLINK("imagenes/NAUTICA_CLASSICS_117005001_LMS_1.jpg","Ver imagen")</f>
        <v/>
      </c>
      <c r="P1743">
        <f>HYPERLINK("imagenes/NAUTICA_CLASSICS_117005001_LMS_2.jpg","Ver imagen")</f>
        <v/>
      </c>
      <c r="Q1743">
        <f>HYPERLINK("imagenes/NAUTICA_CLASSICS_117005001_LMS_3.jpg","Ver imagen")</f>
        <v/>
      </c>
    </row>
    <row r="1744">
      <c r="A1744" t="inlineStr">
        <is>
          <t>NAUTICA CLASSICS</t>
        </is>
      </c>
      <c r="B1744" t="inlineStr">
        <is>
          <t>117005001</t>
        </is>
      </c>
      <c r="C1744" t="inlineStr">
        <is>
          <t>STRETCH 3/4 PUFFER</t>
        </is>
      </c>
      <c r="D1744" t="inlineStr">
        <is>
          <t>LMS</t>
        </is>
      </c>
      <c r="E1744" t="inlineStr">
        <is>
          <t>(en blanco)</t>
        </is>
      </c>
      <c r="F1744" t="inlineStr">
        <is>
          <t>(en blanco)</t>
        </is>
      </c>
      <c r="G1744" t="inlineStr">
        <is>
          <t>S</t>
        </is>
      </c>
      <c r="H1744" t="n">
        <v>4</v>
      </c>
      <c r="I1744" t="inlineStr">
        <is>
          <t>NAUTICA_CLASSICS_117005001_LMS_1.jpg</t>
        </is>
      </c>
      <c r="J1744" t="inlineStr">
        <is>
          <t>NAUTICA_CLASSICS_117005001_LMS_2.jpg</t>
        </is>
      </c>
      <c r="K1744" t="inlineStr">
        <is>
          <t>NAUTICA_CLASSICS_117005001_LMS_3.jpg</t>
        </is>
      </c>
      <c r="L1744">
        <f>IMAGE("file:///E:/Estudios%20y%20certificaciones/ESTUDIOS%20DE%20PROGRAMMING/PROGRAMMING/PERSONAL/PYTHON/Image_Generator_API/imagenes/NAUTICA_CLASSICS_117005001_LMS_1.jpg")</f>
        <v/>
      </c>
      <c r="M1744">
        <f>IMAGE("file:///E:/Estudios%20y%20certificaciones/ESTUDIOS%20DE%20PROGRAMMING/PROGRAMMING/PERSONAL/PYTHON/Image_Generator_API/imagenes/NAUTICA_CLASSICS_117005001_LMS_2.jpg")</f>
        <v/>
      </c>
      <c r="N1744">
        <f>IMAGE("file:///E:/Estudios%20y%20certificaciones/ESTUDIOS%20DE%20PROGRAMMING/PROGRAMMING/PERSONAL/PYTHON/Image_Generator_API/imagenes/NAUTICA_CLASSICS_117005001_LMS_3.jpg")</f>
        <v/>
      </c>
      <c r="O1744">
        <f>HYPERLINK("imagenes/NAUTICA_CLASSICS_117005001_LMS_1.jpg","Ver imagen")</f>
        <v/>
      </c>
      <c r="P1744">
        <f>HYPERLINK("imagenes/NAUTICA_CLASSICS_117005001_LMS_2.jpg","Ver imagen")</f>
        <v/>
      </c>
      <c r="Q1744">
        <f>HYPERLINK("imagenes/NAUTICA_CLASSICS_117005001_LMS_3.jpg","Ver imagen")</f>
        <v/>
      </c>
    </row>
    <row r="1745">
      <c r="A1745" t="inlineStr">
        <is>
          <t>NAUTICA CLASSICS</t>
        </is>
      </c>
      <c r="B1745" t="inlineStr">
        <is>
          <t>117005001</t>
        </is>
      </c>
      <c r="C1745" t="inlineStr">
        <is>
          <t>STRETCH 3/4 PUFFER</t>
        </is>
      </c>
      <c r="D1745" t="inlineStr">
        <is>
          <t>LMS</t>
        </is>
      </c>
      <c r="E1745" t="inlineStr">
        <is>
          <t>(en blanco)</t>
        </is>
      </c>
      <c r="F1745" t="inlineStr">
        <is>
          <t>(en blanco)</t>
        </is>
      </c>
      <c r="G1745" t="inlineStr">
        <is>
          <t>M</t>
        </is>
      </c>
      <c r="H1745" t="n">
        <v>15</v>
      </c>
      <c r="I1745" t="inlineStr">
        <is>
          <t>NAUTICA_CLASSICS_117005001_LMS_1.jpg</t>
        </is>
      </c>
      <c r="J1745" t="inlineStr">
        <is>
          <t>NAUTICA_CLASSICS_117005001_LMS_2.jpg</t>
        </is>
      </c>
      <c r="K1745" t="inlineStr">
        <is>
          <t>NAUTICA_CLASSICS_117005001_LMS_3.jpg</t>
        </is>
      </c>
      <c r="L1745">
        <f>IMAGE("file:///E:/Estudios%20y%20certificaciones/ESTUDIOS%20DE%20PROGRAMMING/PROGRAMMING/PERSONAL/PYTHON/Image_Generator_API/imagenes/NAUTICA_CLASSICS_117005001_LMS_1.jpg")</f>
        <v/>
      </c>
      <c r="M1745">
        <f>IMAGE("file:///E:/Estudios%20y%20certificaciones/ESTUDIOS%20DE%20PROGRAMMING/PROGRAMMING/PERSONAL/PYTHON/Image_Generator_API/imagenes/NAUTICA_CLASSICS_117005001_LMS_2.jpg")</f>
        <v/>
      </c>
      <c r="N1745">
        <f>IMAGE("file:///E:/Estudios%20y%20certificaciones/ESTUDIOS%20DE%20PROGRAMMING/PROGRAMMING/PERSONAL/PYTHON/Image_Generator_API/imagenes/NAUTICA_CLASSICS_117005001_LMS_3.jpg")</f>
        <v/>
      </c>
      <c r="O1745">
        <f>HYPERLINK("imagenes/NAUTICA_CLASSICS_117005001_LMS_1.jpg","Ver imagen")</f>
        <v/>
      </c>
      <c r="P1745">
        <f>HYPERLINK("imagenes/NAUTICA_CLASSICS_117005001_LMS_2.jpg","Ver imagen")</f>
        <v/>
      </c>
      <c r="Q1745">
        <f>HYPERLINK("imagenes/NAUTICA_CLASSICS_117005001_LMS_3.jpg","Ver imagen")</f>
        <v/>
      </c>
    </row>
    <row r="1746">
      <c r="A1746" t="inlineStr">
        <is>
          <t>NAUTICA CLASSICS</t>
        </is>
      </c>
      <c r="B1746" t="inlineStr">
        <is>
          <t>117005001</t>
        </is>
      </c>
      <c r="C1746" t="inlineStr">
        <is>
          <t>STRETCH 3/4 PUFFER</t>
        </is>
      </c>
      <c r="D1746" t="inlineStr">
        <is>
          <t>LMS</t>
        </is>
      </c>
      <c r="E1746" t="inlineStr">
        <is>
          <t>(en blanco)</t>
        </is>
      </c>
      <c r="F1746" t="inlineStr">
        <is>
          <t>(en blanco)</t>
        </is>
      </c>
      <c r="G1746" t="inlineStr">
        <is>
          <t>L</t>
        </is>
      </c>
      <c r="H1746" t="n">
        <v>14</v>
      </c>
      <c r="I1746" t="inlineStr">
        <is>
          <t>NAUTICA_CLASSICS_117005001_LMS_1.jpg</t>
        </is>
      </c>
      <c r="J1746" t="inlineStr">
        <is>
          <t>NAUTICA_CLASSICS_117005001_LMS_2.jpg</t>
        </is>
      </c>
      <c r="K1746" t="inlineStr">
        <is>
          <t>NAUTICA_CLASSICS_117005001_LMS_3.jpg</t>
        </is>
      </c>
      <c r="L1746">
        <f>IMAGE("file:///E:/Estudios%20y%20certificaciones/ESTUDIOS%20DE%20PROGRAMMING/PROGRAMMING/PERSONAL/PYTHON/Image_Generator_API/imagenes/NAUTICA_CLASSICS_117005001_LMS_1.jpg")</f>
        <v/>
      </c>
      <c r="M1746">
        <f>IMAGE("file:///E:/Estudios%20y%20certificaciones/ESTUDIOS%20DE%20PROGRAMMING/PROGRAMMING/PERSONAL/PYTHON/Image_Generator_API/imagenes/NAUTICA_CLASSICS_117005001_LMS_2.jpg")</f>
        <v/>
      </c>
      <c r="N1746">
        <f>IMAGE("file:///E:/Estudios%20y%20certificaciones/ESTUDIOS%20DE%20PROGRAMMING/PROGRAMMING/PERSONAL/PYTHON/Image_Generator_API/imagenes/NAUTICA_CLASSICS_117005001_LMS_3.jpg")</f>
        <v/>
      </c>
      <c r="O1746">
        <f>HYPERLINK("imagenes/NAUTICA_CLASSICS_117005001_LMS_1.jpg","Ver imagen")</f>
        <v/>
      </c>
      <c r="P1746">
        <f>HYPERLINK("imagenes/NAUTICA_CLASSICS_117005001_LMS_2.jpg","Ver imagen")</f>
        <v/>
      </c>
      <c r="Q1746">
        <f>HYPERLINK("imagenes/NAUTICA_CLASSICS_117005001_LMS_3.jpg","Ver imagen")</f>
        <v/>
      </c>
    </row>
    <row r="1747">
      <c r="A1747" t="inlineStr">
        <is>
          <t>NAUTICA CLASSICS</t>
        </is>
      </c>
      <c r="B1747" t="inlineStr">
        <is>
          <t>117005001</t>
        </is>
      </c>
      <c r="C1747" t="inlineStr">
        <is>
          <t>STRETCH 3/4 PUFFER</t>
        </is>
      </c>
      <c r="D1747" t="inlineStr">
        <is>
          <t>LMS</t>
        </is>
      </c>
      <c r="E1747" t="inlineStr">
        <is>
          <t>(en blanco)</t>
        </is>
      </c>
      <c r="F1747" t="inlineStr">
        <is>
          <t>(en blanco)</t>
        </is>
      </c>
      <c r="G1747" t="inlineStr">
        <is>
          <t>XL</t>
        </is>
      </c>
      <c r="H1747" t="n">
        <v>8</v>
      </c>
      <c r="I1747" t="inlineStr">
        <is>
          <t>NAUTICA_CLASSICS_117005001_LMS_1.jpg</t>
        </is>
      </c>
      <c r="J1747" t="inlineStr">
        <is>
          <t>NAUTICA_CLASSICS_117005001_LMS_2.jpg</t>
        </is>
      </c>
      <c r="K1747" t="inlineStr">
        <is>
          <t>NAUTICA_CLASSICS_117005001_LMS_3.jpg</t>
        </is>
      </c>
      <c r="L1747">
        <f>IMAGE("file:///E:/Estudios%20y%20certificaciones/ESTUDIOS%20DE%20PROGRAMMING/PROGRAMMING/PERSONAL/PYTHON/Image_Generator_API/imagenes/NAUTICA_CLASSICS_117005001_LMS_1.jpg")</f>
        <v/>
      </c>
      <c r="M1747">
        <f>IMAGE("file:///E:/Estudios%20y%20certificaciones/ESTUDIOS%20DE%20PROGRAMMING/PROGRAMMING/PERSONAL/PYTHON/Image_Generator_API/imagenes/NAUTICA_CLASSICS_117005001_LMS_2.jpg")</f>
        <v/>
      </c>
      <c r="N1747">
        <f>IMAGE("file:///E:/Estudios%20y%20certificaciones/ESTUDIOS%20DE%20PROGRAMMING/PROGRAMMING/PERSONAL/PYTHON/Image_Generator_API/imagenes/NAUTICA_CLASSICS_117005001_LMS_3.jpg")</f>
        <v/>
      </c>
      <c r="O1747">
        <f>HYPERLINK("imagenes/NAUTICA_CLASSICS_117005001_LMS_1.jpg","Ver imagen")</f>
        <v/>
      </c>
      <c r="P1747">
        <f>HYPERLINK("imagenes/NAUTICA_CLASSICS_117005001_LMS_2.jpg","Ver imagen")</f>
        <v/>
      </c>
      <c r="Q1747">
        <f>HYPERLINK("imagenes/NAUTICA_CLASSICS_117005001_LMS_3.jpg","Ver imagen")</f>
        <v/>
      </c>
    </row>
    <row r="1748">
      <c r="A1748" t="inlineStr">
        <is>
          <t>NAUTICA CLASSICS</t>
        </is>
      </c>
      <c r="B1748" t="inlineStr">
        <is>
          <t>117005001</t>
        </is>
      </c>
      <c r="C1748" t="inlineStr">
        <is>
          <t>STRETCH 3/4 PUFFER</t>
        </is>
      </c>
      <c r="D1748" t="inlineStr">
        <is>
          <t>PLF</t>
        </is>
      </c>
      <c r="E1748" t="inlineStr">
        <is>
          <t>08A05</t>
        </is>
      </c>
      <c r="F1748" t="inlineStr">
        <is>
          <t>(en blanco)</t>
        </is>
      </c>
      <c r="G1748" t="inlineStr">
        <is>
          <t>PPK</t>
        </is>
      </c>
      <c r="H1748" t="n">
        <v>424</v>
      </c>
      <c r="I1748" t="inlineStr">
        <is>
          <t>NAUTICA_CLASSICS_117005001_PLF_1.jpg</t>
        </is>
      </c>
      <c r="J1748" t="inlineStr">
        <is>
          <t>NAUTICA_CLASSICS_117005001_PLF_2.jpg</t>
        </is>
      </c>
      <c r="K1748" t="inlineStr">
        <is>
          <t>NAUTICA_CLASSICS_117005001_PLF_3.jpg</t>
        </is>
      </c>
      <c r="L1748">
        <f>IMAGE("file:///E:/Estudios%20y%20certificaciones/ESTUDIOS%20DE%20PROGRAMMING/PROGRAMMING/PERSONAL/PYTHON/Image_Generator_API/imagenes/NAUTICA_CLASSICS_117005001_PLF_1.jpg")</f>
        <v/>
      </c>
      <c r="M1748">
        <f>IMAGE("file:///E:/Estudios%20y%20certificaciones/ESTUDIOS%20DE%20PROGRAMMING/PROGRAMMING/PERSONAL/PYTHON/Image_Generator_API/imagenes/NAUTICA_CLASSICS_117005001_PLF_2.jpg")</f>
        <v/>
      </c>
      <c r="N1748">
        <f>IMAGE("file:///E:/Estudios%20y%20certificaciones/ESTUDIOS%20DE%20PROGRAMMING/PROGRAMMING/PERSONAL/PYTHON/Image_Generator_API/imagenes/NAUTICA_CLASSICS_117005001_PLF_3.jpg")</f>
        <v/>
      </c>
      <c r="O1748">
        <f>HYPERLINK("imagenes/NAUTICA_CLASSICS_117005001_PLF_1.jpg","Ver imagen")</f>
        <v/>
      </c>
      <c r="P1748">
        <f>HYPERLINK("imagenes/NAUTICA_CLASSICS_117005001_PLF_2.jpg","Ver imagen")</f>
        <v/>
      </c>
      <c r="Q1748">
        <f>HYPERLINK("imagenes/NAUTICA_CLASSICS_117005001_PLF_3.jpg","Ver imagen")</f>
        <v/>
      </c>
    </row>
    <row r="1749">
      <c r="A1749" t="inlineStr">
        <is>
          <t>NAUTICA CLASSICS</t>
        </is>
      </c>
      <c r="B1749" t="inlineStr">
        <is>
          <t>117005001P</t>
        </is>
      </c>
      <c r="C1749" t="inlineStr">
        <is>
          <t>STRETCH 3/4 PUFFER - PLUS</t>
        </is>
      </c>
      <c r="D1749" t="inlineStr">
        <is>
          <t>BLK</t>
        </is>
      </c>
      <c r="E1749" t="inlineStr">
        <is>
          <t>08A23</t>
        </is>
      </c>
      <c r="F1749" t="inlineStr">
        <is>
          <t>B2230</t>
        </is>
      </c>
      <c r="G1749" t="inlineStr">
        <is>
          <t>PPK</t>
        </is>
      </c>
      <c r="H1749" t="n">
        <v>0</v>
      </c>
      <c r="I1749" t="inlineStr">
        <is>
          <t>NAUTICA_CLASSICS_117005001P_BLK_1.jpg</t>
        </is>
      </c>
      <c r="J1749" t="inlineStr">
        <is>
          <t>NAUTICA_CLASSICS_117005001P_BLK_2.jpg</t>
        </is>
      </c>
      <c r="K1749" t="inlineStr">
        <is>
          <t>NAUTICA_CLASSICS_117005001P_BLK_3.jpg</t>
        </is>
      </c>
      <c r="L1749">
        <f>IMAGE("file:///E:/Estudios%20y%20certificaciones/ESTUDIOS%20DE%20PROGRAMMING/PROGRAMMING/PERSONAL/PYTHON/Image_Generator_API/imagenes/NAUTICA_CLASSICS_117005001P_BLK_1.jpg")</f>
        <v/>
      </c>
      <c r="M1749">
        <f>IMAGE("file:///E:/Estudios%20y%20certificaciones/ESTUDIOS%20DE%20PROGRAMMING/PROGRAMMING/PERSONAL/PYTHON/Image_Generator_API/imagenes/NAUTICA_CLASSICS_117005001P_BLK_2.jpg")</f>
        <v/>
      </c>
      <c r="N1749">
        <f>IMAGE("file:///E:/Estudios%20y%20certificaciones/ESTUDIOS%20DE%20PROGRAMMING/PROGRAMMING/PERSONAL/PYTHON/Image_Generator_API/imagenes/NAUTICA_CLASSICS_117005001P_BLK_3.jpg")</f>
        <v/>
      </c>
      <c r="O1749">
        <f>HYPERLINK("imagenes/NAUTICA_CLASSICS_117005001P_BLK_1.jpg","Ver imagen")</f>
        <v/>
      </c>
      <c r="P1749">
        <f>HYPERLINK("imagenes/NAUTICA_CLASSICS_117005001P_BLK_2.jpg","Ver imagen")</f>
        <v/>
      </c>
      <c r="Q1749">
        <f>HYPERLINK("imagenes/NAUTICA_CLASSICS_117005001P_BLK_3.jpg","Ver imagen")</f>
        <v/>
      </c>
    </row>
    <row r="1750">
      <c r="A1750" t="inlineStr">
        <is>
          <t>NAUTICA CLASSICS</t>
        </is>
      </c>
      <c r="B1750" t="inlineStr">
        <is>
          <t>117005001P</t>
        </is>
      </c>
      <c r="C1750" t="inlineStr">
        <is>
          <t>STRETCH 3/4 PUFFER - PLUS</t>
        </is>
      </c>
      <c r="D1750" t="inlineStr">
        <is>
          <t>HBE</t>
        </is>
      </c>
      <c r="E1750" t="inlineStr">
        <is>
          <t>08A23</t>
        </is>
      </c>
      <c r="F1750" t="inlineStr">
        <is>
          <t>B2230</t>
        </is>
      </c>
      <c r="G1750" t="inlineStr">
        <is>
          <t>PPK</t>
        </is>
      </c>
      <c r="H1750" t="n">
        <v>0</v>
      </c>
      <c r="I1750" t="inlineStr">
        <is>
          <t>NAUTICA_CLASSICS_117005001P_HBE_1.jpg</t>
        </is>
      </c>
      <c r="J1750" t="inlineStr">
        <is>
          <t>NAUTICA_CLASSICS_117005001P_HBE_2.jpg</t>
        </is>
      </c>
      <c r="K1750" t="inlineStr">
        <is>
          <t>NAUTICA_CLASSICS_117005001P_HBE_3.jpg</t>
        </is>
      </c>
      <c r="L1750">
        <f>IMAGE("file:///E:/Estudios%20y%20certificaciones/ESTUDIOS%20DE%20PROGRAMMING/PROGRAMMING/PERSONAL/PYTHON/Image_Generator_API/imagenes/NAUTICA_CLASSICS_117005001P_HBE_1.jpg")</f>
        <v/>
      </c>
      <c r="M1750">
        <f>IMAGE("file:///E:/Estudios%20y%20certificaciones/ESTUDIOS%20DE%20PROGRAMMING/PROGRAMMING/PERSONAL/PYTHON/Image_Generator_API/imagenes/NAUTICA_CLASSICS_117005001P_HBE_2.jpg")</f>
        <v/>
      </c>
      <c r="N1750">
        <f>IMAGE("file:///E:/Estudios%20y%20certificaciones/ESTUDIOS%20DE%20PROGRAMMING/PROGRAMMING/PERSONAL/PYTHON/Image_Generator_API/imagenes/NAUTICA_CLASSICS_117005001P_HBE_3.jpg")</f>
        <v/>
      </c>
      <c r="O1750">
        <f>HYPERLINK("imagenes/NAUTICA_CLASSICS_117005001P_HBE_1.jpg","Ver imagen")</f>
        <v/>
      </c>
      <c r="P1750">
        <f>HYPERLINK("imagenes/NAUTICA_CLASSICS_117005001P_HBE_2.jpg","Ver imagen")</f>
        <v/>
      </c>
      <c r="Q1750">
        <f>HYPERLINK("imagenes/NAUTICA_CLASSICS_117005001P_HBE_3.jpg","Ver imagen")</f>
        <v/>
      </c>
    </row>
    <row r="1751">
      <c r="A1751" t="inlineStr">
        <is>
          <t>NAUTICA CLASSICS</t>
        </is>
      </c>
      <c r="B1751" t="inlineStr">
        <is>
          <t>117005001P</t>
        </is>
      </c>
      <c r="C1751" t="inlineStr">
        <is>
          <t>STRETCH 3/4 PUFFER - PLUS</t>
        </is>
      </c>
      <c r="D1751" t="inlineStr">
        <is>
          <t>PLF</t>
        </is>
      </c>
      <c r="E1751" t="inlineStr">
        <is>
          <t>08A23</t>
        </is>
      </c>
      <c r="F1751" t="inlineStr">
        <is>
          <t>B2230</t>
        </is>
      </c>
      <c r="G1751" t="inlineStr">
        <is>
          <t>PPK</t>
        </is>
      </c>
      <c r="H1751" t="n">
        <v>0</v>
      </c>
      <c r="I1751" t="inlineStr">
        <is>
          <t>NAUTICA_CLASSICS_117005001P_PLF_1.jpg</t>
        </is>
      </c>
      <c r="J1751" t="inlineStr">
        <is>
          <t>NAUTICA_CLASSICS_117005001P_PLF_2.jpg</t>
        </is>
      </c>
      <c r="K1751" t="inlineStr">
        <is>
          <t>NAUTICA_CLASSICS_117005001P_PLF_3.jpg</t>
        </is>
      </c>
      <c r="L1751">
        <f>IMAGE("file:///E:/Estudios%20y%20certificaciones/ESTUDIOS%20DE%20PROGRAMMING/PROGRAMMING/PERSONAL/PYTHON/Image_Generator_API/imagenes/NAUTICA_CLASSICS_117005001P_PLF_1.jpg")</f>
        <v/>
      </c>
      <c r="M1751">
        <f>IMAGE("file:///E:/Estudios%20y%20certificaciones/ESTUDIOS%20DE%20PROGRAMMING/PROGRAMMING/PERSONAL/PYTHON/Image_Generator_API/imagenes/NAUTICA_CLASSICS_117005001P_PLF_2.jpg")</f>
        <v/>
      </c>
      <c r="N1751">
        <f>IMAGE("file:///E:/Estudios%20y%20certificaciones/ESTUDIOS%20DE%20PROGRAMMING/PROGRAMMING/PERSONAL/PYTHON/Image_Generator_API/imagenes/NAUTICA_CLASSICS_117005001P_PLF_3.jpg")</f>
        <v/>
      </c>
      <c r="O1751">
        <f>HYPERLINK("imagenes/NAUTICA_CLASSICS_117005001P_PLF_1.jpg","Ver imagen")</f>
        <v/>
      </c>
      <c r="P1751">
        <f>HYPERLINK("imagenes/NAUTICA_CLASSICS_117005001P_PLF_2.jpg","Ver imagen")</f>
        <v/>
      </c>
      <c r="Q1751">
        <f>HYPERLINK("imagenes/NAUTICA_CLASSICS_117005001P_PLF_3.jpg","Ver imagen")</f>
        <v/>
      </c>
    </row>
    <row r="1752">
      <c r="A1752" t="inlineStr">
        <is>
          <t>NAUTICA CLASSICS</t>
        </is>
      </c>
      <c r="B1752" t="inlineStr">
        <is>
          <t>117005002</t>
        </is>
      </c>
      <c r="C1752" t="inlineStr">
        <is>
          <t>STRETCH 3/4 PUFFER</t>
        </is>
      </c>
      <c r="D1752" t="inlineStr">
        <is>
          <t>BLK</t>
        </is>
      </c>
      <c r="E1752" t="inlineStr">
        <is>
          <t>08A05</t>
        </is>
      </c>
      <c r="F1752" t="inlineStr">
        <is>
          <t>(en blanco)</t>
        </is>
      </c>
      <c r="G1752" t="inlineStr">
        <is>
          <t>PPK</t>
        </is>
      </c>
      <c r="H1752" t="n">
        <v>0</v>
      </c>
      <c r="I1752" t="inlineStr">
        <is>
          <t>NAUTICA_CLASSICS_117005002_BLK_1.jpg</t>
        </is>
      </c>
      <c r="J1752" t="inlineStr">
        <is>
          <t>NAUTICA_CLASSICS_117005002_BLK_2.jpg</t>
        </is>
      </c>
      <c r="K1752" t="inlineStr">
        <is>
          <t>NAUTICA_CLASSICS_117005002_BLK_3.jpg</t>
        </is>
      </c>
      <c r="L1752">
        <f>IMAGE("file:///E:/Estudios%20y%20certificaciones/ESTUDIOS%20DE%20PROGRAMMING/PROGRAMMING/PERSONAL/PYTHON/Image_Generator_API/imagenes/NAUTICA_CLASSICS_117005002_BLK_1.jpg")</f>
        <v/>
      </c>
      <c r="M1752">
        <f>IMAGE("file:///E:/Estudios%20y%20certificaciones/ESTUDIOS%20DE%20PROGRAMMING/PROGRAMMING/PERSONAL/PYTHON/Image_Generator_API/imagenes/NAUTICA_CLASSICS_117005002_BLK_2.jpg")</f>
        <v/>
      </c>
      <c r="N1752">
        <f>IMAGE("file:///E:/Estudios%20y%20certificaciones/ESTUDIOS%20DE%20PROGRAMMING/PROGRAMMING/PERSONAL/PYTHON/Image_Generator_API/imagenes/NAUTICA_CLASSICS_117005002_BLK_3.jpg")</f>
        <v/>
      </c>
      <c r="O1752">
        <f>HYPERLINK("imagenes/NAUTICA_CLASSICS_117005002_BLK_1.jpg","Ver imagen")</f>
        <v/>
      </c>
      <c r="P1752">
        <f>HYPERLINK("imagenes/NAUTICA_CLASSICS_117005002_BLK_2.jpg","Ver imagen")</f>
        <v/>
      </c>
      <c r="Q1752">
        <f>HYPERLINK("imagenes/NAUTICA_CLASSICS_117005002_BLK_3.jpg","Ver imagen")</f>
        <v/>
      </c>
    </row>
    <row r="1753">
      <c r="A1753" t="inlineStr">
        <is>
          <t>NAUTICA CLASSICS</t>
        </is>
      </c>
      <c r="B1753" t="inlineStr">
        <is>
          <t>117005002</t>
        </is>
      </c>
      <c r="C1753" t="inlineStr">
        <is>
          <t>STRETCH 3/4 PUFFER</t>
        </is>
      </c>
      <c r="D1753" t="inlineStr">
        <is>
          <t>HBE</t>
        </is>
      </c>
      <c r="E1753" t="inlineStr">
        <is>
          <t>08A05</t>
        </is>
      </c>
      <c r="F1753" t="inlineStr">
        <is>
          <t>(en blanco)</t>
        </is>
      </c>
      <c r="G1753" t="inlineStr">
        <is>
          <t>PPK</t>
        </is>
      </c>
      <c r="H1753" t="n">
        <v>696</v>
      </c>
      <c r="I1753" t="inlineStr">
        <is>
          <t>NAUTICA_CLASSICS_117005002_HBE_1.jpg</t>
        </is>
      </c>
      <c r="J1753" t="inlineStr">
        <is>
          <t>NAUTICA_CLASSICS_117005002_HBE_2.jpg</t>
        </is>
      </c>
      <c r="K1753" t="inlineStr">
        <is>
          <t>NAUTICA_CLASSICS_117005002_HBE_3.jpg</t>
        </is>
      </c>
      <c r="L1753">
        <f>IMAGE("file:///E:/Estudios%20y%20certificaciones/ESTUDIOS%20DE%20PROGRAMMING/PROGRAMMING/PERSONAL/PYTHON/Image_Generator_API/imagenes/NAUTICA_CLASSICS_117005002_HBE_1.jpg")</f>
        <v/>
      </c>
      <c r="M1753">
        <f>IMAGE("file:///E:/Estudios%20y%20certificaciones/ESTUDIOS%20DE%20PROGRAMMING/PROGRAMMING/PERSONAL/PYTHON/Image_Generator_API/imagenes/NAUTICA_CLASSICS_117005002_HBE_2.jpg")</f>
        <v/>
      </c>
      <c r="N1753">
        <f>IMAGE("file:///E:/Estudios%20y%20certificaciones/ESTUDIOS%20DE%20PROGRAMMING/PROGRAMMING/PERSONAL/PYTHON/Image_Generator_API/imagenes/NAUTICA_CLASSICS_117005002_HBE_3.jpg")</f>
        <v/>
      </c>
      <c r="O1753">
        <f>HYPERLINK("imagenes/NAUTICA_CLASSICS_117005002_HBE_1.jpg","Ver imagen")</f>
        <v/>
      </c>
      <c r="P1753">
        <f>HYPERLINK("imagenes/NAUTICA_CLASSICS_117005002_HBE_2.jpg","Ver imagen")</f>
        <v/>
      </c>
      <c r="Q1753">
        <f>HYPERLINK("imagenes/NAUTICA_CLASSICS_117005002_HBE_3.jpg","Ver imagen")</f>
        <v/>
      </c>
    </row>
    <row r="1754">
      <c r="A1754" t="inlineStr">
        <is>
          <t>NAUTICA CLASSICS</t>
        </is>
      </c>
      <c r="B1754" t="inlineStr">
        <is>
          <t>117005002</t>
        </is>
      </c>
      <c r="C1754" t="inlineStr">
        <is>
          <t>STRETCH 3/4 PUFFER</t>
        </is>
      </c>
      <c r="D1754" t="inlineStr">
        <is>
          <t>NSS</t>
        </is>
      </c>
      <c r="E1754" t="inlineStr">
        <is>
          <t>08A05</t>
        </is>
      </c>
      <c r="F1754" t="inlineStr">
        <is>
          <t>(en blanco)</t>
        </is>
      </c>
      <c r="G1754" t="inlineStr">
        <is>
          <t>PPK</t>
        </is>
      </c>
      <c r="H1754" t="n">
        <v>1440</v>
      </c>
      <c r="I1754" t="inlineStr">
        <is>
          <t>NAUTICA_CLASSICS_117005002_NSS_1.jpg</t>
        </is>
      </c>
      <c r="J1754" t="inlineStr">
        <is>
          <t>NAUTICA_CLASSICS_117005002_NSS_2.jpg</t>
        </is>
      </c>
      <c r="K1754" t="inlineStr">
        <is>
          <t>NAUTICA_CLASSICS_117005002_NSS_3.jpg</t>
        </is>
      </c>
      <c r="L1754">
        <f>IMAGE("file:///E:/Estudios%20y%20certificaciones/ESTUDIOS%20DE%20PROGRAMMING/PROGRAMMING/PERSONAL/PYTHON/Image_Generator_API/imagenes/NAUTICA_CLASSICS_117005002_NSS_1.jpg")</f>
        <v/>
      </c>
      <c r="M1754">
        <f>IMAGE("file:///E:/Estudios%20y%20certificaciones/ESTUDIOS%20DE%20PROGRAMMING/PROGRAMMING/PERSONAL/PYTHON/Image_Generator_API/imagenes/NAUTICA_CLASSICS_117005002_NSS_2.jpg")</f>
        <v/>
      </c>
      <c r="N1754">
        <f>IMAGE("file:///E:/Estudios%20y%20certificaciones/ESTUDIOS%20DE%20PROGRAMMING/PROGRAMMING/PERSONAL/PYTHON/Image_Generator_API/imagenes/NAUTICA_CLASSICS_117005002_NSS_3.jpg")</f>
        <v/>
      </c>
      <c r="O1754">
        <f>HYPERLINK("imagenes/NAUTICA_CLASSICS_117005002_NSS_1.jpg","Ver imagen")</f>
        <v/>
      </c>
      <c r="P1754">
        <f>HYPERLINK("imagenes/NAUTICA_CLASSICS_117005002_NSS_2.jpg","Ver imagen")</f>
        <v/>
      </c>
      <c r="Q1754">
        <f>HYPERLINK("imagenes/NAUTICA_CLASSICS_117005002_NSS_3.jpg","Ver imagen")</f>
        <v/>
      </c>
    </row>
    <row r="1755">
      <c r="A1755" t="inlineStr">
        <is>
          <t>NAUTICA CLASSICS</t>
        </is>
      </c>
      <c r="B1755" t="inlineStr">
        <is>
          <t>117005002</t>
        </is>
      </c>
      <c r="C1755" t="inlineStr">
        <is>
          <t>STRETCH 3/4 PUFFER</t>
        </is>
      </c>
      <c r="D1755" t="inlineStr">
        <is>
          <t>WTW</t>
        </is>
      </c>
      <c r="E1755" t="inlineStr">
        <is>
          <t>08A05</t>
        </is>
      </c>
      <c r="F1755" t="inlineStr">
        <is>
          <t>(en blanco)</t>
        </is>
      </c>
      <c r="G1755" t="inlineStr">
        <is>
          <t>PPK</t>
        </is>
      </c>
      <c r="H1755" t="n">
        <v>1648</v>
      </c>
      <c r="I1755" t="inlineStr">
        <is>
          <t>NAUTICA_CLASSICS_117005002_WTW_1.jpg</t>
        </is>
      </c>
      <c r="J1755" t="inlineStr">
        <is>
          <t>NAUTICA_CLASSICS_117005002_WTW_2.jpg</t>
        </is>
      </c>
      <c r="K1755" t="inlineStr">
        <is>
          <t>NAUTICA_CLASSICS_117005002_WTW_3.jpg</t>
        </is>
      </c>
      <c r="L1755">
        <f>IMAGE("file:///E:/Estudios%20y%20certificaciones/ESTUDIOS%20DE%20PROGRAMMING/PROGRAMMING/PERSONAL/PYTHON/Image_Generator_API/imagenes/NAUTICA_CLASSICS_117005002_WTW_1.jpg")</f>
        <v/>
      </c>
      <c r="M1755">
        <f>IMAGE("file:///E:/Estudios%20y%20certificaciones/ESTUDIOS%20DE%20PROGRAMMING/PROGRAMMING/PERSONAL/PYTHON/Image_Generator_API/imagenes/NAUTICA_CLASSICS_117005002_WTW_2.jpg")</f>
        <v/>
      </c>
      <c r="N1755">
        <f>IMAGE("file:///E:/Estudios%20y%20certificaciones/ESTUDIOS%20DE%20PROGRAMMING/PROGRAMMING/PERSONAL/PYTHON/Image_Generator_API/imagenes/NAUTICA_CLASSICS_117005002_WTW_3.jpg")</f>
        <v/>
      </c>
      <c r="O1755">
        <f>HYPERLINK("imagenes/NAUTICA_CLASSICS_117005002_WTW_1.jpg","Ver imagen")</f>
        <v/>
      </c>
      <c r="P1755">
        <f>HYPERLINK("imagenes/NAUTICA_CLASSICS_117005002_WTW_2.jpg","Ver imagen")</f>
        <v/>
      </c>
      <c r="Q1755">
        <f>HYPERLINK("imagenes/NAUTICA_CLASSICS_117005002_WTW_3.jpg","Ver imagen")</f>
        <v/>
      </c>
    </row>
    <row r="1756">
      <c r="A1756" t="inlineStr">
        <is>
          <t>NAUTICA CLASSICS</t>
        </is>
      </c>
      <c r="B1756" t="inlineStr">
        <is>
          <t>117005043</t>
        </is>
      </c>
      <c r="C1756" t="inlineStr">
        <is>
          <t>RAIN BONDED</t>
        </is>
      </c>
      <c r="D1756" t="inlineStr">
        <is>
          <t>BLK</t>
        </is>
      </c>
      <c r="E1756" t="inlineStr">
        <is>
          <t>(en blanco)</t>
        </is>
      </c>
      <c r="F1756" t="inlineStr">
        <is>
          <t>(en blanco)</t>
        </is>
      </c>
      <c r="G1756" t="inlineStr">
        <is>
          <t>XS</t>
        </is>
      </c>
      <c r="H1756" t="n">
        <v>58</v>
      </c>
      <c r="I1756" t="inlineStr">
        <is>
          <t>NAUTICA_CLASSICS_117005043_BLK_1.jpg</t>
        </is>
      </c>
      <c r="J1756" t="inlineStr">
        <is>
          <t>NAUTICA_CLASSICS_117005043_BLK_2.jpg</t>
        </is>
      </c>
      <c r="K1756" t="inlineStr">
        <is>
          <t>NAUTICA_CLASSICS_117005043_BLK_3.jpg</t>
        </is>
      </c>
      <c r="L1756">
        <f>IMAGE("file:///E:/Estudios%20y%20certificaciones/ESTUDIOS%20DE%20PROGRAMMING/PROGRAMMING/PERSONAL/PYTHON/Image_Generator_API/imagenes/NAUTICA_CLASSICS_117005043_BLK_1.jpg")</f>
        <v/>
      </c>
      <c r="M1756">
        <f>IMAGE("file:///E:/Estudios%20y%20certificaciones/ESTUDIOS%20DE%20PROGRAMMING/PROGRAMMING/PERSONAL/PYTHON/Image_Generator_API/imagenes/NAUTICA_CLASSICS_117005043_BLK_2.jpg")</f>
        <v/>
      </c>
      <c r="N1756">
        <f>IMAGE("file:///E:/Estudios%20y%20certificaciones/ESTUDIOS%20DE%20PROGRAMMING/PROGRAMMING/PERSONAL/PYTHON/Image_Generator_API/imagenes/NAUTICA_CLASSICS_117005043_BLK_3.jpg")</f>
        <v/>
      </c>
      <c r="O1756">
        <f>HYPERLINK("imagenes/NAUTICA_CLASSICS_117005043_BLK_1.jpg","Ver imagen")</f>
        <v/>
      </c>
      <c r="P1756">
        <f>HYPERLINK("imagenes/NAUTICA_CLASSICS_117005043_BLK_2.jpg","Ver imagen")</f>
        <v/>
      </c>
      <c r="Q1756">
        <f>HYPERLINK("imagenes/NAUTICA_CLASSICS_117005043_BLK_3.jpg","Ver imagen")</f>
        <v/>
      </c>
    </row>
    <row r="1757">
      <c r="A1757" t="inlineStr">
        <is>
          <t>NAUTICA CLASSICS</t>
        </is>
      </c>
      <c r="B1757" t="inlineStr">
        <is>
          <t>117005043</t>
        </is>
      </c>
      <c r="C1757" t="inlineStr">
        <is>
          <t>RAIN BONDED</t>
        </is>
      </c>
      <c r="D1757" t="inlineStr">
        <is>
          <t>BLK</t>
        </is>
      </c>
      <c r="E1757" t="inlineStr">
        <is>
          <t>(en blanco)</t>
        </is>
      </c>
      <c r="F1757" t="inlineStr">
        <is>
          <t>(en blanco)</t>
        </is>
      </c>
      <c r="G1757" t="inlineStr">
        <is>
          <t>L</t>
        </is>
      </c>
      <c r="H1757" t="n">
        <v>5</v>
      </c>
      <c r="I1757" t="inlineStr">
        <is>
          <t>NAUTICA_CLASSICS_117005043_BLK_1.jpg</t>
        </is>
      </c>
      <c r="J1757" t="inlineStr">
        <is>
          <t>NAUTICA_CLASSICS_117005043_BLK_2.jpg</t>
        </is>
      </c>
      <c r="K1757" t="inlineStr">
        <is>
          <t>NAUTICA_CLASSICS_117005043_BLK_3.jpg</t>
        </is>
      </c>
      <c r="L1757">
        <f>IMAGE("file:///E:/Estudios%20y%20certificaciones/ESTUDIOS%20DE%20PROGRAMMING/PROGRAMMING/PERSONAL/PYTHON/Image_Generator_API/imagenes/NAUTICA_CLASSICS_117005043_BLK_1.jpg")</f>
        <v/>
      </c>
      <c r="M1757">
        <f>IMAGE("file:///E:/Estudios%20y%20certificaciones/ESTUDIOS%20DE%20PROGRAMMING/PROGRAMMING/PERSONAL/PYTHON/Image_Generator_API/imagenes/NAUTICA_CLASSICS_117005043_BLK_2.jpg")</f>
        <v/>
      </c>
      <c r="N1757">
        <f>IMAGE("file:///E:/Estudios%20y%20certificaciones/ESTUDIOS%20DE%20PROGRAMMING/PROGRAMMING/PERSONAL/PYTHON/Image_Generator_API/imagenes/NAUTICA_CLASSICS_117005043_BLK_3.jpg")</f>
        <v/>
      </c>
      <c r="O1757">
        <f>HYPERLINK("imagenes/NAUTICA_CLASSICS_117005043_BLK_1.jpg","Ver imagen")</f>
        <v/>
      </c>
      <c r="P1757">
        <f>HYPERLINK("imagenes/NAUTICA_CLASSICS_117005043_BLK_2.jpg","Ver imagen")</f>
        <v/>
      </c>
      <c r="Q1757">
        <f>HYPERLINK("imagenes/NAUTICA_CLASSICS_117005043_BLK_3.jpg","Ver imagen")</f>
        <v/>
      </c>
    </row>
    <row r="1758">
      <c r="A1758" t="inlineStr">
        <is>
          <t>NAUTICA CLASSICS</t>
        </is>
      </c>
      <c r="B1758" t="inlineStr">
        <is>
          <t>117005043</t>
        </is>
      </c>
      <c r="C1758" t="inlineStr">
        <is>
          <t>RAIN BONDED</t>
        </is>
      </c>
      <c r="D1758" t="inlineStr">
        <is>
          <t>BLK</t>
        </is>
      </c>
      <c r="E1758" t="inlineStr">
        <is>
          <t>(en blanco)</t>
        </is>
      </c>
      <c r="F1758" t="inlineStr">
        <is>
          <t>(en blanco)</t>
        </is>
      </c>
      <c r="G1758" t="inlineStr">
        <is>
          <t>XL</t>
        </is>
      </c>
      <c r="H1758" t="n">
        <v>21</v>
      </c>
      <c r="I1758" t="inlineStr">
        <is>
          <t>NAUTICA_CLASSICS_117005043_BLK_1.jpg</t>
        </is>
      </c>
      <c r="J1758" t="inlineStr">
        <is>
          <t>NAUTICA_CLASSICS_117005043_BLK_2.jpg</t>
        </is>
      </c>
      <c r="K1758" t="inlineStr">
        <is>
          <t>NAUTICA_CLASSICS_117005043_BLK_3.jpg</t>
        </is>
      </c>
      <c r="L1758">
        <f>IMAGE("file:///E:/Estudios%20y%20certificaciones/ESTUDIOS%20DE%20PROGRAMMING/PROGRAMMING/PERSONAL/PYTHON/Image_Generator_API/imagenes/NAUTICA_CLASSICS_117005043_BLK_1.jpg")</f>
        <v/>
      </c>
      <c r="M1758">
        <f>IMAGE("file:///E:/Estudios%20y%20certificaciones/ESTUDIOS%20DE%20PROGRAMMING/PROGRAMMING/PERSONAL/PYTHON/Image_Generator_API/imagenes/NAUTICA_CLASSICS_117005043_BLK_2.jpg")</f>
        <v/>
      </c>
      <c r="N1758">
        <f>IMAGE("file:///E:/Estudios%20y%20certificaciones/ESTUDIOS%20DE%20PROGRAMMING/PROGRAMMING/PERSONAL/PYTHON/Image_Generator_API/imagenes/NAUTICA_CLASSICS_117005043_BLK_3.jpg")</f>
        <v/>
      </c>
      <c r="O1758">
        <f>HYPERLINK("imagenes/NAUTICA_CLASSICS_117005043_BLK_1.jpg","Ver imagen")</f>
        <v/>
      </c>
      <c r="P1758">
        <f>HYPERLINK("imagenes/NAUTICA_CLASSICS_117005043_BLK_2.jpg","Ver imagen")</f>
        <v/>
      </c>
      <c r="Q1758">
        <f>HYPERLINK("imagenes/NAUTICA_CLASSICS_117005043_BLK_3.jpg","Ver imagen")</f>
        <v/>
      </c>
    </row>
    <row r="1759">
      <c r="A1759" t="inlineStr">
        <is>
          <t>NAUTICA CLASSICS</t>
        </is>
      </c>
      <c r="B1759" t="inlineStr">
        <is>
          <t>117005043</t>
        </is>
      </c>
      <c r="C1759" t="inlineStr">
        <is>
          <t>RAIN BONDED</t>
        </is>
      </c>
      <c r="D1759" t="inlineStr">
        <is>
          <t>BLU</t>
        </is>
      </c>
      <c r="E1759" t="inlineStr">
        <is>
          <t>(en blanco)</t>
        </is>
      </c>
      <c r="F1759" t="inlineStr">
        <is>
          <t>(en blanco)</t>
        </is>
      </c>
      <c r="G1759" t="inlineStr">
        <is>
          <t>S</t>
        </is>
      </c>
      <c r="H1759" t="n">
        <v>6</v>
      </c>
      <c r="I1759" t="inlineStr">
        <is>
          <t>NAUTICA_CLASSICS_117005043_BLU_1.jpg</t>
        </is>
      </c>
      <c r="J1759" t="inlineStr">
        <is>
          <t>NAUTICA_CLASSICS_117005043_BLU_2.jpg</t>
        </is>
      </c>
      <c r="L1759">
        <f>IMAGE("file:///E:/Estudios%20y%20certificaciones/ESTUDIOS%20DE%20PROGRAMMING/PROGRAMMING/PERSONAL/PYTHON/Image_Generator_API/imagenes/NAUTICA_CLASSICS_117005043_BLU_1.jpg")</f>
        <v/>
      </c>
      <c r="M1759">
        <f>IMAGE("file:///E:/Estudios%20y%20certificaciones/ESTUDIOS%20DE%20PROGRAMMING/PROGRAMMING/PERSONAL/PYTHON/Image_Generator_API/imagenes/NAUTICA_CLASSICS_117005043_BLU_2.jpg")</f>
        <v/>
      </c>
      <c r="O1759">
        <f>HYPERLINK("imagenes/NAUTICA_CLASSICS_117005043_BLU_1.jpg","Ver imagen")</f>
        <v/>
      </c>
      <c r="P1759">
        <f>HYPERLINK("imagenes/NAUTICA_CLASSICS_117005043_BLU_2.jpg","Ver imagen")</f>
        <v/>
      </c>
    </row>
    <row r="1760">
      <c r="A1760" t="inlineStr">
        <is>
          <t>NAUTICA CLASSICS</t>
        </is>
      </c>
      <c r="B1760" t="inlineStr">
        <is>
          <t>117005043</t>
        </is>
      </c>
      <c r="C1760" t="inlineStr">
        <is>
          <t>RAIN BONDED</t>
        </is>
      </c>
      <c r="D1760" t="inlineStr">
        <is>
          <t>BLU</t>
        </is>
      </c>
      <c r="E1760" t="inlineStr">
        <is>
          <t>(en blanco)</t>
        </is>
      </c>
      <c r="F1760" t="inlineStr">
        <is>
          <t>(en blanco)</t>
        </is>
      </c>
      <c r="G1760" t="inlineStr">
        <is>
          <t>M</t>
        </is>
      </c>
      <c r="H1760" t="n">
        <v>3</v>
      </c>
      <c r="I1760" t="inlineStr">
        <is>
          <t>NAUTICA_CLASSICS_117005043_BLU_1.jpg</t>
        </is>
      </c>
      <c r="J1760" t="inlineStr">
        <is>
          <t>NAUTICA_CLASSICS_117005043_BLU_2.jpg</t>
        </is>
      </c>
      <c r="L1760">
        <f>IMAGE("file:///E:/Estudios%20y%20certificaciones/ESTUDIOS%20DE%20PROGRAMMING/PROGRAMMING/PERSONAL/PYTHON/Image_Generator_API/imagenes/NAUTICA_CLASSICS_117005043_BLU_1.jpg")</f>
        <v/>
      </c>
      <c r="M1760">
        <f>IMAGE("file:///E:/Estudios%20y%20certificaciones/ESTUDIOS%20DE%20PROGRAMMING/PROGRAMMING/PERSONAL/PYTHON/Image_Generator_API/imagenes/NAUTICA_CLASSICS_117005043_BLU_2.jpg")</f>
        <v/>
      </c>
      <c r="O1760">
        <f>HYPERLINK("imagenes/NAUTICA_CLASSICS_117005043_BLU_1.jpg","Ver imagen")</f>
        <v/>
      </c>
      <c r="P1760">
        <f>HYPERLINK("imagenes/NAUTICA_CLASSICS_117005043_BLU_2.jpg","Ver imagen")</f>
        <v/>
      </c>
    </row>
    <row r="1761">
      <c r="A1761" t="inlineStr">
        <is>
          <t>NAUTICA CLASSICS</t>
        </is>
      </c>
      <c r="B1761" t="inlineStr">
        <is>
          <t>117005043</t>
        </is>
      </c>
      <c r="C1761" t="inlineStr">
        <is>
          <t>RAIN BONDED</t>
        </is>
      </c>
      <c r="D1761" t="inlineStr">
        <is>
          <t>CST</t>
        </is>
      </c>
      <c r="E1761" t="inlineStr">
        <is>
          <t>(en blanco)</t>
        </is>
      </c>
      <c r="F1761" t="inlineStr">
        <is>
          <t>(en blanco)</t>
        </is>
      </c>
      <c r="G1761" t="inlineStr">
        <is>
          <t>XS</t>
        </is>
      </c>
      <c r="H1761" t="n">
        <v>2</v>
      </c>
      <c r="I1761" t="inlineStr">
        <is>
          <t>NAUTICA_CLASSICS_117005043_CST_1.jpg</t>
        </is>
      </c>
      <c r="J1761" t="inlineStr">
        <is>
          <t>NAUTICA_CLASSICS_117005043_CST_2.jpg</t>
        </is>
      </c>
      <c r="K1761" t="inlineStr">
        <is>
          <t>NAUTICA_CLASSICS_117005043_CST_3.jpg</t>
        </is>
      </c>
      <c r="L1761">
        <f>IMAGE("file:///E:/Estudios%20y%20certificaciones/ESTUDIOS%20DE%20PROGRAMMING/PROGRAMMING/PERSONAL/PYTHON/Image_Generator_API/imagenes/NAUTICA_CLASSICS_117005043_CST_1.jpg")</f>
        <v/>
      </c>
      <c r="M1761">
        <f>IMAGE("file:///E:/Estudios%20y%20certificaciones/ESTUDIOS%20DE%20PROGRAMMING/PROGRAMMING/PERSONAL/PYTHON/Image_Generator_API/imagenes/NAUTICA_CLASSICS_117005043_CST_2.jpg")</f>
        <v/>
      </c>
      <c r="N1761">
        <f>IMAGE("file:///E:/Estudios%20y%20certificaciones/ESTUDIOS%20DE%20PROGRAMMING/PROGRAMMING/PERSONAL/PYTHON/Image_Generator_API/imagenes/NAUTICA_CLASSICS_117005043_CST_3.jpg")</f>
        <v/>
      </c>
      <c r="O1761">
        <f>HYPERLINK("imagenes/NAUTICA_CLASSICS_117005043_CST_1.jpg","Ver imagen")</f>
        <v/>
      </c>
      <c r="P1761">
        <f>HYPERLINK("imagenes/NAUTICA_CLASSICS_117005043_CST_2.jpg","Ver imagen")</f>
        <v/>
      </c>
      <c r="Q1761">
        <f>HYPERLINK("imagenes/NAUTICA_CLASSICS_117005043_CST_3.jpg","Ver imagen")</f>
        <v/>
      </c>
    </row>
    <row r="1762">
      <c r="A1762" t="inlineStr">
        <is>
          <t>NAUTICA CLASSICS</t>
        </is>
      </c>
      <c r="B1762" t="inlineStr">
        <is>
          <t>117005043</t>
        </is>
      </c>
      <c r="C1762" t="inlineStr">
        <is>
          <t>RAIN BONDED</t>
        </is>
      </c>
      <c r="D1762" t="inlineStr">
        <is>
          <t>CST</t>
        </is>
      </c>
      <c r="E1762" t="inlineStr">
        <is>
          <t>(en blanco)</t>
        </is>
      </c>
      <c r="F1762" t="inlineStr">
        <is>
          <t>(en blanco)</t>
        </is>
      </c>
      <c r="G1762" t="inlineStr">
        <is>
          <t>S</t>
        </is>
      </c>
      <c r="H1762" t="n">
        <v>3</v>
      </c>
      <c r="I1762" t="inlineStr">
        <is>
          <t>NAUTICA_CLASSICS_117005043_CST_1.jpg</t>
        </is>
      </c>
      <c r="J1762" t="inlineStr">
        <is>
          <t>NAUTICA_CLASSICS_117005043_CST_2.jpg</t>
        </is>
      </c>
      <c r="K1762" t="inlineStr">
        <is>
          <t>NAUTICA_CLASSICS_117005043_CST_3.jpg</t>
        </is>
      </c>
      <c r="L1762">
        <f>IMAGE("file:///E:/Estudios%20y%20certificaciones/ESTUDIOS%20DE%20PROGRAMMING/PROGRAMMING/PERSONAL/PYTHON/Image_Generator_API/imagenes/NAUTICA_CLASSICS_117005043_CST_1.jpg")</f>
        <v/>
      </c>
      <c r="M1762">
        <f>IMAGE("file:///E:/Estudios%20y%20certificaciones/ESTUDIOS%20DE%20PROGRAMMING/PROGRAMMING/PERSONAL/PYTHON/Image_Generator_API/imagenes/NAUTICA_CLASSICS_117005043_CST_2.jpg")</f>
        <v/>
      </c>
      <c r="N1762">
        <f>IMAGE("file:///E:/Estudios%20y%20certificaciones/ESTUDIOS%20DE%20PROGRAMMING/PROGRAMMING/PERSONAL/PYTHON/Image_Generator_API/imagenes/NAUTICA_CLASSICS_117005043_CST_3.jpg")</f>
        <v/>
      </c>
      <c r="O1762">
        <f>HYPERLINK("imagenes/NAUTICA_CLASSICS_117005043_CST_1.jpg","Ver imagen")</f>
        <v/>
      </c>
      <c r="P1762">
        <f>HYPERLINK("imagenes/NAUTICA_CLASSICS_117005043_CST_2.jpg","Ver imagen")</f>
        <v/>
      </c>
      <c r="Q1762">
        <f>HYPERLINK("imagenes/NAUTICA_CLASSICS_117005043_CST_3.jpg","Ver imagen")</f>
        <v/>
      </c>
    </row>
    <row r="1763">
      <c r="A1763" t="inlineStr">
        <is>
          <t>NAUTICA CLASSICS</t>
        </is>
      </c>
      <c r="B1763" t="inlineStr">
        <is>
          <t>117005043</t>
        </is>
      </c>
      <c r="C1763" t="inlineStr">
        <is>
          <t>RAIN BONDED</t>
        </is>
      </c>
      <c r="D1763" t="inlineStr">
        <is>
          <t>CST</t>
        </is>
      </c>
      <c r="E1763" t="inlineStr">
        <is>
          <t>(en blanco)</t>
        </is>
      </c>
      <c r="F1763" t="inlineStr">
        <is>
          <t>(en blanco)</t>
        </is>
      </c>
      <c r="G1763" t="inlineStr">
        <is>
          <t>XL</t>
        </is>
      </c>
      <c r="H1763" t="n">
        <v>2</v>
      </c>
      <c r="I1763" t="inlineStr">
        <is>
          <t>NAUTICA_CLASSICS_117005043_CST_1.jpg</t>
        </is>
      </c>
      <c r="J1763" t="inlineStr">
        <is>
          <t>NAUTICA_CLASSICS_117005043_CST_2.jpg</t>
        </is>
      </c>
      <c r="K1763" t="inlineStr">
        <is>
          <t>NAUTICA_CLASSICS_117005043_CST_3.jpg</t>
        </is>
      </c>
      <c r="L1763">
        <f>IMAGE("file:///E:/Estudios%20y%20certificaciones/ESTUDIOS%20DE%20PROGRAMMING/PROGRAMMING/PERSONAL/PYTHON/Image_Generator_API/imagenes/NAUTICA_CLASSICS_117005043_CST_1.jpg")</f>
        <v/>
      </c>
      <c r="M1763">
        <f>IMAGE("file:///E:/Estudios%20y%20certificaciones/ESTUDIOS%20DE%20PROGRAMMING/PROGRAMMING/PERSONAL/PYTHON/Image_Generator_API/imagenes/NAUTICA_CLASSICS_117005043_CST_2.jpg")</f>
        <v/>
      </c>
      <c r="N1763">
        <f>IMAGE("file:///E:/Estudios%20y%20certificaciones/ESTUDIOS%20DE%20PROGRAMMING/PROGRAMMING/PERSONAL/PYTHON/Image_Generator_API/imagenes/NAUTICA_CLASSICS_117005043_CST_3.jpg")</f>
        <v/>
      </c>
      <c r="O1763">
        <f>HYPERLINK("imagenes/NAUTICA_CLASSICS_117005043_CST_1.jpg","Ver imagen")</f>
        <v/>
      </c>
      <c r="P1763">
        <f>HYPERLINK("imagenes/NAUTICA_CLASSICS_117005043_CST_2.jpg","Ver imagen")</f>
        <v/>
      </c>
      <c r="Q1763">
        <f>HYPERLINK("imagenes/NAUTICA_CLASSICS_117005043_CST_3.jpg","Ver imagen")</f>
        <v/>
      </c>
    </row>
    <row r="1764">
      <c r="A1764" t="inlineStr">
        <is>
          <t>NAUTICA CLASSICS</t>
        </is>
      </c>
      <c r="B1764" t="inlineStr">
        <is>
          <t>117005127</t>
        </is>
      </c>
      <c r="C1764" t="inlineStr">
        <is>
          <t>SOFT MIST 32" PARKA</t>
        </is>
      </c>
      <c r="D1764" t="inlineStr">
        <is>
          <t>B4K</t>
        </is>
      </c>
      <c r="E1764" t="inlineStr">
        <is>
          <t>08A05</t>
        </is>
      </c>
      <c r="F1764" t="inlineStr">
        <is>
          <t>(en blanco)</t>
        </is>
      </c>
      <c r="G1764" t="inlineStr">
        <is>
          <t>PPK</t>
        </is>
      </c>
      <c r="H1764" t="n">
        <v>1328</v>
      </c>
      <c r="I1764" t="inlineStr">
        <is>
          <t>NAUTICA_CLASSICS_117005127_B4K_2.jpg</t>
        </is>
      </c>
      <c r="J1764" t="inlineStr">
        <is>
          <t>NAUTICA_CLASSICS_117005127_B4K_3.jpg</t>
        </is>
      </c>
      <c r="L1764">
        <f>IMAGE("file:///E:/Estudios%20y%20certificaciones/ESTUDIOS%20DE%20PROGRAMMING/PROGRAMMING/PERSONAL/PYTHON/Image_Generator_API/imagenes/NAUTICA_CLASSICS_117005127_B4K_2.jpg")</f>
        <v/>
      </c>
      <c r="M1764">
        <f>IMAGE("file:///E:/Estudios%20y%20certificaciones/ESTUDIOS%20DE%20PROGRAMMING/PROGRAMMING/PERSONAL/PYTHON/Image_Generator_API/imagenes/NAUTICA_CLASSICS_117005127_B4K_3.jpg")</f>
        <v/>
      </c>
      <c r="O1764">
        <f>HYPERLINK("imagenes/NAUTICA_CLASSICS_117005127_B4K_2.jpg","Ver imagen")</f>
        <v/>
      </c>
      <c r="P1764">
        <f>HYPERLINK("imagenes/NAUTICA_CLASSICS_117005127_B4K_3.jpg","Ver imagen")</f>
        <v/>
      </c>
    </row>
    <row r="1765">
      <c r="A1765" t="inlineStr">
        <is>
          <t>NAUTICA CLASSICS</t>
        </is>
      </c>
      <c r="B1765" t="inlineStr">
        <is>
          <t>117005127</t>
        </is>
      </c>
      <c r="C1765" t="inlineStr">
        <is>
          <t>SOFT MIST 32" PARKA</t>
        </is>
      </c>
      <c r="D1765" t="inlineStr">
        <is>
          <t>ZCR</t>
        </is>
      </c>
      <c r="E1765" t="inlineStr">
        <is>
          <t>08A05</t>
        </is>
      </c>
      <c r="F1765" t="inlineStr">
        <is>
          <t>(en blanco)</t>
        </is>
      </c>
      <c r="G1765" t="inlineStr">
        <is>
          <t>PPK</t>
        </is>
      </c>
      <c r="H1765" t="n">
        <v>1640</v>
      </c>
      <c r="I1765" t="inlineStr">
        <is>
          <t>NAUTICA_CLASSICS_117005127_ZCR_2.jpg</t>
        </is>
      </c>
      <c r="J1765" t="inlineStr">
        <is>
          <t>NAUTICA_CLASSICS_117005127_ZCR_3.jpg</t>
        </is>
      </c>
      <c r="L1765">
        <f>IMAGE("file:///E:/Estudios%20y%20certificaciones/ESTUDIOS%20DE%20PROGRAMMING/PROGRAMMING/PERSONAL/PYTHON/Image_Generator_API/imagenes/NAUTICA_CLASSICS_117005127_ZCR_2.jpg")</f>
        <v/>
      </c>
      <c r="M1765">
        <f>IMAGE("file:///E:/Estudios%20y%20certificaciones/ESTUDIOS%20DE%20PROGRAMMING/PROGRAMMING/PERSONAL/PYTHON/Image_Generator_API/imagenes/NAUTICA_CLASSICS_117005127_ZCR_3.jpg")</f>
        <v/>
      </c>
      <c r="O1765">
        <f>HYPERLINK("imagenes/NAUTICA_CLASSICS_117005127_ZCR_2.jpg","Ver imagen")</f>
        <v/>
      </c>
      <c r="P1765">
        <f>HYPERLINK("imagenes/NAUTICA_CLASSICS_117005127_ZCR_3.jpg","Ver imagen")</f>
        <v/>
      </c>
    </row>
    <row r="1766">
      <c r="A1766" t="inlineStr">
        <is>
          <t>NAUTICA CLASSICS</t>
        </is>
      </c>
      <c r="B1766" t="inlineStr">
        <is>
          <t>117005131</t>
        </is>
      </c>
      <c r="C1766" t="inlineStr">
        <is>
          <t>WOMENS STRETCH PUFFER</t>
        </is>
      </c>
      <c r="D1766" t="inlineStr">
        <is>
          <t>B4K</t>
        </is>
      </c>
      <c r="E1766" t="inlineStr">
        <is>
          <t>08A05</t>
        </is>
      </c>
      <c r="F1766" t="inlineStr">
        <is>
          <t>M1625</t>
        </is>
      </c>
      <c r="G1766" t="inlineStr">
        <is>
          <t>PPK</t>
        </is>
      </c>
      <c r="H1766" t="n">
        <v>8</v>
      </c>
      <c r="I1766" t="inlineStr">
        <is>
          <t>NAUTICA_CLASSICS_117005131_B4K_1.jpg</t>
        </is>
      </c>
      <c r="J1766" t="inlineStr">
        <is>
          <t>NAUTICA_CLASSICS_117005131_B4K_2.jpg</t>
        </is>
      </c>
      <c r="K1766" t="inlineStr">
        <is>
          <t>NAUTICA_CLASSICS_117005131_B4K_3.jpg</t>
        </is>
      </c>
      <c r="L1766">
        <f>IMAGE("file:///E:/Estudios%20y%20certificaciones/ESTUDIOS%20DE%20PROGRAMMING/PROGRAMMING/PERSONAL/PYTHON/Image_Generator_API/imagenes/NAUTICA_CLASSICS_117005131_B4K_1.jpg")</f>
        <v/>
      </c>
      <c r="M1766">
        <f>IMAGE("file:///E:/Estudios%20y%20certificaciones/ESTUDIOS%20DE%20PROGRAMMING/PROGRAMMING/PERSONAL/PYTHON/Image_Generator_API/imagenes/NAUTICA_CLASSICS_117005131_B4K_2.jpg")</f>
        <v/>
      </c>
      <c r="N1766">
        <f>IMAGE("file:///E:/Estudios%20y%20certificaciones/ESTUDIOS%20DE%20PROGRAMMING/PROGRAMMING/PERSONAL/PYTHON/Image_Generator_API/imagenes/NAUTICA_CLASSICS_117005131_B4K_3.jpg")</f>
        <v/>
      </c>
      <c r="O1766">
        <f>HYPERLINK("imagenes/NAUTICA_CLASSICS_117005131_B4K_1.jpg","Ver imagen")</f>
        <v/>
      </c>
      <c r="P1766">
        <f>HYPERLINK("imagenes/NAUTICA_CLASSICS_117005131_B4K_2.jpg","Ver imagen")</f>
        <v/>
      </c>
      <c r="Q1766">
        <f>HYPERLINK("imagenes/NAUTICA_CLASSICS_117005131_B4K_3.jpg","Ver imagen")</f>
        <v/>
      </c>
    </row>
    <row r="1767">
      <c r="A1767" t="inlineStr">
        <is>
          <t>NAUTICA CLASSICS</t>
        </is>
      </c>
      <c r="B1767" t="inlineStr">
        <is>
          <t>117005131</t>
        </is>
      </c>
      <c r="C1767" t="inlineStr">
        <is>
          <t>WOMENS STRETCH PUFFER</t>
        </is>
      </c>
      <c r="D1767" t="inlineStr">
        <is>
          <t>B4K</t>
        </is>
      </c>
      <c r="E1767" t="inlineStr">
        <is>
          <t>(en blanco)</t>
        </is>
      </c>
      <c r="F1767" t="inlineStr">
        <is>
          <t>(en blanco)</t>
        </is>
      </c>
      <c r="G1767" t="inlineStr">
        <is>
          <t>XS</t>
        </is>
      </c>
      <c r="H1767" t="n">
        <v>8</v>
      </c>
      <c r="I1767" t="inlineStr">
        <is>
          <t>NAUTICA_CLASSICS_117005131_B4K_1.jpg</t>
        </is>
      </c>
      <c r="J1767" t="inlineStr">
        <is>
          <t>NAUTICA_CLASSICS_117005131_B4K_2.jpg</t>
        </is>
      </c>
      <c r="K1767" t="inlineStr">
        <is>
          <t>NAUTICA_CLASSICS_117005131_B4K_3.jpg</t>
        </is>
      </c>
      <c r="L1767">
        <f>IMAGE("file:///E:/Estudios%20y%20certificaciones/ESTUDIOS%20DE%20PROGRAMMING/PROGRAMMING/PERSONAL/PYTHON/Image_Generator_API/imagenes/NAUTICA_CLASSICS_117005131_B4K_1.jpg")</f>
        <v/>
      </c>
      <c r="M1767">
        <f>IMAGE("file:///E:/Estudios%20y%20certificaciones/ESTUDIOS%20DE%20PROGRAMMING/PROGRAMMING/PERSONAL/PYTHON/Image_Generator_API/imagenes/NAUTICA_CLASSICS_117005131_B4K_2.jpg")</f>
        <v/>
      </c>
      <c r="N1767">
        <f>IMAGE("file:///E:/Estudios%20y%20certificaciones/ESTUDIOS%20DE%20PROGRAMMING/PROGRAMMING/PERSONAL/PYTHON/Image_Generator_API/imagenes/NAUTICA_CLASSICS_117005131_B4K_3.jpg")</f>
        <v/>
      </c>
      <c r="O1767">
        <f>HYPERLINK("imagenes/NAUTICA_CLASSICS_117005131_B4K_1.jpg","Ver imagen")</f>
        <v/>
      </c>
      <c r="P1767">
        <f>HYPERLINK("imagenes/NAUTICA_CLASSICS_117005131_B4K_2.jpg","Ver imagen")</f>
        <v/>
      </c>
      <c r="Q1767">
        <f>HYPERLINK("imagenes/NAUTICA_CLASSICS_117005131_B4K_3.jpg","Ver imagen")</f>
        <v/>
      </c>
    </row>
    <row r="1768">
      <c r="A1768" t="inlineStr">
        <is>
          <t>NAUTICA CLASSICS</t>
        </is>
      </c>
      <c r="B1768" t="inlineStr">
        <is>
          <t>117005131</t>
        </is>
      </c>
      <c r="C1768" t="inlineStr">
        <is>
          <t>WOMENS STRETCH PUFFER</t>
        </is>
      </c>
      <c r="D1768" t="inlineStr">
        <is>
          <t>B4K</t>
        </is>
      </c>
      <c r="E1768" t="inlineStr">
        <is>
          <t>(en blanco)</t>
        </is>
      </c>
      <c r="F1768" t="inlineStr">
        <is>
          <t>(en blanco)</t>
        </is>
      </c>
      <c r="G1768" t="inlineStr">
        <is>
          <t>S</t>
        </is>
      </c>
      <c r="H1768" t="n">
        <v>8</v>
      </c>
      <c r="I1768" t="inlineStr">
        <is>
          <t>NAUTICA_CLASSICS_117005131_B4K_1.jpg</t>
        </is>
      </c>
      <c r="J1768" t="inlineStr">
        <is>
          <t>NAUTICA_CLASSICS_117005131_B4K_2.jpg</t>
        </is>
      </c>
      <c r="K1768" t="inlineStr">
        <is>
          <t>NAUTICA_CLASSICS_117005131_B4K_3.jpg</t>
        </is>
      </c>
      <c r="L1768">
        <f>IMAGE("file:///E:/Estudios%20y%20certificaciones/ESTUDIOS%20DE%20PROGRAMMING/PROGRAMMING/PERSONAL/PYTHON/Image_Generator_API/imagenes/NAUTICA_CLASSICS_117005131_B4K_1.jpg")</f>
        <v/>
      </c>
      <c r="M1768">
        <f>IMAGE("file:///E:/Estudios%20y%20certificaciones/ESTUDIOS%20DE%20PROGRAMMING/PROGRAMMING/PERSONAL/PYTHON/Image_Generator_API/imagenes/NAUTICA_CLASSICS_117005131_B4K_2.jpg")</f>
        <v/>
      </c>
      <c r="N1768">
        <f>IMAGE("file:///E:/Estudios%20y%20certificaciones/ESTUDIOS%20DE%20PROGRAMMING/PROGRAMMING/PERSONAL/PYTHON/Image_Generator_API/imagenes/NAUTICA_CLASSICS_117005131_B4K_3.jpg")</f>
        <v/>
      </c>
      <c r="O1768">
        <f>HYPERLINK("imagenes/NAUTICA_CLASSICS_117005131_B4K_1.jpg","Ver imagen")</f>
        <v/>
      </c>
      <c r="P1768">
        <f>HYPERLINK("imagenes/NAUTICA_CLASSICS_117005131_B4K_2.jpg","Ver imagen")</f>
        <v/>
      </c>
      <c r="Q1768">
        <f>HYPERLINK("imagenes/NAUTICA_CLASSICS_117005131_B4K_3.jpg","Ver imagen")</f>
        <v/>
      </c>
    </row>
    <row r="1769">
      <c r="A1769" t="inlineStr">
        <is>
          <t>NAUTICA CLASSICS</t>
        </is>
      </c>
      <c r="B1769" t="inlineStr">
        <is>
          <t>117005131</t>
        </is>
      </c>
      <c r="C1769" t="inlineStr">
        <is>
          <t>WOMENS STRETCH PUFFER</t>
        </is>
      </c>
      <c r="D1769" t="inlineStr">
        <is>
          <t>BLK</t>
        </is>
      </c>
      <c r="E1769" t="inlineStr">
        <is>
          <t>(en blanco)</t>
        </is>
      </c>
      <c r="F1769" t="inlineStr">
        <is>
          <t>(en blanco)</t>
        </is>
      </c>
      <c r="G1769" t="inlineStr">
        <is>
          <t>XS</t>
        </is>
      </c>
      <c r="H1769" t="n">
        <v>38</v>
      </c>
      <c r="I1769" t="inlineStr">
        <is>
          <t>NAUTICA_CLASSICS_117005131_BLK_1.jpg</t>
        </is>
      </c>
      <c r="J1769" t="inlineStr">
        <is>
          <t>NAUTICA_CLASSICS_117005131_BLK_2.jpg</t>
        </is>
      </c>
      <c r="K1769" t="inlineStr">
        <is>
          <t>NAUTICA_CLASSICS_117005131_BLK_3.jpg</t>
        </is>
      </c>
      <c r="L1769">
        <f>IMAGE("file:///E:/Estudios%20y%20certificaciones/ESTUDIOS%20DE%20PROGRAMMING/PROGRAMMING/PERSONAL/PYTHON/Image_Generator_API/imagenes/NAUTICA_CLASSICS_117005131_BLK_1.jpg")</f>
        <v/>
      </c>
      <c r="M1769">
        <f>IMAGE("file:///E:/Estudios%20y%20certificaciones/ESTUDIOS%20DE%20PROGRAMMING/PROGRAMMING/PERSONAL/PYTHON/Image_Generator_API/imagenes/NAUTICA_CLASSICS_117005131_BLK_2.jpg")</f>
        <v/>
      </c>
      <c r="N1769">
        <f>IMAGE("file:///E:/Estudios%20y%20certificaciones/ESTUDIOS%20DE%20PROGRAMMING/PROGRAMMING/PERSONAL/PYTHON/Image_Generator_API/imagenes/NAUTICA_CLASSICS_117005131_BLK_3.jpg")</f>
        <v/>
      </c>
      <c r="O1769">
        <f>HYPERLINK("imagenes/NAUTICA_CLASSICS_117005131_BLK_1.jpg","Ver imagen")</f>
        <v/>
      </c>
      <c r="P1769">
        <f>HYPERLINK("imagenes/NAUTICA_CLASSICS_117005131_BLK_2.jpg","Ver imagen")</f>
        <v/>
      </c>
      <c r="Q1769">
        <f>HYPERLINK("imagenes/NAUTICA_CLASSICS_117005131_BLK_3.jpg","Ver imagen")</f>
        <v/>
      </c>
    </row>
    <row r="1770">
      <c r="A1770" t="inlineStr">
        <is>
          <t>NAUTICA CLASSICS</t>
        </is>
      </c>
      <c r="B1770" t="inlineStr">
        <is>
          <t>117005131</t>
        </is>
      </c>
      <c r="C1770" t="inlineStr">
        <is>
          <t>WOMENS STRETCH PUFFER</t>
        </is>
      </c>
      <c r="D1770" t="inlineStr">
        <is>
          <t>BLK</t>
        </is>
      </c>
      <c r="E1770" t="inlineStr">
        <is>
          <t>(en blanco)</t>
        </is>
      </c>
      <c r="F1770" t="inlineStr">
        <is>
          <t>(en blanco)</t>
        </is>
      </c>
      <c r="G1770" t="inlineStr">
        <is>
          <t>S</t>
        </is>
      </c>
      <c r="H1770" t="n">
        <v>48</v>
      </c>
      <c r="I1770" t="inlineStr">
        <is>
          <t>NAUTICA_CLASSICS_117005131_BLK_1.jpg</t>
        </is>
      </c>
      <c r="J1770" t="inlineStr">
        <is>
          <t>NAUTICA_CLASSICS_117005131_BLK_2.jpg</t>
        </is>
      </c>
      <c r="K1770" t="inlineStr">
        <is>
          <t>NAUTICA_CLASSICS_117005131_BLK_3.jpg</t>
        </is>
      </c>
      <c r="L1770">
        <f>IMAGE("file:///E:/Estudios%20y%20certificaciones/ESTUDIOS%20DE%20PROGRAMMING/PROGRAMMING/PERSONAL/PYTHON/Image_Generator_API/imagenes/NAUTICA_CLASSICS_117005131_BLK_1.jpg")</f>
        <v/>
      </c>
      <c r="M1770">
        <f>IMAGE("file:///E:/Estudios%20y%20certificaciones/ESTUDIOS%20DE%20PROGRAMMING/PROGRAMMING/PERSONAL/PYTHON/Image_Generator_API/imagenes/NAUTICA_CLASSICS_117005131_BLK_2.jpg")</f>
        <v/>
      </c>
      <c r="N1770">
        <f>IMAGE("file:///E:/Estudios%20y%20certificaciones/ESTUDIOS%20DE%20PROGRAMMING/PROGRAMMING/PERSONAL/PYTHON/Image_Generator_API/imagenes/NAUTICA_CLASSICS_117005131_BLK_3.jpg")</f>
        <v/>
      </c>
      <c r="O1770">
        <f>HYPERLINK("imagenes/NAUTICA_CLASSICS_117005131_BLK_1.jpg","Ver imagen")</f>
        <v/>
      </c>
      <c r="P1770">
        <f>HYPERLINK("imagenes/NAUTICA_CLASSICS_117005131_BLK_2.jpg","Ver imagen")</f>
        <v/>
      </c>
      <c r="Q1770">
        <f>HYPERLINK("imagenes/NAUTICA_CLASSICS_117005131_BLK_3.jpg","Ver imagen")</f>
        <v/>
      </c>
    </row>
    <row r="1771">
      <c r="A1771" t="inlineStr">
        <is>
          <t>NAUTICA CLASSICS</t>
        </is>
      </c>
      <c r="B1771" t="inlineStr">
        <is>
          <t>117005131</t>
        </is>
      </c>
      <c r="C1771" t="inlineStr">
        <is>
          <t>WOMENS STRETCH PUFFER</t>
        </is>
      </c>
      <c r="D1771" t="inlineStr">
        <is>
          <t>BLK</t>
        </is>
      </c>
      <c r="E1771" t="inlineStr">
        <is>
          <t>(en blanco)</t>
        </is>
      </c>
      <c r="F1771" t="inlineStr">
        <is>
          <t>(en blanco)</t>
        </is>
      </c>
      <c r="G1771" t="inlineStr">
        <is>
          <t>M</t>
        </is>
      </c>
      <c r="H1771" t="n">
        <v>26</v>
      </c>
      <c r="I1771" t="inlineStr">
        <is>
          <t>NAUTICA_CLASSICS_117005131_BLK_1.jpg</t>
        </is>
      </c>
      <c r="J1771" t="inlineStr">
        <is>
          <t>NAUTICA_CLASSICS_117005131_BLK_2.jpg</t>
        </is>
      </c>
      <c r="K1771" t="inlineStr">
        <is>
          <t>NAUTICA_CLASSICS_117005131_BLK_3.jpg</t>
        </is>
      </c>
      <c r="L1771">
        <f>IMAGE("file:///E:/Estudios%20y%20certificaciones/ESTUDIOS%20DE%20PROGRAMMING/PROGRAMMING/PERSONAL/PYTHON/Image_Generator_API/imagenes/NAUTICA_CLASSICS_117005131_BLK_1.jpg")</f>
        <v/>
      </c>
      <c r="M1771">
        <f>IMAGE("file:///E:/Estudios%20y%20certificaciones/ESTUDIOS%20DE%20PROGRAMMING/PROGRAMMING/PERSONAL/PYTHON/Image_Generator_API/imagenes/NAUTICA_CLASSICS_117005131_BLK_2.jpg")</f>
        <v/>
      </c>
      <c r="N1771">
        <f>IMAGE("file:///E:/Estudios%20y%20certificaciones/ESTUDIOS%20DE%20PROGRAMMING/PROGRAMMING/PERSONAL/PYTHON/Image_Generator_API/imagenes/NAUTICA_CLASSICS_117005131_BLK_3.jpg")</f>
        <v/>
      </c>
      <c r="O1771">
        <f>HYPERLINK("imagenes/NAUTICA_CLASSICS_117005131_BLK_1.jpg","Ver imagen")</f>
        <v/>
      </c>
      <c r="P1771">
        <f>HYPERLINK("imagenes/NAUTICA_CLASSICS_117005131_BLK_2.jpg","Ver imagen")</f>
        <v/>
      </c>
      <c r="Q1771">
        <f>HYPERLINK("imagenes/NAUTICA_CLASSICS_117005131_BLK_3.jpg","Ver imagen")</f>
        <v/>
      </c>
    </row>
    <row r="1772">
      <c r="A1772" t="inlineStr">
        <is>
          <t>NAUTICA CLASSICS</t>
        </is>
      </c>
      <c r="B1772" t="inlineStr">
        <is>
          <t>117005131</t>
        </is>
      </c>
      <c r="C1772" t="inlineStr">
        <is>
          <t>WOMENS STRETCH PUFFER</t>
        </is>
      </c>
      <c r="D1772" t="inlineStr">
        <is>
          <t>BLK</t>
        </is>
      </c>
      <c r="E1772" t="inlineStr">
        <is>
          <t>(en blanco)</t>
        </is>
      </c>
      <c r="F1772" t="inlineStr">
        <is>
          <t>(en blanco)</t>
        </is>
      </c>
      <c r="G1772" t="inlineStr">
        <is>
          <t>L</t>
        </is>
      </c>
      <c r="H1772" t="n">
        <v>22</v>
      </c>
      <c r="I1772" t="inlineStr">
        <is>
          <t>NAUTICA_CLASSICS_117005131_BLK_1.jpg</t>
        </is>
      </c>
      <c r="J1772" t="inlineStr">
        <is>
          <t>NAUTICA_CLASSICS_117005131_BLK_2.jpg</t>
        </is>
      </c>
      <c r="K1772" t="inlineStr">
        <is>
          <t>NAUTICA_CLASSICS_117005131_BLK_3.jpg</t>
        </is>
      </c>
      <c r="L1772">
        <f>IMAGE("file:///E:/Estudios%20y%20certificaciones/ESTUDIOS%20DE%20PROGRAMMING/PROGRAMMING/PERSONAL/PYTHON/Image_Generator_API/imagenes/NAUTICA_CLASSICS_117005131_BLK_1.jpg")</f>
        <v/>
      </c>
      <c r="M1772">
        <f>IMAGE("file:///E:/Estudios%20y%20certificaciones/ESTUDIOS%20DE%20PROGRAMMING/PROGRAMMING/PERSONAL/PYTHON/Image_Generator_API/imagenes/NAUTICA_CLASSICS_117005131_BLK_2.jpg")</f>
        <v/>
      </c>
      <c r="N1772">
        <f>IMAGE("file:///E:/Estudios%20y%20certificaciones/ESTUDIOS%20DE%20PROGRAMMING/PROGRAMMING/PERSONAL/PYTHON/Image_Generator_API/imagenes/NAUTICA_CLASSICS_117005131_BLK_3.jpg")</f>
        <v/>
      </c>
      <c r="O1772">
        <f>HYPERLINK("imagenes/NAUTICA_CLASSICS_117005131_BLK_1.jpg","Ver imagen")</f>
        <v/>
      </c>
      <c r="P1772">
        <f>HYPERLINK("imagenes/NAUTICA_CLASSICS_117005131_BLK_2.jpg","Ver imagen")</f>
        <v/>
      </c>
      <c r="Q1772">
        <f>HYPERLINK("imagenes/NAUTICA_CLASSICS_117005131_BLK_3.jpg","Ver imagen")</f>
        <v/>
      </c>
    </row>
    <row r="1773">
      <c r="A1773" t="inlineStr">
        <is>
          <t>NAUTICA CLASSICS</t>
        </is>
      </c>
      <c r="B1773" t="inlineStr">
        <is>
          <t>117005131</t>
        </is>
      </c>
      <c r="C1773" t="inlineStr">
        <is>
          <t>WOMENS STRETCH PUFFER</t>
        </is>
      </c>
      <c r="D1773" t="inlineStr">
        <is>
          <t>VDE</t>
        </is>
      </c>
      <c r="E1773" t="inlineStr">
        <is>
          <t>(en blanco)</t>
        </is>
      </c>
      <c r="F1773" t="inlineStr">
        <is>
          <t>(en blanco)</t>
        </is>
      </c>
      <c r="G1773" t="inlineStr">
        <is>
          <t>S</t>
        </is>
      </c>
      <c r="H1773" t="n">
        <v>1</v>
      </c>
      <c r="I1773" t="inlineStr">
        <is>
          <t>NAUTICA_CLASSICS_117005131_VDE_1.jpg</t>
        </is>
      </c>
      <c r="J1773" t="inlineStr">
        <is>
          <t>NAUTICA_CLASSICS_117005131_VDE_2.jpg</t>
        </is>
      </c>
      <c r="K1773" t="inlineStr">
        <is>
          <t>NAUTICA_CLASSICS_117005131_VDE_3.jpg</t>
        </is>
      </c>
      <c r="L1773">
        <f>IMAGE("file:///E:/Estudios%20y%20certificaciones/ESTUDIOS%20DE%20PROGRAMMING/PROGRAMMING/PERSONAL/PYTHON/Image_Generator_API/imagenes/NAUTICA_CLASSICS_117005131_VDE_1.jpg")</f>
        <v/>
      </c>
      <c r="M1773">
        <f>IMAGE("file:///E:/Estudios%20y%20certificaciones/ESTUDIOS%20DE%20PROGRAMMING/PROGRAMMING/PERSONAL/PYTHON/Image_Generator_API/imagenes/NAUTICA_CLASSICS_117005131_VDE_2.jpg")</f>
        <v/>
      </c>
      <c r="N1773">
        <f>IMAGE("file:///E:/Estudios%20y%20certificaciones/ESTUDIOS%20DE%20PROGRAMMING/PROGRAMMING/PERSONAL/PYTHON/Image_Generator_API/imagenes/NAUTICA_CLASSICS_117005131_VDE_3.jpg")</f>
        <v/>
      </c>
      <c r="O1773">
        <f>HYPERLINK("imagenes/NAUTICA_CLASSICS_117005131_VDE_1.jpg","Ver imagen")</f>
        <v/>
      </c>
      <c r="P1773">
        <f>HYPERLINK("imagenes/NAUTICA_CLASSICS_117005131_VDE_2.jpg","Ver imagen")</f>
        <v/>
      </c>
      <c r="Q1773">
        <f>HYPERLINK("imagenes/NAUTICA_CLASSICS_117005131_VDE_3.jpg","Ver imagen")</f>
        <v/>
      </c>
    </row>
    <row r="1774">
      <c r="A1774" t="inlineStr">
        <is>
          <t>NAUTICA CLASSICS</t>
        </is>
      </c>
      <c r="B1774" t="inlineStr">
        <is>
          <t>117005414</t>
        </is>
      </c>
      <c r="C1774" t="inlineStr">
        <is>
          <t>SOFTSHELL JACKET W/ BELT</t>
        </is>
      </c>
      <c r="D1774" t="inlineStr">
        <is>
          <t>B4K</t>
        </is>
      </c>
      <c r="E1774" t="inlineStr">
        <is>
          <t>08A05</t>
        </is>
      </c>
      <c r="F1774" t="inlineStr">
        <is>
          <t>(en blanco)</t>
        </is>
      </c>
      <c r="G1774" t="inlineStr">
        <is>
          <t>PPK</t>
        </is>
      </c>
      <c r="H1774" t="n">
        <v>1584</v>
      </c>
      <c r="I1774" t="inlineStr">
        <is>
          <t>NAUTICA_CLASSICS_117005414_B4K_1.jpg</t>
        </is>
      </c>
      <c r="J1774" t="inlineStr">
        <is>
          <t>NAUTICA_CLASSICS_117005414_B4K_2.jpg</t>
        </is>
      </c>
      <c r="K1774" t="inlineStr">
        <is>
          <t>NAUTICA_CLASSICS_117005414_B4K_3.jpg</t>
        </is>
      </c>
      <c r="L1774">
        <f>IMAGE("file:///E:/Estudios%20y%20certificaciones/ESTUDIOS%20DE%20PROGRAMMING/PROGRAMMING/PERSONAL/PYTHON/Image_Generator_API/imagenes/NAUTICA_CLASSICS_117005414_B4K_1.jpg")</f>
        <v/>
      </c>
      <c r="M1774">
        <f>IMAGE("file:///E:/Estudios%20y%20certificaciones/ESTUDIOS%20DE%20PROGRAMMING/PROGRAMMING/PERSONAL/PYTHON/Image_Generator_API/imagenes/NAUTICA_CLASSICS_117005414_B4K_2.jpg")</f>
        <v/>
      </c>
      <c r="N1774">
        <f>IMAGE("file:///E:/Estudios%20y%20certificaciones/ESTUDIOS%20DE%20PROGRAMMING/PROGRAMMING/PERSONAL/PYTHON/Image_Generator_API/imagenes/NAUTICA_CLASSICS_117005414_B4K_3.jpg")</f>
        <v/>
      </c>
      <c r="O1774">
        <f>HYPERLINK("imagenes/NAUTICA_CLASSICS_117005414_B4K_1.jpg","Ver imagen")</f>
        <v/>
      </c>
      <c r="P1774">
        <f>HYPERLINK("imagenes/NAUTICA_CLASSICS_117005414_B4K_2.jpg","Ver imagen")</f>
        <v/>
      </c>
      <c r="Q1774">
        <f>HYPERLINK("imagenes/NAUTICA_CLASSICS_117005414_B4K_3.jpg","Ver imagen")</f>
        <v/>
      </c>
    </row>
    <row r="1775">
      <c r="A1775" t="inlineStr">
        <is>
          <t>NAUTICA CLASSICS</t>
        </is>
      </c>
      <c r="B1775" t="inlineStr">
        <is>
          <t>117005414</t>
        </is>
      </c>
      <c r="C1775" t="inlineStr">
        <is>
          <t>SOFTSHELL JACKET W/ BELT</t>
        </is>
      </c>
      <c r="D1775" t="inlineStr">
        <is>
          <t>B4K</t>
        </is>
      </c>
      <c r="E1775" t="inlineStr">
        <is>
          <t>(en blanco)</t>
        </is>
      </c>
      <c r="F1775" t="inlineStr">
        <is>
          <t>(en blanco)</t>
        </is>
      </c>
      <c r="G1775" t="inlineStr">
        <is>
          <t>XS</t>
        </is>
      </c>
      <c r="H1775" t="n">
        <v>1</v>
      </c>
      <c r="I1775" t="inlineStr">
        <is>
          <t>NAUTICA_CLASSICS_117005414_B4K_1.jpg</t>
        </is>
      </c>
      <c r="J1775" t="inlineStr">
        <is>
          <t>NAUTICA_CLASSICS_117005414_B4K_2.jpg</t>
        </is>
      </c>
      <c r="K1775" t="inlineStr">
        <is>
          <t>NAUTICA_CLASSICS_117005414_B4K_3.jpg</t>
        </is>
      </c>
      <c r="L1775">
        <f>IMAGE("file:///E:/Estudios%20y%20certificaciones/ESTUDIOS%20DE%20PROGRAMMING/PROGRAMMING/PERSONAL/PYTHON/Image_Generator_API/imagenes/NAUTICA_CLASSICS_117005414_B4K_1.jpg")</f>
        <v/>
      </c>
      <c r="M1775">
        <f>IMAGE("file:///E:/Estudios%20y%20certificaciones/ESTUDIOS%20DE%20PROGRAMMING/PROGRAMMING/PERSONAL/PYTHON/Image_Generator_API/imagenes/NAUTICA_CLASSICS_117005414_B4K_2.jpg")</f>
        <v/>
      </c>
      <c r="N1775">
        <f>IMAGE("file:///E:/Estudios%20y%20certificaciones/ESTUDIOS%20DE%20PROGRAMMING/PROGRAMMING/PERSONAL/PYTHON/Image_Generator_API/imagenes/NAUTICA_CLASSICS_117005414_B4K_3.jpg")</f>
        <v/>
      </c>
      <c r="O1775">
        <f>HYPERLINK("imagenes/NAUTICA_CLASSICS_117005414_B4K_1.jpg","Ver imagen")</f>
        <v/>
      </c>
      <c r="P1775">
        <f>HYPERLINK("imagenes/NAUTICA_CLASSICS_117005414_B4K_2.jpg","Ver imagen")</f>
        <v/>
      </c>
      <c r="Q1775">
        <f>HYPERLINK("imagenes/NAUTICA_CLASSICS_117005414_B4K_3.jpg","Ver imagen")</f>
        <v/>
      </c>
    </row>
    <row r="1776">
      <c r="A1776" t="inlineStr">
        <is>
          <t>NAUTICA CLASSICS</t>
        </is>
      </c>
      <c r="B1776" t="inlineStr">
        <is>
          <t>117005414</t>
        </is>
      </c>
      <c r="C1776" t="inlineStr">
        <is>
          <t>SOFTSHELL JACKET W/ BELT</t>
        </is>
      </c>
      <c r="D1776" t="inlineStr">
        <is>
          <t>B4K</t>
        </is>
      </c>
      <c r="E1776" t="inlineStr">
        <is>
          <t>(en blanco)</t>
        </is>
      </c>
      <c r="F1776" t="inlineStr">
        <is>
          <t>(en blanco)</t>
        </is>
      </c>
      <c r="G1776" t="inlineStr">
        <is>
          <t>S</t>
        </is>
      </c>
      <c r="H1776" t="n">
        <v>6</v>
      </c>
      <c r="I1776" t="inlineStr">
        <is>
          <t>NAUTICA_CLASSICS_117005414_B4K_1.jpg</t>
        </is>
      </c>
      <c r="J1776" t="inlineStr">
        <is>
          <t>NAUTICA_CLASSICS_117005414_B4K_2.jpg</t>
        </is>
      </c>
      <c r="K1776" t="inlineStr">
        <is>
          <t>NAUTICA_CLASSICS_117005414_B4K_3.jpg</t>
        </is>
      </c>
      <c r="L1776">
        <f>IMAGE("file:///E:/Estudios%20y%20certificaciones/ESTUDIOS%20DE%20PROGRAMMING/PROGRAMMING/PERSONAL/PYTHON/Image_Generator_API/imagenes/NAUTICA_CLASSICS_117005414_B4K_1.jpg")</f>
        <v/>
      </c>
      <c r="M1776">
        <f>IMAGE("file:///E:/Estudios%20y%20certificaciones/ESTUDIOS%20DE%20PROGRAMMING/PROGRAMMING/PERSONAL/PYTHON/Image_Generator_API/imagenes/NAUTICA_CLASSICS_117005414_B4K_2.jpg")</f>
        <v/>
      </c>
      <c r="N1776">
        <f>IMAGE("file:///E:/Estudios%20y%20certificaciones/ESTUDIOS%20DE%20PROGRAMMING/PROGRAMMING/PERSONAL/PYTHON/Image_Generator_API/imagenes/NAUTICA_CLASSICS_117005414_B4K_3.jpg")</f>
        <v/>
      </c>
      <c r="O1776">
        <f>HYPERLINK("imagenes/NAUTICA_CLASSICS_117005414_B4K_1.jpg","Ver imagen")</f>
        <v/>
      </c>
      <c r="P1776">
        <f>HYPERLINK("imagenes/NAUTICA_CLASSICS_117005414_B4K_2.jpg","Ver imagen")</f>
        <v/>
      </c>
      <c r="Q1776">
        <f>HYPERLINK("imagenes/NAUTICA_CLASSICS_117005414_B4K_3.jpg","Ver imagen")</f>
        <v/>
      </c>
    </row>
    <row r="1777">
      <c r="A1777" t="inlineStr">
        <is>
          <t>NAUTICA CLASSICS</t>
        </is>
      </c>
      <c r="B1777" t="inlineStr">
        <is>
          <t>117005414</t>
        </is>
      </c>
      <c r="C1777" t="inlineStr">
        <is>
          <t>SOFTSHELL JACKET W/ BELT</t>
        </is>
      </c>
      <c r="D1777" t="inlineStr">
        <is>
          <t>B4K</t>
        </is>
      </c>
      <c r="E1777" t="inlineStr">
        <is>
          <t>(en blanco)</t>
        </is>
      </c>
      <c r="F1777" t="inlineStr">
        <is>
          <t>(en blanco)</t>
        </is>
      </c>
      <c r="G1777" t="inlineStr">
        <is>
          <t>M</t>
        </is>
      </c>
      <c r="H1777" t="n">
        <v>6</v>
      </c>
      <c r="I1777" t="inlineStr">
        <is>
          <t>NAUTICA_CLASSICS_117005414_B4K_1.jpg</t>
        </is>
      </c>
      <c r="J1777" t="inlineStr">
        <is>
          <t>NAUTICA_CLASSICS_117005414_B4K_2.jpg</t>
        </is>
      </c>
      <c r="K1777" t="inlineStr">
        <is>
          <t>NAUTICA_CLASSICS_117005414_B4K_3.jpg</t>
        </is>
      </c>
      <c r="L1777">
        <f>IMAGE("file:///E:/Estudios%20y%20certificaciones/ESTUDIOS%20DE%20PROGRAMMING/PROGRAMMING/PERSONAL/PYTHON/Image_Generator_API/imagenes/NAUTICA_CLASSICS_117005414_B4K_1.jpg")</f>
        <v/>
      </c>
      <c r="M1777">
        <f>IMAGE("file:///E:/Estudios%20y%20certificaciones/ESTUDIOS%20DE%20PROGRAMMING/PROGRAMMING/PERSONAL/PYTHON/Image_Generator_API/imagenes/NAUTICA_CLASSICS_117005414_B4K_2.jpg")</f>
        <v/>
      </c>
      <c r="N1777">
        <f>IMAGE("file:///E:/Estudios%20y%20certificaciones/ESTUDIOS%20DE%20PROGRAMMING/PROGRAMMING/PERSONAL/PYTHON/Image_Generator_API/imagenes/NAUTICA_CLASSICS_117005414_B4K_3.jpg")</f>
        <v/>
      </c>
      <c r="O1777">
        <f>HYPERLINK("imagenes/NAUTICA_CLASSICS_117005414_B4K_1.jpg","Ver imagen")</f>
        <v/>
      </c>
      <c r="P1777">
        <f>HYPERLINK("imagenes/NAUTICA_CLASSICS_117005414_B4K_2.jpg","Ver imagen")</f>
        <v/>
      </c>
      <c r="Q1777">
        <f>HYPERLINK("imagenes/NAUTICA_CLASSICS_117005414_B4K_3.jpg","Ver imagen")</f>
        <v/>
      </c>
    </row>
    <row r="1778">
      <c r="A1778" t="inlineStr">
        <is>
          <t>NAUTICA CLASSICS</t>
        </is>
      </c>
      <c r="B1778" t="inlineStr">
        <is>
          <t>117005414</t>
        </is>
      </c>
      <c r="C1778" t="inlineStr">
        <is>
          <t>SOFTSHELL JACKET W/ BELT</t>
        </is>
      </c>
      <c r="D1778" t="inlineStr">
        <is>
          <t>B4K</t>
        </is>
      </c>
      <c r="E1778" t="inlineStr">
        <is>
          <t>(en blanco)</t>
        </is>
      </c>
      <c r="F1778" t="inlineStr">
        <is>
          <t>(en blanco)</t>
        </is>
      </c>
      <c r="G1778" t="inlineStr">
        <is>
          <t>L</t>
        </is>
      </c>
      <c r="H1778" t="n">
        <v>6</v>
      </c>
      <c r="I1778" t="inlineStr">
        <is>
          <t>NAUTICA_CLASSICS_117005414_B4K_1.jpg</t>
        </is>
      </c>
      <c r="J1778" t="inlineStr">
        <is>
          <t>NAUTICA_CLASSICS_117005414_B4K_2.jpg</t>
        </is>
      </c>
      <c r="K1778" t="inlineStr">
        <is>
          <t>NAUTICA_CLASSICS_117005414_B4K_3.jpg</t>
        </is>
      </c>
      <c r="L1778">
        <f>IMAGE("file:///E:/Estudios%20y%20certificaciones/ESTUDIOS%20DE%20PROGRAMMING/PROGRAMMING/PERSONAL/PYTHON/Image_Generator_API/imagenes/NAUTICA_CLASSICS_117005414_B4K_1.jpg")</f>
        <v/>
      </c>
      <c r="M1778">
        <f>IMAGE("file:///E:/Estudios%20y%20certificaciones/ESTUDIOS%20DE%20PROGRAMMING/PROGRAMMING/PERSONAL/PYTHON/Image_Generator_API/imagenes/NAUTICA_CLASSICS_117005414_B4K_2.jpg")</f>
        <v/>
      </c>
      <c r="N1778">
        <f>IMAGE("file:///E:/Estudios%20y%20certificaciones/ESTUDIOS%20DE%20PROGRAMMING/PROGRAMMING/PERSONAL/PYTHON/Image_Generator_API/imagenes/NAUTICA_CLASSICS_117005414_B4K_3.jpg")</f>
        <v/>
      </c>
      <c r="O1778">
        <f>HYPERLINK("imagenes/NAUTICA_CLASSICS_117005414_B4K_1.jpg","Ver imagen")</f>
        <v/>
      </c>
      <c r="P1778">
        <f>HYPERLINK("imagenes/NAUTICA_CLASSICS_117005414_B4K_2.jpg","Ver imagen")</f>
        <v/>
      </c>
      <c r="Q1778">
        <f>HYPERLINK("imagenes/NAUTICA_CLASSICS_117005414_B4K_3.jpg","Ver imagen")</f>
        <v/>
      </c>
    </row>
    <row r="1779">
      <c r="A1779" t="inlineStr">
        <is>
          <t>NAUTICA CLASSICS</t>
        </is>
      </c>
      <c r="B1779" t="inlineStr">
        <is>
          <t>117005414</t>
        </is>
      </c>
      <c r="C1779" t="inlineStr">
        <is>
          <t>SOFTSHELL JACKET W/ BELT</t>
        </is>
      </c>
      <c r="D1779" t="inlineStr">
        <is>
          <t>B4K</t>
        </is>
      </c>
      <c r="E1779" t="inlineStr">
        <is>
          <t>(en blanco)</t>
        </is>
      </c>
      <c r="F1779" t="inlineStr">
        <is>
          <t>(en blanco)</t>
        </is>
      </c>
      <c r="G1779" t="inlineStr">
        <is>
          <t>XL</t>
        </is>
      </c>
      <c r="H1779" t="n">
        <v>1</v>
      </c>
      <c r="I1779" t="inlineStr">
        <is>
          <t>NAUTICA_CLASSICS_117005414_B4K_1.jpg</t>
        </is>
      </c>
      <c r="J1779" t="inlineStr">
        <is>
          <t>NAUTICA_CLASSICS_117005414_B4K_2.jpg</t>
        </is>
      </c>
      <c r="K1779" t="inlineStr">
        <is>
          <t>NAUTICA_CLASSICS_117005414_B4K_3.jpg</t>
        </is>
      </c>
      <c r="L1779">
        <f>IMAGE("file:///E:/Estudios%20y%20certificaciones/ESTUDIOS%20DE%20PROGRAMMING/PROGRAMMING/PERSONAL/PYTHON/Image_Generator_API/imagenes/NAUTICA_CLASSICS_117005414_B4K_1.jpg")</f>
        <v/>
      </c>
      <c r="M1779">
        <f>IMAGE("file:///E:/Estudios%20y%20certificaciones/ESTUDIOS%20DE%20PROGRAMMING/PROGRAMMING/PERSONAL/PYTHON/Image_Generator_API/imagenes/NAUTICA_CLASSICS_117005414_B4K_2.jpg")</f>
        <v/>
      </c>
      <c r="N1779">
        <f>IMAGE("file:///E:/Estudios%20y%20certificaciones/ESTUDIOS%20DE%20PROGRAMMING/PROGRAMMING/PERSONAL/PYTHON/Image_Generator_API/imagenes/NAUTICA_CLASSICS_117005414_B4K_3.jpg")</f>
        <v/>
      </c>
      <c r="O1779">
        <f>HYPERLINK("imagenes/NAUTICA_CLASSICS_117005414_B4K_1.jpg","Ver imagen")</f>
        <v/>
      </c>
      <c r="P1779">
        <f>HYPERLINK("imagenes/NAUTICA_CLASSICS_117005414_B4K_2.jpg","Ver imagen")</f>
        <v/>
      </c>
      <c r="Q1779">
        <f>HYPERLINK("imagenes/NAUTICA_CLASSICS_117005414_B4K_3.jpg","Ver imagen")</f>
        <v/>
      </c>
    </row>
    <row r="1780">
      <c r="A1780" t="inlineStr">
        <is>
          <t>NAUTICA CLASSICS</t>
        </is>
      </c>
      <c r="B1780" t="inlineStr">
        <is>
          <t>117005414</t>
        </is>
      </c>
      <c r="C1780" t="inlineStr">
        <is>
          <t>SOFTSHELL JACKET W/ BELT</t>
        </is>
      </c>
      <c r="D1780" t="inlineStr">
        <is>
          <t>BLK</t>
        </is>
      </c>
      <c r="E1780" t="inlineStr">
        <is>
          <t>08A05</t>
        </is>
      </c>
      <c r="F1780" t="inlineStr">
        <is>
          <t>(en blanco)</t>
        </is>
      </c>
      <c r="G1780" t="inlineStr">
        <is>
          <t>PPK</t>
        </is>
      </c>
      <c r="H1780" t="n">
        <v>1168</v>
      </c>
      <c r="I1780" t="inlineStr">
        <is>
          <t>NAUTICA_CLASSICS_117005414_BLK_1.jpg</t>
        </is>
      </c>
      <c r="J1780" t="inlineStr">
        <is>
          <t>NAUTICA_CLASSICS_117005414_BLK_2.jpg</t>
        </is>
      </c>
      <c r="K1780" t="inlineStr">
        <is>
          <t>NAUTICA_CLASSICS_117005414_BLK_3.jpg</t>
        </is>
      </c>
      <c r="L1780">
        <f>IMAGE("file:///E:/Estudios%20y%20certificaciones/ESTUDIOS%20DE%20PROGRAMMING/PROGRAMMING/PERSONAL/PYTHON/Image_Generator_API/imagenes/NAUTICA_CLASSICS_117005414_BLK_1.jpg")</f>
        <v/>
      </c>
      <c r="M1780">
        <f>IMAGE("file:///E:/Estudios%20y%20certificaciones/ESTUDIOS%20DE%20PROGRAMMING/PROGRAMMING/PERSONAL/PYTHON/Image_Generator_API/imagenes/NAUTICA_CLASSICS_117005414_BLK_2.jpg")</f>
        <v/>
      </c>
      <c r="N1780">
        <f>IMAGE("file:///E:/Estudios%20y%20certificaciones/ESTUDIOS%20DE%20PROGRAMMING/PROGRAMMING/PERSONAL/PYTHON/Image_Generator_API/imagenes/NAUTICA_CLASSICS_117005414_BLK_3.jpg")</f>
        <v/>
      </c>
      <c r="O1780">
        <f>HYPERLINK("imagenes/NAUTICA_CLASSICS_117005414_BLK_1.jpg","Ver imagen")</f>
        <v/>
      </c>
      <c r="P1780">
        <f>HYPERLINK("imagenes/NAUTICA_CLASSICS_117005414_BLK_2.jpg","Ver imagen")</f>
        <v/>
      </c>
      <c r="Q1780">
        <f>HYPERLINK("imagenes/NAUTICA_CLASSICS_117005414_BLK_3.jpg","Ver imagen")</f>
        <v/>
      </c>
    </row>
    <row r="1781">
      <c r="A1781" t="inlineStr">
        <is>
          <t>NAUTICA CLASSICS</t>
        </is>
      </c>
      <c r="B1781" t="inlineStr">
        <is>
          <t>117005414</t>
        </is>
      </c>
      <c r="C1781" t="inlineStr">
        <is>
          <t>SOFTSHELL JACKET W/ BELT</t>
        </is>
      </c>
      <c r="D1781" t="inlineStr">
        <is>
          <t>BLK</t>
        </is>
      </c>
      <c r="E1781" t="inlineStr">
        <is>
          <t>(en blanco)</t>
        </is>
      </c>
      <c r="F1781" t="inlineStr">
        <is>
          <t>(en blanco)</t>
        </is>
      </c>
      <c r="G1781" t="inlineStr">
        <is>
          <t>XS</t>
        </is>
      </c>
      <c r="H1781" t="n">
        <v>6</v>
      </c>
      <c r="I1781" t="inlineStr">
        <is>
          <t>NAUTICA_CLASSICS_117005414_BLK_1.jpg</t>
        </is>
      </c>
      <c r="J1781" t="inlineStr">
        <is>
          <t>NAUTICA_CLASSICS_117005414_BLK_2.jpg</t>
        </is>
      </c>
      <c r="K1781" t="inlineStr">
        <is>
          <t>NAUTICA_CLASSICS_117005414_BLK_3.jpg</t>
        </is>
      </c>
      <c r="L1781">
        <f>IMAGE("file:///E:/Estudios%20y%20certificaciones/ESTUDIOS%20DE%20PROGRAMMING/PROGRAMMING/PERSONAL/PYTHON/Image_Generator_API/imagenes/NAUTICA_CLASSICS_117005414_BLK_1.jpg")</f>
        <v/>
      </c>
      <c r="M1781">
        <f>IMAGE("file:///E:/Estudios%20y%20certificaciones/ESTUDIOS%20DE%20PROGRAMMING/PROGRAMMING/PERSONAL/PYTHON/Image_Generator_API/imagenes/NAUTICA_CLASSICS_117005414_BLK_2.jpg")</f>
        <v/>
      </c>
      <c r="N1781">
        <f>IMAGE("file:///E:/Estudios%20y%20certificaciones/ESTUDIOS%20DE%20PROGRAMMING/PROGRAMMING/PERSONAL/PYTHON/Image_Generator_API/imagenes/NAUTICA_CLASSICS_117005414_BLK_3.jpg")</f>
        <v/>
      </c>
      <c r="O1781">
        <f>HYPERLINK("imagenes/NAUTICA_CLASSICS_117005414_BLK_1.jpg","Ver imagen")</f>
        <v/>
      </c>
      <c r="P1781">
        <f>HYPERLINK("imagenes/NAUTICA_CLASSICS_117005414_BLK_2.jpg","Ver imagen")</f>
        <v/>
      </c>
      <c r="Q1781">
        <f>HYPERLINK("imagenes/NAUTICA_CLASSICS_117005414_BLK_3.jpg","Ver imagen")</f>
        <v/>
      </c>
    </row>
    <row r="1782">
      <c r="A1782" t="inlineStr">
        <is>
          <t>NAUTICA CLASSICS</t>
        </is>
      </c>
      <c r="B1782" t="inlineStr">
        <is>
          <t>117005414</t>
        </is>
      </c>
      <c r="C1782" t="inlineStr">
        <is>
          <t>SOFTSHELL JACKET W/ BELT</t>
        </is>
      </c>
      <c r="D1782" t="inlineStr">
        <is>
          <t>BLK</t>
        </is>
      </c>
      <c r="E1782" t="inlineStr">
        <is>
          <t>(en blanco)</t>
        </is>
      </c>
      <c r="F1782" t="inlineStr">
        <is>
          <t>(en blanco)</t>
        </is>
      </c>
      <c r="G1782" t="inlineStr">
        <is>
          <t>S</t>
        </is>
      </c>
      <c r="H1782" t="n">
        <v>14</v>
      </c>
      <c r="I1782" t="inlineStr">
        <is>
          <t>NAUTICA_CLASSICS_117005414_BLK_1.jpg</t>
        </is>
      </c>
      <c r="J1782" t="inlineStr">
        <is>
          <t>NAUTICA_CLASSICS_117005414_BLK_2.jpg</t>
        </is>
      </c>
      <c r="K1782" t="inlineStr">
        <is>
          <t>NAUTICA_CLASSICS_117005414_BLK_3.jpg</t>
        </is>
      </c>
      <c r="L1782">
        <f>IMAGE("file:///E:/Estudios%20y%20certificaciones/ESTUDIOS%20DE%20PROGRAMMING/PROGRAMMING/PERSONAL/PYTHON/Image_Generator_API/imagenes/NAUTICA_CLASSICS_117005414_BLK_1.jpg")</f>
        <v/>
      </c>
      <c r="M1782">
        <f>IMAGE("file:///E:/Estudios%20y%20certificaciones/ESTUDIOS%20DE%20PROGRAMMING/PROGRAMMING/PERSONAL/PYTHON/Image_Generator_API/imagenes/NAUTICA_CLASSICS_117005414_BLK_2.jpg")</f>
        <v/>
      </c>
      <c r="N1782">
        <f>IMAGE("file:///E:/Estudios%20y%20certificaciones/ESTUDIOS%20DE%20PROGRAMMING/PROGRAMMING/PERSONAL/PYTHON/Image_Generator_API/imagenes/NAUTICA_CLASSICS_117005414_BLK_3.jpg")</f>
        <v/>
      </c>
      <c r="O1782">
        <f>HYPERLINK("imagenes/NAUTICA_CLASSICS_117005414_BLK_1.jpg","Ver imagen")</f>
        <v/>
      </c>
      <c r="P1782">
        <f>HYPERLINK("imagenes/NAUTICA_CLASSICS_117005414_BLK_2.jpg","Ver imagen")</f>
        <v/>
      </c>
      <c r="Q1782">
        <f>HYPERLINK("imagenes/NAUTICA_CLASSICS_117005414_BLK_3.jpg","Ver imagen")</f>
        <v/>
      </c>
    </row>
    <row r="1783">
      <c r="A1783" t="inlineStr">
        <is>
          <t>NAUTICA CLASSICS</t>
        </is>
      </c>
      <c r="B1783" t="inlineStr">
        <is>
          <t>117005414</t>
        </is>
      </c>
      <c r="C1783" t="inlineStr">
        <is>
          <t>SOFTSHELL JACKET W/ BELT</t>
        </is>
      </c>
      <c r="D1783" t="inlineStr">
        <is>
          <t>BLK</t>
        </is>
      </c>
      <c r="E1783" t="inlineStr">
        <is>
          <t>(en blanco)</t>
        </is>
      </c>
      <c r="F1783" t="inlineStr">
        <is>
          <t>(en blanco)</t>
        </is>
      </c>
      <c r="G1783" t="inlineStr">
        <is>
          <t>M</t>
        </is>
      </c>
      <c r="H1783" t="n">
        <v>10</v>
      </c>
      <c r="I1783" t="inlineStr">
        <is>
          <t>NAUTICA_CLASSICS_117005414_BLK_1.jpg</t>
        </is>
      </c>
      <c r="J1783" t="inlineStr">
        <is>
          <t>NAUTICA_CLASSICS_117005414_BLK_2.jpg</t>
        </is>
      </c>
      <c r="K1783" t="inlineStr">
        <is>
          <t>NAUTICA_CLASSICS_117005414_BLK_3.jpg</t>
        </is>
      </c>
      <c r="L1783">
        <f>IMAGE("file:///E:/Estudios%20y%20certificaciones/ESTUDIOS%20DE%20PROGRAMMING/PROGRAMMING/PERSONAL/PYTHON/Image_Generator_API/imagenes/NAUTICA_CLASSICS_117005414_BLK_1.jpg")</f>
        <v/>
      </c>
      <c r="M1783">
        <f>IMAGE("file:///E:/Estudios%20y%20certificaciones/ESTUDIOS%20DE%20PROGRAMMING/PROGRAMMING/PERSONAL/PYTHON/Image_Generator_API/imagenes/NAUTICA_CLASSICS_117005414_BLK_2.jpg")</f>
        <v/>
      </c>
      <c r="N1783">
        <f>IMAGE("file:///E:/Estudios%20y%20certificaciones/ESTUDIOS%20DE%20PROGRAMMING/PROGRAMMING/PERSONAL/PYTHON/Image_Generator_API/imagenes/NAUTICA_CLASSICS_117005414_BLK_3.jpg")</f>
        <v/>
      </c>
      <c r="O1783">
        <f>HYPERLINK("imagenes/NAUTICA_CLASSICS_117005414_BLK_1.jpg","Ver imagen")</f>
        <v/>
      </c>
      <c r="P1783">
        <f>HYPERLINK("imagenes/NAUTICA_CLASSICS_117005414_BLK_2.jpg","Ver imagen")</f>
        <v/>
      </c>
      <c r="Q1783">
        <f>HYPERLINK("imagenes/NAUTICA_CLASSICS_117005414_BLK_3.jpg","Ver imagen")</f>
        <v/>
      </c>
    </row>
    <row r="1784">
      <c r="A1784" t="inlineStr">
        <is>
          <t>NAUTICA CLASSICS</t>
        </is>
      </c>
      <c r="B1784" t="inlineStr">
        <is>
          <t>117005414</t>
        </is>
      </c>
      <c r="C1784" t="inlineStr">
        <is>
          <t>SOFTSHELL JACKET W/ BELT</t>
        </is>
      </c>
      <c r="D1784" t="inlineStr">
        <is>
          <t>BLK</t>
        </is>
      </c>
      <c r="E1784" t="inlineStr">
        <is>
          <t>(en blanco)</t>
        </is>
      </c>
      <c r="F1784" t="inlineStr">
        <is>
          <t>(en blanco)</t>
        </is>
      </c>
      <c r="G1784" t="inlineStr">
        <is>
          <t>L</t>
        </is>
      </c>
      <c r="H1784" t="n">
        <v>11</v>
      </c>
      <c r="I1784" t="inlineStr">
        <is>
          <t>NAUTICA_CLASSICS_117005414_BLK_1.jpg</t>
        </is>
      </c>
      <c r="J1784" t="inlineStr">
        <is>
          <t>NAUTICA_CLASSICS_117005414_BLK_2.jpg</t>
        </is>
      </c>
      <c r="K1784" t="inlineStr">
        <is>
          <t>NAUTICA_CLASSICS_117005414_BLK_3.jpg</t>
        </is>
      </c>
      <c r="L1784">
        <f>IMAGE("file:///E:/Estudios%20y%20certificaciones/ESTUDIOS%20DE%20PROGRAMMING/PROGRAMMING/PERSONAL/PYTHON/Image_Generator_API/imagenes/NAUTICA_CLASSICS_117005414_BLK_1.jpg")</f>
        <v/>
      </c>
      <c r="M1784">
        <f>IMAGE("file:///E:/Estudios%20y%20certificaciones/ESTUDIOS%20DE%20PROGRAMMING/PROGRAMMING/PERSONAL/PYTHON/Image_Generator_API/imagenes/NAUTICA_CLASSICS_117005414_BLK_2.jpg")</f>
        <v/>
      </c>
      <c r="N1784">
        <f>IMAGE("file:///E:/Estudios%20y%20certificaciones/ESTUDIOS%20DE%20PROGRAMMING/PROGRAMMING/PERSONAL/PYTHON/Image_Generator_API/imagenes/NAUTICA_CLASSICS_117005414_BLK_3.jpg")</f>
        <v/>
      </c>
      <c r="O1784">
        <f>HYPERLINK("imagenes/NAUTICA_CLASSICS_117005414_BLK_1.jpg","Ver imagen")</f>
        <v/>
      </c>
      <c r="P1784">
        <f>HYPERLINK("imagenes/NAUTICA_CLASSICS_117005414_BLK_2.jpg","Ver imagen")</f>
        <v/>
      </c>
      <c r="Q1784">
        <f>HYPERLINK("imagenes/NAUTICA_CLASSICS_117005414_BLK_3.jpg","Ver imagen")</f>
        <v/>
      </c>
    </row>
    <row r="1785">
      <c r="A1785" t="inlineStr">
        <is>
          <t>NAUTICA CLASSICS</t>
        </is>
      </c>
      <c r="B1785" t="inlineStr">
        <is>
          <t>117005414</t>
        </is>
      </c>
      <c r="C1785" t="inlineStr">
        <is>
          <t>SOFTSHELL JACKET W/ BELT</t>
        </is>
      </c>
      <c r="D1785" t="inlineStr">
        <is>
          <t>BLK</t>
        </is>
      </c>
      <c r="E1785" t="inlineStr">
        <is>
          <t>(en blanco)</t>
        </is>
      </c>
      <c r="F1785" t="inlineStr">
        <is>
          <t>(en blanco)</t>
        </is>
      </c>
      <c r="G1785" t="inlineStr">
        <is>
          <t>XL</t>
        </is>
      </c>
      <c r="H1785" t="n">
        <v>6</v>
      </c>
      <c r="I1785" t="inlineStr">
        <is>
          <t>NAUTICA_CLASSICS_117005414_BLK_1.jpg</t>
        </is>
      </c>
      <c r="J1785" t="inlineStr">
        <is>
          <t>NAUTICA_CLASSICS_117005414_BLK_2.jpg</t>
        </is>
      </c>
      <c r="K1785" t="inlineStr">
        <is>
          <t>NAUTICA_CLASSICS_117005414_BLK_3.jpg</t>
        </is>
      </c>
      <c r="L1785">
        <f>IMAGE("file:///E:/Estudios%20y%20certificaciones/ESTUDIOS%20DE%20PROGRAMMING/PROGRAMMING/PERSONAL/PYTHON/Image_Generator_API/imagenes/NAUTICA_CLASSICS_117005414_BLK_1.jpg")</f>
        <v/>
      </c>
      <c r="M1785">
        <f>IMAGE("file:///E:/Estudios%20y%20certificaciones/ESTUDIOS%20DE%20PROGRAMMING/PROGRAMMING/PERSONAL/PYTHON/Image_Generator_API/imagenes/NAUTICA_CLASSICS_117005414_BLK_2.jpg")</f>
        <v/>
      </c>
      <c r="N1785">
        <f>IMAGE("file:///E:/Estudios%20y%20certificaciones/ESTUDIOS%20DE%20PROGRAMMING/PROGRAMMING/PERSONAL/PYTHON/Image_Generator_API/imagenes/NAUTICA_CLASSICS_117005414_BLK_3.jpg")</f>
        <v/>
      </c>
      <c r="O1785">
        <f>HYPERLINK("imagenes/NAUTICA_CLASSICS_117005414_BLK_1.jpg","Ver imagen")</f>
        <v/>
      </c>
      <c r="P1785">
        <f>HYPERLINK("imagenes/NAUTICA_CLASSICS_117005414_BLK_2.jpg","Ver imagen")</f>
        <v/>
      </c>
      <c r="Q1785">
        <f>HYPERLINK("imagenes/NAUTICA_CLASSICS_117005414_BLK_3.jpg","Ver imagen")</f>
        <v/>
      </c>
    </row>
    <row r="1786">
      <c r="A1786" t="inlineStr">
        <is>
          <t>NAUTICA CLASSICS</t>
        </is>
      </c>
      <c r="B1786" t="inlineStr">
        <is>
          <t>117005414</t>
        </is>
      </c>
      <c r="C1786" t="inlineStr">
        <is>
          <t>SOFTSHELL JACKET W/ BELT</t>
        </is>
      </c>
      <c r="D1786" t="inlineStr">
        <is>
          <t>OXA</t>
        </is>
      </c>
      <c r="E1786" t="inlineStr">
        <is>
          <t>08A05</t>
        </is>
      </c>
      <c r="F1786" t="inlineStr">
        <is>
          <t>(en blanco)</t>
        </is>
      </c>
      <c r="G1786" t="inlineStr">
        <is>
          <t>PPK</t>
        </is>
      </c>
      <c r="H1786" t="n">
        <v>792</v>
      </c>
      <c r="I1786" t="inlineStr">
        <is>
          <t>NAUTICA_CLASSICS_117005414_OXA_1.jpg</t>
        </is>
      </c>
      <c r="J1786" t="inlineStr">
        <is>
          <t>NAUTICA_CLASSICS_117005414_OXA_2.jpg</t>
        </is>
      </c>
      <c r="K1786" t="inlineStr">
        <is>
          <t>NAUTICA_CLASSICS_117005414_OXA_3.jpg</t>
        </is>
      </c>
      <c r="L1786">
        <f>IMAGE("file:///E:/Estudios%20y%20certificaciones/ESTUDIOS%20DE%20PROGRAMMING/PROGRAMMING/PERSONAL/PYTHON/Image_Generator_API/imagenes/NAUTICA_CLASSICS_117005414_OXA_1.jpg")</f>
        <v/>
      </c>
      <c r="M1786">
        <f>IMAGE("file:///E:/Estudios%20y%20certificaciones/ESTUDIOS%20DE%20PROGRAMMING/PROGRAMMING/PERSONAL/PYTHON/Image_Generator_API/imagenes/NAUTICA_CLASSICS_117005414_OXA_2.jpg")</f>
        <v/>
      </c>
      <c r="N1786">
        <f>IMAGE("file:///E:/Estudios%20y%20certificaciones/ESTUDIOS%20DE%20PROGRAMMING/PROGRAMMING/PERSONAL/PYTHON/Image_Generator_API/imagenes/NAUTICA_CLASSICS_117005414_OXA_3.jpg")</f>
        <v/>
      </c>
      <c r="O1786">
        <f>HYPERLINK("imagenes/NAUTICA_CLASSICS_117005414_OXA_1.jpg","Ver imagen")</f>
        <v/>
      </c>
      <c r="P1786">
        <f>HYPERLINK("imagenes/NAUTICA_CLASSICS_117005414_OXA_2.jpg","Ver imagen")</f>
        <v/>
      </c>
      <c r="Q1786">
        <f>HYPERLINK("imagenes/NAUTICA_CLASSICS_117005414_OXA_3.jpg","Ver imagen")</f>
        <v/>
      </c>
    </row>
    <row r="1787">
      <c r="A1787" t="inlineStr">
        <is>
          <t>NAUTICA CLASSICS</t>
        </is>
      </c>
      <c r="B1787" t="inlineStr">
        <is>
          <t>117005414</t>
        </is>
      </c>
      <c r="C1787" t="inlineStr">
        <is>
          <t>SOFTSHELL JACKET W/ BELT</t>
        </is>
      </c>
      <c r="D1787" t="inlineStr">
        <is>
          <t>OXA</t>
        </is>
      </c>
      <c r="E1787" t="inlineStr">
        <is>
          <t>(en blanco)</t>
        </is>
      </c>
      <c r="F1787" t="inlineStr">
        <is>
          <t>(en blanco)</t>
        </is>
      </c>
      <c r="G1787" t="inlineStr">
        <is>
          <t>XS</t>
        </is>
      </c>
      <c r="H1787" t="n">
        <v>1</v>
      </c>
      <c r="I1787" t="inlineStr">
        <is>
          <t>NAUTICA_CLASSICS_117005414_OXA_1.jpg</t>
        </is>
      </c>
      <c r="J1787" t="inlineStr">
        <is>
          <t>NAUTICA_CLASSICS_117005414_OXA_2.jpg</t>
        </is>
      </c>
      <c r="K1787" t="inlineStr">
        <is>
          <t>NAUTICA_CLASSICS_117005414_OXA_3.jpg</t>
        </is>
      </c>
      <c r="L1787">
        <f>IMAGE("file:///E:/Estudios%20y%20certificaciones/ESTUDIOS%20DE%20PROGRAMMING/PROGRAMMING/PERSONAL/PYTHON/Image_Generator_API/imagenes/NAUTICA_CLASSICS_117005414_OXA_1.jpg")</f>
        <v/>
      </c>
      <c r="M1787">
        <f>IMAGE("file:///E:/Estudios%20y%20certificaciones/ESTUDIOS%20DE%20PROGRAMMING/PROGRAMMING/PERSONAL/PYTHON/Image_Generator_API/imagenes/NAUTICA_CLASSICS_117005414_OXA_2.jpg")</f>
        <v/>
      </c>
      <c r="N1787">
        <f>IMAGE("file:///E:/Estudios%20y%20certificaciones/ESTUDIOS%20DE%20PROGRAMMING/PROGRAMMING/PERSONAL/PYTHON/Image_Generator_API/imagenes/NAUTICA_CLASSICS_117005414_OXA_3.jpg")</f>
        <v/>
      </c>
      <c r="O1787">
        <f>HYPERLINK("imagenes/NAUTICA_CLASSICS_117005414_OXA_1.jpg","Ver imagen")</f>
        <v/>
      </c>
      <c r="P1787">
        <f>HYPERLINK("imagenes/NAUTICA_CLASSICS_117005414_OXA_2.jpg","Ver imagen")</f>
        <v/>
      </c>
      <c r="Q1787">
        <f>HYPERLINK("imagenes/NAUTICA_CLASSICS_117005414_OXA_3.jpg","Ver imagen")</f>
        <v/>
      </c>
    </row>
    <row r="1788">
      <c r="A1788" t="inlineStr">
        <is>
          <t>NAUTICA CLASSICS</t>
        </is>
      </c>
      <c r="B1788" t="inlineStr">
        <is>
          <t>117005414</t>
        </is>
      </c>
      <c r="C1788" t="inlineStr">
        <is>
          <t>SOFTSHELL JACKET W/ BELT</t>
        </is>
      </c>
      <c r="D1788" t="inlineStr">
        <is>
          <t>OXA</t>
        </is>
      </c>
      <c r="E1788" t="inlineStr">
        <is>
          <t>(en blanco)</t>
        </is>
      </c>
      <c r="F1788" t="inlineStr">
        <is>
          <t>(en blanco)</t>
        </is>
      </c>
      <c r="G1788" t="inlineStr">
        <is>
          <t>S</t>
        </is>
      </c>
      <c r="H1788" t="n">
        <v>4</v>
      </c>
      <c r="I1788" t="inlineStr">
        <is>
          <t>NAUTICA_CLASSICS_117005414_OXA_1.jpg</t>
        </is>
      </c>
      <c r="J1788" t="inlineStr">
        <is>
          <t>NAUTICA_CLASSICS_117005414_OXA_2.jpg</t>
        </is>
      </c>
      <c r="K1788" t="inlineStr">
        <is>
          <t>NAUTICA_CLASSICS_117005414_OXA_3.jpg</t>
        </is>
      </c>
      <c r="L1788">
        <f>IMAGE("file:///E:/Estudios%20y%20certificaciones/ESTUDIOS%20DE%20PROGRAMMING/PROGRAMMING/PERSONAL/PYTHON/Image_Generator_API/imagenes/NAUTICA_CLASSICS_117005414_OXA_1.jpg")</f>
        <v/>
      </c>
      <c r="M1788">
        <f>IMAGE("file:///E:/Estudios%20y%20certificaciones/ESTUDIOS%20DE%20PROGRAMMING/PROGRAMMING/PERSONAL/PYTHON/Image_Generator_API/imagenes/NAUTICA_CLASSICS_117005414_OXA_2.jpg")</f>
        <v/>
      </c>
      <c r="N1788">
        <f>IMAGE("file:///E:/Estudios%20y%20certificaciones/ESTUDIOS%20DE%20PROGRAMMING/PROGRAMMING/PERSONAL/PYTHON/Image_Generator_API/imagenes/NAUTICA_CLASSICS_117005414_OXA_3.jpg")</f>
        <v/>
      </c>
      <c r="O1788">
        <f>HYPERLINK("imagenes/NAUTICA_CLASSICS_117005414_OXA_1.jpg","Ver imagen")</f>
        <v/>
      </c>
      <c r="P1788">
        <f>HYPERLINK("imagenes/NAUTICA_CLASSICS_117005414_OXA_2.jpg","Ver imagen")</f>
        <v/>
      </c>
      <c r="Q1788">
        <f>HYPERLINK("imagenes/NAUTICA_CLASSICS_117005414_OXA_3.jpg","Ver imagen")</f>
        <v/>
      </c>
    </row>
    <row r="1789">
      <c r="A1789" t="inlineStr">
        <is>
          <t>NAUTICA CLASSICS</t>
        </is>
      </c>
      <c r="B1789" t="inlineStr">
        <is>
          <t>117005414</t>
        </is>
      </c>
      <c r="C1789" t="inlineStr">
        <is>
          <t>SOFTSHELL JACKET W/ BELT</t>
        </is>
      </c>
      <c r="D1789" t="inlineStr">
        <is>
          <t>OXA</t>
        </is>
      </c>
      <c r="E1789" t="inlineStr">
        <is>
          <t>(en blanco)</t>
        </is>
      </c>
      <c r="F1789" t="inlineStr">
        <is>
          <t>(en blanco)</t>
        </is>
      </c>
      <c r="G1789" t="inlineStr">
        <is>
          <t>M</t>
        </is>
      </c>
      <c r="H1789" t="n">
        <v>4</v>
      </c>
      <c r="I1789" t="inlineStr">
        <is>
          <t>NAUTICA_CLASSICS_117005414_OXA_1.jpg</t>
        </is>
      </c>
      <c r="J1789" t="inlineStr">
        <is>
          <t>NAUTICA_CLASSICS_117005414_OXA_2.jpg</t>
        </is>
      </c>
      <c r="K1789" t="inlineStr">
        <is>
          <t>NAUTICA_CLASSICS_117005414_OXA_3.jpg</t>
        </is>
      </c>
      <c r="L1789">
        <f>IMAGE("file:///E:/Estudios%20y%20certificaciones/ESTUDIOS%20DE%20PROGRAMMING/PROGRAMMING/PERSONAL/PYTHON/Image_Generator_API/imagenes/NAUTICA_CLASSICS_117005414_OXA_1.jpg")</f>
        <v/>
      </c>
      <c r="M1789">
        <f>IMAGE("file:///E:/Estudios%20y%20certificaciones/ESTUDIOS%20DE%20PROGRAMMING/PROGRAMMING/PERSONAL/PYTHON/Image_Generator_API/imagenes/NAUTICA_CLASSICS_117005414_OXA_2.jpg")</f>
        <v/>
      </c>
      <c r="N1789">
        <f>IMAGE("file:///E:/Estudios%20y%20certificaciones/ESTUDIOS%20DE%20PROGRAMMING/PROGRAMMING/PERSONAL/PYTHON/Image_Generator_API/imagenes/NAUTICA_CLASSICS_117005414_OXA_3.jpg")</f>
        <v/>
      </c>
      <c r="O1789">
        <f>HYPERLINK("imagenes/NAUTICA_CLASSICS_117005414_OXA_1.jpg","Ver imagen")</f>
        <v/>
      </c>
      <c r="P1789">
        <f>HYPERLINK("imagenes/NAUTICA_CLASSICS_117005414_OXA_2.jpg","Ver imagen")</f>
        <v/>
      </c>
      <c r="Q1789">
        <f>HYPERLINK("imagenes/NAUTICA_CLASSICS_117005414_OXA_3.jpg","Ver imagen")</f>
        <v/>
      </c>
    </row>
    <row r="1790">
      <c r="A1790" t="inlineStr">
        <is>
          <t>NAUTICA CLASSICS</t>
        </is>
      </c>
      <c r="B1790" t="inlineStr">
        <is>
          <t>117005414</t>
        </is>
      </c>
      <c r="C1790" t="inlineStr">
        <is>
          <t>SOFTSHELL JACKET W/ BELT</t>
        </is>
      </c>
      <c r="D1790" t="inlineStr">
        <is>
          <t>OXA</t>
        </is>
      </c>
      <c r="E1790" t="inlineStr">
        <is>
          <t>(en blanco)</t>
        </is>
      </c>
      <c r="F1790" t="inlineStr">
        <is>
          <t>(en blanco)</t>
        </is>
      </c>
      <c r="G1790" t="inlineStr">
        <is>
          <t>L</t>
        </is>
      </c>
      <c r="H1790" t="n">
        <v>2</v>
      </c>
      <c r="I1790" t="inlineStr">
        <is>
          <t>NAUTICA_CLASSICS_117005414_OXA_1.jpg</t>
        </is>
      </c>
      <c r="J1790" t="inlineStr">
        <is>
          <t>NAUTICA_CLASSICS_117005414_OXA_2.jpg</t>
        </is>
      </c>
      <c r="K1790" t="inlineStr">
        <is>
          <t>NAUTICA_CLASSICS_117005414_OXA_3.jpg</t>
        </is>
      </c>
      <c r="L1790">
        <f>IMAGE("file:///E:/Estudios%20y%20certificaciones/ESTUDIOS%20DE%20PROGRAMMING/PROGRAMMING/PERSONAL/PYTHON/Image_Generator_API/imagenes/NAUTICA_CLASSICS_117005414_OXA_1.jpg")</f>
        <v/>
      </c>
      <c r="M1790">
        <f>IMAGE("file:///E:/Estudios%20y%20certificaciones/ESTUDIOS%20DE%20PROGRAMMING/PROGRAMMING/PERSONAL/PYTHON/Image_Generator_API/imagenes/NAUTICA_CLASSICS_117005414_OXA_2.jpg")</f>
        <v/>
      </c>
      <c r="N1790">
        <f>IMAGE("file:///E:/Estudios%20y%20certificaciones/ESTUDIOS%20DE%20PROGRAMMING/PROGRAMMING/PERSONAL/PYTHON/Image_Generator_API/imagenes/NAUTICA_CLASSICS_117005414_OXA_3.jpg")</f>
        <v/>
      </c>
      <c r="O1790">
        <f>HYPERLINK("imagenes/NAUTICA_CLASSICS_117005414_OXA_1.jpg","Ver imagen")</f>
        <v/>
      </c>
      <c r="P1790">
        <f>HYPERLINK("imagenes/NAUTICA_CLASSICS_117005414_OXA_2.jpg","Ver imagen")</f>
        <v/>
      </c>
      <c r="Q1790">
        <f>HYPERLINK("imagenes/NAUTICA_CLASSICS_117005414_OXA_3.jpg","Ver imagen")</f>
        <v/>
      </c>
    </row>
    <row r="1791">
      <c r="A1791" t="inlineStr">
        <is>
          <t>NAUTICA CLASSICS</t>
        </is>
      </c>
      <c r="B1791" t="inlineStr">
        <is>
          <t>117005414</t>
        </is>
      </c>
      <c r="C1791" t="inlineStr">
        <is>
          <t>SOFTSHELL JACKET W/ BELT</t>
        </is>
      </c>
      <c r="D1791" t="inlineStr">
        <is>
          <t>OXA</t>
        </is>
      </c>
      <c r="E1791" t="inlineStr">
        <is>
          <t>(en blanco)</t>
        </is>
      </c>
      <c r="F1791" t="inlineStr">
        <is>
          <t>(en blanco)</t>
        </is>
      </c>
      <c r="G1791" t="inlineStr">
        <is>
          <t>XL</t>
        </is>
      </c>
      <c r="H1791" t="n">
        <v>2</v>
      </c>
      <c r="I1791" t="inlineStr">
        <is>
          <t>NAUTICA_CLASSICS_117005414_OXA_1.jpg</t>
        </is>
      </c>
      <c r="J1791" t="inlineStr">
        <is>
          <t>NAUTICA_CLASSICS_117005414_OXA_2.jpg</t>
        </is>
      </c>
      <c r="K1791" t="inlineStr">
        <is>
          <t>NAUTICA_CLASSICS_117005414_OXA_3.jpg</t>
        </is>
      </c>
      <c r="L1791">
        <f>IMAGE("file:///E:/Estudios%20y%20certificaciones/ESTUDIOS%20DE%20PROGRAMMING/PROGRAMMING/PERSONAL/PYTHON/Image_Generator_API/imagenes/NAUTICA_CLASSICS_117005414_OXA_1.jpg")</f>
        <v/>
      </c>
      <c r="M1791">
        <f>IMAGE("file:///E:/Estudios%20y%20certificaciones/ESTUDIOS%20DE%20PROGRAMMING/PROGRAMMING/PERSONAL/PYTHON/Image_Generator_API/imagenes/NAUTICA_CLASSICS_117005414_OXA_2.jpg")</f>
        <v/>
      </c>
      <c r="N1791">
        <f>IMAGE("file:///E:/Estudios%20y%20certificaciones/ESTUDIOS%20DE%20PROGRAMMING/PROGRAMMING/PERSONAL/PYTHON/Image_Generator_API/imagenes/NAUTICA_CLASSICS_117005414_OXA_3.jpg")</f>
        <v/>
      </c>
      <c r="O1791">
        <f>HYPERLINK("imagenes/NAUTICA_CLASSICS_117005414_OXA_1.jpg","Ver imagen")</f>
        <v/>
      </c>
      <c r="P1791">
        <f>HYPERLINK("imagenes/NAUTICA_CLASSICS_117005414_OXA_2.jpg","Ver imagen")</f>
        <v/>
      </c>
      <c r="Q1791">
        <f>HYPERLINK("imagenes/NAUTICA_CLASSICS_117005414_OXA_3.jpg","Ver imagen")</f>
        <v/>
      </c>
    </row>
    <row r="1792">
      <c r="A1792" t="inlineStr">
        <is>
          <t>NAUTICA CLASSICS</t>
        </is>
      </c>
      <c r="B1792" t="inlineStr">
        <is>
          <t>117005573</t>
        </is>
      </c>
      <c r="C1792" t="inlineStr">
        <is>
          <t>MAXI PUFFER</t>
        </is>
      </c>
      <c r="D1792" t="inlineStr">
        <is>
          <t>BLK</t>
        </is>
      </c>
      <c r="E1792" t="inlineStr">
        <is>
          <t>08A05</t>
        </is>
      </c>
      <c r="F1792" t="inlineStr">
        <is>
          <t>(en blanco)</t>
        </is>
      </c>
      <c r="G1792" t="inlineStr">
        <is>
          <t>PPK</t>
        </is>
      </c>
      <c r="H1792" t="n">
        <v>6384</v>
      </c>
      <c r="I1792" t="inlineStr">
        <is>
          <t>NAUTICA_CLASSICS_117005573_BLK_1.jpg</t>
        </is>
      </c>
      <c r="J1792" t="inlineStr">
        <is>
          <t>NAUTICA_CLASSICS_117005573_BLK_2.jpg</t>
        </is>
      </c>
      <c r="K1792" t="inlineStr">
        <is>
          <t>NAUTICA_CLASSICS_117005573_BLK_3.jpg</t>
        </is>
      </c>
      <c r="L1792">
        <f>IMAGE("file:///E:/Estudios%20y%20certificaciones/ESTUDIOS%20DE%20PROGRAMMING/PROGRAMMING/PERSONAL/PYTHON/Image_Generator_API/imagenes/NAUTICA_CLASSICS_117005573_BLK_1.jpg")</f>
        <v/>
      </c>
      <c r="M1792">
        <f>IMAGE("file:///E:/Estudios%20y%20certificaciones/ESTUDIOS%20DE%20PROGRAMMING/PROGRAMMING/PERSONAL/PYTHON/Image_Generator_API/imagenes/NAUTICA_CLASSICS_117005573_BLK_2.jpg")</f>
        <v/>
      </c>
      <c r="N1792">
        <f>IMAGE("file:///E:/Estudios%20y%20certificaciones/ESTUDIOS%20DE%20PROGRAMMING/PROGRAMMING/PERSONAL/PYTHON/Image_Generator_API/imagenes/NAUTICA_CLASSICS_117005573_BLK_3.jpg")</f>
        <v/>
      </c>
      <c r="O1792">
        <f>HYPERLINK("imagenes/NAUTICA_CLASSICS_117005573_BLK_1.jpg","Ver imagen")</f>
        <v/>
      </c>
      <c r="P1792">
        <f>HYPERLINK("imagenes/NAUTICA_CLASSICS_117005573_BLK_2.jpg","Ver imagen")</f>
        <v/>
      </c>
      <c r="Q1792">
        <f>HYPERLINK("imagenes/NAUTICA_CLASSICS_117005573_BLK_3.jpg","Ver imagen")</f>
        <v/>
      </c>
    </row>
    <row r="1793">
      <c r="A1793" t="inlineStr">
        <is>
          <t>NAUTICA CLASSICS</t>
        </is>
      </c>
      <c r="B1793" t="inlineStr">
        <is>
          <t>117005573</t>
        </is>
      </c>
      <c r="C1793" t="inlineStr">
        <is>
          <t>MAXI PUFFER</t>
        </is>
      </c>
      <c r="D1793" t="inlineStr">
        <is>
          <t>BLK</t>
        </is>
      </c>
      <c r="E1793" t="inlineStr">
        <is>
          <t>(en blanco)</t>
        </is>
      </c>
      <c r="F1793" t="inlineStr">
        <is>
          <t>D2C</t>
        </is>
      </c>
      <c r="G1793" t="inlineStr">
        <is>
          <t>XS</t>
        </is>
      </c>
      <c r="H1793" t="n">
        <v>3</v>
      </c>
      <c r="I1793" t="inlineStr">
        <is>
          <t>NAUTICA_CLASSICS_117005573_BLK_1.jpg</t>
        </is>
      </c>
      <c r="J1793" t="inlineStr">
        <is>
          <t>NAUTICA_CLASSICS_117005573_BLK_2.jpg</t>
        </is>
      </c>
      <c r="K1793" t="inlineStr">
        <is>
          <t>NAUTICA_CLASSICS_117005573_BLK_3.jpg</t>
        </is>
      </c>
      <c r="L1793">
        <f>IMAGE("file:///E:/Estudios%20y%20certificaciones/ESTUDIOS%20DE%20PROGRAMMING/PROGRAMMING/PERSONAL/PYTHON/Image_Generator_API/imagenes/NAUTICA_CLASSICS_117005573_BLK_1.jpg")</f>
        <v/>
      </c>
      <c r="M1793">
        <f>IMAGE("file:///E:/Estudios%20y%20certificaciones/ESTUDIOS%20DE%20PROGRAMMING/PROGRAMMING/PERSONAL/PYTHON/Image_Generator_API/imagenes/NAUTICA_CLASSICS_117005573_BLK_2.jpg")</f>
        <v/>
      </c>
      <c r="N1793">
        <f>IMAGE("file:///E:/Estudios%20y%20certificaciones/ESTUDIOS%20DE%20PROGRAMMING/PROGRAMMING/PERSONAL/PYTHON/Image_Generator_API/imagenes/NAUTICA_CLASSICS_117005573_BLK_3.jpg")</f>
        <v/>
      </c>
      <c r="O1793">
        <f>HYPERLINK("imagenes/NAUTICA_CLASSICS_117005573_BLK_1.jpg","Ver imagen")</f>
        <v/>
      </c>
      <c r="P1793">
        <f>HYPERLINK("imagenes/NAUTICA_CLASSICS_117005573_BLK_2.jpg","Ver imagen")</f>
        <v/>
      </c>
      <c r="Q1793">
        <f>HYPERLINK("imagenes/NAUTICA_CLASSICS_117005573_BLK_3.jpg","Ver imagen")</f>
        <v/>
      </c>
    </row>
    <row r="1794">
      <c r="A1794" t="inlineStr">
        <is>
          <t>NAUTICA CLASSICS</t>
        </is>
      </c>
      <c r="B1794" t="inlineStr">
        <is>
          <t>117005573</t>
        </is>
      </c>
      <c r="C1794" t="inlineStr">
        <is>
          <t>MAXI PUFFER</t>
        </is>
      </c>
      <c r="D1794" t="inlineStr">
        <is>
          <t>BLK</t>
        </is>
      </c>
      <c r="E1794" t="inlineStr">
        <is>
          <t>(en blanco)</t>
        </is>
      </c>
      <c r="F1794" t="inlineStr">
        <is>
          <t>D2C</t>
        </is>
      </c>
      <c r="G1794" t="inlineStr">
        <is>
          <t>S</t>
        </is>
      </c>
      <c r="H1794" t="n">
        <v>33</v>
      </c>
      <c r="I1794" t="inlineStr">
        <is>
          <t>NAUTICA_CLASSICS_117005573_BLK_1.jpg</t>
        </is>
      </c>
      <c r="J1794" t="inlineStr">
        <is>
          <t>NAUTICA_CLASSICS_117005573_BLK_2.jpg</t>
        </is>
      </c>
      <c r="K1794" t="inlineStr">
        <is>
          <t>NAUTICA_CLASSICS_117005573_BLK_3.jpg</t>
        </is>
      </c>
      <c r="L1794">
        <f>IMAGE("file:///E:/Estudios%20y%20certificaciones/ESTUDIOS%20DE%20PROGRAMMING/PROGRAMMING/PERSONAL/PYTHON/Image_Generator_API/imagenes/NAUTICA_CLASSICS_117005573_BLK_1.jpg")</f>
        <v/>
      </c>
      <c r="M1794">
        <f>IMAGE("file:///E:/Estudios%20y%20certificaciones/ESTUDIOS%20DE%20PROGRAMMING/PROGRAMMING/PERSONAL/PYTHON/Image_Generator_API/imagenes/NAUTICA_CLASSICS_117005573_BLK_2.jpg")</f>
        <v/>
      </c>
      <c r="N1794">
        <f>IMAGE("file:///E:/Estudios%20y%20certificaciones/ESTUDIOS%20DE%20PROGRAMMING/PROGRAMMING/PERSONAL/PYTHON/Image_Generator_API/imagenes/NAUTICA_CLASSICS_117005573_BLK_3.jpg")</f>
        <v/>
      </c>
      <c r="O1794">
        <f>HYPERLINK("imagenes/NAUTICA_CLASSICS_117005573_BLK_1.jpg","Ver imagen")</f>
        <v/>
      </c>
      <c r="P1794">
        <f>HYPERLINK("imagenes/NAUTICA_CLASSICS_117005573_BLK_2.jpg","Ver imagen")</f>
        <v/>
      </c>
      <c r="Q1794">
        <f>HYPERLINK("imagenes/NAUTICA_CLASSICS_117005573_BLK_3.jpg","Ver imagen")</f>
        <v/>
      </c>
    </row>
    <row r="1795">
      <c r="A1795" t="inlineStr">
        <is>
          <t>NAUTICA CLASSICS</t>
        </is>
      </c>
      <c r="B1795" t="inlineStr">
        <is>
          <t>117005573</t>
        </is>
      </c>
      <c r="C1795" t="inlineStr">
        <is>
          <t>MAXI PUFFER</t>
        </is>
      </c>
      <c r="D1795" t="inlineStr">
        <is>
          <t>BLK</t>
        </is>
      </c>
      <c r="E1795" t="inlineStr">
        <is>
          <t>(en blanco)</t>
        </is>
      </c>
      <c r="F1795" t="inlineStr">
        <is>
          <t>D2C</t>
        </is>
      </c>
      <c r="G1795" t="inlineStr">
        <is>
          <t>M</t>
        </is>
      </c>
      <c r="H1795" t="n">
        <v>0</v>
      </c>
      <c r="I1795" t="inlineStr">
        <is>
          <t>NAUTICA_CLASSICS_117005573_BLK_1.jpg</t>
        </is>
      </c>
      <c r="J1795" t="inlineStr">
        <is>
          <t>NAUTICA_CLASSICS_117005573_BLK_2.jpg</t>
        </is>
      </c>
      <c r="K1795" t="inlineStr">
        <is>
          <t>NAUTICA_CLASSICS_117005573_BLK_3.jpg</t>
        </is>
      </c>
      <c r="L1795">
        <f>IMAGE("file:///E:/Estudios%20y%20certificaciones/ESTUDIOS%20DE%20PROGRAMMING/PROGRAMMING/PERSONAL/PYTHON/Image_Generator_API/imagenes/NAUTICA_CLASSICS_117005573_BLK_1.jpg")</f>
        <v/>
      </c>
      <c r="M1795">
        <f>IMAGE("file:///E:/Estudios%20y%20certificaciones/ESTUDIOS%20DE%20PROGRAMMING/PROGRAMMING/PERSONAL/PYTHON/Image_Generator_API/imagenes/NAUTICA_CLASSICS_117005573_BLK_2.jpg")</f>
        <v/>
      </c>
      <c r="N1795">
        <f>IMAGE("file:///E:/Estudios%20y%20certificaciones/ESTUDIOS%20DE%20PROGRAMMING/PROGRAMMING/PERSONAL/PYTHON/Image_Generator_API/imagenes/NAUTICA_CLASSICS_117005573_BLK_3.jpg")</f>
        <v/>
      </c>
      <c r="O1795">
        <f>HYPERLINK("imagenes/NAUTICA_CLASSICS_117005573_BLK_1.jpg","Ver imagen")</f>
        <v/>
      </c>
      <c r="P1795">
        <f>HYPERLINK("imagenes/NAUTICA_CLASSICS_117005573_BLK_2.jpg","Ver imagen")</f>
        <v/>
      </c>
      <c r="Q1795">
        <f>HYPERLINK("imagenes/NAUTICA_CLASSICS_117005573_BLK_3.jpg","Ver imagen")</f>
        <v/>
      </c>
    </row>
    <row r="1796">
      <c r="A1796" t="inlineStr">
        <is>
          <t>NAUTICA CLASSICS</t>
        </is>
      </c>
      <c r="B1796" t="inlineStr">
        <is>
          <t>117005820</t>
        </is>
      </c>
      <c r="C1796" t="inlineStr">
        <is>
          <t>SOFTSHELL JACKET</t>
        </is>
      </c>
      <c r="D1796" t="inlineStr">
        <is>
          <t>B7H</t>
        </is>
      </c>
      <c r="E1796" t="inlineStr">
        <is>
          <t>(en blanco)</t>
        </is>
      </c>
      <c r="F1796" t="inlineStr">
        <is>
          <t>(en blanco)</t>
        </is>
      </c>
      <c r="G1796" t="inlineStr">
        <is>
          <t>XS</t>
        </is>
      </c>
      <c r="H1796" t="n">
        <v>129</v>
      </c>
      <c r="I1796" t="inlineStr">
        <is>
          <t>NAUTICA_CLASSICS_117005820_B7H_1.jpg</t>
        </is>
      </c>
      <c r="J1796" t="inlineStr">
        <is>
          <t>NAUTICA_CLASSICS_117005820_B7H_2.jpg</t>
        </is>
      </c>
      <c r="K1796" t="inlineStr">
        <is>
          <t>NAUTICA_CLASSICS_117005820_B7H_3.jpg</t>
        </is>
      </c>
      <c r="L1796">
        <f>IMAGE("file:///E:/Estudios%20y%20certificaciones/ESTUDIOS%20DE%20PROGRAMMING/PROGRAMMING/PERSONAL/PYTHON/Image_Generator_API/imagenes/NAUTICA_CLASSICS_117005820_B7H_1.jpg")</f>
        <v/>
      </c>
      <c r="M1796">
        <f>IMAGE("file:///E:/Estudios%20y%20certificaciones/ESTUDIOS%20DE%20PROGRAMMING/PROGRAMMING/PERSONAL/PYTHON/Image_Generator_API/imagenes/NAUTICA_CLASSICS_117005820_B7H_2.jpg")</f>
        <v/>
      </c>
      <c r="N1796">
        <f>IMAGE("file:///E:/Estudios%20y%20certificaciones/ESTUDIOS%20DE%20PROGRAMMING/PROGRAMMING/PERSONAL/PYTHON/Image_Generator_API/imagenes/NAUTICA_CLASSICS_117005820_B7H_3.jpg")</f>
        <v/>
      </c>
      <c r="O1796">
        <f>HYPERLINK("imagenes/NAUTICA_CLASSICS_117005820_B7H_1.jpg","Ver imagen")</f>
        <v/>
      </c>
      <c r="P1796">
        <f>HYPERLINK("imagenes/NAUTICA_CLASSICS_117005820_B7H_2.jpg","Ver imagen")</f>
        <v/>
      </c>
      <c r="Q1796">
        <f>HYPERLINK("imagenes/NAUTICA_CLASSICS_117005820_B7H_3.jpg","Ver imagen")</f>
        <v/>
      </c>
    </row>
    <row r="1797">
      <c r="A1797" t="inlineStr">
        <is>
          <t>NAUTICA CLASSICS</t>
        </is>
      </c>
      <c r="B1797" t="inlineStr">
        <is>
          <t>117005820</t>
        </is>
      </c>
      <c r="C1797" t="inlineStr">
        <is>
          <t>SOFTSHELL JACKET</t>
        </is>
      </c>
      <c r="D1797" t="inlineStr">
        <is>
          <t>B7H</t>
        </is>
      </c>
      <c r="E1797" t="inlineStr">
        <is>
          <t>(en blanco)</t>
        </is>
      </c>
      <c r="F1797" t="inlineStr">
        <is>
          <t>(en blanco)</t>
        </is>
      </c>
      <c r="G1797" t="inlineStr">
        <is>
          <t>S</t>
        </is>
      </c>
      <c r="H1797" t="n">
        <v>187</v>
      </c>
      <c r="I1797" t="inlineStr">
        <is>
          <t>NAUTICA_CLASSICS_117005820_B7H_1.jpg</t>
        </is>
      </c>
      <c r="J1797" t="inlineStr">
        <is>
          <t>NAUTICA_CLASSICS_117005820_B7H_2.jpg</t>
        </is>
      </c>
      <c r="K1797" t="inlineStr">
        <is>
          <t>NAUTICA_CLASSICS_117005820_B7H_3.jpg</t>
        </is>
      </c>
      <c r="L1797">
        <f>IMAGE("file:///E:/Estudios%20y%20certificaciones/ESTUDIOS%20DE%20PROGRAMMING/PROGRAMMING/PERSONAL/PYTHON/Image_Generator_API/imagenes/NAUTICA_CLASSICS_117005820_B7H_1.jpg")</f>
        <v/>
      </c>
      <c r="M1797">
        <f>IMAGE("file:///E:/Estudios%20y%20certificaciones/ESTUDIOS%20DE%20PROGRAMMING/PROGRAMMING/PERSONAL/PYTHON/Image_Generator_API/imagenes/NAUTICA_CLASSICS_117005820_B7H_2.jpg")</f>
        <v/>
      </c>
      <c r="N1797">
        <f>IMAGE("file:///E:/Estudios%20y%20certificaciones/ESTUDIOS%20DE%20PROGRAMMING/PROGRAMMING/PERSONAL/PYTHON/Image_Generator_API/imagenes/NAUTICA_CLASSICS_117005820_B7H_3.jpg")</f>
        <v/>
      </c>
      <c r="O1797">
        <f>HYPERLINK("imagenes/NAUTICA_CLASSICS_117005820_B7H_1.jpg","Ver imagen")</f>
        <v/>
      </c>
      <c r="P1797">
        <f>HYPERLINK("imagenes/NAUTICA_CLASSICS_117005820_B7H_2.jpg","Ver imagen")</f>
        <v/>
      </c>
      <c r="Q1797">
        <f>HYPERLINK("imagenes/NAUTICA_CLASSICS_117005820_B7H_3.jpg","Ver imagen")</f>
        <v/>
      </c>
    </row>
    <row r="1798">
      <c r="A1798" t="inlineStr">
        <is>
          <t>NAUTICA CLASSICS</t>
        </is>
      </c>
      <c r="B1798" t="inlineStr">
        <is>
          <t>117005820</t>
        </is>
      </c>
      <c r="C1798" t="inlineStr">
        <is>
          <t>SOFTSHELL JACKET</t>
        </is>
      </c>
      <c r="D1798" t="inlineStr">
        <is>
          <t>B7H</t>
        </is>
      </c>
      <c r="E1798" t="inlineStr">
        <is>
          <t>(en blanco)</t>
        </is>
      </c>
      <c r="F1798" t="inlineStr">
        <is>
          <t>(en blanco)</t>
        </is>
      </c>
      <c r="G1798" t="inlineStr">
        <is>
          <t>M</t>
        </is>
      </c>
      <c r="H1798" t="n">
        <v>307</v>
      </c>
      <c r="I1798" t="inlineStr">
        <is>
          <t>NAUTICA_CLASSICS_117005820_B7H_1.jpg</t>
        </is>
      </c>
      <c r="J1798" t="inlineStr">
        <is>
          <t>NAUTICA_CLASSICS_117005820_B7H_2.jpg</t>
        </is>
      </c>
      <c r="K1798" t="inlineStr">
        <is>
          <t>NAUTICA_CLASSICS_117005820_B7H_3.jpg</t>
        </is>
      </c>
      <c r="L1798">
        <f>IMAGE("file:///E:/Estudios%20y%20certificaciones/ESTUDIOS%20DE%20PROGRAMMING/PROGRAMMING/PERSONAL/PYTHON/Image_Generator_API/imagenes/NAUTICA_CLASSICS_117005820_B7H_1.jpg")</f>
        <v/>
      </c>
      <c r="M1798">
        <f>IMAGE("file:///E:/Estudios%20y%20certificaciones/ESTUDIOS%20DE%20PROGRAMMING/PROGRAMMING/PERSONAL/PYTHON/Image_Generator_API/imagenes/NAUTICA_CLASSICS_117005820_B7H_2.jpg")</f>
        <v/>
      </c>
      <c r="N1798">
        <f>IMAGE("file:///E:/Estudios%20y%20certificaciones/ESTUDIOS%20DE%20PROGRAMMING/PROGRAMMING/PERSONAL/PYTHON/Image_Generator_API/imagenes/NAUTICA_CLASSICS_117005820_B7H_3.jpg")</f>
        <v/>
      </c>
      <c r="O1798">
        <f>HYPERLINK("imagenes/NAUTICA_CLASSICS_117005820_B7H_1.jpg","Ver imagen")</f>
        <v/>
      </c>
      <c r="P1798">
        <f>HYPERLINK("imagenes/NAUTICA_CLASSICS_117005820_B7H_2.jpg","Ver imagen")</f>
        <v/>
      </c>
      <c r="Q1798">
        <f>HYPERLINK("imagenes/NAUTICA_CLASSICS_117005820_B7H_3.jpg","Ver imagen")</f>
        <v/>
      </c>
    </row>
    <row r="1799">
      <c r="A1799" t="inlineStr">
        <is>
          <t>NAUTICA CLASSICS</t>
        </is>
      </c>
      <c r="B1799" t="inlineStr">
        <is>
          <t>117005820</t>
        </is>
      </c>
      <c r="C1799" t="inlineStr">
        <is>
          <t>SOFTSHELL JACKET</t>
        </is>
      </c>
      <c r="D1799" t="inlineStr">
        <is>
          <t>B7H</t>
        </is>
      </c>
      <c r="E1799" t="inlineStr">
        <is>
          <t>(en blanco)</t>
        </is>
      </c>
      <c r="F1799" t="inlineStr">
        <is>
          <t>(en blanco)</t>
        </is>
      </c>
      <c r="G1799" t="inlineStr">
        <is>
          <t>L</t>
        </is>
      </c>
      <c r="H1799" t="n">
        <v>209</v>
      </c>
      <c r="I1799" t="inlineStr">
        <is>
          <t>NAUTICA_CLASSICS_117005820_B7H_1.jpg</t>
        </is>
      </c>
      <c r="J1799" t="inlineStr">
        <is>
          <t>NAUTICA_CLASSICS_117005820_B7H_2.jpg</t>
        </is>
      </c>
      <c r="K1799" t="inlineStr">
        <is>
          <t>NAUTICA_CLASSICS_117005820_B7H_3.jpg</t>
        </is>
      </c>
      <c r="L1799">
        <f>IMAGE("file:///E:/Estudios%20y%20certificaciones/ESTUDIOS%20DE%20PROGRAMMING/PROGRAMMING/PERSONAL/PYTHON/Image_Generator_API/imagenes/NAUTICA_CLASSICS_117005820_B7H_1.jpg")</f>
        <v/>
      </c>
      <c r="M1799">
        <f>IMAGE("file:///E:/Estudios%20y%20certificaciones/ESTUDIOS%20DE%20PROGRAMMING/PROGRAMMING/PERSONAL/PYTHON/Image_Generator_API/imagenes/NAUTICA_CLASSICS_117005820_B7H_2.jpg")</f>
        <v/>
      </c>
      <c r="N1799">
        <f>IMAGE("file:///E:/Estudios%20y%20certificaciones/ESTUDIOS%20DE%20PROGRAMMING/PROGRAMMING/PERSONAL/PYTHON/Image_Generator_API/imagenes/NAUTICA_CLASSICS_117005820_B7H_3.jpg")</f>
        <v/>
      </c>
      <c r="O1799">
        <f>HYPERLINK("imagenes/NAUTICA_CLASSICS_117005820_B7H_1.jpg","Ver imagen")</f>
        <v/>
      </c>
      <c r="P1799">
        <f>HYPERLINK("imagenes/NAUTICA_CLASSICS_117005820_B7H_2.jpg","Ver imagen")</f>
        <v/>
      </c>
      <c r="Q1799">
        <f>HYPERLINK("imagenes/NAUTICA_CLASSICS_117005820_B7H_3.jpg","Ver imagen")</f>
        <v/>
      </c>
    </row>
    <row r="1800">
      <c r="A1800" t="inlineStr">
        <is>
          <t>NAUTICA CLASSICS</t>
        </is>
      </c>
      <c r="B1800" t="inlineStr">
        <is>
          <t>117005820</t>
        </is>
      </c>
      <c r="C1800" t="inlineStr">
        <is>
          <t>SOFTSHELL JACKET</t>
        </is>
      </c>
      <c r="D1800" t="inlineStr">
        <is>
          <t>B7H</t>
        </is>
      </c>
      <c r="E1800" t="inlineStr">
        <is>
          <t>(en blanco)</t>
        </is>
      </c>
      <c r="F1800" t="inlineStr">
        <is>
          <t>(en blanco)</t>
        </is>
      </c>
      <c r="G1800" t="inlineStr">
        <is>
          <t>XL</t>
        </is>
      </c>
      <c r="H1800" t="n">
        <v>122</v>
      </c>
      <c r="I1800" t="inlineStr">
        <is>
          <t>NAUTICA_CLASSICS_117005820_B7H_1.jpg</t>
        </is>
      </c>
      <c r="J1800" t="inlineStr">
        <is>
          <t>NAUTICA_CLASSICS_117005820_B7H_2.jpg</t>
        </is>
      </c>
      <c r="K1800" t="inlineStr">
        <is>
          <t>NAUTICA_CLASSICS_117005820_B7H_3.jpg</t>
        </is>
      </c>
      <c r="L1800">
        <f>IMAGE("file:///E:/Estudios%20y%20certificaciones/ESTUDIOS%20DE%20PROGRAMMING/PROGRAMMING/PERSONAL/PYTHON/Image_Generator_API/imagenes/NAUTICA_CLASSICS_117005820_B7H_1.jpg")</f>
        <v/>
      </c>
      <c r="M1800">
        <f>IMAGE("file:///E:/Estudios%20y%20certificaciones/ESTUDIOS%20DE%20PROGRAMMING/PROGRAMMING/PERSONAL/PYTHON/Image_Generator_API/imagenes/NAUTICA_CLASSICS_117005820_B7H_2.jpg")</f>
        <v/>
      </c>
      <c r="N1800">
        <f>IMAGE("file:///E:/Estudios%20y%20certificaciones/ESTUDIOS%20DE%20PROGRAMMING/PROGRAMMING/PERSONAL/PYTHON/Image_Generator_API/imagenes/NAUTICA_CLASSICS_117005820_B7H_3.jpg")</f>
        <v/>
      </c>
      <c r="O1800">
        <f>HYPERLINK("imagenes/NAUTICA_CLASSICS_117005820_B7H_1.jpg","Ver imagen")</f>
        <v/>
      </c>
      <c r="P1800">
        <f>HYPERLINK("imagenes/NAUTICA_CLASSICS_117005820_B7H_2.jpg","Ver imagen")</f>
        <v/>
      </c>
      <c r="Q1800">
        <f>HYPERLINK("imagenes/NAUTICA_CLASSICS_117005820_B7H_3.jpg","Ver imagen")</f>
        <v/>
      </c>
    </row>
    <row r="1801">
      <c r="A1801" t="inlineStr">
        <is>
          <t>NAUTICA CLASSICS</t>
        </is>
      </c>
      <c r="B1801" t="inlineStr">
        <is>
          <t>117005820</t>
        </is>
      </c>
      <c r="C1801" t="inlineStr">
        <is>
          <t>SOFTSHELL JACKET</t>
        </is>
      </c>
      <c r="D1801" t="inlineStr">
        <is>
          <t>BLK</t>
        </is>
      </c>
      <c r="E1801" t="inlineStr">
        <is>
          <t>(en blanco)</t>
        </is>
      </c>
      <c r="F1801" t="inlineStr">
        <is>
          <t>(en blanco)</t>
        </is>
      </c>
      <c r="G1801" t="inlineStr">
        <is>
          <t>XS</t>
        </is>
      </c>
      <c r="H1801" t="n">
        <v>60</v>
      </c>
      <c r="I1801" t="inlineStr">
        <is>
          <t>NAUTICA_CLASSICS_117005820_BLK_1.jpg</t>
        </is>
      </c>
      <c r="J1801" t="inlineStr">
        <is>
          <t>NAUTICA_CLASSICS_117005820_BLK_2.jpg</t>
        </is>
      </c>
      <c r="K1801" t="inlineStr">
        <is>
          <t>NAUTICA_CLASSICS_117005820_BLK_3.jpg</t>
        </is>
      </c>
      <c r="L1801">
        <f>IMAGE("file:///E:/Estudios%20y%20certificaciones/ESTUDIOS%20DE%20PROGRAMMING/PROGRAMMING/PERSONAL/PYTHON/Image_Generator_API/imagenes/NAUTICA_CLASSICS_117005820_BLK_1.jpg")</f>
        <v/>
      </c>
      <c r="M1801">
        <f>IMAGE("file:///E:/Estudios%20y%20certificaciones/ESTUDIOS%20DE%20PROGRAMMING/PROGRAMMING/PERSONAL/PYTHON/Image_Generator_API/imagenes/NAUTICA_CLASSICS_117005820_BLK_2.jpg")</f>
        <v/>
      </c>
      <c r="N1801">
        <f>IMAGE("file:///E:/Estudios%20y%20certificaciones/ESTUDIOS%20DE%20PROGRAMMING/PROGRAMMING/PERSONAL/PYTHON/Image_Generator_API/imagenes/NAUTICA_CLASSICS_117005820_BLK_3.jpg")</f>
        <v/>
      </c>
      <c r="O1801">
        <f>HYPERLINK("imagenes/NAUTICA_CLASSICS_117005820_BLK_1.jpg","Ver imagen")</f>
        <v/>
      </c>
      <c r="P1801">
        <f>HYPERLINK("imagenes/NAUTICA_CLASSICS_117005820_BLK_2.jpg","Ver imagen")</f>
        <v/>
      </c>
      <c r="Q1801">
        <f>HYPERLINK("imagenes/NAUTICA_CLASSICS_117005820_BLK_3.jpg","Ver imagen")</f>
        <v/>
      </c>
    </row>
    <row r="1802">
      <c r="A1802" t="inlineStr">
        <is>
          <t>NAUTICA CLASSICS</t>
        </is>
      </c>
      <c r="B1802" t="inlineStr">
        <is>
          <t>117005820</t>
        </is>
      </c>
      <c r="C1802" t="inlineStr">
        <is>
          <t>SOFTSHELL JACKET</t>
        </is>
      </c>
      <c r="D1802" t="inlineStr">
        <is>
          <t>BLK</t>
        </is>
      </c>
      <c r="E1802" t="inlineStr">
        <is>
          <t>(en blanco)</t>
        </is>
      </c>
      <c r="F1802" t="inlineStr">
        <is>
          <t>(en blanco)</t>
        </is>
      </c>
      <c r="G1802" t="inlineStr">
        <is>
          <t>S</t>
        </is>
      </c>
      <c r="H1802" t="n">
        <v>253</v>
      </c>
      <c r="I1802" t="inlineStr">
        <is>
          <t>NAUTICA_CLASSICS_117005820_BLK_1.jpg</t>
        </is>
      </c>
      <c r="J1802" t="inlineStr">
        <is>
          <t>NAUTICA_CLASSICS_117005820_BLK_2.jpg</t>
        </is>
      </c>
      <c r="K1802" t="inlineStr">
        <is>
          <t>NAUTICA_CLASSICS_117005820_BLK_3.jpg</t>
        </is>
      </c>
      <c r="L1802">
        <f>IMAGE("file:///E:/Estudios%20y%20certificaciones/ESTUDIOS%20DE%20PROGRAMMING/PROGRAMMING/PERSONAL/PYTHON/Image_Generator_API/imagenes/NAUTICA_CLASSICS_117005820_BLK_1.jpg")</f>
        <v/>
      </c>
      <c r="M1802">
        <f>IMAGE("file:///E:/Estudios%20y%20certificaciones/ESTUDIOS%20DE%20PROGRAMMING/PROGRAMMING/PERSONAL/PYTHON/Image_Generator_API/imagenes/NAUTICA_CLASSICS_117005820_BLK_2.jpg")</f>
        <v/>
      </c>
      <c r="N1802">
        <f>IMAGE("file:///E:/Estudios%20y%20certificaciones/ESTUDIOS%20DE%20PROGRAMMING/PROGRAMMING/PERSONAL/PYTHON/Image_Generator_API/imagenes/NAUTICA_CLASSICS_117005820_BLK_3.jpg")</f>
        <v/>
      </c>
      <c r="O1802">
        <f>HYPERLINK("imagenes/NAUTICA_CLASSICS_117005820_BLK_1.jpg","Ver imagen")</f>
        <v/>
      </c>
      <c r="P1802">
        <f>HYPERLINK("imagenes/NAUTICA_CLASSICS_117005820_BLK_2.jpg","Ver imagen")</f>
        <v/>
      </c>
      <c r="Q1802">
        <f>HYPERLINK("imagenes/NAUTICA_CLASSICS_117005820_BLK_3.jpg","Ver imagen")</f>
        <v/>
      </c>
    </row>
    <row r="1803">
      <c r="A1803" t="inlineStr">
        <is>
          <t>NAUTICA CLASSICS</t>
        </is>
      </c>
      <c r="B1803" t="inlineStr">
        <is>
          <t>117005820</t>
        </is>
      </c>
      <c r="C1803" t="inlineStr">
        <is>
          <t>SOFTSHELL JACKET</t>
        </is>
      </c>
      <c r="D1803" t="inlineStr">
        <is>
          <t>BLK</t>
        </is>
      </c>
      <c r="E1803" t="inlineStr">
        <is>
          <t>(en blanco)</t>
        </is>
      </c>
      <c r="F1803" t="inlineStr">
        <is>
          <t>(en blanco)</t>
        </is>
      </c>
      <c r="G1803" t="inlineStr">
        <is>
          <t>M</t>
        </is>
      </c>
      <c r="H1803" t="n">
        <v>361</v>
      </c>
      <c r="I1803" t="inlineStr">
        <is>
          <t>NAUTICA_CLASSICS_117005820_BLK_1.jpg</t>
        </is>
      </c>
      <c r="J1803" t="inlineStr">
        <is>
          <t>NAUTICA_CLASSICS_117005820_BLK_2.jpg</t>
        </is>
      </c>
      <c r="K1803" t="inlineStr">
        <is>
          <t>NAUTICA_CLASSICS_117005820_BLK_3.jpg</t>
        </is>
      </c>
      <c r="L1803">
        <f>IMAGE("file:///E:/Estudios%20y%20certificaciones/ESTUDIOS%20DE%20PROGRAMMING/PROGRAMMING/PERSONAL/PYTHON/Image_Generator_API/imagenes/NAUTICA_CLASSICS_117005820_BLK_1.jpg")</f>
        <v/>
      </c>
      <c r="M1803">
        <f>IMAGE("file:///E:/Estudios%20y%20certificaciones/ESTUDIOS%20DE%20PROGRAMMING/PROGRAMMING/PERSONAL/PYTHON/Image_Generator_API/imagenes/NAUTICA_CLASSICS_117005820_BLK_2.jpg")</f>
        <v/>
      </c>
      <c r="N1803">
        <f>IMAGE("file:///E:/Estudios%20y%20certificaciones/ESTUDIOS%20DE%20PROGRAMMING/PROGRAMMING/PERSONAL/PYTHON/Image_Generator_API/imagenes/NAUTICA_CLASSICS_117005820_BLK_3.jpg")</f>
        <v/>
      </c>
      <c r="O1803">
        <f>HYPERLINK("imagenes/NAUTICA_CLASSICS_117005820_BLK_1.jpg","Ver imagen")</f>
        <v/>
      </c>
      <c r="P1803">
        <f>HYPERLINK("imagenes/NAUTICA_CLASSICS_117005820_BLK_2.jpg","Ver imagen")</f>
        <v/>
      </c>
      <c r="Q1803">
        <f>HYPERLINK("imagenes/NAUTICA_CLASSICS_117005820_BLK_3.jpg","Ver imagen")</f>
        <v/>
      </c>
    </row>
    <row r="1804">
      <c r="A1804" t="inlineStr">
        <is>
          <t>NAUTICA CLASSICS</t>
        </is>
      </c>
      <c r="B1804" t="inlineStr">
        <is>
          <t>117005820</t>
        </is>
      </c>
      <c r="C1804" t="inlineStr">
        <is>
          <t>SOFTSHELL JACKET</t>
        </is>
      </c>
      <c r="D1804" t="inlineStr">
        <is>
          <t>BLK</t>
        </is>
      </c>
      <c r="E1804" t="inlineStr">
        <is>
          <t>(en blanco)</t>
        </is>
      </c>
      <c r="F1804" t="inlineStr">
        <is>
          <t>(en blanco)</t>
        </is>
      </c>
      <c r="G1804" t="inlineStr">
        <is>
          <t>L</t>
        </is>
      </c>
      <c r="H1804" t="n">
        <v>177</v>
      </c>
      <c r="I1804" t="inlineStr">
        <is>
          <t>NAUTICA_CLASSICS_117005820_BLK_1.jpg</t>
        </is>
      </c>
      <c r="J1804" t="inlineStr">
        <is>
          <t>NAUTICA_CLASSICS_117005820_BLK_2.jpg</t>
        </is>
      </c>
      <c r="K1804" t="inlineStr">
        <is>
          <t>NAUTICA_CLASSICS_117005820_BLK_3.jpg</t>
        </is>
      </c>
      <c r="L1804">
        <f>IMAGE("file:///E:/Estudios%20y%20certificaciones/ESTUDIOS%20DE%20PROGRAMMING/PROGRAMMING/PERSONAL/PYTHON/Image_Generator_API/imagenes/NAUTICA_CLASSICS_117005820_BLK_1.jpg")</f>
        <v/>
      </c>
      <c r="M1804">
        <f>IMAGE("file:///E:/Estudios%20y%20certificaciones/ESTUDIOS%20DE%20PROGRAMMING/PROGRAMMING/PERSONAL/PYTHON/Image_Generator_API/imagenes/NAUTICA_CLASSICS_117005820_BLK_2.jpg")</f>
        <v/>
      </c>
      <c r="N1804">
        <f>IMAGE("file:///E:/Estudios%20y%20certificaciones/ESTUDIOS%20DE%20PROGRAMMING/PROGRAMMING/PERSONAL/PYTHON/Image_Generator_API/imagenes/NAUTICA_CLASSICS_117005820_BLK_3.jpg")</f>
        <v/>
      </c>
      <c r="O1804">
        <f>HYPERLINK("imagenes/NAUTICA_CLASSICS_117005820_BLK_1.jpg","Ver imagen")</f>
        <v/>
      </c>
      <c r="P1804">
        <f>HYPERLINK("imagenes/NAUTICA_CLASSICS_117005820_BLK_2.jpg","Ver imagen")</f>
        <v/>
      </c>
      <c r="Q1804">
        <f>HYPERLINK("imagenes/NAUTICA_CLASSICS_117005820_BLK_3.jpg","Ver imagen")</f>
        <v/>
      </c>
    </row>
    <row r="1805">
      <c r="A1805" t="inlineStr">
        <is>
          <t>NAUTICA CLASSICS</t>
        </is>
      </c>
      <c r="B1805" t="inlineStr">
        <is>
          <t>117005820</t>
        </is>
      </c>
      <c r="C1805" t="inlineStr">
        <is>
          <t>SOFTSHELL JACKET</t>
        </is>
      </c>
      <c r="D1805" t="inlineStr">
        <is>
          <t>BLK</t>
        </is>
      </c>
      <c r="E1805" t="inlineStr">
        <is>
          <t>(en blanco)</t>
        </is>
      </c>
      <c r="F1805" t="inlineStr">
        <is>
          <t>(en blanco)</t>
        </is>
      </c>
      <c r="G1805" t="inlineStr">
        <is>
          <t>XL</t>
        </is>
      </c>
      <c r="H1805" t="n">
        <v>132</v>
      </c>
      <c r="I1805" t="inlineStr">
        <is>
          <t>NAUTICA_CLASSICS_117005820_BLK_1.jpg</t>
        </is>
      </c>
      <c r="J1805" t="inlineStr">
        <is>
          <t>NAUTICA_CLASSICS_117005820_BLK_2.jpg</t>
        </is>
      </c>
      <c r="K1805" t="inlineStr">
        <is>
          <t>NAUTICA_CLASSICS_117005820_BLK_3.jpg</t>
        </is>
      </c>
      <c r="L1805">
        <f>IMAGE("file:///E:/Estudios%20y%20certificaciones/ESTUDIOS%20DE%20PROGRAMMING/PROGRAMMING/PERSONAL/PYTHON/Image_Generator_API/imagenes/NAUTICA_CLASSICS_117005820_BLK_1.jpg")</f>
        <v/>
      </c>
      <c r="M1805">
        <f>IMAGE("file:///E:/Estudios%20y%20certificaciones/ESTUDIOS%20DE%20PROGRAMMING/PROGRAMMING/PERSONAL/PYTHON/Image_Generator_API/imagenes/NAUTICA_CLASSICS_117005820_BLK_2.jpg")</f>
        <v/>
      </c>
      <c r="N1805">
        <f>IMAGE("file:///E:/Estudios%20y%20certificaciones/ESTUDIOS%20DE%20PROGRAMMING/PROGRAMMING/PERSONAL/PYTHON/Image_Generator_API/imagenes/NAUTICA_CLASSICS_117005820_BLK_3.jpg")</f>
        <v/>
      </c>
      <c r="O1805">
        <f>HYPERLINK("imagenes/NAUTICA_CLASSICS_117005820_BLK_1.jpg","Ver imagen")</f>
        <v/>
      </c>
      <c r="P1805">
        <f>HYPERLINK("imagenes/NAUTICA_CLASSICS_117005820_BLK_2.jpg","Ver imagen")</f>
        <v/>
      </c>
      <c r="Q1805">
        <f>HYPERLINK("imagenes/NAUTICA_CLASSICS_117005820_BLK_3.jpg","Ver imagen")</f>
        <v/>
      </c>
    </row>
    <row r="1806">
      <c r="A1806" t="inlineStr">
        <is>
          <t>NAUTICA CLASSICS</t>
        </is>
      </c>
      <c r="B1806" t="inlineStr">
        <is>
          <t>117007712</t>
        </is>
      </c>
      <c r="C1806" t="inlineStr">
        <is>
          <t>RAIN</t>
        </is>
      </c>
      <c r="D1806" t="inlineStr">
        <is>
          <t>BLK</t>
        </is>
      </c>
      <c r="E1806" t="inlineStr">
        <is>
          <t>08A05</t>
        </is>
      </c>
      <c r="F1806" t="inlineStr">
        <is>
          <t>(en blanco)</t>
        </is>
      </c>
      <c r="G1806" t="inlineStr">
        <is>
          <t>PPK</t>
        </is>
      </c>
      <c r="H1806" t="n">
        <v>2136</v>
      </c>
      <c r="I1806" t="inlineStr">
        <is>
          <t>NAUTICA_CLASSICS_117007712_BLK_1.jpg</t>
        </is>
      </c>
      <c r="J1806" t="inlineStr">
        <is>
          <t>NAUTICA_CLASSICS_117007712_BLK_2.jpg</t>
        </is>
      </c>
      <c r="K1806" t="inlineStr">
        <is>
          <t>NAUTICA_CLASSICS_117007712_BLK_3.jpg</t>
        </is>
      </c>
      <c r="L1806">
        <f>IMAGE("file:///E:/Estudios%20y%20certificaciones/ESTUDIOS%20DE%20PROGRAMMING/PROGRAMMING/PERSONAL/PYTHON/Image_Generator_API/imagenes/NAUTICA_CLASSICS_117007712_BLK_1.jpg")</f>
        <v/>
      </c>
      <c r="M1806">
        <f>IMAGE("file:///E:/Estudios%20y%20certificaciones/ESTUDIOS%20DE%20PROGRAMMING/PROGRAMMING/PERSONAL/PYTHON/Image_Generator_API/imagenes/NAUTICA_CLASSICS_117007712_BLK_2.jpg")</f>
        <v/>
      </c>
      <c r="N1806">
        <f>IMAGE("file:///E:/Estudios%20y%20certificaciones/ESTUDIOS%20DE%20PROGRAMMING/PROGRAMMING/PERSONAL/PYTHON/Image_Generator_API/imagenes/NAUTICA_CLASSICS_117007712_BLK_3.jpg")</f>
        <v/>
      </c>
      <c r="O1806">
        <f>HYPERLINK("imagenes/NAUTICA_CLASSICS_117007712_BLK_1.jpg","Ver imagen")</f>
        <v/>
      </c>
      <c r="P1806">
        <f>HYPERLINK("imagenes/NAUTICA_CLASSICS_117007712_BLK_2.jpg","Ver imagen")</f>
        <v/>
      </c>
      <c r="Q1806">
        <f>HYPERLINK("imagenes/NAUTICA_CLASSICS_117007712_BLK_3.jpg","Ver imagen")</f>
        <v/>
      </c>
    </row>
    <row r="1807">
      <c r="A1807" t="inlineStr">
        <is>
          <t>NAUTICA CLASSICS</t>
        </is>
      </c>
      <c r="B1807" t="inlineStr">
        <is>
          <t>117008345</t>
        </is>
      </c>
      <c r="C1807" t="inlineStr">
        <is>
          <t>SOFTSHELL JKT</t>
        </is>
      </c>
      <c r="D1807" t="inlineStr">
        <is>
          <t>BLK</t>
        </is>
      </c>
      <c r="E1807" t="inlineStr">
        <is>
          <t>08A05</t>
        </is>
      </c>
      <c r="F1807" t="inlineStr">
        <is>
          <t>(en blanco)</t>
        </is>
      </c>
      <c r="G1807" t="inlineStr">
        <is>
          <t>PPK</t>
        </is>
      </c>
      <c r="H1807" t="n">
        <v>2832</v>
      </c>
      <c r="I1807" t="inlineStr">
        <is>
          <t>NAUTICA_CLASSICS_117008345_BLK_1.jpg</t>
        </is>
      </c>
      <c r="J1807" t="inlineStr">
        <is>
          <t>NAUTICA_CLASSICS_117008345_BLK_2.jpg</t>
        </is>
      </c>
      <c r="K1807" t="inlineStr">
        <is>
          <t>NAUTICA_CLASSICS_117008345_BLK_3.jpg</t>
        </is>
      </c>
      <c r="L1807">
        <f>IMAGE("file:///E:/Estudios%20y%20certificaciones/ESTUDIOS%20DE%20PROGRAMMING/PROGRAMMING/PERSONAL/PYTHON/Image_Generator_API/imagenes/NAUTICA_CLASSICS_117008345_BLK_1.jpg")</f>
        <v/>
      </c>
      <c r="M1807">
        <f>IMAGE("file:///E:/Estudios%20y%20certificaciones/ESTUDIOS%20DE%20PROGRAMMING/PROGRAMMING/PERSONAL/PYTHON/Image_Generator_API/imagenes/NAUTICA_CLASSICS_117008345_BLK_2.jpg")</f>
        <v/>
      </c>
      <c r="N1807">
        <f>IMAGE("file:///E:/Estudios%20y%20certificaciones/ESTUDIOS%20DE%20PROGRAMMING/PROGRAMMING/PERSONAL/PYTHON/Image_Generator_API/imagenes/NAUTICA_CLASSICS_117008345_BLK_3.jpg")</f>
        <v/>
      </c>
      <c r="O1807">
        <f>HYPERLINK("imagenes/NAUTICA_CLASSICS_117008345_BLK_1.jpg","Ver imagen")</f>
        <v/>
      </c>
      <c r="P1807">
        <f>HYPERLINK("imagenes/NAUTICA_CLASSICS_117008345_BLK_2.jpg","Ver imagen")</f>
        <v/>
      </c>
      <c r="Q1807">
        <f>HYPERLINK("imagenes/NAUTICA_CLASSICS_117008345_BLK_3.jpg","Ver imagen")</f>
        <v/>
      </c>
    </row>
    <row r="1808">
      <c r="A1808" t="inlineStr">
        <is>
          <t>NAUTICA CLASSICS</t>
        </is>
      </c>
      <c r="B1808" t="inlineStr">
        <is>
          <t>117008345</t>
        </is>
      </c>
      <c r="C1808" t="inlineStr">
        <is>
          <t>SOFTSHELL JKT</t>
        </is>
      </c>
      <c r="D1808" t="inlineStr">
        <is>
          <t>BLK</t>
        </is>
      </c>
      <c r="E1808" t="inlineStr">
        <is>
          <t>(en blanco)</t>
        </is>
      </c>
      <c r="F1808" t="inlineStr">
        <is>
          <t>(en blanco)</t>
        </is>
      </c>
      <c r="G1808" t="inlineStr">
        <is>
          <t>S</t>
        </is>
      </c>
      <c r="H1808" t="n">
        <v>6</v>
      </c>
      <c r="I1808" t="inlineStr">
        <is>
          <t>NAUTICA_CLASSICS_117008345_BLK_1.jpg</t>
        </is>
      </c>
      <c r="J1808" t="inlineStr">
        <is>
          <t>NAUTICA_CLASSICS_117008345_BLK_2.jpg</t>
        </is>
      </c>
      <c r="K1808" t="inlineStr">
        <is>
          <t>NAUTICA_CLASSICS_117008345_BLK_3.jpg</t>
        </is>
      </c>
      <c r="L1808">
        <f>IMAGE("file:///E:/Estudios%20y%20certificaciones/ESTUDIOS%20DE%20PROGRAMMING/PROGRAMMING/PERSONAL/PYTHON/Image_Generator_API/imagenes/NAUTICA_CLASSICS_117008345_BLK_1.jpg")</f>
        <v/>
      </c>
      <c r="M1808">
        <f>IMAGE("file:///E:/Estudios%20y%20certificaciones/ESTUDIOS%20DE%20PROGRAMMING/PROGRAMMING/PERSONAL/PYTHON/Image_Generator_API/imagenes/NAUTICA_CLASSICS_117008345_BLK_2.jpg")</f>
        <v/>
      </c>
      <c r="N1808">
        <f>IMAGE("file:///E:/Estudios%20y%20certificaciones/ESTUDIOS%20DE%20PROGRAMMING/PROGRAMMING/PERSONAL/PYTHON/Image_Generator_API/imagenes/NAUTICA_CLASSICS_117008345_BLK_3.jpg")</f>
        <v/>
      </c>
      <c r="O1808">
        <f>HYPERLINK("imagenes/NAUTICA_CLASSICS_117008345_BLK_1.jpg","Ver imagen")</f>
        <v/>
      </c>
      <c r="P1808">
        <f>HYPERLINK("imagenes/NAUTICA_CLASSICS_117008345_BLK_2.jpg","Ver imagen")</f>
        <v/>
      </c>
      <c r="Q1808">
        <f>HYPERLINK("imagenes/NAUTICA_CLASSICS_117008345_BLK_3.jpg","Ver imagen")</f>
        <v/>
      </c>
    </row>
    <row r="1809">
      <c r="A1809" t="inlineStr">
        <is>
          <t>NAUTICA CLASSICS</t>
        </is>
      </c>
      <c r="B1809" t="inlineStr">
        <is>
          <t>117008345</t>
        </is>
      </c>
      <c r="C1809" t="inlineStr">
        <is>
          <t>SOFTSHELL JKT</t>
        </is>
      </c>
      <c r="D1809" t="inlineStr">
        <is>
          <t>BLK</t>
        </is>
      </c>
      <c r="E1809" t="inlineStr">
        <is>
          <t>(en blanco)</t>
        </is>
      </c>
      <c r="F1809" t="inlineStr">
        <is>
          <t>(en blanco)</t>
        </is>
      </c>
      <c r="G1809" t="inlineStr">
        <is>
          <t>M</t>
        </is>
      </c>
      <c r="H1809" t="n">
        <v>6</v>
      </c>
      <c r="I1809" t="inlineStr">
        <is>
          <t>NAUTICA_CLASSICS_117008345_BLK_1.jpg</t>
        </is>
      </c>
      <c r="J1809" t="inlineStr">
        <is>
          <t>NAUTICA_CLASSICS_117008345_BLK_2.jpg</t>
        </is>
      </c>
      <c r="K1809" t="inlineStr">
        <is>
          <t>NAUTICA_CLASSICS_117008345_BLK_3.jpg</t>
        </is>
      </c>
      <c r="L1809">
        <f>IMAGE("file:///E:/Estudios%20y%20certificaciones/ESTUDIOS%20DE%20PROGRAMMING/PROGRAMMING/PERSONAL/PYTHON/Image_Generator_API/imagenes/NAUTICA_CLASSICS_117008345_BLK_1.jpg")</f>
        <v/>
      </c>
      <c r="M1809">
        <f>IMAGE("file:///E:/Estudios%20y%20certificaciones/ESTUDIOS%20DE%20PROGRAMMING/PROGRAMMING/PERSONAL/PYTHON/Image_Generator_API/imagenes/NAUTICA_CLASSICS_117008345_BLK_2.jpg")</f>
        <v/>
      </c>
      <c r="N1809">
        <f>IMAGE("file:///E:/Estudios%20y%20certificaciones/ESTUDIOS%20DE%20PROGRAMMING/PROGRAMMING/PERSONAL/PYTHON/Image_Generator_API/imagenes/NAUTICA_CLASSICS_117008345_BLK_3.jpg")</f>
        <v/>
      </c>
      <c r="O1809">
        <f>HYPERLINK("imagenes/NAUTICA_CLASSICS_117008345_BLK_1.jpg","Ver imagen")</f>
        <v/>
      </c>
      <c r="P1809">
        <f>HYPERLINK("imagenes/NAUTICA_CLASSICS_117008345_BLK_2.jpg","Ver imagen")</f>
        <v/>
      </c>
      <c r="Q1809">
        <f>HYPERLINK("imagenes/NAUTICA_CLASSICS_117008345_BLK_3.jpg","Ver imagen")</f>
        <v/>
      </c>
    </row>
    <row r="1810">
      <c r="A1810" t="inlineStr">
        <is>
          <t>NAUTICA CLASSICS</t>
        </is>
      </c>
      <c r="B1810" t="inlineStr">
        <is>
          <t>117008345</t>
        </is>
      </c>
      <c r="C1810" t="inlineStr">
        <is>
          <t>SOFTSHELL JKT</t>
        </is>
      </c>
      <c r="D1810" t="inlineStr">
        <is>
          <t>BLK</t>
        </is>
      </c>
      <c r="E1810" t="inlineStr">
        <is>
          <t>(en blanco)</t>
        </is>
      </c>
      <c r="F1810" t="inlineStr">
        <is>
          <t>(en blanco)</t>
        </is>
      </c>
      <c r="G1810" t="inlineStr">
        <is>
          <t>L</t>
        </is>
      </c>
      <c r="H1810" t="n">
        <v>6</v>
      </c>
      <c r="I1810" t="inlineStr">
        <is>
          <t>NAUTICA_CLASSICS_117008345_BLK_1.jpg</t>
        </is>
      </c>
      <c r="J1810" t="inlineStr">
        <is>
          <t>NAUTICA_CLASSICS_117008345_BLK_2.jpg</t>
        </is>
      </c>
      <c r="K1810" t="inlineStr">
        <is>
          <t>NAUTICA_CLASSICS_117008345_BLK_3.jpg</t>
        </is>
      </c>
      <c r="L1810">
        <f>IMAGE("file:///E:/Estudios%20y%20certificaciones/ESTUDIOS%20DE%20PROGRAMMING/PROGRAMMING/PERSONAL/PYTHON/Image_Generator_API/imagenes/NAUTICA_CLASSICS_117008345_BLK_1.jpg")</f>
        <v/>
      </c>
      <c r="M1810">
        <f>IMAGE("file:///E:/Estudios%20y%20certificaciones/ESTUDIOS%20DE%20PROGRAMMING/PROGRAMMING/PERSONAL/PYTHON/Image_Generator_API/imagenes/NAUTICA_CLASSICS_117008345_BLK_2.jpg")</f>
        <v/>
      </c>
      <c r="N1810">
        <f>IMAGE("file:///E:/Estudios%20y%20certificaciones/ESTUDIOS%20DE%20PROGRAMMING/PROGRAMMING/PERSONAL/PYTHON/Image_Generator_API/imagenes/NAUTICA_CLASSICS_117008345_BLK_3.jpg")</f>
        <v/>
      </c>
      <c r="O1810">
        <f>HYPERLINK("imagenes/NAUTICA_CLASSICS_117008345_BLK_1.jpg","Ver imagen")</f>
        <v/>
      </c>
      <c r="P1810">
        <f>HYPERLINK("imagenes/NAUTICA_CLASSICS_117008345_BLK_2.jpg","Ver imagen")</f>
        <v/>
      </c>
      <c r="Q1810">
        <f>HYPERLINK("imagenes/NAUTICA_CLASSICS_117008345_BLK_3.jpg","Ver imagen")</f>
        <v/>
      </c>
    </row>
    <row r="1811">
      <c r="A1811" t="inlineStr">
        <is>
          <t>NAUTICA CLASSICS</t>
        </is>
      </c>
      <c r="B1811" t="inlineStr">
        <is>
          <t>117008345</t>
        </is>
      </c>
      <c r="C1811" t="inlineStr">
        <is>
          <t>SOFTSHELL JKT</t>
        </is>
      </c>
      <c r="D1811" t="inlineStr">
        <is>
          <t>CRM</t>
        </is>
      </c>
      <c r="E1811" t="inlineStr">
        <is>
          <t>08A05</t>
        </is>
      </c>
      <c r="F1811" t="inlineStr">
        <is>
          <t>(en blanco)</t>
        </is>
      </c>
      <c r="G1811" t="inlineStr">
        <is>
          <t>PPK</t>
        </is>
      </c>
      <c r="H1811" t="n">
        <v>2744</v>
      </c>
      <c r="I1811" t="inlineStr">
        <is>
          <t>NAUTICA_CLASSICS_117008345_CRM_1.jpg</t>
        </is>
      </c>
      <c r="J1811" t="inlineStr">
        <is>
          <t>NAUTICA_CLASSICS_117008345_CRM_2.jpg</t>
        </is>
      </c>
      <c r="K1811" t="inlineStr">
        <is>
          <t>NAUTICA_CLASSICS_117008345_CRM_3.jpg</t>
        </is>
      </c>
      <c r="L1811">
        <f>IMAGE("file:///E:/Estudios%20y%20certificaciones/ESTUDIOS%20DE%20PROGRAMMING/PROGRAMMING/PERSONAL/PYTHON/Image_Generator_API/imagenes/NAUTICA_CLASSICS_117008345_CRM_1.jpg")</f>
        <v/>
      </c>
      <c r="M1811">
        <f>IMAGE("file:///E:/Estudios%20y%20certificaciones/ESTUDIOS%20DE%20PROGRAMMING/PROGRAMMING/PERSONAL/PYTHON/Image_Generator_API/imagenes/NAUTICA_CLASSICS_117008345_CRM_2.jpg")</f>
        <v/>
      </c>
      <c r="N1811">
        <f>IMAGE("file:///E:/Estudios%20y%20certificaciones/ESTUDIOS%20DE%20PROGRAMMING/PROGRAMMING/PERSONAL/PYTHON/Image_Generator_API/imagenes/NAUTICA_CLASSICS_117008345_CRM_3.jpg")</f>
        <v/>
      </c>
      <c r="O1811">
        <f>HYPERLINK("imagenes/NAUTICA_CLASSICS_117008345_CRM_1.jpg","Ver imagen")</f>
        <v/>
      </c>
      <c r="P1811">
        <f>HYPERLINK("imagenes/NAUTICA_CLASSICS_117008345_CRM_2.jpg","Ver imagen")</f>
        <v/>
      </c>
      <c r="Q1811">
        <f>HYPERLINK("imagenes/NAUTICA_CLASSICS_117008345_CRM_3.jpg","Ver imagen")</f>
        <v/>
      </c>
    </row>
    <row r="1812">
      <c r="A1812" t="inlineStr">
        <is>
          <t>NAUTICA CLASSICS</t>
        </is>
      </c>
      <c r="B1812" t="inlineStr">
        <is>
          <t>117008345</t>
        </is>
      </c>
      <c r="C1812" t="inlineStr">
        <is>
          <t>SOFTSHELL JKT</t>
        </is>
      </c>
      <c r="D1812" t="inlineStr">
        <is>
          <t>CRM</t>
        </is>
      </c>
      <c r="E1812" t="inlineStr">
        <is>
          <t>(en blanco)</t>
        </is>
      </c>
      <c r="F1812" t="inlineStr">
        <is>
          <t>(en blanco)</t>
        </is>
      </c>
      <c r="G1812" t="inlineStr">
        <is>
          <t>S</t>
        </is>
      </c>
      <c r="H1812" t="n">
        <v>5</v>
      </c>
      <c r="I1812" t="inlineStr">
        <is>
          <t>NAUTICA_CLASSICS_117008345_CRM_1.jpg</t>
        </is>
      </c>
      <c r="J1812" t="inlineStr">
        <is>
          <t>NAUTICA_CLASSICS_117008345_CRM_2.jpg</t>
        </is>
      </c>
      <c r="K1812" t="inlineStr">
        <is>
          <t>NAUTICA_CLASSICS_117008345_CRM_3.jpg</t>
        </is>
      </c>
      <c r="L1812">
        <f>IMAGE("file:///E:/Estudios%20y%20certificaciones/ESTUDIOS%20DE%20PROGRAMMING/PROGRAMMING/PERSONAL/PYTHON/Image_Generator_API/imagenes/NAUTICA_CLASSICS_117008345_CRM_1.jpg")</f>
        <v/>
      </c>
      <c r="M1812">
        <f>IMAGE("file:///E:/Estudios%20y%20certificaciones/ESTUDIOS%20DE%20PROGRAMMING/PROGRAMMING/PERSONAL/PYTHON/Image_Generator_API/imagenes/NAUTICA_CLASSICS_117008345_CRM_2.jpg")</f>
        <v/>
      </c>
      <c r="N1812">
        <f>IMAGE("file:///E:/Estudios%20y%20certificaciones/ESTUDIOS%20DE%20PROGRAMMING/PROGRAMMING/PERSONAL/PYTHON/Image_Generator_API/imagenes/NAUTICA_CLASSICS_117008345_CRM_3.jpg")</f>
        <v/>
      </c>
      <c r="O1812">
        <f>HYPERLINK("imagenes/NAUTICA_CLASSICS_117008345_CRM_1.jpg","Ver imagen")</f>
        <v/>
      </c>
      <c r="P1812">
        <f>HYPERLINK("imagenes/NAUTICA_CLASSICS_117008345_CRM_2.jpg","Ver imagen")</f>
        <v/>
      </c>
      <c r="Q1812">
        <f>HYPERLINK("imagenes/NAUTICA_CLASSICS_117008345_CRM_3.jpg","Ver imagen")</f>
        <v/>
      </c>
    </row>
    <row r="1813">
      <c r="A1813" t="inlineStr">
        <is>
          <t>NAUTICA CLASSICS</t>
        </is>
      </c>
      <c r="B1813" t="inlineStr">
        <is>
          <t>117008345</t>
        </is>
      </c>
      <c r="C1813" t="inlineStr">
        <is>
          <t>SOFTSHELL JKT</t>
        </is>
      </c>
      <c r="D1813" t="inlineStr">
        <is>
          <t>CRM</t>
        </is>
      </c>
      <c r="E1813" t="inlineStr">
        <is>
          <t>(en blanco)</t>
        </is>
      </c>
      <c r="F1813" t="inlineStr">
        <is>
          <t>(en blanco)</t>
        </is>
      </c>
      <c r="G1813" t="inlineStr">
        <is>
          <t>M</t>
        </is>
      </c>
      <c r="H1813" t="n">
        <v>7</v>
      </c>
      <c r="I1813" t="inlineStr">
        <is>
          <t>NAUTICA_CLASSICS_117008345_CRM_1.jpg</t>
        </is>
      </c>
      <c r="J1813" t="inlineStr">
        <is>
          <t>NAUTICA_CLASSICS_117008345_CRM_2.jpg</t>
        </is>
      </c>
      <c r="K1813" t="inlineStr">
        <is>
          <t>NAUTICA_CLASSICS_117008345_CRM_3.jpg</t>
        </is>
      </c>
      <c r="L1813">
        <f>IMAGE("file:///E:/Estudios%20y%20certificaciones/ESTUDIOS%20DE%20PROGRAMMING/PROGRAMMING/PERSONAL/PYTHON/Image_Generator_API/imagenes/NAUTICA_CLASSICS_117008345_CRM_1.jpg")</f>
        <v/>
      </c>
      <c r="M1813">
        <f>IMAGE("file:///E:/Estudios%20y%20certificaciones/ESTUDIOS%20DE%20PROGRAMMING/PROGRAMMING/PERSONAL/PYTHON/Image_Generator_API/imagenes/NAUTICA_CLASSICS_117008345_CRM_2.jpg")</f>
        <v/>
      </c>
      <c r="N1813">
        <f>IMAGE("file:///E:/Estudios%20y%20certificaciones/ESTUDIOS%20DE%20PROGRAMMING/PROGRAMMING/PERSONAL/PYTHON/Image_Generator_API/imagenes/NAUTICA_CLASSICS_117008345_CRM_3.jpg")</f>
        <v/>
      </c>
      <c r="O1813">
        <f>HYPERLINK("imagenes/NAUTICA_CLASSICS_117008345_CRM_1.jpg","Ver imagen")</f>
        <v/>
      </c>
      <c r="P1813">
        <f>HYPERLINK("imagenes/NAUTICA_CLASSICS_117008345_CRM_2.jpg","Ver imagen")</f>
        <v/>
      </c>
      <c r="Q1813">
        <f>HYPERLINK("imagenes/NAUTICA_CLASSICS_117008345_CRM_3.jpg","Ver imagen")</f>
        <v/>
      </c>
    </row>
    <row r="1814">
      <c r="A1814" t="inlineStr">
        <is>
          <t>NAUTICA CLASSICS</t>
        </is>
      </c>
      <c r="B1814" t="inlineStr">
        <is>
          <t>117008345</t>
        </is>
      </c>
      <c r="C1814" t="inlineStr">
        <is>
          <t>SOFTSHELL JKT</t>
        </is>
      </c>
      <c r="D1814" t="inlineStr">
        <is>
          <t>CRM</t>
        </is>
      </c>
      <c r="E1814" t="inlineStr">
        <is>
          <t>(en blanco)</t>
        </is>
      </c>
      <c r="F1814" t="inlineStr">
        <is>
          <t>(en blanco)</t>
        </is>
      </c>
      <c r="G1814" t="inlineStr">
        <is>
          <t>L</t>
        </is>
      </c>
      <c r="H1814" t="n">
        <v>8</v>
      </c>
      <c r="I1814" t="inlineStr">
        <is>
          <t>NAUTICA_CLASSICS_117008345_CRM_1.jpg</t>
        </is>
      </c>
      <c r="J1814" t="inlineStr">
        <is>
          <t>NAUTICA_CLASSICS_117008345_CRM_2.jpg</t>
        </is>
      </c>
      <c r="K1814" t="inlineStr">
        <is>
          <t>NAUTICA_CLASSICS_117008345_CRM_3.jpg</t>
        </is>
      </c>
      <c r="L1814">
        <f>IMAGE("file:///E:/Estudios%20y%20certificaciones/ESTUDIOS%20DE%20PROGRAMMING/PROGRAMMING/PERSONAL/PYTHON/Image_Generator_API/imagenes/NAUTICA_CLASSICS_117008345_CRM_1.jpg")</f>
        <v/>
      </c>
      <c r="M1814">
        <f>IMAGE("file:///E:/Estudios%20y%20certificaciones/ESTUDIOS%20DE%20PROGRAMMING/PROGRAMMING/PERSONAL/PYTHON/Image_Generator_API/imagenes/NAUTICA_CLASSICS_117008345_CRM_2.jpg")</f>
        <v/>
      </c>
      <c r="N1814">
        <f>IMAGE("file:///E:/Estudios%20y%20certificaciones/ESTUDIOS%20DE%20PROGRAMMING/PROGRAMMING/PERSONAL/PYTHON/Image_Generator_API/imagenes/NAUTICA_CLASSICS_117008345_CRM_3.jpg")</f>
        <v/>
      </c>
      <c r="O1814">
        <f>HYPERLINK("imagenes/NAUTICA_CLASSICS_117008345_CRM_1.jpg","Ver imagen")</f>
        <v/>
      </c>
      <c r="P1814">
        <f>HYPERLINK("imagenes/NAUTICA_CLASSICS_117008345_CRM_2.jpg","Ver imagen")</f>
        <v/>
      </c>
      <c r="Q1814">
        <f>HYPERLINK("imagenes/NAUTICA_CLASSICS_117008345_CRM_3.jpg","Ver imagen")</f>
        <v/>
      </c>
    </row>
    <row r="1815">
      <c r="A1815" t="inlineStr">
        <is>
          <t>NAUTICA CLASSICS</t>
        </is>
      </c>
      <c r="B1815" t="inlineStr">
        <is>
          <t>117008345</t>
        </is>
      </c>
      <c r="C1815" t="inlineStr">
        <is>
          <t>SOFTSHELL JKT</t>
        </is>
      </c>
      <c r="D1815" t="inlineStr">
        <is>
          <t>CRM</t>
        </is>
      </c>
      <c r="E1815" t="inlineStr">
        <is>
          <t>(en blanco)</t>
        </is>
      </c>
      <c r="F1815" t="inlineStr">
        <is>
          <t>(en blanco)</t>
        </is>
      </c>
      <c r="G1815" t="inlineStr">
        <is>
          <t>XL</t>
        </is>
      </c>
      <c r="H1815" t="n">
        <v>2</v>
      </c>
      <c r="I1815" t="inlineStr">
        <is>
          <t>NAUTICA_CLASSICS_117008345_CRM_1.jpg</t>
        </is>
      </c>
      <c r="J1815" t="inlineStr">
        <is>
          <t>NAUTICA_CLASSICS_117008345_CRM_2.jpg</t>
        </is>
      </c>
      <c r="K1815" t="inlineStr">
        <is>
          <t>NAUTICA_CLASSICS_117008345_CRM_3.jpg</t>
        </is>
      </c>
      <c r="L1815">
        <f>IMAGE("file:///E:/Estudios%20y%20certificaciones/ESTUDIOS%20DE%20PROGRAMMING/PROGRAMMING/PERSONAL/PYTHON/Image_Generator_API/imagenes/NAUTICA_CLASSICS_117008345_CRM_1.jpg")</f>
        <v/>
      </c>
      <c r="M1815">
        <f>IMAGE("file:///E:/Estudios%20y%20certificaciones/ESTUDIOS%20DE%20PROGRAMMING/PROGRAMMING/PERSONAL/PYTHON/Image_Generator_API/imagenes/NAUTICA_CLASSICS_117008345_CRM_2.jpg")</f>
        <v/>
      </c>
      <c r="N1815">
        <f>IMAGE("file:///E:/Estudios%20y%20certificaciones/ESTUDIOS%20DE%20PROGRAMMING/PROGRAMMING/PERSONAL/PYTHON/Image_Generator_API/imagenes/NAUTICA_CLASSICS_117008345_CRM_3.jpg")</f>
        <v/>
      </c>
      <c r="O1815">
        <f>HYPERLINK("imagenes/NAUTICA_CLASSICS_117008345_CRM_1.jpg","Ver imagen")</f>
        <v/>
      </c>
      <c r="P1815">
        <f>HYPERLINK("imagenes/NAUTICA_CLASSICS_117008345_CRM_2.jpg","Ver imagen")</f>
        <v/>
      </c>
      <c r="Q1815">
        <f>HYPERLINK("imagenes/NAUTICA_CLASSICS_117008345_CRM_3.jpg","Ver imagen")</f>
        <v/>
      </c>
    </row>
    <row r="1816">
      <c r="A1816" t="inlineStr">
        <is>
          <t>NAUTICA CLASSICS</t>
        </is>
      </c>
      <c r="B1816" t="inlineStr">
        <is>
          <t>117008345</t>
        </is>
      </c>
      <c r="C1816" t="inlineStr">
        <is>
          <t>SOFTSHELL JKT</t>
        </is>
      </c>
      <c r="D1816" t="inlineStr">
        <is>
          <t>PRY</t>
        </is>
      </c>
      <c r="E1816" t="inlineStr">
        <is>
          <t>08A05</t>
        </is>
      </c>
      <c r="F1816" t="inlineStr">
        <is>
          <t>(en blanco)</t>
        </is>
      </c>
      <c r="G1816" t="inlineStr">
        <is>
          <t>PPK</t>
        </is>
      </c>
      <c r="H1816" t="n">
        <v>840</v>
      </c>
      <c r="I1816" t="inlineStr">
        <is>
          <t>NAUTICA_CLASSICS_117008345_PRY_1.jpg</t>
        </is>
      </c>
      <c r="J1816" t="inlineStr">
        <is>
          <t>NAUTICA_CLASSICS_117008345_PRY_2.jpg</t>
        </is>
      </c>
      <c r="K1816" t="inlineStr">
        <is>
          <t>NAUTICA_CLASSICS_117008345_PRY_3.jpg</t>
        </is>
      </c>
      <c r="L1816">
        <f>IMAGE("file:///E:/Estudios%20y%20certificaciones/ESTUDIOS%20DE%20PROGRAMMING/PROGRAMMING/PERSONAL/PYTHON/Image_Generator_API/imagenes/NAUTICA_CLASSICS_117008345_PRY_1.jpg")</f>
        <v/>
      </c>
      <c r="M1816">
        <f>IMAGE("file:///E:/Estudios%20y%20certificaciones/ESTUDIOS%20DE%20PROGRAMMING/PROGRAMMING/PERSONAL/PYTHON/Image_Generator_API/imagenes/NAUTICA_CLASSICS_117008345_PRY_2.jpg")</f>
        <v/>
      </c>
      <c r="N1816">
        <f>IMAGE("file:///E:/Estudios%20y%20certificaciones/ESTUDIOS%20DE%20PROGRAMMING/PROGRAMMING/PERSONAL/PYTHON/Image_Generator_API/imagenes/NAUTICA_CLASSICS_117008345_PRY_3.jpg")</f>
        <v/>
      </c>
      <c r="O1816">
        <f>HYPERLINK("imagenes/NAUTICA_CLASSICS_117008345_PRY_1.jpg","Ver imagen")</f>
        <v/>
      </c>
      <c r="P1816">
        <f>HYPERLINK("imagenes/NAUTICA_CLASSICS_117008345_PRY_2.jpg","Ver imagen")</f>
        <v/>
      </c>
      <c r="Q1816">
        <f>HYPERLINK("imagenes/NAUTICA_CLASSICS_117008345_PRY_3.jpg","Ver imagen")</f>
        <v/>
      </c>
    </row>
    <row r="1817">
      <c r="A1817" t="inlineStr">
        <is>
          <t>NAUTICA CLASSICS</t>
        </is>
      </c>
      <c r="B1817" t="inlineStr">
        <is>
          <t>117008345</t>
        </is>
      </c>
      <c r="C1817" t="inlineStr">
        <is>
          <t>SOFTSHELL JKT</t>
        </is>
      </c>
      <c r="D1817" t="inlineStr">
        <is>
          <t>PRY</t>
        </is>
      </c>
      <c r="E1817" t="inlineStr">
        <is>
          <t>(en blanco)</t>
        </is>
      </c>
      <c r="F1817" t="inlineStr">
        <is>
          <t>(en blanco)</t>
        </is>
      </c>
      <c r="G1817" t="inlineStr">
        <is>
          <t>M</t>
        </is>
      </c>
      <c r="H1817" t="n">
        <v>12</v>
      </c>
      <c r="I1817" t="inlineStr">
        <is>
          <t>NAUTICA_CLASSICS_117008345_PRY_1.jpg</t>
        </is>
      </c>
      <c r="J1817" t="inlineStr">
        <is>
          <t>NAUTICA_CLASSICS_117008345_PRY_2.jpg</t>
        </is>
      </c>
      <c r="K1817" t="inlineStr">
        <is>
          <t>NAUTICA_CLASSICS_117008345_PRY_3.jpg</t>
        </is>
      </c>
      <c r="L1817">
        <f>IMAGE("file:///E:/Estudios%20y%20certificaciones/ESTUDIOS%20DE%20PROGRAMMING/PROGRAMMING/PERSONAL/PYTHON/Image_Generator_API/imagenes/NAUTICA_CLASSICS_117008345_PRY_1.jpg")</f>
        <v/>
      </c>
      <c r="M1817">
        <f>IMAGE("file:///E:/Estudios%20y%20certificaciones/ESTUDIOS%20DE%20PROGRAMMING/PROGRAMMING/PERSONAL/PYTHON/Image_Generator_API/imagenes/NAUTICA_CLASSICS_117008345_PRY_2.jpg")</f>
        <v/>
      </c>
      <c r="N1817">
        <f>IMAGE("file:///E:/Estudios%20y%20certificaciones/ESTUDIOS%20DE%20PROGRAMMING/PROGRAMMING/PERSONAL/PYTHON/Image_Generator_API/imagenes/NAUTICA_CLASSICS_117008345_PRY_3.jpg")</f>
        <v/>
      </c>
      <c r="O1817">
        <f>HYPERLINK("imagenes/NAUTICA_CLASSICS_117008345_PRY_1.jpg","Ver imagen")</f>
        <v/>
      </c>
      <c r="P1817">
        <f>HYPERLINK("imagenes/NAUTICA_CLASSICS_117008345_PRY_2.jpg","Ver imagen")</f>
        <v/>
      </c>
      <c r="Q1817">
        <f>HYPERLINK("imagenes/NAUTICA_CLASSICS_117008345_PRY_3.jpg","Ver imagen")</f>
        <v/>
      </c>
    </row>
    <row r="1818">
      <c r="A1818" t="inlineStr">
        <is>
          <t>NAUTICA CLASSICS</t>
        </is>
      </c>
      <c r="B1818" t="inlineStr">
        <is>
          <t>117008345</t>
        </is>
      </c>
      <c r="C1818" t="inlineStr">
        <is>
          <t>SOFTSHELL JKT</t>
        </is>
      </c>
      <c r="D1818" t="inlineStr">
        <is>
          <t>PRY</t>
        </is>
      </c>
      <c r="E1818" t="inlineStr">
        <is>
          <t>(en blanco)</t>
        </is>
      </c>
      <c r="F1818" t="inlineStr">
        <is>
          <t>(en blanco)</t>
        </is>
      </c>
      <c r="G1818" t="inlineStr">
        <is>
          <t>L</t>
        </is>
      </c>
      <c r="H1818" t="n">
        <v>5</v>
      </c>
      <c r="I1818" t="inlineStr">
        <is>
          <t>NAUTICA_CLASSICS_117008345_PRY_1.jpg</t>
        </is>
      </c>
      <c r="J1818" t="inlineStr">
        <is>
          <t>NAUTICA_CLASSICS_117008345_PRY_2.jpg</t>
        </is>
      </c>
      <c r="K1818" t="inlineStr">
        <is>
          <t>NAUTICA_CLASSICS_117008345_PRY_3.jpg</t>
        </is>
      </c>
      <c r="L1818">
        <f>IMAGE("file:///E:/Estudios%20y%20certificaciones/ESTUDIOS%20DE%20PROGRAMMING/PROGRAMMING/PERSONAL/PYTHON/Image_Generator_API/imagenes/NAUTICA_CLASSICS_117008345_PRY_1.jpg")</f>
        <v/>
      </c>
      <c r="M1818">
        <f>IMAGE("file:///E:/Estudios%20y%20certificaciones/ESTUDIOS%20DE%20PROGRAMMING/PROGRAMMING/PERSONAL/PYTHON/Image_Generator_API/imagenes/NAUTICA_CLASSICS_117008345_PRY_2.jpg")</f>
        <v/>
      </c>
      <c r="N1818">
        <f>IMAGE("file:///E:/Estudios%20y%20certificaciones/ESTUDIOS%20DE%20PROGRAMMING/PROGRAMMING/PERSONAL/PYTHON/Image_Generator_API/imagenes/NAUTICA_CLASSICS_117008345_PRY_3.jpg")</f>
        <v/>
      </c>
      <c r="O1818">
        <f>HYPERLINK("imagenes/NAUTICA_CLASSICS_117008345_PRY_1.jpg","Ver imagen")</f>
        <v/>
      </c>
      <c r="P1818">
        <f>HYPERLINK("imagenes/NAUTICA_CLASSICS_117008345_PRY_2.jpg","Ver imagen")</f>
        <v/>
      </c>
      <c r="Q1818">
        <f>HYPERLINK("imagenes/NAUTICA_CLASSICS_117008345_PRY_3.jpg","Ver imagen")</f>
        <v/>
      </c>
    </row>
    <row r="1819">
      <c r="A1819" t="inlineStr">
        <is>
          <t>NAUTICA CLASSICS</t>
        </is>
      </c>
      <c r="B1819" t="inlineStr">
        <is>
          <t>117009131</t>
        </is>
      </c>
      <c r="C1819" t="inlineStr">
        <is>
          <t>STRETCH PUFFER W ELASTIC CUFF</t>
        </is>
      </c>
      <c r="D1819" t="inlineStr">
        <is>
          <t>B4K</t>
        </is>
      </c>
      <c r="E1819" t="inlineStr">
        <is>
          <t>08A05</t>
        </is>
      </c>
      <c r="F1819" t="inlineStr">
        <is>
          <t>(en blanco)</t>
        </is>
      </c>
      <c r="G1819" t="inlineStr">
        <is>
          <t>PPK</t>
        </is>
      </c>
      <c r="H1819" t="n">
        <v>1296</v>
      </c>
      <c r="I1819" t="inlineStr">
        <is>
          <t>NAUTICA_CLASSICS_117009131_B4K_1.jpg</t>
        </is>
      </c>
      <c r="J1819" t="inlineStr">
        <is>
          <t>NAUTICA_CLASSICS_117009131_B4K_2.jpg</t>
        </is>
      </c>
      <c r="K1819" t="inlineStr">
        <is>
          <t>NAUTICA_CLASSICS_117009131_B4K_3.jpg</t>
        </is>
      </c>
      <c r="L1819">
        <f>IMAGE("file:///E:/Estudios%20y%20certificaciones/ESTUDIOS%20DE%20PROGRAMMING/PROGRAMMING/PERSONAL/PYTHON/Image_Generator_API/imagenes/NAUTICA_CLASSICS_117009131_B4K_1.jpg")</f>
        <v/>
      </c>
      <c r="M1819">
        <f>IMAGE("file:///E:/Estudios%20y%20certificaciones/ESTUDIOS%20DE%20PROGRAMMING/PROGRAMMING/PERSONAL/PYTHON/Image_Generator_API/imagenes/NAUTICA_CLASSICS_117009131_B4K_2.jpg")</f>
        <v/>
      </c>
      <c r="N1819">
        <f>IMAGE("file:///E:/Estudios%20y%20certificaciones/ESTUDIOS%20DE%20PROGRAMMING/PROGRAMMING/PERSONAL/PYTHON/Image_Generator_API/imagenes/NAUTICA_CLASSICS_117009131_B4K_3.jpg")</f>
        <v/>
      </c>
      <c r="O1819">
        <f>HYPERLINK("imagenes/NAUTICA_CLASSICS_117009131_B4K_1.jpg","Ver imagen")</f>
        <v/>
      </c>
      <c r="P1819">
        <f>HYPERLINK("imagenes/NAUTICA_CLASSICS_117009131_B4K_2.jpg","Ver imagen")</f>
        <v/>
      </c>
      <c r="Q1819">
        <f>HYPERLINK("imagenes/NAUTICA_CLASSICS_117009131_B4K_3.jpg","Ver imagen")</f>
        <v/>
      </c>
    </row>
    <row r="1820">
      <c r="A1820" t="inlineStr">
        <is>
          <t>NAUTICA CLASSICS</t>
        </is>
      </c>
      <c r="B1820" t="inlineStr">
        <is>
          <t>117009131</t>
        </is>
      </c>
      <c r="C1820" t="inlineStr">
        <is>
          <t>STRETCH PUFFER W ELASTIC CUFF</t>
        </is>
      </c>
      <c r="D1820" t="inlineStr">
        <is>
          <t>B4K</t>
        </is>
      </c>
      <c r="E1820" t="inlineStr">
        <is>
          <t>(en blanco)</t>
        </is>
      </c>
      <c r="F1820" t="inlineStr">
        <is>
          <t>D2C</t>
        </is>
      </c>
      <c r="G1820" t="inlineStr">
        <is>
          <t>XS</t>
        </is>
      </c>
      <c r="H1820" t="n">
        <v>20</v>
      </c>
      <c r="I1820" t="inlineStr">
        <is>
          <t>NAUTICA_CLASSICS_117009131_B4K_1.jpg</t>
        </is>
      </c>
      <c r="J1820" t="inlineStr">
        <is>
          <t>NAUTICA_CLASSICS_117009131_B4K_2.jpg</t>
        </is>
      </c>
      <c r="K1820" t="inlineStr">
        <is>
          <t>NAUTICA_CLASSICS_117009131_B4K_3.jpg</t>
        </is>
      </c>
      <c r="L1820">
        <f>IMAGE("file:///E:/Estudios%20y%20certificaciones/ESTUDIOS%20DE%20PROGRAMMING/PROGRAMMING/PERSONAL/PYTHON/Image_Generator_API/imagenes/NAUTICA_CLASSICS_117009131_B4K_1.jpg")</f>
        <v/>
      </c>
      <c r="M1820">
        <f>IMAGE("file:///E:/Estudios%20y%20certificaciones/ESTUDIOS%20DE%20PROGRAMMING/PROGRAMMING/PERSONAL/PYTHON/Image_Generator_API/imagenes/NAUTICA_CLASSICS_117009131_B4K_2.jpg")</f>
        <v/>
      </c>
      <c r="N1820">
        <f>IMAGE("file:///E:/Estudios%20y%20certificaciones/ESTUDIOS%20DE%20PROGRAMMING/PROGRAMMING/PERSONAL/PYTHON/Image_Generator_API/imagenes/NAUTICA_CLASSICS_117009131_B4K_3.jpg")</f>
        <v/>
      </c>
      <c r="O1820">
        <f>HYPERLINK("imagenes/NAUTICA_CLASSICS_117009131_B4K_1.jpg","Ver imagen")</f>
        <v/>
      </c>
      <c r="P1820">
        <f>HYPERLINK("imagenes/NAUTICA_CLASSICS_117009131_B4K_2.jpg","Ver imagen")</f>
        <v/>
      </c>
      <c r="Q1820">
        <f>HYPERLINK("imagenes/NAUTICA_CLASSICS_117009131_B4K_3.jpg","Ver imagen")</f>
        <v/>
      </c>
    </row>
    <row r="1821">
      <c r="A1821" t="inlineStr">
        <is>
          <t>NAUTICA CLASSICS</t>
        </is>
      </c>
      <c r="B1821" t="inlineStr">
        <is>
          <t>117009131</t>
        </is>
      </c>
      <c r="C1821" t="inlineStr">
        <is>
          <t>STRETCH PUFFER W ELASTIC CUFF</t>
        </is>
      </c>
      <c r="D1821" t="inlineStr">
        <is>
          <t>B4K</t>
        </is>
      </c>
      <c r="E1821" t="inlineStr">
        <is>
          <t>(en blanco)</t>
        </is>
      </c>
      <c r="F1821" t="inlineStr">
        <is>
          <t>D2C</t>
        </is>
      </c>
      <c r="G1821" t="inlineStr">
        <is>
          <t>S</t>
        </is>
      </c>
      <c r="H1821" t="n">
        <v>39</v>
      </c>
      <c r="I1821" t="inlineStr">
        <is>
          <t>NAUTICA_CLASSICS_117009131_B4K_1.jpg</t>
        </is>
      </c>
      <c r="J1821" t="inlineStr">
        <is>
          <t>NAUTICA_CLASSICS_117009131_B4K_2.jpg</t>
        </is>
      </c>
      <c r="K1821" t="inlineStr">
        <is>
          <t>NAUTICA_CLASSICS_117009131_B4K_3.jpg</t>
        </is>
      </c>
      <c r="L1821">
        <f>IMAGE("file:///E:/Estudios%20y%20certificaciones/ESTUDIOS%20DE%20PROGRAMMING/PROGRAMMING/PERSONAL/PYTHON/Image_Generator_API/imagenes/NAUTICA_CLASSICS_117009131_B4K_1.jpg")</f>
        <v/>
      </c>
      <c r="M1821">
        <f>IMAGE("file:///E:/Estudios%20y%20certificaciones/ESTUDIOS%20DE%20PROGRAMMING/PROGRAMMING/PERSONAL/PYTHON/Image_Generator_API/imagenes/NAUTICA_CLASSICS_117009131_B4K_2.jpg")</f>
        <v/>
      </c>
      <c r="N1821">
        <f>IMAGE("file:///E:/Estudios%20y%20certificaciones/ESTUDIOS%20DE%20PROGRAMMING/PROGRAMMING/PERSONAL/PYTHON/Image_Generator_API/imagenes/NAUTICA_CLASSICS_117009131_B4K_3.jpg")</f>
        <v/>
      </c>
      <c r="O1821">
        <f>HYPERLINK("imagenes/NAUTICA_CLASSICS_117009131_B4K_1.jpg","Ver imagen")</f>
        <v/>
      </c>
      <c r="P1821">
        <f>HYPERLINK("imagenes/NAUTICA_CLASSICS_117009131_B4K_2.jpg","Ver imagen")</f>
        <v/>
      </c>
      <c r="Q1821">
        <f>HYPERLINK("imagenes/NAUTICA_CLASSICS_117009131_B4K_3.jpg","Ver imagen")</f>
        <v/>
      </c>
    </row>
    <row r="1822">
      <c r="A1822" t="inlineStr">
        <is>
          <t>NAUTICA CLASSICS</t>
        </is>
      </c>
      <c r="B1822" t="inlineStr">
        <is>
          <t>117009131</t>
        </is>
      </c>
      <c r="C1822" t="inlineStr">
        <is>
          <t>STRETCH PUFFER W ELASTIC CUFF</t>
        </is>
      </c>
      <c r="D1822" t="inlineStr">
        <is>
          <t>B4K</t>
        </is>
      </c>
      <c r="E1822" t="inlineStr">
        <is>
          <t>(en blanco)</t>
        </is>
      </c>
      <c r="F1822" t="inlineStr">
        <is>
          <t>D2C</t>
        </is>
      </c>
      <c r="G1822" t="inlineStr">
        <is>
          <t>M</t>
        </is>
      </c>
      <c r="H1822" t="n">
        <v>18</v>
      </c>
      <c r="I1822" t="inlineStr">
        <is>
          <t>NAUTICA_CLASSICS_117009131_B4K_1.jpg</t>
        </is>
      </c>
      <c r="J1822" t="inlineStr">
        <is>
          <t>NAUTICA_CLASSICS_117009131_B4K_2.jpg</t>
        </is>
      </c>
      <c r="K1822" t="inlineStr">
        <is>
          <t>NAUTICA_CLASSICS_117009131_B4K_3.jpg</t>
        </is>
      </c>
      <c r="L1822">
        <f>IMAGE("file:///E:/Estudios%20y%20certificaciones/ESTUDIOS%20DE%20PROGRAMMING/PROGRAMMING/PERSONAL/PYTHON/Image_Generator_API/imagenes/NAUTICA_CLASSICS_117009131_B4K_1.jpg")</f>
        <v/>
      </c>
      <c r="M1822">
        <f>IMAGE("file:///E:/Estudios%20y%20certificaciones/ESTUDIOS%20DE%20PROGRAMMING/PROGRAMMING/PERSONAL/PYTHON/Image_Generator_API/imagenes/NAUTICA_CLASSICS_117009131_B4K_2.jpg")</f>
        <v/>
      </c>
      <c r="N1822">
        <f>IMAGE("file:///E:/Estudios%20y%20certificaciones/ESTUDIOS%20DE%20PROGRAMMING/PROGRAMMING/PERSONAL/PYTHON/Image_Generator_API/imagenes/NAUTICA_CLASSICS_117009131_B4K_3.jpg")</f>
        <v/>
      </c>
      <c r="O1822">
        <f>HYPERLINK("imagenes/NAUTICA_CLASSICS_117009131_B4K_1.jpg","Ver imagen")</f>
        <v/>
      </c>
      <c r="P1822">
        <f>HYPERLINK("imagenes/NAUTICA_CLASSICS_117009131_B4K_2.jpg","Ver imagen")</f>
        <v/>
      </c>
      <c r="Q1822">
        <f>HYPERLINK("imagenes/NAUTICA_CLASSICS_117009131_B4K_3.jpg","Ver imagen")</f>
        <v/>
      </c>
    </row>
    <row r="1823">
      <c r="A1823" t="inlineStr">
        <is>
          <t>NAUTICA CLASSICS</t>
        </is>
      </c>
      <c r="B1823" t="inlineStr">
        <is>
          <t>117009131</t>
        </is>
      </c>
      <c r="C1823" t="inlineStr">
        <is>
          <t>STRETCH PUFFER W ELASTIC CUFF</t>
        </is>
      </c>
      <c r="D1823" t="inlineStr">
        <is>
          <t>B4K</t>
        </is>
      </c>
      <c r="E1823" t="inlineStr">
        <is>
          <t>(en blanco)</t>
        </is>
      </c>
      <c r="F1823" t="inlineStr">
        <is>
          <t>D2C</t>
        </is>
      </c>
      <c r="G1823" t="inlineStr">
        <is>
          <t>L</t>
        </is>
      </c>
      <c r="H1823" t="n">
        <v>12</v>
      </c>
      <c r="I1823" t="inlineStr">
        <is>
          <t>NAUTICA_CLASSICS_117009131_B4K_1.jpg</t>
        </is>
      </c>
      <c r="J1823" t="inlineStr">
        <is>
          <t>NAUTICA_CLASSICS_117009131_B4K_2.jpg</t>
        </is>
      </c>
      <c r="K1823" t="inlineStr">
        <is>
          <t>NAUTICA_CLASSICS_117009131_B4K_3.jpg</t>
        </is>
      </c>
      <c r="L1823">
        <f>IMAGE("file:///E:/Estudios%20y%20certificaciones/ESTUDIOS%20DE%20PROGRAMMING/PROGRAMMING/PERSONAL/PYTHON/Image_Generator_API/imagenes/NAUTICA_CLASSICS_117009131_B4K_1.jpg")</f>
        <v/>
      </c>
      <c r="M1823">
        <f>IMAGE("file:///E:/Estudios%20y%20certificaciones/ESTUDIOS%20DE%20PROGRAMMING/PROGRAMMING/PERSONAL/PYTHON/Image_Generator_API/imagenes/NAUTICA_CLASSICS_117009131_B4K_2.jpg")</f>
        <v/>
      </c>
      <c r="N1823">
        <f>IMAGE("file:///E:/Estudios%20y%20certificaciones/ESTUDIOS%20DE%20PROGRAMMING/PROGRAMMING/PERSONAL/PYTHON/Image_Generator_API/imagenes/NAUTICA_CLASSICS_117009131_B4K_3.jpg")</f>
        <v/>
      </c>
      <c r="O1823">
        <f>HYPERLINK("imagenes/NAUTICA_CLASSICS_117009131_B4K_1.jpg","Ver imagen")</f>
        <v/>
      </c>
      <c r="P1823">
        <f>HYPERLINK("imagenes/NAUTICA_CLASSICS_117009131_B4K_2.jpg","Ver imagen")</f>
        <v/>
      </c>
      <c r="Q1823">
        <f>HYPERLINK("imagenes/NAUTICA_CLASSICS_117009131_B4K_3.jpg","Ver imagen")</f>
        <v/>
      </c>
    </row>
    <row r="1824">
      <c r="A1824" t="inlineStr">
        <is>
          <t>NAUTICA CLASSICS</t>
        </is>
      </c>
      <c r="B1824" t="inlineStr">
        <is>
          <t>117009131</t>
        </is>
      </c>
      <c r="C1824" t="inlineStr">
        <is>
          <t>STRETCH PUFFER W ELASTIC CUFF</t>
        </is>
      </c>
      <c r="D1824" t="inlineStr">
        <is>
          <t>B4K</t>
        </is>
      </c>
      <c r="E1824" t="inlineStr">
        <is>
          <t>(en blanco)</t>
        </is>
      </c>
      <c r="F1824" t="inlineStr">
        <is>
          <t>(en blanco)</t>
        </is>
      </c>
      <c r="G1824" t="inlineStr">
        <is>
          <t>XS</t>
        </is>
      </c>
      <c r="H1824" t="n">
        <v>18</v>
      </c>
      <c r="I1824" t="inlineStr">
        <is>
          <t>NAUTICA_CLASSICS_117009131_B4K_1.jpg</t>
        </is>
      </c>
      <c r="J1824" t="inlineStr">
        <is>
          <t>NAUTICA_CLASSICS_117009131_B4K_2.jpg</t>
        </is>
      </c>
      <c r="K1824" t="inlineStr">
        <is>
          <t>NAUTICA_CLASSICS_117009131_B4K_3.jpg</t>
        </is>
      </c>
      <c r="L1824">
        <f>IMAGE("file:///E:/Estudios%20y%20certificaciones/ESTUDIOS%20DE%20PROGRAMMING/PROGRAMMING/PERSONAL/PYTHON/Image_Generator_API/imagenes/NAUTICA_CLASSICS_117009131_B4K_1.jpg")</f>
        <v/>
      </c>
      <c r="M1824">
        <f>IMAGE("file:///E:/Estudios%20y%20certificaciones/ESTUDIOS%20DE%20PROGRAMMING/PROGRAMMING/PERSONAL/PYTHON/Image_Generator_API/imagenes/NAUTICA_CLASSICS_117009131_B4K_2.jpg")</f>
        <v/>
      </c>
      <c r="N1824">
        <f>IMAGE("file:///E:/Estudios%20y%20certificaciones/ESTUDIOS%20DE%20PROGRAMMING/PROGRAMMING/PERSONAL/PYTHON/Image_Generator_API/imagenes/NAUTICA_CLASSICS_117009131_B4K_3.jpg")</f>
        <v/>
      </c>
      <c r="O1824">
        <f>HYPERLINK("imagenes/NAUTICA_CLASSICS_117009131_B4K_1.jpg","Ver imagen")</f>
        <v/>
      </c>
      <c r="P1824">
        <f>HYPERLINK("imagenes/NAUTICA_CLASSICS_117009131_B4K_2.jpg","Ver imagen")</f>
        <v/>
      </c>
      <c r="Q1824">
        <f>HYPERLINK("imagenes/NAUTICA_CLASSICS_117009131_B4K_3.jpg","Ver imagen")</f>
        <v/>
      </c>
    </row>
    <row r="1825">
      <c r="A1825" t="inlineStr">
        <is>
          <t>NAUTICA CLASSICS</t>
        </is>
      </c>
      <c r="B1825" t="inlineStr">
        <is>
          <t>117009131</t>
        </is>
      </c>
      <c r="C1825" t="inlineStr">
        <is>
          <t>STRETCH PUFFER W ELASTIC CUFF</t>
        </is>
      </c>
      <c r="D1825" t="inlineStr">
        <is>
          <t>B4K</t>
        </is>
      </c>
      <c r="E1825" t="inlineStr">
        <is>
          <t>(en blanco)</t>
        </is>
      </c>
      <c r="F1825" t="inlineStr">
        <is>
          <t>(en blanco)</t>
        </is>
      </c>
      <c r="G1825" t="inlineStr">
        <is>
          <t>S</t>
        </is>
      </c>
      <c r="H1825" t="n">
        <v>0</v>
      </c>
      <c r="I1825" t="inlineStr">
        <is>
          <t>NAUTICA_CLASSICS_117009131_B4K_1.jpg</t>
        </is>
      </c>
      <c r="J1825" t="inlineStr">
        <is>
          <t>NAUTICA_CLASSICS_117009131_B4K_2.jpg</t>
        </is>
      </c>
      <c r="K1825" t="inlineStr">
        <is>
          <t>NAUTICA_CLASSICS_117009131_B4K_3.jpg</t>
        </is>
      </c>
      <c r="L1825">
        <f>IMAGE("file:///E:/Estudios%20y%20certificaciones/ESTUDIOS%20DE%20PROGRAMMING/PROGRAMMING/PERSONAL/PYTHON/Image_Generator_API/imagenes/NAUTICA_CLASSICS_117009131_B4K_1.jpg")</f>
        <v/>
      </c>
      <c r="M1825">
        <f>IMAGE("file:///E:/Estudios%20y%20certificaciones/ESTUDIOS%20DE%20PROGRAMMING/PROGRAMMING/PERSONAL/PYTHON/Image_Generator_API/imagenes/NAUTICA_CLASSICS_117009131_B4K_2.jpg")</f>
        <v/>
      </c>
      <c r="N1825">
        <f>IMAGE("file:///E:/Estudios%20y%20certificaciones/ESTUDIOS%20DE%20PROGRAMMING/PROGRAMMING/PERSONAL/PYTHON/Image_Generator_API/imagenes/NAUTICA_CLASSICS_117009131_B4K_3.jpg")</f>
        <v/>
      </c>
      <c r="O1825">
        <f>HYPERLINK("imagenes/NAUTICA_CLASSICS_117009131_B4K_1.jpg","Ver imagen")</f>
        <v/>
      </c>
      <c r="P1825">
        <f>HYPERLINK("imagenes/NAUTICA_CLASSICS_117009131_B4K_2.jpg","Ver imagen")</f>
        <v/>
      </c>
      <c r="Q1825">
        <f>HYPERLINK("imagenes/NAUTICA_CLASSICS_117009131_B4K_3.jpg","Ver imagen")</f>
        <v/>
      </c>
    </row>
    <row r="1826">
      <c r="A1826" t="inlineStr">
        <is>
          <t>NAUTICA CLASSICS</t>
        </is>
      </c>
      <c r="B1826" t="inlineStr">
        <is>
          <t>117009131</t>
        </is>
      </c>
      <c r="C1826" t="inlineStr">
        <is>
          <t>STRETCH PUFFER W ELASTIC CUFF</t>
        </is>
      </c>
      <c r="D1826" t="inlineStr">
        <is>
          <t>BLK</t>
        </is>
      </c>
      <c r="E1826" t="inlineStr">
        <is>
          <t>08A05</t>
        </is>
      </c>
      <c r="F1826" t="inlineStr">
        <is>
          <t>(en blanco)</t>
        </is>
      </c>
      <c r="G1826" t="inlineStr">
        <is>
          <t>PPK</t>
        </is>
      </c>
      <c r="H1826" t="n">
        <v>1312</v>
      </c>
      <c r="I1826" t="inlineStr">
        <is>
          <t>NAUTICA_CLASSICS_117009131_BLK_1.jpg</t>
        </is>
      </c>
      <c r="J1826" t="inlineStr">
        <is>
          <t>NAUTICA_CLASSICS_117009131_BLK_2.jpg</t>
        </is>
      </c>
      <c r="L1826">
        <f>IMAGE("file:///E:/Estudios%20y%20certificaciones/ESTUDIOS%20DE%20PROGRAMMING/PROGRAMMING/PERSONAL/PYTHON/Image_Generator_API/imagenes/NAUTICA_CLASSICS_117009131_BLK_1.jpg")</f>
        <v/>
      </c>
      <c r="M1826">
        <f>IMAGE("file:///E:/Estudios%20y%20certificaciones/ESTUDIOS%20DE%20PROGRAMMING/PROGRAMMING/PERSONAL/PYTHON/Image_Generator_API/imagenes/NAUTICA_CLASSICS_117009131_BLK_2.jpg")</f>
        <v/>
      </c>
      <c r="O1826">
        <f>HYPERLINK("imagenes/NAUTICA_CLASSICS_117009131_BLK_1.jpg","Ver imagen")</f>
        <v/>
      </c>
      <c r="P1826">
        <f>HYPERLINK("imagenes/NAUTICA_CLASSICS_117009131_BLK_2.jpg","Ver imagen")</f>
        <v/>
      </c>
    </row>
    <row r="1827">
      <c r="A1827" t="inlineStr">
        <is>
          <t>NAUTICA CLASSICS</t>
        </is>
      </c>
      <c r="B1827" t="inlineStr">
        <is>
          <t>117009131</t>
        </is>
      </c>
      <c r="C1827" t="inlineStr">
        <is>
          <t>STRETCH PUFFER W ELASTIC CUFF</t>
        </is>
      </c>
      <c r="D1827" t="inlineStr">
        <is>
          <t>BLK</t>
        </is>
      </c>
      <c r="E1827" t="inlineStr">
        <is>
          <t>(en blanco)</t>
        </is>
      </c>
      <c r="F1827" t="inlineStr">
        <is>
          <t>D2C</t>
        </is>
      </c>
      <c r="G1827" t="inlineStr">
        <is>
          <t>XS</t>
        </is>
      </c>
      <c r="H1827" t="n">
        <v>20</v>
      </c>
      <c r="I1827" t="inlineStr">
        <is>
          <t>NAUTICA_CLASSICS_117009131_BLK_1.jpg</t>
        </is>
      </c>
      <c r="J1827" t="inlineStr">
        <is>
          <t>NAUTICA_CLASSICS_117009131_BLK_2.jpg</t>
        </is>
      </c>
      <c r="L1827">
        <f>IMAGE("file:///E:/Estudios%20y%20certificaciones/ESTUDIOS%20DE%20PROGRAMMING/PROGRAMMING/PERSONAL/PYTHON/Image_Generator_API/imagenes/NAUTICA_CLASSICS_117009131_BLK_1.jpg")</f>
        <v/>
      </c>
      <c r="M1827">
        <f>IMAGE("file:///E:/Estudios%20y%20certificaciones/ESTUDIOS%20DE%20PROGRAMMING/PROGRAMMING/PERSONAL/PYTHON/Image_Generator_API/imagenes/NAUTICA_CLASSICS_117009131_BLK_2.jpg")</f>
        <v/>
      </c>
      <c r="O1827">
        <f>HYPERLINK("imagenes/NAUTICA_CLASSICS_117009131_BLK_1.jpg","Ver imagen")</f>
        <v/>
      </c>
      <c r="P1827">
        <f>HYPERLINK("imagenes/NAUTICA_CLASSICS_117009131_BLK_2.jpg","Ver imagen")</f>
        <v/>
      </c>
    </row>
    <row r="1828">
      <c r="A1828" t="inlineStr">
        <is>
          <t>NAUTICA CLASSICS</t>
        </is>
      </c>
      <c r="B1828" t="inlineStr">
        <is>
          <t>117009131</t>
        </is>
      </c>
      <c r="C1828" t="inlineStr">
        <is>
          <t>STRETCH PUFFER W ELASTIC CUFF</t>
        </is>
      </c>
      <c r="D1828" t="inlineStr">
        <is>
          <t>BLK</t>
        </is>
      </c>
      <c r="E1828" t="inlineStr">
        <is>
          <t>(en blanco)</t>
        </is>
      </c>
      <c r="F1828" t="inlineStr">
        <is>
          <t>D2C</t>
        </is>
      </c>
      <c r="G1828" t="inlineStr">
        <is>
          <t>S</t>
        </is>
      </c>
      <c r="H1828" t="n">
        <v>40</v>
      </c>
      <c r="I1828" t="inlineStr">
        <is>
          <t>NAUTICA_CLASSICS_117009131_BLK_1.jpg</t>
        </is>
      </c>
      <c r="J1828" t="inlineStr">
        <is>
          <t>NAUTICA_CLASSICS_117009131_BLK_2.jpg</t>
        </is>
      </c>
      <c r="L1828">
        <f>IMAGE("file:///E:/Estudios%20y%20certificaciones/ESTUDIOS%20DE%20PROGRAMMING/PROGRAMMING/PERSONAL/PYTHON/Image_Generator_API/imagenes/NAUTICA_CLASSICS_117009131_BLK_1.jpg")</f>
        <v/>
      </c>
      <c r="M1828">
        <f>IMAGE("file:///E:/Estudios%20y%20certificaciones/ESTUDIOS%20DE%20PROGRAMMING/PROGRAMMING/PERSONAL/PYTHON/Image_Generator_API/imagenes/NAUTICA_CLASSICS_117009131_BLK_2.jpg")</f>
        <v/>
      </c>
      <c r="O1828">
        <f>HYPERLINK("imagenes/NAUTICA_CLASSICS_117009131_BLK_1.jpg","Ver imagen")</f>
        <v/>
      </c>
      <c r="P1828">
        <f>HYPERLINK("imagenes/NAUTICA_CLASSICS_117009131_BLK_2.jpg","Ver imagen")</f>
        <v/>
      </c>
    </row>
    <row r="1829">
      <c r="A1829" t="inlineStr">
        <is>
          <t>NAUTICA CLASSICS</t>
        </is>
      </c>
      <c r="B1829" t="inlineStr">
        <is>
          <t>117009131</t>
        </is>
      </c>
      <c r="C1829" t="inlineStr">
        <is>
          <t>STRETCH PUFFER W ELASTIC CUFF</t>
        </is>
      </c>
      <c r="D1829" t="inlineStr">
        <is>
          <t>BLK</t>
        </is>
      </c>
      <c r="E1829" t="inlineStr">
        <is>
          <t>(en blanco)</t>
        </is>
      </c>
      <c r="F1829" t="inlineStr">
        <is>
          <t>D2C</t>
        </is>
      </c>
      <c r="G1829" t="inlineStr">
        <is>
          <t>M</t>
        </is>
      </c>
      <c r="H1829" t="n">
        <v>11</v>
      </c>
      <c r="I1829" t="inlineStr">
        <is>
          <t>NAUTICA_CLASSICS_117009131_BLK_1.jpg</t>
        </is>
      </c>
      <c r="J1829" t="inlineStr">
        <is>
          <t>NAUTICA_CLASSICS_117009131_BLK_2.jpg</t>
        </is>
      </c>
      <c r="L1829">
        <f>IMAGE("file:///E:/Estudios%20y%20certificaciones/ESTUDIOS%20DE%20PROGRAMMING/PROGRAMMING/PERSONAL/PYTHON/Image_Generator_API/imagenes/NAUTICA_CLASSICS_117009131_BLK_1.jpg")</f>
        <v/>
      </c>
      <c r="M1829">
        <f>IMAGE("file:///E:/Estudios%20y%20certificaciones/ESTUDIOS%20DE%20PROGRAMMING/PROGRAMMING/PERSONAL/PYTHON/Image_Generator_API/imagenes/NAUTICA_CLASSICS_117009131_BLK_2.jpg")</f>
        <v/>
      </c>
      <c r="O1829">
        <f>HYPERLINK("imagenes/NAUTICA_CLASSICS_117009131_BLK_1.jpg","Ver imagen")</f>
        <v/>
      </c>
      <c r="P1829">
        <f>HYPERLINK("imagenes/NAUTICA_CLASSICS_117009131_BLK_2.jpg","Ver imagen")</f>
        <v/>
      </c>
    </row>
    <row r="1830">
      <c r="A1830" t="inlineStr">
        <is>
          <t>NAUTICA CLASSICS</t>
        </is>
      </c>
      <c r="B1830" t="inlineStr">
        <is>
          <t>117009131</t>
        </is>
      </c>
      <c r="C1830" t="inlineStr">
        <is>
          <t>STRETCH PUFFER W ELASTIC CUFF</t>
        </is>
      </c>
      <c r="D1830" t="inlineStr">
        <is>
          <t>BLK</t>
        </is>
      </c>
      <c r="E1830" t="inlineStr">
        <is>
          <t>(en blanco)</t>
        </is>
      </c>
      <c r="F1830" t="inlineStr">
        <is>
          <t>D2C</t>
        </is>
      </c>
      <c r="G1830" t="inlineStr">
        <is>
          <t>L</t>
        </is>
      </c>
      <c r="H1830" t="n">
        <v>11</v>
      </c>
      <c r="I1830" t="inlineStr">
        <is>
          <t>NAUTICA_CLASSICS_117009131_BLK_1.jpg</t>
        </is>
      </c>
      <c r="J1830" t="inlineStr">
        <is>
          <t>NAUTICA_CLASSICS_117009131_BLK_2.jpg</t>
        </is>
      </c>
      <c r="L1830">
        <f>IMAGE("file:///E:/Estudios%20y%20certificaciones/ESTUDIOS%20DE%20PROGRAMMING/PROGRAMMING/PERSONAL/PYTHON/Image_Generator_API/imagenes/NAUTICA_CLASSICS_117009131_BLK_1.jpg")</f>
        <v/>
      </c>
      <c r="M1830">
        <f>IMAGE("file:///E:/Estudios%20y%20certificaciones/ESTUDIOS%20DE%20PROGRAMMING/PROGRAMMING/PERSONAL/PYTHON/Image_Generator_API/imagenes/NAUTICA_CLASSICS_117009131_BLK_2.jpg")</f>
        <v/>
      </c>
      <c r="O1830">
        <f>HYPERLINK("imagenes/NAUTICA_CLASSICS_117009131_BLK_1.jpg","Ver imagen")</f>
        <v/>
      </c>
      <c r="P1830">
        <f>HYPERLINK("imagenes/NAUTICA_CLASSICS_117009131_BLK_2.jpg","Ver imagen")</f>
        <v/>
      </c>
    </row>
    <row r="1831">
      <c r="A1831" t="inlineStr">
        <is>
          <t>NAUTICA CLASSICS</t>
        </is>
      </c>
      <c r="B1831" t="inlineStr">
        <is>
          <t>117009131</t>
        </is>
      </c>
      <c r="C1831" t="inlineStr">
        <is>
          <t>STRETCH PUFFER W ELASTIC CUFF</t>
        </is>
      </c>
      <c r="D1831" t="inlineStr">
        <is>
          <t>BLK</t>
        </is>
      </c>
      <c r="E1831" t="inlineStr">
        <is>
          <t>(en blanco)</t>
        </is>
      </c>
      <c r="F1831" t="inlineStr">
        <is>
          <t>(en blanco)</t>
        </is>
      </c>
      <c r="G1831" t="inlineStr">
        <is>
          <t>XS</t>
        </is>
      </c>
      <c r="H1831" t="n">
        <v>46</v>
      </c>
      <c r="I1831" t="inlineStr">
        <is>
          <t>NAUTICA_CLASSICS_117009131_BLK_1.jpg</t>
        </is>
      </c>
      <c r="J1831" t="inlineStr">
        <is>
          <t>NAUTICA_CLASSICS_117009131_BLK_2.jpg</t>
        </is>
      </c>
      <c r="L1831">
        <f>IMAGE("file:///E:/Estudios%20y%20certificaciones/ESTUDIOS%20DE%20PROGRAMMING/PROGRAMMING/PERSONAL/PYTHON/Image_Generator_API/imagenes/NAUTICA_CLASSICS_117009131_BLK_1.jpg")</f>
        <v/>
      </c>
      <c r="M1831">
        <f>IMAGE("file:///E:/Estudios%20y%20certificaciones/ESTUDIOS%20DE%20PROGRAMMING/PROGRAMMING/PERSONAL/PYTHON/Image_Generator_API/imagenes/NAUTICA_CLASSICS_117009131_BLK_2.jpg")</f>
        <v/>
      </c>
      <c r="O1831">
        <f>HYPERLINK("imagenes/NAUTICA_CLASSICS_117009131_BLK_1.jpg","Ver imagen")</f>
        <v/>
      </c>
      <c r="P1831">
        <f>HYPERLINK("imagenes/NAUTICA_CLASSICS_117009131_BLK_2.jpg","Ver imagen")</f>
        <v/>
      </c>
    </row>
    <row r="1832">
      <c r="A1832" t="inlineStr">
        <is>
          <t>NAUTICA CLASSICS</t>
        </is>
      </c>
      <c r="B1832" t="inlineStr">
        <is>
          <t>117009131</t>
        </is>
      </c>
      <c r="C1832" t="inlineStr">
        <is>
          <t>STRETCH PUFFER W ELASTIC CUFF</t>
        </is>
      </c>
      <c r="D1832" t="inlineStr">
        <is>
          <t>BLK</t>
        </is>
      </c>
      <c r="E1832" t="inlineStr">
        <is>
          <t>(en blanco)</t>
        </is>
      </c>
      <c r="F1832" t="inlineStr">
        <is>
          <t>(en blanco)</t>
        </is>
      </c>
      <c r="G1832" t="inlineStr">
        <is>
          <t>S</t>
        </is>
      </c>
      <c r="H1832" t="n">
        <v>37</v>
      </c>
      <c r="I1832" t="inlineStr">
        <is>
          <t>NAUTICA_CLASSICS_117009131_BLK_1.jpg</t>
        </is>
      </c>
      <c r="J1832" t="inlineStr">
        <is>
          <t>NAUTICA_CLASSICS_117009131_BLK_2.jpg</t>
        </is>
      </c>
      <c r="L1832">
        <f>IMAGE("file:///E:/Estudios%20y%20certificaciones/ESTUDIOS%20DE%20PROGRAMMING/PROGRAMMING/PERSONAL/PYTHON/Image_Generator_API/imagenes/NAUTICA_CLASSICS_117009131_BLK_1.jpg")</f>
        <v/>
      </c>
      <c r="M1832">
        <f>IMAGE("file:///E:/Estudios%20y%20certificaciones/ESTUDIOS%20DE%20PROGRAMMING/PROGRAMMING/PERSONAL/PYTHON/Image_Generator_API/imagenes/NAUTICA_CLASSICS_117009131_BLK_2.jpg")</f>
        <v/>
      </c>
      <c r="O1832">
        <f>HYPERLINK("imagenes/NAUTICA_CLASSICS_117009131_BLK_1.jpg","Ver imagen")</f>
        <v/>
      </c>
      <c r="P1832">
        <f>HYPERLINK("imagenes/NAUTICA_CLASSICS_117009131_BLK_2.jpg","Ver imagen")</f>
        <v/>
      </c>
    </row>
    <row r="1833">
      <c r="A1833" t="inlineStr">
        <is>
          <t>NAUTICA CLASSICS</t>
        </is>
      </c>
      <c r="B1833" t="inlineStr">
        <is>
          <t>117009170</t>
        </is>
      </c>
      <c r="C1833" t="inlineStr">
        <is>
          <t>3/4 STRETCH JKT</t>
        </is>
      </c>
      <c r="D1833" t="inlineStr">
        <is>
          <t>BLK</t>
        </is>
      </c>
      <c r="E1833" t="inlineStr">
        <is>
          <t>08A05</t>
        </is>
      </c>
      <c r="F1833" t="inlineStr">
        <is>
          <t>(en blanco)</t>
        </is>
      </c>
      <c r="G1833" t="inlineStr">
        <is>
          <t>PPK</t>
        </is>
      </c>
      <c r="H1833" t="n">
        <v>0</v>
      </c>
      <c r="I1833" t="inlineStr">
        <is>
          <t>NAUTICA_CLASSICS_117009170_BLK_1.jpg</t>
        </is>
      </c>
      <c r="J1833" t="inlineStr">
        <is>
          <t>NAUTICA_CLASSICS_117009170_BLK_2.jpg</t>
        </is>
      </c>
      <c r="K1833" t="inlineStr">
        <is>
          <t>NAUTICA_CLASSICS_117009170_BLK_3.jpg</t>
        </is>
      </c>
      <c r="L1833">
        <f>IMAGE("file:///E:/Estudios%20y%20certificaciones/ESTUDIOS%20DE%20PROGRAMMING/PROGRAMMING/PERSONAL/PYTHON/Image_Generator_API/imagenes/NAUTICA_CLASSICS_117009170_BLK_1.jpg")</f>
        <v/>
      </c>
      <c r="M1833">
        <f>IMAGE("file:///E:/Estudios%20y%20certificaciones/ESTUDIOS%20DE%20PROGRAMMING/PROGRAMMING/PERSONAL/PYTHON/Image_Generator_API/imagenes/NAUTICA_CLASSICS_117009170_BLK_2.jpg")</f>
        <v/>
      </c>
      <c r="N1833">
        <f>IMAGE("file:///E:/Estudios%20y%20certificaciones/ESTUDIOS%20DE%20PROGRAMMING/PROGRAMMING/PERSONAL/PYTHON/Image_Generator_API/imagenes/NAUTICA_CLASSICS_117009170_BLK_3.jpg")</f>
        <v/>
      </c>
      <c r="O1833">
        <f>HYPERLINK("imagenes/NAUTICA_CLASSICS_117009170_BLK_1.jpg","Ver imagen")</f>
        <v/>
      </c>
      <c r="P1833">
        <f>HYPERLINK("imagenes/NAUTICA_CLASSICS_117009170_BLK_2.jpg","Ver imagen")</f>
        <v/>
      </c>
      <c r="Q1833">
        <f>HYPERLINK("imagenes/NAUTICA_CLASSICS_117009170_BLK_3.jpg","Ver imagen")</f>
        <v/>
      </c>
    </row>
    <row r="1834">
      <c r="A1834" t="inlineStr">
        <is>
          <t>NAUTICA CLASSICS</t>
        </is>
      </c>
      <c r="B1834" t="inlineStr">
        <is>
          <t>117009170</t>
        </is>
      </c>
      <c r="C1834" t="inlineStr">
        <is>
          <t>3/4 STRETCH JKT</t>
        </is>
      </c>
      <c r="D1834" t="inlineStr">
        <is>
          <t>BLK</t>
        </is>
      </c>
      <c r="E1834" t="inlineStr">
        <is>
          <t>(en blanco)</t>
        </is>
      </c>
      <c r="F1834" t="inlineStr">
        <is>
          <t>D2C</t>
        </is>
      </c>
      <c r="G1834" t="inlineStr">
        <is>
          <t>XS</t>
        </is>
      </c>
      <c r="H1834" t="n">
        <v>38</v>
      </c>
      <c r="I1834" t="inlineStr">
        <is>
          <t>NAUTICA_CLASSICS_117009170_BLK_1.jpg</t>
        </is>
      </c>
      <c r="J1834" t="inlineStr">
        <is>
          <t>NAUTICA_CLASSICS_117009170_BLK_2.jpg</t>
        </is>
      </c>
      <c r="K1834" t="inlineStr">
        <is>
          <t>NAUTICA_CLASSICS_117009170_BLK_3.jpg</t>
        </is>
      </c>
      <c r="L1834">
        <f>IMAGE("file:///E:/Estudios%20y%20certificaciones/ESTUDIOS%20DE%20PROGRAMMING/PROGRAMMING/PERSONAL/PYTHON/Image_Generator_API/imagenes/NAUTICA_CLASSICS_117009170_BLK_1.jpg")</f>
        <v/>
      </c>
      <c r="M1834">
        <f>IMAGE("file:///E:/Estudios%20y%20certificaciones/ESTUDIOS%20DE%20PROGRAMMING/PROGRAMMING/PERSONAL/PYTHON/Image_Generator_API/imagenes/NAUTICA_CLASSICS_117009170_BLK_2.jpg")</f>
        <v/>
      </c>
      <c r="N1834">
        <f>IMAGE("file:///E:/Estudios%20y%20certificaciones/ESTUDIOS%20DE%20PROGRAMMING/PROGRAMMING/PERSONAL/PYTHON/Image_Generator_API/imagenes/NAUTICA_CLASSICS_117009170_BLK_3.jpg")</f>
        <v/>
      </c>
      <c r="O1834">
        <f>HYPERLINK("imagenes/NAUTICA_CLASSICS_117009170_BLK_1.jpg","Ver imagen")</f>
        <v/>
      </c>
      <c r="P1834">
        <f>HYPERLINK("imagenes/NAUTICA_CLASSICS_117009170_BLK_2.jpg","Ver imagen")</f>
        <v/>
      </c>
      <c r="Q1834">
        <f>HYPERLINK("imagenes/NAUTICA_CLASSICS_117009170_BLK_3.jpg","Ver imagen")</f>
        <v/>
      </c>
    </row>
    <row r="1835">
      <c r="A1835" t="inlineStr">
        <is>
          <t>NAUTICA CLASSICS</t>
        </is>
      </c>
      <c r="B1835" t="inlineStr">
        <is>
          <t>117009170</t>
        </is>
      </c>
      <c r="C1835" t="inlineStr">
        <is>
          <t>3/4 STRETCH JKT</t>
        </is>
      </c>
      <c r="D1835" t="inlineStr">
        <is>
          <t>BLK</t>
        </is>
      </c>
      <c r="E1835" t="inlineStr">
        <is>
          <t>(en blanco)</t>
        </is>
      </c>
      <c r="F1835" t="inlineStr">
        <is>
          <t>D2C</t>
        </is>
      </c>
      <c r="G1835" t="inlineStr">
        <is>
          <t>S</t>
        </is>
      </c>
      <c r="H1835" t="n">
        <v>53</v>
      </c>
      <c r="I1835" t="inlineStr">
        <is>
          <t>NAUTICA_CLASSICS_117009170_BLK_1.jpg</t>
        </is>
      </c>
      <c r="J1835" t="inlineStr">
        <is>
          <t>NAUTICA_CLASSICS_117009170_BLK_2.jpg</t>
        </is>
      </c>
      <c r="K1835" t="inlineStr">
        <is>
          <t>NAUTICA_CLASSICS_117009170_BLK_3.jpg</t>
        </is>
      </c>
      <c r="L1835">
        <f>IMAGE("file:///E:/Estudios%20y%20certificaciones/ESTUDIOS%20DE%20PROGRAMMING/PROGRAMMING/PERSONAL/PYTHON/Image_Generator_API/imagenes/NAUTICA_CLASSICS_117009170_BLK_1.jpg")</f>
        <v/>
      </c>
      <c r="M1835">
        <f>IMAGE("file:///E:/Estudios%20y%20certificaciones/ESTUDIOS%20DE%20PROGRAMMING/PROGRAMMING/PERSONAL/PYTHON/Image_Generator_API/imagenes/NAUTICA_CLASSICS_117009170_BLK_2.jpg")</f>
        <v/>
      </c>
      <c r="N1835">
        <f>IMAGE("file:///E:/Estudios%20y%20certificaciones/ESTUDIOS%20DE%20PROGRAMMING/PROGRAMMING/PERSONAL/PYTHON/Image_Generator_API/imagenes/NAUTICA_CLASSICS_117009170_BLK_3.jpg")</f>
        <v/>
      </c>
      <c r="O1835">
        <f>HYPERLINK("imagenes/NAUTICA_CLASSICS_117009170_BLK_1.jpg","Ver imagen")</f>
        <v/>
      </c>
      <c r="P1835">
        <f>HYPERLINK("imagenes/NAUTICA_CLASSICS_117009170_BLK_2.jpg","Ver imagen")</f>
        <v/>
      </c>
      <c r="Q1835">
        <f>HYPERLINK("imagenes/NAUTICA_CLASSICS_117009170_BLK_3.jpg","Ver imagen")</f>
        <v/>
      </c>
    </row>
    <row r="1836">
      <c r="A1836" t="inlineStr">
        <is>
          <t>NAUTICA CLASSICS</t>
        </is>
      </c>
      <c r="B1836" t="inlineStr">
        <is>
          <t>117009170</t>
        </is>
      </c>
      <c r="C1836" t="inlineStr">
        <is>
          <t>3/4 STRETCH JKT</t>
        </is>
      </c>
      <c r="D1836" t="inlineStr">
        <is>
          <t>BLK</t>
        </is>
      </c>
      <c r="E1836" t="inlineStr">
        <is>
          <t>(en blanco)</t>
        </is>
      </c>
      <c r="F1836" t="inlineStr">
        <is>
          <t>D2C</t>
        </is>
      </c>
      <c r="G1836" t="inlineStr">
        <is>
          <t>M</t>
        </is>
      </c>
      <c r="H1836" t="n">
        <v>22</v>
      </c>
      <c r="I1836" t="inlineStr">
        <is>
          <t>NAUTICA_CLASSICS_117009170_BLK_1.jpg</t>
        </is>
      </c>
      <c r="J1836" t="inlineStr">
        <is>
          <t>NAUTICA_CLASSICS_117009170_BLK_2.jpg</t>
        </is>
      </c>
      <c r="K1836" t="inlineStr">
        <is>
          <t>NAUTICA_CLASSICS_117009170_BLK_3.jpg</t>
        </is>
      </c>
      <c r="L1836">
        <f>IMAGE("file:///E:/Estudios%20y%20certificaciones/ESTUDIOS%20DE%20PROGRAMMING/PROGRAMMING/PERSONAL/PYTHON/Image_Generator_API/imagenes/NAUTICA_CLASSICS_117009170_BLK_1.jpg")</f>
        <v/>
      </c>
      <c r="M1836">
        <f>IMAGE("file:///E:/Estudios%20y%20certificaciones/ESTUDIOS%20DE%20PROGRAMMING/PROGRAMMING/PERSONAL/PYTHON/Image_Generator_API/imagenes/NAUTICA_CLASSICS_117009170_BLK_2.jpg")</f>
        <v/>
      </c>
      <c r="N1836">
        <f>IMAGE("file:///E:/Estudios%20y%20certificaciones/ESTUDIOS%20DE%20PROGRAMMING/PROGRAMMING/PERSONAL/PYTHON/Image_Generator_API/imagenes/NAUTICA_CLASSICS_117009170_BLK_3.jpg")</f>
        <v/>
      </c>
      <c r="O1836">
        <f>HYPERLINK("imagenes/NAUTICA_CLASSICS_117009170_BLK_1.jpg","Ver imagen")</f>
        <v/>
      </c>
      <c r="P1836">
        <f>HYPERLINK("imagenes/NAUTICA_CLASSICS_117009170_BLK_2.jpg","Ver imagen")</f>
        <v/>
      </c>
      <c r="Q1836">
        <f>HYPERLINK("imagenes/NAUTICA_CLASSICS_117009170_BLK_3.jpg","Ver imagen")</f>
        <v/>
      </c>
    </row>
    <row r="1837">
      <c r="A1837" t="inlineStr">
        <is>
          <t>NAUTICA CLASSICS</t>
        </is>
      </c>
      <c r="B1837" t="inlineStr">
        <is>
          <t>117009170</t>
        </is>
      </c>
      <c r="C1837" t="inlineStr">
        <is>
          <t>3/4 STRETCH JKT</t>
        </is>
      </c>
      <c r="D1837" t="inlineStr">
        <is>
          <t>BLK</t>
        </is>
      </c>
      <c r="E1837" t="inlineStr">
        <is>
          <t>(en blanco)</t>
        </is>
      </c>
      <c r="F1837" t="inlineStr">
        <is>
          <t>D2C</t>
        </is>
      </c>
      <c r="G1837" t="inlineStr">
        <is>
          <t>L</t>
        </is>
      </c>
      <c r="H1837" t="n">
        <v>17</v>
      </c>
      <c r="I1837" t="inlineStr">
        <is>
          <t>NAUTICA_CLASSICS_117009170_BLK_1.jpg</t>
        </is>
      </c>
      <c r="J1837" t="inlineStr">
        <is>
          <t>NAUTICA_CLASSICS_117009170_BLK_2.jpg</t>
        </is>
      </c>
      <c r="K1837" t="inlineStr">
        <is>
          <t>NAUTICA_CLASSICS_117009170_BLK_3.jpg</t>
        </is>
      </c>
      <c r="L1837">
        <f>IMAGE("file:///E:/Estudios%20y%20certificaciones/ESTUDIOS%20DE%20PROGRAMMING/PROGRAMMING/PERSONAL/PYTHON/Image_Generator_API/imagenes/NAUTICA_CLASSICS_117009170_BLK_1.jpg")</f>
        <v/>
      </c>
      <c r="M1837">
        <f>IMAGE("file:///E:/Estudios%20y%20certificaciones/ESTUDIOS%20DE%20PROGRAMMING/PROGRAMMING/PERSONAL/PYTHON/Image_Generator_API/imagenes/NAUTICA_CLASSICS_117009170_BLK_2.jpg")</f>
        <v/>
      </c>
      <c r="N1837">
        <f>IMAGE("file:///E:/Estudios%20y%20certificaciones/ESTUDIOS%20DE%20PROGRAMMING/PROGRAMMING/PERSONAL/PYTHON/Image_Generator_API/imagenes/NAUTICA_CLASSICS_117009170_BLK_3.jpg")</f>
        <v/>
      </c>
      <c r="O1837">
        <f>HYPERLINK("imagenes/NAUTICA_CLASSICS_117009170_BLK_1.jpg","Ver imagen")</f>
        <v/>
      </c>
      <c r="P1837">
        <f>HYPERLINK("imagenes/NAUTICA_CLASSICS_117009170_BLK_2.jpg","Ver imagen")</f>
        <v/>
      </c>
      <c r="Q1837">
        <f>HYPERLINK("imagenes/NAUTICA_CLASSICS_117009170_BLK_3.jpg","Ver imagen")</f>
        <v/>
      </c>
    </row>
    <row r="1838">
      <c r="A1838" t="inlineStr">
        <is>
          <t>NAUTICA CLASSICS</t>
        </is>
      </c>
      <c r="B1838" t="inlineStr">
        <is>
          <t>117009170</t>
        </is>
      </c>
      <c r="C1838" t="inlineStr">
        <is>
          <t>3/4 STRETCH JKT</t>
        </is>
      </c>
      <c r="D1838" t="inlineStr">
        <is>
          <t>NSS</t>
        </is>
      </c>
      <c r="E1838" t="inlineStr">
        <is>
          <t>08A05</t>
        </is>
      </c>
      <c r="F1838" t="inlineStr">
        <is>
          <t>(en blanco)</t>
        </is>
      </c>
      <c r="G1838" t="inlineStr">
        <is>
          <t>PPK</t>
        </is>
      </c>
      <c r="H1838" t="n">
        <v>0</v>
      </c>
      <c r="I1838" t="inlineStr">
        <is>
          <t>NAUTICA_CLASSICS_117009170_NSS_1.jpg</t>
        </is>
      </c>
      <c r="J1838" t="inlineStr">
        <is>
          <t>NAUTICA_CLASSICS_117009170_NSS_2.jpg</t>
        </is>
      </c>
      <c r="K1838" t="inlineStr">
        <is>
          <t>NAUTICA_CLASSICS_117009170_NSS_3.jpg</t>
        </is>
      </c>
      <c r="L1838">
        <f>IMAGE("file:///E:/Estudios%20y%20certificaciones/ESTUDIOS%20DE%20PROGRAMMING/PROGRAMMING/PERSONAL/PYTHON/Image_Generator_API/imagenes/NAUTICA_CLASSICS_117009170_NSS_1.jpg")</f>
        <v/>
      </c>
      <c r="M1838">
        <f>IMAGE("file:///E:/Estudios%20y%20certificaciones/ESTUDIOS%20DE%20PROGRAMMING/PROGRAMMING/PERSONAL/PYTHON/Image_Generator_API/imagenes/NAUTICA_CLASSICS_117009170_NSS_2.jpg")</f>
        <v/>
      </c>
      <c r="N1838">
        <f>IMAGE("file:///E:/Estudios%20y%20certificaciones/ESTUDIOS%20DE%20PROGRAMMING/PROGRAMMING/PERSONAL/PYTHON/Image_Generator_API/imagenes/NAUTICA_CLASSICS_117009170_NSS_3.jpg")</f>
        <v/>
      </c>
      <c r="O1838">
        <f>HYPERLINK("imagenes/NAUTICA_CLASSICS_117009170_NSS_1.jpg","Ver imagen")</f>
        <v/>
      </c>
      <c r="P1838">
        <f>HYPERLINK("imagenes/NAUTICA_CLASSICS_117009170_NSS_2.jpg","Ver imagen")</f>
        <v/>
      </c>
      <c r="Q1838">
        <f>HYPERLINK("imagenes/NAUTICA_CLASSICS_117009170_NSS_3.jpg","Ver imagen")</f>
        <v/>
      </c>
    </row>
    <row r="1839">
      <c r="A1839" t="inlineStr">
        <is>
          <t>NAUTICA CLASSICS</t>
        </is>
      </c>
      <c r="B1839" t="inlineStr">
        <is>
          <t>117009170</t>
        </is>
      </c>
      <c r="C1839" t="inlineStr">
        <is>
          <t>3/4 STRETCH JKT</t>
        </is>
      </c>
      <c r="D1839" t="inlineStr">
        <is>
          <t>NSS</t>
        </is>
      </c>
      <c r="E1839" t="inlineStr">
        <is>
          <t>(en blanco)</t>
        </is>
      </c>
      <c r="F1839" t="inlineStr">
        <is>
          <t>D2C</t>
        </is>
      </c>
      <c r="G1839" t="inlineStr">
        <is>
          <t>XS</t>
        </is>
      </c>
      <c r="H1839" t="n">
        <v>17</v>
      </c>
      <c r="I1839" t="inlineStr">
        <is>
          <t>NAUTICA_CLASSICS_117009170_NSS_1.jpg</t>
        </is>
      </c>
      <c r="J1839" t="inlineStr">
        <is>
          <t>NAUTICA_CLASSICS_117009170_NSS_2.jpg</t>
        </is>
      </c>
      <c r="K1839" t="inlineStr">
        <is>
          <t>NAUTICA_CLASSICS_117009170_NSS_3.jpg</t>
        </is>
      </c>
      <c r="L1839">
        <f>IMAGE("file:///E:/Estudios%20y%20certificaciones/ESTUDIOS%20DE%20PROGRAMMING/PROGRAMMING/PERSONAL/PYTHON/Image_Generator_API/imagenes/NAUTICA_CLASSICS_117009170_NSS_1.jpg")</f>
        <v/>
      </c>
      <c r="M1839">
        <f>IMAGE("file:///E:/Estudios%20y%20certificaciones/ESTUDIOS%20DE%20PROGRAMMING/PROGRAMMING/PERSONAL/PYTHON/Image_Generator_API/imagenes/NAUTICA_CLASSICS_117009170_NSS_2.jpg")</f>
        <v/>
      </c>
      <c r="N1839">
        <f>IMAGE("file:///E:/Estudios%20y%20certificaciones/ESTUDIOS%20DE%20PROGRAMMING/PROGRAMMING/PERSONAL/PYTHON/Image_Generator_API/imagenes/NAUTICA_CLASSICS_117009170_NSS_3.jpg")</f>
        <v/>
      </c>
      <c r="O1839">
        <f>HYPERLINK("imagenes/NAUTICA_CLASSICS_117009170_NSS_1.jpg","Ver imagen")</f>
        <v/>
      </c>
      <c r="P1839">
        <f>HYPERLINK("imagenes/NAUTICA_CLASSICS_117009170_NSS_2.jpg","Ver imagen")</f>
        <v/>
      </c>
      <c r="Q1839">
        <f>HYPERLINK("imagenes/NAUTICA_CLASSICS_117009170_NSS_3.jpg","Ver imagen")</f>
        <v/>
      </c>
    </row>
    <row r="1840">
      <c r="A1840" t="inlineStr">
        <is>
          <t>NAUTICA CLASSICS</t>
        </is>
      </c>
      <c r="B1840" t="inlineStr">
        <is>
          <t>117009170</t>
        </is>
      </c>
      <c r="C1840" t="inlineStr">
        <is>
          <t>3/4 STRETCH JKT</t>
        </is>
      </c>
      <c r="D1840" t="inlineStr">
        <is>
          <t>NSS</t>
        </is>
      </c>
      <c r="E1840" t="inlineStr">
        <is>
          <t>(en blanco)</t>
        </is>
      </c>
      <c r="F1840" t="inlineStr">
        <is>
          <t>D2C</t>
        </is>
      </c>
      <c r="G1840" t="inlineStr">
        <is>
          <t>S</t>
        </is>
      </c>
      <c r="H1840" t="n">
        <v>18</v>
      </c>
      <c r="I1840" t="inlineStr">
        <is>
          <t>NAUTICA_CLASSICS_117009170_NSS_1.jpg</t>
        </is>
      </c>
      <c r="J1840" t="inlineStr">
        <is>
          <t>NAUTICA_CLASSICS_117009170_NSS_2.jpg</t>
        </is>
      </c>
      <c r="K1840" t="inlineStr">
        <is>
          <t>NAUTICA_CLASSICS_117009170_NSS_3.jpg</t>
        </is>
      </c>
      <c r="L1840">
        <f>IMAGE("file:///E:/Estudios%20y%20certificaciones/ESTUDIOS%20DE%20PROGRAMMING/PROGRAMMING/PERSONAL/PYTHON/Image_Generator_API/imagenes/NAUTICA_CLASSICS_117009170_NSS_1.jpg")</f>
        <v/>
      </c>
      <c r="M1840">
        <f>IMAGE("file:///E:/Estudios%20y%20certificaciones/ESTUDIOS%20DE%20PROGRAMMING/PROGRAMMING/PERSONAL/PYTHON/Image_Generator_API/imagenes/NAUTICA_CLASSICS_117009170_NSS_2.jpg")</f>
        <v/>
      </c>
      <c r="N1840">
        <f>IMAGE("file:///E:/Estudios%20y%20certificaciones/ESTUDIOS%20DE%20PROGRAMMING/PROGRAMMING/PERSONAL/PYTHON/Image_Generator_API/imagenes/NAUTICA_CLASSICS_117009170_NSS_3.jpg")</f>
        <v/>
      </c>
      <c r="O1840">
        <f>HYPERLINK("imagenes/NAUTICA_CLASSICS_117009170_NSS_1.jpg","Ver imagen")</f>
        <v/>
      </c>
      <c r="P1840">
        <f>HYPERLINK("imagenes/NAUTICA_CLASSICS_117009170_NSS_2.jpg","Ver imagen")</f>
        <v/>
      </c>
      <c r="Q1840">
        <f>HYPERLINK("imagenes/NAUTICA_CLASSICS_117009170_NSS_3.jpg","Ver imagen")</f>
        <v/>
      </c>
    </row>
    <row r="1841">
      <c r="A1841" t="inlineStr">
        <is>
          <t>NAUTICA CLASSICS</t>
        </is>
      </c>
      <c r="B1841" t="inlineStr">
        <is>
          <t>117009170</t>
        </is>
      </c>
      <c r="C1841" t="inlineStr">
        <is>
          <t>3/4 STRETCH JKT</t>
        </is>
      </c>
      <c r="D1841" t="inlineStr">
        <is>
          <t>NSS</t>
        </is>
      </c>
      <c r="E1841" t="inlineStr">
        <is>
          <t>(en blanco)</t>
        </is>
      </c>
      <c r="F1841" t="inlineStr">
        <is>
          <t>D2C</t>
        </is>
      </c>
      <c r="G1841" t="inlineStr">
        <is>
          <t>M</t>
        </is>
      </c>
      <c r="H1841" t="n">
        <v>1</v>
      </c>
      <c r="I1841" t="inlineStr">
        <is>
          <t>NAUTICA_CLASSICS_117009170_NSS_1.jpg</t>
        </is>
      </c>
      <c r="J1841" t="inlineStr">
        <is>
          <t>NAUTICA_CLASSICS_117009170_NSS_2.jpg</t>
        </is>
      </c>
      <c r="K1841" t="inlineStr">
        <is>
          <t>NAUTICA_CLASSICS_117009170_NSS_3.jpg</t>
        </is>
      </c>
      <c r="L1841">
        <f>IMAGE("file:///E:/Estudios%20y%20certificaciones/ESTUDIOS%20DE%20PROGRAMMING/PROGRAMMING/PERSONAL/PYTHON/Image_Generator_API/imagenes/NAUTICA_CLASSICS_117009170_NSS_1.jpg")</f>
        <v/>
      </c>
      <c r="M1841">
        <f>IMAGE("file:///E:/Estudios%20y%20certificaciones/ESTUDIOS%20DE%20PROGRAMMING/PROGRAMMING/PERSONAL/PYTHON/Image_Generator_API/imagenes/NAUTICA_CLASSICS_117009170_NSS_2.jpg")</f>
        <v/>
      </c>
      <c r="N1841">
        <f>IMAGE("file:///E:/Estudios%20y%20certificaciones/ESTUDIOS%20DE%20PROGRAMMING/PROGRAMMING/PERSONAL/PYTHON/Image_Generator_API/imagenes/NAUTICA_CLASSICS_117009170_NSS_3.jpg")</f>
        <v/>
      </c>
      <c r="O1841">
        <f>HYPERLINK("imagenes/NAUTICA_CLASSICS_117009170_NSS_1.jpg","Ver imagen")</f>
        <v/>
      </c>
      <c r="P1841">
        <f>HYPERLINK("imagenes/NAUTICA_CLASSICS_117009170_NSS_2.jpg","Ver imagen")</f>
        <v/>
      </c>
      <c r="Q1841">
        <f>HYPERLINK("imagenes/NAUTICA_CLASSICS_117009170_NSS_3.jpg","Ver imagen")</f>
        <v/>
      </c>
    </row>
    <row r="1842">
      <c r="A1842" t="inlineStr">
        <is>
          <t>NAUTICA CLASSICS</t>
        </is>
      </c>
      <c r="B1842" t="inlineStr">
        <is>
          <t>117009170</t>
        </is>
      </c>
      <c r="C1842" t="inlineStr">
        <is>
          <t>3/4 STRETCH JKT</t>
        </is>
      </c>
      <c r="D1842" t="inlineStr">
        <is>
          <t>NSS</t>
        </is>
      </c>
      <c r="E1842" t="inlineStr">
        <is>
          <t>(en blanco)</t>
        </is>
      </c>
      <c r="F1842" t="inlineStr">
        <is>
          <t>(en blanco)</t>
        </is>
      </c>
      <c r="G1842" t="inlineStr">
        <is>
          <t>L</t>
        </is>
      </c>
      <c r="H1842" t="n">
        <v>0</v>
      </c>
      <c r="I1842" t="inlineStr">
        <is>
          <t>NAUTICA_CLASSICS_117009170_NSS_1.jpg</t>
        </is>
      </c>
      <c r="J1842" t="inlineStr">
        <is>
          <t>NAUTICA_CLASSICS_117009170_NSS_2.jpg</t>
        </is>
      </c>
      <c r="K1842" t="inlineStr">
        <is>
          <t>NAUTICA_CLASSICS_117009170_NSS_3.jpg</t>
        </is>
      </c>
      <c r="L1842">
        <f>IMAGE("file:///E:/Estudios%20y%20certificaciones/ESTUDIOS%20DE%20PROGRAMMING/PROGRAMMING/PERSONAL/PYTHON/Image_Generator_API/imagenes/NAUTICA_CLASSICS_117009170_NSS_1.jpg")</f>
        <v/>
      </c>
      <c r="M1842">
        <f>IMAGE("file:///E:/Estudios%20y%20certificaciones/ESTUDIOS%20DE%20PROGRAMMING/PROGRAMMING/PERSONAL/PYTHON/Image_Generator_API/imagenes/NAUTICA_CLASSICS_117009170_NSS_2.jpg")</f>
        <v/>
      </c>
      <c r="N1842">
        <f>IMAGE("file:///E:/Estudios%20y%20certificaciones/ESTUDIOS%20DE%20PROGRAMMING/PROGRAMMING/PERSONAL/PYTHON/Image_Generator_API/imagenes/NAUTICA_CLASSICS_117009170_NSS_3.jpg")</f>
        <v/>
      </c>
      <c r="O1842">
        <f>HYPERLINK("imagenes/NAUTICA_CLASSICS_117009170_NSS_1.jpg","Ver imagen")</f>
        <v/>
      </c>
      <c r="P1842">
        <f>HYPERLINK("imagenes/NAUTICA_CLASSICS_117009170_NSS_2.jpg","Ver imagen")</f>
        <v/>
      </c>
      <c r="Q1842">
        <f>HYPERLINK("imagenes/NAUTICA_CLASSICS_117009170_NSS_3.jpg","Ver imagen")</f>
        <v/>
      </c>
    </row>
    <row r="1843">
      <c r="A1843" t="inlineStr">
        <is>
          <t>NAUTICA CLASSICS</t>
        </is>
      </c>
      <c r="B1843" t="inlineStr">
        <is>
          <t>117009170</t>
        </is>
      </c>
      <c r="C1843" t="inlineStr">
        <is>
          <t>3/4 STRETCH JKT</t>
        </is>
      </c>
      <c r="D1843" t="inlineStr">
        <is>
          <t>PRY</t>
        </is>
      </c>
      <c r="E1843" t="inlineStr">
        <is>
          <t>(en blanco)</t>
        </is>
      </c>
      <c r="F1843" t="inlineStr">
        <is>
          <t>(en blanco)</t>
        </is>
      </c>
      <c r="G1843" t="inlineStr">
        <is>
          <t>XS</t>
        </is>
      </c>
      <c r="H1843" t="n">
        <v>4</v>
      </c>
      <c r="I1843" t="inlineStr">
        <is>
          <t>NAUTICA_CLASSICS_117009170_PRY_1.jpg</t>
        </is>
      </c>
      <c r="J1843" t="inlineStr">
        <is>
          <t>NAUTICA_CLASSICS_117009170_PRY_2.jpg</t>
        </is>
      </c>
      <c r="K1843" t="inlineStr">
        <is>
          <t>NAUTICA_CLASSICS_117009170_PRY_3.jpg</t>
        </is>
      </c>
      <c r="L1843">
        <f>IMAGE("file:///E:/Estudios%20y%20certificaciones/ESTUDIOS%20DE%20PROGRAMMING/PROGRAMMING/PERSONAL/PYTHON/Image_Generator_API/imagenes/NAUTICA_CLASSICS_117009170_PRY_1.jpg")</f>
        <v/>
      </c>
      <c r="M1843">
        <f>IMAGE("file:///E:/Estudios%20y%20certificaciones/ESTUDIOS%20DE%20PROGRAMMING/PROGRAMMING/PERSONAL/PYTHON/Image_Generator_API/imagenes/NAUTICA_CLASSICS_117009170_PRY_2.jpg")</f>
        <v/>
      </c>
      <c r="N1843">
        <f>IMAGE("file:///E:/Estudios%20y%20certificaciones/ESTUDIOS%20DE%20PROGRAMMING/PROGRAMMING/PERSONAL/PYTHON/Image_Generator_API/imagenes/NAUTICA_CLASSICS_117009170_PRY_3.jpg")</f>
        <v/>
      </c>
      <c r="O1843">
        <f>HYPERLINK("imagenes/NAUTICA_CLASSICS_117009170_PRY_1.jpg","Ver imagen")</f>
        <v/>
      </c>
      <c r="P1843">
        <f>HYPERLINK("imagenes/NAUTICA_CLASSICS_117009170_PRY_2.jpg","Ver imagen")</f>
        <v/>
      </c>
      <c r="Q1843">
        <f>HYPERLINK("imagenes/NAUTICA_CLASSICS_117009170_PRY_3.jpg","Ver imagen")</f>
        <v/>
      </c>
    </row>
    <row r="1844">
      <c r="A1844" t="inlineStr">
        <is>
          <t>NAUTICA CLASSICS</t>
        </is>
      </c>
      <c r="B1844" t="inlineStr">
        <is>
          <t>117009170</t>
        </is>
      </c>
      <c r="C1844" t="inlineStr">
        <is>
          <t>3/4 STRETCH JKT</t>
        </is>
      </c>
      <c r="D1844" t="inlineStr">
        <is>
          <t>PRY</t>
        </is>
      </c>
      <c r="E1844" t="inlineStr">
        <is>
          <t>(en blanco)</t>
        </is>
      </c>
      <c r="F1844" t="inlineStr">
        <is>
          <t>(en blanco)</t>
        </is>
      </c>
      <c r="G1844" t="inlineStr">
        <is>
          <t>S</t>
        </is>
      </c>
      <c r="H1844" t="n">
        <v>2</v>
      </c>
      <c r="I1844" t="inlineStr">
        <is>
          <t>NAUTICA_CLASSICS_117009170_PRY_1.jpg</t>
        </is>
      </c>
      <c r="J1844" t="inlineStr">
        <is>
          <t>NAUTICA_CLASSICS_117009170_PRY_2.jpg</t>
        </is>
      </c>
      <c r="K1844" t="inlineStr">
        <is>
          <t>NAUTICA_CLASSICS_117009170_PRY_3.jpg</t>
        </is>
      </c>
      <c r="L1844">
        <f>IMAGE("file:///E:/Estudios%20y%20certificaciones/ESTUDIOS%20DE%20PROGRAMMING/PROGRAMMING/PERSONAL/PYTHON/Image_Generator_API/imagenes/NAUTICA_CLASSICS_117009170_PRY_1.jpg")</f>
        <v/>
      </c>
      <c r="M1844">
        <f>IMAGE("file:///E:/Estudios%20y%20certificaciones/ESTUDIOS%20DE%20PROGRAMMING/PROGRAMMING/PERSONAL/PYTHON/Image_Generator_API/imagenes/NAUTICA_CLASSICS_117009170_PRY_2.jpg")</f>
        <v/>
      </c>
      <c r="N1844">
        <f>IMAGE("file:///E:/Estudios%20y%20certificaciones/ESTUDIOS%20DE%20PROGRAMMING/PROGRAMMING/PERSONAL/PYTHON/Image_Generator_API/imagenes/NAUTICA_CLASSICS_117009170_PRY_3.jpg")</f>
        <v/>
      </c>
      <c r="O1844">
        <f>HYPERLINK("imagenes/NAUTICA_CLASSICS_117009170_PRY_1.jpg","Ver imagen")</f>
        <v/>
      </c>
      <c r="P1844">
        <f>HYPERLINK("imagenes/NAUTICA_CLASSICS_117009170_PRY_2.jpg","Ver imagen")</f>
        <v/>
      </c>
      <c r="Q1844">
        <f>HYPERLINK("imagenes/NAUTICA_CLASSICS_117009170_PRY_3.jpg","Ver imagen")</f>
        <v/>
      </c>
    </row>
    <row r="1845">
      <c r="A1845" t="inlineStr">
        <is>
          <t>NAUTICA CLASSICS</t>
        </is>
      </c>
      <c r="B1845" t="inlineStr">
        <is>
          <t>117009171</t>
        </is>
      </c>
      <c r="C1845" t="inlineStr">
        <is>
          <t>3/4 STRETCH PUFFER</t>
        </is>
      </c>
      <c r="D1845" t="inlineStr">
        <is>
          <t>B4K</t>
        </is>
      </c>
      <c r="E1845" t="inlineStr">
        <is>
          <t>08A05</t>
        </is>
      </c>
      <c r="F1845" t="inlineStr">
        <is>
          <t>(en blanco)</t>
        </is>
      </c>
      <c r="G1845" t="inlineStr">
        <is>
          <t>PPK</t>
        </is>
      </c>
      <c r="H1845" t="n">
        <v>608</v>
      </c>
      <c r="I1845" t="inlineStr">
        <is>
          <t>NAUTICA_CLASSICS_117009171_B4K_1.jpg</t>
        </is>
      </c>
      <c r="J1845" t="inlineStr">
        <is>
          <t>NAUTICA_CLASSICS_117009171_B4K_2.jpg</t>
        </is>
      </c>
      <c r="K1845" t="inlineStr">
        <is>
          <t>NAUTICA_CLASSICS_117009171_B4K_3.jpg</t>
        </is>
      </c>
      <c r="L1845">
        <f>IMAGE("file:///E:/Estudios%20y%20certificaciones/ESTUDIOS%20DE%20PROGRAMMING/PROGRAMMING/PERSONAL/PYTHON/Image_Generator_API/imagenes/NAUTICA_CLASSICS_117009171_B4K_1.jpg")</f>
        <v/>
      </c>
      <c r="M1845">
        <f>IMAGE("file:///E:/Estudios%20y%20certificaciones/ESTUDIOS%20DE%20PROGRAMMING/PROGRAMMING/PERSONAL/PYTHON/Image_Generator_API/imagenes/NAUTICA_CLASSICS_117009171_B4K_2.jpg")</f>
        <v/>
      </c>
      <c r="N1845">
        <f>IMAGE("file:///E:/Estudios%20y%20certificaciones/ESTUDIOS%20DE%20PROGRAMMING/PROGRAMMING/PERSONAL/PYTHON/Image_Generator_API/imagenes/NAUTICA_CLASSICS_117009171_B4K_3.jpg")</f>
        <v/>
      </c>
      <c r="O1845">
        <f>HYPERLINK("imagenes/NAUTICA_CLASSICS_117009171_B4K_1.jpg","Ver imagen")</f>
        <v/>
      </c>
      <c r="P1845">
        <f>HYPERLINK("imagenes/NAUTICA_CLASSICS_117009171_B4K_2.jpg","Ver imagen")</f>
        <v/>
      </c>
      <c r="Q1845">
        <f>HYPERLINK("imagenes/NAUTICA_CLASSICS_117009171_B4K_3.jpg","Ver imagen")</f>
        <v/>
      </c>
    </row>
    <row r="1846">
      <c r="A1846" t="inlineStr">
        <is>
          <t>NAUTICA CLASSICS</t>
        </is>
      </c>
      <c r="B1846" t="inlineStr">
        <is>
          <t>117009171</t>
        </is>
      </c>
      <c r="C1846" t="inlineStr">
        <is>
          <t>3/4 STRETCH PUFFER</t>
        </is>
      </c>
      <c r="D1846" t="inlineStr">
        <is>
          <t>B4K</t>
        </is>
      </c>
      <c r="E1846" t="inlineStr">
        <is>
          <t>(en blanco)</t>
        </is>
      </c>
      <c r="F1846" t="inlineStr">
        <is>
          <t>D2C</t>
        </is>
      </c>
      <c r="G1846" t="inlineStr">
        <is>
          <t>XS</t>
        </is>
      </c>
      <c r="H1846" t="n">
        <v>10</v>
      </c>
      <c r="I1846" t="inlineStr">
        <is>
          <t>NAUTICA_CLASSICS_117009171_B4K_1.jpg</t>
        </is>
      </c>
      <c r="J1846" t="inlineStr">
        <is>
          <t>NAUTICA_CLASSICS_117009171_B4K_2.jpg</t>
        </is>
      </c>
      <c r="K1846" t="inlineStr">
        <is>
          <t>NAUTICA_CLASSICS_117009171_B4K_3.jpg</t>
        </is>
      </c>
      <c r="L1846">
        <f>IMAGE("file:///E:/Estudios%20y%20certificaciones/ESTUDIOS%20DE%20PROGRAMMING/PROGRAMMING/PERSONAL/PYTHON/Image_Generator_API/imagenes/NAUTICA_CLASSICS_117009171_B4K_1.jpg")</f>
        <v/>
      </c>
      <c r="M1846">
        <f>IMAGE("file:///E:/Estudios%20y%20certificaciones/ESTUDIOS%20DE%20PROGRAMMING/PROGRAMMING/PERSONAL/PYTHON/Image_Generator_API/imagenes/NAUTICA_CLASSICS_117009171_B4K_2.jpg")</f>
        <v/>
      </c>
      <c r="N1846">
        <f>IMAGE("file:///E:/Estudios%20y%20certificaciones/ESTUDIOS%20DE%20PROGRAMMING/PROGRAMMING/PERSONAL/PYTHON/Image_Generator_API/imagenes/NAUTICA_CLASSICS_117009171_B4K_3.jpg")</f>
        <v/>
      </c>
      <c r="O1846">
        <f>HYPERLINK("imagenes/NAUTICA_CLASSICS_117009171_B4K_1.jpg","Ver imagen")</f>
        <v/>
      </c>
      <c r="P1846">
        <f>HYPERLINK("imagenes/NAUTICA_CLASSICS_117009171_B4K_2.jpg","Ver imagen")</f>
        <v/>
      </c>
      <c r="Q1846">
        <f>HYPERLINK("imagenes/NAUTICA_CLASSICS_117009171_B4K_3.jpg","Ver imagen")</f>
        <v/>
      </c>
    </row>
    <row r="1847">
      <c r="A1847" t="inlineStr">
        <is>
          <t>NAUTICA CLASSICS</t>
        </is>
      </c>
      <c r="B1847" t="inlineStr">
        <is>
          <t>117009171</t>
        </is>
      </c>
      <c r="C1847" t="inlineStr">
        <is>
          <t>3/4 STRETCH PUFFER</t>
        </is>
      </c>
      <c r="D1847" t="inlineStr">
        <is>
          <t>B4K</t>
        </is>
      </c>
      <c r="E1847" t="inlineStr">
        <is>
          <t>(en blanco)</t>
        </is>
      </c>
      <c r="F1847" t="inlineStr">
        <is>
          <t>D2C</t>
        </is>
      </c>
      <c r="G1847" t="inlineStr">
        <is>
          <t>S</t>
        </is>
      </c>
      <c r="H1847" t="n">
        <v>20</v>
      </c>
      <c r="I1847" t="inlineStr">
        <is>
          <t>NAUTICA_CLASSICS_117009171_B4K_1.jpg</t>
        </is>
      </c>
      <c r="J1847" t="inlineStr">
        <is>
          <t>NAUTICA_CLASSICS_117009171_B4K_2.jpg</t>
        </is>
      </c>
      <c r="K1847" t="inlineStr">
        <is>
          <t>NAUTICA_CLASSICS_117009171_B4K_3.jpg</t>
        </is>
      </c>
      <c r="L1847">
        <f>IMAGE("file:///E:/Estudios%20y%20certificaciones/ESTUDIOS%20DE%20PROGRAMMING/PROGRAMMING/PERSONAL/PYTHON/Image_Generator_API/imagenes/NAUTICA_CLASSICS_117009171_B4K_1.jpg")</f>
        <v/>
      </c>
      <c r="M1847">
        <f>IMAGE("file:///E:/Estudios%20y%20certificaciones/ESTUDIOS%20DE%20PROGRAMMING/PROGRAMMING/PERSONAL/PYTHON/Image_Generator_API/imagenes/NAUTICA_CLASSICS_117009171_B4K_2.jpg")</f>
        <v/>
      </c>
      <c r="N1847">
        <f>IMAGE("file:///E:/Estudios%20y%20certificaciones/ESTUDIOS%20DE%20PROGRAMMING/PROGRAMMING/PERSONAL/PYTHON/Image_Generator_API/imagenes/NAUTICA_CLASSICS_117009171_B4K_3.jpg")</f>
        <v/>
      </c>
      <c r="O1847">
        <f>HYPERLINK("imagenes/NAUTICA_CLASSICS_117009171_B4K_1.jpg","Ver imagen")</f>
        <v/>
      </c>
      <c r="P1847">
        <f>HYPERLINK("imagenes/NAUTICA_CLASSICS_117009171_B4K_2.jpg","Ver imagen")</f>
        <v/>
      </c>
      <c r="Q1847">
        <f>HYPERLINK("imagenes/NAUTICA_CLASSICS_117009171_B4K_3.jpg","Ver imagen")</f>
        <v/>
      </c>
    </row>
    <row r="1848">
      <c r="A1848" t="inlineStr">
        <is>
          <t>NAUTICA CLASSICS</t>
        </is>
      </c>
      <c r="B1848" t="inlineStr">
        <is>
          <t>117009171</t>
        </is>
      </c>
      <c r="C1848" t="inlineStr">
        <is>
          <t>3/4 STRETCH PUFFER</t>
        </is>
      </c>
      <c r="D1848" t="inlineStr">
        <is>
          <t>B4K</t>
        </is>
      </c>
      <c r="E1848" t="inlineStr">
        <is>
          <t>(en blanco)</t>
        </is>
      </c>
      <c r="F1848" t="inlineStr">
        <is>
          <t>D2C</t>
        </is>
      </c>
      <c r="G1848" t="inlineStr">
        <is>
          <t>M</t>
        </is>
      </c>
      <c r="H1848" t="n">
        <v>20</v>
      </c>
      <c r="I1848" t="inlineStr">
        <is>
          <t>NAUTICA_CLASSICS_117009171_B4K_1.jpg</t>
        </is>
      </c>
      <c r="J1848" t="inlineStr">
        <is>
          <t>NAUTICA_CLASSICS_117009171_B4K_2.jpg</t>
        </is>
      </c>
      <c r="K1848" t="inlineStr">
        <is>
          <t>NAUTICA_CLASSICS_117009171_B4K_3.jpg</t>
        </is>
      </c>
      <c r="L1848">
        <f>IMAGE("file:///E:/Estudios%20y%20certificaciones/ESTUDIOS%20DE%20PROGRAMMING/PROGRAMMING/PERSONAL/PYTHON/Image_Generator_API/imagenes/NAUTICA_CLASSICS_117009171_B4K_1.jpg")</f>
        <v/>
      </c>
      <c r="M1848">
        <f>IMAGE("file:///E:/Estudios%20y%20certificaciones/ESTUDIOS%20DE%20PROGRAMMING/PROGRAMMING/PERSONAL/PYTHON/Image_Generator_API/imagenes/NAUTICA_CLASSICS_117009171_B4K_2.jpg")</f>
        <v/>
      </c>
      <c r="N1848">
        <f>IMAGE("file:///E:/Estudios%20y%20certificaciones/ESTUDIOS%20DE%20PROGRAMMING/PROGRAMMING/PERSONAL/PYTHON/Image_Generator_API/imagenes/NAUTICA_CLASSICS_117009171_B4K_3.jpg")</f>
        <v/>
      </c>
      <c r="O1848">
        <f>HYPERLINK("imagenes/NAUTICA_CLASSICS_117009171_B4K_1.jpg","Ver imagen")</f>
        <v/>
      </c>
      <c r="P1848">
        <f>HYPERLINK("imagenes/NAUTICA_CLASSICS_117009171_B4K_2.jpg","Ver imagen")</f>
        <v/>
      </c>
      <c r="Q1848">
        <f>HYPERLINK("imagenes/NAUTICA_CLASSICS_117009171_B4K_3.jpg","Ver imagen")</f>
        <v/>
      </c>
    </row>
    <row r="1849">
      <c r="A1849" t="inlineStr">
        <is>
          <t>NAUTICA CLASSICS</t>
        </is>
      </c>
      <c r="B1849" t="inlineStr">
        <is>
          <t>117009171</t>
        </is>
      </c>
      <c r="C1849" t="inlineStr">
        <is>
          <t>3/4 STRETCH PUFFER</t>
        </is>
      </c>
      <c r="D1849" t="inlineStr">
        <is>
          <t>B4K</t>
        </is>
      </c>
      <c r="E1849" t="inlineStr">
        <is>
          <t>(en blanco)</t>
        </is>
      </c>
      <c r="F1849" t="inlineStr">
        <is>
          <t>D2C</t>
        </is>
      </c>
      <c r="G1849" t="inlineStr">
        <is>
          <t>L</t>
        </is>
      </c>
      <c r="H1849" t="n">
        <v>20</v>
      </c>
      <c r="I1849" t="inlineStr">
        <is>
          <t>NAUTICA_CLASSICS_117009171_B4K_1.jpg</t>
        </is>
      </c>
      <c r="J1849" t="inlineStr">
        <is>
          <t>NAUTICA_CLASSICS_117009171_B4K_2.jpg</t>
        </is>
      </c>
      <c r="K1849" t="inlineStr">
        <is>
          <t>NAUTICA_CLASSICS_117009171_B4K_3.jpg</t>
        </is>
      </c>
      <c r="L1849">
        <f>IMAGE("file:///E:/Estudios%20y%20certificaciones/ESTUDIOS%20DE%20PROGRAMMING/PROGRAMMING/PERSONAL/PYTHON/Image_Generator_API/imagenes/NAUTICA_CLASSICS_117009171_B4K_1.jpg")</f>
        <v/>
      </c>
      <c r="M1849">
        <f>IMAGE("file:///E:/Estudios%20y%20certificaciones/ESTUDIOS%20DE%20PROGRAMMING/PROGRAMMING/PERSONAL/PYTHON/Image_Generator_API/imagenes/NAUTICA_CLASSICS_117009171_B4K_2.jpg")</f>
        <v/>
      </c>
      <c r="N1849">
        <f>IMAGE("file:///E:/Estudios%20y%20certificaciones/ESTUDIOS%20DE%20PROGRAMMING/PROGRAMMING/PERSONAL/PYTHON/Image_Generator_API/imagenes/NAUTICA_CLASSICS_117009171_B4K_3.jpg")</f>
        <v/>
      </c>
      <c r="O1849">
        <f>HYPERLINK("imagenes/NAUTICA_CLASSICS_117009171_B4K_1.jpg","Ver imagen")</f>
        <v/>
      </c>
      <c r="P1849">
        <f>HYPERLINK("imagenes/NAUTICA_CLASSICS_117009171_B4K_2.jpg","Ver imagen")</f>
        <v/>
      </c>
      <c r="Q1849">
        <f>HYPERLINK("imagenes/NAUTICA_CLASSICS_117009171_B4K_3.jpg","Ver imagen")</f>
        <v/>
      </c>
    </row>
    <row r="1850">
      <c r="A1850" t="inlineStr">
        <is>
          <t>NAUTICA CLASSICS</t>
        </is>
      </c>
      <c r="B1850" t="inlineStr">
        <is>
          <t>117009171</t>
        </is>
      </c>
      <c r="C1850" t="inlineStr">
        <is>
          <t>3/4 STRETCH PUFFER</t>
        </is>
      </c>
      <c r="D1850" t="inlineStr">
        <is>
          <t>B4K</t>
        </is>
      </c>
      <c r="E1850" t="inlineStr">
        <is>
          <t>(en blanco)</t>
        </is>
      </c>
      <c r="F1850" t="inlineStr">
        <is>
          <t>(en blanco)</t>
        </is>
      </c>
      <c r="G1850" t="inlineStr">
        <is>
          <t>XS</t>
        </is>
      </c>
      <c r="H1850" t="n">
        <v>135</v>
      </c>
      <c r="I1850" t="inlineStr">
        <is>
          <t>NAUTICA_CLASSICS_117009171_B4K_1.jpg</t>
        </is>
      </c>
      <c r="J1850" t="inlineStr">
        <is>
          <t>NAUTICA_CLASSICS_117009171_B4K_2.jpg</t>
        </is>
      </c>
      <c r="K1850" t="inlineStr">
        <is>
          <t>NAUTICA_CLASSICS_117009171_B4K_3.jpg</t>
        </is>
      </c>
      <c r="L1850">
        <f>IMAGE("file:///E:/Estudios%20y%20certificaciones/ESTUDIOS%20DE%20PROGRAMMING/PROGRAMMING/PERSONAL/PYTHON/Image_Generator_API/imagenes/NAUTICA_CLASSICS_117009171_B4K_1.jpg")</f>
        <v/>
      </c>
      <c r="M1850">
        <f>IMAGE("file:///E:/Estudios%20y%20certificaciones/ESTUDIOS%20DE%20PROGRAMMING/PROGRAMMING/PERSONAL/PYTHON/Image_Generator_API/imagenes/NAUTICA_CLASSICS_117009171_B4K_2.jpg")</f>
        <v/>
      </c>
      <c r="N1850">
        <f>IMAGE("file:///E:/Estudios%20y%20certificaciones/ESTUDIOS%20DE%20PROGRAMMING/PROGRAMMING/PERSONAL/PYTHON/Image_Generator_API/imagenes/NAUTICA_CLASSICS_117009171_B4K_3.jpg")</f>
        <v/>
      </c>
      <c r="O1850">
        <f>HYPERLINK("imagenes/NAUTICA_CLASSICS_117009171_B4K_1.jpg","Ver imagen")</f>
        <v/>
      </c>
      <c r="P1850">
        <f>HYPERLINK("imagenes/NAUTICA_CLASSICS_117009171_B4K_2.jpg","Ver imagen")</f>
        <v/>
      </c>
      <c r="Q1850">
        <f>HYPERLINK("imagenes/NAUTICA_CLASSICS_117009171_B4K_3.jpg","Ver imagen")</f>
        <v/>
      </c>
    </row>
    <row r="1851">
      <c r="A1851" t="inlineStr">
        <is>
          <t>NAUTICA CLASSICS</t>
        </is>
      </c>
      <c r="B1851" t="inlineStr">
        <is>
          <t>117009171</t>
        </is>
      </c>
      <c r="C1851" t="inlineStr">
        <is>
          <t>3/4 STRETCH PUFFER</t>
        </is>
      </c>
      <c r="D1851" t="inlineStr">
        <is>
          <t>B4K</t>
        </is>
      </c>
      <c r="E1851" t="inlineStr">
        <is>
          <t>(en blanco)</t>
        </is>
      </c>
      <c r="F1851" t="inlineStr">
        <is>
          <t>(en blanco)</t>
        </is>
      </c>
      <c r="G1851" t="inlineStr">
        <is>
          <t>S</t>
        </is>
      </c>
      <c r="H1851" t="n">
        <v>176</v>
      </c>
      <c r="I1851" t="inlineStr">
        <is>
          <t>NAUTICA_CLASSICS_117009171_B4K_1.jpg</t>
        </is>
      </c>
      <c r="J1851" t="inlineStr">
        <is>
          <t>NAUTICA_CLASSICS_117009171_B4K_2.jpg</t>
        </is>
      </c>
      <c r="K1851" t="inlineStr">
        <is>
          <t>NAUTICA_CLASSICS_117009171_B4K_3.jpg</t>
        </is>
      </c>
      <c r="L1851">
        <f>IMAGE("file:///E:/Estudios%20y%20certificaciones/ESTUDIOS%20DE%20PROGRAMMING/PROGRAMMING/PERSONAL/PYTHON/Image_Generator_API/imagenes/NAUTICA_CLASSICS_117009171_B4K_1.jpg")</f>
        <v/>
      </c>
      <c r="M1851">
        <f>IMAGE("file:///E:/Estudios%20y%20certificaciones/ESTUDIOS%20DE%20PROGRAMMING/PROGRAMMING/PERSONAL/PYTHON/Image_Generator_API/imagenes/NAUTICA_CLASSICS_117009171_B4K_2.jpg")</f>
        <v/>
      </c>
      <c r="N1851">
        <f>IMAGE("file:///E:/Estudios%20y%20certificaciones/ESTUDIOS%20DE%20PROGRAMMING/PROGRAMMING/PERSONAL/PYTHON/Image_Generator_API/imagenes/NAUTICA_CLASSICS_117009171_B4K_3.jpg")</f>
        <v/>
      </c>
      <c r="O1851">
        <f>HYPERLINK("imagenes/NAUTICA_CLASSICS_117009171_B4K_1.jpg","Ver imagen")</f>
        <v/>
      </c>
      <c r="P1851">
        <f>HYPERLINK("imagenes/NAUTICA_CLASSICS_117009171_B4K_2.jpg","Ver imagen")</f>
        <v/>
      </c>
      <c r="Q1851">
        <f>HYPERLINK("imagenes/NAUTICA_CLASSICS_117009171_B4K_3.jpg","Ver imagen")</f>
        <v/>
      </c>
    </row>
    <row r="1852">
      <c r="A1852" t="inlineStr">
        <is>
          <t>NAUTICA CLASSICS</t>
        </is>
      </c>
      <c r="B1852" t="inlineStr">
        <is>
          <t>117009171</t>
        </is>
      </c>
      <c r="C1852" t="inlineStr">
        <is>
          <t>3/4 STRETCH PUFFER</t>
        </is>
      </c>
      <c r="D1852" t="inlineStr">
        <is>
          <t>B4K</t>
        </is>
      </c>
      <c r="E1852" t="inlineStr">
        <is>
          <t>(en blanco)</t>
        </is>
      </c>
      <c r="F1852" t="inlineStr">
        <is>
          <t>(en blanco)</t>
        </is>
      </c>
      <c r="G1852" t="inlineStr">
        <is>
          <t>M</t>
        </is>
      </c>
      <c r="H1852" t="n">
        <v>93</v>
      </c>
      <c r="I1852" t="inlineStr">
        <is>
          <t>NAUTICA_CLASSICS_117009171_B4K_1.jpg</t>
        </is>
      </c>
      <c r="J1852" t="inlineStr">
        <is>
          <t>NAUTICA_CLASSICS_117009171_B4K_2.jpg</t>
        </is>
      </c>
      <c r="K1852" t="inlineStr">
        <is>
          <t>NAUTICA_CLASSICS_117009171_B4K_3.jpg</t>
        </is>
      </c>
      <c r="L1852">
        <f>IMAGE("file:///E:/Estudios%20y%20certificaciones/ESTUDIOS%20DE%20PROGRAMMING/PROGRAMMING/PERSONAL/PYTHON/Image_Generator_API/imagenes/NAUTICA_CLASSICS_117009171_B4K_1.jpg")</f>
        <v/>
      </c>
      <c r="M1852">
        <f>IMAGE("file:///E:/Estudios%20y%20certificaciones/ESTUDIOS%20DE%20PROGRAMMING/PROGRAMMING/PERSONAL/PYTHON/Image_Generator_API/imagenes/NAUTICA_CLASSICS_117009171_B4K_2.jpg")</f>
        <v/>
      </c>
      <c r="N1852">
        <f>IMAGE("file:///E:/Estudios%20y%20certificaciones/ESTUDIOS%20DE%20PROGRAMMING/PROGRAMMING/PERSONAL/PYTHON/Image_Generator_API/imagenes/NAUTICA_CLASSICS_117009171_B4K_3.jpg")</f>
        <v/>
      </c>
      <c r="O1852">
        <f>HYPERLINK("imagenes/NAUTICA_CLASSICS_117009171_B4K_1.jpg","Ver imagen")</f>
        <v/>
      </c>
      <c r="P1852">
        <f>HYPERLINK("imagenes/NAUTICA_CLASSICS_117009171_B4K_2.jpg","Ver imagen")</f>
        <v/>
      </c>
      <c r="Q1852">
        <f>HYPERLINK("imagenes/NAUTICA_CLASSICS_117009171_B4K_3.jpg","Ver imagen")</f>
        <v/>
      </c>
    </row>
    <row r="1853">
      <c r="A1853" t="inlineStr">
        <is>
          <t>NAUTICA CLASSICS</t>
        </is>
      </c>
      <c r="B1853" t="inlineStr">
        <is>
          <t>117009171</t>
        </is>
      </c>
      <c r="C1853" t="inlineStr">
        <is>
          <t>3/4 STRETCH PUFFER</t>
        </is>
      </c>
      <c r="D1853" t="inlineStr">
        <is>
          <t>B4K</t>
        </is>
      </c>
      <c r="E1853" t="inlineStr">
        <is>
          <t>(en blanco)</t>
        </is>
      </c>
      <c r="F1853" t="inlineStr">
        <is>
          <t>(en blanco)</t>
        </is>
      </c>
      <c r="G1853" t="inlineStr">
        <is>
          <t>L</t>
        </is>
      </c>
      <c r="H1853" t="n">
        <v>93</v>
      </c>
      <c r="I1853" t="inlineStr">
        <is>
          <t>NAUTICA_CLASSICS_117009171_B4K_1.jpg</t>
        </is>
      </c>
      <c r="J1853" t="inlineStr">
        <is>
          <t>NAUTICA_CLASSICS_117009171_B4K_2.jpg</t>
        </is>
      </c>
      <c r="K1853" t="inlineStr">
        <is>
          <t>NAUTICA_CLASSICS_117009171_B4K_3.jpg</t>
        </is>
      </c>
      <c r="L1853">
        <f>IMAGE("file:///E:/Estudios%20y%20certificaciones/ESTUDIOS%20DE%20PROGRAMMING/PROGRAMMING/PERSONAL/PYTHON/Image_Generator_API/imagenes/NAUTICA_CLASSICS_117009171_B4K_1.jpg")</f>
        <v/>
      </c>
      <c r="M1853">
        <f>IMAGE("file:///E:/Estudios%20y%20certificaciones/ESTUDIOS%20DE%20PROGRAMMING/PROGRAMMING/PERSONAL/PYTHON/Image_Generator_API/imagenes/NAUTICA_CLASSICS_117009171_B4K_2.jpg")</f>
        <v/>
      </c>
      <c r="N1853">
        <f>IMAGE("file:///E:/Estudios%20y%20certificaciones/ESTUDIOS%20DE%20PROGRAMMING/PROGRAMMING/PERSONAL/PYTHON/Image_Generator_API/imagenes/NAUTICA_CLASSICS_117009171_B4K_3.jpg")</f>
        <v/>
      </c>
      <c r="O1853">
        <f>HYPERLINK("imagenes/NAUTICA_CLASSICS_117009171_B4K_1.jpg","Ver imagen")</f>
        <v/>
      </c>
      <c r="P1853">
        <f>HYPERLINK("imagenes/NAUTICA_CLASSICS_117009171_B4K_2.jpg","Ver imagen")</f>
        <v/>
      </c>
      <c r="Q1853">
        <f>HYPERLINK("imagenes/NAUTICA_CLASSICS_117009171_B4K_3.jpg","Ver imagen")</f>
        <v/>
      </c>
    </row>
    <row r="1854">
      <c r="A1854" t="inlineStr">
        <is>
          <t>NAUTICA CLASSICS</t>
        </is>
      </c>
      <c r="B1854" t="inlineStr">
        <is>
          <t>117009171</t>
        </is>
      </c>
      <c r="C1854" t="inlineStr">
        <is>
          <t>3/4 STRETCH PUFFER</t>
        </is>
      </c>
      <c r="D1854" t="inlineStr">
        <is>
          <t>BLK</t>
        </is>
      </c>
      <c r="E1854" t="inlineStr">
        <is>
          <t>07A08</t>
        </is>
      </c>
      <c r="F1854" t="inlineStr">
        <is>
          <t>B2230</t>
        </is>
      </c>
      <c r="G1854" t="inlineStr">
        <is>
          <t>PPK</t>
        </is>
      </c>
      <c r="H1854" t="n">
        <v>0</v>
      </c>
      <c r="I1854" t="inlineStr">
        <is>
          <t>NAUTICA_CLASSICS_117009171_BLK_1.jpg</t>
        </is>
      </c>
      <c r="J1854" t="inlineStr">
        <is>
          <t>NAUTICA_CLASSICS_117009171_BLK_2.jpg</t>
        </is>
      </c>
      <c r="K1854" t="inlineStr">
        <is>
          <t>NAUTICA_CLASSICS_117009171_BLK_3.jpg</t>
        </is>
      </c>
      <c r="L1854">
        <f>IMAGE("file:///E:/Estudios%20y%20certificaciones/ESTUDIOS%20DE%20PROGRAMMING/PROGRAMMING/PERSONAL/PYTHON/Image_Generator_API/imagenes/NAUTICA_CLASSICS_117009171_BLK_1.jpg")</f>
        <v/>
      </c>
      <c r="M1854">
        <f>IMAGE("file:///E:/Estudios%20y%20certificaciones/ESTUDIOS%20DE%20PROGRAMMING/PROGRAMMING/PERSONAL/PYTHON/Image_Generator_API/imagenes/NAUTICA_CLASSICS_117009171_BLK_2.jpg")</f>
        <v/>
      </c>
      <c r="N1854">
        <f>IMAGE("file:///E:/Estudios%20y%20certificaciones/ESTUDIOS%20DE%20PROGRAMMING/PROGRAMMING/PERSONAL/PYTHON/Image_Generator_API/imagenes/NAUTICA_CLASSICS_117009171_BLK_3.jpg")</f>
        <v/>
      </c>
      <c r="O1854">
        <f>HYPERLINK("imagenes/NAUTICA_CLASSICS_117009171_BLK_1.jpg","Ver imagen")</f>
        <v/>
      </c>
      <c r="P1854">
        <f>HYPERLINK("imagenes/NAUTICA_CLASSICS_117009171_BLK_2.jpg","Ver imagen")</f>
        <v/>
      </c>
      <c r="Q1854">
        <f>HYPERLINK("imagenes/NAUTICA_CLASSICS_117009171_BLK_3.jpg","Ver imagen")</f>
        <v/>
      </c>
    </row>
    <row r="1855">
      <c r="A1855" t="inlineStr">
        <is>
          <t>NAUTICA CLASSICS</t>
        </is>
      </c>
      <c r="B1855" t="inlineStr">
        <is>
          <t>117009171</t>
        </is>
      </c>
      <c r="C1855" t="inlineStr">
        <is>
          <t>3/4 STRETCH PUFFER</t>
        </is>
      </c>
      <c r="D1855" t="inlineStr">
        <is>
          <t>BLK</t>
        </is>
      </c>
      <c r="E1855" t="inlineStr">
        <is>
          <t>08A05</t>
        </is>
      </c>
      <c r="F1855" t="inlineStr">
        <is>
          <t>(en blanco)</t>
        </is>
      </c>
      <c r="G1855" t="inlineStr">
        <is>
          <t>PPK</t>
        </is>
      </c>
      <c r="H1855" t="n">
        <v>3608</v>
      </c>
      <c r="I1855" t="inlineStr">
        <is>
          <t>NAUTICA_CLASSICS_117009171_BLK_1.jpg</t>
        </is>
      </c>
      <c r="J1855" t="inlineStr">
        <is>
          <t>NAUTICA_CLASSICS_117009171_BLK_2.jpg</t>
        </is>
      </c>
      <c r="K1855" t="inlineStr">
        <is>
          <t>NAUTICA_CLASSICS_117009171_BLK_3.jpg</t>
        </is>
      </c>
      <c r="L1855">
        <f>IMAGE("file:///E:/Estudios%20y%20certificaciones/ESTUDIOS%20DE%20PROGRAMMING/PROGRAMMING/PERSONAL/PYTHON/Image_Generator_API/imagenes/NAUTICA_CLASSICS_117009171_BLK_1.jpg")</f>
        <v/>
      </c>
      <c r="M1855">
        <f>IMAGE("file:///E:/Estudios%20y%20certificaciones/ESTUDIOS%20DE%20PROGRAMMING/PROGRAMMING/PERSONAL/PYTHON/Image_Generator_API/imagenes/NAUTICA_CLASSICS_117009171_BLK_2.jpg")</f>
        <v/>
      </c>
      <c r="N1855">
        <f>IMAGE("file:///E:/Estudios%20y%20certificaciones/ESTUDIOS%20DE%20PROGRAMMING/PROGRAMMING/PERSONAL/PYTHON/Image_Generator_API/imagenes/NAUTICA_CLASSICS_117009171_BLK_3.jpg")</f>
        <v/>
      </c>
      <c r="O1855">
        <f>HYPERLINK("imagenes/NAUTICA_CLASSICS_117009171_BLK_1.jpg","Ver imagen")</f>
        <v/>
      </c>
      <c r="P1855">
        <f>HYPERLINK("imagenes/NAUTICA_CLASSICS_117009171_BLK_2.jpg","Ver imagen")</f>
        <v/>
      </c>
      <c r="Q1855">
        <f>HYPERLINK("imagenes/NAUTICA_CLASSICS_117009171_BLK_3.jpg","Ver imagen")</f>
        <v/>
      </c>
    </row>
    <row r="1856">
      <c r="A1856" t="inlineStr">
        <is>
          <t>NAUTICA CLASSICS</t>
        </is>
      </c>
      <c r="B1856" t="inlineStr">
        <is>
          <t>117009171</t>
        </is>
      </c>
      <c r="C1856" t="inlineStr">
        <is>
          <t>3/4 STRETCH PUFFER</t>
        </is>
      </c>
      <c r="D1856" t="inlineStr">
        <is>
          <t>BLK</t>
        </is>
      </c>
      <c r="E1856" t="inlineStr">
        <is>
          <t>(en blanco)</t>
        </is>
      </c>
      <c r="F1856" t="inlineStr">
        <is>
          <t>D2C</t>
        </is>
      </c>
      <c r="G1856" t="inlineStr">
        <is>
          <t>XS</t>
        </is>
      </c>
      <c r="H1856" t="n">
        <v>10</v>
      </c>
      <c r="I1856" t="inlineStr">
        <is>
          <t>NAUTICA_CLASSICS_117009171_BLK_1.jpg</t>
        </is>
      </c>
      <c r="J1856" t="inlineStr">
        <is>
          <t>NAUTICA_CLASSICS_117009171_BLK_2.jpg</t>
        </is>
      </c>
      <c r="K1856" t="inlineStr">
        <is>
          <t>NAUTICA_CLASSICS_117009171_BLK_3.jpg</t>
        </is>
      </c>
      <c r="L1856">
        <f>IMAGE("file:///E:/Estudios%20y%20certificaciones/ESTUDIOS%20DE%20PROGRAMMING/PROGRAMMING/PERSONAL/PYTHON/Image_Generator_API/imagenes/NAUTICA_CLASSICS_117009171_BLK_1.jpg")</f>
        <v/>
      </c>
      <c r="M1856">
        <f>IMAGE("file:///E:/Estudios%20y%20certificaciones/ESTUDIOS%20DE%20PROGRAMMING/PROGRAMMING/PERSONAL/PYTHON/Image_Generator_API/imagenes/NAUTICA_CLASSICS_117009171_BLK_2.jpg")</f>
        <v/>
      </c>
      <c r="N1856">
        <f>IMAGE("file:///E:/Estudios%20y%20certificaciones/ESTUDIOS%20DE%20PROGRAMMING/PROGRAMMING/PERSONAL/PYTHON/Image_Generator_API/imagenes/NAUTICA_CLASSICS_117009171_BLK_3.jpg")</f>
        <v/>
      </c>
      <c r="O1856">
        <f>HYPERLINK("imagenes/NAUTICA_CLASSICS_117009171_BLK_1.jpg","Ver imagen")</f>
        <v/>
      </c>
      <c r="P1856">
        <f>HYPERLINK("imagenes/NAUTICA_CLASSICS_117009171_BLK_2.jpg","Ver imagen")</f>
        <v/>
      </c>
      <c r="Q1856">
        <f>HYPERLINK("imagenes/NAUTICA_CLASSICS_117009171_BLK_3.jpg","Ver imagen")</f>
        <v/>
      </c>
    </row>
    <row r="1857">
      <c r="A1857" t="inlineStr">
        <is>
          <t>NAUTICA CLASSICS</t>
        </is>
      </c>
      <c r="B1857" t="inlineStr">
        <is>
          <t>117009171</t>
        </is>
      </c>
      <c r="C1857" t="inlineStr">
        <is>
          <t>3/4 STRETCH PUFFER</t>
        </is>
      </c>
      <c r="D1857" t="inlineStr">
        <is>
          <t>BLK</t>
        </is>
      </c>
      <c r="E1857" t="inlineStr">
        <is>
          <t>(en blanco)</t>
        </is>
      </c>
      <c r="F1857" t="inlineStr">
        <is>
          <t>D2C</t>
        </is>
      </c>
      <c r="G1857" t="inlineStr">
        <is>
          <t>S</t>
        </is>
      </c>
      <c r="H1857" t="n">
        <v>20</v>
      </c>
      <c r="I1857" t="inlineStr">
        <is>
          <t>NAUTICA_CLASSICS_117009171_BLK_1.jpg</t>
        </is>
      </c>
      <c r="J1857" t="inlineStr">
        <is>
          <t>NAUTICA_CLASSICS_117009171_BLK_2.jpg</t>
        </is>
      </c>
      <c r="K1857" t="inlineStr">
        <is>
          <t>NAUTICA_CLASSICS_117009171_BLK_3.jpg</t>
        </is>
      </c>
      <c r="L1857">
        <f>IMAGE("file:///E:/Estudios%20y%20certificaciones/ESTUDIOS%20DE%20PROGRAMMING/PROGRAMMING/PERSONAL/PYTHON/Image_Generator_API/imagenes/NAUTICA_CLASSICS_117009171_BLK_1.jpg")</f>
        <v/>
      </c>
      <c r="M1857">
        <f>IMAGE("file:///E:/Estudios%20y%20certificaciones/ESTUDIOS%20DE%20PROGRAMMING/PROGRAMMING/PERSONAL/PYTHON/Image_Generator_API/imagenes/NAUTICA_CLASSICS_117009171_BLK_2.jpg")</f>
        <v/>
      </c>
      <c r="N1857">
        <f>IMAGE("file:///E:/Estudios%20y%20certificaciones/ESTUDIOS%20DE%20PROGRAMMING/PROGRAMMING/PERSONAL/PYTHON/Image_Generator_API/imagenes/NAUTICA_CLASSICS_117009171_BLK_3.jpg")</f>
        <v/>
      </c>
      <c r="O1857">
        <f>HYPERLINK("imagenes/NAUTICA_CLASSICS_117009171_BLK_1.jpg","Ver imagen")</f>
        <v/>
      </c>
      <c r="P1857">
        <f>HYPERLINK("imagenes/NAUTICA_CLASSICS_117009171_BLK_2.jpg","Ver imagen")</f>
        <v/>
      </c>
      <c r="Q1857">
        <f>HYPERLINK("imagenes/NAUTICA_CLASSICS_117009171_BLK_3.jpg","Ver imagen")</f>
        <v/>
      </c>
    </row>
    <row r="1858">
      <c r="A1858" t="inlineStr">
        <is>
          <t>NAUTICA CLASSICS</t>
        </is>
      </c>
      <c r="B1858" t="inlineStr">
        <is>
          <t>117009171</t>
        </is>
      </c>
      <c r="C1858" t="inlineStr">
        <is>
          <t>3/4 STRETCH PUFFER</t>
        </is>
      </c>
      <c r="D1858" t="inlineStr">
        <is>
          <t>BLK</t>
        </is>
      </c>
      <c r="E1858" t="inlineStr">
        <is>
          <t>(en blanco)</t>
        </is>
      </c>
      <c r="F1858" t="inlineStr">
        <is>
          <t>D2C</t>
        </is>
      </c>
      <c r="G1858" t="inlineStr">
        <is>
          <t>M</t>
        </is>
      </c>
      <c r="H1858" t="n">
        <v>19</v>
      </c>
      <c r="I1858" t="inlineStr">
        <is>
          <t>NAUTICA_CLASSICS_117009171_BLK_1.jpg</t>
        </is>
      </c>
      <c r="J1858" t="inlineStr">
        <is>
          <t>NAUTICA_CLASSICS_117009171_BLK_2.jpg</t>
        </is>
      </c>
      <c r="K1858" t="inlineStr">
        <is>
          <t>NAUTICA_CLASSICS_117009171_BLK_3.jpg</t>
        </is>
      </c>
      <c r="L1858">
        <f>IMAGE("file:///E:/Estudios%20y%20certificaciones/ESTUDIOS%20DE%20PROGRAMMING/PROGRAMMING/PERSONAL/PYTHON/Image_Generator_API/imagenes/NAUTICA_CLASSICS_117009171_BLK_1.jpg")</f>
        <v/>
      </c>
      <c r="M1858">
        <f>IMAGE("file:///E:/Estudios%20y%20certificaciones/ESTUDIOS%20DE%20PROGRAMMING/PROGRAMMING/PERSONAL/PYTHON/Image_Generator_API/imagenes/NAUTICA_CLASSICS_117009171_BLK_2.jpg")</f>
        <v/>
      </c>
      <c r="N1858">
        <f>IMAGE("file:///E:/Estudios%20y%20certificaciones/ESTUDIOS%20DE%20PROGRAMMING/PROGRAMMING/PERSONAL/PYTHON/Image_Generator_API/imagenes/NAUTICA_CLASSICS_117009171_BLK_3.jpg")</f>
        <v/>
      </c>
      <c r="O1858">
        <f>HYPERLINK("imagenes/NAUTICA_CLASSICS_117009171_BLK_1.jpg","Ver imagen")</f>
        <v/>
      </c>
      <c r="P1858">
        <f>HYPERLINK("imagenes/NAUTICA_CLASSICS_117009171_BLK_2.jpg","Ver imagen")</f>
        <v/>
      </c>
      <c r="Q1858">
        <f>HYPERLINK("imagenes/NAUTICA_CLASSICS_117009171_BLK_3.jpg","Ver imagen")</f>
        <v/>
      </c>
    </row>
    <row r="1859">
      <c r="A1859" t="inlineStr">
        <is>
          <t>NAUTICA CLASSICS</t>
        </is>
      </c>
      <c r="B1859" t="inlineStr">
        <is>
          <t>117009171</t>
        </is>
      </c>
      <c r="C1859" t="inlineStr">
        <is>
          <t>3/4 STRETCH PUFFER</t>
        </is>
      </c>
      <c r="D1859" t="inlineStr">
        <is>
          <t>BLK</t>
        </is>
      </c>
      <c r="E1859" t="inlineStr">
        <is>
          <t>(en blanco)</t>
        </is>
      </c>
      <c r="F1859" t="inlineStr">
        <is>
          <t>D2C</t>
        </is>
      </c>
      <c r="G1859" t="inlineStr">
        <is>
          <t>L</t>
        </is>
      </c>
      <c r="H1859" t="n">
        <v>20</v>
      </c>
      <c r="I1859" t="inlineStr">
        <is>
          <t>NAUTICA_CLASSICS_117009171_BLK_1.jpg</t>
        </is>
      </c>
      <c r="J1859" t="inlineStr">
        <is>
          <t>NAUTICA_CLASSICS_117009171_BLK_2.jpg</t>
        </is>
      </c>
      <c r="K1859" t="inlineStr">
        <is>
          <t>NAUTICA_CLASSICS_117009171_BLK_3.jpg</t>
        </is>
      </c>
      <c r="L1859">
        <f>IMAGE("file:///E:/Estudios%20y%20certificaciones/ESTUDIOS%20DE%20PROGRAMMING/PROGRAMMING/PERSONAL/PYTHON/Image_Generator_API/imagenes/NAUTICA_CLASSICS_117009171_BLK_1.jpg")</f>
        <v/>
      </c>
      <c r="M1859">
        <f>IMAGE("file:///E:/Estudios%20y%20certificaciones/ESTUDIOS%20DE%20PROGRAMMING/PROGRAMMING/PERSONAL/PYTHON/Image_Generator_API/imagenes/NAUTICA_CLASSICS_117009171_BLK_2.jpg")</f>
        <v/>
      </c>
      <c r="N1859">
        <f>IMAGE("file:///E:/Estudios%20y%20certificaciones/ESTUDIOS%20DE%20PROGRAMMING/PROGRAMMING/PERSONAL/PYTHON/Image_Generator_API/imagenes/NAUTICA_CLASSICS_117009171_BLK_3.jpg")</f>
        <v/>
      </c>
      <c r="O1859">
        <f>HYPERLINK("imagenes/NAUTICA_CLASSICS_117009171_BLK_1.jpg","Ver imagen")</f>
        <v/>
      </c>
      <c r="P1859">
        <f>HYPERLINK("imagenes/NAUTICA_CLASSICS_117009171_BLK_2.jpg","Ver imagen")</f>
        <v/>
      </c>
      <c r="Q1859">
        <f>HYPERLINK("imagenes/NAUTICA_CLASSICS_117009171_BLK_3.jpg","Ver imagen")</f>
        <v/>
      </c>
    </row>
    <row r="1860">
      <c r="A1860" t="inlineStr">
        <is>
          <t>NAUTICA CLASSICS</t>
        </is>
      </c>
      <c r="B1860" t="inlineStr">
        <is>
          <t>117009171</t>
        </is>
      </c>
      <c r="C1860" t="inlineStr">
        <is>
          <t>3/4 STRETCH PUFFER</t>
        </is>
      </c>
      <c r="D1860" t="inlineStr">
        <is>
          <t>BLK</t>
        </is>
      </c>
      <c r="E1860" t="inlineStr">
        <is>
          <t>(en blanco)</t>
        </is>
      </c>
      <c r="F1860" t="inlineStr">
        <is>
          <t>(en blanco)</t>
        </is>
      </c>
      <c r="G1860" t="inlineStr">
        <is>
          <t>XS</t>
        </is>
      </c>
      <c r="H1860" t="n">
        <v>133</v>
      </c>
      <c r="I1860" t="inlineStr">
        <is>
          <t>NAUTICA_CLASSICS_117009171_BLK_1.jpg</t>
        </is>
      </c>
      <c r="J1860" t="inlineStr">
        <is>
          <t>NAUTICA_CLASSICS_117009171_BLK_2.jpg</t>
        </is>
      </c>
      <c r="K1860" t="inlineStr">
        <is>
          <t>NAUTICA_CLASSICS_117009171_BLK_3.jpg</t>
        </is>
      </c>
      <c r="L1860">
        <f>IMAGE("file:///E:/Estudios%20y%20certificaciones/ESTUDIOS%20DE%20PROGRAMMING/PROGRAMMING/PERSONAL/PYTHON/Image_Generator_API/imagenes/NAUTICA_CLASSICS_117009171_BLK_1.jpg")</f>
        <v/>
      </c>
      <c r="M1860">
        <f>IMAGE("file:///E:/Estudios%20y%20certificaciones/ESTUDIOS%20DE%20PROGRAMMING/PROGRAMMING/PERSONAL/PYTHON/Image_Generator_API/imagenes/NAUTICA_CLASSICS_117009171_BLK_2.jpg")</f>
        <v/>
      </c>
      <c r="N1860">
        <f>IMAGE("file:///E:/Estudios%20y%20certificaciones/ESTUDIOS%20DE%20PROGRAMMING/PROGRAMMING/PERSONAL/PYTHON/Image_Generator_API/imagenes/NAUTICA_CLASSICS_117009171_BLK_3.jpg")</f>
        <v/>
      </c>
      <c r="O1860">
        <f>HYPERLINK("imagenes/NAUTICA_CLASSICS_117009171_BLK_1.jpg","Ver imagen")</f>
        <v/>
      </c>
      <c r="P1860">
        <f>HYPERLINK("imagenes/NAUTICA_CLASSICS_117009171_BLK_2.jpg","Ver imagen")</f>
        <v/>
      </c>
      <c r="Q1860">
        <f>HYPERLINK("imagenes/NAUTICA_CLASSICS_117009171_BLK_3.jpg","Ver imagen")</f>
        <v/>
      </c>
    </row>
    <row r="1861">
      <c r="A1861" t="inlineStr">
        <is>
          <t>NAUTICA CLASSICS</t>
        </is>
      </c>
      <c r="B1861" t="inlineStr">
        <is>
          <t>117009171</t>
        </is>
      </c>
      <c r="C1861" t="inlineStr">
        <is>
          <t>3/4 STRETCH PUFFER</t>
        </is>
      </c>
      <c r="D1861" t="inlineStr">
        <is>
          <t>BLK</t>
        </is>
      </c>
      <c r="E1861" t="inlineStr">
        <is>
          <t>(en blanco)</t>
        </is>
      </c>
      <c r="F1861" t="inlineStr">
        <is>
          <t>(en blanco)</t>
        </is>
      </c>
      <c r="G1861" t="inlineStr">
        <is>
          <t>S</t>
        </is>
      </c>
      <c r="H1861" t="n">
        <v>175</v>
      </c>
      <c r="I1861" t="inlineStr">
        <is>
          <t>NAUTICA_CLASSICS_117009171_BLK_1.jpg</t>
        </is>
      </c>
      <c r="J1861" t="inlineStr">
        <is>
          <t>NAUTICA_CLASSICS_117009171_BLK_2.jpg</t>
        </is>
      </c>
      <c r="K1861" t="inlineStr">
        <is>
          <t>NAUTICA_CLASSICS_117009171_BLK_3.jpg</t>
        </is>
      </c>
      <c r="L1861">
        <f>IMAGE("file:///E:/Estudios%20y%20certificaciones/ESTUDIOS%20DE%20PROGRAMMING/PROGRAMMING/PERSONAL/PYTHON/Image_Generator_API/imagenes/NAUTICA_CLASSICS_117009171_BLK_1.jpg")</f>
        <v/>
      </c>
      <c r="M1861">
        <f>IMAGE("file:///E:/Estudios%20y%20certificaciones/ESTUDIOS%20DE%20PROGRAMMING/PROGRAMMING/PERSONAL/PYTHON/Image_Generator_API/imagenes/NAUTICA_CLASSICS_117009171_BLK_2.jpg")</f>
        <v/>
      </c>
      <c r="N1861">
        <f>IMAGE("file:///E:/Estudios%20y%20certificaciones/ESTUDIOS%20DE%20PROGRAMMING/PROGRAMMING/PERSONAL/PYTHON/Image_Generator_API/imagenes/NAUTICA_CLASSICS_117009171_BLK_3.jpg")</f>
        <v/>
      </c>
      <c r="O1861">
        <f>HYPERLINK("imagenes/NAUTICA_CLASSICS_117009171_BLK_1.jpg","Ver imagen")</f>
        <v/>
      </c>
      <c r="P1861">
        <f>HYPERLINK("imagenes/NAUTICA_CLASSICS_117009171_BLK_2.jpg","Ver imagen")</f>
        <v/>
      </c>
      <c r="Q1861">
        <f>HYPERLINK("imagenes/NAUTICA_CLASSICS_117009171_BLK_3.jpg","Ver imagen")</f>
        <v/>
      </c>
    </row>
    <row r="1862">
      <c r="A1862" t="inlineStr">
        <is>
          <t>NAUTICA CLASSICS</t>
        </is>
      </c>
      <c r="B1862" t="inlineStr">
        <is>
          <t>117009171</t>
        </is>
      </c>
      <c r="C1862" t="inlineStr">
        <is>
          <t>3/4 STRETCH PUFFER</t>
        </is>
      </c>
      <c r="D1862" t="inlineStr">
        <is>
          <t>BLK</t>
        </is>
      </c>
      <c r="E1862" t="inlineStr">
        <is>
          <t>(en blanco)</t>
        </is>
      </c>
      <c r="F1862" t="inlineStr">
        <is>
          <t>(en blanco)</t>
        </is>
      </c>
      <c r="G1862" t="inlineStr">
        <is>
          <t>M</t>
        </is>
      </c>
      <c r="H1862" t="n">
        <v>90</v>
      </c>
      <c r="I1862" t="inlineStr">
        <is>
          <t>NAUTICA_CLASSICS_117009171_BLK_1.jpg</t>
        </is>
      </c>
      <c r="J1862" t="inlineStr">
        <is>
          <t>NAUTICA_CLASSICS_117009171_BLK_2.jpg</t>
        </is>
      </c>
      <c r="K1862" t="inlineStr">
        <is>
          <t>NAUTICA_CLASSICS_117009171_BLK_3.jpg</t>
        </is>
      </c>
      <c r="L1862">
        <f>IMAGE("file:///E:/Estudios%20y%20certificaciones/ESTUDIOS%20DE%20PROGRAMMING/PROGRAMMING/PERSONAL/PYTHON/Image_Generator_API/imagenes/NAUTICA_CLASSICS_117009171_BLK_1.jpg")</f>
        <v/>
      </c>
      <c r="M1862">
        <f>IMAGE("file:///E:/Estudios%20y%20certificaciones/ESTUDIOS%20DE%20PROGRAMMING/PROGRAMMING/PERSONAL/PYTHON/Image_Generator_API/imagenes/NAUTICA_CLASSICS_117009171_BLK_2.jpg")</f>
        <v/>
      </c>
      <c r="N1862">
        <f>IMAGE("file:///E:/Estudios%20y%20certificaciones/ESTUDIOS%20DE%20PROGRAMMING/PROGRAMMING/PERSONAL/PYTHON/Image_Generator_API/imagenes/NAUTICA_CLASSICS_117009171_BLK_3.jpg")</f>
        <v/>
      </c>
      <c r="O1862">
        <f>HYPERLINK("imagenes/NAUTICA_CLASSICS_117009171_BLK_1.jpg","Ver imagen")</f>
        <v/>
      </c>
      <c r="P1862">
        <f>HYPERLINK("imagenes/NAUTICA_CLASSICS_117009171_BLK_2.jpg","Ver imagen")</f>
        <v/>
      </c>
      <c r="Q1862">
        <f>HYPERLINK("imagenes/NAUTICA_CLASSICS_117009171_BLK_3.jpg","Ver imagen")</f>
        <v/>
      </c>
    </row>
    <row r="1863">
      <c r="A1863" t="inlineStr">
        <is>
          <t>NAUTICA CLASSICS</t>
        </is>
      </c>
      <c r="B1863" t="inlineStr">
        <is>
          <t>117009171</t>
        </is>
      </c>
      <c r="C1863" t="inlineStr">
        <is>
          <t>3/4 STRETCH PUFFER</t>
        </is>
      </c>
      <c r="D1863" t="inlineStr">
        <is>
          <t>BLK</t>
        </is>
      </c>
      <c r="E1863" t="inlineStr">
        <is>
          <t>(en blanco)</t>
        </is>
      </c>
      <c r="F1863" t="inlineStr">
        <is>
          <t>(en blanco)</t>
        </is>
      </c>
      <c r="G1863" t="inlineStr">
        <is>
          <t>L</t>
        </is>
      </c>
      <c r="H1863" t="n">
        <v>99</v>
      </c>
      <c r="I1863" t="inlineStr">
        <is>
          <t>NAUTICA_CLASSICS_117009171_BLK_1.jpg</t>
        </is>
      </c>
      <c r="J1863" t="inlineStr">
        <is>
          <t>NAUTICA_CLASSICS_117009171_BLK_2.jpg</t>
        </is>
      </c>
      <c r="K1863" t="inlineStr">
        <is>
          <t>NAUTICA_CLASSICS_117009171_BLK_3.jpg</t>
        </is>
      </c>
      <c r="L1863">
        <f>IMAGE("file:///E:/Estudios%20y%20certificaciones/ESTUDIOS%20DE%20PROGRAMMING/PROGRAMMING/PERSONAL/PYTHON/Image_Generator_API/imagenes/NAUTICA_CLASSICS_117009171_BLK_1.jpg")</f>
        <v/>
      </c>
      <c r="M1863">
        <f>IMAGE("file:///E:/Estudios%20y%20certificaciones/ESTUDIOS%20DE%20PROGRAMMING/PROGRAMMING/PERSONAL/PYTHON/Image_Generator_API/imagenes/NAUTICA_CLASSICS_117009171_BLK_2.jpg")</f>
        <v/>
      </c>
      <c r="N1863">
        <f>IMAGE("file:///E:/Estudios%20y%20certificaciones/ESTUDIOS%20DE%20PROGRAMMING/PROGRAMMING/PERSONAL/PYTHON/Image_Generator_API/imagenes/NAUTICA_CLASSICS_117009171_BLK_3.jpg")</f>
        <v/>
      </c>
      <c r="O1863">
        <f>HYPERLINK("imagenes/NAUTICA_CLASSICS_117009171_BLK_1.jpg","Ver imagen")</f>
        <v/>
      </c>
      <c r="P1863">
        <f>HYPERLINK("imagenes/NAUTICA_CLASSICS_117009171_BLK_2.jpg","Ver imagen")</f>
        <v/>
      </c>
      <c r="Q1863">
        <f>HYPERLINK("imagenes/NAUTICA_CLASSICS_117009171_BLK_3.jpg","Ver imagen")</f>
        <v/>
      </c>
    </row>
    <row r="1864">
      <c r="A1864" t="inlineStr">
        <is>
          <t>NAUTICA CLASSICS</t>
        </is>
      </c>
      <c r="B1864" t="inlineStr">
        <is>
          <t>117009171</t>
        </is>
      </c>
      <c r="C1864" t="inlineStr">
        <is>
          <t>3/4 STRETCH PUFFER</t>
        </is>
      </c>
      <c r="D1864" t="inlineStr">
        <is>
          <t>SW4</t>
        </is>
      </c>
      <c r="E1864" t="inlineStr">
        <is>
          <t>08A05</t>
        </is>
      </c>
      <c r="F1864" t="inlineStr">
        <is>
          <t>(en blanco)</t>
        </is>
      </c>
      <c r="G1864" t="inlineStr">
        <is>
          <t>PPK</t>
        </is>
      </c>
      <c r="H1864" t="n">
        <v>800</v>
      </c>
      <c r="I1864" t="inlineStr">
        <is>
          <t>NAUTICA_CLASSICS_117009171_SW4_1.jpg</t>
        </is>
      </c>
      <c r="J1864" t="inlineStr">
        <is>
          <t>NAUTICA_CLASSICS_117009171_SW4_2.jpg</t>
        </is>
      </c>
      <c r="K1864" t="inlineStr">
        <is>
          <t>NAUTICA_CLASSICS_117009171_SW4_3.jpg</t>
        </is>
      </c>
      <c r="L1864">
        <f>IMAGE("file:///E:/Estudios%20y%20certificaciones/ESTUDIOS%20DE%20PROGRAMMING/PROGRAMMING/PERSONAL/PYTHON/Image_Generator_API/imagenes/NAUTICA_CLASSICS_117009171_SW4_1.jpg")</f>
        <v/>
      </c>
      <c r="M1864">
        <f>IMAGE("file:///E:/Estudios%20y%20certificaciones/ESTUDIOS%20DE%20PROGRAMMING/PROGRAMMING/PERSONAL/PYTHON/Image_Generator_API/imagenes/NAUTICA_CLASSICS_117009171_SW4_2.jpg")</f>
        <v/>
      </c>
      <c r="N1864">
        <f>IMAGE("file:///E:/Estudios%20y%20certificaciones/ESTUDIOS%20DE%20PROGRAMMING/PROGRAMMING/PERSONAL/PYTHON/Image_Generator_API/imagenes/NAUTICA_CLASSICS_117009171_SW4_3.jpg")</f>
        <v/>
      </c>
      <c r="O1864">
        <f>HYPERLINK("imagenes/NAUTICA_CLASSICS_117009171_SW4_1.jpg","Ver imagen")</f>
        <v/>
      </c>
      <c r="P1864">
        <f>HYPERLINK("imagenes/NAUTICA_CLASSICS_117009171_SW4_2.jpg","Ver imagen")</f>
        <v/>
      </c>
      <c r="Q1864">
        <f>HYPERLINK("imagenes/NAUTICA_CLASSICS_117009171_SW4_3.jpg","Ver imagen")</f>
        <v/>
      </c>
    </row>
    <row r="1865">
      <c r="A1865" t="inlineStr">
        <is>
          <t>NAUTICA CLASSICS</t>
        </is>
      </c>
      <c r="B1865" t="inlineStr">
        <is>
          <t>117009171</t>
        </is>
      </c>
      <c r="C1865" t="inlineStr">
        <is>
          <t>3/4 STRETCH PUFFER</t>
        </is>
      </c>
      <c r="D1865" t="inlineStr">
        <is>
          <t>SW4</t>
        </is>
      </c>
      <c r="E1865" t="inlineStr">
        <is>
          <t>(en blanco)</t>
        </is>
      </c>
      <c r="F1865" t="inlineStr">
        <is>
          <t>D2C</t>
        </is>
      </c>
      <c r="G1865" t="inlineStr">
        <is>
          <t>XS</t>
        </is>
      </c>
      <c r="H1865" t="n">
        <v>10</v>
      </c>
      <c r="I1865" t="inlineStr">
        <is>
          <t>NAUTICA_CLASSICS_117009171_SW4_1.jpg</t>
        </is>
      </c>
      <c r="J1865" t="inlineStr">
        <is>
          <t>NAUTICA_CLASSICS_117009171_SW4_2.jpg</t>
        </is>
      </c>
      <c r="K1865" t="inlineStr">
        <is>
          <t>NAUTICA_CLASSICS_117009171_SW4_3.jpg</t>
        </is>
      </c>
      <c r="L1865">
        <f>IMAGE("file:///E:/Estudios%20y%20certificaciones/ESTUDIOS%20DE%20PROGRAMMING/PROGRAMMING/PERSONAL/PYTHON/Image_Generator_API/imagenes/NAUTICA_CLASSICS_117009171_SW4_1.jpg")</f>
        <v/>
      </c>
      <c r="M1865">
        <f>IMAGE("file:///E:/Estudios%20y%20certificaciones/ESTUDIOS%20DE%20PROGRAMMING/PROGRAMMING/PERSONAL/PYTHON/Image_Generator_API/imagenes/NAUTICA_CLASSICS_117009171_SW4_2.jpg")</f>
        <v/>
      </c>
      <c r="N1865">
        <f>IMAGE("file:///E:/Estudios%20y%20certificaciones/ESTUDIOS%20DE%20PROGRAMMING/PROGRAMMING/PERSONAL/PYTHON/Image_Generator_API/imagenes/NAUTICA_CLASSICS_117009171_SW4_3.jpg")</f>
        <v/>
      </c>
      <c r="O1865">
        <f>HYPERLINK("imagenes/NAUTICA_CLASSICS_117009171_SW4_1.jpg","Ver imagen")</f>
        <v/>
      </c>
      <c r="P1865">
        <f>HYPERLINK("imagenes/NAUTICA_CLASSICS_117009171_SW4_2.jpg","Ver imagen")</f>
        <v/>
      </c>
      <c r="Q1865">
        <f>HYPERLINK("imagenes/NAUTICA_CLASSICS_117009171_SW4_3.jpg","Ver imagen")</f>
        <v/>
      </c>
    </row>
    <row r="1866">
      <c r="A1866" t="inlineStr">
        <is>
          <t>NAUTICA CLASSICS</t>
        </is>
      </c>
      <c r="B1866" t="inlineStr">
        <is>
          <t>117009171</t>
        </is>
      </c>
      <c r="C1866" t="inlineStr">
        <is>
          <t>3/4 STRETCH PUFFER</t>
        </is>
      </c>
      <c r="D1866" t="inlineStr">
        <is>
          <t>SW4</t>
        </is>
      </c>
      <c r="E1866" t="inlineStr">
        <is>
          <t>(en blanco)</t>
        </is>
      </c>
      <c r="F1866" t="inlineStr">
        <is>
          <t>D2C</t>
        </is>
      </c>
      <c r="G1866" t="inlineStr">
        <is>
          <t>S</t>
        </is>
      </c>
      <c r="H1866" t="n">
        <v>19</v>
      </c>
      <c r="I1866" t="inlineStr">
        <is>
          <t>NAUTICA_CLASSICS_117009171_SW4_1.jpg</t>
        </is>
      </c>
      <c r="J1866" t="inlineStr">
        <is>
          <t>NAUTICA_CLASSICS_117009171_SW4_2.jpg</t>
        </is>
      </c>
      <c r="K1866" t="inlineStr">
        <is>
          <t>NAUTICA_CLASSICS_117009171_SW4_3.jpg</t>
        </is>
      </c>
      <c r="L1866">
        <f>IMAGE("file:///E:/Estudios%20y%20certificaciones/ESTUDIOS%20DE%20PROGRAMMING/PROGRAMMING/PERSONAL/PYTHON/Image_Generator_API/imagenes/NAUTICA_CLASSICS_117009171_SW4_1.jpg")</f>
        <v/>
      </c>
      <c r="M1866">
        <f>IMAGE("file:///E:/Estudios%20y%20certificaciones/ESTUDIOS%20DE%20PROGRAMMING/PROGRAMMING/PERSONAL/PYTHON/Image_Generator_API/imagenes/NAUTICA_CLASSICS_117009171_SW4_2.jpg")</f>
        <v/>
      </c>
      <c r="N1866">
        <f>IMAGE("file:///E:/Estudios%20y%20certificaciones/ESTUDIOS%20DE%20PROGRAMMING/PROGRAMMING/PERSONAL/PYTHON/Image_Generator_API/imagenes/NAUTICA_CLASSICS_117009171_SW4_3.jpg")</f>
        <v/>
      </c>
      <c r="O1866">
        <f>HYPERLINK("imagenes/NAUTICA_CLASSICS_117009171_SW4_1.jpg","Ver imagen")</f>
        <v/>
      </c>
      <c r="P1866">
        <f>HYPERLINK("imagenes/NAUTICA_CLASSICS_117009171_SW4_2.jpg","Ver imagen")</f>
        <v/>
      </c>
      <c r="Q1866">
        <f>HYPERLINK("imagenes/NAUTICA_CLASSICS_117009171_SW4_3.jpg","Ver imagen")</f>
        <v/>
      </c>
    </row>
    <row r="1867">
      <c r="A1867" t="inlineStr">
        <is>
          <t>NAUTICA CLASSICS</t>
        </is>
      </c>
      <c r="B1867" t="inlineStr">
        <is>
          <t>117009171</t>
        </is>
      </c>
      <c r="C1867" t="inlineStr">
        <is>
          <t>3/4 STRETCH PUFFER</t>
        </is>
      </c>
      <c r="D1867" t="inlineStr">
        <is>
          <t>SW4</t>
        </is>
      </c>
      <c r="E1867" t="inlineStr">
        <is>
          <t>(en blanco)</t>
        </is>
      </c>
      <c r="F1867" t="inlineStr">
        <is>
          <t>D2C</t>
        </is>
      </c>
      <c r="G1867" t="inlineStr">
        <is>
          <t>M</t>
        </is>
      </c>
      <c r="H1867" t="n">
        <v>20</v>
      </c>
      <c r="I1867" t="inlineStr">
        <is>
          <t>NAUTICA_CLASSICS_117009171_SW4_1.jpg</t>
        </is>
      </c>
      <c r="J1867" t="inlineStr">
        <is>
          <t>NAUTICA_CLASSICS_117009171_SW4_2.jpg</t>
        </is>
      </c>
      <c r="K1867" t="inlineStr">
        <is>
          <t>NAUTICA_CLASSICS_117009171_SW4_3.jpg</t>
        </is>
      </c>
      <c r="L1867">
        <f>IMAGE("file:///E:/Estudios%20y%20certificaciones/ESTUDIOS%20DE%20PROGRAMMING/PROGRAMMING/PERSONAL/PYTHON/Image_Generator_API/imagenes/NAUTICA_CLASSICS_117009171_SW4_1.jpg")</f>
        <v/>
      </c>
      <c r="M1867">
        <f>IMAGE("file:///E:/Estudios%20y%20certificaciones/ESTUDIOS%20DE%20PROGRAMMING/PROGRAMMING/PERSONAL/PYTHON/Image_Generator_API/imagenes/NAUTICA_CLASSICS_117009171_SW4_2.jpg")</f>
        <v/>
      </c>
      <c r="N1867">
        <f>IMAGE("file:///E:/Estudios%20y%20certificaciones/ESTUDIOS%20DE%20PROGRAMMING/PROGRAMMING/PERSONAL/PYTHON/Image_Generator_API/imagenes/NAUTICA_CLASSICS_117009171_SW4_3.jpg")</f>
        <v/>
      </c>
      <c r="O1867">
        <f>HYPERLINK("imagenes/NAUTICA_CLASSICS_117009171_SW4_1.jpg","Ver imagen")</f>
        <v/>
      </c>
      <c r="P1867">
        <f>HYPERLINK("imagenes/NAUTICA_CLASSICS_117009171_SW4_2.jpg","Ver imagen")</f>
        <v/>
      </c>
      <c r="Q1867">
        <f>HYPERLINK("imagenes/NAUTICA_CLASSICS_117009171_SW4_3.jpg","Ver imagen")</f>
        <v/>
      </c>
    </row>
    <row r="1868">
      <c r="A1868" t="inlineStr">
        <is>
          <t>NAUTICA CLASSICS</t>
        </is>
      </c>
      <c r="B1868" t="inlineStr">
        <is>
          <t>117009171</t>
        </is>
      </c>
      <c r="C1868" t="inlineStr">
        <is>
          <t>3/4 STRETCH PUFFER</t>
        </is>
      </c>
      <c r="D1868" t="inlineStr">
        <is>
          <t>SW4</t>
        </is>
      </c>
      <c r="E1868" t="inlineStr">
        <is>
          <t>(en blanco)</t>
        </is>
      </c>
      <c r="F1868" t="inlineStr">
        <is>
          <t>D2C</t>
        </is>
      </c>
      <c r="G1868" t="inlineStr">
        <is>
          <t>L</t>
        </is>
      </c>
      <c r="H1868" t="n">
        <v>18</v>
      </c>
      <c r="I1868" t="inlineStr">
        <is>
          <t>NAUTICA_CLASSICS_117009171_SW4_1.jpg</t>
        </is>
      </c>
      <c r="J1868" t="inlineStr">
        <is>
          <t>NAUTICA_CLASSICS_117009171_SW4_2.jpg</t>
        </is>
      </c>
      <c r="K1868" t="inlineStr">
        <is>
          <t>NAUTICA_CLASSICS_117009171_SW4_3.jpg</t>
        </is>
      </c>
      <c r="L1868">
        <f>IMAGE("file:///E:/Estudios%20y%20certificaciones/ESTUDIOS%20DE%20PROGRAMMING/PROGRAMMING/PERSONAL/PYTHON/Image_Generator_API/imagenes/NAUTICA_CLASSICS_117009171_SW4_1.jpg")</f>
        <v/>
      </c>
      <c r="M1868">
        <f>IMAGE("file:///E:/Estudios%20y%20certificaciones/ESTUDIOS%20DE%20PROGRAMMING/PROGRAMMING/PERSONAL/PYTHON/Image_Generator_API/imagenes/NAUTICA_CLASSICS_117009171_SW4_2.jpg")</f>
        <v/>
      </c>
      <c r="N1868">
        <f>IMAGE("file:///E:/Estudios%20y%20certificaciones/ESTUDIOS%20DE%20PROGRAMMING/PROGRAMMING/PERSONAL/PYTHON/Image_Generator_API/imagenes/NAUTICA_CLASSICS_117009171_SW4_3.jpg")</f>
        <v/>
      </c>
      <c r="O1868">
        <f>HYPERLINK("imagenes/NAUTICA_CLASSICS_117009171_SW4_1.jpg","Ver imagen")</f>
        <v/>
      </c>
      <c r="P1868">
        <f>HYPERLINK("imagenes/NAUTICA_CLASSICS_117009171_SW4_2.jpg","Ver imagen")</f>
        <v/>
      </c>
      <c r="Q1868">
        <f>HYPERLINK("imagenes/NAUTICA_CLASSICS_117009171_SW4_3.jpg","Ver imagen")</f>
        <v/>
      </c>
    </row>
    <row r="1869">
      <c r="A1869" t="inlineStr">
        <is>
          <t>NAUTICA CLASSICS</t>
        </is>
      </c>
      <c r="B1869" t="inlineStr">
        <is>
          <t>117009171</t>
        </is>
      </c>
      <c r="C1869" t="inlineStr">
        <is>
          <t>3/4 STRETCH PUFFER</t>
        </is>
      </c>
      <c r="D1869" t="inlineStr">
        <is>
          <t>SW4</t>
        </is>
      </c>
      <c r="E1869" t="inlineStr">
        <is>
          <t>(en blanco)</t>
        </is>
      </c>
      <c r="F1869" t="inlineStr">
        <is>
          <t>(en blanco)</t>
        </is>
      </c>
      <c r="G1869" t="inlineStr">
        <is>
          <t>XS</t>
        </is>
      </c>
      <c r="H1869" t="n">
        <v>138</v>
      </c>
      <c r="I1869" t="inlineStr">
        <is>
          <t>NAUTICA_CLASSICS_117009171_SW4_1.jpg</t>
        </is>
      </c>
      <c r="J1869" t="inlineStr">
        <is>
          <t>NAUTICA_CLASSICS_117009171_SW4_2.jpg</t>
        </is>
      </c>
      <c r="K1869" t="inlineStr">
        <is>
          <t>NAUTICA_CLASSICS_117009171_SW4_3.jpg</t>
        </is>
      </c>
      <c r="L1869">
        <f>IMAGE("file:///E:/Estudios%20y%20certificaciones/ESTUDIOS%20DE%20PROGRAMMING/PROGRAMMING/PERSONAL/PYTHON/Image_Generator_API/imagenes/NAUTICA_CLASSICS_117009171_SW4_1.jpg")</f>
        <v/>
      </c>
      <c r="M1869">
        <f>IMAGE("file:///E:/Estudios%20y%20certificaciones/ESTUDIOS%20DE%20PROGRAMMING/PROGRAMMING/PERSONAL/PYTHON/Image_Generator_API/imagenes/NAUTICA_CLASSICS_117009171_SW4_2.jpg")</f>
        <v/>
      </c>
      <c r="N1869">
        <f>IMAGE("file:///E:/Estudios%20y%20certificaciones/ESTUDIOS%20DE%20PROGRAMMING/PROGRAMMING/PERSONAL/PYTHON/Image_Generator_API/imagenes/NAUTICA_CLASSICS_117009171_SW4_3.jpg")</f>
        <v/>
      </c>
      <c r="O1869">
        <f>HYPERLINK("imagenes/NAUTICA_CLASSICS_117009171_SW4_1.jpg","Ver imagen")</f>
        <v/>
      </c>
      <c r="P1869">
        <f>HYPERLINK("imagenes/NAUTICA_CLASSICS_117009171_SW4_2.jpg","Ver imagen")</f>
        <v/>
      </c>
      <c r="Q1869">
        <f>HYPERLINK("imagenes/NAUTICA_CLASSICS_117009171_SW4_3.jpg","Ver imagen")</f>
        <v/>
      </c>
    </row>
    <row r="1870">
      <c r="A1870" t="inlineStr">
        <is>
          <t>NAUTICA CLASSICS</t>
        </is>
      </c>
      <c r="B1870" t="inlineStr">
        <is>
          <t>117009171</t>
        </is>
      </c>
      <c r="C1870" t="inlineStr">
        <is>
          <t>3/4 STRETCH PUFFER</t>
        </is>
      </c>
      <c r="D1870" t="inlineStr">
        <is>
          <t>SW4</t>
        </is>
      </c>
      <c r="E1870" t="inlineStr">
        <is>
          <t>(en blanco)</t>
        </is>
      </c>
      <c r="F1870" t="inlineStr">
        <is>
          <t>(en blanco)</t>
        </is>
      </c>
      <c r="G1870" t="inlineStr">
        <is>
          <t>S</t>
        </is>
      </c>
      <c r="H1870" t="n">
        <v>179</v>
      </c>
      <c r="I1870" t="inlineStr">
        <is>
          <t>NAUTICA_CLASSICS_117009171_SW4_1.jpg</t>
        </is>
      </c>
      <c r="J1870" t="inlineStr">
        <is>
          <t>NAUTICA_CLASSICS_117009171_SW4_2.jpg</t>
        </is>
      </c>
      <c r="K1870" t="inlineStr">
        <is>
          <t>NAUTICA_CLASSICS_117009171_SW4_3.jpg</t>
        </is>
      </c>
      <c r="L1870">
        <f>IMAGE("file:///E:/Estudios%20y%20certificaciones/ESTUDIOS%20DE%20PROGRAMMING/PROGRAMMING/PERSONAL/PYTHON/Image_Generator_API/imagenes/NAUTICA_CLASSICS_117009171_SW4_1.jpg")</f>
        <v/>
      </c>
      <c r="M1870">
        <f>IMAGE("file:///E:/Estudios%20y%20certificaciones/ESTUDIOS%20DE%20PROGRAMMING/PROGRAMMING/PERSONAL/PYTHON/Image_Generator_API/imagenes/NAUTICA_CLASSICS_117009171_SW4_2.jpg")</f>
        <v/>
      </c>
      <c r="N1870">
        <f>IMAGE("file:///E:/Estudios%20y%20certificaciones/ESTUDIOS%20DE%20PROGRAMMING/PROGRAMMING/PERSONAL/PYTHON/Image_Generator_API/imagenes/NAUTICA_CLASSICS_117009171_SW4_3.jpg")</f>
        <v/>
      </c>
      <c r="O1870">
        <f>HYPERLINK("imagenes/NAUTICA_CLASSICS_117009171_SW4_1.jpg","Ver imagen")</f>
        <v/>
      </c>
      <c r="P1870">
        <f>HYPERLINK("imagenes/NAUTICA_CLASSICS_117009171_SW4_2.jpg","Ver imagen")</f>
        <v/>
      </c>
      <c r="Q1870">
        <f>HYPERLINK("imagenes/NAUTICA_CLASSICS_117009171_SW4_3.jpg","Ver imagen")</f>
        <v/>
      </c>
    </row>
    <row r="1871">
      <c r="A1871" t="inlineStr">
        <is>
          <t>NAUTICA CLASSICS</t>
        </is>
      </c>
      <c r="B1871" t="inlineStr">
        <is>
          <t>117009171</t>
        </is>
      </c>
      <c r="C1871" t="inlineStr">
        <is>
          <t>3/4 STRETCH PUFFER</t>
        </is>
      </c>
      <c r="D1871" t="inlineStr">
        <is>
          <t>SW4</t>
        </is>
      </c>
      <c r="E1871" t="inlineStr">
        <is>
          <t>(en blanco)</t>
        </is>
      </c>
      <c r="F1871" t="inlineStr">
        <is>
          <t>(en blanco)</t>
        </is>
      </c>
      <c r="G1871" t="inlineStr">
        <is>
          <t>M</t>
        </is>
      </c>
      <c r="H1871" t="n">
        <v>93</v>
      </c>
      <c r="I1871" t="inlineStr">
        <is>
          <t>NAUTICA_CLASSICS_117009171_SW4_1.jpg</t>
        </is>
      </c>
      <c r="J1871" t="inlineStr">
        <is>
          <t>NAUTICA_CLASSICS_117009171_SW4_2.jpg</t>
        </is>
      </c>
      <c r="K1871" t="inlineStr">
        <is>
          <t>NAUTICA_CLASSICS_117009171_SW4_3.jpg</t>
        </is>
      </c>
      <c r="L1871">
        <f>IMAGE("file:///E:/Estudios%20y%20certificaciones/ESTUDIOS%20DE%20PROGRAMMING/PROGRAMMING/PERSONAL/PYTHON/Image_Generator_API/imagenes/NAUTICA_CLASSICS_117009171_SW4_1.jpg")</f>
        <v/>
      </c>
      <c r="M1871">
        <f>IMAGE("file:///E:/Estudios%20y%20certificaciones/ESTUDIOS%20DE%20PROGRAMMING/PROGRAMMING/PERSONAL/PYTHON/Image_Generator_API/imagenes/NAUTICA_CLASSICS_117009171_SW4_2.jpg")</f>
        <v/>
      </c>
      <c r="N1871">
        <f>IMAGE("file:///E:/Estudios%20y%20certificaciones/ESTUDIOS%20DE%20PROGRAMMING/PROGRAMMING/PERSONAL/PYTHON/Image_Generator_API/imagenes/NAUTICA_CLASSICS_117009171_SW4_3.jpg")</f>
        <v/>
      </c>
      <c r="O1871">
        <f>HYPERLINK("imagenes/NAUTICA_CLASSICS_117009171_SW4_1.jpg","Ver imagen")</f>
        <v/>
      </c>
      <c r="P1871">
        <f>HYPERLINK("imagenes/NAUTICA_CLASSICS_117009171_SW4_2.jpg","Ver imagen")</f>
        <v/>
      </c>
      <c r="Q1871">
        <f>HYPERLINK("imagenes/NAUTICA_CLASSICS_117009171_SW4_3.jpg","Ver imagen")</f>
        <v/>
      </c>
    </row>
    <row r="1872">
      <c r="A1872" t="inlineStr">
        <is>
          <t>NAUTICA CLASSICS</t>
        </is>
      </c>
      <c r="B1872" t="inlineStr">
        <is>
          <t>117009171</t>
        </is>
      </c>
      <c r="C1872" t="inlineStr">
        <is>
          <t>3/4 STRETCH PUFFER</t>
        </is>
      </c>
      <c r="D1872" t="inlineStr">
        <is>
          <t>SW4</t>
        </is>
      </c>
      <c r="E1872" t="inlineStr">
        <is>
          <t>(en blanco)</t>
        </is>
      </c>
      <c r="F1872" t="inlineStr">
        <is>
          <t>(en blanco)</t>
        </is>
      </c>
      <c r="G1872" t="inlineStr">
        <is>
          <t>L</t>
        </is>
      </c>
      <c r="H1872" t="n">
        <v>93</v>
      </c>
      <c r="I1872" t="inlineStr">
        <is>
          <t>NAUTICA_CLASSICS_117009171_SW4_1.jpg</t>
        </is>
      </c>
      <c r="J1872" t="inlineStr">
        <is>
          <t>NAUTICA_CLASSICS_117009171_SW4_2.jpg</t>
        </is>
      </c>
      <c r="K1872" t="inlineStr">
        <is>
          <t>NAUTICA_CLASSICS_117009171_SW4_3.jpg</t>
        </is>
      </c>
      <c r="L1872">
        <f>IMAGE("file:///E:/Estudios%20y%20certificaciones/ESTUDIOS%20DE%20PROGRAMMING/PROGRAMMING/PERSONAL/PYTHON/Image_Generator_API/imagenes/NAUTICA_CLASSICS_117009171_SW4_1.jpg")</f>
        <v/>
      </c>
      <c r="M1872">
        <f>IMAGE("file:///E:/Estudios%20y%20certificaciones/ESTUDIOS%20DE%20PROGRAMMING/PROGRAMMING/PERSONAL/PYTHON/Image_Generator_API/imagenes/NAUTICA_CLASSICS_117009171_SW4_2.jpg")</f>
        <v/>
      </c>
      <c r="N1872">
        <f>IMAGE("file:///E:/Estudios%20y%20certificaciones/ESTUDIOS%20DE%20PROGRAMMING/PROGRAMMING/PERSONAL/PYTHON/Image_Generator_API/imagenes/NAUTICA_CLASSICS_117009171_SW4_3.jpg")</f>
        <v/>
      </c>
      <c r="O1872">
        <f>HYPERLINK("imagenes/NAUTICA_CLASSICS_117009171_SW4_1.jpg","Ver imagen")</f>
        <v/>
      </c>
      <c r="P1872">
        <f>HYPERLINK("imagenes/NAUTICA_CLASSICS_117009171_SW4_2.jpg","Ver imagen")</f>
        <v/>
      </c>
      <c r="Q1872">
        <f>HYPERLINK("imagenes/NAUTICA_CLASSICS_117009171_SW4_3.jpg","Ver imagen")</f>
        <v/>
      </c>
    </row>
    <row r="1873">
      <c r="A1873" t="inlineStr">
        <is>
          <t>NAUTICA CLASSICS</t>
        </is>
      </c>
      <c r="B1873" t="inlineStr">
        <is>
          <t>117009201</t>
        </is>
      </c>
      <c r="C1873" t="inlineStr">
        <is>
          <t>32" MIST PARKA</t>
        </is>
      </c>
      <c r="D1873" t="inlineStr">
        <is>
          <t>BLK</t>
        </is>
      </c>
      <c r="E1873" t="inlineStr">
        <is>
          <t>07A08</t>
        </is>
      </c>
      <c r="F1873" t="inlineStr">
        <is>
          <t>B2230</t>
        </is>
      </c>
      <c r="G1873" t="inlineStr">
        <is>
          <t>PPK</t>
        </is>
      </c>
      <c r="H1873" t="n">
        <v>0</v>
      </c>
      <c r="I1873" t="inlineStr">
        <is>
          <t>NAUTICA_CLASSICS_117009201_BLK_2.jpg</t>
        </is>
      </c>
      <c r="J1873" t="inlineStr">
        <is>
          <t>NAUTICA_CLASSICS_117009201_BLK_3.jpg</t>
        </is>
      </c>
      <c r="L1873">
        <f>IMAGE("file:///E:/Estudios%20y%20certificaciones/ESTUDIOS%20DE%20PROGRAMMING/PROGRAMMING/PERSONAL/PYTHON/Image_Generator_API/imagenes/NAUTICA_CLASSICS_117009201_BLK_2.jpg")</f>
        <v/>
      </c>
      <c r="M1873">
        <f>IMAGE("file:///E:/Estudios%20y%20certificaciones/ESTUDIOS%20DE%20PROGRAMMING/PROGRAMMING/PERSONAL/PYTHON/Image_Generator_API/imagenes/NAUTICA_CLASSICS_117009201_BLK_3.jpg")</f>
        <v/>
      </c>
      <c r="O1873">
        <f>HYPERLINK("imagenes/NAUTICA_CLASSICS_117009201_BLK_2.jpg","Ver imagen")</f>
        <v/>
      </c>
      <c r="P1873">
        <f>HYPERLINK("imagenes/NAUTICA_CLASSICS_117009201_BLK_3.jpg","Ver imagen")</f>
        <v/>
      </c>
    </row>
    <row r="1874">
      <c r="A1874" t="inlineStr">
        <is>
          <t>NAUTICA CLASSICS</t>
        </is>
      </c>
      <c r="B1874" t="inlineStr">
        <is>
          <t>117009201</t>
        </is>
      </c>
      <c r="C1874" t="inlineStr">
        <is>
          <t>32" MIST PARKA</t>
        </is>
      </c>
      <c r="D1874" t="inlineStr">
        <is>
          <t>BLK</t>
        </is>
      </c>
      <c r="E1874" t="inlineStr">
        <is>
          <t>08A05</t>
        </is>
      </c>
      <c r="F1874" t="inlineStr">
        <is>
          <t>(en blanco)</t>
        </is>
      </c>
      <c r="G1874" t="inlineStr">
        <is>
          <t>PPK</t>
        </is>
      </c>
      <c r="H1874" t="n">
        <v>3800</v>
      </c>
      <c r="I1874" t="inlineStr">
        <is>
          <t>NAUTICA_CLASSICS_117009201_BLK_2.jpg</t>
        </is>
      </c>
      <c r="J1874" t="inlineStr">
        <is>
          <t>NAUTICA_CLASSICS_117009201_BLK_3.jpg</t>
        </is>
      </c>
      <c r="L1874">
        <f>IMAGE("file:///E:/Estudios%20y%20certificaciones/ESTUDIOS%20DE%20PROGRAMMING/PROGRAMMING/PERSONAL/PYTHON/Image_Generator_API/imagenes/NAUTICA_CLASSICS_117009201_BLK_2.jpg")</f>
        <v/>
      </c>
      <c r="M1874">
        <f>IMAGE("file:///E:/Estudios%20y%20certificaciones/ESTUDIOS%20DE%20PROGRAMMING/PROGRAMMING/PERSONAL/PYTHON/Image_Generator_API/imagenes/NAUTICA_CLASSICS_117009201_BLK_3.jpg")</f>
        <v/>
      </c>
      <c r="O1874">
        <f>HYPERLINK("imagenes/NAUTICA_CLASSICS_117009201_BLK_2.jpg","Ver imagen")</f>
        <v/>
      </c>
      <c r="P1874">
        <f>HYPERLINK("imagenes/NAUTICA_CLASSICS_117009201_BLK_3.jpg","Ver imagen")</f>
        <v/>
      </c>
    </row>
    <row r="1875">
      <c r="A1875" t="inlineStr">
        <is>
          <t>NAUTICA CLASSICS</t>
        </is>
      </c>
      <c r="B1875" t="inlineStr">
        <is>
          <t>117009201</t>
        </is>
      </c>
      <c r="C1875" t="inlineStr">
        <is>
          <t>32" MIST PARKA</t>
        </is>
      </c>
      <c r="D1875" t="inlineStr">
        <is>
          <t>BLK</t>
        </is>
      </c>
      <c r="E1875" t="inlineStr">
        <is>
          <t>(en blanco)</t>
        </is>
      </c>
      <c r="F1875" t="inlineStr">
        <is>
          <t>MACYS ECOM</t>
        </is>
      </c>
      <c r="G1875" t="inlineStr">
        <is>
          <t>XS</t>
        </is>
      </c>
      <c r="H1875" t="n">
        <v>0</v>
      </c>
      <c r="I1875" t="inlineStr">
        <is>
          <t>NAUTICA_CLASSICS_117009201_BLK_2.jpg</t>
        </is>
      </c>
      <c r="J1875" t="inlineStr">
        <is>
          <t>NAUTICA_CLASSICS_117009201_BLK_3.jpg</t>
        </is>
      </c>
      <c r="L1875">
        <f>IMAGE("file:///E:/Estudios%20y%20certificaciones/ESTUDIOS%20DE%20PROGRAMMING/PROGRAMMING/PERSONAL/PYTHON/Image_Generator_API/imagenes/NAUTICA_CLASSICS_117009201_BLK_2.jpg")</f>
        <v/>
      </c>
      <c r="M1875">
        <f>IMAGE("file:///E:/Estudios%20y%20certificaciones/ESTUDIOS%20DE%20PROGRAMMING/PROGRAMMING/PERSONAL/PYTHON/Image_Generator_API/imagenes/NAUTICA_CLASSICS_117009201_BLK_3.jpg")</f>
        <v/>
      </c>
      <c r="O1875">
        <f>HYPERLINK("imagenes/NAUTICA_CLASSICS_117009201_BLK_2.jpg","Ver imagen")</f>
        <v/>
      </c>
      <c r="P1875">
        <f>HYPERLINK("imagenes/NAUTICA_CLASSICS_117009201_BLK_3.jpg","Ver imagen")</f>
        <v/>
      </c>
    </row>
    <row r="1876">
      <c r="A1876" t="inlineStr">
        <is>
          <t>NAUTICA CLASSICS</t>
        </is>
      </c>
      <c r="B1876" t="inlineStr">
        <is>
          <t>117009201</t>
        </is>
      </c>
      <c r="C1876" t="inlineStr">
        <is>
          <t>32" MIST PARKA</t>
        </is>
      </c>
      <c r="D1876" t="inlineStr">
        <is>
          <t>BLK</t>
        </is>
      </c>
      <c r="E1876" t="inlineStr">
        <is>
          <t>(en blanco)</t>
        </is>
      </c>
      <c r="F1876" t="inlineStr">
        <is>
          <t>MACYS ECOM</t>
        </is>
      </c>
      <c r="G1876" t="inlineStr">
        <is>
          <t>S</t>
        </is>
      </c>
      <c r="H1876" t="n">
        <v>0</v>
      </c>
      <c r="I1876" t="inlineStr">
        <is>
          <t>NAUTICA_CLASSICS_117009201_BLK_2.jpg</t>
        </is>
      </c>
      <c r="J1876" t="inlineStr">
        <is>
          <t>NAUTICA_CLASSICS_117009201_BLK_3.jpg</t>
        </is>
      </c>
      <c r="L1876">
        <f>IMAGE("file:///E:/Estudios%20y%20certificaciones/ESTUDIOS%20DE%20PROGRAMMING/PROGRAMMING/PERSONAL/PYTHON/Image_Generator_API/imagenes/NAUTICA_CLASSICS_117009201_BLK_2.jpg")</f>
        <v/>
      </c>
      <c r="M1876">
        <f>IMAGE("file:///E:/Estudios%20y%20certificaciones/ESTUDIOS%20DE%20PROGRAMMING/PROGRAMMING/PERSONAL/PYTHON/Image_Generator_API/imagenes/NAUTICA_CLASSICS_117009201_BLK_3.jpg")</f>
        <v/>
      </c>
      <c r="O1876">
        <f>HYPERLINK("imagenes/NAUTICA_CLASSICS_117009201_BLK_2.jpg","Ver imagen")</f>
        <v/>
      </c>
      <c r="P1876">
        <f>HYPERLINK("imagenes/NAUTICA_CLASSICS_117009201_BLK_3.jpg","Ver imagen")</f>
        <v/>
      </c>
    </row>
    <row r="1877">
      <c r="A1877" t="inlineStr">
        <is>
          <t>NAUTICA CLASSICS</t>
        </is>
      </c>
      <c r="B1877" t="inlineStr">
        <is>
          <t>117009201</t>
        </is>
      </c>
      <c r="C1877" t="inlineStr">
        <is>
          <t>32" MIST PARKA</t>
        </is>
      </c>
      <c r="D1877" t="inlineStr">
        <is>
          <t>BLK</t>
        </is>
      </c>
      <c r="E1877" t="inlineStr">
        <is>
          <t>(en blanco)</t>
        </is>
      </c>
      <c r="F1877" t="inlineStr">
        <is>
          <t>MACYS ECOM</t>
        </is>
      </c>
      <c r="G1877" t="inlineStr">
        <is>
          <t>M</t>
        </is>
      </c>
      <c r="H1877" t="n">
        <v>0</v>
      </c>
      <c r="I1877" t="inlineStr">
        <is>
          <t>NAUTICA_CLASSICS_117009201_BLK_2.jpg</t>
        </is>
      </c>
      <c r="J1877" t="inlineStr">
        <is>
          <t>NAUTICA_CLASSICS_117009201_BLK_3.jpg</t>
        </is>
      </c>
      <c r="L1877">
        <f>IMAGE("file:///E:/Estudios%20y%20certificaciones/ESTUDIOS%20DE%20PROGRAMMING/PROGRAMMING/PERSONAL/PYTHON/Image_Generator_API/imagenes/NAUTICA_CLASSICS_117009201_BLK_2.jpg")</f>
        <v/>
      </c>
      <c r="M1877">
        <f>IMAGE("file:///E:/Estudios%20y%20certificaciones/ESTUDIOS%20DE%20PROGRAMMING/PROGRAMMING/PERSONAL/PYTHON/Image_Generator_API/imagenes/NAUTICA_CLASSICS_117009201_BLK_3.jpg")</f>
        <v/>
      </c>
      <c r="O1877">
        <f>HYPERLINK("imagenes/NAUTICA_CLASSICS_117009201_BLK_2.jpg","Ver imagen")</f>
        <v/>
      </c>
      <c r="P1877">
        <f>HYPERLINK("imagenes/NAUTICA_CLASSICS_117009201_BLK_3.jpg","Ver imagen")</f>
        <v/>
      </c>
    </row>
    <row r="1878">
      <c r="A1878" t="inlineStr">
        <is>
          <t>NAUTICA CLASSICS</t>
        </is>
      </c>
      <c r="B1878" t="inlineStr">
        <is>
          <t>117009201</t>
        </is>
      </c>
      <c r="C1878" t="inlineStr">
        <is>
          <t>32" MIST PARKA</t>
        </is>
      </c>
      <c r="D1878" t="inlineStr">
        <is>
          <t>BLK</t>
        </is>
      </c>
      <c r="E1878" t="inlineStr">
        <is>
          <t>(en blanco)</t>
        </is>
      </c>
      <c r="F1878" t="inlineStr">
        <is>
          <t>MACYS ECOM</t>
        </is>
      </c>
      <c r="G1878" t="inlineStr">
        <is>
          <t>L</t>
        </is>
      </c>
      <c r="H1878" t="n">
        <v>0</v>
      </c>
      <c r="I1878" t="inlineStr">
        <is>
          <t>NAUTICA_CLASSICS_117009201_BLK_2.jpg</t>
        </is>
      </c>
      <c r="J1878" t="inlineStr">
        <is>
          <t>NAUTICA_CLASSICS_117009201_BLK_3.jpg</t>
        </is>
      </c>
      <c r="L1878">
        <f>IMAGE("file:///E:/Estudios%20y%20certificaciones/ESTUDIOS%20DE%20PROGRAMMING/PROGRAMMING/PERSONAL/PYTHON/Image_Generator_API/imagenes/NAUTICA_CLASSICS_117009201_BLK_2.jpg")</f>
        <v/>
      </c>
      <c r="M1878">
        <f>IMAGE("file:///E:/Estudios%20y%20certificaciones/ESTUDIOS%20DE%20PROGRAMMING/PROGRAMMING/PERSONAL/PYTHON/Image_Generator_API/imagenes/NAUTICA_CLASSICS_117009201_BLK_3.jpg")</f>
        <v/>
      </c>
      <c r="O1878">
        <f>HYPERLINK("imagenes/NAUTICA_CLASSICS_117009201_BLK_2.jpg","Ver imagen")</f>
        <v/>
      </c>
      <c r="P1878">
        <f>HYPERLINK("imagenes/NAUTICA_CLASSICS_117009201_BLK_3.jpg","Ver imagen")</f>
        <v/>
      </c>
    </row>
    <row r="1879">
      <c r="A1879" t="inlineStr">
        <is>
          <t>NAUTICA CLASSICS</t>
        </is>
      </c>
      <c r="B1879" t="inlineStr">
        <is>
          <t>117009201</t>
        </is>
      </c>
      <c r="C1879" t="inlineStr">
        <is>
          <t>32" MIST PARKA</t>
        </is>
      </c>
      <c r="D1879" t="inlineStr">
        <is>
          <t>BLK</t>
        </is>
      </c>
      <c r="E1879" t="inlineStr">
        <is>
          <t>(en blanco)</t>
        </is>
      </c>
      <c r="F1879" t="inlineStr">
        <is>
          <t>MACYS ECOM</t>
        </is>
      </c>
      <c r="G1879" t="inlineStr">
        <is>
          <t>XL</t>
        </is>
      </c>
      <c r="H1879" t="n">
        <v>95</v>
      </c>
      <c r="I1879" t="inlineStr">
        <is>
          <t>NAUTICA_CLASSICS_117009201_BLK_2.jpg</t>
        </is>
      </c>
      <c r="J1879" t="inlineStr">
        <is>
          <t>NAUTICA_CLASSICS_117009201_BLK_3.jpg</t>
        </is>
      </c>
      <c r="L1879">
        <f>IMAGE("file:///E:/Estudios%20y%20certificaciones/ESTUDIOS%20DE%20PROGRAMMING/PROGRAMMING/PERSONAL/PYTHON/Image_Generator_API/imagenes/NAUTICA_CLASSICS_117009201_BLK_2.jpg")</f>
        <v/>
      </c>
      <c r="M1879">
        <f>IMAGE("file:///E:/Estudios%20y%20certificaciones/ESTUDIOS%20DE%20PROGRAMMING/PROGRAMMING/PERSONAL/PYTHON/Image_Generator_API/imagenes/NAUTICA_CLASSICS_117009201_BLK_3.jpg")</f>
        <v/>
      </c>
      <c r="O1879">
        <f>HYPERLINK("imagenes/NAUTICA_CLASSICS_117009201_BLK_2.jpg","Ver imagen")</f>
        <v/>
      </c>
      <c r="P1879">
        <f>HYPERLINK("imagenes/NAUTICA_CLASSICS_117009201_BLK_3.jpg","Ver imagen")</f>
        <v/>
      </c>
    </row>
    <row r="1880">
      <c r="A1880" t="inlineStr">
        <is>
          <t>NAUTICA CLASSICS</t>
        </is>
      </c>
      <c r="B1880" t="inlineStr">
        <is>
          <t>117009201</t>
        </is>
      </c>
      <c r="C1880" t="inlineStr">
        <is>
          <t>32" MIST PARKA</t>
        </is>
      </c>
      <c r="D1880" t="inlineStr">
        <is>
          <t>BLK</t>
        </is>
      </c>
      <c r="E1880" t="inlineStr">
        <is>
          <t>(en blanco)</t>
        </is>
      </c>
      <c r="F1880" t="inlineStr">
        <is>
          <t>MACYS ECOM</t>
        </is>
      </c>
      <c r="G1880" t="inlineStr">
        <is>
          <t>XXL</t>
        </is>
      </c>
      <c r="H1880" t="n">
        <v>206</v>
      </c>
      <c r="I1880" t="inlineStr">
        <is>
          <t>NAUTICA_CLASSICS_117009201_BLK_2.jpg</t>
        </is>
      </c>
      <c r="J1880" t="inlineStr">
        <is>
          <t>NAUTICA_CLASSICS_117009201_BLK_3.jpg</t>
        </is>
      </c>
      <c r="L1880">
        <f>IMAGE("file:///E:/Estudios%20y%20certificaciones/ESTUDIOS%20DE%20PROGRAMMING/PROGRAMMING/PERSONAL/PYTHON/Image_Generator_API/imagenes/NAUTICA_CLASSICS_117009201_BLK_2.jpg")</f>
        <v/>
      </c>
      <c r="M1880">
        <f>IMAGE("file:///E:/Estudios%20y%20certificaciones/ESTUDIOS%20DE%20PROGRAMMING/PROGRAMMING/PERSONAL/PYTHON/Image_Generator_API/imagenes/NAUTICA_CLASSICS_117009201_BLK_3.jpg")</f>
        <v/>
      </c>
      <c r="O1880">
        <f>HYPERLINK("imagenes/NAUTICA_CLASSICS_117009201_BLK_2.jpg","Ver imagen")</f>
        <v/>
      </c>
      <c r="P1880">
        <f>HYPERLINK("imagenes/NAUTICA_CLASSICS_117009201_BLK_3.jpg","Ver imagen")</f>
        <v/>
      </c>
    </row>
    <row r="1881">
      <c r="A1881" t="inlineStr">
        <is>
          <t>NAUTICA CLASSICS</t>
        </is>
      </c>
      <c r="B1881" t="inlineStr">
        <is>
          <t>117009201</t>
        </is>
      </c>
      <c r="C1881" t="inlineStr">
        <is>
          <t>32" MIST PARKA</t>
        </is>
      </c>
      <c r="D1881" t="inlineStr">
        <is>
          <t>BLK</t>
        </is>
      </c>
      <c r="E1881" t="inlineStr">
        <is>
          <t>(en blanco)</t>
        </is>
      </c>
      <c r="F1881" t="inlineStr">
        <is>
          <t>MACYS ECOM</t>
        </is>
      </c>
      <c r="G1881" t="inlineStr">
        <is>
          <t>XXS</t>
        </is>
      </c>
      <c r="H1881" t="n">
        <v>22</v>
      </c>
      <c r="I1881" t="inlineStr">
        <is>
          <t>NAUTICA_CLASSICS_117009201_BLK_2.jpg</t>
        </is>
      </c>
      <c r="J1881" t="inlineStr">
        <is>
          <t>NAUTICA_CLASSICS_117009201_BLK_3.jpg</t>
        </is>
      </c>
      <c r="L1881">
        <f>IMAGE("file:///E:/Estudios%20y%20certificaciones/ESTUDIOS%20DE%20PROGRAMMING/PROGRAMMING/PERSONAL/PYTHON/Image_Generator_API/imagenes/NAUTICA_CLASSICS_117009201_BLK_2.jpg")</f>
        <v/>
      </c>
      <c r="M1881">
        <f>IMAGE("file:///E:/Estudios%20y%20certificaciones/ESTUDIOS%20DE%20PROGRAMMING/PROGRAMMING/PERSONAL/PYTHON/Image_Generator_API/imagenes/NAUTICA_CLASSICS_117009201_BLK_3.jpg")</f>
        <v/>
      </c>
      <c r="O1881">
        <f>HYPERLINK("imagenes/NAUTICA_CLASSICS_117009201_BLK_2.jpg","Ver imagen")</f>
        <v/>
      </c>
      <c r="P1881">
        <f>HYPERLINK("imagenes/NAUTICA_CLASSICS_117009201_BLK_3.jpg","Ver imagen")</f>
        <v/>
      </c>
    </row>
    <row r="1882">
      <c r="A1882" t="inlineStr">
        <is>
          <t>NAUTICA CLASSICS</t>
        </is>
      </c>
      <c r="B1882" t="inlineStr">
        <is>
          <t>117009201</t>
        </is>
      </c>
      <c r="C1882" t="inlineStr">
        <is>
          <t>32" MIST PARKA</t>
        </is>
      </c>
      <c r="D1882" t="inlineStr">
        <is>
          <t>BLK</t>
        </is>
      </c>
      <c r="E1882" t="inlineStr">
        <is>
          <t>(en blanco)</t>
        </is>
      </c>
      <c r="F1882" t="inlineStr">
        <is>
          <t>(en blanco)</t>
        </is>
      </c>
      <c r="G1882" t="inlineStr">
        <is>
          <t>XS</t>
        </is>
      </c>
      <c r="H1882" t="n">
        <v>279</v>
      </c>
      <c r="I1882" t="inlineStr">
        <is>
          <t>NAUTICA_CLASSICS_117009201_BLK_2.jpg</t>
        </is>
      </c>
      <c r="J1882" t="inlineStr">
        <is>
          <t>NAUTICA_CLASSICS_117009201_BLK_3.jpg</t>
        </is>
      </c>
      <c r="L1882">
        <f>IMAGE("file:///E:/Estudios%20y%20certificaciones/ESTUDIOS%20DE%20PROGRAMMING/PROGRAMMING/PERSONAL/PYTHON/Image_Generator_API/imagenes/NAUTICA_CLASSICS_117009201_BLK_2.jpg")</f>
        <v/>
      </c>
      <c r="M1882">
        <f>IMAGE("file:///E:/Estudios%20y%20certificaciones/ESTUDIOS%20DE%20PROGRAMMING/PROGRAMMING/PERSONAL/PYTHON/Image_Generator_API/imagenes/NAUTICA_CLASSICS_117009201_BLK_3.jpg")</f>
        <v/>
      </c>
      <c r="O1882">
        <f>HYPERLINK("imagenes/NAUTICA_CLASSICS_117009201_BLK_2.jpg","Ver imagen")</f>
        <v/>
      </c>
      <c r="P1882">
        <f>HYPERLINK("imagenes/NAUTICA_CLASSICS_117009201_BLK_3.jpg","Ver imagen")</f>
        <v/>
      </c>
    </row>
    <row r="1883">
      <c r="A1883" t="inlineStr">
        <is>
          <t>NAUTICA CLASSICS</t>
        </is>
      </c>
      <c r="B1883" t="inlineStr">
        <is>
          <t>117009201</t>
        </is>
      </c>
      <c r="C1883" t="inlineStr">
        <is>
          <t>32" MIST PARKA</t>
        </is>
      </c>
      <c r="D1883" t="inlineStr">
        <is>
          <t>BLK</t>
        </is>
      </c>
      <c r="E1883" t="inlineStr">
        <is>
          <t>(en blanco)</t>
        </is>
      </c>
      <c r="F1883" t="inlineStr">
        <is>
          <t>(en blanco)</t>
        </is>
      </c>
      <c r="G1883" t="inlineStr">
        <is>
          <t>S</t>
        </is>
      </c>
      <c r="H1883" t="n">
        <v>353</v>
      </c>
      <c r="I1883" t="inlineStr">
        <is>
          <t>NAUTICA_CLASSICS_117009201_BLK_2.jpg</t>
        </is>
      </c>
      <c r="J1883" t="inlineStr">
        <is>
          <t>NAUTICA_CLASSICS_117009201_BLK_3.jpg</t>
        </is>
      </c>
      <c r="L1883">
        <f>IMAGE("file:///E:/Estudios%20y%20certificaciones/ESTUDIOS%20DE%20PROGRAMMING/PROGRAMMING/PERSONAL/PYTHON/Image_Generator_API/imagenes/NAUTICA_CLASSICS_117009201_BLK_2.jpg")</f>
        <v/>
      </c>
      <c r="M1883">
        <f>IMAGE("file:///E:/Estudios%20y%20certificaciones/ESTUDIOS%20DE%20PROGRAMMING/PROGRAMMING/PERSONAL/PYTHON/Image_Generator_API/imagenes/NAUTICA_CLASSICS_117009201_BLK_3.jpg")</f>
        <v/>
      </c>
      <c r="O1883">
        <f>HYPERLINK("imagenes/NAUTICA_CLASSICS_117009201_BLK_2.jpg","Ver imagen")</f>
        <v/>
      </c>
      <c r="P1883">
        <f>HYPERLINK("imagenes/NAUTICA_CLASSICS_117009201_BLK_3.jpg","Ver imagen")</f>
        <v/>
      </c>
    </row>
    <row r="1884">
      <c r="A1884" t="inlineStr">
        <is>
          <t>NAUTICA CLASSICS</t>
        </is>
      </c>
      <c r="B1884" t="inlineStr">
        <is>
          <t>117009201</t>
        </is>
      </c>
      <c r="C1884" t="inlineStr">
        <is>
          <t>32" MIST PARKA</t>
        </is>
      </c>
      <c r="D1884" t="inlineStr">
        <is>
          <t>BLK</t>
        </is>
      </c>
      <c r="E1884" t="inlineStr">
        <is>
          <t>(en blanco)</t>
        </is>
      </c>
      <c r="F1884" t="inlineStr">
        <is>
          <t>(en blanco)</t>
        </is>
      </c>
      <c r="G1884" t="inlineStr">
        <is>
          <t>M</t>
        </is>
      </c>
      <c r="H1884" t="n">
        <v>535</v>
      </c>
      <c r="I1884" t="inlineStr">
        <is>
          <t>NAUTICA_CLASSICS_117009201_BLK_2.jpg</t>
        </is>
      </c>
      <c r="J1884" t="inlineStr">
        <is>
          <t>NAUTICA_CLASSICS_117009201_BLK_3.jpg</t>
        </is>
      </c>
      <c r="L1884">
        <f>IMAGE("file:///E:/Estudios%20y%20certificaciones/ESTUDIOS%20DE%20PROGRAMMING/PROGRAMMING/PERSONAL/PYTHON/Image_Generator_API/imagenes/NAUTICA_CLASSICS_117009201_BLK_2.jpg")</f>
        <v/>
      </c>
      <c r="M1884">
        <f>IMAGE("file:///E:/Estudios%20y%20certificaciones/ESTUDIOS%20DE%20PROGRAMMING/PROGRAMMING/PERSONAL/PYTHON/Image_Generator_API/imagenes/NAUTICA_CLASSICS_117009201_BLK_3.jpg")</f>
        <v/>
      </c>
      <c r="O1884">
        <f>HYPERLINK("imagenes/NAUTICA_CLASSICS_117009201_BLK_2.jpg","Ver imagen")</f>
        <v/>
      </c>
      <c r="P1884">
        <f>HYPERLINK("imagenes/NAUTICA_CLASSICS_117009201_BLK_3.jpg","Ver imagen")</f>
        <v/>
      </c>
    </row>
    <row r="1885">
      <c r="A1885" t="inlineStr">
        <is>
          <t>NAUTICA CLASSICS</t>
        </is>
      </c>
      <c r="B1885" t="inlineStr">
        <is>
          <t>117009201</t>
        </is>
      </c>
      <c r="C1885" t="inlineStr">
        <is>
          <t>32" MIST PARKA</t>
        </is>
      </c>
      <c r="D1885" t="inlineStr">
        <is>
          <t>BLK</t>
        </is>
      </c>
      <c r="E1885" t="inlineStr">
        <is>
          <t>(en blanco)</t>
        </is>
      </c>
      <c r="F1885" t="inlineStr">
        <is>
          <t>(en blanco)</t>
        </is>
      </c>
      <c r="G1885" t="inlineStr">
        <is>
          <t>L</t>
        </is>
      </c>
      <c r="H1885" t="n">
        <v>540</v>
      </c>
      <c r="I1885" t="inlineStr">
        <is>
          <t>NAUTICA_CLASSICS_117009201_BLK_2.jpg</t>
        </is>
      </c>
      <c r="J1885" t="inlineStr">
        <is>
          <t>NAUTICA_CLASSICS_117009201_BLK_3.jpg</t>
        </is>
      </c>
      <c r="L1885">
        <f>IMAGE("file:///E:/Estudios%20y%20certificaciones/ESTUDIOS%20DE%20PROGRAMMING/PROGRAMMING/PERSONAL/PYTHON/Image_Generator_API/imagenes/NAUTICA_CLASSICS_117009201_BLK_2.jpg")</f>
        <v/>
      </c>
      <c r="M1885">
        <f>IMAGE("file:///E:/Estudios%20y%20certificaciones/ESTUDIOS%20DE%20PROGRAMMING/PROGRAMMING/PERSONAL/PYTHON/Image_Generator_API/imagenes/NAUTICA_CLASSICS_117009201_BLK_3.jpg")</f>
        <v/>
      </c>
      <c r="O1885">
        <f>HYPERLINK("imagenes/NAUTICA_CLASSICS_117009201_BLK_2.jpg","Ver imagen")</f>
        <v/>
      </c>
      <c r="P1885">
        <f>HYPERLINK("imagenes/NAUTICA_CLASSICS_117009201_BLK_3.jpg","Ver imagen")</f>
        <v/>
      </c>
    </row>
    <row r="1886">
      <c r="A1886" t="inlineStr">
        <is>
          <t>NAUTICA CLASSICS</t>
        </is>
      </c>
      <c r="B1886" t="inlineStr">
        <is>
          <t>117009201</t>
        </is>
      </c>
      <c r="C1886" t="inlineStr">
        <is>
          <t>32" MIST PARKA</t>
        </is>
      </c>
      <c r="D1886" t="inlineStr">
        <is>
          <t>BLK</t>
        </is>
      </c>
      <c r="E1886" t="inlineStr">
        <is>
          <t>(en blanco)</t>
        </is>
      </c>
      <c r="F1886" t="inlineStr">
        <is>
          <t>(en blanco)</t>
        </is>
      </c>
      <c r="G1886" t="inlineStr">
        <is>
          <t>XL</t>
        </is>
      </c>
      <c r="H1886" t="n">
        <v>285</v>
      </c>
      <c r="I1886" t="inlineStr">
        <is>
          <t>NAUTICA_CLASSICS_117009201_BLK_2.jpg</t>
        </is>
      </c>
      <c r="J1886" t="inlineStr">
        <is>
          <t>NAUTICA_CLASSICS_117009201_BLK_3.jpg</t>
        </is>
      </c>
      <c r="L1886">
        <f>IMAGE("file:///E:/Estudios%20y%20certificaciones/ESTUDIOS%20DE%20PROGRAMMING/PROGRAMMING/PERSONAL/PYTHON/Image_Generator_API/imagenes/NAUTICA_CLASSICS_117009201_BLK_2.jpg")</f>
        <v/>
      </c>
      <c r="M1886">
        <f>IMAGE("file:///E:/Estudios%20y%20certificaciones/ESTUDIOS%20DE%20PROGRAMMING/PROGRAMMING/PERSONAL/PYTHON/Image_Generator_API/imagenes/NAUTICA_CLASSICS_117009201_BLK_3.jpg")</f>
        <v/>
      </c>
      <c r="O1886">
        <f>HYPERLINK("imagenes/NAUTICA_CLASSICS_117009201_BLK_2.jpg","Ver imagen")</f>
        <v/>
      </c>
      <c r="P1886">
        <f>HYPERLINK("imagenes/NAUTICA_CLASSICS_117009201_BLK_3.jpg","Ver imagen")</f>
        <v/>
      </c>
    </row>
    <row r="1887">
      <c r="A1887" t="inlineStr">
        <is>
          <t>NAUTICA CLASSICS</t>
        </is>
      </c>
      <c r="B1887" t="inlineStr">
        <is>
          <t>117009201</t>
        </is>
      </c>
      <c r="C1887" t="inlineStr">
        <is>
          <t>32" MIST PARKA</t>
        </is>
      </c>
      <c r="D1887" t="inlineStr">
        <is>
          <t>NAR</t>
        </is>
      </c>
      <c r="E1887" t="inlineStr">
        <is>
          <t>08A05</t>
        </is>
      </c>
      <c r="F1887" t="inlineStr">
        <is>
          <t>(en blanco)</t>
        </is>
      </c>
      <c r="G1887" t="inlineStr">
        <is>
          <t>PPK</t>
        </is>
      </c>
      <c r="H1887" t="n">
        <v>1280</v>
      </c>
      <c r="I1887" t="inlineStr">
        <is>
          <t>NAUTICA_CLASSICS_117009201_NAR_2.jpg</t>
        </is>
      </c>
      <c r="J1887" t="inlineStr">
        <is>
          <t>NAUTICA_CLASSICS_117009201_NAR_3.jpg</t>
        </is>
      </c>
      <c r="L1887">
        <f>IMAGE("file:///E:/Estudios%20y%20certificaciones/ESTUDIOS%20DE%20PROGRAMMING/PROGRAMMING/PERSONAL/PYTHON/Image_Generator_API/imagenes/NAUTICA_CLASSICS_117009201_NAR_2.jpg")</f>
        <v/>
      </c>
      <c r="M1887">
        <f>IMAGE("file:///E:/Estudios%20y%20certificaciones/ESTUDIOS%20DE%20PROGRAMMING/PROGRAMMING/PERSONAL/PYTHON/Image_Generator_API/imagenes/NAUTICA_CLASSICS_117009201_NAR_3.jpg")</f>
        <v/>
      </c>
      <c r="O1887">
        <f>HYPERLINK("imagenes/NAUTICA_CLASSICS_117009201_NAR_2.jpg","Ver imagen")</f>
        <v/>
      </c>
      <c r="P1887">
        <f>HYPERLINK("imagenes/NAUTICA_CLASSICS_117009201_NAR_3.jpg","Ver imagen")</f>
        <v/>
      </c>
    </row>
    <row r="1888">
      <c r="A1888" t="inlineStr">
        <is>
          <t>NAUTICA CLASSICS</t>
        </is>
      </c>
      <c r="B1888" t="inlineStr">
        <is>
          <t>117009201</t>
        </is>
      </c>
      <c r="C1888" t="inlineStr">
        <is>
          <t>32" MIST PARKA</t>
        </is>
      </c>
      <c r="D1888" t="inlineStr">
        <is>
          <t>NAR</t>
        </is>
      </c>
      <c r="E1888" t="inlineStr">
        <is>
          <t>(en blanco)</t>
        </is>
      </c>
      <c r="F1888" t="inlineStr">
        <is>
          <t>D2C</t>
        </is>
      </c>
      <c r="G1888" t="inlineStr">
        <is>
          <t>XS</t>
        </is>
      </c>
      <c r="H1888" t="n">
        <v>10</v>
      </c>
      <c r="I1888" t="inlineStr">
        <is>
          <t>NAUTICA_CLASSICS_117009201_NAR_2.jpg</t>
        </is>
      </c>
      <c r="J1888" t="inlineStr">
        <is>
          <t>NAUTICA_CLASSICS_117009201_NAR_3.jpg</t>
        </is>
      </c>
      <c r="L1888">
        <f>IMAGE("file:///E:/Estudios%20y%20certificaciones/ESTUDIOS%20DE%20PROGRAMMING/PROGRAMMING/PERSONAL/PYTHON/Image_Generator_API/imagenes/NAUTICA_CLASSICS_117009201_NAR_2.jpg")</f>
        <v/>
      </c>
      <c r="M1888">
        <f>IMAGE("file:///E:/Estudios%20y%20certificaciones/ESTUDIOS%20DE%20PROGRAMMING/PROGRAMMING/PERSONAL/PYTHON/Image_Generator_API/imagenes/NAUTICA_CLASSICS_117009201_NAR_3.jpg")</f>
        <v/>
      </c>
      <c r="O1888">
        <f>HYPERLINK("imagenes/NAUTICA_CLASSICS_117009201_NAR_2.jpg","Ver imagen")</f>
        <v/>
      </c>
      <c r="P1888">
        <f>HYPERLINK("imagenes/NAUTICA_CLASSICS_117009201_NAR_3.jpg","Ver imagen")</f>
        <v/>
      </c>
    </row>
    <row r="1889">
      <c r="A1889" t="inlineStr">
        <is>
          <t>NAUTICA CLASSICS</t>
        </is>
      </c>
      <c r="B1889" t="inlineStr">
        <is>
          <t>117009201</t>
        </is>
      </c>
      <c r="C1889" t="inlineStr">
        <is>
          <t>32" MIST PARKA</t>
        </is>
      </c>
      <c r="D1889" t="inlineStr">
        <is>
          <t>NAR</t>
        </is>
      </c>
      <c r="E1889" t="inlineStr">
        <is>
          <t>(en blanco)</t>
        </is>
      </c>
      <c r="F1889" t="inlineStr">
        <is>
          <t>D2C</t>
        </is>
      </c>
      <c r="G1889" t="inlineStr">
        <is>
          <t>S</t>
        </is>
      </c>
      <c r="H1889" t="n">
        <v>10</v>
      </c>
      <c r="I1889" t="inlineStr">
        <is>
          <t>NAUTICA_CLASSICS_117009201_NAR_2.jpg</t>
        </is>
      </c>
      <c r="J1889" t="inlineStr">
        <is>
          <t>NAUTICA_CLASSICS_117009201_NAR_3.jpg</t>
        </is>
      </c>
      <c r="L1889">
        <f>IMAGE("file:///E:/Estudios%20y%20certificaciones/ESTUDIOS%20DE%20PROGRAMMING/PROGRAMMING/PERSONAL/PYTHON/Image_Generator_API/imagenes/NAUTICA_CLASSICS_117009201_NAR_2.jpg")</f>
        <v/>
      </c>
      <c r="M1889">
        <f>IMAGE("file:///E:/Estudios%20y%20certificaciones/ESTUDIOS%20DE%20PROGRAMMING/PROGRAMMING/PERSONAL/PYTHON/Image_Generator_API/imagenes/NAUTICA_CLASSICS_117009201_NAR_3.jpg")</f>
        <v/>
      </c>
      <c r="O1889">
        <f>HYPERLINK("imagenes/NAUTICA_CLASSICS_117009201_NAR_2.jpg","Ver imagen")</f>
        <v/>
      </c>
      <c r="P1889">
        <f>HYPERLINK("imagenes/NAUTICA_CLASSICS_117009201_NAR_3.jpg","Ver imagen")</f>
        <v/>
      </c>
    </row>
    <row r="1890">
      <c r="A1890" t="inlineStr">
        <is>
          <t>NAUTICA CLASSICS</t>
        </is>
      </c>
      <c r="B1890" t="inlineStr">
        <is>
          <t>117009201</t>
        </is>
      </c>
      <c r="C1890" t="inlineStr">
        <is>
          <t>32" MIST PARKA</t>
        </is>
      </c>
      <c r="D1890" t="inlineStr">
        <is>
          <t>NAR</t>
        </is>
      </c>
      <c r="E1890" t="inlineStr">
        <is>
          <t>(en blanco)</t>
        </is>
      </c>
      <c r="F1890" t="inlineStr">
        <is>
          <t>D2C</t>
        </is>
      </c>
      <c r="G1890" t="inlineStr">
        <is>
          <t>M</t>
        </is>
      </c>
      <c r="H1890" t="n">
        <v>10</v>
      </c>
      <c r="I1890" t="inlineStr">
        <is>
          <t>NAUTICA_CLASSICS_117009201_NAR_2.jpg</t>
        </is>
      </c>
      <c r="J1890" t="inlineStr">
        <is>
          <t>NAUTICA_CLASSICS_117009201_NAR_3.jpg</t>
        </is>
      </c>
      <c r="L1890">
        <f>IMAGE("file:///E:/Estudios%20y%20certificaciones/ESTUDIOS%20DE%20PROGRAMMING/PROGRAMMING/PERSONAL/PYTHON/Image_Generator_API/imagenes/NAUTICA_CLASSICS_117009201_NAR_2.jpg")</f>
        <v/>
      </c>
      <c r="M1890">
        <f>IMAGE("file:///E:/Estudios%20y%20certificaciones/ESTUDIOS%20DE%20PROGRAMMING/PROGRAMMING/PERSONAL/PYTHON/Image_Generator_API/imagenes/NAUTICA_CLASSICS_117009201_NAR_3.jpg")</f>
        <v/>
      </c>
      <c r="O1890">
        <f>HYPERLINK("imagenes/NAUTICA_CLASSICS_117009201_NAR_2.jpg","Ver imagen")</f>
        <v/>
      </c>
      <c r="P1890">
        <f>HYPERLINK("imagenes/NAUTICA_CLASSICS_117009201_NAR_3.jpg","Ver imagen")</f>
        <v/>
      </c>
    </row>
    <row r="1891">
      <c r="A1891" t="inlineStr">
        <is>
          <t>NAUTICA CLASSICS</t>
        </is>
      </c>
      <c r="B1891" t="inlineStr">
        <is>
          <t>117009201</t>
        </is>
      </c>
      <c r="C1891" t="inlineStr">
        <is>
          <t>32" MIST PARKA</t>
        </is>
      </c>
      <c r="D1891" t="inlineStr">
        <is>
          <t>NAR</t>
        </is>
      </c>
      <c r="E1891" t="inlineStr">
        <is>
          <t>(en blanco)</t>
        </is>
      </c>
      <c r="F1891" t="inlineStr">
        <is>
          <t>D2C</t>
        </is>
      </c>
      <c r="G1891" t="inlineStr">
        <is>
          <t>L</t>
        </is>
      </c>
      <c r="H1891" t="n">
        <v>10</v>
      </c>
      <c r="I1891" t="inlineStr">
        <is>
          <t>NAUTICA_CLASSICS_117009201_NAR_2.jpg</t>
        </is>
      </c>
      <c r="J1891" t="inlineStr">
        <is>
          <t>NAUTICA_CLASSICS_117009201_NAR_3.jpg</t>
        </is>
      </c>
      <c r="L1891">
        <f>IMAGE("file:///E:/Estudios%20y%20certificaciones/ESTUDIOS%20DE%20PROGRAMMING/PROGRAMMING/PERSONAL/PYTHON/Image_Generator_API/imagenes/NAUTICA_CLASSICS_117009201_NAR_2.jpg")</f>
        <v/>
      </c>
      <c r="M1891">
        <f>IMAGE("file:///E:/Estudios%20y%20certificaciones/ESTUDIOS%20DE%20PROGRAMMING/PROGRAMMING/PERSONAL/PYTHON/Image_Generator_API/imagenes/NAUTICA_CLASSICS_117009201_NAR_3.jpg")</f>
        <v/>
      </c>
      <c r="O1891">
        <f>HYPERLINK("imagenes/NAUTICA_CLASSICS_117009201_NAR_2.jpg","Ver imagen")</f>
        <v/>
      </c>
      <c r="P1891">
        <f>HYPERLINK("imagenes/NAUTICA_CLASSICS_117009201_NAR_3.jpg","Ver imagen")</f>
        <v/>
      </c>
    </row>
    <row r="1892">
      <c r="A1892" t="inlineStr">
        <is>
          <t>NAUTICA CLASSICS</t>
        </is>
      </c>
      <c r="B1892" t="inlineStr">
        <is>
          <t>117009201</t>
        </is>
      </c>
      <c r="C1892" t="inlineStr">
        <is>
          <t>32" MIST PARKA</t>
        </is>
      </c>
      <c r="D1892" t="inlineStr">
        <is>
          <t>NAR</t>
        </is>
      </c>
      <c r="E1892" t="inlineStr">
        <is>
          <t>(en blanco)</t>
        </is>
      </c>
      <c r="F1892" t="inlineStr">
        <is>
          <t>D2C</t>
        </is>
      </c>
      <c r="G1892" t="inlineStr">
        <is>
          <t>XL</t>
        </is>
      </c>
      <c r="H1892" t="n">
        <v>10</v>
      </c>
      <c r="I1892" t="inlineStr">
        <is>
          <t>NAUTICA_CLASSICS_117009201_NAR_2.jpg</t>
        </is>
      </c>
      <c r="J1892" t="inlineStr">
        <is>
          <t>NAUTICA_CLASSICS_117009201_NAR_3.jpg</t>
        </is>
      </c>
      <c r="L1892">
        <f>IMAGE("file:///E:/Estudios%20y%20certificaciones/ESTUDIOS%20DE%20PROGRAMMING/PROGRAMMING/PERSONAL/PYTHON/Image_Generator_API/imagenes/NAUTICA_CLASSICS_117009201_NAR_2.jpg")</f>
        <v/>
      </c>
      <c r="M1892">
        <f>IMAGE("file:///E:/Estudios%20y%20certificaciones/ESTUDIOS%20DE%20PROGRAMMING/PROGRAMMING/PERSONAL/PYTHON/Image_Generator_API/imagenes/NAUTICA_CLASSICS_117009201_NAR_3.jpg")</f>
        <v/>
      </c>
      <c r="O1892">
        <f>HYPERLINK("imagenes/NAUTICA_CLASSICS_117009201_NAR_2.jpg","Ver imagen")</f>
        <v/>
      </c>
      <c r="P1892">
        <f>HYPERLINK("imagenes/NAUTICA_CLASSICS_117009201_NAR_3.jpg","Ver imagen")</f>
        <v/>
      </c>
    </row>
    <row r="1893">
      <c r="A1893" t="inlineStr">
        <is>
          <t>NAUTICA CLASSICS</t>
        </is>
      </c>
      <c r="B1893" t="inlineStr">
        <is>
          <t>117009201</t>
        </is>
      </c>
      <c r="C1893" t="inlineStr">
        <is>
          <t>32" MIST PARKA</t>
        </is>
      </c>
      <c r="D1893" t="inlineStr">
        <is>
          <t>NAR</t>
        </is>
      </c>
      <c r="E1893" t="inlineStr">
        <is>
          <t>(en blanco)</t>
        </is>
      </c>
      <c r="F1893" t="inlineStr">
        <is>
          <t>D2C</t>
        </is>
      </c>
      <c r="G1893" t="inlineStr">
        <is>
          <t>XXL</t>
        </is>
      </c>
      <c r="H1893" t="n">
        <v>10</v>
      </c>
      <c r="I1893" t="inlineStr">
        <is>
          <t>NAUTICA_CLASSICS_117009201_NAR_2.jpg</t>
        </is>
      </c>
      <c r="J1893" t="inlineStr">
        <is>
          <t>NAUTICA_CLASSICS_117009201_NAR_3.jpg</t>
        </is>
      </c>
      <c r="L1893">
        <f>IMAGE("file:///E:/Estudios%20y%20certificaciones/ESTUDIOS%20DE%20PROGRAMMING/PROGRAMMING/PERSONAL/PYTHON/Image_Generator_API/imagenes/NAUTICA_CLASSICS_117009201_NAR_2.jpg")</f>
        <v/>
      </c>
      <c r="M1893">
        <f>IMAGE("file:///E:/Estudios%20y%20certificaciones/ESTUDIOS%20DE%20PROGRAMMING/PROGRAMMING/PERSONAL/PYTHON/Image_Generator_API/imagenes/NAUTICA_CLASSICS_117009201_NAR_3.jpg")</f>
        <v/>
      </c>
      <c r="O1893">
        <f>HYPERLINK("imagenes/NAUTICA_CLASSICS_117009201_NAR_2.jpg","Ver imagen")</f>
        <v/>
      </c>
      <c r="P1893">
        <f>HYPERLINK("imagenes/NAUTICA_CLASSICS_117009201_NAR_3.jpg","Ver imagen")</f>
        <v/>
      </c>
    </row>
    <row r="1894">
      <c r="A1894" t="inlineStr">
        <is>
          <t>NAUTICA CLASSICS</t>
        </is>
      </c>
      <c r="B1894" t="inlineStr">
        <is>
          <t>117009201</t>
        </is>
      </c>
      <c r="C1894" t="inlineStr">
        <is>
          <t>32" MIST PARKA</t>
        </is>
      </c>
      <c r="D1894" t="inlineStr">
        <is>
          <t>NAR</t>
        </is>
      </c>
      <c r="E1894" t="inlineStr">
        <is>
          <t>(en blanco)</t>
        </is>
      </c>
      <c r="F1894" t="inlineStr">
        <is>
          <t>D2C</t>
        </is>
      </c>
      <c r="G1894" t="inlineStr">
        <is>
          <t>XXS</t>
        </is>
      </c>
      <c r="H1894" t="n">
        <v>5</v>
      </c>
      <c r="I1894" t="inlineStr">
        <is>
          <t>NAUTICA_CLASSICS_117009201_NAR_2.jpg</t>
        </is>
      </c>
      <c r="J1894" t="inlineStr">
        <is>
          <t>NAUTICA_CLASSICS_117009201_NAR_3.jpg</t>
        </is>
      </c>
      <c r="L1894">
        <f>IMAGE("file:///E:/Estudios%20y%20certificaciones/ESTUDIOS%20DE%20PROGRAMMING/PROGRAMMING/PERSONAL/PYTHON/Image_Generator_API/imagenes/NAUTICA_CLASSICS_117009201_NAR_2.jpg")</f>
        <v/>
      </c>
      <c r="M1894">
        <f>IMAGE("file:///E:/Estudios%20y%20certificaciones/ESTUDIOS%20DE%20PROGRAMMING/PROGRAMMING/PERSONAL/PYTHON/Image_Generator_API/imagenes/NAUTICA_CLASSICS_117009201_NAR_3.jpg")</f>
        <v/>
      </c>
      <c r="O1894">
        <f>HYPERLINK("imagenes/NAUTICA_CLASSICS_117009201_NAR_2.jpg","Ver imagen")</f>
        <v/>
      </c>
      <c r="P1894">
        <f>HYPERLINK("imagenes/NAUTICA_CLASSICS_117009201_NAR_3.jpg","Ver imagen")</f>
        <v/>
      </c>
    </row>
    <row r="1895">
      <c r="A1895" t="inlineStr">
        <is>
          <t>NAUTICA CLASSICS</t>
        </is>
      </c>
      <c r="B1895" t="inlineStr">
        <is>
          <t>117009201</t>
        </is>
      </c>
      <c r="C1895" t="inlineStr">
        <is>
          <t>32" MIST PARKA</t>
        </is>
      </c>
      <c r="D1895" t="inlineStr">
        <is>
          <t>NAR</t>
        </is>
      </c>
      <c r="E1895" t="inlineStr">
        <is>
          <t>(en blanco)</t>
        </is>
      </c>
      <c r="F1895" t="inlineStr">
        <is>
          <t>MACYS ECOM</t>
        </is>
      </c>
      <c r="G1895" t="inlineStr">
        <is>
          <t>XS</t>
        </is>
      </c>
      <c r="H1895" t="n">
        <v>48</v>
      </c>
      <c r="I1895" t="inlineStr">
        <is>
          <t>NAUTICA_CLASSICS_117009201_NAR_2.jpg</t>
        </is>
      </c>
      <c r="J1895" t="inlineStr">
        <is>
          <t>NAUTICA_CLASSICS_117009201_NAR_3.jpg</t>
        </is>
      </c>
      <c r="L1895">
        <f>IMAGE("file:///E:/Estudios%20y%20certificaciones/ESTUDIOS%20DE%20PROGRAMMING/PROGRAMMING/PERSONAL/PYTHON/Image_Generator_API/imagenes/NAUTICA_CLASSICS_117009201_NAR_2.jpg")</f>
        <v/>
      </c>
      <c r="M1895">
        <f>IMAGE("file:///E:/Estudios%20y%20certificaciones/ESTUDIOS%20DE%20PROGRAMMING/PROGRAMMING/PERSONAL/PYTHON/Image_Generator_API/imagenes/NAUTICA_CLASSICS_117009201_NAR_3.jpg")</f>
        <v/>
      </c>
      <c r="O1895">
        <f>HYPERLINK("imagenes/NAUTICA_CLASSICS_117009201_NAR_2.jpg","Ver imagen")</f>
        <v/>
      </c>
      <c r="P1895">
        <f>HYPERLINK("imagenes/NAUTICA_CLASSICS_117009201_NAR_3.jpg","Ver imagen")</f>
        <v/>
      </c>
    </row>
    <row r="1896">
      <c r="A1896" t="inlineStr">
        <is>
          <t>NAUTICA CLASSICS</t>
        </is>
      </c>
      <c r="B1896" t="inlineStr">
        <is>
          <t>117009201</t>
        </is>
      </c>
      <c r="C1896" t="inlineStr">
        <is>
          <t>32" MIST PARKA</t>
        </is>
      </c>
      <c r="D1896" t="inlineStr">
        <is>
          <t>NAR</t>
        </is>
      </c>
      <c r="E1896" t="inlineStr">
        <is>
          <t>(en blanco)</t>
        </is>
      </c>
      <c r="F1896" t="inlineStr">
        <is>
          <t>MACYS ECOM</t>
        </is>
      </c>
      <c r="G1896" t="inlineStr">
        <is>
          <t>S</t>
        </is>
      </c>
      <c r="H1896" t="n">
        <v>201</v>
      </c>
      <c r="I1896" t="inlineStr">
        <is>
          <t>NAUTICA_CLASSICS_117009201_NAR_2.jpg</t>
        </is>
      </c>
      <c r="J1896" t="inlineStr">
        <is>
          <t>NAUTICA_CLASSICS_117009201_NAR_3.jpg</t>
        </is>
      </c>
      <c r="L1896">
        <f>IMAGE("file:///E:/Estudios%20y%20certificaciones/ESTUDIOS%20DE%20PROGRAMMING/PROGRAMMING/PERSONAL/PYTHON/Image_Generator_API/imagenes/NAUTICA_CLASSICS_117009201_NAR_2.jpg")</f>
        <v/>
      </c>
      <c r="M1896">
        <f>IMAGE("file:///E:/Estudios%20y%20certificaciones/ESTUDIOS%20DE%20PROGRAMMING/PROGRAMMING/PERSONAL/PYTHON/Image_Generator_API/imagenes/NAUTICA_CLASSICS_117009201_NAR_3.jpg")</f>
        <v/>
      </c>
      <c r="O1896">
        <f>HYPERLINK("imagenes/NAUTICA_CLASSICS_117009201_NAR_2.jpg","Ver imagen")</f>
        <v/>
      </c>
      <c r="P1896">
        <f>HYPERLINK("imagenes/NAUTICA_CLASSICS_117009201_NAR_3.jpg","Ver imagen")</f>
        <v/>
      </c>
    </row>
    <row r="1897">
      <c r="A1897" t="inlineStr">
        <is>
          <t>NAUTICA CLASSICS</t>
        </is>
      </c>
      <c r="B1897" t="inlineStr">
        <is>
          <t>117009201</t>
        </is>
      </c>
      <c r="C1897" t="inlineStr">
        <is>
          <t>32" MIST PARKA</t>
        </is>
      </c>
      <c r="D1897" t="inlineStr">
        <is>
          <t>NAR</t>
        </is>
      </c>
      <c r="E1897" t="inlineStr">
        <is>
          <t>(en blanco)</t>
        </is>
      </c>
      <c r="F1897" t="inlineStr">
        <is>
          <t>MACYS ECOM</t>
        </is>
      </c>
      <c r="G1897" t="inlineStr">
        <is>
          <t>M</t>
        </is>
      </c>
      <c r="H1897" t="n">
        <v>363</v>
      </c>
      <c r="I1897" t="inlineStr">
        <is>
          <t>NAUTICA_CLASSICS_117009201_NAR_2.jpg</t>
        </is>
      </c>
      <c r="J1897" t="inlineStr">
        <is>
          <t>NAUTICA_CLASSICS_117009201_NAR_3.jpg</t>
        </is>
      </c>
      <c r="L1897">
        <f>IMAGE("file:///E:/Estudios%20y%20certificaciones/ESTUDIOS%20DE%20PROGRAMMING/PROGRAMMING/PERSONAL/PYTHON/Image_Generator_API/imagenes/NAUTICA_CLASSICS_117009201_NAR_2.jpg")</f>
        <v/>
      </c>
      <c r="M1897">
        <f>IMAGE("file:///E:/Estudios%20y%20certificaciones/ESTUDIOS%20DE%20PROGRAMMING/PROGRAMMING/PERSONAL/PYTHON/Image_Generator_API/imagenes/NAUTICA_CLASSICS_117009201_NAR_3.jpg")</f>
        <v/>
      </c>
      <c r="O1897">
        <f>HYPERLINK("imagenes/NAUTICA_CLASSICS_117009201_NAR_2.jpg","Ver imagen")</f>
        <v/>
      </c>
      <c r="P1897">
        <f>HYPERLINK("imagenes/NAUTICA_CLASSICS_117009201_NAR_3.jpg","Ver imagen")</f>
        <v/>
      </c>
    </row>
    <row r="1898">
      <c r="A1898" t="inlineStr">
        <is>
          <t>NAUTICA CLASSICS</t>
        </is>
      </c>
      <c r="B1898" t="inlineStr">
        <is>
          <t>117009201</t>
        </is>
      </c>
      <c r="C1898" t="inlineStr">
        <is>
          <t>32" MIST PARKA</t>
        </is>
      </c>
      <c r="D1898" t="inlineStr">
        <is>
          <t>NAR</t>
        </is>
      </c>
      <c r="E1898" t="inlineStr">
        <is>
          <t>(en blanco)</t>
        </is>
      </c>
      <c r="F1898" t="inlineStr">
        <is>
          <t>MACYS ECOM</t>
        </is>
      </c>
      <c r="G1898" t="inlineStr">
        <is>
          <t>L</t>
        </is>
      </c>
      <c r="H1898" t="n">
        <v>365</v>
      </c>
      <c r="I1898" t="inlineStr">
        <is>
          <t>NAUTICA_CLASSICS_117009201_NAR_2.jpg</t>
        </is>
      </c>
      <c r="J1898" t="inlineStr">
        <is>
          <t>NAUTICA_CLASSICS_117009201_NAR_3.jpg</t>
        </is>
      </c>
      <c r="L1898">
        <f>IMAGE("file:///E:/Estudios%20y%20certificaciones/ESTUDIOS%20DE%20PROGRAMMING/PROGRAMMING/PERSONAL/PYTHON/Image_Generator_API/imagenes/NAUTICA_CLASSICS_117009201_NAR_2.jpg")</f>
        <v/>
      </c>
      <c r="M1898">
        <f>IMAGE("file:///E:/Estudios%20y%20certificaciones/ESTUDIOS%20DE%20PROGRAMMING/PROGRAMMING/PERSONAL/PYTHON/Image_Generator_API/imagenes/NAUTICA_CLASSICS_117009201_NAR_3.jpg")</f>
        <v/>
      </c>
      <c r="O1898">
        <f>HYPERLINK("imagenes/NAUTICA_CLASSICS_117009201_NAR_2.jpg","Ver imagen")</f>
        <v/>
      </c>
      <c r="P1898">
        <f>HYPERLINK("imagenes/NAUTICA_CLASSICS_117009201_NAR_3.jpg","Ver imagen")</f>
        <v/>
      </c>
    </row>
    <row r="1899">
      <c r="A1899" t="inlineStr">
        <is>
          <t>NAUTICA CLASSICS</t>
        </is>
      </c>
      <c r="B1899" t="inlineStr">
        <is>
          <t>117009201</t>
        </is>
      </c>
      <c r="C1899" t="inlineStr">
        <is>
          <t>32" MIST PARKA</t>
        </is>
      </c>
      <c r="D1899" t="inlineStr">
        <is>
          <t>NAR</t>
        </is>
      </c>
      <c r="E1899" t="inlineStr">
        <is>
          <t>(en blanco)</t>
        </is>
      </c>
      <c r="F1899" t="inlineStr">
        <is>
          <t>MACYS ECOM</t>
        </is>
      </c>
      <c r="G1899" t="inlineStr">
        <is>
          <t>XL</t>
        </is>
      </c>
      <c r="H1899" t="n">
        <v>255</v>
      </c>
      <c r="I1899" t="inlineStr">
        <is>
          <t>NAUTICA_CLASSICS_117009201_NAR_2.jpg</t>
        </is>
      </c>
      <c r="J1899" t="inlineStr">
        <is>
          <t>NAUTICA_CLASSICS_117009201_NAR_3.jpg</t>
        </is>
      </c>
      <c r="L1899">
        <f>IMAGE("file:///E:/Estudios%20y%20certificaciones/ESTUDIOS%20DE%20PROGRAMMING/PROGRAMMING/PERSONAL/PYTHON/Image_Generator_API/imagenes/NAUTICA_CLASSICS_117009201_NAR_2.jpg")</f>
        <v/>
      </c>
      <c r="M1899">
        <f>IMAGE("file:///E:/Estudios%20y%20certificaciones/ESTUDIOS%20DE%20PROGRAMMING/PROGRAMMING/PERSONAL/PYTHON/Image_Generator_API/imagenes/NAUTICA_CLASSICS_117009201_NAR_3.jpg")</f>
        <v/>
      </c>
      <c r="O1899">
        <f>HYPERLINK("imagenes/NAUTICA_CLASSICS_117009201_NAR_2.jpg","Ver imagen")</f>
        <v/>
      </c>
      <c r="P1899">
        <f>HYPERLINK("imagenes/NAUTICA_CLASSICS_117009201_NAR_3.jpg","Ver imagen")</f>
        <v/>
      </c>
    </row>
    <row r="1900">
      <c r="A1900" t="inlineStr">
        <is>
          <t>NAUTICA CLASSICS</t>
        </is>
      </c>
      <c r="B1900" t="inlineStr">
        <is>
          <t>117009201</t>
        </is>
      </c>
      <c r="C1900" t="inlineStr">
        <is>
          <t>32" MIST PARKA</t>
        </is>
      </c>
      <c r="D1900" t="inlineStr">
        <is>
          <t>NAR</t>
        </is>
      </c>
      <c r="E1900" t="inlineStr">
        <is>
          <t>(en blanco)</t>
        </is>
      </c>
      <c r="F1900" t="inlineStr">
        <is>
          <t>MACYS ECOM</t>
        </is>
      </c>
      <c r="G1900" t="inlineStr">
        <is>
          <t>XXL</t>
        </is>
      </c>
      <c r="H1900" t="n">
        <v>133</v>
      </c>
      <c r="I1900" t="inlineStr">
        <is>
          <t>NAUTICA_CLASSICS_117009201_NAR_2.jpg</t>
        </is>
      </c>
      <c r="J1900" t="inlineStr">
        <is>
          <t>NAUTICA_CLASSICS_117009201_NAR_3.jpg</t>
        </is>
      </c>
      <c r="L1900">
        <f>IMAGE("file:///E:/Estudios%20y%20certificaciones/ESTUDIOS%20DE%20PROGRAMMING/PROGRAMMING/PERSONAL/PYTHON/Image_Generator_API/imagenes/NAUTICA_CLASSICS_117009201_NAR_2.jpg")</f>
        <v/>
      </c>
      <c r="M1900">
        <f>IMAGE("file:///E:/Estudios%20y%20certificaciones/ESTUDIOS%20DE%20PROGRAMMING/PROGRAMMING/PERSONAL/PYTHON/Image_Generator_API/imagenes/NAUTICA_CLASSICS_117009201_NAR_3.jpg")</f>
        <v/>
      </c>
      <c r="O1900">
        <f>HYPERLINK("imagenes/NAUTICA_CLASSICS_117009201_NAR_2.jpg","Ver imagen")</f>
        <v/>
      </c>
      <c r="P1900">
        <f>HYPERLINK("imagenes/NAUTICA_CLASSICS_117009201_NAR_3.jpg","Ver imagen")</f>
        <v/>
      </c>
    </row>
    <row r="1901">
      <c r="A1901" t="inlineStr">
        <is>
          <t>NAUTICA CLASSICS</t>
        </is>
      </c>
      <c r="B1901" t="inlineStr">
        <is>
          <t>117009201</t>
        </is>
      </c>
      <c r="C1901" t="inlineStr">
        <is>
          <t>32" MIST PARKA</t>
        </is>
      </c>
      <c r="D1901" t="inlineStr">
        <is>
          <t>NAR</t>
        </is>
      </c>
      <c r="E1901" t="inlineStr">
        <is>
          <t>(en blanco)</t>
        </is>
      </c>
      <c r="F1901" t="inlineStr">
        <is>
          <t>MACYS ECOM</t>
        </is>
      </c>
      <c r="G1901" t="inlineStr">
        <is>
          <t>XXS</t>
        </is>
      </c>
      <c r="H1901" t="n">
        <v>10</v>
      </c>
      <c r="I1901" t="inlineStr">
        <is>
          <t>NAUTICA_CLASSICS_117009201_NAR_2.jpg</t>
        </is>
      </c>
      <c r="J1901" t="inlineStr">
        <is>
          <t>NAUTICA_CLASSICS_117009201_NAR_3.jpg</t>
        </is>
      </c>
      <c r="L1901">
        <f>IMAGE("file:///E:/Estudios%20y%20certificaciones/ESTUDIOS%20DE%20PROGRAMMING/PROGRAMMING/PERSONAL/PYTHON/Image_Generator_API/imagenes/NAUTICA_CLASSICS_117009201_NAR_2.jpg")</f>
        <v/>
      </c>
      <c r="M1901">
        <f>IMAGE("file:///E:/Estudios%20y%20certificaciones/ESTUDIOS%20DE%20PROGRAMMING/PROGRAMMING/PERSONAL/PYTHON/Image_Generator_API/imagenes/NAUTICA_CLASSICS_117009201_NAR_3.jpg")</f>
        <v/>
      </c>
      <c r="O1901">
        <f>HYPERLINK("imagenes/NAUTICA_CLASSICS_117009201_NAR_2.jpg","Ver imagen")</f>
        <v/>
      </c>
      <c r="P1901">
        <f>HYPERLINK("imagenes/NAUTICA_CLASSICS_117009201_NAR_3.jpg","Ver imagen")</f>
        <v/>
      </c>
    </row>
    <row r="1902">
      <c r="A1902" t="inlineStr">
        <is>
          <t>NAUTICA CLASSICS</t>
        </is>
      </c>
      <c r="B1902" t="inlineStr">
        <is>
          <t>117009201</t>
        </is>
      </c>
      <c r="C1902" t="inlineStr">
        <is>
          <t>32" MIST PARKA</t>
        </is>
      </c>
      <c r="D1902" t="inlineStr">
        <is>
          <t>PLF</t>
        </is>
      </c>
      <c r="E1902" t="inlineStr">
        <is>
          <t>08A05</t>
        </is>
      </c>
      <c r="F1902" t="inlineStr">
        <is>
          <t>(en blanco)</t>
        </is>
      </c>
      <c r="G1902" t="inlineStr">
        <is>
          <t>PPK</t>
        </is>
      </c>
      <c r="H1902" t="n">
        <v>896</v>
      </c>
      <c r="I1902" t="inlineStr">
        <is>
          <t>NAUTICA_CLASSICS_117009201_PLF_2.jpg</t>
        </is>
      </c>
      <c r="J1902" t="inlineStr">
        <is>
          <t>NAUTICA_CLASSICS_117009201_PLF_3.jpg</t>
        </is>
      </c>
      <c r="L1902">
        <f>IMAGE("file:///E:/Estudios%20y%20certificaciones/ESTUDIOS%20DE%20PROGRAMMING/PROGRAMMING/PERSONAL/PYTHON/Image_Generator_API/imagenes/NAUTICA_CLASSICS_117009201_PLF_2.jpg")</f>
        <v/>
      </c>
      <c r="M1902">
        <f>IMAGE("file:///E:/Estudios%20y%20certificaciones/ESTUDIOS%20DE%20PROGRAMMING/PROGRAMMING/PERSONAL/PYTHON/Image_Generator_API/imagenes/NAUTICA_CLASSICS_117009201_PLF_3.jpg")</f>
        <v/>
      </c>
      <c r="O1902">
        <f>HYPERLINK("imagenes/NAUTICA_CLASSICS_117009201_PLF_2.jpg","Ver imagen")</f>
        <v/>
      </c>
      <c r="P1902">
        <f>HYPERLINK("imagenes/NAUTICA_CLASSICS_117009201_PLF_3.jpg","Ver imagen")</f>
        <v/>
      </c>
    </row>
    <row r="1903">
      <c r="A1903" t="inlineStr">
        <is>
          <t>NAUTICA CLASSICS</t>
        </is>
      </c>
      <c r="B1903" t="inlineStr">
        <is>
          <t>117009201</t>
        </is>
      </c>
      <c r="C1903" t="inlineStr">
        <is>
          <t>32" MIST PARKA</t>
        </is>
      </c>
      <c r="D1903" t="inlineStr">
        <is>
          <t>PLF</t>
        </is>
      </c>
      <c r="E1903" t="inlineStr">
        <is>
          <t>(en blanco)</t>
        </is>
      </c>
      <c r="F1903" t="inlineStr">
        <is>
          <t>(en blanco)</t>
        </is>
      </c>
      <c r="G1903" t="inlineStr">
        <is>
          <t>XS</t>
        </is>
      </c>
      <c r="H1903" t="n">
        <v>12</v>
      </c>
      <c r="I1903" t="inlineStr">
        <is>
          <t>NAUTICA_CLASSICS_117009201_PLF_2.jpg</t>
        </is>
      </c>
      <c r="J1903" t="inlineStr">
        <is>
          <t>NAUTICA_CLASSICS_117009201_PLF_3.jpg</t>
        </is>
      </c>
      <c r="L1903">
        <f>IMAGE("file:///E:/Estudios%20y%20certificaciones/ESTUDIOS%20DE%20PROGRAMMING/PROGRAMMING/PERSONAL/PYTHON/Image_Generator_API/imagenes/NAUTICA_CLASSICS_117009201_PLF_2.jpg")</f>
        <v/>
      </c>
      <c r="M1903">
        <f>IMAGE("file:///E:/Estudios%20y%20certificaciones/ESTUDIOS%20DE%20PROGRAMMING/PROGRAMMING/PERSONAL/PYTHON/Image_Generator_API/imagenes/NAUTICA_CLASSICS_117009201_PLF_3.jpg")</f>
        <v/>
      </c>
      <c r="O1903">
        <f>HYPERLINK("imagenes/NAUTICA_CLASSICS_117009201_PLF_2.jpg","Ver imagen")</f>
        <v/>
      </c>
      <c r="P1903">
        <f>HYPERLINK("imagenes/NAUTICA_CLASSICS_117009201_PLF_3.jpg","Ver imagen")</f>
        <v/>
      </c>
    </row>
    <row r="1904">
      <c r="A1904" t="inlineStr">
        <is>
          <t>NAUTICA CLASSICS</t>
        </is>
      </c>
      <c r="B1904" t="inlineStr">
        <is>
          <t>117009201</t>
        </is>
      </c>
      <c r="C1904" t="inlineStr">
        <is>
          <t>32" MIST PARKA</t>
        </is>
      </c>
      <c r="D1904" t="inlineStr">
        <is>
          <t>PLF</t>
        </is>
      </c>
      <c r="E1904" t="inlineStr">
        <is>
          <t>(en blanco)</t>
        </is>
      </c>
      <c r="F1904" t="inlineStr">
        <is>
          <t>(en blanco)</t>
        </is>
      </c>
      <c r="G1904" t="inlineStr">
        <is>
          <t>S</t>
        </is>
      </c>
      <c r="H1904" t="n">
        <v>24</v>
      </c>
      <c r="I1904" t="inlineStr">
        <is>
          <t>NAUTICA_CLASSICS_117009201_PLF_2.jpg</t>
        </is>
      </c>
      <c r="J1904" t="inlineStr">
        <is>
          <t>NAUTICA_CLASSICS_117009201_PLF_3.jpg</t>
        </is>
      </c>
      <c r="L1904">
        <f>IMAGE("file:///E:/Estudios%20y%20certificaciones/ESTUDIOS%20DE%20PROGRAMMING/PROGRAMMING/PERSONAL/PYTHON/Image_Generator_API/imagenes/NAUTICA_CLASSICS_117009201_PLF_2.jpg")</f>
        <v/>
      </c>
      <c r="M1904">
        <f>IMAGE("file:///E:/Estudios%20y%20certificaciones/ESTUDIOS%20DE%20PROGRAMMING/PROGRAMMING/PERSONAL/PYTHON/Image_Generator_API/imagenes/NAUTICA_CLASSICS_117009201_PLF_3.jpg")</f>
        <v/>
      </c>
      <c r="O1904">
        <f>HYPERLINK("imagenes/NAUTICA_CLASSICS_117009201_PLF_2.jpg","Ver imagen")</f>
        <v/>
      </c>
      <c r="P1904">
        <f>HYPERLINK("imagenes/NAUTICA_CLASSICS_117009201_PLF_3.jpg","Ver imagen")</f>
        <v/>
      </c>
    </row>
    <row r="1905">
      <c r="A1905" t="inlineStr">
        <is>
          <t>NAUTICA CLASSICS</t>
        </is>
      </c>
      <c r="B1905" t="inlineStr">
        <is>
          <t>117009201</t>
        </is>
      </c>
      <c r="C1905" t="inlineStr">
        <is>
          <t>32" MIST PARKA</t>
        </is>
      </c>
      <c r="D1905" t="inlineStr">
        <is>
          <t>PLF</t>
        </is>
      </c>
      <c r="E1905" t="inlineStr">
        <is>
          <t>(en blanco)</t>
        </is>
      </c>
      <c r="F1905" t="inlineStr">
        <is>
          <t>(en blanco)</t>
        </is>
      </c>
      <c r="G1905" t="inlineStr">
        <is>
          <t>M</t>
        </is>
      </c>
      <c r="H1905" t="n">
        <v>24</v>
      </c>
      <c r="I1905" t="inlineStr">
        <is>
          <t>NAUTICA_CLASSICS_117009201_PLF_2.jpg</t>
        </is>
      </c>
      <c r="J1905" t="inlineStr">
        <is>
          <t>NAUTICA_CLASSICS_117009201_PLF_3.jpg</t>
        </is>
      </c>
      <c r="L1905">
        <f>IMAGE("file:///E:/Estudios%20y%20certificaciones/ESTUDIOS%20DE%20PROGRAMMING/PROGRAMMING/PERSONAL/PYTHON/Image_Generator_API/imagenes/NAUTICA_CLASSICS_117009201_PLF_2.jpg")</f>
        <v/>
      </c>
      <c r="M1905">
        <f>IMAGE("file:///E:/Estudios%20y%20certificaciones/ESTUDIOS%20DE%20PROGRAMMING/PROGRAMMING/PERSONAL/PYTHON/Image_Generator_API/imagenes/NAUTICA_CLASSICS_117009201_PLF_3.jpg")</f>
        <v/>
      </c>
      <c r="O1905">
        <f>HYPERLINK("imagenes/NAUTICA_CLASSICS_117009201_PLF_2.jpg","Ver imagen")</f>
        <v/>
      </c>
      <c r="P1905">
        <f>HYPERLINK("imagenes/NAUTICA_CLASSICS_117009201_PLF_3.jpg","Ver imagen")</f>
        <v/>
      </c>
    </row>
    <row r="1906">
      <c r="A1906" t="inlineStr">
        <is>
          <t>NAUTICA CLASSICS</t>
        </is>
      </c>
      <c r="B1906" t="inlineStr">
        <is>
          <t>117009201</t>
        </is>
      </c>
      <c r="C1906" t="inlineStr">
        <is>
          <t>32" MIST PARKA</t>
        </is>
      </c>
      <c r="D1906" t="inlineStr">
        <is>
          <t>PLF</t>
        </is>
      </c>
      <c r="E1906" t="inlineStr">
        <is>
          <t>(en blanco)</t>
        </is>
      </c>
      <c r="F1906" t="inlineStr">
        <is>
          <t>(en blanco)</t>
        </is>
      </c>
      <c r="G1906" t="inlineStr">
        <is>
          <t>L</t>
        </is>
      </c>
      <c r="H1906" t="n">
        <v>24</v>
      </c>
      <c r="I1906" t="inlineStr">
        <is>
          <t>NAUTICA_CLASSICS_117009201_PLF_2.jpg</t>
        </is>
      </c>
      <c r="J1906" t="inlineStr">
        <is>
          <t>NAUTICA_CLASSICS_117009201_PLF_3.jpg</t>
        </is>
      </c>
      <c r="L1906">
        <f>IMAGE("file:///E:/Estudios%20y%20certificaciones/ESTUDIOS%20DE%20PROGRAMMING/PROGRAMMING/PERSONAL/PYTHON/Image_Generator_API/imagenes/NAUTICA_CLASSICS_117009201_PLF_2.jpg")</f>
        <v/>
      </c>
      <c r="M1906">
        <f>IMAGE("file:///E:/Estudios%20y%20certificaciones/ESTUDIOS%20DE%20PROGRAMMING/PROGRAMMING/PERSONAL/PYTHON/Image_Generator_API/imagenes/NAUTICA_CLASSICS_117009201_PLF_3.jpg")</f>
        <v/>
      </c>
      <c r="O1906">
        <f>HYPERLINK("imagenes/NAUTICA_CLASSICS_117009201_PLF_2.jpg","Ver imagen")</f>
        <v/>
      </c>
      <c r="P1906">
        <f>HYPERLINK("imagenes/NAUTICA_CLASSICS_117009201_PLF_3.jpg","Ver imagen")</f>
        <v/>
      </c>
    </row>
    <row r="1907">
      <c r="A1907" t="inlineStr">
        <is>
          <t>NAUTICA CLASSICS</t>
        </is>
      </c>
      <c r="B1907" t="inlineStr">
        <is>
          <t>117009201</t>
        </is>
      </c>
      <c r="C1907" t="inlineStr">
        <is>
          <t>32" MIST PARKA</t>
        </is>
      </c>
      <c r="D1907" t="inlineStr">
        <is>
          <t>PLF</t>
        </is>
      </c>
      <c r="E1907" t="inlineStr">
        <is>
          <t>(en blanco)</t>
        </is>
      </c>
      <c r="F1907" t="inlineStr">
        <is>
          <t>(en blanco)</t>
        </is>
      </c>
      <c r="G1907" t="inlineStr">
        <is>
          <t>XL</t>
        </is>
      </c>
      <c r="H1907" t="n">
        <v>12</v>
      </c>
      <c r="I1907" t="inlineStr">
        <is>
          <t>NAUTICA_CLASSICS_117009201_PLF_2.jpg</t>
        </is>
      </c>
      <c r="J1907" t="inlineStr">
        <is>
          <t>NAUTICA_CLASSICS_117009201_PLF_3.jpg</t>
        </is>
      </c>
      <c r="L1907">
        <f>IMAGE("file:///E:/Estudios%20y%20certificaciones/ESTUDIOS%20DE%20PROGRAMMING/PROGRAMMING/PERSONAL/PYTHON/Image_Generator_API/imagenes/NAUTICA_CLASSICS_117009201_PLF_2.jpg")</f>
        <v/>
      </c>
      <c r="M1907">
        <f>IMAGE("file:///E:/Estudios%20y%20certificaciones/ESTUDIOS%20DE%20PROGRAMMING/PROGRAMMING/PERSONAL/PYTHON/Image_Generator_API/imagenes/NAUTICA_CLASSICS_117009201_PLF_3.jpg")</f>
        <v/>
      </c>
      <c r="O1907">
        <f>HYPERLINK("imagenes/NAUTICA_CLASSICS_117009201_PLF_2.jpg","Ver imagen")</f>
        <v/>
      </c>
      <c r="P1907">
        <f>HYPERLINK("imagenes/NAUTICA_CLASSICS_117009201_PLF_3.jpg","Ver imagen")</f>
        <v/>
      </c>
    </row>
    <row r="1908">
      <c r="A1908" t="inlineStr">
        <is>
          <t>NAUTICA CLASSICS</t>
        </is>
      </c>
      <c r="B1908" t="inlineStr">
        <is>
          <t>117009201</t>
        </is>
      </c>
      <c r="C1908" t="inlineStr">
        <is>
          <t>32" MIST PARKA</t>
        </is>
      </c>
      <c r="D1908" t="inlineStr">
        <is>
          <t>SW4</t>
        </is>
      </c>
      <c r="E1908" t="inlineStr">
        <is>
          <t>(en blanco)</t>
        </is>
      </c>
      <c r="F1908" t="inlineStr">
        <is>
          <t>MACYS ECOM</t>
        </is>
      </c>
      <c r="G1908" t="inlineStr">
        <is>
          <t>XS</t>
        </is>
      </c>
      <c r="H1908" t="n">
        <v>60</v>
      </c>
      <c r="I1908" t="inlineStr">
        <is>
          <t>NAUTICA_CLASSICS_117009201_SW4_2.jpg</t>
        </is>
      </c>
      <c r="J1908" t="inlineStr">
        <is>
          <t>NAUTICA_CLASSICS_117009201_SW4_3.jpg</t>
        </is>
      </c>
      <c r="L1908">
        <f>IMAGE("file:///E:/Estudios%20y%20certificaciones/ESTUDIOS%20DE%20PROGRAMMING/PROGRAMMING/PERSONAL/PYTHON/Image_Generator_API/imagenes/NAUTICA_CLASSICS_117009201_SW4_2.jpg")</f>
        <v/>
      </c>
      <c r="M1908">
        <f>IMAGE("file:///E:/Estudios%20y%20certificaciones/ESTUDIOS%20DE%20PROGRAMMING/PROGRAMMING/PERSONAL/PYTHON/Image_Generator_API/imagenes/NAUTICA_CLASSICS_117009201_SW4_3.jpg")</f>
        <v/>
      </c>
      <c r="O1908">
        <f>HYPERLINK("imagenes/NAUTICA_CLASSICS_117009201_SW4_2.jpg","Ver imagen")</f>
        <v/>
      </c>
      <c r="P1908">
        <f>HYPERLINK("imagenes/NAUTICA_CLASSICS_117009201_SW4_3.jpg","Ver imagen")</f>
        <v/>
      </c>
    </row>
    <row r="1909">
      <c r="A1909" t="inlineStr">
        <is>
          <t>NAUTICA CLASSICS</t>
        </is>
      </c>
      <c r="B1909" t="inlineStr">
        <is>
          <t>117009201</t>
        </is>
      </c>
      <c r="C1909" t="inlineStr">
        <is>
          <t>32" MIST PARKA</t>
        </is>
      </c>
      <c r="D1909" t="inlineStr">
        <is>
          <t>SW4</t>
        </is>
      </c>
      <c r="E1909" t="inlineStr">
        <is>
          <t>(en blanco)</t>
        </is>
      </c>
      <c r="F1909" t="inlineStr">
        <is>
          <t>MACYS ECOM</t>
        </is>
      </c>
      <c r="G1909" t="inlineStr">
        <is>
          <t>S</t>
        </is>
      </c>
      <c r="H1909" t="n">
        <v>230</v>
      </c>
      <c r="I1909" t="inlineStr">
        <is>
          <t>NAUTICA_CLASSICS_117009201_SW4_2.jpg</t>
        </is>
      </c>
      <c r="J1909" t="inlineStr">
        <is>
          <t>NAUTICA_CLASSICS_117009201_SW4_3.jpg</t>
        </is>
      </c>
      <c r="L1909">
        <f>IMAGE("file:///E:/Estudios%20y%20certificaciones/ESTUDIOS%20DE%20PROGRAMMING/PROGRAMMING/PERSONAL/PYTHON/Image_Generator_API/imagenes/NAUTICA_CLASSICS_117009201_SW4_2.jpg")</f>
        <v/>
      </c>
      <c r="M1909">
        <f>IMAGE("file:///E:/Estudios%20y%20certificaciones/ESTUDIOS%20DE%20PROGRAMMING/PROGRAMMING/PERSONAL/PYTHON/Image_Generator_API/imagenes/NAUTICA_CLASSICS_117009201_SW4_3.jpg")</f>
        <v/>
      </c>
      <c r="O1909">
        <f>HYPERLINK("imagenes/NAUTICA_CLASSICS_117009201_SW4_2.jpg","Ver imagen")</f>
        <v/>
      </c>
      <c r="P1909">
        <f>HYPERLINK("imagenes/NAUTICA_CLASSICS_117009201_SW4_3.jpg","Ver imagen")</f>
        <v/>
      </c>
    </row>
    <row r="1910">
      <c r="A1910" t="inlineStr">
        <is>
          <t>NAUTICA CLASSICS</t>
        </is>
      </c>
      <c r="B1910" t="inlineStr">
        <is>
          <t>117009201</t>
        </is>
      </c>
      <c r="C1910" t="inlineStr">
        <is>
          <t>32" MIST PARKA</t>
        </is>
      </c>
      <c r="D1910" t="inlineStr">
        <is>
          <t>SW4</t>
        </is>
      </c>
      <c r="E1910" t="inlineStr">
        <is>
          <t>(en blanco)</t>
        </is>
      </c>
      <c r="F1910" t="inlineStr">
        <is>
          <t>MACYS ECOM</t>
        </is>
      </c>
      <c r="G1910" t="inlineStr">
        <is>
          <t>M</t>
        </is>
      </c>
      <c r="H1910" t="n">
        <v>377</v>
      </c>
      <c r="I1910" t="inlineStr">
        <is>
          <t>NAUTICA_CLASSICS_117009201_SW4_2.jpg</t>
        </is>
      </c>
      <c r="J1910" t="inlineStr">
        <is>
          <t>NAUTICA_CLASSICS_117009201_SW4_3.jpg</t>
        </is>
      </c>
      <c r="L1910">
        <f>IMAGE("file:///E:/Estudios%20y%20certificaciones/ESTUDIOS%20DE%20PROGRAMMING/PROGRAMMING/PERSONAL/PYTHON/Image_Generator_API/imagenes/NAUTICA_CLASSICS_117009201_SW4_2.jpg")</f>
        <v/>
      </c>
      <c r="M1910">
        <f>IMAGE("file:///E:/Estudios%20y%20certificaciones/ESTUDIOS%20DE%20PROGRAMMING/PROGRAMMING/PERSONAL/PYTHON/Image_Generator_API/imagenes/NAUTICA_CLASSICS_117009201_SW4_3.jpg")</f>
        <v/>
      </c>
      <c r="O1910">
        <f>HYPERLINK("imagenes/NAUTICA_CLASSICS_117009201_SW4_2.jpg","Ver imagen")</f>
        <v/>
      </c>
      <c r="P1910">
        <f>HYPERLINK("imagenes/NAUTICA_CLASSICS_117009201_SW4_3.jpg","Ver imagen")</f>
        <v/>
      </c>
    </row>
    <row r="1911">
      <c r="A1911" t="inlineStr">
        <is>
          <t>NAUTICA CLASSICS</t>
        </is>
      </c>
      <c r="B1911" t="inlineStr">
        <is>
          <t>117009201</t>
        </is>
      </c>
      <c r="C1911" t="inlineStr">
        <is>
          <t>32" MIST PARKA</t>
        </is>
      </c>
      <c r="D1911" t="inlineStr">
        <is>
          <t>SW4</t>
        </is>
      </c>
      <c r="E1911" t="inlineStr">
        <is>
          <t>(en blanco)</t>
        </is>
      </c>
      <c r="F1911" t="inlineStr">
        <is>
          <t>MACYS ECOM</t>
        </is>
      </c>
      <c r="G1911" t="inlineStr">
        <is>
          <t>L</t>
        </is>
      </c>
      <c r="H1911" t="n">
        <v>391</v>
      </c>
      <c r="I1911" t="inlineStr">
        <is>
          <t>NAUTICA_CLASSICS_117009201_SW4_2.jpg</t>
        </is>
      </c>
      <c r="J1911" t="inlineStr">
        <is>
          <t>NAUTICA_CLASSICS_117009201_SW4_3.jpg</t>
        </is>
      </c>
      <c r="L1911">
        <f>IMAGE("file:///E:/Estudios%20y%20certificaciones/ESTUDIOS%20DE%20PROGRAMMING/PROGRAMMING/PERSONAL/PYTHON/Image_Generator_API/imagenes/NAUTICA_CLASSICS_117009201_SW4_2.jpg")</f>
        <v/>
      </c>
      <c r="M1911">
        <f>IMAGE("file:///E:/Estudios%20y%20certificaciones/ESTUDIOS%20DE%20PROGRAMMING/PROGRAMMING/PERSONAL/PYTHON/Image_Generator_API/imagenes/NAUTICA_CLASSICS_117009201_SW4_3.jpg")</f>
        <v/>
      </c>
      <c r="O1911">
        <f>HYPERLINK("imagenes/NAUTICA_CLASSICS_117009201_SW4_2.jpg","Ver imagen")</f>
        <v/>
      </c>
      <c r="P1911">
        <f>HYPERLINK("imagenes/NAUTICA_CLASSICS_117009201_SW4_3.jpg","Ver imagen")</f>
        <v/>
      </c>
    </row>
    <row r="1912">
      <c r="A1912" t="inlineStr">
        <is>
          <t>NAUTICA CLASSICS</t>
        </is>
      </c>
      <c r="B1912" t="inlineStr">
        <is>
          <t>117009201</t>
        </is>
      </c>
      <c r="C1912" t="inlineStr">
        <is>
          <t>32" MIST PARKA</t>
        </is>
      </c>
      <c r="D1912" t="inlineStr">
        <is>
          <t>SW4</t>
        </is>
      </c>
      <c r="E1912" t="inlineStr">
        <is>
          <t>(en blanco)</t>
        </is>
      </c>
      <c r="F1912" t="inlineStr">
        <is>
          <t>MACYS ECOM</t>
        </is>
      </c>
      <c r="G1912" t="inlineStr">
        <is>
          <t>XL</t>
        </is>
      </c>
      <c r="H1912" t="n">
        <v>276</v>
      </c>
      <c r="I1912" t="inlineStr">
        <is>
          <t>NAUTICA_CLASSICS_117009201_SW4_2.jpg</t>
        </is>
      </c>
      <c r="J1912" t="inlineStr">
        <is>
          <t>NAUTICA_CLASSICS_117009201_SW4_3.jpg</t>
        </is>
      </c>
      <c r="L1912">
        <f>IMAGE("file:///E:/Estudios%20y%20certificaciones/ESTUDIOS%20DE%20PROGRAMMING/PROGRAMMING/PERSONAL/PYTHON/Image_Generator_API/imagenes/NAUTICA_CLASSICS_117009201_SW4_2.jpg")</f>
        <v/>
      </c>
      <c r="M1912">
        <f>IMAGE("file:///E:/Estudios%20y%20certificaciones/ESTUDIOS%20DE%20PROGRAMMING/PROGRAMMING/PERSONAL/PYTHON/Image_Generator_API/imagenes/NAUTICA_CLASSICS_117009201_SW4_3.jpg")</f>
        <v/>
      </c>
      <c r="O1912">
        <f>HYPERLINK("imagenes/NAUTICA_CLASSICS_117009201_SW4_2.jpg","Ver imagen")</f>
        <v/>
      </c>
      <c r="P1912">
        <f>HYPERLINK("imagenes/NAUTICA_CLASSICS_117009201_SW4_3.jpg","Ver imagen")</f>
        <v/>
      </c>
    </row>
    <row r="1913">
      <c r="A1913" t="inlineStr">
        <is>
          <t>NAUTICA CLASSICS</t>
        </is>
      </c>
      <c r="B1913" t="inlineStr">
        <is>
          <t>117009201</t>
        </is>
      </c>
      <c r="C1913" t="inlineStr">
        <is>
          <t>32" MIST PARKA</t>
        </is>
      </c>
      <c r="D1913" t="inlineStr">
        <is>
          <t>SW4</t>
        </is>
      </c>
      <c r="E1913" t="inlineStr">
        <is>
          <t>(en blanco)</t>
        </is>
      </c>
      <c r="F1913" t="inlineStr">
        <is>
          <t>MACYS ECOM</t>
        </is>
      </c>
      <c r="G1913" t="inlineStr">
        <is>
          <t>XXL</t>
        </is>
      </c>
      <c r="H1913" t="n">
        <v>150</v>
      </c>
      <c r="I1913" t="inlineStr">
        <is>
          <t>NAUTICA_CLASSICS_117009201_SW4_2.jpg</t>
        </is>
      </c>
      <c r="J1913" t="inlineStr">
        <is>
          <t>NAUTICA_CLASSICS_117009201_SW4_3.jpg</t>
        </is>
      </c>
      <c r="L1913">
        <f>IMAGE("file:///E:/Estudios%20y%20certificaciones/ESTUDIOS%20DE%20PROGRAMMING/PROGRAMMING/PERSONAL/PYTHON/Image_Generator_API/imagenes/NAUTICA_CLASSICS_117009201_SW4_2.jpg")</f>
        <v/>
      </c>
      <c r="M1913">
        <f>IMAGE("file:///E:/Estudios%20y%20certificaciones/ESTUDIOS%20DE%20PROGRAMMING/PROGRAMMING/PERSONAL/PYTHON/Image_Generator_API/imagenes/NAUTICA_CLASSICS_117009201_SW4_3.jpg")</f>
        <v/>
      </c>
      <c r="O1913">
        <f>HYPERLINK("imagenes/NAUTICA_CLASSICS_117009201_SW4_2.jpg","Ver imagen")</f>
        <v/>
      </c>
      <c r="P1913">
        <f>HYPERLINK("imagenes/NAUTICA_CLASSICS_117009201_SW4_3.jpg","Ver imagen")</f>
        <v/>
      </c>
    </row>
    <row r="1914">
      <c r="A1914" t="inlineStr">
        <is>
          <t>NAUTICA CLASSICS</t>
        </is>
      </c>
      <c r="B1914" t="inlineStr">
        <is>
          <t>117009201</t>
        </is>
      </c>
      <c r="C1914" t="inlineStr">
        <is>
          <t>32" MIST PARKA</t>
        </is>
      </c>
      <c r="D1914" t="inlineStr">
        <is>
          <t>SW4</t>
        </is>
      </c>
      <c r="E1914" t="inlineStr">
        <is>
          <t>(en blanco)</t>
        </is>
      </c>
      <c r="F1914" t="inlineStr">
        <is>
          <t>MACYS ECOM</t>
        </is>
      </c>
      <c r="G1914" t="inlineStr">
        <is>
          <t>XXS</t>
        </is>
      </c>
      <c r="H1914" t="n">
        <v>16</v>
      </c>
      <c r="I1914" t="inlineStr">
        <is>
          <t>NAUTICA_CLASSICS_117009201_SW4_2.jpg</t>
        </is>
      </c>
      <c r="J1914" t="inlineStr">
        <is>
          <t>NAUTICA_CLASSICS_117009201_SW4_3.jpg</t>
        </is>
      </c>
      <c r="L1914">
        <f>IMAGE("file:///E:/Estudios%20y%20certificaciones/ESTUDIOS%20DE%20PROGRAMMING/PROGRAMMING/PERSONAL/PYTHON/Image_Generator_API/imagenes/NAUTICA_CLASSICS_117009201_SW4_2.jpg")</f>
        <v/>
      </c>
      <c r="M1914">
        <f>IMAGE("file:///E:/Estudios%20y%20certificaciones/ESTUDIOS%20DE%20PROGRAMMING/PROGRAMMING/PERSONAL/PYTHON/Image_Generator_API/imagenes/NAUTICA_CLASSICS_117009201_SW4_3.jpg")</f>
        <v/>
      </c>
      <c r="O1914">
        <f>HYPERLINK("imagenes/NAUTICA_CLASSICS_117009201_SW4_2.jpg","Ver imagen")</f>
        <v/>
      </c>
      <c r="P1914">
        <f>HYPERLINK("imagenes/NAUTICA_CLASSICS_117009201_SW4_3.jpg","Ver imagen")</f>
        <v/>
      </c>
    </row>
    <row r="1915">
      <c r="A1915" t="inlineStr">
        <is>
          <t>NAUTICA CLASSICS</t>
        </is>
      </c>
      <c r="B1915" t="inlineStr">
        <is>
          <t>117009201</t>
        </is>
      </c>
      <c r="C1915" t="inlineStr">
        <is>
          <t>32" MIST PARKA</t>
        </is>
      </c>
      <c r="D1915" t="inlineStr">
        <is>
          <t>VNT</t>
        </is>
      </c>
      <c r="E1915" t="inlineStr">
        <is>
          <t>07A08</t>
        </is>
      </c>
      <c r="F1915" t="inlineStr">
        <is>
          <t>B2230</t>
        </is>
      </c>
      <c r="G1915" t="inlineStr">
        <is>
          <t>PPK</t>
        </is>
      </c>
      <c r="H1915" t="n">
        <v>0</v>
      </c>
      <c r="I1915" t="inlineStr">
        <is>
          <t>NAUTICA_CLASSICS_117009201_VNT_2.jpg</t>
        </is>
      </c>
      <c r="J1915" t="inlineStr">
        <is>
          <t>NAUTICA_CLASSICS_117009201_VNT_3.jpg</t>
        </is>
      </c>
      <c r="L1915">
        <f>IMAGE("file:///E:/Estudios%20y%20certificaciones/ESTUDIOS%20DE%20PROGRAMMING/PROGRAMMING/PERSONAL/PYTHON/Image_Generator_API/imagenes/NAUTICA_CLASSICS_117009201_VNT_2.jpg")</f>
        <v/>
      </c>
      <c r="M1915">
        <f>IMAGE("file:///E:/Estudios%20y%20certificaciones/ESTUDIOS%20DE%20PROGRAMMING/PROGRAMMING/PERSONAL/PYTHON/Image_Generator_API/imagenes/NAUTICA_CLASSICS_117009201_VNT_3.jpg")</f>
        <v/>
      </c>
      <c r="O1915">
        <f>HYPERLINK("imagenes/NAUTICA_CLASSICS_117009201_VNT_2.jpg","Ver imagen")</f>
        <v/>
      </c>
      <c r="P1915">
        <f>HYPERLINK("imagenes/NAUTICA_CLASSICS_117009201_VNT_3.jpg","Ver imagen")</f>
        <v/>
      </c>
    </row>
    <row r="1916">
      <c r="A1916" t="inlineStr">
        <is>
          <t>NAUTICA CLASSICS</t>
        </is>
      </c>
      <c r="B1916" t="inlineStr">
        <is>
          <t>117009201</t>
        </is>
      </c>
      <c r="C1916" t="inlineStr">
        <is>
          <t>32" MIST PARKA</t>
        </is>
      </c>
      <c r="D1916" t="inlineStr">
        <is>
          <t>VNT</t>
        </is>
      </c>
      <c r="E1916" t="inlineStr">
        <is>
          <t>08A05</t>
        </is>
      </c>
      <c r="F1916" t="inlineStr">
        <is>
          <t>(en blanco)</t>
        </is>
      </c>
      <c r="G1916" t="inlineStr">
        <is>
          <t>PPK</t>
        </is>
      </c>
      <c r="H1916" t="n">
        <v>664</v>
      </c>
      <c r="I1916" t="inlineStr">
        <is>
          <t>NAUTICA_CLASSICS_117009201_VNT_2.jpg</t>
        </is>
      </c>
      <c r="J1916" t="inlineStr">
        <is>
          <t>NAUTICA_CLASSICS_117009201_VNT_3.jpg</t>
        </is>
      </c>
      <c r="L1916">
        <f>IMAGE("file:///E:/Estudios%20y%20certificaciones/ESTUDIOS%20DE%20PROGRAMMING/PROGRAMMING/PERSONAL/PYTHON/Image_Generator_API/imagenes/NAUTICA_CLASSICS_117009201_VNT_2.jpg")</f>
        <v/>
      </c>
      <c r="M1916">
        <f>IMAGE("file:///E:/Estudios%20y%20certificaciones/ESTUDIOS%20DE%20PROGRAMMING/PROGRAMMING/PERSONAL/PYTHON/Image_Generator_API/imagenes/NAUTICA_CLASSICS_117009201_VNT_3.jpg")</f>
        <v/>
      </c>
      <c r="O1916">
        <f>HYPERLINK("imagenes/NAUTICA_CLASSICS_117009201_VNT_2.jpg","Ver imagen")</f>
        <v/>
      </c>
      <c r="P1916">
        <f>HYPERLINK("imagenes/NAUTICA_CLASSICS_117009201_VNT_3.jpg","Ver imagen")</f>
        <v/>
      </c>
    </row>
    <row r="1917">
      <c r="A1917" t="inlineStr">
        <is>
          <t>NAUTICA CLASSICS</t>
        </is>
      </c>
      <c r="B1917" t="inlineStr">
        <is>
          <t>117009201</t>
        </is>
      </c>
      <c r="C1917" t="inlineStr">
        <is>
          <t>32" MIST PARKA</t>
        </is>
      </c>
      <c r="D1917" t="inlineStr">
        <is>
          <t>VNT</t>
        </is>
      </c>
      <c r="E1917" t="inlineStr">
        <is>
          <t>(en blanco)</t>
        </is>
      </c>
      <c r="F1917" t="inlineStr">
        <is>
          <t>D2C</t>
        </is>
      </c>
      <c r="G1917" t="inlineStr">
        <is>
          <t>XS</t>
        </is>
      </c>
      <c r="H1917" t="n">
        <v>10</v>
      </c>
      <c r="I1917" t="inlineStr">
        <is>
          <t>NAUTICA_CLASSICS_117009201_VNT_2.jpg</t>
        </is>
      </c>
      <c r="J1917" t="inlineStr">
        <is>
          <t>NAUTICA_CLASSICS_117009201_VNT_3.jpg</t>
        </is>
      </c>
      <c r="L1917">
        <f>IMAGE("file:///E:/Estudios%20y%20certificaciones/ESTUDIOS%20DE%20PROGRAMMING/PROGRAMMING/PERSONAL/PYTHON/Image_Generator_API/imagenes/NAUTICA_CLASSICS_117009201_VNT_2.jpg")</f>
        <v/>
      </c>
      <c r="M1917">
        <f>IMAGE("file:///E:/Estudios%20y%20certificaciones/ESTUDIOS%20DE%20PROGRAMMING/PROGRAMMING/PERSONAL/PYTHON/Image_Generator_API/imagenes/NAUTICA_CLASSICS_117009201_VNT_3.jpg")</f>
        <v/>
      </c>
      <c r="O1917">
        <f>HYPERLINK("imagenes/NAUTICA_CLASSICS_117009201_VNT_2.jpg","Ver imagen")</f>
        <v/>
      </c>
      <c r="P1917">
        <f>HYPERLINK("imagenes/NAUTICA_CLASSICS_117009201_VNT_3.jpg","Ver imagen")</f>
        <v/>
      </c>
    </row>
    <row r="1918">
      <c r="A1918" t="inlineStr">
        <is>
          <t>NAUTICA CLASSICS</t>
        </is>
      </c>
      <c r="B1918" t="inlineStr">
        <is>
          <t>117009201</t>
        </is>
      </c>
      <c r="C1918" t="inlineStr">
        <is>
          <t>32" MIST PARKA</t>
        </is>
      </c>
      <c r="D1918" t="inlineStr">
        <is>
          <t>VNT</t>
        </is>
      </c>
      <c r="E1918" t="inlineStr">
        <is>
          <t>(en blanco)</t>
        </is>
      </c>
      <c r="F1918" t="inlineStr">
        <is>
          <t>D2C</t>
        </is>
      </c>
      <c r="G1918" t="inlineStr">
        <is>
          <t>S</t>
        </is>
      </c>
      <c r="H1918" t="n">
        <v>10</v>
      </c>
      <c r="I1918" t="inlineStr">
        <is>
          <t>NAUTICA_CLASSICS_117009201_VNT_2.jpg</t>
        </is>
      </c>
      <c r="J1918" t="inlineStr">
        <is>
          <t>NAUTICA_CLASSICS_117009201_VNT_3.jpg</t>
        </is>
      </c>
      <c r="L1918">
        <f>IMAGE("file:///E:/Estudios%20y%20certificaciones/ESTUDIOS%20DE%20PROGRAMMING/PROGRAMMING/PERSONAL/PYTHON/Image_Generator_API/imagenes/NAUTICA_CLASSICS_117009201_VNT_2.jpg")</f>
        <v/>
      </c>
      <c r="M1918">
        <f>IMAGE("file:///E:/Estudios%20y%20certificaciones/ESTUDIOS%20DE%20PROGRAMMING/PROGRAMMING/PERSONAL/PYTHON/Image_Generator_API/imagenes/NAUTICA_CLASSICS_117009201_VNT_3.jpg")</f>
        <v/>
      </c>
      <c r="O1918">
        <f>HYPERLINK("imagenes/NAUTICA_CLASSICS_117009201_VNT_2.jpg","Ver imagen")</f>
        <v/>
      </c>
      <c r="P1918">
        <f>HYPERLINK("imagenes/NAUTICA_CLASSICS_117009201_VNT_3.jpg","Ver imagen")</f>
        <v/>
      </c>
    </row>
    <row r="1919">
      <c r="A1919" t="inlineStr">
        <is>
          <t>NAUTICA CLASSICS</t>
        </is>
      </c>
      <c r="B1919" t="inlineStr">
        <is>
          <t>117009201</t>
        </is>
      </c>
      <c r="C1919" t="inlineStr">
        <is>
          <t>32" MIST PARKA</t>
        </is>
      </c>
      <c r="D1919" t="inlineStr">
        <is>
          <t>VNT</t>
        </is>
      </c>
      <c r="E1919" t="inlineStr">
        <is>
          <t>(en blanco)</t>
        </is>
      </c>
      <c r="F1919" t="inlineStr">
        <is>
          <t>D2C</t>
        </is>
      </c>
      <c r="G1919" t="inlineStr">
        <is>
          <t>M</t>
        </is>
      </c>
      <c r="H1919" t="n">
        <v>9</v>
      </c>
      <c r="I1919" t="inlineStr">
        <is>
          <t>NAUTICA_CLASSICS_117009201_VNT_2.jpg</t>
        </is>
      </c>
      <c r="J1919" t="inlineStr">
        <is>
          <t>NAUTICA_CLASSICS_117009201_VNT_3.jpg</t>
        </is>
      </c>
      <c r="L1919">
        <f>IMAGE("file:///E:/Estudios%20y%20certificaciones/ESTUDIOS%20DE%20PROGRAMMING/PROGRAMMING/PERSONAL/PYTHON/Image_Generator_API/imagenes/NAUTICA_CLASSICS_117009201_VNT_2.jpg")</f>
        <v/>
      </c>
      <c r="M1919">
        <f>IMAGE("file:///E:/Estudios%20y%20certificaciones/ESTUDIOS%20DE%20PROGRAMMING/PROGRAMMING/PERSONAL/PYTHON/Image_Generator_API/imagenes/NAUTICA_CLASSICS_117009201_VNT_3.jpg")</f>
        <v/>
      </c>
      <c r="O1919">
        <f>HYPERLINK("imagenes/NAUTICA_CLASSICS_117009201_VNT_2.jpg","Ver imagen")</f>
        <v/>
      </c>
      <c r="P1919">
        <f>HYPERLINK("imagenes/NAUTICA_CLASSICS_117009201_VNT_3.jpg","Ver imagen")</f>
        <v/>
      </c>
    </row>
    <row r="1920">
      <c r="A1920" t="inlineStr">
        <is>
          <t>NAUTICA CLASSICS</t>
        </is>
      </c>
      <c r="B1920" t="inlineStr">
        <is>
          <t>117009201</t>
        </is>
      </c>
      <c r="C1920" t="inlineStr">
        <is>
          <t>32" MIST PARKA</t>
        </is>
      </c>
      <c r="D1920" t="inlineStr">
        <is>
          <t>VNT</t>
        </is>
      </c>
      <c r="E1920" t="inlineStr">
        <is>
          <t>(en blanco)</t>
        </is>
      </c>
      <c r="F1920" t="inlineStr">
        <is>
          <t>D2C</t>
        </is>
      </c>
      <c r="G1920" t="inlineStr">
        <is>
          <t>L</t>
        </is>
      </c>
      <c r="H1920" t="n">
        <v>2</v>
      </c>
      <c r="I1920" t="inlineStr">
        <is>
          <t>NAUTICA_CLASSICS_117009201_VNT_2.jpg</t>
        </is>
      </c>
      <c r="J1920" t="inlineStr">
        <is>
          <t>NAUTICA_CLASSICS_117009201_VNT_3.jpg</t>
        </is>
      </c>
      <c r="L1920">
        <f>IMAGE("file:///E:/Estudios%20y%20certificaciones/ESTUDIOS%20DE%20PROGRAMMING/PROGRAMMING/PERSONAL/PYTHON/Image_Generator_API/imagenes/NAUTICA_CLASSICS_117009201_VNT_2.jpg")</f>
        <v/>
      </c>
      <c r="M1920">
        <f>IMAGE("file:///E:/Estudios%20y%20certificaciones/ESTUDIOS%20DE%20PROGRAMMING/PROGRAMMING/PERSONAL/PYTHON/Image_Generator_API/imagenes/NAUTICA_CLASSICS_117009201_VNT_3.jpg")</f>
        <v/>
      </c>
      <c r="O1920">
        <f>HYPERLINK("imagenes/NAUTICA_CLASSICS_117009201_VNT_2.jpg","Ver imagen")</f>
        <v/>
      </c>
      <c r="P1920">
        <f>HYPERLINK("imagenes/NAUTICA_CLASSICS_117009201_VNT_3.jpg","Ver imagen")</f>
        <v/>
      </c>
    </row>
    <row r="1921">
      <c r="A1921" t="inlineStr">
        <is>
          <t>NAUTICA CLASSICS</t>
        </is>
      </c>
      <c r="B1921" t="inlineStr">
        <is>
          <t>117009201</t>
        </is>
      </c>
      <c r="C1921" t="inlineStr">
        <is>
          <t>32" MIST PARKA</t>
        </is>
      </c>
      <c r="D1921" t="inlineStr">
        <is>
          <t>VNT</t>
        </is>
      </c>
      <c r="E1921" t="inlineStr">
        <is>
          <t>(en blanco)</t>
        </is>
      </c>
      <c r="F1921" t="inlineStr">
        <is>
          <t>(en blanco)</t>
        </is>
      </c>
      <c r="G1921" t="inlineStr">
        <is>
          <t>XS</t>
        </is>
      </c>
      <c r="H1921" t="n">
        <v>30</v>
      </c>
      <c r="I1921" t="inlineStr">
        <is>
          <t>NAUTICA_CLASSICS_117009201_VNT_2.jpg</t>
        </is>
      </c>
      <c r="J1921" t="inlineStr">
        <is>
          <t>NAUTICA_CLASSICS_117009201_VNT_3.jpg</t>
        </is>
      </c>
      <c r="L1921">
        <f>IMAGE("file:///E:/Estudios%20y%20certificaciones/ESTUDIOS%20DE%20PROGRAMMING/PROGRAMMING/PERSONAL/PYTHON/Image_Generator_API/imagenes/NAUTICA_CLASSICS_117009201_VNT_2.jpg")</f>
        <v/>
      </c>
      <c r="M1921">
        <f>IMAGE("file:///E:/Estudios%20y%20certificaciones/ESTUDIOS%20DE%20PROGRAMMING/PROGRAMMING/PERSONAL/PYTHON/Image_Generator_API/imagenes/NAUTICA_CLASSICS_117009201_VNT_3.jpg")</f>
        <v/>
      </c>
      <c r="O1921">
        <f>HYPERLINK("imagenes/NAUTICA_CLASSICS_117009201_VNT_2.jpg","Ver imagen")</f>
        <v/>
      </c>
      <c r="P1921">
        <f>HYPERLINK("imagenes/NAUTICA_CLASSICS_117009201_VNT_3.jpg","Ver imagen")</f>
        <v/>
      </c>
    </row>
    <row r="1922">
      <c r="A1922" t="inlineStr">
        <is>
          <t>NAUTICA CLASSICS</t>
        </is>
      </c>
      <c r="B1922" t="inlineStr">
        <is>
          <t>117009201</t>
        </is>
      </c>
      <c r="C1922" t="inlineStr">
        <is>
          <t>32" MIST PARKA</t>
        </is>
      </c>
      <c r="D1922" t="inlineStr">
        <is>
          <t>VNT</t>
        </is>
      </c>
      <c r="E1922" t="inlineStr">
        <is>
          <t>(en blanco)</t>
        </is>
      </c>
      <c r="F1922" t="inlineStr">
        <is>
          <t>(en blanco)</t>
        </is>
      </c>
      <c r="G1922" t="inlineStr">
        <is>
          <t>S</t>
        </is>
      </c>
      <c r="H1922" t="n">
        <v>49</v>
      </c>
      <c r="I1922" t="inlineStr">
        <is>
          <t>NAUTICA_CLASSICS_117009201_VNT_2.jpg</t>
        </is>
      </c>
      <c r="J1922" t="inlineStr">
        <is>
          <t>NAUTICA_CLASSICS_117009201_VNT_3.jpg</t>
        </is>
      </c>
      <c r="L1922">
        <f>IMAGE("file:///E:/Estudios%20y%20certificaciones/ESTUDIOS%20DE%20PROGRAMMING/PROGRAMMING/PERSONAL/PYTHON/Image_Generator_API/imagenes/NAUTICA_CLASSICS_117009201_VNT_2.jpg")</f>
        <v/>
      </c>
      <c r="M1922">
        <f>IMAGE("file:///E:/Estudios%20y%20certificaciones/ESTUDIOS%20DE%20PROGRAMMING/PROGRAMMING/PERSONAL/PYTHON/Image_Generator_API/imagenes/NAUTICA_CLASSICS_117009201_VNT_3.jpg")</f>
        <v/>
      </c>
      <c r="O1922">
        <f>HYPERLINK("imagenes/NAUTICA_CLASSICS_117009201_VNT_2.jpg","Ver imagen")</f>
        <v/>
      </c>
      <c r="P1922">
        <f>HYPERLINK("imagenes/NAUTICA_CLASSICS_117009201_VNT_3.jpg","Ver imagen")</f>
        <v/>
      </c>
    </row>
    <row r="1923">
      <c r="A1923" t="inlineStr">
        <is>
          <t>NAUTICA CLASSICS</t>
        </is>
      </c>
      <c r="B1923" t="inlineStr">
        <is>
          <t>117009201</t>
        </is>
      </c>
      <c r="C1923" t="inlineStr">
        <is>
          <t>32" MIST PARKA</t>
        </is>
      </c>
      <c r="D1923" t="inlineStr">
        <is>
          <t>VNT</t>
        </is>
      </c>
      <c r="E1923" t="inlineStr">
        <is>
          <t>(en blanco)</t>
        </is>
      </c>
      <c r="F1923" t="inlineStr">
        <is>
          <t>(en blanco)</t>
        </is>
      </c>
      <c r="G1923" t="inlineStr">
        <is>
          <t>M</t>
        </is>
      </c>
      <c r="H1923" t="n">
        <v>29</v>
      </c>
      <c r="I1923" t="inlineStr">
        <is>
          <t>NAUTICA_CLASSICS_117009201_VNT_2.jpg</t>
        </is>
      </c>
      <c r="J1923" t="inlineStr">
        <is>
          <t>NAUTICA_CLASSICS_117009201_VNT_3.jpg</t>
        </is>
      </c>
      <c r="L1923">
        <f>IMAGE("file:///E:/Estudios%20y%20certificaciones/ESTUDIOS%20DE%20PROGRAMMING/PROGRAMMING/PERSONAL/PYTHON/Image_Generator_API/imagenes/NAUTICA_CLASSICS_117009201_VNT_2.jpg")</f>
        <v/>
      </c>
      <c r="M1923">
        <f>IMAGE("file:///E:/Estudios%20y%20certificaciones/ESTUDIOS%20DE%20PROGRAMMING/PROGRAMMING/PERSONAL/PYTHON/Image_Generator_API/imagenes/NAUTICA_CLASSICS_117009201_VNT_3.jpg")</f>
        <v/>
      </c>
      <c r="O1923">
        <f>HYPERLINK("imagenes/NAUTICA_CLASSICS_117009201_VNT_2.jpg","Ver imagen")</f>
        <v/>
      </c>
      <c r="P1923">
        <f>HYPERLINK("imagenes/NAUTICA_CLASSICS_117009201_VNT_3.jpg","Ver imagen")</f>
        <v/>
      </c>
    </row>
    <row r="1924">
      <c r="A1924" t="inlineStr">
        <is>
          <t>NAUTICA CLASSICS</t>
        </is>
      </c>
      <c r="B1924" t="inlineStr">
        <is>
          <t>117009201</t>
        </is>
      </c>
      <c r="C1924" t="inlineStr">
        <is>
          <t>32" MIST PARKA</t>
        </is>
      </c>
      <c r="D1924" t="inlineStr">
        <is>
          <t>VNT</t>
        </is>
      </c>
      <c r="E1924" t="inlineStr">
        <is>
          <t>(en blanco)</t>
        </is>
      </c>
      <c r="F1924" t="inlineStr">
        <is>
          <t>(en blanco)</t>
        </is>
      </c>
      <c r="G1924" t="inlineStr">
        <is>
          <t>L</t>
        </is>
      </c>
      <c r="H1924" t="n">
        <v>27</v>
      </c>
      <c r="I1924" t="inlineStr">
        <is>
          <t>NAUTICA_CLASSICS_117009201_VNT_2.jpg</t>
        </is>
      </c>
      <c r="J1924" t="inlineStr">
        <is>
          <t>NAUTICA_CLASSICS_117009201_VNT_3.jpg</t>
        </is>
      </c>
      <c r="L1924">
        <f>IMAGE("file:///E:/Estudios%20y%20certificaciones/ESTUDIOS%20DE%20PROGRAMMING/PROGRAMMING/PERSONAL/PYTHON/Image_Generator_API/imagenes/NAUTICA_CLASSICS_117009201_VNT_2.jpg")</f>
        <v/>
      </c>
      <c r="M1924">
        <f>IMAGE("file:///E:/Estudios%20y%20certificaciones/ESTUDIOS%20DE%20PROGRAMMING/PROGRAMMING/PERSONAL/PYTHON/Image_Generator_API/imagenes/NAUTICA_CLASSICS_117009201_VNT_3.jpg")</f>
        <v/>
      </c>
      <c r="O1924">
        <f>HYPERLINK("imagenes/NAUTICA_CLASSICS_117009201_VNT_2.jpg","Ver imagen")</f>
        <v/>
      </c>
      <c r="P1924">
        <f>HYPERLINK("imagenes/NAUTICA_CLASSICS_117009201_VNT_3.jpg","Ver imagen")</f>
        <v/>
      </c>
    </row>
    <row r="1925">
      <c r="A1925" t="inlineStr">
        <is>
          <t>NAUTICA CLASSICS</t>
        </is>
      </c>
      <c r="B1925" t="inlineStr">
        <is>
          <t>117009224</t>
        </is>
      </c>
      <c r="C1925" t="inlineStr">
        <is>
          <t>32" STRETCH PUFFER</t>
        </is>
      </c>
      <c r="D1925" t="inlineStr">
        <is>
          <t>BLK</t>
        </is>
      </c>
      <c r="E1925" t="inlineStr">
        <is>
          <t>07A08</t>
        </is>
      </c>
      <c r="F1925" t="inlineStr">
        <is>
          <t>B2230</t>
        </is>
      </c>
      <c r="G1925" t="inlineStr">
        <is>
          <t>PPK</t>
        </is>
      </c>
      <c r="H1925" t="n">
        <v>0</v>
      </c>
      <c r="I1925" t="inlineStr">
        <is>
          <t>NAUTICA_CLASSICS_117009224_BLK_1.jpg</t>
        </is>
      </c>
      <c r="J1925" t="inlineStr">
        <is>
          <t>NAUTICA_CLASSICS_117009224_BLK_2.jpg</t>
        </is>
      </c>
      <c r="K1925" t="inlineStr">
        <is>
          <t>NAUTICA_CLASSICS_117009224_BLK_3.jpg</t>
        </is>
      </c>
      <c r="L1925">
        <f>IMAGE("file:///E:/Estudios%20y%20certificaciones/ESTUDIOS%20DE%20PROGRAMMING/PROGRAMMING/PERSONAL/PYTHON/Image_Generator_API/imagenes/NAUTICA_CLASSICS_117009224_BLK_1.jpg")</f>
        <v/>
      </c>
      <c r="M1925">
        <f>IMAGE("file:///E:/Estudios%20y%20certificaciones/ESTUDIOS%20DE%20PROGRAMMING/PROGRAMMING/PERSONAL/PYTHON/Image_Generator_API/imagenes/NAUTICA_CLASSICS_117009224_BLK_2.jpg")</f>
        <v/>
      </c>
      <c r="N1925">
        <f>IMAGE("file:///E:/Estudios%20y%20certificaciones/ESTUDIOS%20DE%20PROGRAMMING/PROGRAMMING/PERSONAL/PYTHON/Image_Generator_API/imagenes/NAUTICA_CLASSICS_117009224_BLK_3.jpg")</f>
        <v/>
      </c>
      <c r="O1925">
        <f>HYPERLINK("imagenes/NAUTICA_CLASSICS_117009224_BLK_1.jpg","Ver imagen")</f>
        <v/>
      </c>
      <c r="P1925">
        <f>HYPERLINK("imagenes/NAUTICA_CLASSICS_117009224_BLK_2.jpg","Ver imagen")</f>
        <v/>
      </c>
      <c r="Q1925">
        <f>HYPERLINK("imagenes/NAUTICA_CLASSICS_117009224_BLK_3.jpg","Ver imagen")</f>
        <v/>
      </c>
    </row>
    <row r="1926">
      <c r="A1926" t="inlineStr">
        <is>
          <t>NAUTICA CLASSICS</t>
        </is>
      </c>
      <c r="B1926" t="inlineStr">
        <is>
          <t>117009224</t>
        </is>
      </c>
      <c r="C1926" t="inlineStr">
        <is>
          <t>32" STRETCH PUFFER</t>
        </is>
      </c>
      <c r="D1926" t="inlineStr">
        <is>
          <t>BLK</t>
        </is>
      </c>
      <c r="E1926" t="inlineStr">
        <is>
          <t>(en blanco)</t>
        </is>
      </c>
      <c r="F1926" t="inlineStr">
        <is>
          <t>D2C</t>
        </is>
      </c>
      <c r="G1926" t="inlineStr">
        <is>
          <t>XS</t>
        </is>
      </c>
      <c r="H1926" t="n">
        <v>10</v>
      </c>
      <c r="I1926" t="inlineStr">
        <is>
          <t>NAUTICA_CLASSICS_117009224_BLK_1.jpg</t>
        </is>
      </c>
      <c r="J1926" t="inlineStr">
        <is>
          <t>NAUTICA_CLASSICS_117009224_BLK_2.jpg</t>
        </is>
      </c>
      <c r="K1926" t="inlineStr">
        <is>
          <t>NAUTICA_CLASSICS_117009224_BLK_3.jpg</t>
        </is>
      </c>
      <c r="L1926">
        <f>IMAGE("file:///E:/Estudios%20y%20certificaciones/ESTUDIOS%20DE%20PROGRAMMING/PROGRAMMING/PERSONAL/PYTHON/Image_Generator_API/imagenes/NAUTICA_CLASSICS_117009224_BLK_1.jpg")</f>
        <v/>
      </c>
      <c r="M1926">
        <f>IMAGE("file:///E:/Estudios%20y%20certificaciones/ESTUDIOS%20DE%20PROGRAMMING/PROGRAMMING/PERSONAL/PYTHON/Image_Generator_API/imagenes/NAUTICA_CLASSICS_117009224_BLK_2.jpg")</f>
        <v/>
      </c>
      <c r="N1926">
        <f>IMAGE("file:///E:/Estudios%20y%20certificaciones/ESTUDIOS%20DE%20PROGRAMMING/PROGRAMMING/PERSONAL/PYTHON/Image_Generator_API/imagenes/NAUTICA_CLASSICS_117009224_BLK_3.jpg")</f>
        <v/>
      </c>
      <c r="O1926">
        <f>HYPERLINK("imagenes/NAUTICA_CLASSICS_117009224_BLK_1.jpg","Ver imagen")</f>
        <v/>
      </c>
      <c r="P1926">
        <f>HYPERLINK("imagenes/NAUTICA_CLASSICS_117009224_BLK_2.jpg","Ver imagen")</f>
        <v/>
      </c>
      <c r="Q1926">
        <f>HYPERLINK("imagenes/NAUTICA_CLASSICS_117009224_BLK_3.jpg","Ver imagen")</f>
        <v/>
      </c>
    </row>
    <row r="1927">
      <c r="A1927" t="inlineStr">
        <is>
          <t>NAUTICA CLASSICS</t>
        </is>
      </c>
      <c r="B1927" t="inlineStr">
        <is>
          <t>117009224</t>
        </is>
      </c>
      <c r="C1927" t="inlineStr">
        <is>
          <t>32" STRETCH PUFFER</t>
        </is>
      </c>
      <c r="D1927" t="inlineStr">
        <is>
          <t>BLK</t>
        </is>
      </c>
      <c r="E1927" t="inlineStr">
        <is>
          <t>(en blanco)</t>
        </is>
      </c>
      <c r="F1927" t="inlineStr">
        <is>
          <t>D2C</t>
        </is>
      </c>
      <c r="G1927" t="inlineStr">
        <is>
          <t>S</t>
        </is>
      </c>
      <c r="H1927" t="n">
        <v>20</v>
      </c>
      <c r="I1927" t="inlineStr">
        <is>
          <t>NAUTICA_CLASSICS_117009224_BLK_1.jpg</t>
        </is>
      </c>
      <c r="J1927" t="inlineStr">
        <is>
          <t>NAUTICA_CLASSICS_117009224_BLK_2.jpg</t>
        </is>
      </c>
      <c r="K1927" t="inlineStr">
        <is>
          <t>NAUTICA_CLASSICS_117009224_BLK_3.jpg</t>
        </is>
      </c>
      <c r="L1927">
        <f>IMAGE("file:///E:/Estudios%20y%20certificaciones/ESTUDIOS%20DE%20PROGRAMMING/PROGRAMMING/PERSONAL/PYTHON/Image_Generator_API/imagenes/NAUTICA_CLASSICS_117009224_BLK_1.jpg")</f>
        <v/>
      </c>
      <c r="M1927">
        <f>IMAGE("file:///E:/Estudios%20y%20certificaciones/ESTUDIOS%20DE%20PROGRAMMING/PROGRAMMING/PERSONAL/PYTHON/Image_Generator_API/imagenes/NAUTICA_CLASSICS_117009224_BLK_2.jpg")</f>
        <v/>
      </c>
      <c r="N1927">
        <f>IMAGE("file:///E:/Estudios%20y%20certificaciones/ESTUDIOS%20DE%20PROGRAMMING/PROGRAMMING/PERSONAL/PYTHON/Image_Generator_API/imagenes/NAUTICA_CLASSICS_117009224_BLK_3.jpg")</f>
        <v/>
      </c>
      <c r="O1927">
        <f>HYPERLINK("imagenes/NAUTICA_CLASSICS_117009224_BLK_1.jpg","Ver imagen")</f>
        <v/>
      </c>
      <c r="P1927">
        <f>HYPERLINK("imagenes/NAUTICA_CLASSICS_117009224_BLK_2.jpg","Ver imagen")</f>
        <v/>
      </c>
      <c r="Q1927">
        <f>HYPERLINK("imagenes/NAUTICA_CLASSICS_117009224_BLK_3.jpg","Ver imagen")</f>
        <v/>
      </c>
    </row>
    <row r="1928">
      <c r="A1928" t="inlineStr">
        <is>
          <t>NAUTICA CLASSICS</t>
        </is>
      </c>
      <c r="B1928" t="inlineStr">
        <is>
          <t>117009224</t>
        </is>
      </c>
      <c r="C1928" t="inlineStr">
        <is>
          <t>32" STRETCH PUFFER</t>
        </is>
      </c>
      <c r="D1928" t="inlineStr">
        <is>
          <t>BLK</t>
        </is>
      </c>
      <c r="E1928" t="inlineStr">
        <is>
          <t>(en blanco)</t>
        </is>
      </c>
      <c r="F1928" t="inlineStr">
        <is>
          <t>D2C</t>
        </is>
      </c>
      <c r="G1928" t="inlineStr">
        <is>
          <t>M</t>
        </is>
      </c>
      <c r="H1928" t="n">
        <v>18</v>
      </c>
      <c r="I1928" t="inlineStr">
        <is>
          <t>NAUTICA_CLASSICS_117009224_BLK_1.jpg</t>
        </is>
      </c>
      <c r="J1928" t="inlineStr">
        <is>
          <t>NAUTICA_CLASSICS_117009224_BLK_2.jpg</t>
        </is>
      </c>
      <c r="K1928" t="inlineStr">
        <is>
          <t>NAUTICA_CLASSICS_117009224_BLK_3.jpg</t>
        </is>
      </c>
      <c r="L1928">
        <f>IMAGE("file:///E:/Estudios%20y%20certificaciones/ESTUDIOS%20DE%20PROGRAMMING/PROGRAMMING/PERSONAL/PYTHON/Image_Generator_API/imagenes/NAUTICA_CLASSICS_117009224_BLK_1.jpg")</f>
        <v/>
      </c>
      <c r="M1928">
        <f>IMAGE("file:///E:/Estudios%20y%20certificaciones/ESTUDIOS%20DE%20PROGRAMMING/PROGRAMMING/PERSONAL/PYTHON/Image_Generator_API/imagenes/NAUTICA_CLASSICS_117009224_BLK_2.jpg")</f>
        <v/>
      </c>
      <c r="N1928">
        <f>IMAGE("file:///E:/Estudios%20y%20certificaciones/ESTUDIOS%20DE%20PROGRAMMING/PROGRAMMING/PERSONAL/PYTHON/Image_Generator_API/imagenes/NAUTICA_CLASSICS_117009224_BLK_3.jpg")</f>
        <v/>
      </c>
      <c r="O1928">
        <f>HYPERLINK("imagenes/NAUTICA_CLASSICS_117009224_BLK_1.jpg","Ver imagen")</f>
        <v/>
      </c>
      <c r="P1928">
        <f>HYPERLINK("imagenes/NAUTICA_CLASSICS_117009224_BLK_2.jpg","Ver imagen")</f>
        <v/>
      </c>
      <c r="Q1928">
        <f>HYPERLINK("imagenes/NAUTICA_CLASSICS_117009224_BLK_3.jpg","Ver imagen")</f>
        <v/>
      </c>
    </row>
    <row r="1929">
      <c r="A1929" t="inlineStr">
        <is>
          <t>NAUTICA CLASSICS</t>
        </is>
      </c>
      <c r="B1929" t="inlineStr">
        <is>
          <t>117009224</t>
        </is>
      </c>
      <c r="C1929" t="inlineStr">
        <is>
          <t>32" STRETCH PUFFER</t>
        </is>
      </c>
      <c r="D1929" t="inlineStr">
        <is>
          <t>BLK</t>
        </is>
      </c>
      <c r="E1929" t="inlineStr">
        <is>
          <t>(en blanco)</t>
        </is>
      </c>
      <c r="F1929" t="inlineStr">
        <is>
          <t>D2C</t>
        </is>
      </c>
      <c r="G1929" t="inlineStr">
        <is>
          <t>L</t>
        </is>
      </c>
      <c r="H1929" t="n">
        <v>19</v>
      </c>
      <c r="I1929" t="inlineStr">
        <is>
          <t>NAUTICA_CLASSICS_117009224_BLK_1.jpg</t>
        </is>
      </c>
      <c r="J1929" t="inlineStr">
        <is>
          <t>NAUTICA_CLASSICS_117009224_BLK_2.jpg</t>
        </is>
      </c>
      <c r="K1929" t="inlineStr">
        <is>
          <t>NAUTICA_CLASSICS_117009224_BLK_3.jpg</t>
        </is>
      </c>
      <c r="L1929">
        <f>IMAGE("file:///E:/Estudios%20y%20certificaciones/ESTUDIOS%20DE%20PROGRAMMING/PROGRAMMING/PERSONAL/PYTHON/Image_Generator_API/imagenes/NAUTICA_CLASSICS_117009224_BLK_1.jpg")</f>
        <v/>
      </c>
      <c r="M1929">
        <f>IMAGE("file:///E:/Estudios%20y%20certificaciones/ESTUDIOS%20DE%20PROGRAMMING/PROGRAMMING/PERSONAL/PYTHON/Image_Generator_API/imagenes/NAUTICA_CLASSICS_117009224_BLK_2.jpg")</f>
        <v/>
      </c>
      <c r="N1929">
        <f>IMAGE("file:///E:/Estudios%20y%20certificaciones/ESTUDIOS%20DE%20PROGRAMMING/PROGRAMMING/PERSONAL/PYTHON/Image_Generator_API/imagenes/NAUTICA_CLASSICS_117009224_BLK_3.jpg")</f>
        <v/>
      </c>
      <c r="O1929">
        <f>HYPERLINK("imagenes/NAUTICA_CLASSICS_117009224_BLK_1.jpg","Ver imagen")</f>
        <v/>
      </c>
      <c r="P1929">
        <f>HYPERLINK("imagenes/NAUTICA_CLASSICS_117009224_BLK_2.jpg","Ver imagen")</f>
        <v/>
      </c>
      <c r="Q1929">
        <f>HYPERLINK("imagenes/NAUTICA_CLASSICS_117009224_BLK_3.jpg","Ver imagen")</f>
        <v/>
      </c>
    </row>
    <row r="1930">
      <c r="A1930" t="inlineStr">
        <is>
          <t>NAUTICA CLASSICS</t>
        </is>
      </c>
      <c r="B1930" t="inlineStr">
        <is>
          <t>117009224</t>
        </is>
      </c>
      <c r="C1930" t="inlineStr">
        <is>
          <t>32" STRETCH PUFFER</t>
        </is>
      </c>
      <c r="D1930" t="inlineStr">
        <is>
          <t>BLK</t>
        </is>
      </c>
      <c r="E1930" t="inlineStr">
        <is>
          <t>(en blanco)</t>
        </is>
      </c>
      <c r="F1930" t="inlineStr">
        <is>
          <t>D2C</t>
        </is>
      </c>
      <c r="G1930" t="inlineStr">
        <is>
          <t>XL</t>
        </is>
      </c>
      <c r="H1930" t="n">
        <v>8</v>
      </c>
      <c r="I1930" t="inlineStr">
        <is>
          <t>NAUTICA_CLASSICS_117009224_BLK_1.jpg</t>
        </is>
      </c>
      <c r="J1930" t="inlineStr">
        <is>
          <t>NAUTICA_CLASSICS_117009224_BLK_2.jpg</t>
        </is>
      </c>
      <c r="K1930" t="inlineStr">
        <is>
          <t>NAUTICA_CLASSICS_117009224_BLK_3.jpg</t>
        </is>
      </c>
      <c r="L1930">
        <f>IMAGE("file:///E:/Estudios%20y%20certificaciones/ESTUDIOS%20DE%20PROGRAMMING/PROGRAMMING/PERSONAL/PYTHON/Image_Generator_API/imagenes/NAUTICA_CLASSICS_117009224_BLK_1.jpg")</f>
        <v/>
      </c>
      <c r="M1930">
        <f>IMAGE("file:///E:/Estudios%20y%20certificaciones/ESTUDIOS%20DE%20PROGRAMMING/PROGRAMMING/PERSONAL/PYTHON/Image_Generator_API/imagenes/NAUTICA_CLASSICS_117009224_BLK_2.jpg")</f>
        <v/>
      </c>
      <c r="N1930">
        <f>IMAGE("file:///E:/Estudios%20y%20certificaciones/ESTUDIOS%20DE%20PROGRAMMING/PROGRAMMING/PERSONAL/PYTHON/Image_Generator_API/imagenes/NAUTICA_CLASSICS_117009224_BLK_3.jpg")</f>
        <v/>
      </c>
      <c r="O1930">
        <f>HYPERLINK("imagenes/NAUTICA_CLASSICS_117009224_BLK_1.jpg","Ver imagen")</f>
        <v/>
      </c>
      <c r="P1930">
        <f>HYPERLINK("imagenes/NAUTICA_CLASSICS_117009224_BLK_2.jpg","Ver imagen")</f>
        <v/>
      </c>
      <c r="Q1930">
        <f>HYPERLINK("imagenes/NAUTICA_CLASSICS_117009224_BLK_3.jpg","Ver imagen")</f>
        <v/>
      </c>
    </row>
    <row r="1931">
      <c r="A1931" t="inlineStr">
        <is>
          <t>NAUTICA CLASSICS</t>
        </is>
      </c>
      <c r="B1931" t="inlineStr">
        <is>
          <t>117009224</t>
        </is>
      </c>
      <c r="C1931" t="inlineStr">
        <is>
          <t>32" STRETCH PUFFER</t>
        </is>
      </c>
      <c r="D1931" t="inlineStr">
        <is>
          <t>BLK</t>
        </is>
      </c>
      <c r="E1931" t="inlineStr">
        <is>
          <t>(en blanco)</t>
        </is>
      </c>
      <c r="F1931" t="inlineStr">
        <is>
          <t>(en blanco)</t>
        </is>
      </c>
      <c r="G1931" t="inlineStr">
        <is>
          <t>XS</t>
        </is>
      </c>
      <c r="H1931" t="n">
        <v>5</v>
      </c>
      <c r="I1931" t="inlineStr">
        <is>
          <t>NAUTICA_CLASSICS_117009224_BLK_1.jpg</t>
        </is>
      </c>
      <c r="J1931" t="inlineStr">
        <is>
          <t>NAUTICA_CLASSICS_117009224_BLK_2.jpg</t>
        </is>
      </c>
      <c r="K1931" t="inlineStr">
        <is>
          <t>NAUTICA_CLASSICS_117009224_BLK_3.jpg</t>
        </is>
      </c>
      <c r="L1931">
        <f>IMAGE("file:///E:/Estudios%20y%20certificaciones/ESTUDIOS%20DE%20PROGRAMMING/PROGRAMMING/PERSONAL/PYTHON/Image_Generator_API/imagenes/NAUTICA_CLASSICS_117009224_BLK_1.jpg")</f>
        <v/>
      </c>
      <c r="M1931">
        <f>IMAGE("file:///E:/Estudios%20y%20certificaciones/ESTUDIOS%20DE%20PROGRAMMING/PROGRAMMING/PERSONAL/PYTHON/Image_Generator_API/imagenes/NAUTICA_CLASSICS_117009224_BLK_2.jpg")</f>
        <v/>
      </c>
      <c r="N1931">
        <f>IMAGE("file:///E:/Estudios%20y%20certificaciones/ESTUDIOS%20DE%20PROGRAMMING/PROGRAMMING/PERSONAL/PYTHON/Image_Generator_API/imagenes/NAUTICA_CLASSICS_117009224_BLK_3.jpg")</f>
        <v/>
      </c>
      <c r="O1931">
        <f>HYPERLINK("imagenes/NAUTICA_CLASSICS_117009224_BLK_1.jpg","Ver imagen")</f>
        <v/>
      </c>
      <c r="P1931">
        <f>HYPERLINK("imagenes/NAUTICA_CLASSICS_117009224_BLK_2.jpg","Ver imagen")</f>
        <v/>
      </c>
      <c r="Q1931">
        <f>HYPERLINK("imagenes/NAUTICA_CLASSICS_117009224_BLK_3.jpg","Ver imagen")</f>
        <v/>
      </c>
    </row>
    <row r="1932">
      <c r="A1932" t="inlineStr">
        <is>
          <t>NAUTICA CLASSICS</t>
        </is>
      </c>
      <c r="B1932" t="inlineStr">
        <is>
          <t>117009224</t>
        </is>
      </c>
      <c r="C1932" t="inlineStr">
        <is>
          <t>32" STRETCH PUFFER</t>
        </is>
      </c>
      <c r="D1932" t="inlineStr">
        <is>
          <t>BLK</t>
        </is>
      </c>
      <c r="E1932" t="inlineStr">
        <is>
          <t>(en blanco)</t>
        </is>
      </c>
      <c r="F1932" t="inlineStr">
        <is>
          <t>(en blanco)</t>
        </is>
      </c>
      <c r="G1932" t="inlineStr">
        <is>
          <t>S</t>
        </is>
      </c>
      <c r="H1932" t="n">
        <v>3</v>
      </c>
      <c r="I1932" t="inlineStr">
        <is>
          <t>NAUTICA_CLASSICS_117009224_BLK_1.jpg</t>
        </is>
      </c>
      <c r="J1932" t="inlineStr">
        <is>
          <t>NAUTICA_CLASSICS_117009224_BLK_2.jpg</t>
        </is>
      </c>
      <c r="K1932" t="inlineStr">
        <is>
          <t>NAUTICA_CLASSICS_117009224_BLK_3.jpg</t>
        </is>
      </c>
      <c r="L1932">
        <f>IMAGE("file:///E:/Estudios%20y%20certificaciones/ESTUDIOS%20DE%20PROGRAMMING/PROGRAMMING/PERSONAL/PYTHON/Image_Generator_API/imagenes/NAUTICA_CLASSICS_117009224_BLK_1.jpg")</f>
        <v/>
      </c>
      <c r="M1932">
        <f>IMAGE("file:///E:/Estudios%20y%20certificaciones/ESTUDIOS%20DE%20PROGRAMMING/PROGRAMMING/PERSONAL/PYTHON/Image_Generator_API/imagenes/NAUTICA_CLASSICS_117009224_BLK_2.jpg")</f>
        <v/>
      </c>
      <c r="N1932">
        <f>IMAGE("file:///E:/Estudios%20y%20certificaciones/ESTUDIOS%20DE%20PROGRAMMING/PROGRAMMING/PERSONAL/PYTHON/Image_Generator_API/imagenes/NAUTICA_CLASSICS_117009224_BLK_3.jpg")</f>
        <v/>
      </c>
      <c r="O1932">
        <f>HYPERLINK("imagenes/NAUTICA_CLASSICS_117009224_BLK_1.jpg","Ver imagen")</f>
        <v/>
      </c>
      <c r="P1932">
        <f>HYPERLINK("imagenes/NAUTICA_CLASSICS_117009224_BLK_2.jpg","Ver imagen")</f>
        <v/>
      </c>
      <c r="Q1932">
        <f>HYPERLINK("imagenes/NAUTICA_CLASSICS_117009224_BLK_3.jpg","Ver imagen")</f>
        <v/>
      </c>
    </row>
    <row r="1933">
      <c r="A1933" t="inlineStr">
        <is>
          <t>NAUTICA CLASSICS</t>
        </is>
      </c>
      <c r="B1933" t="inlineStr">
        <is>
          <t>117009224</t>
        </is>
      </c>
      <c r="C1933" t="inlineStr">
        <is>
          <t>32" STRETCH PUFFER</t>
        </is>
      </c>
      <c r="D1933" t="inlineStr">
        <is>
          <t>BLK</t>
        </is>
      </c>
      <c r="E1933" t="inlineStr">
        <is>
          <t>(en blanco)</t>
        </is>
      </c>
      <c r="F1933" t="inlineStr">
        <is>
          <t>(en blanco)</t>
        </is>
      </c>
      <c r="G1933" t="inlineStr">
        <is>
          <t>M</t>
        </is>
      </c>
      <c r="H1933" t="n">
        <v>16</v>
      </c>
      <c r="I1933" t="inlineStr">
        <is>
          <t>NAUTICA_CLASSICS_117009224_BLK_1.jpg</t>
        </is>
      </c>
      <c r="J1933" t="inlineStr">
        <is>
          <t>NAUTICA_CLASSICS_117009224_BLK_2.jpg</t>
        </is>
      </c>
      <c r="K1933" t="inlineStr">
        <is>
          <t>NAUTICA_CLASSICS_117009224_BLK_3.jpg</t>
        </is>
      </c>
      <c r="L1933">
        <f>IMAGE("file:///E:/Estudios%20y%20certificaciones/ESTUDIOS%20DE%20PROGRAMMING/PROGRAMMING/PERSONAL/PYTHON/Image_Generator_API/imagenes/NAUTICA_CLASSICS_117009224_BLK_1.jpg")</f>
        <v/>
      </c>
      <c r="M1933">
        <f>IMAGE("file:///E:/Estudios%20y%20certificaciones/ESTUDIOS%20DE%20PROGRAMMING/PROGRAMMING/PERSONAL/PYTHON/Image_Generator_API/imagenes/NAUTICA_CLASSICS_117009224_BLK_2.jpg")</f>
        <v/>
      </c>
      <c r="N1933">
        <f>IMAGE("file:///E:/Estudios%20y%20certificaciones/ESTUDIOS%20DE%20PROGRAMMING/PROGRAMMING/PERSONAL/PYTHON/Image_Generator_API/imagenes/NAUTICA_CLASSICS_117009224_BLK_3.jpg")</f>
        <v/>
      </c>
      <c r="O1933">
        <f>HYPERLINK("imagenes/NAUTICA_CLASSICS_117009224_BLK_1.jpg","Ver imagen")</f>
        <v/>
      </c>
      <c r="P1933">
        <f>HYPERLINK("imagenes/NAUTICA_CLASSICS_117009224_BLK_2.jpg","Ver imagen")</f>
        <v/>
      </c>
      <c r="Q1933">
        <f>HYPERLINK("imagenes/NAUTICA_CLASSICS_117009224_BLK_3.jpg","Ver imagen")</f>
        <v/>
      </c>
    </row>
    <row r="1934">
      <c r="A1934" t="inlineStr">
        <is>
          <t>NAUTICA CLASSICS</t>
        </is>
      </c>
      <c r="B1934" t="inlineStr">
        <is>
          <t>117009224</t>
        </is>
      </c>
      <c r="C1934" t="inlineStr">
        <is>
          <t>32" STRETCH PUFFER</t>
        </is>
      </c>
      <c r="D1934" t="inlineStr">
        <is>
          <t>BLK</t>
        </is>
      </c>
      <c r="E1934" t="inlineStr">
        <is>
          <t>(en blanco)</t>
        </is>
      </c>
      <c r="F1934" t="inlineStr">
        <is>
          <t>(en blanco)</t>
        </is>
      </c>
      <c r="G1934" t="inlineStr">
        <is>
          <t>L</t>
        </is>
      </c>
      <c r="H1934" t="n">
        <v>11</v>
      </c>
      <c r="I1934" t="inlineStr">
        <is>
          <t>NAUTICA_CLASSICS_117009224_BLK_1.jpg</t>
        </is>
      </c>
      <c r="J1934" t="inlineStr">
        <is>
          <t>NAUTICA_CLASSICS_117009224_BLK_2.jpg</t>
        </is>
      </c>
      <c r="K1934" t="inlineStr">
        <is>
          <t>NAUTICA_CLASSICS_117009224_BLK_3.jpg</t>
        </is>
      </c>
      <c r="L1934">
        <f>IMAGE("file:///E:/Estudios%20y%20certificaciones/ESTUDIOS%20DE%20PROGRAMMING/PROGRAMMING/PERSONAL/PYTHON/Image_Generator_API/imagenes/NAUTICA_CLASSICS_117009224_BLK_1.jpg")</f>
        <v/>
      </c>
      <c r="M1934">
        <f>IMAGE("file:///E:/Estudios%20y%20certificaciones/ESTUDIOS%20DE%20PROGRAMMING/PROGRAMMING/PERSONAL/PYTHON/Image_Generator_API/imagenes/NAUTICA_CLASSICS_117009224_BLK_2.jpg")</f>
        <v/>
      </c>
      <c r="N1934">
        <f>IMAGE("file:///E:/Estudios%20y%20certificaciones/ESTUDIOS%20DE%20PROGRAMMING/PROGRAMMING/PERSONAL/PYTHON/Image_Generator_API/imagenes/NAUTICA_CLASSICS_117009224_BLK_3.jpg")</f>
        <v/>
      </c>
      <c r="O1934">
        <f>HYPERLINK("imagenes/NAUTICA_CLASSICS_117009224_BLK_1.jpg","Ver imagen")</f>
        <v/>
      </c>
      <c r="P1934">
        <f>HYPERLINK("imagenes/NAUTICA_CLASSICS_117009224_BLK_2.jpg","Ver imagen")</f>
        <v/>
      </c>
      <c r="Q1934">
        <f>HYPERLINK("imagenes/NAUTICA_CLASSICS_117009224_BLK_3.jpg","Ver imagen")</f>
        <v/>
      </c>
    </row>
    <row r="1935">
      <c r="A1935" t="inlineStr">
        <is>
          <t>NAUTICA CLASSICS</t>
        </is>
      </c>
      <c r="B1935" t="inlineStr">
        <is>
          <t>117009224</t>
        </is>
      </c>
      <c r="C1935" t="inlineStr">
        <is>
          <t>32" STRETCH PUFFER</t>
        </is>
      </c>
      <c r="D1935" t="inlineStr">
        <is>
          <t>PLF</t>
        </is>
      </c>
      <c r="E1935" t="inlineStr">
        <is>
          <t>07A08</t>
        </is>
      </c>
      <c r="F1935" t="inlineStr">
        <is>
          <t>B2230</t>
        </is>
      </c>
      <c r="G1935" t="inlineStr">
        <is>
          <t>PPK</t>
        </is>
      </c>
      <c r="H1935" t="n">
        <v>0</v>
      </c>
      <c r="I1935" t="inlineStr">
        <is>
          <t>NAUTICA_CLASSICS_117009224_PLF_1.jpg</t>
        </is>
      </c>
      <c r="J1935" t="inlineStr">
        <is>
          <t>NAUTICA_CLASSICS_117009224_PLF_2.jpg</t>
        </is>
      </c>
      <c r="K1935" t="inlineStr">
        <is>
          <t>NAUTICA_CLASSICS_117009224_PLF_3.jpg</t>
        </is>
      </c>
      <c r="L1935">
        <f>IMAGE("file:///E:/Estudios%20y%20certificaciones/ESTUDIOS%20DE%20PROGRAMMING/PROGRAMMING/PERSONAL/PYTHON/Image_Generator_API/imagenes/NAUTICA_CLASSICS_117009224_PLF_1.jpg")</f>
        <v/>
      </c>
      <c r="M1935">
        <f>IMAGE("file:///E:/Estudios%20y%20certificaciones/ESTUDIOS%20DE%20PROGRAMMING/PROGRAMMING/PERSONAL/PYTHON/Image_Generator_API/imagenes/NAUTICA_CLASSICS_117009224_PLF_2.jpg")</f>
        <v/>
      </c>
      <c r="N1935">
        <f>IMAGE("file:///E:/Estudios%20y%20certificaciones/ESTUDIOS%20DE%20PROGRAMMING/PROGRAMMING/PERSONAL/PYTHON/Image_Generator_API/imagenes/NAUTICA_CLASSICS_117009224_PLF_3.jpg")</f>
        <v/>
      </c>
      <c r="O1935">
        <f>HYPERLINK("imagenes/NAUTICA_CLASSICS_117009224_PLF_1.jpg","Ver imagen")</f>
        <v/>
      </c>
      <c r="P1935">
        <f>HYPERLINK("imagenes/NAUTICA_CLASSICS_117009224_PLF_2.jpg","Ver imagen")</f>
        <v/>
      </c>
      <c r="Q1935">
        <f>HYPERLINK("imagenes/NAUTICA_CLASSICS_117009224_PLF_3.jpg","Ver imagen")</f>
        <v/>
      </c>
    </row>
    <row r="1936">
      <c r="A1936" t="inlineStr">
        <is>
          <t>NAUTICA CLASSICS</t>
        </is>
      </c>
      <c r="B1936" t="inlineStr">
        <is>
          <t>117009224</t>
        </is>
      </c>
      <c r="C1936" t="inlineStr">
        <is>
          <t>32" STRETCH PUFFER</t>
        </is>
      </c>
      <c r="D1936" t="inlineStr">
        <is>
          <t>PLF</t>
        </is>
      </c>
      <c r="E1936" t="inlineStr">
        <is>
          <t>(en blanco)</t>
        </is>
      </c>
      <c r="F1936" t="inlineStr">
        <is>
          <t>(en blanco)</t>
        </is>
      </c>
      <c r="G1936" t="inlineStr">
        <is>
          <t>XS</t>
        </is>
      </c>
      <c r="H1936" t="n">
        <v>5</v>
      </c>
      <c r="I1936" t="inlineStr">
        <is>
          <t>NAUTICA_CLASSICS_117009224_PLF_1.jpg</t>
        </is>
      </c>
      <c r="J1936" t="inlineStr">
        <is>
          <t>NAUTICA_CLASSICS_117009224_PLF_2.jpg</t>
        </is>
      </c>
      <c r="K1936" t="inlineStr">
        <is>
          <t>NAUTICA_CLASSICS_117009224_PLF_3.jpg</t>
        </is>
      </c>
      <c r="L1936">
        <f>IMAGE("file:///E:/Estudios%20y%20certificaciones/ESTUDIOS%20DE%20PROGRAMMING/PROGRAMMING/PERSONAL/PYTHON/Image_Generator_API/imagenes/NAUTICA_CLASSICS_117009224_PLF_1.jpg")</f>
        <v/>
      </c>
      <c r="M1936">
        <f>IMAGE("file:///E:/Estudios%20y%20certificaciones/ESTUDIOS%20DE%20PROGRAMMING/PROGRAMMING/PERSONAL/PYTHON/Image_Generator_API/imagenes/NAUTICA_CLASSICS_117009224_PLF_2.jpg")</f>
        <v/>
      </c>
      <c r="N1936">
        <f>IMAGE("file:///E:/Estudios%20y%20certificaciones/ESTUDIOS%20DE%20PROGRAMMING/PROGRAMMING/PERSONAL/PYTHON/Image_Generator_API/imagenes/NAUTICA_CLASSICS_117009224_PLF_3.jpg")</f>
        <v/>
      </c>
      <c r="O1936">
        <f>HYPERLINK("imagenes/NAUTICA_CLASSICS_117009224_PLF_1.jpg","Ver imagen")</f>
        <v/>
      </c>
      <c r="P1936">
        <f>HYPERLINK("imagenes/NAUTICA_CLASSICS_117009224_PLF_2.jpg","Ver imagen")</f>
        <v/>
      </c>
      <c r="Q1936">
        <f>HYPERLINK("imagenes/NAUTICA_CLASSICS_117009224_PLF_3.jpg","Ver imagen")</f>
        <v/>
      </c>
    </row>
    <row r="1937">
      <c r="A1937" t="inlineStr">
        <is>
          <t>NAUTICA CLASSICS</t>
        </is>
      </c>
      <c r="B1937" t="inlineStr">
        <is>
          <t>117009224</t>
        </is>
      </c>
      <c r="C1937" t="inlineStr">
        <is>
          <t>32" STRETCH PUFFER</t>
        </is>
      </c>
      <c r="D1937" t="inlineStr">
        <is>
          <t>PLF</t>
        </is>
      </c>
      <c r="E1937" t="inlineStr">
        <is>
          <t>(en blanco)</t>
        </is>
      </c>
      <c r="F1937" t="inlineStr">
        <is>
          <t>(en blanco)</t>
        </is>
      </c>
      <c r="G1937" t="inlineStr">
        <is>
          <t>S</t>
        </is>
      </c>
      <c r="H1937" t="n">
        <v>4</v>
      </c>
      <c r="I1937" t="inlineStr">
        <is>
          <t>NAUTICA_CLASSICS_117009224_PLF_1.jpg</t>
        </is>
      </c>
      <c r="J1937" t="inlineStr">
        <is>
          <t>NAUTICA_CLASSICS_117009224_PLF_2.jpg</t>
        </is>
      </c>
      <c r="K1937" t="inlineStr">
        <is>
          <t>NAUTICA_CLASSICS_117009224_PLF_3.jpg</t>
        </is>
      </c>
      <c r="L1937">
        <f>IMAGE("file:///E:/Estudios%20y%20certificaciones/ESTUDIOS%20DE%20PROGRAMMING/PROGRAMMING/PERSONAL/PYTHON/Image_Generator_API/imagenes/NAUTICA_CLASSICS_117009224_PLF_1.jpg")</f>
        <v/>
      </c>
      <c r="M1937">
        <f>IMAGE("file:///E:/Estudios%20y%20certificaciones/ESTUDIOS%20DE%20PROGRAMMING/PROGRAMMING/PERSONAL/PYTHON/Image_Generator_API/imagenes/NAUTICA_CLASSICS_117009224_PLF_2.jpg")</f>
        <v/>
      </c>
      <c r="N1937">
        <f>IMAGE("file:///E:/Estudios%20y%20certificaciones/ESTUDIOS%20DE%20PROGRAMMING/PROGRAMMING/PERSONAL/PYTHON/Image_Generator_API/imagenes/NAUTICA_CLASSICS_117009224_PLF_3.jpg")</f>
        <v/>
      </c>
      <c r="O1937">
        <f>HYPERLINK("imagenes/NAUTICA_CLASSICS_117009224_PLF_1.jpg","Ver imagen")</f>
        <v/>
      </c>
      <c r="P1937">
        <f>HYPERLINK("imagenes/NAUTICA_CLASSICS_117009224_PLF_2.jpg","Ver imagen")</f>
        <v/>
      </c>
      <c r="Q1937">
        <f>HYPERLINK("imagenes/NAUTICA_CLASSICS_117009224_PLF_3.jpg","Ver imagen")</f>
        <v/>
      </c>
    </row>
    <row r="1938">
      <c r="A1938" t="inlineStr">
        <is>
          <t>NAUTICA CLASSICS</t>
        </is>
      </c>
      <c r="B1938" t="inlineStr">
        <is>
          <t>117009224</t>
        </is>
      </c>
      <c r="C1938" t="inlineStr">
        <is>
          <t>32" STRETCH PUFFER</t>
        </is>
      </c>
      <c r="D1938" t="inlineStr">
        <is>
          <t>PLF</t>
        </is>
      </c>
      <c r="E1938" t="inlineStr">
        <is>
          <t>(en blanco)</t>
        </is>
      </c>
      <c r="F1938" t="inlineStr">
        <is>
          <t>(en blanco)</t>
        </is>
      </c>
      <c r="G1938" t="inlineStr">
        <is>
          <t>M</t>
        </is>
      </c>
      <c r="H1938" t="n">
        <v>8</v>
      </c>
      <c r="I1938" t="inlineStr">
        <is>
          <t>NAUTICA_CLASSICS_117009224_PLF_1.jpg</t>
        </is>
      </c>
      <c r="J1938" t="inlineStr">
        <is>
          <t>NAUTICA_CLASSICS_117009224_PLF_2.jpg</t>
        </is>
      </c>
      <c r="K1938" t="inlineStr">
        <is>
          <t>NAUTICA_CLASSICS_117009224_PLF_3.jpg</t>
        </is>
      </c>
      <c r="L1938">
        <f>IMAGE("file:///E:/Estudios%20y%20certificaciones/ESTUDIOS%20DE%20PROGRAMMING/PROGRAMMING/PERSONAL/PYTHON/Image_Generator_API/imagenes/NAUTICA_CLASSICS_117009224_PLF_1.jpg")</f>
        <v/>
      </c>
      <c r="M1938">
        <f>IMAGE("file:///E:/Estudios%20y%20certificaciones/ESTUDIOS%20DE%20PROGRAMMING/PROGRAMMING/PERSONAL/PYTHON/Image_Generator_API/imagenes/NAUTICA_CLASSICS_117009224_PLF_2.jpg")</f>
        <v/>
      </c>
      <c r="N1938">
        <f>IMAGE("file:///E:/Estudios%20y%20certificaciones/ESTUDIOS%20DE%20PROGRAMMING/PROGRAMMING/PERSONAL/PYTHON/Image_Generator_API/imagenes/NAUTICA_CLASSICS_117009224_PLF_3.jpg")</f>
        <v/>
      </c>
      <c r="O1938">
        <f>HYPERLINK("imagenes/NAUTICA_CLASSICS_117009224_PLF_1.jpg","Ver imagen")</f>
        <v/>
      </c>
      <c r="P1938">
        <f>HYPERLINK("imagenes/NAUTICA_CLASSICS_117009224_PLF_2.jpg","Ver imagen")</f>
        <v/>
      </c>
      <c r="Q1938">
        <f>HYPERLINK("imagenes/NAUTICA_CLASSICS_117009224_PLF_3.jpg","Ver imagen")</f>
        <v/>
      </c>
    </row>
    <row r="1939">
      <c r="A1939" t="inlineStr">
        <is>
          <t>NAUTICA CLASSICS</t>
        </is>
      </c>
      <c r="B1939" t="inlineStr">
        <is>
          <t>117009224</t>
        </is>
      </c>
      <c r="C1939" t="inlineStr">
        <is>
          <t>32" STRETCH PUFFER</t>
        </is>
      </c>
      <c r="D1939" t="inlineStr">
        <is>
          <t>PLF</t>
        </is>
      </c>
      <c r="E1939" t="inlineStr">
        <is>
          <t>(en blanco)</t>
        </is>
      </c>
      <c r="F1939" t="inlineStr">
        <is>
          <t>(en blanco)</t>
        </is>
      </c>
      <c r="G1939" t="inlineStr">
        <is>
          <t>L</t>
        </is>
      </c>
      <c r="H1939" t="n">
        <v>5</v>
      </c>
      <c r="I1939" t="inlineStr">
        <is>
          <t>NAUTICA_CLASSICS_117009224_PLF_1.jpg</t>
        </is>
      </c>
      <c r="J1939" t="inlineStr">
        <is>
          <t>NAUTICA_CLASSICS_117009224_PLF_2.jpg</t>
        </is>
      </c>
      <c r="K1939" t="inlineStr">
        <is>
          <t>NAUTICA_CLASSICS_117009224_PLF_3.jpg</t>
        </is>
      </c>
      <c r="L1939">
        <f>IMAGE("file:///E:/Estudios%20y%20certificaciones/ESTUDIOS%20DE%20PROGRAMMING/PROGRAMMING/PERSONAL/PYTHON/Image_Generator_API/imagenes/NAUTICA_CLASSICS_117009224_PLF_1.jpg")</f>
        <v/>
      </c>
      <c r="M1939">
        <f>IMAGE("file:///E:/Estudios%20y%20certificaciones/ESTUDIOS%20DE%20PROGRAMMING/PROGRAMMING/PERSONAL/PYTHON/Image_Generator_API/imagenes/NAUTICA_CLASSICS_117009224_PLF_2.jpg")</f>
        <v/>
      </c>
      <c r="N1939">
        <f>IMAGE("file:///E:/Estudios%20y%20certificaciones/ESTUDIOS%20DE%20PROGRAMMING/PROGRAMMING/PERSONAL/PYTHON/Image_Generator_API/imagenes/NAUTICA_CLASSICS_117009224_PLF_3.jpg")</f>
        <v/>
      </c>
      <c r="O1939">
        <f>HYPERLINK("imagenes/NAUTICA_CLASSICS_117009224_PLF_1.jpg","Ver imagen")</f>
        <v/>
      </c>
      <c r="P1939">
        <f>HYPERLINK("imagenes/NAUTICA_CLASSICS_117009224_PLF_2.jpg","Ver imagen")</f>
        <v/>
      </c>
      <c r="Q1939">
        <f>HYPERLINK("imagenes/NAUTICA_CLASSICS_117009224_PLF_3.jpg","Ver imagen")</f>
        <v/>
      </c>
    </row>
    <row r="1940">
      <c r="A1940" t="inlineStr">
        <is>
          <t>NAUTICA CLASSICS</t>
        </is>
      </c>
      <c r="B1940" t="inlineStr">
        <is>
          <t>117009224</t>
        </is>
      </c>
      <c r="C1940" t="inlineStr">
        <is>
          <t>32" STRETCH PUFFER</t>
        </is>
      </c>
      <c r="D1940" t="inlineStr">
        <is>
          <t>ZCR</t>
        </is>
      </c>
      <c r="E1940" t="inlineStr">
        <is>
          <t>07A08</t>
        </is>
      </c>
      <c r="F1940" t="inlineStr">
        <is>
          <t>B2230</t>
        </is>
      </c>
      <c r="G1940" t="inlineStr">
        <is>
          <t>PPK</t>
        </is>
      </c>
      <c r="H1940" t="n">
        <v>0</v>
      </c>
      <c r="I1940" t="inlineStr">
        <is>
          <t>NAUTICA_CLASSICS_117009224_ZCR_1.jpg</t>
        </is>
      </c>
      <c r="J1940" t="inlineStr">
        <is>
          <t>NAUTICA_CLASSICS_117009224_ZCR_2.jpg</t>
        </is>
      </c>
      <c r="K1940" t="inlineStr">
        <is>
          <t>NAUTICA_CLASSICS_117009224_ZCR_3.jpg</t>
        </is>
      </c>
      <c r="L1940">
        <f>IMAGE("file:///E:/Estudios%20y%20certificaciones/ESTUDIOS%20DE%20PROGRAMMING/PROGRAMMING/PERSONAL/PYTHON/Image_Generator_API/imagenes/NAUTICA_CLASSICS_117009224_ZCR_1.jpg")</f>
        <v/>
      </c>
      <c r="M1940">
        <f>IMAGE("file:///E:/Estudios%20y%20certificaciones/ESTUDIOS%20DE%20PROGRAMMING/PROGRAMMING/PERSONAL/PYTHON/Image_Generator_API/imagenes/NAUTICA_CLASSICS_117009224_ZCR_2.jpg")</f>
        <v/>
      </c>
      <c r="N1940">
        <f>IMAGE("file:///E:/Estudios%20y%20certificaciones/ESTUDIOS%20DE%20PROGRAMMING/PROGRAMMING/PERSONAL/PYTHON/Image_Generator_API/imagenes/NAUTICA_CLASSICS_117009224_ZCR_3.jpg")</f>
        <v/>
      </c>
      <c r="O1940">
        <f>HYPERLINK("imagenes/NAUTICA_CLASSICS_117009224_ZCR_1.jpg","Ver imagen")</f>
        <v/>
      </c>
      <c r="P1940">
        <f>HYPERLINK("imagenes/NAUTICA_CLASSICS_117009224_ZCR_2.jpg","Ver imagen")</f>
        <v/>
      </c>
      <c r="Q1940">
        <f>HYPERLINK("imagenes/NAUTICA_CLASSICS_117009224_ZCR_3.jpg","Ver imagen")</f>
        <v/>
      </c>
    </row>
    <row r="1941">
      <c r="A1941" t="inlineStr">
        <is>
          <t>NAUTICA CLASSICS</t>
        </is>
      </c>
      <c r="B1941" t="inlineStr">
        <is>
          <t>117009224</t>
        </is>
      </c>
      <c r="C1941" t="inlineStr">
        <is>
          <t>32" STRETCH PUFFER</t>
        </is>
      </c>
      <c r="D1941" t="inlineStr">
        <is>
          <t>ZCR</t>
        </is>
      </c>
      <c r="E1941" t="inlineStr">
        <is>
          <t>(en blanco)</t>
        </is>
      </c>
      <c r="F1941" t="inlineStr">
        <is>
          <t>D2C</t>
        </is>
      </c>
      <c r="G1941" t="inlineStr">
        <is>
          <t>XS</t>
        </is>
      </c>
      <c r="H1941" t="n">
        <v>10</v>
      </c>
      <c r="I1941" t="inlineStr">
        <is>
          <t>NAUTICA_CLASSICS_117009224_ZCR_1.jpg</t>
        </is>
      </c>
      <c r="J1941" t="inlineStr">
        <is>
          <t>NAUTICA_CLASSICS_117009224_ZCR_2.jpg</t>
        </is>
      </c>
      <c r="K1941" t="inlineStr">
        <is>
          <t>NAUTICA_CLASSICS_117009224_ZCR_3.jpg</t>
        </is>
      </c>
      <c r="L1941">
        <f>IMAGE("file:///E:/Estudios%20y%20certificaciones/ESTUDIOS%20DE%20PROGRAMMING/PROGRAMMING/PERSONAL/PYTHON/Image_Generator_API/imagenes/NAUTICA_CLASSICS_117009224_ZCR_1.jpg")</f>
        <v/>
      </c>
      <c r="M1941">
        <f>IMAGE("file:///E:/Estudios%20y%20certificaciones/ESTUDIOS%20DE%20PROGRAMMING/PROGRAMMING/PERSONAL/PYTHON/Image_Generator_API/imagenes/NAUTICA_CLASSICS_117009224_ZCR_2.jpg")</f>
        <v/>
      </c>
      <c r="N1941">
        <f>IMAGE("file:///E:/Estudios%20y%20certificaciones/ESTUDIOS%20DE%20PROGRAMMING/PROGRAMMING/PERSONAL/PYTHON/Image_Generator_API/imagenes/NAUTICA_CLASSICS_117009224_ZCR_3.jpg")</f>
        <v/>
      </c>
      <c r="O1941">
        <f>HYPERLINK("imagenes/NAUTICA_CLASSICS_117009224_ZCR_1.jpg","Ver imagen")</f>
        <v/>
      </c>
      <c r="P1941">
        <f>HYPERLINK("imagenes/NAUTICA_CLASSICS_117009224_ZCR_2.jpg","Ver imagen")</f>
        <v/>
      </c>
      <c r="Q1941">
        <f>HYPERLINK("imagenes/NAUTICA_CLASSICS_117009224_ZCR_3.jpg","Ver imagen")</f>
        <v/>
      </c>
    </row>
    <row r="1942">
      <c r="A1942" t="inlineStr">
        <is>
          <t>NAUTICA CLASSICS</t>
        </is>
      </c>
      <c r="B1942" t="inlineStr">
        <is>
          <t>117009224</t>
        </is>
      </c>
      <c r="C1942" t="inlineStr">
        <is>
          <t>32" STRETCH PUFFER</t>
        </is>
      </c>
      <c r="D1942" t="inlineStr">
        <is>
          <t>ZCR</t>
        </is>
      </c>
      <c r="E1942" t="inlineStr">
        <is>
          <t>(en blanco)</t>
        </is>
      </c>
      <c r="F1942" t="inlineStr">
        <is>
          <t>D2C</t>
        </is>
      </c>
      <c r="G1942" t="inlineStr">
        <is>
          <t>S</t>
        </is>
      </c>
      <c r="H1942" t="n">
        <v>20</v>
      </c>
      <c r="I1942" t="inlineStr">
        <is>
          <t>NAUTICA_CLASSICS_117009224_ZCR_1.jpg</t>
        </is>
      </c>
      <c r="J1942" t="inlineStr">
        <is>
          <t>NAUTICA_CLASSICS_117009224_ZCR_2.jpg</t>
        </is>
      </c>
      <c r="K1942" t="inlineStr">
        <is>
          <t>NAUTICA_CLASSICS_117009224_ZCR_3.jpg</t>
        </is>
      </c>
      <c r="L1942">
        <f>IMAGE("file:///E:/Estudios%20y%20certificaciones/ESTUDIOS%20DE%20PROGRAMMING/PROGRAMMING/PERSONAL/PYTHON/Image_Generator_API/imagenes/NAUTICA_CLASSICS_117009224_ZCR_1.jpg")</f>
        <v/>
      </c>
      <c r="M1942">
        <f>IMAGE("file:///E:/Estudios%20y%20certificaciones/ESTUDIOS%20DE%20PROGRAMMING/PROGRAMMING/PERSONAL/PYTHON/Image_Generator_API/imagenes/NAUTICA_CLASSICS_117009224_ZCR_2.jpg")</f>
        <v/>
      </c>
      <c r="N1942">
        <f>IMAGE("file:///E:/Estudios%20y%20certificaciones/ESTUDIOS%20DE%20PROGRAMMING/PROGRAMMING/PERSONAL/PYTHON/Image_Generator_API/imagenes/NAUTICA_CLASSICS_117009224_ZCR_3.jpg")</f>
        <v/>
      </c>
      <c r="O1942">
        <f>HYPERLINK("imagenes/NAUTICA_CLASSICS_117009224_ZCR_1.jpg","Ver imagen")</f>
        <v/>
      </c>
      <c r="P1942">
        <f>HYPERLINK("imagenes/NAUTICA_CLASSICS_117009224_ZCR_2.jpg","Ver imagen")</f>
        <v/>
      </c>
      <c r="Q1942">
        <f>HYPERLINK("imagenes/NAUTICA_CLASSICS_117009224_ZCR_3.jpg","Ver imagen")</f>
        <v/>
      </c>
    </row>
    <row r="1943">
      <c r="A1943" t="inlineStr">
        <is>
          <t>NAUTICA CLASSICS</t>
        </is>
      </c>
      <c r="B1943" t="inlineStr">
        <is>
          <t>117009224</t>
        </is>
      </c>
      <c r="C1943" t="inlineStr">
        <is>
          <t>32" STRETCH PUFFER</t>
        </is>
      </c>
      <c r="D1943" t="inlineStr">
        <is>
          <t>ZCR</t>
        </is>
      </c>
      <c r="E1943" t="inlineStr">
        <is>
          <t>(en blanco)</t>
        </is>
      </c>
      <c r="F1943" t="inlineStr">
        <is>
          <t>D2C</t>
        </is>
      </c>
      <c r="G1943" t="inlineStr">
        <is>
          <t>M</t>
        </is>
      </c>
      <c r="H1943" t="n">
        <v>18</v>
      </c>
      <c r="I1943" t="inlineStr">
        <is>
          <t>NAUTICA_CLASSICS_117009224_ZCR_1.jpg</t>
        </is>
      </c>
      <c r="J1943" t="inlineStr">
        <is>
          <t>NAUTICA_CLASSICS_117009224_ZCR_2.jpg</t>
        </is>
      </c>
      <c r="K1943" t="inlineStr">
        <is>
          <t>NAUTICA_CLASSICS_117009224_ZCR_3.jpg</t>
        </is>
      </c>
      <c r="L1943">
        <f>IMAGE("file:///E:/Estudios%20y%20certificaciones/ESTUDIOS%20DE%20PROGRAMMING/PROGRAMMING/PERSONAL/PYTHON/Image_Generator_API/imagenes/NAUTICA_CLASSICS_117009224_ZCR_1.jpg")</f>
        <v/>
      </c>
      <c r="M1943">
        <f>IMAGE("file:///E:/Estudios%20y%20certificaciones/ESTUDIOS%20DE%20PROGRAMMING/PROGRAMMING/PERSONAL/PYTHON/Image_Generator_API/imagenes/NAUTICA_CLASSICS_117009224_ZCR_2.jpg")</f>
        <v/>
      </c>
      <c r="N1943">
        <f>IMAGE("file:///E:/Estudios%20y%20certificaciones/ESTUDIOS%20DE%20PROGRAMMING/PROGRAMMING/PERSONAL/PYTHON/Image_Generator_API/imagenes/NAUTICA_CLASSICS_117009224_ZCR_3.jpg")</f>
        <v/>
      </c>
      <c r="O1943">
        <f>HYPERLINK("imagenes/NAUTICA_CLASSICS_117009224_ZCR_1.jpg","Ver imagen")</f>
        <v/>
      </c>
      <c r="P1943">
        <f>HYPERLINK("imagenes/NAUTICA_CLASSICS_117009224_ZCR_2.jpg","Ver imagen")</f>
        <v/>
      </c>
      <c r="Q1943">
        <f>HYPERLINK("imagenes/NAUTICA_CLASSICS_117009224_ZCR_3.jpg","Ver imagen")</f>
        <v/>
      </c>
    </row>
    <row r="1944">
      <c r="A1944" t="inlineStr">
        <is>
          <t>NAUTICA CLASSICS</t>
        </is>
      </c>
      <c r="B1944" t="inlineStr">
        <is>
          <t>117009224</t>
        </is>
      </c>
      <c r="C1944" t="inlineStr">
        <is>
          <t>32" STRETCH PUFFER</t>
        </is>
      </c>
      <c r="D1944" t="inlineStr">
        <is>
          <t>ZCR</t>
        </is>
      </c>
      <c r="E1944" t="inlineStr">
        <is>
          <t>(en blanco)</t>
        </is>
      </c>
      <c r="F1944" t="inlineStr">
        <is>
          <t>D2C</t>
        </is>
      </c>
      <c r="G1944" t="inlineStr">
        <is>
          <t>L</t>
        </is>
      </c>
      <c r="H1944" t="n">
        <v>20</v>
      </c>
      <c r="I1944" t="inlineStr">
        <is>
          <t>NAUTICA_CLASSICS_117009224_ZCR_1.jpg</t>
        </is>
      </c>
      <c r="J1944" t="inlineStr">
        <is>
          <t>NAUTICA_CLASSICS_117009224_ZCR_2.jpg</t>
        </is>
      </c>
      <c r="K1944" t="inlineStr">
        <is>
          <t>NAUTICA_CLASSICS_117009224_ZCR_3.jpg</t>
        </is>
      </c>
      <c r="L1944">
        <f>IMAGE("file:///E:/Estudios%20y%20certificaciones/ESTUDIOS%20DE%20PROGRAMMING/PROGRAMMING/PERSONAL/PYTHON/Image_Generator_API/imagenes/NAUTICA_CLASSICS_117009224_ZCR_1.jpg")</f>
        <v/>
      </c>
      <c r="M1944">
        <f>IMAGE("file:///E:/Estudios%20y%20certificaciones/ESTUDIOS%20DE%20PROGRAMMING/PROGRAMMING/PERSONAL/PYTHON/Image_Generator_API/imagenes/NAUTICA_CLASSICS_117009224_ZCR_2.jpg")</f>
        <v/>
      </c>
      <c r="N1944">
        <f>IMAGE("file:///E:/Estudios%20y%20certificaciones/ESTUDIOS%20DE%20PROGRAMMING/PROGRAMMING/PERSONAL/PYTHON/Image_Generator_API/imagenes/NAUTICA_CLASSICS_117009224_ZCR_3.jpg")</f>
        <v/>
      </c>
      <c r="O1944">
        <f>HYPERLINK("imagenes/NAUTICA_CLASSICS_117009224_ZCR_1.jpg","Ver imagen")</f>
        <v/>
      </c>
      <c r="P1944">
        <f>HYPERLINK("imagenes/NAUTICA_CLASSICS_117009224_ZCR_2.jpg","Ver imagen")</f>
        <v/>
      </c>
      <c r="Q1944">
        <f>HYPERLINK("imagenes/NAUTICA_CLASSICS_117009224_ZCR_3.jpg","Ver imagen")</f>
        <v/>
      </c>
    </row>
    <row r="1945">
      <c r="A1945" t="inlineStr">
        <is>
          <t>NAUTICA CLASSICS</t>
        </is>
      </c>
      <c r="B1945" t="inlineStr">
        <is>
          <t>117009224</t>
        </is>
      </c>
      <c r="C1945" t="inlineStr">
        <is>
          <t>32" STRETCH PUFFER</t>
        </is>
      </c>
      <c r="D1945" t="inlineStr">
        <is>
          <t>ZCR</t>
        </is>
      </c>
      <c r="E1945" t="inlineStr">
        <is>
          <t>(en blanco)</t>
        </is>
      </c>
      <c r="F1945" t="inlineStr">
        <is>
          <t>D2C</t>
        </is>
      </c>
      <c r="G1945" t="inlineStr">
        <is>
          <t>XL</t>
        </is>
      </c>
      <c r="H1945" t="n">
        <v>4</v>
      </c>
      <c r="I1945" t="inlineStr">
        <is>
          <t>NAUTICA_CLASSICS_117009224_ZCR_1.jpg</t>
        </is>
      </c>
      <c r="J1945" t="inlineStr">
        <is>
          <t>NAUTICA_CLASSICS_117009224_ZCR_2.jpg</t>
        </is>
      </c>
      <c r="K1945" t="inlineStr">
        <is>
          <t>NAUTICA_CLASSICS_117009224_ZCR_3.jpg</t>
        </is>
      </c>
      <c r="L1945">
        <f>IMAGE("file:///E:/Estudios%20y%20certificaciones/ESTUDIOS%20DE%20PROGRAMMING/PROGRAMMING/PERSONAL/PYTHON/Image_Generator_API/imagenes/NAUTICA_CLASSICS_117009224_ZCR_1.jpg")</f>
        <v/>
      </c>
      <c r="M1945">
        <f>IMAGE("file:///E:/Estudios%20y%20certificaciones/ESTUDIOS%20DE%20PROGRAMMING/PROGRAMMING/PERSONAL/PYTHON/Image_Generator_API/imagenes/NAUTICA_CLASSICS_117009224_ZCR_2.jpg")</f>
        <v/>
      </c>
      <c r="N1945">
        <f>IMAGE("file:///E:/Estudios%20y%20certificaciones/ESTUDIOS%20DE%20PROGRAMMING/PROGRAMMING/PERSONAL/PYTHON/Image_Generator_API/imagenes/NAUTICA_CLASSICS_117009224_ZCR_3.jpg")</f>
        <v/>
      </c>
      <c r="O1945">
        <f>HYPERLINK("imagenes/NAUTICA_CLASSICS_117009224_ZCR_1.jpg","Ver imagen")</f>
        <v/>
      </c>
      <c r="P1945">
        <f>HYPERLINK("imagenes/NAUTICA_CLASSICS_117009224_ZCR_2.jpg","Ver imagen")</f>
        <v/>
      </c>
      <c r="Q1945">
        <f>HYPERLINK("imagenes/NAUTICA_CLASSICS_117009224_ZCR_3.jpg","Ver imagen")</f>
        <v/>
      </c>
    </row>
    <row r="1946">
      <c r="A1946" t="inlineStr">
        <is>
          <t>NAUTICA CLASSICS</t>
        </is>
      </c>
      <c r="B1946" t="inlineStr">
        <is>
          <t>117009224</t>
        </is>
      </c>
      <c r="C1946" t="inlineStr">
        <is>
          <t>32" STRETCH PUFFER</t>
        </is>
      </c>
      <c r="D1946" t="inlineStr">
        <is>
          <t>ZCR</t>
        </is>
      </c>
      <c r="E1946" t="inlineStr">
        <is>
          <t>(en blanco)</t>
        </is>
      </c>
      <c r="F1946" t="inlineStr">
        <is>
          <t>(en blanco)</t>
        </is>
      </c>
      <c r="G1946" t="inlineStr">
        <is>
          <t>S</t>
        </is>
      </c>
      <c r="H1946" t="n">
        <v>3</v>
      </c>
      <c r="I1946" t="inlineStr">
        <is>
          <t>NAUTICA_CLASSICS_117009224_ZCR_1.jpg</t>
        </is>
      </c>
      <c r="J1946" t="inlineStr">
        <is>
          <t>NAUTICA_CLASSICS_117009224_ZCR_2.jpg</t>
        </is>
      </c>
      <c r="K1946" t="inlineStr">
        <is>
          <t>NAUTICA_CLASSICS_117009224_ZCR_3.jpg</t>
        </is>
      </c>
      <c r="L1946">
        <f>IMAGE("file:///E:/Estudios%20y%20certificaciones/ESTUDIOS%20DE%20PROGRAMMING/PROGRAMMING/PERSONAL/PYTHON/Image_Generator_API/imagenes/NAUTICA_CLASSICS_117009224_ZCR_1.jpg")</f>
        <v/>
      </c>
      <c r="M1946">
        <f>IMAGE("file:///E:/Estudios%20y%20certificaciones/ESTUDIOS%20DE%20PROGRAMMING/PROGRAMMING/PERSONAL/PYTHON/Image_Generator_API/imagenes/NAUTICA_CLASSICS_117009224_ZCR_2.jpg")</f>
        <v/>
      </c>
      <c r="N1946">
        <f>IMAGE("file:///E:/Estudios%20y%20certificaciones/ESTUDIOS%20DE%20PROGRAMMING/PROGRAMMING/PERSONAL/PYTHON/Image_Generator_API/imagenes/NAUTICA_CLASSICS_117009224_ZCR_3.jpg")</f>
        <v/>
      </c>
      <c r="O1946">
        <f>HYPERLINK("imagenes/NAUTICA_CLASSICS_117009224_ZCR_1.jpg","Ver imagen")</f>
        <v/>
      </c>
      <c r="P1946">
        <f>HYPERLINK("imagenes/NAUTICA_CLASSICS_117009224_ZCR_2.jpg","Ver imagen")</f>
        <v/>
      </c>
      <c r="Q1946">
        <f>HYPERLINK("imagenes/NAUTICA_CLASSICS_117009224_ZCR_3.jpg","Ver imagen")</f>
        <v/>
      </c>
    </row>
    <row r="1947">
      <c r="A1947" t="inlineStr">
        <is>
          <t>NAUTICA CLASSICS</t>
        </is>
      </c>
      <c r="B1947" t="inlineStr">
        <is>
          <t>117009224</t>
        </is>
      </c>
      <c r="C1947" t="inlineStr">
        <is>
          <t>32" STRETCH PUFFER</t>
        </is>
      </c>
      <c r="D1947" t="inlineStr">
        <is>
          <t>ZCR</t>
        </is>
      </c>
      <c r="E1947" t="inlineStr">
        <is>
          <t>(en blanco)</t>
        </is>
      </c>
      <c r="F1947" t="inlineStr">
        <is>
          <t>(en blanco)</t>
        </is>
      </c>
      <c r="G1947" t="inlineStr">
        <is>
          <t>M</t>
        </is>
      </c>
      <c r="H1947" t="n">
        <v>8</v>
      </c>
      <c r="I1947" t="inlineStr">
        <is>
          <t>NAUTICA_CLASSICS_117009224_ZCR_1.jpg</t>
        </is>
      </c>
      <c r="J1947" t="inlineStr">
        <is>
          <t>NAUTICA_CLASSICS_117009224_ZCR_2.jpg</t>
        </is>
      </c>
      <c r="K1947" t="inlineStr">
        <is>
          <t>NAUTICA_CLASSICS_117009224_ZCR_3.jpg</t>
        </is>
      </c>
      <c r="L1947">
        <f>IMAGE("file:///E:/Estudios%20y%20certificaciones/ESTUDIOS%20DE%20PROGRAMMING/PROGRAMMING/PERSONAL/PYTHON/Image_Generator_API/imagenes/NAUTICA_CLASSICS_117009224_ZCR_1.jpg")</f>
        <v/>
      </c>
      <c r="M1947">
        <f>IMAGE("file:///E:/Estudios%20y%20certificaciones/ESTUDIOS%20DE%20PROGRAMMING/PROGRAMMING/PERSONAL/PYTHON/Image_Generator_API/imagenes/NAUTICA_CLASSICS_117009224_ZCR_2.jpg")</f>
        <v/>
      </c>
      <c r="N1947">
        <f>IMAGE("file:///E:/Estudios%20y%20certificaciones/ESTUDIOS%20DE%20PROGRAMMING/PROGRAMMING/PERSONAL/PYTHON/Image_Generator_API/imagenes/NAUTICA_CLASSICS_117009224_ZCR_3.jpg")</f>
        <v/>
      </c>
      <c r="O1947">
        <f>HYPERLINK("imagenes/NAUTICA_CLASSICS_117009224_ZCR_1.jpg","Ver imagen")</f>
        <v/>
      </c>
      <c r="P1947">
        <f>HYPERLINK("imagenes/NAUTICA_CLASSICS_117009224_ZCR_2.jpg","Ver imagen")</f>
        <v/>
      </c>
      <c r="Q1947">
        <f>HYPERLINK("imagenes/NAUTICA_CLASSICS_117009224_ZCR_3.jpg","Ver imagen")</f>
        <v/>
      </c>
    </row>
    <row r="1948">
      <c r="A1948" t="inlineStr">
        <is>
          <t>NAUTICA CLASSICS</t>
        </is>
      </c>
      <c r="B1948" t="inlineStr">
        <is>
          <t>117009224</t>
        </is>
      </c>
      <c r="C1948" t="inlineStr">
        <is>
          <t>32" STRETCH PUFFER</t>
        </is>
      </c>
      <c r="D1948" t="inlineStr">
        <is>
          <t>ZCR</t>
        </is>
      </c>
      <c r="E1948" t="inlineStr">
        <is>
          <t>(en blanco)</t>
        </is>
      </c>
      <c r="F1948" t="inlineStr">
        <is>
          <t>(en blanco)</t>
        </is>
      </c>
      <c r="G1948" t="inlineStr">
        <is>
          <t>L</t>
        </is>
      </c>
      <c r="H1948" t="n">
        <v>6</v>
      </c>
      <c r="I1948" t="inlineStr">
        <is>
          <t>NAUTICA_CLASSICS_117009224_ZCR_1.jpg</t>
        </is>
      </c>
      <c r="J1948" t="inlineStr">
        <is>
          <t>NAUTICA_CLASSICS_117009224_ZCR_2.jpg</t>
        </is>
      </c>
      <c r="K1948" t="inlineStr">
        <is>
          <t>NAUTICA_CLASSICS_117009224_ZCR_3.jpg</t>
        </is>
      </c>
      <c r="L1948">
        <f>IMAGE("file:///E:/Estudios%20y%20certificaciones/ESTUDIOS%20DE%20PROGRAMMING/PROGRAMMING/PERSONAL/PYTHON/Image_Generator_API/imagenes/NAUTICA_CLASSICS_117009224_ZCR_1.jpg")</f>
        <v/>
      </c>
      <c r="M1948">
        <f>IMAGE("file:///E:/Estudios%20y%20certificaciones/ESTUDIOS%20DE%20PROGRAMMING/PROGRAMMING/PERSONAL/PYTHON/Image_Generator_API/imagenes/NAUTICA_CLASSICS_117009224_ZCR_2.jpg")</f>
        <v/>
      </c>
      <c r="N1948">
        <f>IMAGE("file:///E:/Estudios%20y%20certificaciones/ESTUDIOS%20DE%20PROGRAMMING/PROGRAMMING/PERSONAL/PYTHON/Image_Generator_API/imagenes/NAUTICA_CLASSICS_117009224_ZCR_3.jpg")</f>
        <v/>
      </c>
      <c r="O1948">
        <f>HYPERLINK("imagenes/NAUTICA_CLASSICS_117009224_ZCR_1.jpg","Ver imagen")</f>
        <v/>
      </c>
      <c r="P1948">
        <f>HYPERLINK("imagenes/NAUTICA_CLASSICS_117009224_ZCR_2.jpg","Ver imagen")</f>
        <v/>
      </c>
      <c r="Q1948">
        <f>HYPERLINK("imagenes/NAUTICA_CLASSICS_117009224_ZCR_3.jpg","Ver imagen")</f>
        <v/>
      </c>
    </row>
    <row r="1949">
      <c r="A1949" t="inlineStr">
        <is>
          <t>NAUTICA CLASSICS</t>
        </is>
      </c>
      <c r="B1949" t="inlineStr">
        <is>
          <t>117009700</t>
        </is>
      </c>
      <c r="C1949" t="inlineStr">
        <is>
          <t>32" SOFT MIST PUFFER</t>
        </is>
      </c>
      <c r="D1949" t="inlineStr">
        <is>
          <t>BDN</t>
        </is>
      </c>
      <c r="E1949" t="inlineStr">
        <is>
          <t>08A05</t>
        </is>
      </c>
      <c r="F1949" t="inlineStr">
        <is>
          <t>(en blanco)</t>
        </is>
      </c>
      <c r="G1949" t="inlineStr">
        <is>
          <t>PPK</t>
        </is>
      </c>
      <c r="H1949" t="n">
        <v>984</v>
      </c>
      <c r="I1949" t="inlineStr">
        <is>
          <t>NAUTICA_CLASSICS_117009700_BDN_1.jpg</t>
        </is>
      </c>
      <c r="J1949" t="inlineStr">
        <is>
          <t>NAUTICA_CLASSICS_117009700_BDN_2.jpg</t>
        </is>
      </c>
      <c r="K1949" t="inlineStr">
        <is>
          <t>NAUTICA_CLASSICS_117009700_BDN_3.jpg</t>
        </is>
      </c>
      <c r="L1949">
        <f>IMAGE("file:///E:/Estudios%20y%20certificaciones/ESTUDIOS%20DE%20PROGRAMMING/PROGRAMMING/PERSONAL/PYTHON/Image_Generator_API/imagenes/NAUTICA_CLASSICS_117009700_BDN_1.jpg")</f>
        <v/>
      </c>
      <c r="M1949">
        <f>IMAGE("file:///E:/Estudios%20y%20certificaciones/ESTUDIOS%20DE%20PROGRAMMING/PROGRAMMING/PERSONAL/PYTHON/Image_Generator_API/imagenes/NAUTICA_CLASSICS_117009700_BDN_2.jpg")</f>
        <v/>
      </c>
      <c r="N1949">
        <f>IMAGE("file:///E:/Estudios%20y%20certificaciones/ESTUDIOS%20DE%20PROGRAMMING/PROGRAMMING/PERSONAL/PYTHON/Image_Generator_API/imagenes/NAUTICA_CLASSICS_117009700_BDN_3.jpg")</f>
        <v/>
      </c>
      <c r="O1949">
        <f>HYPERLINK("imagenes/NAUTICA_CLASSICS_117009700_BDN_1.jpg","Ver imagen")</f>
        <v/>
      </c>
      <c r="P1949">
        <f>HYPERLINK("imagenes/NAUTICA_CLASSICS_117009700_BDN_2.jpg","Ver imagen")</f>
        <v/>
      </c>
      <c r="Q1949">
        <f>HYPERLINK("imagenes/NAUTICA_CLASSICS_117009700_BDN_3.jpg","Ver imagen")</f>
        <v/>
      </c>
    </row>
    <row r="1950">
      <c r="A1950" t="inlineStr">
        <is>
          <t>NAUTICA CLASSICS</t>
        </is>
      </c>
      <c r="B1950" t="inlineStr">
        <is>
          <t>117009700</t>
        </is>
      </c>
      <c r="C1950" t="inlineStr">
        <is>
          <t>32" SOFT MIST PUFFER</t>
        </is>
      </c>
      <c r="D1950" t="inlineStr">
        <is>
          <t>BLK</t>
        </is>
      </c>
      <c r="E1950" t="inlineStr">
        <is>
          <t>08A05</t>
        </is>
      </c>
      <c r="F1950" t="inlineStr">
        <is>
          <t>(en blanco)</t>
        </is>
      </c>
      <c r="G1950" t="inlineStr">
        <is>
          <t>PPK</t>
        </is>
      </c>
      <c r="H1950" t="n">
        <v>3000</v>
      </c>
      <c r="I1950" t="inlineStr">
        <is>
          <t>NAUTICA_CLASSICS_117009700_BLK_1.jpg</t>
        </is>
      </c>
      <c r="J1950" t="inlineStr">
        <is>
          <t>NAUTICA_CLASSICS_117009700_BLK_2.jpg</t>
        </is>
      </c>
      <c r="K1950" t="inlineStr">
        <is>
          <t>NAUTICA_CLASSICS_117009700_BLK_3.jpg</t>
        </is>
      </c>
      <c r="L1950">
        <f>IMAGE("file:///E:/Estudios%20y%20certificaciones/ESTUDIOS%20DE%20PROGRAMMING/PROGRAMMING/PERSONAL/PYTHON/Image_Generator_API/imagenes/NAUTICA_CLASSICS_117009700_BLK_1.jpg")</f>
        <v/>
      </c>
      <c r="M1950">
        <f>IMAGE("file:///E:/Estudios%20y%20certificaciones/ESTUDIOS%20DE%20PROGRAMMING/PROGRAMMING/PERSONAL/PYTHON/Image_Generator_API/imagenes/NAUTICA_CLASSICS_117009700_BLK_2.jpg")</f>
        <v/>
      </c>
      <c r="N1950">
        <f>IMAGE("file:///E:/Estudios%20y%20certificaciones/ESTUDIOS%20DE%20PROGRAMMING/PROGRAMMING/PERSONAL/PYTHON/Image_Generator_API/imagenes/NAUTICA_CLASSICS_117009700_BLK_3.jpg")</f>
        <v/>
      </c>
      <c r="O1950">
        <f>HYPERLINK("imagenes/NAUTICA_CLASSICS_117009700_BLK_1.jpg","Ver imagen")</f>
        <v/>
      </c>
      <c r="P1950">
        <f>HYPERLINK("imagenes/NAUTICA_CLASSICS_117009700_BLK_2.jpg","Ver imagen")</f>
        <v/>
      </c>
      <c r="Q1950">
        <f>HYPERLINK("imagenes/NAUTICA_CLASSICS_117009700_BLK_3.jpg","Ver imagen")</f>
        <v/>
      </c>
    </row>
    <row r="1951">
      <c r="A1951" t="inlineStr">
        <is>
          <t>NAUTICA CLASSICS</t>
        </is>
      </c>
      <c r="B1951" t="inlineStr">
        <is>
          <t>117009700</t>
        </is>
      </c>
      <c r="C1951" t="inlineStr">
        <is>
          <t>32" SOFT MIST PUFFER</t>
        </is>
      </c>
      <c r="D1951" t="inlineStr">
        <is>
          <t>ZCR</t>
        </is>
      </c>
      <c r="E1951" t="inlineStr">
        <is>
          <t>08A05</t>
        </is>
      </c>
      <c r="F1951" t="inlineStr">
        <is>
          <t>(en blanco)</t>
        </is>
      </c>
      <c r="G1951" t="inlineStr">
        <is>
          <t>PPK</t>
        </is>
      </c>
      <c r="H1951" t="n">
        <v>680</v>
      </c>
      <c r="I1951" t="inlineStr">
        <is>
          <t>NAUTICA_CLASSICS_117009700_ZCR_1.jpg</t>
        </is>
      </c>
      <c r="J1951" t="inlineStr">
        <is>
          <t>NAUTICA_CLASSICS_117009700_ZCR_2.jpg</t>
        </is>
      </c>
      <c r="K1951" t="inlineStr">
        <is>
          <t>NAUTICA_CLASSICS_117009700_ZCR_3.jpg</t>
        </is>
      </c>
      <c r="L1951">
        <f>IMAGE("file:///E:/Estudios%20y%20certificaciones/ESTUDIOS%20DE%20PROGRAMMING/PROGRAMMING/PERSONAL/PYTHON/Image_Generator_API/imagenes/NAUTICA_CLASSICS_117009700_ZCR_1.jpg")</f>
        <v/>
      </c>
      <c r="M1951">
        <f>IMAGE("file:///E:/Estudios%20y%20certificaciones/ESTUDIOS%20DE%20PROGRAMMING/PROGRAMMING/PERSONAL/PYTHON/Image_Generator_API/imagenes/NAUTICA_CLASSICS_117009700_ZCR_2.jpg")</f>
        <v/>
      </c>
      <c r="N1951">
        <f>IMAGE("file:///E:/Estudios%20y%20certificaciones/ESTUDIOS%20DE%20PROGRAMMING/PROGRAMMING/PERSONAL/PYTHON/Image_Generator_API/imagenes/NAUTICA_CLASSICS_117009700_ZCR_3.jpg")</f>
        <v/>
      </c>
      <c r="O1951">
        <f>HYPERLINK("imagenes/NAUTICA_CLASSICS_117009700_ZCR_1.jpg","Ver imagen")</f>
        <v/>
      </c>
      <c r="P1951">
        <f>HYPERLINK("imagenes/NAUTICA_CLASSICS_117009700_ZCR_2.jpg","Ver imagen")</f>
        <v/>
      </c>
      <c r="Q1951">
        <f>HYPERLINK("imagenes/NAUTICA_CLASSICS_117009700_ZCR_3.jpg","Ver imagen")</f>
        <v/>
      </c>
    </row>
    <row r="1952">
      <c r="A1952" t="inlineStr">
        <is>
          <t>NAUTICA CLASSICS</t>
        </is>
      </c>
      <c r="B1952" t="inlineStr">
        <is>
          <t>117DAMAGE</t>
        </is>
      </c>
      <c r="C1952" t="inlineStr">
        <is>
          <t>DAMAGED STYLES</t>
        </is>
      </c>
      <c r="D1952" t="inlineStr">
        <is>
          <t>ASD</t>
        </is>
      </c>
      <c r="E1952" t="inlineStr">
        <is>
          <t>(en blanco)</t>
        </is>
      </c>
      <c r="F1952" t="inlineStr">
        <is>
          <t>(en blanco)</t>
        </is>
      </c>
      <c r="G1952" t="inlineStr">
        <is>
          <t>OS</t>
        </is>
      </c>
      <c r="H1952" t="n">
        <v>154</v>
      </c>
      <c r="I1952" t="inlineStr">
        <is>
          <t>NAUTICA_CLASSICS_117DAMAGE_ASD_1.jpg</t>
        </is>
      </c>
      <c r="J1952" t="inlineStr">
        <is>
          <t>NAUTICA_CLASSICS_117DAMAGE_ASD_2.jpg</t>
        </is>
      </c>
      <c r="K1952" t="inlineStr">
        <is>
          <t>NAUTICA_CLASSICS_117DAMAGE_ASD_3.jpg</t>
        </is>
      </c>
      <c r="L1952">
        <f>IMAGE("file:///E:/Estudios%20y%20certificaciones/ESTUDIOS%20DE%20PROGRAMMING/PROGRAMMING/PERSONAL/PYTHON/Image_Generator_API/imagenes/NAUTICA_CLASSICS_117DAMAGE_ASD_1.jpg")</f>
        <v/>
      </c>
      <c r="M1952">
        <f>IMAGE("file:///E:/Estudios%20y%20certificaciones/ESTUDIOS%20DE%20PROGRAMMING/PROGRAMMING/PERSONAL/PYTHON/Image_Generator_API/imagenes/NAUTICA_CLASSICS_117DAMAGE_ASD_2.jpg")</f>
        <v/>
      </c>
      <c r="N1952">
        <f>IMAGE("file:///E:/Estudios%20y%20certificaciones/ESTUDIOS%20DE%20PROGRAMMING/PROGRAMMING/PERSONAL/PYTHON/Image_Generator_API/imagenes/NAUTICA_CLASSICS_117DAMAGE_ASD_3.jpg")</f>
        <v/>
      </c>
      <c r="O1952">
        <f>HYPERLINK("imagenes/NAUTICA_CLASSICS_117DAMAGE_ASD_1.jpg","Ver imagen")</f>
        <v/>
      </c>
      <c r="P1952">
        <f>HYPERLINK("imagenes/NAUTICA_CLASSICS_117DAMAGE_ASD_2.jpg","Ver imagen")</f>
        <v/>
      </c>
      <c r="Q1952">
        <f>HYPERLINK("imagenes/NAUTICA_CLASSICS_117DAMAGE_ASD_3.jpg","Ver imagen")</f>
        <v/>
      </c>
    </row>
    <row r="1953">
      <c r="A1953" t="inlineStr">
        <is>
          <t>NAUTICA CLASSICS</t>
        </is>
      </c>
      <c r="B1953" t="inlineStr">
        <is>
          <t>Q020351</t>
        </is>
      </c>
      <c r="C1953" t="inlineStr">
        <is>
          <t>SHORT PUFFER W/HOOD</t>
        </is>
      </c>
      <c r="D1953" t="inlineStr">
        <is>
          <t>BLK</t>
        </is>
      </c>
      <c r="E1953" t="inlineStr">
        <is>
          <t>(en blanco)</t>
        </is>
      </c>
      <c r="F1953" t="inlineStr">
        <is>
          <t>(en blanco)</t>
        </is>
      </c>
      <c r="G1953" t="inlineStr">
        <is>
          <t>S</t>
        </is>
      </c>
      <c r="H1953" t="n">
        <v>1</v>
      </c>
      <c r="I1953" t="inlineStr">
        <is>
          <t>NAUTICA_CLASSICS_Q020351_BLK_1.jpg</t>
        </is>
      </c>
      <c r="J1953" t="inlineStr">
        <is>
          <t>NAUTICA_CLASSICS_Q020351_BLK_2.jpg</t>
        </is>
      </c>
      <c r="K1953" t="inlineStr">
        <is>
          <t>NAUTICA_CLASSICS_Q020351_BLK_3.jpg</t>
        </is>
      </c>
      <c r="L1953">
        <f>IMAGE("file:///E:/Estudios%20y%20certificaciones/ESTUDIOS%20DE%20PROGRAMMING/PROGRAMMING/PERSONAL/PYTHON/Image_Generator_API/imagenes/NAUTICA_CLASSICS_Q020351_BLK_1.jpg")</f>
        <v/>
      </c>
      <c r="M1953">
        <f>IMAGE("file:///E:/Estudios%20y%20certificaciones/ESTUDIOS%20DE%20PROGRAMMING/PROGRAMMING/PERSONAL/PYTHON/Image_Generator_API/imagenes/NAUTICA_CLASSICS_Q020351_BLK_2.jpg")</f>
        <v/>
      </c>
      <c r="N1953">
        <f>IMAGE("file:///E:/Estudios%20y%20certificaciones/ESTUDIOS%20DE%20PROGRAMMING/PROGRAMMING/PERSONAL/PYTHON/Image_Generator_API/imagenes/NAUTICA_CLASSICS_Q020351_BLK_3.jpg")</f>
        <v/>
      </c>
      <c r="O1953">
        <f>HYPERLINK("imagenes/NAUTICA_CLASSICS_Q020351_BLK_1.jpg","Ver imagen")</f>
        <v/>
      </c>
      <c r="P1953">
        <f>HYPERLINK("imagenes/NAUTICA_CLASSICS_Q020351_BLK_2.jpg","Ver imagen")</f>
        <v/>
      </c>
      <c r="Q1953">
        <f>HYPERLINK("imagenes/NAUTICA_CLASSICS_Q020351_BLK_3.jpg","Ver imagen")</f>
        <v/>
      </c>
    </row>
    <row r="1954">
      <c r="A1954" t="inlineStr">
        <is>
          <t>NAUTICA CLASSICS</t>
        </is>
      </c>
      <c r="B1954" t="inlineStr">
        <is>
          <t>Q021823U</t>
        </is>
      </c>
      <c r="C1954" t="inlineStr">
        <is>
          <t>SHORT HOOD.STRETCH</t>
        </is>
      </c>
      <c r="D1954" t="inlineStr">
        <is>
          <t>BLK</t>
        </is>
      </c>
      <c r="E1954" t="inlineStr">
        <is>
          <t>(en blanco)</t>
        </is>
      </c>
      <c r="F1954" t="inlineStr">
        <is>
          <t>(en blanco)</t>
        </is>
      </c>
      <c r="G1954" t="inlineStr">
        <is>
          <t>L</t>
        </is>
      </c>
      <c r="H1954" t="n">
        <v>1</v>
      </c>
      <c r="I1954" t="inlineStr">
        <is>
          <t>NAUTICA_CLASSICS_Q021823U_BLK_1.jpg</t>
        </is>
      </c>
      <c r="J1954" t="inlineStr">
        <is>
          <t>NAUTICA_CLASSICS_Q021823U_BLK_2.jpg</t>
        </is>
      </c>
      <c r="K1954" t="inlineStr">
        <is>
          <t>NAUTICA_CLASSICS_Q021823U_BLK_3.jpg</t>
        </is>
      </c>
      <c r="L1954">
        <f>IMAGE("file:///E:/Estudios%20y%20certificaciones/ESTUDIOS%20DE%20PROGRAMMING/PROGRAMMING/PERSONAL/PYTHON/Image_Generator_API/imagenes/NAUTICA_CLASSICS_Q021823U_BLK_1.jpg")</f>
        <v/>
      </c>
      <c r="M1954">
        <f>IMAGE("file:///E:/Estudios%20y%20certificaciones/ESTUDIOS%20DE%20PROGRAMMING/PROGRAMMING/PERSONAL/PYTHON/Image_Generator_API/imagenes/NAUTICA_CLASSICS_Q021823U_BLK_2.jpg")</f>
        <v/>
      </c>
      <c r="N1954">
        <f>IMAGE("file:///E:/Estudios%20y%20certificaciones/ESTUDIOS%20DE%20PROGRAMMING/PROGRAMMING/PERSONAL/PYTHON/Image_Generator_API/imagenes/NAUTICA_CLASSICS_Q021823U_BLK_3.jpg")</f>
        <v/>
      </c>
      <c r="O1954">
        <f>HYPERLINK("imagenes/NAUTICA_CLASSICS_Q021823U_BLK_1.jpg","Ver imagen")</f>
        <v/>
      </c>
      <c r="P1954">
        <f>HYPERLINK("imagenes/NAUTICA_CLASSICS_Q021823U_BLK_2.jpg","Ver imagen")</f>
        <v/>
      </c>
      <c r="Q1954">
        <f>HYPERLINK("imagenes/NAUTICA_CLASSICS_Q021823U_BLK_3.jpg","Ver imagen")</f>
        <v/>
      </c>
    </row>
    <row r="1955">
      <c r="A1955" t="inlineStr">
        <is>
          <t>NAUTICA CLASSICS</t>
        </is>
      </c>
      <c r="B1955" t="inlineStr">
        <is>
          <t>Q021879</t>
        </is>
      </c>
      <c r="C1955" t="inlineStr">
        <is>
          <t>3/4 STRETCH W/HOOD</t>
        </is>
      </c>
      <c r="D1955" t="inlineStr">
        <is>
          <t>NSS</t>
        </is>
      </c>
      <c r="E1955" t="inlineStr">
        <is>
          <t>(en blanco)</t>
        </is>
      </c>
      <c r="F1955" t="inlineStr">
        <is>
          <t>(en blanco)</t>
        </is>
      </c>
      <c r="G1955" t="inlineStr">
        <is>
          <t>XXL</t>
        </is>
      </c>
      <c r="H1955" t="n">
        <v>1</v>
      </c>
      <c r="I1955" t="inlineStr">
        <is>
          <t>NAUTICA_CLASSICS_Q021879_NSS_1.jpg</t>
        </is>
      </c>
      <c r="J1955" t="inlineStr">
        <is>
          <t>NAUTICA_CLASSICS_Q021879_NSS_2.jpg</t>
        </is>
      </c>
      <c r="K1955" t="inlineStr">
        <is>
          <t>NAUTICA_CLASSICS_Q021879_NSS_3.jpg</t>
        </is>
      </c>
      <c r="L1955">
        <f>IMAGE("file:///E:/Estudios%20y%20certificaciones/ESTUDIOS%20DE%20PROGRAMMING/PROGRAMMING/PERSONAL/PYTHON/Image_Generator_API/imagenes/NAUTICA_CLASSICS_Q021879_NSS_1.jpg")</f>
        <v/>
      </c>
      <c r="M1955">
        <f>IMAGE("file:///E:/Estudios%20y%20certificaciones/ESTUDIOS%20DE%20PROGRAMMING/PROGRAMMING/PERSONAL/PYTHON/Image_Generator_API/imagenes/NAUTICA_CLASSICS_Q021879_NSS_2.jpg")</f>
        <v/>
      </c>
      <c r="N1955">
        <f>IMAGE("file:///E:/Estudios%20y%20certificaciones/ESTUDIOS%20DE%20PROGRAMMING/PROGRAMMING/PERSONAL/PYTHON/Image_Generator_API/imagenes/NAUTICA_CLASSICS_Q021879_NSS_3.jpg")</f>
        <v/>
      </c>
      <c r="O1955">
        <f>HYPERLINK("imagenes/NAUTICA_CLASSICS_Q021879_NSS_1.jpg","Ver imagen")</f>
        <v/>
      </c>
      <c r="P1955">
        <f>HYPERLINK("imagenes/NAUTICA_CLASSICS_Q021879_NSS_2.jpg","Ver imagen")</f>
        <v/>
      </c>
      <c r="Q1955">
        <f>HYPERLINK("imagenes/NAUTICA_CLASSICS_Q021879_NSS_3.jpg","Ver imagen")</f>
        <v/>
      </c>
    </row>
    <row r="1956">
      <c r="A1956" t="inlineStr">
        <is>
          <t>NAUTICA CLASSICS</t>
        </is>
      </c>
      <c r="B1956" t="inlineStr">
        <is>
          <t>Q021886</t>
        </is>
      </c>
      <c r="C1956" t="inlineStr">
        <is>
          <t>SHORT HOOD.STR.LT.WT</t>
        </is>
      </c>
      <c r="D1956" t="inlineStr">
        <is>
          <t>B68</t>
        </is>
      </c>
      <c r="E1956" t="inlineStr">
        <is>
          <t>(en blanco)</t>
        </is>
      </c>
      <c r="F1956" t="inlineStr">
        <is>
          <t>(en blanco)</t>
        </is>
      </c>
      <c r="G1956" t="inlineStr">
        <is>
          <t>S</t>
        </is>
      </c>
      <c r="H1956" t="n">
        <v>2</v>
      </c>
      <c r="I1956" t="inlineStr">
        <is>
          <t>NAUTICA_CLASSICS_Q021886_B68_1.jpg</t>
        </is>
      </c>
      <c r="J1956" t="inlineStr">
        <is>
          <t>NAUTICA_CLASSICS_Q021886_B68_2.jpg</t>
        </is>
      </c>
      <c r="K1956" t="inlineStr">
        <is>
          <t>NAUTICA_CLASSICS_Q021886_B68_3.jpg</t>
        </is>
      </c>
      <c r="L1956">
        <f>IMAGE("file:///E:/Estudios%20y%20certificaciones/ESTUDIOS%20DE%20PROGRAMMING/PROGRAMMING/PERSONAL/PYTHON/Image_Generator_API/imagenes/NAUTICA_CLASSICS_Q021886_B68_1.jpg")</f>
        <v/>
      </c>
      <c r="M1956">
        <f>IMAGE("file:///E:/Estudios%20y%20certificaciones/ESTUDIOS%20DE%20PROGRAMMING/PROGRAMMING/PERSONAL/PYTHON/Image_Generator_API/imagenes/NAUTICA_CLASSICS_Q021886_B68_2.jpg")</f>
        <v/>
      </c>
      <c r="N1956">
        <f>IMAGE("file:///E:/Estudios%20y%20certificaciones/ESTUDIOS%20DE%20PROGRAMMING/PROGRAMMING/PERSONAL/PYTHON/Image_Generator_API/imagenes/NAUTICA_CLASSICS_Q021886_B68_3.jpg")</f>
        <v/>
      </c>
      <c r="O1956">
        <f>HYPERLINK("imagenes/NAUTICA_CLASSICS_Q021886_B68_1.jpg","Ver imagen")</f>
        <v/>
      </c>
      <c r="P1956">
        <f>HYPERLINK("imagenes/NAUTICA_CLASSICS_Q021886_B68_2.jpg","Ver imagen")</f>
        <v/>
      </c>
      <c r="Q1956">
        <f>HYPERLINK("imagenes/NAUTICA_CLASSICS_Q021886_B68_3.jpg","Ver imagen")</f>
        <v/>
      </c>
    </row>
    <row r="1957">
      <c r="A1957" t="inlineStr">
        <is>
          <t>NAUTICA CLASSICS</t>
        </is>
      </c>
      <c r="B1957" t="inlineStr">
        <is>
          <t>Q021886</t>
        </is>
      </c>
      <c r="C1957" t="inlineStr">
        <is>
          <t>SHORT HOOD.STR.LT.WT</t>
        </is>
      </c>
      <c r="D1957" t="inlineStr">
        <is>
          <t>BLK</t>
        </is>
      </c>
      <c r="E1957" t="inlineStr">
        <is>
          <t>(en blanco)</t>
        </is>
      </c>
      <c r="F1957" t="inlineStr">
        <is>
          <t>(en blanco)</t>
        </is>
      </c>
      <c r="G1957" t="inlineStr">
        <is>
          <t>XS</t>
        </is>
      </c>
      <c r="H1957" t="n">
        <v>1</v>
      </c>
      <c r="I1957" t="inlineStr">
        <is>
          <t>NAUTICA_CLASSICS_Q021886_BLK_1.jpg</t>
        </is>
      </c>
      <c r="J1957" t="inlineStr">
        <is>
          <t>NAUTICA_CLASSICS_Q021886_BLK_2.jpg</t>
        </is>
      </c>
      <c r="K1957" t="inlineStr">
        <is>
          <t>NAUTICA_CLASSICS_Q021886_BLK_3.jpg</t>
        </is>
      </c>
      <c r="L1957">
        <f>IMAGE("file:///E:/Estudios%20y%20certificaciones/ESTUDIOS%20DE%20PROGRAMMING/PROGRAMMING/PERSONAL/PYTHON/Image_Generator_API/imagenes/NAUTICA_CLASSICS_Q021886_BLK_1.jpg")</f>
        <v/>
      </c>
      <c r="M1957">
        <f>IMAGE("file:///E:/Estudios%20y%20certificaciones/ESTUDIOS%20DE%20PROGRAMMING/PROGRAMMING/PERSONAL/PYTHON/Image_Generator_API/imagenes/NAUTICA_CLASSICS_Q021886_BLK_2.jpg")</f>
        <v/>
      </c>
      <c r="N1957">
        <f>IMAGE("file:///E:/Estudios%20y%20certificaciones/ESTUDIOS%20DE%20PROGRAMMING/PROGRAMMING/PERSONAL/PYTHON/Image_Generator_API/imagenes/NAUTICA_CLASSICS_Q021886_BLK_3.jpg")</f>
        <v/>
      </c>
      <c r="O1957">
        <f>HYPERLINK("imagenes/NAUTICA_CLASSICS_Q021886_BLK_1.jpg","Ver imagen")</f>
        <v/>
      </c>
      <c r="P1957">
        <f>HYPERLINK("imagenes/NAUTICA_CLASSICS_Q021886_BLK_2.jpg","Ver imagen")</f>
        <v/>
      </c>
      <c r="Q1957">
        <f>HYPERLINK("imagenes/NAUTICA_CLASSICS_Q021886_BLK_3.jpg","Ver imagen")</f>
        <v/>
      </c>
    </row>
    <row r="1958">
      <c r="A1958" t="inlineStr">
        <is>
          <t>NAUTICA CLASSICS</t>
        </is>
      </c>
      <c r="B1958" t="inlineStr">
        <is>
          <t>Q022053</t>
        </is>
      </c>
      <c r="C1958" t="inlineStr">
        <is>
          <t>ANORAK SNAPS FNT</t>
        </is>
      </c>
      <c r="D1958" t="inlineStr">
        <is>
          <t>BLK</t>
        </is>
      </c>
      <c r="E1958" t="inlineStr">
        <is>
          <t>(en blanco)</t>
        </is>
      </c>
      <c r="F1958" t="inlineStr">
        <is>
          <t>(en blanco)</t>
        </is>
      </c>
      <c r="G1958" t="inlineStr">
        <is>
          <t>XS</t>
        </is>
      </c>
      <c r="H1958" t="n">
        <v>16</v>
      </c>
      <c r="I1958" t="inlineStr">
        <is>
          <t>NAUTICA_CLASSICS_Q022053_BLK_1.jpg</t>
        </is>
      </c>
      <c r="J1958" t="inlineStr">
        <is>
          <t>NAUTICA_CLASSICS_Q022053_BLK_2.jpg</t>
        </is>
      </c>
      <c r="K1958" t="inlineStr">
        <is>
          <t>NAUTICA_CLASSICS_Q022053_BLK_3.jpg</t>
        </is>
      </c>
      <c r="L1958">
        <f>IMAGE("file:///E:/Estudios%20y%20certificaciones/ESTUDIOS%20DE%20PROGRAMMING/PROGRAMMING/PERSONAL/PYTHON/Image_Generator_API/imagenes/NAUTICA_CLASSICS_Q022053_BLK_1.jpg")</f>
        <v/>
      </c>
      <c r="M1958">
        <f>IMAGE("file:///E:/Estudios%20y%20certificaciones/ESTUDIOS%20DE%20PROGRAMMING/PROGRAMMING/PERSONAL/PYTHON/Image_Generator_API/imagenes/NAUTICA_CLASSICS_Q022053_BLK_2.jpg")</f>
        <v/>
      </c>
      <c r="N1958">
        <f>IMAGE("file:///E:/Estudios%20y%20certificaciones/ESTUDIOS%20DE%20PROGRAMMING/PROGRAMMING/PERSONAL/PYTHON/Image_Generator_API/imagenes/NAUTICA_CLASSICS_Q022053_BLK_3.jpg")</f>
        <v/>
      </c>
      <c r="O1958">
        <f>HYPERLINK("imagenes/NAUTICA_CLASSICS_Q022053_BLK_1.jpg","Ver imagen")</f>
        <v/>
      </c>
      <c r="P1958">
        <f>HYPERLINK("imagenes/NAUTICA_CLASSICS_Q022053_BLK_2.jpg","Ver imagen")</f>
        <v/>
      </c>
      <c r="Q1958">
        <f>HYPERLINK("imagenes/NAUTICA_CLASSICS_Q022053_BLK_3.jpg","Ver imagen")</f>
        <v/>
      </c>
    </row>
    <row r="1959">
      <c r="A1959" t="inlineStr">
        <is>
          <t>NAUTICA CLASSICS</t>
        </is>
      </c>
      <c r="B1959" t="inlineStr">
        <is>
          <t>Q022053</t>
        </is>
      </c>
      <c r="C1959" t="inlineStr">
        <is>
          <t>ANORAK SNAPS FNT</t>
        </is>
      </c>
      <c r="D1959" t="inlineStr">
        <is>
          <t>BLK</t>
        </is>
      </c>
      <c r="E1959" t="inlineStr">
        <is>
          <t>(en blanco)</t>
        </is>
      </c>
      <c r="F1959" t="inlineStr">
        <is>
          <t>(en blanco)</t>
        </is>
      </c>
      <c r="G1959" t="inlineStr">
        <is>
          <t>S</t>
        </is>
      </c>
      <c r="H1959" t="n">
        <v>18</v>
      </c>
      <c r="I1959" t="inlineStr">
        <is>
          <t>NAUTICA_CLASSICS_Q022053_BLK_1.jpg</t>
        </is>
      </c>
      <c r="J1959" t="inlineStr">
        <is>
          <t>NAUTICA_CLASSICS_Q022053_BLK_2.jpg</t>
        </is>
      </c>
      <c r="K1959" t="inlineStr">
        <is>
          <t>NAUTICA_CLASSICS_Q022053_BLK_3.jpg</t>
        </is>
      </c>
      <c r="L1959">
        <f>IMAGE("file:///E:/Estudios%20y%20certificaciones/ESTUDIOS%20DE%20PROGRAMMING/PROGRAMMING/PERSONAL/PYTHON/Image_Generator_API/imagenes/NAUTICA_CLASSICS_Q022053_BLK_1.jpg")</f>
        <v/>
      </c>
      <c r="M1959">
        <f>IMAGE("file:///E:/Estudios%20y%20certificaciones/ESTUDIOS%20DE%20PROGRAMMING/PROGRAMMING/PERSONAL/PYTHON/Image_Generator_API/imagenes/NAUTICA_CLASSICS_Q022053_BLK_2.jpg")</f>
        <v/>
      </c>
      <c r="N1959">
        <f>IMAGE("file:///E:/Estudios%20y%20certificaciones/ESTUDIOS%20DE%20PROGRAMMING/PROGRAMMING/PERSONAL/PYTHON/Image_Generator_API/imagenes/NAUTICA_CLASSICS_Q022053_BLK_3.jpg")</f>
        <v/>
      </c>
      <c r="O1959">
        <f>HYPERLINK("imagenes/NAUTICA_CLASSICS_Q022053_BLK_1.jpg","Ver imagen")</f>
        <v/>
      </c>
      <c r="P1959">
        <f>HYPERLINK("imagenes/NAUTICA_CLASSICS_Q022053_BLK_2.jpg","Ver imagen")</f>
        <v/>
      </c>
      <c r="Q1959">
        <f>HYPERLINK("imagenes/NAUTICA_CLASSICS_Q022053_BLK_3.jpg","Ver imagen")</f>
        <v/>
      </c>
    </row>
    <row r="1960">
      <c r="A1960" t="inlineStr">
        <is>
          <t>NAUTICA CLASSICS</t>
        </is>
      </c>
      <c r="B1960" t="inlineStr">
        <is>
          <t>Q022053</t>
        </is>
      </c>
      <c r="C1960" t="inlineStr">
        <is>
          <t>ANORAK SNAPS FNT</t>
        </is>
      </c>
      <c r="D1960" t="inlineStr">
        <is>
          <t>BLK</t>
        </is>
      </c>
      <c r="E1960" t="inlineStr">
        <is>
          <t>(en blanco)</t>
        </is>
      </c>
      <c r="F1960" t="inlineStr">
        <is>
          <t>(en blanco)</t>
        </is>
      </c>
      <c r="G1960" t="inlineStr">
        <is>
          <t>M</t>
        </is>
      </c>
      <c r="H1960" t="n">
        <v>26</v>
      </c>
      <c r="I1960" t="inlineStr">
        <is>
          <t>NAUTICA_CLASSICS_Q022053_BLK_1.jpg</t>
        </is>
      </c>
      <c r="J1960" t="inlineStr">
        <is>
          <t>NAUTICA_CLASSICS_Q022053_BLK_2.jpg</t>
        </is>
      </c>
      <c r="K1960" t="inlineStr">
        <is>
          <t>NAUTICA_CLASSICS_Q022053_BLK_3.jpg</t>
        </is>
      </c>
      <c r="L1960">
        <f>IMAGE("file:///E:/Estudios%20y%20certificaciones/ESTUDIOS%20DE%20PROGRAMMING/PROGRAMMING/PERSONAL/PYTHON/Image_Generator_API/imagenes/NAUTICA_CLASSICS_Q022053_BLK_1.jpg")</f>
        <v/>
      </c>
      <c r="M1960">
        <f>IMAGE("file:///E:/Estudios%20y%20certificaciones/ESTUDIOS%20DE%20PROGRAMMING/PROGRAMMING/PERSONAL/PYTHON/Image_Generator_API/imagenes/NAUTICA_CLASSICS_Q022053_BLK_2.jpg")</f>
        <v/>
      </c>
      <c r="N1960">
        <f>IMAGE("file:///E:/Estudios%20y%20certificaciones/ESTUDIOS%20DE%20PROGRAMMING/PROGRAMMING/PERSONAL/PYTHON/Image_Generator_API/imagenes/NAUTICA_CLASSICS_Q022053_BLK_3.jpg")</f>
        <v/>
      </c>
      <c r="O1960">
        <f>HYPERLINK("imagenes/NAUTICA_CLASSICS_Q022053_BLK_1.jpg","Ver imagen")</f>
        <v/>
      </c>
      <c r="P1960">
        <f>HYPERLINK("imagenes/NAUTICA_CLASSICS_Q022053_BLK_2.jpg","Ver imagen")</f>
        <v/>
      </c>
      <c r="Q1960">
        <f>HYPERLINK("imagenes/NAUTICA_CLASSICS_Q022053_BLK_3.jpg","Ver imagen")</f>
        <v/>
      </c>
    </row>
    <row r="1961">
      <c r="A1961" t="inlineStr">
        <is>
          <t>NAUTICA CLASSICS</t>
        </is>
      </c>
      <c r="B1961" t="inlineStr">
        <is>
          <t>Q022053</t>
        </is>
      </c>
      <c r="C1961" t="inlineStr">
        <is>
          <t>ANORAK SNAPS FNT</t>
        </is>
      </c>
      <c r="D1961" t="inlineStr">
        <is>
          <t>NSS</t>
        </is>
      </c>
      <c r="E1961" t="inlineStr">
        <is>
          <t>(en blanco)</t>
        </is>
      </c>
      <c r="F1961" t="inlineStr">
        <is>
          <t>(en blanco)</t>
        </is>
      </c>
      <c r="G1961" t="inlineStr">
        <is>
          <t>XS</t>
        </is>
      </c>
      <c r="H1961" t="n">
        <v>8</v>
      </c>
      <c r="I1961" t="inlineStr">
        <is>
          <t>NAUTICA_CLASSICS_Q022053_NSS_1.jpg</t>
        </is>
      </c>
      <c r="J1961" t="inlineStr">
        <is>
          <t>NAUTICA_CLASSICS_Q022053_NSS_2.jpg</t>
        </is>
      </c>
      <c r="K1961" t="inlineStr">
        <is>
          <t>NAUTICA_CLASSICS_Q022053_NSS_3.jpg</t>
        </is>
      </c>
      <c r="L1961">
        <f>IMAGE("file:///E:/Estudios%20y%20certificaciones/ESTUDIOS%20DE%20PROGRAMMING/PROGRAMMING/PERSONAL/PYTHON/Image_Generator_API/imagenes/NAUTICA_CLASSICS_Q022053_NSS_1.jpg")</f>
        <v/>
      </c>
      <c r="M1961">
        <f>IMAGE("file:///E:/Estudios%20y%20certificaciones/ESTUDIOS%20DE%20PROGRAMMING/PROGRAMMING/PERSONAL/PYTHON/Image_Generator_API/imagenes/NAUTICA_CLASSICS_Q022053_NSS_2.jpg")</f>
        <v/>
      </c>
      <c r="N1961">
        <f>IMAGE("file:///E:/Estudios%20y%20certificaciones/ESTUDIOS%20DE%20PROGRAMMING/PROGRAMMING/PERSONAL/PYTHON/Image_Generator_API/imagenes/NAUTICA_CLASSICS_Q022053_NSS_3.jpg")</f>
        <v/>
      </c>
      <c r="O1961">
        <f>HYPERLINK("imagenes/NAUTICA_CLASSICS_Q022053_NSS_1.jpg","Ver imagen")</f>
        <v/>
      </c>
      <c r="P1961">
        <f>HYPERLINK("imagenes/NAUTICA_CLASSICS_Q022053_NSS_2.jpg","Ver imagen")</f>
        <v/>
      </c>
      <c r="Q1961">
        <f>HYPERLINK("imagenes/NAUTICA_CLASSICS_Q022053_NSS_3.jpg","Ver imagen")</f>
        <v/>
      </c>
    </row>
    <row r="1962">
      <c r="A1962" t="inlineStr">
        <is>
          <t>NAUTICA CLASSICS</t>
        </is>
      </c>
      <c r="B1962" t="inlineStr">
        <is>
          <t>Q022053</t>
        </is>
      </c>
      <c r="C1962" t="inlineStr">
        <is>
          <t>ANORAK SNAPS FNT</t>
        </is>
      </c>
      <c r="D1962" t="inlineStr">
        <is>
          <t>NSS</t>
        </is>
      </c>
      <c r="E1962" t="inlineStr">
        <is>
          <t>(en blanco)</t>
        </is>
      </c>
      <c r="F1962" t="inlineStr">
        <is>
          <t>(en blanco)</t>
        </is>
      </c>
      <c r="G1962" t="inlineStr">
        <is>
          <t>S</t>
        </is>
      </c>
      <c r="H1962" t="n">
        <v>12</v>
      </c>
      <c r="I1962" t="inlineStr">
        <is>
          <t>NAUTICA_CLASSICS_Q022053_NSS_1.jpg</t>
        </is>
      </c>
      <c r="J1962" t="inlineStr">
        <is>
          <t>NAUTICA_CLASSICS_Q022053_NSS_2.jpg</t>
        </is>
      </c>
      <c r="K1962" t="inlineStr">
        <is>
          <t>NAUTICA_CLASSICS_Q022053_NSS_3.jpg</t>
        </is>
      </c>
      <c r="L1962">
        <f>IMAGE("file:///E:/Estudios%20y%20certificaciones/ESTUDIOS%20DE%20PROGRAMMING/PROGRAMMING/PERSONAL/PYTHON/Image_Generator_API/imagenes/NAUTICA_CLASSICS_Q022053_NSS_1.jpg")</f>
        <v/>
      </c>
      <c r="M1962">
        <f>IMAGE("file:///E:/Estudios%20y%20certificaciones/ESTUDIOS%20DE%20PROGRAMMING/PROGRAMMING/PERSONAL/PYTHON/Image_Generator_API/imagenes/NAUTICA_CLASSICS_Q022053_NSS_2.jpg")</f>
        <v/>
      </c>
      <c r="N1962">
        <f>IMAGE("file:///E:/Estudios%20y%20certificaciones/ESTUDIOS%20DE%20PROGRAMMING/PROGRAMMING/PERSONAL/PYTHON/Image_Generator_API/imagenes/NAUTICA_CLASSICS_Q022053_NSS_3.jpg")</f>
        <v/>
      </c>
      <c r="O1962">
        <f>HYPERLINK("imagenes/NAUTICA_CLASSICS_Q022053_NSS_1.jpg","Ver imagen")</f>
        <v/>
      </c>
      <c r="P1962">
        <f>HYPERLINK("imagenes/NAUTICA_CLASSICS_Q022053_NSS_2.jpg","Ver imagen")</f>
        <v/>
      </c>
      <c r="Q1962">
        <f>HYPERLINK("imagenes/NAUTICA_CLASSICS_Q022053_NSS_3.jpg","Ver imagen")</f>
        <v/>
      </c>
    </row>
    <row r="1963">
      <c r="A1963" t="inlineStr">
        <is>
          <t>NAUTICA CLASSICS</t>
        </is>
      </c>
      <c r="B1963" t="inlineStr">
        <is>
          <t>Q022053</t>
        </is>
      </c>
      <c r="C1963" t="inlineStr">
        <is>
          <t>ANORAK SNAPS FNT</t>
        </is>
      </c>
      <c r="D1963" t="inlineStr">
        <is>
          <t>NSS</t>
        </is>
      </c>
      <c r="E1963" t="inlineStr">
        <is>
          <t>(en blanco)</t>
        </is>
      </c>
      <c r="F1963" t="inlineStr">
        <is>
          <t>(en blanco)</t>
        </is>
      </c>
      <c r="G1963" t="inlineStr">
        <is>
          <t>M</t>
        </is>
      </c>
      <c r="H1963" t="n">
        <v>15</v>
      </c>
      <c r="I1963" t="inlineStr">
        <is>
          <t>NAUTICA_CLASSICS_Q022053_NSS_1.jpg</t>
        </is>
      </c>
      <c r="J1963" t="inlineStr">
        <is>
          <t>NAUTICA_CLASSICS_Q022053_NSS_2.jpg</t>
        </is>
      </c>
      <c r="K1963" t="inlineStr">
        <is>
          <t>NAUTICA_CLASSICS_Q022053_NSS_3.jpg</t>
        </is>
      </c>
      <c r="L1963">
        <f>IMAGE("file:///E:/Estudios%20y%20certificaciones/ESTUDIOS%20DE%20PROGRAMMING/PROGRAMMING/PERSONAL/PYTHON/Image_Generator_API/imagenes/NAUTICA_CLASSICS_Q022053_NSS_1.jpg")</f>
        <v/>
      </c>
      <c r="M1963">
        <f>IMAGE("file:///E:/Estudios%20y%20certificaciones/ESTUDIOS%20DE%20PROGRAMMING/PROGRAMMING/PERSONAL/PYTHON/Image_Generator_API/imagenes/NAUTICA_CLASSICS_Q022053_NSS_2.jpg")</f>
        <v/>
      </c>
      <c r="N1963">
        <f>IMAGE("file:///E:/Estudios%20y%20certificaciones/ESTUDIOS%20DE%20PROGRAMMING/PROGRAMMING/PERSONAL/PYTHON/Image_Generator_API/imagenes/NAUTICA_CLASSICS_Q022053_NSS_3.jpg")</f>
        <v/>
      </c>
      <c r="O1963">
        <f>HYPERLINK("imagenes/NAUTICA_CLASSICS_Q022053_NSS_1.jpg","Ver imagen")</f>
        <v/>
      </c>
      <c r="P1963">
        <f>HYPERLINK("imagenes/NAUTICA_CLASSICS_Q022053_NSS_2.jpg","Ver imagen")</f>
        <v/>
      </c>
      <c r="Q1963">
        <f>HYPERLINK("imagenes/NAUTICA_CLASSICS_Q022053_NSS_3.jpg","Ver imagen")</f>
        <v/>
      </c>
    </row>
    <row r="1964">
      <c r="A1964" t="inlineStr">
        <is>
          <t>NAUTICA CLASSICS</t>
        </is>
      </c>
      <c r="B1964" t="inlineStr">
        <is>
          <t>Q022053</t>
        </is>
      </c>
      <c r="C1964" t="inlineStr">
        <is>
          <t>ANORAK SNAPS FNT</t>
        </is>
      </c>
      <c r="D1964" t="inlineStr">
        <is>
          <t>NSS</t>
        </is>
      </c>
      <c r="E1964" t="inlineStr">
        <is>
          <t>(en blanco)</t>
        </is>
      </c>
      <c r="F1964" t="inlineStr">
        <is>
          <t>(en blanco)</t>
        </is>
      </c>
      <c r="G1964" t="inlineStr">
        <is>
          <t>XXL</t>
        </is>
      </c>
      <c r="H1964" t="n">
        <v>4</v>
      </c>
      <c r="I1964" t="inlineStr">
        <is>
          <t>NAUTICA_CLASSICS_Q022053_NSS_1.jpg</t>
        </is>
      </c>
      <c r="J1964" t="inlineStr">
        <is>
          <t>NAUTICA_CLASSICS_Q022053_NSS_2.jpg</t>
        </is>
      </c>
      <c r="K1964" t="inlineStr">
        <is>
          <t>NAUTICA_CLASSICS_Q022053_NSS_3.jpg</t>
        </is>
      </c>
      <c r="L1964">
        <f>IMAGE("file:///E:/Estudios%20y%20certificaciones/ESTUDIOS%20DE%20PROGRAMMING/PROGRAMMING/PERSONAL/PYTHON/Image_Generator_API/imagenes/NAUTICA_CLASSICS_Q022053_NSS_1.jpg")</f>
        <v/>
      </c>
      <c r="M1964">
        <f>IMAGE("file:///E:/Estudios%20y%20certificaciones/ESTUDIOS%20DE%20PROGRAMMING/PROGRAMMING/PERSONAL/PYTHON/Image_Generator_API/imagenes/NAUTICA_CLASSICS_Q022053_NSS_2.jpg")</f>
        <v/>
      </c>
      <c r="N1964">
        <f>IMAGE("file:///E:/Estudios%20y%20certificaciones/ESTUDIOS%20DE%20PROGRAMMING/PROGRAMMING/PERSONAL/PYTHON/Image_Generator_API/imagenes/NAUTICA_CLASSICS_Q022053_NSS_3.jpg")</f>
        <v/>
      </c>
      <c r="O1964">
        <f>HYPERLINK("imagenes/NAUTICA_CLASSICS_Q022053_NSS_1.jpg","Ver imagen")</f>
        <v/>
      </c>
      <c r="P1964">
        <f>HYPERLINK("imagenes/NAUTICA_CLASSICS_Q022053_NSS_2.jpg","Ver imagen")</f>
        <v/>
      </c>
      <c r="Q1964">
        <f>HYPERLINK("imagenes/NAUTICA_CLASSICS_Q022053_NSS_3.jpg","Ver imagen")</f>
        <v/>
      </c>
    </row>
    <row r="1965">
      <c r="A1965" t="inlineStr">
        <is>
          <t>NAUTICA CLASSICS</t>
        </is>
      </c>
      <c r="B1965" t="inlineStr">
        <is>
          <t>Q022053</t>
        </is>
      </c>
      <c r="C1965" t="inlineStr">
        <is>
          <t>ANORAK SNAPS FNT</t>
        </is>
      </c>
      <c r="D1965" t="inlineStr">
        <is>
          <t>OLI</t>
        </is>
      </c>
      <c r="E1965" t="inlineStr">
        <is>
          <t>(en blanco)</t>
        </is>
      </c>
      <c r="F1965" t="inlineStr">
        <is>
          <t>(en blanco)</t>
        </is>
      </c>
      <c r="G1965" t="inlineStr">
        <is>
          <t>XS</t>
        </is>
      </c>
      <c r="H1965" t="n">
        <v>46</v>
      </c>
      <c r="I1965" t="inlineStr">
        <is>
          <t>NAUTICA_CLASSICS_Q022053_OLI_1.jpg</t>
        </is>
      </c>
      <c r="J1965" t="inlineStr">
        <is>
          <t>NAUTICA_CLASSICS_Q022053_OLI_2.jpg</t>
        </is>
      </c>
      <c r="K1965" t="inlineStr">
        <is>
          <t>NAUTICA_CLASSICS_Q022053_OLI_3.jpg</t>
        </is>
      </c>
      <c r="L1965">
        <f>IMAGE("file:///E:/Estudios%20y%20certificaciones/ESTUDIOS%20DE%20PROGRAMMING/PROGRAMMING/PERSONAL/PYTHON/Image_Generator_API/imagenes/NAUTICA_CLASSICS_Q022053_OLI_1.jpg")</f>
        <v/>
      </c>
      <c r="M1965">
        <f>IMAGE("file:///E:/Estudios%20y%20certificaciones/ESTUDIOS%20DE%20PROGRAMMING/PROGRAMMING/PERSONAL/PYTHON/Image_Generator_API/imagenes/NAUTICA_CLASSICS_Q022053_OLI_2.jpg")</f>
        <v/>
      </c>
      <c r="N1965">
        <f>IMAGE("file:///E:/Estudios%20y%20certificaciones/ESTUDIOS%20DE%20PROGRAMMING/PROGRAMMING/PERSONAL/PYTHON/Image_Generator_API/imagenes/NAUTICA_CLASSICS_Q022053_OLI_3.jpg")</f>
        <v/>
      </c>
      <c r="O1965">
        <f>HYPERLINK("imagenes/NAUTICA_CLASSICS_Q022053_OLI_1.jpg","Ver imagen")</f>
        <v/>
      </c>
      <c r="P1965">
        <f>HYPERLINK("imagenes/NAUTICA_CLASSICS_Q022053_OLI_2.jpg","Ver imagen")</f>
        <v/>
      </c>
      <c r="Q1965">
        <f>HYPERLINK("imagenes/NAUTICA_CLASSICS_Q022053_OLI_3.jpg","Ver imagen")</f>
        <v/>
      </c>
    </row>
    <row r="1966">
      <c r="A1966" t="inlineStr">
        <is>
          <t>NAUTICA CLASSICS</t>
        </is>
      </c>
      <c r="B1966" t="inlineStr">
        <is>
          <t>Q022053</t>
        </is>
      </c>
      <c r="C1966" t="inlineStr">
        <is>
          <t>ANORAK SNAPS FNT</t>
        </is>
      </c>
      <c r="D1966" t="inlineStr">
        <is>
          <t>OLI</t>
        </is>
      </c>
      <c r="E1966" t="inlineStr">
        <is>
          <t>(en blanco)</t>
        </is>
      </c>
      <c r="F1966" t="inlineStr">
        <is>
          <t>(en blanco)</t>
        </is>
      </c>
      <c r="G1966" t="inlineStr">
        <is>
          <t>S</t>
        </is>
      </c>
      <c r="H1966" t="n">
        <v>34</v>
      </c>
      <c r="I1966" t="inlineStr">
        <is>
          <t>NAUTICA_CLASSICS_Q022053_OLI_1.jpg</t>
        </is>
      </c>
      <c r="J1966" t="inlineStr">
        <is>
          <t>NAUTICA_CLASSICS_Q022053_OLI_2.jpg</t>
        </is>
      </c>
      <c r="K1966" t="inlineStr">
        <is>
          <t>NAUTICA_CLASSICS_Q022053_OLI_3.jpg</t>
        </is>
      </c>
      <c r="L1966">
        <f>IMAGE("file:///E:/Estudios%20y%20certificaciones/ESTUDIOS%20DE%20PROGRAMMING/PROGRAMMING/PERSONAL/PYTHON/Image_Generator_API/imagenes/NAUTICA_CLASSICS_Q022053_OLI_1.jpg")</f>
        <v/>
      </c>
      <c r="M1966">
        <f>IMAGE("file:///E:/Estudios%20y%20certificaciones/ESTUDIOS%20DE%20PROGRAMMING/PROGRAMMING/PERSONAL/PYTHON/Image_Generator_API/imagenes/NAUTICA_CLASSICS_Q022053_OLI_2.jpg")</f>
        <v/>
      </c>
      <c r="N1966">
        <f>IMAGE("file:///E:/Estudios%20y%20certificaciones/ESTUDIOS%20DE%20PROGRAMMING/PROGRAMMING/PERSONAL/PYTHON/Image_Generator_API/imagenes/NAUTICA_CLASSICS_Q022053_OLI_3.jpg")</f>
        <v/>
      </c>
      <c r="O1966">
        <f>HYPERLINK("imagenes/NAUTICA_CLASSICS_Q022053_OLI_1.jpg","Ver imagen")</f>
        <v/>
      </c>
      <c r="P1966">
        <f>HYPERLINK("imagenes/NAUTICA_CLASSICS_Q022053_OLI_2.jpg","Ver imagen")</f>
        <v/>
      </c>
      <c r="Q1966">
        <f>HYPERLINK("imagenes/NAUTICA_CLASSICS_Q022053_OLI_3.jpg","Ver imagen")</f>
        <v/>
      </c>
    </row>
    <row r="1967">
      <c r="A1967" t="inlineStr">
        <is>
          <t>NAUTICA CLASSICS</t>
        </is>
      </c>
      <c r="B1967" t="inlineStr">
        <is>
          <t>Q022053</t>
        </is>
      </c>
      <c r="C1967" t="inlineStr">
        <is>
          <t>ANORAK SNAPS FNT</t>
        </is>
      </c>
      <c r="D1967" t="inlineStr">
        <is>
          <t>OLI</t>
        </is>
      </c>
      <c r="E1967" t="inlineStr">
        <is>
          <t>(en blanco)</t>
        </is>
      </c>
      <c r="F1967" t="inlineStr">
        <is>
          <t>(en blanco)</t>
        </is>
      </c>
      <c r="G1967" t="inlineStr">
        <is>
          <t>M</t>
        </is>
      </c>
      <c r="H1967" t="n">
        <v>62</v>
      </c>
      <c r="I1967" t="inlineStr">
        <is>
          <t>NAUTICA_CLASSICS_Q022053_OLI_1.jpg</t>
        </is>
      </c>
      <c r="J1967" t="inlineStr">
        <is>
          <t>NAUTICA_CLASSICS_Q022053_OLI_2.jpg</t>
        </is>
      </c>
      <c r="K1967" t="inlineStr">
        <is>
          <t>NAUTICA_CLASSICS_Q022053_OLI_3.jpg</t>
        </is>
      </c>
      <c r="L1967">
        <f>IMAGE("file:///E:/Estudios%20y%20certificaciones/ESTUDIOS%20DE%20PROGRAMMING/PROGRAMMING/PERSONAL/PYTHON/Image_Generator_API/imagenes/NAUTICA_CLASSICS_Q022053_OLI_1.jpg")</f>
        <v/>
      </c>
      <c r="M1967">
        <f>IMAGE("file:///E:/Estudios%20y%20certificaciones/ESTUDIOS%20DE%20PROGRAMMING/PROGRAMMING/PERSONAL/PYTHON/Image_Generator_API/imagenes/NAUTICA_CLASSICS_Q022053_OLI_2.jpg")</f>
        <v/>
      </c>
      <c r="N1967">
        <f>IMAGE("file:///E:/Estudios%20y%20certificaciones/ESTUDIOS%20DE%20PROGRAMMING/PROGRAMMING/PERSONAL/PYTHON/Image_Generator_API/imagenes/NAUTICA_CLASSICS_Q022053_OLI_3.jpg")</f>
        <v/>
      </c>
      <c r="O1967">
        <f>HYPERLINK("imagenes/NAUTICA_CLASSICS_Q022053_OLI_1.jpg","Ver imagen")</f>
        <v/>
      </c>
      <c r="P1967">
        <f>HYPERLINK("imagenes/NAUTICA_CLASSICS_Q022053_OLI_2.jpg","Ver imagen")</f>
        <v/>
      </c>
      <c r="Q1967">
        <f>HYPERLINK("imagenes/NAUTICA_CLASSICS_Q022053_OLI_3.jpg","Ver imagen")</f>
        <v/>
      </c>
    </row>
    <row r="1968">
      <c r="A1968" t="inlineStr">
        <is>
          <t>NAUTICA CLASSICS</t>
        </is>
      </c>
      <c r="B1968" t="inlineStr">
        <is>
          <t>Q022053</t>
        </is>
      </c>
      <c r="C1968" t="inlineStr">
        <is>
          <t>ANORAK SNAPS FNT</t>
        </is>
      </c>
      <c r="D1968" t="inlineStr">
        <is>
          <t>OLI</t>
        </is>
      </c>
      <c r="E1968" t="inlineStr">
        <is>
          <t>(en blanco)</t>
        </is>
      </c>
      <c r="F1968" t="inlineStr">
        <is>
          <t>(en blanco)</t>
        </is>
      </c>
      <c r="G1968" t="inlineStr">
        <is>
          <t>L</t>
        </is>
      </c>
      <c r="H1968" t="n">
        <v>56</v>
      </c>
      <c r="I1968" t="inlineStr">
        <is>
          <t>NAUTICA_CLASSICS_Q022053_OLI_1.jpg</t>
        </is>
      </c>
      <c r="J1968" t="inlineStr">
        <is>
          <t>NAUTICA_CLASSICS_Q022053_OLI_2.jpg</t>
        </is>
      </c>
      <c r="K1968" t="inlineStr">
        <is>
          <t>NAUTICA_CLASSICS_Q022053_OLI_3.jpg</t>
        </is>
      </c>
      <c r="L1968">
        <f>IMAGE("file:///E:/Estudios%20y%20certificaciones/ESTUDIOS%20DE%20PROGRAMMING/PROGRAMMING/PERSONAL/PYTHON/Image_Generator_API/imagenes/NAUTICA_CLASSICS_Q022053_OLI_1.jpg")</f>
        <v/>
      </c>
      <c r="M1968">
        <f>IMAGE("file:///E:/Estudios%20y%20certificaciones/ESTUDIOS%20DE%20PROGRAMMING/PROGRAMMING/PERSONAL/PYTHON/Image_Generator_API/imagenes/NAUTICA_CLASSICS_Q022053_OLI_2.jpg")</f>
        <v/>
      </c>
      <c r="N1968">
        <f>IMAGE("file:///E:/Estudios%20y%20certificaciones/ESTUDIOS%20DE%20PROGRAMMING/PROGRAMMING/PERSONAL/PYTHON/Image_Generator_API/imagenes/NAUTICA_CLASSICS_Q022053_OLI_3.jpg")</f>
        <v/>
      </c>
      <c r="O1968">
        <f>HYPERLINK("imagenes/NAUTICA_CLASSICS_Q022053_OLI_1.jpg","Ver imagen")</f>
        <v/>
      </c>
      <c r="P1968">
        <f>HYPERLINK("imagenes/NAUTICA_CLASSICS_Q022053_OLI_2.jpg","Ver imagen")</f>
        <v/>
      </c>
      <c r="Q1968">
        <f>HYPERLINK("imagenes/NAUTICA_CLASSICS_Q022053_OLI_3.jpg","Ver imagen")</f>
        <v/>
      </c>
    </row>
    <row r="1969">
      <c r="A1969" t="inlineStr">
        <is>
          <t>NAUTICA CLASSICS</t>
        </is>
      </c>
      <c r="B1969" t="inlineStr">
        <is>
          <t>Q022053</t>
        </is>
      </c>
      <c r="C1969" t="inlineStr">
        <is>
          <t>ANORAK SNAPS FNT</t>
        </is>
      </c>
      <c r="D1969" t="inlineStr">
        <is>
          <t>OLI</t>
        </is>
      </c>
      <c r="E1969" t="inlineStr">
        <is>
          <t>(en blanco)</t>
        </is>
      </c>
      <c r="F1969" t="inlineStr">
        <is>
          <t>(en blanco)</t>
        </is>
      </c>
      <c r="G1969" t="inlineStr">
        <is>
          <t>XL</t>
        </is>
      </c>
      <c r="H1969" t="n">
        <v>41</v>
      </c>
      <c r="I1969" t="inlineStr">
        <is>
          <t>NAUTICA_CLASSICS_Q022053_OLI_1.jpg</t>
        </is>
      </c>
      <c r="J1969" t="inlineStr">
        <is>
          <t>NAUTICA_CLASSICS_Q022053_OLI_2.jpg</t>
        </is>
      </c>
      <c r="K1969" t="inlineStr">
        <is>
          <t>NAUTICA_CLASSICS_Q022053_OLI_3.jpg</t>
        </is>
      </c>
      <c r="L1969">
        <f>IMAGE("file:///E:/Estudios%20y%20certificaciones/ESTUDIOS%20DE%20PROGRAMMING/PROGRAMMING/PERSONAL/PYTHON/Image_Generator_API/imagenes/NAUTICA_CLASSICS_Q022053_OLI_1.jpg")</f>
        <v/>
      </c>
      <c r="M1969">
        <f>IMAGE("file:///E:/Estudios%20y%20certificaciones/ESTUDIOS%20DE%20PROGRAMMING/PROGRAMMING/PERSONAL/PYTHON/Image_Generator_API/imagenes/NAUTICA_CLASSICS_Q022053_OLI_2.jpg")</f>
        <v/>
      </c>
      <c r="N1969">
        <f>IMAGE("file:///E:/Estudios%20y%20certificaciones/ESTUDIOS%20DE%20PROGRAMMING/PROGRAMMING/PERSONAL/PYTHON/Image_Generator_API/imagenes/NAUTICA_CLASSICS_Q022053_OLI_3.jpg")</f>
        <v/>
      </c>
      <c r="O1969">
        <f>HYPERLINK("imagenes/NAUTICA_CLASSICS_Q022053_OLI_1.jpg","Ver imagen")</f>
        <v/>
      </c>
      <c r="P1969">
        <f>HYPERLINK("imagenes/NAUTICA_CLASSICS_Q022053_OLI_2.jpg","Ver imagen")</f>
        <v/>
      </c>
      <c r="Q1969">
        <f>HYPERLINK("imagenes/NAUTICA_CLASSICS_Q022053_OLI_3.jpg","Ver imagen")</f>
        <v/>
      </c>
    </row>
    <row r="1970">
      <c r="A1970" t="inlineStr">
        <is>
          <t>NAUTICA CLASSICS</t>
        </is>
      </c>
      <c r="B1970" t="inlineStr">
        <is>
          <t>Q022053</t>
        </is>
      </c>
      <c r="C1970" t="inlineStr">
        <is>
          <t>ANORAK SNAPS FNT</t>
        </is>
      </c>
      <c r="D1970" t="inlineStr">
        <is>
          <t>OLI</t>
        </is>
      </c>
      <c r="E1970" t="inlineStr">
        <is>
          <t>(en blanco)</t>
        </is>
      </c>
      <c r="F1970" t="inlineStr">
        <is>
          <t>(en blanco)</t>
        </is>
      </c>
      <c r="G1970" t="inlineStr">
        <is>
          <t>XXL</t>
        </is>
      </c>
      <c r="H1970" t="n">
        <v>9</v>
      </c>
      <c r="I1970" t="inlineStr">
        <is>
          <t>NAUTICA_CLASSICS_Q022053_OLI_1.jpg</t>
        </is>
      </c>
      <c r="J1970" t="inlineStr">
        <is>
          <t>NAUTICA_CLASSICS_Q022053_OLI_2.jpg</t>
        </is>
      </c>
      <c r="K1970" t="inlineStr">
        <is>
          <t>NAUTICA_CLASSICS_Q022053_OLI_3.jpg</t>
        </is>
      </c>
      <c r="L1970">
        <f>IMAGE("file:///E:/Estudios%20y%20certificaciones/ESTUDIOS%20DE%20PROGRAMMING/PROGRAMMING/PERSONAL/PYTHON/Image_Generator_API/imagenes/NAUTICA_CLASSICS_Q022053_OLI_1.jpg")</f>
        <v/>
      </c>
      <c r="M1970">
        <f>IMAGE("file:///E:/Estudios%20y%20certificaciones/ESTUDIOS%20DE%20PROGRAMMING/PROGRAMMING/PERSONAL/PYTHON/Image_Generator_API/imagenes/NAUTICA_CLASSICS_Q022053_OLI_2.jpg")</f>
        <v/>
      </c>
      <c r="N1970">
        <f>IMAGE("file:///E:/Estudios%20y%20certificaciones/ESTUDIOS%20DE%20PROGRAMMING/PROGRAMMING/PERSONAL/PYTHON/Image_Generator_API/imagenes/NAUTICA_CLASSICS_Q022053_OLI_3.jpg")</f>
        <v/>
      </c>
      <c r="O1970">
        <f>HYPERLINK("imagenes/NAUTICA_CLASSICS_Q022053_OLI_1.jpg","Ver imagen")</f>
        <v/>
      </c>
      <c r="P1970">
        <f>HYPERLINK("imagenes/NAUTICA_CLASSICS_Q022053_OLI_2.jpg","Ver imagen")</f>
        <v/>
      </c>
      <c r="Q1970">
        <f>HYPERLINK("imagenes/NAUTICA_CLASSICS_Q022053_OLI_3.jpg","Ver imagen")</f>
        <v/>
      </c>
    </row>
    <row r="1971">
      <c r="A1971" t="inlineStr">
        <is>
          <t>NAUTICA CLASSICS</t>
        </is>
      </c>
      <c r="B1971" t="inlineStr">
        <is>
          <t>Q022056</t>
        </is>
      </c>
      <c r="C1971" t="inlineStr">
        <is>
          <t>MICRO PUFFR W/BIB&amp;HD</t>
        </is>
      </c>
      <c r="D1971" t="inlineStr">
        <is>
          <t>BLK</t>
        </is>
      </c>
      <c r="E1971" t="inlineStr">
        <is>
          <t>(en blanco)</t>
        </is>
      </c>
      <c r="F1971" t="inlineStr">
        <is>
          <t>(en blanco)</t>
        </is>
      </c>
      <c r="G1971" t="inlineStr">
        <is>
          <t>S</t>
        </is>
      </c>
      <c r="H1971" t="n">
        <v>1</v>
      </c>
      <c r="I1971" t="inlineStr">
        <is>
          <t>NAUTICA_CLASSICS_Q022056_BLK_2.jpg</t>
        </is>
      </c>
      <c r="J1971" t="inlineStr">
        <is>
          <t>NAUTICA_CLASSICS_Q022056_BLK_3.jpg</t>
        </is>
      </c>
      <c r="L1971">
        <f>IMAGE("file:///E:/Estudios%20y%20certificaciones/ESTUDIOS%20DE%20PROGRAMMING/PROGRAMMING/PERSONAL/PYTHON/Image_Generator_API/imagenes/NAUTICA_CLASSICS_Q022056_BLK_2.jpg")</f>
        <v/>
      </c>
      <c r="M1971">
        <f>IMAGE("file:///E:/Estudios%20y%20certificaciones/ESTUDIOS%20DE%20PROGRAMMING/PROGRAMMING/PERSONAL/PYTHON/Image_Generator_API/imagenes/NAUTICA_CLASSICS_Q022056_BLK_3.jpg")</f>
        <v/>
      </c>
      <c r="O1971">
        <f>HYPERLINK("imagenes/NAUTICA_CLASSICS_Q022056_BLK_2.jpg","Ver imagen")</f>
        <v/>
      </c>
      <c r="P1971">
        <f>HYPERLINK("imagenes/NAUTICA_CLASSICS_Q022056_BLK_3.jpg","Ver imagen")</f>
        <v/>
      </c>
    </row>
    <row r="1972">
      <c r="A1972" t="inlineStr">
        <is>
          <t>NAUTICA CLASSICS</t>
        </is>
      </c>
      <c r="B1972" t="inlineStr">
        <is>
          <t>Q022098</t>
        </is>
      </c>
      <c r="C1972" t="inlineStr">
        <is>
          <t>3/4 MICROFIBR W/HOOD</t>
        </is>
      </c>
      <c r="D1972" t="inlineStr">
        <is>
          <t>BLK</t>
        </is>
      </c>
      <c r="E1972" t="inlineStr">
        <is>
          <t>(en blanco)</t>
        </is>
      </c>
      <c r="F1972" t="inlineStr">
        <is>
          <t>(en blanco)</t>
        </is>
      </c>
      <c r="G1972" t="inlineStr">
        <is>
          <t>S</t>
        </is>
      </c>
      <c r="H1972" t="n">
        <v>1</v>
      </c>
      <c r="I1972" t="inlineStr">
        <is>
          <t>NAUTICA_CLASSICS_Q022098_BLK_1.jpg</t>
        </is>
      </c>
      <c r="J1972" t="inlineStr">
        <is>
          <t>NAUTICA_CLASSICS_Q022098_BLK_2.jpg</t>
        </is>
      </c>
      <c r="K1972" t="inlineStr">
        <is>
          <t>NAUTICA_CLASSICS_Q022098_BLK_3.jpg</t>
        </is>
      </c>
      <c r="L1972">
        <f>IMAGE("file:///E:/Estudios%20y%20certificaciones/ESTUDIOS%20DE%20PROGRAMMING/PROGRAMMING/PERSONAL/PYTHON/Image_Generator_API/imagenes/NAUTICA_CLASSICS_Q022098_BLK_1.jpg")</f>
        <v/>
      </c>
      <c r="M1972">
        <f>IMAGE("file:///E:/Estudios%20y%20certificaciones/ESTUDIOS%20DE%20PROGRAMMING/PROGRAMMING/PERSONAL/PYTHON/Image_Generator_API/imagenes/NAUTICA_CLASSICS_Q022098_BLK_2.jpg")</f>
        <v/>
      </c>
      <c r="N1972">
        <f>IMAGE("file:///E:/Estudios%20y%20certificaciones/ESTUDIOS%20DE%20PROGRAMMING/PROGRAMMING/PERSONAL/PYTHON/Image_Generator_API/imagenes/NAUTICA_CLASSICS_Q022098_BLK_3.jpg")</f>
        <v/>
      </c>
      <c r="O1972">
        <f>HYPERLINK("imagenes/NAUTICA_CLASSICS_Q022098_BLK_1.jpg","Ver imagen")</f>
        <v/>
      </c>
      <c r="P1972">
        <f>HYPERLINK("imagenes/NAUTICA_CLASSICS_Q022098_BLK_2.jpg","Ver imagen")</f>
        <v/>
      </c>
      <c r="Q1972">
        <f>HYPERLINK("imagenes/NAUTICA_CLASSICS_Q022098_BLK_3.jpg","Ver imagen")</f>
        <v/>
      </c>
    </row>
    <row r="1973">
      <c r="A1973" t="inlineStr">
        <is>
          <t>NAUTICA CLASSICS</t>
        </is>
      </c>
      <c r="B1973" t="inlineStr">
        <is>
          <t>Q022924</t>
        </is>
      </c>
      <c r="C1973" t="inlineStr">
        <is>
          <t>TOGGLE FNT FAUX FUR</t>
        </is>
      </c>
      <c r="D1973" t="inlineStr">
        <is>
          <t>CHR</t>
        </is>
      </c>
      <c r="E1973" t="inlineStr">
        <is>
          <t>(en blanco)</t>
        </is>
      </c>
      <c r="F1973" t="inlineStr">
        <is>
          <t>(en blanco)</t>
        </is>
      </c>
      <c r="G1973" t="inlineStr">
        <is>
          <t>XS</t>
        </is>
      </c>
      <c r="H1973" t="n">
        <v>1</v>
      </c>
      <c r="I1973" t="inlineStr">
        <is>
          <t>NAUTICA_CLASSICS_Q022924_CHR_1.jpg</t>
        </is>
      </c>
      <c r="J1973" t="inlineStr">
        <is>
          <t>NAUTICA_CLASSICS_Q022924_CHR_2.jpg</t>
        </is>
      </c>
      <c r="K1973" t="inlineStr">
        <is>
          <t>NAUTICA_CLASSICS_Q022924_CHR_3.jpg</t>
        </is>
      </c>
      <c r="L1973">
        <f>IMAGE("file:///E:/Estudios%20y%20certificaciones/ESTUDIOS%20DE%20PROGRAMMING/PROGRAMMING/PERSONAL/PYTHON/Image_Generator_API/imagenes/NAUTICA_CLASSICS_Q022924_CHR_1.jpg")</f>
        <v/>
      </c>
      <c r="M1973">
        <f>IMAGE("file:///E:/Estudios%20y%20certificaciones/ESTUDIOS%20DE%20PROGRAMMING/PROGRAMMING/PERSONAL/PYTHON/Image_Generator_API/imagenes/NAUTICA_CLASSICS_Q022924_CHR_2.jpg")</f>
        <v/>
      </c>
      <c r="N1973">
        <f>IMAGE("file:///E:/Estudios%20y%20certificaciones/ESTUDIOS%20DE%20PROGRAMMING/PROGRAMMING/PERSONAL/PYTHON/Image_Generator_API/imagenes/NAUTICA_CLASSICS_Q022924_CHR_3.jpg")</f>
        <v/>
      </c>
      <c r="O1973">
        <f>HYPERLINK("imagenes/NAUTICA_CLASSICS_Q022924_CHR_1.jpg","Ver imagen")</f>
        <v/>
      </c>
      <c r="P1973">
        <f>HYPERLINK("imagenes/NAUTICA_CLASSICS_Q022924_CHR_2.jpg","Ver imagen")</f>
        <v/>
      </c>
      <c r="Q1973">
        <f>HYPERLINK("imagenes/NAUTICA_CLASSICS_Q022924_CHR_3.jpg","Ver imagen")</f>
        <v/>
      </c>
    </row>
    <row r="1974">
      <c r="A1974" t="inlineStr">
        <is>
          <t>NAUTICA CLASSICS</t>
        </is>
      </c>
      <c r="B1974" t="inlineStr">
        <is>
          <t>Q022924</t>
        </is>
      </c>
      <c r="C1974" t="inlineStr">
        <is>
          <t>TOGGLE FNT FAUX FUR</t>
        </is>
      </c>
      <c r="D1974" t="inlineStr">
        <is>
          <t>CHR</t>
        </is>
      </c>
      <c r="E1974" t="inlineStr">
        <is>
          <t>(en blanco)</t>
        </is>
      </c>
      <c r="F1974" t="inlineStr">
        <is>
          <t>(en blanco)</t>
        </is>
      </c>
      <c r="G1974" t="inlineStr">
        <is>
          <t>S</t>
        </is>
      </c>
      <c r="H1974" t="n">
        <v>1</v>
      </c>
      <c r="I1974" t="inlineStr">
        <is>
          <t>NAUTICA_CLASSICS_Q022924_CHR_1.jpg</t>
        </is>
      </c>
      <c r="J1974" t="inlineStr">
        <is>
          <t>NAUTICA_CLASSICS_Q022924_CHR_2.jpg</t>
        </is>
      </c>
      <c r="K1974" t="inlineStr">
        <is>
          <t>NAUTICA_CLASSICS_Q022924_CHR_3.jpg</t>
        </is>
      </c>
      <c r="L1974">
        <f>IMAGE("file:///E:/Estudios%20y%20certificaciones/ESTUDIOS%20DE%20PROGRAMMING/PROGRAMMING/PERSONAL/PYTHON/Image_Generator_API/imagenes/NAUTICA_CLASSICS_Q022924_CHR_1.jpg")</f>
        <v/>
      </c>
      <c r="M1974">
        <f>IMAGE("file:///E:/Estudios%20y%20certificaciones/ESTUDIOS%20DE%20PROGRAMMING/PROGRAMMING/PERSONAL/PYTHON/Image_Generator_API/imagenes/NAUTICA_CLASSICS_Q022924_CHR_2.jpg")</f>
        <v/>
      </c>
      <c r="N1974">
        <f>IMAGE("file:///E:/Estudios%20y%20certificaciones/ESTUDIOS%20DE%20PROGRAMMING/PROGRAMMING/PERSONAL/PYTHON/Image_Generator_API/imagenes/NAUTICA_CLASSICS_Q022924_CHR_3.jpg")</f>
        <v/>
      </c>
      <c r="O1974">
        <f>HYPERLINK("imagenes/NAUTICA_CLASSICS_Q022924_CHR_1.jpg","Ver imagen")</f>
        <v/>
      </c>
      <c r="P1974">
        <f>HYPERLINK("imagenes/NAUTICA_CLASSICS_Q022924_CHR_2.jpg","Ver imagen")</f>
        <v/>
      </c>
      <c r="Q1974">
        <f>HYPERLINK("imagenes/NAUTICA_CLASSICS_Q022924_CHR_3.jpg","Ver imagen")</f>
        <v/>
      </c>
    </row>
    <row r="1975">
      <c r="A1975" t="inlineStr">
        <is>
          <t>NAUTICA CLASSICS</t>
        </is>
      </c>
      <c r="B1975" t="inlineStr">
        <is>
          <t>Q024135</t>
        </is>
      </c>
      <c r="C1975" t="inlineStr">
        <is>
          <t>REVERSBL LT WT PACKB</t>
        </is>
      </c>
      <c r="D1975" t="inlineStr">
        <is>
          <t>PTU</t>
        </is>
      </c>
      <c r="E1975" t="inlineStr">
        <is>
          <t>(en blanco)</t>
        </is>
      </c>
      <c r="F1975" t="inlineStr">
        <is>
          <t>(en blanco)</t>
        </is>
      </c>
      <c r="G1975" t="inlineStr">
        <is>
          <t>S</t>
        </is>
      </c>
      <c r="H1975" t="n">
        <v>1</v>
      </c>
      <c r="I1975" t="inlineStr">
        <is>
          <t>NAUTICA_CLASSICS_Q024135_PTU_1.jpg</t>
        </is>
      </c>
      <c r="J1975" t="inlineStr">
        <is>
          <t>NAUTICA_CLASSICS_Q024135_PTU_2.jpg</t>
        </is>
      </c>
      <c r="K1975" t="inlineStr">
        <is>
          <t>NAUTICA_CLASSICS_Q024135_PTU_3.jpg</t>
        </is>
      </c>
      <c r="L1975">
        <f>IMAGE("file:///E:/Estudios%20y%20certificaciones/ESTUDIOS%20DE%20PROGRAMMING/PROGRAMMING/PERSONAL/PYTHON/Image_Generator_API/imagenes/NAUTICA_CLASSICS_Q024135_PTU_1.jpg")</f>
        <v/>
      </c>
      <c r="M1975">
        <f>IMAGE("file:///E:/Estudios%20y%20certificaciones/ESTUDIOS%20DE%20PROGRAMMING/PROGRAMMING/PERSONAL/PYTHON/Image_Generator_API/imagenes/NAUTICA_CLASSICS_Q024135_PTU_2.jpg")</f>
        <v/>
      </c>
      <c r="N1975">
        <f>IMAGE("file:///E:/Estudios%20y%20certificaciones/ESTUDIOS%20DE%20PROGRAMMING/PROGRAMMING/PERSONAL/PYTHON/Image_Generator_API/imagenes/NAUTICA_CLASSICS_Q024135_PTU_3.jpg")</f>
        <v/>
      </c>
      <c r="O1975">
        <f>HYPERLINK("imagenes/NAUTICA_CLASSICS_Q024135_PTU_1.jpg","Ver imagen")</f>
        <v/>
      </c>
      <c r="P1975">
        <f>HYPERLINK("imagenes/NAUTICA_CLASSICS_Q024135_PTU_2.jpg","Ver imagen")</f>
        <v/>
      </c>
      <c r="Q1975">
        <f>HYPERLINK("imagenes/NAUTICA_CLASSICS_Q024135_PTU_3.jpg","Ver imagen")</f>
        <v/>
      </c>
    </row>
    <row r="1976">
      <c r="A1976" t="inlineStr">
        <is>
          <t>NAUTICA CLASSICS</t>
        </is>
      </c>
      <c r="B1976" t="inlineStr">
        <is>
          <t>Q026566</t>
        </is>
      </c>
      <c r="C1976" t="inlineStr">
        <is>
          <t>3/4 PUFER W/FUR HOOD</t>
        </is>
      </c>
      <c r="D1976" t="inlineStr">
        <is>
          <t>BLK</t>
        </is>
      </c>
      <c r="E1976" t="inlineStr">
        <is>
          <t>(en blanco)</t>
        </is>
      </c>
      <c r="F1976" t="inlineStr">
        <is>
          <t>(en blanco)</t>
        </is>
      </c>
      <c r="G1976" t="inlineStr">
        <is>
          <t>XL</t>
        </is>
      </c>
      <c r="H1976" t="n">
        <v>1</v>
      </c>
      <c r="I1976" t="inlineStr">
        <is>
          <t>NAUTICA_CLASSICS_Q026566_BLK_1.jpg</t>
        </is>
      </c>
      <c r="J1976" t="inlineStr">
        <is>
          <t>NAUTICA_CLASSICS_Q026566_BLK_2.jpg</t>
        </is>
      </c>
      <c r="K1976" t="inlineStr">
        <is>
          <t>NAUTICA_CLASSICS_Q026566_BLK_3.jpg</t>
        </is>
      </c>
      <c r="L1976">
        <f>IMAGE("file:///E:/Estudios%20y%20certificaciones/ESTUDIOS%20DE%20PROGRAMMING/PROGRAMMING/PERSONAL/PYTHON/Image_Generator_API/imagenes/NAUTICA_CLASSICS_Q026566_BLK_1.jpg")</f>
        <v/>
      </c>
      <c r="M1976">
        <f>IMAGE("file:///E:/Estudios%20y%20certificaciones/ESTUDIOS%20DE%20PROGRAMMING/PROGRAMMING/PERSONAL/PYTHON/Image_Generator_API/imagenes/NAUTICA_CLASSICS_Q026566_BLK_2.jpg")</f>
        <v/>
      </c>
      <c r="N1976">
        <f>IMAGE("file:///E:/Estudios%20y%20certificaciones/ESTUDIOS%20DE%20PROGRAMMING/PROGRAMMING/PERSONAL/PYTHON/Image_Generator_API/imagenes/NAUTICA_CLASSICS_Q026566_BLK_3.jpg")</f>
        <v/>
      </c>
      <c r="O1976">
        <f>HYPERLINK("imagenes/NAUTICA_CLASSICS_Q026566_BLK_1.jpg","Ver imagen")</f>
        <v/>
      </c>
      <c r="P1976">
        <f>HYPERLINK("imagenes/NAUTICA_CLASSICS_Q026566_BLK_2.jpg","Ver imagen")</f>
        <v/>
      </c>
      <c r="Q1976">
        <f>HYPERLINK("imagenes/NAUTICA_CLASSICS_Q026566_BLK_3.jpg","Ver imagen")</f>
        <v/>
      </c>
    </row>
    <row r="1977">
      <c r="A1977" t="inlineStr">
        <is>
          <t>NAUTICA CLASSICS</t>
        </is>
      </c>
      <c r="B1977" t="inlineStr">
        <is>
          <t>Q121810</t>
        </is>
      </c>
      <c r="C1977" t="inlineStr">
        <is>
          <t>SHRT HOOD STR NOLOGO</t>
        </is>
      </c>
      <c r="D1977" t="inlineStr">
        <is>
          <t>NSS</t>
        </is>
      </c>
      <c r="E1977" t="inlineStr">
        <is>
          <t>(en blanco)</t>
        </is>
      </c>
      <c r="F1977" t="inlineStr">
        <is>
          <t>(en blanco)</t>
        </is>
      </c>
      <c r="G1977" t="inlineStr">
        <is>
          <t>S</t>
        </is>
      </c>
      <c r="H1977" t="n">
        <v>1</v>
      </c>
      <c r="I1977" t="inlineStr">
        <is>
          <t>NAUTICA_CLASSICS_Q121810_NSS_1.jpg</t>
        </is>
      </c>
      <c r="J1977" t="inlineStr">
        <is>
          <t>NAUTICA_CLASSICS_Q121810_NSS_2.jpg</t>
        </is>
      </c>
      <c r="K1977" t="inlineStr">
        <is>
          <t>NAUTICA_CLASSICS_Q121810_NSS_3.jpg</t>
        </is>
      </c>
      <c r="L1977">
        <f>IMAGE("file:///E:/Estudios%20y%20certificaciones/ESTUDIOS%20DE%20PROGRAMMING/PROGRAMMING/PERSONAL/PYTHON/Image_Generator_API/imagenes/NAUTICA_CLASSICS_Q121810_NSS_1.jpg")</f>
        <v/>
      </c>
      <c r="M1977">
        <f>IMAGE("file:///E:/Estudios%20y%20certificaciones/ESTUDIOS%20DE%20PROGRAMMING/PROGRAMMING/PERSONAL/PYTHON/Image_Generator_API/imagenes/NAUTICA_CLASSICS_Q121810_NSS_2.jpg")</f>
        <v/>
      </c>
      <c r="N1977">
        <f>IMAGE("file:///E:/Estudios%20y%20certificaciones/ESTUDIOS%20DE%20PROGRAMMING/PROGRAMMING/PERSONAL/PYTHON/Image_Generator_API/imagenes/NAUTICA_CLASSICS_Q121810_NSS_3.jpg")</f>
        <v/>
      </c>
      <c r="O1977">
        <f>HYPERLINK("imagenes/NAUTICA_CLASSICS_Q121810_NSS_1.jpg","Ver imagen")</f>
        <v/>
      </c>
      <c r="P1977">
        <f>HYPERLINK("imagenes/NAUTICA_CLASSICS_Q121810_NSS_2.jpg","Ver imagen")</f>
        <v/>
      </c>
      <c r="Q1977">
        <f>HYPERLINK("imagenes/NAUTICA_CLASSICS_Q121810_NSS_3.jpg","Ver imagen")</f>
        <v/>
      </c>
    </row>
    <row r="1978">
      <c r="A1978" t="inlineStr">
        <is>
          <t>NAUTICA CLASSICS</t>
        </is>
      </c>
      <c r="B1978" t="inlineStr">
        <is>
          <t>Q121838</t>
        </is>
      </c>
      <c r="C1978" t="inlineStr">
        <is>
          <t>SHRT HOOD STR LT WT</t>
        </is>
      </c>
      <c r="D1978" t="inlineStr">
        <is>
          <t>BLK</t>
        </is>
      </c>
      <c r="E1978" t="inlineStr">
        <is>
          <t>(en blanco)</t>
        </is>
      </c>
      <c r="F1978" t="inlineStr">
        <is>
          <t>(en blanco)</t>
        </is>
      </c>
      <c r="G1978" t="inlineStr">
        <is>
          <t>XL</t>
        </is>
      </c>
      <c r="H1978" t="n">
        <v>1</v>
      </c>
      <c r="I1978" t="inlineStr">
        <is>
          <t>NAUTICA_CLASSICS_Q121838_BLK_1.jpg</t>
        </is>
      </c>
      <c r="J1978" t="inlineStr">
        <is>
          <t>NAUTICA_CLASSICS_Q121838_BLK_2.jpg</t>
        </is>
      </c>
      <c r="K1978" t="inlineStr">
        <is>
          <t>NAUTICA_CLASSICS_Q121838_BLK_3.jpg</t>
        </is>
      </c>
      <c r="L1978">
        <f>IMAGE("file:///E:/Estudios%20y%20certificaciones/ESTUDIOS%20DE%20PROGRAMMING/PROGRAMMING/PERSONAL/PYTHON/Image_Generator_API/imagenes/NAUTICA_CLASSICS_Q121838_BLK_1.jpg")</f>
        <v/>
      </c>
      <c r="M1978">
        <f>IMAGE("file:///E:/Estudios%20y%20certificaciones/ESTUDIOS%20DE%20PROGRAMMING/PROGRAMMING/PERSONAL/PYTHON/Image_Generator_API/imagenes/NAUTICA_CLASSICS_Q121838_BLK_2.jpg")</f>
        <v/>
      </c>
      <c r="N1978">
        <f>IMAGE("file:///E:/Estudios%20y%20certificaciones/ESTUDIOS%20DE%20PROGRAMMING/PROGRAMMING/PERSONAL/PYTHON/Image_Generator_API/imagenes/NAUTICA_CLASSICS_Q121838_BLK_3.jpg")</f>
        <v/>
      </c>
      <c r="O1978">
        <f>HYPERLINK("imagenes/NAUTICA_CLASSICS_Q121838_BLK_1.jpg","Ver imagen")</f>
        <v/>
      </c>
      <c r="P1978">
        <f>HYPERLINK("imagenes/NAUTICA_CLASSICS_Q121838_BLK_2.jpg","Ver imagen")</f>
        <v/>
      </c>
      <c r="Q1978">
        <f>HYPERLINK("imagenes/NAUTICA_CLASSICS_Q121838_BLK_3.jpg","Ver imagen")</f>
        <v/>
      </c>
    </row>
    <row r="1979">
      <c r="A1979" t="inlineStr">
        <is>
          <t>NAUTICA CLASSICS</t>
        </is>
      </c>
      <c r="B1979" t="inlineStr">
        <is>
          <t>Q121838</t>
        </is>
      </c>
      <c r="C1979" t="inlineStr">
        <is>
          <t>SHRT HOOD STR LT WT</t>
        </is>
      </c>
      <c r="D1979" t="inlineStr">
        <is>
          <t>NSS</t>
        </is>
      </c>
      <c r="E1979" t="inlineStr">
        <is>
          <t>(en blanco)</t>
        </is>
      </c>
      <c r="F1979" t="inlineStr">
        <is>
          <t>(en blanco)</t>
        </is>
      </c>
      <c r="G1979" t="inlineStr">
        <is>
          <t>S</t>
        </is>
      </c>
      <c r="H1979" t="n">
        <v>1</v>
      </c>
      <c r="I1979" t="inlineStr">
        <is>
          <t>NAUTICA_CLASSICS_Q121838_NSS_1.jpg</t>
        </is>
      </c>
      <c r="J1979" t="inlineStr">
        <is>
          <t>NAUTICA_CLASSICS_Q121838_NSS_2.jpg</t>
        </is>
      </c>
      <c r="K1979" t="inlineStr">
        <is>
          <t>NAUTICA_CLASSICS_Q121838_NSS_3.jpg</t>
        </is>
      </c>
      <c r="L1979">
        <f>IMAGE("file:///E:/Estudios%20y%20certificaciones/ESTUDIOS%20DE%20PROGRAMMING/PROGRAMMING/PERSONAL/PYTHON/Image_Generator_API/imagenes/NAUTICA_CLASSICS_Q121838_NSS_1.jpg")</f>
        <v/>
      </c>
      <c r="M1979">
        <f>IMAGE("file:///E:/Estudios%20y%20certificaciones/ESTUDIOS%20DE%20PROGRAMMING/PROGRAMMING/PERSONAL/PYTHON/Image_Generator_API/imagenes/NAUTICA_CLASSICS_Q121838_NSS_2.jpg")</f>
        <v/>
      </c>
      <c r="N1979">
        <f>IMAGE("file:///E:/Estudios%20y%20certificaciones/ESTUDIOS%20DE%20PROGRAMMING/PROGRAMMING/PERSONAL/PYTHON/Image_Generator_API/imagenes/NAUTICA_CLASSICS_Q121838_NSS_3.jpg")</f>
        <v/>
      </c>
      <c r="O1979">
        <f>HYPERLINK("imagenes/NAUTICA_CLASSICS_Q121838_NSS_1.jpg","Ver imagen")</f>
        <v/>
      </c>
      <c r="P1979">
        <f>HYPERLINK("imagenes/NAUTICA_CLASSICS_Q121838_NSS_2.jpg","Ver imagen")</f>
        <v/>
      </c>
      <c r="Q1979">
        <f>HYPERLINK("imagenes/NAUTICA_CLASSICS_Q121838_NSS_3.jpg","Ver imagen")</f>
        <v/>
      </c>
    </row>
    <row r="1980">
      <c r="A1980" t="inlineStr">
        <is>
          <t>NAUTICA CLASSICS</t>
        </is>
      </c>
      <c r="B1980" t="inlineStr">
        <is>
          <t>Q121838</t>
        </is>
      </c>
      <c r="C1980" t="inlineStr">
        <is>
          <t>SHRT HOOD STR LT WT</t>
        </is>
      </c>
      <c r="D1980" t="inlineStr">
        <is>
          <t>NSS</t>
        </is>
      </c>
      <c r="E1980" t="inlineStr">
        <is>
          <t>(en blanco)</t>
        </is>
      </c>
      <c r="F1980" t="inlineStr">
        <is>
          <t>(en blanco)</t>
        </is>
      </c>
      <c r="G1980" t="inlineStr">
        <is>
          <t>M</t>
        </is>
      </c>
      <c r="H1980" t="n">
        <v>1</v>
      </c>
      <c r="I1980" t="inlineStr">
        <is>
          <t>NAUTICA_CLASSICS_Q121838_NSS_1.jpg</t>
        </is>
      </c>
      <c r="J1980" t="inlineStr">
        <is>
          <t>NAUTICA_CLASSICS_Q121838_NSS_2.jpg</t>
        </is>
      </c>
      <c r="K1980" t="inlineStr">
        <is>
          <t>NAUTICA_CLASSICS_Q121838_NSS_3.jpg</t>
        </is>
      </c>
      <c r="L1980">
        <f>IMAGE("file:///E:/Estudios%20y%20certificaciones/ESTUDIOS%20DE%20PROGRAMMING/PROGRAMMING/PERSONAL/PYTHON/Image_Generator_API/imagenes/NAUTICA_CLASSICS_Q121838_NSS_1.jpg")</f>
        <v/>
      </c>
      <c r="M1980">
        <f>IMAGE("file:///E:/Estudios%20y%20certificaciones/ESTUDIOS%20DE%20PROGRAMMING/PROGRAMMING/PERSONAL/PYTHON/Image_Generator_API/imagenes/NAUTICA_CLASSICS_Q121838_NSS_2.jpg")</f>
        <v/>
      </c>
      <c r="N1980">
        <f>IMAGE("file:///E:/Estudios%20y%20certificaciones/ESTUDIOS%20DE%20PROGRAMMING/PROGRAMMING/PERSONAL/PYTHON/Image_Generator_API/imagenes/NAUTICA_CLASSICS_Q121838_NSS_3.jpg")</f>
        <v/>
      </c>
      <c r="O1980">
        <f>HYPERLINK("imagenes/NAUTICA_CLASSICS_Q121838_NSS_1.jpg","Ver imagen")</f>
        <v/>
      </c>
      <c r="P1980">
        <f>HYPERLINK("imagenes/NAUTICA_CLASSICS_Q121838_NSS_2.jpg","Ver imagen")</f>
        <v/>
      </c>
      <c r="Q1980">
        <f>HYPERLINK("imagenes/NAUTICA_CLASSICS_Q121838_NSS_3.jpg","Ver imagen")</f>
        <v/>
      </c>
    </row>
    <row r="1981">
      <c r="A1981" t="inlineStr">
        <is>
          <t>NAUTICA CLASSICS</t>
        </is>
      </c>
      <c r="B1981" t="inlineStr">
        <is>
          <t>Q122053</t>
        </is>
      </c>
      <c r="C1981" t="inlineStr">
        <is>
          <t>ANORAK JACKET</t>
        </is>
      </c>
      <c r="D1981" t="inlineStr">
        <is>
          <t>MCA</t>
        </is>
      </c>
      <c r="E1981" t="inlineStr">
        <is>
          <t>(en blanco)</t>
        </is>
      </c>
      <c r="F1981" t="inlineStr">
        <is>
          <t>(en blanco)</t>
        </is>
      </c>
      <c r="G1981" t="inlineStr">
        <is>
          <t>XXL</t>
        </is>
      </c>
      <c r="H1981" t="n">
        <v>1</v>
      </c>
      <c r="I1981" t="inlineStr">
        <is>
          <t>NAUTICA_CLASSICS_Q122053_MCA_1.jpg</t>
        </is>
      </c>
      <c r="J1981" t="inlineStr">
        <is>
          <t>NAUTICA_CLASSICS_Q122053_MCA_2.jpg</t>
        </is>
      </c>
      <c r="K1981" t="inlineStr">
        <is>
          <t>NAUTICA_CLASSICS_Q122053_MCA_3.jpg</t>
        </is>
      </c>
      <c r="L1981">
        <f>IMAGE("file:///E:/Estudios%20y%20certificaciones/ESTUDIOS%20DE%20PROGRAMMING/PROGRAMMING/PERSONAL/PYTHON/Image_Generator_API/imagenes/NAUTICA_CLASSICS_Q122053_MCA_1.jpg")</f>
        <v/>
      </c>
      <c r="M1981">
        <f>IMAGE("file:///E:/Estudios%20y%20certificaciones/ESTUDIOS%20DE%20PROGRAMMING/PROGRAMMING/PERSONAL/PYTHON/Image_Generator_API/imagenes/NAUTICA_CLASSICS_Q122053_MCA_2.jpg")</f>
        <v/>
      </c>
      <c r="N1981">
        <f>IMAGE("file:///E:/Estudios%20y%20certificaciones/ESTUDIOS%20DE%20PROGRAMMING/PROGRAMMING/PERSONAL/PYTHON/Image_Generator_API/imagenes/NAUTICA_CLASSICS_Q122053_MCA_3.jpg")</f>
        <v/>
      </c>
      <c r="O1981">
        <f>HYPERLINK("imagenes/NAUTICA_CLASSICS_Q122053_MCA_1.jpg","Ver imagen")</f>
        <v/>
      </c>
      <c r="P1981">
        <f>HYPERLINK("imagenes/NAUTICA_CLASSICS_Q122053_MCA_2.jpg","Ver imagen")</f>
        <v/>
      </c>
      <c r="Q1981">
        <f>HYPERLINK("imagenes/NAUTICA_CLASSICS_Q122053_MCA_3.jpg","Ver imagen")</f>
        <v/>
      </c>
    </row>
    <row r="1982">
      <c r="A1982" t="inlineStr">
        <is>
          <t>NAUTICA CLASSICS</t>
        </is>
      </c>
      <c r="B1982" t="inlineStr">
        <is>
          <t>Q122053</t>
        </is>
      </c>
      <c r="C1982" t="inlineStr">
        <is>
          <t>ANORAK JACKET</t>
        </is>
      </c>
      <c r="D1982" t="inlineStr">
        <is>
          <t>PC3</t>
        </is>
      </c>
      <c r="E1982" t="inlineStr">
        <is>
          <t>(en blanco)</t>
        </is>
      </c>
      <c r="F1982" t="inlineStr">
        <is>
          <t>(en blanco)</t>
        </is>
      </c>
      <c r="G1982" t="inlineStr">
        <is>
          <t>S</t>
        </is>
      </c>
      <c r="H1982" t="n">
        <v>2</v>
      </c>
      <c r="I1982" t="inlineStr">
        <is>
          <t>NAUTICA_CLASSICS_Q122053_PC3_2.jpg</t>
        </is>
      </c>
      <c r="J1982" t="inlineStr">
        <is>
          <t>NAUTICA_CLASSICS_Q122053_PC3_3.jpg</t>
        </is>
      </c>
      <c r="L1982">
        <f>IMAGE("file:///E:/Estudios%20y%20certificaciones/ESTUDIOS%20DE%20PROGRAMMING/PROGRAMMING/PERSONAL/PYTHON/Image_Generator_API/imagenes/NAUTICA_CLASSICS_Q122053_PC3_2.jpg")</f>
        <v/>
      </c>
      <c r="M1982">
        <f>IMAGE("file:///E:/Estudios%20y%20certificaciones/ESTUDIOS%20DE%20PROGRAMMING/PROGRAMMING/PERSONAL/PYTHON/Image_Generator_API/imagenes/NAUTICA_CLASSICS_Q122053_PC3_3.jpg")</f>
        <v/>
      </c>
      <c r="O1982">
        <f>HYPERLINK("imagenes/NAUTICA_CLASSICS_Q122053_PC3_2.jpg","Ver imagen")</f>
        <v/>
      </c>
      <c r="P1982">
        <f>HYPERLINK("imagenes/NAUTICA_CLASSICS_Q122053_PC3_3.jpg","Ver imagen")</f>
        <v/>
      </c>
    </row>
    <row r="1983">
      <c r="A1983" t="inlineStr">
        <is>
          <t>NAUTICA CLASSICS</t>
        </is>
      </c>
      <c r="B1983" t="inlineStr">
        <is>
          <t>Q122053</t>
        </is>
      </c>
      <c r="C1983" t="inlineStr">
        <is>
          <t>ANORAK JACKET</t>
        </is>
      </c>
      <c r="D1983" t="inlineStr">
        <is>
          <t>PC3</t>
        </is>
      </c>
      <c r="E1983" t="inlineStr">
        <is>
          <t>(en blanco)</t>
        </is>
      </c>
      <c r="F1983" t="inlineStr">
        <is>
          <t>(en blanco)</t>
        </is>
      </c>
      <c r="G1983" t="inlineStr">
        <is>
          <t>M</t>
        </is>
      </c>
      <c r="H1983" t="n">
        <v>1</v>
      </c>
      <c r="I1983" t="inlineStr">
        <is>
          <t>NAUTICA_CLASSICS_Q122053_PC3_2.jpg</t>
        </is>
      </c>
      <c r="J1983" t="inlineStr">
        <is>
          <t>NAUTICA_CLASSICS_Q122053_PC3_3.jpg</t>
        </is>
      </c>
      <c r="L1983">
        <f>IMAGE("file:///E:/Estudios%20y%20certificaciones/ESTUDIOS%20DE%20PROGRAMMING/PROGRAMMING/PERSONAL/PYTHON/Image_Generator_API/imagenes/NAUTICA_CLASSICS_Q122053_PC3_2.jpg")</f>
        <v/>
      </c>
      <c r="M1983">
        <f>IMAGE("file:///E:/Estudios%20y%20certificaciones/ESTUDIOS%20DE%20PROGRAMMING/PROGRAMMING/PERSONAL/PYTHON/Image_Generator_API/imagenes/NAUTICA_CLASSICS_Q122053_PC3_3.jpg")</f>
        <v/>
      </c>
      <c r="O1983">
        <f>HYPERLINK("imagenes/NAUTICA_CLASSICS_Q122053_PC3_2.jpg","Ver imagen")</f>
        <v/>
      </c>
      <c r="P1983">
        <f>HYPERLINK("imagenes/NAUTICA_CLASSICS_Q122053_PC3_3.jpg","Ver imagen")</f>
        <v/>
      </c>
    </row>
    <row r="1984">
      <c r="A1984" t="inlineStr">
        <is>
          <t>NAUTICA CLASSICS</t>
        </is>
      </c>
      <c r="B1984" t="inlineStr">
        <is>
          <t>Q221879</t>
        </is>
      </c>
      <c r="C1984" t="inlineStr">
        <is>
          <t>3/4 STR PUFFER S/HD</t>
        </is>
      </c>
      <c r="D1984" t="inlineStr">
        <is>
          <t>B68</t>
        </is>
      </c>
      <c r="E1984" t="inlineStr">
        <is>
          <t>(en blanco)</t>
        </is>
      </c>
      <c r="F1984" t="inlineStr">
        <is>
          <t>(en blanco)</t>
        </is>
      </c>
      <c r="G1984" t="inlineStr">
        <is>
          <t>S</t>
        </is>
      </c>
      <c r="H1984" t="n">
        <v>1</v>
      </c>
      <c r="I1984" t="inlineStr">
        <is>
          <t>NAUTICA_CLASSICS_Q221879_B68_1.jpg</t>
        </is>
      </c>
      <c r="J1984" t="inlineStr">
        <is>
          <t>NAUTICA_CLASSICS_Q221879_B68_2.jpg</t>
        </is>
      </c>
      <c r="K1984" t="inlineStr">
        <is>
          <t>NAUTICA_CLASSICS_Q221879_B68_3.jpg</t>
        </is>
      </c>
      <c r="L1984">
        <f>IMAGE("file:///E:/Estudios%20y%20certificaciones/ESTUDIOS%20DE%20PROGRAMMING/PROGRAMMING/PERSONAL/PYTHON/Image_Generator_API/imagenes/NAUTICA_CLASSICS_Q221879_B68_1.jpg")</f>
        <v/>
      </c>
      <c r="M1984">
        <f>IMAGE("file:///E:/Estudios%20y%20certificaciones/ESTUDIOS%20DE%20PROGRAMMING/PROGRAMMING/PERSONAL/PYTHON/Image_Generator_API/imagenes/NAUTICA_CLASSICS_Q221879_B68_2.jpg")</f>
        <v/>
      </c>
      <c r="N1984">
        <f>IMAGE("file:///E:/Estudios%20y%20certificaciones/ESTUDIOS%20DE%20PROGRAMMING/PROGRAMMING/PERSONAL/PYTHON/Image_Generator_API/imagenes/NAUTICA_CLASSICS_Q221879_B68_3.jpg")</f>
        <v/>
      </c>
      <c r="O1984">
        <f>HYPERLINK("imagenes/NAUTICA_CLASSICS_Q221879_B68_1.jpg","Ver imagen")</f>
        <v/>
      </c>
      <c r="P1984">
        <f>HYPERLINK("imagenes/NAUTICA_CLASSICS_Q221879_B68_2.jpg","Ver imagen")</f>
        <v/>
      </c>
      <c r="Q1984">
        <f>HYPERLINK("imagenes/NAUTICA_CLASSICS_Q221879_B68_3.jpg","Ver imagen")</f>
        <v/>
      </c>
    </row>
    <row r="1985">
      <c r="A1985" t="inlineStr">
        <is>
          <t>NAUTICA CLASSICS</t>
        </is>
      </c>
      <c r="B1985" t="inlineStr">
        <is>
          <t>Q221879</t>
        </is>
      </c>
      <c r="C1985" t="inlineStr">
        <is>
          <t>3/4 STR PUFFER S/HD</t>
        </is>
      </c>
      <c r="D1985" t="inlineStr">
        <is>
          <t>B68</t>
        </is>
      </c>
      <c r="E1985" t="inlineStr">
        <is>
          <t>(en blanco)</t>
        </is>
      </c>
      <c r="F1985" t="inlineStr">
        <is>
          <t>(en blanco)</t>
        </is>
      </c>
      <c r="G1985" t="inlineStr">
        <is>
          <t>M</t>
        </is>
      </c>
      <c r="H1985" t="n">
        <v>1</v>
      </c>
      <c r="I1985" t="inlineStr">
        <is>
          <t>NAUTICA_CLASSICS_Q221879_B68_1.jpg</t>
        </is>
      </c>
      <c r="J1985" t="inlineStr">
        <is>
          <t>NAUTICA_CLASSICS_Q221879_B68_2.jpg</t>
        </is>
      </c>
      <c r="K1985" t="inlineStr">
        <is>
          <t>NAUTICA_CLASSICS_Q221879_B68_3.jpg</t>
        </is>
      </c>
      <c r="L1985">
        <f>IMAGE("file:///E:/Estudios%20y%20certificaciones/ESTUDIOS%20DE%20PROGRAMMING/PROGRAMMING/PERSONAL/PYTHON/Image_Generator_API/imagenes/NAUTICA_CLASSICS_Q221879_B68_1.jpg")</f>
        <v/>
      </c>
      <c r="M1985">
        <f>IMAGE("file:///E:/Estudios%20y%20certificaciones/ESTUDIOS%20DE%20PROGRAMMING/PROGRAMMING/PERSONAL/PYTHON/Image_Generator_API/imagenes/NAUTICA_CLASSICS_Q221879_B68_2.jpg")</f>
        <v/>
      </c>
      <c r="N1985">
        <f>IMAGE("file:///E:/Estudios%20y%20certificaciones/ESTUDIOS%20DE%20PROGRAMMING/PROGRAMMING/PERSONAL/PYTHON/Image_Generator_API/imagenes/NAUTICA_CLASSICS_Q221879_B68_3.jpg")</f>
        <v/>
      </c>
      <c r="O1985">
        <f>HYPERLINK("imagenes/NAUTICA_CLASSICS_Q221879_B68_1.jpg","Ver imagen")</f>
        <v/>
      </c>
      <c r="P1985">
        <f>HYPERLINK("imagenes/NAUTICA_CLASSICS_Q221879_B68_2.jpg","Ver imagen")</f>
        <v/>
      </c>
      <c r="Q1985">
        <f>HYPERLINK("imagenes/NAUTICA_CLASSICS_Q221879_B68_3.jpg","Ver imagen")</f>
        <v/>
      </c>
    </row>
    <row r="1986">
      <c r="A1986" t="inlineStr">
        <is>
          <t>NAUTICA CLASSICS</t>
        </is>
      </c>
      <c r="B1986" t="inlineStr">
        <is>
          <t>Q221886</t>
        </is>
      </c>
      <c r="C1986" t="inlineStr">
        <is>
          <t>SHORT HOOD STR LT WT</t>
        </is>
      </c>
      <c r="D1986" t="inlineStr">
        <is>
          <t>BLK</t>
        </is>
      </c>
      <c r="E1986" t="inlineStr">
        <is>
          <t>(en blanco)</t>
        </is>
      </c>
      <c r="F1986" t="inlineStr">
        <is>
          <t>(en blanco)</t>
        </is>
      </c>
      <c r="G1986" t="inlineStr">
        <is>
          <t>XS</t>
        </is>
      </c>
      <c r="H1986" t="n">
        <v>1</v>
      </c>
      <c r="I1986" t="inlineStr">
        <is>
          <t>NAUTICA_CLASSICS_Q221886_BLK_1.jpg</t>
        </is>
      </c>
      <c r="J1986" t="inlineStr">
        <is>
          <t>NAUTICA_CLASSICS_Q221886_BLK_2.jpg</t>
        </is>
      </c>
      <c r="K1986" t="inlineStr">
        <is>
          <t>NAUTICA_CLASSICS_Q221886_BLK_3.jpg</t>
        </is>
      </c>
      <c r="L1986">
        <f>IMAGE("file:///E:/Estudios%20y%20certificaciones/ESTUDIOS%20DE%20PROGRAMMING/PROGRAMMING/PERSONAL/PYTHON/Image_Generator_API/imagenes/NAUTICA_CLASSICS_Q221886_BLK_1.jpg")</f>
        <v/>
      </c>
      <c r="M1986">
        <f>IMAGE("file:///E:/Estudios%20y%20certificaciones/ESTUDIOS%20DE%20PROGRAMMING/PROGRAMMING/PERSONAL/PYTHON/Image_Generator_API/imagenes/NAUTICA_CLASSICS_Q221886_BLK_2.jpg")</f>
        <v/>
      </c>
      <c r="N1986">
        <f>IMAGE("file:///E:/Estudios%20y%20certificaciones/ESTUDIOS%20DE%20PROGRAMMING/PROGRAMMING/PERSONAL/PYTHON/Image_Generator_API/imagenes/NAUTICA_CLASSICS_Q221886_BLK_3.jpg")</f>
        <v/>
      </c>
      <c r="O1986">
        <f>HYPERLINK("imagenes/NAUTICA_CLASSICS_Q221886_BLK_1.jpg","Ver imagen")</f>
        <v/>
      </c>
      <c r="P1986">
        <f>HYPERLINK("imagenes/NAUTICA_CLASSICS_Q221886_BLK_2.jpg","Ver imagen")</f>
        <v/>
      </c>
      <c r="Q1986">
        <f>HYPERLINK("imagenes/NAUTICA_CLASSICS_Q221886_BLK_3.jpg","Ver imagen")</f>
        <v/>
      </c>
    </row>
    <row r="1987">
      <c r="A1987" t="inlineStr">
        <is>
          <t>NAUTICA CLASSICS</t>
        </is>
      </c>
      <c r="B1987" t="inlineStr">
        <is>
          <t>Q221886</t>
        </is>
      </c>
      <c r="C1987" t="inlineStr">
        <is>
          <t>SHORT HOOD STR LT WT</t>
        </is>
      </c>
      <c r="D1987" t="inlineStr">
        <is>
          <t>MGR</t>
        </is>
      </c>
      <c r="E1987" t="inlineStr">
        <is>
          <t>(en blanco)</t>
        </is>
      </c>
      <c r="F1987" t="inlineStr">
        <is>
          <t>(en blanco)</t>
        </is>
      </c>
      <c r="G1987" t="inlineStr">
        <is>
          <t>XS</t>
        </is>
      </c>
      <c r="H1987" t="n">
        <v>1</v>
      </c>
      <c r="I1987" t="inlineStr">
        <is>
          <t>NAUTICA_CLASSICS_Q221886_MGR_1.jpg</t>
        </is>
      </c>
      <c r="J1987" t="inlineStr">
        <is>
          <t>NAUTICA_CLASSICS_Q221886_MGR_2.jpg</t>
        </is>
      </c>
      <c r="K1987" t="inlineStr">
        <is>
          <t>NAUTICA_CLASSICS_Q221886_MGR_3.jpg</t>
        </is>
      </c>
      <c r="L1987">
        <f>IMAGE("file:///E:/Estudios%20y%20certificaciones/ESTUDIOS%20DE%20PROGRAMMING/PROGRAMMING/PERSONAL/PYTHON/Image_Generator_API/imagenes/NAUTICA_CLASSICS_Q221886_MGR_1.jpg")</f>
        <v/>
      </c>
      <c r="M1987">
        <f>IMAGE("file:///E:/Estudios%20y%20certificaciones/ESTUDIOS%20DE%20PROGRAMMING/PROGRAMMING/PERSONAL/PYTHON/Image_Generator_API/imagenes/NAUTICA_CLASSICS_Q221886_MGR_2.jpg")</f>
        <v/>
      </c>
      <c r="N1987">
        <f>IMAGE("file:///E:/Estudios%20y%20certificaciones/ESTUDIOS%20DE%20PROGRAMMING/PROGRAMMING/PERSONAL/PYTHON/Image_Generator_API/imagenes/NAUTICA_CLASSICS_Q221886_MGR_3.jpg")</f>
        <v/>
      </c>
      <c r="O1987">
        <f>HYPERLINK("imagenes/NAUTICA_CLASSICS_Q221886_MGR_1.jpg","Ver imagen")</f>
        <v/>
      </c>
      <c r="P1987">
        <f>HYPERLINK("imagenes/NAUTICA_CLASSICS_Q221886_MGR_2.jpg","Ver imagen")</f>
        <v/>
      </c>
      <c r="Q1987">
        <f>HYPERLINK("imagenes/NAUTICA_CLASSICS_Q221886_MGR_3.jpg","Ver imagen")</f>
        <v/>
      </c>
    </row>
    <row r="1988">
      <c r="A1988" t="inlineStr">
        <is>
          <t>NAUTICA CLASSICS</t>
        </is>
      </c>
      <c r="B1988" t="inlineStr">
        <is>
          <t>Q221886</t>
        </is>
      </c>
      <c r="C1988" t="inlineStr">
        <is>
          <t>SHORT HOOD STR LT WT</t>
        </is>
      </c>
      <c r="D1988" t="inlineStr">
        <is>
          <t>MGR</t>
        </is>
      </c>
      <c r="E1988" t="inlineStr">
        <is>
          <t>(en blanco)</t>
        </is>
      </c>
      <c r="F1988" t="inlineStr">
        <is>
          <t>(en blanco)</t>
        </is>
      </c>
      <c r="G1988" t="inlineStr">
        <is>
          <t>L</t>
        </is>
      </c>
      <c r="H1988" t="n">
        <v>1</v>
      </c>
      <c r="I1988" t="inlineStr">
        <is>
          <t>NAUTICA_CLASSICS_Q221886_MGR_1.jpg</t>
        </is>
      </c>
      <c r="J1988" t="inlineStr">
        <is>
          <t>NAUTICA_CLASSICS_Q221886_MGR_2.jpg</t>
        </is>
      </c>
      <c r="K1988" t="inlineStr">
        <is>
          <t>NAUTICA_CLASSICS_Q221886_MGR_3.jpg</t>
        </is>
      </c>
      <c r="L1988">
        <f>IMAGE("file:///E:/Estudios%20y%20certificaciones/ESTUDIOS%20DE%20PROGRAMMING/PROGRAMMING/PERSONAL/PYTHON/Image_Generator_API/imagenes/NAUTICA_CLASSICS_Q221886_MGR_1.jpg")</f>
        <v/>
      </c>
      <c r="M1988">
        <f>IMAGE("file:///E:/Estudios%20y%20certificaciones/ESTUDIOS%20DE%20PROGRAMMING/PROGRAMMING/PERSONAL/PYTHON/Image_Generator_API/imagenes/NAUTICA_CLASSICS_Q221886_MGR_2.jpg")</f>
        <v/>
      </c>
      <c r="N1988">
        <f>IMAGE("file:///E:/Estudios%20y%20certificaciones/ESTUDIOS%20DE%20PROGRAMMING/PROGRAMMING/PERSONAL/PYTHON/Image_Generator_API/imagenes/NAUTICA_CLASSICS_Q221886_MGR_3.jpg")</f>
        <v/>
      </c>
      <c r="O1988">
        <f>HYPERLINK("imagenes/NAUTICA_CLASSICS_Q221886_MGR_1.jpg","Ver imagen")</f>
        <v/>
      </c>
      <c r="P1988">
        <f>HYPERLINK("imagenes/NAUTICA_CLASSICS_Q221886_MGR_2.jpg","Ver imagen")</f>
        <v/>
      </c>
      <c r="Q1988">
        <f>HYPERLINK("imagenes/NAUTICA_CLASSICS_Q221886_MGR_3.jpg","Ver imagen")</f>
        <v/>
      </c>
    </row>
    <row r="1989">
      <c r="A1989" t="inlineStr">
        <is>
          <t>NAUTICA CLASSICS</t>
        </is>
      </c>
      <c r="B1989" t="inlineStr">
        <is>
          <t>Q221886</t>
        </is>
      </c>
      <c r="C1989" t="inlineStr">
        <is>
          <t>SHORT HOOD STR LT WT</t>
        </is>
      </c>
      <c r="D1989" t="inlineStr">
        <is>
          <t>NSS</t>
        </is>
      </c>
      <c r="E1989" t="inlineStr">
        <is>
          <t>(en blanco)</t>
        </is>
      </c>
      <c r="F1989" t="inlineStr">
        <is>
          <t>(en blanco)</t>
        </is>
      </c>
      <c r="G1989" t="inlineStr">
        <is>
          <t>XS</t>
        </is>
      </c>
      <c r="H1989" t="n">
        <v>1</v>
      </c>
      <c r="I1989" t="inlineStr">
        <is>
          <t>NAUTICA_CLASSICS_Q221886_NSS_1.jpg</t>
        </is>
      </c>
      <c r="J1989" t="inlineStr">
        <is>
          <t>NAUTICA_CLASSICS_Q221886_NSS_2.jpg</t>
        </is>
      </c>
      <c r="K1989" t="inlineStr">
        <is>
          <t>NAUTICA_CLASSICS_Q221886_NSS_3.jpg</t>
        </is>
      </c>
      <c r="L1989">
        <f>IMAGE("file:///E:/Estudios%20y%20certificaciones/ESTUDIOS%20DE%20PROGRAMMING/PROGRAMMING/PERSONAL/PYTHON/Image_Generator_API/imagenes/NAUTICA_CLASSICS_Q221886_NSS_1.jpg")</f>
        <v/>
      </c>
      <c r="M1989">
        <f>IMAGE("file:///E:/Estudios%20y%20certificaciones/ESTUDIOS%20DE%20PROGRAMMING/PROGRAMMING/PERSONAL/PYTHON/Image_Generator_API/imagenes/NAUTICA_CLASSICS_Q221886_NSS_2.jpg")</f>
        <v/>
      </c>
      <c r="N1989">
        <f>IMAGE("file:///E:/Estudios%20y%20certificaciones/ESTUDIOS%20DE%20PROGRAMMING/PROGRAMMING/PERSONAL/PYTHON/Image_Generator_API/imagenes/NAUTICA_CLASSICS_Q221886_NSS_3.jpg")</f>
        <v/>
      </c>
      <c r="O1989">
        <f>HYPERLINK("imagenes/NAUTICA_CLASSICS_Q221886_NSS_1.jpg","Ver imagen")</f>
        <v/>
      </c>
      <c r="P1989">
        <f>HYPERLINK("imagenes/NAUTICA_CLASSICS_Q221886_NSS_2.jpg","Ver imagen")</f>
        <v/>
      </c>
      <c r="Q1989">
        <f>HYPERLINK("imagenes/NAUTICA_CLASSICS_Q221886_NSS_3.jpg","Ver imagen")</f>
        <v/>
      </c>
    </row>
    <row r="1990">
      <c r="A1990" t="inlineStr">
        <is>
          <t>NAUTICA CLASSICS</t>
        </is>
      </c>
      <c r="B1990" t="inlineStr">
        <is>
          <t>Q221895</t>
        </is>
      </c>
      <c r="C1990" t="inlineStr">
        <is>
          <t>SHORT STR PUFR W/FF</t>
        </is>
      </c>
      <c r="D1990" t="inlineStr">
        <is>
          <t>BLK</t>
        </is>
      </c>
      <c r="E1990" t="inlineStr">
        <is>
          <t>(en blanco)</t>
        </is>
      </c>
      <c r="F1990" t="inlineStr">
        <is>
          <t>(en blanco)</t>
        </is>
      </c>
      <c r="G1990" t="inlineStr">
        <is>
          <t>XS</t>
        </is>
      </c>
      <c r="H1990" t="n">
        <v>1</v>
      </c>
      <c r="I1990" t="inlineStr">
        <is>
          <t>NAUTICA_CLASSICS_Q221895_BLK_1.jpg</t>
        </is>
      </c>
      <c r="J1990" t="inlineStr">
        <is>
          <t>NAUTICA_CLASSICS_Q221895_BLK_2.jpg</t>
        </is>
      </c>
      <c r="K1990" t="inlineStr">
        <is>
          <t>NAUTICA_CLASSICS_Q221895_BLK_3.jpg</t>
        </is>
      </c>
      <c r="L1990">
        <f>IMAGE("file:///E:/Estudios%20y%20certificaciones/ESTUDIOS%20DE%20PROGRAMMING/PROGRAMMING/PERSONAL/PYTHON/Image_Generator_API/imagenes/NAUTICA_CLASSICS_Q221895_BLK_1.jpg")</f>
        <v/>
      </c>
      <c r="M1990">
        <f>IMAGE("file:///E:/Estudios%20y%20certificaciones/ESTUDIOS%20DE%20PROGRAMMING/PROGRAMMING/PERSONAL/PYTHON/Image_Generator_API/imagenes/NAUTICA_CLASSICS_Q221895_BLK_2.jpg")</f>
        <v/>
      </c>
      <c r="N1990">
        <f>IMAGE("file:///E:/Estudios%20y%20certificaciones/ESTUDIOS%20DE%20PROGRAMMING/PROGRAMMING/PERSONAL/PYTHON/Image_Generator_API/imagenes/NAUTICA_CLASSICS_Q221895_BLK_3.jpg")</f>
        <v/>
      </c>
      <c r="O1990">
        <f>HYPERLINK("imagenes/NAUTICA_CLASSICS_Q221895_BLK_1.jpg","Ver imagen")</f>
        <v/>
      </c>
      <c r="P1990">
        <f>HYPERLINK("imagenes/NAUTICA_CLASSICS_Q221895_BLK_2.jpg","Ver imagen")</f>
        <v/>
      </c>
      <c r="Q1990">
        <f>HYPERLINK("imagenes/NAUTICA_CLASSICS_Q221895_BLK_3.jpg","Ver imagen")</f>
        <v/>
      </c>
    </row>
    <row r="1991">
      <c r="A1991" t="inlineStr">
        <is>
          <t>NAUTICA CLASSICS</t>
        </is>
      </c>
      <c r="B1991" t="inlineStr">
        <is>
          <t>Q221895</t>
        </is>
      </c>
      <c r="C1991" t="inlineStr">
        <is>
          <t>SHORT STR PUFR W/FF</t>
        </is>
      </c>
      <c r="D1991" t="inlineStr">
        <is>
          <t>MGR</t>
        </is>
      </c>
      <c r="E1991" t="inlineStr">
        <is>
          <t>(en blanco)</t>
        </is>
      </c>
      <c r="F1991" t="inlineStr">
        <is>
          <t>(en blanco)</t>
        </is>
      </c>
      <c r="G1991" t="inlineStr">
        <is>
          <t>M</t>
        </is>
      </c>
      <c r="H1991" t="n">
        <v>1</v>
      </c>
      <c r="I1991" t="inlineStr">
        <is>
          <t>NAUTICA_CLASSICS_Q221895_MGR_1.jpg</t>
        </is>
      </c>
      <c r="J1991" t="inlineStr">
        <is>
          <t>NAUTICA_CLASSICS_Q221895_MGR_2.jpg</t>
        </is>
      </c>
      <c r="K1991" t="inlineStr">
        <is>
          <t>NAUTICA_CLASSICS_Q221895_MGR_3.jpg</t>
        </is>
      </c>
      <c r="L1991">
        <f>IMAGE("file:///E:/Estudios%20y%20certificaciones/ESTUDIOS%20DE%20PROGRAMMING/PROGRAMMING/PERSONAL/PYTHON/Image_Generator_API/imagenes/NAUTICA_CLASSICS_Q221895_MGR_1.jpg")</f>
        <v/>
      </c>
      <c r="M1991">
        <f>IMAGE("file:///E:/Estudios%20y%20certificaciones/ESTUDIOS%20DE%20PROGRAMMING/PROGRAMMING/PERSONAL/PYTHON/Image_Generator_API/imagenes/NAUTICA_CLASSICS_Q221895_MGR_2.jpg")</f>
        <v/>
      </c>
      <c r="N1991">
        <f>IMAGE("file:///E:/Estudios%20y%20certificaciones/ESTUDIOS%20DE%20PROGRAMMING/PROGRAMMING/PERSONAL/PYTHON/Image_Generator_API/imagenes/NAUTICA_CLASSICS_Q221895_MGR_3.jpg")</f>
        <v/>
      </c>
      <c r="O1991">
        <f>HYPERLINK("imagenes/NAUTICA_CLASSICS_Q221895_MGR_1.jpg","Ver imagen")</f>
        <v/>
      </c>
      <c r="P1991">
        <f>HYPERLINK("imagenes/NAUTICA_CLASSICS_Q221895_MGR_2.jpg","Ver imagen")</f>
        <v/>
      </c>
      <c r="Q1991">
        <f>HYPERLINK("imagenes/NAUTICA_CLASSICS_Q221895_MGR_3.jpg","Ver imagen")</f>
        <v/>
      </c>
    </row>
    <row r="1992">
      <c r="A1992" t="inlineStr">
        <is>
          <t>NAUTICA CLASSICS</t>
        </is>
      </c>
      <c r="B1992" t="inlineStr">
        <is>
          <t>Q221899</t>
        </is>
      </c>
      <c r="C1992" t="inlineStr">
        <is>
          <t>3/4 STR PUFR W/FF HD</t>
        </is>
      </c>
      <c r="D1992" t="inlineStr">
        <is>
          <t>ROV</t>
        </is>
      </c>
      <c r="E1992" t="inlineStr">
        <is>
          <t>(en blanco)</t>
        </is>
      </c>
      <c r="F1992" t="inlineStr">
        <is>
          <t>(en blanco)</t>
        </is>
      </c>
      <c r="G1992" t="inlineStr">
        <is>
          <t>M</t>
        </is>
      </c>
      <c r="H1992" t="n">
        <v>1</v>
      </c>
      <c r="I1992" t="inlineStr">
        <is>
          <t>NAUTICA_CLASSICS_Q221899_ROV_1.jpg</t>
        </is>
      </c>
      <c r="J1992" t="inlineStr">
        <is>
          <t>NAUTICA_CLASSICS_Q221899_ROV_2.jpg</t>
        </is>
      </c>
      <c r="K1992" t="inlineStr">
        <is>
          <t>NAUTICA_CLASSICS_Q221899_ROV_3.jpg</t>
        </is>
      </c>
      <c r="L1992">
        <f>IMAGE("file:///E:/Estudios%20y%20certificaciones/ESTUDIOS%20DE%20PROGRAMMING/PROGRAMMING/PERSONAL/PYTHON/Image_Generator_API/imagenes/NAUTICA_CLASSICS_Q221899_ROV_1.jpg")</f>
        <v/>
      </c>
      <c r="M1992">
        <f>IMAGE("file:///E:/Estudios%20y%20certificaciones/ESTUDIOS%20DE%20PROGRAMMING/PROGRAMMING/PERSONAL/PYTHON/Image_Generator_API/imagenes/NAUTICA_CLASSICS_Q221899_ROV_2.jpg")</f>
        <v/>
      </c>
      <c r="N1992">
        <f>IMAGE("file:///E:/Estudios%20y%20certificaciones/ESTUDIOS%20DE%20PROGRAMMING/PROGRAMMING/PERSONAL/PYTHON/Image_Generator_API/imagenes/NAUTICA_CLASSICS_Q221899_ROV_3.jpg")</f>
        <v/>
      </c>
      <c r="O1992">
        <f>HYPERLINK("imagenes/NAUTICA_CLASSICS_Q221899_ROV_1.jpg","Ver imagen")</f>
        <v/>
      </c>
      <c r="P1992">
        <f>HYPERLINK("imagenes/NAUTICA_CLASSICS_Q221899_ROV_2.jpg","Ver imagen")</f>
        <v/>
      </c>
      <c r="Q1992">
        <f>HYPERLINK("imagenes/NAUTICA_CLASSICS_Q221899_ROV_3.jpg","Ver imagen")</f>
        <v/>
      </c>
    </row>
    <row r="1993">
      <c r="A1993" t="inlineStr">
        <is>
          <t>NAUTICA CLASSICS</t>
        </is>
      </c>
      <c r="B1993" t="inlineStr">
        <is>
          <t>Q221899</t>
        </is>
      </c>
      <c r="C1993" t="inlineStr">
        <is>
          <t>3/4 STR PUFR W/FF HD</t>
        </is>
      </c>
      <c r="D1993" t="inlineStr">
        <is>
          <t>RUS</t>
        </is>
      </c>
      <c r="E1993" t="inlineStr">
        <is>
          <t>(en blanco)</t>
        </is>
      </c>
      <c r="F1993" t="inlineStr">
        <is>
          <t>(en blanco)</t>
        </is>
      </c>
      <c r="G1993" t="inlineStr">
        <is>
          <t>S</t>
        </is>
      </c>
      <c r="H1993" t="n">
        <v>1</v>
      </c>
      <c r="I1993" t="inlineStr">
        <is>
          <t>NAUTICA_CLASSICS_Q221899_RUS_1.jpg</t>
        </is>
      </c>
      <c r="J1993" t="inlineStr">
        <is>
          <t>NAUTICA_CLASSICS_Q221899_RUS_2.jpg</t>
        </is>
      </c>
      <c r="K1993" t="inlineStr">
        <is>
          <t>NAUTICA_CLASSICS_Q221899_RUS_3.jpg</t>
        </is>
      </c>
      <c r="L1993">
        <f>IMAGE("file:///E:/Estudios%20y%20certificaciones/ESTUDIOS%20DE%20PROGRAMMING/PROGRAMMING/PERSONAL/PYTHON/Image_Generator_API/imagenes/NAUTICA_CLASSICS_Q221899_RUS_1.jpg")</f>
        <v/>
      </c>
      <c r="M1993">
        <f>IMAGE("file:///E:/Estudios%20y%20certificaciones/ESTUDIOS%20DE%20PROGRAMMING/PROGRAMMING/PERSONAL/PYTHON/Image_Generator_API/imagenes/NAUTICA_CLASSICS_Q221899_RUS_2.jpg")</f>
        <v/>
      </c>
      <c r="N1993">
        <f>IMAGE("file:///E:/Estudios%20y%20certificaciones/ESTUDIOS%20DE%20PROGRAMMING/PROGRAMMING/PERSONAL/PYTHON/Image_Generator_API/imagenes/NAUTICA_CLASSICS_Q221899_RUS_3.jpg")</f>
        <v/>
      </c>
      <c r="O1993">
        <f>HYPERLINK("imagenes/NAUTICA_CLASSICS_Q221899_RUS_1.jpg","Ver imagen")</f>
        <v/>
      </c>
      <c r="P1993">
        <f>HYPERLINK("imagenes/NAUTICA_CLASSICS_Q221899_RUS_2.jpg","Ver imagen")</f>
        <v/>
      </c>
      <c r="Q1993">
        <f>HYPERLINK("imagenes/NAUTICA_CLASSICS_Q221899_RUS_3.jpg","Ver imagen")</f>
        <v/>
      </c>
    </row>
    <row r="1994">
      <c r="A1994" t="inlineStr">
        <is>
          <t>NAUTICA CLASSICS</t>
        </is>
      </c>
      <c r="B1994" t="inlineStr">
        <is>
          <t>Q222058</t>
        </is>
      </c>
      <c r="C1994" t="inlineStr">
        <is>
          <t>MICRO PUFFER W/FF HD</t>
        </is>
      </c>
      <c r="D1994" t="inlineStr">
        <is>
          <t>BLK</t>
        </is>
      </c>
      <c r="E1994" t="inlineStr">
        <is>
          <t>(en blanco)</t>
        </is>
      </c>
      <c r="F1994" t="inlineStr">
        <is>
          <t>(en blanco)</t>
        </is>
      </c>
      <c r="G1994" t="inlineStr">
        <is>
          <t>L</t>
        </is>
      </c>
      <c r="H1994" t="n">
        <v>1</v>
      </c>
      <c r="I1994" t="inlineStr">
        <is>
          <t>NAUTICA_CLASSICS_Q222058_BLK_1.jpg</t>
        </is>
      </c>
      <c r="J1994" t="inlineStr">
        <is>
          <t>NAUTICA_CLASSICS_Q222058_BLK_2.jpg</t>
        </is>
      </c>
      <c r="K1994" t="inlineStr">
        <is>
          <t>NAUTICA_CLASSICS_Q222058_BLK_3.jpg</t>
        </is>
      </c>
      <c r="L1994">
        <f>IMAGE("file:///E:/Estudios%20y%20certificaciones/ESTUDIOS%20DE%20PROGRAMMING/PROGRAMMING/PERSONAL/PYTHON/Image_Generator_API/imagenes/NAUTICA_CLASSICS_Q222058_BLK_1.jpg")</f>
        <v/>
      </c>
      <c r="M1994">
        <f>IMAGE("file:///E:/Estudios%20y%20certificaciones/ESTUDIOS%20DE%20PROGRAMMING/PROGRAMMING/PERSONAL/PYTHON/Image_Generator_API/imagenes/NAUTICA_CLASSICS_Q222058_BLK_2.jpg")</f>
        <v/>
      </c>
      <c r="N1994">
        <f>IMAGE("file:///E:/Estudios%20y%20certificaciones/ESTUDIOS%20DE%20PROGRAMMING/PROGRAMMING/PERSONAL/PYTHON/Image_Generator_API/imagenes/NAUTICA_CLASSICS_Q222058_BLK_3.jpg")</f>
        <v/>
      </c>
      <c r="O1994">
        <f>HYPERLINK("imagenes/NAUTICA_CLASSICS_Q222058_BLK_1.jpg","Ver imagen")</f>
        <v/>
      </c>
      <c r="P1994">
        <f>HYPERLINK("imagenes/NAUTICA_CLASSICS_Q222058_BLK_2.jpg","Ver imagen")</f>
        <v/>
      </c>
      <c r="Q1994">
        <f>HYPERLINK("imagenes/NAUTICA_CLASSICS_Q222058_BLK_3.jpg","Ver imagen")</f>
        <v/>
      </c>
    </row>
    <row r="1995">
      <c r="A1995" t="inlineStr">
        <is>
          <t>NAUTICA CLASSICS</t>
        </is>
      </c>
      <c r="B1995" t="inlineStr">
        <is>
          <t>Q222058</t>
        </is>
      </c>
      <c r="C1995" t="inlineStr">
        <is>
          <t>MICRO PUFFER W/FF HD</t>
        </is>
      </c>
      <c r="D1995" t="inlineStr">
        <is>
          <t>OLI</t>
        </is>
      </c>
      <c r="E1995" t="inlineStr">
        <is>
          <t>(en blanco)</t>
        </is>
      </c>
      <c r="F1995" t="inlineStr">
        <is>
          <t>(en blanco)</t>
        </is>
      </c>
      <c r="G1995" t="inlineStr">
        <is>
          <t>L</t>
        </is>
      </c>
      <c r="H1995" t="n">
        <v>1</v>
      </c>
      <c r="I1995" t="inlineStr">
        <is>
          <t>NAUTICA_CLASSICS_Q222058_OLI_1.jpg</t>
        </is>
      </c>
      <c r="J1995" t="inlineStr">
        <is>
          <t>NAUTICA_CLASSICS_Q222058_OLI_2.jpg</t>
        </is>
      </c>
      <c r="L1995">
        <f>IMAGE("file:///E:/Estudios%20y%20certificaciones/ESTUDIOS%20DE%20PROGRAMMING/PROGRAMMING/PERSONAL/PYTHON/Image_Generator_API/imagenes/NAUTICA_CLASSICS_Q222058_OLI_1.jpg")</f>
        <v/>
      </c>
      <c r="M1995">
        <f>IMAGE("file:///E:/Estudios%20y%20certificaciones/ESTUDIOS%20DE%20PROGRAMMING/PROGRAMMING/PERSONAL/PYTHON/Image_Generator_API/imagenes/NAUTICA_CLASSICS_Q222058_OLI_2.jpg")</f>
        <v/>
      </c>
      <c r="O1995">
        <f>HYPERLINK("imagenes/NAUTICA_CLASSICS_Q222058_OLI_1.jpg","Ver imagen")</f>
        <v/>
      </c>
      <c r="P1995">
        <f>HYPERLINK("imagenes/NAUTICA_CLASSICS_Q222058_OLI_2.jpg","Ver imagen")</f>
        <v/>
      </c>
    </row>
    <row r="1996">
      <c r="A1996" t="inlineStr">
        <is>
          <t>NAUTICA CLASSICS</t>
        </is>
      </c>
      <c r="B1996" t="inlineStr">
        <is>
          <t>Q222098</t>
        </is>
      </c>
      <c r="C1996" t="inlineStr">
        <is>
          <t>3/4 MICRO PUFR W/FUR</t>
        </is>
      </c>
      <c r="D1996" t="inlineStr">
        <is>
          <t>BLK</t>
        </is>
      </c>
      <c r="E1996" t="inlineStr">
        <is>
          <t>(en blanco)</t>
        </is>
      </c>
      <c r="F1996" t="inlineStr">
        <is>
          <t>(en blanco)</t>
        </is>
      </c>
      <c r="G1996" t="inlineStr">
        <is>
          <t>XS</t>
        </is>
      </c>
      <c r="H1996" t="n">
        <v>5</v>
      </c>
      <c r="I1996" t="inlineStr">
        <is>
          <t>NAUTICA_CLASSICS_Q222098_BLK_1.jpg</t>
        </is>
      </c>
      <c r="J1996" t="inlineStr">
        <is>
          <t>NAUTICA_CLASSICS_Q222098_BLK_2.jpg</t>
        </is>
      </c>
      <c r="K1996" t="inlineStr">
        <is>
          <t>NAUTICA_CLASSICS_Q222098_BLK_3.jpg</t>
        </is>
      </c>
      <c r="L1996">
        <f>IMAGE("file:///E:/Estudios%20y%20certificaciones/ESTUDIOS%20DE%20PROGRAMMING/PROGRAMMING/PERSONAL/PYTHON/Image_Generator_API/imagenes/NAUTICA_CLASSICS_Q222098_BLK_1.jpg")</f>
        <v/>
      </c>
      <c r="M1996">
        <f>IMAGE("file:///E:/Estudios%20y%20certificaciones/ESTUDIOS%20DE%20PROGRAMMING/PROGRAMMING/PERSONAL/PYTHON/Image_Generator_API/imagenes/NAUTICA_CLASSICS_Q222098_BLK_2.jpg")</f>
        <v/>
      </c>
      <c r="N1996">
        <f>IMAGE("file:///E:/Estudios%20y%20certificaciones/ESTUDIOS%20DE%20PROGRAMMING/PROGRAMMING/PERSONAL/PYTHON/Image_Generator_API/imagenes/NAUTICA_CLASSICS_Q222098_BLK_3.jpg")</f>
        <v/>
      </c>
      <c r="O1996">
        <f>HYPERLINK("imagenes/NAUTICA_CLASSICS_Q222098_BLK_1.jpg","Ver imagen")</f>
        <v/>
      </c>
      <c r="P1996">
        <f>HYPERLINK("imagenes/NAUTICA_CLASSICS_Q222098_BLK_2.jpg","Ver imagen")</f>
        <v/>
      </c>
      <c r="Q1996">
        <f>HYPERLINK("imagenes/NAUTICA_CLASSICS_Q222098_BLK_3.jpg","Ver imagen")</f>
        <v/>
      </c>
    </row>
    <row r="1997">
      <c r="A1997" t="inlineStr">
        <is>
          <t>NAUTICA CLASSICS</t>
        </is>
      </c>
      <c r="B1997" t="inlineStr">
        <is>
          <t>Q222098</t>
        </is>
      </c>
      <c r="C1997" t="inlineStr">
        <is>
          <t>3/4 MICRO PUFR W/FUR</t>
        </is>
      </c>
      <c r="D1997" t="inlineStr">
        <is>
          <t>BLK</t>
        </is>
      </c>
      <c r="E1997" t="inlineStr">
        <is>
          <t>(en blanco)</t>
        </is>
      </c>
      <c r="F1997" t="inlineStr">
        <is>
          <t>(en blanco)</t>
        </is>
      </c>
      <c r="G1997" t="inlineStr">
        <is>
          <t>S</t>
        </is>
      </c>
      <c r="H1997" t="n">
        <v>5</v>
      </c>
      <c r="I1997" t="inlineStr">
        <is>
          <t>NAUTICA_CLASSICS_Q222098_BLK_1.jpg</t>
        </is>
      </c>
      <c r="J1997" t="inlineStr">
        <is>
          <t>NAUTICA_CLASSICS_Q222098_BLK_2.jpg</t>
        </is>
      </c>
      <c r="K1997" t="inlineStr">
        <is>
          <t>NAUTICA_CLASSICS_Q222098_BLK_3.jpg</t>
        </is>
      </c>
      <c r="L1997">
        <f>IMAGE("file:///E:/Estudios%20y%20certificaciones/ESTUDIOS%20DE%20PROGRAMMING/PROGRAMMING/PERSONAL/PYTHON/Image_Generator_API/imagenes/NAUTICA_CLASSICS_Q222098_BLK_1.jpg")</f>
        <v/>
      </c>
      <c r="M1997">
        <f>IMAGE("file:///E:/Estudios%20y%20certificaciones/ESTUDIOS%20DE%20PROGRAMMING/PROGRAMMING/PERSONAL/PYTHON/Image_Generator_API/imagenes/NAUTICA_CLASSICS_Q222098_BLK_2.jpg")</f>
        <v/>
      </c>
      <c r="N1997">
        <f>IMAGE("file:///E:/Estudios%20y%20certificaciones/ESTUDIOS%20DE%20PROGRAMMING/PROGRAMMING/PERSONAL/PYTHON/Image_Generator_API/imagenes/NAUTICA_CLASSICS_Q222098_BLK_3.jpg")</f>
        <v/>
      </c>
      <c r="O1997">
        <f>HYPERLINK("imagenes/NAUTICA_CLASSICS_Q222098_BLK_1.jpg","Ver imagen")</f>
        <v/>
      </c>
      <c r="P1997">
        <f>HYPERLINK("imagenes/NAUTICA_CLASSICS_Q222098_BLK_2.jpg","Ver imagen")</f>
        <v/>
      </c>
      <c r="Q1997">
        <f>HYPERLINK("imagenes/NAUTICA_CLASSICS_Q222098_BLK_3.jpg","Ver imagen")</f>
        <v/>
      </c>
    </row>
    <row r="1998">
      <c r="A1998" t="inlineStr">
        <is>
          <t>NAUTICA CLASSICS</t>
        </is>
      </c>
      <c r="B1998" t="inlineStr">
        <is>
          <t>Q222098</t>
        </is>
      </c>
      <c r="C1998" t="inlineStr">
        <is>
          <t>3/4 MICRO PUFR W/FUR</t>
        </is>
      </c>
      <c r="D1998" t="inlineStr">
        <is>
          <t>BLK</t>
        </is>
      </c>
      <c r="E1998" t="inlineStr">
        <is>
          <t>(en blanco)</t>
        </is>
      </c>
      <c r="F1998" t="inlineStr">
        <is>
          <t>(en blanco)</t>
        </is>
      </c>
      <c r="G1998" t="inlineStr">
        <is>
          <t>L</t>
        </is>
      </c>
      <c r="H1998" t="n">
        <v>3</v>
      </c>
      <c r="I1998" t="inlineStr">
        <is>
          <t>NAUTICA_CLASSICS_Q222098_BLK_1.jpg</t>
        </is>
      </c>
      <c r="J1998" t="inlineStr">
        <is>
          <t>NAUTICA_CLASSICS_Q222098_BLK_2.jpg</t>
        </is>
      </c>
      <c r="K1998" t="inlineStr">
        <is>
          <t>NAUTICA_CLASSICS_Q222098_BLK_3.jpg</t>
        </is>
      </c>
      <c r="L1998">
        <f>IMAGE("file:///E:/Estudios%20y%20certificaciones/ESTUDIOS%20DE%20PROGRAMMING/PROGRAMMING/PERSONAL/PYTHON/Image_Generator_API/imagenes/NAUTICA_CLASSICS_Q222098_BLK_1.jpg")</f>
        <v/>
      </c>
      <c r="M1998">
        <f>IMAGE("file:///E:/Estudios%20y%20certificaciones/ESTUDIOS%20DE%20PROGRAMMING/PROGRAMMING/PERSONAL/PYTHON/Image_Generator_API/imagenes/NAUTICA_CLASSICS_Q222098_BLK_2.jpg")</f>
        <v/>
      </c>
      <c r="N1998">
        <f>IMAGE("file:///E:/Estudios%20y%20certificaciones/ESTUDIOS%20DE%20PROGRAMMING/PROGRAMMING/PERSONAL/PYTHON/Image_Generator_API/imagenes/NAUTICA_CLASSICS_Q222098_BLK_3.jpg")</f>
        <v/>
      </c>
      <c r="O1998">
        <f>HYPERLINK("imagenes/NAUTICA_CLASSICS_Q222098_BLK_1.jpg","Ver imagen")</f>
        <v/>
      </c>
      <c r="P1998">
        <f>HYPERLINK("imagenes/NAUTICA_CLASSICS_Q222098_BLK_2.jpg","Ver imagen")</f>
        <v/>
      </c>
      <c r="Q1998">
        <f>HYPERLINK("imagenes/NAUTICA_CLASSICS_Q222098_BLK_3.jpg","Ver imagen")</f>
        <v/>
      </c>
    </row>
    <row r="1999">
      <c r="A1999" t="inlineStr">
        <is>
          <t>NAUTICA CLASSICS</t>
        </is>
      </c>
      <c r="B1999" t="inlineStr">
        <is>
          <t>Q224086</t>
        </is>
      </c>
      <c r="C1999" t="inlineStr">
        <is>
          <t>SHORT HOOD STR LT WT</t>
        </is>
      </c>
      <c r="D1999" t="inlineStr">
        <is>
          <t>CHR</t>
        </is>
      </c>
      <c r="E1999" t="inlineStr">
        <is>
          <t>(en blanco)</t>
        </is>
      </c>
      <c r="F1999" t="inlineStr">
        <is>
          <t>(en blanco)</t>
        </is>
      </c>
      <c r="G1999" t="inlineStr">
        <is>
          <t>S</t>
        </is>
      </c>
      <c r="H1999" t="n">
        <v>2</v>
      </c>
      <c r="I1999" t="inlineStr">
        <is>
          <t>NAUTICA_CLASSICS_Q224086_CHR_1.jpg</t>
        </is>
      </c>
      <c r="J1999" t="inlineStr">
        <is>
          <t>NAUTICA_CLASSICS_Q224086_CHR_2.jpg</t>
        </is>
      </c>
      <c r="K1999" t="inlineStr">
        <is>
          <t>NAUTICA_CLASSICS_Q224086_CHR_3.jpg</t>
        </is>
      </c>
      <c r="L1999">
        <f>IMAGE("file:///E:/Estudios%20y%20certificaciones/ESTUDIOS%20DE%20PROGRAMMING/PROGRAMMING/PERSONAL/PYTHON/Image_Generator_API/imagenes/NAUTICA_CLASSICS_Q224086_CHR_1.jpg")</f>
        <v/>
      </c>
      <c r="M1999">
        <f>IMAGE("file:///E:/Estudios%20y%20certificaciones/ESTUDIOS%20DE%20PROGRAMMING/PROGRAMMING/PERSONAL/PYTHON/Image_Generator_API/imagenes/NAUTICA_CLASSICS_Q224086_CHR_2.jpg")</f>
        <v/>
      </c>
      <c r="N1999">
        <f>IMAGE("file:///E:/Estudios%20y%20certificaciones/ESTUDIOS%20DE%20PROGRAMMING/PROGRAMMING/PERSONAL/PYTHON/Image_Generator_API/imagenes/NAUTICA_CLASSICS_Q224086_CHR_3.jpg")</f>
        <v/>
      </c>
      <c r="O1999">
        <f>HYPERLINK("imagenes/NAUTICA_CLASSICS_Q224086_CHR_1.jpg","Ver imagen")</f>
        <v/>
      </c>
      <c r="P1999">
        <f>HYPERLINK("imagenes/NAUTICA_CLASSICS_Q224086_CHR_2.jpg","Ver imagen")</f>
        <v/>
      </c>
      <c r="Q1999">
        <f>HYPERLINK("imagenes/NAUTICA_CLASSICS_Q224086_CHR_3.jpg","Ver imagen")</f>
        <v/>
      </c>
    </row>
    <row r="2000">
      <c r="A2000" t="inlineStr">
        <is>
          <t>NAUTICA CLASSICS</t>
        </is>
      </c>
      <c r="B2000" t="inlineStr">
        <is>
          <t>Q224086</t>
        </is>
      </c>
      <c r="C2000" t="inlineStr">
        <is>
          <t>SHORT HOOD STR LT WT</t>
        </is>
      </c>
      <c r="D2000" t="inlineStr">
        <is>
          <t>CHR</t>
        </is>
      </c>
      <c r="E2000" t="inlineStr">
        <is>
          <t>(en blanco)</t>
        </is>
      </c>
      <c r="F2000" t="inlineStr">
        <is>
          <t>(en blanco)</t>
        </is>
      </c>
      <c r="G2000" t="inlineStr">
        <is>
          <t>XXL</t>
        </is>
      </c>
      <c r="H2000" t="n">
        <v>1</v>
      </c>
      <c r="I2000" t="inlineStr">
        <is>
          <t>NAUTICA_CLASSICS_Q224086_CHR_1.jpg</t>
        </is>
      </c>
      <c r="J2000" t="inlineStr">
        <is>
          <t>NAUTICA_CLASSICS_Q224086_CHR_2.jpg</t>
        </is>
      </c>
      <c r="K2000" t="inlineStr">
        <is>
          <t>NAUTICA_CLASSICS_Q224086_CHR_3.jpg</t>
        </is>
      </c>
      <c r="L2000">
        <f>IMAGE("file:///E:/Estudios%20y%20certificaciones/ESTUDIOS%20DE%20PROGRAMMING/PROGRAMMING/PERSONAL/PYTHON/Image_Generator_API/imagenes/NAUTICA_CLASSICS_Q224086_CHR_1.jpg")</f>
        <v/>
      </c>
      <c r="M2000">
        <f>IMAGE("file:///E:/Estudios%20y%20certificaciones/ESTUDIOS%20DE%20PROGRAMMING/PROGRAMMING/PERSONAL/PYTHON/Image_Generator_API/imagenes/NAUTICA_CLASSICS_Q224086_CHR_2.jpg")</f>
        <v/>
      </c>
      <c r="N2000">
        <f>IMAGE("file:///E:/Estudios%20y%20certificaciones/ESTUDIOS%20DE%20PROGRAMMING/PROGRAMMING/PERSONAL/PYTHON/Image_Generator_API/imagenes/NAUTICA_CLASSICS_Q224086_CHR_3.jpg")</f>
        <v/>
      </c>
      <c r="O2000">
        <f>HYPERLINK("imagenes/NAUTICA_CLASSICS_Q224086_CHR_1.jpg","Ver imagen")</f>
        <v/>
      </c>
      <c r="P2000">
        <f>HYPERLINK("imagenes/NAUTICA_CLASSICS_Q224086_CHR_2.jpg","Ver imagen")</f>
        <v/>
      </c>
      <c r="Q2000">
        <f>HYPERLINK("imagenes/NAUTICA_CLASSICS_Q224086_CHR_3.jpg","Ver imagen")</f>
        <v/>
      </c>
    </row>
    <row r="2001">
      <c r="A2001" t="inlineStr">
        <is>
          <t>NAUTICA CLASSICS</t>
        </is>
      </c>
      <c r="B2001" t="inlineStr">
        <is>
          <t>Q225096</t>
        </is>
      </c>
      <c r="C2001" t="inlineStr">
        <is>
          <t>3/4 PUFER W/BELT &amp;HD</t>
        </is>
      </c>
      <c r="D2001" t="inlineStr">
        <is>
          <t>BLK</t>
        </is>
      </c>
      <c r="E2001" t="inlineStr">
        <is>
          <t>(en blanco)</t>
        </is>
      </c>
      <c r="F2001" t="inlineStr">
        <is>
          <t>(en blanco)</t>
        </is>
      </c>
      <c r="G2001" t="inlineStr">
        <is>
          <t>S</t>
        </is>
      </c>
      <c r="H2001" t="n">
        <v>1</v>
      </c>
      <c r="I2001" t="inlineStr">
        <is>
          <t>NAUTICA_CLASSICS_Q225096_BLK_1.jpg</t>
        </is>
      </c>
      <c r="J2001" t="inlineStr">
        <is>
          <t>NAUTICA_CLASSICS_Q225096_BLK_2.jpg</t>
        </is>
      </c>
      <c r="K2001" t="inlineStr">
        <is>
          <t>NAUTICA_CLASSICS_Q225096_BLK_3.jpg</t>
        </is>
      </c>
      <c r="L2001">
        <f>IMAGE("file:///E:/Estudios%20y%20certificaciones/ESTUDIOS%20DE%20PROGRAMMING/PROGRAMMING/PERSONAL/PYTHON/Image_Generator_API/imagenes/NAUTICA_CLASSICS_Q225096_BLK_1.jpg")</f>
        <v/>
      </c>
      <c r="M2001">
        <f>IMAGE("file:///E:/Estudios%20y%20certificaciones/ESTUDIOS%20DE%20PROGRAMMING/PROGRAMMING/PERSONAL/PYTHON/Image_Generator_API/imagenes/NAUTICA_CLASSICS_Q225096_BLK_2.jpg")</f>
        <v/>
      </c>
      <c r="N2001">
        <f>IMAGE("file:///E:/Estudios%20y%20certificaciones/ESTUDIOS%20DE%20PROGRAMMING/PROGRAMMING/PERSONAL/PYTHON/Image_Generator_API/imagenes/NAUTICA_CLASSICS_Q225096_BLK_3.jpg")</f>
        <v/>
      </c>
      <c r="O2001">
        <f>HYPERLINK("imagenes/NAUTICA_CLASSICS_Q225096_BLK_1.jpg","Ver imagen")</f>
        <v/>
      </c>
      <c r="P2001">
        <f>HYPERLINK("imagenes/NAUTICA_CLASSICS_Q225096_BLK_2.jpg","Ver imagen")</f>
        <v/>
      </c>
      <c r="Q2001">
        <f>HYPERLINK("imagenes/NAUTICA_CLASSICS_Q225096_BLK_3.jpg","Ver imagen")</f>
        <v/>
      </c>
    </row>
    <row r="2002">
      <c r="A2002" t="inlineStr">
        <is>
          <t>NAUTICA CLASSICS</t>
        </is>
      </c>
      <c r="B2002" t="inlineStr">
        <is>
          <t>Q225096</t>
        </is>
      </c>
      <c r="C2002" t="inlineStr">
        <is>
          <t>3/4 PUFER W/BELT &amp;HD</t>
        </is>
      </c>
      <c r="D2002" t="inlineStr">
        <is>
          <t>BLK</t>
        </is>
      </c>
      <c r="E2002" t="inlineStr">
        <is>
          <t>(en blanco)</t>
        </is>
      </c>
      <c r="F2002" t="inlineStr">
        <is>
          <t>(en blanco)</t>
        </is>
      </c>
      <c r="G2002" t="inlineStr">
        <is>
          <t>L</t>
        </is>
      </c>
      <c r="H2002" t="n">
        <v>2</v>
      </c>
      <c r="I2002" t="inlineStr">
        <is>
          <t>NAUTICA_CLASSICS_Q225096_BLK_1.jpg</t>
        </is>
      </c>
      <c r="J2002" t="inlineStr">
        <is>
          <t>NAUTICA_CLASSICS_Q225096_BLK_2.jpg</t>
        </is>
      </c>
      <c r="K2002" t="inlineStr">
        <is>
          <t>NAUTICA_CLASSICS_Q225096_BLK_3.jpg</t>
        </is>
      </c>
      <c r="L2002">
        <f>IMAGE("file:///E:/Estudios%20y%20certificaciones/ESTUDIOS%20DE%20PROGRAMMING/PROGRAMMING/PERSONAL/PYTHON/Image_Generator_API/imagenes/NAUTICA_CLASSICS_Q225096_BLK_1.jpg")</f>
        <v/>
      </c>
      <c r="M2002">
        <f>IMAGE("file:///E:/Estudios%20y%20certificaciones/ESTUDIOS%20DE%20PROGRAMMING/PROGRAMMING/PERSONAL/PYTHON/Image_Generator_API/imagenes/NAUTICA_CLASSICS_Q225096_BLK_2.jpg")</f>
        <v/>
      </c>
      <c r="N2002">
        <f>IMAGE("file:///E:/Estudios%20y%20certificaciones/ESTUDIOS%20DE%20PROGRAMMING/PROGRAMMING/PERSONAL/PYTHON/Image_Generator_API/imagenes/NAUTICA_CLASSICS_Q225096_BLK_3.jpg")</f>
        <v/>
      </c>
      <c r="O2002">
        <f>HYPERLINK("imagenes/NAUTICA_CLASSICS_Q225096_BLK_1.jpg","Ver imagen")</f>
        <v/>
      </c>
      <c r="P2002">
        <f>HYPERLINK("imagenes/NAUTICA_CLASSICS_Q225096_BLK_2.jpg","Ver imagen")</f>
        <v/>
      </c>
      <c r="Q2002">
        <f>HYPERLINK("imagenes/NAUTICA_CLASSICS_Q225096_BLK_3.jpg","Ver imagen")</f>
        <v/>
      </c>
    </row>
    <row r="2003">
      <c r="A2003" t="inlineStr">
        <is>
          <t>NAUTICA CLASSICS</t>
        </is>
      </c>
      <c r="B2003" t="inlineStr">
        <is>
          <t>Q225096</t>
        </is>
      </c>
      <c r="C2003" t="inlineStr">
        <is>
          <t>3/4 PUFER W/BELT &amp;HD</t>
        </is>
      </c>
      <c r="D2003" t="inlineStr">
        <is>
          <t>NSS</t>
        </is>
      </c>
      <c r="E2003" t="inlineStr">
        <is>
          <t>(en blanco)</t>
        </is>
      </c>
      <c r="F2003" t="inlineStr">
        <is>
          <t>(en blanco)</t>
        </is>
      </c>
      <c r="G2003" t="inlineStr">
        <is>
          <t>L</t>
        </is>
      </c>
      <c r="H2003" t="n">
        <v>1</v>
      </c>
      <c r="I2003" t="inlineStr">
        <is>
          <t>NAUTICA_CLASSICS_Q225096_NSS_1.jpg</t>
        </is>
      </c>
      <c r="J2003" t="inlineStr">
        <is>
          <t>NAUTICA_CLASSICS_Q225096_NSS_2.jpg</t>
        </is>
      </c>
      <c r="K2003" t="inlineStr">
        <is>
          <t>NAUTICA_CLASSICS_Q225096_NSS_3.jpg</t>
        </is>
      </c>
      <c r="L2003">
        <f>IMAGE("file:///E:/Estudios%20y%20certificaciones/ESTUDIOS%20DE%20PROGRAMMING/PROGRAMMING/PERSONAL/PYTHON/Image_Generator_API/imagenes/NAUTICA_CLASSICS_Q225096_NSS_1.jpg")</f>
        <v/>
      </c>
      <c r="M2003">
        <f>IMAGE("file:///E:/Estudios%20y%20certificaciones/ESTUDIOS%20DE%20PROGRAMMING/PROGRAMMING/PERSONAL/PYTHON/Image_Generator_API/imagenes/NAUTICA_CLASSICS_Q225096_NSS_2.jpg")</f>
        <v/>
      </c>
      <c r="N2003">
        <f>IMAGE("file:///E:/Estudios%20y%20certificaciones/ESTUDIOS%20DE%20PROGRAMMING/PROGRAMMING/PERSONAL/PYTHON/Image_Generator_API/imagenes/NAUTICA_CLASSICS_Q225096_NSS_3.jpg")</f>
        <v/>
      </c>
      <c r="O2003">
        <f>HYPERLINK("imagenes/NAUTICA_CLASSICS_Q225096_NSS_1.jpg","Ver imagen")</f>
        <v/>
      </c>
      <c r="P2003">
        <f>HYPERLINK("imagenes/NAUTICA_CLASSICS_Q225096_NSS_2.jpg","Ver imagen")</f>
        <v/>
      </c>
      <c r="Q2003">
        <f>HYPERLINK("imagenes/NAUTICA_CLASSICS_Q225096_NSS_3.jpg","Ver imagen")</f>
        <v/>
      </c>
    </row>
    <row r="2004">
      <c r="A2004" t="inlineStr">
        <is>
          <t>NAUTICA CLASSICS</t>
        </is>
      </c>
      <c r="B2004" t="inlineStr">
        <is>
          <t>Q225266</t>
        </is>
      </c>
      <c r="C2004" t="inlineStr">
        <is>
          <t>3/4 PARKA W/PFR SLVS</t>
        </is>
      </c>
      <c r="D2004" t="inlineStr">
        <is>
          <t>CHR</t>
        </is>
      </c>
      <c r="E2004" t="inlineStr">
        <is>
          <t>(en blanco)</t>
        </is>
      </c>
      <c r="F2004" t="inlineStr">
        <is>
          <t>(en blanco)</t>
        </is>
      </c>
      <c r="G2004" t="inlineStr">
        <is>
          <t>S</t>
        </is>
      </c>
      <c r="H2004" t="n">
        <v>1</v>
      </c>
      <c r="I2004" t="inlineStr">
        <is>
          <t>NAUTICA_CLASSICS_Q225266_CHR_1.jpg</t>
        </is>
      </c>
      <c r="J2004" t="inlineStr">
        <is>
          <t>NAUTICA_CLASSICS_Q225266_CHR_2.jpg</t>
        </is>
      </c>
      <c r="L2004">
        <f>IMAGE("file:///E:/Estudios%20y%20certificaciones/ESTUDIOS%20DE%20PROGRAMMING/PROGRAMMING/PERSONAL/PYTHON/Image_Generator_API/imagenes/NAUTICA_CLASSICS_Q225266_CHR_1.jpg")</f>
        <v/>
      </c>
      <c r="M2004">
        <f>IMAGE("file:///E:/Estudios%20y%20certificaciones/ESTUDIOS%20DE%20PROGRAMMING/PROGRAMMING/PERSONAL/PYTHON/Image_Generator_API/imagenes/NAUTICA_CLASSICS_Q225266_CHR_2.jpg")</f>
        <v/>
      </c>
      <c r="O2004">
        <f>HYPERLINK("imagenes/NAUTICA_CLASSICS_Q225266_CHR_1.jpg","Ver imagen")</f>
        <v/>
      </c>
      <c r="P2004">
        <f>HYPERLINK("imagenes/NAUTICA_CLASSICS_Q225266_CHR_2.jpg","Ver imagen")</f>
        <v/>
      </c>
    </row>
    <row r="2005">
      <c r="A2005" t="inlineStr">
        <is>
          <t>NAUTICA CLASSICS</t>
        </is>
      </c>
      <c r="B2005" t="inlineStr">
        <is>
          <t>Q226566</t>
        </is>
      </c>
      <c r="C2005" t="inlineStr">
        <is>
          <t>3/4 PUFR W/BIB &amp;FF</t>
        </is>
      </c>
      <c r="D2005" t="inlineStr">
        <is>
          <t>BLK</t>
        </is>
      </c>
      <c r="E2005" t="inlineStr">
        <is>
          <t>(en blanco)</t>
        </is>
      </c>
      <c r="F2005" t="inlineStr">
        <is>
          <t>(en blanco)</t>
        </is>
      </c>
      <c r="G2005" t="inlineStr">
        <is>
          <t>M</t>
        </is>
      </c>
      <c r="H2005" t="n">
        <v>1</v>
      </c>
      <c r="I2005" t="inlineStr">
        <is>
          <t>NAUTICA_CLASSICS_Q226566_BLK_1.jpg</t>
        </is>
      </c>
      <c r="J2005" t="inlineStr">
        <is>
          <t>NAUTICA_CLASSICS_Q226566_BLK_2.jpg</t>
        </is>
      </c>
      <c r="K2005" t="inlineStr">
        <is>
          <t>NAUTICA_CLASSICS_Q226566_BLK_3.jpg</t>
        </is>
      </c>
      <c r="L2005">
        <f>IMAGE("file:///E:/Estudios%20y%20certificaciones/ESTUDIOS%20DE%20PROGRAMMING/PROGRAMMING/PERSONAL/PYTHON/Image_Generator_API/imagenes/NAUTICA_CLASSICS_Q226566_BLK_1.jpg")</f>
        <v/>
      </c>
      <c r="M2005">
        <f>IMAGE("file:///E:/Estudios%20y%20certificaciones/ESTUDIOS%20DE%20PROGRAMMING/PROGRAMMING/PERSONAL/PYTHON/Image_Generator_API/imagenes/NAUTICA_CLASSICS_Q226566_BLK_2.jpg")</f>
        <v/>
      </c>
      <c r="N2005">
        <f>IMAGE("file:///E:/Estudios%20y%20certificaciones/ESTUDIOS%20DE%20PROGRAMMING/PROGRAMMING/PERSONAL/PYTHON/Image_Generator_API/imagenes/NAUTICA_CLASSICS_Q226566_BLK_3.jpg")</f>
        <v/>
      </c>
      <c r="O2005">
        <f>HYPERLINK("imagenes/NAUTICA_CLASSICS_Q226566_BLK_1.jpg","Ver imagen")</f>
        <v/>
      </c>
      <c r="P2005">
        <f>HYPERLINK("imagenes/NAUTICA_CLASSICS_Q226566_BLK_2.jpg","Ver imagen")</f>
        <v/>
      </c>
      <c r="Q2005">
        <f>HYPERLINK("imagenes/NAUTICA_CLASSICS_Q226566_BLK_3.jpg","Ver imagen")</f>
        <v/>
      </c>
    </row>
    <row r="2006">
      <c r="A2006" t="inlineStr">
        <is>
          <t>NAUTICA CLASSICS</t>
        </is>
      </c>
      <c r="B2006" t="inlineStr">
        <is>
          <t>Q226566</t>
        </is>
      </c>
      <c r="C2006" t="inlineStr">
        <is>
          <t>3/4 PUFR W/BIB &amp;FF</t>
        </is>
      </c>
      <c r="D2006" t="inlineStr">
        <is>
          <t>BLK</t>
        </is>
      </c>
      <c r="E2006" t="inlineStr">
        <is>
          <t>(en blanco)</t>
        </is>
      </c>
      <c r="F2006" t="inlineStr">
        <is>
          <t>(en blanco)</t>
        </is>
      </c>
      <c r="G2006" t="inlineStr">
        <is>
          <t>L</t>
        </is>
      </c>
      <c r="H2006" t="n">
        <v>1</v>
      </c>
      <c r="I2006" t="inlineStr">
        <is>
          <t>NAUTICA_CLASSICS_Q226566_BLK_1.jpg</t>
        </is>
      </c>
      <c r="J2006" t="inlineStr">
        <is>
          <t>NAUTICA_CLASSICS_Q226566_BLK_2.jpg</t>
        </is>
      </c>
      <c r="K2006" t="inlineStr">
        <is>
          <t>NAUTICA_CLASSICS_Q226566_BLK_3.jpg</t>
        </is>
      </c>
      <c r="L2006">
        <f>IMAGE("file:///E:/Estudios%20y%20certificaciones/ESTUDIOS%20DE%20PROGRAMMING/PROGRAMMING/PERSONAL/PYTHON/Image_Generator_API/imagenes/NAUTICA_CLASSICS_Q226566_BLK_1.jpg")</f>
        <v/>
      </c>
      <c r="M2006">
        <f>IMAGE("file:///E:/Estudios%20y%20certificaciones/ESTUDIOS%20DE%20PROGRAMMING/PROGRAMMING/PERSONAL/PYTHON/Image_Generator_API/imagenes/NAUTICA_CLASSICS_Q226566_BLK_2.jpg")</f>
        <v/>
      </c>
      <c r="N2006">
        <f>IMAGE("file:///E:/Estudios%20y%20certificaciones/ESTUDIOS%20DE%20PROGRAMMING/PROGRAMMING/PERSONAL/PYTHON/Image_Generator_API/imagenes/NAUTICA_CLASSICS_Q226566_BLK_3.jpg")</f>
        <v/>
      </c>
      <c r="O2006">
        <f>HYPERLINK("imagenes/NAUTICA_CLASSICS_Q226566_BLK_1.jpg","Ver imagen")</f>
        <v/>
      </c>
      <c r="P2006">
        <f>HYPERLINK("imagenes/NAUTICA_CLASSICS_Q226566_BLK_2.jpg","Ver imagen")</f>
        <v/>
      </c>
      <c r="Q2006">
        <f>HYPERLINK("imagenes/NAUTICA_CLASSICS_Q226566_BLK_3.jpg","Ver imagen")</f>
        <v/>
      </c>
    </row>
    <row r="2007">
      <c r="A2007" t="inlineStr">
        <is>
          <t>NAUTICA CLASSICS</t>
        </is>
      </c>
      <c r="B2007" t="inlineStr">
        <is>
          <t>Q232945</t>
        </is>
      </c>
      <c r="C2007" t="inlineStr">
        <is>
          <t>PEACOAT W/HOOD</t>
        </is>
      </c>
      <c r="D2007" t="inlineStr">
        <is>
          <t>BLK</t>
        </is>
      </c>
      <c r="E2007" t="inlineStr">
        <is>
          <t>(en blanco)</t>
        </is>
      </c>
      <c r="F2007" t="inlineStr">
        <is>
          <t>(en blanco)</t>
        </is>
      </c>
      <c r="G2007" t="inlineStr">
        <is>
          <t>1X</t>
        </is>
      </c>
      <c r="H2007" t="n">
        <v>8</v>
      </c>
      <c r="I2007" t="inlineStr">
        <is>
          <t>NAUTICA_CLASSICS_Q232945_BLK_1.jpg</t>
        </is>
      </c>
      <c r="J2007" t="inlineStr">
        <is>
          <t>NAUTICA_CLASSICS_Q232945_BLK_2.jpg</t>
        </is>
      </c>
      <c r="K2007" t="inlineStr">
        <is>
          <t>NAUTICA_CLASSICS_Q232945_BLK_3.jpg</t>
        </is>
      </c>
      <c r="L2007">
        <f>IMAGE("file:///E:/Estudios%20y%20certificaciones/ESTUDIOS%20DE%20PROGRAMMING/PROGRAMMING/PERSONAL/PYTHON/Image_Generator_API/imagenes/NAUTICA_CLASSICS_Q232945_BLK_1.jpg")</f>
        <v/>
      </c>
      <c r="M2007">
        <f>IMAGE("file:///E:/Estudios%20y%20certificaciones/ESTUDIOS%20DE%20PROGRAMMING/PROGRAMMING/PERSONAL/PYTHON/Image_Generator_API/imagenes/NAUTICA_CLASSICS_Q232945_BLK_2.jpg")</f>
        <v/>
      </c>
      <c r="N2007">
        <f>IMAGE("file:///E:/Estudios%20y%20certificaciones/ESTUDIOS%20DE%20PROGRAMMING/PROGRAMMING/PERSONAL/PYTHON/Image_Generator_API/imagenes/NAUTICA_CLASSICS_Q232945_BLK_3.jpg")</f>
        <v/>
      </c>
      <c r="O2007">
        <f>HYPERLINK("imagenes/NAUTICA_CLASSICS_Q232945_BLK_1.jpg","Ver imagen")</f>
        <v/>
      </c>
      <c r="P2007">
        <f>HYPERLINK("imagenes/NAUTICA_CLASSICS_Q232945_BLK_2.jpg","Ver imagen")</f>
        <v/>
      </c>
      <c r="Q2007">
        <f>HYPERLINK("imagenes/NAUTICA_CLASSICS_Q232945_BLK_3.jpg","Ver imagen")</f>
        <v/>
      </c>
    </row>
    <row r="2008">
      <c r="A2008" t="inlineStr">
        <is>
          <t>NAUTICA CLASSICS</t>
        </is>
      </c>
      <c r="B2008" t="inlineStr">
        <is>
          <t>Q232945</t>
        </is>
      </c>
      <c r="C2008" t="inlineStr">
        <is>
          <t>PEACOAT W/HOOD</t>
        </is>
      </c>
      <c r="D2008" t="inlineStr">
        <is>
          <t>NRE</t>
        </is>
      </c>
      <c r="E2008" t="inlineStr">
        <is>
          <t>(en blanco)</t>
        </is>
      </c>
      <c r="F2008" t="inlineStr">
        <is>
          <t>(en blanco)</t>
        </is>
      </c>
      <c r="G2008" t="inlineStr">
        <is>
          <t>0X</t>
        </is>
      </c>
      <c r="H2008" t="n">
        <v>2</v>
      </c>
      <c r="I2008" t="inlineStr">
        <is>
          <t>NAUTICA_CLASSICS_Q232945_NRE_1.jpg</t>
        </is>
      </c>
      <c r="J2008" t="inlineStr">
        <is>
          <t>NAUTICA_CLASSICS_Q232945_NRE_2.jpg</t>
        </is>
      </c>
      <c r="K2008" t="inlineStr">
        <is>
          <t>NAUTICA_CLASSICS_Q232945_NRE_3.jpg</t>
        </is>
      </c>
      <c r="L2008">
        <f>IMAGE("file:///E:/Estudios%20y%20certificaciones/ESTUDIOS%20DE%20PROGRAMMING/PROGRAMMING/PERSONAL/PYTHON/Image_Generator_API/imagenes/NAUTICA_CLASSICS_Q232945_NRE_1.jpg")</f>
        <v/>
      </c>
      <c r="M2008">
        <f>IMAGE("file:///E:/Estudios%20y%20certificaciones/ESTUDIOS%20DE%20PROGRAMMING/PROGRAMMING/PERSONAL/PYTHON/Image_Generator_API/imagenes/NAUTICA_CLASSICS_Q232945_NRE_2.jpg")</f>
        <v/>
      </c>
      <c r="N2008">
        <f>IMAGE("file:///E:/Estudios%20y%20certificaciones/ESTUDIOS%20DE%20PROGRAMMING/PROGRAMMING/PERSONAL/PYTHON/Image_Generator_API/imagenes/NAUTICA_CLASSICS_Q232945_NRE_3.jpg")</f>
        <v/>
      </c>
      <c r="O2008">
        <f>HYPERLINK("imagenes/NAUTICA_CLASSICS_Q232945_NRE_1.jpg","Ver imagen")</f>
        <v/>
      </c>
      <c r="P2008">
        <f>HYPERLINK("imagenes/NAUTICA_CLASSICS_Q232945_NRE_2.jpg","Ver imagen")</f>
        <v/>
      </c>
      <c r="Q2008">
        <f>HYPERLINK("imagenes/NAUTICA_CLASSICS_Q232945_NRE_3.jpg","Ver imagen")</f>
        <v/>
      </c>
    </row>
    <row r="2009">
      <c r="A2009" t="inlineStr">
        <is>
          <t>NAUTICA CLASSICS</t>
        </is>
      </c>
      <c r="B2009" t="inlineStr">
        <is>
          <t>Q232945</t>
        </is>
      </c>
      <c r="C2009" t="inlineStr">
        <is>
          <t>PEACOAT W/HOOD</t>
        </is>
      </c>
      <c r="D2009" t="inlineStr">
        <is>
          <t>NRE</t>
        </is>
      </c>
      <c r="E2009" t="inlineStr">
        <is>
          <t>(en blanco)</t>
        </is>
      </c>
      <c r="F2009" t="inlineStr">
        <is>
          <t>(en blanco)</t>
        </is>
      </c>
      <c r="G2009" t="inlineStr">
        <is>
          <t>2X</t>
        </is>
      </c>
      <c r="H2009" t="n">
        <v>2</v>
      </c>
      <c r="I2009" t="inlineStr">
        <is>
          <t>NAUTICA_CLASSICS_Q232945_NRE_1.jpg</t>
        </is>
      </c>
      <c r="J2009" t="inlineStr">
        <is>
          <t>NAUTICA_CLASSICS_Q232945_NRE_2.jpg</t>
        </is>
      </c>
      <c r="K2009" t="inlineStr">
        <is>
          <t>NAUTICA_CLASSICS_Q232945_NRE_3.jpg</t>
        </is>
      </c>
      <c r="L2009">
        <f>IMAGE("file:///E:/Estudios%20y%20certificaciones/ESTUDIOS%20DE%20PROGRAMMING/PROGRAMMING/PERSONAL/PYTHON/Image_Generator_API/imagenes/NAUTICA_CLASSICS_Q232945_NRE_1.jpg")</f>
        <v/>
      </c>
      <c r="M2009">
        <f>IMAGE("file:///E:/Estudios%20y%20certificaciones/ESTUDIOS%20DE%20PROGRAMMING/PROGRAMMING/PERSONAL/PYTHON/Image_Generator_API/imagenes/NAUTICA_CLASSICS_Q232945_NRE_2.jpg")</f>
        <v/>
      </c>
      <c r="N2009">
        <f>IMAGE("file:///E:/Estudios%20y%20certificaciones/ESTUDIOS%20DE%20PROGRAMMING/PROGRAMMING/PERSONAL/PYTHON/Image_Generator_API/imagenes/NAUTICA_CLASSICS_Q232945_NRE_3.jpg")</f>
        <v/>
      </c>
      <c r="O2009">
        <f>HYPERLINK("imagenes/NAUTICA_CLASSICS_Q232945_NRE_1.jpg","Ver imagen")</f>
        <v/>
      </c>
      <c r="P2009">
        <f>HYPERLINK("imagenes/NAUTICA_CLASSICS_Q232945_NRE_2.jpg","Ver imagen")</f>
        <v/>
      </c>
      <c r="Q2009">
        <f>HYPERLINK("imagenes/NAUTICA_CLASSICS_Q232945_NRE_3.jpg","Ver imagen")</f>
        <v/>
      </c>
    </row>
    <row r="2010">
      <c r="A2010" t="inlineStr">
        <is>
          <t>NAUTICA CLASSICS</t>
        </is>
      </c>
      <c r="B2010" t="inlineStr">
        <is>
          <t>Q232945</t>
        </is>
      </c>
      <c r="C2010" t="inlineStr">
        <is>
          <t>PEACOAT W/HOOD</t>
        </is>
      </c>
      <c r="D2010" t="inlineStr">
        <is>
          <t>NRE</t>
        </is>
      </c>
      <c r="E2010" t="inlineStr">
        <is>
          <t>(en blanco)</t>
        </is>
      </c>
      <c r="F2010" t="inlineStr">
        <is>
          <t>(en blanco)</t>
        </is>
      </c>
      <c r="G2010" t="inlineStr">
        <is>
          <t>3X</t>
        </is>
      </c>
      <c r="H2010" t="n">
        <v>2</v>
      </c>
      <c r="I2010" t="inlineStr">
        <is>
          <t>NAUTICA_CLASSICS_Q232945_NRE_1.jpg</t>
        </is>
      </c>
      <c r="J2010" t="inlineStr">
        <is>
          <t>NAUTICA_CLASSICS_Q232945_NRE_2.jpg</t>
        </is>
      </c>
      <c r="K2010" t="inlineStr">
        <is>
          <t>NAUTICA_CLASSICS_Q232945_NRE_3.jpg</t>
        </is>
      </c>
      <c r="L2010">
        <f>IMAGE("file:///E:/Estudios%20y%20certificaciones/ESTUDIOS%20DE%20PROGRAMMING/PROGRAMMING/PERSONAL/PYTHON/Image_Generator_API/imagenes/NAUTICA_CLASSICS_Q232945_NRE_1.jpg")</f>
        <v/>
      </c>
      <c r="M2010">
        <f>IMAGE("file:///E:/Estudios%20y%20certificaciones/ESTUDIOS%20DE%20PROGRAMMING/PROGRAMMING/PERSONAL/PYTHON/Image_Generator_API/imagenes/NAUTICA_CLASSICS_Q232945_NRE_2.jpg")</f>
        <v/>
      </c>
      <c r="N2010">
        <f>IMAGE("file:///E:/Estudios%20y%20certificaciones/ESTUDIOS%20DE%20PROGRAMMING/PROGRAMMING/PERSONAL/PYTHON/Image_Generator_API/imagenes/NAUTICA_CLASSICS_Q232945_NRE_3.jpg")</f>
        <v/>
      </c>
      <c r="O2010">
        <f>HYPERLINK("imagenes/NAUTICA_CLASSICS_Q232945_NRE_1.jpg","Ver imagen")</f>
        <v/>
      </c>
      <c r="P2010">
        <f>HYPERLINK("imagenes/NAUTICA_CLASSICS_Q232945_NRE_2.jpg","Ver imagen")</f>
        <v/>
      </c>
      <c r="Q2010">
        <f>HYPERLINK("imagenes/NAUTICA_CLASSICS_Q232945_NRE_3.jpg","Ver imagen")</f>
        <v/>
      </c>
    </row>
    <row r="2011">
      <c r="A2011" t="inlineStr">
        <is>
          <t>NAUTICA CLASSICS</t>
        </is>
      </c>
      <c r="B2011" t="inlineStr">
        <is>
          <t>Q321803</t>
        </is>
      </c>
      <c r="C2011" t="inlineStr">
        <is>
          <t>STRETCH LT/WT PUFFER</t>
        </is>
      </c>
      <c r="D2011" t="inlineStr">
        <is>
          <t>BLK</t>
        </is>
      </c>
      <c r="E2011" t="inlineStr">
        <is>
          <t>(en blanco)</t>
        </is>
      </c>
      <c r="F2011" t="inlineStr">
        <is>
          <t>(en blanco)</t>
        </is>
      </c>
      <c r="G2011" t="inlineStr">
        <is>
          <t>S</t>
        </is>
      </c>
      <c r="H2011" t="n">
        <v>1</v>
      </c>
      <c r="I2011" t="inlineStr">
        <is>
          <t>NAUTICA_CLASSICS_Q321803_BLK_1.jpg</t>
        </is>
      </c>
      <c r="J2011" t="inlineStr">
        <is>
          <t>NAUTICA_CLASSICS_Q321803_BLK_2.jpg</t>
        </is>
      </c>
      <c r="K2011" t="inlineStr">
        <is>
          <t>NAUTICA_CLASSICS_Q321803_BLK_3.jpg</t>
        </is>
      </c>
      <c r="L2011">
        <f>IMAGE("file:///E:/Estudios%20y%20certificaciones/ESTUDIOS%20DE%20PROGRAMMING/PROGRAMMING/PERSONAL/PYTHON/Image_Generator_API/imagenes/NAUTICA_CLASSICS_Q321803_BLK_1.jpg")</f>
        <v/>
      </c>
      <c r="M2011">
        <f>IMAGE("file:///E:/Estudios%20y%20certificaciones/ESTUDIOS%20DE%20PROGRAMMING/PROGRAMMING/PERSONAL/PYTHON/Image_Generator_API/imagenes/NAUTICA_CLASSICS_Q321803_BLK_2.jpg")</f>
        <v/>
      </c>
      <c r="N2011">
        <f>IMAGE("file:///E:/Estudios%20y%20certificaciones/ESTUDIOS%20DE%20PROGRAMMING/PROGRAMMING/PERSONAL/PYTHON/Image_Generator_API/imagenes/NAUTICA_CLASSICS_Q321803_BLK_3.jpg")</f>
        <v/>
      </c>
      <c r="O2011">
        <f>HYPERLINK("imagenes/NAUTICA_CLASSICS_Q321803_BLK_1.jpg","Ver imagen")</f>
        <v/>
      </c>
      <c r="P2011">
        <f>HYPERLINK("imagenes/NAUTICA_CLASSICS_Q321803_BLK_2.jpg","Ver imagen")</f>
        <v/>
      </c>
      <c r="Q2011">
        <f>HYPERLINK("imagenes/NAUTICA_CLASSICS_Q321803_BLK_3.jpg","Ver imagen")</f>
        <v/>
      </c>
    </row>
    <row r="2012">
      <c r="A2012" t="inlineStr">
        <is>
          <t>NAUTICA CLASSICS</t>
        </is>
      </c>
      <c r="B2012" t="inlineStr">
        <is>
          <t>Q321823</t>
        </is>
      </c>
      <c r="C2012" t="inlineStr">
        <is>
          <t>3/4 STR LT/WT PUFFER</t>
        </is>
      </c>
      <c r="D2012" t="inlineStr">
        <is>
          <t>BLK</t>
        </is>
      </c>
      <c r="E2012" t="inlineStr">
        <is>
          <t>(en blanco)</t>
        </is>
      </c>
      <c r="F2012" t="inlineStr">
        <is>
          <t>(en blanco)</t>
        </is>
      </c>
      <c r="G2012" t="inlineStr">
        <is>
          <t>XS</t>
        </is>
      </c>
      <c r="H2012" t="n">
        <v>1</v>
      </c>
      <c r="I2012" t="inlineStr">
        <is>
          <t>NAUTICA_CLASSICS_Q321823_BLK_1.jpg</t>
        </is>
      </c>
      <c r="J2012" t="inlineStr">
        <is>
          <t>NAUTICA_CLASSICS_Q321823_BLK_2.jpg</t>
        </is>
      </c>
      <c r="K2012" t="inlineStr">
        <is>
          <t>NAUTICA_CLASSICS_Q321823_BLK_3.jpg</t>
        </is>
      </c>
      <c r="L2012">
        <f>IMAGE("file:///E:/Estudios%20y%20certificaciones/ESTUDIOS%20DE%20PROGRAMMING/PROGRAMMING/PERSONAL/PYTHON/Image_Generator_API/imagenes/NAUTICA_CLASSICS_Q321823_BLK_1.jpg")</f>
        <v/>
      </c>
      <c r="M2012">
        <f>IMAGE("file:///E:/Estudios%20y%20certificaciones/ESTUDIOS%20DE%20PROGRAMMING/PROGRAMMING/PERSONAL/PYTHON/Image_Generator_API/imagenes/NAUTICA_CLASSICS_Q321823_BLK_2.jpg")</f>
        <v/>
      </c>
      <c r="N2012">
        <f>IMAGE("file:///E:/Estudios%20y%20certificaciones/ESTUDIOS%20DE%20PROGRAMMING/PROGRAMMING/PERSONAL/PYTHON/Image_Generator_API/imagenes/NAUTICA_CLASSICS_Q321823_BLK_3.jpg")</f>
        <v/>
      </c>
      <c r="O2012">
        <f>HYPERLINK("imagenes/NAUTICA_CLASSICS_Q321823_BLK_1.jpg","Ver imagen")</f>
        <v/>
      </c>
      <c r="P2012">
        <f>HYPERLINK("imagenes/NAUTICA_CLASSICS_Q321823_BLK_2.jpg","Ver imagen")</f>
        <v/>
      </c>
      <c r="Q2012">
        <f>HYPERLINK("imagenes/NAUTICA_CLASSICS_Q321823_BLK_3.jpg","Ver imagen")</f>
        <v/>
      </c>
    </row>
    <row r="2013">
      <c r="A2013" t="inlineStr">
        <is>
          <t>NAUTICA CLASSICS</t>
        </is>
      </c>
      <c r="B2013" t="inlineStr">
        <is>
          <t>Q321885</t>
        </is>
      </c>
      <c r="C2013" t="inlineStr">
        <is>
          <t>STRETCH LT/WT PUFFER</t>
        </is>
      </c>
      <c r="D2013" t="inlineStr">
        <is>
          <t>BLK</t>
        </is>
      </c>
      <c r="E2013" t="inlineStr">
        <is>
          <t>(en blanco)</t>
        </is>
      </c>
      <c r="F2013" t="inlineStr">
        <is>
          <t>(en blanco)</t>
        </is>
      </c>
      <c r="G2013" t="inlineStr">
        <is>
          <t>M</t>
        </is>
      </c>
      <c r="H2013" t="n">
        <v>2</v>
      </c>
      <c r="I2013" t="inlineStr">
        <is>
          <t>NAUTICA_CLASSICS_Q321885_BLK_1.jpg</t>
        </is>
      </c>
      <c r="J2013" t="inlineStr">
        <is>
          <t>NAUTICA_CLASSICS_Q321885_BLK_2.jpg</t>
        </is>
      </c>
      <c r="K2013" t="inlineStr">
        <is>
          <t>NAUTICA_CLASSICS_Q321885_BLK_3.jpg</t>
        </is>
      </c>
      <c r="L2013">
        <f>IMAGE("file:///E:/Estudios%20y%20certificaciones/ESTUDIOS%20DE%20PROGRAMMING/PROGRAMMING/PERSONAL/PYTHON/Image_Generator_API/imagenes/NAUTICA_CLASSICS_Q321885_BLK_1.jpg")</f>
        <v/>
      </c>
      <c r="M2013">
        <f>IMAGE("file:///E:/Estudios%20y%20certificaciones/ESTUDIOS%20DE%20PROGRAMMING/PROGRAMMING/PERSONAL/PYTHON/Image_Generator_API/imagenes/NAUTICA_CLASSICS_Q321885_BLK_2.jpg")</f>
        <v/>
      </c>
      <c r="N2013">
        <f>IMAGE("file:///E:/Estudios%20y%20certificaciones/ESTUDIOS%20DE%20PROGRAMMING/PROGRAMMING/PERSONAL/PYTHON/Image_Generator_API/imagenes/NAUTICA_CLASSICS_Q321885_BLK_3.jpg")</f>
        <v/>
      </c>
      <c r="O2013">
        <f>HYPERLINK("imagenes/NAUTICA_CLASSICS_Q321885_BLK_1.jpg","Ver imagen")</f>
        <v/>
      </c>
      <c r="P2013">
        <f>HYPERLINK("imagenes/NAUTICA_CLASSICS_Q321885_BLK_2.jpg","Ver imagen")</f>
        <v/>
      </c>
      <c r="Q2013">
        <f>HYPERLINK("imagenes/NAUTICA_CLASSICS_Q321885_BLK_3.jpg","Ver imagen")</f>
        <v/>
      </c>
    </row>
    <row r="2014">
      <c r="A2014" t="inlineStr">
        <is>
          <t>NAUTICA CLASSICS</t>
        </is>
      </c>
      <c r="B2014" t="inlineStr">
        <is>
          <t>Q321885</t>
        </is>
      </c>
      <c r="C2014" t="inlineStr">
        <is>
          <t>STRETCH LT/WT PUFFER</t>
        </is>
      </c>
      <c r="D2014" t="inlineStr">
        <is>
          <t>NSS</t>
        </is>
      </c>
      <c r="E2014" t="inlineStr">
        <is>
          <t>(en blanco)</t>
        </is>
      </c>
      <c r="F2014" t="inlineStr">
        <is>
          <t>(en blanco)</t>
        </is>
      </c>
      <c r="G2014" t="inlineStr">
        <is>
          <t>XS</t>
        </is>
      </c>
      <c r="H2014" t="n">
        <v>1</v>
      </c>
      <c r="I2014" t="inlineStr">
        <is>
          <t>NAUTICA_CLASSICS_Q321885_NSS_1.jpg</t>
        </is>
      </c>
      <c r="J2014" t="inlineStr">
        <is>
          <t>NAUTICA_CLASSICS_Q321885_NSS_2.jpg</t>
        </is>
      </c>
      <c r="K2014" t="inlineStr">
        <is>
          <t>NAUTICA_CLASSICS_Q321885_NSS_3.jpg</t>
        </is>
      </c>
      <c r="L2014">
        <f>IMAGE("file:///E:/Estudios%20y%20certificaciones/ESTUDIOS%20DE%20PROGRAMMING/PROGRAMMING/PERSONAL/PYTHON/Image_Generator_API/imagenes/NAUTICA_CLASSICS_Q321885_NSS_1.jpg")</f>
        <v/>
      </c>
      <c r="M2014">
        <f>IMAGE("file:///E:/Estudios%20y%20certificaciones/ESTUDIOS%20DE%20PROGRAMMING/PROGRAMMING/PERSONAL/PYTHON/Image_Generator_API/imagenes/NAUTICA_CLASSICS_Q321885_NSS_2.jpg")</f>
        <v/>
      </c>
      <c r="N2014">
        <f>IMAGE("file:///E:/Estudios%20y%20certificaciones/ESTUDIOS%20DE%20PROGRAMMING/PROGRAMMING/PERSONAL/PYTHON/Image_Generator_API/imagenes/NAUTICA_CLASSICS_Q321885_NSS_3.jpg")</f>
        <v/>
      </c>
      <c r="O2014">
        <f>HYPERLINK("imagenes/NAUTICA_CLASSICS_Q321885_NSS_1.jpg","Ver imagen")</f>
        <v/>
      </c>
      <c r="P2014">
        <f>HYPERLINK("imagenes/NAUTICA_CLASSICS_Q321885_NSS_2.jpg","Ver imagen")</f>
        <v/>
      </c>
      <c r="Q2014">
        <f>HYPERLINK("imagenes/NAUTICA_CLASSICS_Q321885_NSS_3.jpg","Ver imagen")</f>
        <v/>
      </c>
    </row>
    <row r="2015">
      <c r="A2015" t="inlineStr">
        <is>
          <t>NAUTICA CLASSICS</t>
        </is>
      </c>
      <c r="B2015" t="inlineStr">
        <is>
          <t>Q420399</t>
        </is>
      </c>
      <c r="C2015" t="inlineStr">
        <is>
          <t>3/4 BLTD PUFR W/FFHD</t>
        </is>
      </c>
      <c r="D2015" t="inlineStr">
        <is>
          <t>BLK</t>
        </is>
      </c>
      <c r="E2015" t="inlineStr">
        <is>
          <t>(en blanco)</t>
        </is>
      </c>
      <c r="F2015" t="inlineStr">
        <is>
          <t>(en blanco)</t>
        </is>
      </c>
      <c r="G2015" t="inlineStr">
        <is>
          <t>S</t>
        </is>
      </c>
      <c r="H2015" t="n">
        <v>1</v>
      </c>
      <c r="I2015" t="inlineStr">
        <is>
          <t>NAUTICA_CLASSICS_Q420399_BLK_1.jpg</t>
        </is>
      </c>
      <c r="J2015" t="inlineStr">
        <is>
          <t>NAUTICA_CLASSICS_Q420399_BLK_2.jpg</t>
        </is>
      </c>
      <c r="K2015" t="inlineStr">
        <is>
          <t>NAUTICA_CLASSICS_Q420399_BLK_3.jpg</t>
        </is>
      </c>
      <c r="L2015">
        <f>IMAGE("file:///E:/Estudios%20y%20certificaciones/ESTUDIOS%20DE%20PROGRAMMING/PROGRAMMING/PERSONAL/PYTHON/Image_Generator_API/imagenes/NAUTICA_CLASSICS_Q420399_BLK_1.jpg")</f>
        <v/>
      </c>
      <c r="M2015">
        <f>IMAGE("file:///E:/Estudios%20y%20certificaciones/ESTUDIOS%20DE%20PROGRAMMING/PROGRAMMING/PERSONAL/PYTHON/Image_Generator_API/imagenes/NAUTICA_CLASSICS_Q420399_BLK_2.jpg")</f>
        <v/>
      </c>
      <c r="N2015">
        <f>IMAGE("file:///E:/Estudios%20y%20certificaciones/ESTUDIOS%20DE%20PROGRAMMING/PROGRAMMING/PERSONAL/PYTHON/Image_Generator_API/imagenes/NAUTICA_CLASSICS_Q420399_BLK_3.jpg")</f>
        <v/>
      </c>
      <c r="O2015">
        <f>HYPERLINK("imagenes/NAUTICA_CLASSICS_Q420399_BLK_1.jpg","Ver imagen")</f>
        <v/>
      </c>
      <c r="P2015">
        <f>HYPERLINK("imagenes/NAUTICA_CLASSICS_Q420399_BLK_2.jpg","Ver imagen")</f>
        <v/>
      </c>
      <c r="Q2015">
        <f>HYPERLINK("imagenes/NAUTICA_CLASSICS_Q420399_BLK_3.jpg","Ver imagen")</f>
        <v/>
      </c>
    </row>
    <row r="2016">
      <c r="A2016" t="inlineStr">
        <is>
          <t>NAUTICA CLASSICS</t>
        </is>
      </c>
      <c r="B2016" t="inlineStr">
        <is>
          <t>Q420399</t>
        </is>
      </c>
      <c r="C2016" t="inlineStr">
        <is>
          <t>3/4 BLTD PUFR W/FFHD</t>
        </is>
      </c>
      <c r="D2016" t="inlineStr">
        <is>
          <t>BLK</t>
        </is>
      </c>
      <c r="E2016" t="inlineStr">
        <is>
          <t>(en blanco)</t>
        </is>
      </c>
      <c r="F2016" t="inlineStr">
        <is>
          <t>(en blanco)</t>
        </is>
      </c>
      <c r="G2016" t="inlineStr">
        <is>
          <t>M</t>
        </is>
      </c>
      <c r="H2016" t="n">
        <v>1</v>
      </c>
      <c r="I2016" t="inlineStr">
        <is>
          <t>NAUTICA_CLASSICS_Q420399_BLK_1.jpg</t>
        </is>
      </c>
      <c r="J2016" t="inlineStr">
        <is>
          <t>NAUTICA_CLASSICS_Q420399_BLK_2.jpg</t>
        </is>
      </c>
      <c r="K2016" t="inlineStr">
        <is>
          <t>NAUTICA_CLASSICS_Q420399_BLK_3.jpg</t>
        </is>
      </c>
      <c r="L2016">
        <f>IMAGE("file:///E:/Estudios%20y%20certificaciones/ESTUDIOS%20DE%20PROGRAMMING/PROGRAMMING/PERSONAL/PYTHON/Image_Generator_API/imagenes/NAUTICA_CLASSICS_Q420399_BLK_1.jpg")</f>
        <v/>
      </c>
      <c r="M2016">
        <f>IMAGE("file:///E:/Estudios%20y%20certificaciones/ESTUDIOS%20DE%20PROGRAMMING/PROGRAMMING/PERSONAL/PYTHON/Image_Generator_API/imagenes/NAUTICA_CLASSICS_Q420399_BLK_2.jpg")</f>
        <v/>
      </c>
      <c r="N2016">
        <f>IMAGE("file:///E:/Estudios%20y%20certificaciones/ESTUDIOS%20DE%20PROGRAMMING/PROGRAMMING/PERSONAL/PYTHON/Image_Generator_API/imagenes/NAUTICA_CLASSICS_Q420399_BLK_3.jpg")</f>
        <v/>
      </c>
      <c r="O2016">
        <f>HYPERLINK("imagenes/NAUTICA_CLASSICS_Q420399_BLK_1.jpg","Ver imagen")</f>
        <v/>
      </c>
      <c r="P2016">
        <f>HYPERLINK("imagenes/NAUTICA_CLASSICS_Q420399_BLK_2.jpg","Ver imagen")</f>
        <v/>
      </c>
      <c r="Q2016">
        <f>HYPERLINK("imagenes/NAUTICA_CLASSICS_Q420399_BLK_3.jpg","Ver imagen")</f>
        <v/>
      </c>
    </row>
    <row r="2017">
      <c r="A2017" t="inlineStr">
        <is>
          <t>NAUTICA CLASSICS</t>
        </is>
      </c>
      <c r="B2017" t="inlineStr">
        <is>
          <t>Q420399</t>
        </is>
      </c>
      <c r="C2017" t="inlineStr">
        <is>
          <t>3/4 BLTD PUFR W/FFHD</t>
        </is>
      </c>
      <c r="D2017" t="inlineStr">
        <is>
          <t>BLK</t>
        </is>
      </c>
      <c r="E2017" t="inlineStr">
        <is>
          <t>(en blanco)</t>
        </is>
      </c>
      <c r="F2017" t="inlineStr">
        <is>
          <t>(en blanco)</t>
        </is>
      </c>
      <c r="G2017" t="inlineStr">
        <is>
          <t>L</t>
        </is>
      </c>
      <c r="H2017" t="n">
        <v>1</v>
      </c>
      <c r="I2017" t="inlineStr">
        <is>
          <t>NAUTICA_CLASSICS_Q420399_BLK_1.jpg</t>
        </is>
      </c>
      <c r="J2017" t="inlineStr">
        <is>
          <t>NAUTICA_CLASSICS_Q420399_BLK_2.jpg</t>
        </is>
      </c>
      <c r="K2017" t="inlineStr">
        <is>
          <t>NAUTICA_CLASSICS_Q420399_BLK_3.jpg</t>
        </is>
      </c>
      <c r="L2017">
        <f>IMAGE("file:///E:/Estudios%20y%20certificaciones/ESTUDIOS%20DE%20PROGRAMMING/PROGRAMMING/PERSONAL/PYTHON/Image_Generator_API/imagenes/NAUTICA_CLASSICS_Q420399_BLK_1.jpg")</f>
        <v/>
      </c>
      <c r="M2017">
        <f>IMAGE("file:///E:/Estudios%20y%20certificaciones/ESTUDIOS%20DE%20PROGRAMMING/PROGRAMMING/PERSONAL/PYTHON/Image_Generator_API/imagenes/NAUTICA_CLASSICS_Q420399_BLK_2.jpg")</f>
        <v/>
      </c>
      <c r="N2017">
        <f>IMAGE("file:///E:/Estudios%20y%20certificaciones/ESTUDIOS%20DE%20PROGRAMMING/PROGRAMMING/PERSONAL/PYTHON/Image_Generator_API/imagenes/NAUTICA_CLASSICS_Q420399_BLK_3.jpg")</f>
        <v/>
      </c>
      <c r="O2017">
        <f>HYPERLINK("imagenes/NAUTICA_CLASSICS_Q420399_BLK_1.jpg","Ver imagen")</f>
        <v/>
      </c>
      <c r="P2017">
        <f>HYPERLINK("imagenes/NAUTICA_CLASSICS_Q420399_BLK_2.jpg","Ver imagen")</f>
        <v/>
      </c>
      <c r="Q2017">
        <f>HYPERLINK("imagenes/NAUTICA_CLASSICS_Q420399_BLK_3.jpg","Ver imagen")</f>
        <v/>
      </c>
    </row>
    <row r="2018">
      <c r="A2018" t="inlineStr">
        <is>
          <t>NAUTICA CLASSICS</t>
        </is>
      </c>
      <c r="B2018" t="inlineStr">
        <is>
          <t>Q420399</t>
        </is>
      </c>
      <c r="C2018" t="inlineStr">
        <is>
          <t>3/4 BLTD PUFR W/FFHD</t>
        </is>
      </c>
      <c r="D2018" t="inlineStr">
        <is>
          <t>ESP</t>
        </is>
      </c>
      <c r="E2018" t="inlineStr">
        <is>
          <t>(en blanco)</t>
        </is>
      </c>
      <c r="F2018" t="inlineStr">
        <is>
          <t>(en blanco)</t>
        </is>
      </c>
      <c r="G2018" t="inlineStr">
        <is>
          <t>M</t>
        </is>
      </c>
      <c r="H2018" t="n">
        <v>1</v>
      </c>
      <c r="I2018" t="inlineStr">
        <is>
          <t>NAUTICA_CLASSICS_Q420399_ESP_1.jpg</t>
        </is>
      </c>
      <c r="J2018" t="inlineStr">
        <is>
          <t>NAUTICA_CLASSICS_Q420399_ESP_2.jpg</t>
        </is>
      </c>
      <c r="K2018" t="inlineStr">
        <is>
          <t>NAUTICA_CLASSICS_Q420399_ESP_3.jpg</t>
        </is>
      </c>
      <c r="L2018">
        <f>IMAGE("file:///E:/Estudios%20y%20certificaciones/ESTUDIOS%20DE%20PROGRAMMING/PROGRAMMING/PERSONAL/PYTHON/Image_Generator_API/imagenes/NAUTICA_CLASSICS_Q420399_ESP_1.jpg")</f>
        <v/>
      </c>
      <c r="M2018">
        <f>IMAGE("file:///E:/Estudios%20y%20certificaciones/ESTUDIOS%20DE%20PROGRAMMING/PROGRAMMING/PERSONAL/PYTHON/Image_Generator_API/imagenes/NAUTICA_CLASSICS_Q420399_ESP_2.jpg")</f>
        <v/>
      </c>
      <c r="N2018">
        <f>IMAGE("file:///E:/Estudios%20y%20certificaciones/ESTUDIOS%20DE%20PROGRAMMING/PROGRAMMING/PERSONAL/PYTHON/Image_Generator_API/imagenes/NAUTICA_CLASSICS_Q420399_ESP_3.jpg")</f>
        <v/>
      </c>
      <c r="O2018">
        <f>HYPERLINK("imagenes/NAUTICA_CLASSICS_Q420399_ESP_1.jpg","Ver imagen")</f>
        <v/>
      </c>
      <c r="P2018">
        <f>HYPERLINK("imagenes/NAUTICA_CLASSICS_Q420399_ESP_2.jpg","Ver imagen")</f>
        <v/>
      </c>
      <c r="Q2018">
        <f>HYPERLINK("imagenes/NAUTICA_CLASSICS_Q420399_ESP_3.jpg","Ver imagen")</f>
        <v/>
      </c>
    </row>
    <row r="2019">
      <c r="A2019" t="inlineStr">
        <is>
          <t>NAUTICA CLASSICS</t>
        </is>
      </c>
      <c r="B2019" t="inlineStr">
        <is>
          <t>Q421834</t>
        </is>
      </c>
      <c r="C2019" t="inlineStr">
        <is>
          <t>chevron short stretch packable</t>
        </is>
      </c>
      <c r="D2019" t="inlineStr">
        <is>
          <t>BLK</t>
        </is>
      </c>
      <c r="E2019" t="inlineStr">
        <is>
          <t>(en blanco)</t>
        </is>
      </c>
      <c r="F2019" t="inlineStr">
        <is>
          <t>(en blanco)</t>
        </is>
      </c>
      <c r="G2019" t="inlineStr">
        <is>
          <t>XS</t>
        </is>
      </c>
      <c r="H2019" t="n">
        <v>26</v>
      </c>
      <c r="I2019" t="inlineStr">
        <is>
          <t>NAUTICA_CLASSICS_Q421834_BLK_1.jpg</t>
        </is>
      </c>
      <c r="J2019" t="inlineStr">
        <is>
          <t>NAUTICA_CLASSICS_Q421834_BLK_2.jpg</t>
        </is>
      </c>
      <c r="K2019" t="inlineStr">
        <is>
          <t>NAUTICA_CLASSICS_Q421834_BLK_3.jpg</t>
        </is>
      </c>
      <c r="L2019">
        <f>IMAGE("file:///E:/Estudios%20y%20certificaciones/ESTUDIOS%20DE%20PROGRAMMING/PROGRAMMING/PERSONAL/PYTHON/Image_Generator_API/imagenes/NAUTICA_CLASSICS_Q421834_BLK_1.jpg")</f>
        <v/>
      </c>
      <c r="M2019">
        <f>IMAGE("file:///E:/Estudios%20y%20certificaciones/ESTUDIOS%20DE%20PROGRAMMING/PROGRAMMING/PERSONAL/PYTHON/Image_Generator_API/imagenes/NAUTICA_CLASSICS_Q421834_BLK_2.jpg")</f>
        <v/>
      </c>
      <c r="N2019">
        <f>IMAGE("file:///E:/Estudios%20y%20certificaciones/ESTUDIOS%20DE%20PROGRAMMING/PROGRAMMING/PERSONAL/PYTHON/Image_Generator_API/imagenes/NAUTICA_CLASSICS_Q421834_BLK_3.jpg")</f>
        <v/>
      </c>
      <c r="O2019">
        <f>HYPERLINK("imagenes/NAUTICA_CLASSICS_Q421834_BLK_1.jpg","Ver imagen")</f>
        <v/>
      </c>
      <c r="P2019">
        <f>HYPERLINK("imagenes/NAUTICA_CLASSICS_Q421834_BLK_2.jpg","Ver imagen")</f>
        <v/>
      </c>
      <c r="Q2019">
        <f>HYPERLINK("imagenes/NAUTICA_CLASSICS_Q421834_BLK_3.jpg","Ver imagen")</f>
        <v/>
      </c>
    </row>
    <row r="2020">
      <c r="A2020" t="inlineStr">
        <is>
          <t>NAUTICA CLASSICS</t>
        </is>
      </c>
      <c r="B2020" t="inlineStr">
        <is>
          <t>Q421834</t>
        </is>
      </c>
      <c r="C2020" t="inlineStr">
        <is>
          <t>chevron short stretch packable</t>
        </is>
      </c>
      <c r="D2020" t="inlineStr">
        <is>
          <t>MGR</t>
        </is>
      </c>
      <c r="E2020" t="inlineStr">
        <is>
          <t>(en blanco)</t>
        </is>
      </c>
      <c r="F2020" t="inlineStr">
        <is>
          <t>(en blanco)</t>
        </is>
      </c>
      <c r="G2020" t="inlineStr">
        <is>
          <t>L</t>
        </is>
      </c>
      <c r="H2020" t="n">
        <v>15</v>
      </c>
      <c r="I2020" t="inlineStr">
        <is>
          <t>NAUTICA_CLASSICS_Q421834_MGR_1.jpg</t>
        </is>
      </c>
      <c r="J2020" t="inlineStr">
        <is>
          <t>NAUTICA_CLASSICS_Q421834_MGR_2.jpg</t>
        </is>
      </c>
      <c r="K2020" t="inlineStr">
        <is>
          <t>NAUTICA_CLASSICS_Q421834_MGR_3.jpg</t>
        </is>
      </c>
      <c r="L2020">
        <f>IMAGE("file:///E:/Estudios%20y%20certificaciones/ESTUDIOS%20DE%20PROGRAMMING/PROGRAMMING/PERSONAL/PYTHON/Image_Generator_API/imagenes/NAUTICA_CLASSICS_Q421834_MGR_1.jpg")</f>
        <v/>
      </c>
      <c r="M2020">
        <f>IMAGE("file:///E:/Estudios%20y%20certificaciones/ESTUDIOS%20DE%20PROGRAMMING/PROGRAMMING/PERSONAL/PYTHON/Image_Generator_API/imagenes/NAUTICA_CLASSICS_Q421834_MGR_2.jpg")</f>
        <v/>
      </c>
      <c r="N2020">
        <f>IMAGE("file:///E:/Estudios%20y%20certificaciones/ESTUDIOS%20DE%20PROGRAMMING/PROGRAMMING/PERSONAL/PYTHON/Image_Generator_API/imagenes/NAUTICA_CLASSICS_Q421834_MGR_3.jpg")</f>
        <v/>
      </c>
      <c r="O2020">
        <f>HYPERLINK("imagenes/NAUTICA_CLASSICS_Q421834_MGR_1.jpg","Ver imagen")</f>
        <v/>
      </c>
      <c r="P2020">
        <f>HYPERLINK("imagenes/NAUTICA_CLASSICS_Q421834_MGR_2.jpg","Ver imagen")</f>
        <v/>
      </c>
      <c r="Q2020">
        <f>HYPERLINK("imagenes/NAUTICA_CLASSICS_Q421834_MGR_3.jpg","Ver imagen")</f>
        <v/>
      </c>
    </row>
    <row r="2021">
      <c r="A2021" t="inlineStr">
        <is>
          <t>NAUTICA CLASSICS</t>
        </is>
      </c>
      <c r="B2021" t="inlineStr">
        <is>
          <t>Q421834</t>
        </is>
      </c>
      <c r="C2021" t="inlineStr">
        <is>
          <t>chevron short stretch packable</t>
        </is>
      </c>
      <c r="D2021" t="inlineStr">
        <is>
          <t>PTU</t>
        </is>
      </c>
      <c r="E2021" t="inlineStr">
        <is>
          <t>(en blanco)</t>
        </is>
      </c>
      <c r="F2021" t="inlineStr">
        <is>
          <t>(en blanco)</t>
        </is>
      </c>
      <c r="G2021" t="inlineStr">
        <is>
          <t>M</t>
        </is>
      </c>
      <c r="H2021" t="n">
        <v>32</v>
      </c>
      <c r="I2021" t="inlineStr">
        <is>
          <t>NAUTICA_CLASSICS_Q421834_PTU_1.jpg</t>
        </is>
      </c>
      <c r="J2021" t="inlineStr">
        <is>
          <t>NAUTICA_CLASSICS_Q421834_PTU_2.jpg</t>
        </is>
      </c>
      <c r="K2021" t="inlineStr">
        <is>
          <t>NAUTICA_CLASSICS_Q421834_PTU_3.jpg</t>
        </is>
      </c>
      <c r="L2021">
        <f>IMAGE("file:///E:/Estudios%20y%20certificaciones/ESTUDIOS%20DE%20PROGRAMMING/PROGRAMMING/PERSONAL/PYTHON/Image_Generator_API/imagenes/NAUTICA_CLASSICS_Q421834_PTU_1.jpg")</f>
        <v/>
      </c>
      <c r="M2021">
        <f>IMAGE("file:///E:/Estudios%20y%20certificaciones/ESTUDIOS%20DE%20PROGRAMMING/PROGRAMMING/PERSONAL/PYTHON/Image_Generator_API/imagenes/NAUTICA_CLASSICS_Q421834_PTU_2.jpg")</f>
        <v/>
      </c>
      <c r="N2021">
        <f>IMAGE("file:///E:/Estudios%20y%20certificaciones/ESTUDIOS%20DE%20PROGRAMMING/PROGRAMMING/PERSONAL/PYTHON/Image_Generator_API/imagenes/NAUTICA_CLASSICS_Q421834_PTU_3.jpg")</f>
        <v/>
      </c>
      <c r="O2021">
        <f>HYPERLINK("imagenes/NAUTICA_CLASSICS_Q421834_PTU_1.jpg","Ver imagen")</f>
        <v/>
      </c>
      <c r="P2021">
        <f>HYPERLINK("imagenes/NAUTICA_CLASSICS_Q421834_PTU_2.jpg","Ver imagen")</f>
        <v/>
      </c>
      <c r="Q2021">
        <f>HYPERLINK("imagenes/NAUTICA_CLASSICS_Q421834_PTU_3.jpg","Ver imagen")</f>
        <v/>
      </c>
    </row>
    <row r="2022">
      <c r="A2022" t="inlineStr">
        <is>
          <t>NAUTICA CLASSICS</t>
        </is>
      </c>
      <c r="B2022" t="inlineStr">
        <is>
          <t>Q421869</t>
        </is>
      </c>
      <c r="C2022" t="inlineStr">
        <is>
          <t>3/4 STR PUFFR W/HOOD</t>
        </is>
      </c>
      <c r="D2022" t="inlineStr">
        <is>
          <t>BLK</t>
        </is>
      </c>
      <c r="E2022" t="inlineStr">
        <is>
          <t>(en blanco)</t>
        </is>
      </c>
      <c r="F2022" t="inlineStr">
        <is>
          <t>(en blanco)</t>
        </is>
      </c>
      <c r="G2022" t="inlineStr">
        <is>
          <t>XS</t>
        </is>
      </c>
      <c r="H2022" t="n">
        <v>1</v>
      </c>
      <c r="I2022" t="inlineStr">
        <is>
          <t>NAUTICA_CLASSICS_Q421869_BLK_1.jpg</t>
        </is>
      </c>
      <c r="J2022" t="inlineStr">
        <is>
          <t>NAUTICA_CLASSICS_Q421869_BLK_2.jpg</t>
        </is>
      </c>
      <c r="K2022" t="inlineStr">
        <is>
          <t>NAUTICA_CLASSICS_Q421869_BLK_3.jpg</t>
        </is>
      </c>
      <c r="L2022">
        <f>IMAGE("file:///E:/Estudios%20y%20certificaciones/ESTUDIOS%20DE%20PROGRAMMING/PROGRAMMING/PERSONAL/PYTHON/Image_Generator_API/imagenes/NAUTICA_CLASSICS_Q421869_BLK_1.jpg")</f>
        <v/>
      </c>
      <c r="M2022">
        <f>IMAGE("file:///E:/Estudios%20y%20certificaciones/ESTUDIOS%20DE%20PROGRAMMING/PROGRAMMING/PERSONAL/PYTHON/Image_Generator_API/imagenes/NAUTICA_CLASSICS_Q421869_BLK_2.jpg")</f>
        <v/>
      </c>
      <c r="N2022">
        <f>IMAGE("file:///E:/Estudios%20y%20certificaciones/ESTUDIOS%20DE%20PROGRAMMING/PROGRAMMING/PERSONAL/PYTHON/Image_Generator_API/imagenes/NAUTICA_CLASSICS_Q421869_BLK_3.jpg")</f>
        <v/>
      </c>
      <c r="O2022">
        <f>HYPERLINK("imagenes/NAUTICA_CLASSICS_Q421869_BLK_1.jpg","Ver imagen")</f>
        <v/>
      </c>
      <c r="P2022">
        <f>HYPERLINK("imagenes/NAUTICA_CLASSICS_Q421869_BLK_2.jpg","Ver imagen")</f>
        <v/>
      </c>
      <c r="Q2022">
        <f>HYPERLINK("imagenes/NAUTICA_CLASSICS_Q421869_BLK_3.jpg","Ver imagen")</f>
        <v/>
      </c>
    </row>
    <row r="2023">
      <c r="A2023" t="inlineStr">
        <is>
          <t>NAUTICA CLASSICS</t>
        </is>
      </c>
      <c r="B2023" t="inlineStr">
        <is>
          <t>Q421869</t>
        </is>
      </c>
      <c r="C2023" t="inlineStr">
        <is>
          <t>3/4 STR PUFFR W/HOOD</t>
        </is>
      </c>
      <c r="D2023" t="inlineStr">
        <is>
          <t>NSS</t>
        </is>
      </c>
      <c r="E2023" t="inlineStr">
        <is>
          <t>(en blanco)</t>
        </is>
      </c>
      <c r="F2023" t="inlineStr">
        <is>
          <t>(en blanco)</t>
        </is>
      </c>
      <c r="G2023" t="inlineStr">
        <is>
          <t>S</t>
        </is>
      </c>
      <c r="H2023" t="n">
        <v>3</v>
      </c>
      <c r="I2023" t="inlineStr">
        <is>
          <t>NAUTICA_CLASSICS_Q421869_NSS_1.jpg</t>
        </is>
      </c>
      <c r="J2023" t="inlineStr">
        <is>
          <t>NAUTICA_CLASSICS_Q421869_NSS_2.jpg</t>
        </is>
      </c>
      <c r="K2023" t="inlineStr">
        <is>
          <t>NAUTICA_CLASSICS_Q421869_NSS_3.jpg</t>
        </is>
      </c>
      <c r="L2023">
        <f>IMAGE("file:///E:/Estudios%20y%20certificaciones/ESTUDIOS%20DE%20PROGRAMMING/PROGRAMMING/PERSONAL/PYTHON/Image_Generator_API/imagenes/NAUTICA_CLASSICS_Q421869_NSS_1.jpg")</f>
        <v/>
      </c>
      <c r="M2023">
        <f>IMAGE("file:///E:/Estudios%20y%20certificaciones/ESTUDIOS%20DE%20PROGRAMMING/PROGRAMMING/PERSONAL/PYTHON/Image_Generator_API/imagenes/NAUTICA_CLASSICS_Q421869_NSS_2.jpg")</f>
        <v/>
      </c>
      <c r="N2023">
        <f>IMAGE("file:///E:/Estudios%20y%20certificaciones/ESTUDIOS%20DE%20PROGRAMMING/PROGRAMMING/PERSONAL/PYTHON/Image_Generator_API/imagenes/NAUTICA_CLASSICS_Q421869_NSS_3.jpg")</f>
        <v/>
      </c>
      <c r="O2023">
        <f>HYPERLINK("imagenes/NAUTICA_CLASSICS_Q421869_NSS_1.jpg","Ver imagen")</f>
        <v/>
      </c>
      <c r="P2023">
        <f>HYPERLINK("imagenes/NAUTICA_CLASSICS_Q421869_NSS_2.jpg","Ver imagen")</f>
        <v/>
      </c>
      <c r="Q2023">
        <f>HYPERLINK("imagenes/NAUTICA_CLASSICS_Q421869_NSS_3.jpg","Ver imagen")</f>
        <v/>
      </c>
    </row>
    <row r="2024">
      <c r="A2024" t="inlineStr">
        <is>
          <t>NAUTICA CLASSICS</t>
        </is>
      </c>
      <c r="B2024" t="inlineStr">
        <is>
          <t>Q421875</t>
        </is>
      </c>
      <c r="C2024" t="inlineStr">
        <is>
          <t>STRCH HOOD W/FF STRP</t>
        </is>
      </c>
      <c r="D2024" t="inlineStr">
        <is>
          <t>CTI</t>
        </is>
      </c>
      <c r="E2024" t="inlineStr">
        <is>
          <t>(en blanco)</t>
        </is>
      </c>
      <c r="F2024" t="inlineStr">
        <is>
          <t>(en blanco)</t>
        </is>
      </c>
      <c r="G2024" t="inlineStr">
        <is>
          <t>S</t>
        </is>
      </c>
      <c r="H2024" t="n">
        <v>5</v>
      </c>
      <c r="I2024" t="inlineStr">
        <is>
          <t>NAUTICA_CLASSICS_Q421875_CTI_1.jpg</t>
        </is>
      </c>
      <c r="J2024" t="inlineStr">
        <is>
          <t>NAUTICA_CLASSICS_Q421875_CTI_2.jpg</t>
        </is>
      </c>
      <c r="K2024" t="inlineStr">
        <is>
          <t>NAUTICA_CLASSICS_Q421875_CTI_3.jpg</t>
        </is>
      </c>
      <c r="L2024">
        <f>IMAGE("file:///E:/Estudios%20y%20certificaciones/ESTUDIOS%20DE%20PROGRAMMING/PROGRAMMING/PERSONAL/PYTHON/Image_Generator_API/imagenes/NAUTICA_CLASSICS_Q421875_CTI_1.jpg")</f>
        <v/>
      </c>
      <c r="M2024">
        <f>IMAGE("file:///E:/Estudios%20y%20certificaciones/ESTUDIOS%20DE%20PROGRAMMING/PROGRAMMING/PERSONAL/PYTHON/Image_Generator_API/imagenes/NAUTICA_CLASSICS_Q421875_CTI_2.jpg")</f>
        <v/>
      </c>
      <c r="N2024">
        <f>IMAGE("file:///E:/Estudios%20y%20certificaciones/ESTUDIOS%20DE%20PROGRAMMING/PROGRAMMING/PERSONAL/PYTHON/Image_Generator_API/imagenes/NAUTICA_CLASSICS_Q421875_CTI_3.jpg")</f>
        <v/>
      </c>
      <c r="O2024">
        <f>HYPERLINK("imagenes/NAUTICA_CLASSICS_Q421875_CTI_1.jpg","Ver imagen")</f>
        <v/>
      </c>
      <c r="P2024">
        <f>HYPERLINK("imagenes/NAUTICA_CLASSICS_Q421875_CTI_2.jpg","Ver imagen")</f>
        <v/>
      </c>
      <c r="Q2024">
        <f>HYPERLINK("imagenes/NAUTICA_CLASSICS_Q421875_CTI_3.jpg","Ver imagen")</f>
        <v/>
      </c>
    </row>
    <row r="2025">
      <c r="A2025" t="inlineStr">
        <is>
          <t>NAUTICA CLASSICS</t>
        </is>
      </c>
      <c r="B2025" t="inlineStr">
        <is>
          <t>Q422945</t>
        </is>
      </c>
      <c r="C2025" t="inlineStr">
        <is>
          <t>double breasted peacoat</t>
        </is>
      </c>
      <c r="D2025" t="inlineStr">
        <is>
          <t>CAM</t>
        </is>
      </c>
      <c r="E2025" t="inlineStr">
        <is>
          <t>(en blanco)</t>
        </is>
      </c>
      <c r="F2025" t="inlineStr">
        <is>
          <t>(en blanco)</t>
        </is>
      </c>
      <c r="G2025" t="inlineStr">
        <is>
          <t>XS</t>
        </is>
      </c>
      <c r="H2025" t="n">
        <v>12</v>
      </c>
      <c r="I2025" t="inlineStr">
        <is>
          <t>NAUTICA_CLASSICS_Q422945_CAM_1.jpg</t>
        </is>
      </c>
      <c r="J2025" t="inlineStr">
        <is>
          <t>NAUTICA_CLASSICS_Q422945_CAM_2.jpg</t>
        </is>
      </c>
      <c r="K2025" t="inlineStr">
        <is>
          <t>NAUTICA_CLASSICS_Q422945_CAM_3.jpg</t>
        </is>
      </c>
      <c r="L2025">
        <f>IMAGE("file:///E:/Estudios%20y%20certificaciones/ESTUDIOS%20DE%20PROGRAMMING/PROGRAMMING/PERSONAL/PYTHON/Image_Generator_API/imagenes/NAUTICA_CLASSICS_Q422945_CAM_1.jpg")</f>
        <v/>
      </c>
      <c r="M2025">
        <f>IMAGE("file:///E:/Estudios%20y%20certificaciones/ESTUDIOS%20DE%20PROGRAMMING/PROGRAMMING/PERSONAL/PYTHON/Image_Generator_API/imagenes/NAUTICA_CLASSICS_Q422945_CAM_2.jpg")</f>
        <v/>
      </c>
      <c r="N2025">
        <f>IMAGE("file:///E:/Estudios%20y%20certificaciones/ESTUDIOS%20DE%20PROGRAMMING/PROGRAMMING/PERSONAL/PYTHON/Image_Generator_API/imagenes/NAUTICA_CLASSICS_Q422945_CAM_3.jpg")</f>
        <v/>
      </c>
      <c r="O2025">
        <f>HYPERLINK("imagenes/NAUTICA_CLASSICS_Q422945_CAM_1.jpg","Ver imagen")</f>
        <v/>
      </c>
      <c r="P2025">
        <f>HYPERLINK("imagenes/NAUTICA_CLASSICS_Q422945_CAM_2.jpg","Ver imagen")</f>
        <v/>
      </c>
      <c r="Q2025">
        <f>HYPERLINK("imagenes/NAUTICA_CLASSICS_Q422945_CAM_3.jpg","Ver imagen")</f>
        <v/>
      </c>
    </row>
    <row r="2026">
      <c r="A2026" t="inlineStr">
        <is>
          <t>NAUTICA CLASSICS</t>
        </is>
      </c>
      <c r="B2026" t="inlineStr">
        <is>
          <t>Q422945</t>
        </is>
      </c>
      <c r="C2026" t="inlineStr">
        <is>
          <t>double breasted peacoat</t>
        </is>
      </c>
      <c r="D2026" t="inlineStr">
        <is>
          <t>CAM</t>
        </is>
      </c>
      <c r="E2026" t="inlineStr">
        <is>
          <t>(en blanco)</t>
        </is>
      </c>
      <c r="F2026" t="inlineStr">
        <is>
          <t>(en blanco)</t>
        </is>
      </c>
      <c r="G2026" t="inlineStr">
        <is>
          <t>M</t>
        </is>
      </c>
      <c r="H2026" t="n">
        <v>7</v>
      </c>
      <c r="I2026" t="inlineStr">
        <is>
          <t>NAUTICA_CLASSICS_Q422945_CAM_1.jpg</t>
        </is>
      </c>
      <c r="J2026" t="inlineStr">
        <is>
          <t>NAUTICA_CLASSICS_Q422945_CAM_2.jpg</t>
        </is>
      </c>
      <c r="K2026" t="inlineStr">
        <is>
          <t>NAUTICA_CLASSICS_Q422945_CAM_3.jpg</t>
        </is>
      </c>
      <c r="L2026">
        <f>IMAGE("file:///E:/Estudios%20y%20certificaciones/ESTUDIOS%20DE%20PROGRAMMING/PROGRAMMING/PERSONAL/PYTHON/Image_Generator_API/imagenes/NAUTICA_CLASSICS_Q422945_CAM_1.jpg")</f>
        <v/>
      </c>
      <c r="M2026">
        <f>IMAGE("file:///E:/Estudios%20y%20certificaciones/ESTUDIOS%20DE%20PROGRAMMING/PROGRAMMING/PERSONAL/PYTHON/Image_Generator_API/imagenes/NAUTICA_CLASSICS_Q422945_CAM_2.jpg")</f>
        <v/>
      </c>
      <c r="N2026">
        <f>IMAGE("file:///E:/Estudios%20y%20certificaciones/ESTUDIOS%20DE%20PROGRAMMING/PROGRAMMING/PERSONAL/PYTHON/Image_Generator_API/imagenes/NAUTICA_CLASSICS_Q422945_CAM_3.jpg")</f>
        <v/>
      </c>
      <c r="O2026">
        <f>HYPERLINK("imagenes/NAUTICA_CLASSICS_Q422945_CAM_1.jpg","Ver imagen")</f>
        <v/>
      </c>
      <c r="P2026">
        <f>HYPERLINK("imagenes/NAUTICA_CLASSICS_Q422945_CAM_2.jpg","Ver imagen")</f>
        <v/>
      </c>
      <c r="Q2026">
        <f>HYPERLINK("imagenes/NAUTICA_CLASSICS_Q422945_CAM_3.jpg","Ver imagen")</f>
        <v/>
      </c>
    </row>
    <row r="2027">
      <c r="A2027" t="inlineStr">
        <is>
          <t>NAUTICA CLASSICS</t>
        </is>
      </c>
      <c r="B2027" t="inlineStr">
        <is>
          <t>Q422945</t>
        </is>
      </c>
      <c r="C2027" t="inlineStr">
        <is>
          <t>double breasted peacoat</t>
        </is>
      </c>
      <c r="D2027" t="inlineStr">
        <is>
          <t>CAM</t>
        </is>
      </c>
      <c r="E2027" t="inlineStr">
        <is>
          <t>(en blanco)</t>
        </is>
      </c>
      <c r="F2027" t="inlineStr">
        <is>
          <t>(en blanco)</t>
        </is>
      </c>
      <c r="G2027" t="inlineStr">
        <is>
          <t>L</t>
        </is>
      </c>
      <c r="H2027" t="n">
        <v>1</v>
      </c>
      <c r="I2027" t="inlineStr">
        <is>
          <t>NAUTICA_CLASSICS_Q422945_CAM_1.jpg</t>
        </is>
      </c>
      <c r="J2027" t="inlineStr">
        <is>
          <t>NAUTICA_CLASSICS_Q422945_CAM_2.jpg</t>
        </is>
      </c>
      <c r="K2027" t="inlineStr">
        <is>
          <t>NAUTICA_CLASSICS_Q422945_CAM_3.jpg</t>
        </is>
      </c>
      <c r="L2027">
        <f>IMAGE("file:///E:/Estudios%20y%20certificaciones/ESTUDIOS%20DE%20PROGRAMMING/PROGRAMMING/PERSONAL/PYTHON/Image_Generator_API/imagenes/NAUTICA_CLASSICS_Q422945_CAM_1.jpg")</f>
        <v/>
      </c>
      <c r="M2027">
        <f>IMAGE("file:///E:/Estudios%20y%20certificaciones/ESTUDIOS%20DE%20PROGRAMMING/PROGRAMMING/PERSONAL/PYTHON/Image_Generator_API/imagenes/NAUTICA_CLASSICS_Q422945_CAM_2.jpg")</f>
        <v/>
      </c>
      <c r="N2027">
        <f>IMAGE("file:///E:/Estudios%20y%20certificaciones/ESTUDIOS%20DE%20PROGRAMMING/PROGRAMMING/PERSONAL/PYTHON/Image_Generator_API/imagenes/NAUTICA_CLASSICS_Q422945_CAM_3.jpg")</f>
        <v/>
      </c>
      <c r="O2027">
        <f>HYPERLINK("imagenes/NAUTICA_CLASSICS_Q422945_CAM_1.jpg","Ver imagen")</f>
        <v/>
      </c>
      <c r="P2027">
        <f>HYPERLINK("imagenes/NAUTICA_CLASSICS_Q422945_CAM_2.jpg","Ver imagen")</f>
        <v/>
      </c>
      <c r="Q2027">
        <f>HYPERLINK("imagenes/NAUTICA_CLASSICS_Q422945_CAM_3.jpg","Ver imagen")</f>
        <v/>
      </c>
    </row>
    <row r="2028">
      <c r="A2028" t="inlineStr">
        <is>
          <t>NAUTICA CLASSICS</t>
        </is>
      </c>
      <c r="B2028" t="inlineStr">
        <is>
          <t>Q422945</t>
        </is>
      </c>
      <c r="C2028" t="inlineStr">
        <is>
          <t>double breasted peacoat</t>
        </is>
      </c>
      <c r="D2028" t="inlineStr">
        <is>
          <t>CAM</t>
        </is>
      </c>
      <c r="E2028" t="inlineStr">
        <is>
          <t>(en blanco)</t>
        </is>
      </c>
      <c r="F2028" t="inlineStr">
        <is>
          <t>(en blanco)</t>
        </is>
      </c>
      <c r="G2028" t="inlineStr">
        <is>
          <t>XXS</t>
        </is>
      </c>
      <c r="H2028" t="n">
        <v>0</v>
      </c>
      <c r="I2028" t="inlineStr">
        <is>
          <t>NAUTICA_CLASSICS_Q422945_CAM_1.jpg</t>
        </is>
      </c>
      <c r="J2028" t="inlineStr">
        <is>
          <t>NAUTICA_CLASSICS_Q422945_CAM_2.jpg</t>
        </is>
      </c>
      <c r="K2028" t="inlineStr">
        <is>
          <t>NAUTICA_CLASSICS_Q422945_CAM_3.jpg</t>
        </is>
      </c>
      <c r="L2028">
        <f>IMAGE("file:///E:/Estudios%20y%20certificaciones/ESTUDIOS%20DE%20PROGRAMMING/PROGRAMMING/PERSONAL/PYTHON/Image_Generator_API/imagenes/NAUTICA_CLASSICS_Q422945_CAM_1.jpg")</f>
        <v/>
      </c>
      <c r="M2028">
        <f>IMAGE("file:///E:/Estudios%20y%20certificaciones/ESTUDIOS%20DE%20PROGRAMMING/PROGRAMMING/PERSONAL/PYTHON/Image_Generator_API/imagenes/NAUTICA_CLASSICS_Q422945_CAM_2.jpg")</f>
        <v/>
      </c>
      <c r="N2028">
        <f>IMAGE("file:///E:/Estudios%20y%20certificaciones/ESTUDIOS%20DE%20PROGRAMMING/PROGRAMMING/PERSONAL/PYTHON/Image_Generator_API/imagenes/NAUTICA_CLASSICS_Q422945_CAM_3.jpg")</f>
        <v/>
      </c>
      <c r="O2028">
        <f>HYPERLINK("imagenes/NAUTICA_CLASSICS_Q422945_CAM_1.jpg","Ver imagen")</f>
        <v/>
      </c>
      <c r="P2028">
        <f>HYPERLINK("imagenes/NAUTICA_CLASSICS_Q422945_CAM_2.jpg","Ver imagen")</f>
        <v/>
      </c>
      <c r="Q2028">
        <f>HYPERLINK("imagenes/NAUTICA_CLASSICS_Q422945_CAM_3.jpg","Ver imagen")</f>
        <v/>
      </c>
    </row>
    <row r="2029">
      <c r="A2029" t="inlineStr">
        <is>
          <t>NAUTICA CLASSICS</t>
        </is>
      </c>
      <c r="B2029" t="inlineStr">
        <is>
          <t>Q422945</t>
        </is>
      </c>
      <c r="C2029" t="inlineStr">
        <is>
          <t>double breasted peacoat</t>
        </is>
      </c>
      <c r="D2029" t="inlineStr">
        <is>
          <t>CHR</t>
        </is>
      </c>
      <c r="E2029" t="inlineStr">
        <is>
          <t>(en blanco)</t>
        </is>
      </c>
      <c r="F2029" t="inlineStr">
        <is>
          <t>(en blanco)</t>
        </is>
      </c>
      <c r="G2029" t="inlineStr">
        <is>
          <t>XS</t>
        </is>
      </c>
      <c r="H2029" t="n">
        <v>35</v>
      </c>
      <c r="I2029" t="inlineStr">
        <is>
          <t>NAUTICA_CLASSICS_Q422945_CHR_1.jpg</t>
        </is>
      </c>
      <c r="J2029" t="inlineStr">
        <is>
          <t>NAUTICA_CLASSICS_Q422945_CHR_2.jpg</t>
        </is>
      </c>
      <c r="K2029" t="inlineStr">
        <is>
          <t>NAUTICA_CLASSICS_Q422945_CHR_3.jpg</t>
        </is>
      </c>
      <c r="L2029">
        <f>IMAGE("file:///E:/Estudios%20y%20certificaciones/ESTUDIOS%20DE%20PROGRAMMING/PROGRAMMING/PERSONAL/PYTHON/Image_Generator_API/imagenes/NAUTICA_CLASSICS_Q422945_CHR_1.jpg")</f>
        <v/>
      </c>
      <c r="M2029">
        <f>IMAGE("file:///E:/Estudios%20y%20certificaciones/ESTUDIOS%20DE%20PROGRAMMING/PROGRAMMING/PERSONAL/PYTHON/Image_Generator_API/imagenes/NAUTICA_CLASSICS_Q422945_CHR_2.jpg")</f>
        <v/>
      </c>
      <c r="N2029">
        <f>IMAGE("file:///E:/Estudios%20y%20certificaciones/ESTUDIOS%20DE%20PROGRAMMING/PROGRAMMING/PERSONAL/PYTHON/Image_Generator_API/imagenes/NAUTICA_CLASSICS_Q422945_CHR_3.jpg")</f>
        <v/>
      </c>
      <c r="O2029">
        <f>HYPERLINK("imagenes/NAUTICA_CLASSICS_Q422945_CHR_1.jpg","Ver imagen")</f>
        <v/>
      </c>
      <c r="P2029">
        <f>HYPERLINK("imagenes/NAUTICA_CLASSICS_Q422945_CHR_2.jpg","Ver imagen")</f>
        <v/>
      </c>
      <c r="Q2029">
        <f>HYPERLINK("imagenes/NAUTICA_CLASSICS_Q422945_CHR_3.jpg","Ver imagen")</f>
        <v/>
      </c>
    </row>
    <row r="2030">
      <c r="A2030" t="inlineStr">
        <is>
          <t>NAUTICA CLASSICS</t>
        </is>
      </c>
      <c r="B2030" t="inlineStr">
        <is>
          <t>Q422945</t>
        </is>
      </c>
      <c r="C2030" t="inlineStr">
        <is>
          <t>double breasted peacoat</t>
        </is>
      </c>
      <c r="D2030" t="inlineStr">
        <is>
          <t>CHR</t>
        </is>
      </c>
      <c r="E2030" t="inlineStr">
        <is>
          <t>(en blanco)</t>
        </is>
      </c>
      <c r="F2030" t="inlineStr">
        <is>
          <t>(en blanco)</t>
        </is>
      </c>
      <c r="G2030" t="inlineStr">
        <is>
          <t>S</t>
        </is>
      </c>
      <c r="H2030" t="n">
        <v>43</v>
      </c>
      <c r="I2030" t="inlineStr">
        <is>
          <t>NAUTICA_CLASSICS_Q422945_CHR_1.jpg</t>
        </is>
      </c>
      <c r="J2030" t="inlineStr">
        <is>
          <t>NAUTICA_CLASSICS_Q422945_CHR_2.jpg</t>
        </is>
      </c>
      <c r="K2030" t="inlineStr">
        <is>
          <t>NAUTICA_CLASSICS_Q422945_CHR_3.jpg</t>
        </is>
      </c>
      <c r="L2030">
        <f>IMAGE("file:///E:/Estudios%20y%20certificaciones/ESTUDIOS%20DE%20PROGRAMMING/PROGRAMMING/PERSONAL/PYTHON/Image_Generator_API/imagenes/NAUTICA_CLASSICS_Q422945_CHR_1.jpg")</f>
        <v/>
      </c>
      <c r="M2030">
        <f>IMAGE("file:///E:/Estudios%20y%20certificaciones/ESTUDIOS%20DE%20PROGRAMMING/PROGRAMMING/PERSONAL/PYTHON/Image_Generator_API/imagenes/NAUTICA_CLASSICS_Q422945_CHR_2.jpg")</f>
        <v/>
      </c>
      <c r="N2030">
        <f>IMAGE("file:///E:/Estudios%20y%20certificaciones/ESTUDIOS%20DE%20PROGRAMMING/PROGRAMMING/PERSONAL/PYTHON/Image_Generator_API/imagenes/NAUTICA_CLASSICS_Q422945_CHR_3.jpg")</f>
        <v/>
      </c>
      <c r="O2030">
        <f>HYPERLINK("imagenes/NAUTICA_CLASSICS_Q422945_CHR_1.jpg","Ver imagen")</f>
        <v/>
      </c>
      <c r="P2030">
        <f>HYPERLINK("imagenes/NAUTICA_CLASSICS_Q422945_CHR_2.jpg","Ver imagen")</f>
        <v/>
      </c>
      <c r="Q2030">
        <f>HYPERLINK("imagenes/NAUTICA_CLASSICS_Q422945_CHR_3.jpg","Ver imagen")</f>
        <v/>
      </c>
    </row>
    <row r="2031">
      <c r="A2031" t="inlineStr">
        <is>
          <t>NAUTICA CLASSICS</t>
        </is>
      </c>
      <c r="B2031" t="inlineStr">
        <is>
          <t>Q422945</t>
        </is>
      </c>
      <c r="C2031" t="inlineStr">
        <is>
          <t>double breasted peacoat</t>
        </is>
      </c>
      <c r="D2031" t="inlineStr">
        <is>
          <t>CHR</t>
        </is>
      </c>
      <c r="E2031" t="inlineStr">
        <is>
          <t>(en blanco)</t>
        </is>
      </c>
      <c r="F2031" t="inlineStr">
        <is>
          <t>(en blanco)</t>
        </is>
      </c>
      <c r="G2031" t="inlineStr">
        <is>
          <t>M</t>
        </is>
      </c>
      <c r="H2031" t="n">
        <v>12</v>
      </c>
      <c r="I2031" t="inlineStr">
        <is>
          <t>NAUTICA_CLASSICS_Q422945_CHR_1.jpg</t>
        </is>
      </c>
      <c r="J2031" t="inlineStr">
        <is>
          <t>NAUTICA_CLASSICS_Q422945_CHR_2.jpg</t>
        </is>
      </c>
      <c r="K2031" t="inlineStr">
        <is>
          <t>NAUTICA_CLASSICS_Q422945_CHR_3.jpg</t>
        </is>
      </c>
      <c r="L2031">
        <f>IMAGE("file:///E:/Estudios%20y%20certificaciones/ESTUDIOS%20DE%20PROGRAMMING/PROGRAMMING/PERSONAL/PYTHON/Image_Generator_API/imagenes/NAUTICA_CLASSICS_Q422945_CHR_1.jpg")</f>
        <v/>
      </c>
      <c r="M2031">
        <f>IMAGE("file:///E:/Estudios%20y%20certificaciones/ESTUDIOS%20DE%20PROGRAMMING/PROGRAMMING/PERSONAL/PYTHON/Image_Generator_API/imagenes/NAUTICA_CLASSICS_Q422945_CHR_2.jpg")</f>
        <v/>
      </c>
      <c r="N2031">
        <f>IMAGE("file:///E:/Estudios%20y%20certificaciones/ESTUDIOS%20DE%20PROGRAMMING/PROGRAMMING/PERSONAL/PYTHON/Image_Generator_API/imagenes/NAUTICA_CLASSICS_Q422945_CHR_3.jpg")</f>
        <v/>
      </c>
      <c r="O2031">
        <f>HYPERLINK("imagenes/NAUTICA_CLASSICS_Q422945_CHR_1.jpg","Ver imagen")</f>
        <v/>
      </c>
      <c r="P2031">
        <f>HYPERLINK("imagenes/NAUTICA_CLASSICS_Q422945_CHR_2.jpg","Ver imagen")</f>
        <v/>
      </c>
      <c r="Q2031">
        <f>HYPERLINK("imagenes/NAUTICA_CLASSICS_Q422945_CHR_3.jpg","Ver imagen")</f>
        <v/>
      </c>
    </row>
    <row r="2032">
      <c r="A2032" t="inlineStr">
        <is>
          <t>NAUTICA CLASSICS</t>
        </is>
      </c>
      <c r="B2032" t="inlineStr">
        <is>
          <t>Q422945</t>
        </is>
      </c>
      <c r="C2032" t="inlineStr">
        <is>
          <t>double breasted peacoat</t>
        </is>
      </c>
      <c r="D2032" t="inlineStr">
        <is>
          <t>CHR</t>
        </is>
      </c>
      <c r="E2032" t="inlineStr">
        <is>
          <t>(en blanco)</t>
        </is>
      </c>
      <c r="F2032" t="inlineStr">
        <is>
          <t>(en blanco)</t>
        </is>
      </c>
      <c r="G2032" t="inlineStr">
        <is>
          <t>L</t>
        </is>
      </c>
      <c r="H2032" t="n">
        <v>3</v>
      </c>
      <c r="I2032" t="inlineStr">
        <is>
          <t>NAUTICA_CLASSICS_Q422945_CHR_1.jpg</t>
        </is>
      </c>
      <c r="J2032" t="inlineStr">
        <is>
          <t>NAUTICA_CLASSICS_Q422945_CHR_2.jpg</t>
        </is>
      </c>
      <c r="K2032" t="inlineStr">
        <is>
          <t>NAUTICA_CLASSICS_Q422945_CHR_3.jpg</t>
        </is>
      </c>
      <c r="L2032">
        <f>IMAGE("file:///E:/Estudios%20y%20certificaciones/ESTUDIOS%20DE%20PROGRAMMING/PROGRAMMING/PERSONAL/PYTHON/Image_Generator_API/imagenes/NAUTICA_CLASSICS_Q422945_CHR_1.jpg")</f>
        <v/>
      </c>
      <c r="M2032">
        <f>IMAGE("file:///E:/Estudios%20y%20certificaciones/ESTUDIOS%20DE%20PROGRAMMING/PROGRAMMING/PERSONAL/PYTHON/Image_Generator_API/imagenes/NAUTICA_CLASSICS_Q422945_CHR_2.jpg")</f>
        <v/>
      </c>
      <c r="N2032">
        <f>IMAGE("file:///E:/Estudios%20y%20certificaciones/ESTUDIOS%20DE%20PROGRAMMING/PROGRAMMING/PERSONAL/PYTHON/Image_Generator_API/imagenes/NAUTICA_CLASSICS_Q422945_CHR_3.jpg")</f>
        <v/>
      </c>
      <c r="O2032">
        <f>HYPERLINK("imagenes/NAUTICA_CLASSICS_Q422945_CHR_1.jpg","Ver imagen")</f>
        <v/>
      </c>
      <c r="P2032">
        <f>HYPERLINK("imagenes/NAUTICA_CLASSICS_Q422945_CHR_2.jpg","Ver imagen")</f>
        <v/>
      </c>
      <c r="Q2032">
        <f>HYPERLINK("imagenes/NAUTICA_CLASSICS_Q422945_CHR_3.jpg","Ver imagen")</f>
        <v/>
      </c>
    </row>
    <row r="2033">
      <c r="A2033" t="inlineStr">
        <is>
          <t>NAUTICA CLASSICS</t>
        </is>
      </c>
      <c r="B2033" t="inlineStr">
        <is>
          <t>Q422945</t>
        </is>
      </c>
      <c r="C2033" t="inlineStr">
        <is>
          <t>double breasted peacoat</t>
        </is>
      </c>
      <c r="D2033" t="inlineStr">
        <is>
          <t>CHR</t>
        </is>
      </c>
      <c r="E2033" t="inlineStr">
        <is>
          <t>(en blanco)</t>
        </is>
      </c>
      <c r="F2033" t="inlineStr">
        <is>
          <t>(en blanco)</t>
        </is>
      </c>
      <c r="G2033" t="inlineStr">
        <is>
          <t>XL</t>
        </is>
      </c>
      <c r="H2033" t="n">
        <v>29</v>
      </c>
      <c r="I2033" t="inlineStr">
        <is>
          <t>NAUTICA_CLASSICS_Q422945_CHR_1.jpg</t>
        </is>
      </c>
      <c r="J2033" t="inlineStr">
        <is>
          <t>NAUTICA_CLASSICS_Q422945_CHR_2.jpg</t>
        </is>
      </c>
      <c r="K2033" t="inlineStr">
        <is>
          <t>NAUTICA_CLASSICS_Q422945_CHR_3.jpg</t>
        </is>
      </c>
      <c r="L2033">
        <f>IMAGE("file:///E:/Estudios%20y%20certificaciones/ESTUDIOS%20DE%20PROGRAMMING/PROGRAMMING/PERSONAL/PYTHON/Image_Generator_API/imagenes/NAUTICA_CLASSICS_Q422945_CHR_1.jpg")</f>
        <v/>
      </c>
      <c r="M2033">
        <f>IMAGE("file:///E:/Estudios%20y%20certificaciones/ESTUDIOS%20DE%20PROGRAMMING/PROGRAMMING/PERSONAL/PYTHON/Image_Generator_API/imagenes/NAUTICA_CLASSICS_Q422945_CHR_2.jpg")</f>
        <v/>
      </c>
      <c r="N2033">
        <f>IMAGE("file:///E:/Estudios%20y%20certificaciones/ESTUDIOS%20DE%20PROGRAMMING/PROGRAMMING/PERSONAL/PYTHON/Image_Generator_API/imagenes/NAUTICA_CLASSICS_Q422945_CHR_3.jpg")</f>
        <v/>
      </c>
      <c r="O2033">
        <f>HYPERLINK("imagenes/NAUTICA_CLASSICS_Q422945_CHR_1.jpg","Ver imagen")</f>
        <v/>
      </c>
      <c r="P2033">
        <f>HYPERLINK("imagenes/NAUTICA_CLASSICS_Q422945_CHR_2.jpg","Ver imagen")</f>
        <v/>
      </c>
      <c r="Q2033">
        <f>HYPERLINK("imagenes/NAUTICA_CLASSICS_Q422945_CHR_3.jpg","Ver imagen")</f>
        <v/>
      </c>
    </row>
    <row r="2034">
      <c r="A2034" t="inlineStr">
        <is>
          <t>NAUTICA CLASSICS</t>
        </is>
      </c>
      <c r="B2034" t="inlineStr">
        <is>
          <t>Q422945</t>
        </is>
      </c>
      <c r="C2034" t="inlineStr">
        <is>
          <t>double breasted peacoat</t>
        </is>
      </c>
      <c r="D2034" t="inlineStr">
        <is>
          <t>CHR</t>
        </is>
      </c>
      <c r="E2034" t="inlineStr">
        <is>
          <t>(en blanco)</t>
        </is>
      </c>
      <c r="F2034" t="inlineStr">
        <is>
          <t>(en blanco)</t>
        </is>
      </c>
      <c r="G2034" t="inlineStr">
        <is>
          <t>XXS</t>
        </is>
      </c>
      <c r="H2034" t="n">
        <v>2</v>
      </c>
      <c r="I2034" t="inlineStr">
        <is>
          <t>NAUTICA_CLASSICS_Q422945_CHR_1.jpg</t>
        </is>
      </c>
      <c r="J2034" t="inlineStr">
        <is>
          <t>NAUTICA_CLASSICS_Q422945_CHR_2.jpg</t>
        </is>
      </c>
      <c r="K2034" t="inlineStr">
        <is>
          <t>NAUTICA_CLASSICS_Q422945_CHR_3.jpg</t>
        </is>
      </c>
      <c r="L2034">
        <f>IMAGE("file:///E:/Estudios%20y%20certificaciones/ESTUDIOS%20DE%20PROGRAMMING/PROGRAMMING/PERSONAL/PYTHON/Image_Generator_API/imagenes/NAUTICA_CLASSICS_Q422945_CHR_1.jpg")</f>
        <v/>
      </c>
      <c r="M2034">
        <f>IMAGE("file:///E:/Estudios%20y%20certificaciones/ESTUDIOS%20DE%20PROGRAMMING/PROGRAMMING/PERSONAL/PYTHON/Image_Generator_API/imagenes/NAUTICA_CLASSICS_Q422945_CHR_2.jpg")</f>
        <v/>
      </c>
      <c r="N2034">
        <f>IMAGE("file:///E:/Estudios%20y%20certificaciones/ESTUDIOS%20DE%20PROGRAMMING/PROGRAMMING/PERSONAL/PYTHON/Image_Generator_API/imagenes/NAUTICA_CLASSICS_Q422945_CHR_3.jpg")</f>
        <v/>
      </c>
      <c r="O2034">
        <f>HYPERLINK("imagenes/NAUTICA_CLASSICS_Q422945_CHR_1.jpg","Ver imagen")</f>
        <v/>
      </c>
      <c r="P2034">
        <f>HYPERLINK("imagenes/NAUTICA_CLASSICS_Q422945_CHR_2.jpg","Ver imagen")</f>
        <v/>
      </c>
      <c r="Q2034">
        <f>HYPERLINK("imagenes/NAUTICA_CLASSICS_Q422945_CHR_3.jpg","Ver imagen")</f>
        <v/>
      </c>
    </row>
    <row r="2035">
      <c r="A2035" t="inlineStr">
        <is>
          <t>NAUTICA CLASSICS</t>
        </is>
      </c>
      <c r="B2035" t="inlineStr">
        <is>
          <t>Q422945</t>
        </is>
      </c>
      <c r="C2035" t="inlineStr">
        <is>
          <t>double breasted peacoat</t>
        </is>
      </c>
      <c r="D2035" t="inlineStr">
        <is>
          <t>HGY</t>
        </is>
      </c>
      <c r="E2035" t="inlineStr">
        <is>
          <t>(en blanco)</t>
        </is>
      </c>
      <c r="F2035" t="inlineStr">
        <is>
          <t>(en blanco)</t>
        </is>
      </c>
      <c r="G2035" t="inlineStr">
        <is>
          <t>XS</t>
        </is>
      </c>
      <c r="H2035" t="n">
        <v>3</v>
      </c>
      <c r="I2035" t="inlineStr">
        <is>
          <t>NAUTICA_CLASSICS_Q422945_HGY_1.jpg</t>
        </is>
      </c>
      <c r="J2035" t="inlineStr">
        <is>
          <t>NAUTICA_CLASSICS_Q422945_HGY_2.jpg</t>
        </is>
      </c>
      <c r="K2035" t="inlineStr">
        <is>
          <t>NAUTICA_CLASSICS_Q422945_HGY_3.jpg</t>
        </is>
      </c>
      <c r="L2035">
        <f>IMAGE("file:///E:/Estudios%20y%20certificaciones/ESTUDIOS%20DE%20PROGRAMMING/PROGRAMMING/PERSONAL/PYTHON/Image_Generator_API/imagenes/NAUTICA_CLASSICS_Q422945_HGY_1.jpg")</f>
        <v/>
      </c>
      <c r="M2035">
        <f>IMAGE("file:///E:/Estudios%20y%20certificaciones/ESTUDIOS%20DE%20PROGRAMMING/PROGRAMMING/PERSONAL/PYTHON/Image_Generator_API/imagenes/NAUTICA_CLASSICS_Q422945_HGY_2.jpg")</f>
        <v/>
      </c>
      <c r="N2035">
        <f>IMAGE("file:///E:/Estudios%20y%20certificaciones/ESTUDIOS%20DE%20PROGRAMMING/PROGRAMMING/PERSONAL/PYTHON/Image_Generator_API/imagenes/NAUTICA_CLASSICS_Q422945_HGY_3.jpg")</f>
        <v/>
      </c>
      <c r="O2035">
        <f>HYPERLINK("imagenes/NAUTICA_CLASSICS_Q422945_HGY_1.jpg","Ver imagen")</f>
        <v/>
      </c>
      <c r="P2035">
        <f>HYPERLINK("imagenes/NAUTICA_CLASSICS_Q422945_HGY_2.jpg","Ver imagen")</f>
        <v/>
      </c>
      <c r="Q2035">
        <f>HYPERLINK("imagenes/NAUTICA_CLASSICS_Q422945_HGY_3.jpg","Ver imagen")</f>
        <v/>
      </c>
    </row>
    <row r="2036">
      <c r="A2036" t="inlineStr">
        <is>
          <t>NAUTICA CLASSICS</t>
        </is>
      </c>
      <c r="B2036" t="inlineStr">
        <is>
          <t>Q422945</t>
        </is>
      </c>
      <c r="C2036" t="inlineStr">
        <is>
          <t>double breasted peacoat</t>
        </is>
      </c>
      <c r="D2036" t="inlineStr">
        <is>
          <t>MGR</t>
        </is>
      </c>
      <c r="E2036" t="inlineStr">
        <is>
          <t>(en blanco)</t>
        </is>
      </c>
      <c r="F2036" t="inlineStr">
        <is>
          <t>(en blanco)</t>
        </is>
      </c>
      <c r="G2036" t="inlineStr">
        <is>
          <t>XS</t>
        </is>
      </c>
      <c r="H2036" t="n">
        <v>21</v>
      </c>
      <c r="I2036" t="inlineStr">
        <is>
          <t>NAUTICA_CLASSICS_Q422945_MGR_1.jpg</t>
        </is>
      </c>
      <c r="J2036" t="inlineStr">
        <is>
          <t>NAUTICA_CLASSICS_Q422945_MGR_2.jpg</t>
        </is>
      </c>
      <c r="K2036" t="inlineStr">
        <is>
          <t>NAUTICA_CLASSICS_Q422945_MGR_3.jpg</t>
        </is>
      </c>
      <c r="L2036">
        <f>IMAGE("file:///E:/Estudios%20y%20certificaciones/ESTUDIOS%20DE%20PROGRAMMING/PROGRAMMING/PERSONAL/PYTHON/Image_Generator_API/imagenes/NAUTICA_CLASSICS_Q422945_MGR_1.jpg")</f>
        <v/>
      </c>
      <c r="M2036">
        <f>IMAGE("file:///E:/Estudios%20y%20certificaciones/ESTUDIOS%20DE%20PROGRAMMING/PROGRAMMING/PERSONAL/PYTHON/Image_Generator_API/imagenes/NAUTICA_CLASSICS_Q422945_MGR_2.jpg")</f>
        <v/>
      </c>
      <c r="N2036">
        <f>IMAGE("file:///E:/Estudios%20y%20certificaciones/ESTUDIOS%20DE%20PROGRAMMING/PROGRAMMING/PERSONAL/PYTHON/Image_Generator_API/imagenes/NAUTICA_CLASSICS_Q422945_MGR_3.jpg")</f>
        <v/>
      </c>
      <c r="O2036">
        <f>HYPERLINK("imagenes/NAUTICA_CLASSICS_Q422945_MGR_1.jpg","Ver imagen")</f>
        <v/>
      </c>
      <c r="P2036">
        <f>HYPERLINK("imagenes/NAUTICA_CLASSICS_Q422945_MGR_2.jpg","Ver imagen")</f>
        <v/>
      </c>
      <c r="Q2036">
        <f>HYPERLINK("imagenes/NAUTICA_CLASSICS_Q422945_MGR_3.jpg","Ver imagen")</f>
        <v/>
      </c>
    </row>
    <row r="2037">
      <c r="A2037" t="inlineStr">
        <is>
          <t>NAUTICA CLASSICS</t>
        </is>
      </c>
      <c r="B2037" t="inlineStr">
        <is>
          <t>Q422945</t>
        </is>
      </c>
      <c r="C2037" t="inlineStr">
        <is>
          <t>double breasted peacoat</t>
        </is>
      </c>
      <c r="D2037" t="inlineStr">
        <is>
          <t>NAR</t>
        </is>
      </c>
      <c r="E2037" t="inlineStr">
        <is>
          <t>(en blanco)</t>
        </is>
      </c>
      <c r="F2037" t="inlineStr">
        <is>
          <t>(en blanco)</t>
        </is>
      </c>
      <c r="G2037" t="inlineStr">
        <is>
          <t>XS</t>
        </is>
      </c>
      <c r="H2037" t="n">
        <v>8</v>
      </c>
      <c r="I2037" t="inlineStr">
        <is>
          <t>NAUTICA_CLASSICS_Q422945_NAR_1.jpg</t>
        </is>
      </c>
      <c r="J2037" t="inlineStr">
        <is>
          <t>NAUTICA_CLASSICS_Q422945_NAR_2.jpg</t>
        </is>
      </c>
      <c r="K2037" t="inlineStr">
        <is>
          <t>NAUTICA_CLASSICS_Q422945_NAR_3.jpg</t>
        </is>
      </c>
      <c r="L2037">
        <f>IMAGE("file:///E:/Estudios%20y%20certificaciones/ESTUDIOS%20DE%20PROGRAMMING/PROGRAMMING/PERSONAL/PYTHON/Image_Generator_API/imagenes/NAUTICA_CLASSICS_Q422945_NAR_1.jpg")</f>
        <v/>
      </c>
      <c r="M2037">
        <f>IMAGE("file:///E:/Estudios%20y%20certificaciones/ESTUDIOS%20DE%20PROGRAMMING/PROGRAMMING/PERSONAL/PYTHON/Image_Generator_API/imagenes/NAUTICA_CLASSICS_Q422945_NAR_2.jpg")</f>
        <v/>
      </c>
      <c r="N2037">
        <f>IMAGE("file:///E:/Estudios%20y%20certificaciones/ESTUDIOS%20DE%20PROGRAMMING/PROGRAMMING/PERSONAL/PYTHON/Image_Generator_API/imagenes/NAUTICA_CLASSICS_Q422945_NAR_3.jpg")</f>
        <v/>
      </c>
      <c r="O2037">
        <f>HYPERLINK("imagenes/NAUTICA_CLASSICS_Q422945_NAR_1.jpg","Ver imagen")</f>
        <v/>
      </c>
      <c r="P2037">
        <f>HYPERLINK("imagenes/NAUTICA_CLASSICS_Q422945_NAR_2.jpg","Ver imagen")</f>
        <v/>
      </c>
      <c r="Q2037">
        <f>HYPERLINK("imagenes/NAUTICA_CLASSICS_Q422945_NAR_3.jpg","Ver imagen")</f>
        <v/>
      </c>
    </row>
    <row r="2038">
      <c r="A2038" t="inlineStr">
        <is>
          <t>NAUTICA CLASSICS</t>
        </is>
      </c>
      <c r="B2038" t="inlineStr">
        <is>
          <t>Q422945</t>
        </is>
      </c>
      <c r="C2038" t="inlineStr">
        <is>
          <t>double breasted peacoat</t>
        </is>
      </c>
      <c r="D2038" t="inlineStr">
        <is>
          <t>NAR</t>
        </is>
      </c>
      <c r="E2038" t="inlineStr">
        <is>
          <t>(en blanco)</t>
        </is>
      </c>
      <c r="F2038" t="inlineStr">
        <is>
          <t>(en blanco)</t>
        </is>
      </c>
      <c r="G2038" t="inlineStr">
        <is>
          <t>XXS</t>
        </is>
      </c>
      <c r="H2038" t="n">
        <v>1</v>
      </c>
      <c r="I2038" t="inlineStr">
        <is>
          <t>NAUTICA_CLASSICS_Q422945_NAR_1.jpg</t>
        </is>
      </c>
      <c r="J2038" t="inlineStr">
        <is>
          <t>NAUTICA_CLASSICS_Q422945_NAR_2.jpg</t>
        </is>
      </c>
      <c r="K2038" t="inlineStr">
        <is>
          <t>NAUTICA_CLASSICS_Q422945_NAR_3.jpg</t>
        </is>
      </c>
      <c r="L2038">
        <f>IMAGE("file:///E:/Estudios%20y%20certificaciones/ESTUDIOS%20DE%20PROGRAMMING/PROGRAMMING/PERSONAL/PYTHON/Image_Generator_API/imagenes/NAUTICA_CLASSICS_Q422945_NAR_1.jpg")</f>
        <v/>
      </c>
      <c r="M2038">
        <f>IMAGE("file:///E:/Estudios%20y%20certificaciones/ESTUDIOS%20DE%20PROGRAMMING/PROGRAMMING/PERSONAL/PYTHON/Image_Generator_API/imagenes/NAUTICA_CLASSICS_Q422945_NAR_2.jpg")</f>
        <v/>
      </c>
      <c r="N2038">
        <f>IMAGE("file:///E:/Estudios%20y%20certificaciones/ESTUDIOS%20DE%20PROGRAMMING/PROGRAMMING/PERSONAL/PYTHON/Image_Generator_API/imagenes/NAUTICA_CLASSICS_Q422945_NAR_3.jpg")</f>
        <v/>
      </c>
      <c r="O2038">
        <f>HYPERLINK("imagenes/NAUTICA_CLASSICS_Q422945_NAR_1.jpg","Ver imagen")</f>
        <v/>
      </c>
      <c r="P2038">
        <f>HYPERLINK("imagenes/NAUTICA_CLASSICS_Q422945_NAR_2.jpg","Ver imagen")</f>
        <v/>
      </c>
      <c r="Q2038">
        <f>HYPERLINK("imagenes/NAUTICA_CLASSICS_Q422945_NAR_3.jpg","Ver imagen")</f>
        <v/>
      </c>
    </row>
    <row r="2039">
      <c r="A2039" t="inlineStr">
        <is>
          <t>NAUTICA CLASSICS</t>
        </is>
      </c>
      <c r="B2039" t="inlineStr">
        <is>
          <t>Q424077</t>
        </is>
      </c>
      <c r="C2039" t="inlineStr">
        <is>
          <t>3/4 STR PUFFER W/HD</t>
        </is>
      </c>
      <c r="D2039" t="inlineStr">
        <is>
          <t>CHR</t>
        </is>
      </c>
      <c r="E2039" t="inlineStr">
        <is>
          <t>(en blanco)</t>
        </is>
      </c>
      <c r="F2039" t="inlineStr">
        <is>
          <t>(en blanco)</t>
        </is>
      </c>
      <c r="G2039" t="inlineStr">
        <is>
          <t>XS</t>
        </is>
      </c>
      <c r="H2039" t="n">
        <v>23</v>
      </c>
      <c r="I2039" t="inlineStr">
        <is>
          <t>NAUTICA_CLASSICS_Q424077_CHR_1.jpg</t>
        </is>
      </c>
      <c r="J2039" t="inlineStr">
        <is>
          <t>NAUTICA_CLASSICS_Q424077_CHR_2.jpg</t>
        </is>
      </c>
      <c r="K2039" t="inlineStr">
        <is>
          <t>NAUTICA_CLASSICS_Q424077_CHR_3.jpg</t>
        </is>
      </c>
      <c r="L2039">
        <f>IMAGE("file:///E:/Estudios%20y%20certificaciones/ESTUDIOS%20DE%20PROGRAMMING/PROGRAMMING/PERSONAL/PYTHON/Image_Generator_API/imagenes/NAUTICA_CLASSICS_Q424077_CHR_1.jpg")</f>
        <v/>
      </c>
      <c r="M2039">
        <f>IMAGE("file:///E:/Estudios%20y%20certificaciones/ESTUDIOS%20DE%20PROGRAMMING/PROGRAMMING/PERSONAL/PYTHON/Image_Generator_API/imagenes/NAUTICA_CLASSICS_Q424077_CHR_2.jpg")</f>
        <v/>
      </c>
      <c r="N2039">
        <f>IMAGE("file:///E:/Estudios%20y%20certificaciones/ESTUDIOS%20DE%20PROGRAMMING/PROGRAMMING/PERSONAL/PYTHON/Image_Generator_API/imagenes/NAUTICA_CLASSICS_Q424077_CHR_3.jpg")</f>
        <v/>
      </c>
      <c r="O2039">
        <f>HYPERLINK("imagenes/NAUTICA_CLASSICS_Q424077_CHR_1.jpg","Ver imagen")</f>
        <v/>
      </c>
      <c r="P2039">
        <f>HYPERLINK("imagenes/NAUTICA_CLASSICS_Q424077_CHR_2.jpg","Ver imagen")</f>
        <v/>
      </c>
      <c r="Q2039">
        <f>HYPERLINK("imagenes/NAUTICA_CLASSICS_Q424077_CHR_3.jpg","Ver imagen")</f>
        <v/>
      </c>
    </row>
    <row r="2040">
      <c r="A2040" t="inlineStr">
        <is>
          <t>NAUTICA CLASSICS</t>
        </is>
      </c>
      <c r="B2040" t="inlineStr">
        <is>
          <t>Q425266</t>
        </is>
      </c>
      <c r="C2040" t="inlineStr">
        <is>
          <t>3/4 PUFFER W/FF HOOD</t>
        </is>
      </c>
      <c r="D2040" t="inlineStr">
        <is>
          <t>CHR</t>
        </is>
      </c>
      <c r="E2040" t="inlineStr">
        <is>
          <t>(en blanco)</t>
        </is>
      </c>
      <c r="F2040" t="inlineStr">
        <is>
          <t>(en blanco)</t>
        </is>
      </c>
      <c r="G2040" t="inlineStr">
        <is>
          <t>XS</t>
        </is>
      </c>
      <c r="H2040" t="n">
        <v>1</v>
      </c>
      <c r="I2040" t="inlineStr">
        <is>
          <t>NAUTICA_CLASSICS_Q425266_CHR_1.jpg</t>
        </is>
      </c>
      <c r="J2040" t="inlineStr">
        <is>
          <t>NAUTICA_CLASSICS_Q425266_CHR_2.jpg</t>
        </is>
      </c>
      <c r="K2040" t="inlineStr">
        <is>
          <t>NAUTICA_CLASSICS_Q425266_CHR_3.jpg</t>
        </is>
      </c>
      <c r="L2040">
        <f>IMAGE("file:///E:/Estudios%20y%20certificaciones/ESTUDIOS%20DE%20PROGRAMMING/PROGRAMMING/PERSONAL/PYTHON/Image_Generator_API/imagenes/NAUTICA_CLASSICS_Q425266_CHR_1.jpg")</f>
        <v/>
      </c>
      <c r="M2040">
        <f>IMAGE("file:///E:/Estudios%20y%20certificaciones/ESTUDIOS%20DE%20PROGRAMMING/PROGRAMMING/PERSONAL/PYTHON/Image_Generator_API/imagenes/NAUTICA_CLASSICS_Q425266_CHR_2.jpg")</f>
        <v/>
      </c>
      <c r="N2040">
        <f>IMAGE("file:///E:/Estudios%20y%20certificaciones/ESTUDIOS%20DE%20PROGRAMMING/PROGRAMMING/PERSONAL/PYTHON/Image_Generator_API/imagenes/NAUTICA_CLASSICS_Q425266_CHR_3.jpg")</f>
        <v/>
      </c>
      <c r="O2040">
        <f>HYPERLINK("imagenes/NAUTICA_CLASSICS_Q425266_CHR_1.jpg","Ver imagen")</f>
        <v/>
      </c>
      <c r="P2040">
        <f>HYPERLINK("imagenes/NAUTICA_CLASSICS_Q425266_CHR_2.jpg","Ver imagen")</f>
        <v/>
      </c>
      <c r="Q2040">
        <f>HYPERLINK("imagenes/NAUTICA_CLASSICS_Q425266_CHR_3.jpg","Ver imagen")</f>
        <v/>
      </c>
    </row>
    <row r="2041">
      <c r="A2041" t="inlineStr">
        <is>
          <t>NAUTICA CLASSICS</t>
        </is>
      </c>
      <c r="B2041" t="inlineStr">
        <is>
          <t>Q425266</t>
        </is>
      </c>
      <c r="C2041" t="inlineStr">
        <is>
          <t>3/4 PUFFER W/FF HOOD</t>
        </is>
      </c>
      <c r="D2041" t="inlineStr">
        <is>
          <t>CHR</t>
        </is>
      </c>
      <c r="E2041" t="inlineStr">
        <is>
          <t>(en blanco)</t>
        </is>
      </c>
      <c r="F2041" t="inlineStr">
        <is>
          <t>(en blanco)</t>
        </is>
      </c>
      <c r="G2041" t="inlineStr">
        <is>
          <t>S</t>
        </is>
      </c>
      <c r="H2041" t="n">
        <v>1</v>
      </c>
      <c r="I2041" t="inlineStr">
        <is>
          <t>NAUTICA_CLASSICS_Q425266_CHR_1.jpg</t>
        </is>
      </c>
      <c r="J2041" t="inlineStr">
        <is>
          <t>NAUTICA_CLASSICS_Q425266_CHR_2.jpg</t>
        </is>
      </c>
      <c r="K2041" t="inlineStr">
        <is>
          <t>NAUTICA_CLASSICS_Q425266_CHR_3.jpg</t>
        </is>
      </c>
      <c r="L2041">
        <f>IMAGE("file:///E:/Estudios%20y%20certificaciones/ESTUDIOS%20DE%20PROGRAMMING/PROGRAMMING/PERSONAL/PYTHON/Image_Generator_API/imagenes/NAUTICA_CLASSICS_Q425266_CHR_1.jpg")</f>
        <v/>
      </c>
      <c r="M2041">
        <f>IMAGE("file:///E:/Estudios%20y%20certificaciones/ESTUDIOS%20DE%20PROGRAMMING/PROGRAMMING/PERSONAL/PYTHON/Image_Generator_API/imagenes/NAUTICA_CLASSICS_Q425266_CHR_2.jpg")</f>
        <v/>
      </c>
      <c r="N2041">
        <f>IMAGE("file:///E:/Estudios%20y%20certificaciones/ESTUDIOS%20DE%20PROGRAMMING/PROGRAMMING/PERSONAL/PYTHON/Image_Generator_API/imagenes/NAUTICA_CLASSICS_Q425266_CHR_3.jpg")</f>
        <v/>
      </c>
      <c r="O2041">
        <f>HYPERLINK("imagenes/NAUTICA_CLASSICS_Q425266_CHR_1.jpg","Ver imagen")</f>
        <v/>
      </c>
      <c r="P2041">
        <f>HYPERLINK("imagenes/NAUTICA_CLASSICS_Q425266_CHR_2.jpg","Ver imagen")</f>
        <v/>
      </c>
      <c r="Q2041">
        <f>HYPERLINK("imagenes/NAUTICA_CLASSICS_Q425266_CHR_3.jpg","Ver imagen")</f>
        <v/>
      </c>
    </row>
    <row r="2042">
      <c r="A2042" t="inlineStr">
        <is>
          <t>NAUTICA CLASSICS</t>
        </is>
      </c>
      <c r="B2042" t="inlineStr">
        <is>
          <t>Q426509</t>
        </is>
      </c>
      <c r="C2042" t="inlineStr">
        <is>
          <t>3/4 mist puffer with ff hood</t>
        </is>
      </c>
      <c r="D2042" t="inlineStr">
        <is>
          <t>LMS</t>
        </is>
      </c>
      <c r="E2042" t="inlineStr">
        <is>
          <t>(en blanco)</t>
        </is>
      </c>
      <c r="F2042" t="inlineStr">
        <is>
          <t>(en blanco)</t>
        </is>
      </c>
      <c r="G2042" t="inlineStr">
        <is>
          <t>XS</t>
        </is>
      </c>
      <c r="H2042" t="n">
        <v>4</v>
      </c>
      <c r="I2042" t="inlineStr">
        <is>
          <t>NAUTICA_CLASSICS_Q426509_LMS_1.jpg</t>
        </is>
      </c>
      <c r="J2042" t="inlineStr">
        <is>
          <t>NAUTICA_CLASSICS_Q426509_LMS_2.jpg</t>
        </is>
      </c>
      <c r="K2042" t="inlineStr">
        <is>
          <t>NAUTICA_CLASSICS_Q426509_LMS_3.jpg</t>
        </is>
      </c>
      <c r="L2042">
        <f>IMAGE("file:///E:/Estudios%20y%20certificaciones/ESTUDIOS%20DE%20PROGRAMMING/PROGRAMMING/PERSONAL/PYTHON/Image_Generator_API/imagenes/NAUTICA_CLASSICS_Q426509_LMS_1.jpg")</f>
        <v/>
      </c>
      <c r="M2042">
        <f>IMAGE("file:///E:/Estudios%20y%20certificaciones/ESTUDIOS%20DE%20PROGRAMMING/PROGRAMMING/PERSONAL/PYTHON/Image_Generator_API/imagenes/NAUTICA_CLASSICS_Q426509_LMS_2.jpg")</f>
        <v/>
      </c>
      <c r="N2042">
        <f>IMAGE("file:///E:/Estudios%20y%20certificaciones/ESTUDIOS%20DE%20PROGRAMMING/PROGRAMMING/PERSONAL/PYTHON/Image_Generator_API/imagenes/NAUTICA_CLASSICS_Q426509_LMS_3.jpg")</f>
        <v/>
      </c>
      <c r="O2042">
        <f>HYPERLINK("imagenes/NAUTICA_CLASSICS_Q426509_LMS_1.jpg","Ver imagen")</f>
        <v/>
      </c>
      <c r="P2042">
        <f>HYPERLINK("imagenes/NAUTICA_CLASSICS_Q426509_LMS_2.jpg","Ver imagen")</f>
        <v/>
      </c>
      <c r="Q2042">
        <f>HYPERLINK("imagenes/NAUTICA_CLASSICS_Q426509_LMS_3.jpg","Ver imagen")</f>
        <v/>
      </c>
    </row>
    <row r="2043">
      <c r="A2043" t="inlineStr">
        <is>
          <t>NAUTICA CLASSICS</t>
        </is>
      </c>
      <c r="B2043" t="inlineStr">
        <is>
          <t>Q426509</t>
        </is>
      </c>
      <c r="C2043" t="inlineStr">
        <is>
          <t>3/4 mist puffer with ff hood</t>
        </is>
      </c>
      <c r="D2043" t="inlineStr">
        <is>
          <t>LMS</t>
        </is>
      </c>
      <c r="E2043" t="inlineStr">
        <is>
          <t>(en blanco)</t>
        </is>
      </c>
      <c r="F2043" t="inlineStr">
        <is>
          <t>(en blanco)</t>
        </is>
      </c>
      <c r="G2043" t="inlineStr">
        <is>
          <t>S</t>
        </is>
      </c>
      <c r="H2043" t="n">
        <v>21</v>
      </c>
      <c r="I2043" t="inlineStr">
        <is>
          <t>NAUTICA_CLASSICS_Q426509_LMS_1.jpg</t>
        </is>
      </c>
      <c r="J2043" t="inlineStr">
        <is>
          <t>NAUTICA_CLASSICS_Q426509_LMS_2.jpg</t>
        </is>
      </c>
      <c r="K2043" t="inlineStr">
        <is>
          <t>NAUTICA_CLASSICS_Q426509_LMS_3.jpg</t>
        </is>
      </c>
      <c r="L2043">
        <f>IMAGE("file:///E:/Estudios%20y%20certificaciones/ESTUDIOS%20DE%20PROGRAMMING/PROGRAMMING/PERSONAL/PYTHON/Image_Generator_API/imagenes/NAUTICA_CLASSICS_Q426509_LMS_1.jpg")</f>
        <v/>
      </c>
      <c r="M2043">
        <f>IMAGE("file:///E:/Estudios%20y%20certificaciones/ESTUDIOS%20DE%20PROGRAMMING/PROGRAMMING/PERSONAL/PYTHON/Image_Generator_API/imagenes/NAUTICA_CLASSICS_Q426509_LMS_2.jpg")</f>
        <v/>
      </c>
      <c r="N2043">
        <f>IMAGE("file:///E:/Estudios%20y%20certificaciones/ESTUDIOS%20DE%20PROGRAMMING/PROGRAMMING/PERSONAL/PYTHON/Image_Generator_API/imagenes/NAUTICA_CLASSICS_Q426509_LMS_3.jpg")</f>
        <v/>
      </c>
      <c r="O2043">
        <f>HYPERLINK("imagenes/NAUTICA_CLASSICS_Q426509_LMS_1.jpg","Ver imagen")</f>
        <v/>
      </c>
      <c r="P2043">
        <f>HYPERLINK("imagenes/NAUTICA_CLASSICS_Q426509_LMS_2.jpg","Ver imagen")</f>
        <v/>
      </c>
      <c r="Q2043">
        <f>HYPERLINK("imagenes/NAUTICA_CLASSICS_Q426509_LMS_3.jpg","Ver imagen")</f>
        <v/>
      </c>
    </row>
    <row r="2044">
      <c r="A2044" t="inlineStr">
        <is>
          <t>NAUTICA CLASSICS</t>
        </is>
      </c>
      <c r="B2044" t="inlineStr">
        <is>
          <t>Q426509</t>
        </is>
      </c>
      <c r="C2044" t="inlineStr">
        <is>
          <t>3/4 mist puffer with ff hood</t>
        </is>
      </c>
      <c r="D2044" t="inlineStr">
        <is>
          <t>LMS</t>
        </is>
      </c>
      <c r="E2044" t="inlineStr">
        <is>
          <t>(en blanco)</t>
        </is>
      </c>
      <c r="F2044" t="inlineStr">
        <is>
          <t>(en blanco)</t>
        </is>
      </c>
      <c r="G2044" t="inlineStr">
        <is>
          <t>M</t>
        </is>
      </c>
      <c r="H2044" t="n">
        <v>8</v>
      </c>
      <c r="I2044" t="inlineStr">
        <is>
          <t>NAUTICA_CLASSICS_Q426509_LMS_1.jpg</t>
        </is>
      </c>
      <c r="J2044" t="inlineStr">
        <is>
          <t>NAUTICA_CLASSICS_Q426509_LMS_2.jpg</t>
        </is>
      </c>
      <c r="K2044" t="inlineStr">
        <is>
          <t>NAUTICA_CLASSICS_Q426509_LMS_3.jpg</t>
        </is>
      </c>
      <c r="L2044">
        <f>IMAGE("file:///E:/Estudios%20y%20certificaciones/ESTUDIOS%20DE%20PROGRAMMING/PROGRAMMING/PERSONAL/PYTHON/Image_Generator_API/imagenes/NAUTICA_CLASSICS_Q426509_LMS_1.jpg")</f>
        <v/>
      </c>
      <c r="M2044">
        <f>IMAGE("file:///E:/Estudios%20y%20certificaciones/ESTUDIOS%20DE%20PROGRAMMING/PROGRAMMING/PERSONAL/PYTHON/Image_Generator_API/imagenes/NAUTICA_CLASSICS_Q426509_LMS_2.jpg")</f>
        <v/>
      </c>
      <c r="N2044">
        <f>IMAGE("file:///E:/Estudios%20y%20certificaciones/ESTUDIOS%20DE%20PROGRAMMING/PROGRAMMING/PERSONAL/PYTHON/Image_Generator_API/imagenes/NAUTICA_CLASSICS_Q426509_LMS_3.jpg")</f>
        <v/>
      </c>
      <c r="O2044">
        <f>HYPERLINK("imagenes/NAUTICA_CLASSICS_Q426509_LMS_1.jpg","Ver imagen")</f>
        <v/>
      </c>
      <c r="P2044">
        <f>HYPERLINK("imagenes/NAUTICA_CLASSICS_Q426509_LMS_2.jpg","Ver imagen")</f>
        <v/>
      </c>
      <c r="Q2044">
        <f>HYPERLINK("imagenes/NAUTICA_CLASSICS_Q426509_LMS_3.jpg","Ver imagen")</f>
        <v/>
      </c>
    </row>
    <row r="2045">
      <c r="A2045" t="inlineStr">
        <is>
          <t>NAUTICA CLASSICS</t>
        </is>
      </c>
      <c r="B2045" t="inlineStr">
        <is>
          <t>Q426509</t>
        </is>
      </c>
      <c r="C2045" t="inlineStr">
        <is>
          <t>3/4 mist puffer with ff hood</t>
        </is>
      </c>
      <c r="D2045" t="inlineStr">
        <is>
          <t>LMS</t>
        </is>
      </c>
      <c r="E2045" t="inlineStr">
        <is>
          <t>(en blanco)</t>
        </is>
      </c>
      <c r="F2045" t="inlineStr">
        <is>
          <t>(en blanco)</t>
        </is>
      </c>
      <c r="G2045" t="inlineStr">
        <is>
          <t>L</t>
        </is>
      </c>
      <c r="H2045" t="n">
        <v>18</v>
      </c>
      <c r="I2045" t="inlineStr">
        <is>
          <t>NAUTICA_CLASSICS_Q426509_LMS_1.jpg</t>
        </is>
      </c>
      <c r="J2045" t="inlineStr">
        <is>
          <t>NAUTICA_CLASSICS_Q426509_LMS_2.jpg</t>
        </is>
      </c>
      <c r="K2045" t="inlineStr">
        <is>
          <t>NAUTICA_CLASSICS_Q426509_LMS_3.jpg</t>
        </is>
      </c>
      <c r="L2045">
        <f>IMAGE("file:///E:/Estudios%20y%20certificaciones/ESTUDIOS%20DE%20PROGRAMMING/PROGRAMMING/PERSONAL/PYTHON/Image_Generator_API/imagenes/NAUTICA_CLASSICS_Q426509_LMS_1.jpg")</f>
        <v/>
      </c>
      <c r="M2045">
        <f>IMAGE("file:///E:/Estudios%20y%20certificaciones/ESTUDIOS%20DE%20PROGRAMMING/PROGRAMMING/PERSONAL/PYTHON/Image_Generator_API/imagenes/NAUTICA_CLASSICS_Q426509_LMS_2.jpg")</f>
        <v/>
      </c>
      <c r="N2045">
        <f>IMAGE("file:///E:/Estudios%20y%20certificaciones/ESTUDIOS%20DE%20PROGRAMMING/PROGRAMMING/PERSONAL/PYTHON/Image_Generator_API/imagenes/NAUTICA_CLASSICS_Q426509_LMS_3.jpg")</f>
        <v/>
      </c>
      <c r="O2045">
        <f>HYPERLINK("imagenes/NAUTICA_CLASSICS_Q426509_LMS_1.jpg","Ver imagen")</f>
        <v/>
      </c>
      <c r="P2045">
        <f>HYPERLINK("imagenes/NAUTICA_CLASSICS_Q426509_LMS_2.jpg","Ver imagen")</f>
        <v/>
      </c>
      <c r="Q2045">
        <f>HYPERLINK("imagenes/NAUTICA_CLASSICS_Q426509_LMS_3.jpg","Ver imagen")</f>
        <v/>
      </c>
    </row>
    <row r="2046">
      <c r="A2046" t="inlineStr">
        <is>
          <t>NAUTICA CLASSICS</t>
        </is>
      </c>
      <c r="B2046" t="inlineStr">
        <is>
          <t>Q426509</t>
        </is>
      </c>
      <c r="C2046" t="inlineStr">
        <is>
          <t>3/4 mist puffer with ff hood</t>
        </is>
      </c>
      <c r="D2046" t="inlineStr">
        <is>
          <t>LMS</t>
        </is>
      </c>
      <c r="E2046" t="inlineStr">
        <is>
          <t>(en blanco)</t>
        </is>
      </c>
      <c r="F2046" t="inlineStr">
        <is>
          <t>(en blanco)</t>
        </is>
      </c>
      <c r="G2046" t="inlineStr">
        <is>
          <t>XL</t>
        </is>
      </c>
      <c r="H2046" t="n">
        <v>28</v>
      </c>
      <c r="I2046" t="inlineStr">
        <is>
          <t>NAUTICA_CLASSICS_Q426509_LMS_1.jpg</t>
        </is>
      </c>
      <c r="J2046" t="inlineStr">
        <is>
          <t>NAUTICA_CLASSICS_Q426509_LMS_2.jpg</t>
        </is>
      </c>
      <c r="K2046" t="inlineStr">
        <is>
          <t>NAUTICA_CLASSICS_Q426509_LMS_3.jpg</t>
        </is>
      </c>
      <c r="L2046">
        <f>IMAGE("file:///E:/Estudios%20y%20certificaciones/ESTUDIOS%20DE%20PROGRAMMING/PROGRAMMING/PERSONAL/PYTHON/Image_Generator_API/imagenes/NAUTICA_CLASSICS_Q426509_LMS_1.jpg")</f>
        <v/>
      </c>
      <c r="M2046">
        <f>IMAGE("file:///E:/Estudios%20y%20certificaciones/ESTUDIOS%20DE%20PROGRAMMING/PROGRAMMING/PERSONAL/PYTHON/Image_Generator_API/imagenes/NAUTICA_CLASSICS_Q426509_LMS_2.jpg")</f>
        <v/>
      </c>
      <c r="N2046">
        <f>IMAGE("file:///E:/Estudios%20y%20certificaciones/ESTUDIOS%20DE%20PROGRAMMING/PROGRAMMING/PERSONAL/PYTHON/Image_Generator_API/imagenes/NAUTICA_CLASSICS_Q426509_LMS_3.jpg")</f>
        <v/>
      </c>
      <c r="O2046">
        <f>HYPERLINK("imagenes/NAUTICA_CLASSICS_Q426509_LMS_1.jpg","Ver imagen")</f>
        <v/>
      </c>
      <c r="P2046">
        <f>HYPERLINK("imagenes/NAUTICA_CLASSICS_Q426509_LMS_2.jpg","Ver imagen")</f>
        <v/>
      </c>
      <c r="Q2046">
        <f>HYPERLINK("imagenes/NAUTICA_CLASSICS_Q426509_LMS_3.jpg","Ver imagen")</f>
        <v/>
      </c>
    </row>
    <row r="2047">
      <c r="A2047" t="inlineStr">
        <is>
          <t>NAUTICA CLASSICS</t>
        </is>
      </c>
      <c r="B2047" t="inlineStr">
        <is>
          <t>Q426509</t>
        </is>
      </c>
      <c r="C2047" t="inlineStr">
        <is>
          <t>3/4 mist puffer with ff hood</t>
        </is>
      </c>
      <c r="D2047" t="inlineStr">
        <is>
          <t>NAR</t>
        </is>
      </c>
      <c r="E2047" t="inlineStr">
        <is>
          <t>(en blanco)</t>
        </is>
      </c>
      <c r="F2047" t="inlineStr">
        <is>
          <t>(en blanco)</t>
        </is>
      </c>
      <c r="G2047" t="inlineStr">
        <is>
          <t>XS</t>
        </is>
      </c>
      <c r="H2047" t="n">
        <v>8</v>
      </c>
      <c r="I2047" t="inlineStr">
        <is>
          <t>NAUTICA_CLASSICS_Q426509_NAR_1.jpg</t>
        </is>
      </c>
      <c r="J2047" t="inlineStr">
        <is>
          <t>NAUTICA_CLASSICS_Q426509_NAR_2.jpg</t>
        </is>
      </c>
      <c r="K2047" t="inlineStr">
        <is>
          <t>NAUTICA_CLASSICS_Q426509_NAR_3.jpg</t>
        </is>
      </c>
      <c r="L2047">
        <f>IMAGE("file:///E:/Estudios%20y%20certificaciones/ESTUDIOS%20DE%20PROGRAMMING/PROGRAMMING/PERSONAL/PYTHON/Image_Generator_API/imagenes/NAUTICA_CLASSICS_Q426509_NAR_1.jpg")</f>
        <v/>
      </c>
      <c r="M2047">
        <f>IMAGE("file:///E:/Estudios%20y%20certificaciones/ESTUDIOS%20DE%20PROGRAMMING/PROGRAMMING/PERSONAL/PYTHON/Image_Generator_API/imagenes/NAUTICA_CLASSICS_Q426509_NAR_2.jpg")</f>
        <v/>
      </c>
      <c r="N2047">
        <f>IMAGE("file:///E:/Estudios%20y%20certificaciones/ESTUDIOS%20DE%20PROGRAMMING/PROGRAMMING/PERSONAL/PYTHON/Image_Generator_API/imagenes/NAUTICA_CLASSICS_Q426509_NAR_3.jpg")</f>
        <v/>
      </c>
      <c r="O2047">
        <f>HYPERLINK("imagenes/NAUTICA_CLASSICS_Q426509_NAR_1.jpg","Ver imagen")</f>
        <v/>
      </c>
      <c r="P2047">
        <f>HYPERLINK("imagenes/NAUTICA_CLASSICS_Q426509_NAR_2.jpg","Ver imagen")</f>
        <v/>
      </c>
      <c r="Q2047">
        <f>HYPERLINK("imagenes/NAUTICA_CLASSICS_Q426509_NAR_3.jpg","Ver imagen")</f>
        <v/>
      </c>
    </row>
    <row r="2048">
      <c r="A2048" t="inlineStr">
        <is>
          <t>NAUTICA CLASSICS</t>
        </is>
      </c>
      <c r="B2048" t="inlineStr">
        <is>
          <t>Q426509</t>
        </is>
      </c>
      <c r="C2048" t="inlineStr">
        <is>
          <t>3/4 mist puffer with ff hood</t>
        </is>
      </c>
      <c r="D2048" t="inlineStr">
        <is>
          <t>NAR</t>
        </is>
      </c>
      <c r="E2048" t="inlineStr">
        <is>
          <t>(en blanco)</t>
        </is>
      </c>
      <c r="F2048" t="inlineStr">
        <is>
          <t>(en blanco)</t>
        </is>
      </c>
      <c r="G2048" t="inlineStr">
        <is>
          <t>S</t>
        </is>
      </c>
      <c r="H2048" t="n">
        <v>20</v>
      </c>
      <c r="I2048" t="inlineStr">
        <is>
          <t>NAUTICA_CLASSICS_Q426509_NAR_1.jpg</t>
        </is>
      </c>
      <c r="J2048" t="inlineStr">
        <is>
          <t>NAUTICA_CLASSICS_Q426509_NAR_2.jpg</t>
        </is>
      </c>
      <c r="K2048" t="inlineStr">
        <is>
          <t>NAUTICA_CLASSICS_Q426509_NAR_3.jpg</t>
        </is>
      </c>
      <c r="L2048">
        <f>IMAGE("file:///E:/Estudios%20y%20certificaciones/ESTUDIOS%20DE%20PROGRAMMING/PROGRAMMING/PERSONAL/PYTHON/Image_Generator_API/imagenes/NAUTICA_CLASSICS_Q426509_NAR_1.jpg")</f>
        <v/>
      </c>
      <c r="M2048">
        <f>IMAGE("file:///E:/Estudios%20y%20certificaciones/ESTUDIOS%20DE%20PROGRAMMING/PROGRAMMING/PERSONAL/PYTHON/Image_Generator_API/imagenes/NAUTICA_CLASSICS_Q426509_NAR_2.jpg")</f>
        <v/>
      </c>
      <c r="N2048">
        <f>IMAGE("file:///E:/Estudios%20y%20certificaciones/ESTUDIOS%20DE%20PROGRAMMING/PROGRAMMING/PERSONAL/PYTHON/Image_Generator_API/imagenes/NAUTICA_CLASSICS_Q426509_NAR_3.jpg")</f>
        <v/>
      </c>
      <c r="O2048">
        <f>HYPERLINK("imagenes/NAUTICA_CLASSICS_Q426509_NAR_1.jpg","Ver imagen")</f>
        <v/>
      </c>
      <c r="P2048">
        <f>HYPERLINK("imagenes/NAUTICA_CLASSICS_Q426509_NAR_2.jpg","Ver imagen")</f>
        <v/>
      </c>
      <c r="Q2048">
        <f>HYPERLINK("imagenes/NAUTICA_CLASSICS_Q426509_NAR_3.jpg","Ver imagen")</f>
        <v/>
      </c>
    </row>
    <row r="2049">
      <c r="A2049" t="inlineStr">
        <is>
          <t>NAUTICA CLASSICS</t>
        </is>
      </c>
      <c r="B2049" t="inlineStr">
        <is>
          <t>Q426509</t>
        </is>
      </c>
      <c r="C2049" t="inlineStr">
        <is>
          <t>3/4 mist puffer with ff hood</t>
        </is>
      </c>
      <c r="D2049" t="inlineStr">
        <is>
          <t>NAR</t>
        </is>
      </c>
      <c r="E2049" t="inlineStr">
        <is>
          <t>(en blanco)</t>
        </is>
      </c>
      <c r="F2049" t="inlineStr">
        <is>
          <t>(en blanco)</t>
        </is>
      </c>
      <c r="G2049" t="inlineStr">
        <is>
          <t>M</t>
        </is>
      </c>
      <c r="H2049" t="n">
        <v>6</v>
      </c>
      <c r="I2049" t="inlineStr">
        <is>
          <t>NAUTICA_CLASSICS_Q426509_NAR_1.jpg</t>
        </is>
      </c>
      <c r="J2049" t="inlineStr">
        <is>
          <t>NAUTICA_CLASSICS_Q426509_NAR_2.jpg</t>
        </is>
      </c>
      <c r="K2049" t="inlineStr">
        <is>
          <t>NAUTICA_CLASSICS_Q426509_NAR_3.jpg</t>
        </is>
      </c>
      <c r="L2049">
        <f>IMAGE("file:///E:/Estudios%20y%20certificaciones/ESTUDIOS%20DE%20PROGRAMMING/PROGRAMMING/PERSONAL/PYTHON/Image_Generator_API/imagenes/NAUTICA_CLASSICS_Q426509_NAR_1.jpg")</f>
        <v/>
      </c>
      <c r="M2049">
        <f>IMAGE("file:///E:/Estudios%20y%20certificaciones/ESTUDIOS%20DE%20PROGRAMMING/PROGRAMMING/PERSONAL/PYTHON/Image_Generator_API/imagenes/NAUTICA_CLASSICS_Q426509_NAR_2.jpg")</f>
        <v/>
      </c>
      <c r="N2049">
        <f>IMAGE("file:///E:/Estudios%20y%20certificaciones/ESTUDIOS%20DE%20PROGRAMMING/PROGRAMMING/PERSONAL/PYTHON/Image_Generator_API/imagenes/NAUTICA_CLASSICS_Q426509_NAR_3.jpg")</f>
        <v/>
      </c>
      <c r="O2049">
        <f>HYPERLINK("imagenes/NAUTICA_CLASSICS_Q426509_NAR_1.jpg","Ver imagen")</f>
        <v/>
      </c>
      <c r="P2049">
        <f>HYPERLINK("imagenes/NAUTICA_CLASSICS_Q426509_NAR_2.jpg","Ver imagen")</f>
        <v/>
      </c>
      <c r="Q2049">
        <f>HYPERLINK("imagenes/NAUTICA_CLASSICS_Q426509_NAR_3.jpg","Ver imagen")</f>
        <v/>
      </c>
    </row>
    <row r="2050">
      <c r="A2050" t="inlineStr">
        <is>
          <t>NAUTICA CLASSICS</t>
        </is>
      </c>
      <c r="B2050" t="inlineStr">
        <is>
          <t>Q426509</t>
        </is>
      </c>
      <c r="C2050" t="inlineStr">
        <is>
          <t>3/4 mist puffer with ff hood</t>
        </is>
      </c>
      <c r="D2050" t="inlineStr">
        <is>
          <t>WTW</t>
        </is>
      </c>
      <c r="E2050" t="inlineStr">
        <is>
          <t>(en blanco)</t>
        </is>
      </c>
      <c r="F2050" t="inlineStr">
        <is>
          <t>(en blanco)</t>
        </is>
      </c>
      <c r="G2050" t="inlineStr">
        <is>
          <t>XS</t>
        </is>
      </c>
      <c r="H2050" t="n">
        <v>14</v>
      </c>
      <c r="I2050" t="inlineStr">
        <is>
          <t>NAUTICA_CLASSICS_Q426509_WTW_1.jpg</t>
        </is>
      </c>
      <c r="J2050" t="inlineStr">
        <is>
          <t>NAUTICA_CLASSICS_Q426509_WTW_2.jpg</t>
        </is>
      </c>
      <c r="K2050" t="inlineStr">
        <is>
          <t>NAUTICA_CLASSICS_Q426509_WTW_3.jpg</t>
        </is>
      </c>
      <c r="L2050">
        <f>IMAGE("file:///E:/Estudios%20y%20certificaciones/ESTUDIOS%20DE%20PROGRAMMING/PROGRAMMING/PERSONAL/PYTHON/Image_Generator_API/imagenes/NAUTICA_CLASSICS_Q426509_WTW_1.jpg")</f>
        <v/>
      </c>
      <c r="M2050">
        <f>IMAGE("file:///E:/Estudios%20y%20certificaciones/ESTUDIOS%20DE%20PROGRAMMING/PROGRAMMING/PERSONAL/PYTHON/Image_Generator_API/imagenes/NAUTICA_CLASSICS_Q426509_WTW_2.jpg")</f>
        <v/>
      </c>
      <c r="N2050">
        <f>IMAGE("file:///E:/Estudios%20y%20certificaciones/ESTUDIOS%20DE%20PROGRAMMING/PROGRAMMING/PERSONAL/PYTHON/Image_Generator_API/imagenes/NAUTICA_CLASSICS_Q426509_WTW_3.jpg")</f>
        <v/>
      </c>
      <c r="O2050">
        <f>HYPERLINK("imagenes/NAUTICA_CLASSICS_Q426509_WTW_1.jpg","Ver imagen")</f>
        <v/>
      </c>
      <c r="P2050">
        <f>HYPERLINK("imagenes/NAUTICA_CLASSICS_Q426509_WTW_2.jpg","Ver imagen")</f>
        <v/>
      </c>
      <c r="Q2050">
        <f>HYPERLINK("imagenes/NAUTICA_CLASSICS_Q426509_WTW_3.jpg","Ver imagen")</f>
        <v/>
      </c>
    </row>
    <row r="2051">
      <c r="A2051" t="inlineStr">
        <is>
          <t>NAUTICA CLASSICS</t>
        </is>
      </c>
      <c r="B2051" t="inlineStr">
        <is>
          <t>Q426509</t>
        </is>
      </c>
      <c r="C2051" t="inlineStr">
        <is>
          <t>3/4 mist puffer with ff hood</t>
        </is>
      </c>
      <c r="D2051" t="inlineStr">
        <is>
          <t>WTW</t>
        </is>
      </c>
      <c r="E2051" t="inlineStr">
        <is>
          <t>(en blanco)</t>
        </is>
      </c>
      <c r="F2051" t="inlineStr">
        <is>
          <t>(en blanco)</t>
        </is>
      </c>
      <c r="G2051" t="inlineStr">
        <is>
          <t>S</t>
        </is>
      </c>
      <c r="H2051" t="n">
        <v>9</v>
      </c>
      <c r="I2051" t="inlineStr">
        <is>
          <t>NAUTICA_CLASSICS_Q426509_WTW_1.jpg</t>
        </is>
      </c>
      <c r="J2051" t="inlineStr">
        <is>
          <t>NAUTICA_CLASSICS_Q426509_WTW_2.jpg</t>
        </is>
      </c>
      <c r="K2051" t="inlineStr">
        <is>
          <t>NAUTICA_CLASSICS_Q426509_WTW_3.jpg</t>
        </is>
      </c>
      <c r="L2051">
        <f>IMAGE("file:///E:/Estudios%20y%20certificaciones/ESTUDIOS%20DE%20PROGRAMMING/PROGRAMMING/PERSONAL/PYTHON/Image_Generator_API/imagenes/NAUTICA_CLASSICS_Q426509_WTW_1.jpg")</f>
        <v/>
      </c>
      <c r="M2051">
        <f>IMAGE("file:///E:/Estudios%20y%20certificaciones/ESTUDIOS%20DE%20PROGRAMMING/PROGRAMMING/PERSONAL/PYTHON/Image_Generator_API/imagenes/NAUTICA_CLASSICS_Q426509_WTW_2.jpg")</f>
        <v/>
      </c>
      <c r="N2051">
        <f>IMAGE("file:///E:/Estudios%20y%20certificaciones/ESTUDIOS%20DE%20PROGRAMMING/PROGRAMMING/PERSONAL/PYTHON/Image_Generator_API/imagenes/NAUTICA_CLASSICS_Q426509_WTW_3.jpg")</f>
        <v/>
      </c>
      <c r="O2051">
        <f>HYPERLINK("imagenes/NAUTICA_CLASSICS_Q426509_WTW_1.jpg","Ver imagen")</f>
        <v/>
      </c>
      <c r="P2051">
        <f>HYPERLINK("imagenes/NAUTICA_CLASSICS_Q426509_WTW_2.jpg","Ver imagen")</f>
        <v/>
      </c>
      <c r="Q2051">
        <f>HYPERLINK("imagenes/NAUTICA_CLASSICS_Q426509_WTW_3.jpg","Ver imagen")</f>
        <v/>
      </c>
    </row>
    <row r="2052">
      <c r="A2052" t="inlineStr">
        <is>
          <t>NAUTICA CLASSICS</t>
        </is>
      </c>
      <c r="B2052" t="inlineStr">
        <is>
          <t>Q426509</t>
        </is>
      </c>
      <c r="C2052" t="inlineStr">
        <is>
          <t>3/4 mist puffer with ff hood</t>
        </is>
      </c>
      <c r="D2052" t="inlineStr">
        <is>
          <t>WTW</t>
        </is>
      </c>
      <c r="E2052" t="inlineStr">
        <is>
          <t>(en blanco)</t>
        </is>
      </c>
      <c r="F2052" t="inlineStr">
        <is>
          <t>(en blanco)</t>
        </is>
      </c>
      <c r="G2052" t="inlineStr">
        <is>
          <t>M</t>
        </is>
      </c>
      <c r="H2052" t="n">
        <v>73</v>
      </c>
      <c r="I2052" t="inlineStr">
        <is>
          <t>NAUTICA_CLASSICS_Q426509_WTW_1.jpg</t>
        </is>
      </c>
      <c r="J2052" t="inlineStr">
        <is>
          <t>NAUTICA_CLASSICS_Q426509_WTW_2.jpg</t>
        </is>
      </c>
      <c r="K2052" t="inlineStr">
        <is>
          <t>NAUTICA_CLASSICS_Q426509_WTW_3.jpg</t>
        </is>
      </c>
      <c r="L2052">
        <f>IMAGE("file:///E:/Estudios%20y%20certificaciones/ESTUDIOS%20DE%20PROGRAMMING/PROGRAMMING/PERSONAL/PYTHON/Image_Generator_API/imagenes/NAUTICA_CLASSICS_Q426509_WTW_1.jpg")</f>
        <v/>
      </c>
      <c r="M2052">
        <f>IMAGE("file:///E:/Estudios%20y%20certificaciones/ESTUDIOS%20DE%20PROGRAMMING/PROGRAMMING/PERSONAL/PYTHON/Image_Generator_API/imagenes/NAUTICA_CLASSICS_Q426509_WTW_2.jpg")</f>
        <v/>
      </c>
      <c r="N2052">
        <f>IMAGE("file:///E:/Estudios%20y%20certificaciones/ESTUDIOS%20DE%20PROGRAMMING/PROGRAMMING/PERSONAL/PYTHON/Image_Generator_API/imagenes/NAUTICA_CLASSICS_Q426509_WTW_3.jpg")</f>
        <v/>
      </c>
      <c r="O2052">
        <f>HYPERLINK("imagenes/NAUTICA_CLASSICS_Q426509_WTW_1.jpg","Ver imagen")</f>
        <v/>
      </c>
      <c r="P2052">
        <f>HYPERLINK("imagenes/NAUTICA_CLASSICS_Q426509_WTW_2.jpg","Ver imagen")</f>
        <v/>
      </c>
      <c r="Q2052">
        <f>HYPERLINK("imagenes/NAUTICA_CLASSICS_Q426509_WTW_3.jpg","Ver imagen")</f>
        <v/>
      </c>
    </row>
    <row r="2053">
      <c r="A2053" t="inlineStr">
        <is>
          <t>NAUTICA CLASSICS</t>
        </is>
      </c>
      <c r="B2053" t="inlineStr">
        <is>
          <t>Q426509</t>
        </is>
      </c>
      <c r="C2053" t="inlineStr">
        <is>
          <t>3/4 mist puffer with ff hood</t>
        </is>
      </c>
      <c r="D2053" t="inlineStr">
        <is>
          <t>WTW</t>
        </is>
      </c>
      <c r="E2053" t="inlineStr">
        <is>
          <t>(en blanco)</t>
        </is>
      </c>
      <c r="F2053" t="inlineStr">
        <is>
          <t>(en blanco)</t>
        </is>
      </c>
      <c r="G2053" t="inlineStr">
        <is>
          <t>L</t>
        </is>
      </c>
      <c r="H2053" t="n">
        <v>36</v>
      </c>
      <c r="I2053" t="inlineStr">
        <is>
          <t>NAUTICA_CLASSICS_Q426509_WTW_1.jpg</t>
        </is>
      </c>
      <c r="J2053" t="inlineStr">
        <is>
          <t>NAUTICA_CLASSICS_Q426509_WTW_2.jpg</t>
        </is>
      </c>
      <c r="K2053" t="inlineStr">
        <is>
          <t>NAUTICA_CLASSICS_Q426509_WTW_3.jpg</t>
        </is>
      </c>
      <c r="L2053">
        <f>IMAGE("file:///E:/Estudios%20y%20certificaciones/ESTUDIOS%20DE%20PROGRAMMING/PROGRAMMING/PERSONAL/PYTHON/Image_Generator_API/imagenes/NAUTICA_CLASSICS_Q426509_WTW_1.jpg")</f>
        <v/>
      </c>
      <c r="M2053">
        <f>IMAGE("file:///E:/Estudios%20y%20certificaciones/ESTUDIOS%20DE%20PROGRAMMING/PROGRAMMING/PERSONAL/PYTHON/Image_Generator_API/imagenes/NAUTICA_CLASSICS_Q426509_WTW_2.jpg")</f>
        <v/>
      </c>
      <c r="N2053">
        <f>IMAGE("file:///E:/Estudios%20y%20certificaciones/ESTUDIOS%20DE%20PROGRAMMING/PROGRAMMING/PERSONAL/PYTHON/Image_Generator_API/imagenes/NAUTICA_CLASSICS_Q426509_WTW_3.jpg")</f>
        <v/>
      </c>
      <c r="O2053">
        <f>HYPERLINK("imagenes/NAUTICA_CLASSICS_Q426509_WTW_1.jpg","Ver imagen")</f>
        <v/>
      </c>
      <c r="P2053">
        <f>HYPERLINK("imagenes/NAUTICA_CLASSICS_Q426509_WTW_2.jpg","Ver imagen")</f>
        <v/>
      </c>
      <c r="Q2053">
        <f>HYPERLINK("imagenes/NAUTICA_CLASSICS_Q426509_WTW_3.jpg","Ver imagen")</f>
        <v/>
      </c>
    </row>
    <row r="2054">
      <c r="A2054" t="inlineStr">
        <is>
          <t>NAUTICA CLASSICS</t>
        </is>
      </c>
      <c r="B2054" t="inlineStr">
        <is>
          <t>Q426509</t>
        </is>
      </c>
      <c r="C2054" t="inlineStr">
        <is>
          <t>3/4 mist puffer with ff hood</t>
        </is>
      </c>
      <c r="D2054" t="inlineStr">
        <is>
          <t>WTW</t>
        </is>
      </c>
      <c r="E2054" t="inlineStr">
        <is>
          <t>(en blanco)</t>
        </is>
      </c>
      <c r="F2054" t="inlineStr">
        <is>
          <t>(en blanco)</t>
        </is>
      </c>
      <c r="G2054" t="inlineStr">
        <is>
          <t>XL</t>
        </is>
      </c>
      <c r="H2054" t="n">
        <v>33</v>
      </c>
      <c r="I2054" t="inlineStr">
        <is>
          <t>NAUTICA_CLASSICS_Q426509_WTW_1.jpg</t>
        </is>
      </c>
      <c r="J2054" t="inlineStr">
        <is>
          <t>NAUTICA_CLASSICS_Q426509_WTW_2.jpg</t>
        </is>
      </c>
      <c r="K2054" t="inlineStr">
        <is>
          <t>NAUTICA_CLASSICS_Q426509_WTW_3.jpg</t>
        </is>
      </c>
      <c r="L2054">
        <f>IMAGE("file:///E:/Estudios%20y%20certificaciones/ESTUDIOS%20DE%20PROGRAMMING/PROGRAMMING/PERSONAL/PYTHON/Image_Generator_API/imagenes/NAUTICA_CLASSICS_Q426509_WTW_1.jpg")</f>
        <v/>
      </c>
      <c r="M2054">
        <f>IMAGE("file:///E:/Estudios%20y%20certificaciones/ESTUDIOS%20DE%20PROGRAMMING/PROGRAMMING/PERSONAL/PYTHON/Image_Generator_API/imagenes/NAUTICA_CLASSICS_Q426509_WTW_2.jpg")</f>
        <v/>
      </c>
      <c r="N2054">
        <f>IMAGE("file:///E:/Estudios%20y%20certificaciones/ESTUDIOS%20DE%20PROGRAMMING/PROGRAMMING/PERSONAL/PYTHON/Image_Generator_API/imagenes/NAUTICA_CLASSICS_Q426509_WTW_3.jpg")</f>
        <v/>
      </c>
      <c r="O2054">
        <f>HYPERLINK("imagenes/NAUTICA_CLASSICS_Q426509_WTW_1.jpg","Ver imagen")</f>
        <v/>
      </c>
      <c r="P2054">
        <f>HYPERLINK("imagenes/NAUTICA_CLASSICS_Q426509_WTW_2.jpg","Ver imagen")</f>
        <v/>
      </c>
      <c r="Q2054">
        <f>HYPERLINK("imagenes/NAUTICA_CLASSICS_Q426509_WTW_3.jpg","Ver imagen")</f>
        <v/>
      </c>
    </row>
    <row r="2055">
      <c r="A2055" t="inlineStr">
        <is>
          <t>NAUTICA CLASSICS</t>
        </is>
      </c>
      <c r="B2055" t="inlineStr">
        <is>
          <t>Q426566</t>
        </is>
      </c>
      <c r="C2055" t="inlineStr">
        <is>
          <t>3/4 WELLON PUFFER</t>
        </is>
      </c>
      <c r="D2055" t="inlineStr">
        <is>
          <t>BLK</t>
        </is>
      </c>
      <c r="E2055" t="inlineStr">
        <is>
          <t>(en blanco)</t>
        </is>
      </c>
      <c r="F2055" t="inlineStr">
        <is>
          <t>(en blanco)</t>
        </is>
      </c>
      <c r="G2055" t="inlineStr">
        <is>
          <t>S</t>
        </is>
      </c>
      <c r="H2055" t="n">
        <v>1</v>
      </c>
      <c r="I2055" t="inlineStr">
        <is>
          <t>NAUTICA_CLASSICS_Q426566_BLK_1.jpg</t>
        </is>
      </c>
      <c r="J2055" t="inlineStr">
        <is>
          <t>NAUTICA_CLASSICS_Q426566_BLK_2.jpg</t>
        </is>
      </c>
      <c r="K2055" t="inlineStr">
        <is>
          <t>NAUTICA_CLASSICS_Q426566_BLK_3.jpg</t>
        </is>
      </c>
      <c r="L2055">
        <f>IMAGE("file:///E:/Estudios%20y%20certificaciones/ESTUDIOS%20DE%20PROGRAMMING/PROGRAMMING/PERSONAL/PYTHON/Image_Generator_API/imagenes/NAUTICA_CLASSICS_Q426566_BLK_1.jpg")</f>
        <v/>
      </c>
      <c r="M2055">
        <f>IMAGE("file:///E:/Estudios%20y%20certificaciones/ESTUDIOS%20DE%20PROGRAMMING/PROGRAMMING/PERSONAL/PYTHON/Image_Generator_API/imagenes/NAUTICA_CLASSICS_Q426566_BLK_2.jpg")</f>
        <v/>
      </c>
      <c r="N2055">
        <f>IMAGE("file:///E:/Estudios%20y%20certificaciones/ESTUDIOS%20DE%20PROGRAMMING/PROGRAMMING/PERSONAL/PYTHON/Image_Generator_API/imagenes/NAUTICA_CLASSICS_Q426566_BLK_3.jpg")</f>
        <v/>
      </c>
      <c r="O2055">
        <f>HYPERLINK("imagenes/NAUTICA_CLASSICS_Q426566_BLK_1.jpg","Ver imagen")</f>
        <v/>
      </c>
      <c r="P2055">
        <f>HYPERLINK("imagenes/NAUTICA_CLASSICS_Q426566_BLK_2.jpg","Ver imagen")</f>
        <v/>
      </c>
      <c r="Q2055">
        <f>HYPERLINK("imagenes/NAUTICA_CLASSICS_Q426566_BLK_3.jpg","Ver imagen")</f>
        <v/>
      </c>
    </row>
    <row r="2056">
      <c r="A2056" t="inlineStr">
        <is>
          <t>NAUTICA CLASSICS</t>
        </is>
      </c>
      <c r="B2056" t="inlineStr">
        <is>
          <t>Q426566</t>
        </is>
      </c>
      <c r="C2056" t="inlineStr">
        <is>
          <t>3/4 WELLON PUFFER</t>
        </is>
      </c>
      <c r="D2056" t="inlineStr">
        <is>
          <t>BLK</t>
        </is>
      </c>
      <c r="E2056" t="inlineStr">
        <is>
          <t>(en blanco)</t>
        </is>
      </c>
      <c r="F2056" t="inlineStr">
        <is>
          <t>(en blanco)</t>
        </is>
      </c>
      <c r="G2056" t="inlineStr">
        <is>
          <t>M</t>
        </is>
      </c>
      <c r="H2056" t="n">
        <v>1</v>
      </c>
      <c r="I2056" t="inlineStr">
        <is>
          <t>NAUTICA_CLASSICS_Q426566_BLK_1.jpg</t>
        </is>
      </c>
      <c r="J2056" t="inlineStr">
        <is>
          <t>NAUTICA_CLASSICS_Q426566_BLK_2.jpg</t>
        </is>
      </c>
      <c r="K2056" t="inlineStr">
        <is>
          <t>NAUTICA_CLASSICS_Q426566_BLK_3.jpg</t>
        </is>
      </c>
      <c r="L2056">
        <f>IMAGE("file:///E:/Estudios%20y%20certificaciones/ESTUDIOS%20DE%20PROGRAMMING/PROGRAMMING/PERSONAL/PYTHON/Image_Generator_API/imagenes/NAUTICA_CLASSICS_Q426566_BLK_1.jpg")</f>
        <v/>
      </c>
      <c r="M2056">
        <f>IMAGE("file:///E:/Estudios%20y%20certificaciones/ESTUDIOS%20DE%20PROGRAMMING/PROGRAMMING/PERSONAL/PYTHON/Image_Generator_API/imagenes/NAUTICA_CLASSICS_Q426566_BLK_2.jpg")</f>
        <v/>
      </c>
      <c r="N2056">
        <f>IMAGE("file:///E:/Estudios%20y%20certificaciones/ESTUDIOS%20DE%20PROGRAMMING/PROGRAMMING/PERSONAL/PYTHON/Image_Generator_API/imagenes/NAUTICA_CLASSICS_Q426566_BLK_3.jpg")</f>
        <v/>
      </c>
      <c r="O2056">
        <f>HYPERLINK("imagenes/NAUTICA_CLASSICS_Q426566_BLK_1.jpg","Ver imagen")</f>
        <v/>
      </c>
      <c r="P2056">
        <f>HYPERLINK("imagenes/NAUTICA_CLASSICS_Q426566_BLK_2.jpg","Ver imagen")</f>
        <v/>
      </c>
      <c r="Q2056">
        <f>HYPERLINK("imagenes/NAUTICA_CLASSICS_Q426566_BLK_3.jpg","Ver imagen")</f>
        <v/>
      </c>
    </row>
    <row r="2057">
      <c r="A2057" t="inlineStr">
        <is>
          <t>NAUTICA CLASSICS</t>
        </is>
      </c>
      <c r="B2057" t="inlineStr">
        <is>
          <t>Q426573</t>
        </is>
      </c>
      <c r="C2057" t="inlineStr">
        <is>
          <t>3/4 MIST PARKA W/FF</t>
        </is>
      </c>
      <c r="D2057" t="inlineStr">
        <is>
          <t>BLK</t>
        </is>
      </c>
      <c r="E2057" t="inlineStr">
        <is>
          <t>(en blanco)</t>
        </is>
      </c>
      <c r="F2057" t="inlineStr">
        <is>
          <t>(en blanco)</t>
        </is>
      </c>
      <c r="G2057" t="inlineStr">
        <is>
          <t>S</t>
        </is>
      </c>
      <c r="H2057" t="n">
        <v>1</v>
      </c>
      <c r="I2057" t="inlineStr">
        <is>
          <t>NAUTICA_CLASSICS_Q426573_BLK_1.jpg</t>
        </is>
      </c>
      <c r="J2057" t="inlineStr">
        <is>
          <t>NAUTICA_CLASSICS_Q426573_BLK_2.jpg</t>
        </is>
      </c>
      <c r="K2057" t="inlineStr">
        <is>
          <t>NAUTICA_CLASSICS_Q426573_BLK_3.jpg</t>
        </is>
      </c>
      <c r="L2057">
        <f>IMAGE("file:///E:/Estudios%20y%20certificaciones/ESTUDIOS%20DE%20PROGRAMMING/PROGRAMMING/PERSONAL/PYTHON/Image_Generator_API/imagenes/NAUTICA_CLASSICS_Q426573_BLK_1.jpg")</f>
        <v/>
      </c>
      <c r="M2057">
        <f>IMAGE("file:///E:/Estudios%20y%20certificaciones/ESTUDIOS%20DE%20PROGRAMMING/PROGRAMMING/PERSONAL/PYTHON/Image_Generator_API/imagenes/NAUTICA_CLASSICS_Q426573_BLK_2.jpg")</f>
        <v/>
      </c>
      <c r="N2057">
        <f>IMAGE("file:///E:/Estudios%20y%20certificaciones/ESTUDIOS%20DE%20PROGRAMMING/PROGRAMMING/PERSONAL/PYTHON/Image_Generator_API/imagenes/NAUTICA_CLASSICS_Q426573_BLK_3.jpg")</f>
        <v/>
      </c>
      <c r="O2057">
        <f>HYPERLINK("imagenes/NAUTICA_CLASSICS_Q426573_BLK_1.jpg","Ver imagen")</f>
        <v/>
      </c>
      <c r="P2057">
        <f>HYPERLINK("imagenes/NAUTICA_CLASSICS_Q426573_BLK_2.jpg","Ver imagen")</f>
        <v/>
      </c>
      <c r="Q2057">
        <f>HYPERLINK("imagenes/NAUTICA_CLASSICS_Q426573_BLK_3.jpg","Ver imagen")</f>
        <v/>
      </c>
    </row>
    <row r="2058">
      <c r="A2058" t="inlineStr">
        <is>
          <t>NAUTICA CLASSICS</t>
        </is>
      </c>
      <c r="B2058" t="inlineStr">
        <is>
          <t>Q426573</t>
        </is>
      </c>
      <c r="C2058" t="inlineStr">
        <is>
          <t>3/4 MIST PARKA W/FF</t>
        </is>
      </c>
      <c r="D2058" t="inlineStr">
        <is>
          <t>NSS</t>
        </is>
      </c>
      <c r="E2058" t="inlineStr">
        <is>
          <t>(en blanco)</t>
        </is>
      </c>
      <c r="F2058" t="inlineStr">
        <is>
          <t>(en blanco)</t>
        </is>
      </c>
      <c r="G2058" t="inlineStr">
        <is>
          <t>S</t>
        </is>
      </c>
      <c r="H2058" t="n">
        <v>8</v>
      </c>
      <c r="I2058" t="inlineStr">
        <is>
          <t>NAUTICA_CLASSICS_Q426573_NSS_2.jpg</t>
        </is>
      </c>
      <c r="J2058" t="inlineStr">
        <is>
          <t>NAUTICA_CLASSICS_Q426573_NSS_3.jpg</t>
        </is>
      </c>
      <c r="L2058">
        <f>IMAGE("file:///E:/Estudios%20y%20certificaciones/ESTUDIOS%20DE%20PROGRAMMING/PROGRAMMING/PERSONAL/PYTHON/Image_Generator_API/imagenes/NAUTICA_CLASSICS_Q426573_NSS_2.jpg")</f>
        <v/>
      </c>
      <c r="M2058">
        <f>IMAGE("file:///E:/Estudios%20y%20certificaciones/ESTUDIOS%20DE%20PROGRAMMING/PROGRAMMING/PERSONAL/PYTHON/Image_Generator_API/imagenes/NAUTICA_CLASSICS_Q426573_NSS_3.jpg")</f>
        <v/>
      </c>
      <c r="O2058">
        <f>HYPERLINK("imagenes/NAUTICA_CLASSICS_Q426573_NSS_2.jpg","Ver imagen")</f>
        <v/>
      </c>
      <c r="P2058">
        <f>HYPERLINK("imagenes/NAUTICA_CLASSICS_Q426573_NSS_3.jpg","Ver imagen")</f>
        <v/>
      </c>
    </row>
    <row r="2059">
      <c r="A2059" t="inlineStr">
        <is>
          <t>NAUTICA CLASSICS</t>
        </is>
      </c>
      <c r="B2059" t="inlineStr">
        <is>
          <t>Q426573</t>
        </is>
      </c>
      <c r="C2059" t="inlineStr">
        <is>
          <t>3/4 MIST PARKA W/FF</t>
        </is>
      </c>
      <c r="D2059" t="inlineStr">
        <is>
          <t>NSS</t>
        </is>
      </c>
      <c r="E2059" t="inlineStr">
        <is>
          <t>(en blanco)</t>
        </is>
      </c>
      <c r="F2059" t="inlineStr">
        <is>
          <t>(en blanco)</t>
        </is>
      </c>
      <c r="G2059" t="inlineStr">
        <is>
          <t>M</t>
        </is>
      </c>
      <c r="H2059" t="n">
        <v>5</v>
      </c>
      <c r="I2059" t="inlineStr">
        <is>
          <t>NAUTICA_CLASSICS_Q426573_NSS_2.jpg</t>
        </is>
      </c>
      <c r="J2059" t="inlineStr">
        <is>
          <t>NAUTICA_CLASSICS_Q426573_NSS_3.jpg</t>
        </is>
      </c>
      <c r="L2059">
        <f>IMAGE("file:///E:/Estudios%20y%20certificaciones/ESTUDIOS%20DE%20PROGRAMMING/PROGRAMMING/PERSONAL/PYTHON/Image_Generator_API/imagenes/NAUTICA_CLASSICS_Q426573_NSS_2.jpg")</f>
        <v/>
      </c>
      <c r="M2059">
        <f>IMAGE("file:///E:/Estudios%20y%20certificaciones/ESTUDIOS%20DE%20PROGRAMMING/PROGRAMMING/PERSONAL/PYTHON/Image_Generator_API/imagenes/NAUTICA_CLASSICS_Q426573_NSS_3.jpg")</f>
        <v/>
      </c>
      <c r="O2059">
        <f>HYPERLINK("imagenes/NAUTICA_CLASSICS_Q426573_NSS_2.jpg","Ver imagen")</f>
        <v/>
      </c>
      <c r="P2059">
        <f>HYPERLINK("imagenes/NAUTICA_CLASSICS_Q426573_NSS_3.jpg","Ver imagen")</f>
        <v/>
      </c>
    </row>
    <row r="2060">
      <c r="A2060" t="inlineStr">
        <is>
          <t>NAUTICA CLASSICS</t>
        </is>
      </c>
      <c r="B2060" t="inlineStr">
        <is>
          <t>Q426573</t>
        </is>
      </c>
      <c r="C2060" t="inlineStr">
        <is>
          <t>3/4 MIST PARKA W/FF</t>
        </is>
      </c>
      <c r="D2060" t="inlineStr">
        <is>
          <t>SAG</t>
        </is>
      </c>
      <c r="E2060" t="inlineStr">
        <is>
          <t>(en blanco)</t>
        </is>
      </c>
      <c r="F2060" t="inlineStr">
        <is>
          <t>(en blanco)</t>
        </is>
      </c>
      <c r="G2060" t="inlineStr">
        <is>
          <t>L</t>
        </is>
      </c>
      <c r="H2060" t="n">
        <v>1</v>
      </c>
      <c r="I2060" t="inlineStr">
        <is>
          <t>NAUTICA_CLASSICS_Q426573_SAG_2.jpg</t>
        </is>
      </c>
      <c r="J2060" t="inlineStr">
        <is>
          <t>NAUTICA_CLASSICS_Q426573_SAG_3.jpg</t>
        </is>
      </c>
      <c r="L2060">
        <f>IMAGE("file:///E:/Estudios%20y%20certificaciones/ESTUDIOS%20DE%20PROGRAMMING/PROGRAMMING/PERSONAL/PYTHON/Image_Generator_API/imagenes/NAUTICA_CLASSICS_Q426573_SAG_2.jpg")</f>
        <v/>
      </c>
      <c r="M2060">
        <f>IMAGE("file:///E:/Estudios%20y%20certificaciones/ESTUDIOS%20DE%20PROGRAMMING/PROGRAMMING/PERSONAL/PYTHON/Image_Generator_API/imagenes/NAUTICA_CLASSICS_Q426573_SAG_3.jpg")</f>
        <v/>
      </c>
      <c r="O2060">
        <f>HYPERLINK("imagenes/NAUTICA_CLASSICS_Q426573_SAG_2.jpg","Ver imagen")</f>
        <v/>
      </c>
      <c r="P2060">
        <f>HYPERLINK("imagenes/NAUTICA_CLASSICS_Q426573_SAG_3.jpg","Ver imagen")</f>
        <v/>
      </c>
    </row>
    <row r="2061">
      <c r="A2061" t="inlineStr">
        <is>
          <t>NAUTICA CLASSICS</t>
        </is>
      </c>
      <c r="B2061" t="inlineStr">
        <is>
          <t>Q431031</t>
        </is>
      </c>
      <c r="C2061" t="inlineStr">
        <is>
          <t>MOCK SHIELD ZO</t>
        </is>
      </c>
      <c r="D2061" t="inlineStr">
        <is>
          <t>PGL</t>
        </is>
      </c>
      <c r="E2061" t="inlineStr">
        <is>
          <t>(en blanco)</t>
        </is>
      </c>
      <c r="F2061" t="inlineStr">
        <is>
          <t>(en blanco)</t>
        </is>
      </c>
      <c r="G2061" t="inlineStr">
        <is>
          <t>1X</t>
        </is>
      </c>
      <c r="H2061" t="n">
        <v>1</v>
      </c>
      <c r="I2061" t="inlineStr">
        <is>
          <t>NAUTICA_CLASSICS_Q431031_PGL_1.jpg</t>
        </is>
      </c>
      <c r="J2061" t="inlineStr">
        <is>
          <t>NAUTICA_CLASSICS_Q431031_PGL_2.jpg</t>
        </is>
      </c>
      <c r="K2061" t="inlineStr">
        <is>
          <t>NAUTICA_CLASSICS_Q431031_PGL_3.jpg</t>
        </is>
      </c>
      <c r="L2061">
        <f>IMAGE("file:///E:/Estudios%20y%20certificaciones/ESTUDIOS%20DE%20PROGRAMMING/PROGRAMMING/PERSONAL/PYTHON/Image_Generator_API/imagenes/NAUTICA_CLASSICS_Q431031_PGL_1.jpg")</f>
        <v/>
      </c>
      <c r="M2061">
        <f>IMAGE("file:///E:/Estudios%20y%20certificaciones/ESTUDIOS%20DE%20PROGRAMMING/PROGRAMMING/PERSONAL/PYTHON/Image_Generator_API/imagenes/NAUTICA_CLASSICS_Q431031_PGL_2.jpg")</f>
        <v/>
      </c>
      <c r="N2061">
        <f>IMAGE("file:///E:/Estudios%20y%20certificaciones/ESTUDIOS%20DE%20PROGRAMMING/PROGRAMMING/PERSONAL/PYTHON/Image_Generator_API/imagenes/NAUTICA_CLASSICS_Q431031_PGL_3.jpg")</f>
        <v/>
      </c>
      <c r="O2061">
        <f>HYPERLINK("imagenes/NAUTICA_CLASSICS_Q431031_PGL_1.jpg","Ver imagen")</f>
        <v/>
      </c>
      <c r="P2061">
        <f>HYPERLINK("imagenes/NAUTICA_CLASSICS_Q431031_PGL_2.jpg","Ver imagen")</f>
        <v/>
      </c>
      <c r="Q2061">
        <f>HYPERLINK("imagenes/NAUTICA_CLASSICS_Q431031_PGL_3.jpg","Ver imagen")</f>
        <v/>
      </c>
    </row>
    <row r="2062">
      <c r="A2062" t="inlineStr">
        <is>
          <t>NAUTICA CLASSICS</t>
        </is>
      </c>
      <c r="B2062" t="inlineStr">
        <is>
          <t>Q521033</t>
        </is>
      </c>
      <c r="C2062" t="inlineStr">
        <is>
          <t>BIBBED R/C WITH BELT</t>
        </is>
      </c>
      <c r="D2062" t="inlineStr">
        <is>
          <t>PRP</t>
        </is>
      </c>
      <c r="E2062" t="inlineStr">
        <is>
          <t>(en blanco)</t>
        </is>
      </c>
      <c r="F2062" t="inlineStr">
        <is>
          <t>(en blanco)</t>
        </is>
      </c>
      <c r="G2062" t="inlineStr">
        <is>
          <t>XL</t>
        </is>
      </c>
      <c r="H2062" t="n">
        <v>10</v>
      </c>
      <c r="I2062" t="inlineStr">
        <is>
          <t>NAUTICA_CLASSICS_Q521033_PRP_1.jpg</t>
        </is>
      </c>
      <c r="J2062" t="inlineStr">
        <is>
          <t>NAUTICA_CLASSICS_Q521033_PRP_2.jpg</t>
        </is>
      </c>
      <c r="K2062" t="inlineStr">
        <is>
          <t>NAUTICA_CLASSICS_Q521033_PRP_3.jpg</t>
        </is>
      </c>
      <c r="L2062">
        <f>IMAGE("file:///E:/Estudios%20y%20certificaciones/ESTUDIOS%20DE%20PROGRAMMING/PROGRAMMING/PERSONAL/PYTHON/Image_Generator_API/imagenes/NAUTICA_CLASSICS_Q521033_PRP_1.jpg")</f>
        <v/>
      </c>
      <c r="M2062">
        <f>IMAGE("file:///E:/Estudios%20y%20certificaciones/ESTUDIOS%20DE%20PROGRAMMING/PROGRAMMING/PERSONAL/PYTHON/Image_Generator_API/imagenes/NAUTICA_CLASSICS_Q521033_PRP_2.jpg")</f>
        <v/>
      </c>
      <c r="N2062">
        <f>IMAGE("file:///E:/Estudios%20y%20certificaciones/ESTUDIOS%20DE%20PROGRAMMING/PROGRAMMING/PERSONAL/PYTHON/Image_Generator_API/imagenes/NAUTICA_CLASSICS_Q521033_PRP_3.jpg")</f>
        <v/>
      </c>
      <c r="O2062">
        <f>HYPERLINK("imagenes/NAUTICA_CLASSICS_Q521033_PRP_1.jpg","Ver imagen")</f>
        <v/>
      </c>
      <c r="P2062">
        <f>HYPERLINK("imagenes/NAUTICA_CLASSICS_Q521033_PRP_2.jpg","Ver imagen")</f>
        <v/>
      </c>
      <c r="Q2062">
        <f>HYPERLINK("imagenes/NAUTICA_CLASSICS_Q521033_PRP_3.jpg","Ver imagen")</f>
        <v/>
      </c>
    </row>
    <row r="2063">
      <c r="A2063" t="inlineStr">
        <is>
          <t>NAUTICA CLASSICS</t>
        </is>
      </c>
      <c r="B2063" t="inlineStr">
        <is>
          <t>Q521836</t>
        </is>
      </c>
      <c r="C2063" t="inlineStr">
        <is>
          <t>SHRT STR PKBL W/HOOD</t>
        </is>
      </c>
      <c r="D2063" t="inlineStr">
        <is>
          <t>PRP</t>
        </is>
      </c>
      <c r="E2063" t="inlineStr">
        <is>
          <t>(en blanco)</t>
        </is>
      </c>
      <c r="F2063" t="inlineStr">
        <is>
          <t>(en blanco)</t>
        </is>
      </c>
      <c r="G2063" t="inlineStr">
        <is>
          <t>L</t>
        </is>
      </c>
      <c r="H2063" t="n">
        <v>10</v>
      </c>
      <c r="I2063" t="inlineStr">
        <is>
          <t>NAUTICA_CLASSICS_Q521836_PRP_1.jpg</t>
        </is>
      </c>
      <c r="J2063" t="inlineStr">
        <is>
          <t>NAUTICA_CLASSICS_Q521836_PRP_2.jpg</t>
        </is>
      </c>
      <c r="K2063" t="inlineStr">
        <is>
          <t>NAUTICA_CLASSICS_Q521836_PRP_3.jpg</t>
        </is>
      </c>
      <c r="L2063">
        <f>IMAGE("file:///E:/Estudios%20y%20certificaciones/ESTUDIOS%20DE%20PROGRAMMING/PROGRAMMING/PERSONAL/PYTHON/Image_Generator_API/imagenes/NAUTICA_CLASSICS_Q521836_PRP_1.jpg")</f>
        <v/>
      </c>
      <c r="M2063">
        <f>IMAGE("file:///E:/Estudios%20y%20certificaciones/ESTUDIOS%20DE%20PROGRAMMING/PROGRAMMING/PERSONAL/PYTHON/Image_Generator_API/imagenes/NAUTICA_CLASSICS_Q521836_PRP_2.jpg")</f>
        <v/>
      </c>
      <c r="N2063">
        <f>IMAGE("file:///E:/Estudios%20y%20certificaciones/ESTUDIOS%20DE%20PROGRAMMING/PROGRAMMING/PERSONAL/PYTHON/Image_Generator_API/imagenes/NAUTICA_CLASSICS_Q521836_PRP_3.jpg")</f>
        <v/>
      </c>
      <c r="O2063">
        <f>HYPERLINK("imagenes/NAUTICA_CLASSICS_Q521836_PRP_1.jpg","Ver imagen")</f>
        <v/>
      </c>
      <c r="P2063">
        <f>HYPERLINK("imagenes/NAUTICA_CLASSICS_Q521836_PRP_2.jpg","Ver imagen")</f>
        <v/>
      </c>
      <c r="Q2063">
        <f>HYPERLINK("imagenes/NAUTICA_CLASSICS_Q521836_PRP_3.jpg","Ver imagen")</f>
        <v/>
      </c>
    </row>
    <row r="2064">
      <c r="A2064" t="inlineStr">
        <is>
          <t>NAUTICA CLASSICS</t>
        </is>
      </c>
      <c r="B2064" t="inlineStr">
        <is>
          <t>Q521836</t>
        </is>
      </c>
      <c r="C2064" t="inlineStr">
        <is>
          <t>SHRT STR PKBL W/HOOD</t>
        </is>
      </c>
      <c r="D2064" t="inlineStr">
        <is>
          <t>PRP</t>
        </is>
      </c>
      <c r="E2064" t="inlineStr">
        <is>
          <t>(en blanco)</t>
        </is>
      </c>
      <c r="F2064" t="inlineStr">
        <is>
          <t>(en blanco)</t>
        </is>
      </c>
      <c r="G2064" t="inlineStr">
        <is>
          <t>XL</t>
        </is>
      </c>
      <c r="H2064" t="n">
        <v>2</v>
      </c>
      <c r="I2064" t="inlineStr">
        <is>
          <t>NAUTICA_CLASSICS_Q521836_PRP_1.jpg</t>
        </is>
      </c>
      <c r="J2064" t="inlineStr">
        <is>
          <t>NAUTICA_CLASSICS_Q521836_PRP_2.jpg</t>
        </is>
      </c>
      <c r="K2064" t="inlineStr">
        <is>
          <t>NAUTICA_CLASSICS_Q521836_PRP_3.jpg</t>
        </is>
      </c>
      <c r="L2064">
        <f>IMAGE("file:///E:/Estudios%20y%20certificaciones/ESTUDIOS%20DE%20PROGRAMMING/PROGRAMMING/PERSONAL/PYTHON/Image_Generator_API/imagenes/NAUTICA_CLASSICS_Q521836_PRP_1.jpg")</f>
        <v/>
      </c>
      <c r="M2064">
        <f>IMAGE("file:///E:/Estudios%20y%20certificaciones/ESTUDIOS%20DE%20PROGRAMMING/PROGRAMMING/PERSONAL/PYTHON/Image_Generator_API/imagenes/NAUTICA_CLASSICS_Q521836_PRP_2.jpg")</f>
        <v/>
      </c>
      <c r="N2064">
        <f>IMAGE("file:///E:/Estudios%20y%20certificaciones/ESTUDIOS%20DE%20PROGRAMMING/PROGRAMMING/PERSONAL/PYTHON/Image_Generator_API/imagenes/NAUTICA_CLASSICS_Q521836_PRP_3.jpg")</f>
        <v/>
      </c>
      <c r="O2064">
        <f>HYPERLINK("imagenes/NAUTICA_CLASSICS_Q521836_PRP_1.jpg","Ver imagen")</f>
        <v/>
      </c>
      <c r="P2064">
        <f>HYPERLINK("imagenes/NAUTICA_CLASSICS_Q521836_PRP_2.jpg","Ver imagen")</f>
        <v/>
      </c>
      <c r="Q2064">
        <f>HYPERLINK("imagenes/NAUTICA_CLASSICS_Q521836_PRP_3.jpg","Ver imagen")</f>
        <v/>
      </c>
    </row>
    <row r="2065">
      <c r="A2065" t="inlineStr">
        <is>
          <t>NAUTICA CLASSICS</t>
        </is>
      </c>
      <c r="B2065" t="inlineStr">
        <is>
          <t>Q521886</t>
        </is>
      </c>
      <c r="C2065" t="inlineStr">
        <is>
          <t>SHRT STR PKBL REMVHD</t>
        </is>
      </c>
      <c r="D2065" t="inlineStr">
        <is>
          <t>BLK</t>
        </is>
      </c>
      <c r="E2065" t="inlineStr">
        <is>
          <t>(en blanco)</t>
        </is>
      </c>
      <c r="F2065" t="inlineStr">
        <is>
          <t>(en blanco)</t>
        </is>
      </c>
      <c r="G2065" t="inlineStr">
        <is>
          <t>XS</t>
        </is>
      </c>
      <c r="H2065" t="n">
        <v>1</v>
      </c>
      <c r="I2065" t="inlineStr">
        <is>
          <t>NAUTICA_CLASSICS_Q521886_BLK_1.jpg</t>
        </is>
      </c>
      <c r="J2065" t="inlineStr">
        <is>
          <t>NAUTICA_CLASSICS_Q521886_BLK_2.jpg</t>
        </is>
      </c>
      <c r="K2065" t="inlineStr">
        <is>
          <t>NAUTICA_CLASSICS_Q521886_BLK_3.jpg</t>
        </is>
      </c>
      <c r="L2065">
        <f>IMAGE("file:///E:/Estudios%20y%20certificaciones/ESTUDIOS%20DE%20PROGRAMMING/PROGRAMMING/PERSONAL/PYTHON/Image_Generator_API/imagenes/NAUTICA_CLASSICS_Q521886_BLK_1.jpg")</f>
        <v/>
      </c>
      <c r="M2065">
        <f>IMAGE("file:///E:/Estudios%20y%20certificaciones/ESTUDIOS%20DE%20PROGRAMMING/PROGRAMMING/PERSONAL/PYTHON/Image_Generator_API/imagenes/NAUTICA_CLASSICS_Q521886_BLK_2.jpg")</f>
        <v/>
      </c>
      <c r="N2065">
        <f>IMAGE("file:///E:/Estudios%20y%20certificaciones/ESTUDIOS%20DE%20PROGRAMMING/PROGRAMMING/PERSONAL/PYTHON/Image_Generator_API/imagenes/NAUTICA_CLASSICS_Q521886_BLK_3.jpg")</f>
        <v/>
      </c>
      <c r="O2065">
        <f>HYPERLINK("imagenes/NAUTICA_CLASSICS_Q521886_BLK_1.jpg","Ver imagen")</f>
        <v/>
      </c>
      <c r="P2065">
        <f>HYPERLINK("imagenes/NAUTICA_CLASSICS_Q521886_BLK_2.jpg","Ver imagen")</f>
        <v/>
      </c>
      <c r="Q2065">
        <f>HYPERLINK("imagenes/NAUTICA_CLASSICS_Q521886_BLK_3.jpg","Ver imagen")</f>
        <v/>
      </c>
    </row>
    <row r="2066">
      <c r="A2066" t="inlineStr">
        <is>
          <t>NAUTICA CLASSICS</t>
        </is>
      </c>
      <c r="B2066" t="inlineStr">
        <is>
          <t>Q521886</t>
        </is>
      </c>
      <c r="C2066" t="inlineStr">
        <is>
          <t>SHRT STR PKBL REMVHD</t>
        </is>
      </c>
      <c r="D2066" t="inlineStr">
        <is>
          <t>BLK</t>
        </is>
      </c>
      <c r="E2066" t="inlineStr">
        <is>
          <t>(en blanco)</t>
        </is>
      </c>
      <c r="F2066" t="inlineStr">
        <is>
          <t>(en blanco)</t>
        </is>
      </c>
      <c r="G2066" t="inlineStr">
        <is>
          <t>S</t>
        </is>
      </c>
      <c r="H2066" t="n">
        <v>1</v>
      </c>
      <c r="I2066" t="inlineStr">
        <is>
          <t>NAUTICA_CLASSICS_Q521886_BLK_1.jpg</t>
        </is>
      </c>
      <c r="J2066" t="inlineStr">
        <is>
          <t>NAUTICA_CLASSICS_Q521886_BLK_2.jpg</t>
        </is>
      </c>
      <c r="K2066" t="inlineStr">
        <is>
          <t>NAUTICA_CLASSICS_Q521886_BLK_3.jpg</t>
        </is>
      </c>
      <c r="L2066">
        <f>IMAGE("file:///E:/Estudios%20y%20certificaciones/ESTUDIOS%20DE%20PROGRAMMING/PROGRAMMING/PERSONAL/PYTHON/Image_Generator_API/imagenes/NAUTICA_CLASSICS_Q521886_BLK_1.jpg")</f>
        <v/>
      </c>
      <c r="M2066">
        <f>IMAGE("file:///E:/Estudios%20y%20certificaciones/ESTUDIOS%20DE%20PROGRAMMING/PROGRAMMING/PERSONAL/PYTHON/Image_Generator_API/imagenes/NAUTICA_CLASSICS_Q521886_BLK_2.jpg")</f>
        <v/>
      </c>
      <c r="N2066">
        <f>IMAGE("file:///E:/Estudios%20y%20certificaciones/ESTUDIOS%20DE%20PROGRAMMING/PROGRAMMING/PERSONAL/PYTHON/Image_Generator_API/imagenes/NAUTICA_CLASSICS_Q521886_BLK_3.jpg")</f>
        <v/>
      </c>
      <c r="O2066">
        <f>HYPERLINK("imagenes/NAUTICA_CLASSICS_Q521886_BLK_1.jpg","Ver imagen")</f>
        <v/>
      </c>
      <c r="P2066">
        <f>HYPERLINK("imagenes/NAUTICA_CLASSICS_Q521886_BLK_2.jpg","Ver imagen")</f>
        <v/>
      </c>
      <c r="Q2066">
        <f>HYPERLINK("imagenes/NAUTICA_CLASSICS_Q521886_BLK_3.jpg","Ver imagen")</f>
        <v/>
      </c>
    </row>
    <row r="2067">
      <c r="A2067" t="inlineStr">
        <is>
          <t>NAUTICA CLASSICS</t>
        </is>
      </c>
      <c r="B2067" t="inlineStr">
        <is>
          <t>Q521898</t>
        </is>
      </c>
      <c r="C2067" t="inlineStr">
        <is>
          <t>3/4STR PCKBLE W/HOOD</t>
        </is>
      </c>
      <c r="D2067" t="inlineStr">
        <is>
          <t>BLK</t>
        </is>
      </c>
      <c r="E2067" t="inlineStr">
        <is>
          <t>(en blanco)</t>
        </is>
      </c>
      <c r="F2067" t="inlineStr">
        <is>
          <t>(en blanco)</t>
        </is>
      </c>
      <c r="G2067" t="inlineStr">
        <is>
          <t>S</t>
        </is>
      </c>
      <c r="H2067" t="n">
        <v>1</v>
      </c>
      <c r="I2067" t="inlineStr">
        <is>
          <t>NAUTICA_CLASSICS_Q521898_BLK_1.jpg</t>
        </is>
      </c>
      <c r="J2067" t="inlineStr">
        <is>
          <t>NAUTICA_CLASSICS_Q521898_BLK_2.jpg</t>
        </is>
      </c>
      <c r="K2067" t="inlineStr">
        <is>
          <t>NAUTICA_CLASSICS_Q521898_BLK_3.jpg</t>
        </is>
      </c>
      <c r="L2067">
        <f>IMAGE("file:///E:/Estudios%20y%20certificaciones/ESTUDIOS%20DE%20PROGRAMMING/PROGRAMMING/PERSONAL/PYTHON/Image_Generator_API/imagenes/NAUTICA_CLASSICS_Q521898_BLK_1.jpg")</f>
        <v/>
      </c>
      <c r="M2067">
        <f>IMAGE("file:///E:/Estudios%20y%20certificaciones/ESTUDIOS%20DE%20PROGRAMMING/PROGRAMMING/PERSONAL/PYTHON/Image_Generator_API/imagenes/NAUTICA_CLASSICS_Q521898_BLK_2.jpg")</f>
        <v/>
      </c>
      <c r="N2067">
        <f>IMAGE("file:///E:/Estudios%20y%20certificaciones/ESTUDIOS%20DE%20PROGRAMMING/PROGRAMMING/PERSONAL/PYTHON/Image_Generator_API/imagenes/NAUTICA_CLASSICS_Q521898_BLK_3.jpg")</f>
        <v/>
      </c>
      <c r="O2067">
        <f>HYPERLINK("imagenes/NAUTICA_CLASSICS_Q521898_BLK_1.jpg","Ver imagen")</f>
        <v/>
      </c>
      <c r="P2067">
        <f>HYPERLINK("imagenes/NAUTICA_CLASSICS_Q521898_BLK_2.jpg","Ver imagen")</f>
        <v/>
      </c>
      <c r="Q2067">
        <f>HYPERLINK("imagenes/NAUTICA_CLASSICS_Q521898_BLK_3.jpg","Ver imagen")</f>
        <v/>
      </c>
    </row>
    <row r="2068">
      <c r="A2068" t="inlineStr">
        <is>
          <t>NAUTICA CLASSICS</t>
        </is>
      </c>
      <c r="B2068" t="inlineStr">
        <is>
          <t>Q521898</t>
        </is>
      </c>
      <c r="C2068" t="inlineStr">
        <is>
          <t>3/4STR PCKBLE W/HOOD</t>
        </is>
      </c>
      <c r="D2068" t="inlineStr">
        <is>
          <t>BLK</t>
        </is>
      </c>
      <c r="E2068" t="inlineStr">
        <is>
          <t>(en blanco)</t>
        </is>
      </c>
      <c r="F2068" t="inlineStr">
        <is>
          <t>(en blanco)</t>
        </is>
      </c>
      <c r="G2068" t="inlineStr">
        <is>
          <t>M</t>
        </is>
      </c>
      <c r="H2068" t="n">
        <v>1</v>
      </c>
      <c r="I2068" t="inlineStr">
        <is>
          <t>NAUTICA_CLASSICS_Q521898_BLK_1.jpg</t>
        </is>
      </c>
      <c r="J2068" t="inlineStr">
        <is>
          <t>NAUTICA_CLASSICS_Q521898_BLK_2.jpg</t>
        </is>
      </c>
      <c r="K2068" t="inlineStr">
        <is>
          <t>NAUTICA_CLASSICS_Q521898_BLK_3.jpg</t>
        </is>
      </c>
      <c r="L2068">
        <f>IMAGE("file:///E:/Estudios%20y%20certificaciones/ESTUDIOS%20DE%20PROGRAMMING/PROGRAMMING/PERSONAL/PYTHON/Image_Generator_API/imagenes/NAUTICA_CLASSICS_Q521898_BLK_1.jpg")</f>
        <v/>
      </c>
      <c r="M2068">
        <f>IMAGE("file:///E:/Estudios%20y%20certificaciones/ESTUDIOS%20DE%20PROGRAMMING/PROGRAMMING/PERSONAL/PYTHON/Image_Generator_API/imagenes/NAUTICA_CLASSICS_Q521898_BLK_2.jpg")</f>
        <v/>
      </c>
      <c r="N2068">
        <f>IMAGE("file:///E:/Estudios%20y%20certificaciones/ESTUDIOS%20DE%20PROGRAMMING/PROGRAMMING/PERSONAL/PYTHON/Image_Generator_API/imagenes/NAUTICA_CLASSICS_Q521898_BLK_3.jpg")</f>
        <v/>
      </c>
      <c r="O2068">
        <f>HYPERLINK("imagenes/NAUTICA_CLASSICS_Q521898_BLK_1.jpg","Ver imagen")</f>
        <v/>
      </c>
      <c r="P2068">
        <f>HYPERLINK("imagenes/NAUTICA_CLASSICS_Q521898_BLK_2.jpg","Ver imagen")</f>
        <v/>
      </c>
      <c r="Q2068">
        <f>HYPERLINK("imagenes/NAUTICA_CLASSICS_Q521898_BLK_3.jpg","Ver imagen")</f>
        <v/>
      </c>
    </row>
    <row r="2069">
      <c r="A2069" t="inlineStr">
        <is>
          <t>NAUTICA CLASSICS</t>
        </is>
      </c>
      <c r="B2069" t="inlineStr">
        <is>
          <t>Q524471</t>
        </is>
      </c>
      <c r="C2069" t="inlineStr">
        <is>
          <t>STITCH PRNT SOFT SHL</t>
        </is>
      </c>
      <c r="D2069" t="inlineStr">
        <is>
          <t>CHR</t>
        </is>
      </c>
      <c r="E2069" t="inlineStr">
        <is>
          <t>(en blanco)</t>
        </is>
      </c>
      <c r="F2069" t="inlineStr">
        <is>
          <t>(en blanco)</t>
        </is>
      </c>
      <c r="G2069" t="inlineStr">
        <is>
          <t>S</t>
        </is>
      </c>
      <c r="H2069" t="n">
        <v>1</v>
      </c>
      <c r="I2069" t="inlineStr">
        <is>
          <t>NAUTICA_CLASSICS_Q524471_CHR_1.jpg</t>
        </is>
      </c>
      <c r="J2069" t="inlineStr">
        <is>
          <t>NAUTICA_CLASSICS_Q524471_CHR_2.jpg</t>
        </is>
      </c>
      <c r="K2069" t="inlineStr">
        <is>
          <t>NAUTICA_CLASSICS_Q524471_CHR_3.jpg</t>
        </is>
      </c>
      <c r="L2069">
        <f>IMAGE("file:///E:/Estudios%20y%20certificaciones/ESTUDIOS%20DE%20PROGRAMMING/PROGRAMMING/PERSONAL/PYTHON/Image_Generator_API/imagenes/NAUTICA_CLASSICS_Q524471_CHR_1.jpg")</f>
        <v/>
      </c>
      <c r="M2069">
        <f>IMAGE("file:///E:/Estudios%20y%20certificaciones/ESTUDIOS%20DE%20PROGRAMMING/PROGRAMMING/PERSONAL/PYTHON/Image_Generator_API/imagenes/NAUTICA_CLASSICS_Q524471_CHR_2.jpg")</f>
        <v/>
      </c>
      <c r="N2069">
        <f>IMAGE("file:///E:/Estudios%20y%20certificaciones/ESTUDIOS%20DE%20PROGRAMMING/PROGRAMMING/PERSONAL/PYTHON/Image_Generator_API/imagenes/NAUTICA_CLASSICS_Q524471_CHR_3.jpg")</f>
        <v/>
      </c>
      <c r="O2069">
        <f>HYPERLINK("imagenes/NAUTICA_CLASSICS_Q524471_CHR_1.jpg","Ver imagen")</f>
        <v/>
      </c>
      <c r="P2069">
        <f>HYPERLINK("imagenes/NAUTICA_CLASSICS_Q524471_CHR_2.jpg","Ver imagen")</f>
        <v/>
      </c>
      <c r="Q2069">
        <f>HYPERLINK("imagenes/NAUTICA_CLASSICS_Q524471_CHR_3.jpg","Ver imagen")</f>
        <v/>
      </c>
    </row>
    <row r="2070">
      <c r="A2070" t="inlineStr">
        <is>
          <t>NAUTICA CLASSICS</t>
        </is>
      </c>
      <c r="B2070" t="inlineStr">
        <is>
          <t>Q529081</t>
        </is>
      </c>
      <c r="C2070" t="inlineStr">
        <is>
          <t>A LINE RAIN SLICKER</t>
        </is>
      </c>
      <c r="D2070" t="inlineStr">
        <is>
          <t>B75</t>
        </is>
      </c>
      <c r="E2070" t="inlineStr">
        <is>
          <t>(en blanco)</t>
        </is>
      </c>
      <c r="F2070" t="inlineStr">
        <is>
          <t>(en blanco)</t>
        </is>
      </c>
      <c r="G2070" t="inlineStr">
        <is>
          <t>XL</t>
        </is>
      </c>
      <c r="H2070" t="n">
        <v>1</v>
      </c>
      <c r="I2070" t="inlineStr">
        <is>
          <t>NAUTICA_CLASSICS_Q529081_B75_1.jpg</t>
        </is>
      </c>
      <c r="J2070" t="inlineStr">
        <is>
          <t>NAUTICA_CLASSICS_Q529081_B75_2.jpg</t>
        </is>
      </c>
      <c r="K2070" t="inlineStr">
        <is>
          <t>NAUTICA_CLASSICS_Q529081_B75_3.jpg</t>
        </is>
      </c>
      <c r="L2070">
        <f>IMAGE("file:///E:/Estudios%20y%20certificaciones/ESTUDIOS%20DE%20PROGRAMMING/PROGRAMMING/PERSONAL/PYTHON/Image_Generator_API/imagenes/NAUTICA_CLASSICS_Q529081_B75_1.jpg")</f>
        <v/>
      </c>
      <c r="M2070">
        <f>IMAGE("file:///E:/Estudios%20y%20certificaciones/ESTUDIOS%20DE%20PROGRAMMING/PROGRAMMING/PERSONAL/PYTHON/Image_Generator_API/imagenes/NAUTICA_CLASSICS_Q529081_B75_2.jpg")</f>
        <v/>
      </c>
      <c r="N2070">
        <f>IMAGE("file:///E:/Estudios%20y%20certificaciones/ESTUDIOS%20DE%20PROGRAMMING/PROGRAMMING/PERSONAL/PYTHON/Image_Generator_API/imagenes/NAUTICA_CLASSICS_Q529081_B75_3.jpg")</f>
        <v/>
      </c>
      <c r="O2070">
        <f>HYPERLINK("imagenes/NAUTICA_CLASSICS_Q529081_B75_1.jpg","Ver imagen")</f>
        <v/>
      </c>
      <c r="P2070">
        <f>HYPERLINK("imagenes/NAUTICA_CLASSICS_Q529081_B75_2.jpg","Ver imagen")</f>
        <v/>
      </c>
      <c r="Q2070">
        <f>HYPERLINK("imagenes/NAUTICA_CLASSICS_Q529081_B75_3.jpg","Ver imagen")</f>
        <v/>
      </c>
    </row>
    <row r="2071">
      <c r="A2071" t="inlineStr">
        <is>
          <t>NAUTICA CLASSICS</t>
        </is>
      </c>
      <c r="B2071" t="inlineStr">
        <is>
          <t>Q529081</t>
        </is>
      </c>
      <c r="C2071" t="inlineStr">
        <is>
          <t>A LINE RAIN SLICKER</t>
        </is>
      </c>
      <c r="D2071" t="inlineStr">
        <is>
          <t>B75</t>
        </is>
      </c>
      <c r="E2071" t="inlineStr">
        <is>
          <t>(en blanco)</t>
        </is>
      </c>
      <c r="F2071" t="inlineStr">
        <is>
          <t>(en blanco)</t>
        </is>
      </c>
      <c r="G2071" t="inlineStr">
        <is>
          <t>XXL</t>
        </is>
      </c>
      <c r="H2071" t="n">
        <v>4</v>
      </c>
      <c r="I2071" t="inlineStr">
        <is>
          <t>NAUTICA_CLASSICS_Q529081_B75_1.jpg</t>
        </is>
      </c>
      <c r="J2071" t="inlineStr">
        <is>
          <t>NAUTICA_CLASSICS_Q529081_B75_2.jpg</t>
        </is>
      </c>
      <c r="K2071" t="inlineStr">
        <is>
          <t>NAUTICA_CLASSICS_Q529081_B75_3.jpg</t>
        </is>
      </c>
      <c r="L2071">
        <f>IMAGE("file:///E:/Estudios%20y%20certificaciones/ESTUDIOS%20DE%20PROGRAMMING/PROGRAMMING/PERSONAL/PYTHON/Image_Generator_API/imagenes/NAUTICA_CLASSICS_Q529081_B75_1.jpg")</f>
        <v/>
      </c>
      <c r="M2071">
        <f>IMAGE("file:///E:/Estudios%20y%20certificaciones/ESTUDIOS%20DE%20PROGRAMMING/PROGRAMMING/PERSONAL/PYTHON/Image_Generator_API/imagenes/NAUTICA_CLASSICS_Q529081_B75_2.jpg")</f>
        <v/>
      </c>
      <c r="N2071">
        <f>IMAGE("file:///E:/Estudios%20y%20certificaciones/ESTUDIOS%20DE%20PROGRAMMING/PROGRAMMING/PERSONAL/PYTHON/Image_Generator_API/imagenes/NAUTICA_CLASSICS_Q529081_B75_3.jpg")</f>
        <v/>
      </c>
      <c r="O2071">
        <f>HYPERLINK("imagenes/NAUTICA_CLASSICS_Q529081_B75_1.jpg","Ver imagen")</f>
        <v/>
      </c>
      <c r="P2071">
        <f>HYPERLINK("imagenes/NAUTICA_CLASSICS_Q529081_B75_2.jpg","Ver imagen")</f>
        <v/>
      </c>
      <c r="Q2071">
        <f>HYPERLINK("imagenes/NAUTICA_CLASSICS_Q529081_B75_3.jpg","Ver imagen")</f>
        <v/>
      </c>
    </row>
    <row r="2072">
      <c r="A2072" t="inlineStr">
        <is>
          <t>NAUTICA CLASSICS</t>
        </is>
      </c>
      <c r="B2072" t="inlineStr">
        <is>
          <t>Q621805</t>
        </is>
      </c>
      <c r="C2072" t="inlineStr">
        <is>
          <t>SHORT STR PUFFR W/HD</t>
        </is>
      </c>
      <c r="D2072" t="inlineStr">
        <is>
          <t>MGR</t>
        </is>
      </c>
      <c r="E2072" t="inlineStr">
        <is>
          <t>(en blanco)</t>
        </is>
      </c>
      <c r="F2072" t="inlineStr">
        <is>
          <t>(en blanco)</t>
        </is>
      </c>
      <c r="G2072" t="inlineStr">
        <is>
          <t>S</t>
        </is>
      </c>
      <c r="H2072" t="n">
        <v>1</v>
      </c>
      <c r="I2072" t="inlineStr">
        <is>
          <t>NAUTICA_CLASSICS_Q621805_MGR_2.jpg</t>
        </is>
      </c>
      <c r="J2072" t="inlineStr">
        <is>
          <t>NAUTICA_CLASSICS_Q621805_MGR_3.jpg</t>
        </is>
      </c>
      <c r="L2072">
        <f>IMAGE("file:///E:/Estudios%20y%20certificaciones/ESTUDIOS%20DE%20PROGRAMMING/PROGRAMMING/PERSONAL/PYTHON/Image_Generator_API/imagenes/NAUTICA_CLASSICS_Q621805_MGR_2.jpg")</f>
        <v/>
      </c>
      <c r="M2072">
        <f>IMAGE("file:///E:/Estudios%20y%20certificaciones/ESTUDIOS%20DE%20PROGRAMMING/PROGRAMMING/PERSONAL/PYTHON/Image_Generator_API/imagenes/NAUTICA_CLASSICS_Q621805_MGR_3.jpg")</f>
        <v/>
      </c>
      <c r="O2072">
        <f>HYPERLINK("imagenes/NAUTICA_CLASSICS_Q621805_MGR_2.jpg","Ver imagen")</f>
        <v/>
      </c>
      <c r="P2072">
        <f>HYPERLINK("imagenes/NAUTICA_CLASSICS_Q621805_MGR_3.jpg","Ver imagen")</f>
        <v/>
      </c>
    </row>
    <row r="2073">
      <c r="A2073" t="inlineStr">
        <is>
          <t>NAUTICA CLASSICS</t>
        </is>
      </c>
      <c r="B2073" t="inlineStr">
        <is>
          <t>Q621807</t>
        </is>
      </c>
      <c r="C2073" t="inlineStr">
        <is>
          <t>SHRT STR HOOD W/KNIT</t>
        </is>
      </c>
      <c r="D2073" t="inlineStr">
        <is>
          <t>WTW</t>
        </is>
      </c>
      <c r="E2073" t="inlineStr">
        <is>
          <t>(en blanco)</t>
        </is>
      </c>
      <c r="F2073" t="inlineStr">
        <is>
          <t>(en blanco)</t>
        </is>
      </c>
      <c r="G2073" t="inlineStr">
        <is>
          <t>M</t>
        </is>
      </c>
      <c r="H2073" t="n">
        <v>1</v>
      </c>
      <c r="I2073" t="inlineStr">
        <is>
          <t>NAUTICA_CLASSICS_Q621807_WTW_1.jpg</t>
        </is>
      </c>
      <c r="J2073" t="inlineStr">
        <is>
          <t>NAUTICA_CLASSICS_Q621807_WTW_2.jpg</t>
        </is>
      </c>
      <c r="K2073" t="inlineStr">
        <is>
          <t>NAUTICA_CLASSICS_Q621807_WTW_3.jpg</t>
        </is>
      </c>
      <c r="L2073">
        <f>IMAGE("file:///E:/Estudios%20y%20certificaciones/ESTUDIOS%20DE%20PROGRAMMING/PROGRAMMING/PERSONAL/PYTHON/Image_Generator_API/imagenes/NAUTICA_CLASSICS_Q621807_WTW_1.jpg")</f>
        <v/>
      </c>
      <c r="M2073">
        <f>IMAGE("file:///E:/Estudios%20y%20certificaciones/ESTUDIOS%20DE%20PROGRAMMING/PROGRAMMING/PERSONAL/PYTHON/Image_Generator_API/imagenes/NAUTICA_CLASSICS_Q621807_WTW_2.jpg")</f>
        <v/>
      </c>
      <c r="N2073">
        <f>IMAGE("file:///E:/Estudios%20y%20certificaciones/ESTUDIOS%20DE%20PROGRAMMING/PROGRAMMING/PERSONAL/PYTHON/Image_Generator_API/imagenes/NAUTICA_CLASSICS_Q621807_WTW_3.jpg")</f>
        <v/>
      </c>
      <c r="O2073">
        <f>HYPERLINK("imagenes/NAUTICA_CLASSICS_Q621807_WTW_1.jpg","Ver imagen")</f>
        <v/>
      </c>
      <c r="P2073">
        <f>HYPERLINK("imagenes/NAUTICA_CLASSICS_Q621807_WTW_2.jpg","Ver imagen")</f>
        <v/>
      </c>
      <c r="Q2073">
        <f>HYPERLINK("imagenes/NAUTICA_CLASSICS_Q621807_WTW_3.jpg","Ver imagen")</f>
        <v/>
      </c>
    </row>
    <row r="2074">
      <c r="A2074" t="inlineStr">
        <is>
          <t>NAUTICA CLASSICS</t>
        </is>
      </c>
      <c r="B2074" t="inlineStr">
        <is>
          <t>Q621808</t>
        </is>
      </c>
      <c r="C2074" t="inlineStr">
        <is>
          <t>3/4 STR HOOD W/KNIT</t>
        </is>
      </c>
      <c r="D2074" t="inlineStr">
        <is>
          <t>EGG</t>
        </is>
      </c>
      <c r="E2074" t="inlineStr">
        <is>
          <t>(en blanco)</t>
        </is>
      </c>
      <c r="F2074" t="inlineStr">
        <is>
          <t>(en blanco)</t>
        </is>
      </c>
      <c r="G2074" t="inlineStr">
        <is>
          <t>S</t>
        </is>
      </c>
      <c r="H2074" t="n">
        <v>2</v>
      </c>
      <c r="I2074" t="inlineStr">
        <is>
          <t>NAUTICA_CLASSICS_Q621808_EGG_1.jpg</t>
        </is>
      </c>
      <c r="J2074" t="inlineStr">
        <is>
          <t>NAUTICA_CLASSICS_Q621808_EGG_2.jpg</t>
        </is>
      </c>
      <c r="K2074" t="inlineStr">
        <is>
          <t>NAUTICA_CLASSICS_Q621808_EGG_3.jpg</t>
        </is>
      </c>
      <c r="L2074">
        <f>IMAGE("file:///E:/Estudios%20y%20certificaciones/ESTUDIOS%20DE%20PROGRAMMING/PROGRAMMING/PERSONAL/PYTHON/Image_Generator_API/imagenes/NAUTICA_CLASSICS_Q621808_EGG_1.jpg")</f>
        <v/>
      </c>
      <c r="M2074">
        <f>IMAGE("file:///E:/Estudios%20y%20certificaciones/ESTUDIOS%20DE%20PROGRAMMING/PROGRAMMING/PERSONAL/PYTHON/Image_Generator_API/imagenes/NAUTICA_CLASSICS_Q621808_EGG_2.jpg")</f>
        <v/>
      </c>
      <c r="N2074">
        <f>IMAGE("file:///E:/Estudios%20y%20certificaciones/ESTUDIOS%20DE%20PROGRAMMING/PROGRAMMING/PERSONAL/PYTHON/Image_Generator_API/imagenes/NAUTICA_CLASSICS_Q621808_EGG_3.jpg")</f>
        <v/>
      </c>
      <c r="O2074">
        <f>HYPERLINK("imagenes/NAUTICA_CLASSICS_Q621808_EGG_1.jpg","Ver imagen")</f>
        <v/>
      </c>
      <c r="P2074">
        <f>HYPERLINK("imagenes/NAUTICA_CLASSICS_Q621808_EGG_2.jpg","Ver imagen")</f>
        <v/>
      </c>
      <c r="Q2074">
        <f>HYPERLINK("imagenes/NAUTICA_CLASSICS_Q621808_EGG_3.jpg","Ver imagen")</f>
        <v/>
      </c>
    </row>
    <row r="2075">
      <c r="A2075" t="inlineStr">
        <is>
          <t>NAUTICA CLASSICS</t>
        </is>
      </c>
      <c r="B2075" t="inlineStr">
        <is>
          <t>Q621808</t>
        </is>
      </c>
      <c r="C2075" t="inlineStr">
        <is>
          <t>3/4 STR HOOD W/KNIT</t>
        </is>
      </c>
      <c r="D2075" t="inlineStr">
        <is>
          <t>EGG</t>
        </is>
      </c>
      <c r="E2075" t="inlineStr">
        <is>
          <t>(en blanco)</t>
        </is>
      </c>
      <c r="F2075" t="inlineStr">
        <is>
          <t>(en blanco)</t>
        </is>
      </c>
      <c r="G2075" t="inlineStr">
        <is>
          <t>XL</t>
        </is>
      </c>
      <c r="H2075" t="n">
        <v>2</v>
      </c>
      <c r="I2075" t="inlineStr">
        <is>
          <t>NAUTICA_CLASSICS_Q621808_EGG_1.jpg</t>
        </is>
      </c>
      <c r="J2075" t="inlineStr">
        <is>
          <t>NAUTICA_CLASSICS_Q621808_EGG_2.jpg</t>
        </is>
      </c>
      <c r="K2075" t="inlineStr">
        <is>
          <t>NAUTICA_CLASSICS_Q621808_EGG_3.jpg</t>
        </is>
      </c>
      <c r="L2075">
        <f>IMAGE("file:///E:/Estudios%20y%20certificaciones/ESTUDIOS%20DE%20PROGRAMMING/PROGRAMMING/PERSONAL/PYTHON/Image_Generator_API/imagenes/NAUTICA_CLASSICS_Q621808_EGG_1.jpg")</f>
        <v/>
      </c>
      <c r="M2075">
        <f>IMAGE("file:///E:/Estudios%20y%20certificaciones/ESTUDIOS%20DE%20PROGRAMMING/PROGRAMMING/PERSONAL/PYTHON/Image_Generator_API/imagenes/NAUTICA_CLASSICS_Q621808_EGG_2.jpg")</f>
        <v/>
      </c>
      <c r="N2075">
        <f>IMAGE("file:///E:/Estudios%20y%20certificaciones/ESTUDIOS%20DE%20PROGRAMMING/PROGRAMMING/PERSONAL/PYTHON/Image_Generator_API/imagenes/NAUTICA_CLASSICS_Q621808_EGG_3.jpg")</f>
        <v/>
      </c>
      <c r="O2075">
        <f>HYPERLINK("imagenes/NAUTICA_CLASSICS_Q621808_EGG_1.jpg","Ver imagen")</f>
        <v/>
      </c>
      <c r="P2075">
        <f>HYPERLINK("imagenes/NAUTICA_CLASSICS_Q621808_EGG_2.jpg","Ver imagen")</f>
        <v/>
      </c>
      <c r="Q2075">
        <f>HYPERLINK("imagenes/NAUTICA_CLASSICS_Q621808_EGG_3.jpg","Ver imagen")</f>
        <v/>
      </c>
    </row>
    <row r="2076">
      <c r="A2076" t="inlineStr">
        <is>
          <t>NAUTICA CLASSICS</t>
        </is>
      </c>
      <c r="B2076" t="inlineStr">
        <is>
          <t>Q621829</t>
        </is>
      </c>
      <c r="C2076" t="inlineStr">
        <is>
          <t>MAXI STR PUFFR W/HD</t>
        </is>
      </c>
      <c r="D2076" t="inlineStr">
        <is>
          <t>MGR</t>
        </is>
      </c>
      <c r="E2076" t="inlineStr">
        <is>
          <t>(en blanco)</t>
        </is>
      </c>
      <c r="F2076" t="inlineStr">
        <is>
          <t>(en blanco)</t>
        </is>
      </c>
      <c r="G2076" t="inlineStr">
        <is>
          <t>M</t>
        </is>
      </c>
      <c r="H2076" t="n">
        <v>1</v>
      </c>
      <c r="I2076" t="inlineStr">
        <is>
          <t>NAUTICA_CLASSICS_Q621829_MGR_1.jpg</t>
        </is>
      </c>
      <c r="J2076" t="inlineStr">
        <is>
          <t>NAUTICA_CLASSICS_Q621829_MGR_2.jpg</t>
        </is>
      </c>
      <c r="K2076" t="inlineStr">
        <is>
          <t>NAUTICA_CLASSICS_Q621829_MGR_3.jpg</t>
        </is>
      </c>
      <c r="L2076">
        <f>IMAGE("file:///E:/Estudios%20y%20certificaciones/ESTUDIOS%20DE%20PROGRAMMING/PROGRAMMING/PERSONAL/PYTHON/Image_Generator_API/imagenes/NAUTICA_CLASSICS_Q621829_MGR_1.jpg")</f>
        <v/>
      </c>
      <c r="M2076">
        <f>IMAGE("file:///E:/Estudios%20y%20certificaciones/ESTUDIOS%20DE%20PROGRAMMING/PROGRAMMING/PERSONAL/PYTHON/Image_Generator_API/imagenes/NAUTICA_CLASSICS_Q621829_MGR_2.jpg")</f>
        <v/>
      </c>
      <c r="N2076">
        <f>IMAGE("file:///E:/Estudios%20y%20certificaciones/ESTUDIOS%20DE%20PROGRAMMING/PROGRAMMING/PERSONAL/PYTHON/Image_Generator_API/imagenes/NAUTICA_CLASSICS_Q621829_MGR_3.jpg")</f>
        <v/>
      </c>
      <c r="O2076">
        <f>HYPERLINK("imagenes/NAUTICA_CLASSICS_Q621829_MGR_1.jpg","Ver imagen")</f>
        <v/>
      </c>
      <c r="P2076">
        <f>HYPERLINK("imagenes/NAUTICA_CLASSICS_Q621829_MGR_2.jpg","Ver imagen")</f>
        <v/>
      </c>
      <c r="Q2076">
        <f>HYPERLINK("imagenes/NAUTICA_CLASSICS_Q621829_MGR_3.jpg","Ver imagen")</f>
        <v/>
      </c>
    </row>
    <row r="2077">
      <c r="A2077" t="inlineStr">
        <is>
          <t>NAUTICA CLASSICS</t>
        </is>
      </c>
      <c r="B2077" t="inlineStr">
        <is>
          <t>Q621836</t>
        </is>
      </c>
      <c r="C2077" t="inlineStr">
        <is>
          <t>SHR STRH PKBL W/HOOD</t>
        </is>
      </c>
      <c r="D2077" t="inlineStr">
        <is>
          <t>NSS</t>
        </is>
      </c>
      <c r="E2077" t="inlineStr">
        <is>
          <t>(en blanco)</t>
        </is>
      </c>
      <c r="F2077" t="inlineStr">
        <is>
          <t>(en blanco)</t>
        </is>
      </c>
      <c r="G2077" t="inlineStr">
        <is>
          <t>XS</t>
        </is>
      </c>
      <c r="H2077" t="n">
        <v>2</v>
      </c>
      <c r="I2077" t="inlineStr">
        <is>
          <t>NAUTICA_CLASSICS_Q621836_NSS_1.jpg</t>
        </is>
      </c>
      <c r="J2077" t="inlineStr">
        <is>
          <t>NAUTICA_CLASSICS_Q621836_NSS_2.jpg</t>
        </is>
      </c>
      <c r="K2077" t="inlineStr">
        <is>
          <t>NAUTICA_CLASSICS_Q621836_NSS_3.jpg</t>
        </is>
      </c>
      <c r="L2077">
        <f>IMAGE("file:///E:/Estudios%20y%20certificaciones/ESTUDIOS%20DE%20PROGRAMMING/PROGRAMMING/PERSONAL/PYTHON/Image_Generator_API/imagenes/NAUTICA_CLASSICS_Q621836_NSS_1.jpg")</f>
        <v/>
      </c>
      <c r="M2077">
        <f>IMAGE("file:///E:/Estudios%20y%20certificaciones/ESTUDIOS%20DE%20PROGRAMMING/PROGRAMMING/PERSONAL/PYTHON/Image_Generator_API/imagenes/NAUTICA_CLASSICS_Q621836_NSS_2.jpg")</f>
        <v/>
      </c>
      <c r="N2077">
        <f>IMAGE("file:///E:/Estudios%20y%20certificaciones/ESTUDIOS%20DE%20PROGRAMMING/PROGRAMMING/PERSONAL/PYTHON/Image_Generator_API/imagenes/NAUTICA_CLASSICS_Q621836_NSS_3.jpg")</f>
        <v/>
      </c>
      <c r="O2077">
        <f>HYPERLINK("imagenes/NAUTICA_CLASSICS_Q621836_NSS_1.jpg","Ver imagen")</f>
        <v/>
      </c>
      <c r="P2077">
        <f>HYPERLINK("imagenes/NAUTICA_CLASSICS_Q621836_NSS_2.jpg","Ver imagen")</f>
        <v/>
      </c>
      <c r="Q2077">
        <f>HYPERLINK("imagenes/NAUTICA_CLASSICS_Q621836_NSS_3.jpg","Ver imagen")</f>
        <v/>
      </c>
    </row>
    <row r="2078">
      <c r="A2078" t="inlineStr">
        <is>
          <t>NAUTICA CLASSICS</t>
        </is>
      </c>
      <c r="B2078" t="inlineStr">
        <is>
          <t>Q621836</t>
        </is>
      </c>
      <c r="C2078" t="inlineStr">
        <is>
          <t>SHR STRH PKBL W/HOOD</t>
        </is>
      </c>
      <c r="D2078" t="inlineStr">
        <is>
          <t>WTW</t>
        </is>
      </c>
      <c r="E2078" t="inlineStr">
        <is>
          <t>(en blanco)</t>
        </is>
      </c>
      <c r="F2078" t="inlineStr">
        <is>
          <t>(en blanco)</t>
        </is>
      </c>
      <c r="G2078" t="inlineStr">
        <is>
          <t>M</t>
        </is>
      </c>
      <c r="H2078" t="n">
        <v>2</v>
      </c>
      <c r="I2078" t="inlineStr">
        <is>
          <t>NAUTICA_CLASSICS_Q621836_WTW_1.jpg</t>
        </is>
      </c>
      <c r="J2078" t="inlineStr">
        <is>
          <t>NAUTICA_CLASSICS_Q621836_WTW_2.jpg</t>
        </is>
      </c>
      <c r="K2078" t="inlineStr">
        <is>
          <t>NAUTICA_CLASSICS_Q621836_WTW_3.jpg</t>
        </is>
      </c>
      <c r="L2078">
        <f>IMAGE("file:///E:/Estudios%20y%20certificaciones/ESTUDIOS%20DE%20PROGRAMMING/PROGRAMMING/PERSONAL/PYTHON/Image_Generator_API/imagenes/NAUTICA_CLASSICS_Q621836_WTW_1.jpg")</f>
        <v/>
      </c>
      <c r="M2078">
        <f>IMAGE("file:///E:/Estudios%20y%20certificaciones/ESTUDIOS%20DE%20PROGRAMMING/PROGRAMMING/PERSONAL/PYTHON/Image_Generator_API/imagenes/NAUTICA_CLASSICS_Q621836_WTW_2.jpg")</f>
        <v/>
      </c>
      <c r="N2078">
        <f>IMAGE("file:///E:/Estudios%20y%20certificaciones/ESTUDIOS%20DE%20PROGRAMMING/PROGRAMMING/PERSONAL/PYTHON/Image_Generator_API/imagenes/NAUTICA_CLASSICS_Q621836_WTW_3.jpg")</f>
        <v/>
      </c>
      <c r="O2078">
        <f>HYPERLINK("imagenes/NAUTICA_CLASSICS_Q621836_WTW_1.jpg","Ver imagen")</f>
        <v/>
      </c>
      <c r="P2078">
        <f>HYPERLINK("imagenes/NAUTICA_CLASSICS_Q621836_WTW_2.jpg","Ver imagen")</f>
        <v/>
      </c>
      <c r="Q2078">
        <f>HYPERLINK("imagenes/NAUTICA_CLASSICS_Q621836_WTW_3.jpg","Ver imagen")</f>
        <v/>
      </c>
    </row>
    <row r="2079">
      <c r="A2079" t="inlineStr">
        <is>
          <t>NAUTICA CLASSICS</t>
        </is>
      </c>
      <c r="B2079" t="inlineStr">
        <is>
          <t>Q621836</t>
        </is>
      </c>
      <c r="C2079" t="inlineStr">
        <is>
          <t>SHR STRH PKBL W/HOOD</t>
        </is>
      </c>
      <c r="D2079" t="inlineStr">
        <is>
          <t>WTW</t>
        </is>
      </c>
      <c r="E2079" t="inlineStr">
        <is>
          <t>(en blanco)</t>
        </is>
      </c>
      <c r="F2079" t="inlineStr">
        <is>
          <t>(en blanco)</t>
        </is>
      </c>
      <c r="G2079" t="inlineStr">
        <is>
          <t>L</t>
        </is>
      </c>
      <c r="H2079" t="n">
        <v>14</v>
      </c>
      <c r="I2079" t="inlineStr">
        <is>
          <t>NAUTICA_CLASSICS_Q621836_WTW_1.jpg</t>
        </is>
      </c>
      <c r="J2079" t="inlineStr">
        <is>
          <t>NAUTICA_CLASSICS_Q621836_WTW_2.jpg</t>
        </is>
      </c>
      <c r="K2079" t="inlineStr">
        <is>
          <t>NAUTICA_CLASSICS_Q621836_WTW_3.jpg</t>
        </is>
      </c>
      <c r="L2079">
        <f>IMAGE("file:///E:/Estudios%20y%20certificaciones/ESTUDIOS%20DE%20PROGRAMMING/PROGRAMMING/PERSONAL/PYTHON/Image_Generator_API/imagenes/NAUTICA_CLASSICS_Q621836_WTW_1.jpg")</f>
        <v/>
      </c>
      <c r="M2079">
        <f>IMAGE("file:///E:/Estudios%20y%20certificaciones/ESTUDIOS%20DE%20PROGRAMMING/PROGRAMMING/PERSONAL/PYTHON/Image_Generator_API/imagenes/NAUTICA_CLASSICS_Q621836_WTW_2.jpg")</f>
        <v/>
      </c>
      <c r="N2079">
        <f>IMAGE("file:///E:/Estudios%20y%20certificaciones/ESTUDIOS%20DE%20PROGRAMMING/PROGRAMMING/PERSONAL/PYTHON/Image_Generator_API/imagenes/NAUTICA_CLASSICS_Q621836_WTW_3.jpg")</f>
        <v/>
      </c>
      <c r="O2079">
        <f>HYPERLINK("imagenes/NAUTICA_CLASSICS_Q621836_WTW_1.jpg","Ver imagen")</f>
        <v/>
      </c>
      <c r="P2079">
        <f>HYPERLINK("imagenes/NAUTICA_CLASSICS_Q621836_WTW_2.jpg","Ver imagen")</f>
        <v/>
      </c>
      <c r="Q2079">
        <f>HYPERLINK("imagenes/NAUTICA_CLASSICS_Q621836_WTW_3.jpg","Ver imagen")</f>
        <v/>
      </c>
    </row>
    <row r="2080">
      <c r="A2080" t="inlineStr">
        <is>
          <t>NAUTICA CLASSICS</t>
        </is>
      </c>
      <c r="B2080" t="inlineStr">
        <is>
          <t>Q621836</t>
        </is>
      </c>
      <c r="C2080" t="inlineStr">
        <is>
          <t>SHR STRH PKBL W/HOOD</t>
        </is>
      </c>
      <c r="D2080" t="inlineStr">
        <is>
          <t>WTW</t>
        </is>
      </c>
      <c r="E2080" t="inlineStr">
        <is>
          <t>(en blanco)</t>
        </is>
      </c>
      <c r="F2080" t="inlineStr">
        <is>
          <t>(en blanco)</t>
        </is>
      </c>
      <c r="G2080" t="inlineStr">
        <is>
          <t>XL</t>
        </is>
      </c>
      <c r="H2080" t="n">
        <v>15</v>
      </c>
      <c r="I2080" t="inlineStr">
        <is>
          <t>NAUTICA_CLASSICS_Q621836_WTW_1.jpg</t>
        </is>
      </c>
      <c r="J2080" t="inlineStr">
        <is>
          <t>NAUTICA_CLASSICS_Q621836_WTW_2.jpg</t>
        </is>
      </c>
      <c r="K2080" t="inlineStr">
        <is>
          <t>NAUTICA_CLASSICS_Q621836_WTW_3.jpg</t>
        </is>
      </c>
      <c r="L2080">
        <f>IMAGE("file:///E:/Estudios%20y%20certificaciones/ESTUDIOS%20DE%20PROGRAMMING/PROGRAMMING/PERSONAL/PYTHON/Image_Generator_API/imagenes/NAUTICA_CLASSICS_Q621836_WTW_1.jpg")</f>
        <v/>
      </c>
      <c r="M2080">
        <f>IMAGE("file:///E:/Estudios%20y%20certificaciones/ESTUDIOS%20DE%20PROGRAMMING/PROGRAMMING/PERSONAL/PYTHON/Image_Generator_API/imagenes/NAUTICA_CLASSICS_Q621836_WTW_2.jpg")</f>
        <v/>
      </c>
      <c r="N2080">
        <f>IMAGE("file:///E:/Estudios%20y%20certificaciones/ESTUDIOS%20DE%20PROGRAMMING/PROGRAMMING/PERSONAL/PYTHON/Image_Generator_API/imagenes/NAUTICA_CLASSICS_Q621836_WTW_3.jpg")</f>
        <v/>
      </c>
      <c r="O2080">
        <f>HYPERLINK("imagenes/NAUTICA_CLASSICS_Q621836_WTW_1.jpg","Ver imagen")</f>
        <v/>
      </c>
      <c r="P2080">
        <f>HYPERLINK("imagenes/NAUTICA_CLASSICS_Q621836_WTW_2.jpg","Ver imagen")</f>
        <v/>
      </c>
      <c r="Q2080">
        <f>HYPERLINK("imagenes/NAUTICA_CLASSICS_Q621836_WTW_3.jpg","Ver imagen")</f>
        <v/>
      </c>
    </row>
    <row r="2081">
      <c r="A2081" t="inlineStr">
        <is>
          <t>NAUTICA CLASSICS</t>
        </is>
      </c>
      <c r="B2081" t="inlineStr">
        <is>
          <t>Q621855</t>
        </is>
      </c>
      <c r="C2081" t="inlineStr">
        <is>
          <t>3/4 STR W/HOOD PUFFR</t>
        </is>
      </c>
      <c r="D2081" t="inlineStr">
        <is>
          <t>BLK</t>
        </is>
      </c>
      <c r="E2081" t="inlineStr">
        <is>
          <t>(en blanco)</t>
        </is>
      </c>
      <c r="F2081" t="inlineStr">
        <is>
          <t>(en blanco)</t>
        </is>
      </c>
      <c r="G2081" t="inlineStr">
        <is>
          <t>XS</t>
        </is>
      </c>
      <c r="H2081" t="n">
        <v>0</v>
      </c>
      <c r="I2081" t="inlineStr">
        <is>
          <t>NAUTICA_CLASSICS_Q621855_BLK_1.jpg</t>
        </is>
      </c>
      <c r="J2081" t="inlineStr">
        <is>
          <t>NAUTICA_CLASSICS_Q621855_BLK_2.jpg</t>
        </is>
      </c>
      <c r="K2081" t="inlineStr">
        <is>
          <t>NAUTICA_CLASSICS_Q621855_BLK_3.jpg</t>
        </is>
      </c>
      <c r="L2081">
        <f>IMAGE("file:///E:/Estudios%20y%20certificaciones/ESTUDIOS%20DE%20PROGRAMMING/PROGRAMMING/PERSONAL/PYTHON/Image_Generator_API/imagenes/NAUTICA_CLASSICS_Q621855_BLK_1.jpg")</f>
        <v/>
      </c>
      <c r="M2081">
        <f>IMAGE("file:///E:/Estudios%20y%20certificaciones/ESTUDIOS%20DE%20PROGRAMMING/PROGRAMMING/PERSONAL/PYTHON/Image_Generator_API/imagenes/NAUTICA_CLASSICS_Q621855_BLK_2.jpg")</f>
        <v/>
      </c>
      <c r="N2081">
        <f>IMAGE("file:///E:/Estudios%20y%20certificaciones/ESTUDIOS%20DE%20PROGRAMMING/PROGRAMMING/PERSONAL/PYTHON/Image_Generator_API/imagenes/NAUTICA_CLASSICS_Q621855_BLK_3.jpg")</f>
        <v/>
      </c>
      <c r="O2081">
        <f>HYPERLINK("imagenes/NAUTICA_CLASSICS_Q621855_BLK_1.jpg","Ver imagen")</f>
        <v/>
      </c>
      <c r="P2081">
        <f>HYPERLINK("imagenes/NAUTICA_CLASSICS_Q621855_BLK_2.jpg","Ver imagen")</f>
        <v/>
      </c>
      <c r="Q2081">
        <f>HYPERLINK("imagenes/NAUTICA_CLASSICS_Q621855_BLK_3.jpg","Ver imagen")</f>
        <v/>
      </c>
    </row>
    <row r="2082">
      <c r="A2082" t="inlineStr">
        <is>
          <t>NAUTICA CLASSICS</t>
        </is>
      </c>
      <c r="B2082" t="inlineStr">
        <is>
          <t>Q621855</t>
        </is>
      </c>
      <c r="C2082" t="inlineStr">
        <is>
          <t>3/4 STR W/HOOD PUFFR</t>
        </is>
      </c>
      <c r="D2082" t="inlineStr">
        <is>
          <t>BLK</t>
        </is>
      </c>
      <c r="E2082" t="inlineStr">
        <is>
          <t>(en blanco)</t>
        </is>
      </c>
      <c r="F2082" t="inlineStr">
        <is>
          <t>(en blanco)</t>
        </is>
      </c>
      <c r="G2082" t="inlineStr">
        <is>
          <t>S</t>
        </is>
      </c>
      <c r="H2082" t="n">
        <v>53</v>
      </c>
      <c r="I2082" t="inlineStr">
        <is>
          <t>NAUTICA_CLASSICS_Q621855_BLK_1.jpg</t>
        </is>
      </c>
      <c r="J2082" t="inlineStr">
        <is>
          <t>NAUTICA_CLASSICS_Q621855_BLK_2.jpg</t>
        </is>
      </c>
      <c r="K2082" t="inlineStr">
        <is>
          <t>NAUTICA_CLASSICS_Q621855_BLK_3.jpg</t>
        </is>
      </c>
      <c r="L2082">
        <f>IMAGE("file:///E:/Estudios%20y%20certificaciones/ESTUDIOS%20DE%20PROGRAMMING/PROGRAMMING/PERSONAL/PYTHON/Image_Generator_API/imagenes/NAUTICA_CLASSICS_Q621855_BLK_1.jpg")</f>
        <v/>
      </c>
      <c r="M2082">
        <f>IMAGE("file:///E:/Estudios%20y%20certificaciones/ESTUDIOS%20DE%20PROGRAMMING/PROGRAMMING/PERSONAL/PYTHON/Image_Generator_API/imagenes/NAUTICA_CLASSICS_Q621855_BLK_2.jpg")</f>
        <v/>
      </c>
      <c r="N2082">
        <f>IMAGE("file:///E:/Estudios%20y%20certificaciones/ESTUDIOS%20DE%20PROGRAMMING/PROGRAMMING/PERSONAL/PYTHON/Image_Generator_API/imagenes/NAUTICA_CLASSICS_Q621855_BLK_3.jpg")</f>
        <v/>
      </c>
      <c r="O2082">
        <f>HYPERLINK("imagenes/NAUTICA_CLASSICS_Q621855_BLK_1.jpg","Ver imagen")</f>
        <v/>
      </c>
      <c r="P2082">
        <f>HYPERLINK("imagenes/NAUTICA_CLASSICS_Q621855_BLK_2.jpg","Ver imagen")</f>
        <v/>
      </c>
      <c r="Q2082">
        <f>HYPERLINK("imagenes/NAUTICA_CLASSICS_Q621855_BLK_3.jpg","Ver imagen")</f>
        <v/>
      </c>
    </row>
    <row r="2083">
      <c r="A2083" t="inlineStr">
        <is>
          <t>NAUTICA CLASSICS</t>
        </is>
      </c>
      <c r="B2083" t="inlineStr">
        <is>
          <t>Q621872</t>
        </is>
      </c>
      <c r="C2083" t="inlineStr">
        <is>
          <t>3/4 STR W/FF LINE HD</t>
        </is>
      </c>
      <c r="D2083" t="inlineStr">
        <is>
          <t>BLK</t>
        </is>
      </c>
      <c r="E2083" t="inlineStr">
        <is>
          <t>(en blanco)</t>
        </is>
      </c>
      <c r="F2083" t="inlineStr">
        <is>
          <t>(en blanco)</t>
        </is>
      </c>
      <c r="G2083" t="inlineStr">
        <is>
          <t>S</t>
        </is>
      </c>
      <c r="H2083" t="n">
        <v>1</v>
      </c>
      <c r="I2083" t="inlineStr">
        <is>
          <t>NAUTICA_CLASSICS_Q621872_BLK_1.jpg</t>
        </is>
      </c>
      <c r="J2083" t="inlineStr">
        <is>
          <t>NAUTICA_CLASSICS_Q621872_BLK_2.jpg</t>
        </is>
      </c>
      <c r="K2083" t="inlineStr">
        <is>
          <t>NAUTICA_CLASSICS_Q621872_BLK_3.jpg</t>
        </is>
      </c>
      <c r="L2083">
        <f>IMAGE("file:///E:/Estudios%20y%20certificaciones/ESTUDIOS%20DE%20PROGRAMMING/PROGRAMMING/PERSONAL/PYTHON/Image_Generator_API/imagenes/NAUTICA_CLASSICS_Q621872_BLK_1.jpg")</f>
        <v/>
      </c>
      <c r="M2083">
        <f>IMAGE("file:///E:/Estudios%20y%20certificaciones/ESTUDIOS%20DE%20PROGRAMMING/PROGRAMMING/PERSONAL/PYTHON/Image_Generator_API/imagenes/NAUTICA_CLASSICS_Q621872_BLK_2.jpg")</f>
        <v/>
      </c>
      <c r="N2083">
        <f>IMAGE("file:///E:/Estudios%20y%20certificaciones/ESTUDIOS%20DE%20PROGRAMMING/PROGRAMMING/PERSONAL/PYTHON/Image_Generator_API/imagenes/NAUTICA_CLASSICS_Q621872_BLK_3.jpg")</f>
        <v/>
      </c>
      <c r="O2083">
        <f>HYPERLINK("imagenes/NAUTICA_CLASSICS_Q621872_BLK_1.jpg","Ver imagen")</f>
        <v/>
      </c>
      <c r="P2083">
        <f>HYPERLINK("imagenes/NAUTICA_CLASSICS_Q621872_BLK_2.jpg","Ver imagen")</f>
        <v/>
      </c>
      <c r="Q2083">
        <f>HYPERLINK("imagenes/NAUTICA_CLASSICS_Q621872_BLK_3.jpg","Ver imagen")</f>
        <v/>
      </c>
    </row>
    <row r="2084">
      <c r="A2084" t="inlineStr">
        <is>
          <t>NAUTICA CLASSICS</t>
        </is>
      </c>
      <c r="B2084" t="inlineStr">
        <is>
          <t>Q621895</t>
        </is>
      </c>
      <c r="C2084" t="inlineStr">
        <is>
          <t>SHORT STR PFR W/FFHD</t>
        </is>
      </c>
      <c r="D2084" t="inlineStr">
        <is>
          <t>BLK</t>
        </is>
      </c>
      <c r="E2084" t="inlineStr">
        <is>
          <t>(en blanco)</t>
        </is>
      </c>
      <c r="F2084" t="inlineStr">
        <is>
          <t>(en blanco)</t>
        </is>
      </c>
      <c r="G2084" t="inlineStr">
        <is>
          <t>XS</t>
        </is>
      </c>
      <c r="H2084" t="n">
        <v>6</v>
      </c>
      <c r="I2084" t="inlineStr">
        <is>
          <t>NAUTICA_CLASSICS_Q621895_BLK_1.jpg</t>
        </is>
      </c>
      <c r="J2084" t="inlineStr">
        <is>
          <t>NAUTICA_CLASSICS_Q621895_BLK_2.jpg</t>
        </is>
      </c>
      <c r="K2084" t="inlineStr">
        <is>
          <t>NAUTICA_CLASSICS_Q621895_BLK_3.jpg</t>
        </is>
      </c>
      <c r="L2084">
        <f>IMAGE("file:///E:/Estudios%20y%20certificaciones/ESTUDIOS%20DE%20PROGRAMMING/PROGRAMMING/PERSONAL/PYTHON/Image_Generator_API/imagenes/NAUTICA_CLASSICS_Q621895_BLK_1.jpg")</f>
        <v/>
      </c>
      <c r="M2084">
        <f>IMAGE("file:///E:/Estudios%20y%20certificaciones/ESTUDIOS%20DE%20PROGRAMMING/PROGRAMMING/PERSONAL/PYTHON/Image_Generator_API/imagenes/NAUTICA_CLASSICS_Q621895_BLK_2.jpg")</f>
        <v/>
      </c>
      <c r="N2084">
        <f>IMAGE("file:///E:/Estudios%20y%20certificaciones/ESTUDIOS%20DE%20PROGRAMMING/PROGRAMMING/PERSONAL/PYTHON/Image_Generator_API/imagenes/NAUTICA_CLASSICS_Q621895_BLK_3.jpg")</f>
        <v/>
      </c>
      <c r="O2084">
        <f>HYPERLINK("imagenes/NAUTICA_CLASSICS_Q621895_BLK_1.jpg","Ver imagen")</f>
        <v/>
      </c>
      <c r="P2084">
        <f>HYPERLINK("imagenes/NAUTICA_CLASSICS_Q621895_BLK_2.jpg","Ver imagen")</f>
        <v/>
      </c>
      <c r="Q2084">
        <f>HYPERLINK("imagenes/NAUTICA_CLASSICS_Q621895_BLK_3.jpg","Ver imagen")</f>
        <v/>
      </c>
    </row>
    <row r="2085">
      <c r="A2085" t="inlineStr">
        <is>
          <t>NAUTICA CLASSICS</t>
        </is>
      </c>
      <c r="B2085" t="inlineStr">
        <is>
          <t>Q621895</t>
        </is>
      </c>
      <c r="C2085" t="inlineStr">
        <is>
          <t>SHORT STR PFR W/FFHD</t>
        </is>
      </c>
      <c r="D2085" t="inlineStr">
        <is>
          <t>DPS</t>
        </is>
      </c>
      <c r="E2085" t="inlineStr">
        <is>
          <t>(en blanco)</t>
        </is>
      </c>
      <c r="F2085" t="inlineStr">
        <is>
          <t>(en blanco)</t>
        </is>
      </c>
      <c r="G2085" t="inlineStr">
        <is>
          <t>XS</t>
        </is>
      </c>
      <c r="H2085" t="n">
        <v>6</v>
      </c>
      <c r="I2085" t="inlineStr">
        <is>
          <t>NAUTICA_CLASSICS_Q621895_DPS_2.jpg</t>
        </is>
      </c>
      <c r="J2085" t="inlineStr">
        <is>
          <t>NAUTICA_CLASSICS_Q621895_DPS_3.jpg</t>
        </is>
      </c>
      <c r="L2085">
        <f>IMAGE("file:///E:/Estudios%20y%20certificaciones/ESTUDIOS%20DE%20PROGRAMMING/PROGRAMMING/PERSONAL/PYTHON/Image_Generator_API/imagenes/NAUTICA_CLASSICS_Q621895_DPS_2.jpg")</f>
        <v/>
      </c>
      <c r="M2085">
        <f>IMAGE("file:///E:/Estudios%20y%20certificaciones/ESTUDIOS%20DE%20PROGRAMMING/PROGRAMMING/PERSONAL/PYTHON/Image_Generator_API/imagenes/NAUTICA_CLASSICS_Q621895_DPS_3.jpg")</f>
        <v/>
      </c>
      <c r="O2085">
        <f>HYPERLINK("imagenes/NAUTICA_CLASSICS_Q621895_DPS_2.jpg","Ver imagen")</f>
        <v/>
      </c>
      <c r="P2085">
        <f>HYPERLINK("imagenes/NAUTICA_CLASSICS_Q621895_DPS_3.jpg","Ver imagen")</f>
        <v/>
      </c>
    </row>
    <row r="2086">
      <c r="A2086" t="inlineStr">
        <is>
          <t>NAUTICA CLASSICS</t>
        </is>
      </c>
      <c r="B2086" t="inlineStr">
        <is>
          <t>Q621895</t>
        </is>
      </c>
      <c r="C2086" t="inlineStr">
        <is>
          <t>SHORT STR PFR W/FFHD</t>
        </is>
      </c>
      <c r="D2086" t="inlineStr">
        <is>
          <t>DPS</t>
        </is>
      </c>
      <c r="E2086" t="inlineStr">
        <is>
          <t>(en blanco)</t>
        </is>
      </c>
      <c r="F2086" t="inlineStr">
        <is>
          <t>(en blanco)</t>
        </is>
      </c>
      <c r="G2086" t="inlineStr">
        <is>
          <t>L</t>
        </is>
      </c>
      <c r="H2086" t="n">
        <v>2</v>
      </c>
      <c r="I2086" t="inlineStr">
        <is>
          <t>NAUTICA_CLASSICS_Q621895_DPS_2.jpg</t>
        </is>
      </c>
      <c r="J2086" t="inlineStr">
        <is>
          <t>NAUTICA_CLASSICS_Q621895_DPS_3.jpg</t>
        </is>
      </c>
      <c r="L2086">
        <f>IMAGE("file:///E:/Estudios%20y%20certificaciones/ESTUDIOS%20DE%20PROGRAMMING/PROGRAMMING/PERSONAL/PYTHON/Image_Generator_API/imagenes/NAUTICA_CLASSICS_Q621895_DPS_2.jpg")</f>
        <v/>
      </c>
      <c r="M2086">
        <f>IMAGE("file:///E:/Estudios%20y%20certificaciones/ESTUDIOS%20DE%20PROGRAMMING/PROGRAMMING/PERSONAL/PYTHON/Image_Generator_API/imagenes/NAUTICA_CLASSICS_Q621895_DPS_3.jpg")</f>
        <v/>
      </c>
      <c r="O2086">
        <f>HYPERLINK("imagenes/NAUTICA_CLASSICS_Q621895_DPS_2.jpg","Ver imagen")</f>
        <v/>
      </c>
      <c r="P2086">
        <f>HYPERLINK("imagenes/NAUTICA_CLASSICS_Q621895_DPS_3.jpg","Ver imagen")</f>
        <v/>
      </c>
    </row>
    <row r="2087">
      <c r="A2087" t="inlineStr">
        <is>
          <t>NAUTICA CLASSICS</t>
        </is>
      </c>
      <c r="B2087" t="inlineStr">
        <is>
          <t>Q621895</t>
        </is>
      </c>
      <c r="C2087" t="inlineStr">
        <is>
          <t>SHORT STR PFR W/FFHD</t>
        </is>
      </c>
      <c r="D2087" t="inlineStr">
        <is>
          <t>EBY</t>
        </is>
      </c>
      <c r="E2087" t="inlineStr">
        <is>
          <t>(en blanco)</t>
        </is>
      </c>
      <c r="F2087" t="inlineStr">
        <is>
          <t>(en blanco)</t>
        </is>
      </c>
      <c r="G2087" t="inlineStr">
        <is>
          <t>XS</t>
        </is>
      </c>
      <c r="H2087" t="n">
        <v>1</v>
      </c>
      <c r="I2087" t="inlineStr">
        <is>
          <t>NAUTICA_CLASSICS_Q621895_EBY_1.jpg</t>
        </is>
      </c>
      <c r="J2087" t="inlineStr">
        <is>
          <t>NAUTICA_CLASSICS_Q621895_EBY_2.jpg</t>
        </is>
      </c>
      <c r="K2087" t="inlineStr">
        <is>
          <t>NAUTICA_CLASSICS_Q621895_EBY_3.jpg</t>
        </is>
      </c>
      <c r="L2087">
        <f>IMAGE("file:///E:/Estudios%20y%20certificaciones/ESTUDIOS%20DE%20PROGRAMMING/PROGRAMMING/PERSONAL/PYTHON/Image_Generator_API/imagenes/NAUTICA_CLASSICS_Q621895_EBY_1.jpg")</f>
        <v/>
      </c>
      <c r="M2087">
        <f>IMAGE("file:///E:/Estudios%20y%20certificaciones/ESTUDIOS%20DE%20PROGRAMMING/PROGRAMMING/PERSONAL/PYTHON/Image_Generator_API/imagenes/NAUTICA_CLASSICS_Q621895_EBY_2.jpg")</f>
        <v/>
      </c>
      <c r="N2087">
        <f>IMAGE("file:///E:/Estudios%20y%20certificaciones/ESTUDIOS%20DE%20PROGRAMMING/PROGRAMMING/PERSONAL/PYTHON/Image_Generator_API/imagenes/NAUTICA_CLASSICS_Q621895_EBY_3.jpg")</f>
        <v/>
      </c>
      <c r="O2087">
        <f>HYPERLINK("imagenes/NAUTICA_CLASSICS_Q621895_EBY_1.jpg","Ver imagen")</f>
        <v/>
      </c>
      <c r="P2087">
        <f>HYPERLINK("imagenes/NAUTICA_CLASSICS_Q621895_EBY_2.jpg","Ver imagen")</f>
        <v/>
      </c>
      <c r="Q2087">
        <f>HYPERLINK("imagenes/NAUTICA_CLASSICS_Q621895_EBY_3.jpg","Ver imagen")</f>
        <v/>
      </c>
    </row>
    <row r="2088">
      <c r="A2088" t="inlineStr">
        <is>
          <t>NAUTICA CLASSICS</t>
        </is>
      </c>
      <c r="B2088" t="inlineStr">
        <is>
          <t>Q621895</t>
        </is>
      </c>
      <c r="C2088" t="inlineStr">
        <is>
          <t>SHORT STR PFR W/FFHD</t>
        </is>
      </c>
      <c r="D2088" t="inlineStr">
        <is>
          <t>SAG</t>
        </is>
      </c>
      <c r="E2088" t="inlineStr">
        <is>
          <t>(en blanco)</t>
        </is>
      </c>
      <c r="F2088" t="inlineStr">
        <is>
          <t>(en blanco)</t>
        </is>
      </c>
      <c r="G2088" t="inlineStr">
        <is>
          <t>L</t>
        </is>
      </c>
      <c r="H2088" t="n">
        <v>1</v>
      </c>
      <c r="I2088" t="inlineStr">
        <is>
          <t>NAUTICA_CLASSICS_Q621895_SAG_1.jpg</t>
        </is>
      </c>
      <c r="J2088" t="inlineStr">
        <is>
          <t>NAUTICA_CLASSICS_Q621895_SAG_2.jpg</t>
        </is>
      </c>
      <c r="K2088" t="inlineStr">
        <is>
          <t>NAUTICA_CLASSICS_Q621895_SAG_3.jpg</t>
        </is>
      </c>
      <c r="L2088">
        <f>IMAGE("file:///E:/Estudios%20y%20certificaciones/ESTUDIOS%20DE%20PROGRAMMING/PROGRAMMING/PERSONAL/PYTHON/Image_Generator_API/imagenes/NAUTICA_CLASSICS_Q621895_SAG_1.jpg")</f>
        <v/>
      </c>
      <c r="M2088">
        <f>IMAGE("file:///E:/Estudios%20y%20certificaciones/ESTUDIOS%20DE%20PROGRAMMING/PROGRAMMING/PERSONAL/PYTHON/Image_Generator_API/imagenes/NAUTICA_CLASSICS_Q621895_SAG_2.jpg")</f>
        <v/>
      </c>
      <c r="N2088">
        <f>IMAGE("file:///E:/Estudios%20y%20certificaciones/ESTUDIOS%20DE%20PROGRAMMING/PROGRAMMING/PERSONAL/PYTHON/Image_Generator_API/imagenes/NAUTICA_CLASSICS_Q621895_SAG_3.jpg")</f>
        <v/>
      </c>
      <c r="O2088">
        <f>HYPERLINK("imagenes/NAUTICA_CLASSICS_Q621895_SAG_1.jpg","Ver imagen")</f>
        <v/>
      </c>
      <c r="P2088">
        <f>HYPERLINK("imagenes/NAUTICA_CLASSICS_Q621895_SAG_2.jpg","Ver imagen")</f>
        <v/>
      </c>
      <c r="Q2088">
        <f>HYPERLINK("imagenes/NAUTICA_CLASSICS_Q621895_SAG_3.jpg","Ver imagen")</f>
        <v/>
      </c>
    </row>
    <row r="2089">
      <c r="A2089" t="inlineStr">
        <is>
          <t>NAUTICA CLASSICS</t>
        </is>
      </c>
      <c r="B2089" t="inlineStr">
        <is>
          <t>Q621895</t>
        </is>
      </c>
      <c r="C2089" t="inlineStr">
        <is>
          <t>SHORT STR PFR W/FFHD</t>
        </is>
      </c>
      <c r="D2089" t="inlineStr">
        <is>
          <t>SAG</t>
        </is>
      </c>
      <c r="E2089" t="inlineStr">
        <is>
          <t>(en blanco)</t>
        </is>
      </c>
      <c r="F2089" t="inlineStr">
        <is>
          <t>(en blanco)</t>
        </is>
      </c>
      <c r="G2089" t="inlineStr">
        <is>
          <t>XXL</t>
        </is>
      </c>
      <c r="H2089" t="n">
        <v>4</v>
      </c>
      <c r="I2089" t="inlineStr">
        <is>
          <t>NAUTICA_CLASSICS_Q621895_SAG_1.jpg</t>
        </is>
      </c>
      <c r="J2089" t="inlineStr">
        <is>
          <t>NAUTICA_CLASSICS_Q621895_SAG_2.jpg</t>
        </is>
      </c>
      <c r="K2089" t="inlineStr">
        <is>
          <t>NAUTICA_CLASSICS_Q621895_SAG_3.jpg</t>
        </is>
      </c>
      <c r="L2089">
        <f>IMAGE("file:///E:/Estudios%20y%20certificaciones/ESTUDIOS%20DE%20PROGRAMMING/PROGRAMMING/PERSONAL/PYTHON/Image_Generator_API/imagenes/NAUTICA_CLASSICS_Q621895_SAG_1.jpg")</f>
        <v/>
      </c>
      <c r="M2089">
        <f>IMAGE("file:///E:/Estudios%20y%20certificaciones/ESTUDIOS%20DE%20PROGRAMMING/PROGRAMMING/PERSONAL/PYTHON/Image_Generator_API/imagenes/NAUTICA_CLASSICS_Q621895_SAG_2.jpg")</f>
        <v/>
      </c>
      <c r="N2089">
        <f>IMAGE("file:///E:/Estudios%20y%20certificaciones/ESTUDIOS%20DE%20PROGRAMMING/PROGRAMMING/PERSONAL/PYTHON/Image_Generator_API/imagenes/NAUTICA_CLASSICS_Q621895_SAG_3.jpg")</f>
        <v/>
      </c>
      <c r="O2089">
        <f>HYPERLINK("imagenes/NAUTICA_CLASSICS_Q621895_SAG_1.jpg","Ver imagen")</f>
        <v/>
      </c>
      <c r="P2089">
        <f>HYPERLINK("imagenes/NAUTICA_CLASSICS_Q621895_SAG_2.jpg","Ver imagen")</f>
        <v/>
      </c>
      <c r="Q2089">
        <f>HYPERLINK("imagenes/NAUTICA_CLASSICS_Q621895_SAG_3.jpg","Ver imagen")</f>
        <v/>
      </c>
    </row>
    <row r="2090">
      <c r="A2090" t="inlineStr">
        <is>
          <t>NAUTICA CLASSICS</t>
        </is>
      </c>
      <c r="B2090" t="inlineStr">
        <is>
          <t>Q621895</t>
        </is>
      </c>
      <c r="C2090" t="inlineStr">
        <is>
          <t>SHORT STR PFR W/FFHD</t>
        </is>
      </c>
      <c r="D2090" t="inlineStr">
        <is>
          <t>WTW</t>
        </is>
      </c>
      <c r="E2090" t="inlineStr">
        <is>
          <t>(en blanco)</t>
        </is>
      </c>
      <c r="F2090" t="inlineStr">
        <is>
          <t>(en blanco)</t>
        </is>
      </c>
      <c r="G2090" t="inlineStr">
        <is>
          <t>S</t>
        </is>
      </c>
      <c r="H2090" t="n">
        <v>50</v>
      </c>
      <c r="I2090" t="inlineStr">
        <is>
          <t>NAUTICA_CLASSICS_Q621895_WTW_1.jpg</t>
        </is>
      </c>
      <c r="J2090" t="inlineStr">
        <is>
          <t>NAUTICA_CLASSICS_Q621895_WTW_2.jpg</t>
        </is>
      </c>
      <c r="K2090" t="inlineStr">
        <is>
          <t>NAUTICA_CLASSICS_Q621895_WTW_3.jpg</t>
        </is>
      </c>
      <c r="L2090">
        <f>IMAGE("file:///E:/Estudios%20y%20certificaciones/ESTUDIOS%20DE%20PROGRAMMING/PROGRAMMING/PERSONAL/PYTHON/Image_Generator_API/imagenes/NAUTICA_CLASSICS_Q621895_WTW_1.jpg")</f>
        <v/>
      </c>
      <c r="M2090">
        <f>IMAGE("file:///E:/Estudios%20y%20certificaciones/ESTUDIOS%20DE%20PROGRAMMING/PROGRAMMING/PERSONAL/PYTHON/Image_Generator_API/imagenes/NAUTICA_CLASSICS_Q621895_WTW_2.jpg")</f>
        <v/>
      </c>
      <c r="N2090">
        <f>IMAGE("file:///E:/Estudios%20y%20certificaciones/ESTUDIOS%20DE%20PROGRAMMING/PROGRAMMING/PERSONAL/PYTHON/Image_Generator_API/imagenes/NAUTICA_CLASSICS_Q621895_WTW_3.jpg")</f>
        <v/>
      </c>
      <c r="O2090">
        <f>HYPERLINK("imagenes/NAUTICA_CLASSICS_Q621895_WTW_1.jpg","Ver imagen")</f>
        <v/>
      </c>
      <c r="P2090">
        <f>HYPERLINK("imagenes/NAUTICA_CLASSICS_Q621895_WTW_2.jpg","Ver imagen")</f>
        <v/>
      </c>
      <c r="Q2090">
        <f>HYPERLINK("imagenes/NAUTICA_CLASSICS_Q621895_WTW_3.jpg","Ver imagen")</f>
        <v/>
      </c>
    </row>
    <row r="2091">
      <c r="A2091" t="inlineStr">
        <is>
          <t>NAUTICA CLASSICS</t>
        </is>
      </c>
      <c r="B2091" t="inlineStr">
        <is>
          <t>Q621895</t>
        </is>
      </c>
      <c r="C2091" t="inlineStr">
        <is>
          <t>SHORT STR PFR W/FFHD</t>
        </is>
      </c>
      <c r="D2091" t="inlineStr">
        <is>
          <t>WTW</t>
        </is>
      </c>
      <c r="E2091" t="inlineStr">
        <is>
          <t>(en blanco)</t>
        </is>
      </c>
      <c r="F2091" t="inlineStr">
        <is>
          <t>(en blanco)</t>
        </is>
      </c>
      <c r="G2091" t="inlineStr">
        <is>
          <t>M</t>
        </is>
      </c>
      <c r="H2091" t="n">
        <v>2</v>
      </c>
      <c r="I2091" t="inlineStr">
        <is>
          <t>NAUTICA_CLASSICS_Q621895_WTW_1.jpg</t>
        </is>
      </c>
      <c r="J2091" t="inlineStr">
        <is>
          <t>NAUTICA_CLASSICS_Q621895_WTW_2.jpg</t>
        </is>
      </c>
      <c r="K2091" t="inlineStr">
        <is>
          <t>NAUTICA_CLASSICS_Q621895_WTW_3.jpg</t>
        </is>
      </c>
      <c r="L2091">
        <f>IMAGE("file:///E:/Estudios%20y%20certificaciones/ESTUDIOS%20DE%20PROGRAMMING/PROGRAMMING/PERSONAL/PYTHON/Image_Generator_API/imagenes/NAUTICA_CLASSICS_Q621895_WTW_1.jpg")</f>
        <v/>
      </c>
      <c r="M2091">
        <f>IMAGE("file:///E:/Estudios%20y%20certificaciones/ESTUDIOS%20DE%20PROGRAMMING/PROGRAMMING/PERSONAL/PYTHON/Image_Generator_API/imagenes/NAUTICA_CLASSICS_Q621895_WTW_2.jpg")</f>
        <v/>
      </c>
      <c r="N2091">
        <f>IMAGE("file:///E:/Estudios%20y%20certificaciones/ESTUDIOS%20DE%20PROGRAMMING/PROGRAMMING/PERSONAL/PYTHON/Image_Generator_API/imagenes/NAUTICA_CLASSICS_Q621895_WTW_3.jpg")</f>
        <v/>
      </c>
      <c r="O2091">
        <f>HYPERLINK("imagenes/NAUTICA_CLASSICS_Q621895_WTW_1.jpg","Ver imagen")</f>
        <v/>
      </c>
      <c r="P2091">
        <f>HYPERLINK("imagenes/NAUTICA_CLASSICS_Q621895_WTW_2.jpg","Ver imagen")</f>
        <v/>
      </c>
      <c r="Q2091">
        <f>HYPERLINK("imagenes/NAUTICA_CLASSICS_Q621895_WTW_3.jpg","Ver imagen")</f>
        <v/>
      </c>
    </row>
    <row r="2092">
      <c r="A2092" t="inlineStr">
        <is>
          <t>NAUTICA CLASSICS</t>
        </is>
      </c>
      <c r="B2092" t="inlineStr">
        <is>
          <t>Q621895</t>
        </is>
      </c>
      <c r="C2092" t="inlineStr">
        <is>
          <t>SHORT STR PFR W/FFHD</t>
        </is>
      </c>
      <c r="D2092" t="inlineStr">
        <is>
          <t>WTW</t>
        </is>
      </c>
      <c r="E2092" t="inlineStr">
        <is>
          <t>(en blanco)</t>
        </is>
      </c>
      <c r="F2092" t="inlineStr">
        <is>
          <t>(en blanco)</t>
        </is>
      </c>
      <c r="G2092" t="inlineStr">
        <is>
          <t>L</t>
        </is>
      </c>
      <c r="H2092" t="n">
        <v>3</v>
      </c>
      <c r="I2092" t="inlineStr">
        <is>
          <t>NAUTICA_CLASSICS_Q621895_WTW_1.jpg</t>
        </is>
      </c>
      <c r="J2092" t="inlineStr">
        <is>
          <t>NAUTICA_CLASSICS_Q621895_WTW_2.jpg</t>
        </is>
      </c>
      <c r="K2092" t="inlineStr">
        <is>
          <t>NAUTICA_CLASSICS_Q621895_WTW_3.jpg</t>
        </is>
      </c>
      <c r="L2092">
        <f>IMAGE("file:///E:/Estudios%20y%20certificaciones/ESTUDIOS%20DE%20PROGRAMMING/PROGRAMMING/PERSONAL/PYTHON/Image_Generator_API/imagenes/NAUTICA_CLASSICS_Q621895_WTW_1.jpg")</f>
        <v/>
      </c>
      <c r="M2092">
        <f>IMAGE("file:///E:/Estudios%20y%20certificaciones/ESTUDIOS%20DE%20PROGRAMMING/PROGRAMMING/PERSONAL/PYTHON/Image_Generator_API/imagenes/NAUTICA_CLASSICS_Q621895_WTW_2.jpg")</f>
        <v/>
      </c>
      <c r="N2092">
        <f>IMAGE("file:///E:/Estudios%20y%20certificaciones/ESTUDIOS%20DE%20PROGRAMMING/PROGRAMMING/PERSONAL/PYTHON/Image_Generator_API/imagenes/NAUTICA_CLASSICS_Q621895_WTW_3.jpg")</f>
        <v/>
      </c>
      <c r="O2092">
        <f>HYPERLINK("imagenes/NAUTICA_CLASSICS_Q621895_WTW_1.jpg","Ver imagen")</f>
        <v/>
      </c>
      <c r="P2092">
        <f>HYPERLINK("imagenes/NAUTICA_CLASSICS_Q621895_WTW_2.jpg","Ver imagen")</f>
        <v/>
      </c>
      <c r="Q2092">
        <f>HYPERLINK("imagenes/NAUTICA_CLASSICS_Q621895_WTW_3.jpg","Ver imagen")</f>
        <v/>
      </c>
    </row>
    <row r="2093">
      <c r="A2093" t="inlineStr">
        <is>
          <t>NAUTICA CLASSICS</t>
        </is>
      </c>
      <c r="B2093" t="inlineStr">
        <is>
          <t>Q621895</t>
        </is>
      </c>
      <c r="C2093" t="inlineStr">
        <is>
          <t>SHORT STR PFR W/FFHD</t>
        </is>
      </c>
      <c r="D2093" t="inlineStr">
        <is>
          <t>WTW</t>
        </is>
      </c>
      <c r="E2093" t="inlineStr">
        <is>
          <t>(en blanco)</t>
        </is>
      </c>
      <c r="F2093" t="inlineStr">
        <is>
          <t>(en blanco)</t>
        </is>
      </c>
      <c r="G2093" t="inlineStr">
        <is>
          <t>XL</t>
        </is>
      </c>
      <c r="H2093" t="n">
        <v>46</v>
      </c>
      <c r="I2093" t="inlineStr">
        <is>
          <t>NAUTICA_CLASSICS_Q621895_WTW_1.jpg</t>
        </is>
      </c>
      <c r="J2093" t="inlineStr">
        <is>
          <t>NAUTICA_CLASSICS_Q621895_WTW_2.jpg</t>
        </is>
      </c>
      <c r="K2093" t="inlineStr">
        <is>
          <t>NAUTICA_CLASSICS_Q621895_WTW_3.jpg</t>
        </is>
      </c>
      <c r="L2093">
        <f>IMAGE("file:///E:/Estudios%20y%20certificaciones/ESTUDIOS%20DE%20PROGRAMMING/PROGRAMMING/PERSONAL/PYTHON/Image_Generator_API/imagenes/NAUTICA_CLASSICS_Q621895_WTW_1.jpg")</f>
        <v/>
      </c>
      <c r="M2093">
        <f>IMAGE("file:///E:/Estudios%20y%20certificaciones/ESTUDIOS%20DE%20PROGRAMMING/PROGRAMMING/PERSONAL/PYTHON/Image_Generator_API/imagenes/NAUTICA_CLASSICS_Q621895_WTW_2.jpg")</f>
        <v/>
      </c>
      <c r="N2093">
        <f>IMAGE("file:///E:/Estudios%20y%20certificaciones/ESTUDIOS%20DE%20PROGRAMMING/PROGRAMMING/PERSONAL/PYTHON/Image_Generator_API/imagenes/NAUTICA_CLASSICS_Q621895_WTW_3.jpg")</f>
        <v/>
      </c>
      <c r="O2093">
        <f>HYPERLINK("imagenes/NAUTICA_CLASSICS_Q621895_WTW_1.jpg","Ver imagen")</f>
        <v/>
      </c>
      <c r="P2093">
        <f>HYPERLINK("imagenes/NAUTICA_CLASSICS_Q621895_WTW_2.jpg","Ver imagen")</f>
        <v/>
      </c>
      <c r="Q2093">
        <f>HYPERLINK("imagenes/NAUTICA_CLASSICS_Q621895_WTW_3.jpg","Ver imagen")</f>
        <v/>
      </c>
    </row>
    <row r="2094">
      <c r="A2094" t="inlineStr">
        <is>
          <t>NAUTICA CLASSICS</t>
        </is>
      </c>
      <c r="B2094" t="inlineStr">
        <is>
          <t>Q621895</t>
        </is>
      </c>
      <c r="C2094" t="inlineStr">
        <is>
          <t>SHORT STR PFR W/FFHD</t>
        </is>
      </c>
      <c r="D2094" t="inlineStr">
        <is>
          <t>WTW</t>
        </is>
      </c>
      <c r="E2094" t="inlineStr">
        <is>
          <t>(en blanco)</t>
        </is>
      </c>
      <c r="F2094" t="inlineStr">
        <is>
          <t>(en blanco)</t>
        </is>
      </c>
      <c r="G2094" t="inlineStr">
        <is>
          <t>XXL</t>
        </is>
      </c>
      <c r="H2094" t="n">
        <v>22</v>
      </c>
      <c r="I2094" t="inlineStr">
        <is>
          <t>NAUTICA_CLASSICS_Q621895_WTW_1.jpg</t>
        </is>
      </c>
      <c r="J2094" t="inlineStr">
        <is>
          <t>NAUTICA_CLASSICS_Q621895_WTW_2.jpg</t>
        </is>
      </c>
      <c r="K2094" t="inlineStr">
        <is>
          <t>NAUTICA_CLASSICS_Q621895_WTW_3.jpg</t>
        </is>
      </c>
      <c r="L2094">
        <f>IMAGE("file:///E:/Estudios%20y%20certificaciones/ESTUDIOS%20DE%20PROGRAMMING/PROGRAMMING/PERSONAL/PYTHON/Image_Generator_API/imagenes/NAUTICA_CLASSICS_Q621895_WTW_1.jpg")</f>
        <v/>
      </c>
      <c r="M2094">
        <f>IMAGE("file:///E:/Estudios%20y%20certificaciones/ESTUDIOS%20DE%20PROGRAMMING/PROGRAMMING/PERSONAL/PYTHON/Image_Generator_API/imagenes/NAUTICA_CLASSICS_Q621895_WTW_2.jpg")</f>
        <v/>
      </c>
      <c r="N2094">
        <f>IMAGE("file:///E:/Estudios%20y%20certificaciones/ESTUDIOS%20DE%20PROGRAMMING/PROGRAMMING/PERSONAL/PYTHON/Image_Generator_API/imagenes/NAUTICA_CLASSICS_Q621895_WTW_3.jpg")</f>
        <v/>
      </c>
      <c r="O2094">
        <f>HYPERLINK("imagenes/NAUTICA_CLASSICS_Q621895_WTW_1.jpg","Ver imagen")</f>
        <v/>
      </c>
      <c r="P2094">
        <f>HYPERLINK("imagenes/NAUTICA_CLASSICS_Q621895_WTW_2.jpg","Ver imagen")</f>
        <v/>
      </c>
      <c r="Q2094">
        <f>HYPERLINK("imagenes/NAUTICA_CLASSICS_Q621895_WTW_3.jpg","Ver imagen")</f>
        <v/>
      </c>
    </row>
    <row r="2095">
      <c r="A2095" t="inlineStr">
        <is>
          <t>NAUTICA CLASSICS</t>
        </is>
      </c>
      <c r="B2095" t="inlineStr">
        <is>
          <t>Q622088</t>
        </is>
      </c>
      <c r="C2095" t="inlineStr">
        <is>
          <t>3/4 MICRO PFR W/FFHD</t>
        </is>
      </c>
      <c r="D2095" t="inlineStr">
        <is>
          <t>BFG</t>
        </is>
      </c>
      <c r="E2095" t="inlineStr">
        <is>
          <t>(en blanco)</t>
        </is>
      </c>
      <c r="F2095" t="inlineStr">
        <is>
          <t>(en blanco)</t>
        </is>
      </c>
      <c r="G2095" t="inlineStr">
        <is>
          <t>S</t>
        </is>
      </c>
      <c r="H2095" t="n">
        <v>1</v>
      </c>
      <c r="I2095" t="inlineStr">
        <is>
          <t>NAUTICA_CLASSICS_Q622088_BFG_1.jpg</t>
        </is>
      </c>
      <c r="J2095" t="inlineStr">
        <is>
          <t>NAUTICA_CLASSICS_Q622088_BFG_2.jpg</t>
        </is>
      </c>
      <c r="K2095" t="inlineStr">
        <is>
          <t>NAUTICA_CLASSICS_Q622088_BFG_3.jpg</t>
        </is>
      </c>
      <c r="L2095">
        <f>IMAGE("file:///E:/Estudios%20y%20certificaciones/ESTUDIOS%20DE%20PROGRAMMING/PROGRAMMING/PERSONAL/PYTHON/Image_Generator_API/imagenes/NAUTICA_CLASSICS_Q622088_BFG_1.jpg")</f>
        <v/>
      </c>
      <c r="M2095">
        <f>IMAGE("file:///E:/Estudios%20y%20certificaciones/ESTUDIOS%20DE%20PROGRAMMING/PROGRAMMING/PERSONAL/PYTHON/Image_Generator_API/imagenes/NAUTICA_CLASSICS_Q622088_BFG_2.jpg")</f>
        <v/>
      </c>
      <c r="N2095">
        <f>IMAGE("file:///E:/Estudios%20y%20certificaciones/ESTUDIOS%20DE%20PROGRAMMING/PROGRAMMING/PERSONAL/PYTHON/Image_Generator_API/imagenes/NAUTICA_CLASSICS_Q622088_BFG_3.jpg")</f>
        <v/>
      </c>
      <c r="O2095">
        <f>HYPERLINK("imagenes/NAUTICA_CLASSICS_Q622088_BFG_1.jpg","Ver imagen")</f>
        <v/>
      </c>
      <c r="P2095">
        <f>HYPERLINK("imagenes/NAUTICA_CLASSICS_Q622088_BFG_2.jpg","Ver imagen")</f>
        <v/>
      </c>
      <c r="Q2095">
        <f>HYPERLINK("imagenes/NAUTICA_CLASSICS_Q622088_BFG_3.jpg","Ver imagen")</f>
        <v/>
      </c>
    </row>
    <row r="2096">
      <c r="A2096" t="inlineStr">
        <is>
          <t>NAUTICA CLASSICS</t>
        </is>
      </c>
      <c r="B2096" t="inlineStr">
        <is>
          <t>Q622088</t>
        </is>
      </c>
      <c r="C2096" t="inlineStr">
        <is>
          <t>3/4 MICRO PFR W/FFHD</t>
        </is>
      </c>
      <c r="D2096" t="inlineStr">
        <is>
          <t>BLK</t>
        </is>
      </c>
      <c r="E2096" t="inlineStr">
        <is>
          <t>(en blanco)</t>
        </is>
      </c>
      <c r="F2096" t="inlineStr">
        <is>
          <t>(en blanco)</t>
        </is>
      </c>
      <c r="G2096" t="inlineStr">
        <is>
          <t>XL</t>
        </is>
      </c>
      <c r="H2096" t="n">
        <v>1</v>
      </c>
      <c r="I2096" t="inlineStr">
        <is>
          <t>NAUTICA_CLASSICS_Q622088_BLK_1.jpg</t>
        </is>
      </c>
      <c r="J2096" t="inlineStr">
        <is>
          <t>NAUTICA_CLASSICS_Q622088_BLK_2.jpg</t>
        </is>
      </c>
      <c r="K2096" t="inlineStr">
        <is>
          <t>NAUTICA_CLASSICS_Q622088_BLK_3.jpg</t>
        </is>
      </c>
      <c r="L2096">
        <f>IMAGE("file:///E:/Estudios%20y%20certificaciones/ESTUDIOS%20DE%20PROGRAMMING/PROGRAMMING/PERSONAL/PYTHON/Image_Generator_API/imagenes/NAUTICA_CLASSICS_Q622088_BLK_1.jpg")</f>
        <v/>
      </c>
      <c r="M2096">
        <f>IMAGE("file:///E:/Estudios%20y%20certificaciones/ESTUDIOS%20DE%20PROGRAMMING/PROGRAMMING/PERSONAL/PYTHON/Image_Generator_API/imagenes/NAUTICA_CLASSICS_Q622088_BLK_2.jpg")</f>
        <v/>
      </c>
      <c r="N2096">
        <f>IMAGE("file:///E:/Estudios%20y%20certificaciones/ESTUDIOS%20DE%20PROGRAMMING/PROGRAMMING/PERSONAL/PYTHON/Image_Generator_API/imagenes/NAUTICA_CLASSICS_Q622088_BLK_3.jpg")</f>
        <v/>
      </c>
      <c r="O2096">
        <f>HYPERLINK("imagenes/NAUTICA_CLASSICS_Q622088_BLK_1.jpg","Ver imagen")</f>
        <v/>
      </c>
      <c r="P2096">
        <f>HYPERLINK("imagenes/NAUTICA_CLASSICS_Q622088_BLK_2.jpg","Ver imagen")</f>
        <v/>
      </c>
      <c r="Q2096">
        <f>HYPERLINK("imagenes/NAUTICA_CLASSICS_Q622088_BLK_3.jpg","Ver imagen")</f>
        <v/>
      </c>
    </row>
    <row r="2097">
      <c r="A2097" t="inlineStr">
        <is>
          <t>NAUTICA CLASSICS</t>
        </is>
      </c>
      <c r="B2097" t="inlineStr">
        <is>
          <t>Q622945</t>
        </is>
      </c>
      <c r="C2097" t="inlineStr">
        <is>
          <t>WOOL PEACOAT</t>
        </is>
      </c>
      <c r="D2097" t="inlineStr">
        <is>
          <t>BLK</t>
        </is>
      </c>
      <c r="E2097" t="inlineStr">
        <is>
          <t>(en blanco)</t>
        </is>
      </c>
      <c r="F2097" t="inlineStr">
        <is>
          <t>(en blanco)</t>
        </is>
      </c>
      <c r="G2097" t="inlineStr">
        <is>
          <t>M</t>
        </is>
      </c>
      <c r="H2097" t="n">
        <v>2</v>
      </c>
      <c r="I2097" t="inlineStr">
        <is>
          <t>NAUTICA_CLASSICS_Q622945_BLK_1.jpg</t>
        </is>
      </c>
      <c r="J2097" t="inlineStr">
        <is>
          <t>NAUTICA_CLASSICS_Q622945_BLK_2.jpg</t>
        </is>
      </c>
      <c r="K2097" t="inlineStr">
        <is>
          <t>NAUTICA_CLASSICS_Q622945_BLK_3.jpg</t>
        </is>
      </c>
      <c r="L2097">
        <f>IMAGE("file:///E:/Estudios%20y%20certificaciones/ESTUDIOS%20DE%20PROGRAMMING/PROGRAMMING/PERSONAL/PYTHON/Image_Generator_API/imagenes/NAUTICA_CLASSICS_Q622945_BLK_1.jpg")</f>
        <v/>
      </c>
      <c r="M2097">
        <f>IMAGE("file:///E:/Estudios%20y%20certificaciones/ESTUDIOS%20DE%20PROGRAMMING/PROGRAMMING/PERSONAL/PYTHON/Image_Generator_API/imagenes/NAUTICA_CLASSICS_Q622945_BLK_2.jpg")</f>
        <v/>
      </c>
      <c r="N2097">
        <f>IMAGE("file:///E:/Estudios%20y%20certificaciones/ESTUDIOS%20DE%20PROGRAMMING/PROGRAMMING/PERSONAL/PYTHON/Image_Generator_API/imagenes/NAUTICA_CLASSICS_Q622945_BLK_3.jpg")</f>
        <v/>
      </c>
      <c r="O2097">
        <f>HYPERLINK("imagenes/NAUTICA_CLASSICS_Q622945_BLK_1.jpg","Ver imagen")</f>
        <v/>
      </c>
      <c r="P2097">
        <f>HYPERLINK("imagenes/NAUTICA_CLASSICS_Q622945_BLK_2.jpg","Ver imagen")</f>
        <v/>
      </c>
      <c r="Q2097">
        <f>HYPERLINK("imagenes/NAUTICA_CLASSICS_Q622945_BLK_3.jpg","Ver imagen")</f>
        <v/>
      </c>
    </row>
    <row r="2098">
      <c r="A2098" t="inlineStr">
        <is>
          <t>NAUTICA CLASSICS</t>
        </is>
      </c>
      <c r="B2098" t="inlineStr">
        <is>
          <t>Q622945</t>
        </is>
      </c>
      <c r="C2098" t="inlineStr">
        <is>
          <t>WOOL PEACOAT</t>
        </is>
      </c>
      <c r="D2098" t="inlineStr">
        <is>
          <t>BLK</t>
        </is>
      </c>
      <c r="E2098" t="inlineStr">
        <is>
          <t>(en blanco)</t>
        </is>
      </c>
      <c r="F2098" t="inlineStr">
        <is>
          <t>(en blanco)</t>
        </is>
      </c>
      <c r="G2098" t="inlineStr">
        <is>
          <t>XXS</t>
        </is>
      </c>
      <c r="H2098" t="n">
        <v>5</v>
      </c>
      <c r="I2098" t="inlineStr">
        <is>
          <t>NAUTICA_CLASSICS_Q622945_BLK_1.jpg</t>
        </is>
      </c>
      <c r="J2098" t="inlineStr">
        <is>
          <t>NAUTICA_CLASSICS_Q622945_BLK_2.jpg</t>
        </is>
      </c>
      <c r="K2098" t="inlineStr">
        <is>
          <t>NAUTICA_CLASSICS_Q622945_BLK_3.jpg</t>
        </is>
      </c>
      <c r="L2098">
        <f>IMAGE("file:///E:/Estudios%20y%20certificaciones/ESTUDIOS%20DE%20PROGRAMMING/PROGRAMMING/PERSONAL/PYTHON/Image_Generator_API/imagenes/NAUTICA_CLASSICS_Q622945_BLK_1.jpg")</f>
        <v/>
      </c>
      <c r="M2098">
        <f>IMAGE("file:///E:/Estudios%20y%20certificaciones/ESTUDIOS%20DE%20PROGRAMMING/PROGRAMMING/PERSONAL/PYTHON/Image_Generator_API/imagenes/NAUTICA_CLASSICS_Q622945_BLK_2.jpg")</f>
        <v/>
      </c>
      <c r="N2098">
        <f>IMAGE("file:///E:/Estudios%20y%20certificaciones/ESTUDIOS%20DE%20PROGRAMMING/PROGRAMMING/PERSONAL/PYTHON/Image_Generator_API/imagenes/NAUTICA_CLASSICS_Q622945_BLK_3.jpg")</f>
        <v/>
      </c>
      <c r="O2098">
        <f>HYPERLINK("imagenes/NAUTICA_CLASSICS_Q622945_BLK_1.jpg","Ver imagen")</f>
        <v/>
      </c>
      <c r="P2098">
        <f>HYPERLINK("imagenes/NAUTICA_CLASSICS_Q622945_BLK_2.jpg","Ver imagen")</f>
        <v/>
      </c>
      <c r="Q2098">
        <f>HYPERLINK("imagenes/NAUTICA_CLASSICS_Q622945_BLK_3.jpg","Ver imagen")</f>
        <v/>
      </c>
    </row>
    <row r="2099">
      <c r="A2099" t="inlineStr">
        <is>
          <t>NAUTICA CLASSICS</t>
        </is>
      </c>
      <c r="B2099" t="inlineStr">
        <is>
          <t>Q622945</t>
        </is>
      </c>
      <c r="C2099" t="inlineStr">
        <is>
          <t>WOOL PEACOAT</t>
        </is>
      </c>
      <c r="D2099" t="inlineStr">
        <is>
          <t>CHR</t>
        </is>
      </c>
      <c r="E2099" t="inlineStr">
        <is>
          <t>(en blanco)</t>
        </is>
      </c>
      <c r="F2099" t="inlineStr">
        <is>
          <t>(en blanco)</t>
        </is>
      </c>
      <c r="G2099" t="inlineStr">
        <is>
          <t>M</t>
        </is>
      </c>
      <c r="H2099" t="n">
        <v>2</v>
      </c>
      <c r="I2099" t="inlineStr">
        <is>
          <t>NAUTICA_CLASSICS_Q622945_CHR_1.jpg</t>
        </is>
      </c>
      <c r="J2099" t="inlineStr">
        <is>
          <t>NAUTICA_CLASSICS_Q622945_CHR_2.jpg</t>
        </is>
      </c>
      <c r="K2099" t="inlineStr">
        <is>
          <t>NAUTICA_CLASSICS_Q622945_CHR_3.jpg</t>
        </is>
      </c>
      <c r="L2099">
        <f>IMAGE("file:///E:/Estudios%20y%20certificaciones/ESTUDIOS%20DE%20PROGRAMMING/PROGRAMMING/PERSONAL/PYTHON/Image_Generator_API/imagenes/NAUTICA_CLASSICS_Q622945_CHR_1.jpg")</f>
        <v/>
      </c>
      <c r="M2099">
        <f>IMAGE("file:///E:/Estudios%20y%20certificaciones/ESTUDIOS%20DE%20PROGRAMMING/PROGRAMMING/PERSONAL/PYTHON/Image_Generator_API/imagenes/NAUTICA_CLASSICS_Q622945_CHR_2.jpg")</f>
        <v/>
      </c>
      <c r="N2099">
        <f>IMAGE("file:///E:/Estudios%20y%20certificaciones/ESTUDIOS%20DE%20PROGRAMMING/PROGRAMMING/PERSONAL/PYTHON/Image_Generator_API/imagenes/NAUTICA_CLASSICS_Q622945_CHR_3.jpg")</f>
        <v/>
      </c>
      <c r="O2099">
        <f>HYPERLINK("imagenes/NAUTICA_CLASSICS_Q622945_CHR_1.jpg","Ver imagen")</f>
        <v/>
      </c>
      <c r="P2099">
        <f>HYPERLINK("imagenes/NAUTICA_CLASSICS_Q622945_CHR_2.jpg","Ver imagen")</f>
        <v/>
      </c>
      <c r="Q2099">
        <f>HYPERLINK("imagenes/NAUTICA_CLASSICS_Q622945_CHR_3.jpg","Ver imagen")</f>
        <v/>
      </c>
    </row>
    <row r="2100">
      <c r="A2100" t="inlineStr">
        <is>
          <t>NAUTICA CLASSICS</t>
        </is>
      </c>
      <c r="B2100" t="inlineStr">
        <is>
          <t>Q622945</t>
        </is>
      </c>
      <c r="C2100" t="inlineStr">
        <is>
          <t>WOOL PEACOAT</t>
        </is>
      </c>
      <c r="D2100" t="inlineStr">
        <is>
          <t>NAR</t>
        </is>
      </c>
      <c r="E2100" t="inlineStr">
        <is>
          <t>(en blanco)</t>
        </is>
      </c>
      <c r="F2100" t="inlineStr">
        <is>
          <t>(en blanco)</t>
        </is>
      </c>
      <c r="G2100" t="inlineStr">
        <is>
          <t>M</t>
        </is>
      </c>
      <c r="H2100" t="n">
        <v>1</v>
      </c>
      <c r="I2100" t="inlineStr">
        <is>
          <t>NAUTICA_CLASSICS_Q622945_NAR_1.jpg</t>
        </is>
      </c>
      <c r="J2100" t="inlineStr">
        <is>
          <t>NAUTICA_CLASSICS_Q622945_NAR_2.jpg</t>
        </is>
      </c>
      <c r="K2100" t="inlineStr">
        <is>
          <t>NAUTICA_CLASSICS_Q622945_NAR_3.jpg</t>
        </is>
      </c>
      <c r="L2100">
        <f>IMAGE("file:///E:/Estudios%20y%20certificaciones/ESTUDIOS%20DE%20PROGRAMMING/PROGRAMMING/PERSONAL/PYTHON/Image_Generator_API/imagenes/NAUTICA_CLASSICS_Q622945_NAR_1.jpg")</f>
        <v/>
      </c>
      <c r="M2100">
        <f>IMAGE("file:///E:/Estudios%20y%20certificaciones/ESTUDIOS%20DE%20PROGRAMMING/PROGRAMMING/PERSONAL/PYTHON/Image_Generator_API/imagenes/NAUTICA_CLASSICS_Q622945_NAR_2.jpg")</f>
        <v/>
      </c>
      <c r="N2100">
        <f>IMAGE("file:///E:/Estudios%20y%20certificaciones/ESTUDIOS%20DE%20PROGRAMMING/PROGRAMMING/PERSONAL/PYTHON/Image_Generator_API/imagenes/NAUTICA_CLASSICS_Q622945_NAR_3.jpg")</f>
        <v/>
      </c>
      <c r="O2100">
        <f>HYPERLINK("imagenes/NAUTICA_CLASSICS_Q622945_NAR_1.jpg","Ver imagen")</f>
        <v/>
      </c>
      <c r="P2100">
        <f>HYPERLINK("imagenes/NAUTICA_CLASSICS_Q622945_NAR_2.jpg","Ver imagen")</f>
        <v/>
      </c>
      <c r="Q2100">
        <f>HYPERLINK("imagenes/NAUTICA_CLASSICS_Q622945_NAR_3.jpg","Ver imagen")</f>
        <v/>
      </c>
    </row>
    <row r="2101">
      <c r="A2101" t="inlineStr">
        <is>
          <t>NAUTICA CLASSICS</t>
        </is>
      </c>
      <c r="B2101" t="inlineStr">
        <is>
          <t>Q622945</t>
        </is>
      </c>
      <c r="C2101" t="inlineStr">
        <is>
          <t>WOOL PEACOAT</t>
        </is>
      </c>
      <c r="D2101" t="inlineStr">
        <is>
          <t>NSS</t>
        </is>
      </c>
      <c r="E2101" t="inlineStr">
        <is>
          <t>(en blanco)</t>
        </is>
      </c>
      <c r="F2101" t="inlineStr">
        <is>
          <t>(en blanco)</t>
        </is>
      </c>
      <c r="G2101" t="inlineStr">
        <is>
          <t>M</t>
        </is>
      </c>
      <c r="H2101" t="n">
        <v>3</v>
      </c>
      <c r="I2101" t="inlineStr">
        <is>
          <t>NAUTICA_CLASSICS_Q622945_NSS_1.jpg</t>
        </is>
      </c>
      <c r="J2101" t="inlineStr">
        <is>
          <t>NAUTICA_CLASSICS_Q622945_NSS_2.jpg</t>
        </is>
      </c>
      <c r="K2101" t="inlineStr">
        <is>
          <t>NAUTICA_CLASSICS_Q622945_NSS_3.jpg</t>
        </is>
      </c>
      <c r="L2101">
        <f>IMAGE("file:///E:/Estudios%20y%20certificaciones/ESTUDIOS%20DE%20PROGRAMMING/PROGRAMMING/PERSONAL/PYTHON/Image_Generator_API/imagenes/NAUTICA_CLASSICS_Q622945_NSS_1.jpg")</f>
        <v/>
      </c>
      <c r="M2101">
        <f>IMAGE("file:///E:/Estudios%20y%20certificaciones/ESTUDIOS%20DE%20PROGRAMMING/PROGRAMMING/PERSONAL/PYTHON/Image_Generator_API/imagenes/NAUTICA_CLASSICS_Q622945_NSS_2.jpg")</f>
        <v/>
      </c>
      <c r="N2101">
        <f>IMAGE("file:///E:/Estudios%20y%20certificaciones/ESTUDIOS%20DE%20PROGRAMMING/PROGRAMMING/PERSONAL/PYTHON/Image_Generator_API/imagenes/NAUTICA_CLASSICS_Q622945_NSS_3.jpg")</f>
        <v/>
      </c>
      <c r="O2101">
        <f>HYPERLINK("imagenes/NAUTICA_CLASSICS_Q622945_NSS_1.jpg","Ver imagen")</f>
        <v/>
      </c>
      <c r="P2101">
        <f>HYPERLINK("imagenes/NAUTICA_CLASSICS_Q622945_NSS_2.jpg","Ver imagen")</f>
        <v/>
      </c>
      <c r="Q2101">
        <f>HYPERLINK("imagenes/NAUTICA_CLASSICS_Q622945_NSS_3.jpg","Ver imagen")</f>
        <v/>
      </c>
    </row>
    <row r="2102">
      <c r="A2102" t="inlineStr">
        <is>
          <t>NAUTICA CLASSICS</t>
        </is>
      </c>
      <c r="B2102" t="inlineStr">
        <is>
          <t>Q622952</t>
        </is>
      </c>
      <c r="C2102" t="inlineStr">
        <is>
          <t>BUTTON FRONT WOOL</t>
        </is>
      </c>
      <c r="D2102" t="inlineStr">
        <is>
          <t>CHR</t>
        </is>
      </c>
      <c r="E2102" t="inlineStr">
        <is>
          <t>(en blanco)</t>
        </is>
      </c>
      <c r="F2102" t="inlineStr">
        <is>
          <t>(en blanco)</t>
        </is>
      </c>
      <c r="G2102" t="inlineStr">
        <is>
          <t>S</t>
        </is>
      </c>
      <c r="H2102" t="n">
        <v>1</v>
      </c>
      <c r="I2102" t="inlineStr">
        <is>
          <t>NAUTICA_CLASSICS_Q622952_CHR_1.jpg</t>
        </is>
      </c>
      <c r="J2102" t="inlineStr">
        <is>
          <t>NAUTICA_CLASSICS_Q622952_CHR_2.jpg</t>
        </is>
      </c>
      <c r="K2102" t="inlineStr">
        <is>
          <t>NAUTICA_CLASSICS_Q622952_CHR_3.jpg</t>
        </is>
      </c>
      <c r="L2102">
        <f>IMAGE("file:///E:/Estudios%20y%20certificaciones/ESTUDIOS%20DE%20PROGRAMMING/PROGRAMMING/PERSONAL/PYTHON/Image_Generator_API/imagenes/NAUTICA_CLASSICS_Q622952_CHR_1.jpg")</f>
        <v/>
      </c>
      <c r="M2102">
        <f>IMAGE("file:///E:/Estudios%20y%20certificaciones/ESTUDIOS%20DE%20PROGRAMMING/PROGRAMMING/PERSONAL/PYTHON/Image_Generator_API/imagenes/NAUTICA_CLASSICS_Q622952_CHR_2.jpg")</f>
        <v/>
      </c>
      <c r="N2102">
        <f>IMAGE("file:///E:/Estudios%20y%20certificaciones/ESTUDIOS%20DE%20PROGRAMMING/PROGRAMMING/PERSONAL/PYTHON/Image_Generator_API/imagenes/NAUTICA_CLASSICS_Q622952_CHR_3.jpg")</f>
        <v/>
      </c>
      <c r="O2102">
        <f>HYPERLINK("imagenes/NAUTICA_CLASSICS_Q622952_CHR_1.jpg","Ver imagen")</f>
        <v/>
      </c>
      <c r="P2102">
        <f>HYPERLINK("imagenes/NAUTICA_CLASSICS_Q622952_CHR_2.jpg","Ver imagen")</f>
        <v/>
      </c>
      <c r="Q2102">
        <f>HYPERLINK("imagenes/NAUTICA_CLASSICS_Q622952_CHR_3.jpg","Ver imagen")</f>
        <v/>
      </c>
    </row>
    <row r="2103">
      <c r="A2103" t="inlineStr">
        <is>
          <t>NAUTICA CLASSICS</t>
        </is>
      </c>
      <c r="B2103" t="inlineStr">
        <is>
          <t>Q622952</t>
        </is>
      </c>
      <c r="C2103" t="inlineStr">
        <is>
          <t>BUTTON FRONT WOOL</t>
        </is>
      </c>
      <c r="D2103" t="inlineStr">
        <is>
          <t>CHR</t>
        </is>
      </c>
      <c r="E2103" t="inlineStr">
        <is>
          <t>(en blanco)</t>
        </is>
      </c>
      <c r="F2103" t="inlineStr">
        <is>
          <t>(en blanco)</t>
        </is>
      </c>
      <c r="G2103" t="inlineStr">
        <is>
          <t>L</t>
        </is>
      </c>
      <c r="H2103" t="n">
        <v>5</v>
      </c>
      <c r="I2103" t="inlineStr">
        <is>
          <t>NAUTICA_CLASSICS_Q622952_CHR_1.jpg</t>
        </is>
      </c>
      <c r="J2103" t="inlineStr">
        <is>
          <t>NAUTICA_CLASSICS_Q622952_CHR_2.jpg</t>
        </is>
      </c>
      <c r="K2103" t="inlineStr">
        <is>
          <t>NAUTICA_CLASSICS_Q622952_CHR_3.jpg</t>
        </is>
      </c>
      <c r="L2103">
        <f>IMAGE("file:///E:/Estudios%20y%20certificaciones/ESTUDIOS%20DE%20PROGRAMMING/PROGRAMMING/PERSONAL/PYTHON/Image_Generator_API/imagenes/NAUTICA_CLASSICS_Q622952_CHR_1.jpg")</f>
        <v/>
      </c>
      <c r="M2103">
        <f>IMAGE("file:///E:/Estudios%20y%20certificaciones/ESTUDIOS%20DE%20PROGRAMMING/PROGRAMMING/PERSONAL/PYTHON/Image_Generator_API/imagenes/NAUTICA_CLASSICS_Q622952_CHR_2.jpg")</f>
        <v/>
      </c>
      <c r="N2103">
        <f>IMAGE("file:///E:/Estudios%20y%20certificaciones/ESTUDIOS%20DE%20PROGRAMMING/PROGRAMMING/PERSONAL/PYTHON/Image_Generator_API/imagenes/NAUTICA_CLASSICS_Q622952_CHR_3.jpg")</f>
        <v/>
      </c>
      <c r="O2103">
        <f>HYPERLINK("imagenes/NAUTICA_CLASSICS_Q622952_CHR_1.jpg","Ver imagen")</f>
        <v/>
      </c>
      <c r="P2103">
        <f>HYPERLINK("imagenes/NAUTICA_CLASSICS_Q622952_CHR_2.jpg","Ver imagen")</f>
        <v/>
      </c>
      <c r="Q2103">
        <f>HYPERLINK("imagenes/NAUTICA_CLASSICS_Q622952_CHR_3.jpg","Ver imagen")</f>
        <v/>
      </c>
    </row>
    <row r="2104">
      <c r="A2104" t="inlineStr">
        <is>
          <t>NAUTICA CLASSICS</t>
        </is>
      </c>
      <c r="B2104" t="inlineStr">
        <is>
          <t>Q622952</t>
        </is>
      </c>
      <c r="C2104" t="inlineStr">
        <is>
          <t>BUTTON FRONT WOOL</t>
        </is>
      </c>
      <c r="D2104" t="inlineStr">
        <is>
          <t>CHR</t>
        </is>
      </c>
      <c r="E2104" t="inlineStr">
        <is>
          <t>(en blanco)</t>
        </is>
      </c>
      <c r="F2104" t="inlineStr">
        <is>
          <t>(en blanco)</t>
        </is>
      </c>
      <c r="G2104" t="inlineStr">
        <is>
          <t>XL</t>
        </is>
      </c>
      <c r="H2104" t="n">
        <v>1</v>
      </c>
      <c r="I2104" t="inlineStr">
        <is>
          <t>NAUTICA_CLASSICS_Q622952_CHR_1.jpg</t>
        </is>
      </c>
      <c r="J2104" t="inlineStr">
        <is>
          <t>NAUTICA_CLASSICS_Q622952_CHR_2.jpg</t>
        </is>
      </c>
      <c r="K2104" t="inlineStr">
        <is>
          <t>NAUTICA_CLASSICS_Q622952_CHR_3.jpg</t>
        </is>
      </c>
      <c r="L2104">
        <f>IMAGE("file:///E:/Estudios%20y%20certificaciones/ESTUDIOS%20DE%20PROGRAMMING/PROGRAMMING/PERSONAL/PYTHON/Image_Generator_API/imagenes/NAUTICA_CLASSICS_Q622952_CHR_1.jpg")</f>
        <v/>
      </c>
      <c r="M2104">
        <f>IMAGE("file:///E:/Estudios%20y%20certificaciones/ESTUDIOS%20DE%20PROGRAMMING/PROGRAMMING/PERSONAL/PYTHON/Image_Generator_API/imagenes/NAUTICA_CLASSICS_Q622952_CHR_2.jpg")</f>
        <v/>
      </c>
      <c r="N2104">
        <f>IMAGE("file:///E:/Estudios%20y%20certificaciones/ESTUDIOS%20DE%20PROGRAMMING/PROGRAMMING/PERSONAL/PYTHON/Image_Generator_API/imagenes/NAUTICA_CLASSICS_Q622952_CHR_3.jpg")</f>
        <v/>
      </c>
      <c r="O2104">
        <f>HYPERLINK("imagenes/NAUTICA_CLASSICS_Q622952_CHR_1.jpg","Ver imagen")</f>
        <v/>
      </c>
      <c r="P2104">
        <f>HYPERLINK("imagenes/NAUTICA_CLASSICS_Q622952_CHR_2.jpg","Ver imagen")</f>
        <v/>
      </c>
      <c r="Q2104">
        <f>HYPERLINK("imagenes/NAUTICA_CLASSICS_Q622952_CHR_3.jpg","Ver imagen")</f>
        <v/>
      </c>
    </row>
    <row r="2105">
      <c r="A2105" t="inlineStr">
        <is>
          <t>NAUTICA CLASSICS</t>
        </is>
      </c>
      <c r="B2105" t="inlineStr">
        <is>
          <t>Q622952</t>
        </is>
      </c>
      <c r="C2105" t="inlineStr">
        <is>
          <t>BUTTON FRONT WOOL</t>
        </is>
      </c>
      <c r="D2105" t="inlineStr">
        <is>
          <t>CHR</t>
        </is>
      </c>
      <c r="E2105" t="inlineStr">
        <is>
          <t>(en blanco)</t>
        </is>
      </c>
      <c r="F2105" t="inlineStr">
        <is>
          <t>(en blanco)</t>
        </is>
      </c>
      <c r="G2105" t="inlineStr">
        <is>
          <t>XXL</t>
        </is>
      </c>
      <c r="H2105" t="n">
        <v>1</v>
      </c>
      <c r="I2105" t="inlineStr">
        <is>
          <t>NAUTICA_CLASSICS_Q622952_CHR_1.jpg</t>
        </is>
      </c>
      <c r="J2105" t="inlineStr">
        <is>
          <t>NAUTICA_CLASSICS_Q622952_CHR_2.jpg</t>
        </is>
      </c>
      <c r="K2105" t="inlineStr">
        <is>
          <t>NAUTICA_CLASSICS_Q622952_CHR_3.jpg</t>
        </is>
      </c>
      <c r="L2105">
        <f>IMAGE("file:///E:/Estudios%20y%20certificaciones/ESTUDIOS%20DE%20PROGRAMMING/PROGRAMMING/PERSONAL/PYTHON/Image_Generator_API/imagenes/NAUTICA_CLASSICS_Q622952_CHR_1.jpg")</f>
        <v/>
      </c>
      <c r="M2105">
        <f>IMAGE("file:///E:/Estudios%20y%20certificaciones/ESTUDIOS%20DE%20PROGRAMMING/PROGRAMMING/PERSONAL/PYTHON/Image_Generator_API/imagenes/NAUTICA_CLASSICS_Q622952_CHR_2.jpg")</f>
        <v/>
      </c>
      <c r="N2105">
        <f>IMAGE("file:///E:/Estudios%20y%20certificaciones/ESTUDIOS%20DE%20PROGRAMMING/PROGRAMMING/PERSONAL/PYTHON/Image_Generator_API/imagenes/NAUTICA_CLASSICS_Q622952_CHR_3.jpg")</f>
        <v/>
      </c>
      <c r="O2105">
        <f>HYPERLINK("imagenes/NAUTICA_CLASSICS_Q622952_CHR_1.jpg","Ver imagen")</f>
        <v/>
      </c>
      <c r="P2105">
        <f>HYPERLINK("imagenes/NAUTICA_CLASSICS_Q622952_CHR_2.jpg","Ver imagen")</f>
        <v/>
      </c>
      <c r="Q2105">
        <f>HYPERLINK("imagenes/NAUTICA_CLASSICS_Q622952_CHR_3.jpg","Ver imagen")</f>
        <v/>
      </c>
    </row>
    <row r="2106">
      <c r="A2106" t="inlineStr">
        <is>
          <t>NAUTICA CLASSICS</t>
        </is>
      </c>
      <c r="B2106" t="inlineStr">
        <is>
          <t>Q622952</t>
        </is>
      </c>
      <c r="C2106" t="inlineStr">
        <is>
          <t>BUTTON FRONT WOOL</t>
        </is>
      </c>
      <c r="D2106" t="inlineStr">
        <is>
          <t>NSS</t>
        </is>
      </c>
      <c r="E2106" t="inlineStr">
        <is>
          <t>(en blanco)</t>
        </is>
      </c>
      <c r="F2106" t="inlineStr">
        <is>
          <t>(en blanco)</t>
        </is>
      </c>
      <c r="G2106" t="inlineStr">
        <is>
          <t>XXL</t>
        </is>
      </c>
      <c r="H2106" t="n">
        <v>1</v>
      </c>
      <c r="I2106" t="inlineStr">
        <is>
          <t>NAUTICA_CLASSICS_Q622952_NSS_1.jpg</t>
        </is>
      </c>
      <c r="J2106" t="inlineStr">
        <is>
          <t>NAUTICA_CLASSICS_Q622952_NSS_2.jpg</t>
        </is>
      </c>
      <c r="K2106" t="inlineStr">
        <is>
          <t>NAUTICA_CLASSICS_Q622952_NSS_3.jpg</t>
        </is>
      </c>
      <c r="L2106">
        <f>IMAGE("file:///E:/Estudios%20y%20certificaciones/ESTUDIOS%20DE%20PROGRAMMING/PROGRAMMING/PERSONAL/PYTHON/Image_Generator_API/imagenes/NAUTICA_CLASSICS_Q622952_NSS_1.jpg")</f>
        <v/>
      </c>
      <c r="M2106">
        <f>IMAGE("file:///E:/Estudios%20y%20certificaciones/ESTUDIOS%20DE%20PROGRAMMING/PROGRAMMING/PERSONAL/PYTHON/Image_Generator_API/imagenes/NAUTICA_CLASSICS_Q622952_NSS_2.jpg")</f>
        <v/>
      </c>
      <c r="N2106">
        <f>IMAGE("file:///E:/Estudios%20y%20certificaciones/ESTUDIOS%20DE%20PROGRAMMING/PROGRAMMING/PERSONAL/PYTHON/Image_Generator_API/imagenes/NAUTICA_CLASSICS_Q622952_NSS_3.jpg")</f>
        <v/>
      </c>
      <c r="O2106">
        <f>HYPERLINK("imagenes/NAUTICA_CLASSICS_Q622952_NSS_1.jpg","Ver imagen")</f>
        <v/>
      </c>
      <c r="P2106">
        <f>HYPERLINK("imagenes/NAUTICA_CLASSICS_Q622952_NSS_2.jpg","Ver imagen")</f>
        <v/>
      </c>
      <c r="Q2106">
        <f>HYPERLINK("imagenes/NAUTICA_CLASSICS_Q622952_NSS_3.jpg","Ver imagen")</f>
        <v/>
      </c>
    </row>
    <row r="2107">
      <c r="A2107" t="inlineStr">
        <is>
          <t>NAUTICA CLASSICS</t>
        </is>
      </c>
      <c r="B2107" t="inlineStr">
        <is>
          <t>Q624110X</t>
        </is>
      </c>
      <c r="C2107" t="inlineStr">
        <is>
          <t>MARSHMALLOW LT WT</t>
        </is>
      </c>
      <c r="D2107" t="inlineStr">
        <is>
          <t>BLK</t>
        </is>
      </c>
      <c r="E2107" t="inlineStr">
        <is>
          <t>(en blanco)</t>
        </is>
      </c>
      <c r="F2107" t="inlineStr">
        <is>
          <t>(en blanco)</t>
        </is>
      </c>
      <c r="G2107" t="inlineStr">
        <is>
          <t>L</t>
        </is>
      </c>
      <c r="H2107" t="n">
        <v>1</v>
      </c>
      <c r="I2107" t="inlineStr">
        <is>
          <t>NAUTICA_CLASSICS_Q624110X_BLK_1.jpg</t>
        </is>
      </c>
      <c r="J2107" t="inlineStr">
        <is>
          <t>NAUTICA_CLASSICS_Q624110X_BLK_2.jpg</t>
        </is>
      </c>
      <c r="K2107" t="inlineStr">
        <is>
          <t>NAUTICA_CLASSICS_Q624110X_BLK_3.jpg</t>
        </is>
      </c>
      <c r="L2107">
        <f>IMAGE("file:///E:/Estudios%20y%20certificaciones/ESTUDIOS%20DE%20PROGRAMMING/PROGRAMMING/PERSONAL/PYTHON/Image_Generator_API/imagenes/NAUTICA_CLASSICS_Q624110X_BLK_1.jpg")</f>
        <v/>
      </c>
      <c r="M2107">
        <f>IMAGE("file:///E:/Estudios%20y%20certificaciones/ESTUDIOS%20DE%20PROGRAMMING/PROGRAMMING/PERSONAL/PYTHON/Image_Generator_API/imagenes/NAUTICA_CLASSICS_Q624110X_BLK_2.jpg")</f>
        <v/>
      </c>
      <c r="N2107">
        <f>IMAGE("file:///E:/Estudios%20y%20certificaciones/ESTUDIOS%20DE%20PROGRAMMING/PROGRAMMING/PERSONAL/PYTHON/Image_Generator_API/imagenes/NAUTICA_CLASSICS_Q624110X_BLK_3.jpg")</f>
        <v/>
      </c>
      <c r="O2107">
        <f>HYPERLINK("imagenes/NAUTICA_CLASSICS_Q624110X_BLK_1.jpg","Ver imagen")</f>
        <v/>
      </c>
      <c r="P2107">
        <f>HYPERLINK("imagenes/NAUTICA_CLASSICS_Q624110X_BLK_2.jpg","Ver imagen")</f>
        <v/>
      </c>
      <c r="Q2107">
        <f>HYPERLINK("imagenes/NAUTICA_CLASSICS_Q624110X_BLK_3.jpg","Ver imagen")</f>
        <v/>
      </c>
    </row>
    <row r="2108">
      <c r="A2108" t="inlineStr">
        <is>
          <t>NAUTICA CLASSICS</t>
        </is>
      </c>
      <c r="B2108" t="inlineStr">
        <is>
          <t>Q624137</t>
        </is>
      </c>
      <c r="C2108" t="inlineStr">
        <is>
          <t>SHORT MRSHMLO W/KNSL</t>
        </is>
      </c>
      <c r="D2108" t="inlineStr">
        <is>
          <t>BLK</t>
        </is>
      </c>
      <c r="E2108" t="inlineStr">
        <is>
          <t>(en blanco)</t>
        </is>
      </c>
      <c r="F2108" t="inlineStr">
        <is>
          <t>(en blanco)</t>
        </is>
      </c>
      <c r="G2108" t="inlineStr">
        <is>
          <t>XS</t>
        </is>
      </c>
      <c r="H2108" t="n">
        <v>9</v>
      </c>
      <c r="I2108" t="inlineStr">
        <is>
          <t>NAUTICA_CLASSICS_Q624137_BLK_1.jpg</t>
        </is>
      </c>
      <c r="J2108" t="inlineStr">
        <is>
          <t>NAUTICA_CLASSICS_Q624137_BLK_2.jpg</t>
        </is>
      </c>
      <c r="K2108" t="inlineStr">
        <is>
          <t>NAUTICA_CLASSICS_Q624137_BLK_3.jpg</t>
        </is>
      </c>
      <c r="L2108">
        <f>IMAGE("file:///E:/Estudios%20y%20certificaciones/ESTUDIOS%20DE%20PROGRAMMING/PROGRAMMING/PERSONAL/PYTHON/Image_Generator_API/imagenes/NAUTICA_CLASSICS_Q624137_BLK_1.jpg")</f>
        <v/>
      </c>
      <c r="M2108">
        <f>IMAGE("file:///E:/Estudios%20y%20certificaciones/ESTUDIOS%20DE%20PROGRAMMING/PROGRAMMING/PERSONAL/PYTHON/Image_Generator_API/imagenes/NAUTICA_CLASSICS_Q624137_BLK_2.jpg")</f>
        <v/>
      </c>
      <c r="N2108">
        <f>IMAGE("file:///E:/Estudios%20y%20certificaciones/ESTUDIOS%20DE%20PROGRAMMING/PROGRAMMING/PERSONAL/PYTHON/Image_Generator_API/imagenes/NAUTICA_CLASSICS_Q624137_BLK_3.jpg")</f>
        <v/>
      </c>
      <c r="O2108">
        <f>HYPERLINK("imagenes/NAUTICA_CLASSICS_Q624137_BLK_1.jpg","Ver imagen")</f>
        <v/>
      </c>
      <c r="P2108">
        <f>HYPERLINK("imagenes/NAUTICA_CLASSICS_Q624137_BLK_2.jpg","Ver imagen")</f>
        <v/>
      </c>
      <c r="Q2108">
        <f>HYPERLINK("imagenes/NAUTICA_CLASSICS_Q624137_BLK_3.jpg","Ver imagen")</f>
        <v/>
      </c>
    </row>
    <row r="2109">
      <c r="A2109" t="inlineStr">
        <is>
          <t>NAUTICA CLASSICS</t>
        </is>
      </c>
      <c r="B2109" t="inlineStr">
        <is>
          <t>Q624137</t>
        </is>
      </c>
      <c r="C2109" t="inlineStr">
        <is>
          <t>SHORT MRSHMLO W/KNSL</t>
        </is>
      </c>
      <c r="D2109" t="inlineStr">
        <is>
          <t>BLK</t>
        </is>
      </c>
      <c r="E2109" t="inlineStr">
        <is>
          <t>(en blanco)</t>
        </is>
      </c>
      <c r="F2109" t="inlineStr">
        <is>
          <t>(en blanco)</t>
        </is>
      </c>
      <c r="G2109" t="inlineStr">
        <is>
          <t>S</t>
        </is>
      </c>
      <c r="H2109" t="n">
        <v>6</v>
      </c>
      <c r="I2109" t="inlineStr">
        <is>
          <t>NAUTICA_CLASSICS_Q624137_BLK_1.jpg</t>
        </is>
      </c>
      <c r="J2109" t="inlineStr">
        <is>
          <t>NAUTICA_CLASSICS_Q624137_BLK_2.jpg</t>
        </is>
      </c>
      <c r="K2109" t="inlineStr">
        <is>
          <t>NAUTICA_CLASSICS_Q624137_BLK_3.jpg</t>
        </is>
      </c>
      <c r="L2109">
        <f>IMAGE("file:///E:/Estudios%20y%20certificaciones/ESTUDIOS%20DE%20PROGRAMMING/PROGRAMMING/PERSONAL/PYTHON/Image_Generator_API/imagenes/NAUTICA_CLASSICS_Q624137_BLK_1.jpg")</f>
        <v/>
      </c>
      <c r="M2109">
        <f>IMAGE("file:///E:/Estudios%20y%20certificaciones/ESTUDIOS%20DE%20PROGRAMMING/PROGRAMMING/PERSONAL/PYTHON/Image_Generator_API/imagenes/NAUTICA_CLASSICS_Q624137_BLK_2.jpg")</f>
        <v/>
      </c>
      <c r="N2109">
        <f>IMAGE("file:///E:/Estudios%20y%20certificaciones/ESTUDIOS%20DE%20PROGRAMMING/PROGRAMMING/PERSONAL/PYTHON/Image_Generator_API/imagenes/NAUTICA_CLASSICS_Q624137_BLK_3.jpg")</f>
        <v/>
      </c>
      <c r="O2109">
        <f>HYPERLINK("imagenes/NAUTICA_CLASSICS_Q624137_BLK_1.jpg","Ver imagen")</f>
        <v/>
      </c>
      <c r="P2109">
        <f>HYPERLINK("imagenes/NAUTICA_CLASSICS_Q624137_BLK_2.jpg","Ver imagen")</f>
        <v/>
      </c>
      <c r="Q2109">
        <f>HYPERLINK("imagenes/NAUTICA_CLASSICS_Q624137_BLK_3.jpg","Ver imagen")</f>
        <v/>
      </c>
    </row>
    <row r="2110">
      <c r="A2110" t="inlineStr">
        <is>
          <t>NAUTICA CLASSICS</t>
        </is>
      </c>
      <c r="B2110" t="inlineStr">
        <is>
          <t>Q624137</t>
        </is>
      </c>
      <c r="C2110" t="inlineStr">
        <is>
          <t>SHORT MRSHMLO W/KNSL</t>
        </is>
      </c>
      <c r="D2110" t="inlineStr">
        <is>
          <t>BLK</t>
        </is>
      </c>
      <c r="E2110" t="inlineStr">
        <is>
          <t>(en blanco)</t>
        </is>
      </c>
      <c r="F2110" t="inlineStr">
        <is>
          <t>(en blanco)</t>
        </is>
      </c>
      <c r="G2110" t="inlineStr">
        <is>
          <t>M</t>
        </is>
      </c>
      <c r="H2110" t="n">
        <v>2</v>
      </c>
      <c r="I2110" t="inlineStr">
        <is>
          <t>NAUTICA_CLASSICS_Q624137_BLK_1.jpg</t>
        </is>
      </c>
      <c r="J2110" t="inlineStr">
        <is>
          <t>NAUTICA_CLASSICS_Q624137_BLK_2.jpg</t>
        </is>
      </c>
      <c r="K2110" t="inlineStr">
        <is>
          <t>NAUTICA_CLASSICS_Q624137_BLK_3.jpg</t>
        </is>
      </c>
      <c r="L2110">
        <f>IMAGE("file:///E:/Estudios%20y%20certificaciones/ESTUDIOS%20DE%20PROGRAMMING/PROGRAMMING/PERSONAL/PYTHON/Image_Generator_API/imagenes/NAUTICA_CLASSICS_Q624137_BLK_1.jpg")</f>
        <v/>
      </c>
      <c r="M2110">
        <f>IMAGE("file:///E:/Estudios%20y%20certificaciones/ESTUDIOS%20DE%20PROGRAMMING/PROGRAMMING/PERSONAL/PYTHON/Image_Generator_API/imagenes/NAUTICA_CLASSICS_Q624137_BLK_2.jpg")</f>
        <v/>
      </c>
      <c r="N2110">
        <f>IMAGE("file:///E:/Estudios%20y%20certificaciones/ESTUDIOS%20DE%20PROGRAMMING/PROGRAMMING/PERSONAL/PYTHON/Image_Generator_API/imagenes/NAUTICA_CLASSICS_Q624137_BLK_3.jpg")</f>
        <v/>
      </c>
      <c r="O2110">
        <f>HYPERLINK("imagenes/NAUTICA_CLASSICS_Q624137_BLK_1.jpg","Ver imagen")</f>
        <v/>
      </c>
      <c r="P2110">
        <f>HYPERLINK("imagenes/NAUTICA_CLASSICS_Q624137_BLK_2.jpg","Ver imagen")</f>
        <v/>
      </c>
      <c r="Q2110">
        <f>HYPERLINK("imagenes/NAUTICA_CLASSICS_Q624137_BLK_3.jpg","Ver imagen")</f>
        <v/>
      </c>
    </row>
    <row r="2111">
      <c r="A2111" t="inlineStr">
        <is>
          <t>NAUTICA CLASSICS</t>
        </is>
      </c>
      <c r="B2111" t="inlineStr">
        <is>
          <t>Q624137</t>
        </is>
      </c>
      <c r="C2111" t="inlineStr">
        <is>
          <t>SHORT MRSHMLO W/KNSL</t>
        </is>
      </c>
      <c r="D2111" t="inlineStr">
        <is>
          <t>BLK</t>
        </is>
      </c>
      <c r="E2111" t="inlineStr">
        <is>
          <t>(en blanco)</t>
        </is>
      </c>
      <c r="F2111" t="inlineStr">
        <is>
          <t>(en blanco)</t>
        </is>
      </c>
      <c r="G2111" t="inlineStr">
        <is>
          <t>L</t>
        </is>
      </c>
      <c r="H2111" t="n">
        <v>6</v>
      </c>
      <c r="I2111" t="inlineStr">
        <is>
          <t>NAUTICA_CLASSICS_Q624137_BLK_1.jpg</t>
        </is>
      </c>
      <c r="J2111" t="inlineStr">
        <is>
          <t>NAUTICA_CLASSICS_Q624137_BLK_2.jpg</t>
        </is>
      </c>
      <c r="K2111" t="inlineStr">
        <is>
          <t>NAUTICA_CLASSICS_Q624137_BLK_3.jpg</t>
        </is>
      </c>
      <c r="L2111">
        <f>IMAGE("file:///E:/Estudios%20y%20certificaciones/ESTUDIOS%20DE%20PROGRAMMING/PROGRAMMING/PERSONAL/PYTHON/Image_Generator_API/imagenes/NAUTICA_CLASSICS_Q624137_BLK_1.jpg")</f>
        <v/>
      </c>
      <c r="M2111">
        <f>IMAGE("file:///E:/Estudios%20y%20certificaciones/ESTUDIOS%20DE%20PROGRAMMING/PROGRAMMING/PERSONAL/PYTHON/Image_Generator_API/imagenes/NAUTICA_CLASSICS_Q624137_BLK_2.jpg")</f>
        <v/>
      </c>
      <c r="N2111">
        <f>IMAGE("file:///E:/Estudios%20y%20certificaciones/ESTUDIOS%20DE%20PROGRAMMING/PROGRAMMING/PERSONAL/PYTHON/Image_Generator_API/imagenes/NAUTICA_CLASSICS_Q624137_BLK_3.jpg")</f>
        <v/>
      </c>
      <c r="O2111">
        <f>HYPERLINK("imagenes/NAUTICA_CLASSICS_Q624137_BLK_1.jpg","Ver imagen")</f>
        <v/>
      </c>
      <c r="P2111">
        <f>HYPERLINK("imagenes/NAUTICA_CLASSICS_Q624137_BLK_2.jpg","Ver imagen")</f>
        <v/>
      </c>
      <c r="Q2111">
        <f>HYPERLINK("imagenes/NAUTICA_CLASSICS_Q624137_BLK_3.jpg","Ver imagen")</f>
        <v/>
      </c>
    </row>
    <row r="2112">
      <c r="A2112" t="inlineStr">
        <is>
          <t>NAUTICA CLASSICS</t>
        </is>
      </c>
      <c r="B2112" t="inlineStr">
        <is>
          <t>Q624137</t>
        </is>
      </c>
      <c r="C2112" t="inlineStr">
        <is>
          <t>SHORT MRSHMLO W/KNSL</t>
        </is>
      </c>
      <c r="D2112" t="inlineStr">
        <is>
          <t>BLK</t>
        </is>
      </c>
      <c r="E2112" t="inlineStr">
        <is>
          <t>(en blanco)</t>
        </is>
      </c>
      <c r="F2112" t="inlineStr">
        <is>
          <t>(en blanco)</t>
        </is>
      </c>
      <c r="G2112" t="inlineStr">
        <is>
          <t>XL</t>
        </is>
      </c>
      <c r="H2112" t="n">
        <v>8</v>
      </c>
      <c r="I2112" t="inlineStr">
        <is>
          <t>NAUTICA_CLASSICS_Q624137_BLK_1.jpg</t>
        </is>
      </c>
      <c r="J2112" t="inlineStr">
        <is>
          <t>NAUTICA_CLASSICS_Q624137_BLK_2.jpg</t>
        </is>
      </c>
      <c r="K2112" t="inlineStr">
        <is>
          <t>NAUTICA_CLASSICS_Q624137_BLK_3.jpg</t>
        </is>
      </c>
      <c r="L2112">
        <f>IMAGE("file:///E:/Estudios%20y%20certificaciones/ESTUDIOS%20DE%20PROGRAMMING/PROGRAMMING/PERSONAL/PYTHON/Image_Generator_API/imagenes/NAUTICA_CLASSICS_Q624137_BLK_1.jpg")</f>
        <v/>
      </c>
      <c r="M2112">
        <f>IMAGE("file:///E:/Estudios%20y%20certificaciones/ESTUDIOS%20DE%20PROGRAMMING/PROGRAMMING/PERSONAL/PYTHON/Image_Generator_API/imagenes/NAUTICA_CLASSICS_Q624137_BLK_2.jpg")</f>
        <v/>
      </c>
      <c r="N2112">
        <f>IMAGE("file:///E:/Estudios%20y%20certificaciones/ESTUDIOS%20DE%20PROGRAMMING/PROGRAMMING/PERSONAL/PYTHON/Image_Generator_API/imagenes/NAUTICA_CLASSICS_Q624137_BLK_3.jpg")</f>
        <v/>
      </c>
      <c r="O2112">
        <f>HYPERLINK("imagenes/NAUTICA_CLASSICS_Q624137_BLK_1.jpg","Ver imagen")</f>
        <v/>
      </c>
      <c r="P2112">
        <f>HYPERLINK("imagenes/NAUTICA_CLASSICS_Q624137_BLK_2.jpg","Ver imagen")</f>
        <v/>
      </c>
      <c r="Q2112">
        <f>HYPERLINK("imagenes/NAUTICA_CLASSICS_Q624137_BLK_3.jpg","Ver imagen")</f>
        <v/>
      </c>
    </row>
    <row r="2113">
      <c r="A2113" t="inlineStr">
        <is>
          <t>NAUTICA CLASSICS</t>
        </is>
      </c>
      <c r="B2113" t="inlineStr">
        <is>
          <t>Q624137</t>
        </is>
      </c>
      <c r="C2113" t="inlineStr">
        <is>
          <t>SHORT MRSHMLO W/KNSL</t>
        </is>
      </c>
      <c r="D2113" t="inlineStr">
        <is>
          <t>BLK</t>
        </is>
      </c>
      <c r="E2113" t="inlineStr">
        <is>
          <t>(en blanco)</t>
        </is>
      </c>
      <c r="F2113" t="inlineStr">
        <is>
          <t>(en blanco)</t>
        </is>
      </c>
      <c r="G2113" t="inlineStr">
        <is>
          <t>XXL</t>
        </is>
      </c>
      <c r="H2113" t="n">
        <v>3</v>
      </c>
      <c r="I2113" t="inlineStr">
        <is>
          <t>NAUTICA_CLASSICS_Q624137_BLK_1.jpg</t>
        </is>
      </c>
      <c r="J2113" t="inlineStr">
        <is>
          <t>NAUTICA_CLASSICS_Q624137_BLK_2.jpg</t>
        </is>
      </c>
      <c r="K2113" t="inlineStr">
        <is>
          <t>NAUTICA_CLASSICS_Q624137_BLK_3.jpg</t>
        </is>
      </c>
      <c r="L2113">
        <f>IMAGE("file:///E:/Estudios%20y%20certificaciones/ESTUDIOS%20DE%20PROGRAMMING/PROGRAMMING/PERSONAL/PYTHON/Image_Generator_API/imagenes/NAUTICA_CLASSICS_Q624137_BLK_1.jpg")</f>
        <v/>
      </c>
      <c r="M2113">
        <f>IMAGE("file:///E:/Estudios%20y%20certificaciones/ESTUDIOS%20DE%20PROGRAMMING/PROGRAMMING/PERSONAL/PYTHON/Image_Generator_API/imagenes/NAUTICA_CLASSICS_Q624137_BLK_2.jpg")</f>
        <v/>
      </c>
      <c r="N2113">
        <f>IMAGE("file:///E:/Estudios%20y%20certificaciones/ESTUDIOS%20DE%20PROGRAMMING/PROGRAMMING/PERSONAL/PYTHON/Image_Generator_API/imagenes/NAUTICA_CLASSICS_Q624137_BLK_3.jpg")</f>
        <v/>
      </c>
      <c r="O2113">
        <f>HYPERLINK("imagenes/NAUTICA_CLASSICS_Q624137_BLK_1.jpg","Ver imagen")</f>
        <v/>
      </c>
      <c r="P2113">
        <f>HYPERLINK("imagenes/NAUTICA_CLASSICS_Q624137_BLK_2.jpg","Ver imagen")</f>
        <v/>
      </c>
      <c r="Q2113">
        <f>HYPERLINK("imagenes/NAUTICA_CLASSICS_Q624137_BLK_3.jpg","Ver imagen")</f>
        <v/>
      </c>
    </row>
    <row r="2114">
      <c r="A2114" t="inlineStr">
        <is>
          <t>NAUTICA CLASSICS</t>
        </is>
      </c>
      <c r="B2114" t="inlineStr">
        <is>
          <t>Q624421</t>
        </is>
      </c>
      <c r="C2114" t="inlineStr">
        <is>
          <t>SOFTSHEL W/QUILT BIB</t>
        </is>
      </c>
      <c r="D2114" t="inlineStr">
        <is>
          <t>BLK</t>
        </is>
      </c>
      <c r="E2114" t="inlineStr">
        <is>
          <t>(en blanco)</t>
        </is>
      </c>
      <c r="F2114" t="inlineStr">
        <is>
          <t>(en blanco)</t>
        </is>
      </c>
      <c r="G2114" t="inlineStr">
        <is>
          <t>XS</t>
        </is>
      </c>
      <c r="H2114" t="n">
        <v>1</v>
      </c>
      <c r="I2114" t="inlineStr">
        <is>
          <t>NAUTICA_CLASSICS_Q624421_BLK_1.jpg</t>
        </is>
      </c>
      <c r="J2114" t="inlineStr">
        <is>
          <t>NAUTICA_CLASSICS_Q624421_BLK_3.jpg</t>
        </is>
      </c>
      <c r="L2114">
        <f>IMAGE("file:///E:/Estudios%20y%20certificaciones/ESTUDIOS%20DE%20PROGRAMMING/PROGRAMMING/PERSONAL/PYTHON/Image_Generator_API/imagenes/NAUTICA_CLASSICS_Q624421_BLK_1.jpg")</f>
        <v/>
      </c>
      <c r="M2114">
        <f>IMAGE("file:///E:/Estudios%20y%20certificaciones/ESTUDIOS%20DE%20PROGRAMMING/PROGRAMMING/PERSONAL/PYTHON/Image_Generator_API/imagenes/NAUTICA_CLASSICS_Q624421_BLK_3.jpg")</f>
        <v/>
      </c>
      <c r="O2114">
        <f>HYPERLINK("imagenes/NAUTICA_CLASSICS_Q624421_BLK_1.jpg","Ver imagen")</f>
        <v/>
      </c>
      <c r="P2114">
        <f>HYPERLINK("imagenes/NAUTICA_CLASSICS_Q624421_BLK_3.jpg","Ver imagen")</f>
        <v/>
      </c>
    </row>
    <row r="2115">
      <c r="A2115" t="inlineStr">
        <is>
          <t>NAUTICA CLASSICS</t>
        </is>
      </c>
      <c r="B2115" t="inlineStr">
        <is>
          <t>Q624421</t>
        </is>
      </c>
      <c r="C2115" t="inlineStr">
        <is>
          <t>SOFTSHEL W/QUILT BIB</t>
        </is>
      </c>
      <c r="D2115" t="inlineStr">
        <is>
          <t>CHR</t>
        </is>
      </c>
      <c r="E2115" t="inlineStr">
        <is>
          <t>(en blanco)</t>
        </is>
      </c>
      <c r="F2115" t="inlineStr">
        <is>
          <t>(en blanco)</t>
        </is>
      </c>
      <c r="G2115" t="inlineStr">
        <is>
          <t>L</t>
        </is>
      </c>
      <c r="H2115" t="n">
        <v>1</v>
      </c>
      <c r="I2115" t="inlineStr">
        <is>
          <t>NAUTICA_CLASSICS_Q624421_CHR_1.jpg</t>
        </is>
      </c>
      <c r="J2115" t="inlineStr">
        <is>
          <t>NAUTICA_CLASSICS_Q624421_CHR_2.jpg</t>
        </is>
      </c>
      <c r="K2115" t="inlineStr">
        <is>
          <t>NAUTICA_CLASSICS_Q624421_CHR_3.jpg</t>
        </is>
      </c>
      <c r="L2115">
        <f>IMAGE("file:///E:/Estudios%20y%20certificaciones/ESTUDIOS%20DE%20PROGRAMMING/PROGRAMMING/PERSONAL/PYTHON/Image_Generator_API/imagenes/NAUTICA_CLASSICS_Q624421_CHR_1.jpg")</f>
        <v/>
      </c>
      <c r="M2115">
        <f>IMAGE("file:///E:/Estudios%20y%20certificaciones/ESTUDIOS%20DE%20PROGRAMMING/PROGRAMMING/PERSONAL/PYTHON/Image_Generator_API/imagenes/NAUTICA_CLASSICS_Q624421_CHR_2.jpg")</f>
        <v/>
      </c>
      <c r="N2115">
        <f>IMAGE("file:///E:/Estudios%20y%20certificaciones/ESTUDIOS%20DE%20PROGRAMMING/PROGRAMMING/PERSONAL/PYTHON/Image_Generator_API/imagenes/NAUTICA_CLASSICS_Q624421_CHR_3.jpg")</f>
        <v/>
      </c>
      <c r="O2115">
        <f>HYPERLINK("imagenes/NAUTICA_CLASSICS_Q624421_CHR_1.jpg","Ver imagen")</f>
        <v/>
      </c>
      <c r="P2115">
        <f>HYPERLINK("imagenes/NAUTICA_CLASSICS_Q624421_CHR_2.jpg","Ver imagen")</f>
        <v/>
      </c>
      <c r="Q2115">
        <f>HYPERLINK("imagenes/NAUTICA_CLASSICS_Q624421_CHR_3.jpg","Ver imagen")</f>
        <v/>
      </c>
    </row>
    <row r="2116">
      <c r="A2116" t="inlineStr">
        <is>
          <t>NAUTICA CLASSICS</t>
        </is>
      </c>
      <c r="B2116" t="inlineStr">
        <is>
          <t>Q624421</t>
        </is>
      </c>
      <c r="C2116" t="inlineStr">
        <is>
          <t>SOFTSHEL W/QUILT BIB</t>
        </is>
      </c>
      <c r="D2116" t="inlineStr">
        <is>
          <t>NSS</t>
        </is>
      </c>
      <c r="E2116" t="inlineStr">
        <is>
          <t>(en blanco)</t>
        </is>
      </c>
      <c r="F2116" t="inlineStr">
        <is>
          <t>(en blanco)</t>
        </is>
      </c>
      <c r="G2116" t="inlineStr">
        <is>
          <t>XS</t>
        </is>
      </c>
      <c r="H2116" t="n">
        <v>1</v>
      </c>
      <c r="I2116" t="inlineStr">
        <is>
          <t>NAUTICA_CLASSICS_Q624421_NSS_1.jpg</t>
        </is>
      </c>
      <c r="J2116" t="inlineStr">
        <is>
          <t>NAUTICA_CLASSICS_Q624421_NSS_2.jpg</t>
        </is>
      </c>
      <c r="K2116" t="inlineStr">
        <is>
          <t>NAUTICA_CLASSICS_Q624421_NSS_3.jpg</t>
        </is>
      </c>
      <c r="L2116">
        <f>IMAGE("file:///E:/Estudios%20y%20certificaciones/ESTUDIOS%20DE%20PROGRAMMING/PROGRAMMING/PERSONAL/PYTHON/Image_Generator_API/imagenes/NAUTICA_CLASSICS_Q624421_NSS_1.jpg")</f>
        <v/>
      </c>
      <c r="M2116">
        <f>IMAGE("file:///E:/Estudios%20y%20certificaciones/ESTUDIOS%20DE%20PROGRAMMING/PROGRAMMING/PERSONAL/PYTHON/Image_Generator_API/imagenes/NAUTICA_CLASSICS_Q624421_NSS_2.jpg")</f>
        <v/>
      </c>
      <c r="N2116">
        <f>IMAGE("file:///E:/Estudios%20y%20certificaciones/ESTUDIOS%20DE%20PROGRAMMING/PROGRAMMING/PERSONAL/PYTHON/Image_Generator_API/imagenes/NAUTICA_CLASSICS_Q624421_NSS_3.jpg")</f>
        <v/>
      </c>
      <c r="O2116">
        <f>HYPERLINK("imagenes/NAUTICA_CLASSICS_Q624421_NSS_1.jpg","Ver imagen")</f>
        <v/>
      </c>
      <c r="P2116">
        <f>HYPERLINK("imagenes/NAUTICA_CLASSICS_Q624421_NSS_2.jpg","Ver imagen")</f>
        <v/>
      </c>
      <c r="Q2116">
        <f>HYPERLINK("imagenes/NAUTICA_CLASSICS_Q624421_NSS_3.jpg","Ver imagen")</f>
        <v/>
      </c>
    </row>
    <row r="2117">
      <c r="A2117" t="inlineStr">
        <is>
          <t>NAUTICA CLASSICS</t>
        </is>
      </c>
      <c r="B2117" t="inlineStr">
        <is>
          <t>Q625037</t>
        </is>
      </c>
      <c r="C2117" t="inlineStr">
        <is>
          <t>3/4 PUFFER W/REMOVAB</t>
        </is>
      </c>
      <c r="D2117" t="inlineStr">
        <is>
          <t>NSS</t>
        </is>
      </c>
      <c r="E2117" t="inlineStr">
        <is>
          <t>(en blanco)</t>
        </is>
      </c>
      <c r="F2117" t="inlineStr">
        <is>
          <t>(en blanco)</t>
        </is>
      </c>
      <c r="G2117" t="inlineStr">
        <is>
          <t>XS</t>
        </is>
      </c>
      <c r="H2117" t="n">
        <v>7</v>
      </c>
      <c r="I2117" t="inlineStr">
        <is>
          <t>NAUTICA_CLASSICS_Q625037_NSS_1.jpg</t>
        </is>
      </c>
      <c r="J2117" t="inlineStr">
        <is>
          <t>NAUTICA_CLASSICS_Q625037_NSS_2.jpg</t>
        </is>
      </c>
      <c r="K2117" t="inlineStr">
        <is>
          <t>NAUTICA_CLASSICS_Q625037_NSS_3.jpg</t>
        </is>
      </c>
      <c r="L2117">
        <f>IMAGE("file:///E:/Estudios%20y%20certificaciones/ESTUDIOS%20DE%20PROGRAMMING/PROGRAMMING/PERSONAL/PYTHON/Image_Generator_API/imagenes/NAUTICA_CLASSICS_Q625037_NSS_1.jpg")</f>
        <v/>
      </c>
      <c r="M2117">
        <f>IMAGE("file:///E:/Estudios%20y%20certificaciones/ESTUDIOS%20DE%20PROGRAMMING/PROGRAMMING/PERSONAL/PYTHON/Image_Generator_API/imagenes/NAUTICA_CLASSICS_Q625037_NSS_2.jpg")</f>
        <v/>
      </c>
      <c r="N2117">
        <f>IMAGE("file:///E:/Estudios%20y%20certificaciones/ESTUDIOS%20DE%20PROGRAMMING/PROGRAMMING/PERSONAL/PYTHON/Image_Generator_API/imagenes/NAUTICA_CLASSICS_Q625037_NSS_3.jpg")</f>
        <v/>
      </c>
      <c r="O2117">
        <f>HYPERLINK("imagenes/NAUTICA_CLASSICS_Q625037_NSS_1.jpg","Ver imagen")</f>
        <v/>
      </c>
      <c r="P2117">
        <f>HYPERLINK("imagenes/NAUTICA_CLASSICS_Q625037_NSS_2.jpg","Ver imagen")</f>
        <v/>
      </c>
      <c r="Q2117">
        <f>HYPERLINK("imagenes/NAUTICA_CLASSICS_Q625037_NSS_3.jpg","Ver imagen")</f>
        <v/>
      </c>
    </row>
    <row r="2118">
      <c r="A2118" t="inlineStr">
        <is>
          <t>NAUTICA CLASSICS</t>
        </is>
      </c>
      <c r="B2118" t="inlineStr">
        <is>
          <t>Q625096</t>
        </is>
      </c>
      <c r="C2118" t="inlineStr">
        <is>
          <t>3/4PUFFER W/BELT</t>
        </is>
      </c>
      <c r="D2118" t="inlineStr">
        <is>
          <t>MGR</t>
        </is>
      </c>
      <c r="E2118" t="inlineStr">
        <is>
          <t>(en blanco)</t>
        </is>
      </c>
      <c r="F2118" t="inlineStr">
        <is>
          <t>(en blanco)</t>
        </is>
      </c>
      <c r="G2118" t="inlineStr">
        <is>
          <t>S</t>
        </is>
      </c>
      <c r="H2118" t="n">
        <v>6</v>
      </c>
      <c r="I2118" t="inlineStr">
        <is>
          <t>NAUTICA_CLASSICS_Q625096_MGR_1.jpg</t>
        </is>
      </c>
      <c r="J2118" t="inlineStr">
        <is>
          <t>NAUTICA_CLASSICS_Q625096_MGR_2.jpg</t>
        </is>
      </c>
      <c r="K2118" t="inlineStr">
        <is>
          <t>NAUTICA_CLASSICS_Q625096_MGR_3.jpg</t>
        </is>
      </c>
      <c r="L2118">
        <f>IMAGE("file:///E:/Estudios%20y%20certificaciones/ESTUDIOS%20DE%20PROGRAMMING/PROGRAMMING/PERSONAL/PYTHON/Image_Generator_API/imagenes/NAUTICA_CLASSICS_Q625096_MGR_1.jpg")</f>
        <v/>
      </c>
      <c r="M2118">
        <f>IMAGE("file:///E:/Estudios%20y%20certificaciones/ESTUDIOS%20DE%20PROGRAMMING/PROGRAMMING/PERSONAL/PYTHON/Image_Generator_API/imagenes/NAUTICA_CLASSICS_Q625096_MGR_2.jpg")</f>
        <v/>
      </c>
      <c r="N2118">
        <f>IMAGE("file:///E:/Estudios%20y%20certificaciones/ESTUDIOS%20DE%20PROGRAMMING/PROGRAMMING/PERSONAL/PYTHON/Image_Generator_API/imagenes/NAUTICA_CLASSICS_Q625096_MGR_3.jpg")</f>
        <v/>
      </c>
      <c r="O2118">
        <f>HYPERLINK("imagenes/NAUTICA_CLASSICS_Q625096_MGR_1.jpg","Ver imagen")</f>
        <v/>
      </c>
      <c r="P2118">
        <f>HYPERLINK("imagenes/NAUTICA_CLASSICS_Q625096_MGR_2.jpg","Ver imagen")</f>
        <v/>
      </c>
      <c r="Q2118">
        <f>HYPERLINK("imagenes/NAUTICA_CLASSICS_Q625096_MGR_3.jpg","Ver imagen")</f>
        <v/>
      </c>
    </row>
    <row r="2119">
      <c r="A2119" t="inlineStr">
        <is>
          <t>NAUTICA CLASSICS</t>
        </is>
      </c>
      <c r="B2119" t="inlineStr">
        <is>
          <t>Q626473</t>
        </is>
      </c>
      <c r="C2119" t="inlineStr">
        <is>
          <t>3/4 PUFFER W/FF HOOD</t>
        </is>
      </c>
      <c r="D2119" t="inlineStr">
        <is>
          <t>SAG</t>
        </is>
      </c>
      <c r="E2119" t="inlineStr">
        <is>
          <t>(en blanco)</t>
        </is>
      </c>
      <c r="F2119" t="inlineStr">
        <is>
          <t>(en blanco)</t>
        </is>
      </c>
      <c r="G2119" t="inlineStr">
        <is>
          <t>S</t>
        </is>
      </c>
      <c r="H2119" t="n">
        <v>1</v>
      </c>
      <c r="I2119" t="inlineStr">
        <is>
          <t>NAUTICA_CLASSICS_Q626473_SAG_1.jpg</t>
        </is>
      </c>
      <c r="J2119" t="inlineStr">
        <is>
          <t>NAUTICA_CLASSICS_Q626473_SAG_2.jpg</t>
        </is>
      </c>
      <c r="K2119" t="inlineStr">
        <is>
          <t>NAUTICA_CLASSICS_Q626473_SAG_3.jpg</t>
        </is>
      </c>
      <c r="L2119">
        <f>IMAGE("file:///E:/Estudios%20y%20certificaciones/ESTUDIOS%20DE%20PROGRAMMING/PROGRAMMING/PERSONAL/PYTHON/Image_Generator_API/imagenes/NAUTICA_CLASSICS_Q626473_SAG_1.jpg")</f>
        <v/>
      </c>
      <c r="M2119">
        <f>IMAGE("file:///E:/Estudios%20y%20certificaciones/ESTUDIOS%20DE%20PROGRAMMING/PROGRAMMING/PERSONAL/PYTHON/Image_Generator_API/imagenes/NAUTICA_CLASSICS_Q626473_SAG_2.jpg")</f>
        <v/>
      </c>
      <c r="N2119">
        <f>IMAGE("file:///E:/Estudios%20y%20certificaciones/ESTUDIOS%20DE%20PROGRAMMING/PROGRAMMING/PERSONAL/PYTHON/Image_Generator_API/imagenes/NAUTICA_CLASSICS_Q626473_SAG_3.jpg")</f>
        <v/>
      </c>
      <c r="O2119">
        <f>HYPERLINK("imagenes/NAUTICA_CLASSICS_Q626473_SAG_1.jpg","Ver imagen")</f>
        <v/>
      </c>
      <c r="P2119">
        <f>HYPERLINK("imagenes/NAUTICA_CLASSICS_Q626473_SAG_2.jpg","Ver imagen")</f>
        <v/>
      </c>
      <c r="Q2119">
        <f>HYPERLINK("imagenes/NAUTICA_CLASSICS_Q626473_SAG_3.jpg","Ver imagen")</f>
        <v/>
      </c>
    </row>
    <row r="2120">
      <c r="A2120" t="inlineStr">
        <is>
          <t>NAUTICA CLASSICS</t>
        </is>
      </c>
      <c r="B2120" t="inlineStr">
        <is>
          <t>Q626519</t>
        </is>
      </c>
      <c r="C2120" t="inlineStr">
        <is>
          <t>3/4 MIST PUFR W/SNAP</t>
        </is>
      </c>
      <c r="D2120" t="inlineStr">
        <is>
          <t>BLK</t>
        </is>
      </c>
      <c r="E2120" t="inlineStr">
        <is>
          <t>(en blanco)</t>
        </is>
      </c>
      <c r="F2120" t="inlineStr">
        <is>
          <t>(en blanco)</t>
        </is>
      </c>
      <c r="G2120" t="inlineStr">
        <is>
          <t>XS</t>
        </is>
      </c>
      <c r="H2120" t="n">
        <v>6</v>
      </c>
      <c r="I2120" t="inlineStr">
        <is>
          <t>NAUTICA_CLASSICS_Q626519_BLK_1.jpg</t>
        </is>
      </c>
      <c r="J2120" t="inlineStr">
        <is>
          <t>NAUTICA_CLASSICS_Q626519_BLK_2.jpg</t>
        </is>
      </c>
      <c r="K2120" t="inlineStr">
        <is>
          <t>NAUTICA_CLASSICS_Q626519_BLK_3.jpg</t>
        </is>
      </c>
      <c r="L2120">
        <f>IMAGE("file:///E:/Estudios%20y%20certificaciones/ESTUDIOS%20DE%20PROGRAMMING/PROGRAMMING/PERSONAL/PYTHON/Image_Generator_API/imagenes/NAUTICA_CLASSICS_Q626519_BLK_1.jpg")</f>
        <v/>
      </c>
      <c r="M2120">
        <f>IMAGE("file:///E:/Estudios%20y%20certificaciones/ESTUDIOS%20DE%20PROGRAMMING/PROGRAMMING/PERSONAL/PYTHON/Image_Generator_API/imagenes/NAUTICA_CLASSICS_Q626519_BLK_2.jpg")</f>
        <v/>
      </c>
      <c r="N2120">
        <f>IMAGE("file:///E:/Estudios%20y%20certificaciones/ESTUDIOS%20DE%20PROGRAMMING/PROGRAMMING/PERSONAL/PYTHON/Image_Generator_API/imagenes/NAUTICA_CLASSICS_Q626519_BLK_3.jpg")</f>
        <v/>
      </c>
      <c r="O2120">
        <f>HYPERLINK("imagenes/NAUTICA_CLASSICS_Q626519_BLK_1.jpg","Ver imagen")</f>
        <v/>
      </c>
      <c r="P2120">
        <f>HYPERLINK("imagenes/NAUTICA_CLASSICS_Q626519_BLK_2.jpg","Ver imagen")</f>
        <v/>
      </c>
      <c r="Q2120">
        <f>HYPERLINK("imagenes/NAUTICA_CLASSICS_Q626519_BLK_3.jpg","Ver imagen")</f>
        <v/>
      </c>
    </row>
    <row r="2121">
      <c r="A2121" t="inlineStr">
        <is>
          <t>NAUTICA CLASSICS</t>
        </is>
      </c>
      <c r="B2121" t="inlineStr">
        <is>
          <t>Q626519</t>
        </is>
      </c>
      <c r="C2121" t="inlineStr">
        <is>
          <t>3/4 MIST PUFR W/SNAP</t>
        </is>
      </c>
      <c r="D2121" t="inlineStr">
        <is>
          <t>BLK</t>
        </is>
      </c>
      <c r="E2121" t="inlineStr">
        <is>
          <t>(en blanco)</t>
        </is>
      </c>
      <c r="F2121" t="inlineStr">
        <is>
          <t>(en blanco)</t>
        </is>
      </c>
      <c r="G2121" t="inlineStr">
        <is>
          <t>L</t>
        </is>
      </c>
      <c r="H2121" t="n">
        <v>22</v>
      </c>
      <c r="I2121" t="inlineStr">
        <is>
          <t>NAUTICA_CLASSICS_Q626519_BLK_1.jpg</t>
        </is>
      </c>
      <c r="J2121" t="inlineStr">
        <is>
          <t>NAUTICA_CLASSICS_Q626519_BLK_2.jpg</t>
        </is>
      </c>
      <c r="K2121" t="inlineStr">
        <is>
          <t>NAUTICA_CLASSICS_Q626519_BLK_3.jpg</t>
        </is>
      </c>
      <c r="L2121">
        <f>IMAGE("file:///E:/Estudios%20y%20certificaciones/ESTUDIOS%20DE%20PROGRAMMING/PROGRAMMING/PERSONAL/PYTHON/Image_Generator_API/imagenes/NAUTICA_CLASSICS_Q626519_BLK_1.jpg")</f>
        <v/>
      </c>
      <c r="M2121">
        <f>IMAGE("file:///E:/Estudios%20y%20certificaciones/ESTUDIOS%20DE%20PROGRAMMING/PROGRAMMING/PERSONAL/PYTHON/Image_Generator_API/imagenes/NAUTICA_CLASSICS_Q626519_BLK_2.jpg")</f>
        <v/>
      </c>
      <c r="N2121">
        <f>IMAGE("file:///E:/Estudios%20y%20certificaciones/ESTUDIOS%20DE%20PROGRAMMING/PROGRAMMING/PERSONAL/PYTHON/Image_Generator_API/imagenes/NAUTICA_CLASSICS_Q626519_BLK_3.jpg")</f>
        <v/>
      </c>
      <c r="O2121">
        <f>HYPERLINK("imagenes/NAUTICA_CLASSICS_Q626519_BLK_1.jpg","Ver imagen")</f>
        <v/>
      </c>
      <c r="P2121">
        <f>HYPERLINK("imagenes/NAUTICA_CLASSICS_Q626519_BLK_2.jpg","Ver imagen")</f>
        <v/>
      </c>
      <c r="Q2121">
        <f>HYPERLINK("imagenes/NAUTICA_CLASSICS_Q626519_BLK_3.jpg","Ver imagen")</f>
        <v/>
      </c>
    </row>
    <row r="2122">
      <c r="A2122" t="inlineStr">
        <is>
          <t>NAUTICA CLASSICS</t>
        </is>
      </c>
      <c r="B2122" t="inlineStr">
        <is>
          <t>Q626519</t>
        </is>
      </c>
      <c r="C2122" t="inlineStr">
        <is>
          <t>3/4 MIST PUFR W/SNAP</t>
        </is>
      </c>
      <c r="D2122" t="inlineStr">
        <is>
          <t>BLK</t>
        </is>
      </c>
      <c r="E2122" t="inlineStr">
        <is>
          <t>(en blanco)</t>
        </is>
      </c>
      <c r="F2122" t="inlineStr">
        <is>
          <t>(en blanco)</t>
        </is>
      </c>
      <c r="G2122" t="inlineStr">
        <is>
          <t>XL</t>
        </is>
      </c>
      <c r="H2122" t="n">
        <v>18</v>
      </c>
      <c r="I2122" t="inlineStr">
        <is>
          <t>NAUTICA_CLASSICS_Q626519_BLK_1.jpg</t>
        </is>
      </c>
      <c r="J2122" t="inlineStr">
        <is>
          <t>NAUTICA_CLASSICS_Q626519_BLK_2.jpg</t>
        </is>
      </c>
      <c r="K2122" t="inlineStr">
        <is>
          <t>NAUTICA_CLASSICS_Q626519_BLK_3.jpg</t>
        </is>
      </c>
      <c r="L2122">
        <f>IMAGE("file:///E:/Estudios%20y%20certificaciones/ESTUDIOS%20DE%20PROGRAMMING/PROGRAMMING/PERSONAL/PYTHON/Image_Generator_API/imagenes/NAUTICA_CLASSICS_Q626519_BLK_1.jpg")</f>
        <v/>
      </c>
      <c r="M2122">
        <f>IMAGE("file:///E:/Estudios%20y%20certificaciones/ESTUDIOS%20DE%20PROGRAMMING/PROGRAMMING/PERSONAL/PYTHON/Image_Generator_API/imagenes/NAUTICA_CLASSICS_Q626519_BLK_2.jpg")</f>
        <v/>
      </c>
      <c r="N2122">
        <f>IMAGE("file:///E:/Estudios%20y%20certificaciones/ESTUDIOS%20DE%20PROGRAMMING/PROGRAMMING/PERSONAL/PYTHON/Image_Generator_API/imagenes/NAUTICA_CLASSICS_Q626519_BLK_3.jpg")</f>
        <v/>
      </c>
      <c r="O2122">
        <f>HYPERLINK("imagenes/NAUTICA_CLASSICS_Q626519_BLK_1.jpg","Ver imagen")</f>
        <v/>
      </c>
      <c r="P2122">
        <f>HYPERLINK("imagenes/NAUTICA_CLASSICS_Q626519_BLK_2.jpg","Ver imagen")</f>
        <v/>
      </c>
      <c r="Q2122">
        <f>HYPERLINK("imagenes/NAUTICA_CLASSICS_Q626519_BLK_3.jpg","Ver imagen")</f>
        <v/>
      </c>
    </row>
    <row r="2123">
      <c r="A2123" t="inlineStr">
        <is>
          <t>NAUTICA CLASSICS</t>
        </is>
      </c>
      <c r="B2123" t="inlineStr">
        <is>
          <t>Q626519</t>
        </is>
      </c>
      <c r="C2123" t="inlineStr">
        <is>
          <t>3/4 MIST PUFR W/SNAP</t>
        </is>
      </c>
      <c r="D2123" t="inlineStr">
        <is>
          <t>BLK</t>
        </is>
      </c>
      <c r="E2123" t="inlineStr">
        <is>
          <t>(en blanco)</t>
        </is>
      </c>
      <c r="F2123" t="inlineStr">
        <is>
          <t>(en blanco)</t>
        </is>
      </c>
      <c r="G2123" t="inlineStr">
        <is>
          <t>XXL</t>
        </is>
      </c>
      <c r="H2123" t="n">
        <v>26</v>
      </c>
      <c r="I2123" t="inlineStr">
        <is>
          <t>NAUTICA_CLASSICS_Q626519_BLK_1.jpg</t>
        </is>
      </c>
      <c r="J2123" t="inlineStr">
        <is>
          <t>NAUTICA_CLASSICS_Q626519_BLK_2.jpg</t>
        </is>
      </c>
      <c r="K2123" t="inlineStr">
        <is>
          <t>NAUTICA_CLASSICS_Q626519_BLK_3.jpg</t>
        </is>
      </c>
      <c r="L2123">
        <f>IMAGE("file:///E:/Estudios%20y%20certificaciones/ESTUDIOS%20DE%20PROGRAMMING/PROGRAMMING/PERSONAL/PYTHON/Image_Generator_API/imagenes/NAUTICA_CLASSICS_Q626519_BLK_1.jpg")</f>
        <v/>
      </c>
      <c r="M2123">
        <f>IMAGE("file:///E:/Estudios%20y%20certificaciones/ESTUDIOS%20DE%20PROGRAMMING/PROGRAMMING/PERSONAL/PYTHON/Image_Generator_API/imagenes/NAUTICA_CLASSICS_Q626519_BLK_2.jpg")</f>
        <v/>
      </c>
      <c r="N2123">
        <f>IMAGE("file:///E:/Estudios%20y%20certificaciones/ESTUDIOS%20DE%20PROGRAMMING/PROGRAMMING/PERSONAL/PYTHON/Image_Generator_API/imagenes/NAUTICA_CLASSICS_Q626519_BLK_3.jpg")</f>
        <v/>
      </c>
      <c r="O2123">
        <f>HYPERLINK("imagenes/NAUTICA_CLASSICS_Q626519_BLK_1.jpg","Ver imagen")</f>
        <v/>
      </c>
      <c r="P2123">
        <f>HYPERLINK("imagenes/NAUTICA_CLASSICS_Q626519_BLK_2.jpg","Ver imagen")</f>
        <v/>
      </c>
      <c r="Q2123">
        <f>HYPERLINK("imagenes/NAUTICA_CLASSICS_Q626519_BLK_3.jpg","Ver imagen")</f>
        <v/>
      </c>
    </row>
    <row r="2124">
      <c r="A2124" t="inlineStr">
        <is>
          <t>NAUTICA CLASSICS</t>
        </is>
      </c>
      <c r="B2124" t="inlineStr">
        <is>
          <t>Q626519</t>
        </is>
      </c>
      <c r="C2124" t="inlineStr">
        <is>
          <t>3/4 MIST PUFR W/SNAP</t>
        </is>
      </c>
      <c r="D2124" t="inlineStr">
        <is>
          <t>BLK</t>
        </is>
      </c>
      <c r="E2124" t="inlineStr">
        <is>
          <t>(en blanco)</t>
        </is>
      </c>
      <c r="F2124" t="inlineStr">
        <is>
          <t>(en blanco)</t>
        </is>
      </c>
      <c r="G2124" t="inlineStr">
        <is>
          <t>XXS</t>
        </is>
      </c>
      <c r="H2124" t="n">
        <v>1</v>
      </c>
      <c r="I2124" t="inlineStr">
        <is>
          <t>NAUTICA_CLASSICS_Q626519_BLK_1.jpg</t>
        </is>
      </c>
      <c r="J2124" t="inlineStr">
        <is>
          <t>NAUTICA_CLASSICS_Q626519_BLK_2.jpg</t>
        </is>
      </c>
      <c r="K2124" t="inlineStr">
        <is>
          <t>NAUTICA_CLASSICS_Q626519_BLK_3.jpg</t>
        </is>
      </c>
      <c r="L2124">
        <f>IMAGE("file:///E:/Estudios%20y%20certificaciones/ESTUDIOS%20DE%20PROGRAMMING/PROGRAMMING/PERSONAL/PYTHON/Image_Generator_API/imagenes/NAUTICA_CLASSICS_Q626519_BLK_1.jpg")</f>
        <v/>
      </c>
      <c r="M2124">
        <f>IMAGE("file:///E:/Estudios%20y%20certificaciones/ESTUDIOS%20DE%20PROGRAMMING/PROGRAMMING/PERSONAL/PYTHON/Image_Generator_API/imagenes/NAUTICA_CLASSICS_Q626519_BLK_2.jpg")</f>
        <v/>
      </c>
      <c r="N2124">
        <f>IMAGE("file:///E:/Estudios%20y%20certificaciones/ESTUDIOS%20DE%20PROGRAMMING/PROGRAMMING/PERSONAL/PYTHON/Image_Generator_API/imagenes/NAUTICA_CLASSICS_Q626519_BLK_3.jpg")</f>
        <v/>
      </c>
      <c r="O2124">
        <f>HYPERLINK("imagenes/NAUTICA_CLASSICS_Q626519_BLK_1.jpg","Ver imagen")</f>
        <v/>
      </c>
      <c r="P2124">
        <f>HYPERLINK("imagenes/NAUTICA_CLASSICS_Q626519_BLK_2.jpg","Ver imagen")</f>
        <v/>
      </c>
      <c r="Q2124">
        <f>HYPERLINK("imagenes/NAUTICA_CLASSICS_Q626519_BLK_3.jpg","Ver imagen")</f>
        <v/>
      </c>
    </row>
    <row r="2125">
      <c r="A2125" t="inlineStr">
        <is>
          <t>NAUTICA CLASSICS</t>
        </is>
      </c>
      <c r="B2125" t="inlineStr">
        <is>
          <t>Q626519</t>
        </is>
      </c>
      <c r="C2125" t="inlineStr">
        <is>
          <t>3/4 MIST PUFR W/SNAP</t>
        </is>
      </c>
      <c r="D2125" t="inlineStr">
        <is>
          <t>SIG</t>
        </is>
      </c>
      <c r="E2125" t="inlineStr">
        <is>
          <t>(en blanco)</t>
        </is>
      </c>
      <c r="F2125" t="inlineStr">
        <is>
          <t>(en blanco)</t>
        </is>
      </c>
      <c r="G2125" t="inlineStr">
        <is>
          <t>XS</t>
        </is>
      </c>
      <c r="H2125" t="n">
        <v>4</v>
      </c>
      <c r="I2125" t="inlineStr">
        <is>
          <t>NAUTICA_CLASSICS_Q626519_SIG_1.jpg</t>
        </is>
      </c>
      <c r="J2125" t="inlineStr">
        <is>
          <t>NAUTICA_CLASSICS_Q626519_SIG_2.jpg</t>
        </is>
      </c>
      <c r="K2125" t="inlineStr">
        <is>
          <t>NAUTICA_CLASSICS_Q626519_SIG_3.jpg</t>
        </is>
      </c>
      <c r="L2125">
        <f>IMAGE("file:///E:/Estudios%20y%20certificaciones/ESTUDIOS%20DE%20PROGRAMMING/PROGRAMMING/PERSONAL/PYTHON/Image_Generator_API/imagenes/NAUTICA_CLASSICS_Q626519_SIG_1.jpg")</f>
        <v/>
      </c>
      <c r="M2125">
        <f>IMAGE("file:///E:/Estudios%20y%20certificaciones/ESTUDIOS%20DE%20PROGRAMMING/PROGRAMMING/PERSONAL/PYTHON/Image_Generator_API/imagenes/NAUTICA_CLASSICS_Q626519_SIG_2.jpg")</f>
        <v/>
      </c>
      <c r="N2125">
        <f>IMAGE("file:///E:/Estudios%20y%20certificaciones/ESTUDIOS%20DE%20PROGRAMMING/PROGRAMMING/PERSONAL/PYTHON/Image_Generator_API/imagenes/NAUTICA_CLASSICS_Q626519_SIG_3.jpg")</f>
        <v/>
      </c>
      <c r="O2125">
        <f>HYPERLINK("imagenes/NAUTICA_CLASSICS_Q626519_SIG_1.jpg","Ver imagen")</f>
        <v/>
      </c>
      <c r="P2125">
        <f>HYPERLINK("imagenes/NAUTICA_CLASSICS_Q626519_SIG_2.jpg","Ver imagen")</f>
        <v/>
      </c>
      <c r="Q2125">
        <f>HYPERLINK("imagenes/NAUTICA_CLASSICS_Q626519_SIG_3.jpg","Ver imagen")</f>
        <v/>
      </c>
    </row>
    <row r="2126">
      <c r="A2126" t="inlineStr">
        <is>
          <t>NAUTICA CLASSICS</t>
        </is>
      </c>
      <c r="B2126" t="inlineStr">
        <is>
          <t>Q626519</t>
        </is>
      </c>
      <c r="C2126" t="inlineStr">
        <is>
          <t>3/4 MIST PUFR W/SNAP</t>
        </is>
      </c>
      <c r="D2126" t="inlineStr">
        <is>
          <t>SIG</t>
        </is>
      </c>
      <c r="E2126" t="inlineStr">
        <is>
          <t>(en blanco)</t>
        </is>
      </c>
      <c r="F2126" t="inlineStr">
        <is>
          <t>(en blanco)</t>
        </is>
      </c>
      <c r="G2126" t="inlineStr">
        <is>
          <t>S</t>
        </is>
      </c>
      <c r="H2126" t="n">
        <v>27</v>
      </c>
      <c r="I2126" t="inlineStr">
        <is>
          <t>NAUTICA_CLASSICS_Q626519_SIG_1.jpg</t>
        </is>
      </c>
      <c r="J2126" t="inlineStr">
        <is>
          <t>NAUTICA_CLASSICS_Q626519_SIG_2.jpg</t>
        </is>
      </c>
      <c r="K2126" t="inlineStr">
        <is>
          <t>NAUTICA_CLASSICS_Q626519_SIG_3.jpg</t>
        </is>
      </c>
      <c r="L2126">
        <f>IMAGE("file:///E:/Estudios%20y%20certificaciones/ESTUDIOS%20DE%20PROGRAMMING/PROGRAMMING/PERSONAL/PYTHON/Image_Generator_API/imagenes/NAUTICA_CLASSICS_Q626519_SIG_1.jpg")</f>
        <v/>
      </c>
      <c r="M2126">
        <f>IMAGE("file:///E:/Estudios%20y%20certificaciones/ESTUDIOS%20DE%20PROGRAMMING/PROGRAMMING/PERSONAL/PYTHON/Image_Generator_API/imagenes/NAUTICA_CLASSICS_Q626519_SIG_2.jpg")</f>
        <v/>
      </c>
      <c r="N2126">
        <f>IMAGE("file:///E:/Estudios%20y%20certificaciones/ESTUDIOS%20DE%20PROGRAMMING/PROGRAMMING/PERSONAL/PYTHON/Image_Generator_API/imagenes/NAUTICA_CLASSICS_Q626519_SIG_3.jpg")</f>
        <v/>
      </c>
      <c r="O2126">
        <f>HYPERLINK("imagenes/NAUTICA_CLASSICS_Q626519_SIG_1.jpg","Ver imagen")</f>
        <v/>
      </c>
      <c r="P2126">
        <f>HYPERLINK("imagenes/NAUTICA_CLASSICS_Q626519_SIG_2.jpg","Ver imagen")</f>
        <v/>
      </c>
      <c r="Q2126">
        <f>HYPERLINK("imagenes/NAUTICA_CLASSICS_Q626519_SIG_3.jpg","Ver imagen")</f>
        <v/>
      </c>
    </row>
    <row r="2127">
      <c r="A2127" t="inlineStr">
        <is>
          <t>NAUTICA CLASSICS</t>
        </is>
      </c>
      <c r="B2127" t="inlineStr">
        <is>
          <t>Q626519</t>
        </is>
      </c>
      <c r="C2127" t="inlineStr">
        <is>
          <t>3/4 MIST PUFR W/SNAP</t>
        </is>
      </c>
      <c r="D2127" t="inlineStr">
        <is>
          <t>SIG</t>
        </is>
      </c>
      <c r="E2127" t="inlineStr">
        <is>
          <t>(en blanco)</t>
        </is>
      </c>
      <c r="F2127" t="inlineStr">
        <is>
          <t>(en blanco)</t>
        </is>
      </c>
      <c r="G2127" t="inlineStr">
        <is>
          <t>M</t>
        </is>
      </c>
      <c r="H2127" t="n">
        <v>14</v>
      </c>
      <c r="I2127" t="inlineStr">
        <is>
          <t>NAUTICA_CLASSICS_Q626519_SIG_1.jpg</t>
        </is>
      </c>
      <c r="J2127" t="inlineStr">
        <is>
          <t>NAUTICA_CLASSICS_Q626519_SIG_2.jpg</t>
        </is>
      </c>
      <c r="K2127" t="inlineStr">
        <is>
          <t>NAUTICA_CLASSICS_Q626519_SIG_3.jpg</t>
        </is>
      </c>
      <c r="L2127">
        <f>IMAGE("file:///E:/Estudios%20y%20certificaciones/ESTUDIOS%20DE%20PROGRAMMING/PROGRAMMING/PERSONAL/PYTHON/Image_Generator_API/imagenes/NAUTICA_CLASSICS_Q626519_SIG_1.jpg")</f>
        <v/>
      </c>
      <c r="M2127">
        <f>IMAGE("file:///E:/Estudios%20y%20certificaciones/ESTUDIOS%20DE%20PROGRAMMING/PROGRAMMING/PERSONAL/PYTHON/Image_Generator_API/imagenes/NAUTICA_CLASSICS_Q626519_SIG_2.jpg")</f>
        <v/>
      </c>
      <c r="N2127">
        <f>IMAGE("file:///E:/Estudios%20y%20certificaciones/ESTUDIOS%20DE%20PROGRAMMING/PROGRAMMING/PERSONAL/PYTHON/Image_Generator_API/imagenes/NAUTICA_CLASSICS_Q626519_SIG_3.jpg")</f>
        <v/>
      </c>
      <c r="O2127">
        <f>HYPERLINK("imagenes/NAUTICA_CLASSICS_Q626519_SIG_1.jpg","Ver imagen")</f>
        <v/>
      </c>
      <c r="P2127">
        <f>HYPERLINK("imagenes/NAUTICA_CLASSICS_Q626519_SIG_2.jpg","Ver imagen")</f>
        <v/>
      </c>
      <c r="Q2127">
        <f>HYPERLINK("imagenes/NAUTICA_CLASSICS_Q626519_SIG_3.jpg","Ver imagen")</f>
        <v/>
      </c>
    </row>
    <row r="2128">
      <c r="A2128" t="inlineStr">
        <is>
          <t>NAUTICA CLASSICS</t>
        </is>
      </c>
      <c r="B2128" t="inlineStr">
        <is>
          <t>Q626519</t>
        </is>
      </c>
      <c r="C2128" t="inlineStr">
        <is>
          <t>3/4 MIST PUFR W/SNAP</t>
        </is>
      </c>
      <c r="D2128" t="inlineStr">
        <is>
          <t>SIG</t>
        </is>
      </c>
      <c r="E2128" t="inlineStr">
        <is>
          <t>(en blanco)</t>
        </is>
      </c>
      <c r="F2128" t="inlineStr">
        <is>
          <t>(en blanco)</t>
        </is>
      </c>
      <c r="G2128" t="inlineStr">
        <is>
          <t>L</t>
        </is>
      </c>
      <c r="H2128" t="n">
        <v>34</v>
      </c>
      <c r="I2128" t="inlineStr">
        <is>
          <t>NAUTICA_CLASSICS_Q626519_SIG_1.jpg</t>
        </is>
      </c>
      <c r="J2128" t="inlineStr">
        <is>
          <t>NAUTICA_CLASSICS_Q626519_SIG_2.jpg</t>
        </is>
      </c>
      <c r="K2128" t="inlineStr">
        <is>
          <t>NAUTICA_CLASSICS_Q626519_SIG_3.jpg</t>
        </is>
      </c>
      <c r="L2128">
        <f>IMAGE("file:///E:/Estudios%20y%20certificaciones/ESTUDIOS%20DE%20PROGRAMMING/PROGRAMMING/PERSONAL/PYTHON/Image_Generator_API/imagenes/NAUTICA_CLASSICS_Q626519_SIG_1.jpg")</f>
        <v/>
      </c>
      <c r="M2128">
        <f>IMAGE("file:///E:/Estudios%20y%20certificaciones/ESTUDIOS%20DE%20PROGRAMMING/PROGRAMMING/PERSONAL/PYTHON/Image_Generator_API/imagenes/NAUTICA_CLASSICS_Q626519_SIG_2.jpg")</f>
        <v/>
      </c>
      <c r="N2128">
        <f>IMAGE("file:///E:/Estudios%20y%20certificaciones/ESTUDIOS%20DE%20PROGRAMMING/PROGRAMMING/PERSONAL/PYTHON/Image_Generator_API/imagenes/NAUTICA_CLASSICS_Q626519_SIG_3.jpg")</f>
        <v/>
      </c>
      <c r="O2128">
        <f>HYPERLINK("imagenes/NAUTICA_CLASSICS_Q626519_SIG_1.jpg","Ver imagen")</f>
        <v/>
      </c>
      <c r="P2128">
        <f>HYPERLINK("imagenes/NAUTICA_CLASSICS_Q626519_SIG_2.jpg","Ver imagen")</f>
        <v/>
      </c>
      <c r="Q2128">
        <f>HYPERLINK("imagenes/NAUTICA_CLASSICS_Q626519_SIG_3.jpg","Ver imagen")</f>
        <v/>
      </c>
    </row>
    <row r="2129">
      <c r="A2129" t="inlineStr">
        <is>
          <t>NAUTICA CLASSICS</t>
        </is>
      </c>
      <c r="B2129" t="inlineStr">
        <is>
          <t>Q626519</t>
        </is>
      </c>
      <c r="C2129" t="inlineStr">
        <is>
          <t>3/4 MIST PUFR W/SNAP</t>
        </is>
      </c>
      <c r="D2129" t="inlineStr">
        <is>
          <t>SIG</t>
        </is>
      </c>
      <c r="E2129" t="inlineStr">
        <is>
          <t>(en blanco)</t>
        </is>
      </c>
      <c r="F2129" t="inlineStr">
        <is>
          <t>(en blanco)</t>
        </is>
      </c>
      <c r="G2129" t="inlineStr">
        <is>
          <t>XL</t>
        </is>
      </c>
      <c r="H2129" t="n">
        <v>25</v>
      </c>
      <c r="I2129" t="inlineStr">
        <is>
          <t>NAUTICA_CLASSICS_Q626519_SIG_1.jpg</t>
        </is>
      </c>
      <c r="J2129" t="inlineStr">
        <is>
          <t>NAUTICA_CLASSICS_Q626519_SIG_2.jpg</t>
        </is>
      </c>
      <c r="K2129" t="inlineStr">
        <is>
          <t>NAUTICA_CLASSICS_Q626519_SIG_3.jpg</t>
        </is>
      </c>
      <c r="L2129">
        <f>IMAGE("file:///E:/Estudios%20y%20certificaciones/ESTUDIOS%20DE%20PROGRAMMING/PROGRAMMING/PERSONAL/PYTHON/Image_Generator_API/imagenes/NAUTICA_CLASSICS_Q626519_SIG_1.jpg")</f>
        <v/>
      </c>
      <c r="M2129">
        <f>IMAGE("file:///E:/Estudios%20y%20certificaciones/ESTUDIOS%20DE%20PROGRAMMING/PROGRAMMING/PERSONAL/PYTHON/Image_Generator_API/imagenes/NAUTICA_CLASSICS_Q626519_SIG_2.jpg")</f>
        <v/>
      </c>
      <c r="N2129">
        <f>IMAGE("file:///E:/Estudios%20y%20certificaciones/ESTUDIOS%20DE%20PROGRAMMING/PROGRAMMING/PERSONAL/PYTHON/Image_Generator_API/imagenes/NAUTICA_CLASSICS_Q626519_SIG_3.jpg")</f>
        <v/>
      </c>
      <c r="O2129">
        <f>HYPERLINK("imagenes/NAUTICA_CLASSICS_Q626519_SIG_1.jpg","Ver imagen")</f>
        <v/>
      </c>
      <c r="P2129">
        <f>HYPERLINK("imagenes/NAUTICA_CLASSICS_Q626519_SIG_2.jpg","Ver imagen")</f>
        <v/>
      </c>
      <c r="Q2129">
        <f>HYPERLINK("imagenes/NAUTICA_CLASSICS_Q626519_SIG_3.jpg","Ver imagen")</f>
        <v/>
      </c>
    </row>
    <row r="2130">
      <c r="A2130" t="inlineStr">
        <is>
          <t>NAUTICA CLASSICS</t>
        </is>
      </c>
      <c r="B2130" t="inlineStr">
        <is>
          <t>Q626519</t>
        </is>
      </c>
      <c r="C2130" t="inlineStr">
        <is>
          <t>3/4 MIST PUFR W/SNAP</t>
        </is>
      </c>
      <c r="D2130" t="inlineStr">
        <is>
          <t>SIG</t>
        </is>
      </c>
      <c r="E2130" t="inlineStr">
        <is>
          <t>(en blanco)</t>
        </is>
      </c>
      <c r="F2130" t="inlineStr">
        <is>
          <t>(en blanco)</t>
        </is>
      </c>
      <c r="G2130" t="inlineStr">
        <is>
          <t>XXL</t>
        </is>
      </c>
      <c r="H2130" t="n">
        <v>2</v>
      </c>
      <c r="I2130" t="inlineStr">
        <is>
          <t>NAUTICA_CLASSICS_Q626519_SIG_1.jpg</t>
        </is>
      </c>
      <c r="J2130" t="inlineStr">
        <is>
          <t>NAUTICA_CLASSICS_Q626519_SIG_2.jpg</t>
        </is>
      </c>
      <c r="K2130" t="inlineStr">
        <is>
          <t>NAUTICA_CLASSICS_Q626519_SIG_3.jpg</t>
        </is>
      </c>
      <c r="L2130">
        <f>IMAGE("file:///E:/Estudios%20y%20certificaciones/ESTUDIOS%20DE%20PROGRAMMING/PROGRAMMING/PERSONAL/PYTHON/Image_Generator_API/imagenes/NAUTICA_CLASSICS_Q626519_SIG_1.jpg")</f>
        <v/>
      </c>
      <c r="M2130">
        <f>IMAGE("file:///E:/Estudios%20y%20certificaciones/ESTUDIOS%20DE%20PROGRAMMING/PROGRAMMING/PERSONAL/PYTHON/Image_Generator_API/imagenes/NAUTICA_CLASSICS_Q626519_SIG_2.jpg")</f>
        <v/>
      </c>
      <c r="N2130">
        <f>IMAGE("file:///E:/Estudios%20y%20certificaciones/ESTUDIOS%20DE%20PROGRAMMING/PROGRAMMING/PERSONAL/PYTHON/Image_Generator_API/imagenes/NAUTICA_CLASSICS_Q626519_SIG_3.jpg")</f>
        <v/>
      </c>
      <c r="O2130">
        <f>HYPERLINK("imagenes/NAUTICA_CLASSICS_Q626519_SIG_1.jpg","Ver imagen")</f>
        <v/>
      </c>
      <c r="P2130">
        <f>HYPERLINK("imagenes/NAUTICA_CLASSICS_Q626519_SIG_2.jpg","Ver imagen")</f>
        <v/>
      </c>
      <c r="Q2130">
        <f>HYPERLINK("imagenes/NAUTICA_CLASSICS_Q626519_SIG_3.jpg","Ver imagen")</f>
        <v/>
      </c>
    </row>
    <row r="2131">
      <c r="A2131" t="inlineStr">
        <is>
          <t>NAUTICA CLASSICS</t>
        </is>
      </c>
      <c r="B2131" t="inlineStr">
        <is>
          <t>Q626594K</t>
        </is>
      </c>
      <c r="C2131" t="inlineStr">
        <is>
          <t>3/4 PUFFER WITH BIB</t>
        </is>
      </c>
      <c r="D2131" t="inlineStr">
        <is>
          <t>BLK</t>
        </is>
      </c>
      <c r="E2131" t="inlineStr">
        <is>
          <t>(en blanco)</t>
        </is>
      </c>
      <c r="F2131" t="inlineStr">
        <is>
          <t>(en blanco)</t>
        </is>
      </c>
      <c r="G2131" t="inlineStr">
        <is>
          <t>S</t>
        </is>
      </c>
      <c r="H2131" t="n">
        <v>3</v>
      </c>
      <c r="I2131" t="inlineStr">
        <is>
          <t>NAUTICA_CLASSICS_Q626594K_BLK_2.jpg</t>
        </is>
      </c>
      <c r="J2131" t="inlineStr">
        <is>
          <t>NAUTICA_CLASSICS_Q626594K_BLK_3.jpg</t>
        </is>
      </c>
      <c r="L2131">
        <f>IMAGE("file:///E:/Estudios%20y%20certificaciones/ESTUDIOS%20DE%20PROGRAMMING/PROGRAMMING/PERSONAL/PYTHON/Image_Generator_API/imagenes/NAUTICA_CLASSICS_Q626594K_BLK_2.jpg")</f>
        <v/>
      </c>
      <c r="M2131">
        <f>IMAGE("file:///E:/Estudios%20y%20certificaciones/ESTUDIOS%20DE%20PROGRAMMING/PROGRAMMING/PERSONAL/PYTHON/Image_Generator_API/imagenes/NAUTICA_CLASSICS_Q626594K_BLK_3.jpg")</f>
        <v/>
      </c>
      <c r="O2131">
        <f>HYPERLINK("imagenes/NAUTICA_CLASSICS_Q626594K_BLK_2.jpg","Ver imagen")</f>
        <v/>
      </c>
      <c r="P2131">
        <f>HYPERLINK("imagenes/NAUTICA_CLASSICS_Q626594K_BLK_3.jpg","Ver imagen")</f>
        <v/>
      </c>
    </row>
    <row r="2132">
      <c r="A2132" t="inlineStr">
        <is>
          <t>NAUTICA CLASSICS</t>
        </is>
      </c>
      <c r="B2132" t="inlineStr">
        <is>
          <t>Q632952</t>
        </is>
      </c>
      <c r="C2132" t="inlineStr">
        <is>
          <t>SINGLE BREASTED WITH</t>
        </is>
      </c>
      <c r="D2132" t="inlineStr">
        <is>
          <t>BLK</t>
        </is>
      </c>
      <c r="E2132" t="inlineStr">
        <is>
          <t>(en blanco)</t>
        </is>
      </c>
      <c r="F2132" t="inlineStr">
        <is>
          <t>(en blanco)</t>
        </is>
      </c>
      <c r="G2132" t="inlineStr">
        <is>
          <t>0X</t>
        </is>
      </c>
      <c r="H2132" t="n">
        <v>1</v>
      </c>
      <c r="I2132" t="inlineStr">
        <is>
          <t>NAUTICA_CLASSICS_Q632952_BLK_2.jpg</t>
        </is>
      </c>
      <c r="J2132" t="inlineStr">
        <is>
          <t>NAUTICA_CLASSICS_Q632952_BLK_3.jpg</t>
        </is>
      </c>
      <c r="L2132">
        <f>IMAGE("file:///E:/Estudios%20y%20certificaciones/ESTUDIOS%20DE%20PROGRAMMING/PROGRAMMING/PERSONAL/PYTHON/Image_Generator_API/imagenes/NAUTICA_CLASSICS_Q632952_BLK_2.jpg")</f>
        <v/>
      </c>
      <c r="M2132">
        <f>IMAGE("file:///E:/Estudios%20y%20certificaciones/ESTUDIOS%20DE%20PROGRAMMING/PROGRAMMING/PERSONAL/PYTHON/Image_Generator_API/imagenes/NAUTICA_CLASSICS_Q632952_BLK_3.jpg")</f>
        <v/>
      </c>
      <c r="O2132">
        <f>HYPERLINK("imagenes/NAUTICA_CLASSICS_Q632952_BLK_2.jpg","Ver imagen")</f>
        <v/>
      </c>
      <c r="P2132">
        <f>HYPERLINK("imagenes/NAUTICA_CLASSICS_Q632952_BLK_3.jpg","Ver imagen")</f>
        <v/>
      </c>
    </row>
    <row r="2133">
      <c r="A2133" t="inlineStr">
        <is>
          <t>NAUTICA CLASSICS</t>
        </is>
      </c>
      <c r="B2133" t="inlineStr">
        <is>
          <t>Q632952</t>
        </is>
      </c>
      <c r="C2133" t="inlineStr">
        <is>
          <t>SINGLE BREASTED WITH</t>
        </is>
      </c>
      <c r="D2133" t="inlineStr">
        <is>
          <t>CHR</t>
        </is>
      </c>
      <c r="E2133" t="inlineStr">
        <is>
          <t>(en blanco)</t>
        </is>
      </c>
      <c r="F2133" t="inlineStr">
        <is>
          <t>(en blanco)</t>
        </is>
      </c>
      <c r="G2133" t="inlineStr">
        <is>
          <t>2X</t>
        </is>
      </c>
      <c r="H2133" t="n">
        <v>2</v>
      </c>
      <c r="I2133" t="inlineStr">
        <is>
          <t>NAUTICA_CLASSICS_Q632952_CHR_1.jpg</t>
        </is>
      </c>
      <c r="J2133" t="inlineStr">
        <is>
          <t>NAUTICA_CLASSICS_Q632952_CHR_2.jpg</t>
        </is>
      </c>
      <c r="K2133" t="inlineStr">
        <is>
          <t>NAUTICA_CLASSICS_Q632952_CHR_3.jpg</t>
        </is>
      </c>
      <c r="L2133">
        <f>IMAGE("file:///E:/Estudios%20y%20certificaciones/ESTUDIOS%20DE%20PROGRAMMING/PROGRAMMING/PERSONAL/PYTHON/Image_Generator_API/imagenes/NAUTICA_CLASSICS_Q632952_CHR_1.jpg")</f>
        <v/>
      </c>
      <c r="M2133">
        <f>IMAGE("file:///E:/Estudios%20y%20certificaciones/ESTUDIOS%20DE%20PROGRAMMING/PROGRAMMING/PERSONAL/PYTHON/Image_Generator_API/imagenes/NAUTICA_CLASSICS_Q632952_CHR_2.jpg")</f>
        <v/>
      </c>
      <c r="N2133">
        <f>IMAGE("file:///E:/Estudios%20y%20certificaciones/ESTUDIOS%20DE%20PROGRAMMING/PROGRAMMING/PERSONAL/PYTHON/Image_Generator_API/imagenes/NAUTICA_CLASSICS_Q632952_CHR_3.jpg")</f>
        <v/>
      </c>
      <c r="O2133">
        <f>HYPERLINK("imagenes/NAUTICA_CLASSICS_Q632952_CHR_1.jpg","Ver imagen")</f>
        <v/>
      </c>
      <c r="P2133">
        <f>HYPERLINK("imagenes/NAUTICA_CLASSICS_Q632952_CHR_2.jpg","Ver imagen")</f>
        <v/>
      </c>
      <c r="Q2133">
        <f>HYPERLINK("imagenes/NAUTICA_CLASSICS_Q632952_CHR_3.jpg","Ver imagen")</f>
        <v/>
      </c>
    </row>
    <row r="2134">
      <c r="A2134" t="inlineStr">
        <is>
          <t>NAUTICA CLASSICS</t>
        </is>
      </c>
      <c r="B2134" t="inlineStr">
        <is>
          <t>Q632952</t>
        </is>
      </c>
      <c r="C2134" t="inlineStr">
        <is>
          <t>SINGLE BREASTED WITH</t>
        </is>
      </c>
      <c r="D2134" t="inlineStr">
        <is>
          <t>CHR</t>
        </is>
      </c>
      <c r="E2134" t="inlineStr">
        <is>
          <t>(en blanco)</t>
        </is>
      </c>
      <c r="F2134" t="inlineStr">
        <is>
          <t>(en blanco)</t>
        </is>
      </c>
      <c r="G2134" t="inlineStr">
        <is>
          <t>3X</t>
        </is>
      </c>
      <c r="H2134" t="n">
        <v>1</v>
      </c>
      <c r="I2134" t="inlineStr">
        <is>
          <t>NAUTICA_CLASSICS_Q632952_CHR_1.jpg</t>
        </is>
      </c>
      <c r="J2134" t="inlineStr">
        <is>
          <t>NAUTICA_CLASSICS_Q632952_CHR_2.jpg</t>
        </is>
      </c>
      <c r="K2134" t="inlineStr">
        <is>
          <t>NAUTICA_CLASSICS_Q632952_CHR_3.jpg</t>
        </is>
      </c>
      <c r="L2134">
        <f>IMAGE("file:///E:/Estudios%20y%20certificaciones/ESTUDIOS%20DE%20PROGRAMMING/PROGRAMMING/PERSONAL/PYTHON/Image_Generator_API/imagenes/NAUTICA_CLASSICS_Q632952_CHR_1.jpg")</f>
        <v/>
      </c>
      <c r="M2134">
        <f>IMAGE("file:///E:/Estudios%20y%20certificaciones/ESTUDIOS%20DE%20PROGRAMMING/PROGRAMMING/PERSONAL/PYTHON/Image_Generator_API/imagenes/NAUTICA_CLASSICS_Q632952_CHR_2.jpg")</f>
        <v/>
      </c>
      <c r="N2134">
        <f>IMAGE("file:///E:/Estudios%20y%20certificaciones/ESTUDIOS%20DE%20PROGRAMMING/PROGRAMMING/PERSONAL/PYTHON/Image_Generator_API/imagenes/NAUTICA_CLASSICS_Q632952_CHR_3.jpg")</f>
        <v/>
      </c>
      <c r="O2134">
        <f>HYPERLINK("imagenes/NAUTICA_CLASSICS_Q632952_CHR_1.jpg","Ver imagen")</f>
        <v/>
      </c>
      <c r="P2134">
        <f>HYPERLINK("imagenes/NAUTICA_CLASSICS_Q632952_CHR_2.jpg","Ver imagen")</f>
        <v/>
      </c>
      <c r="Q2134">
        <f>HYPERLINK("imagenes/NAUTICA_CLASSICS_Q632952_CHR_3.jpg","Ver imagen")</f>
        <v/>
      </c>
    </row>
    <row r="2135">
      <c r="A2135" t="inlineStr">
        <is>
          <t>NAUTICA CLASSICS</t>
        </is>
      </c>
      <c r="B2135" t="inlineStr">
        <is>
          <t>Q721015</t>
        </is>
      </c>
      <c r="C2135" t="inlineStr">
        <is>
          <t>Belted Rain</t>
        </is>
      </c>
      <c r="D2135" t="inlineStr">
        <is>
          <t>NSS</t>
        </is>
      </c>
      <c r="E2135" t="inlineStr">
        <is>
          <t>(en blanco)</t>
        </is>
      </c>
      <c r="F2135" t="inlineStr">
        <is>
          <t>(en blanco)</t>
        </is>
      </c>
      <c r="G2135" t="inlineStr">
        <is>
          <t>S</t>
        </is>
      </c>
      <c r="H2135" t="n">
        <v>2</v>
      </c>
      <c r="I2135" t="inlineStr">
        <is>
          <t>NAUTICA_CLASSICS_Q721015_NSS_1.jpg</t>
        </is>
      </c>
      <c r="J2135" t="inlineStr">
        <is>
          <t>NAUTICA_CLASSICS_Q721015_NSS_2.jpg</t>
        </is>
      </c>
      <c r="K2135" t="inlineStr">
        <is>
          <t>NAUTICA_CLASSICS_Q721015_NSS_3.jpg</t>
        </is>
      </c>
      <c r="L2135">
        <f>IMAGE("file:///E:/Estudios%20y%20certificaciones/ESTUDIOS%20DE%20PROGRAMMING/PROGRAMMING/PERSONAL/PYTHON/Image_Generator_API/imagenes/NAUTICA_CLASSICS_Q721015_NSS_1.jpg")</f>
        <v/>
      </c>
      <c r="M2135">
        <f>IMAGE("file:///E:/Estudios%20y%20certificaciones/ESTUDIOS%20DE%20PROGRAMMING/PROGRAMMING/PERSONAL/PYTHON/Image_Generator_API/imagenes/NAUTICA_CLASSICS_Q721015_NSS_2.jpg")</f>
        <v/>
      </c>
      <c r="N2135">
        <f>IMAGE("file:///E:/Estudios%20y%20certificaciones/ESTUDIOS%20DE%20PROGRAMMING/PROGRAMMING/PERSONAL/PYTHON/Image_Generator_API/imagenes/NAUTICA_CLASSICS_Q721015_NSS_3.jpg")</f>
        <v/>
      </c>
      <c r="O2135">
        <f>HYPERLINK("imagenes/NAUTICA_CLASSICS_Q721015_NSS_1.jpg","Ver imagen")</f>
        <v/>
      </c>
      <c r="P2135">
        <f>HYPERLINK("imagenes/NAUTICA_CLASSICS_Q721015_NSS_2.jpg","Ver imagen")</f>
        <v/>
      </c>
      <c r="Q2135">
        <f>HYPERLINK("imagenes/NAUTICA_CLASSICS_Q721015_NSS_3.jpg","Ver imagen")</f>
        <v/>
      </c>
    </row>
    <row r="2136">
      <c r="A2136" t="inlineStr">
        <is>
          <t>NAUTICA CLASSICS</t>
        </is>
      </c>
      <c r="B2136" t="inlineStr">
        <is>
          <t>Q721015</t>
        </is>
      </c>
      <c r="C2136" t="inlineStr">
        <is>
          <t>Belted Rain</t>
        </is>
      </c>
      <c r="D2136" t="inlineStr">
        <is>
          <t>NSS</t>
        </is>
      </c>
      <c r="E2136" t="inlineStr">
        <is>
          <t>(en blanco)</t>
        </is>
      </c>
      <c r="F2136" t="inlineStr">
        <is>
          <t>(en blanco)</t>
        </is>
      </c>
      <c r="G2136" t="inlineStr">
        <is>
          <t>XL</t>
        </is>
      </c>
      <c r="H2136" t="n">
        <v>1</v>
      </c>
      <c r="I2136" t="inlineStr">
        <is>
          <t>NAUTICA_CLASSICS_Q721015_NSS_1.jpg</t>
        </is>
      </c>
      <c r="J2136" t="inlineStr">
        <is>
          <t>NAUTICA_CLASSICS_Q721015_NSS_2.jpg</t>
        </is>
      </c>
      <c r="K2136" t="inlineStr">
        <is>
          <t>NAUTICA_CLASSICS_Q721015_NSS_3.jpg</t>
        </is>
      </c>
      <c r="L2136">
        <f>IMAGE("file:///E:/Estudios%20y%20certificaciones/ESTUDIOS%20DE%20PROGRAMMING/PROGRAMMING/PERSONAL/PYTHON/Image_Generator_API/imagenes/NAUTICA_CLASSICS_Q721015_NSS_1.jpg")</f>
        <v/>
      </c>
      <c r="M2136">
        <f>IMAGE("file:///E:/Estudios%20y%20certificaciones/ESTUDIOS%20DE%20PROGRAMMING/PROGRAMMING/PERSONAL/PYTHON/Image_Generator_API/imagenes/NAUTICA_CLASSICS_Q721015_NSS_2.jpg")</f>
        <v/>
      </c>
      <c r="N2136">
        <f>IMAGE("file:///E:/Estudios%20y%20certificaciones/ESTUDIOS%20DE%20PROGRAMMING/PROGRAMMING/PERSONAL/PYTHON/Image_Generator_API/imagenes/NAUTICA_CLASSICS_Q721015_NSS_3.jpg")</f>
        <v/>
      </c>
      <c r="O2136">
        <f>HYPERLINK("imagenes/NAUTICA_CLASSICS_Q721015_NSS_1.jpg","Ver imagen")</f>
        <v/>
      </c>
      <c r="P2136">
        <f>HYPERLINK("imagenes/NAUTICA_CLASSICS_Q721015_NSS_2.jpg","Ver imagen")</f>
        <v/>
      </c>
      <c r="Q2136">
        <f>HYPERLINK("imagenes/NAUTICA_CLASSICS_Q721015_NSS_3.jpg","Ver imagen")</f>
        <v/>
      </c>
    </row>
    <row r="2137">
      <c r="A2137" t="inlineStr">
        <is>
          <t>NAUTICA CLASSICS</t>
        </is>
      </c>
      <c r="B2137" t="inlineStr">
        <is>
          <t>Q721015</t>
        </is>
      </c>
      <c r="C2137" t="inlineStr">
        <is>
          <t>Belted Rain</t>
        </is>
      </c>
      <c r="D2137" t="inlineStr">
        <is>
          <t>SIG</t>
        </is>
      </c>
      <c r="E2137" t="inlineStr">
        <is>
          <t>(en blanco)</t>
        </is>
      </c>
      <c r="F2137" t="inlineStr">
        <is>
          <t>(en blanco)</t>
        </is>
      </c>
      <c r="G2137" t="inlineStr">
        <is>
          <t>L</t>
        </is>
      </c>
      <c r="H2137" t="n">
        <v>1</v>
      </c>
      <c r="I2137" t="inlineStr">
        <is>
          <t>NAUTICA_CLASSICS_Q721015_SIG_1.jpg</t>
        </is>
      </c>
      <c r="J2137" t="inlineStr">
        <is>
          <t>NAUTICA_CLASSICS_Q721015_SIG_2.jpg</t>
        </is>
      </c>
      <c r="K2137" t="inlineStr">
        <is>
          <t>NAUTICA_CLASSICS_Q721015_SIG_3.jpg</t>
        </is>
      </c>
      <c r="L2137">
        <f>IMAGE("file:///E:/Estudios%20y%20certificaciones/ESTUDIOS%20DE%20PROGRAMMING/PROGRAMMING/PERSONAL/PYTHON/Image_Generator_API/imagenes/NAUTICA_CLASSICS_Q721015_SIG_1.jpg")</f>
        <v/>
      </c>
      <c r="M2137">
        <f>IMAGE("file:///E:/Estudios%20y%20certificaciones/ESTUDIOS%20DE%20PROGRAMMING/PROGRAMMING/PERSONAL/PYTHON/Image_Generator_API/imagenes/NAUTICA_CLASSICS_Q721015_SIG_2.jpg")</f>
        <v/>
      </c>
      <c r="N2137">
        <f>IMAGE("file:///E:/Estudios%20y%20certificaciones/ESTUDIOS%20DE%20PROGRAMMING/PROGRAMMING/PERSONAL/PYTHON/Image_Generator_API/imagenes/NAUTICA_CLASSICS_Q721015_SIG_3.jpg")</f>
        <v/>
      </c>
      <c r="O2137">
        <f>HYPERLINK("imagenes/NAUTICA_CLASSICS_Q721015_SIG_1.jpg","Ver imagen")</f>
        <v/>
      </c>
      <c r="P2137">
        <f>HYPERLINK("imagenes/NAUTICA_CLASSICS_Q721015_SIG_2.jpg","Ver imagen")</f>
        <v/>
      </c>
      <c r="Q2137">
        <f>HYPERLINK("imagenes/NAUTICA_CLASSICS_Q721015_SIG_3.jpg","Ver imagen")</f>
        <v/>
      </c>
    </row>
    <row r="2138">
      <c r="A2138" t="inlineStr">
        <is>
          <t>NAUTICA CLASSICS</t>
        </is>
      </c>
      <c r="B2138" t="inlineStr">
        <is>
          <t>Q721015</t>
        </is>
      </c>
      <c r="C2138" t="inlineStr">
        <is>
          <t>Belted Rain</t>
        </is>
      </c>
      <c r="D2138" t="inlineStr">
        <is>
          <t>SIG</t>
        </is>
      </c>
      <c r="E2138" t="inlineStr">
        <is>
          <t>(en blanco)</t>
        </is>
      </c>
      <c r="F2138" t="inlineStr">
        <is>
          <t>(en blanco)</t>
        </is>
      </c>
      <c r="G2138" t="inlineStr">
        <is>
          <t>XL</t>
        </is>
      </c>
      <c r="H2138" t="n">
        <v>1</v>
      </c>
      <c r="I2138" t="inlineStr">
        <is>
          <t>NAUTICA_CLASSICS_Q721015_SIG_1.jpg</t>
        </is>
      </c>
      <c r="J2138" t="inlineStr">
        <is>
          <t>NAUTICA_CLASSICS_Q721015_SIG_2.jpg</t>
        </is>
      </c>
      <c r="K2138" t="inlineStr">
        <is>
          <t>NAUTICA_CLASSICS_Q721015_SIG_3.jpg</t>
        </is>
      </c>
      <c r="L2138">
        <f>IMAGE("file:///E:/Estudios%20y%20certificaciones/ESTUDIOS%20DE%20PROGRAMMING/PROGRAMMING/PERSONAL/PYTHON/Image_Generator_API/imagenes/NAUTICA_CLASSICS_Q721015_SIG_1.jpg")</f>
        <v/>
      </c>
      <c r="M2138">
        <f>IMAGE("file:///E:/Estudios%20y%20certificaciones/ESTUDIOS%20DE%20PROGRAMMING/PROGRAMMING/PERSONAL/PYTHON/Image_Generator_API/imagenes/NAUTICA_CLASSICS_Q721015_SIG_2.jpg")</f>
        <v/>
      </c>
      <c r="N2138">
        <f>IMAGE("file:///E:/Estudios%20y%20certificaciones/ESTUDIOS%20DE%20PROGRAMMING/PROGRAMMING/PERSONAL/PYTHON/Image_Generator_API/imagenes/NAUTICA_CLASSICS_Q721015_SIG_3.jpg")</f>
        <v/>
      </c>
      <c r="O2138">
        <f>HYPERLINK("imagenes/NAUTICA_CLASSICS_Q721015_SIG_1.jpg","Ver imagen")</f>
        <v/>
      </c>
      <c r="P2138">
        <f>HYPERLINK("imagenes/NAUTICA_CLASSICS_Q721015_SIG_2.jpg","Ver imagen")</f>
        <v/>
      </c>
      <c r="Q2138">
        <f>HYPERLINK("imagenes/NAUTICA_CLASSICS_Q721015_SIG_3.jpg","Ver imagen")</f>
        <v/>
      </c>
    </row>
    <row r="2139">
      <c r="A2139" t="inlineStr">
        <is>
          <t>NAUTICA CLASSICS</t>
        </is>
      </c>
      <c r="B2139" t="inlineStr">
        <is>
          <t>Q721134</t>
        </is>
      </c>
      <c r="C2139" t="inlineStr">
        <is>
          <t>ZIPFRNT WNDBRKR W/</t>
        </is>
      </c>
      <c r="D2139" t="inlineStr">
        <is>
          <t>NSS</t>
        </is>
      </c>
      <c r="E2139" t="inlineStr">
        <is>
          <t>(en blanco)</t>
        </is>
      </c>
      <c r="F2139" t="inlineStr">
        <is>
          <t>(en blanco)</t>
        </is>
      </c>
      <c r="G2139" t="inlineStr">
        <is>
          <t>XL</t>
        </is>
      </c>
      <c r="H2139" t="n">
        <v>1</v>
      </c>
      <c r="I2139" t="inlineStr">
        <is>
          <t>NAUTICA_CLASSICS_Q721134_NSS_1.jpg</t>
        </is>
      </c>
      <c r="J2139" t="inlineStr">
        <is>
          <t>NAUTICA_CLASSICS_Q721134_NSS_2.jpg</t>
        </is>
      </c>
      <c r="K2139" t="inlineStr">
        <is>
          <t>NAUTICA_CLASSICS_Q721134_NSS_3.jpg</t>
        </is>
      </c>
      <c r="L2139">
        <f>IMAGE("file:///E:/Estudios%20y%20certificaciones/ESTUDIOS%20DE%20PROGRAMMING/PROGRAMMING/PERSONAL/PYTHON/Image_Generator_API/imagenes/NAUTICA_CLASSICS_Q721134_NSS_1.jpg")</f>
        <v/>
      </c>
      <c r="M2139">
        <f>IMAGE("file:///E:/Estudios%20y%20certificaciones/ESTUDIOS%20DE%20PROGRAMMING/PROGRAMMING/PERSONAL/PYTHON/Image_Generator_API/imagenes/NAUTICA_CLASSICS_Q721134_NSS_2.jpg")</f>
        <v/>
      </c>
      <c r="N2139">
        <f>IMAGE("file:///E:/Estudios%20y%20certificaciones/ESTUDIOS%20DE%20PROGRAMMING/PROGRAMMING/PERSONAL/PYTHON/Image_Generator_API/imagenes/NAUTICA_CLASSICS_Q721134_NSS_3.jpg")</f>
        <v/>
      </c>
      <c r="O2139">
        <f>HYPERLINK("imagenes/NAUTICA_CLASSICS_Q721134_NSS_1.jpg","Ver imagen")</f>
        <v/>
      </c>
      <c r="P2139">
        <f>HYPERLINK("imagenes/NAUTICA_CLASSICS_Q721134_NSS_2.jpg","Ver imagen")</f>
        <v/>
      </c>
      <c r="Q2139">
        <f>HYPERLINK("imagenes/NAUTICA_CLASSICS_Q721134_NSS_3.jpg","Ver imagen")</f>
        <v/>
      </c>
    </row>
    <row r="2140">
      <c r="A2140" t="inlineStr">
        <is>
          <t>NAUTICA CLASSICS</t>
        </is>
      </c>
      <c r="B2140" t="inlineStr">
        <is>
          <t>Q724415</t>
        </is>
      </c>
      <c r="C2140" t="inlineStr">
        <is>
          <t>SNAP FNT HOODED JKT</t>
        </is>
      </c>
      <c r="D2140" t="inlineStr">
        <is>
          <t>NSS</t>
        </is>
      </c>
      <c r="E2140" t="inlineStr">
        <is>
          <t>(en blanco)</t>
        </is>
      </c>
      <c r="F2140" t="inlineStr">
        <is>
          <t>(en blanco)</t>
        </is>
      </c>
      <c r="G2140" t="inlineStr">
        <is>
          <t>XS</t>
        </is>
      </c>
      <c r="H2140" t="n">
        <v>2</v>
      </c>
      <c r="I2140" t="inlineStr">
        <is>
          <t>NAUTICA_CLASSICS_Q724415_NSS_1.jpg</t>
        </is>
      </c>
      <c r="J2140" t="inlineStr">
        <is>
          <t>NAUTICA_CLASSICS_Q724415_NSS_2.jpg</t>
        </is>
      </c>
      <c r="K2140" t="inlineStr">
        <is>
          <t>NAUTICA_CLASSICS_Q724415_NSS_3.jpg</t>
        </is>
      </c>
      <c r="L2140">
        <f>IMAGE("file:///E:/Estudios%20y%20certificaciones/ESTUDIOS%20DE%20PROGRAMMING/PROGRAMMING/PERSONAL/PYTHON/Image_Generator_API/imagenes/NAUTICA_CLASSICS_Q724415_NSS_1.jpg")</f>
        <v/>
      </c>
      <c r="M2140">
        <f>IMAGE("file:///E:/Estudios%20y%20certificaciones/ESTUDIOS%20DE%20PROGRAMMING/PROGRAMMING/PERSONAL/PYTHON/Image_Generator_API/imagenes/NAUTICA_CLASSICS_Q724415_NSS_2.jpg")</f>
        <v/>
      </c>
      <c r="N2140">
        <f>IMAGE("file:///E:/Estudios%20y%20certificaciones/ESTUDIOS%20DE%20PROGRAMMING/PROGRAMMING/PERSONAL/PYTHON/Image_Generator_API/imagenes/NAUTICA_CLASSICS_Q724415_NSS_3.jpg")</f>
        <v/>
      </c>
      <c r="O2140">
        <f>HYPERLINK("imagenes/NAUTICA_CLASSICS_Q724415_NSS_1.jpg","Ver imagen")</f>
        <v/>
      </c>
      <c r="P2140">
        <f>HYPERLINK("imagenes/NAUTICA_CLASSICS_Q724415_NSS_2.jpg","Ver imagen")</f>
        <v/>
      </c>
      <c r="Q2140">
        <f>HYPERLINK("imagenes/NAUTICA_CLASSICS_Q724415_NSS_3.jpg","Ver imagen")</f>
        <v/>
      </c>
    </row>
    <row r="2141">
      <c r="A2141" t="inlineStr">
        <is>
          <t>NAUTICA CLASSICS</t>
        </is>
      </c>
      <c r="B2141" t="inlineStr">
        <is>
          <t>Q812959M</t>
        </is>
      </c>
      <c r="C2141" t="inlineStr">
        <is>
          <t>SCARF COAT</t>
        </is>
      </c>
      <c r="D2141" t="inlineStr">
        <is>
          <t>PO1</t>
        </is>
      </c>
      <c r="E2141" t="inlineStr">
        <is>
          <t>(en blanco)</t>
        </is>
      </c>
      <c r="F2141" t="inlineStr">
        <is>
          <t>(en blanco)</t>
        </is>
      </c>
      <c r="G2141" t="inlineStr">
        <is>
          <t>SP</t>
        </is>
      </c>
      <c r="H2141" t="n">
        <v>2</v>
      </c>
      <c r="I2141" t="inlineStr">
        <is>
          <t>NAUTICA_CLASSICS_Q812959M_PO1_1.jpg</t>
        </is>
      </c>
      <c r="J2141" t="inlineStr">
        <is>
          <t>NAUTICA_CLASSICS_Q812959M_PO1_2.jpg</t>
        </is>
      </c>
      <c r="K2141" t="inlineStr">
        <is>
          <t>NAUTICA_CLASSICS_Q812959M_PO1_3.jpg</t>
        </is>
      </c>
      <c r="L2141">
        <f>IMAGE("file:///E:/Estudios%20y%20certificaciones/ESTUDIOS%20DE%20PROGRAMMING/PROGRAMMING/PERSONAL/PYTHON/Image_Generator_API/imagenes/NAUTICA_CLASSICS_Q812959M_PO1_1.jpg")</f>
        <v/>
      </c>
      <c r="M2141">
        <f>IMAGE("file:///E:/Estudios%20y%20certificaciones/ESTUDIOS%20DE%20PROGRAMMING/PROGRAMMING/PERSONAL/PYTHON/Image_Generator_API/imagenes/NAUTICA_CLASSICS_Q812959M_PO1_2.jpg")</f>
        <v/>
      </c>
      <c r="N2141">
        <f>IMAGE("file:///E:/Estudios%20y%20certificaciones/ESTUDIOS%20DE%20PROGRAMMING/PROGRAMMING/PERSONAL/PYTHON/Image_Generator_API/imagenes/NAUTICA_CLASSICS_Q812959M_PO1_3.jpg")</f>
        <v/>
      </c>
      <c r="O2141">
        <f>HYPERLINK("imagenes/NAUTICA_CLASSICS_Q812959M_PO1_1.jpg","Ver imagen")</f>
        <v/>
      </c>
      <c r="P2141">
        <f>HYPERLINK("imagenes/NAUTICA_CLASSICS_Q812959M_PO1_2.jpg","Ver imagen")</f>
        <v/>
      </c>
      <c r="Q2141">
        <f>HYPERLINK("imagenes/NAUTICA_CLASSICS_Q812959M_PO1_3.jpg","Ver imagen")</f>
        <v/>
      </c>
    </row>
    <row r="2142">
      <c r="A2142" t="inlineStr">
        <is>
          <t>NAUTICA CLASSICS</t>
        </is>
      </c>
      <c r="B2142" t="inlineStr">
        <is>
          <t>Q821823</t>
        </is>
      </c>
      <c r="C2142" t="inlineStr">
        <is>
          <t>POLY STRETCH JACKET</t>
        </is>
      </c>
      <c r="D2142" t="inlineStr">
        <is>
          <t>BLK</t>
        </is>
      </c>
      <c r="E2142" t="inlineStr">
        <is>
          <t>(en blanco)</t>
        </is>
      </c>
      <c r="F2142" t="inlineStr">
        <is>
          <t>(en blanco)</t>
        </is>
      </c>
      <c r="G2142" t="inlineStr">
        <is>
          <t>L</t>
        </is>
      </c>
      <c r="H2142" t="n">
        <v>1</v>
      </c>
      <c r="I2142" t="inlineStr">
        <is>
          <t>NAUTICA_CLASSICS_Q821823_BLK_1.jpg</t>
        </is>
      </c>
      <c r="J2142" t="inlineStr">
        <is>
          <t>NAUTICA_CLASSICS_Q821823_BLK_2.jpg</t>
        </is>
      </c>
      <c r="K2142" t="inlineStr">
        <is>
          <t>NAUTICA_CLASSICS_Q821823_BLK_3.jpg</t>
        </is>
      </c>
      <c r="L2142">
        <f>IMAGE("file:///E:/Estudios%20y%20certificaciones/ESTUDIOS%20DE%20PROGRAMMING/PROGRAMMING/PERSONAL/PYTHON/Image_Generator_API/imagenes/NAUTICA_CLASSICS_Q821823_BLK_1.jpg")</f>
        <v/>
      </c>
      <c r="M2142">
        <f>IMAGE("file:///E:/Estudios%20y%20certificaciones/ESTUDIOS%20DE%20PROGRAMMING/PROGRAMMING/PERSONAL/PYTHON/Image_Generator_API/imagenes/NAUTICA_CLASSICS_Q821823_BLK_2.jpg")</f>
        <v/>
      </c>
      <c r="N2142">
        <f>IMAGE("file:///E:/Estudios%20y%20certificaciones/ESTUDIOS%20DE%20PROGRAMMING/PROGRAMMING/PERSONAL/PYTHON/Image_Generator_API/imagenes/NAUTICA_CLASSICS_Q821823_BLK_3.jpg")</f>
        <v/>
      </c>
      <c r="O2142">
        <f>HYPERLINK("imagenes/NAUTICA_CLASSICS_Q821823_BLK_1.jpg","Ver imagen")</f>
        <v/>
      </c>
      <c r="P2142">
        <f>HYPERLINK("imagenes/NAUTICA_CLASSICS_Q821823_BLK_2.jpg","Ver imagen")</f>
        <v/>
      </c>
      <c r="Q2142">
        <f>HYPERLINK("imagenes/NAUTICA_CLASSICS_Q821823_BLK_3.jpg","Ver imagen")</f>
        <v/>
      </c>
    </row>
    <row r="2143">
      <c r="A2143" t="inlineStr">
        <is>
          <t>NAUTICA CLASSICS</t>
        </is>
      </c>
      <c r="B2143" t="inlineStr">
        <is>
          <t>Q821842</t>
        </is>
      </c>
      <c r="C2143" t="inlineStr">
        <is>
          <t>3/4 STRETCH LT WT</t>
        </is>
      </c>
      <c r="D2143" t="inlineStr">
        <is>
          <t>BLK</t>
        </is>
      </c>
      <c r="E2143" t="inlineStr">
        <is>
          <t>(en blanco)</t>
        </is>
      </c>
      <c r="F2143" t="inlineStr">
        <is>
          <t>(en blanco)</t>
        </is>
      </c>
      <c r="G2143" t="inlineStr">
        <is>
          <t>L</t>
        </is>
      </c>
      <c r="H2143" t="n">
        <v>1</v>
      </c>
      <c r="I2143" t="inlineStr">
        <is>
          <t>NAUTICA_CLASSICS_Q821842_BLK_1.jpg</t>
        </is>
      </c>
      <c r="J2143" t="inlineStr">
        <is>
          <t>NAUTICA_CLASSICS_Q821842_BLK_2.jpg</t>
        </is>
      </c>
      <c r="K2143" t="inlineStr">
        <is>
          <t>NAUTICA_CLASSICS_Q821842_BLK_3.jpg</t>
        </is>
      </c>
      <c r="L2143">
        <f>IMAGE("file:///E:/Estudios%20y%20certificaciones/ESTUDIOS%20DE%20PROGRAMMING/PROGRAMMING/PERSONAL/PYTHON/Image_Generator_API/imagenes/NAUTICA_CLASSICS_Q821842_BLK_1.jpg")</f>
        <v/>
      </c>
      <c r="M2143">
        <f>IMAGE("file:///E:/Estudios%20y%20certificaciones/ESTUDIOS%20DE%20PROGRAMMING/PROGRAMMING/PERSONAL/PYTHON/Image_Generator_API/imagenes/NAUTICA_CLASSICS_Q821842_BLK_2.jpg")</f>
        <v/>
      </c>
      <c r="N2143">
        <f>IMAGE("file:///E:/Estudios%20y%20certificaciones/ESTUDIOS%20DE%20PROGRAMMING/PROGRAMMING/PERSONAL/PYTHON/Image_Generator_API/imagenes/NAUTICA_CLASSICS_Q821842_BLK_3.jpg")</f>
        <v/>
      </c>
      <c r="O2143">
        <f>HYPERLINK("imagenes/NAUTICA_CLASSICS_Q821842_BLK_1.jpg","Ver imagen")</f>
        <v/>
      </c>
      <c r="P2143">
        <f>HYPERLINK("imagenes/NAUTICA_CLASSICS_Q821842_BLK_2.jpg","Ver imagen")</f>
        <v/>
      </c>
      <c r="Q2143">
        <f>HYPERLINK("imagenes/NAUTICA_CLASSICS_Q821842_BLK_3.jpg","Ver imagen")</f>
        <v/>
      </c>
    </row>
    <row r="2144">
      <c r="A2144" t="inlineStr">
        <is>
          <t>NAUTICA CLASSICS</t>
        </is>
      </c>
      <c r="B2144" t="inlineStr">
        <is>
          <t>Q821842</t>
        </is>
      </c>
      <c r="C2144" t="inlineStr">
        <is>
          <t>3/4 STRETCH LT WT</t>
        </is>
      </c>
      <c r="D2144" t="inlineStr">
        <is>
          <t>BLK</t>
        </is>
      </c>
      <c r="E2144" t="inlineStr">
        <is>
          <t>(en blanco)</t>
        </is>
      </c>
      <c r="F2144" t="inlineStr">
        <is>
          <t>(en blanco)</t>
        </is>
      </c>
      <c r="G2144" t="inlineStr">
        <is>
          <t>XL</t>
        </is>
      </c>
      <c r="H2144" t="n">
        <v>1</v>
      </c>
      <c r="I2144" t="inlineStr">
        <is>
          <t>NAUTICA_CLASSICS_Q821842_BLK_1.jpg</t>
        </is>
      </c>
      <c r="J2144" t="inlineStr">
        <is>
          <t>NAUTICA_CLASSICS_Q821842_BLK_2.jpg</t>
        </is>
      </c>
      <c r="K2144" t="inlineStr">
        <is>
          <t>NAUTICA_CLASSICS_Q821842_BLK_3.jpg</t>
        </is>
      </c>
      <c r="L2144">
        <f>IMAGE("file:///E:/Estudios%20y%20certificaciones/ESTUDIOS%20DE%20PROGRAMMING/PROGRAMMING/PERSONAL/PYTHON/Image_Generator_API/imagenes/NAUTICA_CLASSICS_Q821842_BLK_1.jpg")</f>
        <v/>
      </c>
      <c r="M2144">
        <f>IMAGE("file:///E:/Estudios%20y%20certificaciones/ESTUDIOS%20DE%20PROGRAMMING/PROGRAMMING/PERSONAL/PYTHON/Image_Generator_API/imagenes/NAUTICA_CLASSICS_Q821842_BLK_2.jpg")</f>
        <v/>
      </c>
      <c r="N2144">
        <f>IMAGE("file:///E:/Estudios%20y%20certificaciones/ESTUDIOS%20DE%20PROGRAMMING/PROGRAMMING/PERSONAL/PYTHON/Image_Generator_API/imagenes/NAUTICA_CLASSICS_Q821842_BLK_3.jpg")</f>
        <v/>
      </c>
      <c r="O2144">
        <f>HYPERLINK("imagenes/NAUTICA_CLASSICS_Q821842_BLK_1.jpg","Ver imagen")</f>
        <v/>
      </c>
      <c r="P2144">
        <f>HYPERLINK("imagenes/NAUTICA_CLASSICS_Q821842_BLK_2.jpg","Ver imagen")</f>
        <v/>
      </c>
      <c r="Q2144">
        <f>HYPERLINK("imagenes/NAUTICA_CLASSICS_Q821842_BLK_3.jpg","Ver imagen")</f>
        <v/>
      </c>
    </row>
    <row r="2145">
      <c r="A2145" t="inlineStr">
        <is>
          <t>NAUTICA CLASSICS</t>
        </is>
      </c>
      <c r="B2145" t="inlineStr">
        <is>
          <t>Q821842</t>
        </is>
      </c>
      <c r="C2145" t="inlineStr">
        <is>
          <t>3/4 STRETCH LT WT</t>
        </is>
      </c>
      <c r="D2145" t="inlineStr">
        <is>
          <t>CM8</t>
        </is>
      </c>
      <c r="E2145" t="inlineStr">
        <is>
          <t>(en blanco)</t>
        </is>
      </c>
      <c r="F2145" t="inlineStr">
        <is>
          <t>(en blanco)</t>
        </is>
      </c>
      <c r="G2145" t="inlineStr">
        <is>
          <t>S</t>
        </is>
      </c>
      <c r="H2145" t="n">
        <v>1</v>
      </c>
      <c r="I2145" t="inlineStr">
        <is>
          <t>NAUTICA_CLASSICS_Q821842_CM8_1.jpg</t>
        </is>
      </c>
      <c r="J2145" t="inlineStr">
        <is>
          <t>NAUTICA_CLASSICS_Q821842_CM8_2.jpg</t>
        </is>
      </c>
      <c r="K2145" t="inlineStr">
        <is>
          <t>NAUTICA_CLASSICS_Q821842_CM8_3.jpg</t>
        </is>
      </c>
      <c r="L2145">
        <f>IMAGE("file:///E:/Estudios%20y%20certificaciones/ESTUDIOS%20DE%20PROGRAMMING/PROGRAMMING/PERSONAL/PYTHON/Image_Generator_API/imagenes/NAUTICA_CLASSICS_Q821842_CM8_1.jpg")</f>
        <v/>
      </c>
      <c r="M2145">
        <f>IMAGE("file:///E:/Estudios%20y%20certificaciones/ESTUDIOS%20DE%20PROGRAMMING/PROGRAMMING/PERSONAL/PYTHON/Image_Generator_API/imagenes/NAUTICA_CLASSICS_Q821842_CM8_2.jpg")</f>
        <v/>
      </c>
      <c r="N2145">
        <f>IMAGE("file:///E:/Estudios%20y%20certificaciones/ESTUDIOS%20DE%20PROGRAMMING/PROGRAMMING/PERSONAL/PYTHON/Image_Generator_API/imagenes/NAUTICA_CLASSICS_Q821842_CM8_3.jpg")</f>
        <v/>
      </c>
      <c r="O2145">
        <f>HYPERLINK("imagenes/NAUTICA_CLASSICS_Q821842_CM8_1.jpg","Ver imagen")</f>
        <v/>
      </c>
      <c r="P2145">
        <f>HYPERLINK("imagenes/NAUTICA_CLASSICS_Q821842_CM8_2.jpg","Ver imagen")</f>
        <v/>
      </c>
      <c r="Q2145">
        <f>HYPERLINK("imagenes/NAUTICA_CLASSICS_Q821842_CM8_3.jpg","Ver imagen")</f>
        <v/>
      </c>
    </row>
    <row r="2146">
      <c r="A2146" t="inlineStr">
        <is>
          <t>NAUTICA CLASSICS</t>
        </is>
      </c>
      <c r="B2146" t="inlineStr">
        <is>
          <t>Q821842</t>
        </is>
      </c>
      <c r="C2146" t="inlineStr">
        <is>
          <t>3/4 STRETCH LT WT</t>
        </is>
      </c>
      <c r="D2146" t="inlineStr">
        <is>
          <t>CM8</t>
        </is>
      </c>
      <c r="E2146" t="inlineStr">
        <is>
          <t>(en blanco)</t>
        </is>
      </c>
      <c r="F2146" t="inlineStr">
        <is>
          <t>(en blanco)</t>
        </is>
      </c>
      <c r="G2146" t="inlineStr">
        <is>
          <t>L</t>
        </is>
      </c>
      <c r="H2146" t="n">
        <v>2</v>
      </c>
      <c r="I2146" t="inlineStr">
        <is>
          <t>NAUTICA_CLASSICS_Q821842_CM8_1.jpg</t>
        </is>
      </c>
      <c r="J2146" t="inlineStr">
        <is>
          <t>NAUTICA_CLASSICS_Q821842_CM8_2.jpg</t>
        </is>
      </c>
      <c r="K2146" t="inlineStr">
        <is>
          <t>NAUTICA_CLASSICS_Q821842_CM8_3.jpg</t>
        </is>
      </c>
      <c r="L2146">
        <f>IMAGE("file:///E:/Estudios%20y%20certificaciones/ESTUDIOS%20DE%20PROGRAMMING/PROGRAMMING/PERSONAL/PYTHON/Image_Generator_API/imagenes/NAUTICA_CLASSICS_Q821842_CM8_1.jpg")</f>
        <v/>
      </c>
      <c r="M2146">
        <f>IMAGE("file:///E:/Estudios%20y%20certificaciones/ESTUDIOS%20DE%20PROGRAMMING/PROGRAMMING/PERSONAL/PYTHON/Image_Generator_API/imagenes/NAUTICA_CLASSICS_Q821842_CM8_2.jpg")</f>
        <v/>
      </c>
      <c r="N2146">
        <f>IMAGE("file:///E:/Estudios%20y%20certificaciones/ESTUDIOS%20DE%20PROGRAMMING/PROGRAMMING/PERSONAL/PYTHON/Image_Generator_API/imagenes/NAUTICA_CLASSICS_Q821842_CM8_3.jpg")</f>
        <v/>
      </c>
      <c r="O2146">
        <f>HYPERLINK("imagenes/NAUTICA_CLASSICS_Q821842_CM8_1.jpg","Ver imagen")</f>
        <v/>
      </c>
      <c r="P2146">
        <f>HYPERLINK("imagenes/NAUTICA_CLASSICS_Q821842_CM8_2.jpg","Ver imagen")</f>
        <v/>
      </c>
      <c r="Q2146">
        <f>HYPERLINK("imagenes/NAUTICA_CLASSICS_Q821842_CM8_3.jpg","Ver imagen")</f>
        <v/>
      </c>
    </row>
    <row r="2147">
      <c r="A2147" t="inlineStr">
        <is>
          <t>NAUTICA CLASSICS</t>
        </is>
      </c>
      <c r="B2147" t="inlineStr">
        <is>
          <t>Q821842</t>
        </is>
      </c>
      <c r="C2147" t="inlineStr">
        <is>
          <t>3/4 STRETCH LT WT</t>
        </is>
      </c>
      <c r="D2147" t="inlineStr">
        <is>
          <t>NSS</t>
        </is>
      </c>
      <c r="E2147" t="inlineStr">
        <is>
          <t>(en blanco)</t>
        </is>
      </c>
      <c r="F2147" t="inlineStr">
        <is>
          <t>(en blanco)</t>
        </is>
      </c>
      <c r="G2147" t="inlineStr">
        <is>
          <t>XS</t>
        </is>
      </c>
      <c r="H2147" t="n">
        <v>1</v>
      </c>
      <c r="I2147" t="inlineStr">
        <is>
          <t>NAUTICA_CLASSICS_Q821842_NSS_1.jpg</t>
        </is>
      </c>
      <c r="J2147" t="inlineStr">
        <is>
          <t>NAUTICA_CLASSICS_Q821842_NSS_2.jpg</t>
        </is>
      </c>
      <c r="K2147" t="inlineStr">
        <is>
          <t>NAUTICA_CLASSICS_Q821842_NSS_3.jpg</t>
        </is>
      </c>
      <c r="L2147">
        <f>IMAGE("file:///E:/Estudios%20y%20certificaciones/ESTUDIOS%20DE%20PROGRAMMING/PROGRAMMING/PERSONAL/PYTHON/Image_Generator_API/imagenes/NAUTICA_CLASSICS_Q821842_NSS_1.jpg")</f>
        <v/>
      </c>
      <c r="M2147">
        <f>IMAGE("file:///E:/Estudios%20y%20certificaciones/ESTUDIOS%20DE%20PROGRAMMING/PROGRAMMING/PERSONAL/PYTHON/Image_Generator_API/imagenes/NAUTICA_CLASSICS_Q821842_NSS_2.jpg")</f>
        <v/>
      </c>
      <c r="N2147">
        <f>IMAGE("file:///E:/Estudios%20y%20certificaciones/ESTUDIOS%20DE%20PROGRAMMING/PROGRAMMING/PERSONAL/PYTHON/Image_Generator_API/imagenes/NAUTICA_CLASSICS_Q821842_NSS_3.jpg")</f>
        <v/>
      </c>
      <c r="O2147">
        <f>HYPERLINK("imagenes/NAUTICA_CLASSICS_Q821842_NSS_1.jpg","Ver imagen")</f>
        <v/>
      </c>
      <c r="P2147">
        <f>HYPERLINK("imagenes/NAUTICA_CLASSICS_Q821842_NSS_2.jpg","Ver imagen")</f>
        <v/>
      </c>
      <c r="Q2147">
        <f>HYPERLINK("imagenes/NAUTICA_CLASSICS_Q821842_NSS_3.jpg","Ver imagen")</f>
        <v/>
      </c>
    </row>
    <row r="2148">
      <c r="A2148" t="inlineStr">
        <is>
          <t>NAUTICA CLASSICS</t>
        </is>
      </c>
      <c r="B2148" t="inlineStr">
        <is>
          <t>Q822053</t>
        </is>
      </c>
      <c r="C2148" t="inlineStr">
        <is>
          <t>ANORAK</t>
        </is>
      </c>
      <c r="D2148" t="inlineStr">
        <is>
          <t>BLK</t>
        </is>
      </c>
      <c r="E2148" t="inlineStr">
        <is>
          <t>(en blanco)</t>
        </is>
      </c>
      <c r="F2148" t="inlineStr">
        <is>
          <t>(en blanco)</t>
        </is>
      </c>
      <c r="G2148" t="inlineStr">
        <is>
          <t>XS</t>
        </is>
      </c>
      <c r="H2148" t="n">
        <v>4</v>
      </c>
      <c r="I2148" t="inlineStr">
        <is>
          <t>NAUTICA_CLASSICS_Q822053_BLK_1.jpg</t>
        </is>
      </c>
      <c r="J2148" t="inlineStr">
        <is>
          <t>NAUTICA_CLASSICS_Q822053_BLK_2.jpg</t>
        </is>
      </c>
      <c r="K2148" t="inlineStr">
        <is>
          <t>NAUTICA_CLASSICS_Q822053_BLK_3.jpg</t>
        </is>
      </c>
      <c r="L2148">
        <f>IMAGE("file:///E:/Estudios%20y%20certificaciones/ESTUDIOS%20DE%20PROGRAMMING/PROGRAMMING/PERSONAL/PYTHON/Image_Generator_API/imagenes/NAUTICA_CLASSICS_Q822053_BLK_1.jpg")</f>
        <v/>
      </c>
      <c r="M2148">
        <f>IMAGE("file:///E:/Estudios%20y%20certificaciones/ESTUDIOS%20DE%20PROGRAMMING/PROGRAMMING/PERSONAL/PYTHON/Image_Generator_API/imagenes/NAUTICA_CLASSICS_Q822053_BLK_2.jpg")</f>
        <v/>
      </c>
      <c r="N2148">
        <f>IMAGE("file:///E:/Estudios%20y%20certificaciones/ESTUDIOS%20DE%20PROGRAMMING/PROGRAMMING/PERSONAL/PYTHON/Image_Generator_API/imagenes/NAUTICA_CLASSICS_Q822053_BLK_3.jpg")</f>
        <v/>
      </c>
      <c r="O2148">
        <f>HYPERLINK("imagenes/NAUTICA_CLASSICS_Q822053_BLK_1.jpg","Ver imagen")</f>
        <v/>
      </c>
      <c r="P2148">
        <f>HYPERLINK("imagenes/NAUTICA_CLASSICS_Q822053_BLK_2.jpg","Ver imagen")</f>
        <v/>
      </c>
      <c r="Q2148">
        <f>HYPERLINK("imagenes/NAUTICA_CLASSICS_Q822053_BLK_3.jpg","Ver imagen")</f>
        <v/>
      </c>
    </row>
    <row r="2149">
      <c r="A2149" t="inlineStr">
        <is>
          <t>NAUTICA CLASSICS</t>
        </is>
      </c>
      <c r="B2149" t="inlineStr">
        <is>
          <t>Q822053</t>
        </is>
      </c>
      <c r="C2149" t="inlineStr">
        <is>
          <t>ANORAK</t>
        </is>
      </c>
      <c r="D2149" t="inlineStr">
        <is>
          <t>BLK</t>
        </is>
      </c>
      <c r="E2149" t="inlineStr">
        <is>
          <t>(en blanco)</t>
        </is>
      </c>
      <c r="F2149" t="inlineStr">
        <is>
          <t>(en blanco)</t>
        </is>
      </c>
      <c r="G2149" t="inlineStr">
        <is>
          <t>S</t>
        </is>
      </c>
      <c r="H2149" t="n">
        <v>1</v>
      </c>
      <c r="I2149" t="inlineStr">
        <is>
          <t>NAUTICA_CLASSICS_Q822053_BLK_1.jpg</t>
        </is>
      </c>
      <c r="J2149" t="inlineStr">
        <is>
          <t>NAUTICA_CLASSICS_Q822053_BLK_2.jpg</t>
        </is>
      </c>
      <c r="K2149" t="inlineStr">
        <is>
          <t>NAUTICA_CLASSICS_Q822053_BLK_3.jpg</t>
        </is>
      </c>
      <c r="L2149">
        <f>IMAGE("file:///E:/Estudios%20y%20certificaciones/ESTUDIOS%20DE%20PROGRAMMING/PROGRAMMING/PERSONAL/PYTHON/Image_Generator_API/imagenes/NAUTICA_CLASSICS_Q822053_BLK_1.jpg")</f>
        <v/>
      </c>
      <c r="M2149">
        <f>IMAGE("file:///E:/Estudios%20y%20certificaciones/ESTUDIOS%20DE%20PROGRAMMING/PROGRAMMING/PERSONAL/PYTHON/Image_Generator_API/imagenes/NAUTICA_CLASSICS_Q822053_BLK_2.jpg")</f>
        <v/>
      </c>
      <c r="N2149">
        <f>IMAGE("file:///E:/Estudios%20y%20certificaciones/ESTUDIOS%20DE%20PROGRAMMING/PROGRAMMING/PERSONAL/PYTHON/Image_Generator_API/imagenes/NAUTICA_CLASSICS_Q822053_BLK_3.jpg")</f>
        <v/>
      </c>
      <c r="O2149">
        <f>HYPERLINK("imagenes/NAUTICA_CLASSICS_Q822053_BLK_1.jpg","Ver imagen")</f>
        <v/>
      </c>
      <c r="P2149">
        <f>HYPERLINK("imagenes/NAUTICA_CLASSICS_Q822053_BLK_2.jpg","Ver imagen")</f>
        <v/>
      </c>
      <c r="Q2149">
        <f>HYPERLINK("imagenes/NAUTICA_CLASSICS_Q822053_BLK_3.jpg","Ver imagen")</f>
        <v/>
      </c>
    </row>
    <row r="2150">
      <c r="A2150" t="inlineStr">
        <is>
          <t>NAUTICA CLASSICS</t>
        </is>
      </c>
      <c r="B2150" t="inlineStr">
        <is>
          <t>Q822053</t>
        </is>
      </c>
      <c r="C2150" t="inlineStr">
        <is>
          <t>ANORAK</t>
        </is>
      </c>
      <c r="D2150" t="inlineStr">
        <is>
          <t>BLK</t>
        </is>
      </c>
      <c r="E2150" t="inlineStr">
        <is>
          <t>(en blanco)</t>
        </is>
      </c>
      <c r="F2150" t="inlineStr">
        <is>
          <t>(en blanco)</t>
        </is>
      </c>
      <c r="G2150" t="inlineStr">
        <is>
          <t>M</t>
        </is>
      </c>
      <c r="H2150" t="n">
        <v>1</v>
      </c>
      <c r="I2150" t="inlineStr">
        <is>
          <t>NAUTICA_CLASSICS_Q822053_BLK_1.jpg</t>
        </is>
      </c>
      <c r="J2150" t="inlineStr">
        <is>
          <t>NAUTICA_CLASSICS_Q822053_BLK_2.jpg</t>
        </is>
      </c>
      <c r="K2150" t="inlineStr">
        <is>
          <t>NAUTICA_CLASSICS_Q822053_BLK_3.jpg</t>
        </is>
      </c>
      <c r="L2150">
        <f>IMAGE("file:///E:/Estudios%20y%20certificaciones/ESTUDIOS%20DE%20PROGRAMMING/PROGRAMMING/PERSONAL/PYTHON/Image_Generator_API/imagenes/NAUTICA_CLASSICS_Q822053_BLK_1.jpg")</f>
        <v/>
      </c>
      <c r="M2150">
        <f>IMAGE("file:///E:/Estudios%20y%20certificaciones/ESTUDIOS%20DE%20PROGRAMMING/PROGRAMMING/PERSONAL/PYTHON/Image_Generator_API/imagenes/NAUTICA_CLASSICS_Q822053_BLK_2.jpg")</f>
        <v/>
      </c>
      <c r="N2150">
        <f>IMAGE("file:///E:/Estudios%20y%20certificaciones/ESTUDIOS%20DE%20PROGRAMMING/PROGRAMMING/PERSONAL/PYTHON/Image_Generator_API/imagenes/NAUTICA_CLASSICS_Q822053_BLK_3.jpg")</f>
        <v/>
      </c>
      <c r="O2150">
        <f>HYPERLINK("imagenes/NAUTICA_CLASSICS_Q822053_BLK_1.jpg","Ver imagen")</f>
        <v/>
      </c>
      <c r="P2150">
        <f>HYPERLINK("imagenes/NAUTICA_CLASSICS_Q822053_BLK_2.jpg","Ver imagen")</f>
        <v/>
      </c>
      <c r="Q2150">
        <f>HYPERLINK("imagenes/NAUTICA_CLASSICS_Q822053_BLK_3.jpg","Ver imagen")</f>
        <v/>
      </c>
    </row>
    <row r="2151">
      <c r="A2151" t="inlineStr">
        <is>
          <t>NAUTICA CLASSICS</t>
        </is>
      </c>
      <c r="B2151" t="inlineStr">
        <is>
          <t>Q822053</t>
        </is>
      </c>
      <c r="C2151" t="inlineStr">
        <is>
          <t>ANORAK</t>
        </is>
      </c>
      <c r="D2151" t="inlineStr">
        <is>
          <t>BLK</t>
        </is>
      </c>
      <c r="E2151" t="inlineStr">
        <is>
          <t>(en blanco)</t>
        </is>
      </c>
      <c r="F2151" t="inlineStr">
        <is>
          <t>(en blanco)</t>
        </is>
      </c>
      <c r="G2151" t="inlineStr">
        <is>
          <t>L</t>
        </is>
      </c>
      <c r="H2151" t="n">
        <v>1</v>
      </c>
      <c r="I2151" t="inlineStr">
        <is>
          <t>NAUTICA_CLASSICS_Q822053_BLK_1.jpg</t>
        </is>
      </c>
      <c r="J2151" t="inlineStr">
        <is>
          <t>NAUTICA_CLASSICS_Q822053_BLK_2.jpg</t>
        </is>
      </c>
      <c r="K2151" t="inlineStr">
        <is>
          <t>NAUTICA_CLASSICS_Q822053_BLK_3.jpg</t>
        </is>
      </c>
      <c r="L2151">
        <f>IMAGE("file:///E:/Estudios%20y%20certificaciones/ESTUDIOS%20DE%20PROGRAMMING/PROGRAMMING/PERSONAL/PYTHON/Image_Generator_API/imagenes/NAUTICA_CLASSICS_Q822053_BLK_1.jpg")</f>
        <v/>
      </c>
      <c r="M2151">
        <f>IMAGE("file:///E:/Estudios%20y%20certificaciones/ESTUDIOS%20DE%20PROGRAMMING/PROGRAMMING/PERSONAL/PYTHON/Image_Generator_API/imagenes/NAUTICA_CLASSICS_Q822053_BLK_2.jpg")</f>
        <v/>
      </c>
      <c r="N2151">
        <f>IMAGE("file:///E:/Estudios%20y%20certificaciones/ESTUDIOS%20DE%20PROGRAMMING/PROGRAMMING/PERSONAL/PYTHON/Image_Generator_API/imagenes/NAUTICA_CLASSICS_Q822053_BLK_3.jpg")</f>
        <v/>
      </c>
      <c r="O2151">
        <f>HYPERLINK("imagenes/NAUTICA_CLASSICS_Q822053_BLK_1.jpg","Ver imagen")</f>
        <v/>
      </c>
      <c r="P2151">
        <f>HYPERLINK("imagenes/NAUTICA_CLASSICS_Q822053_BLK_2.jpg","Ver imagen")</f>
        <v/>
      </c>
      <c r="Q2151">
        <f>HYPERLINK("imagenes/NAUTICA_CLASSICS_Q822053_BLK_3.jpg","Ver imagen")</f>
        <v/>
      </c>
    </row>
    <row r="2152">
      <c r="A2152" t="inlineStr">
        <is>
          <t>NAUTICA CLASSICS</t>
        </is>
      </c>
      <c r="B2152" t="inlineStr">
        <is>
          <t>Q822053</t>
        </is>
      </c>
      <c r="C2152" t="inlineStr">
        <is>
          <t>ANORAK</t>
        </is>
      </c>
      <c r="D2152" t="inlineStr">
        <is>
          <t>BLK</t>
        </is>
      </c>
      <c r="E2152" t="inlineStr">
        <is>
          <t>(en blanco)</t>
        </is>
      </c>
      <c r="F2152" t="inlineStr">
        <is>
          <t>(en blanco)</t>
        </is>
      </c>
      <c r="G2152" t="inlineStr">
        <is>
          <t>XL</t>
        </is>
      </c>
      <c r="H2152" t="n">
        <v>1</v>
      </c>
      <c r="I2152" t="inlineStr">
        <is>
          <t>NAUTICA_CLASSICS_Q822053_BLK_1.jpg</t>
        </is>
      </c>
      <c r="J2152" t="inlineStr">
        <is>
          <t>NAUTICA_CLASSICS_Q822053_BLK_2.jpg</t>
        </is>
      </c>
      <c r="K2152" t="inlineStr">
        <is>
          <t>NAUTICA_CLASSICS_Q822053_BLK_3.jpg</t>
        </is>
      </c>
      <c r="L2152">
        <f>IMAGE("file:///E:/Estudios%20y%20certificaciones/ESTUDIOS%20DE%20PROGRAMMING/PROGRAMMING/PERSONAL/PYTHON/Image_Generator_API/imagenes/NAUTICA_CLASSICS_Q822053_BLK_1.jpg")</f>
        <v/>
      </c>
      <c r="M2152">
        <f>IMAGE("file:///E:/Estudios%20y%20certificaciones/ESTUDIOS%20DE%20PROGRAMMING/PROGRAMMING/PERSONAL/PYTHON/Image_Generator_API/imagenes/NAUTICA_CLASSICS_Q822053_BLK_2.jpg")</f>
        <v/>
      </c>
      <c r="N2152">
        <f>IMAGE("file:///E:/Estudios%20y%20certificaciones/ESTUDIOS%20DE%20PROGRAMMING/PROGRAMMING/PERSONAL/PYTHON/Image_Generator_API/imagenes/NAUTICA_CLASSICS_Q822053_BLK_3.jpg")</f>
        <v/>
      </c>
      <c r="O2152">
        <f>HYPERLINK("imagenes/NAUTICA_CLASSICS_Q822053_BLK_1.jpg","Ver imagen")</f>
        <v/>
      </c>
      <c r="P2152">
        <f>HYPERLINK("imagenes/NAUTICA_CLASSICS_Q822053_BLK_2.jpg","Ver imagen")</f>
        <v/>
      </c>
      <c r="Q2152">
        <f>HYPERLINK("imagenes/NAUTICA_CLASSICS_Q822053_BLK_3.jpg","Ver imagen")</f>
        <v/>
      </c>
    </row>
    <row r="2153">
      <c r="A2153" t="inlineStr">
        <is>
          <t>NAUTICA CLASSICS</t>
        </is>
      </c>
      <c r="B2153" t="inlineStr">
        <is>
          <t>Q822053</t>
        </is>
      </c>
      <c r="C2153" t="inlineStr">
        <is>
          <t>ANORAK</t>
        </is>
      </c>
      <c r="D2153" t="inlineStr">
        <is>
          <t>DPN</t>
        </is>
      </c>
      <c r="E2153" t="inlineStr">
        <is>
          <t>(en blanco)</t>
        </is>
      </c>
      <c r="F2153" t="inlineStr">
        <is>
          <t>(en blanco)</t>
        </is>
      </c>
      <c r="G2153" t="inlineStr">
        <is>
          <t>S</t>
        </is>
      </c>
      <c r="H2153" t="n">
        <v>1</v>
      </c>
      <c r="I2153" t="inlineStr">
        <is>
          <t>NAUTICA_CLASSICS_Q822053_DPN_2.jpg</t>
        </is>
      </c>
      <c r="J2153" t="inlineStr">
        <is>
          <t>NAUTICA_CLASSICS_Q822053_DPN_3.jpg</t>
        </is>
      </c>
      <c r="L2153">
        <f>IMAGE("file:///E:/Estudios%20y%20certificaciones/ESTUDIOS%20DE%20PROGRAMMING/PROGRAMMING/PERSONAL/PYTHON/Image_Generator_API/imagenes/NAUTICA_CLASSICS_Q822053_DPN_2.jpg")</f>
        <v/>
      </c>
      <c r="M2153">
        <f>IMAGE("file:///E:/Estudios%20y%20certificaciones/ESTUDIOS%20DE%20PROGRAMMING/PROGRAMMING/PERSONAL/PYTHON/Image_Generator_API/imagenes/NAUTICA_CLASSICS_Q822053_DPN_3.jpg")</f>
        <v/>
      </c>
      <c r="O2153">
        <f>HYPERLINK("imagenes/NAUTICA_CLASSICS_Q822053_DPN_2.jpg","Ver imagen")</f>
        <v/>
      </c>
      <c r="P2153">
        <f>HYPERLINK("imagenes/NAUTICA_CLASSICS_Q822053_DPN_3.jpg","Ver imagen")</f>
        <v/>
      </c>
    </row>
    <row r="2154">
      <c r="A2154" t="inlineStr">
        <is>
          <t>NAUTICA CLASSICS</t>
        </is>
      </c>
      <c r="B2154" t="inlineStr">
        <is>
          <t>Q822053</t>
        </is>
      </c>
      <c r="C2154" t="inlineStr">
        <is>
          <t>ANORAK</t>
        </is>
      </c>
      <c r="D2154" t="inlineStr">
        <is>
          <t>DPN</t>
        </is>
      </c>
      <c r="E2154" t="inlineStr">
        <is>
          <t>(en blanco)</t>
        </is>
      </c>
      <c r="F2154" t="inlineStr">
        <is>
          <t>(en blanco)</t>
        </is>
      </c>
      <c r="G2154" t="inlineStr">
        <is>
          <t>L</t>
        </is>
      </c>
      <c r="H2154" t="n">
        <v>1</v>
      </c>
      <c r="I2154" t="inlineStr">
        <is>
          <t>NAUTICA_CLASSICS_Q822053_DPN_2.jpg</t>
        </is>
      </c>
      <c r="J2154" t="inlineStr">
        <is>
          <t>NAUTICA_CLASSICS_Q822053_DPN_3.jpg</t>
        </is>
      </c>
      <c r="L2154">
        <f>IMAGE("file:///E:/Estudios%20y%20certificaciones/ESTUDIOS%20DE%20PROGRAMMING/PROGRAMMING/PERSONAL/PYTHON/Image_Generator_API/imagenes/NAUTICA_CLASSICS_Q822053_DPN_2.jpg")</f>
        <v/>
      </c>
      <c r="M2154">
        <f>IMAGE("file:///E:/Estudios%20y%20certificaciones/ESTUDIOS%20DE%20PROGRAMMING/PROGRAMMING/PERSONAL/PYTHON/Image_Generator_API/imagenes/NAUTICA_CLASSICS_Q822053_DPN_3.jpg")</f>
        <v/>
      </c>
      <c r="O2154">
        <f>HYPERLINK("imagenes/NAUTICA_CLASSICS_Q822053_DPN_2.jpg","Ver imagen")</f>
        <v/>
      </c>
      <c r="P2154">
        <f>HYPERLINK("imagenes/NAUTICA_CLASSICS_Q822053_DPN_3.jpg","Ver imagen")</f>
        <v/>
      </c>
    </row>
    <row r="2155">
      <c r="A2155" t="inlineStr">
        <is>
          <t>NAUTICA CLASSICS</t>
        </is>
      </c>
      <c r="B2155" t="inlineStr">
        <is>
          <t>Q822053</t>
        </is>
      </c>
      <c r="C2155" t="inlineStr">
        <is>
          <t>ANORAK</t>
        </is>
      </c>
      <c r="D2155" t="inlineStr">
        <is>
          <t>NSS</t>
        </is>
      </c>
      <c r="E2155" t="inlineStr">
        <is>
          <t>(en blanco)</t>
        </is>
      </c>
      <c r="F2155" t="inlineStr">
        <is>
          <t>(en blanco)</t>
        </is>
      </c>
      <c r="G2155" t="inlineStr">
        <is>
          <t>M</t>
        </is>
      </c>
      <c r="H2155" t="n">
        <v>1</v>
      </c>
      <c r="I2155" t="inlineStr">
        <is>
          <t>NAUTICA_CLASSICS_Q822053_NSS_2.jpg</t>
        </is>
      </c>
      <c r="J2155" t="inlineStr">
        <is>
          <t>NAUTICA_CLASSICS_Q822053_NSS_3.jpg</t>
        </is>
      </c>
      <c r="L2155">
        <f>IMAGE("file:///E:/Estudios%20y%20certificaciones/ESTUDIOS%20DE%20PROGRAMMING/PROGRAMMING/PERSONAL/PYTHON/Image_Generator_API/imagenes/NAUTICA_CLASSICS_Q822053_NSS_2.jpg")</f>
        <v/>
      </c>
      <c r="M2155">
        <f>IMAGE("file:///E:/Estudios%20y%20certificaciones/ESTUDIOS%20DE%20PROGRAMMING/PROGRAMMING/PERSONAL/PYTHON/Image_Generator_API/imagenes/NAUTICA_CLASSICS_Q822053_NSS_3.jpg")</f>
        <v/>
      </c>
      <c r="O2155">
        <f>HYPERLINK("imagenes/NAUTICA_CLASSICS_Q822053_NSS_2.jpg","Ver imagen")</f>
        <v/>
      </c>
      <c r="P2155">
        <f>HYPERLINK("imagenes/NAUTICA_CLASSICS_Q822053_NSS_3.jpg","Ver imagen")</f>
        <v/>
      </c>
    </row>
    <row r="2156">
      <c r="A2156" t="inlineStr">
        <is>
          <t>NAUTICA CLASSICS</t>
        </is>
      </c>
      <c r="B2156" t="inlineStr">
        <is>
          <t>Q822053</t>
        </is>
      </c>
      <c r="C2156" t="inlineStr">
        <is>
          <t>ANORAK</t>
        </is>
      </c>
      <c r="D2156" t="inlineStr">
        <is>
          <t>NVY</t>
        </is>
      </c>
      <c r="E2156" t="inlineStr">
        <is>
          <t>(en blanco)</t>
        </is>
      </c>
      <c r="F2156" t="inlineStr">
        <is>
          <t>(en blanco)</t>
        </is>
      </c>
      <c r="G2156" t="inlineStr">
        <is>
          <t>S</t>
        </is>
      </c>
      <c r="H2156" t="n">
        <v>1</v>
      </c>
      <c r="I2156" t="inlineStr">
        <is>
          <t>NAUTICA_CLASSICS_Q822053_NVY_1.jpg</t>
        </is>
      </c>
      <c r="J2156" t="inlineStr">
        <is>
          <t>NAUTICA_CLASSICS_Q822053_NVY_2.jpg</t>
        </is>
      </c>
      <c r="K2156" t="inlineStr">
        <is>
          <t>NAUTICA_CLASSICS_Q822053_NVY_3.jpg</t>
        </is>
      </c>
      <c r="L2156">
        <f>IMAGE("file:///E:/Estudios%20y%20certificaciones/ESTUDIOS%20DE%20PROGRAMMING/PROGRAMMING/PERSONAL/PYTHON/Image_Generator_API/imagenes/NAUTICA_CLASSICS_Q822053_NVY_1.jpg")</f>
        <v/>
      </c>
      <c r="M2156">
        <f>IMAGE("file:///E:/Estudios%20y%20certificaciones/ESTUDIOS%20DE%20PROGRAMMING/PROGRAMMING/PERSONAL/PYTHON/Image_Generator_API/imagenes/NAUTICA_CLASSICS_Q822053_NVY_2.jpg")</f>
        <v/>
      </c>
      <c r="N2156">
        <f>IMAGE("file:///E:/Estudios%20y%20certificaciones/ESTUDIOS%20DE%20PROGRAMMING/PROGRAMMING/PERSONAL/PYTHON/Image_Generator_API/imagenes/NAUTICA_CLASSICS_Q822053_NVY_3.jpg")</f>
        <v/>
      </c>
      <c r="O2156">
        <f>HYPERLINK("imagenes/NAUTICA_CLASSICS_Q822053_NVY_1.jpg","Ver imagen")</f>
        <v/>
      </c>
      <c r="P2156">
        <f>HYPERLINK("imagenes/NAUTICA_CLASSICS_Q822053_NVY_2.jpg","Ver imagen")</f>
        <v/>
      </c>
      <c r="Q2156">
        <f>HYPERLINK("imagenes/NAUTICA_CLASSICS_Q822053_NVY_3.jpg","Ver imagen")</f>
        <v/>
      </c>
    </row>
    <row r="2157">
      <c r="A2157" t="inlineStr">
        <is>
          <t>NAUTICA CLASSICS</t>
        </is>
      </c>
      <c r="B2157" t="inlineStr">
        <is>
          <t>Q822053</t>
        </is>
      </c>
      <c r="C2157" t="inlineStr">
        <is>
          <t>ANORAK</t>
        </is>
      </c>
      <c r="D2157" t="inlineStr">
        <is>
          <t>OLI</t>
        </is>
      </c>
      <c r="E2157" t="inlineStr">
        <is>
          <t>(en blanco)</t>
        </is>
      </c>
      <c r="F2157" t="inlineStr">
        <is>
          <t>(en blanco)</t>
        </is>
      </c>
      <c r="G2157" t="inlineStr">
        <is>
          <t>XS</t>
        </is>
      </c>
      <c r="H2157" t="n">
        <v>1</v>
      </c>
      <c r="I2157" t="inlineStr">
        <is>
          <t>NAUTICA_CLASSICS_Q822053_OLI_1.jpg</t>
        </is>
      </c>
      <c r="J2157" t="inlineStr">
        <is>
          <t>NAUTICA_CLASSICS_Q822053_OLI_2.jpg</t>
        </is>
      </c>
      <c r="K2157" t="inlineStr">
        <is>
          <t>NAUTICA_CLASSICS_Q822053_OLI_3.jpg</t>
        </is>
      </c>
      <c r="L2157">
        <f>IMAGE("file:///E:/Estudios%20y%20certificaciones/ESTUDIOS%20DE%20PROGRAMMING/PROGRAMMING/PERSONAL/PYTHON/Image_Generator_API/imagenes/NAUTICA_CLASSICS_Q822053_OLI_1.jpg")</f>
        <v/>
      </c>
      <c r="M2157">
        <f>IMAGE("file:///E:/Estudios%20y%20certificaciones/ESTUDIOS%20DE%20PROGRAMMING/PROGRAMMING/PERSONAL/PYTHON/Image_Generator_API/imagenes/NAUTICA_CLASSICS_Q822053_OLI_2.jpg")</f>
        <v/>
      </c>
      <c r="N2157">
        <f>IMAGE("file:///E:/Estudios%20y%20certificaciones/ESTUDIOS%20DE%20PROGRAMMING/PROGRAMMING/PERSONAL/PYTHON/Image_Generator_API/imagenes/NAUTICA_CLASSICS_Q822053_OLI_3.jpg")</f>
        <v/>
      </c>
      <c r="O2157">
        <f>HYPERLINK("imagenes/NAUTICA_CLASSICS_Q822053_OLI_1.jpg","Ver imagen")</f>
        <v/>
      </c>
      <c r="P2157">
        <f>HYPERLINK("imagenes/NAUTICA_CLASSICS_Q822053_OLI_2.jpg","Ver imagen")</f>
        <v/>
      </c>
      <c r="Q2157">
        <f>HYPERLINK("imagenes/NAUTICA_CLASSICS_Q822053_OLI_3.jpg","Ver imagen")</f>
        <v/>
      </c>
    </row>
    <row r="2158">
      <c r="A2158" t="inlineStr">
        <is>
          <t>NAUTICA CLASSICS</t>
        </is>
      </c>
      <c r="B2158" t="inlineStr">
        <is>
          <t>Q822053</t>
        </is>
      </c>
      <c r="C2158" t="inlineStr">
        <is>
          <t>ANORAK</t>
        </is>
      </c>
      <c r="D2158" t="inlineStr">
        <is>
          <t>OLI</t>
        </is>
      </c>
      <c r="E2158" t="inlineStr">
        <is>
          <t>(en blanco)</t>
        </is>
      </c>
      <c r="F2158" t="inlineStr">
        <is>
          <t>(en blanco)</t>
        </is>
      </c>
      <c r="G2158" t="inlineStr">
        <is>
          <t>S</t>
        </is>
      </c>
      <c r="H2158" t="n">
        <v>2</v>
      </c>
      <c r="I2158" t="inlineStr">
        <is>
          <t>NAUTICA_CLASSICS_Q822053_OLI_1.jpg</t>
        </is>
      </c>
      <c r="J2158" t="inlineStr">
        <is>
          <t>NAUTICA_CLASSICS_Q822053_OLI_2.jpg</t>
        </is>
      </c>
      <c r="K2158" t="inlineStr">
        <is>
          <t>NAUTICA_CLASSICS_Q822053_OLI_3.jpg</t>
        </is>
      </c>
      <c r="L2158">
        <f>IMAGE("file:///E:/Estudios%20y%20certificaciones/ESTUDIOS%20DE%20PROGRAMMING/PROGRAMMING/PERSONAL/PYTHON/Image_Generator_API/imagenes/NAUTICA_CLASSICS_Q822053_OLI_1.jpg")</f>
        <v/>
      </c>
      <c r="M2158">
        <f>IMAGE("file:///E:/Estudios%20y%20certificaciones/ESTUDIOS%20DE%20PROGRAMMING/PROGRAMMING/PERSONAL/PYTHON/Image_Generator_API/imagenes/NAUTICA_CLASSICS_Q822053_OLI_2.jpg")</f>
        <v/>
      </c>
      <c r="N2158">
        <f>IMAGE("file:///E:/Estudios%20y%20certificaciones/ESTUDIOS%20DE%20PROGRAMMING/PROGRAMMING/PERSONAL/PYTHON/Image_Generator_API/imagenes/NAUTICA_CLASSICS_Q822053_OLI_3.jpg")</f>
        <v/>
      </c>
      <c r="O2158">
        <f>HYPERLINK("imagenes/NAUTICA_CLASSICS_Q822053_OLI_1.jpg","Ver imagen")</f>
        <v/>
      </c>
      <c r="P2158">
        <f>HYPERLINK("imagenes/NAUTICA_CLASSICS_Q822053_OLI_2.jpg","Ver imagen")</f>
        <v/>
      </c>
      <c r="Q2158">
        <f>HYPERLINK("imagenes/NAUTICA_CLASSICS_Q822053_OLI_3.jpg","Ver imagen")</f>
        <v/>
      </c>
    </row>
    <row r="2159">
      <c r="A2159" t="inlineStr">
        <is>
          <t>NAUTICA CLASSICS</t>
        </is>
      </c>
      <c r="B2159" t="inlineStr">
        <is>
          <t>Q822053</t>
        </is>
      </c>
      <c r="C2159" t="inlineStr">
        <is>
          <t>ANORAK</t>
        </is>
      </c>
      <c r="D2159" t="inlineStr">
        <is>
          <t>OLI</t>
        </is>
      </c>
      <c r="E2159" t="inlineStr">
        <is>
          <t>(en blanco)</t>
        </is>
      </c>
      <c r="F2159" t="inlineStr">
        <is>
          <t>(en blanco)</t>
        </is>
      </c>
      <c r="G2159" t="inlineStr">
        <is>
          <t>M</t>
        </is>
      </c>
      <c r="H2159" t="n">
        <v>1</v>
      </c>
      <c r="I2159" t="inlineStr">
        <is>
          <t>NAUTICA_CLASSICS_Q822053_OLI_1.jpg</t>
        </is>
      </c>
      <c r="J2159" t="inlineStr">
        <is>
          <t>NAUTICA_CLASSICS_Q822053_OLI_2.jpg</t>
        </is>
      </c>
      <c r="K2159" t="inlineStr">
        <is>
          <t>NAUTICA_CLASSICS_Q822053_OLI_3.jpg</t>
        </is>
      </c>
      <c r="L2159">
        <f>IMAGE("file:///E:/Estudios%20y%20certificaciones/ESTUDIOS%20DE%20PROGRAMMING/PROGRAMMING/PERSONAL/PYTHON/Image_Generator_API/imagenes/NAUTICA_CLASSICS_Q822053_OLI_1.jpg")</f>
        <v/>
      </c>
      <c r="M2159">
        <f>IMAGE("file:///E:/Estudios%20y%20certificaciones/ESTUDIOS%20DE%20PROGRAMMING/PROGRAMMING/PERSONAL/PYTHON/Image_Generator_API/imagenes/NAUTICA_CLASSICS_Q822053_OLI_2.jpg")</f>
        <v/>
      </c>
      <c r="N2159">
        <f>IMAGE("file:///E:/Estudios%20y%20certificaciones/ESTUDIOS%20DE%20PROGRAMMING/PROGRAMMING/PERSONAL/PYTHON/Image_Generator_API/imagenes/NAUTICA_CLASSICS_Q822053_OLI_3.jpg")</f>
        <v/>
      </c>
      <c r="O2159">
        <f>HYPERLINK("imagenes/NAUTICA_CLASSICS_Q822053_OLI_1.jpg","Ver imagen")</f>
        <v/>
      </c>
      <c r="P2159">
        <f>HYPERLINK("imagenes/NAUTICA_CLASSICS_Q822053_OLI_2.jpg","Ver imagen")</f>
        <v/>
      </c>
      <c r="Q2159">
        <f>HYPERLINK("imagenes/NAUTICA_CLASSICS_Q822053_OLI_3.jpg","Ver imagen")</f>
        <v/>
      </c>
    </row>
    <row r="2160">
      <c r="A2160" t="inlineStr">
        <is>
          <t>NAUTICA CLASSICS</t>
        </is>
      </c>
      <c r="B2160" t="inlineStr">
        <is>
          <t>Q822593</t>
        </is>
      </c>
      <c r="C2160" t="inlineStr">
        <is>
          <t>LEATHER JKT</t>
        </is>
      </c>
      <c r="D2160" t="inlineStr">
        <is>
          <t>BLK</t>
        </is>
      </c>
      <c r="E2160" t="inlineStr">
        <is>
          <t>(en blanco)</t>
        </is>
      </c>
      <c r="F2160" t="inlineStr">
        <is>
          <t>(en blanco)</t>
        </is>
      </c>
      <c r="G2160" t="inlineStr">
        <is>
          <t>L</t>
        </is>
      </c>
      <c r="H2160" t="n">
        <v>6</v>
      </c>
      <c r="I2160" t="inlineStr">
        <is>
          <t>NAUTICA_CLASSICS_Q822593_BLK_1.jpg</t>
        </is>
      </c>
      <c r="J2160" t="inlineStr">
        <is>
          <t>NAUTICA_CLASSICS_Q822593_BLK_2.jpg</t>
        </is>
      </c>
      <c r="K2160" t="inlineStr">
        <is>
          <t>NAUTICA_CLASSICS_Q822593_BLK_3.jpg</t>
        </is>
      </c>
      <c r="L2160">
        <f>IMAGE("file:///E:/Estudios%20y%20certificaciones/ESTUDIOS%20DE%20PROGRAMMING/PROGRAMMING/PERSONAL/PYTHON/Image_Generator_API/imagenes/NAUTICA_CLASSICS_Q822593_BLK_1.jpg")</f>
        <v/>
      </c>
      <c r="M2160">
        <f>IMAGE("file:///E:/Estudios%20y%20certificaciones/ESTUDIOS%20DE%20PROGRAMMING/PROGRAMMING/PERSONAL/PYTHON/Image_Generator_API/imagenes/NAUTICA_CLASSICS_Q822593_BLK_2.jpg")</f>
        <v/>
      </c>
      <c r="N2160">
        <f>IMAGE("file:///E:/Estudios%20y%20certificaciones/ESTUDIOS%20DE%20PROGRAMMING/PROGRAMMING/PERSONAL/PYTHON/Image_Generator_API/imagenes/NAUTICA_CLASSICS_Q822593_BLK_3.jpg")</f>
        <v/>
      </c>
      <c r="O2160">
        <f>HYPERLINK("imagenes/NAUTICA_CLASSICS_Q822593_BLK_1.jpg","Ver imagen")</f>
        <v/>
      </c>
      <c r="P2160">
        <f>HYPERLINK("imagenes/NAUTICA_CLASSICS_Q822593_BLK_2.jpg","Ver imagen")</f>
        <v/>
      </c>
      <c r="Q2160">
        <f>HYPERLINK("imagenes/NAUTICA_CLASSICS_Q822593_BLK_3.jpg","Ver imagen")</f>
        <v/>
      </c>
    </row>
    <row r="2161">
      <c r="A2161" t="inlineStr">
        <is>
          <t>NAUTICA CLASSICS</t>
        </is>
      </c>
      <c r="B2161" t="inlineStr">
        <is>
          <t>Q822593</t>
        </is>
      </c>
      <c r="C2161" t="inlineStr">
        <is>
          <t>LEATHER JKT</t>
        </is>
      </c>
      <c r="D2161" t="inlineStr">
        <is>
          <t>BLK</t>
        </is>
      </c>
      <c r="E2161" t="inlineStr">
        <is>
          <t>(en blanco)</t>
        </is>
      </c>
      <c r="F2161" t="inlineStr">
        <is>
          <t>(en blanco)</t>
        </is>
      </c>
      <c r="G2161" t="inlineStr">
        <is>
          <t>XL</t>
        </is>
      </c>
      <c r="H2161" t="n">
        <v>3</v>
      </c>
      <c r="I2161" t="inlineStr">
        <is>
          <t>NAUTICA_CLASSICS_Q822593_BLK_1.jpg</t>
        </is>
      </c>
      <c r="J2161" t="inlineStr">
        <is>
          <t>NAUTICA_CLASSICS_Q822593_BLK_2.jpg</t>
        </is>
      </c>
      <c r="K2161" t="inlineStr">
        <is>
          <t>NAUTICA_CLASSICS_Q822593_BLK_3.jpg</t>
        </is>
      </c>
      <c r="L2161">
        <f>IMAGE("file:///E:/Estudios%20y%20certificaciones/ESTUDIOS%20DE%20PROGRAMMING/PROGRAMMING/PERSONAL/PYTHON/Image_Generator_API/imagenes/NAUTICA_CLASSICS_Q822593_BLK_1.jpg")</f>
        <v/>
      </c>
      <c r="M2161">
        <f>IMAGE("file:///E:/Estudios%20y%20certificaciones/ESTUDIOS%20DE%20PROGRAMMING/PROGRAMMING/PERSONAL/PYTHON/Image_Generator_API/imagenes/NAUTICA_CLASSICS_Q822593_BLK_2.jpg")</f>
        <v/>
      </c>
      <c r="N2161">
        <f>IMAGE("file:///E:/Estudios%20y%20certificaciones/ESTUDIOS%20DE%20PROGRAMMING/PROGRAMMING/PERSONAL/PYTHON/Image_Generator_API/imagenes/NAUTICA_CLASSICS_Q822593_BLK_3.jpg")</f>
        <v/>
      </c>
      <c r="O2161">
        <f>HYPERLINK("imagenes/NAUTICA_CLASSICS_Q822593_BLK_1.jpg","Ver imagen")</f>
        <v/>
      </c>
      <c r="P2161">
        <f>HYPERLINK("imagenes/NAUTICA_CLASSICS_Q822593_BLK_2.jpg","Ver imagen")</f>
        <v/>
      </c>
      <c r="Q2161">
        <f>HYPERLINK("imagenes/NAUTICA_CLASSICS_Q822593_BLK_3.jpg","Ver imagen")</f>
        <v/>
      </c>
    </row>
    <row r="2162">
      <c r="A2162" t="inlineStr">
        <is>
          <t>NAUTICA CLASSICS</t>
        </is>
      </c>
      <c r="B2162" t="inlineStr">
        <is>
          <t>Q822597</t>
        </is>
      </c>
      <c r="C2162" t="inlineStr">
        <is>
          <t>LEATHER JKT</t>
        </is>
      </c>
      <c r="D2162" t="inlineStr">
        <is>
          <t>BLK</t>
        </is>
      </c>
      <c r="E2162" t="inlineStr">
        <is>
          <t>(en blanco)</t>
        </is>
      </c>
      <c r="F2162" t="inlineStr">
        <is>
          <t>(en blanco)</t>
        </is>
      </c>
      <c r="G2162" t="inlineStr">
        <is>
          <t>XL</t>
        </is>
      </c>
      <c r="H2162" t="n">
        <v>1</v>
      </c>
      <c r="I2162" t="inlineStr">
        <is>
          <t>NAUTICA_CLASSICS_Q822597_BLK_1.jpg</t>
        </is>
      </c>
      <c r="J2162" t="inlineStr">
        <is>
          <t>NAUTICA_CLASSICS_Q822597_BLK_2.jpg</t>
        </is>
      </c>
      <c r="K2162" t="inlineStr">
        <is>
          <t>NAUTICA_CLASSICS_Q822597_BLK_3.jpg</t>
        </is>
      </c>
      <c r="L2162">
        <f>IMAGE("file:///E:/Estudios%20y%20certificaciones/ESTUDIOS%20DE%20PROGRAMMING/PROGRAMMING/PERSONAL/PYTHON/Image_Generator_API/imagenes/NAUTICA_CLASSICS_Q822597_BLK_1.jpg")</f>
        <v/>
      </c>
      <c r="M2162">
        <f>IMAGE("file:///E:/Estudios%20y%20certificaciones/ESTUDIOS%20DE%20PROGRAMMING/PROGRAMMING/PERSONAL/PYTHON/Image_Generator_API/imagenes/NAUTICA_CLASSICS_Q822597_BLK_2.jpg")</f>
        <v/>
      </c>
      <c r="N2162">
        <f>IMAGE("file:///E:/Estudios%20y%20certificaciones/ESTUDIOS%20DE%20PROGRAMMING/PROGRAMMING/PERSONAL/PYTHON/Image_Generator_API/imagenes/NAUTICA_CLASSICS_Q822597_BLK_3.jpg")</f>
        <v/>
      </c>
      <c r="O2162">
        <f>HYPERLINK("imagenes/NAUTICA_CLASSICS_Q822597_BLK_1.jpg","Ver imagen")</f>
        <v/>
      </c>
      <c r="P2162">
        <f>HYPERLINK("imagenes/NAUTICA_CLASSICS_Q822597_BLK_2.jpg","Ver imagen")</f>
        <v/>
      </c>
      <c r="Q2162">
        <f>HYPERLINK("imagenes/NAUTICA_CLASSICS_Q822597_BLK_3.jpg","Ver imagen")</f>
        <v/>
      </c>
    </row>
    <row r="2163">
      <c r="A2163" t="inlineStr">
        <is>
          <t>NAUTICA CLASSICS</t>
        </is>
      </c>
      <c r="B2163" t="inlineStr">
        <is>
          <t>Q822905M</t>
        </is>
      </c>
      <c r="C2163" t="inlineStr">
        <is>
          <t>DB PEACOAT</t>
        </is>
      </c>
      <c r="D2163" t="inlineStr">
        <is>
          <t>VLR</t>
        </is>
      </c>
      <c r="E2163" t="inlineStr">
        <is>
          <t>(en blanco)</t>
        </is>
      </c>
      <c r="F2163" t="inlineStr">
        <is>
          <t>(en blanco)</t>
        </is>
      </c>
      <c r="G2163" t="inlineStr">
        <is>
          <t>XXL</t>
        </is>
      </c>
      <c r="H2163" t="n">
        <v>3</v>
      </c>
      <c r="I2163" t="inlineStr">
        <is>
          <t>NAUTICA_CLASSICS_Q822905M_VLR_1.jpg</t>
        </is>
      </c>
      <c r="J2163" t="inlineStr">
        <is>
          <t>NAUTICA_CLASSICS_Q822905M_VLR_2.jpg</t>
        </is>
      </c>
      <c r="K2163" t="inlineStr">
        <is>
          <t>NAUTICA_CLASSICS_Q822905M_VLR_3.jpg</t>
        </is>
      </c>
      <c r="L2163">
        <f>IMAGE("file:///E:/Estudios%20y%20certificaciones/ESTUDIOS%20DE%20PROGRAMMING/PROGRAMMING/PERSONAL/PYTHON/Image_Generator_API/imagenes/NAUTICA_CLASSICS_Q822905M_VLR_1.jpg")</f>
        <v/>
      </c>
      <c r="M2163">
        <f>IMAGE("file:///E:/Estudios%20y%20certificaciones/ESTUDIOS%20DE%20PROGRAMMING/PROGRAMMING/PERSONAL/PYTHON/Image_Generator_API/imagenes/NAUTICA_CLASSICS_Q822905M_VLR_2.jpg")</f>
        <v/>
      </c>
      <c r="N2163">
        <f>IMAGE("file:///E:/Estudios%20y%20certificaciones/ESTUDIOS%20DE%20PROGRAMMING/PROGRAMMING/PERSONAL/PYTHON/Image_Generator_API/imagenes/NAUTICA_CLASSICS_Q822905M_VLR_3.jpg")</f>
        <v/>
      </c>
      <c r="O2163">
        <f>HYPERLINK("imagenes/NAUTICA_CLASSICS_Q822905M_VLR_1.jpg","Ver imagen")</f>
        <v/>
      </c>
      <c r="P2163">
        <f>HYPERLINK("imagenes/NAUTICA_CLASSICS_Q822905M_VLR_2.jpg","Ver imagen")</f>
        <v/>
      </c>
      <c r="Q2163">
        <f>HYPERLINK("imagenes/NAUTICA_CLASSICS_Q822905M_VLR_3.jpg","Ver imagen")</f>
        <v/>
      </c>
    </row>
    <row r="2164">
      <c r="A2164" t="inlineStr">
        <is>
          <t>NAUTICA CLASSICS</t>
        </is>
      </c>
      <c r="B2164" t="inlineStr">
        <is>
          <t>Q822924E</t>
        </is>
      </c>
      <c r="C2164" t="inlineStr">
        <is>
          <t>TOGGLE</t>
        </is>
      </c>
      <c r="D2164" t="inlineStr">
        <is>
          <t>CHR</t>
        </is>
      </c>
      <c r="E2164" t="inlineStr">
        <is>
          <t>(en blanco)</t>
        </is>
      </c>
      <c r="F2164" t="inlineStr">
        <is>
          <t>(en blanco)</t>
        </is>
      </c>
      <c r="G2164" t="inlineStr">
        <is>
          <t>S</t>
        </is>
      </c>
      <c r="H2164" t="n">
        <v>1</v>
      </c>
      <c r="I2164" t="inlineStr">
        <is>
          <t>NAUTICA_CLASSICS_Q822924E_CHR_1.jpg</t>
        </is>
      </c>
      <c r="J2164" t="inlineStr">
        <is>
          <t>NAUTICA_CLASSICS_Q822924E_CHR_2.jpg</t>
        </is>
      </c>
      <c r="K2164" t="inlineStr">
        <is>
          <t>NAUTICA_CLASSICS_Q822924E_CHR_3.jpg</t>
        </is>
      </c>
      <c r="L2164">
        <f>IMAGE("file:///E:/Estudios%20y%20certificaciones/ESTUDIOS%20DE%20PROGRAMMING/PROGRAMMING/PERSONAL/PYTHON/Image_Generator_API/imagenes/NAUTICA_CLASSICS_Q822924E_CHR_1.jpg")</f>
        <v/>
      </c>
      <c r="M2164">
        <f>IMAGE("file:///E:/Estudios%20y%20certificaciones/ESTUDIOS%20DE%20PROGRAMMING/PROGRAMMING/PERSONAL/PYTHON/Image_Generator_API/imagenes/NAUTICA_CLASSICS_Q822924E_CHR_2.jpg")</f>
        <v/>
      </c>
      <c r="N2164">
        <f>IMAGE("file:///E:/Estudios%20y%20certificaciones/ESTUDIOS%20DE%20PROGRAMMING/PROGRAMMING/PERSONAL/PYTHON/Image_Generator_API/imagenes/NAUTICA_CLASSICS_Q822924E_CHR_3.jpg")</f>
        <v/>
      </c>
      <c r="O2164">
        <f>HYPERLINK("imagenes/NAUTICA_CLASSICS_Q822924E_CHR_1.jpg","Ver imagen")</f>
        <v/>
      </c>
      <c r="P2164">
        <f>HYPERLINK("imagenes/NAUTICA_CLASSICS_Q822924E_CHR_2.jpg","Ver imagen")</f>
        <v/>
      </c>
      <c r="Q2164">
        <f>HYPERLINK("imagenes/NAUTICA_CLASSICS_Q822924E_CHR_3.jpg","Ver imagen")</f>
        <v/>
      </c>
    </row>
    <row r="2165">
      <c r="A2165" t="inlineStr">
        <is>
          <t>NAUTICA CLASSICS</t>
        </is>
      </c>
      <c r="B2165" t="inlineStr">
        <is>
          <t>Q822924E</t>
        </is>
      </c>
      <c r="C2165" t="inlineStr">
        <is>
          <t>TOGGLE</t>
        </is>
      </c>
      <c r="D2165" t="inlineStr">
        <is>
          <t>NVY</t>
        </is>
      </c>
      <c r="E2165" t="inlineStr">
        <is>
          <t>(en blanco)</t>
        </is>
      </c>
      <c r="F2165" t="inlineStr">
        <is>
          <t>(en blanco)</t>
        </is>
      </c>
      <c r="G2165" t="inlineStr">
        <is>
          <t>XS</t>
        </is>
      </c>
      <c r="H2165" t="n">
        <v>1</v>
      </c>
      <c r="I2165" t="inlineStr">
        <is>
          <t>NAUTICA_CLASSICS_Q822924E_NVY_1.jpg</t>
        </is>
      </c>
      <c r="J2165" t="inlineStr">
        <is>
          <t>NAUTICA_CLASSICS_Q822924E_NVY_2.jpg</t>
        </is>
      </c>
      <c r="K2165" t="inlineStr">
        <is>
          <t>NAUTICA_CLASSICS_Q822924E_NVY_3.jpg</t>
        </is>
      </c>
      <c r="L2165">
        <f>IMAGE("file:///E:/Estudios%20y%20certificaciones/ESTUDIOS%20DE%20PROGRAMMING/PROGRAMMING/PERSONAL/PYTHON/Image_Generator_API/imagenes/NAUTICA_CLASSICS_Q822924E_NVY_1.jpg")</f>
        <v/>
      </c>
      <c r="M2165">
        <f>IMAGE("file:///E:/Estudios%20y%20certificaciones/ESTUDIOS%20DE%20PROGRAMMING/PROGRAMMING/PERSONAL/PYTHON/Image_Generator_API/imagenes/NAUTICA_CLASSICS_Q822924E_NVY_2.jpg")</f>
        <v/>
      </c>
      <c r="N2165">
        <f>IMAGE("file:///E:/Estudios%20y%20certificaciones/ESTUDIOS%20DE%20PROGRAMMING/PROGRAMMING/PERSONAL/PYTHON/Image_Generator_API/imagenes/NAUTICA_CLASSICS_Q822924E_NVY_3.jpg")</f>
        <v/>
      </c>
      <c r="O2165">
        <f>HYPERLINK("imagenes/NAUTICA_CLASSICS_Q822924E_NVY_1.jpg","Ver imagen")</f>
        <v/>
      </c>
      <c r="P2165">
        <f>HYPERLINK("imagenes/NAUTICA_CLASSICS_Q822924E_NVY_2.jpg","Ver imagen")</f>
        <v/>
      </c>
      <c r="Q2165">
        <f>HYPERLINK("imagenes/NAUTICA_CLASSICS_Q822924E_NVY_3.jpg","Ver imagen")</f>
        <v/>
      </c>
    </row>
    <row r="2166">
      <c r="A2166" t="inlineStr">
        <is>
          <t>NAUTICA CLASSICS</t>
        </is>
      </c>
      <c r="B2166" t="inlineStr">
        <is>
          <t>Q822924E</t>
        </is>
      </c>
      <c r="C2166" t="inlineStr">
        <is>
          <t>TOGGLE</t>
        </is>
      </c>
      <c r="D2166" t="inlineStr">
        <is>
          <t>NVY</t>
        </is>
      </c>
      <c r="E2166" t="inlineStr">
        <is>
          <t>(en blanco)</t>
        </is>
      </c>
      <c r="F2166" t="inlineStr">
        <is>
          <t>(en blanco)</t>
        </is>
      </c>
      <c r="G2166" t="inlineStr">
        <is>
          <t>M</t>
        </is>
      </c>
      <c r="H2166" t="n">
        <v>1</v>
      </c>
      <c r="I2166" t="inlineStr">
        <is>
          <t>NAUTICA_CLASSICS_Q822924E_NVY_1.jpg</t>
        </is>
      </c>
      <c r="J2166" t="inlineStr">
        <is>
          <t>NAUTICA_CLASSICS_Q822924E_NVY_2.jpg</t>
        </is>
      </c>
      <c r="K2166" t="inlineStr">
        <is>
          <t>NAUTICA_CLASSICS_Q822924E_NVY_3.jpg</t>
        </is>
      </c>
      <c r="L2166">
        <f>IMAGE("file:///E:/Estudios%20y%20certificaciones/ESTUDIOS%20DE%20PROGRAMMING/PROGRAMMING/PERSONAL/PYTHON/Image_Generator_API/imagenes/NAUTICA_CLASSICS_Q822924E_NVY_1.jpg")</f>
        <v/>
      </c>
      <c r="M2166">
        <f>IMAGE("file:///E:/Estudios%20y%20certificaciones/ESTUDIOS%20DE%20PROGRAMMING/PROGRAMMING/PERSONAL/PYTHON/Image_Generator_API/imagenes/NAUTICA_CLASSICS_Q822924E_NVY_2.jpg")</f>
        <v/>
      </c>
      <c r="N2166">
        <f>IMAGE("file:///E:/Estudios%20y%20certificaciones/ESTUDIOS%20DE%20PROGRAMMING/PROGRAMMING/PERSONAL/PYTHON/Image_Generator_API/imagenes/NAUTICA_CLASSICS_Q822924E_NVY_3.jpg")</f>
        <v/>
      </c>
      <c r="O2166">
        <f>HYPERLINK("imagenes/NAUTICA_CLASSICS_Q822924E_NVY_1.jpg","Ver imagen")</f>
        <v/>
      </c>
      <c r="P2166">
        <f>HYPERLINK("imagenes/NAUTICA_CLASSICS_Q822924E_NVY_2.jpg","Ver imagen")</f>
        <v/>
      </c>
      <c r="Q2166">
        <f>HYPERLINK("imagenes/NAUTICA_CLASSICS_Q822924E_NVY_3.jpg","Ver imagen")</f>
        <v/>
      </c>
    </row>
    <row r="2167">
      <c r="A2167" t="inlineStr">
        <is>
          <t>NAUTICA CLASSICS</t>
        </is>
      </c>
      <c r="B2167" t="inlineStr">
        <is>
          <t>Q822969M</t>
        </is>
      </c>
      <c r="C2167" t="inlineStr">
        <is>
          <t>DUFFEL COAT</t>
        </is>
      </c>
      <c r="D2167" t="inlineStr">
        <is>
          <t>CHR</t>
        </is>
      </c>
      <c r="E2167" t="inlineStr">
        <is>
          <t>(en blanco)</t>
        </is>
      </c>
      <c r="F2167" t="inlineStr">
        <is>
          <t>(en blanco)</t>
        </is>
      </c>
      <c r="G2167" t="inlineStr">
        <is>
          <t>XXL</t>
        </is>
      </c>
      <c r="H2167" t="n">
        <v>1</v>
      </c>
      <c r="I2167" t="inlineStr">
        <is>
          <t>NAUTICA_CLASSICS_Q822969M_CHR_1.jpg</t>
        </is>
      </c>
      <c r="J2167" t="inlineStr">
        <is>
          <t>NAUTICA_CLASSICS_Q822969M_CHR_2.jpg</t>
        </is>
      </c>
      <c r="K2167" t="inlineStr">
        <is>
          <t>NAUTICA_CLASSICS_Q822969M_CHR_3.jpg</t>
        </is>
      </c>
      <c r="L2167">
        <f>IMAGE("file:///E:/Estudios%20y%20certificaciones/ESTUDIOS%20DE%20PROGRAMMING/PROGRAMMING/PERSONAL/PYTHON/Image_Generator_API/imagenes/NAUTICA_CLASSICS_Q822969M_CHR_1.jpg")</f>
        <v/>
      </c>
      <c r="M2167">
        <f>IMAGE("file:///E:/Estudios%20y%20certificaciones/ESTUDIOS%20DE%20PROGRAMMING/PROGRAMMING/PERSONAL/PYTHON/Image_Generator_API/imagenes/NAUTICA_CLASSICS_Q822969M_CHR_2.jpg")</f>
        <v/>
      </c>
      <c r="N2167">
        <f>IMAGE("file:///E:/Estudios%20y%20certificaciones/ESTUDIOS%20DE%20PROGRAMMING/PROGRAMMING/PERSONAL/PYTHON/Image_Generator_API/imagenes/NAUTICA_CLASSICS_Q822969M_CHR_3.jpg")</f>
        <v/>
      </c>
      <c r="O2167">
        <f>HYPERLINK("imagenes/NAUTICA_CLASSICS_Q822969M_CHR_1.jpg","Ver imagen")</f>
        <v/>
      </c>
      <c r="P2167">
        <f>HYPERLINK("imagenes/NAUTICA_CLASSICS_Q822969M_CHR_2.jpg","Ver imagen")</f>
        <v/>
      </c>
      <c r="Q2167">
        <f>HYPERLINK("imagenes/NAUTICA_CLASSICS_Q822969M_CHR_3.jpg","Ver imagen")</f>
        <v/>
      </c>
    </row>
    <row r="2168">
      <c r="A2168" t="inlineStr">
        <is>
          <t>NAUTICA CLASSICS</t>
        </is>
      </c>
      <c r="B2168" t="inlineStr">
        <is>
          <t>Q824416</t>
        </is>
      </c>
      <c r="C2168" t="inlineStr">
        <is>
          <t>ZIP FNT KNIT CUFF</t>
        </is>
      </c>
      <c r="D2168" t="inlineStr">
        <is>
          <t>CHR</t>
        </is>
      </c>
      <c r="E2168" t="inlineStr">
        <is>
          <t>(en blanco)</t>
        </is>
      </c>
      <c r="F2168" t="inlineStr">
        <is>
          <t>(en blanco)</t>
        </is>
      </c>
      <c r="G2168" t="inlineStr">
        <is>
          <t>XS</t>
        </is>
      </c>
      <c r="H2168" t="n">
        <v>3</v>
      </c>
      <c r="I2168" t="inlineStr">
        <is>
          <t>NAUTICA_CLASSICS_Q824416_CHR_1.jpg</t>
        </is>
      </c>
      <c r="J2168" t="inlineStr">
        <is>
          <t>NAUTICA_CLASSICS_Q824416_CHR_2.jpg</t>
        </is>
      </c>
      <c r="K2168" t="inlineStr">
        <is>
          <t>NAUTICA_CLASSICS_Q824416_CHR_3.jpg</t>
        </is>
      </c>
      <c r="L2168">
        <f>IMAGE("file:///E:/Estudios%20y%20certificaciones/ESTUDIOS%20DE%20PROGRAMMING/PROGRAMMING/PERSONAL/PYTHON/Image_Generator_API/imagenes/NAUTICA_CLASSICS_Q824416_CHR_1.jpg")</f>
        <v/>
      </c>
      <c r="M2168">
        <f>IMAGE("file:///E:/Estudios%20y%20certificaciones/ESTUDIOS%20DE%20PROGRAMMING/PROGRAMMING/PERSONAL/PYTHON/Image_Generator_API/imagenes/NAUTICA_CLASSICS_Q824416_CHR_2.jpg")</f>
        <v/>
      </c>
      <c r="N2168">
        <f>IMAGE("file:///E:/Estudios%20y%20certificaciones/ESTUDIOS%20DE%20PROGRAMMING/PROGRAMMING/PERSONAL/PYTHON/Image_Generator_API/imagenes/NAUTICA_CLASSICS_Q824416_CHR_3.jpg")</f>
        <v/>
      </c>
      <c r="O2168">
        <f>HYPERLINK("imagenes/NAUTICA_CLASSICS_Q824416_CHR_1.jpg","Ver imagen")</f>
        <v/>
      </c>
      <c r="P2168">
        <f>HYPERLINK("imagenes/NAUTICA_CLASSICS_Q824416_CHR_2.jpg","Ver imagen")</f>
        <v/>
      </c>
      <c r="Q2168">
        <f>HYPERLINK("imagenes/NAUTICA_CLASSICS_Q824416_CHR_3.jpg","Ver imagen")</f>
        <v/>
      </c>
    </row>
    <row r="2169">
      <c r="A2169" t="inlineStr">
        <is>
          <t>NAUTICA CLASSICS</t>
        </is>
      </c>
      <c r="B2169" t="inlineStr">
        <is>
          <t>Q824416</t>
        </is>
      </c>
      <c r="C2169" t="inlineStr">
        <is>
          <t>ZIP FNT KNIT CUFF</t>
        </is>
      </c>
      <c r="D2169" t="inlineStr">
        <is>
          <t>CHR</t>
        </is>
      </c>
      <c r="E2169" t="inlineStr">
        <is>
          <t>(en blanco)</t>
        </is>
      </c>
      <c r="F2169" t="inlineStr">
        <is>
          <t>(en blanco)</t>
        </is>
      </c>
      <c r="G2169" t="inlineStr">
        <is>
          <t>XXS</t>
        </is>
      </c>
      <c r="H2169" t="n">
        <v>1</v>
      </c>
      <c r="I2169" t="inlineStr">
        <is>
          <t>NAUTICA_CLASSICS_Q824416_CHR_1.jpg</t>
        </is>
      </c>
      <c r="J2169" t="inlineStr">
        <is>
          <t>NAUTICA_CLASSICS_Q824416_CHR_2.jpg</t>
        </is>
      </c>
      <c r="K2169" t="inlineStr">
        <is>
          <t>NAUTICA_CLASSICS_Q824416_CHR_3.jpg</t>
        </is>
      </c>
      <c r="L2169">
        <f>IMAGE("file:///E:/Estudios%20y%20certificaciones/ESTUDIOS%20DE%20PROGRAMMING/PROGRAMMING/PERSONAL/PYTHON/Image_Generator_API/imagenes/NAUTICA_CLASSICS_Q824416_CHR_1.jpg")</f>
        <v/>
      </c>
      <c r="M2169">
        <f>IMAGE("file:///E:/Estudios%20y%20certificaciones/ESTUDIOS%20DE%20PROGRAMMING/PROGRAMMING/PERSONAL/PYTHON/Image_Generator_API/imagenes/NAUTICA_CLASSICS_Q824416_CHR_2.jpg")</f>
        <v/>
      </c>
      <c r="N2169">
        <f>IMAGE("file:///E:/Estudios%20y%20certificaciones/ESTUDIOS%20DE%20PROGRAMMING/PROGRAMMING/PERSONAL/PYTHON/Image_Generator_API/imagenes/NAUTICA_CLASSICS_Q824416_CHR_3.jpg")</f>
        <v/>
      </c>
      <c r="O2169">
        <f>HYPERLINK("imagenes/NAUTICA_CLASSICS_Q824416_CHR_1.jpg","Ver imagen")</f>
        <v/>
      </c>
      <c r="P2169">
        <f>HYPERLINK("imagenes/NAUTICA_CLASSICS_Q824416_CHR_2.jpg","Ver imagen")</f>
        <v/>
      </c>
      <c r="Q2169">
        <f>HYPERLINK("imagenes/NAUTICA_CLASSICS_Q824416_CHR_3.jpg","Ver imagen")</f>
        <v/>
      </c>
    </row>
    <row r="2170">
      <c r="A2170" t="inlineStr">
        <is>
          <t>NAUTICA CLASSICS</t>
        </is>
      </c>
      <c r="B2170" t="inlineStr">
        <is>
          <t>Q824416</t>
        </is>
      </c>
      <c r="C2170" t="inlineStr">
        <is>
          <t>ZIP FNT KNIT CUFF</t>
        </is>
      </c>
      <c r="D2170" t="inlineStr">
        <is>
          <t>NSS</t>
        </is>
      </c>
      <c r="E2170" t="inlineStr">
        <is>
          <t>(en blanco)</t>
        </is>
      </c>
      <c r="F2170" t="inlineStr">
        <is>
          <t>(en blanco)</t>
        </is>
      </c>
      <c r="G2170" t="inlineStr">
        <is>
          <t>M</t>
        </is>
      </c>
      <c r="H2170" t="n">
        <v>1</v>
      </c>
      <c r="I2170" t="inlineStr">
        <is>
          <t>NAUTICA_CLASSICS_Q824416_NSS_1.jpg</t>
        </is>
      </c>
      <c r="J2170" t="inlineStr">
        <is>
          <t>NAUTICA_CLASSICS_Q824416_NSS_2.jpg</t>
        </is>
      </c>
      <c r="K2170" t="inlineStr">
        <is>
          <t>NAUTICA_CLASSICS_Q824416_NSS_3.jpg</t>
        </is>
      </c>
      <c r="L2170">
        <f>IMAGE("file:///E:/Estudios%20y%20certificaciones/ESTUDIOS%20DE%20PROGRAMMING/PROGRAMMING/PERSONAL/PYTHON/Image_Generator_API/imagenes/NAUTICA_CLASSICS_Q824416_NSS_1.jpg")</f>
        <v/>
      </c>
      <c r="M2170">
        <f>IMAGE("file:///E:/Estudios%20y%20certificaciones/ESTUDIOS%20DE%20PROGRAMMING/PROGRAMMING/PERSONAL/PYTHON/Image_Generator_API/imagenes/NAUTICA_CLASSICS_Q824416_NSS_2.jpg")</f>
        <v/>
      </c>
      <c r="N2170">
        <f>IMAGE("file:///E:/Estudios%20y%20certificaciones/ESTUDIOS%20DE%20PROGRAMMING/PROGRAMMING/PERSONAL/PYTHON/Image_Generator_API/imagenes/NAUTICA_CLASSICS_Q824416_NSS_3.jpg")</f>
        <v/>
      </c>
      <c r="O2170">
        <f>HYPERLINK("imagenes/NAUTICA_CLASSICS_Q824416_NSS_1.jpg","Ver imagen")</f>
        <v/>
      </c>
      <c r="P2170">
        <f>HYPERLINK("imagenes/NAUTICA_CLASSICS_Q824416_NSS_2.jpg","Ver imagen")</f>
        <v/>
      </c>
      <c r="Q2170">
        <f>HYPERLINK("imagenes/NAUTICA_CLASSICS_Q824416_NSS_3.jpg","Ver imagen")</f>
        <v/>
      </c>
    </row>
    <row r="2171">
      <c r="A2171" t="inlineStr">
        <is>
          <t>NAUTICA CLASSICS</t>
        </is>
      </c>
      <c r="B2171" t="inlineStr">
        <is>
          <t>Q825005</t>
        </is>
      </c>
      <c r="C2171" t="inlineStr">
        <is>
          <t>SHORT GALAXY PUFFER</t>
        </is>
      </c>
      <c r="D2171" t="inlineStr">
        <is>
          <t>BLK</t>
        </is>
      </c>
      <c r="E2171" t="inlineStr">
        <is>
          <t>(en blanco)</t>
        </is>
      </c>
      <c r="F2171" t="inlineStr">
        <is>
          <t>(en blanco)</t>
        </is>
      </c>
      <c r="G2171" t="inlineStr">
        <is>
          <t>S</t>
        </is>
      </c>
      <c r="H2171" t="n">
        <v>2</v>
      </c>
      <c r="I2171" t="inlineStr">
        <is>
          <t>NAUTICA_CLASSICS_Q825005_BLK_1.jpg</t>
        </is>
      </c>
      <c r="J2171" t="inlineStr">
        <is>
          <t>NAUTICA_CLASSICS_Q825005_BLK_2.jpg</t>
        </is>
      </c>
      <c r="K2171" t="inlineStr">
        <is>
          <t>NAUTICA_CLASSICS_Q825005_BLK_3.jpg</t>
        </is>
      </c>
      <c r="L2171">
        <f>IMAGE("file:///E:/Estudios%20y%20certificaciones/ESTUDIOS%20DE%20PROGRAMMING/PROGRAMMING/PERSONAL/PYTHON/Image_Generator_API/imagenes/NAUTICA_CLASSICS_Q825005_BLK_1.jpg")</f>
        <v/>
      </c>
      <c r="M2171">
        <f>IMAGE("file:///E:/Estudios%20y%20certificaciones/ESTUDIOS%20DE%20PROGRAMMING/PROGRAMMING/PERSONAL/PYTHON/Image_Generator_API/imagenes/NAUTICA_CLASSICS_Q825005_BLK_2.jpg")</f>
        <v/>
      </c>
      <c r="N2171">
        <f>IMAGE("file:///E:/Estudios%20y%20certificaciones/ESTUDIOS%20DE%20PROGRAMMING/PROGRAMMING/PERSONAL/PYTHON/Image_Generator_API/imagenes/NAUTICA_CLASSICS_Q825005_BLK_3.jpg")</f>
        <v/>
      </c>
      <c r="O2171">
        <f>HYPERLINK("imagenes/NAUTICA_CLASSICS_Q825005_BLK_1.jpg","Ver imagen")</f>
        <v/>
      </c>
      <c r="P2171">
        <f>HYPERLINK("imagenes/NAUTICA_CLASSICS_Q825005_BLK_2.jpg","Ver imagen")</f>
        <v/>
      </c>
      <c r="Q2171">
        <f>HYPERLINK("imagenes/NAUTICA_CLASSICS_Q825005_BLK_3.jpg","Ver imagen")</f>
        <v/>
      </c>
    </row>
    <row r="2172">
      <c r="A2172" t="inlineStr">
        <is>
          <t>NAUTICA CLASSICS</t>
        </is>
      </c>
      <c r="B2172" t="inlineStr">
        <is>
          <t>Q825005</t>
        </is>
      </c>
      <c r="C2172" t="inlineStr">
        <is>
          <t>SHORT GALAXY PUFFER</t>
        </is>
      </c>
      <c r="D2172" t="inlineStr">
        <is>
          <t>BLK</t>
        </is>
      </c>
      <c r="E2172" t="inlineStr">
        <is>
          <t>(en blanco)</t>
        </is>
      </c>
      <c r="F2172" t="inlineStr">
        <is>
          <t>(en blanco)</t>
        </is>
      </c>
      <c r="G2172" t="inlineStr">
        <is>
          <t>M</t>
        </is>
      </c>
      <c r="H2172" t="n">
        <v>1</v>
      </c>
      <c r="I2172" t="inlineStr">
        <is>
          <t>NAUTICA_CLASSICS_Q825005_BLK_1.jpg</t>
        </is>
      </c>
      <c r="J2172" t="inlineStr">
        <is>
          <t>NAUTICA_CLASSICS_Q825005_BLK_2.jpg</t>
        </is>
      </c>
      <c r="K2172" t="inlineStr">
        <is>
          <t>NAUTICA_CLASSICS_Q825005_BLK_3.jpg</t>
        </is>
      </c>
      <c r="L2172">
        <f>IMAGE("file:///E:/Estudios%20y%20certificaciones/ESTUDIOS%20DE%20PROGRAMMING/PROGRAMMING/PERSONAL/PYTHON/Image_Generator_API/imagenes/NAUTICA_CLASSICS_Q825005_BLK_1.jpg")</f>
        <v/>
      </c>
      <c r="M2172">
        <f>IMAGE("file:///E:/Estudios%20y%20certificaciones/ESTUDIOS%20DE%20PROGRAMMING/PROGRAMMING/PERSONAL/PYTHON/Image_Generator_API/imagenes/NAUTICA_CLASSICS_Q825005_BLK_2.jpg")</f>
        <v/>
      </c>
      <c r="N2172">
        <f>IMAGE("file:///E:/Estudios%20y%20certificaciones/ESTUDIOS%20DE%20PROGRAMMING/PROGRAMMING/PERSONAL/PYTHON/Image_Generator_API/imagenes/NAUTICA_CLASSICS_Q825005_BLK_3.jpg")</f>
        <v/>
      </c>
      <c r="O2172">
        <f>HYPERLINK("imagenes/NAUTICA_CLASSICS_Q825005_BLK_1.jpg","Ver imagen")</f>
        <v/>
      </c>
      <c r="P2172">
        <f>HYPERLINK("imagenes/NAUTICA_CLASSICS_Q825005_BLK_2.jpg","Ver imagen")</f>
        <v/>
      </c>
      <c r="Q2172">
        <f>HYPERLINK("imagenes/NAUTICA_CLASSICS_Q825005_BLK_3.jpg","Ver imagen")</f>
        <v/>
      </c>
    </row>
    <row r="2173">
      <c r="A2173" t="inlineStr">
        <is>
          <t>NAUTICA CLASSICS</t>
        </is>
      </c>
      <c r="B2173" t="inlineStr">
        <is>
          <t>Q825005</t>
        </is>
      </c>
      <c r="C2173" t="inlineStr">
        <is>
          <t>SHORT GALAXY PUFFER</t>
        </is>
      </c>
      <c r="D2173" t="inlineStr">
        <is>
          <t>BLK</t>
        </is>
      </c>
      <c r="E2173" t="inlineStr">
        <is>
          <t>(en blanco)</t>
        </is>
      </c>
      <c r="F2173" t="inlineStr">
        <is>
          <t>(en blanco)</t>
        </is>
      </c>
      <c r="G2173" t="inlineStr">
        <is>
          <t>XL</t>
        </is>
      </c>
      <c r="H2173" t="n">
        <v>1</v>
      </c>
      <c r="I2173" t="inlineStr">
        <is>
          <t>NAUTICA_CLASSICS_Q825005_BLK_1.jpg</t>
        </is>
      </c>
      <c r="J2173" t="inlineStr">
        <is>
          <t>NAUTICA_CLASSICS_Q825005_BLK_2.jpg</t>
        </is>
      </c>
      <c r="K2173" t="inlineStr">
        <is>
          <t>NAUTICA_CLASSICS_Q825005_BLK_3.jpg</t>
        </is>
      </c>
      <c r="L2173">
        <f>IMAGE("file:///E:/Estudios%20y%20certificaciones/ESTUDIOS%20DE%20PROGRAMMING/PROGRAMMING/PERSONAL/PYTHON/Image_Generator_API/imagenes/NAUTICA_CLASSICS_Q825005_BLK_1.jpg")</f>
        <v/>
      </c>
      <c r="M2173">
        <f>IMAGE("file:///E:/Estudios%20y%20certificaciones/ESTUDIOS%20DE%20PROGRAMMING/PROGRAMMING/PERSONAL/PYTHON/Image_Generator_API/imagenes/NAUTICA_CLASSICS_Q825005_BLK_2.jpg")</f>
        <v/>
      </c>
      <c r="N2173">
        <f>IMAGE("file:///E:/Estudios%20y%20certificaciones/ESTUDIOS%20DE%20PROGRAMMING/PROGRAMMING/PERSONAL/PYTHON/Image_Generator_API/imagenes/NAUTICA_CLASSICS_Q825005_BLK_3.jpg")</f>
        <v/>
      </c>
      <c r="O2173">
        <f>HYPERLINK("imagenes/NAUTICA_CLASSICS_Q825005_BLK_1.jpg","Ver imagen")</f>
        <v/>
      </c>
      <c r="P2173">
        <f>HYPERLINK("imagenes/NAUTICA_CLASSICS_Q825005_BLK_2.jpg","Ver imagen")</f>
        <v/>
      </c>
      <c r="Q2173">
        <f>HYPERLINK("imagenes/NAUTICA_CLASSICS_Q825005_BLK_3.jpg","Ver imagen")</f>
        <v/>
      </c>
    </row>
    <row r="2174">
      <c r="A2174" t="inlineStr">
        <is>
          <t>NAUTICA CLASSICS</t>
        </is>
      </c>
      <c r="B2174" t="inlineStr">
        <is>
          <t>Q825005</t>
        </is>
      </c>
      <c r="C2174" t="inlineStr">
        <is>
          <t>SHORT GALAXY PUFFER</t>
        </is>
      </c>
      <c r="D2174" t="inlineStr">
        <is>
          <t>MGR</t>
        </is>
      </c>
      <c r="E2174" t="inlineStr">
        <is>
          <t>(en blanco)</t>
        </is>
      </c>
      <c r="F2174" t="inlineStr">
        <is>
          <t>(en blanco)</t>
        </is>
      </c>
      <c r="G2174" t="inlineStr">
        <is>
          <t>S</t>
        </is>
      </c>
      <c r="H2174" t="n">
        <v>1</v>
      </c>
      <c r="I2174" t="inlineStr">
        <is>
          <t>NAUTICA_CLASSICS_Q825005_MGR_2.jpg</t>
        </is>
      </c>
      <c r="J2174" t="inlineStr">
        <is>
          <t>NAUTICA_CLASSICS_Q825005_MGR_3.jpg</t>
        </is>
      </c>
      <c r="L2174">
        <f>IMAGE("file:///E:/Estudios%20y%20certificaciones/ESTUDIOS%20DE%20PROGRAMMING/PROGRAMMING/PERSONAL/PYTHON/Image_Generator_API/imagenes/NAUTICA_CLASSICS_Q825005_MGR_2.jpg")</f>
        <v/>
      </c>
      <c r="M2174">
        <f>IMAGE("file:///E:/Estudios%20y%20certificaciones/ESTUDIOS%20DE%20PROGRAMMING/PROGRAMMING/PERSONAL/PYTHON/Image_Generator_API/imagenes/NAUTICA_CLASSICS_Q825005_MGR_3.jpg")</f>
        <v/>
      </c>
      <c r="O2174">
        <f>HYPERLINK("imagenes/NAUTICA_CLASSICS_Q825005_MGR_2.jpg","Ver imagen")</f>
        <v/>
      </c>
      <c r="P2174">
        <f>HYPERLINK("imagenes/NAUTICA_CLASSICS_Q825005_MGR_3.jpg","Ver imagen")</f>
        <v/>
      </c>
    </row>
    <row r="2175">
      <c r="A2175" t="inlineStr">
        <is>
          <t>NAUTICA CLASSICS</t>
        </is>
      </c>
      <c r="B2175" t="inlineStr">
        <is>
          <t>Q825005</t>
        </is>
      </c>
      <c r="C2175" t="inlineStr">
        <is>
          <t>SHORT GALAXY PUFFER</t>
        </is>
      </c>
      <c r="D2175" t="inlineStr">
        <is>
          <t>MGR</t>
        </is>
      </c>
      <c r="E2175" t="inlineStr">
        <is>
          <t>(en blanco)</t>
        </is>
      </c>
      <c r="F2175" t="inlineStr">
        <is>
          <t>(en blanco)</t>
        </is>
      </c>
      <c r="G2175" t="inlineStr">
        <is>
          <t>M</t>
        </is>
      </c>
      <c r="H2175" t="n">
        <v>1</v>
      </c>
      <c r="I2175" t="inlineStr">
        <is>
          <t>NAUTICA_CLASSICS_Q825005_MGR_2.jpg</t>
        </is>
      </c>
      <c r="J2175" t="inlineStr">
        <is>
          <t>NAUTICA_CLASSICS_Q825005_MGR_3.jpg</t>
        </is>
      </c>
      <c r="L2175">
        <f>IMAGE("file:///E:/Estudios%20y%20certificaciones/ESTUDIOS%20DE%20PROGRAMMING/PROGRAMMING/PERSONAL/PYTHON/Image_Generator_API/imagenes/NAUTICA_CLASSICS_Q825005_MGR_2.jpg")</f>
        <v/>
      </c>
      <c r="M2175">
        <f>IMAGE("file:///E:/Estudios%20y%20certificaciones/ESTUDIOS%20DE%20PROGRAMMING/PROGRAMMING/PERSONAL/PYTHON/Image_Generator_API/imagenes/NAUTICA_CLASSICS_Q825005_MGR_3.jpg")</f>
        <v/>
      </c>
      <c r="O2175">
        <f>HYPERLINK("imagenes/NAUTICA_CLASSICS_Q825005_MGR_2.jpg","Ver imagen")</f>
        <v/>
      </c>
      <c r="P2175">
        <f>HYPERLINK("imagenes/NAUTICA_CLASSICS_Q825005_MGR_3.jpg","Ver imagen")</f>
        <v/>
      </c>
    </row>
    <row r="2176">
      <c r="A2176" t="inlineStr">
        <is>
          <t>NAUTICA CLASSICS</t>
        </is>
      </c>
      <c r="B2176" t="inlineStr">
        <is>
          <t>Q825005</t>
        </is>
      </c>
      <c r="C2176" t="inlineStr">
        <is>
          <t>SHORT GALAXY PUFFER</t>
        </is>
      </c>
      <c r="D2176" t="inlineStr">
        <is>
          <t>MGR</t>
        </is>
      </c>
      <c r="E2176" t="inlineStr">
        <is>
          <t>(en blanco)</t>
        </is>
      </c>
      <c r="F2176" t="inlineStr">
        <is>
          <t>(en blanco)</t>
        </is>
      </c>
      <c r="G2176" t="inlineStr">
        <is>
          <t>XXL</t>
        </is>
      </c>
      <c r="H2176" t="n">
        <v>1</v>
      </c>
      <c r="I2176" t="inlineStr">
        <is>
          <t>NAUTICA_CLASSICS_Q825005_MGR_2.jpg</t>
        </is>
      </c>
      <c r="J2176" t="inlineStr">
        <is>
          <t>NAUTICA_CLASSICS_Q825005_MGR_3.jpg</t>
        </is>
      </c>
      <c r="L2176">
        <f>IMAGE("file:///E:/Estudios%20y%20certificaciones/ESTUDIOS%20DE%20PROGRAMMING/PROGRAMMING/PERSONAL/PYTHON/Image_Generator_API/imagenes/NAUTICA_CLASSICS_Q825005_MGR_2.jpg")</f>
        <v/>
      </c>
      <c r="M2176">
        <f>IMAGE("file:///E:/Estudios%20y%20certificaciones/ESTUDIOS%20DE%20PROGRAMMING/PROGRAMMING/PERSONAL/PYTHON/Image_Generator_API/imagenes/NAUTICA_CLASSICS_Q825005_MGR_3.jpg")</f>
        <v/>
      </c>
      <c r="O2176">
        <f>HYPERLINK("imagenes/NAUTICA_CLASSICS_Q825005_MGR_2.jpg","Ver imagen")</f>
        <v/>
      </c>
      <c r="P2176">
        <f>HYPERLINK("imagenes/NAUTICA_CLASSICS_Q825005_MGR_3.jpg","Ver imagen")</f>
        <v/>
      </c>
    </row>
    <row r="2177">
      <c r="A2177" t="inlineStr">
        <is>
          <t>NAUTICA CLASSICS</t>
        </is>
      </c>
      <c r="B2177" t="inlineStr">
        <is>
          <t>Q825096</t>
        </is>
      </c>
      <c r="C2177" t="inlineStr">
        <is>
          <t>ZIP FRONT PUFFER</t>
        </is>
      </c>
      <c r="D2177" t="inlineStr">
        <is>
          <t>BLK</t>
        </is>
      </c>
      <c r="E2177" t="inlineStr">
        <is>
          <t>(en blanco)</t>
        </is>
      </c>
      <c r="F2177" t="inlineStr">
        <is>
          <t>(en blanco)</t>
        </is>
      </c>
      <c r="G2177" t="inlineStr">
        <is>
          <t>L</t>
        </is>
      </c>
      <c r="H2177" t="n">
        <v>1</v>
      </c>
      <c r="I2177" t="inlineStr">
        <is>
          <t>NAUTICA_CLASSICS_Q825096_BLK_1.jpg</t>
        </is>
      </c>
      <c r="J2177" t="inlineStr">
        <is>
          <t>NAUTICA_CLASSICS_Q825096_BLK_2.jpg</t>
        </is>
      </c>
      <c r="K2177" t="inlineStr">
        <is>
          <t>NAUTICA_CLASSICS_Q825096_BLK_3.jpg</t>
        </is>
      </c>
      <c r="L2177">
        <f>IMAGE("file:///E:/Estudios%20y%20certificaciones/ESTUDIOS%20DE%20PROGRAMMING/PROGRAMMING/PERSONAL/PYTHON/Image_Generator_API/imagenes/NAUTICA_CLASSICS_Q825096_BLK_1.jpg")</f>
        <v/>
      </c>
      <c r="M2177">
        <f>IMAGE("file:///E:/Estudios%20y%20certificaciones/ESTUDIOS%20DE%20PROGRAMMING/PROGRAMMING/PERSONAL/PYTHON/Image_Generator_API/imagenes/NAUTICA_CLASSICS_Q825096_BLK_2.jpg")</f>
        <v/>
      </c>
      <c r="N2177">
        <f>IMAGE("file:///E:/Estudios%20y%20certificaciones/ESTUDIOS%20DE%20PROGRAMMING/PROGRAMMING/PERSONAL/PYTHON/Image_Generator_API/imagenes/NAUTICA_CLASSICS_Q825096_BLK_3.jpg")</f>
        <v/>
      </c>
      <c r="O2177">
        <f>HYPERLINK("imagenes/NAUTICA_CLASSICS_Q825096_BLK_1.jpg","Ver imagen")</f>
        <v/>
      </c>
      <c r="P2177">
        <f>HYPERLINK("imagenes/NAUTICA_CLASSICS_Q825096_BLK_2.jpg","Ver imagen")</f>
        <v/>
      </c>
      <c r="Q2177">
        <f>HYPERLINK("imagenes/NAUTICA_CLASSICS_Q825096_BLK_3.jpg","Ver imagen")</f>
        <v/>
      </c>
    </row>
    <row r="2178">
      <c r="A2178" t="inlineStr">
        <is>
          <t>NAUTICA CLASSICS</t>
        </is>
      </c>
      <c r="B2178" t="inlineStr">
        <is>
          <t>Q826550</t>
        </is>
      </c>
      <c r="C2178" t="inlineStr">
        <is>
          <t>HOODED PARKA WITH</t>
        </is>
      </c>
      <c r="D2178" t="inlineStr">
        <is>
          <t>BLK</t>
        </is>
      </c>
      <c r="E2178" t="inlineStr">
        <is>
          <t>(en blanco)</t>
        </is>
      </c>
      <c r="F2178" t="inlineStr">
        <is>
          <t>(en blanco)</t>
        </is>
      </c>
      <c r="G2178" t="inlineStr">
        <is>
          <t>M</t>
        </is>
      </c>
      <c r="H2178" t="n">
        <v>1</v>
      </c>
      <c r="I2178" t="inlineStr">
        <is>
          <t>NAUTICA_CLASSICS_Q826550_BLK_1.jpg</t>
        </is>
      </c>
      <c r="J2178" t="inlineStr">
        <is>
          <t>NAUTICA_CLASSICS_Q826550_BLK_2.jpg</t>
        </is>
      </c>
      <c r="K2178" t="inlineStr">
        <is>
          <t>NAUTICA_CLASSICS_Q826550_BLK_3.jpg</t>
        </is>
      </c>
      <c r="L2178">
        <f>IMAGE("file:///E:/Estudios%20y%20certificaciones/ESTUDIOS%20DE%20PROGRAMMING/PROGRAMMING/PERSONAL/PYTHON/Image_Generator_API/imagenes/NAUTICA_CLASSICS_Q826550_BLK_1.jpg")</f>
        <v/>
      </c>
      <c r="M2178">
        <f>IMAGE("file:///E:/Estudios%20y%20certificaciones/ESTUDIOS%20DE%20PROGRAMMING/PROGRAMMING/PERSONAL/PYTHON/Image_Generator_API/imagenes/NAUTICA_CLASSICS_Q826550_BLK_2.jpg")</f>
        <v/>
      </c>
      <c r="N2178">
        <f>IMAGE("file:///E:/Estudios%20y%20certificaciones/ESTUDIOS%20DE%20PROGRAMMING/PROGRAMMING/PERSONAL/PYTHON/Image_Generator_API/imagenes/NAUTICA_CLASSICS_Q826550_BLK_3.jpg")</f>
        <v/>
      </c>
      <c r="O2178">
        <f>HYPERLINK("imagenes/NAUTICA_CLASSICS_Q826550_BLK_1.jpg","Ver imagen")</f>
        <v/>
      </c>
      <c r="P2178">
        <f>HYPERLINK("imagenes/NAUTICA_CLASSICS_Q826550_BLK_2.jpg","Ver imagen")</f>
        <v/>
      </c>
      <c r="Q2178">
        <f>HYPERLINK("imagenes/NAUTICA_CLASSICS_Q826550_BLK_3.jpg","Ver imagen")</f>
        <v/>
      </c>
    </row>
    <row r="2179">
      <c r="A2179" t="inlineStr">
        <is>
          <t>NAUTICA CLASSICS</t>
        </is>
      </c>
      <c r="B2179" t="inlineStr">
        <is>
          <t>Q826566</t>
        </is>
      </c>
      <c r="C2179" t="inlineStr">
        <is>
          <t>SNAP PARKA W/BIB</t>
        </is>
      </c>
      <c r="D2179" t="inlineStr">
        <is>
          <t>B68</t>
        </is>
      </c>
      <c r="E2179" t="inlineStr">
        <is>
          <t>(en blanco)</t>
        </is>
      </c>
      <c r="F2179" t="inlineStr">
        <is>
          <t>(en blanco)</t>
        </is>
      </c>
      <c r="G2179" t="inlineStr">
        <is>
          <t>S</t>
        </is>
      </c>
      <c r="H2179" t="n">
        <v>1</v>
      </c>
      <c r="I2179" t="inlineStr">
        <is>
          <t>NAUTICA_CLASSICS_Q826566_B68_1.jpg</t>
        </is>
      </c>
      <c r="J2179" t="inlineStr">
        <is>
          <t>NAUTICA_CLASSICS_Q826566_B68_2.jpg</t>
        </is>
      </c>
      <c r="K2179" t="inlineStr">
        <is>
          <t>NAUTICA_CLASSICS_Q826566_B68_3.jpg</t>
        </is>
      </c>
      <c r="L2179">
        <f>IMAGE("file:///E:/Estudios%20y%20certificaciones/ESTUDIOS%20DE%20PROGRAMMING/PROGRAMMING/PERSONAL/PYTHON/Image_Generator_API/imagenes/NAUTICA_CLASSICS_Q826566_B68_1.jpg")</f>
        <v/>
      </c>
      <c r="M2179">
        <f>IMAGE("file:///E:/Estudios%20y%20certificaciones/ESTUDIOS%20DE%20PROGRAMMING/PROGRAMMING/PERSONAL/PYTHON/Image_Generator_API/imagenes/NAUTICA_CLASSICS_Q826566_B68_2.jpg")</f>
        <v/>
      </c>
      <c r="N2179">
        <f>IMAGE("file:///E:/Estudios%20y%20certificaciones/ESTUDIOS%20DE%20PROGRAMMING/PROGRAMMING/PERSONAL/PYTHON/Image_Generator_API/imagenes/NAUTICA_CLASSICS_Q826566_B68_3.jpg")</f>
        <v/>
      </c>
      <c r="O2179">
        <f>HYPERLINK("imagenes/NAUTICA_CLASSICS_Q826566_B68_1.jpg","Ver imagen")</f>
        <v/>
      </c>
      <c r="P2179">
        <f>HYPERLINK("imagenes/NAUTICA_CLASSICS_Q826566_B68_2.jpg","Ver imagen")</f>
        <v/>
      </c>
      <c r="Q2179">
        <f>HYPERLINK("imagenes/NAUTICA_CLASSICS_Q826566_B68_3.jpg","Ver imagen")</f>
        <v/>
      </c>
    </row>
    <row r="2180">
      <c r="A2180" t="inlineStr">
        <is>
          <t>NAUTICA CLASSICS</t>
        </is>
      </c>
      <c r="B2180" t="inlineStr">
        <is>
          <t>Q829565</t>
        </is>
      </c>
      <c r="C2180" t="inlineStr">
        <is>
          <t>ZIP FRONT HOODED</t>
        </is>
      </c>
      <c r="D2180" t="inlineStr">
        <is>
          <t>BLK</t>
        </is>
      </c>
      <c r="E2180" t="inlineStr">
        <is>
          <t>(en blanco)</t>
        </is>
      </c>
      <c r="F2180" t="inlineStr">
        <is>
          <t>(en blanco)</t>
        </is>
      </c>
      <c r="G2180" t="inlineStr">
        <is>
          <t>XL</t>
        </is>
      </c>
      <c r="H2180" t="n">
        <v>1</v>
      </c>
      <c r="I2180" t="inlineStr">
        <is>
          <t>NAUTICA_CLASSICS_Q829565_BLK_1.jpg</t>
        </is>
      </c>
      <c r="J2180" t="inlineStr">
        <is>
          <t>NAUTICA_CLASSICS_Q829565_BLK_2.jpg</t>
        </is>
      </c>
      <c r="K2180" t="inlineStr">
        <is>
          <t>NAUTICA_CLASSICS_Q829565_BLK_3.jpg</t>
        </is>
      </c>
      <c r="L2180">
        <f>IMAGE("file:///E:/Estudios%20y%20certificaciones/ESTUDIOS%20DE%20PROGRAMMING/PROGRAMMING/PERSONAL/PYTHON/Image_Generator_API/imagenes/NAUTICA_CLASSICS_Q829565_BLK_1.jpg")</f>
        <v/>
      </c>
      <c r="M2180">
        <f>IMAGE("file:///E:/Estudios%20y%20certificaciones/ESTUDIOS%20DE%20PROGRAMMING/PROGRAMMING/PERSONAL/PYTHON/Image_Generator_API/imagenes/NAUTICA_CLASSICS_Q829565_BLK_2.jpg")</f>
        <v/>
      </c>
      <c r="N2180">
        <f>IMAGE("file:///E:/Estudios%20y%20certificaciones/ESTUDIOS%20DE%20PROGRAMMING/PROGRAMMING/PERSONAL/PYTHON/Image_Generator_API/imagenes/NAUTICA_CLASSICS_Q829565_BLK_3.jpg")</f>
        <v/>
      </c>
      <c r="O2180">
        <f>HYPERLINK("imagenes/NAUTICA_CLASSICS_Q829565_BLK_1.jpg","Ver imagen")</f>
        <v/>
      </c>
      <c r="P2180">
        <f>HYPERLINK("imagenes/NAUTICA_CLASSICS_Q829565_BLK_2.jpg","Ver imagen")</f>
        <v/>
      </c>
      <c r="Q2180">
        <f>HYPERLINK("imagenes/NAUTICA_CLASSICS_Q829565_BLK_3.jpg","Ver imagen")</f>
        <v/>
      </c>
    </row>
    <row r="2181">
      <c r="A2181" t="inlineStr">
        <is>
          <t>NAUTICA CLASSICS</t>
        </is>
      </c>
      <c r="B2181" t="inlineStr">
        <is>
          <t>Q831876X</t>
        </is>
      </c>
      <c r="C2181" t="inlineStr">
        <is>
          <t>SHORT STRETCH HOODED</t>
        </is>
      </c>
      <c r="D2181" t="inlineStr">
        <is>
          <t>BLK</t>
        </is>
      </c>
      <c r="E2181" t="inlineStr">
        <is>
          <t>(en blanco)</t>
        </is>
      </c>
      <c r="F2181" t="inlineStr">
        <is>
          <t>(en blanco)</t>
        </is>
      </c>
      <c r="G2181" t="inlineStr">
        <is>
          <t>1X</t>
        </is>
      </c>
      <c r="H2181" t="n">
        <v>2</v>
      </c>
      <c r="I2181" t="inlineStr">
        <is>
          <t>NAUTICA_CLASSICS_Q831876X_BLK_1.jpg</t>
        </is>
      </c>
      <c r="J2181" t="inlineStr">
        <is>
          <t>NAUTICA_CLASSICS_Q831876X_BLK_2.jpg</t>
        </is>
      </c>
      <c r="K2181" t="inlineStr">
        <is>
          <t>NAUTICA_CLASSICS_Q831876X_BLK_3.jpg</t>
        </is>
      </c>
      <c r="L2181">
        <f>IMAGE("file:///E:/Estudios%20y%20certificaciones/ESTUDIOS%20DE%20PROGRAMMING/PROGRAMMING/PERSONAL/PYTHON/Image_Generator_API/imagenes/NAUTICA_CLASSICS_Q831876X_BLK_1.jpg")</f>
        <v/>
      </c>
      <c r="M2181">
        <f>IMAGE("file:///E:/Estudios%20y%20certificaciones/ESTUDIOS%20DE%20PROGRAMMING/PROGRAMMING/PERSONAL/PYTHON/Image_Generator_API/imagenes/NAUTICA_CLASSICS_Q831876X_BLK_2.jpg")</f>
        <v/>
      </c>
      <c r="N2181">
        <f>IMAGE("file:///E:/Estudios%20y%20certificaciones/ESTUDIOS%20DE%20PROGRAMMING/PROGRAMMING/PERSONAL/PYTHON/Image_Generator_API/imagenes/NAUTICA_CLASSICS_Q831876X_BLK_3.jpg")</f>
        <v/>
      </c>
      <c r="O2181">
        <f>HYPERLINK("imagenes/NAUTICA_CLASSICS_Q831876X_BLK_1.jpg","Ver imagen")</f>
        <v/>
      </c>
      <c r="P2181">
        <f>HYPERLINK("imagenes/NAUTICA_CLASSICS_Q831876X_BLK_2.jpg","Ver imagen")</f>
        <v/>
      </c>
      <c r="Q2181">
        <f>HYPERLINK("imagenes/NAUTICA_CLASSICS_Q831876X_BLK_3.jpg","Ver imagen")</f>
        <v/>
      </c>
    </row>
    <row r="2182">
      <c r="A2182" t="inlineStr">
        <is>
          <t>NAUTICA CLASSICS</t>
        </is>
      </c>
      <c r="B2182" t="inlineStr">
        <is>
          <t>Q832945</t>
        </is>
      </c>
      <c r="C2182" t="inlineStr">
        <is>
          <t>DOUBLE BREASTED WOOL</t>
        </is>
      </c>
      <c r="D2182" t="inlineStr">
        <is>
          <t>CHR</t>
        </is>
      </c>
      <c r="E2182" t="inlineStr">
        <is>
          <t>(en blanco)</t>
        </is>
      </c>
      <c r="F2182" t="inlineStr">
        <is>
          <t>(en blanco)</t>
        </is>
      </c>
      <c r="G2182" t="inlineStr">
        <is>
          <t>2X</t>
        </is>
      </c>
      <c r="H2182" t="n">
        <v>4</v>
      </c>
      <c r="I2182" t="inlineStr">
        <is>
          <t>NAUTICA_CLASSICS_Q832945_CHR_1.jpg</t>
        </is>
      </c>
      <c r="J2182" t="inlineStr">
        <is>
          <t>NAUTICA_CLASSICS_Q832945_CHR_2.jpg</t>
        </is>
      </c>
      <c r="K2182" t="inlineStr">
        <is>
          <t>NAUTICA_CLASSICS_Q832945_CHR_3.jpg</t>
        </is>
      </c>
      <c r="L2182">
        <f>IMAGE("file:///E:/Estudios%20y%20certificaciones/ESTUDIOS%20DE%20PROGRAMMING/PROGRAMMING/PERSONAL/PYTHON/Image_Generator_API/imagenes/NAUTICA_CLASSICS_Q832945_CHR_1.jpg")</f>
        <v/>
      </c>
      <c r="M2182">
        <f>IMAGE("file:///E:/Estudios%20y%20certificaciones/ESTUDIOS%20DE%20PROGRAMMING/PROGRAMMING/PERSONAL/PYTHON/Image_Generator_API/imagenes/NAUTICA_CLASSICS_Q832945_CHR_2.jpg")</f>
        <v/>
      </c>
      <c r="N2182">
        <f>IMAGE("file:///E:/Estudios%20y%20certificaciones/ESTUDIOS%20DE%20PROGRAMMING/PROGRAMMING/PERSONAL/PYTHON/Image_Generator_API/imagenes/NAUTICA_CLASSICS_Q832945_CHR_3.jpg")</f>
        <v/>
      </c>
      <c r="O2182">
        <f>HYPERLINK("imagenes/NAUTICA_CLASSICS_Q832945_CHR_1.jpg","Ver imagen")</f>
        <v/>
      </c>
      <c r="P2182">
        <f>HYPERLINK("imagenes/NAUTICA_CLASSICS_Q832945_CHR_2.jpg","Ver imagen")</f>
        <v/>
      </c>
      <c r="Q2182">
        <f>HYPERLINK("imagenes/NAUTICA_CLASSICS_Q832945_CHR_3.jpg","Ver imagen")</f>
        <v/>
      </c>
    </row>
    <row r="2183">
      <c r="A2183" t="inlineStr">
        <is>
          <t>NAUTICA CLASSICS</t>
        </is>
      </c>
      <c r="B2183" t="inlineStr">
        <is>
          <t>Q911212</t>
        </is>
      </c>
      <c r="C2183" t="inlineStr">
        <is>
          <t>WINDBREAKER</t>
        </is>
      </c>
      <c r="D2183" t="inlineStr">
        <is>
          <t>SMA</t>
        </is>
      </c>
      <c r="E2183" t="inlineStr">
        <is>
          <t>(en blanco)</t>
        </is>
      </c>
      <c r="F2183" t="inlineStr">
        <is>
          <t>(en blanco)</t>
        </is>
      </c>
      <c r="G2183" t="inlineStr">
        <is>
          <t>PXL</t>
        </is>
      </c>
      <c r="H2183" t="n">
        <v>1</v>
      </c>
      <c r="I2183" t="inlineStr">
        <is>
          <t>NAUTICA_CLASSICS_Q911212_SMA_1.jpg</t>
        </is>
      </c>
      <c r="J2183" t="inlineStr">
        <is>
          <t>NAUTICA_CLASSICS_Q911212_SMA_2.jpg</t>
        </is>
      </c>
      <c r="K2183" t="inlineStr">
        <is>
          <t>NAUTICA_CLASSICS_Q911212_SMA_3.jpg</t>
        </is>
      </c>
      <c r="L2183">
        <f>IMAGE("file:///E:/Estudios%20y%20certificaciones/ESTUDIOS%20DE%20PROGRAMMING/PROGRAMMING/PERSONAL/PYTHON/Image_Generator_API/imagenes/NAUTICA_CLASSICS_Q911212_SMA_1.jpg")</f>
        <v/>
      </c>
      <c r="M2183">
        <f>IMAGE("file:///E:/Estudios%20y%20certificaciones/ESTUDIOS%20DE%20PROGRAMMING/PROGRAMMING/PERSONAL/PYTHON/Image_Generator_API/imagenes/NAUTICA_CLASSICS_Q911212_SMA_2.jpg")</f>
        <v/>
      </c>
      <c r="N2183">
        <f>IMAGE("file:///E:/Estudios%20y%20certificaciones/ESTUDIOS%20DE%20PROGRAMMING/PROGRAMMING/PERSONAL/PYTHON/Image_Generator_API/imagenes/NAUTICA_CLASSICS_Q911212_SMA_3.jpg")</f>
        <v/>
      </c>
      <c r="O2183">
        <f>HYPERLINK("imagenes/NAUTICA_CLASSICS_Q911212_SMA_1.jpg","Ver imagen")</f>
        <v/>
      </c>
      <c r="P2183">
        <f>HYPERLINK("imagenes/NAUTICA_CLASSICS_Q911212_SMA_2.jpg","Ver imagen")</f>
        <v/>
      </c>
      <c r="Q2183">
        <f>HYPERLINK("imagenes/NAUTICA_CLASSICS_Q911212_SMA_3.jpg","Ver imagen")</f>
        <v/>
      </c>
    </row>
    <row r="2184">
      <c r="A2184" t="inlineStr">
        <is>
          <t>NAUTICA CLASSICS</t>
        </is>
      </c>
      <c r="B2184" t="inlineStr">
        <is>
          <t>Q921033</t>
        </is>
      </c>
      <c r="C2184" t="inlineStr">
        <is>
          <t>BELTED JACKET W/BIB</t>
        </is>
      </c>
      <c r="D2184" t="inlineStr">
        <is>
          <t>DPN</t>
        </is>
      </c>
      <c r="E2184" t="inlineStr">
        <is>
          <t>(en blanco)</t>
        </is>
      </c>
      <c r="F2184" t="inlineStr">
        <is>
          <t>(en blanco)</t>
        </is>
      </c>
      <c r="G2184" t="inlineStr">
        <is>
          <t>XS</t>
        </is>
      </c>
      <c r="H2184" t="n">
        <v>3</v>
      </c>
      <c r="I2184" t="inlineStr">
        <is>
          <t>NAUTICA_CLASSICS_Q921033_DPN_1.jpg</t>
        </is>
      </c>
      <c r="J2184" t="inlineStr">
        <is>
          <t>NAUTICA_CLASSICS_Q921033_DPN_2.jpg</t>
        </is>
      </c>
      <c r="K2184" t="inlineStr">
        <is>
          <t>NAUTICA_CLASSICS_Q921033_DPN_3.jpg</t>
        </is>
      </c>
      <c r="L2184">
        <f>IMAGE("file:///E:/Estudios%20y%20certificaciones/ESTUDIOS%20DE%20PROGRAMMING/PROGRAMMING/PERSONAL/PYTHON/Image_Generator_API/imagenes/NAUTICA_CLASSICS_Q921033_DPN_1.jpg")</f>
        <v/>
      </c>
      <c r="M2184">
        <f>IMAGE("file:///E:/Estudios%20y%20certificaciones/ESTUDIOS%20DE%20PROGRAMMING/PROGRAMMING/PERSONAL/PYTHON/Image_Generator_API/imagenes/NAUTICA_CLASSICS_Q921033_DPN_2.jpg")</f>
        <v/>
      </c>
      <c r="N2184">
        <f>IMAGE("file:///E:/Estudios%20y%20certificaciones/ESTUDIOS%20DE%20PROGRAMMING/PROGRAMMING/PERSONAL/PYTHON/Image_Generator_API/imagenes/NAUTICA_CLASSICS_Q921033_DPN_3.jpg")</f>
        <v/>
      </c>
      <c r="O2184">
        <f>HYPERLINK("imagenes/NAUTICA_CLASSICS_Q921033_DPN_1.jpg","Ver imagen")</f>
        <v/>
      </c>
      <c r="P2184">
        <f>HYPERLINK("imagenes/NAUTICA_CLASSICS_Q921033_DPN_2.jpg","Ver imagen")</f>
        <v/>
      </c>
      <c r="Q2184">
        <f>HYPERLINK("imagenes/NAUTICA_CLASSICS_Q921033_DPN_3.jpg","Ver imagen")</f>
        <v/>
      </c>
    </row>
    <row r="2185">
      <c r="A2185" t="inlineStr">
        <is>
          <t>NAUTICA CLASSICS</t>
        </is>
      </c>
      <c r="B2185" t="inlineStr">
        <is>
          <t>Q921033</t>
        </is>
      </c>
      <c r="C2185" t="inlineStr">
        <is>
          <t>BELTED JACKET W/BIB</t>
        </is>
      </c>
      <c r="D2185" t="inlineStr">
        <is>
          <t>DPN</t>
        </is>
      </c>
      <c r="E2185" t="inlineStr">
        <is>
          <t>(en blanco)</t>
        </is>
      </c>
      <c r="F2185" t="inlineStr">
        <is>
          <t>(en blanco)</t>
        </is>
      </c>
      <c r="G2185" t="inlineStr">
        <is>
          <t>S</t>
        </is>
      </c>
      <c r="H2185" t="n">
        <v>12</v>
      </c>
      <c r="I2185" t="inlineStr">
        <is>
          <t>NAUTICA_CLASSICS_Q921033_DPN_1.jpg</t>
        </is>
      </c>
      <c r="J2185" t="inlineStr">
        <is>
          <t>NAUTICA_CLASSICS_Q921033_DPN_2.jpg</t>
        </is>
      </c>
      <c r="K2185" t="inlineStr">
        <is>
          <t>NAUTICA_CLASSICS_Q921033_DPN_3.jpg</t>
        </is>
      </c>
      <c r="L2185">
        <f>IMAGE("file:///E:/Estudios%20y%20certificaciones/ESTUDIOS%20DE%20PROGRAMMING/PROGRAMMING/PERSONAL/PYTHON/Image_Generator_API/imagenes/NAUTICA_CLASSICS_Q921033_DPN_1.jpg")</f>
        <v/>
      </c>
      <c r="M2185">
        <f>IMAGE("file:///E:/Estudios%20y%20certificaciones/ESTUDIOS%20DE%20PROGRAMMING/PROGRAMMING/PERSONAL/PYTHON/Image_Generator_API/imagenes/NAUTICA_CLASSICS_Q921033_DPN_2.jpg")</f>
        <v/>
      </c>
      <c r="N2185">
        <f>IMAGE("file:///E:/Estudios%20y%20certificaciones/ESTUDIOS%20DE%20PROGRAMMING/PROGRAMMING/PERSONAL/PYTHON/Image_Generator_API/imagenes/NAUTICA_CLASSICS_Q921033_DPN_3.jpg")</f>
        <v/>
      </c>
      <c r="O2185">
        <f>HYPERLINK("imagenes/NAUTICA_CLASSICS_Q921033_DPN_1.jpg","Ver imagen")</f>
        <v/>
      </c>
      <c r="P2185">
        <f>HYPERLINK("imagenes/NAUTICA_CLASSICS_Q921033_DPN_2.jpg","Ver imagen")</f>
        <v/>
      </c>
      <c r="Q2185">
        <f>HYPERLINK("imagenes/NAUTICA_CLASSICS_Q921033_DPN_3.jpg","Ver imagen")</f>
        <v/>
      </c>
    </row>
    <row r="2186">
      <c r="A2186" t="inlineStr">
        <is>
          <t>NAUTICA CLASSICS</t>
        </is>
      </c>
      <c r="B2186" t="inlineStr">
        <is>
          <t>Q921033</t>
        </is>
      </c>
      <c r="C2186" t="inlineStr">
        <is>
          <t>BELTED JACKET W/BIB</t>
        </is>
      </c>
      <c r="D2186" t="inlineStr">
        <is>
          <t>DPN</t>
        </is>
      </c>
      <c r="E2186" t="inlineStr">
        <is>
          <t>(en blanco)</t>
        </is>
      </c>
      <c r="F2186" t="inlineStr">
        <is>
          <t>(en blanco)</t>
        </is>
      </c>
      <c r="G2186" t="inlineStr">
        <is>
          <t>M</t>
        </is>
      </c>
      <c r="H2186" t="n">
        <v>14</v>
      </c>
      <c r="I2186" t="inlineStr">
        <is>
          <t>NAUTICA_CLASSICS_Q921033_DPN_1.jpg</t>
        </is>
      </c>
      <c r="J2186" t="inlineStr">
        <is>
          <t>NAUTICA_CLASSICS_Q921033_DPN_2.jpg</t>
        </is>
      </c>
      <c r="K2186" t="inlineStr">
        <is>
          <t>NAUTICA_CLASSICS_Q921033_DPN_3.jpg</t>
        </is>
      </c>
      <c r="L2186">
        <f>IMAGE("file:///E:/Estudios%20y%20certificaciones/ESTUDIOS%20DE%20PROGRAMMING/PROGRAMMING/PERSONAL/PYTHON/Image_Generator_API/imagenes/NAUTICA_CLASSICS_Q921033_DPN_1.jpg")</f>
        <v/>
      </c>
      <c r="M2186">
        <f>IMAGE("file:///E:/Estudios%20y%20certificaciones/ESTUDIOS%20DE%20PROGRAMMING/PROGRAMMING/PERSONAL/PYTHON/Image_Generator_API/imagenes/NAUTICA_CLASSICS_Q921033_DPN_2.jpg")</f>
        <v/>
      </c>
      <c r="N2186">
        <f>IMAGE("file:///E:/Estudios%20y%20certificaciones/ESTUDIOS%20DE%20PROGRAMMING/PROGRAMMING/PERSONAL/PYTHON/Image_Generator_API/imagenes/NAUTICA_CLASSICS_Q921033_DPN_3.jpg")</f>
        <v/>
      </c>
      <c r="O2186">
        <f>HYPERLINK("imagenes/NAUTICA_CLASSICS_Q921033_DPN_1.jpg","Ver imagen")</f>
        <v/>
      </c>
      <c r="P2186">
        <f>HYPERLINK("imagenes/NAUTICA_CLASSICS_Q921033_DPN_2.jpg","Ver imagen")</f>
        <v/>
      </c>
      <c r="Q2186">
        <f>HYPERLINK("imagenes/NAUTICA_CLASSICS_Q921033_DPN_3.jpg","Ver imagen")</f>
        <v/>
      </c>
    </row>
    <row r="2187">
      <c r="A2187" t="inlineStr">
        <is>
          <t>NAUTICA CLASSICS</t>
        </is>
      </c>
      <c r="B2187" t="inlineStr">
        <is>
          <t>Q921033</t>
        </is>
      </c>
      <c r="C2187" t="inlineStr">
        <is>
          <t>BELTED JACKET W/BIB</t>
        </is>
      </c>
      <c r="D2187" t="inlineStr">
        <is>
          <t>DPN</t>
        </is>
      </c>
      <c r="E2187" t="inlineStr">
        <is>
          <t>(en blanco)</t>
        </is>
      </c>
      <c r="F2187" t="inlineStr">
        <is>
          <t>(en blanco)</t>
        </is>
      </c>
      <c r="G2187" t="inlineStr">
        <is>
          <t>L</t>
        </is>
      </c>
      <c r="H2187" t="n">
        <v>17</v>
      </c>
      <c r="I2187" t="inlineStr">
        <is>
          <t>NAUTICA_CLASSICS_Q921033_DPN_1.jpg</t>
        </is>
      </c>
      <c r="J2187" t="inlineStr">
        <is>
          <t>NAUTICA_CLASSICS_Q921033_DPN_2.jpg</t>
        </is>
      </c>
      <c r="K2187" t="inlineStr">
        <is>
          <t>NAUTICA_CLASSICS_Q921033_DPN_3.jpg</t>
        </is>
      </c>
      <c r="L2187">
        <f>IMAGE("file:///E:/Estudios%20y%20certificaciones/ESTUDIOS%20DE%20PROGRAMMING/PROGRAMMING/PERSONAL/PYTHON/Image_Generator_API/imagenes/NAUTICA_CLASSICS_Q921033_DPN_1.jpg")</f>
        <v/>
      </c>
      <c r="M2187">
        <f>IMAGE("file:///E:/Estudios%20y%20certificaciones/ESTUDIOS%20DE%20PROGRAMMING/PROGRAMMING/PERSONAL/PYTHON/Image_Generator_API/imagenes/NAUTICA_CLASSICS_Q921033_DPN_2.jpg")</f>
        <v/>
      </c>
      <c r="N2187">
        <f>IMAGE("file:///E:/Estudios%20y%20certificaciones/ESTUDIOS%20DE%20PROGRAMMING/PROGRAMMING/PERSONAL/PYTHON/Image_Generator_API/imagenes/NAUTICA_CLASSICS_Q921033_DPN_3.jpg")</f>
        <v/>
      </c>
      <c r="O2187">
        <f>HYPERLINK("imagenes/NAUTICA_CLASSICS_Q921033_DPN_1.jpg","Ver imagen")</f>
        <v/>
      </c>
      <c r="P2187">
        <f>HYPERLINK("imagenes/NAUTICA_CLASSICS_Q921033_DPN_2.jpg","Ver imagen")</f>
        <v/>
      </c>
      <c r="Q2187">
        <f>HYPERLINK("imagenes/NAUTICA_CLASSICS_Q921033_DPN_3.jpg","Ver imagen")</f>
        <v/>
      </c>
    </row>
    <row r="2188">
      <c r="A2188" t="inlineStr">
        <is>
          <t>NAUTICA CLASSICS</t>
        </is>
      </c>
      <c r="B2188" t="inlineStr">
        <is>
          <t>Q921033</t>
        </is>
      </c>
      <c r="C2188" t="inlineStr">
        <is>
          <t>BELTED JACKET W/BIB</t>
        </is>
      </c>
      <c r="D2188" t="inlineStr">
        <is>
          <t>DPN</t>
        </is>
      </c>
      <c r="E2188" t="inlineStr">
        <is>
          <t>(en blanco)</t>
        </is>
      </c>
      <c r="F2188" t="inlineStr">
        <is>
          <t>(en blanco)</t>
        </is>
      </c>
      <c r="G2188" t="inlineStr">
        <is>
          <t>XL</t>
        </is>
      </c>
      <c r="H2188" t="n">
        <v>10</v>
      </c>
      <c r="I2188" t="inlineStr">
        <is>
          <t>NAUTICA_CLASSICS_Q921033_DPN_1.jpg</t>
        </is>
      </c>
      <c r="J2188" t="inlineStr">
        <is>
          <t>NAUTICA_CLASSICS_Q921033_DPN_2.jpg</t>
        </is>
      </c>
      <c r="K2188" t="inlineStr">
        <is>
          <t>NAUTICA_CLASSICS_Q921033_DPN_3.jpg</t>
        </is>
      </c>
      <c r="L2188">
        <f>IMAGE("file:///E:/Estudios%20y%20certificaciones/ESTUDIOS%20DE%20PROGRAMMING/PROGRAMMING/PERSONAL/PYTHON/Image_Generator_API/imagenes/NAUTICA_CLASSICS_Q921033_DPN_1.jpg")</f>
        <v/>
      </c>
      <c r="M2188">
        <f>IMAGE("file:///E:/Estudios%20y%20certificaciones/ESTUDIOS%20DE%20PROGRAMMING/PROGRAMMING/PERSONAL/PYTHON/Image_Generator_API/imagenes/NAUTICA_CLASSICS_Q921033_DPN_2.jpg")</f>
        <v/>
      </c>
      <c r="N2188">
        <f>IMAGE("file:///E:/Estudios%20y%20certificaciones/ESTUDIOS%20DE%20PROGRAMMING/PROGRAMMING/PERSONAL/PYTHON/Image_Generator_API/imagenes/NAUTICA_CLASSICS_Q921033_DPN_3.jpg")</f>
        <v/>
      </c>
      <c r="O2188">
        <f>HYPERLINK("imagenes/NAUTICA_CLASSICS_Q921033_DPN_1.jpg","Ver imagen")</f>
        <v/>
      </c>
      <c r="P2188">
        <f>HYPERLINK("imagenes/NAUTICA_CLASSICS_Q921033_DPN_2.jpg","Ver imagen")</f>
        <v/>
      </c>
      <c r="Q2188">
        <f>HYPERLINK("imagenes/NAUTICA_CLASSICS_Q921033_DPN_3.jpg","Ver imagen")</f>
        <v/>
      </c>
    </row>
    <row r="2189">
      <c r="A2189" t="inlineStr">
        <is>
          <t>NAUTICA CLASSICS</t>
        </is>
      </c>
      <c r="B2189" t="inlineStr">
        <is>
          <t>Q921033</t>
        </is>
      </c>
      <c r="C2189" t="inlineStr">
        <is>
          <t>BELTED JACKET W/BIB</t>
        </is>
      </c>
      <c r="D2189" t="inlineStr">
        <is>
          <t>DPN</t>
        </is>
      </c>
      <c r="E2189" t="inlineStr">
        <is>
          <t>(en blanco)</t>
        </is>
      </c>
      <c r="F2189" t="inlineStr">
        <is>
          <t>(en blanco)</t>
        </is>
      </c>
      <c r="G2189" t="inlineStr">
        <is>
          <t>XXL</t>
        </is>
      </c>
      <c r="H2189" t="n">
        <v>27</v>
      </c>
      <c r="I2189" t="inlineStr">
        <is>
          <t>NAUTICA_CLASSICS_Q921033_DPN_1.jpg</t>
        </is>
      </c>
      <c r="J2189" t="inlineStr">
        <is>
          <t>NAUTICA_CLASSICS_Q921033_DPN_2.jpg</t>
        </is>
      </c>
      <c r="K2189" t="inlineStr">
        <is>
          <t>NAUTICA_CLASSICS_Q921033_DPN_3.jpg</t>
        </is>
      </c>
      <c r="L2189">
        <f>IMAGE("file:///E:/Estudios%20y%20certificaciones/ESTUDIOS%20DE%20PROGRAMMING/PROGRAMMING/PERSONAL/PYTHON/Image_Generator_API/imagenes/NAUTICA_CLASSICS_Q921033_DPN_1.jpg")</f>
        <v/>
      </c>
      <c r="M2189">
        <f>IMAGE("file:///E:/Estudios%20y%20certificaciones/ESTUDIOS%20DE%20PROGRAMMING/PROGRAMMING/PERSONAL/PYTHON/Image_Generator_API/imagenes/NAUTICA_CLASSICS_Q921033_DPN_2.jpg")</f>
        <v/>
      </c>
      <c r="N2189">
        <f>IMAGE("file:///E:/Estudios%20y%20certificaciones/ESTUDIOS%20DE%20PROGRAMMING/PROGRAMMING/PERSONAL/PYTHON/Image_Generator_API/imagenes/NAUTICA_CLASSICS_Q921033_DPN_3.jpg")</f>
        <v/>
      </c>
      <c r="O2189">
        <f>HYPERLINK("imagenes/NAUTICA_CLASSICS_Q921033_DPN_1.jpg","Ver imagen")</f>
        <v/>
      </c>
      <c r="P2189">
        <f>HYPERLINK("imagenes/NAUTICA_CLASSICS_Q921033_DPN_2.jpg","Ver imagen")</f>
        <v/>
      </c>
      <c r="Q2189">
        <f>HYPERLINK("imagenes/NAUTICA_CLASSICS_Q921033_DPN_3.jpg","Ver imagen")</f>
        <v/>
      </c>
    </row>
    <row r="2190">
      <c r="A2190" t="inlineStr">
        <is>
          <t>NAUTICA CLASSICS</t>
        </is>
      </c>
      <c r="B2190" t="inlineStr">
        <is>
          <t>Q921074</t>
        </is>
      </c>
      <c r="C2190" t="inlineStr">
        <is>
          <t>FLY FNT W/BELT</t>
        </is>
      </c>
      <c r="D2190" t="inlineStr">
        <is>
          <t>BKB</t>
        </is>
      </c>
      <c r="E2190" t="inlineStr">
        <is>
          <t>(en blanco)</t>
        </is>
      </c>
      <c r="F2190" t="inlineStr">
        <is>
          <t>(en blanco)</t>
        </is>
      </c>
      <c r="G2190" t="inlineStr">
        <is>
          <t>XS</t>
        </is>
      </c>
      <c r="H2190" t="n">
        <v>1</v>
      </c>
      <c r="I2190" t="inlineStr">
        <is>
          <t>NAUTICA_CLASSICS_Q921074_BKB_1.jpg</t>
        </is>
      </c>
      <c r="J2190" t="inlineStr">
        <is>
          <t>NAUTICA_CLASSICS_Q921074_BKB_2.jpg</t>
        </is>
      </c>
      <c r="K2190" t="inlineStr">
        <is>
          <t>NAUTICA_CLASSICS_Q921074_BKB_3.jpg</t>
        </is>
      </c>
      <c r="L2190">
        <f>IMAGE("file:///E:/Estudios%20y%20certificaciones/ESTUDIOS%20DE%20PROGRAMMING/PROGRAMMING/PERSONAL/PYTHON/Image_Generator_API/imagenes/NAUTICA_CLASSICS_Q921074_BKB_1.jpg")</f>
        <v/>
      </c>
      <c r="M2190">
        <f>IMAGE("file:///E:/Estudios%20y%20certificaciones/ESTUDIOS%20DE%20PROGRAMMING/PROGRAMMING/PERSONAL/PYTHON/Image_Generator_API/imagenes/NAUTICA_CLASSICS_Q921074_BKB_2.jpg")</f>
        <v/>
      </c>
      <c r="N2190">
        <f>IMAGE("file:///E:/Estudios%20y%20certificaciones/ESTUDIOS%20DE%20PROGRAMMING/PROGRAMMING/PERSONAL/PYTHON/Image_Generator_API/imagenes/NAUTICA_CLASSICS_Q921074_BKB_3.jpg")</f>
        <v/>
      </c>
      <c r="O2190">
        <f>HYPERLINK("imagenes/NAUTICA_CLASSICS_Q921074_BKB_1.jpg","Ver imagen")</f>
        <v/>
      </c>
      <c r="P2190">
        <f>HYPERLINK("imagenes/NAUTICA_CLASSICS_Q921074_BKB_2.jpg","Ver imagen")</f>
        <v/>
      </c>
      <c r="Q2190">
        <f>HYPERLINK("imagenes/NAUTICA_CLASSICS_Q921074_BKB_3.jpg","Ver imagen")</f>
        <v/>
      </c>
    </row>
    <row r="2191">
      <c r="A2191" t="inlineStr">
        <is>
          <t>NAUTICA CLASSICS</t>
        </is>
      </c>
      <c r="B2191" t="inlineStr">
        <is>
          <t>Q921074</t>
        </is>
      </c>
      <c r="C2191" t="inlineStr">
        <is>
          <t>FLY FNT W/BELT</t>
        </is>
      </c>
      <c r="D2191" t="inlineStr">
        <is>
          <t>BKB</t>
        </is>
      </c>
      <c r="E2191" t="inlineStr">
        <is>
          <t>(en blanco)</t>
        </is>
      </c>
      <c r="F2191" t="inlineStr">
        <is>
          <t>(en blanco)</t>
        </is>
      </c>
      <c r="G2191" t="inlineStr">
        <is>
          <t>S</t>
        </is>
      </c>
      <c r="H2191" t="n">
        <v>1</v>
      </c>
      <c r="I2191" t="inlineStr">
        <is>
          <t>NAUTICA_CLASSICS_Q921074_BKB_1.jpg</t>
        </is>
      </c>
      <c r="J2191" t="inlineStr">
        <is>
          <t>NAUTICA_CLASSICS_Q921074_BKB_2.jpg</t>
        </is>
      </c>
      <c r="K2191" t="inlineStr">
        <is>
          <t>NAUTICA_CLASSICS_Q921074_BKB_3.jpg</t>
        </is>
      </c>
      <c r="L2191">
        <f>IMAGE("file:///E:/Estudios%20y%20certificaciones/ESTUDIOS%20DE%20PROGRAMMING/PROGRAMMING/PERSONAL/PYTHON/Image_Generator_API/imagenes/NAUTICA_CLASSICS_Q921074_BKB_1.jpg")</f>
        <v/>
      </c>
      <c r="M2191">
        <f>IMAGE("file:///E:/Estudios%20y%20certificaciones/ESTUDIOS%20DE%20PROGRAMMING/PROGRAMMING/PERSONAL/PYTHON/Image_Generator_API/imagenes/NAUTICA_CLASSICS_Q921074_BKB_2.jpg")</f>
        <v/>
      </c>
      <c r="N2191">
        <f>IMAGE("file:///E:/Estudios%20y%20certificaciones/ESTUDIOS%20DE%20PROGRAMMING/PROGRAMMING/PERSONAL/PYTHON/Image_Generator_API/imagenes/NAUTICA_CLASSICS_Q921074_BKB_3.jpg")</f>
        <v/>
      </c>
      <c r="O2191">
        <f>HYPERLINK("imagenes/NAUTICA_CLASSICS_Q921074_BKB_1.jpg","Ver imagen")</f>
        <v/>
      </c>
      <c r="P2191">
        <f>HYPERLINK("imagenes/NAUTICA_CLASSICS_Q921074_BKB_2.jpg","Ver imagen")</f>
        <v/>
      </c>
      <c r="Q2191">
        <f>HYPERLINK("imagenes/NAUTICA_CLASSICS_Q921074_BKB_3.jpg","Ver imagen")</f>
        <v/>
      </c>
    </row>
    <row r="2192">
      <c r="A2192" t="inlineStr">
        <is>
          <t>NAUTICA CLASSICS</t>
        </is>
      </c>
      <c r="B2192" t="inlineStr">
        <is>
          <t>Q924402</t>
        </is>
      </c>
      <c r="C2192" t="inlineStr">
        <is>
          <t>SOFT SHELL</t>
        </is>
      </c>
      <c r="D2192" t="inlineStr">
        <is>
          <t>BP7</t>
        </is>
      </c>
      <c r="E2192" t="inlineStr">
        <is>
          <t>(en blanco)</t>
        </is>
      </c>
      <c r="F2192" t="inlineStr">
        <is>
          <t>(en blanco)</t>
        </is>
      </c>
      <c r="G2192" t="inlineStr">
        <is>
          <t>XS</t>
        </is>
      </c>
      <c r="H2192" t="n">
        <v>2</v>
      </c>
      <c r="I2192" t="inlineStr">
        <is>
          <t>NAUTICA_CLASSICS_Q924402_BP7_1.jpg</t>
        </is>
      </c>
      <c r="J2192" t="inlineStr">
        <is>
          <t>NAUTICA_CLASSICS_Q924402_BP7_2.jpg</t>
        </is>
      </c>
      <c r="K2192" t="inlineStr">
        <is>
          <t>NAUTICA_CLASSICS_Q924402_BP7_3.jpg</t>
        </is>
      </c>
      <c r="L2192">
        <f>IMAGE("file:///E:/Estudios%20y%20certificaciones/ESTUDIOS%20DE%20PROGRAMMING/PROGRAMMING/PERSONAL/PYTHON/Image_Generator_API/imagenes/NAUTICA_CLASSICS_Q924402_BP7_1.jpg")</f>
        <v/>
      </c>
      <c r="M2192">
        <f>IMAGE("file:///E:/Estudios%20y%20certificaciones/ESTUDIOS%20DE%20PROGRAMMING/PROGRAMMING/PERSONAL/PYTHON/Image_Generator_API/imagenes/NAUTICA_CLASSICS_Q924402_BP7_2.jpg")</f>
        <v/>
      </c>
      <c r="N2192">
        <f>IMAGE("file:///E:/Estudios%20y%20certificaciones/ESTUDIOS%20DE%20PROGRAMMING/PROGRAMMING/PERSONAL/PYTHON/Image_Generator_API/imagenes/NAUTICA_CLASSICS_Q924402_BP7_3.jpg")</f>
        <v/>
      </c>
      <c r="O2192">
        <f>HYPERLINK("imagenes/NAUTICA_CLASSICS_Q924402_BP7_1.jpg","Ver imagen")</f>
        <v/>
      </c>
      <c r="P2192">
        <f>HYPERLINK("imagenes/NAUTICA_CLASSICS_Q924402_BP7_2.jpg","Ver imagen")</f>
        <v/>
      </c>
      <c r="Q2192">
        <f>HYPERLINK("imagenes/NAUTICA_CLASSICS_Q924402_BP7_3.jpg","Ver imagen")</f>
        <v/>
      </c>
    </row>
    <row r="2193">
      <c r="A2193" t="inlineStr">
        <is>
          <t>NAUTICA CLASSICS</t>
        </is>
      </c>
      <c r="B2193" t="inlineStr">
        <is>
          <t>Q924402</t>
        </is>
      </c>
      <c r="C2193" t="inlineStr">
        <is>
          <t>SOFT SHELL</t>
        </is>
      </c>
      <c r="D2193" t="inlineStr">
        <is>
          <t>BP7</t>
        </is>
      </c>
      <c r="E2193" t="inlineStr">
        <is>
          <t>(en blanco)</t>
        </is>
      </c>
      <c r="F2193" t="inlineStr">
        <is>
          <t>(en blanco)</t>
        </is>
      </c>
      <c r="G2193" t="inlineStr">
        <is>
          <t>L</t>
        </is>
      </c>
      <c r="H2193" t="n">
        <v>1</v>
      </c>
      <c r="I2193" t="inlineStr">
        <is>
          <t>NAUTICA_CLASSICS_Q924402_BP7_1.jpg</t>
        </is>
      </c>
      <c r="J2193" t="inlineStr">
        <is>
          <t>NAUTICA_CLASSICS_Q924402_BP7_2.jpg</t>
        </is>
      </c>
      <c r="K2193" t="inlineStr">
        <is>
          <t>NAUTICA_CLASSICS_Q924402_BP7_3.jpg</t>
        </is>
      </c>
      <c r="L2193">
        <f>IMAGE("file:///E:/Estudios%20y%20certificaciones/ESTUDIOS%20DE%20PROGRAMMING/PROGRAMMING/PERSONAL/PYTHON/Image_Generator_API/imagenes/NAUTICA_CLASSICS_Q924402_BP7_1.jpg")</f>
        <v/>
      </c>
      <c r="M2193">
        <f>IMAGE("file:///E:/Estudios%20y%20certificaciones/ESTUDIOS%20DE%20PROGRAMMING/PROGRAMMING/PERSONAL/PYTHON/Image_Generator_API/imagenes/NAUTICA_CLASSICS_Q924402_BP7_2.jpg")</f>
        <v/>
      </c>
      <c r="N2193">
        <f>IMAGE("file:///E:/Estudios%20y%20certificaciones/ESTUDIOS%20DE%20PROGRAMMING/PROGRAMMING/PERSONAL/PYTHON/Image_Generator_API/imagenes/NAUTICA_CLASSICS_Q924402_BP7_3.jpg")</f>
        <v/>
      </c>
      <c r="O2193">
        <f>HYPERLINK("imagenes/NAUTICA_CLASSICS_Q924402_BP7_1.jpg","Ver imagen")</f>
        <v/>
      </c>
      <c r="P2193">
        <f>HYPERLINK("imagenes/NAUTICA_CLASSICS_Q924402_BP7_2.jpg","Ver imagen")</f>
        <v/>
      </c>
      <c r="Q2193">
        <f>HYPERLINK("imagenes/NAUTICA_CLASSICS_Q924402_BP7_3.jpg","Ver imagen")</f>
        <v/>
      </c>
    </row>
    <row r="2194">
      <c r="A2194" t="inlineStr">
        <is>
          <t>NAUTICA CLASSICS</t>
        </is>
      </c>
      <c r="B2194" t="inlineStr">
        <is>
          <t>Q924402</t>
        </is>
      </c>
      <c r="C2194" t="inlineStr">
        <is>
          <t>SOFT SHELL</t>
        </is>
      </c>
      <c r="D2194" t="inlineStr">
        <is>
          <t>BP7</t>
        </is>
      </c>
      <c r="E2194" t="inlineStr">
        <is>
          <t>(en blanco)</t>
        </is>
      </c>
      <c r="F2194" t="inlineStr">
        <is>
          <t>(en blanco)</t>
        </is>
      </c>
      <c r="G2194" t="inlineStr">
        <is>
          <t>XL</t>
        </is>
      </c>
      <c r="H2194" t="n">
        <v>1</v>
      </c>
      <c r="I2194" t="inlineStr">
        <is>
          <t>NAUTICA_CLASSICS_Q924402_BP7_1.jpg</t>
        </is>
      </c>
      <c r="J2194" t="inlineStr">
        <is>
          <t>NAUTICA_CLASSICS_Q924402_BP7_2.jpg</t>
        </is>
      </c>
      <c r="K2194" t="inlineStr">
        <is>
          <t>NAUTICA_CLASSICS_Q924402_BP7_3.jpg</t>
        </is>
      </c>
      <c r="L2194">
        <f>IMAGE("file:///E:/Estudios%20y%20certificaciones/ESTUDIOS%20DE%20PROGRAMMING/PROGRAMMING/PERSONAL/PYTHON/Image_Generator_API/imagenes/NAUTICA_CLASSICS_Q924402_BP7_1.jpg")</f>
        <v/>
      </c>
      <c r="M2194">
        <f>IMAGE("file:///E:/Estudios%20y%20certificaciones/ESTUDIOS%20DE%20PROGRAMMING/PROGRAMMING/PERSONAL/PYTHON/Image_Generator_API/imagenes/NAUTICA_CLASSICS_Q924402_BP7_2.jpg")</f>
        <v/>
      </c>
      <c r="N2194">
        <f>IMAGE("file:///E:/Estudios%20y%20certificaciones/ESTUDIOS%20DE%20PROGRAMMING/PROGRAMMING/PERSONAL/PYTHON/Image_Generator_API/imagenes/NAUTICA_CLASSICS_Q924402_BP7_3.jpg")</f>
        <v/>
      </c>
      <c r="O2194">
        <f>HYPERLINK("imagenes/NAUTICA_CLASSICS_Q924402_BP7_1.jpg","Ver imagen")</f>
        <v/>
      </c>
      <c r="P2194">
        <f>HYPERLINK("imagenes/NAUTICA_CLASSICS_Q924402_BP7_2.jpg","Ver imagen")</f>
        <v/>
      </c>
      <c r="Q2194">
        <f>HYPERLINK("imagenes/NAUTICA_CLASSICS_Q924402_BP7_3.jpg","Ver imagen")</f>
        <v/>
      </c>
    </row>
    <row r="2195">
      <c r="A2195" t="inlineStr">
        <is>
          <t>NAUTICA CLASSICS</t>
        </is>
      </c>
      <c r="B2195" t="inlineStr">
        <is>
          <t>Q929537</t>
        </is>
      </c>
      <c r="C2195" t="inlineStr">
        <is>
          <t>3/4 ZIP FRONT ANORAK</t>
        </is>
      </c>
      <c r="D2195" t="inlineStr">
        <is>
          <t>NSS</t>
        </is>
      </c>
      <c r="E2195" t="inlineStr">
        <is>
          <t>(en blanco)</t>
        </is>
      </c>
      <c r="F2195" t="inlineStr">
        <is>
          <t>(en blanco)</t>
        </is>
      </c>
      <c r="G2195" t="inlineStr">
        <is>
          <t>XS</t>
        </is>
      </c>
      <c r="H2195" t="n">
        <v>2</v>
      </c>
      <c r="I2195" t="inlineStr">
        <is>
          <t>NAUTICA_CLASSICS_Q929537_NSS_1.jpg</t>
        </is>
      </c>
      <c r="J2195" t="inlineStr">
        <is>
          <t>NAUTICA_CLASSICS_Q929537_NSS_2.jpg</t>
        </is>
      </c>
      <c r="K2195" t="inlineStr">
        <is>
          <t>NAUTICA_CLASSICS_Q929537_NSS_3.jpg</t>
        </is>
      </c>
      <c r="L2195">
        <f>IMAGE("file:///E:/Estudios%20y%20certificaciones/ESTUDIOS%20DE%20PROGRAMMING/PROGRAMMING/PERSONAL/PYTHON/Image_Generator_API/imagenes/NAUTICA_CLASSICS_Q929537_NSS_1.jpg")</f>
        <v/>
      </c>
      <c r="M2195">
        <f>IMAGE("file:///E:/Estudios%20y%20certificaciones/ESTUDIOS%20DE%20PROGRAMMING/PROGRAMMING/PERSONAL/PYTHON/Image_Generator_API/imagenes/NAUTICA_CLASSICS_Q929537_NSS_2.jpg")</f>
        <v/>
      </c>
      <c r="N2195">
        <f>IMAGE("file:///E:/Estudios%20y%20certificaciones/ESTUDIOS%20DE%20PROGRAMMING/PROGRAMMING/PERSONAL/PYTHON/Image_Generator_API/imagenes/NAUTICA_CLASSICS_Q929537_NSS_3.jpg")</f>
        <v/>
      </c>
      <c r="O2195">
        <f>HYPERLINK("imagenes/NAUTICA_CLASSICS_Q929537_NSS_1.jpg","Ver imagen")</f>
        <v/>
      </c>
      <c r="P2195">
        <f>HYPERLINK("imagenes/NAUTICA_CLASSICS_Q929537_NSS_2.jpg","Ver imagen")</f>
        <v/>
      </c>
      <c r="Q2195">
        <f>HYPERLINK("imagenes/NAUTICA_CLASSICS_Q929537_NSS_3.jpg","Ver imagen")</f>
        <v/>
      </c>
    </row>
    <row r="2196">
      <c r="A2196" t="inlineStr">
        <is>
          <t>NAUTICA MENS</t>
        </is>
      </c>
      <c r="B2196" t="inlineStr">
        <is>
          <t>208000554</t>
        </is>
      </c>
      <c r="C2196" t="inlineStr">
        <is>
          <t>FEATHER WEIGHT QUILTED JACKET</t>
        </is>
      </c>
      <c r="D2196" t="inlineStr">
        <is>
          <t>B31</t>
        </is>
      </c>
      <c r="E2196" t="inlineStr">
        <is>
          <t>12A08</t>
        </is>
      </c>
      <c r="F2196" t="inlineStr">
        <is>
          <t>(en blanco)</t>
        </is>
      </c>
      <c r="G2196" t="inlineStr">
        <is>
          <t>PPK</t>
        </is>
      </c>
      <c r="H2196" t="n">
        <v>1740</v>
      </c>
      <c r="I2196" t="inlineStr">
        <is>
          <t>NAUTICA_MENS_208000554_B31_1.jpg</t>
        </is>
      </c>
      <c r="J2196" t="inlineStr">
        <is>
          <t>NAUTICA_MENS_208000554_B31_2.jpg</t>
        </is>
      </c>
      <c r="K2196" t="inlineStr">
        <is>
          <t>NAUTICA_MENS_208000554_B31_3.jpg</t>
        </is>
      </c>
      <c r="L2196">
        <f>IMAGE("file:///E:/Estudios%20y%20certificaciones/ESTUDIOS%20DE%20PROGRAMMING/PROGRAMMING/PERSONAL/PYTHON/Image_Generator_API/imagenes/NAUTICA_MENS_208000554_B31_1.jpg")</f>
        <v/>
      </c>
      <c r="M2196">
        <f>IMAGE("file:///E:/Estudios%20y%20certificaciones/ESTUDIOS%20DE%20PROGRAMMING/PROGRAMMING/PERSONAL/PYTHON/Image_Generator_API/imagenes/NAUTICA_MENS_208000554_B31_2.jpg")</f>
        <v/>
      </c>
      <c r="N2196">
        <f>IMAGE("file:///E:/Estudios%20y%20certificaciones/ESTUDIOS%20DE%20PROGRAMMING/PROGRAMMING/PERSONAL/PYTHON/Image_Generator_API/imagenes/NAUTICA_MENS_208000554_B31_3.jpg")</f>
        <v/>
      </c>
      <c r="O2196">
        <f>HYPERLINK("imagenes/NAUTICA_MENS_208000554_B31_1.jpg","Ver imagen")</f>
        <v/>
      </c>
      <c r="P2196">
        <f>HYPERLINK("imagenes/NAUTICA_MENS_208000554_B31_2.jpg","Ver imagen")</f>
        <v/>
      </c>
      <c r="Q2196">
        <f>HYPERLINK("imagenes/NAUTICA_MENS_208000554_B31_3.jpg","Ver imagen")</f>
        <v/>
      </c>
    </row>
    <row r="2197">
      <c r="A2197" t="inlineStr">
        <is>
          <t>NAUTICA MENS</t>
        </is>
      </c>
      <c r="B2197" t="inlineStr">
        <is>
          <t>208000554</t>
        </is>
      </c>
      <c r="C2197" t="inlineStr">
        <is>
          <t>FEATHER WEIGHT QUILTED JACKET</t>
        </is>
      </c>
      <c r="D2197" t="inlineStr">
        <is>
          <t>B31</t>
        </is>
      </c>
      <c r="E2197" t="inlineStr">
        <is>
          <t>12A09</t>
        </is>
      </c>
      <c r="F2197" t="inlineStr">
        <is>
          <t>(en blanco)</t>
        </is>
      </c>
      <c r="G2197" t="inlineStr">
        <is>
          <t>PPK</t>
        </is>
      </c>
      <c r="H2197" t="n">
        <v>360</v>
      </c>
      <c r="I2197" t="inlineStr">
        <is>
          <t>NAUTICA_MENS_208000554_B31_1.jpg</t>
        </is>
      </c>
      <c r="J2197" t="inlineStr">
        <is>
          <t>NAUTICA_MENS_208000554_B31_2.jpg</t>
        </is>
      </c>
      <c r="K2197" t="inlineStr">
        <is>
          <t>NAUTICA_MENS_208000554_B31_3.jpg</t>
        </is>
      </c>
      <c r="L2197">
        <f>IMAGE("file:///E:/Estudios%20y%20certificaciones/ESTUDIOS%20DE%20PROGRAMMING/PROGRAMMING/PERSONAL/PYTHON/Image_Generator_API/imagenes/NAUTICA_MENS_208000554_B31_1.jpg")</f>
        <v/>
      </c>
      <c r="M2197">
        <f>IMAGE("file:///E:/Estudios%20y%20certificaciones/ESTUDIOS%20DE%20PROGRAMMING/PROGRAMMING/PERSONAL/PYTHON/Image_Generator_API/imagenes/NAUTICA_MENS_208000554_B31_2.jpg")</f>
        <v/>
      </c>
      <c r="N2197">
        <f>IMAGE("file:///E:/Estudios%20y%20certificaciones/ESTUDIOS%20DE%20PROGRAMMING/PROGRAMMING/PERSONAL/PYTHON/Image_Generator_API/imagenes/NAUTICA_MENS_208000554_B31_3.jpg")</f>
        <v/>
      </c>
      <c r="O2197">
        <f>HYPERLINK("imagenes/NAUTICA_MENS_208000554_B31_1.jpg","Ver imagen")</f>
        <v/>
      </c>
      <c r="P2197">
        <f>HYPERLINK("imagenes/NAUTICA_MENS_208000554_B31_2.jpg","Ver imagen")</f>
        <v/>
      </c>
      <c r="Q2197">
        <f>HYPERLINK("imagenes/NAUTICA_MENS_208000554_B31_3.jpg","Ver imagen")</f>
        <v/>
      </c>
    </row>
    <row r="2198">
      <c r="A2198" t="inlineStr">
        <is>
          <t>NAUTICA MENS</t>
        </is>
      </c>
      <c r="B2198" t="inlineStr">
        <is>
          <t>208000554</t>
        </is>
      </c>
      <c r="C2198" t="inlineStr">
        <is>
          <t>FEATHER WEIGHT QUILTED JACKET</t>
        </is>
      </c>
      <c r="D2198" t="inlineStr">
        <is>
          <t>B31</t>
        </is>
      </c>
      <c r="E2198" t="inlineStr">
        <is>
          <t>(en blanco)</t>
        </is>
      </c>
      <c r="F2198" t="inlineStr">
        <is>
          <t>(en blanco)</t>
        </is>
      </c>
      <c r="G2198" t="inlineStr">
        <is>
          <t>S</t>
        </is>
      </c>
      <c r="H2198" t="n">
        <v>0</v>
      </c>
      <c r="I2198" t="inlineStr">
        <is>
          <t>NAUTICA_MENS_208000554_B31_1.jpg</t>
        </is>
      </c>
      <c r="J2198" t="inlineStr">
        <is>
          <t>NAUTICA_MENS_208000554_B31_2.jpg</t>
        </is>
      </c>
      <c r="K2198" t="inlineStr">
        <is>
          <t>NAUTICA_MENS_208000554_B31_3.jpg</t>
        </is>
      </c>
      <c r="L2198">
        <f>IMAGE("file:///E:/Estudios%20y%20certificaciones/ESTUDIOS%20DE%20PROGRAMMING/PROGRAMMING/PERSONAL/PYTHON/Image_Generator_API/imagenes/NAUTICA_MENS_208000554_B31_1.jpg")</f>
        <v/>
      </c>
      <c r="M2198">
        <f>IMAGE("file:///E:/Estudios%20y%20certificaciones/ESTUDIOS%20DE%20PROGRAMMING/PROGRAMMING/PERSONAL/PYTHON/Image_Generator_API/imagenes/NAUTICA_MENS_208000554_B31_2.jpg")</f>
        <v/>
      </c>
      <c r="N2198">
        <f>IMAGE("file:///E:/Estudios%20y%20certificaciones/ESTUDIOS%20DE%20PROGRAMMING/PROGRAMMING/PERSONAL/PYTHON/Image_Generator_API/imagenes/NAUTICA_MENS_208000554_B31_3.jpg")</f>
        <v/>
      </c>
      <c r="O2198">
        <f>HYPERLINK("imagenes/NAUTICA_MENS_208000554_B31_1.jpg","Ver imagen")</f>
        <v/>
      </c>
      <c r="P2198">
        <f>HYPERLINK("imagenes/NAUTICA_MENS_208000554_B31_2.jpg","Ver imagen")</f>
        <v/>
      </c>
      <c r="Q2198">
        <f>HYPERLINK("imagenes/NAUTICA_MENS_208000554_B31_3.jpg","Ver imagen")</f>
        <v/>
      </c>
    </row>
    <row r="2199">
      <c r="A2199" t="inlineStr">
        <is>
          <t>NAUTICA MENS</t>
        </is>
      </c>
      <c r="B2199" t="inlineStr">
        <is>
          <t>208000554</t>
        </is>
      </c>
      <c r="C2199" t="inlineStr">
        <is>
          <t>FEATHER WEIGHT QUILTED JACKET</t>
        </is>
      </c>
      <c r="D2199" t="inlineStr">
        <is>
          <t>B31</t>
        </is>
      </c>
      <c r="E2199" t="inlineStr">
        <is>
          <t>(en blanco)</t>
        </is>
      </c>
      <c r="F2199" t="inlineStr">
        <is>
          <t>(en blanco)</t>
        </is>
      </c>
      <c r="G2199" t="inlineStr">
        <is>
          <t>M</t>
        </is>
      </c>
      <c r="H2199" t="n">
        <v>7</v>
      </c>
      <c r="I2199" t="inlineStr">
        <is>
          <t>NAUTICA_MENS_208000554_B31_1.jpg</t>
        </is>
      </c>
      <c r="J2199" t="inlineStr">
        <is>
          <t>NAUTICA_MENS_208000554_B31_2.jpg</t>
        </is>
      </c>
      <c r="K2199" t="inlineStr">
        <is>
          <t>NAUTICA_MENS_208000554_B31_3.jpg</t>
        </is>
      </c>
      <c r="L2199">
        <f>IMAGE("file:///E:/Estudios%20y%20certificaciones/ESTUDIOS%20DE%20PROGRAMMING/PROGRAMMING/PERSONAL/PYTHON/Image_Generator_API/imagenes/NAUTICA_MENS_208000554_B31_1.jpg")</f>
        <v/>
      </c>
      <c r="M2199">
        <f>IMAGE("file:///E:/Estudios%20y%20certificaciones/ESTUDIOS%20DE%20PROGRAMMING/PROGRAMMING/PERSONAL/PYTHON/Image_Generator_API/imagenes/NAUTICA_MENS_208000554_B31_2.jpg")</f>
        <v/>
      </c>
      <c r="N2199">
        <f>IMAGE("file:///E:/Estudios%20y%20certificaciones/ESTUDIOS%20DE%20PROGRAMMING/PROGRAMMING/PERSONAL/PYTHON/Image_Generator_API/imagenes/NAUTICA_MENS_208000554_B31_3.jpg")</f>
        <v/>
      </c>
      <c r="O2199">
        <f>HYPERLINK("imagenes/NAUTICA_MENS_208000554_B31_1.jpg","Ver imagen")</f>
        <v/>
      </c>
      <c r="P2199">
        <f>HYPERLINK("imagenes/NAUTICA_MENS_208000554_B31_2.jpg","Ver imagen")</f>
        <v/>
      </c>
      <c r="Q2199">
        <f>HYPERLINK("imagenes/NAUTICA_MENS_208000554_B31_3.jpg","Ver imagen")</f>
        <v/>
      </c>
    </row>
    <row r="2200">
      <c r="A2200" t="inlineStr">
        <is>
          <t>NAUTICA MENS</t>
        </is>
      </c>
      <c r="B2200" t="inlineStr">
        <is>
          <t>208000554</t>
        </is>
      </c>
      <c r="C2200" t="inlineStr">
        <is>
          <t>FEATHER WEIGHT QUILTED JACKET</t>
        </is>
      </c>
      <c r="D2200" t="inlineStr">
        <is>
          <t>B31</t>
        </is>
      </c>
      <c r="E2200" t="inlineStr">
        <is>
          <t>(en blanco)</t>
        </is>
      </c>
      <c r="F2200" t="inlineStr">
        <is>
          <t>(en blanco)</t>
        </is>
      </c>
      <c r="G2200" t="inlineStr">
        <is>
          <t>L</t>
        </is>
      </c>
      <c r="H2200" t="n">
        <v>11</v>
      </c>
      <c r="I2200" t="inlineStr">
        <is>
          <t>NAUTICA_MENS_208000554_B31_1.jpg</t>
        </is>
      </c>
      <c r="J2200" t="inlineStr">
        <is>
          <t>NAUTICA_MENS_208000554_B31_2.jpg</t>
        </is>
      </c>
      <c r="K2200" t="inlineStr">
        <is>
          <t>NAUTICA_MENS_208000554_B31_3.jpg</t>
        </is>
      </c>
      <c r="L2200">
        <f>IMAGE("file:///E:/Estudios%20y%20certificaciones/ESTUDIOS%20DE%20PROGRAMMING/PROGRAMMING/PERSONAL/PYTHON/Image_Generator_API/imagenes/NAUTICA_MENS_208000554_B31_1.jpg")</f>
        <v/>
      </c>
      <c r="M2200">
        <f>IMAGE("file:///E:/Estudios%20y%20certificaciones/ESTUDIOS%20DE%20PROGRAMMING/PROGRAMMING/PERSONAL/PYTHON/Image_Generator_API/imagenes/NAUTICA_MENS_208000554_B31_2.jpg")</f>
        <v/>
      </c>
      <c r="N2200">
        <f>IMAGE("file:///E:/Estudios%20y%20certificaciones/ESTUDIOS%20DE%20PROGRAMMING/PROGRAMMING/PERSONAL/PYTHON/Image_Generator_API/imagenes/NAUTICA_MENS_208000554_B31_3.jpg")</f>
        <v/>
      </c>
      <c r="O2200">
        <f>HYPERLINK("imagenes/NAUTICA_MENS_208000554_B31_1.jpg","Ver imagen")</f>
        <v/>
      </c>
      <c r="P2200">
        <f>HYPERLINK("imagenes/NAUTICA_MENS_208000554_B31_2.jpg","Ver imagen")</f>
        <v/>
      </c>
      <c r="Q2200">
        <f>HYPERLINK("imagenes/NAUTICA_MENS_208000554_B31_3.jpg","Ver imagen")</f>
        <v/>
      </c>
    </row>
    <row r="2201">
      <c r="A2201" t="inlineStr">
        <is>
          <t>NAUTICA MENS</t>
        </is>
      </c>
      <c r="B2201" t="inlineStr">
        <is>
          <t>208000554</t>
        </is>
      </c>
      <c r="C2201" t="inlineStr">
        <is>
          <t>FEATHER WEIGHT QUILTED JACKET</t>
        </is>
      </c>
      <c r="D2201" t="inlineStr">
        <is>
          <t>B31</t>
        </is>
      </c>
      <c r="E2201" t="inlineStr">
        <is>
          <t>(en blanco)</t>
        </is>
      </c>
      <c r="F2201" t="inlineStr">
        <is>
          <t>(en blanco)</t>
        </is>
      </c>
      <c r="G2201" t="inlineStr">
        <is>
          <t>XL</t>
        </is>
      </c>
      <c r="H2201" t="n">
        <v>9</v>
      </c>
      <c r="I2201" t="inlineStr">
        <is>
          <t>NAUTICA_MENS_208000554_B31_1.jpg</t>
        </is>
      </c>
      <c r="J2201" t="inlineStr">
        <is>
          <t>NAUTICA_MENS_208000554_B31_2.jpg</t>
        </is>
      </c>
      <c r="K2201" t="inlineStr">
        <is>
          <t>NAUTICA_MENS_208000554_B31_3.jpg</t>
        </is>
      </c>
      <c r="L2201">
        <f>IMAGE("file:///E:/Estudios%20y%20certificaciones/ESTUDIOS%20DE%20PROGRAMMING/PROGRAMMING/PERSONAL/PYTHON/Image_Generator_API/imagenes/NAUTICA_MENS_208000554_B31_1.jpg")</f>
        <v/>
      </c>
      <c r="M2201">
        <f>IMAGE("file:///E:/Estudios%20y%20certificaciones/ESTUDIOS%20DE%20PROGRAMMING/PROGRAMMING/PERSONAL/PYTHON/Image_Generator_API/imagenes/NAUTICA_MENS_208000554_B31_2.jpg")</f>
        <v/>
      </c>
      <c r="N2201">
        <f>IMAGE("file:///E:/Estudios%20y%20certificaciones/ESTUDIOS%20DE%20PROGRAMMING/PROGRAMMING/PERSONAL/PYTHON/Image_Generator_API/imagenes/NAUTICA_MENS_208000554_B31_3.jpg")</f>
        <v/>
      </c>
      <c r="O2201">
        <f>HYPERLINK("imagenes/NAUTICA_MENS_208000554_B31_1.jpg","Ver imagen")</f>
        <v/>
      </c>
      <c r="P2201">
        <f>HYPERLINK("imagenes/NAUTICA_MENS_208000554_B31_2.jpg","Ver imagen")</f>
        <v/>
      </c>
      <c r="Q2201">
        <f>HYPERLINK("imagenes/NAUTICA_MENS_208000554_B31_3.jpg","Ver imagen")</f>
        <v/>
      </c>
    </row>
    <row r="2202">
      <c r="A2202" t="inlineStr">
        <is>
          <t>NAUTICA MENS</t>
        </is>
      </c>
      <c r="B2202" t="inlineStr">
        <is>
          <t>208000554</t>
        </is>
      </c>
      <c r="C2202" t="inlineStr">
        <is>
          <t>FEATHER WEIGHT QUILTED JACKET</t>
        </is>
      </c>
      <c r="D2202" t="inlineStr">
        <is>
          <t>B31</t>
        </is>
      </c>
      <c r="E2202" t="inlineStr">
        <is>
          <t>(en blanco)</t>
        </is>
      </c>
      <c r="F2202" t="inlineStr">
        <is>
          <t>(en blanco)</t>
        </is>
      </c>
      <c r="G2202" t="inlineStr">
        <is>
          <t>XXL</t>
        </is>
      </c>
      <c r="H2202" t="n">
        <v>0</v>
      </c>
      <c r="I2202" t="inlineStr">
        <is>
          <t>NAUTICA_MENS_208000554_B31_1.jpg</t>
        </is>
      </c>
      <c r="J2202" t="inlineStr">
        <is>
          <t>NAUTICA_MENS_208000554_B31_2.jpg</t>
        </is>
      </c>
      <c r="K2202" t="inlineStr">
        <is>
          <t>NAUTICA_MENS_208000554_B31_3.jpg</t>
        </is>
      </c>
      <c r="L2202">
        <f>IMAGE("file:///E:/Estudios%20y%20certificaciones/ESTUDIOS%20DE%20PROGRAMMING/PROGRAMMING/PERSONAL/PYTHON/Image_Generator_API/imagenes/NAUTICA_MENS_208000554_B31_1.jpg")</f>
        <v/>
      </c>
      <c r="M2202">
        <f>IMAGE("file:///E:/Estudios%20y%20certificaciones/ESTUDIOS%20DE%20PROGRAMMING/PROGRAMMING/PERSONAL/PYTHON/Image_Generator_API/imagenes/NAUTICA_MENS_208000554_B31_2.jpg")</f>
        <v/>
      </c>
      <c r="N2202">
        <f>IMAGE("file:///E:/Estudios%20y%20certificaciones/ESTUDIOS%20DE%20PROGRAMMING/PROGRAMMING/PERSONAL/PYTHON/Image_Generator_API/imagenes/NAUTICA_MENS_208000554_B31_3.jpg")</f>
        <v/>
      </c>
      <c r="O2202">
        <f>HYPERLINK("imagenes/NAUTICA_MENS_208000554_B31_1.jpg","Ver imagen")</f>
        <v/>
      </c>
      <c r="P2202">
        <f>HYPERLINK("imagenes/NAUTICA_MENS_208000554_B31_2.jpg","Ver imagen")</f>
        <v/>
      </c>
      <c r="Q2202">
        <f>HYPERLINK("imagenes/NAUTICA_MENS_208000554_B31_3.jpg","Ver imagen")</f>
        <v/>
      </c>
    </row>
    <row r="2203">
      <c r="A2203" t="inlineStr">
        <is>
          <t>NAUTICA MENS</t>
        </is>
      </c>
      <c r="B2203" t="inlineStr">
        <is>
          <t>208000554</t>
        </is>
      </c>
      <c r="C2203" t="inlineStr">
        <is>
          <t>FEATHER WEIGHT QUILTED JACKET</t>
        </is>
      </c>
      <c r="D2203" t="inlineStr">
        <is>
          <t>BLK</t>
        </is>
      </c>
      <c r="E2203" t="inlineStr">
        <is>
          <t>12A08</t>
        </is>
      </c>
      <c r="F2203" t="inlineStr">
        <is>
          <t>R2140</t>
        </is>
      </c>
      <c r="G2203" t="inlineStr">
        <is>
          <t>PPK</t>
        </is>
      </c>
      <c r="H2203" t="n">
        <v>0</v>
      </c>
      <c r="I2203" t="inlineStr">
        <is>
          <t>NAUTICA_MENS_208000554_BLK_1.jpg</t>
        </is>
      </c>
      <c r="J2203" t="inlineStr">
        <is>
          <t>NAUTICA_MENS_208000554_BLK_2.jpg</t>
        </is>
      </c>
      <c r="K2203" t="inlineStr">
        <is>
          <t>NAUTICA_MENS_208000554_BLK_3.jpg</t>
        </is>
      </c>
      <c r="L2203">
        <f>IMAGE("file:///E:/Estudios%20y%20certificaciones/ESTUDIOS%20DE%20PROGRAMMING/PROGRAMMING/PERSONAL/PYTHON/Image_Generator_API/imagenes/NAUTICA_MENS_208000554_BLK_1.jpg")</f>
        <v/>
      </c>
      <c r="M2203">
        <f>IMAGE("file:///E:/Estudios%20y%20certificaciones/ESTUDIOS%20DE%20PROGRAMMING/PROGRAMMING/PERSONAL/PYTHON/Image_Generator_API/imagenes/NAUTICA_MENS_208000554_BLK_2.jpg")</f>
        <v/>
      </c>
      <c r="N2203">
        <f>IMAGE("file:///E:/Estudios%20y%20certificaciones/ESTUDIOS%20DE%20PROGRAMMING/PROGRAMMING/PERSONAL/PYTHON/Image_Generator_API/imagenes/NAUTICA_MENS_208000554_BLK_3.jpg")</f>
        <v/>
      </c>
      <c r="O2203">
        <f>HYPERLINK("imagenes/NAUTICA_MENS_208000554_BLK_1.jpg","Ver imagen")</f>
        <v/>
      </c>
      <c r="P2203">
        <f>HYPERLINK("imagenes/NAUTICA_MENS_208000554_BLK_2.jpg","Ver imagen")</f>
        <v/>
      </c>
      <c r="Q2203">
        <f>HYPERLINK("imagenes/NAUTICA_MENS_208000554_BLK_3.jpg","Ver imagen")</f>
        <v/>
      </c>
    </row>
    <row r="2204">
      <c r="A2204" t="inlineStr">
        <is>
          <t>NAUTICA MENS</t>
        </is>
      </c>
      <c r="B2204" t="inlineStr">
        <is>
          <t>208000554</t>
        </is>
      </c>
      <c r="C2204" t="inlineStr">
        <is>
          <t>FEATHER WEIGHT QUILTED JACKET</t>
        </is>
      </c>
      <c r="D2204" t="inlineStr">
        <is>
          <t>BLK</t>
        </is>
      </c>
      <c r="E2204" t="inlineStr">
        <is>
          <t>(en blanco)</t>
        </is>
      </c>
      <c r="F2204" t="inlineStr">
        <is>
          <t>D2C</t>
        </is>
      </c>
      <c r="G2204" t="inlineStr">
        <is>
          <t>M</t>
        </is>
      </c>
      <c r="H2204" t="n">
        <v>20</v>
      </c>
      <c r="I2204" t="inlineStr">
        <is>
          <t>NAUTICA_MENS_208000554_BLK_1.jpg</t>
        </is>
      </c>
      <c r="J2204" t="inlineStr">
        <is>
          <t>NAUTICA_MENS_208000554_BLK_2.jpg</t>
        </is>
      </c>
      <c r="K2204" t="inlineStr">
        <is>
          <t>NAUTICA_MENS_208000554_BLK_3.jpg</t>
        </is>
      </c>
      <c r="L2204">
        <f>IMAGE("file:///E:/Estudios%20y%20certificaciones/ESTUDIOS%20DE%20PROGRAMMING/PROGRAMMING/PERSONAL/PYTHON/Image_Generator_API/imagenes/NAUTICA_MENS_208000554_BLK_1.jpg")</f>
        <v/>
      </c>
      <c r="M2204">
        <f>IMAGE("file:///E:/Estudios%20y%20certificaciones/ESTUDIOS%20DE%20PROGRAMMING/PROGRAMMING/PERSONAL/PYTHON/Image_Generator_API/imagenes/NAUTICA_MENS_208000554_BLK_2.jpg")</f>
        <v/>
      </c>
      <c r="N2204">
        <f>IMAGE("file:///E:/Estudios%20y%20certificaciones/ESTUDIOS%20DE%20PROGRAMMING/PROGRAMMING/PERSONAL/PYTHON/Image_Generator_API/imagenes/NAUTICA_MENS_208000554_BLK_3.jpg")</f>
        <v/>
      </c>
      <c r="O2204">
        <f>HYPERLINK("imagenes/NAUTICA_MENS_208000554_BLK_1.jpg","Ver imagen")</f>
        <v/>
      </c>
      <c r="P2204">
        <f>HYPERLINK("imagenes/NAUTICA_MENS_208000554_BLK_2.jpg","Ver imagen")</f>
        <v/>
      </c>
      <c r="Q2204">
        <f>HYPERLINK("imagenes/NAUTICA_MENS_208000554_BLK_3.jpg","Ver imagen")</f>
        <v/>
      </c>
    </row>
    <row r="2205">
      <c r="A2205" t="inlineStr">
        <is>
          <t>NAUTICA MENS</t>
        </is>
      </c>
      <c r="B2205" t="inlineStr">
        <is>
          <t>208000554</t>
        </is>
      </c>
      <c r="C2205" t="inlineStr">
        <is>
          <t>FEATHER WEIGHT QUILTED JACKET</t>
        </is>
      </c>
      <c r="D2205" t="inlineStr">
        <is>
          <t>BLK</t>
        </is>
      </c>
      <c r="E2205" t="inlineStr">
        <is>
          <t>(en blanco)</t>
        </is>
      </c>
      <c r="F2205" t="inlineStr">
        <is>
          <t>D2C</t>
        </is>
      </c>
      <c r="G2205" t="inlineStr">
        <is>
          <t>L</t>
        </is>
      </c>
      <c r="H2205" t="n">
        <v>19</v>
      </c>
      <c r="I2205" t="inlineStr">
        <is>
          <t>NAUTICA_MENS_208000554_BLK_1.jpg</t>
        </is>
      </c>
      <c r="J2205" t="inlineStr">
        <is>
          <t>NAUTICA_MENS_208000554_BLK_2.jpg</t>
        </is>
      </c>
      <c r="K2205" t="inlineStr">
        <is>
          <t>NAUTICA_MENS_208000554_BLK_3.jpg</t>
        </is>
      </c>
      <c r="L2205">
        <f>IMAGE("file:///E:/Estudios%20y%20certificaciones/ESTUDIOS%20DE%20PROGRAMMING/PROGRAMMING/PERSONAL/PYTHON/Image_Generator_API/imagenes/NAUTICA_MENS_208000554_BLK_1.jpg")</f>
        <v/>
      </c>
      <c r="M2205">
        <f>IMAGE("file:///E:/Estudios%20y%20certificaciones/ESTUDIOS%20DE%20PROGRAMMING/PROGRAMMING/PERSONAL/PYTHON/Image_Generator_API/imagenes/NAUTICA_MENS_208000554_BLK_2.jpg")</f>
        <v/>
      </c>
      <c r="N2205">
        <f>IMAGE("file:///E:/Estudios%20y%20certificaciones/ESTUDIOS%20DE%20PROGRAMMING/PROGRAMMING/PERSONAL/PYTHON/Image_Generator_API/imagenes/NAUTICA_MENS_208000554_BLK_3.jpg")</f>
        <v/>
      </c>
      <c r="O2205">
        <f>HYPERLINK("imagenes/NAUTICA_MENS_208000554_BLK_1.jpg","Ver imagen")</f>
        <v/>
      </c>
      <c r="P2205">
        <f>HYPERLINK("imagenes/NAUTICA_MENS_208000554_BLK_2.jpg","Ver imagen")</f>
        <v/>
      </c>
      <c r="Q2205">
        <f>HYPERLINK("imagenes/NAUTICA_MENS_208000554_BLK_3.jpg","Ver imagen")</f>
        <v/>
      </c>
    </row>
    <row r="2206">
      <c r="A2206" t="inlineStr">
        <is>
          <t>NAUTICA MENS</t>
        </is>
      </c>
      <c r="B2206" t="inlineStr">
        <is>
          <t>208000554</t>
        </is>
      </c>
      <c r="C2206" t="inlineStr">
        <is>
          <t>FEATHER WEIGHT QUILTED JACKET</t>
        </is>
      </c>
      <c r="D2206" t="inlineStr">
        <is>
          <t>BLK</t>
        </is>
      </c>
      <c r="E2206" t="inlineStr">
        <is>
          <t>(en blanco)</t>
        </is>
      </c>
      <c r="F2206" t="inlineStr">
        <is>
          <t>D2C</t>
        </is>
      </c>
      <c r="G2206" t="inlineStr">
        <is>
          <t>XL</t>
        </is>
      </c>
      <c r="H2206" t="n">
        <v>19</v>
      </c>
      <c r="I2206" t="inlineStr">
        <is>
          <t>NAUTICA_MENS_208000554_BLK_1.jpg</t>
        </is>
      </c>
      <c r="J2206" t="inlineStr">
        <is>
          <t>NAUTICA_MENS_208000554_BLK_2.jpg</t>
        </is>
      </c>
      <c r="K2206" t="inlineStr">
        <is>
          <t>NAUTICA_MENS_208000554_BLK_3.jpg</t>
        </is>
      </c>
      <c r="L2206">
        <f>IMAGE("file:///E:/Estudios%20y%20certificaciones/ESTUDIOS%20DE%20PROGRAMMING/PROGRAMMING/PERSONAL/PYTHON/Image_Generator_API/imagenes/NAUTICA_MENS_208000554_BLK_1.jpg")</f>
        <v/>
      </c>
      <c r="M2206">
        <f>IMAGE("file:///E:/Estudios%20y%20certificaciones/ESTUDIOS%20DE%20PROGRAMMING/PROGRAMMING/PERSONAL/PYTHON/Image_Generator_API/imagenes/NAUTICA_MENS_208000554_BLK_2.jpg")</f>
        <v/>
      </c>
      <c r="N2206">
        <f>IMAGE("file:///E:/Estudios%20y%20certificaciones/ESTUDIOS%20DE%20PROGRAMMING/PROGRAMMING/PERSONAL/PYTHON/Image_Generator_API/imagenes/NAUTICA_MENS_208000554_BLK_3.jpg")</f>
        <v/>
      </c>
      <c r="O2206">
        <f>HYPERLINK("imagenes/NAUTICA_MENS_208000554_BLK_1.jpg","Ver imagen")</f>
        <v/>
      </c>
      <c r="P2206">
        <f>HYPERLINK("imagenes/NAUTICA_MENS_208000554_BLK_2.jpg","Ver imagen")</f>
        <v/>
      </c>
      <c r="Q2206">
        <f>HYPERLINK("imagenes/NAUTICA_MENS_208000554_BLK_3.jpg","Ver imagen")</f>
        <v/>
      </c>
    </row>
    <row r="2207">
      <c r="A2207" t="inlineStr">
        <is>
          <t>NAUTICA MENS</t>
        </is>
      </c>
      <c r="B2207" t="inlineStr">
        <is>
          <t>208000554</t>
        </is>
      </c>
      <c r="C2207" t="inlineStr">
        <is>
          <t>FEATHER WEIGHT QUILTED JACKET</t>
        </is>
      </c>
      <c r="D2207" t="inlineStr">
        <is>
          <t>BLK</t>
        </is>
      </c>
      <c r="E2207" t="inlineStr">
        <is>
          <t>(en blanco)</t>
        </is>
      </c>
      <c r="F2207" t="inlineStr">
        <is>
          <t>D2C</t>
        </is>
      </c>
      <c r="G2207" t="inlineStr">
        <is>
          <t>XXL</t>
        </is>
      </c>
      <c r="H2207" t="n">
        <v>20</v>
      </c>
      <c r="I2207" t="inlineStr">
        <is>
          <t>NAUTICA_MENS_208000554_BLK_1.jpg</t>
        </is>
      </c>
      <c r="J2207" t="inlineStr">
        <is>
          <t>NAUTICA_MENS_208000554_BLK_2.jpg</t>
        </is>
      </c>
      <c r="K2207" t="inlineStr">
        <is>
          <t>NAUTICA_MENS_208000554_BLK_3.jpg</t>
        </is>
      </c>
      <c r="L2207">
        <f>IMAGE("file:///E:/Estudios%20y%20certificaciones/ESTUDIOS%20DE%20PROGRAMMING/PROGRAMMING/PERSONAL/PYTHON/Image_Generator_API/imagenes/NAUTICA_MENS_208000554_BLK_1.jpg")</f>
        <v/>
      </c>
      <c r="M2207">
        <f>IMAGE("file:///E:/Estudios%20y%20certificaciones/ESTUDIOS%20DE%20PROGRAMMING/PROGRAMMING/PERSONAL/PYTHON/Image_Generator_API/imagenes/NAUTICA_MENS_208000554_BLK_2.jpg")</f>
        <v/>
      </c>
      <c r="N2207">
        <f>IMAGE("file:///E:/Estudios%20y%20certificaciones/ESTUDIOS%20DE%20PROGRAMMING/PROGRAMMING/PERSONAL/PYTHON/Image_Generator_API/imagenes/NAUTICA_MENS_208000554_BLK_3.jpg")</f>
        <v/>
      </c>
      <c r="O2207">
        <f>HYPERLINK("imagenes/NAUTICA_MENS_208000554_BLK_1.jpg","Ver imagen")</f>
        <v/>
      </c>
      <c r="P2207">
        <f>HYPERLINK("imagenes/NAUTICA_MENS_208000554_BLK_2.jpg","Ver imagen")</f>
        <v/>
      </c>
      <c r="Q2207">
        <f>HYPERLINK("imagenes/NAUTICA_MENS_208000554_BLK_3.jpg","Ver imagen")</f>
        <v/>
      </c>
    </row>
    <row r="2208">
      <c r="A2208" t="inlineStr">
        <is>
          <t>NAUTICA MENS</t>
        </is>
      </c>
      <c r="B2208" t="inlineStr">
        <is>
          <t>208000554</t>
        </is>
      </c>
      <c r="C2208" t="inlineStr">
        <is>
          <t>FEATHER WEIGHT QUILTED JACKET</t>
        </is>
      </c>
      <c r="D2208" t="inlineStr">
        <is>
          <t>BLK</t>
        </is>
      </c>
      <c r="E2208" t="inlineStr">
        <is>
          <t>(en blanco)</t>
        </is>
      </c>
      <c r="F2208" t="inlineStr">
        <is>
          <t>(en blanco)</t>
        </is>
      </c>
      <c r="G2208" t="inlineStr">
        <is>
          <t>S</t>
        </is>
      </c>
      <c r="H2208" t="n">
        <v>3</v>
      </c>
      <c r="I2208" t="inlineStr">
        <is>
          <t>NAUTICA_MENS_208000554_BLK_1.jpg</t>
        </is>
      </c>
      <c r="J2208" t="inlineStr">
        <is>
          <t>NAUTICA_MENS_208000554_BLK_2.jpg</t>
        </is>
      </c>
      <c r="K2208" t="inlineStr">
        <is>
          <t>NAUTICA_MENS_208000554_BLK_3.jpg</t>
        </is>
      </c>
      <c r="L2208">
        <f>IMAGE("file:///E:/Estudios%20y%20certificaciones/ESTUDIOS%20DE%20PROGRAMMING/PROGRAMMING/PERSONAL/PYTHON/Image_Generator_API/imagenes/NAUTICA_MENS_208000554_BLK_1.jpg")</f>
        <v/>
      </c>
      <c r="M2208">
        <f>IMAGE("file:///E:/Estudios%20y%20certificaciones/ESTUDIOS%20DE%20PROGRAMMING/PROGRAMMING/PERSONAL/PYTHON/Image_Generator_API/imagenes/NAUTICA_MENS_208000554_BLK_2.jpg")</f>
        <v/>
      </c>
      <c r="N2208">
        <f>IMAGE("file:///E:/Estudios%20y%20certificaciones/ESTUDIOS%20DE%20PROGRAMMING/PROGRAMMING/PERSONAL/PYTHON/Image_Generator_API/imagenes/NAUTICA_MENS_208000554_BLK_3.jpg")</f>
        <v/>
      </c>
      <c r="O2208">
        <f>HYPERLINK("imagenes/NAUTICA_MENS_208000554_BLK_1.jpg","Ver imagen")</f>
        <v/>
      </c>
      <c r="P2208">
        <f>HYPERLINK("imagenes/NAUTICA_MENS_208000554_BLK_2.jpg","Ver imagen")</f>
        <v/>
      </c>
      <c r="Q2208">
        <f>HYPERLINK("imagenes/NAUTICA_MENS_208000554_BLK_3.jpg","Ver imagen")</f>
        <v/>
      </c>
    </row>
    <row r="2209">
      <c r="A2209" t="inlineStr">
        <is>
          <t>NAUTICA MENS</t>
        </is>
      </c>
      <c r="B2209" t="inlineStr">
        <is>
          <t>208000554</t>
        </is>
      </c>
      <c r="C2209" t="inlineStr">
        <is>
          <t>FEATHER WEIGHT QUILTED JACKET</t>
        </is>
      </c>
      <c r="D2209" t="inlineStr">
        <is>
          <t>BLK</t>
        </is>
      </c>
      <c r="E2209" t="inlineStr">
        <is>
          <t>(en blanco)</t>
        </is>
      </c>
      <c r="F2209" t="inlineStr">
        <is>
          <t>(en blanco)</t>
        </is>
      </c>
      <c r="G2209" t="inlineStr">
        <is>
          <t>M</t>
        </is>
      </c>
      <c r="H2209" t="n">
        <v>21</v>
      </c>
      <c r="I2209" t="inlineStr">
        <is>
          <t>NAUTICA_MENS_208000554_BLK_1.jpg</t>
        </is>
      </c>
      <c r="J2209" t="inlineStr">
        <is>
          <t>NAUTICA_MENS_208000554_BLK_2.jpg</t>
        </is>
      </c>
      <c r="K2209" t="inlineStr">
        <is>
          <t>NAUTICA_MENS_208000554_BLK_3.jpg</t>
        </is>
      </c>
      <c r="L2209">
        <f>IMAGE("file:///E:/Estudios%20y%20certificaciones/ESTUDIOS%20DE%20PROGRAMMING/PROGRAMMING/PERSONAL/PYTHON/Image_Generator_API/imagenes/NAUTICA_MENS_208000554_BLK_1.jpg")</f>
        <v/>
      </c>
      <c r="M2209">
        <f>IMAGE("file:///E:/Estudios%20y%20certificaciones/ESTUDIOS%20DE%20PROGRAMMING/PROGRAMMING/PERSONAL/PYTHON/Image_Generator_API/imagenes/NAUTICA_MENS_208000554_BLK_2.jpg")</f>
        <v/>
      </c>
      <c r="N2209">
        <f>IMAGE("file:///E:/Estudios%20y%20certificaciones/ESTUDIOS%20DE%20PROGRAMMING/PROGRAMMING/PERSONAL/PYTHON/Image_Generator_API/imagenes/NAUTICA_MENS_208000554_BLK_3.jpg")</f>
        <v/>
      </c>
      <c r="O2209">
        <f>HYPERLINK("imagenes/NAUTICA_MENS_208000554_BLK_1.jpg","Ver imagen")</f>
        <v/>
      </c>
      <c r="P2209">
        <f>HYPERLINK("imagenes/NAUTICA_MENS_208000554_BLK_2.jpg","Ver imagen")</f>
        <v/>
      </c>
      <c r="Q2209">
        <f>HYPERLINK("imagenes/NAUTICA_MENS_208000554_BLK_3.jpg","Ver imagen")</f>
        <v/>
      </c>
    </row>
    <row r="2210">
      <c r="A2210" t="inlineStr">
        <is>
          <t>NAUTICA MENS</t>
        </is>
      </c>
      <c r="B2210" t="inlineStr">
        <is>
          <t>208000554</t>
        </is>
      </c>
      <c r="C2210" t="inlineStr">
        <is>
          <t>FEATHER WEIGHT QUILTED JACKET</t>
        </is>
      </c>
      <c r="D2210" t="inlineStr">
        <is>
          <t>BLK</t>
        </is>
      </c>
      <c r="E2210" t="inlineStr">
        <is>
          <t>(en blanco)</t>
        </is>
      </c>
      <c r="F2210" t="inlineStr">
        <is>
          <t>(en blanco)</t>
        </is>
      </c>
      <c r="G2210" t="inlineStr">
        <is>
          <t>L</t>
        </is>
      </c>
      <c r="H2210" t="n">
        <v>201</v>
      </c>
      <c r="I2210" t="inlineStr">
        <is>
          <t>NAUTICA_MENS_208000554_BLK_1.jpg</t>
        </is>
      </c>
      <c r="J2210" t="inlineStr">
        <is>
          <t>NAUTICA_MENS_208000554_BLK_2.jpg</t>
        </is>
      </c>
      <c r="K2210" t="inlineStr">
        <is>
          <t>NAUTICA_MENS_208000554_BLK_3.jpg</t>
        </is>
      </c>
      <c r="L2210">
        <f>IMAGE("file:///E:/Estudios%20y%20certificaciones/ESTUDIOS%20DE%20PROGRAMMING/PROGRAMMING/PERSONAL/PYTHON/Image_Generator_API/imagenes/NAUTICA_MENS_208000554_BLK_1.jpg")</f>
        <v/>
      </c>
      <c r="M2210">
        <f>IMAGE("file:///E:/Estudios%20y%20certificaciones/ESTUDIOS%20DE%20PROGRAMMING/PROGRAMMING/PERSONAL/PYTHON/Image_Generator_API/imagenes/NAUTICA_MENS_208000554_BLK_2.jpg")</f>
        <v/>
      </c>
      <c r="N2210">
        <f>IMAGE("file:///E:/Estudios%20y%20certificaciones/ESTUDIOS%20DE%20PROGRAMMING/PROGRAMMING/PERSONAL/PYTHON/Image_Generator_API/imagenes/NAUTICA_MENS_208000554_BLK_3.jpg")</f>
        <v/>
      </c>
      <c r="O2210">
        <f>HYPERLINK("imagenes/NAUTICA_MENS_208000554_BLK_1.jpg","Ver imagen")</f>
        <v/>
      </c>
      <c r="P2210">
        <f>HYPERLINK("imagenes/NAUTICA_MENS_208000554_BLK_2.jpg","Ver imagen")</f>
        <v/>
      </c>
      <c r="Q2210">
        <f>HYPERLINK("imagenes/NAUTICA_MENS_208000554_BLK_3.jpg","Ver imagen")</f>
        <v/>
      </c>
    </row>
    <row r="2211">
      <c r="A2211" t="inlineStr">
        <is>
          <t>NAUTICA MENS</t>
        </is>
      </c>
      <c r="B2211" t="inlineStr">
        <is>
          <t>208000554</t>
        </is>
      </c>
      <c r="C2211" t="inlineStr">
        <is>
          <t>FEATHER WEIGHT QUILTED JACKET</t>
        </is>
      </c>
      <c r="D2211" t="inlineStr">
        <is>
          <t>BLK</t>
        </is>
      </c>
      <c r="E2211" t="inlineStr">
        <is>
          <t>(en blanco)</t>
        </is>
      </c>
      <c r="F2211" t="inlineStr">
        <is>
          <t>(en blanco)</t>
        </is>
      </c>
      <c r="G2211" t="inlineStr">
        <is>
          <t>XL</t>
        </is>
      </c>
      <c r="H2211" t="n">
        <v>254</v>
      </c>
      <c r="I2211" t="inlineStr">
        <is>
          <t>NAUTICA_MENS_208000554_BLK_1.jpg</t>
        </is>
      </c>
      <c r="J2211" t="inlineStr">
        <is>
          <t>NAUTICA_MENS_208000554_BLK_2.jpg</t>
        </is>
      </c>
      <c r="K2211" t="inlineStr">
        <is>
          <t>NAUTICA_MENS_208000554_BLK_3.jpg</t>
        </is>
      </c>
      <c r="L2211">
        <f>IMAGE("file:///E:/Estudios%20y%20certificaciones/ESTUDIOS%20DE%20PROGRAMMING/PROGRAMMING/PERSONAL/PYTHON/Image_Generator_API/imagenes/NAUTICA_MENS_208000554_BLK_1.jpg")</f>
        <v/>
      </c>
      <c r="M2211">
        <f>IMAGE("file:///E:/Estudios%20y%20certificaciones/ESTUDIOS%20DE%20PROGRAMMING/PROGRAMMING/PERSONAL/PYTHON/Image_Generator_API/imagenes/NAUTICA_MENS_208000554_BLK_2.jpg")</f>
        <v/>
      </c>
      <c r="N2211">
        <f>IMAGE("file:///E:/Estudios%20y%20certificaciones/ESTUDIOS%20DE%20PROGRAMMING/PROGRAMMING/PERSONAL/PYTHON/Image_Generator_API/imagenes/NAUTICA_MENS_208000554_BLK_3.jpg")</f>
        <v/>
      </c>
      <c r="O2211">
        <f>HYPERLINK("imagenes/NAUTICA_MENS_208000554_BLK_1.jpg","Ver imagen")</f>
        <v/>
      </c>
      <c r="P2211">
        <f>HYPERLINK("imagenes/NAUTICA_MENS_208000554_BLK_2.jpg","Ver imagen")</f>
        <v/>
      </c>
      <c r="Q2211">
        <f>HYPERLINK("imagenes/NAUTICA_MENS_208000554_BLK_3.jpg","Ver imagen")</f>
        <v/>
      </c>
    </row>
    <row r="2212">
      <c r="A2212" t="inlineStr">
        <is>
          <t>NAUTICA MENS</t>
        </is>
      </c>
      <c r="B2212" t="inlineStr">
        <is>
          <t>208000554</t>
        </is>
      </c>
      <c r="C2212" t="inlineStr">
        <is>
          <t>FEATHER WEIGHT QUILTED JACKET</t>
        </is>
      </c>
      <c r="D2212" t="inlineStr">
        <is>
          <t>BLK</t>
        </is>
      </c>
      <c r="E2212" t="inlineStr">
        <is>
          <t>(en blanco)</t>
        </is>
      </c>
      <c r="F2212" t="inlineStr">
        <is>
          <t>(en blanco)</t>
        </is>
      </c>
      <c r="G2212" t="inlineStr">
        <is>
          <t>XXL</t>
        </is>
      </c>
      <c r="H2212" t="n">
        <v>89</v>
      </c>
      <c r="I2212" t="inlineStr">
        <is>
          <t>NAUTICA_MENS_208000554_BLK_1.jpg</t>
        </is>
      </c>
      <c r="J2212" t="inlineStr">
        <is>
          <t>NAUTICA_MENS_208000554_BLK_2.jpg</t>
        </is>
      </c>
      <c r="K2212" t="inlineStr">
        <is>
          <t>NAUTICA_MENS_208000554_BLK_3.jpg</t>
        </is>
      </c>
      <c r="L2212">
        <f>IMAGE("file:///E:/Estudios%20y%20certificaciones/ESTUDIOS%20DE%20PROGRAMMING/PROGRAMMING/PERSONAL/PYTHON/Image_Generator_API/imagenes/NAUTICA_MENS_208000554_BLK_1.jpg")</f>
        <v/>
      </c>
      <c r="M2212">
        <f>IMAGE("file:///E:/Estudios%20y%20certificaciones/ESTUDIOS%20DE%20PROGRAMMING/PROGRAMMING/PERSONAL/PYTHON/Image_Generator_API/imagenes/NAUTICA_MENS_208000554_BLK_2.jpg")</f>
        <v/>
      </c>
      <c r="N2212">
        <f>IMAGE("file:///E:/Estudios%20y%20certificaciones/ESTUDIOS%20DE%20PROGRAMMING/PROGRAMMING/PERSONAL/PYTHON/Image_Generator_API/imagenes/NAUTICA_MENS_208000554_BLK_3.jpg")</f>
        <v/>
      </c>
      <c r="O2212">
        <f>HYPERLINK("imagenes/NAUTICA_MENS_208000554_BLK_1.jpg","Ver imagen")</f>
        <v/>
      </c>
      <c r="P2212">
        <f>HYPERLINK("imagenes/NAUTICA_MENS_208000554_BLK_2.jpg","Ver imagen")</f>
        <v/>
      </c>
      <c r="Q2212">
        <f>HYPERLINK("imagenes/NAUTICA_MENS_208000554_BLK_3.jpg","Ver imagen")</f>
        <v/>
      </c>
    </row>
    <row r="2213">
      <c r="A2213" t="inlineStr">
        <is>
          <t>NAUTICA MENS</t>
        </is>
      </c>
      <c r="B2213" t="inlineStr">
        <is>
          <t>208000554</t>
        </is>
      </c>
      <c r="C2213" t="inlineStr">
        <is>
          <t>FEATHER WEIGHT QUILTED JACKET</t>
        </is>
      </c>
      <c r="D2213" t="inlineStr">
        <is>
          <t>DFS</t>
        </is>
      </c>
      <c r="E2213" t="inlineStr">
        <is>
          <t>12A08</t>
        </is>
      </c>
      <c r="F2213" t="inlineStr">
        <is>
          <t>R2140</t>
        </is>
      </c>
      <c r="G2213" t="inlineStr">
        <is>
          <t>PPK</t>
        </is>
      </c>
      <c r="H2213" t="n">
        <v>0</v>
      </c>
      <c r="I2213" t="inlineStr">
        <is>
          <t>NAUTICA_MENS_208000554_DFS_1.jpg</t>
        </is>
      </c>
      <c r="J2213" t="inlineStr">
        <is>
          <t>NAUTICA_MENS_208000554_DFS_2.jpg</t>
        </is>
      </c>
      <c r="L2213">
        <f>IMAGE("file:///E:/Estudios%20y%20certificaciones/ESTUDIOS%20DE%20PROGRAMMING/PROGRAMMING/PERSONAL/PYTHON/Image_Generator_API/imagenes/NAUTICA_MENS_208000554_DFS_1.jpg")</f>
        <v/>
      </c>
      <c r="M2213">
        <f>IMAGE("file:///E:/Estudios%20y%20certificaciones/ESTUDIOS%20DE%20PROGRAMMING/PROGRAMMING/PERSONAL/PYTHON/Image_Generator_API/imagenes/NAUTICA_MENS_208000554_DFS_2.jpg")</f>
        <v/>
      </c>
      <c r="O2213">
        <f>HYPERLINK("imagenes/NAUTICA_MENS_208000554_DFS_1.jpg","Ver imagen")</f>
        <v/>
      </c>
      <c r="P2213">
        <f>HYPERLINK("imagenes/NAUTICA_MENS_208000554_DFS_2.jpg","Ver imagen")</f>
        <v/>
      </c>
    </row>
    <row r="2214">
      <c r="A2214" t="inlineStr">
        <is>
          <t>NAUTICA MENS</t>
        </is>
      </c>
      <c r="B2214" t="inlineStr">
        <is>
          <t>208000554</t>
        </is>
      </c>
      <c r="C2214" t="inlineStr">
        <is>
          <t>FEATHER WEIGHT QUILTED JACKET</t>
        </is>
      </c>
      <c r="D2214" t="inlineStr">
        <is>
          <t>DFS</t>
        </is>
      </c>
      <c r="E2214" t="inlineStr">
        <is>
          <t>12A08</t>
        </is>
      </c>
      <c r="F2214" t="inlineStr">
        <is>
          <t>(en blanco)</t>
        </is>
      </c>
      <c r="G2214" t="inlineStr">
        <is>
          <t>PPK</t>
        </is>
      </c>
      <c r="H2214" t="n">
        <v>516</v>
      </c>
      <c r="I2214" t="inlineStr">
        <is>
          <t>NAUTICA_MENS_208000554_DFS_1.jpg</t>
        </is>
      </c>
      <c r="J2214" t="inlineStr">
        <is>
          <t>NAUTICA_MENS_208000554_DFS_2.jpg</t>
        </is>
      </c>
      <c r="L2214">
        <f>IMAGE("file:///E:/Estudios%20y%20certificaciones/ESTUDIOS%20DE%20PROGRAMMING/PROGRAMMING/PERSONAL/PYTHON/Image_Generator_API/imagenes/NAUTICA_MENS_208000554_DFS_1.jpg")</f>
        <v/>
      </c>
      <c r="M2214">
        <f>IMAGE("file:///E:/Estudios%20y%20certificaciones/ESTUDIOS%20DE%20PROGRAMMING/PROGRAMMING/PERSONAL/PYTHON/Image_Generator_API/imagenes/NAUTICA_MENS_208000554_DFS_2.jpg")</f>
        <v/>
      </c>
      <c r="O2214">
        <f>HYPERLINK("imagenes/NAUTICA_MENS_208000554_DFS_1.jpg","Ver imagen")</f>
        <v/>
      </c>
      <c r="P2214">
        <f>HYPERLINK("imagenes/NAUTICA_MENS_208000554_DFS_2.jpg","Ver imagen")</f>
        <v/>
      </c>
    </row>
    <row r="2215">
      <c r="A2215" t="inlineStr">
        <is>
          <t>NAUTICA MENS</t>
        </is>
      </c>
      <c r="B2215" t="inlineStr">
        <is>
          <t>208000554</t>
        </is>
      </c>
      <c r="C2215" t="inlineStr">
        <is>
          <t>FEATHER WEIGHT QUILTED JACKET</t>
        </is>
      </c>
      <c r="D2215" t="inlineStr">
        <is>
          <t>DFS</t>
        </is>
      </c>
      <c r="E2215" t="inlineStr">
        <is>
          <t>12A09</t>
        </is>
      </c>
      <c r="F2215" t="inlineStr">
        <is>
          <t>(en blanco)</t>
        </is>
      </c>
      <c r="G2215" t="inlineStr">
        <is>
          <t>PPK</t>
        </is>
      </c>
      <c r="H2215" t="n">
        <v>864</v>
      </c>
      <c r="I2215" t="inlineStr">
        <is>
          <t>NAUTICA_MENS_208000554_DFS_1.jpg</t>
        </is>
      </c>
      <c r="J2215" t="inlineStr">
        <is>
          <t>NAUTICA_MENS_208000554_DFS_2.jpg</t>
        </is>
      </c>
      <c r="L2215">
        <f>IMAGE("file:///E:/Estudios%20y%20certificaciones/ESTUDIOS%20DE%20PROGRAMMING/PROGRAMMING/PERSONAL/PYTHON/Image_Generator_API/imagenes/NAUTICA_MENS_208000554_DFS_1.jpg")</f>
        <v/>
      </c>
      <c r="M2215">
        <f>IMAGE("file:///E:/Estudios%20y%20certificaciones/ESTUDIOS%20DE%20PROGRAMMING/PROGRAMMING/PERSONAL/PYTHON/Image_Generator_API/imagenes/NAUTICA_MENS_208000554_DFS_2.jpg")</f>
        <v/>
      </c>
      <c r="O2215">
        <f>HYPERLINK("imagenes/NAUTICA_MENS_208000554_DFS_1.jpg","Ver imagen")</f>
        <v/>
      </c>
      <c r="P2215">
        <f>HYPERLINK("imagenes/NAUTICA_MENS_208000554_DFS_2.jpg","Ver imagen")</f>
        <v/>
      </c>
    </row>
    <row r="2216">
      <c r="A2216" t="inlineStr">
        <is>
          <t>NAUTICA MENS</t>
        </is>
      </c>
      <c r="B2216" t="inlineStr">
        <is>
          <t>208000554</t>
        </is>
      </c>
      <c r="C2216" t="inlineStr">
        <is>
          <t>FEATHER WEIGHT QUILTED JACKET</t>
        </is>
      </c>
      <c r="D2216" t="inlineStr">
        <is>
          <t>DFS</t>
        </is>
      </c>
      <c r="E2216" t="inlineStr">
        <is>
          <t>(en blanco)</t>
        </is>
      </c>
      <c r="F2216" t="inlineStr">
        <is>
          <t>(en blanco)</t>
        </is>
      </c>
      <c r="G2216" t="inlineStr">
        <is>
          <t>S</t>
        </is>
      </c>
      <c r="H2216" t="n">
        <v>8</v>
      </c>
      <c r="I2216" t="inlineStr">
        <is>
          <t>NAUTICA_MENS_208000554_DFS_1.jpg</t>
        </is>
      </c>
      <c r="J2216" t="inlineStr">
        <is>
          <t>NAUTICA_MENS_208000554_DFS_2.jpg</t>
        </is>
      </c>
      <c r="L2216">
        <f>IMAGE("file:///E:/Estudios%20y%20certificaciones/ESTUDIOS%20DE%20PROGRAMMING/PROGRAMMING/PERSONAL/PYTHON/Image_Generator_API/imagenes/NAUTICA_MENS_208000554_DFS_1.jpg")</f>
        <v/>
      </c>
      <c r="M2216">
        <f>IMAGE("file:///E:/Estudios%20y%20certificaciones/ESTUDIOS%20DE%20PROGRAMMING/PROGRAMMING/PERSONAL/PYTHON/Image_Generator_API/imagenes/NAUTICA_MENS_208000554_DFS_2.jpg")</f>
        <v/>
      </c>
      <c r="O2216">
        <f>HYPERLINK("imagenes/NAUTICA_MENS_208000554_DFS_1.jpg","Ver imagen")</f>
        <v/>
      </c>
      <c r="P2216">
        <f>HYPERLINK("imagenes/NAUTICA_MENS_208000554_DFS_2.jpg","Ver imagen")</f>
        <v/>
      </c>
    </row>
    <row r="2217">
      <c r="A2217" t="inlineStr">
        <is>
          <t>NAUTICA MENS</t>
        </is>
      </c>
      <c r="B2217" t="inlineStr">
        <is>
          <t>208000554</t>
        </is>
      </c>
      <c r="C2217" t="inlineStr">
        <is>
          <t>FEATHER WEIGHT QUILTED JACKET</t>
        </is>
      </c>
      <c r="D2217" t="inlineStr">
        <is>
          <t>DFS</t>
        </is>
      </c>
      <c r="E2217" t="inlineStr">
        <is>
          <t>(en blanco)</t>
        </is>
      </c>
      <c r="F2217" t="inlineStr">
        <is>
          <t>(en blanco)</t>
        </is>
      </c>
      <c r="G2217" t="inlineStr">
        <is>
          <t>M</t>
        </is>
      </c>
      <c r="H2217" t="n">
        <v>30</v>
      </c>
      <c r="I2217" t="inlineStr">
        <is>
          <t>NAUTICA_MENS_208000554_DFS_1.jpg</t>
        </is>
      </c>
      <c r="J2217" t="inlineStr">
        <is>
          <t>NAUTICA_MENS_208000554_DFS_2.jpg</t>
        </is>
      </c>
      <c r="L2217">
        <f>IMAGE("file:///E:/Estudios%20y%20certificaciones/ESTUDIOS%20DE%20PROGRAMMING/PROGRAMMING/PERSONAL/PYTHON/Image_Generator_API/imagenes/NAUTICA_MENS_208000554_DFS_1.jpg")</f>
        <v/>
      </c>
      <c r="M2217">
        <f>IMAGE("file:///E:/Estudios%20y%20certificaciones/ESTUDIOS%20DE%20PROGRAMMING/PROGRAMMING/PERSONAL/PYTHON/Image_Generator_API/imagenes/NAUTICA_MENS_208000554_DFS_2.jpg")</f>
        <v/>
      </c>
      <c r="O2217">
        <f>HYPERLINK("imagenes/NAUTICA_MENS_208000554_DFS_1.jpg","Ver imagen")</f>
        <v/>
      </c>
      <c r="P2217">
        <f>HYPERLINK("imagenes/NAUTICA_MENS_208000554_DFS_2.jpg","Ver imagen")</f>
        <v/>
      </c>
    </row>
    <row r="2218">
      <c r="A2218" t="inlineStr">
        <is>
          <t>NAUTICA MENS</t>
        </is>
      </c>
      <c r="B2218" t="inlineStr">
        <is>
          <t>208000554</t>
        </is>
      </c>
      <c r="C2218" t="inlineStr">
        <is>
          <t>FEATHER WEIGHT QUILTED JACKET</t>
        </is>
      </c>
      <c r="D2218" t="inlineStr">
        <is>
          <t>DFS</t>
        </is>
      </c>
      <c r="E2218" t="inlineStr">
        <is>
          <t>(en blanco)</t>
        </is>
      </c>
      <c r="F2218" t="inlineStr">
        <is>
          <t>(en blanco)</t>
        </is>
      </c>
      <c r="G2218" t="inlineStr">
        <is>
          <t>L</t>
        </is>
      </c>
      <c r="H2218" t="n">
        <v>39</v>
      </c>
      <c r="I2218" t="inlineStr">
        <is>
          <t>NAUTICA_MENS_208000554_DFS_1.jpg</t>
        </is>
      </c>
      <c r="J2218" t="inlineStr">
        <is>
          <t>NAUTICA_MENS_208000554_DFS_2.jpg</t>
        </is>
      </c>
      <c r="L2218">
        <f>IMAGE("file:///E:/Estudios%20y%20certificaciones/ESTUDIOS%20DE%20PROGRAMMING/PROGRAMMING/PERSONAL/PYTHON/Image_Generator_API/imagenes/NAUTICA_MENS_208000554_DFS_1.jpg")</f>
        <v/>
      </c>
      <c r="M2218">
        <f>IMAGE("file:///E:/Estudios%20y%20certificaciones/ESTUDIOS%20DE%20PROGRAMMING/PROGRAMMING/PERSONAL/PYTHON/Image_Generator_API/imagenes/NAUTICA_MENS_208000554_DFS_2.jpg")</f>
        <v/>
      </c>
      <c r="O2218">
        <f>HYPERLINK("imagenes/NAUTICA_MENS_208000554_DFS_1.jpg","Ver imagen")</f>
        <v/>
      </c>
      <c r="P2218">
        <f>HYPERLINK("imagenes/NAUTICA_MENS_208000554_DFS_2.jpg","Ver imagen")</f>
        <v/>
      </c>
    </row>
    <row r="2219">
      <c r="A2219" t="inlineStr">
        <is>
          <t>NAUTICA MENS</t>
        </is>
      </c>
      <c r="B2219" t="inlineStr">
        <is>
          <t>208000554</t>
        </is>
      </c>
      <c r="C2219" t="inlineStr">
        <is>
          <t>FEATHER WEIGHT QUILTED JACKET</t>
        </is>
      </c>
      <c r="D2219" t="inlineStr">
        <is>
          <t>DFS</t>
        </is>
      </c>
      <c r="E2219" t="inlineStr">
        <is>
          <t>(en blanco)</t>
        </is>
      </c>
      <c r="F2219" t="inlineStr">
        <is>
          <t>(en blanco)</t>
        </is>
      </c>
      <c r="G2219" t="inlineStr">
        <is>
          <t>XL</t>
        </is>
      </c>
      <c r="H2219" t="n">
        <v>24</v>
      </c>
      <c r="I2219" t="inlineStr">
        <is>
          <t>NAUTICA_MENS_208000554_DFS_1.jpg</t>
        </is>
      </c>
      <c r="J2219" t="inlineStr">
        <is>
          <t>NAUTICA_MENS_208000554_DFS_2.jpg</t>
        </is>
      </c>
      <c r="L2219">
        <f>IMAGE("file:///E:/Estudios%20y%20certificaciones/ESTUDIOS%20DE%20PROGRAMMING/PROGRAMMING/PERSONAL/PYTHON/Image_Generator_API/imagenes/NAUTICA_MENS_208000554_DFS_1.jpg")</f>
        <v/>
      </c>
      <c r="M2219">
        <f>IMAGE("file:///E:/Estudios%20y%20certificaciones/ESTUDIOS%20DE%20PROGRAMMING/PROGRAMMING/PERSONAL/PYTHON/Image_Generator_API/imagenes/NAUTICA_MENS_208000554_DFS_2.jpg")</f>
        <v/>
      </c>
      <c r="O2219">
        <f>HYPERLINK("imagenes/NAUTICA_MENS_208000554_DFS_1.jpg","Ver imagen")</f>
        <v/>
      </c>
      <c r="P2219">
        <f>HYPERLINK("imagenes/NAUTICA_MENS_208000554_DFS_2.jpg","Ver imagen")</f>
        <v/>
      </c>
    </row>
    <row r="2220">
      <c r="A2220" t="inlineStr">
        <is>
          <t>NAUTICA MENS</t>
        </is>
      </c>
      <c r="B2220" t="inlineStr">
        <is>
          <t>208000554</t>
        </is>
      </c>
      <c r="C2220" t="inlineStr">
        <is>
          <t>FEATHER WEIGHT QUILTED JACKET</t>
        </is>
      </c>
      <c r="D2220" t="inlineStr">
        <is>
          <t>DFS</t>
        </is>
      </c>
      <c r="E2220" t="inlineStr">
        <is>
          <t>(en blanco)</t>
        </is>
      </c>
      <c r="F2220" t="inlineStr">
        <is>
          <t>(en blanco)</t>
        </is>
      </c>
      <c r="G2220" t="inlineStr">
        <is>
          <t>XXL</t>
        </is>
      </c>
      <c r="H2220" t="n">
        <v>2</v>
      </c>
      <c r="I2220" t="inlineStr">
        <is>
          <t>NAUTICA_MENS_208000554_DFS_1.jpg</t>
        </is>
      </c>
      <c r="J2220" t="inlineStr">
        <is>
          <t>NAUTICA_MENS_208000554_DFS_2.jpg</t>
        </is>
      </c>
      <c r="L2220">
        <f>IMAGE("file:///E:/Estudios%20y%20certificaciones/ESTUDIOS%20DE%20PROGRAMMING/PROGRAMMING/PERSONAL/PYTHON/Image_Generator_API/imagenes/NAUTICA_MENS_208000554_DFS_1.jpg")</f>
        <v/>
      </c>
      <c r="M2220">
        <f>IMAGE("file:///E:/Estudios%20y%20certificaciones/ESTUDIOS%20DE%20PROGRAMMING/PROGRAMMING/PERSONAL/PYTHON/Image_Generator_API/imagenes/NAUTICA_MENS_208000554_DFS_2.jpg")</f>
        <v/>
      </c>
      <c r="O2220">
        <f>HYPERLINK("imagenes/NAUTICA_MENS_208000554_DFS_1.jpg","Ver imagen")</f>
        <v/>
      </c>
      <c r="P2220">
        <f>HYPERLINK("imagenes/NAUTICA_MENS_208000554_DFS_2.jpg","Ver imagen")</f>
        <v/>
      </c>
    </row>
    <row r="2221">
      <c r="A2221" t="inlineStr">
        <is>
          <t>NAUTICA MENS</t>
        </is>
      </c>
      <c r="B2221" t="inlineStr">
        <is>
          <t>208000554</t>
        </is>
      </c>
      <c r="C2221" t="inlineStr">
        <is>
          <t>FEATHER WEIGHT QUILTED JACKET</t>
        </is>
      </c>
      <c r="D2221" t="inlineStr">
        <is>
          <t>MTA</t>
        </is>
      </c>
      <c r="E2221" t="inlineStr">
        <is>
          <t>12A08</t>
        </is>
      </c>
      <c r="F2221" t="inlineStr">
        <is>
          <t>R2140</t>
        </is>
      </c>
      <c r="G2221" t="inlineStr">
        <is>
          <t>PPK</t>
        </is>
      </c>
      <c r="H2221" t="n">
        <v>0</v>
      </c>
      <c r="I2221" t="inlineStr">
        <is>
          <t>NAUTICA_MENS_208000554_MTA_1.jpg</t>
        </is>
      </c>
      <c r="J2221" t="inlineStr">
        <is>
          <t>NAUTICA_MENS_208000554_MTA_2.jpg</t>
        </is>
      </c>
      <c r="K2221" t="inlineStr">
        <is>
          <t>NAUTICA_MENS_208000554_MTA_3.jpg</t>
        </is>
      </c>
      <c r="L2221">
        <f>IMAGE("file:///E:/Estudios%20y%20certificaciones/ESTUDIOS%20DE%20PROGRAMMING/PROGRAMMING/PERSONAL/PYTHON/Image_Generator_API/imagenes/NAUTICA_MENS_208000554_MTA_1.jpg")</f>
        <v/>
      </c>
      <c r="M2221">
        <f>IMAGE("file:///E:/Estudios%20y%20certificaciones/ESTUDIOS%20DE%20PROGRAMMING/PROGRAMMING/PERSONAL/PYTHON/Image_Generator_API/imagenes/NAUTICA_MENS_208000554_MTA_2.jpg")</f>
        <v/>
      </c>
      <c r="N2221">
        <f>IMAGE("file:///E:/Estudios%20y%20certificaciones/ESTUDIOS%20DE%20PROGRAMMING/PROGRAMMING/PERSONAL/PYTHON/Image_Generator_API/imagenes/NAUTICA_MENS_208000554_MTA_3.jpg")</f>
        <v/>
      </c>
      <c r="O2221">
        <f>HYPERLINK("imagenes/NAUTICA_MENS_208000554_MTA_1.jpg","Ver imagen")</f>
        <v/>
      </c>
      <c r="P2221">
        <f>HYPERLINK("imagenes/NAUTICA_MENS_208000554_MTA_2.jpg","Ver imagen")</f>
        <v/>
      </c>
      <c r="Q2221">
        <f>HYPERLINK("imagenes/NAUTICA_MENS_208000554_MTA_3.jpg","Ver imagen")</f>
        <v/>
      </c>
    </row>
    <row r="2222">
      <c r="A2222" t="inlineStr">
        <is>
          <t>NAUTICA MENS</t>
        </is>
      </c>
      <c r="B2222" t="inlineStr">
        <is>
          <t>208000554</t>
        </is>
      </c>
      <c r="C2222" t="inlineStr">
        <is>
          <t>FEATHER WEIGHT QUILTED JACKET</t>
        </is>
      </c>
      <c r="D2222" t="inlineStr">
        <is>
          <t>MTA</t>
        </is>
      </c>
      <c r="E2222" t="inlineStr">
        <is>
          <t>12A09</t>
        </is>
      </c>
      <c r="F2222" t="inlineStr">
        <is>
          <t>(en blanco)</t>
        </is>
      </c>
      <c r="G2222" t="inlineStr">
        <is>
          <t>PPK</t>
        </is>
      </c>
      <c r="H2222" t="n">
        <v>672</v>
      </c>
      <c r="I2222" t="inlineStr">
        <is>
          <t>NAUTICA_MENS_208000554_MTA_1.jpg</t>
        </is>
      </c>
      <c r="J2222" t="inlineStr">
        <is>
          <t>NAUTICA_MENS_208000554_MTA_2.jpg</t>
        </is>
      </c>
      <c r="K2222" t="inlineStr">
        <is>
          <t>NAUTICA_MENS_208000554_MTA_3.jpg</t>
        </is>
      </c>
      <c r="L2222">
        <f>IMAGE("file:///E:/Estudios%20y%20certificaciones/ESTUDIOS%20DE%20PROGRAMMING/PROGRAMMING/PERSONAL/PYTHON/Image_Generator_API/imagenes/NAUTICA_MENS_208000554_MTA_1.jpg")</f>
        <v/>
      </c>
      <c r="M2222">
        <f>IMAGE("file:///E:/Estudios%20y%20certificaciones/ESTUDIOS%20DE%20PROGRAMMING/PROGRAMMING/PERSONAL/PYTHON/Image_Generator_API/imagenes/NAUTICA_MENS_208000554_MTA_2.jpg")</f>
        <v/>
      </c>
      <c r="N2222">
        <f>IMAGE("file:///E:/Estudios%20y%20certificaciones/ESTUDIOS%20DE%20PROGRAMMING/PROGRAMMING/PERSONAL/PYTHON/Image_Generator_API/imagenes/NAUTICA_MENS_208000554_MTA_3.jpg")</f>
        <v/>
      </c>
      <c r="O2222">
        <f>HYPERLINK("imagenes/NAUTICA_MENS_208000554_MTA_1.jpg","Ver imagen")</f>
        <v/>
      </c>
      <c r="P2222">
        <f>HYPERLINK("imagenes/NAUTICA_MENS_208000554_MTA_2.jpg","Ver imagen")</f>
        <v/>
      </c>
      <c r="Q2222">
        <f>HYPERLINK("imagenes/NAUTICA_MENS_208000554_MTA_3.jpg","Ver imagen")</f>
        <v/>
      </c>
    </row>
    <row r="2223">
      <c r="A2223" t="inlineStr">
        <is>
          <t>NAUTICA MENS</t>
        </is>
      </c>
      <c r="B2223" t="inlineStr">
        <is>
          <t>208000554</t>
        </is>
      </c>
      <c r="C2223" t="inlineStr">
        <is>
          <t>FEATHER WEIGHT QUILTED JACKET</t>
        </is>
      </c>
      <c r="D2223" t="inlineStr">
        <is>
          <t>MTA</t>
        </is>
      </c>
      <c r="E2223" t="inlineStr">
        <is>
          <t>(en blanco)</t>
        </is>
      </c>
      <c r="F2223" t="inlineStr">
        <is>
          <t>D2C</t>
        </is>
      </c>
      <c r="G2223" t="inlineStr">
        <is>
          <t>M</t>
        </is>
      </c>
      <c r="H2223" t="n">
        <v>7</v>
      </c>
      <c r="I2223" t="inlineStr">
        <is>
          <t>NAUTICA_MENS_208000554_MTA_1.jpg</t>
        </is>
      </c>
      <c r="J2223" t="inlineStr">
        <is>
          <t>NAUTICA_MENS_208000554_MTA_2.jpg</t>
        </is>
      </c>
      <c r="K2223" t="inlineStr">
        <is>
          <t>NAUTICA_MENS_208000554_MTA_3.jpg</t>
        </is>
      </c>
      <c r="L2223">
        <f>IMAGE("file:///E:/Estudios%20y%20certificaciones/ESTUDIOS%20DE%20PROGRAMMING/PROGRAMMING/PERSONAL/PYTHON/Image_Generator_API/imagenes/NAUTICA_MENS_208000554_MTA_1.jpg")</f>
        <v/>
      </c>
      <c r="M2223">
        <f>IMAGE("file:///E:/Estudios%20y%20certificaciones/ESTUDIOS%20DE%20PROGRAMMING/PROGRAMMING/PERSONAL/PYTHON/Image_Generator_API/imagenes/NAUTICA_MENS_208000554_MTA_2.jpg")</f>
        <v/>
      </c>
      <c r="N2223">
        <f>IMAGE("file:///E:/Estudios%20y%20certificaciones/ESTUDIOS%20DE%20PROGRAMMING/PROGRAMMING/PERSONAL/PYTHON/Image_Generator_API/imagenes/NAUTICA_MENS_208000554_MTA_3.jpg")</f>
        <v/>
      </c>
      <c r="O2223">
        <f>HYPERLINK("imagenes/NAUTICA_MENS_208000554_MTA_1.jpg","Ver imagen")</f>
        <v/>
      </c>
      <c r="P2223">
        <f>HYPERLINK("imagenes/NAUTICA_MENS_208000554_MTA_2.jpg","Ver imagen")</f>
        <v/>
      </c>
      <c r="Q2223">
        <f>HYPERLINK("imagenes/NAUTICA_MENS_208000554_MTA_3.jpg","Ver imagen")</f>
        <v/>
      </c>
    </row>
    <row r="2224">
      <c r="A2224" t="inlineStr">
        <is>
          <t>NAUTICA MENS</t>
        </is>
      </c>
      <c r="B2224" t="inlineStr">
        <is>
          <t>208000554</t>
        </is>
      </c>
      <c r="C2224" t="inlineStr">
        <is>
          <t>FEATHER WEIGHT QUILTED JACKET</t>
        </is>
      </c>
      <c r="D2224" t="inlineStr">
        <is>
          <t>MTA</t>
        </is>
      </c>
      <c r="E2224" t="inlineStr">
        <is>
          <t>(en blanco)</t>
        </is>
      </c>
      <c r="F2224" t="inlineStr">
        <is>
          <t>D2C</t>
        </is>
      </c>
      <c r="G2224" t="inlineStr">
        <is>
          <t>L</t>
        </is>
      </c>
      <c r="H2224" t="n">
        <v>16</v>
      </c>
      <c r="I2224" t="inlineStr">
        <is>
          <t>NAUTICA_MENS_208000554_MTA_1.jpg</t>
        </is>
      </c>
      <c r="J2224" t="inlineStr">
        <is>
          <t>NAUTICA_MENS_208000554_MTA_2.jpg</t>
        </is>
      </c>
      <c r="K2224" t="inlineStr">
        <is>
          <t>NAUTICA_MENS_208000554_MTA_3.jpg</t>
        </is>
      </c>
      <c r="L2224">
        <f>IMAGE("file:///E:/Estudios%20y%20certificaciones/ESTUDIOS%20DE%20PROGRAMMING/PROGRAMMING/PERSONAL/PYTHON/Image_Generator_API/imagenes/NAUTICA_MENS_208000554_MTA_1.jpg")</f>
        <v/>
      </c>
      <c r="M2224">
        <f>IMAGE("file:///E:/Estudios%20y%20certificaciones/ESTUDIOS%20DE%20PROGRAMMING/PROGRAMMING/PERSONAL/PYTHON/Image_Generator_API/imagenes/NAUTICA_MENS_208000554_MTA_2.jpg")</f>
        <v/>
      </c>
      <c r="N2224">
        <f>IMAGE("file:///E:/Estudios%20y%20certificaciones/ESTUDIOS%20DE%20PROGRAMMING/PROGRAMMING/PERSONAL/PYTHON/Image_Generator_API/imagenes/NAUTICA_MENS_208000554_MTA_3.jpg")</f>
        <v/>
      </c>
      <c r="O2224">
        <f>HYPERLINK("imagenes/NAUTICA_MENS_208000554_MTA_1.jpg","Ver imagen")</f>
        <v/>
      </c>
      <c r="P2224">
        <f>HYPERLINK("imagenes/NAUTICA_MENS_208000554_MTA_2.jpg","Ver imagen")</f>
        <v/>
      </c>
      <c r="Q2224">
        <f>HYPERLINK("imagenes/NAUTICA_MENS_208000554_MTA_3.jpg","Ver imagen")</f>
        <v/>
      </c>
    </row>
    <row r="2225">
      <c r="A2225" t="inlineStr">
        <is>
          <t>NAUTICA MENS</t>
        </is>
      </c>
      <c r="B2225" t="inlineStr">
        <is>
          <t>208000554</t>
        </is>
      </c>
      <c r="C2225" t="inlineStr">
        <is>
          <t>FEATHER WEIGHT QUILTED JACKET</t>
        </is>
      </c>
      <c r="D2225" t="inlineStr">
        <is>
          <t>MTA</t>
        </is>
      </c>
      <c r="E2225" t="inlineStr">
        <is>
          <t>(en blanco)</t>
        </is>
      </c>
      <c r="F2225" t="inlineStr">
        <is>
          <t>D2C</t>
        </is>
      </c>
      <c r="G2225" t="inlineStr">
        <is>
          <t>XL</t>
        </is>
      </c>
      <c r="H2225" t="n">
        <v>16</v>
      </c>
      <c r="I2225" t="inlineStr">
        <is>
          <t>NAUTICA_MENS_208000554_MTA_1.jpg</t>
        </is>
      </c>
      <c r="J2225" t="inlineStr">
        <is>
          <t>NAUTICA_MENS_208000554_MTA_2.jpg</t>
        </is>
      </c>
      <c r="K2225" t="inlineStr">
        <is>
          <t>NAUTICA_MENS_208000554_MTA_3.jpg</t>
        </is>
      </c>
      <c r="L2225">
        <f>IMAGE("file:///E:/Estudios%20y%20certificaciones/ESTUDIOS%20DE%20PROGRAMMING/PROGRAMMING/PERSONAL/PYTHON/Image_Generator_API/imagenes/NAUTICA_MENS_208000554_MTA_1.jpg")</f>
        <v/>
      </c>
      <c r="M2225">
        <f>IMAGE("file:///E:/Estudios%20y%20certificaciones/ESTUDIOS%20DE%20PROGRAMMING/PROGRAMMING/PERSONAL/PYTHON/Image_Generator_API/imagenes/NAUTICA_MENS_208000554_MTA_2.jpg")</f>
        <v/>
      </c>
      <c r="N2225">
        <f>IMAGE("file:///E:/Estudios%20y%20certificaciones/ESTUDIOS%20DE%20PROGRAMMING/PROGRAMMING/PERSONAL/PYTHON/Image_Generator_API/imagenes/NAUTICA_MENS_208000554_MTA_3.jpg")</f>
        <v/>
      </c>
      <c r="O2225">
        <f>HYPERLINK("imagenes/NAUTICA_MENS_208000554_MTA_1.jpg","Ver imagen")</f>
        <v/>
      </c>
      <c r="P2225">
        <f>HYPERLINK("imagenes/NAUTICA_MENS_208000554_MTA_2.jpg","Ver imagen")</f>
        <v/>
      </c>
      <c r="Q2225">
        <f>HYPERLINK("imagenes/NAUTICA_MENS_208000554_MTA_3.jpg","Ver imagen")</f>
        <v/>
      </c>
    </row>
    <row r="2226">
      <c r="A2226" t="inlineStr">
        <is>
          <t>NAUTICA MENS</t>
        </is>
      </c>
      <c r="B2226" t="inlineStr">
        <is>
          <t>208000554</t>
        </is>
      </c>
      <c r="C2226" t="inlineStr">
        <is>
          <t>FEATHER WEIGHT QUILTED JACKET</t>
        </is>
      </c>
      <c r="D2226" t="inlineStr">
        <is>
          <t>MTA</t>
        </is>
      </c>
      <c r="E2226" t="inlineStr">
        <is>
          <t>(en blanco)</t>
        </is>
      </c>
      <c r="F2226" t="inlineStr">
        <is>
          <t>D2C</t>
        </is>
      </c>
      <c r="G2226" t="inlineStr">
        <is>
          <t>XXL</t>
        </is>
      </c>
      <c r="H2226" t="n">
        <v>7</v>
      </c>
      <c r="I2226" t="inlineStr">
        <is>
          <t>NAUTICA_MENS_208000554_MTA_1.jpg</t>
        </is>
      </c>
      <c r="J2226" t="inlineStr">
        <is>
          <t>NAUTICA_MENS_208000554_MTA_2.jpg</t>
        </is>
      </c>
      <c r="K2226" t="inlineStr">
        <is>
          <t>NAUTICA_MENS_208000554_MTA_3.jpg</t>
        </is>
      </c>
      <c r="L2226">
        <f>IMAGE("file:///E:/Estudios%20y%20certificaciones/ESTUDIOS%20DE%20PROGRAMMING/PROGRAMMING/PERSONAL/PYTHON/Image_Generator_API/imagenes/NAUTICA_MENS_208000554_MTA_1.jpg")</f>
        <v/>
      </c>
      <c r="M2226">
        <f>IMAGE("file:///E:/Estudios%20y%20certificaciones/ESTUDIOS%20DE%20PROGRAMMING/PROGRAMMING/PERSONAL/PYTHON/Image_Generator_API/imagenes/NAUTICA_MENS_208000554_MTA_2.jpg")</f>
        <v/>
      </c>
      <c r="N2226">
        <f>IMAGE("file:///E:/Estudios%20y%20certificaciones/ESTUDIOS%20DE%20PROGRAMMING/PROGRAMMING/PERSONAL/PYTHON/Image_Generator_API/imagenes/NAUTICA_MENS_208000554_MTA_3.jpg")</f>
        <v/>
      </c>
      <c r="O2226">
        <f>HYPERLINK("imagenes/NAUTICA_MENS_208000554_MTA_1.jpg","Ver imagen")</f>
        <v/>
      </c>
      <c r="P2226">
        <f>HYPERLINK("imagenes/NAUTICA_MENS_208000554_MTA_2.jpg","Ver imagen")</f>
        <v/>
      </c>
      <c r="Q2226">
        <f>HYPERLINK("imagenes/NAUTICA_MENS_208000554_MTA_3.jpg","Ver imagen")</f>
        <v/>
      </c>
    </row>
    <row r="2227">
      <c r="A2227" t="inlineStr">
        <is>
          <t>NAUTICA MENS</t>
        </is>
      </c>
      <c r="B2227" t="inlineStr">
        <is>
          <t>208000554</t>
        </is>
      </c>
      <c r="C2227" t="inlineStr">
        <is>
          <t>FEATHER WEIGHT QUILTED JACKET</t>
        </is>
      </c>
      <c r="D2227" t="inlineStr">
        <is>
          <t>MTA</t>
        </is>
      </c>
      <c r="E2227" t="inlineStr">
        <is>
          <t>(en blanco)</t>
        </is>
      </c>
      <c r="F2227" t="inlineStr">
        <is>
          <t>(en blanco)</t>
        </is>
      </c>
      <c r="G2227" t="inlineStr">
        <is>
          <t>M</t>
        </is>
      </c>
      <c r="H2227" t="n">
        <v>4</v>
      </c>
      <c r="I2227" t="inlineStr">
        <is>
          <t>NAUTICA_MENS_208000554_MTA_1.jpg</t>
        </is>
      </c>
      <c r="J2227" t="inlineStr">
        <is>
          <t>NAUTICA_MENS_208000554_MTA_2.jpg</t>
        </is>
      </c>
      <c r="K2227" t="inlineStr">
        <is>
          <t>NAUTICA_MENS_208000554_MTA_3.jpg</t>
        </is>
      </c>
      <c r="L2227">
        <f>IMAGE("file:///E:/Estudios%20y%20certificaciones/ESTUDIOS%20DE%20PROGRAMMING/PROGRAMMING/PERSONAL/PYTHON/Image_Generator_API/imagenes/NAUTICA_MENS_208000554_MTA_1.jpg")</f>
        <v/>
      </c>
      <c r="M2227">
        <f>IMAGE("file:///E:/Estudios%20y%20certificaciones/ESTUDIOS%20DE%20PROGRAMMING/PROGRAMMING/PERSONAL/PYTHON/Image_Generator_API/imagenes/NAUTICA_MENS_208000554_MTA_2.jpg")</f>
        <v/>
      </c>
      <c r="N2227">
        <f>IMAGE("file:///E:/Estudios%20y%20certificaciones/ESTUDIOS%20DE%20PROGRAMMING/PROGRAMMING/PERSONAL/PYTHON/Image_Generator_API/imagenes/NAUTICA_MENS_208000554_MTA_3.jpg")</f>
        <v/>
      </c>
      <c r="O2227">
        <f>HYPERLINK("imagenes/NAUTICA_MENS_208000554_MTA_1.jpg","Ver imagen")</f>
        <v/>
      </c>
      <c r="P2227">
        <f>HYPERLINK("imagenes/NAUTICA_MENS_208000554_MTA_2.jpg","Ver imagen")</f>
        <v/>
      </c>
      <c r="Q2227">
        <f>HYPERLINK("imagenes/NAUTICA_MENS_208000554_MTA_3.jpg","Ver imagen")</f>
        <v/>
      </c>
    </row>
    <row r="2228">
      <c r="A2228" t="inlineStr">
        <is>
          <t>NAUTICA MENS</t>
        </is>
      </c>
      <c r="B2228" t="inlineStr">
        <is>
          <t>208000554</t>
        </is>
      </c>
      <c r="C2228" t="inlineStr">
        <is>
          <t>FEATHER WEIGHT QUILTED JACKET</t>
        </is>
      </c>
      <c r="D2228" t="inlineStr">
        <is>
          <t>MTA</t>
        </is>
      </c>
      <c r="E2228" t="inlineStr">
        <is>
          <t>(en blanco)</t>
        </is>
      </c>
      <c r="F2228" t="inlineStr">
        <is>
          <t>(en blanco)</t>
        </is>
      </c>
      <c r="G2228" t="inlineStr">
        <is>
          <t>L</t>
        </is>
      </c>
      <c r="H2228" t="n">
        <v>32</v>
      </c>
      <c r="I2228" t="inlineStr">
        <is>
          <t>NAUTICA_MENS_208000554_MTA_1.jpg</t>
        </is>
      </c>
      <c r="J2228" t="inlineStr">
        <is>
          <t>NAUTICA_MENS_208000554_MTA_2.jpg</t>
        </is>
      </c>
      <c r="K2228" t="inlineStr">
        <is>
          <t>NAUTICA_MENS_208000554_MTA_3.jpg</t>
        </is>
      </c>
      <c r="L2228">
        <f>IMAGE("file:///E:/Estudios%20y%20certificaciones/ESTUDIOS%20DE%20PROGRAMMING/PROGRAMMING/PERSONAL/PYTHON/Image_Generator_API/imagenes/NAUTICA_MENS_208000554_MTA_1.jpg")</f>
        <v/>
      </c>
      <c r="M2228">
        <f>IMAGE("file:///E:/Estudios%20y%20certificaciones/ESTUDIOS%20DE%20PROGRAMMING/PROGRAMMING/PERSONAL/PYTHON/Image_Generator_API/imagenes/NAUTICA_MENS_208000554_MTA_2.jpg")</f>
        <v/>
      </c>
      <c r="N2228">
        <f>IMAGE("file:///E:/Estudios%20y%20certificaciones/ESTUDIOS%20DE%20PROGRAMMING/PROGRAMMING/PERSONAL/PYTHON/Image_Generator_API/imagenes/NAUTICA_MENS_208000554_MTA_3.jpg")</f>
        <v/>
      </c>
      <c r="O2228">
        <f>HYPERLINK("imagenes/NAUTICA_MENS_208000554_MTA_1.jpg","Ver imagen")</f>
        <v/>
      </c>
      <c r="P2228">
        <f>HYPERLINK("imagenes/NAUTICA_MENS_208000554_MTA_2.jpg","Ver imagen")</f>
        <v/>
      </c>
      <c r="Q2228">
        <f>HYPERLINK("imagenes/NAUTICA_MENS_208000554_MTA_3.jpg","Ver imagen")</f>
        <v/>
      </c>
    </row>
    <row r="2229">
      <c r="A2229" t="inlineStr">
        <is>
          <t>NAUTICA MENS</t>
        </is>
      </c>
      <c r="B2229" t="inlineStr">
        <is>
          <t>208000554</t>
        </is>
      </c>
      <c r="C2229" t="inlineStr">
        <is>
          <t>FEATHER WEIGHT QUILTED JACKET</t>
        </is>
      </c>
      <c r="D2229" t="inlineStr">
        <is>
          <t>MTA</t>
        </is>
      </c>
      <c r="E2229" t="inlineStr">
        <is>
          <t>(en blanco)</t>
        </is>
      </c>
      <c r="F2229" t="inlineStr">
        <is>
          <t>(en blanco)</t>
        </is>
      </c>
      <c r="G2229" t="inlineStr">
        <is>
          <t>XL</t>
        </is>
      </c>
      <c r="H2229" t="n">
        <v>65</v>
      </c>
      <c r="I2229" t="inlineStr">
        <is>
          <t>NAUTICA_MENS_208000554_MTA_1.jpg</t>
        </is>
      </c>
      <c r="J2229" t="inlineStr">
        <is>
          <t>NAUTICA_MENS_208000554_MTA_2.jpg</t>
        </is>
      </c>
      <c r="K2229" t="inlineStr">
        <is>
          <t>NAUTICA_MENS_208000554_MTA_3.jpg</t>
        </is>
      </c>
      <c r="L2229">
        <f>IMAGE("file:///E:/Estudios%20y%20certificaciones/ESTUDIOS%20DE%20PROGRAMMING/PROGRAMMING/PERSONAL/PYTHON/Image_Generator_API/imagenes/NAUTICA_MENS_208000554_MTA_1.jpg")</f>
        <v/>
      </c>
      <c r="M2229">
        <f>IMAGE("file:///E:/Estudios%20y%20certificaciones/ESTUDIOS%20DE%20PROGRAMMING/PROGRAMMING/PERSONAL/PYTHON/Image_Generator_API/imagenes/NAUTICA_MENS_208000554_MTA_2.jpg")</f>
        <v/>
      </c>
      <c r="N2229">
        <f>IMAGE("file:///E:/Estudios%20y%20certificaciones/ESTUDIOS%20DE%20PROGRAMMING/PROGRAMMING/PERSONAL/PYTHON/Image_Generator_API/imagenes/NAUTICA_MENS_208000554_MTA_3.jpg")</f>
        <v/>
      </c>
      <c r="O2229">
        <f>HYPERLINK("imagenes/NAUTICA_MENS_208000554_MTA_1.jpg","Ver imagen")</f>
        <v/>
      </c>
      <c r="P2229">
        <f>HYPERLINK("imagenes/NAUTICA_MENS_208000554_MTA_2.jpg","Ver imagen")</f>
        <v/>
      </c>
      <c r="Q2229">
        <f>HYPERLINK("imagenes/NAUTICA_MENS_208000554_MTA_3.jpg","Ver imagen")</f>
        <v/>
      </c>
    </row>
    <row r="2230">
      <c r="A2230" t="inlineStr">
        <is>
          <t>NAUTICA MENS</t>
        </is>
      </c>
      <c r="B2230" t="inlineStr">
        <is>
          <t>208000554</t>
        </is>
      </c>
      <c r="C2230" t="inlineStr">
        <is>
          <t>FEATHER WEIGHT QUILTED JACKET</t>
        </is>
      </c>
      <c r="D2230" t="inlineStr">
        <is>
          <t>MTA</t>
        </is>
      </c>
      <c r="E2230" t="inlineStr">
        <is>
          <t>(en blanco)</t>
        </is>
      </c>
      <c r="F2230" t="inlineStr">
        <is>
          <t>(en blanco)</t>
        </is>
      </c>
      <c r="G2230" t="inlineStr">
        <is>
          <t>XXL</t>
        </is>
      </c>
      <c r="H2230" t="n">
        <v>8</v>
      </c>
      <c r="I2230" t="inlineStr">
        <is>
          <t>NAUTICA_MENS_208000554_MTA_1.jpg</t>
        </is>
      </c>
      <c r="J2230" t="inlineStr">
        <is>
          <t>NAUTICA_MENS_208000554_MTA_2.jpg</t>
        </is>
      </c>
      <c r="K2230" t="inlineStr">
        <is>
          <t>NAUTICA_MENS_208000554_MTA_3.jpg</t>
        </is>
      </c>
      <c r="L2230">
        <f>IMAGE("file:///E:/Estudios%20y%20certificaciones/ESTUDIOS%20DE%20PROGRAMMING/PROGRAMMING/PERSONAL/PYTHON/Image_Generator_API/imagenes/NAUTICA_MENS_208000554_MTA_1.jpg")</f>
        <v/>
      </c>
      <c r="M2230">
        <f>IMAGE("file:///E:/Estudios%20y%20certificaciones/ESTUDIOS%20DE%20PROGRAMMING/PROGRAMMING/PERSONAL/PYTHON/Image_Generator_API/imagenes/NAUTICA_MENS_208000554_MTA_2.jpg")</f>
        <v/>
      </c>
      <c r="N2230">
        <f>IMAGE("file:///E:/Estudios%20y%20certificaciones/ESTUDIOS%20DE%20PROGRAMMING/PROGRAMMING/PERSONAL/PYTHON/Image_Generator_API/imagenes/NAUTICA_MENS_208000554_MTA_3.jpg")</f>
        <v/>
      </c>
      <c r="O2230">
        <f>HYPERLINK("imagenes/NAUTICA_MENS_208000554_MTA_1.jpg","Ver imagen")</f>
        <v/>
      </c>
      <c r="P2230">
        <f>HYPERLINK("imagenes/NAUTICA_MENS_208000554_MTA_2.jpg","Ver imagen")</f>
        <v/>
      </c>
      <c r="Q2230">
        <f>HYPERLINK("imagenes/NAUTICA_MENS_208000554_MTA_3.jpg","Ver imagen")</f>
        <v/>
      </c>
    </row>
    <row r="2231">
      <c r="A2231" t="inlineStr">
        <is>
          <t>NAUTICA MENS</t>
        </is>
      </c>
      <c r="B2231" t="inlineStr">
        <is>
          <t>208000554</t>
        </is>
      </c>
      <c r="C2231" t="inlineStr">
        <is>
          <t>FEATHER WEIGHT QUILTED JACKET</t>
        </is>
      </c>
      <c r="D2231" t="inlineStr">
        <is>
          <t>NSS</t>
        </is>
      </c>
      <c r="E2231" t="inlineStr">
        <is>
          <t>(en blanco)</t>
        </is>
      </c>
      <c r="F2231" t="inlineStr">
        <is>
          <t>(en blanco)</t>
        </is>
      </c>
      <c r="G2231" t="inlineStr">
        <is>
          <t>M</t>
        </is>
      </c>
      <c r="H2231" t="n">
        <v>30</v>
      </c>
      <c r="I2231" t="inlineStr">
        <is>
          <t>NAUTICA_MENS_208000554_NSS_1.jpg</t>
        </is>
      </c>
      <c r="J2231" t="inlineStr">
        <is>
          <t>NAUTICA_MENS_208000554_NSS_2.jpg</t>
        </is>
      </c>
      <c r="K2231" t="inlineStr">
        <is>
          <t>NAUTICA_MENS_208000554_NSS_3.jpg</t>
        </is>
      </c>
      <c r="L2231">
        <f>IMAGE("file:///E:/Estudios%20y%20certificaciones/ESTUDIOS%20DE%20PROGRAMMING/PROGRAMMING/PERSONAL/PYTHON/Image_Generator_API/imagenes/NAUTICA_MENS_208000554_NSS_1.jpg")</f>
        <v/>
      </c>
      <c r="M2231">
        <f>IMAGE("file:///E:/Estudios%20y%20certificaciones/ESTUDIOS%20DE%20PROGRAMMING/PROGRAMMING/PERSONAL/PYTHON/Image_Generator_API/imagenes/NAUTICA_MENS_208000554_NSS_2.jpg")</f>
        <v/>
      </c>
      <c r="N2231">
        <f>IMAGE("file:///E:/Estudios%20y%20certificaciones/ESTUDIOS%20DE%20PROGRAMMING/PROGRAMMING/PERSONAL/PYTHON/Image_Generator_API/imagenes/NAUTICA_MENS_208000554_NSS_3.jpg")</f>
        <v/>
      </c>
      <c r="O2231">
        <f>HYPERLINK("imagenes/NAUTICA_MENS_208000554_NSS_1.jpg","Ver imagen")</f>
        <v/>
      </c>
      <c r="P2231">
        <f>HYPERLINK("imagenes/NAUTICA_MENS_208000554_NSS_2.jpg","Ver imagen")</f>
        <v/>
      </c>
      <c r="Q2231">
        <f>HYPERLINK("imagenes/NAUTICA_MENS_208000554_NSS_3.jpg","Ver imagen")</f>
        <v/>
      </c>
    </row>
    <row r="2232">
      <c r="A2232" t="inlineStr">
        <is>
          <t>NAUTICA MENS</t>
        </is>
      </c>
      <c r="B2232" t="inlineStr">
        <is>
          <t>208000554</t>
        </is>
      </c>
      <c r="C2232" t="inlineStr">
        <is>
          <t>FEATHER WEIGHT QUILTED JACKET</t>
        </is>
      </c>
      <c r="D2232" t="inlineStr">
        <is>
          <t>NSS</t>
        </is>
      </c>
      <c r="E2232" t="inlineStr">
        <is>
          <t>(en blanco)</t>
        </is>
      </c>
      <c r="F2232" t="inlineStr">
        <is>
          <t>(en blanco)</t>
        </is>
      </c>
      <c r="G2232" t="inlineStr">
        <is>
          <t>L</t>
        </is>
      </c>
      <c r="H2232" t="n">
        <v>65</v>
      </c>
      <c r="I2232" t="inlineStr">
        <is>
          <t>NAUTICA_MENS_208000554_NSS_1.jpg</t>
        </is>
      </c>
      <c r="J2232" t="inlineStr">
        <is>
          <t>NAUTICA_MENS_208000554_NSS_2.jpg</t>
        </is>
      </c>
      <c r="K2232" t="inlineStr">
        <is>
          <t>NAUTICA_MENS_208000554_NSS_3.jpg</t>
        </is>
      </c>
      <c r="L2232">
        <f>IMAGE("file:///E:/Estudios%20y%20certificaciones/ESTUDIOS%20DE%20PROGRAMMING/PROGRAMMING/PERSONAL/PYTHON/Image_Generator_API/imagenes/NAUTICA_MENS_208000554_NSS_1.jpg")</f>
        <v/>
      </c>
      <c r="M2232">
        <f>IMAGE("file:///E:/Estudios%20y%20certificaciones/ESTUDIOS%20DE%20PROGRAMMING/PROGRAMMING/PERSONAL/PYTHON/Image_Generator_API/imagenes/NAUTICA_MENS_208000554_NSS_2.jpg")</f>
        <v/>
      </c>
      <c r="N2232">
        <f>IMAGE("file:///E:/Estudios%20y%20certificaciones/ESTUDIOS%20DE%20PROGRAMMING/PROGRAMMING/PERSONAL/PYTHON/Image_Generator_API/imagenes/NAUTICA_MENS_208000554_NSS_3.jpg")</f>
        <v/>
      </c>
      <c r="O2232">
        <f>HYPERLINK("imagenes/NAUTICA_MENS_208000554_NSS_1.jpg","Ver imagen")</f>
        <v/>
      </c>
      <c r="P2232">
        <f>HYPERLINK("imagenes/NAUTICA_MENS_208000554_NSS_2.jpg","Ver imagen")</f>
        <v/>
      </c>
      <c r="Q2232">
        <f>HYPERLINK("imagenes/NAUTICA_MENS_208000554_NSS_3.jpg","Ver imagen")</f>
        <v/>
      </c>
    </row>
    <row r="2233">
      <c r="A2233" t="inlineStr">
        <is>
          <t>NAUTICA MENS</t>
        </is>
      </c>
      <c r="B2233" t="inlineStr">
        <is>
          <t>208000554</t>
        </is>
      </c>
      <c r="C2233" t="inlineStr">
        <is>
          <t>FEATHER WEIGHT QUILTED JACKET</t>
        </is>
      </c>
      <c r="D2233" t="inlineStr">
        <is>
          <t>NSS</t>
        </is>
      </c>
      <c r="E2233" t="inlineStr">
        <is>
          <t>(en blanco)</t>
        </is>
      </c>
      <c r="F2233" t="inlineStr">
        <is>
          <t>(en blanco)</t>
        </is>
      </c>
      <c r="G2233" t="inlineStr">
        <is>
          <t>XL</t>
        </is>
      </c>
      <c r="H2233" t="n">
        <v>91</v>
      </c>
      <c r="I2233" t="inlineStr">
        <is>
          <t>NAUTICA_MENS_208000554_NSS_1.jpg</t>
        </is>
      </c>
      <c r="J2233" t="inlineStr">
        <is>
          <t>NAUTICA_MENS_208000554_NSS_2.jpg</t>
        </is>
      </c>
      <c r="K2233" t="inlineStr">
        <is>
          <t>NAUTICA_MENS_208000554_NSS_3.jpg</t>
        </is>
      </c>
      <c r="L2233">
        <f>IMAGE("file:///E:/Estudios%20y%20certificaciones/ESTUDIOS%20DE%20PROGRAMMING/PROGRAMMING/PERSONAL/PYTHON/Image_Generator_API/imagenes/NAUTICA_MENS_208000554_NSS_1.jpg")</f>
        <v/>
      </c>
      <c r="M2233">
        <f>IMAGE("file:///E:/Estudios%20y%20certificaciones/ESTUDIOS%20DE%20PROGRAMMING/PROGRAMMING/PERSONAL/PYTHON/Image_Generator_API/imagenes/NAUTICA_MENS_208000554_NSS_2.jpg")</f>
        <v/>
      </c>
      <c r="N2233">
        <f>IMAGE("file:///E:/Estudios%20y%20certificaciones/ESTUDIOS%20DE%20PROGRAMMING/PROGRAMMING/PERSONAL/PYTHON/Image_Generator_API/imagenes/NAUTICA_MENS_208000554_NSS_3.jpg")</f>
        <v/>
      </c>
      <c r="O2233">
        <f>HYPERLINK("imagenes/NAUTICA_MENS_208000554_NSS_1.jpg","Ver imagen")</f>
        <v/>
      </c>
      <c r="P2233">
        <f>HYPERLINK("imagenes/NAUTICA_MENS_208000554_NSS_2.jpg","Ver imagen")</f>
        <v/>
      </c>
      <c r="Q2233">
        <f>HYPERLINK("imagenes/NAUTICA_MENS_208000554_NSS_3.jpg","Ver imagen")</f>
        <v/>
      </c>
    </row>
    <row r="2234">
      <c r="A2234" t="inlineStr">
        <is>
          <t>NAUTICA MENS</t>
        </is>
      </c>
      <c r="B2234" t="inlineStr">
        <is>
          <t>208000554</t>
        </is>
      </c>
      <c r="C2234" t="inlineStr">
        <is>
          <t>FEATHER WEIGHT QUILTED JACKET</t>
        </is>
      </c>
      <c r="D2234" t="inlineStr">
        <is>
          <t>NSS</t>
        </is>
      </c>
      <c r="E2234" t="inlineStr">
        <is>
          <t>(en blanco)</t>
        </is>
      </c>
      <c r="F2234" t="inlineStr">
        <is>
          <t>(en blanco)</t>
        </is>
      </c>
      <c r="G2234" t="inlineStr">
        <is>
          <t>XXL</t>
        </is>
      </c>
      <c r="H2234" t="n">
        <v>39</v>
      </c>
      <c r="I2234" t="inlineStr">
        <is>
          <t>NAUTICA_MENS_208000554_NSS_1.jpg</t>
        </is>
      </c>
      <c r="J2234" t="inlineStr">
        <is>
          <t>NAUTICA_MENS_208000554_NSS_2.jpg</t>
        </is>
      </c>
      <c r="K2234" t="inlineStr">
        <is>
          <t>NAUTICA_MENS_208000554_NSS_3.jpg</t>
        </is>
      </c>
      <c r="L2234">
        <f>IMAGE("file:///E:/Estudios%20y%20certificaciones/ESTUDIOS%20DE%20PROGRAMMING/PROGRAMMING/PERSONAL/PYTHON/Image_Generator_API/imagenes/NAUTICA_MENS_208000554_NSS_1.jpg")</f>
        <v/>
      </c>
      <c r="M2234">
        <f>IMAGE("file:///E:/Estudios%20y%20certificaciones/ESTUDIOS%20DE%20PROGRAMMING/PROGRAMMING/PERSONAL/PYTHON/Image_Generator_API/imagenes/NAUTICA_MENS_208000554_NSS_2.jpg")</f>
        <v/>
      </c>
      <c r="N2234">
        <f>IMAGE("file:///E:/Estudios%20y%20certificaciones/ESTUDIOS%20DE%20PROGRAMMING/PROGRAMMING/PERSONAL/PYTHON/Image_Generator_API/imagenes/NAUTICA_MENS_208000554_NSS_3.jpg")</f>
        <v/>
      </c>
      <c r="O2234">
        <f>HYPERLINK("imagenes/NAUTICA_MENS_208000554_NSS_1.jpg","Ver imagen")</f>
        <v/>
      </c>
      <c r="P2234">
        <f>HYPERLINK("imagenes/NAUTICA_MENS_208000554_NSS_2.jpg","Ver imagen")</f>
        <v/>
      </c>
      <c r="Q2234">
        <f>HYPERLINK("imagenes/NAUTICA_MENS_208000554_NSS_3.jpg","Ver imagen")</f>
        <v/>
      </c>
    </row>
    <row r="2235">
      <c r="A2235" t="inlineStr">
        <is>
          <t>NAUTICA MENS</t>
        </is>
      </c>
      <c r="B2235" t="inlineStr">
        <is>
          <t>208000554</t>
        </is>
      </c>
      <c r="C2235" t="inlineStr">
        <is>
          <t>FEATHER WEIGHT QUILTED JACKET</t>
        </is>
      </c>
      <c r="D2235" t="inlineStr">
        <is>
          <t>NVY</t>
        </is>
      </c>
      <c r="E2235" t="inlineStr">
        <is>
          <t>12A08</t>
        </is>
      </c>
      <c r="F2235" t="inlineStr">
        <is>
          <t>R2140</t>
        </is>
      </c>
      <c r="G2235" t="inlineStr">
        <is>
          <t>PPK</t>
        </is>
      </c>
      <c r="H2235" t="n">
        <v>0</v>
      </c>
      <c r="I2235" t="inlineStr">
        <is>
          <t>NAUTICA_MENS_208000554_NVY_1.jpg</t>
        </is>
      </c>
      <c r="J2235" t="inlineStr">
        <is>
          <t>NAUTICA_MENS_208000554_NVY_2.jpg</t>
        </is>
      </c>
      <c r="K2235" t="inlineStr">
        <is>
          <t>NAUTICA_MENS_208000554_NVY_3.jpg</t>
        </is>
      </c>
      <c r="L2235">
        <f>IMAGE("file:///E:/Estudios%20y%20certificaciones/ESTUDIOS%20DE%20PROGRAMMING/PROGRAMMING/PERSONAL/PYTHON/Image_Generator_API/imagenes/NAUTICA_MENS_208000554_NVY_1.jpg")</f>
        <v/>
      </c>
      <c r="M2235">
        <f>IMAGE("file:///E:/Estudios%20y%20certificaciones/ESTUDIOS%20DE%20PROGRAMMING/PROGRAMMING/PERSONAL/PYTHON/Image_Generator_API/imagenes/NAUTICA_MENS_208000554_NVY_2.jpg")</f>
        <v/>
      </c>
      <c r="N2235">
        <f>IMAGE("file:///E:/Estudios%20y%20certificaciones/ESTUDIOS%20DE%20PROGRAMMING/PROGRAMMING/PERSONAL/PYTHON/Image_Generator_API/imagenes/NAUTICA_MENS_208000554_NVY_3.jpg")</f>
        <v/>
      </c>
      <c r="O2235">
        <f>HYPERLINK("imagenes/NAUTICA_MENS_208000554_NVY_1.jpg","Ver imagen")</f>
        <v/>
      </c>
      <c r="P2235">
        <f>HYPERLINK("imagenes/NAUTICA_MENS_208000554_NVY_2.jpg","Ver imagen")</f>
        <v/>
      </c>
      <c r="Q2235">
        <f>HYPERLINK("imagenes/NAUTICA_MENS_208000554_NVY_3.jpg","Ver imagen")</f>
        <v/>
      </c>
    </row>
    <row r="2236">
      <c r="A2236" t="inlineStr">
        <is>
          <t>NAUTICA MENS</t>
        </is>
      </c>
      <c r="B2236" t="inlineStr">
        <is>
          <t>208000554</t>
        </is>
      </c>
      <c r="C2236" t="inlineStr">
        <is>
          <t>FEATHER WEIGHT QUILTED JACKET</t>
        </is>
      </c>
      <c r="D2236" t="inlineStr">
        <is>
          <t>NVY</t>
        </is>
      </c>
      <c r="E2236" t="inlineStr">
        <is>
          <t>(en blanco)</t>
        </is>
      </c>
      <c r="F2236" t="inlineStr">
        <is>
          <t>(en blanco)</t>
        </is>
      </c>
      <c r="G2236" t="inlineStr">
        <is>
          <t>S</t>
        </is>
      </c>
      <c r="H2236" t="n">
        <v>6</v>
      </c>
      <c r="I2236" t="inlineStr">
        <is>
          <t>NAUTICA_MENS_208000554_NVY_1.jpg</t>
        </is>
      </c>
      <c r="J2236" t="inlineStr">
        <is>
          <t>NAUTICA_MENS_208000554_NVY_2.jpg</t>
        </is>
      </c>
      <c r="K2236" t="inlineStr">
        <is>
          <t>NAUTICA_MENS_208000554_NVY_3.jpg</t>
        </is>
      </c>
      <c r="L2236">
        <f>IMAGE("file:///E:/Estudios%20y%20certificaciones/ESTUDIOS%20DE%20PROGRAMMING/PROGRAMMING/PERSONAL/PYTHON/Image_Generator_API/imagenes/NAUTICA_MENS_208000554_NVY_1.jpg")</f>
        <v/>
      </c>
      <c r="M2236">
        <f>IMAGE("file:///E:/Estudios%20y%20certificaciones/ESTUDIOS%20DE%20PROGRAMMING/PROGRAMMING/PERSONAL/PYTHON/Image_Generator_API/imagenes/NAUTICA_MENS_208000554_NVY_2.jpg")</f>
        <v/>
      </c>
      <c r="N2236">
        <f>IMAGE("file:///E:/Estudios%20y%20certificaciones/ESTUDIOS%20DE%20PROGRAMMING/PROGRAMMING/PERSONAL/PYTHON/Image_Generator_API/imagenes/NAUTICA_MENS_208000554_NVY_3.jpg")</f>
        <v/>
      </c>
      <c r="O2236">
        <f>HYPERLINK("imagenes/NAUTICA_MENS_208000554_NVY_1.jpg","Ver imagen")</f>
        <v/>
      </c>
      <c r="P2236">
        <f>HYPERLINK("imagenes/NAUTICA_MENS_208000554_NVY_2.jpg","Ver imagen")</f>
        <v/>
      </c>
      <c r="Q2236">
        <f>HYPERLINK("imagenes/NAUTICA_MENS_208000554_NVY_3.jpg","Ver imagen")</f>
        <v/>
      </c>
    </row>
    <row r="2237">
      <c r="A2237" t="inlineStr">
        <is>
          <t>NAUTICA MENS</t>
        </is>
      </c>
      <c r="B2237" t="inlineStr">
        <is>
          <t>208000554</t>
        </is>
      </c>
      <c r="C2237" t="inlineStr">
        <is>
          <t>FEATHER WEIGHT QUILTED JACKET</t>
        </is>
      </c>
      <c r="D2237" t="inlineStr">
        <is>
          <t>NVY</t>
        </is>
      </c>
      <c r="E2237" t="inlineStr">
        <is>
          <t>(en blanco)</t>
        </is>
      </c>
      <c r="F2237" t="inlineStr">
        <is>
          <t>(en blanco)</t>
        </is>
      </c>
      <c r="G2237" t="inlineStr">
        <is>
          <t>M</t>
        </is>
      </c>
      <c r="H2237" t="n">
        <v>49</v>
      </c>
      <c r="I2237" t="inlineStr">
        <is>
          <t>NAUTICA_MENS_208000554_NVY_1.jpg</t>
        </is>
      </c>
      <c r="J2237" t="inlineStr">
        <is>
          <t>NAUTICA_MENS_208000554_NVY_2.jpg</t>
        </is>
      </c>
      <c r="K2237" t="inlineStr">
        <is>
          <t>NAUTICA_MENS_208000554_NVY_3.jpg</t>
        </is>
      </c>
      <c r="L2237">
        <f>IMAGE("file:///E:/Estudios%20y%20certificaciones/ESTUDIOS%20DE%20PROGRAMMING/PROGRAMMING/PERSONAL/PYTHON/Image_Generator_API/imagenes/NAUTICA_MENS_208000554_NVY_1.jpg")</f>
        <v/>
      </c>
      <c r="M2237">
        <f>IMAGE("file:///E:/Estudios%20y%20certificaciones/ESTUDIOS%20DE%20PROGRAMMING/PROGRAMMING/PERSONAL/PYTHON/Image_Generator_API/imagenes/NAUTICA_MENS_208000554_NVY_2.jpg")</f>
        <v/>
      </c>
      <c r="N2237">
        <f>IMAGE("file:///E:/Estudios%20y%20certificaciones/ESTUDIOS%20DE%20PROGRAMMING/PROGRAMMING/PERSONAL/PYTHON/Image_Generator_API/imagenes/NAUTICA_MENS_208000554_NVY_3.jpg")</f>
        <v/>
      </c>
      <c r="O2237">
        <f>HYPERLINK("imagenes/NAUTICA_MENS_208000554_NVY_1.jpg","Ver imagen")</f>
        <v/>
      </c>
      <c r="P2237">
        <f>HYPERLINK("imagenes/NAUTICA_MENS_208000554_NVY_2.jpg","Ver imagen")</f>
        <v/>
      </c>
      <c r="Q2237">
        <f>HYPERLINK("imagenes/NAUTICA_MENS_208000554_NVY_3.jpg","Ver imagen")</f>
        <v/>
      </c>
    </row>
    <row r="2238">
      <c r="A2238" t="inlineStr">
        <is>
          <t>NAUTICA MENS</t>
        </is>
      </c>
      <c r="B2238" t="inlineStr">
        <is>
          <t>208000554</t>
        </is>
      </c>
      <c r="C2238" t="inlineStr">
        <is>
          <t>FEATHER WEIGHT QUILTED JACKET</t>
        </is>
      </c>
      <c r="D2238" t="inlineStr">
        <is>
          <t>NVY</t>
        </is>
      </c>
      <c r="E2238" t="inlineStr">
        <is>
          <t>(en blanco)</t>
        </is>
      </c>
      <c r="F2238" t="inlineStr">
        <is>
          <t>(en blanco)</t>
        </is>
      </c>
      <c r="G2238" t="inlineStr">
        <is>
          <t>L</t>
        </is>
      </c>
      <c r="H2238" t="n">
        <v>69</v>
      </c>
      <c r="I2238" t="inlineStr">
        <is>
          <t>NAUTICA_MENS_208000554_NVY_1.jpg</t>
        </is>
      </c>
      <c r="J2238" t="inlineStr">
        <is>
          <t>NAUTICA_MENS_208000554_NVY_2.jpg</t>
        </is>
      </c>
      <c r="K2238" t="inlineStr">
        <is>
          <t>NAUTICA_MENS_208000554_NVY_3.jpg</t>
        </is>
      </c>
      <c r="L2238">
        <f>IMAGE("file:///E:/Estudios%20y%20certificaciones/ESTUDIOS%20DE%20PROGRAMMING/PROGRAMMING/PERSONAL/PYTHON/Image_Generator_API/imagenes/NAUTICA_MENS_208000554_NVY_1.jpg")</f>
        <v/>
      </c>
      <c r="M2238">
        <f>IMAGE("file:///E:/Estudios%20y%20certificaciones/ESTUDIOS%20DE%20PROGRAMMING/PROGRAMMING/PERSONAL/PYTHON/Image_Generator_API/imagenes/NAUTICA_MENS_208000554_NVY_2.jpg")</f>
        <v/>
      </c>
      <c r="N2238">
        <f>IMAGE("file:///E:/Estudios%20y%20certificaciones/ESTUDIOS%20DE%20PROGRAMMING/PROGRAMMING/PERSONAL/PYTHON/Image_Generator_API/imagenes/NAUTICA_MENS_208000554_NVY_3.jpg")</f>
        <v/>
      </c>
      <c r="O2238">
        <f>HYPERLINK("imagenes/NAUTICA_MENS_208000554_NVY_1.jpg","Ver imagen")</f>
        <v/>
      </c>
      <c r="P2238">
        <f>HYPERLINK("imagenes/NAUTICA_MENS_208000554_NVY_2.jpg","Ver imagen")</f>
        <v/>
      </c>
      <c r="Q2238">
        <f>HYPERLINK("imagenes/NAUTICA_MENS_208000554_NVY_3.jpg","Ver imagen")</f>
        <v/>
      </c>
    </row>
    <row r="2239">
      <c r="A2239" t="inlineStr">
        <is>
          <t>NAUTICA MENS</t>
        </is>
      </c>
      <c r="B2239" t="inlineStr">
        <is>
          <t>208000554</t>
        </is>
      </c>
      <c r="C2239" t="inlineStr">
        <is>
          <t>FEATHER WEIGHT QUILTED JACKET</t>
        </is>
      </c>
      <c r="D2239" t="inlineStr">
        <is>
          <t>NVY</t>
        </is>
      </c>
      <c r="E2239" t="inlineStr">
        <is>
          <t>(en blanco)</t>
        </is>
      </c>
      <c r="F2239" t="inlineStr">
        <is>
          <t>(en blanco)</t>
        </is>
      </c>
      <c r="G2239" t="inlineStr">
        <is>
          <t>XL</t>
        </is>
      </c>
      <c r="H2239" t="n">
        <v>53</v>
      </c>
      <c r="I2239" t="inlineStr">
        <is>
          <t>NAUTICA_MENS_208000554_NVY_1.jpg</t>
        </is>
      </c>
      <c r="J2239" t="inlineStr">
        <is>
          <t>NAUTICA_MENS_208000554_NVY_2.jpg</t>
        </is>
      </c>
      <c r="K2239" t="inlineStr">
        <is>
          <t>NAUTICA_MENS_208000554_NVY_3.jpg</t>
        </is>
      </c>
      <c r="L2239">
        <f>IMAGE("file:///E:/Estudios%20y%20certificaciones/ESTUDIOS%20DE%20PROGRAMMING/PROGRAMMING/PERSONAL/PYTHON/Image_Generator_API/imagenes/NAUTICA_MENS_208000554_NVY_1.jpg")</f>
        <v/>
      </c>
      <c r="M2239">
        <f>IMAGE("file:///E:/Estudios%20y%20certificaciones/ESTUDIOS%20DE%20PROGRAMMING/PROGRAMMING/PERSONAL/PYTHON/Image_Generator_API/imagenes/NAUTICA_MENS_208000554_NVY_2.jpg")</f>
        <v/>
      </c>
      <c r="N2239">
        <f>IMAGE("file:///E:/Estudios%20y%20certificaciones/ESTUDIOS%20DE%20PROGRAMMING/PROGRAMMING/PERSONAL/PYTHON/Image_Generator_API/imagenes/NAUTICA_MENS_208000554_NVY_3.jpg")</f>
        <v/>
      </c>
      <c r="O2239">
        <f>HYPERLINK("imagenes/NAUTICA_MENS_208000554_NVY_1.jpg","Ver imagen")</f>
        <v/>
      </c>
      <c r="P2239">
        <f>HYPERLINK("imagenes/NAUTICA_MENS_208000554_NVY_2.jpg","Ver imagen")</f>
        <v/>
      </c>
      <c r="Q2239">
        <f>HYPERLINK("imagenes/NAUTICA_MENS_208000554_NVY_3.jpg","Ver imagen")</f>
        <v/>
      </c>
    </row>
    <row r="2240">
      <c r="A2240" t="inlineStr">
        <is>
          <t>NAUTICA MENS</t>
        </is>
      </c>
      <c r="B2240" t="inlineStr">
        <is>
          <t>208000554</t>
        </is>
      </c>
      <c r="C2240" t="inlineStr">
        <is>
          <t>FEATHER WEIGHT QUILTED JACKET</t>
        </is>
      </c>
      <c r="D2240" t="inlineStr">
        <is>
          <t>NVY</t>
        </is>
      </c>
      <c r="E2240" t="inlineStr">
        <is>
          <t>(en blanco)</t>
        </is>
      </c>
      <c r="F2240" t="inlineStr">
        <is>
          <t>(en blanco)</t>
        </is>
      </c>
      <c r="G2240" t="inlineStr">
        <is>
          <t>XXL</t>
        </is>
      </c>
      <c r="H2240" t="n">
        <v>16</v>
      </c>
      <c r="I2240" t="inlineStr">
        <is>
          <t>NAUTICA_MENS_208000554_NVY_1.jpg</t>
        </is>
      </c>
      <c r="J2240" t="inlineStr">
        <is>
          <t>NAUTICA_MENS_208000554_NVY_2.jpg</t>
        </is>
      </c>
      <c r="K2240" t="inlineStr">
        <is>
          <t>NAUTICA_MENS_208000554_NVY_3.jpg</t>
        </is>
      </c>
      <c r="L2240">
        <f>IMAGE("file:///E:/Estudios%20y%20certificaciones/ESTUDIOS%20DE%20PROGRAMMING/PROGRAMMING/PERSONAL/PYTHON/Image_Generator_API/imagenes/NAUTICA_MENS_208000554_NVY_1.jpg")</f>
        <v/>
      </c>
      <c r="M2240">
        <f>IMAGE("file:///E:/Estudios%20y%20certificaciones/ESTUDIOS%20DE%20PROGRAMMING/PROGRAMMING/PERSONAL/PYTHON/Image_Generator_API/imagenes/NAUTICA_MENS_208000554_NVY_2.jpg")</f>
        <v/>
      </c>
      <c r="N2240">
        <f>IMAGE("file:///E:/Estudios%20y%20certificaciones/ESTUDIOS%20DE%20PROGRAMMING/PROGRAMMING/PERSONAL/PYTHON/Image_Generator_API/imagenes/NAUTICA_MENS_208000554_NVY_3.jpg")</f>
        <v/>
      </c>
      <c r="O2240">
        <f>HYPERLINK("imagenes/NAUTICA_MENS_208000554_NVY_1.jpg","Ver imagen")</f>
        <v/>
      </c>
      <c r="P2240">
        <f>HYPERLINK("imagenes/NAUTICA_MENS_208000554_NVY_2.jpg","Ver imagen")</f>
        <v/>
      </c>
      <c r="Q2240">
        <f>HYPERLINK("imagenes/NAUTICA_MENS_208000554_NVY_3.jpg","Ver imagen")</f>
        <v/>
      </c>
    </row>
    <row r="2241">
      <c r="A2241" t="inlineStr">
        <is>
          <t>NAUTICA MENS</t>
        </is>
      </c>
      <c r="B2241" t="inlineStr">
        <is>
          <t>208000554</t>
        </is>
      </c>
      <c r="C2241" t="inlineStr">
        <is>
          <t>FEATHER WEIGHT QUILTED JACKET</t>
        </is>
      </c>
      <c r="D2241" t="inlineStr">
        <is>
          <t>WPG</t>
        </is>
      </c>
      <c r="E2241" t="inlineStr">
        <is>
          <t>(en blanco)</t>
        </is>
      </c>
      <c r="F2241" t="inlineStr">
        <is>
          <t>(en blanco)</t>
        </is>
      </c>
      <c r="G2241" t="inlineStr">
        <is>
          <t>M</t>
        </is>
      </c>
      <c r="H2241" t="n">
        <v>1</v>
      </c>
      <c r="I2241" t="inlineStr">
        <is>
          <t>NAUTICA_MENS_208000554_WPG_1.jpg</t>
        </is>
      </c>
      <c r="J2241" t="inlineStr">
        <is>
          <t>NAUTICA_MENS_208000554_WPG_2.jpg</t>
        </is>
      </c>
      <c r="K2241" t="inlineStr">
        <is>
          <t>NAUTICA_MENS_208000554_WPG_3.jpg</t>
        </is>
      </c>
      <c r="L2241">
        <f>IMAGE("file:///E:/Estudios%20y%20certificaciones/ESTUDIOS%20DE%20PROGRAMMING/PROGRAMMING/PERSONAL/PYTHON/Image_Generator_API/imagenes/NAUTICA_MENS_208000554_WPG_1.jpg")</f>
        <v/>
      </c>
      <c r="M2241">
        <f>IMAGE("file:///E:/Estudios%20y%20certificaciones/ESTUDIOS%20DE%20PROGRAMMING/PROGRAMMING/PERSONAL/PYTHON/Image_Generator_API/imagenes/NAUTICA_MENS_208000554_WPG_2.jpg")</f>
        <v/>
      </c>
      <c r="N2241">
        <f>IMAGE("file:///E:/Estudios%20y%20certificaciones/ESTUDIOS%20DE%20PROGRAMMING/PROGRAMMING/PERSONAL/PYTHON/Image_Generator_API/imagenes/NAUTICA_MENS_208000554_WPG_3.jpg")</f>
        <v/>
      </c>
      <c r="O2241">
        <f>HYPERLINK("imagenes/NAUTICA_MENS_208000554_WPG_1.jpg","Ver imagen")</f>
        <v/>
      </c>
      <c r="P2241">
        <f>HYPERLINK("imagenes/NAUTICA_MENS_208000554_WPG_2.jpg","Ver imagen")</f>
        <v/>
      </c>
      <c r="Q2241">
        <f>HYPERLINK("imagenes/NAUTICA_MENS_208000554_WPG_3.jpg","Ver imagen")</f>
        <v/>
      </c>
    </row>
    <row r="2242">
      <c r="A2242" t="inlineStr">
        <is>
          <t>NAUTICA MENS</t>
        </is>
      </c>
      <c r="B2242" t="inlineStr">
        <is>
          <t>208000554</t>
        </is>
      </c>
      <c r="C2242" t="inlineStr">
        <is>
          <t>FEATHER WEIGHT QUILTED JACKET</t>
        </is>
      </c>
      <c r="D2242" t="inlineStr">
        <is>
          <t>WPG</t>
        </is>
      </c>
      <c r="E2242" t="inlineStr">
        <is>
          <t>(en blanco)</t>
        </is>
      </c>
      <c r="F2242" t="inlineStr">
        <is>
          <t>(en blanco)</t>
        </is>
      </c>
      <c r="G2242" t="inlineStr">
        <is>
          <t>L</t>
        </is>
      </c>
      <c r="H2242" t="n">
        <v>2</v>
      </c>
      <c r="I2242" t="inlineStr">
        <is>
          <t>NAUTICA_MENS_208000554_WPG_1.jpg</t>
        </is>
      </c>
      <c r="J2242" t="inlineStr">
        <is>
          <t>NAUTICA_MENS_208000554_WPG_2.jpg</t>
        </is>
      </c>
      <c r="K2242" t="inlineStr">
        <is>
          <t>NAUTICA_MENS_208000554_WPG_3.jpg</t>
        </is>
      </c>
      <c r="L2242">
        <f>IMAGE("file:///E:/Estudios%20y%20certificaciones/ESTUDIOS%20DE%20PROGRAMMING/PROGRAMMING/PERSONAL/PYTHON/Image_Generator_API/imagenes/NAUTICA_MENS_208000554_WPG_1.jpg")</f>
        <v/>
      </c>
      <c r="M2242">
        <f>IMAGE("file:///E:/Estudios%20y%20certificaciones/ESTUDIOS%20DE%20PROGRAMMING/PROGRAMMING/PERSONAL/PYTHON/Image_Generator_API/imagenes/NAUTICA_MENS_208000554_WPG_2.jpg")</f>
        <v/>
      </c>
      <c r="N2242">
        <f>IMAGE("file:///E:/Estudios%20y%20certificaciones/ESTUDIOS%20DE%20PROGRAMMING/PROGRAMMING/PERSONAL/PYTHON/Image_Generator_API/imagenes/NAUTICA_MENS_208000554_WPG_3.jpg")</f>
        <v/>
      </c>
      <c r="O2242">
        <f>HYPERLINK("imagenes/NAUTICA_MENS_208000554_WPG_1.jpg","Ver imagen")</f>
        <v/>
      </c>
      <c r="P2242">
        <f>HYPERLINK("imagenes/NAUTICA_MENS_208000554_WPG_2.jpg","Ver imagen")</f>
        <v/>
      </c>
      <c r="Q2242">
        <f>HYPERLINK("imagenes/NAUTICA_MENS_208000554_WPG_3.jpg","Ver imagen")</f>
        <v/>
      </c>
    </row>
    <row r="2243">
      <c r="A2243" t="inlineStr">
        <is>
          <t>NAUTICA MENS</t>
        </is>
      </c>
      <c r="B2243" t="inlineStr">
        <is>
          <t>208000554</t>
        </is>
      </c>
      <c r="C2243" t="inlineStr">
        <is>
          <t>FEATHER WEIGHT QUILTED JACKET</t>
        </is>
      </c>
      <c r="D2243" t="inlineStr">
        <is>
          <t>WPG</t>
        </is>
      </c>
      <c r="E2243" t="inlineStr">
        <is>
          <t>(en blanco)</t>
        </is>
      </c>
      <c r="F2243" t="inlineStr">
        <is>
          <t>(en blanco)</t>
        </is>
      </c>
      <c r="G2243" t="inlineStr">
        <is>
          <t>XL</t>
        </is>
      </c>
      <c r="H2243" t="n">
        <v>3</v>
      </c>
      <c r="I2243" t="inlineStr">
        <is>
          <t>NAUTICA_MENS_208000554_WPG_1.jpg</t>
        </is>
      </c>
      <c r="J2243" t="inlineStr">
        <is>
          <t>NAUTICA_MENS_208000554_WPG_2.jpg</t>
        </is>
      </c>
      <c r="K2243" t="inlineStr">
        <is>
          <t>NAUTICA_MENS_208000554_WPG_3.jpg</t>
        </is>
      </c>
      <c r="L2243">
        <f>IMAGE("file:///E:/Estudios%20y%20certificaciones/ESTUDIOS%20DE%20PROGRAMMING/PROGRAMMING/PERSONAL/PYTHON/Image_Generator_API/imagenes/NAUTICA_MENS_208000554_WPG_1.jpg")</f>
        <v/>
      </c>
      <c r="M2243">
        <f>IMAGE("file:///E:/Estudios%20y%20certificaciones/ESTUDIOS%20DE%20PROGRAMMING/PROGRAMMING/PERSONAL/PYTHON/Image_Generator_API/imagenes/NAUTICA_MENS_208000554_WPG_2.jpg")</f>
        <v/>
      </c>
      <c r="N2243">
        <f>IMAGE("file:///E:/Estudios%20y%20certificaciones/ESTUDIOS%20DE%20PROGRAMMING/PROGRAMMING/PERSONAL/PYTHON/Image_Generator_API/imagenes/NAUTICA_MENS_208000554_WPG_3.jpg")</f>
        <v/>
      </c>
      <c r="O2243">
        <f>HYPERLINK("imagenes/NAUTICA_MENS_208000554_WPG_1.jpg","Ver imagen")</f>
        <v/>
      </c>
      <c r="P2243">
        <f>HYPERLINK("imagenes/NAUTICA_MENS_208000554_WPG_2.jpg","Ver imagen")</f>
        <v/>
      </c>
      <c r="Q2243">
        <f>HYPERLINK("imagenes/NAUTICA_MENS_208000554_WPG_3.jpg","Ver imagen")</f>
        <v/>
      </c>
    </row>
    <row r="2244">
      <c r="A2244" t="inlineStr">
        <is>
          <t>NAUTICA MENS</t>
        </is>
      </c>
      <c r="B2244" t="inlineStr">
        <is>
          <t>208000554</t>
        </is>
      </c>
      <c r="C2244" t="inlineStr">
        <is>
          <t>FEATHER WEIGHT QUILTED JACKET</t>
        </is>
      </c>
      <c r="D2244" t="inlineStr">
        <is>
          <t>WPG</t>
        </is>
      </c>
      <c r="E2244" t="inlineStr">
        <is>
          <t>(en blanco)</t>
        </is>
      </c>
      <c r="F2244" t="inlineStr">
        <is>
          <t>(en blanco)</t>
        </is>
      </c>
      <c r="G2244" t="inlineStr">
        <is>
          <t>XXL</t>
        </is>
      </c>
      <c r="H2244" t="n">
        <v>1</v>
      </c>
      <c r="I2244" t="inlineStr">
        <is>
          <t>NAUTICA_MENS_208000554_WPG_1.jpg</t>
        </is>
      </c>
      <c r="J2244" t="inlineStr">
        <is>
          <t>NAUTICA_MENS_208000554_WPG_2.jpg</t>
        </is>
      </c>
      <c r="K2244" t="inlineStr">
        <is>
          <t>NAUTICA_MENS_208000554_WPG_3.jpg</t>
        </is>
      </c>
      <c r="L2244">
        <f>IMAGE("file:///E:/Estudios%20y%20certificaciones/ESTUDIOS%20DE%20PROGRAMMING/PROGRAMMING/PERSONAL/PYTHON/Image_Generator_API/imagenes/NAUTICA_MENS_208000554_WPG_1.jpg")</f>
        <v/>
      </c>
      <c r="M2244">
        <f>IMAGE("file:///E:/Estudios%20y%20certificaciones/ESTUDIOS%20DE%20PROGRAMMING/PROGRAMMING/PERSONAL/PYTHON/Image_Generator_API/imagenes/NAUTICA_MENS_208000554_WPG_2.jpg")</f>
        <v/>
      </c>
      <c r="N2244">
        <f>IMAGE("file:///E:/Estudios%20y%20certificaciones/ESTUDIOS%20DE%20PROGRAMMING/PROGRAMMING/PERSONAL/PYTHON/Image_Generator_API/imagenes/NAUTICA_MENS_208000554_WPG_3.jpg")</f>
        <v/>
      </c>
      <c r="O2244">
        <f>HYPERLINK("imagenes/NAUTICA_MENS_208000554_WPG_1.jpg","Ver imagen")</f>
        <v/>
      </c>
      <c r="P2244">
        <f>HYPERLINK("imagenes/NAUTICA_MENS_208000554_WPG_2.jpg","Ver imagen")</f>
        <v/>
      </c>
      <c r="Q2244">
        <f>HYPERLINK("imagenes/NAUTICA_MENS_208000554_WPG_3.jpg","Ver imagen")</f>
        <v/>
      </c>
    </row>
    <row r="2245">
      <c r="A2245" t="inlineStr">
        <is>
          <t>NAUTICA MENS</t>
        </is>
      </c>
      <c r="B2245" t="inlineStr">
        <is>
          <t>208000555</t>
        </is>
      </c>
      <c r="C2245" t="inlineStr">
        <is>
          <t>SHERPA LINED SOFTSHELL</t>
        </is>
      </c>
      <c r="D2245" t="inlineStr">
        <is>
          <t>BLK</t>
        </is>
      </c>
      <c r="E2245" t="inlineStr">
        <is>
          <t>12A08</t>
        </is>
      </c>
      <c r="F2245" t="inlineStr">
        <is>
          <t>(en blanco)</t>
        </is>
      </c>
      <c r="G2245" t="inlineStr">
        <is>
          <t>PPK</t>
        </is>
      </c>
      <c r="H2245" t="n">
        <v>0</v>
      </c>
      <c r="I2245" t="inlineStr">
        <is>
          <t>NAUTICA_MENS_208000555_BLK_1.jpg</t>
        </is>
      </c>
      <c r="J2245" t="inlineStr">
        <is>
          <t>NAUTICA_MENS_208000555_BLK_2.jpg</t>
        </is>
      </c>
      <c r="K2245" t="inlineStr">
        <is>
          <t>NAUTICA_MENS_208000555_BLK_3.jpg</t>
        </is>
      </c>
      <c r="L2245">
        <f>IMAGE("file:///E:/Estudios%20y%20certificaciones/ESTUDIOS%20DE%20PROGRAMMING/PROGRAMMING/PERSONAL/PYTHON/Image_Generator_API/imagenes/NAUTICA_MENS_208000555_BLK_1.jpg")</f>
        <v/>
      </c>
      <c r="M2245">
        <f>IMAGE("file:///E:/Estudios%20y%20certificaciones/ESTUDIOS%20DE%20PROGRAMMING/PROGRAMMING/PERSONAL/PYTHON/Image_Generator_API/imagenes/NAUTICA_MENS_208000555_BLK_2.jpg")</f>
        <v/>
      </c>
      <c r="N2245">
        <f>IMAGE("file:///E:/Estudios%20y%20certificaciones/ESTUDIOS%20DE%20PROGRAMMING/PROGRAMMING/PERSONAL/PYTHON/Image_Generator_API/imagenes/NAUTICA_MENS_208000555_BLK_3.jpg")</f>
        <v/>
      </c>
      <c r="O2245">
        <f>HYPERLINK("imagenes/NAUTICA_MENS_208000555_BLK_1.jpg","Ver imagen")</f>
        <v/>
      </c>
      <c r="P2245">
        <f>HYPERLINK("imagenes/NAUTICA_MENS_208000555_BLK_2.jpg","Ver imagen")</f>
        <v/>
      </c>
      <c r="Q2245">
        <f>HYPERLINK("imagenes/NAUTICA_MENS_208000555_BLK_3.jpg","Ver imagen")</f>
        <v/>
      </c>
    </row>
    <row r="2246">
      <c r="A2246" t="inlineStr">
        <is>
          <t>NAUTICA MENS</t>
        </is>
      </c>
      <c r="B2246" t="inlineStr">
        <is>
          <t>208000555</t>
        </is>
      </c>
      <c r="C2246" t="inlineStr">
        <is>
          <t>SHERPA LINED SOFTSHELL</t>
        </is>
      </c>
      <c r="D2246" t="inlineStr">
        <is>
          <t>BLK</t>
        </is>
      </c>
      <c r="E2246" t="inlineStr">
        <is>
          <t>12A09</t>
        </is>
      </c>
      <c r="F2246" t="inlineStr">
        <is>
          <t>(en blanco)</t>
        </is>
      </c>
      <c r="G2246" t="inlineStr">
        <is>
          <t>PPK</t>
        </is>
      </c>
      <c r="H2246" t="n">
        <v>0</v>
      </c>
      <c r="I2246" t="inlineStr">
        <is>
          <t>NAUTICA_MENS_208000555_BLK_1.jpg</t>
        </is>
      </c>
      <c r="J2246" t="inlineStr">
        <is>
          <t>NAUTICA_MENS_208000555_BLK_2.jpg</t>
        </is>
      </c>
      <c r="K2246" t="inlineStr">
        <is>
          <t>NAUTICA_MENS_208000555_BLK_3.jpg</t>
        </is>
      </c>
      <c r="L2246">
        <f>IMAGE("file:///E:/Estudios%20y%20certificaciones/ESTUDIOS%20DE%20PROGRAMMING/PROGRAMMING/PERSONAL/PYTHON/Image_Generator_API/imagenes/NAUTICA_MENS_208000555_BLK_1.jpg")</f>
        <v/>
      </c>
      <c r="M2246">
        <f>IMAGE("file:///E:/Estudios%20y%20certificaciones/ESTUDIOS%20DE%20PROGRAMMING/PROGRAMMING/PERSONAL/PYTHON/Image_Generator_API/imagenes/NAUTICA_MENS_208000555_BLK_2.jpg")</f>
        <v/>
      </c>
      <c r="N2246">
        <f>IMAGE("file:///E:/Estudios%20y%20certificaciones/ESTUDIOS%20DE%20PROGRAMMING/PROGRAMMING/PERSONAL/PYTHON/Image_Generator_API/imagenes/NAUTICA_MENS_208000555_BLK_3.jpg")</f>
        <v/>
      </c>
      <c r="O2246">
        <f>HYPERLINK("imagenes/NAUTICA_MENS_208000555_BLK_1.jpg","Ver imagen")</f>
        <v/>
      </c>
      <c r="P2246">
        <f>HYPERLINK("imagenes/NAUTICA_MENS_208000555_BLK_2.jpg","Ver imagen")</f>
        <v/>
      </c>
      <c r="Q2246">
        <f>HYPERLINK("imagenes/NAUTICA_MENS_208000555_BLK_3.jpg","Ver imagen")</f>
        <v/>
      </c>
    </row>
    <row r="2247">
      <c r="A2247" t="inlineStr">
        <is>
          <t>NAUTICA MENS</t>
        </is>
      </c>
      <c r="B2247" t="inlineStr">
        <is>
          <t>208000555</t>
        </is>
      </c>
      <c r="C2247" t="inlineStr">
        <is>
          <t>SHERPA LINED SOFTSHELL</t>
        </is>
      </c>
      <c r="D2247" t="inlineStr">
        <is>
          <t>BLK</t>
        </is>
      </c>
      <c r="E2247" t="inlineStr">
        <is>
          <t>(en blanco)</t>
        </is>
      </c>
      <c r="F2247" t="inlineStr">
        <is>
          <t>(en blanco)</t>
        </is>
      </c>
      <c r="G2247" t="inlineStr">
        <is>
          <t>S</t>
        </is>
      </c>
      <c r="H2247" t="n">
        <v>3</v>
      </c>
      <c r="I2247" t="inlineStr">
        <is>
          <t>NAUTICA_MENS_208000555_BLK_1.jpg</t>
        </is>
      </c>
      <c r="J2247" t="inlineStr">
        <is>
          <t>NAUTICA_MENS_208000555_BLK_2.jpg</t>
        </is>
      </c>
      <c r="K2247" t="inlineStr">
        <is>
          <t>NAUTICA_MENS_208000555_BLK_3.jpg</t>
        </is>
      </c>
      <c r="L2247">
        <f>IMAGE("file:///E:/Estudios%20y%20certificaciones/ESTUDIOS%20DE%20PROGRAMMING/PROGRAMMING/PERSONAL/PYTHON/Image_Generator_API/imagenes/NAUTICA_MENS_208000555_BLK_1.jpg")</f>
        <v/>
      </c>
      <c r="M2247">
        <f>IMAGE("file:///E:/Estudios%20y%20certificaciones/ESTUDIOS%20DE%20PROGRAMMING/PROGRAMMING/PERSONAL/PYTHON/Image_Generator_API/imagenes/NAUTICA_MENS_208000555_BLK_2.jpg")</f>
        <v/>
      </c>
      <c r="N2247">
        <f>IMAGE("file:///E:/Estudios%20y%20certificaciones/ESTUDIOS%20DE%20PROGRAMMING/PROGRAMMING/PERSONAL/PYTHON/Image_Generator_API/imagenes/NAUTICA_MENS_208000555_BLK_3.jpg")</f>
        <v/>
      </c>
      <c r="O2247">
        <f>HYPERLINK("imagenes/NAUTICA_MENS_208000555_BLK_1.jpg","Ver imagen")</f>
        <v/>
      </c>
      <c r="P2247">
        <f>HYPERLINK("imagenes/NAUTICA_MENS_208000555_BLK_2.jpg","Ver imagen")</f>
        <v/>
      </c>
      <c r="Q2247">
        <f>HYPERLINK("imagenes/NAUTICA_MENS_208000555_BLK_3.jpg","Ver imagen")</f>
        <v/>
      </c>
    </row>
    <row r="2248">
      <c r="A2248" t="inlineStr">
        <is>
          <t>NAUTICA MENS</t>
        </is>
      </c>
      <c r="B2248" t="inlineStr">
        <is>
          <t>208000555</t>
        </is>
      </c>
      <c r="C2248" t="inlineStr">
        <is>
          <t>SHERPA LINED SOFTSHELL</t>
        </is>
      </c>
      <c r="D2248" t="inlineStr">
        <is>
          <t>BLK</t>
        </is>
      </c>
      <c r="E2248" t="inlineStr">
        <is>
          <t>(en blanco)</t>
        </is>
      </c>
      <c r="F2248" t="inlineStr">
        <is>
          <t>(en blanco)</t>
        </is>
      </c>
      <c r="G2248" t="inlineStr">
        <is>
          <t>M</t>
        </is>
      </c>
      <c r="H2248" t="n">
        <v>2</v>
      </c>
      <c r="I2248" t="inlineStr">
        <is>
          <t>NAUTICA_MENS_208000555_BLK_1.jpg</t>
        </is>
      </c>
      <c r="J2248" t="inlineStr">
        <is>
          <t>NAUTICA_MENS_208000555_BLK_2.jpg</t>
        </is>
      </c>
      <c r="K2248" t="inlineStr">
        <is>
          <t>NAUTICA_MENS_208000555_BLK_3.jpg</t>
        </is>
      </c>
      <c r="L2248">
        <f>IMAGE("file:///E:/Estudios%20y%20certificaciones/ESTUDIOS%20DE%20PROGRAMMING/PROGRAMMING/PERSONAL/PYTHON/Image_Generator_API/imagenes/NAUTICA_MENS_208000555_BLK_1.jpg")</f>
        <v/>
      </c>
      <c r="M2248">
        <f>IMAGE("file:///E:/Estudios%20y%20certificaciones/ESTUDIOS%20DE%20PROGRAMMING/PROGRAMMING/PERSONAL/PYTHON/Image_Generator_API/imagenes/NAUTICA_MENS_208000555_BLK_2.jpg")</f>
        <v/>
      </c>
      <c r="N2248">
        <f>IMAGE("file:///E:/Estudios%20y%20certificaciones/ESTUDIOS%20DE%20PROGRAMMING/PROGRAMMING/PERSONAL/PYTHON/Image_Generator_API/imagenes/NAUTICA_MENS_208000555_BLK_3.jpg")</f>
        <v/>
      </c>
      <c r="O2248">
        <f>HYPERLINK("imagenes/NAUTICA_MENS_208000555_BLK_1.jpg","Ver imagen")</f>
        <v/>
      </c>
      <c r="P2248">
        <f>HYPERLINK("imagenes/NAUTICA_MENS_208000555_BLK_2.jpg","Ver imagen")</f>
        <v/>
      </c>
      <c r="Q2248">
        <f>HYPERLINK("imagenes/NAUTICA_MENS_208000555_BLK_3.jpg","Ver imagen")</f>
        <v/>
      </c>
    </row>
    <row r="2249">
      <c r="A2249" t="inlineStr">
        <is>
          <t>NAUTICA MENS</t>
        </is>
      </c>
      <c r="B2249" t="inlineStr">
        <is>
          <t>208000555</t>
        </is>
      </c>
      <c r="C2249" t="inlineStr">
        <is>
          <t>SHERPA LINED SOFTSHELL</t>
        </is>
      </c>
      <c r="D2249" t="inlineStr">
        <is>
          <t>BLK</t>
        </is>
      </c>
      <c r="E2249" t="inlineStr">
        <is>
          <t>(en blanco)</t>
        </is>
      </c>
      <c r="F2249" t="inlineStr">
        <is>
          <t>(en blanco)</t>
        </is>
      </c>
      <c r="G2249" t="inlineStr">
        <is>
          <t>L</t>
        </is>
      </c>
      <c r="H2249" t="n">
        <v>12</v>
      </c>
      <c r="I2249" t="inlineStr">
        <is>
          <t>NAUTICA_MENS_208000555_BLK_1.jpg</t>
        </is>
      </c>
      <c r="J2249" t="inlineStr">
        <is>
          <t>NAUTICA_MENS_208000555_BLK_2.jpg</t>
        </is>
      </c>
      <c r="K2249" t="inlineStr">
        <is>
          <t>NAUTICA_MENS_208000555_BLK_3.jpg</t>
        </is>
      </c>
      <c r="L2249">
        <f>IMAGE("file:///E:/Estudios%20y%20certificaciones/ESTUDIOS%20DE%20PROGRAMMING/PROGRAMMING/PERSONAL/PYTHON/Image_Generator_API/imagenes/NAUTICA_MENS_208000555_BLK_1.jpg")</f>
        <v/>
      </c>
      <c r="M2249">
        <f>IMAGE("file:///E:/Estudios%20y%20certificaciones/ESTUDIOS%20DE%20PROGRAMMING/PROGRAMMING/PERSONAL/PYTHON/Image_Generator_API/imagenes/NAUTICA_MENS_208000555_BLK_2.jpg")</f>
        <v/>
      </c>
      <c r="N2249">
        <f>IMAGE("file:///E:/Estudios%20y%20certificaciones/ESTUDIOS%20DE%20PROGRAMMING/PROGRAMMING/PERSONAL/PYTHON/Image_Generator_API/imagenes/NAUTICA_MENS_208000555_BLK_3.jpg")</f>
        <v/>
      </c>
      <c r="O2249">
        <f>HYPERLINK("imagenes/NAUTICA_MENS_208000555_BLK_1.jpg","Ver imagen")</f>
        <v/>
      </c>
      <c r="P2249">
        <f>HYPERLINK("imagenes/NAUTICA_MENS_208000555_BLK_2.jpg","Ver imagen")</f>
        <v/>
      </c>
      <c r="Q2249">
        <f>HYPERLINK("imagenes/NAUTICA_MENS_208000555_BLK_3.jpg","Ver imagen")</f>
        <v/>
      </c>
    </row>
    <row r="2250">
      <c r="A2250" t="inlineStr">
        <is>
          <t>NAUTICA MENS</t>
        </is>
      </c>
      <c r="B2250" t="inlineStr">
        <is>
          <t>208000555</t>
        </is>
      </c>
      <c r="C2250" t="inlineStr">
        <is>
          <t>SHERPA LINED SOFTSHELL</t>
        </is>
      </c>
      <c r="D2250" t="inlineStr">
        <is>
          <t>GYH</t>
        </is>
      </c>
      <c r="E2250" t="inlineStr">
        <is>
          <t>(en blanco)</t>
        </is>
      </c>
      <c r="F2250" t="inlineStr">
        <is>
          <t>(en blanco)</t>
        </is>
      </c>
      <c r="G2250" t="inlineStr">
        <is>
          <t>S</t>
        </is>
      </c>
      <c r="H2250" t="n">
        <v>3</v>
      </c>
      <c r="I2250" t="inlineStr">
        <is>
          <t>NAUTICA_MENS_208000555_GYH_1.jpg</t>
        </is>
      </c>
      <c r="J2250" t="inlineStr">
        <is>
          <t>NAUTICA_MENS_208000555_GYH_2.jpg</t>
        </is>
      </c>
      <c r="K2250" t="inlineStr">
        <is>
          <t>NAUTICA_MENS_208000555_GYH_3.jpg</t>
        </is>
      </c>
      <c r="L2250">
        <f>IMAGE("file:///E:/Estudios%20y%20certificaciones/ESTUDIOS%20DE%20PROGRAMMING/PROGRAMMING/PERSONAL/PYTHON/Image_Generator_API/imagenes/NAUTICA_MENS_208000555_GYH_1.jpg")</f>
        <v/>
      </c>
      <c r="M2250">
        <f>IMAGE("file:///E:/Estudios%20y%20certificaciones/ESTUDIOS%20DE%20PROGRAMMING/PROGRAMMING/PERSONAL/PYTHON/Image_Generator_API/imagenes/NAUTICA_MENS_208000555_GYH_2.jpg")</f>
        <v/>
      </c>
      <c r="N2250">
        <f>IMAGE("file:///E:/Estudios%20y%20certificaciones/ESTUDIOS%20DE%20PROGRAMMING/PROGRAMMING/PERSONAL/PYTHON/Image_Generator_API/imagenes/NAUTICA_MENS_208000555_GYH_3.jpg")</f>
        <v/>
      </c>
      <c r="O2250">
        <f>HYPERLINK("imagenes/NAUTICA_MENS_208000555_GYH_1.jpg","Ver imagen")</f>
        <v/>
      </c>
      <c r="P2250">
        <f>HYPERLINK("imagenes/NAUTICA_MENS_208000555_GYH_2.jpg","Ver imagen")</f>
        <v/>
      </c>
      <c r="Q2250">
        <f>HYPERLINK("imagenes/NAUTICA_MENS_208000555_GYH_3.jpg","Ver imagen")</f>
        <v/>
      </c>
    </row>
    <row r="2251">
      <c r="A2251" t="inlineStr">
        <is>
          <t>NAUTICA MENS</t>
        </is>
      </c>
      <c r="B2251" t="inlineStr">
        <is>
          <t>208000555</t>
        </is>
      </c>
      <c r="C2251" t="inlineStr">
        <is>
          <t>SHERPA LINED SOFTSHELL</t>
        </is>
      </c>
      <c r="D2251" t="inlineStr">
        <is>
          <t>GYH</t>
        </is>
      </c>
      <c r="E2251" t="inlineStr">
        <is>
          <t>(en blanco)</t>
        </is>
      </c>
      <c r="F2251" t="inlineStr">
        <is>
          <t>(en blanco)</t>
        </is>
      </c>
      <c r="G2251" t="inlineStr">
        <is>
          <t>M</t>
        </is>
      </c>
      <c r="H2251" t="n">
        <v>12</v>
      </c>
      <c r="I2251" t="inlineStr">
        <is>
          <t>NAUTICA_MENS_208000555_GYH_1.jpg</t>
        </is>
      </c>
      <c r="J2251" t="inlineStr">
        <is>
          <t>NAUTICA_MENS_208000555_GYH_2.jpg</t>
        </is>
      </c>
      <c r="K2251" t="inlineStr">
        <is>
          <t>NAUTICA_MENS_208000555_GYH_3.jpg</t>
        </is>
      </c>
      <c r="L2251">
        <f>IMAGE("file:///E:/Estudios%20y%20certificaciones/ESTUDIOS%20DE%20PROGRAMMING/PROGRAMMING/PERSONAL/PYTHON/Image_Generator_API/imagenes/NAUTICA_MENS_208000555_GYH_1.jpg")</f>
        <v/>
      </c>
      <c r="M2251">
        <f>IMAGE("file:///E:/Estudios%20y%20certificaciones/ESTUDIOS%20DE%20PROGRAMMING/PROGRAMMING/PERSONAL/PYTHON/Image_Generator_API/imagenes/NAUTICA_MENS_208000555_GYH_2.jpg")</f>
        <v/>
      </c>
      <c r="N2251">
        <f>IMAGE("file:///E:/Estudios%20y%20certificaciones/ESTUDIOS%20DE%20PROGRAMMING/PROGRAMMING/PERSONAL/PYTHON/Image_Generator_API/imagenes/NAUTICA_MENS_208000555_GYH_3.jpg")</f>
        <v/>
      </c>
      <c r="O2251">
        <f>HYPERLINK("imagenes/NAUTICA_MENS_208000555_GYH_1.jpg","Ver imagen")</f>
        <v/>
      </c>
      <c r="P2251">
        <f>HYPERLINK("imagenes/NAUTICA_MENS_208000555_GYH_2.jpg","Ver imagen")</f>
        <v/>
      </c>
      <c r="Q2251">
        <f>HYPERLINK("imagenes/NAUTICA_MENS_208000555_GYH_3.jpg","Ver imagen")</f>
        <v/>
      </c>
    </row>
    <row r="2252">
      <c r="A2252" t="inlineStr">
        <is>
          <t>NAUTICA MENS</t>
        </is>
      </c>
      <c r="B2252" t="inlineStr">
        <is>
          <t>208000555</t>
        </is>
      </c>
      <c r="C2252" t="inlineStr">
        <is>
          <t>SHERPA LINED SOFTSHELL</t>
        </is>
      </c>
      <c r="D2252" t="inlineStr">
        <is>
          <t>GYH</t>
        </is>
      </c>
      <c r="E2252" t="inlineStr">
        <is>
          <t>(en blanco)</t>
        </is>
      </c>
      <c r="F2252" t="inlineStr">
        <is>
          <t>(en blanco)</t>
        </is>
      </c>
      <c r="G2252" t="inlineStr">
        <is>
          <t>L</t>
        </is>
      </c>
      <c r="H2252" t="n">
        <v>19</v>
      </c>
      <c r="I2252" t="inlineStr">
        <is>
          <t>NAUTICA_MENS_208000555_GYH_1.jpg</t>
        </is>
      </c>
      <c r="J2252" t="inlineStr">
        <is>
          <t>NAUTICA_MENS_208000555_GYH_2.jpg</t>
        </is>
      </c>
      <c r="K2252" t="inlineStr">
        <is>
          <t>NAUTICA_MENS_208000555_GYH_3.jpg</t>
        </is>
      </c>
      <c r="L2252">
        <f>IMAGE("file:///E:/Estudios%20y%20certificaciones/ESTUDIOS%20DE%20PROGRAMMING/PROGRAMMING/PERSONAL/PYTHON/Image_Generator_API/imagenes/NAUTICA_MENS_208000555_GYH_1.jpg")</f>
        <v/>
      </c>
      <c r="M2252">
        <f>IMAGE("file:///E:/Estudios%20y%20certificaciones/ESTUDIOS%20DE%20PROGRAMMING/PROGRAMMING/PERSONAL/PYTHON/Image_Generator_API/imagenes/NAUTICA_MENS_208000555_GYH_2.jpg")</f>
        <v/>
      </c>
      <c r="N2252">
        <f>IMAGE("file:///E:/Estudios%20y%20certificaciones/ESTUDIOS%20DE%20PROGRAMMING/PROGRAMMING/PERSONAL/PYTHON/Image_Generator_API/imagenes/NAUTICA_MENS_208000555_GYH_3.jpg")</f>
        <v/>
      </c>
      <c r="O2252">
        <f>HYPERLINK("imagenes/NAUTICA_MENS_208000555_GYH_1.jpg","Ver imagen")</f>
        <v/>
      </c>
      <c r="P2252">
        <f>HYPERLINK("imagenes/NAUTICA_MENS_208000555_GYH_2.jpg","Ver imagen")</f>
        <v/>
      </c>
      <c r="Q2252">
        <f>HYPERLINK("imagenes/NAUTICA_MENS_208000555_GYH_3.jpg","Ver imagen")</f>
        <v/>
      </c>
    </row>
    <row r="2253">
      <c r="A2253" t="inlineStr">
        <is>
          <t>NAUTICA MENS</t>
        </is>
      </c>
      <c r="B2253" t="inlineStr">
        <is>
          <t>208000555</t>
        </is>
      </c>
      <c r="C2253" t="inlineStr">
        <is>
          <t>SHERPA LINED SOFTSHELL</t>
        </is>
      </c>
      <c r="D2253" t="inlineStr">
        <is>
          <t>GYH</t>
        </is>
      </c>
      <c r="E2253" t="inlineStr">
        <is>
          <t>(en blanco)</t>
        </is>
      </c>
      <c r="F2253" t="inlineStr">
        <is>
          <t>(en blanco)</t>
        </is>
      </c>
      <c r="G2253" t="inlineStr">
        <is>
          <t>XL</t>
        </is>
      </c>
      <c r="H2253" t="n">
        <v>11</v>
      </c>
      <c r="I2253" t="inlineStr">
        <is>
          <t>NAUTICA_MENS_208000555_GYH_1.jpg</t>
        </is>
      </c>
      <c r="J2253" t="inlineStr">
        <is>
          <t>NAUTICA_MENS_208000555_GYH_2.jpg</t>
        </is>
      </c>
      <c r="K2253" t="inlineStr">
        <is>
          <t>NAUTICA_MENS_208000555_GYH_3.jpg</t>
        </is>
      </c>
      <c r="L2253">
        <f>IMAGE("file:///E:/Estudios%20y%20certificaciones/ESTUDIOS%20DE%20PROGRAMMING/PROGRAMMING/PERSONAL/PYTHON/Image_Generator_API/imagenes/NAUTICA_MENS_208000555_GYH_1.jpg")</f>
        <v/>
      </c>
      <c r="M2253">
        <f>IMAGE("file:///E:/Estudios%20y%20certificaciones/ESTUDIOS%20DE%20PROGRAMMING/PROGRAMMING/PERSONAL/PYTHON/Image_Generator_API/imagenes/NAUTICA_MENS_208000555_GYH_2.jpg")</f>
        <v/>
      </c>
      <c r="N2253">
        <f>IMAGE("file:///E:/Estudios%20y%20certificaciones/ESTUDIOS%20DE%20PROGRAMMING/PROGRAMMING/PERSONAL/PYTHON/Image_Generator_API/imagenes/NAUTICA_MENS_208000555_GYH_3.jpg")</f>
        <v/>
      </c>
      <c r="O2253">
        <f>HYPERLINK("imagenes/NAUTICA_MENS_208000555_GYH_1.jpg","Ver imagen")</f>
        <v/>
      </c>
      <c r="P2253">
        <f>HYPERLINK("imagenes/NAUTICA_MENS_208000555_GYH_2.jpg","Ver imagen")</f>
        <v/>
      </c>
      <c r="Q2253">
        <f>HYPERLINK("imagenes/NAUTICA_MENS_208000555_GYH_3.jpg","Ver imagen")</f>
        <v/>
      </c>
    </row>
    <row r="2254">
      <c r="A2254" t="inlineStr">
        <is>
          <t>NAUTICA MENS</t>
        </is>
      </c>
      <c r="B2254" t="inlineStr">
        <is>
          <t>208000555</t>
        </is>
      </c>
      <c r="C2254" t="inlineStr">
        <is>
          <t>SHERPA LINED SOFTSHELL</t>
        </is>
      </c>
      <c r="D2254" t="inlineStr">
        <is>
          <t>GYH</t>
        </is>
      </c>
      <c r="E2254" t="inlineStr">
        <is>
          <t>(en blanco)</t>
        </is>
      </c>
      <c r="F2254" t="inlineStr">
        <is>
          <t>(en blanco)</t>
        </is>
      </c>
      <c r="G2254" t="inlineStr">
        <is>
          <t>XXL</t>
        </is>
      </c>
      <c r="H2254" t="n">
        <v>1</v>
      </c>
      <c r="I2254" t="inlineStr">
        <is>
          <t>NAUTICA_MENS_208000555_GYH_1.jpg</t>
        </is>
      </c>
      <c r="J2254" t="inlineStr">
        <is>
          <t>NAUTICA_MENS_208000555_GYH_2.jpg</t>
        </is>
      </c>
      <c r="K2254" t="inlineStr">
        <is>
          <t>NAUTICA_MENS_208000555_GYH_3.jpg</t>
        </is>
      </c>
      <c r="L2254">
        <f>IMAGE("file:///E:/Estudios%20y%20certificaciones/ESTUDIOS%20DE%20PROGRAMMING/PROGRAMMING/PERSONAL/PYTHON/Image_Generator_API/imagenes/NAUTICA_MENS_208000555_GYH_1.jpg")</f>
        <v/>
      </c>
      <c r="M2254">
        <f>IMAGE("file:///E:/Estudios%20y%20certificaciones/ESTUDIOS%20DE%20PROGRAMMING/PROGRAMMING/PERSONAL/PYTHON/Image_Generator_API/imagenes/NAUTICA_MENS_208000555_GYH_2.jpg")</f>
        <v/>
      </c>
      <c r="N2254">
        <f>IMAGE("file:///E:/Estudios%20y%20certificaciones/ESTUDIOS%20DE%20PROGRAMMING/PROGRAMMING/PERSONAL/PYTHON/Image_Generator_API/imagenes/NAUTICA_MENS_208000555_GYH_3.jpg")</f>
        <v/>
      </c>
      <c r="O2254">
        <f>HYPERLINK("imagenes/NAUTICA_MENS_208000555_GYH_1.jpg","Ver imagen")</f>
        <v/>
      </c>
      <c r="P2254">
        <f>HYPERLINK("imagenes/NAUTICA_MENS_208000555_GYH_2.jpg","Ver imagen")</f>
        <v/>
      </c>
      <c r="Q2254">
        <f>HYPERLINK("imagenes/NAUTICA_MENS_208000555_GYH_3.jpg","Ver imagen")</f>
        <v/>
      </c>
    </row>
    <row r="2255">
      <c r="A2255" t="inlineStr">
        <is>
          <t>NAUTICA MENS</t>
        </is>
      </c>
      <c r="B2255" t="inlineStr">
        <is>
          <t>208000555</t>
        </is>
      </c>
      <c r="C2255" t="inlineStr">
        <is>
          <t>SHERPA LINED SOFTSHELL</t>
        </is>
      </c>
      <c r="D2255" t="inlineStr">
        <is>
          <t>MTA</t>
        </is>
      </c>
      <c r="E2255" t="inlineStr">
        <is>
          <t>12A09</t>
        </is>
      </c>
      <c r="F2255" t="inlineStr">
        <is>
          <t>(en blanco)</t>
        </is>
      </c>
      <c r="G2255" t="inlineStr">
        <is>
          <t>PPK</t>
        </is>
      </c>
      <c r="H2255" t="n">
        <v>0</v>
      </c>
      <c r="I2255" t="inlineStr">
        <is>
          <t>NAUTICA_MENS_208000555_MTA_1.jpg</t>
        </is>
      </c>
      <c r="J2255" t="inlineStr">
        <is>
          <t>NAUTICA_MENS_208000555_MTA_2.jpg</t>
        </is>
      </c>
      <c r="K2255" t="inlineStr">
        <is>
          <t>NAUTICA_MENS_208000555_MTA_3.jpg</t>
        </is>
      </c>
      <c r="L2255">
        <f>IMAGE("file:///E:/Estudios%20y%20certificaciones/ESTUDIOS%20DE%20PROGRAMMING/PROGRAMMING/PERSONAL/PYTHON/Image_Generator_API/imagenes/NAUTICA_MENS_208000555_MTA_1.jpg")</f>
        <v/>
      </c>
      <c r="M2255">
        <f>IMAGE("file:///E:/Estudios%20y%20certificaciones/ESTUDIOS%20DE%20PROGRAMMING/PROGRAMMING/PERSONAL/PYTHON/Image_Generator_API/imagenes/NAUTICA_MENS_208000555_MTA_2.jpg")</f>
        <v/>
      </c>
      <c r="N2255">
        <f>IMAGE("file:///E:/Estudios%20y%20certificaciones/ESTUDIOS%20DE%20PROGRAMMING/PROGRAMMING/PERSONAL/PYTHON/Image_Generator_API/imagenes/NAUTICA_MENS_208000555_MTA_3.jpg")</f>
        <v/>
      </c>
      <c r="O2255">
        <f>HYPERLINK("imagenes/NAUTICA_MENS_208000555_MTA_1.jpg","Ver imagen")</f>
        <v/>
      </c>
      <c r="P2255">
        <f>HYPERLINK("imagenes/NAUTICA_MENS_208000555_MTA_2.jpg","Ver imagen")</f>
        <v/>
      </c>
      <c r="Q2255">
        <f>HYPERLINK("imagenes/NAUTICA_MENS_208000555_MTA_3.jpg","Ver imagen")</f>
        <v/>
      </c>
    </row>
    <row r="2256">
      <c r="A2256" t="inlineStr">
        <is>
          <t>NAUTICA MENS</t>
        </is>
      </c>
      <c r="B2256" t="inlineStr">
        <is>
          <t>208000555</t>
        </is>
      </c>
      <c r="C2256" t="inlineStr">
        <is>
          <t>SHERPA LINED SOFTSHELL</t>
        </is>
      </c>
      <c r="D2256" t="inlineStr">
        <is>
          <t>NVY</t>
        </is>
      </c>
      <c r="E2256" t="inlineStr">
        <is>
          <t>12A08</t>
        </is>
      </c>
      <c r="F2256" t="inlineStr">
        <is>
          <t>(en blanco)</t>
        </is>
      </c>
      <c r="G2256" t="inlineStr">
        <is>
          <t>PPK</t>
        </is>
      </c>
      <c r="H2256" t="n">
        <v>0</v>
      </c>
      <c r="I2256" t="inlineStr">
        <is>
          <t>NAUTICA_MENS_208000555_NVY_1.jpg</t>
        </is>
      </c>
      <c r="J2256" t="inlineStr">
        <is>
          <t>NAUTICA_MENS_208000555_NVY_2.jpg</t>
        </is>
      </c>
      <c r="K2256" t="inlineStr">
        <is>
          <t>NAUTICA_MENS_208000555_NVY_3.jpg</t>
        </is>
      </c>
      <c r="L2256">
        <f>IMAGE("file:///E:/Estudios%20y%20certificaciones/ESTUDIOS%20DE%20PROGRAMMING/PROGRAMMING/PERSONAL/PYTHON/Image_Generator_API/imagenes/NAUTICA_MENS_208000555_NVY_1.jpg")</f>
        <v/>
      </c>
      <c r="M2256">
        <f>IMAGE("file:///E:/Estudios%20y%20certificaciones/ESTUDIOS%20DE%20PROGRAMMING/PROGRAMMING/PERSONAL/PYTHON/Image_Generator_API/imagenes/NAUTICA_MENS_208000555_NVY_2.jpg")</f>
        <v/>
      </c>
      <c r="N2256">
        <f>IMAGE("file:///E:/Estudios%20y%20certificaciones/ESTUDIOS%20DE%20PROGRAMMING/PROGRAMMING/PERSONAL/PYTHON/Image_Generator_API/imagenes/NAUTICA_MENS_208000555_NVY_3.jpg")</f>
        <v/>
      </c>
      <c r="O2256">
        <f>HYPERLINK("imagenes/NAUTICA_MENS_208000555_NVY_1.jpg","Ver imagen")</f>
        <v/>
      </c>
      <c r="P2256">
        <f>HYPERLINK("imagenes/NAUTICA_MENS_208000555_NVY_2.jpg","Ver imagen")</f>
        <v/>
      </c>
      <c r="Q2256">
        <f>HYPERLINK("imagenes/NAUTICA_MENS_208000555_NVY_3.jpg","Ver imagen")</f>
        <v/>
      </c>
    </row>
    <row r="2257">
      <c r="A2257" t="inlineStr">
        <is>
          <t>NAUTICA MENS</t>
        </is>
      </c>
      <c r="B2257" t="inlineStr">
        <is>
          <t>208000555</t>
        </is>
      </c>
      <c r="C2257" t="inlineStr">
        <is>
          <t>SHERPA LINED SOFTSHELL</t>
        </is>
      </c>
      <c r="D2257" t="inlineStr">
        <is>
          <t>NVY</t>
        </is>
      </c>
      <c r="E2257" t="inlineStr">
        <is>
          <t>12A09</t>
        </is>
      </c>
      <c r="F2257" t="inlineStr">
        <is>
          <t>(en blanco)</t>
        </is>
      </c>
      <c r="G2257" t="inlineStr">
        <is>
          <t>PPK</t>
        </is>
      </c>
      <c r="H2257" t="n">
        <v>0</v>
      </c>
      <c r="I2257" t="inlineStr">
        <is>
          <t>NAUTICA_MENS_208000555_NVY_1.jpg</t>
        </is>
      </c>
      <c r="J2257" t="inlineStr">
        <is>
          <t>NAUTICA_MENS_208000555_NVY_2.jpg</t>
        </is>
      </c>
      <c r="K2257" t="inlineStr">
        <is>
          <t>NAUTICA_MENS_208000555_NVY_3.jpg</t>
        </is>
      </c>
      <c r="L2257">
        <f>IMAGE("file:///E:/Estudios%20y%20certificaciones/ESTUDIOS%20DE%20PROGRAMMING/PROGRAMMING/PERSONAL/PYTHON/Image_Generator_API/imagenes/NAUTICA_MENS_208000555_NVY_1.jpg")</f>
        <v/>
      </c>
      <c r="M2257">
        <f>IMAGE("file:///E:/Estudios%20y%20certificaciones/ESTUDIOS%20DE%20PROGRAMMING/PROGRAMMING/PERSONAL/PYTHON/Image_Generator_API/imagenes/NAUTICA_MENS_208000555_NVY_2.jpg")</f>
        <v/>
      </c>
      <c r="N2257">
        <f>IMAGE("file:///E:/Estudios%20y%20certificaciones/ESTUDIOS%20DE%20PROGRAMMING/PROGRAMMING/PERSONAL/PYTHON/Image_Generator_API/imagenes/NAUTICA_MENS_208000555_NVY_3.jpg")</f>
        <v/>
      </c>
      <c r="O2257">
        <f>HYPERLINK("imagenes/NAUTICA_MENS_208000555_NVY_1.jpg","Ver imagen")</f>
        <v/>
      </c>
      <c r="P2257">
        <f>HYPERLINK("imagenes/NAUTICA_MENS_208000555_NVY_2.jpg","Ver imagen")</f>
        <v/>
      </c>
      <c r="Q2257">
        <f>HYPERLINK("imagenes/NAUTICA_MENS_208000555_NVY_3.jpg","Ver imagen")</f>
        <v/>
      </c>
    </row>
    <row r="2258">
      <c r="A2258" t="inlineStr">
        <is>
          <t>NAUTICA MENS</t>
        </is>
      </c>
      <c r="B2258" t="inlineStr">
        <is>
          <t>208000561</t>
        </is>
      </c>
      <c r="C2258" t="inlineStr">
        <is>
          <t>QUILTED BOMBER JACKET</t>
        </is>
      </c>
      <c r="D2258" t="inlineStr">
        <is>
          <t>B1B</t>
        </is>
      </c>
      <c r="E2258" t="inlineStr">
        <is>
          <t>(en blanco)</t>
        </is>
      </c>
      <c r="F2258" t="inlineStr">
        <is>
          <t>(en blanco)</t>
        </is>
      </c>
      <c r="G2258" t="inlineStr">
        <is>
          <t>S</t>
        </is>
      </c>
      <c r="H2258" t="n">
        <v>1</v>
      </c>
      <c r="I2258" t="inlineStr">
        <is>
          <t>NAUTICA_MENS_208000561_B1B_1.jpg</t>
        </is>
      </c>
      <c r="J2258" t="inlineStr">
        <is>
          <t>NAUTICA_MENS_208000561_B1B_2.jpg</t>
        </is>
      </c>
      <c r="K2258" t="inlineStr">
        <is>
          <t>NAUTICA_MENS_208000561_B1B_3.jpg</t>
        </is>
      </c>
      <c r="L2258">
        <f>IMAGE("file:///E:/Estudios%20y%20certificaciones/ESTUDIOS%20DE%20PROGRAMMING/PROGRAMMING/PERSONAL/PYTHON/Image_Generator_API/imagenes/NAUTICA_MENS_208000561_B1B_1.jpg")</f>
        <v/>
      </c>
      <c r="M2258">
        <f>IMAGE("file:///E:/Estudios%20y%20certificaciones/ESTUDIOS%20DE%20PROGRAMMING/PROGRAMMING/PERSONAL/PYTHON/Image_Generator_API/imagenes/NAUTICA_MENS_208000561_B1B_2.jpg")</f>
        <v/>
      </c>
      <c r="N2258">
        <f>IMAGE("file:///E:/Estudios%20y%20certificaciones/ESTUDIOS%20DE%20PROGRAMMING/PROGRAMMING/PERSONAL/PYTHON/Image_Generator_API/imagenes/NAUTICA_MENS_208000561_B1B_3.jpg")</f>
        <v/>
      </c>
      <c r="O2258">
        <f>HYPERLINK("imagenes/NAUTICA_MENS_208000561_B1B_1.jpg","Ver imagen")</f>
        <v/>
      </c>
      <c r="P2258">
        <f>HYPERLINK("imagenes/NAUTICA_MENS_208000561_B1B_2.jpg","Ver imagen")</f>
        <v/>
      </c>
      <c r="Q2258">
        <f>HYPERLINK("imagenes/NAUTICA_MENS_208000561_B1B_3.jpg","Ver imagen")</f>
        <v/>
      </c>
    </row>
    <row r="2259">
      <c r="A2259" t="inlineStr">
        <is>
          <t>NAUTICA MENS</t>
        </is>
      </c>
      <c r="B2259" t="inlineStr">
        <is>
          <t>208000561</t>
        </is>
      </c>
      <c r="C2259" t="inlineStr">
        <is>
          <t>QUILTED BOMBER JACKET</t>
        </is>
      </c>
      <c r="D2259" t="inlineStr">
        <is>
          <t>B1B</t>
        </is>
      </c>
      <c r="E2259" t="inlineStr">
        <is>
          <t>(en blanco)</t>
        </is>
      </c>
      <c r="F2259" t="inlineStr">
        <is>
          <t>(en blanco)</t>
        </is>
      </c>
      <c r="G2259" t="inlineStr">
        <is>
          <t>XL</t>
        </is>
      </c>
      <c r="H2259" t="n">
        <v>9</v>
      </c>
      <c r="I2259" t="inlineStr">
        <is>
          <t>NAUTICA_MENS_208000561_B1B_1.jpg</t>
        </is>
      </c>
      <c r="J2259" t="inlineStr">
        <is>
          <t>NAUTICA_MENS_208000561_B1B_2.jpg</t>
        </is>
      </c>
      <c r="K2259" t="inlineStr">
        <is>
          <t>NAUTICA_MENS_208000561_B1B_3.jpg</t>
        </is>
      </c>
      <c r="L2259">
        <f>IMAGE("file:///E:/Estudios%20y%20certificaciones/ESTUDIOS%20DE%20PROGRAMMING/PROGRAMMING/PERSONAL/PYTHON/Image_Generator_API/imagenes/NAUTICA_MENS_208000561_B1B_1.jpg")</f>
        <v/>
      </c>
      <c r="M2259">
        <f>IMAGE("file:///E:/Estudios%20y%20certificaciones/ESTUDIOS%20DE%20PROGRAMMING/PROGRAMMING/PERSONAL/PYTHON/Image_Generator_API/imagenes/NAUTICA_MENS_208000561_B1B_2.jpg")</f>
        <v/>
      </c>
      <c r="N2259">
        <f>IMAGE("file:///E:/Estudios%20y%20certificaciones/ESTUDIOS%20DE%20PROGRAMMING/PROGRAMMING/PERSONAL/PYTHON/Image_Generator_API/imagenes/NAUTICA_MENS_208000561_B1B_3.jpg")</f>
        <v/>
      </c>
      <c r="O2259">
        <f>HYPERLINK("imagenes/NAUTICA_MENS_208000561_B1B_1.jpg","Ver imagen")</f>
        <v/>
      </c>
      <c r="P2259">
        <f>HYPERLINK("imagenes/NAUTICA_MENS_208000561_B1B_2.jpg","Ver imagen")</f>
        <v/>
      </c>
      <c r="Q2259">
        <f>HYPERLINK("imagenes/NAUTICA_MENS_208000561_B1B_3.jpg","Ver imagen")</f>
        <v/>
      </c>
    </row>
    <row r="2260">
      <c r="A2260" t="inlineStr">
        <is>
          <t>NAUTICA MENS</t>
        </is>
      </c>
      <c r="B2260" t="inlineStr">
        <is>
          <t>208000561</t>
        </is>
      </c>
      <c r="C2260" t="inlineStr">
        <is>
          <t>QUILTED BOMBER JACKET</t>
        </is>
      </c>
      <c r="D2260" t="inlineStr">
        <is>
          <t>NVY</t>
        </is>
      </c>
      <c r="E2260" t="inlineStr">
        <is>
          <t>(en blanco)</t>
        </is>
      </c>
      <c r="F2260" t="inlineStr">
        <is>
          <t>(en blanco)</t>
        </is>
      </c>
      <c r="G2260" t="inlineStr">
        <is>
          <t>XL</t>
        </is>
      </c>
      <c r="H2260" t="n">
        <v>1</v>
      </c>
      <c r="I2260" t="inlineStr">
        <is>
          <t>NAUTICA_MENS_208000561_NVY_1.jpg</t>
        </is>
      </c>
      <c r="J2260" t="inlineStr">
        <is>
          <t>NAUTICA_MENS_208000561_NVY_2.jpg</t>
        </is>
      </c>
      <c r="K2260" t="inlineStr">
        <is>
          <t>NAUTICA_MENS_208000561_NVY_3.jpg</t>
        </is>
      </c>
      <c r="L2260">
        <f>IMAGE("file:///E:/Estudios%20y%20certificaciones/ESTUDIOS%20DE%20PROGRAMMING/PROGRAMMING/PERSONAL/PYTHON/Image_Generator_API/imagenes/NAUTICA_MENS_208000561_NVY_1.jpg")</f>
        <v/>
      </c>
      <c r="M2260">
        <f>IMAGE("file:///E:/Estudios%20y%20certificaciones/ESTUDIOS%20DE%20PROGRAMMING/PROGRAMMING/PERSONAL/PYTHON/Image_Generator_API/imagenes/NAUTICA_MENS_208000561_NVY_2.jpg")</f>
        <v/>
      </c>
      <c r="N2260">
        <f>IMAGE("file:///E:/Estudios%20y%20certificaciones/ESTUDIOS%20DE%20PROGRAMMING/PROGRAMMING/PERSONAL/PYTHON/Image_Generator_API/imagenes/NAUTICA_MENS_208000561_NVY_3.jpg")</f>
        <v/>
      </c>
      <c r="O2260">
        <f>HYPERLINK("imagenes/NAUTICA_MENS_208000561_NVY_1.jpg","Ver imagen")</f>
        <v/>
      </c>
      <c r="P2260">
        <f>HYPERLINK("imagenes/NAUTICA_MENS_208000561_NVY_2.jpg","Ver imagen")</f>
        <v/>
      </c>
      <c r="Q2260">
        <f>HYPERLINK("imagenes/NAUTICA_MENS_208000561_NVY_3.jpg","Ver imagen")</f>
        <v/>
      </c>
    </row>
    <row r="2261">
      <c r="A2261" t="inlineStr">
        <is>
          <t>NAUTICA MENS</t>
        </is>
      </c>
      <c r="B2261" t="inlineStr">
        <is>
          <t>208000563</t>
        </is>
      </c>
      <c r="C2261" t="inlineStr">
        <is>
          <t>LIGHT WEIGHT MIXED MEDIA QUILT</t>
        </is>
      </c>
      <c r="D2261" t="inlineStr">
        <is>
          <t>BLK</t>
        </is>
      </c>
      <c r="E2261" t="inlineStr">
        <is>
          <t>(en blanco)</t>
        </is>
      </c>
      <c r="F2261" t="inlineStr">
        <is>
          <t>(en blanco)</t>
        </is>
      </c>
      <c r="G2261" t="inlineStr">
        <is>
          <t>L</t>
        </is>
      </c>
      <c r="H2261" t="n">
        <v>1</v>
      </c>
      <c r="I2261" t="inlineStr">
        <is>
          <t>NAUTICA_MENS_208000563_BLK_1.jpg</t>
        </is>
      </c>
      <c r="J2261" t="inlineStr">
        <is>
          <t>NAUTICA_MENS_208000563_BLK_2.jpg</t>
        </is>
      </c>
      <c r="K2261" t="inlineStr">
        <is>
          <t>NAUTICA_MENS_208000563_BLK_3.jpg</t>
        </is>
      </c>
      <c r="L2261">
        <f>IMAGE("file:///E:/Estudios%20y%20certificaciones/ESTUDIOS%20DE%20PROGRAMMING/PROGRAMMING/PERSONAL/PYTHON/Image_Generator_API/imagenes/NAUTICA_MENS_208000563_BLK_1.jpg")</f>
        <v/>
      </c>
      <c r="M2261">
        <f>IMAGE("file:///E:/Estudios%20y%20certificaciones/ESTUDIOS%20DE%20PROGRAMMING/PROGRAMMING/PERSONAL/PYTHON/Image_Generator_API/imagenes/NAUTICA_MENS_208000563_BLK_2.jpg")</f>
        <v/>
      </c>
      <c r="N2261">
        <f>IMAGE("file:///E:/Estudios%20y%20certificaciones/ESTUDIOS%20DE%20PROGRAMMING/PROGRAMMING/PERSONAL/PYTHON/Image_Generator_API/imagenes/NAUTICA_MENS_208000563_BLK_3.jpg")</f>
        <v/>
      </c>
      <c r="O2261">
        <f>HYPERLINK("imagenes/NAUTICA_MENS_208000563_BLK_1.jpg","Ver imagen")</f>
        <v/>
      </c>
      <c r="P2261">
        <f>HYPERLINK("imagenes/NAUTICA_MENS_208000563_BLK_2.jpg","Ver imagen")</f>
        <v/>
      </c>
      <c r="Q2261">
        <f>HYPERLINK("imagenes/NAUTICA_MENS_208000563_BLK_3.jpg","Ver imagen")</f>
        <v/>
      </c>
    </row>
    <row r="2262">
      <c r="A2262" t="inlineStr">
        <is>
          <t>NAUTICA MENS</t>
        </is>
      </c>
      <c r="B2262" t="inlineStr">
        <is>
          <t>208000606</t>
        </is>
      </c>
      <c r="C2262" t="inlineStr">
        <is>
          <t>SOFTSHELL BONDED JACKET</t>
        </is>
      </c>
      <c r="D2262" t="inlineStr">
        <is>
          <t>B7H</t>
        </is>
      </c>
      <c r="E2262" t="inlineStr">
        <is>
          <t>(en blanco)</t>
        </is>
      </c>
      <c r="F2262" t="inlineStr">
        <is>
          <t>(en blanco)</t>
        </is>
      </c>
      <c r="G2262" t="inlineStr">
        <is>
          <t>M</t>
        </is>
      </c>
      <c r="H2262" t="n">
        <v>36</v>
      </c>
      <c r="I2262" t="inlineStr">
        <is>
          <t>NAUTICA_MENS_208000606_B7H_1.jpg</t>
        </is>
      </c>
      <c r="J2262" t="inlineStr">
        <is>
          <t>NAUTICA_MENS_208000606_B7H_2.jpg</t>
        </is>
      </c>
      <c r="K2262" t="inlineStr">
        <is>
          <t>NAUTICA_MENS_208000606_B7H_3.jpg</t>
        </is>
      </c>
      <c r="L2262">
        <f>IMAGE("file:///E:/Estudios%20y%20certificaciones/ESTUDIOS%20DE%20PROGRAMMING/PROGRAMMING/PERSONAL/PYTHON/Image_Generator_API/imagenes/NAUTICA_MENS_208000606_B7H_1.jpg")</f>
        <v/>
      </c>
      <c r="M2262">
        <f>IMAGE("file:///E:/Estudios%20y%20certificaciones/ESTUDIOS%20DE%20PROGRAMMING/PROGRAMMING/PERSONAL/PYTHON/Image_Generator_API/imagenes/NAUTICA_MENS_208000606_B7H_2.jpg")</f>
        <v/>
      </c>
      <c r="N2262">
        <f>IMAGE("file:///E:/Estudios%20y%20certificaciones/ESTUDIOS%20DE%20PROGRAMMING/PROGRAMMING/PERSONAL/PYTHON/Image_Generator_API/imagenes/NAUTICA_MENS_208000606_B7H_3.jpg")</f>
        <v/>
      </c>
      <c r="O2262">
        <f>HYPERLINK("imagenes/NAUTICA_MENS_208000606_B7H_1.jpg","Ver imagen")</f>
        <v/>
      </c>
      <c r="P2262">
        <f>HYPERLINK("imagenes/NAUTICA_MENS_208000606_B7H_2.jpg","Ver imagen")</f>
        <v/>
      </c>
      <c r="Q2262">
        <f>HYPERLINK("imagenes/NAUTICA_MENS_208000606_B7H_3.jpg","Ver imagen")</f>
        <v/>
      </c>
    </row>
    <row r="2263">
      <c r="A2263" t="inlineStr">
        <is>
          <t>NAUTICA MENS</t>
        </is>
      </c>
      <c r="B2263" t="inlineStr">
        <is>
          <t>208000606</t>
        </is>
      </c>
      <c r="C2263" t="inlineStr">
        <is>
          <t>SOFTSHELL BONDED JACKET</t>
        </is>
      </c>
      <c r="D2263" t="inlineStr">
        <is>
          <t>B7H</t>
        </is>
      </c>
      <c r="E2263" t="inlineStr">
        <is>
          <t>(en blanco)</t>
        </is>
      </c>
      <c r="F2263" t="inlineStr">
        <is>
          <t>(en blanco)</t>
        </is>
      </c>
      <c r="G2263" t="inlineStr">
        <is>
          <t>L</t>
        </is>
      </c>
      <c r="H2263" t="n">
        <v>67</v>
      </c>
      <c r="I2263" t="inlineStr">
        <is>
          <t>NAUTICA_MENS_208000606_B7H_1.jpg</t>
        </is>
      </c>
      <c r="J2263" t="inlineStr">
        <is>
          <t>NAUTICA_MENS_208000606_B7H_2.jpg</t>
        </is>
      </c>
      <c r="K2263" t="inlineStr">
        <is>
          <t>NAUTICA_MENS_208000606_B7H_3.jpg</t>
        </is>
      </c>
      <c r="L2263">
        <f>IMAGE("file:///E:/Estudios%20y%20certificaciones/ESTUDIOS%20DE%20PROGRAMMING/PROGRAMMING/PERSONAL/PYTHON/Image_Generator_API/imagenes/NAUTICA_MENS_208000606_B7H_1.jpg")</f>
        <v/>
      </c>
      <c r="M2263">
        <f>IMAGE("file:///E:/Estudios%20y%20certificaciones/ESTUDIOS%20DE%20PROGRAMMING/PROGRAMMING/PERSONAL/PYTHON/Image_Generator_API/imagenes/NAUTICA_MENS_208000606_B7H_2.jpg")</f>
        <v/>
      </c>
      <c r="N2263">
        <f>IMAGE("file:///E:/Estudios%20y%20certificaciones/ESTUDIOS%20DE%20PROGRAMMING/PROGRAMMING/PERSONAL/PYTHON/Image_Generator_API/imagenes/NAUTICA_MENS_208000606_B7H_3.jpg")</f>
        <v/>
      </c>
      <c r="O2263">
        <f>HYPERLINK("imagenes/NAUTICA_MENS_208000606_B7H_1.jpg","Ver imagen")</f>
        <v/>
      </c>
      <c r="P2263">
        <f>HYPERLINK("imagenes/NAUTICA_MENS_208000606_B7H_2.jpg","Ver imagen")</f>
        <v/>
      </c>
      <c r="Q2263">
        <f>HYPERLINK("imagenes/NAUTICA_MENS_208000606_B7H_3.jpg","Ver imagen")</f>
        <v/>
      </c>
    </row>
    <row r="2264">
      <c r="A2264" t="inlineStr">
        <is>
          <t>NAUTICA MENS</t>
        </is>
      </c>
      <c r="B2264" t="inlineStr">
        <is>
          <t>208000606</t>
        </is>
      </c>
      <c r="C2264" t="inlineStr">
        <is>
          <t>SOFTSHELL BONDED JACKET</t>
        </is>
      </c>
      <c r="D2264" t="inlineStr">
        <is>
          <t>B7H</t>
        </is>
      </c>
      <c r="E2264" t="inlineStr">
        <is>
          <t>(en blanco)</t>
        </is>
      </c>
      <c r="F2264" t="inlineStr">
        <is>
          <t>(en blanco)</t>
        </is>
      </c>
      <c r="G2264" t="inlineStr">
        <is>
          <t>XL</t>
        </is>
      </c>
      <c r="H2264" t="n">
        <v>76</v>
      </c>
      <c r="I2264" t="inlineStr">
        <is>
          <t>NAUTICA_MENS_208000606_B7H_1.jpg</t>
        </is>
      </c>
      <c r="J2264" t="inlineStr">
        <is>
          <t>NAUTICA_MENS_208000606_B7H_2.jpg</t>
        </is>
      </c>
      <c r="K2264" t="inlineStr">
        <is>
          <t>NAUTICA_MENS_208000606_B7H_3.jpg</t>
        </is>
      </c>
      <c r="L2264">
        <f>IMAGE("file:///E:/Estudios%20y%20certificaciones/ESTUDIOS%20DE%20PROGRAMMING/PROGRAMMING/PERSONAL/PYTHON/Image_Generator_API/imagenes/NAUTICA_MENS_208000606_B7H_1.jpg")</f>
        <v/>
      </c>
      <c r="M2264">
        <f>IMAGE("file:///E:/Estudios%20y%20certificaciones/ESTUDIOS%20DE%20PROGRAMMING/PROGRAMMING/PERSONAL/PYTHON/Image_Generator_API/imagenes/NAUTICA_MENS_208000606_B7H_2.jpg")</f>
        <v/>
      </c>
      <c r="N2264">
        <f>IMAGE("file:///E:/Estudios%20y%20certificaciones/ESTUDIOS%20DE%20PROGRAMMING/PROGRAMMING/PERSONAL/PYTHON/Image_Generator_API/imagenes/NAUTICA_MENS_208000606_B7H_3.jpg")</f>
        <v/>
      </c>
      <c r="O2264">
        <f>HYPERLINK("imagenes/NAUTICA_MENS_208000606_B7H_1.jpg","Ver imagen")</f>
        <v/>
      </c>
      <c r="P2264">
        <f>HYPERLINK("imagenes/NAUTICA_MENS_208000606_B7H_2.jpg","Ver imagen")</f>
        <v/>
      </c>
      <c r="Q2264">
        <f>HYPERLINK("imagenes/NAUTICA_MENS_208000606_B7H_3.jpg","Ver imagen")</f>
        <v/>
      </c>
    </row>
    <row r="2265">
      <c r="A2265" t="inlineStr">
        <is>
          <t>NAUTICA MENS</t>
        </is>
      </c>
      <c r="B2265" t="inlineStr">
        <is>
          <t>208000606</t>
        </is>
      </c>
      <c r="C2265" t="inlineStr">
        <is>
          <t>SOFTSHELL BONDED JACKET</t>
        </is>
      </c>
      <c r="D2265" t="inlineStr">
        <is>
          <t>B7H</t>
        </is>
      </c>
      <c r="E2265" t="inlineStr">
        <is>
          <t>(en blanco)</t>
        </is>
      </c>
      <c r="F2265" t="inlineStr">
        <is>
          <t>(en blanco)</t>
        </is>
      </c>
      <c r="G2265" t="inlineStr">
        <is>
          <t>XXL</t>
        </is>
      </c>
      <c r="H2265" t="n">
        <v>18</v>
      </c>
      <c r="I2265" t="inlineStr">
        <is>
          <t>NAUTICA_MENS_208000606_B7H_1.jpg</t>
        </is>
      </c>
      <c r="J2265" t="inlineStr">
        <is>
          <t>NAUTICA_MENS_208000606_B7H_2.jpg</t>
        </is>
      </c>
      <c r="K2265" t="inlineStr">
        <is>
          <t>NAUTICA_MENS_208000606_B7H_3.jpg</t>
        </is>
      </c>
      <c r="L2265">
        <f>IMAGE("file:///E:/Estudios%20y%20certificaciones/ESTUDIOS%20DE%20PROGRAMMING/PROGRAMMING/PERSONAL/PYTHON/Image_Generator_API/imagenes/NAUTICA_MENS_208000606_B7H_1.jpg")</f>
        <v/>
      </c>
      <c r="M2265">
        <f>IMAGE("file:///E:/Estudios%20y%20certificaciones/ESTUDIOS%20DE%20PROGRAMMING/PROGRAMMING/PERSONAL/PYTHON/Image_Generator_API/imagenes/NAUTICA_MENS_208000606_B7H_2.jpg")</f>
        <v/>
      </c>
      <c r="N2265">
        <f>IMAGE("file:///E:/Estudios%20y%20certificaciones/ESTUDIOS%20DE%20PROGRAMMING/PROGRAMMING/PERSONAL/PYTHON/Image_Generator_API/imagenes/NAUTICA_MENS_208000606_B7H_3.jpg")</f>
        <v/>
      </c>
      <c r="O2265">
        <f>HYPERLINK("imagenes/NAUTICA_MENS_208000606_B7H_1.jpg","Ver imagen")</f>
        <v/>
      </c>
      <c r="P2265">
        <f>HYPERLINK("imagenes/NAUTICA_MENS_208000606_B7H_2.jpg","Ver imagen")</f>
        <v/>
      </c>
      <c r="Q2265">
        <f>HYPERLINK("imagenes/NAUTICA_MENS_208000606_B7H_3.jpg","Ver imagen")</f>
        <v/>
      </c>
    </row>
    <row r="2266">
      <c r="A2266" t="inlineStr">
        <is>
          <t>NAUTICA MENS</t>
        </is>
      </c>
      <c r="B2266" t="inlineStr">
        <is>
          <t>208000606</t>
        </is>
      </c>
      <c r="C2266" t="inlineStr">
        <is>
          <t>SOFTSHELL BONDED JACKET</t>
        </is>
      </c>
      <c r="D2266" t="inlineStr">
        <is>
          <t>BLK</t>
        </is>
      </c>
      <c r="E2266" t="inlineStr">
        <is>
          <t>12A08</t>
        </is>
      </c>
      <c r="F2266" t="inlineStr">
        <is>
          <t>R2140</t>
        </is>
      </c>
      <c r="G2266" t="inlineStr">
        <is>
          <t>PPK</t>
        </is>
      </c>
      <c r="H2266" t="n">
        <v>0</v>
      </c>
      <c r="I2266" t="inlineStr">
        <is>
          <t>NAUTICA_MENS_208000606_BLK_1.jpg</t>
        </is>
      </c>
      <c r="J2266" t="inlineStr">
        <is>
          <t>NAUTICA_MENS_208000606_BLK_2.jpg</t>
        </is>
      </c>
      <c r="K2266" t="inlineStr">
        <is>
          <t>NAUTICA_MENS_208000606_BLK_3.jpg</t>
        </is>
      </c>
      <c r="L2266">
        <f>IMAGE("file:///E:/Estudios%20y%20certificaciones/ESTUDIOS%20DE%20PROGRAMMING/PROGRAMMING/PERSONAL/PYTHON/Image_Generator_API/imagenes/NAUTICA_MENS_208000606_BLK_1.jpg")</f>
        <v/>
      </c>
      <c r="M2266">
        <f>IMAGE("file:///E:/Estudios%20y%20certificaciones/ESTUDIOS%20DE%20PROGRAMMING/PROGRAMMING/PERSONAL/PYTHON/Image_Generator_API/imagenes/NAUTICA_MENS_208000606_BLK_2.jpg")</f>
        <v/>
      </c>
      <c r="N2266">
        <f>IMAGE("file:///E:/Estudios%20y%20certificaciones/ESTUDIOS%20DE%20PROGRAMMING/PROGRAMMING/PERSONAL/PYTHON/Image_Generator_API/imagenes/NAUTICA_MENS_208000606_BLK_3.jpg")</f>
        <v/>
      </c>
      <c r="O2266">
        <f>HYPERLINK("imagenes/NAUTICA_MENS_208000606_BLK_1.jpg","Ver imagen")</f>
        <v/>
      </c>
      <c r="P2266">
        <f>HYPERLINK("imagenes/NAUTICA_MENS_208000606_BLK_2.jpg","Ver imagen")</f>
        <v/>
      </c>
      <c r="Q2266">
        <f>HYPERLINK("imagenes/NAUTICA_MENS_208000606_BLK_3.jpg","Ver imagen")</f>
        <v/>
      </c>
    </row>
    <row r="2267">
      <c r="A2267" t="inlineStr">
        <is>
          <t>NAUTICA MENS</t>
        </is>
      </c>
      <c r="B2267" t="inlineStr">
        <is>
          <t>208000606</t>
        </is>
      </c>
      <c r="C2267" t="inlineStr">
        <is>
          <t>SOFTSHELL BONDED JACKET</t>
        </is>
      </c>
      <c r="D2267" t="inlineStr">
        <is>
          <t>BLK</t>
        </is>
      </c>
      <c r="E2267" t="inlineStr">
        <is>
          <t>(en blanco)</t>
        </is>
      </c>
      <c r="F2267" t="inlineStr">
        <is>
          <t>(en blanco)</t>
        </is>
      </c>
      <c r="G2267" t="inlineStr">
        <is>
          <t>M</t>
        </is>
      </c>
      <c r="H2267" t="n">
        <v>16</v>
      </c>
      <c r="I2267" t="inlineStr">
        <is>
          <t>NAUTICA_MENS_208000606_BLK_1.jpg</t>
        </is>
      </c>
      <c r="J2267" t="inlineStr">
        <is>
          <t>NAUTICA_MENS_208000606_BLK_2.jpg</t>
        </is>
      </c>
      <c r="K2267" t="inlineStr">
        <is>
          <t>NAUTICA_MENS_208000606_BLK_3.jpg</t>
        </is>
      </c>
      <c r="L2267">
        <f>IMAGE("file:///E:/Estudios%20y%20certificaciones/ESTUDIOS%20DE%20PROGRAMMING/PROGRAMMING/PERSONAL/PYTHON/Image_Generator_API/imagenes/NAUTICA_MENS_208000606_BLK_1.jpg")</f>
        <v/>
      </c>
      <c r="M2267">
        <f>IMAGE("file:///E:/Estudios%20y%20certificaciones/ESTUDIOS%20DE%20PROGRAMMING/PROGRAMMING/PERSONAL/PYTHON/Image_Generator_API/imagenes/NAUTICA_MENS_208000606_BLK_2.jpg")</f>
        <v/>
      </c>
      <c r="N2267">
        <f>IMAGE("file:///E:/Estudios%20y%20certificaciones/ESTUDIOS%20DE%20PROGRAMMING/PROGRAMMING/PERSONAL/PYTHON/Image_Generator_API/imagenes/NAUTICA_MENS_208000606_BLK_3.jpg")</f>
        <v/>
      </c>
      <c r="O2267">
        <f>HYPERLINK("imagenes/NAUTICA_MENS_208000606_BLK_1.jpg","Ver imagen")</f>
        <v/>
      </c>
      <c r="P2267">
        <f>HYPERLINK("imagenes/NAUTICA_MENS_208000606_BLK_2.jpg","Ver imagen")</f>
        <v/>
      </c>
      <c r="Q2267">
        <f>HYPERLINK("imagenes/NAUTICA_MENS_208000606_BLK_3.jpg","Ver imagen")</f>
        <v/>
      </c>
    </row>
    <row r="2268">
      <c r="A2268" t="inlineStr">
        <is>
          <t>NAUTICA MENS</t>
        </is>
      </c>
      <c r="B2268" t="inlineStr">
        <is>
          <t>208000606</t>
        </is>
      </c>
      <c r="C2268" t="inlineStr">
        <is>
          <t>SOFTSHELL BONDED JACKET</t>
        </is>
      </c>
      <c r="D2268" t="inlineStr">
        <is>
          <t>BLK</t>
        </is>
      </c>
      <c r="E2268" t="inlineStr">
        <is>
          <t>(en blanco)</t>
        </is>
      </c>
      <c r="F2268" t="inlineStr">
        <is>
          <t>(en blanco)</t>
        </is>
      </c>
      <c r="G2268" t="inlineStr">
        <is>
          <t>L</t>
        </is>
      </c>
      <c r="H2268" t="n">
        <v>29</v>
      </c>
      <c r="I2268" t="inlineStr">
        <is>
          <t>NAUTICA_MENS_208000606_BLK_1.jpg</t>
        </is>
      </c>
      <c r="J2268" t="inlineStr">
        <is>
          <t>NAUTICA_MENS_208000606_BLK_2.jpg</t>
        </is>
      </c>
      <c r="K2268" t="inlineStr">
        <is>
          <t>NAUTICA_MENS_208000606_BLK_3.jpg</t>
        </is>
      </c>
      <c r="L2268">
        <f>IMAGE("file:///E:/Estudios%20y%20certificaciones/ESTUDIOS%20DE%20PROGRAMMING/PROGRAMMING/PERSONAL/PYTHON/Image_Generator_API/imagenes/NAUTICA_MENS_208000606_BLK_1.jpg")</f>
        <v/>
      </c>
      <c r="M2268">
        <f>IMAGE("file:///E:/Estudios%20y%20certificaciones/ESTUDIOS%20DE%20PROGRAMMING/PROGRAMMING/PERSONAL/PYTHON/Image_Generator_API/imagenes/NAUTICA_MENS_208000606_BLK_2.jpg")</f>
        <v/>
      </c>
      <c r="N2268">
        <f>IMAGE("file:///E:/Estudios%20y%20certificaciones/ESTUDIOS%20DE%20PROGRAMMING/PROGRAMMING/PERSONAL/PYTHON/Image_Generator_API/imagenes/NAUTICA_MENS_208000606_BLK_3.jpg")</f>
        <v/>
      </c>
      <c r="O2268">
        <f>HYPERLINK("imagenes/NAUTICA_MENS_208000606_BLK_1.jpg","Ver imagen")</f>
        <v/>
      </c>
      <c r="P2268">
        <f>HYPERLINK("imagenes/NAUTICA_MENS_208000606_BLK_2.jpg","Ver imagen")</f>
        <v/>
      </c>
      <c r="Q2268">
        <f>HYPERLINK("imagenes/NAUTICA_MENS_208000606_BLK_3.jpg","Ver imagen")</f>
        <v/>
      </c>
    </row>
    <row r="2269">
      <c r="A2269" t="inlineStr">
        <is>
          <t>NAUTICA MENS</t>
        </is>
      </c>
      <c r="B2269" t="inlineStr">
        <is>
          <t>208000606</t>
        </is>
      </c>
      <c r="C2269" t="inlineStr">
        <is>
          <t>SOFTSHELL BONDED JACKET</t>
        </is>
      </c>
      <c r="D2269" t="inlineStr">
        <is>
          <t>BLK</t>
        </is>
      </c>
      <c r="E2269" t="inlineStr">
        <is>
          <t>(en blanco)</t>
        </is>
      </c>
      <c r="F2269" t="inlineStr">
        <is>
          <t>(en blanco)</t>
        </is>
      </c>
      <c r="G2269" t="inlineStr">
        <is>
          <t>XL</t>
        </is>
      </c>
      <c r="H2269" t="n">
        <v>35</v>
      </c>
      <c r="I2269" t="inlineStr">
        <is>
          <t>NAUTICA_MENS_208000606_BLK_1.jpg</t>
        </is>
      </c>
      <c r="J2269" t="inlineStr">
        <is>
          <t>NAUTICA_MENS_208000606_BLK_2.jpg</t>
        </is>
      </c>
      <c r="K2269" t="inlineStr">
        <is>
          <t>NAUTICA_MENS_208000606_BLK_3.jpg</t>
        </is>
      </c>
      <c r="L2269">
        <f>IMAGE("file:///E:/Estudios%20y%20certificaciones/ESTUDIOS%20DE%20PROGRAMMING/PROGRAMMING/PERSONAL/PYTHON/Image_Generator_API/imagenes/NAUTICA_MENS_208000606_BLK_1.jpg")</f>
        <v/>
      </c>
      <c r="M2269">
        <f>IMAGE("file:///E:/Estudios%20y%20certificaciones/ESTUDIOS%20DE%20PROGRAMMING/PROGRAMMING/PERSONAL/PYTHON/Image_Generator_API/imagenes/NAUTICA_MENS_208000606_BLK_2.jpg")</f>
        <v/>
      </c>
      <c r="N2269">
        <f>IMAGE("file:///E:/Estudios%20y%20certificaciones/ESTUDIOS%20DE%20PROGRAMMING/PROGRAMMING/PERSONAL/PYTHON/Image_Generator_API/imagenes/NAUTICA_MENS_208000606_BLK_3.jpg")</f>
        <v/>
      </c>
      <c r="O2269">
        <f>HYPERLINK("imagenes/NAUTICA_MENS_208000606_BLK_1.jpg","Ver imagen")</f>
        <v/>
      </c>
      <c r="P2269">
        <f>HYPERLINK("imagenes/NAUTICA_MENS_208000606_BLK_2.jpg","Ver imagen")</f>
        <v/>
      </c>
      <c r="Q2269">
        <f>HYPERLINK("imagenes/NAUTICA_MENS_208000606_BLK_3.jpg","Ver imagen")</f>
        <v/>
      </c>
    </row>
    <row r="2270">
      <c r="A2270" t="inlineStr">
        <is>
          <t>NAUTICA MENS</t>
        </is>
      </c>
      <c r="B2270" t="inlineStr">
        <is>
          <t>208000606</t>
        </is>
      </c>
      <c r="C2270" t="inlineStr">
        <is>
          <t>SOFTSHELL BONDED JACKET</t>
        </is>
      </c>
      <c r="D2270" t="inlineStr">
        <is>
          <t>BLK</t>
        </is>
      </c>
      <c r="E2270" t="inlineStr">
        <is>
          <t>(en blanco)</t>
        </is>
      </c>
      <c r="F2270" t="inlineStr">
        <is>
          <t>(en blanco)</t>
        </is>
      </c>
      <c r="G2270" t="inlineStr">
        <is>
          <t>XXL</t>
        </is>
      </c>
      <c r="H2270" t="n">
        <v>7</v>
      </c>
      <c r="I2270" t="inlineStr">
        <is>
          <t>NAUTICA_MENS_208000606_BLK_1.jpg</t>
        </is>
      </c>
      <c r="J2270" t="inlineStr">
        <is>
          <t>NAUTICA_MENS_208000606_BLK_2.jpg</t>
        </is>
      </c>
      <c r="K2270" t="inlineStr">
        <is>
          <t>NAUTICA_MENS_208000606_BLK_3.jpg</t>
        </is>
      </c>
      <c r="L2270">
        <f>IMAGE("file:///E:/Estudios%20y%20certificaciones/ESTUDIOS%20DE%20PROGRAMMING/PROGRAMMING/PERSONAL/PYTHON/Image_Generator_API/imagenes/NAUTICA_MENS_208000606_BLK_1.jpg")</f>
        <v/>
      </c>
      <c r="M2270">
        <f>IMAGE("file:///E:/Estudios%20y%20certificaciones/ESTUDIOS%20DE%20PROGRAMMING/PROGRAMMING/PERSONAL/PYTHON/Image_Generator_API/imagenes/NAUTICA_MENS_208000606_BLK_2.jpg")</f>
        <v/>
      </c>
      <c r="N2270">
        <f>IMAGE("file:///E:/Estudios%20y%20certificaciones/ESTUDIOS%20DE%20PROGRAMMING/PROGRAMMING/PERSONAL/PYTHON/Image_Generator_API/imagenes/NAUTICA_MENS_208000606_BLK_3.jpg")</f>
        <v/>
      </c>
      <c r="O2270">
        <f>HYPERLINK("imagenes/NAUTICA_MENS_208000606_BLK_1.jpg","Ver imagen")</f>
        <v/>
      </c>
      <c r="P2270">
        <f>HYPERLINK("imagenes/NAUTICA_MENS_208000606_BLK_2.jpg","Ver imagen")</f>
        <v/>
      </c>
      <c r="Q2270">
        <f>HYPERLINK("imagenes/NAUTICA_MENS_208000606_BLK_3.jpg","Ver imagen")</f>
        <v/>
      </c>
    </row>
    <row r="2271">
      <c r="A2271" t="inlineStr">
        <is>
          <t>NAUTICA MENS</t>
        </is>
      </c>
      <c r="B2271" t="inlineStr">
        <is>
          <t>208000606</t>
        </is>
      </c>
      <c r="C2271" t="inlineStr">
        <is>
          <t>SOFTSHELL BONDED JACKET</t>
        </is>
      </c>
      <c r="D2271" t="inlineStr">
        <is>
          <t>DFS</t>
        </is>
      </c>
      <c r="E2271" t="inlineStr">
        <is>
          <t>12A08</t>
        </is>
      </c>
      <c r="F2271" t="inlineStr">
        <is>
          <t>(en blanco)</t>
        </is>
      </c>
      <c r="G2271" t="inlineStr">
        <is>
          <t>PPK</t>
        </is>
      </c>
      <c r="H2271" t="n">
        <v>0</v>
      </c>
      <c r="I2271" t="inlineStr">
        <is>
          <t>NAUTICA_MENS_208000606_DFS_1.jpg</t>
        </is>
      </c>
      <c r="J2271" t="inlineStr">
        <is>
          <t>NAUTICA_MENS_208000606_DFS_2.jpg</t>
        </is>
      </c>
      <c r="K2271" t="inlineStr">
        <is>
          <t>NAUTICA_MENS_208000606_DFS_3.jpg</t>
        </is>
      </c>
      <c r="L2271">
        <f>IMAGE("file:///E:/Estudios%20y%20certificaciones/ESTUDIOS%20DE%20PROGRAMMING/PROGRAMMING/PERSONAL/PYTHON/Image_Generator_API/imagenes/NAUTICA_MENS_208000606_DFS_1.jpg")</f>
        <v/>
      </c>
      <c r="M2271">
        <f>IMAGE("file:///E:/Estudios%20y%20certificaciones/ESTUDIOS%20DE%20PROGRAMMING/PROGRAMMING/PERSONAL/PYTHON/Image_Generator_API/imagenes/NAUTICA_MENS_208000606_DFS_2.jpg")</f>
        <v/>
      </c>
      <c r="N2271">
        <f>IMAGE("file:///E:/Estudios%20y%20certificaciones/ESTUDIOS%20DE%20PROGRAMMING/PROGRAMMING/PERSONAL/PYTHON/Image_Generator_API/imagenes/NAUTICA_MENS_208000606_DFS_3.jpg")</f>
        <v/>
      </c>
      <c r="O2271">
        <f>HYPERLINK("imagenes/NAUTICA_MENS_208000606_DFS_1.jpg","Ver imagen")</f>
        <v/>
      </c>
      <c r="P2271">
        <f>HYPERLINK("imagenes/NAUTICA_MENS_208000606_DFS_2.jpg","Ver imagen")</f>
        <v/>
      </c>
      <c r="Q2271">
        <f>HYPERLINK("imagenes/NAUTICA_MENS_208000606_DFS_3.jpg","Ver imagen")</f>
        <v/>
      </c>
    </row>
    <row r="2272">
      <c r="A2272" t="inlineStr">
        <is>
          <t>NAUTICA MENS</t>
        </is>
      </c>
      <c r="B2272" t="inlineStr">
        <is>
          <t>208000606</t>
        </is>
      </c>
      <c r="C2272" t="inlineStr">
        <is>
          <t>SOFTSHELL BONDED JACKET</t>
        </is>
      </c>
      <c r="D2272" t="inlineStr">
        <is>
          <t>DFS</t>
        </is>
      </c>
      <c r="E2272" t="inlineStr">
        <is>
          <t>12A09</t>
        </is>
      </c>
      <c r="F2272" t="inlineStr">
        <is>
          <t>(en blanco)</t>
        </is>
      </c>
      <c r="G2272" t="inlineStr">
        <is>
          <t>PPK</t>
        </is>
      </c>
      <c r="H2272" t="n">
        <v>0</v>
      </c>
      <c r="I2272" t="inlineStr">
        <is>
          <t>NAUTICA_MENS_208000606_DFS_1.jpg</t>
        </is>
      </c>
      <c r="J2272" t="inlineStr">
        <is>
          <t>NAUTICA_MENS_208000606_DFS_2.jpg</t>
        </is>
      </c>
      <c r="K2272" t="inlineStr">
        <is>
          <t>NAUTICA_MENS_208000606_DFS_3.jpg</t>
        </is>
      </c>
      <c r="L2272">
        <f>IMAGE("file:///E:/Estudios%20y%20certificaciones/ESTUDIOS%20DE%20PROGRAMMING/PROGRAMMING/PERSONAL/PYTHON/Image_Generator_API/imagenes/NAUTICA_MENS_208000606_DFS_1.jpg")</f>
        <v/>
      </c>
      <c r="M2272">
        <f>IMAGE("file:///E:/Estudios%20y%20certificaciones/ESTUDIOS%20DE%20PROGRAMMING/PROGRAMMING/PERSONAL/PYTHON/Image_Generator_API/imagenes/NAUTICA_MENS_208000606_DFS_2.jpg")</f>
        <v/>
      </c>
      <c r="N2272">
        <f>IMAGE("file:///E:/Estudios%20y%20certificaciones/ESTUDIOS%20DE%20PROGRAMMING/PROGRAMMING/PERSONAL/PYTHON/Image_Generator_API/imagenes/NAUTICA_MENS_208000606_DFS_3.jpg")</f>
        <v/>
      </c>
      <c r="O2272">
        <f>HYPERLINK("imagenes/NAUTICA_MENS_208000606_DFS_1.jpg","Ver imagen")</f>
        <v/>
      </c>
      <c r="P2272">
        <f>HYPERLINK("imagenes/NAUTICA_MENS_208000606_DFS_2.jpg","Ver imagen")</f>
        <v/>
      </c>
      <c r="Q2272">
        <f>HYPERLINK("imagenes/NAUTICA_MENS_208000606_DFS_3.jpg","Ver imagen")</f>
        <v/>
      </c>
    </row>
    <row r="2273">
      <c r="A2273" t="inlineStr">
        <is>
          <t>NAUTICA MENS</t>
        </is>
      </c>
      <c r="B2273" t="inlineStr">
        <is>
          <t>208000606</t>
        </is>
      </c>
      <c r="C2273" t="inlineStr">
        <is>
          <t>SOFTSHELL BONDED JACKET</t>
        </is>
      </c>
      <c r="D2273" t="inlineStr">
        <is>
          <t>GYH</t>
        </is>
      </c>
      <c r="E2273" t="inlineStr">
        <is>
          <t>(en blanco)</t>
        </is>
      </c>
      <c r="F2273" t="inlineStr">
        <is>
          <t>(en blanco)</t>
        </is>
      </c>
      <c r="G2273" t="inlineStr">
        <is>
          <t>M</t>
        </is>
      </c>
      <c r="H2273" t="n">
        <v>17</v>
      </c>
      <c r="I2273" t="inlineStr">
        <is>
          <t>NAUTICA_MENS_208000606_GYH_1.jpg</t>
        </is>
      </c>
      <c r="J2273" t="inlineStr">
        <is>
          <t>NAUTICA_MENS_208000606_GYH_2.jpg</t>
        </is>
      </c>
      <c r="K2273" t="inlineStr">
        <is>
          <t>NAUTICA_MENS_208000606_GYH_3.jpg</t>
        </is>
      </c>
      <c r="L2273">
        <f>IMAGE("file:///E:/Estudios%20y%20certificaciones/ESTUDIOS%20DE%20PROGRAMMING/PROGRAMMING/PERSONAL/PYTHON/Image_Generator_API/imagenes/NAUTICA_MENS_208000606_GYH_1.jpg")</f>
        <v/>
      </c>
      <c r="M2273">
        <f>IMAGE("file:///E:/Estudios%20y%20certificaciones/ESTUDIOS%20DE%20PROGRAMMING/PROGRAMMING/PERSONAL/PYTHON/Image_Generator_API/imagenes/NAUTICA_MENS_208000606_GYH_2.jpg")</f>
        <v/>
      </c>
      <c r="N2273">
        <f>IMAGE("file:///E:/Estudios%20y%20certificaciones/ESTUDIOS%20DE%20PROGRAMMING/PROGRAMMING/PERSONAL/PYTHON/Image_Generator_API/imagenes/NAUTICA_MENS_208000606_GYH_3.jpg")</f>
        <v/>
      </c>
      <c r="O2273">
        <f>HYPERLINK("imagenes/NAUTICA_MENS_208000606_GYH_1.jpg","Ver imagen")</f>
        <v/>
      </c>
      <c r="P2273">
        <f>HYPERLINK("imagenes/NAUTICA_MENS_208000606_GYH_2.jpg","Ver imagen")</f>
        <v/>
      </c>
      <c r="Q2273">
        <f>HYPERLINK("imagenes/NAUTICA_MENS_208000606_GYH_3.jpg","Ver imagen")</f>
        <v/>
      </c>
    </row>
    <row r="2274">
      <c r="A2274" t="inlineStr">
        <is>
          <t>NAUTICA MENS</t>
        </is>
      </c>
      <c r="B2274" t="inlineStr">
        <is>
          <t>208000606</t>
        </is>
      </c>
      <c r="C2274" t="inlineStr">
        <is>
          <t>SOFTSHELL BONDED JACKET</t>
        </is>
      </c>
      <c r="D2274" t="inlineStr">
        <is>
          <t>GYH</t>
        </is>
      </c>
      <c r="E2274" t="inlineStr">
        <is>
          <t>(en blanco)</t>
        </is>
      </c>
      <c r="F2274" t="inlineStr">
        <is>
          <t>(en blanco)</t>
        </is>
      </c>
      <c r="G2274" t="inlineStr">
        <is>
          <t>L</t>
        </is>
      </c>
      <c r="H2274" t="n">
        <v>41</v>
      </c>
      <c r="I2274" t="inlineStr">
        <is>
          <t>NAUTICA_MENS_208000606_GYH_1.jpg</t>
        </is>
      </c>
      <c r="J2274" t="inlineStr">
        <is>
          <t>NAUTICA_MENS_208000606_GYH_2.jpg</t>
        </is>
      </c>
      <c r="K2274" t="inlineStr">
        <is>
          <t>NAUTICA_MENS_208000606_GYH_3.jpg</t>
        </is>
      </c>
      <c r="L2274">
        <f>IMAGE("file:///E:/Estudios%20y%20certificaciones/ESTUDIOS%20DE%20PROGRAMMING/PROGRAMMING/PERSONAL/PYTHON/Image_Generator_API/imagenes/NAUTICA_MENS_208000606_GYH_1.jpg")</f>
        <v/>
      </c>
      <c r="M2274">
        <f>IMAGE("file:///E:/Estudios%20y%20certificaciones/ESTUDIOS%20DE%20PROGRAMMING/PROGRAMMING/PERSONAL/PYTHON/Image_Generator_API/imagenes/NAUTICA_MENS_208000606_GYH_2.jpg")</f>
        <v/>
      </c>
      <c r="N2274">
        <f>IMAGE("file:///E:/Estudios%20y%20certificaciones/ESTUDIOS%20DE%20PROGRAMMING/PROGRAMMING/PERSONAL/PYTHON/Image_Generator_API/imagenes/NAUTICA_MENS_208000606_GYH_3.jpg")</f>
        <v/>
      </c>
      <c r="O2274">
        <f>HYPERLINK("imagenes/NAUTICA_MENS_208000606_GYH_1.jpg","Ver imagen")</f>
        <v/>
      </c>
      <c r="P2274">
        <f>HYPERLINK("imagenes/NAUTICA_MENS_208000606_GYH_2.jpg","Ver imagen")</f>
        <v/>
      </c>
      <c r="Q2274">
        <f>HYPERLINK("imagenes/NAUTICA_MENS_208000606_GYH_3.jpg","Ver imagen")</f>
        <v/>
      </c>
    </row>
    <row r="2275">
      <c r="A2275" t="inlineStr">
        <is>
          <t>NAUTICA MENS</t>
        </is>
      </c>
      <c r="B2275" t="inlineStr">
        <is>
          <t>208000606</t>
        </is>
      </c>
      <c r="C2275" t="inlineStr">
        <is>
          <t>SOFTSHELL BONDED JACKET</t>
        </is>
      </c>
      <c r="D2275" t="inlineStr">
        <is>
          <t>GYH</t>
        </is>
      </c>
      <c r="E2275" t="inlineStr">
        <is>
          <t>(en blanco)</t>
        </is>
      </c>
      <c r="F2275" t="inlineStr">
        <is>
          <t>(en blanco)</t>
        </is>
      </c>
      <c r="G2275" t="inlineStr">
        <is>
          <t>XL</t>
        </is>
      </c>
      <c r="H2275" t="n">
        <v>46</v>
      </c>
      <c r="I2275" t="inlineStr">
        <is>
          <t>NAUTICA_MENS_208000606_GYH_1.jpg</t>
        </is>
      </c>
      <c r="J2275" t="inlineStr">
        <is>
          <t>NAUTICA_MENS_208000606_GYH_2.jpg</t>
        </is>
      </c>
      <c r="K2275" t="inlineStr">
        <is>
          <t>NAUTICA_MENS_208000606_GYH_3.jpg</t>
        </is>
      </c>
      <c r="L2275">
        <f>IMAGE("file:///E:/Estudios%20y%20certificaciones/ESTUDIOS%20DE%20PROGRAMMING/PROGRAMMING/PERSONAL/PYTHON/Image_Generator_API/imagenes/NAUTICA_MENS_208000606_GYH_1.jpg")</f>
        <v/>
      </c>
      <c r="M2275">
        <f>IMAGE("file:///E:/Estudios%20y%20certificaciones/ESTUDIOS%20DE%20PROGRAMMING/PROGRAMMING/PERSONAL/PYTHON/Image_Generator_API/imagenes/NAUTICA_MENS_208000606_GYH_2.jpg")</f>
        <v/>
      </c>
      <c r="N2275">
        <f>IMAGE("file:///E:/Estudios%20y%20certificaciones/ESTUDIOS%20DE%20PROGRAMMING/PROGRAMMING/PERSONAL/PYTHON/Image_Generator_API/imagenes/NAUTICA_MENS_208000606_GYH_3.jpg")</f>
        <v/>
      </c>
      <c r="O2275">
        <f>HYPERLINK("imagenes/NAUTICA_MENS_208000606_GYH_1.jpg","Ver imagen")</f>
        <v/>
      </c>
      <c r="P2275">
        <f>HYPERLINK("imagenes/NAUTICA_MENS_208000606_GYH_2.jpg","Ver imagen")</f>
        <v/>
      </c>
      <c r="Q2275">
        <f>HYPERLINK("imagenes/NAUTICA_MENS_208000606_GYH_3.jpg","Ver imagen")</f>
        <v/>
      </c>
    </row>
    <row r="2276">
      <c r="A2276" t="inlineStr">
        <is>
          <t>NAUTICA MENS</t>
        </is>
      </c>
      <c r="B2276" t="inlineStr">
        <is>
          <t>208000606</t>
        </is>
      </c>
      <c r="C2276" t="inlineStr">
        <is>
          <t>SOFTSHELL BONDED JACKET</t>
        </is>
      </c>
      <c r="D2276" t="inlineStr">
        <is>
          <t>GYH</t>
        </is>
      </c>
      <c r="E2276" t="inlineStr">
        <is>
          <t>(en blanco)</t>
        </is>
      </c>
      <c r="F2276" t="inlineStr">
        <is>
          <t>(en blanco)</t>
        </is>
      </c>
      <c r="G2276" t="inlineStr">
        <is>
          <t>XXL</t>
        </is>
      </c>
      <c r="H2276" t="n">
        <v>20</v>
      </c>
      <c r="I2276" t="inlineStr">
        <is>
          <t>NAUTICA_MENS_208000606_GYH_1.jpg</t>
        </is>
      </c>
      <c r="J2276" t="inlineStr">
        <is>
          <t>NAUTICA_MENS_208000606_GYH_2.jpg</t>
        </is>
      </c>
      <c r="K2276" t="inlineStr">
        <is>
          <t>NAUTICA_MENS_208000606_GYH_3.jpg</t>
        </is>
      </c>
      <c r="L2276">
        <f>IMAGE("file:///E:/Estudios%20y%20certificaciones/ESTUDIOS%20DE%20PROGRAMMING/PROGRAMMING/PERSONAL/PYTHON/Image_Generator_API/imagenes/NAUTICA_MENS_208000606_GYH_1.jpg")</f>
        <v/>
      </c>
      <c r="M2276">
        <f>IMAGE("file:///E:/Estudios%20y%20certificaciones/ESTUDIOS%20DE%20PROGRAMMING/PROGRAMMING/PERSONAL/PYTHON/Image_Generator_API/imagenes/NAUTICA_MENS_208000606_GYH_2.jpg")</f>
        <v/>
      </c>
      <c r="N2276">
        <f>IMAGE("file:///E:/Estudios%20y%20certificaciones/ESTUDIOS%20DE%20PROGRAMMING/PROGRAMMING/PERSONAL/PYTHON/Image_Generator_API/imagenes/NAUTICA_MENS_208000606_GYH_3.jpg")</f>
        <v/>
      </c>
      <c r="O2276">
        <f>HYPERLINK("imagenes/NAUTICA_MENS_208000606_GYH_1.jpg","Ver imagen")</f>
        <v/>
      </c>
      <c r="P2276">
        <f>HYPERLINK("imagenes/NAUTICA_MENS_208000606_GYH_2.jpg","Ver imagen")</f>
        <v/>
      </c>
      <c r="Q2276">
        <f>HYPERLINK("imagenes/NAUTICA_MENS_208000606_GYH_3.jpg","Ver imagen")</f>
        <v/>
      </c>
    </row>
    <row r="2277">
      <c r="A2277" t="inlineStr">
        <is>
          <t>NAUTICA MENS</t>
        </is>
      </c>
      <c r="B2277" t="inlineStr">
        <is>
          <t>208000606</t>
        </is>
      </c>
      <c r="C2277" t="inlineStr">
        <is>
          <t>SOFTSHELL BONDED JACKET</t>
        </is>
      </c>
      <c r="D2277" t="inlineStr">
        <is>
          <t>NVY</t>
        </is>
      </c>
      <c r="E2277" t="inlineStr">
        <is>
          <t>12A08</t>
        </is>
      </c>
      <c r="F2277" t="inlineStr">
        <is>
          <t>R2140</t>
        </is>
      </c>
      <c r="G2277" t="inlineStr">
        <is>
          <t>PPK</t>
        </is>
      </c>
      <c r="H2277" t="n">
        <v>0</v>
      </c>
      <c r="I2277" t="inlineStr">
        <is>
          <t>NAUTICA_MENS_208000606_NVY_1.jpg</t>
        </is>
      </c>
      <c r="J2277" t="inlineStr">
        <is>
          <t>NAUTICA_MENS_208000606_NVY_2.jpg</t>
        </is>
      </c>
      <c r="K2277" t="inlineStr">
        <is>
          <t>NAUTICA_MENS_208000606_NVY_3.jpg</t>
        </is>
      </c>
      <c r="L2277">
        <f>IMAGE("file:///E:/Estudios%20y%20certificaciones/ESTUDIOS%20DE%20PROGRAMMING/PROGRAMMING/PERSONAL/PYTHON/Image_Generator_API/imagenes/NAUTICA_MENS_208000606_NVY_1.jpg")</f>
        <v/>
      </c>
      <c r="M2277">
        <f>IMAGE("file:///E:/Estudios%20y%20certificaciones/ESTUDIOS%20DE%20PROGRAMMING/PROGRAMMING/PERSONAL/PYTHON/Image_Generator_API/imagenes/NAUTICA_MENS_208000606_NVY_2.jpg")</f>
        <v/>
      </c>
      <c r="N2277">
        <f>IMAGE("file:///E:/Estudios%20y%20certificaciones/ESTUDIOS%20DE%20PROGRAMMING/PROGRAMMING/PERSONAL/PYTHON/Image_Generator_API/imagenes/NAUTICA_MENS_208000606_NVY_3.jpg")</f>
        <v/>
      </c>
      <c r="O2277">
        <f>HYPERLINK("imagenes/NAUTICA_MENS_208000606_NVY_1.jpg","Ver imagen")</f>
        <v/>
      </c>
      <c r="P2277">
        <f>HYPERLINK("imagenes/NAUTICA_MENS_208000606_NVY_2.jpg","Ver imagen")</f>
        <v/>
      </c>
      <c r="Q2277">
        <f>HYPERLINK("imagenes/NAUTICA_MENS_208000606_NVY_3.jpg","Ver imagen")</f>
        <v/>
      </c>
    </row>
    <row r="2278">
      <c r="A2278" t="inlineStr">
        <is>
          <t>NAUTICA MENS</t>
        </is>
      </c>
      <c r="B2278" t="inlineStr">
        <is>
          <t>208000606</t>
        </is>
      </c>
      <c r="C2278" t="inlineStr">
        <is>
          <t>SOFTSHELL BONDED JACKET</t>
        </is>
      </c>
      <c r="D2278" t="inlineStr">
        <is>
          <t>OLB</t>
        </is>
      </c>
      <c r="E2278" t="inlineStr">
        <is>
          <t>(en blanco)</t>
        </is>
      </c>
      <c r="F2278" t="inlineStr">
        <is>
          <t>(en blanco)</t>
        </is>
      </c>
      <c r="G2278" t="inlineStr">
        <is>
          <t>L</t>
        </is>
      </c>
      <c r="H2278" t="n">
        <v>9</v>
      </c>
      <c r="I2278" t="inlineStr">
        <is>
          <t>NAUTICA_MENS_208000606_OLB_1.jpg</t>
        </is>
      </c>
      <c r="J2278" t="inlineStr">
        <is>
          <t>NAUTICA_MENS_208000606_OLB_2.jpg</t>
        </is>
      </c>
      <c r="K2278" t="inlineStr">
        <is>
          <t>NAUTICA_MENS_208000606_OLB_3.jpg</t>
        </is>
      </c>
      <c r="L2278">
        <f>IMAGE("file:///E:/Estudios%20y%20certificaciones/ESTUDIOS%20DE%20PROGRAMMING/PROGRAMMING/PERSONAL/PYTHON/Image_Generator_API/imagenes/NAUTICA_MENS_208000606_OLB_1.jpg")</f>
        <v/>
      </c>
      <c r="M2278">
        <f>IMAGE("file:///E:/Estudios%20y%20certificaciones/ESTUDIOS%20DE%20PROGRAMMING/PROGRAMMING/PERSONAL/PYTHON/Image_Generator_API/imagenes/NAUTICA_MENS_208000606_OLB_2.jpg")</f>
        <v/>
      </c>
      <c r="N2278">
        <f>IMAGE("file:///E:/Estudios%20y%20certificaciones/ESTUDIOS%20DE%20PROGRAMMING/PROGRAMMING/PERSONAL/PYTHON/Image_Generator_API/imagenes/NAUTICA_MENS_208000606_OLB_3.jpg")</f>
        <v/>
      </c>
      <c r="O2278">
        <f>HYPERLINK("imagenes/NAUTICA_MENS_208000606_OLB_1.jpg","Ver imagen")</f>
        <v/>
      </c>
      <c r="P2278">
        <f>HYPERLINK("imagenes/NAUTICA_MENS_208000606_OLB_2.jpg","Ver imagen")</f>
        <v/>
      </c>
      <c r="Q2278">
        <f>HYPERLINK("imagenes/NAUTICA_MENS_208000606_OLB_3.jpg","Ver imagen")</f>
        <v/>
      </c>
    </row>
    <row r="2279">
      <c r="A2279" t="inlineStr">
        <is>
          <t>NAUTICA MENS</t>
        </is>
      </c>
      <c r="B2279" t="inlineStr">
        <is>
          <t>208000606</t>
        </is>
      </c>
      <c r="C2279" t="inlineStr">
        <is>
          <t>SOFTSHELL BONDED JACKET</t>
        </is>
      </c>
      <c r="D2279" t="inlineStr">
        <is>
          <t>OLB</t>
        </is>
      </c>
      <c r="E2279" t="inlineStr">
        <is>
          <t>(en blanco)</t>
        </is>
      </c>
      <c r="F2279" t="inlineStr">
        <is>
          <t>(en blanco)</t>
        </is>
      </c>
      <c r="G2279" t="inlineStr">
        <is>
          <t>XL</t>
        </is>
      </c>
      <c r="H2279" t="n">
        <v>22</v>
      </c>
      <c r="I2279" t="inlineStr">
        <is>
          <t>NAUTICA_MENS_208000606_OLB_1.jpg</t>
        </is>
      </c>
      <c r="J2279" t="inlineStr">
        <is>
          <t>NAUTICA_MENS_208000606_OLB_2.jpg</t>
        </is>
      </c>
      <c r="K2279" t="inlineStr">
        <is>
          <t>NAUTICA_MENS_208000606_OLB_3.jpg</t>
        </is>
      </c>
      <c r="L2279">
        <f>IMAGE("file:///E:/Estudios%20y%20certificaciones/ESTUDIOS%20DE%20PROGRAMMING/PROGRAMMING/PERSONAL/PYTHON/Image_Generator_API/imagenes/NAUTICA_MENS_208000606_OLB_1.jpg")</f>
        <v/>
      </c>
      <c r="M2279">
        <f>IMAGE("file:///E:/Estudios%20y%20certificaciones/ESTUDIOS%20DE%20PROGRAMMING/PROGRAMMING/PERSONAL/PYTHON/Image_Generator_API/imagenes/NAUTICA_MENS_208000606_OLB_2.jpg")</f>
        <v/>
      </c>
      <c r="N2279">
        <f>IMAGE("file:///E:/Estudios%20y%20certificaciones/ESTUDIOS%20DE%20PROGRAMMING/PROGRAMMING/PERSONAL/PYTHON/Image_Generator_API/imagenes/NAUTICA_MENS_208000606_OLB_3.jpg")</f>
        <v/>
      </c>
      <c r="O2279">
        <f>HYPERLINK("imagenes/NAUTICA_MENS_208000606_OLB_1.jpg","Ver imagen")</f>
        <v/>
      </c>
      <c r="P2279">
        <f>HYPERLINK("imagenes/NAUTICA_MENS_208000606_OLB_2.jpg","Ver imagen")</f>
        <v/>
      </c>
      <c r="Q2279">
        <f>HYPERLINK("imagenes/NAUTICA_MENS_208000606_OLB_3.jpg","Ver imagen")</f>
        <v/>
      </c>
    </row>
    <row r="2280">
      <c r="A2280" t="inlineStr">
        <is>
          <t>NAUTICA MENS</t>
        </is>
      </c>
      <c r="B2280" t="inlineStr">
        <is>
          <t>208000606</t>
        </is>
      </c>
      <c r="C2280" t="inlineStr">
        <is>
          <t>SOFTSHELL BONDED JACKET</t>
        </is>
      </c>
      <c r="D2280" t="inlineStr">
        <is>
          <t>OLB</t>
        </is>
      </c>
      <c r="E2280" t="inlineStr">
        <is>
          <t>(en blanco)</t>
        </is>
      </c>
      <c r="F2280" t="inlineStr">
        <is>
          <t>(en blanco)</t>
        </is>
      </c>
      <c r="G2280" t="inlineStr">
        <is>
          <t>XXL</t>
        </is>
      </c>
      <c r="H2280" t="n">
        <v>4</v>
      </c>
      <c r="I2280" t="inlineStr">
        <is>
          <t>NAUTICA_MENS_208000606_OLB_1.jpg</t>
        </is>
      </c>
      <c r="J2280" t="inlineStr">
        <is>
          <t>NAUTICA_MENS_208000606_OLB_2.jpg</t>
        </is>
      </c>
      <c r="K2280" t="inlineStr">
        <is>
          <t>NAUTICA_MENS_208000606_OLB_3.jpg</t>
        </is>
      </c>
      <c r="L2280">
        <f>IMAGE("file:///E:/Estudios%20y%20certificaciones/ESTUDIOS%20DE%20PROGRAMMING/PROGRAMMING/PERSONAL/PYTHON/Image_Generator_API/imagenes/NAUTICA_MENS_208000606_OLB_1.jpg")</f>
        <v/>
      </c>
      <c r="M2280">
        <f>IMAGE("file:///E:/Estudios%20y%20certificaciones/ESTUDIOS%20DE%20PROGRAMMING/PROGRAMMING/PERSONAL/PYTHON/Image_Generator_API/imagenes/NAUTICA_MENS_208000606_OLB_2.jpg")</f>
        <v/>
      </c>
      <c r="N2280">
        <f>IMAGE("file:///E:/Estudios%20y%20certificaciones/ESTUDIOS%20DE%20PROGRAMMING/PROGRAMMING/PERSONAL/PYTHON/Image_Generator_API/imagenes/NAUTICA_MENS_208000606_OLB_3.jpg")</f>
        <v/>
      </c>
      <c r="O2280">
        <f>HYPERLINK("imagenes/NAUTICA_MENS_208000606_OLB_1.jpg","Ver imagen")</f>
        <v/>
      </c>
      <c r="P2280">
        <f>HYPERLINK("imagenes/NAUTICA_MENS_208000606_OLB_2.jpg","Ver imagen")</f>
        <v/>
      </c>
      <c r="Q2280">
        <f>HYPERLINK("imagenes/NAUTICA_MENS_208000606_OLB_3.jpg","Ver imagen")</f>
        <v/>
      </c>
    </row>
    <row r="2281">
      <c r="A2281" t="inlineStr">
        <is>
          <t>NAUTICA MENS</t>
        </is>
      </c>
      <c r="B2281" t="inlineStr">
        <is>
          <t>208000606</t>
        </is>
      </c>
      <c r="C2281" t="inlineStr">
        <is>
          <t>SOFTSHELL BONDED JACKET</t>
        </is>
      </c>
      <c r="D2281" t="inlineStr">
        <is>
          <t>SMG</t>
        </is>
      </c>
      <c r="E2281" t="inlineStr">
        <is>
          <t>12A08</t>
        </is>
      </c>
      <c r="F2281" t="inlineStr">
        <is>
          <t>R2140</t>
        </is>
      </c>
      <c r="G2281" t="inlineStr">
        <is>
          <t>PPK</t>
        </is>
      </c>
      <c r="H2281" t="n">
        <v>0</v>
      </c>
      <c r="I2281" t="inlineStr">
        <is>
          <t>NAUTICA_MENS_208000606_SMG_1.jpg</t>
        </is>
      </c>
      <c r="J2281" t="inlineStr">
        <is>
          <t>NAUTICA_MENS_208000606_SMG_2.jpg</t>
        </is>
      </c>
      <c r="K2281" t="inlineStr">
        <is>
          <t>NAUTICA_MENS_208000606_SMG_3.jpg</t>
        </is>
      </c>
      <c r="L2281">
        <f>IMAGE("file:///E:/Estudios%20y%20certificaciones/ESTUDIOS%20DE%20PROGRAMMING/PROGRAMMING/PERSONAL/PYTHON/Image_Generator_API/imagenes/NAUTICA_MENS_208000606_SMG_1.jpg")</f>
        <v/>
      </c>
      <c r="M2281">
        <f>IMAGE("file:///E:/Estudios%20y%20certificaciones/ESTUDIOS%20DE%20PROGRAMMING/PROGRAMMING/PERSONAL/PYTHON/Image_Generator_API/imagenes/NAUTICA_MENS_208000606_SMG_2.jpg")</f>
        <v/>
      </c>
      <c r="N2281">
        <f>IMAGE("file:///E:/Estudios%20y%20certificaciones/ESTUDIOS%20DE%20PROGRAMMING/PROGRAMMING/PERSONAL/PYTHON/Image_Generator_API/imagenes/NAUTICA_MENS_208000606_SMG_3.jpg")</f>
        <v/>
      </c>
      <c r="O2281">
        <f>HYPERLINK("imagenes/NAUTICA_MENS_208000606_SMG_1.jpg","Ver imagen")</f>
        <v/>
      </c>
      <c r="P2281">
        <f>HYPERLINK("imagenes/NAUTICA_MENS_208000606_SMG_2.jpg","Ver imagen")</f>
        <v/>
      </c>
      <c r="Q2281">
        <f>HYPERLINK("imagenes/NAUTICA_MENS_208000606_SMG_3.jpg","Ver imagen")</f>
        <v/>
      </c>
    </row>
    <row r="2282">
      <c r="A2282" t="inlineStr">
        <is>
          <t>NAUTICA MENS</t>
        </is>
      </c>
      <c r="B2282" t="inlineStr">
        <is>
          <t>208000606</t>
        </is>
      </c>
      <c r="C2282" t="inlineStr">
        <is>
          <t>SOFTSHELL BONDED JACKET</t>
        </is>
      </c>
      <c r="D2282" t="inlineStr">
        <is>
          <t>SMG</t>
        </is>
      </c>
      <c r="E2282" t="inlineStr">
        <is>
          <t>12A08</t>
        </is>
      </c>
      <c r="F2282" t="inlineStr">
        <is>
          <t>(en blanco)</t>
        </is>
      </c>
      <c r="G2282" t="inlineStr">
        <is>
          <t>PPK</t>
        </is>
      </c>
      <c r="H2282" t="n">
        <v>0</v>
      </c>
      <c r="I2282" t="inlineStr">
        <is>
          <t>NAUTICA_MENS_208000606_SMG_1.jpg</t>
        </is>
      </c>
      <c r="J2282" t="inlineStr">
        <is>
          <t>NAUTICA_MENS_208000606_SMG_2.jpg</t>
        </is>
      </c>
      <c r="K2282" t="inlineStr">
        <is>
          <t>NAUTICA_MENS_208000606_SMG_3.jpg</t>
        </is>
      </c>
      <c r="L2282">
        <f>IMAGE("file:///E:/Estudios%20y%20certificaciones/ESTUDIOS%20DE%20PROGRAMMING/PROGRAMMING/PERSONAL/PYTHON/Image_Generator_API/imagenes/NAUTICA_MENS_208000606_SMG_1.jpg")</f>
        <v/>
      </c>
      <c r="M2282">
        <f>IMAGE("file:///E:/Estudios%20y%20certificaciones/ESTUDIOS%20DE%20PROGRAMMING/PROGRAMMING/PERSONAL/PYTHON/Image_Generator_API/imagenes/NAUTICA_MENS_208000606_SMG_2.jpg")</f>
        <v/>
      </c>
      <c r="N2282">
        <f>IMAGE("file:///E:/Estudios%20y%20certificaciones/ESTUDIOS%20DE%20PROGRAMMING/PROGRAMMING/PERSONAL/PYTHON/Image_Generator_API/imagenes/NAUTICA_MENS_208000606_SMG_3.jpg")</f>
        <v/>
      </c>
      <c r="O2282">
        <f>HYPERLINK("imagenes/NAUTICA_MENS_208000606_SMG_1.jpg","Ver imagen")</f>
        <v/>
      </c>
      <c r="P2282">
        <f>HYPERLINK("imagenes/NAUTICA_MENS_208000606_SMG_2.jpg","Ver imagen")</f>
        <v/>
      </c>
      <c r="Q2282">
        <f>HYPERLINK("imagenes/NAUTICA_MENS_208000606_SMG_3.jpg","Ver imagen")</f>
        <v/>
      </c>
    </row>
    <row r="2283">
      <c r="A2283" t="inlineStr">
        <is>
          <t>NAUTICA MENS</t>
        </is>
      </c>
      <c r="B2283" t="inlineStr">
        <is>
          <t>208000606</t>
        </is>
      </c>
      <c r="C2283" t="inlineStr">
        <is>
          <t>SOFTSHELL BONDED JACKET</t>
        </is>
      </c>
      <c r="D2283" t="inlineStr">
        <is>
          <t>SMG</t>
        </is>
      </c>
      <c r="E2283" t="inlineStr">
        <is>
          <t>12A09</t>
        </is>
      </c>
      <c r="F2283" t="inlineStr">
        <is>
          <t>(en blanco)</t>
        </is>
      </c>
      <c r="G2283" t="inlineStr">
        <is>
          <t>PPK</t>
        </is>
      </c>
      <c r="H2283" t="n">
        <v>0</v>
      </c>
      <c r="I2283" t="inlineStr">
        <is>
          <t>NAUTICA_MENS_208000606_SMG_1.jpg</t>
        </is>
      </c>
      <c r="J2283" t="inlineStr">
        <is>
          <t>NAUTICA_MENS_208000606_SMG_2.jpg</t>
        </is>
      </c>
      <c r="K2283" t="inlineStr">
        <is>
          <t>NAUTICA_MENS_208000606_SMG_3.jpg</t>
        </is>
      </c>
      <c r="L2283">
        <f>IMAGE("file:///E:/Estudios%20y%20certificaciones/ESTUDIOS%20DE%20PROGRAMMING/PROGRAMMING/PERSONAL/PYTHON/Image_Generator_API/imagenes/NAUTICA_MENS_208000606_SMG_1.jpg")</f>
        <v/>
      </c>
      <c r="M2283">
        <f>IMAGE("file:///E:/Estudios%20y%20certificaciones/ESTUDIOS%20DE%20PROGRAMMING/PROGRAMMING/PERSONAL/PYTHON/Image_Generator_API/imagenes/NAUTICA_MENS_208000606_SMG_2.jpg")</f>
        <v/>
      </c>
      <c r="N2283">
        <f>IMAGE("file:///E:/Estudios%20y%20certificaciones/ESTUDIOS%20DE%20PROGRAMMING/PROGRAMMING/PERSONAL/PYTHON/Image_Generator_API/imagenes/NAUTICA_MENS_208000606_SMG_3.jpg")</f>
        <v/>
      </c>
      <c r="O2283">
        <f>HYPERLINK("imagenes/NAUTICA_MENS_208000606_SMG_1.jpg","Ver imagen")</f>
        <v/>
      </c>
      <c r="P2283">
        <f>HYPERLINK("imagenes/NAUTICA_MENS_208000606_SMG_2.jpg","Ver imagen")</f>
        <v/>
      </c>
      <c r="Q2283">
        <f>HYPERLINK("imagenes/NAUTICA_MENS_208000606_SMG_3.jpg","Ver imagen")</f>
        <v/>
      </c>
    </row>
    <row r="2284">
      <c r="A2284" t="inlineStr">
        <is>
          <t>NAUTICA MENS</t>
        </is>
      </c>
      <c r="B2284" t="inlineStr">
        <is>
          <t>208000606</t>
        </is>
      </c>
      <c r="C2284" t="inlineStr">
        <is>
          <t>SOFTSHELL BONDED JACKET</t>
        </is>
      </c>
      <c r="D2284" t="inlineStr">
        <is>
          <t>TAU</t>
        </is>
      </c>
      <c r="E2284" t="inlineStr">
        <is>
          <t>12A08</t>
        </is>
      </c>
      <c r="F2284" t="inlineStr">
        <is>
          <t>R2140</t>
        </is>
      </c>
      <c r="G2284" t="inlineStr">
        <is>
          <t>PPK</t>
        </is>
      </c>
      <c r="H2284" t="n">
        <v>0</v>
      </c>
      <c r="I2284" t="inlineStr">
        <is>
          <t>NAUTICA_MENS_208000606_TAU_1.jpg</t>
        </is>
      </c>
      <c r="J2284" t="inlineStr">
        <is>
          <t>NAUTICA_MENS_208000606_TAU_2.jpg</t>
        </is>
      </c>
      <c r="K2284" t="inlineStr">
        <is>
          <t>NAUTICA_MENS_208000606_TAU_3.jpg</t>
        </is>
      </c>
      <c r="L2284">
        <f>IMAGE("file:///E:/Estudios%20y%20certificaciones/ESTUDIOS%20DE%20PROGRAMMING/PROGRAMMING/PERSONAL/PYTHON/Image_Generator_API/imagenes/NAUTICA_MENS_208000606_TAU_1.jpg")</f>
        <v/>
      </c>
      <c r="M2284">
        <f>IMAGE("file:///E:/Estudios%20y%20certificaciones/ESTUDIOS%20DE%20PROGRAMMING/PROGRAMMING/PERSONAL/PYTHON/Image_Generator_API/imagenes/NAUTICA_MENS_208000606_TAU_2.jpg")</f>
        <v/>
      </c>
      <c r="N2284">
        <f>IMAGE("file:///E:/Estudios%20y%20certificaciones/ESTUDIOS%20DE%20PROGRAMMING/PROGRAMMING/PERSONAL/PYTHON/Image_Generator_API/imagenes/NAUTICA_MENS_208000606_TAU_3.jpg")</f>
        <v/>
      </c>
      <c r="O2284">
        <f>HYPERLINK("imagenes/NAUTICA_MENS_208000606_TAU_1.jpg","Ver imagen")</f>
        <v/>
      </c>
      <c r="P2284">
        <f>HYPERLINK("imagenes/NAUTICA_MENS_208000606_TAU_2.jpg","Ver imagen")</f>
        <v/>
      </c>
      <c r="Q2284">
        <f>HYPERLINK("imagenes/NAUTICA_MENS_208000606_TAU_3.jpg","Ver imagen")</f>
        <v/>
      </c>
    </row>
    <row r="2285">
      <c r="A2285" t="inlineStr">
        <is>
          <t>NAUTICA MENS</t>
        </is>
      </c>
      <c r="B2285" t="inlineStr">
        <is>
          <t>208000607</t>
        </is>
      </c>
      <c r="C2285" t="inlineStr">
        <is>
          <t>SOFTSHELL BONDED JACKET</t>
        </is>
      </c>
      <c r="D2285" t="inlineStr">
        <is>
          <t>B31</t>
        </is>
      </c>
      <c r="E2285" t="inlineStr">
        <is>
          <t>12A08</t>
        </is>
      </c>
      <c r="F2285" t="inlineStr">
        <is>
          <t>(en blanco)</t>
        </is>
      </c>
      <c r="G2285" t="inlineStr">
        <is>
          <t>PPK</t>
        </is>
      </c>
      <c r="H2285" t="n">
        <v>0</v>
      </c>
      <c r="I2285" t="inlineStr">
        <is>
          <t>NAUTICA_MENS_208000607_B31_1.jpg</t>
        </is>
      </c>
      <c r="J2285" t="inlineStr">
        <is>
          <t>NAUTICA_MENS_208000607_B31_2.jpg</t>
        </is>
      </c>
      <c r="K2285" t="inlineStr">
        <is>
          <t>NAUTICA_MENS_208000607_B31_3.jpg</t>
        </is>
      </c>
      <c r="L2285">
        <f>IMAGE("file:///E:/Estudios%20y%20certificaciones/ESTUDIOS%20DE%20PROGRAMMING/PROGRAMMING/PERSONAL/PYTHON/Image_Generator_API/imagenes/NAUTICA_MENS_208000607_B31_1.jpg")</f>
        <v/>
      </c>
      <c r="M2285">
        <f>IMAGE("file:///E:/Estudios%20y%20certificaciones/ESTUDIOS%20DE%20PROGRAMMING/PROGRAMMING/PERSONAL/PYTHON/Image_Generator_API/imagenes/NAUTICA_MENS_208000607_B31_2.jpg")</f>
        <v/>
      </c>
      <c r="N2285">
        <f>IMAGE("file:///E:/Estudios%20y%20certificaciones/ESTUDIOS%20DE%20PROGRAMMING/PROGRAMMING/PERSONAL/PYTHON/Image_Generator_API/imagenes/NAUTICA_MENS_208000607_B31_3.jpg")</f>
        <v/>
      </c>
      <c r="O2285">
        <f>HYPERLINK("imagenes/NAUTICA_MENS_208000607_B31_1.jpg","Ver imagen")</f>
        <v/>
      </c>
      <c r="P2285">
        <f>HYPERLINK("imagenes/NAUTICA_MENS_208000607_B31_2.jpg","Ver imagen")</f>
        <v/>
      </c>
      <c r="Q2285">
        <f>HYPERLINK("imagenes/NAUTICA_MENS_208000607_B31_3.jpg","Ver imagen")</f>
        <v/>
      </c>
    </row>
    <row r="2286">
      <c r="A2286" t="inlineStr">
        <is>
          <t>NAUTICA MENS</t>
        </is>
      </c>
      <c r="B2286" t="inlineStr">
        <is>
          <t>208000607</t>
        </is>
      </c>
      <c r="C2286" t="inlineStr">
        <is>
          <t>SOFTSHELL BONDED JACKET</t>
        </is>
      </c>
      <c r="D2286" t="inlineStr">
        <is>
          <t>B31</t>
        </is>
      </c>
      <c r="E2286" t="inlineStr">
        <is>
          <t>12A09</t>
        </is>
      </c>
      <c r="F2286" t="inlineStr">
        <is>
          <t>(en blanco)</t>
        </is>
      </c>
      <c r="G2286" t="inlineStr">
        <is>
          <t>PPK</t>
        </is>
      </c>
      <c r="H2286" t="n">
        <v>0</v>
      </c>
      <c r="I2286" t="inlineStr">
        <is>
          <t>NAUTICA_MENS_208000607_B31_1.jpg</t>
        </is>
      </c>
      <c r="J2286" t="inlineStr">
        <is>
          <t>NAUTICA_MENS_208000607_B31_2.jpg</t>
        </is>
      </c>
      <c r="K2286" t="inlineStr">
        <is>
          <t>NAUTICA_MENS_208000607_B31_3.jpg</t>
        </is>
      </c>
      <c r="L2286">
        <f>IMAGE("file:///E:/Estudios%20y%20certificaciones/ESTUDIOS%20DE%20PROGRAMMING/PROGRAMMING/PERSONAL/PYTHON/Image_Generator_API/imagenes/NAUTICA_MENS_208000607_B31_1.jpg")</f>
        <v/>
      </c>
      <c r="M2286">
        <f>IMAGE("file:///E:/Estudios%20y%20certificaciones/ESTUDIOS%20DE%20PROGRAMMING/PROGRAMMING/PERSONAL/PYTHON/Image_Generator_API/imagenes/NAUTICA_MENS_208000607_B31_2.jpg")</f>
        <v/>
      </c>
      <c r="N2286">
        <f>IMAGE("file:///E:/Estudios%20y%20certificaciones/ESTUDIOS%20DE%20PROGRAMMING/PROGRAMMING/PERSONAL/PYTHON/Image_Generator_API/imagenes/NAUTICA_MENS_208000607_B31_3.jpg")</f>
        <v/>
      </c>
      <c r="O2286">
        <f>HYPERLINK("imagenes/NAUTICA_MENS_208000607_B31_1.jpg","Ver imagen")</f>
        <v/>
      </c>
      <c r="P2286">
        <f>HYPERLINK("imagenes/NAUTICA_MENS_208000607_B31_2.jpg","Ver imagen")</f>
        <v/>
      </c>
      <c r="Q2286">
        <f>HYPERLINK("imagenes/NAUTICA_MENS_208000607_B31_3.jpg","Ver imagen")</f>
        <v/>
      </c>
    </row>
    <row r="2287">
      <c r="A2287" t="inlineStr">
        <is>
          <t>NAUTICA MENS</t>
        </is>
      </c>
      <c r="B2287" t="inlineStr">
        <is>
          <t>208000607</t>
        </is>
      </c>
      <c r="C2287" t="inlineStr">
        <is>
          <t>SOFTSHELL BONDED JACKET</t>
        </is>
      </c>
      <c r="D2287" t="inlineStr">
        <is>
          <t>B31</t>
        </is>
      </c>
      <c r="E2287" t="inlineStr">
        <is>
          <t>(en blanco)</t>
        </is>
      </c>
      <c r="F2287" t="inlineStr">
        <is>
          <t>B1531</t>
        </is>
      </c>
      <c r="G2287" t="inlineStr">
        <is>
          <t>M</t>
        </is>
      </c>
      <c r="H2287" t="n">
        <v>2</v>
      </c>
      <c r="I2287" t="inlineStr">
        <is>
          <t>NAUTICA_MENS_208000607_B31_1.jpg</t>
        </is>
      </c>
      <c r="J2287" t="inlineStr">
        <is>
          <t>NAUTICA_MENS_208000607_B31_2.jpg</t>
        </is>
      </c>
      <c r="K2287" t="inlineStr">
        <is>
          <t>NAUTICA_MENS_208000607_B31_3.jpg</t>
        </is>
      </c>
      <c r="L2287">
        <f>IMAGE("file:///E:/Estudios%20y%20certificaciones/ESTUDIOS%20DE%20PROGRAMMING/PROGRAMMING/PERSONAL/PYTHON/Image_Generator_API/imagenes/NAUTICA_MENS_208000607_B31_1.jpg")</f>
        <v/>
      </c>
      <c r="M2287">
        <f>IMAGE("file:///E:/Estudios%20y%20certificaciones/ESTUDIOS%20DE%20PROGRAMMING/PROGRAMMING/PERSONAL/PYTHON/Image_Generator_API/imagenes/NAUTICA_MENS_208000607_B31_2.jpg")</f>
        <v/>
      </c>
      <c r="N2287">
        <f>IMAGE("file:///E:/Estudios%20y%20certificaciones/ESTUDIOS%20DE%20PROGRAMMING/PROGRAMMING/PERSONAL/PYTHON/Image_Generator_API/imagenes/NAUTICA_MENS_208000607_B31_3.jpg")</f>
        <v/>
      </c>
      <c r="O2287">
        <f>HYPERLINK("imagenes/NAUTICA_MENS_208000607_B31_1.jpg","Ver imagen")</f>
        <v/>
      </c>
      <c r="P2287">
        <f>HYPERLINK("imagenes/NAUTICA_MENS_208000607_B31_2.jpg","Ver imagen")</f>
        <v/>
      </c>
      <c r="Q2287">
        <f>HYPERLINK("imagenes/NAUTICA_MENS_208000607_B31_3.jpg","Ver imagen")</f>
        <v/>
      </c>
    </row>
    <row r="2288">
      <c r="A2288" t="inlineStr">
        <is>
          <t>NAUTICA MENS</t>
        </is>
      </c>
      <c r="B2288" t="inlineStr">
        <is>
          <t>208000607</t>
        </is>
      </c>
      <c r="C2288" t="inlineStr">
        <is>
          <t>SOFTSHELL BONDED JACKET</t>
        </is>
      </c>
      <c r="D2288" t="inlineStr">
        <is>
          <t>B31</t>
        </is>
      </c>
      <c r="E2288" t="inlineStr">
        <is>
          <t>(en blanco)</t>
        </is>
      </c>
      <c r="F2288" t="inlineStr">
        <is>
          <t>B1531</t>
        </is>
      </c>
      <c r="G2288" t="inlineStr">
        <is>
          <t>L</t>
        </is>
      </c>
      <c r="H2288" t="n">
        <v>1</v>
      </c>
      <c r="I2288" t="inlineStr">
        <is>
          <t>NAUTICA_MENS_208000607_B31_1.jpg</t>
        </is>
      </c>
      <c r="J2288" t="inlineStr">
        <is>
          <t>NAUTICA_MENS_208000607_B31_2.jpg</t>
        </is>
      </c>
      <c r="K2288" t="inlineStr">
        <is>
          <t>NAUTICA_MENS_208000607_B31_3.jpg</t>
        </is>
      </c>
      <c r="L2288">
        <f>IMAGE("file:///E:/Estudios%20y%20certificaciones/ESTUDIOS%20DE%20PROGRAMMING/PROGRAMMING/PERSONAL/PYTHON/Image_Generator_API/imagenes/NAUTICA_MENS_208000607_B31_1.jpg")</f>
        <v/>
      </c>
      <c r="M2288">
        <f>IMAGE("file:///E:/Estudios%20y%20certificaciones/ESTUDIOS%20DE%20PROGRAMMING/PROGRAMMING/PERSONAL/PYTHON/Image_Generator_API/imagenes/NAUTICA_MENS_208000607_B31_2.jpg")</f>
        <v/>
      </c>
      <c r="N2288">
        <f>IMAGE("file:///E:/Estudios%20y%20certificaciones/ESTUDIOS%20DE%20PROGRAMMING/PROGRAMMING/PERSONAL/PYTHON/Image_Generator_API/imagenes/NAUTICA_MENS_208000607_B31_3.jpg")</f>
        <v/>
      </c>
      <c r="O2288">
        <f>HYPERLINK("imagenes/NAUTICA_MENS_208000607_B31_1.jpg","Ver imagen")</f>
        <v/>
      </c>
      <c r="P2288">
        <f>HYPERLINK("imagenes/NAUTICA_MENS_208000607_B31_2.jpg","Ver imagen")</f>
        <v/>
      </c>
      <c r="Q2288">
        <f>HYPERLINK("imagenes/NAUTICA_MENS_208000607_B31_3.jpg","Ver imagen")</f>
        <v/>
      </c>
    </row>
    <row r="2289">
      <c r="A2289" t="inlineStr">
        <is>
          <t>NAUTICA MENS</t>
        </is>
      </c>
      <c r="B2289" t="inlineStr">
        <is>
          <t>208000607</t>
        </is>
      </c>
      <c r="C2289" t="inlineStr">
        <is>
          <t>SOFTSHELL BONDED JACKET</t>
        </is>
      </c>
      <c r="D2289" t="inlineStr">
        <is>
          <t>B31</t>
        </is>
      </c>
      <c r="E2289" t="inlineStr">
        <is>
          <t>(en blanco)</t>
        </is>
      </c>
      <c r="F2289" t="inlineStr">
        <is>
          <t>B1531</t>
        </is>
      </c>
      <c r="G2289" t="inlineStr">
        <is>
          <t>XL</t>
        </is>
      </c>
      <c r="H2289" t="n">
        <v>8</v>
      </c>
      <c r="I2289" t="inlineStr">
        <is>
          <t>NAUTICA_MENS_208000607_B31_1.jpg</t>
        </is>
      </c>
      <c r="J2289" t="inlineStr">
        <is>
          <t>NAUTICA_MENS_208000607_B31_2.jpg</t>
        </is>
      </c>
      <c r="K2289" t="inlineStr">
        <is>
          <t>NAUTICA_MENS_208000607_B31_3.jpg</t>
        </is>
      </c>
      <c r="L2289">
        <f>IMAGE("file:///E:/Estudios%20y%20certificaciones/ESTUDIOS%20DE%20PROGRAMMING/PROGRAMMING/PERSONAL/PYTHON/Image_Generator_API/imagenes/NAUTICA_MENS_208000607_B31_1.jpg")</f>
        <v/>
      </c>
      <c r="M2289">
        <f>IMAGE("file:///E:/Estudios%20y%20certificaciones/ESTUDIOS%20DE%20PROGRAMMING/PROGRAMMING/PERSONAL/PYTHON/Image_Generator_API/imagenes/NAUTICA_MENS_208000607_B31_2.jpg")</f>
        <v/>
      </c>
      <c r="N2289">
        <f>IMAGE("file:///E:/Estudios%20y%20certificaciones/ESTUDIOS%20DE%20PROGRAMMING/PROGRAMMING/PERSONAL/PYTHON/Image_Generator_API/imagenes/NAUTICA_MENS_208000607_B31_3.jpg")</f>
        <v/>
      </c>
      <c r="O2289">
        <f>HYPERLINK("imagenes/NAUTICA_MENS_208000607_B31_1.jpg","Ver imagen")</f>
        <v/>
      </c>
      <c r="P2289">
        <f>HYPERLINK("imagenes/NAUTICA_MENS_208000607_B31_2.jpg","Ver imagen")</f>
        <v/>
      </c>
      <c r="Q2289">
        <f>HYPERLINK("imagenes/NAUTICA_MENS_208000607_B31_3.jpg","Ver imagen")</f>
        <v/>
      </c>
    </row>
    <row r="2290">
      <c r="A2290" t="inlineStr">
        <is>
          <t>NAUTICA MENS</t>
        </is>
      </c>
      <c r="B2290" t="inlineStr">
        <is>
          <t>208000607</t>
        </is>
      </c>
      <c r="C2290" t="inlineStr">
        <is>
          <t>SOFTSHELL BONDED JACKET</t>
        </is>
      </c>
      <c r="D2290" t="inlineStr">
        <is>
          <t>B31</t>
        </is>
      </c>
      <c r="E2290" t="inlineStr">
        <is>
          <t>(en blanco)</t>
        </is>
      </c>
      <c r="F2290" t="inlineStr">
        <is>
          <t>B1531</t>
        </is>
      </c>
      <c r="G2290" t="inlineStr">
        <is>
          <t>XXL</t>
        </is>
      </c>
      <c r="H2290" t="n">
        <v>2</v>
      </c>
      <c r="I2290" t="inlineStr">
        <is>
          <t>NAUTICA_MENS_208000607_B31_1.jpg</t>
        </is>
      </c>
      <c r="J2290" t="inlineStr">
        <is>
          <t>NAUTICA_MENS_208000607_B31_2.jpg</t>
        </is>
      </c>
      <c r="K2290" t="inlineStr">
        <is>
          <t>NAUTICA_MENS_208000607_B31_3.jpg</t>
        </is>
      </c>
      <c r="L2290">
        <f>IMAGE("file:///E:/Estudios%20y%20certificaciones/ESTUDIOS%20DE%20PROGRAMMING/PROGRAMMING/PERSONAL/PYTHON/Image_Generator_API/imagenes/NAUTICA_MENS_208000607_B31_1.jpg")</f>
        <v/>
      </c>
      <c r="M2290">
        <f>IMAGE("file:///E:/Estudios%20y%20certificaciones/ESTUDIOS%20DE%20PROGRAMMING/PROGRAMMING/PERSONAL/PYTHON/Image_Generator_API/imagenes/NAUTICA_MENS_208000607_B31_2.jpg")</f>
        <v/>
      </c>
      <c r="N2290">
        <f>IMAGE("file:///E:/Estudios%20y%20certificaciones/ESTUDIOS%20DE%20PROGRAMMING/PROGRAMMING/PERSONAL/PYTHON/Image_Generator_API/imagenes/NAUTICA_MENS_208000607_B31_3.jpg")</f>
        <v/>
      </c>
      <c r="O2290">
        <f>HYPERLINK("imagenes/NAUTICA_MENS_208000607_B31_1.jpg","Ver imagen")</f>
        <v/>
      </c>
      <c r="P2290">
        <f>HYPERLINK("imagenes/NAUTICA_MENS_208000607_B31_2.jpg","Ver imagen")</f>
        <v/>
      </c>
      <c r="Q2290">
        <f>HYPERLINK("imagenes/NAUTICA_MENS_208000607_B31_3.jpg","Ver imagen")</f>
        <v/>
      </c>
    </row>
    <row r="2291">
      <c r="A2291" t="inlineStr">
        <is>
          <t>NAUTICA MENS</t>
        </is>
      </c>
      <c r="B2291" t="inlineStr">
        <is>
          <t>208000607</t>
        </is>
      </c>
      <c r="C2291" t="inlineStr">
        <is>
          <t>SOFTSHELL BONDED JACKET</t>
        </is>
      </c>
      <c r="D2291" t="inlineStr">
        <is>
          <t>BLK</t>
        </is>
      </c>
      <c r="E2291" t="inlineStr">
        <is>
          <t>(en blanco)</t>
        </is>
      </c>
      <c r="F2291" t="inlineStr">
        <is>
          <t>B1531</t>
        </is>
      </c>
      <c r="G2291" t="inlineStr">
        <is>
          <t>L</t>
        </is>
      </c>
      <c r="H2291" t="n">
        <v>1</v>
      </c>
      <c r="I2291" t="inlineStr">
        <is>
          <t>NAUTICA_MENS_208000607_BLK_1.jpg</t>
        </is>
      </c>
      <c r="J2291" t="inlineStr">
        <is>
          <t>NAUTICA_MENS_208000607_BLK_2.jpg</t>
        </is>
      </c>
      <c r="K2291" t="inlineStr">
        <is>
          <t>NAUTICA_MENS_208000607_BLK_3.jpg</t>
        </is>
      </c>
      <c r="L2291">
        <f>IMAGE("file:///E:/Estudios%20y%20certificaciones/ESTUDIOS%20DE%20PROGRAMMING/PROGRAMMING/PERSONAL/PYTHON/Image_Generator_API/imagenes/NAUTICA_MENS_208000607_BLK_1.jpg")</f>
        <v/>
      </c>
      <c r="M2291">
        <f>IMAGE("file:///E:/Estudios%20y%20certificaciones/ESTUDIOS%20DE%20PROGRAMMING/PROGRAMMING/PERSONAL/PYTHON/Image_Generator_API/imagenes/NAUTICA_MENS_208000607_BLK_2.jpg")</f>
        <v/>
      </c>
      <c r="N2291">
        <f>IMAGE("file:///E:/Estudios%20y%20certificaciones/ESTUDIOS%20DE%20PROGRAMMING/PROGRAMMING/PERSONAL/PYTHON/Image_Generator_API/imagenes/NAUTICA_MENS_208000607_BLK_3.jpg")</f>
        <v/>
      </c>
      <c r="O2291">
        <f>HYPERLINK("imagenes/NAUTICA_MENS_208000607_BLK_1.jpg","Ver imagen")</f>
        <v/>
      </c>
      <c r="P2291">
        <f>HYPERLINK("imagenes/NAUTICA_MENS_208000607_BLK_2.jpg","Ver imagen")</f>
        <v/>
      </c>
      <c r="Q2291">
        <f>HYPERLINK("imagenes/NAUTICA_MENS_208000607_BLK_3.jpg","Ver imagen")</f>
        <v/>
      </c>
    </row>
    <row r="2292">
      <c r="A2292" t="inlineStr">
        <is>
          <t>NAUTICA MENS</t>
        </is>
      </c>
      <c r="B2292" t="inlineStr">
        <is>
          <t>208000607</t>
        </is>
      </c>
      <c r="C2292" t="inlineStr">
        <is>
          <t>SOFTSHELL BONDED JACKET</t>
        </is>
      </c>
      <c r="D2292" t="inlineStr">
        <is>
          <t>BLK</t>
        </is>
      </c>
      <c r="E2292" t="inlineStr">
        <is>
          <t>(en blanco)</t>
        </is>
      </c>
      <c r="F2292" t="inlineStr">
        <is>
          <t>B1531</t>
        </is>
      </c>
      <c r="G2292" t="inlineStr">
        <is>
          <t>XL</t>
        </is>
      </c>
      <c r="H2292" t="n">
        <v>1</v>
      </c>
      <c r="I2292" t="inlineStr">
        <is>
          <t>NAUTICA_MENS_208000607_BLK_1.jpg</t>
        </is>
      </c>
      <c r="J2292" t="inlineStr">
        <is>
          <t>NAUTICA_MENS_208000607_BLK_2.jpg</t>
        </is>
      </c>
      <c r="K2292" t="inlineStr">
        <is>
          <t>NAUTICA_MENS_208000607_BLK_3.jpg</t>
        </is>
      </c>
      <c r="L2292">
        <f>IMAGE("file:///E:/Estudios%20y%20certificaciones/ESTUDIOS%20DE%20PROGRAMMING/PROGRAMMING/PERSONAL/PYTHON/Image_Generator_API/imagenes/NAUTICA_MENS_208000607_BLK_1.jpg")</f>
        <v/>
      </c>
      <c r="M2292">
        <f>IMAGE("file:///E:/Estudios%20y%20certificaciones/ESTUDIOS%20DE%20PROGRAMMING/PROGRAMMING/PERSONAL/PYTHON/Image_Generator_API/imagenes/NAUTICA_MENS_208000607_BLK_2.jpg")</f>
        <v/>
      </c>
      <c r="N2292">
        <f>IMAGE("file:///E:/Estudios%20y%20certificaciones/ESTUDIOS%20DE%20PROGRAMMING/PROGRAMMING/PERSONAL/PYTHON/Image_Generator_API/imagenes/NAUTICA_MENS_208000607_BLK_3.jpg")</f>
        <v/>
      </c>
      <c r="O2292">
        <f>HYPERLINK("imagenes/NAUTICA_MENS_208000607_BLK_1.jpg","Ver imagen")</f>
        <v/>
      </c>
      <c r="P2292">
        <f>HYPERLINK("imagenes/NAUTICA_MENS_208000607_BLK_2.jpg","Ver imagen")</f>
        <v/>
      </c>
      <c r="Q2292">
        <f>HYPERLINK("imagenes/NAUTICA_MENS_208000607_BLK_3.jpg","Ver imagen")</f>
        <v/>
      </c>
    </row>
    <row r="2293">
      <c r="A2293" t="inlineStr">
        <is>
          <t>NAUTICA MENS</t>
        </is>
      </c>
      <c r="B2293" t="inlineStr">
        <is>
          <t>208000607</t>
        </is>
      </c>
      <c r="C2293" t="inlineStr">
        <is>
          <t>SOFTSHELL BONDED JACKET</t>
        </is>
      </c>
      <c r="D2293" t="inlineStr">
        <is>
          <t>BLK</t>
        </is>
      </c>
      <c r="E2293" t="inlineStr">
        <is>
          <t>(en blanco)</t>
        </is>
      </c>
      <c r="F2293" t="inlineStr">
        <is>
          <t>(en blanco)</t>
        </is>
      </c>
      <c r="G2293" t="inlineStr">
        <is>
          <t>M</t>
        </is>
      </c>
      <c r="H2293" t="n">
        <v>31</v>
      </c>
      <c r="I2293" t="inlineStr">
        <is>
          <t>NAUTICA_MENS_208000607_BLK_1.jpg</t>
        </is>
      </c>
      <c r="J2293" t="inlineStr">
        <is>
          <t>NAUTICA_MENS_208000607_BLK_2.jpg</t>
        </is>
      </c>
      <c r="K2293" t="inlineStr">
        <is>
          <t>NAUTICA_MENS_208000607_BLK_3.jpg</t>
        </is>
      </c>
      <c r="L2293">
        <f>IMAGE("file:///E:/Estudios%20y%20certificaciones/ESTUDIOS%20DE%20PROGRAMMING/PROGRAMMING/PERSONAL/PYTHON/Image_Generator_API/imagenes/NAUTICA_MENS_208000607_BLK_1.jpg")</f>
        <v/>
      </c>
      <c r="M2293">
        <f>IMAGE("file:///E:/Estudios%20y%20certificaciones/ESTUDIOS%20DE%20PROGRAMMING/PROGRAMMING/PERSONAL/PYTHON/Image_Generator_API/imagenes/NAUTICA_MENS_208000607_BLK_2.jpg")</f>
        <v/>
      </c>
      <c r="N2293">
        <f>IMAGE("file:///E:/Estudios%20y%20certificaciones/ESTUDIOS%20DE%20PROGRAMMING/PROGRAMMING/PERSONAL/PYTHON/Image_Generator_API/imagenes/NAUTICA_MENS_208000607_BLK_3.jpg")</f>
        <v/>
      </c>
      <c r="O2293">
        <f>HYPERLINK("imagenes/NAUTICA_MENS_208000607_BLK_1.jpg","Ver imagen")</f>
        <v/>
      </c>
      <c r="P2293">
        <f>HYPERLINK("imagenes/NAUTICA_MENS_208000607_BLK_2.jpg","Ver imagen")</f>
        <v/>
      </c>
      <c r="Q2293">
        <f>HYPERLINK("imagenes/NAUTICA_MENS_208000607_BLK_3.jpg","Ver imagen")</f>
        <v/>
      </c>
    </row>
    <row r="2294">
      <c r="A2294" t="inlineStr">
        <is>
          <t>NAUTICA MENS</t>
        </is>
      </c>
      <c r="B2294" t="inlineStr">
        <is>
          <t>208000607</t>
        </is>
      </c>
      <c r="C2294" t="inlineStr">
        <is>
          <t>SOFTSHELL BONDED JACKET</t>
        </is>
      </c>
      <c r="D2294" t="inlineStr">
        <is>
          <t>BLK</t>
        </is>
      </c>
      <c r="E2294" t="inlineStr">
        <is>
          <t>(en blanco)</t>
        </is>
      </c>
      <c r="F2294" t="inlineStr">
        <is>
          <t>(en blanco)</t>
        </is>
      </c>
      <c r="G2294" t="inlineStr">
        <is>
          <t>L</t>
        </is>
      </c>
      <c r="H2294" t="n">
        <v>79</v>
      </c>
      <c r="I2294" t="inlineStr">
        <is>
          <t>NAUTICA_MENS_208000607_BLK_1.jpg</t>
        </is>
      </c>
      <c r="J2294" t="inlineStr">
        <is>
          <t>NAUTICA_MENS_208000607_BLK_2.jpg</t>
        </is>
      </c>
      <c r="K2294" t="inlineStr">
        <is>
          <t>NAUTICA_MENS_208000607_BLK_3.jpg</t>
        </is>
      </c>
      <c r="L2294">
        <f>IMAGE("file:///E:/Estudios%20y%20certificaciones/ESTUDIOS%20DE%20PROGRAMMING/PROGRAMMING/PERSONAL/PYTHON/Image_Generator_API/imagenes/NAUTICA_MENS_208000607_BLK_1.jpg")</f>
        <v/>
      </c>
      <c r="M2294">
        <f>IMAGE("file:///E:/Estudios%20y%20certificaciones/ESTUDIOS%20DE%20PROGRAMMING/PROGRAMMING/PERSONAL/PYTHON/Image_Generator_API/imagenes/NAUTICA_MENS_208000607_BLK_2.jpg")</f>
        <v/>
      </c>
      <c r="N2294">
        <f>IMAGE("file:///E:/Estudios%20y%20certificaciones/ESTUDIOS%20DE%20PROGRAMMING/PROGRAMMING/PERSONAL/PYTHON/Image_Generator_API/imagenes/NAUTICA_MENS_208000607_BLK_3.jpg")</f>
        <v/>
      </c>
      <c r="O2294">
        <f>HYPERLINK("imagenes/NAUTICA_MENS_208000607_BLK_1.jpg","Ver imagen")</f>
        <v/>
      </c>
      <c r="P2294">
        <f>HYPERLINK("imagenes/NAUTICA_MENS_208000607_BLK_2.jpg","Ver imagen")</f>
        <v/>
      </c>
      <c r="Q2294">
        <f>HYPERLINK("imagenes/NAUTICA_MENS_208000607_BLK_3.jpg","Ver imagen")</f>
        <v/>
      </c>
    </row>
    <row r="2295">
      <c r="A2295" t="inlineStr">
        <is>
          <t>NAUTICA MENS</t>
        </is>
      </c>
      <c r="B2295" t="inlineStr">
        <is>
          <t>208000607</t>
        </is>
      </c>
      <c r="C2295" t="inlineStr">
        <is>
          <t>SOFTSHELL BONDED JACKET</t>
        </is>
      </c>
      <c r="D2295" t="inlineStr">
        <is>
          <t>BLK</t>
        </is>
      </c>
      <c r="E2295" t="inlineStr">
        <is>
          <t>(en blanco)</t>
        </is>
      </c>
      <c r="F2295" t="inlineStr">
        <is>
          <t>(en blanco)</t>
        </is>
      </c>
      <c r="G2295" t="inlineStr">
        <is>
          <t>XL</t>
        </is>
      </c>
      <c r="H2295" t="n">
        <v>51</v>
      </c>
      <c r="I2295" t="inlineStr">
        <is>
          <t>NAUTICA_MENS_208000607_BLK_1.jpg</t>
        </is>
      </c>
      <c r="J2295" t="inlineStr">
        <is>
          <t>NAUTICA_MENS_208000607_BLK_2.jpg</t>
        </is>
      </c>
      <c r="K2295" t="inlineStr">
        <is>
          <t>NAUTICA_MENS_208000607_BLK_3.jpg</t>
        </is>
      </c>
      <c r="L2295">
        <f>IMAGE("file:///E:/Estudios%20y%20certificaciones/ESTUDIOS%20DE%20PROGRAMMING/PROGRAMMING/PERSONAL/PYTHON/Image_Generator_API/imagenes/NAUTICA_MENS_208000607_BLK_1.jpg")</f>
        <v/>
      </c>
      <c r="M2295">
        <f>IMAGE("file:///E:/Estudios%20y%20certificaciones/ESTUDIOS%20DE%20PROGRAMMING/PROGRAMMING/PERSONAL/PYTHON/Image_Generator_API/imagenes/NAUTICA_MENS_208000607_BLK_2.jpg")</f>
        <v/>
      </c>
      <c r="N2295">
        <f>IMAGE("file:///E:/Estudios%20y%20certificaciones/ESTUDIOS%20DE%20PROGRAMMING/PROGRAMMING/PERSONAL/PYTHON/Image_Generator_API/imagenes/NAUTICA_MENS_208000607_BLK_3.jpg")</f>
        <v/>
      </c>
      <c r="O2295">
        <f>HYPERLINK("imagenes/NAUTICA_MENS_208000607_BLK_1.jpg","Ver imagen")</f>
        <v/>
      </c>
      <c r="P2295">
        <f>HYPERLINK("imagenes/NAUTICA_MENS_208000607_BLK_2.jpg","Ver imagen")</f>
        <v/>
      </c>
      <c r="Q2295">
        <f>HYPERLINK("imagenes/NAUTICA_MENS_208000607_BLK_3.jpg","Ver imagen")</f>
        <v/>
      </c>
    </row>
    <row r="2296">
      <c r="A2296" t="inlineStr">
        <is>
          <t>NAUTICA MENS</t>
        </is>
      </c>
      <c r="B2296" t="inlineStr">
        <is>
          <t>208000607</t>
        </is>
      </c>
      <c r="C2296" t="inlineStr">
        <is>
          <t>SOFTSHELL BONDED JACKET</t>
        </is>
      </c>
      <c r="D2296" t="inlineStr">
        <is>
          <t>BLK</t>
        </is>
      </c>
      <c r="E2296" t="inlineStr">
        <is>
          <t>(en blanco)</t>
        </is>
      </c>
      <c r="F2296" t="inlineStr">
        <is>
          <t>(en blanco)</t>
        </is>
      </c>
      <c r="G2296" t="inlineStr">
        <is>
          <t>XXL</t>
        </is>
      </c>
      <c r="H2296" t="n">
        <v>22</v>
      </c>
      <c r="I2296" t="inlineStr">
        <is>
          <t>NAUTICA_MENS_208000607_BLK_1.jpg</t>
        </is>
      </c>
      <c r="J2296" t="inlineStr">
        <is>
          <t>NAUTICA_MENS_208000607_BLK_2.jpg</t>
        </is>
      </c>
      <c r="K2296" t="inlineStr">
        <is>
          <t>NAUTICA_MENS_208000607_BLK_3.jpg</t>
        </is>
      </c>
      <c r="L2296">
        <f>IMAGE("file:///E:/Estudios%20y%20certificaciones/ESTUDIOS%20DE%20PROGRAMMING/PROGRAMMING/PERSONAL/PYTHON/Image_Generator_API/imagenes/NAUTICA_MENS_208000607_BLK_1.jpg")</f>
        <v/>
      </c>
      <c r="M2296">
        <f>IMAGE("file:///E:/Estudios%20y%20certificaciones/ESTUDIOS%20DE%20PROGRAMMING/PROGRAMMING/PERSONAL/PYTHON/Image_Generator_API/imagenes/NAUTICA_MENS_208000607_BLK_2.jpg")</f>
        <v/>
      </c>
      <c r="N2296">
        <f>IMAGE("file:///E:/Estudios%20y%20certificaciones/ESTUDIOS%20DE%20PROGRAMMING/PROGRAMMING/PERSONAL/PYTHON/Image_Generator_API/imagenes/NAUTICA_MENS_208000607_BLK_3.jpg")</f>
        <v/>
      </c>
      <c r="O2296">
        <f>HYPERLINK("imagenes/NAUTICA_MENS_208000607_BLK_1.jpg","Ver imagen")</f>
        <v/>
      </c>
      <c r="P2296">
        <f>HYPERLINK("imagenes/NAUTICA_MENS_208000607_BLK_2.jpg","Ver imagen")</f>
        <v/>
      </c>
      <c r="Q2296">
        <f>HYPERLINK("imagenes/NAUTICA_MENS_208000607_BLK_3.jpg","Ver imagen")</f>
        <v/>
      </c>
    </row>
    <row r="2297">
      <c r="A2297" t="inlineStr">
        <is>
          <t>NAUTICA MENS</t>
        </is>
      </c>
      <c r="B2297" t="inlineStr">
        <is>
          <t>208000607</t>
        </is>
      </c>
      <c r="C2297" t="inlineStr">
        <is>
          <t>SOFTSHELL BONDED JACKET</t>
        </is>
      </c>
      <c r="D2297" t="inlineStr">
        <is>
          <t>CLG</t>
        </is>
      </c>
      <c r="E2297" t="inlineStr">
        <is>
          <t>(en blanco)</t>
        </is>
      </c>
      <c r="F2297" t="inlineStr">
        <is>
          <t>(en blanco)</t>
        </is>
      </c>
      <c r="G2297" t="inlineStr">
        <is>
          <t>M</t>
        </is>
      </c>
      <c r="H2297" t="n">
        <v>5</v>
      </c>
      <c r="I2297" t="inlineStr">
        <is>
          <t>NAUTICA_MENS_208000607_CLG_1.jpg</t>
        </is>
      </c>
      <c r="J2297" t="inlineStr">
        <is>
          <t>NAUTICA_MENS_208000607_CLG_2.jpg</t>
        </is>
      </c>
      <c r="K2297" t="inlineStr">
        <is>
          <t>NAUTICA_MENS_208000607_CLG_3.jpg</t>
        </is>
      </c>
      <c r="L2297">
        <f>IMAGE("file:///E:/Estudios%20y%20certificaciones/ESTUDIOS%20DE%20PROGRAMMING/PROGRAMMING/PERSONAL/PYTHON/Image_Generator_API/imagenes/NAUTICA_MENS_208000607_CLG_1.jpg")</f>
        <v/>
      </c>
      <c r="M2297">
        <f>IMAGE("file:///E:/Estudios%20y%20certificaciones/ESTUDIOS%20DE%20PROGRAMMING/PROGRAMMING/PERSONAL/PYTHON/Image_Generator_API/imagenes/NAUTICA_MENS_208000607_CLG_2.jpg")</f>
        <v/>
      </c>
      <c r="N2297">
        <f>IMAGE("file:///E:/Estudios%20y%20certificaciones/ESTUDIOS%20DE%20PROGRAMMING/PROGRAMMING/PERSONAL/PYTHON/Image_Generator_API/imagenes/NAUTICA_MENS_208000607_CLG_3.jpg")</f>
        <v/>
      </c>
      <c r="O2297">
        <f>HYPERLINK("imagenes/NAUTICA_MENS_208000607_CLG_1.jpg","Ver imagen")</f>
        <v/>
      </c>
      <c r="P2297">
        <f>HYPERLINK("imagenes/NAUTICA_MENS_208000607_CLG_2.jpg","Ver imagen")</f>
        <v/>
      </c>
      <c r="Q2297">
        <f>HYPERLINK("imagenes/NAUTICA_MENS_208000607_CLG_3.jpg","Ver imagen")</f>
        <v/>
      </c>
    </row>
    <row r="2298">
      <c r="A2298" t="inlineStr">
        <is>
          <t>NAUTICA MENS</t>
        </is>
      </c>
      <c r="B2298" t="inlineStr">
        <is>
          <t>208000607</t>
        </is>
      </c>
      <c r="C2298" t="inlineStr">
        <is>
          <t>SOFTSHELL BONDED JACKET</t>
        </is>
      </c>
      <c r="D2298" t="inlineStr">
        <is>
          <t>CLG</t>
        </is>
      </c>
      <c r="E2298" t="inlineStr">
        <is>
          <t>(en blanco)</t>
        </is>
      </c>
      <c r="F2298" t="inlineStr">
        <is>
          <t>(en blanco)</t>
        </is>
      </c>
      <c r="G2298" t="inlineStr">
        <is>
          <t>L</t>
        </is>
      </c>
      <c r="H2298" t="n">
        <v>19</v>
      </c>
      <c r="I2298" t="inlineStr">
        <is>
          <t>NAUTICA_MENS_208000607_CLG_1.jpg</t>
        </is>
      </c>
      <c r="J2298" t="inlineStr">
        <is>
          <t>NAUTICA_MENS_208000607_CLG_2.jpg</t>
        </is>
      </c>
      <c r="K2298" t="inlineStr">
        <is>
          <t>NAUTICA_MENS_208000607_CLG_3.jpg</t>
        </is>
      </c>
      <c r="L2298">
        <f>IMAGE("file:///E:/Estudios%20y%20certificaciones/ESTUDIOS%20DE%20PROGRAMMING/PROGRAMMING/PERSONAL/PYTHON/Image_Generator_API/imagenes/NAUTICA_MENS_208000607_CLG_1.jpg")</f>
        <v/>
      </c>
      <c r="M2298">
        <f>IMAGE("file:///E:/Estudios%20y%20certificaciones/ESTUDIOS%20DE%20PROGRAMMING/PROGRAMMING/PERSONAL/PYTHON/Image_Generator_API/imagenes/NAUTICA_MENS_208000607_CLG_2.jpg")</f>
        <v/>
      </c>
      <c r="N2298">
        <f>IMAGE("file:///E:/Estudios%20y%20certificaciones/ESTUDIOS%20DE%20PROGRAMMING/PROGRAMMING/PERSONAL/PYTHON/Image_Generator_API/imagenes/NAUTICA_MENS_208000607_CLG_3.jpg")</f>
        <v/>
      </c>
      <c r="O2298">
        <f>HYPERLINK("imagenes/NAUTICA_MENS_208000607_CLG_1.jpg","Ver imagen")</f>
        <v/>
      </c>
      <c r="P2298">
        <f>HYPERLINK("imagenes/NAUTICA_MENS_208000607_CLG_2.jpg","Ver imagen")</f>
        <v/>
      </c>
      <c r="Q2298">
        <f>HYPERLINK("imagenes/NAUTICA_MENS_208000607_CLG_3.jpg","Ver imagen")</f>
        <v/>
      </c>
    </row>
    <row r="2299">
      <c r="A2299" t="inlineStr">
        <is>
          <t>NAUTICA MENS</t>
        </is>
      </c>
      <c r="B2299" t="inlineStr">
        <is>
          <t>208000607</t>
        </is>
      </c>
      <c r="C2299" t="inlineStr">
        <is>
          <t>SOFTSHELL BONDED JACKET</t>
        </is>
      </c>
      <c r="D2299" t="inlineStr">
        <is>
          <t>CLG</t>
        </is>
      </c>
      <c r="E2299" t="inlineStr">
        <is>
          <t>(en blanco)</t>
        </is>
      </c>
      <c r="F2299" t="inlineStr">
        <is>
          <t>(en blanco)</t>
        </is>
      </c>
      <c r="G2299" t="inlineStr">
        <is>
          <t>XL</t>
        </is>
      </c>
      <c r="H2299" t="n">
        <v>34</v>
      </c>
      <c r="I2299" t="inlineStr">
        <is>
          <t>NAUTICA_MENS_208000607_CLG_1.jpg</t>
        </is>
      </c>
      <c r="J2299" t="inlineStr">
        <is>
          <t>NAUTICA_MENS_208000607_CLG_2.jpg</t>
        </is>
      </c>
      <c r="K2299" t="inlineStr">
        <is>
          <t>NAUTICA_MENS_208000607_CLG_3.jpg</t>
        </is>
      </c>
      <c r="L2299">
        <f>IMAGE("file:///E:/Estudios%20y%20certificaciones/ESTUDIOS%20DE%20PROGRAMMING/PROGRAMMING/PERSONAL/PYTHON/Image_Generator_API/imagenes/NAUTICA_MENS_208000607_CLG_1.jpg")</f>
        <v/>
      </c>
      <c r="M2299">
        <f>IMAGE("file:///E:/Estudios%20y%20certificaciones/ESTUDIOS%20DE%20PROGRAMMING/PROGRAMMING/PERSONAL/PYTHON/Image_Generator_API/imagenes/NAUTICA_MENS_208000607_CLG_2.jpg")</f>
        <v/>
      </c>
      <c r="N2299">
        <f>IMAGE("file:///E:/Estudios%20y%20certificaciones/ESTUDIOS%20DE%20PROGRAMMING/PROGRAMMING/PERSONAL/PYTHON/Image_Generator_API/imagenes/NAUTICA_MENS_208000607_CLG_3.jpg")</f>
        <v/>
      </c>
      <c r="O2299">
        <f>HYPERLINK("imagenes/NAUTICA_MENS_208000607_CLG_1.jpg","Ver imagen")</f>
        <v/>
      </c>
      <c r="P2299">
        <f>HYPERLINK("imagenes/NAUTICA_MENS_208000607_CLG_2.jpg","Ver imagen")</f>
        <v/>
      </c>
      <c r="Q2299">
        <f>HYPERLINK("imagenes/NAUTICA_MENS_208000607_CLG_3.jpg","Ver imagen")</f>
        <v/>
      </c>
    </row>
    <row r="2300">
      <c r="A2300" t="inlineStr">
        <is>
          <t>NAUTICA MENS</t>
        </is>
      </c>
      <c r="B2300" t="inlineStr">
        <is>
          <t>208000607</t>
        </is>
      </c>
      <c r="C2300" t="inlineStr">
        <is>
          <t>SOFTSHELL BONDED JACKET</t>
        </is>
      </c>
      <c r="D2300" t="inlineStr">
        <is>
          <t>CLG</t>
        </is>
      </c>
      <c r="E2300" t="inlineStr">
        <is>
          <t>(en blanco)</t>
        </is>
      </c>
      <c r="F2300" t="inlineStr">
        <is>
          <t>(en blanco)</t>
        </is>
      </c>
      <c r="G2300" t="inlineStr">
        <is>
          <t>XXL</t>
        </is>
      </c>
      <c r="H2300" t="n">
        <v>4</v>
      </c>
      <c r="I2300" t="inlineStr">
        <is>
          <t>NAUTICA_MENS_208000607_CLG_1.jpg</t>
        </is>
      </c>
      <c r="J2300" t="inlineStr">
        <is>
          <t>NAUTICA_MENS_208000607_CLG_2.jpg</t>
        </is>
      </c>
      <c r="K2300" t="inlineStr">
        <is>
          <t>NAUTICA_MENS_208000607_CLG_3.jpg</t>
        </is>
      </c>
      <c r="L2300">
        <f>IMAGE("file:///E:/Estudios%20y%20certificaciones/ESTUDIOS%20DE%20PROGRAMMING/PROGRAMMING/PERSONAL/PYTHON/Image_Generator_API/imagenes/NAUTICA_MENS_208000607_CLG_1.jpg")</f>
        <v/>
      </c>
      <c r="M2300">
        <f>IMAGE("file:///E:/Estudios%20y%20certificaciones/ESTUDIOS%20DE%20PROGRAMMING/PROGRAMMING/PERSONAL/PYTHON/Image_Generator_API/imagenes/NAUTICA_MENS_208000607_CLG_2.jpg")</f>
        <v/>
      </c>
      <c r="N2300">
        <f>IMAGE("file:///E:/Estudios%20y%20certificaciones/ESTUDIOS%20DE%20PROGRAMMING/PROGRAMMING/PERSONAL/PYTHON/Image_Generator_API/imagenes/NAUTICA_MENS_208000607_CLG_3.jpg")</f>
        <v/>
      </c>
      <c r="O2300">
        <f>HYPERLINK("imagenes/NAUTICA_MENS_208000607_CLG_1.jpg","Ver imagen")</f>
        <v/>
      </c>
      <c r="P2300">
        <f>HYPERLINK("imagenes/NAUTICA_MENS_208000607_CLG_2.jpg","Ver imagen")</f>
        <v/>
      </c>
      <c r="Q2300">
        <f>HYPERLINK("imagenes/NAUTICA_MENS_208000607_CLG_3.jpg","Ver imagen")</f>
        <v/>
      </c>
    </row>
    <row r="2301">
      <c r="A2301" t="inlineStr">
        <is>
          <t>NAUTICA MENS</t>
        </is>
      </c>
      <c r="B2301" t="inlineStr">
        <is>
          <t>208000607</t>
        </is>
      </c>
      <c r="C2301" t="inlineStr">
        <is>
          <t>SOFTSHELL BONDED JACKET</t>
        </is>
      </c>
      <c r="D2301" t="inlineStr">
        <is>
          <t>DDN</t>
        </is>
      </c>
      <c r="E2301" t="inlineStr">
        <is>
          <t>(en blanco)</t>
        </is>
      </c>
      <c r="F2301" t="inlineStr">
        <is>
          <t>B1531</t>
        </is>
      </c>
      <c r="G2301" t="inlineStr">
        <is>
          <t>M</t>
        </is>
      </c>
      <c r="H2301" t="n">
        <v>1</v>
      </c>
      <c r="I2301" t="inlineStr">
        <is>
          <t>NAUTICA_MENS_208000607_DDN_1.jpg</t>
        </is>
      </c>
      <c r="J2301" t="inlineStr">
        <is>
          <t>NAUTICA_MENS_208000607_DDN_2.jpg</t>
        </is>
      </c>
      <c r="K2301" t="inlineStr">
        <is>
          <t>NAUTICA_MENS_208000607_DDN_3.jpg</t>
        </is>
      </c>
      <c r="L2301">
        <f>IMAGE("file:///E:/Estudios%20y%20certificaciones/ESTUDIOS%20DE%20PROGRAMMING/PROGRAMMING/PERSONAL/PYTHON/Image_Generator_API/imagenes/NAUTICA_MENS_208000607_DDN_1.jpg")</f>
        <v/>
      </c>
      <c r="M2301">
        <f>IMAGE("file:///E:/Estudios%20y%20certificaciones/ESTUDIOS%20DE%20PROGRAMMING/PROGRAMMING/PERSONAL/PYTHON/Image_Generator_API/imagenes/NAUTICA_MENS_208000607_DDN_2.jpg")</f>
        <v/>
      </c>
      <c r="N2301">
        <f>IMAGE("file:///E:/Estudios%20y%20certificaciones/ESTUDIOS%20DE%20PROGRAMMING/PROGRAMMING/PERSONAL/PYTHON/Image_Generator_API/imagenes/NAUTICA_MENS_208000607_DDN_3.jpg")</f>
        <v/>
      </c>
      <c r="O2301">
        <f>HYPERLINK("imagenes/NAUTICA_MENS_208000607_DDN_1.jpg","Ver imagen")</f>
        <v/>
      </c>
      <c r="P2301">
        <f>HYPERLINK("imagenes/NAUTICA_MENS_208000607_DDN_2.jpg","Ver imagen")</f>
        <v/>
      </c>
      <c r="Q2301">
        <f>HYPERLINK("imagenes/NAUTICA_MENS_208000607_DDN_3.jpg","Ver imagen")</f>
        <v/>
      </c>
    </row>
    <row r="2302">
      <c r="A2302" t="inlineStr">
        <is>
          <t>NAUTICA MENS</t>
        </is>
      </c>
      <c r="B2302" t="inlineStr">
        <is>
          <t>208000607</t>
        </is>
      </c>
      <c r="C2302" t="inlineStr">
        <is>
          <t>SOFTSHELL BONDED JACKET</t>
        </is>
      </c>
      <c r="D2302" t="inlineStr">
        <is>
          <t>DDN</t>
        </is>
      </c>
      <c r="E2302" t="inlineStr">
        <is>
          <t>(en blanco)</t>
        </is>
      </c>
      <c r="F2302" t="inlineStr">
        <is>
          <t>B1531</t>
        </is>
      </c>
      <c r="G2302" t="inlineStr">
        <is>
          <t>L</t>
        </is>
      </c>
      <c r="H2302" t="n">
        <v>3</v>
      </c>
      <c r="I2302" t="inlineStr">
        <is>
          <t>NAUTICA_MENS_208000607_DDN_1.jpg</t>
        </is>
      </c>
      <c r="J2302" t="inlineStr">
        <is>
          <t>NAUTICA_MENS_208000607_DDN_2.jpg</t>
        </is>
      </c>
      <c r="K2302" t="inlineStr">
        <is>
          <t>NAUTICA_MENS_208000607_DDN_3.jpg</t>
        </is>
      </c>
      <c r="L2302">
        <f>IMAGE("file:///E:/Estudios%20y%20certificaciones/ESTUDIOS%20DE%20PROGRAMMING/PROGRAMMING/PERSONAL/PYTHON/Image_Generator_API/imagenes/NAUTICA_MENS_208000607_DDN_1.jpg")</f>
        <v/>
      </c>
      <c r="M2302">
        <f>IMAGE("file:///E:/Estudios%20y%20certificaciones/ESTUDIOS%20DE%20PROGRAMMING/PROGRAMMING/PERSONAL/PYTHON/Image_Generator_API/imagenes/NAUTICA_MENS_208000607_DDN_2.jpg")</f>
        <v/>
      </c>
      <c r="N2302">
        <f>IMAGE("file:///E:/Estudios%20y%20certificaciones/ESTUDIOS%20DE%20PROGRAMMING/PROGRAMMING/PERSONAL/PYTHON/Image_Generator_API/imagenes/NAUTICA_MENS_208000607_DDN_3.jpg")</f>
        <v/>
      </c>
      <c r="O2302">
        <f>HYPERLINK("imagenes/NAUTICA_MENS_208000607_DDN_1.jpg","Ver imagen")</f>
        <v/>
      </c>
      <c r="P2302">
        <f>HYPERLINK("imagenes/NAUTICA_MENS_208000607_DDN_2.jpg","Ver imagen")</f>
        <v/>
      </c>
      <c r="Q2302">
        <f>HYPERLINK("imagenes/NAUTICA_MENS_208000607_DDN_3.jpg","Ver imagen")</f>
        <v/>
      </c>
    </row>
    <row r="2303">
      <c r="A2303" t="inlineStr">
        <is>
          <t>NAUTICA MENS</t>
        </is>
      </c>
      <c r="B2303" t="inlineStr">
        <is>
          <t>208000607</t>
        </is>
      </c>
      <c r="C2303" t="inlineStr">
        <is>
          <t>SOFTSHELL BONDED JACKET</t>
        </is>
      </c>
      <c r="D2303" t="inlineStr">
        <is>
          <t>DDN</t>
        </is>
      </c>
      <c r="E2303" t="inlineStr">
        <is>
          <t>(en blanco)</t>
        </is>
      </c>
      <c r="F2303" t="inlineStr">
        <is>
          <t>B1531</t>
        </is>
      </c>
      <c r="G2303" t="inlineStr">
        <is>
          <t>XL</t>
        </is>
      </c>
      <c r="H2303" t="n">
        <v>3</v>
      </c>
      <c r="I2303" t="inlineStr">
        <is>
          <t>NAUTICA_MENS_208000607_DDN_1.jpg</t>
        </is>
      </c>
      <c r="J2303" t="inlineStr">
        <is>
          <t>NAUTICA_MENS_208000607_DDN_2.jpg</t>
        </is>
      </c>
      <c r="K2303" t="inlineStr">
        <is>
          <t>NAUTICA_MENS_208000607_DDN_3.jpg</t>
        </is>
      </c>
      <c r="L2303">
        <f>IMAGE("file:///E:/Estudios%20y%20certificaciones/ESTUDIOS%20DE%20PROGRAMMING/PROGRAMMING/PERSONAL/PYTHON/Image_Generator_API/imagenes/NAUTICA_MENS_208000607_DDN_1.jpg")</f>
        <v/>
      </c>
      <c r="M2303">
        <f>IMAGE("file:///E:/Estudios%20y%20certificaciones/ESTUDIOS%20DE%20PROGRAMMING/PROGRAMMING/PERSONAL/PYTHON/Image_Generator_API/imagenes/NAUTICA_MENS_208000607_DDN_2.jpg")</f>
        <v/>
      </c>
      <c r="N2303">
        <f>IMAGE("file:///E:/Estudios%20y%20certificaciones/ESTUDIOS%20DE%20PROGRAMMING/PROGRAMMING/PERSONAL/PYTHON/Image_Generator_API/imagenes/NAUTICA_MENS_208000607_DDN_3.jpg")</f>
        <v/>
      </c>
      <c r="O2303">
        <f>HYPERLINK("imagenes/NAUTICA_MENS_208000607_DDN_1.jpg","Ver imagen")</f>
        <v/>
      </c>
      <c r="P2303">
        <f>HYPERLINK("imagenes/NAUTICA_MENS_208000607_DDN_2.jpg","Ver imagen")</f>
        <v/>
      </c>
      <c r="Q2303">
        <f>HYPERLINK("imagenes/NAUTICA_MENS_208000607_DDN_3.jpg","Ver imagen")</f>
        <v/>
      </c>
    </row>
    <row r="2304">
      <c r="A2304" t="inlineStr">
        <is>
          <t>NAUTICA MENS</t>
        </is>
      </c>
      <c r="B2304" t="inlineStr">
        <is>
          <t>208000607</t>
        </is>
      </c>
      <c r="C2304" t="inlineStr">
        <is>
          <t>SOFTSHELL BONDED JACKET</t>
        </is>
      </c>
      <c r="D2304" t="inlineStr">
        <is>
          <t>DDN</t>
        </is>
      </c>
      <c r="E2304" t="inlineStr">
        <is>
          <t>(en blanco)</t>
        </is>
      </c>
      <c r="F2304" t="inlineStr">
        <is>
          <t>B1531</t>
        </is>
      </c>
      <c r="G2304" t="inlineStr">
        <is>
          <t>XXL</t>
        </is>
      </c>
      <c r="H2304" t="n">
        <v>1</v>
      </c>
      <c r="I2304" t="inlineStr">
        <is>
          <t>NAUTICA_MENS_208000607_DDN_1.jpg</t>
        </is>
      </c>
      <c r="J2304" t="inlineStr">
        <is>
          <t>NAUTICA_MENS_208000607_DDN_2.jpg</t>
        </is>
      </c>
      <c r="K2304" t="inlineStr">
        <is>
          <t>NAUTICA_MENS_208000607_DDN_3.jpg</t>
        </is>
      </c>
      <c r="L2304">
        <f>IMAGE("file:///E:/Estudios%20y%20certificaciones/ESTUDIOS%20DE%20PROGRAMMING/PROGRAMMING/PERSONAL/PYTHON/Image_Generator_API/imagenes/NAUTICA_MENS_208000607_DDN_1.jpg")</f>
        <v/>
      </c>
      <c r="M2304">
        <f>IMAGE("file:///E:/Estudios%20y%20certificaciones/ESTUDIOS%20DE%20PROGRAMMING/PROGRAMMING/PERSONAL/PYTHON/Image_Generator_API/imagenes/NAUTICA_MENS_208000607_DDN_2.jpg")</f>
        <v/>
      </c>
      <c r="N2304">
        <f>IMAGE("file:///E:/Estudios%20y%20certificaciones/ESTUDIOS%20DE%20PROGRAMMING/PROGRAMMING/PERSONAL/PYTHON/Image_Generator_API/imagenes/NAUTICA_MENS_208000607_DDN_3.jpg")</f>
        <v/>
      </c>
      <c r="O2304">
        <f>HYPERLINK("imagenes/NAUTICA_MENS_208000607_DDN_1.jpg","Ver imagen")</f>
        <v/>
      </c>
      <c r="P2304">
        <f>HYPERLINK("imagenes/NAUTICA_MENS_208000607_DDN_2.jpg","Ver imagen")</f>
        <v/>
      </c>
      <c r="Q2304">
        <f>HYPERLINK("imagenes/NAUTICA_MENS_208000607_DDN_3.jpg","Ver imagen")</f>
        <v/>
      </c>
    </row>
    <row r="2305">
      <c r="A2305" t="inlineStr">
        <is>
          <t>NAUTICA MENS</t>
        </is>
      </c>
      <c r="B2305" t="inlineStr">
        <is>
          <t>208000607</t>
        </is>
      </c>
      <c r="C2305" t="inlineStr">
        <is>
          <t>SOFTSHELL BONDED JACKET</t>
        </is>
      </c>
      <c r="D2305" t="inlineStr">
        <is>
          <t>DDN</t>
        </is>
      </c>
      <c r="E2305" t="inlineStr">
        <is>
          <t>(en blanco)</t>
        </is>
      </c>
      <c r="F2305" t="inlineStr">
        <is>
          <t>(en blanco)</t>
        </is>
      </c>
      <c r="G2305" t="inlineStr">
        <is>
          <t>S</t>
        </is>
      </c>
      <c r="H2305" t="n">
        <v>2</v>
      </c>
      <c r="I2305" t="inlineStr">
        <is>
          <t>NAUTICA_MENS_208000607_DDN_1.jpg</t>
        </is>
      </c>
      <c r="J2305" t="inlineStr">
        <is>
          <t>NAUTICA_MENS_208000607_DDN_2.jpg</t>
        </is>
      </c>
      <c r="K2305" t="inlineStr">
        <is>
          <t>NAUTICA_MENS_208000607_DDN_3.jpg</t>
        </is>
      </c>
      <c r="L2305">
        <f>IMAGE("file:///E:/Estudios%20y%20certificaciones/ESTUDIOS%20DE%20PROGRAMMING/PROGRAMMING/PERSONAL/PYTHON/Image_Generator_API/imagenes/NAUTICA_MENS_208000607_DDN_1.jpg")</f>
        <v/>
      </c>
      <c r="M2305">
        <f>IMAGE("file:///E:/Estudios%20y%20certificaciones/ESTUDIOS%20DE%20PROGRAMMING/PROGRAMMING/PERSONAL/PYTHON/Image_Generator_API/imagenes/NAUTICA_MENS_208000607_DDN_2.jpg")</f>
        <v/>
      </c>
      <c r="N2305">
        <f>IMAGE("file:///E:/Estudios%20y%20certificaciones/ESTUDIOS%20DE%20PROGRAMMING/PROGRAMMING/PERSONAL/PYTHON/Image_Generator_API/imagenes/NAUTICA_MENS_208000607_DDN_3.jpg")</f>
        <v/>
      </c>
      <c r="O2305">
        <f>HYPERLINK("imagenes/NAUTICA_MENS_208000607_DDN_1.jpg","Ver imagen")</f>
        <v/>
      </c>
      <c r="P2305">
        <f>HYPERLINK("imagenes/NAUTICA_MENS_208000607_DDN_2.jpg","Ver imagen")</f>
        <v/>
      </c>
      <c r="Q2305">
        <f>HYPERLINK("imagenes/NAUTICA_MENS_208000607_DDN_3.jpg","Ver imagen")</f>
        <v/>
      </c>
    </row>
    <row r="2306">
      <c r="A2306" t="inlineStr">
        <is>
          <t>NAUTICA MENS</t>
        </is>
      </c>
      <c r="B2306" t="inlineStr">
        <is>
          <t>208000607</t>
        </is>
      </c>
      <c r="C2306" t="inlineStr">
        <is>
          <t>SOFTSHELL BONDED JACKET</t>
        </is>
      </c>
      <c r="D2306" t="inlineStr">
        <is>
          <t>DDN</t>
        </is>
      </c>
      <c r="E2306" t="inlineStr">
        <is>
          <t>(en blanco)</t>
        </is>
      </c>
      <c r="F2306" t="inlineStr">
        <is>
          <t>(en blanco)</t>
        </is>
      </c>
      <c r="G2306" t="inlineStr">
        <is>
          <t>L</t>
        </is>
      </c>
      <c r="H2306" t="n">
        <v>8</v>
      </c>
      <c r="I2306" t="inlineStr">
        <is>
          <t>NAUTICA_MENS_208000607_DDN_1.jpg</t>
        </is>
      </c>
      <c r="J2306" t="inlineStr">
        <is>
          <t>NAUTICA_MENS_208000607_DDN_2.jpg</t>
        </is>
      </c>
      <c r="K2306" t="inlineStr">
        <is>
          <t>NAUTICA_MENS_208000607_DDN_3.jpg</t>
        </is>
      </c>
      <c r="L2306">
        <f>IMAGE("file:///E:/Estudios%20y%20certificaciones/ESTUDIOS%20DE%20PROGRAMMING/PROGRAMMING/PERSONAL/PYTHON/Image_Generator_API/imagenes/NAUTICA_MENS_208000607_DDN_1.jpg")</f>
        <v/>
      </c>
      <c r="M2306">
        <f>IMAGE("file:///E:/Estudios%20y%20certificaciones/ESTUDIOS%20DE%20PROGRAMMING/PROGRAMMING/PERSONAL/PYTHON/Image_Generator_API/imagenes/NAUTICA_MENS_208000607_DDN_2.jpg")</f>
        <v/>
      </c>
      <c r="N2306">
        <f>IMAGE("file:///E:/Estudios%20y%20certificaciones/ESTUDIOS%20DE%20PROGRAMMING/PROGRAMMING/PERSONAL/PYTHON/Image_Generator_API/imagenes/NAUTICA_MENS_208000607_DDN_3.jpg")</f>
        <v/>
      </c>
      <c r="O2306">
        <f>HYPERLINK("imagenes/NAUTICA_MENS_208000607_DDN_1.jpg","Ver imagen")</f>
        <v/>
      </c>
      <c r="P2306">
        <f>HYPERLINK("imagenes/NAUTICA_MENS_208000607_DDN_2.jpg","Ver imagen")</f>
        <v/>
      </c>
      <c r="Q2306">
        <f>HYPERLINK("imagenes/NAUTICA_MENS_208000607_DDN_3.jpg","Ver imagen")</f>
        <v/>
      </c>
    </row>
    <row r="2307">
      <c r="A2307" t="inlineStr">
        <is>
          <t>NAUTICA MENS</t>
        </is>
      </c>
      <c r="B2307" t="inlineStr">
        <is>
          <t>208000607</t>
        </is>
      </c>
      <c r="C2307" t="inlineStr">
        <is>
          <t>SOFTSHELL BONDED JACKET</t>
        </is>
      </c>
      <c r="D2307" t="inlineStr">
        <is>
          <t>DDN</t>
        </is>
      </c>
      <c r="E2307" t="inlineStr">
        <is>
          <t>(en blanco)</t>
        </is>
      </c>
      <c r="F2307" t="inlineStr">
        <is>
          <t>(en blanco)</t>
        </is>
      </c>
      <c r="G2307" t="inlineStr">
        <is>
          <t>XL</t>
        </is>
      </c>
      <c r="H2307" t="n">
        <v>2</v>
      </c>
      <c r="I2307" t="inlineStr">
        <is>
          <t>NAUTICA_MENS_208000607_DDN_1.jpg</t>
        </is>
      </c>
      <c r="J2307" t="inlineStr">
        <is>
          <t>NAUTICA_MENS_208000607_DDN_2.jpg</t>
        </is>
      </c>
      <c r="K2307" t="inlineStr">
        <is>
          <t>NAUTICA_MENS_208000607_DDN_3.jpg</t>
        </is>
      </c>
      <c r="L2307">
        <f>IMAGE("file:///E:/Estudios%20y%20certificaciones/ESTUDIOS%20DE%20PROGRAMMING/PROGRAMMING/PERSONAL/PYTHON/Image_Generator_API/imagenes/NAUTICA_MENS_208000607_DDN_1.jpg")</f>
        <v/>
      </c>
      <c r="M2307">
        <f>IMAGE("file:///E:/Estudios%20y%20certificaciones/ESTUDIOS%20DE%20PROGRAMMING/PROGRAMMING/PERSONAL/PYTHON/Image_Generator_API/imagenes/NAUTICA_MENS_208000607_DDN_2.jpg")</f>
        <v/>
      </c>
      <c r="N2307">
        <f>IMAGE("file:///E:/Estudios%20y%20certificaciones/ESTUDIOS%20DE%20PROGRAMMING/PROGRAMMING/PERSONAL/PYTHON/Image_Generator_API/imagenes/NAUTICA_MENS_208000607_DDN_3.jpg")</f>
        <v/>
      </c>
      <c r="O2307">
        <f>HYPERLINK("imagenes/NAUTICA_MENS_208000607_DDN_1.jpg","Ver imagen")</f>
        <v/>
      </c>
      <c r="P2307">
        <f>HYPERLINK("imagenes/NAUTICA_MENS_208000607_DDN_2.jpg","Ver imagen")</f>
        <v/>
      </c>
      <c r="Q2307">
        <f>HYPERLINK("imagenes/NAUTICA_MENS_208000607_DDN_3.jpg","Ver imagen")</f>
        <v/>
      </c>
    </row>
    <row r="2308">
      <c r="A2308" t="inlineStr">
        <is>
          <t>NAUTICA MENS</t>
        </is>
      </c>
      <c r="B2308" t="inlineStr">
        <is>
          <t>208000607</t>
        </is>
      </c>
      <c r="C2308" t="inlineStr">
        <is>
          <t>SOFTSHELL BONDED JACKET</t>
        </is>
      </c>
      <c r="D2308" t="inlineStr">
        <is>
          <t>ERM</t>
        </is>
      </c>
      <c r="E2308" t="inlineStr">
        <is>
          <t>(en blanco)</t>
        </is>
      </c>
      <c r="F2308" t="inlineStr">
        <is>
          <t>(en blanco)</t>
        </is>
      </c>
      <c r="G2308" t="inlineStr">
        <is>
          <t>M</t>
        </is>
      </c>
      <c r="H2308" t="n">
        <v>23</v>
      </c>
      <c r="I2308" t="inlineStr">
        <is>
          <t>NAUTICA_MENS_208000607_ERM_1.jpg</t>
        </is>
      </c>
      <c r="J2308" t="inlineStr">
        <is>
          <t>NAUTICA_MENS_208000607_ERM_2.jpg</t>
        </is>
      </c>
      <c r="K2308" t="inlineStr">
        <is>
          <t>NAUTICA_MENS_208000607_ERM_3.jpg</t>
        </is>
      </c>
      <c r="L2308">
        <f>IMAGE("file:///E:/Estudios%20y%20certificaciones/ESTUDIOS%20DE%20PROGRAMMING/PROGRAMMING/PERSONAL/PYTHON/Image_Generator_API/imagenes/NAUTICA_MENS_208000607_ERM_1.jpg")</f>
        <v/>
      </c>
      <c r="M2308">
        <f>IMAGE("file:///E:/Estudios%20y%20certificaciones/ESTUDIOS%20DE%20PROGRAMMING/PROGRAMMING/PERSONAL/PYTHON/Image_Generator_API/imagenes/NAUTICA_MENS_208000607_ERM_2.jpg")</f>
        <v/>
      </c>
      <c r="N2308">
        <f>IMAGE("file:///E:/Estudios%20y%20certificaciones/ESTUDIOS%20DE%20PROGRAMMING/PROGRAMMING/PERSONAL/PYTHON/Image_Generator_API/imagenes/NAUTICA_MENS_208000607_ERM_3.jpg")</f>
        <v/>
      </c>
      <c r="O2308">
        <f>HYPERLINK("imagenes/NAUTICA_MENS_208000607_ERM_1.jpg","Ver imagen")</f>
        <v/>
      </c>
      <c r="P2308">
        <f>HYPERLINK("imagenes/NAUTICA_MENS_208000607_ERM_2.jpg","Ver imagen")</f>
        <v/>
      </c>
      <c r="Q2308">
        <f>HYPERLINK("imagenes/NAUTICA_MENS_208000607_ERM_3.jpg","Ver imagen")</f>
        <v/>
      </c>
    </row>
    <row r="2309">
      <c r="A2309" t="inlineStr">
        <is>
          <t>NAUTICA MENS</t>
        </is>
      </c>
      <c r="B2309" t="inlineStr">
        <is>
          <t>208000607</t>
        </is>
      </c>
      <c r="C2309" t="inlineStr">
        <is>
          <t>SOFTSHELL BONDED JACKET</t>
        </is>
      </c>
      <c r="D2309" t="inlineStr">
        <is>
          <t>ERM</t>
        </is>
      </c>
      <c r="E2309" t="inlineStr">
        <is>
          <t>(en blanco)</t>
        </is>
      </c>
      <c r="F2309" t="inlineStr">
        <is>
          <t>(en blanco)</t>
        </is>
      </c>
      <c r="G2309" t="inlineStr">
        <is>
          <t>L</t>
        </is>
      </c>
      <c r="H2309" t="n">
        <v>28</v>
      </c>
      <c r="I2309" t="inlineStr">
        <is>
          <t>NAUTICA_MENS_208000607_ERM_1.jpg</t>
        </is>
      </c>
      <c r="J2309" t="inlineStr">
        <is>
          <t>NAUTICA_MENS_208000607_ERM_2.jpg</t>
        </is>
      </c>
      <c r="K2309" t="inlineStr">
        <is>
          <t>NAUTICA_MENS_208000607_ERM_3.jpg</t>
        </is>
      </c>
      <c r="L2309">
        <f>IMAGE("file:///E:/Estudios%20y%20certificaciones/ESTUDIOS%20DE%20PROGRAMMING/PROGRAMMING/PERSONAL/PYTHON/Image_Generator_API/imagenes/NAUTICA_MENS_208000607_ERM_1.jpg")</f>
        <v/>
      </c>
      <c r="M2309">
        <f>IMAGE("file:///E:/Estudios%20y%20certificaciones/ESTUDIOS%20DE%20PROGRAMMING/PROGRAMMING/PERSONAL/PYTHON/Image_Generator_API/imagenes/NAUTICA_MENS_208000607_ERM_2.jpg")</f>
        <v/>
      </c>
      <c r="N2309">
        <f>IMAGE("file:///E:/Estudios%20y%20certificaciones/ESTUDIOS%20DE%20PROGRAMMING/PROGRAMMING/PERSONAL/PYTHON/Image_Generator_API/imagenes/NAUTICA_MENS_208000607_ERM_3.jpg")</f>
        <v/>
      </c>
      <c r="O2309">
        <f>HYPERLINK("imagenes/NAUTICA_MENS_208000607_ERM_1.jpg","Ver imagen")</f>
        <v/>
      </c>
      <c r="P2309">
        <f>HYPERLINK("imagenes/NAUTICA_MENS_208000607_ERM_2.jpg","Ver imagen")</f>
        <v/>
      </c>
      <c r="Q2309">
        <f>HYPERLINK("imagenes/NAUTICA_MENS_208000607_ERM_3.jpg","Ver imagen")</f>
        <v/>
      </c>
    </row>
    <row r="2310">
      <c r="A2310" t="inlineStr">
        <is>
          <t>NAUTICA MENS</t>
        </is>
      </c>
      <c r="B2310" t="inlineStr">
        <is>
          <t>208000607</t>
        </is>
      </c>
      <c r="C2310" t="inlineStr">
        <is>
          <t>SOFTSHELL BONDED JACKET</t>
        </is>
      </c>
      <c r="D2310" t="inlineStr">
        <is>
          <t>ERM</t>
        </is>
      </c>
      <c r="E2310" t="inlineStr">
        <is>
          <t>(en blanco)</t>
        </is>
      </c>
      <c r="F2310" t="inlineStr">
        <is>
          <t>(en blanco)</t>
        </is>
      </c>
      <c r="G2310" t="inlineStr">
        <is>
          <t>XL</t>
        </is>
      </c>
      <c r="H2310" t="n">
        <v>51</v>
      </c>
      <c r="I2310" t="inlineStr">
        <is>
          <t>NAUTICA_MENS_208000607_ERM_1.jpg</t>
        </is>
      </c>
      <c r="J2310" t="inlineStr">
        <is>
          <t>NAUTICA_MENS_208000607_ERM_2.jpg</t>
        </is>
      </c>
      <c r="K2310" t="inlineStr">
        <is>
          <t>NAUTICA_MENS_208000607_ERM_3.jpg</t>
        </is>
      </c>
      <c r="L2310">
        <f>IMAGE("file:///E:/Estudios%20y%20certificaciones/ESTUDIOS%20DE%20PROGRAMMING/PROGRAMMING/PERSONAL/PYTHON/Image_Generator_API/imagenes/NAUTICA_MENS_208000607_ERM_1.jpg")</f>
        <v/>
      </c>
      <c r="M2310">
        <f>IMAGE("file:///E:/Estudios%20y%20certificaciones/ESTUDIOS%20DE%20PROGRAMMING/PROGRAMMING/PERSONAL/PYTHON/Image_Generator_API/imagenes/NAUTICA_MENS_208000607_ERM_2.jpg")</f>
        <v/>
      </c>
      <c r="N2310">
        <f>IMAGE("file:///E:/Estudios%20y%20certificaciones/ESTUDIOS%20DE%20PROGRAMMING/PROGRAMMING/PERSONAL/PYTHON/Image_Generator_API/imagenes/NAUTICA_MENS_208000607_ERM_3.jpg")</f>
        <v/>
      </c>
      <c r="O2310">
        <f>HYPERLINK("imagenes/NAUTICA_MENS_208000607_ERM_1.jpg","Ver imagen")</f>
        <v/>
      </c>
      <c r="P2310">
        <f>HYPERLINK("imagenes/NAUTICA_MENS_208000607_ERM_2.jpg","Ver imagen")</f>
        <v/>
      </c>
      <c r="Q2310">
        <f>HYPERLINK("imagenes/NAUTICA_MENS_208000607_ERM_3.jpg","Ver imagen")</f>
        <v/>
      </c>
    </row>
    <row r="2311">
      <c r="A2311" t="inlineStr">
        <is>
          <t>NAUTICA MENS</t>
        </is>
      </c>
      <c r="B2311" t="inlineStr">
        <is>
          <t>208000607</t>
        </is>
      </c>
      <c r="C2311" t="inlineStr">
        <is>
          <t>SOFTSHELL BONDED JACKET</t>
        </is>
      </c>
      <c r="D2311" t="inlineStr">
        <is>
          <t>ERM</t>
        </is>
      </c>
      <c r="E2311" t="inlineStr">
        <is>
          <t>(en blanco)</t>
        </is>
      </c>
      <c r="F2311" t="inlineStr">
        <is>
          <t>(en blanco)</t>
        </is>
      </c>
      <c r="G2311" t="inlineStr">
        <is>
          <t>XXL</t>
        </is>
      </c>
      <c r="H2311" t="n">
        <v>14</v>
      </c>
      <c r="I2311" t="inlineStr">
        <is>
          <t>NAUTICA_MENS_208000607_ERM_1.jpg</t>
        </is>
      </c>
      <c r="J2311" t="inlineStr">
        <is>
          <t>NAUTICA_MENS_208000607_ERM_2.jpg</t>
        </is>
      </c>
      <c r="K2311" t="inlineStr">
        <is>
          <t>NAUTICA_MENS_208000607_ERM_3.jpg</t>
        </is>
      </c>
      <c r="L2311">
        <f>IMAGE("file:///E:/Estudios%20y%20certificaciones/ESTUDIOS%20DE%20PROGRAMMING/PROGRAMMING/PERSONAL/PYTHON/Image_Generator_API/imagenes/NAUTICA_MENS_208000607_ERM_1.jpg")</f>
        <v/>
      </c>
      <c r="M2311">
        <f>IMAGE("file:///E:/Estudios%20y%20certificaciones/ESTUDIOS%20DE%20PROGRAMMING/PROGRAMMING/PERSONAL/PYTHON/Image_Generator_API/imagenes/NAUTICA_MENS_208000607_ERM_2.jpg")</f>
        <v/>
      </c>
      <c r="N2311">
        <f>IMAGE("file:///E:/Estudios%20y%20certificaciones/ESTUDIOS%20DE%20PROGRAMMING/PROGRAMMING/PERSONAL/PYTHON/Image_Generator_API/imagenes/NAUTICA_MENS_208000607_ERM_3.jpg")</f>
        <v/>
      </c>
      <c r="O2311">
        <f>HYPERLINK("imagenes/NAUTICA_MENS_208000607_ERM_1.jpg","Ver imagen")</f>
        <v/>
      </c>
      <c r="P2311">
        <f>HYPERLINK("imagenes/NAUTICA_MENS_208000607_ERM_2.jpg","Ver imagen")</f>
        <v/>
      </c>
      <c r="Q2311">
        <f>HYPERLINK("imagenes/NAUTICA_MENS_208000607_ERM_3.jpg","Ver imagen")</f>
        <v/>
      </c>
    </row>
    <row r="2312">
      <c r="A2312" t="inlineStr">
        <is>
          <t>NAUTICA MENS</t>
        </is>
      </c>
      <c r="B2312" t="inlineStr">
        <is>
          <t>208000607</t>
        </is>
      </c>
      <c r="C2312" t="inlineStr">
        <is>
          <t>SOFTSHELL BONDED JACKET</t>
        </is>
      </c>
      <c r="D2312" t="inlineStr">
        <is>
          <t>MTA</t>
        </is>
      </c>
      <c r="E2312" t="inlineStr">
        <is>
          <t>12A08</t>
        </is>
      </c>
      <c r="F2312" t="inlineStr">
        <is>
          <t>(en blanco)</t>
        </is>
      </c>
      <c r="G2312" t="inlineStr">
        <is>
          <t>PPK</t>
        </is>
      </c>
      <c r="H2312" t="n">
        <v>0</v>
      </c>
      <c r="I2312" t="inlineStr">
        <is>
          <t>NAUTICA_MENS_208000607_MTA_1.jpg</t>
        </is>
      </c>
      <c r="J2312" t="inlineStr">
        <is>
          <t>NAUTICA_MENS_208000607_MTA_2.jpg</t>
        </is>
      </c>
      <c r="K2312" t="inlineStr">
        <is>
          <t>NAUTICA_MENS_208000607_MTA_3.jpg</t>
        </is>
      </c>
      <c r="L2312">
        <f>IMAGE("file:///E:/Estudios%20y%20certificaciones/ESTUDIOS%20DE%20PROGRAMMING/PROGRAMMING/PERSONAL/PYTHON/Image_Generator_API/imagenes/NAUTICA_MENS_208000607_MTA_1.jpg")</f>
        <v/>
      </c>
      <c r="M2312">
        <f>IMAGE("file:///E:/Estudios%20y%20certificaciones/ESTUDIOS%20DE%20PROGRAMMING/PROGRAMMING/PERSONAL/PYTHON/Image_Generator_API/imagenes/NAUTICA_MENS_208000607_MTA_2.jpg")</f>
        <v/>
      </c>
      <c r="N2312">
        <f>IMAGE("file:///E:/Estudios%20y%20certificaciones/ESTUDIOS%20DE%20PROGRAMMING/PROGRAMMING/PERSONAL/PYTHON/Image_Generator_API/imagenes/NAUTICA_MENS_208000607_MTA_3.jpg")</f>
        <v/>
      </c>
      <c r="O2312">
        <f>HYPERLINK("imagenes/NAUTICA_MENS_208000607_MTA_1.jpg","Ver imagen")</f>
        <v/>
      </c>
      <c r="P2312">
        <f>HYPERLINK("imagenes/NAUTICA_MENS_208000607_MTA_2.jpg","Ver imagen")</f>
        <v/>
      </c>
      <c r="Q2312">
        <f>HYPERLINK("imagenes/NAUTICA_MENS_208000607_MTA_3.jpg","Ver imagen")</f>
        <v/>
      </c>
    </row>
    <row r="2313">
      <c r="A2313" t="inlineStr">
        <is>
          <t>NAUTICA MENS</t>
        </is>
      </c>
      <c r="B2313" t="inlineStr">
        <is>
          <t>208000607</t>
        </is>
      </c>
      <c r="C2313" t="inlineStr">
        <is>
          <t>SOFTSHELL BONDED JACKET</t>
        </is>
      </c>
      <c r="D2313" t="inlineStr">
        <is>
          <t>MTA</t>
        </is>
      </c>
      <c r="E2313" t="inlineStr">
        <is>
          <t>12A09</t>
        </is>
      </c>
      <c r="F2313" t="inlineStr">
        <is>
          <t>(en blanco)</t>
        </is>
      </c>
      <c r="G2313" t="inlineStr">
        <is>
          <t>PPK</t>
        </is>
      </c>
      <c r="H2313" t="n">
        <v>936</v>
      </c>
      <c r="I2313" t="inlineStr">
        <is>
          <t>NAUTICA_MENS_208000607_MTA_1.jpg</t>
        </is>
      </c>
      <c r="J2313" t="inlineStr">
        <is>
          <t>NAUTICA_MENS_208000607_MTA_2.jpg</t>
        </is>
      </c>
      <c r="K2313" t="inlineStr">
        <is>
          <t>NAUTICA_MENS_208000607_MTA_3.jpg</t>
        </is>
      </c>
      <c r="L2313">
        <f>IMAGE("file:///E:/Estudios%20y%20certificaciones/ESTUDIOS%20DE%20PROGRAMMING/PROGRAMMING/PERSONAL/PYTHON/Image_Generator_API/imagenes/NAUTICA_MENS_208000607_MTA_1.jpg")</f>
        <v/>
      </c>
      <c r="M2313">
        <f>IMAGE("file:///E:/Estudios%20y%20certificaciones/ESTUDIOS%20DE%20PROGRAMMING/PROGRAMMING/PERSONAL/PYTHON/Image_Generator_API/imagenes/NAUTICA_MENS_208000607_MTA_2.jpg")</f>
        <v/>
      </c>
      <c r="N2313">
        <f>IMAGE("file:///E:/Estudios%20y%20certificaciones/ESTUDIOS%20DE%20PROGRAMMING/PROGRAMMING/PERSONAL/PYTHON/Image_Generator_API/imagenes/NAUTICA_MENS_208000607_MTA_3.jpg")</f>
        <v/>
      </c>
      <c r="O2313">
        <f>HYPERLINK("imagenes/NAUTICA_MENS_208000607_MTA_1.jpg","Ver imagen")</f>
        <v/>
      </c>
      <c r="P2313">
        <f>HYPERLINK("imagenes/NAUTICA_MENS_208000607_MTA_2.jpg","Ver imagen")</f>
        <v/>
      </c>
      <c r="Q2313">
        <f>HYPERLINK("imagenes/NAUTICA_MENS_208000607_MTA_3.jpg","Ver imagen")</f>
        <v/>
      </c>
    </row>
    <row r="2314">
      <c r="A2314" t="inlineStr">
        <is>
          <t>NAUTICA MENS</t>
        </is>
      </c>
      <c r="B2314" t="inlineStr">
        <is>
          <t>208000607</t>
        </is>
      </c>
      <c r="C2314" t="inlineStr">
        <is>
          <t>SOFTSHELL BONDED JACKET</t>
        </is>
      </c>
      <c r="D2314" t="inlineStr">
        <is>
          <t>MTA</t>
        </is>
      </c>
      <c r="E2314" t="inlineStr">
        <is>
          <t>(en blanco)</t>
        </is>
      </c>
      <c r="F2314" t="inlineStr">
        <is>
          <t>(en blanco)</t>
        </is>
      </c>
      <c r="G2314" t="inlineStr">
        <is>
          <t>S</t>
        </is>
      </c>
      <c r="H2314" t="n">
        <v>2</v>
      </c>
      <c r="I2314" t="inlineStr">
        <is>
          <t>NAUTICA_MENS_208000607_MTA_1.jpg</t>
        </is>
      </c>
      <c r="J2314" t="inlineStr">
        <is>
          <t>NAUTICA_MENS_208000607_MTA_2.jpg</t>
        </is>
      </c>
      <c r="K2314" t="inlineStr">
        <is>
          <t>NAUTICA_MENS_208000607_MTA_3.jpg</t>
        </is>
      </c>
      <c r="L2314">
        <f>IMAGE("file:///E:/Estudios%20y%20certificaciones/ESTUDIOS%20DE%20PROGRAMMING/PROGRAMMING/PERSONAL/PYTHON/Image_Generator_API/imagenes/NAUTICA_MENS_208000607_MTA_1.jpg")</f>
        <v/>
      </c>
      <c r="M2314">
        <f>IMAGE("file:///E:/Estudios%20y%20certificaciones/ESTUDIOS%20DE%20PROGRAMMING/PROGRAMMING/PERSONAL/PYTHON/Image_Generator_API/imagenes/NAUTICA_MENS_208000607_MTA_2.jpg")</f>
        <v/>
      </c>
      <c r="N2314">
        <f>IMAGE("file:///E:/Estudios%20y%20certificaciones/ESTUDIOS%20DE%20PROGRAMMING/PROGRAMMING/PERSONAL/PYTHON/Image_Generator_API/imagenes/NAUTICA_MENS_208000607_MTA_3.jpg")</f>
        <v/>
      </c>
      <c r="O2314">
        <f>HYPERLINK("imagenes/NAUTICA_MENS_208000607_MTA_1.jpg","Ver imagen")</f>
        <v/>
      </c>
      <c r="P2314">
        <f>HYPERLINK("imagenes/NAUTICA_MENS_208000607_MTA_2.jpg","Ver imagen")</f>
        <v/>
      </c>
      <c r="Q2314">
        <f>HYPERLINK("imagenes/NAUTICA_MENS_208000607_MTA_3.jpg","Ver imagen")</f>
        <v/>
      </c>
    </row>
    <row r="2315">
      <c r="A2315" t="inlineStr">
        <is>
          <t>NAUTICA MENS</t>
        </is>
      </c>
      <c r="B2315" t="inlineStr">
        <is>
          <t>208000607</t>
        </is>
      </c>
      <c r="C2315" t="inlineStr">
        <is>
          <t>SOFTSHELL BONDED JACKET</t>
        </is>
      </c>
      <c r="D2315" t="inlineStr">
        <is>
          <t>MTA</t>
        </is>
      </c>
      <c r="E2315" t="inlineStr">
        <is>
          <t>(en blanco)</t>
        </is>
      </c>
      <c r="F2315" t="inlineStr">
        <is>
          <t>(en blanco)</t>
        </is>
      </c>
      <c r="G2315" t="inlineStr">
        <is>
          <t>M</t>
        </is>
      </c>
      <c r="H2315" t="n">
        <v>12</v>
      </c>
      <c r="I2315" t="inlineStr">
        <is>
          <t>NAUTICA_MENS_208000607_MTA_1.jpg</t>
        </is>
      </c>
      <c r="J2315" t="inlineStr">
        <is>
          <t>NAUTICA_MENS_208000607_MTA_2.jpg</t>
        </is>
      </c>
      <c r="K2315" t="inlineStr">
        <is>
          <t>NAUTICA_MENS_208000607_MTA_3.jpg</t>
        </is>
      </c>
      <c r="L2315">
        <f>IMAGE("file:///E:/Estudios%20y%20certificaciones/ESTUDIOS%20DE%20PROGRAMMING/PROGRAMMING/PERSONAL/PYTHON/Image_Generator_API/imagenes/NAUTICA_MENS_208000607_MTA_1.jpg")</f>
        <v/>
      </c>
      <c r="M2315">
        <f>IMAGE("file:///E:/Estudios%20y%20certificaciones/ESTUDIOS%20DE%20PROGRAMMING/PROGRAMMING/PERSONAL/PYTHON/Image_Generator_API/imagenes/NAUTICA_MENS_208000607_MTA_2.jpg")</f>
        <v/>
      </c>
      <c r="N2315">
        <f>IMAGE("file:///E:/Estudios%20y%20certificaciones/ESTUDIOS%20DE%20PROGRAMMING/PROGRAMMING/PERSONAL/PYTHON/Image_Generator_API/imagenes/NAUTICA_MENS_208000607_MTA_3.jpg")</f>
        <v/>
      </c>
      <c r="O2315">
        <f>HYPERLINK("imagenes/NAUTICA_MENS_208000607_MTA_1.jpg","Ver imagen")</f>
        <v/>
      </c>
      <c r="P2315">
        <f>HYPERLINK("imagenes/NAUTICA_MENS_208000607_MTA_2.jpg","Ver imagen")</f>
        <v/>
      </c>
      <c r="Q2315">
        <f>HYPERLINK("imagenes/NAUTICA_MENS_208000607_MTA_3.jpg","Ver imagen")</f>
        <v/>
      </c>
    </row>
    <row r="2316">
      <c r="A2316" t="inlineStr">
        <is>
          <t>NAUTICA MENS</t>
        </is>
      </c>
      <c r="B2316" t="inlineStr">
        <is>
          <t>208000607</t>
        </is>
      </c>
      <c r="C2316" t="inlineStr">
        <is>
          <t>SOFTSHELL BONDED JACKET</t>
        </is>
      </c>
      <c r="D2316" t="inlineStr">
        <is>
          <t>MTA</t>
        </is>
      </c>
      <c r="E2316" t="inlineStr">
        <is>
          <t>(en blanco)</t>
        </is>
      </c>
      <c r="F2316" t="inlineStr">
        <is>
          <t>(en blanco)</t>
        </is>
      </c>
      <c r="G2316" t="inlineStr">
        <is>
          <t>L</t>
        </is>
      </c>
      <c r="H2316" t="n">
        <v>14</v>
      </c>
      <c r="I2316" t="inlineStr">
        <is>
          <t>NAUTICA_MENS_208000607_MTA_1.jpg</t>
        </is>
      </c>
      <c r="J2316" t="inlineStr">
        <is>
          <t>NAUTICA_MENS_208000607_MTA_2.jpg</t>
        </is>
      </c>
      <c r="K2316" t="inlineStr">
        <is>
          <t>NAUTICA_MENS_208000607_MTA_3.jpg</t>
        </is>
      </c>
      <c r="L2316">
        <f>IMAGE("file:///E:/Estudios%20y%20certificaciones/ESTUDIOS%20DE%20PROGRAMMING/PROGRAMMING/PERSONAL/PYTHON/Image_Generator_API/imagenes/NAUTICA_MENS_208000607_MTA_1.jpg")</f>
        <v/>
      </c>
      <c r="M2316">
        <f>IMAGE("file:///E:/Estudios%20y%20certificaciones/ESTUDIOS%20DE%20PROGRAMMING/PROGRAMMING/PERSONAL/PYTHON/Image_Generator_API/imagenes/NAUTICA_MENS_208000607_MTA_2.jpg")</f>
        <v/>
      </c>
      <c r="N2316">
        <f>IMAGE("file:///E:/Estudios%20y%20certificaciones/ESTUDIOS%20DE%20PROGRAMMING/PROGRAMMING/PERSONAL/PYTHON/Image_Generator_API/imagenes/NAUTICA_MENS_208000607_MTA_3.jpg")</f>
        <v/>
      </c>
      <c r="O2316">
        <f>HYPERLINK("imagenes/NAUTICA_MENS_208000607_MTA_1.jpg","Ver imagen")</f>
        <v/>
      </c>
      <c r="P2316">
        <f>HYPERLINK("imagenes/NAUTICA_MENS_208000607_MTA_2.jpg","Ver imagen")</f>
        <v/>
      </c>
      <c r="Q2316">
        <f>HYPERLINK("imagenes/NAUTICA_MENS_208000607_MTA_3.jpg","Ver imagen")</f>
        <v/>
      </c>
    </row>
    <row r="2317">
      <c r="A2317" t="inlineStr">
        <is>
          <t>NAUTICA MENS</t>
        </is>
      </c>
      <c r="B2317" t="inlineStr">
        <is>
          <t>208000607</t>
        </is>
      </c>
      <c r="C2317" t="inlineStr">
        <is>
          <t>SOFTSHELL BONDED JACKET</t>
        </is>
      </c>
      <c r="D2317" t="inlineStr">
        <is>
          <t>MTA</t>
        </is>
      </c>
      <c r="E2317" t="inlineStr">
        <is>
          <t>(en blanco)</t>
        </is>
      </c>
      <c r="F2317" t="inlineStr">
        <is>
          <t>(en blanco)</t>
        </is>
      </c>
      <c r="G2317" t="inlineStr">
        <is>
          <t>XL</t>
        </is>
      </c>
      <c r="H2317" t="n">
        <v>10</v>
      </c>
      <c r="I2317" t="inlineStr">
        <is>
          <t>NAUTICA_MENS_208000607_MTA_1.jpg</t>
        </is>
      </c>
      <c r="J2317" t="inlineStr">
        <is>
          <t>NAUTICA_MENS_208000607_MTA_2.jpg</t>
        </is>
      </c>
      <c r="K2317" t="inlineStr">
        <is>
          <t>NAUTICA_MENS_208000607_MTA_3.jpg</t>
        </is>
      </c>
      <c r="L2317">
        <f>IMAGE("file:///E:/Estudios%20y%20certificaciones/ESTUDIOS%20DE%20PROGRAMMING/PROGRAMMING/PERSONAL/PYTHON/Image_Generator_API/imagenes/NAUTICA_MENS_208000607_MTA_1.jpg")</f>
        <v/>
      </c>
      <c r="M2317">
        <f>IMAGE("file:///E:/Estudios%20y%20certificaciones/ESTUDIOS%20DE%20PROGRAMMING/PROGRAMMING/PERSONAL/PYTHON/Image_Generator_API/imagenes/NAUTICA_MENS_208000607_MTA_2.jpg")</f>
        <v/>
      </c>
      <c r="N2317">
        <f>IMAGE("file:///E:/Estudios%20y%20certificaciones/ESTUDIOS%20DE%20PROGRAMMING/PROGRAMMING/PERSONAL/PYTHON/Image_Generator_API/imagenes/NAUTICA_MENS_208000607_MTA_3.jpg")</f>
        <v/>
      </c>
      <c r="O2317">
        <f>HYPERLINK("imagenes/NAUTICA_MENS_208000607_MTA_1.jpg","Ver imagen")</f>
        <v/>
      </c>
      <c r="P2317">
        <f>HYPERLINK("imagenes/NAUTICA_MENS_208000607_MTA_2.jpg","Ver imagen")</f>
        <v/>
      </c>
      <c r="Q2317">
        <f>HYPERLINK("imagenes/NAUTICA_MENS_208000607_MTA_3.jpg","Ver imagen")</f>
        <v/>
      </c>
    </row>
    <row r="2318">
      <c r="A2318" t="inlineStr">
        <is>
          <t>NAUTICA MENS</t>
        </is>
      </c>
      <c r="B2318" t="inlineStr">
        <is>
          <t>208000607</t>
        </is>
      </c>
      <c r="C2318" t="inlineStr">
        <is>
          <t>SOFTSHELL BONDED JACKET</t>
        </is>
      </c>
      <c r="D2318" t="inlineStr">
        <is>
          <t>SMG</t>
        </is>
      </c>
      <c r="E2318" t="inlineStr">
        <is>
          <t>(en blanco)</t>
        </is>
      </c>
      <c r="F2318" t="inlineStr">
        <is>
          <t>(en blanco)</t>
        </is>
      </c>
      <c r="G2318" t="inlineStr">
        <is>
          <t>M</t>
        </is>
      </c>
      <c r="H2318" t="n">
        <v>44</v>
      </c>
      <c r="I2318" t="inlineStr">
        <is>
          <t>NAUTICA_MENS_208000607_SMG_1.jpg</t>
        </is>
      </c>
      <c r="J2318" t="inlineStr">
        <is>
          <t>NAUTICA_MENS_208000607_SMG_2.jpg</t>
        </is>
      </c>
      <c r="K2318" t="inlineStr">
        <is>
          <t>NAUTICA_MENS_208000607_SMG_3.jpg</t>
        </is>
      </c>
      <c r="L2318">
        <f>IMAGE("file:///E:/Estudios%20y%20certificaciones/ESTUDIOS%20DE%20PROGRAMMING/PROGRAMMING/PERSONAL/PYTHON/Image_Generator_API/imagenes/NAUTICA_MENS_208000607_SMG_1.jpg")</f>
        <v/>
      </c>
      <c r="M2318">
        <f>IMAGE("file:///E:/Estudios%20y%20certificaciones/ESTUDIOS%20DE%20PROGRAMMING/PROGRAMMING/PERSONAL/PYTHON/Image_Generator_API/imagenes/NAUTICA_MENS_208000607_SMG_2.jpg")</f>
        <v/>
      </c>
      <c r="N2318">
        <f>IMAGE("file:///E:/Estudios%20y%20certificaciones/ESTUDIOS%20DE%20PROGRAMMING/PROGRAMMING/PERSONAL/PYTHON/Image_Generator_API/imagenes/NAUTICA_MENS_208000607_SMG_3.jpg")</f>
        <v/>
      </c>
      <c r="O2318">
        <f>HYPERLINK("imagenes/NAUTICA_MENS_208000607_SMG_1.jpg","Ver imagen")</f>
        <v/>
      </c>
      <c r="P2318">
        <f>HYPERLINK("imagenes/NAUTICA_MENS_208000607_SMG_2.jpg","Ver imagen")</f>
        <v/>
      </c>
      <c r="Q2318">
        <f>HYPERLINK("imagenes/NAUTICA_MENS_208000607_SMG_3.jpg","Ver imagen")</f>
        <v/>
      </c>
    </row>
    <row r="2319">
      <c r="A2319" t="inlineStr">
        <is>
          <t>NAUTICA MENS</t>
        </is>
      </c>
      <c r="B2319" t="inlineStr">
        <is>
          <t>208000607</t>
        </is>
      </c>
      <c r="C2319" t="inlineStr">
        <is>
          <t>SOFTSHELL BONDED JACKET</t>
        </is>
      </c>
      <c r="D2319" t="inlineStr">
        <is>
          <t>SMG</t>
        </is>
      </c>
      <c r="E2319" t="inlineStr">
        <is>
          <t>(en blanco)</t>
        </is>
      </c>
      <c r="F2319" t="inlineStr">
        <is>
          <t>(en blanco)</t>
        </is>
      </c>
      <c r="G2319" t="inlineStr">
        <is>
          <t>L</t>
        </is>
      </c>
      <c r="H2319" t="n">
        <v>79</v>
      </c>
      <c r="I2319" t="inlineStr">
        <is>
          <t>NAUTICA_MENS_208000607_SMG_1.jpg</t>
        </is>
      </c>
      <c r="J2319" t="inlineStr">
        <is>
          <t>NAUTICA_MENS_208000607_SMG_2.jpg</t>
        </is>
      </c>
      <c r="K2319" t="inlineStr">
        <is>
          <t>NAUTICA_MENS_208000607_SMG_3.jpg</t>
        </is>
      </c>
      <c r="L2319">
        <f>IMAGE("file:///E:/Estudios%20y%20certificaciones/ESTUDIOS%20DE%20PROGRAMMING/PROGRAMMING/PERSONAL/PYTHON/Image_Generator_API/imagenes/NAUTICA_MENS_208000607_SMG_1.jpg")</f>
        <v/>
      </c>
      <c r="M2319">
        <f>IMAGE("file:///E:/Estudios%20y%20certificaciones/ESTUDIOS%20DE%20PROGRAMMING/PROGRAMMING/PERSONAL/PYTHON/Image_Generator_API/imagenes/NAUTICA_MENS_208000607_SMG_2.jpg")</f>
        <v/>
      </c>
      <c r="N2319">
        <f>IMAGE("file:///E:/Estudios%20y%20certificaciones/ESTUDIOS%20DE%20PROGRAMMING/PROGRAMMING/PERSONAL/PYTHON/Image_Generator_API/imagenes/NAUTICA_MENS_208000607_SMG_3.jpg")</f>
        <v/>
      </c>
      <c r="O2319">
        <f>HYPERLINK("imagenes/NAUTICA_MENS_208000607_SMG_1.jpg","Ver imagen")</f>
        <v/>
      </c>
      <c r="P2319">
        <f>HYPERLINK("imagenes/NAUTICA_MENS_208000607_SMG_2.jpg","Ver imagen")</f>
        <v/>
      </c>
      <c r="Q2319">
        <f>HYPERLINK("imagenes/NAUTICA_MENS_208000607_SMG_3.jpg","Ver imagen")</f>
        <v/>
      </c>
    </row>
    <row r="2320">
      <c r="A2320" t="inlineStr">
        <is>
          <t>NAUTICA MENS</t>
        </is>
      </c>
      <c r="B2320" t="inlineStr">
        <is>
          <t>208000607</t>
        </is>
      </c>
      <c r="C2320" t="inlineStr">
        <is>
          <t>SOFTSHELL BONDED JACKET</t>
        </is>
      </c>
      <c r="D2320" t="inlineStr">
        <is>
          <t>SMG</t>
        </is>
      </c>
      <c r="E2320" t="inlineStr">
        <is>
          <t>(en blanco)</t>
        </is>
      </c>
      <c r="F2320" t="inlineStr">
        <is>
          <t>(en blanco)</t>
        </is>
      </c>
      <c r="G2320" t="inlineStr">
        <is>
          <t>XL</t>
        </is>
      </c>
      <c r="H2320" t="n">
        <v>102</v>
      </c>
      <c r="I2320" t="inlineStr">
        <is>
          <t>NAUTICA_MENS_208000607_SMG_1.jpg</t>
        </is>
      </c>
      <c r="J2320" t="inlineStr">
        <is>
          <t>NAUTICA_MENS_208000607_SMG_2.jpg</t>
        </is>
      </c>
      <c r="K2320" t="inlineStr">
        <is>
          <t>NAUTICA_MENS_208000607_SMG_3.jpg</t>
        </is>
      </c>
      <c r="L2320">
        <f>IMAGE("file:///E:/Estudios%20y%20certificaciones/ESTUDIOS%20DE%20PROGRAMMING/PROGRAMMING/PERSONAL/PYTHON/Image_Generator_API/imagenes/NAUTICA_MENS_208000607_SMG_1.jpg")</f>
        <v/>
      </c>
      <c r="M2320">
        <f>IMAGE("file:///E:/Estudios%20y%20certificaciones/ESTUDIOS%20DE%20PROGRAMMING/PROGRAMMING/PERSONAL/PYTHON/Image_Generator_API/imagenes/NAUTICA_MENS_208000607_SMG_2.jpg")</f>
        <v/>
      </c>
      <c r="N2320">
        <f>IMAGE("file:///E:/Estudios%20y%20certificaciones/ESTUDIOS%20DE%20PROGRAMMING/PROGRAMMING/PERSONAL/PYTHON/Image_Generator_API/imagenes/NAUTICA_MENS_208000607_SMG_3.jpg")</f>
        <v/>
      </c>
      <c r="O2320">
        <f>HYPERLINK("imagenes/NAUTICA_MENS_208000607_SMG_1.jpg","Ver imagen")</f>
        <v/>
      </c>
      <c r="P2320">
        <f>HYPERLINK("imagenes/NAUTICA_MENS_208000607_SMG_2.jpg","Ver imagen")</f>
        <v/>
      </c>
      <c r="Q2320">
        <f>HYPERLINK("imagenes/NAUTICA_MENS_208000607_SMG_3.jpg","Ver imagen")</f>
        <v/>
      </c>
    </row>
    <row r="2321">
      <c r="A2321" t="inlineStr">
        <is>
          <t>NAUTICA MENS</t>
        </is>
      </c>
      <c r="B2321" t="inlineStr">
        <is>
          <t>208000607</t>
        </is>
      </c>
      <c r="C2321" t="inlineStr">
        <is>
          <t>SOFTSHELL BONDED JACKET</t>
        </is>
      </c>
      <c r="D2321" t="inlineStr">
        <is>
          <t>SMG</t>
        </is>
      </c>
      <c r="E2321" t="inlineStr">
        <is>
          <t>(en blanco)</t>
        </is>
      </c>
      <c r="F2321" t="inlineStr">
        <is>
          <t>(en blanco)</t>
        </is>
      </c>
      <c r="G2321" t="inlineStr">
        <is>
          <t>XXL</t>
        </is>
      </c>
      <c r="H2321" t="n">
        <v>37</v>
      </c>
      <c r="I2321" t="inlineStr">
        <is>
          <t>NAUTICA_MENS_208000607_SMG_1.jpg</t>
        </is>
      </c>
      <c r="J2321" t="inlineStr">
        <is>
          <t>NAUTICA_MENS_208000607_SMG_2.jpg</t>
        </is>
      </c>
      <c r="K2321" t="inlineStr">
        <is>
          <t>NAUTICA_MENS_208000607_SMG_3.jpg</t>
        </is>
      </c>
      <c r="L2321">
        <f>IMAGE("file:///E:/Estudios%20y%20certificaciones/ESTUDIOS%20DE%20PROGRAMMING/PROGRAMMING/PERSONAL/PYTHON/Image_Generator_API/imagenes/NAUTICA_MENS_208000607_SMG_1.jpg")</f>
        <v/>
      </c>
      <c r="M2321">
        <f>IMAGE("file:///E:/Estudios%20y%20certificaciones/ESTUDIOS%20DE%20PROGRAMMING/PROGRAMMING/PERSONAL/PYTHON/Image_Generator_API/imagenes/NAUTICA_MENS_208000607_SMG_2.jpg")</f>
        <v/>
      </c>
      <c r="N2321">
        <f>IMAGE("file:///E:/Estudios%20y%20certificaciones/ESTUDIOS%20DE%20PROGRAMMING/PROGRAMMING/PERSONAL/PYTHON/Image_Generator_API/imagenes/NAUTICA_MENS_208000607_SMG_3.jpg")</f>
        <v/>
      </c>
      <c r="O2321">
        <f>HYPERLINK("imagenes/NAUTICA_MENS_208000607_SMG_1.jpg","Ver imagen")</f>
        <v/>
      </c>
      <c r="P2321">
        <f>HYPERLINK("imagenes/NAUTICA_MENS_208000607_SMG_2.jpg","Ver imagen")</f>
        <v/>
      </c>
      <c r="Q2321">
        <f>HYPERLINK("imagenes/NAUTICA_MENS_208000607_SMG_3.jpg","Ver imagen")</f>
        <v/>
      </c>
    </row>
    <row r="2322">
      <c r="A2322" t="inlineStr">
        <is>
          <t>NAUTICA MENS</t>
        </is>
      </c>
      <c r="B2322" t="inlineStr">
        <is>
          <t>208000607</t>
        </is>
      </c>
      <c r="C2322" t="inlineStr">
        <is>
          <t>SOFTSHELL BONDED JACKET</t>
        </is>
      </c>
      <c r="D2322" t="inlineStr">
        <is>
          <t>TAU</t>
        </is>
      </c>
      <c r="E2322" t="inlineStr">
        <is>
          <t>(en blanco)</t>
        </is>
      </c>
      <c r="F2322" t="inlineStr">
        <is>
          <t>B1531</t>
        </is>
      </c>
      <c r="G2322" t="inlineStr">
        <is>
          <t>S</t>
        </is>
      </c>
      <c r="H2322" t="n">
        <v>17</v>
      </c>
      <c r="I2322" t="inlineStr">
        <is>
          <t>NAUTICA_MENS_208000607_TAU_1.jpg</t>
        </is>
      </c>
      <c r="J2322" t="inlineStr">
        <is>
          <t>NAUTICA_MENS_208000607_TAU_2.jpg</t>
        </is>
      </c>
      <c r="K2322" t="inlineStr">
        <is>
          <t>NAUTICA_MENS_208000607_TAU_3.jpg</t>
        </is>
      </c>
      <c r="L2322">
        <f>IMAGE("file:///E:/Estudios%20y%20certificaciones/ESTUDIOS%20DE%20PROGRAMMING/PROGRAMMING/PERSONAL/PYTHON/Image_Generator_API/imagenes/NAUTICA_MENS_208000607_TAU_1.jpg")</f>
        <v/>
      </c>
      <c r="M2322">
        <f>IMAGE("file:///E:/Estudios%20y%20certificaciones/ESTUDIOS%20DE%20PROGRAMMING/PROGRAMMING/PERSONAL/PYTHON/Image_Generator_API/imagenes/NAUTICA_MENS_208000607_TAU_2.jpg")</f>
        <v/>
      </c>
      <c r="N2322">
        <f>IMAGE("file:///E:/Estudios%20y%20certificaciones/ESTUDIOS%20DE%20PROGRAMMING/PROGRAMMING/PERSONAL/PYTHON/Image_Generator_API/imagenes/NAUTICA_MENS_208000607_TAU_3.jpg")</f>
        <v/>
      </c>
      <c r="O2322">
        <f>HYPERLINK("imagenes/NAUTICA_MENS_208000607_TAU_1.jpg","Ver imagen")</f>
        <v/>
      </c>
      <c r="P2322">
        <f>HYPERLINK("imagenes/NAUTICA_MENS_208000607_TAU_2.jpg","Ver imagen")</f>
        <v/>
      </c>
      <c r="Q2322">
        <f>HYPERLINK("imagenes/NAUTICA_MENS_208000607_TAU_3.jpg","Ver imagen")</f>
        <v/>
      </c>
    </row>
    <row r="2323">
      <c r="A2323" t="inlineStr">
        <is>
          <t>NAUTICA MENS</t>
        </is>
      </c>
      <c r="B2323" t="inlineStr">
        <is>
          <t>208000607</t>
        </is>
      </c>
      <c r="C2323" t="inlineStr">
        <is>
          <t>SOFTSHELL BONDED JACKET</t>
        </is>
      </c>
      <c r="D2323" t="inlineStr">
        <is>
          <t>TAU</t>
        </is>
      </c>
      <c r="E2323" t="inlineStr">
        <is>
          <t>(en blanco)</t>
        </is>
      </c>
      <c r="F2323" t="inlineStr">
        <is>
          <t>B1531</t>
        </is>
      </c>
      <c r="G2323" t="inlineStr">
        <is>
          <t>XL</t>
        </is>
      </c>
      <c r="H2323" t="n">
        <v>18</v>
      </c>
      <c r="I2323" t="inlineStr">
        <is>
          <t>NAUTICA_MENS_208000607_TAU_1.jpg</t>
        </is>
      </c>
      <c r="J2323" t="inlineStr">
        <is>
          <t>NAUTICA_MENS_208000607_TAU_2.jpg</t>
        </is>
      </c>
      <c r="K2323" t="inlineStr">
        <is>
          <t>NAUTICA_MENS_208000607_TAU_3.jpg</t>
        </is>
      </c>
      <c r="L2323">
        <f>IMAGE("file:///E:/Estudios%20y%20certificaciones/ESTUDIOS%20DE%20PROGRAMMING/PROGRAMMING/PERSONAL/PYTHON/Image_Generator_API/imagenes/NAUTICA_MENS_208000607_TAU_1.jpg")</f>
        <v/>
      </c>
      <c r="M2323">
        <f>IMAGE("file:///E:/Estudios%20y%20certificaciones/ESTUDIOS%20DE%20PROGRAMMING/PROGRAMMING/PERSONAL/PYTHON/Image_Generator_API/imagenes/NAUTICA_MENS_208000607_TAU_2.jpg")</f>
        <v/>
      </c>
      <c r="N2323">
        <f>IMAGE("file:///E:/Estudios%20y%20certificaciones/ESTUDIOS%20DE%20PROGRAMMING/PROGRAMMING/PERSONAL/PYTHON/Image_Generator_API/imagenes/NAUTICA_MENS_208000607_TAU_3.jpg")</f>
        <v/>
      </c>
      <c r="O2323">
        <f>HYPERLINK("imagenes/NAUTICA_MENS_208000607_TAU_1.jpg","Ver imagen")</f>
        <v/>
      </c>
      <c r="P2323">
        <f>HYPERLINK("imagenes/NAUTICA_MENS_208000607_TAU_2.jpg","Ver imagen")</f>
        <v/>
      </c>
      <c r="Q2323">
        <f>HYPERLINK("imagenes/NAUTICA_MENS_208000607_TAU_3.jpg","Ver imagen")</f>
        <v/>
      </c>
    </row>
    <row r="2324">
      <c r="A2324" t="inlineStr">
        <is>
          <t>NAUTICA MENS</t>
        </is>
      </c>
      <c r="B2324" t="inlineStr">
        <is>
          <t>208000607</t>
        </is>
      </c>
      <c r="C2324" t="inlineStr">
        <is>
          <t>SOFTSHELL BONDED JACKET</t>
        </is>
      </c>
      <c r="D2324" t="inlineStr">
        <is>
          <t>TAU</t>
        </is>
      </c>
      <c r="E2324" t="inlineStr">
        <is>
          <t>(en blanco)</t>
        </is>
      </c>
      <c r="F2324" t="inlineStr">
        <is>
          <t>(en blanco)</t>
        </is>
      </c>
      <c r="G2324" t="inlineStr">
        <is>
          <t>S</t>
        </is>
      </c>
      <c r="H2324" t="n">
        <v>10</v>
      </c>
      <c r="I2324" t="inlineStr">
        <is>
          <t>NAUTICA_MENS_208000607_TAU_1.jpg</t>
        </is>
      </c>
      <c r="J2324" t="inlineStr">
        <is>
          <t>NAUTICA_MENS_208000607_TAU_2.jpg</t>
        </is>
      </c>
      <c r="K2324" t="inlineStr">
        <is>
          <t>NAUTICA_MENS_208000607_TAU_3.jpg</t>
        </is>
      </c>
      <c r="L2324">
        <f>IMAGE("file:///E:/Estudios%20y%20certificaciones/ESTUDIOS%20DE%20PROGRAMMING/PROGRAMMING/PERSONAL/PYTHON/Image_Generator_API/imagenes/NAUTICA_MENS_208000607_TAU_1.jpg")</f>
        <v/>
      </c>
      <c r="M2324">
        <f>IMAGE("file:///E:/Estudios%20y%20certificaciones/ESTUDIOS%20DE%20PROGRAMMING/PROGRAMMING/PERSONAL/PYTHON/Image_Generator_API/imagenes/NAUTICA_MENS_208000607_TAU_2.jpg")</f>
        <v/>
      </c>
      <c r="N2324">
        <f>IMAGE("file:///E:/Estudios%20y%20certificaciones/ESTUDIOS%20DE%20PROGRAMMING/PROGRAMMING/PERSONAL/PYTHON/Image_Generator_API/imagenes/NAUTICA_MENS_208000607_TAU_3.jpg")</f>
        <v/>
      </c>
      <c r="O2324">
        <f>HYPERLINK("imagenes/NAUTICA_MENS_208000607_TAU_1.jpg","Ver imagen")</f>
        <v/>
      </c>
      <c r="P2324">
        <f>HYPERLINK("imagenes/NAUTICA_MENS_208000607_TAU_2.jpg","Ver imagen")</f>
        <v/>
      </c>
      <c r="Q2324">
        <f>HYPERLINK("imagenes/NAUTICA_MENS_208000607_TAU_3.jpg","Ver imagen")</f>
        <v/>
      </c>
    </row>
    <row r="2325">
      <c r="A2325" t="inlineStr">
        <is>
          <t>NAUTICA MENS</t>
        </is>
      </c>
      <c r="B2325" t="inlineStr">
        <is>
          <t>208000607</t>
        </is>
      </c>
      <c r="C2325" t="inlineStr">
        <is>
          <t>SOFTSHELL BONDED JACKET</t>
        </is>
      </c>
      <c r="D2325" t="inlineStr">
        <is>
          <t>TAU</t>
        </is>
      </c>
      <c r="E2325" t="inlineStr">
        <is>
          <t>(en blanco)</t>
        </is>
      </c>
      <c r="F2325" t="inlineStr">
        <is>
          <t>(en blanco)</t>
        </is>
      </c>
      <c r="G2325" t="inlineStr">
        <is>
          <t>M</t>
        </is>
      </c>
      <c r="H2325" t="n">
        <v>29</v>
      </c>
      <c r="I2325" t="inlineStr">
        <is>
          <t>NAUTICA_MENS_208000607_TAU_1.jpg</t>
        </is>
      </c>
      <c r="J2325" t="inlineStr">
        <is>
          <t>NAUTICA_MENS_208000607_TAU_2.jpg</t>
        </is>
      </c>
      <c r="K2325" t="inlineStr">
        <is>
          <t>NAUTICA_MENS_208000607_TAU_3.jpg</t>
        </is>
      </c>
      <c r="L2325">
        <f>IMAGE("file:///E:/Estudios%20y%20certificaciones/ESTUDIOS%20DE%20PROGRAMMING/PROGRAMMING/PERSONAL/PYTHON/Image_Generator_API/imagenes/NAUTICA_MENS_208000607_TAU_1.jpg")</f>
        <v/>
      </c>
      <c r="M2325">
        <f>IMAGE("file:///E:/Estudios%20y%20certificaciones/ESTUDIOS%20DE%20PROGRAMMING/PROGRAMMING/PERSONAL/PYTHON/Image_Generator_API/imagenes/NAUTICA_MENS_208000607_TAU_2.jpg")</f>
        <v/>
      </c>
      <c r="N2325">
        <f>IMAGE("file:///E:/Estudios%20y%20certificaciones/ESTUDIOS%20DE%20PROGRAMMING/PROGRAMMING/PERSONAL/PYTHON/Image_Generator_API/imagenes/NAUTICA_MENS_208000607_TAU_3.jpg")</f>
        <v/>
      </c>
      <c r="O2325">
        <f>HYPERLINK("imagenes/NAUTICA_MENS_208000607_TAU_1.jpg","Ver imagen")</f>
        <v/>
      </c>
      <c r="P2325">
        <f>HYPERLINK("imagenes/NAUTICA_MENS_208000607_TAU_2.jpg","Ver imagen")</f>
        <v/>
      </c>
      <c r="Q2325">
        <f>HYPERLINK("imagenes/NAUTICA_MENS_208000607_TAU_3.jpg","Ver imagen")</f>
        <v/>
      </c>
    </row>
    <row r="2326">
      <c r="A2326" t="inlineStr">
        <is>
          <t>NAUTICA MENS</t>
        </is>
      </c>
      <c r="B2326" t="inlineStr">
        <is>
          <t>208000607</t>
        </is>
      </c>
      <c r="C2326" t="inlineStr">
        <is>
          <t>SOFTSHELL BONDED JACKET</t>
        </is>
      </c>
      <c r="D2326" t="inlineStr">
        <is>
          <t>TAU</t>
        </is>
      </c>
      <c r="E2326" t="inlineStr">
        <is>
          <t>(en blanco)</t>
        </is>
      </c>
      <c r="F2326" t="inlineStr">
        <is>
          <t>(en blanco)</t>
        </is>
      </c>
      <c r="G2326" t="inlineStr">
        <is>
          <t>L</t>
        </is>
      </c>
      <c r="H2326" t="n">
        <v>31</v>
      </c>
      <c r="I2326" t="inlineStr">
        <is>
          <t>NAUTICA_MENS_208000607_TAU_1.jpg</t>
        </is>
      </c>
      <c r="J2326" t="inlineStr">
        <is>
          <t>NAUTICA_MENS_208000607_TAU_2.jpg</t>
        </is>
      </c>
      <c r="K2326" t="inlineStr">
        <is>
          <t>NAUTICA_MENS_208000607_TAU_3.jpg</t>
        </is>
      </c>
      <c r="L2326">
        <f>IMAGE("file:///E:/Estudios%20y%20certificaciones/ESTUDIOS%20DE%20PROGRAMMING/PROGRAMMING/PERSONAL/PYTHON/Image_Generator_API/imagenes/NAUTICA_MENS_208000607_TAU_1.jpg")</f>
        <v/>
      </c>
      <c r="M2326">
        <f>IMAGE("file:///E:/Estudios%20y%20certificaciones/ESTUDIOS%20DE%20PROGRAMMING/PROGRAMMING/PERSONAL/PYTHON/Image_Generator_API/imagenes/NAUTICA_MENS_208000607_TAU_2.jpg")</f>
        <v/>
      </c>
      <c r="N2326">
        <f>IMAGE("file:///E:/Estudios%20y%20certificaciones/ESTUDIOS%20DE%20PROGRAMMING/PROGRAMMING/PERSONAL/PYTHON/Image_Generator_API/imagenes/NAUTICA_MENS_208000607_TAU_3.jpg")</f>
        <v/>
      </c>
      <c r="O2326">
        <f>HYPERLINK("imagenes/NAUTICA_MENS_208000607_TAU_1.jpg","Ver imagen")</f>
        <v/>
      </c>
      <c r="P2326">
        <f>HYPERLINK("imagenes/NAUTICA_MENS_208000607_TAU_2.jpg","Ver imagen")</f>
        <v/>
      </c>
      <c r="Q2326">
        <f>HYPERLINK("imagenes/NAUTICA_MENS_208000607_TAU_3.jpg","Ver imagen")</f>
        <v/>
      </c>
    </row>
    <row r="2327">
      <c r="A2327" t="inlineStr">
        <is>
          <t>NAUTICA MENS</t>
        </is>
      </c>
      <c r="B2327" t="inlineStr">
        <is>
          <t>208000607</t>
        </is>
      </c>
      <c r="C2327" t="inlineStr">
        <is>
          <t>SOFTSHELL BONDED JACKET</t>
        </is>
      </c>
      <c r="D2327" t="inlineStr">
        <is>
          <t>TAU</t>
        </is>
      </c>
      <c r="E2327" t="inlineStr">
        <is>
          <t>(en blanco)</t>
        </is>
      </c>
      <c r="F2327" t="inlineStr">
        <is>
          <t>(en blanco)</t>
        </is>
      </c>
      <c r="G2327" t="inlineStr">
        <is>
          <t>XL</t>
        </is>
      </c>
      <c r="H2327" t="n">
        <v>12</v>
      </c>
      <c r="I2327" t="inlineStr">
        <is>
          <t>NAUTICA_MENS_208000607_TAU_1.jpg</t>
        </is>
      </c>
      <c r="J2327" t="inlineStr">
        <is>
          <t>NAUTICA_MENS_208000607_TAU_2.jpg</t>
        </is>
      </c>
      <c r="K2327" t="inlineStr">
        <is>
          <t>NAUTICA_MENS_208000607_TAU_3.jpg</t>
        </is>
      </c>
      <c r="L2327">
        <f>IMAGE("file:///E:/Estudios%20y%20certificaciones/ESTUDIOS%20DE%20PROGRAMMING/PROGRAMMING/PERSONAL/PYTHON/Image_Generator_API/imagenes/NAUTICA_MENS_208000607_TAU_1.jpg")</f>
        <v/>
      </c>
      <c r="M2327">
        <f>IMAGE("file:///E:/Estudios%20y%20certificaciones/ESTUDIOS%20DE%20PROGRAMMING/PROGRAMMING/PERSONAL/PYTHON/Image_Generator_API/imagenes/NAUTICA_MENS_208000607_TAU_2.jpg")</f>
        <v/>
      </c>
      <c r="N2327">
        <f>IMAGE("file:///E:/Estudios%20y%20certificaciones/ESTUDIOS%20DE%20PROGRAMMING/PROGRAMMING/PERSONAL/PYTHON/Image_Generator_API/imagenes/NAUTICA_MENS_208000607_TAU_3.jpg")</f>
        <v/>
      </c>
      <c r="O2327">
        <f>HYPERLINK("imagenes/NAUTICA_MENS_208000607_TAU_1.jpg","Ver imagen")</f>
        <v/>
      </c>
      <c r="P2327">
        <f>HYPERLINK("imagenes/NAUTICA_MENS_208000607_TAU_2.jpg","Ver imagen")</f>
        <v/>
      </c>
      <c r="Q2327">
        <f>HYPERLINK("imagenes/NAUTICA_MENS_208000607_TAU_3.jpg","Ver imagen")</f>
        <v/>
      </c>
    </row>
    <row r="2328">
      <c r="A2328" t="inlineStr">
        <is>
          <t>NAUTICA MENS</t>
        </is>
      </c>
      <c r="B2328" t="inlineStr">
        <is>
          <t>208000654</t>
        </is>
      </c>
      <c r="C2328" t="inlineStr">
        <is>
          <t>LIGHT WEIGHT VEST.</t>
        </is>
      </c>
      <c r="D2328" t="inlineStr">
        <is>
          <t>NSS</t>
        </is>
      </c>
      <c r="E2328" t="inlineStr">
        <is>
          <t>(en blanco)</t>
        </is>
      </c>
      <c r="F2328" t="inlineStr">
        <is>
          <t>(en blanco)</t>
        </is>
      </c>
      <c r="G2328" t="inlineStr">
        <is>
          <t>M</t>
        </is>
      </c>
      <c r="H2328" t="n">
        <v>52</v>
      </c>
      <c r="I2328" t="inlineStr">
        <is>
          <t>NAUTICA_MENS_208000654_NSS_1.jpg</t>
        </is>
      </c>
      <c r="J2328" t="inlineStr">
        <is>
          <t>NAUTICA_MENS_208000654_NSS_2.jpg</t>
        </is>
      </c>
      <c r="K2328" t="inlineStr">
        <is>
          <t>NAUTICA_MENS_208000654_NSS_3.jpg</t>
        </is>
      </c>
      <c r="L2328">
        <f>IMAGE("file:///E:/Estudios%20y%20certificaciones/ESTUDIOS%20DE%20PROGRAMMING/PROGRAMMING/PERSONAL/PYTHON/Image_Generator_API/imagenes/NAUTICA_MENS_208000654_NSS_1.jpg")</f>
        <v/>
      </c>
      <c r="M2328">
        <f>IMAGE("file:///E:/Estudios%20y%20certificaciones/ESTUDIOS%20DE%20PROGRAMMING/PROGRAMMING/PERSONAL/PYTHON/Image_Generator_API/imagenes/NAUTICA_MENS_208000654_NSS_2.jpg")</f>
        <v/>
      </c>
      <c r="N2328">
        <f>IMAGE("file:///E:/Estudios%20y%20certificaciones/ESTUDIOS%20DE%20PROGRAMMING/PROGRAMMING/PERSONAL/PYTHON/Image_Generator_API/imagenes/NAUTICA_MENS_208000654_NSS_3.jpg")</f>
        <v/>
      </c>
      <c r="O2328">
        <f>HYPERLINK("imagenes/NAUTICA_MENS_208000654_NSS_1.jpg","Ver imagen")</f>
        <v/>
      </c>
      <c r="P2328">
        <f>HYPERLINK("imagenes/NAUTICA_MENS_208000654_NSS_2.jpg","Ver imagen")</f>
        <v/>
      </c>
      <c r="Q2328">
        <f>HYPERLINK("imagenes/NAUTICA_MENS_208000654_NSS_3.jpg","Ver imagen")</f>
        <v/>
      </c>
    </row>
    <row r="2329">
      <c r="A2329" t="inlineStr">
        <is>
          <t>NAUTICA MENS</t>
        </is>
      </c>
      <c r="B2329" t="inlineStr">
        <is>
          <t>208000654</t>
        </is>
      </c>
      <c r="C2329" t="inlineStr">
        <is>
          <t>LIGHT WEIGHT VEST.</t>
        </is>
      </c>
      <c r="D2329" t="inlineStr">
        <is>
          <t>NSS</t>
        </is>
      </c>
      <c r="E2329" t="inlineStr">
        <is>
          <t>(en blanco)</t>
        </is>
      </c>
      <c r="F2329" t="inlineStr">
        <is>
          <t>(en blanco)</t>
        </is>
      </c>
      <c r="G2329" t="inlineStr">
        <is>
          <t>L</t>
        </is>
      </c>
      <c r="H2329" t="n">
        <v>35</v>
      </c>
      <c r="I2329" t="inlineStr">
        <is>
          <t>NAUTICA_MENS_208000654_NSS_1.jpg</t>
        </is>
      </c>
      <c r="J2329" t="inlineStr">
        <is>
          <t>NAUTICA_MENS_208000654_NSS_2.jpg</t>
        </is>
      </c>
      <c r="K2329" t="inlineStr">
        <is>
          <t>NAUTICA_MENS_208000654_NSS_3.jpg</t>
        </is>
      </c>
      <c r="L2329">
        <f>IMAGE("file:///E:/Estudios%20y%20certificaciones/ESTUDIOS%20DE%20PROGRAMMING/PROGRAMMING/PERSONAL/PYTHON/Image_Generator_API/imagenes/NAUTICA_MENS_208000654_NSS_1.jpg")</f>
        <v/>
      </c>
      <c r="M2329">
        <f>IMAGE("file:///E:/Estudios%20y%20certificaciones/ESTUDIOS%20DE%20PROGRAMMING/PROGRAMMING/PERSONAL/PYTHON/Image_Generator_API/imagenes/NAUTICA_MENS_208000654_NSS_2.jpg")</f>
        <v/>
      </c>
      <c r="N2329">
        <f>IMAGE("file:///E:/Estudios%20y%20certificaciones/ESTUDIOS%20DE%20PROGRAMMING/PROGRAMMING/PERSONAL/PYTHON/Image_Generator_API/imagenes/NAUTICA_MENS_208000654_NSS_3.jpg")</f>
        <v/>
      </c>
      <c r="O2329">
        <f>HYPERLINK("imagenes/NAUTICA_MENS_208000654_NSS_1.jpg","Ver imagen")</f>
        <v/>
      </c>
      <c r="P2329">
        <f>HYPERLINK("imagenes/NAUTICA_MENS_208000654_NSS_2.jpg","Ver imagen")</f>
        <v/>
      </c>
      <c r="Q2329">
        <f>HYPERLINK("imagenes/NAUTICA_MENS_208000654_NSS_3.jpg","Ver imagen")</f>
        <v/>
      </c>
    </row>
    <row r="2330">
      <c r="A2330" t="inlineStr">
        <is>
          <t>NAUTICA MENS</t>
        </is>
      </c>
      <c r="B2330" t="inlineStr">
        <is>
          <t>208000654</t>
        </is>
      </c>
      <c r="C2330" t="inlineStr">
        <is>
          <t>LIGHT WEIGHT VEST.</t>
        </is>
      </c>
      <c r="D2330" t="inlineStr">
        <is>
          <t>NSS</t>
        </is>
      </c>
      <c r="E2330" t="inlineStr">
        <is>
          <t>(en blanco)</t>
        </is>
      </c>
      <c r="F2330" t="inlineStr">
        <is>
          <t>(en blanco)</t>
        </is>
      </c>
      <c r="G2330" t="inlineStr">
        <is>
          <t>XL</t>
        </is>
      </c>
      <c r="H2330" t="n">
        <v>6</v>
      </c>
      <c r="I2330" t="inlineStr">
        <is>
          <t>NAUTICA_MENS_208000654_NSS_1.jpg</t>
        </is>
      </c>
      <c r="J2330" t="inlineStr">
        <is>
          <t>NAUTICA_MENS_208000654_NSS_2.jpg</t>
        </is>
      </c>
      <c r="K2330" t="inlineStr">
        <is>
          <t>NAUTICA_MENS_208000654_NSS_3.jpg</t>
        </is>
      </c>
      <c r="L2330">
        <f>IMAGE("file:///E:/Estudios%20y%20certificaciones/ESTUDIOS%20DE%20PROGRAMMING/PROGRAMMING/PERSONAL/PYTHON/Image_Generator_API/imagenes/NAUTICA_MENS_208000654_NSS_1.jpg")</f>
        <v/>
      </c>
      <c r="M2330">
        <f>IMAGE("file:///E:/Estudios%20y%20certificaciones/ESTUDIOS%20DE%20PROGRAMMING/PROGRAMMING/PERSONAL/PYTHON/Image_Generator_API/imagenes/NAUTICA_MENS_208000654_NSS_2.jpg")</f>
        <v/>
      </c>
      <c r="N2330">
        <f>IMAGE("file:///E:/Estudios%20y%20certificaciones/ESTUDIOS%20DE%20PROGRAMMING/PROGRAMMING/PERSONAL/PYTHON/Image_Generator_API/imagenes/NAUTICA_MENS_208000654_NSS_3.jpg")</f>
        <v/>
      </c>
      <c r="O2330">
        <f>HYPERLINK("imagenes/NAUTICA_MENS_208000654_NSS_1.jpg","Ver imagen")</f>
        <v/>
      </c>
      <c r="P2330">
        <f>HYPERLINK("imagenes/NAUTICA_MENS_208000654_NSS_2.jpg","Ver imagen")</f>
        <v/>
      </c>
      <c r="Q2330">
        <f>HYPERLINK("imagenes/NAUTICA_MENS_208000654_NSS_3.jpg","Ver imagen")</f>
        <v/>
      </c>
    </row>
    <row r="2331">
      <c r="A2331" t="inlineStr">
        <is>
          <t>NAUTICA MENS</t>
        </is>
      </c>
      <c r="B2331" t="inlineStr">
        <is>
          <t>208000654</t>
        </is>
      </c>
      <c r="C2331" t="inlineStr">
        <is>
          <t>LIGHT WEIGHT VEST.</t>
        </is>
      </c>
      <c r="D2331" t="inlineStr">
        <is>
          <t>NSS</t>
        </is>
      </c>
      <c r="E2331" t="inlineStr">
        <is>
          <t>(en blanco)</t>
        </is>
      </c>
      <c r="F2331" t="inlineStr">
        <is>
          <t>(en blanco)</t>
        </is>
      </c>
      <c r="G2331" t="inlineStr">
        <is>
          <t>XXL</t>
        </is>
      </c>
      <c r="H2331" t="n">
        <v>1</v>
      </c>
      <c r="I2331" t="inlineStr">
        <is>
          <t>NAUTICA_MENS_208000654_NSS_1.jpg</t>
        </is>
      </c>
      <c r="J2331" t="inlineStr">
        <is>
          <t>NAUTICA_MENS_208000654_NSS_2.jpg</t>
        </is>
      </c>
      <c r="K2331" t="inlineStr">
        <is>
          <t>NAUTICA_MENS_208000654_NSS_3.jpg</t>
        </is>
      </c>
      <c r="L2331">
        <f>IMAGE("file:///E:/Estudios%20y%20certificaciones/ESTUDIOS%20DE%20PROGRAMMING/PROGRAMMING/PERSONAL/PYTHON/Image_Generator_API/imagenes/NAUTICA_MENS_208000654_NSS_1.jpg")</f>
        <v/>
      </c>
      <c r="M2331">
        <f>IMAGE("file:///E:/Estudios%20y%20certificaciones/ESTUDIOS%20DE%20PROGRAMMING/PROGRAMMING/PERSONAL/PYTHON/Image_Generator_API/imagenes/NAUTICA_MENS_208000654_NSS_2.jpg")</f>
        <v/>
      </c>
      <c r="N2331">
        <f>IMAGE("file:///E:/Estudios%20y%20certificaciones/ESTUDIOS%20DE%20PROGRAMMING/PROGRAMMING/PERSONAL/PYTHON/Image_Generator_API/imagenes/NAUTICA_MENS_208000654_NSS_3.jpg")</f>
        <v/>
      </c>
      <c r="O2331">
        <f>HYPERLINK("imagenes/NAUTICA_MENS_208000654_NSS_1.jpg","Ver imagen")</f>
        <v/>
      </c>
      <c r="P2331">
        <f>HYPERLINK("imagenes/NAUTICA_MENS_208000654_NSS_2.jpg","Ver imagen")</f>
        <v/>
      </c>
      <c r="Q2331">
        <f>HYPERLINK("imagenes/NAUTICA_MENS_208000654_NSS_3.jpg","Ver imagen")</f>
        <v/>
      </c>
    </row>
    <row r="2332">
      <c r="A2332" t="inlineStr">
        <is>
          <t>NAUTICA MENS</t>
        </is>
      </c>
      <c r="B2332" t="inlineStr">
        <is>
          <t>208000654</t>
        </is>
      </c>
      <c r="C2332" t="inlineStr">
        <is>
          <t>LIGHT WEIGHT VEST.</t>
        </is>
      </c>
      <c r="D2332" t="inlineStr">
        <is>
          <t>OLB</t>
        </is>
      </c>
      <c r="E2332" t="inlineStr">
        <is>
          <t>(en blanco)</t>
        </is>
      </c>
      <c r="F2332" t="inlineStr">
        <is>
          <t>(en blanco)</t>
        </is>
      </c>
      <c r="G2332" t="inlineStr">
        <is>
          <t>S</t>
        </is>
      </c>
      <c r="H2332" t="n">
        <v>6</v>
      </c>
      <c r="I2332" t="inlineStr">
        <is>
          <t>NAUTICA_MENS_208000654_OLB_1.jpg</t>
        </is>
      </c>
      <c r="J2332" t="inlineStr">
        <is>
          <t>NAUTICA_MENS_208000654_OLB_2.jpg</t>
        </is>
      </c>
      <c r="K2332" t="inlineStr">
        <is>
          <t>NAUTICA_MENS_208000654_OLB_3.jpg</t>
        </is>
      </c>
      <c r="L2332">
        <f>IMAGE("file:///E:/Estudios%20y%20certificaciones/ESTUDIOS%20DE%20PROGRAMMING/PROGRAMMING/PERSONAL/PYTHON/Image_Generator_API/imagenes/NAUTICA_MENS_208000654_OLB_1.jpg")</f>
        <v/>
      </c>
      <c r="M2332">
        <f>IMAGE("file:///E:/Estudios%20y%20certificaciones/ESTUDIOS%20DE%20PROGRAMMING/PROGRAMMING/PERSONAL/PYTHON/Image_Generator_API/imagenes/NAUTICA_MENS_208000654_OLB_2.jpg")</f>
        <v/>
      </c>
      <c r="N2332">
        <f>IMAGE("file:///E:/Estudios%20y%20certificaciones/ESTUDIOS%20DE%20PROGRAMMING/PROGRAMMING/PERSONAL/PYTHON/Image_Generator_API/imagenes/NAUTICA_MENS_208000654_OLB_3.jpg")</f>
        <v/>
      </c>
      <c r="O2332">
        <f>HYPERLINK("imagenes/NAUTICA_MENS_208000654_OLB_1.jpg","Ver imagen")</f>
        <v/>
      </c>
      <c r="P2332">
        <f>HYPERLINK("imagenes/NAUTICA_MENS_208000654_OLB_2.jpg","Ver imagen")</f>
        <v/>
      </c>
      <c r="Q2332">
        <f>HYPERLINK("imagenes/NAUTICA_MENS_208000654_OLB_3.jpg","Ver imagen")</f>
        <v/>
      </c>
    </row>
    <row r="2333">
      <c r="A2333" t="inlineStr">
        <is>
          <t>NAUTICA MENS</t>
        </is>
      </c>
      <c r="B2333" t="inlineStr">
        <is>
          <t>208000654</t>
        </is>
      </c>
      <c r="C2333" t="inlineStr">
        <is>
          <t>LIGHT WEIGHT VEST.</t>
        </is>
      </c>
      <c r="D2333" t="inlineStr">
        <is>
          <t>OLB</t>
        </is>
      </c>
      <c r="E2333" t="inlineStr">
        <is>
          <t>(en blanco)</t>
        </is>
      </c>
      <c r="F2333" t="inlineStr">
        <is>
          <t>(en blanco)</t>
        </is>
      </c>
      <c r="G2333" t="inlineStr">
        <is>
          <t>M</t>
        </is>
      </c>
      <c r="H2333" t="n">
        <v>18</v>
      </c>
      <c r="I2333" t="inlineStr">
        <is>
          <t>NAUTICA_MENS_208000654_OLB_1.jpg</t>
        </is>
      </c>
      <c r="J2333" t="inlineStr">
        <is>
          <t>NAUTICA_MENS_208000654_OLB_2.jpg</t>
        </is>
      </c>
      <c r="K2333" t="inlineStr">
        <is>
          <t>NAUTICA_MENS_208000654_OLB_3.jpg</t>
        </is>
      </c>
      <c r="L2333">
        <f>IMAGE("file:///E:/Estudios%20y%20certificaciones/ESTUDIOS%20DE%20PROGRAMMING/PROGRAMMING/PERSONAL/PYTHON/Image_Generator_API/imagenes/NAUTICA_MENS_208000654_OLB_1.jpg")</f>
        <v/>
      </c>
      <c r="M2333">
        <f>IMAGE("file:///E:/Estudios%20y%20certificaciones/ESTUDIOS%20DE%20PROGRAMMING/PROGRAMMING/PERSONAL/PYTHON/Image_Generator_API/imagenes/NAUTICA_MENS_208000654_OLB_2.jpg")</f>
        <v/>
      </c>
      <c r="N2333">
        <f>IMAGE("file:///E:/Estudios%20y%20certificaciones/ESTUDIOS%20DE%20PROGRAMMING/PROGRAMMING/PERSONAL/PYTHON/Image_Generator_API/imagenes/NAUTICA_MENS_208000654_OLB_3.jpg")</f>
        <v/>
      </c>
      <c r="O2333">
        <f>HYPERLINK("imagenes/NAUTICA_MENS_208000654_OLB_1.jpg","Ver imagen")</f>
        <v/>
      </c>
      <c r="P2333">
        <f>HYPERLINK("imagenes/NAUTICA_MENS_208000654_OLB_2.jpg","Ver imagen")</f>
        <v/>
      </c>
      <c r="Q2333">
        <f>HYPERLINK("imagenes/NAUTICA_MENS_208000654_OLB_3.jpg","Ver imagen")</f>
        <v/>
      </c>
    </row>
    <row r="2334">
      <c r="A2334" t="inlineStr">
        <is>
          <t>NAUTICA MENS</t>
        </is>
      </c>
      <c r="B2334" t="inlineStr">
        <is>
          <t>208000654</t>
        </is>
      </c>
      <c r="C2334" t="inlineStr">
        <is>
          <t>LIGHT WEIGHT VEST.</t>
        </is>
      </c>
      <c r="D2334" t="inlineStr">
        <is>
          <t>OLB</t>
        </is>
      </c>
      <c r="E2334" t="inlineStr">
        <is>
          <t>(en blanco)</t>
        </is>
      </c>
      <c r="F2334" t="inlineStr">
        <is>
          <t>(en blanco)</t>
        </is>
      </c>
      <c r="G2334" t="inlineStr">
        <is>
          <t>XL</t>
        </is>
      </c>
      <c r="H2334" t="n">
        <v>23</v>
      </c>
      <c r="I2334" t="inlineStr">
        <is>
          <t>NAUTICA_MENS_208000654_OLB_1.jpg</t>
        </is>
      </c>
      <c r="J2334" t="inlineStr">
        <is>
          <t>NAUTICA_MENS_208000654_OLB_2.jpg</t>
        </is>
      </c>
      <c r="K2334" t="inlineStr">
        <is>
          <t>NAUTICA_MENS_208000654_OLB_3.jpg</t>
        </is>
      </c>
      <c r="L2334">
        <f>IMAGE("file:///E:/Estudios%20y%20certificaciones/ESTUDIOS%20DE%20PROGRAMMING/PROGRAMMING/PERSONAL/PYTHON/Image_Generator_API/imagenes/NAUTICA_MENS_208000654_OLB_1.jpg")</f>
        <v/>
      </c>
      <c r="M2334">
        <f>IMAGE("file:///E:/Estudios%20y%20certificaciones/ESTUDIOS%20DE%20PROGRAMMING/PROGRAMMING/PERSONAL/PYTHON/Image_Generator_API/imagenes/NAUTICA_MENS_208000654_OLB_2.jpg")</f>
        <v/>
      </c>
      <c r="N2334">
        <f>IMAGE("file:///E:/Estudios%20y%20certificaciones/ESTUDIOS%20DE%20PROGRAMMING/PROGRAMMING/PERSONAL/PYTHON/Image_Generator_API/imagenes/NAUTICA_MENS_208000654_OLB_3.jpg")</f>
        <v/>
      </c>
      <c r="O2334">
        <f>HYPERLINK("imagenes/NAUTICA_MENS_208000654_OLB_1.jpg","Ver imagen")</f>
        <v/>
      </c>
      <c r="P2334">
        <f>HYPERLINK("imagenes/NAUTICA_MENS_208000654_OLB_2.jpg","Ver imagen")</f>
        <v/>
      </c>
      <c r="Q2334">
        <f>HYPERLINK("imagenes/NAUTICA_MENS_208000654_OLB_3.jpg","Ver imagen")</f>
        <v/>
      </c>
    </row>
    <row r="2335">
      <c r="A2335" t="inlineStr">
        <is>
          <t>NAUTICA MENS</t>
        </is>
      </c>
      <c r="B2335" t="inlineStr">
        <is>
          <t>208000654</t>
        </is>
      </c>
      <c r="C2335" t="inlineStr">
        <is>
          <t>LIGHT WEIGHT VEST.</t>
        </is>
      </c>
      <c r="D2335" t="inlineStr">
        <is>
          <t>OLB</t>
        </is>
      </c>
      <c r="E2335" t="inlineStr">
        <is>
          <t>(en blanco)</t>
        </is>
      </c>
      <c r="F2335" t="inlineStr">
        <is>
          <t>(en blanco)</t>
        </is>
      </c>
      <c r="G2335" t="inlineStr">
        <is>
          <t>XXL</t>
        </is>
      </c>
      <c r="H2335" t="n">
        <v>24</v>
      </c>
      <c r="I2335" t="inlineStr">
        <is>
          <t>NAUTICA_MENS_208000654_OLB_1.jpg</t>
        </is>
      </c>
      <c r="J2335" t="inlineStr">
        <is>
          <t>NAUTICA_MENS_208000654_OLB_2.jpg</t>
        </is>
      </c>
      <c r="K2335" t="inlineStr">
        <is>
          <t>NAUTICA_MENS_208000654_OLB_3.jpg</t>
        </is>
      </c>
      <c r="L2335">
        <f>IMAGE("file:///E:/Estudios%20y%20certificaciones/ESTUDIOS%20DE%20PROGRAMMING/PROGRAMMING/PERSONAL/PYTHON/Image_Generator_API/imagenes/NAUTICA_MENS_208000654_OLB_1.jpg")</f>
        <v/>
      </c>
      <c r="M2335">
        <f>IMAGE("file:///E:/Estudios%20y%20certificaciones/ESTUDIOS%20DE%20PROGRAMMING/PROGRAMMING/PERSONAL/PYTHON/Image_Generator_API/imagenes/NAUTICA_MENS_208000654_OLB_2.jpg")</f>
        <v/>
      </c>
      <c r="N2335">
        <f>IMAGE("file:///E:/Estudios%20y%20certificaciones/ESTUDIOS%20DE%20PROGRAMMING/PROGRAMMING/PERSONAL/PYTHON/Image_Generator_API/imagenes/NAUTICA_MENS_208000654_OLB_3.jpg")</f>
        <v/>
      </c>
      <c r="O2335">
        <f>HYPERLINK("imagenes/NAUTICA_MENS_208000654_OLB_1.jpg","Ver imagen")</f>
        <v/>
      </c>
      <c r="P2335">
        <f>HYPERLINK("imagenes/NAUTICA_MENS_208000654_OLB_2.jpg","Ver imagen")</f>
        <v/>
      </c>
      <c r="Q2335">
        <f>HYPERLINK("imagenes/NAUTICA_MENS_208000654_OLB_3.jpg","Ver imagen")</f>
        <v/>
      </c>
    </row>
    <row r="2336">
      <c r="A2336" t="inlineStr">
        <is>
          <t>NAUTICA MENS</t>
        </is>
      </c>
      <c r="B2336" t="inlineStr">
        <is>
          <t>208000952</t>
        </is>
      </c>
      <c r="C2336" t="inlineStr">
        <is>
          <t>LT WEIGHT VEST</t>
        </is>
      </c>
      <c r="D2336" t="inlineStr">
        <is>
          <t>BLK</t>
        </is>
      </c>
      <c r="E2336" t="inlineStr">
        <is>
          <t>(en blanco)</t>
        </is>
      </c>
      <c r="F2336" t="inlineStr">
        <is>
          <t>D2C</t>
        </is>
      </c>
      <c r="G2336" t="inlineStr">
        <is>
          <t>XL</t>
        </is>
      </c>
      <c r="H2336" t="n">
        <v>1</v>
      </c>
      <c r="I2336" t="inlineStr">
        <is>
          <t>NAUTICA_MENS_208000952_BLK_1.jpg</t>
        </is>
      </c>
      <c r="J2336" t="inlineStr">
        <is>
          <t>NAUTICA_MENS_208000952_BLK_2.jpg</t>
        </is>
      </c>
      <c r="K2336" t="inlineStr">
        <is>
          <t>NAUTICA_MENS_208000952_BLK_3.jpg</t>
        </is>
      </c>
      <c r="L2336">
        <f>IMAGE("file:///E:/Estudios%20y%20certificaciones/ESTUDIOS%20DE%20PROGRAMMING/PROGRAMMING/PERSONAL/PYTHON/Image_Generator_API/imagenes/NAUTICA_MENS_208000952_BLK_1.jpg")</f>
        <v/>
      </c>
      <c r="M2336">
        <f>IMAGE("file:///E:/Estudios%20y%20certificaciones/ESTUDIOS%20DE%20PROGRAMMING/PROGRAMMING/PERSONAL/PYTHON/Image_Generator_API/imagenes/NAUTICA_MENS_208000952_BLK_2.jpg")</f>
        <v/>
      </c>
      <c r="N2336">
        <f>IMAGE("file:///E:/Estudios%20y%20certificaciones/ESTUDIOS%20DE%20PROGRAMMING/PROGRAMMING/PERSONAL/PYTHON/Image_Generator_API/imagenes/NAUTICA_MENS_208000952_BLK_3.jpg")</f>
        <v/>
      </c>
      <c r="O2336">
        <f>HYPERLINK("imagenes/NAUTICA_MENS_208000952_BLK_1.jpg","Ver imagen")</f>
        <v/>
      </c>
      <c r="P2336">
        <f>HYPERLINK("imagenes/NAUTICA_MENS_208000952_BLK_2.jpg","Ver imagen")</f>
        <v/>
      </c>
      <c r="Q2336">
        <f>HYPERLINK("imagenes/NAUTICA_MENS_208000952_BLK_3.jpg","Ver imagen")</f>
        <v/>
      </c>
    </row>
    <row r="2337">
      <c r="A2337" t="inlineStr">
        <is>
          <t>NAUTICA MENS</t>
        </is>
      </c>
      <c r="B2337" t="inlineStr">
        <is>
          <t>208000952</t>
        </is>
      </c>
      <c r="C2337" t="inlineStr">
        <is>
          <t>LT WEIGHT VEST</t>
        </is>
      </c>
      <c r="D2337" t="inlineStr">
        <is>
          <t>NVY</t>
        </is>
      </c>
      <c r="E2337" t="inlineStr">
        <is>
          <t>(en blanco)</t>
        </is>
      </c>
      <c r="F2337" t="inlineStr">
        <is>
          <t>D2C</t>
        </is>
      </c>
      <c r="G2337" t="inlineStr">
        <is>
          <t>S</t>
        </is>
      </c>
      <c r="H2337" t="n">
        <v>1</v>
      </c>
      <c r="I2337" t="inlineStr">
        <is>
          <t>NAUTICA_MENS_208000952_NVY_1.jpg</t>
        </is>
      </c>
      <c r="J2337" t="inlineStr">
        <is>
          <t>NAUTICA_MENS_208000952_NVY_2.jpg</t>
        </is>
      </c>
      <c r="K2337" t="inlineStr">
        <is>
          <t>NAUTICA_MENS_208000952_NVY_3.jpg</t>
        </is>
      </c>
      <c r="L2337">
        <f>IMAGE("file:///E:/Estudios%20y%20certificaciones/ESTUDIOS%20DE%20PROGRAMMING/PROGRAMMING/PERSONAL/PYTHON/Image_Generator_API/imagenes/NAUTICA_MENS_208000952_NVY_1.jpg")</f>
        <v/>
      </c>
      <c r="M2337">
        <f>IMAGE("file:///E:/Estudios%20y%20certificaciones/ESTUDIOS%20DE%20PROGRAMMING/PROGRAMMING/PERSONAL/PYTHON/Image_Generator_API/imagenes/NAUTICA_MENS_208000952_NVY_2.jpg")</f>
        <v/>
      </c>
      <c r="N2337">
        <f>IMAGE("file:///E:/Estudios%20y%20certificaciones/ESTUDIOS%20DE%20PROGRAMMING/PROGRAMMING/PERSONAL/PYTHON/Image_Generator_API/imagenes/NAUTICA_MENS_208000952_NVY_3.jpg")</f>
        <v/>
      </c>
      <c r="O2337">
        <f>HYPERLINK("imagenes/NAUTICA_MENS_208000952_NVY_1.jpg","Ver imagen")</f>
        <v/>
      </c>
      <c r="P2337">
        <f>HYPERLINK("imagenes/NAUTICA_MENS_208000952_NVY_2.jpg","Ver imagen")</f>
        <v/>
      </c>
      <c r="Q2337">
        <f>HYPERLINK("imagenes/NAUTICA_MENS_208000952_NVY_3.jpg","Ver imagen")</f>
        <v/>
      </c>
    </row>
    <row r="2338">
      <c r="A2338" t="inlineStr">
        <is>
          <t>NAUTICA MENS</t>
        </is>
      </c>
      <c r="B2338" t="inlineStr">
        <is>
          <t>208000952</t>
        </is>
      </c>
      <c r="C2338" t="inlineStr">
        <is>
          <t>LT WEIGHT VEST</t>
        </is>
      </c>
      <c r="D2338" t="inlineStr">
        <is>
          <t>NVY</t>
        </is>
      </c>
      <c r="E2338" t="inlineStr">
        <is>
          <t>(en blanco)</t>
        </is>
      </c>
      <c r="F2338" t="inlineStr">
        <is>
          <t>(en blanco)</t>
        </is>
      </c>
      <c r="G2338" t="inlineStr">
        <is>
          <t>XL</t>
        </is>
      </c>
      <c r="H2338" t="n">
        <v>2</v>
      </c>
      <c r="I2338" t="inlineStr">
        <is>
          <t>NAUTICA_MENS_208000952_NVY_1.jpg</t>
        </is>
      </c>
      <c r="J2338" t="inlineStr">
        <is>
          <t>NAUTICA_MENS_208000952_NVY_2.jpg</t>
        </is>
      </c>
      <c r="K2338" t="inlineStr">
        <is>
          <t>NAUTICA_MENS_208000952_NVY_3.jpg</t>
        </is>
      </c>
      <c r="L2338">
        <f>IMAGE("file:///E:/Estudios%20y%20certificaciones/ESTUDIOS%20DE%20PROGRAMMING/PROGRAMMING/PERSONAL/PYTHON/Image_Generator_API/imagenes/NAUTICA_MENS_208000952_NVY_1.jpg")</f>
        <v/>
      </c>
      <c r="M2338">
        <f>IMAGE("file:///E:/Estudios%20y%20certificaciones/ESTUDIOS%20DE%20PROGRAMMING/PROGRAMMING/PERSONAL/PYTHON/Image_Generator_API/imagenes/NAUTICA_MENS_208000952_NVY_2.jpg")</f>
        <v/>
      </c>
      <c r="N2338">
        <f>IMAGE("file:///E:/Estudios%20y%20certificaciones/ESTUDIOS%20DE%20PROGRAMMING/PROGRAMMING/PERSONAL/PYTHON/Image_Generator_API/imagenes/NAUTICA_MENS_208000952_NVY_3.jpg")</f>
        <v/>
      </c>
      <c r="O2338">
        <f>HYPERLINK("imagenes/NAUTICA_MENS_208000952_NVY_1.jpg","Ver imagen")</f>
        <v/>
      </c>
      <c r="P2338">
        <f>HYPERLINK("imagenes/NAUTICA_MENS_208000952_NVY_2.jpg","Ver imagen")</f>
        <v/>
      </c>
      <c r="Q2338">
        <f>HYPERLINK("imagenes/NAUTICA_MENS_208000952_NVY_3.jpg","Ver imagen")</f>
        <v/>
      </c>
    </row>
    <row r="2339">
      <c r="A2339" t="inlineStr">
        <is>
          <t>NAUTICA MENS</t>
        </is>
      </c>
      <c r="B2339" t="inlineStr">
        <is>
          <t>208000953</t>
        </is>
      </c>
      <c r="C2339" t="inlineStr">
        <is>
          <t>MIXED SHEEN QUILTED VEST</t>
        </is>
      </c>
      <c r="D2339" t="inlineStr">
        <is>
          <t>BLK</t>
        </is>
      </c>
      <c r="E2339" t="inlineStr">
        <is>
          <t>(en blanco)</t>
        </is>
      </c>
      <c r="F2339" t="inlineStr">
        <is>
          <t>(en blanco)</t>
        </is>
      </c>
      <c r="G2339" t="inlineStr">
        <is>
          <t>XXL</t>
        </is>
      </c>
      <c r="H2339" t="n">
        <v>2</v>
      </c>
      <c r="I2339" t="inlineStr">
        <is>
          <t>NAUTICA_MENS_208000953_BLK_1.jpg</t>
        </is>
      </c>
      <c r="J2339" t="inlineStr">
        <is>
          <t>NAUTICA_MENS_208000953_BLK_2.jpg</t>
        </is>
      </c>
      <c r="K2339" t="inlineStr">
        <is>
          <t>NAUTICA_MENS_208000953_BLK_3.jpg</t>
        </is>
      </c>
      <c r="L2339">
        <f>IMAGE("file:///E:/Estudios%20y%20certificaciones/ESTUDIOS%20DE%20PROGRAMMING/PROGRAMMING/PERSONAL/PYTHON/Image_Generator_API/imagenes/NAUTICA_MENS_208000953_BLK_1.jpg")</f>
        <v/>
      </c>
      <c r="M2339">
        <f>IMAGE("file:///E:/Estudios%20y%20certificaciones/ESTUDIOS%20DE%20PROGRAMMING/PROGRAMMING/PERSONAL/PYTHON/Image_Generator_API/imagenes/NAUTICA_MENS_208000953_BLK_2.jpg")</f>
        <v/>
      </c>
      <c r="N2339">
        <f>IMAGE("file:///E:/Estudios%20y%20certificaciones/ESTUDIOS%20DE%20PROGRAMMING/PROGRAMMING/PERSONAL/PYTHON/Image_Generator_API/imagenes/NAUTICA_MENS_208000953_BLK_3.jpg")</f>
        <v/>
      </c>
      <c r="O2339">
        <f>HYPERLINK("imagenes/NAUTICA_MENS_208000953_BLK_1.jpg","Ver imagen")</f>
        <v/>
      </c>
      <c r="P2339">
        <f>HYPERLINK("imagenes/NAUTICA_MENS_208000953_BLK_2.jpg","Ver imagen")</f>
        <v/>
      </c>
      <c r="Q2339">
        <f>HYPERLINK("imagenes/NAUTICA_MENS_208000953_BLK_3.jpg","Ver imagen")</f>
        <v/>
      </c>
    </row>
    <row r="2340">
      <c r="A2340" t="inlineStr">
        <is>
          <t>NAUTICA MENS</t>
        </is>
      </c>
      <c r="B2340" t="inlineStr">
        <is>
          <t>208001051</t>
        </is>
      </c>
      <c r="C2340" t="inlineStr">
        <is>
          <t>SOFTSHELL BOMBER</t>
        </is>
      </c>
      <c r="D2340" t="inlineStr">
        <is>
          <t>BLK</t>
        </is>
      </c>
      <c r="E2340" t="inlineStr">
        <is>
          <t>12A08</t>
        </is>
      </c>
      <c r="F2340" t="inlineStr">
        <is>
          <t>R2140</t>
        </is>
      </c>
      <c r="G2340" t="inlineStr">
        <is>
          <t>PPK</t>
        </is>
      </c>
      <c r="H2340" t="n">
        <v>0</v>
      </c>
      <c r="I2340" t="inlineStr">
        <is>
          <t>NAUTICA_MENS_208001051_BLK_1.jpg</t>
        </is>
      </c>
      <c r="J2340" t="inlineStr">
        <is>
          <t>NAUTICA_MENS_208001051_BLK_2.jpg</t>
        </is>
      </c>
      <c r="K2340" t="inlineStr">
        <is>
          <t>NAUTICA_MENS_208001051_BLK_3.jpg</t>
        </is>
      </c>
      <c r="L2340">
        <f>IMAGE("file:///E:/Estudios%20y%20certificaciones/ESTUDIOS%20DE%20PROGRAMMING/PROGRAMMING/PERSONAL/PYTHON/Image_Generator_API/imagenes/NAUTICA_MENS_208001051_BLK_1.jpg")</f>
        <v/>
      </c>
      <c r="M2340">
        <f>IMAGE("file:///E:/Estudios%20y%20certificaciones/ESTUDIOS%20DE%20PROGRAMMING/PROGRAMMING/PERSONAL/PYTHON/Image_Generator_API/imagenes/NAUTICA_MENS_208001051_BLK_2.jpg")</f>
        <v/>
      </c>
      <c r="N2340">
        <f>IMAGE("file:///E:/Estudios%20y%20certificaciones/ESTUDIOS%20DE%20PROGRAMMING/PROGRAMMING/PERSONAL/PYTHON/Image_Generator_API/imagenes/NAUTICA_MENS_208001051_BLK_3.jpg")</f>
        <v/>
      </c>
      <c r="O2340">
        <f>HYPERLINK("imagenes/NAUTICA_MENS_208001051_BLK_1.jpg","Ver imagen")</f>
        <v/>
      </c>
      <c r="P2340">
        <f>HYPERLINK("imagenes/NAUTICA_MENS_208001051_BLK_2.jpg","Ver imagen")</f>
        <v/>
      </c>
      <c r="Q2340">
        <f>HYPERLINK("imagenes/NAUTICA_MENS_208001051_BLK_3.jpg","Ver imagen")</f>
        <v/>
      </c>
    </row>
    <row r="2341">
      <c r="A2341" t="inlineStr">
        <is>
          <t>NAUTICA MENS</t>
        </is>
      </c>
      <c r="B2341" t="inlineStr">
        <is>
          <t>208001051</t>
        </is>
      </c>
      <c r="C2341" t="inlineStr">
        <is>
          <t>SOFTSHELL BOMBER</t>
        </is>
      </c>
      <c r="D2341" t="inlineStr">
        <is>
          <t>BLK</t>
        </is>
      </c>
      <c r="E2341" t="inlineStr">
        <is>
          <t>12A08</t>
        </is>
      </c>
      <c r="F2341" t="inlineStr">
        <is>
          <t>(en blanco)</t>
        </is>
      </c>
      <c r="G2341" t="inlineStr">
        <is>
          <t>PPK</t>
        </is>
      </c>
      <c r="H2341" t="n">
        <v>2352</v>
      </c>
      <c r="I2341" t="inlineStr">
        <is>
          <t>NAUTICA_MENS_208001051_BLK_1.jpg</t>
        </is>
      </c>
      <c r="J2341" t="inlineStr">
        <is>
          <t>NAUTICA_MENS_208001051_BLK_2.jpg</t>
        </is>
      </c>
      <c r="K2341" t="inlineStr">
        <is>
          <t>NAUTICA_MENS_208001051_BLK_3.jpg</t>
        </is>
      </c>
      <c r="L2341">
        <f>IMAGE("file:///E:/Estudios%20y%20certificaciones/ESTUDIOS%20DE%20PROGRAMMING/PROGRAMMING/PERSONAL/PYTHON/Image_Generator_API/imagenes/NAUTICA_MENS_208001051_BLK_1.jpg")</f>
        <v/>
      </c>
      <c r="M2341">
        <f>IMAGE("file:///E:/Estudios%20y%20certificaciones/ESTUDIOS%20DE%20PROGRAMMING/PROGRAMMING/PERSONAL/PYTHON/Image_Generator_API/imagenes/NAUTICA_MENS_208001051_BLK_2.jpg")</f>
        <v/>
      </c>
      <c r="N2341">
        <f>IMAGE("file:///E:/Estudios%20y%20certificaciones/ESTUDIOS%20DE%20PROGRAMMING/PROGRAMMING/PERSONAL/PYTHON/Image_Generator_API/imagenes/NAUTICA_MENS_208001051_BLK_3.jpg")</f>
        <v/>
      </c>
      <c r="O2341">
        <f>HYPERLINK("imagenes/NAUTICA_MENS_208001051_BLK_1.jpg","Ver imagen")</f>
        <v/>
      </c>
      <c r="P2341">
        <f>HYPERLINK("imagenes/NAUTICA_MENS_208001051_BLK_2.jpg","Ver imagen")</f>
        <v/>
      </c>
      <c r="Q2341">
        <f>HYPERLINK("imagenes/NAUTICA_MENS_208001051_BLK_3.jpg","Ver imagen")</f>
        <v/>
      </c>
    </row>
    <row r="2342">
      <c r="A2342" t="inlineStr">
        <is>
          <t>NAUTICA MENS</t>
        </is>
      </c>
      <c r="B2342" t="inlineStr">
        <is>
          <t>208001051</t>
        </is>
      </c>
      <c r="C2342" t="inlineStr">
        <is>
          <t>SOFTSHELL BOMBER</t>
        </is>
      </c>
      <c r="D2342" t="inlineStr">
        <is>
          <t>NVY</t>
        </is>
      </c>
      <c r="E2342" t="inlineStr">
        <is>
          <t>12A08</t>
        </is>
      </c>
      <c r="F2342" t="inlineStr">
        <is>
          <t>R2140</t>
        </is>
      </c>
      <c r="G2342" t="inlineStr">
        <is>
          <t>PPK</t>
        </is>
      </c>
      <c r="H2342" t="n">
        <v>0</v>
      </c>
      <c r="I2342" t="inlineStr">
        <is>
          <t>NAUTICA_MENS_208001051_NVY_1.jpg</t>
        </is>
      </c>
      <c r="J2342" t="inlineStr">
        <is>
          <t>NAUTICA_MENS_208001051_NVY_2.jpg</t>
        </is>
      </c>
      <c r="K2342" t="inlineStr">
        <is>
          <t>NAUTICA_MENS_208001051_NVY_3.jpg</t>
        </is>
      </c>
      <c r="L2342">
        <f>IMAGE("file:///E:/Estudios%20y%20certificaciones/ESTUDIOS%20DE%20PROGRAMMING/PROGRAMMING/PERSONAL/PYTHON/Image_Generator_API/imagenes/NAUTICA_MENS_208001051_NVY_1.jpg")</f>
        <v/>
      </c>
      <c r="M2342">
        <f>IMAGE("file:///E:/Estudios%20y%20certificaciones/ESTUDIOS%20DE%20PROGRAMMING/PROGRAMMING/PERSONAL/PYTHON/Image_Generator_API/imagenes/NAUTICA_MENS_208001051_NVY_2.jpg")</f>
        <v/>
      </c>
      <c r="N2342">
        <f>IMAGE("file:///E:/Estudios%20y%20certificaciones/ESTUDIOS%20DE%20PROGRAMMING/PROGRAMMING/PERSONAL/PYTHON/Image_Generator_API/imagenes/NAUTICA_MENS_208001051_NVY_3.jpg")</f>
        <v/>
      </c>
      <c r="O2342">
        <f>HYPERLINK("imagenes/NAUTICA_MENS_208001051_NVY_1.jpg","Ver imagen")</f>
        <v/>
      </c>
      <c r="P2342">
        <f>HYPERLINK("imagenes/NAUTICA_MENS_208001051_NVY_2.jpg","Ver imagen")</f>
        <v/>
      </c>
      <c r="Q2342">
        <f>HYPERLINK("imagenes/NAUTICA_MENS_208001051_NVY_3.jpg","Ver imagen")</f>
        <v/>
      </c>
    </row>
    <row r="2343">
      <c r="A2343" t="inlineStr">
        <is>
          <t>NAUTICA MENS</t>
        </is>
      </c>
      <c r="B2343" t="inlineStr">
        <is>
          <t>208001051</t>
        </is>
      </c>
      <c r="C2343" t="inlineStr">
        <is>
          <t>SOFTSHELL BOMBER</t>
        </is>
      </c>
      <c r="D2343" t="inlineStr">
        <is>
          <t>NVY</t>
        </is>
      </c>
      <c r="E2343" t="inlineStr">
        <is>
          <t>12A08</t>
        </is>
      </c>
      <c r="F2343" t="inlineStr">
        <is>
          <t>(en blanco)</t>
        </is>
      </c>
      <c r="G2343" t="inlineStr">
        <is>
          <t>PPK</t>
        </is>
      </c>
      <c r="H2343" t="n">
        <v>0</v>
      </c>
      <c r="I2343" t="inlineStr">
        <is>
          <t>NAUTICA_MENS_208001051_NVY_1.jpg</t>
        </is>
      </c>
      <c r="J2343" t="inlineStr">
        <is>
          <t>NAUTICA_MENS_208001051_NVY_2.jpg</t>
        </is>
      </c>
      <c r="K2343" t="inlineStr">
        <is>
          <t>NAUTICA_MENS_208001051_NVY_3.jpg</t>
        </is>
      </c>
      <c r="L2343">
        <f>IMAGE("file:///E:/Estudios%20y%20certificaciones/ESTUDIOS%20DE%20PROGRAMMING/PROGRAMMING/PERSONAL/PYTHON/Image_Generator_API/imagenes/NAUTICA_MENS_208001051_NVY_1.jpg")</f>
        <v/>
      </c>
      <c r="M2343">
        <f>IMAGE("file:///E:/Estudios%20y%20certificaciones/ESTUDIOS%20DE%20PROGRAMMING/PROGRAMMING/PERSONAL/PYTHON/Image_Generator_API/imagenes/NAUTICA_MENS_208001051_NVY_2.jpg")</f>
        <v/>
      </c>
      <c r="N2343">
        <f>IMAGE("file:///E:/Estudios%20y%20certificaciones/ESTUDIOS%20DE%20PROGRAMMING/PROGRAMMING/PERSONAL/PYTHON/Image_Generator_API/imagenes/NAUTICA_MENS_208001051_NVY_3.jpg")</f>
        <v/>
      </c>
      <c r="O2343">
        <f>HYPERLINK("imagenes/NAUTICA_MENS_208001051_NVY_1.jpg","Ver imagen")</f>
        <v/>
      </c>
      <c r="P2343">
        <f>HYPERLINK("imagenes/NAUTICA_MENS_208001051_NVY_2.jpg","Ver imagen")</f>
        <v/>
      </c>
      <c r="Q2343">
        <f>HYPERLINK("imagenes/NAUTICA_MENS_208001051_NVY_3.jpg","Ver imagen")</f>
        <v/>
      </c>
    </row>
    <row r="2344">
      <c r="A2344" t="inlineStr">
        <is>
          <t>NAUTICA MENS</t>
        </is>
      </c>
      <c r="B2344" t="inlineStr">
        <is>
          <t>208001052</t>
        </is>
      </c>
      <c r="C2344" t="inlineStr">
        <is>
          <t>QUILTED JACKET</t>
        </is>
      </c>
      <c r="D2344" t="inlineStr">
        <is>
          <t>B1B</t>
        </is>
      </c>
      <c r="E2344" t="inlineStr">
        <is>
          <t>(en blanco)</t>
        </is>
      </c>
      <c r="F2344" t="inlineStr">
        <is>
          <t>(en blanco)</t>
        </is>
      </c>
      <c r="G2344" t="inlineStr">
        <is>
          <t>M</t>
        </is>
      </c>
      <c r="H2344" t="n">
        <v>3</v>
      </c>
      <c r="I2344" t="inlineStr">
        <is>
          <t>NAUTICA_MENS_208001052_B1B_1.jpg</t>
        </is>
      </c>
      <c r="J2344" t="inlineStr">
        <is>
          <t>NAUTICA_MENS_208001052_B1B_2.jpg</t>
        </is>
      </c>
      <c r="K2344" t="inlineStr">
        <is>
          <t>NAUTICA_MENS_208001052_B1B_3.jpg</t>
        </is>
      </c>
      <c r="L2344">
        <f>IMAGE("file:///E:/Estudios%20y%20certificaciones/ESTUDIOS%20DE%20PROGRAMMING/PROGRAMMING/PERSONAL/PYTHON/Image_Generator_API/imagenes/NAUTICA_MENS_208001052_B1B_1.jpg")</f>
        <v/>
      </c>
      <c r="M2344">
        <f>IMAGE("file:///E:/Estudios%20y%20certificaciones/ESTUDIOS%20DE%20PROGRAMMING/PROGRAMMING/PERSONAL/PYTHON/Image_Generator_API/imagenes/NAUTICA_MENS_208001052_B1B_2.jpg")</f>
        <v/>
      </c>
      <c r="N2344">
        <f>IMAGE("file:///E:/Estudios%20y%20certificaciones/ESTUDIOS%20DE%20PROGRAMMING/PROGRAMMING/PERSONAL/PYTHON/Image_Generator_API/imagenes/NAUTICA_MENS_208001052_B1B_3.jpg")</f>
        <v/>
      </c>
      <c r="O2344">
        <f>HYPERLINK("imagenes/NAUTICA_MENS_208001052_B1B_1.jpg","Ver imagen")</f>
        <v/>
      </c>
      <c r="P2344">
        <f>HYPERLINK("imagenes/NAUTICA_MENS_208001052_B1B_2.jpg","Ver imagen")</f>
        <v/>
      </c>
      <c r="Q2344">
        <f>HYPERLINK("imagenes/NAUTICA_MENS_208001052_B1B_3.jpg","Ver imagen")</f>
        <v/>
      </c>
    </row>
    <row r="2345">
      <c r="A2345" t="inlineStr">
        <is>
          <t>NAUTICA MENS</t>
        </is>
      </c>
      <c r="B2345" t="inlineStr">
        <is>
          <t>208001052</t>
        </is>
      </c>
      <c r="C2345" t="inlineStr">
        <is>
          <t>QUILTED JACKET</t>
        </is>
      </c>
      <c r="D2345" t="inlineStr">
        <is>
          <t>B1B</t>
        </is>
      </c>
      <c r="E2345" t="inlineStr">
        <is>
          <t>(en blanco)</t>
        </is>
      </c>
      <c r="F2345" t="inlineStr">
        <is>
          <t>(en blanco)</t>
        </is>
      </c>
      <c r="G2345" t="inlineStr">
        <is>
          <t>L</t>
        </is>
      </c>
      <c r="H2345" t="n">
        <v>2</v>
      </c>
      <c r="I2345" t="inlineStr">
        <is>
          <t>NAUTICA_MENS_208001052_B1B_1.jpg</t>
        </is>
      </c>
      <c r="J2345" t="inlineStr">
        <is>
          <t>NAUTICA_MENS_208001052_B1B_2.jpg</t>
        </is>
      </c>
      <c r="K2345" t="inlineStr">
        <is>
          <t>NAUTICA_MENS_208001052_B1B_3.jpg</t>
        </is>
      </c>
      <c r="L2345">
        <f>IMAGE("file:///E:/Estudios%20y%20certificaciones/ESTUDIOS%20DE%20PROGRAMMING/PROGRAMMING/PERSONAL/PYTHON/Image_Generator_API/imagenes/NAUTICA_MENS_208001052_B1B_1.jpg")</f>
        <v/>
      </c>
      <c r="M2345">
        <f>IMAGE("file:///E:/Estudios%20y%20certificaciones/ESTUDIOS%20DE%20PROGRAMMING/PROGRAMMING/PERSONAL/PYTHON/Image_Generator_API/imagenes/NAUTICA_MENS_208001052_B1B_2.jpg")</f>
        <v/>
      </c>
      <c r="N2345">
        <f>IMAGE("file:///E:/Estudios%20y%20certificaciones/ESTUDIOS%20DE%20PROGRAMMING/PROGRAMMING/PERSONAL/PYTHON/Image_Generator_API/imagenes/NAUTICA_MENS_208001052_B1B_3.jpg")</f>
        <v/>
      </c>
      <c r="O2345">
        <f>HYPERLINK("imagenes/NAUTICA_MENS_208001052_B1B_1.jpg","Ver imagen")</f>
        <v/>
      </c>
      <c r="P2345">
        <f>HYPERLINK("imagenes/NAUTICA_MENS_208001052_B1B_2.jpg","Ver imagen")</f>
        <v/>
      </c>
      <c r="Q2345">
        <f>HYPERLINK("imagenes/NAUTICA_MENS_208001052_B1B_3.jpg","Ver imagen")</f>
        <v/>
      </c>
    </row>
    <row r="2346">
      <c r="A2346" t="inlineStr">
        <is>
          <t>NAUTICA MENS</t>
        </is>
      </c>
      <c r="B2346" t="inlineStr">
        <is>
          <t>208001052</t>
        </is>
      </c>
      <c r="C2346" t="inlineStr">
        <is>
          <t>QUILTED JACKET</t>
        </is>
      </c>
      <c r="D2346" t="inlineStr">
        <is>
          <t>BLK</t>
        </is>
      </c>
      <c r="E2346" t="inlineStr">
        <is>
          <t>(en blanco)</t>
        </is>
      </c>
      <c r="F2346" t="inlineStr">
        <is>
          <t>(en blanco)</t>
        </is>
      </c>
      <c r="G2346" t="inlineStr">
        <is>
          <t>XXL</t>
        </is>
      </c>
      <c r="H2346" t="n">
        <v>1</v>
      </c>
      <c r="I2346" t="inlineStr">
        <is>
          <t>NAUTICA_MENS_208001052_BLK_2.jpg</t>
        </is>
      </c>
      <c r="J2346" t="inlineStr">
        <is>
          <t>NAUTICA_MENS_208001052_BLK_3.jpg</t>
        </is>
      </c>
      <c r="L2346">
        <f>IMAGE("file:///E:/Estudios%20y%20certificaciones/ESTUDIOS%20DE%20PROGRAMMING/PROGRAMMING/PERSONAL/PYTHON/Image_Generator_API/imagenes/NAUTICA_MENS_208001052_BLK_2.jpg")</f>
        <v/>
      </c>
      <c r="M2346">
        <f>IMAGE("file:///E:/Estudios%20y%20certificaciones/ESTUDIOS%20DE%20PROGRAMMING/PROGRAMMING/PERSONAL/PYTHON/Image_Generator_API/imagenes/NAUTICA_MENS_208001052_BLK_3.jpg")</f>
        <v/>
      </c>
      <c r="O2346">
        <f>HYPERLINK("imagenes/NAUTICA_MENS_208001052_BLK_2.jpg","Ver imagen")</f>
        <v/>
      </c>
      <c r="P2346">
        <f>HYPERLINK("imagenes/NAUTICA_MENS_208001052_BLK_3.jpg","Ver imagen")</f>
        <v/>
      </c>
    </row>
    <row r="2347">
      <c r="A2347" t="inlineStr">
        <is>
          <t>NAUTICA MENS</t>
        </is>
      </c>
      <c r="B2347" t="inlineStr">
        <is>
          <t>208001052</t>
        </is>
      </c>
      <c r="C2347" t="inlineStr">
        <is>
          <t>QUILTED JACKET</t>
        </is>
      </c>
      <c r="D2347" t="inlineStr">
        <is>
          <t>NVY</t>
        </is>
      </c>
      <c r="E2347" t="inlineStr">
        <is>
          <t>(en blanco)</t>
        </is>
      </c>
      <c r="F2347" t="inlineStr">
        <is>
          <t>(en blanco)</t>
        </is>
      </c>
      <c r="G2347" t="inlineStr">
        <is>
          <t>M</t>
        </is>
      </c>
      <c r="H2347" t="n">
        <v>2</v>
      </c>
      <c r="I2347" t="inlineStr">
        <is>
          <t>NAUTICA_MENS_208001052_NVY_1.jpg</t>
        </is>
      </c>
      <c r="J2347" t="inlineStr">
        <is>
          <t>NAUTICA_MENS_208001052_NVY_2.jpg</t>
        </is>
      </c>
      <c r="K2347" t="inlineStr">
        <is>
          <t>NAUTICA_MENS_208001052_NVY_3.jpg</t>
        </is>
      </c>
      <c r="L2347">
        <f>IMAGE("file:///E:/Estudios%20y%20certificaciones/ESTUDIOS%20DE%20PROGRAMMING/PROGRAMMING/PERSONAL/PYTHON/Image_Generator_API/imagenes/NAUTICA_MENS_208001052_NVY_1.jpg")</f>
        <v/>
      </c>
      <c r="M2347">
        <f>IMAGE("file:///E:/Estudios%20y%20certificaciones/ESTUDIOS%20DE%20PROGRAMMING/PROGRAMMING/PERSONAL/PYTHON/Image_Generator_API/imagenes/NAUTICA_MENS_208001052_NVY_2.jpg")</f>
        <v/>
      </c>
      <c r="N2347">
        <f>IMAGE("file:///E:/Estudios%20y%20certificaciones/ESTUDIOS%20DE%20PROGRAMMING/PROGRAMMING/PERSONAL/PYTHON/Image_Generator_API/imagenes/NAUTICA_MENS_208001052_NVY_3.jpg")</f>
        <v/>
      </c>
      <c r="O2347">
        <f>HYPERLINK("imagenes/NAUTICA_MENS_208001052_NVY_1.jpg","Ver imagen")</f>
        <v/>
      </c>
      <c r="P2347">
        <f>HYPERLINK("imagenes/NAUTICA_MENS_208001052_NVY_2.jpg","Ver imagen")</f>
        <v/>
      </c>
      <c r="Q2347">
        <f>HYPERLINK("imagenes/NAUTICA_MENS_208001052_NVY_3.jpg","Ver imagen")</f>
        <v/>
      </c>
    </row>
    <row r="2348">
      <c r="A2348" t="inlineStr">
        <is>
          <t>NAUTICA MENS</t>
        </is>
      </c>
      <c r="B2348" t="inlineStr">
        <is>
          <t>208001200</t>
        </is>
      </c>
      <c r="C2348" t="inlineStr">
        <is>
          <t>SOFT SHELL  BOMBER</t>
        </is>
      </c>
      <c r="D2348" t="inlineStr">
        <is>
          <t>BLK</t>
        </is>
      </c>
      <c r="E2348" t="inlineStr">
        <is>
          <t>(en blanco)</t>
        </is>
      </c>
      <c r="F2348" t="inlineStr">
        <is>
          <t>(en blanco)</t>
        </is>
      </c>
      <c r="G2348" t="inlineStr">
        <is>
          <t>XLT</t>
        </is>
      </c>
      <c r="H2348" t="n">
        <v>2</v>
      </c>
      <c r="I2348" t="inlineStr">
        <is>
          <t>NAUTICA_MENS_208001200_BLK_1.jpg</t>
        </is>
      </c>
      <c r="J2348" t="inlineStr">
        <is>
          <t>NAUTICA_MENS_208001200_BLK_2.jpg</t>
        </is>
      </c>
      <c r="K2348" t="inlineStr">
        <is>
          <t>NAUTICA_MENS_208001200_BLK_3.jpg</t>
        </is>
      </c>
      <c r="L2348">
        <f>IMAGE("file:///E:/Estudios%20y%20certificaciones/ESTUDIOS%20DE%20PROGRAMMING/PROGRAMMING/PERSONAL/PYTHON/Image_Generator_API/imagenes/NAUTICA_MENS_208001200_BLK_1.jpg")</f>
        <v/>
      </c>
      <c r="M2348">
        <f>IMAGE("file:///E:/Estudios%20y%20certificaciones/ESTUDIOS%20DE%20PROGRAMMING/PROGRAMMING/PERSONAL/PYTHON/Image_Generator_API/imagenes/NAUTICA_MENS_208001200_BLK_2.jpg")</f>
        <v/>
      </c>
      <c r="N2348">
        <f>IMAGE("file:///E:/Estudios%20y%20certificaciones/ESTUDIOS%20DE%20PROGRAMMING/PROGRAMMING/PERSONAL/PYTHON/Image_Generator_API/imagenes/NAUTICA_MENS_208001200_BLK_3.jpg")</f>
        <v/>
      </c>
      <c r="O2348">
        <f>HYPERLINK("imagenes/NAUTICA_MENS_208001200_BLK_1.jpg","Ver imagen")</f>
        <v/>
      </c>
      <c r="P2348">
        <f>HYPERLINK("imagenes/NAUTICA_MENS_208001200_BLK_2.jpg","Ver imagen")</f>
        <v/>
      </c>
      <c r="Q2348">
        <f>HYPERLINK("imagenes/NAUTICA_MENS_208001200_BLK_3.jpg","Ver imagen")</f>
        <v/>
      </c>
    </row>
    <row r="2349">
      <c r="A2349" t="inlineStr">
        <is>
          <t>NAUTICA MENS</t>
        </is>
      </c>
      <c r="B2349" t="inlineStr">
        <is>
          <t>208001201</t>
        </is>
      </c>
      <c r="C2349" t="inlineStr">
        <is>
          <t>HYBRID TECH SHELL W/HOOD</t>
        </is>
      </c>
      <c r="D2349" t="inlineStr">
        <is>
          <t>BLK</t>
        </is>
      </c>
      <c r="E2349" t="inlineStr">
        <is>
          <t>(en blanco)</t>
        </is>
      </c>
      <c r="F2349" t="inlineStr">
        <is>
          <t>(en blanco)</t>
        </is>
      </c>
      <c r="G2349" t="inlineStr">
        <is>
          <t>M</t>
        </is>
      </c>
      <c r="H2349" t="n">
        <v>21</v>
      </c>
      <c r="I2349" t="inlineStr">
        <is>
          <t>NAUTICA_MENS_208001201_BLK_1.jpg</t>
        </is>
      </c>
      <c r="J2349" t="inlineStr">
        <is>
          <t>NAUTICA_MENS_208001201_BLK_2.jpg</t>
        </is>
      </c>
      <c r="K2349" t="inlineStr">
        <is>
          <t>NAUTICA_MENS_208001201_BLK_3.jpg</t>
        </is>
      </c>
      <c r="L2349">
        <f>IMAGE("file:///E:/Estudios%20y%20certificaciones/ESTUDIOS%20DE%20PROGRAMMING/PROGRAMMING/PERSONAL/PYTHON/Image_Generator_API/imagenes/NAUTICA_MENS_208001201_BLK_1.jpg")</f>
        <v/>
      </c>
      <c r="M2349">
        <f>IMAGE("file:///E:/Estudios%20y%20certificaciones/ESTUDIOS%20DE%20PROGRAMMING/PROGRAMMING/PERSONAL/PYTHON/Image_Generator_API/imagenes/NAUTICA_MENS_208001201_BLK_2.jpg")</f>
        <v/>
      </c>
      <c r="N2349">
        <f>IMAGE("file:///E:/Estudios%20y%20certificaciones/ESTUDIOS%20DE%20PROGRAMMING/PROGRAMMING/PERSONAL/PYTHON/Image_Generator_API/imagenes/NAUTICA_MENS_208001201_BLK_3.jpg")</f>
        <v/>
      </c>
      <c r="O2349">
        <f>HYPERLINK("imagenes/NAUTICA_MENS_208001201_BLK_1.jpg","Ver imagen")</f>
        <v/>
      </c>
      <c r="P2349">
        <f>HYPERLINK("imagenes/NAUTICA_MENS_208001201_BLK_2.jpg","Ver imagen")</f>
        <v/>
      </c>
      <c r="Q2349">
        <f>HYPERLINK("imagenes/NAUTICA_MENS_208001201_BLK_3.jpg","Ver imagen")</f>
        <v/>
      </c>
    </row>
    <row r="2350">
      <c r="A2350" t="inlineStr">
        <is>
          <t>NAUTICA MENS</t>
        </is>
      </c>
      <c r="B2350" t="inlineStr">
        <is>
          <t>208001201</t>
        </is>
      </c>
      <c r="C2350" t="inlineStr">
        <is>
          <t>HYBRID TECH SHELL W/HOOD</t>
        </is>
      </c>
      <c r="D2350" t="inlineStr">
        <is>
          <t>BLK</t>
        </is>
      </c>
      <c r="E2350" t="inlineStr">
        <is>
          <t>(en blanco)</t>
        </is>
      </c>
      <c r="F2350" t="inlineStr">
        <is>
          <t>(en blanco)</t>
        </is>
      </c>
      <c r="G2350" t="inlineStr">
        <is>
          <t>L</t>
        </is>
      </c>
      <c r="H2350" t="n">
        <v>54</v>
      </c>
      <c r="I2350" t="inlineStr">
        <is>
          <t>NAUTICA_MENS_208001201_BLK_1.jpg</t>
        </is>
      </c>
      <c r="J2350" t="inlineStr">
        <is>
          <t>NAUTICA_MENS_208001201_BLK_2.jpg</t>
        </is>
      </c>
      <c r="K2350" t="inlineStr">
        <is>
          <t>NAUTICA_MENS_208001201_BLK_3.jpg</t>
        </is>
      </c>
      <c r="L2350">
        <f>IMAGE("file:///E:/Estudios%20y%20certificaciones/ESTUDIOS%20DE%20PROGRAMMING/PROGRAMMING/PERSONAL/PYTHON/Image_Generator_API/imagenes/NAUTICA_MENS_208001201_BLK_1.jpg")</f>
        <v/>
      </c>
      <c r="M2350">
        <f>IMAGE("file:///E:/Estudios%20y%20certificaciones/ESTUDIOS%20DE%20PROGRAMMING/PROGRAMMING/PERSONAL/PYTHON/Image_Generator_API/imagenes/NAUTICA_MENS_208001201_BLK_2.jpg")</f>
        <v/>
      </c>
      <c r="N2350">
        <f>IMAGE("file:///E:/Estudios%20y%20certificaciones/ESTUDIOS%20DE%20PROGRAMMING/PROGRAMMING/PERSONAL/PYTHON/Image_Generator_API/imagenes/NAUTICA_MENS_208001201_BLK_3.jpg")</f>
        <v/>
      </c>
      <c r="O2350">
        <f>HYPERLINK("imagenes/NAUTICA_MENS_208001201_BLK_1.jpg","Ver imagen")</f>
        <v/>
      </c>
      <c r="P2350">
        <f>HYPERLINK("imagenes/NAUTICA_MENS_208001201_BLK_2.jpg","Ver imagen")</f>
        <v/>
      </c>
      <c r="Q2350">
        <f>HYPERLINK("imagenes/NAUTICA_MENS_208001201_BLK_3.jpg","Ver imagen")</f>
        <v/>
      </c>
    </row>
    <row r="2351">
      <c r="A2351" t="inlineStr">
        <is>
          <t>NAUTICA MENS</t>
        </is>
      </c>
      <c r="B2351" t="inlineStr">
        <is>
          <t>208001201</t>
        </is>
      </c>
      <c r="C2351" t="inlineStr">
        <is>
          <t>HYBRID TECH SHELL W/HOOD</t>
        </is>
      </c>
      <c r="D2351" t="inlineStr">
        <is>
          <t>BLK</t>
        </is>
      </c>
      <c r="E2351" t="inlineStr">
        <is>
          <t>(en blanco)</t>
        </is>
      </c>
      <c r="F2351" t="inlineStr">
        <is>
          <t>(en blanco)</t>
        </is>
      </c>
      <c r="G2351" t="inlineStr">
        <is>
          <t>XL</t>
        </is>
      </c>
      <c r="H2351" t="n">
        <v>74</v>
      </c>
      <c r="I2351" t="inlineStr">
        <is>
          <t>NAUTICA_MENS_208001201_BLK_1.jpg</t>
        </is>
      </c>
      <c r="J2351" t="inlineStr">
        <is>
          <t>NAUTICA_MENS_208001201_BLK_2.jpg</t>
        </is>
      </c>
      <c r="K2351" t="inlineStr">
        <is>
          <t>NAUTICA_MENS_208001201_BLK_3.jpg</t>
        </is>
      </c>
      <c r="L2351">
        <f>IMAGE("file:///E:/Estudios%20y%20certificaciones/ESTUDIOS%20DE%20PROGRAMMING/PROGRAMMING/PERSONAL/PYTHON/Image_Generator_API/imagenes/NAUTICA_MENS_208001201_BLK_1.jpg")</f>
        <v/>
      </c>
      <c r="M2351">
        <f>IMAGE("file:///E:/Estudios%20y%20certificaciones/ESTUDIOS%20DE%20PROGRAMMING/PROGRAMMING/PERSONAL/PYTHON/Image_Generator_API/imagenes/NAUTICA_MENS_208001201_BLK_2.jpg")</f>
        <v/>
      </c>
      <c r="N2351">
        <f>IMAGE("file:///E:/Estudios%20y%20certificaciones/ESTUDIOS%20DE%20PROGRAMMING/PROGRAMMING/PERSONAL/PYTHON/Image_Generator_API/imagenes/NAUTICA_MENS_208001201_BLK_3.jpg")</f>
        <v/>
      </c>
      <c r="O2351">
        <f>HYPERLINK("imagenes/NAUTICA_MENS_208001201_BLK_1.jpg","Ver imagen")</f>
        <v/>
      </c>
      <c r="P2351">
        <f>HYPERLINK("imagenes/NAUTICA_MENS_208001201_BLK_2.jpg","Ver imagen")</f>
        <v/>
      </c>
      <c r="Q2351">
        <f>HYPERLINK("imagenes/NAUTICA_MENS_208001201_BLK_3.jpg","Ver imagen")</f>
        <v/>
      </c>
    </row>
    <row r="2352">
      <c r="A2352" t="inlineStr">
        <is>
          <t>NAUTICA MENS</t>
        </is>
      </c>
      <c r="B2352" t="inlineStr">
        <is>
          <t>208001201</t>
        </is>
      </c>
      <c r="C2352" t="inlineStr">
        <is>
          <t>HYBRID TECH SHELL W/HOOD</t>
        </is>
      </c>
      <c r="D2352" t="inlineStr">
        <is>
          <t>BLK</t>
        </is>
      </c>
      <c r="E2352" t="inlineStr">
        <is>
          <t>(en blanco)</t>
        </is>
      </c>
      <c r="F2352" t="inlineStr">
        <is>
          <t>(en blanco)</t>
        </is>
      </c>
      <c r="G2352" t="inlineStr">
        <is>
          <t>XXL</t>
        </is>
      </c>
      <c r="H2352" t="n">
        <v>7</v>
      </c>
      <c r="I2352" t="inlineStr">
        <is>
          <t>NAUTICA_MENS_208001201_BLK_1.jpg</t>
        </is>
      </c>
      <c r="J2352" t="inlineStr">
        <is>
          <t>NAUTICA_MENS_208001201_BLK_2.jpg</t>
        </is>
      </c>
      <c r="K2352" t="inlineStr">
        <is>
          <t>NAUTICA_MENS_208001201_BLK_3.jpg</t>
        </is>
      </c>
      <c r="L2352">
        <f>IMAGE("file:///E:/Estudios%20y%20certificaciones/ESTUDIOS%20DE%20PROGRAMMING/PROGRAMMING/PERSONAL/PYTHON/Image_Generator_API/imagenes/NAUTICA_MENS_208001201_BLK_1.jpg")</f>
        <v/>
      </c>
      <c r="M2352">
        <f>IMAGE("file:///E:/Estudios%20y%20certificaciones/ESTUDIOS%20DE%20PROGRAMMING/PROGRAMMING/PERSONAL/PYTHON/Image_Generator_API/imagenes/NAUTICA_MENS_208001201_BLK_2.jpg")</f>
        <v/>
      </c>
      <c r="N2352">
        <f>IMAGE("file:///E:/Estudios%20y%20certificaciones/ESTUDIOS%20DE%20PROGRAMMING/PROGRAMMING/PERSONAL/PYTHON/Image_Generator_API/imagenes/NAUTICA_MENS_208001201_BLK_3.jpg")</f>
        <v/>
      </c>
      <c r="O2352">
        <f>HYPERLINK("imagenes/NAUTICA_MENS_208001201_BLK_1.jpg","Ver imagen")</f>
        <v/>
      </c>
      <c r="P2352">
        <f>HYPERLINK("imagenes/NAUTICA_MENS_208001201_BLK_2.jpg","Ver imagen")</f>
        <v/>
      </c>
      <c r="Q2352">
        <f>HYPERLINK("imagenes/NAUTICA_MENS_208001201_BLK_3.jpg","Ver imagen")</f>
        <v/>
      </c>
    </row>
    <row r="2353">
      <c r="A2353" t="inlineStr">
        <is>
          <t>NAUTICA MENS</t>
        </is>
      </c>
      <c r="B2353" t="inlineStr">
        <is>
          <t>208001201</t>
        </is>
      </c>
      <c r="C2353" t="inlineStr">
        <is>
          <t>HYBRID TECH SHELL W/HOOD</t>
        </is>
      </c>
      <c r="D2353" t="inlineStr">
        <is>
          <t>NVY</t>
        </is>
      </c>
      <c r="E2353" t="inlineStr">
        <is>
          <t>(en blanco)</t>
        </is>
      </c>
      <c r="F2353" t="inlineStr">
        <is>
          <t>(en blanco)</t>
        </is>
      </c>
      <c r="G2353" t="inlineStr">
        <is>
          <t>S</t>
        </is>
      </c>
      <c r="H2353" t="n">
        <v>5</v>
      </c>
      <c r="I2353" t="inlineStr">
        <is>
          <t>NAUTICA_MENS_208001201_NVY_1.jpg</t>
        </is>
      </c>
      <c r="J2353" t="inlineStr">
        <is>
          <t>NAUTICA_MENS_208001201_NVY_2.jpg</t>
        </is>
      </c>
      <c r="K2353" t="inlineStr">
        <is>
          <t>NAUTICA_MENS_208001201_NVY_3.jpg</t>
        </is>
      </c>
      <c r="L2353">
        <f>IMAGE("file:///E:/Estudios%20y%20certificaciones/ESTUDIOS%20DE%20PROGRAMMING/PROGRAMMING/PERSONAL/PYTHON/Image_Generator_API/imagenes/NAUTICA_MENS_208001201_NVY_1.jpg")</f>
        <v/>
      </c>
      <c r="M2353">
        <f>IMAGE("file:///E:/Estudios%20y%20certificaciones/ESTUDIOS%20DE%20PROGRAMMING/PROGRAMMING/PERSONAL/PYTHON/Image_Generator_API/imagenes/NAUTICA_MENS_208001201_NVY_2.jpg")</f>
        <v/>
      </c>
      <c r="N2353">
        <f>IMAGE("file:///E:/Estudios%20y%20certificaciones/ESTUDIOS%20DE%20PROGRAMMING/PROGRAMMING/PERSONAL/PYTHON/Image_Generator_API/imagenes/NAUTICA_MENS_208001201_NVY_3.jpg")</f>
        <v/>
      </c>
      <c r="O2353">
        <f>HYPERLINK("imagenes/NAUTICA_MENS_208001201_NVY_1.jpg","Ver imagen")</f>
        <v/>
      </c>
      <c r="P2353">
        <f>HYPERLINK("imagenes/NAUTICA_MENS_208001201_NVY_2.jpg","Ver imagen")</f>
        <v/>
      </c>
      <c r="Q2353">
        <f>HYPERLINK("imagenes/NAUTICA_MENS_208001201_NVY_3.jpg","Ver imagen")</f>
        <v/>
      </c>
    </row>
    <row r="2354">
      <c r="A2354" t="inlineStr">
        <is>
          <t>NAUTICA MENS</t>
        </is>
      </c>
      <c r="B2354" t="inlineStr">
        <is>
          <t>208001201</t>
        </is>
      </c>
      <c r="C2354" t="inlineStr">
        <is>
          <t>HYBRID TECH SHELL W/HOOD</t>
        </is>
      </c>
      <c r="D2354" t="inlineStr">
        <is>
          <t>NVY</t>
        </is>
      </c>
      <c r="E2354" t="inlineStr">
        <is>
          <t>(en blanco)</t>
        </is>
      </c>
      <c r="F2354" t="inlineStr">
        <is>
          <t>(en blanco)</t>
        </is>
      </c>
      <c r="G2354" t="inlineStr">
        <is>
          <t>M</t>
        </is>
      </c>
      <c r="H2354" t="n">
        <v>24</v>
      </c>
      <c r="I2354" t="inlineStr">
        <is>
          <t>NAUTICA_MENS_208001201_NVY_1.jpg</t>
        </is>
      </c>
      <c r="J2354" t="inlineStr">
        <is>
          <t>NAUTICA_MENS_208001201_NVY_2.jpg</t>
        </is>
      </c>
      <c r="K2354" t="inlineStr">
        <is>
          <t>NAUTICA_MENS_208001201_NVY_3.jpg</t>
        </is>
      </c>
      <c r="L2354">
        <f>IMAGE("file:///E:/Estudios%20y%20certificaciones/ESTUDIOS%20DE%20PROGRAMMING/PROGRAMMING/PERSONAL/PYTHON/Image_Generator_API/imagenes/NAUTICA_MENS_208001201_NVY_1.jpg")</f>
        <v/>
      </c>
      <c r="M2354">
        <f>IMAGE("file:///E:/Estudios%20y%20certificaciones/ESTUDIOS%20DE%20PROGRAMMING/PROGRAMMING/PERSONAL/PYTHON/Image_Generator_API/imagenes/NAUTICA_MENS_208001201_NVY_2.jpg")</f>
        <v/>
      </c>
      <c r="N2354">
        <f>IMAGE("file:///E:/Estudios%20y%20certificaciones/ESTUDIOS%20DE%20PROGRAMMING/PROGRAMMING/PERSONAL/PYTHON/Image_Generator_API/imagenes/NAUTICA_MENS_208001201_NVY_3.jpg")</f>
        <v/>
      </c>
      <c r="O2354">
        <f>HYPERLINK("imagenes/NAUTICA_MENS_208001201_NVY_1.jpg","Ver imagen")</f>
        <v/>
      </c>
      <c r="P2354">
        <f>HYPERLINK("imagenes/NAUTICA_MENS_208001201_NVY_2.jpg","Ver imagen")</f>
        <v/>
      </c>
      <c r="Q2354">
        <f>HYPERLINK("imagenes/NAUTICA_MENS_208001201_NVY_3.jpg","Ver imagen")</f>
        <v/>
      </c>
    </row>
    <row r="2355">
      <c r="A2355" t="inlineStr">
        <is>
          <t>NAUTICA MENS</t>
        </is>
      </c>
      <c r="B2355" t="inlineStr">
        <is>
          <t>208001201</t>
        </is>
      </c>
      <c r="C2355" t="inlineStr">
        <is>
          <t>HYBRID TECH SHELL W/HOOD</t>
        </is>
      </c>
      <c r="D2355" t="inlineStr">
        <is>
          <t>NVY</t>
        </is>
      </c>
      <c r="E2355" t="inlineStr">
        <is>
          <t>(en blanco)</t>
        </is>
      </c>
      <c r="F2355" t="inlineStr">
        <is>
          <t>(en blanco)</t>
        </is>
      </c>
      <c r="G2355" t="inlineStr">
        <is>
          <t>L</t>
        </is>
      </c>
      <c r="H2355" t="n">
        <v>59</v>
      </c>
      <c r="I2355" t="inlineStr">
        <is>
          <t>NAUTICA_MENS_208001201_NVY_1.jpg</t>
        </is>
      </c>
      <c r="J2355" t="inlineStr">
        <is>
          <t>NAUTICA_MENS_208001201_NVY_2.jpg</t>
        </is>
      </c>
      <c r="K2355" t="inlineStr">
        <is>
          <t>NAUTICA_MENS_208001201_NVY_3.jpg</t>
        </is>
      </c>
      <c r="L2355">
        <f>IMAGE("file:///E:/Estudios%20y%20certificaciones/ESTUDIOS%20DE%20PROGRAMMING/PROGRAMMING/PERSONAL/PYTHON/Image_Generator_API/imagenes/NAUTICA_MENS_208001201_NVY_1.jpg")</f>
        <v/>
      </c>
      <c r="M2355">
        <f>IMAGE("file:///E:/Estudios%20y%20certificaciones/ESTUDIOS%20DE%20PROGRAMMING/PROGRAMMING/PERSONAL/PYTHON/Image_Generator_API/imagenes/NAUTICA_MENS_208001201_NVY_2.jpg")</f>
        <v/>
      </c>
      <c r="N2355">
        <f>IMAGE("file:///E:/Estudios%20y%20certificaciones/ESTUDIOS%20DE%20PROGRAMMING/PROGRAMMING/PERSONAL/PYTHON/Image_Generator_API/imagenes/NAUTICA_MENS_208001201_NVY_3.jpg")</f>
        <v/>
      </c>
      <c r="O2355">
        <f>HYPERLINK("imagenes/NAUTICA_MENS_208001201_NVY_1.jpg","Ver imagen")</f>
        <v/>
      </c>
      <c r="P2355">
        <f>HYPERLINK("imagenes/NAUTICA_MENS_208001201_NVY_2.jpg","Ver imagen")</f>
        <v/>
      </c>
      <c r="Q2355">
        <f>HYPERLINK("imagenes/NAUTICA_MENS_208001201_NVY_3.jpg","Ver imagen")</f>
        <v/>
      </c>
    </row>
    <row r="2356">
      <c r="A2356" t="inlineStr">
        <is>
          <t>NAUTICA MENS</t>
        </is>
      </c>
      <c r="B2356" t="inlineStr">
        <is>
          <t>208001201</t>
        </is>
      </c>
      <c r="C2356" t="inlineStr">
        <is>
          <t>HYBRID TECH SHELL W/HOOD</t>
        </is>
      </c>
      <c r="D2356" t="inlineStr">
        <is>
          <t>NVY</t>
        </is>
      </c>
      <c r="E2356" t="inlineStr">
        <is>
          <t>(en blanco)</t>
        </is>
      </c>
      <c r="F2356" t="inlineStr">
        <is>
          <t>(en blanco)</t>
        </is>
      </c>
      <c r="G2356" t="inlineStr">
        <is>
          <t>XL</t>
        </is>
      </c>
      <c r="H2356" t="n">
        <v>49</v>
      </c>
      <c r="I2356" t="inlineStr">
        <is>
          <t>NAUTICA_MENS_208001201_NVY_1.jpg</t>
        </is>
      </c>
      <c r="J2356" t="inlineStr">
        <is>
          <t>NAUTICA_MENS_208001201_NVY_2.jpg</t>
        </is>
      </c>
      <c r="K2356" t="inlineStr">
        <is>
          <t>NAUTICA_MENS_208001201_NVY_3.jpg</t>
        </is>
      </c>
      <c r="L2356">
        <f>IMAGE("file:///E:/Estudios%20y%20certificaciones/ESTUDIOS%20DE%20PROGRAMMING/PROGRAMMING/PERSONAL/PYTHON/Image_Generator_API/imagenes/NAUTICA_MENS_208001201_NVY_1.jpg")</f>
        <v/>
      </c>
      <c r="M2356">
        <f>IMAGE("file:///E:/Estudios%20y%20certificaciones/ESTUDIOS%20DE%20PROGRAMMING/PROGRAMMING/PERSONAL/PYTHON/Image_Generator_API/imagenes/NAUTICA_MENS_208001201_NVY_2.jpg")</f>
        <v/>
      </c>
      <c r="N2356">
        <f>IMAGE("file:///E:/Estudios%20y%20certificaciones/ESTUDIOS%20DE%20PROGRAMMING/PROGRAMMING/PERSONAL/PYTHON/Image_Generator_API/imagenes/NAUTICA_MENS_208001201_NVY_3.jpg")</f>
        <v/>
      </c>
      <c r="O2356">
        <f>HYPERLINK("imagenes/NAUTICA_MENS_208001201_NVY_1.jpg","Ver imagen")</f>
        <v/>
      </c>
      <c r="P2356">
        <f>HYPERLINK("imagenes/NAUTICA_MENS_208001201_NVY_2.jpg","Ver imagen")</f>
        <v/>
      </c>
      <c r="Q2356">
        <f>HYPERLINK("imagenes/NAUTICA_MENS_208001201_NVY_3.jpg","Ver imagen")</f>
        <v/>
      </c>
    </row>
    <row r="2357">
      <c r="A2357" t="inlineStr">
        <is>
          <t>NAUTICA MENS</t>
        </is>
      </c>
      <c r="B2357" t="inlineStr">
        <is>
          <t>208001201</t>
        </is>
      </c>
      <c r="C2357" t="inlineStr">
        <is>
          <t>HYBRID TECH SHELL W/HOOD</t>
        </is>
      </c>
      <c r="D2357" t="inlineStr">
        <is>
          <t>NVY</t>
        </is>
      </c>
      <c r="E2357" t="inlineStr">
        <is>
          <t>(en blanco)</t>
        </is>
      </c>
      <c r="F2357" t="inlineStr">
        <is>
          <t>(en blanco)</t>
        </is>
      </c>
      <c r="G2357" t="inlineStr">
        <is>
          <t>XXL</t>
        </is>
      </c>
      <c r="H2357" t="n">
        <v>7</v>
      </c>
      <c r="I2357" t="inlineStr">
        <is>
          <t>NAUTICA_MENS_208001201_NVY_1.jpg</t>
        </is>
      </c>
      <c r="J2357" t="inlineStr">
        <is>
          <t>NAUTICA_MENS_208001201_NVY_2.jpg</t>
        </is>
      </c>
      <c r="K2357" t="inlineStr">
        <is>
          <t>NAUTICA_MENS_208001201_NVY_3.jpg</t>
        </is>
      </c>
      <c r="L2357">
        <f>IMAGE("file:///E:/Estudios%20y%20certificaciones/ESTUDIOS%20DE%20PROGRAMMING/PROGRAMMING/PERSONAL/PYTHON/Image_Generator_API/imagenes/NAUTICA_MENS_208001201_NVY_1.jpg")</f>
        <v/>
      </c>
      <c r="M2357">
        <f>IMAGE("file:///E:/Estudios%20y%20certificaciones/ESTUDIOS%20DE%20PROGRAMMING/PROGRAMMING/PERSONAL/PYTHON/Image_Generator_API/imagenes/NAUTICA_MENS_208001201_NVY_2.jpg")</f>
        <v/>
      </c>
      <c r="N2357">
        <f>IMAGE("file:///E:/Estudios%20y%20certificaciones/ESTUDIOS%20DE%20PROGRAMMING/PROGRAMMING/PERSONAL/PYTHON/Image_Generator_API/imagenes/NAUTICA_MENS_208001201_NVY_3.jpg")</f>
        <v/>
      </c>
      <c r="O2357">
        <f>HYPERLINK("imagenes/NAUTICA_MENS_208001201_NVY_1.jpg","Ver imagen")</f>
        <v/>
      </c>
      <c r="P2357">
        <f>HYPERLINK("imagenes/NAUTICA_MENS_208001201_NVY_2.jpg","Ver imagen")</f>
        <v/>
      </c>
      <c r="Q2357">
        <f>HYPERLINK("imagenes/NAUTICA_MENS_208001201_NVY_3.jpg","Ver imagen")</f>
        <v/>
      </c>
    </row>
    <row r="2358">
      <c r="A2358" t="inlineStr">
        <is>
          <t>NAUTICA MENS</t>
        </is>
      </c>
      <c r="B2358" t="inlineStr">
        <is>
          <t>208001211</t>
        </is>
      </c>
      <c r="C2358" t="inlineStr">
        <is>
          <t>QUILTED JACKET</t>
        </is>
      </c>
      <c r="D2358" t="inlineStr">
        <is>
          <t>B31</t>
        </is>
      </c>
      <c r="E2358" t="inlineStr">
        <is>
          <t>(en blanco)</t>
        </is>
      </c>
      <c r="F2358" t="inlineStr">
        <is>
          <t>(en blanco)</t>
        </is>
      </c>
      <c r="G2358" t="inlineStr">
        <is>
          <t>S</t>
        </is>
      </c>
      <c r="H2358" t="n">
        <v>2</v>
      </c>
      <c r="I2358" t="inlineStr">
        <is>
          <t>NAUTICA_MENS_208001211_B31_1.jpg</t>
        </is>
      </c>
      <c r="J2358" t="inlineStr">
        <is>
          <t>NAUTICA_MENS_208001211_B31_2.jpg</t>
        </is>
      </c>
      <c r="K2358" t="inlineStr">
        <is>
          <t>NAUTICA_MENS_208001211_B31_3.jpg</t>
        </is>
      </c>
      <c r="L2358">
        <f>IMAGE("file:///E:/Estudios%20y%20certificaciones/ESTUDIOS%20DE%20PROGRAMMING/PROGRAMMING/PERSONAL/PYTHON/Image_Generator_API/imagenes/NAUTICA_MENS_208001211_B31_1.jpg")</f>
        <v/>
      </c>
      <c r="M2358">
        <f>IMAGE("file:///E:/Estudios%20y%20certificaciones/ESTUDIOS%20DE%20PROGRAMMING/PROGRAMMING/PERSONAL/PYTHON/Image_Generator_API/imagenes/NAUTICA_MENS_208001211_B31_2.jpg")</f>
        <v/>
      </c>
      <c r="N2358">
        <f>IMAGE("file:///E:/Estudios%20y%20certificaciones/ESTUDIOS%20DE%20PROGRAMMING/PROGRAMMING/PERSONAL/PYTHON/Image_Generator_API/imagenes/NAUTICA_MENS_208001211_B31_3.jpg")</f>
        <v/>
      </c>
      <c r="O2358">
        <f>HYPERLINK("imagenes/NAUTICA_MENS_208001211_B31_1.jpg","Ver imagen")</f>
        <v/>
      </c>
      <c r="P2358">
        <f>HYPERLINK("imagenes/NAUTICA_MENS_208001211_B31_2.jpg","Ver imagen")</f>
        <v/>
      </c>
      <c r="Q2358">
        <f>HYPERLINK("imagenes/NAUTICA_MENS_208001211_B31_3.jpg","Ver imagen")</f>
        <v/>
      </c>
    </row>
    <row r="2359">
      <c r="A2359" t="inlineStr">
        <is>
          <t>NAUTICA MENS</t>
        </is>
      </c>
      <c r="B2359" t="inlineStr">
        <is>
          <t>208001211</t>
        </is>
      </c>
      <c r="C2359" t="inlineStr">
        <is>
          <t>QUILTED JACKET</t>
        </is>
      </c>
      <c r="D2359" t="inlineStr">
        <is>
          <t>B31</t>
        </is>
      </c>
      <c r="E2359" t="inlineStr">
        <is>
          <t>(en blanco)</t>
        </is>
      </c>
      <c r="F2359" t="inlineStr">
        <is>
          <t>(en blanco)</t>
        </is>
      </c>
      <c r="G2359" t="inlineStr">
        <is>
          <t>M</t>
        </is>
      </c>
      <c r="H2359" t="n">
        <v>1</v>
      </c>
      <c r="I2359" t="inlineStr">
        <is>
          <t>NAUTICA_MENS_208001211_B31_1.jpg</t>
        </is>
      </c>
      <c r="J2359" t="inlineStr">
        <is>
          <t>NAUTICA_MENS_208001211_B31_2.jpg</t>
        </is>
      </c>
      <c r="K2359" t="inlineStr">
        <is>
          <t>NAUTICA_MENS_208001211_B31_3.jpg</t>
        </is>
      </c>
      <c r="L2359">
        <f>IMAGE("file:///E:/Estudios%20y%20certificaciones/ESTUDIOS%20DE%20PROGRAMMING/PROGRAMMING/PERSONAL/PYTHON/Image_Generator_API/imagenes/NAUTICA_MENS_208001211_B31_1.jpg")</f>
        <v/>
      </c>
      <c r="M2359">
        <f>IMAGE("file:///E:/Estudios%20y%20certificaciones/ESTUDIOS%20DE%20PROGRAMMING/PROGRAMMING/PERSONAL/PYTHON/Image_Generator_API/imagenes/NAUTICA_MENS_208001211_B31_2.jpg")</f>
        <v/>
      </c>
      <c r="N2359">
        <f>IMAGE("file:///E:/Estudios%20y%20certificaciones/ESTUDIOS%20DE%20PROGRAMMING/PROGRAMMING/PERSONAL/PYTHON/Image_Generator_API/imagenes/NAUTICA_MENS_208001211_B31_3.jpg")</f>
        <v/>
      </c>
      <c r="O2359">
        <f>HYPERLINK("imagenes/NAUTICA_MENS_208001211_B31_1.jpg","Ver imagen")</f>
        <v/>
      </c>
      <c r="P2359">
        <f>HYPERLINK("imagenes/NAUTICA_MENS_208001211_B31_2.jpg","Ver imagen")</f>
        <v/>
      </c>
      <c r="Q2359">
        <f>HYPERLINK("imagenes/NAUTICA_MENS_208001211_B31_3.jpg","Ver imagen")</f>
        <v/>
      </c>
    </row>
    <row r="2360">
      <c r="A2360" t="inlineStr">
        <is>
          <t>NAUTICA MENS</t>
        </is>
      </c>
      <c r="B2360" t="inlineStr">
        <is>
          <t>208001211</t>
        </is>
      </c>
      <c r="C2360" t="inlineStr">
        <is>
          <t>QUILTED JACKET</t>
        </is>
      </c>
      <c r="D2360" t="inlineStr">
        <is>
          <t>B31</t>
        </is>
      </c>
      <c r="E2360" t="inlineStr">
        <is>
          <t>(en blanco)</t>
        </is>
      </c>
      <c r="F2360" t="inlineStr">
        <is>
          <t>(en blanco)</t>
        </is>
      </c>
      <c r="G2360" t="inlineStr">
        <is>
          <t>L</t>
        </is>
      </c>
      <c r="H2360" t="n">
        <v>7</v>
      </c>
      <c r="I2360" t="inlineStr">
        <is>
          <t>NAUTICA_MENS_208001211_B31_1.jpg</t>
        </is>
      </c>
      <c r="J2360" t="inlineStr">
        <is>
          <t>NAUTICA_MENS_208001211_B31_2.jpg</t>
        </is>
      </c>
      <c r="K2360" t="inlineStr">
        <is>
          <t>NAUTICA_MENS_208001211_B31_3.jpg</t>
        </is>
      </c>
      <c r="L2360">
        <f>IMAGE("file:///E:/Estudios%20y%20certificaciones/ESTUDIOS%20DE%20PROGRAMMING/PROGRAMMING/PERSONAL/PYTHON/Image_Generator_API/imagenes/NAUTICA_MENS_208001211_B31_1.jpg")</f>
        <v/>
      </c>
      <c r="M2360">
        <f>IMAGE("file:///E:/Estudios%20y%20certificaciones/ESTUDIOS%20DE%20PROGRAMMING/PROGRAMMING/PERSONAL/PYTHON/Image_Generator_API/imagenes/NAUTICA_MENS_208001211_B31_2.jpg")</f>
        <v/>
      </c>
      <c r="N2360">
        <f>IMAGE("file:///E:/Estudios%20y%20certificaciones/ESTUDIOS%20DE%20PROGRAMMING/PROGRAMMING/PERSONAL/PYTHON/Image_Generator_API/imagenes/NAUTICA_MENS_208001211_B31_3.jpg")</f>
        <v/>
      </c>
      <c r="O2360">
        <f>HYPERLINK("imagenes/NAUTICA_MENS_208001211_B31_1.jpg","Ver imagen")</f>
        <v/>
      </c>
      <c r="P2360">
        <f>HYPERLINK("imagenes/NAUTICA_MENS_208001211_B31_2.jpg","Ver imagen")</f>
        <v/>
      </c>
      <c r="Q2360">
        <f>HYPERLINK("imagenes/NAUTICA_MENS_208001211_B31_3.jpg","Ver imagen")</f>
        <v/>
      </c>
    </row>
    <row r="2361">
      <c r="A2361" t="inlineStr">
        <is>
          <t>NAUTICA MENS</t>
        </is>
      </c>
      <c r="B2361" t="inlineStr">
        <is>
          <t>208001211</t>
        </is>
      </c>
      <c r="C2361" t="inlineStr">
        <is>
          <t>QUILTED JACKET</t>
        </is>
      </c>
      <c r="D2361" t="inlineStr">
        <is>
          <t>BLK</t>
        </is>
      </c>
      <c r="E2361" t="inlineStr">
        <is>
          <t>12A08</t>
        </is>
      </c>
      <c r="F2361" t="inlineStr">
        <is>
          <t>R2140</t>
        </is>
      </c>
      <c r="G2361" t="inlineStr">
        <is>
          <t>PPK</t>
        </is>
      </c>
      <c r="H2361" t="n">
        <v>0</v>
      </c>
      <c r="I2361" t="inlineStr">
        <is>
          <t>NAUTICA_MENS_208001211_BLK_2.jpg</t>
        </is>
      </c>
      <c r="J2361" t="inlineStr">
        <is>
          <t>NAUTICA_MENS_208001211_BLK_3.jpg</t>
        </is>
      </c>
      <c r="L2361">
        <f>IMAGE("file:///E:/Estudios%20y%20certificaciones/ESTUDIOS%20DE%20PROGRAMMING/PROGRAMMING/PERSONAL/PYTHON/Image_Generator_API/imagenes/NAUTICA_MENS_208001211_BLK_2.jpg")</f>
        <v/>
      </c>
      <c r="M2361">
        <f>IMAGE("file:///E:/Estudios%20y%20certificaciones/ESTUDIOS%20DE%20PROGRAMMING/PROGRAMMING/PERSONAL/PYTHON/Image_Generator_API/imagenes/NAUTICA_MENS_208001211_BLK_3.jpg")</f>
        <v/>
      </c>
      <c r="O2361">
        <f>HYPERLINK("imagenes/NAUTICA_MENS_208001211_BLK_2.jpg","Ver imagen")</f>
        <v/>
      </c>
      <c r="P2361">
        <f>HYPERLINK("imagenes/NAUTICA_MENS_208001211_BLK_3.jpg","Ver imagen")</f>
        <v/>
      </c>
    </row>
    <row r="2362">
      <c r="A2362" t="inlineStr">
        <is>
          <t>NAUTICA MENS</t>
        </is>
      </c>
      <c r="B2362" t="inlineStr">
        <is>
          <t>208001211</t>
        </is>
      </c>
      <c r="C2362" t="inlineStr">
        <is>
          <t>QUILTED JACKET</t>
        </is>
      </c>
      <c r="D2362" t="inlineStr">
        <is>
          <t>BLK</t>
        </is>
      </c>
      <c r="E2362" t="inlineStr">
        <is>
          <t>(en blanco)</t>
        </is>
      </c>
      <c r="F2362" t="inlineStr">
        <is>
          <t>B1531</t>
        </is>
      </c>
      <c r="G2362" t="inlineStr">
        <is>
          <t>M</t>
        </is>
      </c>
      <c r="H2362" t="n">
        <v>1</v>
      </c>
      <c r="I2362" t="inlineStr">
        <is>
          <t>NAUTICA_MENS_208001211_BLK_2.jpg</t>
        </is>
      </c>
      <c r="J2362" t="inlineStr">
        <is>
          <t>NAUTICA_MENS_208001211_BLK_3.jpg</t>
        </is>
      </c>
      <c r="L2362">
        <f>IMAGE("file:///E:/Estudios%20y%20certificaciones/ESTUDIOS%20DE%20PROGRAMMING/PROGRAMMING/PERSONAL/PYTHON/Image_Generator_API/imagenes/NAUTICA_MENS_208001211_BLK_2.jpg")</f>
        <v/>
      </c>
      <c r="M2362">
        <f>IMAGE("file:///E:/Estudios%20y%20certificaciones/ESTUDIOS%20DE%20PROGRAMMING/PROGRAMMING/PERSONAL/PYTHON/Image_Generator_API/imagenes/NAUTICA_MENS_208001211_BLK_3.jpg")</f>
        <v/>
      </c>
      <c r="O2362">
        <f>HYPERLINK("imagenes/NAUTICA_MENS_208001211_BLK_2.jpg","Ver imagen")</f>
        <v/>
      </c>
      <c r="P2362">
        <f>HYPERLINK("imagenes/NAUTICA_MENS_208001211_BLK_3.jpg","Ver imagen")</f>
        <v/>
      </c>
    </row>
    <row r="2363">
      <c r="A2363" t="inlineStr">
        <is>
          <t>NAUTICA MENS</t>
        </is>
      </c>
      <c r="B2363" t="inlineStr">
        <is>
          <t>208001211</t>
        </is>
      </c>
      <c r="C2363" t="inlineStr">
        <is>
          <t>QUILTED JACKET</t>
        </is>
      </c>
      <c r="D2363" t="inlineStr">
        <is>
          <t>BLK</t>
        </is>
      </c>
      <c r="E2363" t="inlineStr">
        <is>
          <t>(en blanco)</t>
        </is>
      </c>
      <c r="F2363" t="inlineStr">
        <is>
          <t>B1531</t>
        </is>
      </c>
      <c r="G2363" t="inlineStr">
        <is>
          <t>XXL</t>
        </is>
      </c>
      <c r="H2363" t="n">
        <v>1</v>
      </c>
      <c r="I2363" t="inlineStr">
        <is>
          <t>NAUTICA_MENS_208001211_BLK_2.jpg</t>
        </is>
      </c>
      <c r="J2363" t="inlineStr">
        <is>
          <t>NAUTICA_MENS_208001211_BLK_3.jpg</t>
        </is>
      </c>
      <c r="L2363">
        <f>IMAGE("file:///E:/Estudios%20y%20certificaciones/ESTUDIOS%20DE%20PROGRAMMING/PROGRAMMING/PERSONAL/PYTHON/Image_Generator_API/imagenes/NAUTICA_MENS_208001211_BLK_2.jpg")</f>
        <v/>
      </c>
      <c r="M2363">
        <f>IMAGE("file:///E:/Estudios%20y%20certificaciones/ESTUDIOS%20DE%20PROGRAMMING/PROGRAMMING/PERSONAL/PYTHON/Image_Generator_API/imagenes/NAUTICA_MENS_208001211_BLK_3.jpg")</f>
        <v/>
      </c>
      <c r="O2363">
        <f>HYPERLINK("imagenes/NAUTICA_MENS_208001211_BLK_2.jpg","Ver imagen")</f>
        <v/>
      </c>
      <c r="P2363">
        <f>HYPERLINK("imagenes/NAUTICA_MENS_208001211_BLK_3.jpg","Ver imagen")</f>
        <v/>
      </c>
    </row>
    <row r="2364">
      <c r="A2364" t="inlineStr">
        <is>
          <t>NAUTICA MENS</t>
        </is>
      </c>
      <c r="B2364" t="inlineStr">
        <is>
          <t>208001211</t>
        </is>
      </c>
      <c r="C2364" t="inlineStr">
        <is>
          <t>QUILTED JACKET</t>
        </is>
      </c>
      <c r="D2364" t="inlineStr">
        <is>
          <t>BLK</t>
        </is>
      </c>
      <c r="E2364" t="inlineStr">
        <is>
          <t>(en blanco)</t>
        </is>
      </c>
      <c r="F2364" t="inlineStr">
        <is>
          <t>(en blanco)</t>
        </is>
      </c>
      <c r="G2364" t="inlineStr">
        <is>
          <t>S</t>
        </is>
      </c>
      <c r="H2364" t="n">
        <v>6</v>
      </c>
      <c r="I2364" t="inlineStr">
        <is>
          <t>NAUTICA_MENS_208001211_BLK_2.jpg</t>
        </is>
      </c>
      <c r="J2364" t="inlineStr">
        <is>
          <t>NAUTICA_MENS_208001211_BLK_3.jpg</t>
        </is>
      </c>
      <c r="L2364">
        <f>IMAGE("file:///E:/Estudios%20y%20certificaciones/ESTUDIOS%20DE%20PROGRAMMING/PROGRAMMING/PERSONAL/PYTHON/Image_Generator_API/imagenes/NAUTICA_MENS_208001211_BLK_2.jpg")</f>
        <v/>
      </c>
      <c r="M2364">
        <f>IMAGE("file:///E:/Estudios%20y%20certificaciones/ESTUDIOS%20DE%20PROGRAMMING/PROGRAMMING/PERSONAL/PYTHON/Image_Generator_API/imagenes/NAUTICA_MENS_208001211_BLK_3.jpg")</f>
        <v/>
      </c>
      <c r="O2364">
        <f>HYPERLINK("imagenes/NAUTICA_MENS_208001211_BLK_2.jpg","Ver imagen")</f>
        <v/>
      </c>
      <c r="P2364">
        <f>HYPERLINK("imagenes/NAUTICA_MENS_208001211_BLK_3.jpg","Ver imagen")</f>
        <v/>
      </c>
    </row>
    <row r="2365">
      <c r="A2365" t="inlineStr">
        <is>
          <t>NAUTICA MENS</t>
        </is>
      </c>
      <c r="B2365" t="inlineStr">
        <is>
          <t>208001211</t>
        </is>
      </c>
      <c r="C2365" t="inlineStr">
        <is>
          <t>QUILTED JACKET</t>
        </is>
      </c>
      <c r="D2365" t="inlineStr">
        <is>
          <t>BLK</t>
        </is>
      </c>
      <c r="E2365" t="inlineStr">
        <is>
          <t>(en blanco)</t>
        </is>
      </c>
      <c r="F2365" t="inlineStr">
        <is>
          <t>(en blanco)</t>
        </is>
      </c>
      <c r="G2365" t="inlineStr">
        <is>
          <t>M</t>
        </is>
      </c>
      <c r="H2365" t="n">
        <v>5</v>
      </c>
      <c r="I2365" t="inlineStr">
        <is>
          <t>NAUTICA_MENS_208001211_BLK_2.jpg</t>
        </is>
      </c>
      <c r="J2365" t="inlineStr">
        <is>
          <t>NAUTICA_MENS_208001211_BLK_3.jpg</t>
        </is>
      </c>
      <c r="L2365">
        <f>IMAGE("file:///E:/Estudios%20y%20certificaciones/ESTUDIOS%20DE%20PROGRAMMING/PROGRAMMING/PERSONAL/PYTHON/Image_Generator_API/imagenes/NAUTICA_MENS_208001211_BLK_2.jpg")</f>
        <v/>
      </c>
      <c r="M2365">
        <f>IMAGE("file:///E:/Estudios%20y%20certificaciones/ESTUDIOS%20DE%20PROGRAMMING/PROGRAMMING/PERSONAL/PYTHON/Image_Generator_API/imagenes/NAUTICA_MENS_208001211_BLK_3.jpg")</f>
        <v/>
      </c>
      <c r="O2365">
        <f>HYPERLINK("imagenes/NAUTICA_MENS_208001211_BLK_2.jpg","Ver imagen")</f>
        <v/>
      </c>
      <c r="P2365">
        <f>HYPERLINK("imagenes/NAUTICA_MENS_208001211_BLK_3.jpg","Ver imagen")</f>
        <v/>
      </c>
    </row>
    <row r="2366">
      <c r="A2366" t="inlineStr">
        <is>
          <t>NAUTICA MENS</t>
        </is>
      </c>
      <c r="B2366" t="inlineStr">
        <is>
          <t>208001211</t>
        </is>
      </c>
      <c r="C2366" t="inlineStr">
        <is>
          <t>QUILTED JACKET</t>
        </is>
      </c>
      <c r="D2366" t="inlineStr">
        <is>
          <t>BLK</t>
        </is>
      </c>
      <c r="E2366" t="inlineStr">
        <is>
          <t>(en blanco)</t>
        </is>
      </c>
      <c r="F2366" t="inlineStr">
        <is>
          <t>(en blanco)</t>
        </is>
      </c>
      <c r="G2366" t="inlineStr">
        <is>
          <t>L</t>
        </is>
      </c>
      <c r="H2366" t="n">
        <v>2</v>
      </c>
      <c r="I2366" t="inlineStr">
        <is>
          <t>NAUTICA_MENS_208001211_BLK_2.jpg</t>
        </is>
      </c>
      <c r="J2366" t="inlineStr">
        <is>
          <t>NAUTICA_MENS_208001211_BLK_3.jpg</t>
        </is>
      </c>
      <c r="L2366">
        <f>IMAGE("file:///E:/Estudios%20y%20certificaciones/ESTUDIOS%20DE%20PROGRAMMING/PROGRAMMING/PERSONAL/PYTHON/Image_Generator_API/imagenes/NAUTICA_MENS_208001211_BLK_2.jpg")</f>
        <v/>
      </c>
      <c r="M2366">
        <f>IMAGE("file:///E:/Estudios%20y%20certificaciones/ESTUDIOS%20DE%20PROGRAMMING/PROGRAMMING/PERSONAL/PYTHON/Image_Generator_API/imagenes/NAUTICA_MENS_208001211_BLK_3.jpg")</f>
        <v/>
      </c>
      <c r="O2366">
        <f>HYPERLINK("imagenes/NAUTICA_MENS_208001211_BLK_2.jpg","Ver imagen")</f>
        <v/>
      </c>
      <c r="P2366">
        <f>HYPERLINK("imagenes/NAUTICA_MENS_208001211_BLK_3.jpg","Ver imagen")</f>
        <v/>
      </c>
    </row>
    <row r="2367">
      <c r="A2367" t="inlineStr">
        <is>
          <t>NAUTICA MENS</t>
        </is>
      </c>
      <c r="B2367" t="inlineStr">
        <is>
          <t>208001211</t>
        </is>
      </c>
      <c r="C2367" t="inlineStr">
        <is>
          <t>QUILTED JACKET</t>
        </is>
      </c>
      <c r="D2367" t="inlineStr">
        <is>
          <t>BLK</t>
        </is>
      </c>
      <c r="E2367" t="inlineStr">
        <is>
          <t>(en blanco)</t>
        </is>
      </c>
      <c r="F2367" t="inlineStr">
        <is>
          <t>(en blanco)</t>
        </is>
      </c>
      <c r="G2367" t="inlineStr">
        <is>
          <t>XL</t>
        </is>
      </c>
      <c r="H2367" t="n">
        <v>4</v>
      </c>
      <c r="I2367" t="inlineStr">
        <is>
          <t>NAUTICA_MENS_208001211_BLK_2.jpg</t>
        </is>
      </c>
      <c r="J2367" t="inlineStr">
        <is>
          <t>NAUTICA_MENS_208001211_BLK_3.jpg</t>
        </is>
      </c>
      <c r="L2367">
        <f>IMAGE("file:///E:/Estudios%20y%20certificaciones/ESTUDIOS%20DE%20PROGRAMMING/PROGRAMMING/PERSONAL/PYTHON/Image_Generator_API/imagenes/NAUTICA_MENS_208001211_BLK_2.jpg")</f>
        <v/>
      </c>
      <c r="M2367">
        <f>IMAGE("file:///E:/Estudios%20y%20certificaciones/ESTUDIOS%20DE%20PROGRAMMING/PROGRAMMING/PERSONAL/PYTHON/Image_Generator_API/imagenes/NAUTICA_MENS_208001211_BLK_3.jpg")</f>
        <v/>
      </c>
      <c r="O2367">
        <f>HYPERLINK("imagenes/NAUTICA_MENS_208001211_BLK_2.jpg","Ver imagen")</f>
        <v/>
      </c>
      <c r="P2367">
        <f>HYPERLINK("imagenes/NAUTICA_MENS_208001211_BLK_3.jpg","Ver imagen")</f>
        <v/>
      </c>
    </row>
    <row r="2368">
      <c r="A2368" t="inlineStr">
        <is>
          <t>NAUTICA MENS</t>
        </is>
      </c>
      <c r="B2368" t="inlineStr">
        <is>
          <t>208001211</t>
        </is>
      </c>
      <c r="C2368" t="inlineStr">
        <is>
          <t>QUILTED JACKET</t>
        </is>
      </c>
      <c r="D2368" t="inlineStr">
        <is>
          <t>CLG</t>
        </is>
      </c>
      <c r="E2368" t="inlineStr">
        <is>
          <t>12A08</t>
        </is>
      </c>
      <c r="F2368" t="inlineStr">
        <is>
          <t>R2140</t>
        </is>
      </c>
      <c r="G2368" t="inlineStr">
        <is>
          <t>PPK</t>
        </is>
      </c>
      <c r="H2368" t="n">
        <v>0</v>
      </c>
      <c r="I2368" t="inlineStr">
        <is>
          <t>NAUTICA_MENS_208001211_CLG_1.jpg</t>
        </is>
      </c>
      <c r="J2368" t="inlineStr">
        <is>
          <t>NAUTICA_MENS_208001211_CLG_2.jpg</t>
        </is>
      </c>
      <c r="K2368" t="inlineStr">
        <is>
          <t>NAUTICA_MENS_208001211_CLG_3.jpg</t>
        </is>
      </c>
      <c r="L2368">
        <f>IMAGE("file:///E:/Estudios%20y%20certificaciones/ESTUDIOS%20DE%20PROGRAMMING/PROGRAMMING/PERSONAL/PYTHON/Image_Generator_API/imagenes/NAUTICA_MENS_208001211_CLG_1.jpg")</f>
        <v/>
      </c>
      <c r="M2368">
        <f>IMAGE("file:///E:/Estudios%20y%20certificaciones/ESTUDIOS%20DE%20PROGRAMMING/PROGRAMMING/PERSONAL/PYTHON/Image_Generator_API/imagenes/NAUTICA_MENS_208001211_CLG_2.jpg")</f>
        <v/>
      </c>
      <c r="N2368">
        <f>IMAGE("file:///E:/Estudios%20y%20certificaciones/ESTUDIOS%20DE%20PROGRAMMING/PROGRAMMING/PERSONAL/PYTHON/Image_Generator_API/imagenes/NAUTICA_MENS_208001211_CLG_3.jpg")</f>
        <v/>
      </c>
      <c r="O2368">
        <f>HYPERLINK("imagenes/NAUTICA_MENS_208001211_CLG_1.jpg","Ver imagen")</f>
        <v/>
      </c>
      <c r="P2368">
        <f>HYPERLINK("imagenes/NAUTICA_MENS_208001211_CLG_2.jpg","Ver imagen")</f>
        <v/>
      </c>
      <c r="Q2368">
        <f>HYPERLINK("imagenes/NAUTICA_MENS_208001211_CLG_3.jpg","Ver imagen")</f>
        <v/>
      </c>
    </row>
    <row r="2369">
      <c r="A2369" t="inlineStr">
        <is>
          <t>NAUTICA MENS</t>
        </is>
      </c>
      <c r="B2369" t="inlineStr">
        <is>
          <t>208001211</t>
        </is>
      </c>
      <c r="C2369" t="inlineStr">
        <is>
          <t>QUILTED JACKET</t>
        </is>
      </c>
      <c r="D2369" t="inlineStr">
        <is>
          <t>CLG</t>
        </is>
      </c>
      <c r="E2369" t="inlineStr">
        <is>
          <t>(en blanco)</t>
        </is>
      </c>
      <c r="F2369" t="inlineStr">
        <is>
          <t>B1531</t>
        </is>
      </c>
      <c r="G2369" t="inlineStr">
        <is>
          <t>M</t>
        </is>
      </c>
      <c r="H2369" t="n">
        <v>1</v>
      </c>
      <c r="I2369" t="inlineStr">
        <is>
          <t>NAUTICA_MENS_208001211_CLG_1.jpg</t>
        </is>
      </c>
      <c r="J2369" t="inlineStr">
        <is>
          <t>NAUTICA_MENS_208001211_CLG_2.jpg</t>
        </is>
      </c>
      <c r="K2369" t="inlineStr">
        <is>
          <t>NAUTICA_MENS_208001211_CLG_3.jpg</t>
        </is>
      </c>
      <c r="L2369">
        <f>IMAGE("file:///E:/Estudios%20y%20certificaciones/ESTUDIOS%20DE%20PROGRAMMING/PROGRAMMING/PERSONAL/PYTHON/Image_Generator_API/imagenes/NAUTICA_MENS_208001211_CLG_1.jpg")</f>
        <v/>
      </c>
      <c r="M2369">
        <f>IMAGE("file:///E:/Estudios%20y%20certificaciones/ESTUDIOS%20DE%20PROGRAMMING/PROGRAMMING/PERSONAL/PYTHON/Image_Generator_API/imagenes/NAUTICA_MENS_208001211_CLG_2.jpg")</f>
        <v/>
      </c>
      <c r="N2369">
        <f>IMAGE("file:///E:/Estudios%20y%20certificaciones/ESTUDIOS%20DE%20PROGRAMMING/PROGRAMMING/PERSONAL/PYTHON/Image_Generator_API/imagenes/NAUTICA_MENS_208001211_CLG_3.jpg")</f>
        <v/>
      </c>
      <c r="O2369">
        <f>HYPERLINK("imagenes/NAUTICA_MENS_208001211_CLG_1.jpg","Ver imagen")</f>
        <v/>
      </c>
      <c r="P2369">
        <f>HYPERLINK("imagenes/NAUTICA_MENS_208001211_CLG_2.jpg","Ver imagen")</f>
        <v/>
      </c>
      <c r="Q2369">
        <f>HYPERLINK("imagenes/NAUTICA_MENS_208001211_CLG_3.jpg","Ver imagen")</f>
        <v/>
      </c>
    </row>
    <row r="2370">
      <c r="A2370" t="inlineStr">
        <is>
          <t>NAUTICA MENS</t>
        </is>
      </c>
      <c r="B2370" t="inlineStr">
        <is>
          <t>208001211</t>
        </is>
      </c>
      <c r="C2370" t="inlineStr">
        <is>
          <t>QUILTED JACKET</t>
        </is>
      </c>
      <c r="D2370" t="inlineStr">
        <is>
          <t>CLG</t>
        </is>
      </c>
      <c r="E2370" t="inlineStr">
        <is>
          <t>(en blanco)</t>
        </is>
      </c>
      <c r="F2370" t="inlineStr">
        <is>
          <t>B1531</t>
        </is>
      </c>
      <c r="G2370" t="inlineStr">
        <is>
          <t>XXL</t>
        </is>
      </c>
      <c r="H2370" t="n">
        <v>11</v>
      </c>
      <c r="I2370" t="inlineStr">
        <is>
          <t>NAUTICA_MENS_208001211_CLG_1.jpg</t>
        </is>
      </c>
      <c r="J2370" t="inlineStr">
        <is>
          <t>NAUTICA_MENS_208001211_CLG_2.jpg</t>
        </is>
      </c>
      <c r="K2370" t="inlineStr">
        <is>
          <t>NAUTICA_MENS_208001211_CLG_3.jpg</t>
        </is>
      </c>
      <c r="L2370">
        <f>IMAGE("file:///E:/Estudios%20y%20certificaciones/ESTUDIOS%20DE%20PROGRAMMING/PROGRAMMING/PERSONAL/PYTHON/Image_Generator_API/imagenes/NAUTICA_MENS_208001211_CLG_1.jpg")</f>
        <v/>
      </c>
      <c r="M2370">
        <f>IMAGE("file:///E:/Estudios%20y%20certificaciones/ESTUDIOS%20DE%20PROGRAMMING/PROGRAMMING/PERSONAL/PYTHON/Image_Generator_API/imagenes/NAUTICA_MENS_208001211_CLG_2.jpg")</f>
        <v/>
      </c>
      <c r="N2370">
        <f>IMAGE("file:///E:/Estudios%20y%20certificaciones/ESTUDIOS%20DE%20PROGRAMMING/PROGRAMMING/PERSONAL/PYTHON/Image_Generator_API/imagenes/NAUTICA_MENS_208001211_CLG_3.jpg")</f>
        <v/>
      </c>
      <c r="O2370">
        <f>HYPERLINK("imagenes/NAUTICA_MENS_208001211_CLG_1.jpg","Ver imagen")</f>
        <v/>
      </c>
      <c r="P2370">
        <f>HYPERLINK("imagenes/NAUTICA_MENS_208001211_CLG_2.jpg","Ver imagen")</f>
        <v/>
      </c>
      <c r="Q2370">
        <f>HYPERLINK("imagenes/NAUTICA_MENS_208001211_CLG_3.jpg","Ver imagen")</f>
        <v/>
      </c>
    </row>
    <row r="2371">
      <c r="A2371" t="inlineStr">
        <is>
          <t>NAUTICA MENS</t>
        </is>
      </c>
      <c r="B2371" t="inlineStr">
        <is>
          <t>208001211</t>
        </is>
      </c>
      <c r="C2371" t="inlineStr">
        <is>
          <t>QUILTED JACKET</t>
        </is>
      </c>
      <c r="D2371" t="inlineStr">
        <is>
          <t>CLG</t>
        </is>
      </c>
      <c r="E2371" t="inlineStr">
        <is>
          <t>(en blanco)</t>
        </is>
      </c>
      <c r="F2371" t="inlineStr">
        <is>
          <t>(en blanco)</t>
        </is>
      </c>
      <c r="G2371" t="inlineStr">
        <is>
          <t>S</t>
        </is>
      </c>
      <c r="H2371" t="n">
        <v>5</v>
      </c>
      <c r="I2371" t="inlineStr">
        <is>
          <t>NAUTICA_MENS_208001211_CLG_1.jpg</t>
        </is>
      </c>
      <c r="J2371" t="inlineStr">
        <is>
          <t>NAUTICA_MENS_208001211_CLG_2.jpg</t>
        </is>
      </c>
      <c r="K2371" t="inlineStr">
        <is>
          <t>NAUTICA_MENS_208001211_CLG_3.jpg</t>
        </is>
      </c>
      <c r="L2371">
        <f>IMAGE("file:///E:/Estudios%20y%20certificaciones/ESTUDIOS%20DE%20PROGRAMMING/PROGRAMMING/PERSONAL/PYTHON/Image_Generator_API/imagenes/NAUTICA_MENS_208001211_CLG_1.jpg")</f>
        <v/>
      </c>
      <c r="M2371">
        <f>IMAGE("file:///E:/Estudios%20y%20certificaciones/ESTUDIOS%20DE%20PROGRAMMING/PROGRAMMING/PERSONAL/PYTHON/Image_Generator_API/imagenes/NAUTICA_MENS_208001211_CLG_2.jpg")</f>
        <v/>
      </c>
      <c r="N2371">
        <f>IMAGE("file:///E:/Estudios%20y%20certificaciones/ESTUDIOS%20DE%20PROGRAMMING/PROGRAMMING/PERSONAL/PYTHON/Image_Generator_API/imagenes/NAUTICA_MENS_208001211_CLG_3.jpg")</f>
        <v/>
      </c>
      <c r="O2371">
        <f>HYPERLINK("imagenes/NAUTICA_MENS_208001211_CLG_1.jpg","Ver imagen")</f>
        <v/>
      </c>
      <c r="P2371">
        <f>HYPERLINK("imagenes/NAUTICA_MENS_208001211_CLG_2.jpg","Ver imagen")</f>
        <v/>
      </c>
      <c r="Q2371">
        <f>HYPERLINK("imagenes/NAUTICA_MENS_208001211_CLG_3.jpg","Ver imagen")</f>
        <v/>
      </c>
    </row>
    <row r="2372">
      <c r="A2372" t="inlineStr">
        <is>
          <t>NAUTICA MENS</t>
        </is>
      </c>
      <c r="B2372" t="inlineStr">
        <is>
          <t>208001211</t>
        </is>
      </c>
      <c r="C2372" t="inlineStr">
        <is>
          <t>QUILTED JACKET</t>
        </is>
      </c>
      <c r="D2372" t="inlineStr">
        <is>
          <t>CLG</t>
        </is>
      </c>
      <c r="E2372" t="inlineStr">
        <is>
          <t>(en blanco)</t>
        </is>
      </c>
      <c r="F2372" t="inlineStr">
        <is>
          <t>(en blanco)</t>
        </is>
      </c>
      <c r="G2372" t="inlineStr">
        <is>
          <t>M</t>
        </is>
      </c>
      <c r="H2372" t="n">
        <v>3</v>
      </c>
      <c r="I2372" t="inlineStr">
        <is>
          <t>NAUTICA_MENS_208001211_CLG_1.jpg</t>
        </is>
      </c>
      <c r="J2372" t="inlineStr">
        <is>
          <t>NAUTICA_MENS_208001211_CLG_2.jpg</t>
        </is>
      </c>
      <c r="K2372" t="inlineStr">
        <is>
          <t>NAUTICA_MENS_208001211_CLG_3.jpg</t>
        </is>
      </c>
      <c r="L2372">
        <f>IMAGE("file:///E:/Estudios%20y%20certificaciones/ESTUDIOS%20DE%20PROGRAMMING/PROGRAMMING/PERSONAL/PYTHON/Image_Generator_API/imagenes/NAUTICA_MENS_208001211_CLG_1.jpg")</f>
        <v/>
      </c>
      <c r="M2372">
        <f>IMAGE("file:///E:/Estudios%20y%20certificaciones/ESTUDIOS%20DE%20PROGRAMMING/PROGRAMMING/PERSONAL/PYTHON/Image_Generator_API/imagenes/NAUTICA_MENS_208001211_CLG_2.jpg")</f>
        <v/>
      </c>
      <c r="N2372">
        <f>IMAGE("file:///E:/Estudios%20y%20certificaciones/ESTUDIOS%20DE%20PROGRAMMING/PROGRAMMING/PERSONAL/PYTHON/Image_Generator_API/imagenes/NAUTICA_MENS_208001211_CLG_3.jpg")</f>
        <v/>
      </c>
      <c r="O2372">
        <f>HYPERLINK("imagenes/NAUTICA_MENS_208001211_CLG_1.jpg","Ver imagen")</f>
        <v/>
      </c>
      <c r="P2372">
        <f>HYPERLINK("imagenes/NAUTICA_MENS_208001211_CLG_2.jpg","Ver imagen")</f>
        <v/>
      </c>
      <c r="Q2372">
        <f>HYPERLINK("imagenes/NAUTICA_MENS_208001211_CLG_3.jpg","Ver imagen")</f>
        <v/>
      </c>
    </row>
    <row r="2373">
      <c r="A2373" t="inlineStr">
        <is>
          <t>NAUTICA MENS</t>
        </is>
      </c>
      <c r="B2373" t="inlineStr">
        <is>
          <t>208001211</t>
        </is>
      </c>
      <c r="C2373" t="inlineStr">
        <is>
          <t>QUILTED JACKET</t>
        </is>
      </c>
      <c r="D2373" t="inlineStr">
        <is>
          <t>CLG</t>
        </is>
      </c>
      <c r="E2373" t="inlineStr">
        <is>
          <t>(en blanco)</t>
        </is>
      </c>
      <c r="F2373" t="inlineStr">
        <is>
          <t>(en blanco)</t>
        </is>
      </c>
      <c r="G2373" t="inlineStr">
        <is>
          <t>L</t>
        </is>
      </c>
      <c r="H2373" t="n">
        <v>5</v>
      </c>
      <c r="I2373" t="inlineStr">
        <is>
          <t>NAUTICA_MENS_208001211_CLG_1.jpg</t>
        </is>
      </c>
      <c r="J2373" t="inlineStr">
        <is>
          <t>NAUTICA_MENS_208001211_CLG_2.jpg</t>
        </is>
      </c>
      <c r="K2373" t="inlineStr">
        <is>
          <t>NAUTICA_MENS_208001211_CLG_3.jpg</t>
        </is>
      </c>
      <c r="L2373">
        <f>IMAGE("file:///E:/Estudios%20y%20certificaciones/ESTUDIOS%20DE%20PROGRAMMING/PROGRAMMING/PERSONAL/PYTHON/Image_Generator_API/imagenes/NAUTICA_MENS_208001211_CLG_1.jpg")</f>
        <v/>
      </c>
      <c r="M2373">
        <f>IMAGE("file:///E:/Estudios%20y%20certificaciones/ESTUDIOS%20DE%20PROGRAMMING/PROGRAMMING/PERSONAL/PYTHON/Image_Generator_API/imagenes/NAUTICA_MENS_208001211_CLG_2.jpg")</f>
        <v/>
      </c>
      <c r="N2373">
        <f>IMAGE("file:///E:/Estudios%20y%20certificaciones/ESTUDIOS%20DE%20PROGRAMMING/PROGRAMMING/PERSONAL/PYTHON/Image_Generator_API/imagenes/NAUTICA_MENS_208001211_CLG_3.jpg")</f>
        <v/>
      </c>
      <c r="O2373">
        <f>HYPERLINK("imagenes/NAUTICA_MENS_208001211_CLG_1.jpg","Ver imagen")</f>
        <v/>
      </c>
      <c r="P2373">
        <f>HYPERLINK("imagenes/NAUTICA_MENS_208001211_CLG_2.jpg","Ver imagen")</f>
        <v/>
      </c>
      <c r="Q2373">
        <f>HYPERLINK("imagenes/NAUTICA_MENS_208001211_CLG_3.jpg","Ver imagen")</f>
        <v/>
      </c>
    </row>
    <row r="2374">
      <c r="A2374" t="inlineStr">
        <is>
          <t>NAUTICA MENS</t>
        </is>
      </c>
      <c r="B2374" t="inlineStr">
        <is>
          <t>208001211</t>
        </is>
      </c>
      <c r="C2374" t="inlineStr">
        <is>
          <t>QUILTED JACKET</t>
        </is>
      </c>
      <c r="D2374" t="inlineStr">
        <is>
          <t>CLG</t>
        </is>
      </c>
      <c r="E2374" t="inlineStr">
        <is>
          <t>(en blanco)</t>
        </is>
      </c>
      <c r="F2374" t="inlineStr">
        <is>
          <t>(en blanco)</t>
        </is>
      </c>
      <c r="G2374" t="inlineStr">
        <is>
          <t>XL</t>
        </is>
      </c>
      <c r="H2374" t="n">
        <v>5</v>
      </c>
      <c r="I2374" t="inlineStr">
        <is>
          <t>NAUTICA_MENS_208001211_CLG_1.jpg</t>
        </is>
      </c>
      <c r="J2374" t="inlineStr">
        <is>
          <t>NAUTICA_MENS_208001211_CLG_2.jpg</t>
        </is>
      </c>
      <c r="K2374" t="inlineStr">
        <is>
          <t>NAUTICA_MENS_208001211_CLG_3.jpg</t>
        </is>
      </c>
      <c r="L2374">
        <f>IMAGE("file:///E:/Estudios%20y%20certificaciones/ESTUDIOS%20DE%20PROGRAMMING/PROGRAMMING/PERSONAL/PYTHON/Image_Generator_API/imagenes/NAUTICA_MENS_208001211_CLG_1.jpg")</f>
        <v/>
      </c>
      <c r="M2374">
        <f>IMAGE("file:///E:/Estudios%20y%20certificaciones/ESTUDIOS%20DE%20PROGRAMMING/PROGRAMMING/PERSONAL/PYTHON/Image_Generator_API/imagenes/NAUTICA_MENS_208001211_CLG_2.jpg")</f>
        <v/>
      </c>
      <c r="N2374">
        <f>IMAGE("file:///E:/Estudios%20y%20certificaciones/ESTUDIOS%20DE%20PROGRAMMING/PROGRAMMING/PERSONAL/PYTHON/Image_Generator_API/imagenes/NAUTICA_MENS_208001211_CLG_3.jpg")</f>
        <v/>
      </c>
      <c r="O2374">
        <f>HYPERLINK("imagenes/NAUTICA_MENS_208001211_CLG_1.jpg","Ver imagen")</f>
        <v/>
      </c>
      <c r="P2374">
        <f>HYPERLINK("imagenes/NAUTICA_MENS_208001211_CLG_2.jpg","Ver imagen")</f>
        <v/>
      </c>
      <c r="Q2374">
        <f>HYPERLINK("imagenes/NAUTICA_MENS_208001211_CLG_3.jpg","Ver imagen")</f>
        <v/>
      </c>
    </row>
    <row r="2375">
      <c r="A2375" t="inlineStr">
        <is>
          <t>NAUTICA MENS</t>
        </is>
      </c>
      <c r="B2375" t="inlineStr">
        <is>
          <t>208001211</t>
        </is>
      </c>
      <c r="C2375" t="inlineStr">
        <is>
          <t>QUILTED JACKET</t>
        </is>
      </c>
      <c r="D2375" t="inlineStr">
        <is>
          <t>CLG</t>
        </is>
      </c>
      <c r="E2375" t="inlineStr">
        <is>
          <t>(en blanco)</t>
        </is>
      </c>
      <c r="F2375" t="inlineStr">
        <is>
          <t>(en blanco)</t>
        </is>
      </c>
      <c r="G2375" t="inlineStr">
        <is>
          <t>XXL</t>
        </is>
      </c>
      <c r="H2375" t="n">
        <v>2</v>
      </c>
      <c r="I2375" t="inlineStr">
        <is>
          <t>NAUTICA_MENS_208001211_CLG_1.jpg</t>
        </is>
      </c>
      <c r="J2375" t="inlineStr">
        <is>
          <t>NAUTICA_MENS_208001211_CLG_2.jpg</t>
        </is>
      </c>
      <c r="K2375" t="inlineStr">
        <is>
          <t>NAUTICA_MENS_208001211_CLG_3.jpg</t>
        </is>
      </c>
      <c r="L2375">
        <f>IMAGE("file:///E:/Estudios%20y%20certificaciones/ESTUDIOS%20DE%20PROGRAMMING/PROGRAMMING/PERSONAL/PYTHON/Image_Generator_API/imagenes/NAUTICA_MENS_208001211_CLG_1.jpg")</f>
        <v/>
      </c>
      <c r="M2375">
        <f>IMAGE("file:///E:/Estudios%20y%20certificaciones/ESTUDIOS%20DE%20PROGRAMMING/PROGRAMMING/PERSONAL/PYTHON/Image_Generator_API/imagenes/NAUTICA_MENS_208001211_CLG_2.jpg")</f>
        <v/>
      </c>
      <c r="N2375">
        <f>IMAGE("file:///E:/Estudios%20y%20certificaciones/ESTUDIOS%20DE%20PROGRAMMING/PROGRAMMING/PERSONAL/PYTHON/Image_Generator_API/imagenes/NAUTICA_MENS_208001211_CLG_3.jpg")</f>
        <v/>
      </c>
      <c r="O2375">
        <f>HYPERLINK("imagenes/NAUTICA_MENS_208001211_CLG_1.jpg","Ver imagen")</f>
        <v/>
      </c>
      <c r="P2375">
        <f>HYPERLINK("imagenes/NAUTICA_MENS_208001211_CLG_2.jpg","Ver imagen")</f>
        <v/>
      </c>
      <c r="Q2375">
        <f>HYPERLINK("imagenes/NAUTICA_MENS_208001211_CLG_3.jpg","Ver imagen")</f>
        <v/>
      </c>
    </row>
    <row r="2376">
      <c r="A2376" t="inlineStr">
        <is>
          <t>NAUTICA MENS</t>
        </is>
      </c>
      <c r="B2376" t="inlineStr">
        <is>
          <t>208001211</t>
        </is>
      </c>
      <c r="C2376" t="inlineStr">
        <is>
          <t>QUILTED JACKET</t>
        </is>
      </c>
      <c r="D2376" t="inlineStr">
        <is>
          <t>DDN</t>
        </is>
      </c>
      <c r="E2376" t="inlineStr">
        <is>
          <t>(en blanco)</t>
        </is>
      </c>
      <c r="F2376" t="inlineStr">
        <is>
          <t>(en blanco)</t>
        </is>
      </c>
      <c r="G2376" t="inlineStr">
        <is>
          <t>S</t>
        </is>
      </c>
      <c r="H2376" t="n">
        <v>4</v>
      </c>
      <c r="I2376" t="inlineStr">
        <is>
          <t>NAUTICA_MENS_208001211_DDN_1.jpg</t>
        </is>
      </c>
      <c r="J2376" t="inlineStr">
        <is>
          <t>NAUTICA_MENS_208001211_DDN_2.jpg</t>
        </is>
      </c>
      <c r="K2376" t="inlineStr">
        <is>
          <t>NAUTICA_MENS_208001211_DDN_3.jpg</t>
        </is>
      </c>
      <c r="L2376">
        <f>IMAGE("file:///E:/Estudios%20y%20certificaciones/ESTUDIOS%20DE%20PROGRAMMING/PROGRAMMING/PERSONAL/PYTHON/Image_Generator_API/imagenes/NAUTICA_MENS_208001211_DDN_1.jpg")</f>
        <v/>
      </c>
      <c r="M2376">
        <f>IMAGE("file:///E:/Estudios%20y%20certificaciones/ESTUDIOS%20DE%20PROGRAMMING/PROGRAMMING/PERSONAL/PYTHON/Image_Generator_API/imagenes/NAUTICA_MENS_208001211_DDN_2.jpg")</f>
        <v/>
      </c>
      <c r="N2376">
        <f>IMAGE("file:///E:/Estudios%20y%20certificaciones/ESTUDIOS%20DE%20PROGRAMMING/PROGRAMMING/PERSONAL/PYTHON/Image_Generator_API/imagenes/NAUTICA_MENS_208001211_DDN_3.jpg")</f>
        <v/>
      </c>
      <c r="O2376">
        <f>HYPERLINK("imagenes/NAUTICA_MENS_208001211_DDN_1.jpg","Ver imagen")</f>
        <v/>
      </c>
      <c r="P2376">
        <f>HYPERLINK("imagenes/NAUTICA_MENS_208001211_DDN_2.jpg","Ver imagen")</f>
        <v/>
      </c>
      <c r="Q2376">
        <f>HYPERLINK("imagenes/NAUTICA_MENS_208001211_DDN_3.jpg","Ver imagen")</f>
        <v/>
      </c>
    </row>
    <row r="2377">
      <c r="A2377" t="inlineStr">
        <is>
          <t>NAUTICA MENS</t>
        </is>
      </c>
      <c r="B2377" t="inlineStr">
        <is>
          <t>208001211</t>
        </is>
      </c>
      <c r="C2377" t="inlineStr">
        <is>
          <t>QUILTED JACKET</t>
        </is>
      </c>
      <c r="D2377" t="inlineStr">
        <is>
          <t>DDN</t>
        </is>
      </c>
      <c r="E2377" t="inlineStr">
        <is>
          <t>(en blanco)</t>
        </is>
      </c>
      <c r="F2377" t="inlineStr">
        <is>
          <t>(en blanco)</t>
        </is>
      </c>
      <c r="G2377" t="inlineStr">
        <is>
          <t>M</t>
        </is>
      </c>
      <c r="H2377" t="n">
        <v>2</v>
      </c>
      <c r="I2377" t="inlineStr">
        <is>
          <t>NAUTICA_MENS_208001211_DDN_1.jpg</t>
        </is>
      </c>
      <c r="J2377" t="inlineStr">
        <is>
          <t>NAUTICA_MENS_208001211_DDN_2.jpg</t>
        </is>
      </c>
      <c r="K2377" t="inlineStr">
        <is>
          <t>NAUTICA_MENS_208001211_DDN_3.jpg</t>
        </is>
      </c>
      <c r="L2377">
        <f>IMAGE("file:///E:/Estudios%20y%20certificaciones/ESTUDIOS%20DE%20PROGRAMMING/PROGRAMMING/PERSONAL/PYTHON/Image_Generator_API/imagenes/NAUTICA_MENS_208001211_DDN_1.jpg")</f>
        <v/>
      </c>
      <c r="M2377">
        <f>IMAGE("file:///E:/Estudios%20y%20certificaciones/ESTUDIOS%20DE%20PROGRAMMING/PROGRAMMING/PERSONAL/PYTHON/Image_Generator_API/imagenes/NAUTICA_MENS_208001211_DDN_2.jpg")</f>
        <v/>
      </c>
      <c r="N2377">
        <f>IMAGE("file:///E:/Estudios%20y%20certificaciones/ESTUDIOS%20DE%20PROGRAMMING/PROGRAMMING/PERSONAL/PYTHON/Image_Generator_API/imagenes/NAUTICA_MENS_208001211_DDN_3.jpg")</f>
        <v/>
      </c>
      <c r="O2377">
        <f>HYPERLINK("imagenes/NAUTICA_MENS_208001211_DDN_1.jpg","Ver imagen")</f>
        <v/>
      </c>
      <c r="P2377">
        <f>HYPERLINK("imagenes/NAUTICA_MENS_208001211_DDN_2.jpg","Ver imagen")</f>
        <v/>
      </c>
      <c r="Q2377">
        <f>HYPERLINK("imagenes/NAUTICA_MENS_208001211_DDN_3.jpg","Ver imagen")</f>
        <v/>
      </c>
    </row>
    <row r="2378">
      <c r="A2378" t="inlineStr">
        <is>
          <t>NAUTICA MENS</t>
        </is>
      </c>
      <c r="B2378" t="inlineStr">
        <is>
          <t>208001211</t>
        </is>
      </c>
      <c r="C2378" t="inlineStr">
        <is>
          <t>QUILTED JACKET</t>
        </is>
      </c>
      <c r="D2378" t="inlineStr">
        <is>
          <t>DDN</t>
        </is>
      </c>
      <c r="E2378" t="inlineStr">
        <is>
          <t>(en blanco)</t>
        </is>
      </c>
      <c r="F2378" t="inlineStr">
        <is>
          <t>(en blanco)</t>
        </is>
      </c>
      <c r="G2378" t="inlineStr">
        <is>
          <t>L</t>
        </is>
      </c>
      <c r="H2378" t="n">
        <v>3</v>
      </c>
      <c r="I2378" t="inlineStr">
        <is>
          <t>NAUTICA_MENS_208001211_DDN_1.jpg</t>
        </is>
      </c>
      <c r="J2378" t="inlineStr">
        <is>
          <t>NAUTICA_MENS_208001211_DDN_2.jpg</t>
        </is>
      </c>
      <c r="K2378" t="inlineStr">
        <is>
          <t>NAUTICA_MENS_208001211_DDN_3.jpg</t>
        </is>
      </c>
      <c r="L2378">
        <f>IMAGE("file:///E:/Estudios%20y%20certificaciones/ESTUDIOS%20DE%20PROGRAMMING/PROGRAMMING/PERSONAL/PYTHON/Image_Generator_API/imagenes/NAUTICA_MENS_208001211_DDN_1.jpg")</f>
        <v/>
      </c>
      <c r="M2378">
        <f>IMAGE("file:///E:/Estudios%20y%20certificaciones/ESTUDIOS%20DE%20PROGRAMMING/PROGRAMMING/PERSONAL/PYTHON/Image_Generator_API/imagenes/NAUTICA_MENS_208001211_DDN_2.jpg")</f>
        <v/>
      </c>
      <c r="N2378">
        <f>IMAGE("file:///E:/Estudios%20y%20certificaciones/ESTUDIOS%20DE%20PROGRAMMING/PROGRAMMING/PERSONAL/PYTHON/Image_Generator_API/imagenes/NAUTICA_MENS_208001211_DDN_3.jpg")</f>
        <v/>
      </c>
      <c r="O2378">
        <f>HYPERLINK("imagenes/NAUTICA_MENS_208001211_DDN_1.jpg","Ver imagen")</f>
        <v/>
      </c>
      <c r="P2378">
        <f>HYPERLINK("imagenes/NAUTICA_MENS_208001211_DDN_2.jpg","Ver imagen")</f>
        <v/>
      </c>
      <c r="Q2378">
        <f>HYPERLINK("imagenes/NAUTICA_MENS_208001211_DDN_3.jpg","Ver imagen")</f>
        <v/>
      </c>
    </row>
    <row r="2379">
      <c r="A2379" t="inlineStr">
        <is>
          <t>NAUTICA MENS</t>
        </is>
      </c>
      <c r="B2379" t="inlineStr">
        <is>
          <t>208001211</t>
        </is>
      </c>
      <c r="C2379" t="inlineStr">
        <is>
          <t>QUILTED JACKET</t>
        </is>
      </c>
      <c r="D2379" t="inlineStr">
        <is>
          <t>DDN</t>
        </is>
      </c>
      <c r="E2379" t="inlineStr">
        <is>
          <t>(en blanco)</t>
        </is>
      </c>
      <c r="F2379" t="inlineStr">
        <is>
          <t>(en blanco)</t>
        </is>
      </c>
      <c r="G2379" t="inlineStr">
        <is>
          <t>XL</t>
        </is>
      </c>
      <c r="H2379" t="n">
        <v>2</v>
      </c>
      <c r="I2379" t="inlineStr">
        <is>
          <t>NAUTICA_MENS_208001211_DDN_1.jpg</t>
        </is>
      </c>
      <c r="J2379" t="inlineStr">
        <is>
          <t>NAUTICA_MENS_208001211_DDN_2.jpg</t>
        </is>
      </c>
      <c r="K2379" t="inlineStr">
        <is>
          <t>NAUTICA_MENS_208001211_DDN_3.jpg</t>
        </is>
      </c>
      <c r="L2379">
        <f>IMAGE("file:///E:/Estudios%20y%20certificaciones/ESTUDIOS%20DE%20PROGRAMMING/PROGRAMMING/PERSONAL/PYTHON/Image_Generator_API/imagenes/NAUTICA_MENS_208001211_DDN_1.jpg")</f>
        <v/>
      </c>
      <c r="M2379">
        <f>IMAGE("file:///E:/Estudios%20y%20certificaciones/ESTUDIOS%20DE%20PROGRAMMING/PROGRAMMING/PERSONAL/PYTHON/Image_Generator_API/imagenes/NAUTICA_MENS_208001211_DDN_2.jpg")</f>
        <v/>
      </c>
      <c r="N2379">
        <f>IMAGE("file:///E:/Estudios%20y%20certificaciones/ESTUDIOS%20DE%20PROGRAMMING/PROGRAMMING/PERSONAL/PYTHON/Image_Generator_API/imagenes/NAUTICA_MENS_208001211_DDN_3.jpg")</f>
        <v/>
      </c>
      <c r="O2379">
        <f>HYPERLINK("imagenes/NAUTICA_MENS_208001211_DDN_1.jpg","Ver imagen")</f>
        <v/>
      </c>
      <c r="P2379">
        <f>HYPERLINK("imagenes/NAUTICA_MENS_208001211_DDN_2.jpg","Ver imagen")</f>
        <v/>
      </c>
      <c r="Q2379">
        <f>HYPERLINK("imagenes/NAUTICA_MENS_208001211_DDN_3.jpg","Ver imagen")</f>
        <v/>
      </c>
    </row>
    <row r="2380">
      <c r="A2380" t="inlineStr">
        <is>
          <t>NAUTICA MENS</t>
        </is>
      </c>
      <c r="B2380" t="inlineStr">
        <is>
          <t>208001211</t>
        </is>
      </c>
      <c r="C2380" t="inlineStr">
        <is>
          <t>QUILTED JACKET</t>
        </is>
      </c>
      <c r="D2380" t="inlineStr">
        <is>
          <t>DDN</t>
        </is>
      </c>
      <c r="E2380" t="inlineStr">
        <is>
          <t>(en blanco)</t>
        </is>
      </c>
      <c r="F2380" t="inlineStr">
        <is>
          <t>(en blanco)</t>
        </is>
      </c>
      <c r="G2380" t="inlineStr">
        <is>
          <t>XXL</t>
        </is>
      </c>
      <c r="H2380" t="n">
        <v>1</v>
      </c>
      <c r="I2380" t="inlineStr">
        <is>
          <t>NAUTICA_MENS_208001211_DDN_1.jpg</t>
        </is>
      </c>
      <c r="J2380" t="inlineStr">
        <is>
          <t>NAUTICA_MENS_208001211_DDN_2.jpg</t>
        </is>
      </c>
      <c r="K2380" t="inlineStr">
        <is>
          <t>NAUTICA_MENS_208001211_DDN_3.jpg</t>
        </is>
      </c>
      <c r="L2380">
        <f>IMAGE("file:///E:/Estudios%20y%20certificaciones/ESTUDIOS%20DE%20PROGRAMMING/PROGRAMMING/PERSONAL/PYTHON/Image_Generator_API/imagenes/NAUTICA_MENS_208001211_DDN_1.jpg")</f>
        <v/>
      </c>
      <c r="M2380">
        <f>IMAGE("file:///E:/Estudios%20y%20certificaciones/ESTUDIOS%20DE%20PROGRAMMING/PROGRAMMING/PERSONAL/PYTHON/Image_Generator_API/imagenes/NAUTICA_MENS_208001211_DDN_2.jpg")</f>
        <v/>
      </c>
      <c r="N2380">
        <f>IMAGE("file:///E:/Estudios%20y%20certificaciones/ESTUDIOS%20DE%20PROGRAMMING/PROGRAMMING/PERSONAL/PYTHON/Image_Generator_API/imagenes/NAUTICA_MENS_208001211_DDN_3.jpg")</f>
        <v/>
      </c>
      <c r="O2380">
        <f>HYPERLINK("imagenes/NAUTICA_MENS_208001211_DDN_1.jpg","Ver imagen")</f>
        <v/>
      </c>
      <c r="P2380">
        <f>HYPERLINK("imagenes/NAUTICA_MENS_208001211_DDN_2.jpg","Ver imagen")</f>
        <v/>
      </c>
      <c r="Q2380">
        <f>HYPERLINK("imagenes/NAUTICA_MENS_208001211_DDN_3.jpg","Ver imagen")</f>
        <v/>
      </c>
    </row>
    <row r="2381">
      <c r="A2381" t="inlineStr">
        <is>
          <t>NAUTICA MENS</t>
        </is>
      </c>
      <c r="B2381" t="inlineStr">
        <is>
          <t>208001211</t>
        </is>
      </c>
      <c r="C2381" t="inlineStr">
        <is>
          <t>QUILTED JACKET</t>
        </is>
      </c>
      <c r="D2381" t="inlineStr">
        <is>
          <t>DFS</t>
        </is>
      </c>
      <c r="E2381" t="inlineStr">
        <is>
          <t>12A08</t>
        </is>
      </c>
      <c r="F2381" t="inlineStr">
        <is>
          <t>R2140</t>
        </is>
      </c>
      <c r="G2381" t="inlineStr">
        <is>
          <t>PPK</t>
        </is>
      </c>
      <c r="H2381" t="n">
        <v>0</v>
      </c>
      <c r="I2381" t="inlineStr">
        <is>
          <t>NAUTICA_MENS_208001211_DFS_1.jpg</t>
        </is>
      </c>
      <c r="J2381" t="inlineStr">
        <is>
          <t>NAUTICA_MENS_208001211_DFS_2.jpg</t>
        </is>
      </c>
      <c r="K2381" t="inlineStr">
        <is>
          <t>NAUTICA_MENS_208001211_DFS_3.jpg</t>
        </is>
      </c>
      <c r="L2381">
        <f>IMAGE("file:///E:/Estudios%20y%20certificaciones/ESTUDIOS%20DE%20PROGRAMMING/PROGRAMMING/PERSONAL/PYTHON/Image_Generator_API/imagenes/NAUTICA_MENS_208001211_DFS_1.jpg")</f>
        <v/>
      </c>
      <c r="M2381">
        <f>IMAGE("file:///E:/Estudios%20y%20certificaciones/ESTUDIOS%20DE%20PROGRAMMING/PROGRAMMING/PERSONAL/PYTHON/Image_Generator_API/imagenes/NAUTICA_MENS_208001211_DFS_2.jpg")</f>
        <v/>
      </c>
      <c r="N2381">
        <f>IMAGE("file:///E:/Estudios%20y%20certificaciones/ESTUDIOS%20DE%20PROGRAMMING/PROGRAMMING/PERSONAL/PYTHON/Image_Generator_API/imagenes/NAUTICA_MENS_208001211_DFS_3.jpg")</f>
        <v/>
      </c>
      <c r="O2381">
        <f>HYPERLINK("imagenes/NAUTICA_MENS_208001211_DFS_1.jpg","Ver imagen")</f>
        <v/>
      </c>
      <c r="P2381">
        <f>HYPERLINK("imagenes/NAUTICA_MENS_208001211_DFS_2.jpg","Ver imagen")</f>
        <v/>
      </c>
      <c r="Q2381">
        <f>HYPERLINK("imagenes/NAUTICA_MENS_208001211_DFS_3.jpg","Ver imagen")</f>
        <v/>
      </c>
    </row>
    <row r="2382">
      <c r="A2382" t="inlineStr">
        <is>
          <t>NAUTICA MENS</t>
        </is>
      </c>
      <c r="B2382" t="inlineStr">
        <is>
          <t>208001211</t>
        </is>
      </c>
      <c r="C2382" t="inlineStr">
        <is>
          <t>QUILTED JACKET</t>
        </is>
      </c>
      <c r="D2382" t="inlineStr">
        <is>
          <t>DFS</t>
        </is>
      </c>
      <c r="E2382" t="inlineStr">
        <is>
          <t>(en blanco)</t>
        </is>
      </c>
      <c r="F2382" t="inlineStr">
        <is>
          <t>(en blanco)</t>
        </is>
      </c>
      <c r="G2382" t="inlineStr">
        <is>
          <t>S</t>
        </is>
      </c>
      <c r="H2382" t="n">
        <v>2</v>
      </c>
      <c r="I2382" t="inlineStr">
        <is>
          <t>NAUTICA_MENS_208001211_DFS_1.jpg</t>
        </is>
      </c>
      <c r="J2382" t="inlineStr">
        <is>
          <t>NAUTICA_MENS_208001211_DFS_2.jpg</t>
        </is>
      </c>
      <c r="K2382" t="inlineStr">
        <is>
          <t>NAUTICA_MENS_208001211_DFS_3.jpg</t>
        </is>
      </c>
      <c r="L2382">
        <f>IMAGE("file:///E:/Estudios%20y%20certificaciones/ESTUDIOS%20DE%20PROGRAMMING/PROGRAMMING/PERSONAL/PYTHON/Image_Generator_API/imagenes/NAUTICA_MENS_208001211_DFS_1.jpg")</f>
        <v/>
      </c>
      <c r="M2382">
        <f>IMAGE("file:///E:/Estudios%20y%20certificaciones/ESTUDIOS%20DE%20PROGRAMMING/PROGRAMMING/PERSONAL/PYTHON/Image_Generator_API/imagenes/NAUTICA_MENS_208001211_DFS_2.jpg")</f>
        <v/>
      </c>
      <c r="N2382">
        <f>IMAGE("file:///E:/Estudios%20y%20certificaciones/ESTUDIOS%20DE%20PROGRAMMING/PROGRAMMING/PERSONAL/PYTHON/Image_Generator_API/imagenes/NAUTICA_MENS_208001211_DFS_3.jpg")</f>
        <v/>
      </c>
      <c r="O2382">
        <f>HYPERLINK("imagenes/NAUTICA_MENS_208001211_DFS_1.jpg","Ver imagen")</f>
        <v/>
      </c>
      <c r="P2382">
        <f>HYPERLINK("imagenes/NAUTICA_MENS_208001211_DFS_2.jpg","Ver imagen")</f>
        <v/>
      </c>
      <c r="Q2382">
        <f>HYPERLINK("imagenes/NAUTICA_MENS_208001211_DFS_3.jpg","Ver imagen")</f>
        <v/>
      </c>
    </row>
    <row r="2383">
      <c r="A2383" t="inlineStr">
        <is>
          <t>NAUTICA MENS</t>
        </is>
      </c>
      <c r="B2383" t="inlineStr">
        <is>
          <t>208001211</t>
        </is>
      </c>
      <c r="C2383" t="inlineStr">
        <is>
          <t>QUILTED JACKET</t>
        </is>
      </c>
      <c r="D2383" t="inlineStr">
        <is>
          <t>DFS</t>
        </is>
      </c>
      <c r="E2383" t="inlineStr">
        <is>
          <t>(en blanco)</t>
        </is>
      </c>
      <c r="F2383" t="inlineStr">
        <is>
          <t>(en blanco)</t>
        </is>
      </c>
      <c r="G2383" t="inlineStr">
        <is>
          <t>M</t>
        </is>
      </c>
      <c r="H2383" t="n">
        <v>6</v>
      </c>
      <c r="I2383" t="inlineStr">
        <is>
          <t>NAUTICA_MENS_208001211_DFS_1.jpg</t>
        </is>
      </c>
      <c r="J2383" t="inlineStr">
        <is>
          <t>NAUTICA_MENS_208001211_DFS_2.jpg</t>
        </is>
      </c>
      <c r="K2383" t="inlineStr">
        <is>
          <t>NAUTICA_MENS_208001211_DFS_3.jpg</t>
        </is>
      </c>
      <c r="L2383">
        <f>IMAGE("file:///E:/Estudios%20y%20certificaciones/ESTUDIOS%20DE%20PROGRAMMING/PROGRAMMING/PERSONAL/PYTHON/Image_Generator_API/imagenes/NAUTICA_MENS_208001211_DFS_1.jpg")</f>
        <v/>
      </c>
      <c r="M2383">
        <f>IMAGE("file:///E:/Estudios%20y%20certificaciones/ESTUDIOS%20DE%20PROGRAMMING/PROGRAMMING/PERSONAL/PYTHON/Image_Generator_API/imagenes/NAUTICA_MENS_208001211_DFS_2.jpg")</f>
        <v/>
      </c>
      <c r="N2383">
        <f>IMAGE("file:///E:/Estudios%20y%20certificaciones/ESTUDIOS%20DE%20PROGRAMMING/PROGRAMMING/PERSONAL/PYTHON/Image_Generator_API/imagenes/NAUTICA_MENS_208001211_DFS_3.jpg")</f>
        <v/>
      </c>
      <c r="O2383">
        <f>HYPERLINK("imagenes/NAUTICA_MENS_208001211_DFS_1.jpg","Ver imagen")</f>
        <v/>
      </c>
      <c r="P2383">
        <f>HYPERLINK("imagenes/NAUTICA_MENS_208001211_DFS_2.jpg","Ver imagen")</f>
        <v/>
      </c>
      <c r="Q2383">
        <f>HYPERLINK("imagenes/NAUTICA_MENS_208001211_DFS_3.jpg","Ver imagen")</f>
        <v/>
      </c>
    </row>
    <row r="2384">
      <c r="A2384" t="inlineStr">
        <is>
          <t>NAUTICA MENS</t>
        </is>
      </c>
      <c r="B2384" t="inlineStr">
        <is>
          <t>208001211</t>
        </is>
      </c>
      <c r="C2384" t="inlineStr">
        <is>
          <t>QUILTED JACKET</t>
        </is>
      </c>
      <c r="D2384" t="inlineStr">
        <is>
          <t>DFS</t>
        </is>
      </c>
      <c r="E2384" t="inlineStr">
        <is>
          <t>(en blanco)</t>
        </is>
      </c>
      <c r="F2384" t="inlineStr">
        <is>
          <t>(en blanco)</t>
        </is>
      </c>
      <c r="G2384" t="inlineStr">
        <is>
          <t>L</t>
        </is>
      </c>
      <c r="H2384" t="n">
        <v>1</v>
      </c>
      <c r="I2384" t="inlineStr">
        <is>
          <t>NAUTICA_MENS_208001211_DFS_1.jpg</t>
        </is>
      </c>
      <c r="J2384" t="inlineStr">
        <is>
          <t>NAUTICA_MENS_208001211_DFS_2.jpg</t>
        </is>
      </c>
      <c r="K2384" t="inlineStr">
        <is>
          <t>NAUTICA_MENS_208001211_DFS_3.jpg</t>
        </is>
      </c>
      <c r="L2384">
        <f>IMAGE("file:///E:/Estudios%20y%20certificaciones/ESTUDIOS%20DE%20PROGRAMMING/PROGRAMMING/PERSONAL/PYTHON/Image_Generator_API/imagenes/NAUTICA_MENS_208001211_DFS_1.jpg")</f>
        <v/>
      </c>
      <c r="M2384">
        <f>IMAGE("file:///E:/Estudios%20y%20certificaciones/ESTUDIOS%20DE%20PROGRAMMING/PROGRAMMING/PERSONAL/PYTHON/Image_Generator_API/imagenes/NAUTICA_MENS_208001211_DFS_2.jpg")</f>
        <v/>
      </c>
      <c r="N2384">
        <f>IMAGE("file:///E:/Estudios%20y%20certificaciones/ESTUDIOS%20DE%20PROGRAMMING/PROGRAMMING/PERSONAL/PYTHON/Image_Generator_API/imagenes/NAUTICA_MENS_208001211_DFS_3.jpg")</f>
        <v/>
      </c>
      <c r="O2384">
        <f>HYPERLINK("imagenes/NAUTICA_MENS_208001211_DFS_1.jpg","Ver imagen")</f>
        <v/>
      </c>
      <c r="P2384">
        <f>HYPERLINK("imagenes/NAUTICA_MENS_208001211_DFS_2.jpg","Ver imagen")</f>
        <v/>
      </c>
      <c r="Q2384">
        <f>HYPERLINK("imagenes/NAUTICA_MENS_208001211_DFS_3.jpg","Ver imagen")</f>
        <v/>
      </c>
    </row>
    <row r="2385">
      <c r="A2385" t="inlineStr">
        <is>
          <t>NAUTICA MENS</t>
        </is>
      </c>
      <c r="B2385" t="inlineStr">
        <is>
          <t>208001211</t>
        </is>
      </c>
      <c r="C2385" t="inlineStr">
        <is>
          <t>QUILTED JACKET</t>
        </is>
      </c>
      <c r="D2385" t="inlineStr">
        <is>
          <t>DFS</t>
        </is>
      </c>
      <c r="E2385" t="inlineStr">
        <is>
          <t>(en blanco)</t>
        </is>
      </c>
      <c r="F2385" t="inlineStr">
        <is>
          <t>(en blanco)</t>
        </is>
      </c>
      <c r="G2385" t="inlineStr">
        <is>
          <t>XL</t>
        </is>
      </c>
      <c r="H2385" t="n">
        <v>4</v>
      </c>
      <c r="I2385" t="inlineStr">
        <is>
          <t>NAUTICA_MENS_208001211_DFS_1.jpg</t>
        </is>
      </c>
      <c r="J2385" t="inlineStr">
        <is>
          <t>NAUTICA_MENS_208001211_DFS_2.jpg</t>
        </is>
      </c>
      <c r="K2385" t="inlineStr">
        <is>
          <t>NAUTICA_MENS_208001211_DFS_3.jpg</t>
        </is>
      </c>
      <c r="L2385">
        <f>IMAGE("file:///E:/Estudios%20y%20certificaciones/ESTUDIOS%20DE%20PROGRAMMING/PROGRAMMING/PERSONAL/PYTHON/Image_Generator_API/imagenes/NAUTICA_MENS_208001211_DFS_1.jpg")</f>
        <v/>
      </c>
      <c r="M2385">
        <f>IMAGE("file:///E:/Estudios%20y%20certificaciones/ESTUDIOS%20DE%20PROGRAMMING/PROGRAMMING/PERSONAL/PYTHON/Image_Generator_API/imagenes/NAUTICA_MENS_208001211_DFS_2.jpg")</f>
        <v/>
      </c>
      <c r="N2385">
        <f>IMAGE("file:///E:/Estudios%20y%20certificaciones/ESTUDIOS%20DE%20PROGRAMMING/PROGRAMMING/PERSONAL/PYTHON/Image_Generator_API/imagenes/NAUTICA_MENS_208001211_DFS_3.jpg")</f>
        <v/>
      </c>
      <c r="O2385">
        <f>HYPERLINK("imagenes/NAUTICA_MENS_208001211_DFS_1.jpg","Ver imagen")</f>
        <v/>
      </c>
      <c r="P2385">
        <f>HYPERLINK("imagenes/NAUTICA_MENS_208001211_DFS_2.jpg","Ver imagen")</f>
        <v/>
      </c>
      <c r="Q2385">
        <f>HYPERLINK("imagenes/NAUTICA_MENS_208001211_DFS_3.jpg","Ver imagen")</f>
        <v/>
      </c>
    </row>
    <row r="2386">
      <c r="A2386" t="inlineStr">
        <is>
          <t>NAUTICA MENS</t>
        </is>
      </c>
      <c r="B2386" t="inlineStr">
        <is>
          <t>208001211</t>
        </is>
      </c>
      <c r="C2386" t="inlineStr">
        <is>
          <t>QUILTED JACKET</t>
        </is>
      </c>
      <c r="D2386" t="inlineStr">
        <is>
          <t>DFS</t>
        </is>
      </c>
      <c r="E2386" t="inlineStr">
        <is>
          <t>(en blanco)</t>
        </is>
      </c>
      <c r="F2386" t="inlineStr">
        <is>
          <t>(en blanco)</t>
        </is>
      </c>
      <c r="G2386" t="inlineStr">
        <is>
          <t>XXL</t>
        </is>
      </c>
      <c r="H2386" t="n">
        <v>2</v>
      </c>
      <c r="I2386" t="inlineStr">
        <is>
          <t>NAUTICA_MENS_208001211_DFS_1.jpg</t>
        </is>
      </c>
      <c r="J2386" t="inlineStr">
        <is>
          <t>NAUTICA_MENS_208001211_DFS_2.jpg</t>
        </is>
      </c>
      <c r="K2386" t="inlineStr">
        <is>
          <t>NAUTICA_MENS_208001211_DFS_3.jpg</t>
        </is>
      </c>
      <c r="L2386">
        <f>IMAGE("file:///E:/Estudios%20y%20certificaciones/ESTUDIOS%20DE%20PROGRAMMING/PROGRAMMING/PERSONAL/PYTHON/Image_Generator_API/imagenes/NAUTICA_MENS_208001211_DFS_1.jpg")</f>
        <v/>
      </c>
      <c r="M2386">
        <f>IMAGE("file:///E:/Estudios%20y%20certificaciones/ESTUDIOS%20DE%20PROGRAMMING/PROGRAMMING/PERSONAL/PYTHON/Image_Generator_API/imagenes/NAUTICA_MENS_208001211_DFS_2.jpg")</f>
        <v/>
      </c>
      <c r="N2386">
        <f>IMAGE("file:///E:/Estudios%20y%20certificaciones/ESTUDIOS%20DE%20PROGRAMMING/PROGRAMMING/PERSONAL/PYTHON/Image_Generator_API/imagenes/NAUTICA_MENS_208001211_DFS_3.jpg")</f>
        <v/>
      </c>
      <c r="O2386">
        <f>HYPERLINK("imagenes/NAUTICA_MENS_208001211_DFS_1.jpg","Ver imagen")</f>
        <v/>
      </c>
      <c r="P2386">
        <f>HYPERLINK("imagenes/NAUTICA_MENS_208001211_DFS_2.jpg","Ver imagen")</f>
        <v/>
      </c>
      <c r="Q2386">
        <f>HYPERLINK("imagenes/NAUTICA_MENS_208001211_DFS_3.jpg","Ver imagen")</f>
        <v/>
      </c>
    </row>
    <row r="2387">
      <c r="A2387" t="inlineStr">
        <is>
          <t>NAUTICA MENS</t>
        </is>
      </c>
      <c r="B2387" t="inlineStr">
        <is>
          <t>208001211</t>
        </is>
      </c>
      <c r="C2387" t="inlineStr">
        <is>
          <t>QUILTED JACKET</t>
        </is>
      </c>
      <c r="D2387" t="inlineStr">
        <is>
          <t>NVY</t>
        </is>
      </c>
      <c r="E2387" t="inlineStr">
        <is>
          <t>12A08</t>
        </is>
      </c>
      <c r="F2387" t="inlineStr">
        <is>
          <t>R2140</t>
        </is>
      </c>
      <c r="G2387" t="inlineStr">
        <is>
          <t>PPK</t>
        </is>
      </c>
      <c r="H2387" t="n">
        <v>0</v>
      </c>
      <c r="I2387" t="inlineStr">
        <is>
          <t>NAUTICA_MENS_208001211_NVY_1.jpg</t>
        </is>
      </c>
      <c r="J2387" t="inlineStr">
        <is>
          <t>NAUTICA_MENS_208001211_NVY_2.jpg</t>
        </is>
      </c>
      <c r="K2387" t="inlineStr">
        <is>
          <t>NAUTICA_MENS_208001211_NVY_3.jpg</t>
        </is>
      </c>
      <c r="L2387">
        <f>IMAGE("file:///E:/Estudios%20y%20certificaciones/ESTUDIOS%20DE%20PROGRAMMING/PROGRAMMING/PERSONAL/PYTHON/Image_Generator_API/imagenes/NAUTICA_MENS_208001211_NVY_1.jpg")</f>
        <v/>
      </c>
      <c r="M2387">
        <f>IMAGE("file:///E:/Estudios%20y%20certificaciones/ESTUDIOS%20DE%20PROGRAMMING/PROGRAMMING/PERSONAL/PYTHON/Image_Generator_API/imagenes/NAUTICA_MENS_208001211_NVY_2.jpg")</f>
        <v/>
      </c>
      <c r="N2387">
        <f>IMAGE("file:///E:/Estudios%20y%20certificaciones/ESTUDIOS%20DE%20PROGRAMMING/PROGRAMMING/PERSONAL/PYTHON/Image_Generator_API/imagenes/NAUTICA_MENS_208001211_NVY_3.jpg")</f>
        <v/>
      </c>
      <c r="O2387">
        <f>HYPERLINK("imagenes/NAUTICA_MENS_208001211_NVY_1.jpg","Ver imagen")</f>
        <v/>
      </c>
      <c r="P2387">
        <f>HYPERLINK("imagenes/NAUTICA_MENS_208001211_NVY_2.jpg","Ver imagen")</f>
        <v/>
      </c>
      <c r="Q2387">
        <f>HYPERLINK("imagenes/NAUTICA_MENS_208001211_NVY_3.jpg","Ver imagen")</f>
        <v/>
      </c>
    </row>
    <row r="2388">
      <c r="A2388" t="inlineStr">
        <is>
          <t>NAUTICA MENS</t>
        </is>
      </c>
      <c r="B2388" t="inlineStr">
        <is>
          <t>208001211</t>
        </is>
      </c>
      <c r="C2388" t="inlineStr">
        <is>
          <t>QUILTED JACKET</t>
        </is>
      </c>
      <c r="D2388" t="inlineStr">
        <is>
          <t>NVY</t>
        </is>
      </c>
      <c r="E2388" t="inlineStr">
        <is>
          <t>(en blanco)</t>
        </is>
      </c>
      <c r="F2388" t="inlineStr">
        <is>
          <t>(en blanco)</t>
        </is>
      </c>
      <c r="G2388" t="inlineStr">
        <is>
          <t>M</t>
        </is>
      </c>
      <c r="H2388" t="n">
        <v>4</v>
      </c>
      <c r="I2388" t="inlineStr">
        <is>
          <t>NAUTICA_MENS_208001211_NVY_1.jpg</t>
        </is>
      </c>
      <c r="J2388" t="inlineStr">
        <is>
          <t>NAUTICA_MENS_208001211_NVY_2.jpg</t>
        </is>
      </c>
      <c r="K2388" t="inlineStr">
        <is>
          <t>NAUTICA_MENS_208001211_NVY_3.jpg</t>
        </is>
      </c>
      <c r="L2388">
        <f>IMAGE("file:///E:/Estudios%20y%20certificaciones/ESTUDIOS%20DE%20PROGRAMMING/PROGRAMMING/PERSONAL/PYTHON/Image_Generator_API/imagenes/NAUTICA_MENS_208001211_NVY_1.jpg")</f>
        <v/>
      </c>
      <c r="M2388">
        <f>IMAGE("file:///E:/Estudios%20y%20certificaciones/ESTUDIOS%20DE%20PROGRAMMING/PROGRAMMING/PERSONAL/PYTHON/Image_Generator_API/imagenes/NAUTICA_MENS_208001211_NVY_2.jpg")</f>
        <v/>
      </c>
      <c r="N2388">
        <f>IMAGE("file:///E:/Estudios%20y%20certificaciones/ESTUDIOS%20DE%20PROGRAMMING/PROGRAMMING/PERSONAL/PYTHON/Image_Generator_API/imagenes/NAUTICA_MENS_208001211_NVY_3.jpg")</f>
        <v/>
      </c>
      <c r="O2388">
        <f>HYPERLINK("imagenes/NAUTICA_MENS_208001211_NVY_1.jpg","Ver imagen")</f>
        <v/>
      </c>
      <c r="P2388">
        <f>HYPERLINK("imagenes/NAUTICA_MENS_208001211_NVY_2.jpg","Ver imagen")</f>
        <v/>
      </c>
      <c r="Q2388">
        <f>HYPERLINK("imagenes/NAUTICA_MENS_208001211_NVY_3.jpg","Ver imagen")</f>
        <v/>
      </c>
    </row>
    <row r="2389">
      <c r="A2389" t="inlineStr">
        <is>
          <t>NAUTICA MENS</t>
        </is>
      </c>
      <c r="B2389" t="inlineStr">
        <is>
          <t>208001211</t>
        </is>
      </c>
      <c r="C2389" t="inlineStr">
        <is>
          <t>QUILTED JACKET</t>
        </is>
      </c>
      <c r="D2389" t="inlineStr">
        <is>
          <t>NVY</t>
        </is>
      </c>
      <c r="E2389" t="inlineStr">
        <is>
          <t>(en blanco)</t>
        </is>
      </c>
      <c r="F2389" t="inlineStr">
        <is>
          <t>(en blanco)</t>
        </is>
      </c>
      <c r="G2389" t="inlineStr">
        <is>
          <t>L</t>
        </is>
      </c>
      <c r="H2389" t="n">
        <v>2</v>
      </c>
      <c r="I2389" t="inlineStr">
        <is>
          <t>NAUTICA_MENS_208001211_NVY_1.jpg</t>
        </is>
      </c>
      <c r="J2389" t="inlineStr">
        <is>
          <t>NAUTICA_MENS_208001211_NVY_2.jpg</t>
        </is>
      </c>
      <c r="K2389" t="inlineStr">
        <is>
          <t>NAUTICA_MENS_208001211_NVY_3.jpg</t>
        </is>
      </c>
      <c r="L2389">
        <f>IMAGE("file:///E:/Estudios%20y%20certificaciones/ESTUDIOS%20DE%20PROGRAMMING/PROGRAMMING/PERSONAL/PYTHON/Image_Generator_API/imagenes/NAUTICA_MENS_208001211_NVY_1.jpg")</f>
        <v/>
      </c>
      <c r="M2389">
        <f>IMAGE("file:///E:/Estudios%20y%20certificaciones/ESTUDIOS%20DE%20PROGRAMMING/PROGRAMMING/PERSONAL/PYTHON/Image_Generator_API/imagenes/NAUTICA_MENS_208001211_NVY_2.jpg")</f>
        <v/>
      </c>
      <c r="N2389">
        <f>IMAGE("file:///E:/Estudios%20y%20certificaciones/ESTUDIOS%20DE%20PROGRAMMING/PROGRAMMING/PERSONAL/PYTHON/Image_Generator_API/imagenes/NAUTICA_MENS_208001211_NVY_3.jpg")</f>
        <v/>
      </c>
      <c r="O2389">
        <f>HYPERLINK("imagenes/NAUTICA_MENS_208001211_NVY_1.jpg","Ver imagen")</f>
        <v/>
      </c>
      <c r="P2389">
        <f>HYPERLINK("imagenes/NAUTICA_MENS_208001211_NVY_2.jpg","Ver imagen")</f>
        <v/>
      </c>
      <c r="Q2389">
        <f>HYPERLINK("imagenes/NAUTICA_MENS_208001211_NVY_3.jpg","Ver imagen")</f>
        <v/>
      </c>
    </row>
    <row r="2390">
      <c r="A2390" t="inlineStr">
        <is>
          <t>NAUTICA MENS</t>
        </is>
      </c>
      <c r="B2390" t="inlineStr">
        <is>
          <t>208001211</t>
        </is>
      </c>
      <c r="C2390" t="inlineStr">
        <is>
          <t>QUILTED JACKET</t>
        </is>
      </c>
      <c r="D2390" t="inlineStr">
        <is>
          <t>NVY</t>
        </is>
      </c>
      <c r="E2390" t="inlineStr">
        <is>
          <t>(en blanco)</t>
        </is>
      </c>
      <c r="F2390" t="inlineStr">
        <is>
          <t>(en blanco)</t>
        </is>
      </c>
      <c r="G2390" t="inlineStr">
        <is>
          <t>XL</t>
        </is>
      </c>
      <c r="H2390" t="n">
        <v>3</v>
      </c>
      <c r="I2390" t="inlineStr">
        <is>
          <t>NAUTICA_MENS_208001211_NVY_1.jpg</t>
        </is>
      </c>
      <c r="J2390" t="inlineStr">
        <is>
          <t>NAUTICA_MENS_208001211_NVY_2.jpg</t>
        </is>
      </c>
      <c r="K2390" t="inlineStr">
        <is>
          <t>NAUTICA_MENS_208001211_NVY_3.jpg</t>
        </is>
      </c>
      <c r="L2390">
        <f>IMAGE("file:///E:/Estudios%20y%20certificaciones/ESTUDIOS%20DE%20PROGRAMMING/PROGRAMMING/PERSONAL/PYTHON/Image_Generator_API/imagenes/NAUTICA_MENS_208001211_NVY_1.jpg")</f>
        <v/>
      </c>
      <c r="M2390">
        <f>IMAGE("file:///E:/Estudios%20y%20certificaciones/ESTUDIOS%20DE%20PROGRAMMING/PROGRAMMING/PERSONAL/PYTHON/Image_Generator_API/imagenes/NAUTICA_MENS_208001211_NVY_2.jpg")</f>
        <v/>
      </c>
      <c r="N2390">
        <f>IMAGE("file:///E:/Estudios%20y%20certificaciones/ESTUDIOS%20DE%20PROGRAMMING/PROGRAMMING/PERSONAL/PYTHON/Image_Generator_API/imagenes/NAUTICA_MENS_208001211_NVY_3.jpg")</f>
        <v/>
      </c>
      <c r="O2390">
        <f>HYPERLINK("imagenes/NAUTICA_MENS_208001211_NVY_1.jpg","Ver imagen")</f>
        <v/>
      </c>
      <c r="P2390">
        <f>HYPERLINK("imagenes/NAUTICA_MENS_208001211_NVY_2.jpg","Ver imagen")</f>
        <v/>
      </c>
      <c r="Q2390">
        <f>HYPERLINK("imagenes/NAUTICA_MENS_208001211_NVY_3.jpg","Ver imagen")</f>
        <v/>
      </c>
    </row>
    <row r="2391">
      <c r="A2391" t="inlineStr">
        <is>
          <t>NAUTICA MENS</t>
        </is>
      </c>
      <c r="B2391" t="inlineStr">
        <is>
          <t>208001211</t>
        </is>
      </c>
      <c r="C2391" t="inlineStr">
        <is>
          <t>QUILTED JACKET</t>
        </is>
      </c>
      <c r="D2391" t="inlineStr">
        <is>
          <t>NVY</t>
        </is>
      </c>
      <c r="E2391" t="inlineStr">
        <is>
          <t>(en blanco)</t>
        </is>
      </c>
      <c r="F2391" t="inlineStr">
        <is>
          <t>(en blanco)</t>
        </is>
      </c>
      <c r="G2391" t="inlineStr">
        <is>
          <t>XXL</t>
        </is>
      </c>
      <c r="H2391" t="n">
        <v>6</v>
      </c>
      <c r="I2391" t="inlineStr">
        <is>
          <t>NAUTICA_MENS_208001211_NVY_1.jpg</t>
        </is>
      </c>
      <c r="J2391" t="inlineStr">
        <is>
          <t>NAUTICA_MENS_208001211_NVY_2.jpg</t>
        </is>
      </c>
      <c r="K2391" t="inlineStr">
        <is>
          <t>NAUTICA_MENS_208001211_NVY_3.jpg</t>
        </is>
      </c>
      <c r="L2391">
        <f>IMAGE("file:///E:/Estudios%20y%20certificaciones/ESTUDIOS%20DE%20PROGRAMMING/PROGRAMMING/PERSONAL/PYTHON/Image_Generator_API/imagenes/NAUTICA_MENS_208001211_NVY_1.jpg")</f>
        <v/>
      </c>
      <c r="M2391">
        <f>IMAGE("file:///E:/Estudios%20y%20certificaciones/ESTUDIOS%20DE%20PROGRAMMING/PROGRAMMING/PERSONAL/PYTHON/Image_Generator_API/imagenes/NAUTICA_MENS_208001211_NVY_2.jpg")</f>
        <v/>
      </c>
      <c r="N2391">
        <f>IMAGE("file:///E:/Estudios%20y%20certificaciones/ESTUDIOS%20DE%20PROGRAMMING/PROGRAMMING/PERSONAL/PYTHON/Image_Generator_API/imagenes/NAUTICA_MENS_208001211_NVY_3.jpg")</f>
        <v/>
      </c>
      <c r="O2391">
        <f>HYPERLINK("imagenes/NAUTICA_MENS_208001211_NVY_1.jpg","Ver imagen")</f>
        <v/>
      </c>
      <c r="P2391">
        <f>HYPERLINK("imagenes/NAUTICA_MENS_208001211_NVY_2.jpg","Ver imagen")</f>
        <v/>
      </c>
      <c r="Q2391">
        <f>HYPERLINK("imagenes/NAUTICA_MENS_208001211_NVY_3.jpg","Ver imagen")</f>
        <v/>
      </c>
    </row>
    <row r="2392">
      <c r="A2392" t="inlineStr">
        <is>
          <t>NAUTICA MENS</t>
        </is>
      </c>
      <c r="B2392" t="inlineStr">
        <is>
          <t>208001212</t>
        </is>
      </c>
      <c r="C2392" t="inlineStr">
        <is>
          <t>FEATHER WEIGHT QUILTED JACKET</t>
        </is>
      </c>
      <c r="D2392" t="inlineStr">
        <is>
          <t>BLK</t>
        </is>
      </c>
      <c r="E2392" t="inlineStr">
        <is>
          <t>06A23</t>
        </is>
      </c>
      <c r="F2392" t="inlineStr">
        <is>
          <t>R2140</t>
        </is>
      </c>
      <c r="G2392" t="inlineStr">
        <is>
          <t>PPK</t>
        </is>
      </c>
      <c r="H2392" t="n">
        <v>0</v>
      </c>
      <c r="I2392" t="inlineStr">
        <is>
          <t>NAUTICA_MENS_208001212_BLK_1.jpg</t>
        </is>
      </c>
      <c r="J2392" t="inlineStr">
        <is>
          <t>NAUTICA_MENS_208001212_BLK_2.jpg</t>
        </is>
      </c>
      <c r="K2392" t="inlineStr">
        <is>
          <t>NAUTICA_MENS_208001212_BLK_3.jpg</t>
        </is>
      </c>
      <c r="L2392">
        <f>IMAGE("file:///E:/Estudios%20y%20certificaciones/ESTUDIOS%20DE%20PROGRAMMING/PROGRAMMING/PERSONAL/PYTHON/Image_Generator_API/imagenes/NAUTICA_MENS_208001212_BLK_1.jpg")</f>
        <v/>
      </c>
      <c r="M2392">
        <f>IMAGE("file:///E:/Estudios%20y%20certificaciones/ESTUDIOS%20DE%20PROGRAMMING/PROGRAMMING/PERSONAL/PYTHON/Image_Generator_API/imagenes/NAUTICA_MENS_208001212_BLK_2.jpg")</f>
        <v/>
      </c>
      <c r="N2392">
        <f>IMAGE("file:///E:/Estudios%20y%20certificaciones/ESTUDIOS%20DE%20PROGRAMMING/PROGRAMMING/PERSONAL/PYTHON/Image_Generator_API/imagenes/NAUTICA_MENS_208001212_BLK_3.jpg")</f>
        <v/>
      </c>
      <c r="O2392">
        <f>HYPERLINK("imagenes/NAUTICA_MENS_208001212_BLK_1.jpg","Ver imagen")</f>
        <v/>
      </c>
      <c r="P2392">
        <f>HYPERLINK("imagenes/NAUTICA_MENS_208001212_BLK_2.jpg","Ver imagen")</f>
        <v/>
      </c>
      <c r="Q2392">
        <f>HYPERLINK("imagenes/NAUTICA_MENS_208001212_BLK_3.jpg","Ver imagen")</f>
        <v/>
      </c>
    </row>
    <row r="2393">
      <c r="A2393" t="inlineStr">
        <is>
          <t>NAUTICA MENS</t>
        </is>
      </c>
      <c r="B2393" t="inlineStr">
        <is>
          <t>208001212</t>
        </is>
      </c>
      <c r="C2393" t="inlineStr">
        <is>
          <t>FEATHER WEIGHT QUILTED JACKET</t>
        </is>
      </c>
      <c r="D2393" t="inlineStr">
        <is>
          <t>MTA</t>
        </is>
      </c>
      <c r="E2393" t="inlineStr">
        <is>
          <t>06A23</t>
        </is>
      </c>
      <c r="F2393" t="inlineStr">
        <is>
          <t>R2140</t>
        </is>
      </c>
      <c r="G2393" t="inlineStr">
        <is>
          <t>PPK</t>
        </is>
      </c>
      <c r="H2393" t="n">
        <v>0</v>
      </c>
      <c r="I2393" t="inlineStr">
        <is>
          <t>NAUTICA_MENS_208001212_MTA_1.jpg</t>
        </is>
      </c>
      <c r="J2393" t="inlineStr">
        <is>
          <t>NAUTICA_MENS_208001212_MTA_2.jpg</t>
        </is>
      </c>
      <c r="K2393" t="inlineStr">
        <is>
          <t>NAUTICA_MENS_208001212_MTA_3.jpg</t>
        </is>
      </c>
      <c r="L2393">
        <f>IMAGE("file:///E:/Estudios%20y%20certificaciones/ESTUDIOS%20DE%20PROGRAMMING/PROGRAMMING/PERSONAL/PYTHON/Image_Generator_API/imagenes/NAUTICA_MENS_208001212_MTA_1.jpg")</f>
        <v/>
      </c>
      <c r="M2393">
        <f>IMAGE("file:///E:/Estudios%20y%20certificaciones/ESTUDIOS%20DE%20PROGRAMMING/PROGRAMMING/PERSONAL/PYTHON/Image_Generator_API/imagenes/NAUTICA_MENS_208001212_MTA_2.jpg")</f>
        <v/>
      </c>
      <c r="N2393">
        <f>IMAGE("file:///E:/Estudios%20y%20certificaciones/ESTUDIOS%20DE%20PROGRAMMING/PROGRAMMING/PERSONAL/PYTHON/Image_Generator_API/imagenes/NAUTICA_MENS_208001212_MTA_3.jpg")</f>
        <v/>
      </c>
      <c r="O2393">
        <f>HYPERLINK("imagenes/NAUTICA_MENS_208001212_MTA_1.jpg","Ver imagen")</f>
        <v/>
      </c>
      <c r="P2393">
        <f>HYPERLINK("imagenes/NAUTICA_MENS_208001212_MTA_2.jpg","Ver imagen")</f>
        <v/>
      </c>
      <c r="Q2393">
        <f>HYPERLINK("imagenes/NAUTICA_MENS_208001212_MTA_3.jpg","Ver imagen")</f>
        <v/>
      </c>
    </row>
    <row r="2394">
      <c r="A2394" t="inlineStr">
        <is>
          <t>NAUTICA MENS</t>
        </is>
      </c>
      <c r="B2394" t="inlineStr">
        <is>
          <t>208001212</t>
        </is>
      </c>
      <c r="C2394" t="inlineStr">
        <is>
          <t>FEATHER WEIGHT QUILTED JACKET</t>
        </is>
      </c>
      <c r="D2394" t="inlineStr">
        <is>
          <t>NVY</t>
        </is>
      </c>
      <c r="E2394" t="inlineStr">
        <is>
          <t>06A23</t>
        </is>
      </c>
      <c r="F2394" t="inlineStr">
        <is>
          <t>R2140</t>
        </is>
      </c>
      <c r="G2394" t="inlineStr">
        <is>
          <t>PPK</t>
        </is>
      </c>
      <c r="H2394" t="n">
        <v>0</v>
      </c>
      <c r="I2394" t="inlineStr">
        <is>
          <t>NAUTICA_MENS_208001212_NVY_1.jpg</t>
        </is>
      </c>
      <c r="J2394" t="inlineStr">
        <is>
          <t>NAUTICA_MENS_208001212_NVY_2.jpg</t>
        </is>
      </c>
      <c r="K2394" t="inlineStr">
        <is>
          <t>NAUTICA_MENS_208001212_NVY_3.jpg</t>
        </is>
      </c>
      <c r="L2394">
        <f>IMAGE("file:///E:/Estudios%20y%20certificaciones/ESTUDIOS%20DE%20PROGRAMMING/PROGRAMMING/PERSONAL/PYTHON/Image_Generator_API/imagenes/NAUTICA_MENS_208001212_NVY_1.jpg")</f>
        <v/>
      </c>
      <c r="M2394">
        <f>IMAGE("file:///E:/Estudios%20y%20certificaciones/ESTUDIOS%20DE%20PROGRAMMING/PROGRAMMING/PERSONAL/PYTHON/Image_Generator_API/imagenes/NAUTICA_MENS_208001212_NVY_2.jpg")</f>
        <v/>
      </c>
      <c r="N2394">
        <f>IMAGE("file:///E:/Estudios%20y%20certificaciones/ESTUDIOS%20DE%20PROGRAMMING/PROGRAMMING/PERSONAL/PYTHON/Image_Generator_API/imagenes/NAUTICA_MENS_208001212_NVY_3.jpg")</f>
        <v/>
      </c>
      <c r="O2394">
        <f>HYPERLINK("imagenes/NAUTICA_MENS_208001212_NVY_1.jpg","Ver imagen")</f>
        <v/>
      </c>
      <c r="P2394">
        <f>HYPERLINK("imagenes/NAUTICA_MENS_208001212_NVY_2.jpg","Ver imagen")</f>
        <v/>
      </c>
      <c r="Q2394">
        <f>HYPERLINK("imagenes/NAUTICA_MENS_208001212_NVY_3.jpg","Ver imagen")</f>
        <v/>
      </c>
    </row>
    <row r="2395">
      <c r="A2395" t="inlineStr">
        <is>
          <t>NAUTICA MENS</t>
        </is>
      </c>
      <c r="B2395" t="inlineStr">
        <is>
          <t>208001223</t>
        </is>
      </c>
      <c r="C2395" t="inlineStr">
        <is>
          <t>LT WEIGHT QUILTED JACKET</t>
        </is>
      </c>
      <c r="D2395" t="inlineStr">
        <is>
          <t>B31</t>
        </is>
      </c>
      <c r="E2395" t="inlineStr">
        <is>
          <t>12A08</t>
        </is>
      </c>
      <c r="F2395" t="inlineStr">
        <is>
          <t>(en blanco)</t>
        </is>
      </c>
      <c r="G2395" t="inlineStr">
        <is>
          <t>PPK</t>
        </is>
      </c>
      <c r="H2395" t="n">
        <v>0</v>
      </c>
      <c r="I2395" t="inlineStr">
        <is>
          <t>NAUTICA_MENS_208001223_B31_1.jpg</t>
        </is>
      </c>
      <c r="J2395" t="inlineStr">
        <is>
          <t>NAUTICA_MENS_208001223_B31_2.jpg</t>
        </is>
      </c>
      <c r="K2395" t="inlineStr">
        <is>
          <t>NAUTICA_MENS_208001223_B31_3.jpg</t>
        </is>
      </c>
      <c r="L2395">
        <f>IMAGE("file:///E:/Estudios%20y%20certificaciones/ESTUDIOS%20DE%20PROGRAMMING/PROGRAMMING/PERSONAL/PYTHON/Image_Generator_API/imagenes/NAUTICA_MENS_208001223_B31_1.jpg")</f>
        <v/>
      </c>
      <c r="M2395">
        <f>IMAGE("file:///E:/Estudios%20y%20certificaciones/ESTUDIOS%20DE%20PROGRAMMING/PROGRAMMING/PERSONAL/PYTHON/Image_Generator_API/imagenes/NAUTICA_MENS_208001223_B31_2.jpg")</f>
        <v/>
      </c>
      <c r="N2395">
        <f>IMAGE("file:///E:/Estudios%20y%20certificaciones/ESTUDIOS%20DE%20PROGRAMMING/PROGRAMMING/PERSONAL/PYTHON/Image_Generator_API/imagenes/NAUTICA_MENS_208001223_B31_3.jpg")</f>
        <v/>
      </c>
      <c r="O2395">
        <f>HYPERLINK("imagenes/NAUTICA_MENS_208001223_B31_1.jpg","Ver imagen")</f>
        <v/>
      </c>
      <c r="P2395">
        <f>HYPERLINK("imagenes/NAUTICA_MENS_208001223_B31_2.jpg","Ver imagen")</f>
        <v/>
      </c>
      <c r="Q2395">
        <f>HYPERLINK("imagenes/NAUTICA_MENS_208001223_B31_3.jpg","Ver imagen")</f>
        <v/>
      </c>
    </row>
    <row r="2396">
      <c r="A2396" t="inlineStr">
        <is>
          <t>NAUTICA MENS</t>
        </is>
      </c>
      <c r="B2396" t="inlineStr">
        <is>
          <t>208001223</t>
        </is>
      </c>
      <c r="C2396" t="inlineStr">
        <is>
          <t>LT WEIGHT QUILTED JACKET</t>
        </is>
      </c>
      <c r="D2396" t="inlineStr">
        <is>
          <t>BLK</t>
        </is>
      </c>
      <c r="E2396" t="inlineStr">
        <is>
          <t>12A08</t>
        </is>
      </c>
      <c r="F2396" t="inlineStr">
        <is>
          <t>R2140</t>
        </is>
      </c>
      <c r="G2396" t="inlineStr">
        <is>
          <t>PPK</t>
        </is>
      </c>
      <c r="H2396" t="n">
        <v>0</v>
      </c>
      <c r="I2396" t="inlineStr">
        <is>
          <t>NAUTICA_MENS_208001223_BLK_1.jpg</t>
        </is>
      </c>
      <c r="J2396" t="inlineStr">
        <is>
          <t>NAUTICA_MENS_208001223_BLK_2.jpg</t>
        </is>
      </c>
      <c r="K2396" t="inlineStr">
        <is>
          <t>NAUTICA_MENS_208001223_BLK_3.jpg</t>
        </is>
      </c>
      <c r="L2396">
        <f>IMAGE("file:///E:/Estudios%20y%20certificaciones/ESTUDIOS%20DE%20PROGRAMMING/PROGRAMMING/PERSONAL/PYTHON/Image_Generator_API/imagenes/NAUTICA_MENS_208001223_BLK_1.jpg")</f>
        <v/>
      </c>
      <c r="M2396">
        <f>IMAGE("file:///E:/Estudios%20y%20certificaciones/ESTUDIOS%20DE%20PROGRAMMING/PROGRAMMING/PERSONAL/PYTHON/Image_Generator_API/imagenes/NAUTICA_MENS_208001223_BLK_2.jpg")</f>
        <v/>
      </c>
      <c r="N2396">
        <f>IMAGE("file:///E:/Estudios%20y%20certificaciones/ESTUDIOS%20DE%20PROGRAMMING/PROGRAMMING/PERSONAL/PYTHON/Image_Generator_API/imagenes/NAUTICA_MENS_208001223_BLK_3.jpg")</f>
        <v/>
      </c>
      <c r="O2396">
        <f>HYPERLINK("imagenes/NAUTICA_MENS_208001223_BLK_1.jpg","Ver imagen")</f>
        <v/>
      </c>
      <c r="P2396">
        <f>HYPERLINK("imagenes/NAUTICA_MENS_208001223_BLK_2.jpg","Ver imagen")</f>
        <v/>
      </c>
      <c r="Q2396">
        <f>HYPERLINK("imagenes/NAUTICA_MENS_208001223_BLK_3.jpg","Ver imagen")</f>
        <v/>
      </c>
    </row>
    <row r="2397">
      <c r="A2397" t="inlineStr">
        <is>
          <t>NAUTICA MENS</t>
        </is>
      </c>
      <c r="B2397" t="inlineStr">
        <is>
          <t>208001223</t>
        </is>
      </c>
      <c r="C2397" t="inlineStr">
        <is>
          <t>LT WEIGHT QUILTED JACKET</t>
        </is>
      </c>
      <c r="D2397" t="inlineStr">
        <is>
          <t>DDN</t>
        </is>
      </c>
      <c r="E2397" t="inlineStr">
        <is>
          <t>12A08</t>
        </is>
      </c>
      <c r="F2397" t="inlineStr">
        <is>
          <t>(en blanco)</t>
        </is>
      </c>
      <c r="G2397" t="inlineStr">
        <is>
          <t>PPK</t>
        </is>
      </c>
      <c r="H2397" t="n">
        <v>0</v>
      </c>
      <c r="I2397" t="inlineStr">
        <is>
          <t>NAUTICA_MENS_208001223_DDN_1.jpg</t>
        </is>
      </c>
      <c r="J2397" t="inlineStr">
        <is>
          <t>NAUTICA_MENS_208001223_DDN_2.jpg</t>
        </is>
      </c>
      <c r="K2397" t="inlineStr">
        <is>
          <t>NAUTICA_MENS_208001223_DDN_3.jpg</t>
        </is>
      </c>
      <c r="L2397">
        <f>IMAGE("file:///E:/Estudios%20y%20certificaciones/ESTUDIOS%20DE%20PROGRAMMING/PROGRAMMING/PERSONAL/PYTHON/Image_Generator_API/imagenes/NAUTICA_MENS_208001223_DDN_1.jpg")</f>
        <v/>
      </c>
      <c r="M2397">
        <f>IMAGE("file:///E:/Estudios%20y%20certificaciones/ESTUDIOS%20DE%20PROGRAMMING/PROGRAMMING/PERSONAL/PYTHON/Image_Generator_API/imagenes/NAUTICA_MENS_208001223_DDN_2.jpg")</f>
        <v/>
      </c>
      <c r="N2397">
        <f>IMAGE("file:///E:/Estudios%20y%20certificaciones/ESTUDIOS%20DE%20PROGRAMMING/PROGRAMMING/PERSONAL/PYTHON/Image_Generator_API/imagenes/NAUTICA_MENS_208001223_DDN_3.jpg")</f>
        <v/>
      </c>
      <c r="O2397">
        <f>HYPERLINK("imagenes/NAUTICA_MENS_208001223_DDN_1.jpg","Ver imagen")</f>
        <v/>
      </c>
      <c r="P2397">
        <f>HYPERLINK("imagenes/NAUTICA_MENS_208001223_DDN_2.jpg","Ver imagen")</f>
        <v/>
      </c>
      <c r="Q2397">
        <f>HYPERLINK("imagenes/NAUTICA_MENS_208001223_DDN_3.jpg","Ver imagen")</f>
        <v/>
      </c>
    </row>
    <row r="2398">
      <c r="A2398" t="inlineStr">
        <is>
          <t>NAUTICA MENS</t>
        </is>
      </c>
      <c r="B2398" t="inlineStr">
        <is>
          <t>208001223</t>
        </is>
      </c>
      <c r="C2398" t="inlineStr">
        <is>
          <t>LT WEIGHT QUILTED JACKET</t>
        </is>
      </c>
      <c r="D2398" t="inlineStr">
        <is>
          <t>MTA</t>
        </is>
      </c>
      <c r="E2398" t="inlineStr">
        <is>
          <t>12A08</t>
        </is>
      </c>
      <c r="F2398" t="inlineStr">
        <is>
          <t>(en blanco)</t>
        </is>
      </c>
      <c r="G2398" t="inlineStr">
        <is>
          <t>PPK</t>
        </is>
      </c>
      <c r="H2398" t="n">
        <v>0</v>
      </c>
      <c r="I2398" t="inlineStr">
        <is>
          <t>NAUTICA_MENS_208001223_MTA_1.jpg</t>
        </is>
      </c>
      <c r="J2398" t="inlineStr">
        <is>
          <t>NAUTICA_MENS_208001223_MTA_2.jpg</t>
        </is>
      </c>
      <c r="K2398" t="inlineStr">
        <is>
          <t>NAUTICA_MENS_208001223_MTA_3.jpg</t>
        </is>
      </c>
      <c r="L2398">
        <f>IMAGE("file:///E:/Estudios%20y%20certificaciones/ESTUDIOS%20DE%20PROGRAMMING/PROGRAMMING/PERSONAL/PYTHON/Image_Generator_API/imagenes/NAUTICA_MENS_208001223_MTA_1.jpg")</f>
        <v/>
      </c>
      <c r="M2398">
        <f>IMAGE("file:///E:/Estudios%20y%20certificaciones/ESTUDIOS%20DE%20PROGRAMMING/PROGRAMMING/PERSONAL/PYTHON/Image_Generator_API/imagenes/NAUTICA_MENS_208001223_MTA_2.jpg")</f>
        <v/>
      </c>
      <c r="N2398">
        <f>IMAGE("file:///E:/Estudios%20y%20certificaciones/ESTUDIOS%20DE%20PROGRAMMING/PROGRAMMING/PERSONAL/PYTHON/Image_Generator_API/imagenes/NAUTICA_MENS_208001223_MTA_3.jpg")</f>
        <v/>
      </c>
      <c r="O2398">
        <f>HYPERLINK("imagenes/NAUTICA_MENS_208001223_MTA_1.jpg","Ver imagen")</f>
        <v/>
      </c>
      <c r="P2398">
        <f>HYPERLINK("imagenes/NAUTICA_MENS_208001223_MTA_2.jpg","Ver imagen")</f>
        <v/>
      </c>
      <c r="Q2398">
        <f>HYPERLINK("imagenes/NAUTICA_MENS_208001223_MTA_3.jpg","Ver imagen")</f>
        <v/>
      </c>
    </row>
    <row r="2399">
      <c r="A2399" t="inlineStr">
        <is>
          <t>NAUTICA MENS</t>
        </is>
      </c>
      <c r="B2399" t="inlineStr">
        <is>
          <t>208001223</t>
        </is>
      </c>
      <c r="C2399" t="inlineStr">
        <is>
          <t>LT WEIGHT QUILTED JACKET</t>
        </is>
      </c>
      <c r="D2399" t="inlineStr">
        <is>
          <t>MTA</t>
        </is>
      </c>
      <c r="E2399" t="inlineStr">
        <is>
          <t>(en blanco)</t>
        </is>
      </c>
      <c r="F2399" t="inlineStr">
        <is>
          <t>(en blanco)</t>
        </is>
      </c>
      <c r="G2399" t="inlineStr">
        <is>
          <t>S</t>
        </is>
      </c>
      <c r="H2399" t="n">
        <v>0</v>
      </c>
      <c r="I2399" t="inlineStr">
        <is>
          <t>NAUTICA_MENS_208001223_MTA_1.jpg</t>
        </is>
      </c>
      <c r="J2399" t="inlineStr">
        <is>
          <t>NAUTICA_MENS_208001223_MTA_2.jpg</t>
        </is>
      </c>
      <c r="K2399" t="inlineStr">
        <is>
          <t>NAUTICA_MENS_208001223_MTA_3.jpg</t>
        </is>
      </c>
      <c r="L2399">
        <f>IMAGE("file:///E:/Estudios%20y%20certificaciones/ESTUDIOS%20DE%20PROGRAMMING/PROGRAMMING/PERSONAL/PYTHON/Image_Generator_API/imagenes/NAUTICA_MENS_208001223_MTA_1.jpg")</f>
        <v/>
      </c>
      <c r="M2399">
        <f>IMAGE("file:///E:/Estudios%20y%20certificaciones/ESTUDIOS%20DE%20PROGRAMMING/PROGRAMMING/PERSONAL/PYTHON/Image_Generator_API/imagenes/NAUTICA_MENS_208001223_MTA_2.jpg")</f>
        <v/>
      </c>
      <c r="N2399">
        <f>IMAGE("file:///E:/Estudios%20y%20certificaciones/ESTUDIOS%20DE%20PROGRAMMING/PROGRAMMING/PERSONAL/PYTHON/Image_Generator_API/imagenes/NAUTICA_MENS_208001223_MTA_3.jpg")</f>
        <v/>
      </c>
      <c r="O2399">
        <f>HYPERLINK("imagenes/NAUTICA_MENS_208001223_MTA_1.jpg","Ver imagen")</f>
        <v/>
      </c>
      <c r="P2399">
        <f>HYPERLINK("imagenes/NAUTICA_MENS_208001223_MTA_2.jpg","Ver imagen")</f>
        <v/>
      </c>
      <c r="Q2399">
        <f>HYPERLINK("imagenes/NAUTICA_MENS_208001223_MTA_3.jpg","Ver imagen")</f>
        <v/>
      </c>
    </row>
    <row r="2400">
      <c r="A2400" t="inlineStr">
        <is>
          <t>NAUTICA MENS</t>
        </is>
      </c>
      <c r="B2400" t="inlineStr">
        <is>
          <t>208001223</t>
        </is>
      </c>
      <c r="C2400" t="inlineStr">
        <is>
          <t>LT WEIGHT QUILTED JACKET</t>
        </is>
      </c>
      <c r="D2400" t="inlineStr">
        <is>
          <t>MTA</t>
        </is>
      </c>
      <c r="E2400" t="inlineStr">
        <is>
          <t>(en blanco)</t>
        </is>
      </c>
      <c r="F2400" t="inlineStr">
        <is>
          <t>(en blanco)</t>
        </is>
      </c>
      <c r="G2400" t="inlineStr">
        <is>
          <t>M</t>
        </is>
      </c>
      <c r="H2400" t="n">
        <v>0</v>
      </c>
      <c r="I2400" t="inlineStr">
        <is>
          <t>NAUTICA_MENS_208001223_MTA_1.jpg</t>
        </is>
      </c>
      <c r="J2400" t="inlineStr">
        <is>
          <t>NAUTICA_MENS_208001223_MTA_2.jpg</t>
        </is>
      </c>
      <c r="K2400" t="inlineStr">
        <is>
          <t>NAUTICA_MENS_208001223_MTA_3.jpg</t>
        </is>
      </c>
      <c r="L2400">
        <f>IMAGE("file:///E:/Estudios%20y%20certificaciones/ESTUDIOS%20DE%20PROGRAMMING/PROGRAMMING/PERSONAL/PYTHON/Image_Generator_API/imagenes/NAUTICA_MENS_208001223_MTA_1.jpg")</f>
        <v/>
      </c>
      <c r="M2400">
        <f>IMAGE("file:///E:/Estudios%20y%20certificaciones/ESTUDIOS%20DE%20PROGRAMMING/PROGRAMMING/PERSONAL/PYTHON/Image_Generator_API/imagenes/NAUTICA_MENS_208001223_MTA_2.jpg")</f>
        <v/>
      </c>
      <c r="N2400">
        <f>IMAGE("file:///E:/Estudios%20y%20certificaciones/ESTUDIOS%20DE%20PROGRAMMING/PROGRAMMING/PERSONAL/PYTHON/Image_Generator_API/imagenes/NAUTICA_MENS_208001223_MTA_3.jpg")</f>
        <v/>
      </c>
      <c r="O2400">
        <f>HYPERLINK("imagenes/NAUTICA_MENS_208001223_MTA_1.jpg","Ver imagen")</f>
        <v/>
      </c>
      <c r="P2400">
        <f>HYPERLINK("imagenes/NAUTICA_MENS_208001223_MTA_2.jpg","Ver imagen")</f>
        <v/>
      </c>
      <c r="Q2400">
        <f>HYPERLINK("imagenes/NAUTICA_MENS_208001223_MTA_3.jpg","Ver imagen")</f>
        <v/>
      </c>
    </row>
    <row r="2401">
      <c r="A2401" t="inlineStr">
        <is>
          <t>NAUTICA MENS</t>
        </is>
      </c>
      <c r="B2401" t="inlineStr">
        <is>
          <t>208001223</t>
        </is>
      </c>
      <c r="C2401" t="inlineStr">
        <is>
          <t>LT WEIGHT QUILTED JACKET</t>
        </is>
      </c>
      <c r="D2401" t="inlineStr">
        <is>
          <t>MTA</t>
        </is>
      </c>
      <c r="E2401" t="inlineStr">
        <is>
          <t>(en blanco)</t>
        </is>
      </c>
      <c r="F2401" t="inlineStr">
        <is>
          <t>(en blanco)</t>
        </is>
      </c>
      <c r="G2401" t="inlineStr">
        <is>
          <t>L</t>
        </is>
      </c>
      <c r="H2401" t="n">
        <v>0</v>
      </c>
      <c r="I2401" t="inlineStr">
        <is>
          <t>NAUTICA_MENS_208001223_MTA_1.jpg</t>
        </is>
      </c>
      <c r="J2401" t="inlineStr">
        <is>
          <t>NAUTICA_MENS_208001223_MTA_2.jpg</t>
        </is>
      </c>
      <c r="K2401" t="inlineStr">
        <is>
          <t>NAUTICA_MENS_208001223_MTA_3.jpg</t>
        </is>
      </c>
      <c r="L2401">
        <f>IMAGE("file:///E:/Estudios%20y%20certificaciones/ESTUDIOS%20DE%20PROGRAMMING/PROGRAMMING/PERSONAL/PYTHON/Image_Generator_API/imagenes/NAUTICA_MENS_208001223_MTA_1.jpg")</f>
        <v/>
      </c>
      <c r="M2401">
        <f>IMAGE("file:///E:/Estudios%20y%20certificaciones/ESTUDIOS%20DE%20PROGRAMMING/PROGRAMMING/PERSONAL/PYTHON/Image_Generator_API/imagenes/NAUTICA_MENS_208001223_MTA_2.jpg")</f>
        <v/>
      </c>
      <c r="N2401">
        <f>IMAGE("file:///E:/Estudios%20y%20certificaciones/ESTUDIOS%20DE%20PROGRAMMING/PROGRAMMING/PERSONAL/PYTHON/Image_Generator_API/imagenes/NAUTICA_MENS_208001223_MTA_3.jpg")</f>
        <v/>
      </c>
      <c r="O2401">
        <f>HYPERLINK("imagenes/NAUTICA_MENS_208001223_MTA_1.jpg","Ver imagen")</f>
        <v/>
      </c>
      <c r="P2401">
        <f>HYPERLINK("imagenes/NAUTICA_MENS_208001223_MTA_2.jpg","Ver imagen")</f>
        <v/>
      </c>
      <c r="Q2401">
        <f>HYPERLINK("imagenes/NAUTICA_MENS_208001223_MTA_3.jpg","Ver imagen")</f>
        <v/>
      </c>
    </row>
    <row r="2402">
      <c r="A2402" t="inlineStr">
        <is>
          <t>NAUTICA MENS</t>
        </is>
      </c>
      <c r="B2402" t="inlineStr">
        <is>
          <t>208001223</t>
        </is>
      </c>
      <c r="C2402" t="inlineStr">
        <is>
          <t>LT WEIGHT QUILTED JACKET</t>
        </is>
      </c>
      <c r="D2402" t="inlineStr">
        <is>
          <t>MTA</t>
        </is>
      </c>
      <c r="E2402" t="inlineStr">
        <is>
          <t>(en blanco)</t>
        </is>
      </c>
      <c r="F2402" t="inlineStr">
        <is>
          <t>(en blanco)</t>
        </is>
      </c>
      <c r="G2402" t="inlineStr">
        <is>
          <t>XL</t>
        </is>
      </c>
      <c r="H2402" t="n">
        <v>0</v>
      </c>
      <c r="I2402" t="inlineStr">
        <is>
          <t>NAUTICA_MENS_208001223_MTA_1.jpg</t>
        </is>
      </c>
      <c r="J2402" t="inlineStr">
        <is>
          <t>NAUTICA_MENS_208001223_MTA_2.jpg</t>
        </is>
      </c>
      <c r="K2402" t="inlineStr">
        <is>
          <t>NAUTICA_MENS_208001223_MTA_3.jpg</t>
        </is>
      </c>
      <c r="L2402">
        <f>IMAGE("file:///E:/Estudios%20y%20certificaciones/ESTUDIOS%20DE%20PROGRAMMING/PROGRAMMING/PERSONAL/PYTHON/Image_Generator_API/imagenes/NAUTICA_MENS_208001223_MTA_1.jpg")</f>
        <v/>
      </c>
      <c r="M2402">
        <f>IMAGE("file:///E:/Estudios%20y%20certificaciones/ESTUDIOS%20DE%20PROGRAMMING/PROGRAMMING/PERSONAL/PYTHON/Image_Generator_API/imagenes/NAUTICA_MENS_208001223_MTA_2.jpg")</f>
        <v/>
      </c>
      <c r="N2402">
        <f>IMAGE("file:///E:/Estudios%20y%20certificaciones/ESTUDIOS%20DE%20PROGRAMMING/PROGRAMMING/PERSONAL/PYTHON/Image_Generator_API/imagenes/NAUTICA_MENS_208001223_MTA_3.jpg")</f>
        <v/>
      </c>
      <c r="O2402">
        <f>HYPERLINK("imagenes/NAUTICA_MENS_208001223_MTA_1.jpg","Ver imagen")</f>
        <v/>
      </c>
      <c r="P2402">
        <f>HYPERLINK("imagenes/NAUTICA_MENS_208001223_MTA_2.jpg","Ver imagen")</f>
        <v/>
      </c>
      <c r="Q2402">
        <f>HYPERLINK("imagenes/NAUTICA_MENS_208001223_MTA_3.jpg","Ver imagen")</f>
        <v/>
      </c>
    </row>
    <row r="2403">
      <c r="A2403" t="inlineStr">
        <is>
          <t>NAUTICA MENS</t>
        </is>
      </c>
      <c r="B2403" t="inlineStr">
        <is>
          <t>208001223</t>
        </is>
      </c>
      <c r="C2403" t="inlineStr">
        <is>
          <t>LT WEIGHT QUILTED JACKET</t>
        </is>
      </c>
      <c r="D2403" t="inlineStr">
        <is>
          <t>NVY</t>
        </is>
      </c>
      <c r="E2403" t="inlineStr">
        <is>
          <t>12A08</t>
        </is>
      </c>
      <c r="F2403" t="inlineStr">
        <is>
          <t>R2140</t>
        </is>
      </c>
      <c r="G2403" t="inlineStr">
        <is>
          <t>PPK</t>
        </is>
      </c>
      <c r="H2403" t="n">
        <v>0</v>
      </c>
      <c r="I2403" t="inlineStr">
        <is>
          <t>NAUTICA_MENS_208001223_NVY_1.jpg</t>
        </is>
      </c>
      <c r="J2403" t="inlineStr">
        <is>
          <t>NAUTICA_MENS_208001223_NVY_2.jpg</t>
        </is>
      </c>
      <c r="K2403" t="inlineStr">
        <is>
          <t>NAUTICA_MENS_208001223_NVY_3.jpg</t>
        </is>
      </c>
      <c r="L2403">
        <f>IMAGE("file:///E:/Estudios%20y%20certificaciones/ESTUDIOS%20DE%20PROGRAMMING/PROGRAMMING/PERSONAL/PYTHON/Image_Generator_API/imagenes/NAUTICA_MENS_208001223_NVY_1.jpg")</f>
        <v/>
      </c>
      <c r="M2403">
        <f>IMAGE("file:///E:/Estudios%20y%20certificaciones/ESTUDIOS%20DE%20PROGRAMMING/PROGRAMMING/PERSONAL/PYTHON/Image_Generator_API/imagenes/NAUTICA_MENS_208001223_NVY_2.jpg")</f>
        <v/>
      </c>
      <c r="N2403">
        <f>IMAGE("file:///E:/Estudios%20y%20certificaciones/ESTUDIOS%20DE%20PROGRAMMING/PROGRAMMING/PERSONAL/PYTHON/Image_Generator_API/imagenes/NAUTICA_MENS_208001223_NVY_3.jpg")</f>
        <v/>
      </c>
      <c r="O2403">
        <f>HYPERLINK("imagenes/NAUTICA_MENS_208001223_NVY_1.jpg","Ver imagen")</f>
        <v/>
      </c>
      <c r="P2403">
        <f>HYPERLINK("imagenes/NAUTICA_MENS_208001223_NVY_2.jpg","Ver imagen")</f>
        <v/>
      </c>
      <c r="Q2403">
        <f>HYPERLINK("imagenes/NAUTICA_MENS_208001223_NVY_3.jpg","Ver imagen")</f>
        <v/>
      </c>
    </row>
    <row r="2404">
      <c r="A2404" t="inlineStr">
        <is>
          <t>NAUTICA MENS</t>
        </is>
      </c>
      <c r="B2404" t="inlineStr">
        <is>
          <t>208001353</t>
        </is>
      </c>
      <c r="C2404" t="inlineStr">
        <is>
          <t>REVERSIBLE JACKET</t>
        </is>
      </c>
      <c r="D2404" t="inlineStr">
        <is>
          <t>BBY</t>
        </is>
      </c>
      <c r="E2404" t="inlineStr">
        <is>
          <t>10A09</t>
        </is>
      </c>
      <c r="F2404" t="inlineStr">
        <is>
          <t>K1005</t>
        </is>
      </c>
      <c r="G2404" t="inlineStr">
        <is>
          <t>PPK</t>
        </is>
      </c>
      <c r="H2404" t="n">
        <v>480</v>
      </c>
      <c r="I2404" t="inlineStr">
        <is>
          <t>NAUTICA_MENS_208001353_BBY_1.jpg</t>
        </is>
      </c>
      <c r="J2404" t="inlineStr">
        <is>
          <t>NAUTICA_MENS_208001353_BBY_2.jpg</t>
        </is>
      </c>
      <c r="K2404" t="inlineStr">
        <is>
          <t>NAUTICA_MENS_208001353_BBY_3.jpg</t>
        </is>
      </c>
      <c r="L2404">
        <f>IMAGE("file:///E:/Estudios%20y%20certificaciones/ESTUDIOS%20DE%20PROGRAMMING/PROGRAMMING/PERSONAL/PYTHON/Image_Generator_API/imagenes/NAUTICA_MENS_208001353_BBY_1.jpg")</f>
        <v/>
      </c>
      <c r="M2404">
        <f>IMAGE("file:///E:/Estudios%20y%20certificaciones/ESTUDIOS%20DE%20PROGRAMMING/PROGRAMMING/PERSONAL/PYTHON/Image_Generator_API/imagenes/NAUTICA_MENS_208001353_BBY_2.jpg")</f>
        <v/>
      </c>
      <c r="N2404">
        <f>IMAGE("file:///E:/Estudios%20y%20certificaciones/ESTUDIOS%20DE%20PROGRAMMING/PROGRAMMING/PERSONAL/PYTHON/Image_Generator_API/imagenes/NAUTICA_MENS_208001353_BBY_3.jpg")</f>
        <v/>
      </c>
      <c r="O2404">
        <f>HYPERLINK("imagenes/NAUTICA_MENS_208001353_BBY_1.jpg","Ver imagen")</f>
        <v/>
      </c>
      <c r="P2404">
        <f>HYPERLINK("imagenes/NAUTICA_MENS_208001353_BBY_2.jpg","Ver imagen")</f>
        <v/>
      </c>
      <c r="Q2404">
        <f>HYPERLINK("imagenes/NAUTICA_MENS_208001353_BBY_3.jpg","Ver imagen")</f>
        <v/>
      </c>
    </row>
    <row r="2405">
      <c r="A2405" t="inlineStr">
        <is>
          <t>NAUTICA MENS</t>
        </is>
      </c>
      <c r="B2405" t="inlineStr">
        <is>
          <t>208001353</t>
        </is>
      </c>
      <c r="C2405" t="inlineStr">
        <is>
          <t>REVERSIBLE JACKET</t>
        </is>
      </c>
      <c r="D2405" t="inlineStr">
        <is>
          <t>CO8</t>
        </is>
      </c>
      <c r="E2405" t="inlineStr">
        <is>
          <t>10A09</t>
        </is>
      </c>
      <c r="F2405" t="inlineStr">
        <is>
          <t>K1005</t>
        </is>
      </c>
      <c r="G2405" t="inlineStr">
        <is>
          <t>PPK</t>
        </is>
      </c>
      <c r="H2405" t="n">
        <v>130</v>
      </c>
      <c r="I2405" t="inlineStr">
        <is>
          <t>NAUTICA_MENS_208001353_CO8_1.jpg</t>
        </is>
      </c>
      <c r="J2405" t="inlineStr">
        <is>
          <t>NAUTICA_MENS_208001353_CO8_2.jpg</t>
        </is>
      </c>
      <c r="K2405" t="inlineStr">
        <is>
          <t>NAUTICA_MENS_208001353_CO8_3.jpg</t>
        </is>
      </c>
      <c r="L2405">
        <f>IMAGE("file:///E:/Estudios%20y%20certificaciones/ESTUDIOS%20DE%20PROGRAMMING/PROGRAMMING/PERSONAL/PYTHON/Image_Generator_API/imagenes/NAUTICA_MENS_208001353_CO8_1.jpg")</f>
        <v/>
      </c>
      <c r="M2405">
        <f>IMAGE("file:///E:/Estudios%20y%20certificaciones/ESTUDIOS%20DE%20PROGRAMMING/PROGRAMMING/PERSONAL/PYTHON/Image_Generator_API/imagenes/NAUTICA_MENS_208001353_CO8_2.jpg")</f>
        <v/>
      </c>
      <c r="N2405">
        <f>IMAGE("file:///E:/Estudios%20y%20certificaciones/ESTUDIOS%20DE%20PROGRAMMING/PROGRAMMING/PERSONAL/PYTHON/Image_Generator_API/imagenes/NAUTICA_MENS_208001353_CO8_3.jpg")</f>
        <v/>
      </c>
      <c r="O2405">
        <f>HYPERLINK("imagenes/NAUTICA_MENS_208001353_CO8_1.jpg","Ver imagen")</f>
        <v/>
      </c>
      <c r="P2405">
        <f>HYPERLINK("imagenes/NAUTICA_MENS_208001353_CO8_2.jpg","Ver imagen")</f>
        <v/>
      </c>
      <c r="Q2405">
        <f>HYPERLINK("imagenes/NAUTICA_MENS_208001353_CO8_3.jpg","Ver imagen")</f>
        <v/>
      </c>
    </row>
    <row r="2406">
      <c r="A2406" t="inlineStr">
        <is>
          <t>NAUTICA MENS</t>
        </is>
      </c>
      <c r="B2406" t="inlineStr">
        <is>
          <t>208001353</t>
        </is>
      </c>
      <c r="C2406" t="inlineStr">
        <is>
          <t>REVERSIBLE JACKET</t>
        </is>
      </c>
      <c r="D2406" t="inlineStr">
        <is>
          <t>CO8</t>
        </is>
      </c>
      <c r="E2406" t="inlineStr">
        <is>
          <t>10A09</t>
        </is>
      </c>
      <c r="F2406" t="inlineStr">
        <is>
          <t>(en blanco)</t>
        </is>
      </c>
      <c r="G2406" t="inlineStr">
        <is>
          <t>PPK</t>
        </is>
      </c>
      <c r="H2406" t="n">
        <v>10</v>
      </c>
      <c r="I2406" t="inlineStr">
        <is>
          <t>NAUTICA_MENS_208001353_CO8_1.jpg</t>
        </is>
      </c>
      <c r="J2406" t="inlineStr">
        <is>
          <t>NAUTICA_MENS_208001353_CO8_2.jpg</t>
        </is>
      </c>
      <c r="K2406" t="inlineStr">
        <is>
          <t>NAUTICA_MENS_208001353_CO8_3.jpg</t>
        </is>
      </c>
      <c r="L2406">
        <f>IMAGE("file:///E:/Estudios%20y%20certificaciones/ESTUDIOS%20DE%20PROGRAMMING/PROGRAMMING/PERSONAL/PYTHON/Image_Generator_API/imagenes/NAUTICA_MENS_208001353_CO8_1.jpg")</f>
        <v/>
      </c>
      <c r="M2406">
        <f>IMAGE("file:///E:/Estudios%20y%20certificaciones/ESTUDIOS%20DE%20PROGRAMMING/PROGRAMMING/PERSONAL/PYTHON/Image_Generator_API/imagenes/NAUTICA_MENS_208001353_CO8_2.jpg")</f>
        <v/>
      </c>
      <c r="N2406">
        <f>IMAGE("file:///E:/Estudios%20y%20certificaciones/ESTUDIOS%20DE%20PROGRAMMING/PROGRAMMING/PERSONAL/PYTHON/Image_Generator_API/imagenes/NAUTICA_MENS_208001353_CO8_3.jpg")</f>
        <v/>
      </c>
      <c r="O2406">
        <f>HYPERLINK("imagenes/NAUTICA_MENS_208001353_CO8_1.jpg","Ver imagen")</f>
        <v/>
      </c>
      <c r="P2406">
        <f>HYPERLINK("imagenes/NAUTICA_MENS_208001353_CO8_2.jpg","Ver imagen")</f>
        <v/>
      </c>
      <c r="Q2406">
        <f>HYPERLINK("imagenes/NAUTICA_MENS_208001353_CO8_3.jpg","Ver imagen")</f>
        <v/>
      </c>
    </row>
    <row r="2407">
      <c r="A2407" t="inlineStr">
        <is>
          <t>NAUTICA MENS</t>
        </is>
      </c>
      <c r="B2407" t="inlineStr">
        <is>
          <t>208001353</t>
        </is>
      </c>
      <c r="C2407" t="inlineStr">
        <is>
          <t>REVERSIBLE JACKET</t>
        </is>
      </c>
      <c r="D2407" t="inlineStr">
        <is>
          <t>GBU</t>
        </is>
      </c>
      <c r="E2407" t="inlineStr">
        <is>
          <t>10A09</t>
        </is>
      </c>
      <c r="F2407" t="inlineStr">
        <is>
          <t>K1005</t>
        </is>
      </c>
      <c r="G2407" t="inlineStr">
        <is>
          <t>PPK</t>
        </is>
      </c>
      <c r="H2407" t="n">
        <v>120</v>
      </c>
      <c r="I2407" t="inlineStr">
        <is>
          <t>NAUTICA_MENS_208001353_GBU_1.jpg</t>
        </is>
      </c>
      <c r="J2407" t="inlineStr">
        <is>
          <t>NAUTICA_MENS_208001353_GBU_2.jpg</t>
        </is>
      </c>
      <c r="K2407" t="inlineStr">
        <is>
          <t>NAUTICA_MENS_208001353_GBU_3.jpg</t>
        </is>
      </c>
      <c r="L2407">
        <f>IMAGE("file:///E:/Estudios%20y%20certificaciones/ESTUDIOS%20DE%20PROGRAMMING/PROGRAMMING/PERSONAL/PYTHON/Image_Generator_API/imagenes/NAUTICA_MENS_208001353_GBU_1.jpg")</f>
        <v/>
      </c>
      <c r="M2407">
        <f>IMAGE("file:///E:/Estudios%20y%20certificaciones/ESTUDIOS%20DE%20PROGRAMMING/PROGRAMMING/PERSONAL/PYTHON/Image_Generator_API/imagenes/NAUTICA_MENS_208001353_GBU_2.jpg")</f>
        <v/>
      </c>
      <c r="N2407">
        <f>IMAGE("file:///E:/Estudios%20y%20certificaciones/ESTUDIOS%20DE%20PROGRAMMING/PROGRAMMING/PERSONAL/PYTHON/Image_Generator_API/imagenes/NAUTICA_MENS_208001353_GBU_3.jpg")</f>
        <v/>
      </c>
      <c r="O2407">
        <f>HYPERLINK("imagenes/NAUTICA_MENS_208001353_GBU_1.jpg","Ver imagen")</f>
        <v/>
      </c>
      <c r="P2407">
        <f>HYPERLINK("imagenes/NAUTICA_MENS_208001353_GBU_2.jpg","Ver imagen")</f>
        <v/>
      </c>
      <c r="Q2407">
        <f>HYPERLINK("imagenes/NAUTICA_MENS_208001353_GBU_3.jpg","Ver imagen")</f>
        <v/>
      </c>
    </row>
    <row r="2408">
      <c r="A2408" t="inlineStr">
        <is>
          <t>NAUTICA MENS</t>
        </is>
      </c>
      <c r="B2408" t="inlineStr">
        <is>
          <t>208001353</t>
        </is>
      </c>
      <c r="C2408" t="inlineStr">
        <is>
          <t>REVERSIBLE JACKET</t>
        </is>
      </c>
      <c r="D2408" t="inlineStr">
        <is>
          <t>NTA</t>
        </is>
      </c>
      <c r="E2408" t="inlineStr">
        <is>
          <t>10A09</t>
        </is>
      </c>
      <c r="F2408" t="inlineStr">
        <is>
          <t>K1005</t>
        </is>
      </c>
      <c r="G2408" t="inlineStr">
        <is>
          <t>PPK</t>
        </is>
      </c>
      <c r="H2408" t="n">
        <v>160</v>
      </c>
      <c r="I2408" t="inlineStr">
        <is>
          <t>NAUTICA_MENS_208001353_NTA_1.jpg</t>
        </is>
      </c>
      <c r="J2408" t="inlineStr">
        <is>
          <t>NAUTICA_MENS_208001353_NTA_2.jpg</t>
        </is>
      </c>
      <c r="K2408" t="inlineStr">
        <is>
          <t>NAUTICA_MENS_208001353_NTA_3.jpg</t>
        </is>
      </c>
      <c r="L2408">
        <f>IMAGE("file:///E:/Estudios%20y%20certificaciones/ESTUDIOS%20DE%20PROGRAMMING/PROGRAMMING/PERSONAL/PYTHON/Image_Generator_API/imagenes/NAUTICA_MENS_208001353_NTA_1.jpg")</f>
        <v/>
      </c>
      <c r="M2408">
        <f>IMAGE("file:///E:/Estudios%20y%20certificaciones/ESTUDIOS%20DE%20PROGRAMMING/PROGRAMMING/PERSONAL/PYTHON/Image_Generator_API/imagenes/NAUTICA_MENS_208001353_NTA_2.jpg")</f>
        <v/>
      </c>
      <c r="N2408">
        <f>IMAGE("file:///E:/Estudios%20y%20certificaciones/ESTUDIOS%20DE%20PROGRAMMING/PROGRAMMING/PERSONAL/PYTHON/Image_Generator_API/imagenes/NAUTICA_MENS_208001353_NTA_3.jpg")</f>
        <v/>
      </c>
      <c r="O2408">
        <f>HYPERLINK("imagenes/NAUTICA_MENS_208001353_NTA_1.jpg","Ver imagen")</f>
        <v/>
      </c>
      <c r="P2408">
        <f>HYPERLINK("imagenes/NAUTICA_MENS_208001353_NTA_2.jpg","Ver imagen")</f>
        <v/>
      </c>
      <c r="Q2408">
        <f>HYPERLINK("imagenes/NAUTICA_MENS_208001353_NTA_3.jpg","Ver imagen")</f>
        <v/>
      </c>
    </row>
    <row r="2409">
      <c r="A2409" t="inlineStr">
        <is>
          <t>NAUTICA MENS</t>
        </is>
      </c>
      <c r="B2409" t="inlineStr">
        <is>
          <t>208001354</t>
        </is>
      </c>
      <c r="C2409" t="inlineStr">
        <is>
          <t>REVERSIBLE JACKET</t>
        </is>
      </c>
      <c r="D2409" t="inlineStr">
        <is>
          <t>BBY</t>
        </is>
      </c>
      <c r="E2409" t="inlineStr">
        <is>
          <t>06A02</t>
        </is>
      </c>
      <c r="F2409" t="inlineStr">
        <is>
          <t>K1005</t>
        </is>
      </c>
      <c r="G2409" t="inlineStr">
        <is>
          <t>PPK</t>
        </is>
      </c>
      <c r="H2409" t="n">
        <v>180</v>
      </c>
      <c r="I2409" t="inlineStr">
        <is>
          <t>NAUTICA_MENS_208001354_BBY_1.jpg</t>
        </is>
      </c>
      <c r="J2409" t="inlineStr">
        <is>
          <t>NAUTICA_MENS_208001354_BBY_2.jpg</t>
        </is>
      </c>
      <c r="K2409" t="inlineStr">
        <is>
          <t>NAUTICA_MENS_208001354_BBY_3.jpg</t>
        </is>
      </c>
      <c r="L2409">
        <f>IMAGE("file:///E:/Estudios%20y%20certificaciones/ESTUDIOS%20DE%20PROGRAMMING/PROGRAMMING/PERSONAL/PYTHON/Image_Generator_API/imagenes/NAUTICA_MENS_208001354_BBY_1.jpg")</f>
        <v/>
      </c>
      <c r="M2409">
        <f>IMAGE("file:///E:/Estudios%20y%20certificaciones/ESTUDIOS%20DE%20PROGRAMMING/PROGRAMMING/PERSONAL/PYTHON/Image_Generator_API/imagenes/NAUTICA_MENS_208001354_BBY_2.jpg")</f>
        <v/>
      </c>
      <c r="N2409">
        <f>IMAGE("file:///E:/Estudios%20y%20certificaciones/ESTUDIOS%20DE%20PROGRAMMING/PROGRAMMING/PERSONAL/PYTHON/Image_Generator_API/imagenes/NAUTICA_MENS_208001354_BBY_3.jpg")</f>
        <v/>
      </c>
      <c r="O2409">
        <f>HYPERLINK("imagenes/NAUTICA_MENS_208001354_BBY_1.jpg","Ver imagen")</f>
        <v/>
      </c>
      <c r="P2409">
        <f>HYPERLINK("imagenes/NAUTICA_MENS_208001354_BBY_2.jpg","Ver imagen")</f>
        <v/>
      </c>
      <c r="Q2409">
        <f>HYPERLINK("imagenes/NAUTICA_MENS_208001354_BBY_3.jpg","Ver imagen")</f>
        <v/>
      </c>
    </row>
    <row r="2410">
      <c r="A2410" t="inlineStr">
        <is>
          <t>NAUTICA MENS</t>
        </is>
      </c>
      <c r="B2410" t="inlineStr">
        <is>
          <t>208001354</t>
        </is>
      </c>
      <c r="C2410" t="inlineStr">
        <is>
          <t>REVERSIBLE JACKET</t>
        </is>
      </c>
      <c r="D2410" t="inlineStr">
        <is>
          <t>CO8</t>
        </is>
      </c>
      <c r="E2410" t="inlineStr">
        <is>
          <t>06A02</t>
        </is>
      </c>
      <c r="F2410" t="inlineStr">
        <is>
          <t>K1005</t>
        </is>
      </c>
      <c r="G2410" t="inlineStr">
        <is>
          <t>PPK</t>
        </is>
      </c>
      <c r="H2410" t="n">
        <v>18</v>
      </c>
      <c r="I2410" t="inlineStr">
        <is>
          <t>NAUTICA_MENS_208001354_CO8_1.jpg</t>
        </is>
      </c>
      <c r="J2410" t="inlineStr">
        <is>
          <t>NAUTICA_MENS_208001354_CO8_2.jpg</t>
        </is>
      </c>
      <c r="K2410" t="inlineStr">
        <is>
          <t>NAUTICA_MENS_208001354_CO8_3.jpg</t>
        </is>
      </c>
      <c r="L2410">
        <f>IMAGE("file:///E:/Estudios%20y%20certificaciones/ESTUDIOS%20DE%20PROGRAMMING/PROGRAMMING/PERSONAL/PYTHON/Image_Generator_API/imagenes/NAUTICA_MENS_208001354_CO8_1.jpg")</f>
        <v/>
      </c>
      <c r="M2410">
        <f>IMAGE("file:///E:/Estudios%20y%20certificaciones/ESTUDIOS%20DE%20PROGRAMMING/PROGRAMMING/PERSONAL/PYTHON/Image_Generator_API/imagenes/NAUTICA_MENS_208001354_CO8_2.jpg")</f>
        <v/>
      </c>
      <c r="N2410">
        <f>IMAGE("file:///E:/Estudios%20y%20certificaciones/ESTUDIOS%20DE%20PROGRAMMING/PROGRAMMING/PERSONAL/PYTHON/Image_Generator_API/imagenes/NAUTICA_MENS_208001354_CO8_3.jpg")</f>
        <v/>
      </c>
      <c r="O2410">
        <f>HYPERLINK("imagenes/NAUTICA_MENS_208001354_CO8_1.jpg","Ver imagen")</f>
        <v/>
      </c>
      <c r="P2410">
        <f>HYPERLINK("imagenes/NAUTICA_MENS_208001354_CO8_2.jpg","Ver imagen")</f>
        <v/>
      </c>
      <c r="Q2410">
        <f>HYPERLINK("imagenes/NAUTICA_MENS_208001354_CO8_3.jpg","Ver imagen")</f>
        <v/>
      </c>
    </row>
    <row r="2411">
      <c r="A2411" t="inlineStr">
        <is>
          <t>NAUTICA MENS</t>
        </is>
      </c>
      <c r="B2411" t="inlineStr">
        <is>
          <t>208001354</t>
        </is>
      </c>
      <c r="C2411" t="inlineStr">
        <is>
          <t>REVERSIBLE JACKET</t>
        </is>
      </c>
      <c r="D2411" t="inlineStr">
        <is>
          <t>GBU</t>
        </is>
      </c>
      <c r="E2411" t="inlineStr">
        <is>
          <t>06A02</t>
        </is>
      </c>
      <c r="F2411" t="inlineStr">
        <is>
          <t>K1005</t>
        </is>
      </c>
      <c r="G2411" t="inlineStr">
        <is>
          <t>PPK</t>
        </is>
      </c>
      <c r="H2411" t="n">
        <v>30</v>
      </c>
      <c r="I2411" t="inlineStr">
        <is>
          <t>NAUTICA_MENS_208001354_GBU_1.jpg</t>
        </is>
      </c>
      <c r="J2411" t="inlineStr">
        <is>
          <t>NAUTICA_MENS_208001354_GBU_2.jpg</t>
        </is>
      </c>
      <c r="K2411" t="inlineStr">
        <is>
          <t>NAUTICA_MENS_208001354_GBU_3.jpg</t>
        </is>
      </c>
      <c r="L2411">
        <f>IMAGE("file:///E:/Estudios%20y%20certificaciones/ESTUDIOS%20DE%20PROGRAMMING/PROGRAMMING/PERSONAL/PYTHON/Image_Generator_API/imagenes/NAUTICA_MENS_208001354_GBU_1.jpg")</f>
        <v/>
      </c>
      <c r="M2411">
        <f>IMAGE("file:///E:/Estudios%20y%20certificaciones/ESTUDIOS%20DE%20PROGRAMMING/PROGRAMMING/PERSONAL/PYTHON/Image_Generator_API/imagenes/NAUTICA_MENS_208001354_GBU_2.jpg")</f>
        <v/>
      </c>
      <c r="N2411">
        <f>IMAGE("file:///E:/Estudios%20y%20certificaciones/ESTUDIOS%20DE%20PROGRAMMING/PROGRAMMING/PERSONAL/PYTHON/Image_Generator_API/imagenes/NAUTICA_MENS_208001354_GBU_3.jpg")</f>
        <v/>
      </c>
      <c r="O2411">
        <f>HYPERLINK("imagenes/NAUTICA_MENS_208001354_GBU_1.jpg","Ver imagen")</f>
        <v/>
      </c>
      <c r="P2411">
        <f>HYPERLINK("imagenes/NAUTICA_MENS_208001354_GBU_2.jpg","Ver imagen")</f>
        <v/>
      </c>
      <c r="Q2411">
        <f>HYPERLINK("imagenes/NAUTICA_MENS_208001354_GBU_3.jpg","Ver imagen")</f>
        <v/>
      </c>
    </row>
    <row r="2412">
      <c r="A2412" t="inlineStr">
        <is>
          <t>NAUTICA MENS</t>
        </is>
      </c>
      <c r="B2412" t="inlineStr">
        <is>
          <t>208001355</t>
        </is>
      </c>
      <c r="C2412" t="inlineStr">
        <is>
          <t>MIXED MEDIA BOMBER JACKET</t>
        </is>
      </c>
      <c r="D2412" t="inlineStr">
        <is>
          <t>BLK</t>
        </is>
      </c>
      <c r="E2412" t="inlineStr">
        <is>
          <t>(en blanco)</t>
        </is>
      </c>
      <c r="F2412" t="inlineStr">
        <is>
          <t>D2C</t>
        </is>
      </c>
      <c r="G2412" t="inlineStr">
        <is>
          <t>XXL</t>
        </is>
      </c>
      <c r="H2412" t="n">
        <v>19</v>
      </c>
      <c r="I2412" t="inlineStr">
        <is>
          <t>NAUTICA_MENS_208001355_BLK_1.jpg</t>
        </is>
      </c>
      <c r="J2412" t="inlineStr">
        <is>
          <t>NAUTICA_MENS_208001355_BLK_2.jpg</t>
        </is>
      </c>
      <c r="K2412" t="inlineStr">
        <is>
          <t>NAUTICA_MENS_208001355_BLK_3.jpg</t>
        </is>
      </c>
      <c r="L2412">
        <f>IMAGE("file:///E:/Estudios%20y%20certificaciones/ESTUDIOS%20DE%20PROGRAMMING/PROGRAMMING/PERSONAL/PYTHON/Image_Generator_API/imagenes/NAUTICA_MENS_208001355_BLK_1.jpg")</f>
        <v/>
      </c>
      <c r="M2412">
        <f>IMAGE("file:///E:/Estudios%20y%20certificaciones/ESTUDIOS%20DE%20PROGRAMMING/PROGRAMMING/PERSONAL/PYTHON/Image_Generator_API/imagenes/NAUTICA_MENS_208001355_BLK_2.jpg")</f>
        <v/>
      </c>
      <c r="N2412">
        <f>IMAGE("file:///E:/Estudios%20y%20certificaciones/ESTUDIOS%20DE%20PROGRAMMING/PROGRAMMING/PERSONAL/PYTHON/Image_Generator_API/imagenes/NAUTICA_MENS_208001355_BLK_3.jpg")</f>
        <v/>
      </c>
      <c r="O2412">
        <f>HYPERLINK("imagenes/NAUTICA_MENS_208001355_BLK_1.jpg","Ver imagen")</f>
        <v/>
      </c>
      <c r="P2412">
        <f>HYPERLINK("imagenes/NAUTICA_MENS_208001355_BLK_2.jpg","Ver imagen")</f>
        <v/>
      </c>
      <c r="Q2412">
        <f>HYPERLINK("imagenes/NAUTICA_MENS_208001355_BLK_3.jpg","Ver imagen")</f>
        <v/>
      </c>
    </row>
    <row r="2413">
      <c r="A2413" t="inlineStr">
        <is>
          <t>NAUTICA MENS</t>
        </is>
      </c>
      <c r="B2413" t="inlineStr">
        <is>
          <t>208001355</t>
        </is>
      </c>
      <c r="C2413" t="inlineStr">
        <is>
          <t>MIXED MEDIA BOMBER JACKET</t>
        </is>
      </c>
      <c r="D2413" t="inlineStr">
        <is>
          <t>BLK</t>
        </is>
      </c>
      <c r="E2413" t="inlineStr">
        <is>
          <t>(en blanco)</t>
        </is>
      </c>
      <c r="F2413" t="inlineStr">
        <is>
          <t>(en blanco)</t>
        </is>
      </c>
      <c r="G2413" t="inlineStr">
        <is>
          <t>L</t>
        </is>
      </c>
      <c r="H2413" t="n">
        <v>1</v>
      </c>
      <c r="I2413" t="inlineStr">
        <is>
          <t>NAUTICA_MENS_208001355_BLK_1.jpg</t>
        </is>
      </c>
      <c r="J2413" t="inlineStr">
        <is>
          <t>NAUTICA_MENS_208001355_BLK_2.jpg</t>
        </is>
      </c>
      <c r="K2413" t="inlineStr">
        <is>
          <t>NAUTICA_MENS_208001355_BLK_3.jpg</t>
        </is>
      </c>
      <c r="L2413">
        <f>IMAGE("file:///E:/Estudios%20y%20certificaciones/ESTUDIOS%20DE%20PROGRAMMING/PROGRAMMING/PERSONAL/PYTHON/Image_Generator_API/imagenes/NAUTICA_MENS_208001355_BLK_1.jpg")</f>
        <v/>
      </c>
      <c r="M2413">
        <f>IMAGE("file:///E:/Estudios%20y%20certificaciones/ESTUDIOS%20DE%20PROGRAMMING/PROGRAMMING/PERSONAL/PYTHON/Image_Generator_API/imagenes/NAUTICA_MENS_208001355_BLK_2.jpg")</f>
        <v/>
      </c>
      <c r="N2413">
        <f>IMAGE("file:///E:/Estudios%20y%20certificaciones/ESTUDIOS%20DE%20PROGRAMMING/PROGRAMMING/PERSONAL/PYTHON/Image_Generator_API/imagenes/NAUTICA_MENS_208001355_BLK_3.jpg")</f>
        <v/>
      </c>
      <c r="O2413">
        <f>HYPERLINK("imagenes/NAUTICA_MENS_208001355_BLK_1.jpg","Ver imagen")</f>
        <v/>
      </c>
      <c r="P2413">
        <f>HYPERLINK("imagenes/NAUTICA_MENS_208001355_BLK_2.jpg","Ver imagen")</f>
        <v/>
      </c>
      <c r="Q2413">
        <f>HYPERLINK("imagenes/NAUTICA_MENS_208001355_BLK_3.jpg","Ver imagen")</f>
        <v/>
      </c>
    </row>
    <row r="2414">
      <c r="A2414" t="inlineStr">
        <is>
          <t>NAUTICA MENS</t>
        </is>
      </c>
      <c r="B2414" t="inlineStr">
        <is>
          <t>208001355</t>
        </is>
      </c>
      <c r="C2414" t="inlineStr">
        <is>
          <t>MIXED MEDIA BOMBER JACKET</t>
        </is>
      </c>
      <c r="D2414" t="inlineStr">
        <is>
          <t>BLK</t>
        </is>
      </c>
      <c r="E2414" t="inlineStr">
        <is>
          <t>(en blanco)</t>
        </is>
      </c>
      <c r="F2414" t="inlineStr">
        <is>
          <t>(en blanco)</t>
        </is>
      </c>
      <c r="G2414" t="inlineStr">
        <is>
          <t>XL</t>
        </is>
      </c>
      <c r="H2414" t="n">
        <v>2</v>
      </c>
      <c r="I2414" t="inlineStr">
        <is>
          <t>NAUTICA_MENS_208001355_BLK_1.jpg</t>
        </is>
      </c>
      <c r="J2414" t="inlineStr">
        <is>
          <t>NAUTICA_MENS_208001355_BLK_2.jpg</t>
        </is>
      </c>
      <c r="K2414" t="inlineStr">
        <is>
          <t>NAUTICA_MENS_208001355_BLK_3.jpg</t>
        </is>
      </c>
      <c r="L2414">
        <f>IMAGE("file:///E:/Estudios%20y%20certificaciones/ESTUDIOS%20DE%20PROGRAMMING/PROGRAMMING/PERSONAL/PYTHON/Image_Generator_API/imagenes/NAUTICA_MENS_208001355_BLK_1.jpg")</f>
        <v/>
      </c>
      <c r="M2414">
        <f>IMAGE("file:///E:/Estudios%20y%20certificaciones/ESTUDIOS%20DE%20PROGRAMMING/PROGRAMMING/PERSONAL/PYTHON/Image_Generator_API/imagenes/NAUTICA_MENS_208001355_BLK_2.jpg")</f>
        <v/>
      </c>
      <c r="N2414">
        <f>IMAGE("file:///E:/Estudios%20y%20certificaciones/ESTUDIOS%20DE%20PROGRAMMING/PROGRAMMING/PERSONAL/PYTHON/Image_Generator_API/imagenes/NAUTICA_MENS_208001355_BLK_3.jpg")</f>
        <v/>
      </c>
      <c r="O2414">
        <f>HYPERLINK("imagenes/NAUTICA_MENS_208001355_BLK_1.jpg","Ver imagen")</f>
        <v/>
      </c>
      <c r="P2414">
        <f>HYPERLINK("imagenes/NAUTICA_MENS_208001355_BLK_2.jpg","Ver imagen")</f>
        <v/>
      </c>
      <c r="Q2414">
        <f>HYPERLINK("imagenes/NAUTICA_MENS_208001355_BLK_3.jpg","Ver imagen")</f>
        <v/>
      </c>
    </row>
    <row r="2415">
      <c r="A2415" t="inlineStr">
        <is>
          <t>NAUTICA MENS</t>
        </is>
      </c>
      <c r="B2415" t="inlineStr">
        <is>
          <t>208001355</t>
        </is>
      </c>
      <c r="C2415" t="inlineStr">
        <is>
          <t>MIXED MEDIA BOMBER JACKET</t>
        </is>
      </c>
      <c r="D2415" t="inlineStr">
        <is>
          <t>MTA</t>
        </is>
      </c>
      <c r="E2415" t="inlineStr">
        <is>
          <t>(en blanco)</t>
        </is>
      </c>
      <c r="F2415" t="inlineStr">
        <is>
          <t>D2C</t>
        </is>
      </c>
      <c r="G2415" t="inlineStr">
        <is>
          <t>M</t>
        </is>
      </c>
      <c r="H2415" t="n">
        <v>1</v>
      </c>
      <c r="I2415" t="inlineStr">
        <is>
          <t>NAUTICA_MENS_208001355_MTA_1.jpg</t>
        </is>
      </c>
      <c r="J2415" t="inlineStr">
        <is>
          <t>NAUTICA_MENS_208001355_MTA_2.jpg</t>
        </is>
      </c>
      <c r="K2415" t="inlineStr">
        <is>
          <t>NAUTICA_MENS_208001355_MTA_3.jpg</t>
        </is>
      </c>
      <c r="L2415">
        <f>IMAGE("file:///E:/Estudios%20y%20certificaciones/ESTUDIOS%20DE%20PROGRAMMING/PROGRAMMING/PERSONAL/PYTHON/Image_Generator_API/imagenes/NAUTICA_MENS_208001355_MTA_1.jpg")</f>
        <v/>
      </c>
      <c r="M2415">
        <f>IMAGE("file:///E:/Estudios%20y%20certificaciones/ESTUDIOS%20DE%20PROGRAMMING/PROGRAMMING/PERSONAL/PYTHON/Image_Generator_API/imagenes/NAUTICA_MENS_208001355_MTA_2.jpg")</f>
        <v/>
      </c>
      <c r="N2415">
        <f>IMAGE("file:///E:/Estudios%20y%20certificaciones/ESTUDIOS%20DE%20PROGRAMMING/PROGRAMMING/PERSONAL/PYTHON/Image_Generator_API/imagenes/NAUTICA_MENS_208001355_MTA_3.jpg")</f>
        <v/>
      </c>
      <c r="O2415">
        <f>HYPERLINK("imagenes/NAUTICA_MENS_208001355_MTA_1.jpg","Ver imagen")</f>
        <v/>
      </c>
      <c r="P2415">
        <f>HYPERLINK("imagenes/NAUTICA_MENS_208001355_MTA_2.jpg","Ver imagen")</f>
        <v/>
      </c>
      <c r="Q2415">
        <f>HYPERLINK("imagenes/NAUTICA_MENS_208001355_MTA_3.jpg","Ver imagen")</f>
        <v/>
      </c>
    </row>
    <row r="2416">
      <c r="A2416" t="inlineStr">
        <is>
          <t>NAUTICA MENS</t>
        </is>
      </c>
      <c r="B2416" t="inlineStr">
        <is>
          <t>208001355</t>
        </is>
      </c>
      <c r="C2416" t="inlineStr">
        <is>
          <t>MIXED MEDIA BOMBER JACKET</t>
        </is>
      </c>
      <c r="D2416" t="inlineStr">
        <is>
          <t>MTA</t>
        </is>
      </c>
      <c r="E2416" t="inlineStr">
        <is>
          <t>(en blanco)</t>
        </is>
      </c>
      <c r="F2416" t="inlineStr">
        <is>
          <t>D2C</t>
        </is>
      </c>
      <c r="G2416" t="inlineStr">
        <is>
          <t>L</t>
        </is>
      </c>
      <c r="H2416" t="n">
        <v>1</v>
      </c>
      <c r="I2416" t="inlineStr">
        <is>
          <t>NAUTICA_MENS_208001355_MTA_1.jpg</t>
        </is>
      </c>
      <c r="J2416" t="inlineStr">
        <is>
          <t>NAUTICA_MENS_208001355_MTA_2.jpg</t>
        </is>
      </c>
      <c r="K2416" t="inlineStr">
        <is>
          <t>NAUTICA_MENS_208001355_MTA_3.jpg</t>
        </is>
      </c>
      <c r="L2416">
        <f>IMAGE("file:///E:/Estudios%20y%20certificaciones/ESTUDIOS%20DE%20PROGRAMMING/PROGRAMMING/PERSONAL/PYTHON/Image_Generator_API/imagenes/NAUTICA_MENS_208001355_MTA_1.jpg")</f>
        <v/>
      </c>
      <c r="M2416">
        <f>IMAGE("file:///E:/Estudios%20y%20certificaciones/ESTUDIOS%20DE%20PROGRAMMING/PROGRAMMING/PERSONAL/PYTHON/Image_Generator_API/imagenes/NAUTICA_MENS_208001355_MTA_2.jpg")</f>
        <v/>
      </c>
      <c r="N2416">
        <f>IMAGE("file:///E:/Estudios%20y%20certificaciones/ESTUDIOS%20DE%20PROGRAMMING/PROGRAMMING/PERSONAL/PYTHON/Image_Generator_API/imagenes/NAUTICA_MENS_208001355_MTA_3.jpg")</f>
        <v/>
      </c>
      <c r="O2416">
        <f>HYPERLINK("imagenes/NAUTICA_MENS_208001355_MTA_1.jpg","Ver imagen")</f>
        <v/>
      </c>
      <c r="P2416">
        <f>HYPERLINK("imagenes/NAUTICA_MENS_208001355_MTA_2.jpg","Ver imagen")</f>
        <v/>
      </c>
      <c r="Q2416">
        <f>HYPERLINK("imagenes/NAUTICA_MENS_208001355_MTA_3.jpg","Ver imagen")</f>
        <v/>
      </c>
    </row>
    <row r="2417">
      <c r="A2417" t="inlineStr">
        <is>
          <t>NAUTICA MENS</t>
        </is>
      </c>
      <c r="B2417" t="inlineStr">
        <is>
          <t>208001355</t>
        </is>
      </c>
      <c r="C2417" t="inlineStr">
        <is>
          <t>MIXED MEDIA BOMBER JACKET</t>
        </is>
      </c>
      <c r="D2417" t="inlineStr">
        <is>
          <t>MTA</t>
        </is>
      </c>
      <c r="E2417" t="inlineStr">
        <is>
          <t>(en blanco)</t>
        </is>
      </c>
      <c r="F2417" t="inlineStr">
        <is>
          <t>D2C</t>
        </is>
      </c>
      <c r="G2417" t="inlineStr">
        <is>
          <t>XL</t>
        </is>
      </c>
      <c r="H2417" t="n">
        <v>1</v>
      </c>
      <c r="I2417" t="inlineStr">
        <is>
          <t>NAUTICA_MENS_208001355_MTA_1.jpg</t>
        </is>
      </c>
      <c r="J2417" t="inlineStr">
        <is>
          <t>NAUTICA_MENS_208001355_MTA_2.jpg</t>
        </is>
      </c>
      <c r="K2417" t="inlineStr">
        <is>
          <t>NAUTICA_MENS_208001355_MTA_3.jpg</t>
        </is>
      </c>
      <c r="L2417">
        <f>IMAGE("file:///E:/Estudios%20y%20certificaciones/ESTUDIOS%20DE%20PROGRAMMING/PROGRAMMING/PERSONAL/PYTHON/Image_Generator_API/imagenes/NAUTICA_MENS_208001355_MTA_1.jpg")</f>
        <v/>
      </c>
      <c r="M2417">
        <f>IMAGE("file:///E:/Estudios%20y%20certificaciones/ESTUDIOS%20DE%20PROGRAMMING/PROGRAMMING/PERSONAL/PYTHON/Image_Generator_API/imagenes/NAUTICA_MENS_208001355_MTA_2.jpg")</f>
        <v/>
      </c>
      <c r="N2417">
        <f>IMAGE("file:///E:/Estudios%20y%20certificaciones/ESTUDIOS%20DE%20PROGRAMMING/PROGRAMMING/PERSONAL/PYTHON/Image_Generator_API/imagenes/NAUTICA_MENS_208001355_MTA_3.jpg")</f>
        <v/>
      </c>
      <c r="O2417">
        <f>HYPERLINK("imagenes/NAUTICA_MENS_208001355_MTA_1.jpg","Ver imagen")</f>
        <v/>
      </c>
      <c r="P2417">
        <f>HYPERLINK("imagenes/NAUTICA_MENS_208001355_MTA_2.jpg","Ver imagen")</f>
        <v/>
      </c>
      <c r="Q2417">
        <f>HYPERLINK("imagenes/NAUTICA_MENS_208001355_MTA_3.jpg","Ver imagen")</f>
        <v/>
      </c>
    </row>
    <row r="2418">
      <c r="A2418" t="inlineStr">
        <is>
          <t>NAUTICA MENS</t>
        </is>
      </c>
      <c r="B2418" t="inlineStr">
        <is>
          <t>208001355</t>
        </is>
      </c>
      <c r="C2418" t="inlineStr">
        <is>
          <t>MIXED MEDIA BOMBER JACKET</t>
        </is>
      </c>
      <c r="D2418" t="inlineStr">
        <is>
          <t>MTA</t>
        </is>
      </c>
      <c r="E2418" t="inlineStr">
        <is>
          <t>(en blanco)</t>
        </is>
      </c>
      <c r="F2418" t="inlineStr">
        <is>
          <t>D2C</t>
        </is>
      </c>
      <c r="G2418" t="inlineStr">
        <is>
          <t>XXL</t>
        </is>
      </c>
      <c r="H2418" t="n">
        <v>12</v>
      </c>
      <c r="I2418" t="inlineStr">
        <is>
          <t>NAUTICA_MENS_208001355_MTA_1.jpg</t>
        </is>
      </c>
      <c r="J2418" t="inlineStr">
        <is>
          <t>NAUTICA_MENS_208001355_MTA_2.jpg</t>
        </is>
      </c>
      <c r="K2418" t="inlineStr">
        <is>
          <t>NAUTICA_MENS_208001355_MTA_3.jpg</t>
        </is>
      </c>
      <c r="L2418">
        <f>IMAGE("file:///E:/Estudios%20y%20certificaciones/ESTUDIOS%20DE%20PROGRAMMING/PROGRAMMING/PERSONAL/PYTHON/Image_Generator_API/imagenes/NAUTICA_MENS_208001355_MTA_1.jpg")</f>
        <v/>
      </c>
      <c r="M2418">
        <f>IMAGE("file:///E:/Estudios%20y%20certificaciones/ESTUDIOS%20DE%20PROGRAMMING/PROGRAMMING/PERSONAL/PYTHON/Image_Generator_API/imagenes/NAUTICA_MENS_208001355_MTA_2.jpg")</f>
        <v/>
      </c>
      <c r="N2418">
        <f>IMAGE("file:///E:/Estudios%20y%20certificaciones/ESTUDIOS%20DE%20PROGRAMMING/PROGRAMMING/PERSONAL/PYTHON/Image_Generator_API/imagenes/NAUTICA_MENS_208001355_MTA_3.jpg")</f>
        <v/>
      </c>
      <c r="O2418">
        <f>HYPERLINK("imagenes/NAUTICA_MENS_208001355_MTA_1.jpg","Ver imagen")</f>
        <v/>
      </c>
      <c r="P2418">
        <f>HYPERLINK("imagenes/NAUTICA_MENS_208001355_MTA_2.jpg","Ver imagen")</f>
        <v/>
      </c>
      <c r="Q2418">
        <f>HYPERLINK("imagenes/NAUTICA_MENS_208001355_MTA_3.jpg","Ver imagen")</f>
        <v/>
      </c>
    </row>
    <row r="2419">
      <c r="A2419" t="inlineStr">
        <is>
          <t>NAUTICA MENS</t>
        </is>
      </c>
      <c r="B2419" t="inlineStr">
        <is>
          <t>208001355</t>
        </is>
      </c>
      <c r="C2419" t="inlineStr">
        <is>
          <t>MIXED MEDIA BOMBER JACKET</t>
        </is>
      </c>
      <c r="D2419" t="inlineStr">
        <is>
          <t>NVY</t>
        </is>
      </c>
      <c r="E2419" t="inlineStr">
        <is>
          <t>(en blanco)</t>
        </is>
      </c>
      <c r="F2419" t="inlineStr">
        <is>
          <t>D2C</t>
        </is>
      </c>
      <c r="G2419" t="inlineStr">
        <is>
          <t>XXL</t>
        </is>
      </c>
      <c r="H2419" t="n">
        <v>17</v>
      </c>
      <c r="I2419" t="inlineStr">
        <is>
          <t>NAUTICA_MENS_208001355_NVY_1.jpg</t>
        </is>
      </c>
      <c r="J2419" t="inlineStr">
        <is>
          <t>NAUTICA_MENS_208001355_NVY_2.jpg</t>
        </is>
      </c>
      <c r="K2419" t="inlineStr">
        <is>
          <t>NAUTICA_MENS_208001355_NVY_3.jpg</t>
        </is>
      </c>
      <c r="L2419">
        <f>IMAGE("file:///E:/Estudios%20y%20certificaciones/ESTUDIOS%20DE%20PROGRAMMING/PROGRAMMING/PERSONAL/PYTHON/Image_Generator_API/imagenes/NAUTICA_MENS_208001355_NVY_1.jpg")</f>
        <v/>
      </c>
      <c r="M2419">
        <f>IMAGE("file:///E:/Estudios%20y%20certificaciones/ESTUDIOS%20DE%20PROGRAMMING/PROGRAMMING/PERSONAL/PYTHON/Image_Generator_API/imagenes/NAUTICA_MENS_208001355_NVY_2.jpg")</f>
        <v/>
      </c>
      <c r="N2419">
        <f>IMAGE("file:///E:/Estudios%20y%20certificaciones/ESTUDIOS%20DE%20PROGRAMMING/PROGRAMMING/PERSONAL/PYTHON/Image_Generator_API/imagenes/NAUTICA_MENS_208001355_NVY_3.jpg")</f>
        <v/>
      </c>
      <c r="O2419">
        <f>HYPERLINK("imagenes/NAUTICA_MENS_208001355_NVY_1.jpg","Ver imagen")</f>
        <v/>
      </c>
      <c r="P2419">
        <f>HYPERLINK("imagenes/NAUTICA_MENS_208001355_NVY_2.jpg","Ver imagen")</f>
        <v/>
      </c>
      <c r="Q2419">
        <f>HYPERLINK("imagenes/NAUTICA_MENS_208001355_NVY_3.jpg","Ver imagen")</f>
        <v/>
      </c>
    </row>
    <row r="2420">
      <c r="A2420" t="inlineStr">
        <is>
          <t>NAUTICA MENS</t>
        </is>
      </c>
      <c r="B2420" t="inlineStr">
        <is>
          <t>208001359</t>
        </is>
      </c>
      <c r="C2420" t="inlineStr">
        <is>
          <t>RAIN COAT</t>
        </is>
      </c>
      <c r="D2420" t="inlineStr">
        <is>
          <t>BLK</t>
        </is>
      </c>
      <c r="E2420" t="inlineStr">
        <is>
          <t>09A04</t>
        </is>
      </c>
      <c r="F2420" t="inlineStr">
        <is>
          <t>K1005</t>
        </is>
      </c>
      <c r="G2420" t="inlineStr">
        <is>
          <t>PPK</t>
        </is>
      </c>
      <c r="H2420" t="n">
        <v>9</v>
      </c>
      <c r="I2420" t="inlineStr">
        <is>
          <t>NAUTICA_MENS_208001359_BLK_1.jpg</t>
        </is>
      </c>
      <c r="J2420" t="inlineStr">
        <is>
          <t>NAUTICA_MENS_208001359_BLK_2.jpg</t>
        </is>
      </c>
      <c r="K2420" t="inlineStr">
        <is>
          <t>NAUTICA_MENS_208001359_BLK_3.jpg</t>
        </is>
      </c>
      <c r="L2420">
        <f>IMAGE("file:///E:/Estudios%20y%20certificaciones/ESTUDIOS%20DE%20PROGRAMMING/PROGRAMMING/PERSONAL/PYTHON/Image_Generator_API/imagenes/NAUTICA_MENS_208001359_BLK_1.jpg")</f>
        <v/>
      </c>
      <c r="M2420">
        <f>IMAGE("file:///E:/Estudios%20y%20certificaciones/ESTUDIOS%20DE%20PROGRAMMING/PROGRAMMING/PERSONAL/PYTHON/Image_Generator_API/imagenes/NAUTICA_MENS_208001359_BLK_2.jpg")</f>
        <v/>
      </c>
      <c r="N2420">
        <f>IMAGE("file:///E:/Estudios%20y%20certificaciones/ESTUDIOS%20DE%20PROGRAMMING/PROGRAMMING/PERSONAL/PYTHON/Image_Generator_API/imagenes/NAUTICA_MENS_208001359_BLK_3.jpg")</f>
        <v/>
      </c>
      <c r="O2420">
        <f>HYPERLINK("imagenes/NAUTICA_MENS_208001359_BLK_1.jpg","Ver imagen")</f>
        <v/>
      </c>
      <c r="P2420">
        <f>HYPERLINK("imagenes/NAUTICA_MENS_208001359_BLK_2.jpg","Ver imagen")</f>
        <v/>
      </c>
      <c r="Q2420">
        <f>HYPERLINK("imagenes/NAUTICA_MENS_208001359_BLK_3.jpg","Ver imagen")</f>
        <v/>
      </c>
    </row>
    <row r="2421">
      <c r="A2421" t="inlineStr">
        <is>
          <t>NAUTICA MENS</t>
        </is>
      </c>
      <c r="B2421" t="inlineStr">
        <is>
          <t>208001360</t>
        </is>
      </c>
      <c r="C2421" t="inlineStr">
        <is>
          <t>RAIN COAT</t>
        </is>
      </c>
      <c r="D2421" t="inlineStr">
        <is>
          <t>BLK</t>
        </is>
      </c>
      <c r="E2421" t="inlineStr">
        <is>
          <t>04A06</t>
        </is>
      </c>
      <c r="F2421" t="inlineStr">
        <is>
          <t>K1005</t>
        </is>
      </c>
      <c r="G2421" t="inlineStr">
        <is>
          <t>PPK</t>
        </is>
      </c>
      <c r="H2421" t="n">
        <v>4</v>
      </c>
      <c r="I2421" t="inlineStr">
        <is>
          <t>NAUTICA_MENS_208001360_BLK_1.jpg</t>
        </is>
      </c>
      <c r="J2421" t="inlineStr">
        <is>
          <t>NAUTICA_MENS_208001360_BLK_2.jpg</t>
        </is>
      </c>
      <c r="K2421" t="inlineStr">
        <is>
          <t>NAUTICA_MENS_208001360_BLK_3.jpg</t>
        </is>
      </c>
      <c r="L2421">
        <f>IMAGE("file:///E:/Estudios%20y%20certificaciones/ESTUDIOS%20DE%20PROGRAMMING/PROGRAMMING/PERSONAL/PYTHON/Image_Generator_API/imagenes/NAUTICA_MENS_208001360_BLK_1.jpg")</f>
        <v/>
      </c>
      <c r="M2421">
        <f>IMAGE("file:///E:/Estudios%20y%20certificaciones/ESTUDIOS%20DE%20PROGRAMMING/PROGRAMMING/PERSONAL/PYTHON/Image_Generator_API/imagenes/NAUTICA_MENS_208001360_BLK_2.jpg")</f>
        <v/>
      </c>
      <c r="N2421">
        <f>IMAGE("file:///E:/Estudios%20y%20certificaciones/ESTUDIOS%20DE%20PROGRAMMING/PROGRAMMING/PERSONAL/PYTHON/Image_Generator_API/imagenes/NAUTICA_MENS_208001360_BLK_3.jpg")</f>
        <v/>
      </c>
      <c r="O2421">
        <f>HYPERLINK("imagenes/NAUTICA_MENS_208001360_BLK_1.jpg","Ver imagen")</f>
        <v/>
      </c>
      <c r="P2421">
        <f>HYPERLINK("imagenes/NAUTICA_MENS_208001360_BLK_2.jpg","Ver imagen")</f>
        <v/>
      </c>
      <c r="Q2421">
        <f>HYPERLINK("imagenes/NAUTICA_MENS_208001360_BLK_3.jpg","Ver imagen")</f>
        <v/>
      </c>
    </row>
    <row r="2422">
      <c r="A2422" t="inlineStr">
        <is>
          <t>NAUTICA MENS</t>
        </is>
      </c>
      <c r="B2422" t="inlineStr">
        <is>
          <t>208001378</t>
        </is>
      </c>
      <c r="C2422" t="inlineStr">
        <is>
          <t>Lt Weight Quilted Vest</t>
        </is>
      </c>
      <c r="D2422" t="inlineStr">
        <is>
          <t>B31</t>
        </is>
      </c>
      <c r="E2422" t="inlineStr">
        <is>
          <t>12A08</t>
        </is>
      </c>
      <c r="F2422" t="inlineStr">
        <is>
          <t>(en blanco)</t>
        </is>
      </c>
      <c r="G2422" t="inlineStr">
        <is>
          <t>PPK</t>
        </is>
      </c>
      <c r="H2422" t="n">
        <v>456</v>
      </c>
      <c r="I2422" t="inlineStr">
        <is>
          <t>NAUTICA_MENS_208001378_B31_1.jpg</t>
        </is>
      </c>
      <c r="J2422" t="inlineStr">
        <is>
          <t>NAUTICA_MENS_208001378_B31_2.jpg</t>
        </is>
      </c>
      <c r="K2422" t="inlineStr">
        <is>
          <t>NAUTICA_MENS_208001378_B31_3.jpg</t>
        </is>
      </c>
      <c r="L2422">
        <f>IMAGE("file:///E:/Estudios%20y%20certificaciones/ESTUDIOS%20DE%20PROGRAMMING/PROGRAMMING/PERSONAL/PYTHON/Image_Generator_API/imagenes/NAUTICA_MENS_208001378_B31_1.jpg")</f>
        <v/>
      </c>
      <c r="M2422">
        <f>IMAGE("file:///E:/Estudios%20y%20certificaciones/ESTUDIOS%20DE%20PROGRAMMING/PROGRAMMING/PERSONAL/PYTHON/Image_Generator_API/imagenes/NAUTICA_MENS_208001378_B31_2.jpg")</f>
        <v/>
      </c>
      <c r="N2422">
        <f>IMAGE("file:///E:/Estudios%20y%20certificaciones/ESTUDIOS%20DE%20PROGRAMMING/PROGRAMMING/PERSONAL/PYTHON/Image_Generator_API/imagenes/NAUTICA_MENS_208001378_B31_3.jpg")</f>
        <v/>
      </c>
      <c r="O2422">
        <f>HYPERLINK("imagenes/NAUTICA_MENS_208001378_B31_1.jpg","Ver imagen")</f>
        <v/>
      </c>
      <c r="P2422">
        <f>HYPERLINK("imagenes/NAUTICA_MENS_208001378_B31_2.jpg","Ver imagen")</f>
        <v/>
      </c>
      <c r="Q2422">
        <f>HYPERLINK("imagenes/NAUTICA_MENS_208001378_B31_3.jpg","Ver imagen")</f>
        <v/>
      </c>
    </row>
    <row r="2423">
      <c r="A2423" t="inlineStr">
        <is>
          <t>NAUTICA MENS</t>
        </is>
      </c>
      <c r="B2423" t="inlineStr">
        <is>
          <t>208001378</t>
        </is>
      </c>
      <c r="C2423" t="inlineStr">
        <is>
          <t>Lt Weight Quilted Vest</t>
        </is>
      </c>
      <c r="D2423" t="inlineStr">
        <is>
          <t>B31</t>
        </is>
      </c>
      <c r="E2423" t="inlineStr">
        <is>
          <t>12A09</t>
        </is>
      </c>
      <c r="F2423" t="inlineStr">
        <is>
          <t>(en blanco)</t>
        </is>
      </c>
      <c r="G2423" t="inlineStr">
        <is>
          <t>PPK</t>
        </is>
      </c>
      <c r="H2423" t="n">
        <v>216</v>
      </c>
      <c r="I2423" t="inlineStr">
        <is>
          <t>NAUTICA_MENS_208001378_B31_1.jpg</t>
        </is>
      </c>
      <c r="J2423" t="inlineStr">
        <is>
          <t>NAUTICA_MENS_208001378_B31_2.jpg</t>
        </is>
      </c>
      <c r="K2423" t="inlineStr">
        <is>
          <t>NAUTICA_MENS_208001378_B31_3.jpg</t>
        </is>
      </c>
      <c r="L2423">
        <f>IMAGE("file:///E:/Estudios%20y%20certificaciones/ESTUDIOS%20DE%20PROGRAMMING/PROGRAMMING/PERSONAL/PYTHON/Image_Generator_API/imagenes/NAUTICA_MENS_208001378_B31_1.jpg")</f>
        <v/>
      </c>
      <c r="M2423">
        <f>IMAGE("file:///E:/Estudios%20y%20certificaciones/ESTUDIOS%20DE%20PROGRAMMING/PROGRAMMING/PERSONAL/PYTHON/Image_Generator_API/imagenes/NAUTICA_MENS_208001378_B31_2.jpg")</f>
        <v/>
      </c>
      <c r="N2423">
        <f>IMAGE("file:///E:/Estudios%20y%20certificaciones/ESTUDIOS%20DE%20PROGRAMMING/PROGRAMMING/PERSONAL/PYTHON/Image_Generator_API/imagenes/NAUTICA_MENS_208001378_B31_3.jpg")</f>
        <v/>
      </c>
      <c r="O2423">
        <f>HYPERLINK("imagenes/NAUTICA_MENS_208001378_B31_1.jpg","Ver imagen")</f>
        <v/>
      </c>
      <c r="P2423">
        <f>HYPERLINK("imagenes/NAUTICA_MENS_208001378_B31_2.jpg","Ver imagen")</f>
        <v/>
      </c>
      <c r="Q2423">
        <f>HYPERLINK("imagenes/NAUTICA_MENS_208001378_B31_3.jpg","Ver imagen")</f>
        <v/>
      </c>
    </row>
    <row r="2424">
      <c r="A2424" t="inlineStr">
        <is>
          <t>NAUTICA MENS</t>
        </is>
      </c>
      <c r="B2424" t="inlineStr">
        <is>
          <t>208001378</t>
        </is>
      </c>
      <c r="C2424" t="inlineStr">
        <is>
          <t>Lt Weight Quilted Vest</t>
        </is>
      </c>
      <c r="D2424" t="inlineStr">
        <is>
          <t>B31</t>
        </is>
      </c>
      <c r="E2424" t="inlineStr">
        <is>
          <t>(en blanco)</t>
        </is>
      </c>
      <c r="F2424" t="inlineStr">
        <is>
          <t>(en blanco)</t>
        </is>
      </c>
      <c r="G2424" t="inlineStr">
        <is>
          <t>S</t>
        </is>
      </c>
      <c r="H2424" t="n">
        <v>18</v>
      </c>
      <c r="I2424" t="inlineStr">
        <is>
          <t>NAUTICA_MENS_208001378_B31_1.jpg</t>
        </is>
      </c>
      <c r="J2424" t="inlineStr">
        <is>
          <t>NAUTICA_MENS_208001378_B31_2.jpg</t>
        </is>
      </c>
      <c r="K2424" t="inlineStr">
        <is>
          <t>NAUTICA_MENS_208001378_B31_3.jpg</t>
        </is>
      </c>
      <c r="L2424">
        <f>IMAGE("file:///E:/Estudios%20y%20certificaciones/ESTUDIOS%20DE%20PROGRAMMING/PROGRAMMING/PERSONAL/PYTHON/Image_Generator_API/imagenes/NAUTICA_MENS_208001378_B31_1.jpg")</f>
        <v/>
      </c>
      <c r="M2424">
        <f>IMAGE("file:///E:/Estudios%20y%20certificaciones/ESTUDIOS%20DE%20PROGRAMMING/PROGRAMMING/PERSONAL/PYTHON/Image_Generator_API/imagenes/NAUTICA_MENS_208001378_B31_2.jpg")</f>
        <v/>
      </c>
      <c r="N2424">
        <f>IMAGE("file:///E:/Estudios%20y%20certificaciones/ESTUDIOS%20DE%20PROGRAMMING/PROGRAMMING/PERSONAL/PYTHON/Image_Generator_API/imagenes/NAUTICA_MENS_208001378_B31_3.jpg")</f>
        <v/>
      </c>
      <c r="O2424">
        <f>HYPERLINK("imagenes/NAUTICA_MENS_208001378_B31_1.jpg","Ver imagen")</f>
        <v/>
      </c>
      <c r="P2424">
        <f>HYPERLINK("imagenes/NAUTICA_MENS_208001378_B31_2.jpg","Ver imagen")</f>
        <v/>
      </c>
      <c r="Q2424">
        <f>HYPERLINK("imagenes/NAUTICA_MENS_208001378_B31_3.jpg","Ver imagen")</f>
        <v/>
      </c>
    </row>
    <row r="2425">
      <c r="A2425" t="inlineStr">
        <is>
          <t>NAUTICA MENS</t>
        </is>
      </c>
      <c r="B2425" t="inlineStr">
        <is>
          <t>208001378</t>
        </is>
      </c>
      <c r="C2425" t="inlineStr">
        <is>
          <t>Lt Weight Quilted Vest</t>
        </is>
      </c>
      <c r="D2425" t="inlineStr">
        <is>
          <t>B31</t>
        </is>
      </c>
      <c r="E2425" t="inlineStr">
        <is>
          <t>(en blanco)</t>
        </is>
      </c>
      <c r="F2425" t="inlineStr">
        <is>
          <t>(en blanco)</t>
        </is>
      </c>
      <c r="G2425" t="inlineStr">
        <is>
          <t>M</t>
        </is>
      </c>
      <c r="H2425" t="n">
        <v>48</v>
      </c>
      <c r="I2425" t="inlineStr">
        <is>
          <t>NAUTICA_MENS_208001378_B31_1.jpg</t>
        </is>
      </c>
      <c r="J2425" t="inlineStr">
        <is>
          <t>NAUTICA_MENS_208001378_B31_2.jpg</t>
        </is>
      </c>
      <c r="K2425" t="inlineStr">
        <is>
          <t>NAUTICA_MENS_208001378_B31_3.jpg</t>
        </is>
      </c>
      <c r="L2425">
        <f>IMAGE("file:///E:/Estudios%20y%20certificaciones/ESTUDIOS%20DE%20PROGRAMMING/PROGRAMMING/PERSONAL/PYTHON/Image_Generator_API/imagenes/NAUTICA_MENS_208001378_B31_1.jpg")</f>
        <v/>
      </c>
      <c r="M2425">
        <f>IMAGE("file:///E:/Estudios%20y%20certificaciones/ESTUDIOS%20DE%20PROGRAMMING/PROGRAMMING/PERSONAL/PYTHON/Image_Generator_API/imagenes/NAUTICA_MENS_208001378_B31_2.jpg")</f>
        <v/>
      </c>
      <c r="N2425">
        <f>IMAGE("file:///E:/Estudios%20y%20certificaciones/ESTUDIOS%20DE%20PROGRAMMING/PROGRAMMING/PERSONAL/PYTHON/Image_Generator_API/imagenes/NAUTICA_MENS_208001378_B31_3.jpg")</f>
        <v/>
      </c>
      <c r="O2425">
        <f>HYPERLINK("imagenes/NAUTICA_MENS_208001378_B31_1.jpg","Ver imagen")</f>
        <v/>
      </c>
      <c r="P2425">
        <f>HYPERLINK("imagenes/NAUTICA_MENS_208001378_B31_2.jpg","Ver imagen")</f>
        <v/>
      </c>
      <c r="Q2425">
        <f>HYPERLINK("imagenes/NAUTICA_MENS_208001378_B31_3.jpg","Ver imagen")</f>
        <v/>
      </c>
    </row>
    <row r="2426">
      <c r="A2426" t="inlineStr">
        <is>
          <t>NAUTICA MENS</t>
        </is>
      </c>
      <c r="B2426" t="inlineStr">
        <is>
          <t>208001378</t>
        </is>
      </c>
      <c r="C2426" t="inlineStr">
        <is>
          <t>Lt Weight Quilted Vest</t>
        </is>
      </c>
      <c r="D2426" t="inlineStr">
        <is>
          <t>B31</t>
        </is>
      </c>
      <c r="E2426" t="inlineStr">
        <is>
          <t>(en blanco)</t>
        </is>
      </c>
      <c r="F2426" t="inlineStr">
        <is>
          <t>(en blanco)</t>
        </is>
      </c>
      <c r="G2426" t="inlineStr">
        <is>
          <t>L</t>
        </is>
      </c>
      <c r="H2426" t="n">
        <v>54</v>
      </c>
      <c r="I2426" t="inlineStr">
        <is>
          <t>NAUTICA_MENS_208001378_B31_1.jpg</t>
        </is>
      </c>
      <c r="J2426" t="inlineStr">
        <is>
          <t>NAUTICA_MENS_208001378_B31_2.jpg</t>
        </is>
      </c>
      <c r="K2426" t="inlineStr">
        <is>
          <t>NAUTICA_MENS_208001378_B31_3.jpg</t>
        </is>
      </c>
      <c r="L2426">
        <f>IMAGE("file:///E:/Estudios%20y%20certificaciones/ESTUDIOS%20DE%20PROGRAMMING/PROGRAMMING/PERSONAL/PYTHON/Image_Generator_API/imagenes/NAUTICA_MENS_208001378_B31_1.jpg")</f>
        <v/>
      </c>
      <c r="M2426">
        <f>IMAGE("file:///E:/Estudios%20y%20certificaciones/ESTUDIOS%20DE%20PROGRAMMING/PROGRAMMING/PERSONAL/PYTHON/Image_Generator_API/imagenes/NAUTICA_MENS_208001378_B31_2.jpg")</f>
        <v/>
      </c>
      <c r="N2426">
        <f>IMAGE("file:///E:/Estudios%20y%20certificaciones/ESTUDIOS%20DE%20PROGRAMMING/PROGRAMMING/PERSONAL/PYTHON/Image_Generator_API/imagenes/NAUTICA_MENS_208001378_B31_3.jpg")</f>
        <v/>
      </c>
      <c r="O2426">
        <f>HYPERLINK("imagenes/NAUTICA_MENS_208001378_B31_1.jpg","Ver imagen")</f>
        <v/>
      </c>
      <c r="P2426">
        <f>HYPERLINK("imagenes/NAUTICA_MENS_208001378_B31_2.jpg","Ver imagen")</f>
        <v/>
      </c>
      <c r="Q2426">
        <f>HYPERLINK("imagenes/NAUTICA_MENS_208001378_B31_3.jpg","Ver imagen")</f>
        <v/>
      </c>
    </row>
    <row r="2427">
      <c r="A2427" t="inlineStr">
        <is>
          <t>NAUTICA MENS</t>
        </is>
      </c>
      <c r="B2427" t="inlineStr">
        <is>
          <t>208001378</t>
        </is>
      </c>
      <c r="C2427" t="inlineStr">
        <is>
          <t>Lt Weight Quilted Vest</t>
        </is>
      </c>
      <c r="D2427" t="inlineStr">
        <is>
          <t>B31</t>
        </is>
      </c>
      <c r="E2427" t="inlineStr">
        <is>
          <t>(en blanco)</t>
        </is>
      </c>
      <c r="F2427" t="inlineStr">
        <is>
          <t>(en blanco)</t>
        </is>
      </c>
      <c r="G2427" t="inlineStr">
        <is>
          <t>XL</t>
        </is>
      </c>
      <c r="H2427" t="n">
        <v>22</v>
      </c>
      <c r="I2427" t="inlineStr">
        <is>
          <t>NAUTICA_MENS_208001378_B31_1.jpg</t>
        </is>
      </c>
      <c r="J2427" t="inlineStr">
        <is>
          <t>NAUTICA_MENS_208001378_B31_2.jpg</t>
        </is>
      </c>
      <c r="K2427" t="inlineStr">
        <is>
          <t>NAUTICA_MENS_208001378_B31_3.jpg</t>
        </is>
      </c>
      <c r="L2427">
        <f>IMAGE("file:///E:/Estudios%20y%20certificaciones/ESTUDIOS%20DE%20PROGRAMMING/PROGRAMMING/PERSONAL/PYTHON/Image_Generator_API/imagenes/NAUTICA_MENS_208001378_B31_1.jpg")</f>
        <v/>
      </c>
      <c r="M2427">
        <f>IMAGE("file:///E:/Estudios%20y%20certificaciones/ESTUDIOS%20DE%20PROGRAMMING/PROGRAMMING/PERSONAL/PYTHON/Image_Generator_API/imagenes/NAUTICA_MENS_208001378_B31_2.jpg")</f>
        <v/>
      </c>
      <c r="N2427">
        <f>IMAGE("file:///E:/Estudios%20y%20certificaciones/ESTUDIOS%20DE%20PROGRAMMING/PROGRAMMING/PERSONAL/PYTHON/Image_Generator_API/imagenes/NAUTICA_MENS_208001378_B31_3.jpg")</f>
        <v/>
      </c>
      <c r="O2427">
        <f>HYPERLINK("imagenes/NAUTICA_MENS_208001378_B31_1.jpg","Ver imagen")</f>
        <v/>
      </c>
      <c r="P2427">
        <f>HYPERLINK("imagenes/NAUTICA_MENS_208001378_B31_2.jpg","Ver imagen")</f>
        <v/>
      </c>
      <c r="Q2427">
        <f>HYPERLINK("imagenes/NAUTICA_MENS_208001378_B31_3.jpg","Ver imagen")</f>
        <v/>
      </c>
    </row>
    <row r="2428">
      <c r="A2428" t="inlineStr">
        <is>
          <t>NAUTICA MENS</t>
        </is>
      </c>
      <c r="B2428" t="inlineStr">
        <is>
          <t>208001378</t>
        </is>
      </c>
      <c r="C2428" t="inlineStr">
        <is>
          <t>Lt Weight Quilted Vest</t>
        </is>
      </c>
      <c r="D2428" t="inlineStr">
        <is>
          <t>B31</t>
        </is>
      </c>
      <c r="E2428" t="inlineStr">
        <is>
          <t>(en blanco)</t>
        </is>
      </c>
      <c r="F2428" t="inlineStr">
        <is>
          <t>(en blanco)</t>
        </is>
      </c>
      <c r="G2428" t="inlineStr">
        <is>
          <t>XXL</t>
        </is>
      </c>
      <c r="H2428" t="n">
        <v>0</v>
      </c>
      <c r="I2428" t="inlineStr">
        <is>
          <t>NAUTICA_MENS_208001378_B31_1.jpg</t>
        </is>
      </c>
      <c r="J2428" t="inlineStr">
        <is>
          <t>NAUTICA_MENS_208001378_B31_2.jpg</t>
        </is>
      </c>
      <c r="K2428" t="inlineStr">
        <is>
          <t>NAUTICA_MENS_208001378_B31_3.jpg</t>
        </is>
      </c>
      <c r="L2428">
        <f>IMAGE("file:///E:/Estudios%20y%20certificaciones/ESTUDIOS%20DE%20PROGRAMMING/PROGRAMMING/PERSONAL/PYTHON/Image_Generator_API/imagenes/NAUTICA_MENS_208001378_B31_1.jpg")</f>
        <v/>
      </c>
      <c r="M2428">
        <f>IMAGE("file:///E:/Estudios%20y%20certificaciones/ESTUDIOS%20DE%20PROGRAMMING/PROGRAMMING/PERSONAL/PYTHON/Image_Generator_API/imagenes/NAUTICA_MENS_208001378_B31_2.jpg")</f>
        <v/>
      </c>
      <c r="N2428">
        <f>IMAGE("file:///E:/Estudios%20y%20certificaciones/ESTUDIOS%20DE%20PROGRAMMING/PROGRAMMING/PERSONAL/PYTHON/Image_Generator_API/imagenes/NAUTICA_MENS_208001378_B31_3.jpg")</f>
        <v/>
      </c>
      <c r="O2428">
        <f>HYPERLINK("imagenes/NAUTICA_MENS_208001378_B31_1.jpg","Ver imagen")</f>
        <v/>
      </c>
      <c r="P2428">
        <f>HYPERLINK("imagenes/NAUTICA_MENS_208001378_B31_2.jpg","Ver imagen")</f>
        <v/>
      </c>
      <c r="Q2428">
        <f>HYPERLINK("imagenes/NAUTICA_MENS_208001378_B31_3.jpg","Ver imagen")</f>
        <v/>
      </c>
    </row>
    <row r="2429">
      <c r="A2429" t="inlineStr">
        <is>
          <t>NAUTICA MENS</t>
        </is>
      </c>
      <c r="B2429" t="inlineStr">
        <is>
          <t>208001378</t>
        </is>
      </c>
      <c r="C2429" t="inlineStr">
        <is>
          <t>Lt Weight Quilted Vest</t>
        </is>
      </c>
      <c r="D2429" t="inlineStr">
        <is>
          <t>BLK</t>
        </is>
      </c>
      <c r="E2429" t="inlineStr">
        <is>
          <t>10A09</t>
        </is>
      </c>
      <c r="F2429" t="inlineStr">
        <is>
          <t>K1005</t>
        </is>
      </c>
      <c r="G2429" t="inlineStr">
        <is>
          <t>PPK</t>
        </is>
      </c>
      <c r="H2429" t="n">
        <v>20</v>
      </c>
      <c r="I2429" t="inlineStr">
        <is>
          <t>NAUTICA_MENS_208001378_BLK_1.jpg</t>
        </is>
      </c>
      <c r="J2429" t="inlineStr">
        <is>
          <t>NAUTICA_MENS_208001378_BLK_2.jpg</t>
        </is>
      </c>
      <c r="K2429" t="inlineStr">
        <is>
          <t>NAUTICA_MENS_208001378_BLK_3.jpg</t>
        </is>
      </c>
      <c r="L2429">
        <f>IMAGE("file:///E:/Estudios%20y%20certificaciones/ESTUDIOS%20DE%20PROGRAMMING/PROGRAMMING/PERSONAL/PYTHON/Image_Generator_API/imagenes/NAUTICA_MENS_208001378_BLK_1.jpg")</f>
        <v/>
      </c>
      <c r="M2429">
        <f>IMAGE("file:///E:/Estudios%20y%20certificaciones/ESTUDIOS%20DE%20PROGRAMMING/PROGRAMMING/PERSONAL/PYTHON/Image_Generator_API/imagenes/NAUTICA_MENS_208001378_BLK_2.jpg")</f>
        <v/>
      </c>
      <c r="N2429">
        <f>IMAGE("file:///E:/Estudios%20y%20certificaciones/ESTUDIOS%20DE%20PROGRAMMING/PROGRAMMING/PERSONAL/PYTHON/Image_Generator_API/imagenes/NAUTICA_MENS_208001378_BLK_3.jpg")</f>
        <v/>
      </c>
      <c r="O2429">
        <f>HYPERLINK("imagenes/NAUTICA_MENS_208001378_BLK_1.jpg","Ver imagen")</f>
        <v/>
      </c>
      <c r="P2429">
        <f>HYPERLINK("imagenes/NAUTICA_MENS_208001378_BLK_2.jpg","Ver imagen")</f>
        <v/>
      </c>
      <c r="Q2429">
        <f>HYPERLINK("imagenes/NAUTICA_MENS_208001378_BLK_3.jpg","Ver imagen")</f>
        <v/>
      </c>
    </row>
    <row r="2430">
      <c r="A2430" t="inlineStr">
        <is>
          <t>NAUTICA MENS</t>
        </is>
      </c>
      <c r="B2430" t="inlineStr">
        <is>
          <t>208001378</t>
        </is>
      </c>
      <c r="C2430" t="inlineStr">
        <is>
          <t>Lt Weight Quilted Vest</t>
        </is>
      </c>
      <c r="D2430" t="inlineStr">
        <is>
          <t>BLK</t>
        </is>
      </c>
      <c r="E2430" t="inlineStr">
        <is>
          <t>12A08</t>
        </is>
      </c>
      <c r="F2430" t="inlineStr">
        <is>
          <t>M2360</t>
        </is>
      </c>
      <c r="G2430" t="inlineStr">
        <is>
          <t>PPK</t>
        </is>
      </c>
      <c r="H2430" t="n">
        <v>12</v>
      </c>
      <c r="I2430" t="inlineStr">
        <is>
          <t>NAUTICA_MENS_208001378_BLK_1.jpg</t>
        </is>
      </c>
      <c r="J2430" t="inlineStr">
        <is>
          <t>NAUTICA_MENS_208001378_BLK_2.jpg</t>
        </is>
      </c>
      <c r="K2430" t="inlineStr">
        <is>
          <t>NAUTICA_MENS_208001378_BLK_3.jpg</t>
        </is>
      </c>
      <c r="L2430">
        <f>IMAGE("file:///E:/Estudios%20y%20certificaciones/ESTUDIOS%20DE%20PROGRAMMING/PROGRAMMING/PERSONAL/PYTHON/Image_Generator_API/imagenes/NAUTICA_MENS_208001378_BLK_1.jpg")</f>
        <v/>
      </c>
      <c r="M2430">
        <f>IMAGE("file:///E:/Estudios%20y%20certificaciones/ESTUDIOS%20DE%20PROGRAMMING/PROGRAMMING/PERSONAL/PYTHON/Image_Generator_API/imagenes/NAUTICA_MENS_208001378_BLK_2.jpg")</f>
        <v/>
      </c>
      <c r="N2430">
        <f>IMAGE("file:///E:/Estudios%20y%20certificaciones/ESTUDIOS%20DE%20PROGRAMMING/PROGRAMMING/PERSONAL/PYTHON/Image_Generator_API/imagenes/NAUTICA_MENS_208001378_BLK_3.jpg")</f>
        <v/>
      </c>
      <c r="O2430">
        <f>HYPERLINK("imagenes/NAUTICA_MENS_208001378_BLK_1.jpg","Ver imagen")</f>
        <v/>
      </c>
      <c r="P2430">
        <f>HYPERLINK("imagenes/NAUTICA_MENS_208001378_BLK_2.jpg","Ver imagen")</f>
        <v/>
      </c>
      <c r="Q2430">
        <f>HYPERLINK("imagenes/NAUTICA_MENS_208001378_BLK_3.jpg","Ver imagen")</f>
        <v/>
      </c>
    </row>
    <row r="2431">
      <c r="A2431" t="inlineStr">
        <is>
          <t>NAUTICA MENS</t>
        </is>
      </c>
      <c r="B2431" t="inlineStr">
        <is>
          <t>208001378</t>
        </is>
      </c>
      <c r="C2431" t="inlineStr">
        <is>
          <t>Lt Weight Quilted Vest</t>
        </is>
      </c>
      <c r="D2431" t="inlineStr">
        <is>
          <t>BLK</t>
        </is>
      </c>
      <c r="E2431" t="inlineStr">
        <is>
          <t>12A08</t>
        </is>
      </c>
      <c r="F2431" t="inlineStr">
        <is>
          <t>R2140</t>
        </is>
      </c>
      <c r="G2431" t="inlineStr">
        <is>
          <t>PPK</t>
        </is>
      </c>
      <c r="H2431" t="n">
        <v>0</v>
      </c>
      <c r="I2431" t="inlineStr">
        <is>
          <t>NAUTICA_MENS_208001378_BLK_1.jpg</t>
        </is>
      </c>
      <c r="J2431" t="inlineStr">
        <is>
          <t>NAUTICA_MENS_208001378_BLK_2.jpg</t>
        </is>
      </c>
      <c r="K2431" t="inlineStr">
        <is>
          <t>NAUTICA_MENS_208001378_BLK_3.jpg</t>
        </is>
      </c>
      <c r="L2431">
        <f>IMAGE("file:///E:/Estudios%20y%20certificaciones/ESTUDIOS%20DE%20PROGRAMMING/PROGRAMMING/PERSONAL/PYTHON/Image_Generator_API/imagenes/NAUTICA_MENS_208001378_BLK_1.jpg")</f>
        <v/>
      </c>
      <c r="M2431">
        <f>IMAGE("file:///E:/Estudios%20y%20certificaciones/ESTUDIOS%20DE%20PROGRAMMING/PROGRAMMING/PERSONAL/PYTHON/Image_Generator_API/imagenes/NAUTICA_MENS_208001378_BLK_2.jpg")</f>
        <v/>
      </c>
      <c r="N2431">
        <f>IMAGE("file:///E:/Estudios%20y%20certificaciones/ESTUDIOS%20DE%20PROGRAMMING/PROGRAMMING/PERSONAL/PYTHON/Image_Generator_API/imagenes/NAUTICA_MENS_208001378_BLK_3.jpg")</f>
        <v/>
      </c>
      <c r="O2431">
        <f>HYPERLINK("imagenes/NAUTICA_MENS_208001378_BLK_1.jpg","Ver imagen")</f>
        <v/>
      </c>
      <c r="P2431">
        <f>HYPERLINK("imagenes/NAUTICA_MENS_208001378_BLK_2.jpg","Ver imagen")</f>
        <v/>
      </c>
      <c r="Q2431">
        <f>HYPERLINK("imagenes/NAUTICA_MENS_208001378_BLK_3.jpg","Ver imagen")</f>
        <v/>
      </c>
    </row>
    <row r="2432">
      <c r="A2432" t="inlineStr">
        <is>
          <t>NAUTICA MENS</t>
        </is>
      </c>
      <c r="B2432" t="inlineStr">
        <is>
          <t>208001378</t>
        </is>
      </c>
      <c r="C2432" t="inlineStr">
        <is>
          <t>Lt Weight Quilted Vest</t>
        </is>
      </c>
      <c r="D2432" t="inlineStr">
        <is>
          <t>DDN</t>
        </is>
      </c>
      <c r="E2432" t="inlineStr">
        <is>
          <t>12A08</t>
        </is>
      </c>
      <c r="F2432" t="inlineStr">
        <is>
          <t>(en blanco)</t>
        </is>
      </c>
      <c r="G2432" t="inlineStr">
        <is>
          <t>PPK</t>
        </is>
      </c>
      <c r="H2432" t="n">
        <v>1020</v>
      </c>
      <c r="I2432" t="inlineStr">
        <is>
          <t>NAUTICA_MENS_208001378_DDN_1.jpg</t>
        </is>
      </c>
      <c r="J2432" t="inlineStr">
        <is>
          <t>NAUTICA_MENS_208001378_DDN_2.jpg</t>
        </is>
      </c>
      <c r="K2432" t="inlineStr">
        <is>
          <t>NAUTICA_MENS_208001378_DDN_3.jpg</t>
        </is>
      </c>
      <c r="L2432">
        <f>IMAGE("file:///E:/Estudios%20y%20certificaciones/ESTUDIOS%20DE%20PROGRAMMING/PROGRAMMING/PERSONAL/PYTHON/Image_Generator_API/imagenes/NAUTICA_MENS_208001378_DDN_1.jpg")</f>
        <v/>
      </c>
      <c r="M2432">
        <f>IMAGE("file:///E:/Estudios%20y%20certificaciones/ESTUDIOS%20DE%20PROGRAMMING/PROGRAMMING/PERSONAL/PYTHON/Image_Generator_API/imagenes/NAUTICA_MENS_208001378_DDN_2.jpg")</f>
        <v/>
      </c>
      <c r="N2432">
        <f>IMAGE("file:///E:/Estudios%20y%20certificaciones/ESTUDIOS%20DE%20PROGRAMMING/PROGRAMMING/PERSONAL/PYTHON/Image_Generator_API/imagenes/NAUTICA_MENS_208001378_DDN_3.jpg")</f>
        <v/>
      </c>
      <c r="O2432">
        <f>HYPERLINK("imagenes/NAUTICA_MENS_208001378_DDN_1.jpg","Ver imagen")</f>
        <v/>
      </c>
      <c r="P2432">
        <f>HYPERLINK("imagenes/NAUTICA_MENS_208001378_DDN_2.jpg","Ver imagen")</f>
        <v/>
      </c>
      <c r="Q2432">
        <f>HYPERLINK("imagenes/NAUTICA_MENS_208001378_DDN_3.jpg","Ver imagen")</f>
        <v/>
      </c>
    </row>
    <row r="2433">
      <c r="A2433" t="inlineStr">
        <is>
          <t>NAUTICA MENS</t>
        </is>
      </c>
      <c r="B2433" t="inlineStr">
        <is>
          <t>208001378</t>
        </is>
      </c>
      <c r="C2433" t="inlineStr">
        <is>
          <t>Lt Weight Quilted Vest</t>
        </is>
      </c>
      <c r="D2433" t="inlineStr">
        <is>
          <t>DDN</t>
        </is>
      </c>
      <c r="E2433" t="inlineStr">
        <is>
          <t>12A09</t>
        </is>
      </c>
      <c r="F2433" t="inlineStr">
        <is>
          <t>(en blanco)</t>
        </is>
      </c>
      <c r="G2433" t="inlineStr">
        <is>
          <t>PPK</t>
        </is>
      </c>
      <c r="H2433" t="n">
        <v>120</v>
      </c>
      <c r="I2433" t="inlineStr">
        <is>
          <t>NAUTICA_MENS_208001378_DDN_1.jpg</t>
        </is>
      </c>
      <c r="J2433" t="inlineStr">
        <is>
          <t>NAUTICA_MENS_208001378_DDN_2.jpg</t>
        </is>
      </c>
      <c r="K2433" t="inlineStr">
        <is>
          <t>NAUTICA_MENS_208001378_DDN_3.jpg</t>
        </is>
      </c>
      <c r="L2433">
        <f>IMAGE("file:///E:/Estudios%20y%20certificaciones/ESTUDIOS%20DE%20PROGRAMMING/PROGRAMMING/PERSONAL/PYTHON/Image_Generator_API/imagenes/NAUTICA_MENS_208001378_DDN_1.jpg")</f>
        <v/>
      </c>
      <c r="M2433">
        <f>IMAGE("file:///E:/Estudios%20y%20certificaciones/ESTUDIOS%20DE%20PROGRAMMING/PROGRAMMING/PERSONAL/PYTHON/Image_Generator_API/imagenes/NAUTICA_MENS_208001378_DDN_2.jpg")</f>
        <v/>
      </c>
      <c r="N2433">
        <f>IMAGE("file:///E:/Estudios%20y%20certificaciones/ESTUDIOS%20DE%20PROGRAMMING/PROGRAMMING/PERSONAL/PYTHON/Image_Generator_API/imagenes/NAUTICA_MENS_208001378_DDN_3.jpg")</f>
        <v/>
      </c>
      <c r="O2433">
        <f>HYPERLINK("imagenes/NAUTICA_MENS_208001378_DDN_1.jpg","Ver imagen")</f>
        <v/>
      </c>
      <c r="P2433">
        <f>HYPERLINK("imagenes/NAUTICA_MENS_208001378_DDN_2.jpg","Ver imagen")</f>
        <v/>
      </c>
      <c r="Q2433">
        <f>HYPERLINK("imagenes/NAUTICA_MENS_208001378_DDN_3.jpg","Ver imagen")</f>
        <v/>
      </c>
    </row>
    <row r="2434">
      <c r="A2434" t="inlineStr">
        <is>
          <t>NAUTICA MENS</t>
        </is>
      </c>
      <c r="B2434" t="inlineStr">
        <is>
          <t>208001378</t>
        </is>
      </c>
      <c r="C2434" t="inlineStr">
        <is>
          <t>Lt Weight Quilted Vest</t>
        </is>
      </c>
      <c r="D2434" t="inlineStr">
        <is>
          <t>DDN</t>
        </is>
      </c>
      <c r="E2434" t="inlineStr">
        <is>
          <t>(en blanco)</t>
        </is>
      </c>
      <c r="F2434" t="inlineStr">
        <is>
          <t>(en blanco)</t>
        </is>
      </c>
      <c r="G2434" t="inlineStr">
        <is>
          <t>S</t>
        </is>
      </c>
      <c r="H2434" t="n">
        <v>19</v>
      </c>
      <c r="I2434" t="inlineStr">
        <is>
          <t>NAUTICA_MENS_208001378_DDN_1.jpg</t>
        </is>
      </c>
      <c r="J2434" t="inlineStr">
        <is>
          <t>NAUTICA_MENS_208001378_DDN_2.jpg</t>
        </is>
      </c>
      <c r="K2434" t="inlineStr">
        <is>
          <t>NAUTICA_MENS_208001378_DDN_3.jpg</t>
        </is>
      </c>
      <c r="L2434">
        <f>IMAGE("file:///E:/Estudios%20y%20certificaciones/ESTUDIOS%20DE%20PROGRAMMING/PROGRAMMING/PERSONAL/PYTHON/Image_Generator_API/imagenes/NAUTICA_MENS_208001378_DDN_1.jpg")</f>
        <v/>
      </c>
      <c r="M2434">
        <f>IMAGE("file:///E:/Estudios%20y%20certificaciones/ESTUDIOS%20DE%20PROGRAMMING/PROGRAMMING/PERSONAL/PYTHON/Image_Generator_API/imagenes/NAUTICA_MENS_208001378_DDN_2.jpg")</f>
        <v/>
      </c>
      <c r="N2434">
        <f>IMAGE("file:///E:/Estudios%20y%20certificaciones/ESTUDIOS%20DE%20PROGRAMMING/PROGRAMMING/PERSONAL/PYTHON/Image_Generator_API/imagenes/NAUTICA_MENS_208001378_DDN_3.jpg")</f>
        <v/>
      </c>
      <c r="O2434">
        <f>HYPERLINK("imagenes/NAUTICA_MENS_208001378_DDN_1.jpg","Ver imagen")</f>
        <v/>
      </c>
      <c r="P2434">
        <f>HYPERLINK("imagenes/NAUTICA_MENS_208001378_DDN_2.jpg","Ver imagen")</f>
        <v/>
      </c>
      <c r="Q2434">
        <f>HYPERLINK("imagenes/NAUTICA_MENS_208001378_DDN_3.jpg","Ver imagen")</f>
        <v/>
      </c>
    </row>
    <row r="2435">
      <c r="A2435" t="inlineStr">
        <is>
          <t>NAUTICA MENS</t>
        </is>
      </c>
      <c r="B2435" t="inlineStr">
        <is>
          <t>208001378</t>
        </is>
      </c>
      <c r="C2435" t="inlineStr">
        <is>
          <t>Lt Weight Quilted Vest</t>
        </is>
      </c>
      <c r="D2435" t="inlineStr">
        <is>
          <t>DDN</t>
        </is>
      </c>
      <c r="E2435" t="inlineStr">
        <is>
          <t>(en blanco)</t>
        </is>
      </c>
      <c r="F2435" t="inlineStr">
        <is>
          <t>(en blanco)</t>
        </is>
      </c>
      <c r="G2435" t="inlineStr">
        <is>
          <t>M</t>
        </is>
      </c>
      <c r="H2435" t="n">
        <v>58</v>
      </c>
      <c r="I2435" t="inlineStr">
        <is>
          <t>NAUTICA_MENS_208001378_DDN_1.jpg</t>
        </is>
      </c>
      <c r="J2435" t="inlineStr">
        <is>
          <t>NAUTICA_MENS_208001378_DDN_2.jpg</t>
        </is>
      </c>
      <c r="K2435" t="inlineStr">
        <is>
          <t>NAUTICA_MENS_208001378_DDN_3.jpg</t>
        </is>
      </c>
      <c r="L2435">
        <f>IMAGE("file:///E:/Estudios%20y%20certificaciones/ESTUDIOS%20DE%20PROGRAMMING/PROGRAMMING/PERSONAL/PYTHON/Image_Generator_API/imagenes/NAUTICA_MENS_208001378_DDN_1.jpg")</f>
        <v/>
      </c>
      <c r="M2435">
        <f>IMAGE("file:///E:/Estudios%20y%20certificaciones/ESTUDIOS%20DE%20PROGRAMMING/PROGRAMMING/PERSONAL/PYTHON/Image_Generator_API/imagenes/NAUTICA_MENS_208001378_DDN_2.jpg")</f>
        <v/>
      </c>
      <c r="N2435">
        <f>IMAGE("file:///E:/Estudios%20y%20certificaciones/ESTUDIOS%20DE%20PROGRAMMING/PROGRAMMING/PERSONAL/PYTHON/Image_Generator_API/imagenes/NAUTICA_MENS_208001378_DDN_3.jpg")</f>
        <v/>
      </c>
      <c r="O2435">
        <f>HYPERLINK("imagenes/NAUTICA_MENS_208001378_DDN_1.jpg","Ver imagen")</f>
        <v/>
      </c>
      <c r="P2435">
        <f>HYPERLINK("imagenes/NAUTICA_MENS_208001378_DDN_2.jpg","Ver imagen")</f>
        <v/>
      </c>
      <c r="Q2435">
        <f>HYPERLINK("imagenes/NAUTICA_MENS_208001378_DDN_3.jpg","Ver imagen")</f>
        <v/>
      </c>
    </row>
    <row r="2436">
      <c r="A2436" t="inlineStr">
        <is>
          <t>NAUTICA MENS</t>
        </is>
      </c>
      <c r="B2436" t="inlineStr">
        <is>
          <t>208001378</t>
        </is>
      </c>
      <c r="C2436" t="inlineStr">
        <is>
          <t>Lt Weight Quilted Vest</t>
        </is>
      </c>
      <c r="D2436" t="inlineStr">
        <is>
          <t>DDN</t>
        </is>
      </c>
      <c r="E2436" t="inlineStr">
        <is>
          <t>(en blanco)</t>
        </is>
      </c>
      <c r="F2436" t="inlineStr">
        <is>
          <t>(en blanco)</t>
        </is>
      </c>
      <c r="G2436" t="inlineStr">
        <is>
          <t>L</t>
        </is>
      </c>
      <c r="H2436" t="n">
        <v>58</v>
      </c>
      <c r="I2436" t="inlineStr">
        <is>
          <t>NAUTICA_MENS_208001378_DDN_1.jpg</t>
        </is>
      </c>
      <c r="J2436" t="inlineStr">
        <is>
          <t>NAUTICA_MENS_208001378_DDN_2.jpg</t>
        </is>
      </c>
      <c r="K2436" t="inlineStr">
        <is>
          <t>NAUTICA_MENS_208001378_DDN_3.jpg</t>
        </is>
      </c>
      <c r="L2436">
        <f>IMAGE("file:///E:/Estudios%20y%20certificaciones/ESTUDIOS%20DE%20PROGRAMMING/PROGRAMMING/PERSONAL/PYTHON/Image_Generator_API/imagenes/NAUTICA_MENS_208001378_DDN_1.jpg")</f>
        <v/>
      </c>
      <c r="M2436">
        <f>IMAGE("file:///E:/Estudios%20y%20certificaciones/ESTUDIOS%20DE%20PROGRAMMING/PROGRAMMING/PERSONAL/PYTHON/Image_Generator_API/imagenes/NAUTICA_MENS_208001378_DDN_2.jpg")</f>
        <v/>
      </c>
      <c r="N2436">
        <f>IMAGE("file:///E:/Estudios%20y%20certificaciones/ESTUDIOS%20DE%20PROGRAMMING/PROGRAMMING/PERSONAL/PYTHON/Image_Generator_API/imagenes/NAUTICA_MENS_208001378_DDN_3.jpg")</f>
        <v/>
      </c>
      <c r="O2436">
        <f>HYPERLINK("imagenes/NAUTICA_MENS_208001378_DDN_1.jpg","Ver imagen")</f>
        <v/>
      </c>
      <c r="P2436">
        <f>HYPERLINK("imagenes/NAUTICA_MENS_208001378_DDN_2.jpg","Ver imagen")</f>
        <v/>
      </c>
      <c r="Q2436">
        <f>HYPERLINK("imagenes/NAUTICA_MENS_208001378_DDN_3.jpg","Ver imagen")</f>
        <v/>
      </c>
    </row>
    <row r="2437">
      <c r="A2437" t="inlineStr">
        <is>
          <t>NAUTICA MENS</t>
        </is>
      </c>
      <c r="B2437" t="inlineStr">
        <is>
          <t>208001378</t>
        </is>
      </c>
      <c r="C2437" t="inlineStr">
        <is>
          <t>Lt Weight Quilted Vest</t>
        </is>
      </c>
      <c r="D2437" t="inlineStr">
        <is>
          <t>DDN</t>
        </is>
      </c>
      <c r="E2437" t="inlineStr">
        <is>
          <t>(en blanco)</t>
        </is>
      </c>
      <c r="F2437" t="inlineStr">
        <is>
          <t>(en blanco)</t>
        </is>
      </c>
      <c r="G2437" t="inlineStr">
        <is>
          <t>XL</t>
        </is>
      </c>
      <c r="H2437" t="n">
        <v>21</v>
      </c>
      <c r="I2437" t="inlineStr">
        <is>
          <t>NAUTICA_MENS_208001378_DDN_1.jpg</t>
        </is>
      </c>
      <c r="J2437" t="inlineStr">
        <is>
          <t>NAUTICA_MENS_208001378_DDN_2.jpg</t>
        </is>
      </c>
      <c r="K2437" t="inlineStr">
        <is>
          <t>NAUTICA_MENS_208001378_DDN_3.jpg</t>
        </is>
      </c>
      <c r="L2437">
        <f>IMAGE("file:///E:/Estudios%20y%20certificaciones/ESTUDIOS%20DE%20PROGRAMMING/PROGRAMMING/PERSONAL/PYTHON/Image_Generator_API/imagenes/NAUTICA_MENS_208001378_DDN_1.jpg")</f>
        <v/>
      </c>
      <c r="M2437">
        <f>IMAGE("file:///E:/Estudios%20y%20certificaciones/ESTUDIOS%20DE%20PROGRAMMING/PROGRAMMING/PERSONAL/PYTHON/Image_Generator_API/imagenes/NAUTICA_MENS_208001378_DDN_2.jpg")</f>
        <v/>
      </c>
      <c r="N2437">
        <f>IMAGE("file:///E:/Estudios%20y%20certificaciones/ESTUDIOS%20DE%20PROGRAMMING/PROGRAMMING/PERSONAL/PYTHON/Image_Generator_API/imagenes/NAUTICA_MENS_208001378_DDN_3.jpg")</f>
        <v/>
      </c>
      <c r="O2437">
        <f>HYPERLINK("imagenes/NAUTICA_MENS_208001378_DDN_1.jpg","Ver imagen")</f>
        <v/>
      </c>
      <c r="P2437">
        <f>HYPERLINK("imagenes/NAUTICA_MENS_208001378_DDN_2.jpg","Ver imagen")</f>
        <v/>
      </c>
      <c r="Q2437">
        <f>HYPERLINK("imagenes/NAUTICA_MENS_208001378_DDN_3.jpg","Ver imagen")</f>
        <v/>
      </c>
    </row>
    <row r="2438">
      <c r="A2438" t="inlineStr">
        <is>
          <t>NAUTICA MENS</t>
        </is>
      </c>
      <c r="B2438" t="inlineStr">
        <is>
          <t>208001378</t>
        </is>
      </c>
      <c r="C2438" t="inlineStr">
        <is>
          <t>Lt Weight Quilted Vest</t>
        </is>
      </c>
      <c r="D2438" t="inlineStr">
        <is>
          <t>DDN</t>
        </is>
      </c>
      <c r="E2438" t="inlineStr">
        <is>
          <t>(en blanco)</t>
        </is>
      </c>
      <c r="F2438" t="inlineStr">
        <is>
          <t>(en blanco)</t>
        </is>
      </c>
      <c r="G2438" t="inlineStr">
        <is>
          <t>XXL</t>
        </is>
      </c>
      <c r="H2438" t="n">
        <v>0</v>
      </c>
      <c r="I2438" t="inlineStr">
        <is>
          <t>NAUTICA_MENS_208001378_DDN_1.jpg</t>
        </is>
      </c>
      <c r="J2438" t="inlineStr">
        <is>
          <t>NAUTICA_MENS_208001378_DDN_2.jpg</t>
        </is>
      </c>
      <c r="K2438" t="inlineStr">
        <is>
          <t>NAUTICA_MENS_208001378_DDN_3.jpg</t>
        </is>
      </c>
      <c r="L2438">
        <f>IMAGE("file:///E:/Estudios%20y%20certificaciones/ESTUDIOS%20DE%20PROGRAMMING/PROGRAMMING/PERSONAL/PYTHON/Image_Generator_API/imagenes/NAUTICA_MENS_208001378_DDN_1.jpg")</f>
        <v/>
      </c>
      <c r="M2438">
        <f>IMAGE("file:///E:/Estudios%20y%20certificaciones/ESTUDIOS%20DE%20PROGRAMMING/PROGRAMMING/PERSONAL/PYTHON/Image_Generator_API/imagenes/NAUTICA_MENS_208001378_DDN_2.jpg")</f>
        <v/>
      </c>
      <c r="N2438">
        <f>IMAGE("file:///E:/Estudios%20y%20certificaciones/ESTUDIOS%20DE%20PROGRAMMING/PROGRAMMING/PERSONAL/PYTHON/Image_Generator_API/imagenes/NAUTICA_MENS_208001378_DDN_3.jpg")</f>
        <v/>
      </c>
      <c r="O2438">
        <f>HYPERLINK("imagenes/NAUTICA_MENS_208001378_DDN_1.jpg","Ver imagen")</f>
        <v/>
      </c>
      <c r="P2438">
        <f>HYPERLINK("imagenes/NAUTICA_MENS_208001378_DDN_2.jpg","Ver imagen")</f>
        <v/>
      </c>
      <c r="Q2438">
        <f>HYPERLINK("imagenes/NAUTICA_MENS_208001378_DDN_3.jpg","Ver imagen")</f>
        <v/>
      </c>
    </row>
    <row r="2439">
      <c r="A2439" t="inlineStr">
        <is>
          <t>NAUTICA MENS</t>
        </is>
      </c>
      <c r="B2439" t="inlineStr">
        <is>
          <t>208001378</t>
        </is>
      </c>
      <c r="C2439" t="inlineStr">
        <is>
          <t>Lt Weight Quilted Vest</t>
        </is>
      </c>
      <c r="D2439" t="inlineStr">
        <is>
          <t>GBN</t>
        </is>
      </c>
      <c r="E2439" t="inlineStr">
        <is>
          <t>12A08</t>
        </is>
      </c>
      <c r="F2439" t="inlineStr">
        <is>
          <t>(en blanco)</t>
        </is>
      </c>
      <c r="G2439" t="inlineStr">
        <is>
          <t>PPK</t>
        </is>
      </c>
      <c r="H2439" t="n">
        <v>492</v>
      </c>
      <c r="I2439" t="inlineStr">
        <is>
          <t>NAUTICA_MENS_208001378_GBN_1.jpg</t>
        </is>
      </c>
      <c r="J2439" t="inlineStr">
        <is>
          <t>NAUTICA_MENS_208001378_GBN_2.jpg</t>
        </is>
      </c>
      <c r="K2439" t="inlineStr">
        <is>
          <t>NAUTICA_MENS_208001378_GBN_3.jpg</t>
        </is>
      </c>
      <c r="L2439">
        <f>IMAGE("file:///E:/Estudios%20y%20certificaciones/ESTUDIOS%20DE%20PROGRAMMING/PROGRAMMING/PERSONAL/PYTHON/Image_Generator_API/imagenes/NAUTICA_MENS_208001378_GBN_1.jpg")</f>
        <v/>
      </c>
      <c r="M2439">
        <f>IMAGE("file:///E:/Estudios%20y%20certificaciones/ESTUDIOS%20DE%20PROGRAMMING/PROGRAMMING/PERSONAL/PYTHON/Image_Generator_API/imagenes/NAUTICA_MENS_208001378_GBN_2.jpg")</f>
        <v/>
      </c>
      <c r="N2439">
        <f>IMAGE("file:///E:/Estudios%20y%20certificaciones/ESTUDIOS%20DE%20PROGRAMMING/PROGRAMMING/PERSONAL/PYTHON/Image_Generator_API/imagenes/NAUTICA_MENS_208001378_GBN_3.jpg")</f>
        <v/>
      </c>
      <c r="O2439">
        <f>HYPERLINK("imagenes/NAUTICA_MENS_208001378_GBN_1.jpg","Ver imagen")</f>
        <v/>
      </c>
      <c r="P2439">
        <f>HYPERLINK("imagenes/NAUTICA_MENS_208001378_GBN_2.jpg","Ver imagen")</f>
        <v/>
      </c>
      <c r="Q2439">
        <f>HYPERLINK("imagenes/NAUTICA_MENS_208001378_GBN_3.jpg","Ver imagen")</f>
        <v/>
      </c>
    </row>
    <row r="2440">
      <c r="A2440" t="inlineStr">
        <is>
          <t>NAUTICA MENS</t>
        </is>
      </c>
      <c r="B2440" t="inlineStr">
        <is>
          <t>208001378</t>
        </is>
      </c>
      <c r="C2440" t="inlineStr">
        <is>
          <t>Lt Weight Quilted Vest</t>
        </is>
      </c>
      <c r="D2440" t="inlineStr">
        <is>
          <t>GBN</t>
        </is>
      </c>
      <c r="E2440" t="inlineStr">
        <is>
          <t>12A09</t>
        </is>
      </c>
      <c r="F2440" t="inlineStr">
        <is>
          <t>(en blanco)</t>
        </is>
      </c>
      <c r="G2440" t="inlineStr">
        <is>
          <t>PPK</t>
        </is>
      </c>
      <c r="H2440" t="n">
        <v>216</v>
      </c>
      <c r="I2440" t="inlineStr">
        <is>
          <t>NAUTICA_MENS_208001378_GBN_1.jpg</t>
        </is>
      </c>
      <c r="J2440" t="inlineStr">
        <is>
          <t>NAUTICA_MENS_208001378_GBN_2.jpg</t>
        </is>
      </c>
      <c r="K2440" t="inlineStr">
        <is>
          <t>NAUTICA_MENS_208001378_GBN_3.jpg</t>
        </is>
      </c>
      <c r="L2440">
        <f>IMAGE("file:///E:/Estudios%20y%20certificaciones/ESTUDIOS%20DE%20PROGRAMMING/PROGRAMMING/PERSONAL/PYTHON/Image_Generator_API/imagenes/NAUTICA_MENS_208001378_GBN_1.jpg")</f>
        <v/>
      </c>
      <c r="M2440">
        <f>IMAGE("file:///E:/Estudios%20y%20certificaciones/ESTUDIOS%20DE%20PROGRAMMING/PROGRAMMING/PERSONAL/PYTHON/Image_Generator_API/imagenes/NAUTICA_MENS_208001378_GBN_2.jpg")</f>
        <v/>
      </c>
      <c r="N2440">
        <f>IMAGE("file:///E:/Estudios%20y%20certificaciones/ESTUDIOS%20DE%20PROGRAMMING/PROGRAMMING/PERSONAL/PYTHON/Image_Generator_API/imagenes/NAUTICA_MENS_208001378_GBN_3.jpg")</f>
        <v/>
      </c>
      <c r="O2440">
        <f>HYPERLINK("imagenes/NAUTICA_MENS_208001378_GBN_1.jpg","Ver imagen")</f>
        <v/>
      </c>
      <c r="P2440">
        <f>HYPERLINK("imagenes/NAUTICA_MENS_208001378_GBN_2.jpg","Ver imagen")</f>
        <v/>
      </c>
      <c r="Q2440">
        <f>HYPERLINK("imagenes/NAUTICA_MENS_208001378_GBN_3.jpg","Ver imagen")</f>
        <v/>
      </c>
    </row>
    <row r="2441">
      <c r="A2441" t="inlineStr">
        <is>
          <t>NAUTICA MENS</t>
        </is>
      </c>
      <c r="B2441" t="inlineStr">
        <is>
          <t>208001378</t>
        </is>
      </c>
      <c r="C2441" t="inlineStr">
        <is>
          <t>Lt Weight Quilted Vest</t>
        </is>
      </c>
      <c r="D2441" t="inlineStr">
        <is>
          <t>GBN</t>
        </is>
      </c>
      <c r="E2441" t="inlineStr">
        <is>
          <t>(en blanco)</t>
        </is>
      </c>
      <c r="F2441" t="inlineStr">
        <is>
          <t>(en blanco)</t>
        </is>
      </c>
      <c r="G2441" t="inlineStr">
        <is>
          <t>S</t>
        </is>
      </c>
      <c r="H2441" t="n">
        <v>10</v>
      </c>
      <c r="I2441" t="inlineStr">
        <is>
          <t>NAUTICA_MENS_208001378_GBN_1.jpg</t>
        </is>
      </c>
      <c r="J2441" t="inlineStr">
        <is>
          <t>NAUTICA_MENS_208001378_GBN_2.jpg</t>
        </is>
      </c>
      <c r="K2441" t="inlineStr">
        <is>
          <t>NAUTICA_MENS_208001378_GBN_3.jpg</t>
        </is>
      </c>
      <c r="L2441">
        <f>IMAGE("file:///E:/Estudios%20y%20certificaciones/ESTUDIOS%20DE%20PROGRAMMING/PROGRAMMING/PERSONAL/PYTHON/Image_Generator_API/imagenes/NAUTICA_MENS_208001378_GBN_1.jpg")</f>
        <v/>
      </c>
      <c r="M2441">
        <f>IMAGE("file:///E:/Estudios%20y%20certificaciones/ESTUDIOS%20DE%20PROGRAMMING/PROGRAMMING/PERSONAL/PYTHON/Image_Generator_API/imagenes/NAUTICA_MENS_208001378_GBN_2.jpg")</f>
        <v/>
      </c>
      <c r="N2441">
        <f>IMAGE("file:///E:/Estudios%20y%20certificaciones/ESTUDIOS%20DE%20PROGRAMMING/PROGRAMMING/PERSONAL/PYTHON/Image_Generator_API/imagenes/NAUTICA_MENS_208001378_GBN_3.jpg")</f>
        <v/>
      </c>
      <c r="O2441">
        <f>HYPERLINK("imagenes/NAUTICA_MENS_208001378_GBN_1.jpg","Ver imagen")</f>
        <v/>
      </c>
      <c r="P2441">
        <f>HYPERLINK("imagenes/NAUTICA_MENS_208001378_GBN_2.jpg","Ver imagen")</f>
        <v/>
      </c>
      <c r="Q2441">
        <f>HYPERLINK("imagenes/NAUTICA_MENS_208001378_GBN_3.jpg","Ver imagen")</f>
        <v/>
      </c>
    </row>
    <row r="2442">
      <c r="A2442" t="inlineStr">
        <is>
          <t>NAUTICA MENS</t>
        </is>
      </c>
      <c r="B2442" t="inlineStr">
        <is>
          <t>208001378</t>
        </is>
      </c>
      <c r="C2442" t="inlineStr">
        <is>
          <t>Lt Weight Quilted Vest</t>
        </is>
      </c>
      <c r="D2442" t="inlineStr">
        <is>
          <t>GBN</t>
        </is>
      </c>
      <c r="E2442" t="inlineStr">
        <is>
          <t>(en blanco)</t>
        </is>
      </c>
      <c r="F2442" t="inlineStr">
        <is>
          <t>(en blanco)</t>
        </is>
      </c>
      <c r="G2442" t="inlineStr">
        <is>
          <t>M</t>
        </is>
      </c>
      <c r="H2442" t="n">
        <v>31</v>
      </c>
      <c r="I2442" t="inlineStr">
        <is>
          <t>NAUTICA_MENS_208001378_GBN_1.jpg</t>
        </is>
      </c>
      <c r="J2442" t="inlineStr">
        <is>
          <t>NAUTICA_MENS_208001378_GBN_2.jpg</t>
        </is>
      </c>
      <c r="K2442" t="inlineStr">
        <is>
          <t>NAUTICA_MENS_208001378_GBN_3.jpg</t>
        </is>
      </c>
      <c r="L2442">
        <f>IMAGE("file:///E:/Estudios%20y%20certificaciones/ESTUDIOS%20DE%20PROGRAMMING/PROGRAMMING/PERSONAL/PYTHON/Image_Generator_API/imagenes/NAUTICA_MENS_208001378_GBN_1.jpg")</f>
        <v/>
      </c>
      <c r="M2442">
        <f>IMAGE("file:///E:/Estudios%20y%20certificaciones/ESTUDIOS%20DE%20PROGRAMMING/PROGRAMMING/PERSONAL/PYTHON/Image_Generator_API/imagenes/NAUTICA_MENS_208001378_GBN_2.jpg")</f>
        <v/>
      </c>
      <c r="N2442">
        <f>IMAGE("file:///E:/Estudios%20y%20certificaciones/ESTUDIOS%20DE%20PROGRAMMING/PROGRAMMING/PERSONAL/PYTHON/Image_Generator_API/imagenes/NAUTICA_MENS_208001378_GBN_3.jpg")</f>
        <v/>
      </c>
      <c r="O2442">
        <f>HYPERLINK("imagenes/NAUTICA_MENS_208001378_GBN_1.jpg","Ver imagen")</f>
        <v/>
      </c>
      <c r="P2442">
        <f>HYPERLINK("imagenes/NAUTICA_MENS_208001378_GBN_2.jpg","Ver imagen")</f>
        <v/>
      </c>
      <c r="Q2442">
        <f>HYPERLINK("imagenes/NAUTICA_MENS_208001378_GBN_3.jpg","Ver imagen")</f>
        <v/>
      </c>
    </row>
    <row r="2443">
      <c r="A2443" t="inlineStr">
        <is>
          <t>NAUTICA MENS</t>
        </is>
      </c>
      <c r="B2443" t="inlineStr">
        <is>
          <t>208001378</t>
        </is>
      </c>
      <c r="C2443" t="inlineStr">
        <is>
          <t>Lt Weight Quilted Vest</t>
        </is>
      </c>
      <c r="D2443" t="inlineStr">
        <is>
          <t>GBN</t>
        </is>
      </c>
      <c r="E2443" t="inlineStr">
        <is>
          <t>(en blanco)</t>
        </is>
      </c>
      <c r="F2443" t="inlineStr">
        <is>
          <t>(en blanco)</t>
        </is>
      </c>
      <c r="G2443" t="inlineStr">
        <is>
          <t>L</t>
        </is>
      </c>
      <c r="H2443" t="n">
        <v>38</v>
      </c>
      <c r="I2443" t="inlineStr">
        <is>
          <t>NAUTICA_MENS_208001378_GBN_1.jpg</t>
        </is>
      </c>
      <c r="J2443" t="inlineStr">
        <is>
          <t>NAUTICA_MENS_208001378_GBN_2.jpg</t>
        </is>
      </c>
      <c r="K2443" t="inlineStr">
        <is>
          <t>NAUTICA_MENS_208001378_GBN_3.jpg</t>
        </is>
      </c>
      <c r="L2443">
        <f>IMAGE("file:///E:/Estudios%20y%20certificaciones/ESTUDIOS%20DE%20PROGRAMMING/PROGRAMMING/PERSONAL/PYTHON/Image_Generator_API/imagenes/NAUTICA_MENS_208001378_GBN_1.jpg")</f>
        <v/>
      </c>
      <c r="M2443">
        <f>IMAGE("file:///E:/Estudios%20y%20certificaciones/ESTUDIOS%20DE%20PROGRAMMING/PROGRAMMING/PERSONAL/PYTHON/Image_Generator_API/imagenes/NAUTICA_MENS_208001378_GBN_2.jpg")</f>
        <v/>
      </c>
      <c r="N2443">
        <f>IMAGE("file:///E:/Estudios%20y%20certificaciones/ESTUDIOS%20DE%20PROGRAMMING/PROGRAMMING/PERSONAL/PYTHON/Image_Generator_API/imagenes/NAUTICA_MENS_208001378_GBN_3.jpg")</f>
        <v/>
      </c>
      <c r="O2443">
        <f>HYPERLINK("imagenes/NAUTICA_MENS_208001378_GBN_1.jpg","Ver imagen")</f>
        <v/>
      </c>
      <c r="P2443">
        <f>HYPERLINK("imagenes/NAUTICA_MENS_208001378_GBN_2.jpg","Ver imagen")</f>
        <v/>
      </c>
      <c r="Q2443">
        <f>HYPERLINK("imagenes/NAUTICA_MENS_208001378_GBN_3.jpg","Ver imagen")</f>
        <v/>
      </c>
    </row>
    <row r="2444">
      <c r="A2444" t="inlineStr">
        <is>
          <t>NAUTICA MENS</t>
        </is>
      </c>
      <c r="B2444" t="inlineStr">
        <is>
          <t>208001378</t>
        </is>
      </c>
      <c r="C2444" t="inlineStr">
        <is>
          <t>Lt Weight Quilted Vest</t>
        </is>
      </c>
      <c r="D2444" t="inlineStr">
        <is>
          <t>GBN</t>
        </is>
      </c>
      <c r="E2444" t="inlineStr">
        <is>
          <t>(en blanco)</t>
        </is>
      </c>
      <c r="F2444" t="inlineStr">
        <is>
          <t>(en blanco)</t>
        </is>
      </c>
      <c r="G2444" t="inlineStr">
        <is>
          <t>XL</t>
        </is>
      </c>
      <c r="H2444" t="n">
        <v>18</v>
      </c>
      <c r="I2444" t="inlineStr">
        <is>
          <t>NAUTICA_MENS_208001378_GBN_1.jpg</t>
        </is>
      </c>
      <c r="J2444" t="inlineStr">
        <is>
          <t>NAUTICA_MENS_208001378_GBN_2.jpg</t>
        </is>
      </c>
      <c r="K2444" t="inlineStr">
        <is>
          <t>NAUTICA_MENS_208001378_GBN_3.jpg</t>
        </is>
      </c>
      <c r="L2444">
        <f>IMAGE("file:///E:/Estudios%20y%20certificaciones/ESTUDIOS%20DE%20PROGRAMMING/PROGRAMMING/PERSONAL/PYTHON/Image_Generator_API/imagenes/NAUTICA_MENS_208001378_GBN_1.jpg")</f>
        <v/>
      </c>
      <c r="M2444">
        <f>IMAGE("file:///E:/Estudios%20y%20certificaciones/ESTUDIOS%20DE%20PROGRAMMING/PROGRAMMING/PERSONAL/PYTHON/Image_Generator_API/imagenes/NAUTICA_MENS_208001378_GBN_2.jpg")</f>
        <v/>
      </c>
      <c r="N2444">
        <f>IMAGE("file:///E:/Estudios%20y%20certificaciones/ESTUDIOS%20DE%20PROGRAMMING/PROGRAMMING/PERSONAL/PYTHON/Image_Generator_API/imagenes/NAUTICA_MENS_208001378_GBN_3.jpg")</f>
        <v/>
      </c>
      <c r="O2444">
        <f>HYPERLINK("imagenes/NAUTICA_MENS_208001378_GBN_1.jpg","Ver imagen")</f>
        <v/>
      </c>
      <c r="P2444">
        <f>HYPERLINK("imagenes/NAUTICA_MENS_208001378_GBN_2.jpg","Ver imagen")</f>
        <v/>
      </c>
      <c r="Q2444">
        <f>HYPERLINK("imagenes/NAUTICA_MENS_208001378_GBN_3.jpg","Ver imagen")</f>
        <v/>
      </c>
    </row>
    <row r="2445">
      <c r="A2445" t="inlineStr">
        <is>
          <t>NAUTICA MENS</t>
        </is>
      </c>
      <c r="B2445" t="inlineStr">
        <is>
          <t>208001378</t>
        </is>
      </c>
      <c r="C2445" t="inlineStr">
        <is>
          <t>Lt Weight Quilted Vest</t>
        </is>
      </c>
      <c r="D2445" t="inlineStr">
        <is>
          <t>GBN</t>
        </is>
      </c>
      <c r="E2445" t="inlineStr">
        <is>
          <t>(en blanco)</t>
        </is>
      </c>
      <c r="F2445" t="inlineStr">
        <is>
          <t>(en blanco)</t>
        </is>
      </c>
      <c r="G2445" t="inlineStr">
        <is>
          <t>XXL</t>
        </is>
      </c>
      <c r="H2445" t="n">
        <v>0</v>
      </c>
      <c r="I2445" t="inlineStr">
        <is>
          <t>NAUTICA_MENS_208001378_GBN_1.jpg</t>
        </is>
      </c>
      <c r="J2445" t="inlineStr">
        <is>
          <t>NAUTICA_MENS_208001378_GBN_2.jpg</t>
        </is>
      </c>
      <c r="K2445" t="inlineStr">
        <is>
          <t>NAUTICA_MENS_208001378_GBN_3.jpg</t>
        </is>
      </c>
      <c r="L2445">
        <f>IMAGE("file:///E:/Estudios%20y%20certificaciones/ESTUDIOS%20DE%20PROGRAMMING/PROGRAMMING/PERSONAL/PYTHON/Image_Generator_API/imagenes/NAUTICA_MENS_208001378_GBN_1.jpg")</f>
        <v/>
      </c>
      <c r="M2445">
        <f>IMAGE("file:///E:/Estudios%20y%20certificaciones/ESTUDIOS%20DE%20PROGRAMMING/PROGRAMMING/PERSONAL/PYTHON/Image_Generator_API/imagenes/NAUTICA_MENS_208001378_GBN_2.jpg")</f>
        <v/>
      </c>
      <c r="N2445">
        <f>IMAGE("file:///E:/Estudios%20y%20certificaciones/ESTUDIOS%20DE%20PROGRAMMING/PROGRAMMING/PERSONAL/PYTHON/Image_Generator_API/imagenes/NAUTICA_MENS_208001378_GBN_3.jpg")</f>
        <v/>
      </c>
      <c r="O2445">
        <f>HYPERLINK("imagenes/NAUTICA_MENS_208001378_GBN_1.jpg","Ver imagen")</f>
        <v/>
      </c>
      <c r="P2445">
        <f>HYPERLINK("imagenes/NAUTICA_MENS_208001378_GBN_2.jpg","Ver imagen")</f>
        <v/>
      </c>
      <c r="Q2445">
        <f>HYPERLINK("imagenes/NAUTICA_MENS_208001378_GBN_3.jpg","Ver imagen")</f>
        <v/>
      </c>
    </row>
    <row r="2446">
      <c r="A2446" t="inlineStr">
        <is>
          <t>NAUTICA MENS</t>
        </is>
      </c>
      <c r="B2446" t="inlineStr">
        <is>
          <t>208001378</t>
        </is>
      </c>
      <c r="C2446" t="inlineStr">
        <is>
          <t>Lt Weight Quilted Vest</t>
        </is>
      </c>
      <c r="D2446" t="inlineStr">
        <is>
          <t>MTA</t>
        </is>
      </c>
      <c r="E2446" t="inlineStr">
        <is>
          <t>12A09</t>
        </is>
      </c>
      <c r="F2446" t="inlineStr">
        <is>
          <t>(en blanco)</t>
        </is>
      </c>
      <c r="G2446" t="inlineStr">
        <is>
          <t>PPK</t>
        </is>
      </c>
      <c r="H2446" t="n">
        <v>1980</v>
      </c>
      <c r="I2446" t="inlineStr">
        <is>
          <t>NAUTICA_MENS_208001378_MTA_1.jpg</t>
        </is>
      </c>
      <c r="J2446" t="inlineStr">
        <is>
          <t>NAUTICA_MENS_208001378_MTA_2.jpg</t>
        </is>
      </c>
      <c r="K2446" t="inlineStr">
        <is>
          <t>NAUTICA_MENS_208001378_MTA_3.jpg</t>
        </is>
      </c>
      <c r="L2446">
        <f>IMAGE("file:///E:/Estudios%20y%20certificaciones/ESTUDIOS%20DE%20PROGRAMMING/PROGRAMMING/PERSONAL/PYTHON/Image_Generator_API/imagenes/NAUTICA_MENS_208001378_MTA_1.jpg")</f>
        <v/>
      </c>
      <c r="M2446">
        <f>IMAGE("file:///E:/Estudios%20y%20certificaciones/ESTUDIOS%20DE%20PROGRAMMING/PROGRAMMING/PERSONAL/PYTHON/Image_Generator_API/imagenes/NAUTICA_MENS_208001378_MTA_2.jpg")</f>
        <v/>
      </c>
      <c r="N2446">
        <f>IMAGE("file:///E:/Estudios%20y%20certificaciones/ESTUDIOS%20DE%20PROGRAMMING/PROGRAMMING/PERSONAL/PYTHON/Image_Generator_API/imagenes/NAUTICA_MENS_208001378_MTA_3.jpg")</f>
        <v/>
      </c>
      <c r="O2446">
        <f>HYPERLINK("imagenes/NAUTICA_MENS_208001378_MTA_1.jpg","Ver imagen")</f>
        <v/>
      </c>
      <c r="P2446">
        <f>HYPERLINK("imagenes/NAUTICA_MENS_208001378_MTA_2.jpg","Ver imagen")</f>
        <v/>
      </c>
      <c r="Q2446">
        <f>HYPERLINK("imagenes/NAUTICA_MENS_208001378_MTA_3.jpg","Ver imagen")</f>
        <v/>
      </c>
    </row>
    <row r="2447">
      <c r="A2447" t="inlineStr">
        <is>
          <t>NAUTICA MENS</t>
        </is>
      </c>
      <c r="B2447" t="inlineStr">
        <is>
          <t>208001378</t>
        </is>
      </c>
      <c r="C2447" t="inlineStr">
        <is>
          <t>Lt Weight Quilted Vest</t>
        </is>
      </c>
      <c r="D2447" t="inlineStr">
        <is>
          <t>MTA</t>
        </is>
      </c>
      <c r="E2447" t="inlineStr">
        <is>
          <t>(en blanco)</t>
        </is>
      </c>
      <c r="F2447" t="inlineStr">
        <is>
          <t>(en blanco)</t>
        </is>
      </c>
      <c r="G2447" t="inlineStr">
        <is>
          <t>S</t>
        </is>
      </c>
      <c r="H2447" t="n">
        <v>1</v>
      </c>
      <c r="I2447" t="inlineStr">
        <is>
          <t>NAUTICA_MENS_208001378_MTA_1.jpg</t>
        </is>
      </c>
      <c r="J2447" t="inlineStr">
        <is>
          <t>NAUTICA_MENS_208001378_MTA_2.jpg</t>
        </is>
      </c>
      <c r="K2447" t="inlineStr">
        <is>
          <t>NAUTICA_MENS_208001378_MTA_3.jpg</t>
        </is>
      </c>
      <c r="L2447">
        <f>IMAGE("file:///E:/Estudios%20y%20certificaciones/ESTUDIOS%20DE%20PROGRAMMING/PROGRAMMING/PERSONAL/PYTHON/Image_Generator_API/imagenes/NAUTICA_MENS_208001378_MTA_1.jpg")</f>
        <v/>
      </c>
      <c r="M2447">
        <f>IMAGE("file:///E:/Estudios%20y%20certificaciones/ESTUDIOS%20DE%20PROGRAMMING/PROGRAMMING/PERSONAL/PYTHON/Image_Generator_API/imagenes/NAUTICA_MENS_208001378_MTA_2.jpg")</f>
        <v/>
      </c>
      <c r="N2447">
        <f>IMAGE("file:///E:/Estudios%20y%20certificaciones/ESTUDIOS%20DE%20PROGRAMMING/PROGRAMMING/PERSONAL/PYTHON/Image_Generator_API/imagenes/NAUTICA_MENS_208001378_MTA_3.jpg")</f>
        <v/>
      </c>
      <c r="O2447">
        <f>HYPERLINK("imagenes/NAUTICA_MENS_208001378_MTA_1.jpg","Ver imagen")</f>
        <v/>
      </c>
      <c r="P2447">
        <f>HYPERLINK("imagenes/NAUTICA_MENS_208001378_MTA_2.jpg","Ver imagen")</f>
        <v/>
      </c>
      <c r="Q2447">
        <f>HYPERLINK("imagenes/NAUTICA_MENS_208001378_MTA_3.jpg","Ver imagen")</f>
        <v/>
      </c>
    </row>
    <row r="2448">
      <c r="A2448" t="inlineStr">
        <is>
          <t>NAUTICA MENS</t>
        </is>
      </c>
      <c r="B2448" t="inlineStr">
        <is>
          <t>208001378</t>
        </is>
      </c>
      <c r="C2448" t="inlineStr">
        <is>
          <t>Lt Weight Quilted Vest</t>
        </is>
      </c>
      <c r="D2448" t="inlineStr">
        <is>
          <t>MTA</t>
        </is>
      </c>
      <c r="E2448" t="inlineStr">
        <is>
          <t>(en blanco)</t>
        </is>
      </c>
      <c r="F2448" t="inlineStr">
        <is>
          <t>(en blanco)</t>
        </is>
      </c>
      <c r="G2448" t="inlineStr">
        <is>
          <t>M</t>
        </is>
      </c>
      <c r="H2448" t="n">
        <v>3</v>
      </c>
      <c r="I2448" t="inlineStr">
        <is>
          <t>NAUTICA_MENS_208001378_MTA_1.jpg</t>
        </is>
      </c>
      <c r="J2448" t="inlineStr">
        <is>
          <t>NAUTICA_MENS_208001378_MTA_2.jpg</t>
        </is>
      </c>
      <c r="K2448" t="inlineStr">
        <is>
          <t>NAUTICA_MENS_208001378_MTA_3.jpg</t>
        </is>
      </c>
      <c r="L2448">
        <f>IMAGE("file:///E:/Estudios%20y%20certificaciones/ESTUDIOS%20DE%20PROGRAMMING/PROGRAMMING/PERSONAL/PYTHON/Image_Generator_API/imagenes/NAUTICA_MENS_208001378_MTA_1.jpg")</f>
        <v/>
      </c>
      <c r="M2448">
        <f>IMAGE("file:///E:/Estudios%20y%20certificaciones/ESTUDIOS%20DE%20PROGRAMMING/PROGRAMMING/PERSONAL/PYTHON/Image_Generator_API/imagenes/NAUTICA_MENS_208001378_MTA_2.jpg")</f>
        <v/>
      </c>
      <c r="N2448">
        <f>IMAGE("file:///E:/Estudios%20y%20certificaciones/ESTUDIOS%20DE%20PROGRAMMING/PROGRAMMING/PERSONAL/PYTHON/Image_Generator_API/imagenes/NAUTICA_MENS_208001378_MTA_3.jpg")</f>
        <v/>
      </c>
      <c r="O2448">
        <f>HYPERLINK("imagenes/NAUTICA_MENS_208001378_MTA_1.jpg","Ver imagen")</f>
        <v/>
      </c>
      <c r="P2448">
        <f>HYPERLINK("imagenes/NAUTICA_MENS_208001378_MTA_2.jpg","Ver imagen")</f>
        <v/>
      </c>
      <c r="Q2448">
        <f>HYPERLINK("imagenes/NAUTICA_MENS_208001378_MTA_3.jpg","Ver imagen")</f>
        <v/>
      </c>
    </row>
    <row r="2449">
      <c r="A2449" t="inlineStr">
        <is>
          <t>NAUTICA MENS</t>
        </is>
      </c>
      <c r="B2449" t="inlineStr">
        <is>
          <t>208001378</t>
        </is>
      </c>
      <c r="C2449" t="inlineStr">
        <is>
          <t>Lt Weight Quilted Vest</t>
        </is>
      </c>
      <c r="D2449" t="inlineStr">
        <is>
          <t>MTA</t>
        </is>
      </c>
      <c r="E2449" t="inlineStr">
        <is>
          <t>(en blanco)</t>
        </is>
      </c>
      <c r="F2449" t="inlineStr">
        <is>
          <t>(en blanco)</t>
        </is>
      </c>
      <c r="G2449" t="inlineStr">
        <is>
          <t>L</t>
        </is>
      </c>
      <c r="H2449" t="n">
        <v>6</v>
      </c>
      <c r="I2449" t="inlineStr">
        <is>
          <t>NAUTICA_MENS_208001378_MTA_1.jpg</t>
        </is>
      </c>
      <c r="J2449" t="inlineStr">
        <is>
          <t>NAUTICA_MENS_208001378_MTA_2.jpg</t>
        </is>
      </c>
      <c r="K2449" t="inlineStr">
        <is>
          <t>NAUTICA_MENS_208001378_MTA_3.jpg</t>
        </is>
      </c>
      <c r="L2449">
        <f>IMAGE("file:///E:/Estudios%20y%20certificaciones/ESTUDIOS%20DE%20PROGRAMMING/PROGRAMMING/PERSONAL/PYTHON/Image_Generator_API/imagenes/NAUTICA_MENS_208001378_MTA_1.jpg")</f>
        <v/>
      </c>
      <c r="M2449">
        <f>IMAGE("file:///E:/Estudios%20y%20certificaciones/ESTUDIOS%20DE%20PROGRAMMING/PROGRAMMING/PERSONAL/PYTHON/Image_Generator_API/imagenes/NAUTICA_MENS_208001378_MTA_2.jpg")</f>
        <v/>
      </c>
      <c r="N2449">
        <f>IMAGE("file:///E:/Estudios%20y%20certificaciones/ESTUDIOS%20DE%20PROGRAMMING/PROGRAMMING/PERSONAL/PYTHON/Image_Generator_API/imagenes/NAUTICA_MENS_208001378_MTA_3.jpg")</f>
        <v/>
      </c>
      <c r="O2449">
        <f>HYPERLINK("imagenes/NAUTICA_MENS_208001378_MTA_1.jpg","Ver imagen")</f>
        <v/>
      </c>
      <c r="P2449">
        <f>HYPERLINK("imagenes/NAUTICA_MENS_208001378_MTA_2.jpg","Ver imagen")</f>
        <v/>
      </c>
      <c r="Q2449">
        <f>HYPERLINK("imagenes/NAUTICA_MENS_208001378_MTA_3.jpg","Ver imagen")</f>
        <v/>
      </c>
    </row>
    <row r="2450">
      <c r="A2450" t="inlineStr">
        <is>
          <t>NAUTICA MENS</t>
        </is>
      </c>
      <c r="B2450" t="inlineStr">
        <is>
          <t>208001378</t>
        </is>
      </c>
      <c r="C2450" t="inlineStr">
        <is>
          <t>Lt Weight Quilted Vest</t>
        </is>
      </c>
      <c r="D2450" t="inlineStr">
        <is>
          <t>MTA</t>
        </is>
      </c>
      <c r="E2450" t="inlineStr">
        <is>
          <t>(en blanco)</t>
        </is>
      </c>
      <c r="F2450" t="inlineStr">
        <is>
          <t>(en blanco)</t>
        </is>
      </c>
      <c r="G2450" t="inlineStr">
        <is>
          <t>XL</t>
        </is>
      </c>
      <c r="H2450" t="n">
        <v>10</v>
      </c>
      <c r="I2450" t="inlineStr">
        <is>
          <t>NAUTICA_MENS_208001378_MTA_1.jpg</t>
        </is>
      </c>
      <c r="J2450" t="inlineStr">
        <is>
          <t>NAUTICA_MENS_208001378_MTA_2.jpg</t>
        </is>
      </c>
      <c r="K2450" t="inlineStr">
        <is>
          <t>NAUTICA_MENS_208001378_MTA_3.jpg</t>
        </is>
      </c>
      <c r="L2450">
        <f>IMAGE("file:///E:/Estudios%20y%20certificaciones/ESTUDIOS%20DE%20PROGRAMMING/PROGRAMMING/PERSONAL/PYTHON/Image_Generator_API/imagenes/NAUTICA_MENS_208001378_MTA_1.jpg")</f>
        <v/>
      </c>
      <c r="M2450">
        <f>IMAGE("file:///E:/Estudios%20y%20certificaciones/ESTUDIOS%20DE%20PROGRAMMING/PROGRAMMING/PERSONAL/PYTHON/Image_Generator_API/imagenes/NAUTICA_MENS_208001378_MTA_2.jpg")</f>
        <v/>
      </c>
      <c r="N2450">
        <f>IMAGE("file:///E:/Estudios%20y%20certificaciones/ESTUDIOS%20DE%20PROGRAMMING/PROGRAMMING/PERSONAL/PYTHON/Image_Generator_API/imagenes/NAUTICA_MENS_208001378_MTA_3.jpg")</f>
        <v/>
      </c>
      <c r="O2450">
        <f>HYPERLINK("imagenes/NAUTICA_MENS_208001378_MTA_1.jpg","Ver imagen")</f>
        <v/>
      </c>
      <c r="P2450">
        <f>HYPERLINK("imagenes/NAUTICA_MENS_208001378_MTA_2.jpg","Ver imagen")</f>
        <v/>
      </c>
      <c r="Q2450">
        <f>HYPERLINK("imagenes/NAUTICA_MENS_208001378_MTA_3.jpg","Ver imagen")</f>
        <v/>
      </c>
    </row>
    <row r="2451">
      <c r="A2451" t="inlineStr">
        <is>
          <t>NAUTICA MENS</t>
        </is>
      </c>
      <c r="B2451" t="inlineStr">
        <is>
          <t>208001378</t>
        </is>
      </c>
      <c r="C2451" t="inlineStr">
        <is>
          <t>Lt Weight Quilted Vest</t>
        </is>
      </c>
      <c r="D2451" t="inlineStr">
        <is>
          <t>MTA</t>
        </is>
      </c>
      <c r="E2451" t="inlineStr">
        <is>
          <t>(en blanco)</t>
        </is>
      </c>
      <c r="F2451" t="inlineStr">
        <is>
          <t>(en blanco)</t>
        </is>
      </c>
      <c r="G2451" t="inlineStr">
        <is>
          <t>XXL</t>
        </is>
      </c>
      <c r="H2451" t="n">
        <v>2</v>
      </c>
      <c r="I2451" t="inlineStr">
        <is>
          <t>NAUTICA_MENS_208001378_MTA_1.jpg</t>
        </is>
      </c>
      <c r="J2451" t="inlineStr">
        <is>
          <t>NAUTICA_MENS_208001378_MTA_2.jpg</t>
        </is>
      </c>
      <c r="K2451" t="inlineStr">
        <is>
          <t>NAUTICA_MENS_208001378_MTA_3.jpg</t>
        </is>
      </c>
      <c r="L2451">
        <f>IMAGE("file:///E:/Estudios%20y%20certificaciones/ESTUDIOS%20DE%20PROGRAMMING/PROGRAMMING/PERSONAL/PYTHON/Image_Generator_API/imagenes/NAUTICA_MENS_208001378_MTA_1.jpg")</f>
        <v/>
      </c>
      <c r="M2451">
        <f>IMAGE("file:///E:/Estudios%20y%20certificaciones/ESTUDIOS%20DE%20PROGRAMMING/PROGRAMMING/PERSONAL/PYTHON/Image_Generator_API/imagenes/NAUTICA_MENS_208001378_MTA_2.jpg")</f>
        <v/>
      </c>
      <c r="N2451">
        <f>IMAGE("file:///E:/Estudios%20y%20certificaciones/ESTUDIOS%20DE%20PROGRAMMING/PROGRAMMING/PERSONAL/PYTHON/Image_Generator_API/imagenes/NAUTICA_MENS_208001378_MTA_3.jpg")</f>
        <v/>
      </c>
      <c r="O2451">
        <f>HYPERLINK("imagenes/NAUTICA_MENS_208001378_MTA_1.jpg","Ver imagen")</f>
        <v/>
      </c>
      <c r="P2451">
        <f>HYPERLINK("imagenes/NAUTICA_MENS_208001378_MTA_2.jpg","Ver imagen")</f>
        <v/>
      </c>
      <c r="Q2451">
        <f>HYPERLINK("imagenes/NAUTICA_MENS_208001378_MTA_3.jpg","Ver imagen")</f>
        <v/>
      </c>
    </row>
    <row r="2452">
      <c r="A2452" t="inlineStr">
        <is>
          <t>NAUTICA MENS</t>
        </is>
      </c>
      <c r="B2452" t="inlineStr">
        <is>
          <t>208001378</t>
        </is>
      </c>
      <c r="C2452" t="inlineStr">
        <is>
          <t>Lt Weight Quilted Vest</t>
        </is>
      </c>
      <c r="D2452" t="inlineStr">
        <is>
          <t>NVY</t>
        </is>
      </c>
      <c r="E2452" t="inlineStr">
        <is>
          <t>12A08</t>
        </is>
      </c>
      <c r="F2452" t="inlineStr">
        <is>
          <t>R2140</t>
        </is>
      </c>
      <c r="G2452" t="inlineStr">
        <is>
          <t>PPK</t>
        </is>
      </c>
      <c r="H2452" t="n">
        <v>0</v>
      </c>
      <c r="I2452" t="inlineStr">
        <is>
          <t>NAUTICA_MENS_208001378_NVY_1.jpg</t>
        </is>
      </c>
      <c r="J2452" t="inlineStr">
        <is>
          <t>NAUTICA_MENS_208001378_NVY_2.jpg</t>
        </is>
      </c>
      <c r="K2452" t="inlineStr">
        <is>
          <t>NAUTICA_MENS_208001378_NVY_3.jpg</t>
        </is>
      </c>
      <c r="L2452">
        <f>IMAGE("file:///E:/Estudios%20y%20certificaciones/ESTUDIOS%20DE%20PROGRAMMING/PROGRAMMING/PERSONAL/PYTHON/Image_Generator_API/imagenes/NAUTICA_MENS_208001378_NVY_1.jpg")</f>
        <v/>
      </c>
      <c r="M2452">
        <f>IMAGE("file:///E:/Estudios%20y%20certificaciones/ESTUDIOS%20DE%20PROGRAMMING/PROGRAMMING/PERSONAL/PYTHON/Image_Generator_API/imagenes/NAUTICA_MENS_208001378_NVY_2.jpg")</f>
        <v/>
      </c>
      <c r="N2452">
        <f>IMAGE("file:///E:/Estudios%20y%20certificaciones/ESTUDIOS%20DE%20PROGRAMMING/PROGRAMMING/PERSONAL/PYTHON/Image_Generator_API/imagenes/NAUTICA_MENS_208001378_NVY_3.jpg")</f>
        <v/>
      </c>
      <c r="O2452">
        <f>HYPERLINK("imagenes/NAUTICA_MENS_208001378_NVY_1.jpg","Ver imagen")</f>
        <v/>
      </c>
      <c r="P2452">
        <f>HYPERLINK("imagenes/NAUTICA_MENS_208001378_NVY_2.jpg","Ver imagen")</f>
        <v/>
      </c>
      <c r="Q2452">
        <f>HYPERLINK("imagenes/NAUTICA_MENS_208001378_NVY_3.jpg","Ver imagen")</f>
        <v/>
      </c>
    </row>
    <row r="2453">
      <c r="A2453" t="inlineStr">
        <is>
          <t>NAUTICA MENS</t>
        </is>
      </c>
      <c r="B2453" t="inlineStr">
        <is>
          <t>208001378</t>
        </is>
      </c>
      <c r="C2453" t="inlineStr">
        <is>
          <t>Lt Weight Quilted Vest</t>
        </is>
      </c>
      <c r="D2453" t="inlineStr">
        <is>
          <t>NVY</t>
        </is>
      </c>
      <c r="E2453" t="inlineStr">
        <is>
          <t>12A09</t>
        </is>
      </c>
      <c r="F2453" t="inlineStr">
        <is>
          <t>(en blanco)</t>
        </is>
      </c>
      <c r="G2453" t="inlineStr">
        <is>
          <t>PPK</t>
        </is>
      </c>
      <c r="H2453" t="n">
        <v>3144</v>
      </c>
      <c r="I2453" t="inlineStr">
        <is>
          <t>NAUTICA_MENS_208001378_NVY_1.jpg</t>
        </is>
      </c>
      <c r="J2453" t="inlineStr">
        <is>
          <t>NAUTICA_MENS_208001378_NVY_2.jpg</t>
        </is>
      </c>
      <c r="K2453" t="inlineStr">
        <is>
          <t>NAUTICA_MENS_208001378_NVY_3.jpg</t>
        </is>
      </c>
      <c r="L2453">
        <f>IMAGE("file:///E:/Estudios%20y%20certificaciones/ESTUDIOS%20DE%20PROGRAMMING/PROGRAMMING/PERSONAL/PYTHON/Image_Generator_API/imagenes/NAUTICA_MENS_208001378_NVY_1.jpg")</f>
        <v/>
      </c>
      <c r="M2453">
        <f>IMAGE("file:///E:/Estudios%20y%20certificaciones/ESTUDIOS%20DE%20PROGRAMMING/PROGRAMMING/PERSONAL/PYTHON/Image_Generator_API/imagenes/NAUTICA_MENS_208001378_NVY_2.jpg")</f>
        <v/>
      </c>
      <c r="N2453">
        <f>IMAGE("file:///E:/Estudios%20y%20certificaciones/ESTUDIOS%20DE%20PROGRAMMING/PROGRAMMING/PERSONAL/PYTHON/Image_Generator_API/imagenes/NAUTICA_MENS_208001378_NVY_3.jpg")</f>
        <v/>
      </c>
      <c r="O2453">
        <f>HYPERLINK("imagenes/NAUTICA_MENS_208001378_NVY_1.jpg","Ver imagen")</f>
        <v/>
      </c>
      <c r="P2453">
        <f>HYPERLINK("imagenes/NAUTICA_MENS_208001378_NVY_2.jpg","Ver imagen")</f>
        <v/>
      </c>
      <c r="Q2453">
        <f>HYPERLINK("imagenes/NAUTICA_MENS_208001378_NVY_3.jpg","Ver imagen")</f>
        <v/>
      </c>
    </row>
    <row r="2454">
      <c r="A2454" t="inlineStr">
        <is>
          <t>NAUTICA MENS</t>
        </is>
      </c>
      <c r="B2454" t="inlineStr">
        <is>
          <t>208001378</t>
        </is>
      </c>
      <c r="C2454" t="inlineStr">
        <is>
          <t>Lt Weight Quilted Vest</t>
        </is>
      </c>
      <c r="D2454" t="inlineStr">
        <is>
          <t>NVY</t>
        </is>
      </c>
      <c r="E2454" t="inlineStr">
        <is>
          <t>(en blanco)</t>
        </is>
      </c>
      <c r="F2454" t="inlineStr">
        <is>
          <t>(en blanco)</t>
        </is>
      </c>
      <c r="G2454" t="inlineStr">
        <is>
          <t>S</t>
        </is>
      </c>
      <c r="H2454" t="n">
        <v>1</v>
      </c>
      <c r="I2454" t="inlineStr">
        <is>
          <t>NAUTICA_MENS_208001378_NVY_1.jpg</t>
        </is>
      </c>
      <c r="J2454" t="inlineStr">
        <is>
          <t>NAUTICA_MENS_208001378_NVY_2.jpg</t>
        </is>
      </c>
      <c r="K2454" t="inlineStr">
        <is>
          <t>NAUTICA_MENS_208001378_NVY_3.jpg</t>
        </is>
      </c>
      <c r="L2454">
        <f>IMAGE("file:///E:/Estudios%20y%20certificaciones/ESTUDIOS%20DE%20PROGRAMMING/PROGRAMMING/PERSONAL/PYTHON/Image_Generator_API/imagenes/NAUTICA_MENS_208001378_NVY_1.jpg")</f>
        <v/>
      </c>
      <c r="M2454">
        <f>IMAGE("file:///E:/Estudios%20y%20certificaciones/ESTUDIOS%20DE%20PROGRAMMING/PROGRAMMING/PERSONAL/PYTHON/Image_Generator_API/imagenes/NAUTICA_MENS_208001378_NVY_2.jpg")</f>
        <v/>
      </c>
      <c r="N2454">
        <f>IMAGE("file:///E:/Estudios%20y%20certificaciones/ESTUDIOS%20DE%20PROGRAMMING/PROGRAMMING/PERSONAL/PYTHON/Image_Generator_API/imagenes/NAUTICA_MENS_208001378_NVY_3.jpg")</f>
        <v/>
      </c>
      <c r="O2454">
        <f>HYPERLINK("imagenes/NAUTICA_MENS_208001378_NVY_1.jpg","Ver imagen")</f>
        <v/>
      </c>
      <c r="P2454">
        <f>HYPERLINK("imagenes/NAUTICA_MENS_208001378_NVY_2.jpg","Ver imagen")</f>
        <v/>
      </c>
      <c r="Q2454">
        <f>HYPERLINK("imagenes/NAUTICA_MENS_208001378_NVY_3.jpg","Ver imagen")</f>
        <v/>
      </c>
    </row>
    <row r="2455">
      <c r="A2455" t="inlineStr">
        <is>
          <t>NAUTICA MENS</t>
        </is>
      </c>
      <c r="B2455" t="inlineStr">
        <is>
          <t>208001378</t>
        </is>
      </c>
      <c r="C2455" t="inlineStr">
        <is>
          <t>Lt Weight Quilted Vest</t>
        </is>
      </c>
      <c r="D2455" t="inlineStr">
        <is>
          <t>NVY</t>
        </is>
      </c>
      <c r="E2455" t="inlineStr">
        <is>
          <t>(en blanco)</t>
        </is>
      </c>
      <c r="F2455" t="inlineStr">
        <is>
          <t>(en blanco)</t>
        </is>
      </c>
      <c r="G2455" t="inlineStr">
        <is>
          <t>M</t>
        </is>
      </c>
      <c r="H2455" t="n">
        <v>21</v>
      </c>
      <c r="I2455" t="inlineStr">
        <is>
          <t>NAUTICA_MENS_208001378_NVY_1.jpg</t>
        </is>
      </c>
      <c r="J2455" t="inlineStr">
        <is>
          <t>NAUTICA_MENS_208001378_NVY_2.jpg</t>
        </is>
      </c>
      <c r="K2455" t="inlineStr">
        <is>
          <t>NAUTICA_MENS_208001378_NVY_3.jpg</t>
        </is>
      </c>
      <c r="L2455">
        <f>IMAGE("file:///E:/Estudios%20y%20certificaciones/ESTUDIOS%20DE%20PROGRAMMING/PROGRAMMING/PERSONAL/PYTHON/Image_Generator_API/imagenes/NAUTICA_MENS_208001378_NVY_1.jpg")</f>
        <v/>
      </c>
      <c r="M2455">
        <f>IMAGE("file:///E:/Estudios%20y%20certificaciones/ESTUDIOS%20DE%20PROGRAMMING/PROGRAMMING/PERSONAL/PYTHON/Image_Generator_API/imagenes/NAUTICA_MENS_208001378_NVY_2.jpg")</f>
        <v/>
      </c>
      <c r="N2455">
        <f>IMAGE("file:///E:/Estudios%20y%20certificaciones/ESTUDIOS%20DE%20PROGRAMMING/PROGRAMMING/PERSONAL/PYTHON/Image_Generator_API/imagenes/NAUTICA_MENS_208001378_NVY_3.jpg")</f>
        <v/>
      </c>
      <c r="O2455">
        <f>HYPERLINK("imagenes/NAUTICA_MENS_208001378_NVY_1.jpg","Ver imagen")</f>
        <v/>
      </c>
      <c r="P2455">
        <f>HYPERLINK("imagenes/NAUTICA_MENS_208001378_NVY_2.jpg","Ver imagen")</f>
        <v/>
      </c>
      <c r="Q2455">
        <f>HYPERLINK("imagenes/NAUTICA_MENS_208001378_NVY_3.jpg","Ver imagen")</f>
        <v/>
      </c>
    </row>
    <row r="2456">
      <c r="A2456" t="inlineStr">
        <is>
          <t>NAUTICA MENS</t>
        </is>
      </c>
      <c r="B2456" t="inlineStr">
        <is>
          <t>208001378</t>
        </is>
      </c>
      <c r="C2456" t="inlineStr">
        <is>
          <t>Lt Weight Quilted Vest</t>
        </is>
      </c>
      <c r="D2456" t="inlineStr">
        <is>
          <t>NVY</t>
        </is>
      </c>
      <c r="E2456" t="inlineStr">
        <is>
          <t>(en blanco)</t>
        </is>
      </c>
      <c r="F2456" t="inlineStr">
        <is>
          <t>(en blanco)</t>
        </is>
      </c>
      <c r="G2456" t="inlineStr">
        <is>
          <t>L</t>
        </is>
      </c>
      <c r="H2456" t="n">
        <v>27</v>
      </c>
      <c r="I2456" t="inlineStr">
        <is>
          <t>NAUTICA_MENS_208001378_NVY_1.jpg</t>
        </is>
      </c>
      <c r="J2456" t="inlineStr">
        <is>
          <t>NAUTICA_MENS_208001378_NVY_2.jpg</t>
        </is>
      </c>
      <c r="K2456" t="inlineStr">
        <is>
          <t>NAUTICA_MENS_208001378_NVY_3.jpg</t>
        </is>
      </c>
      <c r="L2456">
        <f>IMAGE("file:///E:/Estudios%20y%20certificaciones/ESTUDIOS%20DE%20PROGRAMMING/PROGRAMMING/PERSONAL/PYTHON/Image_Generator_API/imagenes/NAUTICA_MENS_208001378_NVY_1.jpg")</f>
        <v/>
      </c>
      <c r="M2456">
        <f>IMAGE("file:///E:/Estudios%20y%20certificaciones/ESTUDIOS%20DE%20PROGRAMMING/PROGRAMMING/PERSONAL/PYTHON/Image_Generator_API/imagenes/NAUTICA_MENS_208001378_NVY_2.jpg")</f>
        <v/>
      </c>
      <c r="N2456">
        <f>IMAGE("file:///E:/Estudios%20y%20certificaciones/ESTUDIOS%20DE%20PROGRAMMING/PROGRAMMING/PERSONAL/PYTHON/Image_Generator_API/imagenes/NAUTICA_MENS_208001378_NVY_3.jpg")</f>
        <v/>
      </c>
      <c r="O2456">
        <f>HYPERLINK("imagenes/NAUTICA_MENS_208001378_NVY_1.jpg","Ver imagen")</f>
        <v/>
      </c>
      <c r="P2456">
        <f>HYPERLINK("imagenes/NAUTICA_MENS_208001378_NVY_2.jpg","Ver imagen")</f>
        <v/>
      </c>
      <c r="Q2456">
        <f>HYPERLINK("imagenes/NAUTICA_MENS_208001378_NVY_3.jpg","Ver imagen")</f>
        <v/>
      </c>
    </row>
    <row r="2457">
      <c r="A2457" t="inlineStr">
        <is>
          <t>NAUTICA MENS</t>
        </is>
      </c>
      <c r="B2457" t="inlineStr">
        <is>
          <t>208001378</t>
        </is>
      </c>
      <c r="C2457" t="inlineStr">
        <is>
          <t>Lt Weight Quilted Vest</t>
        </is>
      </c>
      <c r="D2457" t="inlineStr">
        <is>
          <t>NVY</t>
        </is>
      </c>
      <c r="E2457" t="inlineStr">
        <is>
          <t>(en blanco)</t>
        </is>
      </c>
      <c r="F2457" t="inlineStr">
        <is>
          <t>(en blanco)</t>
        </is>
      </c>
      <c r="G2457" t="inlineStr">
        <is>
          <t>XL</t>
        </is>
      </c>
      <c r="H2457" t="n">
        <v>15</v>
      </c>
      <c r="I2457" t="inlineStr">
        <is>
          <t>NAUTICA_MENS_208001378_NVY_1.jpg</t>
        </is>
      </c>
      <c r="J2457" t="inlineStr">
        <is>
          <t>NAUTICA_MENS_208001378_NVY_2.jpg</t>
        </is>
      </c>
      <c r="K2457" t="inlineStr">
        <is>
          <t>NAUTICA_MENS_208001378_NVY_3.jpg</t>
        </is>
      </c>
      <c r="L2457">
        <f>IMAGE("file:///E:/Estudios%20y%20certificaciones/ESTUDIOS%20DE%20PROGRAMMING/PROGRAMMING/PERSONAL/PYTHON/Image_Generator_API/imagenes/NAUTICA_MENS_208001378_NVY_1.jpg")</f>
        <v/>
      </c>
      <c r="M2457">
        <f>IMAGE("file:///E:/Estudios%20y%20certificaciones/ESTUDIOS%20DE%20PROGRAMMING/PROGRAMMING/PERSONAL/PYTHON/Image_Generator_API/imagenes/NAUTICA_MENS_208001378_NVY_2.jpg")</f>
        <v/>
      </c>
      <c r="N2457">
        <f>IMAGE("file:///E:/Estudios%20y%20certificaciones/ESTUDIOS%20DE%20PROGRAMMING/PROGRAMMING/PERSONAL/PYTHON/Image_Generator_API/imagenes/NAUTICA_MENS_208001378_NVY_3.jpg")</f>
        <v/>
      </c>
      <c r="O2457">
        <f>HYPERLINK("imagenes/NAUTICA_MENS_208001378_NVY_1.jpg","Ver imagen")</f>
        <v/>
      </c>
      <c r="P2457">
        <f>HYPERLINK("imagenes/NAUTICA_MENS_208001378_NVY_2.jpg","Ver imagen")</f>
        <v/>
      </c>
      <c r="Q2457">
        <f>HYPERLINK("imagenes/NAUTICA_MENS_208001378_NVY_3.jpg","Ver imagen")</f>
        <v/>
      </c>
    </row>
    <row r="2458">
      <c r="A2458" t="inlineStr">
        <is>
          <t>NAUTICA MENS</t>
        </is>
      </c>
      <c r="B2458" t="inlineStr">
        <is>
          <t>208001378</t>
        </is>
      </c>
      <c r="C2458" t="inlineStr">
        <is>
          <t>Lt Weight Quilted Vest</t>
        </is>
      </c>
      <c r="D2458" t="inlineStr">
        <is>
          <t>NVY</t>
        </is>
      </c>
      <c r="E2458" t="inlineStr">
        <is>
          <t>(en blanco)</t>
        </is>
      </c>
      <c r="F2458" t="inlineStr">
        <is>
          <t>(en blanco)</t>
        </is>
      </c>
      <c r="G2458" t="inlineStr">
        <is>
          <t>XXL</t>
        </is>
      </c>
      <c r="H2458" t="n">
        <v>0</v>
      </c>
      <c r="I2458" t="inlineStr">
        <is>
          <t>NAUTICA_MENS_208001378_NVY_1.jpg</t>
        </is>
      </c>
      <c r="J2458" t="inlineStr">
        <is>
          <t>NAUTICA_MENS_208001378_NVY_2.jpg</t>
        </is>
      </c>
      <c r="K2458" t="inlineStr">
        <is>
          <t>NAUTICA_MENS_208001378_NVY_3.jpg</t>
        </is>
      </c>
      <c r="L2458">
        <f>IMAGE("file:///E:/Estudios%20y%20certificaciones/ESTUDIOS%20DE%20PROGRAMMING/PROGRAMMING/PERSONAL/PYTHON/Image_Generator_API/imagenes/NAUTICA_MENS_208001378_NVY_1.jpg")</f>
        <v/>
      </c>
      <c r="M2458">
        <f>IMAGE("file:///E:/Estudios%20y%20certificaciones/ESTUDIOS%20DE%20PROGRAMMING/PROGRAMMING/PERSONAL/PYTHON/Image_Generator_API/imagenes/NAUTICA_MENS_208001378_NVY_2.jpg")</f>
        <v/>
      </c>
      <c r="N2458">
        <f>IMAGE("file:///E:/Estudios%20y%20certificaciones/ESTUDIOS%20DE%20PROGRAMMING/PROGRAMMING/PERSONAL/PYTHON/Image_Generator_API/imagenes/NAUTICA_MENS_208001378_NVY_3.jpg")</f>
        <v/>
      </c>
      <c r="O2458">
        <f>HYPERLINK("imagenes/NAUTICA_MENS_208001378_NVY_1.jpg","Ver imagen")</f>
        <v/>
      </c>
      <c r="P2458">
        <f>HYPERLINK("imagenes/NAUTICA_MENS_208001378_NVY_2.jpg","Ver imagen")</f>
        <v/>
      </c>
      <c r="Q2458">
        <f>HYPERLINK("imagenes/NAUTICA_MENS_208001378_NVY_3.jpg","Ver imagen")</f>
        <v/>
      </c>
    </row>
    <row r="2459">
      <c r="A2459" t="inlineStr">
        <is>
          <t>NAUTICA MENS</t>
        </is>
      </c>
      <c r="B2459" t="inlineStr">
        <is>
          <t>208001378</t>
        </is>
      </c>
      <c r="C2459" t="inlineStr">
        <is>
          <t>Lt Weight Quilted Vest</t>
        </is>
      </c>
      <c r="D2459" t="inlineStr">
        <is>
          <t>OLB</t>
        </is>
      </c>
      <c r="E2459" t="inlineStr">
        <is>
          <t>(en blanco)</t>
        </is>
      </c>
      <c r="F2459" t="inlineStr">
        <is>
          <t>(en blanco)</t>
        </is>
      </c>
      <c r="G2459" t="inlineStr">
        <is>
          <t>S</t>
        </is>
      </c>
      <c r="H2459" t="n">
        <v>4</v>
      </c>
      <c r="I2459" t="inlineStr">
        <is>
          <t>NAUTICA_MENS_208001378_OLB_1.jpg</t>
        </is>
      </c>
      <c r="J2459" t="inlineStr">
        <is>
          <t>NAUTICA_MENS_208001378_OLB_2.jpg</t>
        </is>
      </c>
      <c r="K2459" t="inlineStr">
        <is>
          <t>NAUTICA_MENS_208001378_OLB_3.jpg</t>
        </is>
      </c>
      <c r="L2459">
        <f>IMAGE("file:///E:/Estudios%20y%20certificaciones/ESTUDIOS%20DE%20PROGRAMMING/PROGRAMMING/PERSONAL/PYTHON/Image_Generator_API/imagenes/NAUTICA_MENS_208001378_OLB_1.jpg")</f>
        <v/>
      </c>
      <c r="M2459">
        <f>IMAGE("file:///E:/Estudios%20y%20certificaciones/ESTUDIOS%20DE%20PROGRAMMING/PROGRAMMING/PERSONAL/PYTHON/Image_Generator_API/imagenes/NAUTICA_MENS_208001378_OLB_2.jpg")</f>
        <v/>
      </c>
      <c r="N2459">
        <f>IMAGE("file:///E:/Estudios%20y%20certificaciones/ESTUDIOS%20DE%20PROGRAMMING/PROGRAMMING/PERSONAL/PYTHON/Image_Generator_API/imagenes/NAUTICA_MENS_208001378_OLB_3.jpg")</f>
        <v/>
      </c>
      <c r="O2459">
        <f>HYPERLINK("imagenes/NAUTICA_MENS_208001378_OLB_1.jpg","Ver imagen")</f>
        <v/>
      </c>
      <c r="P2459">
        <f>HYPERLINK("imagenes/NAUTICA_MENS_208001378_OLB_2.jpg","Ver imagen")</f>
        <v/>
      </c>
      <c r="Q2459">
        <f>HYPERLINK("imagenes/NAUTICA_MENS_208001378_OLB_3.jpg","Ver imagen")</f>
        <v/>
      </c>
    </row>
    <row r="2460">
      <c r="A2460" t="inlineStr">
        <is>
          <t>NAUTICA MENS</t>
        </is>
      </c>
      <c r="B2460" t="inlineStr">
        <is>
          <t>208001378</t>
        </is>
      </c>
      <c r="C2460" t="inlineStr">
        <is>
          <t>Lt Weight Quilted Vest</t>
        </is>
      </c>
      <c r="D2460" t="inlineStr">
        <is>
          <t>OLB</t>
        </is>
      </c>
      <c r="E2460" t="inlineStr">
        <is>
          <t>(en blanco)</t>
        </is>
      </c>
      <c r="F2460" t="inlineStr">
        <is>
          <t>(en blanco)</t>
        </is>
      </c>
      <c r="G2460" t="inlineStr">
        <is>
          <t>M</t>
        </is>
      </c>
      <c r="H2460" t="n">
        <v>24</v>
      </c>
      <c r="I2460" t="inlineStr">
        <is>
          <t>NAUTICA_MENS_208001378_OLB_1.jpg</t>
        </is>
      </c>
      <c r="J2460" t="inlineStr">
        <is>
          <t>NAUTICA_MENS_208001378_OLB_2.jpg</t>
        </is>
      </c>
      <c r="K2460" t="inlineStr">
        <is>
          <t>NAUTICA_MENS_208001378_OLB_3.jpg</t>
        </is>
      </c>
      <c r="L2460">
        <f>IMAGE("file:///E:/Estudios%20y%20certificaciones/ESTUDIOS%20DE%20PROGRAMMING/PROGRAMMING/PERSONAL/PYTHON/Image_Generator_API/imagenes/NAUTICA_MENS_208001378_OLB_1.jpg")</f>
        <v/>
      </c>
      <c r="M2460">
        <f>IMAGE("file:///E:/Estudios%20y%20certificaciones/ESTUDIOS%20DE%20PROGRAMMING/PROGRAMMING/PERSONAL/PYTHON/Image_Generator_API/imagenes/NAUTICA_MENS_208001378_OLB_2.jpg")</f>
        <v/>
      </c>
      <c r="N2460">
        <f>IMAGE("file:///E:/Estudios%20y%20certificaciones/ESTUDIOS%20DE%20PROGRAMMING/PROGRAMMING/PERSONAL/PYTHON/Image_Generator_API/imagenes/NAUTICA_MENS_208001378_OLB_3.jpg")</f>
        <v/>
      </c>
      <c r="O2460">
        <f>HYPERLINK("imagenes/NAUTICA_MENS_208001378_OLB_1.jpg","Ver imagen")</f>
        <v/>
      </c>
      <c r="P2460">
        <f>HYPERLINK("imagenes/NAUTICA_MENS_208001378_OLB_2.jpg","Ver imagen")</f>
        <v/>
      </c>
      <c r="Q2460">
        <f>HYPERLINK("imagenes/NAUTICA_MENS_208001378_OLB_3.jpg","Ver imagen")</f>
        <v/>
      </c>
    </row>
    <row r="2461">
      <c r="A2461" t="inlineStr">
        <is>
          <t>NAUTICA MENS</t>
        </is>
      </c>
      <c r="B2461" t="inlineStr">
        <is>
          <t>208001378</t>
        </is>
      </c>
      <c r="C2461" t="inlineStr">
        <is>
          <t>Lt Weight Quilted Vest</t>
        </is>
      </c>
      <c r="D2461" t="inlineStr">
        <is>
          <t>OLB</t>
        </is>
      </c>
      <c r="E2461" t="inlineStr">
        <is>
          <t>(en blanco)</t>
        </is>
      </c>
      <c r="F2461" t="inlineStr">
        <is>
          <t>(en blanco)</t>
        </is>
      </c>
      <c r="G2461" t="inlineStr">
        <is>
          <t>L</t>
        </is>
      </c>
      <c r="H2461" t="n">
        <v>27</v>
      </c>
      <c r="I2461" t="inlineStr">
        <is>
          <t>NAUTICA_MENS_208001378_OLB_1.jpg</t>
        </is>
      </c>
      <c r="J2461" t="inlineStr">
        <is>
          <t>NAUTICA_MENS_208001378_OLB_2.jpg</t>
        </is>
      </c>
      <c r="K2461" t="inlineStr">
        <is>
          <t>NAUTICA_MENS_208001378_OLB_3.jpg</t>
        </is>
      </c>
      <c r="L2461">
        <f>IMAGE("file:///E:/Estudios%20y%20certificaciones/ESTUDIOS%20DE%20PROGRAMMING/PROGRAMMING/PERSONAL/PYTHON/Image_Generator_API/imagenes/NAUTICA_MENS_208001378_OLB_1.jpg")</f>
        <v/>
      </c>
      <c r="M2461">
        <f>IMAGE("file:///E:/Estudios%20y%20certificaciones/ESTUDIOS%20DE%20PROGRAMMING/PROGRAMMING/PERSONAL/PYTHON/Image_Generator_API/imagenes/NAUTICA_MENS_208001378_OLB_2.jpg")</f>
        <v/>
      </c>
      <c r="N2461">
        <f>IMAGE("file:///E:/Estudios%20y%20certificaciones/ESTUDIOS%20DE%20PROGRAMMING/PROGRAMMING/PERSONAL/PYTHON/Image_Generator_API/imagenes/NAUTICA_MENS_208001378_OLB_3.jpg")</f>
        <v/>
      </c>
      <c r="O2461">
        <f>HYPERLINK("imagenes/NAUTICA_MENS_208001378_OLB_1.jpg","Ver imagen")</f>
        <v/>
      </c>
      <c r="P2461">
        <f>HYPERLINK("imagenes/NAUTICA_MENS_208001378_OLB_2.jpg","Ver imagen")</f>
        <v/>
      </c>
      <c r="Q2461">
        <f>HYPERLINK("imagenes/NAUTICA_MENS_208001378_OLB_3.jpg","Ver imagen")</f>
        <v/>
      </c>
    </row>
    <row r="2462">
      <c r="A2462" t="inlineStr">
        <is>
          <t>NAUTICA MENS</t>
        </is>
      </c>
      <c r="B2462" t="inlineStr">
        <is>
          <t>208001378</t>
        </is>
      </c>
      <c r="C2462" t="inlineStr">
        <is>
          <t>Lt Weight Quilted Vest</t>
        </is>
      </c>
      <c r="D2462" t="inlineStr">
        <is>
          <t>OLB</t>
        </is>
      </c>
      <c r="E2462" t="inlineStr">
        <is>
          <t>(en blanco)</t>
        </is>
      </c>
      <c r="F2462" t="inlineStr">
        <is>
          <t>(en blanco)</t>
        </is>
      </c>
      <c r="G2462" t="inlineStr">
        <is>
          <t>XL</t>
        </is>
      </c>
      <c r="H2462" t="n">
        <v>14</v>
      </c>
      <c r="I2462" t="inlineStr">
        <is>
          <t>NAUTICA_MENS_208001378_OLB_1.jpg</t>
        </is>
      </c>
      <c r="J2462" t="inlineStr">
        <is>
          <t>NAUTICA_MENS_208001378_OLB_2.jpg</t>
        </is>
      </c>
      <c r="K2462" t="inlineStr">
        <is>
          <t>NAUTICA_MENS_208001378_OLB_3.jpg</t>
        </is>
      </c>
      <c r="L2462">
        <f>IMAGE("file:///E:/Estudios%20y%20certificaciones/ESTUDIOS%20DE%20PROGRAMMING/PROGRAMMING/PERSONAL/PYTHON/Image_Generator_API/imagenes/NAUTICA_MENS_208001378_OLB_1.jpg")</f>
        <v/>
      </c>
      <c r="M2462">
        <f>IMAGE("file:///E:/Estudios%20y%20certificaciones/ESTUDIOS%20DE%20PROGRAMMING/PROGRAMMING/PERSONAL/PYTHON/Image_Generator_API/imagenes/NAUTICA_MENS_208001378_OLB_2.jpg")</f>
        <v/>
      </c>
      <c r="N2462">
        <f>IMAGE("file:///E:/Estudios%20y%20certificaciones/ESTUDIOS%20DE%20PROGRAMMING/PROGRAMMING/PERSONAL/PYTHON/Image_Generator_API/imagenes/NAUTICA_MENS_208001378_OLB_3.jpg")</f>
        <v/>
      </c>
      <c r="O2462">
        <f>HYPERLINK("imagenes/NAUTICA_MENS_208001378_OLB_1.jpg","Ver imagen")</f>
        <v/>
      </c>
      <c r="P2462">
        <f>HYPERLINK("imagenes/NAUTICA_MENS_208001378_OLB_2.jpg","Ver imagen")</f>
        <v/>
      </c>
      <c r="Q2462">
        <f>HYPERLINK("imagenes/NAUTICA_MENS_208001378_OLB_3.jpg","Ver imagen")</f>
        <v/>
      </c>
    </row>
    <row r="2463">
      <c r="A2463" t="inlineStr">
        <is>
          <t>NAUTICA MENS</t>
        </is>
      </c>
      <c r="B2463" t="inlineStr">
        <is>
          <t>208001378</t>
        </is>
      </c>
      <c r="C2463" t="inlineStr">
        <is>
          <t>Lt Weight Quilted Vest</t>
        </is>
      </c>
      <c r="D2463" t="inlineStr">
        <is>
          <t>OLB</t>
        </is>
      </c>
      <c r="E2463" t="inlineStr">
        <is>
          <t>(en blanco)</t>
        </is>
      </c>
      <c r="F2463" t="inlineStr">
        <is>
          <t>(en blanco)</t>
        </is>
      </c>
      <c r="G2463" t="inlineStr">
        <is>
          <t>XXL</t>
        </is>
      </c>
      <c r="H2463" t="n">
        <v>0</v>
      </c>
      <c r="I2463" t="inlineStr">
        <is>
          <t>NAUTICA_MENS_208001378_OLB_1.jpg</t>
        </is>
      </c>
      <c r="J2463" t="inlineStr">
        <is>
          <t>NAUTICA_MENS_208001378_OLB_2.jpg</t>
        </is>
      </c>
      <c r="K2463" t="inlineStr">
        <is>
          <t>NAUTICA_MENS_208001378_OLB_3.jpg</t>
        </is>
      </c>
      <c r="L2463">
        <f>IMAGE("file:///E:/Estudios%20y%20certificaciones/ESTUDIOS%20DE%20PROGRAMMING/PROGRAMMING/PERSONAL/PYTHON/Image_Generator_API/imagenes/NAUTICA_MENS_208001378_OLB_1.jpg")</f>
        <v/>
      </c>
      <c r="M2463">
        <f>IMAGE("file:///E:/Estudios%20y%20certificaciones/ESTUDIOS%20DE%20PROGRAMMING/PROGRAMMING/PERSONAL/PYTHON/Image_Generator_API/imagenes/NAUTICA_MENS_208001378_OLB_2.jpg")</f>
        <v/>
      </c>
      <c r="N2463">
        <f>IMAGE("file:///E:/Estudios%20y%20certificaciones/ESTUDIOS%20DE%20PROGRAMMING/PROGRAMMING/PERSONAL/PYTHON/Image_Generator_API/imagenes/NAUTICA_MENS_208001378_OLB_3.jpg")</f>
        <v/>
      </c>
      <c r="O2463">
        <f>HYPERLINK("imagenes/NAUTICA_MENS_208001378_OLB_1.jpg","Ver imagen")</f>
        <v/>
      </c>
      <c r="P2463">
        <f>HYPERLINK("imagenes/NAUTICA_MENS_208001378_OLB_2.jpg","Ver imagen")</f>
        <v/>
      </c>
      <c r="Q2463">
        <f>HYPERLINK("imagenes/NAUTICA_MENS_208001378_OLB_3.jpg","Ver imagen")</f>
        <v/>
      </c>
    </row>
    <row r="2464">
      <c r="A2464" t="inlineStr">
        <is>
          <t>NAUTICA MENS</t>
        </is>
      </c>
      <c r="B2464" t="inlineStr">
        <is>
          <t>208001530</t>
        </is>
      </c>
      <c r="C2464" t="inlineStr">
        <is>
          <t>MIXED SHEEN QUILTED VEST</t>
        </is>
      </c>
      <c r="D2464" t="inlineStr">
        <is>
          <t>BLK</t>
        </is>
      </c>
      <c r="E2464" t="inlineStr">
        <is>
          <t>(en blanco)</t>
        </is>
      </c>
      <c r="F2464" t="inlineStr">
        <is>
          <t>(en blanco)</t>
        </is>
      </c>
      <c r="G2464" t="inlineStr">
        <is>
          <t>L</t>
        </is>
      </c>
      <c r="H2464" t="n">
        <v>2</v>
      </c>
      <c r="I2464" t="inlineStr">
        <is>
          <t>NAUTICA_MENS_208001530_BLK_1.jpg</t>
        </is>
      </c>
      <c r="J2464" t="inlineStr">
        <is>
          <t>NAUTICA_MENS_208001530_BLK_2.jpg</t>
        </is>
      </c>
      <c r="K2464" t="inlineStr">
        <is>
          <t>NAUTICA_MENS_208001530_BLK_3.jpg</t>
        </is>
      </c>
      <c r="L2464">
        <f>IMAGE("file:///E:/Estudios%20y%20certificaciones/ESTUDIOS%20DE%20PROGRAMMING/PROGRAMMING/PERSONAL/PYTHON/Image_Generator_API/imagenes/NAUTICA_MENS_208001530_BLK_1.jpg")</f>
        <v/>
      </c>
      <c r="M2464">
        <f>IMAGE("file:///E:/Estudios%20y%20certificaciones/ESTUDIOS%20DE%20PROGRAMMING/PROGRAMMING/PERSONAL/PYTHON/Image_Generator_API/imagenes/NAUTICA_MENS_208001530_BLK_2.jpg")</f>
        <v/>
      </c>
      <c r="N2464">
        <f>IMAGE("file:///E:/Estudios%20y%20certificaciones/ESTUDIOS%20DE%20PROGRAMMING/PROGRAMMING/PERSONAL/PYTHON/Image_Generator_API/imagenes/NAUTICA_MENS_208001530_BLK_3.jpg")</f>
        <v/>
      </c>
      <c r="O2464">
        <f>HYPERLINK("imagenes/NAUTICA_MENS_208001530_BLK_1.jpg","Ver imagen")</f>
        <v/>
      </c>
      <c r="P2464">
        <f>HYPERLINK("imagenes/NAUTICA_MENS_208001530_BLK_2.jpg","Ver imagen")</f>
        <v/>
      </c>
      <c r="Q2464">
        <f>HYPERLINK("imagenes/NAUTICA_MENS_208001530_BLK_3.jpg","Ver imagen")</f>
        <v/>
      </c>
    </row>
    <row r="2465">
      <c r="A2465" t="inlineStr">
        <is>
          <t>NAUTICA MENS</t>
        </is>
      </c>
      <c r="B2465" t="inlineStr">
        <is>
          <t>208001530</t>
        </is>
      </c>
      <c r="C2465" t="inlineStr">
        <is>
          <t>MIXED SHEEN QUILTED VEST</t>
        </is>
      </c>
      <c r="D2465" t="inlineStr">
        <is>
          <t>BLK</t>
        </is>
      </c>
      <c r="E2465" t="inlineStr">
        <is>
          <t>(en blanco)</t>
        </is>
      </c>
      <c r="F2465" t="inlineStr">
        <is>
          <t>(en blanco)</t>
        </is>
      </c>
      <c r="G2465" t="inlineStr">
        <is>
          <t>XL</t>
        </is>
      </c>
      <c r="H2465" t="n">
        <v>2</v>
      </c>
      <c r="I2465" t="inlineStr">
        <is>
          <t>NAUTICA_MENS_208001530_BLK_1.jpg</t>
        </is>
      </c>
      <c r="J2465" t="inlineStr">
        <is>
          <t>NAUTICA_MENS_208001530_BLK_2.jpg</t>
        </is>
      </c>
      <c r="K2465" t="inlineStr">
        <is>
          <t>NAUTICA_MENS_208001530_BLK_3.jpg</t>
        </is>
      </c>
      <c r="L2465">
        <f>IMAGE("file:///E:/Estudios%20y%20certificaciones/ESTUDIOS%20DE%20PROGRAMMING/PROGRAMMING/PERSONAL/PYTHON/Image_Generator_API/imagenes/NAUTICA_MENS_208001530_BLK_1.jpg")</f>
        <v/>
      </c>
      <c r="M2465">
        <f>IMAGE("file:///E:/Estudios%20y%20certificaciones/ESTUDIOS%20DE%20PROGRAMMING/PROGRAMMING/PERSONAL/PYTHON/Image_Generator_API/imagenes/NAUTICA_MENS_208001530_BLK_2.jpg")</f>
        <v/>
      </c>
      <c r="N2465">
        <f>IMAGE("file:///E:/Estudios%20y%20certificaciones/ESTUDIOS%20DE%20PROGRAMMING/PROGRAMMING/PERSONAL/PYTHON/Image_Generator_API/imagenes/NAUTICA_MENS_208001530_BLK_3.jpg")</f>
        <v/>
      </c>
      <c r="O2465">
        <f>HYPERLINK("imagenes/NAUTICA_MENS_208001530_BLK_1.jpg","Ver imagen")</f>
        <v/>
      </c>
      <c r="P2465">
        <f>HYPERLINK("imagenes/NAUTICA_MENS_208001530_BLK_2.jpg","Ver imagen")</f>
        <v/>
      </c>
      <c r="Q2465">
        <f>HYPERLINK("imagenes/NAUTICA_MENS_208001530_BLK_3.jpg","Ver imagen")</f>
        <v/>
      </c>
    </row>
    <row r="2466">
      <c r="A2466" t="inlineStr">
        <is>
          <t>NAUTICA MENS</t>
        </is>
      </c>
      <c r="B2466" t="inlineStr">
        <is>
          <t>208001530</t>
        </is>
      </c>
      <c r="C2466" t="inlineStr">
        <is>
          <t>MIXED SHEEN QUILTED VEST</t>
        </is>
      </c>
      <c r="D2466" t="inlineStr">
        <is>
          <t>CTR</t>
        </is>
      </c>
      <c r="E2466" t="inlineStr">
        <is>
          <t>(en blanco)</t>
        </is>
      </c>
      <c r="F2466" t="inlineStr">
        <is>
          <t>(en blanco)</t>
        </is>
      </c>
      <c r="G2466" t="inlineStr">
        <is>
          <t>XXL</t>
        </is>
      </c>
      <c r="H2466" t="n">
        <v>1</v>
      </c>
      <c r="I2466" t="inlineStr">
        <is>
          <t>NAUTICA_MENS_208001530_CTR_1.jpg</t>
        </is>
      </c>
      <c r="J2466" t="inlineStr">
        <is>
          <t>NAUTICA_MENS_208001530_CTR_2.jpg</t>
        </is>
      </c>
      <c r="K2466" t="inlineStr">
        <is>
          <t>NAUTICA_MENS_208001530_CTR_3.jpg</t>
        </is>
      </c>
      <c r="L2466">
        <f>IMAGE("file:///E:/Estudios%20y%20certificaciones/ESTUDIOS%20DE%20PROGRAMMING/PROGRAMMING/PERSONAL/PYTHON/Image_Generator_API/imagenes/NAUTICA_MENS_208001530_CTR_1.jpg")</f>
        <v/>
      </c>
      <c r="M2466">
        <f>IMAGE("file:///E:/Estudios%20y%20certificaciones/ESTUDIOS%20DE%20PROGRAMMING/PROGRAMMING/PERSONAL/PYTHON/Image_Generator_API/imagenes/NAUTICA_MENS_208001530_CTR_2.jpg")</f>
        <v/>
      </c>
      <c r="N2466">
        <f>IMAGE("file:///E:/Estudios%20y%20certificaciones/ESTUDIOS%20DE%20PROGRAMMING/PROGRAMMING/PERSONAL/PYTHON/Image_Generator_API/imagenes/NAUTICA_MENS_208001530_CTR_3.jpg")</f>
        <v/>
      </c>
      <c r="O2466">
        <f>HYPERLINK("imagenes/NAUTICA_MENS_208001530_CTR_1.jpg","Ver imagen")</f>
        <v/>
      </c>
      <c r="P2466">
        <f>HYPERLINK("imagenes/NAUTICA_MENS_208001530_CTR_2.jpg","Ver imagen")</f>
        <v/>
      </c>
      <c r="Q2466">
        <f>HYPERLINK("imagenes/NAUTICA_MENS_208001530_CTR_3.jpg","Ver imagen")</f>
        <v/>
      </c>
    </row>
    <row r="2467">
      <c r="A2467" t="inlineStr">
        <is>
          <t>NAUTICA MENS</t>
        </is>
      </c>
      <c r="B2467" t="inlineStr">
        <is>
          <t>208001603</t>
        </is>
      </c>
      <c r="C2467" t="inlineStr">
        <is>
          <t>QUILTED MICROSUEDE BOMBER</t>
        </is>
      </c>
      <c r="D2467" t="inlineStr">
        <is>
          <t>BLK</t>
        </is>
      </c>
      <c r="E2467" t="inlineStr">
        <is>
          <t>(en blanco)</t>
        </is>
      </c>
      <c r="F2467" t="inlineStr">
        <is>
          <t>(en blanco)</t>
        </is>
      </c>
      <c r="G2467" t="inlineStr">
        <is>
          <t>M</t>
        </is>
      </c>
      <c r="H2467" t="n">
        <v>1</v>
      </c>
      <c r="I2467" t="inlineStr">
        <is>
          <t>NAUTICA_MENS_208001603_BLK_1.jpg</t>
        </is>
      </c>
      <c r="J2467" t="inlineStr">
        <is>
          <t>NAUTICA_MENS_208001603_BLK_2.jpg</t>
        </is>
      </c>
      <c r="K2467" t="inlineStr">
        <is>
          <t>NAUTICA_MENS_208001603_BLK_3.jpg</t>
        </is>
      </c>
      <c r="L2467">
        <f>IMAGE("file:///E:/Estudios%20y%20certificaciones/ESTUDIOS%20DE%20PROGRAMMING/PROGRAMMING/PERSONAL/PYTHON/Image_Generator_API/imagenes/NAUTICA_MENS_208001603_BLK_1.jpg")</f>
        <v/>
      </c>
      <c r="M2467">
        <f>IMAGE("file:///E:/Estudios%20y%20certificaciones/ESTUDIOS%20DE%20PROGRAMMING/PROGRAMMING/PERSONAL/PYTHON/Image_Generator_API/imagenes/NAUTICA_MENS_208001603_BLK_2.jpg")</f>
        <v/>
      </c>
      <c r="N2467">
        <f>IMAGE("file:///E:/Estudios%20y%20certificaciones/ESTUDIOS%20DE%20PROGRAMMING/PROGRAMMING/PERSONAL/PYTHON/Image_Generator_API/imagenes/NAUTICA_MENS_208001603_BLK_3.jpg")</f>
        <v/>
      </c>
      <c r="O2467">
        <f>HYPERLINK("imagenes/NAUTICA_MENS_208001603_BLK_1.jpg","Ver imagen")</f>
        <v/>
      </c>
      <c r="P2467">
        <f>HYPERLINK("imagenes/NAUTICA_MENS_208001603_BLK_2.jpg","Ver imagen")</f>
        <v/>
      </c>
      <c r="Q2467">
        <f>HYPERLINK("imagenes/NAUTICA_MENS_208001603_BLK_3.jpg","Ver imagen")</f>
        <v/>
      </c>
    </row>
    <row r="2468">
      <c r="A2468" t="inlineStr">
        <is>
          <t>NAUTICA MENS</t>
        </is>
      </c>
      <c r="B2468" t="inlineStr">
        <is>
          <t>208001603</t>
        </is>
      </c>
      <c r="C2468" t="inlineStr">
        <is>
          <t>QUILTED MICROSUEDE BOMBER</t>
        </is>
      </c>
      <c r="D2468" t="inlineStr">
        <is>
          <t>DBR</t>
        </is>
      </c>
      <c r="E2468" t="inlineStr">
        <is>
          <t>(en blanco)</t>
        </is>
      </c>
      <c r="F2468" t="inlineStr">
        <is>
          <t>(en blanco)</t>
        </is>
      </c>
      <c r="G2468" t="inlineStr">
        <is>
          <t>XL</t>
        </is>
      </c>
      <c r="H2468" t="n">
        <v>1</v>
      </c>
      <c r="I2468" t="inlineStr">
        <is>
          <t>NAUTICA_MENS_208001603_DBR_1.jpg</t>
        </is>
      </c>
      <c r="J2468" t="inlineStr">
        <is>
          <t>NAUTICA_MENS_208001603_DBR_2.jpg</t>
        </is>
      </c>
      <c r="K2468" t="inlineStr">
        <is>
          <t>NAUTICA_MENS_208001603_DBR_3.jpg</t>
        </is>
      </c>
      <c r="L2468">
        <f>IMAGE("file:///E:/Estudios%20y%20certificaciones/ESTUDIOS%20DE%20PROGRAMMING/PROGRAMMING/PERSONAL/PYTHON/Image_Generator_API/imagenes/NAUTICA_MENS_208001603_DBR_1.jpg")</f>
        <v/>
      </c>
      <c r="M2468">
        <f>IMAGE("file:///E:/Estudios%20y%20certificaciones/ESTUDIOS%20DE%20PROGRAMMING/PROGRAMMING/PERSONAL/PYTHON/Image_Generator_API/imagenes/NAUTICA_MENS_208001603_DBR_2.jpg")</f>
        <v/>
      </c>
      <c r="N2468">
        <f>IMAGE("file:///E:/Estudios%20y%20certificaciones/ESTUDIOS%20DE%20PROGRAMMING/PROGRAMMING/PERSONAL/PYTHON/Image_Generator_API/imagenes/NAUTICA_MENS_208001603_DBR_3.jpg")</f>
        <v/>
      </c>
      <c r="O2468">
        <f>HYPERLINK("imagenes/NAUTICA_MENS_208001603_DBR_1.jpg","Ver imagen")</f>
        <v/>
      </c>
      <c r="P2468">
        <f>HYPERLINK("imagenes/NAUTICA_MENS_208001603_DBR_2.jpg","Ver imagen")</f>
        <v/>
      </c>
      <c r="Q2468">
        <f>HYPERLINK("imagenes/NAUTICA_MENS_208001603_DBR_3.jpg","Ver imagen")</f>
        <v/>
      </c>
    </row>
    <row r="2469">
      <c r="A2469" t="inlineStr">
        <is>
          <t>NAUTICA MENS</t>
        </is>
      </c>
      <c r="B2469" t="inlineStr">
        <is>
          <t>208001603</t>
        </is>
      </c>
      <c r="C2469" t="inlineStr">
        <is>
          <t>QUILTED MICROSUEDE BOMBER</t>
        </is>
      </c>
      <c r="D2469" t="inlineStr">
        <is>
          <t>DFS</t>
        </is>
      </c>
      <c r="E2469" t="inlineStr">
        <is>
          <t>(en blanco)</t>
        </is>
      </c>
      <c r="F2469" t="inlineStr">
        <is>
          <t>(en blanco)</t>
        </is>
      </c>
      <c r="G2469" t="inlineStr">
        <is>
          <t>XXL</t>
        </is>
      </c>
      <c r="H2469" t="n">
        <v>1</v>
      </c>
      <c r="I2469" t="inlineStr">
        <is>
          <t>NAUTICA_MENS_208001603_DFS_1.jpg</t>
        </is>
      </c>
      <c r="J2469" t="inlineStr">
        <is>
          <t>NAUTICA_MENS_208001603_DFS_2.jpg</t>
        </is>
      </c>
      <c r="K2469" t="inlineStr">
        <is>
          <t>NAUTICA_MENS_208001603_DFS_3.jpg</t>
        </is>
      </c>
      <c r="L2469">
        <f>IMAGE("file:///E:/Estudios%20y%20certificaciones/ESTUDIOS%20DE%20PROGRAMMING/PROGRAMMING/PERSONAL/PYTHON/Image_Generator_API/imagenes/NAUTICA_MENS_208001603_DFS_1.jpg")</f>
        <v/>
      </c>
      <c r="M2469">
        <f>IMAGE("file:///E:/Estudios%20y%20certificaciones/ESTUDIOS%20DE%20PROGRAMMING/PROGRAMMING/PERSONAL/PYTHON/Image_Generator_API/imagenes/NAUTICA_MENS_208001603_DFS_2.jpg")</f>
        <v/>
      </c>
      <c r="N2469">
        <f>IMAGE("file:///E:/Estudios%20y%20certificaciones/ESTUDIOS%20DE%20PROGRAMMING/PROGRAMMING/PERSONAL/PYTHON/Image_Generator_API/imagenes/NAUTICA_MENS_208001603_DFS_3.jpg")</f>
        <v/>
      </c>
      <c r="O2469">
        <f>HYPERLINK("imagenes/NAUTICA_MENS_208001603_DFS_1.jpg","Ver imagen")</f>
        <v/>
      </c>
      <c r="P2469">
        <f>HYPERLINK("imagenes/NAUTICA_MENS_208001603_DFS_2.jpg","Ver imagen")</f>
        <v/>
      </c>
      <c r="Q2469">
        <f>HYPERLINK("imagenes/NAUTICA_MENS_208001603_DFS_3.jpg","Ver imagen")</f>
        <v/>
      </c>
    </row>
    <row r="2470">
      <c r="A2470" t="inlineStr">
        <is>
          <t>NAUTICA MENS</t>
        </is>
      </c>
      <c r="B2470" t="inlineStr">
        <is>
          <t>208001603</t>
        </is>
      </c>
      <c r="C2470" t="inlineStr">
        <is>
          <t>QUILTED MICROSUEDE BOMBER</t>
        </is>
      </c>
      <c r="D2470" t="inlineStr">
        <is>
          <t>MTA</t>
        </is>
      </c>
      <c r="E2470" t="inlineStr">
        <is>
          <t>(en blanco)</t>
        </is>
      </c>
      <c r="F2470" t="inlineStr">
        <is>
          <t>(en blanco)</t>
        </is>
      </c>
      <c r="G2470" t="inlineStr">
        <is>
          <t>XL</t>
        </is>
      </c>
      <c r="H2470" t="n">
        <v>1</v>
      </c>
      <c r="I2470" t="inlineStr">
        <is>
          <t>NAUTICA_MENS_208001603_MTA_1.jpg</t>
        </is>
      </c>
      <c r="J2470" t="inlineStr">
        <is>
          <t>NAUTICA_MENS_208001603_MTA_2.jpg</t>
        </is>
      </c>
      <c r="K2470" t="inlineStr">
        <is>
          <t>NAUTICA_MENS_208001603_MTA_3.jpg</t>
        </is>
      </c>
      <c r="L2470">
        <f>IMAGE("file:///E:/Estudios%20y%20certificaciones/ESTUDIOS%20DE%20PROGRAMMING/PROGRAMMING/PERSONAL/PYTHON/Image_Generator_API/imagenes/NAUTICA_MENS_208001603_MTA_1.jpg")</f>
        <v/>
      </c>
      <c r="M2470">
        <f>IMAGE("file:///E:/Estudios%20y%20certificaciones/ESTUDIOS%20DE%20PROGRAMMING/PROGRAMMING/PERSONAL/PYTHON/Image_Generator_API/imagenes/NAUTICA_MENS_208001603_MTA_2.jpg")</f>
        <v/>
      </c>
      <c r="N2470">
        <f>IMAGE("file:///E:/Estudios%20y%20certificaciones/ESTUDIOS%20DE%20PROGRAMMING/PROGRAMMING/PERSONAL/PYTHON/Image_Generator_API/imagenes/NAUTICA_MENS_208001603_MTA_3.jpg")</f>
        <v/>
      </c>
      <c r="O2470">
        <f>HYPERLINK("imagenes/NAUTICA_MENS_208001603_MTA_1.jpg","Ver imagen")</f>
        <v/>
      </c>
      <c r="P2470">
        <f>HYPERLINK("imagenes/NAUTICA_MENS_208001603_MTA_2.jpg","Ver imagen")</f>
        <v/>
      </c>
      <c r="Q2470">
        <f>HYPERLINK("imagenes/NAUTICA_MENS_208001603_MTA_3.jpg","Ver imagen")</f>
        <v/>
      </c>
    </row>
    <row r="2471">
      <c r="A2471" t="inlineStr">
        <is>
          <t>NAUTICA MENS</t>
        </is>
      </c>
      <c r="B2471" t="inlineStr">
        <is>
          <t>208002223</t>
        </is>
      </c>
      <c r="C2471" t="inlineStr">
        <is>
          <t>QUILTED PUFFER W/BIB</t>
        </is>
      </c>
      <c r="D2471" t="inlineStr">
        <is>
          <t>EBN</t>
        </is>
      </c>
      <c r="E2471" t="inlineStr">
        <is>
          <t>(en blanco)</t>
        </is>
      </c>
      <c r="F2471" t="inlineStr">
        <is>
          <t>(en blanco)</t>
        </is>
      </c>
      <c r="G2471" t="inlineStr">
        <is>
          <t>S</t>
        </is>
      </c>
      <c r="H2471" t="n">
        <v>2</v>
      </c>
      <c r="I2471" t="inlineStr">
        <is>
          <t>NAUTICA_MENS_208002223_EBN_1.jpg</t>
        </is>
      </c>
      <c r="J2471" t="inlineStr">
        <is>
          <t>NAUTICA_MENS_208002223_EBN_2.jpg</t>
        </is>
      </c>
      <c r="K2471" t="inlineStr">
        <is>
          <t>NAUTICA_MENS_208002223_EBN_3.jpg</t>
        </is>
      </c>
      <c r="L2471">
        <f>IMAGE("file:///E:/Estudios%20y%20certificaciones/ESTUDIOS%20DE%20PROGRAMMING/PROGRAMMING/PERSONAL/PYTHON/Image_Generator_API/imagenes/NAUTICA_MENS_208002223_EBN_1.jpg")</f>
        <v/>
      </c>
      <c r="M2471">
        <f>IMAGE("file:///E:/Estudios%20y%20certificaciones/ESTUDIOS%20DE%20PROGRAMMING/PROGRAMMING/PERSONAL/PYTHON/Image_Generator_API/imagenes/NAUTICA_MENS_208002223_EBN_2.jpg")</f>
        <v/>
      </c>
      <c r="N2471">
        <f>IMAGE("file:///E:/Estudios%20y%20certificaciones/ESTUDIOS%20DE%20PROGRAMMING/PROGRAMMING/PERSONAL/PYTHON/Image_Generator_API/imagenes/NAUTICA_MENS_208002223_EBN_3.jpg")</f>
        <v/>
      </c>
      <c r="O2471">
        <f>HYPERLINK("imagenes/NAUTICA_MENS_208002223_EBN_1.jpg","Ver imagen")</f>
        <v/>
      </c>
      <c r="P2471">
        <f>HYPERLINK("imagenes/NAUTICA_MENS_208002223_EBN_2.jpg","Ver imagen")</f>
        <v/>
      </c>
      <c r="Q2471">
        <f>HYPERLINK("imagenes/NAUTICA_MENS_208002223_EBN_3.jpg","Ver imagen")</f>
        <v/>
      </c>
    </row>
    <row r="2472">
      <c r="A2472" t="inlineStr">
        <is>
          <t>NAUTICA MENS</t>
        </is>
      </c>
      <c r="B2472" t="inlineStr">
        <is>
          <t>208002223</t>
        </is>
      </c>
      <c r="C2472" t="inlineStr">
        <is>
          <t>QUILTED PUFFER W/BIB</t>
        </is>
      </c>
      <c r="D2472" t="inlineStr">
        <is>
          <t>EBN</t>
        </is>
      </c>
      <c r="E2472" t="inlineStr">
        <is>
          <t>(en blanco)</t>
        </is>
      </c>
      <c r="F2472" t="inlineStr">
        <is>
          <t>(en blanco)</t>
        </is>
      </c>
      <c r="G2472" t="inlineStr">
        <is>
          <t>L</t>
        </is>
      </c>
      <c r="H2472" t="n">
        <v>15</v>
      </c>
      <c r="I2472" t="inlineStr">
        <is>
          <t>NAUTICA_MENS_208002223_EBN_1.jpg</t>
        </is>
      </c>
      <c r="J2472" t="inlineStr">
        <is>
          <t>NAUTICA_MENS_208002223_EBN_2.jpg</t>
        </is>
      </c>
      <c r="K2472" t="inlineStr">
        <is>
          <t>NAUTICA_MENS_208002223_EBN_3.jpg</t>
        </is>
      </c>
      <c r="L2472">
        <f>IMAGE("file:///E:/Estudios%20y%20certificaciones/ESTUDIOS%20DE%20PROGRAMMING/PROGRAMMING/PERSONAL/PYTHON/Image_Generator_API/imagenes/NAUTICA_MENS_208002223_EBN_1.jpg")</f>
        <v/>
      </c>
      <c r="M2472">
        <f>IMAGE("file:///E:/Estudios%20y%20certificaciones/ESTUDIOS%20DE%20PROGRAMMING/PROGRAMMING/PERSONAL/PYTHON/Image_Generator_API/imagenes/NAUTICA_MENS_208002223_EBN_2.jpg")</f>
        <v/>
      </c>
      <c r="N2472">
        <f>IMAGE("file:///E:/Estudios%20y%20certificaciones/ESTUDIOS%20DE%20PROGRAMMING/PROGRAMMING/PERSONAL/PYTHON/Image_Generator_API/imagenes/NAUTICA_MENS_208002223_EBN_3.jpg")</f>
        <v/>
      </c>
      <c r="O2472">
        <f>HYPERLINK("imagenes/NAUTICA_MENS_208002223_EBN_1.jpg","Ver imagen")</f>
        <v/>
      </c>
      <c r="P2472">
        <f>HYPERLINK("imagenes/NAUTICA_MENS_208002223_EBN_2.jpg","Ver imagen")</f>
        <v/>
      </c>
      <c r="Q2472">
        <f>HYPERLINK("imagenes/NAUTICA_MENS_208002223_EBN_3.jpg","Ver imagen")</f>
        <v/>
      </c>
    </row>
    <row r="2473">
      <c r="A2473" t="inlineStr">
        <is>
          <t>NAUTICA MENS</t>
        </is>
      </c>
      <c r="B2473" t="inlineStr">
        <is>
          <t>208002223</t>
        </is>
      </c>
      <c r="C2473" t="inlineStr">
        <is>
          <t>QUILTED PUFFER W/BIB</t>
        </is>
      </c>
      <c r="D2473" t="inlineStr">
        <is>
          <t>EBN</t>
        </is>
      </c>
      <c r="E2473" t="inlineStr">
        <is>
          <t>(en blanco)</t>
        </is>
      </c>
      <c r="F2473" t="inlineStr">
        <is>
          <t>(en blanco)</t>
        </is>
      </c>
      <c r="G2473" t="inlineStr">
        <is>
          <t>XL</t>
        </is>
      </c>
      <c r="H2473" t="n">
        <v>14</v>
      </c>
      <c r="I2473" t="inlineStr">
        <is>
          <t>NAUTICA_MENS_208002223_EBN_1.jpg</t>
        </is>
      </c>
      <c r="J2473" t="inlineStr">
        <is>
          <t>NAUTICA_MENS_208002223_EBN_2.jpg</t>
        </is>
      </c>
      <c r="K2473" t="inlineStr">
        <is>
          <t>NAUTICA_MENS_208002223_EBN_3.jpg</t>
        </is>
      </c>
      <c r="L2473">
        <f>IMAGE("file:///E:/Estudios%20y%20certificaciones/ESTUDIOS%20DE%20PROGRAMMING/PROGRAMMING/PERSONAL/PYTHON/Image_Generator_API/imagenes/NAUTICA_MENS_208002223_EBN_1.jpg")</f>
        <v/>
      </c>
      <c r="M2473">
        <f>IMAGE("file:///E:/Estudios%20y%20certificaciones/ESTUDIOS%20DE%20PROGRAMMING/PROGRAMMING/PERSONAL/PYTHON/Image_Generator_API/imagenes/NAUTICA_MENS_208002223_EBN_2.jpg")</f>
        <v/>
      </c>
      <c r="N2473">
        <f>IMAGE("file:///E:/Estudios%20y%20certificaciones/ESTUDIOS%20DE%20PROGRAMMING/PROGRAMMING/PERSONAL/PYTHON/Image_Generator_API/imagenes/NAUTICA_MENS_208002223_EBN_3.jpg")</f>
        <v/>
      </c>
      <c r="O2473">
        <f>HYPERLINK("imagenes/NAUTICA_MENS_208002223_EBN_1.jpg","Ver imagen")</f>
        <v/>
      </c>
      <c r="P2473">
        <f>HYPERLINK("imagenes/NAUTICA_MENS_208002223_EBN_2.jpg","Ver imagen")</f>
        <v/>
      </c>
      <c r="Q2473">
        <f>HYPERLINK("imagenes/NAUTICA_MENS_208002223_EBN_3.jpg","Ver imagen")</f>
        <v/>
      </c>
    </row>
    <row r="2474">
      <c r="A2474" t="inlineStr">
        <is>
          <t>NAUTICA MENS</t>
        </is>
      </c>
      <c r="B2474" t="inlineStr">
        <is>
          <t>208002223</t>
        </is>
      </c>
      <c r="C2474" t="inlineStr">
        <is>
          <t>QUILTED PUFFER W/BIB</t>
        </is>
      </c>
      <c r="D2474" t="inlineStr">
        <is>
          <t>EBN</t>
        </is>
      </c>
      <c r="E2474" t="inlineStr">
        <is>
          <t>(en blanco)</t>
        </is>
      </c>
      <c r="F2474" t="inlineStr">
        <is>
          <t>(en blanco)</t>
        </is>
      </c>
      <c r="G2474" t="inlineStr">
        <is>
          <t>XXL</t>
        </is>
      </c>
      <c r="H2474" t="n">
        <v>2</v>
      </c>
      <c r="I2474" t="inlineStr">
        <is>
          <t>NAUTICA_MENS_208002223_EBN_1.jpg</t>
        </is>
      </c>
      <c r="J2474" t="inlineStr">
        <is>
          <t>NAUTICA_MENS_208002223_EBN_2.jpg</t>
        </is>
      </c>
      <c r="K2474" t="inlineStr">
        <is>
          <t>NAUTICA_MENS_208002223_EBN_3.jpg</t>
        </is>
      </c>
      <c r="L2474">
        <f>IMAGE("file:///E:/Estudios%20y%20certificaciones/ESTUDIOS%20DE%20PROGRAMMING/PROGRAMMING/PERSONAL/PYTHON/Image_Generator_API/imagenes/NAUTICA_MENS_208002223_EBN_1.jpg")</f>
        <v/>
      </c>
      <c r="M2474">
        <f>IMAGE("file:///E:/Estudios%20y%20certificaciones/ESTUDIOS%20DE%20PROGRAMMING/PROGRAMMING/PERSONAL/PYTHON/Image_Generator_API/imagenes/NAUTICA_MENS_208002223_EBN_2.jpg")</f>
        <v/>
      </c>
      <c r="N2474">
        <f>IMAGE("file:///E:/Estudios%20y%20certificaciones/ESTUDIOS%20DE%20PROGRAMMING/PROGRAMMING/PERSONAL/PYTHON/Image_Generator_API/imagenes/NAUTICA_MENS_208002223_EBN_3.jpg")</f>
        <v/>
      </c>
      <c r="O2474">
        <f>HYPERLINK("imagenes/NAUTICA_MENS_208002223_EBN_1.jpg","Ver imagen")</f>
        <v/>
      </c>
      <c r="P2474">
        <f>HYPERLINK("imagenes/NAUTICA_MENS_208002223_EBN_2.jpg","Ver imagen")</f>
        <v/>
      </c>
      <c r="Q2474">
        <f>HYPERLINK("imagenes/NAUTICA_MENS_208002223_EBN_3.jpg","Ver imagen")</f>
        <v/>
      </c>
    </row>
    <row r="2475">
      <c r="A2475" t="inlineStr">
        <is>
          <t>NAUTICA MENS</t>
        </is>
      </c>
      <c r="B2475" t="inlineStr">
        <is>
          <t>208002223</t>
        </is>
      </c>
      <c r="C2475" t="inlineStr">
        <is>
          <t>QUILTED PUFFER W/BIB</t>
        </is>
      </c>
      <c r="D2475" t="inlineStr">
        <is>
          <t>MTA</t>
        </is>
      </c>
      <c r="E2475" t="inlineStr">
        <is>
          <t>(en blanco)</t>
        </is>
      </c>
      <c r="F2475" t="inlineStr">
        <is>
          <t>(en blanco)</t>
        </is>
      </c>
      <c r="G2475" t="inlineStr">
        <is>
          <t>XL</t>
        </is>
      </c>
      <c r="H2475" t="n">
        <v>3</v>
      </c>
      <c r="I2475" t="inlineStr">
        <is>
          <t>NAUTICA_MENS_208002223_MTA_1.jpg</t>
        </is>
      </c>
      <c r="J2475" t="inlineStr">
        <is>
          <t>NAUTICA_MENS_208002223_MTA_2.jpg</t>
        </is>
      </c>
      <c r="K2475" t="inlineStr">
        <is>
          <t>NAUTICA_MENS_208002223_MTA_3.jpg</t>
        </is>
      </c>
      <c r="L2475">
        <f>IMAGE("file:///E:/Estudios%20y%20certificaciones/ESTUDIOS%20DE%20PROGRAMMING/PROGRAMMING/PERSONAL/PYTHON/Image_Generator_API/imagenes/NAUTICA_MENS_208002223_MTA_1.jpg")</f>
        <v/>
      </c>
      <c r="M2475">
        <f>IMAGE("file:///E:/Estudios%20y%20certificaciones/ESTUDIOS%20DE%20PROGRAMMING/PROGRAMMING/PERSONAL/PYTHON/Image_Generator_API/imagenes/NAUTICA_MENS_208002223_MTA_2.jpg")</f>
        <v/>
      </c>
      <c r="N2475">
        <f>IMAGE("file:///E:/Estudios%20y%20certificaciones/ESTUDIOS%20DE%20PROGRAMMING/PROGRAMMING/PERSONAL/PYTHON/Image_Generator_API/imagenes/NAUTICA_MENS_208002223_MTA_3.jpg")</f>
        <v/>
      </c>
      <c r="O2475">
        <f>HYPERLINK("imagenes/NAUTICA_MENS_208002223_MTA_1.jpg","Ver imagen")</f>
        <v/>
      </c>
      <c r="P2475">
        <f>HYPERLINK("imagenes/NAUTICA_MENS_208002223_MTA_2.jpg","Ver imagen")</f>
        <v/>
      </c>
      <c r="Q2475">
        <f>HYPERLINK("imagenes/NAUTICA_MENS_208002223_MTA_3.jpg","Ver imagen")</f>
        <v/>
      </c>
    </row>
    <row r="2476">
      <c r="A2476" t="inlineStr">
        <is>
          <t>NAUTICA MENS</t>
        </is>
      </c>
      <c r="B2476" t="inlineStr">
        <is>
          <t>208002223</t>
        </is>
      </c>
      <c r="C2476" t="inlineStr">
        <is>
          <t>QUILTED PUFFER W/BIB</t>
        </is>
      </c>
      <c r="D2476" t="inlineStr">
        <is>
          <t>MTA</t>
        </is>
      </c>
      <c r="E2476" t="inlineStr">
        <is>
          <t>(en blanco)</t>
        </is>
      </c>
      <c r="F2476" t="inlineStr">
        <is>
          <t>(en blanco)</t>
        </is>
      </c>
      <c r="G2476" t="inlineStr">
        <is>
          <t>XXL</t>
        </is>
      </c>
      <c r="H2476" t="n">
        <v>7</v>
      </c>
      <c r="I2476" t="inlineStr">
        <is>
          <t>NAUTICA_MENS_208002223_MTA_1.jpg</t>
        </is>
      </c>
      <c r="J2476" t="inlineStr">
        <is>
          <t>NAUTICA_MENS_208002223_MTA_2.jpg</t>
        </is>
      </c>
      <c r="K2476" t="inlineStr">
        <is>
          <t>NAUTICA_MENS_208002223_MTA_3.jpg</t>
        </is>
      </c>
      <c r="L2476">
        <f>IMAGE("file:///E:/Estudios%20y%20certificaciones/ESTUDIOS%20DE%20PROGRAMMING/PROGRAMMING/PERSONAL/PYTHON/Image_Generator_API/imagenes/NAUTICA_MENS_208002223_MTA_1.jpg")</f>
        <v/>
      </c>
      <c r="M2476">
        <f>IMAGE("file:///E:/Estudios%20y%20certificaciones/ESTUDIOS%20DE%20PROGRAMMING/PROGRAMMING/PERSONAL/PYTHON/Image_Generator_API/imagenes/NAUTICA_MENS_208002223_MTA_2.jpg")</f>
        <v/>
      </c>
      <c r="N2476">
        <f>IMAGE("file:///E:/Estudios%20y%20certificaciones/ESTUDIOS%20DE%20PROGRAMMING/PROGRAMMING/PERSONAL/PYTHON/Image_Generator_API/imagenes/NAUTICA_MENS_208002223_MTA_3.jpg")</f>
        <v/>
      </c>
      <c r="O2476">
        <f>HYPERLINK("imagenes/NAUTICA_MENS_208002223_MTA_1.jpg","Ver imagen")</f>
        <v/>
      </c>
      <c r="P2476">
        <f>HYPERLINK("imagenes/NAUTICA_MENS_208002223_MTA_2.jpg","Ver imagen")</f>
        <v/>
      </c>
      <c r="Q2476">
        <f>HYPERLINK("imagenes/NAUTICA_MENS_208002223_MTA_3.jpg","Ver imagen")</f>
        <v/>
      </c>
    </row>
    <row r="2477">
      <c r="A2477" t="inlineStr">
        <is>
          <t>NAUTICA MENS</t>
        </is>
      </c>
      <c r="B2477" t="inlineStr">
        <is>
          <t>208002538</t>
        </is>
      </c>
      <c r="C2477" t="inlineStr">
        <is>
          <t>SOFT SHELL JACKET</t>
        </is>
      </c>
      <c r="D2477" t="inlineStr">
        <is>
          <t>CLG</t>
        </is>
      </c>
      <c r="E2477" t="inlineStr">
        <is>
          <t>(en blanco)</t>
        </is>
      </c>
      <c r="F2477" t="inlineStr">
        <is>
          <t>N1160</t>
        </is>
      </c>
      <c r="G2477" t="inlineStr">
        <is>
          <t>XS</t>
        </is>
      </c>
      <c r="H2477" t="n">
        <v>0</v>
      </c>
      <c r="I2477" t="inlineStr">
        <is>
          <t>NAUTICA_MENS_208002538_CLG_1.jpg</t>
        </is>
      </c>
      <c r="J2477" t="inlineStr">
        <is>
          <t>NAUTICA_MENS_208002538_CLG_2.jpg</t>
        </is>
      </c>
      <c r="K2477" t="inlineStr">
        <is>
          <t>NAUTICA_MENS_208002538_CLG_3.jpg</t>
        </is>
      </c>
      <c r="L2477">
        <f>IMAGE("file:///E:/Estudios%20y%20certificaciones/ESTUDIOS%20DE%20PROGRAMMING/PROGRAMMING/PERSONAL/PYTHON/Image_Generator_API/imagenes/NAUTICA_MENS_208002538_CLG_1.jpg")</f>
        <v/>
      </c>
      <c r="M2477">
        <f>IMAGE("file:///E:/Estudios%20y%20certificaciones/ESTUDIOS%20DE%20PROGRAMMING/PROGRAMMING/PERSONAL/PYTHON/Image_Generator_API/imagenes/NAUTICA_MENS_208002538_CLG_2.jpg")</f>
        <v/>
      </c>
      <c r="N2477">
        <f>IMAGE("file:///E:/Estudios%20y%20certificaciones/ESTUDIOS%20DE%20PROGRAMMING/PROGRAMMING/PERSONAL/PYTHON/Image_Generator_API/imagenes/NAUTICA_MENS_208002538_CLG_3.jpg")</f>
        <v/>
      </c>
      <c r="O2477">
        <f>HYPERLINK("imagenes/NAUTICA_MENS_208002538_CLG_1.jpg","Ver imagen")</f>
        <v/>
      </c>
      <c r="P2477">
        <f>HYPERLINK("imagenes/NAUTICA_MENS_208002538_CLG_2.jpg","Ver imagen")</f>
        <v/>
      </c>
      <c r="Q2477">
        <f>HYPERLINK("imagenes/NAUTICA_MENS_208002538_CLG_3.jpg","Ver imagen")</f>
        <v/>
      </c>
    </row>
    <row r="2478">
      <c r="A2478" t="inlineStr">
        <is>
          <t>NAUTICA MENS</t>
        </is>
      </c>
      <c r="B2478" t="inlineStr">
        <is>
          <t>208002538</t>
        </is>
      </c>
      <c r="C2478" t="inlineStr">
        <is>
          <t>SOFT SHELL JACKET</t>
        </is>
      </c>
      <c r="D2478" t="inlineStr">
        <is>
          <t>CLG</t>
        </is>
      </c>
      <c r="E2478" t="inlineStr">
        <is>
          <t>(en blanco)</t>
        </is>
      </c>
      <c r="F2478" t="inlineStr">
        <is>
          <t>N1160</t>
        </is>
      </c>
      <c r="G2478" t="inlineStr">
        <is>
          <t>S</t>
        </is>
      </c>
      <c r="H2478" t="n">
        <v>0</v>
      </c>
      <c r="I2478" t="inlineStr">
        <is>
          <t>NAUTICA_MENS_208002538_CLG_1.jpg</t>
        </is>
      </c>
      <c r="J2478" t="inlineStr">
        <is>
          <t>NAUTICA_MENS_208002538_CLG_2.jpg</t>
        </is>
      </c>
      <c r="K2478" t="inlineStr">
        <is>
          <t>NAUTICA_MENS_208002538_CLG_3.jpg</t>
        </is>
      </c>
      <c r="L2478">
        <f>IMAGE("file:///E:/Estudios%20y%20certificaciones/ESTUDIOS%20DE%20PROGRAMMING/PROGRAMMING/PERSONAL/PYTHON/Image_Generator_API/imagenes/NAUTICA_MENS_208002538_CLG_1.jpg")</f>
        <v/>
      </c>
      <c r="M2478">
        <f>IMAGE("file:///E:/Estudios%20y%20certificaciones/ESTUDIOS%20DE%20PROGRAMMING/PROGRAMMING/PERSONAL/PYTHON/Image_Generator_API/imagenes/NAUTICA_MENS_208002538_CLG_2.jpg")</f>
        <v/>
      </c>
      <c r="N2478">
        <f>IMAGE("file:///E:/Estudios%20y%20certificaciones/ESTUDIOS%20DE%20PROGRAMMING/PROGRAMMING/PERSONAL/PYTHON/Image_Generator_API/imagenes/NAUTICA_MENS_208002538_CLG_3.jpg")</f>
        <v/>
      </c>
      <c r="O2478">
        <f>HYPERLINK("imagenes/NAUTICA_MENS_208002538_CLG_1.jpg","Ver imagen")</f>
        <v/>
      </c>
      <c r="P2478">
        <f>HYPERLINK("imagenes/NAUTICA_MENS_208002538_CLG_2.jpg","Ver imagen")</f>
        <v/>
      </c>
      <c r="Q2478">
        <f>HYPERLINK("imagenes/NAUTICA_MENS_208002538_CLG_3.jpg","Ver imagen")</f>
        <v/>
      </c>
    </row>
    <row r="2479">
      <c r="A2479" t="inlineStr">
        <is>
          <t>NAUTICA MENS</t>
        </is>
      </c>
      <c r="B2479" t="inlineStr">
        <is>
          <t>208002538</t>
        </is>
      </c>
      <c r="C2479" t="inlineStr">
        <is>
          <t>SOFT SHELL JACKET</t>
        </is>
      </c>
      <c r="D2479" t="inlineStr">
        <is>
          <t>CLG</t>
        </is>
      </c>
      <c r="E2479" t="inlineStr">
        <is>
          <t>(en blanco)</t>
        </is>
      </c>
      <c r="F2479" t="inlineStr">
        <is>
          <t>N1160</t>
        </is>
      </c>
      <c r="G2479" t="inlineStr">
        <is>
          <t>M</t>
        </is>
      </c>
      <c r="H2479" t="n">
        <v>0</v>
      </c>
      <c r="I2479" t="inlineStr">
        <is>
          <t>NAUTICA_MENS_208002538_CLG_1.jpg</t>
        </is>
      </c>
      <c r="J2479" t="inlineStr">
        <is>
          <t>NAUTICA_MENS_208002538_CLG_2.jpg</t>
        </is>
      </c>
      <c r="K2479" t="inlineStr">
        <is>
          <t>NAUTICA_MENS_208002538_CLG_3.jpg</t>
        </is>
      </c>
      <c r="L2479">
        <f>IMAGE("file:///E:/Estudios%20y%20certificaciones/ESTUDIOS%20DE%20PROGRAMMING/PROGRAMMING/PERSONAL/PYTHON/Image_Generator_API/imagenes/NAUTICA_MENS_208002538_CLG_1.jpg")</f>
        <v/>
      </c>
      <c r="M2479">
        <f>IMAGE("file:///E:/Estudios%20y%20certificaciones/ESTUDIOS%20DE%20PROGRAMMING/PROGRAMMING/PERSONAL/PYTHON/Image_Generator_API/imagenes/NAUTICA_MENS_208002538_CLG_2.jpg")</f>
        <v/>
      </c>
      <c r="N2479">
        <f>IMAGE("file:///E:/Estudios%20y%20certificaciones/ESTUDIOS%20DE%20PROGRAMMING/PROGRAMMING/PERSONAL/PYTHON/Image_Generator_API/imagenes/NAUTICA_MENS_208002538_CLG_3.jpg")</f>
        <v/>
      </c>
      <c r="O2479">
        <f>HYPERLINK("imagenes/NAUTICA_MENS_208002538_CLG_1.jpg","Ver imagen")</f>
        <v/>
      </c>
      <c r="P2479">
        <f>HYPERLINK("imagenes/NAUTICA_MENS_208002538_CLG_2.jpg","Ver imagen")</f>
        <v/>
      </c>
      <c r="Q2479">
        <f>HYPERLINK("imagenes/NAUTICA_MENS_208002538_CLG_3.jpg","Ver imagen")</f>
        <v/>
      </c>
    </row>
    <row r="2480">
      <c r="A2480" t="inlineStr">
        <is>
          <t>NAUTICA MENS</t>
        </is>
      </c>
      <c r="B2480" t="inlineStr">
        <is>
          <t>208002538</t>
        </is>
      </c>
      <c r="C2480" t="inlineStr">
        <is>
          <t>SOFT SHELL JACKET</t>
        </is>
      </c>
      <c r="D2480" t="inlineStr">
        <is>
          <t>CLG</t>
        </is>
      </c>
      <c r="E2480" t="inlineStr">
        <is>
          <t>(en blanco)</t>
        </is>
      </c>
      <c r="F2480" t="inlineStr">
        <is>
          <t>N1160</t>
        </is>
      </c>
      <c r="G2480" t="inlineStr">
        <is>
          <t>L</t>
        </is>
      </c>
      <c r="H2480" t="n">
        <v>0</v>
      </c>
      <c r="I2480" t="inlineStr">
        <is>
          <t>NAUTICA_MENS_208002538_CLG_1.jpg</t>
        </is>
      </c>
      <c r="J2480" t="inlineStr">
        <is>
          <t>NAUTICA_MENS_208002538_CLG_2.jpg</t>
        </is>
      </c>
      <c r="K2480" t="inlineStr">
        <is>
          <t>NAUTICA_MENS_208002538_CLG_3.jpg</t>
        </is>
      </c>
      <c r="L2480">
        <f>IMAGE("file:///E:/Estudios%20y%20certificaciones/ESTUDIOS%20DE%20PROGRAMMING/PROGRAMMING/PERSONAL/PYTHON/Image_Generator_API/imagenes/NAUTICA_MENS_208002538_CLG_1.jpg")</f>
        <v/>
      </c>
      <c r="M2480">
        <f>IMAGE("file:///E:/Estudios%20y%20certificaciones/ESTUDIOS%20DE%20PROGRAMMING/PROGRAMMING/PERSONAL/PYTHON/Image_Generator_API/imagenes/NAUTICA_MENS_208002538_CLG_2.jpg")</f>
        <v/>
      </c>
      <c r="N2480">
        <f>IMAGE("file:///E:/Estudios%20y%20certificaciones/ESTUDIOS%20DE%20PROGRAMMING/PROGRAMMING/PERSONAL/PYTHON/Image_Generator_API/imagenes/NAUTICA_MENS_208002538_CLG_3.jpg")</f>
        <v/>
      </c>
      <c r="O2480">
        <f>HYPERLINK("imagenes/NAUTICA_MENS_208002538_CLG_1.jpg","Ver imagen")</f>
        <v/>
      </c>
      <c r="P2480">
        <f>HYPERLINK("imagenes/NAUTICA_MENS_208002538_CLG_2.jpg","Ver imagen")</f>
        <v/>
      </c>
      <c r="Q2480">
        <f>HYPERLINK("imagenes/NAUTICA_MENS_208002538_CLG_3.jpg","Ver imagen")</f>
        <v/>
      </c>
    </row>
    <row r="2481">
      <c r="A2481" t="inlineStr">
        <is>
          <t>NAUTICA MENS</t>
        </is>
      </c>
      <c r="B2481" t="inlineStr">
        <is>
          <t>208002538</t>
        </is>
      </c>
      <c r="C2481" t="inlineStr">
        <is>
          <t>SOFT SHELL JACKET</t>
        </is>
      </c>
      <c r="D2481" t="inlineStr">
        <is>
          <t>CLG</t>
        </is>
      </c>
      <c r="E2481" t="inlineStr">
        <is>
          <t>(en blanco)</t>
        </is>
      </c>
      <c r="F2481" t="inlineStr">
        <is>
          <t>N1160</t>
        </is>
      </c>
      <c r="G2481" t="inlineStr">
        <is>
          <t>XL</t>
        </is>
      </c>
      <c r="H2481" t="n">
        <v>0</v>
      </c>
      <c r="I2481" t="inlineStr">
        <is>
          <t>NAUTICA_MENS_208002538_CLG_1.jpg</t>
        </is>
      </c>
      <c r="J2481" t="inlineStr">
        <is>
          <t>NAUTICA_MENS_208002538_CLG_2.jpg</t>
        </is>
      </c>
      <c r="K2481" t="inlineStr">
        <is>
          <t>NAUTICA_MENS_208002538_CLG_3.jpg</t>
        </is>
      </c>
      <c r="L2481">
        <f>IMAGE("file:///E:/Estudios%20y%20certificaciones/ESTUDIOS%20DE%20PROGRAMMING/PROGRAMMING/PERSONAL/PYTHON/Image_Generator_API/imagenes/NAUTICA_MENS_208002538_CLG_1.jpg")</f>
        <v/>
      </c>
      <c r="M2481">
        <f>IMAGE("file:///E:/Estudios%20y%20certificaciones/ESTUDIOS%20DE%20PROGRAMMING/PROGRAMMING/PERSONAL/PYTHON/Image_Generator_API/imagenes/NAUTICA_MENS_208002538_CLG_2.jpg")</f>
        <v/>
      </c>
      <c r="N2481">
        <f>IMAGE("file:///E:/Estudios%20y%20certificaciones/ESTUDIOS%20DE%20PROGRAMMING/PROGRAMMING/PERSONAL/PYTHON/Image_Generator_API/imagenes/NAUTICA_MENS_208002538_CLG_3.jpg")</f>
        <v/>
      </c>
      <c r="O2481">
        <f>HYPERLINK("imagenes/NAUTICA_MENS_208002538_CLG_1.jpg","Ver imagen")</f>
        <v/>
      </c>
      <c r="P2481">
        <f>HYPERLINK("imagenes/NAUTICA_MENS_208002538_CLG_2.jpg","Ver imagen")</f>
        <v/>
      </c>
      <c r="Q2481">
        <f>HYPERLINK("imagenes/NAUTICA_MENS_208002538_CLG_3.jpg","Ver imagen")</f>
        <v/>
      </c>
    </row>
    <row r="2482">
      <c r="A2482" t="inlineStr">
        <is>
          <t>NAUTICA MENS</t>
        </is>
      </c>
      <c r="B2482" t="inlineStr">
        <is>
          <t>208002538</t>
        </is>
      </c>
      <c r="C2482" t="inlineStr">
        <is>
          <t>SOFT SHELL JACKET</t>
        </is>
      </c>
      <c r="D2482" t="inlineStr">
        <is>
          <t>CLG</t>
        </is>
      </c>
      <c r="E2482" t="inlineStr">
        <is>
          <t>(en blanco)</t>
        </is>
      </c>
      <c r="F2482" t="inlineStr">
        <is>
          <t>N1160</t>
        </is>
      </c>
      <c r="G2482" t="inlineStr">
        <is>
          <t>XXL</t>
        </is>
      </c>
      <c r="H2482" t="n">
        <v>0</v>
      </c>
      <c r="I2482" t="inlineStr">
        <is>
          <t>NAUTICA_MENS_208002538_CLG_1.jpg</t>
        </is>
      </c>
      <c r="J2482" t="inlineStr">
        <is>
          <t>NAUTICA_MENS_208002538_CLG_2.jpg</t>
        </is>
      </c>
      <c r="K2482" t="inlineStr">
        <is>
          <t>NAUTICA_MENS_208002538_CLG_3.jpg</t>
        </is>
      </c>
      <c r="L2482">
        <f>IMAGE("file:///E:/Estudios%20y%20certificaciones/ESTUDIOS%20DE%20PROGRAMMING/PROGRAMMING/PERSONAL/PYTHON/Image_Generator_API/imagenes/NAUTICA_MENS_208002538_CLG_1.jpg")</f>
        <v/>
      </c>
      <c r="M2482">
        <f>IMAGE("file:///E:/Estudios%20y%20certificaciones/ESTUDIOS%20DE%20PROGRAMMING/PROGRAMMING/PERSONAL/PYTHON/Image_Generator_API/imagenes/NAUTICA_MENS_208002538_CLG_2.jpg")</f>
        <v/>
      </c>
      <c r="N2482">
        <f>IMAGE("file:///E:/Estudios%20y%20certificaciones/ESTUDIOS%20DE%20PROGRAMMING/PROGRAMMING/PERSONAL/PYTHON/Image_Generator_API/imagenes/NAUTICA_MENS_208002538_CLG_3.jpg")</f>
        <v/>
      </c>
      <c r="O2482">
        <f>HYPERLINK("imagenes/NAUTICA_MENS_208002538_CLG_1.jpg","Ver imagen")</f>
        <v/>
      </c>
      <c r="P2482">
        <f>HYPERLINK("imagenes/NAUTICA_MENS_208002538_CLG_2.jpg","Ver imagen")</f>
        <v/>
      </c>
      <c r="Q2482">
        <f>HYPERLINK("imagenes/NAUTICA_MENS_208002538_CLG_3.jpg","Ver imagen")</f>
        <v/>
      </c>
    </row>
    <row r="2483">
      <c r="A2483" t="inlineStr">
        <is>
          <t>NAUTICA MENS</t>
        </is>
      </c>
      <c r="B2483" t="inlineStr">
        <is>
          <t>208002538</t>
        </is>
      </c>
      <c r="C2483" t="inlineStr">
        <is>
          <t>SOFT SHELL JACKET</t>
        </is>
      </c>
      <c r="D2483" t="inlineStr">
        <is>
          <t>CLG</t>
        </is>
      </c>
      <c r="E2483" t="inlineStr">
        <is>
          <t>(en blanco)</t>
        </is>
      </c>
      <c r="F2483" t="inlineStr">
        <is>
          <t>N1160</t>
        </is>
      </c>
      <c r="G2483" t="inlineStr">
        <is>
          <t>XXXL</t>
        </is>
      </c>
      <c r="H2483" t="n">
        <v>0</v>
      </c>
      <c r="I2483" t="inlineStr">
        <is>
          <t>NAUTICA_MENS_208002538_CLG_1.jpg</t>
        </is>
      </c>
      <c r="J2483" t="inlineStr">
        <is>
          <t>NAUTICA_MENS_208002538_CLG_2.jpg</t>
        </is>
      </c>
      <c r="K2483" t="inlineStr">
        <is>
          <t>NAUTICA_MENS_208002538_CLG_3.jpg</t>
        </is>
      </c>
      <c r="L2483">
        <f>IMAGE("file:///E:/Estudios%20y%20certificaciones/ESTUDIOS%20DE%20PROGRAMMING/PROGRAMMING/PERSONAL/PYTHON/Image_Generator_API/imagenes/NAUTICA_MENS_208002538_CLG_1.jpg")</f>
        <v/>
      </c>
      <c r="M2483">
        <f>IMAGE("file:///E:/Estudios%20y%20certificaciones/ESTUDIOS%20DE%20PROGRAMMING/PROGRAMMING/PERSONAL/PYTHON/Image_Generator_API/imagenes/NAUTICA_MENS_208002538_CLG_2.jpg")</f>
        <v/>
      </c>
      <c r="N2483">
        <f>IMAGE("file:///E:/Estudios%20y%20certificaciones/ESTUDIOS%20DE%20PROGRAMMING/PROGRAMMING/PERSONAL/PYTHON/Image_Generator_API/imagenes/NAUTICA_MENS_208002538_CLG_3.jpg")</f>
        <v/>
      </c>
      <c r="O2483">
        <f>HYPERLINK("imagenes/NAUTICA_MENS_208002538_CLG_1.jpg","Ver imagen")</f>
        <v/>
      </c>
      <c r="P2483">
        <f>HYPERLINK("imagenes/NAUTICA_MENS_208002538_CLG_2.jpg","Ver imagen")</f>
        <v/>
      </c>
      <c r="Q2483">
        <f>HYPERLINK("imagenes/NAUTICA_MENS_208002538_CLG_3.jpg","Ver imagen")</f>
        <v/>
      </c>
    </row>
    <row r="2484">
      <c r="A2484" t="inlineStr">
        <is>
          <t>NAUTICA MENS</t>
        </is>
      </c>
      <c r="B2484" t="inlineStr">
        <is>
          <t>208002538</t>
        </is>
      </c>
      <c r="C2484" t="inlineStr">
        <is>
          <t>SOFT SHELL JACKET</t>
        </is>
      </c>
      <c r="D2484" t="inlineStr">
        <is>
          <t>NSS</t>
        </is>
      </c>
      <c r="E2484" t="inlineStr">
        <is>
          <t>(en blanco)</t>
        </is>
      </c>
      <c r="F2484" t="inlineStr">
        <is>
          <t>N1160</t>
        </is>
      </c>
      <c r="G2484" t="inlineStr">
        <is>
          <t>XS</t>
        </is>
      </c>
      <c r="H2484" t="n">
        <v>0</v>
      </c>
      <c r="I2484" t="inlineStr">
        <is>
          <t>NAUTICA_MENS_208002538_NSS_1.jpg</t>
        </is>
      </c>
      <c r="J2484" t="inlineStr">
        <is>
          <t>NAUTICA_MENS_208002538_NSS_2.jpg</t>
        </is>
      </c>
      <c r="K2484" t="inlineStr">
        <is>
          <t>NAUTICA_MENS_208002538_NSS_3.jpg</t>
        </is>
      </c>
      <c r="L2484">
        <f>IMAGE("file:///E:/Estudios%20y%20certificaciones/ESTUDIOS%20DE%20PROGRAMMING/PROGRAMMING/PERSONAL/PYTHON/Image_Generator_API/imagenes/NAUTICA_MENS_208002538_NSS_1.jpg")</f>
        <v/>
      </c>
      <c r="M2484">
        <f>IMAGE("file:///E:/Estudios%20y%20certificaciones/ESTUDIOS%20DE%20PROGRAMMING/PROGRAMMING/PERSONAL/PYTHON/Image_Generator_API/imagenes/NAUTICA_MENS_208002538_NSS_2.jpg")</f>
        <v/>
      </c>
      <c r="N2484">
        <f>IMAGE("file:///E:/Estudios%20y%20certificaciones/ESTUDIOS%20DE%20PROGRAMMING/PROGRAMMING/PERSONAL/PYTHON/Image_Generator_API/imagenes/NAUTICA_MENS_208002538_NSS_3.jpg")</f>
        <v/>
      </c>
      <c r="O2484">
        <f>HYPERLINK("imagenes/NAUTICA_MENS_208002538_NSS_1.jpg","Ver imagen")</f>
        <v/>
      </c>
      <c r="P2484">
        <f>HYPERLINK("imagenes/NAUTICA_MENS_208002538_NSS_2.jpg","Ver imagen")</f>
        <v/>
      </c>
      <c r="Q2484">
        <f>HYPERLINK("imagenes/NAUTICA_MENS_208002538_NSS_3.jpg","Ver imagen")</f>
        <v/>
      </c>
    </row>
    <row r="2485">
      <c r="A2485" t="inlineStr">
        <is>
          <t>NAUTICA MENS</t>
        </is>
      </c>
      <c r="B2485" t="inlineStr">
        <is>
          <t>208002538</t>
        </is>
      </c>
      <c r="C2485" t="inlineStr">
        <is>
          <t>SOFT SHELL JACKET</t>
        </is>
      </c>
      <c r="D2485" t="inlineStr">
        <is>
          <t>NSS</t>
        </is>
      </c>
      <c r="E2485" t="inlineStr">
        <is>
          <t>(en blanco)</t>
        </is>
      </c>
      <c r="F2485" t="inlineStr">
        <is>
          <t>N1160</t>
        </is>
      </c>
      <c r="G2485" t="inlineStr">
        <is>
          <t>S</t>
        </is>
      </c>
      <c r="H2485" t="n">
        <v>0</v>
      </c>
      <c r="I2485" t="inlineStr">
        <is>
          <t>NAUTICA_MENS_208002538_NSS_1.jpg</t>
        </is>
      </c>
      <c r="J2485" t="inlineStr">
        <is>
          <t>NAUTICA_MENS_208002538_NSS_2.jpg</t>
        </is>
      </c>
      <c r="K2485" t="inlineStr">
        <is>
          <t>NAUTICA_MENS_208002538_NSS_3.jpg</t>
        </is>
      </c>
      <c r="L2485">
        <f>IMAGE("file:///E:/Estudios%20y%20certificaciones/ESTUDIOS%20DE%20PROGRAMMING/PROGRAMMING/PERSONAL/PYTHON/Image_Generator_API/imagenes/NAUTICA_MENS_208002538_NSS_1.jpg")</f>
        <v/>
      </c>
      <c r="M2485">
        <f>IMAGE("file:///E:/Estudios%20y%20certificaciones/ESTUDIOS%20DE%20PROGRAMMING/PROGRAMMING/PERSONAL/PYTHON/Image_Generator_API/imagenes/NAUTICA_MENS_208002538_NSS_2.jpg")</f>
        <v/>
      </c>
      <c r="N2485">
        <f>IMAGE("file:///E:/Estudios%20y%20certificaciones/ESTUDIOS%20DE%20PROGRAMMING/PROGRAMMING/PERSONAL/PYTHON/Image_Generator_API/imagenes/NAUTICA_MENS_208002538_NSS_3.jpg")</f>
        <v/>
      </c>
      <c r="O2485">
        <f>HYPERLINK("imagenes/NAUTICA_MENS_208002538_NSS_1.jpg","Ver imagen")</f>
        <v/>
      </c>
      <c r="P2485">
        <f>HYPERLINK("imagenes/NAUTICA_MENS_208002538_NSS_2.jpg","Ver imagen")</f>
        <v/>
      </c>
      <c r="Q2485">
        <f>HYPERLINK("imagenes/NAUTICA_MENS_208002538_NSS_3.jpg","Ver imagen")</f>
        <v/>
      </c>
    </row>
    <row r="2486">
      <c r="A2486" t="inlineStr">
        <is>
          <t>NAUTICA MENS</t>
        </is>
      </c>
      <c r="B2486" t="inlineStr">
        <is>
          <t>208002538</t>
        </is>
      </c>
      <c r="C2486" t="inlineStr">
        <is>
          <t>SOFT SHELL JACKET</t>
        </is>
      </c>
      <c r="D2486" t="inlineStr">
        <is>
          <t>NSS</t>
        </is>
      </c>
      <c r="E2486" t="inlineStr">
        <is>
          <t>(en blanco)</t>
        </is>
      </c>
      <c r="F2486" t="inlineStr">
        <is>
          <t>N1160</t>
        </is>
      </c>
      <c r="G2486" t="inlineStr">
        <is>
          <t>M</t>
        </is>
      </c>
      <c r="H2486" t="n">
        <v>0</v>
      </c>
      <c r="I2486" t="inlineStr">
        <is>
          <t>NAUTICA_MENS_208002538_NSS_1.jpg</t>
        </is>
      </c>
      <c r="J2486" t="inlineStr">
        <is>
          <t>NAUTICA_MENS_208002538_NSS_2.jpg</t>
        </is>
      </c>
      <c r="K2486" t="inlineStr">
        <is>
          <t>NAUTICA_MENS_208002538_NSS_3.jpg</t>
        </is>
      </c>
      <c r="L2486">
        <f>IMAGE("file:///E:/Estudios%20y%20certificaciones/ESTUDIOS%20DE%20PROGRAMMING/PROGRAMMING/PERSONAL/PYTHON/Image_Generator_API/imagenes/NAUTICA_MENS_208002538_NSS_1.jpg")</f>
        <v/>
      </c>
      <c r="M2486">
        <f>IMAGE("file:///E:/Estudios%20y%20certificaciones/ESTUDIOS%20DE%20PROGRAMMING/PROGRAMMING/PERSONAL/PYTHON/Image_Generator_API/imagenes/NAUTICA_MENS_208002538_NSS_2.jpg")</f>
        <v/>
      </c>
      <c r="N2486">
        <f>IMAGE("file:///E:/Estudios%20y%20certificaciones/ESTUDIOS%20DE%20PROGRAMMING/PROGRAMMING/PERSONAL/PYTHON/Image_Generator_API/imagenes/NAUTICA_MENS_208002538_NSS_3.jpg")</f>
        <v/>
      </c>
      <c r="O2486">
        <f>HYPERLINK("imagenes/NAUTICA_MENS_208002538_NSS_1.jpg","Ver imagen")</f>
        <v/>
      </c>
      <c r="P2486">
        <f>HYPERLINK("imagenes/NAUTICA_MENS_208002538_NSS_2.jpg","Ver imagen")</f>
        <v/>
      </c>
      <c r="Q2486">
        <f>HYPERLINK("imagenes/NAUTICA_MENS_208002538_NSS_3.jpg","Ver imagen")</f>
        <v/>
      </c>
    </row>
    <row r="2487">
      <c r="A2487" t="inlineStr">
        <is>
          <t>NAUTICA MENS</t>
        </is>
      </c>
      <c r="B2487" t="inlineStr">
        <is>
          <t>208002538</t>
        </is>
      </c>
      <c r="C2487" t="inlineStr">
        <is>
          <t>SOFT SHELL JACKET</t>
        </is>
      </c>
      <c r="D2487" t="inlineStr">
        <is>
          <t>NSS</t>
        </is>
      </c>
      <c r="E2487" t="inlineStr">
        <is>
          <t>(en blanco)</t>
        </is>
      </c>
      <c r="F2487" t="inlineStr">
        <is>
          <t>N1160</t>
        </is>
      </c>
      <c r="G2487" t="inlineStr">
        <is>
          <t>L</t>
        </is>
      </c>
      <c r="H2487" t="n">
        <v>0</v>
      </c>
      <c r="I2487" t="inlineStr">
        <is>
          <t>NAUTICA_MENS_208002538_NSS_1.jpg</t>
        </is>
      </c>
      <c r="J2487" t="inlineStr">
        <is>
          <t>NAUTICA_MENS_208002538_NSS_2.jpg</t>
        </is>
      </c>
      <c r="K2487" t="inlineStr">
        <is>
          <t>NAUTICA_MENS_208002538_NSS_3.jpg</t>
        </is>
      </c>
      <c r="L2487">
        <f>IMAGE("file:///E:/Estudios%20y%20certificaciones/ESTUDIOS%20DE%20PROGRAMMING/PROGRAMMING/PERSONAL/PYTHON/Image_Generator_API/imagenes/NAUTICA_MENS_208002538_NSS_1.jpg")</f>
        <v/>
      </c>
      <c r="M2487">
        <f>IMAGE("file:///E:/Estudios%20y%20certificaciones/ESTUDIOS%20DE%20PROGRAMMING/PROGRAMMING/PERSONAL/PYTHON/Image_Generator_API/imagenes/NAUTICA_MENS_208002538_NSS_2.jpg")</f>
        <v/>
      </c>
      <c r="N2487">
        <f>IMAGE("file:///E:/Estudios%20y%20certificaciones/ESTUDIOS%20DE%20PROGRAMMING/PROGRAMMING/PERSONAL/PYTHON/Image_Generator_API/imagenes/NAUTICA_MENS_208002538_NSS_3.jpg")</f>
        <v/>
      </c>
      <c r="O2487">
        <f>HYPERLINK("imagenes/NAUTICA_MENS_208002538_NSS_1.jpg","Ver imagen")</f>
        <v/>
      </c>
      <c r="P2487">
        <f>HYPERLINK("imagenes/NAUTICA_MENS_208002538_NSS_2.jpg","Ver imagen")</f>
        <v/>
      </c>
      <c r="Q2487">
        <f>HYPERLINK("imagenes/NAUTICA_MENS_208002538_NSS_3.jpg","Ver imagen")</f>
        <v/>
      </c>
    </row>
    <row r="2488">
      <c r="A2488" t="inlineStr">
        <is>
          <t>NAUTICA MENS</t>
        </is>
      </c>
      <c r="B2488" t="inlineStr">
        <is>
          <t>208002538</t>
        </is>
      </c>
      <c r="C2488" t="inlineStr">
        <is>
          <t>SOFT SHELL JACKET</t>
        </is>
      </c>
      <c r="D2488" t="inlineStr">
        <is>
          <t>NSS</t>
        </is>
      </c>
      <c r="E2488" t="inlineStr">
        <is>
          <t>(en blanco)</t>
        </is>
      </c>
      <c r="F2488" t="inlineStr">
        <is>
          <t>N1160</t>
        </is>
      </c>
      <c r="G2488" t="inlineStr">
        <is>
          <t>XL</t>
        </is>
      </c>
      <c r="H2488" t="n">
        <v>0</v>
      </c>
      <c r="I2488" t="inlineStr">
        <is>
          <t>NAUTICA_MENS_208002538_NSS_1.jpg</t>
        </is>
      </c>
      <c r="J2488" t="inlineStr">
        <is>
          <t>NAUTICA_MENS_208002538_NSS_2.jpg</t>
        </is>
      </c>
      <c r="K2488" t="inlineStr">
        <is>
          <t>NAUTICA_MENS_208002538_NSS_3.jpg</t>
        </is>
      </c>
      <c r="L2488">
        <f>IMAGE("file:///E:/Estudios%20y%20certificaciones/ESTUDIOS%20DE%20PROGRAMMING/PROGRAMMING/PERSONAL/PYTHON/Image_Generator_API/imagenes/NAUTICA_MENS_208002538_NSS_1.jpg")</f>
        <v/>
      </c>
      <c r="M2488">
        <f>IMAGE("file:///E:/Estudios%20y%20certificaciones/ESTUDIOS%20DE%20PROGRAMMING/PROGRAMMING/PERSONAL/PYTHON/Image_Generator_API/imagenes/NAUTICA_MENS_208002538_NSS_2.jpg")</f>
        <v/>
      </c>
      <c r="N2488">
        <f>IMAGE("file:///E:/Estudios%20y%20certificaciones/ESTUDIOS%20DE%20PROGRAMMING/PROGRAMMING/PERSONAL/PYTHON/Image_Generator_API/imagenes/NAUTICA_MENS_208002538_NSS_3.jpg")</f>
        <v/>
      </c>
      <c r="O2488">
        <f>HYPERLINK("imagenes/NAUTICA_MENS_208002538_NSS_1.jpg","Ver imagen")</f>
        <v/>
      </c>
      <c r="P2488">
        <f>HYPERLINK("imagenes/NAUTICA_MENS_208002538_NSS_2.jpg","Ver imagen")</f>
        <v/>
      </c>
      <c r="Q2488">
        <f>HYPERLINK("imagenes/NAUTICA_MENS_208002538_NSS_3.jpg","Ver imagen")</f>
        <v/>
      </c>
    </row>
    <row r="2489">
      <c r="A2489" t="inlineStr">
        <is>
          <t>NAUTICA MENS</t>
        </is>
      </c>
      <c r="B2489" t="inlineStr">
        <is>
          <t>208002538</t>
        </is>
      </c>
      <c r="C2489" t="inlineStr">
        <is>
          <t>SOFT SHELL JACKET</t>
        </is>
      </c>
      <c r="D2489" t="inlineStr">
        <is>
          <t>NSS</t>
        </is>
      </c>
      <c r="E2489" t="inlineStr">
        <is>
          <t>(en blanco)</t>
        </is>
      </c>
      <c r="F2489" t="inlineStr">
        <is>
          <t>N1160</t>
        </is>
      </c>
      <c r="G2489" t="inlineStr">
        <is>
          <t>XXL</t>
        </is>
      </c>
      <c r="H2489" t="n">
        <v>0</v>
      </c>
      <c r="I2489" t="inlineStr">
        <is>
          <t>NAUTICA_MENS_208002538_NSS_1.jpg</t>
        </is>
      </c>
      <c r="J2489" t="inlineStr">
        <is>
          <t>NAUTICA_MENS_208002538_NSS_2.jpg</t>
        </is>
      </c>
      <c r="K2489" t="inlineStr">
        <is>
          <t>NAUTICA_MENS_208002538_NSS_3.jpg</t>
        </is>
      </c>
      <c r="L2489">
        <f>IMAGE("file:///E:/Estudios%20y%20certificaciones/ESTUDIOS%20DE%20PROGRAMMING/PROGRAMMING/PERSONAL/PYTHON/Image_Generator_API/imagenes/NAUTICA_MENS_208002538_NSS_1.jpg")</f>
        <v/>
      </c>
      <c r="M2489">
        <f>IMAGE("file:///E:/Estudios%20y%20certificaciones/ESTUDIOS%20DE%20PROGRAMMING/PROGRAMMING/PERSONAL/PYTHON/Image_Generator_API/imagenes/NAUTICA_MENS_208002538_NSS_2.jpg")</f>
        <v/>
      </c>
      <c r="N2489">
        <f>IMAGE("file:///E:/Estudios%20y%20certificaciones/ESTUDIOS%20DE%20PROGRAMMING/PROGRAMMING/PERSONAL/PYTHON/Image_Generator_API/imagenes/NAUTICA_MENS_208002538_NSS_3.jpg")</f>
        <v/>
      </c>
      <c r="O2489">
        <f>HYPERLINK("imagenes/NAUTICA_MENS_208002538_NSS_1.jpg","Ver imagen")</f>
        <v/>
      </c>
      <c r="P2489">
        <f>HYPERLINK("imagenes/NAUTICA_MENS_208002538_NSS_2.jpg","Ver imagen")</f>
        <v/>
      </c>
      <c r="Q2489">
        <f>HYPERLINK("imagenes/NAUTICA_MENS_208002538_NSS_3.jpg","Ver imagen")</f>
        <v/>
      </c>
    </row>
    <row r="2490">
      <c r="A2490" t="inlineStr">
        <is>
          <t>NAUTICA MENS</t>
        </is>
      </c>
      <c r="B2490" t="inlineStr">
        <is>
          <t>208002538</t>
        </is>
      </c>
      <c r="C2490" t="inlineStr">
        <is>
          <t>SOFT SHELL JACKET</t>
        </is>
      </c>
      <c r="D2490" t="inlineStr">
        <is>
          <t>NSS</t>
        </is>
      </c>
      <c r="E2490" t="inlineStr">
        <is>
          <t>(en blanco)</t>
        </is>
      </c>
      <c r="F2490" t="inlineStr">
        <is>
          <t>N1160</t>
        </is>
      </c>
      <c r="G2490" t="inlineStr">
        <is>
          <t>XXXL</t>
        </is>
      </c>
      <c r="H2490" t="n">
        <v>0</v>
      </c>
      <c r="I2490" t="inlineStr">
        <is>
          <t>NAUTICA_MENS_208002538_NSS_1.jpg</t>
        </is>
      </c>
      <c r="J2490" t="inlineStr">
        <is>
          <t>NAUTICA_MENS_208002538_NSS_2.jpg</t>
        </is>
      </c>
      <c r="K2490" t="inlineStr">
        <is>
          <t>NAUTICA_MENS_208002538_NSS_3.jpg</t>
        </is>
      </c>
      <c r="L2490">
        <f>IMAGE("file:///E:/Estudios%20y%20certificaciones/ESTUDIOS%20DE%20PROGRAMMING/PROGRAMMING/PERSONAL/PYTHON/Image_Generator_API/imagenes/NAUTICA_MENS_208002538_NSS_1.jpg")</f>
        <v/>
      </c>
      <c r="M2490">
        <f>IMAGE("file:///E:/Estudios%20y%20certificaciones/ESTUDIOS%20DE%20PROGRAMMING/PROGRAMMING/PERSONAL/PYTHON/Image_Generator_API/imagenes/NAUTICA_MENS_208002538_NSS_2.jpg")</f>
        <v/>
      </c>
      <c r="N2490">
        <f>IMAGE("file:///E:/Estudios%20y%20certificaciones/ESTUDIOS%20DE%20PROGRAMMING/PROGRAMMING/PERSONAL/PYTHON/Image_Generator_API/imagenes/NAUTICA_MENS_208002538_NSS_3.jpg")</f>
        <v/>
      </c>
      <c r="O2490">
        <f>HYPERLINK("imagenes/NAUTICA_MENS_208002538_NSS_1.jpg","Ver imagen")</f>
        <v/>
      </c>
      <c r="P2490">
        <f>HYPERLINK("imagenes/NAUTICA_MENS_208002538_NSS_2.jpg","Ver imagen")</f>
        <v/>
      </c>
      <c r="Q2490">
        <f>HYPERLINK("imagenes/NAUTICA_MENS_208002538_NSS_3.jpg","Ver imagen")</f>
        <v/>
      </c>
    </row>
    <row r="2491">
      <c r="A2491" t="inlineStr">
        <is>
          <t>NAUTICA MENS</t>
        </is>
      </c>
      <c r="B2491" t="inlineStr">
        <is>
          <t>208003174</t>
        </is>
      </c>
      <c r="C2491" t="inlineStr">
        <is>
          <t>SAILING JACKET</t>
        </is>
      </c>
      <c r="D2491" t="inlineStr">
        <is>
          <t>BGI</t>
        </is>
      </c>
      <c r="E2491" t="inlineStr">
        <is>
          <t>(en blanco)</t>
        </is>
      </c>
      <c r="F2491" t="inlineStr">
        <is>
          <t>D2C</t>
        </is>
      </c>
      <c r="G2491" t="inlineStr">
        <is>
          <t>L</t>
        </is>
      </c>
      <c r="H2491" t="n">
        <v>6</v>
      </c>
      <c r="I2491" t="inlineStr">
        <is>
          <t>NAUTICA_MENS_208003174_BGI_1.jpg</t>
        </is>
      </c>
      <c r="J2491" t="inlineStr">
        <is>
          <t>NAUTICA_MENS_208003174_BGI_2.jpg</t>
        </is>
      </c>
      <c r="K2491" t="inlineStr">
        <is>
          <t>NAUTICA_MENS_208003174_BGI_3.jpg</t>
        </is>
      </c>
      <c r="L2491">
        <f>IMAGE("file:///E:/Estudios%20y%20certificaciones/ESTUDIOS%20DE%20PROGRAMMING/PROGRAMMING/PERSONAL/PYTHON/Image_Generator_API/imagenes/NAUTICA_MENS_208003174_BGI_1.jpg")</f>
        <v/>
      </c>
      <c r="M2491">
        <f>IMAGE("file:///E:/Estudios%20y%20certificaciones/ESTUDIOS%20DE%20PROGRAMMING/PROGRAMMING/PERSONAL/PYTHON/Image_Generator_API/imagenes/NAUTICA_MENS_208003174_BGI_2.jpg")</f>
        <v/>
      </c>
      <c r="N2491">
        <f>IMAGE("file:///E:/Estudios%20y%20certificaciones/ESTUDIOS%20DE%20PROGRAMMING/PROGRAMMING/PERSONAL/PYTHON/Image_Generator_API/imagenes/NAUTICA_MENS_208003174_BGI_3.jpg")</f>
        <v/>
      </c>
      <c r="O2491">
        <f>HYPERLINK("imagenes/NAUTICA_MENS_208003174_BGI_1.jpg","Ver imagen")</f>
        <v/>
      </c>
      <c r="P2491">
        <f>HYPERLINK("imagenes/NAUTICA_MENS_208003174_BGI_2.jpg","Ver imagen")</f>
        <v/>
      </c>
      <c r="Q2491">
        <f>HYPERLINK("imagenes/NAUTICA_MENS_208003174_BGI_3.jpg","Ver imagen")</f>
        <v/>
      </c>
    </row>
    <row r="2492">
      <c r="A2492" t="inlineStr">
        <is>
          <t>NAUTICA MENS</t>
        </is>
      </c>
      <c r="B2492" t="inlineStr">
        <is>
          <t>208003174</t>
        </is>
      </c>
      <c r="C2492" t="inlineStr">
        <is>
          <t>SAILING JACKET</t>
        </is>
      </c>
      <c r="D2492" t="inlineStr">
        <is>
          <t>BGI</t>
        </is>
      </c>
      <c r="E2492" t="inlineStr">
        <is>
          <t>(en blanco)</t>
        </is>
      </c>
      <c r="F2492" t="inlineStr">
        <is>
          <t>D2C</t>
        </is>
      </c>
      <c r="G2492" t="inlineStr">
        <is>
          <t>XXL</t>
        </is>
      </c>
      <c r="H2492" t="n">
        <v>8</v>
      </c>
      <c r="I2492" t="inlineStr">
        <is>
          <t>NAUTICA_MENS_208003174_BGI_1.jpg</t>
        </is>
      </c>
      <c r="J2492" t="inlineStr">
        <is>
          <t>NAUTICA_MENS_208003174_BGI_2.jpg</t>
        </is>
      </c>
      <c r="K2492" t="inlineStr">
        <is>
          <t>NAUTICA_MENS_208003174_BGI_3.jpg</t>
        </is>
      </c>
      <c r="L2492">
        <f>IMAGE("file:///E:/Estudios%20y%20certificaciones/ESTUDIOS%20DE%20PROGRAMMING/PROGRAMMING/PERSONAL/PYTHON/Image_Generator_API/imagenes/NAUTICA_MENS_208003174_BGI_1.jpg")</f>
        <v/>
      </c>
      <c r="M2492">
        <f>IMAGE("file:///E:/Estudios%20y%20certificaciones/ESTUDIOS%20DE%20PROGRAMMING/PROGRAMMING/PERSONAL/PYTHON/Image_Generator_API/imagenes/NAUTICA_MENS_208003174_BGI_2.jpg")</f>
        <v/>
      </c>
      <c r="N2492">
        <f>IMAGE("file:///E:/Estudios%20y%20certificaciones/ESTUDIOS%20DE%20PROGRAMMING/PROGRAMMING/PERSONAL/PYTHON/Image_Generator_API/imagenes/NAUTICA_MENS_208003174_BGI_3.jpg")</f>
        <v/>
      </c>
      <c r="O2492">
        <f>HYPERLINK("imagenes/NAUTICA_MENS_208003174_BGI_1.jpg","Ver imagen")</f>
        <v/>
      </c>
      <c r="P2492">
        <f>HYPERLINK("imagenes/NAUTICA_MENS_208003174_BGI_2.jpg","Ver imagen")</f>
        <v/>
      </c>
      <c r="Q2492">
        <f>HYPERLINK("imagenes/NAUTICA_MENS_208003174_BGI_3.jpg","Ver imagen")</f>
        <v/>
      </c>
    </row>
    <row r="2493">
      <c r="A2493" t="inlineStr">
        <is>
          <t>NAUTICA MENS</t>
        </is>
      </c>
      <c r="B2493" t="inlineStr">
        <is>
          <t>208003174</t>
        </is>
      </c>
      <c r="C2493" t="inlineStr">
        <is>
          <t>SAILING JACKET</t>
        </is>
      </c>
      <c r="D2493" t="inlineStr">
        <is>
          <t>BGI</t>
        </is>
      </c>
      <c r="E2493" t="inlineStr">
        <is>
          <t>(en blanco)</t>
        </is>
      </c>
      <c r="F2493" t="inlineStr">
        <is>
          <t>M1155</t>
        </is>
      </c>
      <c r="G2493" t="inlineStr">
        <is>
          <t>S</t>
        </is>
      </c>
      <c r="H2493" t="n">
        <v>0</v>
      </c>
      <c r="I2493" t="inlineStr">
        <is>
          <t>NAUTICA_MENS_208003174_BGI_1.jpg</t>
        </is>
      </c>
      <c r="J2493" t="inlineStr">
        <is>
          <t>NAUTICA_MENS_208003174_BGI_2.jpg</t>
        </is>
      </c>
      <c r="K2493" t="inlineStr">
        <is>
          <t>NAUTICA_MENS_208003174_BGI_3.jpg</t>
        </is>
      </c>
      <c r="L2493">
        <f>IMAGE("file:///E:/Estudios%20y%20certificaciones/ESTUDIOS%20DE%20PROGRAMMING/PROGRAMMING/PERSONAL/PYTHON/Image_Generator_API/imagenes/NAUTICA_MENS_208003174_BGI_1.jpg")</f>
        <v/>
      </c>
      <c r="M2493">
        <f>IMAGE("file:///E:/Estudios%20y%20certificaciones/ESTUDIOS%20DE%20PROGRAMMING/PROGRAMMING/PERSONAL/PYTHON/Image_Generator_API/imagenes/NAUTICA_MENS_208003174_BGI_2.jpg")</f>
        <v/>
      </c>
      <c r="N2493">
        <f>IMAGE("file:///E:/Estudios%20y%20certificaciones/ESTUDIOS%20DE%20PROGRAMMING/PROGRAMMING/PERSONAL/PYTHON/Image_Generator_API/imagenes/NAUTICA_MENS_208003174_BGI_3.jpg")</f>
        <v/>
      </c>
      <c r="O2493">
        <f>HYPERLINK("imagenes/NAUTICA_MENS_208003174_BGI_1.jpg","Ver imagen")</f>
        <v/>
      </c>
      <c r="P2493">
        <f>HYPERLINK("imagenes/NAUTICA_MENS_208003174_BGI_2.jpg","Ver imagen")</f>
        <v/>
      </c>
      <c r="Q2493">
        <f>HYPERLINK("imagenes/NAUTICA_MENS_208003174_BGI_3.jpg","Ver imagen")</f>
        <v/>
      </c>
    </row>
    <row r="2494">
      <c r="A2494" t="inlineStr">
        <is>
          <t>NAUTICA MENS</t>
        </is>
      </c>
      <c r="B2494" t="inlineStr">
        <is>
          <t>208003174</t>
        </is>
      </c>
      <c r="C2494" t="inlineStr">
        <is>
          <t>SAILING JACKET</t>
        </is>
      </c>
      <c r="D2494" t="inlineStr">
        <is>
          <t>BGI</t>
        </is>
      </c>
      <c r="E2494" t="inlineStr">
        <is>
          <t>(en blanco)</t>
        </is>
      </c>
      <c r="F2494" t="inlineStr">
        <is>
          <t>M1155</t>
        </is>
      </c>
      <c r="G2494" t="inlineStr">
        <is>
          <t>M</t>
        </is>
      </c>
      <c r="H2494" t="n">
        <v>0</v>
      </c>
      <c r="I2494" t="inlineStr">
        <is>
          <t>NAUTICA_MENS_208003174_BGI_1.jpg</t>
        </is>
      </c>
      <c r="J2494" t="inlineStr">
        <is>
          <t>NAUTICA_MENS_208003174_BGI_2.jpg</t>
        </is>
      </c>
      <c r="K2494" t="inlineStr">
        <is>
          <t>NAUTICA_MENS_208003174_BGI_3.jpg</t>
        </is>
      </c>
      <c r="L2494">
        <f>IMAGE("file:///E:/Estudios%20y%20certificaciones/ESTUDIOS%20DE%20PROGRAMMING/PROGRAMMING/PERSONAL/PYTHON/Image_Generator_API/imagenes/NAUTICA_MENS_208003174_BGI_1.jpg")</f>
        <v/>
      </c>
      <c r="M2494">
        <f>IMAGE("file:///E:/Estudios%20y%20certificaciones/ESTUDIOS%20DE%20PROGRAMMING/PROGRAMMING/PERSONAL/PYTHON/Image_Generator_API/imagenes/NAUTICA_MENS_208003174_BGI_2.jpg")</f>
        <v/>
      </c>
      <c r="N2494">
        <f>IMAGE("file:///E:/Estudios%20y%20certificaciones/ESTUDIOS%20DE%20PROGRAMMING/PROGRAMMING/PERSONAL/PYTHON/Image_Generator_API/imagenes/NAUTICA_MENS_208003174_BGI_3.jpg")</f>
        <v/>
      </c>
      <c r="O2494">
        <f>HYPERLINK("imagenes/NAUTICA_MENS_208003174_BGI_1.jpg","Ver imagen")</f>
        <v/>
      </c>
      <c r="P2494">
        <f>HYPERLINK("imagenes/NAUTICA_MENS_208003174_BGI_2.jpg","Ver imagen")</f>
        <v/>
      </c>
      <c r="Q2494">
        <f>HYPERLINK("imagenes/NAUTICA_MENS_208003174_BGI_3.jpg","Ver imagen")</f>
        <v/>
      </c>
    </row>
    <row r="2495">
      <c r="A2495" t="inlineStr">
        <is>
          <t>NAUTICA MENS</t>
        </is>
      </c>
      <c r="B2495" t="inlineStr">
        <is>
          <t>208003174</t>
        </is>
      </c>
      <c r="C2495" t="inlineStr">
        <is>
          <t>SAILING JACKET</t>
        </is>
      </c>
      <c r="D2495" t="inlineStr">
        <is>
          <t>BGI</t>
        </is>
      </c>
      <c r="E2495" t="inlineStr">
        <is>
          <t>(en blanco)</t>
        </is>
      </c>
      <c r="F2495" t="inlineStr">
        <is>
          <t>M1155</t>
        </is>
      </c>
      <c r="G2495" t="inlineStr">
        <is>
          <t>L</t>
        </is>
      </c>
      <c r="H2495" t="n">
        <v>0</v>
      </c>
      <c r="I2495" t="inlineStr">
        <is>
          <t>NAUTICA_MENS_208003174_BGI_1.jpg</t>
        </is>
      </c>
      <c r="J2495" t="inlineStr">
        <is>
          <t>NAUTICA_MENS_208003174_BGI_2.jpg</t>
        </is>
      </c>
      <c r="K2495" t="inlineStr">
        <is>
          <t>NAUTICA_MENS_208003174_BGI_3.jpg</t>
        </is>
      </c>
      <c r="L2495">
        <f>IMAGE("file:///E:/Estudios%20y%20certificaciones/ESTUDIOS%20DE%20PROGRAMMING/PROGRAMMING/PERSONAL/PYTHON/Image_Generator_API/imagenes/NAUTICA_MENS_208003174_BGI_1.jpg")</f>
        <v/>
      </c>
      <c r="M2495">
        <f>IMAGE("file:///E:/Estudios%20y%20certificaciones/ESTUDIOS%20DE%20PROGRAMMING/PROGRAMMING/PERSONAL/PYTHON/Image_Generator_API/imagenes/NAUTICA_MENS_208003174_BGI_2.jpg")</f>
        <v/>
      </c>
      <c r="N2495">
        <f>IMAGE("file:///E:/Estudios%20y%20certificaciones/ESTUDIOS%20DE%20PROGRAMMING/PROGRAMMING/PERSONAL/PYTHON/Image_Generator_API/imagenes/NAUTICA_MENS_208003174_BGI_3.jpg")</f>
        <v/>
      </c>
      <c r="O2495">
        <f>HYPERLINK("imagenes/NAUTICA_MENS_208003174_BGI_1.jpg","Ver imagen")</f>
        <v/>
      </c>
      <c r="P2495">
        <f>HYPERLINK("imagenes/NAUTICA_MENS_208003174_BGI_2.jpg","Ver imagen")</f>
        <v/>
      </c>
      <c r="Q2495">
        <f>HYPERLINK("imagenes/NAUTICA_MENS_208003174_BGI_3.jpg","Ver imagen")</f>
        <v/>
      </c>
    </row>
    <row r="2496">
      <c r="A2496" t="inlineStr">
        <is>
          <t>NAUTICA MENS</t>
        </is>
      </c>
      <c r="B2496" t="inlineStr">
        <is>
          <t>208003174</t>
        </is>
      </c>
      <c r="C2496" t="inlineStr">
        <is>
          <t>SAILING JACKET</t>
        </is>
      </c>
      <c r="D2496" t="inlineStr">
        <is>
          <t>BGI</t>
        </is>
      </c>
      <c r="E2496" t="inlineStr">
        <is>
          <t>(en blanco)</t>
        </is>
      </c>
      <c r="F2496" t="inlineStr">
        <is>
          <t>M1155</t>
        </is>
      </c>
      <c r="G2496" t="inlineStr">
        <is>
          <t>XL</t>
        </is>
      </c>
      <c r="H2496" t="n">
        <v>0</v>
      </c>
      <c r="I2496" t="inlineStr">
        <is>
          <t>NAUTICA_MENS_208003174_BGI_1.jpg</t>
        </is>
      </c>
      <c r="J2496" t="inlineStr">
        <is>
          <t>NAUTICA_MENS_208003174_BGI_2.jpg</t>
        </is>
      </c>
      <c r="K2496" t="inlineStr">
        <is>
          <t>NAUTICA_MENS_208003174_BGI_3.jpg</t>
        </is>
      </c>
      <c r="L2496">
        <f>IMAGE("file:///E:/Estudios%20y%20certificaciones/ESTUDIOS%20DE%20PROGRAMMING/PROGRAMMING/PERSONAL/PYTHON/Image_Generator_API/imagenes/NAUTICA_MENS_208003174_BGI_1.jpg")</f>
        <v/>
      </c>
      <c r="M2496">
        <f>IMAGE("file:///E:/Estudios%20y%20certificaciones/ESTUDIOS%20DE%20PROGRAMMING/PROGRAMMING/PERSONAL/PYTHON/Image_Generator_API/imagenes/NAUTICA_MENS_208003174_BGI_2.jpg")</f>
        <v/>
      </c>
      <c r="N2496">
        <f>IMAGE("file:///E:/Estudios%20y%20certificaciones/ESTUDIOS%20DE%20PROGRAMMING/PROGRAMMING/PERSONAL/PYTHON/Image_Generator_API/imagenes/NAUTICA_MENS_208003174_BGI_3.jpg")</f>
        <v/>
      </c>
      <c r="O2496">
        <f>HYPERLINK("imagenes/NAUTICA_MENS_208003174_BGI_1.jpg","Ver imagen")</f>
        <v/>
      </c>
      <c r="P2496">
        <f>HYPERLINK("imagenes/NAUTICA_MENS_208003174_BGI_2.jpg","Ver imagen")</f>
        <v/>
      </c>
      <c r="Q2496">
        <f>HYPERLINK("imagenes/NAUTICA_MENS_208003174_BGI_3.jpg","Ver imagen")</f>
        <v/>
      </c>
    </row>
    <row r="2497">
      <c r="A2497" t="inlineStr">
        <is>
          <t>NAUTICA MENS</t>
        </is>
      </c>
      <c r="B2497" t="inlineStr">
        <is>
          <t>208003174</t>
        </is>
      </c>
      <c r="C2497" t="inlineStr">
        <is>
          <t>SAILING JACKET</t>
        </is>
      </c>
      <c r="D2497" t="inlineStr">
        <is>
          <t>BGI</t>
        </is>
      </c>
      <c r="E2497" t="inlineStr">
        <is>
          <t>(en blanco)</t>
        </is>
      </c>
      <c r="F2497" t="inlineStr">
        <is>
          <t>M1155</t>
        </is>
      </c>
      <c r="G2497" t="inlineStr">
        <is>
          <t>XXL</t>
        </is>
      </c>
      <c r="H2497" t="n">
        <v>0</v>
      </c>
      <c r="I2497" t="inlineStr">
        <is>
          <t>NAUTICA_MENS_208003174_BGI_1.jpg</t>
        </is>
      </c>
      <c r="J2497" t="inlineStr">
        <is>
          <t>NAUTICA_MENS_208003174_BGI_2.jpg</t>
        </is>
      </c>
      <c r="K2497" t="inlineStr">
        <is>
          <t>NAUTICA_MENS_208003174_BGI_3.jpg</t>
        </is>
      </c>
      <c r="L2497">
        <f>IMAGE("file:///E:/Estudios%20y%20certificaciones/ESTUDIOS%20DE%20PROGRAMMING/PROGRAMMING/PERSONAL/PYTHON/Image_Generator_API/imagenes/NAUTICA_MENS_208003174_BGI_1.jpg")</f>
        <v/>
      </c>
      <c r="M2497">
        <f>IMAGE("file:///E:/Estudios%20y%20certificaciones/ESTUDIOS%20DE%20PROGRAMMING/PROGRAMMING/PERSONAL/PYTHON/Image_Generator_API/imagenes/NAUTICA_MENS_208003174_BGI_2.jpg")</f>
        <v/>
      </c>
      <c r="N2497">
        <f>IMAGE("file:///E:/Estudios%20y%20certificaciones/ESTUDIOS%20DE%20PROGRAMMING/PROGRAMMING/PERSONAL/PYTHON/Image_Generator_API/imagenes/NAUTICA_MENS_208003174_BGI_3.jpg")</f>
        <v/>
      </c>
      <c r="O2497">
        <f>HYPERLINK("imagenes/NAUTICA_MENS_208003174_BGI_1.jpg","Ver imagen")</f>
        <v/>
      </c>
      <c r="P2497">
        <f>HYPERLINK("imagenes/NAUTICA_MENS_208003174_BGI_2.jpg","Ver imagen")</f>
        <v/>
      </c>
      <c r="Q2497">
        <f>HYPERLINK("imagenes/NAUTICA_MENS_208003174_BGI_3.jpg","Ver imagen")</f>
        <v/>
      </c>
    </row>
    <row r="2498">
      <c r="A2498" t="inlineStr">
        <is>
          <t>NAUTICA MENS</t>
        </is>
      </c>
      <c r="B2498" t="inlineStr">
        <is>
          <t>208003174</t>
        </is>
      </c>
      <c r="C2498" t="inlineStr">
        <is>
          <t>SAILING JACKET</t>
        </is>
      </c>
      <c r="D2498" t="inlineStr">
        <is>
          <t>NVY</t>
        </is>
      </c>
      <c r="E2498" t="inlineStr">
        <is>
          <t>(en blanco)</t>
        </is>
      </c>
      <c r="F2498" t="inlineStr">
        <is>
          <t>D2C</t>
        </is>
      </c>
      <c r="G2498" t="inlineStr">
        <is>
          <t>S</t>
        </is>
      </c>
      <c r="H2498" t="n">
        <v>5</v>
      </c>
      <c r="I2498" t="inlineStr">
        <is>
          <t>NAUTICA_MENS_208003174_NVY_1.jpg</t>
        </is>
      </c>
      <c r="J2498" t="inlineStr">
        <is>
          <t>NAUTICA_MENS_208003174_NVY_2.jpg</t>
        </is>
      </c>
      <c r="K2498" t="inlineStr">
        <is>
          <t>NAUTICA_MENS_208003174_NVY_3.jpg</t>
        </is>
      </c>
      <c r="L2498">
        <f>IMAGE("file:///E:/Estudios%20y%20certificaciones/ESTUDIOS%20DE%20PROGRAMMING/PROGRAMMING/PERSONAL/PYTHON/Image_Generator_API/imagenes/NAUTICA_MENS_208003174_NVY_1.jpg")</f>
        <v/>
      </c>
      <c r="M2498">
        <f>IMAGE("file:///E:/Estudios%20y%20certificaciones/ESTUDIOS%20DE%20PROGRAMMING/PROGRAMMING/PERSONAL/PYTHON/Image_Generator_API/imagenes/NAUTICA_MENS_208003174_NVY_2.jpg")</f>
        <v/>
      </c>
      <c r="N2498">
        <f>IMAGE("file:///E:/Estudios%20y%20certificaciones/ESTUDIOS%20DE%20PROGRAMMING/PROGRAMMING/PERSONAL/PYTHON/Image_Generator_API/imagenes/NAUTICA_MENS_208003174_NVY_3.jpg")</f>
        <v/>
      </c>
      <c r="O2498">
        <f>HYPERLINK("imagenes/NAUTICA_MENS_208003174_NVY_1.jpg","Ver imagen")</f>
        <v/>
      </c>
      <c r="P2498">
        <f>HYPERLINK("imagenes/NAUTICA_MENS_208003174_NVY_2.jpg","Ver imagen")</f>
        <v/>
      </c>
      <c r="Q2498">
        <f>HYPERLINK("imagenes/NAUTICA_MENS_208003174_NVY_3.jpg","Ver imagen")</f>
        <v/>
      </c>
    </row>
    <row r="2499">
      <c r="A2499" t="inlineStr">
        <is>
          <t>NAUTICA MENS</t>
        </is>
      </c>
      <c r="B2499" t="inlineStr">
        <is>
          <t>208003174</t>
        </is>
      </c>
      <c r="C2499" t="inlineStr">
        <is>
          <t>SAILING JACKET</t>
        </is>
      </c>
      <c r="D2499" t="inlineStr">
        <is>
          <t>NVY</t>
        </is>
      </c>
      <c r="E2499" t="inlineStr">
        <is>
          <t>(en blanco)</t>
        </is>
      </c>
      <c r="F2499" t="inlineStr">
        <is>
          <t>D2C</t>
        </is>
      </c>
      <c r="G2499" t="inlineStr">
        <is>
          <t>M</t>
        </is>
      </c>
      <c r="H2499" t="n">
        <v>8</v>
      </c>
      <c r="I2499" t="inlineStr">
        <is>
          <t>NAUTICA_MENS_208003174_NVY_1.jpg</t>
        </is>
      </c>
      <c r="J2499" t="inlineStr">
        <is>
          <t>NAUTICA_MENS_208003174_NVY_2.jpg</t>
        </is>
      </c>
      <c r="K2499" t="inlineStr">
        <is>
          <t>NAUTICA_MENS_208003174_NVY_3.jpg</t>
        </is>
      </c>
      <c r="L2499">
        <f>IMAGE("file:///E:/Estudios%20y%20certificaciones/ESTUDIOS%20DE%20PROGRAMMING/PROGRAMMING/PERSONAL/PYTHON/Image_Generator_API/imagenes/NAUTICA_MENS_208003174_NVY_1.jpg")</f>
        <v/>
      </c>
      <c r="M2499">
        <f>IMAGE("file:///E:/Estudios%20y%20certificaciones/ESTUDIOS%20DE%20PROGRAMMING/PROGRAMMING/PERSONAL/PYTHON/Image_Generator_API/imagenes/NAUTICA_MENS_208003174_NVY_2.jpg")</f>
        <v/>
      </c>
      <c r="N2499">
        <f>IMAGE("file:///E:/Estudios%20y%20certificaciones/ESTUDIOS%20DE%20PROGRAMMING/PROGRAMMING/PERSONAL/PYTHON/Image_Generator_API/imagenes/NAUTICA_MENS_208003174_NVY_3.jpg")</f>
        <v/>
      </c>
      <c r="O2499">
        <f>HYPERLINK("imagenes/NAUTICA_MENS_208003174_NVY_1.jpg","Ver imagen")</f>
        <v/>
      </c>
      <c r="P2499">
        <f>HYPERLINK("imagenes/NAUTICA_MENS_208003174_NVY_2.jpg","Ver imagen")</f>
        <v/>
      </c>
      <c r="Q2499">
        <f>HYPERLINK("imagenes/NAUTICA_MENS_208003174_NVY_3.jpg","Ver imagen")</f>
        <v/>
      </c>
    </row>
    <row r="2500">
      <c r="A2500" t="inlineStr">
        <is>
          <t>NAUTICA MENS</t>
        </is>
      </c>
      <c r="B2500" t="inlineStr">
        <is>
          <t>208003174</t>
        </is>
      </c>
      <c r="C2500" t="inlineStr">
        <is>
          <t>SAILING JACKET</t>
        </is>
      </c>
      <c r="D2500" t="inlineStr">
        <is>
          <t>NVY</t>
        </is>
      </c>
      <c r="E2500" t="inlineStr">
        <is>
          <t>(en blanco)</t>
        </is>
      </c>
      <c r="F2500" t="inlineStr">
        <is>
          <t>D2C</t>
        </is>
      </c>
      <c r="G2500" t="inlineStr">
        <is>
          <t>XL</t>
        </is>
      </c>
      <c r="H2500" t="n">
        <v>3</v>
      </c>
      <c r="I2500" t="inlineStr">
        <is>
          <t>NAUTICA_MENS_208003174_NVY_1.jpg</t>
        </is>
      </c>
      <c r="J2500" t="inlineStr">
        <is>
          <t>NAUTICA_MENS_208003174_NVY_2.jpg</t>
        </is>
      </c>
      <c r="K2500" t="inlineStr">
        <is>
          <t>NAUTICA_MENS_208003174_NVY_3.jpg</t>
        </is>
      </c>
      <c r="L2500">
        <f>IMAGE("file:///E:/Estudios%20y%20certificaciones/ESTUDIOS%20DE%20PROGRAMMING/PROGRAMMING/PERSONAL/PYTHON/Image_Generator_API/imagenes/NAUTICA_MENS_208003174_NVY_1.jpg")</f>
        <v/>
      </c>
      <c r="M2500">
        <f>IMAGE("file:///E:/Estudios%20y%20certificaciones/ESTUDIOS%20DE%20PROGRAMMING/PROGRAMMING/PERSONAL/PYTHON/Image_Generator_API/imagenes/NAUTICA_MENS_208003174_NVY_2.jpg")</f>
        <v/>
      </c>
      <c r="N2500">
        <f>IMAGE("file:///E:/Estudios%20y%20certificaciones/ESTUDIOS%20DE%20PROGRAMMING/PROGRAMMING/PERSONAL/PYTHON/Image_Generator_API/imagenes/NAUTICA_MENS_208003174_NVY_3.jpg")</f>
        <v/>
      </c>
      <c r="O2500">
        <f>HYPERLINK("imagenes/NAUTICA_MENS_208003174_NVY_1.jpg","Ver imagen")</f>
        <v/>
      </c>
      <c r="P2500">
        <f>HYPERLINK("imagenes/NAUTICA_MENS_208003174_NVY_2.jpg","Ver imagen")</f>
        <v/>
      </c>
      <c r="Q2500">
        <f>HYPERLINK("imagenes/NAUTICA_MENS_208003174_NVY_3.jpg","Ver imagen")</f>
        <v/>
      </c>
    </row>
    <row r="2501">
      <c r="A2501" t="inlineStr">
        <is>
          <t>NAUTICA MENS</t>
        </is>
      </c>
      <c r="B2501" t="inlineStr">
        <is>
          <t>208003174</t>
        </is>
      </c>
      <c r="C2501" t="inlineStr">
        <is>
          <t>SAILING JACKET</t>
        </is>
      </c>
      <c r="D2501" t="inlineStr">
        <is>
          <t>NVY</t>
        </is>
      </c>
      <c r="E2501" t="inlineStr">
        <is>
          <t>(en blanco)</t>
        </is>
      </c>
      <c r="F2501" t="inlineStr">
        <is>
          <t>D2C</t>
        </is>
      </c>
      <c r="G2501" t="inlineStr">
        <is>
          <t>XXL</t>
        </is>
      </c>
      <c r="H2501" t="n">
        <v>2</v>
      </c>
      <c r="I2501" t="inlineStr">
        <is>
          <t>NAUTICA_MENS_208003174_NVY_1.jpg</t>
        </is>
      </c>
      <c r="J2501" t="inlineStr">
        <is>
          <t>NAUTICA_MENS_208003174_NVY_2.jpg</t>
        </is>
      </c>
      <c r="K2501" t="inlineStr">
        <is>
          <t>NAUTICA_MENS_208003174_NVY_3.jpg</t>
        </is>
      </c>
      <c r="L2501">
        <f>IMAGE("file:///E:/Estudios%20y%20certificaciones/ESTUDIOS%20DE%20PROGRAMMING/PROGRAMMING/PERSONAL/PYTHON/Image_Generator_API/imagenes/NAUTICA_MENS_208003174_NVY_1.jpg")</f>
        <v/>
      </c>
      <c r="M2501">
        <f>IMAGE("file:///E:/Estudios%20y%20certificaciones/ESTUDIOS%20DE%20PROGRAMMING/PROGRAMMING/PERSONAL/PYTHON/Image_Generator_API/imagenes/NAUTICA_MENS_208003174_NVY_2.jpg")</f>
        <v/>
      </c>
      <c r="N2501">
        <f>IMAGE("file:///E:/Estudios%20y%20certificaciones/ESTUDIOS%20DE%20PROGRAMMING/PROGRAMMING/PERSONAL/PYTHON/Image_Generator_API/imagenes/NAUTICA_MENS_208003174_NVY_3.jpg")</f>
        <v/>
      </c>
      <c r="O2501">
        <f>HYPERLINK("imagenes/NAUTICA_MENS_208003174_NVY_1.jpg","Ver imagen")</f>
        <v/>
      </c>
      <c r="P2501">
        <f>HYPERLINK("imagenes/NAUTICA_MENS_208003174_NVY_2.jpg","Ver imagen")</f>
        <v/>
      </c>
      <c r="Q2501">
        <f>HYPERLINK("imagenes/NAUTICA_MENS_208003174_NVY_3.jpg","Ver imagen")</f>
        <v/>
      </c>
    </row>
    <row r="2502">
      <c r="A2502" t="inlineStr">
        <is>
          <t>NAUTICA MENS</t>
        </is>
      </c>
      <c r="B2502" t="inlineStr">
        <is>
          <t>208003174</t>
        </is>
      </c>
      <c r="C2502" t="inlineStr">
        <is>
          <t>SAILING JACKET</t>
        </is>
      </c>
      <c r="D2502" t="inlineStr">
        <is>
          <t>NVY</t>
        </is>
      </c>
      <c r="E2502" t="inlineStr">
        <is>
          <t>(en blanco)</t>
        </is>
      </c>
      <c r="F2502" t="inlineStr">
        <is>
          <t>M1155</t>
        </is>
      </c>
      <c r="G2502" t="inlineStr">
        <is>
          <t>S</t>
        </is>
      </c>
      <c r="H2502" t="n">
        <v>0</v>
      </c>
      <c r="I2502" t="inlineStr">
        <is>
          <t>NAUTICA_MENS_208003174_NVY_1.jpg</t>
        </is>
      </c>
      <c r="J2502" t="inlineStr">
        <is>
          <t>NAUTICA_MENS_208003174_NVY_2.jpg</t>
        </is>
      </c>
      <c r="K2502" t="inlineStr">
        <is>
          <t>NAUTICA_MENS_208003174_NVY_3.jpg</t>
        </is>
      </c>
      <c r="L2502">
        <f>IMAGE("file:///E:/Estudios%20y%20certificaciones/ESTUDIOS%20DE%20PROGRAMMING/PROGRAMMING/PERSONAL/PYTHON/Image_Generator_API/imagenes/NAUTICA_MENS_208003174_NVY_1.jpg")</f>
        <v/>
      </c>
      <c r="M2502">
        <f>IMAGE("file:///E:/Estudios%20y%20certificaciones/ESTUDIOS%20DE%20PROGRAMMING/PROGRAMMING/PERSONAL/PYTHON/Image_Generator_API/imagenes/NAUTICA_MENS_208003174_NVY_2.jpg")</f>
        <v/>
      </c>
      <c r="N2502">
        <f>IMAGE("file:///E:/Estudios%20y%20certificaciones/ESTUDIOS%20DE%20PROGRAMMING/PROGRAMMING/PERSONAL/PYTHON/Image_Generator_API/imagenes/NAUTICA_MENS_208003174_NVY_3.jpg")</f>
        <v/>
      </c>
      <c r="O2502">
        <f>HYPERLINK("imagenes/NAUTICA_MENS_208003174_NVY_1.jpg","Ver imagen")</f>
        <v/>
      </c>
      <c r="P2502">
        <f>HYPERLINK("imagenes/NAUTICA_MENS_208003174_NVY_2.jpg","Ver imagen")</f>
        <v/>
      </c>
      <c r="Q2502">
        <f>HYPERLINK("imagenes/NAUTICA_MENS_208003174_NVY_3.jpg","Ver imagen")</f>
        <v/>
      </c>
    </row>
    <row r="2503">
      <c r="A2503" t="inlineStr">
        <is>
          <t>NAUTICA MENS</t>
        </is>
      </c>
      <c r="B2503" t="inlineStr">
        <is>
          <t>208003174</t>
        </is>
      </c>
      <c r="C2503" t="inlineStr">
        <is>
          <t>SAILING JACKET</t>
        </is>
      </c>
      <c r="D2503" t="inlineStr">
        <is>
          <t>NVY</t>
        </is>
      </c>
      <c r="E2503" t="inlineStr">
        <is>
          <t>(en blanco)</t>
        </is>
      </c>
      <c r="F2503" t="inlineStr">
        <is>
          <t>M1155</t>
        </is>
      </c>
      <c r="G2503" t="inlineStr">
        <is>
          <t>M</t>
        </is>
      </c>
      <c r="H2503" t="n">
        <v>0</v>
      </c>
      <c r="I2503" t="inlineStr">
        <is>
          <t>NAUTICA_MENS_208003174_NVY_1.jpg</t>
        </is>
      </c>
      <c r="J2503" t="inlineStr">
        <is>
          <t>NAUTICA_MENS_208003174_NVY_2.jpg</t>
        </is>
      </c>
      <c r="K2503" t="inlineStr">
        <is>
          <t>NAUTICA_MENS_208003174_NVY_3.jpg</t>
        </is>
      </c>
      <c r="L2503">
        <f>IMAGE("file:///E:/Estudios%20y%20certificaciones/ESTUDIOS%20DE%20PROGRAMMING/PROGRAMMING/PERSONAL/PYTHON/Image_Generator_API/imagenes/NAUTICA_MENS_208003174_NVY_1.jpg")</f>
        <v/>
      </c>
      <c r="M2503">
        <f>IMAGE("file:///E:/Estudios%20y%20certificaciones/ESTUDIOS%20DE%20PROGRAMMING/PROGRAMMING/PERSONAL/PYTHON/Image_Generator_API/imagenes/NAUTICA_MENS_208003174_NVY_2.jpg")</f>
        <v/>
      </c>
      <c r="N2503">
        <f>IMAGE("file:///E:/Estudios%20y%20certificaciones/ESTUDIOS%20DE%20PROGRAMMING/PROGRAMMING/PERSONAL/PYTHON/Image_Generator_API/imagenes/NAUTICA_MENS_208003174_NVY_3.jpg")</f>
        <v/>
      </c>
      <c r="O2503">
        <f>HYPERLINK("imagenes/NAUTICA_MENS_208003174_NVY_1.jpg","Ver imagen")</f>
        <v/>
      </c>
      <c r="P2503">
        <f>HYPERLINK("imagenes/NAUTICA_MENS_208003174_NVY_2.jpg","Ver imagen")</f>
        <v/>
      </c>
      <c r="Q2503">
        <f>HYPERLINK("imagenes/NAUTICA_MENS_208003174_NVY_3.jpg","Ver imagen")</f>
        <v/>
      </c>
    </row>
    <row r="2504">
      <c r="A2504" t="inlineStr">
        <is>
          <t>NAUTICA MENS</t>
        </is>
      </c>
      <c r="B2504" t="inlineStr">
        <is>
          <t>208003174</t>
        </is>
      </c>
      <c r="C2504" t="inlineStr">
        <is>
          <t>SAILING JACKET</t>
        </is>
      </c>
      <c r="D2504" t="inlineStr">
        <is>
          <t>NVY</t>
        </is>
      </c>
      <c r="E2504" t="inlineStr">
        <is>
          <t>(en blanco)</t>
        </is>
      </c>
      <c r="F2504" t="inlineStr">
        <is>
          <t>M1155</t>
        </is>
      </c>
      <c r="G2504" t="inlineStr">
        <is>
          <t>L</t>
        </is>
      </c>
      <c r="H2504" t="n">
        <v>0</v>
      </c>
      <c r="I2504" t="inlineStr">
        <is>
          <t>NAUTICA_MENS_208003174_NVY_1.jpg</t>
        </is>
      </c>
      <c r="J2504" t="inlineStr">
        <is>
          <t>NAUTICA_MENS_208003174_NVY_2.jpg</t>
        </is>
      </c>
      <c r="K2504" t="inlineStr">
        <is>
          <t>NAUTICA_MENS_208003174_NVY_3.jpg</t>
        </is>
      </c>
      <c r="L2504">
        <f>IMAGE("file:///E:/Estudios%20y%20certificaciones/ESTUDIOS%20DE%20PROGRAMMING/PROGRAMMING/PERSONAL/PYTHON/Image_Generator_API/imagenes/NAUTICA_MENS_208003174_NVY_1.jpg")</f>
        <v/>
      </c>
      <c r="M2504">
        <f>IMAGE("file:///E:/Estudios%20y%20certificaciones/ESTUDIOS%20DE%20PROGRAMMING/PROGRAMMING/PERSONAL/PYTHON/Image_Generator_API/imagenes/NAUTICA_MENS_208003174_NVY_2.jpg")</f>
        <v/>
      </c>
      <c r="N2504">
        <f>IMAGE("file:///E:/Estudios%20y%20certificaciones/ESTUDIOS%20DE%20PROGRAMMING/PROGRAMMING/PERSONAL/PYTHON/Image_Generator_API/imagenes/NAUTICA_MENS_208003174_NVY_3.jpg")</f>
        <v/>
      </c>
      <c r="O2504">
        <f>HYPERLINK("imagenes/NAUTICA_MENS_208003174_NVY_1.jpg","Ver imagen")</f>
        <v/>
      </c>
      <c r="P2504">
        <f>HYPERLINK("imagenes/NAUTICA_MENS_208003174_NVY_2.jpg","Ver imagen")</f>
        <v/>
      </c>
      <c r="Q2504">
        <f>HYPERLINK("imagenes/NAUTICA_MENS_208003174_NVY_3.jpg","Ver imagen")</f>
        <v/>
      </c>
    </row>
    <row r="2505">
      <c r="A2505" t="inlineStr">
        <is>
          <t>NAUTICA MENS</t>
        </is>
      </c>
      <c r="B2505" t="inlineStr">
        <is>
          <t>208003174</t>
        </is>
      </c>
      <c r="C2505" t="inlineStr">
        <is>
          <t>SAILING JACKET</t>
        </is>
      </c>
      <c r="D2505" t="inlineStr">
        <is>
          <t>NVY</t>
        </is>
      </c>
      <c r="E2505" t="inlineStr">
        <is>
          <t>(en blanco)</t>
        </is>
      </c>
      <c r="F2505" t="inlineStr">
        <is>
          <t>M1155</t>
        </is>
      </c>
      <c r="G2505" t="inlineStr">
        <is>
          <t>XL</t>
        </is>
      </c>
      <c r="H2505" t="n">
        <v>0</v>
      </c>
      <c r="I2505" t="inlineStr">
        <is>
          <t>NAUTICA_MENS_208003174_NVY_1.jpg</t>
        </is>
      </c>
      <c r="J2505" t="inlineStr">
        <is>
          <t>NAUTICA_MENS_208003174_NVY_2.jpg</t>
        </is>
      </c>
      <c r="K2505" t="inlineStr">
        <is>
          <t>NAUTICA_MENS_208003174_NVY_3.jpg</t>
        </is>
      </c>
      <c r="L2505">
        <f>IMAGE("file:///E:/Estudios%20y%20certificaciones/ESTUDIOS%20DE%20PROGRAMMING/PROGRAMMING/PERSONAL/PYTHON/Image_Generator_API/imagenes/NAUTICA_MENS_208003174_NVY_1.jpg")</f>
        <v/>
      </c>
      <c r="M2505">
        <f>IMAGE("file:///E:/Estudios%20y%20certificaciones/ESTUDIOS%20DE%20PROGRAMMING/PROGRAMMING/PERSONAL/PYTHON/Image_Generator_API/imagenes/NAUTICA_MENS_208003174_NVY_2.jpg")</f>
        <v/>
      </c>
      <c r="N2505">
        <f>IMAGE("file:///E:/Estudios%20y%20certificaciones/ESTUDIOS%20DE%20PROGRAMMING/PROGRAMMING/PERSONAL/PYTHON/Image_Generator_API/imagenes/NAUTICA_MENS_208003174_NVY_3.jpg")</f>
        <v/>
      </c>
      <c r="O2505">
        <f>HYPERLINK("imagenes/NAUTICA_MENS_208003174_NVY_1.jpg","Ver imagen")</f>
        <v/>
      </c>
      <c r="P2505">
        <f>HYPERLINK("imagenes/NAUTICA_MENS_208003174_NVY_2.jpg","Ver imagen")</f>
        <v/>
      </c>
      <c r="Q2505">
        <f>HYPERLINK("imagenes/NAUTICA_MENS_208003174_NVY_3.jpg","Ver imagen")</f>
        <v/>
      </c>
    </row>
    <row r="2506">
      <c r="A2506" t="inlineStr">
        <is>
          <t>NAUTICA MENS</t>
        </is>
      </c>
      <c r="B2506" t="inlineStr">
        <is>
          <t>208003174</t>
        </is>
      </c>
      <c r="C2506" t="inlineStr">
        <is>
          <t>SAILING JACKET</t>
        </is>
      </c>
      <c r="D2506" t="inlineStr">
        <is>
          <t>NVY</t>
        </is>
      </c>
      <c r="E2506" t="inlineStr">
        <is>
          <t>(en blanco)</t>
        </is>
      </c>
      <c r="F2506" t="inlineStr">
        <is>
          <t>M1155</t>
        </is>
      </c>
      <c r="G2506" t="inlineStr">
        <is>
          <t>XXL</t>
        </is>
      </c>
      <c r="H2506" t="n">
        <v>0</v>
      </c>
      <c r="I2506" t="inlineStr">
        <is>
          <t>NAUTICA_MENS_208003174_NVY_1.jpg</t>
        </is>
      </c>
      <c r="J2506" t="inlineStr">
        <is>
          <t>NAUTICA_MENS_208003174_NVY_2.jpg</t>
        </is>
      </c>
      <c r="K2506" t="inlineStr">
        <is>
          <t>NAUTICA_MENS_208003174_NVY_3.jpg</t>
        </is>
      </c>
      <c r="L2506">
        <f>IMAGE("file:///E:/Estudios%20y%20certificaciones/ESTUDIOS%20DE%20PROGRAMMING/PROGRAMMING/PERSONAL/PYTHON/Image_Generator_API/imagenes/NAUTICA_MENS_208003174_NVY_1.jpg")</f>
        <v/>
      </c>
      <c r="M2506">
        <f>IMAGE("file:///E:/Estudios%20y%20certificaciones/ESTUDIOS%20DE%20PROGRAMMING/PROGRAMMING/PERSONAL/PYTHON/Image_Generator_API/imagenes/NAUTICA_MENS_208003174_NVY_2.jpg")</f>
        <v/>
      </c>
      <c r="N2506">
        <f>IMAGE("file:///E:/Estudios%20y%20certificaciones/ESTUDIOS%20DE%20PROGRAMMING/PROGRAMMING/PERSONAL/PYTHON/Image_Generator_API/imagenes/NAUTICA_MENS_208003174_NVY_3.jpg")</f>
        <v/>
      </c>
      <c r="O2506">
        <f>HYPERLINK("imagenes/NAUTICA_MENS_208003174_NVY_1.jpg","Ver imagen")</f>
        <v/>
      </c>
      <c r="P2506">
        <f>HYPERLINK("imagenes/NAUTICA_MENS_208003174_NVY_2.jpg","Ver imagen")</f>
        <v/>
      </c>
      <c r="Q2506">
        <f>HYPERLINK("imagenes/NAUTICA_MENS_208003174_NVY_3.jpg","Ver imagen")</f>
        <v/>
      </c>
    </row>
    <row r="2507">
      <c r="A2507" t="inlineStr">
        <is>
          <t>NAUTICA MENS</t>
        </is>
      </c>
      <c r="B2507" t="inlineStr">
        <is>
          <t>208003174</t>
        </is>
      </c>
      <c r="C2507" t="inlineStr">
        <is>
          <t>SAILING JACKET</t>
        </is>
      </c>
      <c r="D2507" t="inlineStr">
        <is>
          <t>NVY</t>
        </is>
      </c>
      <c r="E2507" t="inlineStr">
        <is>
          <t>(en blanco)</t>
        </is>
      </c>
      <c r="F2507" t="inlineStr">
        <is>
          <t>(en blanco)</t>
        </is>
      </c>
      <c r="G2507" t="inlineStr">
        <is>
          <t>S</t>
        </is>
      </c>
      <c r="H2507" t="n">
        <v>5</v>
      </c>
      <c r="I2507" t="inlineStr">
        <is>
          <t>NAUTICA_MENS_208003174_NVY_1.jpg</t>
        </is>
      </c>
      <c r="J2507" t="inlineStr">
        <is>
          <t>NAUTICA_MENS_208003174_NVY_2.jpg</t>
        </is>
      </c>
      <c r="K2507" t="inlineStr">
        <is>
          <t>NAUTICA_MENS_208003174_NVY_3.jpg</t>
        </is>
      </c>
      <c r="L2507">
        <f>IMAGE("file:///E:/Estudios%20y%20certificaciones/ESTUDIOS%20DE%20PROGRAMMING/PROGRAMMING/PERSONAL/PYTHON/Image_Generator_API/imagenes/NAUTICA_MENS_208003174_NVY_1.jpg")</f>
        <v/>
      </c>
      <c r="M2507">
        <f>IMAGE("file:///E:/Estudios%20y%20certificaciones/ESTUDIOS%20DE%20PROGRAMMING/PROGRAMMING/PERSONAL/PYTHON/Image_Generator_API/imagenes/NAUTICA_MENS_208003174_NVY_2.jpg")</f>
        <v/>
      </c>
      <c r="N2507">
        <f>IMAGE("file:///E:/Estudios%20y%20certificaciones/ESTUDIOS%20DE%20PROGRAMMING/PROGRAMMING/PERSONAL/PYTHON/Image_Generator_API/imagenes/NAUTICA_MENS_208003174_NVY_3.jpg")</f>
        <v/>
      </c>
      <c r="O2507">
        <f>HYPERLINK("imagenes/NAUTICA_MENS_208003174_NVY_1.jpg","Ver imagen")</f>
        <v/>
      </c>
      <c r="P2507">
        <f>HYPERLINK("imagenes/NAUTICA_MENS_208003174_NVY_2.jpg","Ver imagen")</f>
        <v/>
      </c>
      <c r="Q2507">
        <f>HYPERLINK("imagenes/NAUTICA_MENS_208003174_NVY_3.jpg","Ver imagen")</f>
        <v/>
      </c>
    </row>
    <row r="2508">
      <c r="A2508" t="inlineStr">
        <is>
          <t>NAUTICA MENS</t>
        </is>
      </c>
      <c r="B2508" t="inlineStr">
        <is>
          <t>208003174</t>
        </is>
      </c>
      <c r="C2508" t="inlineStr">
        <is>
          <t>SAILING JACKET</t>
        </is>
      </c>
      <c r="D2508" t="inlineStr">
        <is>
          <t>NVY</t>
        </is>
      </c>
      <c r="E2508" t="inlineStr">
        <is>
          <t>(en blanco)</t>
        </is>
      </c>
      <c r="F2508" t="inlineStr">
        <is>
          <t>(en blanco)</t>
        </is>
      </c>
      <c r="G2508" t="inlineStr">
        <is>
          <t>M</t>
        </is>
      </c>
      <c r="H2508" t="n">
        <v>9</v>
      </c>
      <c r="I2508" t="inlineStr">
        <is>
          <t>NAUTICA_MENS_208003174_NVY_1.jpg</t>
        </is>
      </c>
      <c r="J2508" t="inlineStr">
        <is>
          <t>NAUTICA_MENS_208003174_NVY_2.jpg</t>
        </is>
      </c>
      <c r="K2508" t="inlineStr">
        <is>
          <t>NAUTICA_MENS_208003174_NVY_3.jpg</t>
        </is>
      </c>
      <c r="L2508">
        <f>IMAGE("file:///E:/Estudios%20y%20certificaciones/ESTUDIOS%20DE%20PROGRAMMING/PROGRAMMING/PERSONAL/PYTHON/Image_Generator_API/imagenes/NAUTICA_MENS_208003174_NVY_1.jpg")</f>
        <v/>
      </c>
      <c r="M2508">
        <f>IMAGE("file:///E:/Estudios%20y%20certificaciones/ESTUDIOS%20DE%20PROGRAMMING/PROGRAMMING/PERSONAL/PYTHON/Image_Generator_API/imagenes/NAUTICA_MENS_208003174_NVY_2.jpg")</f>
        <v/>
      </c>
      <c r="N2508">
        <f>IMAGE("file:///E:/Estudios%20y%20certificaciones/ESTUDIOS%20DE%20PROGRAMMING/PROGRAMMING/PERSONAL/PYTHON/Image_Generator_API/imagenes/NAUTICA_MENS_208003174_NVY_3.jpg")</f>
        <v/>
      </c>
      <c r="O2508">
        <f>HYPERLINK("imagenes/NAUTICA_MENS_208003174_NVY_1.jpg","Ver imagen")</f>
        <v/>
      </c>
      <c r="P2508">
        <f>HYPERLINK("imagenes/NAUTICA_MENS_208003174_NVY_2.jpg","Ver imagen")</f>
        <v/>
      </c>
      <c r="Q2508">
        <f>HYPERLINK("imagenes/NAUTICA_MENS_208003174_NVY_3.jpg","Ver imagen")</f>
        <v/>
      </c>
    </row>
    <row r="2509">
      <c r="A2509" t="inlineStr">
        <is>
          <t>NAUTICA MENS</t>
        </is>
      </c>
      <c r="B2509" t="inlineStr">
        <is>
          <t>208003174</t>
        </is>
      </c>
      <c r="C2509" t="inlineStr">
        <is>
          <t>SAILING JACKET</t>
        </is>
      </c>
      <c r="D2509" t="inlineStr">
        <is>
          <t>NVY</t>
        </is>
      </c>
      <c r="E2509" t="inlineStr">
        <is>
          <t>(en blanco)</t>
        </is>
      </c>
      <c r="F2509" t="inlineStr">
        <is>
          <t>(en blanco)</t>
        </is>
      </c>
      <c r="G2509" t="inlineStr">
        <is>
          <t>L</t>
        </is>
      </c>
      <c r="H2509" t="n">
        <v>17</v>
      </c>
      <c r="I2509" t="inlineStr">
        <is>
          <t>NAUTICA_MENS_208003174_NVY_1.jpg</t>
        </is>
      </c>
      <c r="J2509" t="inlineStr">
        <is>
          <t>NAUTICA_MENS_208003174_NVY_2.jpg</t>
        </is>
      </c>
      <c r="K2509" t="inlineStr">
        <is>
          <t>NAUTICA_MENS_208003174_NVY_3.jpg</t>
        </is>
      </c>
      <c r="L2509">
        <f>IMAGE("file:///E:/Estudios%20y%20certificaciones/ESTUDIOS%20DE%20PROGRAMMING/PROGRAMMING/PERSONAL/PYTHON/Image_Generator_API/imagenes/NAUTICA_MENS_208003174_NVY_1.jpg")</f>
        <v/>
      </c>
      <c r="M2509">
        <f>IMAGE("file:///E:/Estudios%20y%20certificaciones/ESTUDIOS%20DE%20PROGRAMMING/PROGRAMMING/PERSONAL/PYTHON/Image_Generator_API/imagenes/NAUTICA_MENS_208003174_NVY_2.jpg")</f>
        <v/>
      </c>
      <c r="N2509">
        <f>IMAGE("file:///E:/Estudios%20y%20certificaciones/ESTUDIOS%20DE%20PROGRAMMING/PROGRAMMING/PERSONAL/PYTHON/Image_Generator_API/imagenes/NAUTICA_MENS_208003174_NVY_3.jpg")</f>
        <v/>
      </c>
      <c r="O2509">
        <f>HYPERLINK("imagenes/NAUTICA_MENS_208003174_NVY_1.jpg","Ver imagen")</f>
        <v/>
      </c>
      <c r="P2509">
        <f>HYPERLINK("imagenes/NAUTICA_MENS_208003174_NVY_2.jpg","Ver imagen")</f>
        <v/>
      </c>
      <c r="Q2509">
        <f>HYPERLINK("imagenes/NAUTICA_MENS_208003174_NVY_3.jpg","Ver imagen")</f>
        <v/>
      </c>
    </row>
    <row r="2510">
      <c r="A2510" t="inlineStr">
        <is>
          <t>NAUTICA MENS</t>
        </is>
      </c>
      <c r="B2510" t="inlineStr">
        <is>
          <t>208003174</t>
        </is>
      </c>
      <c r="C2510" t="inlineStr">
        <is>
          <t>SAILING JACKET</t>
        </is>
      </c>
      <c r="D2510" t="inlineStr">
        <is>
          <t>NVY</t>
        </is>
      </c>
      <c r="E2510" t="inlineStr">
        <is>
          <t>(en blanco)</t>
        </is>
      </c>
      <c r="F2510" t="inlineStr">
        <is>
          <t>(en blanco)</t>
        </is>
      </c>
      <c r="G2510" t="inlineStr">
        <is>
          <t>XL</t>
        </is>
      </c>
      <c r="H2510" t="n">
        <v>2</v>
      </c>
      <c r="I2510" t="inlineStr">
        <is>
          <t>NAUTICA_MENS_208003174_NVY_1.jpg</t>
        </is>
      </c>
      <c r="J2510" t="inlineStr">
        <is>
          <t>NAUTICA_MENS_208003174_NVY_2.jpg</t>
        </is>
      </c>
      <c r="K2510" t="inlineStr">
        <is>
          <t>NAUTICA_MENS_208003174_NVY_3.jpg</t>
        </is>
      </c>
      <c r="L2510">
        <f>IMAGE("file:///E:/Estudios%20y%20certificaciones/ESTUDIOS%20DE%20PROGRAMMING/PROGRAMMING/PERSONAL/PYTHON/Image_Generator_API/imagenes/NAUTICA_MENS_208003174_NVY_1.jpg")</f>
        <v/>
      </c>
      <c r="M2510">
        <f>IMAGE("file:///E:/Estudios%20y%20certificaciones/ESTUDIOS%20DE%20PROGRAMMING/PROGRAMMING/PERSONAL/PYTHON/Image_Generator_API/imagenes/NAUTICA_MENS_208003174_NVY_2.jpg")</f>
        <v/>
      </c>
      <c r="N2510">
        <f>IMAGE("file:///E:/Estudios%20y%20certificaciones/ESTUDIOS%20DE%20PROGRAMMING/PROGRAMMING/PERSONAL/PYTHON/Image_Generator_API/imagenes/NAUTICA_MENS_208003174_NVY_3.jpg")</f>
        <v/>
      </c>
      <c r="O2510">
        <f>HYPERLINK("imagenes/NAUTICA_MENS_208003174_NVY_1.jpg","Ver imagen")</f>
        <v/>
      </c>
      <c r="P2510">
        <f>HYPERLINK("imagenes/NAUTICA_MENS_208003174_NVY_2.jpg","Ver imagen")</f>
        <v/>
      </c>
      <c r="Q2510">
        <f>HYPERLINK("imagenes/NAUTICA_MENS_208003174_NVY_3.jpg","Ver imagen")</f>
        <v/>
      </c>
    </row>
    <row r="2511">
      <c r="A2511" t="inlineStr">
        <is>
          <t>NAUTICA MENS</t>
        </is>
      </c>
      <c r="B2511" t="inlineStr">
        <is>
          <t>208003174</t>
        </is>
      </c>
      <c r="C2511" t="inlineStr">
        <is>
          <t>SAILING JACKET</t>
        </is>
      </c>
      <c r="D2511" t="inlineStr">
        <is>
          <t>NVY</t>
        </is>
      </c>
      <c r="E2511" t="inlineStr">
        <is>
          <t>(en blanco)</t>
        </is>
      </c>
      <c r="F2511" t="inlineStr">
        <is>
          <t>(en blanco)</t>
        </is>
      </c>
      <c r="G2511" t="inlineStr">
        <is>
          <t>XXL</t>
        </is>
      </c>
      <c r="H2511" t="n">
        <v>4</v>
      </c>
      <c r="I2511" t="inlineStr">
        <is>
          <t>NAUTICA_MENS_208003174_NVY_1.jpg</t>
        </is>
      </c>
      <c r="J2511" t="inlineStr">
        <is>
          <t>NAUTICA_MENS_208003174_NVY_2.jpg</t>
        </is>
      </c>
      <c r="K2511" t="inlineStr">
        <is>
          <t>NAUTICA_MENS_208003174_NVY_3.jpg</t>
        </is>
      </c>
      <c r="L2511">
        <f>IMAGE("file:///E:/Estudios%20y%20certificaciones/ESTUDIOS%20DE%20PROGRAMMING/PROGRAMMING/PERSONAL/PYTHON/Image_Generator_API/imagenes/NAUTICA_MENS_208003174_NVY_1.jpg")</f>
        <v/>
      </c>
      <c r="M2511">
        <f>IMAGE("file:///E:/Estudios%20y%20certificaciones/ESTUDIOS%20DE%20PROGRAMMING/PROGRAMMING/PERSONAL/PYTHON/Image_Generator_API/imagenes/NAUTICA_MENS_208003174_NVY_2.jpg")</f>
        <v/>
      </c>
      <c r="N2511">
        <f>IMAGE("file:///E:/Estudios%20y%20certificaciones/ESTUDIOS%20DE%20PROGRAMMING/PROGRAMMING/PERSONAL/PYTHON/Image_Generator_API/imagenes/NAUTICA_MENS_208003174_NVY_3.jpg")</f>
        <v/>
      </c>
      <c r="O2511">
        <f>HYPERLINK("imagenes/NAUTICA_MENS_208003174_NVY_1.jpg","Ver imagen")</f>
        <v/>
      </c>
      <c r="P2511">
        <f>HYPERLINK("imagenes/NAUTICA_MENS_208003174_NVY_2.jpg","Ver imagen")</f>
        <v/>
      </c>
      <c r="Q2511">
        <f>HYPERLINK("imagenes/NAUTICA_MENS_208003174_NVY_3.jpg","Ver imagen")</f>
        <v/>
      </c>
    </row>
    <row r="2512">
      <c r="A2512" t="inlineStr">
        <is>
          <t>NAUTICA MENS</t>
        </is>
      </c>
      <c r="B2512" t="inlineStr">
        <is>
          <t>208003174</t>
        </is>
      </c>
      <c r="C2512" t="inlineStr">
        <is>
          <t>SAILING JACKET</t>
        </is>
      </c>
      <c r="D2512" t="inlineStr">
        <is>
          <t>RPD</t>
        </is>
      </c>
      <c r="E2512" t="inlineStr">
        <is>
          <t>(en blanco)</t>
        </is>
      </c>
      <c r="F2512" t="inlineStr">
        <is>
          <t>D2C</t>
        </is>
      </c>
      <c r="G2512" t="inlineStr">
        <is>
          <t>S</t>
        </is>
      </c>
      <c r="H2512" t="n">
        <v>4</v>
      </c>
      <c r="I2512" t="inlineStr">
        <is>
          <t>NAUTICA_MENS_208003174_RPD_1.jpg</t>
        </is>
      </c>
      <c r="J2512" t="inlineStr">
        <is>
          <t>NAUTICA_MENS_208003174_RPD_2.jpg</t>
        </is>
      </c>
      <c r="K2512" t="inlineStr">
        <is>
          <t>NAUTICA_MENS_208003174_RPD_3.jpg</t>
        </is>
      </c>
      <c r="L2512">
        <f>IMAGE("file:///E:/Estudios%20y%20certificaciones/ESTUDIOS%20DE%20PROGRAMMING/PROGRAMMING/PERSONAL/PYTHON/Image_Generator_API/imagenes/NAUTICA_MENS_208003174_RPD_1.jpg")</f>
        <v/>
      </c>
      <c r="M2512">
        <f>IMAGE("file:///E:/Estudios%20y%20certificaciones/ESTUDIOS%20DE%20PROGRAMMING/PROGRAMMING/PERSONAL/PYTHON/Image_Generator_API/imagenes/NAUTICA_MENS_208003174_RPD_2.jpg")</f>
        <v/>
      </c>
      <c r="N2512">
        <f>IMAGE("file:///E:/Estudios%20y%20certificaciones/ESTUDIOS%20DE%20PROGRAMMING/PROGRAMMING/PERSONAL/PYTHON/Image_Generator_API/imagenes/NAUTICA_MENS_208003174_RPD_3.jpg")</f>
        <v/>
      </c>
      <c r="O2512">
        <f>HYPERLINK("imagenes/NAUTICA_MENS_208003174_RPD_1.jpg","Ver imagen")</f>
        <v/>
      </c>
      <c r="P2512">
        <f>HYPERLINK("imagenes/NAUTICA_MENS_208003174_RPD_2.jpg","Ver imagen")</f>
        <v/>
      </c>
      <c r="Q2512">
        <f>HYPERLINK("imagenes/NAUTICA_MENS_208003174_RPD_3.jpg","Ver imagen")</f>
        <v/>
      </c>
    </row>
    <row r="2513">
      <c r="A2513" t="inlineStr">
        <is>
          <t>NAUTICA MENS</t>
        </is>
      </c>
      <c r="B2513" t="inlineStr">
        <is>
          <t>208003174</t>
        </is>
      </c>
      <c r="C2513" t="inlineStr">
        <is>
          <t>SAILING JACKET</t>
        </is>
      </c>
      <c r="D2513" t="inlineStr">
        <is>
          <t>RPD</t>
        </is>
      </c>
      <c r="E2513" t="inlineStr">
        <is>
          <t>(en blanco)</t>
        </is>
      </c>
      <c r="F2513" t="inlineStr">
        <is>
          <t>D2C</t>
        </is>
      </c>
      <c r="G2513" t="inlineStr">
        <is>
          <t>M</t>
        </is>
      </c>
      <c r="H2513" t="n">
        <v>13</v>
      </c>
      <c r="I2513" t="inlineStr">
        <is>
          <t>NAUTICA_MENS_208003174_RPD_1.jpg</t>
        </is>
      </c>
      <c r="J2513" t="inlineStr">
        <is>
          <t>NAUTICA_MENS_208003174_RPD_2.jpg</t>
        </is>
      </c>
      <c r="K2513" t="inlineStr">
        <is>
          <t>NAUTICA_MENS_208003174_RPD_3.jpg</t>
        </is>
      </c>
      <c r="L2513">
        <f>IMAGE("file:///E:/Estudios%20y%20certificaciones/ESTUDIOS%20DE%20PROGRAMMING/PROGRAMMING/PERSONAL/PYTHON/Image_Generator_API/imagenes/NAUTICA_MENS_208003174_RPD_1.jpg")</f>
        <v/>
      </c>
      <c r="M2513">
        <f>IMAGE("file:///E:/Estudios%20y%20certificaciones/ESTUDIOS%20DE%20PROGRAMMING/PROGRAMMING/PERSONAL/PYTHON/Image_Generator_API/imagenes/NAUTICA_MENS_208003174_RPD_2.jpg")</f>
        <v/>
      </c>
      <c r="N2513">
        <f>IMAGE("file:///E:/Estudios%20y%20certificaciones/ESTUDIOS%20DE%20PROGRAMMING/PROGRAMMING/PERSONAL/PYTHON/Image_Generator_API/imagenes/NAUTICA_MENS_208003174_RPD_3.jpg")</f>
        <v/>
      </c>
      <c r="O2513">
        <f>HYPERLINK("imagenes/NAUTICA_MENS_208003174_RPD_1.jpg","Ver imagen")</f>
        <v/>
      </c>
      <c r="P2513">
        <f>HYPERLINK("imagenes/NAUTICA_MENS_208003174_RPD_2.jpg","Ver imagen")</f>
        <v/>
      </c>
      <c r="Q2513">
        <f>HYPERLINK("imagenes/NAUTICA_MENS_208003174_RPD_3.jpg","Ver imagen")</f>
        <v/>
      </c>
    </row>
    <row r="2514">
      <c r="A2514" t="inlineStr">
        <is>
          <t>NAUTICA MENS</t>
        </is>
      </c>
      <c r="B2514" t="inlineStr">
        <is>
          <t>208003174</t>
        </is>
      </c>
      <c r="C2514" t="inlineStr">
        <is>
          <t>SAILING JACKET</t>
        </is>
      </c>
      <c r="D2514" t="inlineStr">
        <is>
          <t>RPD</t>
        </is>
      </c>
      <c r="E2514" t="inlineStr">
        <is>
          <t>(en blanco)</t>
        </is>
      </c>
      <c r="F2514" t="inlineStr">
        <is>
          <t>D2C</t>
        </is>
      </c>
      <c r="G2514" t="inlineStr">
        <is>
          <t>L</t>
        </is>
      </c>
      <c r="H2514" t="n">
        <v>15</v>
      </c>
      <c r="I2514" t="inlineStr">
        <is>
          <t>NAUTICA_MENS_208003174_RPD_1.jpg</t>
        </is>
      </c>
      <c r="J2514" t="inlineStr">
        <is>
          <t>NAUTICA_MENS_208003174_RPD_2.jpg</t>
        </is>
      </c>
      <c r="K2514" t="inlineStr">
        <is>
          <t>NAUTICA_MENS_208003174_RPD_3.jpg</t>
        </is>
      </c>
      <c r="L2514">
        <f>IMAGE("file:///E:/Estudios%20y%20certificaciones/ESTUDIOS%20DE%20PROGRAMMING/PROGRAMMING/PERSONAL/PYTHON/Image_Generator_API/imagenes/NAUTICA_MENS_208003174_RPD_1.jpg")</f>
        <v/>
      </c>
      <c r="M2514">
        <f>IMAGE("file:///E:/Estudios%20y%20certificaciones/ESTUDIOS%20DE%20PROGRAMMING/PROGRAMMING/PERSONAL/PYTHON/Image_Generator_API/imagenes/NAUTICA_MENS_208003174_RPD_2.jpg")</f>
        <v/>
      </c>
      <c r="N2514">
        <f>IMAGE("file:///E:/Estudios%20y%20certificaciones/ESTUDIOS%20DE%20PROGRAMMING/PROGRAMMING/PERSONAL/PYTHON/Image_Generator_API/imagenes/NAUTICA_MENS_208003174_RPD_3.jpg")</f>
        <v/>
      </c>
      <c r="O2514">
        <f>HYPERLINK("imagenes/NAUTICA_MENS_208003174_RPD_1.jpg","Ver imagen")</f>
        <v/>
      </c>
      <c r="P2514">
        <f>HYPERLINK("imagenes/NAUTICA_MENS_208003174_RPD_2.jpg","Ver imagen")</f>
        <v/>
      </c>
      <c r="Q2514">
        <f>HYPERLINK("imagenes/NAUTICA_MENS_208003174_RPD_3.jpg","Ver imagen")</f>
        <v/>
      </c>
    </row>
    <row r="2515">
      <c r="A2515" t="inlineStr">
        <is>
          <t>NAUTICA MENS</t>
        </is>
      </c>
      <c r="B2515" t="inlineStr">
        <is>
          <t>208003174</t>
        </is>
      </c>
      <c r="C2515" t="inlineStr">
        <is>
          <t>SAILING JACKET</t>
        </is>
      </c>
      <c r="D2515" t="inlineStr">
        <is>
          <t>RPD</t>
        </is>
      </c>
      <c r="E2515" t="inlineStr">
        <is>
          <t>(en blanco)</t>
        </is>
      </c>
      <c r="F2515" t="inlineStr">
        <is>
          <t>D2C</t>
        </is>
      </c>
      <c r="G2515" t="inlineStr">
        <is>
          <t>XL</t>
        </is>
      </c>
      <c r="H2515" t="n">
        <v>5</v>
      </c>
      <c r="I2515" t="inlineStr">
        <is>
          <t>NAUTICA_MENS_208003174_RPD_1.jpg</t>
        </is>
      </c>
      <c r="J2515" t="inlineStr">
        <is>
          <t>NAUTICA_MENS_208003174_RPD_2.jpg</t>
        </is>
      </c>
      <c r="K2515" t="inlineStr">
        <is>
          <t>NAUTICA_MENS_208003174_RPD_3.jpg</t>
        </is>
      </c>
      <c r="L2515">
        <f>IMAGE("file:///E:/Estudios%20y%20certificaciones/ESTUDIOS%20DE%20PROGRAMMING/PROGRAMMING/PERSONAL/PYTHON/Image_Generator_API/imagenes/NAUTICA_MENS_208003174_RPD_1.jpg")</f>
        <v/>
      </c>
      <c r="M2515">
        <f>IMAGE("file:///E:/Estudios%20y%20certificaciones/ESTUDIOS%20DE%20PROGRAMMING/PROGRAMMING/PERSONAL/PYTHON/Image_Generator_API/imagenes/NAUTICA_MENS_208003174_RPD_2.jpg")</f>
        <v/>
      </c>
      <c r="N2515">
        <f>IMAGE("file:///E:/Estudios%20y%20certificaciones/ESTUDIOS%20DE%20PROGRAMMING/PROGRAMMING/PERSONAL/PYTHON/Image_Generator_API/imagenes/NAUTICA_MENS_208003174_RPD_3.jpg")</f>
        <v/>
      </c>
      <c r="O2515">
        <f>HYPERLINK("imagenes/NAUTICA_MENS_208003174_RPD_1.jpg","Ver imagen")</f>
        <v/>
      </c>
      <c r="P2515">
        <f>HYPERLINK("imagenes/NAUTICA_MENS_208003174_RPD_2.jpg","Ver imagen")</f>
        <v/>
      </c>
      <c r="Q2515">
        <f>HYPERLINK("imagenes/NAUTICA_MENS_208003174_RPD_3.jpg","Ver imagen")</f>
        <v/>
      </c>
    </row>
    <row r="2516">
      <c r="A2516" t="inlineStr">
        <is>
          <t>NAUTICA MENS</t>
        </is>
      </c>
      <c r="B2516" t="inlineStr">
        <is>
          <t>208003174</t>
        </is>
      </c>
      <c r="C2516" t="inlineStr">
        <is>
          <t>SAILING JACKET</t>
        </is>
      </c>
      <c r="D2516" t="inlineStr">
        <is>
          <t>RPD</t>
        </is>
      </c>
      <c r="E2516" t="inlineStr">
        <is>
          <t>(en blanco)</t>
        </is>
      </c>
      <c r="F2516" t="inlineStr">
        <is>
          <t>D2C</t>
        </is>
      </c>
      <c r="G2516" t="inlineStr">
        <is>
          <t>XXL</t>
        </is>
      </c>
      <c r="H2516" t="n">
        <v>5</v>
      </c>
      <c r="I2516" t="inlineStr">
        <is>
          <t>NAUTICA_MENS_208003174_RPD_1.jpg</t>
        </is>
      </c>
      <c r="J2516" t="inlineStr">
        <is>
          <t>NAUTICA_MENS_208003174_RPD_2.jpg</t>
        </is>
      </c>
      <c r="K2516" t="inlineStr">
        <is>
          <t>NAUTICA_MENS_208003174_RPD_3.jpg</t>
        </is>
      </c>
      <c r="L2516">
        <f>IMAGE("file:///E:/Estudios%20y%20certificaciones/ESTUDIOS%20DE%20PROGRAMMING/PROGRAMMING/PERSONAL/PYTHON/Image_Generator_API/imagenes/NAUTICA_MENS_208003174_RPD_1.jpg")</f>
        <v/>
      </c>
      <c r="M2516">
        <f>IMAGE("file:///E:/Estudios%20y%20certificaciones/ESTUDIOS%20DE%20PROGRAMMING/PROGRAMMING/PERSONAL/PYTHON/Image_Generator_API/imagenes/NAUTICA_MENS_208003174_RPD_2.jpg")</f>
        <v/>
      </c>
      <c r="N2516">
        <f>IMAGE("file:///E:/Estudios%20y%20certificaciones/ESTUDIOS%20DE%20PROGRAMMING/PROGRAMMING/PERSONAL/PYTHON/Image_Generator_API/imagenes/NAUTICA_MENS_208003174_RPD_3.jpg")</f>
        <v/>
      </c>
      <c r="O2516">
        <f>HYPERLINK("imagenes/NAUTICA_MENS_208003174_RPD_1.jpg","Ver imagen")</f>
        <v/>
      </c>
      <c r="P2516">
        <f>HYPERLINK("imagenes/NAUTICA_MENS_208003174_RPD_2.jpg","Ver imagen")</f>
        <v/>
      </c>
      <c r="Q2516">
        <f>HYPERLINK("imagenes/NAUTICA_MENS_208003174_RPD_3.jpg","Ver imagen")</f>
        <v/>
      </c>
    </row>
    <row r="2517">
      <c r="A2517" t="inlineStr">
        <is>
          <t>NAUTICA MENS</t>
        </is>
      </c>
      <c r="B2517" t="inlineStr">
        <is>
          <t>208003174</t>
        </is>
      </c>
      <c r="C2517" t="inlineStr">
        <is>
          <t>SAILING JACKET</t>
        </is>
      </c>
      <c r="D2517" t="inlineStr">
        <is>
          <t>RPD</t>
        </is>
      </c>
      <c r="E2517" t="inlineStr">
        <is>
          <t>(en blanco)</t>
        </is>
      </c>
      <c r="F2517" t="inlineStr">
        <is>
          <t>M1155</t>
        </is>
      </c>
      <c r="G2517" t="inlineStr">
        <is>
          <t>S</t>
        </is>
      </c>
      <c r="H2517" t="n">
        <v>0</v>
      </c>
      <c r="I2517" t="inlineStr">
        <is>
          <t>NAUTICA_MENS_208003174_RPD_1.jpg</t>
        </is>
      </c>
      <c r="J2517" t="inlineStr">
        <is>
          <t>NAUTICA_MENS_208003174_RPD_2.jpg</t>
        </is>
      </c>
      <c r="K2517" t="inlineStr">
        <is>
          <t>NAUTICA_MENS_208003174_RPD_3.jpg</t>
        </is>
      </c>
      <c r="L2517">
        <f>IMAGE("file:///E:/Estudios%20y%20certificaciones/ESTUDIOS%20DE%20PROGRAMMING/PROGRAMMING/PERSONAL/PYTHON/Image_Generator_API/imagenes/NAUTICA_MENS_208003174_RPD_1.jpg")</f>
        <v/>
      </c>
      <c r="M2517">
        <f>IMAGE("file:///E:/Estudios%20y%20certificaciones/ESTUDIOS%20DE%20PROGRAMMING/PROGRAMMING/PERSONAL/PYTHON/Image_Generator_API/imagenes/NAUTICA_MENS_208003174_RPD_2.jpg")</f>
        <v/>
      </c>
      <c r="N2517">
        <f>IMAGE("file:///E:/Estudios%20y%20certificaciones/ESTUDIOS%20DE%20PROGRAMMING/PROGRAMMING/PERSONAL/PYTHON/Image_Generator_API/imagenes/NAUTICA_MENS_208003174_RPD_3.jpg")</f>
        <v/>
      </c>
      <c r="O2517">
        <f>HYPERLINK("imagenes/NAUTICA_MENS_208003174_RPD_1.jpg","Ver imagen")</f>
        <v/>
      </c>
      <c r="P2517">
        <f>HYPERLINK("imagenes/NAUTICA_MENS_208003174_RPD_2.jpg","Ver imagen")</f>
        <v/>
      </c>
      <c r="Q2517">
        <f>HYPERLINK("imagenes/NAUTICA_MENS_208003174_RPD_3.jpg","Ver imagen")</f>
        <v/>
      </c>
    </row>
    <row r="2518">
      <c r="A2518" t="inlineStr">
        <is>
          <t>NAUTICA MENS</t>
        </is>
      </c>
      <c r="B2518" t="inlineStr">
        <is>
          <t>208003174</t>
        </is>
      </c>
      <c r="C2518" t="inlineStr">
        <is>
          <t>SAILING JACKET</t>
        </is>
      </c>
      <c r="D2518" t="inlineStr">
        <is>
          <t>RPD</t>
        </is>
      </c>
      <c r="E2518" t="inlineStr">
        <is>
          <t>(en blanco)</t>
        </is>
      </c>
      <c r="F2518" t="inlineStr">
        <is>
          <t>M1155</t>
        </is>
      </c>
      <c r="G2518" t="inlineStr">
        <is>
          <t>L</t>
        </is>
      </c>
      <c r="H2518" t="n">
        <v>0</v>
      </c>
      <c r="I2518" t="inlineStr">
        <is>
          <t>NAUTICA_MENS_208003174_RPD_1.jpg</t>
        </is>
      </c>
      <c r="J2518" t="inlineStr">
        <is>
          <t>NAUTICA_MENS_208003174_RPD_2.jpg</t>
        </is>
      </c>
      <c r="K2518" t="inlineStr">
        <is>
          <t>NAUTICA_MENS_208003174_RPD_3.jpg</t>
        </is>
      </c>
      <c r="L2518">
        <f>IMAGE("file:///E:/Estudios%20y%20certificaciones/ESTUDIOS%20DE%20PROGRAMMING/PROGRAMMING/PERSONAL/PYTHON/Image_Generator_API/imagenes/NAUTICA_MENS_208003174_RPD_1.jpg")</f>
        <v/>
      </c>
      <c r="M2518">
        <f>IMAGE("file:///E:/Estudios%20y%20certificaciones/ESTUDIOS%20DE%20PROGRAMMING/PROGRAMMING/PERSONAL/PYTHON/Image_Generator_API/imagenes/NAUTICA_MENS_208003174_RPD_2.jpg")</f>
        <v/>
      </c>
      <c r="N2518">
        <f>IMAGE("file:///E:/Estudios%20y%20certificaciones/ESTUDIOS%20DE%20PROGRAMMING/PROGRAMMING/PERSONAL/PYTHON/Image_Generator_API/imagenes/NAUTICA_MENS_208003174_RPD_3.jpg")</f>
        <v/>
      </c>
      <c r="O2518">
        <f>HYPERLINK("imagenes/NAUTICA_MENS_208003174_RPD_1.jpg","Ver imagen")</f>
        <v/>
      </c>
      <c r="P2518">
        <f>HYPERLINK("imagenes/NAUTICA_MENS_208003174_RPD_2.jpg","Ver imagen")</f>
        <v/>
      </c>
      <c r="Q2518">
        <f>HYPERLINK("imagenes/NAUTICA_MENS_208003174_RPD_3.jpg","Ver imagen")</f>
        <v/>
      </c>
    </row>
    <row r="2519">
      <c r="A2519" t="inlineStr">
        <is>
          <t>NAUTICA MENS</t>
        </is>
      </c>
      <c r="B2519" t="inlineStr">
        <is>
          <t>208003174</t>
        </is>
      </c>
      <c r="C2519" t="inlineStr">
        <is>
          <t>SAILING JACKET</t>
        </is>
      </c>
      <c r="D2519" t="inlineStr">
        <is>
          <t>RPD</t>
        </is>
      </c>
      <c r="E2519" t="inlineStr">
        <is>
          <t>(en blanco)</t>
        </is>
      </c>
      <c r="F2519" t="inlineStr">
        <is>
          <t>(en blanco)</t>
        </is>
      </c>
      <c r="G2519" t="inlineStr">
        <is>
          <t>S</t>
        </is>
      </c>
      <c r="H2519" t="n">
        <v>3</v>
      </c>
      <c r="I2519" t="inlineStr">
        <is>
          <t>NAUTICA_MENS_208003174_RPD_1.jpg</t>
        </is>
      </c>
      <c r="J2519" t="inlineStr">
        <is>
          <t>NAUTICA_MENS_208003174_RPD_2.jpg</t>
        </is>
      </c>
      <c r="K2519" t="inlineStr">
        <is>
          <t>NAUTICA_MENS_208003174_RPD_3.jpg</t>
        </is>
      </c>
      <c r="L2519">
        <f>IMAGE("file:///E:/Estudios%20y%20certificaciones/ESTUDIOS%20DE%20PROGRAMMING/PROGRAMMING/PERSONAL/PYTHON/Image_Generator_API/imagenes/NAUTICA_MENS_208003174_RPD_1.jpg")</f>
        <v/>
      </c>
      <c r="M2519">
        <f>IMAGE("file:///E:/Estudios%20y%20certificaciones/ESTUDIOS%20DE%20PROGRAMMING/PROGRAMMING/PERSONAL/PYTHON/Image_Generator_API/imagenes/NAUTICA_MENS_208003174_RPD_2.jpg")</f>
        <v/>
      </c>
      <c r="N2519">
        <f>IMAGE("file:///E:/Estudios%20y%20certificaciones/ESTUDIOS%20DE%20PROGRAMMING/PROGRAMMING/PERSONAL/PYTHON/Image_Generator_API/imagenes/NAUTICA_MENS_208003174_RPD_3.jpg")</f>
        <v/>
      </c>
      <c r="O2519">
        <f>HYPERLINK("imagenes/NAUTICA_MENS_208003174_RPD_1.jpg","Ver imagen")</f>
        <v/>
      </c>
      <c r="P2519">
        <f>HYPERLINK("imagenes/NAUTICA_MENS_208003174_RPD_2.jpg","Ver imagen")</f>
        <v/>
      </c>
      <c r="Q2519">
        <f>HYPERLINK("imagenes/NAUTICA_MENS_208003174_RPD_3.jpg","Ver imagen")</f>
        <v/>
      </c>
    </row>
    <row r="2520">
      <c r="A2520" t="inlineStr">
        <is>
          <t>NAUTICA MENS</t>
        </is>
      </c>
      <c r="B2520" t="inlineStr">
        <is>
          <t>208003174</t>
        </is>
      </c>
      <c r="C2520" t="inlineStr">
        <is>
          <t>SAILING JACKET</t>
        </is>
      </c>
      <c r="D2520" t="inlineStr">
        <is>
          <t>RPD</t>
        </is>
      </c>
      <c r="E2520" t="inlineStr">
        <is>
          <t>(en blanco)</t>
        </is>
      </c>
      <c r="F2520" t="inlineStr">
        <is>
          <t>(en blanco)</t>
        </is>
      </c>
      <c r="G2520" t="inlineStr">
        <is>
          <t>M</t>
        </is>
      </c>
      <c r="H2520" t="n">
        <v>5</v>
      </c>
      <c r="I2520" t="inlineStr">
        <is>
          <t>NAUTICA_MENS_208003174_RPD_1.jpg</t>
        </is>
      </c>
      <c r="J2520" t="inlineStr">
        <is>
          <t>NAUTICA_MENS_208003174_RPD_2.jpg</t>
        </is>
      </c>
      <c r="K2520" t="inlineStr">
        <is>
          <t>NAUTICA_MENS_208003174_RPD_3.jpg</t>
        </is>
      </c>
      <c r="L2520">
        <f>IMAGE("file:///E:/Estudios%20y%20certificaciones/ESTUDIOS%20DE%20PROGRAMMING/PROGRAMMING/PERSONAL/PYTHON/Image_Generator_API/imagenes/NAUTICA_MENS_208003174_RPD_1.jpg")</f>
        <v/>
      </c>
      <c r="M2520">
        <f>IMAGE("file:///E:/Estudios%20y%20certificaciones/ESTUDIOS%20DE%20PROGRAMMING/PROGRAMMING/PERSONAL/PYTHON/Image_Generator_API/imagenes/NAUTICA_MENS_208003174_RPD_2.jpg")</f>
        <v/>
      </c>
      <c r="N2520">
        <f>IMAGE("file:///E:/Estudios%20y%20certificaciones/ESTUDIOS%20DE%20PROGRAMMING/PROGRAMMING/PERSONAL/PYTHON/Image_Generator_API/imagenes/NAUTICA_MENS_208003174_RPD_3.jpg")</f>
        <v/>
      </c>
      <c r="O2520">
        <f>HYPERLINK("imagenes/NAUTICA_MENS_208003174_RPD_1.jpg","Ver imagen")</f>
        <v/>
      </c>
      <c r="P2520">
        <f>HYPERLINK("imagenes/NAUTICA_MENS_208003174_RPD_2.jpg","Ver imagen")</f>
        <v/>
      </c>
      <c r="Q2520">
        <f>HYPERLINK("imagenes/NAUTICA_MENS_208003174_RPD_3.jpg","Ver imagen")</f>
        <v/>
      </c>
    </row>
    <row r="2521">
      <c r="A2521" t="inlineStr">
        <is>
          <t>NAUTICA MENS</t>
        </is>
      </c>
      <c r="B2521" t="inlineStr">
        <is>
          <t>208003174</t>
        </is>
      </c>
      <c r="C2521" t="inlineStr">
        <is>
          <t>SAILING JACKET</t>
        </is>
      </c>
      <c r="D2521" t="inlineStr">
        <is>
          <t>RPD</t>
        </is>
      </c>
      <c r="E2521" t="inlineStr">
        <is>
          <t>(en blanco)</t>
        </is>
      </c>
      <c r="F2521" t="inlineStr">
        <is>
          <t>(en blanco)</t>
        </is>
      </c>
      <c r="G2521" t="inlineStr">
        <is>
          <t>L</t>
        </is>
      </c>
      <c r="H2521" t="n">
        <v>0</v>
      </c>
      <c r="I2521" t="inlineStr">
        <is>
          <t>NAUTICA_MENS_208003174_RPD_1.jpg</t>
        </is>
      </c>
      <c r="J2521" t="inlineStr">
        <is>
          <t>NAUTICA_MENS_208003174_RPD_2.jpg</t>
        </is>
      </c>
      <c r="K2521" t="inlineStr">
        <is>
          <t>NAUTICA_MENS_208003174_RPD_3.jpg</t>
        </is>
      </c>
      <c r="L2521">
        <f>IMAGE("file:///E:/Estudios%20y%20certificaciones/ESTUDIOS%20DE%20PROGRAMMING/PROGRAMMING/PERSONAL/PYTHON/Image_Generator_API/imagenes/NAUTICA_MENS_208003174_RPD_1.jpg")</f>
        <v/>
      </c>
      <c r="M2521">
        <f>IMAGE("file:///E:/Estudios%20y%20certificaciones/ESTUDIOS%20DE%20PROGRAMMING/PROGRAMMING/PERSONAL/PYTHON/Image_Generator_API/imagenes/NAUTICA_MENS_208003174_RPD_2.jpg")</f>
        <v/>
      </c>
      <c r="N2521">
        <f>IMAGE("file:///E:/Estudios%20y%20certificaciones/ESTUDIOS%20DE%20PROGRAMMING/PROGRAMMING/PERSONAL/PYTHON/Image_Generator_API/imagenes/NAUTICA_MENS_208003174_RPD_3.jpg")</f>
        <v/>
      </c>
      <c r="O2521">
        <f>HYPERLINK("imagenes/NAUTICA_MENS_208003174_RPD_1.jpg","Ver imagen")</f>
        <v/>
      </c>
      <c r="P2521">
        <f>HYPERLINK("imagenes/NAUTICA_MENS_208003174_RPD_2.jpg","Ver imagen")</f>
        <v/>
      </c>
      <c r="Q2521">
        <f>HYPERLINK("imagenes/NAUTICA_MENS_208003174_RPD_3.jpg","Ver imagen")</f>
        <v/>
      </c>
    </row>
    <row r="2522">
      <c r="A2522" t="inlineStr">
        <is>
          <t>NAUTICA MENS</t>
        </is>
      </c>
      <c r="B2522" t="inlineStr">
        <is>
          <t>208003174</t>
        </is>
      </c>
      <c r="C2522" t="inlineStr">
        <is>
          <t>SAILING JACKET</t>
        </is>
      </c>
      <c r="D2522" t="inlineStr">
        <is>
          <t>RPD</t>
        </is>
      </c>
      <c r="E2522" t="inlineStr">
        <is>
          <t>(en blanco)</t>
        </is>
      </c>
      <c r="F2522" t="inlineStr">
        <is>
          <t>(en blanco)</t>
        </is>
      </c>
      <c r="G2522" t="inlineStr">
        <is>
          <t>XL</t>
        </is>
      </c>
      <c r="H2522" t="n">
        <v>4</v>
      </c>
      <c r="I2522" t="inlineStr">
        <is>
          <t>NAUTICA_MENS_208003174_RPD_1.jpg</t>
        </is>
      </c>
      <c r="J2522" t="inlineStr">
        <is>
          <t>NAUTICA_MENS_208003174_RPD_2.jpg</t>
        </is>
      </c>
      <c r="K2522" t="inlineStr">
        <is>
          <t>NAUTICA_MENS_208003174_RPD_3.jpg</t>
        </is>
      </c>
      <c r="L2522">
        <f>IMAGE("file:///E:/Estudios%20y%20certificaciones/ESTUDIOS%20DE%20PROGRAMMING/PROGRAMMING/PERSONAL/PYTHON/Image_Generator_API/imagenes/NAUTICA_MENS_208003174_RPD_1.jpg")</f>
        <v/>
      </c>
      <c r="M2522">
        <f>IMAGE("file:///E:/Estudios%20y%20certificaciones/ESTUDIOS%20DE%20PROGRAMMING/PROGRAMMING/PERSONAL/PYTHON/Image_Generator_API/imagenes/NAUTICA_MENS_208003174_RPD_2.jpg")</f>
        <v/>
      </c>
      <c r="N2522">
        <f>IMAGE("file:///E:/Estudios%20y%20certificaciones/ESTUDIOS%20DE%20PROGRAMMING/PROGRAMMING/PERSONAL/PYTHON/Image_Generator_API/imagenes/NAUTICA_MENS_208003174_RPD_3.jpg")</f>
        <v/>
      </c>
      <c r="O2522">
        <f>HYPERLINK("imagenes/NAUTICA_MENS_208003174_RPD_1.jpg","Ver imagen")</f>
        <v/>
      </c>
      <c r="P2522">
        <f>HYPERLINK("imagenes/NAUTICA_MENS_208003174_RPD_2.jpg","Ver imagen")</f>
        <v/>
      </c>
      <c r="Q2522">
        <f>HYPERLINK("imagenes/NAUTICA_MENS_208003174_RPD_3.jpg","Ver imagen")</f>
        <v/>
      </c>
    </row>
    <row r="2523">
      <c r="A2523" t="inlineStr">
        <is>
          <t>NAUTICA MENS</t>
        </is>
      </c>
      <c r="B2523" t="inlineStr">
        <is>
          <t>208003174</t>
        </is>
      </c>
      <c r="C2523" t="inlineStr">
        <is>
          <t>SAILING JACKET</t>
        </is>
      </c>
      <c r="D2523" t="inlineStr">
        <is>
          <t>RPD</t>
        </is>
      </c>
      <c r="E2523" t="inlineStr">
        <is>
          <t>(en blanco)</t>
        </is>
      </c>
      <c r="F2523" t="inlineStr">
        <is>
          <t>(en blanco)</t>
        </is>
      </c>
      <c r="G2523" t="inlineStr">
        <is>
          <t>XXL</t>
        </is>
      </c>
      <c r="H2523" t="n">
        <v>2</v>
      </c>
      <c r="I2523" t="inlineStr">
        <is>
          <t>NAUTICA_MENS_208003174_RPD_1.jpg</t>
        </is>
      </c>
      <c r="J2523" t="inlineStr">
        <is>
          <t>NAUTICA_MENS_208003174_RPD_2.jpg</t>
        </is>
      </c>
      <c r="K2523" t="inlineStr">
        <is>
          <t>NAUTICA_MENS_208003174_RPD_3.jpg</t>
        </is>
      </c>
      <c r="L2523">
        <f>IMAGE("file:///E:/Estudios%20y%20certificaciones/ESTUDIOS%20DE%20PROGRAMMING/PROGRAMMING/PERSONAL/PYTHON/Image_Generator_API/imagenes/NAUTICA_MENS_208003174_RPD_1.jpg")</f>
        <v/>
      </c>
      <c r="M2523">
        <f>IMAGE("file:///E:/Estudios%20y%20certificaciones/ESTUDIOS%20DE%20PROGRAMMING/PROGRAMMING/PERSONAL/PYTHON/Image_Generator_API/imagenes/NAUTICA_MENS_208003174_RPD_2.jpg")</f>
        <v/>
      </c>
      <c r="N2523">
        <f>IMAGE("file:///E:/Estudios%20y%20certificaciones/ESTUDIOS%20DE%20PROGRAMMING/PROGRAMMING/PERSONAL/PYTHON/Image_Generator_API/imagenes/NAUTICA_MENS_208003174_RPD_3.jpg")</f>
        <v/>
      </c>
      <c r="O2523">
        <f>HYPERLINK("imagenes/NAUTICA_MENS_208003174_RPD_1.jpg","Ver imagen")</f>
        <v/>
      </c>
      <c r="P2523">
        <f>HYPERLINK("imagenes/NAUTICA_MENS_208003174_RPD_2.jpg","Ver imagen")</f>
        <v/>
      </c>
      <c r="Q2523">
        <f>HYPERLINK("imagenes/NAUTICA_MENS_208003174_RPD_3.jpg","Ver imagen")</f>
        <v/>
      </c>
    </row>
    <row r="2524">
      <c r="A2524" t="inlineStr">
        <is>
          <t>NAUTICA MENS</t>
        </is>
      </c>
      <c r="B2524" t="inlineStr">
        <is>
          <t>208003347</t>
        </is>
      </c>
      <c r="C2524" t="inlineStr">
        <is>
          <t>LIGHT WEIGHT PACKABLE SHELL JACKET</t>
        </is>
      </c>
      <c r="D2524" t="inlineStr">
        <is>
          <t>BGI</t>
        </is>
      </c>
      <c r="E2524" t="inlineStr">
        <is>
          <t>(en blanco)</t>
        </is>
      </c>
      <c r="F2524" t="inlineStr">
        <is>
          <t>(en blanco)</t>
        </is>
      </c>
      <c r="G2524" t="inlineStr">
        <is>
          <t>S</t>
        </is>
      </c>
      <c r="H2524" t="n">
        <v>5</v>
      </c>
      <c r="I2524" t="inlineStr">
        <is>
          <t>NAUTICA_MENS_208003347_BGI_2.jpg</t>
        </is>
      </c>
      <c r="J2524" t="inlineStr">
        <is>
          <t>NAUTICA_MENS_208003347_BGI_3.jpg</t>
        </is>
      </c>
      <c r="L2524">
        <f>IMAGE("file:///E:/Estudios%20y%20certificaciones/ESTUDIOS%20DE%20PROGRAMMING/PROGRAMMING/PERSONAL/PYTHON/Image_Generator_API/imagenes/NAUTICA_MENS_208003347_BGI_2.jpg")</f>
        <v/>
      </c>
      <c r="M2524">
        <f>IMAGE("file:///E:/Estudios%20y%20certificaciones/ESTUDIOS%20DE%20PROGRAMMING/PROGRAMMING/PERSONAL/PYTHON/Image_Generator_API/imagenes/NAUTICA_MENS_208003347_BGI_3.jpg")</f>
        <v/>
      </c>
      <c r="O2524">
        <f>HYPERLINK("imagenes/NAUTICA_MENS_208003347_BGI_2.jpg","Ver imagen")</f>
        <v/>
      </c>
      <c r="P2524">
        <f>HYPERLINK("imagenes/NAUTICA_MENS_208003347_BGI_3.jpg","Ver imagen")</f>
        <v/>
      </c>
    </row>
    <row r="2525">
      <c r="A2525" t="inlineStr">
        <is>
          <t>NAUTICA MENS</t>
        </is>
      </c>
      <c r="B2525" t="inlineStr">
        <is>
          <t>208003347</t>
        </is>
      </c>
      <c r="C2525" t="inlineStr">
        <is>
          <t>LIGHT WEIGHT PACKABLE SHELL JACKET</t>
        </is>
      </c>
      <c r="D2525" t="inlineStr">
        <is>
          <t>BGI</t>
        </is>
      </c>
      <c r="E2525" t="inlineStr">
        <is>
          <t>(en blanco)</t>
        </is>
      </c>
      <c r="F2525" t="inlineStr">
        <is>
          <t>(en blanco)</t>
        </is>
      </c>
      <c r="G2525" t="inlineStr">
        <is>
          <t>L</t>
        </is>
      </c>
      <c r="H2525" t="n">
        <v>7</v>
      </c>
      <c r="I2525" t="inlineStr">
        <is>
          <t>NAUTICA_MENS_208003347_BGI_2.jpg</t>
        </is>
      </c>
      <c r="J2525" t="inlineStr">
        <is>
          <t>NAUTICA_MENS_208003347_BGI_3.jpg</t>
        </is>
      </c>
      <c r="L2525">
        <f>IMAGE("file:///E:/Estudios%20y%20certificaciones/ESTUDIOS%20DE%20PROGRAMMING/PROGRAMMING/PERSONAL/PYTHON/Image_Generator_API/imagenes/NAUTICA_MENS_208003347_BGI_2.jpg")</f>
        <v/>
      </c>
      <c r="M2525">
        <f>IMAGE("file:///E:/Estudios%20y%20certificaciones/ESTUDIOS%20DE%20PROGRAMMING/PROGRAMMING/PERSONAL/PYTHON/Image_Generator_API/imagenes/NAUTICA_MENS_208003347_BGI_3.jpg")</f>
        <v/>
      </c>
      <c r="O2525">
        <f>HYPERLINK("imagenes/NAUTICA_MENS_208003347_BGI_2.jpg","Ver imagen")</f>
        <v/>
      </c>
      <c r="P2525">
        <f>HYPERLINK("imagenes/NAUTICA_MENS_208003347_BGI_3.jpg","Ver imagen")</f>
        <v/>
      </c>
    </row>
    <row r="2526">
      <c r="A2526" t="inlineStr">
        <is>
          <t>NAUTICA MENS</t>
        </is>
      </c>
      <c r="B2526" t="inlineStr">
        <is>
          <t>208003347</t>
        </is>
      </c>
      <c r="C2526" t="inlineStr">
        <is>
          <t>LIGHT WEIGHT PACKABLE SHELL JACKET</t>
        </is>
      </c>
      <c r="D2526" t="inlineStr">
        <is>
          <t>BGI</t>
        </is>
      </c>
      <c r="E2526" t="inlineStr">
        <is>
          <t>(en blanco)</t>
        </is>
      </c>
      <c r="F2526" t="inlineStr">
        <is>
          <t>(en blanco)</t>
        </is>
      </c>
      <c r="G2526" t="inlineStr">
        <is>
          <t>XL</t>
        </is>
      </c>
      <c r="H2526" t="n">
        <v>1</v>
      </c>
      <c r="I2526" t="inlineStr">
        <is>
          <t>NAUTICA_MENS_208003347_BGI_2.jpg</t>
        </is>
      </c>
      <c r="J2526" t="inlineStr">
        <is>
          <t>NAUTICA_MENS_208003347_BGI_3.jpg</t>
        </is>
      </c>
      <c r="L2526">
        <f>IMAGE("file:///E:/Estudios%20y%20certificaciones/ESTUDIOS%20DE%20PROGRAMMING/PROGRAMMING/PERSONAL/PYTHON/Image_Generator_API/imagenes/NAUTICA_MENS_208003347_BGI_2.jpg")</f>
        <v/>
      </c>
      <c r="M2526">
        <f>IMAGE("file:///E:/Estudios%20y%20certificaciones/ESTUDIOS%20DE%20PROGRAMMING/PROGRAMMING/PERSONAL/PYTHON/Image_Generator_API/imagenes/NAUTICA_MENS_208003347_BGI_3.jpg")</f>
        <v/>
      </c>
      <c r="O2526">
        <f>HYPERLINK("imagenes/NAUTICA_MENS_208003347_BGI_2.jpg","Ver imagen")</f>
        <v/>
      </c>
      <c r="P2526">
        <f>HYPERLINK("imagenes/NAUTICA_MENS_208003347_BGI_3.jpg","Ver imagen")</f>
        <v/>
      </c>
    </row>
    <row r="2527">
      <c r="A2527" t="inlineStr">
        <is>
          <t>NAUTICA MENS</t>
        </is>
      </c>
      <c r="B2527" t="inlineStr">
        <is>
          <t>208003347</t>
        </is>
      </c>
      <c r="C2527" t="inlineStr">
        <is>
          <t>LIGHT WEIGHT PACKABLE SHELL JACKET</t>
        </is>
      </c>
      <c r="D2527" t="inlineStr">
        <is>
          <t>BGI</t>
        </is>
      </c>
      <c r="E2527" t="inlineStr">
        <is>
          <t>(en blanco)</t>
        </is>
      </c>
      <c r="F2527" t="inlineStr">
        <is>
          <t>(en blanco)</t>
        </is>
      </c>
      <c r="G2527" t="inlineStr">
        <is>
          <t>XXL</t>
        </is>
      </c>
      <c r="H2527" t="n">
        <v>5</v>
      </c>
      <c r="I2527" t="inlineStr">
        <is>
          <t>NAUTICA_MENS_208003347_BGI_2.jpg</t>
        </is>
      </c>
      <c r="J2527" t="inlineStr">
        <is>
          <t>NAUTICA_MENS_208003347_BGI_3.jpg</t>
        </is>
      </c>
      <c r="L2527">
        <f>IMAGE("file:///E:/Estudios%20y%20certificaciones/ESTUDIOS%20DE%20PROGRAMMING/PROGRAMMING/PERSONAL/PYTHON/Image_Generator_API/imagenes/NAUTICA_MENS_208003347_BGI_2.jpg")</f>
        <v/>
      </c>
      <c r="M2527">
        <f>IMAGE("file:///E:/Estudios%20y%20certificaciones/ESTUDIOS%20DE%20PROGRAMMING/PROGRAMMING/PERSONAL/PYTHON/Image_Generator_API/imagenes/NAUTICA_MENS_208003347_BGI_3.jpg")</f>
        <v/>
      </c>
      <c r="O2527">
        <f>HYPERLINK("imagenes/NAUTICA_MENS_208003347_BGI_2.jpg","Ver imagen")</f>
        <v/>
      </c>
      <c r="P2527">
        <f>HYPERLINK("imagenes/NAUTICA_MENS_208003347_BGI_3.jpg","Ver imagen")</f>
        <v/>
      </c>
    </row>
    <row r="2528">
      <c r="A2528" t="inlineStr">
        <is>
          <t>NAUTICA MENS</t>
        </is>
      </c>
      <c r="B2528" t="inlineStr">
        <is>
          <t>208003347</t>
        </is>
      </c>
      <c r="C2528" t="inlineStr">
        <is>
          <t>LIGHT WEIGHT PACKABLE SHELL JACKET</t>
        </is>
      </c>
      <c r="D2528" t="inlineStr">
        <is>
          <t>BUE</t>
        </is>
      </c>
      <c r="E2528" t="inlineStr">
        <is>
          <t>(en blanco)</t>
        </is>
      </c>
      <c r="F2528" t="inlineStr">
        <is>
          <t>(en blanco)</t>
        </is>
      </c>
      <c r="G2528" t="inlineStr">
        <is>
          <t>S</t>
        </is>
      </c>
      <c r="H2528" t="n">
        <v>2</v>
      </c>
      <c r="I2528" t="inlineStr">
        <is>
          <t>NAUTICA_MENS_208003347_BUE_2.jpg</t>
        </is>
      </c>
      <c r="J2528" t="inlineStr">
        <is>
          <t>NAUTICA_MENS_208003347_BUE_3.jpg</t>
        </is>
      </c>
      <c r="L2528">
        <f>IMAGE("file:///E:/Estudios%20y%20certificaciones/ESTUDIOS%20DE%20PROGRAMMING/PROGRAMMING/PERSONAL/PYTHON/Image_Generator_API/imagenes/NAUTICA_MENS_208003347_BUE_2.jpg")</f>
        <v/>
      </c>
      <c r="M2528">
        <f>IMAGE("file:///E:/Estudios%20y%20certificaciones/ESTUDIOS%20DE%20PROGRAMMING/PROGRAMMING/PERSONAL/PYTHON/Image_Generator_API/imagenes/NAUTICA_MENS_208003347_BUE_3.jpg")</f>
        <v/>
      </c>
      <c r="O2528">
        <f>HYPERLINK("imagenes/NAUTICA_MENS_208003347_BUE_2.jpg","Ver imagen")</f>
        <v/>
      </c>
      <c r="P2528">
        <f>HYPERLINK("imagenes/NAUTICA_MENS_208003347_BUE_3.jpg","Ver imagen")</f>
        <v/>
      </c>
    </row>
    <row r="2529">
      <c r="A2529" t="inlineStr">
        <is>
          <t>NAUTICA MENS</t>
        </is>
      </c>
      <c r="B2529" t="inlineStr">
        <is>
          <t>208003347</t>
        </is>
      </c>
      <c r="C2529" t="inlineStr">
        <is>
          <t>LIGHT WEIGHT PACKABLE SHELL JACKET</t>
        </is>
      </c>
      <c r="D2529" t="inlineStr">
        <is>
          <t>BUE</t>
        </is>
      </c>
      <c r="E2529" t="inlineStr">
        <is>
          <t>(en blanco)</t>
        </is>
      </c>
      <c r="F2529" t="inlineStr">
        <is>
          <t>(en blanco)</t>
        </is>
      </c>
      <c r="G2529" t="inlineStr">
        <is>
          <t>M</t>
        </is>
      </c>
      <c r="H2529" t="n">
        <v>2</v>
      </c>
      <c r="I2529" t="inlineStr">
        <is>
          <t>NAUTICA_MENS_208003347_BUE_2.jpg</t>
        </is>
      </c>
      <c r="J2529" t="inlineStr">
        <is>
          <t>NAUTICA_MENS_208003347_BUE_3.jpg</t>
        </is>
      </c>
      <c r="L2529">
        <f>IMAGE("file:///E:/Estudios%20y%20certificaciones/ESTUDIOS%20DE%20PROGRAMMING/PROGRAMMING/PERSONAL/PYTHON/Image_Generator_API/imagenes/NAUTICA_MENS_208003347_BUE_2.jpg")</f>
        <v/>
      </c>
      <c r="M2529">
        <f>IMAGE("file:///E:/Estudios%20y%20certificaciones/ESTUDIOS%20DE%20PROGRAMMING/PROGRAMMING/PERSONAL/PYTHON/Image_Generator_API/imagenes/NAUTICA_MENS_208003347_BUE_3.jpg")</f>
        <v/>
      </c>
      <c r="O2529">
        <f>HYPERLINK("imagenes/NAUTICA_MENS_208003347_BUE_2.jpg","Ver imagen")</f>
        <v/>
      </c>
      <c r="P2529">
        <f>HYPERLINK("imagenes/NAUTICA_MENS_208003347_BUE_3.jpg","Ver imagen")</f>
        <v/>
      </c>
    </row>
    <row r="2530">
      <c r="A2530" t="inlineStr">
        <is>
          <t>NAUTICA MENS</t>
        </is>
      </c>
      <c r="B2530" t="inlineStr">
        <is>
          <t>208003347</t>
        </is>
      </c>
      <c r="C2530" t="inlineStr">
        <is>
          <t>LIGHT WEIGHT PACKABLE SHELL JACKET</t>
        </is>
      </c>
      <c r="D2530" t="inlineStr">
        <is>
          <t>BUE</t>
        </is>
      </c>
      <c r="E2530" t="inlineStr">
        <is>
          <t>(en blanco)</t>
        </is>
      </c>
      <c r="F2530" t="inlineStr">
        <is>
          <t>(en blanco)</t>
        </is>
      </c>
      <c r="G2530" t="inlineStr">
        <is>
          <t>L</t>
        </is>
      </c>
      <c r="H2530" t="n">
        <v>3</v>
      </c>
      <c r="I2530" t="inlineStr">
        <is>
          <t>NAUTICA_MENS_208003347_BUE_2.jpg</t>
        </is>
      </c>
      <c r="J2530" t="inlineStr">
        <is>
          <t>NAUTICA_MENS_208003347_BUE_3.jpg</t>
        </is>
      </c>
      <c r="L2530">
        <f>IMAGE("file:///E:/Estudios%20y%20certificaciones/ESTUDIOS%20DE%20PROGRAMMING/PROGRAMMING/PERSONAL/PYTHON/Image_Generator_API/imagenes/NAUTICA_MENS_208003347_BUE_2.jpg")</f>
        <v/>
      </c>
      <c r="M2530">
        <f>IMAGE("file:///E:/Estudios%20y%20certificaciones/ESTUDIOS%20DE%20PROGRAMMING/PROGRAMMING/PERSONAL/PYTHON/Image_Generator_API/imagenes/NAUTICA_MENS_208003347_BUE_3.jpg")</f>
        <v/>
      </c>
      <c r="O2530">
        <f>HYPERLINK("imagenes/NAUTICA_MENS_208003347_BUE_2.jpg","Ver imagen")</f>
        <v/>
      </c>
      <c r="P2530">
        <f>HYPERLINK("imagenes/NAUTICA_MENS_208003347_BUE_3.jpg","Ver imagen")</f>
        <v/>
      </c>
    </row>
    <row r="2531">
      <c r="A2531" t="inlineStr">
        <is>
          <t>NAUTICA MENS</t>
        </is>
      </c>
      <c r="B2531" t="inlineStr">
        <is>
          <t>208003347</t>
        </is>
      </c>
      <c r="C2531" t="inlineStr">
        <is>
          <t>LIGHT WEIGHT PACKABLE SHELL JACKET</t>
        </is>
      </c>
      <c r="D2531" t="inlineStr">
        <is>
          <t>BUE</t>
        </is>
      </c>
      <c r="E2531" t="inlineStr">
        <is>
          <t>(en blanco)</t>
        </is>
      </c>
      <c r="F2531" t="inlineStr">
        <is>
          <t>(en blanco)</t>
        </is>
      </c>
      <c r="G2531" t="inlineStr">
        <is>
          <t>XL</t>
        </is>
      </c>
      <c r="H2531" t="n">
        <v>3</v>
      </c>
      <c r="I2531" t="inlineStr">
        <is>
          <t>NAUTICA_MENS_208003347_BUE_2.jpg</t>
        </is>
      </c>
      <c r="J2531" t="inlineStr">
        <is>
          <t>NAUTICA_MENS_208003347_BUE_3.jpg</t>
        </is>
      </c>
      <c r="L2531">
        <f>IMAGE("file:///E:/Estudios%20y%20certificaciones/ESTUDIOS%20DE%20PROGRAMMING/PROGRAMMING/PERSONAL/PYTHON/Image_Generator_API/imagenes/NAUTICA_MENS_208003347_BUE_2.jpg")</f>
        <v/>
      </c>
      <c r="M2531">
        <f>IMAGE("file:///E:/Estudios%20y%20certificaciones/ESTUDIOS%20DE%20PROGRAMMING/PROGRAMMING/PERSONAL/PYTHON/Image_Generator_API/imagenes/NAUTICA_MENS_208003347_BUE_3.jpg")</f>
        <v/>
      </c>
      <c r="O2531">
        <f>HYPERLINK("imagenes/NAUTICA_MENS_208003347_BUE_2.jpg","Ver imagen")</f>
        <v/>
      </c>
      <c r="P2531">
        <f>HYPERLINK("imagenes/NAUTICA_MENS_208003347_BUE_3.jpg","Ver imagen")</f>
        <v/>
      </c>
    </row>
    <row r="2532">
      <c r="A2532" t="inlineStr">
        <is>
          <t>NAUTICA MENS</t>
        </is>
      </c>
      <c r="B2532" t="inlineStr">
        <is>
          <t>208003347</t>
        </is>
      </c>
      <c r="C2532" t="inlineStr">
        <is>
          <t>LIGHT WEIGHT PACKABLE SHELL JACKET</t>
        </is>
      </c>
      <c r="D2532" t="inlineStr">
        <is>
          <t>BUE</t>
        </is>
      </c>
      <c r="E2532" t="inlineStr">
        <is>
          <t>(en blanco)</t>
        </is>
      </c>
      <c r="F2532" t="inlineStr">
        <is>
          <t>(en blanco)</t>
        </is>
      </c>
      <c r="G2532" t="inlineStr">
        <is>
          <t>XXL</t>
        </is>
      </c>
      <c r="H2532" t="n">
        <v>2</v>
      </c>
      <c r="I2532" t="inlineStr">
        <is>
          <t>NAUTICA_MENS_208003347_BUE_2.jpg</t>
        </is>
      </c>
      <c r="J2532" t="inlineStr">
        <is>
          <t>NAUTICA_MENS_208003347_BUE_3.jpg</t>
        </is>
      </c>
      <c r="L2532">
        <f>IMAGE("file:///E:/Estudios%20y%20certificaciones/ESTUDIOS%20DE%20PROGRAMMING/PROGRAMMING/PERSONAL/PYTHON/Image_Generator_API/imagenes/NAUTICA_MENS_208003347_BUE_2.jpg")</f>
        <v/>
      </c>
      <c r="M2532">
        <f>IMAGE("file:///E:/Estudios%20y%20certificaciones/ESTUDIOS%20DE%20PROGRAMMING/PROGRAMMING/PERSONAL/PYTHON/Image_Generator_API/imagenes/NAUTICA_MENS_208003347_BUE_3.jpg")</f>
        <v/>
      </c>
      <c r="O2532">
        <f>HYPERLINK("imagenes/NAUTICA_MENS_208003347_BUE_2.jpg","Ver imagen")</f>
        <v/>
      </c>
      <c r="P2532">
        <f>HYPERLINK("imagenes/NAUTICA_MENS_208003347_BUE_3.jpg","Ver imagen")</f>
        <v/>
      </c>
    </row>
    <row r="2533">
      <c r="A2533" t="inlineStr">
        <is>
          <t>NAUTICA MENS</t>
        </is>
      </c>
      <c r="B2533" t="inlineStr">
        <is>
          <t>208003347</t>
        </is>
      </c>
      <c r="C2533" t="inlineStr">
        <is>
          <t>LIGHT WEIGHT PACKABLE SHELL JACKET</t>
        </is>
      </c>
      <c r="D2533" t="inlineStr">
        <is>
          <t>NSS</t>
        </is>
      </c>
      <c r="E2533" t="inlineStr">
        <is>
          <t>(en blanco)</t>
        </is>
      </c>
      <c r="F2533" t="inlineStr">
        <is>
          <t>(en blanco)</t>
        </is>
      </c>
      <c r="G2533" t="inlineStr">
        <is>
          <t>S</t>
        </is>
      </c>
      <c r="H2533" t="n">
        <v>4</v>
      </c>
      <c r="I2533" t="inlineStr">
        <is>
          <t>NAUTICA_MENS_208003347_NSS_2.jpg</t>
        </is>
      </c>
      <c r="J2533" t="inlineStr">
        <is>
          <t>NAUTICA_MENS_208003347_NSS_3.jpg</t>
        </is>
      </c>
      <c r="L2533">
        <f>IMAGE("file:///E:/Estudios%20y%20certificaciones/ESTUDIOS%20DE%20PROGRAMMING/PROGRAMMING/PERSONAL/PYTHON/Image_Generator_API/imagenes/NAUTICA_MENS_208003347_NSS_2.jpg")</f>
        <v/>
      </c>
      <c r="M2533">
        <f>IMAGE("file:///E:/Estudios%20y%20certificaciones/ESTUDIOS%20DE%20PROGRAMMING/PROGRAMMING/PERSONAL/PYTHON/Image_Generator_API/imagenes/NAUTICA_MENS_208003347_NSS_3.jpg")</f>
        <v/>
      </c>
      <c r="O2533">
        <f>HYPERLINK("imagenes/NAUTICA_MENS_208003347_NSS_2.jpg","Ver imagen")</f>
        <v/>
      </c>
      <c r="P2533">
        <f>HYPERLINK("imagenes/NAUTICA_MENS_208003347_NSS_3.jpg","Ver imagen")</f>
        <v/>
      </c>
    </row>
    <row r="2534">
      <c r="A2534" t="inlineStr">
        <is>
          <t>NAUTICA MENS</t>
        </is>
      </c>
      <c r="B2534" t="inlineStr">
        <is>
          <t>208003347</t>
        </is>
      </c>
      <c r="C2534" t="inlineStr">
        <is>
          <t>LIGHT WEIGHT PACKABLE SHELL JACKET</t>
        </is>
      </c>
      <c r="D2534" t="inlineStr">
        <is>
          <t>NSS</t>
        </is>
      </c>
      <c r="E2534" t="inlineStr">
        <is>
          <t>(en blanco)</t>
        </is>
      </c>
      <c r="F2534" t="inlineStr">
        <is>
          <t>(en blanco)</t>
        </is>
      </c>
      <c r="G2534" t="inlineStr">
        <is>
          <t>M</t>
        </is>
      </c>
      <c r="H2534" t="n">
        <v>8</v>
      </c>
      <c r="I2534" t="inlineStr">
        <is>
          <t>NAUTICA_MENS_208003347_NSS_2.jpg</t>
        </is>
      </c>
      <c r="J2534" t="inlineStr">
        <is>
          <t>NAUTICA_MENS_208003347_NSS_3.jpg</t>
        </is>
      </c>
      <c r="L2534">
        <f>IMAGE("file:///E:/Estudios%20y%20certificaciones/ESTUDIOS%20DE%20PROGRAMMING/PROGRAMMING/PERSONAL/PYTHON/Image_Generator_API/imagenes/NAUTICA_MENS_208003347_NSS_2.jpg")</f>
        <v/>
      </c>
      <c r="M2534">
        <f>IMAGE("file:///E:/Estudios%20y%20certificaciones/ESTUDIOS%20DE%20PROGRAMMING/PROGRAMMING/PERSONAL/PYTHON/Image_Generator_API/imagenes/NAUTICA_MENS_208003347_NSS_3.jpg")</f>
        <v/>
      </c>
      <c r="O2534">
        <f>HYPERLINK("imagenes/NAUTICA_MENS_208003347_NSS_2.jpg","Ver imagen")</f>
        <v/>
      </c>
      <c r="P2534">
        <f>HYPERLINK("imagenes/NAUTICA_MENS_208003347_NSS_3.jpg","Ver imagen")</f>
        <v/>
      </c>
    </row>
    <row r="2535">
      <c r="A2535" t="inlineStr">
        <is>
          <t>NAUTICA MENS</t>
        </is>
      </c>
      <c r="B2535" t="inlineStr">
        <is>
          <t>208003347</t>
        </is>
      </c>
      <c r="C2535" t="inlineStr">
        <is>
          <t>LIGHT WEIGHT PACKABLE SHELL JACKET</t>
        </is>
      </c>
      <c r="D2535" t="inlineStr">
        <is>
          <t>NSS</t>
        </is>
      </c>
      <c r="E2535" t="inlineStr">
        <is>
          <t>(en blanco)</t>
        </is>
      </c>
      <c r="F2535" t="inlineStr">
        <is>
          <t>(en blanco)</t>
        </is>
      </c>
      <c r="G2535" t="inlineStr">
        <is>
          <t>L</t>
        </is>
      </c>
      <c r="H2535" t="n">
        <v>13</v>
      </c>
      <c r="I2535" t="inlineStr">
        <is>
          <t>NAUTICA_MENS_208003347_NSS_2.jpg</t>
        </is>
      </c>
      <c r="J2535" t="inlineStr">
        <is>
          <t>NAUTICA_MENS_208003347_NSS_3.jpg</t>
        </is>
      </c>
      <c r="L2535">
        <f>IMAGE("file:///E:/Estudios%20y%20certificaciones/ESTUDIOS%20DE%20PROGRAMMING/PROGRAMMING/PERSONAL/PYTHON/Image_Generator_API/imagenes/NAUTICA_MENS_208003347_NSS_2.jpg")</f>
        <v/>
      </c>
      <c r="M2535">
        <f>IMAGE("file:///E:/Estudios%20y%20certificaciones/ESTUDIOS%20DE%20PROGRAMMING/PROGRAMMING/PERSONAL/PYTHON/Image_Generator_API/imagenes/NAUTICA_MENS_208003347_NSS_3.jpg")</f>
        <v/>
      </c>
      <c r="O2535">
        <f>HYPERLINK("imagenes/NAUTICA_MENS_208003347_NSS_2.jpg","Ver imagen")</f>
        <v/>
      </c>
      <c r="P2535">
        <f>HYPERLINK("imagenes/NAUTICA_MENS_208003347_NSS_3.jpg","Ver imagen")</f>
        <v/>
      </c>
    </row>
    <row r="2536">
      <c r="A2536" t="inlineStr">
        <is>
          <t>NAUTICA MENS</t>
        </is>
      </c>
      <c r="B2536" t="inlineStr">
        <is>
          <t>208003347</t>
        </is>
      </c>
      <c r="C2536" t="inlineStr">
        <is>
          <t>LIGHT WEIGHT PACKABLE SHELL JACKET</t>
        </is>
      </c>
      <c r="D2536" t="inlineStr">
        <is>
          <t>NSS</t>
        </is>
      </c>
      <c r="E2536" t="inlineStr">
        <is>
          <t>(en blanco)</t>
        </is>
      </c>
      <c r="F2536" t="inlineStr">
        <is>
          <t>(en blanco)</t>
        </is>
      </c>
      <c r="G2536" t="inlineStr">
        <is>
          <t>XL</t>
        </is>
      </c>
      <c r="H2536" t="n">
        <v>6</v>
      </c>
      <c r="I2536" t="inlineStr">
        <is>
          <t>NAUTICA_MENS_208003347_NSS_2.jpg</t>
        </is>
      </c>
      <c r="J2536" t="inlineStr">
        <is>
          <t>NAUTICA_MENS_208003347_NSS_3.jpg</t>
        </is>
      </c>
      <c r="L2536">
        <f>IMAGE("file:///E:/Estudios%20y%20certificaciones/ESTUDIOS%20DE%20PROGRAMMING/PROGRAMMING/PERSONAL/PYTHON/Image_Generator_API/imagenes/NAUTICA_MENS_208003347_NSS_2.jpg")</f>
        <v/>
      </c>
      <c r="M2536">
        <f>IMAGE("file:///E:/Estudios%20y%20certificaciones/ESTUDIOS%20DE%20PROGRAMMING/PROGRAMMING/PERSONAL/PYTHON/Image_Generator_API/imagenes/NAUTICA_MENS_208003347_NSS_3.jpg")</f>
        <v/>
      </c>
      <c r="O2536">
        <f>HYPERLINK("imagenes/NAUTICA_MENS_208003347_NSS_2.jpg","Ver imagen")</f>
        <v/>
      </c>
      <c r="P2536">
        <f>HYPERLINK("imagenes/NAUTICA_MENS_208003347_NSS_3.jpg","Ver imagen")</f>
        <v/>
      </c>
    </row>
    <row r="2537">
      <c r="A2537" t="inlineStr">
        <is>
          <t>NAUTICA MENS</t>
        </is>
      </c>
      <c r="B2537" t="inlineStr">
        <is>
          <t>208003347</t>
        </is>
      </c>
      <c r="C2537" t="inlineStr">
        <is>
          <t>LIGHT WEIGHT PACKABLE SHELL JACKET</t>
        </is>
      </c>
      <c r="D2537" t="inlineStr">
        <is>
          <t>NSS</t>
        </is>
      </c>
      <c r="E2537" t="inlineStr">
        <is>
          <t>(en blanco)</t>
        </is>
      </c>
      <c r="F2537" t="inlineStr">
        <is>
          <t>(en blanco)</t>
        </is>
      </c>
      <c r="G2537" t="inlineStr">
        <is>
          <t>XXL</t>
        </is>
      </c>
      <c r="H2537" t="n">
        <v>2</v>
      </c>
      <c r="I2537" t="inlineStr">
        <is>
          <t>NAUTICA_MENS_208003347_NSS_2.jpg</t>
        </is>
      </c>
      <c r="J2537" t="inlineStr">
        <is>
          <t>NAUTICA_MENS_208003347_NSS_3.jpg</t>
        </is>
      </c>
      <c r="L2537">
        <f>IMAGE("file:///E:/Estudios%20y%20certificaciones/ESTUDIOS%20DE%20PROGRAMMING/PROGRAMMING/PERSONAL/PYTHON/Image_Generator_API/imagenes/NAUTICA_MENS_208003347_NSS_2.jpg")</f>
        <v/>
      </c>
      <c r="M2537">
        <f>IMAGE("file:///E:/Estudios%20y%20certificaciones/ESTUDIOS%20DE%20PROGRAMMING/PROGRAMMING/PERSONAL/PYTHON/Image_Generator_API/imagenes/NAUTICA_MENS_208003347_NSS_3.jpg")</f>
        <v/>
      </c>
      <c r="O2537">
        <f>HYPERLINK("imagenes/NAUTICA_MENS_208003347_NSS_2.jpg","Ver imagen")</f>
        <v/>
      </c>
      <c r="P2537">
        <f>HYPERLINK("imagenes/NAUTICA_MENS_208003347_NSS_3.jpg","Ver imagen")</f>
        <v/>
      </c>
    </row>
    <row r="2538">
      <c r="A2538" t="inlineStr">
        <is>
          <t>NAUTICA MENS</t>
        </is>
      </c>
      <c r="B2538" t="inlineStr">
        <is>
          <t>208003350</t>
        </is>
      </c>
      <c r="C2538" t="inlineStr">
        <is>
          <t>BOMBER JACKET</t>
        </is>
      </c>
      <c r="D2538" t="inlineStr">
        <is>
          <t>BLK</t>
        </is>
      </c>
      <c r="E2538" t="inlineStr">
        <is>
          <t>(en blanco)</t>
        </is>
      </c>
      <c r="F2538" t="inlineStr">
        <is>
          <t>(en blanco)</t>
        </is>
      </c>
      <c r="G2538" t="inlineStr">
        <is>
          <t>S</t>
        </is>
      </c>
      <c r="H2538" t="n">
        <v>3</v>
      </c>
      <c r="I2538" t="inlineStr">
        <is>
          <t>NAUTICA_MENS_208003350_BLK_1.jpg</t>
        </is>
      </c>
      <c r="J2538" t="inlineStr">
        <is>
          <t>NAUTICA_MENS_208003350_BLK_2.jpg</t>
        </is>
      </c>
      <c r="K2538" t="inlineStr">
        <is>
          <t>NAUTICA_MENS_208003350_BLK_3.jpg</t>
        </is>
      </c>
      <c r="L2538">
        <f>IMAGE("file:///E:/Estudios%20y%20certificaciones/ESTUDIOS%20DE%20PROGRAMMING/PROGRAMMING/PERSONAL/PYTHON/Image_Generator_API/imagenes/NAUTICA_MENS_208003350_BLK_1.jpg")</f>
        <v/>
      </c>
      <c r="M2538">
        <f>IMAGE("file:///E:/Estudios%20y%20certificaciones/ESTUDIOS%20DE%20PROGRAMMING/PROGRAMMING/PERSONAL/PYTHON/Image_Generator_API/imagenes/NAUTICA_MENS_208003350_BLK_2.jpg")</f>
        <v/>
      </c>
      <c r="N2538">
        <f>IMAGE("file:///E:/Estudios%20y%20certificaciones/ESTUDIOS%20DE%20PROGRAMMING/PROGRAMMING/PERSONAL/PYTHON/Image_Generator_API/imagenes/NAUTICA_MENS_208003350_BLK_3.jpg")</f>
        <v/>
      </c>
      <c r="O2538">
        <f>HYPERLINK("imagenes/NAUTICA_MENS_208003350_BLK_1.jpg","Ver imagen")</f>
        <v/>
      </c>
      <c r="P2538">
        <f>HYPERLINK("imagenes/NAUTICA_MENS_208003350_BLK_2.jpg","Ver imagen")</f>
        <v/>
      </c>
      <c r="Q2538">
        <f>HYPERLINK("imagenes/NAUTICA_MENS_208003350_BLK_3.jpg","Ver imagen")</f>
        <v/>
      </c>
    </row>
    <row r="2539">
      <c r="A2539" t="inlineStr">
        <is>
          <t>NAUTICA MENS</t>
        </is>
      </c>
      <c r="B2539" t="inlineStr">
        <is>
          <t>208003350</t>
        </is>
      </c>
      <c r="C2539" t="inlineStr">
        <is>
          <t>BOMBER JACKET</t>
        </is>
      </c>
      <c r="D2539" t="inlineStr">
        <is>
          <t>BLK</t>
        </is>
      </c>
      <c r="E2539" t="inlineStr">
        <is>
          <t>(en blanco)</t>
        </is>
      </c>
      <c r="F2539" t="inlineStr">
        <is>
          <t>(en blanco)</t>
        </is>
      </c>
      <c r="G2539" t="inlineStr">
        <is>
          <t>M</t>
        </is>
      </c>
      <c r="H2539" t="n">
        <v>4</v>
      </c>
      <c r="I2539" t="inlineStr">
        <is>
          <t>NAUTICA_MENS_208003350_BLK_1.jpg</t>
        </is>
      </c>
      <c r="J2539" t="inlineStr">
        <is>
          <t>NAUTICA_MENS_208003350_BLK_2.jpg</t>
        </is>
      </c>
      <c r="K2539" t="inlineStr">
        <is>
          <t>NAUTICA_MENS_208003350_BLK_3.jpg</t>
        </is>
      </c>
      <c r="L2539">
        <f>IMAGE("file:///E:/Estudios%20y%20certificaciones/ESTUDIOS%20DE%20PROGRAMMING/PROGRAMMING/PERSONAL/PYTHON/Image_Generator_API/imagenes/NAUTICA_MENS_208003350_BLK_1.jpg")</f>
        <v/>
      </c>
      <c r="M2539">
        <f>IMAGE("file:///E:/Estudios%20y%20certificaciones/ESTUDIOS%20DE%20PROGRAMMING/PROGRAMMING/PERSONAL/PYTHON/Image_Generator_API/imagenes/NAUTICA_MENS_208003350_BLK_2.jpg")</f>
        <v/>
      </c>
      <c r="N2539">
        <f>IMAGE("file:///E:/Estudios%20y%20certificaciones/ESTUDIOS%20DE%20PROGRAMMING/PROGRAMMING/PERSONAL/PYTHON/Image_Generator_API/imagenes/NAUTICA_MENS_208003350_BLK_3.jpg")</f>
        <v/>
      </c>
      <c r="O2539">
        <f>HYPERLINK("imagenes/NAUTICA_MENS_208003350_BLK_1.jpg","Ver imagen")</f>
        <v/>
      </c>
      <c r="P2539">
        <f>HYPERLINK("imagenes/NAUTICA_MENS_208003350_BLK_2.jpg","Ver imagen")</f>
        <v/>
      </c>
      <c r="Q2539">
        <f>HYPERLINK("imagenes/NAUTICA_MENS_208003350_BLK_3.jpg","Ver imagen")</f>
        <v/>
      </c>
    </row>
    <row r="2540">
      <c r="A2540" t="inlineStr">
        <is>
          <t>NAUTICA MENS</t>
        </is>
      </c>
      <c r="B2540" t="inlineStr">
        <is>
          <t>208003350</t>
        </is>
      </c>
      <c r="C2540" t="inlineStr">
        <is>
          <t>BOMBER JACKET</t>
        </is>
      </c>
      <c r="D2540" t="inlineStr">
        <is>
          <t>BLK</t>
        </is>
      </c>
      <c r="E2540" t="inlineStr">
        <is>
          <t>(en blanco)</t>
        </is>
      </c>
      <c r="F2540" t="inlineStr">
        <is>
          <t>(en blanco)</t>
        </is>
      </c>
      <c r="G2540" t="inlineStr">
        <is>
          <t>L</t>
        </is>
      </c>
      <c r="H2540" t="n">
        <v>6</v>
      </c>
      <c r="I2540" t="inlineStr">
        <is>
          <t>NAUTICA_MENS_208003350_BLK_1.jpg</t>
        </is>
      </c>
      <c r="J2540" t="inlineStr">
        <is>
          <t>NAUTICA_MENS_208003350_BLK_2.jpg</t>
        </is>
      </c>
      <c r="K2540" t="inlineStr">
        <is>
          <t>NAUTICA_MENS_208003350_BLK_3.jpg</t>
        </is>
      </c>
      <c r="L2540">
        <f>IMAGE("file:///E:/Estudios%20y%20certificaciones/ESTUDIOS%20DE%20PROGRAMMING/PROGRAMMING/PERSONAL/PYTHON/Image_Generator_API/imagenes/NAUTICA_MENS_208003350_BLK_1.jpg")</f>
        <v/>
      </c>
      <c r="M2540">
        <f>IMAGE("file:///E:/Estudios%20y%20certificaciones/ESTUDIOS%20DE%20PROGRAMMING/PROGRAMMING/PERSONAL/PYTHON/Image_Generator_API/imagenes/NAUTICA_MENS_208003350_BLK_2.jpg")</f>
        <v/>
      </c>
      <c r="N2540">
        <f>IMAGE("file:///E:/Estudios%20y%20certificaciones/ESTUDIOS%20DE%20PROGRAMMING/PROGRAMMING/PERSONAL/PYTHON/Image_Generator_API/imagenes/NAUTICA_MENS_208003350_BLK_3.jpg")</f>
        <v/>
      </c>
      <c r="O2540">
        <f>HYPERLINK("imagenes/NAUTICA_MENS_208003350_BLK_1.jpg","Ver imagen")</f>
        <v/>
      </c>
      <c r="P2540">
        <f>HYPERLINK("imagenes/NAUTICA_MENS_208003350_BLK_2.jpg","Ver imagen")</f>
        <v/>
      </c>
      <c r="Q2540">
        <f>HYPERLINK("imagenes/NAUTICA_MENS_208003350_BLK_3.jpg","Ver imagen")</f>
        <v/>
      </c>
    </row>
    <row r="2541">
      <c r="A2541" t="inlineStr">
        <is>
          <t>NAUTICA MENS</t>
        </is>
      </c>
      <c r="B2541" t="inlineStr">
        <is>
          <t>208003350</t>
        </is>
      </c>
      <c r="C2541" t="inlineStr">
        <is>
          <t>BOMBER JACKET</t>
        </is>
      </c>
      <c r="D2541" t="inlineStr">
        <is>
          <t>BLK</t>
        </is>
      </c>
      <c r="E2541" t="inlineStr">
        <is>
          <t>(en blanco)</t>
        </is>
      </c>
      <c r="F2541" t="inlineStr">
        <is>
          <t>(en blanco)</t>
        </is>
      </c>
      <c r="G2541" t="inlineStr">
        <is>
          <t>XL</t>
        </is>
      </c>
      <c r="H2541" t="n">
        <v>3</v>
      </c>
      <c r="I2541" t="inlineStr">
        <is>
          <t>NAUTICA_MENS_208003350_BLK_1.jpg</t>
        </is>
      </c>
      <c r="J2541" t="inlineStr">
        <is>
          <t>NAUTICA_MENS_208003350_BLK_2.jpg</t>
        </is>
      </c>
      <c r="K2541" t="inlineStr">
        <is>
          <t>NAUTICA_MENS_208003350_BLK_3.jpg</t>
        </is>
      </c>
      <c r="L2541">
        <f>IMAGE("file:///E:/Estudios%20y%20certificaciones/ESTUDIOS%20DE%20PROGRAMMING/PROGRAMMING/PERSONAL/PYTHON/Image_Generator_API/imagenes/NAUTICA_MENS_208003350_BLK_1.jpg")</f>
        <v/>
      </c>
      <c r="M2541">
        <f>IMAGE("file:///E:/Estudios%20y%20certificaciones/ESTUDIOS%20DE%20PROGRAMMING/PROGRAMMING/PERSONAL/PYTHON/Image_Generator_API/imagenes/NAUTICA_MENS_208003350_BLK_2.jpg")</f>
        <v/>
      </c>
      <c r="N2541">
        <f>IMAGE("file:///E:/Estudios%20y%20certificaciones/ESTUDIOS%20DE%20PROGRAMMING/PROGRAMMING/PERSONAL/PYTHON/Image_Generator_API/imagenes/NAUTICA_MENS_208003350_BLK_3.jpg")</f>
        <v/>
      </c>
      <c r="O2541">
        <f>HYPERLINK("imagenes/NAUTICA_MENS_208003350_BLK_1.jpg","Ver imagen")</f>
        <v/>
      </c>
      <c r="P2541">
        <f>HYPERLINK("imagenes/NAUTICA_MENS_208003350_BLK_2.jpg","Ver imagen")</f>
        <v/>
      </c>
      <c r="Q2541">
        <f>HYPERLINK("imagenes/NAUTICA_MENS_208003350_BLK_3.jpg","Ver imagen")</f>
        <v/>
      </c>
    </row>
    <row r="2542">
      <c r="A2542" t="inlineStr">
        <is>
          <t>NAUTICA MENS</t>
        </is>
      </c>
      <c r="B2542" t="inlineStr">
        <is>
          <t>208003350</t>
        </is>
      </c>
      <c r="C2542" t="inlineStr">
        <is>
          <t>BOMBER JACKET</t>
        </is>
      </c>
      <c r="D2542" t="inlineStr">
        <is>
          <t>BLK</t>
        </is>
      </c>
      <c r="E2542" t="inlineStr">
        <is>
          <t>(en blanco)</t>
        </is>
      </c>
      <c r="F2542" t="inlineStr">
        <is>
          <t>(en blanco)</t>
        </is>
      </c>
      <c r="G2542" t="inlineStr">
        <is>
          <t>XXL</t>
        </is>
      </c>
      <c r="H2542" t="n">
        <v>1</v>
      </c>
      <c r="I2542" t="inlineStr">
        <is>
          <t>NAUTICA_MENS_208003350_BLK_1.jpg</t>
        </is>
      </c>
      <c r="J2542" t="inlineStr">
        <is>
          <t>NAUTICA_MENS_208003350_BLK_2.jpg</t>
        </is>
      </c>
      <c r="K2542" t="inlineStr">
        <is>
          <t>NAUTICA_MENS_208003350_BLK_3.jpg</t>
        </is>
      </c>
      <c r="L2542">
        <f>IMAGE("file:///E:/Estudios%20y%20certificaciones/ESTUDIOS%20DE%20PROGRAMMING/PROGRAMMING/PERSONAL/PYTHON/Image_Generator_API/imagenes/NAUTICA_MENS_208003350_BLK_1.jpg")</f>
        <v/>
      </c>
      <c r="M2542">
        <f>IMAGE("file:///E:/Estudios%20y%20certificaciones/ESTUDIOS%20DE%20PROGRAMMING/PROGRAMMING/PERSONAL/PYTHON/Image_Generator_API/imagenes/NAUTICA_MENS_208003350_BLK_2.jpg")</f>
        <v/>
      </c>
      <c r="N2542">
        <f>IMAGE("file:///E:/Estudios%20y%20certificaciones/ESTUDIOS%20DE%20PROGRAMMING/PROGRAMMING/PERSONAL/PYTHON/Image_Generator_API/imagenes/NAUTICA_MENS_208003350_BLK_3.jpg")</f>
        <v/>
      </c>
      <c r="O2542">
        <f>HYPERLINK("imagenes/NAUTICA_MENS_208003350_BLK_1.jpg","Ver imagen")</f>
        <v/>
      </c>
      <c r="P2542">
        <f>HYPERLINK("imagenes/NAUTICA_MENS_208003350_BLK_2.jpg","Ver imagen")</f>
        <v/>
      </c>
      <c r="Q2542">
        <f>HYPERLINK("imagenes/NAUTICA_MENS_208003350_BLK_3.jpg","Ver imagen")</f>
        <v/>
      </c>
    </row>
    <row r="2543">
      <c r="A2543" t="inlineStr">
        <is>
          <t>NAUTICA MENS</t>
        </is>
      </c>
      <c r="B2543" t="inlineStr">
        <is>
          <t>208003350</t>
        </is>
      </c>
      <c r="C2543" t="inlineStr">
        <is>
          <t>BOMBER JACKET</t>
        </is>
      </c>
      <c r="D2543" t="inlineStr">
        <is>
          <t>NSS</t>
        </is>
      </c>
      <c r="E2543" t="inlineStr">
        <is>
          <t>(en blanco)</t>
        </is>
      </c>
      <c r="F2543" t="inlineStr">
        <is>
          <t>(en blanco)</t>
        </is>
      </c>
      <c r="G2543" t="inlineStr">
        <is>
          <t>S</t>
        </is>
      </c>
      <c r="H2543" t="n">
        <v>0</v>
      </c>
      <c r="I2543" t="inlineStr">
        <is>
          <t>NAUTICA_MENS_208003350_NSS_1.jpg</t>
        </is>
      </c>
      <c r="J2543" t="inlineStr">
        <is>
          <t>NAUTICA_MENS_208003350_NSS_2.jpg</t>
        </is>
      </c>
      <c r="K2543" t="inlineStr">
        <is>
          <t>NAUTICA_MENS_208003350_NSS_3.jpg</t>
        </is>
      </c>
      <c r="L2543">
        <f>IMAGE("file:///E:/Estudios%20y%20certificaciones/ESTUDIOS%20DE%20PROGRAMMING/PROGRAMMING/PERSONAL/PYTHON/Image_Generator_API/imagenes/NAUTICA_MENS_208003350_NSS_1.jpg")</f>
        <v/>
      </c>
      <c r="M2543">
        <f>IMAGE("file:///E:/Estudios%20y%20certificaciones/ESTUDIOS%20DE%20PROGRAMMING/PROGRAMMING/PERSONAL/PYTHON/Image_Generator_API/imagenes/NAUTICA_MENS_208003350_NSS_2.jpg")</f>
        <v/>
      </c>
      <c r="N2543">
        <f>IMAGE("file:///E:/Estudios%20y%20certificaciones/ESTUDIOS%20DE%20PROGRAMMING/PROGRAMMING/PERSONAL/PYTHON/Image_Generator_API/imagenes/NAUTICA_MENS_208003350_NSS_3.jpg")</f>
        <v/>
      </c>
      <c r="O2543">
        <f>HYPERLINK("imagenes/NAUTICA_MENS_208003350_NSS_1.jpg","Ver imagen")</f>
        <v/>
      </c>
      <c r="P2543">
        <f>HYPERLINK("imagenes/NAUTICA_MENS_208003350_NSS_2.jpg","Ver imagen")</f>
        <v/>
      </c>
      <c r="Q2543">
        <f>HYPERLINK("imagenes/NAUTICA_MENS_208003350_NSS_3.jpg","Ver imagen")</f>
        <v/>
      </c>
    </row>
    <row r="2544">
      <c r="A2544" t="inlineStr">
        <is>
          <t>NAUTICA MENS</t>
        </is>
      </c>
      <c r="B2544" t="inlineStr">
        <is>
          <t>208003350</t>
        </is>
      </c>
      <c r="C2544" t="inlineStr">
        <is>
          <t>BOMBER JACKET</t>
        </is>
      </c>
      <c r="D2544" t="inlineStr">
        <is>
          <t>NSS</t>
        </is>
      </c>
      <c r="E2544" t="inlineStr">
        <is>
          <t>(en blanco)</t>
        </is>
      </c>
      <c r="F2544" t="inlineStr">
        <is>
          <t>(en blanco)</t>
        </is>
      </c>
      <c r="G2544" t="inlineStr">
        <is>
          <t>M</t>
        </is>
      </c>
      <c r="H2544" t="n">
        <v>2</v>
      </c>
      <c r="I2544" t="inlineStr">
        <is>
          <t>NAUTICA_MENS_208003350_NSS_1.jpg</t>
        </is>
      </c>
      <c r="J2544" t="inlineStr">
        <is>
          <t>NAUTICA_MENS_208003350_NSS_2.jpg</t>
        </is>
      </c>
      <c r="K2544" t="inlineStr">
        <is>
          <t>NAUTICA_MENS_208003350_NSS_3.jpg</t>
        </is>
      </c>
      <c r="L2544">
        <f>IMAGE("file:///E:/Estudios%20y%20certificaciones/ESTUDIOS%20DE%20PROGRAMMING/PROGRAMMING/PERSONAL/PYTHON/Image_Generator_API/imagenes/NAUTICA_MENS_208003350_NSS_1.jpg")</f>
        <v/>
      </c>
      <c r="M2544">
        <f>IMAGE("file:///E:/Estudios%20y%20certificaciones/ESTUDIOS%20DE%20PROGRAMMING/PROGRAMMING/PERSONAL/PYTHON/Image_Generator_API/imagenes/NAUTICA_MENS_208003350_NSS_2.jpg")</f>
        <v/>
      </c>
      <c r="N2544">
        <f>IMAGE("file:///E:/Estudios%20y%20certificaciones/ESTUDIOS%20DE%20PROGRAMMING/PROGRAMMING/PERSONAL/PYTHON/Image_Generator_API/imagenes/NAUTICA_MENS_208003350_NSS_3.jpg")</f>
        <v/>
      </c>
      <c r="O2544">
        <f>HYPERLINK("imagenes/NAUTICA_MENS_208003350_NSS_1.jpg","Ver imagen")</f>
        <v/>
      </c>
      <c r="P2544">
        <f>HYPERLINK("imagenes/NAUTICA_MENS_208003350_NSS_2.jpg","Ver imagen")</f>
        <v/>
      </c>
      <c r="Q2544">
        <f>HYPERLINK("imagenes/NAUTICA_MENS_208003350_NSS_3.jpg","Ver imagen")</f>
        <v/>
      </c>
    </row>
    <row r="2545">
      <c r="A2545" t="inlineStr">
        <is>
          <t>NAUTICA MENS</t>
        </is>
      </c>
      <c r="B2545" t="inlineStr">
        <is>
          <t>208003350</t>
        </is>
      </c>
      <c r="C2545" t="inlineStr">
        <is>
          <t>BOMBER JACKET</t>
        </is>
      </c>
      <c r="D2545" t="inlineStr">
        <is>
          <t>NSS</t>
        </is>
      </c>
      <c r="E2545" t="inlineStr">
        <is>
          <t>(en blanco)</t>
        </is>
      </c>
      <c r="F2545" t="inlineStr">
        <is>
          <t>(en blanco)</t>
        </is>
      </c>
      <c r="G2545" t="inlineStr">
        <is>
          <t>L</t>
        </is>
      </c>
      <c r="H2545" t="n">
        <v>3</v>
      </c>
      <c r="I2545" t="inlineStr">
        <is>
          <t>NAUTICA_MENS_208003350_NSS_1.jpg</t>
        </is>
      </c>
      <c r="J2545" t="inlineStr">
        <is>
          <t>NAUTICA_MENS_208003350_NSS_2.jpg</t>
        </is>
      </c>
      <c r="K2545" t="inlineStr">
        <is>
          <t>NAUTICA_MENS_208003350_NSS_3.jpg</t>
        </is>
      </c>
      <c r="L2545">
        <f>IMAGE("file:///E:/Estudios%20y%20certificaciones/ESTUDIOS%20DE%20PROGRAMMING/PROGRAMMING/PERSONAL/PYTHON/Image_Generator_API/imagenes/NAUTICA_MENS_208003350_NSS_1.jpg")</f>
        <v/>
      </c>
      <c r="M2545">
        <f>IMAGE("file:///E:/Estudios%20y%20certificaciones/ESTUDIOS%20DE%20PROGRAMMING/PROGRAMMING/PERSONAL/PYTHON/Image_Generator_API/imagenes/NAUTICA_MENS_208003350_NSS_2.jpg")</f>
        <v/>
      </c>
      <c r="N2545">
        <f>IMAGE("file:///E:/Estudios%20y%20certificaciones/ESTUDIOS%20DE%20PROGRAMMING/PROGRAMMING/PERSONAL/PYTHON/Image_Generator_API/imagenes/NAUTICA_MENS_208003350_NSS_3.jpg")</f>
        <v/>
      </c>
      <c r="O2545">
        <f>HYPERLINK("imagenes/NAUTICA_MENS_208003350_NSS_1.jpg","Ver imagen")</f>
        <v/>
      </c>
      <c r="P2545">
        <f>HYPERLINK("imagenes/NAUTICA_MENS_208003350_NSS_2.jpg","Ver imagen")</f>
        <v/>
      </c>
      <c r="Q2545">
        <f>HYPERLINK("imagenes/NAUTICA_MENS_208003350_NSS_3.jpg","Ver imagen")</f>
        <v/>
      </c>
    </row>
    <row r="2546">
      <c r="A2546" t="inlineStr">
        <is>
          <t>NAUTICA MENS</t>
        </is>
      </c>
      <c r="B2546" t="inlineStr">
        <is>
          <t>208003350</t>
        </is>
      </c>
      <c r="C2546" t="inlineStr">
        <is>
          <t>BOMBER JACKET</t>
        </is>
      </c>
      <c r="D2546" t="inlineStr">
        <is>
          <t>NSS</t>
        </is>
      </c>
      <c r="E2546" t="inlineStr">
        <is>
          <t>(en blanco)</t>
        </is>
      </c>
      <c r="F2546" t="inlineStr">
        <is>
          <t>(en blanco)</t>
        </is>
      </c>
      <c r="G2546" t="inlineStr">
        <is>
          <t>XL</t>
        </is>
      </c>
      <c r="H2546" t="n">
        <v>2</v>
      </c>
      <c r="I2546" t="inlineStr">
        <is>
          <t>NAUTICA_MENS_208003350_NSS_1.jpg</t>
        </is>
      </c>
      <c r="J2546" t="inlineStr">
        <is>
          <t>NAUTICA_MENS_208003350_NSS_2.jpg</t>
        </is>
      </c>
      <c r="K2546" t="inlineStr">
        <is>
          <t>NAUTICA_MENS_208003350_NSS_3.jpg</t>
        </is>
      </c>
      <c r="L2546">
        <f>IMAGE("file:///E:/Estudios%20y%20certificaciones/ESTUDIOS%20DE%20PROGRAMMING/PROGRAMMING/PERSONAL/PYTHON/Image_Generator_API/imagenes/NAUTICA_MENS_208003350_NSS_1.jpg")</f>
        <v/>
      </c>
      <c r="M2546">
        <f>IMAGE("file:///E:/Estudios%20y%20certificaciones/ESTUDIOS%20DE%20PROGRAMMING/PROGRAMMING/PERSONAL/PYTHON/Image_Generator_API/imagenes/NAUTICA_MENS_208003350_NSS_2.jpg")</f>
        <v/>
      </c>
      <c r="N2546">
        <f>IMAGE("file:///E:/Estudios%20y%20certificaciones/ESTUDIOS%20DE%20PROGRAMMING/PROGRAMMING/PERSONAL/PYTHON/Image_Generator_API/imagenes/NAUTICA_MENS_208003350_NSS_3.jpg")</f>
        <v/>
      </c>
      <c r="O2546">
        <f>HYPERLINK("imagenes/NAUTICA_MENS_208003350_NSS_1.jpg","Ver imagen")</f>
        <v/>
      </c>
      <c r="P2546">
        <f>HYPERLINK("imagenes/NAUTICA_MENS_208003350_NSS_2.jpg","Ver imagen")</f>
        <v/>
      </c>
      <c r="Q2546">
        <f>HYPERLINK("imagenes/NAUTICA_MENS_208003350_NSS_3.jpg","Ver imagen")</f>
        <v/>
      </c>
    </row>
    <row r="2547">
      <c r="A2547" t="inlineStr">
        <is>
          <t>NAUTICA MENS</t>
        </is>
      </c>
      <c r="B2547" t="inlineStr">
        <is>
          <t>208003350</t>
        </is>
      </c>
      <c r="C2547" t="inlineStr">
        <is>
          <t>BOMBER JACKET</t>
        </is>
      </c>
      <c r="D2547" t="inlineStr">
        <is>
          <t>NSS</t>
        </is>
      </c>
      <c r="E2547" t="inlineStr">
        <is>
          <t>(en blanco)</t>
        </is>
      </c>
      <c r="F2547" t="inlineStr">
        <is>
          <t>(en blanco)</t>
        </is>
      </c>
      <c r="G2547" t="inlineStr">
        <is>
          <t>XXL</t>
        </is>
      </c>
      <c r="H2547" t="n">
        <v>3</v>
      </c>
      <c r="I2547" t="inlineStr">
        <is>
          <t>NAUTICA_MENS_208003350_NSS_1.jpg</t>
        </is>
      </c>
      <c r="J2547" t="inlineStr">
        <is>
          <t>NAUTICA_MENS_208003350_NSS_2.jpg</t>
        </is>
      </c>
      <c r="K2547" t="inlineStr">
        <is>
          <t>NAUTICA_MENS_208003350_NSS_3.jpg</t>
        </is>
      </c>
      <c r="L2547">
        <f>IMAGE("file:///E:/Estudios%20y%20certificaciones/ESTUDIOS%20DE%20PROGRAMMING/PROGRAMMING/PERSONAL/PYTHON/Image_Generator_API/imagenes/NAUTICA_MENS_208003350_NSS_1.jpg")</f>
        <v/>
      </c>
      <c r="M2547">
        <f>IMAGE("file:///E:/Estudios%20y%20certificaciones/ESTUDIOS%20DE%20PROGRAMMING/PROGRAMMING/PERSONAL/PYTHON/Image_Generator_API/imagenes/NAUTICA_MENS_208003350_NSS_2.jpg")</f>
        <v/>
      </c>
      <c r="N2547">
        <f>IMAGE("file:///E:/Estudios%20y%20certificaciones/ESTUDIOS%20DE%20PROGRAMMING/PROGRAMMING/PERSONAL/PYTHON/Image_Generator_API/imagenes/NAUTICA_MENS_208003350_NSS_3.jpg")</f>
        <v/>
      </c>
      <c r="O2547">
        <f>HYPERLINK("imagenes/NAUTICA_MENS_208003350_NSS_1.jpg","Ver imagen")</f>
        <v/>
      </c>
      <c r="P2547">
        <f>HYPERLINK("imagenes/NAUTICA_MENS_208003350_NSS_2.jpg","Ver imagen")</f>
        <v/>
      </c>
      <c r="Q2547">
        <f>HYPERLINK("imagenes/NAUTICA_MENS_208003350_NSS_3.jpg","Ver imagen")</f>
        <v/>
      </c>
    </row>
    <row r="2548">
      <c r="A2548" t="inlineStr">
        <is>
          <t>NAUTICA MENS</t>
        </is>
      </c>
      <c r="B2548" t="inlineStr">
        <is>
          <t>208003351</t>
        </is>
      </c>
      <c r="C2548" t="inlineStr">
        <is>
          <t>LIGHT WEIGHT FLIGHT BOMBER JACKET</t>
        </is>
      </c>
      <c r="D2548" t="inlineStr">
        <is>
          <t>BLK</t>
        </is>
      </c>
      <c r="E2548" t="inlineStr">
        <is>
          <t>(en blanco)</t>
        </is>
      </c>
      <c r="F2548" t="inlineStr">
        <is>
          <t>(en blanco)</t>
        </is>
      </c>
      <c r="G2548" t="inlineStr">
        <is>
          <t>S</t>
        </is>
      </c>
      <c r="H2548" t="n">
        <v>7</v>
      </c>
      <c r="I2548" t="inlineStr">
        <is>
          <t>NAUTICA_MENS_208003351_BLK_1.jpg</t>
        </is>
      </c>
      <c r="J2548" t="inlineStr">
        <is>
          <t>NAUTICA_MENS_208003351_BLK_2.jpg</t>
        </is>
      </c>
      <c r="K2548" t="inlineStr">
        <is>
          <t>NAUTICA_MENS_208003351_BLK_3.jpg</t>
        </is>
      </c>
      <c r="L2548">
        <f>IMAGE("file:///E:/Estudios%20y%20certificaciones/ESTUDIOS%20DE%20PROGRAMMING/PROGRAMMING/PERSONAL/PYTHON/Image_Generator_API/imagenes/NAUTICA_MENS_208003351_BLK_1.jpg")</f>
        <v/>
      </c>
      <c r="M2548">
        <f>IMAGE("file:///E:/Estudios%20y%20certificaciones/ESTUDIOS%20DE%20PROGRAMMING/PROGRAMMING/PERSONAL/PYTHON/Image_Generator_API/imagenes/NAUTICA_MENS_208003351_BLK_2.jpg")</f>
        <v/>
      </c>
      <c r="N2548">
        <f>IMAGE("file:///E:/Estudios%20y%20certificaciones/ESTUDIOS%20DE%20PROGRAMMING/PROGRAMMING/PERSONAL/PYTHON/Image_Generator_API/imagenes/NAUTICA_MENS_208003351_BLK_3.jpg")</f>
        <v/>
      </c>
      <c r="O2548">
        <f>HYPERLINK("imagenes/NAUTICA_MENS_208003351_BLK_1.jpg","Ver imagen")</f>
        <v/>
      </c>
      <c r="P2548">
        <f>HYPERLINK("imagenes/NAUTICA_MENS_208003351_BLK_2.jpg","Ver imagen")</f>
        <v/>
      </c>
      <c r="Q2548">
        <f>HYPERLINK("imagenes/NAUTICA_MENS_208003351_BLK_3.jpg","Ver imagen")</f>
        <v/>
      </c>
    </row>
    <row r="2549">
      <c r="A2549" t="inlineStr">
        <is>
          <t>NAUTICA MENS</t>
        </is>
      </c>
      <c r="B2549" t="inlineStr">
        <is>
          <t>208003351</t>
        </is>
      </c>
      <c r="C2549" t="inlineStr">
        <is>
          <t>LIGHT WEIGHT FLIGHT BOMBER JACKET</t>
        </is>
      </c>
      <c r="D2549" t="inlineStr">
        <is>
          <t>BLK</t>
        </is>
      </c>
      <c r="E2549" t="inlineStr">
        <is>
          <t>(en blanco)</t>
        </is>
      </c>
      <c r="F2549" t="inlineStr">
        <is>
          <t>(en blanco)</t>
        </is>
      </c>
      <c r="G2549" t="inlineStr">
        <is>
          <t>M</t>
        </is>
      </c>
      <c r="H2549" t="n">
        <v>2</v>
      </c>
      <c r="I2549" t="inlineStr">
        <is>
          <t>NAUTICA_MENS_208003351_BLK_1.jpg</t>
        </is>
      </c>
      <c r="J2549" t="inlineStr">
        <is>
          <t>NAUTICA_MENS_208003351_BLK_2.jpg</t>
        </is>
      </c>
      <c r="K2549" t="inlineStr">
        <is>
          <t>NAUTICA_MENS_208003351_BLK_3.jpg</t>
        </is>
      </c>
      <c r="L2549">
        <f>IMAGE("file:///E:/Estudios%20y%20certificaciones/ESTUDIOS%20DE%20PROGRAMMING/PROGRAMMING/PERSONAL/PYTHON/Image_Generator_API/imagenes/NAUTICA_MENS_208003351_BLK_1.jpg")</f>
        <v/>
      </c>
      <c r="M2549">
        <f>IMAGE("file:///E:/Estudios%20y%20certificaciones/ESTUDIOS%20DE%20PROGRAMMING/PROGRAMMING/PERSONAL/PYTHON/Image_Generator_API/imagenes/NAUTICA_MENS_208003351_BLK_2.jpg")</f>
        <v/>
      </c>
      <c r="N2549">
        <f>IMAGE("file:///E:/Estudios%20y%20certificaciones/ESTUDIOS%20DE%20PROGRAMMING/PROGRAMMING/PERSONAL/PYTHON/Image_Generator_API/imagenes/NAUTICA_MENS_208003351_BLK_3.jpg")</f>
        <v/>
      </c>
      <c r="O2549">
        <f>HYPERLINK("imagenes/NAUTICA_MENS_208003351_BLK_1.jpg","Ver imagen")</f>
        <v/>
      </c>
      <c r="P2549">
        <f>HYPERLINK("imagenes/NAUTICA_MENS_208003351_BLK_2.jpg","Ver imagen")</f>
        <v/>
      </c>
      <c r="Q2549">
        <f>HYPERLINK("imagenes/NAUTICA_MENS_208003351_BLK_3.jpg","Ver imagen")</f>
        <v/>
      </c>
    </row>
    <row r="2550">
      <c r="A2550" t="inlineStr">
        <is>
          <t>NAUTICA MENS</t>
        </is>
      </c>
      <c r="B2550" t="inlineStr">
        <is>
          <t>208003351</t>
        </is>
      </c>
      <c r="C2550" t="inlineStr">
        <is>
          <t>LIGHT WEIGHT FLIGHT BOMBER JACKET</t>
        </is>
      </c>
      <c r="D2550" t="inlineStr">
        <is>
          <t>BLK</t>
        </is>
      </c>
      <c r="E2550" t="inlineStr">
        <is>
          <t>(en blanco)</t>
        </is>
      </c>
      <c r="F2550" t="inlineStr">
        <is>
          <t>(en blanco)</t>
        </is>
      </c>
      <c r="G2550" t="inlineStr">
        <is>
          <t>L</t>
        </is>
      </c>
      <c r="H2550" t="n">
        <v>5</v>
      </c>
      <c r="I2550" t="inlineStr">
        <is>
          <t>NAUTICA_MENS_208003351_BLK_1.jpg</t>
        </is>
      </c>
      <c r="J2550" t="inlineStr">
        <is>
          <t>NAUTICA_MENS_208003351_BLK_2.jpg</t>
        </is>
      </c>
      <c r="K2550" t="inlineStr">
        <is>
          <t>NAUTICA_MENS_208003351_BLK_3.jpg</t>
        </is>
      </c>
      <c r="L2550">
        <f>IMAGE("file:///E:/Estudios%20y%20certificaciones/ESTUDIOS%20DE%20PROGRAMMING/PROGRAMMING/PERSONAL/PYTHON/Image_Generator_API/imagenes/NAUTICA_MENS_208003351_BLK_1.jpg")</f>
        <v/>
      </c>
      <c r="M2550">
        <f>IMAGE("file:///E:/Estudios%20y%20certificaciones/ESTUDIOS%20DE%20PROGRAMMING/PROGRAMMING/PERSONAL/PYTHON/Image_Generator_API/imagenes/NAUTICA_MENS_208003351_BLK_2.jpg")</f>
        <v/>
      </c>
      <c r="N2550">
        <f>IMAGE("file:///E:/Estudios%20y%20certificaciones/ESTUDIOS%20DE%20PROGRAMMING/PROGRAMMING/PERSONAL/PYTHON/Image_Generator_API/imagenes/NAUTICA_MENS_208003351_BLK_3.jpg")</f>
        <v/>
      </c>
      <c r="O2550">
        <f>HYPERLINK("imagenes/NAUTICA_MENS_208003351_BLK_1.jpg","Ver imagen")</f>
        <v/>
      </c>
      <c r="P2550">
        <f>HYPERLINK("imagenes/NAUTICA_MENS_208003351_BLK_2.jpg","Ver imagen")</f>
        <v/>
      </c>
      <c r="Q2550">
        <f>HYPERLINK("imagenes/NAUTICA_MENS_208003351_BLK_3.jpg","Ver imagen")</f>
        <v/>
      </c>
    </row>
    <row r="2551">
      <c r="A2551" t="inlineStr">
        <is>
          <t>NAUTICA MENS</t>
        </is>
      </c>
      <c r="B2551" t="inlineStr">
        <is>
          <t>208003351</t>
        </is>
      </c>
      <c r="C2551" t="inlineStr">
        <is>
          <t>LIGHT WEIGHT FLIGHT BOMBER JACKET</t>
        </is>
      </c>
      <c r="D2551" t="inlineStr">
        <is>
          <t>BLK</t>
        </is>
      </c>
      <c r="E2551" t="inlineStr">
        <is>
          <t>(en blanco)</t>
        </is>
      </c>
      <c r="F2551" t="inlineStr">
        <is>
          <t>(en blanco)</t>
        </is>
      </c>
      <c r="G2551" t="inlineStr">
        <is>
          <t>XL</t>
        </is>
      </c>
      <c r="H2551" t="n">
        <v>5</v>
      </c>
      <c r="I2551" t="inlineStr">
        <is>
          <t>NAUTICA_MENS_208003351_BLK_1.jpg</t>
        </is>
      </c>
      <c r="J2551" t="inlineStr">
        <is>
          <t>NAUTICA_MENS_208003351_BLK_2.jpg</t>
        </is>
      </c>
      <c r="K2551" t="inlineStr">
        <is>
          <t>NAUTICA_MENS_208003351_BLK_3.jpg</t>
        </is>
      </c>
      <c r="L2551">
        <f>IMAGE("file:///E:/Estudios%20y%20certificaciones/ESTUDIOS%20DE%20PROGRAMMING/PROGRAMMING/PERSONAL/PYTHON/Image_Generator_API/imagenes/NAUTICA_MENS_208003351_BLK_1.jpg")</f>
        <v/>
      </c>
      <c r="M2551">
        <f>IMAGE("file:///E:/Estudios%20y%20certificaciones/ESTUDIOS%20DE%20PROGRAMMING/PROGRAMMING/PERSONAL/PYTHON/Image_Generator_API/imagenes/NAUTICA_MENS_208003351_BLK_2.jpg")</f>
        <v/>
      </c>
      <c r="N2551">
        <f>IMAGE("file:///E:/Estudios%20y%20certificaciones/ESTUDIOS%20DE%20PROGRAMMING/PROGRAMMING/PERSONAL/PYTHON/Image_Generator_API/imagenes/NAUTICA_MENS_208003351_BLK_3.jpg")</f>
        <v/>
      </c>
      <c r="O2551">
        <f>HYPERLINK("imagenes/NAUTICA_MENS_208003351_BLK_1.jpg","Ver imagen")</f>
        <v/>
      </c>
      <c r="P2551">
        <f>HYPERLINK("imagenes/NAUTICA_MENS_208003351_BLK_2.jpg","Ver imagen")</f>
        <v/>
      </c>
      <c r="Q2551">
        <f>HYPERLINK("imagenes/NAUTICA_MENS_208003351_BLK_3.jpg","Ver imagen")</f>
        <v/>
      </c>
    </row>
    <row r="2552">
      <c r="A2552" t="inlineStr">
        <is>
          <t>NAUTICA MENS</t>
        </is>
      </c>
      <c r="B2552" t="inlineStr">
        <is>
          <t>208003351</t>
        </is>
      </c>
      <c r="C2552" t="inlineStr">
        <is>
          <t>LIGHT WEIGHT FLIGHT BOMBER JACKET</t>
        </is>
      </c>
      <c r="D2552" t="inlineStr">
        <is>
          <t>BLK</t>
        </is>
      </c>
      <c r="E2552" t="inlineStr">
        <is>
          <t>(en blanco)</t>
        </is>
      </c>
      <c r="F2552" t="inlineStr">
        <is>
          <t>(en blanco)</t>
        </is>
      </c>
      <c r="G2552" t="inlineStr">
        <is>
          <t>XXL</t>
        </is>
      </c>
      <c r="H2552" t="n">
        <v>3</v>
      </c>
      <c r="I2552" t="inlineStr">
        <is>
          <t>NAUTICA_MENS_208003351_BLK_1.jpg</t>
        </is>
      </c>
      <c r="J2552" t="inlineStr">
        <is>
          <t>NAUTICA_MENS_208003351_BLK_2.jpg</t>
        </is>
      </c>
      <c r="K2552" t="inlineStr">
        <is>
          <t>NAUTICA_MENS_208003351_BLK_3.jpg</t>
        </is>
      </c>
      <c r="L2552">
        <f>IMAGE("file:///E:/Estudios%20y%20certificaciones/ESTUDIOS%20DE%20PROGRAMMING/PROGRAMMING/PERSONAL/PYTHON/Image_Generator_API/imagenes/NAUTICA_MENS_208003351_BLK_1.jpg")</f>
        <v/>
      </c>
      <c r="M2552">
        <f>IMAGE("file:///E:/Estudios%20y%20certificaciones/ESTUDIOS%20DE%20PROGRAMMING/PROGRAMMING/PERSONAL/PYTHON/Image_Generator_API/imagenes/NAUTICA_MENS_208003351_BLK_2.jpg")</f>
        <v/>
      </c>
      <c r="N2552">
        <f>IMAGE("file:///E:/Estudios%20y%20certificaciones/ESTUDIOS%20DE%20PROGRAMMING/PROGRAMMING/PERSONAL/PYTHON/Image_Generator_API/imagenes/NAUTICA_MENS_208003351_BLK_3.jpg")</f>
        <v/>
      </c>
      <c r="O2552">
        <f>HYPERLINK("imagenes/NAUTICA_MENS_208003351_BLK_1.jpg","Ver imagen")</f>
        <v/>
      </c>
      <c r="P2552">
        <f>HYPERLINK("imagenes/NAUTICA_MENS_208003351_BLK_2.jpg","Ver imagen")</f>
        <v/>
      </c>
      <c r="Q2552">
        <f>HYPERLINK("imagenes/NAUTICA_MENS_208003351_BLK_3.jpg","Ver imagen")</f>
        <v/>
      </c>
    </row>
    <row r="2553">
      <c r="A2553" t="inlineStr">
        <is>
          <t>NAUTICA MENS</t>
        </is>
      </c>
      <c r="B2553" t="inlineStr">
        <is>
          <t>208003351</t>
        </is>
      </c>
      <c r="C2553" t="inlineStr">
        <is>
          <t>LIGHT WEIGHT FLIGHT BOMBER JACKET</t>
        </is>
      </c>
      <c r="D2553" t="inlineStr">
        <is>
          <t>NSS</t>
        </is>
      </c>
      <c r="E2553" t="inlineStr">
        <is>
          <t>(en blanco)</t>
        </is>
      </c>
      <c r="F2553" t="inlineStr">
        <is>
          <t>(en blanco)</t>
        </is>
      </c>
      <c r="G2553" t="inlineStr">
        <is>
          <t>S</t>
        </is>
      </c>
      <c r="H2553" t="n">
        <v>7</v>
      </c>
      <c r="I2553" t="inlineStr">
        <is>
          <t>NAUTICA_MENS_208003351_NSS_1.jpg</t>
        </is>
      </c>
      <c r="J2553" t="inlineStr">
        <is>
          <t>NAUTICA_MENS_208003351_NSS_2.jpg</t>
        </is>
      </c>
      <c r="K2553" t="inlineStr">
        <is>
          <t>NAUTICA_MENS_208003351_NSS_3.jpg</t>
        </is>
      </c>
      <c r="L2553">
        <f>IMAGE("file:///E:/Estudios%20y%20certificaciones/ESTUDIOS%20DE%20PROGRAMMING/PROGRAMMING/PERSONAL/PYTHON/Image_Generator_API/imagenes/NAUTICA_MENS_208003351_NSS_1.jpg")</f>
        <v/>
      </c>
      <c r="M2553">
        <f>IMAGE("file:///E:/Estudios%20y%20certificaciones/ESTUDIOS%20DE%20PROGRAMMING/PROGRAMMING/PERSONAL/PYTHON/Image_Generator_API/imagenes/NAUTICA_MENS_208003351_NSS_2.jpg")</f>
        <v/>
      </c>
      <c r="N2553">
        <f>IMAGE("file:///E:/Estudios%20y%20certificaciones/ESTUDIOS%20DE%20PROGRAMMING/PROGRAMMING/PERSONAL/PYTHON/Image_Generator_API/imagenes/NAUTICA_MENS_208003351_NSS_3.jpg")</f>
        <v/>
      </c>
      <c r="O2553">
        <f>HYPERLINK("imagenes/NAUTICA_MENS_208003351_NSS_1.jpg","Ver imagen")</f>
        <v/>
      </c>
      <c r="P2553">
        <f>HYPERLINK("imagenes/NAUTICA_MENS_208003351_NSS_2.jpg","Ver imagen")</f>
        <v/>
      </c>
      <c r="Q2553">
        <f>HYPERLINK("imagenes/NAUTICA_MENS_208003351_NSS_3.jpg","Ver imagen")</f>
        <v/>
      </c>
    </row>
    <row r="2554">
      <c r="A2554" t="inlineStr">
        <is>
          <t>NAUTICA MENS</t>
        </is>
      </c>
      <c r="B2554" t="inlineStr">
        <is>
          <t>208003351</t>
        </is>
      </c>
      <c r="C2554" t="inlineStr">
        <is>
          <t>LIGHT WEIGHT FLIGHT BOMBER JACKET</t>
        </is>
      </c>
      <c r="D2554" t="inlineStr">
        <is>
          <t>NSS</t>
        </is>
      </c>
      <c r="E2554" t="inlineStr">
        <is>
          <t>(en blanco)</t>
        </is>
      </c>
      <c r="F2554" t="inlineStr">
        <is>
          <t>(en blanco)</t>
        </is>
      </c>
      <c r="G2554" t="inlineStr">
        <is>
          <t>M</t>
        </is>
      </c>
      <c r="H2554" t="n">
        <v>8</v>
      </c>
      <c r="I2554" t="inlineStr">
        <is>
          <t>NAUTICA_MENS_208003351_NSS_1.jpg</t>
        </is>
      </c>
      <c r="J2554" t="inlineStr">
        <is>
          <t>NAUTICA_MENS_208003351_NSS_2.jpg</t>
        </is>
      </c>
      <c r="K2554" t="inlineStr">
        <is>
          <t>NAUTICA_MENS_208003351_NSS_3.jpg</t>
        </is>
      </c>
      <c r="L2554">
        <f>IMAGE("file:///E:/Estudios%20y%20certificaciones/ESTUDIOS%20DE%20PROGRAMMING/PROGRAMMING/PERSONAL/PYTHON/Image_Generator_API/imagenes/NAUTICA_MENS_208003351_NSS_1.jpg")</f>
        <v/>
      </c>
      <c r="M2554">
        <f>IMAGE("file:///E:/Estudios%20y%20certificaciones/ESTUDIOS%20DE%20PROGRAMMING/PROGRAMMING/PERSONAL/PYTHON/Image_Generator_API/imagenes/NAUTICA_MENS_208003351_NSS_2.jpg")</f>
        <v/>
      </c>
      <c r="N2554">
        <f>IMAGE("file:///E:/Estudios%20y%20certificaciones/ESTUDIOS%20DE%20PROGRAMMING/PROGRAMMING/PERSONAL/PYTHON/Image_Generator_API/imagenes/NAUTICA_MENS_208003351_NSS_3.jpg")</f>
        <v/>
      </c>
      <c r="O2554">
        <f>HYPERLINK("imagenes/NAUTICA_MENS_208003351_NSS_1.jpg","Ver imagen")</f>
        <v/>
      </c>
      <c r="P2554">
        <f>HYPERLINK("imagenes/NAUTICA_MENS_208003351_NSS_2.jpg","Ver imagen")</f>
        <v/>
      </c>
      <c r="Q2554">
        <f>HYPERLINK("imagenes/NAUTICA_MENS_208003351_NSS_3.jpg","Ver imagen")</f>
        <v/>
      </c>
    </row>
    <row r="2555">
      <c r="A2555" t="inlineStr">
        <is>
          <t>NAUTICA MENS</t>
        </is>
      </c>
      <c r="B2555" t="inlineStr">
        <is>
          <t>208003351</t>
        </is>
      </c>
      <c r="C2555" t="inlineStr">
        <is>
          <t>LIGHT WEIGHT FLIGHT BOMBER JACKET</t>
        </is>
      </c>
      <c r="D2555" t="inlineStr">
        <is>
          <t>NSS</t>
        </is>
      </c>
      <c r="E2555" t="inlineStr">
        <is>
          <t>(en blanco)</t>
        </is>
      </c>
      <c r="F2555" t="inlineStr">
        <is>
          <t>(en blanco)</t>
        </is>
      </c>
      <c r="G2555" t="inlineStr">
        <is>
          <t>L</t>
        </is>
      </c>
      <c r="H2555" t="n">
        <v>9</v>
      </c>
      <c r="I2555" t="inlineStr">
        <is>
          <t>NAUTICA_MENS_208003351_NSS_1.jpg</t>
        </is>
      </c>
      <c r="J2555" t="inlineStr">
        <is>
          <t>NAUTICA_MENS_208003351_NSS_2.jpg</t>
        </is>
      </c>
      <c r="K2555" t="inlineStr">
        <is>
          <t>NAUTICA_MENS_208003351_NSS_3.jpg</t>
        </is>
      </c>
      <c r="L2555">
        <f>IMAGE("file:///E:/Estudios%20y%20certificaciones/ESTUDIOS%20DE%20PROGRAMMING/PROGRAMMING/PERSONAL/PYTHON/Image_Generator_API/imagenes/NAUTICA_MENS_208003351_NSS_1.jpg")</f>
        <v/>
      </c>
      <c r="M2555">
        <f>IMAGE("file:///E:/Estudios%20y%20certificaciones/ESTUDIOS%20DE%20PROGRAMMING/PROGRAMMING/PERSONAL/PYTHON/Image_Generator_API/imagenes/NAUTICA_MENS_208003351_NSS_2.jpg")</f>
        <v/>
      </c>
      <c r="N2555">
        <f>IMAGE("file:///E:/Estudios%20y%20certificaciones/ESTUDIOS%20DE%20PROGRAMMING/PROGRAMMING/PERSONAL/PYTHON/Image_Generator_API/imagenes/NAUTICA_MENS_208003351_NSS_3.jpg")</f>
        <v/>
      </c>
      <c r="O2555">
        <f>HYPERLINK("imagenes/NAUTICA_MENS_208003351_NSS_1.jpg","Ver imagen")</f>
        <v/>
      </c>
      <c r="P2555">
        <f>HYPERLINK("imagenes/NAUTICA_MENS_208003351_NSS_2.jpg","Ver imagen")</f>
        <v/>
      </c>
      <c r="Q2555">
        <f>HYPERLINK("imagenes/NAUTICA_MENS_208003351_NSS_3.jpg","Ver imagen")</f>
        <v/>
      </c>
    </row>
    <row r="2556">
      <c r="A2556" t="inlineStr">
        <is>
          <t>NAUTICA MENS</t>
        </is>
      </c>
      <c r="B2556" t="inlineStr">
        <is>
          <t>208003351</t>
        </is>
      </c>
      <c r="C2556" t="inlineStr">
        <is>
          <t>LIGHT WEIGHT FLIGHT BOMBER JACKET</t>
        </is>
      </c>
      <c r="D2556" t="inlineStr">
        <is>
          <t>NSS</t>
        </is>
      </c>
      <c r="E2556" t="inlineStr">
        <is>
          <t>(en blanco)</t>
        </is>
      </c>
      <c r="F2556" t="inlineStr">
        <is>
          <t>(en blanco)</t>
        </is>
      </c>
      <c r="G2556" t="inlineStr">
        <is>
          <t>XL</t>
        </is>
      </c>
      <c r="H2556" t="n">
        <v>5</v>
      </c>
      <c r="I2556" t="inlineStr">
        <is>
          <t>NAUTICA_MENS_208003351_NSS_1.jpg</t>
        </is>
      </c>
      <c r="J2556" t="inlineStr">
        <is>
          <t>NAUTICA_MENS_208003351_NSS_2.jpg</t>
        </is>
      </c>
      <c r="K2556" t="inlineStr">
        <is>
          <t>NAUTICA_MENS_208003351_NSS_3.jpg</t>
        </is>
      </c>
      <c r="L2556">
        <f>IMAGE("file:///E:/Estudios%20y%20certificaciones/ESTUDIOS%20DE%20PROGRAMMING/PROGRAMMING/PERSONAL/PYTHON/Image_Generator_API/imagenes/NAUTICA_MENS_208003351_NSS_1.jpg")</f>
        <v/>
      </c>
      <c r="M2556">
        <f>IMAGE("file:///E:/Estudios%20y%20certificaciones/ESTUDIOS%20DE%20PROGRAMMING/PROGRAMMING/PERSONAL/PYTHON/Image_Generator_API/imagenes/NAUTICA_MENS_208003351_NSS_2.jpg")</f>
        <v/>
      </c>
      <c r="N2556">
        <f>IMAGE("file:///E:/Estudios%20y%20certificaciones/ESTUDIOS%20DE%20PROGRAMMING/PROGRAMMING/PERSONAL/PYTHON/Image_Generator_API/imagenes/NAUTICA_MENS_208003351_NSS_3.jpg")</f>
        <v/>
      </c>
      <c r="O2556">
        <f>HYPERLINK("imagenes/NAUTICA_MENS_208003351_NSS_1.jpg","Ver imagen")</f>
        <v/>
      </c>
      <c r="P2556">
        <f>HYPERLINK("imagenes/NAUTICA_MENS_208003351_NSS_2.jpg","Ver imagen")</f>
        <v/>
      </c>
      <c r="Q2556">
        <f>HYPERLINK("imagenes/NAUTICA_MENS_208003351_NSS_3.jpg","Ver imagen")</f>
        <v/>
      </c>
    </row>
    <row r="2557">
      <c r="A2557" t="inlineStr">
        <is>
          <t>NAUTICA MENS</t>
        </is>
      </c>
      <c r="B2557" t="inlineStr">
        <is>
          <t>208003351</t>
        </is>
      </c>
      <c r="C2557" t="inlineStr">
        <is>
          <t>LIGHT WEIGHT FLIGHT BOMBER JACKET</t>
        </is>
      </c>
      <c r="D2557" t="inlineStr">
        <is>
          <t>NSS</t>
        </is>
      </c>
      <c r="E2557" t="inlineStr">
        <is>
          <t>(en blanco)</t>
        </is>
      </c>
      <c r="F2557" t="inlineStr">
        <is>
          <t>(en blanco)</t>
        </is>
      </c>
      <c r="G2557" t="inlineStr">
        <is>
          <t>XXL</t>
        </is>
      </c>
      <c r="H2557" t="n">
        <v>4</v>
      </c>
      <c r="I2557" t="inlineStr">
        <is>
          <t>NAUTICA_MENS_208003351_NSS_1.jpg</t>
        </is>
      </c>
      <c r="J2557" t="inlineStr">
        <is>
          <t>NAUTICA_MENS_208003351_NSS_2.jpg</t>
        </is>
      </c>
      <c r="K2557" t="inlineStr">
        <is>
          <t>NAUTICA_MENS_208003351_NSS_3.jpg</t>
        </is>
      </c>
      <c r="L2557">
        <f>IMAGE("file:///E:/Estudios%20y%20certificaciones/ESTUDIOS%20DE%20PROGRAMMING/PROGRAMMING/PERSONAL/PYTHON/Image_Generator_API/imagenes/NAUTICA_MENS_208003351_NSS_1.jpg")</f>
        <v/>
      </c>
      <c r="M2557">
        <f>IMAGE("file:///E:/Estudios%20y%20certificaciones/ESTUDIOS%20DE%20PROGRAMMING/PROGRAMMING/PERSONAL/PYTHON/Image_Generator_API/imagenes/NAUTICA_MENS_208003351_NSS_2.jpg")</f>
        <v/>
      </c>
      <c r="N2557">
        <f>IMAGE("file:///E:/Estudios%20y%20certificaciones/ESTUDIOS%20DE%20PROGRAMMING/PROGRAMMING/PERSONAL/PYTHON/Image_Generator_API/imagenes/NAUTICA_MENS_208003351_NSS_3.jpg")</f>
        <v/>
      </c>
      <c r="O2557">
        <f>HYPERLINK("imagenes/NAUTICA_MENS_208003351_NSS_1.jpg","Ver imagen")</f>
        <v/>
      </c>
      <c r="P2557">
        <f>HYPERLINK("imagenes/NAUTICA_MENS_208003351_NSS_2.jpg","Ver imagen")</f>
        <v/>
      </c>
      <c r="Q2557">
        <f>HYPERLINK("imagenes/NAUTICA_MENS_208003351_NSS_3.jpg","Ver imagen")</f>
        <v/>
      </c>
    </row>
    <row r="2558">
      <c r="A2558" t="inlineStr">
        <is>
          <t>NAUTICA MENS</t>
        </is>
      </c>
      <c r="B2558" t="inlineStr">
        <is>
          <t>208003351</t>
        </is>
      </c>
      <c r="C2558" t="inlineStr">
        <is>
          <t>LIGHT WEIGHT FLIGHT BOMBER JACKET</t>
        </is>
      </c>
      <c r="D2558" t="inlineStr">
        <is>
          <t>RN1</t>
        </is>
      </c>
      <c r="E2558" t="inlineStr">
        <is>
          <t>(en blanco)</t>
        </is>
      </c>
      <c r="F2558" t="inlineStr">
        <is>
          <t>(en blanco)</t>
        </is>
      </c>
      <c r="G2558" t="inlineStr">
        <is>
          <t>S</t>
        </is>
      </c>
      <c r="H2558" t="n">
        <v>5</v>
      </c>
      <c r="I2558" t="inlineStr">
        <is>
          <t>NAUTICA_MENS_208003351_RN1_1.jpg</t>
        </is>
      </c>
      <c r="J2558" t="inlineStr">
        <is>
          <t>NAUTICA_MENS_208003351_RN1_2.jpg</t>
        </is>
      </c>
      <c r="K2558" t="inlineStr">
        <is>
          <t>NAUTICA_MENS_208003351_RN1_3.jpg</t>
        </is>
      </c>
      <c r="L2558">
        <f>IMAGE("file:///E:/Estudios%20y%20certificaciones/ESTUDIOS%20DE%20PROGRAMMING/PROGRAMMING/PERSONAL/PYTHON/Image_Generator_API/imagenes/NAUTICA_MENS_208003351_RN1_1.jpg")</f>
        <v/>
      </c>
      <c r="M2558">
        <f>IMAGE("file:///E:/Estudios%20y%20certificaciones/ESTUDIOS%20DE%20PROGRAMMING/PROGRAMMING/PERSONAL/PYTHON/Image_Generator_API/imagenes/NAUTICA_MENS_208003351_RN1_2.jpg")</f>
        <v/>
      </c>
      <c r="N2558">
        <f>IMAGE("file:///E:/Estudios%20y%20certificaciones/ESTUDIOS%20DE%20PROGRAMMING/PROGRAMMING/PERSONAL/PYTHON/Image_Generator_API/imagenes/NAUTICA_MENS_208003351_RN1_3.jpg")</f>
        <v/>
      </c>
      <c r="O2558">
        <f>HYPERLINK("imagenes/NAUTICA_MENS_208003351_RN1_1.jpg","Ver imagen")</f>
        <v/>
      </c>
      <c r="P2558">
        <f>HYPERLINK("imagenes/NAUTICA_MENS_208003351_RN1_2.jpg","Ver imagen")</f>
        <v/>
      </c>
      <c r="Q2558">
        <f>HYPERLINK("imagenes/NAUTICA_MENS_208003351_RN1_3.jpg","Ver imagen")</f>
        <v/>
      </c>
    </row>
    <row r="2559">
      <c r="A2559" t="inlineStr">
        <is>
          <t>NAUTICA MENS</t>
        </is>
      </c>
      <c r="B2559" t="inlineStr">
        <is>
          <t>208003351</t>
        </is>
      </c>
      <c r="C2559" t="inlineStr">
        <is>
          <t>LIGHT WEIGHT FLIGHT BOMBER JACKET</t>
        </is>
      </c>
      <c r="D2559" t="inlineStr">
        <is>
          <t>RN1</t>
        </is>
      </c>
      <c r="E2559" t="inlineStr">
        <is>
          <t>(en blanco)</t>
        </is>
      </c>
      <c r="F2559" t="inlineStr">
        <is>
          <t>(en blanco)</t>
        </is>
      </c>
      <c r="G2559" t="inlineStr">
        <is>
          <t>M</t>
        </is>
      </c>
      <c r="H2559" t="n">
        <v>2</v>
      </c>
      <c r="I2559" t="inlineStr">
        <is>
          <t>NAUTICA_MENS_208003351_RN1_1.jpg</t>
        </is>
      </c>
      <c r="J2559" t="inlineStr">
        <is>
          <t>NAUTICA_MENS_208003351_RN1_2.jpg</t>
        </is>
      </c>
      <c r="K2559" t="inlineStr">
        <is>
          <t>NAUTICA_MENS_208003351_RN1_3.jpg</t>
        </is>
      </c>
      <c r="L2559">
        <f>IMAGE("file:///E:/Estudios%20y%20certificaciones/ESTUDIOS%20DE%20PROGRAMMING/PROGRAMMING/PERSONAL/PYTHON/Image_Generator_API/imagenes/NAUTICA_MENS_208003351_RN1_1.jpg")</f>
        <v/>
      </c>
      <c r="M2559">
        <f>IMAGE("file:///E:/Estudios%20y%20certificaciones/ESTUDIOS%20DE%20PROGRAMMING/PROGRAMMING/PERSONAL/PYTHON/Image_Generator_API/imagenes/NAUTICA_MENS_208003351_RN1_2.jpg")</f>
        <v/>
      </c>
      <c r="N2559">
        <f>IMAGE("file:///E:/Estudios%20y%20certificaciones/ESTUDIOS%20DE%20PROGRAMMING/PROGRAMMING/PERSONAL/PYTHON/Image_Generator_API/imagenes/NAUTICA_MENS_208003351_RN1_3.jpg")</f>
        <v/>
      </c>
      <c r="O2559">
        <f>HYPERLINK("imagenes/NAUTICA_MENS_208003351_RN1_1.jpg","Ver imagen")</f>
        <v/>
      </c>
      <c r="P2559">
        <f>HYPERLINK("imagenes/NAUTICA_MENS_208003351_RN1_2.jpg","Ver imagen")</f>
        <v/>
      </c>
      <c r="Q2559">
        <f>HYPERLINK("imagenes/NAUTICA_MENS_208003351_RN1_3.jpg","Ver imagen")</f>
        <v/>
      </c>
    </row>
    <row r="2560">
      <c r="A2560" t="inlineStr">
        <is>
          <t>NAUTICA MENS</t>
        </is>
      </c>
      <c r="B2560" t="inlineStr">
        <is>
          <t>208003351</t>
        </is>
      </c>
      <c r="C2560" t="inlineStr">
        <is>
          <t>LIGHT WEIGHT FLIGHT BOMBER JACKET</t>
        </is>
      </c>
      <c r="D2560" t="inlineStr">
        <is>
          <t>RN1</t>
        </is>
      </c>
      <c r="E2560" t="inlineStr">
        <is>
          <t>(en blanco)</t>
        </is>
      </c>
      <c r="F2560" t="inlineStr">
        <is>
          <t>(en blanco)</t>
        </is>
      </c>
      <c r="G2560" t="inlineStr">
        <is>
          <t>L</t>
        </is>
      </c>
      <c r="H2560" t="n">
        <v>3</v>
      </c>
      <c r="I2560" t="inlineStr">
        <is>
          <t>NAUTICA_MENS_208003351_RN1_1.jpg</t>
        </is>
      </c>
      <c r="J2560" t="inlineStr">
        <is>
          <t>NAUTICA_MENS_208003351_RN1_2.jpg</t>
        </is>
      </c>
      <c r="K2560" t="inlineStr">
        <is>
          <t>NAUTICA_MENS_208003351_RN1_3.jpg</t>
        </is>
      </c>
      <c r="L2560">
        <f>IMAGE("file:///E:/Estudios%20y%20certificaciones/ESTUDIOS%20DE%20PROGRAMMING/PROGRAMMING/PERSONAL/PYTHON/Image_Generator_API/imagenes/NAUTICA_MENS_208003351_RN1_1.jpg")</f>
        <v/>
      </c>
      <c r="M2560">
        <f>IMAGE("file:///E:/Estudios%20y%20certificaciones/ESTUDIOS%20DE%20PROGRAMMING/PROGRAMMING/PERSONAL/PYTHON/Image_Generator_API/imagenes/NAUTICA_MENS_208003351_RN1_2.jpg")</f>
        <v/>
      </c>
      <c r="N2560">
        <f>IMAGE("file:///E:/Estudios%20y%20certificaciones/ESTUDIOS%20DE%20PROGRAMMING/PROGRAMMING/PERSONAL/PYTHON/Image_Generator_API/imagenes/NAUTICA_MENS_208003351_RN1_3.jpg")</f>
        <v/>
      </c>
      <c r="O2560">
        <f>HYPERLINK("imagenes/NAUTICA_MENS_208003351_RN1_1.jpg","Ver imagen")</f>
        <v/>
      </c>
      <c r="P2560">
        <f>HYPERLINK("imagenes/NAUTICA_MENS_208003351_RN1_2.jpg","Ver imagen")</f>
        <v/>
      </c>
      <c r="Q2560">
        <f>HYPERLINK("imagenes/NAUTICA_MENS_208003351_RN1_3.jpg","Ver imagen")</f>
        <v/>
      </c>
    </row>
    <row r="2561">
      <c r="A2561" t="inlineStr">
        <is>
          <t>NAUTICA MENS</t>
        </is>
      </c>
      <c r="B2561" t="inlineStr">
        <is>
          <t>208003351</t>
        </is>
      </c>
      <c r="C2561" t="inlineStr">
        <is>
          <t>LIGHT WEIGHT FLIGHT BOMBER JACKET</t>
        </is>
      </c>
      <c r="D2561" t="inlineStr">
        <is>
          <t>RN1</t>
        </is>
      </c>
      <c r="E2561" t="inlineStr">
        <is>
          <t>(en blanco)</t>
        </is>
      </c>
      <c r="F2561" t="inlineStr">
        <is>
          <t>(en blanco)</t>
        </is>
      </c>
      <c r="G2561" t="inlineStr">
        <is>
          <t>XL</t>
        </is>
      </c>
      <c r="H2561" t="n">
        <v>4</v>
      </c>
      <c r="I2561" t="inlineStr">
        <is>
          <t>NAUTICA_MENS_208003351_RN1_1.jpg</t>
        </is>
      </c>
      <c r="J2561" t="inlineStr">
        <is>
          <t>NAUTICA_MENS_208003351_RN1_2.jpg</t>
        </is>
      </c>
      <c r="K2561" t="inlineStr">
        <is>
          <t>NAUTICA_MENS_208003351_RN1_3.jpg</t>
        </is>
      </c>
      <c r="L2561">
        <f>IMAGE("file:///E:/Estudios%20y%20certificaciones/ESTUDIOS%20DE%20PROGRAMMING/PROGRAMMING/PERSONAL/PYTHON/Image_Generator_API/imagenes/NAUTICA_MENS_208003351_RN1_1.jpg")</f>
        <v/>
      </c>
      <c r="M2561">
        <f>IMAGE("file:///E:/Estudios%20y%20certificaciones/ESTUDIOS%20DE%20PROGRAMMING/PROGRAMMING/PERSONAL/PYTHON/Image_Generator_API/imagenes/NAUTICA_MENS_208003351_RN1_2.jpg")</f>
        <v/>
      </c>
      <c r="N2561">
        <f>IMAGE("file:///E:/Estudios%20y%20certificaciones/ESTUDIOS%20DE%20PROGRAMMING/PROGRAMMING/PERSONAL/PYTHON/Image_Generator_API/imagenes/NAUTICA_MENS_208003351_RN1_3.jpg")</f>
        <v/>
      </c>
      <c r="O2561">
        <f>HYPERLINK("imagenes/NAUTICA_MENS_208003351_RN1_1.jpg","Ver imagen")</f>
        <v/>
      </c>
      <c r="P2561">
        <f>HYPERLINK("imagenes/NAUTICA_MENS_208003351_RN1_2.jpg","Ver imagen")</f>
        <v/>
      </c>
      <c r="Q2561">
        <f>HYPERLINK("imagenes/NAUTICA_MENS_208003351_RN1_3.jpg","Ver imagen")</f>
        <v/>
      </c>
    </row>
    <row r="2562">
      <c r="A2562" t="inlineStr">
        <is>
          <t>NAUTICA MENS</t>
        </is>
      </c>
      <c r="B2562" t="inlineStr">
        <is>
          <t>208003355</t>
        </is>
      </c>
      <c r="C2562" t="inlineStr">
        <is>
          <t>FLIGHT JACKET</t>
        </is>
      </c>
      <c r="D2562" t="inlineStr">
        <is>
          <t>BLK</t>
        </is>
      </c>
      <c r="E2562" t="inlineStr">
        <is>
          <t>(en blanco)</t>
        </is>
      </c>
      <c r="F2562" t="inlineStr">
        <is>
          <t>D2C</t>
        </is>
      </c>
      <c r="G2562" t="inlineStr">
        <is>
          <t>M</t>
        </is>
      </c>
      <c r="H2562" t="n">
        <v>33</v>
      </c>
      <c r="I2562" t="inlineStr">
        <is>
          <t>NAUTICA_MENS_208003355_BLK_1.jpg</t>
        </is>
      </c>
      <c r="J2562" t="inlineStr">
        <is>
          <t>NAUTICA_MENS_208003355_BLK_2.jpg</t>
        </is>
      </c>
      <c r="K2562" t="inlineStr">
        <is>
          <t>NAUTICA_MENS_208003355_BLK_3.jpg</t>
        </is>
      </c>
      <c r="L2562">
        <f>IMAGE("file:///E:/Estudios%20y%20certificaciones/ESTUDIOS%20DE%20PROGRAMMING/PROGRAMMING/PERSONAL/PYTHON/Image_Generator_API/imagenes/NAUTICA_MENS_208003355_BLK_1.jpg")</f>
        <v/>
      </c>
      <c r="M2562">
        <f>IMAGE("file:///E:/Estudios%20y%20certificaciones/ESTUDIOS%20DE%20PROGRAMMING/PROGRAMMING/PERSONAL/PYTHON/Image_Generator_API/imagenes/NAUTICA_MENS_208003355_BLK_2.jpg")</f>
        <v/>
      </c>
      <c r="N2562">
        <f>IMAGE("file:///E:/Estudios%20y%20certificaciones/ESTUDIOS%20DE%20PROGRAMMING/PROGRAMMING/PERSONAL/PYTHON/Image_Generator_API/imagenes/NAUTICA_MENS_208003355_BLK_3.jpg")</f>
        <v/>
      </c>
      <c r="O2562">
        <f>HYPERLINK("imagenes/NAUTICA_MENS_208003355_BLK_1.jpg","Ver imagen")</f>
        <v/>
      </c>
      <c r="P2562">
        <f>HYPERLINK("imagenes/NAUTICA_MENS_208003355_BLK_2.jpg","Ver imagen")</f>
        <v/>
      </c>
      <c r="Q2562">
        <f>HYPERLINK("imagenes/NAUTICA_MENS_208003355_BLK_3.jpg","Ver imagen")</f>
        <v/>
      </c>
    </row>
    <row r="2563">
      <c r="A2563" t="inlineStr">
        <is>
          <t>NAUTICA MENS</t>
        </is>
      </c>
      <c r="B2563" t="inlineStr">
        <is>
          <t>208003355</t>
        </is>
      </c>
      <c r="C2563" t="inlineStr">
        <is>
          <t>FLIGHT JACKET</t>
        </is>
      </c>
      <c r="D2563" t="inlineStr">
        <is>
          <t>BLK</t>
        </is>
      </c>
      <c r="E2563" t="inlineStr">
        <is>
          <t>(en blanco)</t>
        </is>
      </c>
      <c r="F2563" t="inlineStr">
        <is>
          <t>D2C</t>
        </is>
      </c>
      <c r="G2563" t="inlineStr">
        <is>
          <t>L</t>
        </is>
      </c>
      <c r="H2563" t="n">
        <v>109</v>
      </c>
      <c r="I2563" t="inlineStr">
        <is>
          <t>NAUTICA_MENS_208003355_BLK_1.jpg</t>
        </is>
      </c>
      <c r="J2563" t="inlineStr">
        <is>
          <t>NAUTICA_MENS_208003355_BLK_2.jpg</t>
        </is>
      </c>
      <c r="K2563" t="inlineStr">
        <is>
          <t>NAUTICA_MENS_208003355_BLK_3.jpg</t>
        </is>
      </c>
      <c r="L2563">
        <f>IMAGE("file:///E:/Estudios%20y%20certificaciones/ESTUDIOS%20DE%20PROGRAMMING/PROGRAMMING/PERSONAL/PYTHON/Image_Generator_API/imagenes/NAUTICA_MENS_208003355_BLK_1.jpg")</f>
        <v/>
      </c>
      <c r="M2563">
        <f>IMAGE("file:///E:/Estudios%20y%20certificaciones/ESTUDIOS%20DE%20PROGRAMMING/PROGRAMMING/PERSONAL/PYTHON/Image_Generator_API/imagenes/NAUTICA_MENS_208003355_BLK_2.jpg")</f>
        <v/>
      </c>
      <c r="N2563">
        <f>IMAGE("file:///E:/Estudios%20y%20certificaciones/ESTUDIOS%20DE%20PROGRAMMING/PROGRAMMING/PERSONAL/PYTHON/Image_Generator_API/imagenes/NAUTICA_MENS_208003355_BLK_3.jpg")</f>
        <v/>
      </c>
      <c r="O2563">
        <f>HYPERLINK("imagenes/NAUTICA_MENS_208003355_BLK_1.jpg","Ver imagen")</f>
        <v/>
      </c>
      <c r="P2563">
        <f>HYPERLINK("imagenes/NAUTICA_MENS_208003355_BLK_2.jpg","Ver imagen")</f>
        <v/>
      </c>
      <c r="Q2563">
        <f>HYPERLINK("imagenes/NAUTICA_MENS_208003355_BLK_3.jpg","Ver imagen")</f>
        <v/>
      </c>
    </row>
    <row r="2564">
      <c r="A2564" t="inlineStr">
        <is>
          <t>NAUTICA MENS</t>
        </is>
      </c>
      <c r="B2564" t="inlineStr">
        <is>
          <t>208003355</t>
        </is>
      </c>
      <c r="C2564" t="inlineStr">
        <is>
          <t>FLIGHT JACKET</t>
        </is>
      </c>
      <c r="D2564" t="inlineStr">
        <is>
          <t>BLK</t>
        </is>
      </c>
      <c r="E2564" t="inlineStr">
        <is>
          <t>(en blanco)</t>
        </is>
      </c>
      <c r="F2564" t="inlineStr">
        <is>
          <t>D2C</t>
        </is>
      </c>
      <c r="G2564" t="inlineStr">
        <is>
          <t>XL</t>
        </is>
      </c>
      <c r="H2564" t="n">
        <v>92</v>
      </c>
      <c r="I2564" t="inlineStr">
        <is>
          <t>NAUTICA_MENS_208003355_BLK_1.jpg</t>
        </is>
      </c>
      <c r="J2564" t="inlineStr">
        <is>
          <t>NAUTICA_MENS_208003355_BLK_2.jpg</t>
        </is>
      </c>
      <c r="K2564" t="inlineStr">
        <is>
          <t>NAUTICA_MENS_208003355_BLK_3.jpg</t>
        </is>
      </c>
      <c r="L2564">
        <f>IMAGE("file:///E:/Estudios%20y%20certificaciones/ESTUDIOS%20DE%20PROGRAMMING/PROGRAMMING/PERSONAL/PYTHON/Image_Generator_API/imagenes/NAUTICA_MENS_208003355_BLK_1.jpg")</f>
        <v/>
      </c>
      <c r="M2564">
        <f>IMAGE("file:///E:/Estudios%20y%20certificaciones/ESTUDIOS%20DE%20PROGRAMMING/PROGRAMMING/PERSONAL/PYTHON/Image_Generator_API/imagenes/NAUTICA_MENS_208003355_BLK_2.jpg")</f>
        <v/>
      </c>
      <c r="N2564">
        <f>IMAGE("file:///E:/Estudios%20y%20certificaciones/ESTUDIOS%20DE%20PROGRAMMING/PROGRAMMING/PERSONAL/PYTHON/Image_Generator_API/imagenes/NAUTICA_MENS_208003355_BLK_3.jpg")</f>
        <v/>
      </c>
      <c r="O2564">
        <f>HYPERLINK("imagenes/NAUTICA_MENS_208003355_BLK_1.jpg","Ver imagen")</f>
        <v/>
      </c>
      <c r="P2564">
        <f>HYPERLINK("imagenes/NAUTICA_MENS_208003355_BLK_2.jpg","Ver imagen")</f>
        <v/>
      </c>
      <c r="Q2564">
        <f>HYPERLINK("imagenes/NAUTICA_MENS_208003355_BLK_3.jpg","Ver imagen")</f>
        <v/>
      </c>
    </row>
    <row r="2565">
      <c r="A2565" t="inlineStr">
        <is>
          <t>NAUTICA MENS</t>
        </is>
      </c>
      <c r="B2565" t="inlineStr">
        <is>
          <t>208003355</t>
        </is>
      </c>
      <c r="C2565" t="inlineStr">
        <is>
          <t>FLIGHT JACKET</t>
        </is>
      </c>
      <c r="D2565" t="inlineStr">
        <is>
          <t>BLK</t>
        </is>
      </c>
      <c r="E2565" t="inlineStr">
        <is>
          <t>(en blanco)</t>
        </is>
      </c>
      <c r="F2565" t="inlineStr">
        <is>
          <t>D2C</t>
        </is>
      </c>
      <c r="G2565" t="inlineStr">
        <is>
          <t>XXL</t>
        </is>
      </c>
      <c r="H2565" t="n">
        <v>25</v>
      </c>
      <c r="I2565" t="inlineStr">
        <is>
          <t>NAUTICA_MENS_208003355_BLK_1.jpg</t>
        </is>
      </c>
      <c r="J2565" t="inlineStr">
        <is>
          <t>NAUTICA_MENS_208003355_BLK_2.jpg</t>
        </is>
      </c>
      <c r="K2565" t="inlineStr">
        <is>
          <t>NAUTICA_MENS_208003355_BLK_3.jpg</t>
        </is>
      </c>
      <c r="L2565">
        <f>IMAGE("file:///E:/Estudios%20y%20certificaciones/ESTUDIOS%20DE%20PROGRAMMING/PROGRAMMING/PERSONAL/PYTHON/Image_Generator_API/imagenes/NAUTICA_MENS_208003355_BLK_1.jpg")</f>
        <v/>
      </c>
      <c r="M2565">
        <f>IMAGE("file:///E:/Estudios%20y%20certificaciones/ESTUDIOS%20DE%20PROGRAMMING/PROGRAMMING/PERSONAL/PYTHON/Image_Generator_API/imagenes/NAUTICA_MENS_208003355_BLK_2.jpg")</f>
        <v/>
      </c>
      <c r="N2565">
        <f>IMAGE("file:///E:/Estudios%20y%20certificaciones/ESTUDIOS%20DE%20PROGRAMMING/PROGRAMMING/PERSONAL/PYTHON/Image_Generator_API/imagenes/NAUTICA_MENS_208003355_BLK_3.jpg")</f>
        <v/>
      </c>
      <c r="O2565">
        <f>HYPERLINK("imagenes/NAUTICA_MENS_208003355_BLK_1.jpg","Ver imagen")</f>
        <v/>
      </c>
      <c r="P2565">
        <f>HYPERLINK("imagenes/NAUTICA_MENS_208003355_BLK_2.jpg","Ver imagen")</f>
        <v/>
      </c>
      <c r="Q2565">
        <f>HYPERLINK("imagenes/NAUTICA_MENS_208003355_BLK_3.jpg","Ver imagen")</f>
        <v/>
      </c>
    </row>
    <row r="2566">
      <c r="A2566" t="inlineStr">
        <is>
          <t>NAUTICA MENS</t>
        </is>
      </c>
      <c r="B2566" t="inlineStr">
        <is>
          <t>208003355</t>
        </is>
      </c>
      <c r="C2566" t="inlineStr">
        <is>
          <t>FLIGHT JACKET</t>
        </is>
      </c>
      <c r="D2566" t="inlineStr">
        <is>
          <t>CLG</t>
        </is>
      </c>
      <c r="E2566" t="inlineStr">
        <is>
          <t>(en blanco)</t>
        </is>
      </c>
      <c r="F2566" t="inlineStr">
        <is>
          <t>D2C</t>
        </is>
      </c>
      <c r="G2566" t="inlineStr">
        <is>
          <t>M</t>
        </is>
      </c>
      <c r="H2566" t="n">
        <v>2</v>
      </c>
      <c r="I2566" t="inlineStr">
        <is>
          <t>NAUTICA_MENS_208003355_CLG_1.jpg</t>
        </is>
      </c>
      <c r="J2566" t="inlineStr">
        <is>
          <t>NAUTICA_MENS_208003355_CLG_2.jpg</t>
        </is>
      </c>
      <c r="K2566" t="inlineStr">
        <is>
          <t>NAUTICA_MENS_208003355_CLG_3.jpg</t>
        </is>
      </c>
      <c r="L2566">
        <f>IMAGE("file:///E:/Estudios%20y%20certificaciones/ESTUDIOS%20DE%20PROGRAMMING/PROGRAMMING/PERSONAL/PYTHON/Image_Generator_API/imagenes/NAUTICA_MENS_208003355_CLG_1.jpg")</f>
        <v/>
      </c>
      <c r="M2566">
        <f>IMAGE("file:///E:/Estudios%20y%20certificaciones/ESTUDIOS%20DE%20PROGRAMMING/PROGRAMMING/PERSONAL/PYTHON/Image_Generator_API/imagenes/NAUTICA_MENS_208003355_CLG_2.jpg")</f>
        <v/>
      </c>
      <c r="N2566">
        <f>IMAGE("file:///E:/Estudios%20y%20certificaciones/ESTUDIOS%20DE%20PROGRAMMING/PROGRAMMING/PERSONAL/PYTHON/Image_Generator_API/imagenes/NAUTICA_MENS_208003355_CLG_3.jpg")</f>
        <v/>
      </c>
      <c r="O2566">
        <f>HYPERLINK("imagenes/NAUTICA_MENS_208003355_CLG_1.jpg","Ver imagen")</f>
        <v/>
      </c>
      <c r="P2566">
        <f>HYPERLINK("imagenes/NAUTICA_MENS_208003355_CLG_2.jpg","Ver imagen")</f>
        <v/>
      </c>
      <c r="Q2566">
        <f>HYPERLINK("imagenes/NAUTICA_MENS_208003355_CLG_3.jpg","Ver imagen")</f>
        <v/>
      </c>
    </row>
    <row r="2567">
      <c r="A2567" t="inlineStr">
        <is>
          <t>NAUTICA MENS</t>
        </is>
      </c>
      <c r="B2567" t="inlineStr">
        <is>
          <t>208003355</t>
        </is>
      </c>
      <c r="C2567" t="inlineStr">
        <is>
          <t>FLIGHT JACKET</t>
        </is>
      </c>
      <c r="D2567" t="inlineStr">
        <is>
          <t>CLG</t>
        </is>
      </c>
      <c r="E2567" t="inlineStr">
        <is>
          <t>(en blanco)</t>
        </is>
      </c>
      <c r="F2567" t="inlineStr">
        <is>
          <t>D2C</t>
        </is>
      </c>
      <c r="G2567" t="inlineStr">
        <is>
          <t>L</t>
        </is>
      </c>
      <c r="H2567" t="n">
        <v>14</v>
      </c>
      <c r="I2567" t="inlineStr">
        <is>
          <t>NAUTICA_MENS_208003355_CLG_1.jpg</t>
        </is>
      </c>
      <c r="J2567" t="inlineStr">
        <is>
          <t>NAUTICA_MENS_208003355_CLG_2.jpg</t>
        </is>
      </c>
      <c r="K2567" t="inlineStr">
        <is>
          <t>NAUTICA_MENS_208003355_CLG_3.jpg</t>
        </is>
      </c>
      <c r="L2567">
        <f>IMAGE("file:///E:/Estudios%20y%20certificaciones/ESTUDIOS%20DE%20PROGRAMMING/PROGRAMMING/PERSONAL/PYTHON/Image_Generator_API/imagenes/NAUTICA_MENS_208003355_CLG_1.jpg")</f>
        <v/>
      </c>
      <c r="M2567">
        <f>IMAGE("file:///E:/Estudios%20y%20certificaciones/ESTUDIOS%20DE%20PROGRAMMING/PROGRAMMING/PERSONAL/PYTHON/Image_Generator_API/imagenes/NAUTICA_MENS_208003355_CLG_2.jpg")</f>
        <v/>
      </c>
      <c r="N2567">
        <f>IMAGE("file:///E:/Estudios%20y%20certificaciones/ESTUDIOS%20DE%20PROGRAMMING/PROGRAMMING/PERSONAL/PYTHON/Image_Generator_API/imagenes/NAUTICA_MENS_208003355_CLG_3.jpg")</f>
        <v/>
      </c>
      <c r="O2567">
        <f>HYPERLINK("imagenes/NAUTICA_MENS_208003355_CLG_1.jpg","Ver imagen")</f>
        <v/>
      </c>
      <c r="P2567">
        <f>HYPERLINK("imagenes/NAUTICA_MENS_208003355_CLG_2.jpg","Ver imagen")</f>
        <v/>
      </c>
      <c r="Q2567">
        <f>HYPERLINK("imagenes/NAUTICA_MENS_208003355_CLG_3.jpg","Ver imagen")</f>
        <v/>
      </c>
    </row>
    <row r="2568">
      <c r="A2568" t="inlineStr">
        <is>
          <t>NAUTICA MENS</t>
        </is>
      </c>
      <c r="B2568" t="inlineStr">
        <is>
          <t>208003355</t>
        </is>
      </c>
      <c r="C2568" t="inlineStr">
        <is>
          <t>FLIGHT JACKET</t>
        </is>
      </c>
      <c r="D2568" t="inlineStr">
        <is>
          <t>CLG</t>
        </is>
      </c>
      <c r="E2568" t="inlineStr">
        <is>
          <t>(en blanco)</t>
        </is>
      </c>
      <c r="F2568" t="inlineStr">
        <is>
          <t>D2C</t>
        </is>
      </c>
      <c r="G2568" t="inlineStr">
        <is>
          <t>XL</t>
        </is>
      </c>
      <c r="H2568" t="n">
        <v>17</v>
      </c>
      <c r="I2568" t="inlineStr">
        <is>
          <t>NAUTICA_MENS_208003355_CLG_1.jpg</t>
        </is>
      </c>
      <c r="J2568" t="inlineStr">
        <is>
          <t>NAUTICA_MENS_208003355_CLG_2.jpg</t>
        </is>
      </c>
      <c r="K2568" t="inlineStr">
        <is>
          <t>NAUTICA_MENS_208003355_CLG_3.jpg</t>
        </is>
      </c>
      <c r="L2568">
        <f>IMAGE("file:///E:/Estudios%20y%20certificaciones/ESTUDIOS%20DE%20PROGRAMMING/PROGRAMMING/PERSONAL/PYTHON/Image_Generator_API/imagenes/NAUTICA_MENS_208003355_CLG_1.jpg")</f>
        <v/>
      </c>
      <c r="M2568">
        <f>IMAGE("file:///E:/Estudios%20y%20certificaciones/ESTUDIOS%20DE%20PROGRAMMING/PROGRAMMING/PERSONAL/PYTHON/Image_Generator_API/imagenes/NAUTICA_MENS_208003355_CLG_2.jpg")</f>
        <v/>
      </c>
      <c r="N2568">
        <f>IMAGE("file:///E:/Estudios%20y%20certificaciones/ESTUDIOS%20DE%20PROGRAMMING/PROGRAMMING/PERSONAL/PYTHON/Image_Generator_API/imagenes/NAUTICA_MENS_208003355_CLG_3.jpg")</f>
        <v/>
      </c>
      <c r="O2568">
        <f>HYPERLINK("imagenes/NAUTICA_MENS_208003355_CLG_1.jpg","Ver imagen")</f>
        <v/>
      </c>
      <c r="P2568">
        <f>HYPERLINK("imagenes/NAUTICA_MENS_208003355_CLG_2.jpg","Ver imagen")</f>
        <v/>
      </c>
      <c r="Q2568">
        <f>HYPERLINK("imagenes/NAUTICA_MENS_208003355_CLG_3.jpg","Ver imagen")</f>
        <v/>
      </c>
    </row>
    <row r="2569">
      <c r="A2569" t="inlineStr">
        <is>
          <t>NAUTICA MENS</t>
        </is>
      </c>
      <c r="B2569" t="inlineStr">
        <is>
          <t>208003355</t>
        </is>
      </c>
      <c r="C2569" t="inlineStr">
        <is>
          <t>FLIGHT JACKET</t>
        </is>
      </c>
      <c r="D2569" t="inlineStr">
        <is>
          <t>CLG</t>
        </is>
      </c>
      <c r="E2569" t="inlineStr">
        <is>
          <t>(en blanco)</t>
        </is>
      </c>
      <c r="F2569" t="inlineStr">
        <is>
          <t>D2C</t>
        </is>
      </c>
      <c r="G2569" t="inlineStr">
        <is>
          <t>XXL</t>
        </is>
      </c>
      <c r="H2569" t="n">
        <v>13</v>
      </c>
      <c r="I2569" t="inlineStr">
        <is>
          <t>NAUTICA_MENS_208003355_CLG_1.jpg</t>
        </is>
      </c>
      <c r="J2569" t="inlineStr">
        <is>
          <t>NAUTICA_MENS_208003355_CLG_2.jpg</t>
        </is>
      </c>
      <c r="K2569" t="inlineStr">
        <is>
          <t>NAUTICA_MENS_208003355_CLG_3.jpg</t>
        </is>
      </c>
      <c r="L2569">
        <f>IMAGE("file:///E:/Estudios%20y%20certificaciones/ESTUDIOS%20DE%20PROGRAMMING/PROGRAMMING/PERSONAL/PYTHON/Image_Generator_API/imagenes/NAUTICA_MENS_208003355_CLG_1.jpg")</f>
        <v/>
      </c>
      <c r="M2569">
        <f>IMAGE("file:///E:/Estudios%20y%20certificaciones/ESTUDIOS%20DE%20PROGRAMMING/PROGRAMMING/PERSONAL/PYTHON/Image_Generator_API/imagenes/NAUTICA_MENS_208003355_CLG_2.jpg")</f>
        <v/>
      </c>
      <c r="N2569">
        <f>IMAGE("file:///E:/Estudios%20y%20certificaciones/ESTUDIOS%20DE%20PROGRAMMING/PROGRAMMING/PERSONAL/PYTHON/Image_Generator_API/imagenes/NAUTICA_MENS_208003355_CLG_3.jpg")</f>
        <v/>
      </c>
      <c r="O2569">
        <f>HYPERLINK("imagenes/NAUTICA_MENS_208003355_CLG_1.jpg","Ver imagen")</f>
        <v/>
      </c>
      <c r="P2569">
        <f>HYPERLINK("imagenes/NAUTICA_MENS_208003355_CLG_2.jpg","Ver imagen")</f>
        <v/>
      </c>
      <c r="Q2569">
        <f>HYPERLINK("imagenes/NAUTICA_MENS_208003355_CLG_3.jpg","Ver imagen")</f>
        <v/>
      </c>
    </row>
    <row r="2570">
      <c r="A2570" t="inlineStr">
        <is>
          <t>NAUTICA MENS</t>
        </is>
      </c>
      <c r="B2570" t="inlineStr">
        <is>
          <t>208003355</t>
        </is>
      </c>
      <c r="C2570" t="inlineStr">
        <is>
          <t>FLIGHT JACKET</t>
        </is>
      </c>
      <c r="D2570" t="inlineStr">
        <is>
          <t>CLG</t>
        </is>
      </c>
      <c r="E2570" t="inlineStr">
        <is>
          <t>(en blanco)</t>
        </is>
      </c>
      <c r="F2570" t="inlineStr">
        <is>
          <t>(en blanco)</t>
        </is>
      </c>
      <c r="G2570" t="inlineStr">
        <is>
          <t>S</t>
        </is>
      </c>
      <c r="H2570" t="n">
        <v>3</v>
      </c>
      <c r="I2570" t="inlineStr">
        <is>
          <t>NAUTICA_MENS_208003355_CLG_1.jpg</t>
        </is>
      </c>
      <c r="J2570" t="inlineStr">
        <is>
          <t>NAUTICA_MENS_208003355_CLG_2.jpg</t>
        </is>
      </c>
      <c r="K2570" t="inlineStr">
        <is>
          <t>NAUTICA_MENS_208003355_CLG_3.jpg</t>
        </is>
      </c>
      <c r="L2570">
        <f>IMAGE("file:///E:/Estudios%20y%20certificaciones/ESTUDIOS%20DE%20PROGRAMMING/PROGRAMMING/PERSONAL/PYTHON/Image_Generator_API/imagenes/NAUTICA_MENS_208003355_CLG_1.jpg")</f>
        <v/>
      </c>
      <c r="M2570">
        <f>IMAGE("file:///E:/Estudios%20y%20certificaciones/ESTUDIOS%20DE%20PROGRAMMING/PROGRAMMING/PERSONAL/PYTHON/Image_Generator_API/imagenes/NAUTICA_MENS_208003355_CLG_2.jpg")</f>
        <v/>
      </c>
      <c r="N2570">
        <f>IMAGE("file:///E:/Estudios%20y%20certificaciones/ESTUDIOS%20DE%20PROGRAMMING/PROGRAMMING/PERSONAL/PYTHON/Image_Generator_API/imagenes/NAUTICA_MENS_208003355_CLG_3.jpg")</f>
        <v/>
      </c>
      <c r="O2570">
        <f>HYPERLINK("imagenes/NAUTICA_MENS_208003355_CLG_1.jpg","Ver imagen")</f>
        <v/>
      </c>
      <c r="P2570">
        <f>HYPERLINK("imagenes/NAUTICA_MENS_208003355_CLG_2.jpg","Ver imagen")</f>
        <v/>
      </c>
      <c r="Q2570">
        <f>HYPERLINK("imagenes/NAUTICA_MENS_208003355_CLG_3.jpg","Ver imagen")</f>
        <v/>
      </c>
    </row>
    <row r="2571">
      <c r="A2571" t="inlineStr">
        <is>
          <t>NAUTICA MENS</t>
        </is>
      </c>
      <c r="B2571" t="inlineStr">
        <is>
          <t>208003355</t>
        </is>
      </c>
      <c r="C2571" t="inlineStr">
        <is>
          <t>FLIGHT JACKET</t>
        </is>
      </c>
      <c r="D2571" t="inlineStr">
        <is>
          <t>NVY</t>
        </is>
      </c>
      <c r="E2571" t="inlineStr">
        <is>
          <t>(en blanco)</t>
        </is>
      </c>
      <c r="F2571" t="inlineStr">
        <is>
          <t>D2C</t>
        </is>
      </c>
      <c r="G2571" t="inlineStr">
        <is>
          <t>M</t>
        </is>
      </c>
      <c r="H2571" t="n">
        <v>45</v>
      </c>
      <c r="I2571" t="inlineStr">
        <is>
          <t>NAUTICA_MENS_208003355_NVY_1.jpg</t>
        </is>
      </c>
      <c r="J2571" t="inlineStr">
        <is>
          <t>NAUTICA_MENS_208003355_NVY_2.jpg</t>
        </is>
      </c>
      <c r="K2571" t="inlineStr">
        <is>
          <t>NAUTICA_MENS_208003355_NVY_3.jpg</t>
        </is>
      </c>
      <c r="L2571">
        <f>IMAGE("file:///E:/Estudios%20y%20certificaciones/ESTUDIOS%20DE%20PROGRAMMING/PROGRAMMING/PERSONAL/PYTHON/Image_Generator_API/imagenes/NAUTICA_MENS_208003355_NVY_1.jpg")</f>
        <v/>
      </c>
      <c r="M2571">
        <f>IMAGE("file:///E:/Estudios%20y%20certificaciones/ESTUDIOS%20DE%20PROGRAMMING/PROGRAMMING/PERSONAL/PYTHON/Image_Generator_API/imagenes/NAUTICA_MENS_208003355_NVY_2.jpg")</f>
        <v/>
      </c>
      <c r="N2571">
        <f>IMAGE("file:///E:/Estudios%20y%20certificaciones/ESTUDIOS%20DE%20PROGRAMMING/PROGRAMMING/PERSONAL/PYTHON/Image_Generator_API/imagenes/NAUTICA_MENS_208003355_NVY_3.jpg")</f>
        <v/>
      </c>
      <c r="O2571">
        <f>HYPERLINK("imagenes/NAUTICA_MENS_208003355_NVY_1.jpg","Ver imagen")</f>
        <v/>
      </c>
      <c r="P2571">
        <f>HYPERLINK("imagenes/NAUTICA_MENS_208003355_NVY_2.jpg","Ver imagen")</f>
        <v/>
      </c>
      <c r="Q2571">
        <f>HYPERLINK("imagenes/NAUTICA_MENS_208003355_NVY_3.jpg","Ver imagen")</f>
        <v/>
      </c>
    </row>
    <row r="2572">
      <c r="A2572" t="inlineStr">
        <is>
          <t>NAUTICA MENS</t>
        </is>
      </c>
      <c r="B2572" t="inlineStr">
        <is>
          <t>208003355</t>
        </is>
      </c>
      <c r="C2572" t="inlineStr">
        <is>
          <t>FLIGHT JACKET</t>
        </is>
      </c>
      <c r="D2572" t="inlineStr">
        <is>
          <t>NVY</t>
        </is>
      </c>
      <c r="E2572" t="inlineStr">
        <is>
          <t>(en blanco)</t>
        </is>
      </c>
      <c r="F2572" t="inlineStr">
        <is>
          <t>D2C</t>
        </is>
      </c>
      <c r="G2572" t="inlineStr">
        <is>
          <t>L</t>
        </is>
      </c>
      <c r="H2572" t="n">
        <v>116</v>
      </c>
      <c r="I2572" t="inlineStr">
        <is>
          <t>NAUTICA_MENS_208003355_NVY_1.jpg</t>
        </is>
      </c>
      <c r="J2572" t="inlineStr">
        <is>
          <t>NAUTICA_MENS_208003355_NVY_2.jpg</t>
        </is>
      </c>
      <c r="K2572" t="inlineStr">
        <is>
          <t>NAUTICA_MENS_208003355_NVY_3.jpg</t>
        </is>
      </c>
      <c r="L2572">
        <f>IMAGE("file:///E:/Estudios%20y%20certificaciones/ESTUDIOS%20DE%20PROGRAMMING/PROGRAMMING/PERSONAL/PYTHON/Image_Generator_API/imagenes/NAUTICA_MENS_208003355_NVY_1.jpg")</f>
        <v/>
      </c>
      <c r="M2572">
        <f>IMAGE("file:///E:/Estudios%20y%20certificaciones/ESTUDIOS%20DE%20PROGRAMMING/PROGRAMMING/PERSONAL/PYTHON/Image_Generator_API/imagenes/NAUTICA_MENS_208003355_NVY_2.jpg")</f>
        <v/>
      </c>
      <c r="N2572">
        <f>IMAGE("file:///E:/Estudios%20y%20certificaciones/ESTUDIOS%20DE%20PROGRAMMING/PROGRAMMING/PERSONAL/PYTHON/Image_Generator_API/imagenes/NAUTICA_MENS_208003355_NVY_3.jpg")</f>
        <v/>
      </c>
      <c r="O2572">
        <f>HYPERLINK("imagenes/NAUTICA_MENS_208003355_NVY_1.jpg","Ver imagen")</f>
        <v/>
      </c>
      <c r="P2572">
        <f>HYPERLINK("imagenes/NAUTICA_MENS_208003355_NVY_2.jpg","Ver imagen")</f>
        <v/>
      </c>
      <c r="Q2572">
        <f>HYPERLINK("imagenes/NAUTICA_MENS_208003355_NVY_3.jpg","Ver imagen")</f>
        <v/>
      </c>
    </row>
    <row r="2573">
      <c r="A2573" t="inlineStr">
        <is>
          <t>NAUTICA MENS</t>
        </is>
      </c>
      <c r="B2573" t="inlineStr">
        <is>
          <t>208003355</t>
        </is>
      </c>
      <c r="C2573" t="inlineStr">
        <is>
          <t>FLIGHT JACKET</t>
        </is>
      </c>
      <c r="D2573" t="inlineStr">
        <is>
          <t>NVY</t>
        </is>
      </c>
      <c r="E2573" t="inlineStr">
        <is>
          <t>(en blanco)</t>
        </is>
      </c>
      <c r="F2573" t="inlineStr">
        <is>
          <t>D2C</t>
        </is>
      </c>
      <c r="G2573" t="inlineStr">
        <is>
          <t>XL</t>
        </is>
      </c>
      <c r="H2573" t="n">
        <v>116</v>
      </c>
      <c r="I2573" t="inlineStr">
        <is>
          <t>NAUTICA_MENS_208003355_NVY_1.jpg</t>
        </is>
      </c>
      <c r="J2573" t="inlineStr">
        <is>
          <t>NAUTICA_MENS_208003355_NVY_2.jpg</t>
        </is>
      </c>
      <c r="K2573" t="inlineStr">
        <is>
          <t>NAUTICA_MENS_208003355_NVY_3.jpg</t>
        </is>
      </c>
      <c r="L2573">
        <f>IMAGE("file:///E:/Estudios%20y%20certificaciones/ESTUDIOS%20DE%20PROGRAMMING/PROGRAMMING/PERSONAL/PYTHON/Image_Generator_API/imagenes/NAUTICA_MENS_208003355_NVY_1.jpg")</f>
        <v/>
      </c>
      <c r="M2573">
        <f>IMAGE("file:///E:/Estudios%20y%20certificaciones/ESTUDIOS%20DE%20PROGRAMMING/PROGRAMMING/PERSONAL/PYTHON/Image_Generator_API/imagenes/NAUTICA_MENS_208003355_NVY_2.jpg")</f>
        <v/>
      </c>
      <c r="N2573">
        <f>IMAGE("file:///E:/Estudios%20y%20certificaciones/ESTUDIOS%20DE%20PROGRAMMING/PROGRAMMING/PERSONAL/PYTHON/Image_Generator_API/imagenes/NAUTICA_MENS_208003355_NVY_3.jpg")</f>
        <v/>
      </c>
      <c r="O2573">
        <f>HYPERLINK("imagenes/NAUTICA_MENS_208003355_NVY_1.jpg","Ver imagen")</f>
        <v/>
      </c>
      <c r="P2573">
        <f>HYPERLINK("imagenes/NAUTICA_MENS_208003355_NVY_2.jpg","Ver imagen")</f>
        <v/>
      </c>
      <c r="Q2573">
        <f>HYPERLINK("imagenes/NAUTICA_MENS_208003355_NVY_3.jpg","Ver imagen")</f>
        <v/>
      </c>
    </row>
    <row r="2574">
      <c r="A2574" t="inlineStr">
        <is>
          <t>NAUTICA MENS</t>
        </is>
      </c>
      <c r="B2574" t="inlineStr">
        <is>
          <t>208003355</t>
        </is>
      </c>
      <c r="C2574" t="inlineStr">
        <is>
          <t>FLIGHT JACKET</t>
        </is>
      </c>
      <c r="D2574" t="inlineStr">
        <is>
          <t>NVY</t>
        </is>
      </c>
      <c r="E2574" t="inlineStr">
        <is>
          <t>(en blanco)</t>
        </is>
      </c>
      <c r="F2574" t="inlineStr">
        <is>
          <t>D2C</t>
        </is>
      </c>
      <c r="G2574" t="inlineStr">
        <is>
          <t>XXL</t>
        </is>
      </c>
      <c r="H2574" t="n">
        <v>32</v>
      </c>
      <c r="I2574" t="inlineStr">
        <is>
          <t>NAUTICA_MENS_208003355_NVY_1.jpg</t>
        </is>
      </c>
      <c r="J2574" t="inlineStr">
        <is>
          <t>NAUTICA_MENS_208003355_NVY_2.jpg</t>
        </is>
      </c>
      <c r="K2574" t="inlineStr">
        <is>
          <t>NAUTICA_MENS_208003355_NVY_3.jpg</t>
        </is>
      </c>
      <c r="L2574">
        <f>IMAGE("file:///E:/Estudios%20y%20certificaciones/ESTUDIOS%20DE%20PROGRAMMING/PROGRAMMING/PERSONAL/PYTHON/Image_Generator_API/imagenes/NAUTICA_MENS_208003355_NVY_1.jpg")</f>
        <v/>
      </c>
      <c r="M2574">
        <f>IMAGE("file:///E:/Estudios%20y%20certificaciones/ESTUDIOS%20DE%20PROGRAMMING/PROGRAMMING/PERSONAL/PYTHON/Image_Generator_API/imagenes/NAUTICA_MENS_208003355_NVY_2.jpg")</f>
        <v/>
      </c>
      <c r="N2574">
        <f>IMAGE("file:///E:/Estudios%20y%20certificaciones/ESTUDIOS%20DE%20PROGRAMMING/PROGRAMMING/PERSONAL/PYTHON/Image_Generator_API/imagenes/NAUTICA_MENS_208003355_NVY_3.jpg")</f>
        <v/>
      </c>
      <c r="O2574">
        <f>HYPERLINK("imagenes/NAUTICA_MENS_208003355_NVY_1.jpg","Ver imagen")</f>
        <v/>
      </c>
      <c r="P2574">
        <f>HYPERLINK("imagenes/NAUTICA_MENS_208003355_NVY_2.jpg","Ver imagen")</f>
        <v/>
      </c>
      <c r="Q2574">
        <f>HYPERLINK("imagenes/NAUTICA_MENS_208003355_NVY_3.jpg","Ver imagen")</f>
        <v/>
      </c>
    </row>
    <row r="2575">
      <c r="A2575" t="inlineStr">
        <is>
          <t>NAUTICA MENS</t>
        </is>
      </c>
      <c r="B2575" t="inlineStr">
        <is>
          <t>208003355</t>
        </is>
      </c>
      <c r="C2575" t="inlineStr">
        <is>
          <t>FLIGHT JACKET</t>
        </is>
      </c>
      <c r="D2575" t="inlineStr">
        <is>
          <t>NVY</t>
        </is>
      </c>
      <c r="E2575" t="inlineStr">
        <is>
          <t>(en blanco)</t>
        </is>
      </c>
      <c r="F2575" t="inlineStr">
        <is>
          <t>(en blanco)</t>
        </is>
      </c>
      <c r="G2575" t="inlineStr">
        <is>
          <t>XL</t>
        </is>
      </c>
      <c r="H2575" t="n">
        <v>1</v>
      </c>
      <c r="I2575" t="inlineStr">
        <is>
          <t>NAUTICA_MENS_208003355_NVY_1.jpg</t>
        </is>
      </c>
      <c r="J2575" t="inlineStr">
        <is>
          <t>NAUTICA_MENS_208003355_NVY_2.jpg</t>
        </is>
      </c>
      <c r="K2575" t="inlineStr">
        <is>
          <t>NAUTICA_MENS_208003355_NVY_3.jpg</t>
        </is>
      </c>
      <c r="L2575">
        <f>IMAGE("file:///E:/Estudios%20y%20certificaciones/ESTUDIOS%20DE%20PROGRAMMING/PROGRAMMING/PERSONAL/PYTHON/Image_Generator_API/imagenes/NAUTICA_MENS_208003355_NVY_1.jpg")</f>
        <v/>
      </c>
      <c r="M2575">
        <f>IMAGE("file:///E:/Estudios%20y%20certificaciones/ESTUDIOS%20DE%20PROGRAMMING/PROGRAMMING/PERSONAL/PYTHON/Image_Generator_API/imagenes/NAUTICA_MENS_208003355_NVY_2.jpg")</f>
        <v/>
      </c>
      <c r="N2575">
        <f>IMAGE("file:///E:/Estudios%20y%20certificaciones/ESTUDIOS%20DE%20PROGRAMMING/PROGRAMMING/PERSONAL/PYTHON/Image_Generator_API/imagenes/NAUTICA_MENS_208003355_NVY_3.jpg")</f>
        <v/>
      </c>
      <c r="O2575">
        <f>HYPERLINK("imagenes/NAUTICA_MENS_208003355_NVY_1.jpg","Ver imagen")</f>
        <v/>
      </c>
      <c r="P2575">
        <f>HYPERLINK("imagenes/NAUTICA_MENS_208003355_NVY_2.jpg","Ver imagen")</f>
        <v/>
      </c>
      <c r="Q2575">
        <f>HYPERLINK("imagenes/NAUTICA_MENS_208003355_NVY_3.jpg","Ver imagen")</f>
        <v/>
      </c>
    </row>
    <row r="2576">
      <c r="A2576" t="inlineStr">
        <is>
          <t>NAUTICA MENS</t>
        </is>
      </c>
      <c r="B2576" t="inlineStr">
        <is>
          <t>208003376</t>
        </is>
      </c>
      <c r="C2576" t="inlineStr">
        <is>
          <t>COLOR BLOCKED TRANSITIONAL JACKET</t>
        </is>
      </c>
      <c r="D2576" t="inlineStr">
        <is>
          <t>BGI</t>
        </is>
      </c>
      <c r="E2576" t="inlineStr">
        <is>
          <t>(en blanco)</t>
        </is>
      </c>
      <c r="F2576" t="inlineStr">
        <is>
          <t>(en blanco)</t>
        </is>
      </c>
      <c r="G2576" t="inlineStr">
        <is>
          <t>S</t>
        </is>
      </c>
      <c r="H2576" t="n">
        <v>2</v>
      </c>
      <c r="I2576" t="inlineStr">
        <is>
          <t>NAUTICA_MENS_208003376_BGI_1.jpg</t>
        </is>
      </c>
      <c r="J2576" t="inlineStr">
        <is>
          <t>NAUTICA_MENS_208003376_BGI_2.jpg</t>
        </is>
      </c>
      <c r="K2576" t="inlineStr">
        <is>
          <t>NAUTICA_MENS_208003376_BGI_3.jpg</t>
        </is>
      </c>
      <c r="L2576">
        <f>IMAGE("file:///E:/Estudios%20y%20certificaciones/ESTUDIOS%20DE%20PROGRAMMING/PROGRAMMING/PERSONAL/PYTHON/Image_Generator_API/imagenes/NAUTICA_MENS_208003376_BGI_1.jpg")</f>
        <v/>
      </c>
      <c r="M2576">
        <f>IMAGE("file:///E:/Estudios%20y%20certificaciones/ESTUDIOS%20DE%20PROGRAMMING/PROGRAMMING/PERSONAL/PYTHON/Image_Generator_API/imagenes/NAUTICA_MENS_208003376_BGI_2.jpg")</f>
        <v/>
      </c>
      <c r="N2576">
        <f>IMAGE("file:///E:/Estudios%20y%20certificaciones/ESTUDIOS%20DE%20PROGRAMMING/PROGRAMMING/PERSONAL/PYTHON/Image_Generator_API/imagenes/NAUTICA_MENS_208003376_BGI_3.jpg")</f>
        <v/>
      </c>
      <c r="O2576">
        <f>HYPERLINK("imagenes/NAUTICA_MENS_208003376_BGI_1.jpg","Ver imagen")</f>
        <v/>
      </c>
      <c r="P2576">
        <f>HYPERLINK("imagenes/NAUTICA_MENS_208003376_BGI_2.jpg","Ver imagen")</f>
        <v/>
      </c>
      <c r="Q2576">
        <f>HYPERLINK("imagenes/NAUTICA_MENS_208003376_BGI_3.jpg","Ver imagen")</f>
        <v/>
      </c>
    </row>
    <row r="2577">
      <c r="A2577" t="inlineStr">
        <is>
          <t>NAUTICA MENS</t>
        </is>
      </c>
      <c r="B2577" t="inlineStr">
        <is>
          <t>208003376</t>
        </is>
      </c>
      <c r="C2577" t="inlineStr">
        <is>
          <t>COLOR BLOCKED TRANSITIONAL JACKET</t>
        </is>
      </c>
      <c r="D2577" t="inlineStr">
        <is>
          <t>BGI</t>
        </is>
      </c>
      <c r="E2577" t="inlineStr">
        <is>
          <t>(en blanco)</t>
        </is>
      </c>
      <c r="F2577" t="inlineStr">
        <is>
          <t>(en blanco)</t>
        </is>
      </c>
      <c r="G2577" t="inlineStr">
        <is>
          <t>M</t>
        </is>
      </c>
      <c r="H2577" t="n">
        <v>0</v>
      </c>
      <c r="I2577" t="inlineStr">
        <is>
          <t>NAUTICA_MENS_208003376_BGI_1.jpg</t>
        </is>
      </c>
      <c r="J2577" t="inlineStr">
        <is>
          <t>NAUTICA_MENS_208003376_BGI_2.jpg</t>
        </is>
      </c>
      <c r="K2577" t="inlineStr">
        <is>
          <t>NAUTICA_MENS_208003376_BGI_3.jpg</t>
        </is>
      </c>
      <c r="L2577">
        <f>IMAGE("file:///E:/Estudios%20y%20certificaciones/ESTUDIOS%20DE%20PROGRAMMING/PROGRAMMING/PERSONAL/PYTHON/Image_Generator_API/imagenes/NAUTICA_MENS_208003376_BGI_1.jpg")</f>
        <v/>
      </c>
      <c r="M2577">
        <f>IMAGE("file:///E:/Estudios%20y%20certificaciones/ESTUDIOS%20DE%20PROGRAMMING/PROGRAMMING/PERSONAL/PYTHON/Image_Generator_API/imagenes/NAUTICA_MENS_208003376_BGI_2.jpg")</f>
        <v/>
      </c>
      <c r="N2577">
        <f>IMAGE("file:///E:/Estudios%20y%20certificaciones/ESTUDIOS%20DE%20PROGRAMMING/PROGRAMMING/PERSONAL/PYTHON/Image_Generator_API/imagenes/NAUTICA_MENS_208003376_BGI_3.jpg")</f>
        <v/>
      </c>
      <c r="O2577">
        <f>HYPERLINK("imagenes/NAUTICA_MENS_208003376_BGI_1.jpg","Ver imagen")</f>
        <v/>
      </c>
      <c r="P2577">
        <f>HYPERLINK("imagenes/NAUTICA_MENS_208003376_BGI_2.jpg","Ver imagen")</f>
        <v/>
      </c>
      <c r="Q2577">
        <f>HYPERLINK("imagenes/NAUTICA_MENS_208003376_BGI_3.jpg","Ver imagen")</f>
        <v/>
      </c>
    </row>
    <row r="2578">
      <c r="A2578" t="inlineStr">
        <is>
          <t>NAUTICA MENS</t>
        </is>
      </c>
      <c r="B2578" t="inlineStr">
        <is>
          <t>208003376</t>
        </is>
      </c>
      <c r="C2578" t="inlineStr">
        <is>
          <t>COLOR BLOCKED TRANSITIONAL JACKET</t>
        </is>
      </c>
      <c r="D2578" t="inlineStr">
        <is>
          <t>BGI</t>
        </is>
      </c>
      <c r="E2578" t="inlineStr">
        <is>
          <t>(en blanco)</t>
        </is>
      </c>
      <c r="F2578" t="inlineStr">
        <is>
          <t>(en blanco)</t>
        </is>
      </c>
      <c r="G2578" t="inlineStr">
        <is>
          <t>L</t>
        </is>
      </c>
      <c r="H2578" t="n">
        <v>14</v>
      </c>
      <c r="I2578" t="inlineStr">
        <is>
          <t>NAUTICA_MENS_208003376_BGI_1.jpg</t>
        </is>
      </c>
      <c r="J2578" t="inlineStr">
        <is>
          <t>NAUTICA_MENS_208003376_BGI_2.jpg</t>
        </is>
      </c>
      <c r="K2578" t="inlineStr">
        <is>
          <t>NAUTICA_MENS_208003376_BGI_3.jpg</t>
        </is>
      </c>
      <c r="L2578">
        <f>IMAGE("file:///E:/Estudios%20y%20certificaciones/ESTUDIOS%20DE%20PROGRAMMING/PROGRAMMING/PERSONAL/PYTHON/Image_Generator_API/imagenes/NAUTICA_MENS_208003376_BGI_1.jpg")</f>
        <v/>
      </c>
      <c r="M2578">
        <f>IMAGE("file:///E:/Estudios%20y%20certificaciones/ESTUDIOS%20DE%20PROGRAMMING/PROGRAMMING/PERSONAL/PYTHON/Image_Generator_API/imagenes/NAUTICA_MENS_208003376_BGI_2.jpg")</f>
        <v/>
      </c>
      <c r="N2578">
        <f>IMAGE("file:///E:/Estudios%20y%20certificaciones/ESTUDIOS%20DE%20PROGRAMMING/PROGRAMMING/PERSONAL/PYTHON/Image_Generator_API/imagenes/NAUTICA_MENS_208003376_BGI_3.jpg")</f>
        <v/>
      </c>
      <c r="O2578">
        <f>HYPERLINK("imagenes/NAUTICA_MENS_208003376_BGI_1.jpg","Ver imagen")</f>
        <v/>
      </c>
      <c r="P2578">
        <f>HYPERLINK("imagenes/NAUTICA_MENS_208003376_BGI_2.jpg","Ver imagen")</f>
        <v/>
      </c>
      <c r="Q2578">
        <f>HYPERLINK("imagenes/NAUTICA_MENS_208003376_BGI_3.jpg","Ver imagen")</f>
        <v/>
      </c>
    </row>
    <row r="2579">
      <c r="A2579" t="inlineStr">
        <is>
          <t>NAUTICA MENS</t>
        </is>
      </c>
      <c r="B2579" t="inlineStr">
        <is>
          <t>208003376</t>
        </is>
      </c>
      <c r="C2579" t="inlineStr">
        <is>
          <t>COLOR BLOCKED TRANSITIONAL JACKET</t>
        </is>
      </c>
      <c r="D2579" t="inlineStr">
        <is>
          <t>BGI</t>
        </is>
      </c>
      <c r="E2579" t="inlineStr">
        <is>
          <t>(en blanco)</t>
        </is>
      </c>
      <c r="F2579" t="inlineStr">
        <is>
          <t>(en blanco)</t>
        </is>
      </c>
      <c r="G2579" t="inlineStr">
        <is>
          <t>XL</t>
        </is>
      </c>
      <c r="H2579" t="n">
        <v>7</v>
      </c>
      <c r="I2579" t="inlineStr">
        <is>
          <t>NAUTICA_MENS_208003376_BGI_1.jpg</t>
        </is>
      </c>
      <c r="J2579" t="inlineStr">
        <is>
          <t>NAUTICA_MENS_208003376_BGI_2.jpg</t>
        </is>
      </c>
      <c r="K2579" t="inlineStr">
        <is>
          <t>NAUTICA_MENS_208003376_BGI_3.jpg</t>
        </is>
      </c>
      <c r="L2579">
        <f>IMAGE("file:///E:/Estudios%20y%20certificaciones/ESTUDIOS%20DE%20PROGRAMMING/PROGRAMMING/PERSONAL/PYTHON/Image_Generator_API/imagenes/NAUTICA_MENS_208003376_BGI_1.jpg")</f>
        <v/>
      </c>
      <c r="M2579">
        <f>IMAGE("file:///E:/Estudios%20y%20certificaciones/ESTUDIOS%20DE%20PROGRAMMING/PROGRAMMING/PERSONAL/PYTHON/Image_Generator_API/imagenes/NAUTICA_MENS_208003376_BGI_2.jpg")</f>
        <v/>
      </c>
      <c r="N2579">
        <f>IMAGE("file:///E:/Estudios%20y%20certificaciones/ESTUDIOS%20DE%20PROGRAMMING/PROGRAMMING/PERSONAL/PYTHON/Image_Generator_API/imagenes/NAUTICA_MENS_208003376_BGI_3.jpg")</f>
        <v/>
      </c>
      <c r="O2579">
        <f>HYPERLINK("imagenes/NAUTICA_MENS_208003376_BGI_1.jpg","Ver imagen")</f>
        <v/>
      </c>
      <c r="P2579">
        <f>HYPERLINK("imagenes/NAUTICA_MENS_208003376_BGI_2.jpg","Ver imagen")</f>
        <v/>
      </c>
      <c r="Q2579">
        <f>HYPERLINK("imagenes/NAUTICA_MENS_208003376_BGI_3.jpg","Ver imagen")</f>
        <v/>
      </c>
    </row>
    <row r="2580">
      <c r="A2580" t="inlineStr">
        <is>
          <t>NAUTICA MENS</t>
        </is>
      </c>
      <c r="B2580" t="inlineStr">
        <is>
          <t>208003376</t>
        </is>
      </c>
      <c r="C2580" t="inlineStr">
        <is>
          <t>COLOR BLOCKED TRANSITIONAL JACKET</t>
        </is>
      </c>
      <c r="D2580" t="inlineStr">
        <is>
          <t>BGI</t>
        </is>
      </c>
      <c r="E2580" t="inlineStr">
        <is>
          <t>(en blanco)</t>
        </is>
      </c>
      <c r="F2580" t="inlineStr">
        <is>
          <t>(en blanco)</t>
        </is>
      </c>
      <c r="G2580" t="inlineStr">
        <is>
          <t>XXL</t>
        </is>
      </c>
      <c r="H2580" t="n">
        <v>3</v>
      </c>
      <c r="I2580" t="inlineStr">
        <is>
          <t>NAUTICA_MENS_208003376_BGI_1.jpg</t>
        </is>
      </c>
      <c r="J2580" t="inlineStr">
        <is>
          <t>NAUTICA_MENS_208003376_BGI_2.jpg</t>
        </is>
      </c>
      <c r="K2580" t="inlineStr">
        <is>
          <t>NAUTICA_MENS_208003376_BGI_3.jpg</t>
        </is>
      </c>
      <c r="L2580">
        <f>IMAGE("file:///E:/Estudios%20y%20certificaciones/ESTUDIOS%20DE%20PROGRAMMING/PROGRAMMING/PERSONAL/PYTHON/Image_Generator_API/imagenes/NAUTICA_MENS_208003376_BGI_1.jpg")</f>
        <v/>
      </c>
      <c r="M2580">
        <f>IMAGE("file:///E:/Estudios%20y%20certificaciones/ESTUDIOS%20DE%20PROGRAMMING/PROGRAMMING/PERSONAL/PYTHON/Image_Generator_API/imagenes/NAUTICA_MENS_208003376_BGI_2.jpg")</f>
        <v/>
      </c>
      <c r="N2580">
        <f>IMAGE("file:///E:/Estudios%20y%20certificaciones/ESTUDIOS%20DE%20PROGRAMMING/PROGRAMMING/PERSONAL/PYTHON/Image_Generator_API/imagenes/NAUTICA_MENS_208003376_BGI_3.jpg")</f>
        <v/>
      </c>
      <c r="O2580">
        <f>HYPERLINK("imagenes/NAUTICA_MENS_208003376_BGI_1.jpg","Ver imagen")</f>
        <v/>
      </c>
      <c r="P2580">
        <f>HYPERLINK("imagenes/NAUTICA_MENS_208003376_BGI_2.jpg","Ver imagen")</f>
        <v/>
      </c>
      <c r="Q2580">
        <f>HYPERLINK("imagenes/NAUTICA_MENS_208003376_BGI_3.jpg","Ver imagen")</f>
        <v/>
      </c>
    </row>
    <row r="2581">
      <c r="A2581" t="inlineStr">
        <is>
          <t>NAUTICA MENS</t>
        </is>
      </c>
      <c r="B2581" t="inlineStr">
        <is>
          <t>208003396</t>
        </is>
      </c>
      <c r="C2581" t="inlineStr">
        <is>
          <t>LIGHT WEIGHT PACKABLE SHELL JACKET</t>
        </is>
      </c>
      <c r="D2581" t="inlineStr">
        <is>
          <t>BGI</t>
        </is>
      </c>
      <c r="E2581" t="inlineStr">
        <is>
          <t>(en blanco)</t>
        </is>
      </c>
      <c r="F2581" t="inlineStr">
        <is>
          <t>(en blanco)</t>
        </is>
      </c>
      <c r="G2581" t="inlineStr">
        <is>
          <t>2X</t>
        </is>
      </c>
      <c r="H2581" t="n">
        <v>5</v>
      </c>
      <c r="I2581" t="inlineStr">
        <is>
          <t>NAUTICA_MENS_208003396_BGI_2.jpg</t>
        </is>
      </c>
      <c r="J2581" t="inlineStr">
        <is>
          <t>NAUTICA_MENS_208003396_BGI_3.jpg</t>
        </is>
      </c>
      <c r="L2581">
        <f>IMAGE("file:///E:/Estudios%20y%20certificaciones/ESTUDIOS%20DE%20PROGRAMMING/PROGRAMMING/PERSONAL/PYTHON/Image_Generator_API/imagenes/NAUTICA_MENS_208003396_BGI_2.jpg")</f>
        <v/>
      </c>
      <c r="M2581">
        <f>IMAGE("file:///E:/Estudios%20y%20certificaciones/ESTUDIOS%20DE%20PROGRAMMING/PROGRAMMING/PERSONAL/PYTHON/Image_Generator_API/imagenes/NAUTICA_MENS_208003396_BGI_3.jpg")</f>
        <v/>
      </c>
      <c r="O2581">
        <f>HYPERLINK("imagenes/NAUTICA_MENS_208003396_BGI_2.jpg","Ver imagen")</f>
        <v/>
      </c>
      <c r="P2581">
        <f>HYPERLINK("imagenes/NAUTICA_MENS_208003396_BGI_3.jpg","Ver imagen")</f>
        <v/>
      </c>
    </row>
    <row r="2582">
      <c r="A2582" t="inlineStr">
        <is>
          <t>NAUTICA MENS</t>
        </is>
      </c>
      <c r="B2582" t="inlineStr">
        <is>
          <t>208003396</t>
        </is>
      </c>
      <c r="C2582" t="inlineStr">
        <is>
          <t>LIGHT WEIGHT PACKABLE SHELL JACKET</t>
        </is>
      </c>
      <c r="D2582" t="inlineStr">
        <is>
          <t>BGI</t>
        </is>
      </c>
      <c r="E2582" t="inlineStr">
        <is>
          <t>(en blanco)</t>
        </is>
      </c>
      <c r="F2582" t="inlineStr">
        <is>
          <t>(en blanco)</t>
        </is>
      </c>
      <c r="G2582" t="inlineStr">
        <is>
          <t>3X</t>
        </is>
      </c>
      <c r="H2582" t="n">
        <v>6</v>
      </c>
      <c r="I2582" t="inlineStr">
        <is>
          <t>NAUTICA_MENS_208003396_BGI_2.jpg</t>
        </is>
      </c>
      <c r="J2582" t="inlineStr">
        <is>
          <t>NAUTICA_MENS_208003396_BGI_3.jpg</t>
        </is>
      </c>
      <c r="L2582">
        <f>IMAGE("file:///E:/Estudios%20y%20certificaciones/ESTUDIOS%20DE%20PROGRAMMING/PROGRAMMING/PERSONAL/PYTHON/Image_Generator_API/imagenes/NAUTICA_MENS_208003396_BGI_2.jpg")</f>
        <v/>
      </c>
      <c r="M2582">
        <f>IMAGE("file:///E:/Estudios%20y%20certificaciones/ESTUDIOS%20DE%20PROGRAMMING/PROGRAMMING/PERSONAL/PYTHON/Image_Generator_API/imagenes/NAUTICA_MENS_208003396_BGI_3.jpg")</f>
        <v/>
      </c>
      <c r="O2582">
        <f>HYPERLINK("imagenes/NAUTICA_MENS_208003396_BGI_2.jpg","Ver imagen")</f>
        <v/>
      </c>
      <c r="P2582">
        <f>HYPERLINK("imagenes/NAUTICA_MENS_208003396_BGI_3.jpg","Ver imagen")</f>
        <v/>
      </c>
    </row>
    <row r="2583">
      <c r="A2583" t="inlineStr">
        <is>
          <t>NAUTICA MENS</t>
        </is>
      </c>
      <c r="B2583" t="inlineStr">
        <is>
          <t>208003396</t>
        </is>
      </c>
      <c r="C2583" t="inlineStr">
        <is>
          <t>LIGHT WEIGHT PACKABLE SHELL JACKET</t>
        </is>
      </c>
      <c r="D2583" t="inlineStr">
        <is>
          <t>BGI</t>
        </is>
      </c>
      <c r="E2583" t="inlineStr">
        <is>
          <t>(en blanco)</t>
        </is>
      </c>
      <c r="F2583" t="inlineStr">
        <is>
          <t>(en blanco)</t>
        </is>
      </c>
      <c r="G2583" t="inlineStr">
        <is>
          <t>4X</t>
        </is>
      </c>
      <c r="H2583" t="n">
        <v>9</v>
      </c>
      <c r="I2583" t="inlineStr">
        <is>
          <t>NAUTICA_MENS_208003396_BGI_2.jpg</t>
        </is>
      </c>
      <c r="J2583" t="inlineStr">
        <is>
          <t>NAUTICA_MENS_208003396_BGI_3.jpg</t>
        </is>
      </c>
      <c r="L2583">
        <f>IMAGE("file:///E:/Estudios%20y%20certificaciones/ESTUDIOS%20DE%20PROGRAMMING/PROGRAMMING/PERSONAL/PYTHON/Image_Generator_API/imagenes/NAUTICA_MENS_208003396_BGI_2.jpg")</f>
        <v/>
      </c>
      <c r="M2583">
        <f>IMAGE("file:///E:/Estudios%20y%20certificaciones/ESTUDIOS%20DE%20PROGRAMMING/PROGRAMMING/PERSONAL/PYTHON/Image_Generator_API/imagenes/NAUTICA_MENS_208003396_BGI_3.jpg")</f>
        <v/>
      </c>
      <c r="O2583">
        <f>HYPERLINK("imagenes/NAUTICA_MENS_208003396_BGI_2.jpg","Ver imagen")</f>
        <v/>
      </c>
      <c r="P2583">
        <f>HYPERLINK("imagenes/NAUTICA_MENS_208003396_BGI_3.jpg","Ver imagen")</f>
        <v/>
      </c>
    </row>
    <row r="2584">
      <c r="A2584" t="inlineStr">
        <is>
          <t>NAUTICA MENS</t>
        </is>
      </c>
      <c r="B2584" t="inlineStr">
        <is>
          <t>208003396</t>
        </is>
      </c>
      <c r="C2584" t="inlineStr">
        <is>
          <t>LIGHT WEIGHT PACKABLE SHELL JACKET</t>
        </is>
      </c>
      <c r="D2584" t="inlineStr">
        <is>
          <t>BGI</t>
        </is>
      </c>
      <c r="E2584" t="inlineStr">
        <is>
          <t>(en blanco)</t>
        </is>
      </c>
      <c r="F2584" t="inlineStr">
        <is>
          <t>(en blanco)</t>
        </is>
      </c>
      <c r="G2584" t="inlineStr">
        <is>
          <t>6X</t>
        </is>
      </c>
      <c r="H2584" t="n">
        <v>6</v>
      </c>
      <c r="I2584" t="inlineStr">
        <is>
          <t>NAUTICA_MENS_208003396_BGI_2.jpg</t>
        </is>
      </c>
      <c r="J2584" t="inlineStr">
        <is>
          <t>NAUTICA_MENS_208003396_BGI_3.jpg</t>
        </is>
      </c>
      <c r="L2584">
        <f>IMAGE("file:///E:/Estudios%20y%20certificaciones/ESTUDIOS%20DE%20PROGRAMMING/PROGRAMMING/PERSONAL/PYTHON/Image_Generator_API/imagenes/NAUTICA_MENS_208003396_BGI_2.jpg")</f>
        <v/>
      </c>
      <c r="M2584">
        <f>IMAGE("file:///E:/Estudios%20y%20certificaciones/ESTUDIOS%20DE%20PROGRAMMING/PROGRAMMING/PERSONAL/PYTHON/Image_Generator_API/imagenes/NAUTICA_MENS_208003396_BGI_3.jpg")</f>
        <v/>
      </c>
      <c r="O2584">
        <f>HYPERLINK("imagenes/NAUTICA_MENS_208003396_BGI_2.jpg","Ver imagen")</f>
        <v/>
      </c>
      <c r="P2584">
        <f>HYPERLINK("imagenes/NAUTICA_MENS_208003396_BGI_3.jpg","Ver imagen")</f>
        <v/>
      </c>
    </row>
    <row r="2585">
      <c r="A2585" t="inlineStr">
        <is>
          <t>NAUTICA MENS</t>
        </is>
      </c>
      <c r="B2585" t="inlineStr">
        <is>
          <t>208003396</t>
        </is>
      </c>
      <c r="C2585" t="inlineStr">
        <is>
          <t>LIGHT WEIGHT PACKABLE SHELL JACKET</t>
        </is>
      </c>
      <c r="D2585" t="inlineStr">
        <is>
          <t>NVY</t>
        </is>
      </c>
      <c r="E2585" t="inlineStr">
        <is>
          <t>(en blanco)</t>
        </is>
      </c>
      <c r="F2585" t="inlineStr">
        <is>
          <t>(en blanco)</t>
        </is>
      </c>
      <c r="G2585" t="inlineStr">
        <is>
          <t>3X</t>
        </is>
      </c>
      <c r="H2585" t="n">
        <v>2</v>
      </c>
      <c r="I2585" t="inlineStr">
        <is>
          <t>NAUTICA_MENS_208003396_NVY_1.jpg</t>
        </is>
      </c>
      <c r="J2585" t="inlineStr">
        <is>
          <t>NAUTICA_MENS_208003396_NVY_2.jpg</t>
        </is>
      </c>
      <c r="K2585" t="inlineStr">
        <is>
          <t>NAUTICA_MENS_208003396_NVY_3.jpg</t>
        </is>
      </c>
      <c r="L2585">
        <f>IMAGE("file:///E:/Estudios%20y%20certificaciones/ESTUDIOS%20DE%20PROGRAMMING/PROGRAMMING/PERSONAL/PYTHON/Image_Generator_API/imagenes/NAUTICA_MENS_208003396_NVY_1.jpg")</f>
        <v/>
      </c>
      <c r="M2585">
        <f>IMAGE("file:///E:/Estudios%20y%20certificaciones/ESTUDIOS%20DE%20PROGRAMMING/PROGRAMMING/PERSONAL/PYTHON/Image_Generator_API/imagenes/NAUTICA_MENS_208003396_NVY_2.jpg")</f>
        <v/>
      </c>
      <c r="N2585">
        <f>IMAGE("file:///E:/Estudios%20y%20certificaciones/ESTUDIOS%20DE%20PROGRAMMING/PROGRAMMING/PERSONAL/PYTHON/Image_Generator_API/imagenes/NAUTICA_MENS_208003396_NVY_3.jpg")</f>
        <v/>
      </c>
      <c r="O2585">
        <f>HYPERLINK("imagenes/NAUTICA_MENS_208003396_NVY_1.jpg","Ver imagen")</f>
        <v/>
      </c>
      <c r="P2585">
        <f>HYPERLINK("imagenes/NAUTICA_MENS_208003396_NVY_2.jpg","Ver imagen")</f>
        <v/>
      </c>
      <c r="Q2585">
        <f>HYPERLINK("imagenes/NAUTICA_MENS_208003396_NVY_3.jpg","Ver imagen")</f>
        <v/>
      </c>
    </row>
    <row r="2586">
      <c r="A2586" t="inlineStr">
        <is>
          <t>NAUTICA MENS</t>
        </is>
      </c>
      <c r="B2586" t="inlineStr">
        <is>
          <t>208003396</t>
        </is>
      </c>
      <c r="C2586" t="inlineStr">
        <is>
          <t>LIGHT WEIGHT PACKABLE SHELL JACKET</t>
        </is>
      </c>
      <c r="D2586" t="inlineStr">
        <is>
          <t>NVY</t>
        </is>
      </c>
      <c r="E2586" t="inlineStr">
        <is>
          <t>(en blanco)</t>
        </is>
      </c>
      <c r="F2586" t="inlineStr">
        <is>
          <t>(en blanco)</t>
        </is>
      </c>
      <c r="G2586" t="inlineStr">
        <is>
          <t>5X</t>
        </is>
      </c>
      <c r="H2586" t="n">
        <v>1</v>
      </c>
      <c r="I2586" t="inlineStr">
        <is>
          <t>NAUTICA_MENS_208003396_NVY_1.jpg</t>
        </is>
      </c>
      <c r="J2586" t="inlineStr">
        <is>
          <t>NAUTICA_MENS_208003396_NVY_2.jpg</t>
        </is>
      </c>
      <c r="K2586" t="inlineStr">
        <is>
          <t>NAUTICA_MENS_208003396_NVY_3.jpg</t>
        </is>
      </c>
      <c r="L2586">
        <f>IMAGE("file:///E:/Estudios%20y%20certificaciones/ESTUDIOS%20DE%20PROGRAMMING/PROGRAMMING/PERSONAL/PYTHON/Image_Generator_API/imagenes/NAUTICA_MENS_208003396_NVY_1.jpg")</f>
        <v/>
      </c>
      <c r="M2586">
        <f>IMAGE("file:///E:/Estudios%20y%20certificaciones/ESTUDIOS%20DE%20PROGRAMMING/PROGRAMMING/PERSONAL/PYTHON/Image_Generator_API/imagenes/NAUTICA_MENS_208003396_NVY_2.jpg")</f>
        <v/>
      </c>
      <c r="N2586">
        <f>IMAGE("file:///E:/Estudios%20y%20certificaciones/ESTUDIOS%20DE%20PROGRAMMING/PROGRAMMING/PERSONAL/PYTHON/Image_Generator_API/imagenes/NAUTICA_MENS_208003396_NVY_3.jpg")</f>
        <v/>
      </c>
      <c r="O2586">
        <f>HYPERLINK("imagenes/NAUTICA_MENS_208003396_NVY_1.jpg","Ver imagen")</f>
        <v/>
      </c>
      <c r="P2586">
        <f>HYPERLINK("imagenes/NAUTICA_MENS_208003396_NVY_2.jpg","Ver imagen")</f>
        <v/>
      </c>
      <c r="Q2586">
        <f>HYPERLINK("imagenes/NAUTICA_MENS_208003396_NVY_3.jpg","Ver imagen")</f>
        <v/>
      </c>
    </row>
    <row r="2587">
      <c r="A2587" t="inlineStr">
        <is>
          <t>NAUTICA MENS</t>
        </is>
      </c>
      <c r="B2587" t="inlineStr">
        <is>
          <t>208003401</t>
        </is>
      </c>
      <c r="C2587" t="inlineStr">
        <is>
          <t>LIGHT WEIGHT PACKABLE SHELL JACKET</t>
        </is>
      </c>
      <c r="D2587" t="inlineStr">
        <is>
          <t>BGI</t>
        </is>
      </c>
      <c r="E2587" t="inlineStr">
        <is>
          <t>(en blanco)</t>
        </is>
      </c>
      <c r="F2587" t="inlineStr">
        <is>
          <t>(en blanco)</t>
        </is>
      </c>
      <c r="G2587" t="inlineStr">
        <is>
          <t>XLT</t>
        </is>
      </c>
      <c r="H2587" t="n">
        <v>5</v>
      </c>
      <c r="I2587" t="inlineStr">
        <is>
          <t>NAUTICA_MENS_208003401_BGI_2.jpg</t>
        </is>
      </c>
      <c r="J2587" t="inlineStr">
        <is>
          <t>NAUTICA_MENS_208003401_BGI_3.jpg</t>
        </is>
      </c>
      <c r="L2587">
        <f>IMAGE("file:///E:/Estudios%20y%20certificaciones/ESTUDIOS%20DE%20PROGRAMMING/PROGRAMMING/PERSONAL/PYTHON/Image_Generator_API/imagenes/NAUTICA_MENS_208003401_BGI_2.jpg")</f>
        <v/>
      </c>
      <c r="M2587">
        <f>IMAGE("file:///E:/Estudios%20y%20certificaciones/ESTUDIOS%20DE%20PROGRAMMING/PROGRAMMING/PERSONAL/PYTHON/Image_Generator_API/imagenes/NAUTICA_MENS_208003401_BGI_3.jpg")</f>
        <v/>
      </c>
      <c r="O2587">
        <f>HYPERLINK("imagenes/NAUTICA_MENS_208003401_BGI_2.jpg","Ver imagen")</f>
        <v/>
      </c>
      <c r="P2587">
        <f>HYPERLINK("imagenes/NAUTICA_MENS_208003401_BGI_3.jpg","Ver imagen")</f>
        <v/>
      </c>
    </row>
    <row r="2588">
      <c r="A2588" t="inlineStr">
        <is>
          <t>NAUTICA MENS</t>
        </is>
      </c>
      <c r="B2588" t="inlineStr">
        <is>
          <t>208003401</t>
        </is>
      </c>
      <c r="C2588" t="inlineStr">
        <is>
          <t>LIGHT WEIGHT PACKABLE SHELL JACKET</t>
        </is>
      </c>
      <c r="D2588" t="inlineStr">
        <is>
          <t>NVY</t>
        </is>
      </c>
      <c r="E2588" t="inlineStr">
        <is>
          <t>(en blanco)</t>
        </is>
      </c>
      <c r="F2588" t="inlineStr">
        <is>
          <t>(en blanco)</t>
        </is>
      </c>
      <c r="G2588" t="inlineStr">
        <is>
          <t>2XLT</t>
        </is>
      </c>
      <c r="H2588" t="n">
        <v>1</v>
      </c>
      <c r="I2588" t="inlineStr">
        <is>
          <t>NAUTICA_MENS_208003401_NVY_1.jpg</t>
        </is>
      </c>
      <c r="J2588" t="inlineStr">
        <is>
          <t>NAUTICA_MENS_208003401_NVY_2.jpg</t>
        </is>
      </c>
      <c r="K2588" t="inlineStr">
        <is>
          <t>NAUTICA_MENS_208003401_NVY_3.jpg</t>
        </is>
      </c>
      <c r="L2588">
        <f>IMAGE("file:///E:/Estudios%20y%20certificaciones/ESTUDIOS%20DE%20PROGRAMMING/PROGRAMMING/PERSONAL/PYTHON/Image_Generator_API/imagenes/NAUTICA_MENS_208003401_NVY_1.jpg")</f>
        <v/>
      </c>
      <c r="M2588">
        <f>IMAGE("file:///E:/Estudios%20y%20certificaciones/ESTUDIOS%20DE%20PROGRAMMING/PROGRAMMING/PERSONAL/PYTHON/Image_Generator_API/imagenes/NAUTICA_MENS_208003401_NVY_2.jpg")</f>
        <v/>
      </c>
      <c r="N2588">
        <f>IMAGE("file:///E:/Estudios%20y%20certificaciones/ESTUDIOS%20DE%20PROGRAMMING/PROGRAMMING/PERSONAL/PYTHON/Image_Generator_API/imagenes/NAUTICA_MENS_208003401_NVY_3.jpg")</f>
        <v/>
      </c>
      <c r="O2588">
        <f>HYPERLINK("imagenes/NAUTICA_MENS_208003401_NVY_1.jpg","Ver imagen")</f>
        <v/>
      </c>
      <c r="P2588">
        <f>HYPERLINK("imagenes/NAUTICA_MENS_208003401_NVY_2.jpg","Ver imagen")</f>
        <v/>
      </c>
      <c r="Q2588">
        <f>HYPERLINK("imagenes/NAUTICA_MENS_208003401_NVY_3.jpg","Ver imagen")</f>
        <v/>
      </c>
    </row>
    <row r="2589">
      <c r="A2589" t="inlineStr">
        <is>
          <t>NAUTICA MENS</t>
        </is>
      </c>
      <c r="B2589" t="inlineStr">
        <is>
          <t>208003402</t>
        </is>
      </c>
      <c r="C2589" t="inlineStr">
        <is>
          <t>SALING JACKET</t>
        </is>
      </c>
      <c r="D2589" t="inlineStr">
        <is>
          <t>BGI</t>
        </is>
      </c>
      <c r="E2589" t="inlineStr">
        <is>
          <t>(en blanco)</t>
        </is>
      </c>
      <c r="F2589" t="inlineStr">
        <is>
          <t>D2C</t>
        </is>
      </c>
      <c r="G2589" t="inlineStr">
        <is>
          <t>2X</t>
        </is>
      </c>
      <c r="H2589" t="n">
        <v>37</v>
      </c>
      <c r="I2589" t="inlineStr">
        <is>
          <t>NAUTICA_MENS_208003402_BGI_1.jpg</t>
        </is>
      </c>
      <c r="J2589" t="inlineStr">
        <is>
          <t>NAUTICA_MENS_208003402_BGI_2.jpg</t>
        </is>
      </c>
      <c r="K2589" t="inlineStr">
        <is>
          <t>NAUTICA_MENS_208003402_BGI_3.jpg</t>
        </is>
      </c>
      <c r="L2589">
        <f>IMAGE("file:///E:/Estudios%20y%20certificaciones/ESTUDIOS%20DE%20PROGRAMMING/PROGRAMMING/PERSONAL/PYTHON/Image_Generator_API/imagenes/NAUTICA_MENS_208003402_BGI_1.jpg")</f>
        <v/>
      </c>
      <c r="M2589">
        <f>IMAGE("file:///E:/Estudios%20y%20certificaciones/ESTUDIOS%20DE%20PROGRAMMING/PROGRAMMING/PERSONAL/PYTHON/Image_Generator_API/imagenes/NAUTICA_MENS_208003402_BGI_2.jpg")</f>
        <v/>
      </c>
      <c r="N2589">
        <f>IMAGE("file:///E:/Estudios%20y%20certificaciones/ESTUDIOS%20DE%20PROGRAMMING/PROGRAMMING/PERSONAL/PYTHON/Image_Generator_API/imagenes/NAUTICA_MENS_208003402_BGI_3.jpg")</f>
        <v/>
      </c>
      <c r="O2589">
        <f>HYPERLINK("imagenes/NAUTICA_MENS_208003402_BGI_1.jpg","Ver imagen")</f>
        <v/>
      </c>
      <c r="P2589">
        <f>HYPERLINK("imagenes/NAUTICA_MENS_208003402_BGI_2.jpg","Ver imagen")</f>
        <v/>
      </c>
      <c r="Q2589">
        <f>HYPERLINK("imagenes/NAUTICA_MENS_208003402_BGI_3.jpg","Ver imagen")</f>
        <v/>
      </c>
    </row>
    <row r="2590">
      <c r="A2590" t="inlineStr">
        <is>
          <t>NAUTICA MENS</t>
        </is>
      </c>
      <c r="B2590" t="inlineStr">
        <is>
          <t>208003402</t>
        </is>
      </c>
      <c r="C2590" t="inlineStr">
        <is>
          <t>SALING JACKET</t>
        </is>
      </c>
      <c r="D2590" t="inlineStr">
        <is>
          <t>BGI</t>
        </is>
      </c>
      <c r="E2590" t="inlineStr">
        <is>
          <t>(en blanco)</t>
        </is>
      </c>
      <c r="F2590" t="inlineStr">
        <is>
          <t>D2C</t>
        </is>
      </c>
      <c r="G2590" t="inlineStr">
        <is>
          <t>3X</t>
        </is>
      </c>
      <c r="H2590" t="n">
        <v>62</v>
      </c>
      <c r="I2590" t="inlineStr">
        <is>
          <t>NAUTICA_MENS_208003402_BGI_1.jpg</t>
        </is>
      </c>
      <c r="J2590" t="inlineStr">
        <is>
          <t>NAUTICA_MENS_208003402_BGI_2.jpg</t>
        </is>
      </c>
      <c r="K2590" t="inlineStr">
        <is>
          <t>NAUTICA_MENS_208003402_BGI_3.jpg</t>
        </is>
      </c>
      <c r="L2590">
        <f>IMAGE("file:///E:/Estudios%20y%20certificaciones/ESTUDIOS%20DE%20PROGRAMMING/PROGRAMMING/PERSONAL/PYTHON/Image_Generator_API/imagenes/NAUTICA_MENS_208003402_BGI_1.jpg")</f>
        <v/>
      </c>
      <c r="M2590">
        <f>IMAGE("file:///E:/Estudios%20y%20certificaciones/ESTUDIOS%20DE%20PROGRAMMING/PROGRAMMING/PERSONAL/PYTHON/Image_Generator_API/imagenes/NAUTICA_MENS_208003402_BGI_2.jpg")</f>
        <v/>
      </c>
      <c r="N2590">
        <f>IMAGE("file:///E:/Estudios%20y%20certificaciones/ESTUDIOS%20DE%20PROGRAMMING/PROGRAMMING/PERSONAL/PYTHON/Image_Generator_API/imagenes/NAUTICA_MENS_208003402_BGI_3.jpg")</f>
        <v/>
      </c>
      <c r="O2590">
        <f>HYPERLINK("imagenes/NAUTICA_MENS_208003402_BGI_1.jpg","Ver imagen")</f>
        <v/>
      </c>
      <c r="P2590">
        <f>HYPERLINK("imagenes/NAUTICA_MENS_208003402_BGI_2.jpg","Ver imagen")</f>
        <v/>
      </c>
      <c r="Q2590">
        <f>HYPERLINK("imagenes/NAUTICA_MENS_208003402_BGI_3.jpg","Ver imagen")</f>
        <v/>
      </c>
    </row>
    <row r="2591">
      <c r="A2591" t="inlineStr">
        <is>
          <t>NAUTICA MENS</t>
        </is>
      </c>
      <c r="B2591" t="inlineStr">
        <is>
          <t>208003402</t>
        </is>
      </c>
      <c r="C2591" t="inlineStr">
        <is>
          <t>SALING JACKET</t>
        </is>
      </c>
      <c r="D2591" t="inlineStr">
        <is>
          <t>BGI</t>
        </is>
      </c>
      <c r="E2591" t="inlineStr">
        <is>
          <t>(en blanco)</t>
        </is>
      </c>
      <c r="F2591" t="inlineStr">
        <is>
          <t>D2C</t>
        </is>
      </c>
      <c r="G2591" t="inlineStr">
        <is>
          <t>4X</t>
        </is>
      </c>
      <c r="H2591" t="n">
        <v>47</v>
      </c>
      <c r="I2591" t="inlineStr">
        <is>
          <t>NAUTICA_MENS_208003402_BGI_1.jpg</t>
        </is>
      </c>
      <c r="J2591" t="inlineStr">
        <is>
          <t>NAUTICA_MENS_208003402_BGI_2.jpg</t>
        </is>
      </c>
      <c r="K2591" t="inlineStr">
        <is>
          <t>NAUTICA_MENS_208003402_BGI_3.jpg</t>
        </is>
      </c>
      <c r="L2591">
        <f>IMAGE("file:///E:/Estudios%20y%20certificaciones/ESTUDIOS%20DE%20PROGRAMMING/PROGRAMMING/PERSONAL/PYTHON/Image_Generator_API/imagenes/NAUTICA_MENS_208003402_BGI_1.jpg")</f>
        <v/>
      </c>
      <c r="M2591">
        <f>IMAGE("file:///E:/Estudios%20y%20certificaciones/ESTUDIOS%20DE%20PROGRAMMING/PROGRAMMING/PERSONAL/PYTHON/Image_Generator_API/imagenes/NAUTICA_MENS_208003402_BGI_2.jpg")</f>
        <v/>
      </c>
      <c r="N2591">
        <f>IMAGE("file:///E:/Estudios%20y%20certificaciones/ESTUDIOS%20DE%20PROGRAMMING/PROGRAMMING/PERSONAL/PYTHON/Image_Generator_API/imagenes/NAUTICA_MENS_208003402_BGI_3.jpg")</f>
        <v/>
      </c>
      <c r="O2591">
        <f>HYPERLINK("imagenes/NAUTICA_MENS_208003402_BGI_1.jpg","Ver imagen")</f>
        <v/>
      </c>
      <c r="P2591">
        <f>HYPERLINK("imagenes/NAUTICA_MENS_208003402_BGI_2.jpg","Ver imagen")</f>
        <v/>
      </c>
      <c r="Q2591">
        <f>HYPERLINK("imagenes/NAUTICA_MENS_208003402_BGI_3.jpg","Ver imagen")</f>
        <v/>
      </c>
    </row>
    <row r="2592">
      <c r="A2592" t="inlineStr">
        <is>
          <t>NAUTICA MENS</t>
        </is>
      </c>
      <c r="B2592" t="inlineStr">
        <is>
          <t>208003402</t>
        </is>
      </c>
      <c r="C2592" t="inlineStr">
        <is>
          <t>SALING JACKET</t>
        </is>
      </c>
      <c r="D2592" t="inlineStr">
        <is>
          <t>BGI</t>
        </is>
      </c>
      <c r="E2592" t="inlineStr">
        <is>
          <t>(en blanco)</t>
        </is>
      </c>
      <c r="F2592" t="inlineStr">
        <is>
          <t>D2C</t>
        </is>
      </c>
      <c r="G2592" t="inlineStr">
        <is>
          <t>5X</t>
        </is>
      </c>
      <c r="H2592" t="n">
        <v>44</v>
      </c>
      <c r="I2592" t="inlineStr">
        <is>
          <t>NAUTICA_MENS_208003402_BGI_1.jpg</t>
        </is>
      </c>
      <c r="J2592" t="inlineStr">
        <is>
          <t>NAUTICA_MENS_208003402_BGI_2.jpg</t>
        </is>
      </c>
      <c r="K2592" t="inlineStr">
        <is>
          <t>NAUTICA_MENS_208003402_BGI_3.jpg</t>
        </is>
      </c>
      <c r="L2592">
        <f>IMAGE("file:///E:/Estudios%20y%20certificaciones/ESTUDIOS%20DE%20PROGRAMMING/PROGRAMMING/PERSONAL/PYTHON/Image_Generator_API/imagenes/NAUTICA_MENS_208003402_BGI_1.jpg")</f>
        <v/>
      </c>
      <c r="M2592">
        <f>IMAGE("file:///E:/Estudios%20y%20certificaciones/ESTUDIOS%20DE%20PROGRAMMING/PROGRAMMING/PERSONAL/PYTHON/Image_Generator_API/imagenes/NAUTICA_MENS_208003402_BGI_2.jpg")</f>
        <v/>
      </c>
      <c r="N2592">
        <f>IMAGE("file:///E:/Estudios%20y%20certificaciones/ESTUDIOS%20DE%20PROGRAMMING/PROGRAMMING/PERSONAL/PYTHON/Image_Generator_API/imagenes/NAUTICA_MENS_208003402_BGI_3.jpg")</f>
        <v/>
      </c>
      <c r="O2592">
        <f>HYPERLINK("imagenes/NAUTICA_MENS_208003402_BGI_1.jpg","Ver imagen")</f>
        <v/>
      </c>
      <c r="P2592">
        <f>HYPERLINK("imagenes/NAUTICA_MENS_208003402_BGI_2.jpg","Ver imagen")</f>
        <v/>
      </c>
      <c r="Q2592">
        <f>HYPERLINK("imagenes/NAUTICA_MENS_208003402_BGI_3.jpg","Ver imagen")</f>
        <v/>
      </c>
    </row>
    <row r="2593">
      <c r="A2593" t="inlineStr">
        <is>
          <t>NAUTICA MENS</t>
        </is>
      </c>
      <c r="B2593" t="inlineStr">
        <is>
          <t>208003402</t>
        </is>
      </c>
      <c r="C2593" t="inlineStr">
        <is>
          <t>SALING JACKET</t>
        </is>
      </c>
      <c r="D2593" t="inlineStr">
        <is>
          <t>BGI</t>
        </is>
      </c>
      <c r="E2593" t="inlineStr">
        <is>
          <t>(en blanco)</t>
        </is>
      </c>
      <c r="F2593" t="inlineStr">
        <is>
          <t>D2C</t>
        </is>
      </c>
      <c r="G2593" t="inlineStr">
        <is>
          <t>6X</t>
        </is>
      </c>
      <c r="H2593" t="n">
        <v>40</v>
      </c>
      <c r="I2593" t="inlineStr">
        <is>
          <t>NAUTICA_MENS_208003402_BGI_1.jpg</t>
        </is>
      </c>
      <c r="J2593" t="inlineStr">
        <is>
          <t>NAUTICA_MENS_208003402_BGI_2.jpg</t>
        </is>
      </c>
      <c r="K2593" t="inlineStr">
        <is>
          <t>NAUTICA_MENS_208003402_BGI_3.jpg</t>
        </is>
      </c>
      <c r="L2593">
        <f>IMAGE("file:///E:/Estudios%20y%20certificaciones/ESTUDIOS%20DE%20PROGRAMMING/PROGRAMMING/PERSONAL/PYTHON/Image_Generator_API/imagenes/NAUTICA_MENS_208003402_BGI_1.jpg")</f>
        <v/>
      </c>
      <c r="M2593">
        <f>IMAGE("file:///E:/Estudios%20y%20certificaciones/ESTUDIOS%20DE%20PROGRAMMING/PROGRAMMING/PERSONAL/PYTHON/Image_Generator_API/imagenes/NAUTICA_MENS_208003402_BGI_2.jpg")</f>
        <v/>
      </c>
      <c r="N2593">
        <f>IMAGE("file:///E:/Estudios%20y%20certificaciones/ESTUDIOS%20DE%20PROGRAMMING/PROGRAMMING/PERSONAL/PYTHON/Image_Generator_API/imagenes/NAUTICA_MENS_208003402_BGI_3.jpg")</f>
        <v/>
      </c>
      <c r="O2593">
        <f>HYPERLINK("imagenes/NAUTICA_MENS_208003402_BGI_1.jpg","Ver imagen")</f>
        <v/>
      </c>
      <c r="P2593">
        <f>HYPERLINK("imagenes/NAUTICA_MENS_208003402_BGI_2.jpg","Ver imagen")</f>
        <v/>
      </c>
      <c r="Q2593">
        <f>HYPERLINK("imagenes/NAUTICA_MENS_208003402_BGI_3.jpg","Ver imagen")</f>
        <v/>
      </c>
    </row>
    <row r="2594">
      <c r="A2594" t="inlineStr">
        <is>
          <t>NAUTICA MENS</t>
        </is>
      </c>
      <c r="B2594" t="inlineStr">
        <is>
          <t>208003402</t>
        </is>
      </c>
      <c r="C2594" t="inlineStr">
        <is>
          <t>SALING JACKET</t>
        </is>
      </c>
      <c r="D2594" t="inlineStr">
        <is>
          <t>BGI</t>
        </is>
      </c>
      <c r="E2594" t="inlineStr">
        <is>
          <t>(en blanco)</t>
        </is>
      </c>
      <c r="F2594" t="inlineStr">
        <is>
          <t>D2C</t>
        </is>
      </c>
      <c r="G2594" t="inlineStr">
        <is>
          <t>8X</t>
        </is>
      </c>
      <c r="H2594" t="n">
        <v>17</v>
      </c>
      <c r="I2594" t="inlineStr">
        <is>
          <t>NAUTICA_MENS_208003402_BGI_1.jpg</t>
        </is>
      </c>
      <c r="J2594" t="inlineStr">
        <is>
          <t>NAUTICA_MENS_208003402_BGI_2.jpg</t>
        </is>
      </c>
      <c r="K2594" t="inlineStr">
        <is>
          <t>NAUTICA_MENS_208003402_BGI_3.jpg</t>
        </is>
      </c>
      <c r="L2594">
        <f>IMAGE("file:///E:/Estudios%20y%20certificaciones/ESTUDIOS%20DE%20PROGRAMMING/PROGRAMMING/PERSONAL/PYTHON/Image_Generator_API/imagenes/NAUTICA_MENS_208003402_BGI_1.jpg")</f>
        <v/>
      </c>
      <c r="M2594">
        <f>IMAGE("file:///E:/Estudios%20y%20certificaciones/ESTUDIOS%20DE%20PROGRAMMING/PROGRAMMING/PERSONAL/PYTHON/Image_Generator_API/imagenes/NAUTICA_MENS_208003402_BGI_2.jpg")</f>
        <v/>
      </c>
      <c r="N2594">
        <f>IMAGE("file:///E:/Estudios%20y%20certificaciones/ESTUDIOS%20DE%20PROGRAMMING/PROGRAMMING/PERSONAL/PYTHON/Image_Generator_API/imagenes/NAUTICA_MENS_208003402_BGI_3.jpg")</f>
        <v/>
      </c>
      <c r="O2594">
        <f>HYPERLINK("imagenes/NAUTICA_MENS_208003402_BGI_1.jpg","Ver imagen")</f>
        <v/>
      </c>
      <c r="P2594">
        <f>HYPERLINK("imagenes/NAUTICA_MENS_208003402_BGI_2.jpg","Ver imagen")</f>
        <v/>
      </c>
      <c r="Q2594">
        <f>HYPERLINK("imagenes/NAUTICA_MENS_208003402_BGI_3.jpg","Ver imagen")</f>
        <v/>
      </c>
    </row>
    <row r="2595">
      <c r="A2595" t="inlineStr">
        <is>
          <t>NAUTICA MENS</t>
        </is>
      </c>
      <c r="B2595" t="inlineStr">
        <is>
          <t>208003402</t>
        </is>
      </c>
      <c r="C2595" t="inlineStr">
        <is>
          <t>SALING JACKET</t>
        </is>
      </c>
      <c r="D2595" t="inlineStr">
        <is>
          <t>NVY</t>
        </is>
      </c>
      <c r="E2595" t="inlineStr">
        <is>
          <t>(en blanco)</t>
        </is>
      </c>
      <c r="F2595" t="inlineStr">
        <is>
          <t>D2C</t>
        </is>
      </c>
      <c r="G2595" t="inlineStr">
        <is>
          <t>2X</t>
        </is>
      </c>
      <c r="H2595" t="n">
        <v>12</v>
      </c>
      <c r="I2595" t="inlineStr">
        <is>
          <t>NAUTICA_MENS_208003402_NVY_1.jpg</t>
        </is>
      </c>
      <c r="J2595" t="inlineStr">
        <is>
          <t>NAUTICA_MENS_208003402_NVY_2.jpg</t>
        </is>
      </c>
      <c r="K2595" t="inlineStr">
        <is>
          <t>NAUTICA_MENS_208003402_NVY_3.jpg</t>
        </is>
      </c>
      <c r="L2595">
        <f>IMAGE("file:///E:/Estudios%20y%20certificaciones/ESTUDIOS%20DE%20PROGRAMMING/PROGRAMMING/PERSONAL/PYTHON/Image_Generator_API/imagenes/NAUTICA_MENS_208003402_NVY_1.jpg")</f>
        <v/>
      </c>
      <c r="M2595">
        <f>IMAGE("file:///E:/Estudios%20y%20certificaciones/ESTUDIOS%20DE%20PROGRAMMING/PROGRAMMING/PERSONAL/PYTHON/Image_Generator_API/imagenes/NAUTICA_MENS_208003402_NVY_2.jpg")</f>
        <v/>
      </c>
      <c r="N2595">
        <f>IMAGE("file:///E:/Estudios%20y%20certificaciones/ESTUDIOS%20DE%20PROGRAMMING/PROGRAMMING/PERSONAL/PYTHON/Image_Generator_API/imagenes/NAUTICA_MENS_208003402_NVY_3.jpg")</f>
        <v/>
      </c>
      <c r="O2595">
        <f>HYPERLINK("imagenes/NAUTICA_MENS_208003402_NVY_1.jpg","Ver imagen")</f>
        <v/>
      </c>
      <c r="P2595">
        <f>HYPERLINK("imagenes/NAUTICA_MENS_208003402_NVY_2.jpg","Ver imagen")</f>
        <v/>
      </c>
      <c r="Q2595">
        <f>HYPERLINK("imagenes/NAUTICA_MENS_208003402_NVY_3.jpg","Ver imagen")</f>
        <v/>
      </c>
    </row>
    <row r="2596">
      <c r="A2596" t="inlineStr">
        <is>
          <t>NAUTICA MENS</t>
        </is>
      </c>
      <c r="B2596" t="inlineStr">
        <is>
          <t>208003402</t>
        </is>
      </c>
      <c r="C2596" t="inlineStr">
        <is>
          <t>SALING JACKET</t>
        </is>
      </c>
      <c r="D2596" t="inlineStr">
        <is>
          <t>NVY</t>
        </is>
      </c>
      <c r="E2596" t="inlineStr">
        <is>
          <t>(en blanco)</t>
        </is>
      </c>
      <c r="F2596" t="inlineStr">
        <is>
          <t>D2C</t>
        </is>
      </c>
      <c r="G2596" t="inlineStr">
        <is>
          <t>3X</t>
        </is>
      </c>
      <c r="H2596" t="n">
        <v>23</v>
      </c>
      <c r="I2596" t="inlineStr">
        <is>
          <t>NAUTICA_MENS_208003402_NVY_1.jpg</t>
        </is>
      </c>
      <c r="J2596" t="inlineStr">
        <is>
          <t>NAUTICA_MENS_208003402_NVY_2.jpg</t>
        </is>
      </c>
      <c r="K2596" t="inlineStr">
        <is>
          <t>NAUTICA_MENS_208003402_NVY_3.jpg</t>
        </is>
      </c>
      <c r="L2596">
        <f>IMAGE("file:///E:/Estudios%20y%20certificaciones/ESTUDIOS%20DE%20PROGRAMMING/PROGRAMMING/PERSONAL/PYTHON/Image_Generator_API/imagenes/NAUTICA_MENS_208003402_NVY_1.jpg")</f>
        <v/>
      </c>
      <c r="M2596">
        <f>IMAGE("file:///E:/Estudios%20y%20certificaciones/ESTUDIOS%20DE%20PROGRAMMING/PROGRAMMING/PERSONAL/PYTHON/Image_Generator_API/imagenes/NAUTICA_MENS_208003402_NVY_2.jpg")</f>
        <v/>
      </c>
      <c r="N2596">
        <f>IMAGE("file:///E:/Estudios%20y%20certificaciones/ESTUDIOS%20DE%20PROGRAMMING/PROGRAMMING/PERSONAL/PYTHON/Image_Generator_API/imagenes/NAUTICA_MENS_208003402_NVY_3.jpg")</f>
        <v/>
      </c>
      <c r="O2596">
        <f>HYPERLINK("imagenes/NAUTICA_MENS_208003402_NVY_1.jpg","Ver imagen")</f>
        <v/>
      </c>
      <c r="P2596">
        <f>HYPERLINK("imagenes/NAUTICA_MENS_208003402_NVY_2.jpg","Ver imagen")</f>
        <v/>
      </c>
      <c r="Q2596">
        <f>HYPERLINK("imagenes/NAUTICA_MENS_208003402_NVY_3.jpg","Ver imagen")</f>
        <v/>
      </c>
    </row>
    <row r="2597">
      <c r="A2597" t="inlineStr">
        <is>
          <t>NAUTICA MENS</t>
        </is>
      </c>
      <c r="B2597" t="inlineStr">
        <is>
          <t>208003402</t>
        </is>
      </c>
      <c r="C2597" t="inlineStr">
        <is>
          <t>SALING JACKET</t>
        </is>
      </c>
      <c r="D2597" t="inlineStr">
        <is>
          <t>NVY</t>
        </is>
      </c>
      <c r="E2597" t="inlineStr">
        <is>
          <t>(en blanco)</t>
        </is>
      </c>
      <c r="F2597" t="inlineStr">
        <is>
          <t>D2C</t>
        </is>
      </c>
      <c r="G2597" t="inlineStr">
        <is>
          <t>4X</t>
        </is>
      </c>
      <c r="H2597" t="n">
        <v>19</v>
      </c>
      <c r="I2597" t="inlineStr">
        <is>
          <t>NAUTICA_MENS_208003402_NVY_1.jpg</t>
        </is>
      </c>
      <c r="J2597" t="inlineStr">
        <is>
          <t>NAUTICA_MENS_208003402_NVY_2.jpg</t>
        </is>
      </c>
      <c r="K2597" t="inlineStr">
        <is>
          <t>NAUTICA_MENS_208003402_NVY_3.jpg</t>
        </is>
      </c>
      <c r="L2597">
        <f>IMAGE("file:///E:/Estudios%20y%20certificaciones/ESTUDIOS%20DE%20PROGRAMMING/PROGRAMMING/PERSONAL/PYTHON/Image_Generator_API/imagenes/NAUTICA_MENS_208003402_NVY_1.jpg")</f>
        <v/>
      </c>
      <c r="M2597">
        <f>IMAGE("file:///E:/Estudios%20y%20certificaciones/ESTUDIOS%20DE%20PROGRAMMING/PROGRAMMING/PERSONAL/PYTHON/Image_Generator_API/imagenes/NAUTICA_MENS_208003402_NVY_2.jpg")</f>
        <v/>
      </c>
      <c r="N2597">
        <f>IMAGE("file:///E:/Estudios%20y%20certificaciones/ESTUDIOS%20DE%20PROGRAMMING/PROGRAMMING/PERSONAL/PYTHON/Image_Generator_API/imagenes/NAUTICA_MENS_208003402_NVY_3.jpg")</f>
        <v/>
      </c>
      <c r="O2597">
        <f>HYPERLINK("imagenes/NAUTICA_MENS_208003402_NVY_1.jpg","Ver imagen")</f>
        <v/>
      </c>
      <c r="P2597">
        <f>HYPERLINK("imagenes/NAUTICA_MENS_208003402_NVY_2.jpg","Ver imagen")</f>
        <v/>
      </c>
      <c r="Q2597">
        <f>HYPERLINK("imagenes/NAUTICA_MENS_208003402_NVY_3.jpg","Ver imagen")</f>
        <v/>
      </c>
    </row>
    <row r="2598">
      <c r="A2598" t="inlineStr">
        <is>
          <t>NAUTICA MENS</t>
        </is>
      </c>
      <c r="B2598" t="inlineStr">
        <is>
          <t>208003402</t>
        </is>
      </c>
      <c r="C2598" t="inlineStr">
        <is>
          <t>SALING JACKET</t>
        </is>
      </c>
      <c r="D2598" t="inlineStr">
        <is>
          <t>NVY</t>
        </is>
      </c>
      <c r="E2598" t="inlineStr">
        <is>
          <t>(en blanco)</t>
        </is>
      </c>
      <c r="F2598" t="inlineStr">
        <is>
          <t>D2C</t>
        </is>
      </c>
      <c r="G2598" t="inlineStr">
        <is>
          <t>5X</t>
        </is>
      </c>
      <c r="H2598" t="n">
        <v>11</v>
      </c>
      <c r="I2598" t="inlineStr">
        <is>
          <t>NAUTICA_MENS_208003402_NVY_1.jpg</t>
        </is>
      </c>
      <c r="J2598" t="inlineStr">
        <is>
          <t>NAUTICA_MENS_208003402_NVY_2.jpg</t>
        </is>
      </c>
      <c r="K2598" t="inlineStr">
        <is>
          <t>NAUTICA_MENS_208003402_NVY_3.jpg</t>
        </is>
      </c>
      <c r="L2598">
        <f>IMAGE("file:///E:/Estudios%20y%20certificaciones/ESTUDIOS%20DE%20PROGRAMMING/PROGRAMMING/PERSONAL/PYTHON/Image_Generator_API/imagenes/NAUTICA_MENS_208003402_NVY_1.jpg")</f>
        <v/>
      </c>
      <c r="M2598">
        <f>IMAGE("file:///E:/Estudios%20y%20certificaciones/ESTUDIOS%20DE%20PROGRAMMING/PROGRAMMING/PERSONAL/PYTHON/Image_Generator_API/imagenes/NAUTICA_MENS_208003402_NVY_2.jpg")</f>
        <v/>
      </c>
      <c r="N2598">
        <f>IMAGE("file:///E:/Estudios%20y%20certificaciones/ESTUDIOS%20DE%20PROGRAMMING/PROGRAMMING/PERSONAL/PYTHON/Image_Generator_API/imagenes/NAUTICA_MENS_208003402_NVY_3.jpg")</f>
        <v/>
      </c>
      <c r="O2598">
        <f>HYPERLINK("imagenes/NAUTICA_MENS_208003402_NVY_1.jpg","Ver imagen")</f>
        <v/>
      </c>
      <c r="P2598">
        <f>HYPERLINK("imagenes/NAUTICA_MENS_208003402_NVY_2.jpg","Ver imagen")</f>
        <v/>
      </c>
      <c r="Q2598">
        <f>HYPERLINK("imagenes/NAUTICA_MENS_208003402_NVY_3.jpg","Ver imagen")</f>
        <v/>
      </c>
    </row>
    <row r="2599">
      <c r="A2599" t="inlineStr">
        <is>
          <t>NAUTICA MENS</t>
        </is>
      </c>
      <c r="B2599" t="inlineStr">
        <is>
          <t>208003402</t>
        </is>
      </c>
      <c r="C2599" t="inlineStr">
        <is>
          <t>SALING JACKET</t>
        </is>
      </c>
      <c r="D2599" t="inlineStr">
        <is>
          <t>NVY</t>
        </is>
      </c>
      <c r="E2599" t="inlineStr">
        <is>
          <t>(en blanco)</t>
        </is>
      </c>
      <c r="F2599" t="inlineStr">
        <is>
          <t>D2C</t>
        </is>
      </c>
      <c r="G2599" t="inlineStr">
        <is>
          <t>6X</t>
        </is>
      </c>
      <c r="H2599" t="n">
        <v>10</v>
      </c>
      <c r="I2599" t="inlineStr">
        <is>
          <t>NAUTICA_MENS_208003402_NVY_1.jpg</t>
        </is>
      </c>
      <c r="J2599" t="inlineStr">
        <is>
          <t>NAUTICA_MENS_208003402_NVY_2.jpg</t>
        </is>
      </c>
      <c r="K2599" t="inlineStr">
        <is>
          <t>NAUTICA_MENS_208003402_NVY_3.jpg</t>
        </is>
      </c>
      <c r="L2599">
        <f>IMAGE("file:///E:/Estudios%20y%20certificaciones/ESTUDIOS%20DE%20PROGRAMMING/PROGRAMMING/PERSONAL/PYTHON/Image_Generator_API/imagenes/NAUTICA_MENS_208003402_NVY_1.jpg")</f>
        <v/>
      </c>
      <c r="M2599">
        <f>IMAGE("file:///E:/Estudios%20y%20certificaciones/ESTUDIOS%20DE%20PROGRAMMING/PROGRAMMING/PERSONAL/PYTHON/Image_Generator_API/imagenes/NAUTICA_MENS_208003402_NVY_2.jpg")</f>
        <v/>
      </c>
      <c r="N2599">
        <f>IMAGE("file:///E:/Estudios%20y%20certificaciones/ESTUDIOS%20DE%20PROGRAMMING/PROGRAMMING/PERSONAL/PYTHON/Image_Generator_API/imagenes/NAUTICA_MENS_208003402_NVY_3.jpg")</f>
        <v/>
      </c>
      <c r="O2599">
        <f>HYPERLINK("imagenes/NAUTICA_MENS_208003402_NVY_1.jpg","Ver imagen")</f>
        <v/>
      </c>
      <c r="P2599">
        <f>HYPERLINK("imagenes/NAUTICA_MENS_208003402_NVY_2.jpg","Ver imagen")</f>
        <v/>
      </c>
      <c r="Q2599">
        <f>HYPERLINK("imagenes/NAUTICA_MENS_208003402_NVY_3.jpg","Ver imagen")</f>
        <v/>
      </c>
    </row>
    <row r="2600">
      <c r="A2600" t="inlineStr">
        <is>
          <t>NAUTICA MENS</t>
        </is>
      </c>
      <c r="B2600" t="inlineStr">
        <is>
          <t>208003402</t>
        </is>
      </c>
      <c r="C2600" t="inlineStr">
        <is>
          <t>SALING JACKET</t>
        </is>
      </c>
      <c r="D2600" t="inlineStr">
        <is>
          <t>NVY</t>
        </is>
      </c>
      <c r="E2600" t="inlineStr">
        <is>
          <t>(en blanco)</t>
        </is>
      </c>
      <c r="F2600" t="inlineStr">
        <is>
          <t>D2C</t>
        </is>
      </c>
      <c r="G2600" t="inlineStr">
        <is>
          <t>8X</t>
        </is>
      </c>
      <c r="H2600" t="n">
        <v>7</v>
      </c>
      <c r="I2600" t="inlineStr">
        <is>
          <t>NAUTICA_MENS_208003402_NVY_1.jpg</t>
        </is>
      </c>
      <c r="J2600" t="inlineStr">
        <is>
          <t>NAUTICA_MENS_208003402_NVY_2.jpg</t>
        </is>
      </c>
      <c r="K2600" t="inlineStr">
        <is>
          <t>NAUTICA_MENS_208003402_NVY_3.jpg</t>
        </is>
      </c>
      <c r="L2600">
        <f>IMAGE("file:///E:/Estudios%20y%20certificaciones/ESTUDIOS%20DE%20PROGRAMMING/PROGRAMMING/PERSONAL/PYTHON/Image_Generator_API/imagenes/NAUTICA_MENS_208003402_NVY_1.jpg")</f>
        <v/>
      </c>
      <c r="M2600">
        <f>IMAGE("file:///E:/Estudios%20y%20certificaciones/ESTUDIOS%20DE%20PROGRAMMING/PROGRAMMING/PERSONAL/PYTHON/Image_Generator_API/imagenes/NAUTICA_MENS_208003402_NVY_2.jpg")</f>
        <v/>
      </c>
      <c r="N2600">
        <f>IMAGE("file:///E:/Estudios%20y%20certificaciones/ESTUDIOS%20DE%20PROGRAMMING/PROGRAMMING/PERSONAL/PYTHON/Image_Generator_API/imagenes/NAUTICA_MENS_208003402_NVY_3.jpg")</f>
        <v/>
      </c>
      <c r="O2600">
        <f>HYPERLINK("imagenes/NAUTICA_MENS_208003402_NVY_1.jpg","Ver imagen")</f>
        <v/>
      </c>
      <c r="P2600">
        <f>HYPERLINK("imagenes/NAUTICA_MENS_208003402_NVY_2.jpg","Ver imagen")</f>
        <v/>
      </c>
      <c r="Q2600">
        <f>HYPERLINK("imagenes/NAUTICA_MENS_208003402_NVY_3.jpg","Ver imagen")</f>
        <v/>
      </c>
    </row>
    <row r="2601">
      <c r="A2601" t="inlineStr">
        <is>
          <t>NAUTICA MENS</t>
        </is>
      </c>
      <c r="B2601" t="inlineStr">
        <is>
          <t>208003402</t>
        </is>
      </c>
      <c r="C2601" t="inlineStr">
        <is>
          <t>SALING JACKET</t>
        </is>
      </c>
      <c r="D2601" t="inlineStr">
        <is>
          <t>NVY</t>
        </is>
      </c>
      <c r="E2601" t="inlineStr">
        <is>
          <t>(en blanco)</t>
        </is>
      </c>
      <c r="F2601" t="inlineStr">
        <is>
          <t>(en blanco)</t>
        </is>
      </c>
      <c r="G2601" t="inlineStr">
        <is>
          <t>2X</t>
        </is>
      </c>
      <c r="H2601" t="n">
        <v>10</v>
      </c>
      <c r="I2601" t="inlineStr">
        <is>
          <t>NAUTICA_MENS_208003402_NVY_1.jpg</t>
        </is>
      </c>
      <c r="J2601" t="inlineStr">
        <is>
          <t>NAUTICA_MENS_208003402_NVY_2.jpg</t>
        </is>
      </c>
      <c r="K2601" t="inlineStr">
        <is>
          <t>NAUTICA_MENS_208003402_NVY_3.jpg</t>
        </is>
      </c>
      <c r="L2601">
        <f>IMAGE("file:///E:/Estudios%20y%20certificaciones/ESTUDIOS%20DE%20PROGRAMMING/PROGRAMMING/PERSONAL/PYTHON/Image_Generator_API/imagenes/NAUTICA_MENS_208003402_NVY_1.jpg")</f>
        <v/>
      </c>
      <c r="M2601">
        <f>IMAGE("file:///E:/Estudios%20y%20certificaciones/ESTUDIOS%20DE%20PROGRAMMING/PROGRAMMING/PERSONAL/PYTHON/Image_Generator_API/imagenes/NAUTICA_MENS_208003402_NVY_2.jpg")</f>
        <v/>
      </c>
      <c r="N2601">
        <f>IMAGE("file:///E:/Estudios%20y%20certificaciones/ESTUDIOS%20DE%20PROGRAMMING/PROGRAMMING/PERSONAL/PYTHON/Image_Generator_API/imagenes/NAUTICA_MENS_208003402_NVY_3.jpg")</f>
        <v/>
      </c>
      <c r="O2601">
        <f>HYPERLINK("imagenes/NAUTICA_MENS_208003402_NVY_1.jpg","Ver imagen")</f>
        <v/>
      </c>
      <c r="P2601">
        <f>HYPERLINK("imagenes/NAUTICA_MENS_208003402_NVY_2.jpg","Ver imagen")</f>
        <v/>
      </c>
      <c r="Q2601">
        <f>HYPERLINK("imagenes/NAUTICA_MENS_208003402_NVY_3.jpg","Ver imagen")</f>
        <v/>
      </c>
    </row>
    <row r="2602">
      <c r="A2602" t="inlineStr">
        <is>
          <t>NAUTICA MENS</t>
        </is>
      </c>
      <c r="B2602" t="inlineStr">
        <is>
          <t>208003402</t>
        </is>
      </c>
      <c r="C2602" t="inlineStr">
        <is>
          <t>SALING JACKET</t>
        </is>
      </c>
      <c r="D2602" t="inlineStr">
        <is>
          <t>NVY</t>
        </is>
      </c>
      <c r="E2602" t="inlineStr">
        <is>
          <t>(en blanco)</t>
        </is>
      </c>
      <c r="F2602" t="inlineStr">
        <is>
          <t>(en blanco)</t>
        </is>
      </c>
      <c r="G2602" t="inlineStr">
        <is>
          <t>3X</t>
        </is>
      </c>
      <c r="H2602" t="n">
        <v>23</v>
      </c>
      <c r="I2602" t="inlineStr">
        <is>
          <t>NAUTICA_MENS_208003402_NVY_1.jpg</t>
        </is>
      </c>
      <c r="J2602" t="inlineStr">
        <is>
          <t>NAUTICA_MENS_208003402_NVY_2.jpg</t>
        </is>
      </c>
      <c r="K2602" t="inlineStr">
        <is>
          <t>NAUTICA_MENS_208003402_NVY_3.jpg</t>
        </is>
      </c>
      <c r="L2602">
        <f>IMAGE("file:///E:/Estudios%20y%20certificaciones/ESTUDIOS%20DE%20PROGRAMMING/PROGRAMMING/PERSONAL/PYTHON/Image_Generator_API/imagenes/NAUTICA_MENS_208003402_NVY_1.jpg")</f>
        <v/>
      </c>
      <c r="M2602">
        <f>IMAGE("file:///E:/Estudios%20y%20certificaciones/ESTUDIOS%20DE%20PROGRAMMING/PROGRAMMING/PERSONAL/PYTHON/Image_Generator_API/imagenes/NAUTICA_MENS_208003402_NVY_2.jpg")</f>
        <v/>
      </c>
      <c r="N2602">
        <f>IMAGE("file:///E:/Estudios%20y%20certificaciones/ESTUDIOS%20DE%20PROGRAMMING/PROGRAMMING/PERSONAL/PYTHON/Image_Generator_API/imagenes/NAUTICA_MENS_208003402_NVY_3.jpg")</f>
        <v/>
      </c>
      <c r="O2602">
        <f>HYPERLINK("imagenes/NAUTICA_MENS_208003402_NVY_1.jpg","Ver imagen")</f>
        <v/>
      </c>
      <c r="P2602">
        <f>HYPERLINK("imagenes/NAUTICA_MENS_208003402_NVY_2.jpg","Ver imagen")</f>
        <v/>
      </c>
      <c r="Q2602">
        <f>HYPERLINK("imagenes/NAUTICA_MENS_208003402_NVY_3.jpg","Ver imagen")</f>
        <v/>
      </c>
    </row>
    <row r="2603">
      <c r="A2603" t="inlineStr">
        <is>
          <t>NAUTICA MENS</t>
        </is>
      </c>
      <c r="B2603" t="inlineStr">
        <is>
          <t>208003402</t>
        </is>
      </c>
      <c r="C2603" t="inlineStr">
        <is>
          <t>SALING JACKET</t>
        </is>
      </c>
      <c r="D2603" t="inlineStr">
        <is>
          <t>NVY</t>
        </is>
      </c>
      <c r="E2603" t="inlineStr">
        <is>
          <t>(en blanco)</t>
        </is>
      </c>
      <c r="F2603" t="inlineStr">
        <is>
          <t>(en blanco)</t>
        </is>
      </c>
      <c r="G2603" t="inlineStr">
        <is>
          <t>4X</t>
        </is>
      </c>
      <c r="H2603" t="n">
        <v>18</v>
      </c>
      <c r="I2603" t="inlineStr">
        <is>
          <t>NAUTICA_MENS_208003402_NVY_1.jpg</t>
        </is>
      </c>
      <c r="J2603" t="inlineStr">
        <is>
          <t>NAUTICA_MENS_208003402_NVY_2.jpg</t>
        </is>
      </c>
      <c r="K2603" t="inlineStr">
        <is>
          <t>NAUTICA_MENS_208003402_NVY_3.jpg</t>
        </is>
      </c>
      <c r="L2603">
        <f>IMAGE("file:///E:/Estudios%20y%20certificaciones/ESTUDIOS%20DE%20PROGRAMMING/PROGRAMMING/PERSONAL/PYTHON/Image_Generator_API/imagenes/NAUTICA_MENS_208003402_NVY_1.jpg")</f>
        <v/>
      </c>
      <c r="M2603">
        <f>IMAGE("file:///E:/Estudios%20y%20certificaciones/ESTUDIOS%20DE%20PROGRAMMING/PROGRAMMING/PERSONAL/PYTHON/Image_Generator_API/imagenes/NAUTICA_MENS_208003402_NVY_2.jpg")</f>
        <v/>
      </c>
      <c r="N2603">
        <f>IMAGE("file:///E:/Estudios%20y%20certificaciones/ESTUDIOS%20DE%20PROGRAMMING/PROGRAMMING/PERSONAL/PYTHON/Image_Generator_API/imagenes/NAUTICA_MENS_208003402_NVY_3.jpg")</f>
        <v/>
      </c>
      <c r="O2603">
        <f>HYPERLINK("imagenes/NAUTICA_MENS_208003402_NVY_1.jpg","Ver imagen")</f>
        <v/>
      </c>
      <c r="P2603">
        <f>HYPERLINK("imagenes/NAUTICA_MENS_208003402_NVY_2.jpg","Ver imagen")</f>
        <v/>
      </c>
      <c r="Q2603">
        <f>HYPERLINK("imagenes/NAUTICA_MENS_208003402_NVY_3.jpg","Ver imagen")</f>
        <v/>
      </c>
    </row>
    <row r="2604">
      <c r="A2604" t="inlineStr">
        <is>
          <t>NAUTICA MENS</t>
        </is>
      </c>
      <c r="B2604" t="inlineStr">
        <is>
          <t>208003402</t>
        </is>
      </c>
      <c r="C2604" t="inlineStr">
        <is>
          <t>SALING JACKET</t>
        </is>
      </c>
      <c r="D2604" t="inlineStr">
        <is>
          <t>NVY</t>
        </is>
      </c>
      <c r="E2604" t="inlineStr">
        <is>
          <t>(en blanco)</t>
        </is>
      </c>
      <c r="F2604" t="inlineStr">
        <is>
          <t>(en blanco)</t>
        </is>
      </c>
      <c r="G2604" t="inlineStr">
        <is>
          <t>5X</t>
        </is>
      </c>
      <c r="H2604" t="n">
        <v>13</v>
      </c>
      <c r="I2604" t="inlineStr">
        <is>
          <t>NAUTICA_MENS_208003402_NVY_1.jpg</t>
        </is>
      </c>
      <c r="J2604" t="inlineStr">
        <is>
          <t>NAUTICA_MENS_208003402_NVY_2.jpg</t>
        </is>
      </c>
      <c r="K2604" t="inlineStr">
        <is>
          <t>NAUTICA_MENS_208003402_NVY_3.jpg</t>
        </is>
      </c>
      <c r="L2604">
        <f>IMAGE("file:///E:/Estudios%20y%20certificaciones/ESTUDIOS%20DE%20PROGRAMMING/PROGRAMMING/PERSONAL/PYTHON/Image_Generator_API/imagenes/NAUTICA_MENS_208003402_NVY_1.jpg")</f>
        <v/>
      </c>
      <c r="M2604">
        <f>IMAGE("file:///E:/Estudios%20y%20certificaciones/ESTUDIOS%20DE%20PROGRAMMING/PROGRAMMING/PERSONAL/PYTHON/Image_Generator_API/imagenes/NAUTICA_MENS_208003402_NVY_2.jpg")</f>
        <v/>
      </c>
      <c r="N2604">
        <f>IMAGE("file:///E:/Estudios%20y%20certificaciones/ESTUDIOS%20DE%20PROGRAMMING/PROGRAMMING/PERSONAL/PYTHON/Image_Generator_API/imagenes/NAUTICA_MENS_208003402_NVY_3.jpg")</f>
        <v/>
      </c>
      <c r="O2604">
        <f>HYPERLINK("imagenes/NAUTICA_MENS_208003402_NVY_1.jpg","Ver imagen")</f>
        <v/>
      </c>
      <c r="P2604">
        <f>HYPERLINK("imagenes/NAUTICA_MENS_208003402_NVY_2.jpg","Ver imagen")</f>
        <v/>
      </c>
      <c r="Q2604">
        <f>HYPERLINK("imagenes/NAUTICA_MENS_208003402_NVY_3.jpg","Ver imagen")</f>
        <v/>
      </c>
    </row>
    <row r="2605">
      <c r="A2605" t="inlineStr">
        <is>
          <t>NAUTICA MENS</t>
        </is>
      </c>
      <c r="B2605" t="inlineStr">
        <is>
          <t>208003402</t>
        </is>
      </c>
      <c r="C2605" t="inlineStr">
        <is>
          <t>SALING JACKET</t>
        </is>
      </c>
      <c r="D2605" t="inlineStr">
        <is>
          <t>NVY</t>
        </is>
      </c>
      <c r="E2605" t="inlineStr">
        <is>
          <t>(en blanco)</t>
        </is>
      </c>
      <c r="F2605" t="inlineStr">
        <is>
          <t>(en blanco)</t>
        </is>
      </c>
      <c r="G2605" t="inlineStr">
        <is>
          <t>6X</t>
        </is>
      </c>
      <c r="H2605" t="n">
        <v>11</v>
      </c>
      <c r="I2605" t="inlineStr">
        <is>
          <t>NAUTICA_MENS_208003402_NVY_1.jpg</t>
        </is>
      </c>
      <c r="J2605" t="inlineStr">
        <is>
          <t>NAUTICA_MENS_208003402_NVY_2.jpg</t>
        </is>
      </c>
      <c r="K2605" t="inlineStr">
        <is>
          <t>NAUTICA_MENS_208003402_NVY_3.jpg</t>
        </is>
      </c>
      <c r="L2605">
        <f>IMAGE("file:///E:/Estudios%20y%20certificaciones/ESTUDIOS%20DE%20PROGRAMMING/PROGRAMMING/PERSONAL/PYTHON/Image_Generator_API/imagenes/NAUTICA_MENS_208003402_NVY_1.jpg")</f>
        <v/>
      </c>
      <c r="M2605">
        <f>IMAGE("file:///E:/Estudios%20y%20certificaciones/ESTUDIOS%20DE%20PROGRAMMING/PROGRAMMING/PERSONAL/PYTHON/Image_Generator_API/imagenes/NAUTICA_MENS_208003402_NVY_2.jpg")</f>
        <v/>
      </c>
      <c r="N2605">
        <f>IMAGE("file:///E:/Estudios%20y%20certificaciones/ESTUDIOS%20DE%20PROGRAMMING/PROGRAMMING/PERSONAL/PYTHON/Image_Generator_API/imagenes/NAUTICA_MENS_208003402_NVY_3.jpg")</f>
        <v/>
      </c>
      <c r="O2605">
        <f>HYPERLINK("imagenes/NAUTICA_MENS_208003402_NVY_1.jpg","Ver imagen")</f>
        <v/>
      </c>
      <c r="P2605">
        <f>HYPERLINK("imagenes/NAUTICA_MENS_208003402_NVY_2.jpg","Ver imagen")</f>
        <v/>
      </c>
      <c r="Q2605">
        <f>HYPERLINK("imagenes/NAUTICA_MENS_208003402_NVY_3.jpg","Ver imagen")</f>
        <v/>
      </c>
    </row>
    <row r="2606">
      <c r="A2606" t="inlineStr">
        <is>
          <t>NAUTICA MENS</t>
        </is>
      </c>
      <c r="B2606" t="inlineStr">
        <is>
          <t>208003402</t>
        </is>
      </c>
      <c r="C2606" t="inlineStr">
        <is>
          <t>SALING JACKET</t>
        </is>
      </c>
      <c r="D2606" t="inlineStr">
        <is>
          <t>NVY</t>
        </is>
      </c>
      <c r="E2606" t="inlineStr">
        <is>
          <t>(en blanco)</t>
        </is>
      </c>
      <c r="F2606" t="inlineStr">
        <is>
          <t>(en blanco)</t>
        </is>
      </c>
      <c r="G2606" t="inlineStr">
        <is>
          <t>8X</t>
        </is>
      </c>
      <c r="H2606" t="n">
        <v>6</v>
      </c>
      <c r="I2606" t="inlineStr">
        <is>
          <t>NAUTICA_MENS_208003402_NVY_1.jpg</t>
        </is>
      </c>
      <c r="J2606" t="inlineStr">
        <is>
          <t>NAUTICA_MENS_208003402_NVY_2.jpg</t>
        </is>
      </c>
      <c r="K2606" t="inlineStr">
        <is>
          <t>NAUTICA_MENS_208003402_NVY_3.jpg</t>
        </is>
      </c>
      <c r="L2606">
        <f>IMAGE("file:///E:/Estudios%20y%20certificaciones/ESTUDIOS%20DE%20PROGRAMMING/PROGRAMMING/PERSONAL/PYTHON/Image_Generator_API/imagenes/NAUTICA_MENS_208003402_NVY_1.jpg")</f>
        <v/>
      </c>
      <c r="M2606">
        <f>IMAGE("file:///E:/Estudios%20y%20certificaciones/ESTUDIOS%20DE%20PROGRAMMING/PROGRAMMING/PERSONAL/PYTHON/Image_Generator_API/imagenes/NAUTICA_MENS_208003402_NVY_2.jpg")</f>
        <v/>
      </c>
      <c r="N2606">
        <f>IMAGE("file:///E:/Estudios%20y%20certificaciones/ESTUDIOS%20DE%20PROGRAMMING/PROGRAMMING/PERSONAL/PYTHON/Image_Generator_API/imagenes/NAUTICA_MENS_208003402_NVY_3.jpg")</f>
        <v/>
      </c>
      <c r="O2606">
        <f>HYPERLINK("imagenes/NAUTICA_MENS_208003402_NVY_1.jpg","Ver imagen")</f>
        <v/>
      </c>
      <c r="P2606">
        <f>HYPERLINK("imagenes/NAUTICA_MENS_208003402_NVY_2.jpg","Ver imagen")</f>
        <v/>
      </c>
      <c r="Q2606">
        <f>HYPERLINK("imagenes/NAUTICA_MENS_208003402_NVY_3.jpg","Ver imagen")</f>
        <v/>
      </c>
    </row>
    <row r="2607">
      <c r="A2607" t="inlineStr">
        <is>
          <t>NAUTICA MENS</t>
        </is>
      </c>
      <c r="B2607" t="inlineStr">
        <is>
          <t>208003402</t>
        </is>
      </c>
      <c r="C2607" t="inlineStr">
        <is>
          <t>SALING JACKET</t>
        </is>
      </c>
      <c r="D2607" t="inlineStr">
        <is>
          <t>RPD</t>
        </is>
      </c>
      <c r="E2607" t="inlineStr">
        <is>
          <t>(en blanco)</t>
        </is>
      </c>
      <c r="F2607" t="inlineStr">
        <is>
          <t>(en blanco)</t>
        </is>
      </c>
      <c r="G2607" t="inlineStr">
        <is>
          <t>2X</t>
        </is>
      </c>
      <c r="H2607" t="n">
        <v>30</v>
      </c>
      <c r="I2607" t="inlineStr">
        <is>
          <t>NAUTICA_MENS_208003402_RPD_1.jpg</t>
        </is>
      </c>
      <c r="J2607" t="inlineStr">
        <is>
          <t>NAUTICA_MENS_208003402_RPD_2.jpg</t>
        </is>
      </c>
      <c r="K2607" t="inlineStr">
        <is>
          <t>NAUTICA_MENS_208003402_RPD_3.jpg</t>
        </is>
      </c>
      <c r="L2607">
        <f>IMAGE("file:///E:/Estudios%20y%20certificaciones/ESTUDIOS%20DE%20PROGRAMMING/PROGRAMMING/PERSONAL/PYTHON/Image_Generator_API/imagenes/NAUTICA_MENS_208003402_RPD_1.jpg")</f>
        <v/>
      </c>
      <c r="M2607">
        <f>IMAGE("file:///E:/Estudios%20y%20certificaciones/ESTUDIOS%20DE%20PROGRAMMING/PROGRAMMING/PERSONAL/PYTHON/Image_Generator_API/imagenes/NAUTICA_MENS_208003402_RPD_2.jpg")</f>
        <v/>
      </c>
      <c r="N2607">
        <f>IMAGE("file:///E:/Estudios%20y%20certificaciones/ESTUDIOS%20DE%20PROGRAMMING/PROGRAMMING/PERSONAL/PYTHON/Image_Generator_API/imagenes/NAUTICA_MENS_208003402_RPD_3.jpg")</f>
        <v/>
      </c>
      <c r="O2607">
        <f>HYPERLINK("imagenes/NAUTICA_MENS_208003402_RPD_1.jpg","Ver imagen")</f>
        <v/>
      </c>
      <c r="P2607">
        <f>HYPERLINK("imagenes/NAUTICA_MENS_208003402_RPD_2.jpg","Ver imagen")</f>
        <v/>
      </c>
      <c r="Q2607">
        <f>HYPERLINK("imagenes/NAUTICA_MENS_208003402_RPD_3.jpg","Ver imagen")</f>
        <v/>
      </c>
    </row>
    <row r="2608">
      <c r="A2608" t="inlineStr">
        <is>
          <t>NAUTICA MENS</t>
        </is>
      </c>
      <c r="B2608" t="inlineStr">
        <is>
          <t>208003402</t>
        </is>
      </c>
      <c r="C2608" t="inlineStr">
        <is>
          <t>SALING JACKET</t>
        </is>
      </c>
      <c r="D2608" t="inlineStr">
        <is>
          <t>RPD</t>
        </is>
      </c>
      <c r="E2608" t="inlineStr">
        <is>
          <t>(en blanco)</t>
        </is>
      </c>
      <c r="F2608" t="inlineStr">
        <is>
          <t>(en blanco)</t>
        </is>
      </c>
      <c r="G2608" t="inlineStr">
        <is>
          <t>3X</t>
        </is>
      </c>
      <c r="H2608" t="n">
        <v>59</v>
      </c>
      <c r="I2608" t="inlineStr">
        <is>
          <t>NAUTICA_MENS_208003402_RPD_1.jpg</t>
        </is>
      </c>
      <c r="J2608" t="inlineStr">
        <is>
          <t>NAUTICA_MENS_208003402_RPD_2.jpg</t>
        </is>
      </c>
      <c r="K2608" t="inlineStr">
        <is>
          <t>NAUTICA_MENS_208003402_RPD_3.jpg</t>
        </is>
      </c>
      <c r="L2608">
        <f>IMAGE("file:///E:/Estudios%20y%20certificaciones/ESTUDIOS%20DE%20PROGRAMMING/PROGRAMMING/PERSONAL/PYTHON/Image_Generator_API/imagenes/NAUTICA_MENS_208003402_RPD_1.jpg")</f>
        <v/>
      </c>
      <c r="M2608">
        <f>IMAGE("file:///E:/Estudios%20y%20certificaciones/ESTUDIOS%20DE%20PROGRAMMING/PROGRAMMING/PERSONAL/PYTHON/Image_Generator_API/imagenes/NAUTICA_MENS_208003402_RPD_2.jpg")</f>
        <v/>
      </c>
      <c r="N2608">
        <f>IMAGE("file:///E:/Estudios%20y%20certificaciones/ESTUDIOS%20DE%20PROGRAMMING/PROGRAMMING/PERSONAL/PYTHON/Image_Generator_API/imagenes/NAUTICA_MENS_208003402_RPD_3.jpg")</f>
        <v/>
      </c>
      <c r="O2608">
        <f>HYPERLINK("imagenes/NAUTICA_MENS_208003402_RPD_1.jpg","Ver imagen")</f>
        <v/>
      </c>
      <c r="P2608">
        <f>HYPERLINK("imagenes/NAUTICA_MENS_208003402_RPD_2.jpg","Ver imagen")</f>
        <v/>
      </c>
      <c r="Q2608">
        <f>HYPERLINK("imagenes/NAUTICA_MENS_208003402_RPD_3.jpg","Ver imagen")</f>
        <v/>
      </c>
    </row>
    <row r="2609">
      <c r="A2609" t="inlineStr">
        <is>
          <t>NAUTICA MENS</t>
        </is>
      </c>
      <c r="B2609" t="inlineStr">
        <is>
          <t>208003402</t>
        </is>
      </c>
      <c r="C2609" t="inlineStr">
        <is>
          <t>SALING JACKET</t>
        </is>
      </c>
      <c r="D2609" t="inlineStr">
        <is>
          <t>RPD</t>
        </is>
      </c>
      <c r="E2609" t="inlineStr">
        <is>
          <t>(en blanco)</t>
        </is>
      </c>
      <c r="F2609" t="inlineStr">
        <is>
          <t>(en blanco)</t>
        </is>
      </c>
      <c r="G2609" t="inlineStr">
        <is>
          <t>4X</t>
        </is>
      </c>
      <c r="H2609" t="n">
        <v>47</v>
      </c>
      <c r="I2609" t="inlineStr">
        <is>
          <t>NAUTICA_MENS_208003402_RPD_1.jpg</t>
        </is>
      </c>
      <c r="J2609" t="inlineStr">
        <is>
          <t>NAUTICA_MENS_208003402_RPD_2.jpg</t>
        </is>
      </c>
      <c r="K2609" t="inlineStr">
        <is>
          <t>NAUTICA_MENS_208003402_RPD_3.jpg</t>
        </is>
      </c>
      <c r="L2609">
        <f>IMAGE("file:///E:/Estudios%20y%20certificaciones/ESTUDIOS%20DE%20PROGRAMMING/PROGRAMMING/PERSONAL/PYTHON/Image_Generator_API/imagenes/NAUTICA_MENS_208003402_RPD_1.jpg")</f>
        <v/>
      </c>
      <c r="M2609">
        <f>IMAGE("file:///E:/Estudios%20y%20certificaciones/ESTUDIOS%20DE%20PROGRAMMING/PROGRAMMING/PERSONAL/PYTHON/Image_Generator_API/imagenes/NAUTICA_MENS_208003402_RPD_2.jpg")</f>
        <v/>
      </c>
      <c r="N2609">
        <f>IMAGE("file:///E:/Estudios%20y%20certificaciones/ESTUDIOS%20DE%20PROGRAMMING/PROGRAMMING/PERSONAL/PYTHON/Image_Generator_API/imagenes/NAUTICA_MENS_208003402_RPD_3.jpg")</f>
        <v/>
      </c>
      <c r="O2609">
        <f>HYPERLINK("imagenes/NAUTICA_MENS_208003402_RPD_1.jpg","Ver imagen")</f>
        <v/>
      </c>
      <c r="P2609">
        <f>HYPERLINK("imagenes/NAUTICA_MENS_208003402_RPD_2.jpg","Ver imagen")</f>
        <v/>
      </c>
      <c r="Q2609">
        <f>HYPERLINK("imagenes/NAUTICA_MENS_208003402_RPD_3.jpg","Ver imagen")</f>
        <v/>
      </c>
    </row>
    <row r="2610">
      <c r="A2610" t="inlineStr">
        <is>
          <t>NAUTICA MENS</t>
        </is>
      </c>
      <c r="B2610" t="inlineStr">
        <is>
          <t>208003402</t>
        </is>
      </c>
      <c r="C2610" t="inlineStr">
        <is>
          <t>SALING JACKET</t>
        </is>
      </c>
      <c r="D2610" t="inlineStr">
        <is>
          <t>RPD</t>
        </is>
      </c>
      <c r="E2610" t="inlineStr">
        <is>
          <t>(en blanco)</t>
        </is>
      </c>
      <c r="F2610" t="inlineStr">
        <is>
          <t>(en blanco)</t>
        </is>
      </c>
      <c r="G2610" t="inlineStr">
        <is>
          <t>5X</t>
        </is>
      </c>
      <c r="H2610" t="n">
        <v>31</v>
      </c>
      <c r="I2610" t="inlineStr">
        <is>
          <t>NAUTICA_MENS_208003402_RPD_1.jpg</t>
        </is>
      </c>
      <c r="J2610" t="inlineStr">
        <is>
          <t>NAUTICA_MENS_208003402_RPD_2.jpg</t>
        </is>
      </c>
      <c r="K2610" t="inlineStr">
        <is>
          <t>NAUTICA_MENS_208003402_RPD_3.jpg</t>
        </is>
      </c>
      <c r="L2610">
        <f>IMAGE("file:///E:/Estudios%20y%20certificaciones/ESTUDIOS%20DE%20PROGRAMMING/PROGRAMMING/PERSONAL/PYTHON/Image_Generator_API/imagenes/NAUTICA_MENS_208003402_RPD_1.jpg")</f>
        <v/>
      </c>
      <c r="M2610">
        <f>IMAGE("file:///E:/Estudios%20y%20certificaciones/ESTUDIOS%20DE%20PROGRAMMING/PROGRAMMING/PERSONAL/PYTHON/Image_Generator_API/imagenes/NAUTICA_MENS_208003402_RPD_2.jpg")</f>
        <v/>
      </c>
      <c r="N2610">
        <f>IMAGE("file:///E:/Estudios%20y%20certificaciones/ESTUDIOS%20DE%20PROGRAMMING/PROGRAMMING/PERSONAL/PYTHON/Image_Generator_API/imagenes/NAUTICA_MENS_208003402_RPD_3.jpg")</f>
        <v/>
      </c>
      <c r="O2610">
        <f>HYPERLINK("imagenes/NAUTICA_MENS_208003402_RPD_1.jpg","Ver imagen")</f>
        <v/>
      </c>
      <c r="P2610">
        <f>HYPERLINK("imagenes/NAUTICA_MENS_208003402_RPD_2.jpg","Ver imagen")</f>
        <v/>
      </c>
      <c r="Q2610">
        <f>HYPERLINK("imagenes/NAUTICA_MENS_208003402_RPD_3.jpg","Ver imagen")</f>
        <v/>
      </c>
    </row>
    <row r="2611">
      <c r="A2611" t="inlineStr">
        <is>
          <t>NAUTICA MENS</t>
        </is>
      </c>
      <c r="B2611" t="inlineStr">
        <is>
          <t>208003402</t>
        </is>
      </c>
      <c r="C2611" t="inlineStr">
        <is>
          <t>SALING JACKET</t>
        </is>
      </c>
      <c r="D2611" t="inlineStr">
        <is>
          <t>RPD</t>
        </is>
      </c>
      <c r="E2611" t="inlineStr">
        <is>
          <t>(en blanco)</t>
        </is>
      </c>
      <c r="F2611" t="inlineStr">
        <is>
          <t>(en blanco)</t>
        </is>
      </c>
      <c r="G2611" t="inlineStr">
        <is>
          <t>6X</t>
        </is>
      </c>
      <c r="H2611" t="n">
        <v>30</v>
      </c>
      <c r="I2611" t="inlineStr">
        <is>
          <t>NAUTICA_MENS_208003402_RPD_1.jpg</t>
        </is>
      </c>
      <c r="J2611" t="inlineStr">
        <is>
          <t>NAUTICA_MENS_208003402_RPD_2.jpg</t>
        </is>
      </c>
      <c r="K2611" t="inlineStr">
        <is>
          <t>NAUTICA_MENS_208003402_RPD_3.jpg</t>
        </is>
      </c>
      <c r="L2611">
        <f>IMAGE("file:///E:/Estudios%20y%20certificaciones/ESTUDIOS%20DE%20PROGRAMMING/PROGRAMMING/PERSONAL/PYTHON/Image_Generator_API/imagenes/NAUTICA_MENS_208003402_RPD_1.jpg")</f>
        <v/>
      </c>
      <c r="M2611">
        <f>IMAGE("file:///E:/Estudios%20y%20certificaciones/ESTUDIOS%20DE%20PROGRAMMING/PROGRAMMING/PERSONAL/PYTHON/Image_Generator_API/imagenes/NAUTICA_MENS_208003402_RPD_2.jpg")</f>
        <v/>
      </c>
      <c r="N2611">
        <f>IMAGE("file:///E:/Estudios%20y%20certificaciones/ESTUDIOS%20DE%20PROGRAMMING/PROGRAMMING/PERSONAL/PYTHON/Image_Generator_API/imagenes/NAUTICA_MENS_208003402_RPD_3.jpg")</f>
        <v/>
      </c>
      <c r="O2611">
        <f>HYPERLINK("imagenes/NAUTICA_MENS_208003402_RPD_1.jpg","Ver imagen")</f>
        <v/>
      </c>
      <c r="P2611">
        <f>HYPERLINK("imagenes/NAUTICA_MENS_208003402_RPD_2.jpg","Ver imagen")</f>
        <v/>
      </c>
      <c r="Q2611">
        <f>HYPERLINK("imagenes/NAUTICA_MENS_208003402_RPD_3.jpg","Ver imagen")</f>
        <v/>
      </c>
    </row>
    <row r="2612">
      <c r="A2612" t="inlineStr">
        <is>
          <t>NAUTICA MENS</t>
        </is>
      </c>
      <c r="B2612" t="inlineStr">
        <is>
          <t>208003402</t>
        </is>
      </c>
      <c r="C2612" t="inlineStr">
        <is>
          <t>SALING JACKET</t>
        </is>
      </c>
      <c r="D2612" t="inlineStr">
        <is>
          <t>RPD</t>
        </is>
      </c>
      <c r="E2612" t="inlineStr">
        <is>
          <t>(en blanco)</t>
        </is>
      </c>
      <c r="F2612" t="inlineStr">
        <is>
          <t>(en blanco)</t>
        </is>
      </c>
      <c r="G2612" t="inlineStr">
        <is>
          <t>8X</t>
        </is>
      </c>
      <c r="H2612" t="n">
        <v>20</v>
      </c>
      <c r="I2612" t="inlineStr">
        <is>
          <t>NAUTICA_MENS_208003402_RPD_1.jpg</t>
        </is>
      </c>
      <c r="J2612" t="inlineStr">
        <is>
          <t>NAUTICA_MENS_208003402_RPD_2.jpg</t>
        </is>
      </c>
      <c r="K2612" t="inlineStr">
        <is>
          <t>NAUTICA_MENS_208003402_RPD_3.jpg</t>
        </is>
      </c>
      <c r="L2612">
        <f>IMAGE("file:///E:/Estudios%20y%20certificaciones/ESTUDIOS%20DE%20PROGRAMMING/PROGRAMMING/PERSONAL/PYTHON/Image_Generator_API/imagenes/NAUTICA_MENS_208003402_RPD_1.jpg")</f>
        <v/>
      </c>
      <c r="M2612">
        <f>IMAGE("file:///E:/Estudios%20y%20certificaciones/ESTUDIOS%20DE%20PROGRAMMING/PROGRAMMING/PERSONAL/PYTHON/Image_Generator_API/imagenes/NAUTICA_MENS_208003402_RPD_2.jpg")</f>
        <v/>
      </c>
      <c r="N2612">
        <f>IMAGE("file:///E:/Estudios%20y%20certificaciones/ESTUDIOS%20DE%20PROGRAMMING/PROGRAMMING/PERSONAL/PYTHON/Image_Generator_API/imagenes/NAUTICA_MENS_208003402_RPD_3.jpg")</f>
        <v/>
      </c>
      <c r="O2612">
        <f>HYPERLINK("imagenes/NAUTICA_MENS_208003402_RPD_1.jpg","Ver imagen")</f>
        <v/>
      </c>
      <c r="P2612">
        <f>HYPERLINK("imagenes/NAUTICA_MENS_208003402_RPD_2.jpg","Ver imagen")</f>
        <v/>
      </c>
      <c r="Q2612">
        <f>HYPERLINK("imagenes/NAUTICA_MENS_208003402_RPD_3.jpg","Ver imagen")</f>
        <v/>
      </c>
    </row>
    <row r="2613">
      <c r="A2613" t="inlineStr">
        <is>
          <t>NAUTICA MENS</t>
        </is>
      </c>
      <c r="B2613" t="inlineStr">
        <is>
          <t>208003403</t>
        </is>
      </c>
      <c r="C2613" t="inlineStr">
        <is>
          <t>SAILING JACKET</t>
        </is>
      </c>
      <c r="D2613" t="inlineStr">
        <is>
          <t>BGI</t>
        </is>
      </c>
      <c r="E2613" t="inlineStr">
        <is>
          <t>(en blanco)</t>
        </is>
      </c>
      <c r="F2613" t="inlineStr">
        <is>
          <t>D2C</t>
        </is>
      </c>
      <c r="G2613" t="inlineStr">
        <is>
          <t>2XLT</t>
        </is>
      </c>
      <c r="H2613" t="n">
        <v>21</v>
      </c>
      <c r="I2613" t="inlineStr">
        <is>
          <t>NAUTICA_MENS_208003403_BGI_1.jpg</t>
        </is>
      </c>
      <c r="J2613" t="inlineStr">
        <is>
          <t>NAUTICA_MENS_208003403_BGI_2.jpg</t>
        </is>
      </c>
      <c r="K2613" t="inlineStr">
        <is>
          <t>NAUTICA_MENS_208003403_BGI_3.jpg</t>
        </is>
      </c>
      <c r="L2613">
        <f>IMAGE("file:///E:/Estudios%20y%20certificaciones/ESTUDIOS%20DE%20PROGRAMMING/PROGRAMMING/PERSONAL/PYTHON/Image_Generator_API/imagenes/NAUTICA_MENS_208003403_BGI_1.jpg")</f>
        <v/>
      </c>
      <c r="M2613">
        <f>IMAGE("file:///E:/Estudios%20y%20certificaciones/ESTUDIOS%20DE%20PROGRAMMING/PROGRAMMING/PERSONAL/PYTHON/Image_Generator_API/imagenes/NAUTICA_MENS_208003403_BGI_2.jpg")</f>
        <v/>
      </c>
      <c r="N2613">
        <f>IMAGE("file:///E:/Estudios%20y%20certificaciones/ESTUDIOS%20DE%20PROGRAMMING/PROGRAMMING/PERSONAL/PYTHON/Image_Generator_API/imagenes/NAUTICA_MENS_208003403_BGI_3.jpg")</f>
        <v/>
      </c>
      <c r="O2613">
        <f>HYPERLINK("imagenes/NAUTICA_MENS_208003403_BGI_1.jpg","Ver imagen")</f>
        <v/>
      </c>
      <c r="P2613">
        <f>HYPERLINK("imagenes/NAUTICA_MENS_208003403_BGI_2.jpg","Ver imagen")</f>
        <v/>
      </c>
      <c r="Q2613">
        <f>HYPERLINK("imagenes/NAUTICA_MENS_208003403_BGI_3.jpg","Ver imagen")</f>
        <v/>
      </c>
    </row>
    <row r="2614">
      <c r="A2614" t="inlineStr">
        <is>
          <t>NAUTICA MENS</t>
        </is>
      </c>
      <c r="B2614" t="inlineStr">
        <is>
          <t>208003403</t>
        </is>
      </c>
      <c r="C2614" t="inlineStr">
        <is>
          <t>SAILING JACKET</t>
        </is>
      </c>
      <c r="D2614" t="inlineStr">
        <is>
          <t>BGI</t>
        </is>
      </c>
      <c r="E2614" t="inlineStr">
        <is>
          <t>(en blanco)</t>
        </is>
      </c>
      <c r="F2614" t="inlineStr">
        <is>
          <t>D2C</t>
        </is>
      </c>
      <c r="G2614" t="inlineStr">
        <is>
          <t>3XLT</t>
        </is>
      </c>
      <c r="H2614" t="n">
        <v>18</v>
      </c>
      <c r="I2614" t="inlineStr">
        <is>
          <t>NAUTICA_MENS_208003403_BGI_1.jpg</t>
        </is>
      </c>
      <c r="J2614" t="inlineStr">
        <is>
          <t>NAUTICA_MENS_208003403_BGI_2.jpg</t>
        </is>
      </c>
      <c r="K2614" t="inlineStr">
        <is>
          <t>NAUTICA_MENS_208003403_BGI_3.jpg</t>
        </is>
      </c>
      <c r="L2614">
        <f>IMAGE("file:///E:/Estudios%20y%20certificaciones/ESTUDIOS%20DE%20PROGRAMMING/PROGRAMMING/PERSONAL/PYTHON/Image_Generator_API/imagenes/NAUTICA_MENS_208003403_BGI_1.jpg")</f>
        <v/>
      </c>
      <c r="M2614">
        <f>IMAGE("file:///E:/Estudios%20y%20certificaciones/ESTUDIOS%20DE%20PROGRAMMING/PROGRAMMING/PERSONAL/PYTHON/Image_Generator_API/imagenes/NAUTICA_MENS_208003403_BGI_2.jpg")</f>
        <v/>
      </c>
      <c r="N2614">
        <f>IMAGE("file:///E:/Estudios%20y%20certificaciones/ESTUDIOS%20DE%20PROGRAMMING/PROGRAMMING/PERSONAL/PYTHON/Image_Generator_API/imagenes/NAUTICA_MENS_208003403_BGI_3.jpg")</f>
        <v/>
      </c>
      <c r="O2614">
        <f>HYPERLINK("imagenes/NAUTICA_MENS_208003403_BGI_1.jpg","Ver imagen")</f>
        <v/>
      </c>
      <c r="P2614">
        <f>HYPERLINK("imagenes/NAUTICA_MENS_208003403_BGI_2.jpg","Ver imagen")</f>
        <v/>
      </c>
      <c r="Q2614">
        <f>HYPERLINK("imagenes/NAUTICA_MENS_208003403_BGI_3.jpg","Ver imagen")</f>
        <v/>
      </c>
    </row>
    <row r="2615">
      <c r="A2615" t="inlineStr">
        <is>
          <t>NAUTICA MENS</t>
        </is>
      </c>
      <c r="B2615" t="inlineStr">
        <is>
          <t>208003403</t>
        </is>
      </c>
      <c r="C2615" t="inlineStr">
        <is>
          <t>SAILING JACKET</t>
        </is>
      </c>
      <c r="D2615" t="inlineStr">
        <is>
          <t>BGI</t>
        </is>
      </c>
      <c r="E2615" t="inlineStr">
        <is>
          <t>(en blanco)</t>
        </is>
      </c>
      <c r="F2615" t="inlineStr">
        <is>
          <t>D2C</t>
        </is>
      </c>
      <c r="G2615" t="inlineStr">
        <is>
          <t>4XLT</t>
        </is>
      </c>
      <c r="H2615" t="n">
        <v>24</v>
      </c>
      <c r="I2615" t="inlineStr">
        <is>
          <t>NAUTICA_MENS_208003403_BGI_1.jpg</t>
        </is>
      </c>
      <c r="J2615" t="inlineStr">
        <is>
          <t>NAUTICA_MENS_208003403_BGI_2.jpg</t>
        </is>
      </c>
      <c r="K2615" t="inlineStr">
        <is>
          <t>NAUTICA_MENS_208003403_BGI_3.jpg</t>
        </is>
      </c>
      <c r="L2615">
        <f>IMAGE("file:///E:/Estudios%20y%20certificaciones/ESTUDIOS%20DE%20PROGRAMMING/PROGRAMMING/PERSONAL/PYTHON/Image_Generator_API/imagenes/NAUTICA_MENS_208003403_BGI_1.jpg")</f>
        <v/>
      </c>
      <c r="M2615">
        <f>IMAGE("file:///E:/Estudios%20y%20certificaciones/ESTUDIOS%20DE%20PROGRAMMING/PROGRAMMING/PERSONAL/PYTHON/Image_Generator_API/imagenes/NAUTICA_MENS_208003403_BGI_2.jpg")</f>
        <v/>
      </c>
      <c r="N2615">
        <f>IMAGE("file:///E:/Estudios%20y%20certificaciones/ESTUDIOS%20DE%20PROGRAMMING/PROGRAMMING/PERSONAL/PYTHON/Image_Generator_API/imagenes/NAUTICA_MENS_208003403_BGI_3.jpg")</f>
        <v/>
      </c>
      <c r="O2615">
        <f>HYPERLINK("imagenes/NAUTICA_MENS_208003403_BGI_1.jpg","Ver imagen")</f>
        <v/>
      </c>
      <c r="P2615">
        <f>HYPERLINK("imagenes/NAUTICA_MENS_208003403_BGI_2.jpg","Ver imagen")</f>
        <v/>
      </c>
      <c r="Q2615">
        <f>HYPERLINK("imagenes/NAUTICA_MENS_208003403_BGI_3.jpg","Ver imagen")</f>
        <v/>
      </c>
    </row>
    <row r="2616">
      <c r="A2616" t="inlineStr">
        <is>
          <t>NAUTICA MENS</t>
        </is>
      </c>
      <c r="B2616" t="inlineStr">
        <is>
          <t>208003403</t>
        </is>
      </c>
      <c r="C2616" t="inlineStr">
        <is>
          <t>SAILING JACKET</t>
        </is>
      </c>
      <c r="D2616" t="inlineStr">
        <is>
          <t>BGI</t>
        </is>
      </c>
      <c r="E2616" t="inlineStr">
        <is>
          <t>(en blanco)</t>
        </is>
      </c>
      <c r="F2616" t="inlineStr">
        <is>
          <t>D2C</t>
        </is>
      </c>
      <c r="G2616" t="inlineStr">
        <is>
          <t>5XLT</t>
        </is>
      </c>
      <c r="H2616" t="n">
        <v>19</v>
      </c>
      <c r="I2616" t="inlineStr">
        <is>
          <t>NAUTICA_MENS_208003403_BGI_1.jpg</t>
        </is>
      </c>
      <c r="J2616" t="inlineStr">
        <is>
          <t>NAUTICA_MENS_208003403_BGI_2.jpg</t>
        </is>
      </c>
      <c r="K2616" t="inlineStr">
        <is>
          <t>NAUTICA_MENS_208003403_BGI_3.jpg</t>
        </is>
      </c>
      <c r="L2616">
        <f>IMAGE("file:///E:/Estudios%20y%20certificaciones/ESTUDIOS%20DE%20PROGRAMMING/PROGRAMMING/PERSONAL/PYTHON/Image_Generator_API/imagenes/NAUTICA_MENS_208003403_BGI_1.jpg")</f>
        <v/>
      </c>
      <c r="M2616">
        <f>IMAGE("file:///E:/Estudios%20y%20certificaciones/ESTUDIOS%20DE%20PROGRAMMING/PROGRAMMING/PERSONAL/PYTHON/Image_Generator_API/imagenes/NAUTICA_MENS_208003403_BGI_2.jpg")</f>
        <v/>
      </c>
      <c r="N2616">
        <f>IMAGE("file:///E:/Estudios%20y%20certificaciones/ESTUDIOS%20DE%20PROGRAMMING/PROGRAMMING/PERSONAL/PYTHON/Image_Generator_API/imagenes/NAUTICA_MENS_208003403_BGI_3.jpg")</f>
        <v/>
      </c>
      <c r="O2616">
        <f>HYPERLINK("imagenes/NAUTICA_MENS_208003403_BGI_1.jpg","Ver imagen")</f>
        <v/>
      </c>
      <c r="P2616">
        <f>HYPERLINK("imagenes/NAUTICA_MENS_208003403_BGI_2.jpg","Ver imagen")</f>
        <v/>
      </c>
      <c r="Q2616">
        <f>HYPERLINK("imagenes/NAUTICA_MENS_208003403_BGI_3.jpg","Ver imagen")</f>
        <v/>
      </c>
    </row>
    <row r="2617">
      <c r="A2617" t="inlineStr">
        <is>
          <t>NAUTICA MENS</t>
        </is>
      </c>
      <c r="B2617" t="inlineStr">
        <is>
          <t>208003403</t>
        </is>
      </c>
      <c r="C2617" t="inlineStr">
        <is>
          <t>SAILING JACKET</t>
        </is>
      </c>
      <c r="D2617" t="inlineStr">
        <is>
          <t>BGI</t>
        </is>
      </c>
      <c r="E2617" t="inlineStr">
        <is>
          <t>(en blanco)</t>
        </is>
      </c>
      <c r="F2617" t="inlineStr">
        <is>
          <t>D2C</t>
        </is>
      </c>
      <c r="G2617" t="inlineStr">
        <is>
          <t>6XLT</t>
        </is>
      </c>
      <c r="H2617" t="n">
        <v>21</v>
      </c>
      <c r="I2617" t="inlineStr">
        <is>
          <t>NAUTICA_MENS_208003403_BGI_1.jpg</t>
        </is>
      </c>
      <c r="J2617" t="inlineStr">
        <is>
          <t>NAUTICA_MENS_208003403_BGI_2.jpg</t>
        </is>
      </c>
      <c r="K2617" t="inlineStr">
        <is>
          <t>NAUTICA_MENS_208003403_BGI_3.jpg</t>
        </is>
      </c>
      <c r="L2617">
        <f>IMAGE("file:///E:/Estudios%20y%20certificaciones/ESTUDIOS%20DE%20PROGRAMMING/PROGRAMMING/PERSONAL/PYTHON/Image_Generator_API/imagenes/NAUTICA_MENS_208003403_BGI_1.jpg")</f>
        <v/>
      </c>
      <c r="M2617">
        <f>IMAGE("file:///E:/Estudios%20y%20certificaciones/ESTUDIOS%20DE%20PROGRAMMING/PROGRAMMING/PERSONAL/PYTHON/Image_Generator_API/imagenes/NAUTICA_MENS_208003403_BGI_2.jpg")</f>
        <v/>
      </c>
      <c r="N2617">
        <f>IMAGE("file:///E:/Estudios%20y%20certificaciones/ESTUDIOS%20DE%20PROGRAMMING/PROGRAMMING/PERSONAL/PYTHON/Image_Generator_API/imagenes/NAUTICA_MENS_208003403_BGI_3.jpg")</f>
        <v/>
      </c>
      <c r="O2617">
        <f>HYPERLINK("imagenes/NAUTICA_MENS_208003403_BGI_1.jpg","Ver imagen")</f>
        <v/>
      </c>
      <c r="P2617">
        <f>HYPERLINK("imagenes/NAUTICA_MENS_208003403_BGI_2.jpg","Ver imagen")</f>
        <v/>
      </c>
      <c r="Q2617">
        <f>HYPERLINK("imagenes/NAUTICA_MENS_208003403_BGI_3.jpg","Ver imagen")</f>
        <v/>
      </c>
    </row>
    <row r="2618">
      <c r="A2618" t="inlineStr">
        <is>
          <t>NAUTICA MENS</t>
        </is>
      </c>
      <c r="B2618" t="inlineStr">
        <is>
          <t>208003403</t>
        </is>
      </c>
      <c r="C2618" t="inlineStr">
        <is>
          <t>SAILING JACKET</t>
        </is>
      </c>
      <c r="D2618" t="inlineStr">
        <is>
          <t>BGI</t>
        </is>
      </c>
      <c r="E2618" t="inlineStr">
        <is>
          <t>(en blanco)</t>
        </is>
      </c>
      <c r="F2618" t="inlineStr">
        <is>
          <t>D2C</t>
        </is>
      </c>
      <c r="G2618" t="inlineStr">
        <is>
          <t>XLT</t>
        </is>
      </c>
      <c r="H2618" t="n">
        <v>23</v>
      </c>
      <c r="I2618" t="inlineStr">
        <is>
          <t>NAUTICA_MENS_208003403_BGI_1.jpg</t>
        </is>
      </c>
      <c r="J2618" t="inlineStr">
        <is>
          <t>NAUTICA_MENS_208003403_BGI_2.jpg</t>
        </is>
      </c>
      <c r="K2618" t="inlineStr">
        <is>
          <t>NAUTICA_MENS_208003403_BGI_3.jpg</t>
        </is>
      </c>
      <c r="L2618">
        <f>IMAGE("file:///E:/Estudios%20y%20certificaciones/ESTUDIOS%20DE%20PROGRAMMING/PROGRAMMING/PERSONAL/PYTHON/Image_Generator_API/imagenes/NAUTICA_MENS_208003403_BGI_1.jpg")</f>
        <v/>
      </c>
      <c r="M2618">
        <f>IMAGE("file:///E:/Estudios%20y%20certificaciones/ESTUDIOS%20DE%20PROGRAMMING/PROGRAMMING/PERSONAL/PYTHON/Image_Generator_API/imagenes/NAUTICA_MENS_208003403_BGI_2.jpg")</f>
        <v/>
      </c>
      <c r="N2618">
        <f>IMAGE("file:///E:/Estudios%20y%20certificaciones/ESTUDIOS%20DE%20PROGRAMMING/PROGRAMMING/PERSONAL/PYTHON/Image_Generator_API/imagenes/NAUTICA_MENS_208003403_BGI_3.jpg")</f>
        <v/>
      </c>
      <c r="O2618">
        <f>HYPERLINK("imagenes/NAUTICA_MENS_208003403_BGI_1.jpg","Ver imagen")</f>
        <v/>
      </c>
      <c r="P2618">
        <f>HYPERLINK("imagenes/NAUTICA_MENS_208003403_BGI_2.jpg","Ver imagen")</f>
        <v/>
      </c>
      <c r="Q2618">
        <f>HYPERLINK("imagenes/NAUTICA_MENS_208003403_BGI_3.jpg","Ver imagen")</f>
        <v/>
      </c>
    </row>
    <row r="2619">
      <c r="A2619" t="inlineStr">
        <is>
          <t>NAUTICA MENS</t>
        </is>
      </c>
      <c r="B2619" t="inlineStr">
        <is>
          <t>208003403</t>
        </is>
      </c>
      <c r="C2619" t="inlineStr">
        <is>
          <t>SAILING JACKET</t>
        </is>
      </c>
      <c r="D2619" t="inlineStr">
        <is>
          <t>BGI</t>
        </is>
      </c>
      <c r="E2619" t="inlineStr">
        <is>
          <t>(en blanco)</t>
        </is>
      </c>
      <c r="F2619" t="inlineStr">
        <is>
          <t>(en blanco)</t>
        </is>
      </c>
      <c r="G2619" t="inlineStr">
        <is>
          <t>2XLT</t>
        </is>
      </c>
      <c r="H2619" t="n">
        <v>22</v>
      </c>
      <c r="I2619" t="inlineStr">
        <is>
          <t>NAUTICA_MENS_208003403_BGI_1.jpg</t>
        </is>
      </c>
      <c r="J2619" t="inlineStr">
        <is>
          <t>NAUTICA_MENS_208003403_BGI_2.jpg</t>
        </is>
      </c>
      <c r="K2619" t="inlineStr">
        <is>
          <t>NAUTICA_MENS_208003403_BGI_3.jpg</t>
        </is>
      </c>
      <c r="L2619">
        <f>IMAGE("file:///E:/Estudios%20y%20certificaciones/ESTUDIOS%20DE%20PROGRAMMING/PROGRAMMING/PERSONAL/PYTHON/Image_Generator_API/imagenes/NAUTICA_MENS_208003403_BGI_1.jpg")</f>
        <v/>
      </c>
      <c r="M2619">
        <f>IMAGE("file:///E:/Estudios%20y%20certificaciones/ESTUDIOS%20DE%20PROGRAMMING/PROGRAMMING/PERSONAL/PYTHON/Image_Generator_API/imagenes/NAUTICA_MENS_208003403_BGI_2.jpg")</f>
        <v/>
      </c>
      <c r="N2619">
        <f>IMAGE("file:///E:/Estudios%20y%20certificaciones/ESTUDIOS%20DE%20PROGRAMMING/PROGRAMMING/PERSONAL/PYTHON/Image_Generator_API/imagenes/NAUTICA_MENS_208003403_BGI_3.jpg")</f>
        <v/>
      </c>
      <c r="O2619">
        <f>HYPERLINK("imagenes/NAUTICA_MENS_208003403_BGI_1.jpg","Ver imagen")</f>
        <v/>
      </c>
      <c r="P2619">
        <f>HYPERLINK("imagenes/NAUTICA_MENS_208003403_BGI_2.jpg","Ver imagen")</f>
        <v/>
      </c>
      <c r="Q2619">
        <f>HYPERLINK("imagenes/NAUTICA_MENS_208003403_BGI_3.jpg","Ver imagen")</f>
        <v/>
      </c>
    </row>
    <row r="2620">
      <c r="A2620" t="inlineStr">
        <is>
          <t>NAUTICA MENS</t>
        </is>
      </c>
      <c r="B2620" t="inlineStr">
        <is>
          <t>208003403</t>
        </is>
      </c>
      <c r="C2620" t="inlineStr">
        <is>
          <t>SAILING JACKET</t>
        </is>
      </c>
      <c r="D2620" t="inlineStr">
        <is>
          <t>BGI</t>
        </is>
      </c>
      <c r="E2620" t="inlineStr">
        <is>
          <t>(en blanco)</t>
        </is>
      </c>
      <c r="F2620" t="inlineStr">
        <is>
          <t>(en blanco)</t>
        </is>
      </c>
      <c r="G2620" t="inlineStr">
        <is>
          <t>3XLT</t>
        </is>
      </c>
      <c r="H2620" t="n">
        <v>19</v>
      </c>
      <c r="I2620" t="inlineStr">
        <is>
          <t>NAUTICA_MENS_208003403_BGI_1.jpg</t>
        </is>
      </c>
      <c r="J2620" t="inlineStr">
        <is>
          <t>NAUTICA_MENS_208003403_BGI_2.jpg</t>
        </is>
      </c>
      <c r="K2620" t="inlineStr">
        <is>
          <t>NAUTICA_MENS_208003403_BGI_3.jpg</t>
        </is>
      </c>
      <c r="L2620">
        <f>IMAGE("file:///E:/Estudios%20y%20certificaciones/ESTUDIOS%20DE%20PROGRAMMING/PROGRAMMING/PERSONAL/PYTHON/Image_Generator_API/imagenes/NAUTICA_MENS_208003403_BGI_1.jpg")</f>
        <v/>
      </c>
      <c r="M2620">
        <f>IMAGE("file:///E:/Estudios%20y%20certificaciones/ESTUDIOS%20DE%20PROGRAMMING/PROGRAMMING/PERSONAL/PYTHON/Image_Generator_API/imagenes/NAUTICA_MENS_208003403_BGI_2.jpg")</f>
        <v/>
      </c>
      <c r="N2620">
        <f>IMAGE("file:///E:/Estudios%20y%20certificaciones/ESTUDIOS%20DE%20PROGRAMMING/PROGRAMMING/PERSONAL/PYTHON/Image_Generator_API/imagenes/NAUTICA_MENS_208003403_BGI_3.jpg")</f>
        <v/>
      </c>
      <c r="O2620">
        <f>HYPERLINK("imagenes/NAUTICA_MENS_208003403_BGI_1.jpg","Ver imagen")</f>
        <v/>
      </c>
      <c r="P2620">
        <f>HYPERLINK("imagenes/NAUTICA_MENS_208003403_BGI_2.jpg","Ver imagen")</f>
        <v/>
      </c>
      <c r="Q2620">
        <f>HYPERLINK("imagenes/NAUTICA_MENS_208003403_BGI_3.jpg","Ver imagen")</f>
        <v/>
      </c>
    </row>
    <row r="2621">
      <c r="A2621" t="inlineStr">
        <is>
          <t>NAUTICA MENS</t>
        </is>
      </c>
      <c r="B2621" t="inlineStr">
        <is>
          <t>208003403</t>
        </is>
      </c>
      <c r="C2621" t="inlineStr">
        <is>
          <t>SAILING JACKET</t>
        </is>
      </c>
      <c r="D2621" t="inlineStr">
        <is>
          <t>BGI</t>
        </is>
      </c>
      <c r="E2621" t="inlineStr">
        <is>
          <t>(en blanco)</t>
        </is>
      </c>
      <c r="F2621" t="inlineStr">
        <is>
          <t>(en blanco)</t>
        </is>
      </c>
      <c r="G2621" t="inlineStr">
        <is>
          <t>4XLT</t>
        </is>
      </c>
      <c r="H2621" t="n">
        <v>25</v>
      </c>
      <c r="I2621" t="inlineStr">
        <is>
          <t>NAUTICA_MENS_208003403_BGI_1.jpg</t>
        </is>
      </c>
      <c r="J2621" t="inlineStr">
        <is>
          <t>NAUTICA_MENS_208003403_BGI_2.jpg</t>
        </is>
      </c>
      <c r="K2621" t="inlineStr">
        <is>
          <t>NAUTICA_MENS_208003403_BGI_3.jpg</t>
        </is>
      </c>
      <c r="L2621">
        <f>IMAGE("file:///E:/Estudios%20y%20certificaciones/ESTUDIOS%20DE%20PROGRAMMING/PROGRAMMING/PERSONAL/PYTHON/Image_Generator_API/imagenes/NAUTICA_MENS_208003403_BGI_1.jpg")</f>
        <v/>
      </c>
      <c r="M2621">
        <f>IMAGE("file:///E:/Estudios%20y%20certificaciones/ESTUDIOS%20DE%20PROGRAMMING/PROGRAMMING/PERSONAL/PYTHON/Image_Generator_API/imagenes/NAUTICA_MENS_208003403_BGI_2.jpg")</f>
        <v/>
      </c>
      <c r="N2621">
        <f>IMAGE("file:///E:/Estudios%20y%20certificaciones/ESTUDIOS%20DE%20PROGRAMMING/PROGRAMMING/PERSONAL/PYTHON/Image_Generator_API/imagenes/NAUTICA_MENS_208003403_BGI_3.jpg")</f>
        <v/>
      </c>
      <c r="O2621">
        <f>HYPERLINK("imagenes/NAUTICA_MENS_208003403_BGI_1.jpg","Ver imagen")</f>
        <v/>
      </c>
      <c r="P2621">
        <f>HYPERLINK("imagenes/NAUTICA_MENS_208003403_BGI_2.jpg","Ver imagen")</f>
        <v/>
      </c>
      <c r="Q2621">
        <f>HYPERLINK("imagenes/NAUTICA_MENS_208003403_BGI_3.jpg","Ver imagen")</f>
        <v/>
      </c>
    </row>
    <row r="2622">
      <c r="A2622" t="inlineStr">
        <is>
          <t>NAUTICA MENS</t>
        </is>
      </c>
      <c r="B2622" t="inlineStr">
        <is>
          <t>208003403</t>
        </is>
      </c>
      <c r="C2622" t="inlineStr">
        <is>
          <t>SAILING JACKET</t>
        </is>
      </c>
      <c r="D2622" t="inlineStr">
        <is>
          <t>BGI</t>
        </is>
      </c>
      <c r="E2622" t="inlineStr">
        <is>
          <t>(en blanco)</t>
        </is>
      </c>
      <c r="F2622" t="inlineStr">
        <is>
          <t>(en blanco)</t>
        </is>
      </c>
      <c r="G2622" t="inlineStr">
        <is>
          <t>5XLT</t>
        </is>
      </c>
      <c r="H2622" t="n">
        <v>15</v>
      </c>
      <c r="I2622" t="inlineStr">
        <is>
          <t>NAUTICA_MENS_208003403_BGI_1.jpg</t>
        </is>
      </c>
      <c r="J2622" t="inlineStr">
        <is>
          <t>NAUTICA_MENS_208003403_BGI_2.jpg</t>
        </is>
      </c>
      <c r="K2622" t="inlineStr">
        <is>
          <t>NAUTICA_MENS_208003403_BGI_3.jpg</t>
        </is>
      </c>
      <c r="L2622">
        <f>IMAGE("file:///E:/Estudios%20y%20certificaciones/ESTUDIOS%20DE%20PROGRAMMING/PROGRAMMING/PERSONAL/PYTHON/Image_Generator_API/imagenes/NAUTICA_MENS_208003403_BGI_1.jpg")</f>
        <v/>
      </c>
      <c r="M2622">
        <f>IMAGE("file:///E:/Estudios%20y%20certificaciones/ESTUDIOS%20DE%20PROGRAMMING/PROGRAMMING/PERSONAL/PYTHON/Image_Generator_API/imagenes/NAUTICA_MENS_208003403_BGI_2.jpg")</f>
        <v/>
      </c>
      <c r="N2622">
        <f>IMAGE("file:///E:/Estudios%20y%20certificaciones/ESTUDIOS%20DE%20PROGRAMMING/PROGRAMMING/PERSONAL/PYTHON/Image_Generator_API/imagenes/NAUTICA_MENS_208003403_BGI_3.jpg")</f>
        <v/>
      </c>
      <c r="O2622">
        <f>HYPERLINK("imagenes/NAUTICA_MENS_208003403_BGI_1.jpg","Ver imagen")</f>
        <v/>
      </c>
      <c r="P2622">
        <f>HYPERLINK("imagenes/NAUTICA_MENS_208003403_BGI_2.jpg","Ver imagen")</f>
        <v/>
      </c>
      <c r="Q2622">
        <f>HYPERLINK("imagenes/NAUTICA_MENS_208003403_BGI_3.jpg","Ver imagen")</f>
        <v/>
      </c>
    </row>
    <row r="2623">
      <c r="A2623" t="inlineStr">
        <is>
          <t>NAUTICA MENS</t>
        </is>
      </c>
      <c r="B2623" t="inlineStr">
        <is>
          <t>208003403</t>
        </is>
      </c>
      <c r="C2623" t="inlineStr">
        <is>
          <t>SAILING JACKET</t>
        </is>
      </c>
      <c r="D2623" t="inlineStr">
        <is>
          <t>BGI</t>
        </is>
      </c>
      <c r="E2623" t="inlineStr">
        <is>
          <t>(en blanco)</t>
        </is>
      </c>
      <c r="F2623" t="inlineStr">
        <is>
          <t>(en blanco)</t>
        </is>
      </c>
      <c r="G2623" t="inlineStr">
        <is>
          <t>6XLT</t>
        </is>
      </c>
      <c r="H2623" t="n">
        <v>18</v>
      </c>
      <c r="I2623" t="inlineStr">
        <is>
          <t>NAUTICA_MENS_208003403_BGI_1.jpg</t>
        </is>
      </c>
      <c r="J2623" t="inlineStr">
        <is>
          <t>NAUTICA_MENS_208003403_BGI_2.jpg</t>
        </is>
      </c>
      <c r="K2623" t="inlineStr">
        <is>
          <t>NAUTICA_MENS_208003403_BGI_3.jpg</t>
        </is>
      </c>
      <c r="L2623">
        <f>IMAGE("file:///E:/Estudios%20y%20certificaciones/ESTUDIOS%20DE%20PROGRAMMING/PROGRAMMING/PERSONAL/PYTHON/Image_Generator_API/imagenes/NAUTICA_MENS_208003403_BGI_1.jpg")</f>
        <v/>
      </c>
      <c r="M2623">
        <f>IMAGE("file:///E:/Estudios%20y%20certificaciones/ESTUDIOS%20DE%20PROGRAMMING/PROGRAMMING/PERSONAL/PYTHON/Image_Generator_API/imagenes/NAUTICA_MENS_208003403_BGI_2.jpg")</f>
        <v/>
      </c>
      <c r="N2623">
        <f>IMAGE("file:///E:/Estudios%20y%20certificaciones/ESTUDIOS%20DE%20PROGRAMMING/PROGRAMMING/PERSONAL/PYTHON/Image_Generator_API/imagenes/NAUTICA_MENS_208003403_BGI_3.jpg")</f>
        <v/>
      </c>
      <c r="O2623">
        <f>HYPERLINK("imagenes/NAUTICA_MENS_208003403_BGI_1.jpg","Ver imagen")</f>
        <v/>
      </c>
      <c r="P2623">
        <f>HYPERLINK("imagenes/NAUTICA_MENS_208003403_BGI_2.jpg","Ver imagen")</f>
        <v/>
      </c>
      <c r="Q2623">
        <f>HYPERLINK("imagenes/NAUTICA_MENS_208003403_BGI_3.jpg","Ver imagen")</f>
        <v/>
      </c>
    </row>
    <row r="2624">
      <c r="A2624" t="inlineStr">
        <is>
          <t>NAUTICA MENS</t>
        </is>
      </c>
      <c r="B2624" t="inlineStr">
        <is>
          <t>208003403</t>
        </is>
      </c>
      <c r="C2624" t="inlineStr">
        <is>
          <t>SAILING JACKET</t>
        </is>
      </c>
      <c r="D2624" t="inlineStr">
        <is>
          <t>BGI</t>
        </is>
      </c>
      <c r="E2624" t="inlineStr">
        <is>
          <t>(en blanco)</t>
        </is>
      </c>
      <c r="F2624" t="inlineStr">
        <is>
          <t>(en blanco)</t>
        </is>
      </c>
      <c r="G2624" t="inlineStr">
        <is>
          <t>XLT</t>
        </is>
      </c>
      <c r="H2624" t="n">
        <v>22</v>
      </c>
      <c r="I2624" t="inlineStr">
        <is>
          <t>NAUTICA_MENS_208003403_BGI_1.jpg</t>
        </is>
      </c>
      <c r="J2624" t="inlineStr">
        <is>
          <t>NAUTICA_MENS_208003403_BGI_2.jpg</t>
        </is>
      </c>
      <c r="K2624" t="inlineStr">
        <is>
          <t>NAUTICA_MENS_208003403_BGI_3.jpg</t>
        </is>
      </c>
      <c r="L2624">
        <f>IMAGE("file:///E:/Estudios%20y%20certificaciones/ESTUDIOS%20DE%20PROGRAMMING/PROGRAMMING/PERSONAL/PYTHON/Image_Generator_API/imagenes/NAUTICA_MENS_208003403_BGI_1.jpg")</f>
        <v/>
      </c>
      <c r="M2624">
        <f>IMAGE("file:///E:/Estudios%20y%20certificaciones/ESTUDIOS%20DE%20PROGRAMMING/PROGRAMMING/PERSONAL/PYTHON/Image_Generator_API/imagenes/NAUTICA_MENS_208003403_BGI_2.jpg")</f>
        <v/>
      </c>
      <c r="N2624">
        <f>IMAGE("file:///E:/Estudios%20y%20certificaciones/ESTUDIOS%20DE%20PROGRAMMING/PROGRAMMING/PERSONAL/PYTHON/Image_Generator_API/imagenes/NAUTICA_MENS_208003403_BGI_3.jpg")</f>
        <v/>
      </c>
      <c r="O2624">
        <f>HYPERLINK("imagenes/NAUTICA_MENS_208003403_BGI_1.jpg","Ver imagen")</f>
        <v/>
      </c>
      <c r="P2624">
        <f>HYPERLINK("imagenes/NAUTICA_MENS_208003403_BGI_2.jpg","Ver imagen")</f>
        <v/>
      </c>
      <c r="Q2624">
        <f>HYPERLINK("imagenes/NAUTICA_MENS_208003403_BGI_3.jpg","Ver imagen")</f>
        <v/>
      </c>
    </row>
    <row r="2625">
      <c r="A2625" t="inlineStr">
        <is>
          <t>NAUTICA MENS</t>
        </is>
      </c>
      <c r="B2625" t="inlineStr">
        <is>
          <t>208003403</t>
        </is>
      </c>
      <c r="C2625" t="inlineStr">
        <is>
          <t>SAILING JACKET</t>
        </is>
      </c>
      <c r="D2625" t="inlineStr">
        <is>
          <t>NVY</t>
        </is>
      </c>
      <c r="E2625" t="inlineStr">
        <is>
          <t>(en blanco)</t>
        </is>
      </c>
      <c r="F2625" t="inlineStr">
        <is>
          <t>D2C</t>
        </is>
      </c>
      <c r="G2625" t="inlineStr">
        <is>
          <t>2XLT</t>
        </is>
      </c>
      <c r="H2625" t="n">
        <v>23</v>
      </c>
      <c r="I2625" t="inlineStr">
        <is>
          <t>NAUTICA_MENS_208003403_NVY_1.jpg</t>
        </is>
      </c>
      <c r="J2625" t="inlineStr">
        <is>
          <t>NAUTICA_MENS_208003403_NVY_2.jpg</t>
        </is>
      </c>
      <c r="K2625" t="inlineStr">
        <is>
          <t>NAUTICA_MENS_208003403_NVY_3.jpg</t>
        </is>
      </c>
      <c r="L2625">
        <f>IMAGE("file:///E:/Estudios%20y%20certificaciones/ESTUDIOS%20DE%20PROGRAMMING/PROGRAMMING/PERSONAL/PYTHON/Image_Generator_API/imagenes/NAUTICA_MENS_208003403_NVY_1.jpg")</f>
        <v/>
      </c>
      <c r="M2625">
        <f>IMAGE("file:///E:/Estudios%20y%20certificaciones/ESTUDIOS%20DE%20PROGRAMMING/PROGRAMMING/PERSONAL/PYTHON/Image_Generator_API/imagenes/NAUTICA_MENS_208003403_NVY_2.jpg")</f>
        <v/>
      </c>
      <c r="N2625">
        <f>IMAGE("file:///E:/Estudios%20y%20certificaciones/ESTUDIOS%20DE%20PROGRAMMING/PROGRAMMING/PERSONAL/PYTHON/Image_Generator_API/imagenes/NAUTICA_MENS_208003403_NVY_3.jpg")</f>
        <v/>
      </c>
      <c r="O2625">
        <f>HYPERLINK("imagenes/NAUTICA_MENS_208003403_NVY_1.jpg","Ver imagen")</f>
        <v/>
      </c>
      <c r="P2625">
        <f>HYPERLINK("imagenes/NAUTICA_MENS_208003403_NVY_2.jpg","Ver imagen")</f>
        <v/>
      </c>
      <c r="Q2625">
        <f>HYPERLINK("imagenes/NAUTICA_MENS_208003403_NVY_3.jpg","Ver imagen")</f>
        <v/>
      </c>
    </row>
    <row r="2626">
      <c r="A2626" t="inlineStr">
        <is>
          <t>NAUTICA MENS</t>
        </is>
      </c>
      <c r="B2626" t="inlineStr">
        <is>
          <t>208003403</t>
        </is>
      </c>
      <c r="C2626" t="inlineStr">
        <is>
          <t>SAILING JACKET</t>
        </is>
      </c>
      <c r="D2626" t="inlineStr">
        <is>
          <t>NVY</t>
        </is>
      </c>
      <c r="E2626" t="inlineStr">
        <is>
          <t>(en blanco)</t>
        </is>
      </c>
      <c r="F2626" t="inlineStr">
        <is>
          <t>D2C</t>
        </is>
      </c>
      <c r="G2626" t="inlineStr">
        <is>
          <t>3XLT</t>
        </is>
      </c>
      <c r="H2626" t="n">
        <v>22</v>
      </c>
      <c r="I2626" t="inlineStr">
        <is>
          <t>NAUTICA_MENS_208003403_NVY_1.jpg</t>
        </is>
      </c>
      <c r="J2626" t="inlineStr">
        <is>
          <t>NAUTICA_MENS_208003403_NVY_2.jpg</t>
        </is>
      </c>
      <c r="K2626" t="inlineStr">
        <is>
          <t>NAUTICA_MENS_208003403_NVY_3.jpg</t>
        </is>
      </c>
      <c r="L2626">
        <f>IMAGE("file:///E:/Estudios%20y%20certificaciones/ESTUDIOS%20DE%20PROGRAMMING/PROGRAMMING/PERSONAL/PYTHON/Image_Generator_API/imagenes/NAUTICA_MENS_208003403_NVY_1.jpg")</f>
        <v/>
      </c>
      <c r="M2626">
        <f>IMAGE("file:///E:/Estudios%20y%20certificaciones/ESTUDIOS%20DE%20PROGRAMMING/PROGRAMMING/PERSONAL/PYTHON/Image_Generator_API/imagenes/NAUTICA_MENS_208003403_NVY_2.jpg")</f>
        <v/>
      </c>
      <c r="N2626">
        <f>IMAGE("file:///E:/Estudios%20y%20certificaciones/ESTUDIOS%20DE%20PROGRAMMING/PROGRAMMING/PERSONAL/PYTHON/Image_Generator_API/imagenes/NAUTICA_MENS_208003403_NVY_3.jpg")</f>
        <v/>
      </c>
      <c r="O2626">
        <f>HYPERLINK("imagenes/NAUTICA_MENS_208003403_NVY_1.jpg","Ver imagen")</f>
        <v/>
      </c>
      <c r="P2626">
        <f>HYPERLINK("imagenes/NAUTICA_MENS_208003403_NVY_2.jpg","Ver imagen")</f>
        <v/>
      </c>
      <c r="Q2626">
        <f>HYPERLINK("imagenes/NAUTICA_MENS_208003403_NVY_3.jpg","Ver imagen")</f>
        <v/>
      </c>
    </row>
    <row r="2627">
      <c r="A2627" t="inlineStr">
        <is>
          <t>NAUTICA MENS</t>
        </is>
      </c>
      <c r="B2627" t="inlineStr">
        <is>
          <t>208003403</t>
        </is>
      </c>
      <c r="C2627" t="inlineStr">
        <is>
          <t>SAILING JACKET</t>
        </is>
      </c>
      <c r="D2627" t="inlineStr">
        <is>
          <t>NVY</t>
        </is>
      </c>
      <c r="E2627" t="inlineStr">
        <is>
          <t>(en blanco)</t>
        </is>
      </c>
      <c r="F2627" t="inlineStr">
        <is>
          <t>D2C</t>
        </is>
      </c>
      <c r="G2627" t="inlineStr">
        <is>
          <t>4XLT</t>
        </is>
      </c>
      <c r="H2627" t="n">
        <v>21</v>
      </c>
      <c r="I2627" t="inlineStr">
        <is>
          <t>NAUTICA_MENS_208003403_NVY_1.jpg</t>
        </is>
      </c>
      <c r="J2627" t="inlineStr">
        <is>
          <t>NAUTICA_MENS_208003403_NVY_2.jpg</t>
        </is>
      </c>
      <c r="K2627" t="inlineStr">
        <is>
          <t>NAUTICA_MENS_208003403_NVY_3.jpg</t>
        </is>
      </c>
      <c r="L2627">
        <f>IMAGE("file:///E:/Estudios%20y%20certificaciones/ESTUDIOS%20DE%20PROGRAMMING/PROGRAMMING/PERSONAL/PYTHON/Image_Generator_API/imagenes/NAUTICA_MENS_208003403_NVY_1.jpg")</f>
        <v/>
      </c>
      <c r="M2627">
        <f>IMAGE("file:///E:/Estudios%20y%20certificaciones/ESTUDIOS%20DE%20PROGRAMMING/PROGRAMMING/PERSONAL/PYTHON/Image_Generator_API/imagenes/NAUTICA_MENS_208003403_NVY_2.jpg")</f>
        <v/>
      </c>
      <c r="N2627">
        <f>IMAGE("file:///E:/Estudios%20y%20certificaciones/ESTUDIOS%20DE%20PROGRAMMING/PROGRAMMING/PERSONAL/PYTHON/Image_Generator_API/imagenes/NAUTICA_MENS_208003403_NVY_3.jpg")</f>
        <v/>
      </c>
      <c r="O2627">
        <f>HYPERLINK("imagenes/NAUTICA_MENS_208003403_NVY_1.jpg","Ver imagen")</f>
        <v/>
      </c>
      <c r="P2627">
        <f>HYPERLINK("imagenes/NAUTICA_MENS_208003403_NVY_2.jpg","Ver imagen")</f>
        <v/>
      </c>
      <c r="Q2627">
        <f>HYPERLINK("imagenes/NAUTICA_MENS_208003403_NVY_3.jpg","Ver imagen")</f>
        <v/>
      </c>
    </row>
    <row r="2628">
      <c r="A2628" t="inlineStr">
        <is>
          <t>NAUTICA MENS</t>
        </is>
      </c>
      <c r="B2628" t="inlineStr">
        <is>
          <t>208003403</t>
        </is>
      </c>
      <c r="C2628" t="inlineStr">
        <is>
          <t>SAILING JACKET</t>
        </is>
      </c>
      <c r="D2628" t="inlineStr">
        <is>
          <t>NVY</t>
        </is>
      </c>
      <c r="E2628" t="inlineStr">
        <is>
          <t>(en blanco)</t>
        </is>
      </c>
      <c r="F2628" t="inlineStr">
        <is>
          <t>D2C</t>
        </is>
      </c>
      <c r="G2628" t="inlineStr">
        <is>
          <t>5XLT</t>
        </is>
      </c>
      <c r="H2628" t="n">
        <v>14</v>
      </c>
      <c r="I2628" t="inlineStr">
        <is>
          <t>NAUTICA_MENS_208003403_NVY_1.jpg</t>
        </is>
      </c>
      <c r="J2628" t="inlineStr">
        <is>
          <t>NAUTICA_MENS_208003403_NVY_2.jpg</t>
        </is>
      </c>
      <c r="K2628" t="inlineStr">
        <is>
          <t>NAUTICA_MENS_208003403_NVY_3.jpg</t>
        </is>
      </c>
      <c r="L2628">
        <f>IMAGE("file:///E:/Estudios%20y%20certificaciones/ESTUDIOS%20DE%20PROGRAMMING/PROGRAMMING/PERSONAL/PYTHON/Image_Generator_API/imagenes/NAUTICA_MENS_208003403_NVY_1.jpg")</f>
        <v/>
      </c>
      <c r="M2628">
        <f>IMAGE("file:///E:/Estudios%20y%20certificaciones/ESTUDIOS%20DE%20PROGRAMMING/PROGRAMMING/PERSONAL/PYTHON/Image_Generator_API/imagenes/NAUTICA_MENS_208003403_NVY_2.jpg")</f>
        <v/>
      </c>
      <c r="N2628">
        <f>IMAGE("file:///E:/Estudios%20y%20certificaciones/ESTUDIOS%20DE%20PROGRAMMING/PROGRAMMING/PERSONAL/PYTHON/Image_Generator_API/imagenes/NAUTICA_MENS_208003403_NVY_3.jpg")</f>
        <v/>
      </c>
      <c r="O2628">
        <f>HYPERLINK("imagenes/NAUTICA_MENS_208003403_NVY_1.jpg","Ver imagen")</f>
        <v/>
      </c>
      <c r="P2628">
        <f>HYPERLINK("imagenes/NAUTICA_MENS_208003403_NVY_2.jpg","Ver imagen")</f>
        <v/>
      </c>
      <c r="Q2628">
        <f>HYPERLINK("imagenes/NAUTICA_MENS_208003403_NVY_3.jpg","Ver imagen")</f>
        <v/>
      </c>
    </row>
    <row r="2629">
      <c r="A2629" t="inlineStr">
        <is>
          <t>NAUTICA MENS</t>
        </is>
      </c>
      <c r="B2629" t="inlineStr">
        <is>
          <t>208003403</t>
        </is>
      </c>
      <c r="C2629" t="inlineStr">
        <is>
          <t>SAILING JACKET</t>
        </is>
      </c>
      <c r="D2629" t="inlineStr">
        <is>
          <t>NVY</t>
        </is>
      </c>
      <c r="E2629" t="inlineStr">
        <is>
          <t>(en blanco)</t>
        </is>
      </c>
      <c r="F2629" t="inlineStr">
        <is>
          <t>D2C</t>
        </is>
      </c>
      <c r="G2629" t="inlineStr">
        <is>
          <t>6XLT</t>
        </is>
      </c>
      <c r="H2629" t="n">
        <v>11</v>
      </c>
      <c r="I2629" t="inlineStr">
        <is>
          <t>NAUTICA_MENS_208003403_NVY_1.jpg</t>
        </is>
      </c>
      <c r="J2629" t="inlineStr">
        <is>
          <t>NAUTICA_MENS_208003403_NVY_2.jpg</t>
        </is>
      </c>
      <c r="K2629" t="inlineStr">
        <is>
          <t>NAUTICA_MENS_208003403_NVY_3.jpg</t>
        </is>
      </c>
      <c r="L2629">
        <f>IMAGE("file:///E:/Estudios%20y%20certificaciones/ESTUDIOS%20DE%20PROGRAMMING/PROGRAMMING/PERSONAL/PYTHON/Image_Generator_API/imagenes/NAUTICA_MENS_208003403_NVY_1.jpg")</f>
        <v/>
      </c>
      <c r="M2629">
        <f>IMAGE("file:///E:/Estudios%20y%20certificaciones/ESTUDIOS%20DE%20PROGRAMMING/PROGRAMMING/PERSONAL/PYTHON/Image_Generator_API/imagenes/NAUTICA_MENS_208003403_NVY_2.jpg")</f>
        <v/>
      </c>
      <c r="N2629">
        <f>IMAGE("file:///E:/Estudios%20y%20certificaciones/ESTUDIOS%20DE%20PROGRAMMING/PROGRAMMING/PERSONAL/PYTHON/Image_Generator_API/imagenes/NAUTICA_MENS_208003403_NVY_3.jpg")</f>
        <v/>
      </c>
      <c r="O2629">
        <f>HYPERLINK("imagenes/NAUTICA_MENS_208003403_NVY_1.jpg","Ver imagen")</f>
        <v/>
      </c>
      <c r="P2629">
        <f>HYPERLINK("imagenes/NAUTICA_MENS_208003403_NVY_2.jpg","Ver imagen")</f>
        <v/>
      </c>
      <c r="Q2629">
        <f>HYPERLINK("imagenes/NAUTICA_MENS_208003403_NVY_3.jpg","Ver imagen")</f>
        <v/>
      </c>
    </row>
    <row r="2630">
      <c r="A2630" t="inlineStr">
        <is>
          <t>NAUTICA MENS</t>
        </is>
      </c>
      <c r="B2630" t="inlineStr">
        <is>
          <t>208003403</t>
        </is>
      </c>
      <c r="C2630" t="inlineStr">
        <is>
          <t>SAILING JACKET</t>
        </is>
      </c>
      <c r="D2630" t="inlineStr">
        <is>
          <t>NVY</t>
        </is>
      </c>
      <c r="E2630" t="inlineStr">
        <is>
          <t>(en blanco)</t>
        </is>
      </c>
      <c r="F2630" t="inlineStr">
        <is>
          <t>D2C</t>
        </is>
      </c>
      <c r="G2630" t="inlineStr">
        <is>
          <t>XLT</t>
        </is>
      </c>
      <c r="H2630" t="n">
        <v>13</v>
      </c>
      <c r="I2630" t="inlineStr">
        <is>
          <t>NAUTICA_MENS_208003403_NVY_1.jpg</t>
        </is>
      </c>
      <c r="J2630" t="inlineStr">
        <is>
          <t>NAUTICA_MENS_208003403_NVY_2.jpg</t>
        </is>
      </c>
      <c r="K2630" t="inlineStr">
        <is>
          <t>NAUTICA_MENS_208003403_NVY_3.jpg</t>
        </is>
      </c>
      <c r="L2630">
        <f>IMAGE("file:///E:/Estudios%20y%20certificaciones/ESTUDIOS%20DE%20PROGRAMMING/PROGRAMMING/PERSONAL/PYTHON/Image_Generator_API/imagenes/NAUTICA_MENS_208003403_NVY_1.jpg")</f>
        <v/>
      </c>
      <c r="M2630">
        <f>IMAGE("file:///E:/Estudios%20y%20certificaciones/ESTUDIOS%20DE%20PROGRAMMING/PROGRAMMING/PERSONAL/PYTHON/Image_Generator_API/imagenes/NAUTICA_MENS_208003403_NVY_2.jpg")</f>
        <v/>
      </c>
      <c r="N2630">
        <f>IMAGE("file:///E:/Estudios%20y%20certificaciones/ESTUDIOS%20DE%20PROGRAMMING/PROGRAMMING/PERSONAL/PYTHON/Image_Generator_API/imagenes/NAUTICA_MENS_208003403_NVY_3.jpg")</f>
        <v/>
      </c>
      <c r="O2630">
        <f>HYPERLINK("imagenes/NAUTICA_MENS_208003403_NVY_1.jpg","Ver imagen")</f>
        <v/>
      </c>
      <c r="P2630">
        <f>HYPERLINK("imagenes/NAUTICA_MENS_208003403_NVY_2.jpg","Ver imagen")</f>
        <v/>
      </c>
      <c r="Q2630">
        <f>HYPERLINK("imagenes/NAUTICA_MENS_208003403_NVY_3.jpg","Ver imagen")</f>
        <v/>
      </c>
    </row>
    <row r="2631">
      <c r="A2631" t="inlineStr">
        <is>
          <t>NAUTICA MENS</t>
        </is>
      </c>
      <c r="B2631" t="inlineStr">
        <is>
          <t>208003403</t>
        </is>
      </c>
      <c r="C2631" t="inlineStr">
        <is>
          <t>SAILING JACKET</t>
        </is>
      </c>
      <c r="D2631" t="inlineStr">
        <is>
          <t>NVY</t>
        </is>
      </c>
      <c r="E2631" t="inlineStr">
        <is>
          <t>(en blanco)</t>
        </is>
      </c>
      <c r="F2631" t="inlineStr">
        <is>
          <t>(en blanco)</t>
        </is>
      </c>
      <c r="G2631" t="inlineStr">
        <is>
          <t>2XLT</t>
        </is>
      </c>
      <c r="H2631" t="n">
        <v>22</v>
      </c>
      <c r="I2631" t="inlineStr">
        <is>
          <t>NAUTICA_MENS_208003403_NVY_1.jpg</t>
        </is>
      </c>
      <c r="J2631" t="inlineStr">
        <is>
          <t>NAUTICA_MENS_208003403_NVY_2.jpg</t>
        </is>
      </c>
      <c r="K2631" t="inlineStr">
        <is>
          <t>NAUTICA_MENS_208003403_NVY_3.jpg</t>
        </is>
      </c>
      <c r="L2631">
        <f>IMAGE("file:///E:/Estudios%20y%20certificaciones/ESTUDIOS%20DE%20PROGRAMMING/PROGRAMMING/PERSONAL/PYTHON/Image_Generator_API/imagenes/NAUTICA_MENS_208003403_NVY_1.jpg")</f>
        <v/>
      </c>
      <c r="M2631">
        <f>IMAGE("file:///E:/Estudios%20y%20certificaciones/ESTUDIOS%20DE%20PROGRAMMING/PROGRAMMING/PERSONAL/PYTHON/Image_Generator_API/imagenes/NAUTICA_MENS_208003403_NVY_2.jpg")</f>
        <v/>
      </c>
      <c r="N2631">
        <f>IMAGE("file:///E:/Estudios%20y%20certificaciones/ESTUDIOS%20DE%20PROGRAMMING/PROGRAMMING/PERSONAL/PYTHON/Image_Generator_API/imagenes/NAUTICA_MENS_208003403_NVY_3.jpg")</f>
        <v/>
      </c>
      <c r="O2631">
        <f>HYPERLINK("imagenes/NAUTICA_MENS_208003403_NVY_1.jpg","Ver imagen")</f>
        <v/>
      </c>
      <c r="P2631">
        <f>HYPERLINK("imagenes/NAUTICA_MENS_208003403_NVY_2.jpg","Ver imagen")</f>
        <v/>
      </c>
      <c r="Q2631">
        <f>HYPERLINK("imagenes/NAUTICA_MENS_208003403_NVY_3.jpg","Ver imagen")</f>
        <v/>
      </c>
    </row>
    <row r="2632">
      <c r="A2632" t="inlineStr">
        <is>
          <t>NAUTICA MENS</t>
        </is>
      </c>
      <c r="B2632" t="inlineStr">
        <is>
          <t>208003403</t>
        </is>
      </c>
      <c r="C2632" t="inlineStr">
        <is>
          <t>SAILING JACKET</t>
        </is>
      </c>
      <c r="D2632" t="inlineStr">
        <is>
          <t>NVY</t>
        </is>
      </c>
      <c r="E2632" t="inlineStr">
        <is>
          <t>(en blanco)</t>
        </is>
      </c>
      <c r="F2632" t="inlineStr">
        <is>
          <t>(en blanco)</t>
        </is>
      </c>
      <c r="G2632" t="inlineStr">
        <is>
          <t>3XLT</t>
        </is>
      </c>
      <c r="H2632" t="n">
        <v>21</v>
      </c>
      <c r="I2632" t="inlineStr">
        <is>
          <t>NAUTICA_MENS_208003403_NVY_1.jpg</t>
        </is>
      </c>
      <c r="J2632" t="inlineStr">
        <is>
          <t>NAUTICA_MENS_208003403_NVY_2.jpg</t>
        </is>
      </c>
      <c r="K2632" t="inlineStr">
        <is>
          <t>NAUTICA_MENS_208003403_NVY_3.jpg</t>
        </is>
      </c>
      <c r="L2632">
        <f>IMAGE("file:///E:/Estudios%20y%20certificaciones/ESTUDIOS%20DE%20PROGRAMMING/PROGRAMMING/PERSONAL/PYTHON/Image_Generator_API/imagenes/NAUTICA_MENS_208003403_NVY_1.jpg")</f>
        <v/>
      </c>
      <c r="M2632">
        <f>IMAGE("file:///E:/Estudios%20y%20certificaciones/ESTUDIOS%20DE%20PROGRAMMING/PROGRAMMING/PERSONAL/PYTHON/Image_Generator_API/imagenes/NAUTICA_MENS_208003403_NVY_2.jpg")</f>
        <v/>
      </c>
      <c r="N2632">
        <f>IMAGE("file:///E:/Estudios%20y%20certificaciones/ESTUDIOS%20DE%20PROGRAMMING/PROGRAMMING/PERSONAL/PYTHON/Image_Generator_API/imagenes/NAUTICA_MENS_208003403_NVY_3.jpg")</f>
        <v/>
      </c>
      <c r="O2632">
        <f>HYPERLINK("imagenes/NAUTICA_MENS_208003403_NVY_1.jpg","Ver imagen")</f>
        <v/>
      </c>
      <c r="P2632">
        <f>HYPERLINK("imagenes/NAUTICA_MENS_208003403_NVY_2.jpg","Ver imagen")</f>
        <v/>
      </c>
      <c r="Q2632">
        <f>HYPERLINK("imagenes/NAUTICA_MENS_208003403_NVY_3.jpg","Ver imagen")</f>
        <v/>
      </c>
    </row>
    <row r="2633">
      <c r="A2633" t="inlineStr">
        <is>
          <t>NAUTICA MENS</t>
        </is>
      </c>
      <c r="B2633" t="inlineStr">
        <is>
          <t>208003403</t>
        </is>
      </c>
      <c r="C2633" t="inlineStr">
        <is>
          <t>SAILING JACKET</t>
        </is>
      </c>
      <c r="D2633" t="inlineStr">
        <is>
          <t>NVY</t>
        </is>
      </c>
      <c r="E2633" t="inlineStr">
        <is>
          <t>(en blanco)</t>
        </is>
      </c>
      <c r="F2633" t="inlineStr">
        <is>
          <t>(en blanco)</t>
        </is>
      </c>
      <c r="G2633" t="inlineStr">
        <is>
          <t>4XLT</t>
        </is>
      </c>
      <c r="H2633" t="n">
        <v>22</v>
      </c>
      <c r="I2633" t="inlineStr">
        <is>
          <t>NAUTICA_MENS_208003403_NVY_1.jpg</t>
        </is>
      </c>
      <c r="J2633" t="inlineStr">
        <is>
          <t>NAUTICA_MENS_208003403_NVY_2.jpg</t>
        </is>
      </c>
      <c r="K2633" t="inlineStr">
        <is>
          <t>NAUTICA_MENS_208003403_NVY_3.jpg</t>
        </is>
      </c>
      <c r="L2633">
        <f>IMAGE("file:///E:/Estudios%20y%20certificaciones/ESTUDIOS%20DE%20PROGRAMMING/PROGRAMMING/PERSONAL/PYTHON/Image_Generator_API/imagenes/NAUTICA_MENS_208003403_NVY_1.jpg")</f>
        <v/>
      </c>
      <c r="M2633">
        <f>IMAGE("file:///E:/Estudios%20y%20certificaciones/ESTUDIOS%20DE%20PROGRAMMING/PROGRAMMING/PERSONAL/PYTHON/Image_Generator_API/imagenes/NAUTICA_MENS_208003403_NVY_2.jpg")</f>
        <v/>
      </c>
      <c r="N2633">
        <f>IMAGE("file:///E:/Estudios%20y%20certificaciones/ESTUDIOS%20DE%20PROGRAMMING/PROGRAMMING/PERSONAL/PYTHON/Image_Generator_API/imagenes/NAUTICA_MENS_208003403_NVY_3.jpg")</f>
        <v/>
      </c>
      <c r="O2633">
        <f>HYPERLINK("imagenes/NAUTICA_MENS_208003403_NVY_1.jpg","Ver imagen")</f>
        <v/>
      </c>
      <c r="P2633">
        <f>HYPERLINK("imagenes/NAUTICA_MENS_208003403_NVY_2.jpg","Ver imagen")</f>
        <v/>
      </c>
      <c r="Q2633">
        <f>HYPERLINK("imagenes/NAUTICA_MENS_208003403_NVY_3.jpg","Ver imagen")</f>
        <v/>
      </c>
    </row>
    <row r="2634">
      <c r="A2634" t="inlineStr">
        <is>
          <t>NAUTICA MENS</t>
        </is>
      </c>
      <c r="B2634" t="inlineStr">
        <is>
          <t>208003403</t>
        </is>
      </c>
      <c r="C2634" t="inlineStr">
        <is>
          <t>SAILING JACKET</t>
        </is>
      </c>
      <c r="D2634" t="inlineStr">
        <is>
          <t>NVY</t>
        </is>
      </c>
      <c r="E2634" t="inlineStr">
        <is>
          <t>(en blanco)</t>
        </is>
      </c>
      <c r="F2634" t="inlineStr">
        <is>
          <t>(en blanco)</t>
        </is>
      </c>
      <c r="G2634" t="inlineStr">
        <is>
          <t>6XLT</t>
        </is>
      </c>
      <c r="H2634" t="n">
        <v>8</v>
      </c>
      <c r="I2634" t="inlineStr">
        <is>
          <t>NAUTICA_MENS_208003403_NVY_1.jpg</t>
        </is>
      </c>
      <c r="J2634" t="inlineStr">
        <is>
          <t>NAUTICA_MENS_208003403_NVY_2.jpg</t>
        </is>
      </c>
      <c r="K2634" t="inlineStr">
        <is>
          <t>NAUTICA_MENS_208003403_NVY_3.jpg</t>
        </is>
      </c>
      <c r="L2634">
        <f>IMAGE("file:///E:/Estudios%20y%20certificaciones/ESTUDIOS%20DE%20PROGRAMMING/PROGRAMMING/PERSONAL/PYTHON/Image_Generator_API/imagenes/NAUTICA_MENS_208003403_NVY_1.jpg")</f>
        <v/>
      </c>
      <c r="M2634">
        <f>IMAGE("file:///E:/Estudios%20y%20certificaciones/ESTUDIOS%20DE%20PROGRAMMING/PROGRAMMING/PERSONAL/PYTHON/Image_Generator_API/imagenes/NAUTICA_MENS_208003403_NVY_2.jpg")</f>
        <v/>
      </c>
      <c r="N2634">
        <f>IMAGE("file:///E:/Estudios%20y%20certificaciones/ESTUDIOS%20DE%20PROGRAMMING/PROGRAMMING/PERSONAL/PYTHON/Image_Generator_API/imagenes/NAUTICA_MENS_208003403_NVY_3.jpg")</f>
        <v/>
      </c>
      <c r="O2634">
        <f>HYPERLINK("imagenes/NAUTICA_MENS_208003403_NVY_1.jpg","Ver imagen")</f>
        <v/>
      </c>
      <c r="P2634">
        <f>HYPERLINK("imagenes/NAUTICA_MENS_208003403_NVY_2.jpg","Ver imagen")</f>
        <v/>
      </c>
      <c r="Q2634">
        <f>HYPERLINK("imagenes/NAUTICA_MENS_208003403_NVY_3.jpg","Ver imagen")</f>
        <v/>
      </c>
    </row>
    <row r="2635">
      <c r="A2635" t="inlineStr">
        <is>
          <t>NAUTICA MENS</t>
        </is>
      </c>
      <c r="B2635" t="inlineStr">
        <is>
          <t>208003403</t>
        </is>
      </c>
      <c r="C2635" t="inlineStr">
        <is>
          <t>SAILING JACKET</t>
        </is>
      </c>
      <c r="D2635" t="inlineStr">
        <is>
          <t>NVY</t>
        </is>
      </c>
      <c r="E2635" t="inlineStr">
        <is>
          <t>(en blanco)</t>
        </is>
      </c>
      <c r="F2635" t="inlineStr">
        <is>
          <t>(en blanco)</t>
        </is>
      </c>
      <c r="G2635" t="inlineStr">
        <is>
          <t>XLT</t>
        </is>
      </c>
      <c r="H2635" t="n">
        <v>11</v>
      </c>
      <c r="I2635" t="inlineStr">
        <is>
          <t>NAUTICA_MENS_208003403_NVY_1.jpg</t>
        </is>
      </c>
      <c r="J2635" t="inlineStr">
        <is>
          <t>NAUTICA_MENS_208003403_NVY_2.jpg</t>
        </is>
      </c>
      <c r="K2635" t="inlineStr">
        <is>
          <t>NAUTICA_MENS_208003403_NVY_3.jpg</t>
        </is>
      </c>
      <c r="L2635">
        <f>IMAGE("file:///E:/Estudios%20y%20certificaciones/ESTUDIOS%20DE%20PROGRAMMING/PROGRAMMING/PERSONAL/PYTHON/Image_Generator_API/imagenes/NAUTICA_MENS_208003403_NVY_1.jpg")</f>
        <v/>
      </c>
      <c r="M2635">
        <f>IMAGE("file:///E:/Estudios%20y%20certificaciones/ESTUDIOS%20DE%20PROGRAMMING/PROGRAMMING/PERSONAL/PYTHON/Image_Generator_API/imagenes/NAUTICA_MENS_208003403_NVY_2.jpg")</f>
        <v/>
      </c>
      <c r="N2635">
        <f>IMAGE("file:///E:/Estudios%20y%20certificaciones/ESTUDIOS%20DE%20PROGRAMMING/PROGRAMMING/PERSONAL/PYTHON/Image_Generator_API/imagenes/NAUTICA_MENS_208003403_NVY_3.jpg")</f>
        <v/>
      </c>
      <c r="O2635">
        <f>HYPERLINK("imagenes/NAUTICA_MENS_208003403_NVY_1.jpg","Ver imagen")</f>
        <v/>
      </c>
      <c r="P2635">
        <f>HYPERLINK("imagenes/NAUTICA_MENS_208003403_NVY_2.jpg","Ver imagen")</f>
        <v/>
      </c>
      <c r="Q2635">
        <f>HYPERLINK("imagenes/NAUTICA_MENS_208003403_NVY_3.jpg","Ver imagen")</f>
        <v/>
      </c>
    </row>
    <row r="2636">
      <c r="A2636" t="inlineStr">
        <is>
          <t>NAUTICA MENS</t>
        </is>
      </c>
      <c r="B2636" t="inlineStr">
        <is>
          <t>208003403</t>
        </is>
      </c>
      <c r="C2636" t="inlineStr">
        <is>
          <t>SAILING JACKET</t>
        </is>
      </c>
      <c r="D2636" t="inlineStr">
        <is>
          <t>RPD</t>
        </is>
      </c>
      <c r="E2636" t="inlineStr">
        <is>
          <t>(en blanco)</t>
        </is>
      </c>
      <c r="F2636" t="inlineStr">
        <is>
          <t>(en blanco)</t>
        </is>
      </c>
      <c r="G2636" t="inlineStr">
        <is>
          <t>2XLT</t>
        </is>
      </c>
      <c r="H2636" t="n">
        <v>59</v>
      </c>
      <c r="I2636" t="inlineStr">
        <is>
          <t>NAUTICA_MENS_208003403_RPD_1.jpg</t>
        </is>
      </c>
      <c r="J2636" t="inlineStr">
        <is>
          <t>NAUTICA_MENS_208003403_RPD_2.jpg</t>
        </is>
      </c>
      <c r="K2636" t="inlineStr">
        <is>
          <t>NAUTICA_MENS_208003403_RPD_3.jpg</t>
        </is>
      </c>
      <c r="L2636">
        <f>IMAGE("file:///E:/Estudios%20y%20certificaciones/ESTUDIOS%20DE%20PROGRAMMING/PROGRAMMING/PERSONAL/PYTHON/Image_Generator_API/imagenes/NAUTICA_MENS_208003403_RPD_1.jpg")</f>
        <v/>
      </c>
      <c r="M2636">
        <f>IMAGE("file:///E:/Estudios%20y%20certificaciones/ESTUDIOS%20DE%20PROGRAMMING/PROGRAMMING/PERSONAL/PYTHON/Image_Generator_API/imagenes/NAUTICA_MENS_208003403_RPD_2.jpg")</f>
        <v/>
      </c>
      <c r="N2636">
        <f>IMAGE("file:///E:/Estudios%20y%20certificaciones/ESTUDIOS%20DE%20PROGRAMMING/PROGRAMMING/PERSONAL/PYTHON/Image_Generator_API/imagenes/NAUTICA_MENS_208003403_RPD_3.jpg")</f>
        <v/>
      </c>
      <c r="O2636">
        <f>HYPERLINK("imagenes/NAUTICA_MENS_208003403_RPD_1.jpg","Ver imagen")</f>
        <v/>
      </c>
      <c r="P2636">
        <f>HYPERLINK("imagenes/NAUTICA_MENS_208003403_RPD_2.jpg","Ver imagen")</f>
        <v/>
      </c>
      <c r="Q2636">
        <f>HYPERLINK("imagenes/NAUTICA_MENS_208003403_RPD_3.jpg","Ver imagen")</f>
        <v/>
      </c>
    </row>
    <row r="2637">
      <c r="A2637" t="inlineStr">
        <is>
          <t>NAUTICA MENS</t>
        </is>
      </c>
      <c r="B2637" t="inlineStr">
        <is>
          <t>208003403</t>
        </is>
      </c>
      <c r="C2637" t="inlineStr">
        <is>
          <t>SAILING JACKET</t>
        </is>
      </c>
      <c r="D2637" t="inlineStr">
        <is>
          <t>RPD</t>
        </is>
      </c>
      <c r="E2637" t="inlineStr">
        <is>
          <t>(en blanco)</t>
        </is>
      </c>
      <c r="F2637" t="inlineStr">
        <is>
          <t>(en blanco)</t>
        </is>
      </c>
      <c r="G2637" t="inlineStr">
        <is>
          <t>3XLT</t>
        </is>
      </c>
      <c r="H2637" t="n">
        <v>61</v>
      </c>
      <c r="I2637" t="inlineStr">
        <is>
          <t>NAUTICA_MENS_208003403_RPD_1.jpg</t>
        </is>
      </c>
      <c r="J2637" t="inlineStr">
        <is>
          <t>NAUTICA_MENS_208003403_RPD_2.jpg</t>
        </is>
      </c>
      <c r="K2637" t="inlineStr">
        <is>
          <t>NAUTICA_MENS_208003403_RPD_3.jpg</t>
        </is>
      </c>
      <c r="L2637">
        <f>IMAGE("file:///E:/Estudios%20y%20certificaciones/ESTUDIOS%20DE%20PROGRAMMING/PROGRAMMING/PERSONAL/PYTHON/Image_Generator_API/imagenes/NAUTICA_MENS_208003403_RPD_1.jpg")</f>
        <v/>
      </c>
      <c r="M2637">
        <f>IMAGE("file:///E:/Estudios%20y%20certificaciones/ESTUDIOS%20DE%20PROGRAMMING/PROGRAMMING/PERSONAL/PYTHON/Image_Generator_API/imagenes/NAUTICA_MENS_208003403_RPD_2.jpg")</f>
        <v/>
      </c>
      <c r="N2637">
        <f>IMAGE("file:///E:/Estudios%20y%20certificaciones/ESTUDIOS%20DE%20PROGRAMMING/PROGRAMMING/PERSONAL/PYTHON/Image_Generator_API/imagenes/NAUTICA_MENS_208003403_RPD_3.jpg")</f>
        <v/>
      </c>
      <c r="O2637">
        <f>HYPERLINK("imagenes/NAUTICA_MENS_208003403_RPD_1.jpg","Ver imagen")</f>
        <v/>
      </c>
      <c r="P2637">
        <f>HYPERLINK("imagenes/NAUTICA_MENS_208003403_RPD_2.jpg","Ver imagen")</f>
        <v/>
      </c>
      <c r="Q2637">
        <f>HYPERLINK("imagenes/NAUTICA_MENS_208003403_RPD_3.jpg","Ver imagen")</f>
        <v/>
      </c>
    </row>
    <row r="2638">
      <c r="A2638" t="inlineStr">
        <is>
          <t>NAUTICA MENS</t>
        </is>
      </c>
      <c r="B2638" t="inlineStr">
        <is>
          <t>208003403</t>
        </is>
      </c>
      <c r="C2638" t="inlineStr">
        <is>
          <t>SAILING JACKET</t>
        </is>
      </c>
      <c r="D2638" t="inlineStr">
        <is>
          <t>RPD</t>
        </is>
      </c>
      <c r="E2638" t="inlineStr">
        <is>
          <t>(en blanco)</t>
        </is>
      </c>
      <c r="F2638" t="inlineStr">
        <is>
          <t>(en blanco)</t>
        </is>
      </c>
      <c r="G2638" t="inlineStr">
        <is>
          <t>4XLT</t>
        </is>
      </c>
      <c r="H2638" t="n">
        <v>67</v>
      </c>
      <c r="I2638" t="inlineStr">
        <is>
          <t>NAUTICA_MENS_208003403_RPD_1.jpg</t>
        </is>
      </c>
      <c r="J2638" t="inlineStr">
        <is>
          <t>NAUTICA_MENS_208003403_RPD_2.jpg</t>
        </is>
      </c>
      <c r="K2638" t="inlineStr">
        <is>
          <t>NAUTICA_MENS_208003403_RPD_3.jpg</t>
        </is>
      </c>
      <c r="L2638">
        <f>IMAGE("file:///E:/Estudios%20y%20certificaciones/ESTUDIOS%20DE%20PROGRAMMING/PROGRAMMING/PERSONAL/PYTHON/Image_Generator_API/imagenes/NAUTICA_MENS_208003403_RPD_1.jpg")</f>
        <v/>
      </c>
      <c r="M2638">
        <f>IMAGE("file:///E:/Estudios%20y%20certificaciones/ESTUDIOS%20DE%20PROGRAMMING/PROGRAMMING/PERSONAL/PYTHON/Image_Generator_API/imagenes/NAUTICA_MENS_208003403_RPD_2.jpg")</f>
        <v/>
      </c>
      <c r="N2638">
        <f>IMAGE("file:///E:/Estudios%20y%20certificaciones/ESTUDIOS%20DE%20PROGRAMMING/PROGRAMMING/PERSONAL/PYTHON/Image_Generator_API/imagenes/NAUTICA_MENS_208003403_RPD_3.jpg")</f>
        <v/>
      </c>
      <c r="O2638">
        <f>HYPERLINK("imagenes/NAUTICA_MENS_208003403_RPD_1.jpg","Ver imagen")</f>
        <v/>
      </c>
      <c r="P2638">
        <f>HYPERLINK("imagenes/NAUTICA_MENS_208003403_RPD_2.jpg","Ver imagen")</f>
        <v/>
      </c>
      <c r="Q2638">
        <f>HYPERLINK("imagenes/NAUTICA_MENS_208003403_RPD_3.jpg","Ver imagen")</f>
        <v/>
      </c>
    </row>
    <row r="2639">
      <c r="A2639" t="inlineStr">
        <is>
          <t>NAUTICA MENS</t>
        </is>
      </c>
      <c r="B2639" t="inlineStr">
        <is>
          <t>208003403</t>
        </is>
      </c>
      <c r="C2639" t="inlineStr">
        <is>
          <t>SAILING JACKET</t>
        </is>
      </c>
      <c r="D2639" t="inlineStr">
        <is>
          <t>RPD</t>
        </is>
      </c>
      <c r="E2639" t="inlineStr">
        <is>
          <t>(en blanco)</t>
        </is>
      </c>
      <c r="F2639" t="inlineStr">
        <is>
          <t>(en blanco)</t>
        </is>
      </c>
      <c r="G2639" t="inlineStr">
        <is>
          <t>5XLT</t>
        </is>
      </c>
      <c r="H2639" t="n">
        <v>23</v>
      </c>
      <c r="I2639" t="inlineStr">
        <is>
          <t>NAUTICA_MENS_208003403_RPD_1.jpg</t>
        </is>
      </c>
      <c r="J2639" t="inlineStr">
        <is>
          <t>NAUTICA_MENS_208003403_RPD_2.jpg</t>
        </is>
      </c>
      <c r="K2639" t="inlineStr">
        <is>
          <t>NAUTICA_MENS_208003403_RPD_3.jpg</t>
        </is>
      </c>
      <c r="L2639">
        <f>IMAGE("file:///E:/Estudios%20y%20certificaciones/ESTUDIOS%20DE%20PROGRAMMING/PROGRAMMING/PERSONAL/PYTHON/Image_Generator_API/imagenes/NAUTICA_MENS_208003403_RPD_1.jpg")</f>
        <v/>
      </c>
      <c r="M2639">
        <f>IMAGE("file:///E:/Estudios%20y%20certificaciones/ESTUDIOS%20DE%20PROGRAMMING/PROGRAMMING/PERSONAL/PYTHON/Image_Generator_API/imagenes/NAUTICA_MENS_208003403_RPD_2.jpg")</f>
        <v/>
      </c>
      <c r="N2639">
        <f>IMAGE("file:///E:/Estudios%20y%20certificaciones/ESTUDIOS%20DE%20PROGRAMMING/PROGRAMMING/PERSONAL/PYTHON/Image_Generator_API/imagenes/NAUTICA_MENS_208003403_RPD_3.jpg")</f>
        <v/>
      </c>
      <c r="O2639">
        <f>HYPERLINK("imagenes/NAUTICA_MENS_208003403_RPD_1.jpg","Ver imagen")</f>
        <v/>
      </c>
      <c r="P2639">
        <f>HYPERLINK("imagenes/NAUTICA_MENS_208003403_RPD_2.jpg","Ver imagen")</f>
        <v/>
      </c>
      <c r="Q2639">
        <f>HYPERLINK("imagenes/NAUTICA_MENS_208003403_RPD_3.jpg","Ver imagen")</f>
        <v/>
      </c>
    </row>
    <row r="2640">
      <c r="A2640" t="inlineStr">
        <is>
          <t>NAUTICA MENS</t>
        </is>
      </c>
      <c r="B2640" t="inlineStr">
        <is>
          <t>208003403</t>
        </is>
      </c>
      <c r="C2640" t="inlineStr">
        <is>
          <t>SAILING JACKET</t>
        </is>
      </c>
      <c r="D2640" t="inlineStr">
        <is>
          <t>RPD</t>
        </is>
      </c>
      <c r="E2640" t="inlineStr">
        <is>
          <t>(en blanco)</t>
        </is>
      </c>
      <c r="F2640" t="inlineStr">
        <is>
          <t>(en blanco)</t>
        </is>
      </c>
      <c r="G2640" t="inlineStr">
        <is>
          <t>6XLT</t>
        </is>
      </c>
      <c r="H2640" t="n">
        <v>31</v>
      </c>
      <c r="I2640" t="inlineStr">
        <is>
          <t>NAUTICA_MENS_208003403_RPD_1.jpg</t>
        </is>
      </c>
      <c r="J2640" t="inlineStr">
        <is>
          <t>NAUTICA_MENS_208003403_RPD_2.jpg</t>
        </is>
      </c>
      <c r="K2640" t="inlineStr">
        <is>
          <t>NAUTICA_MENS_208003403_RPD_3.jpg</t>
        </is>
      </c>
      <c r="L2640">
        <f>IMAGE("file:///E:/Estudios%20y%20certificaciones/ESTUDIOS%20DE%20PROGRAMMING/PROGRAMMING/PERSONAL/PYTHON/Image_Generator_API/imagenes/NAUTICA_MENS_208003403_RPD_1.jpg")</f>
        <v/>
      </c>
      <c r="M2640">
        <f>IMAGE("file:///E:/Estudios%20y%20certificaciones/ESTUDIOS%20DE%20PROGRAMMING/PROGRAMMING/PERSONAL/PYTHON/Image_Generator_API/imagenes/NAUTICA_MENS_208003403_RPD_2.jpg")</f>
        <v/>
      </c>
      <c r="N2640">
        <f>IMAGE("file:///E:/Estudios%20y%20certificaciones/ESTUDIOS%20DE%20PROGRAMMING/PROGRAMMING/PERSONAL/PYTHON/Image_Generator_API/imagenes/NAUTICA_MENS_208003403_RPD_3.jpg")</f>
        <v/>
      </c>
      <c r="O2640">
        <f>HYPERLINK("imagenes/NAUTICA_MENS_208003403_RPD_1.jpg","Ver imagen")</f>
        <v/>
      </c>
      <c r="P2640">
        <f>HYPERLINK("imagenes/NAUTICA_MENS_208003403_RPD_2.jpg","Ver imagen")</f>
        <v/>
      </c>
      <c r="Q2640">
        <f>HYPERLINK("imagenes/NAUTICA_MENS_208003403_RPD_3.jpg","Ver imagen")</f>
        <v/>
      </c>
    </row>
    <row r="2641">
      <c r="A2641" t="inlineStr">
        <is>
          <t>NAUTICA MENS</t>
        </is>
      </c>
      <c r="B2641" t="inlineStr">
        <is>
          <t>208003403</t>
        </is>
      </c>
      <c r="C2641" t="inlineStr">
        <is>
          <t>SAILING JACKET</t>
        </is>
      </c>
      <c r="D2641" t="inlineStr">
        <is>
          <t>RPD</t>
        </is>
      </c>
      <c r="E2641" t="inlineStr">
        <is>
          <t>(en blanco)</t>
        </is>
      </c>
      <c r="F2641" t="inlineStr">
        <is>
          <t>(en blanco)</t>
        </is>
      </c>
      <c r="G2641" t="inlineStr">
        <is>
          <t>XLT</t>
        </is>
      </c>
      <c r="H2641" t="n">
        <v>28</v>
      </c>
      <c r="I2641" t="inlineStr">
        <is>
          <t>NAUTICA_MENS_208003403_RPD_1.jpg</t>
        </is>
      </c>
      <c r="J2641" t="inlineStr">
        <is>
          <t>NAUTICA_MENS_208003403_RPD_2.jpg</t>
        </is>
      </c>
      <c r="K2641" t="inlineStr">
        <is>
          <t>NAUTICA_MENS_208003403_RPD_3.jpg</t>
        </is>
      </c>
      <c r="L2641">
        <f>IMAGE("file:///E:/Estudios%20y%20certificaciones/ESTUDIOS%20DE%20PROGRAMMING/PROGRAMMING/PERSONAL/PYTHON/Image_Generator_API/imagenes/NAUTICA_MENS_208003403_RPD_1.jpg")</f>
        <v/>
      </c>
      <c r="M2641">
        <f>IMAGE("file:///E:/Estudios%20y%20certificaciones/ESTUDIOS%20DE%20PROGRAMMING/PROGRAMMING/PERSONAL/PYTHON/Image_Generator_API/imagenes/NAUTICA_MENS_208003403_RPD_2.jpg")</f>
        <v/>
      </c>
      <c r="N2641">
        <f>IMAGE("file:///E:/Estudios%20y%20certificaciones/ESTUDIOS%20DE%20PROGRAMMING/PROGRAMMING/PERSONAL/PYTHON/Image_Generator_API/imagenes/NAUTICA_MENS_208003403_RPD_3.jpg")</f>
        <v/>
      </c>
      <c r="O2641">
        <f>HYPERLINK("imagenes/NAUTICA_MENS_208003403_RPD_1.jpg","Ver imagen")</f>
        <v/>
      </c>
      <c r="P2641">
        <f>HYPERLINK("imagenes/NAUTICA_MENS_208003403_RPD_2.jpg","Ver imagen")</f>
        <v/>
      </c>
      <c r="Q2641">
        <f>HYPERLINK("imagenes/NAUTICA_MENS_208003403_RPD_3.jpg","Ver imagen")</f>
        <v/>
      </c>
    </row>
    <row r="2642">
      <c r="A2642" t="inlineStr">
        <is>
          <t>NAUTICA MENS</t>
        </is>
      </c>
      <c r="B2642" t="inlineStr">
        <is>
          <t>208003415</t>
        </is>
      </c>
      <c r="C2642" t="inlineStr">
        <is>
          <t>MODERN ANCHOR BOMBER</t>
        </is>
      </c>
      <c r="D2642" t="inlineStr">
        <is>
          <t>TRK</t>
        </is>
      </c>
      <c r="E2642" t="inlineStr">
        <is>
          <t>(en blanco)</t>
        </is>
      </c>
      <c r="F2642" t="inlineStr">
        <is>
          <t>N1160</t>
        </is>
      </c>
      <c r="G2642" t="inlineStr">
        <is>
          <t>S</t>
        </is>
      </c>
      <c r="H2642" t="n">
        <v>10</v>
      </c>
      <c r="I2642" t="inlineStr">
        <is>
          <t>NAUTICA_MENS_208003415_TRK_1.jpg</t>
        </is>
      </c>
      <c r="J2642" t="inlineStr">
        <is>
          <t>NAUTICA_MENS_208003415_TRK_2.jpg</t>
        </is>
      </c>
      <c r="K2642" t="inlineStr">
        <is>
          <t>NAUTICA_MENS_208003415_TRK_3.jpg</t>
        </is>
      </c>
      <c r="L2642">
        <f>IMAGE("file:///E:/Estudios%20y%20certificaciones/ESTUDIOS%20DE%20PROGRAMMING/PROGRAMMING/PERSONAL/PYTHON/Image_Generator_API/imagenes/NAUTICA_MENS_208003415_TRK_1.jpg")</f>
        <v/>
      </c>
      <c r="M2642">
        <f>IMAGE("file:///E:/Estudios%20y%20certificaciones/ESTUDIOS%20DE%20PROGRAMMING/PROGRAMMING/PERSONAL/PYTHON/Image_Generator_API/imagenes/NAUTICA_MENS_208003415_TRK_2.jpg")</f>
        <v/>
      </c>
      <c r="N2642">
        <f>IMAGE("file:///E:/Estudios%20y%20certificaciones/ESTUDIOS%20DE%20PROGRAMMING/PROGRAMMING/PERSONAL/PYTHON/Image_Generator_API/imagenes/NAUTICA_MENS_208003415_TRK_3.jpg")</f>
        <v/>
      </c>
      <c r="O2642">
        <f>HYPERLINK("imagenes/NAUTICA_MENS_208003415_TRK_1.jpg","Ver imagen")</f>
        <v/>
      </c>
      <c r="P2642">
        <f>HYPERLINK("imagenes/NAUTICA_MENS_208003415_TRK_2.jpg","Ver imagen")</f>
        <v/>
      </c>
      <c r="Q2642">
        <f>HYPERLINK("imagenes/NAUTICA_MENS_208003415_TRK_3.jpg","Ver imagen")</f>
        <v/>
      </c>
    </row>
    <row r="2643">
      <c r="A2643" t="inlineStr">
        <is>
          <t>NAUTICA MENS</t>
        </is>
      </c>
      <c r="B2643" t="inlineStr">
        <is>
          <t>208003415</t>
        </is>
      </c>
      <c r="C2643" t="inlineStr">
        <is>
          <t>MODERN ANCHOR BOMBER</t>
        </is>
      </c>
      <c r="D2643" t="inlineStr">
        <is>
          <t>TRU</t>
        </is>
      </c>
      <c r="E2643" t="inlineStr">
        <is>
          <t>(en blanco)</t>
        </is>
      </c>
      <c r="F2643" t="inlineStr">
        <is>
          <t>N1160</t>
        </is>
      </c>
      <c r="G2643" t="inlineStr">
        <is>
          <t>XS</t>
        </is>
      </c>
      <c r="H2643" t="n">
        <v>1</v>
      </c>
      <c r="I2643" t="inlineStr">
        <is>
          <t>NAUTICA_MENS_208003415_TRU_1.jpg</t>
        </is>
      </c>
      <c r="J2643" t="inlineStr">
        <is>
          <t>NAUTICA_MENS_208003415_TRU_2.jpg</t>
        </is>
      </c>
      <c r="K2643" t="inlineStr">
        <is>
          <t>NAUTICA_MENS_208003415_TRU_3.jpg</t>
        </is>
      </c>
      <c r="L2643">
        <f>IMAGE("file:///E:/Estudios%20y%20certificaciones/ESTUDIOS%20DE%20PROGRAMMING/PROGRAMMING/PERSONAL/PYTHON/Image_Generator_API/imagenes/NAUTICA_MENS_208003415_TRU_1.jpg")</f>
        <v/>
      </c>
      <c r="M2643">
        <f>IMAGE("file:///E:/Estudios%20y%20certificaciones/ESTUDIOS%20DE%20PROGRAMMING/PROGRAMMING/PERSONAL/PYTHON/Image_Generator_API/imagenes/NAUTICA_MENS_208003415_TRU_2.jpg")</f>
        <v/>
      </c>
      <c r="N2643">
        <f>IMAGE("file:///E:/Estudios%20y%20certificaciones/ESTUDIOS%20DE%20PROGRAMMING/PROGRAMMING/PERSONAL/PYTHON/Image_Generator_API/imagenes/NAUTICA_MENS_208003415_TRU_3.jpg")</f>
        <v/>
      </c>
      <c r="O2643">
        <f>HYPERLINK("imagenes/NAUTICA_MENS_208003415_TRU_1.jpg","Ver imagen")</f>
        <v/>
      </c>
      <c r="P2643">
        <f>HYPERLINK("imagenes/NAUTICA_MENS_208003415_TRU_2.jpg","Ver imagen")</f>
        <v/>
      </c>
      <c r="Q2643">
        <f>HYPERLINK("imagenes/NAUTICA_MENS_208003415_TRU_3.jpg","Ver imagen")</f>
        <v/>
      </c>
    </row>
    <row r="2644">
      <c r="A2644" t="inlineStr">
        <is>
          <t>NAUTICA MENS</t>
        </is>
      </c>
      <c r="B2644" t="inlineStr">
        <is>
          <t>208003415</t>
        </is>
      </c>
      <c r="C2644" t="inlineStr">
        <is>
          <t>MODERN ANCHOR BOMBER</t>
        </is>
      </c>
      <c r="D2644" t="inlineStr">
        <is>
          <t>TRU</t>
        </is>
      </c>
      <c r="E2644" t="inlineStr">
        <is>
          <t>(en blanco)</t>
        </is>
      </c>
      <c r="F2644" t="inlineStr">
        <is>
          <t>N1160</t>
        </is>
      </c>
      <c r="G2644" t="inlineStr">
        <is>
          <t>M</t>
        </is>
      </c>
      <c r="H2644" t="n">
        <v>14</v>
      </c>
      <c r="I2644" t="inlineStr">
        <is>
          <t>NAUTICA_MENS_208003415_TRU_1.jpg</t>
        </is>
      </c>
      <c r="J2644" t="inlineStr">
        <is>
          <t>NAUTICA_MENS_208003415_TRU_2.jpg</t>
        </is>
      </c>
      <c r="K2644" t="inlineStr">
        <is>
          <t>NAUTICA_MENS_208003415_TRU_3.jpg</t>
        </is>
      </c>
      <c r="L2644">
        <f>IMAGE("file:///E:/Estudios%20y%20certificaciones/ESTUDIOS%20DE%20PROGRAMMING/PROGRAMMING/PERSONAL/PYTHON/Image_Generator_API/imagenes/NAUTICA_MENS_208003415_TRU_1.jpg")</f>
        <v/>
      </c>
      <c r="M2644">
        <f>IMAGE("file:///E:/Estudios%20y%20certificaciones/ESTUDIOS%20DE%20PROGRAMMING/PROGRAMMING/PERSONAL/PYTHON/Image_Generator_API/imagenes/NAUTICA_MENS_208003415_TRU_2.jpg")</f>
        <v/>
      </c>
      <c r="N2644">
        <f>IMAGE("file:///E:/Estudios%20y%20certificaciones/ESTUDIOS%20DE%20PROGRAMMING/PROGRAMMING/PERSONAL/PYTHON/Image_Generator_API/imagenes/NAUTICA_MENS_208003415_TRU_3.jpg")</f>
        <v/>
      </c>
      <c r="O2644">
        <f>HYPERLINK("imagenes/NAUTICA_MENS_208003415_TRU_1.jpg","Ver imagen")</f>
        <v/>
      </c>
      <c r="P2644">
        <f>HYPERLINK("imagenes/NAUTICA_MENS_208003415_TRU_2.jpg","Ver imagen")</f>
        <v/>
      </c>
      <c r="Q2644">
        <f>HYPERLINK("imagenes/NAUTICA_MENS_208003415_TRU_3.jpg","Ver imagen")</f>
        <v/>
      </c>
    </row>
    <row r="2645">
      <c r="A2645" t="inlineStr">
        <is>
          <t>NAUTICA MENS</t>
        </is>
      </c>
      <c r="B2645" t="inlineStr">
        <is>
          <t>208003415</t>
        </is>
      </c>
      <c r="C2645" t="inlineStr">
        <is>
          <t>MODERN ANCHOR BOMBER</t>
        </is>
      </c>
      <c r="D2645" t="inlineStr">
        <is>
          <t>TRU</t>
        </is>
      </c>
      <c r="E2645" t="inlineStr">
        <is>
          <t>(en blanco)</t>
        </is>
      </c>
      <c r="F2645" t="inlineStr">
        <is>
          <t>N1160</t>
        </is>
      </c>
      <c r="G2645" t="inlineStr">
        <is>
          <t>XXXL</t>
        </is>
      </c>
      <c r="H2645" t="n">
        <v>1</v>
      </c>
      <c r="I2645" t="inlineStr">
        <is>
          <t>NAUTICA_MENS_208003415_TRU_1.jpg</t>
        </is>
      </c>
      <c r="J2645" t="inlineStr">
        <is>
          <t>NAUTICA_MENS_208003415_TRU_2.jpg</t>
        </is>
      </c>
      <c r="K2645" t="inlineStr">
        <is>
          <t>NAUTICA_MENS_208003415_TRU_3.jpg</t>
        </is>
      </c>
      <c r="L2645">
        <f>IMAGE("file:///E:/Estudios%20y%20certificaciones/ESTUDIOS%20DE%20PROGRAMMING/PROGRAMMING/PERSONAL/PYTHON/Image_Generator_API/imagenes/NAUTICA_MENS_208003415_TRU_1.jpg")</f>
        <v/>
      </c>
      <c r="M2645">
        <f>IMAGE("file:///E:/Estudios%20y%20certificaciones/ESTUDIOS%20DE%20PROGRAMMING/PROGRAMMING/PERSONAL/PYTHON/Image_Generator_API/imagenes/NAUTICA_MENS_208003415_TRU_2.jpg")</f>
        <v/>
      </c>
      <c r="N2645">
        <f>IMAGE("file:///E:/Estudios%20y%20certificaciones/ESTUDIOS%20DE%20PROGRAMMING/PROGRAMMING/PERSONAL/PYTHON/Image_Generator_API/imagenes/NAUTICA_MENS_208003415_TRU_3.jpg")</f>
        <v/>
      </c>
      <c r="O2645">
        <f>HYPERLINK("imagenes/NAUTICA_MENS_208003415_TRU_1.jpg","Ver imagen")</f>
        <v/>
      </c>
      <c r="P2645">
        <f>HYPERLINK("imagenes/NAUTICA_MENS_208003415_TRU_2.jpg","Ver imagen")</f>
        <v/>
      </c>
      <c r="Q2645">
        <f>HYPERLINK("imagenes/NAUTICA_MENS_208003415_TRU_3.jpg","Ver imagen")</f>
        <v/>
      </c>
    </row>
    <row r="2646">
      <c r="A2646" t="inlineStr">
        <is>
          <t>NAUTICA MENS</t>
        </is>
      </c>
      <c r="B2646" t="inlineStr">
        <is>
          <t>208004155</t>
        </is>
      </c>
      <c r="C2646" t="inlineStr">
        <is>
          <t>HOODED TRANSITIONAL JACKET</t>
        </is>
      </c>
      <c r="D2646" t="inlineStr">
        <is>
          <t>B31</t>
        </is>
      </c>
      <c r="E2646" t="inlineStr">
        <is>
          <t>(en blanco)</t>
        </is>
      </c>
      <c r="F2646" t="inlineStr">
        <is>
          <t>D2C</t>
        </is>
      </c>
      <c r="G2646" t="inlineStr">
        <is>
          <t>S</t>
        </is>
      </c>
      <c r="H2646" t="n">
        <v>0</v>
      </c>
      <c r="I2646" t="inlineStr">
        <is>
          <t>NAUTICA_MENS_208004155_B31_1.jpg</t>
        </is>
      </c>
      <c r="J2646" t="inlineStr">
        <is>
          <t>NAUTICA_MENS_208004155_B31_2.jpg</t>
        </is>
      </c>
      <c r="K2646" t="inlineStr">
        <is>
          <t>NAUTICA_MENS_208004155_B31_3.jpg</t>
        </is>
      </c>
      <c r="L2646">
        <f>IMAGE("file:///E:/Estudios%20y%20certificaciones/ESTUDIOS%20DE%20PROGRAMMING/PROGRAMMING/PERSONAL/PYTHON/Image_Generator_API/imagenes/NAUTICA_MENS_208004155_B31_1.jpg")</f>
        <v/>
      </c>
      <c r="M2646">
        <f>IMAGE("file:///E:/Estudios%20y%20certificaciones/ESTUDIOS%20DE%20PROGRAMMING/PROGRAMMING/PERSONAL/PYTHON/Image_Generator_API/imagenes/NAUTICA_MENS_208004155_B31_2.jpg")</f>
        <v/>
      </c>
      <c r="N2646">
        <f>IMAGE("file:///E:/Estudios%20y%20certificaciones/ESTUDIOS%20DE%20PROGRAMMING/PROGRAMMING/PERSONAL/PYTHON/Image_Generator_API/imagenes/NAUTICA_MENS_208004155_B31_3.jpg")</f>
        <v/>
      </c>
      <c r="O2646">
        <f>HYPERLINK("imagenes/NAUTICA_MENS_208004155_B31_1.jpg","Ver imagen")</f>
        <v/>
      </c>
      <c r="P2646">
        <f>HYPERLINK("imagenes/NAUTICA_MENS_208004155_B31_2.jpg","Ver imagen")</f>
        <v/>
      </c>
      <c r="Q2646">
        <f>HYPERLINK("imagenes/NAUTICA_MENS_208004155_B31_3.jpg","Ver imagen")</f>
        <v/>
      </c>
    </row>
    <row r="2647">
      <c r="A2647" t="inlineStr">
        <is>
          <t>NAUTICA MENS</t>
        </is>
      </c>
      <c r="B2647" t="inlineStr">
        <is>
          <t>208004155</t>
        </is>
      </c>
      <c r="C2647" t="inlineStr">
        <is>
          <t>HOODED TRANSITIONAL JACKET</t>
        </is>
      </c>
      <c r="D2647" t="inlineStr">
        <is>
          <t>B31</t>
        </is>
      </c>
      <c r="E2647" t="inlineStr">
        <is>
          <t>(en blanco)</t>
        </is>
      </c>
      <c r="F2647" t="inlineStr">
        <is>
          <t>D2C</t>
        </is>
      </c>
      <c r="G2647" t="inlineStr">
        <is>
          <t>M</t>
        </is>
      </c>
      <c r="H2647" t="n">
        <v>0</v>
      </c>
      <c r="I2647" t="inlineStr">
        <is>
          <t>NAUTICA_MENS_208004155_B31_1.jpg</t>
        </is>
      </c>
      <c r="J2647" t="inlineStr">
        <is>
          <t>NAUTICA_MENS_208004155_B31_2.jpg</t>
        </is>
      </c>
      <c r="K2647" t="inlineStr">
        <is>
          <t>NAUTICA_MENS_208004155_B31_3.jpg</t>
        </is>
      </c>
      <c r="L2647">
        <f>IMAGE("file:///E:/Estudios%20y%20certificaciones/ESTUDIOS%20DE%20PROGRAMMING/PROGRAMMING/PERSONAL/PYTHON/Image_Generator_API/imagenes/NAUTICA_MENS_208004155_B31_1.jpg")</f>
        <v/>
      </c>
      <c r="M2647">
        <f>IMAGE("file:///E:/Estudios%20y%20certificaciones/ESTUDIOS%20DE%20PROGRAMMING/PROGRAMMING/PERSONAL/PYTHON/Image_Generator_API/imagenes/NAUTICA_MENS_208004155_B31_2.jpg")</f>
        <v/>
      </c>
      <c r="N2647">
        <f>IMAGE("file:///E:/Estudios%20y%20certificaciones/ESTUDIOS%20DE%20PROGRAMMING/PROGRAMMING/PERSONAL/PYTHON/Image_Generator_API/imagenes/NAUTICA_MENS_208004155_B31_3.jpg")</f>
        <v/>
      </c>
      <c r="O2647">
        <f>HYPERLINK("imagenes/NAUTICA_MENS_208004155_B31_1.jpg","Ver imagen")</f>
        <v/>
      </c>
      <c r="P2647">
        <f>HYPERLINK("imagenes/NAUTICA_MENS_208004155_B31_2.jpg","Ver imagen")</f>
        <v/>
      </c>
      <c r="Q2647">
        <f>HYPERLINK("imagenes/NAUTICA_MENS_208004155_B31_3.jpg","Ver imagen")</f>
        <v/>
      </c>
    </row>
    <row r="2648">
      <c r="A2648" t="inlineStr">
        <is>
          <t>NAUTICA MENS</t>
        </is>
      </c>
      <c r="B2648" t="inlineStr">
        <is>
          <t>208004155</t>
        </is>
      </c>
      <c r="C2648" t="inlineStr">
        <is>
          <t>HOODED TRANSITIONAL JACKET</t>
        </is>
      </c>
      <c r="D2648" t="inlineStr">
        <is>
          <t>B31</t>
        </is>
      </c>
      <c r="E2648" t="inlineStr">
        <is>
          <t>(en blanco)</t>
        </is>
      </c>
      <c r="F2648" t="inlineStr">
        <is>
          <t>D2C</t>
        </is>
      </c>
      <c r="G2648" t="inlineStr">
        <is>
          <t>L</t>
        </is>
      </c>
      <c r="H2648" t="n">
        <v>0</v>
      </c>
      <c r="I2648" t="inlineStr">
        <is>
          <t>NAUTICA_MENS_208004155_B31_1.jpg</t>
        </is>
      </c>
      <c r="J2648" t="inlineStr">
        <is>
          <t>NAUTICA_MENS_208004155_B31_2.jpg</t>
        </is>
      </c>
      <c r="K2648" t="inlineStr">
        <is>
          <t>NAUTICA_MENS_208004155_B31_3.jpg</t>
        </is>
      </c>
      <c r="L2648">
        <f>IMAGE("file:///E:/Estudios%20y%20certificaciones/ESTUDIOS%20DE%20PROGRAMMING/PROGRAMMING/PERSONAL/PYTHON/Image_Generator_API/imagenes/NAUTICA_MENS_208004155_B31_1.jpg")</f>
        <v/>
      </c>
      <c r="M2648">
        <f>IMAGE("file:///E:/Estudios%20y%20certificaciones/ESTUDIOS%20DE%20PROGRAMMING/PROGRAMMING/PERSONAL/PYTHON/Image_Generator_API/imagenes/NAUTICA_MENS_208004155_B31_2.jpg")</f>
        <v/>
      </c>
      <c r="N2648">
        <f>IMAGE("file:///E:/Estudios%20y%20certificaciones/ESTUDIOS%20DE%20PROGRAMMING/PROGRAMMING/PERSONAL/PYTHON/Image_Generator_API/imagenes/NAUTICA_MENS_208004155_B31_3.jpg")</f>
        <v/>
      </c>
      <c r="O2648">
        <f>HYPERLINK("imagenes/NAUTICA_MENS_208004155_B31_1.jpg","Ver imagen")</f>
        <v/>
      </c>
      <c r="P2648">
        <f>HYPERLINK("imagenes/NAUTICA_MENS_208004155_B31_2.jpg","Ver imagen")</f>
        <v/>
      </c>
      <c r="Q2648">
        <f>HYPERLINK("imagenes/NAUTICA_MENS_208004155_B31_3.jpg","Ver imagen")</f>
        <v/>
      </c>
    </row>
    <row r="2649">
      <c r="A2649" t="inlineStr">
        <is>
          <t>NAUTICA MENS</t>
        </is>
      </c>
      <c r="B2649" t="inlineStr">
        <is>
          <t>208004155</t>
        </is>
      </c>
      <c r="C2649" t="inlineStr">
        <is>
          <t>HOODED TRANSITIONAL JACKET</t>
        </is>
      </c>
      <c r="D2649" t="inlineStr">
        <is>
          <t>B31</t>
        </is>
      </c>
      <c r="E2649" t="inlineStr">
        <is>
          <t>(en blanco)</t>
        </is>
      </c>
      <c r="F2649" t="inlineStr">
        <is>
          <t>D2C</t>
        </is>
      </c>
      <c r="G2649" t="inlineStr">
        <is>
          <t>XL</t>
        </is>
      </c>
      <c r="H2649" t="n">
        <v>0</v>
      </c>
      <c r="I2649" t="inlineStr">
        <is>
          <t>NAUTICA_MENS_208004155_B31_1.jpg</t>
        </is>
      </c>
      <c r="J2649" t="inlineStr">
        <is>
          <t>NAUTICA_MENS_208004155_B31_2.jpg</t>
        </is>
      </c>
      <c r="K2649" t="inlineStr">
        <is>
          <t>NAUTICA_MENS_208004155_B31_3.jpg</t>
        </is>
      </c>
      <c r="L2649">
        <f>IMAGE("file:///E:/Estudios%20y%20certificaciones/ESTUDIOS%20DE%20PROGRAMMING/PROGRAMMING/PERSONAL/PYTHON/Image_Generator_API/imagenes/NAUTICA_MENS_208004155_B31_1.jpg")</f>
        <v/>
      </c>
      <c r="M2649">
        <f>IMAGE("file:///E:/Estudios%20y%20certificaciones/ESTUDIOS%20DE%20PROGRAMMING/PROGRAMMING/PERSONAL/PYTHON/Image_Generator_API/imagenes/NAUTICA_MENS_208004155_B31_2.jpg")</f>
        <v/>
      </c>
      <c r="N2649">
        <f>IMAGE("file:///E:/Estudios%20y%20certificaciones/ESTUDIOS%20DE%20PROGRAMMING/PROGRAMMING/PERSONAL/PYTHON/Image_Generator_API/imagenes/NAUTICA_MENS_208004155_B31_3.jpg")</f>
        <v/>
      </c>
      <c r="O2649">
        <f>HYPERLINK("imagenes/NAUTICA_MENS_208004155_B31_1.jpg","Ver imagen")</f>
        <v/>
      </c>
      <c r="P2649">
        <f>HYPERLINK("imagenes/NAUTICA_MENS_208004155_B31_2.jpg","Ver imagen")</f>
        <v/>
      </c>
      <c r="Q2649">
        <f>HYPERLINK("imagenes/NAUTICA_MENS_208004155_B31_3.jpg","Ver imagen")</f>
        <v/>
      </c>
    </row>
    <row r="2650">
      <c r="A2650" t="inlineStr">
        <is>
          <t>NAUTICA MENS</t>
        </is>
      </c>
      <c r="B2650" t="inlineStr">
        <is>
          <t>208004155</t>
        </is>
      </c>
      <c r="C2650" t="inlineStr">
        <is>
          <t>HOODED TRANSITIONAL JACKET</t>
        </is>
      </c>
      <c r="D2650" t="inlineStr">
        <is>
          <t>B31</t>
        </is>
      </c>
      <c r="E2650" t="inlineStr">
        <is>
          <t>(en blanco)</t>
        </is>
      </c>
      <c r="F2650" t="inlineStr">
        <is>
          <t>D2C</t>
        </is>
      </c>
      <c r="G2650" t="inlineStr">
        <is>
          <t>XXL</t>
        </is>
      </c>
      <c r="H2650" t="n">
        <v>0</v>
      </c>
      <c r="I2650" t="inlineStr">
        <is>
          <t>NAUTICA_MENS_208004155_B31_1.jpg</t>
        </is>
      </c>
      <c r="J2650" t="inlineStr">
        <is>
          <t>NAUTICA_MENS_208004155_B31_2.jpg</t>
        </is>
      </c>
      <c r="K2650" t="inlineStr">
        <is>
          <t>NAUTICA_MENS_208004155_B31_3.jpg</t>
        </is>
      </c>
      <c r="L2650">
        <f>IMAGE("file:///E:/Estudios%20y%20certificaciones/ESTUDIOS%20DE%20PROGRAMMING/PROGRAMMING/PERSONAL/PYTHON/Image_Generator_API/imagenes/NAUTICA_MENS_208004155_B31_1.jpg")</f>
        <v/>
      </c>
      <c r="M2650">
        <f>IMAGE("file:///E:/Estudios%20y%20certificaciones/ESTUDIOS%20DE%20PROGRAMMING/PROGRAMMING/PERSONAL/PYTHON/Image_Generator_API/imagenes/NAUTICA_MENS_208004155_B31_2.jpg")</f>
        <v/>
      </c>
      <c r="N2650">
        <f>IMAGE("file:///E:/Estudios%20y%20certificaciones/ESTUDIOS%20DE%20PROGRAMMING/PROGRAMMING/PERSONAL/PYTHON/Image_Generator_API/imagenes/NAUTICA_MENS_208004155_B31_3.jpg")</f>
        <v/>
      </c>
      <c r="O2650">
        <f>HYPERLINK("imagenes/NAUTICA_MENS_208004155_B31_1.jpg","Ver imagen")</f>
        <v/>
      </c>
      <c r="P2650">
        <f>HYPERLINK("imagenes/NAUTICA_MENS_208004155_B31_2.jpg","Ver imagen")</f>
        <v/>
      </c>
      <c r="Q2650">
        <f>HYPERLINK("imagenes/NAUTICA_MENS_208004155_B31_3.jpg","Ver imagen")</f>
        <v/>
      </c>
    </row>
    <row r="2651">
      <c r="A2651" t="inlineStr">
        <is>
          <t>NAUTICA MENS</t>
        </is>
      </c>
      <c r="B2651" t="inlineStr">
        <is>
          <t>208004155</t>
        </is>
      </c>
      <c r="C2651" t="inlineStr">
        <is>
          <t>HOODED TRANSITIONAL JACKET</t>
        </is>
      </c>
      <c r="D2651" t="inlineStr">
        <is>
          <t>B31</t>
        </is>
      </c>
      <c r="E2651" t="inlineStr">
        <is>
          <t>(en blanco)</t>
        </is>
      </c>
      <c r="F2651" t="inlineStr">
        <is>
          <t>(en blanco)</t>
        </is>
      </c>
      <c r="G2651" t="inlineStr">
        <is>
          <t>S</t>
        </is>
      </c>
      <c r="H2651" t="n">
        <v>0</v>
      </c>
      <c r="I2651" t="inlineStr">
        <is>
          <t>NAUTICA_MENS_208004155_B31_1.jpg</t>
        </is>
      </c>
      <c r="J2651" t="inlineStr">
        <is>
          <t>NAUTICA_MENS_208004155_B31_2.jpg</t>
        </is>
      </c>
      <c r="K2651" t="inlineStr">
        <is>
          <t>NAUTICA_MENS_208004155_B31_3.jpg</t>
        </is>
      </c>
      <c r="L2651">
        <f>IMAGE("file:///E:/Estudios%20y%20certificaciones/ESTUDIOS%20DE%20PROGRAMMING/PROGRAMMING/PERSONAL/PYTHON/Image_Generator_API/imagenes/NAUTICA_MENS_208004155_B31_1.jpg")</f>
        <v/>
      </c>
      <c r="M2651">
        <f>IMAGE("file:///E:/Estudios%20y%20certificaciones/ESTUDIOS%20DE%20PROGRAMMING/PROGRAMMING/PERSONAL/PYTHON/Image_Generator_API/imagenes/NAUTICA_MENS_208004155_B31_2.jpg")</f>
        <v/>
      </c>
      <c r="N2651">
        <f>IMAGE("file:///E:/Estudios%20y%20certificaciones/ESTUDIOS%20DE%20PROGRAMMING/PROGRAMMING/PERSONAL/PYTHON/Image_Generator_API/imagenes/NAUTICA_MENS_208004155_B31_3.jpg")</f>
        <v/>
      </c>
      <c r="O2651">
        <f>HYPERLINK("imagenes/NAUTICA_MENS_208004155_B31_1.jpg","Ver imagen")</f>
        <v/>
      </c>
      <c r="P2651">
        <f>HYPERLINK("imagenes/NAUTICA_MENS_208004155_B31_2.jpg","Ver imagen")</f>
        <v/>
      </c>
      <c r="Q2651">
        <f>HYPERLINK("imagenes/NAUTICA_MENS_208004155_B31_3.jpg","Ver imagen")</f>
        <v/>
      </c>
    </row>
    <row r="2652">
      <c r="A2652" t="inlineStr">
        <is>
          <t>NAUTICA MENS</t>
        </is>
      </c>
      <c r="B2652" t="inlineStr">
        <is>
          <t>208004155</t>
        </is>
      </c>
      <c r="C2652" t="inlineStr">
        <is>
          <t>HOODED TRANSITIONAL JACKET</t>
        </is>
      </c>
      <c r="D2652" t="inlineStr">
        <is>
          <t>B31</t>
        </is>
      </c>
      <c r="E2652" t="inlineStr">
        <is>
          <t>(en blanco)</t>
        </is>
      </c>
      <c r="F2652" t="inlineStr">
        <is>
          <t>(en blanco)</t>
        </is>
      </c>
      <c r="G2652" t="inlineStr">
        <is>
          <t>M</t>
        </is>
      </c>
      <c r="H2652" t="n">
        <v>0</v>
      </c>
      <c r="I2652" t="inlineStr">
        <is>
          <t>NAUTICA_MENS_208004155_B31_1.jpg</t>
        </is>
      </c>
      <c r="J2652" t="inlineStr">
        <is>
          <t>NAUTICA_MENS_208004155_B31_2.jpg</t>
        </is>
      </c>
      <c r="K2652" t="inlineStr">
        <is>
          <t>NAUTICA_MENS_208004155_B31_3.jpg</t>
        </is>
      </c>
      <c r="L2652">
        <f>IMAGE("file:///E:/Estudios%20y%20certificaciones/ESTUDIOS%20DE%20PROGRAMMING/PROGRAMMING/PERSONAL/PYTHON/Image_Generator_API/imagenes/NAUTICA_MENS_208004155_B31_1.jpg")</f>
        <v/>
      </c>
      <c r="M2652">
        <f>IMAGE("file:///E:/Estudios%20y%20certificaciones/ESTUDIOS%20DE%20PROGRAMMING/PROGRAMMING/PERSONAL/PYTHON/Image_Generator_API/imagenes/NAUTICA_MENS_208004155_B31_2.jpg")</f>
        <v/>
      </c>
      <c r="N2652">
        <f>IMAGE("file:///E:/Estudios%20y%20certificaciones/ESTUDIOS%20DE%20PROGRAMMING/PROGRAMMING/PERSONAL/PYTHON/Image_Generator_API/imagenes/NAUTICA_MENS_208004155_B31_3.jpg")</f>
        <v/>
      </c>
      <c r="O2652">
        <f>HYPERLINK("imagenes/NAUTICA_MENS_208004155_B31_1.jpg","Ver imagen")</f>
        <v/>
      </c>
      <c r="P2652">
        <f>HYPERLINK("imagenes/NAUTICA_MENS_208004155_B31_2.jpg","Ver imagen")</f>
        <v/>
      </c>
      <c r="Q2652">
        <f>HYPERLINK("imagenes/NAUTICA_MENS_208004155_B31_3.jpg","Ver imagen")</f>
        <v/>
      </c>
    </row>
    <row r="2653">
      <c r="A2653" t="inlineStr">
        <is>
          <t>NAUTICA MENS</t>
        </is>
      </c>
      <c r="B2653" t="inlineStr">
        <is>
          <t>208004155</t>
        </is>
      </c>
      <c r="C2653" t="inlineStr">
        <is>
          <t>HOODED TRANSITIONAL JACKET</t>
        </is>
      </c>
      <c r="D2653" t="inlineStr">
        <is>
          <t>B31</t>
        </is>
      </c>
      <c r="E2653" t="inlineStr">
        <is>
          <t>(en blanco)</t>
        </is>
      </c>
      <c r="F2653" t="inlineStr">
        <is>
          <t>(en blanco)</t>
        </is>
      </c>
      <c r="G2653" t="inlineStr">
        <is>
          <t>L</t>
        </is>
      </c>
      <c r="H2653" t="n">
        <v>1</v>
      </c>
      <c r="I2653" t="inlineStr">
        <is>
          <t>NAUTICA_MENS_208004155_B31_1.jpg</t>
        </is>
      </c>
      <c r="J2653" t="inlineStr">
        <is>
          <t>NAUTICA_MENS_208004155_B31_2.jpg</t>
        </is>
      </c>
      <c r="K2653" t="inlineStr">
        <is>
          <t>NAUTICA_MENS_208004155_B31_3.jpg</t>
        </is>
      </c>
      <c r="L2653">
        <f>IMAGE("file:///E:/Estudios%20y%20certificaciones/ESTUDIOS%20DE%20PROGRAMMING/PROGRAMMING/PERSONAL/PYTHON/Image_Generator_API/imagenes/NAUTICA_MENS_208004155_B31_1.jpg")</f>
        <v/>
      </c>
      <c r="M2653">
        <f>IMAGE("file:///E:/Estudios%20y%20certificaciones/ESTUDIOS%20DE%20PROGRAMMING/PROGRAMMING/PERSONAL/PYTHON/Image_Generator_API/imagenes/NAUTICA_MENS_208004155_B31_2.jpg")</f>
        <v/>
      </c>
      <c r="N2653">
        <f>IMAGE("file:///E:/Estudios%20y%20certificaciones/ESTUDIOS%20DE%20PROGRAMMING/PROGRAMMING/PERSONAL/PYTHON/Image_Generator_API/imagenes/NAUTICA_MENS_208004155_B31_3.jpg")</f>
        <v/>
      </c>
      <c r="O2653">
        <f>HYPERLINK("imagenes/NAUTICA_MENS_208004155_B31_1.jpg","Ver imagen")</f>
        <v/>
      </c>
      <c r="P2653">
        <f>HYPERLINK("imagenes/NAUTICA_MENS_208004155_B31_2.jpg","Ver imagen")</f>
        <v/>
      </c>
      <c r="Q2653">
        <f>HYPERLINK("imagenes/NAUTICA_MENS_208004155_B31_3.jpg","Ver imagen")</f>
        <v/>
      </c>
    </row>
    <row r="2654">
      <c r="A2654" t="inlineStr">
        <is>
          <t>NAUTICA MENS</t>
        </is>
      </c>
      <c r="B2654" t="inlineStr">
        <is>
          <t>208004155</t>
        </is>
      </c>
      <c r="C2654" t="inlineStr">
        <is>
          <t>HOODED TRANSITIONAL JACKET</t>
        </is>
      </c>
      <c r="D2654" t="inlineStr">
        <is>
          <t>B31</t>
        </is>
      </c>
      <c r="E2654" t="inlineStr">
        <is>
          <t>(en blanco)</t>
        </is>
      </c>
      <c r="F2654" t="inlineStr">
        <is>
          <t>(en blanco)</t>
        </is>
      </c>
      <c r="G2654" t="inlineStr">
        <is>
          <t>XL</t>
        </is>
      </c>
      <c r="H2654" t="n">
        <v>3</v>
      </c>
      <c r="I2654" t="inlineStr">
        <is>
          <t>NAUTICA_MENS_208004155_B31_1.jpg</t>
        </is>
      </c>
      <c r="J2654" t="inlineStr">
        <is>
          <t>NAUTICA_MENS_208004155_B31_2.jpg</t>
        </is>
      </c>
      <c r="K2654" t="inlineStr">
        <is>
          <t>NAUTICA_MENS_208004155_B31_3.jpg</t>
        </is>
      </c>
      <c r="L2654">
        <f>IMAGE("file:///E:/Estudios%20y%20certificaciones/ESTUDIOS%20DE%20PROGRAMMING/PROGRAMMING/PERSONAL/PYTHON/Image_Generator_API/imagenes/NAUTICA_MENS_208004155_B31_1.jpg")</f>
        <v/>
      </c>
      <c r="M2654">
        <f>IMAGE("file:///E:/Estudios%20y%20certificaciones/ESTUDIOS%20DE%20PROGRAMMING/PROGRAMMING/PERSONAL/PYTHON/Image_Generator_API/imagenes/NAUTICA_MENS_208004155_B31_2.jpg")</f>
        <v/>
      </c>
      <c r="N2654">
        <f>IMAGE("file:///E:/Estudios%20y%20certificaciones/ESTUDIOS%20DE%20PROGRAMMING/PROGRAMMING/PERSONAL/PYTHON/Image_Generator_API/imagenes/NAUTICA_MENS_208004155_B31_3.jpg")</f>
        <v/>
      </c>
      <c r="O2654">
        <f>HYPERLINK("imagenes/NAUTICA_MENS_208004155_B31_1.jpg","Ver imagen")</f>
        <v/>
      </c>
      <c r="P2654">
        <f>HYPERLINK("imagenes/NAUTICA_MENS_208004155_B31_2.jpg","Ver imagen")</f>
        <v/>
      </c>
      <c r="Q2654">
        <f>HYPERLINK("imagenes/NAUTICA_MENS_208004155_B31_3.jpg","Ver imagen")</f>
        <v/>
      </c>
    </row>
    <row r="2655">
      <c r="A2655" t="inlineStr">
        <is>
          <t>NAUTICA MENS</t>
        </is>
      </c>
      <c r="B2655" t="inlineStr">
        <is>
          <t>208004155</t>
        </is>
      </c>
      <c r="C2655" t="inlineStr">
        <is>
          <t>HOODED TRANSITIONAL JACKET</t>
        </is>
      </c>
      <c r="D2655" t="inlineStr">
        <is>
          <t>B31</t>
        </is>
      </c>
      <c r="E2655" t="inlineStr">
        <is>
          <t>(en blanco)</t>
        </is>
      </c>
      <c r="F2655" t="inlineStr">
        <is>
          <t>(en blanco)</t>
        </is>
      </c>
      <c r="G2655" t="inlineStr">
        <is>
          <t>XXL</t>
        </is>
      </c>
      <c r="H2655" t="n">
        <v>0</v>
      </c>
      <c r="I2655" t="inlineStr">
        <is>
          <t>NAUTICA_MENS_208004155_B31_1.jpg</t>
        </is>
      </c>
      <c r="J2655" t="inlineStr">
        <is>
          <t>NAUTICA_MENS_208004155_B31_2.jpg</t>
        </is>
      </c>
      <c r="K2655" t="inlineStr">
        <is>
          <t>NAUTICA_MENS_208004155_B31_3.jpg</t>
        </is>
      </c>
      <c r="L2655">
        <f>IMAGE("file:///E:/Estudios%20y%20certificaciones/ESTUDIOS%20DE%20PROGRAMMING/PROGRAMMING/PERSONAL/PYTHON/Image_Generator_API/imagenes/NAUTICA_MENS_208004155_B31_1.jpg")</f>
        <v/>
      </c>
      <c r="M2655">
        <f>IMAGE("file:///E:/Estudios%20y%20certificaciones/ESTUDIOS%20DE%20PROGRAMMING/PROGRAMMING/PERSONAL/PYTHON/Image_Generator_API/imagenes/NAUTICA_MENS_208004155_B31_2.jpg")</f>
        <v/>
      </c>
      <c r="N2655">
        <f>IMAGE("file:///E:/Estudios%20y%20certificaciones/ESTUDIOS%20DE%20PROGRAMMING/PROGRAMMING/PERSONAL/PYTHON/Image_Generator_API/imagenes/NAUTICA_MENS_208004155_B31_3.jpg")</f>
        <v/>
      </c>
      <c r="O2655">
        <f>HYPERLINK("imagenes/NAUTICA_MENS_208004155_B31_1.jpg","Ver imagen")</f>
        <v/>
      </c>
      <c r="P2655">
        <f>HYPERLINK("imagenes/NAUTICA_MENS_208004155_B31_2.jpg","Ver imagen")</f>
        <v/>
      </c>
      <c r="Q2655">
        <f>HYPERLINK("imagenes/NAUTICA_MENS_208004155_B31_3.jpg","Ver imagen")</f>
        <v/>
      </c>
    </row>
    <row r="2656">
      <c r="A2656" t="inlineStr">
        <is>
          <t>NAUTICA MENS</t>
        </is>
      </c>
      <c r="B2656" t="inlineStr">
        <is>
          <t>208004155</t>
        </is>
      </c>
      <c r="C2656" t="inlineStr">
        <is>
          <t>HOODED TRANSITIONAL JACKET</t>
        </is>
      </c>
      <c r="D2656" t="inlineStr">
        <is>
          <t>BLK</t>
        </is>
      </c>
      <c r="E2656" t="inlineStr">
        <is>
          <t>(en blanco)</t>
        </is>
      </c>
      <c r="F2656" t="inlineStr">
        <is>
          <t>D2C</t>
        </is>
      </c>
      <c r="G2656" t="inlineStr">
        <is>
          <t>S</t>
        </is>
      </c>
      <c r="H2656" t="n">
        <v>0</v>
      </c>
      <c r="I2656" t="inlineStr">
        <is>
          <t>NAUTICA_MENS_208004155_BLK_1.jpg</t>
        </is>
      </c>
      <c r="J2656" t="inlineStr">
        <is>
          <t>NAUTICA_MENS_208004155_BLK_2.jpg</t>
        </is>
      </c>
      <c r="K2656" t="inlineStr">
        <is>
          <t>NAUTICA_MENS_208004155_BLK_3.jpg</t>
        </is>
      </c>
      <c r="L2656">
        <f>IMAGE("file:///E:/Estudios%20y%20certificaciones/ESTUDIOS%20DE%20PROGRAMMING/PROGRAMMING/PERSONAL/PYTHON/Image_Generator_API/imagenes/NAUTICA_MENS_208004155_BLK_1.jpg")</f>
        <v/>
      </c>
      <c r="M2656">
        <f>IMAGE("file:///E:/Estudios%20y%20certificaciones/ESTUDIOS%20DE%20PROGRAMMING/PROGRAMMING/PERSONAL/PYTHON/Image_Generator_API/imagenes/NAUTICA_MENS_208004155_BLK_2.jpg")</f>
        <v/>
      </c>
      <c r="N2656">
        <f>IMAGE("file:///E:/Estudios%20y%20certificaciones/ESTUDIOS%20DE%20PROGRAMMING/PROGRAMMING/PERSONAL/PYTHON/Image_Generator_API/imagenes/NAUTICA_MENS_208004155_BLK_3.jpg")</f>
        <v/>
      </c>
      <c r="O2656">
        <f>HYPERLINK("imagenes/NAUTICA_MENS_208004155_BLK_1.jpg","Ver imagen")</f>
        <v/>
      </c>
      <c r="P2656">
        <f>HYPERLINK("imagenes/NAUTICA_MENS_208004155_BLK_2.jpg","Ver imagen")</f>
        <v/>
      </c>
      <c r="Q2656">
        <f>HYPERLINK("imagenes/NAUTICA_MENS_208004155_BLK_3.jpg","Ver imagen")</f>
        <v/>
      </c>
    </row>
    <row r="2657">
      <c r="A2657" t="inlineStr">
        <is>
          <t>NAUTICA MENS</t>
        </is>
      </c>
      <c r="B2657" t="inlineStr">
        <is>
          <t>208004155</t>
        </is>
      </c>
      <c r="C2657" t="inlineStr">
        <is>
          <t>HOODED TRANSITIONAL JACKET</t>
        </is>
      </c>
      <c r="D2657" t="inlineStr">
        <is>
          <t>BLK</t>
        </is>
      </c>
      <c r="E2657" t="inlineStr">
        <is>
          <t>(en blanco)</t>
        </is>
      </c>
      <c r="F2657" t="inlineStr">
        <is>
          <t>D2C</t>
        </is>
      </c>
      <c r="G2657" t="inlineStr">
        <is>
          <t>M</t>
        </is>
      </c>
      <c r="H2657" t="n">
        <v>0</v>
      </c>
      <c r="I2657" t="inlineStr">
        <is>
          <t>NAUTICA_MENS_208004155_BLK_1.jpg</t>
        </is>
      </c>
      <c r="J2657" t="inlineStr">
        <is>
          <t>NAUTICA_MENS_208004155_BLK_2.jpg</t>
        </is>
      </c>
      <c r="K2657" t="inlineStr">
        <is>
          <t>NAUTICA_MENS_208004155_BLK_3.jpg</t>
        </is>
      </c>
      <c r="L2657">
        <f>IMAGE("file:///E:/Estudios%20y%20certificaciones/ESTUDIOS%20DE%20PROGRAMMING/PROGRAMMING/PERSONAL/PYTHON/Image_Generator_API/imagenes/NAUTICA_MENS_208004155_BLK_1.jpg")</f>
        <v/>
      </c>
      <c r="M2657">
        <f>IMAGE("file:///E:/Estudios%20y%20certificaciones/ESTUDIOS%20DE%20PROGRAMMING/PROGRAMMING/PERSONAL/PYTHON/Image_Generator_API/imagenes/NAUTICA_MENS_208004155_BLK_2.jpg")</f>
        <v/>
      </c>
      <c r="N2657">
        <f>IMAGE("file:///E:/Estudios%20y%20certificaciones/ESTUDIOS%20DE%20PROGRAMMING/PROGRAMMING/PERSONAL/PYTHON/Image_Generator_API/imagenes/NAUTICA_MENS_208004155_BLK_3.jpg")</f>
        <v/>
      </c>
      <c r="O2657">
        <f>HYPERLINK("imagenes/NAUTICA_MENS_208004155_BLK_1.jpg","Ver imagen")</f>
        <v/>
      </c>
      <c r="P2657">
        <f>HYPERLINK("imagenes/NAUTICA_MENS_208004155_BLK_2.jpg","Ver imagen")</f>
        <v/>
      </c>
      <c r="Q2657">
        <f>HYPERLINK("imagenes/NAUTICA_MENS_208004155_BLK_3.jpg","Ver imagen")</f>
        <v/>
      </c>
    </row>
    <row r="2658">
      <c r="A2658" t="inlineStr">
        <is>
          <t>NAUTICA MENS</t>
        </is>
      </c>
      <c r="B2658" t="inlineStr">
        <is>
          <t>208004155</t>
        </is>
      </c>
      <c r="C2658" t="inlineStr">
        <is>
          <t>HOODED TRANSITIONAL JACKET</t>
        </is>
      </c>
      <c r="D2658" t="inlineStr">
        <is>
          <t>BLK</t>
        </is>
      </c>
      <c r="E2658" t="inlineStr">
        <is>
          <t>(en blanco)</t>
        </is>
      </c>
      <c r="F2658" t="inlineStr">
        <is>
          <t>D2C</t>
        </is>
      </c>
      <c r="G2658" t="inlineStr">
        <is>
          <t>L</t>
        </is>
      </c>
      <c r="H2658" t="n">
        <v>0</v>
      </c>
      <c r="I2658" t="inlineStr">
        <is>
          <t>NAUTICA_MENS_208004155_BLK_1.jpg</t>
        </is>
      </c>
      <c r="J2658" t="inlineStr">
        <is>
          <t>NAUTICA_MENS_208004155_BLK_2.jpg</t>
        </is>
      </c>
      <c r="K2658" t="inlineStr">
        <is>
          <t>NAUTICA_MENS_208004155_BLK_3.jpg</t>
        </is>
      </c>
      <c r="L2658">
        <f>IMAGE("file:///E:/Estudios%20y%20certificaciones/ESTUDIOS%20DE%20PROGRAMMING/PROGRAMMING/PERSONAL/PYTHON/Image_Generator_API/imagenes/NAUTICA_MENS_208004155_BLK_1.jpg")</f>
        <v/>
      </c>
      <c r="M2658">
        <f>IMAGE("file:///E:/Estudios%20y%20certificaciones/ESTUDIOS%20DE%20PROGRAMMING/PROGRAMMING/PERSONAL/PYTHON/Image_Generator_API/imagenes/NAUTICA_MENS_208004155_BLK_2.jpg")</f>
        <v/>
      </c>
      <c r="N2658">
        <f>IMAGE("file:///E:/Estudios%20y%20certificaciones/ESTUDIOS%20DE%20PROGRAMMING/PROGRAMMING/PERSONAL/PYTHON/Image_Generator_API/imagenes/NAUTICA_MENS_208004155_BLK_3.jpg")</f>
        <v/>
      </c>
      <c r="O2658">
        <f>HYPERLINK("imagenes/NAUTICA_MENS_208004155_BLK_1.jpg","Ver imagen")</f>
        <v/>
      </c>
      <c r="P2658">
        <f>HYPERLINK("imagenes/NAUTICA_MENS_208004155_BLK_2.jpg","Ver imagen")</f>
        <v/>
      </c>
      <c r="Q2658">
        <f>HYPERLINK("imagenes/NAUTICA_MENS_208004155_BLK_3.jpg","Ver imagen")</f>
        <v/>
      </c>
    </row>
    <row r="2659">
      <c r="A2659" t="inlineStr">
        <is>
          <t>NAUTICA MENS</t>
        </is>
      </c>
      <c r="B2659" t="inlineStr">
        <is>
          <t>208004155</t>
        </is>
      </c>
      <c r="C2659" t="inlineStr">
        <is>
          <t>HOODED TRANSITIONAL JACKET</t>
        </is>
      </c>
      <c r="D2659" t="inlineStr">
        <is>
          <t>BLK</t>
        </is>
      </c>
      <c r="E2659" t="inlineStr">
        <is>
          <t>(en blanco)</t>
        </is>
      </c>
      <c r="F2659" t="inlineStr">
        <is>
          <t>D2C</t>
        </is>
      </c>
      <c r="G2659" t="inlineStr">
        <is>
          <t>XL</t>
        </is>
      </c>
      <c r="H2659" t="n">
        <v>0</v>
      </c>
      <c r="I2659" t="inlineStr">
        <is>
          <t>NAUTICA_MENS_208004155_BLK_1.jpg</t>
        </is>
      </c>
      <c r="J2659" t="inlineStr">
        <is>
          <t>NAUTICA_MENS_208004155_BLK_2.jpg</t>
        </is>
      </c>
      <c r="K2659" t="inlineStr">
        <is>
          <t>NAUTICA_MENS_208004155_BLK_3.jpg</t>
        </is>
      </c>
      <c r="L2659">
        <f>IMAGE("file:///E:/Estudios%20y%20certificaciones/ESTUDIOS%20DE%20PROGRAMMING/PROGRAMMING/PERSONAL/PYTHON/Image_Generator_API/imagenes/NAUTICA_MENS_208004155_BLK_1.jpg")</f>
        <v/>
      </c>
      <c r="M2659">
        <f>IMAGE("file:///E:/Estudios%20y%20certificaciones/ESTUDIOS%20DE%20PROGRAMMING/PROGRAMMING/PERSONAL/PYTHON/Image_Generator_API/imagenes/NAUTICA_MENS_208004155_BLK_2.jpg")</f>
        <v/>
      </c>
      <c r="N2659">
        <f>IMAGE("file:///E:/Estudios%20y%20certificaciones/ESTUDIOS%20DE%20PROGRAMMING/PROGRAMMING/PERSONAL/PYTHON/Image_Generator_API/imagenes/NAUTICA_MENS_208004155_BLK_3.jpg")</f>
        <v/>
      </c>
      <c r="O2659">
        <f>HYPERLINK("imagenes/NAUTICA_MENS_208004155_BLK_1.jpg","Ver imagen")</f>
        <v/>
      </c>
      <c r="P2659">
        <f>HYPERLINK("imagenes/NAUTICA_MENS_208004155_BLK_2.jpg","Ver imagen")</f>
        <v/>
      </c>
      <c r="Q2659">
        <f>HYPERLINK("imagenes/NAUTICA_MENS_208004155_BLK_3.jpg","Ver imagen")</f>
        <v/>
      </c>
    </row>
    <row r="2660">
      <c r="A2660" t="inlineStr">
        <is>
          <t>NAUTICA MENS</t>
        </is>
      </c>
      <c r="B2660" t="inlineStr">
        <is>
          <t>208004155</t>
        </is>
      </c>
      <c r="C2660" t="inlineStr">
        <is>
          <t>HOODED TRANSITIONAL JACKET</t>
        </is>
      </c>
      <c r="D2660" t="inlineStr">
        <is>
          <t>BLK</t>
        </is>
      </c>
      <c r="E2660" t="inlineStr">
        <is>
          <t>(en blanco)</t>
        </is>
      </c>
      <c r="F2660" t="inlineStr">
        <is>
          <t>D2C</t>
        </is>
      </c>
      <c r="G2660" t="inlineStr">
        <is>
          <t>XXL</t>
        </is>
      </c>
      <c r="H2660" t="n">
        <v>0</v>
      </c>
      <c r="I2660" t="inlineStr">
        <is>
          <t>NAUTICA_MENS_208004155_BLK_1.jpg</t>
        </is>
      </c>
      <c r="J2660" t="inlineStr">
        <is>
          <t>NAUTICA_MENS_208004155_BLK_2.jpg</t>
        </is>
      </c>
      <c r="K2660" t="inlineStr">
        <is>
          <t>NAUTICA_MENS_208004155_BLK_3.jpg</t>
        </is>
      </c>
      <c r="L2660">
        <f>IMAGE("file:///E:/Estudios%20y%20certificaciones/ESTUDIOS%20DE%20PROGRAMMING/PROGRAMMING/PERSONAL/PYTHON/Image_Generator_API/imagenes/NAUTICA_MENS_208004155_BLK_1.jpg")</f>
        <v/>
      </c>
      <c r="M2660">
        <f>IMAGE("file:///E:/Estudios%20y%20certificaciones/ESTUDIOS%20DE%20PROGRAMMING/PROGRAMMING/PERSONAL/PYTHON/Image_Generator_API/imagenes/NAUTICA_MENS_208004155_BLK_2.jpg")</f>
        <v/>
      </c>
      <c r="N2660">
        <f>IMAGE("file:///E:/Estudios%20y%20certificaciones/ESTUDIOS%20DE%20PROGRAMMING/PROGRAMMING/PERSONAL/PYTHON/Image_Generator_API/imagenes/NAUTICA_MENS_208004155_BLK_3.jpg")</f>
        <v/>
      </c>
      <c r="O2660">
        <f>HYPERLINK("imagenes/NAUTICA_MENS_208004155_BLK_1.jpg","Ver imagen")</f>
        <v/>
      </c>
      <c r="P2660">
        <f>HYPERLINK("imagenes/NAUTICA_MENS_208004155_BLK_2.jpg","Ver imagen")</f>
        <v/>
      </c>
      <c r="Q2660">
        <f>HYPERLINK("imagenes/NAUTICA_MENS_208004155_BLK_3.jpg","Ver imagen")</f>
        <v/>
      </c>
    </row>
    <row r="2661">
      <c r="A2661" t="inlineStr">
        <is>
          <t>NAUTICA MENS</t>
        </is>
      </c>
      <c r="B2661" t="inlineStr">
        <is>
          <t>208004155</t>
        </is>
      </c>
      <c r="C2661" t="inlineStr">
        <is>
          <t>HOODED TRANSITIONAL JACKET</t>
        </is>
      </c>
      <c r="D2661" t="inlineStr">
        <is>
          <t>BLK</t>
        </is>
      </c>
      <c r="E2661" t="inlineStr">
        <is>
          <t>(en blanco)</t>
        </is>
      </c>
      <c r="F2661" t="inlineStr">
        <is>
          <t>(en blanco)</t>
        </is>
      </c>
      <c r="G2661" t="inlineStr">
        <is>
          <t>S</t>
        </is>
      </c>
      <c r="H2661" t="n">
        <v>3</v>
      </c>
      <c r="I2661" t="inlineStr">
        <is>
          <t>NAUTICA_MENS_208004155_BLK_1.jpg</t>
        </is>
      </c>
      <c r="J2661" t="inlineStr">
        <is>
          <t>NAUTICA_MENS_208004155_BLK_2.jpg</t>
        </is>
      </c>
      <c r="K2661" t="inlineStr">
        <is>
          <t>NAUTICA_MENS_208004155_BLK_3.jpg</t>
        </is>
      </c>
      <c r="L2661">
        <f>IMAGE("file:///E:/Estudios%20y%20certificaciones/ESTUDIOS%20DE%20PROGRAMMING/PROGRAMMING/PERSONAL/PYTHON/Image_Generator_API/imagenes/NAUTICA_MENS_208004155_BLK_1.jpg")</f>
        <v/>
      </c>
      <c r="M2661">
        <f>IMAGE("file:///E:/Estudios%20y%20certificaciones/ESTUDIOS%20DE%20PROGRAMMING/PROGRAMMING/PERSONAL/PYTHON/Image_Generator_API/imagenes/NAUTICA_MENS_208004155_BLK_2.jpg")</f>
        <v/>
      </c>
      <c r="N2661">
        <f>IMAGE("file:///E:/Estudios%20y%20certificaciones/ESTUDIOS%20DE%20PROGRAMMING/PROGRAMMING/PERSONAL/PYTHON/Image_Generator_API/imagenes/NAUTICA_MENS_208004155_BLK_3.jpg")</f>
        <v/>
      </c>
      <c r="O2661">
        <f>HYPERLINK("imagenes/NAUTICA_MENS_208004155_BLK_1.jpg","Ver imagen")</f>
        <v/>
      </c>
      <c r="P2661">
        <f>HYPERLINK("imagenes/NAUTICA_MENS_208004155_BLK_2.jpg","Ver imagen")</f>
        <v/>
      </c>
      <c r="Q2661">
        <f>HYPERLINK("imagenes/NAUTICA_MENS_208004155_BLK_3.jpg","Ver imagen")</f>
        <v/>
      </c>
    </row>
    <row r="2662">
      <c r="A2662" t="inlineStr">
        <is>
          <t>NAUTICA MENS</t>
        </is>
      </c>
      <c r="B2662" t="inlineStr">
        <is>
          <t>208004155</t>
        </is>
      </c>
      <c r="C2662" t="inlineStr">
        <is>
          <t>HOODED TRANSITIONAL JACKET</t>
        </is>
      </c>
      <c r="D2662" t="inlineStr">
        <is>
          <t>BLK</t>
        </is>
      </c>
      <c r="E2662" t="inlineStr">
        <is>
          <t>(en blanco)</t>
        </is>
      </c>
      <c r="F2662" t="inlineStr">
        <is>
          <t>(en blanco)</t>
        </is>
      </c>
      <c r="G2662" t="inlineStr">
        <is>
          <t>M</t>
        </is>
      </c>
      <c r="H2662" t="n">
        <v>25</v>
      </c>
      <c r="I2662" t="inlineStr">
        <is>
          <t>NAUTICA_MENS_208004155_BLK_1.jpg</t>
        </is>
      </c>
      <c r="J2662" t="inlineStr">
        <is>
          <t>NAUTICA_MENS_208004155_BLK_2.jpg</t>
        </is>
      </c>
      <c r="K2662" t="inlineStr">
        <is>
          <t>NAUTICA_MENS_208004155_BLK_3.jpg</t>
        </is>
      </c>
      <c r="L2662">
        <f>IMAGE("file:///E:/Estudios%20y%20certificaciones/ESTUDIOS%20DE%20PROGRAMMING/PROGRAMMING/PERSONAL/PYTHON/Image_Generator_API/imagenes/NAUTICA_MENS_208004155_BLK_1.jpg")</f>
        <v/>
      </c>
      <c r="M2662">
        <f>IMAGE("file:///E:/Estudios%20y%20certificaciones/ESTUDIOS%20DE%20PROGRAMMING/PROGRAMMING/PERSONAL/PYTHON/Image_Generator_API/imagenes/NAUTICA_MENS_208004155_BLK_2.jpg")</f>
        <v/>
      </c>
      <c r="N2662">
        <f>IMAGE("file:///E:/Estudios%20y%20certificaciones/ESTUDIOS%20DE%20PROGRAMMING/PROGRAMMING/PERSONAL/PYTHON/Image_Generator_API/imagenes/NAUTICA_MENS_208004155_BLK_3.jpg")</f>
        <v/>
      </c>
      <c r="O2662">
        <f>HYPERLINK("imagenes/NAUTICA_MENS_208004155_BLK_1.jpg","Ver imagen")</f>
        <v/>
      </c>
      <c r="P2662">
        <f>HYPERLINK("imagenes/NAUTICA_MENS_208004155_BLK_2.jpg","Ver imagen")</f>
        <v/>
      </c>
      <c r="Q2662">
        <f>HYPERLINK("imagenes/NAUTICA_MENS_208004155_BLK_3.jpg","Ver imagen")</f>
        <v/>
      </c>
    </row>
    <row r="2663">
      <c r="A2663" t="inlineStr">
        <is>
          <t>NAUTICA MENS</t>
        </is>
      </c>
      <c r="B2663" t="inlineStr">
        <is>
          <t>208004155</t>
        </is>
      </c>
      <c r="C2663" t="inlineStr">
        <is>
          <t>HOODED TRANSITIONAL JACKET</t>
        </is>
      </c>
      <c r="D2663" t="inlineStr">
        <is>
          <t>BLK</t>
        </is>
      </c>
      <c r="E2663" t="inlineStr">
        <is>
          <t>(en blanco)</t>
        </is>
      </c>
      <c r="F2663" t="inlineStr">
        <is>
          <t>(en blanco)</t>
        </is>
      </c>
      <c r="G2663" t="inlineStr">
        <is>
          <t>L</t>
        </is>
      </c>
      <c r="H2663" t="n">
        <v>3</v>
      </c>
      <c r="I2663" t="inlineStr">
        <is>
          <t>NAUTICA_MENS_208004155_BLK_1.jpg</t>
        </is>
      </c>
      <c r="J2663" t="inlineStr">
        <is>
          <t>NAUTICA_MENS_208004155_BLK_2.jpg</t>
        </is>
      </c>
      <c r="K2663" t="inlineStr">
        <is>
          <t>NAUTICA_MENS_208004155_BLK_3.jpg</t>
        </is>
      </c>
      <c r="L2663">
        <f>IMAGE("file:///E:/Estudios%20y%20certificaciones/ESTUDIOS%20DE%20PROGRAMMING/PROGRAMMING/PERSONAL/PYTHON/Image_Generator_API/imagenes/NAUTICA_MENS_208004155_BLK_1.jpg")</f>
        <v/>
      </c>
      <c r="M2663">
        <f>IMAGE("file:///E:/Estudios%20y%20certificaciones/ESTUDIOS%20DE%20PROGRAMMING/PROGRAMMING/PERSONAL/PYTHON/Image_Generator_API/imagenes/NAUTICA_MENS_208004155_BLK_2.jpg")</f>
        <v/>
      </c>
      <c r="N2663">
        <f>IMAGE("file:///E:/Estudios%20y%20certificaciones/ESTUDIOS%20DE%20PROGRAMMING/PROGRAMMING/PERSONAL/PYTHON/Image_Generator_API/imagenes/NAUTICA_MENS_208004155_BLK_3.jpg")</f>
        <v/>
      </c>
      <c r="O2663">
        <f>HYPERLINK("imagenes/NAUTICA_MENS_208004155_BLK_1.jpg","Ver imagen")</f>
        <v/>
      </c>
      <c r="P2663">
        <f>HYPERLINK("imagenes/NAUTICA_MENS_208004155_BLK_2.jpg","Ver imagen")</f>
        <v/>
      </c>
      <c r="Q2663">
        <f>HYPERLINK("imagenes/NAUTICA_MENS_208004155_BLK_3.jpg","Ver imagen")</f>
        <v/>
      </c>
    </row>
    <row r="2664">
      <c r="A2664" t="inlineStr">
        <is>
          <t>NAUTICA MENS</t>
        </is>
      </c>
      <c r="B2664" t="inlineStr">
        <is>
          <t>208004155</t>
        </is>
      </c>
      <c r="C2664" t="inlineStr">
        <is>
          <t>HOODED TRANSITIONAL JACKET</t>
        </is>
      </c>
      <c r="D2664" t="inlineStr">
        <is>
          <t>BLK</t>
        </is>
      </c>
      <c r="E2664" t="inlineStr">
        <is>
          <t>(en blanco)</t>
        </is>
      </c>
      <c r="F2664" t="inlineStr">
        <is>
          <t>(en blanco)</t>
        </is>
      </c>
      <c r="G2664" t="inlineStr">
        <is>
          <t>XL</t>
        </is>
      </c>
      <c r="H2664" t="n">
        <v>9</v>
      </c>
      <c r="I2664" t="inlineStr">
        <is>
          <t>NAUTICA_MENS_208004155_BLK_1.jpg</t>
        </is>
      </c>
      <c r="J2664" t="inlineStr">
        <is>
          <t>NAUTICA_MENS_208004155_BLK_2.jpg</t>
        </is>
      </c>
      <c r="K2664" t="inlineStr">
        <is>
          <t>NAUTICA_MENS_208004155_BLK_3.jpg</t>
        </is>
      </c>
      <c r="L2664">
        <f>IMAGE("file:///E:/Estudios%20y%20certificaciones/ESTUDIOS%20DE%20PROGRAMMING/PROGRAMMING/PERSONAL/PYTHON/Image_Generator_API/imagenes/NAUTICA_MENS_208004155_BLK_1.jpg")</f>
        <v/>
      </c>
      <c r="M2664">
        <f>IMAGE("file:///E:/Estudios%20y%20certificaciones/ESTUDIOS%20DE%20PROGRAMMING/PROGRAMMING/PERSONAL/PYTHON/Image_Generator_API/imagenes/NAUTICA_MENS_208004155_BLK_2.jpg")</f>
        <v/>
      </c>
      <c r="N2664">
        <f>IMAGE("file:///E:/Estudios%20y%20certificaciones/ESTUDIOS%20DE%20PROGRAMMING/PROGRAMMING/PERSONAL/PYTHON/Image_Generator_API/imagenes/NAUTICA_MENS_208004155_BLK_3.jpg")</f>
        <v/>
      </c>
      <c r="O2664">
        <f>HYPERLINK("imagenes/NAUTICA_MENS_208004155_BLK_1.jpg","Ver imagen")</f>
        <v/>
      </c>
      <c r="P2664">
        <f>HYPERLINK("imagenes/NAUTICA_MENS_208004155_BLK_2.jpg","Ver imagen")</f>
        <v/>
      </c>
      <c r="Q2664">
        <f>HYPERLINK("imagenes/NAUTICA_MENS_208004155_BLK_3.jpg","Ver imagen")</f>
        <v/>
      </c>
    </row>
    <row r="2665">
      <c r="A2665" t="inlineStr">
        <is>
          <t>NAUTICA MENS</t>
        </is>
      </c>
      <c r="B2665" t="inlineStr">
        <is>
          <t>208004155</t>
        </is>
      </c>
      <c r="C2665" t="inlineStr">
        <is>
          <t>HOODED TRANSITIONAL JACKET</t>
        </is>
      </c>
      <c r="D2665" t="inlineStr">
        <is>
          <t>BLK</t>
        </is>
      </c>
      <c r="E2665" t="inlineStr">
        <is>
          <t>(en blanco)</t>
        </is>
      </c>
      <c r="F2665" t="inlineStr">
        <is>
          <t>(en blanco)</t>
        </is>
      </c>
      <c r="G2665" t="inlineStr">
        <is>
          <t>XXL</t>
        </is>
      </c>
      <c r="H2665" t="n">
        <v>0</v>
      </c>
      <c r="I2665" t="inlineStr">
        <is>
          <t>NAUTICA_MENS_208004155_BLK_1.jpg</t>
        </is>
      </c>
      <c r="J2665" t="inlineStr">
        <is>
          <t>NAUTICA_MENS_208004155_BLK_2.jpg</t>
        </is>
      </c>
      <c r="K2665" t="inlineStr">
        <is>
          <t>NAUTICA_MENS_208004155_BLK_3.jpg</t>
        </is>
      </c>
      <c r="L2665">
        <f>IMAGE("file:///E:/Estudios%20y%20certificaciones/ESTUDIOS%20DE%20PROGRAMMING/PROGRAMMING/PERSONAL/PYTHON/Image_Generator_API/imagenes/NAUTICA_MENS_208004155_BLK_1.jpg")</f>
        <v/>
      </c>
      <c r="M2665">
        <f>IMAGE("file:///E:/Estudios%20y%20certificaciones/ESTUDIOS%20DE%20PROGRAMMING/PROGRAMMING/PERSONAL/PYTHON/Image_Generator_API/imagenes/NAUTICA_MENS_208004155_BLK_2.jpg")</f>
        <v/>
      </c>
      <c r="N2665">
        <f>IMAGE("file:///E:/Estudios%20y%20certificaciones/ESTUDIOS%20DE%20PROGRAMMING/PROGRAMMING/PERSONAL/PYTHON/Image_Generator_API/imagenes/NAUTICA_MENS_208004155_BLK_3.jpg")</f>
        <v/>
      </c>
      <c r="O2665">
        <f>HYPERLINK("imagenes/NAUTICA_MENS_208004155_BLK_1.jpg","Ver imagen")</f>
        <v/>
      </c>
      <c r="P2665">
        <f>HYPERLINK("imagenes/NAUTICA_MENS_208004155_BLK_2.jpg","Ver imagen")</f>
        <v/>
      </c>
      <c r="Q2665">
        <f>HYPERLINK("imagenes/NAUTICA_MENS_208004155_BLK_3.jpg","Ver imagen")</f>
        <v/>
      </c>
    </row>
    <row r="2666">
      <c r="A2666" t="inlineStr">
        <is>
          <t>NAUTICA MENS</t>
        </is>
      </c>
      <c r="B2666" t="inlineStr">
        <is>
          <t>208004155</t>
        </is>
      </c>
      <c r="C2666" t="inlineStr">
        <is>
          <t>HOODED TRANSITIONAL JACKET</t>
        </is>
      </c>
      <c r="D2666" t="inlineStr">
        <is>
          <t>BLK</t>
        </is>
      </c>
      <c r="E2666" t="inlineStr">
        <is>
          <t>(en blanco)</t>
        </is>
      </c>
      <c r="F2666" t="inlineStr">
        <is>
          <t>(en blanco)</t>
        </is>
      </c>
      <c r="G2666" t="inlineStr">
        <is>
          <t>XXXL</t>
        </is>
      </c>
      <c r="H2666" t="n">
        <v>1</v>
      </c>
      <c r="I2666" t="inlineStr">
        <is>
          <t>NAUTICA_MENS_208004155_BLK_1.jpg</t>
        </is>
      </c>
      <c r="J2666" t="inlineStr">
        <is>
          <t>NAUTICA_MENS_208004155_BLK_2.jpg</t>
        </is>
      </c>
      <c r="K2666" t="inlineStr">
        <is>
          <t>NAUTICA_MENS_208004155_BLK_3.jpg</t>
        </is>
      </c>
      <c r="L2666">
        <f>IMAGE("file:///E:/Estudios%20y%20certificaciones/ESTUDIOS%20DE%20PROGRAMMING/PROGRAMMING/PERSONAL/PYTHON/Image_Generator_API/imagenes/NAUTICA_MENS_208004155_BLK_1.jpg")</f>
        <v/>
      </c>
      <c r="M2666">
        <f>IMAGE("file:///E:/Estudios%20y%20certificaciones/ESTUDIOS%20DE%20PROGRAMMING/PROGRAMMING/PERSONAL/PYTHON/Image_Generator_API/imagenes/NAUTICA_MENS_208004155_BLK_2.jpg")</f>
        <v/>
      </c>
      <c r="N2666">
        <f>IMAGE("file:///E:/Estudios%20y%20certificaciones/ESTUDIOS%20DE%20PROGRAMMING/PROGRAMMING/PERSONAL/PYTHON/Image_Generator_API/imagenes/NAUTICA_MENS_208004155_BLK_3.jpg")</f>
        <v/>
      </c>
      <c r="O2666">
        <f>HYPERLINK("imagenes/NAUTICA_MENS_208004155_BLK_1.jpg","Ver imagen")</f>
        <v/>
      </c>
      <c r="P2666">
        <f>HYPERLINK("imagenes/NAUTICA_MENS_208004155_BLK_2.jpg","Ver imagen")</f>
        <v/>
      </c>
      <c r="Q2666">
        <f>HYPERLINK("imagenes/NAUTICA_MENS_208004155_BLK_3.jpg","Ver imagen")</f>
        <v/>
      </c>
    </row>
    <row r="2667">
      <c r="A2667" t="inlineStr">
        <is>
          <t>NAUTICA MENS</t>
        </is>
      </c>
      <c r="B2667" t="inlineStr">
        <is>
          <t>208004155</t>
        </is>
      </c>
      <c r="C2667" t="inlineStr">
        <is>
          <t>HOODED TRANSITIONAL JACKET</t>
        </is>
      </c>
      <c r="D2667" t="inlineStr">
        <is>
          <t>DDN</t>
        </is>
      </c>
      <c r="E2667" t="inlineStr">
        <is>
          <t>(en blanco)</t>
        </is>
      </c>
      <c r="F2667" t="inlineStr">
        <is>
          <t>D2C</t>
        </is>
      </c>
      <c r="G2667" t="inlineStr">
        <is>
          <t>M</t>
        </is>
      </c>
      <c r="H2667" t="n">
        <v>0</v>
      </c>
      <c r="I2667" t="inlineStr">
        <is>
          <t>NAUTICA_MENS_208004155_DDN_1.jpg</t>
        </is>
      </c>
      <c r="J2667" t="inlineStr">
        <is>
          <t>NAUTICA_MENS_208004155_DDN_2.jpg</t>
        </is>
      </c>
      <c r="K2667" t="inlineStr">
        <is>
          <t>NAUTICA_MENS_208004155_DDN_3.jpg</t>
        </is>
      </c>
      <c r="L2667">
        <f>IMAGE("file:///E:/Estudios%20y%20certificaciones/ESTUDIOS%20DE%20PROGRAMMING/PROGRAMMING/PERSONAL/PYTHON/Image_Generator_API/imagenes/NAUTICA_MENS_208004155_DDN_1.jpg")</f>
        <v/>
      </c>
      <c r="M2667">
        <f>IMAGE("file:///E:/Estudios%20y%20certificaciones/ESTUDIOS%20DE%20PROGRAMMING/PROGRAMMING/PERSONAL/PYTHON/Image_Generator_API/imagenes/NAUTICA_MENS_208004155_DDN_2.jpg")</f>
        <v/>
      </c>
      <c r="N2667">
        <f>IMAGE("file:///E:/Estudios%20y%20certificaciones/ESTUDIOS%20DE%20PROGRAMMING/PROGRAMMING/PERSONAL/PYTHON/Image_Generator_API/imagenes/NAUTICA_MENS_208004155_DDN_3.jpg")</f>
        <v/>
      </c>
      <c r="O2667">
        <f>HYPERLINK("imagenes/NAUTICA_MENS_208004155_DDN_1.jpg","Ver imagen")</f>
        <v/>
      </c>
      <c r="P2667">
        <f>HYPERLINK("imagenes/NAUTICA_MENS_208004155_DDN_2.jpg","Ver imagen")</f>
        <v/>
      </c>
      <c r="Q2667">
        <f>HYPERLINK("imagenes/NAUTICA_MENS_208004155_DDN_3.jpg","Ver imagen")</f>
        <v/>
      </c>
    </row>
    <row r="2668">
      <c r="A2668" t="inlineStr">
        <is>
          <t>NAUTICA MENS</t>
        </is>
      </c>
      <c r="B2668" t="inlineStr">
        <is>
          <t>208004155</t>
        </is>
      </c>
      <c r="C2668" t="inlineStr">
        <is>
          <t>HOODED TRANSITIONAL JACKET</t>
        </is>
      </c>
      <c r="D2668" t="inlineStr">
        <is>
          <t>DDN</t>
        </is>
      </c>
      <c r="E2668" t="inlineStr">
        <is>
          <t>(en blanco)</t>
        </is>
      </c>
      <c r="F2668" t="inlineStr">
        <is>
          <t>D2C</t>
        </is>
      </c>
      <c r="G2668" t="inlineStr">
        <is>
          <t>L</t>
        </is>
      </c>
      <c r="H2668" t="n">
        <v>0</v>
      </c>
      <c r="I2668" t="inlineStr">
        <is>
          <t>NAUTICA_MENS_208004155_DDN_1.jpg</t>
        </is>
      </c>
      <c r="J2668" t="inlineStr">
        <is>
          <t>NAUTICA_MENS_208004155_DDN_2.jpg</t>
        </is>
      </c>
      <c r="K2668" t="inlineStr">
        <is>
          <t>NAUTICA_MENS_208004155_DDN_3.jpg</t>
        </is>
      </c>
      <c r="L2668">
        <f>IMAGE("file:///E:/Estudios%20y%20certificaciones/ESTUDIOS%20DE%20PROGRAMMING/PROGRAMMING/PERSONAL/PYTHON/Image_Generator_API/imagenes/NAUTICA_MENS_208004155_DDN_1.jpg")</f>
        <v/>
      </c>
      <c r="M2668">
        <f>IMAGE("file:///E:/Estudios%20y%20certificaciones/ESTUDIOS%20DE%20PROGRAMMING/PROGRAMMING/PERSONAL/PYTHON/Image_Generator_API/imagenes/NAUTICA_MENS_208004155_DDN_2.jpg")</f>
        <v/>
      </c>
      <c r="N2668">
        <f>IMAGE("file:///E:/Estudios%20y%20certificaciones/ESTUDIOS%20DE%20PROGRAMMING/PROGRAMMING/PERSONAL/PYTHON/Image_Generator_API/imagenes/NAUTICA_MENS_208004155_DDN_3.jpg")</f>
        <v/>
      </c>
      <c r="O2668">
        <f>HYPERLINK("imagenes/NAUTICA_MENS_208004155_DDN_1.jpg","Ver imagen")</f>
        <v/>
      </c>
      <c r="P2668">
        <f>HYPERLINK("imagenes/NAUTICA_MENS_208004155_DDN_2.jpg","Ver imagen")</f>
        <v/>
      </c>
      <c r="Q2668">
        <f>HYPERLINK("imagenes/NAUTICA_MENS_208004155_DDN_3.jpg","Ver imagen")</f>
        <v/>
      </c>
    </row>
    <row r="2669">
      <c r="A2669" t="inlineStr">
        <is>
          <t>NAUTICA MENS</t>
        </is>
      </c>
      <c r="B2669" t="inlineStr">
        <is>
          <t>208004155</t>
        </is>
      </c>
      <c r="C2669" t="inlineStr">
        <is>
          <t>HOODED TRANSITIONAL JACKET</t>
        </is>
      </c>
      <c r="D2669" t="inlineStr">
        <is>
          <t>DDN</t>
        </is>
      </c>
      <c r="E2669" t="inlineStr">
        <is>
          <t>(en blanco)</t>
        </is>
      </c>
      <c r="F2669" t="inlineStr">
        <is>
          <t>D2C</t>
        </is>
      </c>
      <c r="G2669" t="inlineStr">
        <is>
          <t>XL</t>
        </is>
      </c>
      <c r="H2669" t="n">
        <v>0</v>
      </c>
      <c r="I2669" t="inlineStr">
        <is>
          <t>NAUTICA_MENS_208004155_DDN_1.jpg</t>
        </is>
      </c>
      <c r="J2669" t="inlineStr">
        <is>
          <t>NAUTICA_MENS_208004155_DDN_2.jpg</t>
        </is>
      </c>
      <c r="K2669" t="inlineStr">
        <is>
          <t>NAUTICA_MENS_208004155_DDN_3.jpg</t>
        </is>
      </c>
      <c r="L2669">
        <f>IMAGE("file:///E:/Estudios%20y%20certificaciones/ESTUDIOS%20DE%20PROGRAMMING/PROGRAMMING/PERSONAL/PYTHON/Image_Generator_API/imagenes/NAUTICA_MENS_208004155_DDN_1.jpg")</f>
        <v/>
      </c>
      <c r="M2669">
        <f>IMAGE("file:///E:/Estudios%20y%20certificaciones/ESTUDIOS%20DE%20PROGRAMMING/PROGRAMMING/PERSONAL/PYTHON/Image_Generator_API/imagenes/NAUTICA_MENS_208004155_DDN_2.jpg")</f>
        <v/>
      </c>
      <c r="N2669">
        <f>IMAGE("file:///E:/Estudios%20y%20certificaciones/ESTUDIOS%20DE%20PROGRAMMING/PROGRAMMING/PERSONAL/PYTHON/Image_Generator_API/imagenes/NAUTICA_MENS_208004155_DDN_3.jpg")</f>
        <v/>
      </c>
      <c r="O2669">
        <f>HYPERLINK("imagenes/NAUTICA_MENS_208004155_DDN_1.jpg","Ver imagen")</f>
        <v/>
      </c>
      <c r="P2669">
        <f>HYPERLINK("imagenes/NAUTICA_MENS_208004155_DDN_2.jpg","Ver imagen")</f>
        <v/>
      </c>
      <c r="Q2669">
        <f>HYPERLINK("imagenes/NAUTICA_MENS_208004155_DDN_3.jpg","Ver imagen")</f>
        <v/>
      </c>
    </row>
    <row r="2670">
      <c r="A2670" t="inlineStr">
        <is>
          <t>NAUTICA MENS</t>
        </is>
      </c>
      <c r="B2670" t="inlineStr">
        <is>
          <t>208004155</t>
        </is>
      </c>
      <c r="C2670" t="inlineStr">
        <is>
          <t>HOODED TRANSITIONAL JACKET</t>
        </is>
      </c>
      <c r="D2670" t="inlineStr">
        <is>
          <t>DDN</t>
        </is>
      </c>
      <c r="E2670" t="inlineStr">
        <is>
          <t>(en blanco)</t>
        </is>
      </c>
      <c r="F2670" t="inlineStr">
        <is>
          <t>D2C</t>
        </is>
      </c>
      <c r="G2670" t="inlineStr">
        <is>
          <t>XXL</t>
        </is>
      </c>
      <c r="H2670" t="n">
        <v>0</v>
      </c>
      <c r="I2670" t="inlineStr">
        <is>
          <t>NAUTICA_MENS_208004155_DDN_1.jpg</t>
        </is>
      </c>
      <c r="J2670" t="inlineStr">
        <is>
          <t>NAUTICA_MENS_208004155_DDN_2.jpg</t>
        </is>
      </c>
      <c r="K2670" t="inlineStr">
        <is>
          <t>NAUTICA_MENS_208004155_DDN_3.jpg</t>
        </is>
      </c>
      <c r="L2670">
        <f>IMAGE("file:///E:/Estudios%20y%20certificaciones/ESTUDIOS%20DE%20PROGRAMMING/PROGRAMMING/PERSONAL/PYTHON/Image_Generator_API/imagenes/NAUTICA_MENS_208004155_DDN_1.jpg")</f>
        <v/>
      </c>
      <c r="M2670">
        <f>IMAGE("file:///E:/Estudios%20y%20certificaciones/ESTUDIOS%20DE%20PROGRAMMING/PROGRAMMING/PERSONAL/PYTHON/Image_Generator_API/imagenes/NAUTICA_MENS_208004155_DDN_2.jpg")</f>
        <v/>
      </c>
      <c r="N2670">
        <f>IMAGE("file:///E:/Estudios%20y%20certificaciones/ESTUDIOS%20DE%20PROGRAMMING/PROGRAMMING/PERSONAL/PYTHON/Image_Generator_API/imagenes/NAUTICA_MENS_208004155_DDN_3.jpg")</f>
        <v/>
      </c>
      <c r="O2670">
        <f>HYPERLINK("imagenes/NAUTICA_MENS_208004155_DDN_1.jpg","Ver imagen")</f>
        <v/>
      </c>
      <c r="P2670">
        <f>HYPERLINK("imagenes/NAUTICA_MENS_208004155_DDN_2.jpg","Ver imagen")</f>
        <v/>
      </c>
      <c r="Q2670">
        <f>HYPERLINK("imagenes/NAUTICA_MENS_208004155_DDN_3.jpg","Ver imagen")</f>
        <v/>
      </c>
    </row>
    <row r="2671">
      <c r="A2671" t="inlineStr">
        <is>
          <t>NAUTICA MENS</t>
        </is>
      </c>
      <c r="B2671" t="inlineStr">
        <is>
          <t>208004155</t>
        </is>
      </c>
      <c r="C2671" t="inlineStr">
        <is>
          <t>HOODED TRANSITIONAL JACKET</t>
        </is>
      </c>
      <c r="D2671" t="inlineStr">
        <is>
          <t>DDN</t>
        </is>
      </c>
      <c r="E2671" t="inlineStr">
        <is>
          <t>(en blanco)</t>
        </is>
      </c>
      <c r="F2671" t="inlineStr">
        <is>
          <t>(en blanco)</t>
        </is>
      </c>
      <c r="G2671" t="inlineStr">
        <is>
          <t>S</t>
        </is>
      </c>
      <c r="H2671" t="n">
        <v>2</v>
      </c>
      <c r="I2671" t="inlineStr">
        <is>
          <t>NAUTICA_MENS_208004155_DDN_1.jpg</t>
        </is>
      </c>
      <c r="J2671" t="inlineStr">
        <is>
          <t>NAUTICA_MENS_208004155_DDN_2.jpg</t>
        </is>
      </c>
      <c r="K2671" t="inlineStr">
        <is>
          <t>NAUTICA_MENS_208004155_DDN_3.jpg</t>
        </is>
      </c>
      <c r="L2671">
        <f>IMAGE("file:///E:/Estudios%20y%20certificaciones/ESTUDIOS%20DE%20PROGRAMMING/PROGRAMMING/PERSONAL/PYTHON/Image_Generator_API/imagenes/NAUTICA_MENS_208004155_DDN_1.jpg")</f>
        <v/>
      </c>
      <c r="M2671">
        <f>IMAGE("file:///E:/Estudios%20y%20certificaciones/ESTUDIOS%20DE%20PROGRAMMING/PROGRAMMING/PERSONAL/PYTHON/Image_Generator_API/imagenes/NAUTICA_MENS_208004155_DDN_2.jpg")</f>
        <v/>
      </c>
      <c r="N2671">
        <f>IMAGE("file:///E:/Estudios%20y%20certificaciones/ESTUDIOS%20DE%20PROGRAMMING/PROGRAMMING/PERSONAL/PYTHON/Image_Generator_API/imagenes/NAUTICA_MENS_208004155_DDN_3.jpg")</f>
        <v/>
      </c>
      <c r="O2671">
        <f>HYPERLINK("imagenes/NAUTICA_MENS_208004155_DDN_1.jpg","Ver imagen")</f>
        <v/>
      </c>
      <c r="P2671">
        <f>HYPERLINK("imagenes/NAUTICA_MENS_208004155_DDN_2.jpg","Ver imagen")</f>
        <v/>
      </c>
      <c r="Q2671">
        <f>HYPERLINK("imagenes/NAUTICA_MENS_208004155_DDN_3.jpg","Ver imagen")</f>
        <v/>
      </c>
    </row>
    <row r="2672">
      <c r="A2672" t="inlineStr">
        <is>
          <t>NAUTICA MENS</t>
        </is>
      </c>
      <c r="B2672" t="inlineStr">
        <is>
          <t>208004155</t>
        </is>
      </c>
      <c r="C2672" t="inlineStr">
        <is>
          <t>HOODED TRANSITIONAL JACKET</t>
        </is>
      </c>
      <c r="D2672" t="inlineStr">
        <is>
          <t>DDN</t>
        </is>
      </c>
      <c r="E2672" t="inlineStr">
        <is>
          <t>(en blanco)</t>
        </is>
      </c>
      <c r="F2672" t="inlineStr">
        <is>
          <t>(en blanco)</t>
        </is>
      </c>
      <c r="G2672" t="inlineStr">
        <is>
          <t>M</t>
        </is>
      </c>
      <c r="H2672" t="n">
        <v>0</v>
      </c>
      <c r="I2672" t="inlineStr">
        <is>
          <t>NAUTICA_MENS_208004155_DDN_1.jpg</t>
        </is>
      </c>
      <c r="J2672" t="inlineStr">
        <is>
          <t>NAUTICA_MENS_208004155_DDN_2.jpg</t>
        </is>
      </c>
      <c r="K2672" t="inlineStr">
        <is>
          <t>NAUTICA_MENS_208004155_DDN_3.jpg</t>
        </is>
      </c>
      <c r="L2672">
        <f>IMAGE("file:///E:/Estudios%20y%20certificaciones/ESTUDIOS%20DE%20PROGRAMMING/PROGRAMMING/PERSONAL/PYTHON/Image_Generator_API/imagenes/NAUTICA_MENS_208004155_DDN_1.jpg")</f>
        <v/>
      </c>
      <c r="M2672">
        <f>IMAGE("file:///E:/Estudios%20y%20certificaciones/ESTUDIOS%20DE%20PROGRAMMING/PROGRAMMING/PERSONAL/PYTHON/Image_Generator_API/imagenes/NAUTICA_MENS_208004155_DDN_2.jpg")</f>
        <v/>
      </c>
      <c r="N2672">
        <f>IMAGE("file:///E:/Estudios%20y%20certificaciones/ESTUDIOS%20DE%20PROGRAMMING/PROGRAMMING/PERSONAL/PYTHON/Image_Generator_API/imagenes/NAUTICA_MENS_208004155_DDN_3.jpg")</f>
        <v/>
      </c>
      <c r="O2672">
        <f>HYPERLINK("imagenes/NAUTICA_MENS_208004155_DDN_1.jpg","Ver imagen")</f>
        <v/>
      </c>
      <c r="P2672">
        <f>HYPERLINK("imagenes/NAUTICA_MENS_208004155_DDN_2.jpg","Ver imagen")</f>
        <v/>
      </c>
      <c r="Q2672">
        <f>HYPERLINK("imagenes/NAUTICA_MENS_208004155_DDN_3.jpg","Ver imagen")</f>
        <v/>
      </c>
    </row>
    <row r="2673">
      <c r="A2673" t="inlineStr">
        <is>
          <t>NAUTICA MENS</t>
        </is>
      </c>
      <c r="B2673" t="inlineStr">
        <is>
          <t>208004155</t>
        </is>
      </c>
      <c r="C2673" t="inlineStr">
        <is>
          <t>HOODED TRANSITIONAL JACKET</t>
        </is>
      </c>
      <c r="D2673" t="inlineStr">
        <is>
          <t>DDN</t>
        </is>
      </c>
      <c r="E2673" t="inlineStr">
        <is>
          <t>(en blanco)</t>
        </is>
      </c>
      <c r="F2673" t="inlineStr">
        <is>
          <t>(en blanco)</t>
        </is>
      </c>
      <c r="G2673" t="inlineStr">
        <is>
          <t>L</t>
        </is>
      </c>
      <c r="H2673" t="n">
        <v>2</v>
      </c>
      <c r="I2673" t="inlineStr">
        <is>
          <t>NAUTICA_MENS_208004155_DDN_1.jpg</t>
        </is>
      </c>
      <c r="J2673" t="inlineStr">
        <is>
          <t>NAUTICA_MENS_208004155_DDN_2.jpg</t>
        </is>
      </c>
      <c r="K2673" t="inlineStr">
        <is>
          <t>NAUTICA_MENS_208004155_DDN_3.jpg</t>
        </is>
      </c>
      <c r="L2673">
        <f>IMAGE("file:///E:/Estudios%20y%20certificaciones/ESTUDIOS%20DE%20PROGRAMMING/PROGRAMMING/PERSONAL/PYTHON/Image_Generator_API/imagenes/NAUTICA_MENS_208004155_DDN_1.jpg")</f>
        <v/>
      </c>
      <c r="M2673">
        <f>IMAGE("file:///E:/Estudios%20y%20certificaciones/ESTUDIOS%20DE%20PROGRAMMING/PROGRAMMING/PERSONAL/PYTHON/Image_Generator_API/imagenes/NAUTICA_MENS_208004155_DDN_2.jpg")</f>
        <v/>
      </c>
      <c r="N2673">
        <f>IMAGE("file:///E:/Estudios%20y%20certificaciones/ESTUDIOS%20DE%20PROGRAMMING/PROGRAMMING/PERSONAL/PYTHON/Image_Generator_API/imagenes/NAUTICA_MENS_208004155_DDN_3.jpg")</f>
        <v/>
      </c>
      <c r="O2673">
        <f>HYPERLINK("imagenes/NAUTICA_MENS_208004155_DDN_1.jpg","Ver imagen")</f>
        <v/>
      </c>
      <c r="P2673">
        <f>HYPERLINK("imagenes/NAUTICA_MENS_208004155_DDN_2.jpg","Ver imagen")</f>
        <v/>
      </c>
      <c r="Q2673">
        <f>HYPERLINK("imagenes/NAUTICA_MENS_208004155_DDN_3.jpg","Ver imagen")</f>
        <v/>
      </c>
    </row>
    <row r="2674">
      <c r="A2674" t="inlineStr">
        <is>
          <t>NAUTICA MENS</t>
        </is>
      </c>
      <c r="B2674" t="inlineStr">
        <is>
          <t>208004155</t>
        </is>
      </c>
      <c r="C2674" t="inlineStr">
        <is>
          <t>HOODED TRANSITIONAL JACKET</t>
        </is>
      </c>
      <c r="D2674" t="inlineStr">
        <is>
          <t>DDN</t>
        </is>
      </c>
      <c r="E2674" t="inlineStr">
        <is>
          <t>(en blanco)</t>
        </is>
      </c>
      <c r="F2674" t="inlineStr">
        <is>
          <t>(en blanco)</t>
        </is>
      </c>
      <c r="G2674" t="inlineStr">
        <is>
          <t>XL</t>
        </is>
      </c>
      <c r="H2674" t="n">
        <v>3</v>
      </c>
      <c r="I2674" t="inlineStr">
        <is>
          <t>NAUTICA_MENS_208004155_DDN_1.jpg</t>
        </is>
      </c>
      <c r="J2674" t="inlineStr">
        <is>
          <t>NAUTICA_MENS_208004155_DDN_2.jpg</t>
        </is>
      </c>
      <c r="K2674" t="inlineStr">
        <is>
          <t>NAUTICA_MENS_208004155_DDN_3.jpg</t>
        </is>
      </c>
      <c r="L2674">
        <f>IMAGE("file:///E:/Estudios%20y%20certificaciones/ESTUDIOS%20DE%20PROGRAMMING/PROGRAMMING/PERSONAL/PYTHON/Image_Generator_API/imagenes/NAUTICA_MENS_208004155_DDN_1.jpg")</f>
        <v/>
      </c>
      <c r="M2674">
        <f>IMAGE("file:///E:/Estudios%20y%20certificaciones/ESTUDIOS%20DE%20PROGRAMMING/PROGRAMMING/PERSONAL/PYTHON/Image_Generator_API/imagenes/NAUTICA_MENS_208004155_DDN_2.jpg")</f>
        <v/>
      </c>
      <c r="N2674">
        <f>IMAGE("file:///E:/Estudios%20y%20certificaciones/ESTUDIOS%20DE%20PROGRAMMING/PROGRAMMING/PERSONAL/PYTHON/Image_Generator_API/imagenes/NAUTICA_MENS_208004155_DDN_3.jpg")</f>
        <v/>
      </c>
      <c r="O2674">
        <f>HYPERLINK("imagenes/NAUTICA_MENS_208004155_DDN_1.jpg","Ver imagen")</f>
        <v/>
      </c>
      <c r="P2674">
        <f>HYPERLINK("imagenes/NAUTICA_MENS_208004155_DDN_2.jpg","Ver imagen")</f>
        <v/>
      </c>
      <c r="Q2674">
        <f>HYPERLINK("imagenes/NAUTICA_MENS_208004155_DDN_3.jpg","Ver imagen")</f>
        <v/>
      </c>
    </row>
    <row r="2675">
      <c r="A2675" t="inlineStr">
        <is>
          <t>NAUTICA MENS</t>
        </is>
      </c>
      <c r="B2675" t="inlineStr">
        <is>
          <t>208004155</t>
        </is>
      </c>
      <c r="C2675" t="inlineStr">
        <is>
          <t>HOODED TRANSITIONAL JACKET</t>
        </is>
      </c>
      <c r="D2675" t="inlineStr">
        <is>
          <t>DDN</t>
        </is>
      </c>
      <c r="E2675" t="inlineStr">
        <is>
          <t>(en blanco)</t>
        </is>
      </c>
      <c r="F2675" t="inlineStr">
        <is>
          <t>(en blanco)</t>
        </is>
      </c>
      <c r="G2675" t="inlineStr">
        <is>
          <t>XXL</t>
        </is>
      </c>
      <c r="H2675" t="n">
        <v>0</v>
      </c>
      <c r="I2675" t="inlineStr">
        <is>
          <t>NAUTICA_MENS_208004155_DDN_1.jpg</t>
        </is>
      </c>
      <c r="J2675" t="inlineStr">
        <is>
          <t>NAUTICA_MENS_208004155_DDN_2.jpg</t>
        </is>
      </c>
      <c r="K2675" t="inlineStr">
        <is>
          <t>NAUTICA_MENS_208004155_DDN_3.jpg</t>
        </is>
      </c>
      <c r="L2675">
        <f>IMAGE("file:///E:/Estudios%20y%20certificaciones/ESTUDIOS%20DE%20PROGRAMMING/PROGRAMMING/PERSONAL/PYTHON/Image_Generator_API/imagenes/NAUTICA_MENS_208004155_DDN_1.jpg")</f>
        <v/>
      </c>
      <c r="M2675">
        <f>IMAGE("file:///E:/Estudios%20y%20certificaciones/ESTUDIOS%20DE%20PROGRAMMING/PROGRAMMING/PERSONAL/PYTHON/Image_Generator_API/imagenes/NAUTICA_MENS_208004155_DDN_2.jpg")</f>
        <v/>
      </c>
      <c r="N2675">
        <f>IMAGE("file:///E:/Estudios%20y%20certificaciones/ESTUDIOS%20DE%20PROGRAMMING/PROGRAMMING/PERSONAL/PYTHON/Image_Generator_API/imagenes/NAUTICA_MENS_208004155_DDN_3.jpg")</f>
        <v/>
      </c>
      <c r="O2675">
        <f>HYPERLINK("imagenes/NAUTICA_MENS_208004155_DDN_1.jpg","Ver imagen")</f>
        <v/>
      </c>
      <c r="P2675">
        <f>HYPERLINK("imagenes/NAUTICA_MENS_208004155_DDN_2.jpg","Ver imagen")</f>
        <v/>
      </c>
      <c r="Q2675">
        <f>HYPERLINK("imagenes/NAUTICA_MENS_208004155_DDN_3.jpg","Ver imagen")</f>
        <v/>
      </c>
    </row>
    <row r="2676">
      <c r="A2676" t="inlineStr">
        <is>
          <t>NAUTICA MENS</t>
        </is>
      </c>
      <c r="B2676" t="inlineStr">
        <is>
          <t>208004155</t>
        </is>
      </c>
      <c r="C2676" t="inlineStr">
        <is>
          <t>HOODED TRANSITIONAL JACKET</t>
        </is>
      </c>
      <c r="D2676" t="inlineStr">
        <is>
          <t>MTA</t>
        </is>
      </c>
      <c r="E2676" t="inlineStr">
        <is>
          <t>(en blanco)</t>
        </is>
      </c>
      <c r="F2676" t="inlineStr">
        <is>
          <t>D2C</t>
        </is>
      </c>
      <c r="G2676" t="inlineStr">
        <is>
          <t>S</t>
        </is>
      </c>
      <c r="H2676" t="n">
        <v>7</v>
      </c>
      <c r="I2676" t="inlineStr">
        <is>
          <t>NAUTICA_MENS_208004155_MTA_1.jpg</t>
        </is>
      </c>
      <c r="J2676" t="inlineStr">
        <is>
          <t>NAUTICA_MENS_208004155_MTA_2.jpg</t>
        </is>
      </c>
      <c r="K2676" t="inlineStr">
        <is>
          <t>NAUTICA_MENS_208004155_MTA_3.jpg</t>
        </is>
      </c>
      <c r="L2676">
        <f>IMAGE("file:///E:/Estudios%20y%20certificaciones/ESTUDIOS%20DE%20PROGRAMMING/PROGRAMMING/PERSONAL/PYTHON/Image_Generator_API/imagenes/NAUTICA_MENS_208004155_MTA_1.jpg")</f>
        <v/>
      </c>
      <c r="M2676">
        <f>IMAGE("file:///E:/Estudios%20y%20certificaciones/ESTUDIOS%20DE%20PROGRAMMING/PROGRAMMING/PERSONAL/PYTHON/Image_Generator_API/imagenes/NAUTICA_MENS_208004155_MTA_2.jpg")</f>
        <v/>
      </c>
      <c r="N2676">
        <f>IMAGE("file:///E:/Estudios%20y%20certificaciones/ESTUDIOS%20DE%20PROGRAMMING/PROGRAMMING/PERSONAL/PYTHON/Image_Generator_API/imagenes/NAUTICA_MENS_208004155_MTA_3.jpg")</f>
        <v/>
      </c>
      <c r="O2676">
        <f>HYPERLINK("imagenes/NAUTICA_MENS_208004155_MTA_1.jpg","Ver imagen")</f>
        <v/>
      </c>
      <c r="P2676">
        <f>HYPERLINK("imagenes/NAUTICA_MENS_208004155_MTA_2.jpg","Ver imagen")</f>
        <v/>
      </c>
      <c r="Q2676">
        <f>HYPERLINK("imagenes/NAUTICA_MENS_208004155_MTA_3.jpg","Ver imagen")</f>
        <v/>
      </c>
    </row>
    <row r="2677">
      <c r="A2677" t="inlineStr">
        <is>
          <t>NAUTICA MENS</t>
        </is>
      </c>
      <c r="B2677" t="inlineStr">
        <is>
          <t>208004155</t>
        </is>
      </c>
      <c r="C2677" t="inlineStr">
        <is>
          <t>HOODED TRANSITIONAL JACKET</t>
        </is>
      </c>
      <c r="D2677" t="inlineStr">
        <is>
          <t>MTA</t>
        </is>
      </c>
      <c r="E2677" t="inlineStr">
        <is>
          <t>(en blanco)</t>
        </is>
      </c>
      <c r="F2677" t="inlineStr">
        <is>
          <t>D2C</t>
        </is>
      </c>
      <c r="G2677" t="inlineStr">
        <is>
          <t>M</t>
        </is>
      </c>
      <c r="H2677" t="n">
        <v>30</v>
      </c>
      <c r="I2677" t="inlineStr">
        <is>
          <t>NAUTICA_MENS_208004155_MTA_1.jpg</t>
        </is>
      </c>
      <c r="J2677" t="inlineStr">
        <is>
          <t>NAUTICA_MENS_208004155_MTA_2.jpg</t>
        </is>
      </c>
      <c r="K2677" t="inlineStr">
        <is>
          <t>NAUTICA_MENS_208004155_MTA_3.jpg</t>
        </is>
      </c>
      <c r="L2677">
        <f>IMAGE("file:///E:/Estudios%20y%20certificaciones/ESTUDIOS%20DE%20PROGRAMMING/PROGRAMMING/PERSONAL/PYTHON/Image_Generator_API/imagenes/NAUTICA_MENS_208004155_MTA_1.jpg")</f>
        <v/>
      </c>
      <c r="M2677">
        <f>IMAGE("file:///E:/Estudios%20y%20certificaciones/ESTUDIOS%20DE%20PROGRAMMING/PROGRAMMING/PERSONAL/PYTHON/Image_Generator_API/imagenes/NAUTICA_MENS_208004155_MTA_2.jpg")</f>
        <v/>
      </c>
      <c r="N2677">
        <f>IMAGE("file:///E:/Estudios%20y%20certificaciones/ESTUDIOS%20DE%20PROGRAMMING/PROGRAMMING/PERSONAL/PYTHON/Image_Generator_API/imagenes/NAUTICA_MENS_208004155_MTA_3.jpg")</f>
        <v/>
      </c>
      <c r="O2677">
        <f>HYPERLINK("imagenes/NAUTICA_MENS_208004155_MTA_1.jpg","Ver imagen")</f>
        <v/>
      </c>
      <c r="P2677">
        <f>HYPERLINK("imagenes/NAUTICA_MENS_208004155_MTA_2.jpg","Ver imagen")</f>
        <v/>
      </c>
      <c r="Q2677">
        <f>HYPERLINK("imagenes/NAUTICA_MENS_208004155_MTA_3.jpg","Ver imagen")</f>
        <v/>
      </c>
    </row>
    <row r="2678">
      <c r="A2678" t="inlineStr">
        <is>
          <t>NAUTICA MENS</t>
        </is>
      </c>
      <c r="B2678" t="inlineStr">
        <is>
          <t>208004155</t>
        </is>
      </c>
      <c r="C2678" t="inlineStr">
        <is>
          <t>HOODED TRANSITIONAL JACKET</t>
        </is>
      </c>
      <c r="D2678" t="inlineStr">
        <is>
          <t>MTA</t>
        </is>
      </c>
      <c r="E2678" t="inlineStr">
        <is>
          <t>(en blanco)</t>
        </is>
      </c>
      <c r="F2678" t="inlineStr">
        <is>
          <t>D2C</t>
        </is>
      </c>
      <c r="G2678" t="inlineStr">
        <is>
          <t>L</t>
        </is>
      </c>
      <c r="H2678" t="n">
        <v>37</v>
      </c>
      <c r="I2678" t="inlineStr">
        <is>
          <t>NAUTICA_MENS_208004155_MTA_1.jpg</t>
        </is>
      </c>
      <c r="J2678" t="inlineStr">
        <is>
          <t>NAUTICA_MENS_208004155_MTA_2.jpg</t>
        </is>
      </c>
      <c r="K2678" t="inlineStr">
        <is>
          <t>NAUTICA_MENS_208004155_MTA_3.jpg</t>
        </is>
      </c>
      <c r="L2678">
        <f>IMAGE("file:///E:/Estudios%20y%20certificaciones/ESTUDIOS%20DE%20PROGRAMMING/PROGRAMMING/PERSONAL/PYTHON/Image_Generator_API/imagenes/NAUTICA_MENS_208004155_MTA_1.jpg")</f>
        <v/>
      </c>
      <c r="M2678">
        <f>IMAGE("file:///E:/Estudios%20y%20certificaciones/ESTUDIOS%20DE%20PROGRAMMING/PROGRAMMING/PERSONAL/PYTHON/Image_Generator_API/imagenes/NAUTICA_MENS_208004155_MTA_2.jpg")</f>
        <v/>
      </c>
      <c r="N2678">
        <f>IMAGE("file:///E:/Estudios%20y%20certificaciones/ESTUDIOS%20DE%20PROGRAMMING/PROGRAMMING/PERSONAL/PYTHON/Image_Generator_API/imagenes/NAUTICA_MENS_208004155_MTA_3.jpg")</f>
        <v/>
      </c>
      <c r="O2678">
        <f>HYPERLINK("imagenes/NAUTICA_MENS_208004155_MTA_1.jpg","Ver imagen")</f>
        <v/>
      </c>
      <c r="P2678">
        <f>HYPERLINK("imagenes/NAUTICA_MENS_208004155_MTA_2.jpg","Ver imagen")</f>
        <v/>
      </c>
      <c r="Q2678">
        <f>HYPERLINK("imagenes/NAUTICA_MENS_208004155_MTA_3.jpg","Ver imagen")</f>
        <v/>
      </c>
    </row>
    <row r="2679">
      <c r="A2679" t="inlineStr">
        <is>
          <t>NAUTICA MENS</t>
        </is>
      </c>
      <c r="B2679" t="inlineStr">
        <is>
          <t>208004155</t>
        </is>
      </c>
      <c r="C2679" t="inlineStr">
        <is>
          <t>HOODED TRANSITIONAL JACKET</t>
        </is>
      </c>
      <c r="D2679" t="inlineStr">
        <is>
          <t>MTA</t>
        </is>
      </c>
      <c r="E2679" t="inlineStr">
        <is>
          <t>(en blanco)</t>
        </is>
      </c>
      <c r="F2679" t="inlineStr">
        <is>
          <t>D2C</t>
        </is>
      </c>
      <c r="G2679" t="inlineStr">
        <is>
          <t>XL</t>
        </is>
      </c>
      <c r="H2679" t="n">
        <v>15</v>
      </c>
      <c r="I2679" t="inlineStr">
        <is>
          <t>NAUTICA_MENS_208004155_MTA_1.jpg</t>
        </is>
      </c>
      <c r="J2679" t="inlineStr">
        <is>
          <t>NAUTICA_MENS_208004155_MTA_2.jpg</t>
        </is>
      </c>
      <c r="K2679" t="inlineStr">
        <is>
          <t>NAUTICA_MENS_208004155_MTA_3.jpg</t>
        </is>
      </c>
      <c r="L2679">
        <f>IMAGE("file:///E:/Estudios%20y%20certificaciones/ESTUDIOS%20DE%20PROGRAMMING/PROGRAMMING/PERSONAL/PYTHON/Image_Generator_API/imagenes/NAUTICA_MENS_208004155_MTA_1.jpg")</f>
        <v/>
      </c>
      <c r="M2679">
        <f>IMAGE("file:///E:/Estudios%20y%20certificaciones/ESTUDIOS%20DE%20PROGRAMMING/PROGRAMMING/PERSONAL/PYTHON/Image_Generator_API/imagenes/NAUTICA_MENS_208004155_MTA_2.jpg")</f>
        <v/>
      </c>
      <c r="N2679">
        <f>IMAGE("file:///E:/Estudios%20y%20certificaciones/ESTUDIOS%20DE%20PROGRAMMING/PROGRAMMING/PERSONAL/PYTHON/Image_Generator_API/imagenes/NAUTICA_MENS_208004155_MTA_3.jpg")</f>
        <v/>
      </c>
      <c r="O2679">
        <f>HYPERLINK("imagenes/NAUTICA_MENS_208004155_MTA_1.jpg","Ver imagen")</f>
        <v/>
      </c>
      <c r="P2679">
        <f>HYPERLINK("imagenes/NAUTICA_MENS_208004155_MTA_2.jpg","Ver imagen")</f>
        <v/>
      </c>
      <c r="Q2679">
        <f>HYPERLINK("imagenes/NAUTICA_MENS_208004155_MTA_3.jpg","Ver imagen")</f>
        <v/>
      </c>
    </row>
    <row r="2680">
      <c r="A2680" t="inlineStr">
        <is>
          <t>NAUTICA MENS</t>
        </is>
      </c>
      <c r="B2680" t="inlineStr">
        <is>
          <t>208004155</t>
        </is>
      </c>
      <c r="C2680" t="inlineStr">
        <is>
          <t>HOODED TRANSITIONAL JACKET</t>
        </is>
      </c>
      <c r="D2680" t="inlineStr">
        <is>
          <t>MTA</t>
        </is>
      </c>
      <c r="E2680" t="inlineStr">
        <is>
          <t>(en blanco)</t>
        </is>
      </c>
      <c r="F2680" t="inlineStr">
        <is>
          <t>D2C</t>
        </is>
      </c>
      <c r="G2680" t="inlineStr">
        <is>
          <t>XXL</t>
        </is>
      </c>
      <c r="H2680" t="n">
        <v>10</v>
      </c>
      <c r="I2680" t="inlineStr">
        <is>
          <t>NAUTICA_MENS_208004155_MTA_1.jpg</t>
        </is>
      </c>
      <c r="J2680" t="inlineStr">
        <is>
          <t>NAUTICA_MENS_208004155_MTA_2.jpg</t>
        </is>
      </c>
      <c r="K2680" t="inlineStr">
        <is>
          <t>NAUTICA_MENS_208004155_MTA_3.jpg</t>
        </is>
      </c>
      <c r="L2680">
        <f>IMAGE("file:///E:/Estudios%20y%20certificaciones/ESTUDIOS%20DE%20PROGRAMMING/PROGRAMMING/PERSONAL/PYTHON/Image_Generator_API/imagenes/NAUTICA_MENS_208004155_MTA_1.jpg")</f>
        <v/>
      </c>
      <c r="M2680">
        <f>IMAGE("file:///E:/Estudios%20y%20certificaciones/ESTUDIOS%20DE%20PROGRAMMING/PROGRAMMING/PERSONAL/PYTHON/Image_Generator_API/imagenes/NAUTICA_MENS_208004155_MTA_2.jpg")</f>
        <v/>
      </c>
      <c r="N2680">
        <f>IMAGE("file:///E:/Estudios%20y%20certificaciones/ESTUDIOS%20DE%20PROGRAMMING/PROGRAMMING/PERSONAL/PYTHON/Image_Generator_API/imagenes/NAUTICA_MENS_208004155_MTA_3.jpg")</f>
        <v/>
      </c>
      <c r="O2680">
        <f>HYPERLINK("imagenes/NAUTICA_MENS_208004155_MTA_1.jpg","Ver imagen")</f>
        <v/>
      </c>
      <c r="P2680">
        <f>HYPERLINK("imagenes/NAUTICA_MENS_208004155_MTA_2.jpg","Ver imagen")</f>
        <v/>
      </c>
      <c r="Q2680">
        <f>HYPERLINK("imagenes/NAUTICA_MENS_208004155_MTA_3.jpg","Ver imagen")</f>
        <v/>
      </c>
    </row>
    <row r="2681">
      <c r="A2681" t="inlineStr">
        <is>
          <t>NAUTICA MENS</t>
        </is>
      </c>
      <c r="B2681" t="inlineStr">
        <is>
          <t>208004155</t>
        </is>
      </c>
      <c r="C2681" t="inlineStr">
        <is>
          <t>HOODED TRANSITIONAL JACKET</t>
        </is>
      </c>
      <c r="D2681" t="inlineStr">
        <is>
          <t>NSS</t>
        </is>
      </c>
      <c r="E2681" t="inlineStr">
        <is>
          <t>(en blanco)</t>
        </is>
      </c>
      <c r="F2681" t="inlineStr">
        <is>
          <t>(en blanco)</t>
        </is>
      </c>
      <c r="G2681" t="inlineStr">
        <is>
          <t>S</t>
        </is>
      </c>
      <c r="H2681" t="n">
        <v>7</v>
      </c>
      <c r="I2681" t="inlineStr">
        <is>
          <t>NAUTICA_MENS_208004155_NSS_1.jpg</t>
        </is>
      </c>
      <c r="J2681" t="inlineStr">
        <is>
          <t>NAUTICA_MENS_208004155_NSS_2.jpg</t>
        </is>
      </c>
      <c r="K2681" t="inlineStr">
        <is>
          <t>NAUTICA_MENS_208004155_NSS_3.jpg</t>
        </is>
      </c>
      <c r="L2681">
        <f>IMAGE("file:///E:/Estudios%20y%20certificaciones/ESTUDIOS%20DE%20PROGRAMMING/PROGRAMMING/PERSONAL/PYTHON/Image_Generator_API/imagenes/NAUTICA_MENS_208004155_NSS_1.jpg")</f>
        <v/>
      </c>
      <c r="M2681">
        <f>IMAGE("file:///E:/Estudios%20y%20certificaciones/ESTUDIOS%20DE%20PROGRAMMING/PROGRAMMING/PERSONAL/PYTHON/Image_Generator_API/imagenes/NAUTICA_MENS_208004155_NSS_2.jpg")</f>
        <v/>
      </c>
      <c r="N2681">
        <f>IMAGE("file:///E:/Estudios%20y%20certificaciones/ESTUDIOS%20DE%20PROGRAMMING/PROGRAMMING/PERSONAL/PYTHON/Image_Generator_API/imagenes/NAUTICA_MENS_208004155_NSS_3.jpg")</f>
        <v/>
      </c>
      <c r="O2681">
        <f>HYPERLINK("imagenes/NAUTICA_MENS_208004155_NSS_1.jpg","Ver imagen")</f>
        <v/>
      </c>
      <c r="P2681">
        <f>HYPERLINK("imagenes/NAUTICA_MENS_208004155_NSS_2.jpg","Ver imagen")</f>
        <v/>
      </c>
      <c r="Q2681">
        <f>HYPERLINK("imagenes/NAUTICA_MENS_208004155_NSS_3.jpg","Ver imagen")</f>
        <v/>
      </c>
    </row>
    <row r="2682">
      <c r="A2682" t="inlineStr">
        <is>
          <t>NAUTICA MENS</t>
        </is>
      </c>
      <c r="B2682" t="inlineStr">
        <is>
          <t>208004155</t>
        </is>
      </c>
      <c r="C2682" t="inlineStr">
        <is>
          <t>HOODED TRANSITIONAL JACKET</t>
        </is>
      </c>
      <c r="D2682" t="inlineStr">
        <is>
          <t>NSS</t>
        </is>
      </c>
      <c r="E2682" t="inlineStr">
        <is>
          <t>(en blanco)</t>
        </is>
      </c>
      <c r="F2682" t="inlineStr">
        <is>
          <t>(en blanco)</t>
        </is>
      </c>
      <c r="G2682" t="inlineStr">
        <is>
          <t>M</t>
        </is>
      </c>
      <c r="H2682" t="n">
        <v>12</v>
      </c>
      <c r="I2682" t="inlineStr">
        <is>
          <t>NAUTICA_MENS_208004155_NSS_1.jpg</t>
        </is>
      </c>
      <c r="J2682" t="inlineStr">
        <is>
          <t>NAUTICA_MENS_208004155_NSS_2.jpg</t>
        </is>
      </c>
      <c r="K2682" t="inlineStr">
        <is>
          <t>NAUTICA_MENS_208004155_NSS_3.jpg</t>
        </is>
      </c>
      <c r="L2682">
        <f>IMAGE("file:///E:/Estudios%20y%20certificaciones/ESTUDIOS%20DE%20PROGRAMMING/PROGRAMMING/PERSONAL/PYTHON/Image_Generator_API/imagenes/NAUTICA_MENS_208004155_NSS_1.jpg")</f>
        <v/>
      </c>
      <c r="M2682">
        <f>IMAGE("file:///E:/Estudios%20y%20certificaciones/ESTUDIOS%20DE%20PROGRAMMING/PROGRAMMING/PERSONAL/PYTHON/Image_Generator_API/imagenes/NAUTICA_MENS_208004155_NSS_2.jpg")</f>
        <v/>
      </c>
      <c r="N2682">
        <f>IMAGE("file:///E:/Estudios%20y%20certificaciones/ESTUDIOS%20DE%20PROGRAMMING/PROGRAMMING/PERSONAL/PYTHON/Image_Generator_API/imagenes/NAUTICA_MENS_208004155_NSS_3.jpg")</f>
        <v/>
      </c>
      <c r="O2682">
        <f>HYPERLINK("imagenes/NAUTICA_MENS_208004155_NSS_1.jpg","Ver imagen")</f>
        <v/>
      </c>
      <c r="P2682">
        <f>HYPERLINK("imagenes/NAUTICA_MENS_208004155_NSS_2.jpg","Ver imagen")</f>
        <v/>
      </c>
      <c r="Q2682">
        <f>HYPERLINK("imagenes/NAUTICA_MENS_208004155_NSS_3.jpg","Ver imagen")</f>
        <v/>
      </c>
    </row>
    <row r="2683">
      <c r="A2683" t="inlineStr">
        <is>
          <t>NAUTICA MENS</t>
        </is>
      </c>
      <c r="B2683" t="inlineStr">
        <is>
          <t>208004155</t>
        </is>
      </c>
      <c r="C2683" t="inlineStr">
        <is>
          <t>HOODED TRANSITIONAL JACKET</t>
        </is>
      </c>
      <c r="D2683" t="inlineStr">
        <is>
          <t>NSS</t>
        </is>
      </c>
      <c r="E2683" t="inlineStr">
        <is>
          <t>(en blanco)</t>
        </is>
      </c>
      <c r="F2683" t="inlineStr">
        <is>
          <t>(en blanco)</t>
        </is>
      </c>
      <c r="G2683" t="inlineStr">
        <is>
          <t>L</t>
        </is>
      </c>
      <c r="H2683" t="n">
        <v>6</v>
      </c>
      <c r="I2683" t="inlineStr">
        <is>
          <t>NAUTICA_MENS_208004155_NSS_1.jpg</t>
        </is>
      </c>
      <c r="J2683" t="inlineStr">
        <is>
          <t>NAUTICA_MENS_208004155_NSS_2.jpg</t>
        </is>
      </c>
      <c r="K2683" t="inlineStr">
        <is>
          <t>NAUTICA_MENS_208004155_NSS_3.jpg</t>
        </is>
      </c>
      <c r="L2683">
        <f>IMAGE("file:///E:/Estudios%20y%20certificaciones/ESTUDIOS%20DE%20PROGRAMMING/PROGRAMMING/PERSONAL/PYTHON/Image_Generator_API/imagenes/NAUTICA_MENS_208004155_NSS_1.jpg")</f>
        <v/>
      </c>
      <c r="M2683">
        <f>IMAGE("file:///E:/Estudios%20y%20certificaciones/ESTUDIOS%20DE%20PROGRAMMING/PROGRAMMING/PERSONAL/PYTHON/Image_Generator_API/imagenes/NAUTICA_MENS_208004155_NSS_2.jpg")</f>
        <v/>
      </c>
      <c r="N2683">
        <f>IMAGE("file:///E:/Estudios%20y%20certificaciones/ESTUDIOS%20DE%20PROGRAMMING/PROGRAMMING/PERSONAL/PYTHON/Image_Generator_API/imagenes/NAUTICA_MENS_208004155_NSS_3.jpg")</f>
        <v/>
      </c>
      <c r="O2683">
        <f>HYPERLINK("imagenes/NAUTICA_MENS_208004155_NSS_1.jpg","Ver imagen")</f>
        <v/>
      </c>
      <c r="P2683">
        <f>HYPERLINK("imagenes/NAUTICA_MENS_208004155_NSS_2.jpg","Ver imagen")</f>
        <v/>
      </c>
      <c r="Q2683">
        <f>HYPERLINK("imagenes/NAUTICA_MENS_208004155_NSS_3.jpg","Ver imagen")</f>
        <v/>
      </c>
    </row>
    <row r="2684">
      <c r="A2684" t="inlineStr">
        <is>
          <t>NAUTICA MENS</t>
        </is>
      </c>
      <c r="B2684" t="inlineStr">
        <is>
          <t>208004155</t>
        </is>
      </c>
      <c r="C2684" t="inlineStr">
        <is>
          <t>HOODED TRANSITIONAL JACKET</t>
        </is>
      </c>
      <c r="D2684" t="inlineStr">
        <is>
          <t>NSS</t>
        </is>
      </c>
      <c r="E2684" t="inlineStr">
        <is>
          <t>(en blanco)</t>
        </is>
      </c>
      <c r="F2684" t="inlineStr">
        <is>
          <t>(en blanco)</t>
        </is>
      </c>
      <c r="G2684" t="inlineStr">
        <is>
          <t>XL</t>
        </is>
      </c>
      <c r="H2684" t="n">
        <v>9</v>
      </c>
      <c r="I2684" t="inlineStr">
        <is>
          <t>NAUTICA_MENS_208004155_NSS_1.jpg</t>
        </is>
      </c>
      <c r="J2684" t="inlineStr">
        <is>
          <t>NAUTICA_MENS_208004155_NSS_2.jpg</t>
        </is>
      </c>
      <c r="K2684" t="inlineStr">
        <is>
          <t>NAUTICA_MENS_208004155_NSS_3.jpg</t>
        </is>
      </c>
      <c r="L2684">
        <f>IMAGE("file:///E:/Estudios%20y%20certificaciones/ESTUDIOS%20DE%20PROGRAMMING/PROGRAMMING/PERSONAL/PYTHON/Image_Generator_API/imagenes/NAUTICA_MENS_208004155_NSS_1.jpg")</f>
        <v/>
      </c>
      <c r="M2684">
        <f>IMAGE("file:///E:/Estudios%20y%20certificaciones/ESTUDIOS%20DE%20PROGRAMMING/PROGRAMMING/PERSONAL/PYTHON/Image_Generator_API/imagenes/NAUTICA_MENS_208004155_NSS_2.jpg")</f>
        <v/>
      </c>
      <c r="N2684">
        <f>IMAGE("file:///E:/Estudios%20y%20certificaciones/ESTUDIOS%20DE%20PROGRAMMING/PROGRAMMING/PERSONAL/PYTHON/Image_Generator_API/imagenes/NAUTICA_MENS_208004155_NSS_3.jpg")</f>
        <v/>
      </c>
      <c r="O2684">
        <f>HYPERLINK("imagenes/NAUTICA_MENS_208004155_NSS_1.jpg","Ver imagen")</f>
        <v/>
      </c>
      <c r="P2684">
        <f>HYPERLINK("imagenes/NAUTICA_MENS_208004155_NSS_2.jpg","Ver imagen")</f>
        <v/>
      </c>
      <c r="Q2684">
        <f>HYPERLINK("imagenes/NAUTICA_MENS_208004155_NSS_3.jpg","Ver imagen")</f>
        <v/>
      </c>
    </row>
    <row r="2685">
      <c r="A2685" t="inlineStr">
        <is>
          <t>NAUTICA MENS</t>
        </is>
      </c>
      <c r="B2685" t="inlineStr">
        <is>
          <t>208004155</t>
        </is>
      </c>
      <c r="C2685" t="inlineStr">
        <is>
          <t>HOODED TRANSITIONAL JACKET</t>
        </is>
      </c>
      <c r="D2685" t="inlineStr">
        <is>
          <t>NSS</t>
        </is>
      </c>
      <c r="E2685" t="inlineStr">
        <is>
          <t>(en blanco)</t>
        </is>
      </c>
      <c r="F2685" t="inlineStr">
        <is>
          <t>(en blanco)</t>
        </is>
      </c>
      <c r="G2685" t="inlineStr">
        <is>
          <t>XXL</t>
        </is>
      </c>
      <c r="H2685" t="n">
        <v>12</v>
      </c>
      <c r="I2685" t="inlineStr">
        <is>
          <t>NAUTICA_MENS_208004155_NSS_1.jpg</t>
        </is>
      </c>
      <c r="J2685" t="inlineStr">
        <is>
          <t>NAUTICA_MENS_208004155_NSS_2.jpg</t>
        </is>
      </c>
      <c r="K2685" t="inlineStr">
        <is>
          <t>NAUTICA_MENS_208004155_NSS_3.jpg</t>
        </is>
      </c>
      <c r="L2685">
        <f>IMAGE("file:///E:/Estudios%20y%20certificaciones/ESTUDIOS%20DE%20PROGRAMMING/PROGRAMMING/PERSONAL/PYTHON/Image_Generator_API/imagenes/NAUTICA_MENS_208004155_NSS_1.jpg")</f>
        <v/>
      </c>
      <c r="M2685">
        <f>IMAGE("file:///E:/Estudios%20y%20certificaciones/ESTUDIOS%20DE%20PROGRAMMING/PROGRAMMING/PERSONAL/PYTHON/Image_Generator_API/imagenes/NAUTICA_MENS_208004155_NSS_2.jpg")</f>
        <v/>
      </c>
      <c r="N2685">
        <f>IMAGE("file:///E:/Estudios%20y%20certificaciones/ESTUDIOS%20DE%20PROGRAMMING/PROGRAMMING/PERSONAL/PYTHON/Image_Generator_API/imagenes/NAUTICA_MENS_208004155_NSS_3.jpg")</f>
        <v/>
      </c>
      <c r="O2685">
        <f>HYPERLINK("imagenes/NAUTICA_MENS_208004155_NSS_1.jpg","Ver imagen")</f>
        <v/>
      </c>
      <c r="P2685">
        <f>HYPERLINK("imagenes/NAUTICA_MENS_208004155_NSS_2.jpg","Ver imagen")</f>
        <v/>
      </c>
      <c r="Q2685">
        <f>HYPERLINK("imagenes/NAUTICA_MENS_208004155_NSS_3.jpg","Ver imagen")</f>
        <v/>
      </c>
    </row>
    <row r="2686">
      <c r="A2686" t="inlineStr">
        <is>
          <t>NAUTICA MENS</t>
        </is>
      </c>
      <c r="B2686" t="inlineStr">
        <is>
          <t>208004155</t>
        </is>
      </c>
      <c r="C2686" t="inlineStr">
        <is>
          <t>HOODED TRANSITIONAL JACKET</t>
        </is>
      </c>
      <c r="D2686" t="inlineStr">
        <is>
          <t>NVY</t>
        </is>
      </c>
      <c r="E2686" t="inlineStr">
        <is>
          <t>(en blanco)</t>
        </is>
      </c>
      <c r="F2686" t="inlineStr">
        <is>
          <t>D2C</t>
        </is>
      </c>
      <c r="G2686" t="inlineStr">
        <is>
          <t>S</t>
        </is>
      </c>
      <c r="H2686" t="n">
        <v>1</v>
      </c>
      <c r="I2686" t="inlineStr">
        <is>
          <t>NAUTICA_MENS_208004155_NVY_1.jpg</t>
        </is>
      </c>
      <c r="J2686" t="inlineStr">
        <is>
          <t>NAUTICA_MENS_208004155_NVY_2.jpg</t>
        </is>
      </c>
      <c r="K2686" t="inlineStr">
        <is>
          <t>NAUTICA_MENS_208004155_NVY_3.jpg</t>
        </is>
      </c>
      <c r="L2686">
        <f>IMAGE("file:///E:/Estudios%20y%20certificaciones/ESTUDIOS%20DE%20PROGRAMMING/PROGRAMMING/PERSONAL/PYTHON/Image_Generator_API/imagenes/NAUTICA_MENS_208004155_NVY_1.jpg")</f>
        <v/>
      </c>
      <c r="M2686">
        <f>IMAGE("file:///E:/Estudios%20y%20certificaciones/ESTUDIOS%20DE%20PROGRAMMING/PROGRAMMING/PERSONAL/PYTHON/Image_Generator_API/imagenes/NAUTICA_MENS_208004155_NVY_2.jpg")</f>
        <v/>
      </c>
      <c r="N2686">
        <f>IMAGE("file:///E:/Estudios%20y%20certificaciones/ESTUDIOS%20DE%20PROGRAMMING/PROGRAMMING/PERSONAL/PYTHON/Image_Generator_API/imagenes/NAUTICA_MENS_208004155_NVY_3.jpg")</f>
        <v/>
      </c>
      <c r="O2686">
        <f>HYPERLINK("imagenes/NAUTICA_MENS_208004155_NVY_1.jpg","Ver imagen")</f>
        <v/>
      </c>
      <c r="P2686">
        <f>HYPERLINK("imagenes/NAUTICA_MENS_208004155_NVY_2.jpg","Ver imagen")</f>
        <v/>
      </c>
      <c r="Q2686">
        <f>HYPERLINK("imagenes/NAUTICA_MENS_208004155_NVY_3.jpg","Ver imagen")</f>
        <v/>
      </c>
    </row>
    <row r="2687">
      <c r="A2687" t="inlineStr">
        <is>
          <t>NAUTICA MENS</t>
        </is>
      </c>
      <c r="B2687" t="inlineStr">
        <is>
          <t>208004155</t>
        </is>
      </c>
      <c r="C2687" t="inlineStr">
        <is>
          <t>HOODED TRANSITIONAL JACKET</t>
        </is>
      </c>
      <c r="D2687" t="inlineStr">
        <is>
          <t>NVY</t>
        </is>
      </c>
      <c r="E2687" t="inlineStr">
        <is>
          <t>(en blanco)</t>
        </is>
      </c>
      <c r="F2687" t="inlineStr">
        <is>
          <t>D2C</t>
        </is>
      </c>
      <c r="G2687" t="inlineStr">
        <is>
          <t>M</t>
        </is>
      </c>
      <c r="H2687" t="n">
        <v>1</v>
      </c>
      <c r="I2687" t="inlineStr">
        <is>
          <t>NAUTICA_MENS_208004155_NVY_1.jpg</t>
        </is>
      </c>
      <c r="J2687" t="inlineStr">
        <is>
          <t>NAUTICA_MENS_208004155_NVY_2.jpg</t>
        </is>
      </c>
      <c r="K2687" t="inlineStr">
        <is>
          <t>NAUTICA_MENS_208004155_NVY_3.jpg</t>
        </is>
      </c>
      <c r="L2687">
        <f>IMAGE("file:///E:/Estudios%20y%20certificaciones/ESTUDIOS%20DE%20PROGRAMMING/PROGRAMMING/PERSONAL/PYTHON/Image_Generator_API/imagenes/NAUTICA_MENS_208004155_NVY_1.jpg")</f>
        <v/>
      </c>
      <c r="M2687">
        <f>IMAGE("file:///E:/Estudios%20y%20certificaciones/ESTUDIOS%20DE%20PROGRAMMING/PROGRAMMING/PERSONAL/PYTHON/Image_Generator_API/imagenes/NAUTICA_MENS_208004155_NVY_2.jpg")</f>
        <v/>
      </c>
      <c r="N2687">
        <f>IMAGE("file:///E:/Estudios%20y%20certificaciones/ESTUDIOS%20DE%20PROGRAMMING/PROGRAMMING/PERSONAL/PYTHON/Image_Generator_API/imagenes/NAUTICA_MENS_208004155_NVY_3.jpg")</f>
        <v/>
      </c>
      <c r="O2687">
        <f>HYPERLINK("imagenes/NAUTICA_MENS_208004155_NVY_1.jpg","Ver imagen")</f>
        <v/>
      </c>
      <c r="P2687">
        <f>HYPERLINK("imagenes/NAUTICA_MENS_208004155_NVY_2.jpg","Ver imagen")</f>
        <v/>
      </c>
      <c r="Q2687">
        <f>HYPERLINK("imagenes/NAUTICA_MENS_208004155_NVY_3.jpg","Ver imagen")</f>
        <v/>
      </c>
    </row>
    <row r="2688">
      <c r="A2688" t="inlineStr">
        <is>
          <t>NAUTICA MENS</t>
        </is>
      </c>
      <c r="B2688" t="inlineStr">
        <is>
          <t>208004155</t>
        </is>
      </c>
      <c r="C2688" t="inlineStr">
        <is>
          <t>HOODED TRANSITIONAL JACKET</t>
        </is>
      </c>
      <c r="D2688" t="inlineStr">
        <is>
          <t>NVY</t>
        </is>
      </c>
      <c r="E2688" t="inlineStr">
        <is>
          <t>(en blanco)</t>
        </is>
      </c>
      <c r="F2688" t="inlineStr">
        <is>
          <t>D2C</t>
        </is>
      </c>
      <c r="G2688" t="inlineStr">
        <is>
          <t>L</t>
        </is>
      </c>
      <c r="H2688" t="n">
        <v>1</v>
      </c>
      <c r="I2688" t="inlineStr">
        <is>
          <t>NAUTICA_MENS_208004155_NVY_1.jpg</t>
        </is>
      </c>
      <c r="J2688" t="inlineStr">
        <is>
          <t>NAUTICA_MENS_208004155_NVY_2.jpg</t>
        </is>
      </c>
      <c r="K2688" t="inlineStr">
        <is>
          <t>NAUTICA_MENS_208004155_NVY_3.jpg</t>
        </is>
      </c>
      <c r="L2688">
        <f>IMAGE("file:///E:/Estudios%20y%20certificaciones/ESTUDIOS%20DE%20PROGRAMMING/PROGRAMMING/PERSONAL/PYTHON/Image_Generator_API/imagenes/NAUTICA_MENS_208004155_NVY_1.jpg")</f>
        <v/>
      </c>
      <c r="M2688">
        <f>IMAGE("file:///E:/Estudios%20y%20certificaciones/ESTUDIOS%20DE%20PROGRAMMING/PROGRAMMING/PERSONAL/PYTHON/Image_Generator_API/imagenes/NAUTICA_MENS_208004155_NVY_2.jpg")</f>
        <v/>
      </c>
      <c r="N2688">
        <f>IMAGE("file:///E:/Estudios%20y%20certificaciones/ESTUDIOS%20DE%20PROGRAMMING/PROGRAMMING/PERSONAL/PYTHON/Image_Generator_API/imagenes/NAUTICA_MENS_208004155_NVY_3.jpg")</f>
        <v/>
      </c>
      <c r="O2688">
        <f>HYPERLINK("imagenes/NAUTICA_MENS_208004155_NVY_1.jpg","Ver imagen")</f>
        <v/>
      </c>
      <c r="P2688">
        <f>HYPERLINK("imagenes/NAUTICA_MENS_208004155_NVY_2.jpg","Ver imagen")</f>
        <v/>
      </c>
      <c r="Q2688">
        <f>HYPERLINK("imagenes/NAUTICA_MENS_208004155_NVY_3.jpg","Ver imagen")</f>
        <v/>
      </c>
    </row>
    <row r="2689">
      <c r="A2689" t="inlineStr">
        <is>
          <t>NAUTICA MENS</t>
        </is>
      </c>
      <c r="B2689" t="inlineStr">
        <is>
          <t>208004155</t>
        </is>
      </c>
      <c r="C2689" t="inlineStr">
        <is>
          <t>HOODED TRANSITIONAL JACKET</t>
        </is>
      </c>
      <c r="D2689" t="inlineStr">
        <is>
          <t>NVY</t>
        </is>
      </c>
      <c r="E2689" t="inlineStr">
        <is>
          <t>(en blanco)</t>
        </is>
      </c>
      <c r="F2689" t="inlineStr">
        <is>
          <t>D2C</t>
        </is>
      </c>
      <c r="G2689" t="inlineStr">
        <is>
          <t>XL</t>
        </is>
      </c>
      <c r="H2689" t="n">
        <v>0</v>
      </c>
      <c r="I2689" t="inlineStr">
        <is>
          <t>NAUTICA_MENS_208004155_NVY_1.jpg</t>
        </is>
      </c>
      <c r="J2689" t="inlineStr">
        <is>
          <t>NAUTICA_MENS_208004155_NVY_2.jpg</t>
        </is>
      </c>
      <c r="K2689" t="inlineStr">
        <is>
          <t>NAUTICA_MENS_208004155_NVY_3.jpg</t>
        </is>
      </c>
      <c r="L2689">
        <f>IMAGE("file:///E:/Estudios%20y%20certificaciones/ESTUDIOS%20DE%20PROGRAMMING/PROGRAMMING/PERSONAL/PYTHON/Image_Generator_API/imagenes/NAUTICA_MENS_208004155_NVY_1.jpg")</f>
        <v/>
      </c>
      <c r="M2689">
        <f>IMAGE("file:///E:/Estudios%20y%20certificaciones/ESTUDIOS%20DE%20PROGRAMMING/PROGRAMMING/PERSONAL/PYTHON/Image_Generator_API/imagenes/NAUTICA_MENS_208004155_NVY_2.jpg")</f>
        <v/>
      </c>
      <c r="N2689">
        <f>IMAGE("file:///E:/Estudios%20y%20certificaciones/ESTUDIOS%20DE%20PROGRAMMING/PROGRAMMING/PERSONAL/PYTHON/Image_Generator_API/imagenes/NAUTICA_MENS_208004155_NVY_3.jpg")</f>
        <v/>
      </c>
      <c r="O2689">
        <f>HYPERLINK("imagenes/NAUTICA_MENS_208004155_NVY_1.jpg","Ver imagen")</f>
        <v/>
      </c>
      <c r="P2689">
        <f>HYPERLINK("imagenes/NAUTICA_MENS_208004155_NVY_2.jpg","Ver imagen")</f>
        <v/>
      </c>
      <c r="Q2689">
        <f>HYPERLINK("imagenes/NAUTICA_MENS_208004155_NVY_3.jpg","Ver imagen")</f>
        <v/>
      </c>
    </row>
    <row r="2690">
      <c r="A2690" t="inlineStr">
        <is>
          <t>NAUTICA MENS</t>
        </is>
      </c>
      <c r="B2690" t="inlineStr">
        <is>
          <t>208004155</t>
        </is>
      </c>
      <c r="C2690" t="inlineStr">
        <is>
          <t>HOODED TRANSITIONAL JACKET</t>
        </is>
      </c>
      <c r="D2690" t="inlineStr">
        <is>
          <t>NVY</t>
        </is>
      </c>
      <c r="E2690" t="inlineStr">
        <is>
          <t>(en blanco)</t>
        </is>
      </c>
      <c r="F2690" t="inlineStr">
        <is>
          <t>D2C</t>
        </is>
      </c>
      <c r="G2690" t="inlineStr">
        <is>
          <t>XXL</t>
        </is>
      </c>
      <c r="H2690" t="n">
        <v>0</v>
      </c>
      <c r="I2690" t="inlineStr">
        <is>
          <t>NAUTICA_MENS_208004155_NVY_1.jpg</t>
        </is>
      </c>
      <c r="J2690" t="inlineStr">
        <is>
          <t>NAUTICA_MENS_208004155_NVY_2.jpg</t>
        </is>
      </c>
      <c r="K2690" t="inlineStr">
        <is>
          <t>NAUTICA_MENS_208004155_NVY_3.jpg</t>
        </is>
      </c>
      <c r="L2690">
        <f>IMAGE("file:///E:/Estudios%20y%20certificaciones/ESTUDIOS%20DE%20PROGRAMMING/PROGRAMMING/PERSONAL/PYTHON/Image_Generator_API/imagenes/NAUTICA_MENS_208004155_NVY_1.jpg")</f>
        <v/>
      </c>
      <c r="M2690">
        <f>IMAGE("file:///E:/Estudios%20y%20certificaciones/ESTUDIOS%20DE%20PROGRAMMING/PROGRAMMING/PERSONAL/PYTHON/Image_Generator_API/imagenes/NAUTICA_MENS_208004155_NVY_2.jpg")</f>
        <v/>
      </c>
      <c r="N2690">
        <f>IMAGE("file:///E:/Estudios%20y%20certificaciones/ESTUDIOS%20DE%20PROGRAMMING/PROGRAMMING/PERSONAL/PYTHON/Image_Generator_API/imagenes/NAUTICA_MENS_208004155_NVY_3.jpg")</f>
        <v/>
      </c>
      <c r="O2690">
        <f>HYPERLINK("imagenes/NAUTICA_MENS_208004155_NVY_1.jpg","Ver imagen")</f>
        <v/>
      </c>
      <c r="P2690">
        <f>HYPERLINK("imagenes/NAUTICA_MENS_208004155_NVY_2.jpg","Ver imagen")</f>
        <v/>
      </c>
      <c r="Q2690">
        <f>HYPERLINK("imagenes/NAUTICA_MENS_208004155_NVY_3.jpg","Ver imagen")</f>
        <v/>
      </c>
    </row>
    <row r="2691">
      <c r="A2691" t="inlineStr">
        <is>
          <t>NAUTICA MENS</t>
        </is>
      </c>
      <c r="B2691" t="inlineStr">
        <is>
          <t>208004155</t>
        </is>
      </c>
      <c r="C2691" t="inlineStr">
        <is>
          <t>HOODED TRANSITIONAL JACKET</t>
        </is>
      </c>
      <c r="D2691" t="inlineStr">
        <is>
          <t>NVY</t>
        </is>
      </c>
      <c r="E2691" t="inlineStr">
        <is>
          <t>(en blanco)</t>
        </is>
      </c>
      <c r="F2691" t="inlineStr">
        <is>
          <t>(en blanco)</t>
        </is>
      </c>
      <c r="G2691" t="inlineStr">
        <is>
          <t>S</t>
        </is>
      </c>
      <c r="H2691" t="n">
        <v>0</v>
      </c>
      <c r="I2691" t="inlineStr">
        <is>
          <t>NAUTICA_MENS_208004155_NVY_1.jpg</t>
        </is>
      </c>
      <c r="J2691" t="inlineStr">
        <is>
          <t>NAUTICA_MENS_208004155_NVY_2.jpg</t>
        </is>
      </c>
      <c r="K2691" t="inlineStr">
        <is>
          <t>NAUTICA_MENS_208004155_NVY_3.jpg</t>
        </is>
      </c>
      <c r="L2691">
        <f>IMAGE("file:///E:/Estudios%20y%20certificaciones/ESTUDIOS%20DE%20PROGRAMMING/PROGRAMMING/PERSONAL/PYTHON/Image_Generator_API/imagenes/NAUTICA_MENS_208004155_NVY_1.jpg")</f>
        <v/>
      </c>
      <c r="M2691">
        <f>IMAGE("file:///E:/Estudios%20y%20certificaciones/ESTUDIOS%20DE%20PROGRAMMING/PROGRAMMING/PERSONAL/PYTHON/Image_Generator_API/imagenes/NAUTICA_MENS_208004155_NVY_2.jpg")</f>
        <v/>
      </c>
      <c r="N2691">
        <f>IMAGE("file:///E:/Estudios%20y%20certificaciones/ESTUDIOS%20DE%20PROGRAMMING/PROGRAMMING/PERSONAL/PYTHON/Image_Generator_API/imagenes/NAUTICA_MENS_208004155_NVY_3.jpg")</f>
        <v/>
      </c>
      <c r="O2691">
        <f>HYPERLINK("imagenes/NAUTICA_MENS_208004155_NVY_1.jpg","Ver imagen")</f>
        <v/>
      </c>
      <c r="P2691">
        <f>HYPERLINK("imagenes/NAUTICA_MENS_208004155_NVY_2.jpg","Ver imagen")</f>
        <v/>
      </c>
      <c r="Q2691">
        <f>HYPERLINK("imagenes/NAUTICA_MENS_208004155_NVY_3.jpg","Ver imagen")</f>
        <v/>
      </c>
    </row>
    <row r="2692">
      <c r="A2692" t="inlineStr">
        <is>
          <t>NAUTICA MENS</t>
        </is>
      </c>
      <c r="B2692" t="inlineStr">
        <is>
          <t>208004155</t>
        </is>
      </c>
      <c r="C2692" t="inlineStr">
        <is>
          <t>HOODED TRANSITIONAL JACKET</t>
        </is>
      </c>
      <c r="D2692" t="inlineStr">
        <is>
          <t>NVY</t>
        </is>
      </c>
      <c r="E2692" t="inlineStr">
        <is>
          <t>(en blanco)</t>
        </is>
      </c>
      <c r="F2692" t="inlineStr">
        <is>
          <t>(en blanco)</t>
        </is>
      </c>
      <c r="G2692" t="inlineStr">
        <is>
          <t>M</t>
        </is>
      </c>
      <c r="H2692" t="n">
        <v>0</v>
      </c>
      <c r="I2692" t="inlineStr">
        <is>
          <t>NAUTICA_MENS_208004155_NVY_1.jpg</t>
        </is>
      </c>
      <c r="J2692" t="inlineStr">
        <is>
          <t>NAUTICA_MENS_208004155_NVY_2.jpg</t>
        </is>
      </c>
      <c r="K2692" t="inlineStr">
        <is>
          <t>NAUTICA_MENS_208004155_NVY_3.jpg</t>
        </is>
      </c>
      <c r="L2692">
        <f>IMAGE("file:///E:/Estudios%20y%20certificaciones/ESTUDIOS%20DE%20PROGRAMMING/PROGRAMMING/PERSONAL/PYTHON/Image_Generator_API/imagenes/NAUTICA_MENS_208004155_NVY_1.jpg")</f>
        <v/>
      </c>
      <c r="M2692">
        <f>IMAGE("file:///E:/Estudios%20y%20certificaciones/ESTUDIOS%20DE%20PROGRAMMING/PROGRAMMING/PERSONAL/PYTHON/Image_Generator_API/imagenes/NAUTICA_MENS_208004155_NVY_2.jpg")</f>
        <v/>
      </c>
      <c r="N2692">
        <f>IMAGE("file:///E:/Estudios%20y%20certificaciones/ESTUDIOS%20DE%20PROGRAMMING/PROGRAMMING/PERSONAL/PYTHON/Image_Generator_API/imagenes/NAUTICA_MENS_208004155_NVY_3.jpg")</f>
        <v/>
      </c>
      <c r="O2692">
        <f>HYPERLINK("imagenes/NAUTICA_MENS_208004155_NVY_1.jpg","Ver imagen")</f>
        <v/>
      </c>
      <c r="P2692">
        <f>HYPERLINK("imagenes/NAUTICA_MENS_208004155_NVY_2.jpg","Ver imagen")</f>
        <v/>
      </c>
      <c r="Q2692">
        <f>HYPERLINK("imagenes/NAUTICA_MENS_208004155_NVY_3.jpg","Ver imagen")</f>
        <v/>
      </c>
    </row>
    <row r="2693">
      <c r="A2693" t="inlineStr">
        <is>
          <t>NAUTICA MENS</t>
        </is>
      </c>
      <c r="B2693" t="inlineStr">
        <is>
          <t>208004155</t>
        </is>
      </c>
      <c r="C2693" t="inlineStr">
        <is>
          <t>HOODED TRANSITIONAL JACKET</t>
        </is>
      </c>
      <c r="D2693" t="inlineStr">
        <is>
          <t>NVY</t>
        </is>
      </c>
      <c r="E2693" t="inlineStr">
        <is>
          <t>(en blanco)</t>
        </is>
      </c>
      <c r="F2693" t="inlineStr">
        <is>
          <t>(en blanco)</t>
        </is>
      </c>
      <c r="G2693" t="inlineStr">
        <is>
          <t>L</t>
        </is>
      </c>
      <c r="H2693" t="n">
        <v>1</v>
      </c>
      <c r="I2693" t="inlineStr">
        <is>
          <t>NAUTICA_MENS_208004155_NVY_1.jpg</t>
        </is>
      </c>
      <c r="J2693" t="inlineStr">
        <is>
          <t>NAUTICA_MENS_208004155_NVY_2.jpg</t>
        </is>
      </c>
      <c r="K2693" t="inlineStr">
        <is>
          <t>NAUTICA_MENS_208004155_NVY_3.jpg</t>
        </is>
      </c>
      <c r="L2693">
        <f>IMAGE("file:///E:/Estudios%20y%20certificaciones/ESTUDIOS%20DE%20PROGRAMMING/PROGRAMMING/PERSONAL/PYTHON/Image_Generator_API/imagenes/NAUTICA_MENS_208004155_NVY_1.jpg")</f>
        <v/>
      </c>
      <c r="M2693">
        <f>IMAGE("file:///E:/Estudios%20y%20certificaciones/ESTUDIOS%20DE%20PROGRAMMING/PROGRAMMING/PERSONAL/PYTHON/Image_Generator_API/imagenes/NAUTICA_MENS_208004155_NVY_2.jpg")</f>
        <v/>
      </c>
      <c r="N2693">
        <f>IMAGE("file:///E:/Estudios%20y%20certificaciones/ESTUDIOS%20DE%20PROGRAMMING/PROGRAMMING/PERSONAL/PYTHON/Image_Generator_API/imagenes/NAUTICA_MENS_208004155_NVY_3.jpg")</f>
        <v/>
      </c>
      <c r="O2693">
        <f>HYPERLINK("imagenes/NAUTICA_MENS_208004155_NVY_1.jpg","Ver imagen")</f>
        <v/>
      </c>
      <c r="P2693">
        <f>HYPERLINK("imagenes/NAUTICA_MENS_208004155_NVY_2.jpg","Ver imagen")</f>
        <v/>
      </c>
      <c r="Q2693">
        <f>HYPERLINK("imagenes/NAUTICA_MENS_208004155_NVY_3.jpg","Ver imagen")</f>
        <v/>
      </c>
    </row>
    <row r="2694">
      <c r="A2694" t="inlineStr">
        <is>
          <t>NAUTICA MENS</t>
        </is>
      </c>
      <c r="B2694" t="inlineStr">
        <is>
          <t>208004155</t>
        </is>
      </c>
      <c r="C2694" t="inlineStr">
        <is>
          <t>HOODED TRANSITIONAL JACKET</t>
        </is>
      </c>
      <c r="D2694" t="inlineStr">
        <is>
          <t>NVY</t>
        </is>
      </c>
      <c r="E2694" t="inlineStr">
        <is>
          <t>(en blanco)</t>
        </is>
      </c>
      <c r="F2694" t="inlineStr">
        <is>
          <t>(en blanco)</t>
        </is>
      </c>
      <c r="G2694" t="inlineStr">
        <is>
          <t>XL</t>
        </is>
      </c>
      <c r="H2694" t="n">
        <v>0</v>
      </c>
      <c r="I2694" t="inlineStr">
        <is>
          <t>NAUTICA_MENS_208004155_NVY_1.jpg</t>
        </is>
      </c>
      <c r="J2694" t="inlineStr">
        <is>
          <t>NAUTICA_MENS_208004155_NVY_2.jpg</t>
        </is>
      </c>
      <c r="K2694" t="inlineStr">
        <is>
          <t>NAUTICA_MENS_208004155_NVY_3.jpg</t>
        </is>
      </c>
      <c r="L2694">
        <f>IMAGE("file:///E:/Estudios%20y%20certificaciones/ESTUDIOS%20DE%20PROGRAMMING/PROGRAMMING/PERSONAL/PYTHON/Image_Generator_API/imagenes/NAUTICA_MENS_208004155_NVY_1.jpg")</f>
        <v/>
      </c>
      <c r="M2694">
        <f>IMAGE("file:///E:/Estudios%20y%20certificaciones/ESTUDIOS%20DE%20PROGRAMMING/PROGRAMMING/PERSONAL/PYTHON/Image_Generator_API/imagenes/NAUTICA_MENS_208004155_NVY_2.jpg")</f>
        <v/>
      </c>
      <c r="N2694">
        <f>IMAGE("file:///E:/Estudios%20y%20certificaciones/ESTUDIOS%20DE%20PROGRAMMING/PROGRAMMING/PERSONAL/PYTHON/Image_Generator_API/imagenes/NAUTICA_MENS_208004155_NVY_3.jpg")</f>
        <v/>
      </c>
      <c r="O2694">
        <f>HYPERLINK("imagenes/NAUTICA_MENS_208004155_NVY_1.jpg","Ver imagen")</f>
        <v/>
      </c>
      <c r="P2694">
        <f>HYPERLINK("imagenes/NAUTICA_MENS_208004155_NVY_2.jpg","Ver imagen")</f>
        <v/>
      </c>
      <c r="Q2694">
        <f>HYPERLINK("imagenes/NAUTICA_MENS_208004155_NVY_3.jpg","Ver imagen")</f>
        <v/>
      </c>
    </row>
    <row r="2695">
      <c r="A2695" t="inlineStr">
        <is>
          <t>NAUTICA MENS</t>
        </is>
      </c>
      <c r="B2695" t="inlineStr">
        <is>
          <t>208004155</t>
        </is>
      </c>
      <c r="C2695" t="inlineStr">
        <is>
          <t>HOODED TRANSITIONAL JACKET</t>
        </is>
      </c>
      <c r="D2695" t="inlineStr">
        <is>
          <t>NVY</t>
        </is>
      </c>
      <c r="E2695" t="inlineStr">
        <is>
          <t>(en blanco)</t>
        </is>
      </c>
      <c r="F2695" t="inlineStr">
        <is>
          <t>(en blanco)</t>
        </is>
      </c>
      <c r="G2695" t="inlineStr">
        <is>
          <t>XXL</t>
        </is>
      </c>
      <c r="H2695" t="n">
        <v>0</v>
      </c>
      <c r="I2695" t="inlineStr">
        <is>
          <t>NAUTICA_MENS_208004155_NVY_1.jpg</t>
        </is>
      </c>
      <c r="J2695" t="inlineStr">
        <is>
          <t>NAUTICA_MENS_208004155_NVY_2.jpg</t>
        </is>
      </c>
      <c r="K2695" t="inlineStr">
        <is>
          <t>NAUTICA_MENS_208004155_NVY_3.jpg</t>
        </is>
      </c>
      <c r="L2695">
        <f>IMAGE("file:///E:/Estudios%20y%20certificaciones/ESTUDIOS%20DE%20PROGRAMMING/PROGRAMMING/PERSONAL/PYTHON/Image_Generator_API/imagenes/NAUTICA_MENS_208004155_NVY_1.jpg")</f>
        <v/>
      </c>
      <c r="M2695">
        <f>IMAGE("file:///E:/Estudios%20y%20certificaciones/ESTUDIOS%20DE%20PROGRAMMING/PROGRAMMING/PERSONAL/PYTHON/Image_Generator_API/imagenes/NAUTICA_MENS_208004155_NVY_2.jpg")</f>
        <v/>
      </c>
      <c r="N2695">
        <f>IMAGE("file:///E:/Estudios%20y%20certificaciones/ESTUDIOS%20DE%20PROGRAMMING/PROGRAMMING/PERSONAL/PYTHON/Image_Generator_API/imagenes/NAUTICA_MENS_208004155_NVY_3.jpg")</f>
        <v/>
      </c>
      <c r="O2695">
        <f>HYPERLINK("imagenes/NAUTICA_MENS_208004155_NVY_1.jpg","Ver imagen")</f>
        <v/>
      </c>
      <c r="P2695">
        <f>HYPERLINK("imagenes/NAUTICA_MENS_208004155_NVY_2.jpg","Ver imagen")</f>
        <v/>
      </c>
      <c r="Q2695">
        <f>HYPERLINK("imagenes/NAUTICA_MENS_208004155_NVY_3.jpg","Ver imagen")</f>
        <v/>
      </c>
    </row>
    <row r="2696">
      <c r="A2696" t="inlineStr">
        <is>
          <t>NAUTICA MENS</t>
        </is>
      </c>
      <c r="B2696" t="inlineStr">
        <is>
          <t>208004158</t>
        </is>
      </c>
      <c r="C2696" t="inlineStr">
        <is>
          <t>QUILTED MID WEIGHT STRETCH JACKET</t>
        </is>
      </c>
      <c r="D2696" t="inlineStr">
        <is>
          <t>BGI</t>
        </is>
      </c>
      <c r="E2696" t="inlineStr">
        <is>
          <t>12A08</t>
        </is>
      </c>
      <c r="F2696" t="inlineStr">
        <is>
          <t>M2360</t>
        </is>
      </c>
      <c r="G2696" t="inlineStr">
        <is>
          <t>PPK</t>
        </is>
      </c>
      <c r="H2696" t="n">
        <v>12</v>
      </c>
      <c r="I2696" t="inlineStr">
        <is>
          <t>NAUTICA_MENS_208004158_BGI_1.jpg</t>
        </is>
      </c>
      <c r="J2696" t="inlineStr">
        <is>
          <t>NAUTICA_MENS_208004158_BGI_2.jpg</t>
        </is>
      </c>
      <c r="K2696" t="inlineStr">
        <is>
          <t>NAUTICA_MENS_208004158_BGI_3.jpg</t>
        </is>
      </c>
      <c r="L2696">
        <f>IMAGE("file:///E:/Estudios%20y%20certificaciones/ESTUDIOS%20DE%20PROGRAMMING/PROGRAMMING/PERSONAL/PYTHON/Image_Generator_API/imagenes/NAUTICA_MENS_208004158_BGI_1.jpg")</f>
        <v/>
      </c>
      <c r="M2696">
        <f>IMAGE("file:///E:/Estudios%20y%20certificaciones/ESTUDIOS%20DE%20PROGRAMMING/PROGRAMMING/PERSONAL/PYTHON/Image_Generator_API/imagenes/NAUTICA_MENS_208004158_BGI_2.jpg")</f>
        <v/>
      </c>
      <c r="N2696">
        <f>IMAGE("file:///E:/Estudios%20y%20certificaciones/ESTUDIOS%20DE%20PROGRAMMING/PROGRAMMING/PERSONAL/PYTHON/Image_Generator_API/imagenes/NAUTICA_MENS_208004158_BGI_3.jpg")</f>
        <v/>
      </c>
      <c r="O2696">
        <f>HYPERLINK("imagenes/NAUTICA_MENS_208004158_BGI_1.jpg","Ver imagen")</f>
        <v/>
      </c>
      <c r="P2696">
        <f>HYPERLINK("imagenes/NAUTICA_MENS_208004158_BGI_2.jpg","Ver imagen")</f>
        <v/>
      </c>
      <c r="Q2696">
        <f>HYPERLINK("imagenes/NAUTICA_MENS_208004158_BGI_3.jpg","Ver imagen")</f>
        <v/>
      </c>
    </row>
    <row r="2697">
      <c r="A2697" t="inlineStr">
        <is>
          <t>NAUTICA MENS</t>
        </is>
      </c>
      <c r="B2697" t="inlineStr">
        <is>
          <t>208004158</t>
        </is>
      </c>
      <c r="C2697" t="inlineStr">
        <is>
          <t>QUILTED MID WEIGHT STRETCH JACKET</t>
        </is>
      </c>
      <c r="D2697" t="inlineStr">
        <is>
          <t>BGI</t>
        </is>
      </c>
      <c r="E2697" t="inlineStr">
        <is>
          <t>12A09</t>
        </is>
      </c>
      <c r="F2697" t="inlineStr">
        <is>
          <t>M2360</t>
        </is>
      </c>
      <c r="G2697" t="inlineStr">
        <is>
          <t>PPK</t>
        </is>
      </c>
      <c r="H2697" t="n">
        <v>0</v>
      </c>
      <c r="I2697" t="inlineStr">
        <is>
          <t>NAUTICA_MENS_208004158_BGI_1.jpg</t>
        </is>
      </c>
      <c r="J2697" t="inlineStr">
        <is>
          <t>NAUTICA_MENS_208004158_BGI_2.jpg</t>
        </is>
      </c>
      <c r="K2697" t="inlineStr">
        <is>
          <t>NAUTICA_MENS_208004158_BGI_3.jpg</t>
        </is>
      </c>
      <c r="L2697">
        <f>IMAGE("file:///E:/Estudios%20y%20certificaciones/ESTUDIOS%20DE%20PROGRAMMING/PROGRAMMING/PERSONAL/PYTHON/Image_Generator_API/imagenes/NAUTICA_MENS_208004158_BGI_1.jpg")</f>
        <v/>
      </c>
      <c r="M2697">
        <f>IMAGE("file:///E:/Estudios%20y%20certificaciones/ESTUDIOS%20DE%20PROGRAMMING/PROGRAMMING/PERSONAL/PYTHON/Image_Generator_API/imagenes/NAUTICA_MENS_208004158_BGI_2.jpg")</f>
        <v/>
      </c>
      <c r="N2697">
        <f>IMAGE("file:///E:/Estudios%20y%20certificaciones/ESTUDIOS%20DE%20PROGRAMMING/PROGRAMMING/PERSONAL/PYTHON/Image_Generator_API/imagenes/NAUTICA_MENS_208004158_BGI_3.jpg")</f>
        <v/>
      </c>
      <c r="O2697">
        <f>HYPERLINK("imagenes/NAUTICA_MENS_208004158_BGI_1.jpg","Ver imagen")</f>
        <v/>
      </c>
      <c r="P2697">
        <f>HYPERLINK("imagenes/NAUTICA_MENS_208004158_BGI_2.jpg","Ver imagen")</f>
        <v/>
      </c>
      <c r="Q2697">
        <f>HYPERLINK("imagenes/NAUTICA_MENS_208004158_BGI_3.jpg","Ver imagen")</f>
        <v/>
      </c>
    </row>
    <row r="2698">
      <c r="A2698" t="inlineStr">
        <is>
          <t>NAUTICA MENS</t>
        </is>
      </c>
      <c r="B2698" t="inlineStr">
        <is>
          <t>208004158</t>
        </is>
      </c>
      <c r="C2698" t="inlineStr">
        <is>
          <t>QUILTED MID WEIGHT STRETCH JACKET</t>
        </is>
      </c>
      <c r="D2698" t="inlineStr">
        <is>
          <t>BGI</t>
        </is>
      </c>
      <c r="E2698" t="inlineStr">
        <is>
          <t>(en blanco)</t>
        </is>
      </c>
      <c r="F2698" t="inlineStr">
        <is>
          <t>D2C</t>
        </is>
      </c>
      <c r="G2698" t="inlineStr">
        <is>
          <t>S</t>
        </is>
      </c>
      <c r="H2698" t="n">
        <v>20</v>
      </c>
      <c r="I2698" t="inlineStr">
        <is>
          <t>NAUTICA_MENS_208004158_BGI_1.jpg</t>
        </is>
      </c>
      <c r="J2698" t="inlineStr">
        <is>
          <t>NAUTICA_MENS_208004158_BGI_2.jpg</t>
        </is>
      </c>
      <c r="K2698" t="inlineStr">
        <is>
          <t>NAUTICA_MENS_208004158_BGI_3.jpg</t>
        </is>
      </c>
      <c r="L2698">
        <f>IMAGE("file:///E:/Estudios%20y%20certificaciones/ESTUDIOS%20DE%20PROGRAMMING/PROGRAMMING/PERSONAL/PYTHON/Image_Generator_API/imagenes/NAUTICA_MENS_208004158_BGI_1.jpg")</f>
        <v/>
      </c>
      <c r="M2698">
        <f>IMAGE("file:///E:/Estudios%20y%20certificaciones/ESTUDIOS%20DE%20PROGRAMMING/PROGRAMMING/PERSONAL/PYTHON/Image_Generator_API/imagenes/NAUTICA_MENS_208004158_BGI_2.jpg")</f>
        <v/>
      </c>
      <c r="N2698">
        <f>IMAGE("file:///E:/Estudios%20y%20certificaciones/ESTUDIOS%20DE%20PROGRAMMING/PROGRAMMING/PERSONAL/PYTHON/Image_Generator_API/imagenes/NAUTICA_MENS_208004158_BGI_3.jpg")</f>
        <v/>
      </c>
      <c r="O2698">
        <f>HYPERLINK("imagenes/NAUTICA_MENS_208004158_BGI_1.jpg","Ver imagen")</f>
        <v/>
      </c>
      <c r="P2698">
        <f>HYPERLINK("imagenes/NAUTICA_MENS_208004158_BGI_2.jpg","Ver imagen")</f>
        <v/>
      </c>
      <c r="Q2698">
        <f>HYPERLINK("imagenes/NAUTICA_MENS_208004158_BGI_3.jpg","Ver imagen")</f>
        <v/>
      </c>
    </row>
    <row r="2699">
      <c r="A2699" t="inlineStr">
        <is>
          <t>NAUTICA MENS</t>
        </is>
      </c>
      <c r="B2699" t="inlineStr">
        <is>
          <t>208004158</t>
        </is>
      </c>
      <c r="C2699" t="inlineStr">
        <is>
          <t>QUILTED MID WEIGHT STRETCH JACKET</t>
        </is>
      </c>
      <c r="D2699" t="inlineStr">
        <is>
          <t>BGI</t>
        </is>
      </c>
      <c r="E2699" t="inlineStr">
        <is>
          <t>(en blanco)</t>
        </is>
      </c>
      <c r="F2699" t="inlineStr">
        <is>
          <t>D2C</t>
        </is>
      </c>
      <c r="G2699" t="inlineStr">
        <is>
          <t>M</t>
        </is>
      </c>
      <c r="H2699" t="n">
        <v>20</v>
      </c>
      <c r="I2699" t="inlineStr">
        <is>
          <t>NAUTICA_MENS_208004158_BGI_1.jpg</t>
        </is>
      </c>
      <c r="J2699" t="inlineStr">
        <is>
          <t>NAUTICA_MENS_208004158_BGI_2.jpg</t>
        </is>
      </c>
      <c r="K2699" t="inlineStr">
        <is>
          <t>NAUTICA_MENS_208004158_BGI_3.jpg</t>
        </is>
      </c>
      <c r="L2699">
        <f>IMAGE("file:///E:/Estudios%20y%20certificaciones/ESTUDIOS%20DE%20PROGRAMMING/PROGRAMMING/PERSONAL/PYTHON/Image_Generator_API/imagenes/NAUTICA_MENS_208004158_BGI_1.jpg")</f>
        <v/>
      </c>
      <c r="M2699">
        <f>IMAGE("file:///E:/Estudios%20y%20certificaciones/ESTUDIOS%20DE%20PROGRAMMING/PROGRAMMING/PERSONAL/PYTHON/Image_Generator_API/imagenes/NAUTICA_MENS_208004158_BGI_2.jpg")</f>
        <v/>
      </c>
      <c r="N2699">
        <f>IMAGE("file:///E:/Estudios%20y%20certificaciones/ESTUDIOS%20DE%20PROGRAMMING/PROGRAMMING/PERSONAL/PYTHON/Image_Generator_API/imagenes/NAUTICA_MENS_208004158_BGI_3.jpg")</f>
        <v/>
      </c>
      <c r="O2699">
        <f>HYPERLINK("imagenes/NAUTICA_MENS_208004158_BGI_1.jpg","Ver imagen")</f>
        <v/>
      </c>
      <c r="P2699">
        <f>HYPERLINK("imagenes/NAUTICA_MENS_208004158_BGI_2.jpg","Ver imagen")</f>
        <v/>
      </c>
      <c r="Q2699">
        <f>HYPERLINK("imagenes/NAUTICA_MENS_208004158_BGI_3.jpg","Ver imagen")</f>
        <v/>
      </c>
    </row>
    <row r="2700">
      <c r="A2700" t="inlineStr">
        <is>
          <t>NAUTICA MENS</t>
        </is>
      </c>
      <c r="B2700" t="inlineStr">
        <is>
          <t>208004158</t>
        </is>
      </c>
      <c r="C2700" t="inlineStr">
        <is>
          <t>QUILTED MID WEIGHT STRETCH JACKET</t>
        </is>
      </c>
      <c r="D2700" t="inlineStr">
        <is>
          <t>BGI</t>
        </is>
      </c>
      <c r="E2700" t="inlineStr">
        <is>
          <t>(en blanco)</t>
        </is>
      </c>
      <c r="F2700" t="inlineStr">
        <is>
          <t>D2C</t>
        </is>
      </c>
      <c r="G2700" t="inlineStr">
        <is>
          <t>L</t>
        </is>
      </c>
      <c r="H2700" t="n">
        <v>17</v>
      </c>
      <c r="I2700" t="inlineStr">
        <is>
          <t>NAUTICA_MENS_208004158_BGI_1.jpg</t>
        </is>
      </c>
      <c r="J2700" t="inlineStr">
        <is>
          <t>NAUTICA_MENS_208004158_BGI_2.jpg</t>
        </is>
      </c>
      <c r="K2700" t="inlineStr">
        <is>
          <t>NAUTICA_MENS_208004158_BGI_3.jpg</t>
        </is>
      </c>
      <c r="L2700">
        <f>IMAGE("file:///E:/Estudios%20y%20certificaciones/ESTUDIOS%20DE%20PROGRAMMING/PROGRAMMING/PERSONAL/PYTHON/Image_Generator_API/imagenes/NAUTICA_MENS_208004158_BGI_1.jpg")</f>
        <v/>
      </c>
      <c r="M2700">
        <f>IMAGE("file:///E:/Estudios%20y%20certificaciones/ESTUDIOS%20DE%20PROGRAMMING/PROGRAMMING/PERSONAL/PYTHON/Image_Generator_API/imagenes/NAUTICA_MENS_208004158_BGI_2.jpg")</f>
        <v/>
      </c>
      <c r="N2700">
        <f>IMAGE("file:///E:/Estudios%20y%20certificaciones/ESTUDIOS%20DE%20PROGRAMMING/PROGRAMMING/PERSONAL/PYTHON/Image_Generator_API/imagenes/NAUTICA_MENS_208004158_BGI_3.jpg")</f>
        <v/>
      </c>
      <c r="O2700">
        <f>HYPERLINK("imagenes/NAUTICA_MENS_208004158_BGI_1.jpg","Ver imagen")</f>
        <v/>
      </c>
      <c r="P2700">
        <f>HYPERLINK("imagenes/NAUTICA_MENS_208004158_BGI_2.jpg","Ver imagen")</f>
        <v/>
      </c>
      <c r="Q2700">
        <f>HYPERLINK("imagenes/NAUTICA_MENS_208004158_BGI_3.jpg","Ver imagen")</f>
        <v/>
      </c>
    </row>
    <row r="2701">
      <c r="A2701" t="inlineStr">
        <is>
          <t>NAUTICA MENS</t>
        </is>
      </c>
      <c r="B2701" t="inlineStr">
        <is>
          <t>208004158</t>
        </is>
      </c>
      <c r="C2701" t="inlineStr">
        <is>
          <t>QUILTED MID WEIGHT STRETCH JACKET</t>
        </is>
      </c>
      <c r="D2701" t="inlineStr">
        <is>
          <t>BGI</t>
        </is>
      </c>
      <c r="E2701" t="inlineStr">
        <is>
          <t>(en blanco)</t>
        </is>
      </c>
      <c r="F2701" t="inlineStr">
        <is>
          <t>D2C</t>
        </is>
      </c>
      <c r="G2701" t="inlineStr">
        <is>
          <t>XL</t>
        </is>
      </c>
      <c r="H2701" t="n">
        <v>19</v>
      </c>
      <c r="I2701" t="inlineStr">
        <is>
          <t>NAUTICA_MENS_208004158_BGI_1.jpg</t>
        </is>
      </c>
      <c r="J2701" t="inlineStr">
        <is>
          <t>NAUTICA_MENS_208004158_BGI_2.jpg</t>
        </is>
      </c>
      <c r="K2701" t="inlineStr">
        <is>
          <t>NAUTICA_MENS_208004158_BGI_3.jpg</t>
        </is>
      </c>
      <c r="L2701">
        <f>IMAGE("file:///E:/Estudios%20y%20certificaciones/ESTUDIOS%20DE%20PROGRAMMING/PROGRAMMING/PERSONAL/PYTHON/Image_Generator_API/imagenes/NAUTICA_MENS_208004158_BGI_1.jpg")</f>
        <v/>
      </c>
      <c r="M2701">
        <f>IMAGE("file:///E:/Estudios%20y%20certificaciones/ESTUDIOS%20DE%20PROGRAMMING/PROGRAMMING/PERSONAL/PYTHON/Image_Generator_API/imagenes/NAUTICA_MENS_208004158_BGI_2.jpg")</f>
        <v/>
      </c>
      <c r="N2701">
        <f>IMAGE("file:///E:/Estudios%20y%20certificaciones/ESTUDIOS%20DE%20PROGRAMMING/PROGRAMMING/PERSONAL/PYTHON/Image_Generator_API/imagenes/NAUTICA_MENS_208004158_BGI_3.jpg")</f>
        <v/>
      </c>
      <c r="O2701">
        <f>HYPERLINK("imagenes/NAUTICA_MENS_208004158_BGI_1.jpg","Ver imagen")</f>
        <v/>
      </c>
      <c r="P2701">
        <f>HYPERLINK("imagenes/NAUTICA_MENS_208004158_BGI_2.jpg","Ver imagen")</f>
        <v/>
      </c>
      <c r="Q2701">
        <f>HYPERLINK("imagenes/NAUTICA_MENS_208004158_BGI_3.jpg","Ver imagen")</f>
        <v/>
      </c>
    </row>
    <row r="2702">
      <c r="A2702" t="inlineStr">
        <is>
          <t>NAUTICA MENS</t>
        </is>
      </c>
      <c r="B2702" t="inlineStr">
        <is>
          <t>208004158</t>
        </is>
      </c>
      <c r="C2702" t="inlineStr">
        <is>
          <t>QUILTED MID WEIGHT STRETCH JACKET</t>
        </is>
      </c>
      <c r="D2702" t="inlineStr">
        <is>
          <t>BGI</t>
        </is>
      </c>
      <c r="E2702" t="inlineStr">
        <is>
          <t>(en blanco)</t>
        </is>
      </c>
      <c r="F2702" t="inlineStr">
        <is>
          <t>D2C</t>
        </is>
      </c>
      <c r="G2702" t="inlineStr">
        <is>
          <t>XXL</t>
        </is>
      </c>
      <c r="H2702" t="n">
        <v>20</v>
      </c>
      <c r="I2702" t="inlineStr">
        <is>
          <t>NAUTICA_MENS_208004158_BGI_1.jpg</t>
        </is>
      </c>
      <c r="J2702" t="inlineStr">
        <is>
          <t>NAUTICA_MENS_208004158_BGI_2.jpg</t>
        </is>
      </c>
      <c r="K2702" t="inlineStr">
        <is>
          <t>NAUTICA_MENS_208004158_BGI_3.jpg</t>
        </is>
      </c>
      <c r="L2702">
        <f>IMAGE("file:///E:/Estudios%20y%20certificaciones/ESTUDIOS%20DE%20PROGRAMMING/PROGRAMMING/PERSONAL/PYTHON/Image_Generator_API/imagenes/NAUTICA_MENS_208004158_BGI_1.jpg")</f>
        <v/>
      </c>
      <c r="M2702">
        <f>IMAGE("file:///E:/Estudios%20y%20certificaciones/ESTUDIOS%20DE%20PROGRAMMING/PROGRAMMING/PERSONAL/PYTHON/Image_Generator_API/imagenes/NAUTICA_MENS_208004158_BGI_2.jpg")</f>
        <v/>
      </c>
      <c r="N2702">
        <f>IMAGE("file:///E:/Estudios%20y%20certificaciones/ESTUDIOS%20DE%20PROGRAMMING/PROGRAMMING/PERSONAL/PYTHON/Image_Generator_API/imagenes/NAUTICA_MENS_208004158_BGI_3.jpg")</f>
        <v/>
      </c>
      <c r="O2702">
        <f>HYPERLINK("imagenes/NAUTICA_MENS_208004158_BGI_1.jpg","Ver imagen")</f>
        <v/>
      </c>
      <c r="P2702">
        <f>HYPERLINK("imagenes/NAUTICA_MENS_208004158_BGI_2.jpg","Ver imagen")</f>
        <v/>
      </c>
      <c r="Q2702">
        <f>HYPERLINK("imagenes/NAUTICA_MENS_208004158_BGI_3.jpg","Ver imagen")</f>
        <v/>
      </c>
    </row>
    <row r="2703">
      <c r="A2703" t="inlineStr">
        <is>
          <t>NAUTICA MENS</t>
        </is>
      </c>
      <c r="B2703" t="inlineStr">
        <is>
          <t>208004158</t>
        </is>
      </c>
      <c r="C2703" t="inlineStr">
        <is>
          <t>QUILTED MID WEIGHT STRETCH JACKET</t>
        </is>
      </c>
      <c r="D2703" t="inlineStr">
        <is>
          <t>BGI</t>
        </is>
      </c>
      <c r="E2703" t="inlineStr">
        <is>
          <t>(en blanco)</t>
        </is>
      </c>
      <c r="F2703" t="inlineStr">
        <is>
          <t>(en blanco)</t>
        </is>
      </c>
      <c r="G2703" t="inlineStr">
        <is>
          <t>S</t>
        </is>
      </c>
      <c r="H2703" t="n">
        <v>150</v>
      </c>
      <c r="I2703" t="inlineStr">
        <is>
          <t>NAUTICA_MENS_208004158_BGI_1.jpg</t>
        </is>
      </c>
      <c r="J2703" t="inlineStr">
        <is>
          <t>NAUTICA_MENS_208004158_BGI_2.jpg</t>
        </is>
      </c>
      <c r="K2703" t="inlineStr">
        <is>
          <t>NAUTICA_MENS_208004158_BGI_3.jpg</t>
        </is>
      </c>
      <c r="L2703">
        <f>IMAGE("file:///E:/Estudios%20y%20certificaciones/ESTUDIOS%20DE%20PROGRAMMING/PROGRAMMING/PERSONAL/PYTHON/Image_Generator_API/imagenes/NAUTICA_MENS_208004158_BGI_1.jpg")</f>
        <v/>
      </c>
      <c r="M2703">
        <f>IMAGE("file:///E:/Estudios%20y%20certificaciones/ESTUDIOS%20DE%20PROGRAMMING/PROGRAMMING/PERSONAL/PYTHON/Image_Generator_API/imagenes/NAUTICA_MENS_208004158_BGI_2.jpg")</f>
        <v/>
      </c>
      <c r="N2703">
        <f>IMAGE("file:///E:/Estudios%20y%20certificaciones/ESTUDIOS%20DE%20PROGRAMMING/PROGRAMMING/PERSONAL/PYTHON/Image_Generator_API/imagenes/NAUTICA_MENS_208004158_BGI_3.jpg")</f>
        <v/>
      </c>
      <c r="O2703">
        <f>HYPERLINK("imagenes/NAUTICA_MENS_208004158_BGI_1.jpg","Ver imagen")</f>
        <v/>
      </c>
      <c r="P2703">
        <f>HYPERLINK("imagenes/NAUTICA_MENS_208004158_BGI_2.jpg","Ver imagen")</f>
        <v/>
      </c>
      <c r="Q2703">
        <f>HYPERLINK("imagenes/NAUTICA_MENS_208004158_BGI_3.jpg","Ver imagen")</f>
        <v/>
      </c>
    </row>
    <row r="2704">
      <c r="A2704" t="inlineStr">
        <is>
          <t>NAUTICA MENS</t>
        </is>
      </c>
      <c r="B2704" t="inlineStr">
        <is>
          <t>208004158</t>
        </is>
      </c>
      <c r="C2704" t="inlineStr">
        <is>
          <t>QUILTED MID WEIGHT STRETCH JACKET</t>
        </is>
      </c>
      <c r="D2704" t="inlineStr">
        <is>
          <t>BGI</t>
        </is>
      </c>
      <c r="E2704" t="inlineStr">
        <is>
          <t>(en blanco)</t>
        </is>
      </c>
      <c r="F2704" t="inlineStr">
        <is>
          <t>(en blanco)</t>
        </is>
      </c>
      <c r="G2704" t="inlineStr">
        <is>
          <t>M</t>
        </is>
      </c>
      <c r="H2704" t="n">
        <v>237</v>
      </c>
      <c r="I2704" t="inlineStr">
        <is>
          <t>NAUTICA_MENS_208004158_BGI_1.jpg</t>
        </is>
      </c>
      <c r="J2704" t="inlineStr">
        <is>
          <t>NAUTICA_MENS_208004158_BGI_2.jpg</t>
        </is>
      </c>
      <c r="K2704" t="inlineStr">
        <is>
          <t>NAUTICA_MENS_208004158_BGI_3.jpg</t>
        </is>
      </c>
      <c r="L2704">
        <f>IMAGE("file:///E:/Estudios%20y%20certificaciones/ESTUDIOS%20DE%20PROGRAMMING/PROGRAMMING/PERSONAL/PYTHON/Image_Generator_API/imagenes/NAUTICA_MENS_208004158_BGI_1.jpg")</f>
        <v/>
      </c>
      <c r="M2704">
        <f>IMAGE("file:///E:/Estudios%20y%20certificaciones/ESTUDIOS%20DE%20PROGRAMMING/PROGRAMMING/PERSONAL/PYTHON/Image_Generator_API/imagenes/NAUTICA_MENS_208004158_BGI_2.jpg")</f>
        <v/>
      </c>
      <c r="N2704">
        <f>IMAGE("file:///E:/Estudios%20y%20certificaciones/ESTUDIOS%20DE%20PROGRAMMING/PROGRAMMING/PERSONAL/PYTHON/Image_Generator_API/imagenes/NAUTICA_MENS_208004158_BGI_3.jpg")</f>
        <v/>
      </c>
      <c r="O2704">
        <f>HYPERLINK("imagenes/NAUTICA_MENS_208004158_BGI_1.jpg","Ver imagen")</f>
        <v/>
      </c>
      <c r="P2704">
        <f>HYPERLINK("imagenes/NAUTICA_MENS_208004158_BGI_2.jpg","Ver imagen")</f>
        <v/>
      </c>
      <c r="Q2704">
        <f>HYPERLINK("imagenes/NAUTICA_MENS_208004158_BGI_3.jpg","Ver imagen")</f>
        <v/>
      </c>
    </row>
    <row r="2705">
      <c r="A2705" t="inlineStr">
        <is>
          <t>NAUTICA MENS</t>
        </is>
      </c>
      <c r="B2705" t="inlineStr">
        <is>
          <t>208004158</t>
        </is>
      </c>
      <c r="C2705" t="inlineStr">
        <is>
          <t>QUILTED MID WEIGHT STRETCH JACKET</t>
        </is>
      </c>
      <c r="D2705" t="inlineStr">
        <is>
          <t>BGI</t>
        </is>
      </c>
      <c r="E2705" t="inlineStr">
        <is>
          <t>(en blanco)</t>
        </is>
      </c>
      <c r="F2705" t="inlineStr">
        <is>
          <t>(en blanco)</t>
        </is>
      </c>
      <c r="G2705" t="inlineStr">
        <is>
          <t>L</t>
        </is>
      </c>
      <c r="H2705" t="n">
        <v>438</v>
      </c>
      <c r="I2705" t="inlineStr">
        <is>
          <t>NAUTICA_MENS_208004158_BGI_1.jpg</t>
        </is>
      </c>
      <c r="J2705" t="inlineStr">
        <is>
          <t>NAUTICA_MENS_208004158_BGI_2.jpg</t>
        </is>
      </c>
      <c r="K2705" t="inlineStr">
        <is>
          <t>NAUTICA_MENS_208004158_BGI_3.jpg</t>
        </is>
      </c>
      <c r="L2705">
        <f>IMAGE("file:///E:/Estudios%20y%20certificaciones/ESTUDIOS%20DE%20PROGRAMMING/PROGRAMMING/PERSONAL/PYTHON/Image_Generator_API/imagenes/NAUTICA_MENS_208004158_BGI_1.jpg")</f>
        <v/>
      </c>
      <c r="M2705">
        <f>IMAGE("file:///E:/Estudios%20y%20certificaciones/ESTUDIOS%20DE%20PROGRAMMING/PROGRAMMING/PERSONAL/PYTHON/Image_Generator_API/imagenes/NAUTICA_MENS_208004158_BGI_2.jpg")</f>
        <v/>
      </c>
      <c r="N2705">
        <f>IMAGE("file:///E:/Estudios%20y%20certificaciones/ESTUDIOS%20DE%20PROGRAMMING/PROGRAMMING/PERSONAL/PYTHON/Image_Generator_API/imagenes/NAUTICA_MENS_208004158_BGI_3.jpg")</f>
        <v/>
      </c>
      <c r="O2705">
        <f>HYPERLINK("imagenes/NAUTICA_MENS_208004158_BGI_1.jpg","Ver imagen")</f>
        <v/>
      </c>
      <c r="P2705">
        <f>HYPERLINK("imagenes/NAUTICA_MENS_208004158_BGI_2.jpg","Ver imagen")</f>
        <v/>
      </c>
      <c r="Q2705">
        <f>HYPERLINK("imagenes/NAUTICA_MENS_208004158_BGI_3.jpg","Ver imagen")</f>
        <v/>
      </c>
    </row>
    <row r="2706">
      <c r="A2706" t="inlineStr">
        <is>
          <t>NAUTICA MENS</t>
        </is>
      </c>
      <c r="B2706" t="inlineStr">
        <is>
          <t>208004158</t>
        </is>
      </c>
      <c r="C2706" t="inlineStr">
        <is>
          <t>QUILTED MID WEIGHT STRETCH JACKET</t>
        </is>
      </c>
      <c r="D2706" t="inlineStr">
        <is>
          <t>BGI</t>
        </is>
      </c>
      <c r="E2706" t="inlineStr">
        <is>
          <t>(en blanco)</t>
        </is>
      </c>
      <c r="F2706" t="inlineStr">
        <is>
          <t>(en blanco)</t>
        </is>
      </c>
      <c r="G2706" t="inlineStr">
        <is>
          <t>XL</t>
        </is>
      </c>
      <c r="H2706" t="n">
        <v>213</v>
      </c>
      <c r="I2706" t="inlineStr">
        <is>
          <t>NAUTICA_MENS_208004158_BGI_1.jpg</t>
        </is>
      </c>
      <c r="J2706" t="inlineStr">
        <is>
          <t>NAUTICA_MENS_208004158_BGI_2.jpg</t>
        </is>
      </c>
      <c r="K2706" t="inlineStr">
        <is>
          <t>NAUTICA_MENS_208004158_BGI_3.jpg</t>
        </is>
      </c>
      <c r="L2706">
        <f>IMAGE("file:///E:/Estudios%20y%20certificaciones/ESTUDIOS%20DE%20PROGRAMMING/PROGRAMMING/PERSONAL/PYTHON/Image_Generator_API/imagenes/NAUTICA_MENS_208004158_BGI_1.jpg")</f>
        <v/>
      </c>
      <c r="M2706">
        <f>IMAGE("file:///E:/Estudios%20y%20certificaciones/ESTUDIOS%20DE%20PROGRAMMING/PROGRAMMING/PERSONAL/PYTHON/Image_Generator_API/imagenes/NAUTICA_MENS_208004158_BGI_2.jpg")</f>
        <v/>
      </c>
      <c r="N2706">
        <f>IMAGE("file:///E:/Estudios%20y%20certificaciones/ESTUDIOS%20DE%20PROGRAMMING/PROGRAMMING/PERSONAL/PYTHON/Image_Generator_API/imagenes/NAUTICA_MENS_208004158_BGI_3.jpg")</f>
        <v/>
      </c>
      <c r="O2706">
        <f>HYPERLINK("imagenes/NAUTICA_MENS_208004158_BGI_1.jpg","Ver imagen")</f>
        <v/>
      </c>
      <c r="P2706">
        <f>HYPERLINK("imagenes/NAUTICA_MENS_208004158_BGI_2.jpg","Ver imagen")</f>
        <v/>
      </c>
      <c r="Q2706">
        <f>HYPERLINK("imagenes/NAUTICA_MENS_208004158_BGI_3.jpg","Ver imagen")</f>
        <v/>
      </c>
    </row>
    <row r="2707">
      <c r="A2707" t="inlineStr">
        <is>
          <t>NAUTICA MENS</t>
        </is>
      </c>
      <c r="B2707" t="inlineStr">
        <is>
          <t>208004158</t>
        </is>
      </c>
      <c r="C2707" t="inlineStr">
        <is>
          <t>QUILTED MID WEIGHT STRETCH JACKET</t>
        </is>
      </c>
      <c r="D2707" t="inlineStr">
        <is>
          <t>BGI</t>
        </is>
      </c>
      <c r="E2707" t="inlineStr">
        <is>
          <t>(en blanco)</t>
        </is>
      </c>
      <c r="F2707" t="inlineStr">
        <is>
          <t>(en blanco)</t>
        </is>
      </c>
      <c r="G2707" t="inlineStr">
        <is>
          <t>XXL</t>
        </is>
      </c>
      <c r="H2707" t="n">
        <v>225</v>
      </c>
      <c r="I2707" t="inlineStr">
        <is>
          <t>NAUTICA_MENS_208004158_BGI_1.jpg</t>
        </is>
      </c>
      <c r="J2707" t="inlineStr">
        <is>
          <t>NAUTICA_MENS_208004158_BGI_2.jpg</t>
        </is>
      </c>
      <c r="K2707" t="inlineStr">
        <is>
          <t>NAUTICA_MENS_208004158_BGI_3.jpg</t>
        </is>
      </c>
      <c r="L2707">
        <f>IMAGE("file:///E:/Estudios%20y%20certificaciones/ESTUDIOS%20DE%20PROGRAMMING/PROGRAMMING/PERSONAL/PYTHON/Image_Generator_API/imagenes/NAUTICA_MENS_208004158_BGI_1.jpg")</f>
        <v/>
      </c>
      <c r="M2707">
        <f>IMAGE("file:///E:/Estudios%20y%20certificaciones/ESTUDIOS%20DE%20PROGRAMMING/PROGRAMMING/PERSONAL/PYTHON/Image_Generator_API/imagenes/NAUTICA_MENS_208004158_BGI_2.jpg")</f>
        <v/>
      </c>
      <c r="N2707">
        <f>IMAGE("file:///E:/Estudios%20y%20certificaciones/ESTUDIOS%20DE%20PROGRAMMING/PROGRAMMING/PERSONAL/PYTHON/Image_Generator_API/imagenes/NAUTICA_MENS_208004158_BGI_3.jpg")</f>
        <v/>
      </c>
      <c r="O2707">
        <f>HYPERLINK("imagenes/NAUTICA_MENS_208004158_BGI_1.jpg","Ver imagen")</f>
        <v/>
      </c>
      <c r="P2707">
        <f>HYPERLINK("imagenes/NAUTICA_MENS_208004158_BGI_2.jpg","Ver imagen")</f>
        <v/>
      </c>
      <c r="Q2707">
        <f>HYPERLINK("imagenes/NAUTICA_MENS_208004158_BGI_3.jpg","Ver imagen")</f>
        <v/>
      </c>
    </row>
    <row r="2708">
      <c r="A2708" t="inlineStr">
        <is>
          <t>NAUTICA MENS</t>
        </is>
      </c>
      <c r="B2708" t="inlineStr">
        <is>
          <t>208004158</t>
        </is>
      </c>
      <c r="C2708" t="inlineStr">
        <is>
          <t>QUILTED MID WEIGHT STRETCH JACKET</t>
        </is>
      </c>
      <c r="D2708" t="inlineStr">
        <is>
          <t>DDN</t>
        </is>
      </c>
      <c r="E2708" t="inlineStr">
        <is>
          <t>(en blanco)</t>
        </is>
      </c>
      <c r="F2708" t="inlineStr">
        <is>
          <t>D2C</t>
        </is>
      </c>
      <c r="G2708" t="inlineStr">
        <is>
          <t>S</t>
        </is>
      </c>
      <c r="H2708" t="n">
        <v>8</v>
      </c>
      <c r="I2708" t="inlineStr">
        <is>
          <t>NAUTICA_MENS_208004158_DDN_1.jpg</t>
        </is>
      </c>
      <c r="J2708" t="inlineStr">
        <is>
          <t>NAUTICA_MENS_208004158_DDN_2.jpg</t>
        </is>
      </c>
      <c r="K2708" t="inlineStr">
        <is>
          <t>NAUTICA_MENS_208004158_DDN_3.jpg</t>
        </is>
      </c>
      <c r="L2708">
        <f>IMAGE("file:///E:/Estudios%20y%20certificaciones/ESTUDIOS%20DE%20PROGRAMMING/PROGRAMMING/PERSONAL/PYTHON/Image_Generator_API/imagenes/NAUTICA_MENS_208004158_DDN_1.jpg")</f>
        <v/>
      </c>
      <c r="M2708">
        <f>IMAGE("file:///E:/Estudios%20y%20certificaciones/ESTUDIOS%20DE%20PROGRAMMING/PROGRAMMING/PERSONAL/PYTHON/Image_Generator_API/imagenes/NAUTICA_MENS_208004158_DDN_2.jpg")</f>
        <v/>
      </c>
      <c r="N2708">
        <f>IMAGE("file:///E:/Estudios%20y%20certificaciones/ESTUDIOS%20DE%20PROGRAMMING/PROGRAMMING/PERSONAL/PYTHON/Image_Generator_API/imagenes/NAUTICA_MENS_208004158_DDN_3.jpg")</f>
        <v/>
      </c>
      <c r="O2708">
        <f>HYPERLINK("imagenes/NAUTICA_MENS_208004158_DDN_1.jpg","Ver imagen")</f>
        <v/>
      </c>
      <c r="P2708">
        <f>HYPERLINK("imagenes/NAUTICA_MENS_208004158_DDN_2.jpg","Ver imagen")</f>
        <v/>
      </c>
      <c r="Q2708">
        <f>HYPERLINK("imagenes/NAUTICA_MENS_208004158_DDN_3.jpg","Ver imagen")</f>
        <v/>
      </c>
    </row>
    <row r="2709">
      <c r="A2709" t="inlineStr">
        <is>
          <t>NAUTICA MENS</t>
        </is>
      </c>
      <c r="B2709" t="inlineStr">
        <is>
          <t>208004158</t>
        </is>
      </c>
      <c r="C2709" t="inlineStr">
        <is>
          <t>QUILTED MID WEIGHT STRETCH JACKET</t>
        </is>
      </c>
      <c r="D2709" t="inlineStr">
        <is>
          <t>DDN</t>
        </is>
      </c>
      <c r="E2709" t="inlineStr">
        <is>
          <t>(en blanco)</t>
        </is>
      </c>
      <c r="F2709" t="inlineStr">
        <is>
          <t>D2C</t>
        </is>
      </c>
      <c r="G2709" t="inlineStr">
        <is>
          <t>M</t>
        </is>
      </c>
      <c r="H2709" t="n">
        <v>14</v>
      </c>
      <c r="I2709" t="inlineStr">
        <is>
          <t>NAUTICA_MENS_208004158_DDN_1.jpg</t>
        </is>
      </c>
      <c r="J2709" t="inlineStr">
        <is>
          <t>NAUTICA_MENS_208004158_DDN_2.jpg</t>
        </is>
      </c>
      <c r="K2709" t="inlineStr">
        <is>
          <t>NAUTICA_MENS_208004158_DDN_3.jpg</t>
        </is>
      </c>
      <c r="L2709">
        <f>IMAGE("file:///E:/Estudios%20y%20certificaciones/ESTUDIOS%20DE%20PROGRAMMING/PROGRAMMING/PERSONAL/PYTHON/Image_Generator_API/imagenes/NAUTICA_MENS_208004158_DDN_1.jpg")</f>
        <v/>
      </c>
      <c r="M2709">
        <f>IMAGE("file:///E:/Estudios%20y%20certificaciones/ESTUDIOS%20DE%20PROGRAMMING/PROGRAMMING/PERSONAL/PYTHON/Image_Generator_API/imagenes/NAUTICA_MENS_208004158_DDN_2.jpg")</f>
        <v/>
      </c>
      <c r="N2709">
        <f>IMAGE("file:///E:/Estudios%20y%20certificaciones/ESTUDIOS%20DE%20PROGRAMMING/PROGRAMMING/PERSONAL/PYTHON/Image_Generator_API/imagenes/NAUTICA_MENS_208004158_DDN_3.jpg")</f>
        <v/>
      </c>
      <c r="O2709">
        <f>HYPERLINK("imagenes/NAUTICA_MENS_208004158_DDN_1.jpg","Ver imagen")</f>
        <v/>
      </c>
      <c r="P2709">
        <f>HYPERLINK("imagenes/NAUTICA_MENS_208004158_DDN_2.jpg","Ver imagen")</f>
        <v/>
      </c>
      <c r="Q2709">
        <f>HYPERLINK("imagenes/NAUTICA_MENS_208004158_DDN_3.jpg","Ver imagen")</f>
        <v/>
      </c>
    </row>
    <row r="2710">
      <c r="A2710" t="inlineStr">
        <is>
          <t>NAUTICA MENS</t>
        </is>
      </c>
      <c r="B2710" t="inlineStr">
        <is>
          <t>208004158</t>
        </is>
      </c>
      <c r="C2710" t="inlineStr">
        <is>
          <t>QUILTED MID WEIGHT STRETCH JACKET</t>
        </is>
      </c>
      <c r="D2710" t="inlineStr">
        <is>
          <t>DDN</t>
        </is>
      </c>
      <c r="E2710" t="inlineStr">
        <is>
          <t>(en blanco)</t>
        </is>
      </c>
      <c r="F2710" t="inlineStr">
        <is>
          <t>D2C</t>
        </is>
      </c>
      <c r="G2710" t="inlineStr">
        <is>
          <t>L</t>
        </is>
      </c>
      <c r="H2710" t="n">
        <v>14</v>
      </c>
      <c r="I2710" t="inlineStr">
        <is>
          <t>NAUTICA_MENS_208004158_DDN_1.jpg</t>
        </is>
      </c>
      <c r="J2710" t="inlineStr">
        <is>
          <t>NAUTICA_MENS_208004158_DDN_2.jpg</t>
        </is>
      </c>
      <c r="K2710" t="inlineStr">
        <is>
          <t>NAUTICA_MENS_208004158_DDN_3.jpg</t>
        </is>
      </c>
      <c r="L2710">
        <f>IMAGE("file:///E:/Estudios%20y%20certificaciones/ESTUDIOS%20DE%20PROGRAMMING/PROGRAMMING/PERSONAL/PYTHON/Image_Generator_API/imagenes/NAUTICA_MENS_208004158_DDN_1.jpg")</f>
        <v/>
      </c>
      <c r="M2710">
        <f>IMAGE("file:///E:/Estudios%20y%20certificaciones/ESTUDIOS%20DE%20PROGRAMMING/PROGRAMMING/PERSONAL/PYTHON/Image_Generator_API/imagenes/NAUTICA_MENS_208004158_DDN_2.jpg")</f>
        <v/>
      </c>
      <c r="N2710">
        <f>IMAGE("file:///E:/Estudios%20y%20certificaciones/ESTUDIOS%20DE%20PROGRAMMING/PROGRAMMING/PERSONAL/PYTHON/Image_Generator_API/imagenes/NAUTICA_MENS_208004158_DDN_3.jpg")</f>
        <v/>
      </c>
      <c r="O2710">
        <f>HYPERLINK("imagenes/NAUTICA_MENS_208004158_DDN_1.jpg","Ver imagen")</f>
        <v/>
      </c>
      <c r="P2710">
        <f>HYPERLINK("imagenes/NAUTICA_MENS_208004158_DDN_2.jpg","Ver imagen")</f>
        <v/>
      </c>
      <c r="Q2710">
        <f>HYPERLINK("imagenes/NAUTICA_MENS_208004158_DDN_3.jpg","Ver imagen")</f>
        <v/>
      </c>
    </row>
    <row r="2711">
      <c r="A2711" t="inlineStr">
        <is>
          <t>NAUTICA MENS</t>
        </is>
      </c>
      <c r="B2711" t="inlineStr">
        <is>
          <t>208004158</t>
        </is>
      </c>
      <c r="C2711" t="inlineStr">
        <is>
          <t>QUILTED MID WEIGHT STRETCH JACKET</t>
        </is>
      </c>
      <c r="D2711" t="inlineStr">
        <is>
          <t>DDN</t>
        </is>
      </c>
      <c r="E2711" t="inlineStr">
        <is>
          <t>(en blanco)</t>
        </is>
      </c>
      <c r="F2711" t="inlineStr">
        <is>
          <t>D2C</t>
        </is>
      </c>
      <c r="G2711" t="inlineStr">
        <is>
          <t>XL</t>
        </is>
      </c>
      <c r="H2711" t="n">
        <v>14</v>
      </c>
      <c r="I2711" t="inlineStr">
        <is>
          <t>NAUTICA_MENS_208004158_DDN_1.jpg</t>
        </is>
      </c>
      <c r="J2711" t="inlineStr">
        <is>
          <t>NAUTICA_MENS_208004158_DDN_2.jpg</t>
        </is>
      </c>
      <c r="K2711" t="inlineStr">
        <is>
          <t>NAUTICA_MENS_208004158_DDN_3.jpg</t>
        </is>
      </c>
      <c r="L2711">
        <f>IMAGE("file:///E:/Estudios%20y%20certificaciones/ESTUDIOS%20DE%20PROGRAMMING/PROGRAMMING/PERSONAL/PYTHON/Image_Generator_API/imagenes/NAUTICA_MENS_208004158_DDN_1.jpg")</f>
        <v/>
      </c>
      <c r="M2711">
        <f>IMAGE("file:///E:/Estudios%20y%20certificaciones/ESTUDIOS%20DE%20PROGRAMMING/PROGRAMMING/PERSONAL/PYTHON/Image_Generator_API/imagenes/NAUTICA_MENS_208004158_DDN_2.jpg")</f>
        <v/>
      </c>
      <c r="N2711">
        <f>IMAGE("file:///E:/Estudios%20y%20certificaciones/ESTUDIOS%20DE%20PROGRAMMING/PROGRAMMING/PERSONAL/PYTHON/Image_Generator_API/imagenes/NAUTICA_MENS_208004158_DDN_3.jpg")</f>
        <v/>
      </c>
      <c r="O2711">
        <f>HYPERLINK("imagenes/NAUTICA_MENS_208004158_DDN_1.jpg","Ver imagen")</f>
        <v/>
      </c>
      <c r="P2711">
        <f>HYPERLINK("imagenes/NAUTICA_MENS_208004158_DDN_2.jpg","Ver imagen")</f>
        <v/>
      </c>
      <c r="Q2711">
        <f>HYPERLINK("imagenes/NAUTICA_MENS_208004158_DDN_3.jpg","Ver imagen")</f>
        <v/>
      </c>
    </row>
    <row r="2712">
      <c r="A2712" t="inlineStr">
        <is>
          <t>NAUTICA MENS</t>
        </is>
      </c>
      <c r="B2712" t="inlineStr">
        <is>
          <t>208004158</t>
        </is>
      </c>
      <c r="C2712" t="inlineStr">
        <is>
          <t>QUILTED MID WEIGHT STRETCH JACKET</t>
        </is>
      </c>
      <c r="D2712" t="inlineStr">
        <is>
          <t>DDN</t>
        </is>
      </c>
      <c r="E2712" t="inlineStr">
        <is>
          <t>(en blanco)</t>
        </is>
      </c>
      <c r="F2712" t="inlineStr">
        <is>
          <t>D2C</t>
        </is>
      </c>
      <c r="G2712" t="inlineStr">
        <is>
          <t>XXL</t>
        </is>
      </c>
      <c r="H2712" t="n">
        <v>15</v>
      </c>
      <c r="I2712" t="inlineStr">
        <is>
          <t>NAUTICA_MENS_208004158_DDN_1.jpg</t>
        </is>
      </c>
      <c r="J2712" t="inlineStr">
        <is>
          <t>NAUTICA_MENS_208004158_DDN_2.jpg</t>
        </is>
      </c>
      <c r="K2712" t="inlineStr">
        <is>
          <t>NAUTICA_MENS_208004158_DDN_3.jpg</t>
        </is>
      </c>
      <c r="L2712">
        <f>IMAGE("file:///E:/Estudios%20y%20certificaciones/ESTUDIOS%20DE%20PROGRAMMING/PROGRAMMING/PERSONAL/PYTHON/Image_Generator_API/imagenes/NAUTICA_MENS_208004158_DDN_1.jpg")</f>
        <v/>
      </c>
      <c r="M2712">
        <f>IMAGE("file:///E:/Estudios%20y%20certificaciones/ESTUDIOS%20DE%20PROGRAMMING/PROGRAMMING/PERSONAL/PYTHON/Image_Generator_API/imagenes/NAUTICA_MENS_208004158_DDN_2.jpg")</f>
        <v/>
      </c>
      <c r="N2712">
        <f>IMAGE("file:///E:/Estudios%20y%20certificaciones/ESTUDIOS%20DE%20PROGRAMMING/PROGRAMMING/PERSONAL/PYTHON/Image_Generator_API/imagenes/NAUTICA_MENS_208004158_DDN_3.jpg")</f>
        <v/>
      </c>
      <c r="O2712">
        <f>HYPERLINK("imagenes/NAUTICA_MENS_208004158_DDN_1.jpg","Ver imagen")</f>
        <v/>
      </c>
      <c r="P2712">
        <f>HYPERLINK("imagenes/NAUTICA_MENS_208004158_DDN_2.jpg","Ver imagen")</f>
        <v/>
      </c>
      <c r="Q2712">
        <f>HYPERLINK("imagenes/NAUTICA_MENS_208004158_DDN_3.jpg","Ver imagen")</f>
        <v/>
      </c>
    </row>
    <row r="2713">
      <c r="A2713" t="inlineStr">
        <is>
          <t>NAUTICA MENS</t>
        </is>
      </c>
      <c r="B2713" t="inlineStr">
        <is>
          <t>208004158</t>
        </is>
      </c>
      <c r="C2713" t="inlineStr">
        <is>
          <t>QUILTED MID WEIGHT STRETCH JACKET</t>
        </is>
      </c>
      <c r="D2713" t="inlineStr">
        <is>
          <t>DDN</t>
        </is>
      </c>
      <c r="E2713" t="inlineStr">
        <is>
          <t>(en blanco)</t>
        </is>
      </c>
      <c r="F2713" t="inlineStr">
        <is>
          <t>(en blanco)</t>
        </is>
      </c>
      <c r="G2713" t="inlineStr">
        <is>
          <t>S</t>
        </is>
      </c>
      <c r="H2713" t="n">
        <v>20</v>
      </c>
      <c r="I2713" t="inlineStr">
        <is>
          <t>NAUTICA_MENS_208004158_DDN_1.jpg</t>
        </is>
      </c>
      <c r="J2713" t="inlineStr">
        <is>
          <t>NAUTICA_MENS_208004158_DDN_2.jpg</t>
        </is>
      </c>
      <c r="K2713" t="inlineStr">
        <is>
          <t>NAUTICA_MENS_208004158_DDN_3.jpg</t>
        </is>
      </c>
      <c r="L2713">
        <f>IMAGE("file:///E:/Estudios%20y%20certificaciones/ESTUDIOS%20DE%20PROGRAMMING/PROGRAMMING/PERSONAL/PYTHON/Image_Generator_API/imagenes/NAUTICA_MENS_208004158_DDN_1.jpg")</f>
        <v/>
      </c>
      <c r="M2713">
        <f>IMAGE("file:///E:/Estudios%20y%20certificaciones/ESTUDIOS%20DE%20PROGRAMMING/PROGRAMMING/PERSONAL/PYTHON/Image_Generator_API/imagenes/NAUTICA_MENS_208004158_DDN_2.jpg")</f>
        <v/>
      </c>
      <c r="N2713">
        <f>IMAGE("file:///E:/Estudios%20y%20certificaciones/ESTUDIOS%20DE%20PROGRAMMING/PROGRAMMING/PERSONAL/PYTHON/Image_Generator_API/imagenes/NAUTICA_MENS_208004158_DDN_3.jpg")</f>
        <v/>
      </c>
      <c r="O2713">
        <f>HYPERLINK("imagenes/NAUTICA_MENS_208004158_DDN_1.jpg","Ver imagen")</f>
        <v/>
      </c>
      <c r="P2713">
        <f>HYPERLINK("imagenes/NAUTICA_MENS_208004158_DDN_2.jpg","Ver imagen")</f>
        <v/>
      </c>
      <c r="Q2713">
        <f>HYPERLINK("imagenes/NAUTICA_MENS_208004158_DDN_3.jpg","Ver imagen")</f>
        <v/>
      </c>
    </row>
    <row r="2714">
      <c r="A2714" t="inlineStr">
        <is>
          <t>NAUTICA MENS</t>
        </is>
      </c>
      <c r="B2714" t="inlineStr">
        <is>
          <t>208004158</t>
        </is>
      </c>
      <c r="C2714" t="inlineStr">
        <is>
          <t>QUILTED MID WEIGHT STRETCH JACKET</t>
        </is>
      </c>
      <c r="D2714" t="inlineStr">
        <is>
          <t>DDN</t>
        </is>
      </c>
      <c r="E2714" t="inlineStr">
        <is>
          <t>(en blanco)</t>
        </is>
      </c>
      <c r="F2714" t="inlineStr">
        <is>
          <t>(en blanco)</t>
        </is>
      </c>
      <c r="G2714" t="inlineStr">
        <is>
          <t>M</t>
        </is>
      </c>
      <c r="H2714" t="n">
        <v>50</v>
      </c>
      <c r="I2714" t="inlineStr">
        <is>
          <t>NAUTICA_MENS_208004158_DDN_1.jpg</t>
        </is>
      </c>
      <c r="J2714" t="inlineStr">
        <is>
          <t>NAUTICA_MENS_208004158_DDN_2.jpg</t>
        </is>
      </c>
      <c r="K2714" t="inlineStr">
        <is>
          <t>NAUTICA_MENS_208004158_DDN_3.jpg</t>
        </is>
      </c>
      <c r="L2714">
        <f>IMAGE("file:///E:/Estudios%20y%20certificaciones/ESTUDIOS%20DE%20PROGRAMMING/PROGRAMMING/PERSONAL/PYTHON/Image_Generator_API/imagenes/NAUTICA_MENS_208004158_DDN_1.jpg")</f>
        <v/>
      </c>
      <c r="M2714">
        <f>IMAGE("file:///E:/Estudios%20y%20certificaciones/ESTUDIOS%20DE%20PROGRAMMING/PROGRAMMING/PERSONAL/PYTHON/Image_Generator_API/imagenes/NAUTICA_MENS_208004158_DDN_2.jpg")</f>
        <v/>
      </c>
      <c r="N2714">
        <f>IMAGE("file:///E:/Estudios%20y%20certificaciones/ESTUDIOS%20DE%20PROGRAMMING/PROGRAMMING/PERSONAL/PYTHON/Image_Generator_API/imagenes/NAUTICA_MENS_208004158_DDN_3.jpg")</f>
        <v/>
      </c>
      <c r="O2714">
        <f>HYPERLINK("imagenes/NAUTICA_MENS_208004158_DDN_1.jpg","Ver imagen")</f>
        <v/>
      </c>
      <c r="P2714">
        <f>HYPERLINK("imagenes/NAUTICA_MENS_208004158_DDN_2.jpg","Ver imagen")</f>
        <v/>
      </c>
      <c r="Q2714">
        <f>HYPERLINK("imagenes/NAUTICA_MENS_208004158_DDN_3.jpg","Ver imagen")</f>
        <v/>
      </c>
    </row>
    <row r="2715">
      <c r="A2715" t="inlineStr">
        <is>
          <t>NAUTICA MENS</t>
        </is>
      </c>
      <c r="B2715" t="inlineStr">
        <is>
          <t>208004158</t>
        </is>
      </c>
      <c r="C2715" t="inlineStr">
        <is>
          <t>QUILTED MID WEIGHT STRETCH JACKET</t>
        </is>
      </c>
      <c r="D2715" t="inlineStr">
        <is>
          <t>DDN</t>
        </is>
      </c>
      <c r="E2715" t="inlineStr">
        <is>
          <t>(en blanco)</t>
        </is>
      </c>
      <c r="F2715" t="inlineStr">
        <is>
          <t>(en blanco)</t>
        </is>
      </c>
      <c r="G2715" t="inlineStr">
        <is>
          <t>L</t>
        </is>
      </c>
      <c r="H2715" t="n">
        <v>128</v>
      </c>
      <c r="I2715" t="inlineStr">
        <is>
          <t>NAUTICA_MENS_208004158_DDN_1.jpg</t>
        </is>
      </c>
      <c r="J2715" t="inlineStr">
        <is>
          <t>NAUTICA_MENS_208004158_DDN_2.jpg</t>
        </is>
      </c>
      <c r="K2715" t="inlineStr">
        <is>
          <t>NAUTICA_MENS_208004158_DDN_3.jpg</t>
        </is>
      </c>
      <c r="L2715">
        <f>IMAGE("file:///E:/Estudios%20y%20certificaciones/ESTUDIOS%20DE%20PROGRAMMING/PROGRAMMING/PERSONAL/PYTHON/Image_Generator_API/imagenes/NAUTICA_MENS_208004158_DDN_1.jpg")</f>
        <v/>
      </c>
      <c r="M2715">
        <f>IMAGE("file:///E:/Estudios%20y%20certificaciones/ESTUDIOS%20DE%20PROGRAMMING/PROGRAMMING/PERSONAL/PYTHON/Image_Generator_API/imagenes/NAUTICA_MENS_208004158_DDN_2.jpg")</f>
        <v/>
      </c>
      <c r="N2715">
        <f>IMAGE("file:///E:/Estudios%20y%20certificaciones/ESTUDIOS%20DE%20PROGRAMMING/PROGRAMMING/PERSONAL/PYTHON/Image_Generator_API/imagenes/NAUTICA_MENS_208004158_DDN_3.jpg")</f>
        <v/>
      </c>
      <c r="O2715">
        <f>HYPERLINK("imagenes/NAUTICA_MENS_208004158_DDN_1.jpg","Ver imagen")</f>
        <v/>
      </c>
      <c r="P2715">
        <f>HYPERLINK("imagenes/NAUTICA_MENS_208004158_DDN_2.jpg","Ver imagen")</f>
        <v/>
      </c>
      <c r="Q2715">
        <f>HYPERLINK("imagenes/NAUTICA_MENS_208004158_DDN_3.jpg","Ver imagen")</f>
        <v/>
      </c>
    </row>
    <row r="2716">
      <c r="A2716" t="inlineStr">
        <is>
          <t>NAUTICA MENS</t>
        </is>
      </c>
      <c r="B2716" t="inlineStr">
        <is>
          <t>208004158</t>
        </is>
      </c>
      <c r="C2716" t="inlineStr">
        <is>
          <t>QUILTED MID WEIGHT STRETCH JACKET</t>
        </is>
      </c>
      <c r="D2716" t="inlineStr">
        <is>
          <t>DDN</t>
        </is>
      </c>
      <c r="E2716" t="inlineStr">
        <is>
          <t>(en blanco)</t>
        </is>
      </c>
      <c r="F2716" t="inlineStr">
        <is>
          <t>(en blanco)</t>
        </is>
      </c>
      <c r="G2716" t="inlineStr">
        <is>
          <t>XL</t>
        </is>
      </c>
      <c r="H2716" t="n">
        <v>81</v>
      </c>
      <c r="I2716" t="inlineStr">
        <is>
          <t>NAUTICA_MENS_208004158_DDN_1.jpg</t>
        </is>
      </c>
      <c r="J2716" t="inlineStr">
        <is>
          <t>NAUTICA_MENS_208004158_DDN_2.jpg</t>
        </is>
      </c>
      <c r="K2716" t="inlineStr">
        <is>
          <t>NAUTICA_MENS_208004158_DDN_3.jpg</t>
        </is>
      </c>
      <c r="L2716">
        <f>IMAGE("file:///E:/Estudios%20y%20certificaciones/ESTUDIOS%20DE%20PROGRAMMING/PROGRAMMING/PERSONAL/PYTHON/Image_Generator_API/imagenes/NAUTICA_MENS_208004158_DDN_1.jpg")</f>
        <v/>
      </c>
      <c r="M2716">
        <f>IMAGE("file:///E:/Estudios%20y%20certificaciones/ESTUDIOS%20DE%20PROGRAMMING/PROGRAMMING/PERSONAL/PYTHON/Image_Generator_API/imagenes/NAUTICA_MENS_208004158_DDN_2.jpg")</f>
        <v/>
      </c>
      <c r="N2716">
        <f>IMAGE("file:///E:/Estudios%20y%20certificaciones/ESTUDIOS%20DE%20PROGRAMMING/PROGRAMMING/PERSONAL/PYTHON/Image_Generator_API/imagenes/NAUTICA_MENS_208004158_DDN_3.jpg")</f>
        <v/>
      </c>
      <c r="O2716">
        <f>HYPERLINK("imagenes/NAUTICA_MENS_208004158_DDN_1.jpg","Ver imagen")</f>
        <v/>
      </c>
      <c r="P2716">
        <f>HYPERLINK("imagenes/NAUTICA_MENS_208004158_DDN_2.jpg","Ver imagen")</f>
        <v/>
      </c>
      <c r="Q2716">
        <f>HYPERLINK("imagenes/NAUTICA_MENS_208004158_DDN_3.jpg","Ver imagen")</f>
        <v/>
      </c>
    </row>
    <row r="2717">
      <c r="A2717" t="inlineStr">
        <is>
          <t>NAUTICA MENS</t>
        </is>
      </c>
      <c r="B2717" t="inlineStr">
        <is>
          <t>208004158</t>
        </is>
      </c>
      <c r="C2717" t="inlineStr">
        <is>
          <t>QUILTED MID WEIGHT STRETCH JACKET</t>
        </is>
      </c>
      <c r="D2717" t="inlineStr">
        <is>
          <t>DDN</t>
        </is>
      </c>
      <c r="E2717" t="inlineStr">
        <is>
          <t>(en blanco)</t>
        </is>
      </c>
      <c r="F2717" t="inlineStr">
        <is>
          <t>(en blanco)</t>
        </is>
      </c>
      <c r="G2717" t="inlineStr">
        <is>
          <t>XXL</t>
        </is>
      </c>
      <c r="H2717" t="n">
        <v>64</v>
      </c>
      <c r="I2717" t="inlineStr">
        <is>
          <t>NAUTICA_MENS_208004158_DDN_1.jpg</t>
        </is>
      </c>
      <c r="J2717" t="inlineStr">
        <is>
          <t>NAUTICA_MENS_208004158_DDN_2.jpg</t>
        </is>
      </c>
      <c r="K2717" t="inlineStr">
        <is>
          <t>NAUTICA_MENS_208004158_DDN_3.jpg</t>
        </is>
      </c>
      <c r="L2717">
        <f>IMAGE("file:///E:/Estudios%20y%20certificaciones/ESTUDIOS%20DE%20PROGRAMMING/PROGRAMMING/PERSONAL/PYTHON/Image_Generator_API/imagenes/NAUTICA_MENS_208004158_DDN_1.jpg")</f>
        <v/>
      </c>
      <c r="M2717">
        <f>IMAGE("file:///E:/Estudios%20y%20certificaciones/ESTUDIOS%20DE%20PROGRAMMING/PROGRAMMING/PERSONAL/PYTHON/Image_Generator_API/imagenes/NAUTICA_MENS_208004158_DDN_2.jpg")</f>
        <v/>
      </c>
      <c r="N2717">
        <f>IMAGE("file:///E:/Estudios%20y%20certificaciones/ESTUDIOS%20DE%20PROGRAMMING/PROGRAMMING/PERSONAL/PYTHON/Image_Generator_API/imagenes/NAUTICA_MENS_208004158_DDN_3.jpg")</f>
        <v/>
      </c>
      <c r="O2717">
        <f>HYPERLINK("imagenes/NAUTICA_MENS_208004158_DDN_1.jpg","Ver imagen")</f>
        <v/>
      </c>
      <c r="P2717">
        <f>HYPERLINK("imagenes/NAUTICA_MENS_208004158_DDN_2.jpg","Ver imagen")</f>
        <v/>
      </c>
      <c r="Q2717">
        <f>HYPERLINK("imagenes/NAUTICA_MENS_208004158_DDN_3.jpg","Ver imagen")</f>
        <v/>
      </c>
    </row>
    <row r="2718">
      <c r="A2718" t="inlineStr">
        <is>
          <t>NAUTICA MENS</t>
        </is>
      </c>
      <c r="B2718" t="inlineStr">
        <is>
          <t>208004327</t>
        </is>
      </c>
      <c r="C2718" t="inlineStr">
        <is>
          <t>TRANSITIONAL MIXED MEDIA JACKET</t>
        </is>
      </c>
      <c r="D2718" t="inlineStr">
        <is>
          <t>BLK</t>
        </is>
      </c>
      <c r="E2718" t="inlineStr">
        <is>
          <t>(en blanco)</t>
        </is>
      </c>
      <c r="F2718" t="inlineStr">
        <is>
          <t>(en blanco)</t>
        </is>
      </c>
      <c r="G2718" t="inlineStr">
        <is>
          <t>S</t>
        </is>
      </c>
      <c r="H2718" t="n">
        <v>0</v>
      </c>
      <c r="I2718" t="inlineStr">
        <is>
          <t>NAUTICA_MENS_208004327_BLK_1.jpg</t>
        </is>
      </c>
      <c r="J2718" t="inlineStr">
        <is>
          <t>NAUTICA_MENS_208004327_BLK_2.jpg</t>
        </is>
      </c>
      <c r="K2718" t="inlineStr">
        <is>
          <t>NAUTICA_MENS_208004327_BLK_3.jpg</t>
        </is>
      </c>
      <c r="L2718">
        <f>IMAGE("file:///E:/Estudios%20y%20certificaciones/ESTUDIOS%20DE%20PROGRAMMING/PROGRAMMING/PERSONAL/PYTHON/Image_Generator_API/imagenes/NAUTICA_MENS_208004327_BLK_1.jpg")</f>
        <v/>
      </c>
      <c r="M2718">
        <f>IMAGE("file:///E:/Estudios%20y%20certificaciones/ESTUDIOS%20DE%20PROGRAMMING/PROGRAMMING/PERSONAL/PYTHON/Image_Generator_API/imagenes/NAUTICA_MENS_208004327_BLK_2.jpg")</f>
        <v/>
      </c>
      <c r="N2718">
        <f>IMAGE("file:///E:/Estudios%20y%20certificaciones/ESTUDIOS%20DE%20PROGRAMMING/PROGRAMMING/PERSONAL/PYTHON/Image_Generator_API/imagenes/NAUTICA_MENS_208004327_BLK_3.jpg")</f>
        <v/>
      </c>
      <c r="O2718">
        <f>HYPERLINK("imagenes/NAUTICA_MENS_208004327_BLK_1.jpg","Ver imagen")</f>
        <v/>
      </c>
      <c r="P2718">
        <f>HYPERLINK("imagenes/NAUTICA_MENS_208004327_BLK_2.jpg","Ver imagen")</f>
        <v/>
      </c>
      <c r="Q2718">
        <f>HYPERLINK("imagenes/NAUTICA_MENS_208004327_BLK_3.jpg","Ver imagen")</f>
        <v/>
      </c>
    </row>
    <row r="2719">
      <c r="A2719" t="inlineStr">
        <is>
          <t>NAUTICA MENS</t>
        </is>
      </c>
      <c r="B2719" t="inlineStr">
        <is>
          <t>208004327</t>
        </is>
      </c>
      <c r="C2719" t="inlineStr">
        <is>
          <t>TRANSITIONAL MIXED MEDIA JACKET</t>
        </is>
      </c>
      <c r="D2719" t="inlineStr">
        <is>
          <t>BLK</t>
        </is>
      </c>
      <c r="E2719" t="inlineStr">
        <is>
          <t>(en blanco)</t>
        </is>
      </c>
      <c r="F2719" t="inlineStr">
        <is>
          <t>(en blanco)</t>
        </is>
      </c>
      <c r="G2719" t="inlineStr">
        <is>
          <t>L</t>
        </is>
      </c>
      <c r="H2719" t="n">
        <v>4</v>
      </c>
      <c r="I2719" t="inlineStr">
        <is>
          <t>NAUTICA_MENS_208004327_BLK_1.jpg</t>
        </is>
      </c>
      <c r="J2719" t="inlineStr">
        <is>
          <t>NAUTICA_MENS_208004327_BLK_2.jpg</t>
        </is>
      </c>
      <c r="K2719" t="inlineStr">
        <is>
          <t>NAUTICA_MENS_208004327_BLK_3.jpg</t>
        </is>
      </c>
      <c r="L2719">
        <f>IMAGE("file:///E:/Estudios%20y%20certificaciones/ESTUDIOS%20DE%20PROGRAMMING/PROGRAMMING/PERSONAL/PYTHON/Image_Generator_API/imagenes/NAUTICA_MENS_208004327_BLK_1.jpg")</f>
        <v/>
      </c>
      <c r="M2719">
        <f>IMAGE("file:///E:/Estudios%20y%20certificaciones/ESTUDIOS%20DE%20PROGRAMMING/PROGRAMMING/PERSONAL/PYTHON/Image_Generator_API/imagenes/NAUTICA_MENS_208004327_BLK_2.jpg")</f>
        <v/>
      </c>
      <c r="N2719">
        <f>IMAGE("file:///E:/Estudios%20y%20certificaciones/ESTUDIOS%20DE%20PROGRAMMING/PROGRAMMING/PERSONAL/PYTHON/Image_Generator_API/imagenes/NAUTICA_MENS_208004327_BLK_3.jpg")</f>
        <v/>
      </c>
      <c r="O2719">
        <f>HYPERLINK("imagenes/NAUTICA_MENS_208004327_BLK_1.jpg","Ver imagen")</f>
        <v/>
      </c>
      <c r="P2719">
        <f>HYPERLINK("imagenes/NAUTICA_MENS_208004327_BLK_2.jpg","Ver imagen")</f>
        <v/>
      </c>
      <c r="Q2719">
        <f>HYPERLINK("imagenes/NAUTICA_MENS_208004327_BLK_3.jpg","Ver imagen")</f>
        <v/>
      </c>
    </row>
    <row r="2720">
      <c r="A2720" t="inlineStr">
        <is>
          <t>NAUTICA MENS</t>
        </is>
      </c>
      <c r="B2720" t="inlineStr">
        <is>
          <t>208004327</t>
        </is>
      </c>
      <c r="C2720" t="inlineStr">
        <is>
          <t>TRANSITIONAL MIXED MEDIA JACKET</t>
        </is>
      </c>
      <c r="D2720" t="inlineStr">
        <is>
          <t>MTA</t>
        </is>
      </c>
      <c r="E2720" t="inlineStr">
        <is>
          <t>(en blanco)</t>
        </is>
      </c>
      <c r="F2720" t="inlineStr">
        <is>
          <t>(en blanco)</t>
        </is>
      </c>
      <c r="G2720" t="inlineStr">
        <is>
          <t>S</t>
        </is>
      </c>
      <c r="H2720" t="n">
        <v>4</v>
      </c>
      <c r="I2720" t="inlineStr">
        <is>
          <t>NAUTICA_MENS_208004327_MTA_1.jpg</t>
        </is>
      </c>
      <c r="J2720" t="inlineStr">
        <is>
          <t>NAUTICA_MENS_208004327_MTA_2.jpg</t>
        </is>
      </c>
      <c r="K2720" t="inlineStr">
        <is>
          <t>NAUTICA_MENS_208004327_MTA_3.jpg</t>
        </is>
      </c>
      <c r="L2720">
        <f>IMAGE("file:///E:/Estudios%20y%20certificaciones/ESTUDIOS%20DE%20PROGRAMMING/PROGRAMMING/PERSONAL/PYTHON/Image_Generator_API/imagenes/NAUTICA_MENS_208004327_MTA_1.jpg")</f>
        <v/>
      </c>
      <c r="M2720">
        <f>IMAGE("file:///E:/Estudios%20y%20certificaciones/ESTUDIOS%20DE%20PROGRAMMING/PROGRAMMING/PERSONAL/PYTHON/Image_Generator_API/imagenes/NAUTICA_MENS_208004327_MTA_2.jpg")</f>
        <v/>
      </c>
      <c r="N2720">
        <f>IMAGE("file:///E:/Estudios%20y%20certificaciones/ESTUDIOS%20DE%20PROGRAMMING/PROGRAMMING/PERSONAL/PYTHON/Image_Generator_API/imagenes/NAUTICA_MENS_208004327_MTA_3.jpg")</f>
        <v/>
      </c>
      <c r="O2720">
        <f>HYPERLINK("imagenes/NAUTICA_MENS_208004327_MTA_1.jpg","Ver imagen")</f>
        <v/>
      </c>
      <c r="P2720">
        <f>HYPERLINK("imagenes/NAUTICA_MENS_208004327_MTA_2.jpg","Ver imagen")</f>
        <v/>
      </c>
      <c r="Q2720">
        <f>HYPERLINK("imagenes/NAUTICA_MENS_208004327_MTA_3.jpg","Ver imagen")</f>
        <v/>
      </c>
    </row>
    <row r="2721">
      <c r="A2721" t="inlineStr">
        <is>
          <t>NAUTICA MENS</t>
        </is>
      </c>
      <c r="B2721" t="inlineStr">
        <is>
          <t>208004327</t>
        </is>
      </c>
      <c r="C2721" t="inlineStr">
        <is>
          <t>TRANSITIONAL MIXED MEDIA JACKET</t>
        </is>
      </c>
      <c r="D2721" t="inlineStr">
        <is>
          <t>MTA</t>
        </is>
      </c>
      <c r="E2721" t="inlineStr">
        <is>
          <t>(en blanco)</t>
        </is>
      </c>
      <c r="F2721" t="inlineStr">
        <is>
          <t>(en blanco)</t>
        </is>
      </c>
      <c r="G2721" t="inlineStr">
        <is>
          <t>M</t>
        </is>
      </c>
      <c r="H2721" t="n">
        <v>24</v>
      </c>
      <c r="I2721" t="inlineStr">
        <is>
          <t>NAUTICA_MENS_208004327_MTA_1.jpg</t>
        </is>
      </c>
      <c r="J2721" t="inlineStr">
        <is>
          <t>NAUTICA_MENS_208004327_MTA_2.jpg</t>
        </is>
      </c>
      <c r="K2721" t="inlineStr">
        <is>
          <t>NAUTICA_MENS_208004327_MTA_3.jpg</t>
        </is>
      </c>
      <c r="L2721">
        <f>IMAGE("file:///E:/Estudios%20y%20certificaciones/ESTUDIOS%20DE%20PROGRAMMING/PROGRAMMING/PERSONAL/PYTHON/Image_Generator_API/imagenes/NAUTICA_MENS_208004327_MTA_1.jpg")</f>
        <v/>
      </c>
      <c r="M2721">
        <f>IMAGE("file:///E:/Estudios%20y%20certificaciones/ESTUDIOS%20DE%20PROGRAMMING/PROGRAMMING/PERSONAL/PYTHON/Image_Generator_API/imagenes/NAUTICA_MENS_208004327_MTA_2.jpg")</f>
        <v/>
      </c>
      <c r="N2721">
        <f>IMAGE("file:///E:/Estudios%20y%20certificaciones/ESTUDIOS%20DE%20PROGRAMMING/PROGRAMMING/PERSONAL/PYTHON/Image_Generator_API/imagenes/NAUTICA_MENS_208004327_MTA_3.jpg")</f>
        <v/>
      </c>
      <c r="O2721">
        <f>HYPERLINK("imagenes/NAUTICA_MENS_208004327_MTA_1.jpg","Ver imagen")</f>
        <v/>
      </c>
      <c r="P2721">
        <f>HYPERLINK("imagenes/NAUTICA_MENS_208004327_MTA_2.jpg","Ver imagen")</f>
        <v/>
      </c>
      <c r="Q2721">
        <f>HYPERLINK("imagenes/NAUTICA_MENS_208004327_MTA_3.jpg","Ver imagen")</f>
        <v/>
      </c>
    </row>
    <row r="2722">
      <c r="A2722" t="inlineStr">
        <is>
          <t>NAUTICA MENS</t>
        </is>
      </c>
      <c r="B2722" t="inlineStr">
        <is>
          <t>208004327</t>
        </is>
      </c>
      <c r="C2722" t="inlineStr">
        <is>
          <t>TRANSITIONAL MIXED MEDIA JACKET</t>
        </is>
      </c>
      <c r="D2722" t="inlineStr">
        <is>
          <t>MTA</t>
        </is>
      </c>
      <c r="E2722" t="inlineStr">
        <is>
          <t>(en blanco)</t>
        </is>
      </c>
      <c r="F2722" t="inlineStr">
        <is>
          <t>(en blanco)</t>
        </is>
      </c>
      <c r="G2722" t="inlineStr">
        <is>
          <t>L</t>
        </is>
      </c>
      <c r="H2722" t="n">
        <v>24</v>
      </c>
      <c r="I2722" t="inlineStr">
        <is>
          <t>NAUTICA_MENS_208004327_MTA_1.jpg</t>
        </is>
      </c>
      <c r="J2722" t="inlineStr">
        <is>
          <t>NAUTICA_MENS_208004327_MTA_2.jpg</t>
        </is>
      </c>
      <c r="K2722" t="inlineStr">
        <is>
          <t>NAUTICA_MENS_208004327_MTA_3.jpg</t>
        </is>
      </c>
      <c r="L2722">
        <f>IMAGE("file:///E:/Estudios%20y%20certificaciones/ESTUDIOS%20DE%20PROGRAMMING/PROGRAMMING/PERSONAL/PYTHON/Image_Generator_API/imagenes/NAUTICA_MENS_208004327_MTA_1.jpg")</f>
        <v/>
      </c>
      <c r="M2722">
        <f>IMAGE("file:///E:/Estudios%20y%20certificaciones/ESTUDIOS%20DE%20PROGRAMMING/PROGRAMMING/PERSONAL/PYTHON/Image_Generator_API/imagenes/NAUTICA_MENS_208004327_MTA_2.jpg")</f>
        <v/>
      </c>
      <c r="N2722">
        <f>IMAGE("file:///E:/Estudios%20y%20certificaciones/ESTUDIOS%20DE%20PROGRAMMING/PROGRAMMING/PERSONAL/PYTHON/Image_Generator_API/imagenes/NAUTICA_MENS_208004327_MTA_3.jpg")</f>
        <v/>
      </c>
      <c r="O2722">
        <f>HYPERLINK("imagenes/NAUTICA_MENS_208004327_MTA_1.jpg","Ver imagen")</f>
        <v/>
      </c>
      <c r="P2722">
        <f>HYPERLINK("imagenes/NAUTICA_MENS_208004327_MTA_2.jpg","Ver imagen")</f>
        <v/>
      </c>
      <c r="Q2722">
        <f>HYPERLINK("imagenes/NAUTICA_MENS_208004327_MTA_3.jpg","Ver imagen")</f>
        <v/>
      </c>
    </row>
    <row r="2723">
      <c r="A2723" t="inlineStr">
        <is>
          <t>NAUTICA MENS</t>
        </is>
      </c>
      <c r="B2723" t="inlineStr">
        <is>
          <t>208004327</t>
        </is>
      </c>
      <c r="C2723" t="inlineStr">
        <is>
          <t>TRANSITIONAL MIXED MEDIA JACKET</t>
        </is>
      </c>
      <c r="D2723" t="inlineStr">
        <is>
          <t>MTA</t>
        </is>
      </c>
      <c r="E2723" t="inlineStr">
        <is>
          <t>(en blanco)</t>
        </is>
      </c>
      <c r="F2723" t="inlineStr">
        <is>
          <t>(en blanco)</t>
        </is>
      </c>
      <c r="G2723" t="inlineStr">
        <is>
          <t>XL</t>
        </is>
      </c>
      <c r="H2723" t="n">
        <v>19</v>
      </c>
      <c r="I2723" t="inlineStr">
        <is>
          <t>NAUTICA_MENS_208004327_MTA_1.jpg</t>
        </is>
      </c>
      <c r="J2723" t="inlineStr">
        <is>
          <t>NAUTICA_MENS_208004327_MTA_2.jpg</t>
        </is>
      </c>
      <c r="K2723" t="inlineStr">
        <is>
          <t>NAUTICA_MENS_208004327_MTA_3.jpg</t>
        </is>
      </c>
      <c r="L2723">
        <f>IMAGE("file:///E:/Estudios%20y%20certificaciones/ESTUDIOS%20DE%20PROGRAMMING/PROGRAMMING/PERSONAL/PYTHON/Image_Generator_API/imagenes/NAUTICA_MENS_208004327_MTA_1.jpg")</f>
        <v/>
      </c>
      <c r="M2723">
        <f>IMAGE("file:///E:/Estudios%20y%20certificaciones/ESTUDIOS%20DE%20PROGRAMMING/PROGRAMMING/PERSONAL/PYTHON/Image_Generator_API/imagenes/NAUTICA_MENS_208004327_MTA_2.jpg")</f>
        <v/>
      </c>
      <c r="N2723">
        <f>IMAGE("file:///E:/Estudios%20y%20certificaciones/ESTUDIOS%20DE%20PROGRAMMING/PROGRAMMING/PERSONAL/PYTHON/Image_Generator_API/imagenes/NAUTICA_MENS_208004327_MTA_3.jpg")</f>
        <v/>
      </c>
      <c r="O2723">
        <f>HYPERLINK("imagenes/NAUTICA_MENS_208004327_MTA_1.jpg","Ver imagen")</f>
        <v/>
      </c>
      <c r="P2723">
        <f>HYPERLINK("imagenes/NAUTICA_MENS_208004327_MTA_2.jpg","Ver imagen")</f>
        <v/>
      </c>
      <c r="Q2723">
        <f>HYPERLINK("imagenes/NAUTICA_MENS_208004327_MTA_3.jpg","Ver imagen")</f>
        <v/>
      </c>
    </row>
    <row r="2724">
      <c r="A2724" t="inlineStr">
        <is>
          <t>NAUTICA MENS</t>
        </is>
      </c>
      <c r="B2724" t="inlineStr">
        <is>
          <t>208004327</t>
        </is>
      </c>
      <c r="C2724" t="inlineStr">
        <is>
          <t>TRANSITIONAL MIXED MEDIA JACKET</t>
        </is>
      </c>
      <c r="D2724" t="inlineStr">
        <is>
          <t>MTA</t>
        </is>
      </c>
      <c r="E2724" t="inlineStr">
        <is>
          <t>(en blanco)</t>
        </is>
      </c>
      <c r="F2724" t="inlineStr">
        <is>
          <t>(en blanco)</t>
        </is>
      </c>
      <c r="G2724" t="inlineStr">
        <is>
          <t>XXL</t>
        </is>
      </c>
      <c r="H2724" t="n">
        <v>15</v>
      </c>
      <c r="I2724" t="inlineStr">
        <is>
          <t>NAUTICA_MENS_208004327_MTA_1.jpg</t>
        </is>
      </c>
      <c r="J2724" t="inlineStr">
        <is>
          <t>NAUTICA_MENS_208004327_MTA_2.jpg</t>
        </is>
      </c>
      <c r="K2724" t="inlineStr">
        <is>
          <t>NAUTICA_MENS_208004327_MTA_3.jpg</t>
        </is>
      </c>
      <c r="L2724">
        <f>IMAGE("file:///E:/Estudios%20y%20certificaciones/ESTUDIOS%20DE%20PROGRAMMING/PROGRAMMING/PERSONAL/PYTHON/Image_Generator_API/imagenes/NAUTICA_MENS_208004327_MTA_1.jpg")</f>
        <v/>
      </c>
      <c r="M2724">
        <f>IMAGE("file:///E:/Estudios%20y%20certificaciones/ESTUDIOS%20DE%20PROGRAMMING/PROGRAMMING/PERSONAL/PYTHON/Image_Generator_API/imagenes/NAUTICA_MENS_208004327_MTA_2.jpg")</f>
        <v/>
      </c>
      <c r="N2724">
        <f>IMAGE("file:///E:/Estudios%20y%20certificaciones/ESTUDIOS%20DE%20PROGRAMMING/PROGRAMMING/PERSONAL/PYTHON/Image_Generator_API/imagenes/NAUTICA_MENS_208004327_MTA_3.jpg")</f>
        <v/>
      </c>
      <c r="O2724">
        <f>HYPERLINK("imagenes/NAUTICA_MENS_208004327_MTA_1.jpg","Ver imagen")</f>
        <v/>
      </c>
      <c r="P2724">
        <f>HYPERLINK("imagenes/NAUTICA_MENS_208004327_MTA_2.jpg","Ver imagen")</f>
        <v/>
      </c>
      <c r="Q2724">
        <f>HYPERLINK("imagenes/NAUTICA_MENS_208004327_MTA_3.jpg","Ver imagen")</f>
        <v/>
      </c>
    </row>
    <row r="2725">
      <c r="A2725" t="inlineStr">
        <is>
          <t>NAUTICA MENS</t>
        </is>
      </c>
      <c r="B2725" t="inlineStr">
        <is>
          <t>208004327</t>
        </is>
      </c>
      <c r="C2725" t="inlineStr">
        <is>
          <t>TRANSITIONAL MIXED MEDIA JACKET</t>
        </is>
      </c>
      <c r="D2725" t="inlineStr">
        <is>
          <t>OLB</t>
        </is>
      </c>
      <c r="E2725" t="inlineStr">
        <is>
          <t>(en blanco)</t>
        </is>
      </c>
      <c r="F2725" t="inlineStr">
        <is>
          <t>(en blanco)</t>
        </is>
      </c>
      <c r="G2725" t="inlineStr">
        <is>
          <t>S</t>
        </is>
      </c>
      <c r="H2725" t="n">
        <v>5</v>
      </c>
      <c r="I2725" t="inlineStr">
        <is>
          <t>NAUTICA_MENS_208004327_OLB_1.jpg</t>
        </is>
      </c>
      <c r="J2725" t="inlineStr">
        <is>
          <t>NAUTICA_MENS_208004327_OLB_2.jpg</t>
        </is>
      </c>
      <c r="K2725" t="inlineStr">
        <is>
          <t>NAUTICA_MENS_208004327_OLB_3.jpg</t>
        </is>
      </c>
      <c r="L2725">
        <f>IMAGE("file:///E:/Estudios%20y%20certificaciones/ESTUDIOS%20DE%20PROGRAMMING/PROGRAMMING/PERSONAL/PYTHON/Image_Generator_API/imagenes/NAUTICA_MENS_208004327_OLB_1.jpg")</f>
        <v/>
      </c>
      <c r="M2725">
        <f>IMAGE("file:///E:/Estudios%20y%20certificaciones/ESTUDIOS%20DE%20PROGRAMMING/PROGRAMMING/PERSONAL/PYTHON/Image_Generator_API/imagenes/NAUTICA_MENS_208004327_OLB_2.jpg")</f>
        <v/>
      </c>
      <c r="N2725">
        <f>IMAGE("file:///E:/Estudios%20y%20certificaciones/ESTUDIOS%20DE%20PROGRAMMING/PROGRAMMING/PERSONAL/PYTHON/Image_Generator_API/imagenes/NAUTICA_MENS_208004327_OLB_3.jpg")</f>
        <v/>
      </c>
      <c r="O2725">
        <f>HYPERLINK("imagenes/NAUTICA_MENS_208004327_OLB_1.jpg","Ver imagen")</f>
        <v/>
      </c>
      <c r="P2725">
        <f>HYPERLINK("imagenes/NAUTICA_MENS_208004327_OLB_2.jpg","Ver imagen")</f>
        <v/>
      </c>
      <c r="Q2725">
        <f>HYPERLINK("imagenes/NAUTICA_MENS_208004327_OLB_3.jpg","Ver imagen")</f>
        <v/>
      </c>
    </row>
    <row r="2726">
      <c r="A2726" t="inlineStr">
        <is>
          <t>NAUTICA MENS</t>
        </is>
      </c>
      <c r="B2726" t="inlineStr">
        <is>
          <t>208004327</t>
        </is>
      </c>
      <c r="C2726" t="inlineStr">
        <is>
          <t>TRANSITIONAL MIXED MEDIA JACKET</t>
        </is>
      </c>
      <c r="D2726" t="inlineStr">
        <is>
          <t>OLB</t>
        </is>
      </c>
      <c r="E2726" t="inlineStr">
        <is>
          <t>(en blanco)</t>
        </is>
      </c>
      <c r="F2726" t="inlineStr">
        <is>
          <t>(en blanco)</t>
        </is>
      </c>
      <c r="G2726" t="inlineStr">
        <is>
          <t>M</t>
        </is>
      </c>
      <c r="H2726" t="n">
        <v>27</v>
      </c>
      <c r="I2726" t="inlineStr">
        <is>
          <t>NAUTICA_MENS_208004327_OLB_1.jpg</t>
        </is>
      </c>
      <c r="J2726" t="inlineStr">
        <is>
          <t>NAUTICA_MENS_208004327_OLB_2.jpg</t>
        </is>
      </c>
      <c r="K2726" t="inlineStr">
        <is>
          <t>NAUTICA_MENS_208004327_OLB_3.jpg</t>
        </is>
      </c>
      <c r="L2726">
        <f>IMAGE("file:///E:/Estudios%20y%20certificaciones/ESTUDIOS%20DE%20PROGRAMMING/PROGRAMMING/PERSONAL/PYTHON/Image_Generator_API/imagenes/NAUTICA_MENS_208004327_OLB_1.jpg")</f>
        <v/>
      </c>
      <c r="M2726">
        <f>IMAGE("file:///E:/Estudios%20y%20certificaciones/ESTUDIOS%20DE%20PROGRAMMING/PROGRAMMING/PERSONAL/PYTHON/Image_Generator_API/imagenes/NAUTICA_MENS_208004327_OLB_2.jpg")</f>
        <v/>
      </c>
      <c r="N2726">
        <f>IMAGE("file:///E:/Estudios%20y%20certificaciones/ESTUDIOS%20DE%20PROGRAMMING/PROGRAMMING/PERSONAL/PYTHON/Image_Generator_API/imagenes/NAUTICA_MENS_208004327_OLB_3.jpg")</f>
        <v/>
      </c>
      <c r="O2726">
        <f>HYPERLINK("imagenes/NAUTICA_MENS_208004327_OLB_1.jpg","Ver imagen")</f>
        <v/>
      </c>
      <c r="P2726">
        <f>HYPERLINK("imagenes/NAUTICA_MENS_208004327_OLB_2.jpg","Ver imagen")</f>
        <v/>
      </c>
      <c r="Q2726">
        <f>HYPERLINK("imagenes/NAUTICA_MENS_208004327_OLB_3.jpg","Ver imagen")</f>
        <v/>
      </c>
    </row>
    <row r="2727">
      <c r="A2727" t="inlineStr">
        <is>
          <t>NAUTICA MENS</t>
        </is>
      </c>
      <c r="B2727" t="inlineStr">
        <is>
          <t>208004327</t>
        </is>
      </c>
      <c r="C2727" t="inlineStr">
        <is>
          <t>TRANSITIONAL MIXED MEDIA JACKET</t>
        </is>
      </c>
      <c r="D2727" t="inlineStr">
        <is>
          <t>OLB</t>
        </is>
      </c>
      <c r="E2727" t="inlineStr">
        <is>
          <t>(en blanco)</t>
        </is>
      </c>
      <c r="F2727" t="inlineStr">
        <is>
          <t>(en blanco)</t>
        </is>
      </c>
      <c r="G2727" t="inlineStr">
        <is>
          <t>L</t>
        </is>
      </c>
      <c r="H2727" t="n">
        <v>24</v>
      </c>
      <c r="I2727" t="inlineStr">
        <is>
          <t>NAUTICA_MENS_208004327_OLB_1.jpg</t>
        </is>
      </c>
      <c r="J2727" t="inlineStr">
        <is>
          <t>NAUTICA_MENS_208004327_OLB_2.jpg</t>
        </is>
      </c>
      <c r="K2727" t="inlineStr">
        <is>
          <t>NAUTICA_MENS_208004327_OLB_3.jpg</t>
        </is>
      </c>
      <c r="L2727">
        <f>IMAGE("file:///E:/Estudios%20y%20certificaciones/ESTUDIOS%20DE%20PROGRAMMING/PROGRAMMING/PERSONAL/PYTHON/Image_Generator_API/imagenes/NAUTICA_MENS_208004327_OLB_1.jpg")</f>
        <v/>
      </c>
      <c r="M2727">
        <f>IMAGE("file:///E:/Estudios%20y%20certificaciones/ESTUDIOS%20DE%20PROGRAMMING/PROGRAMMING/PERSONAL/PYTHON/Image_Generator_API/imagenes/NAUTICA_MENS_208004327_OLB_2.jpg")</f>
        <v/>
      </c>
      <c r="N2727">
        <f>IMAGE("file:///E:/Estudios%20y%20certificaciones/ESTUDIOS%20DE%20PROGRAMMING/PROGRAMMING/PERSONAL/PYTHON/Image_Generator_API/imagenes/NAUTICA_MENS_208004327_OLB_3.jpg")</f>
        <v/>
      </c>
      <c r="O2727">
        <f>HYPERLINK("imagenes/NAUTICA_MENS_208004327_OLB_1.jpg","Ver imagen")</f>
        <v/>
      </c>
      <c r="P2727">
        <f>HYPERLINK("imagenes/NAUTICA_MENS_208004327_OLB_2.jpg","Ver imagen")</f>
        <v/>
      </c>
      <c r="Q2727">
        <f>HYPERLINK("imagenes/NAUTICA_MENS_208004327_OLB_3.jpg","Ver imagen")</f>
        <v/>
      </c>
    </row>
    <row r="2728">
      <c r="A2728" t="inlineStr">
        <is>
          <t>NAUTICA MENS</t>
        </is>
      </c>
      <c r="B2728" t="inlineStr">
        <is>
          <t>208004327</t>
        </is>
      </c>
      <c r="C2728" t="inlineStr">
        <is>
          <t>TRANSITIONAL MIXED MEDIA JACKET</t>
        </is>
      </c>
      <c r="D2728" t="inlineStr">
        <is>
          <t>OLB</t>
        </is>
      </c>
      <c r="E2728" t="inlineStr">
        <is>
          <t>(en blanco)</t>
        </is>
      </c>
      <c r="F2728" t="inlineStr">
        <is>
          <t>(en blanco)</t>
        </is>
      </c>
      <c r="G2728" t="inlineStr">
        <is>
          <t>XL</t>
        </is>
      </c>
      <c r="H2728" t="n">
        <v>25</v>
      </c>
      <c r="I2728" t="inlineStr">
        <is>
          <t>NAUTICA_MENS_208004327_OLB_1.jpg</t>
        </is>
      </c>
      <c r="J2728" t="inlineStr">
        <is>
          <t>NAUTICA_MENS_208004327_OLB_2.jpg</t>
        </is>
      </c>
      <c r="K2728" t="inlineStr">
        <is>
          <t>NAUTICA_MENS_208004327_OLB_3.jpg</t>
        </is>
      </c>
      <c r="L2728">
        <f>IMAGE("file:///E:/Estudios%20y%20certificaciones/ESTUDIOS%20DE%20PROGRAMMING/PROGRAMMING/PERSONAL/PYTHON/Image_Generator_API/imagenes/NAUTICA_MENS_208004327_OLB_1.jpg")</f>
        <v/>
      </c>
      <c r="M2728">
        <f>IMAGE("file:///E:/Estudios%20y%20certificaciones/ESTUDIOS%20DE%20PROGRAMMING/PROGRAMMING/PERSONAL/PYTHON/Image_Generator_API/imagenes/NAUTICA_MENS_208004327_OLB_2.jpg")</f>
        <v/>
      </c>
      <c r="N2728">
        <f>IMAGE("file:///E:/Estudios%20y%20certificaciones/ESTUDIOS%20DE%20PROGRAMMING/PROGRAMMING/PERSONAL/PYTHON/Image_Generator_API/imagenes/NAUTICA_MENS_208004327_OLB_3.jpg")</f>
        <v/>
      </c>
      <c r="O2728">
        <f>HYPERLINK("imagenes/NAUTICA_MENS_208004327_OLB_1.jpg","Ver imagen")</f>
        <v/>
      </c>
      <c r="P2728">
        <f>HYPERLINK("imagenes/NAUTICA_MENS_208004327_OLB_2.jpg","Ver imagen")</f>
        <v/>
      </c>
      <c r="Q2728">
        <f>HYPERLINK("imagenes/NAUTICA_MENS_208004327_OLB_3.jpg","Ver imagen")</f>
        <v/>
      </c>
    </row>
    <row r="2729">
      <c r="A2729" t="inlineStr">
        <is>
          <t>NAUTICA MENS</t>
        </is>
      </c>
      <c r="B2729" t="inlineStr">
        <is>
          <t>208004399</t>
        </is>
      </c>
      <c r="C2729" t="inlineStr">
        <is>
          <t>TRANSITIONAL MIXED MEDIA VEST</t>
        </is>
      </c>
      <c r="D2729" t="inlineStr">
        <is>
          <t>MTA</t>
        </is>
      </c>
      <c r="E2729" t="inlineStr">
        <is>
          <t>(en blanco)</t>
        </is>
      </c>
      <c r="F2729" t="inlineStr">
        <is>
          <t>(en blanco)</t>
        </is>
      </c>
      <c r="G2729" t="inlineStr">
        <is>
          <t>L</t>
        </is>
      </c>
      <c r="H2729" t="n">
        <v>14</v>
      </c>
      <c r="I2729" t="inlineStr">
        <is>
          <t>NAUTICA_MENS_208004399_MTA_1.jpg</t>
        </is>
      </c>
      <c r="J2729" t="inlineStr">
        <is>
          <t>NAUTICA_MENS_208004399_MTA_2.jpg</t>
        </is>
      </c>
      <c r="K2729" t="inlineStr">
        <is>
          <t>NAUTICA_MENS_208004399_MTA_3.jpg</t>
        </is>
      </c>
      <c r="L2729">
        <f>IMAGE("file:///E:/Estudios%20y%20certificaciones/ESTUDIOS%20DE%20PROGRAMMING/PROGRAMMING/PERSONAL/PYTHON/Image_Generator_API/imagenes/NAUTICA_MENS_208004399_MTA_1.jpg")</f>
        <v/>
      </c>
      <c r="M2729">
        <f>IMAGE("file:///E:/Estudios%20y%20certificaciones/ESTUDIOS%20DE%20PROGRAMMING/PROGRAMMING/PERSONAL/PYTHON/Image_Generator_API/imagenes/NAUTICA_MENS_208004399_MTA_2.jpg")</f>
        <v/>
      </c>
      <c r="N2729">
        <f>IMAGE("file:///E:/Estudios%20y%20certificaciones/ESTUDIOS%20DE%20PROGRAMMING/PROGRAMMING/PERSONAL/PYTHON/Image_Generator_API/imagenes/NAUTICA_MENS_208004399_MTA_3.jpg")</f>
        <v/>
      </c>
      <c r="O2729">
        <f>HYPERLINK("imagenes/NAUTICA_MENS_208004399_MTA_1.jpg","Ver imagen")</f>
        <v/>
      </c>
      <c r="P2729">
        <f>HYPERLINK("imagenes/NAUTICA_MENS_208004399_MTA_2.jpg","Ver imagen")</f>
        <v/>
      </c>
      <c r="Q2729">
        <f>HYPERLINK("imagenes/NAUTICA_MENS_208004399_MTA_3.jpg","Ver imagen")</f>
        <v/>
      </c>
    </row>
    <row r="2730">
      <c r="A2730" t="inlineStr">
        <is>
          <t>NAUTICA MENS</t>
        </is>
      </c>
      <c r="B2730" t="inlineStr">
        <is>
          <t>208004399</t>
        </is>
      </c>
      <c r="C2730" t="inlineStr">
        <is>
          <t>TRANSITIONAL MIXED MEDIA VEST</t>
        </is>
      </c>
      <c r="D2730" t="inlineStr">
        <is>
          <t>NSS</t>
        </is>
      </c>
      <c r="E2730" t="inlineStr">
        <is>
          <t>(en blanco)</t>
        </is>
      </c>
      <c r="F2730" t="inlineStr">
        <is>
          <t>(en blanco)</t>
        </is>
      </c>
      <c r="G2730" t="inlineStr">
        <is>
          <t>S</t>
        </is>
      </c>
      <c r="H2730" t="n">
        <v>1</v>
      </c>
      <c r="I2730" t="inlineStr">
        <is>
          <t>NAUTICA_MENS_208004399_NSS_1.jpg</t>
        </is>
      </c>
      <c r="J2730" t="inlineStr">
        <is>
          <t>NAUTICA_MENS_208004399_NSS_2.jpg</t>
        </is>
      </c>
      <c r="K2730" t="inlineStr">
        <is>
          <t>NAUTICA_MENS_208004399_NSS_3.jpg</t>
        </is>
      </c>
      <c r="L2730">
        <f>IMAGE("file:///E:/Estudios%20y%20certificaciones/ESTUDIOS%20DE%20PROGRAMMING/PROGRAMMING/PERSONAL/PYTHON/Image_Generator_API/imagenes/NAUTICA_MENS_208004399_NSS_1.jpg")</f>
        <v/>
      </c>
      <c r="M2730">
        <f>IMAGE("file:///E:/Estudios%20y%20certificaciones/ESTUDIOS%20DE%20PROGRAMMING/PROGRAMMING/PERSONAL/PYTHON/Image_Generator_API/imagenes/NAUTICA_MENS_208004399_NSS_2.jpg")</f>
        <v/>
      </c>
      <c r="N2730">
        <f>IMAGE("file:///E:/Estudios%20y%20certificaciones/ESTUDIOS%20DE%20PROGRAMMING/PROGRAMMING/PERSONAL/PYTHON/Image_Generator_API/imagenes/NAUTICA_MENS_208004399_NSS_3.jpg")</f>
        <v/>
      </c>
      <c r="O2730">
        <f>HYPERLINK("imagenes/NAUTICA_MENS_208004399_NSS_1.jpg","Ver imagen")</f>
        <v/>
      </c>
      <c r="P2730">
        <f>HYPERLINK("imagenes/NAUTICA_MENS_208004399_NSS_2.jpg","Ver imagen")</f>
        <v/>
      </c>
      <c r="Q2730">
        <f>HYPERLINK("imagenes/NAUTICA_MENS_208004399_NSS_3.jpg","Ver imagen")</f>
        <v/>
      </c>
    </row>
    <row r="2731">
      <c r="A2731" t="inlineStr">
        <is>
          <t>NAUTICA MENS</t>
        </is>
      </c>
      <c r="B2731" t="inlineStr">
        <is>
          <t>208004399</t>
        </is>
      </c>
      <c r="C2731" t="inlineStr">
        <is>
          <t>TRANSITIONAL MIXED MEDIA VEST</t>
        </is>
      </c>
      <c r="D2731" t="inlineStr">
        <is>
          <t>NSS</t>
        </is>
      </c>
      <c r="E2731" t="inlineStr">
        <is>
          <t>(en blanco)</t>
        </is>
      </c>
      <c r="F2731" t="inlineStr">
        <is>
          <t>(en blanco)</t>
        </is>
      </c>
      <c r="G2731" t="inlineStr">
        <is>
          <t>L</t>
        </is>
      </c>
      <c r="H2731" t="n">
        <v>0</v>
      </c>
      <c r="I2731" t="inlineStr">
        <is>
          <t>NAUTICA_MENS_208004399_NSS_1.jpg</t>
        </is>
      </c>
      <c r="J2731" t="inlineStr">
        <is>
          <t>NAUTICA_MENS_208004399_NSS_2.jpg</t>
        </is>
      </c>
      <c r="K2731" t="inlineStr">
        <is>
          <t>NAUTICA_MENS_208004399_NSS_3.jpg</t>
        </is>
      </c>
      <c r="L2731">
        <f>IMAGE("file:///E:/Estudios%20y%20certificaciones/ESTUDIOS%20DE%20PROGRAMMING/PROGRAMMING/PERSONAL/PYTHON/Image_Generator_API/imagenes/NAUTICA_MENS_208004399_NSS_1.jpg")</f>
        <v/>
      </c>
      <c r="M2731">
        <f>IMAGE("file:///E:/Estudios%20y%20certificaciones/ESTUDIOS%20DE%20PROGRAMMING/PROGRAMMING/PERSONAL/PYTHON/Image_Generator_API/imagenes/NAUTICA_MENS_208004399_NSS_2.jpg")</f>
        <v/>
      </c>
      <c r="N2731">
        <f>IMAGE("file:///E:/Estudios%20y%20certificaciones/ESTUDIOS%20DE%20PROGRAMMING/PROGRAMMING/PERSONAL/PYTHON/Image_Generator_API/imagenes/NAUTICA_MENS_208004399_NSS_3.jpg")</f>
        <v/>
      </c>
      <c r="O2731">
        <f>HYPERLINK("imagenes/NAUTICA_MENS_208004399_NSS_1.jpg","Ver imagen")</f>
        <v/>
      </c>
      <c r="P2731">
        <f>HYPERLINK("imagenes/NAUTICA_MENS_208004399_NSS_2.jpg","Ver imagen")</f>
        <v/>
      </c>
      <c r="Q2731">
        <f>HYPERLINK("imagenes/NAUTICA_MENS_208004399_NSS_3.jpg","Ver imagen")</f>
        <v/>
      </c>
    </row>
    <row r="2732">
      <c r="A2732" t="inlineStr">
        <is>
          <t>NAUTICA MENS</t>
        </is>
      </c>
      <c r="B2732" t="inlineStr">
        <is>
          <t>208004961</t>
        </is>
      </c>
      <c r="C2732" t="inlineStr">
        <is>
          <t>TRANSITIONAL MIXED MEDIA HOODIE</t>
        </is>
      </c>
      <c r="D2732" t="inlineStr">
        <is>
          <t>BLK</t>
        </is>
      </c>
      <c r="E2732" t="inlineStr">
        <is>
          <t>10A10</t>
        </is>
      </c>
      <c r="F2732" t="inlineStr">
        <is>
          <t>N1160</t>
        </is>
      </c>
      <c r="G2732" t="inlineStr">
        <is>
          <t>PPK</t>
        </is>
      </c>
      <c r="H2732" t="n">
        <v>10</v>
      </c>
      <c r="I2732" t="inlineStr">
        <is>
          <t>NAUTICA_MENS_208004961_BLK_1.jpg</t>
        </is>
      </c>
      <c r="J2732" t="inlineStr">
        <is>
          <t>NAUTICA_MENS_208004961_BLK_2.jpg</t>
        </is>
      </c>
      <c r="K2732" t="inlineStr">
        <is>
          <t>NAUTICA_MENS_208004961_BLK_3.jpg</t>
        </is>
      </c>
      <c r="L2732">
        <f>IMAGE("file:///E:/Estudios%20y%20certificaciones/ESTUDIOS%20DE%20PROGRAMMING/PROGRAMMING/PERSONAL/PYTHON/Image_Generator_API/imagenes/NAUTICA_MENS_208004961_BLK_1.jpg")</f>
        <v/>
      </c>
      <c r="M2732">
        <f>IMAGE("file:///E:/Estudios%20y%20certificaciones/ESTUDIOS%20DE%20PROGRAMMING/PROGRAMMING/PERSONAL/PYTHON/Image_Generator_API/imagenes/NAUTICA_MENS_208004961_BLK_2.jpg")</f>
        <v/>
      </c>
      <c r="N2732">
        <f>IMAGE("file:///E:/Estudios%20y%20certificaciones/ESTUDIOS%20DE%20PROGRAMMING/PROGRAMMING/PERSONAL/PYTHON/Image_Generator_API/imagenes/NAUTICA_MENS_208004961_BLK_3.jpg")</f>
        <v/>
      </c>
      <c r="O2732">
        <f>HYPERLINK("imagenes/NAUTICA_MENS_208004961_BLK_1.jpg","Ver imagen")</f>
        <v/>
      </c>
      <c r="P2732">
        <f>HYPERLINK("imagenes/NAUTICA_MENS_208004961_BLK_2.jpg","Ver imagen")</f>
        <v/>
      </c>
      <c r="Q2732">
        <f>HYPERLINK("imagenes/NAUTICA_MENS_208004961_BLK_3.jpg","Ver imagen")</f>
        <v/>
      </c>
    </row>
    <row r="2733">
      <c r="A2733" t="inlineStr">
        <is>
          <t>NAUTICA MENS</t>
        </is>
      </c>
      <c r="B2733" t="inlineStr">
        <is>
          <t>208004962</t>
        </is>
      </c>
      <c r="C2733" t="inlineStr">
        <is>
          <t>REVERSIBLE HOODIE</t>
        </is>
      </c>
      <c r="D2733" t="inlineStr">
        <is>
          <t>BLK</t>
        </is>
      </c>
      <c r="E2733" t="inlineStr">
        <is>
          <t>(en blanco)</t>
        </is>
      </c>
      <c r="F2733" t="inlineStr">
        <is>
          <t>(en blanco)</t>
        </is>
      </c>
      <c r="G2733" t="inlineStr">
        <is>
          <t>L</t>
        </is>
      </c>
      <c r="H2733" t="n">
        <v>1</v>
      </c>
      <c r="I2733" t="inlineStr">
        <is>
          <t>NAUTICA_MENS_208004962_BLK_1.jpg</t>
        </is>
      </c>
      <c r="J2733" t="inlineStr">
        <is>
          <t>NAUTICA_MENS_208004962_BLK_2.jpg</t>
        </is>
      </c>
      <c r="K2733" t="inlineStr">
        <is>
          <t>NAUTICA_MENS_208004962_BLK_3.jpg</t>
        </is>
      </c>
      <c r="L2733">
        <f>IMAGE("file:///E:/Estudios%20y%20certificaciones/ESTUDIOS%20DE%20PROGRAMMING/PROGRAMMING/PERSONAL/PYTHON/Image_Generator_API/imagenes/NAUTICA_MENS_208004962_BLK_1.jpg")</f>
        <v/>
      </c>
      <c r="M2733">
        <f>IMAGE("file:///E:/Estudios%20y%20certificaciones/ESTUDIOS%20DE%20PROGRAMMING/PROGRAMMING/PERSONAL/PYTHON/Image_Generator_API/imagenes/NAUTICA_MENS_208004962_BLK_2.jpg")</f>
        <v/>
      </c>
      <c r="N2733">
        <f>IMAGE("file:///E:/Estudios%20y%20certificaciones/ESTUDIOS%20DE%20PROGRAMMING/PROGRAMMING/PERSONAL/PYTHON/Image_Generator_API/imagenes/NAUTICA_MENS_208004962_BLK_3.jpg")</f>
        <v/>
      </c>
      <c r="O2733">
        <f>HYPERLINK("imagenes/NAUTICA_MENS_208004962_BLK_1.jpg","Ver imagen")</f>
        <v/>
      </c>
      <c r="P2733">
        <f>HYPERLINK("imagenes/NAUTICA_MENS_208004962_BLK_2.jpg","Ver imagen")</f>
        <v/>
      </c>
      <c r="Q2733">
        <f>HYPERLINK("imagenes/NAUTICA_MENS_208004962_BLK_3.jpg","Ver imagen")</f>
        <v/>
      </c>
    </row>
    <row r="2734">
      <c r="A2734" t="inlineStr">
        <is>
          <t>NAUTICA MENS</t>
        </is>
      </c>
      <c r="B2734" t="inlineStr">
        <is>
          <t>208005015</t>
        </is>
      </c>
      <c r="C2734" t="inlineStr">
        <is>
          <t>Lt Weight Quilted Vest</t>
        </is>
      </c>
      <c r="D2734" t="inlineStr">
        <is>
          <t>BLK</t>
        </is>
      </c>
      <c r="E2734" t="inlineStr">
        <is>
          <t>06A23</t>
        </is>
      </c>
      <c r="F2734" t="inlineStr">
        <is>
          <t>R2140</t>
        </is>
      </c>
      <c r="G2734" t="inlineStr">
        <is>
          <t>PPK</t>
        </is>
      </c>
      <c r="H2734" t="n">
        <v>0</v>
      </c>
      <c r="I2734" t="inlineStr">
        <is>
          <t>NAUTICA_MENS_208005015_BLK_1.jpg</t>
        </is>
      </c>
      <c r="J2734" t="inlineStr">
        <is>
          <t>NAUTICA_MENS_208005015_BLK_2.jpg</t>
        </is>
      </c>
      <c r="K2734" t="inlineStr">
        <is>
          <t>NAUTICA_MENS_208005015_BLK_3.jpg</t>
        </is>
      </c>
      <c r="L2734">
        <f>IMAGE("file:///E:/Estudios%20y%20certificaciones/ESTUDIOS%20DE%20PROGRAMMING/PROGRAMMING/PERSONAL/PYTHON/Image_Generator_API/imagenes/NAUTICA_MENS_208005015_BLK_1.jpg")</f>
        <v/>
      </c>
      <c r="M2734">
        <f>IMAGE("file:///E:/Estudios%20y%20certificaciones/ESTUDIOS%20DE%20PROGRAMMING/PROGRAMMING/PERSONAL/PYTHON/Image_Generator_API/imagenes/NAUTICA_MENS_208005015_BLK_2.jpg")</f>
        <v/>
      </c>
      <c r="N2734">
        <f>IMAGE("file:///E:/Estudios%20y%20certificaciones/ESTUDIOS%20DE%20PROGRAMMING/PROGRAMMING/PERSONAL/PYTHON/Image_Generator_API/imagenes/NAUTICA_MENS_208005015_BLK_3.jpg")</f>
        <v/>
      </c>
      <c r="O2734">
        <f>HYPERLINK("imagenes/NAUTICA_MENS_208005015_BLK_1.jpg","Ver imagen")</f>
        <v/>
      </c>
      <c r="P2734">
        <f>HYPERLINK("imagenes/NAUTICA_MENS_208005015_BLK_2.jpg","Ver imagen")</f>
        <v/>
      </c>
      <c r="Q2734">
        <f>HYPERLINK("imagenes/NAUTICA_MENS_208005015_BLK_3.jpg","Ver imagen")</f>
        <v/>
      </c>
    </row>
    <row r="2735">
      <c r="A2735" t="inlineStr">
        <is>
          <t>NAUTICA MENS</t>
        </is>
      </c>
      <c r="B2735" t="inlineStr">
        <is>
          <t>208005137</t>
        </is>
      </c>
      <c r="C2735" t="inlineStr">
        <is>
          <t>GOLF HYBRID JACKET</t>
        </is>
      </c>
      <c r="D2735" t="inlineStr">
        <is>
          <t>CB1</t>
        </is>
      </c>
      <c r="E2735" t="inlineStr">
        <is>
          <t>(en blanco)</t>
        </is>
      </c>
      <c r="F2735" t="inlineStr">
        <is>
          <t>N1160</t>
        </is>
      </c>
      <c r="G2735" t="inlineStr">
        <is>
          <t>M</t>
        </is>
      </c>
      <c r="H2735" t="n">
        <v>10</v>
      </c>
      <c r="I2735" t="inlineStr">
        <is>
          <t>NAUTICA_MENS_208005137_CB1_1.jpg</t>
        </is>
      </c>
      <c r="J2735" t="inlineStr">
        <is>
          <t>NAUTICA_MENS_208005137_CB1_2.jpg</t>
        </is>
      </c>
      <c r="K2735" t="inlineStr">
        <is>
          <t>NAUTICA_MENS_208005137_CB1_3.jpg</t>
        </is>
      </c>
      <c r="L2735">
        <f>IMAGE("file:///E:/Estudios%20y%20certificaciones/ESTUDIOS%20DE%20PROGRAMMING/PROGRAMMING/PERSONAL/PYTHON/Image_Generator_API/imagenes/NAUTICA_MENS_208005137_CB1_1.jpg")</f>
        <v/>
      </c>
      <c r="M2735">
        <f>IMAGE("file:///E:/Estudios%20y%20certificaciones/ESTUDIOS%20DE%20PROGRAMMING/PROGRAMMING/PERSONAL/PYTHON/Image_Generator_API/imagenes/NAUTICA_MENS_208005137_CB1_2.jpg")</f>
        <v/>
      </c>
      <c r="N2735">
        <f>IMAGE("file:///E:/Estudios%20y%20certificaciones/ESTUDIOS%20DE%20PROGRAMMING/PROGRAMMING/PERSONAL/PYTHON/Image_Generator_API/imagenes/NAUTICA_MENS_208005137_CB1_3.jpg")</f>
        <v/>
      </c>
      <c r="O2735">
        <f>HYPERLINK("imagenes/NAUTICA_MENS_208005137_CB1_1.jpg","Ver imagen")</f>
        <v/>
      </c>
      <c r="P2735">
        <f>HYPERLINK("imagenes/NAUTICA_MENS_208005137_CB1_2.jpg","Ver imagen")</f>
        <v/>
      </c>
      <c r="Q2735">
        <f>HYPERLINK("imagenes/NAUTICA_MENS_208005137_CB1_3.jpg","Ver imagen")</f>
        <v/>
      </c>
    </row>
    <row r="2736">
      <c r="A2736" t="inlineStr">
        <is>
          <t>NAUTICA MENS</t>
        </is>
      </c>
      <c r="B2736" t="inlineStr">
        <is>
          <t>208005137</t>
        </is>
      </c>
      <c r="C2736" t="inlineStr">
        <is>
          <t>GOLF HYBRID JACKET</t>
        </is>
      </c>
      <c r="D2736" t="inlineStr">
        <is>
          <t>CB1</t>
        </is>
      </c>
      <c r="E2736" t="inlineStr">
        <is>
          <t>(en blanco)</t>
        </is>
      </c>
      <c r="F2736" t="inlineStr">
        <is>
          <t>N1160</t>
        </is>
      </c>
      <c r="G2736" t="inlineStr">
        <is>
          <t>L</t>
        </is>
      </c>
      <c r="H2736" t="n">
        <v>10</v>
      </c>
      <c r="I2736" t="inlineStr">
        <is>
          <t>NAUTICA_MENS_208005137_CB1_1.jpg</t>
        </is>
      </c>
      <c r="J2736" t="inlineStr">
        <is>
          <t>NAUTICA_MENS_208005137_CB1_2.jpg</t>
        </is>
      </c>
      <c r="K2736" t="inlineStr">
        <is>
          <t>NAUTICA_MENS_208005137_CB1_3.jpg</t>
        </is>
      </c>
      <c r="L2736">
        <f>IMAGE("file:///E:/Estudios%20y%20certificaciones/ESTUDIOS%20DE%20PROGRAMMING/PROGRAMMING/PERSONAL/PYTHON/Image_Generator_API/imagenes/NAUTICA_MENS_208005137_CB1_1.jpg")</f>
        <v/>
      </c>
      <c r="M2736">
        <f>IMAGE("file:///E:/Estudios%20y%20certificaciones/ESTUDIOS%20DE%20PROGRAMMING/PROGRAMMING/PERSONAL/PYTHON/Image_Generator_API/imagenes/NAUTICA_MENS_208005137_CB1_2.jpg")</f>
        <v/>
      </c>
      <c r="N2736">
        <f>IMAGE("file:///E:/Estudios%20y%20certificaciones/ESTUDIOS%20DE%20PROGRAMMING/PROGRAMMING/PERSONAL/PYTHON/Image_Generator_API/imagenes/NAUTICA_MENS_208005137_CB1_3.jpg")</f>
        <v/>
      </c>
      <c r="O2736">
        <f>HYPERLINK("imagenes/NAUTICA_MENS_208005137_CB1_1.jpg","Ver imagen")</f>
        <v/>
      </c>
      <c r="P2736">
        <f>HYPERLINK("imagenes/NAUTICA_MENS_208005137_CB1_2.jpg","Ver imagen")</f>
        <v/>
      </c>
      <c r="Q2736">
        <f>HYPERLINK("imagenes/NAUTICA_MENS_208005137_CB1_3.jpg","Ver imagen")</f>
        <v/>
      </c>
    </row>
    <row r="2737">
      <c r="A2737" t="inlineStr">
        <is>
          <t>NAUTICA MENS</t>
        </is>
      </c>
      <c r="B2737" t="inlineStr">
        <is>
          <t>208005137</t>
        </is>
      </c>
      <c r="C2737" t="inlineStr">
        <is>
          <t>GOLF HYBRID JACKET</t>
        </is>
      </c>
      <c r="D2737" t="inlineStr">
        <is>
          <t>NSS</t>
        </is>
      </c>
      <c r="E2737" t="inlineStr">
        <is>
          <t>(en blanco)</t>
        </is>
      </c>
      <c r="F2737" t="inlineStr">
        <is>
          <t>N1160</t>
        </is>
      </c>
      <c r="G2737" t="inlineStr">
        <is>
          <t>XS</t>
        </is>
      </c>
      <c r="H2737" t="n">
        <v>10</v>
      </c>
      <c r="I2737" t="inlineStr">
        <is>
          <t>NAUTICA_MENS_208005137_NSS_1.jpg</t>
        </is>
      </c>
      <c r="J2737" t="inlineStr">
        <is>
          <t>NAUTICA_MENS_208005137_NSS_2.jpg</t>
        </is>
      </c>
      <c r="K2737" t="inlineStr">
        <is>
          <t>NAUTICA_MENS_208005137_NSS_3.jpg</t>
        </is>
      </c>
      <c r="L2737">
        <f>IMAGE("file:///E:/Estudios%20y%20certificaciones/ESTUDIOS%20DE%20PROGRAMMING/PROGRAMMING/PERSONAL/PYTHON/Image_Generator_API/imagenes/NAUTICA_MENS_208005137_NSS_1.jpg")</f>
        <v/>
      </c>
      <c r="M2737">
        <f>IMAGE("file:///E:/Estudios%20y%20certificaciones/ESTUDIOS%20DE%20PROGRAMMING/PROGRAMMING/PERSONAL/PYTHON/Image_Generator_API/imagenes/NAUTICA_MENS_208005137_NSS_2.jpg")</f>
        <v/>
      </c>
      <c r="N2737">
        <f>IMAGE("file:///E:/Estudios%20y%20certificaciones/ESTUDIOS%20DE%20PROGRAMMING/PROGRAMMING/PERSONAL/PYTHON/Image_Generator_API/imagenes/NAUTICA_MENS_208005137_NSS_3.jpg")</f>
        <v/>
      </c>
      <c r="O2737">
        <f>HYPERLINK("imagenes/NAUTICA_MENS_208005137_NSS_1.jpg","Ver imagen")</f>
        <v/>
      </c>
      <c r="P2737">
        <f>HYPERLINK("imagenes/NAUTICA_MENS_208005137_NSS_2.jpg","Ver imagen")</f>
        <v/>
      </c>
      <c r="Q2737">
        <f>HYPERLINK("imagenes/NAUTICA_MENS_208005137_NSS_3.jpg","Ver imagen")</f>
        <v/>
      </c>
    </row>
    <row r="2738">
      <c r="A2738" t="inlineStr">
        <is>
          <t>NAUTICA MENS</t>
        </is>
      </c>
      <c r="B2738" t="inlineStr">
        <is>
          <t>208005137</t>
        </is>
      </c>
      <c r="C2738" t="inlineStr">
        <is>
          <t>GOLF HYBRID JACKET</t>
        </is>
      </c>
      <c r="D2738" t="inlineStr">
        <is>
          <t>NSS</t>
        </is>
      </c>
      <c r="E2738" t="inlineStr">
        <is>
          <t>(en blanco)</t>
        </is>
      </c>
      <c r="F2738" t="inlineStr">
        <is>
          <t>N1160</t>
        </is>
      </c>
      <c r="G2738" t="inlineStr">
        <is>
          <t>S</t>
        </is>
      </c>
      <c r="H2738" t="n">
        <v>16</v>
      </c>
      <c r="I2738" t="inlineStr">
        <is>
          <t>NAUTICA_MENS_208005137_NSS_1.jpg</t>
        </is>
      </c>
      <c r="J2738" t="inlineStr">
        <is>
          <t>NAUTICA_MENS_208005137_NSS_2.jpg</t>
        </is>
      </c>
      <c r="K2738" t="inlineStr">
        <is>
          <t>NAUTICA_MENS_208005137_NSS_3.jpg</t>
        </is>
      </c>
      <c r="L2738">
        <f>IMAGE("file:///E:/Estudios%20y%20certificaciones/ESTUDIOS%20DE%20PROGRAMMING/PROGRAMMING/PERSONAL/PYTHON/Image_Generator_API/imagenes/NAUTICA_MENS_208005137_NSS_1.jpg")</f>
        <v/>
      </c>
      <c r="M2738">
        <f>IMAGE("file:///E:/Estudios%20y%20certificaciones/ESTUDIOS%20DE%20PROGRAMMING/PROGRAMMING/PERSONAL/PYTHON/Image_Generator_API/imagenes/NAUTICA_MENS_208005137_NSS_2.jpg")</f>
        <v/>
      </c>
      <c r="N2738">
        <f>IMAGE("file:///E:/Estudios%20y%20certificaciones/ESTUDIOS%20DE%20PROGRAMMING/PROGRAMMING/PERSONAL/PYTHON/Image_Generator_API/imagenes/NAUTICA_MENS_208005137_NSS_3.jpg")</f>
        <v/>
      </c>
      <c r="O2738">
        <f>HYPERLINK("imagenes/NAUTICA_MENS_208005137_NSS_1.jpg","Ver imagen")</f>
        <v/>
      </c>
      <c r="P2738">
        <f>HYPERLINK("imagenes/NAUTICA_MENS_208005137_NSS_2.jpg","Ver imagen")</f>
        <v/>
      </c>
      <c r="Q2738">
        <f>HYPERLINK("imagenes/NAUTICA_MENS_208005137_NSS_3.jpg","Ver imagen")</f>
        <v/>
      </c>
    </row>
    <row r="2739">
      <c r="A2739" t="inlineStr">
        <is>
          <t>NAUTICA MENS</t>
        </is>
      </c>
      <c r="B2739" t="inlineStr">
        <is>
          <t>208005137</t>
        </is>
      </c>
      <c r="C2739" t="inlineStr">
        <is>
          <t>GOLF HYBRID JACKET</t>
        </is>
      </c>
      <c r="D2739" t="inlineStr">
        <is>
          <t>NSS</t>
        </is>
      </c>
      <c r="E2739" t="inlineStr">
        <is>
          <t>(en blanco)</t>
        </is>
      </c>
      <c r="F2739" t="inlineStr">
        <is>
          <t>N1160</t>
        </is>
      </c>
      <c r="G2739" t="inlineStr">
        <is>
          <t>L</t>
        </is>
      </c>
      <c r="H2739" t="n">
        <v>10</v>
      </c>
      <c r="I2739" t="inlineStr">
        <is>
          <t>NAUTICA_MENS_208005137_NSS_1.jpg</t>
        </is>
      </c>
      <c r="J2739" t="inlineStr">
        <is>
          <t>NAUTICA_MENS_208005137_NSS_2.jpg</t>
        </is>
      </c>
      <c r="K2739" t="inlineStr">
        <is>
          <t>NAUTICA_MENS_208005137_NSS_3.jpg</t>
        </is>
      </c>
      <c r="L2739">
        <f>IMAGE("file:///E:/Estudios%20y%20certificaciones/ESTUDIOS%20DE%20PROGRAMMING/PROGRAMMING/PERSONAL/PYTHON/Image_Generator_API/imagenes/NAUTICA_MENS_208005137_NSS_1.jpg")</f>
        <v/>
      </c>
      <c r="M2739">
        <f>IMAGE("file:///E:/Estudios%20y%20certificaciones/ESTUDIOS%20DE%20PROGRAMMING/PROGRAMMING/PERSONAL/PYTHON/Image_Generator_API/imagenes/NAUTICA_MENS_208005137_NSS_2.jpg")</f>
        <v/>
      </c>
      <c r="N2739">
        <f>IMAGE("file:///E:/Estudios%20y%20certificaciones/ESTUDIOS%20DE%20PROGRAMMING/PROGRAMMING/PERSONAL/PYTHON/Image_Generator_API/imagenes/NAUTICA_MENS_208005137_NSS_3.jpg")</f>
        <v/>
      </c>
      <c r="O2739">
        <f>HYPERLINK("imagenes/NAUTICA_MENS_208005137_NSS_1.jpg","Ver imagen")</f>
        <v/>
      </c>
      <c r="P2739">
        <f>HYPERLINK("imagenes/NAUTICA_MENS_208005137_NSS_2.jpg","Ver imagen")</f>
        <v/>
      </c>
      <c r="Q2739">
        <f>HYPERLINK("imagenes/NAUTICA_MENS_208005137_NSS_3.jpg","Ver imagen")</f>
        <v/>
      </c>
    </row>
    <row r="2740">
      <c r="A2740" t="inlineStr">
        <is>
          <t>NAUTICA MENS</t>
        </is>
      </c>
      <c r="B2740" t="inlineStr">
        <is>
          <t>208005137</t>
        </is>
      </c>
      <c r="C2740" t="inlineStr">
        <is>
          <t>GOLF HYBRID JACKET</t>
        </is>
      </c>
      <c r="D2740" t="inlineStr">
        <is>
          <t>NSS</t>
        </is>
      </c>
      <c r="E2740" t="inlineStr">
        <is>
          <t>(en blanco)</t>
        </is>
      </c>
      <c r="F2740" t="inlineStr">
        <is>
          <t>N1160</t>
        </is>
      </c>
      <c r="G2740" t="inlineStr">
        <is>
          <t>XL</t>
        </is>
      </c>
      <c r="H2740" t="n">
        <v>16</v>
      </c>
      <c r="I2740" t="inlineStr">
        <is>
          <t>NAUTICA_MENS_208005137_NSS_1.jpg</t>
        </is>
      </c>
      <c r="J2740" t="inlineStr">
        <is>
          <t>NAUTICA_MENS_208005137_NSS_2.jpg</t>
        </is>
      </c>
      <c r="K2740" t="inlineStr">
        <is>
          <t>NAUTICA_MENS_208005137_NSS_3.jpg</t>
        </is>
      </c>
      <c r="L2740">
        <f>IMAGE("file:///E:/Estudios%20y%20certificaciones/ESTUDIOS%20DE%20PROGRAMMING/PROGRAMMING/PERSONAL/PYTHON/Image_Generator_API/imagenes/NAUTICA_MENS_208005137_NSS_1.jpg")</f>
        <v/>
      </c>
      <c r="M2740">
        <f>IMAGE("file:///E:/Estudios%20y%20certificaciones/ESTUDIOS%20DE%20PROGRAMMING/PROGRAMMING/PERSONAL/PYTHON/Image_Generator_API/imagenes/NAUTICA_MENS_208005137_NSS_2.jpg")</f>
        <v/>
      </c>
      <c r="N2740">
        <f>IMAGE("file:///E:/Estudios%20y%20certificaciones/ESTUDIOS%20DE%20PROGRAMMING/PROGRAMMING/PERSONAL/PYTHON/Image_Generator_API/imagenes/NAUTICA_MENS_208005137_NSS_3.jpg")</f>
        <v/>
      </c>
      <c r="O2740">
        <f>HYPERLINK("imagenes/NAUTICA_MENS_208005137_NSS_1.jpg","Ver imagen")</f>
        <v/>
      </c>
      <c r="P2740">
        <f>HYPERLINK("imagenes/NAUTICA_MENS_208005137_NSS_2.jpg","Ver imagen")</f>
        <v/>
      </c>
      <c r="Q2740">
        <f>HYPERLINK("imagenes/NAUTICA_MENS_208005137_NSS_3.jpg","Ver imagen")</f>
        <v/>
      </c>
    </row>
    <row r="2741">
      <c r="A2741" t="inlineStr">
        <is>
          <t>NAUTICA MENS</t>
        </is>
      </c>
      <c r="B2741" t="inlineStr">
        <is>
          <t>208005137</t>
        </is>
      </c>
      <c r="C2741" t="inlineStr">
        <is>
          <t>GOLF HYBRID JACKET</t>
        </is>
      </c>
      <c r="D2741" t="inlineStr">
        <is>
          <t>NSS</t>
        </is>
      </c>
      <c r="E2741" t="inlineStr">
        <is>
          <t>(en blanco)</t>
        </is>
      </c>
      <c r="F2741" t="inlineStr">
        <is>
          <t>N1160</t>
        </is>
      </c>
      <c r="G2741" t="inlineStr">
        <is>
          <t>XXL</t>
        </is>
      </c>
      <c r="H2741" t="n">
        <v>10</v>
      </c>
      <c r="I2741" t="inlineStr">
        <is>
          <t>NAUTICA_MENS_208005137_NSS_1.jpg</t>
        </is>
      </c>
      <c r="J2741" t="inlineStr">
        <is>
          <t>NAUTICA_MENS_208005137_NSS_2.jpg</t>
        </is>
      </c>
      <c r="K2741" t="inlineStr">
        <is>
          <t>NAUTICA_MENS_208005137_NSS_3.jpg</t>
        </is>
      </c>
      <c r="L2741">
        <f>IMAGE("file:///E:/Estudios%20y%20certificaciones/ESTUDIOS%20DE%20PROGRAMMING/PROGRAMMING/PERSONAL/PYTHON/Image_Generator_API/imagenes/NAUTICA_MENS_208005137_NSS_1.jpg")</f>
        <v/>
      </c>
      <c r="M2741">
        <f>IMAGE("file:///E:/Estudios%20y%20certificaciones/ESTUDIOS%20DE%20PROGRAMMING/PROGRAMMING/PERSONAL/PYTHON/Image_Generator_API/imagenes/NAUTICA_MENS_208005137_NSS_2.jpg")</f>
        <v/>
      </c>
      <c r="N2741">
        <f>IMAGE("file:///E:/Estudios%20y%20certificaciones/ESTUDIOS%20DE%20PROGRAMMING/PROGRAMMING/PERSONAL/PYTHON/Image_Generator_API/imagenes/NAUTICA_MENS_208005137_NSS_3.jpg")</f>
        <v/>
      </c>
      <c r="O2741">
        <f>HYPERLINK("imagenes/NAUTICA_MENS_208005137_NSS_1.jpg","Ver imagen")</f>
        <v/>
      </c>
      <c r="P2741">
        <f>HYPERLINK("imagenes/NAUTICA_MENS_208005137_NSS_2.jpg","Ver imagen")</f>
        <v/>
      </c>
      <c r="Q2741">
        <f>HYPERLINK("imagenes/NAUTICA_MENS_208005137_NSS_3.jpg","Ver imagen")</f>
        <v/>
      </c>
    </row>
    <row r="2742">
      <c r="A2742" t="inlineStr">
        <is>
          <t>NAUTICA MENS</t>
        </is>
      </c>
      <c r="B2742" t="inlineStr">
        <is>
          <t>208005137</t>
        </is>
      </c>
      <c r="C2742" t="inlineStr">
        <is>
          <t>GOLF HYBRID JACKET</t>
        </is>
      </c>
      <c r="D2742" t="inlineStr">
        <is>
          <t>NSS</t>
        </is>
      </c>
      <c r="E2742" t="inlineStr">
        <is>
          <t>(en blanco)</t>
        </is>
      </c>
      <c r="F2742" t="inlineStr">
        <is>
          <t>N1160</t>
        </is>
      </c>
      <c r="G2742" t="inlineStr">
        <is>
          <t>XXXL</t>
        </is>
      </c>
      <c r="H2742" t="n">
        <v>30</v>
      </c>
      <c r="I2742" t="inlineStr">
        <is>
          <t>NAUTICA_MENS_208005137_NSS_1.jpg</t>
        </is>
      </c>
      <c r="J2742" t="inlineStr">
        <is>
          <t>NAUTICA_MENS_208005137_NSS_2.jpg</t>
        </is>
      </c>
      <c r="K2742" t="inlineStr">
        <is>
          <t>NAUTICA_MENS_208005137_NSS_3.jpg</t>
        </is>
      </c>
      <c r="L2742">
        <f>IMAGE("file:///E:/Estudios%20y%20certificaciones/ESTUDIOS%20DE%20PROGRAMMING/PROGRAMMING/PERSONAL/PYTHON/Image_Generator_API/imagenes/NAUTICA_MENS_208005137_NSS_1.jpg")</f>
        <v/>
      </c>
      <c r="M2742">
        <f>IMAGE("file:///E:/Estudios%20y%20certificaciones/ESTUDIOS%20DE%20PROGRAMMING/PROGRAMMING/PERSONAL/PYTHON/Image_Generator_API/imagenes/NAUTICA_MENS_208005137_NSS_2.jpg")</f>
        <v/>
      </c>
      <c r="N2742">
        <f>IMAGE("file:///E:/Estudios%20y%20certificaciones/ESTUDIOS%20DE%20PROGRAMMING/PROGRAMMING/PERSONAL/PYTHON/Image_Generator_API/imagenes/NAUTICA_MENS_208005137_NSS_3.jpg")</f>
        <v/>
      </c>
      <c r="O2742">
        <f>HYPERLINK("imagenes/NAUTICA_MENS_208005137_NSS_1.jpg","Ver imagen")</f>
        <v/>
      </c>
      <c r="P2742">
        <f>HYPERLINK("imagenes/NAUTICA_MENS_208005137_NSS_2.jpg","Ver imagen")</f>
        <v/>
      </c>
      <c r="Q2742">
        <f>HYPERLINK("imagenes/NAUTICA_MENS_208005137_NSS_3.jpg","Ver imagen")</f>
        <v/>
      </c>
    </row>
    <row r="2743">
      <c r="A2743" t="inlineStr">
        <is>
          <t>NAUTICA MENS</t>
        </is>
      </c>
      <c r="B2743" t="inlineStr">
        <is>
          <t>208005137</t>
        </is>
      </c>
      <c r="C2743" t="inlineStr">
        <is>
          <t>GOLF HYBRID JACKET</t>
        </is>
      </c>
      <c r="D2743" t="inlineStr">
        <is>
          <t>TRU</t>
        </is>
      </c>
      <c r="E2743" t="inlineStr">
        <is>
          <t>(en blanco)</t>
        </is>
      </c>
      <c r="F2743" t="inlineStr">
        <is>
          <t>N1160</t>
        </is>
      </c>
      <c r="G2743" t="inlineStr">
        <is>
          <t>XL</t>
        </is>
      </c>
      <c r="H2743" t="n">
        <v>10</v>
      </c>
      <c r="I2743" t="inlineStr">
        <is>
          <t>NAUTICA_MENS_208005137_TRU_1.jpg</t>
        </is>
      </c>
      <c r="J2743" t="inlineStr">
        <is>
          <t>NAUTICA_MENS_208005137_TRU_2.jpg</t>
        </is>
      </c>
      <c r="K2743" t="inlineStr">
        <is>
          <t>NAUTICA_MENS_208005137_TRU_3.jpg</t>
        </is>
      </c>
      <c r="L2743">
        <f>IMAGE("file:///E:/Estudios%20y%20certificaciones/ESTUDIOS%20DE%20PROGRAMMING/PROGRAMMING/PERSONAL/PYTHON/Image_Generator_API/imagenes/NAUTICA_MENS_208005137_TRU_1.jpg")</f>
        <v/>
      </c>
      <c r="M2743">
        <f>IMAGE("file:///E:/Estudios%20y%20certificaciones/ESTUDIOS%20DE%20PROGRAMMING/PROGRAMMING/PERSONAL/PYTHON/Image_Generator_API/imagenes/NAUTICA_MENS_208005137_TRU_2.jpg")</f>
        <v/>
      </c>
      <c r="N2743">
        <f>IMAGE("file:///E:/Estudios%20y%20certificaciones/ESTUDIOS%20DE%20PROGRAMMING/PROGRAMMING/PERSONAL/PYTHON/Image_Generator_API/imagenes/NAUTICA_MENS_208005137_TRU_3.jpg")</f>
        <v/>
      </c>
      <c r="O2743">
        <f>HYPERLINK("imagenes/NAUTICA_MENS_208005137_TRU_1.jpg","Ver imagen")</f>
        <v/>
      </c>
      <c r="P2743">
        <f>HYPERLINK("imagenes/NAUTICA_MENS_208005137_TRU_2.jpg","Ver imagen")</f>
        <v/>
      </c>
      <c r="Q2743">
        <f>HYPERLINK("imagenes/NAUTICA_MENS_208005137_TRU_3.jpg","Ver imagen")</f>
        <v/>
      </c>
    </row>
    <row r="2744">
      <c r="A2744" t="inlineStr">
        <is>
          <t>NAUTICA MENS</t>
        </is>
      </c>
      <c r="B2744" t="inlineStr">
        <is>
          <t>208005175</t>
        </is>
      </c>
      <c r="C2744" t="inlineStr">
        <is>
          <t>UNLINED BREATHABLE</t>
        </is>
      </c>
      <c r="D2744" t="inlineStr">
        <is>
          <t>CLG</t>
        </is>
      </c>
      <c r="E2744" t="inlineStr">
        <is>
          <t>(en blanco)</t>
        </is>
      </c>
      <c r="F2744" t="inlineStr">
        <is>
          <t>N1160</t>
        </is>
      </c>
      <c r="G2744" t="inlineStr">
        <is>
          <t>XS</t>
        </is>
      </c>
      <c r="H2744" t="n">
        <v>1</v>
      </c>
      <c r="I2744" t="inlineStr">
        <is>
          <t>NAUTICA_MENS_208005175_CLG_1.jpg</t>
        </is>
      </c>
      <c r="J2744" t="inlineStr">
        <is>
          <t>NAUTICA_MENS_208005175_CLG_2.jpg</t>
        </is>
      </c>
      <c r="K2744" t="inlineStr">
        <is>
          <t>NAUTICA_MENS_208005175_CLG_3.jpg</t>
        </is>
      </c>
      <c r="L2744">
        <f>IMAGE("file:///E:/Estudios%20y%20certificaciones/ESTUDIOS%20DE%20PROGRAMMING/PROGRAMMING/PERSONAL/PYTHON/Image_Generator_API/imagenes/NAUTICA_MENS_208005175_CLG_1.jpg")</f>
        <v/>
      </c>
      <c r="M2744">
        <f>IMAGE("file:///E:/Estudios%20y%20certificaciones/ESTUDIOS%20DE%20PROGRAMMING/PROGRAMMING/PERSONAL/PYTHON/Image_Generator_API/imagenes/NAUTICA_MENS_208005175_CLG_2.jpg")</f>
        <v/>
      </c>
      <c r="N2744">
        <f>IMAGE("file:///E:/Estudios%20y%20certificaciones/ESTUDIOS%20DE%20PROGRAMMING/PROGRAMMING/PERSONAL/PYTHON/Image_Generator_API/imagenes/NAUTICA_MENS_208005175_CLG_3.jpg")</f>
        <v/>
      </c>
      <c r="O2744">
        <f>HYPERLINK("imagenes/NAUTICA_MENS_208005175_CLG_1.jpg","Ver imagen")</f>
        <v/>
      </c>
      <c r="P2744">
        <f>HYPERLINK("imagenes/NAUTICA_MENS_208005175_CLG_2.jpg","Ver imagen")</f>
        <v/>
      </c>
      <c r="Q2744">
        <f>HYPERLINK("imagenes/NAUTICA_MENS_208005175_CLG_3.jpg","Ver imagen")</f>
        <v/>
      </c>
    </row>
    <row r="2745">
      <c r="A2745" t="inlineStr">
        <is>
          <t>NAUTICA MENS</t>
        </is>
      </c>
      <c r="B2745" t="inlineStr">
        <is>
          <t>208005175</t>
        </is>
      </c>
      <c r="C2745" t="inlineStr">
        <is>
          <t>UNLINED BREATHABLE</t>
        </is>
      </c>
      <c r="D2745" t="inlineStr">
        <is>
          <t>F6N</t>
        </is>
      </c>
      <c r="E2745" t="inlineStr">
        <is>
          <t>(en blanco)</t>
        </is>
      </c>
      <c r="F2745" t="inlineStr">
        <is>
          <t>N1160</t>
        </is>
      </c>
      <c r="G2745" t="inlineStr">
        <is>
          <t>XXXL</t>
        </is>
      </c>
      <c r="H2745" t="n">
        <v>4</v>
      </c>
      <c r="I2745" t="inlineStr">
        <is>
          <t>NAUTICA_MENS_208005175_F6N_1.jpg</t>
        </is>
      </c>
      <c r="J2745" t="inlineStr">
        <is>
          <t>NAUTICA_MENS_208005175_F6N_2.jpg</t>
        </is>
      </c>
      <c r="K2745" t="inlineStr">
        <is>
          <t>NAUTICA_MENS_208005175_F6N_3.jpg</t>
        </is>
      </c>
      <c r="L2745">
        <f>IMAGE("file:///E:/Estudios%20y%20certificaciones/ESTUDIOS%20DE%20PROGRAMMING/PROGRAMMING/PERSONAL/PYTHON/Image_Generator_API/imagenes/NAUTICA_MENS_208005175_F6N_1.jpg")</f>
        <v/>
      </c>
      <c r="M2745">
        <f>IMAGE("file:///E:/Estudios%20y%20certificaciones/ESTUDIOS%20DE%20PROGRAMMING/PROGRAMMING/PERSONAL/PYTHON/Image_Generator_API/imagenes/NAUTICA_MENS_208005175_F6N_2.jpg")</f>
        <v/>
      </c>
      <c r="N2745">
        <f>IMAGE("file:///E:/Estudios%20y%20certificaciones/ESTUDIOS%20DE%20PROGRAMMING/PROGRAMMING/PERSONAL/PYTHON/Image_Generator_API/imagenes/NAUTICA_MENS_208005175_F6N_3.jpg")</f>
        <v/>
      </c>
      <c r="O2745">
        <f>HYPERLINK("imagenes/NAUTICA_MENS_208005175_F6N_1.jpg","Ver imagen")</f>
        <v/>
      </c>
      <c r="P2745">
        <f>HYPERLINK("imagenes/NAUTICA_MENS_208005175_F6N_2.jpg","Ver imagen")</f>
        <v/>
      </c>
      <c r="Q2745">
        <f>HYPERLINK("imagenes/NAUTICA_MENS_208005175_F6N_3.jpg","Ver imagen")</f>
        <v/>
      </c>
    </row>
    <row r="2746">
      <c r="A2746" t="inlineStr">
        <is>
          <t>NAUTICA MENS</t>
        </is>
      </c>
      <c r="B2746" t="inlineStr">
        <is>
          <t>208005175</t>
        </is>
      </c>
      <c r="C2746" t="inlineStr">
        <is>
          <t>UNLINED BREATHABLE</t>
        </is>
      </c>
      <c r="D2746" t="inlineStr">
        <is>
          <t>GVT</t>
        </is>
      </c>
      <c r="E2746" t="inlineStr">
        <is>
          <t>(en blanco)</t>
        </is>
      </c>
      <c r="F2746" t="inlineStr">
        <is>
          <t>N1160</t>
        </is>
      </c>
      <c r="G2746" t="inlineStr">
        <is>
          <t>S</t>
        </is>
      </c>
      <c r="H2746" t="n">
        <v>1</v>
      </c>
      <c r="I2746" t="inlineStr">
        <is>
          <t>NAUTICA_MENS_208005175_GVT_1.jpg</t>
        </is>
      </c>
      <c r="J2746" t="inlineStr">
        <is>
          <t>NAUTICA_MENS_208005175_GVT_2.jpg</t>
        </is>
      </c>
      <c r="K2746" t="inlineStr">
        <is>
          <t>NAUTICA_MENS_208005175_GVT_3.jpg</t>
        </is>
      </c>
      <c r="L2746">
        <f>IMAGE("file:///E:/Estudios%20y%20certificaciones/ESTUDIOS%20DE%20PROGRAMMING/PROGRAMMING/PERSONAL/PYTHON/Image_Generator_API/imagenes/NAUTICA_MENS_208005175_GVT_1.jpg")</f>
        <v/>
      </c>
      <c r="M2746">
        <f>IMAGE("file:///E:/Estudios%20y%20certificaciones/ESTUDIOS%20DE%20PROGRAMMING/PROGRAMMING/PERSONAL/PYTHON/Image_Generator_API/imagenes/NAUTICA_MENS_208005175_GVT_2.jpg")</f>
        <v/>
      </c>
      <c r="N2746">
        <f>IMAGE("file:///E:/Estudios%20y%20certificaciones/ESTUDIOS%20DE%20PROGRAMMING/PROGRAMMING/PERSONAL/PYTHON/Image_Generator_API/imagenes/NAUTICA_MENS_208005175_GVT_3.jpg")</f>
        <v/>
      </c>
      <c r="O2746">
        <f>HYPERLINK("imagenes/NAUTICA_MENS_208005175_GVT_1.jpg","Ver imagen")</f>
        <v/>
      </c>
      <c r="P2746">
        <f>HYPERLINK("imagenes/NAUTICA_MENS_208005175_GVT_2.jpg","Ver imagen")</f>
        <v/>
      </c>
      <c r="Q2746">
        <f>HYPERLINK("imagenes/NAUTICA_MENS_208005175_GVT_3.jpg","Ver imagen")</f>
        <v/>
      </c>
    </row>
    <row r="2747">
      <c r="A2747" t="inlineStr">
        <is>
          <t>NAUTICA MENS</t>
        </is>
      </c>
      <c r="B2747" t="inlineStr">
        <is>
          <t>208005175</t>
        </is>
      </c>
      <c r="C2747" t="inlineStr">
        <is>
          <t>UNLINED BREATHABLE</t>
        </is>
      </c>
      <c r="D2747" t="inlineStr">
        <is>
          <t>NSS</t>
        </is>
      </c>
      <c r="E2747" t="inlineStr">
        <is>
          <t>(en blanco)</t>
        </is>
      </c>
      <c r="F2747" t="inlineStr">
        <is>
          <t>N1160</t>
        </is>
      </c>
      <c r="G2747" t="inlineStr">
        <is>
          <t>S</t>
        </is>
      </c>
      <c r="H2747" t="n">
        <v>1</v>
      </c>
      <c r="I2747" t="inlineStr">
        <is>
          <t>NAUTICA_MENS_208005175_NSS_1.jpg</t>
        </is>
      </c>
      <c r="J2747" t="inlineStr">
        <is>
          <t>NAUTICA_MENS_208005175_NSS_2.jpg</t>
        </is>
      </c>
      <c r="K2747" t="inlineStr">
        <is>
          <t>NAUTICA_MENS_208005175_NSS_3.jpg</t>
        </is>
      </c>
      <c r="L2747">
        <f>IMAGE("file:///E:/Estudios%20y%20certificaciones/ESTUDIOS%20DE%20PROGRAMMING/PROGRAMMING/PERSONAL/PYTHON/Image_Generator_API/imagenes/NAUTICA_MENS_208005175_NSS_1.jpg")</f>
        <v/>
      </c>
      <c r="M2747">
        <f>IMAGE("file:///E:/Estudios%20y%20certificaciones/ESTUDIOS%20DE%20PROGRAMMING/PROGRAMMING/PERSONAL/PYTHON/Image_Generator_API/imagenes/NAUTICA_MENS_208005175_NSS_2.jpg")</f>
        <v/>
      </c>
      <c r="N2747">
        <f>IMAGE("file:///E:/Estudios%20y%20certificaciones/ESTUDIOS%20DE%20PROGRAMMING/PROGRAMMING/PERSONAL/PYTHON/Image_Generator_API/imagenes/NAUTICA_MENS_208005175_NSS_3.jpg")</f>
        <v/>
      </c>
      <c r="O2747">
        <f>HYPERLINK("imagenes/NAUTICA_MENS_208005175_NSS_1.jpg","Ver imagen")</f>
        <v/>
      </c>
      <c r="P2747">
        <f>HYPERLINK("imagenes/NAUTICA_MENS_208005175_NSS_2.jpg","Ver imagen")</f>
        <v/>
      </c>
      <c r="Q2747">
        <f>HYPERLINK("imagenes/NAUTICA_MENS_208005175_NSS_3.jpg","Ver imagen")</f>
        <v/>
      </c>
    </row>
    <row r="2748">
      <c r="A2748" t="inlineStr">
        <is>
          <t>NAUTICA MENS</t>
        </is>
      </c>
      <c r="B2748" t="inlineStr">
        <is>
          <t>208005175</t>
        </is>
      </c>
      <c r="C2748" t="inlineStr">
        <is>
          <t>UNLINED BREATHABLE</t>
        </is>
      </c>
      <c r="D2748" t="inlineStr">
        <is>
          <t>NSS</t>
        </is>
      </c>
      <c r="E2748" t="inlineStr">
        <is>
          <t>(en blanco)</t>
        </is>
      </c>
      <c r="F2748" t="inlineStr">
        <is>
          <t>N1160</t>
        </is>
      </c>
      <c r="G2748" t="inlineStr">
        <is>
          <t>XL</t>
        </is>
      </c>
      <c r="H2748" t="n">
        <v>1</v>
      </c>
      <c r="I2748" t="inlineStr">
        <is>
          <t>NAUTICA_MENS_208005175_NSS_1.jpg</t>
        </is>
      </c>
      <c r="J2748" t="inlineStr">
        <is>
          <t>NAUTICA_MENS_208005175_NSS_2.jpg</t>
        </is>
      </c>
      <c r="K2748" t="inlineStr">
        <is>
          <t>NAUTICA_MENS_208005175_NSS_3.jpg</t>
        </is>
      </c>
      <c r="L2748">
        <f>IMAGE("file:///E:/Estudios%20y%20certificaciones/ESTUDIOS%20DE%20PROGRAMMING/PROGRAMMING/PERSONAL/PYTHON/Image_Generator_API/imagenes/NAUTICA_MENS_208005175_NSS_1.jpg")</f>
        <v/>
      </c>
      <c r="M2748">
        <f>IMAGE("file:///E:/Estudios%20y%20certificaciones/ESTUDIOS%20DE%20PROGRAMMING/PROGRAMMING/PERSONAL/PYTHON/Image_Generator_API/imagenes/NAUTICA_MENS_208005175_NSS_2.jpg")</f>
        <v/>
      </c>
      <c r="N2748">
        <f>IMAGE("file:///E:/Estudios%20y%20certificaciones/ESTUDIOS%20DE%20PROGRAMMING/PROGRAMMING/PERSONAL/PYTHON/Image_Generator_API/imagenes/NAUTICA_MENS_208005175_NSS_3.jpg")</f>
        <v/>
      </c>
      <c r="O2748">
        <f>HYPERLINK("imagenes/NAUTICA_MENS_208005175_NSS_1.jpg","Ver imagen")</f>
        <v/>
      </c>
      <c r="P2748">
        <f>HYPERLINK("imagenes/NAUTICA_MENS_208005175_NSS_2.jpg","Ver imagen")</f>
        <v/>
      </c>
      <c r="Q2748">
        <f>HYPERLINK("imagenes/NAUTICA_MENS_208005175_NSS_3.jpg","Ver imagen")</f>
        <v/>
      </c>
    </row>
    <row r="2749">
      <c r="A2749" t="inlineStr">
        <is>
          <t>NAUTICA MENS</t>
        </is>
      </c>
      <c r="B2749" t="inlineStr">
        <is>
          <t>208005175</t>
        </is>
      </c>
      <c r="C2749" t="inlineStr">
        <is>
          <t>UNLINED BREATHABLE</t>
        </is>
      </c>
      <c r="D2749" t="inlineStr">
        <is>
          <t>NSS</t>
        </is>
      </c>
      <c r="E2749" t="inlineStr">
        <is>
          <t>(en blanco)</t>
        </is>
      </c>
      <c r="F2749" t="inlineStr">
        <is>
          <t>N1160</t>
        </is>
      </c>
      <c r="G2749" t="inlineStr">
        <is>
          <t>XXL</t>
        </is>
      </c>
      <c r="H2749" t="n">
        <v>1</v>
      </c>
      <c r="I2749" t="inlineStr">
        <is>
          <t>NAUTICA_MENS_208005175_NSS_1.jpg</t>
        </is>
      </c>
      <c r="J2749" t="inlineStr">
        <is>
          <t>NAUTICA_MENS_208005175_NSS_2.jpg</t>
        </is>
      </c>
      <c r="K2749" t="inlineStr">
        <is>
          <t>NAUTICA_MENS_208005175_NSS_3.jpg</t>
        </is>
      </c>
      <c r="L2749">
        <f>IMAGE("file:///E:/Estudios%20y%20certificaciones/ESTUDIOS%20DE%20PROGRAMMING/PROGRAMMING/PERSONAL/PYTHON/Image_Generator_API/imagenes/NAUTICA_MENS_208005175_NSS_1.jpg")</f>
        <v/>
      </c>
      <c r="M2749">
        <f>IMAGE("file:///E:/Estudios%20y%20certificaciones/ESTUDIOS%20DE%20PROGRAMMING/PROGRAMMING/PERSONAL/PYTHON/Image_Generator_API/imagenes/NAUTICA_MENS_208005175_NSS_2.jpg")</f>
        <v/>
      </c>
      <c r="N2749">
        <f>IMAGE("file:///E:/Estudios%20y%20certificaciones/ESTUDIOS%20DE%20PROGRAMMING/PROGRAMMING/PERSONAL/PYTHON/Image_Generator_API/imagenes/NAUTICA_MENS_208005175_NSS_3.jpg")</f>
        <v/>
      </c>
      <c r="O2749">
        <f>HYPERLINK("imagenes/NAUTICA_MENS_208005175_NSS_1.jpg","Ver imagen")</f>
        <v/>
      </c>
      <c r="P2749">
        <f>HYPERLINK("imagenes/NAUTICA_MENS_208005175_NSS_2.jpg","Ver imagen")</f>
        <v/>
      </c>
      <c r="Q2749">
        <f>HYPERLINK("imagenes/NAUTICA_MENS_208005175_NSS_3.jpg","Ver imagen")</f>
        <v/>
      </c>
    </row>
    <row r="2750">
      <c r="A2750" t="inlineStr">
        <is>
          <t>NAUTICA MENS</t>
        </is>
      </c>
      <c r="B2750" t="inlineStr">
        <is>
          <t>208005175</t>
        </is>
      </c>
      <c r="C2750" t="inlineStr">
        <is>
          <t>UNLINED BREATHABLE</t>
        </is>
      </c>
      <c r="D2750" t="inlineStr">
        <is>
          <t>NSS</t>
        </is>
      </c>
      <c r="E2750" t="inlineStr">
        <is>
          <t>(en blanco)</t>
        </is>
      </c>
      <c r="F2750" t="inlineStr">
        <is>
          <t>N1160</t>
        </is>
      </c>
      <c r="G2750" t="inlineStr">
        <is>
          <t>XXXL</t>
        </is>
      </c>
      <c r="H2750" t="n">
        <v>4</v>
      </c>
      <c r="I2750" t="inlineStr">
        <is>
          <t>NAUTICA_MENS_208005175_NSS_1.jpg</t>
        </is>
      </c>
      <c r="J2750" t="inlineStr">
        <is>
          <t>NAUTICA_MENS_208005175_NSS_2.jpg</t>
        </is>
      </c>
      <c r="K2750" t="inlineStr">
        <is>
          <t>NAUTICA_MENS_208005175_NSS_3.jpg</t>
        </is>
      </c>
      <c r="L2750">
        <f>IMAGE("file:///E:/Estudios%20y%20certificaciones/ESTUDIOS%20DE%20PROGRAMMING/PROGRAMMING/PERSONAL/PYTHON/Image_Generator_API/imagenes/NAUTICA_MENS_208005175_NSS_1.jpg")</f>
        <v/>
      </c>
      <c r="M2750">
        <f>IMAGE("file:///E:/Estudios%20y%20certificaciones/ESTUDIOS%20DE%20PROGRAMMING/PROGRAMMING/PERSONAL/PYTHON/Image_Generator_API/imagenes/NAUTICA_MENS_208005175_NSS_2.jpg")</f>
        <v/>
      </c>
      <c r="N2750">
        <f>IMAGE("file:///E:/Estudios%20y%20certificaciones/ESTUDIOS%20DE%20PROGRAMMING/PROGRAMMING/PERSONAL/PYTHON/Image_Generator_API/imagenes/NAUTICA_MENS_208005175_NSS_3.jpg")</f>
        <v/>
      </c>
      <c r="O2750">
        <f>HYPERLINK("imagenes/NAUTICA_MENS_208005175_NSS_1.jpg","Ver imagen")</f>
        <v/>
      </c>
      <c r="P2750">
        <f>HYPERLINK("imagenes/NAUTICA_MENS_208005175_NSS_2.jpg","Ver imagen")</f>
        <v/>
      </c>
      <c r="Q2750">
        <f>HYPERLINK("imagenes/NAUTICA_MENS_208005175_NSS_3.jpg","Ver imagen")</f>
        <v/>
      </c>
    </row>
    <row r="2751">
      <c r="A2751" t="inlineStr">
        <is>
          <t>NAUTICA MENS</t>
        </is>
      </c>
      <c r="B2751" t="inlineStr">
        <is>
          <t>208005187</t>
        </is>
      </c>
      <c r="C2751" t="inlineStr">
        <is>
          <t>HOODED PARKA</t>
        </is>
      </c>
      <c r="D2751" t="inlineStr">
        <is>
          <t>BLK</t>
        </is>
      </c>
      <c r="E2751" t="inlineStr">
        <is>
          <t>10A09</t>
        </is>
      </c>
      <c r="F2751" t="inlineStr">
        <is>
          <t>K1005</t>
        </is>
      </c>
      <c r="G2751" t="inlineStr">
        <is>
          <t>PPK</t>
        </is>
      </c>
      <c r="H2751" t="n">
        <v>0</v>
      </c>
      <c r="I2751" t="inlineStr">
        <is>
          <t>NAUTICA_MENS_208005187_BLK_1.jpg</t>
        </is>
      </c>
      <c r="J2751" t="inlineStr">
        <is>
          <t>NAUTICA_MENS_208005187_BLK_2.jpg</t>
        </is>
      </c>
      <c r="K2751" t="inlineStr">
        <is>
          <t>NAUTICA_MENS_208005187_BLK_3.jpg</t>
        </is>
      </c>
      <c r="L2751">
        <f>IMAGE("file:///E:/Estudios%20y%20certificaciones/ESTUDIOS%20DE%20PROGRAMMING/PROGRAMMING/PERSONAL/PYTHON/Image_Generator_API/imagenes/NAUTICA_MENS_208005187_BLK_1.jpg")</f>
        <v/>
      </c>
      <c r="M2751">
        <f>IMAGE("file:///E:/Estudios%20y%20certificaciones/ESTUDIOS%20DE%20PROGRAMMING/PROGRAMMING/PERSONAL/PYTHON/Image_Generator_API/imagenes/NAUTICA_MENS_208005187_BLK_2.jpg")</f>
        <v/>
      </c>
      <c r="N2751">
        <f>IMAGE("file:///E:/Estudios%20y%20certificaciones/ESTUDIOS%20DE%20PROGRAMMING/PROGRAMMING/PERSONAL/PYTHON/Image_Generator_API/imagenes/NAUTICA_MENS_208005187_BLK_3.jpg")</f>
        <v/>
      </c>
      <c r="O2751">
        <f>HYPERLINK("imagenes/NAUTICA_MENS_208005187_BLK_1.jpg","Ver imagen")</f>
        <v/>
      </c>
      <c r="P2751">
        <f>HYPERLINK("imagenes/NAUTICA_MENS_208005187_BLK_2.jpg","Ver imagen")</f>
        <v/>
      </c>
      <c r="Q2751">
        <f>HYPERLINK("imagenes/NAUTICA_MENS_208005187_BLK_3.jpg","Ver imagen")</f>
        <v/>
      </c>
    </row>
    <row r="2752">
      <c r="A2752" t="inlineStr">
        <is>
          <t>NAUTICA MENS</t>
        </is>
      </c>
      <c r="B2752" t="inlineStr">
        <is>
          <t>208005187</t>
        </is>
      </c>
      <c r="C2752" t="inlineStr">
        <is>
          <t>HOODED PARKA</t>
        </is>
      </c>
      <c r="D2752" t="inlineStr">
        <is>
          <t>BLK</t>
        </is>
      </c>
      <c r="E2752" t="inlineStr">
        <is>
          <t>(en blanco)</t>
        </is>
      </c>
      <c r="F2752" t="inlineStr">
        <is>
          <t>D2C</t>
        </is>
      </c>
      <c r="G2752" t="inlineStr">
        <is>
          <t>S</t>
        </is>
      </c>
      <c r="H2752" t="n">
        <v>68</v>
      </c>
      <c r="I2752" t="inlineStr">
        <is>
          <t>NAUTICA_MENS_208005187_BLK_1.jpg</t>
        </is>
      </c>
      <c r="J2752" t="inlineStr">
        <is>
          <t>NAUTICA_MENS_208005187_BLK_2.jpg</t>
        </is>
      </c>
      <c r="K2752" t="inlineStr">
        <is>
          <t>NAUTICA_MENS_208005187_BLK_3.jpg</t>
        </is>
      </c>
      <c r="L2752">
        <f>IMAGE("file:///E:/Estudios%20y%20certificaciones/ESTUDIOS%20DE%20PROGRAMMING/PROGRAMMING/PERSONAL/PYTHON/Image_Generator_API/imagenes/NAUTICA_MENS_208005187_BLK_1.jpg")</f>
        <v/>
      </c>
      <c r="M2752">
        <f>IMAGE("file:///E:/Estudios%20y%20certificaciones/ESTUDIOS%20DE%20PROGRAMMING/PROGRAMMING/PERSONAL/PYTHON/Image_Generator_API/imagenes/NAUTICA_MENS_208005187_BLK_2.jpg")</f>
        <v/>
      </c>
      <c r="N2752">
        <f>IMAGE("file:///E:/Estudios%20y%20certificaciones/ESTUDIOS%20DE%20PROGRAMMING/PROGRAMMING/PERSONAL/PYTHON/Image_Generator_API/imagenes/NAUTICA_MENS_208005187_BLK_3.jpg")</f>
        <v/>
      </c>
      <c r="O2752">
        <f>HYPERLINK("imagenes/NAUTICA_MENS_208005187_BLK_1.jpg","Ver imagen")</f>
        <v/>
      </c>
      <c r="P2752">
        <f>HYPERLINK("imagenes/NAUTICA_MENS_208005187_BLK_2.jpg","Ver imagen")</f>
        <v/>
      </c>
      <c r="Q2752">
        <f>HYPERLINK("imagenes/NAUTICA_MENS_208005187_BLK_3.jpg","Ver imagen")</f>
        <v/>
      </c>
    </row>
    <row r="2753">
      <c r="A2753" t="inlineStr">
        <is>
          <t>NAUTICA MENS</t>
        </is>
      </c>
      <c r="B2753" t="inlineStr">
        <is>
          <t>208005187</t>
        </is>
      </c>
      <c r="C2753" t="inlineStr">
        <is>
          <t>HOODED PARKA</t>
        </is>
      </c>
      <c r="D2753" t="inlineStr">
        <is>
          <t>BLK</t>
        </is>
      </c>
      <c r="E2753" t="inlineStr">
        <is>
          <t>(en blanco)</t>
        </is>
      </c>
      <c r="F2753" t="inlineStr">
        <is>
          <t>D2C</t>
        </is>
      </c>
      <c r="G2753" t="inlineStr">
        <is>
          <t>M</t>
        </is>
      </c>
      <c r="H2753" t="n">
        <v>75</v>
      </c>
      <c r="I2753" t="inlineStr">
        <is>
          <t>NAUTICA_MENS_208005187_BLK_1.jpg</t>
        </is>
      </c>
      <c r="J2753" t="inlineStr">
        <is>
          <t>NAUTICA_MENS_208005187_BLK_2.jpg</t>
        </is>
      </c>
      <c r="K2753" t="inlineStr">
        <is>
          <t>NAUTICA_MENS_208005187_BLK_3.jpg</t>
        </is>
      </c>
      <c r="L2753">
        <f>IMAGE("file:///E:/Estudios%20y%20certificaciones/ESTUDIOS%20DE%20PROGRAMMING/PROGRAMMING/PERSONAL/PYTHON/Image_Generator_API/imagenes/NAUTICA_MENS_208005187_BLK_1.jpg")</f>
        <v/>
      </c>
      <c r="M2753">
        <f>IMAGE("file:///E:/Estudios%20y%20certificaciones/ESTUDIOS%20DE%20PROGRAMMING/PROGRAMMING/PERSONAL/PYTHON/Image_Generator_API/imagenes/NAUTICA_MENS_208005187_BLK_2.jpg")</f>
        <v/>
      </c>
      <c r="N2753">
        <f>IMAGE("file:///E:/Estudios%20y%20certificaciones/ESTUDIOS%20DE%20PROGRAMMING/PROGRAMMING/PERSONAL/PYTHON/Image_Generator_API/imagenes/NAUTICA_MENS_208005187_BLK_3.jpg")</f>
        <v/>
      </c>
      <c r="O2753">
        <f>HYPERLINK("imagenes/NAUTICA_MENS_208005187_BLK_1.jpg","Ver imagen")</f>
        <v/>
      </c>
      <c r="P2753">
        <f>HYPERLINK("imagenes/NAUTICA_MENS_208005187_BLK_2.jpg","Ver imagen")</f>
        <v/>
      </c>
      <c r="Q2753">
        <f>HYPERLINK("imagenes/NAUTICA_MENS_208005187_BLK_3.jpg","Ver imagen")</f>
        <v/>
      </c>
    </row>
    <row r="2754">
      <c r="A2754" t="inlineStr">
        <is>
          <t>NAUTICA MENS</t>
        </is>
      </c>
      <c r="B2754" t="inlineStr">
        <is>
          <t>208005187</t>
        </is>
      </c>
      <c r="C2754" t="inlineStr">
        <is>
          <t>HOODED PARKA</t>
        </is>
      </c>
      <c r="D2754" t="inlineStr">
        <is>
          <t>BLK</t>
        </is>
      </c>
      <c r="E2754" t="inlineStr">
        <is>
          <t>(en blanco)</t>
        </is>
      </c>
      <c r="F2754" t="inlineStr">
        <is>
          <t>D2C</t>
        </is>
      </c>
      <c r="G2754" t="inlineStr">
        <is>
          <t>L</t>
        </is>
      </c>
      <c r="H2754" t="n">
        <v>152</v>
      </c>
      <c r="I2754" t="inlineStr">
        <is>
          <t>NAUTICA_MENS_208005187_BLK_1.jpg</t>
        </is>
      </c>
      <c r="J2754" t="inlineStr">
        <is>
          <t>NAUTICA_MENS_208005187_BLK_2.jpg</t>
        </is>
      </c>
      <c r="K2754" t="inlineStr">
        <is>
          <t>NAUTICA_MENS_208005187_BLK_3.jpg</t>
        </is>
      </c>
      <c r="L2754">
        <f>IMAGE("file:///E:/Estudios%20y%20certificaciones/ESTUDIOS%20DE%20PROGRAMMING/PROGRAMMING/PERSONAL/PYTHON/Image_Generator_API/imagenes/NAUTICA_MENS_208005187_BLK_1.jpg")</f>
        <v/>
      </c>
      <c r="M2754">
        <f>IMAGE("file:///E:/Estudios%20y%20certificaciones/ESTUDIOS%20DE%20PROGRAMMING/PROGRAMMING/PERSONAL/PYTHON/Image_Generator_API/imagenes/NAUTICA_MENS_208005187_BLK_2.jpg")</f>
        <v/>
      </c>
      <c r="N2754">
        <f>IMAGE("file:///E:/Estudios%20y%20certificaciones/ESTUDIOS%20DE%20PROGRAMMING/PROGRAMMING/PERSONAL/PYTHON/Image_Generator_API/imagenes/NAUTICA_MENS_208005187_BLK_3.jpg")</f>
        <v/>
      </c>
      <c r="O2754">
        <f>HYPERLINK("imagenes/NAUTICA_MENS_208005187_BLK_1.jpg","Ver imagen")</f>
        <v/>
      </c>
      <c r="P2754">
        <f>HYPERLINK("imagenes/NAUTICA_MENS_208005187_BLK_2.jpg","Ver imagen")</f>
        <v/>
      </c>
      <c r="Q2754">
        <f>HYPERLINK("imagenes/NAUTICA_MENS_208005187_BLK_3.jpg","Ver imagen")</f>
        <v/>
      </c>
    </row>
    <row r="2755">
      <c r="A2755" t="inlineStr">
        <is>
          <t>NAUTICA MENS</t>
        </is>
      </c>
      <c r="B2755" t="inlineStr">
        <is>
          <t>208005187</t>
        </is>
      </c>
      <c r="C2755" t="inlineStr">
        <is>
          <t>HOODED PARKA</t>
        </is>
      </c>
      <c r="D2755" t="inlineStr">
        <is>
          <t>BLK</t>
        </is>
      </c>
      <c r="E2755" t="inlineStr">
        <is>
          <t>(en blanco)</t>
        </is>
      </c>
      <c r="F2755" t="inlineStr">
        <is>
          <t>D2C</t>
        </is>
      </c>
      <c r="G2755" t="inlineStr">
        <is>
          <t>XL</t>
        </is>
      </c>
      <c r="H2755" t="n">
        <v>60</v>
      </c>
      <c r="I2755" t="inlineStr">
        <is>
          <t>NAUTICA_MENS_208005187_BLK_1.jpg</t>
        </is>
      </c>
      <c r="J2755" t="inlineStr">
        <is>
          <t>NAUTICA_MENS_208005187_BLK_2.jpg</t>
        </is>
      </c>
      <c r="K2755" t="inlineStr">
        <is>
          <t>NAUTICA_MENS_208005187_BLK_3.jpg</t>
        </is>
      </c>
      <c r="L2755">
        <f>IMAGE("file:///E:/Estudios%20y%20certificaciones/ESTUDIOS%20DE%20PROGRAMMING/PROGRAMMING/PERSONAL/PYTHON/Image_Generator_API/imagenes/NAUTICA_MENS_208005187_BLK_1.jpg")</f>
        <v/>
      </c>
      <c r="M2755">
        <f>IMAGE("file:///E:/Estudios%20y%20certificaciones/ESTUDIOS%20DE%20PROGRAMMING/PROGRAMMING/PERSONAL/PYTHON/Image_Generator_API/imagenes/NAUTICA_MENS_208005187_BLK_2.jpg")</f>
        <v/>
      </c>
      <c r="N2755">
        <f>IMAGE("file:///E:/Estudios%20y%20certificaciones/ESTUDIOS%20DE%20PROGRAMMING/PROGRAMMING/PERSONAL/PYTHON/Image_Generator_API/imagenes/NAUTICA_MENS_208005187_BLK_3.jpg")</f>
        <v/>
      </c>
      <c r="O2755">
        <f>HYPERLINK("imagenes/NAUTICA_MENS_208005187_BLK_1.jpg","Ver imagen")</f>
        <v/>
      </c>
      <c r="P2755">
        <f>HYPERLINK("imagenes/NAUTICA_MENS_208005187_BLK_2.jpg","Ver imagen")</f>
        <v/>
      </c>
      <c r="Q2755">
        <f>HYPERLINK("imagenes/NAUTICA_MENS_208005187_BLK_3.jpg","Ver imagen")</f>
        <v/>
      </c>
    </row>
    <row r="2756">
      <c r="A2756" t="inlineStr">
        <is>
          <t>NAUTICA MENS</t>
        </is>
      </c>
      <c r="B2756" t="inlineStr">
        <is>
          <t>208005187</t>
        </is>
      </c>
      <c r="C2756" t="inlineStr">
        <is>
          <t>HOODED PARKA</t>
        </is>
      </c>
      <c r="D2756" t="inlineStr">
        <is>
          <t>BLK</t>
        </is>
      </c>
      <c r="E2756" t="inlineStr">
        <is>
          <t>(en blanco)</t>
        </is>
      </c>
      <c r="F2756" t="inlineStr">
        <is>
          <t>K1005</t>
        </is>
      </c>
      <c r="G2756" t="inlineStr">
        <is>
          <t>M</t>
        </is>
      </c>
      <c r="H2756" t="n">
        <v>0</v>
      </c>
      <c r="I2756" t="inlineStr">
        <is>
          <t>NAUTICA_MENS_208005187_BLK_1.jpg</t>
        </is>
      </c>
      <c r="J2756" t="inlineStr">
        <is>
          <t>NAUTICA_MENS_208005187_BLK_2.jpg</t>
        </is>
      </c>
      <c r="K2756" t="inlineStr">
        <is>
          <t>NAUTICA_MENS_208005187_BLK_3.jpg</t>
        </is>
      </c>
      <c r="L2756">
        <f>IMAGE("file:///E:/Estudios%20y%20certificaciones/ESTUDIOS%20DE%20PROGRAMMING/PROGRAMMING/PERSONAL/PYTHON/Image_Generator_API/imagenes/NAUTICA_MENS_208005187_BLK_1.jpg")</f>
        <v/>
      </c>
      <c r="M2756">
        <f>IMAGE("file:///E:/Estudios%20y%20certificaciones/ESTUDIOS%20DE%20PROGRAMMING/PROGRAMMING/PERSONAL/PYTHON/Image_Generator_API/imagenes/NAUTICA_MENS_208005187_BLK_2.jpg")</f>
        <v/>
      </c>
      <c r="N2756">
        <f>IMAGE("file:///E:/Estudios%20y%20certificaciones/ESTUDIOS%20DE%20PROGRAMMING/PROGRAMMING/PERSONAL/PYTHON/Image_Generator_API/imagenes/NAUTICA_MENS_208005187_BLK_3.jpg")</f>
        <v/>
      </c>
      <c r="O2756">
        <f>HYPERLINK("imagenes/NAUTICA_MENS_208005187_BLK_1.jpg","Ver imagen")</f>
        <v/>
      </c>
      <c r="P2756">
        <f>HYPERLINK("imagenes/NAUTICA_MENS_208005187_BLK_2.jpg","Ver imagen")</f>
        <v/>
      </c>
      <c r="Q2756">
        <f>HYPERLINK("imagenes/NAUTICA_MENS_208005187_BLK_3.jpg","Ver imagen")</f>
        <v/>
      </c>
    </row>
    <row r="2757">
      <c r="A2757" t="inlineStr">
        <is>
          <t>NAUTICA MENS</t>
        </is>
      </c>
      <c r="B2757" t="inlineStr">
        <is>
          <t>208005187</t>
        </is>
      </c>
      <c r="C2757" t="inlineStr">
        <is>
          <t>HOODED PARKA</t>
        </is>
      </c>
      <c r="D2757" t="inlineStr">
        <is>
          <t>BLK</t>
        </is>
      </c>
      <c r="E2757" t="inlineStr">
        <is>
          <t>(en blanco)</t>
        </is>
      </c>
      <c r="F2757" t="inlineStr">
        <is>
          <t>K1005</t>
        </is>
      </c>
      <c r="G2757" t="inlineStr">
        <is>
          <t>L</t>
        </is>
      </c>
      <c r="H2757" t="n">
        <v>0</v>
      </c>
      <c r="I2757" t="inlineStr">
        <is>
          <t>NAUTICA_MENS_208005187_BLK_1.jpg</t>
        </is>
      </c>
      <c r="J2757" t="inlineStr">
        <is>
          <t>NAUTICA_MENS_208005187_BLK_2.jpg</t>
        </is>
      </c>
      <c r="K2757" t="inlineStr">
        <is>
          <t>NAUTICA_MENS_208005187_BLK_3.jpg</t>
        </is>
      </c>
      <c r="L2757">
        <f>IMAGE("file:///E:/Estudios%20y%20certificaciones/ESTUDIOS%20DE%20PROGRAMMING/PROGRAMMING/PERSONAL/PYTHON/Image_Generator_API/imagenes/NAUTICA_MENS_208005187_BLK_1.jpg")</f>
        <v/>
      </c>
      <c r="M2757">
        <f>IMAGE("file:///E:/Estudios%20y%20certificaciones/ESTUDIOS%20DE%20PROGRAMMING/PROGRAMMING/PERSONAL/PYTHON/Image_Generator_API/imagenes/NAUTICA_MENS_208005187_BLK_2.jpg")</f>
        <v/>
      </c>
      <c r="N2757">
        <f>IMAGE("file:///E:/Estudios%20y%20certificaciones/ESTUDIOS%20DE%20PROGRAMMING/PROGRAMMING/PERSONAL/PYTHON/Image_Generator_API/imagenes/NAUTICA_MENS_208005187_BLK_3.jpg")</f>
        <v/>
      </c>
      <c r="O2757">
        <f>HYPERLINK("imagenes/NAUTICA_MENS_208005187_BLK_1.jpg","Ver imagen")</f>
        <v/>
      </c>
      <c r="P2757">
        <f>HYPERLINK("imagenes/NAUTICA_MENS_208005187_BLK_2.jpg","Ver imagen")</f>
        <v/>
      </c>
      <c r="Q2757">
        <f>HYPERLINK("imagenes/NAUTICA_MENS_208005187_BLK_3.jpg","Ver imagen")</f>
        <v/>
      </c>
    </row>
    <row r="2758">
      <c r="A2758" t="inlineStr">
        <is>
          <t>NAUTICA MENS</t>
        </is>
      </c>
      <c r="B2758" t="inlineStr">
        <is>
          <t>208005187</t>
        </is>
      </c>
      <c r="C2758" t="inlineStr">
        <is>
          <t>HOODED PARKA</t>
        </is>
      </c>
      <c r="D2758" t="inlineStr">
        <is>
          <t>BLK</t>
        </is>
      </c>
      <c r="E2758" t="inlineStr">
        <is>
          <t>(en blanco)</t>
        </is>
      </c>
      <c r="F2758" t="inlineStr">
        <is>
          <t>K1005</t>
        </is>
      </c>
      <c r="G2758" t="inlineStr">
        <is>
          <t>XL</t>
        </is>
      </c>
      <c r="H2758" t="n">
        <v>0</v>
      </c>
      <c r="I2758" t="inlineStr">
        <is>
          <t>NAUTICA_MENS_208005187_BLK_1.jpg</t>
        </is>
      </c>
      <c r="J2758" t="inlineStr">
        <is>
          <t>NAUTICA_MENS_208005187_BLK_2.jpg</t>
        </is>
      </c>
      <c r="K2758" t="inlineStr">
        <is>
          <t>NAUTICA_MENS_208005187_BLK_3.jpg</t>
        </is>
      </c>
      <c r="L2758">
        <f>IMAGE("file:///E:/Estudios%20y%20certificaciones/ESTUDIOS%20DE%20PROGRAMMING/PROGRAMMING/PERSONAL/PYTHON/Image_Generator_API/imagenes/NAUTICA_MENS_208005187_BLK_1.jpg")</f>
        <v/>
      </c>
      <c r="M2758">
        <f>IMAGE("file:///E:/Estudios%20y%20certificaciones/ESTUDIOS%20DE%20PROGRAMMING/PROGRAMMING/PERSONAL/PYTHON/Image_Generator_API/imagenes/NAUTICA_MENS_208005187_BLK_2.jpg")</f>
        <v/>
      </c>
      <c r="N2758">
        <f>IMAGE("file:///E:/Estudios%20y%20certificaciones/ESTUDIOS%20DE%20PROGRAMMING/PROGRAMMING/PERSONAL/PYTHON/Image_Generator_API/imagenes/NAUTICA_MENS_208005187_BLK_3.jpg")</f>
        <v/>
      </c>
      <c r="O2758">
        <f>HYPERLINK("imagenes/NAUTICA_MENS_208005187_BLK_1.jpg","Ver imagen")</f>
        <v/>
      </c>
      <c r="P2758">
        <f>HYPERLINK("imagenes/NAUTICA_MENS_208005187_BLK_2.jpg","Ver imagen")</f>
        <v/>
      </c>
      <c r="Q2758">
        <f>HYPERLINK("imagenes/NAUTICA_MENS_208005187_BLK_3.jpg","Ver imagen")</f>
        <v/>
      </c>
    </row>
    <row r="2759">
      <c r="A2759" t="inlineStr">
        <is>
          <t>NAUTICA MENS</t>
        </is>
      </c>
      <c r="B2759" t="inlineStr">
        <is>
          <t>208005187</t>
        </is>
      </c>
      <c r="C2759" t="inlineStr">
        <is>
          <t>HOODED PARKA</t>
        </is>
      </c>
      <c r="D2759" t="inlineStr">
        <is>
          <t>BLK</t>
        </is>
      </c>
      <c r="E2759" t="inlineStr">
        <is>
          <t>(en blanco)</t>
        </is>
      </c>
      <c r="F2759" t="inlineStr">
        <is>
          <t>(en blanco)</t>
        </is>
      </c>
      <c r="G2759" t="inlineStr">
        <is>
          <t>S</t>
        </is>
      </c>
      <c r="H2759" t="n">
        <v>99</v>
      </c>
      <c r="I2759" t="inlineStr">
        <is>
          <t>NAUTICA_MENS_208005187_BLK_1.jpg</t>
        </is>
      </c>
      <c r="J2759" t="inlineStr">
        <is>
          <t>NAUTICA_MENS_208005187_BLK_2.jpg</t>
        </is>
      </c>
      <c r="K2759" t="inlineStr">
        <is>
          <t>NAUTICA_MENS_208005187_BLK_3.jpg</t>
        </is>
      </c>
      <c r="L2759">
        <f>IMAGE("file:///E:/Estudios%20y%20certificaciones/ESTUDIOS%20DE%20PROGRAMMING/PROGRAMMING/PERSONAL/PYTHON/Image_Generator_API/imagenes/NAUTICA_MENS_208005187_BLK_1.jpg")</f>
        <v/>
      </c>
      <c r="M2759">
        <f>IMAGE("file:///E:/Estudios%20y%20certificaciones/ESTUDIOS%20DE%20PROGRAMMING/PROGRAMMING/PERSONAL/PYTHON/Image_Generator_API/imagenes/NAUTICA_MENS_208005187_BLK_2.jpg")</f>
        <v/>
      </c>
      <c r="N2759">
        <f>IMAGE("file:///E:/Estudios%20y%20certificaciones/ESTUDIOS%20DE%20PROGRAMMING/PROGRAMMING/PERSONAL/PYTHON/Image_Generator_API/imagenes/NAUTICA_MENS_208005187_BLK_3.jpg")</f>
        <v/>
      </c>
      <c r="O2759">
        <f>HYPERLINK("imagenes/NAUTICA_MENS_208005187_BLK_1.jpg","Ver imagen")</f>
        <v/>
      </c>
      <c r="P2759">
        <f>HYPERLINK("imagenes/NAUTICA_MENS_208005187_BLK_2.jpg","Ver imagen")</f>
        <v/>
      </c>
      <c r="Q2759">
        <f>HYPERLINK("imagenes/NAUTICA_MENS_208005187_BLK_3.jpg","Ver imagen")</f>
        <v/>
      </c>
    </row>
    <row r="2760">
      <c r="A2760" t="inlineStr">
        <is>
          <t>NAUTICA MENS</t>
        </is>
      </c>
      <c r="B2760" t="inlineStr">
        <is>
          <t>208005187</t>
        </is>
      </c>
      <c r="C2760" t="inlineStr">
        <is>
          <t>HOODED PARKA</t>
        </is>
      </c>
      <c r="D2760" t="inlineStr">
        <is>
          <t>BLK</t>
        </is>
      </c>
      <c r="E2760" t="inlineStr">
        <is>
          <t>(en blanco)</t>
        </is>
      </c>
      <c r="F2760" t="inlineStr">
        <is>
          <t>(en blanco)</t>
        </is>
      </c>
      <c r="G2760" t="inlineStr">
        <is>
          <t>M</t>
        </is>
      </c>
      <c r="H2760" t="n">
        <v>172</v>
      </c>
      <c r="I2760" t="inlineStr">
        <is>
          <t>NAUTICA_MENS_208005187_BLK_1.jpg</t>
        </is>
      </c>
      <c r="J2760" t="inlineStr">
        <is>
          <t>NAUTICA_MENS_208005187_BLK_2.jpg</t>
        </is>
      </c>
      <c r="K2760" t="inlineStr">
        <is>
          <t>NAUTICA_MENS_208005187_BLK_3.jpg</t>
        </is>
      </c>
      <c r="L2760">
        <f>IMAGE("file:///E:/Estudios%20y%20certificaciones/ESTUDIOS%20DE%20PROGRAMMING/PROGRAMMING/PERSONAL/PYTHON/Image_Generator_API/imagenes/NAUTICA_MENS_208005187_BLK_1.jpg")</f>
        <v/>
      </c>
      <c r="M2760">
        <f>IMAGE("file:///E:/Estudios%20y%20certificaciones/ESTUDIOS%20DE%20PROGRAMMING/PROGRAMMING/PERSONAL/PYTHON/Image_Generator_API/imagenes/NAUTICA_MENS_208005187_BLK_2.jpg")</f>
        <v/>
      </c>
      <c r="N2760">
        <f>IMAGE("file:///E:/Estudios%20y%20certificaciones/ESTUDIOS%20DE%20PROGRAMMING/PROGRAMMING/PERSONAL/PYTHON/Image_Generator_API/imagenes/NAUTICA_MENS_208005187_BLK_3.jpg")</f>
        <v/>
      </c>
      <c r="O2760">
        <f>HYPERLINK("imagenes/NAUTICA_MENS_208005187_BLK_1.jpg","Ver imagen")</f>
        <v/>
      </c>
      <c r="P2760">
        <f>HYPERLINK("imagenes/NAUTICA_MENS_208005187_BLK_2.jpg","Ver imagen")</f>
        <v/>
      </c>
      <c r="Q2760">
        <f>HYPERLINK("imagenes/NAUTICA_MENS_208005187_BLK_3.jpg","Ver imagen")</f>
        <v/>
      </c>
    </row>
    <row r="2761">
      <c r="A2761" t="inlineStr">
        <is>
          <t>NAUTICA MENS</t>
        </is>
      </c>
      <c r="B2761" t="inlineStr">
        <is>
          <t>208005187</t>
        </is>
      </c>
      <c r="C2761" t="inlineStr">
        <is>
          <t>HOODED PARKA</t>
        </is>
      </c>
      <c r="D2761" t="inlineStr">
        <is>
          <t>BLK</t>
        </is>
      </c>
      <c r="E2761" t="inlineStr">
        <is>
          <t>(en blanco)</t>
        </is>
      </c>
      <c r="F2761" t="inlineStr">
        <is>
          <t>(en blanco)</t>
        </is>
      </c>
      <c r="G2761" t="inlineStr">
        <is>
          <t>L</t>
        </is>
      </c>
      <c r="H2761" t="n">
        <v>180</v>
      </c>
      <c r="I2761" t="inlineStr">
        <is>
          <t>NAUTICA_MENS_208005187_BLK_1.jpg</t>
        </is>
      </c>
      <c r="J2761" t="inlineStr">
        <is>
          <t>NAUTICA_MENS_208005187_BLK_2.jpg</t>
        </is>
      </c>
      <c r="K2761" t="inlineStr">
        <is>
          <t>NAUTICA_MENS_208005187_BLK_3.jpg</t>
        </is>
      </c>
      <c r="L2761">
        <f>IMAGE("file:///E:/Estudios%20y%20certificaciones/ESTUDIOS%20DE%20PROGRAMMING/PROGRAMMING/PERSONAL/PYTHON/Image_Generator_API/imagenes/NAUTICA_MENS_208005187_BLK_1.jpg")</f>
        <v/>
      </c>
      <c r="M2761">
        <f>IMAGE("file:///E:/Estudios%20y%20certificaciones/ESTUDIOS%20DE%20PROGRAMMING/PROGRAMMING/PERSONAL/PYTHON/Image_Generator_API/imagenes/NAUTICA_MENS_208005187_BLK_2.jpg")</f>
        <v/>
      </c>
      <c r="N2761">
        <f>IMAGE("file:///E:/Estudios%20y%20certificaciones/ESTUDIOS%20DE%20PROGRAMMING/PROGRAMMING/PERSONAL/PYTHON/Image_Generator_API/imagenes/NAUTICA_MENS_208005187_BLK_3.jpg")</f>
        <v/>
      </c>
      <c r="O2761">
        <f>HYPERLINK("imagenes/NAUTICA_MENS_208005187_BLK_1.jpg","Ver imagen")</f>
        <v/>
      </c>
      <c r="P2761">
        <f>HYPERLINK("imagenes/NAUTICA_MENS_208005187_BLK_2.jpg","Ver imagen")</f>
        <v/>
      </c>
      <c r="Q2761">
        <f>HYPERLINK("imagenes/NAUTICA_MENS_208005187_BLK_3.jpg","Ver imagen")</f>
        <v/>
      </c>
    </row>
    <row r="2762">
      <c r="A2762" t="inlineStr">
        <is>
          <t>NAUTICA MENS</t>
        </is>
      </c>
      <c r="B2762" t="inlineStr">
        <is>
          <t>208005187</t>
        </is>
      </c>
      <c r="C2762" t="inlineStr">
        <is>
          <t>HOODED PARKA</t>
        </is>
      </c>
      <c r="D2762" t="inlineStr">
        <is>
          <t>BLK</t>
        </is>
      </c>
      <c r="E2762" t="inlineStr">
        <is>
          <t>(en blanco)</t>
        </is>
      </c>
      <c r="F2762" t="inlineStr">
        <is>
          <t>(en blanco)</t>
        </is>
      </c>
      <c r="G2762" t="inlineStr">
        <is>
          <t>XL</t>
        </is>
      </c>
      <c r="H2762" t="n">
        <v>85</v>
      </c>
      <c r="I2762" t="inlineStr">
        <is>
          <t>NAUTICA_MENS_208005187_BLK_1.jpg</t>
        </is>
      </c>
      <c r="J2762" t="inlineStr">
        <is>
          <t>NAUTICA_MENS_208005187_BLK_2.jpg</t>
        </is>
      </c>
      <c r="K2762" t="inlineStr">
        <is>
          <t>NAUTICA_MENS_208005187_BLK_3.jpg</t>
        </is>
      </c>
      <c r="L2762">
        <f>IMAGE("file:///E:/Estudios%20y%20certificaciones/ESTUDIOS%20DE%20PROGRAMMING/PROGRAMMING/PERSONAL/PYTHON/Image_Generator_API/imagenes/NAUTICA_MENS_208005187_BLK_1.jpg")</f>
        <v/>
      </c>
      <c r="M2762">
        <f>IMAGE("file:///E:/Estudios%20y%20certificaciones/ESTUDIOS%20DE%20PROGRAMMING/PROGRAMMING/PERSONAL/PYTHON/Image_Generator_API/imagenes/NAUTICA_MENS_208005187_BLK_2.jpg")</f>
        <v/>
      </c>
      <c r="N2762">
        <f>IMAGE("file:///E:/Estudios%20y%20certificaciones/ESTUDIOS%20DE%20PROGRAMMING/PROGRAMMING/PERSONAL/PYTHON/Image_Generator_API/imagenes/NAUTICA_MENS_208005187_BLK_3.jpg")</f>
        <v/>
      </c>
      <c r="O2762">
        <f>HYPERLINK("imagenes/NAUTICA_MENS_208005187_BLK_1.jpg","Ver imagen")</f>
        <v/>
      </c>
      <c r="P2762">
        <f>HYPERLINK("imagenes/NAUTICA_MENS_208005187_BLK_2.jpg","Ver imagen")</f>
        <v/>
      </c>
      <c r="Q2762">
        <f>HYPERLINK("imagenes/NAUTICA_MENS_208005187_BLK_3.jpg","Ver imagen")</f>
        <v/>
      </c>
    </row>
    <row r="2763">
      <c r="A2763" t="inlineStr">
        <is>
          <t>NAUTICA MENS</t>
        </is>
      </c>
      <c r="B2763" t="inlineStr">
        <is>
          <t>208005187</t>
        </is>
      </c>
      <c r="C2763" t="inlineStr">
        <is>
          <t>HOODED PARKA</t>
        </is>
      </c>
      <c r="D2763" t="inlineStr">
        <is>
          <t>NSS</t>
        </is>
      </c>
      <c r="E2763" t="inlineStr">
        <is>
          <t>(en blanco)</t>
        </is>
      </c>
      <c r="F2763" t="inlineStr">
        <is>
          <t>D2C</t>
        </is>
      </c>
      <c r="G2763" t="inlineStr">
        <is>
          <t>S</t>
        </is>
      </c>
      <c r="H2763" t="n">
        <v>38</v>
      </c>
      <c r="I2763" t="inlineStr">
        <is>
          <t>NAUTICA_MENS_208005187_NSS_1.jpg</t>
        </is>
      </c>
      <c r="J2763" t="inlineStr">
        <is>
          <t>NAUTICA_MENS_208005187_NSS_2.jpg</t>
        </is>
      </c>
      <c r="K2763" t="inlineStr">
        <is>
          <t>NAUTICA_MENS_208005187_NSS_3.jpg</t>
        </is>
      </c>
      <c r="L2763">
        <f>IMAGE("file:///E:/Estudios%20y%20certificaciones/ESTUDIOS%20DE%20PROGRAMMING/PROGRAMMING/PERSONAL/PYTHON/Image_Generator_API/imagenes/NAUTICA_MENS_208005187_NSS_1.jpg")</f>
        <v/>
      </c>
      <c r="M2763">
        <f>IMAGE("file:///E:/Estudios%20y%20certificaciones/ESTUDIOS%20DE%20PROGRAMMING/PROGRAMMING/PERSONAL/PYTHON/Image_Generator_API/imagenes/NAUTICA_MENS_208005187_NSS_2.jpg")</f>
        <v/>
      </c>
      <c r="N2763">
        <f>IMAGE("file:///E:/Estudios%20y%20certificaciones/ESTUDIOS%20DE%20PROGRAMMING/PROGRAMMING/PERSONAL/PYTHON/Image_Generator_API/imagenes/NAUTICA_MENS_208005187_NSS_3.jpg")</f>
        <v/>
      </c>
      <c r="O2763">
        <f>HYPERLINK("imagenes/NAUTICA_MENS_208005187_NSS_1.jpg","Ver imagen")</f>
        <v/>
      </c>
      <c r="P2763">
        <f>HYPERLINK("imagenes/NAUTICA_MENS_208005187_NSS_2.jpg","Ver imagen")</f>
        <v/>
      </c>
      <c r="Q2763">
        <f>HYPERLINK("imagenes/NAUTICA_MENS_208005187_NSS_3.jpg","Ver imagen")</f>
        <v/>
      </c>
    </row>
    <row r="2764">
      <c r="A2764" t="inlineStr">
        <is>
          <t>NAUTICA MENS</t>
        </is>
      </c>
      <c r="B2764" t="inlineStr">
        <is>
          <t>208005187</t>
        </is>
      </c>
      <c r="C2764" t="inlineStr">
        <is>
          <t>HOODED PARKA</t>
        </is>
      </c>
      <c r="D2764" t="inlineStr">
        <is>
          <t>NSS</t>
        </is>
      </c>
      <c r="E2764" t="inlineStr">
        <is>
          <t>(en blanco)</t>
        </is>
      </c>
      <c r="F2764" t="inlineStr">
        <is>
          <t>D2C</t>
        </is>
      </c>
      <c r="G2764" t="inlineStr">
        <is>
          <t>M</t>
        </is>
      </c>
      <c r="H2764" t="n">
        <v>60</v>
      </c>
      <c r="I2764" t="inlineStr">
        <is>
          <t>NAUTICA_MENS_208005187_NSS_1.jpg</t>
        </is>
      </c>
      <c r="J2764" t="inlineStr">
        <is>
          <t>NAUTICA_MENS_208005187_NSS_2.jpg</t>
        </is>
      </c>
      <c r="K2764" t="inlineStr">
        <is>
          <t>NAUTICA_MENS_208005187_NSS_3.jpg</t>
        </is>
      </c>
      <c r="L2764">
        <f>IMAGE("file:///E:/Estudios%20y%20certificaciones/ESTUDIOS%20DE%20PROGRAMMING/PROGRAMMING/PERSONAL/PYTHON/Image_Generator_API/imagenes/NAUTICA_MENS_208005187_NSS_1.jpg")</f>
        <v/>
      </c>
      <c r="M2764">
        <f>IMAGE("file:///E:/Estudios%20y%20certificaciones/ESTUDIOS%20DE%20PROGRAMMING/PROGRAMMING/PERSONAL/PYTHON/Image_Generator_API/imagenes/NAUTICA_MENS_208005187_NSS_2.jpg")</f>
        <v/>
      </c>
      <c r="N2764">
        <f>IMAGE("file:///E:/Estudios%20y%20certificaciones/ESTUDIOS%20DE%20PROGRAMMING/PROGRAMMING/PERSONAL/PYTHON/Image_Generator_API/imagenes/NAUTICA_MENS_208005187_NSS_3.jpg")</f>
        <v/>
      </c>
      <c r="O2764">
        <f>HYPERLINK("imagenes/NAUTICA_MENS_208005187_NSS_1.jpg","Ver imagen")</f>
        <v/>
      </c>
      <c r="P2764">
        <f>HYPERLINK("imagenes/NAUTICA_MENS_208005187_NSS_2.jpg","Ver imagen")</f>
        <v/>
      </c>
      <c r="Q2764">
        <f>HYPERLINK("imagenes/NAUTICA_MENS_208005187_NSS_3.jpg","Ver imagen")</f>
        <v/>
      </c>
    </row>
    <row r="2765">
      <c r="A2765" t="inlineStr">
        <is>
          <t>NAUTICA MENS</t>
        </is>
      </c>
      <c r="B2765" t="inlineStr">
        <is>
          <t>208005187</t>
        </is>
      </c>
      <c r="C2765" t="inlineStr">
        <is>
          <t>HOODED PARKA</t>
        </is>
      </c>
      <c r="D2765" t="inlineStr">
        <is>
          <t>NSS</t>
        </is>
      </c>
      <c r="E2765" t="inlineStr">
        <is>
          <t>(en blanco)</t>
        </is>
      </c>
      <c r="F2765" t="inlineStr">
        <is>
          <t>D2C</t>
        </is>
      </c>
      <c r="G2765" t="inlineStr">
        <is>
          <t>L</t>
        </is>
      </c>
      <c r="H2765" t="n">
        <v>102</v>
      </c>
      <c r="I2765" t="inlineStr">
        <is>
          <t>NAUTICA_MENS_208005187_NSS_1.jpg</t>
        </is>
      </c>
      <c r="J2765" t="inlineStr">
        <is>
          <t>NAUTICA_MENS_208005187_NSS_2.jpg</t>
        </is>
      </c>
      <c r="K2765" t="inlineStr">
        <is>
          <t>NAUTICA_MENS_208005187_NSS_3.jpg</t>
        </is>
      </c>
      <c r="L2765">
        <f>IMAGE("file:///E:/Estudios%20y%20certificaciones/ESTUDIOS%20DE%20PROGRAMMING/PROGRAMMING/PERSONAL/PYTHON/Image_Generator_API/imagenes/NAUTICA_MENS_208005187_NSS_1.jpg")</f>
        <v/>
      </c>
      <c r="M2765">
        <f>IMAGE("file:///E:/Estudios%20y%20certificaciones/ESTUDIOS%20DE%20PROGRAMMING/PROGRAMMING/PERSONAL/PYTHON/Image_Generator_API/imagenes/NAUTICA_MENS_208005187_NSS_2.jpg")</f>
        <v/>
      </c>
      <c r="N2765">
        <f>IMAGE("file:///E:/Estudios%20y%20certificaciones/ESTUDIOS%20DE%20PROGRAMMING/PROGRAMMING/PERSONAL/PYTHON/Image_Generator_API/imagenes/NAUTICA_MENS_208005187_NSS_3.jpg")</f>
        <v/>
      </c>
      <c r="O2765">
        <f>HYPERLINK("imagenes/NAUTICA_MENS_208005187_NSS_1.jpg","Ver imagen")</f>
        <v/>
      </c>
      <c r="P2765">
        <f>HYPERLINK("imagenes/NAUTICA_MENS_208005187_NSS_2.jpg","Ver imagen")</f>
        <v/>
      </c>
      <c r="Q2765">
        <f>HYPERLINK("imagenes/NAUTICA_MENS_208005187_NSS_3.jpg","Ver imagen")</f>
        <v/>
      </c>
    </row>
    <row r="2766">
      <c r="A2766" t="inlineStr">
        <is>
          <t>NAUTICA MENS</t>
        </is>
      </c>
      <c r="B2766" t="inlineStr">
        <is>
          <t>208005187</t>
        </is>
      </c>
      <c r="C2766" t="inlineStr">
        <is>
          <t>HOODED PARKA</t>
        </is>
      </c>
      <c r="D2766" t="inlineStr">
        <is>
          <t>NSS</t>
        </is>
      </c>
      <c r="E2766" t="inlineStr">
        <is>
          <t>(en blanco)</t>
        </is>
      </c>
      <c r="F2766" t="inlineStr">
        <is>
          <t>D2C</t>
        </is>
      </c>
      <c r="G2766" t="inlineStr">
        <is>
          <t>XL</t>
        </is>
      </c>
      <c r="H2766" t="n">
        <v>61</v>
      </c>
      <c r="I2766" t="inlineStr">
        <is>
          <t>NAUTICA_MENS_208005187_NSS_1.jpg</t>
        </is>
      </c>
      <c r="J2766" t="inlineStr">
        <is>
          <t>NAUTICA_MENS_208005187_NSS_2.jpg</t>
        </is>
      </c>
      <c r="K2766" t="inlineStr">
        <is>
          <t>NAUTICA_MENS_208005187_NSS_3.jpg</t>
        </is>
      </c>
      <c r="L2766">
        <f>IMAGE("file:///E:/Estudios%20y%20certificaciones/ESTUDIOS%20DE%20PROGRAMMING/PROGRAMMING/PERSONAL/PYTHON/Image_Generator_API/imagenes/NAUTICA_MENS_208005187_NSS_1.jpg")</f>
        <v/>
      </c>
      <c r="M2766">
        <f>IMAGE("file:///E:/Estudios%20y%20certificaciones/ESTUDIOS%20DE%20PROGRAMMING/PROGRAMMING/PERSONAL/PYTHON/Image_Generator_API/imagenes/NAUTICA_MENS_208005187_NSS_2.jpg")</f>
        <v/>
      </c>
      <c r="N2766">
        <f>IMAGE("file:///E:/Estudios%20y%20certificaciones/ESTUDIOS%20DE%20PROGRAMMING/PROGRAMMING/PERSONAL/PYTHON/Image_Generator_API/imagenes/NAUTICA_MENS_208005187_NSS_3.jpg")</f>
        <v/>
      </c>
      <c r="O2766">
        <f>HYPERLINK("imagenes/NAUTICA_MENS_208005187_NSS_1.jpg","Ver imagen")</f>
        <v/>
      </c>
      <c r="P2766">
        <f>HYPERLINK("imagenes/NAUTICA_MENS_208005187_NSS_2.jpg","Ver imagen")</f>
        <v/>
      </c>
      <c r="Q2766">
        <f>HYPERLINK("imagenes/NAUTICA_MENS_208005187_NSS_3.jpg","Ver imagen")</f>
        <v/>
      </c>
    </row>
    <row r="2767">
      <c r="A2767" t="inlineStr">
        <is>
          <t>NAUTICA MENS</t>
        </is>
      </c>
      <c r="B2767" t="inlineStr">
        <is>
          <t>208005187</t>
        </is>
      </c>
      <c r="C2767" t="inlineStr">
        <is>
          <t>HOODED PARKA</t>
        </is>
      </c>
      <c r="D2767" t="inlineStr">
        <is>
          <t>NSS</t>
        </is>
      </c>
      <c r="E2767" t="inlineStr">
        <is>
          <t>(en blanco)</t>
        </is>
      </c>
      <c r="F2767" t="inlineStr">
        <is>
          <t>D2C</t>
        </is>
      </c>
      <c r="G2767" t="inlineStr">
        <is>
          <t>XXL</t>
        </is>
      </c>
      <c r="H2767" t="n">
        <v>23</v>
      </c>
      <c r="I2767" t="inlineStr">
        <is>
          <t>NAUTICA_MENS_208005187_NSS_1.jpg</t>
        </is>
      </c>
      <c r="J2767" t="inlineStr">
        <is>
          <t>NAUTICA_MENS_208005187_NSS_2.jpg</t>
        </is>
      </c>
      <c r="K2767" t="inlineStr">
        <is>
          <t>NAUTICA_MENS_208005187_NSS_3.jpg</t>
        </is>
      </c>
      <c r="L2767">
        <f>IMAGE("file:///E:/Estudios%20y%20certificaciones/ESTUDIOS%20DE%20PROGRAMMING/PROGRAMMING/PERSONAL/PYTHON/Image_Generator_API/imagenes/NAUTICA_MENS_208005187_NSS_1.jpg")</f>
        <v/>
      </c>
      <c r="M2767">
        <f>IMAGE("file:///E:/Estudios%20y%20certificaciones/ESTUDIOS%20DE%20PROGRAMMING/PROGRAMMING/PERSONAL/PYTHON/Image_Generator_API/imagenes/NAUTICA_MENS_208005187_NSS_2.jpg")</f>
        <v/>
      </c>
      <c r="N2767">
        <f>IMAGE("file:///E:/Estudios%20y%20certificaciones/ESTUDIOS%20DE%20PROGRAMMING/PROGRAMMING/PERSONAL/PYTHON/Image_Generator_API/imagenes/NAUTICA_MENS_208005187_NSS_3.jpg")</f>
        <v/>
      </c>
      <c r="O2767">
        <f>HYPERLINK("imagenes/NAUTICA_MENS_208005187_NSS_1.jpg","Ver imagen")</f>
        <v/>
      </c>
      <c r="P2767">
        <f>HYPERLINK("imagenes/NAUTICA_MENS_208005187_NSS_2.jpg","Ver imagen")</f>
        <v/>
      </c>
      <c r="Q2767">
        <f>HYPERLINK("imagenes/NAUTICA_MENS_208005187_NSS_3.jpg","Ver imagen")</f>
        <v/>
      </c>
    </row>
    <row r="2768">
      <c r="A2768" t="inlineStr">
        <is>
          <t>NAUTICA MENS</t>
        </is>
      </c>
      <c r="B2768" t="inlineStr">
        <is>
          <t>208005269</t>
        </is>
      </c>
      <c r="C2768" t="inlineStr">
        <is>
          <t>TRANSITIONAL PACKABLE VEST</t>
        </is>
      </c>
      <c r="D2768" t="inlineStr">
        <is>
          <t>ALU</t>
        </is>
      </c>
      <c r="E2768" t="inlineStr">
        <is>
          <t>12A08</t>
        </is>
      </c>
      <c r="F2768" t="inlineStr">
        <is>
          <t>(en blanco)</t>
        </is>
      </c>
      <c r="G2768" t="inlineStr">
        <is>
          <t>PPK</t>
        </is>
      </c>
      <c r="H2768" t="n">
        <v>0</v>
      </c>
      <c r="I2768" t="inlineStr">
        <is>
          <t>NAUTICA_MENS_208005269_ALU_1.jpg</t>
        </is>
      </c>
      <c r="J2768" t="inlineStr">
        <is>
          <t>NAUTICA_MENS_208005269_ALU_2.jpg</t>
        </is>
      </c>
      <c r="K2768" t="inlineStr">
        <is>
          <t>NAUTICA_MENS_208005269_ALU_3.jpg</t>
        </is>
      </c>
      <c r="L2768">
        <f>IMAGE("file:///E:/Estudios%20y%20certificaciones/ESTUDIOS%20DE%20PROGRAMMING/PROGRAMMING/PERSONAL/PYTHON/Image_Generator_API/imagenes/NAUTICA_MENS_208005269_ALU_1.jpg")</f>
        <v/>
      </c>
      <c r="M2768">
        <f>IMAGE("file:///E:/Estudios%20y%20certificaciones/ESTUDIOS%20DE%20PROGRAMMING/PROGRAMMING/PERSONAL/PYTHON/Image_Generator_API/imagenes/NAUTICA_MENS_208005269_ALU_2.jpg")</f>
        <v/>
      </c>
      <c r="N2768">
        <f>IMAGE("file:///E:/Estudios%20y%20certificaciones/ESTUDIOS%20DE%20PROGRAMMING/PROGRAMMING/PERSONAL/PYTHON/Image_Generator_API/imagenes/NAUTICA_MENS_208005269_ALU_3.jpg")</f>
        <v/>
      </c>
      <c r="O2768">
        <f>HYPERLINK("imagenes/NAUTICA_MENS_208005269_ALU_1.jpg","Ver imagen")</f>
        <v/>
      </c>
      <c r="P2768">
        <f>HYPERLINK("imagenes/NAUTICA_MENS_208005269_ALU_2.jpg","Ver imagen")</f>
        <v/>
      </c>
      <c r="Q2768">
        <f>HYPERLINK("imagenes/NAUTICA_MENS_208005269_ALU_3.jpg","Ver imagen")</f>
        <v/>
      </c>
    </row>
    <row r="2769">
      <c r="A2769" t="inlineStr">
        <is>
          <t>NAUTICA MENS</t>
        </is>
      </c>
      <c r="B2769" t="inlineStr">
        <is>
          <t>208005269</t>
        </is>
      </c>
      <c r="C2769" t="inlineStr">
        <is>
          <t>TRANSITIONAL PACKABLE VEST</t>
        </is>
      </c>
      <c r="D2769" t="inlineStr">
        <is>
          <t>ALU</t>
        </is>
      </c>
      <c r="E2769" t="inlineStr">
        <is>
          <t>(en blanco)</t>
        </is>
      </c>
      <c r="F2769" t="inlineStr">
        <is>
          <t>(en blanco)</t>
        </is>
      </c>
      <c r="G2769" t="inlineStr">
        <is>
          <t>S</t>
        </is>
      </c>
      <c r="H2769" t="n">
        <v>0</v>
      </c>
      <c r="I2769" t="inlineStr">
        <is>
          <t>NAUTICA_MENS_208005269_ALU_1.jpg</t>
        </is>
      </c>
      <c r="J2769" t="inlineStr">
        <is>
          <t>NAUTICA_MENS_208005269_ALU_2.jpg</t>
        </is>
      </c>
      <c r="K2769" t="inlineStr">
        <is>
          <t>NAUTICA_MENS_208005269_ALU_3.jpg</t>
        </is>
      </c>
      <c r="L2769">
        <f>IMAGE("file:///E:/Estudios%20y%20certificaciones/ESTUDIOS%20DE%20PROGRAMMING/PROGRAMMING/PERSONAL/PYTHON/Image_Generator_API/imagenes/NAUTICA_MENS_208005269_ALU_1.jpg")</f>
        <v/>
      </c>
      <c r="M2769">
        <f>IMAGE("file:///E:/Estudios%20y%20certificaciones/ESTUDIOS%20DE%20PROGRAMMING/PROGRAMMING/PERSONAL/PYTHON/Image_Generator_API/imagenes/NAUTICA_MENS_208005269_ALU_2.jpg")</f>
        <v/>
      </c>
      <c r="N2769">
        <f>IMAGE("file:///E:/Estudios%20y%20certificaciones/ESTUDIOS%20DE%20PROGRAMMING/PROGRAMMING/PERSONAL/PYTHON/Image_Generator_API/imagenes/NAUTICA_MENS_208005269_ALU_3.jpg")</f>
        <v/>
      </c>
      <c r="O2769">
        <f>HYPERLINK("imagenes/NAUTICA_MENS_208005269_ALU_1.jpg","Ver imagen")</f>
        <v/>
      </c>
      <c r="P2769">
        <f>HYPERLINK("imagenes/NAUTICA_MENS_208005269_ALU_2.jpg","Ver imagen")</f>
        <v/>
      </c>
      <c r="Q2769">
        <f>HYPERLINK("imagenes/NAUTICA_MENS_208005269_ALU_3.jpg","Ver imagen")</f>
        <v/>
      </c>
    </row>
    <row r="2770">
      <c r="A2770" t="inlineStr">
        <is>
          <t>NAUTICA MENS</t>
        </is>
      </c>
      <c r="B2770" t="inlineStr">
        <is>
          <t>208005269</t>
        </is>
      </c>
      <c r="C2770" t="inlineStr">
        <is>
          <t>TRANSITIONAL PACKABLE VEST</t>
        </is>
      </c>
      <c r="D2770" t="inlineStr">
        <is>
          <t>ALU</t>
        </is>
      </c>
      <c r="E2770" t="inlineStr">
        <is>
          <t>(en blanco)</t>
        </is>
      </c>
      <c r="F2770" t="inlineStr">
        <is>
          <t>(en blanco)</t>
        </is>
      </c>
      <c r="G2770" t="inlineStr">
        <is>
          <t>M</t>
        </is>
      </c>
      <c r="H2770" t="n">
        <v>4</v>
      </c>
      <c r="I2770" t="inlineStr">
        <is>
          <t>NAUTICA_MENS_208005269_ALU_1.jpg</t>
        </is>
      </c>
      <c r="J2770" t="inlineStr">
        <is>
          <t>NAUTICA_MENS_208005269_ALU_2.jpg</t>
        </is>
      </c>
      <c r="K2770" t="inlineStr">
        <is>
          <t>NAUTICA_MENS_208005269_ALU_3.jpg</t>
        </is>
      </c>
      <c r="L2770">
        <f>IMAGE("file:///E:/Estudios%20y%20certificaciones/ESTUDIOS%20DE%20PROGRAMMING/PROGRAMMING/PERSONAL/PYTHON/Image_Generator_API/imagenes/NAUTICA_MENS_208005269_ALU_1.jpg")</f>
        <v/>
      </c>
      <c r="M2770">
        <f>IMAGE("file:///E:/Estudios%20y%20certificaciones/ESTUDIOS%20DE%20PROGRAMMING/PROGRAMMING/PERSONAL/PYTHON/Image_Generator_API/imagenes/NAUTICA_MENS_208005269_ALU_2.jpg")</f>
        <v/>
      </c>
      <c r="N2770">
        <f>IMAGE("file:///E:/Estudios%20y%20certificaciones/ESTUDIOS%20DE%20PROGRAMMING/PROGRAMMING/PERSONAL/PYTHON/Image_Generator_API/imagenes/NAUTICA_MENS_208005269_ALU_3.jpg")</f>
        <v/>
      </c>
      <c r="O2770">
        <f>HYPERLINK("imagenes/NAUTICA_MENS_208005269_ALU_1.jpg","Ver imagen")</f>
        <v/>
      </c>
      <c r="P2770">
        <f>HYPERLINK("imagenes/NAUTICA_MENS_208005269_ALU_2.jpg","Ver imagen")</f>
        <v/>
      </c>
      <c r="Q2770">
        <f>HYPERLINK("imagenes/NAUTICA_MENS_208005269_ALU_3.jpg","Ver imagen")</f>
        <v/>
      </c>
    </row>
    <row r="2771">
      <c r="A2771" t="inlineStr">
        <is>
          <t>NAUTICA MENS</t>
        </is>
      </c>
      <c r="B2771" t="inlineStr">
        <is>
          <t>208005269</t>
        </is>
      </c>
      <c r="C2771" t="inlineStr">
        <is>
          <t>TRANSITIONAL PACKABLE VEST</t>
        </is>
      </c>
      <c r="D2771" t="inlineStr">
        <is>
          <t>ALU</t>
        </is>
      </c>
      <c r="E2771" t="inlineStr">
        <is>
          <t>(en blanco)</t>
        </is>
      </c>
      <c r="F2771" t="inlineStr">
        <is>
          <t>(en blanco)</t>
        </is>
      </c>
      <c r="G2771" t="inlineStr">
        <is>
          <t>L</t>
        </is>
      </c>
      <c r="H2771" t="n">
        <v>1</v>
      </c>
      <c r="I2771" t="inlineStr">
        <is>
          <t>NAUTICA_MENS_208005269_ALU_1.jpg</t>
        </is>
      </c>
      <c r="J2771" t="inlineStr">
        <is>
          <t>NAUTICA_MENS_208005269_ALU_2.jpg</t>
        </is>
      </c>
      <c r="K2771" t="inlineStr">
        <is>
          <t>NAUTICA_MENS_208005269_ALU_3.jpg</t>
        </is>
      </c>
      <c r="L2771">
        <f>IMAGE("file:///E:/Estudios%20y%20certificaciones/ESTUDIOS%20DE%20PROGRAMMING/PROGRAMMING/PERSONAL/PYTHON/Image_Generator_API/imagenes/NAUTICA_MENS_208005269_ALU_1.jpg")</f>
        <v/>
      </c>
      <c r="M2771">
        <f>IMAGE("file:///E:/Estudios%20y%20certificaciones/ESTUDIOS%20DE%20PROGRAMMING/PROGRAMMING/PERSONAL/PYTHON/Image_Generator_API/imagenes/NAUTICA_MENS_208005269_ALU_2.jpg")</f>
        <v/>
      </c>
      <c r="N2771">
        <f>IMAGE("file:///E:/Estudios%20y%20certificaciones/ESTUDIOS%20DE%20PROGRAMMING/PROGRAMMING/PERSONAL/PYTHON/Image_Generator_API/imagenes/NAUTICA_MENS_208005269_ALU_3.jpg")</f>
        <v/>
      </c>
      <c r="O2771">
        <f>HYPERLINK("imagenes/NAUTICA_MENS_208005269_ALU_1.jpg","Ver imagen")</f>
        <v/>
      </c>
      <c r="P2771">
        <f>HYPERLINK("imagenes/NAUTICA_MENS_208005269_ALU_2.jpg","Ver imagen")</f>
        <v/>
      </c>
      <c r="Q2771">
        <f>HYPERLINK("imagenes/NAUTICA_MENS_208005269_ALU_3.jpg","Ver imagen")</f>
        <v/>
      </c>
    </row>
    <row r="2772">
      <c r="A2772" t="inlineStr">
        <is>
          <t>NAUTICA MENS</t>
        </is>
      </c>
      <c r="B2772" t="inlineStr">
        <is>
          <t>208005269</t>
        </is>
      </c>
      <c r="C2772" t="inlineStr">
        <is>
          <t>TRANSITIONAL PACKABLE VEST</t>
        </is>
      </c>
      <c r="D2772" t="inlineStr">
        <is>
          <t>ALU</t>
        </is>
      </c>
      <c r="E2772" t="inlineStr">
        <is>
          <t>(en blanco)</t>
        </is>
      </c>
      <c r="F2772" t="inlineStr">
        <is>
          <t>(en blanco)</t>
        </is>
      </c>
      <c r="G2772" t="inlineStr">
        <is>
          <t>XL</t>
        </is>
      </c>
      <c r="H2772" t="n">
        <v>1</v>
      </c>
      <c r="I2772" t="inlineStr">
        <is>
          <t>NAUTICA_MENS_208005269_ALU_1.jpg</t>
        </is>
      </c>
      <c r="J2772" t="inlineStr">
        <is>
          <t>NAUTICA_MENS_208005269_ALU_2.jpg</t>
        </is>
      </c>
      <c r="K2772" t="inlineStr">
        <is>
          <t>NAUTICA_MENS_208005269_ALU_3.jpg</t>
        </is>
      </c>
      <c r="L2772">
        <f>IMAGE("file:///E:/Estudios%20y%20certificaciones/ESTUDIOS%20DE%20PROGRAMMING/PROGRAMMING/PERSONAL/PYTHON/Image_Generator_API/imagenes/NAUTICA_MENS_208005269_ALU_1.jpg")</f>
        <v/>
      </c>
      <c r="M2772">
        <f>IMAGE("file:///E:/Estudios%20y%20certificaciones/ESTUDIOS%20DE%20PROGRAMMING/PROGRAMMING/PERSONAL/PYTHON/Image_Generator_API/imagenes/NAUTICA_MENS_208005269_ALU_2.jpg")</f>
        <v/>
      </c>
      <c r="N2772">
        <f>IMAGE("file:///E:/Estudios%20y%20certificaciones/ESTUDIOS%20DE%20PROGRAMMING/PROGRAMMING/PERSONAL/PYTHON/Image_Generator_API/imagenes/NAUTICA_MENS_208005269_ALU_3.jpg")</f>
        <v/>
      </c>
      <c r="O2772">
        <f>HYPERLINK("imagenes/NAUTICA_MENS_208005269_ALU_1.jpg","Ver imagen")</f>
        <v/>
      </c>
      <c r="P2772">
        <f>HYPERLINK("imagenes/NAUTICA_MENS_208005269_ALU_2.jpg","Ver imagen")</f>
        <v/>
      </c>
      <c r="Q2772">
        <f>HYPERLINK("imagenes/NAUTICA_MENS_208005269_ALU_3.jpg","Ver imagen")</f>
        <v/>
      </c>
    </row>
    <row r="2773">
      <c r="A2773" t="inlineStr">
        <is>
          <t>NAUTICA MENS</t>
        </is>
      </c>
      <c r="B2773" t="inlineStr">
        <is>
          <t>208005269</t>
        </is>
      </c>
      <c r="C2773" t="inlineStr">
        <is>
          <t>TRANSITIONAL PACKABLE VEST</t>
        </is>
      </c>
      <c r="D2773" t="inlineStr">
        <is>
          <t>BLK</t>
        </is>
      </c>
      <c r="E2773" t="inlineStr">
        <is>
          <t>12A08</t>
        </is>
      </c>
      <c r="F2773" t="inlineStr">
        <is>
          <t>(en blanco)</t>
        </is>
      </c>
      <c r="G2773" t="inlineStr">
        <is>
          <t>PPK</t>
        </is>
      </c>
      <c r="H2773" t="n">
        <v>0</v>
      </c>
      <c r="I2773" t="inlineStr">
        <is>
          <t>NAUTICA_MENS_208005269_BLK_1.jpg</t>
        </is>
      </c>
      <c r="J2773" t="inlineStr">
        <is>
          <t>NAUTICA_MENS_208005269_BLK_2.jpg</t>
        </is>
      </c>
      <c r="K2773" t="inlineStr">
        <is>
          <t>NAUTICA_MENS_208005269_BLK_3.jpg</t>
        </is>
      </c>
      <c r="L2773">
        <f>IMAGE("file:///E:/Estudios%20y%20certificaciones/ESTUDIOS%20DE%20PROGRAMMING/PROGRAMMING/PERSONAL/PYTHON/Image_Generator_API/imagenes/NAUTICA_MENS_208005269_BLK_1.jpg")</f>
        <v/>
      </c>
      <c r="M2773">
        <f>IMAGE("file:///E:/Estudios%20y%20certificaciones/ESTUDIOS%20DE%20PROGRAMMING/PROGRAMMING/PERSONAL/PYTHON/Image_Generator_API/imagenes/NAUTICA_MENS_208005269_BLK_2.jpg")</f>
        <v/>
      </c>
      <c r="N2773">
        <f>IMAGE("file:///E:/Estudios%20y%20certificaciones/ESTUDIOS%20DE%20PROGRAMMING/PROGRAMMING/PERSONAL/PYTHON/Image_Generator_API/imagenes/NAUTICA_MENS_208005269_BLK_3.jpg")</f>
        <v/>
      </c>
      <c r="O2773">
        <f>HYPERLINK("imagenes/NAUTICA_MENS_208005269_BLK_1.jpg","Ver imagen")</f>
        <v/>
      </c>
      <c r="P2773">
        <f>HYPERLINK("imagenes/NAUTICA_MENS_208005269_BLK_2.jpg","Ver imagen")</f>
        <v/>
      </c>
      <c r="Q2773">
        <f>HYPERLINK("imagenes/NAUTICA_MENS_208005269_BLK_3.jpg","Ver imagen")</f>
        <v/>
      </c>
    </row>
    <row r="2774">
      <c r="A2774" t="inlineStr">
        <is>
          <t>NAUTICA MENS</t>
        </is>
      </c>
      <c r="B2774" t="inlineStr">
        <is>
          <t>208005269</t>
        </is>
      </c>
      <c r="C2774" t="inlineStr">
        <is>
          <t>TRANSITIONAL PACKABLE VEST</t>
        </is>
      </c>
      <c r="D2774" t="inlineStr">
        <is>
          <t>BLK</t>
        </is>
      </c>
      <c r="E2774" t="inlineStr">
        <is>
          <t>(en blanco)</t>
        </is>
      </c>
      <c r="F2774" t="inlineStr">
        <is>
          <t>(en blanco)</t>
        </is>
      </c>
      <c r="G2774" t="inlineStr">
        <is>
          <t>S</t>
        </is>
      </c>
      <c r="H2774" t="n">
        <v>1</v>
      </c>
      <c r="I2774" t="inlineStr">
        <is>
          <t>NAUTICA_MENS_208005269_BLK_1.jpg</t>
        </is>
      </c>
      <c r="J2774" t="inlineStr">
        <is>
          <t>NAUTICA_MENS_208005269_BLK_2.jpg</t>
        </is>
      </c>
      <c r="K2774" t="inlineStr">
        <is>
          <t>NAUTICA_MENS_208005269_BLK_3.jpg</t>
        </is>
      </c>
      <c r="L2774">
        <f>IMAGE("file:///E:/Estudios%20y%20certificaciones/ESTUDIOS%20DE%20PROGRAMMING/PROGRAMMING/PERSONAL/PYTHON/Image_Generator_API/imagenes/NAUTICA_MENS_208005269_BLK_1.jpg")</f>
        <v/>
      </c>
      <c r="M2774">
        <f>IMAGE("file:///E:/Estudios%20y%20certificaciones/ESTUDIOS%20DE%20PROGRAMMING/PROGRAMMING/PERSONAL/PYTHON/Image_Generator_API/imagenes/NAUTICA_MENS_208005269_BLK_2.jpg")</f>
        <v/>
      </c>
      <c r="N2774">
        <f>IMAGE("file:///E:/Estudios%20y%20certificaciones/ESTUDIOS%20DE%20PROGRAMMING/PROGRAMMING/PERSONAL/PYTHON/Image_Generator_API/imagenes/NAUTICA_MENS_208005269_BLK_3.jpg")</f>
        <v/>
      </c>
      <c r="O2774">
        <f>HYPERLINK("imagenes/NAUTICA_MENS_208005269_BLK_1.jpg","Ver imagen")</f>
        <v/>
      </c>
      <c r="P2774">
        <f>HYPERLINK("imagenes/NAUTICA_MENS_208005269_BLK_2.jpg","Ver imagen")</f>
        <v/>
      </c>
      <c r="Q2774">
        <f>HYPERLINK("imagenes/NAUTICA_MENS_208005269_BLK_3.jpg","Ver imagen")</f>
        <v/>
      </c>
    </row>
    <row r="2775">
      <c r="A2775" t="inlineStr">
        <is>
          <t>NAUTICA MENS</t>
        </is>
      </c>
      <c r="B2775" t="inlineStr">
        <is>
          <t>208005269</t>
        </is>
      </c>
      <c r="C2775" t="inlineStr">
        <is>
          <t>TRANSITIONAL PACKABLE VEST</t>
        </is>
      </c>
      <c r="D2775" t="inlineStr">
        <is>
          <t>BLK</t>
        </is>
      </c>
      <c r="E2775" t="inlineStr">
        <is>
          <t>(en blanco)</t>
        </is>
      </c>
      <c r="F2775" t="inlineStr">
        <is>
          <t>(en blanco)</t>
        </is>
      </c>
      <c r="G2775" t="inlineStr">
        <is>
          <t>M</t>
        </is>
      </c>
      <c r="H2775" t="n">
        <v>0</v>
      </c>
      <c r="I2775" t="inlineStr">
        <is>
          <t>NAUTICA_MENS_208005269_BLK_1.jpg</t>
        </is>
      </c>
      <c r="J2775" t="inlineStr">
        <is>
          <t>NAUTICA_MENS_208005269_BLK_2.jpg</t>
        </is>
      </c>
      <c r="K2775" t="inlineStr">
        <is>
          <t>NAUTICA_MENS_208005269_BLK_3.jpg</t>
        </is>
      </c>
      <c r="L2775">
        <f>IMAGE("file:///E:/Estudios%20y%20certificaciones/ESTUDIOS%20DE%20PROGRAMMING/PROGRAMMING/PERSONAL/PYTHON/Image_Generator_API/imagenes/NAUTICA_MENS_208005269_BLK_1.jpg")</f>
        <v/>
      </c>
      <c r="M2775">
        <f>IMAGE("file:///E:/Estudios%20y%20certificaciones/ESTUDIOS%20DE%20PROGRAMMING/PROGRAMMING/PERSONAL/PYTHON/Image_Generator_API/imagenes/NAUTICA_MENS_208005269_BLK_2.jpg")</f>
        <v/>
      </c>
      <c r="N2775">
        <f>IMAGE("file:///E:/Estudios%20y%20certificaciones/ESTUDIOS%20DE%20PROGRAMMING/PROGRAMMING/PERSONAL/PYTHON/Image_Generator_API/imagenes/NAUTICA_MENS_208005269_BLK_3.jpg")</f>
        <v/>
      </c>
      <c r="O2775">
        <f>HYPERLINK("imagenes/NAUTICA_MENS_208005269_BLK_1.jpg","Ver imagen")</f>
        <v/>
      </c>
      <c r="P2775">
        <f>HYPERLINK("imagenes/NAUTICA_MENS_208005269_BLK_2.jpg","Ver imagen")</f>
        <v/>
      </c>
      <c r="Q2775">
        <f>HYPERLINK("imagenes/NAUTICA_MENS_208005269_BLK_3.jpg","Ver imagen")</f>
        <v/>
      </c>
    </row>
    <row r="2776">
      <c r="A2776" t="inlineStr">
        <is>
          <t>NAUTICA MENS</t>
        </is>
      </c>
      <c r="B2776" t="inlineStr">
        <is>
          <t>208005269</t>
        </is>
      </c>
      <c r="C2776" t="inlineStr">
        <is>
          <t>TRANSITIONAL PACKABLE VEST</t>
        </is>
      </c>
      <c r="D2776" t="inlineStr">
        <is>
          <t>BLK</t>
        </is>
      </c>
      <c r="E2776" t="inlineStr">
        <is>
          <t>(en blanco)</t>
        </is>
      </c>
      <c r="F2776" t="inlineStr">
        <is>
          <t>(en blanco)</t>
        </is>
      </c>
      <c r="G2776" t="inlineStr">
        <is>
          <t>L</t>
        </is>
      </c>
      <c r="H2776" t="n">
        <v>3</v>
      </c>
      <c r="I2776" t="inlineStr">
        <is>
          <t>NAUTICA_MENS_208005269_BLK_1.jpg</t>
        </is>
      </c>
      <c r="J2776" t="inlineStr">
        <is>
          <t>NAUTICA_MENS_208005269_BLK_2.jpg</t>
        </is>
      </c>
      <c r="K2776" t="inlineStr">
        <is>
          <t>NAUTICA_MENS_208005269_BLK_3.jpg</t>
        </is>
      </c>
      <c r="L2776">
        <f>IMAGE("file:///E:/Estudios%20y%20certificaciones/ESTUDIOS%20DE%20PROGRAMMING/PROGRAMMING/PERSONAL/PYTHON/Image_Generator_API/imagenes/NAUTICA_MENS_208005269_BLK_1.jpg")</f>
        <v/>
      </c>
      <c r="M2776">
        <f>IMAGE("file:///E:/Estudios%20y%20certificaciones/ESTUDIOS%20DE%20PROGRAMMING/PROGRAMMING/PERSONAL/PYTHON/Image_Generator_API/imagenes/NAUTICA_MENS_208005269_BLK_2.jpg")</f>
        <v/>
      </c>
      <c r="N2776">
        <f>IMAGE("file:///E:/Estudios%20y%20certificaciones/ESTUDIOS%20DE%20PROGRAMMING/PROGRAMMING/PERSONAL/PYTHON/Image_Generator_API/imagenes/NAUTICA_MENS_208005269_BLK_3.jpg")</f>
        <v/>
      </c>
      <c r="O2776">
        <f>HYPERLINK("imagenes/NAUTICA_MENS_208005269_BLK_1.jpg","Ver imagen")</f>
        <v/>
      </c>
      <c r="P2776">
        <f>HYPERLINK("imagenes/NAUTICA_MENS_208005269_BLK_2.jpg","Ver imagen")</f>
        <v/>
      </c>
      <c r="Q2776">
        <f>HYPERLINK("imagenes/NAUTICA_MENS_208005269_BLK_3.jpg","Ver imagen")</f>
        <v/>
      </c>
    </row>
    <row r="2777">
      <c r="A2777" t="inlineStr">
        <is>
          <t>NAUTICA MENS</t>
        </is>
      </c>
      <c r="B2777" t="inlineStr">
        <is>
          <t>208005269</t>
        </is>
      </c>
      <c r="C2777" t="inlineStr">
        <is>
          <t>TRANSITIONAL PACKABLE VEST</t>
        </is>
      </c>
      <c r="D2777" t="inlineStr">
        <is>
          <t>BLK</t>
        </is>
      </c>
      <c r="E2777" t="inlineStr">
        <is>
          <t>(en blanco)</t>
        </is>
      </c>
      <c r="F2777" t="inlineStr">
        <is>
          <t>(en blanco)</t>
        </is>
      </c>
      <c r="G2777" t="inlineStr">
        <is>
          <t>XL</t>
        </is>
      </c>
      <c r="H2777" t="n">
        <v>1</v>
      </c>
      <c r="I2777" t="inlineStr">
        <is>
          <t>NAUTICA_MENS_208005269_BLK_1.jpg</t>
        </is>
      </c>
      <c r="J2777" t="inlineStr">
        <is>
          <t>NAUTICA_MENS_208005269_BLK_2.jpg</t>
        </is>
      </c>
      <c r="K2777" t="inlineStr">
        <is>
          <t>NAUTICA_MENS_208005269_BLK_3.jpg</t>
        </is>
      </c>
      <c r="L2777">
        <f>IMAGE("file:///E:/Estudios%20y%20certificaciones/ESTUDIOS%20DE%20PROGRAMMING/PROGRAMMING/PERSONAL/PYTHON/Image_Generator_API/imagenes/NAUTICA_MENS_208005269_BLK_1.jpg")</f>
        <v/>
      </c>
      <c r="M2777">
        <f>IMAGE("file:///E:/Estudios%20y%20certificaciones/ESTUDIOS%20DE%20PROGRAMMING/PROGRAMMING/PERSONAL/PYTHON/Image_Generator_API/imagenes/NAUTICA_MENS_208005269_BLK_2.jpg")</f>
        <v/>
      </c>
      <c r="N2777">
        <f>IMAGE("file:///E:/Estudios%20y%20certificaciones/ESTUDIOS%20DE%20PROGRAMMING/PROGRAMMING/PERSONAL/PYTHON/Image_Generator_API/imagenes/NAUTICA_MENS_208005269_BLK_3.jpg")</f>
        <v/>
      </c>
      <c r="O2777">
        <f>HYPERLINK("imagenes/NAUTICA_MENS_208005269_BLK_1.jpg","Ver imagen")</f>
        <v/>
      </c>
      <c r="P2777">
        <f>HYPERLINK("imagenes/NAUTICA_MENS_208005269_BLK_2.jpg","Ver imagen")</f>
        <v/>
      </c>
      <c r="Q2777">
        <f>HYPERLINK("imagenes/NAUTICA_MENS_208005269_BLK_3.jpg","Ver imagen")</f>
        <v/>
      </c>
    </row>
    <row r="2778">
      <c r="A2778" t="inlineStr">
        <is>
          <t>NAUTICA MENS</t>
        </is>
      </c>
      <c r="B2778" t="inlineStr">
        <is>
          <t>208005269</t>
        </is>
      </c>
      <c r="C2778" t="inlineStr">
        <is>
          <t>TRANSITIONAL PACKABLE VEST</t>
        </is>
      </c>
      <c r="D2778" t="inlineStr">
        <is>
          <t>NVY</t>
        </is>
      </c>
      <c r="E2778" t="inlineStr">
        <is>
          <t>12A08</t>
        </is>
      </c>
      <c r="F2778" t="inlineStr">
        <is>
          <t>(en blanco)</t>
        </is>
      </c>
      <c r="G2778" t="inlineStr">
        <is>
          <t>PPK</t>
        </is>
      </c>
      <c r="H2778" t="n">
        <v>0</v>
      </c>
      <c r="I2778" t="inlineStr">
        <is>
          <t>NAUTICA_MENS_208005269_NVY_1.jpg</t>
        </is>
      </c>
      <c r="J2778" t="inlineStr">
        <is>
          <t>NAUTICA_MENS_208005269_NVY_2.jpg</t>
        </is>
      </c>
      <c r="K2778" t="inlineStr">
        <is>
          <t>NAUTICA_MENS_208005269_NVY_3.jpg</t>
        </is>
      </c>
      <c r="L2778">
        <f>IMAGE("file:///E:/Estudios%20y%20certificaciones/ESTUDIOS%20DE%20PROGRAMMING/PROGRAMMING/PERSONAL/PYTHON/Image_Generator_API/imagenes/NAUTICA_MENS_208005269_NVY_1.jpg")</f>
        <v/>
      </c>
      <c r="M2778">
        <f>IMAGE("file:///E:/Estudios%20y%20certificaciones/ESTUDIOS%20DE%20PROGRAMMING/PROGRAMMING/PERSONAL/PYTHON/Image_Generator_API/imagenes/NAUTICA_MENS_208005269_NVY_2.jpg")</f>
        <v/>
      </c>
      <c r="N2778">
        <f>IMAGE("file:///E:/Estudios%20y%20certificaciones/ESTUDIOS%20DE%20PROGRAMMING/PROGRAMMING/PERSONAL/PYTHON/Image_Generator_API/imagenes/NAUTICA_MENS_208005269_NVY_3.jpg")</f>
        <v/>
      </c>
      <c r="O2778">
        <f>HYPERLINK("imagenes/NAUTICA_MENS_208005269_NVY_1.jpg","Ver imagen")</f>
        <v/>
      </c>
      <c r="P2778">
        <f>HYPERLINK("imagenes/NAUTICA_MENS_208005269_NVY_2.jpg","Ver imagen")</f>
        <v/>
      </c>
      <c r="Q2778">
        <f>HYPERLINK("imagenes/NAUTICA_MENS_208005269_NVY_3.jpg","Ver imagen")</f>
        <v/>
      </c>
    </row>
    <row r="2779">
      <c r="A2779" t="inlineStr">
        <is>
          <t>NAUTICA MENS</t>
        </is>
      </c>
      <c r="B2779" t="inlineStr">
        <is>
          <t>208005269</t>
        </is>
      </c>
      <c r="C2779" t="inlineStr">
        <is>
          <t>TRANSITIONAL PACKABLE VEST</t>
        </is>
      </c>
      <c r="D2779" t="inlineStr">
        <is>
          <t>NVY</t>
        </is>
      </c>
      <c r="E2779" t="inlineStr">
        <is>
          <t>(en blanco)</t>
        </is>
      </c>
      <c r="F2779" t="inlineStr">
        <is>
          <t>(en blanco)</t>
        </is>
      </c>
      <c r="G2779" t="inlineStr">
        <is>
          <t>S</t>
        </is>
      </c>
      <c r="H2779" t="n">
        <v>1</v>
      </c>
      <c r="I2779" t="inlineStr">
        <is>
          <t>NAUTICA_MENS_208005269_NVY_1.jpg</t>
        </is>
      </c>
      <c r="J2779" t="inlineStr">
        <is>
          <t>NAUTICA_MENS_208005269_NVY_2.jpg</t>
        </is>
      </c>
      <c r="K2779" t="inlineStr">
        <is>
          <t>NAUTICA_MENS_208005269_NVY_3.jpg</t>
        </is>
      </c>
      <c r="L2779">
        <f>IMAGE("file:///E:/Estudios%20y%20certificaciones/ESTUDIOS%20DE%20PROGRAMMING/PROGRAMMING/PERSONAL/PYTHON/Image_Generator_API/imagenes/NAUTICA_MENS_208005269_NVY_1.jpg")</f>
        <v/>
      </c>
      <c r="M2779">
        <f>IMAGE("file:///E:/Estudios%20y%20certificaciones/ESTUDIOS%20DE%20PROGRAMMING/PROGRAMMING/PERSONAL/PYTHON/Image_Generator_API/imagenes/NAUTICA_MENS_208005269_NVY_2.jpg")</f>
        <v/>
      </c>
      <c r="N2779">
        <f>IMAGE("file:///E:/Estudios%20y%20certificaciones/ESTUDIOS%20DE%20PROGRAMMING/PROGRAMMING/PERSONAL/PYTHON/Image_Generator_API/imagenes/NAUTICA_MENS_208005269_NVY_3.jpg")</f>
        <v/>
      </c>
      <c r="O2779">
        <f>HYPERLINK("imagenes/NAUTICA_MENS_208005269_NVY_1.jpg","Ver imagen")</f>
        <v/>
      </c>
      <c r="P2779">
        <f>HYPERLINK("imagenes/NAUTICA_MENS_208005269_NVY_2.jpg","Ver imagen")</f>
        <v/>
      </c>
      <c r="Q2779">
        <f>HYPERLINK("imagenes/NAUTICA_MENS_208005269_NVY_3.jpg","Ver imagen")</f>
        <v/>
      </c>
    </row>
    <row r="2780">
      <c r="A2780" t="inlineStr">
        <is>
          <t>NAUTICA MENS</t>
        </is>
      </c>
      <c r="B2780" t="inlineStr">
        <is>
          <t>208005269</t>
        </is>
      </c>
      <c r="C2780" t="inlineStr">
        <is>
          <t>TRANSITIONAL PACKABLE VEST</t>
        </is>
      </c>
      <c r="D2780" t="inlineStr">
        <is>
          <t>NVY</t>
        </is>
      </c>
      <c r="E2780" t="inlineStr">
        <is>
          <t>(en blanco)</t>
        </is>
      </c>
      <c r="F2780" t="inlineStr">
        <is>
          <t>(en blanco)</t>
        </is>
      </c>
      <c r="G2780" t="inlineStr">
        <is>
          <t>M</t>
        </is>
      </c>
      <c r="H2780" t="n">
        <v>12</v>
      </c>
      <c r="I2780" t="inlineStr">
        <is>
          <t>NAUTICA_MENS_208005269_NVY_1.jpg</t>
        </is>
      </c>
      <c r="J2780" t="inlineStr">
        <is>
          <t>NAUTICA_MENS_208005269_NVY_2.jpg</t>
        </is>
      </c>
      <c r="K2780" t="inlineStr">
        <is>
          <t>NAUTICA_MENS_208005269_NVY_3.jpg</t>
        </is>
      </c>
      <c r="L2780">
        <f>IMAGE("file:///E:/Estudios%20y%20certificaciones/ESTUDIOS%20DE%20PROGRAMMING/PROGRAMMING/PERSONAL/PYTHON/Image_Generator_API/imagenes/NAUTICA_MENS_208005269_NVY_1.jpg")</f>
        <v/>
      </c>
      <c r="M2780">
        <f>IMAGE("file:///E:/Estudios%20y%20certificaciones/ESTUDIOS%20DE%20PROGRAMMING/PROGRAMMING/PERSONAL/PYTHON/Image_Generator_API/imagenes/NAUTICA_MENS_208005269_NVY_2.jpg")</f>
        <v/>
      </c>
      <c r="N2780">
        <f>IMAGE("file:///E:/Estudios%20y%20certificaciones/ESTUDIOS%20DE%20PROGRAMMING/PROGRAMMING/PERSONAL/PYTHON/Image_Generator_API/imagenes/NAUTICA_MENS_208005269_NVY_3.jpg")</f>
        <v/>
      </c>
      <c r="O2780">
        <f>HYPERLINK("imagenes/NAUTICA_MENS_208005269_NVY_1.jpg","Ver imagen")</f>
        <v/>
      </c>
      <c r="P2780">
        <f>HYPERLINK("imagenes/NAUTICA_MENS_208005269_NVY_2.jpg","Ver imagen")</f>
        <v/>
      </c>
      <c r="Q2780">
        <f>HYPERLINK("imagenes/NAUTICA_MENS_208005269_NVY_3.jpg","Ver imagen")</f>
        <v/>
      </c>
    </row>
    <row r="2781">
      <c r="A2781" t="inlineStr">
        <is>
          <t>NAUTICA MENS</t>
        </is>
      </c>
      <c r="B2781" t="inlineStr">
        <is>
          <t>208005269</t>
        </is>
      </c>
      <c r="C2781" t="inlineStr">
        <is>
          <t>TRANSITIONAL PACKABLE VEST</t>
        </is>
      </c>
      <c r="D2781" t="inlineStr">
        <is>
          <t>NVY</t>
        </is>
      </c>
      <c r="E2781" t="inlineStr">
        <is>
          <t>(en blanco)</t>
        </is>
      </c>
      <c r="F2781" t="inlineStr">
        <is>
          <t>(en blanco)</t>
        </is>
      </c>
      <c r="G2781" t="inlineStr">
        <is>
          <t>L</t>
        </is>
      </c>
      <c r="H2781" t="n">
        <v>13</v>
      </c>
      <c r="I2781" t="inlineStr">
        <is>
          <t>NAUTICA_MENS_208005269_NVY_1.jpg</t>
        </is>
      </c>
      <c r="J2781" t="inlineStr">
        <is>
          <t>NAUTICA_MENS_208005269_NVY_2.jpg</t>
        </is>
      </c>
      <c r="K2781" t="inlineStr">
        <is>
          <t>NAUTICA_MENS_208005269_NVY_3.jpg</t>
        </is>
      </c>
      <c r="L2781">
        <f>IMAGE("file:///E:/Estudios%20y%20certificaciones/ESTUDIOS%20DE%20PROGRAMMING/PROGRAMMING/PERSONAL/PYTHON/Image_Generator_API/imagenes/NAUTICA_MENS_208005269_NVY_1.jpg")</f>
        <v/>
      </c>
      <c r="M2781">
        <f>IMAGE("file:///E:/Estudios%20y%20certificaciones/ESTUDIOS%20DE%20PROGRAMMING/PROGRAMMING/PERSONAL/PYTHON/Image_Generator_API/imagenes/NAUTICA_MENS_208005269_NVY_2.jpg")</f>
        <v/>
      </c>
      <c r="N2781">
        <f>IMAGE("file:///E:/Estudios%20y%20certificaciones/ESTUDIOS%20DE%20PROGRAMMING/PROGRAMMING/PERSONAL/PYTHON/Image_Generator_API/imagenes/NAUTICA_MENS_208005269_NVY_3.jpg")</f>
        <v/>
      </c>
      <c r="O2781">
        <f>HYPERLINK("imagenes/NAUTICA_MENS_208005269_NVY_1.jpg","Ver imagen")</f>
        <v/>
      </c>
      <c r="P2781">
        <f>HYPERLINK("imagenes/NAUTICA_MENS_208005269_NVY_2.jpg","Ver imagen")</f>
        <v/>
      </c>
      <c r="Q2781">
        <f>HYPERLINK("imagenes/NAUTICA_MENS_208005269_NVY_3.jpg","Ver imagen")</f>
        <v/>
      </c>
    </row>
    <row r="2782">
      <c r="A2782" t="inlineStr">
        <is>
          <t>NAUTICA MENS</t>
        </is>
      </c>
      <c r="B2782" t="inlineStr">
        <is>
          <t>208005269</t>
        </is>
      </c>
      <c r="C2782" t="inlineStr">
        <is>
          <t>TRANSITIONAL PACKABLE VEST</t>
        </is>
      </c>
      <c r="D2782" t="inlineStr">
        <is>
          <t>NVY</t>
        </is>
      </c>
      <c r="E2782" t="inlineStr">
        <is>
          <t>(en blanco)</t>
        </is>
      </c>
      <c r="F2782" t="inlineStr">
        <is>
          <t>(en blanco)</t>
        </is>
      </c>
      <c r="G2782" t="inlineStr">
        <is>
          <t>XL</t>
        </is>
      </c>
      <c r="H2782" t="n">
        <v>16</v>
      </c>
      <c r="I2782" t="inlineStr">
        <is>
          <t>NAUTICA_MENS_208005269_NVY_1.jpg</t>
        </is>
      </c>
      <c r="J2782" t="inlineStr">
        <is>
          <t>NAUTICA_MENS_208005269_NVY_2.jpg</t>
        </is>
      </c>
      <c r="K2782" t="inlineStr">
        <is>
          <t>NAUTICA_MENS_208005269_NVY_3.jpg</t>
        </is>
      </c>
      <c r="L2782">
        <f>IMAGE("file:///E:/Estudios%20y%20certificaciones/ESTUDIOS%20DE%20PROGRAMMING/PROGRAMMING/PERSONAL/PYTHON/Image_Generator_API/imagenes/NAUTICA_MENS_208005269_NVY_1.jpg")</f>
        <v/>
      </c>
      <c r="M2782">
        <f>IMAGE("file:///E:/Estudios%20y%20certificaciones/ESTUDIOS%20DE%20PROGRAMMING/PROGRAMMING/PERSONAL/PYTHON/Image_Generator_API/imagenes/NAUTICA_MENS_208005269_NVY_2.jpg")</f>
        <v/>
      </c>
      <c r="N2782">
        <f>IMAGE("file:///E:/Estudios%20y%20certificaciones/ESTUDIOS%20DE%20PROGRAMMING/PROGRAMMING/PERSONAL/PYTHON/Image_Generator_API/imagenes/NAUTICA_MENS_208005269_NVY_3.jpg")</f>
        <v/>
      </c>
      <c r="O2782">
        <f>HYPERLINK("imagenes/NAUTICA_MENS_208005269_NVY_1.jpg","Ver imagen")</f>
        <v/>
      </c>
      <c r="P2782">
        <f>HYPERLINK("imagenes/NAUTICA_MENS_208005269_NVY_2.jpg","Ver imagen")</f>
        <v/>
      </c>
      <c r="Q2782">
        <f>HYPERLINK("imagenes/NAUTICA_MENS_208005269_NVY_3.jpg","Ver imagen")</f>
        <v/>
      </c>
    </row>
    <row r="2783">
      <c r="A2783" t="inlineStr">
        <is>
          <t>NAUTICA MENS</t>
        </is>
      </c>
      <c r="B2783" t="inlineStr">
        <is>
          <t>208005782</t>
        </is>
      </c>
      <c r="C2783" t="inlineStr">
        <is>
          <t>HOODED PARKA</t>
        </is>
      </c>
      <c r="D2783" t="inlineStr">
        <is>
          <t>BLK</t>
        </is>
      </c>
      <c r="E2783" t="inlineStr">
        <is>
          <t>(en blanco)</t>
        </is>
      </c>
      <c r="F2783" t="inlineStr">
        <is>
          <t>D2C</t>
        </is>
      </c>
      <c r="G2783" t="inlineStr">
        <is>
          <t>2X</t>
        </is>
      </c>
      <c r="H2783" t="n">
        <v>24</v>
      </c>
      <c r="I2783" t="inlineStr">
        <is>
          <t>NAUTICA_MENS_208005782_BLK_1.jpg</t>
        </is>
      </c>
      <c r="J2783" t="inlineStr">
        <is>
          <t>NAUTICA_MENS_208005782_BLK_2.jpg</t>
        </is>
      </c>
      <c r="K2783" t="inlineStr">
        <is>
          <t>NAUTICA_MENS_208005782_BLK_3.jpg</t>
        </is>
      </c>
      <c r="L2783">
        <f>IMAGE("file:///E:/Estudios%20y%20certificaciones/ESTUDIOS%20DE%20PROGRAMMING/PROGRAMMING/PERSONAL/PYTHON/Image_Generator_API/imagenes/NAUTICA_MENS_208005782_BLK_1.jpg")</f>
        <v/>
      </c>
      <c r="M2783">
        <f>IMAGE("file:///E:/Estudios%20y%20certificaciones/ESTUDIOS%20DE%20PROGRAMMING/PROGRAMMING/PERSONAL/PYTHON/Image_Generator_API/imagenes/NAUTICA_MENS_208005782_BLK_2.jpg")</f>
        <v/>
      </c>
      <c r="N2783">
        <f>IMAGE("file:///E:/Estudios%20y%20certificaciones/ESTUDIOS%20DE%20PROGRAMMING/PROGRAMMING/PERSONAL/PYTHON/Image_Generator_API/imagenes/NAUTICA_MENS_208005782_BLK_3.jpg")</f>
        <v/>
      </c>
      <c r="O2783">
        <f>HYPERLINK("imagenes/NAUTICA_MENS_208005782_BLK_1.jpg","Ver imagen")</f>
        <v/>
      </c>
      <c r="P2783">
        <f>HYPERLINK("imagenes/NAUTICA_MENS_208005782_BLK_2.jpg","Ver imagen")</f>
        <v/>
      </c>
      <c r="Q2783">
        <f>HYPERLINK("imagenes/NAUTICA_MENS_208005782_BLK_3.jpg","Ver imagen")</f>
        <v/>
      </c>
    </row>
    <row r="2784">
      <c r="A2784" t="inlineStr">
        <is>
          <t>NAUTICA MENS</t>
        </is>
      </c>
      <c r="B2784" t="inlineStr">
        <is>
          <t>208005782</t>
        </is>
      </c>
      <c r="C2784" t="inlineStr">
        <is>
          <t>HOODED PARKA</t>
        </is>
      </c>
      <c r="D2784" t="inlineStr">
        <is>
          <t>BLK</t>
        </is>
      </c>
      <c r="E2784" t="inlineStr">
        <is>
          <t>(en blanco)</t>
        </is>
      </c>
      <c r="F2784" t="inlineStr">
        <is>
          <t>D2C</t>
        </is>
      </c>
      <c r="G2784" t="inlineStr">
        <is>
          <t>3X</t>
        </is>
      </c>
      <c r="H2784" t="n">
        <v>23</v>
      </c>
      <c r="I2784" t="inlineStr">
        <is>
          <t>NAUTICA_MENS_208005782_BLK_1.jpg</t>
        </is>
      </c>
      <c r="J2784" t="inlineStr">
        <is>
          <t>NAUTICA_MENS_208005782_BLK_2.jpg</t>
        </is>
      </c>
      <c r="K2784" t="inlineStr">
        <is>
          <t>NAUTICA_MENS_208005782_BLK_3.jpg</t>
        </is>
      </c>
      <c r="L2784">
        <f>IMAGE("file:///E:/Estudios%20y%20certificaciones/ESTUDIOS%20DE%20PROGRAMMING/PROGRAMMING/PERSONAL/PYTHON/Image_Generator_API/imagenes/NAUTICA_MENS_208005782_BLK_1.jpg")</f>
        <v/>
      </c>
      <c r="M2784">
        <f>IMAGE("file:///E:/Estudios%20y%20certificaciones/ESTUDIOS%20DE%20PROGRAMMING/PROGRAMMING/PERSONAL/PYTHON/Image_Generator_API/imagenes/NAUTICA_MENS_208005782_BLK_2.jpg")</f>
        <v/>
      </c>
      <c r="N2784">
        <f>IMAGE("file:///E:/Estudios%20y%20certificaciones/ESTUDIOS%20DE%20PROGRAMMING/PROGRAMMING/PERSONAL/PYTHON/Image_Generator_API/imagenes/NAUTICA_MENS_208005782_BLK_3.jpg")</f>
        <v/>
      </c>
      <c r="O2784">
        <f>HYPERLINK("imagenes/NAUTICA_MENS_208005782_BLK_1.jpg","Ver imagen")</f>
        <v/>
      </c>
      <c r="P2784">
        <f>HYPERLINK("imagenes/NAUTICA_MENS_208005782_BLK_2.jpg","Ver imagen")</f>
        <v/>
      </c>
      <c r="Q2784">
        <f>HYPERLINK("imagenes/NAUTICA_MENS_208005782_BLK_3.jpg","Ver imagen")</f>
        <v/>
      </c>
    </row>
    <row r="2785">
      <c r="A2785" t="inlineStr">
        <is>
          <t>NAUTICA MENS</t>
        </is>
      </c>
      <c r="B2785" t="inlineStr">
        <is>
          <t>208005782</t>
        </is>
      </c>
      <c r="C2785" t="inlineStr">
        <is>
          <t>HOODED PARKA</t>
        </is>
      </c>
      <c r="D2785" t="inlineStr">
        <is>
          <t>BLK</t>
        </is>
      </c>
      <c r="E2785" t="inlineStr">
        <is>
          <t>(en blanco)</t>
        </is>
      </c>
      <c r="F2785" t="inlineStr">
        <is>
          <t>D2C</t>
        </is>
      </c>
      <c r="G2785" t="inlineStr">
        <is>
          <t>4X</t>
        </is>
      </c>
      <c r="H2785" t="n">
        <v>20</v>
      </c>
      <c r="I2785" t="inlineStr">
        <is>
          <t>NAUTICA_MENS_208005782_BLK_1.jpg</t>
        </is>
      </c>
      <c r="J2785" t="inlineStr">
        <is>
          <t>NAUTICA_MENS_208005782_BLK_2.jpg</t>
        </is>
      </c>
      <c r="K2785" t="inlineStr">
        <is>
          <t>NAUTICA_MENS_208005782_BLK_3.jpg</t>
        </is>
      </c>
      <c r="L2785">
        <f>IMAGE("file:///E:/Estudios%20y%20certificaciones/ESTUDIOS%20DE%20PROGRAMMING/PROGRAMMING/PERSONAL/PYTHON/Image_Generator_API/imagenes/NAUTICA_MENS_208005782_BLK_1.jpg")</f>
        <v/>
      </c>
      <c r="M2785">
        <f>IMAGE("file:///E:/Estudios%20y%20certificaciones/ESTUDIOS%20DE%20PROGRAMMING/PROGRAMMING/PERSONAL/PYTHON/Image_Generator_API/imagenes/NAUTICA_MENS_208005782_BLK_2.jpg")</f>
        <v/>
      </c>
      <c r="N2785">
        <f>IMAGE("file:///E:/Estudios%20y%20certificaciones/ESTUDIOS%20DE%20PROGRAMMING/PROGRAMMING/PERSONAL/PYTHON/Image_Generator_API/imagenes/NAUTICA_MENS_208005782_BLK_3.jpg")</f>
        <v/>
      </c>
      <c r="O2785">
        <f>HYPERLINK("imagenes/NAUTICA_MENS_208005782_BLK_1.jpg","Ver imagen")</f>
        <v/>
      </c>
      <c r="P2785">
        <f>HYPERLINK("imagenes/NAUTICA_MENS_208005782_BLK_2.jpg","Ver imagen")</f>
        <v/>
      </c>
      <c r="Q2785">
        <f>HYPERLINK("imagenes/NAUTICA_MENS_208005782_BLK_3.jpg","Ver imagen")</f>
        <v/>
      </c>
    </row>
    <row r="2786">
      <c r="A2786" t="inlineStr">
        <is>
          <t>NAUTICA MENS</t>
        </is>
      </c>
      <c r="B2786" t="inlineStr">
        <is>
          <t>208005782</t>
        </is>
      </c>
      <c r="C2786" t="inlineStr">
        <is>
          <t>HOODED PARKA</t>
        </is>
      </c>
      <c r="D2786" t="inlineStr">
        <is>
          <t>BLK</t>
        </is>
      </c>
      <c r="E2786" t="inlineStr">
        <is>
          <t>(en blanco)</t>
        </is>
      </c>
      <c r="F2786" t="inlineStr">
        <is>
          <t>D2C</t>
        </is>
      </c>
      <c r="G2786" t="inlineStr">
        <is>
          <t>5X</t>
        </is>
      </c>
      <c r="H2786" t="n">
        <v>6</v>
      </c>
      <c r="I2786" t="inlineStr">
        <is>
          <t>NAUTICA_MENS_208005782_BLK_1.jpg</t>
        </is>
      </c>
      <c r="J2786" t="inlineStr">
        <is>
          <t>NAUTICA_MENS_208005782_BLK_2.jpg</t>
        </is>
      </c>
      <c r="K2786" t="inlineStr">
        <is>
          <t>NAUTICA_MENS_208005782_BLK_3.jpg</t>
        </is>
      </c>
      <c r="L2786">
        <f>IMAGE("file:///E:/Estudios%20y%20certificaciones/ESTUDIOS%20DE%20PROGRAMMING/PROGRAMMING/PERSONAL/PYTHON/Image_Generator_API/imagenes/NAUTICA_MENS_208005782_BLK_1.jpg")</f>
        <v/>
      </c>
      <c r="M2786">
        <f>IMAGE("file:///E:/Estudios%20y%20certificaciones/ESTUDIOS%20DE%20PROGRAMMING/PROGRAMMING/PERSONAL/PYTHON/Image_Generator_API/imagenes/NAUTICA_MENS_208005782_BLK_2.jpg")</f>
        <v/>
      </c>
      <c r="N2786">
        <f>IMAGE("file:///E:/Estudios%20y%20certificaciones/ESTUDIOS%20DE%20PROGRAMMING/PROGRAMMING/PERSONAL/PYTHON/Image_Generator_API/imagenes/NAUTICA_MENS_208005782_BLK_3.jpg")</f>
        <v/>
      </c>
      <c r="O2786">
        <f>HYPERLINK("imagenes/NAUTICA_MENS_208005782_BLK_1.jpg","Ver imagen")</f>
        <v/>
      </c>
      <c r="P2786">
        <f>HYPERLINK("imagenes/NAUTICA_MENS_208005782_BLK_2.jpg","Ver imagen")</f>
        <v/>
      </c>
      <c r="Q2786">
        <f>HYPERLINK("imagenes/NAUTICA_MENS_208005782_BLK_3.jpg","Ver imagen")</f>
        <v/>
      </c>
    </row>
    <row r="2787">
      <c r="A2787" t="inlineStr">
        <is>
          <t>NAUTICA MENS</t>
        </is>
      </c>
      <c r="B2787" t="inlineStr">
        <is>
          <t>208005782</t>
        </is>
      </c>
      <c r="C2787" t="inlineStr">
        <is>
          <t>HOODED PARKA</t>
        </is>
      </c>
      <c r="D2787" t="inlineStr">
        <is>
          <t>BLK</t>
        </is>
      </c>
      <c r="E2787" t="inlineStr">
        <is>
          <t>(en blanco)</t>
        </is>
      </c>
      <c r="F2787" t="inlineStr">
        <is>
          <t>D2C</t>
        </is>
      </c>
      <c r="G2787" t="inlineStr">
        <is>
          <t>6X</t>
        </is>
      </c>
      <c r="H2787" t="n">
        <v>12</v>
      </c>
      <c r="I2787" t="inlineStr">
        <is>
          <t>NAUTICA_MENS_208005782_BLK_1.jpg</t>
        </is>
      </c>
      <c r="J2787" t="inlineStr">
        <is>
          <t>NAUTICA_MENS_208005782_BLK_2.jpg</t>
        </is>
      </c>
      <c r="K2787" t="inlineStr">
        <is>
          <t>NAUTICA_MENS_208005782_BLK_3.jpg</t>
        </is>
      </c>
      <c r="L2787">
        <f>IMAGE("file:///E:/Estudios%20y%20certificaciones/ESTUDIOS%20DE%20PROGRAMMING/PROGRAMMING/PERSONAL/PYTHON/Image_Generator_API/imagenes/NAUTICA_MENS_208005782_BLK_1.jpg")</f>
        <v/>
      </c>
      <c r="M2787">
        <f>IMAGE("file:///E:/Estudios%20y%20certificaciones/ESTUDIOS%20DE%20PROGRAMMING/PROGRAMMING/PERSONAL/PYTHON/Image_Generator_API/imagenes/NAUTICA_MENS_208005782_BLK_2.jpg")</f>
        <v/>
      </c>
      <c r="N2787">
        <f>IMAGE("file:///E:/Estudios%20y%20certificaciones/ESTUDIOS%20DE%20PROGRAMMING/PROGRAMMING/PERSONAL/PYTHON/Image_Generator_API/imagenes/NAUTICA_MENS_208005782_BLK_3.jpg")</f>
        <v/>
      </c>
      <c r="O2787">
        <f>HYPERLINK("imagenes/NAUTICA_MENS_208005782_BLK_1.jpg","Ver imagen")</f>
        <v/>
      </c>
      <c r="P2787">
        <f>HYPERLINK("imagenes/NAUTICA_MENS_208005782_BLK_2.jpg","Ver imagen")</f>
        <v/>
      </c>
      <c r="Q2787">
        <f>HYPERLINK("imagenes/NAUTICA_MENS_208005782_BLK_3.jpg","Ver imagen")</f>
        <v/>
      </c>
    </row>
    <row r="2788">
      <c r="A2788" t="inlineStr">
        <is>
          <t>NAUTICA MENS</t>
        </is>
      </c>
      <c r="B2788" t="inlineStr">
        <is>
          <t>208005782</t>
        </is>
      </c>
      <c r="C2788" t="inlineStr">
        <is>
          <t>HOODED PARKA</t>
        </is>
      </c>
      <c r="D2788" t="inlineStr">
        <is>
          <t>BLK</t>
        </is>
      </c>
      <c r="E2788" t="inlineStr">
        <is>
          <t>(en blanco)</t>
        </is>
      </c>
      <c r="F2788" t="inlineStr">
        <is>
          <t>D2C</t>
        </is>
      </c>
      <c r="G2788" t="inlineStr">
        <is>
          <t>8X</t>
        </is>
      </c>
      <c r="H2788" t="n">
        <v>10</v>
      </c>
      <c r="I2788" t="inlineStr">
        <is>
          <t>NAUTICA_MENS_208005782_BLK_1.jpg</t>
        </is>
      </c>
      <c r="J2788" t="inlineStr">
        <is>
          <t>NAUTICA_MENS_208005782_BLK_2.jpg</t>
        </is>
      </c>
      <c r="K2788" t="inlineStr">
        <is>
          <t>NAUTICA_MENS_208005782_BLK_3.jpg</t>
        </is>
      </c>
      <c r="L2788">
        <f>IMAGE("file:///E:/Estudios%20y%20certificaciones/ESTUDIOS%20DE%20PROGRAMMING/PROGRAMMING/PERSONAL/PYTHON/Image_Generator_API/imagenes/NAUTICA_MENS_208005782_BLK_1.jpg")</f>
        <v/>
      </c>
      <c r="M2788">
        <f>IMAGE("file:///E:/Estudios%20y%20certificaciones/ESTUDIOS%20DE%20PROGRAMMING/PROGRAMMING/PERSONAL/PYTHON/Image_Generator_API/imagenes/NAUTICA_MENS_208005782_BLK_2.jpg")</f>
        <v/>
      </c>
      <c r="N2788">
        <f>IMAGE("file:///E:/Estudios%20y%20certificaciones/ESTUDIOS%20DE%20PROGRAMMING/PROGRAMMING/PERSONAL/PYTHON/Image_Generator_API/imagenes/NAUTICA_MENS_208005782_BLK_3.jpg")</f>
        <v/>
      </c>
      <c r="O2788">
        <f>HYPERLINK("imagenes/NAUTICA_MENS_208005782_BLK_1.jpg","Ver imagen")</f>
        <v/>
      </c>
      <c r="P2788">
        <f>HYPERLINK("imagenes/NAUTICA_MENS_208005782_BLK_2.jpg","Ver imagen")</f>
        <v/>
      </c>
      <c r="Q2788">
        <f>HYPERLINK("imagenes/NAUTICA_MENS_208005782_BLK_3.jpg","Ver imagen")</f>
        <v/>
      </c>
    </row>
    <row r="2789">
      <c r="A2789" t="inlineStr">
        <is>
          <t>NAUTICA MENS</t>
        </is>
      </c>
      <c r="B2789" t="inlineStr">
        <is>
          <t>208005782</t>
        </is>
      </c>
      <c r="C2789" t="inlineStr">
        <is>
          <t>HOODED PARKA</t>
        </is>
      </c>
      <c r="D2789" t="inlineStr">
        <is>
          <t>BLK</t>
        </is>
      </c>
      <c r="E2789" t="inlineStr">
        <is>
          <t>(en blanco)</t>
        </is>
      </c>
      <c r="F2789" t="inlineStr">
        <is>
          <t>(en blanco)</t>
        </is>
      </c>
      <c r="G2789" t="inlineStr">
        <is>
          <t>2X</t>
        </is>
      </c>
      <c r="H2789" t="n">
        <v>0</v>
      </c>
      <c r="I2789" t="inlineStr">
        <is>
          <t>NAUTICA_MENS_208005782_BLK_1.jpg</t>
        </is>
      </c>
      <c r="J2789" t="inlineStr">
        <is>
          <t>NAUTICA_MENS_208005782_BLK_2.jpg</t>
        </is>
      </c>
      <c r="K2789" t="inlineStr">
        <is>
          <t>NAUTICA_MENS_208005782_BLK_3.jpg</t>
        </is>
      </c>
      <c r="L2789">
        <f>IMAGE("file:///E:/Estudios%20y%20certificaciones/ESTUDIOS%20DE%20PROGRAMMING/PROGRAMMING/PERSONAL/PYTHON/Image_Generator_API/imagenes/NAUTICA_MENS_208005782_BLK_1.jpg")</f>
        <v/>
      </c>
      <c r="M2789">
        <f>IMAGE("file:///E:/Estudios%20y%20certificaciones/ESTUDIOS%20DE%20PROGRAMMING/PROGRAMMING/PERSONAL/PYTHON/Image_Generator_API/imagenes/NAUTICA_MENS_208005782_BLK_2.jpg")</f>
        <v/>
      </c>
      <c r="N2789">
        <f>IMAGE("file:///E:/Estudios%20y%20certificaciones/ESTUDIOS%20DE%20PROGRAMMING/PROGRAMMING/PERSONAL/PYTHON/Image_Generator_API/imagenes/NAUTICA_MENS_208005782_BLK_3.jpg")</f>
        <v/>
      </c>
      <c r="O2789">
        <f>HYPERLINK("imagenes/NAUTICA_MENS_208005782_BLK_1.jpg","Ver imagen")</f>
        <v/>
      </c>
      <c r="P2789">
        <f>HYPERLINK("imagenes/NAUTICA_MENS_208005782_BLK_2.jpg","Ver imagen")</f>
        <v/>
      </c>
      <c r="Q2789">
        <f>HYPERLINK("imagenes/NAUTICA_MENS_208005782_BLK_3.jpg","Ver imagen")</f>
        <v/>
      </c>
    </row>
    <row r="2790">
      <c r="A2790" t="inlineStr">
        <is>
          <t>NAUTICA MENS</t>
        </is>
      </c>
      <c r="B2790" t="inlineStr">
        <is>
          <t>208005782</t>
        </is>
      </c>
      <c r="C2790" t="inlineStr">
        <is>
          <t>HOODED PARKA</t>
        </is>
      </c>
      <c r="D2790" t="inlineStr">
        <is>
          <t>BLK</t>
        </is>
      </c>
      <c r="E2790" t="inlineStr">
        <is>
          <t>(en blanco)</t>
        </is>
      </c>
      <c r="F2790" t="inlineStr">
        <is>
          <t>(en blanco)</t>
        </is>
      </c>
      <c r="G2790" t="inlineStr">
        <is>
          <t>3X</t>
        </is>
      </c>
      <c r="H2790" t="n">
        <v>0</v>
      </c>
      <c r="I2790" t="inlineStr">
        <is>
          <t>NAUTICA_MENS_208005782_BLK_1.jpg</t>
        </is>
      </c>
      <c r="J2790" t="inlineStr">
        <is>
          <t>NAUTICA_MENS_208005782_BLK_2.jpg</t>
        </is>
      </c>
      <c r="K2790" t="inlineStr">
        <is>
          <t>NAUTICA_MENS_208005782_BLK_3.jpg</t>
        </is>
      </c>
      <c r="L2790">
        <f>IMAGE("file:///E:/Estudios%20y%20certificaciones/ESTUDIOS%20DE%20PROGRAMMING/PROGRAMMING/PERSONAL/PYTHON/Image_Generator_API/imagenes/NAUTICA_MENS_208005782_BLK_1.jpg")</f>
        <v/>
      </c>
      <c r="M2790">
        <f>IMAGE("file:///E:/Estudios%20y%20certificaciones/ESTUDIOS%20DE%20PROGRAMMING/PROGRAMMING/PERSONAL/PYTHON/Image_Generator_API/imagenes/NAUTICA_MENS_208005782_BLK_2.jpg")</f>
        <v/>
      </c>
      <c r="N2790">
        <f>IMAGE("file:///E:/Estudios%20y%20certificaciones/ESTUDIOS%20DE%20PROGRAMMING/PROGRAMMING/PERSONAL/PYTHON/Image_Generator_API/imagenes/NAUTICA_MENS_208005782_BLK_3.jpg")</f>
        <v/>
      </c>
      <c r="O2790">
        <f>HYPERLINK("imagenes/NAUTICA_MENS_208005782_BLK_1.jpg","Ver imagen")</f>
        <v/>
      </c>
      <c r="P2790">
        <f>HYPERLINK("imagenes/NAUTICA_MENS_208005782_BLK_2.jpg","Ver imagen")</f>
        <v/>
      </c>
      <c r="Q2790">
        <f>HYPERLINK("imagenes/NAUTICA_MENS_208005782_BLK_3.jpg","Ver imagen")</f>
        <v/>
      </c>
    </row>
    <row r="2791">
      <c r="A2791" t="inlineStr">
        <is>
          <t>NAUTICA MENS</t>
        </is>
      </c>
      <c r="B2791" t="inlineStr">
        <is>
          <t>208005782</t>
        </is>
      </c>
      <c r="C2791" t="inlineStr">
        <is>
          <t>HOODED PARKA</t>
        </is>
      </c>
      <c r="D2791" t="inlineStr">
        <is>
          <t>BLK</t>
        </is>
      </c>
      <c r="E2791" t="inlineStr">
        <is>
          <t>(en blanco)</t>
        </is>
      </c>
      <c r="F2791" t="inlineStr">
        <is>
          <t>(en blanco)</t>
        </is>
      </c>
      <c r="G2791" t="inlineStr">
        <is>
          <t>4X</t>
        </is>
      </c>
      <c r="H2791" t="n">
        <v>0</v>
      </c>
      <c r="I2791" t="inlineStr">
        <is>
          <t>NAUTICA_MENS_208005782_BLK_1.jpg</t>
        </is>
      </c>
      <c r="J2791" t="inlineStr">
        <is>
          <t>NAUTICA_MENS_208005782_BLK_2.jpg</t>
        </is>
      </c>
      <c r="K2791" t="inlineStr">
        <is>
          <t>NAUTICA_MENS_208005782_BLK_3.jpg</t>
        </is>
      </c>
      <c r="L2791">
        <f>IMAGE("file:///E:/Estudios%20y%20certificaciones/ESTUDIOS%20DE%20PROGRAMMING/PROGRAMMING/PERSONAL/PYTHON/Image_Generator_API/imagenes/NAUTICA_MENS_208005782_BLK_1.jpg")</f>
        <v/>
      </c>
      <c r="M2791">
        <f>IMAGE("file:///E:/Estudios%20y%20certificaciones/ESTUDIOS%20DE%20PROGRAMMING/PROGRAMMING/PERSONAL/PYTHON/Image_Generator_API/imagenes/NAUTICA_MENS_208005782_BLK_2.jpg")</f>
        <v/>
      </c>
      <c r="N2791">
        <f>IMAGE("file:///E:/Estudios%20y%20certificaciones/ESTUDIOS%20DE%20PROGRAMMING/PROGRAMMING/PERSONAL/PYTHON/Image_Generator_API/imagenes/NAUTICA_MENS_208005782_BLK_3.jpg")</f>
        <v/>
      </c>
      <c r="O2791">
        <f>HYPERLINK("imagenes/NAUTICA_MENS_208005782_BLK_1.jpg","Ver imagen")</f>
        <v/>
      </c>
      <c r="P2791">
        <f>HYPERLINK("imagenes/NAUTICA_MENS_208005782_BLK_2.jpg","Ver imagen")</f>
        <v/>
      </c>
      <c r="Q2791">
        <f>HYPERLINK("imagenes/NAUTICA_MENS_208005782_BLK_3.jpg","Ver imagen")</f>
        <v/>
      </c>
    </row>
    <row r="2792">
      <c r="A2792" t="inlineStr">
        <is>
          <t>NAUTICA MENS</t>
        </is>
      </c>
      <c r="B2792" t="inlineStr">
        <is>
          <t>208005782</t>
        </is>
      </c>
      <c r="C2792" t="inlineStr">
        <is>
          <t>HOODED PARKA</t>
        </is>
      </c>
      <c r="D2792" t="inlineStr">
        <is>
          <t>BLK</t>
        </is>
      </c>
      <c r="E2792" t="inlineStr">
        <is>
          <t>(en blanco)</t>
        </is>
      </c>
      <c r="F2792" t="inlineStr">
        <is>
          <t>(en blanco)</t>
        </is>
      </c>
      <c r="G2792" t="inlineStr">
        <is>
          <t>5X</t>
        </is>
      </c>
      <c r="H2792" t="n">
        <v>0</v>
      </c>
      <c r="I2792" t="inlineStr">
        <is>
          <t>NAUTICA_MENS_208005782_BLK_1.jpg</t>
        </is>
      </c>
      <c r="J2792" t="inlineStr">
        <is>
          <t>NAUTICA_MENS_208005782_BLK_2.jpg</t>
        </is>
      </c>
      <c r="K2792" t="inlineStr">
        <is>
          <t>NAUTICA_MENS_208005782_BLK_3.jpg</t>
        </is>
      </c>
      <c r="L2792">
        <f>IMAGE("file:///E:/Estudios%20y%20certificaciones/ESTUDIOS%20DE%20PROGRAMMING/PROGRAMMING/PERSONAL/PYTHON/Image_Generator_API/imagenes/NAUTICA_MENS_208005782_BLK_1.jpg")</f>
        <v/>
      </c>
      <c r="M2792">
        <f>IMAGE("file:///E:/Estudios%20y%20certificaciones/ESTUDIOS%20DE%20PROGRAMMING/PROGRAMMING/PERSONAL/PYTHON/Image_Generator_API/imagenes/NAUTICA_MENS_208005782_BLK_2.jpg")</f>
        <v/>
      </c>
      <c r="N2792">
        <f>IMAGE("file:///E:/Estudios%20y%20certificaciones/ESTUDIOS%20DE%20PROGRAMMING/PROGRAMMING/PERSONAL/PYTHON/Image_Generator_API/imagenes/NAUTICA_MENS_208005782_BLK_3.jpg")</f>
        <v/>
      </c>
      <c r="O2792">
        <f>HYPERLINK("imagenes/NAUTICA_MENS_208005782_BLK_1.jpg","Ver imagen")</f>
        <v/>
      </c>
      <c r="P2792">
        <f>HYPERLINK("imagenes/NAUTICA_MENS_208005782_BLK_2.jpg","Ver imagen")</f>
        <v/>
      </c>
      <c r="Q2792">
        <f>HYPERLINK("imagenes/NAUTICA_MENS_208005782_BLK_3.jpg","Ver imagen")</f>
        <v/>
      </c>
    </row>
    <row r="2793">
      <c r="A2793" t="inlineStr">
        <is>
          <t>NAUTICA MENS</t>
        </is>
      </c>
      <c r="B2793" t="inlineStr">
        <is>
          <t>208005782</t>
        </is>
      </c>
      <c r="C2793" t="inlineStr">
        <is>
          <t>HOODED PARKA</t>
        </is>
      </c>
      <c r="D2793" t="inlineStr">
        <is>
          <t>BLK</t>
        </is>
      </c>
      <c r="E2793" t="inlineStr">
        <is>
          <t>(en blanco)</t>
        </is>
      </c>
      <c r="F2793" t="inlineStr">
        <is>
          <t>(en blanco)</t>
        </is>
      </c>
      <c r="G2793" t="inlineStr">
        <is>
          <t>6X</t>
        </is>
      </c>
      <c r="H2793" t="n">
        <v>0</v>
      </c>
      <c r="I2793" t="inlineStr">
        <is>
          <t>NAUTICA_MENS_208005782_BLK_1.jpg</t>
        </is>
      </c>
      <c r="J2793" t="inlineStr">
        <is>
          <t>NAUTICA_MENS_208005782_BLK_2.jpg</t>
        </is>
      </c>
      <c r="K2793" t="inlineStr">
        <is>
          <t>NAUTICA_MENS_208005782_BLK_3.jpg</t>
        </is>
      </c>
      <c r="L2793">
        <f>IMAGE("file:///E:/Estudios%20y%20certificaciones/ESTUDIOS%20DE%20PROGRAMMING/PROGRAMMING/PERSONAL/PYTHON/Image_Generator_API/imagenes/NAUTICA_MENS_208005782_BLK_1.jpg")</f>
        <v/>
      </c>
      <c r="M2793">
        <f>IMAGE("file:///E:/Estudios%20y%20certificaciones/ESTUDIOS%20DE%20PROGRAMMING/PROGRAMMING/PERSONAL/PYTHON/Image_Generator_API/imagenes/NAUTICA_MENS_208005782_BLK_2.jpg")</f>
        <v/>
      </c>
      <c r="N2793">
        <f>IMAGE("file:///E:/Estudios%20y%20certificaciones/ESTUDIOS%20DE%20PROGRAMMING/PROGRAMMING/PERSONAL/PYTHON/Image_Generator_API/imagenes/NAUTICA_MENS_208005782_BLK_3.jpg")</f>
        <v/>
      </c>
      <c r="O2793">
        <f>HYPERLINK("imagenes/NAUTICA_MENS_208005782_BLK_1.jpg","Ver imagen")</f>
        <v/>
      </c>
      <c r="P2793">
        <f>HYPERLINK("imagenes/NAUTICA_MENS_208005782_BLK_2.jpg","Ver imagen")</f>
        <v/>
      </c>
      <c r="Q2793">
        <f>HYPERLINK("imagenes/NAUTICA_MENS_208005782_BLK_3.jpg","Ver imagen")</f>
        <v/>
      </c>
    </row>
    <row r="2794">
      <c r="A2794" t="inlineStr">
        <is>
          <t>NAUTICA MENS</t>
        </is>
      </c>
      <c r="B2794" t="inlineStr">
        <is>
          <t>208005783</t>
        </is>
      </c>
      <c r="C2794" t="inlineStr">
        <is>
          <t>HOODED PARKA</t>
        </is>
      </c>
      <c r="D2794" t="inlineStr">
        <is>
          <t>BLK</t>
        </is>
      </c>
      <c r="E2794" t="inlineStr">
        <is>
          <t>(en blanco)</t>
        </is>
      </c>
      <c r="F2794" t="inlineStr">
        <is>
          <t>(en blanco)</t>
        </is>
      </c>
      <c r="G2794" t="inlineStr">
        <is>
          <t>2XLT</t>
        </is>
      </c>
      <c r="H2794" t="n">
        <v>14</v>
      </c>
      <c r="I2794" t="inlineStr">
        <is>
          <t>NAUTICA_MENS_208005783_BLK_1.jpg</t>
        </is>
      </c>
      <c r="J2794" t="inlineStr">
        <is>
          <t>NAUTICA_MENS_208005783_BLK_2.jpg</t>
        </is>
      </c>
      <c r="K2794" t="inlineStr">
        <is>
          <t>NAUTICA_MENS_208005783_BLK_3.jpg</t>
        </is>
      </c>
      <c r="L2794">
        <f>IMAGE("file:///E:/Estudios%20y%20certificaciones/ESTUDIOS%20DE%20PROGRAMMING/PROGRAMMING/PERSONAL/PYTHON/Image_Generator_API/imagenes/NAUTICA_MENS_208005783_BLK_1.jpg")</f>
        <v/>
      </c>
      <c r="M2794">
        <f>IMAGE("file:///E:/Estudios%20y%20certificaciones/ESTUDIOS%20DE%20PROGRAMMING/PROGRAMMING/PERSONAL/PYTHON/Image_Generator_API/imagenes/NAUTICA_MENS_208005783_BLK_2.jpg")</f>
        <v/>
      </c>
      <c r="N2794">
        <f>IMAGE("file:///E:/Estudios%20y%20certificaciones/ESTUDIOS%20DE%20PROGRAMMING/PROGRAMMING/PERSONAL/PYTHON/Image_Generator_API/imagenes/NAUTICA_MENS_208005783_BLK_3.jpg")</f>
        <v/>
      </c>
      <c r="O2794">
        <f>HYPERLINK("imagenes/NAUTICA_MENS_208005783_BLK_1.jpg","Ver imagen")</f>
        <v/>
      </c>
      <c r="P2794">
        <f>HYPERLINK("imagenes/NAUTICA_MENS_208005783_BLK_2.jpg","Ver imagen")</f>
        <v/>
      </c>
      <c r="Q2794">
        <f>HYPERLINK("imagenes/NAUTICA_MENS_208005783_BLK_3.jpg","Ver imagen")</f>
        <v/>
      </c>
    </row>
    <row r="2795">
      <c r="A2795" t="inlineStr">
        <is>
          <t>NAUTICA MENS</t>
        </is>
      </c>
      <c r="B2795" t="inlineStr">
        <is>
          <t>208005783</t>
        </is>
      </c>
      <c r="C2795" t="inlineStr">
        <is>
          <t>HOODED PARKA</t>
        </is>
      </c>
      <c r="D2795" t="inlineStr">
        <is>
          <t>BLK</t>
        </is>
      </c>
      <c r="E2795" t="inlineStr">
        <is>
          <t>(en blanco)</t>
        </is>
      </c>
      <c r="F2795" t="inlineStr">
        <is>
          <t>(en blanco)</t>
        </is>
      </c>
      <c r="G2795" t="inlineStr">
        <is>
          <t>3XLT</t>
        </is>
      </c>
      <c r="H2795" t="n">
        <v>9</v>
      </c>
      <c r="I2795" t="inlineStr">
        <is>
          <t>NAUTICA_MENS_208005783_BLK_1.jpg</t>
        </is>
      </c>
      <c r="J2795" t="inlineStr">
        <is>
          <t>NAUTICA_MENS_208005783_BLK_2.jpg</t>
        </is>
      </c>
      <c r="K2795" t="inlineStr">
        <is>
          <t>NAUTICA_MENS_208005783_BLK_3.jpg</t>
        </is>
      </c>
      <c r="L2795">
        <f>IMAGE("file:///E:/Estudios%20y%20certificaciones/ESTUDIOS%20DE%20PROGRAMMING/PROGRAMMING/PERSONAL/PYTHON/Image_Generator_API/imagenes/NAUTICA_MENS_208005783_BLK_1.jpg")</f>
        <v/>
      </c>
      <c r="M2795">
        <f>IMAGE("file:///E:/Estudios%20y%20certificaciones/ESTUDIOS%20DE%20PROGRAMMING/PROGRAMMING/PERSONAL/PYTHON/Image_Generator_API/imagenes/NAUTICA_MENS_208005783_BLK_2.jpg")</f>
        <v/>
      </c>
      <c r="N2795">
        <f>IMAGE("file:///E:/Estudios%20y%20certificaciones/ESTUDIOS%20DE%20PROGRAMMING/PROGRAMMING/PERSONAL/PYTHON/Image_Generator_API/imagenes/NAUTICA_MENS_208005783_BLK_3.jpg")</f>
        <v/>
      </c>
      <c r="O2795">
        <f>HYPERLINK("imagenes/NAUTICA_MENS_208005783_BLK_1.jpg","Ver imagen")</f>
        <v/>
      </c>
      <c r="P2795">
        <f>HYPERLINK("imagenes/NAUTICA_MENS_208005783_BLK_2.jpg","Ver imagen")</f>
        <v/>
      </c>
      <c r="Q2795">
        <f>HYPERLINK("imagenes/NAUTICA_MENS_208005783_BLK_3.jpg","Ver imagen")</f>
        <v/>
      </c>
    </row>
    <row r="2796">
      <c r="A2796" t="inlineStr">
        <is>
          <t>NAUTICA MENS</t>
        </is>
      </c>
      <c r="B2796" t="inlineStr">
        <is>
          <t>208005783</t>
        </is>
      </c>
      <c r="C2796" t="inlineStr">
        <is>
          <t>HOODED PARKA</t>
        </is>
      </c>
      <c r="D2796" t="inlineStr">
        <is>
          <t>BLK</t>
        </is>
      </c>
      <c r="E2796" t="inlineStr">
        <is>
          <t>(en blanco)</t>
        </is>
      </c>
      <c r="F2796" t="inlineStr">
        <is>
          <t>(en blanco)</t>
        </is>
      </c>
      <c r="G2796" t="inlineStr">
        <is>
          <t>4XLT</t>
        </is>
      </c>
      <c r="H2796" t="n">
        <v>0</v>
      </c>
      <c r="I2796" t="inlineStr">
        <is>
          <t>NAUTICA_MENS_208005783_BLK_1.jpg</t>
        </is>
      </c>
      <c r="J2796" t="inlineStr">
        <is>
          <t>NAUTICA_MENS_208005783_BLK_2.jpg</t>
        </is>
      </c>
      <c r="K2796" t="inlineStr">
        <is>
          <t>NAUTICA_MENS_208005783_BLK_3.jpg</t>
        </is>
      </c>
      <c r="L2796">
        <f>IMAGE("file:///E:/Estudios%20y%20certificaciones/ESTUDIOS%20DE%20PROGRAMMING/PROGRAMMING/PERSONAL/PYTHON/Image_Generator_API/imagenes/NAUTICA_MENS_208005783_BLK_1.jpg")</f>
        <v/>
      </c>
      <c r="M2796">
        <f>IMAGE("file:///E:/Estudios%20y%20certificaciones/ESTUDIOS%20DE%20PROGRAMMING/PROGRAMMING/PERSONAL/PYTHON/Image_Generator_API/imagenes/NAUTICA_MENS_208005783_BLK_2.jpg")</f>
        <v/>
      </c>
      <c r="N2796">
        <f>IMAGE("file:///E:/Estudios%20y%20certificaciones/ESTUDIOS%20DE%20PROGRAMMING/PROGRAMMING/PERSONAL/PYTHON/Image_Generator_API/imagenes/NAUTICA_MENS_208005783_BLK_3.jpg")</f>
        <v/>
      </c>
      <c r="O2796">
        <f>HYPERLINK("imagenes/NAUTICA_MENS_208005783_BLK_1.jpg","Ver imagen")</f>
        <v/>
      </c>
      <c r="P2796">
        <f>HYPERLINK("imagenes/NAUTICA_MENS_208005783_BLK_2.jpg","Ver imagen")</f>
        <v/>
      </c>
      <c r="Q2796">
        <f>HYPERLINK("imagenes/NAUTICA_MENS_208005783_BLK_3.jpg","Ver imagen")</f>
        <v/>
      </c>
    </row>
    <row r="2797">
      <c r="A2797" t="inlineStr">
        <is>
          <t>NAUTICA MENS</t>
        </is>
      </c>
      <c r="B2797" t="inlineStr">
        <is>
          <t>208005783</t>
        </is>
      </c>
      <c r="C2797" t="inlineStr">
        <is>
          <t>HOODED PARKA</t>
        </is>
      </c>
      <c r="D2797" t="inlineStr">
        <is>
          <t>BLK</t>
        </is>
      </c>
      <c r="E2797" t="inlineStr">
        <is>
          <t>(en blanco)</t>
        </is>
      </c>
      <c r="F2797" t="inlineStr">
        <is>
          <t>(en blanco)</t>
        </is>
      </c>
      <c r="G2797" t="inlineStr">
        <is>
          <t>5XLT</t>
        </is>
      </c>
      <c r="H2797" t="n">
        <v>0</v>
      </c>
      <c r="I2797" t="inlineStr">
        <is>
          <t>NAUTICA_MENS_208005783_BLK_1.jpg</t>
        </is>
      </c>
      <c r="J2797" t="inlineStr">
        <is>
          <t>NAUTICA_MENS_208005783_BLK_2.jpg</t>
        </is>
      </c>
      <c r="K2797" t="inlineStr">
        <is>
          <t>NAUTICA_MENS_208005783_BLK_3.jpg</t>
        </is>
      </c>
      <c r="L2797">
        <f>IMAGE("file:///E:/Estudios%20y%20certificaciones/ESTUDIOS%20DE%20PROGRAMMING/PROGRAMMING/PERSONAL/PYTHON/Image_Generator_API/imagenes/NAUTICA_MENS_208005783_BLK_1.jpg")</f>
        <v/>
      </c>
      <c r="M2797">
        <f>IMAGE("file:///E:/Estudios%20y%20certificaciones/ESTUDIOS%20DE%20PROGRAMMING/PROGRAMMING/PERSONAL/PYTHON/Image_Generator_API/imagenes/NAUTICA_MENS_208005783_BLK_2.jpg")</f>
        <v/>
      </c>
      <c r="N2797">
        <f>IMAGE("file:///E:/Estudios%20y%20certificaciones/ESTUDIOS%20DE%20PROGRAMMING/PROGRAMMING/PERSONAL/PYTHON/Image_Generator_API/imagenes/NAUTICA_MENS_208005783_BLK_3.jpg")</f>
        <v/>
      </c>
      <c r="O2797">
        <f>HYPERLINK("imagenes/NAUTICA_MENS_208005783_BLK_1.jpg","Ver imagen")</f>
        <v/>
      </c>
      <c r="P2797">
        <f>HYPERLINK("imagenes/NAUTICA_MENS_208005783_BLK_2.jpg","Ver imagen")</f>
        <v/>
      </c>
      <c r="Q2797">
        <f>HYPERLINK("imagenes/NAUTICA_MENS_208005783_BLK_3.jpg","Ver imagen")</f>
        <v/>
      </c>
    </row>
    <row r="2798">
      <c r="A2798" t="inlineStr">
        <is>
          <t>NAUTICA MENS</t>
        </is>
      </c>
      <c r="B2798" t="inlineStr">
        <is>
          <t>208005783</t>
        </is>
      </c>
      <c r="C2798" t="inlineStr">
        <is>
          <t>HOODED PARKA</t>
        </is>
      </c>
      <c r="D2798" t="inlineStr">
        <is>
          <t>BLK</t>
        </is>
      </c>
      <c r="E2798" t="inlineStr">
        <is>
          <t>(en blanco)</t>
        </is>
      </c>
      <c r="F2798" t="inlineStr">
        <is>
          <t>(en blanco)</t>
        </is>
      </c>
      <c r="G2798" t="inlineStr">
        <is>
          <t>6XLT</t>
        </is>
      </c>
      <c r="H2798" t="n">
        <v>1</v>
      </c>
      <c r="I2798" t="inlineStr">
        <is>
          <t>NAUTICA_MENS_208005783_BLK_1.jpg</t>
        </is>
      </c>
      <c r="J2798" t="inlineStr">
        <is>
          <t>NAUTICA_MENS_208005783_BLK_2.jpg</t>
        </is>
      </c>
      <c r="K2798" t="inlineStr">
        <is>
          <t>NAUTICA_MENS_208005783_BLK_3.jpg</t>
        </is>
      </c>
      <c r="L2798">
        <f>IMAGE("file:///E:/Estudios%20y%20certificaciones/ESTUDIOS%20DE%20PROGRAMMING/PROGRAMMING/PERSONAL/PYTHON/Image_Generator_API/imagenes/NAUTICA_MENS_208005783_BLK_1.jpg")</f>
        <v/>
      </c>
      <c r="M2798">
        <f>IMAGE("file:///E:/Estudios%20y%20certificaciones/ESTUDIOS%20DE%20PROGRAMMING/PROGRAMMING/PERSONAL/PYTHON/Image_Generator_API/imagenes/NAUTICA_MENS_208005783_BLK_2.jpg")</f>
        <v/>
      </c>
      <c r="N2798">
        <f>IMAGE("file:///E:/Estudios%20y%20certificaciones/ESTUDIOS%20DE%20PROGRAMMING/PROGRAMMING/PERSONAL/PYTHON/Image_Generator_API/imagenes/NAUTICA_MENS_208005783_BLK_3.jpg")</f>
        <v/>
      </c>
      <c r="O2798">
        <f>HYPERLINK("imagenes/NAUTICA_MENS_208005783_BLK_1.jpg","Ver imagen")</f>
        <v/>
      </c>
      <c r="P2798">
        <f>HYPERLINK("imagenes/NAUTICA_MENS_208005783_BLK_2.jpg","Ver imagen")</f>
        <v/>
      </c>
      <c r="Q2798">
        <f>HYPERLINK("imagenes/NAUTICA_MENS_208005783_BLK_3.jpg","Ver imagen")</f>
        <v/>
      </c>
    </row>
    <row r="2799">
      <c r="A2799" t="inlineStr">
        <is>
          <t>NAUTICA MENS</t>
        </is>
      </c>
      <c r="B2799" t="inlineStr">
        <is>
          <t>208005783</t>
        </is>
      </c>
      <c r="C2799" t="inlineStr">
        <is>
          <t>HOODED PARKA</t>
        </is>
      </c>
      <c r="D2799" t="inlineStr">
        <is>
          <t>BLK</t>
        </is>
      </c>
      <c r="E2799" t="inlineStr">
        <is>
          <t>(en blanco)</t>
        </is>
      </c>
      <c r="F2799" t="inlineStr">
        <is>
          <t>(en blanco)</t>
        </is>
      </c>
      <c r="G2799" t="inlineStr">
        <is>
          <t>LT</t>
        </is>
      </c>
      <c r="H2799" t="n">
        <v>2</v>
      </c>
      <c r="I2799" t="inlineStr">
        <is>
          <t>NAUTICA_MENS_208005783_BLK_1.jpg</t>
        </is>
      </c>
      <c r="J2799" t="inlineStr">
        <is>
          <t>NAUTICA_MENS_208005783_BLK_2.jpg</t>
        </is>
      </c>
      <c r="K2799" t="inlineStr">
        <is>
          <t>NAUTICA_MENS_208005783_BLK_3.jpg</t>
        </is>
      </c>
      <c r="L2799">
        <f>IMAGE("file:///E:/Estudios%20y%20certificaciones/ESTUDIOS%20DE%20PROGRAMMING/PROGRAMMING/PERSONAL/PYTHON/Image_Generator_API/imagenes/NAUTICA_MENS_208005783_BLK_1.jpg")</f>
        <v/>
      </c>
      <c r="M2799">
        <f>IMAGE("file:///E:/Estudios%20y%20certificaciones/ESTUDIOS%20DE%20PROGRAMMING/PROGRAMMING/PERSONAL/PYTHON/Image_Generator_API/imagenes/NAUTICA_MENS_208005783_BLK_2.jpg")</f>
        <v/>
      </c>
      <c r="N2799">
        <f>IMAGE("file:///E:/Estudios%20y%20certificaciones/ESTUDIOS%20DE%20PROGRAMMING/PROGRAMMING/PERSONAL/PYTHON/Image_Generator_API/imagenes/NAUTICA_MENS_208005783_BLK_3.jpg")</f>
        <v/>
      </c>
      <c r="O2799">
        <f>HYPERLINK("imagenes/NAUTICA_MENS_208005783_BLK_1.jpg","Ver imagen")</f>
        <v/>
      </c>
      <c r="P2799">
        <f>HYPERLINK("imagenes/NAUTICA_MENS_208005783_BLK_2.jpg","Ver imagen")</f>
        <v/>
      </c>
      <c r="Q2799">
        <f>HYPERLINK("imagenes/NAUTICA_MENS_208005783_BLK_3.jpg","Ver imagen")</f>
        <v/>
      </c>
    </row>
    <row r="2800">
      <c r="A2800" t="inlineStr">
        <is>
          <t>NAUTICA MENS</t>
        </is>
      </c>
      <c r="B2800" t="inlineStr">
        <is>
          <t>208005783</t>
        </is>
      </c>
      <c r="C2800" t="inlineStr">
        <is>
          <t>HOODED PARKA</t>
        </is>
      </c>
      <c r="D2800" t="inlineStr">
        <is>
          <t>BLK</t>
        </is>
      </c>
      <c r="E2800" t="inlineStr">
        <is>
          <t>(en blanco)</t>
        </is>
      </c>
      <c r="F2800" t="inlineStr">
        <is>
          <t>(en blanco)</t>
        </is>
      </c>
      <c r="G2800" t="inlineStr">
        <is>
          <t>XLT</t>
        </is>
      </c>
      <c r="H2800" t="n">
        <v>8</v>
      </c>
      <c r="I2800" t="inlineStr">
        <is>
          <t>NAUTICA_MENS_208005783_BLK_1.jpg</t>
        </is>
      </c>
      <c r="J2800" t="inlineStr">
        <is>
          <t>NAUTICA_MENS_208005783_BLK_2.jpg</t>
        </is>
      </c>
      <c r="K2800" t="inlineStr">
        <is>
          <t>NAUTICA_MENS_208005783_BLK_3.jpg</t>
        </is>
      </c>
      <c r="L2800">
        <f>IMAGE("file:///E:/Estudios%20y%20certificaciones/ESTUDIOS%20DE%20PROGRAMMING/PROGRAMMING/PERSONAL/PYTHON/Image_Generator_API/imagenes/NAUTICA_MENS_208005783_BLK_1.jpg")</f>
        <v/>
      </c>
      <c r="M2800">
        <f>IMAGE("file:///E:/Estudios%20y%20certificaciones/ESTUDIOS%20DE%20PROGRAMMING/PROGRAMMING/PERSONAL/PYTHON/Image_Generator_API/imagenes/NAUTICA_MENS_208005783_BLK_2.jpg")</f>
        <v/>
      </c>
      <c r="N2800">
        <f>IMAGE("file:///E:/Estudios%20y%20certificaciones/ESTUDIOS%20DE%20PROGRAMMING/PROGRAMMING/PERSONAL/PYTHON/Image_Generator_API/imagenes/NAUTICA_MENS_208005783_BLK_3.jpg")</f>
        <v/>
      </c>
      <c r="O2800">
        <f>HYPERLINK("imagenes/NAUTICA_MENS_208005783_BLK_1.jpg","Ver imagen")</f>
        <v/>
      </c>
      <c r="P2800">
        <f>HYPERLINK("imagenes/NAUTICA_MENS_208005783_BLK_2.jpg","Ver imagen")</f>
        <v/>
      </c>
      <c r="Q2800">
        <f>HYPERLINK("imagenes/NAUTICA_MENS_208005783_BLK_3.jpg","Ver imagen")</f>
        <v/>
      </c>
    </row>
    <row r="2801">
      <c r="A2801" t="inlineStr">
        <is>
          <t>NAUTICA MENS</t>
        </is>
      </c>
      <c r="B2801" t="inlineStr">
        <is>
          <t>208005876</t>
        </is>
      </c>
      <c r="C2801" t="inlineStr">
        <is>
          <t>LT.WEIGHT WINDSLICKER</t>
        </is>
      </c>
      <c r="D2801" t="inlineStr">
        <is>
          <t>BLK</t>
        </is>
      </c>
      <c r="E2801" t="inlineStr">
        <is>
          <t>(en blanco)</t>
        </is>
      </c>
      <c r="F2801" t="inlineStr">
        <is>
          <t>D2C</t>
        </is>
      </c>
      <c r="G2801" t="inlineStr">
        <is>
          <t>S</t>
        </is>
      </c>
      <c r="H2801" t="n">
        <v>5</v>
      </c>
      <c r="I2801" t="inlineStr">
        <is>
          <t>NAUTICA_MENS_208005876_BLK_1.jpg</t>
        </is>
      </c>
      <c r="J2801" t="inlineStr">
        <is>
          <t>NAUTICA_MENS_208005876_BLK_2.jpg</t>
        </is>
      </c>
      <c r="K2801" t="inlineStr">
        <is>
          <t>NAUTICA_MENS_208005876_BLK_3.jpg</t>
        </is>
      </c>
      <c r="L2801">
        <f>IMAGE("file:///E:/Estudios%20y%20certificaciones/ESTUDIOS%20DE%20PROGRAMMING/PROGRAMMING/PERSONAL/PYTHON/Image_Generator_API/imagenes/NAUTICA_MENS_208005876_BLK_1.jpg")</f>
        <v/>
      </c>
      <c r="M2801">
        <f>IMAGE("file:///E:/Estudios%20y%20certificaciones/ESTUDIOS%20DE%20PROGRAMMING/PROGRAMMING/PERSONAL/PYTHON/Image_Generator_API/imagenes/NAUTICA_MENS_208005876_BLK_2.jpg")</f>
        <v/>
      </c>
      <c r="N2801">
        <f>IMAGE("file:///E:/Estudios%20y%20certificaciones/ESTUDIOS%20DE%20PROGRAMMING/PROGRAMMING/PERSONAL/PYTHON/Image_Generator_API/imagenes/NAUTICA_MENS_208005876_BLK_3.jpg")</f>
        <v/>
      </c>
      <c r="O2801">
        <f>HYPERLINK("imagenes/NAUTICA_MENS_208005876_BLK_1.jpg","Ver imagen")</f>
        <v/>
      </c>
      <c r="P2801">
        <f>HYPERLINK("imagenes/NAUTICA_MENS_208005876_BLK_2.jpg","Ver imagen")</f>
        <v/>
      </c>
      <c r="Q2801">
        <f>HYPERLINK("imagenes/NAUTICA_MENS_208005876_BLK_3.jpg","Ver imagen")</f>
        <v/>
      </c>
    </row>
    <row r="2802">
      <c r="A2802" t="inlineStr">
        <is>
          <t>NAUTICA MENS</t>
        </is>
      </c>
      <c r="B2802" t="inlineStr">
        <is>
          <t>208005876</t>
        </is>
      </c>
      <c r="C2802" t="inlineStr">
        <is>
          <t>LT.WEIGHT WINDSLICKER</t>
        </is>
      </c>
      <c r="D2802" t="inlineStr">
        <is>
          <t>BLK</t>
        </is>
      </c>
      <c r="E2802" t="inlineStr">
        <is>
          <t>(en blanco)</t>
        </is>
      </c>
      <c r="F2802" t="inlineStr">
        <is>
          <t>D2C</t>
        </is>
      </c>
      <c r="G2802" t="inlineStr">
        <is>
          <t>M</t>
        </is>
      </c>
      <c r="H2802" t="n">
        <v>10</v>
      </c>
      <c r="I2802" t="inlineStr">
        <is>
          <t>NAUTICA_MENS_208005876_BLK_1.jpg</t>
        </is>
      </c>
      <c r="J2802" t="inlineStr">
        <is>
          <t>NAUTICA_MENS_208005876_BLK_2.jpg</t>
        </is>
      </c>
      <c r="K2802" t="inlineStr">
        <is>
          <t>NAUTICA_MENS_208005876_BLK_3.jpg</t>
        </is>
      </c>
      <c r="L2802">
        <f>IMAGE("file:///E:/Estudios%20y%20certificaciones/ESTUDIOS%20DE%20PROGRAMMING/PROGRAMMING/PERSONAL/PYTHON/Image_Generator_API/imagenes/NAUTICA_MENS_208005876_BLK_1.jpg")</f>
        <v/>
      </c>
      <c r="M2802">
        <f>IMAGE("file:///E:/Estudios%20y%20certificaciones/ESTUDIOS%20DE%20PROGRAMMING/PROGRAMMING/PERSONAL/PYTHON/Image_Generator_API/imagenes/NAUTICA_MENS_208005876_BLK_2.jpg")</f>
        <v/>
      </c>
      <c r="N2802">
        <f>IMAGE("file:///E:/Estudios%20y%20certificaciones/ESTUDIOS%20DE%20PROGRAMMING/PROGRAMMING/PERSONAL/PYTHON/Image_Generator_API/imagenes/NAUTICA_MENS_208005876_BLK_3.jpg")</f>
        <v/>
      </c>
      <c r="O2802">
        <f>HYPERLINK("imagenes/NAUTICA_MENS_208005876_BLK_1.jpg","Ver imagen")</f>
        <v/>
      </c>
      <c r="P2802">
        <f>HYPERLINK("imagenes/NAUTICA_MENS_208005876_BLK_2.jpg","Ver imagen")</f>
        <v/>
      </c>
      <c r="Q2802">
        <f>HYPERLINK("imagenes/NAUTICA_MENS_208005876_BLK_3.jpg","Ver imagen")</f>
        <v/>
      </c>
    </row>
    <row r="2803">
      <c r="A2803" t="inlineStr">
        <is>
          <t>NAUTICA MENS</t>
        </is>
      </c>
      <c r="B2803" t="inlineStr">
        <is>
          <t>208005876</t>
        </is>
      </c>
      <c r="C2803" t="inlineStr">
        <is>
          <t>LT.WEIGHT WINDSLICKER</t>
        </is>
      </c>
      <c r="D2803" t="inlineStr">
        <is>
          <t>BLK</t>
        </is>
      </c>
      <c r="E2803" t="inlineStr">
        <is>
          <t>(en blanco)</t>
        </is>
      </c>
      <c r="F2803" t="inlineStr">
        <is>
          <t>D2C</t>
        </is>
      </c>
      <c r="G2803" t="inlineStr">
        <is>
          <t>L</t>
        </is>
      </c>
      <c r="H2803" t="n">
        <v>12</v>
      </c>
      <c r="I2803" t="inlineStr">
        <is>
          <t>NAUTICA_MENS_208005876_BLK_1.jpg</t>
        </is>
      </c>
      <c r="J2803" t="inlineStr">
        <is>
          <t>NAUTICA_MENS_208005876_BLK_2.jpg</t>
        </is>
      </c>
      <c r="K2803" t="inlineStr">
        <is>
          <t>NAUTICA_MENS_208005876_BLK_3.jpg</t>
        </is>
      </c>
      <c r="L2803">
        <f>IMAGE("file:///E:/Estudios%20y%20certificaciones/ESTUDIOS%20DE%20PROGRAMMING/PROGRAMMING/PERSONAL/PYTHON/Image_Generator_API/imagenes/NAUTICA_MENS_208005876_BLK_1.jpg")</f>
        <v/>
      </c>
      <c r="M2803">
        <f>IMAGE("file:///E:/Estudios%20y%20certificaciones/ESTUDIOS%20DE%20PROGRAMMING/PROGRAMMING/PERSONAL/PYTHON/Image_Generator_API/imagenes/NAUTICA_MENS_208005876_BLK_2.jpg")</f>
        <v/>
      </c>
      <c r="N2803">
        <f>IMAGE("file:///E:/Estudios%20y%20certificaciones/ESTUDIOS%20DE%20PROGRAMMING/PROGRAMMING/PERSONAL/PYTHON/Image_Generator_API/imagenes/NAUTICA_MENS_208005876_BLK_3.jpg")</f>
        <v/>
      </c>
      <c r="O2803">
        <f>HYPERLINK("imagenes/NAUTICA_MENS_208005876_BLK_1.jpg","Ver imagen")</f>
        <v/>
      </c>
      <c r="P2803">
        <f>HYPERLINK("imagenes/NAUTICA_MENS_208005876_BLK_2.jpg","Ver imagen")</f>
        <v/>
      </c>
      <c r="Q2803">
        <f>HYPERLINK("imagenes/NAUTICA_MENS_208005876_BLK_3.jpg","Ver imagen")</f>
        <v/>
      </c>
    </row>
    <row r="2804">
      <c r="A2804" t="inlineStr">
        <is>
          <t>NAUTICA MENS</t>
        </is>
      </c>
      <c r="B2804" t="inlineStr">
        <is>
          <t>208005876</t>
        </is>
      </c>
      <c r="C2804" t="inlineStr">
        <is>
          <t>LT.WEIGHT WINDSLICKER</t>
        </is>
      </c>
      <c r="D2804" t="inlineStr">
        <is>
          <t>BLK</t>
        </is>
      </c>
      <c r="E2804" t="inlineStr">
        <is>
          <t>(en blanco)</t>
        </is>
      </c>
      <c r="F2804" t="inlineStr">
        <is>
          <t>D2C</t>
        </is>
      </c>
      <c r="G2804" t="inlineStr">
        <is>
          <t>XL</t>
        </is>
      </c>
      <c r="H2804" t="n">
        <v>8</v>
      </c>
      <c r="I2804" t="inlineStr">
        <is>
          <t>NAUTICA_MENS_208005876_BLK_1.jpg</t>
        </is>
      </c>
      <c r="J2804" t="inlineStr">
        <is>
          <t>NAUTICA_MENS_208005876_BLK_2.jpg</t>
        </is>
      </c>
      <c r="K2804" t="inlineStr">
        <is>
          <t>NAUTICA_MENS_208005876_BLK_3.jpg</t>
        </is>
      </c>
      <c r="L2804">
        <f>IMAGE("file:///E:/Estudios%20y%20certificaciones/ESTUDIOS%20DE%20PROGRAMMING/PROGRAMMING/PERSONAL/PYTHON/Image_Generator_API/imagenes/NAUTICA_MENS_208005876_BLK_1.jpg")</f>
        <v/>
      </c>
      <c r="M2804">
        <f>IMAGE("file:///E:/Estudios%20y%20certificaciones/ESTUDIOS%20DE%20PROGRAMMING/PROGRAMMING/PERSONAL/PYTHON/Image_Generator_API/imagenes/NAUTICA_MENS_208005876_BLK_2.jpg")</f>
        <v/>
      </c>
      <c r="N2804">
        <f>IMAGE("file:///E:/Estudios%20y%20certificaciones/ESTUDIOS%20DE%20PROGRAMMING/PROGRAMMING/PERSONAL/PYTHON/Image_Generator_API/imagenes/NAUTICA_MENS_208005876_BLK_3.jpg")</f>
        <v/>
      </c>
      <c r="O2804">
        <f>HYPERLINK("imagenes/NAUTICA_MENS_208005876_BLK_1.jpg","Ver imagen")</f>
        <v/>
      </c>
      <c r="P2804">
        <f>HYPERLINK("imagenes/NAUTICA_MENS_208005876_BLK_2.jpg","Ver imagen")</f>
        <v/>
      </c>
      <c r="Q2804">
        <f>HYPERLINK("imagenes/NAUTICA_MENS_208005876_BLK_3.jpg","Ver imagen")</f>
        <v/>
      </c>
    </row>
    <row r="2805">
      <c r="A2805" t="inlineStr">
        <is>
          <t>NAUTICA MENS</t>
        </is>
      </c>
      <c r="B2805" t="inlineStr">
        <is>
          <t>208005876</t>
        </is>
      </c>
      <c r="C2805" t="inlineStr">
        <is>
          <t>LT.WEIGHT WINDSLICKER</t>
        </is>
      </c>
      <c r="D2805" t="inlineStr">
        <is>
          <t>BLK</t>
        </is>
      </c>
      <c r="E2805" t="inlineStr">
        <is>
          <t>(en blanco)</t>
        </is>
      </c>
      <c r="F2805" t="inlineStr">
        <is>
          <t>D2C</t>
        </is>
      </c>
      <c r="G2805" t="inlineStr">
        <is>
          <t>XXL</t>
        </is>
      </c>
      <c r="H2805" t="n">
        <v>2</v>
      </c>
      <c r="I2805" t="inlineStr">
        <is>
          <t>NAUTICA_MENS_208005876_BLK_1.jpg</t>
        </is>
      </c>
      <c r="J2805" t="inlineStr">
        <is>
          <t>NAUTICA_MENS_208005876_BLK_2.jpg</t>
        </is>
      </c>
      <c r="K2805" t="inlineStr">
        <is>
          <t>NAUTICA_MENS_208005876_BLK_3.jpg</t>
        </is>
      </c>
      <c r="L2805">
        <f>IMAGE("file:///E:/Estudios%20y%20certificaciones/ESTUDIOS%20DE%20PROGRAMMING/PROGRAMMING/PERSONAL/PYTHON/Image_Generator_API/imagenes/NAUTICA_MENS_208005876_BLK_1.jpg")</f>
        <v/>
      </c>
      <c r="M2805">
        <f>IMAGE("file:///E:/Estudios%20y%20certificaciones/ESTUDIOS%20DE%20PROGRAMMING/PROGRAMMING/PERSONAL/PYTHON/Image_Generator_API/imagenes/NAUTICA_MENS_208005876_BLK_2.jpg")</f>
        <v/>
      </c>
      <c r="N2805">
        <f>IMAGE("file:///E:/Estudios%20y%20certificaciones/ESTUDIOS%20DE%20PROGRAMMING/PROGRAMMING/PERSONAL/PYTHON/Image_Generator_API/imagenes/NAUTICA_MENS_208005876_BLK_3.jpg")</f>
        <v/>
      </c>
      <c r="O2805">
        <f>HYPERLINK("imagenes/NAUTICA_MENS_208005876_BLK_1.jpg","Ver imagen")</f>
        <v/>
      </c>
      <c r="P2805">
        <f>HYPERLINK("imagenes/NAUTICA_MENS_208005876_BLK_2.jpg","Ver imagen")</f>
        <v/>
      </c>
      <c r="Q2805">
        <f>HYPERLINK("imagenes/NAUTICA_MENS_208005876_BLK_3.jpg","Ver imagen")</f>
        <v/>
      </c>
    </row>
    <row r="2806">
      <c r="A2806" t="inlineStr">
        <is>
          <t>NAUTICA MENS</t>
        </is>
      </c>
      <c r="B2806" t="inlineStr">
        <is>
          <t>208005876</t>
        </is>
      </c>
      <c r="C2806" t="inlineStr">
        <is>
          <t>LT.WEIGHT WINDSLICKER</t>
        </is>
      </c>
      <c r="D2806" t="inlineStr">
        <is>
          <t>BLK</t>
        </is>
      </c>
      <c r="E2806" t="inlineStr">
        <is>
          <t>(en blanco)</t>
        </is>
      </c>
      <c r="F2806" t="inlineStr">
        <is>
          <t>M1155</t>
        </is>
      </c>
      <c r="G2806" t="inlineStr">
        <is>
          <t>S</t>
        </is>
      </c>
      <c r="H2806" t="n">
        <v>0</v>
      </c>
      <c r="I2806" t="inlineStr">
        <is>
          <t>NAUTICA_MENS_208005876_BLK_1.jpg</t>
        </is>
      </c>
      <c r="J2806" t="inlineStr">
        <is>
          <t>NAUTICA_MENS_208005876_BLK_2.jpg</t>
        </is>
      </c>
      <c r="K2806" t="inlineStr">
        <is>
          <t>NAUTICA_MENS_208005876_BLK_3.jpg</t>
        </is>
      </c>
      <c r="L2806">
        <f>IMAGE("file:///E:/Estudios%20y%20certificaciones/ESTUDIOS%20DE%20PROGRAMMING/PROGRAMMING/PERSONAL/PYTHON/Image_Generator_API/imagenes/NAUTICA_MENS_208005876_BLK_1.jpg")</f>
        <v/>
      </c>
      <c r="M2806">
        <f>IMAGE("file:///E:/Estudios%20y%20certificaciones/ESTUDIOS%20DE%20PROGRAMMING/PROGRAMMING/PERSONAL/PYTHON/Image_Generator_API/imagenes/NAUTICA_MENS_208005876_BLK_2.jpg")</f>
        <v/>
      </c>
      <c r="N2806">
        <f>IMAGE("file:///E:/Estudios%20y%20certificaciones/ESTUDIOS%20DE%20PROGRAMMING/PROGRAMMING/PERSONAL/PYTHON/Image_Generator_API/imagenes/NAUTICA_MENS_208005876_BLK_3.jpg")</f>
        <v/>
      </c>
      <c r="O2806">
        <f>HYPERLINK("imagenes/NAUTICA_MENS_208005876_BLK_1.jpg","Ver imagen")</f>
        <v/>
      </c>
      <c r="P2806">
        <f>HYPERLINK("imagenes/NAUTICA_MENS_208005876_BLK_2.jpg","Ver imagen")</f>
        <v/>
      </c>
      <c r="Q2806">
        <f>HYPERLINK("imagenes/NAUTICA_MENS_208005876_BLK_3.jpg","Ver imagen")</f>
        <v/>
      </c>
    </row>
    <row r="2807">
      <c r="A2807" t="inlineStr">
        <is>
          <t>NAUTICA MENS</t>
        </is>
      </c>
      <c r="B2807" t="inlineStr">
        <is>
          <t>208005876</t>
        </is>
      </c>
      <c r="C2807" t="inlineStr">
        <is>
          <t>LT.WEIGHT WINDSLICKER</t>
        </is>
      </c>
      <c r="D2807" t="inlineStr">
        <is>
          <t>BLK</t>
        </is>
      </c>
      <c r="E2807" t="inlineStr">
        <is>
          <t>(en blanco)</t>
        </is>
      </c>
      <c r="F2807" t="inlineStr">
        <is>
          <t>M1155</t>
        </is>
      </c>
      <c r="G2807" t="inlineStr">
        <is>
          <t>M</t>
        </is>
      </c>
      <c r="H2807" t="n">
        <v>0</v>
      </c>
      <c r="I2807" t="inlineStr">
        <is>
          <t>NAUTICA_MENS_208005876_BLK_1.jpg</t>
        </is>
      </c>
      <c r="J2807" t="inlineStr">
        <is>
          <t>NAUTICA_MENS_208005876_BLK_2.jpg</t>
        </is>
      </c>
      <c r="K2807" t="inlineStr">
        <is>
          <t>NAUTICA_MENS_208005876_BLK_3.jpg</t>
        </is>
      </c>
      <c r="L2807">
        <f>IMAGE("file:///E:/Estudios%20y%20certificaciones/ESTUDIOS%20DE%20PROGRAMMING/PROGRAMMING/PERSONAL/PYTHON/Image_Generator_API/imagenes/NAUTICA_MENS_208005876_BLK_1.jpg")</f>
        <v/>
      </c>
      <c r="M2807">
        <f>IMAGE("file:///E:/Estudios%20y%20certificaciones/ESTUDIOS%20DE%20PROGRAMMING/PROGRAMMING/PERSONAL/PYTHON/Image_Generator_API/imagenes/NAUTICA_MENS_208005876_BLK_2.jpg")</f>
        <v/>
      </c>
      <c r="N2807">
        <f>IMAGE("file:///E:/Estudios%20y%20certificaciones/ESTUDIOS%20DE%20PROGRAMMING/PROGRAMMING/PERSONAL/PYTHON/Image_Generator_API/imagenes/NAUTICA_MENS_208005876_BLK_3.jpg")</f>
        <v/>
      </c>
      <c r="O2807">
        <f>HYPERLINK("imagenes/NAUTICA_MENS_208005876_BLK_1.jpg","Ver imagen")</f>
        <v/>
      </c>
      <c r="P2807">
        <f>HYPERLINK("imagenes/NAUTICA_MENS_208005876_BLK_2.jpg","Ver imagen")</f>
        <v/>
      </c>
      <c r="Q2807">
        <f>HYPERLINK("imagenes/NAUTICA_MENS_208005876_BLK_3.jpg","Ver imagen")</f>
        <v/>
      </c>
    </row>
    <row r="2808">
      <c r="A2808" t="inlineStr">
        <is>
          <t>NAUTICA MENS</t>
        </is>
      </c>
      <c r="B2808" t="inlineStr">
        <is>
          <t>208005876</t>
        </is>
      </c>
      <c r="C2808" t="inlineStr">
        <is>
          <t>LT.WEIGHT WINDSLICKER</t>
        </is>
      </c>
      <c r="D2808" t="inlineStr">
        <is>
          <t>BLK</t>
        </is>
      </c>
      <c r="E2808" t="inlineStr">
        <is>
          <t>(en blanco)</t>
        </is>
      </c>
      <c r="F2808" t="inlineStr">
        <is>
          <t>M1155</t>
        </is>
      </c>
      <c r="G2808" t="inlineStr">
        <is>
          <t>L</t>
        </is>
      </c>
      <c r="H2808" t="n">
        <v>0</v>
      </c>
      <c r="I2808" t="inlineStr">
        <is>
          <t>NAUTICA_MENS_208005876_BLK_1.jpg</t>
        </is>
      </c>
      <c r="J2808" t="inlineStr">
        <is>
          <t>NAUTICA_MENS_208005876_BLK_2.jpg</t>
        </is>
      </c>
      <c r="K2808" t="inlineStr">
        <is>
          <t>NAUTICA_MENS_208005876_BLK_3.jpg</t>
        </is>
      </c>
      <c r="L2808">
        <f>IMAGE("file:///E:/Estudios%20y%20certificaciones/ESTUDIOS%20DE%20PROGRAMMING/PROGRAMMING/PERSONAL/PYTHON/Image_Generator_API/imagenes/NAUTICA_MENS_208005876_BLK_1.jpg")</f>
        <v/>
      </c>
      <c r="M2808">
        <f>IMAGE("file:///E:/Estudios%20y%20certificaciones/ESTUDIOS%20DE%20PROGRAMMING/PROGRAMMING/PERSONAL/PYTHON/Image_Generator_API/imagenes/NAUTICA_MENS_208005876_BLK_2.jpg")</f>
        <v/>
      </c>
      <c r="N2808">
        <f>IMAGE("file:///E:/Estudios%20y%20certificaciones/ESTUDIOS%20DE%20PROGRAMMING/PROGRAMMING/PERSONAL/PYTHON/Image_Generator_API/imagenes/NAUTICA_MENS_208005876_BLK_3.jpg")</f>
        <v/>
      </c>
      <c r="O2808">
        <f>HYPERLINK("imagenes/NAUTICA_MENS_208005876_BLK_1.jpg","Ver imagen")</f>
        <v/>
      </c>
      <c r="P2808">
        <f>HYPERLINK("imagenes/NAUTICA_MENS_208005876_BLK_2.jpg","Ver imagen")</f>
        <v/>
      </c>
      <c r="Q2808">
        <f>HYPERLINK("imagenes/NAUTICA_MENS_208005876_BLK_3.jpg","Ver imagen")</f>
        <v/>
      </c>
    </row>
    <row r="2809">
      <c r="A2809" t="inlineStr">
        <is>
          <t>NAUTICA MENS</t>
        </is>
      </c>
      <c r="B2809" t="inlineStr">
        <is>
          <t>208005876</t>
        </is>
      </c>
      <c r="C2809" t="inlineStr">
        <is>
          <t>LT.WEIGHT WINDSLICKER</t>
        </is>
      </c>
      <c r="D2809" t="inlineStr">
        <is>
          <t>BLK</t>
        </is>
      </c>
      <c r="E2809" t="inlineStr">
        <is>
          <t>(en blanco)</t>
        </is>
      </c>
      <c r="F2809" t="inlineStr">
        <is>
          <t>M1155</t>
        </is>
      </c>
      <c r="G2809" t="inlineStr">
        <is>
          <t>XL</t>
        </is>
      </c>
      <c r="H2809" t="n">
        <v>0</v>
      </c>
      <c r="I2809" t="inlineStr">
        <is>
          <t>NAUTICA_MENS_208005876_BLK_1.jpg</t>
        </is>
      </c>
      <c r="J2809" t="inlineStr">
        <is>
          <t>NAUTICA_MENS_208005876_BLK_2.jpg</t>
        </is>
      </c>
      <c r="K2809" t="inlineStr">
        <is>
          <t>NAUTICA_MENS_208005876_BLK_3.jpg</t>
        </is>
      </c>
      <c r="L2809">
        <f>IMAGE("file:///E:/Estudios%20y%20certificaciones/ESTUDIOS%20DE%20PROGRAMMING/PROGRAMMING/PERSONAL/PYTHON/Image_Generator_API/imagenes/NAUTICA_MENS_208005876_BLK_1.jpg")</f>
        <v/>
      </c>
      <c r="M2809">
        <f>IMAGE("file:///E:/Estudios%20y%20certificaciones/ESTUDIOS%20DE%20PROGRAMMING/PROGRAMMING/PERSONAL/PYTHON/Image_Generator_API/imagenes/NAUTICA_MENS_208005876_BLK_2.jpg")</f>
        <v/>
      </c>
      <c r="N2809">
        <f>IMAGE("file:///E:/Estudios%20y%20certificaciones/ESTUDIOS%20DE%20PROGRAMMING/PROGRAMMING/PERSONAL/PYTHON/Image_Generator_API/imagenes/NAUTICA_MENS_208005876_BLK_3.jpg")</f>
        <v/>
      </c>
      <c r="O2809">
        <f>HYPERLINK("imagenes/NAUTICA_MENS_208005876_BLK_1.jpg","Ver imagen")</f>
        <v/>
      </c>
      <c r="P2809">
        <f>HYPERLINK("imagenes/NAUTICA_MENS_208005876_BLK_2.jpg","Ver imagen")</f>
        <v/>
      </c>
      <c r="Q2809">
        <f>HYPERLINK("imagenes/NAUTICA_MENS_208005876_BLK_3.jpg","Ver imagen")</f>
        <v/>
      </c>
    </row>
    <row r="2810">
      <c r="A2810" t="inlineStr">
        <is>
          <t>NAUTICA MENS</t>
        </is>
      </c>
      <c r="B2810" t="inlineStr">
        <is>
          <t>208005876</t>
        </is>
      </c>
      <c r="C2810" t="inlineStr">
        <is>
          <t>LT.WEIGHT WINDSLICKER</t>
        </is>
      </c>
      <c r="D2810" t="inlineStr">
        <is>
          <t>BLK</t>
        </is>
      </c>
      <c r="E2810" t="inlineStr">
        <is>
          <t>(en blanco)</t>
        </is>
      </c>
      <c r="F2810" t="inlineStr">
        <is>
          <t>M1155</t>
        </is>
      </c>
      <c r="G2810" t="inlineStr">
        <is>
          <t>XXL</t>
        </is>
      </c>
      <c r="H2810" t="n">
        <v>0</v>
      </c>
      <c r="I2810" t="inlineStr">
        <is>
          <t>NAUTICA_MENS_208005876_BLK_1.jpg</t>
        </is>
      </c>
      <c r="J2810" t="inlineStr">
        <is>
          <t>NAUTICA_MENS_208005876_BLK_2.jpg</t>
        </is>
      </c>
      <c r="K2810" t="inlineStr">
        <is>
          <t>NAUTICA_MENS_208005876_BLK_3.jpg</t>
        </is>
      </c>
      <c r="L2810">
        <f>IMAGE("file:///E:/Estudios%20y%20certificaciones/ESTUDIOS%20DE%20PROGRAMMING/PROGRAMMING/PERSONAL/PYTHON/Image_Generator_API/imagenes/NAUTICA_MENS_208005876_BLK_1.jpg")</f>
        <v/>
      </c>
      <c r="M2810">
        <f>IMAGE("file:///E:/Estudios%20y%20certificaciones/ESTUDIOS%20DE%20PROGRAMMING/PROGRAMMING/PERSONAL/PYTHON/Image_Generator_API/imagenes/NAUTICA_MENS_208005876_BLK_2.jpg")</f>
        <v/>
      </c>
      <c r="N2810">
        <f>IMAGE("file:///E:/Estudios%20y%20certificaciones/ESTUDIOS%20DE%20PROGRAMMING/PROGRAMMING/PERSONAL/PYTHON/Image_Generator_API/imagenes/NAUTICA_MENS_208005876_BLK_3.jpg")</f>
        <v/>
      </c>
      <c r="O2810">
        <f>HYPERLINK("imagenes/NAUTICA_MENS_208005876_BLK_1.jpg","Ver imagen")</f>
        <v/>
      </c>
      <c r="P2810">
        <f>HYPERLINK("imagenes/NAUTICA_MENS_208005876_BLK_2.jpg","Ver imagen")</f>
        <v/>
      </c>
      <c r="Q2810">
        <f>HYPERLINK("imagenes/NAUTICA_MENS_208005876_BLK_3.jpg","Ver imagen")</f>
        <v/>
      </c>
    </row>
    <row r="2811">
      <c r="A2811" t="inlineStr">
        <is>
          <t>NAUTICA MENS</t>
        </is>
      </c>
      <c r="B2811" t="inlineStr">
        <is>
          <t>208005876</t>
        </is>
      </c>
      <c r="C2811" t="inlineStr">
        <is>
          <t>LT.WEIGHT WINDSLICKER</t>
        </is>
      </c>
      <c r="D2811" t="inlineStr">
        <is>
          <t>BLK</t>
        </is>
      </c>
      <c r="E2811" t="inlineStr">
        <is>
          <t>(en blanco)</t>
        </is>
      </c>
      <c r="F2811" t="inlineStr">
        <is>
          <t>(en blanco)</t>
        </is>
      </c>
      <c r="G2811" t="inlineStr">
        <is>
          <t>S</t>
        </is>
      </c>
      <c r="H2811" t="n">
        <v>135</v>
      </c>
      <c r="I2811" t="inlineStr">
        <is>
          <t>NAUTICA_MENS_208005876_BLK_1.jpg</t>
        </is>
      </c>
      <c r="J2811" t="inlineStr">
        <is>
          <t>NAUTICA_MENS_208005876_BLK_2.jpg</t>
        </is>
      </c>
      <c r="K2811" t="inlineStr">
        <is>
          <t>NAUTICA_MENS_208005876_BLK_3.jpg</t>
        </is>
      </c>
      <c r="L2811">
        <f>IMAGE("file:///E:/Estudios%20y%20certificaciones/ESTUDIOS%20DE%20PROGRAMMING/PROGRAMMING/PERSONAL/PYTHON/Image_Generator_API/imagenes/NAUTICA_MENS_208005876_BLK_1.jpg")</f>
        <v/>
      </c>
      <c r="M2811">
        <f>IMAGE("file:///E:/Estudios%20y%20certificaciones/ESTUDIOS%20DE%20PROGRAMMING/PROGRAMMING/PERSONAL/PYTHON/Image_Generator_API/imagenes/NAUTICA_MENS_208005876_BLK_2.jpg")</f>
        <v/>
      </c>
      <c r="N2811">
        <f>IMAGE("file:///E:/Estudios%20y%20certificaciones/ESTUDIOS%20DE%20PROGRAMMING/PROGRAMMING/PERSONAL/PYTHON/Image_Generator_API/imagenes/NAUTICA_MENS_208005876_BLK_3.jpg")</f>
        <v/>
      </c>
      <c r="O2811">
        <f>HYPERLINK("imagenes/NAUTICA_MENS_208005876_BLK_1.jpg","Ver imagen")</f>
        <v/>
      </c>
      <c r="P2811">
        <f>HYPERLINK("imagenes/NAUTICA_MENS_208005876_BLK_2.jpg","Ver imagen")</f>
        <v/>
      </c>
      <c r="Q2811">
        <f>HYPERLINK("imagenes/NAUTICA_MENS_208005876_BLK_3.jpg","Ver imagen")</f>
        <v/>
      </c>
    </row>
    <row r="2812">
      <c r="A2812" t="inlineStr">
        <is>
          <t>NAUTICA MENS</t>
        </is>
      </c>
      <c r="B2812" t="inlineStr">
        <is>
          <t>208005876</t>
        </is>
      </c>
      <c r="C2812" t="inlineStr">
        <is>
          <t>LT.WEIGHT WINDSLICKER</t>
        </is>
      </c>
      <c r="D2812" t="inlineStr">
        <is>
          <t>BLK</t>
        </is>
      </c>
      <c r="E2812" t="inlineStr">
        <is>
          <t>(en blanco)</t>
        </is>
      </c>
      <c r="F2812" t="inlineStr">
        <is>
          <t>(en blanco)</t>
        </is>
      </c>
      <c r="G2812" t="inlineStr">
        <is>
          <t>M</t>
        </is>
      </c>
      <c r="H2812" t="n">
        <v>196</v>
      </c>
      <c r="I2812" t="inlineStr">
        <is>
          <t>NAUTICA_MENS_208005876_BLK_1.jpg</t>
        </is>
      </c>
      <c r="J2812" t="inlineStr">
        <is>
          <t>NAUTICA_MENS_208005876_BLK_2.jpg</t>
        </is>
      </c>
      <c r="K2812" t="inlineStr">
        <is>
          <t>NAUTICA_MENS_208005876_BLK_3.jpg</t>
        </is>
      </c>
      <c r="L2812">
        <f>IMAGE("file:///E:/Estudios%20y%20certificaciones/ESTUDIOS%20DE%20PROGRAMMING/PROGRAMMING/PERSONAL/PYTHON/Image_Generator_API/imagenes/NAUTICA_MENS_208005876_BLK_1.jpg")</f>
        <v/>
      </c>
      <c r="M2812">
        <f>IMAGE("file:///E:/Estudios%20y%20certificaciones/ESTUDIOS%20DE%20PROGRAMMING/PROGRAMMING/PERSONAL/PYTHON/Image_Generator_API/imagenes/NAUTICA_MENS_208005876_BLK_2.jpg")</f>
        <v/>
      </c>
      <c r="N2812">
        <f>IMAGE("file:///E:/Estudios%20y%20certificaciones/ESTUDIOS%20DE%20PROGRAMMING/PROGRAMMING/PERSONAL/PYTHON/Image_Generator_API/imagenes/NAUTICA_MENS_208005876_BLK_3.jpg")</f>
        <v/>
      </c>
      <c r="O2812">
        <f>HYPERLINK("imagenes/NAUTICA_MENS_208005876_BLK_1.jpg","Ver imagen")</f>
        <v/>
      </c>
      <c r="P2812">
        <f>HYPERLINK("imagenes/NAUTICA_MENS_208005876_BLK_2.jpg","Ver imagen")</f>
        <v/>
      </c>
      <c r="Q2812">
        <f>HYPERLINK("imagenes/NAUTICA_MENS_208005876_BLK_3.jpg","Ver imagen")</f>
        <v/>
      </c>
    </row>
    <row r="2813">
      <c r="A2813" t="inlineStr">
        <is>
          <t>NAUTICA MENS</t>
        </is>
      </c>
      <c r="B2813" t="inlineStr">
        <is>
          <t>208005876</t>
        </is>
      </c>
      <c r="C2813" t="inlineStr">
        <is>
          <t>LT.WEIGHT WINDSLICKER</t>
        </is>
      </c>
      <c r="D2813" t="inlineStr">
        <is>
          <t>BLK</t>
        </is>
      </c>
      <c r="E2813" t="inlineStr">
        <is>
          <t>(en blanco)</t>
        </is>
      </c>
      <c r="F2813" t="inlineStr">
        <is>
          <t>(en blanco)</t>
        </is>
      </c>
      <c r="G2813" t="inlineStr">
        <is>
          <t>L</t>
        </is>
      </c>
      <c r="H2813" t="n">
        <v>282</v>
      </c>
      <c r="I2813" t="inlineStr">
        <is>
          <t>NAUTICA_MENS_208005876_BLK_1.jpg</t>
        </is>
      </c>
      <c r="J2813" t="inlineStr">
        <is>
          <t>NAUTICA_MENS_208005876_BLK_2.jpg</t>
        </is>
      </c>
      <c r="K2813" t="inlineStr">
        <is>
          <t>NAUTICA_MENS_208005876_BLK_3.jpg</t>
        </is>
      </c>
      <c r="L2813">
        <f>IMAGE("file:///E:/Estudios%20y%20certificaciones/ESTUDIOS%20DE%20PROGRAMMING/PROGRAMMING/PERSONAL/PYTHON/Image_Generator_API/imagenes/NAUTICA_MENS_208005876_BLK_1.jpg")</f>
        <v/>
      </c>
      <c r="M2813">
        <f>IMAGE("file:///E:/Estudios%20y%20certificaciones/ESTUDIOS%20DE%20PROGRAMMING/PROGRAMMING/PERSONAL/PYTHON/Image_Generator_API/imagenes/NAUTICA_MENS_208005876_BLK_2.jpg")</f>
        <v/>
      </c>
      <c r="N2813">
        <f>IMAGE("file:///E:/Estudios%20y%20certificaciones/ESTUDIOS%20DE%20PROGRAMMING/PROGRAMMING/PERSONAL/PYTHON/Image_Generator_API/imagenes/NAUTICA_MENS_208005876_BLK_3.jpg")</f>
        <v/>
      </c>
      <c r="O2813">
        <f>HYPERLINK("imagenes/NAUTICA_MENS_208005876_BLK_1.jpg","Ver imagen")</f>
        <v/>
      </c>
      <c r="P2813">
        <f>HYPERLINK("imagenes/NAUTICA_MENS_208005876_BLK_2.jpg","Ver imagen")</f>
        <v/>
      </c>
      <c r="Q2813">
        <f>HYPERLINK("imagenes/NAUTICA_MENS_208005876_BLK_3.jpg","Ver imagen")</f>
        <v/>
      </c>
    </row>
    <row r="2814">
      <c r="A2814" t="inlineStr">
        <is>
          <t>NAUTICA MENS</t>
        </is>
      </c>
      <c r="B2814" t="inlineStr">
        <is>
          <t>208005876</t>
        </is>
      </c>
      <c r="C2814" t="inlineStr">
        <is>
          <t>LT.WEIGHT WINDSLICKER</t>
        </is>
      </c>
      <c r="D2814" t="inlineStr">
        <is>
          <t>BLK</t>
        </is>
      </c>
      <c r="E2814" t="inlineStr">
        <is>
          <t>(en blanco)</t>
        </is>
      </c>
      <c r="F2814" t="inlineStr">
        <is>
          <t>(en blanco)</t>
        </is>
      </c>
      <c r="G2814" t="inlineStr">
        <is>
          <t>XL</t>
        </is>
      </c>
      <c r="H2814" t="n">
        <v>116</v>
      </c>
      <c r="I2814" t="inlineStr">
        <is>
          <t>NAUTICA_MENS_208005876_BLK_1.jpg</t>
        </is>
      </c>
      <c r="J2814" t="inlineStr">
        <is>
          <t>NAUTICA_MENS_208005876_BLK_2.jpg</t>
        </is>
      </c>
      <c r="K2814" t="inlineStr">
        <is>
          <t>NAUTICA_MENS_208005876_BLK_3.jpg</t>
        </is>
      </c>
      <c r="L2814">
        <f>IMAGE("file:///E:/Estudios%20y%20certificaciones/ESTUDIOS%20DE%20PROGRAMMING/PROGRAMMING/PERSONAL/PYTHON/Image_Generator_API/imagenes/NAUTICA_MENS_208005876_BLK_1.jpg")</f>
        <v/>
      </c>
      <c r="M2814">
        <f>IMAGE("file:///E:/Estudios%20y%20certificaciones/ESTUDIOS%20DE%20PROGRAMMING/PROGRAMMING/PERSONAL/PYTHON/Image_Generator_API/imagenes/NAUTICA_MENS_208005876_BLK_2.jpg")</f>
        <v/>
      </c>
      <c r="N2814">
        <f>IMAGE("file:///E:/Estudios%20y%20certificaciones/ESTUDIOS%20DE%20PROGRAMMING/PROGRAMMING/PERSONAL/PYTHON/Image_Generator_API/imagenes/NAUTICA_MENS_208005876_BLK_3.jpg")</f>
        <v/>
      </c>
      <c r="O2814">
        <f>HYPERLINK("imagenes/NAUTICA_MENS_208005876_BLK_1.jpg","Ver imagen")</f>
        <v/>
      </c>
      <c r="P2814">
        <f>HYPERLINK("imagenes/NAUTICA_MENS_208005876_BLK_2.jpg","Ver imagen")</f>
        <v/>
      </c>
      <c r="Q2814">
        <f>HYPERLINK("imagenes/NAUTICA_MENS_208005876_BLK_3.jpg","Ver imagen")</f>
        <v/>
      </c>
    </row>
    <row r="2815">
      <c r="A2815" t="inlineStr">
        <is>
          <t>NAUTICA MENS</t>
        </is>
      </c>
      <c r="B2815" t="inlineStr">
        <is>
          <t>208005876</t>
        </is>
      </c>
      <c r="C2815" t="inlineStr">
        <is>
          <t>LT.WEIGHT WINDSLICKER</t>
        </is>
      </c>
      <c r="D2815" t="inlineStr">
        <is>
          <t>BLK</t>
        </is>
      </c>
      <c r="E2815" t="inlineStr">
        <is>
          <t>(en blanco)</t>
        </is>
      </c>
      <c r="F2815" t="inlineStr">
        <is>
          <t>(en blanco)</t>
        </is>
      </c>
      <c r="G2815" t="inlineStr">
        <is>
          <t>XXL</t>
        </is>
      </c>
      <c r="H2815" t="n">
        <v>0</v>
      </c>
      <c r="I2815" t="inlineStr">
        <is>
          <t>NAUTICA_MENS_208005876_BLK_1.jpg</t>
        </is>
      </c>
      <c r="J2815" t="inlineStr">
        <is>
          <t>NAUTICA_MENS_208005876_BLK_2.jpg</t>
        </is>
      </c>
      <c r="K2815" t="inlineStr">
        <is>
          <t>NAUTICA_MENS_208005876_BLK_3.jpg</t>
        </is>
      </c>
      <c r="L2815">
        <f>IMAGE("file:///E:/Estudios%20y%20certificaciones/ESTUDIOS%20DE%20PROGRAMMING/PROGRAMMING/PERSONAL/PYTHON/Image_Generator_API/imagenes/NAUTICA_MENS_208005876_BLK_1.jpg")</f>
        <v/>
      </c>
      <c r="M2815">
        <f>IMAGE("file:///E:/Estudios%20y%20certificaciones/ESTUDIOS%20DE%20PROGRAMMING/PROGRAMMING/PERSONAL/PYTHON/Image_Generator_API/imagenes/NAUTICA_MENS_208005876_BLK_2.jpg")</f>
        <v/>
      </c>
      <c r="N2815">
        <f>IMAGE("file:///E:/Estudios%20y%20certificaciones/ESTUDIOS%20DE%20PROGRAMMING/PROGRAMMING/PERSONAL/PYTHON/Image_Generator_API/imagenes/NAUTICA_MENS_208005876_BLK_3.jpg")</f>
        <v/>
      </c>
      <c r="O2815">
        <f>HYPERLINK("imagenes/NAUTICA_MENS_208005876_BLK_1.jpg","Ver imagen")</f>
        <v/>
      </c>
      <c r="P2815">
        <f>HYPERLINK("imagenes/NAUTICA_MENS_208005876_BLK_2.jpg","Ver imagen")</f>
        <v/>
      </c>
      <c r="Q2815">
        <f>HYPERLINK("imagenes/NAUTICA_MENS_208005876_BLK_3.jpg","Ver imagen")</f>
        <v/>
      </c>
    </row>
    <row r="2816">
      <c r="A2816" t="inlineStr">
        <is>
          <t>NAUTICA MENS</t>
        </is>
      </c>
      <c r="B2816" t="inlineStr">
        <is>
          <t>208005876</t>
        </is>
      </c>
      <c r="C2816" t="inlineStr">
        <is>
          <t>LT.WEIGHT WINDSLICKER</t>
        </is>
      </c>
      <c r="D2816" t="inlineStr">
        <is>
          <t>BPR</t>
        </is>
      </c>
      <c r="E2816" t="inlineStr">
        <is>
          <t>(en blanco)</t>
        </is>
      </c>
      <c r="F2816" t="inlineStr">
        <is>
          <t>D2C</t>
        </is>
      </c>
      <c r="G2816" t="inlineStr">
        <is>
          <t>S</t>
        </is>
      </c>
      <c r="H2816" t="n">
        <v>4</v>
      </c>
      <c r="I2816" t="inlineStr">
        <is>
          <t>NAUTICA_MENS_208005876_BPR_1.jpg</t>
        </is>
      </c>
      <c r="J2816" t="inlineStr">
        <is>
          <t>NAUTICA_MENS_208005876_BPR_2.jpg</t>
        </is>
      </c>
      <c r="K2816" t="inlineStr">
        <is>
          <t>NAUTICA_MENS_208005876_BPR_3.jpg</t>
        </is>
      </c>
      <c r="L2816">
        <f>IMAGE("file:///E:/Estudios%20y%20certificaciones/ESTUDIOS%20DE%20PROGRAMMING/PROGRAMMING/PERSONAL/PYTHON/Image_Generator_API/imagenes/NAUTICA_MENS_208005876_BPR_1.jpg")</f>
        <v/>
      </c>
      <c r="M2816">
        <f>IMAGE("file:///E:/Estudios%20y%20certificaciones/ESTUDIOS%20DE%20PROGRAMMING/PROGRAMMING/PERSONAL/PYTHON/Image_Generator_API/imagenes/NAUTICA_MENS_208005876_BPR_2.jpg")</f>
        <v/>
      </c>
      <c r="N2816">
        <f>IMAGE("file:///E:/Estudios%20y%20certificaciones/ESTUDIOS%20DE%20PROGRAMMING/PROGRAMMING/PERSONAL/PYTHON/Image_Generator_API/imagenes/NAUTICA_MENS_208005876_BPR_3.jpg")</f>
        <v/>
      </c>
      <c r="O2816">
        <f>HYPERLINK("imagenes/NAUTICA_MENS_208005876_BPR_1.jpg","Ver imagen")</f>
        <v/>
      </c>
      <c r="P2816">
        <f>HYPERLINK("imagenes/NAUTICA_MENS_208005876_BPR_2.jpg","Ver imagen")</f>
        <v/>
      </c>
      <c r="Q2816">
        <f>HYPERLINK("imagenes/NAUTICA_MENS_208005876_BPR_3.jpg","Ver imagen")</f>
        <v/>
      </c>
    </row>
    <row r="2817">
      <c r="A2817" t="inlineStr">
        <is>
          <t>NAUTICA MENS</t>
        </is>
      </c>
      <c r="B2817" t="inlineStr">
        <is>
          <t>208005876</t>
        </is>
      </c>
      <c r="C2817" t="inlineStr">
        <is>
          <t>LT.WEIGHT WINDSLICKER</t>
        </is>
      </c>
      <c r="D2817" t="inlineStr">
        <is>
          <t>BPR</t>
        </is>
      </c>
      <c r="E2817" t="inlineStr">
        <is>
          <t>(en blanco)</t>
        </is>
      </c>
      <c r="F2817" t="inlineStr">
        <is>
          <t>D2C</t>
        </is>
      </c>
      <c r="G2817" t="inlineStr">
        <is>
          <t>M</t>
        </is>
      </c>
      <c r="H2817" t="n">
        <v>13</v>
      </c>
      <c r="I2817" t="inlineStr">
        <is>
          <t>NAUTICA_MENS_208005876_BPR_1.jpg</t>
        </is>
      </c>
      <c r="J2817" t="inlineStr">
        <is>
          <t>NAUTICA_MENS_208005876_BPR_2.jpg</t>
        </is>
      </c>
      <c r="K2817" t="inlineStr">
        <is>
          <t>NAUTICA_MENS_208005876_BPR_3.jpg</t>
        </is>
      </c>
      <c r="L2817">
        <f>IMAGE("file:///E:/Estudios%20y%20certificaciones/ESTUDIOS%20DE%20PROGRAMMING/PROGRAMMING/PERSONAL/PYTHON/Image_Generator_API/imagenes/NAUTICA_MENS_208005876_BPR_1.jpg")</f>
        <v/>
      </c>
      <c r="M2817">
        <f>IMAGE("file:///E:/Estudios%20y%20certificaciones/ESTUDIOS%20DE%20PROGRAMMING/PROGRAMMING/PERSONAL/PYTHON/Image_Generator_API/imagenes/NAUTICA_MENS_208005876_BPR_2.jpg")</f>
        <v/>
      </c>
      <c r="N2817">
        <f>IMAGE("file:///E:/Estudios%20y%20certificaciones/ESTUDIOS%20DE%20PROGRAMMING/PROGRAMMING/PERSONAL/PYTHON/Image_Generator_API/imagenes/NAUTICA_MENS_208005876_BPR_3.jpg")</f>
        <v/>
      </c>
      <c r="O2817">
        <f>HYPERLINK("imagenes/NAUTICA_MENS_208005876_BPR_1.jpg","Ver imagen")</f>
        <v/>
      </c>
      <c r="P2817">
        <f>HYPERLINK("imagenes/NAUTICA_MENS_208005876_BPR_2.jpg","Ver imagen")</f>
        <v/>
      </c>
      <c r="Q2817">
        <f>HYPERLINK("imagenes/NAUTICA_MENS_208005876_BPR_3.jpg","Ver imagen")</f>
        <v/>
      </c>
    </row>
    <row r="2818">
      <c r="A2818" t="inlineStr">
        <is>
          <t>NAUTICA MENS</t>
        </is>
      </c>
      <c r="B2818" t="inlineStr">
        <is>
          <t>208005876</t>
        </is>
      </c>
      <c r="C2818" t="inlineStr">
        <is>
          <t>LT.WEIGHT WINDSLICKER</t>
        </is>
      </c>
      <c r="D2818" t="inlineStr">
        <is>
          <t>BPR</t>
        </is>
      </c>
      <c r="E2818" t="inlineStr">
        <is>
          <t>(en blanco)</t>
        </is>
      </c>
      <c r="F2818" t="inlineStr">
        <is>
          <t>D2C</t>
        </is>
      </c>
      <c r="G2818" t="inlineStr">
        <is>
          <t>L</t>
        </is>
      </c>
      <c r="H2818" t="n">
        <v>12</v>
      </c>
      <c r="I2818" t="inlineStr">
        <is>
          <t>NAUTICA_MENS_208005876_BPR_1.jpg</t>
        </is>
      </c>
      <c r="J2818" t="inlineStr">
        <is>
          <t>NAUTICA_MENS_208005876_BPR_2.jpg</t>
        </is>
      </c>
      <c r="K2818" t="inlineStr">
        <is>
          <t>NAUTICA_MENS_208005876_BPR_3.jpg</t>
        </is>
      </c>
      <c r="L2818">
        <f>IMAGE("file:///E:/Estudios%20y%20certificaciones/ESTUDIOS%20DE%20PROGRAMMING/PROGRAMMING/PERSONAL/PYTHON/Image_Generator_API/imagenes/NAUTICA_MENS_208005876_BPR_1.jpg")</f>
        <v/>
      </c>
      <c r="M2818">
        <f>IMAGE("file:///E:/Estudios%20y%20certificaciones/ESTUDIOS%20DE%20PROGRAMMING/PROGRAMMING/PERSONAL/PYTHON/Image_Generator_API/imagenes/NAUTICA_MENS_208005876_BPR_2.jpg")</f>
        <v/>
      </c>
      <c r="N2818">
        <f>IMAGE("file:///E:/Estudios%20y%20certificaciones/ESTUDIOS%20DE%20PROGRAMMING/PROGRAMMING/PERSONAL/PYTHON/Image_Generator_API/imagenes/NAUTICA_MENS_208005876_BPR_3.jpg")</f>
        <v/>
      </c>
      <c r="O2818">
        <f>HYPERLINK("imagenes/NAUTICA_MENS_208005876_BPR_1.jpg","Ver imagen")</f>
        <v/>
      </c>
      <c r="P2818">
        <f>HYPERLINK("imagenes/NAUTICA_MENS_208005876_BPR_2.jpg","Ver imagen")</f>
        <v/>
      </c>
      <c r="Q2818">
        <f>HYPERLINK("imagenes/NAUTICA_MENS_208005876_BPR_3.jpg","Ver imagen")</f>
        <v/>
      </c>
    </row>
    <row r="2819">
      <c r="A2819" t="inlineStr">
        <is>
          <t>NAUTICA MENS</t>
        </is>
      </c>
      <c r="B2819" t="inlineStr">
        <is>
          <t>208005876</t>
        </is>
      </c>
      <c r="C2819" t="inlineStr">
        <is>
          <t>LT.WEIGHT WINDSLICKER</t>
        </is>
      </c>
      <c r="D2819" t="inlineStr">
        <is>
          <t>BPR</t>
        </is>
      </c>
      <c r="E2819" t="inlineStr">
        <is>
          <t>(en blanco)</t>
        </is>
      </c>
      <c r="F2819" t="inlineStr">
        <is>
          <t>D2C</t>
        </is>
      </c>
      <c r="G2819" t="inlineStr">
        <is>
          <t>XL</t>
        </is>
      </c>
      <c r="H2819" t="n">
        <v>9</v>
      </c>
      <c r="I2819" t="inlineStr">
        <is>
          <t>NAUTICA_MENS_208005876_BPR_1.jpg</t>
        </is>
      </c>
      <c r="J2819" t="inlineStr">
        <is>
          <t>NAUTICA_MENS_208005876_BPR_2.jpg</t>
        </is>
      </c>
      <c r="K2819" t="inlineStr">
        <is>
          <t>NAUTICA_MENS_208005876_BPR_3.jpg</t>
        </is>
      </c>
      <c r="L2819">
        <f>IMAGE("file:///E:/Estudios%20y%20certificaciones/ESTUDIOS%20DE%20PROGRAMMING/PROGRAMMING/PERSONAL/PYTHON/Image_Generator_API/imagenes/NAUTICA_MENS_208005876_BPR_1.jpg")</f>
        <v/>
      </c>
      <c r="M2819">
        <f>IMAGE("file:///E:/Estudios%20y%20certificaciones/ESTUDIOS%20DE%20PROGRAMMING/PROGRAMMING/PERSONAL/PYTHON/Image_Generator_API/imagenes/NAUTICA_MENS_208005876_BPR_2.jpg")</f>
        <v/>
      </c>
      <c r="N2819">
        <f>IMAGE("file:///E:/Estudios%20y%20certificaciones/ESTUDIOS%20DE%20PROGRAMMING/PROGRAMMING/PERSONAL/PYTHON/Image_Generator_API/imagenes/NAUTICA_MENS_208005876_BPR_3.jpg")</f>
        <v/>
      </c>
      <c r="O2819">
        <f>HYPERLINK("imagenes/NAUTICA_MENS_208005876_BPR_1.jpg","Ver imagen")</f>
        <v/>
      </c>
      <c r="P2819">
        <f>HYPERLINK("imagenes/NAUTICA_MENS_208005876_BPR_2.jpg","Ver imagen")</f>
        <v/>
      </c>
      <c r="Q2819">
        <f>HYPERLINK("imagenes/NAUTICA_MENS_208005876_BPR_3.jpg","Ver imagen")</f>
        <v/>
      </c>
    </row>
    <row r="2820">
      <c r="A2820" t="inlineStr">
        <is>
          <t>NAUTICA MENS</t>
        </is>
      </c>
      <c r="B2820" t="inlineStr">
        <is>
          <t>208005876</t>
        </is>
      </c>
      <c r="C2820" t="inlineStr">
        <is>
          <t>LT.WEIGHT WINDSLICKER</t>
        </is>
      </c>
      <c r="D2820" t="inlineStr">
        <is>
          <t>BPR</t>
        </is>
      </c>
      <c r="E2820" t="inlineStr">
        <is>
          <t>(en blanco)</t>
        </is>
      </c>
      <c r="F2820" t="inlineStr">
        <is>
          <t>D2C</t>
        </is>
      </c>
      <c r="G2820" t="inlineStr">
        <is>
          <t>XXL</t>
        </is>
      </c>
      <c r="H2820" t="n">
        <v>4</v>
      </c>
      <c r="I2820" t="inlineStr">
        <is>
          <t>NAUTICA_MENS_208005876_BPR_1.jpg</t>
        </is>
      </c>
      <c r="J2820" t="inlineStr">
        <is>
          <t>NAUTICA_MENS_208005876_BPR_2.jpg</t>
        </is>
      </c>
      <c r="K2820" t="inlineStr">
        <is>
          <t>NAUTICA_MENS_208005876_BPR_3.jpg</t>
        </is>
      </c>
      <c r="L2820">
        <f>IMAGE("file:///E:/Estudios%20y%20certificaciones/ESTUDIOS%20DE%20PROGRAMMING/PROGRAMMING/PERSONAL/PYTHON/Image_Generator_API/imagenes/NAUTICA_MENS_208005876_BPR_1.jpg")</f>
        <v/>
      </c>
      <c r="M2820">
        <f>IMAGE("file:///E:/Estudios%20y%20certificaciones/ESTUDIOS%20DE%20PROGRAMMING/PROGRAMMING/PERSONAL/PYTHON/Image_Generator_API/imagenes/NAUTICA_MENS_208005876_BPR_2.jpg")</f>
        <v/>
      </c>
      <c r="N2820">
        <f>IMAGE("file:///E:/Estudios%20y%20certificaciones/ESTUDIOS%20DE%20PROGRAMMING/PROGRAMMING/PERSONAL/PYTHON/Image_Generator_API/imagenes/NAUTICA_MENS_208005876_BPR_3.jpg")</f>
        <v/>
      </c>
      <c r="O2820">
        <f>HYPERLINK("imagenes/NAUTICA_MENS_208005876_BPR_1.jpg","Ver imagen")</f>
        <v/>
      </c>
      <c r="P2820">
        <f>HYPERLINK("imagenes/NAUTICA_MENS_208005876_BPR_2.jpg","Ver imagen")</f>
        <v/>
      </c>
      <c r="Q2820">
        <f>HYPERLINK("imagenes/NAUTICA_MENS_208005876_BPR_3.jpg","Ver imagen")</f>
        <v/>
      </c>
    </row>
    <row r="2821">
      <c r="A2821" t="inlineStr">
        <is>
          <t>NAUTICA MENS</t>
        </is>
      </c>
      <c r="B2821" t="inlineStr">
        <is>
          <t>208005876</t>
        </is>
      </c>
      <c r="C2821" t="inlineStr">
        <is>
          <t>LT.WEIGHT WINDSLICKER</t>
        </is>
      </c>
      <c r="D2821" t="inlineStr">
        <is>
          <t>BPR</t>
        </is>
      </c>
      <c r="E2821" t="inlineStr">
        <is>
          <t>(en blanco)</t>
        </is>
      </c>
      <c r="F2821" t="inlineStr">
        <is>
          <t>M1155</t>
        </is>
      </c>
      <c r="G2821" t="inlineStr">
        <is>
          <t>S</t>
        </is>
      </c>
      <c r="H2821" t="n">
        <v>0</v>
      </c>
      <c r="I2821" t="inlineStr">
        <is>
          <t>NAUTICA_MENS_208005876_BPR_1.jpg</t>
        </is>
      </c>
      <c r="J2821" t="inlineStr">
        <is>
          <t>NAUTICA_MENS_208005876_BPR_2.jpg</t>
        </is>
      </c>
      <c r="K2821" t="inlineStr">
        <is>
          <t>NAUTICA_MENS_208005876_BPR_3.jpg</t>
        </is>
      </c>
      <c r="L2821">
        <f>IMAGE("file:///E:/Estudios%20y%20certificaciones/ESTUDIOS%20DE%20PROGRAMMING/PROGRAMMING/PERSONAL/PYTHON/Image_Generator_API/imagenes/NAUTICA_MENS_208005876_BPR_1.jpg")</f>
        <v/>
      </c>
      <c r="M2821">
        <f>IMAGE("file:///E:/Estudios%20y%20certificaciones/ESTUDIOS%20DE%20PROGRAMMING/PROGRAMMING/PERSONAL/PYTHON/Image_Generator_API/imagenes/NAUTICA_MENS_208005876_BPR_2.jpg")</f>
        <v/>
      </c>
      <c r="N2821">
        <f>IMAGE("file:///E:/Estudios%20y%20certificaciones/ESTUDIOS%20DE%20PROGRAMMING/PROGRAMMING/PERSONAL/PYTHON/Image_Generator_API/imagenes/NAUTICA_MENS_208005876_BPR_3.jpg")</f>
        <v/>
      </c>
      <c r="O2821">
        <f>HYPERLINK("imagenes/NAUTICA_MENS_208005876_BPR_1.jpg","Ver imagen")</f>
        <v/>
      </c>
      <c r="P2821">
        <f>HYPERLINK("imagenes/NAUTICA_MENS_208005876_BPR_2.jpg","Ver imagen")</f>
        <v/>
      </c>
      <c r="Q2821">
        <f>HYPERLINK("imagenes/NAUTICA_MENS_208005876_BPR_3.jpg","Ver imagen")</f>
        <v/>
      </c>
    </row>
    <row r="2822">
      <c r="A2822" t="inlineStr">
        <is>
          <t>NAUTICA MENS</t>
        </is>
      </c>
      <c r="B2822" t="inlineStr">
        <is>
          <t>208005876</t>
        </is>
      </c>
      <c r="C2822" t="inlineStr">
        <is>
          <t>LT.WEIGHT WINDSLICKER</t>
        </is>
      </c>
      <c r="D2822" t="inlineStr">
        <is>
          <t>BPR</t>
        </is>
      </c>
      <c r="E2822" t="inlineStr">
        <is>
          <t>(en blanco)</t>
        </is>
      </c>
      <c r="F2822" t="inlineStr">
        <is>
          <t>M1155</t>
        </is>
      </c>
      <c r="G2822" t="inlineStr">
        <is>
          <t>M</t>
        </is>
      </c>
      <c r="H2822" t="n">
        <v>0</v>
      </c>
      <c r="I2822" t="inlineStr">
        <is>
          <t>NAUTICA_MENS_208005876_BPR_1.jpg</t>
        </is>
      </c>
      <c r="J2822" t="inlineStr">
        <is>
          <t>NAUTICA_MENS_208005876_BPR_2.jpg</t>
        </is>
      </c>
      <c r="K2822" t="inlineStr">
        <is>
          <t>NAUTICA_MENS_208005876_BPR_3.jpg</t>
        </is>
      </c>
      <c r="L2822">
        <f>IMAGE("file:///E:/Estudios%20y%20certificaciones/ESTUDIOS%20DE%20PROGRAMMING/PROGRAMMING/PERSONAL/PYTHON/Image_Generator_API/imagenes/NAUTICA_MENS_208005876_BPR_1.jpg")</f>
        <v/>
      </c>
      <c r="M2822">
        <f>IMAGE("file:///E:/Estudios%20y%20certificaciones/ESTUDIOS%20DE%20PROGRAMMING/PROGRAMMING/PERSONAL/PYTHON/Image_Generator_API/imagenes/NAUTICA_MENS_208005876_BPR_2.jpg")</f>
        <v/>
      </c>
      <c r="N2822">
        <f>IMAGE("file:///E:/Estudios%20y%20certificaciones/ESTUDIOS%20DE%20PROGRAMMING/PROGRAMMING/PERSONAL/PYTHON/Image_Generator_API/imagenes/NAUTICA_MENS_208005876_BPR_3.jpg")</f>
        <v/>
      </c>
      <c r="O2822">
        <f>HYPERLINK("imagenes/NAUTICA_MENS_208005876_BPR_1.jpg","Ver imagen")</f>
        <v/>
      </c>
      <c r="P2822">
        <f>HYPERLINK("imagenes/NAUTICA_MENS_208005876_BPR_2.jpg","Ver imagen")</f>
        <v/>
      </c>
      <c r="Q2822">
        <f>HYPERLINK("imagenes/NAUTICA_MENS_208005876_BPR_3.jpg","Ver imagen")</f>
        <v/>
      </c>
    </row>
    <row r="2823">
      <c r="A2823" t="inlineStr">
        <is>
          <t>NAUTICA MENS</t>
        </is>
      </c>
      <c r="B2823" t="inlineStr">
        <is>
          <t>208005876</t>
        </is>
      </c>
      <c r="C2823" t="inlineStr">
        <is>
          <t>LT.WEIGHT WINDSLICKER</t>
        </is>
      </c>
      <c r="D2823" t="inlineStr">
        <is>
          <t>BPR</t>
        </is>
      </c>
      <c r="E2823" t="inlineStr">
        <is>
          <t>(en blanco)</t>
        </is>
      </c>
      <c r="F2823" t="inlineStr">
        <is>
          <t>M1155</t>
        </is>
      </c>
      <c r="G2823" t="inlineStr">
        <is>
          <t>L</t>
        </is>
      </c>
      <c r="H2823" t="n">
        <v>0</v>
      </c>
      <c r="I2823" t="inlineStr">
        <is>
          <t>NAUTICA_MENS_208005876_BPR_1.jpg</t>
        </is>
      </c>
      <c r="J2823" t="inlineStr">
        <is>
          <t>NAUTICA_MENS_208005876_BPR_2.jpg</t>
        </is>
      </c>
      <c r="K2823" t="inlineStr">
        <is>
          <t>NAUTICA_MENS_208005876_BPR_3.jpg</t>
        </is>
      </c>
      <c r="L2823">
        <f>IMAGE("file:///E:/Estudios%20y%20certificaciones/ESTUDIOS%20DE%20PROGRAMMING/PROGRAMMING/PERSONAL/PYTHON/Image_Generator_API/imagenes/NAUTICA_MENS_208005876_BPR_1.jpg")</f>
        <v/>
      </c>
      <c r="M2823">
        <f>IMAGE("file:///E:/Estudios%20y%20certificaciones/ESTUDIOS%20DE%20PROGRAMMING/PROGRAMMING/PERSONAL/PYTHON/Image_Generator_API/imagenes/NAUTICA_MENS_208005876_BPR_2.jpg")</f>
        <v/>
      </c>
      <c r="N2823">
        <f>IMAGE("file:///E:/Estudios%20y%20certificaciones/ESTUDIOS%20DE%20PROGRAMMING/PROGRAMMING/PERSONAL/PYTHON/Image_Generator_API/imagenes/NAUTICA_MENS_208005876_BPR_3.jpg")</f>
        <v/>
      </c>
      <c r="O2823">
        <f>HYPERLINK("imagenes/NAUTICA_MENS_208005876_BPR_1.jpg","Ver imagen")</f>
        <v/>
      </c>
      <c r="P2823">
        <f>HYPERLINK("imagenes/NAUTICA_MENS_208005876_BPR_2.jpg","Ver imagen")</f>
        <v/>
      </c>
      <c r="Q2823">
        <f>HYPERLINK("imagenes/NAUTICA_MENS_208005876_BPR_3.jpg","Ver imagen")</f>
        <v/>
      </c>
    </row>
    <row r="2824">
      <c r="A2824" t="inlineStr">
        <is>
          <t>NAUTICA MENS</t>
        </is>
      </c>
      <c r="B2824" t="inlineStr">
        <is>
          <t>208005876</t>
        </is>
      </c>
      <c r="C2824" t="inlineStr">
        <is>
          <t>LT.WEIGHT WINDSLICKER</t>
        </is>
      </c>
      <c r="D2824" t="inlineStr">
        <is>
          <t>BPR</t>
        </is>
      </c>
      <c r="E2824" t="inlineStr">
        <is>
          <t>(en blanco)</t>
        </is>
      </c>
      <c r="F2824" t="inlineStr">
        <is>
          <t>M1155</t>
        </is>
      </c>
      <c r="G2824" t="inlineStr">
        <is>
          <t>XL</t>
        </is>
      </c>
      <c r="H2824" t="n">
        <v>0</v>
      </c>
      <c r="I2824" t="inlineStr">
        <is>
          <t>NAUTICA_MENS_208005876_BPR_1.jpg</t>
        </is>
      </c>
      <c r="J2824" t="inlineStr">
        <is>
          <t>NAUTICA_MENS_208005876_BPR_2.jpg</t>
        </is>
      </c>
      <c r="K2824" t="inlineStr">
        <is>
          <t>NAUTICA_MENS_208005876_BPR_3.jpg</t>
        </is>
      </c>
      <c r="L2824">
        <f>IMAGE("file:///E:/Estudios%20y%20certificaciones/ESTUDIOS%20DE%20PROGRAMMING/PROGRAMMING/PERSONAL/PYTHON/Image_Generator_API/imagenes/NAUTICA_MENS_208005876_BPR_1.jpg")</f>
        <v/>
      </c>
      <c r="M2824">
        <f>IMAGE("file:///E:/Estudios%20y%20certificaciones/ESTUDIOS%20DE%20PROGRAMMING/PROGRAMMING/PERSONAL/PYTHON/Image_Generator_API/imagenes/NAUTICA_MENS_208005876_BPR_2.jpg")</f>
        <v/>
      </c>
      <c r="N2824">
        <f>IMAGE("file:///E:/Estudios%20y%20certificaciones/ESTUDIOS%20DE%20PROGRAMMING/PROGRAMMING/PERSONAL/PYTHON/Image_Generator_API/imagenes/NAUTICA_MENS_208005876_BPR_3.jpg")</f>
        <v/>
      </c>
      <c r="O2824">
        <f>HYPERLINK("imagenes/NAUTICA_MENS_208005876_BPR_1.jpg","Ver imagen")</f>
        <v/>
      </c>
      <c r="P2824">
        <f>HYPERLINK("imagenes/NAUTICA_MENS_208005876_BPR_2.jpg","Ver imagen")</f>
        <v/>
      </c>
      <c r="Q2824">
        <f>HYPERLINK("imagenes/NAUTICA_MENS_208005876_BPR_3.jpg","Ver imagen")</f>
        <v/>
      </c>
    </row>
    <row r="2825">
      <c r="A2825" t="inlineStr">
        <is>
          <t>NAUTICA MENS</t>
        </is>
      </c>
      <c r="B2825" t="inlineStr">
        <is>
          <t>208005876</t>
        </is>
      </c>
      <c r="C2825" t="inlineStr">
        <is>
          <t>LT.WEIGHT WINDSLICKER</t>
        </is>
      </c>
      <c r="D2825" t="inlineStr">
        <is>
          <t>BPR</t>
        </is>
      </c>
      <c r="E2825" t="inlineStr">
        <is>
          <t>(en blanco)</t>
        </is>
      </c>
      <c r="F2825" t="inlineStr">
        <is>
          <t>M1155</t>
        </is>
      </c>
      <c r="G2825" t="inlineStr">
        <is>
          <t>XXL</t>
        </is>
      </c>
      <c r="H2825" t="n">
        <v>0</v>
      </c>
      <c r="I2825" t="inlineStr">
        <is>
          <t>NAUTICA_MENS_208005876_BPR_1.jpg</t>
        </is>
      </c>
      <c r="J2825" t="inlineStr">
        <is>
          <t>NAUTICA_MENS_208005876_BPR_2.jpg</t>
        </is>
      </c>
      <c r="K2825" t="inlineStr">
        <is>
          <t>NAUTICA_MENS_208005876_BPR_3.jpg</t>
        </is>
      </c>
      <c r="L2825">
        <f>IMAGE("file:///E:/Estudios%20y%20certificaciones/ESTUDIOS%20DE%20PROGRAMMING/PROGRAMMING/PERSONAL/PYTHON/Image_Generator_API/imagenes/NAUTICA_MENS_208005876_BPR_1.jpg")</f>
        <v/>
      </c>
      <c r="M2825">
        <f>IMAGE("file:///E:/Estudios%20y%20certificaciones/ESTUDIOS%20DE%20PROGRAMMING/PROGRAMMING/PERSONAL/PYTHON/Image_Generator_API/imagenes/NAUTICA_MENS_208005876_BPR_2.jpg")</f>
        <v/>
      </c>
      <c r="N2825">
        <f>IMAGE("file:///E:/Estudios%20y%20certificaciones/ESTUDIOS%20DE%20PROGRAMMING/PROGRAMMING/PERSONAL/PYTHON/Image_Generator_API/imagenes/NAUTICA_MENS_208005876_BPR_3.jpg")</f>
        <v/>
      </c>
      <c r="O2825">
        <f>HYPERLINK("imagenes/NAUTICA_MENS_208005876_BPR_1.jpg","Ver imagen")</f>
        <v/>
      </c>
      <c r="P2825">
        <f>HYPERLINK("imagenes/NAUTICA_MENS_208005876_BPR_2.jpg","Ver imagen")</f>
        <v/>
      </c>
      <c r="Q2825">
        <f>HYPERLINK("imagenes/NAUTICA_MENS_208005876_BPR_3.jpg","Ver imagen")</f>
        <v/>
      </c>
    </row>
    <row r="2826">
      <c r="A2826" t="inlineStr">
        <is>
          <t>NAUTICA MENS</t>
        </is>
      </c>
      <c r="B2826" t="inlineStr">
        <is>
          <t>208005876</t>
        </is>
      </c>
      <c r="C2826" t="inlineStr">
        <is>
          <t>LT.WEIGHT WINDSLICKER</t>
        </is>
      </c>
      <c r="D2826" t="inlineStr">
        <is>
          <t>BPR</t>
        </is>
      </c>
      <c r="E2826" t="inlineStr">
        <is>
          <t>(en blanco)</t>
        </is>
      </c>
      <c r="F2826" t="inlineStr">
        <is>
          <t>(en blanco)</t>
        </is>
      </c>
      <c r="G2826" t="inlineStr">
        <is>
          <t>S</t>
        </is>
      </c>
      <c r="H2826" t="n">
        <v>0</v>
      </c>
      <c r="I2826" t="inlineStr">
        <is>
          <t>NAUTICA_MENS_208005876_BPR_1.jpg</t>
        </is>
      </c>
      <c r="J2826" t="inlineStr">
        <is>
          <t>NAUTICA_MENS_208005876_BPR_2.jpg</t>
        </is>
      </c>
      <c r="K2826" t="inlineStr">
        <is>
          <t>NAUTICA_MENS_208005876_BPR_3.jpg</t>
        </is>
      </c>
      <c r="L2826">
        <f>IMAGE("file:///E:/Estudios%20y%20certificaciones/ESTUDIOS%20DE%20PROGRAMMING/PROGRAMMING/PERSONAL/PYTHON/Image_Generator_API/imagenes/NAUTICA_MENS_208005876_BPR_1.jpg")</f>
        <v/>
      </c>
      <c r="M2826">
        <f>IMAGE("file:///E:/Estudios%20y%20certificaciones/ESTUDIOS%20DE%20PROGRAMMING/PROGRAMMING/PERSONAL/PYTHON/Image_Generator_API/imagenes/NAUTICA_MENS_208005876_BPR_2.jpg")</f>
        <v/>
      </c>
      <c r="N2826">
        <f>IMAGE("file:///E:/Estudios%20y%20certificaciones/ESTUDIOS%20DE%20PROGRAMMING/PROGRAMMING/PERSONAL/PYTHON/Image_Generator_API/imagenes/NAUTICA_MENS_208005876_BPR_3.jpg")</f>
        <v/>
      </c>
      <c r="O2826">
        <f>HYPERLINK("imagenes/NAUTICA_MENS_208005876_BPR_1.jpg","Ver imagen")</f>
        <v/>
      </c>
      <c r="P2826">
        <f>HYPERLINK("imagenes/NAUTICA_MENS_208005876_BPR_2.jpg","Ver imagen")</f>
        <v/>
      </c>
      <c r="Q2826">
        <f>HYPERLINK("imagenes/NAUTICA_MENS_208005876_BPR_3.jpg","Ver imagen")</f>
        <v/>
      </c>
    </row>
    <row r="2827">
      <c r="A2827" t="inlineStr">
        <is>
          <t>NAUTICA MENS</t>
        </is>
      </c>
      <c r="B2827" t="inlineStr">
        <is>
          <t>208005876</t>
        </is>
      </c>
      <c r="C2827" t="inlineStr">
        <is>
          <t>LT.WEIGHT WINDSLICKER</t>
        </is>
      </c>
      <c r="D2827" t="inlineStr">
        <is>
          <t>BPR</t>
        </is>
      </c>
      <c r="E2827" t="inlineStr">
        <is>
          <t>(en blanco)</t>
        </is>
      </c>
      <c r="F2827" t="inlineStr">
        <is>
          <t>(en blanco)</t>
        </is>
      </c>
      <c r="G2827" t="inlineStr">
        <is>
          <t>M</t>
        </is>
      </c>
      <c r="H2827" t="n">
        <v>2</v>
      </c>
      <c r="I2827" t="inlineStr">
        <is>
          <t>NAUTICA_MENS_208005876_BPR_1.jpg</t>
        </is>
      </c>
      <c r="J2827" t="inlineStr">
        <is>
          <t>NAUTICA_MENS_208005876_BPR_2.jpg</t>
        </is>
      </c>
      <c r="K2827" t="inlineStr">
        <is>
          <t>NAUTICA_MENS_208005876_BPR_3.jpg</t>
        </is>
      </c>
      <c r="L2827">
        <f>IMAGE("file:///E:/Estudios%20y%20certificaciones/ESTUDIOS%20DE%20PROGRAMMING/PROGRAMMING/PERSONAL/PYTHON/Image_Generator_API/imagenes/NAUTICA_MENS_208005876_BPR_1.jpg")</f>
        <v/>
      </c>
      <c r="M2827">
        <f>IMAGE("file:///E:/Estudios%20y%20certificaciones/ESTUDIOS%20DE%20PROGRAMMING/PROGRAMMING/PERSONAL/PYTHON/Image_Generator_API/imagenes/NAUTICA_MENS_208005876_BPR_2.jpg")</f>
        <v/>
      </c>
      <c r="N2827">
        <f>IMAGE("file:///E:/Estudios%20y%20certificaciones/ESTUDIOS%20DE%20PROGRAMMING/PROGRAMMING/PERSONAL/PYTHON/Image_Generator_API/imagenes/NAUTICA_MENS_208005876_BPR_3.jpg")</f>
        <v/>
      </c>
      <c r="O2827">
        <f>HYPERLINK("imagenes/NAUTICA_MENS_208005876_BPR_1.jpg","Ver imagen")</f>
        <v/>
      </c>
      <c r="P2827">
        <f>HYPERLINK("imagenes/NAUTICA_MENS_208005876_BPR_2.jpg","Ver imagen")</f>
        <v/>
      </c>
      <c r="Q2827">
        <f>HYPERLINK("imagenes/NAUTICA_MENS_208005876_BPR_3.jpg","Ver imagen")</f>
        <v/>
      </c>
    </row>
    <row r="2828">
      <c r="A2828" t="inlineStr">
        <is>
          <t>NAUTICA MENS</t>
        </is>
      </c>
      <c r="B2828" t="inlineStr">
        <is>
          <t>208005876</t>
        </is>
      </c>
      <c r="C2828" t="inlineStr">
        <is>
          <t>LT.WEIGHT WINDSLICKER</t>
        </is>
      </c>
      <c r="D2828" t="inlineStr">
        <is>
          <t>BPR</t>
        </is>
      </c>
      <c r="E2828" t="inlineStr">
        <is>
          <t>(en blanco)</t>
        </is>
      </c>
      <c r="F2828" t="inlineStr">
        <is>
          <t>(en blanco)</t>
        </is>
      </c>
      <c r="G2828" t="inlineStr">
        <is>
          <t>L</t>
        </is>
      </c>
      <c r="H2828" t="n">
        <v>2</v>
      </c>
      <c r="I2828" t="inlineStr">
        <is>
          <t>NAUTICA_MENS_208005876_BPR_1.jpg</t>
        </is>
      </c>
      <c r="J2828" t="inlineStr">
        <is>
          <t>NAUTICA_MENS_208005876_BPR_2.jpg</t>
        </is>
      </c>
      <c r="K2828" t="inlineStr">
        <is>
          <t>NAUTICA_MENS_208005876_BPR_3.jpg</t>
        </is>
      </c>
      <c r="L2828">
        <f>IMAGE("file:///E:/Estudios%20y%20certificaciones/ESTUDIOS%20DE%20PROGRAMMING/PROGRAMMING/PERSONAL/PYTHON/Image_Generator_API/imagenes/NAUTICA_MENS_208005876_BPR_1.jpg")</f>
        <v/>
      </c>
      <c r="M2828">
        <f>IMAGE("file:///E:/Estudios%20y%20certificaciones/ESTUDIOS%20DE%20PROGRAMMING/PROGRAMMING/PERSONAL/PYTHON/Image_Generator_API/imagenes/NAUTICA_MENS_208005876_BPR_2.jpg")</f>
        <v/>
      </c>
      <c r="N2828">
        <f>IMAGE("file:///E:/Estudios%20y%20certificaciones/ESTUDIOS%20DE%20PROGRAMMING/PROGRAMMING/PERSONAL/PYTHON/Image_Generator_API/imagenes/NAUTICA_MENS_208005876_BPR_3.jpg")</f>
        <v/>
      </c>
      <c r="O2828">
        <f>HYPERLINK("imagenes/NAUTICA_MENS_208005876_BPR_1.jpg","Ver imagen")</f>
        <v/>
      </c>
      <c r="P2828">
        <f>HYPERLINK("imagenes/NAUTICA_MENS_208005876_BPR_2.jpg","Ver imagen")</f>
        <v/>
      </c>
      <c r="Q2828">
        <f>HYPERLINK("imagenes/NAUTICA_MENS_208005876_BPR_3.jpg","Ver imagen")</f>
        <v/>
      </c>
    </row>
    <row r="2829">
      <c r="A2829" t="inlineStr">
        <is>
          <t>NAUTICA MENS</t>
        </is>
      </c>
      <c r="B2829" t="inlineStr">
        <is>
          <t>208005876</t>
        </is>
      </c>
      <c r="C2829" t="inlineStr">
        <is>
          <t>LT.WEIGHT WINDSLICKER</t>
        </is>
      </c>
      <c r="D2829" t="inlineStr">
        <is>
          <t>BPR</t>
        </is>
      </c>
      <c r="E2829" t="inlineStr">
        <is>
          <t>(en blanco)</t>
        </is>
      </c>
      <c r="F2829" t="inlineStr">
        <is>
          <t>(en blanco)</t>
        </is>
      </c>
      <c r="G2829" t="inlineStr">
        <is>
          <t>XL</t>
        </is>
      </c>
      <c r="H2829" t="n">
        <v>6</v>
      </c>
      <c r="I2829" t="inlineStr">
        <is>
          <t>NAUTICA_MENS_208005876_BPR_1.jpg</t>
        </is>
      </c>
      <c r="J2829" t="inlineStr">
        <is>
          <t>NAUTICA_MENS_208005876_BPR_2.jpg</t>
        </is>
      </c>
      <c r="K2829" t="inlineStr">
        <is>
          <t>NAUTICA_MENS_208005876_BPR_3.jpg</t>
        </is>
      </c>
      <c r="L2829">
        <f>IMAGE("file:///E:/Estudios%20y%20certificaciones/ESTUDIOS%20DE%20PROGRAMMING/PROGRAMMING/PERSONAL/PYTHON/Image_Generator_API/imagenes/NAUTICA_MENS_208005876_BPR_1.jpg")</f>
        <v/>
      </c>
      <c r="M2829">
        <f>IMAGE("file:///E:/Estudios%20y%20certificaciones/ESTUDIOS%20DE%20PROGRAMMING/PROGRAMMING/PERSONAL/PYTHON/Image_Generator_API/imagenes/NAUTICA_MENS_208005876_BPR_2.jpg")</f>
        <v/>
      </c>
      <c r="N2829">
        <f>IMAGE("file:///E:/Estudios%20y%20certificaciones/ESTUDIOS%20DE%20PROGRAMMING/PROGRAMMING/PERSONAL/PYTHON/Image_Generator_API/imagenes/NAUTICA_MENS_208005876_BPR_3.jpg")</f>
        <v/>
      </c>
      <c r="O2829">
        <f>HYPERLINK("imagenes/NAUTICA_MENS_208005876_BPR_1.jpg","Ver imagen")</f>
        <v/>
      </c>
      <c r="P2829">
        <f>HYPERLINK("imagenes/NAUTICA_MENS_208005876_BPR_2.jpg","Ver imagen")</f>
        <v/>
      </c>
      <c r="Q2829">
        <f>HYPERLINK("imagenes/NAUTICA_MENS_208005876_BPR_3.jpg","Ver imagen")</f>
        <v/>
      </c>
    </row>
    <row r="2830">
      <c r="A2830" t="inlineStr">
        <is>
          <t>NAUTICA MENS</t>
        </is>
      </c>
      <c r="B2830" t="inlineStr">
        <is>
          <t>208005876</t>
        </is>
      </c>
      <c r="C2830" t="inlineStr">
        <is>
          <t>LT.WEIGHT WINDSLICKER</t>
        </is>
      </c>
      <c r="D2830" t="inlineStr">
        <is>
          <t>BPR</t>
        </is>
      </c>
      <c r="E2830" t="inlineStr">
        <is>
          <t>(en blanco)</t>
        </is>
      </c>
      <c r="F2830" t="inlineStr">
        <is>
          <t>(en blanco)</t>
        </is>
      </c>
      <c r="G2830" t="inlineStr">
        <is>
          <t>XXL</t>
        </is>
      </c>
      <c r="H2830" t="n">
        <v>1</v>
      </c>
      <c r="I2830" t="inlineStr">
        <is>
          <t>NAUTICA_MENS_208005876_BPR_1.jpg</t>
        </is>
      </c>
      <c r="J2830" t="inlineStr">
        <is>
          <t>NAUTICA_MENS_208005876_BPR_2.jpg</t>
        </is>
      </c>
      <c r="K2830" t="inlineStr">
        <is>
          <t>NAUTICA_MENS_208005876_BPR_3.jpg</t>
        </is>
      </c>
      <c r="L2830">
        <f>IMAGE("file:///E:/Estudios%20y%20certificaciones/ESTUDIOS%20DE%20PROGRAMMING/PROGRAMMING/PERSONAL/PYTHON/Image_Generator_API/imagenes/NAUTICA_MENS_208005876_BPR_1.jpg")</f>
        <v/>
      </c>
      <c r="M2830">
        <f>IMAGE("file:///E:/Estudios%20y%20certificaciones/ESTUDIOS%20DE%20PROGRAMMING/PROGRAMMING/PERSONAL/PYTHON/Image_Generator_API/imagenes/NAUTICA_MENS_208005876_BPR_2.jpg")</f>
        <v/>
      </c>
      <c r="N2830">
        <f>IMAGE("file:///E:/Estudios%20y%20certificaciones/ESTUDIOS%20DE%20PROGRAMMING/PROGRAMMING/PERSONAL/PYTHON/Image_Generator_API/imagenes/NAUTICA_MENS_208005876_BPR_3.jpg")</f>
        <v/>
      </c>
      <c r="O2830">
        <f>HYPERLINK("imagenes/NAUTICA_MENS_208005876_BPR_1.jpg","Ver imagen")</f>
        <v/>
      </c>
      <c r="P2830">
        <f>HYPERLINK("imagenes/NAUTICA_MENS_208005876_BPR_2.jpg","Ver imagen")</f>
        <v/>
      </c>
      <c r="Q2830">
        <f>HYPERLINK("imagenes/NAUTICA_MENS_208005876_BPR_3.jpg","Ver imagen")</f>
        <v/>
      </c>
    </row>
    <row r="2831">
      <c r="A2831" t="inlineStr">
        <is>
          <t>NAUTICA MENS</t>
        </is>
      </c>
      <c r="B2831" t="inlineStr">
        <is>
          <t>208005876</t>
        </is>
      </c>
      <c r="C2831" t="inlineStr">
        <is>
          <t>LT.WEIGHT WINDSLICKER</t>
        </is>
      </c>
      <c r="D2831" t="inlineStr">
        <is>
          <t>RED</t>
        </is>
      </c>
      <c r="E2831" t="inlineStr">
        <is>
          <t>(en blanco)</t>
        </is>
      </c>
      <c r="F2831" t="inlineStr">
        <is>
          <t>D2C</t>
        </is>
      </c>
      <c r="G2831" t="inlineStr">
        <is>
          <t>S</t>
        </is>
      </c>
      <c r="H2831" t="n">
        <v>3</v>
      </c>
      <c r="I2831" t="inlineStr">
        <is>
          <t>NAUTICA_MENS_208005876_RED_1.jpg</t>
        </is>
      </c>
      <c r="J2831" t="inlineStr">
        <is>
          <t>NAUTICA_MENS_208005876_RED_2.jpg</t>
        </is>
      </c>
      <c r="K2831" t="inlineStr">
        <is>
          <t>NAUTICA_MENS_208005876_RED_3.jpg</t>
        </is>
      </c>
      <c r="L2831">
        <f>IMAGE("file:///E:/Estudios%20y%20certificaciones/ESTUDIOS%20DE%20PROGRAMMING/PROGRAMMING/PERSONAL/PYTHON/Image_Generator_API/imagenes/NAUTICA_MENS_208005876_RED_1.jpg")</f>
        <v/>
      </c>
      <c r="M2831">
        <f>IMAGE("file:///E:/Estudios%20y%20certificaciones/ESTUDIOS%20DE%20PROGRAMMING/PROGRAMMING/PERSONAL/PYTHON/Image_Generator_API/imagenes/NAUTICA_MENS_208005876_RED_2.jpg")</f>
        <v/>
      </c>
      <c r="N2831">
        <f>IMAGE("file:///E:/Estudios%20y%20certificaciones/ESTUDIOS%20DE%20PROGRAMMING/PROGRAMMING/PERSONAL/PYTHON/Image_Generator_API/imagenes/NAUTICA_MENS_208005876_RED_3.jpg")</f>
        <v/>
      </c>
      <c r="O2831">
        <f>HYPERLINK("imagenes/NAUTICA_MENS_208005876_RED_1.jpg","Ver imagen")</f>
        <v/>
      </c>
      <c r="P2831">
        <f>HYPERLINK("imagenes/NAUTICA_MENS_208005876_RED_2.jpg","Ver imagen")</f>
        <v/>
      </c>
      <c r="Q2831">
        <f>HYPERLINK("imagenes/NAUTICA_MENS_208005876_RED_3.jpg","Ver imagen")</f>
        <v/>
      </c>
    </row>
    <row r="2832">
      <c r="A2832" t="inlineStr">
        <is>
          <t>NAUTICA MENS</t>
        </is>
      </c>
      <c r="B2832" t="inlineStr">
        <is>
          <t>208005876</t>
        </is>
      </c>
      <c r="C2832" t="inlineStr">
        <is>
          <t>LT.WEIGHT WINDSLICKER</t>
        </is>
      </c>
      <c r="D2832" t="inlineStr">
        <is>
          <t>RED</t>
        </is>
      </c>
      <c r="E2832" t="inlineStr">
        <is>
          <t>(en blanco)</t>
        </is>
      </c>
      <c r="F2832" t="inlineStr">
        <is>
          <t>D2C</t>
        </is>
      </c>
      <c r="G2832" t="inlineStr">
        <is>
          <t>M</t>
        </is>
      </c>
      <c r="H2832" t="n">
        <v>15</v>
      </c>
      <c r="I2832" t="inlineStr">
        <is>
          <t>NAUTICA_MENS_208005876_RED_1.jpg</t>
        </is>
      </c>
      <c r="J2832" t="inlineStr">
        <is>
          <t>NAUTICA_MENS_208005876_RED_2.jpg</t>
        </is>
      </c>
      <c r="K2832" t="inlineStr">
        <is>
          <t>NAUTICA_MENS_208005876_RED_3.jpg</t>
        </is>
      </c>
      <c r="L2832">
        <f>IMAGE("file:///E:/Estudios%20y%20certificaciones/ESTUDIOS%20DE%20PROGRAMMING/PROGRAMMING/PERSONAL/PYTHON/Image_Generator_API/imagenes/NAUTICA_MENS_208005876_RED_1.jpg")</f>
        <v/>
      </c>
      <c r="M2832">
        <f>IMAGE("file:///E:/Estudios%20y%20certificaciones/ESTUDIOS%20DE%20PROGRAMMING/PROGRAMMING/PERSONAL/PYTHON/Image_Generator_API/imagenes/NAUTICA_MENS_208005876_RED_2.jpg")</f>
        <v/>
      </c>
      <c r="N2832">
        <f>IMAGE("file:///E:/Estudios%20y%20certificaciones/ESTUDIOS%20DE%20PROGRAMMING/PROGRAMMING/PERSONAL/PYTHON/Image_Generator_API/imagenes/NAUTICA_MENS_208005876_RED_3.jpg")</f>
        <v/>
      </c>
      <c r="O2832">
        <f>HYPERLINK("imagenes/NAUTICA_MENS_208005876_RED_1.jpg","Ver imagen")</f>
        <v/>
      </c>
      <c r="P2832">
        <f>HYPERLINK("imagenes/NAUTICA_MENS_208005876_RED_2.jpg","Ver imagen")</f>
        <v/>
      </c>
      <c r="Q2832">
        <f>HYPERLINK("imagenes/NAUTICA_MENS_208005876_RED_3.jpg","Ver imagen")</f>
        <v/>
      </c>
    </row>
    <row r="2833">
      <c r="A2833" t="inlineStr">
        <is>
          <t>NAUTICA MENS</t>
        </is>
      </c>
      <c r="B2833" t="inlineStr">
        <is>
          <t>208005876</t>
        </is>
      </c>
      <c r="C2833" t="inlineStr">
        <is>
          <t>LT.WEIGHT WINDSLICKER</t>
        </is>
      </c>
      <c r="D2833" t="inlineStr">
        <is>
          <t>RED</t>
        </is>
      </c>
      <c r="E2833" t="inlineStr">
        <is>
          <t>(en blanco)</t>
        </is>
      </c>
      <c r="F2833" t="inlineStr">
        <is>
          <t>D2C</t>
        </is>
      </c>
      <c r="G2833" t="inlineStr">
        <is>
          <t>L</t>
        </is>
      </c>
      <c r="H2833" t="n">
        <v>15</v>
      </c>
      <c r="I2833" t="inlineStr">
        <is>
          <t>NAUTICA_MENS_208005876_RED_1.jpg</t>
        </is>
      </c>
      <c r="J2833" t="inlineStr">
        <is>
          <t>NAUTICA_MENS_208005876_RED_2.jpg</t>
        </is>
      </c>
      <c r="K2833" t="inlineStr">
        <is>
          <t>NAUTICA_MENS_208005876_RED_3.jpg</t>
        </is>
      </c>
      <c r="L2833">
        <f>IMAGE("file:///E:/Estudios%20y%20certificaciones/ESTUDIOS%20DE%20PROGRAMMING/PROGRAMMING/PERSONAL/PYTHON/Image_Generator_API/imagenes/NAUTICA_MENS_208005876_RED_1.jpg")</f>
        <v/>
      </c>
      <c r="M2833">
        <f>IMAGE("file:///E:/Estudios%20y%20certificaciones/ESTUDIOS%20DE%20PROGRAMMING/PROGRAMMING/PERSONAL/PYTHON/Image_Generator_API/imagenes/NAUTICA_MENS_208005876_RED_2.jpg")</f>
        <v/>
      </c>
      <c r="N2833">
        <f>IMAGE("file:///E:/Estudios%20y%20certificaciones/ESTUDIOS%20DE%20PROGRAMMING/PROGRAMMING/PERSONAL/PYTHON/Image_Generator_API/imagenes/NAUTICA_MENS_208005876_RED_3.jpg")</f>
        <v/>
      </c>
      <c r="O2833">
        <f>HYPERLINK("imagenes/NAUTICA_MENS_208005876_RED_1.jpg","Ver imagen")</f>
        <v/>
      </c>
      <c r="P2833">
        <f>HYPERLINK("imagenes/NAUTICA_MENS_208005876_RED_2.jpg","Ver imagen")</f>
        <v/>
      </c>
      <c r="Q2833">
        <f>HYPERLINK("imagenes/NAUTICA_MENS_208005876_RED_3.jpg","Ver imagen")</f>
        <v/>
      </c>
    </row>
    <row r="2834">
      <c r="A2834" t="inlineStr">
        <is>
          <t>NAUTICA MENS</t>
        </is>
      </c>
      <c r="B2834" t="inlineStr">
        <is>
          <t>208005876</t>
        </is>
      </c>
      <c r="C2834" t="inlineStr">
        <is>
          <t>LT.WEIGHT WINDSLICKER</t>
        </is>
      </c>
      <c r="D2834" t="inlineStr">
        <is>
          <t>RED</t>
        </is>
      </c>
      <c r="E2834" t="inlineStr">
        <is>
          <t>(en blanco)</t>
        </is>
      </c>
      <c r="F2834" t="inlineStr">
        <is>
          <t>D2C</t>
        </is>
      </c>
      <c r="G2834" t="inlineStr">
        <is>
          <t>XL</t>
        </is>
      </c>
      <c r="H2834" t="n">
        <v>9</v>
      </c>
      <c r="I2834" t="inlineStr">
        <is>
          <t>NAUTICA_MENS_208005876_RED_1.jpg</t>
        </is>
      </c>
      <c r="J2834" t="inlineStr">
        <is>
          <t>NAUTICA_MENS_208005876_RED_2.jpg</t>
        </is>
      </c>
      <c r="K2834" t="inlineStr">
        <is>
          <t>NAUTICA_MENS_208005876_RED_3.jpg</t>
        </is>
      </c>
      <c r="L2834">
        <f>IMAGE("file:///E:/Estudios%20y%20certificaciones/ESTUDIOS%20DE%20PROGRAMMING/PROGRAMMING/PERSONAL/PYTHON/Image_Generator_API/imagenes/NAUTICA_MENS_208005876_RED_1.jpg")</f>
        <v/>
      </c>
      <c r="M2834">
        <f>IMAGE("file:///E:/Estudios%20y%20certificaciones/ESTUDIOS%20DE%20PROGRAMMING/PROGRAMMING/PERSONAL/PYTHON/Image_Generator_API/imagenes/NAUTICA_MENS_208005876_RED_2.jpg")</f>
        <v/>
      </c>
      <c r="N2834">
        <f>IMAGE("file:///E:/Estudios%20y%20certificaciones/ESTUDIOS%20DE%20PROGRAMMING/PROGRAMMING/PERSONAL/PYTHON/Image_Generator_API/imagenes/NAUTICA_MENS_208005876_RED_3.jpg")</f>
        <v/>
      </c>
      <c r="O2834">
        <f>HYPERLINK("imagenes/NAUTICA_MENS_208005876_RED_1.jpg","Ver imagen")</f>
        <v/>
      </c>
      <c r="P2834">
        <f>HYPERLINK("imagenes/NAUTICA_MENS_208005876_RED_2.jpg","Ver imagen")</f>
        <v/>
      </c>
      <c r="Q2834">
        <f>HYPERLINK("imagenes/NAUTICA_MENS_208005876_RED_3.jpg","Ver imagen")</f>
        <v/>
      </c>
    </row>
    <row r="2835">
      <c r="A2835" t="inlineStr">
        <is>
          <t>NAUTICA MENS</t>
        </is>
      </c>
      <c r="B2835" t="inlineStr">
        <is>
          <t>208005876</t>
        </is>
      </c>
      <c r="C2835" t="inlineStr">
        <is>
          <t>LT.WEIGHT WINDSLICKER</t>
        </is>
      </c>
      <c r="D2835" t="inlineStr">
        <is>
          <t>RED</t>
        </is>
      </c>
      <c r="E2835" t="inlineStr">
        <is>
          <t>(en blanco)</t>
        </is>
      </c>
      <c r="F2835" t="inlineStr">
        <is>
          <t>D2C</t>
        </is>
      </c>
      <c r="G2835" t="inlineStr">
        <is>
          <t>XXL</t>
        </is>
      </c>
      <c r="H2835" t="n">
        <v>4</v>
      </c>
      <c r="I2835" t="inlineStr">
        <is>
          <t>NAUTICA_MENS_208005876_RED_1.jpg</t>
        </is>
      </c>
      <c r="J2835" t="inlineStr">
        <is>
          <t>NAUTICA_MENS_208005876_RED_2.jpg</t>
        </is>
      </c>
      <c r="K2835" t="inlineStr">
        <is>
          <t>NAUTICA_MENS_208005876_RED_3.jpg</t>
        </is>
      </c>
      <c r="L2835">
        <f>IMAGE("file:///E:/Estudios%20y%20certificaciones/ESTUDIOS%20DE%20PROGRAMMING/PROGRAMMING/PERSONAL/PYTHON/Image_Generator_API/imagenes/NAUTICA_MENS_208005876_RED_1.jpg")</f>
        <v/>
      </c>
      <c r="M2835">
        <f>IMAGE("file:///E:/Estudios%20y%20certificaciones/ESTUDIOS%20DE%20PROGRAMMING/PROGRAMMING/PERSONAL/PYTHON/Image_Generator_API/imagenes/NAUTICA_MENS_208005876_RED_2.jpg")</f>
        <v/>
      </c>
      <c r="N2835">
        <f>IMAGE("file:///E:/Estudios%20y%20certificaciones/ESTUDIOS%20DE%20PROGRAMMING/PROGRAMMING/PERSONAL/PYTHON/Image_Generator_API/imagenes/NAUTICA_MENS_208005876_RED_3.jpg")</f>
        <v/>
      </c>
      <c r="O2835">
        <f>HYPERLINK("imagenes/NAUTICA_MENS_208005876_RED_1.jpg","Ver imagen")</f>
        <v/>
      </c>
      <c r="P2835">
        <f>HYPERLINK("imagenes/NAUTICA_MENS_208005876_RED_2.jpg","Ver imagen")</f>
        <v/>
      </c>
      <c r="Q2835">
        <f>HYPERLINK("imagenes/NAUTICA_MENS_208005876_RED_3.jpg","Ver imagen")</f>
        <v/>
      </c>
    </row>
    <row r="2836">
      <c r="A2836" t="inlineStr">
        <is>
          <t>NAUTICA MENS</t>
        </is>
      </c>
      <c r="B2836" t="inlineStr">
        <is>
          <t>208005876</t>
        </is>
      </c>
      <c r="C2836" t="inlineStr">
        <is>
          <t>LT.WEIGHT WINDSLICKER</t>
        </is>
      </c>
      <c r="D2836" t="inlineStr">
        <is>
          <t>RED</t>
        </is>
      </c>
      <c r="E2836" t="inlineStr">
        <is>
          <t>(en blanco)</t>
        </is>
      </c>
      <c r="F2836" t="inlineStr">
        <is>
          <t>M1155</t>
        </is>
      </c>
      <c r="G2836" t="inlineStr">
        <is>
          <t>S</t>
        </is>
      </c>
      <c r="H2836" t="n">
        <v>0</v>
      </c>
      <c r="I2836" t="inlineStr">
        <is>
          <t>NAUTICA_MENS_208005876_RED_1.jpg</t>
        </is>
      </c>
      <c r="J2836" t="inlineStr">
        <is>
          <t>NAUTICA_MENS_208005876_RED_2.jpg</t>
        </is>
      </c>
      <c r="K2836" t="inlineStr">
        <is>
          <t>NAUTICA_MENS_208005876_RED_3.jpg</t>
        </is>
      </c>
      <c r="L2836">
        <f>IMAGE("file:///E:/Estudios%20y%20certificaciones/ESTUDIOS%20DE%20PROGRAMMING/PROGRAMMING/PERSONAL/PYTHON/Image_Generator_API/imagenes/NAUTICA_MENS_208005876_RED_1.jpg")</f>
        <v/>
      </c>
      <c r="M2836">
        <f>IMAGE("file:///E:/Estudios%20y%20certificaciones/ESTUDIOS%20DE%20PROGRAMMING/PROGRAMMING/PERSONAL/PYTHON/Image_Generator_API/imagenes/NAUTICA_MENS_208005876_RED_2.jpg")</f>
        <v/>
      </c>
      <c r="N2836">
        <f>IMAGE("file:///E:/Estudios%20y%20certificaciones/ESTUDIOS%20DE%20PROGRAMMING/PROGRAMMING/PERSONAL/PYTHON/Image_Generator_API/imagenes/NAUTICA_MENS_208005876_RED_3.jpg")</f>
        <v/>
      </c>
      <c r="O2836">
        <f>HYPERLINK("imagenes/NAUTICA_MENS_208005876_RED_1.jpg","Ver imagen")</f>
        <v/>
      </c>
      <c r="P2836">
        <f>HYPERLINK("imagenes/NAUTICA_MENS_208005876_RED_2.jpg","Ver imagen")</f>
        <v/>
      </c>
      <c r="Q2836">
        <f>HYPERLINK("imagenes/NAUTICA_MENS_208005876_RED_3.jpg","Ver imagen")</f>
        <v/>
      </c>
    </row>
    <row r="2837">
      <c r="A2837" t="inlineStr">
        <is>
          <t>NAUTICA MENS</t>
        </is>
      </c>
      <c r="B2837" t="inlineStr">
        <is>
          <t>208005876</t>
        </is>
      </c>
      <c r="C2837" t="inlineStr">
        <is>
          <t>LT.WEIGHT WINDSLICKER</t>
        </is>
      </c>
      <c r="D2837" t="inlineStr">
        <is>
          <t>RED</t>
        </is>
      </c>
      <c r="E2837" t="inlineStr">
        <is>
          <t>(en blanco)</t>
        </is>
      </c>
      <c r="F2837" t="inlineStr">
        <is>
          <t>M1155</t>
        </is>
      </c>
      <c r="G2837" t="inlineStr">
        <is>
          <t>L</t>
        </is>
      </c>
      <c r="H2837" t="n">
        <v>0</v>
      </c>
      <c r="I2837" t="inlineStr">
        <is>
          <t>NAUTICA_MENS_208005876_RED_1.jpg</t>
        </is>
      </c>
      <c r="J2837" t="inlineStr">
        <is>
          <t>NAUTICA_MENS_208005876_RED_2.jpg</t>
        </is>
      </c>
      <c r="K2837" t="inlineStr">
        <is>
          <t>NAUTICA_MENS_208005876_RED_3.jpg</t>
        </is>
      </c>
      <c r="L2837">
        <f>IMAGE("file:///E:/Estudios%20y%20certificaciones/ESTUDIOS%20DE%20PROGRAMMING/PROGRAMMING/PERSONAL/PYTHON/Image_Generator_API/imagenes/NAUTICA_MENS_208005876_RED_1.jpg")</f>
        <v/>
      </c>
      <c r="M2837">
        <f>IMAGE("file:///E:/Estudios%20y%20certificaciones/ESTUDIOS%20DE%20PROGRAMMING/PROGRAMMING/PERSONAL/PYTHON/Image_Generator_API/imagenes/NAUTICA_MENS_208005876_RED_2.jpg")</f>
        <v/>
      </c>
      <c r="N2837">
        <f>IMAGE("file:///E:/Estudios%20y%20certificaciones/ESTUDIOS%20DE%20PROGRAMMING/PROGRAMMING/PERSONAL/PYTHON/Image_Generator_API/imagenes/NAUTICA_MENS_208005876_RED_3.jpg")</f>
        <v/>
      </c>
      <c r="O2837">
        <f>HYPERLINK("imagenes/NAUTICA_MENS_208005876_RED_1.jpg","Ver imagen")</f>
        <v/>
      </c>
      <c r="P2837">
        <f>HYPERLINK("imagenes/NAUTICA_MENS_208005876_RED_2.jpg","Ver imagen")</f>
        <v/>
      </c>
      <c r="Q2837">
        <f>HYPERLINK("imagenes/NAUTICA_MENS_208005876_RED_3.jpg","Ver imagen")</f>
        <v/>
      </c>
    </row>
    <row r="2838">
      <c r="A2838" t="inlineStr">
        <is>
          <t>NAUTICA MENS</t>
        </is>
      </c>
      <c r="B2838" t="inlineStr">
        <is>
          <t>208005876</t>
        </is>
      </c>
      <c r="C2838" t="inlineStr">
        <is>
          <t>LT.WEIGHT WINDSLICKER</t>
        </is>
      </c>
      <c r="D2838" t="inlineStr">
        <is>
          <t>RED</t>
        </is>
      </c>
      <c r="E2838" t="inlineStr">
        <is>
          <t>(en blanco)</t>
        </is>
      </c>
      <c r="F2838" t="inlineStr">
        <is>
          <t>(en blanco)</t>
        </is>
      </c>
      <c r="G2838" t="inlineStr">
        <is>
          <t>S</t>
        </is>
      </c>
      <c r="H2838" t="n">
        <v>0</v>
      </c>
      <c r="I2838" t="inlineStr">
        <is>
          <t>NAUTICA_MENS_208005876_RED_1.jpg</t>
        </is>
      </c>
      <c r="J2838" t="inlineStr">
        <is>
          <t>NAUTICA_MENS_208005876_RED_2.jpg</t>
        </is>
      </c>
      <c r="K2838" t="inlineStr">
        <is>
          <t>NAUTICA_MENS_208005876_RED_3.jpg</t>
        </is>
      </c>
      <c r="L2838">
        <f>IMAGE("file:///E:/Estudios%20y%20certificaciones/ESTUDIOS%20DE%20PROGRAMMING/PROGRAMMING/PERSONAL/PYTHON/Image_Generator_API/imagenes/NAUTICA_MENS_208005876_RED_1.jpg")</f>
        <v/>
      </c>
      <c r="M2838">
        <f>IMAGE("file:///E:/Estudios%20y%20certificaciones/ESTUDIOS%20DE%20PROGRAMMING/PROGRAMMING/PERSONAL/PYTHON/Image_Generator_API/imagenes/NAUTICA_MENS_208005876_RED_2.jpg")</f>
        <v/>
      </c>
      <c r="N2838">
        <f>IMAGE("file:///E:/Estudios%20y%20certificaciones/ESTUDIOS%20DE%20PROGRAMMING/PROGRAMMING/PERSONAL/PYTHON/Image_Generator_API/imagenes/NAUTICA_MENS_208005876_RED_3.jpg")</f>
        <v/>
      </c>
      <c r="O2838">
        <f>HYPERLINK("imagenes/NAUTICA_MENS_208005876_RED_1.jpg","Ver imagen")</f>
        <v/>
      </c>
      <c r="P2838">
        <f>HYPERLINK("imagenes/NAUTICA_MENS_208005876_RED_2.jpg","Ver imagen")</f>
        <v/>
      </c>
      <c r="Q2838">
        <f>HYPERLINK("imagenes/NAUTICA_MENS_208005876_RED_3.jpg","Ver imagen")</f>
        <v/>
      </c>
    </row>
    <row r="2839">
      <c r="A2839" t="inlineStr">
        <is>
          <t>NAUTICA MENS</t>
        </is>
      </c>
      <c r="B2839" t="inlineStr">
        <is>
          <t>208005876</t>
        </is>
      </c>
      <c r="C2839" t="inlineStr">
        <is>
          <t>LT.WEIGHT WINDSLICKER</t>
        </is>
      </c>
      <c r="D2839" t="inlineStr">
        <is>
          <t>RED</t>
        </is>
      </c>
      <c r="E2839" t="inlineStr">
        <is>
          <t>(en blanco)</t>
        </is>
      </c>
      <c r="F2839" t="inlineStr">
        <is>
          <t>(en blanco)</t>
        </is>
      </c>
      <c r="G2839" t="inlineStr">
        <is>
          <t>M</t>
        </is>
      </c>
      <c r="H2839" t="n">
        <v>0</v>
      </c>
      <c r="I2839" t="inlineStr">
        <is>
          <t>NAUTICA_MENS_208005876_RED_1.jpg</t>
        </is>
      </c>
      <c r="J2839" t="inlineStr">
        <is>
          <t>NAUTICA_MENS_208005876_RED_2.jpg</t>
        </is>
      </c>
      <c r="K2839" t="inlineStr">
        <is>
          <t>NAUTICA_MENS_208005876_RED_3.jpg</t>
        </is>
      </c>
      <c r="L2839">
        <f>IMAGE("file:///E:/Estudios%20y%20certificaciones/ESTUDIOS%20DE%20PROGRAMMING/PROGRAMMING/PERSONAL/PYTHON/Image_Generator_API/imagenes/NAUTICA_MENS_208005876_RED_1.jpg")</f>
        <v/>
      </c>
      <c r="M2839">
        <f>IMAGE("file:///E:/Estudios%20y%20certificaciones/ESTUDIOS%20DE%20PROGRAMMING/PROGRAMMING/PERSONAL/PYTHON/Image_Generator_API/imagenes/NAUTICA_MENS_208005876_RED_2.jpg")</f>
        <v/>
      </c>
      <c r="N2839">
        <f>IMAGE("file:///E:/Estudios%20y%20certificaciones/ESTUDIOS%20DE%20PROGRAMMING/PROGRAMMING/PERSONAL/PYTHON/Image_Generator_API/imagenes/NAUTICA_MENS_208005876_RED_3.jpg")</f>
        <v/>
      </c>
      <c r="O2839">
        <f>HYPERLINK("imagenes/NAUTICA_MENS_208005876_RED_1.jpg","Ver imagen")</f>
        <v/>
      </c>
      <c r="P2839">
        <f>HYPERLINK("imagenes/NAUTICA_MENS_208005876_RED_2.jpg","Ver imagen")</f>
        <v/>
      </c>
      <c r="Q2839">
        <f>HYPERLINK("imagenes/NAUTICA_MENS_208005876_RED_3.jpg","Ver imagen")</f>
        <v/>
      </c>
    </row>
    <row r="2840">
      <c r="A2840" t="inlineStr">
        <is>
          <t>NAUTICA MENS</t>
        </is>
      </c>
      <c r="B2840" t="inlineStr">
        <is>
          <t>208005876</t>
        </is>
      </c>
      <c r="C2840" t="inlineStr">
        <is>
          <t>LT.WEIGHT WINDSLICKER</t>
        </is>
      </c>
      <c r="D2840" t="inlineStr">
        <is>
          <t>RED</t>
        </is>
      </c>
      <c r="E2840" t="inlineStr">
        <is>
          <t>(en blanco)</t>
        </is>
      </c>
      <c r="F2840" t="inlineStr">
        <is>
          <t>(en blanco)</t>
        </is>
      </c>
      <c r="G2840" t="inlineStr">
        <is>
          <t>L</t>
        </is>
      </c>
      <c r="H2840" t="n">
        <v>2</v>
      </c>
      <c r="I2840" t="inlineStr">
        <is>
          <t>NAUTICA_MENS_208005876_RED_1.jpg</t>
        </is>
      </c>
      <c r="J2840" t="inlineStr">
        <is>
          <t>NAUTICA_MENS_208005876_RED_2.jpg</t>
        </is>
      </c>
      <c r="K2840" t="inlineStr">
        <is>
          <t>NAUTICA_MENS_208005876_RED_3.jpg</t>
        </is>
      </c>
      <c r="L2840">
        <f>IMAGE("file:///E:/Estudios%20y%20certificaciones/ESTUDIOS%20DE%20PROGRAMMING/PROGRAMMING/PERSONAL/PYTHON/Image_Generator_API/imagenes/NAUTICA_MENS_208005876_RED_1.jpg")</f>
        <v/>
      </c>
      <c r="M2840">
        <f>IMAGE("file:///E:/Estudios%20y%20certificaciones/ESTUDIOS%20DE%20PROGRAMMING/PROGRAMMING/PERSONAL/PYTHON/Image_Generator_API/imagenes/NAUTICA_MENS_208005876_RED_2.jpg")</f>
        <v/>
      </c>
      <c r="N2840">
        <f>IMAGE("file:///E:/Estudios%20y%20certificaciones/ESTUDIOS%20DE%20PROGRAMMING/PROGRAMMING/PERSONAL/PYTHON/Image_Generator_API/imagenes/NAUTICA_MENS_208005876_RED_3.jpg")</f>
        <v/>
      </c>
      <c r="O2840">
        <f>HYPERLINK("imagenes/NAUTICA_MENS_208005876_RED_1.jpg","Ver imagen")</f>
        <v/>
      </c>
      <c r="P2840">
        <f>HYPERLINK("imagenes/NAUTICA_MENS_208005876_RED_2.jpg","Ver imagen")</f>
        <v/>
      </c>
      <c r="Q2840">
        <f>HYPERLINK("imagenes/NAUTICA_MENS_208005876_RED_3.jpg","Ver imagen")</f>
        <v/>
      </c>
    </row>
    <row r="2841">
      <c r="A2841" t="inlineStr">
        <is>
          <t>NAUTICA MENS</t>
        </is>
      </c>
      <c r="B2841" t="inlineStr">
        <is>
          <t>208005876</t>
        </is>
      </c>
      <c r="C2841" t="inlineStr">
        <is>
          <t>LT.WEIGHT WINDSLICKER</t>
        </is>
      </c>
      <c r="D2841" t="inlineStr">
        <is>
          <t>RED</t>
        </is>
      </c>
      <c r="E2841" t="inlineStr">
        <is>
          <t>(en blanco)</t>
        </is>
      </c>
      <c r="F2841" t="inlineStr">
        <is>
          <t>(en blanco)</t>
        </is>
      </c>
      <c r="G2841" t="inlineStr">
        <is>
          <t>XL</t>
        </is>
      </c>
      <c r="H2841" t="n">
        <v>1</v>
      </c>
      <c r="I2841" t="inlineStr">
        <is>
          <t>NAUTICA_MENS_208005876_RED_1.jpg</t>
        </is>
      </c>
      <c r="J2841" t="inlineStr">
        <is>
          <t>NAUTICA_MENS_208005876_RED_2.jpg</t>
        </is>
      </c>
      <c r="K2841" t="inlineStr">
        <is>
          <t>NAUTICA_MENS_208005876_RED_3.jpg</t>
        </is>
      </c>
      <c r="L2841">
        <f>IMAGE("file:///E:/Estudios%20y%20certificaciones/ESTUDIOS%20DE%20PROGRAMMING/PROGRAMMING/PERSONAL/PYTHON/Image_Generator_API/imagenes/NAUTICA_MENS_208005876_RED_1.jpg")</f>
        <v/>
      </c>
      <c r="M2841">
        <f>IMAGE("file:///E:/Estudios%20y%20certificaciones/ESTUDIOS%20DE%20PROGRAMMING/PROGRAMMING/PERSONAL/PYTHON/Image_Generator_API/imagenes/NAUTICA_MENS_208005876_RED_2.jpg")</f>
        <v/>
      </c>
      <c r="N2841">
        <f>IMAGE("file:///E:/Estudios%20y%20certificaciones/ESTUDIOS%20DE%20PROGRAMMING/PROGRAMMING/PERSONAL/PYTHON/Image_Generator_API/imagenes/NAUTICA_MENS_208005876_RED_3.jpg")</f>
        <v/>
      </c>
      <c r="O2841">
        <f>HYPERLINK("imagenes/NAUTICA_MENS_208005876_RED_1.jpg","Ver imagen")</f>
        <v/>
      </c>
      <c r="P2841">
        <f>HYPERLINK("imagenes/NAUTICA_MENS_208005876_RED_2.jpg","Ver imagen")</f>
        <v/>
      </c>
      <c r="Q2841">
        <f>HYPERLINK("imagenes/NAUTICA_MENS_208005876_RED_3.jpg","Ver imagen")</f>
        <v/>
      </c>
    </row>
    <row r="2842">
      <c r="A2842" t="inlineStr">
        <is>
          <t>NAUTICA MENS</t>
        </is>
      </c>
      <c r="B2842" t="inlineStr">
        <is>
          <t>208005876</t>
        </is>
      </c>
      <c r="C2842" t="inlineStr">
        <is>
          <t>LT.WEIGHT WINDSLICKER</t>
        </is>
      </c>
      <c r="D2842" t="inlineStr">
        <is>
          <t>RED</t>
        </is>
      </c>
      <c r="E2842" t="inlineStr">
        <is>
          <t>(en blanco)</t>
        </is>
      </c>
      <c r="F2842" t="inlineStr">
        <is>
          <t>(en blanco)</t>
        </is>
      </c>
      <c r="G2842" t="inlineStr">
        <is>
          <t>XXL</t>
        </is>
      </c>
      <c r="H2842" t="n">
        <v>0</v>
      </c>
      <c r="I2842" t="inlineStr">
        <is>
          <t>NAUTICA_MENS_208005876_RED_1.jpg</t>
        </is>
      </c>
      <c r="J2842" t="inlineStr">
        <is>
          <t>NAUTICA_MENS_208005876_RED_2.jpg</t>
        </is>
      </c>
      <c r="K2842" t="inlineStr">
        <is>
          <t>NAUTICA_MENS_208005876_RED_3.jpg</t>
        </is>
      </c>
      <c r="L2842">
        <f>IMAGE("file:///E:/Estudios%20y%20certificaciones/ESTUDIOS%20DE%20PROGRAMMING/PROGRAMMING/PERSONAL/PYTHON/Image_Generator_API/imagenes/NAUTICA_MENS_208005876_RED_1.jpg")</f>
        <v/>
      </c>
      <c r="M2842">
        <f>IMAGE("file:///E:/Estudios%20y%20certificaciones/ESTUDIOS%20DE%20PROGRAMMING/PROGRAMMING/PERSONAL/PYTHON/Image_Generator_API/imagenes/NAUTICA_MENS_208005876_RED_2.jpg")</f>
        <v/>
      </c>
      <c r="N2842">
        <f>IMAGE("file:///E:/Estudios%20y%20certificaciones/ESTUDIOS%20DE%20PROGRAMMING/PROGRAMMING/PERSONAL/PYTHON/Image_Generator_API/imagenes/NAUTICA_MENS_208005876_RED_3.jpg")</f>
        <v/>
      </c>
      <c r="O2842">
        <f>HYPERLINK("imagenes/NAUTICA_MENS_208005876_RED_1.jpg","Ver imagen")</f>
        <v/>
      </c>
      <c r="P2842">
        <f>HYPERLINK("imagenes/NAUTICA_MENS_208005876_RED_2.jpg","Ver imagen")</f>
        <v/>
      </c>
      <c r="Q2842">
        <f>HYPERLINK("imagenes/NAUTICA_MENS_208005876_RED_3.jpg","Ver imagen")</f>
        <v/>
      </c>
    </row>
    <row r="2843">
      <c r="A2843" t="inlineStr">
        <is>
          <t>NAUTICA MENS</t>
        </is>
      </c>
      <c r="B2843" t="inlineStr">
        <is>
          <t>208005876</t>
        </is>
      </c>
      <c r="C2843" t="inlineStr">
        <is>
          <t>LT.WEIGHT WINDSLICKER</t>
        </is>
      </c>
      <c r="D2843" t="inlineStr">
        <is>
          <t>SFB</t>
        </is>
      </c>
      <c r="E2843" t="inlineStr">
        <is>
          <t>(en blanco)</t>
        </is>
      </c>
      <c r="F2843" t="inlineStr">
        <is>
          <t>D2C</t>
        </is>
      </c>
      <c r="G2843" t="inlineStr">
        <is>
          <t>S</t>
        </is>
      </c>
      <c r="H2843" t="n">
        <v>5</v>
      </c>
      <c r="I2843" t="inlineStr">
        <is>
          <t>NAUTICA_MENS_208005876_SFB_1.jpg</t>
        </is>
      </c>
      <c r="J2843" t="inlineStr">
        <is>
          <t>NAUTICA_MENS_208005876_SFB_2.jpg</t>
        </is>
      </c>
      <c r="K2843" t="inlineStr">
        <is>
          <t>NAUTICA_MENS_208005876_SFB_3.jpg</t>
        </is>
      </c>
      <c r="L2843">
        <f>IMAGE("file:///E:/Estudios%20y%20certificaciones/ESTUDIOS%20DE%20PROGRAMMING/PROGRAMMING/PERSONAL/PYTHON/Image_Generator_API/imagenes/NAUTICA_MENS_208005876_SFB_1.jpg")</f>
        <v/>
      </c>
      <c r="M2843">
        <f>IMAGE("file:///E:/Estudios%20y%20certificaciones/ESTUDIOS%20DE%20PROGRAMMING/PROGRAMMING/PERSONAL/PYTHON/Image_Generator_API/imagenes/NAUTICA_MENS_208005876_SFB_2.jpg")</f>
        <v/>
      </c>
      <c r="N2843">
        <f>IMAGE("file:///E:/Estudios%20y%20certificaciones/ESTUDIOS%20DE%20PROGRAMMING/PROGRAMMING/PERSONAL/PYTHON/Image_Generator_API/imagenes/NAUTICA_MENS_208005876_SFB_3.jpg")</f>
        <v/>
      </c>
      <c r="O2843">
        <f>HYPERLINK("imagenes/NAUTICA_MENS_208005876_SFB_1.jpg","Ver imagen")</f>
        <v/>
      </c>
      <c r="P2843">
        <f>HYPERLINK("imagenes/NAUTICA_MENS_208005876_SFB_2.jpg","Ver imagen")</f>
        <v/>
      </c>
      <c r="Q2843">
        <f>HYPERLINK("imagenes/NAUTICA_MENS_208005876_SFB_3.jpg","Ver imagen")</f>
        <v/>
      </c>
    </row>
    <row r="2844">
      <c r="A2844" t="inlineStr">
        <is>
          <t>NAUTICA MENS</t>
        </is>
      </c>
      <c r="B2844" t="inlineStr">
        <is>
          <t>208005876</t>
        </is>
      </c>
      <c r="C2844" t="inlineStr">
        <is>
          <t>LT.WEIGHT WINDSLICKER</t>
        </is>
      </c>
      <c r="D2844" t="inlineStr">
        <is>
          <t>SFB</t>
        </is>
      </c>
      <c r="E2844" t="inlineStr">
        <is>
          <t>(en blanco)</t>
        </is>
      </c>
      <c r="F2844" t="inlineStr">
        <is>
          <t>D2C</t>
        </is>
      </c>
      <c r="G2844" t="inlineStr">
        <is>
          <t>M</t>
        </is>
      </c>
      <c r="H2844" t="n">
        <v>14</v>
      </c>
      <c r="I2844" t="inlineStr">
        <is>
          <t>NAUTICA_MENS_208005876_SFB_1.jpg</t>
        </is>
      </c>
      <c r="J2844" t="inlineStr">
        <is>
          <t>NAUTICA_MENS_208005876_SFB_2.jpg</t>
        </is>
      </c>
      <c r="K2844" t="inlineStr">
        <is>
          <t>NAUTICA_MENS_208005876_SFB_3.jpg</t>
        </is>
      </c>
      <c r="L2844">
        <f>IMAGE("file:///E:/Estudios%20y%20certificaciones/ESTUDIOS%20DE%20PROGRAMMING/PROGRAMMING/PERSONAL/PYTHON/Image_Generator_API/imagenes/NAUTICA_MENS_208005876_SFB_1.jpg")</f>
        <v/>
      </c>
      <c r="M2844">
        <f>IMAGE("file:///E:/Estudios%20y%20certificaciones/ESTUDIOS%20DE%20PROGRAMMING/PROGRAMMING/PERSONAL/PYTHON/Image_Generator_API/imagenes/NAUTICA_MENS_208005876_SFB_2.jpg")</f>
        <v/>
      </c>
      <c r="N2844">
        <f>IMAGE("file:///E:/Estudios%20y%20certificaciones/ESTUDIOS%20DE%20PROGRAMMING/PROGRAMMING/PERSONAL/PYTHON/Image_Generator_API/imagenes/NAUTICA_MENS_208005876_SFB_3.jpg")</f>
        <v/>
      </c>
      <c r="O2844">
        <f>HYPERLINK("imagenes/NAUTICA_MENS_208005876_SFB_1.jpg","Ver imagen")</f>
        <v/>
      </c>
      <c r="P2844">
        <f>HYPERLINK("imagenes/NAUTICA_MENS_208005876_SFB_2.jpg","Ver imagen")</f>
        <v/>
      </c>
      <c r="Q2844">
        <f>HYPERLINK("imagenes/NAUTICA_MENS_208005876_SFB_3.jpg","Ver imagen")</f>
        <v/>
      </c>
    </row>
    <row r="2845">
      <c r="A2845" t="inlineStr">
        <is>
          <t>NAUTICA MENS</t>
        </is>
      </c>
      <c r="B2845" t="inlineStr">
        <is>
          <t>208005876</t>
        </is>
      </c>
      <c r="C2845" t="inlineStr">
        <is>
          <t>LT.WEIGHT WINDSLICKER</t>
        </is>
      </c>
      <c r="D2845" t="inlineStr">
        <is>
          <t>SFB</t>
        </is>
      </c>
      <c r="E2845" t="inlineStr">
        <is>
          <t>(en blanco)</t>
        </is>
      </c>
      <c r="F2845" t="inlineStr">
        <is>
          <t>D2C</t>
        </is>
      </c>
      <c r="G2845" t="inlineStr">
        <is>
          <t>L</t>
        </is>
      </c>
      <c r="H2845" t="n">
        <v>15</v>
      </c>
      <c r="I2845" t="inlineStr">
        <is>
          <t>NAUTICA_MENS_208005876_SFB_1.jpg</t>
        </is>
      </c>
      <c r="J2845" t="inlineStr">
        <is>
          <t>NAUTICA_MENS_208005876_SFB_2.jpg</t>
        </is>
      </c>
      <c r="K2845" t="inlineStr">
        <is>
          <t>NAUTICA_MENS_208005876_SFB_3.jpg</t>
        </is>
      </c>
      <c r="L2845">
        <f>IMAGE("file:///E:/Estudios%20y%20certificaciones/ESTUDIOS%20DE%20PROGRAMMING/PROGRAMMING/PERSONAL/PYTHON/Image_Generator_API/imagenes/NAUTICA_MENS_208005876_SFB_1.jpg")</f>
        <v/>
      </c>
      <c r="M2845">
        <f>IMAGE("file:///E:/Estudios%20y%20certificaciones/ESTUDIOS%20DE%20PROGRAMMING/PROGRAMMING/PERSONAL/PYTHON/Image_Generator_API/imagenes/NAUTICA_MENS_208005876_SFB_2.jpg")</f>
        <v/>
      </c>
      <c r="N2845">
        <f>IMAGE("file:///E:/Estudios%20y%20certificaciones/ESTUDIOS%20DE%20PROGRAMMING/PROGRAMMING/PERSONAL/PYTHON/Image_Generator_API/imagenes/NAUTICA_MENS_208005876_SFB_3.jpg")</f>
        <v/>
      </c>
      <c r="O2845">
        <f>HYPERLINK("imagenes/NAUTICA_MENS_208005876_SFB_1.jpg","Ver imagen")</f>
        <v/>
      </c>
      <c r="P2845">
        <f>HYPERLINK("imagenes/NAUTICA_MENS_208005876_SFB_2.jpg","Ver imagen")</f>
        <v/>
      </c>
      <c r="Q2845">
        <f>HYPERLINK("imagenes/NAUTICA_MENS_208005876_SFB_3.jpg","Ver imagen")</f>
        <v/>
      </c>
    </row>
    <row r="2846">
      <c r="A2846" t="inlineStr">
        <is>
          <t>NAUTICA MENS</t>
        </is>
      </c>
      <c r="B2846" t="inlineStr">
        <is>
          <t>208005876</t>
        </is>
      </c>
      <c r="C2846" t="inlineStr">
        <is>
          <t>LT.WEIGHT WINDSLICKER</t>
        </is>
      </c>
      <c r="D2846" t="inlineStr">
        <is>
          <t>SFB</t>
        </is>
      </c>
      <c r="E2846" t="inlineStr">
        <is>
          <t>(en blanco)</t>
        </is>
      </c>
      <c r="F2846" t="inlineStr">
        <is>
          <t>D2C</t>
        </is>
      </c>
      <c r="G2846" t="inlineStr">
        <is>
          <t>XL</t>
        </is>
      </c>
      <c r="H2846" t="n">
        <v>9</v>
      </c>
      <c r="I2846" t="inlineStr">
        <is>
          <t>NAUTICA_MENS_208005876_SFB_1.jpg</t>
        </is>
      </c>
      <c r="J2846" t="inlineStr">
        <is>
          <t>NAUTICA_MENS_208005876_SFB_2.jpg</t>
        </is>
      </c>
      <c r="K2846" t="inlineStr">
        <is>
          <t>NAUTICA_MENS_208005876_SFB_3.jpg</t>
        </is>
      </c>
      <c r="L2846">
        <f>IMAGE("file:///E:/Estudios%20y%20certificaciones/ESTUDIOS%20DE%20PROGRAMMING/PROGRAMMING/PERSONAL/PYTHON/Image_Generator_API/imagenes/NAUTICA_MENS_208005876_SFB_1.jpg")</f>
        <v/>
      </c>
      <c r="M2846">
        <f>IMAGE("file:///E:/Estudios%20y%20certificaciones/ESTUDIOS%20DE%20PROGRAMMING/PROGRAMMING/PERSONAL/PYTHON/Image_Generator_API/imagenes/NAUTICA_MENS_208005876_SFB_2.jpg")</f>
        <v/>
      </c>
      <c r="N2846">
        <f>IMAGE("file:///E:/Estudios%20y%20certificaciones/ESTUDIOS%20DE%20PROGRAMMING/PROGRAMMING/PERSONAL/PYTHON/Image_Generator_API/imagenes/NAUTICA_MENS_208005876_SFB_3.jpg")</f>
        <v/>
      </c>
      <c r="O2846">
        <f>HYPERLINK("imagenes/NAUTICA_MENS_208005876_SFB_1.jpg","Ver imagen")</f>
        <v/>
      </c>
      <c r="P2846">
        <f>HYPERLINK("imagenes/NAUTICA_MENS_208005876_SFB_2.jpg","Ver imagen")</f>
        <v/>
      </c>
      <c r="Q2846">
        <f>HYPERLINK("imagenes/NAUTICA_MENS_208005876_SFB_3.jpg","Ver imagen")</f>
        <v/>
      </c>
    </row>
    <row r="2847">
      <c r="A2847" t="inlineStr">
        <is>
          <t>NAUTICA MENS</t>
        </is>
      </c>
      <c r="B2847" t="inlineStr">
        <is>
          <t>208005876</t>
        </is>
      </c>
      <c r="C2847" t="inlineStr">
        <is>
          <t>LT.WEIGHT WINDSLICKER</t>
        </is>
      </c>
      <c r="D2847" t="inlineStr">
        <is>
          <t>SFB</t>
        </is>
      </c>
      <c r="E2847" t="inlineStr">
        <is>
          <t>(en blanco)</t>
        </is>
      </c>
      <c r="F2847" t="inlineStr">
        <is>
          <t>D2C</t>
        </is>
      </c>
      <c r="G2847" t="inlineStr">
        <is>
          <t>XXL</t>
        </is>
      </c>
      <c r="H2847" t="n">
        <v>4</v>
      </c>
      <c r="I2847" t="inlineStr">
        <is>
          <t>NAUTICA_MENS_208005876_SFB_1.jpg</t>
        </is>
      </c>
      <c r="J2847" t="inlineStr">
        <is>
          <t>NAUTICA_MENS_208005876_SFB_2.jpg</t>
        </is>
      </c>
      <c r="K2847" t="inlineStr">
        <is>
          <t>NAUTICA_MENS_208005876_SFB_3.jpg</t>
        </is>
      </c>
      <c r="L2847">
        <f>IMAGE("file:///E:/Estudios%20y%20certificaciones/ESTUDIOS%20DE%20PROGRAMMING/PROGRAMMING/PERSONAL/PYTHON/Image_Generator_API/imagenes/NAUTICA_MENS_208005876_SFB_1.jpg")</f>
        <v/>
      </c>
      <c r="M2847">
        <f>IMAGE("file:///E:/Estudios%20y%20certificaciones/ESTUDIOS%20DE%20PROGRAMMING/PROGRAMMING/PERSONAL/PYTHON/Image_Generator_API/imagenes/NAUTICA_MENS_208005876_SFB_2.jpg")</f>
        <v/>
      </c>
      <c r="N2847">
        <f>IMAGE("file:///E:/Estudios%20y%20certificaciones/ESTUDIOS%20DE%20PROGRAMMING/PROGRAMMING/PERSONAL/PYTHON/Image_Generator_API/imagenes/NAUTICA_MENS_208005876_SFB_3.jpg")</f>
        <v/>
      </c>
      <c r="O2847">
        <f>HYPERLINK("imagenes/NAUTICA_MENS_208005876_SFB_1.jpg","Ver imagen")</f>
        <v/>
      </c>
      <c r="P2847">
        <f>HYPERLINK("imagenes/NAUTICA_MENS_208005876_SFB_2.jpg","Ver imagen")</f>
        <v/>
      </c>
      <c r="Q2847">
        <f>HYPERLINK("imagenes/NAUTICA_MENS_208005876_SFB_3.jpg","Ver imagen")</f>
        <v/>
      </c>
    </row>
    <row r="2848">
      <c r="A2848" t="inlineStr">
        <is>
          <t>NAUTICA MENS</t>
        </is>
      </c>
      <c r="B2848" t="inlineStr">
        <is>
          <t>208005876</t>
        </is>
      </c>
      <c r="C2848" t="inlineStr">
        <is>
          <t>LT.WEIGHT WINDSLICKER</t>
        </is>
      </c>
      <c r="D2848" t="inlineStr">
        <is>
          <t>SFB</t>
        </is>
      </c>
      <c r="E2848" t="inlineStr">
        <is>
          <t>(en blanco)</t>
        </is>
      </c>
      <c r="F2848" t="inlineStr">
        <is>
          <t>M1155</t>
        </is>
      </c>
      <c r="G2848" t="inlineStr">
        <is>
          <t>S</t>
        </is>
      </c>
      <c r="H2848" t="n">
        <v>0</v>
      </c>
      <c r="I2848" t="inlineStr">
        <is>
          <t>NAUTICA_MENS_208005876_SFB_1.jpg</t>
        </is>
      </c>
      <c r="J2848" t="inlineStr">
        <is>
          <t>NAUTICA_MENS_208005876_SFB_2.jpg</t>
        </is>
      </c>
      <c r="K2848" t="inlineStr">
        <is>
          <t>NAUTICA_MENS_208005876_SFB_3.jpg</t>
        </is>
      </c>
      <c r="L2848">
        <f>IMAGE("file:///E:/Estudios%20y%20certificaciones/ESTUDIOS%20DE%20PROGRAMMING/PROGRAMMING/PERSONAL/PYTHON/Image_Generator_API/imagenes/NAUTICA_MENS_208005876_SFB_1.jpg")</f>
        <v/>
      </c>
      <c r="M2848">
        <f>IMAGE("file:///E:/Estudios%20y%20certificaciones/ESTUDIOS%20DE%20PROGRAMMING/PROGRAMMING/PERSONAL/PYTHON/Image_Generator_API/imagenes/NAUTICA_MENS_208005876_SFB_2.jpg")</f>
        <v/>
      </c>
      <c r="N2848">
        <f>IMAGE("file:///E:/Estudios%20y%20certificaciones/ESTUDIOS%20DE%20PROGRAMMING/PROGRAMMING/PERSONAL/PYTHON/Image_Generator_API/imagenes/NAUTICA_MENS_208005876_SFB_3.jpg")</f>
        <v/>
      </c>
      <c r="O2848">
        <f>HYPERLINK("imagenes/NAUTICA_MENS_208005876_SFB_1.jpg","Ver imagen")</f>
        <v/>
      </c>
      <c r="P2848">
        <f>HYPERLINK("imagenes/NAUTICA_MENS_208005876_SFB_2.jpg","Ver imagen")</f>
        <v/>
      </c>
      <c r="Q2848">
        <f>HYPERLINK("imagenes/NAUTICA_MENS_208005876_SFB_3.jpg","Ver imagen")</f>
        <v/>
      </c>
    </row>
    <row r="2849">
      <c r="A2849" t="inlineStr">
        <is>
          <t>NAUTICA MENS</t>
        </is>
      </c>
      <c r="B2849" t="inlineStr">
        <is>
          <t>208005876</t>
        </is>
      </c>
      <c r="C2849" t="inlineStr">
        <is>
          <t>LT.WEIGHT WINDSLICKER</t>
        </is>
      </c>
      <c r="D2849" t="inlineStr">
        <is>
          <t>SFB</t>
        </is>
      </c>
      <c r="E2849" t="inlineStr">
        <is>
          <t>(en blanco)</t>
        </is>
      </c>
      <c r="F2849" t="inlineStr">
        <is>
          <t>M1155</t>
        </is>
      </c>
      <c r="G2849" t="inlineStr">
        <is>
          <t>L</t>
        </is>
      </c>
      <c r="H2849" t="n">
        <v>0</v>
      </c>
      <c r="I2849" t="inlineStr">
        <is>
          <t>NAUTICA_MENS_208005876_SFB_1.jpg</t>
        </is>
      </c>
      <c r="J2849" t="inlineStr">
        <is>
          <t>NAUTICA_MENS_208005876_SFB_2.jpg</t>
        </is>
      </c>
      <c r="K2849" t="inlineStr">
        <is>
          <t>NAUTICA_MENS_208005876_SFB_3.jpg</t>
        </is>
      </c>
      <c r="L2849">
        <f>IMAGE("file:///E:/Estudios%20y%20certificaciones/ESTUDIOS%20DE%20PROGRAMMING/PROGRAMMING/PERSONAL/PYTHON/Image_Generator_API/imagenes/NAUTICA_MENS_208005876_SFB_1.jpg")</f>
        <v/>
      </c>
      <c r="M2849">
        <f>IMAGE("file:///E:/Estudios%20y%20certificaciones/ESTUDIOS%20DE%20PROGRAMMING/PROGRAMMING/PERSONAL/PYTHON/Image_Generator_API/imagenes/NAUTICA_MENS_208005876_SFB_2.jpg")</f>
        <v/>
      </c>
      <c r="N2849">
        <f>IMAGE("file:///E:/Estudios%20y%20certificaciones/ESTUDIOS%20DE%20PROGRAMMING/PROGRAMMING/PERSONAL/PYTHON/Image_Generator_API/imagenes/NAUTICA_MENS_208005876_SFB_3.jpg")</f>
        <v/>
      </c>
      <c r="O2849">
        <f>HYPERLINK("imagenes/NAUTICA_MENS_208005876_SFB_1.jpg","Ver imagen")</f>
        <v/>
      </c>
      <c r="P2849">
        <f>HYPERLINK("imagenes/NAUTICA_MENS_208005876_SFB_2.jpg","Ver imagen")</f>
        <v/>
      </c>
      <c r="Q2849">
        <f>HYPERLINK("imagenes/NAUTICA_MENS_208005876_SFB_3.jpg","Ver imagen")</f>
        <v/>
      </c>
    </row>
    <row r="2850">
      <c r="A2850" t="inlineStr">
        <is>
          <t>NAUTICA MENS</t>
        </is>
      </c>
      <c r="B2850" t="inlineStr">
        <is>
          <t>208005876</t>
        </is>
      </c>
      <c r="C2850" t="inlineStr">
        <is>
          <t>LT.WEIGHT WINDSLICKER</t>
        </is>
      </c>
      <c r="D2850" t="inlineStr">
        <is>
          <t>SFB</t>
        </is>
      </c>
      <c r="E2850" t="inlineStr">
        <is>
          <t>(en blanco)</t>
        </is>
      </c>
      <c r="F2850" t="inlineStr">
        <is>
          <t>(en blanco)</t>
        </is>
      </c>
      <c r="G2850" t="inlineStr">
        <is>
          <t>S</t>
        </is>
      </c>
      <c r="H2850" t="n">
        <v>3</v>
      </c>
      <c r="I2850" t="inlineStr">
        <is>
          <t>NAUTICA_MENS_208005876_SFB_1.jpg</t>
        </is>
      </c>
      <c r="J2850" t="inlineStr">
        <is>
          <t>NAUTICA_MENS_208005876_SFB_2.jpg</t>
        </is>
      </c>
      <c r="K2850" t="inlineStr">
        <is>
          <t>NAUTICA_MENS_208005876_SFB_3.jpg</t>
        </is>
      </c>
      <c r="L2850">
        <f>IMAGE("file:///E:/Estudios%20y%20certificaciones/ESTUDIOS%20DE%20PROGRAMMING/PROGRAMMING/PERSONAL/PYTHON/Image_Generator_API/imagenes/NAUTICA_MENS_208005876_SFB_1.jpg")</f>
        <v/>
      </c>
      <c r="M2850">
        <f>IMAGE("file:///E:/Estudios%20y%20certificaciones/ESTUDIOS%20DE%20PROGRAMMING/PROGRAMMING/PERSONAL/PYTHON/Image_Generator_API/imagenes/NAUTICA_MENS_208005876_SFB_2.jpg")</f>
        <v/>
      </c>
      <c r="N2850">
        <f>IMAGE("file:///E:/Estudios%20y%20certificaciones/ESTUDIOS%20DE%20PROGRAMMING/PROGRAMMING/PERSONAL/PYTHON/Image_Generator_API/imagenes/NAUTICA_MENS_208005876_SFB_3.jpg")</f>
        <v/>
      </c>
      <c r="O2850">
        <f>HYPERLINK("imagenes/NAUTICA_MENS_208005876_SFB_1.jpg","Ver imagen")</f>
        <v/>
      </c>
      <c r="P2850">
        <f>HYPERLINK("imagenes/NAUTICA_MENS_208005876_SFB_2.jpg","Ver imagen")</f>
        <v/>
      </c>
      <c r="Q2850">
        <f>HYPERLINK("imagenes/NAUTICA_MENS_208005876_SFB_3.jpg","Ver imagen")</f>
        <v/>
      </c>
    </row>
    <row r="2851">
      <c r="A2851" t="inlineStr">
        <is>
          <t>NAUTICA MENS</t>
        </is>
      </c>
      <c r="B2851" t="inlineStr">
        <is>
          <t>208005876</t>
        </is>
      </c>
      <c r="C2851" t="inlineStr">
        <is>
          <t>LT.WEIGHT WINDSLICKER</t>
        </is>
      </c>
      <c r="D2851" t="inlineStr">
        <is>
          <t>SFB</t>
        </is>
      </c>
      <c r="E2851" t="inlineStr">
        <is>
          <t>(en blanco)</t>
        </is>
      </c>
      <c r="F2851" t="inlineStr">
        <is>
          <t>(en blanco)</t>
        </is>
      </c>
      <c r="G2851" t="inlineStr">
        <is>
          <t>M</t>
        </is>
      </c>
      <c r="H2851" t="n">
        <v>3</v>
      </c>
      <c r="I2851" t="inlineStr">
        <is>
          <t>NAUTICA_MENS_208005876_SFB_1.jpg</t>
        </is>
      </c>
      <c r="J2851" t="inlineStr">
        <is>
          <t>NAUTICA_MENS_208005876_SFB_2.jpg</t>
        </is>
      </c>
      <c r="K2851" t="inlineStr">
        <is>
          <t>NAUTICA_MENS_208005876_SFB_3.jpg</t>
        </is>
      </c>
      <c r="L2851">
        <f>IMAGE("file:///E:/Estudios%20y%20certificaciones/ESTUDIOS%20DE%20PROGRAMMING/PROGRAMMING/PERSONAL/PYTHON/Image_Generator_API/imagenes/NAUTICA_MENS_208005876_SFB_1.jpg")</f>
        <v/>
      </c>
      <c r="M2851">
        <f>IMAGE("file:///E:/Estudios%20y%20certificaciones/ESTUDIOS%20DE%20PROGRAMMING/PROGRAMMING/PERSONAL/PYTHON/Image_Generator_API/imagenes/NAUTICA_MENS_208005876_SFB_2.jpg")</f>
        <v/>
      </c>
      <c r="N2851">
        <f>IMAGE("file:///E:/Estudios%20y%20certificaciones/ESTUDIOS%20DE%20PROGRAMMING/PROGRAMMING/PERSONAL/PYTHON/Image_Generator_API/imagenes/NAUTICA_MENS_208005876_SFB_3.jpg")</f>
        <v/>
      </c>
      <c r="O2851">
        <f>HYPERLINK("imagenes/NAUTICA_MENS_208005876_SFB_1.jpg","Ver imagen")</f>
        <v/>
      </c>
      <c r="P2851">
        <f>HYPERLINK("imagenes/NAUTICA_MENS_208005876_SFB_2.jpg","Ver imagen")</f>
        <v/>
      </c>
      <c r="Q2851">
        <f>HYPERLINK("imagenes/NAUTICA_MENS_208005876_SFB_3.jpg","Ver imagen")</f>
        <v/>
      </c>
    </row>
    <row r="2852">
      <c r="A2852" t="inlineStr">
        <is>
          <t>NAUTICA MENS</t>
        </is>
      </c>
      <c r="B2852" t="inlineStr">
        <is>
          <t>208005876</t>
        </is>
      </c>
      <c r="C2852" t="inlineStr">
        <is>
          <t>LT.WEIGHT WINDSLICKER</t>
        </is>
      </c>
      <c r="D2852" t="inlineStr">
        <is>
          <t>SFB</t>
        </is>
      </c>
      <c r="E2852" t="inlineStr">
        <is>
          <t>(en blanco)</t>
        </is>
      </c>
      <c r="F2852" t="inlineStr">
        <is>
          <t>(en blanco)</t>
        </is>
      </c>
      <c r="G2852" t="inlineStr">
        <is>
          <t>L</t>
        </is>
      </c>
      <c r="H2852" t="n">
        <v>1</v>
      </c>
      <c r="I2852" t="inlineStr">
        <is>
          <t>NAUTICA_MENS_208005876_SFB_1.jpg</t>
        </is>
      </c>
      <c r="J2852" t="inlineStr">
        <is>
          <t>NAUTICA_MENS_208005876_SFB_2.jpg</t>
        </is>
      </c>
      <c r="K2852" t="inlineStr">
        <is>
          <t>NAUTICA_MENS_208005876_SFB_3.jpg</t>
        </is>
      </c>
      <c r="L2852">
        <f>IMAGE("file:///E:/Estudios%20y%20certificaciones/ESTUDIOS%20DE%20PROGRAMMING/PROGRAMMING/PERSONAL/PYTHON/Image_Generator_API/imagenes/NAUTICA_MENS_208005876_SFB_1.jpg")</f>
        <v/>
      </c>
      <c r="M2852">
        <f>IMAGE("file:///E:/Estudios%20y%20certificaciones/ESTUDIOS%20DE%20PROGRAMMING/PROGRAMMING/PERSONAL/PYTHON/Image_Generator_API/imagenes/NAUTICA_MENS_208005876_SFB_2.jpg")</f>
        <v/>
      </c>
      <c r="N2852">
        <f>IMAGE("file:///E:/Estudios%20y%20certificaciones/ESTUDIOS%20DE%20PROGRAMMING/PROGRAMMING/PERSONAL/PYTHON/Image_Generator_API/imagenes/NAUTICA_MENS_208005876_SFB_3.jpg")</f>
        <v/>
      </c>
      <c r="O2852">
        <f>HYPERLINK("imagenes/NAUTICA_MENS_208005876_SFB_1.jpg","Ver imagen")</f>
        <v/>
      </c>
      <c r="P2852">
        <f>HYPERLINK("imagenes/NAUTICA_MENS_208005876_SFB_2.jpg","Ver imagen")</f>
        <v/>
      </c>
      <c r="Q2852">
        <f>HYPERLINK("imagenes/NAUTICA_MENS_208005876_SFB_3.jpg","Ver imagen")</f>
        <v/>
      </c>
    </row>
    <row r="2853">
      <c r="A2853" t="inlineStr">
        <is>
          <t>NAUTICA MENS</t>
        </is>
      </c>
      <c r="B2853" t="inlineStr">
        <is>
          <t>208005876</t>
        </is>
      </c>
      <c r="C2853" t="inlineStr">
        <is>
          <t>LT.WEIGHT WINDSLICKER</t>
        </is>
      </c>
      <c r="D2853" t="inlineStr">
        <is>
          <t>SFB</t>
        </is>
      </c>
      <c r="E2853" t="inlineStr">
        <is>
          <t>(en blanco)</t>
        </is>
      </c>
      <c r="F2853" t="inlineStr">
        <is>
          <t>(en blanco)</t>
        </is>
      </c>
      <c r="G2853" t="inlineStr">
        <is>
          <t>XL</t>
        </is>
      </c>
      <c r="H2853" t="n">
        <v>3</v>
      </c>
      <c r="I2853" t="inlineStr">
        <is>
          <t>NAUTICA_MENS_208005876_SFB_1.jpg</t>
        </is>
      </c>
      <c r="J2853" t="inlineStr">
        <is>
          <t>NAUTICA_MENS_208005876_SFB_2.jpg</t>
        </is>
      </c>
      <c r="K2853" t="inlineStr">
        <is>
          <t>NAUTICA_MENS_208005876_SFB_3.jpg</t>
        </is>
      </c>
      <c r="L2853">
        <f>IMAGE("file:///E:/Estudios%20y%20certificaciones/ESTUDIOS%20DE%20PROGRAMMING/PROGRAMMING/PERSONAL/PYTHON/Image_Generator_API/imagenes/NAUTICA_MENS_208005876_SFB_1.jpg")</f>
        <v/>
      </c>
      <c r="M2853">
        <f>IMAGE("file:///E:/Estudios%20y%20certificaciones/ESTUDIOS%20DE%20PROGRAMMING/PROGRAMMING/PERSONAL/PYTHON/Image_Generator_API/imagenes/NAUTICA_MENS_208005876_SFB_2.jpg")</f>
        <v/>
      </c>
      <c r="N2853">
        <f>IMAGE("file:///E:/Estudios%20y%20certificaciones/ESTUDIOS%20DE%20PROGRAMMING/PROGRAMMING/PERSONAL/PYTHON/Image_Generator_API/imagenes/NAUTICA_MENS_208005876_SFB_3.jpg")</f>
        <v/>
      </c>
      <c r="O2853">
        <f>HYPERLINK("imagenes/NAUTICA_MENS_208005876_SFB_1.jpg","Ver imagen")</f>
        <v/>
      </c>
      <c r="P2853">
        <f>HYPERLINK("imagenes/NAUTICA_MENS_208005876_SFB_2.jpg","Ver imagen")</f>
        <v/>
      </c>
      <c r="Q2853">
        <f>HYPERLINK("imagenes/NAUTICA_MENS_208005876_SFB_3.jpg","Ver imagen")</f>
        <v/>
      </c>
    </row>
    <row r="2854">
      <c r="A2854" t="inlineStr">
        <is>
          <t>NAUTICA MENS</t>
        </is>
      </c>
      <c r="B2854" t="inlineStr">
        <is>
          <t>208005876</t>
        </is>
      </c>
      <c r="C2854" t="inlineStr">
        <is>
          <t>LT.WEIGHT WINDSLICKER</t>
        </is>
      </c>
      <c r="D2854" t="inlineStr">
        <is>
          <t>SFB</t>
        </is>
      </c>
      <c r="E2854" t="inlineStr">
        <is>
          <t>(en blanco)</t>
        </is>
      </c>
      <c r="F2854" t="inlineStr">
        <is>
          <t>(en blanco)</t>
        </is>
      </c>
      <c r="G2854" t="inlineStr">
        <is>
          <t>XXL</t>
        </is>
      </c>
      <c r="H2854" t="n">
        <v>1</v>
      </c>
      <c r="I2854" t="inlineStr">
        <is>
          <t>NAUTICA_MENS_208005876_SFB_1.jpg</t>
        </is>
      </c>
      <c r="J2854" t="inlineStr">
        <is>
          <t>NAUTICA_MENS_208005876_SFB_2.jpg</t>
        </is>
      </c>
      <c r="K2854" t="inlineStr">
        <is>
          <t>NAUTICA_MENS_208005876_SFB_3.jpg</t>
        </is>
      </c>
      <c r="L2854">
        <f>IMAGE("file:///E:/Estudios%20y%20certificaciones/ESTUDIOS%20DE%20PROGRAMMING/PROGRAMMING/PERSONAL/PYTHON/Image_Generator_API/imagenes/NAUTICA_MENS_208005876_SFB_1.jpg")</f>
        <v/>
      </c>
      <c r="M2854">
        <f>IMAGE("file:///E:/Estudios%20y%20certificaciones/ESTUDIOS%20DE%20PROGRAMMING/PROGRAMMING/PERSONAL/PYTHON/Image_Generator_API/imagenes/NAUTICA_MENS_208005876_SFB_2.jpg")</f>
        <v/>
      </c>
      <c r="N2854">
        <f>IMAGE("file:///E:/Estudios%20y%20certificaciones/ESTUDIOS%20DE%20PROGRAMMING/PROGRAMMING/PERSONAL/PYTHON/Image_Generator_API/imagenes/NAUTICA_MENS_208005876_SFB_3.jpg")</f>
        <v/>
      </c>
      <c r="O2854">
        <f>HYPERLINK("imagenes/NAUTICA_MENS_208005876_SFB_1.jpg","Ver imagen")</f>
        <v/>
      </c>
      <c r="P2854">
        <f>HYPERLINK("imagenes/NAUTICA_MENS_208005876_SFB_2.jpg","Ver imagen")</f>
        <v/>
      </c>
      <c r="Q2854">
        <f>HYPERLINK("imagenes/NAUTICA_MENS_208005876_SFB_3.jpg","Ver imagen")</f>
        <v/>
      </c>
    </row>
    <row r="2855">
      <c r="A2855" t="inlineStr">
        <is>
          <t>NAUTICA MENS</t>
        </is>
      </c>
      <c r="B2855" t="inlineStr">
        <is>
          <t>208007574</t>
        </is>
      </c>
      <c r="C2855" t="inlineStr">
        <is>
          <t>SHIRT COLLAR HERITAGE JACKET</t>
        </is>
      </c>
      <c r="D2855" t="inlineStr">
        <is>
          <t>BLK</t>
        </is>
      </c>
      <c r="E2855" t="inlineStr">
        <is>
          <t>(en blanco)</t>
        </is>
      </c>
      <c r="F2855" t="inlineStr">
        <is>
          <t>D2C</t>
        </is>
      </c>
      <c r="G2855" t="inlineStr">
        <is>
          <t>S</t>
        </is>
      </c>
      <c r="H2855" t="n">
        <v>19</v>
      </c>
      <c r="I2855" t="inlineStr">
        <is>
          <t>NAUTICA_MENS_208007574_BLK_1.jpg</t>
        </is>
      </c>
      <c r="J2855" t="inlineStr">
        <is>
          <t>NAUTICA_MENS_208007574_BLK_2.jpg</t>
        </is>
      </c>
      <c r="K2855" t="inlineStr">
        <is>
          <t>NAUTICA_MENS_208007574_BLK_3.jpg</t>
        </is>
      </c>
      <c r="L2855">
        <f>IMAGE("file:///E:/Estudios%20y%20certificaciones/ESTUDIOS%20DE%20PROGRAMMING/PROGRAMMING/PERSONAL/PYTHON/Image_Generator_API/imagenes/NAUTICA_MENS_208007574_BLK_1.jpg")</f>
        <v/>
      </c>
      <c r="M2855">
        <f>IMAGE("file:///E:/Estudios%20y%20certificaciones/ESTUDIOS%20DE%20PROGRAMMING/PROGRAMMING/PERSONAL/PYTHON/Image_Generator_API/imagenes/NAUTICA_MENS_208007574_BLK_2.jpg")</f>
        <v/>
      </c>
      <c r="N2855">
        <f>IMAGE("file:///E:/Estudios%20y%20certificaciones/ESTUDIOS%20DE%20PROGRAMMING/PROGRAMMING/PERSONAL/PYTHON/Image_Generator_API/imagenes/NAUTICA_MENS_208007574_BLK_3.jpg")</f>
        <v/>
      </c>
      <c r="O2855">
        <f>HYPERLINK("imagenes/NAUTICA_MENS_208007574_BLK_1.jpg","Ver imagen")</f>
        <v/>
      </c>
      <c r="P2855">
        <f>HYPERLINK("imagenes/NAUTICA_MENS_208007574_BLK_2.jpg","Ver imagen")</f>
        <v/>
      </c>
      <c r="Q2855">
        <f>HYPERLINK("imagenes/NAUTICA_MENS_208007574_BLK_3.jpg","Ver imagen")</f>
        <v/>
      </c>
    </row>
    <row r="2856">
      <c r="A2856" t="inlineStr">
        <is>
          <t>NAUTICA MENS</t>
        </is>
      </c>
      <c r="B2856" t="inlineStr">
        <is>
          <t>208007574</t>
        </is>
      </c>
      <c r="C2856" t="inlineStr">
        <is>
          <t>SHIRT COLLAR HERITAGE JACKET</t>
        </is>
      </c>
      <c r="D2856" t="inlineStr">
        <is>
          <t>BLK</t>
        </is>
      </c>
      <c r="E2856" t="inlineStr">
        <is>
          <t>(en blanco)</t>
        </is>
      </c>
      <c r="F2856" t="inlineStr">
        <is>
          <t>D2C</t>
        </is>
      </c>
      <c r="G2856" t="inlineStr">
        <is>
          <t>M</t>
        </is>
      </c>
      <c r="H2856" t="n">
        <v>17</v>
      </c>
      <c r="I2856" t="inlineStr">
        <is>
          <t>NAUTICA_MENS_208007574_BLK_1.jpg</t>
        </is>
      </c>
      <c r="J2856" t="inlineStr">
        <is>
          <t>NAUTICA_MENS_208007574_BLK_2.jpg</t>
        </is>
      </c>
      <c r="K2856" t="inlineStr">
        <is>
          <t>NAUTICA_MENS_208007574_BLK_3.jpg</t>
        </is>
      </c>
      <c r="L2856">
        <f>IMAGE("file:///E:/Estudios%20y%20certificaciones/ESTUDIOS%20DE%20PROGRAMMING/PROGRAMMING/PERSONAL/PYTHON/Image_Generator_API/imagenes/NAUTICA_MENS_208007574_BLK_1.jpg")</f>
        <v/>
      </c>
      <c r="M2856">
        <f>IMAGE("file:///E:/Estudios%20y%20certificaciones/ESTUDIOS%20DE%20PROGRAMMING/PROGRAMMING/PERSONAL/PYTHON/Image_Generator_API/imagenes/NAUTICA_MENS_208007574_BLK_2.jpg")</f>
        <v/>
      </c>
      <c r="N2856">
        <f>IMAGE("file:///E:/Estudios%20y%20certificaciones/ESTUDIOS%20DE%20PROGRAMMING/PROGRAMMING/PERSONAL/PYTHON/Image_Generator_API/imagenes/NAUTICA_MENS_208007574_BLK_3.jpg")</f>
        <v/>
      </c>
      <c r="O2856">
        <f>HYPERLINK("imagenes/NAUTICA_MENS_208007574_BLK_1.jpg","Ver imagen")</f>
        <v/>
      </c>
      <c r="P2856">
        <f>HYPERLINK("imagenes/NAUTICA_MENS_208007574_BLK_2.jpg","Ver imagen")</f>
        <v/>
      </c>
      <c r="Q2856">
        <f>HYPERLINK("imagenes/NAUTICA_MENS_208007574_BLK_3.jpg","Ver imagen")</f>
        <v/>
      </c>
    </row>
    <row r="2857">
      <c r="A2857" t="inlineStr">
        <is>
          <t>NAUTICA MENS</t>
        </is>
      </c>
      <c r="B2857" t="inlineStr">
        <is>
          <t>208007574</t>
        </is>
      </c>
      <c r="C2857" t="inlineStr">
        <is>
          <t>SHIRT COLLAR HERITAGE JACKET</t>
        </is>
      </c>
      <c r="D2857" t="inlineStr">
        <is>
          <t>BLK</t>
        </is>
      </c>
      <c r="E2857" t="inlineStr">
        <is>
          <t>(en blanco)</t>
        </is>
      </c>
      <c r="F2857" t="inlineStr">
        <is>
          <t>D2C</t>
        </is>
      </c>
      <c r="G2857" t="inlineStr">
        <is>
          <t>L</t>
        </is>
      </c>
      <c r="H2857" t="n">
        <v>20</v>
      </c>
      <c r="I2857" t="inlineStr">
        <is>
          <t>NAUTICA_MENS_208007574_BLK_1.jpg</t>
        </is>
      </c>
      <c r="J2857" t="inlineStr">
        <is>
          <t>NAUTICA_MENS_208007574_BLK_2.jpg</t>
        </is>
      </c>
      <c r="K2857" t="inlineStr">
        <is>
          <t>NAUTICA_MENS_208007574_BLK_3.jpg</t>
        </is>
      </c>
      <c r="L2857">
        <f>IMAGE("file:///E:/Estudios%20y%20certificaciones/ESTUDIOS%20DE%20PROGRAMMING/PROGRAMMING/PERSONAL/PYTHON/Image_Generator_API/imagenes/NAUTICA_MENS_208007574_BLK_1.jpg")</f>
        <v/>
      </c>
      <c r="M2857">
        <f>IMAGE("file:///E:/Estudios%20y%20certificaciones/ESTUDIOS%20DE%20PROGRAMMING/PROGRAMMING/PERSONAL/PYTHON/Image_Generator_API/imagenes/NAUTICA_MENS_208007574_BLK_2.jpg")</f>
        <v/>
      </c>
      <c r="N2857">
        <f>IMAGE("file:///E:/Estudios%20y%20certificaciones/ESTUDIOS%20DE%20PROGRAMMING/PROGRAMMING/PERSONAL/PYTHON/Image_Generator_API/imagenes/NAUTICA_MENS_208007574_BLK_3.jpg")</f>
        <v/>
      </c>
      <c r="O2857">
        <f>HYPERLINK("imagenes/NAUTICA_MENS_208007574_BLK_1.jpg","Ver imagen")</f>
        <v/>
      </c>
      <c r="P2857">
        <f>HYPERLINK("imagenes/NAUTICA_MENS_208007574_BLK_2.jpg","Ver imagen")</f>
        <v/>
      </c>
      <c r="Q2857">
        <f>HYPERLINK("imagenes/NAUTICA_MENS_208007574_BLK_3.jpg","Ver imagen")</f>
        <v/>
      </c>
    </row>
    <row r="2858">
      <c r="A2858" t="inlineStr">
        <is>
          <t>NAUTICA MENS</t>
        </is>
      </c>
      <c r="B2858" t="inlineStr">
        <is>
          <t>208007574</t>
        </is>
      </c>
      <c r="C2858" t="inlineStr">
        <is>
          <t>SHIRT COLLAR HERITAGE JACKET</t>
        </is>
      </c>
      <c r="D2858" t="inlineStr">
        <is>
          <t>BLK</t>
        </is>
      </c>
      <c r="E2858" t="inlineStr">
        <is>
          <t>(en blanco)</t>
        </is>
      </c>
      <c r="F2858" t="inlineStr">
        <is>
          <t>D2C</t>
        </is>
      </c>
      <c r="G2858" t="inlineStr">
        <is>
          <t>XL</t>
        </is>
      </c>
      <c r="H2858" t="n">
        <v>18</v>
      </c>
      <c r="I2858" t="inlineStr">
        <is>
          <t>NAUTICA_MENS_208007574_BLK_1.jpg</t>
        </is>
      </c>
      <c r="J2858" t="inlineStr">
        <is>
          <t>NAUTICA_MENS_208007574_BLK_2.jpg</t>
        </is>
      </c>
      <c r="K2858" t="inlineStr">
        <is>
          <t>NAUTICA_MENS_208007574_BLK_3.jpg</t>
        </is>
      </c>
      <c r="L2858">
        <f>IMAGE("file:///E:/Estudios%20y%20certificaciones/ESTUDIOS%20DE%20PROGRAMMING/PROGRAMMING/PERSONAL/PYTHON/Image_Generator_API/imagenes/NAUTICA_MENS_208007574_BLK_1.jpg")</f>
        <v/>
      </c>
      <c r="M2858">
        <f>IMAGE("file:///E:/Estudios%20y%20certificaciones/ESTUDIOS%20DE%20PROGRAMMING/PROGRAMMING/PERSONAL/PYTHON/Image_Generator_API/imagenes/NAUTICA_MENS_208007574_BLK_2.jpg")</f>
        <v/>
      </c>
      <c r="N2858">
        <f>IMAGE("file:///E:/Estudios%20y%20certificaciones/ESTUDIOS%20DE%20PROGRAMMING/PROGRAMMING/PERSONAL/PYTHON/Image_Generator_API/imagenes/NAUTICA_MENS_208007574_BLK_3.jpg")</f>
        <v/>
      </c>
      <c r="O2858">
        <f>HYPERLINK("imagenes/NAUTICA_MENS_208007574_BLK_1.jpg","Ver imagen")</f>
        <v/>
      </c>
      <c r="P2858">
        <f>HYPERLINK("imagenes/NAUTICA_MENS_208007574_BLK_2.jpg","Ver imagen")</f>
        <v/>
      </c>
      <c r="Q2858">
        <f>HYPERLINK("imagenes/NAUTICA_MENS_208007574_BLK_3.jpg","Ver imagen")</f>
        <v/>
      </c>
    </row>
    <row r="2859">
      <c r="A2859" t="inlineStr">
        <is>
          <t>NAUTICA MENS</t>
        </is>
      </c>
      <c r="B2859" t="inlineStr">
        <is>
          <t>208007574</t>
        </is>
      </c>
      <c r="C2859" t="inlineStr">
        <is>
          <t>SHIRT COLLAR HERITAGE JACKET</t>
        </is>
      </c>
      <c r="D2859" t="inlineStr">
        <is>
          <t>BLK</t>
        </is>
      </c>
      <c r="E2859" t="inlineStr">
        <is>
          <t>(en blanco)</t>
        </is>
      </c>
      <c r="F2859" t="inlineStr">
        <is>
          <t>D2C</t>
        </is>
      </c>
      <c r="G2859" t="inlineStr">
        <is>
          <t>XXL</t>
        </is>
      </c>
      <c r="H2859" t="n">
        <v>20</v>
      </c>
      <c r="I2859" t="inlineStr">
        <is>
          <t>NAUTICA_MENS_208007574_BLK_1.jpg</t>
        </is>
      </c>
      <c r="J2859" t="inlineStr">
        <is>
          <t>NAUTICA_MENS_208007574_BLK_2.jpg</t>
        </is>
      </c>
      <c r="K2859" t="inlineStr">
        <is>
          <t>NAUTICA_MENS_208007574_BLK_3.jpg</t>
        </is>
      </c>
      <c r="L2859">
        <f>IMAGE("file:///E:/Estudios%20y%20certificaciones/ESTUDIOS%20DE%20PROGRAMMING/PROGRAMMING/PERSONAL/PYTHON/Image_Generator_API/imagenes/NAUTICA_MENS_208007574_BLK_1.jpg")</f>
        <v/>
      </c>
      <c r="M2859">
        <f>IMAGE("file:///E:/Estudios%20y%20certificaciones/ESTUDIOS%20DE%20PROGRAMMING/PROGRAMMING/PERSONAL/PYTHON/Image_Generator_API/imagenes/NAUTICA_MENS_208007574_BLK_2.jpg")</f>
        <v/>
      </c>
      <c r="N2859">
        <f>IMAGE("file:///E:/Estudios%20y%20certificaciones/ESTUDIOS%20DE%20PROGRAMMING/PROGRAMMING/PERSONAL/PYTHON/Image_Generator_API/imagenes/NAUTICA_MENS_208007574_BLK_3.jpg")</f>
        <v/>
      </c>
      <c r="O2859">
        <f>HYPERLINK("imagenes/NAUTICA_MENS_208007574_BLK_1.jpg","Ver imagen")</f>
        <v/>
      </c>
      <c r="P2859">
        <f>HYPERLINK("imagenes/NAUTICA_MENS_208007574_BLK_2.jpg","Ver imagen")</f>
        <v/>
      </c>
      <c r="Q2859">
        <f>HYPERLINK("imagenes/NAUTICA_MENS_208007574_BLK_3.jpg","Ver imagen")</f>
        <v/>
      </c>
    </row>
    <row r="2860">
      <c r="A2860" t="inlineStr">
        <is>
          <t>NAUTICA MENS</t>
        </is>
      </c>
      <c r="B2860" t="inlineStr">
        <is>
          <t>208007574</t>
        </is>
      </c>
      <c r="C2860" t="inlineStr">
        <is>
          <t>SHIRT COLLAR HERITAGE JACKET</t>
        </is>
      </c>
      <c r="D2860" t="inlineStr">
        <is>
          <t>BLK</t>
        </is>
      </c>
      <c r="E2860" t="inlineStr">
        <is>
          <t>(en blanco)</t>
        </is>
      </c>
      <c r="F2860" t="inlineStr">
        <is>
          <t>(en blanco)</t>
        </is>
      </c>
      <c r="G2860" t="inlineStr">
        <is>
          <t>S</t>
        </is>
      </c>
      <c r="H2860" t="n">
        <v>170</v>
      </c>
      <c r="I2860" t="inlineStr">
        <is>
          <t>NAUTICA_MENS_208007574_BLK_1.jpg</t>
        </is>
      </c>
      <c r="J2860" t="inlineStr">
        <is>
          <t>NAUTICA_MENS_208007574_BLK_2.jpg</t>
        </is>
      </c>
      <c r="K2860" t="inlineStr">
        <is>
          <t>NAUTICA_MENS_208007574_BLK_3.jpg</t>
        </is>
      </c>
      <c r="L2860">
        <f>IMAGE("file:///E:/Estudios%20y%20certificaciones/ESTUDIOS%20DE%20PROGRAMMING/PROGRAMMING/PERSONAL/PYTHON/Image_Generator_API/imagenes/NAUTICA_MENS_208007574_BLK_1.jpg")</f>
        <v/>
      </c>
      <c r="M2860">
        <f>IMAGE("file:///E:/Estudios%20y%20certificaciones/ESTUDIOS%20DE%20PROGRAMMING/PROGRAMMING/PERSONAL/PYTHON/Image_Generator_API/imagenes/NAUTICA_MENS_208007574_BLK_2.jpg")</f>
        <v/>
      </c>
      <c r="N2860">
        <f>IMAGE("file:///E:/Estudios%20y%20certificaciones/ESTUDIOS%20DE%20PROGRAMMING/PROGRAMMING/PERSONAL/PYTHON/Image_Generator_API/imagenes/NAUTICA_MENS_208007574_BLK_3.jpg")</f>
        <v/>
      </c>
      <c r="O2860">
        <f>HYPERLINK("imagenes/NAUTICA_MENS_208007574_BLK_1.jpg","Ver imagen")</f>
        <v/>
      </c>
      <c r="P2860">
        <f>HYPERLINK("imagenes/NAUTICA_MENS_208007574_BLK_2.jpg","Ver imagen")</f>
        <v/>
      </c>
      <c r="Q2860">
        <f>HYPERLINK("imagenes/NAUTICA_MENS_208007574_BLK_3.jpg","Ver imagen")</f>
        <v/>
      </c>
    </row>
    <row r="2861">
      <c r="A2861" t="inlineStr">
        <is>
          <t>NAUTICA MENS</t>
        </is>
      </c>
      <c r="B2861" t="inlineStr">
        <is>
          <t>208007574</t>
        </is>
      </c>
      <c r="C2861" t="inlineStr">
        <is>
          <t>SHIRT COLLAR HERITAGE JACKET</t>
        </is>
      </c>
      <c r="D2861" t="inlineStr">
        <is>
          <t>BLK</t>
        </is>
      </c>
      <c r="E2861" t="inlineStr">
        <is>
          <t>(en blanco)</t>
        </is>
      </c>
      <c r="F2861" t="inlineStr">
        <is>
          <t>(en blanco)</t>
        </is>
      </c>
      <c r="G2861" t="inlineStr">
        <is>
          <t>M</t>
        </is>
      </c>
      <c r="H2861" t="n">
        <v>577</v>
      </c>
      <c r="I2861" t="inlineStr">
        <is>
          <t>NAUTICA_MENS_208007574_BLK_1.jpg</t>
        </is>
      </c>
      <c r="J2861" t="inlineStr">
        <is>
          <t>NAUTICA_MENS_208007574_BLK_2.jpg</t>
        </is>
      </c>
      <c r="K2861" t="inlineStr">
        <is>
          <t>NAUTICA_MENS_208007574_BLK_3.jpg</t>
        </is>
      </c>
      <c r="L2861">
        <f>IMAGE("file:///E:/Estudios%20y%20certificaciones/ESTUDIOS%20DE%20PROGRAMMING/PROGRAMMING/PERSONAL/PYTHON/Image_Generator_API/imagenes/NAUTICA_MENS_208007574_BLK_1.jpg")</f>
        <v/>
      </c>
      <c r="M2861">
        <f>IMAGE("file:///E:/Estudios%20y%20certificaciones/ESTUDIOS%20DE%20PROGRAMMING/PROGRAMMING/PERSONAL/PYTHON/Image_Generator_API/imagenes/NAUTICA_MENS_208007574_BLK_2.jpg")</f>
        <v/>
      </c>
      <c r="N2861">
        <f>IMAGE("file:///E:/Estudios%20y%20certificaciones/ESTUDIOS%20DE%20PROGRAMMING/PROGRAMMING/PERSONAL/PYTHON/Image_Generator_API/imagenes/NAUTICA_MENS_208007574_BLK_3.jpg")</f>
        <v/>
      </c>
      <c r="O2861">
        <f>HYPERLINK("imagenes/NAUTICA_MENS_208007574_BLK_1.jpg","Ver imagen")</f>
        <v/>
      </c>
      <c r="P2861">
        <f>HYPERLINK("imagenes/NAUTICA_MENS_208007574_BLK_2.jpg","Ver imagen")</f>
        <v/>
      </c>
      <c r="Q2861">
        <f>HYPERLINK("imagenes/NAUTICA_MENS_208007574_BLK_3.jpg","Ver imagen")</f>
        <v/>
      </c>
    </row>
    <row r="2862">
      <c r="A2862" t="inlineStr">
        <is>
          <t>NAUTICA MENS</t>
        </is>
      </c>
      <c r="B2862" t="inlineStr">
        <is>
          <t>208007574</t>
        </is>
      </c>
      <c r="C2862" t="inlineStr">
        <is>
          <t>SHIRT COLLAR HERITAGE JACKET</t>
        </is>
      </c>
      <c r="D2862" t="inlineStr">
        <is>
          <t>BLK</t>
        </is>
      </c>
      <c r="E2862" t="inlineStr">
        <is>
          <t>(en blanco)</t>
        </is>
      </c>
      <c r="F2862" t="inlineStr">
        <is>
          <t>(en blanco)</t>
        </is>
      </c>
      <c r="G2862" t="inlineStr">
        <is>
          <t>L</t>
        </is>
      </c>
      <c r="H2862" t="n">
        <v>1088</v>
      </c>
      <c r="I2862" t="inlineStr">
        <is>
          <t>NAUTICA_MENS_208007574_BLK_1.jpg</t>
        </is>
      </c>
      <c r="J2862" t="inlineStr">
        <is>
          <t>NAUTICA_MENS_208007574_BLK_2.jpg</t>
        </is>
      </c>
      <c r="K2862" t="inlineStr">
        <is>
          <t>NAUTICA_MENS_208007574_BLK_3.jpg</t>
        </is>
      </c>
      <c r="L2862">
        <f>IMAGE("file:///E:/Estudios%20y%20certificaciones/ESTUDIOS%20DE%20PROGRAMMING/PROGRAMMING/PERSONAL/PYTHON/Image_Generator_API/imagenes/NAUTICA_MENS_208007574_BLK_1.jpg")</f>
        <v/>
      </c>
      <c r="M2862">
        <f>IMAGE("file:///E:/Estudios%20y%20certificaciones/ESTUDIOS%20DE%20PROGRAMMING/PROGRAMMING/PERSONAL/PYTHON/Image_Generator_API/imagenes/NAUTICA_MENS_208007574_BLK_2.jpg")</f>
        <v/>
      </c>
      <c r="N2862">
        <f>IMAGE("file:///E:/Estudios%20y%20certificaciones/ESTUDIOS%20DE%20PROGRAMMING/PROGRAMMING/PERSONAL/PYTHON/Image_Generator_API/imagenes/NAUTICA_MENS_208007574_BLK_3.jpg")</f>
        <v/>
      </c>
      <c r="O2862">
        <f>HYPERLINK("imagenes/NAUTICA_MENS_208007574_BLK_1.jpg","Ver imagen")</f>
        <v/>
      </c>
      <c r="P2862">
        <f>HYPERLINK("imagenes/NAUTICA_MENS_208007574_BLK_2.jpg","Ver imagen")</f>
        <v/>
      </c>
      <c r="Q2862">
        <f>HYPERLINK("imagenes/NAUTICA_MENS_208007574_BLK_3.jpg","Ver imagen")</f>
        <v/>
      </c>
    </row>
    <row r="2863">
      <c r="A2863" t="inlineStr">
        <is>
          <t>NAUTICA MENS</t>
        </is>
      </c>
      <c r="B2863" t="inlineStr">
        <is>
          <t>208007574</t>
        </is>
      </c>
      <c r="C2863" t="inlineStr">
        <is>
          <t>SHIRT COLLAR HERITAGE JACKET</t>
        </is>
      </c>
      <c r="D2863" t="inlineStr">
        <is>
          <t>BLK</t>
        </is>
      </c>
      <c r="E2863" t="inlineStr">
        <is>
          <t>(en blanco)</t>
        </is>
      </c>
      <c r="F2863" t="inlineStr">
        <is>
          <t>(en blanco)</t>
        </is>
      </c>
      <c r="G2863" t="inlineStr">
        <is>
          <t>XL</t>
        </is>
      </c>
      <c r="H2863" t="n">
        <v>986</v>
      </c>
      <c r="I2863" t="inlineStr">
        <is>
          <t>NAUTICA_MENS_208007574_BLK_1.jpg</t>
        </is>
      </c>
      <c r="J2863" t="inlineStr">
        <is>
          <t>NAUTICA_MENS_208007574_BLK_2.jpg</t>
        </is>
      </c>
      <c r="K2863" t="inlineStr">
        <is>
          <t>NAUTICA_MENS_208007574_BLK_3.jpg</t>
        </is>
      </c>
      <c r="L2863">
        <f>IMAGE("file:///E:/Estudios%20y%20certificaciones/ESTUDIOS%20DE%20PROGRAMMING/PROGRAMMING/PERSONAL/PYTHON/Image_Generator_API/imagenes/NAUTICA_MENS_208007574_BLK_1.jpg")</f>
        <v/>
      </c>
      <c r="M2863">
        <f>IMAGE("file:///E:/Estudios%20y%20certificaciones/ESTUDIOS%20DE%20PROGRAMMING/PROGRAMMING/PERSONAL/PYTHON/Image_Generator_API/imagenes/NAUTICA_MENS_208007574_BLK_2.jpg")</f>
        <v/>
      </c>
      <c r="N2863">
        <f>IMAGE("file:///E:/Estudios%20y%20certificaciones/ESTUDIOS%20DE%20PROGRAMMING/PROGRAMMING/PERSONAL/PYTHON/Image_Generator_API/imagenes/NAUTICA_MENS_208007574_BLK_3.jpg")</f>
        <v/>
      </c>
      <c r="O2863">
        <f>HYPERLINK("imagenes/NAUTICA_MENS_208007574_BLK_1.jpg","Ver imagen")</f>
        <v/>
      </c>
      <c r="P2863">
        <f>HYPERLINK("imagenes/NAUTICA_MENS_208007574_BLK_2.jpg","Ver imagen")</f>
        <v/>
      </c>
      <c r="Q2863">
        <f>HYPERLINK("imagenes/NAUTICA_MENS_208007574_BLK_3.jpg","Ver imagen")</f>
        <v/>
      </c>
    </row>
    <row r="2864">
      <c r="A2864" t="inlineStr">
        <is>
          <t>NAUTICA MENS</t>
        </is>
      </c>
      <c r="B2864" t="inlineStr">
        <is>
          <t>208007574</t>
        </is>
      </c>
      <c r="C2864" t="inlineStr">
        <is>
          <t>SHIRT COLLAR HERITAGE JACKET</t>
        </is>
      </c>
      <c r="D2864" t="inlineStr">
        <is>
          <t>BLK</t>
        </is>
      </c>
      <c r="E2864" t="inlineStr">
        <is>
          <t>(en blanco)</t>
        </is>
      </c>
      <c r="F2864" t="inlineStr">
        <is>
          <t>(en blanco)</t>
        </is>
      </c>
      <c r="G2864" t="inlineStr">
        <is>
          <t>XXL</t>
        </is>
      </c>
      <c r="H2864" t="n">
        <v>484</v>
      </c>
      <c r="I2864" t="inlineStr">
        <is>
          <t>NAUTICA_MENS_208007574_BLK_1.jpg</t>
        </is>
      </c>
      <c r="J2864" t="inlineStr">
        <is>
          <t>NAUTICA_MENS_208007574_BLK_2.jpg</t>
        </is>
      </c>
      <c r="K2864" t="inlineStr">
        <is>
          <t>NAUTICA_MENS_208007574_BLK_3.jpg</t>
        </is>
      </c>
      <c r="L2864">
        <f>IMAGE("file:///E:/Estudios%20y%20certificaciones/ESTUDIOS%20DE%20PROGRAMMING/PROGRAMMING/PERSONAL/PYTHON/Image_Generator_API/imagenes/NAUTICA_MENS_208007574_BLK_1.jpg")</f>
        <v/>
      </c>
      <c r="M2864">
        <f>IMAGE("file:///E:/Estudios%20y%20certificaciones/ESTUDIOS%20DE%20PROGRAMMING/PROGRAMMING/PERSONAL/PYTHON/Image_Generator_API/imagenes/NAUTICA_MENS_208007574_BLK_2.jpg")</f>
        <v/>
      </c>
      <c r="N2864">
        <f>IMAGE("file:///E:/Estudios%20y%20certificaciones/ESTUDIOS%20DE%20PROGRAMMING/PROGRAMMING/PERSONAL/PYTHON/Image_Generator_API/imagenes/NAUTICA_MENS_208007574_BLK_3.jpg")</f>
        <v/>
      </c>
      <c r="O2864">
        <f>HYPERLINK("imagenes/NAUTICA_MENS_208007574_BLK_1.jpg","Ver imagen")</f>
        <v/>
      </c>
      <c r="P2864">
        <f>HYPERLINK("imagenes/NAUTICA_MENS_208007574_BLK_2.jpg","Ver imagen")</f>
        <v/>
      </c>
      <c r="Q2864">
        <f>HYPERLINK("imagenes/NAUTICA_MENS_208007574_BLK_3.jpg","Ver imagen")</f>
        <v/>
      </c>
    </row>
    <row r="2865">
      <c r="A2865" t="inlineStr">
        <is>
          <t>NAUTICA MENS</t>
        </is>
      </c>
      <c r="B2865" t="inlineStr">
        <is>
          <t>208007574</t>
        </is>
      </c>
      <c r="C2865" t="inlineStr">
        <is>
          <t>SHIRT COLLAR HERITAGE JACKET</t>
        </is>
      </c>
      <c r="D2865" t="inlineStr">
        <is>
          <t>DFS</t>
        </is>
      </c>
      <c r="E2865" t="inlineStr">
        <is>
          <t>(en blanco)</t>
        </is>
      </c>
      <c r="F2865" t="inlineStr">
        <is>
          <t>D2C</t>
        </is>
      </c>
      <c r="G2865" t="inlineStr">
        <is>
          <t>S</t>
        </is>
      </c>
      <c r="H2865" t="n">
        <v>20</v>
      </c>
      <c r="I2865" t="inlineStr">
        <is>
          <t>NAUTICA_MENS_208007574_DFS_1.jpg</t>
        </is>
      </c>
      <c r="J2865" t="inlineStr">
        <is>
          <t>NAUTICA_MENS_208007574_DFS_2.jpg</t>
        </is>
      </c>
      <c r="K2865" t="inlineStr">
        <is>
          <t>NAUTICA_MENS_208007574_DFS_3.jpg</t>
        </is>
      </c>
      <c r="L2865">
        <f>IMAGE("file:///E:/Estudios%20y%20certificaciones/ESTUDIOS%20DE%20PROGRAMMING/PROGRAMMING/PERSONAL/PYTHON/Image_Generator_API/imagenes/NAUTICA_MENS_208007574_DFS_1.jpg")</f>
        <v/>
      </c>
      <c r="M2865">
        <f>IMAGE("file:///E:/Estudios%20y%20certificaciones/ESTUDIOS%20DE%20PROGRAMMING/PROGRAMMING/PERSONAL/PYTHON/Image_Generator_API/imagenes/NAUTICA_MENS_208007574_DFS_2.jpg")</f>
        <v/>
      </c>
      <c r="N2865">
        <f>IMAGE("file:///E:/Estudios%20y%20certificaciones/ESTUDIOS%20DE%20PROGRAMMING/PROGRAMMING/PERSONAL/PYTHON/Image_Generator_API/imagenes/NAUTICA_MENS_208007574_DFS_3.jpg")</f>
        <v/>
      </c>
      <c r="O2865">
        <f>HYPERLINK("imagenes/NAUTICA_MENS_208007574_DFS_1.jpg","Ver imagen")</f>
        <v/>
      </c>
      <c r="P2865">
        <f>HYPERLINK("imagenes/NAUTICA_MENS_208007574_DFS_2.jpg","Ver imagen")</f>
        <v/>
      </c>
      <c r="Q2865">
        <f>HYPERLINK("imagenes/NAUTICA_MENS_208007574_DFS_3.jpg","Ver imagen")</f>
        <v/>
      </c>
    </row>
    <row r="2866">
      <c r="A2866" t="inlineStr">
        <is>
          <t>NAUTICA MENS</t>
        </is>
      </c>
      <c r="B2866" t="inlineStr">
        <is>
          <t>208007574</t>
        </is>
      </c>
      <c r="C2866" t="inlineStr">
        <is>
          <t>SHIRT COLLAR HERITAGE JACKET</t>
        </is>
      </c>
      <c r="D2866" t="inlineStr">
        <is>
          <t>DFS</t>
        </is>
      </c>
      <c r="E2866" t="inlineStr">
        <is>
          <t>(en blanco)</t>
        </is>
      </c>
      <c r="F2866" t="inlineStr">
        <is>
          <t>D2C</t>
        </is>
      </c>
      <c r="G2866" t="inlineStr">
        <is>
          <t>M</t>
        </is>
      </c>
      <c r="H2866" t="n">
        <v>20</v>
      </c>
      <c r="I2866" t="inlineStr">
        <is>
          <t>NAUTICA_MENS_208007574_DFS_1.jpg</t>
        </is>
      </c>
      <c r="J2866" t="inlineStr">
        <is>
          <t>NAUTICA_MENS_208007574_DFS_2.jpg</t>
        </is>
      </c>
      <c r="K2866" t="inlineStr">
        <is>
          <t>NAUTICA_MENS_208007574_DFS_3.jpg</t>
        </is>
      </c>
      <c r="L2866">
        <f>IMAGE("file:///E:/Estudios%20y%20certificaciones/ESTUDIOS%20DE%20PROGRAMMING/PROGRAMMING/PERSONAL/PYTHON/Image_Generator_API/imagenes/NAUTICA_MENS_208007574_DFS_1.jpg")</f>
        <v/>
      </c>
      <c r="M2866">
        <f>IMAGE("file:///E:/Estudios%20y%20certificaciones/ESTUDIOS%20DE%20PROGRAMMING/PROGRAMMING/PERSONAL/PYTHON/Image_Generator_API/imagenes/NAUTICA_MENS_208007574_DFS_2.jpg")</f>
        <v/>
      </c>
      <c r="N2866">
        <f>IMAGE("file:///E:/Estudios%20y%20certificaciones/ESTUDIOS%20DE%20PROGRAMMING/PROGRAMMING/PERSONAL/PYTHON/Image_Generator_API/imagenes/NAUTICA_MENS_208007574_DFS_3.jpg")</f>
        <v/>
      </c>
      <c r="O2866">
        <f>HYPERLINK("imagenes/NAUTICA_MENS_208007574_DFS_1.jpg","Ver imagen")</f>
        <v/>
      </c>
      <c r="P2866">
        <f>HYPERLINK("imagenes/NAUTICA_MENS_208007574_DFS_2.jpg","Ver imagen")</f>
        <v/>
      </c>
      <c r="Q2866">
        <f>HYPERLINK("imagenes/NAUTICA_MENS_208007574_DFS_3.jpg","Ver imagen")</f>
        <v/>
      </c>
    </row>
    <row r="2867">
      <c r="A2867" t="inlineStr">
        <is>
          <t>NAUTICA MENS</t>
        </is>
      </c>
      <c r="B2867" t="inlineStr">
        <is>
          <t>208007574</t>
        </is>
      </c>
      <c r="C2867" t="inlineStr">
        <is>
          <t>SHIRT COLLAR HERITAGE JACKET</t>
        </is>
      </c>
      <c r="D2867" t="inlineStr">
        <is>
          <t>DFS</t>
        </is>
      </c>
      <c r="E2867" t="inlineStr">
        <is>
          <t>(en blanco)</t>
        </is>
      </c>
      <c r="F2867" t="inlineStr">
        <is>
          <t>D2C</t>
        </is>
      </c>
      <c r="G2867" t="inlineStr">
        <is>
          <t>L</t>
        </is>
      </c>
      <c r="H2867" t="n">
        <v>17</v>
      </c>
      <c r="I2867" t="inlineStr">
        <is>
          <t>NAUTICA_MENS_208007574_DFS_1.jpg</t>
        </is>
      </c>
      <c r="J2867" t="inlineStr">
        <is>
          <t>NAUTICA_MENS_208007574_DFS_2.jpg</t>
        </is>
      </c>
      <c r="K2867" t="inlineStr">
        <is>
          <t>NAUTICA_MENS_208007574_DFS_3.jpg</t>
        </is>
      </c>
      <c r="L2867">
        <f>IMAGE("file:///E:/Estudios%20y%20certificaciones/ESTUDIOS%20DE%20PROGRAMMING/PROGRAMMING/PERSONAL/PYTHON/Image_Generator_API/imagenes/NAUTICA_MENS_208007574_DFS_1.jpg")</f>
        <v/>
      </c>
      <c r="M2867">
        <f>IMAGE("file:///E:/Estudios%20y%20certificaciones/ESTUDIOS%20DE%20PROGRAMMING/PROGRAMMING/PERSONAL/PYTHON/Image_Generator_API/imagenes/NAUTICA_MENS_208007574_DFS_2.jpg")</f>
        <v/>
      </c>
      <c r="N2867">
        <f>IMAGE("file:///E:/Estudios%20y%20certificaciones/ESTUDIOS%20DE%20PROGRAMMING/PROGRAMMING/PERSONAL/PYTHON/Image_Generator_API/imagenes/NAUTICA_MENS_208007574_DFS_3.jpg")</f>
        <v/>
      </c>
      <c r="O2867">
        <f>HYPERLINK("imagenes/NAUTICA_MENS_208007574_DFS_1.jpg","Ver imagen")</f>
        <v/>
      </c>
      <c r="P2867">
        <f>HYPERLINK("imagenes/NAUTICA_MENS_208007574_DFS_2.jpg","Ver imagen")</f>
        <v/>
      </c>
      <c r="Q2867">
        <f>HYPERLINK("imagenes/NAUTICA_MENS_208007574_DFS_3.jpg","Ver imagen")</f>
        <v/>
      </c>
    </row>
    <row r="2868">
      <c r="A2868" t="inlineStr">
        <is>
          <t>NAUTICA MENS</t>
        </is>
      </c>
      <c r="B2868" t="inlineStr">
        <is>
          <t>208007574</t>
        </is>
      </c>
      <c r="C2868" t="inlineStr">
        <is>
          <t>SHIRT COLLAR HERITAGE JACKET</t>
        </is>
      </c>
      <c r="D2868" t="inlineStr">
        <is>
          <t>DFS</t>
        </is>
      </c>
      <c r="E2868" t="inlineStr">
        <is>
          <t>(en blanco)</t>
        </is>
      </c>
      <c r="F2868" t="inlineStr">
        <is>
          <t>D2C</t>
        </is>
      </c>
      <c r="G2868" t="inlineStr">
        <is>
          <t>XL</t>
        </is>
      </c>
      <c r="H2868" t="n">
        <v>20</v>
      </c>
      <c r="I2868" t="inlineStr">
        <is>
          <t>NAUTICA_MENS_208007574_DFS_1.jpg</t>
        </is>
      </c>
      <c r="J2868" t="inlineStr">
        <is>
          <t>NAUTICA_MENS_208007574_DFS_2.jpg</t>
        </is>
      </c>
      <c r="K2868" t="inlineStr">
        <is>
          <t>NAUTICA_MENS_208007574_DFS_3.jpg</t>
        </is>
      </c>
      <c r="L2868">
        <f>IMAGE("file:///E:/Estudios%20y%20certificaciones/ESTUDIOS%20DE%20PROGRAMMING/PROGRAMMING/PERSONAL/PYTHON/Image_Generator_API/imagenes/NAUTICA_MENS_208007574_DFS_1.jpg")</f>
        <v/>
      </c>
      <c r="M2868">
        <f>IMAGE("file:///E:/Estudios%20y%20certificaciones/ESTUDIOS%20DE%20PROGRAMMING/PROGRAMMING/PERSONAL/PYTHON/Image_Generator_API/imagenes/NAUTICA_MENS_208007574_DFS_2.jpg")</f>
        <v/>
      </c>
      <c r="N2868">
        <f>IMAGE("file:///E:/Estudios%20y%20certificaciones/ESTUDIOS%20DE%20PROGRAMMING/PROGRAMMING/PERSONAL/PYTHON/Image_Generator_API/imagenes/NAUTICA_MENS_208007574_DFS_3.jpg")</f>
        <v/>
      </c>
      <c r="O2868">
        <f>HYPERLINK("imagenes/NAUTICA_MENS_208007574_DFS_1.jpg","Ver imagen")</f>
        <v/>
      </c>
      <c r="P2868">
        <f>HYPERLINK("imagenes/NAUTICA_MENS_208007574_DFS_2.jpg","Ver imagen")</f>
        <v/>
      </c>
      <c r="Q2868">
        <f>HYPERLINK("imagenes/NAUTICA_MENS_208007574_DFS_3.jpg","Ver imagen")</f>
        <v/>
      </c>
    </row>
    <row r="2869">
      <c r="A2869" t="inlineStr">
        <is>
          <t>NAUTICA MENS</t>
        </is>
      </c>
      <c r="B2869" t="inlineStr">
        <is>
          <t>208007574</t>
        </is>
      </c>
      <c r="C2869" t="inlineStr">
        <is>
          <t>SHIRT COLLAR HERITAGE JACKET</t>
        </is>
      </c>
      <c r="D2869" t="inlineStr">
        <is>
          <t>DFS</t>
        </is>
      </c>
      <c r="E2869" t="inlineStr">
        <is>
          <t>(en blanco)</t>
        </is>
      </c>
      <c r="F2869" t="inlineStr">
        <is>
          <t>D2C</t>
        </is>
      </c>
      <c r="G2869" t="inlineStr">
        <is>
          <t>XXL</t>
        </is>
      </c>
      <c r="H2869" t="n">
        <v>20</v>
      </c>
      <c r="I2869" t="inlineStr">
        <is>
          <t>NAUTICA_MENS_208007574_DFS_1.jpg</t>
        </is>
      </c>
      <c r="J2869" t="inlineStr">
        <is>
          <t>NAUTICA_MENS_208007574_DFS_2.jpg</t>
        </is>
      </c>
      <c r="K2869" t="inlineStr">
        <is>
          <t>NAUTICA_MENS_208007574_DFS_3.jpg</t>
        </is>
      </c>
      <c r="L2869">
        <f>IMAGE("file:///E:/Estudios%20y%20certificaciones/ESTUDIOS%20DE%20PROGRAMMING/PROGRAMMING/PERSONAL/PYTHON/Image_Generator_API/imagenes/NAUTICA_MENS_208007574_DFS_1.jpg")</f>
        <v/>
      </c>
      <c r="M2869">
        <f>IMAGE("file:///E:/Estudios%20y%20certificaciones/ESTUDIOS%20DE%20PROGRAMMING/PROGRAMMING/PERSONAL/PYTHON/Image_Generator_API/imagenes/NAUTICA_MENS_208007574_DFS_2.jpg")</f>
        <v/>
      </c>
      <c r="N2869">
        <f>IMAGE("file:///E:/Estudios%20y%20certificaciones/ESTUDIOS%20DE%20PROGRAMMING/PROGRAMMING/PERSONAL/PYTHON/Image_Generator_API/imagenes/NAUTICA_MENS_208007574_DFS_3.jpg")</f>
        <v/>
      </c>
      <c r="O2869">
        <f>HYPERLINK("imagenes/NAUTICA_MENS_208007574_DFS_1.jpg","Ver imagen")</f>
        <v/>
      </c>
      <c r="P2869">
        <f>HYPERLINK("imagenes/NAUTICA_MENS_208007574_DFS_2.jpg","Ver imagen")</f>
        <v/>
      </c>
      <c r="Q2869">
        <f>HYPERLINK("imagenes/NAUTICA_MENS_208007574_DFS_3.jpg","Ver imagen")</f>
        <v/>
      </c>
    </row>
    <row r="2870">
      <c r="A2870" t="inlineStr">
        <is>
          <t>NAUTICA MENS</t>
        </is>
      </c>
      <c r="B2870" t="inlineStr">
        <is>
          <t>208007574</t>
        </is>
      </c>
      <c r="C2870" t="inlineStr">
        <is>
          <t>SHIRT COLLAR HERITAGE JACKET</t>
        </is>
      </c>
      <c r="D2870" t="inlineStr">
        <is>
          <t>DFS</t>
        </is>
      </c>
      <c r="E2870" t="inlineStr">
        <is>
          <t>(en blanco)</t>
        </is>
      </c>
      <c r="F2870" t="inlineStr">
        <is>
          <t>(en blanco)</t>
        </is>
      </c>
      <c r="G2870" t="inlineStr">
        <is>
          <t>S</t>
        </is>
      </c>
      <c r="H2870" t="n">
        <v>44</v>
      </c>
      <c r="I2870" t="inlineStr">
        <is>
          <t>NAUTICA_MENS_208007574_DFS_1.jpg</t>
        </is>
      </c>
      <c r="J2870" t="inlineStr">
        <is>
          <t>NAUTICA_MENS_208007574_DFS_2.jpg</t>
        </is>
      </c>
      <c r="K2870" t="inlineStr">
        <is>
          <t>NAUTICA_MENS_208007574_DFS_3.jpg</t>
        </is>
      </c>
      <c r="L2870">
        <f>IMAGE("file:///E:/Estudios%20y%20certificaciones/ESTUDIOS%20DE%20PROGRAMMING/PROGRAMMING/PERSONAL/PYTHON/Image_Generator_API/imagenes/NAUTICA_MENS_208007574_DFS_1.jpg")</f>
        <v/>
      </c>
      <c r="M2870">
        <f>IMAGE("file:///E:/Estudios%20y%20certificaciones/ESTUDIOS%20DE%20PROGRAMMING/PROGRAMMING/PERSONAL/PYTHON/Image_Generator_API/imagenes/NAUTICA_MENS_208007574_DFS_2.jpg")</f>
        <v/>
      </c>
      <c r="N2870">
        <f>IMAGE("file:///E:/Estudios%20y%20certificaciones/ESTUDIOS%20DE%20PROGRAMMING/PROGRAMMING/PERSONAL/PYTHON/Image_Generator_API/imagenes/NAUTICA_MENS_208007574_DFS_3.jpg")</f>
        <v/>
      </c>
      <c r="O2870">
        <f>HYPERLINK("imagenes/NAUTICA_MENS_208007574_DFS_1.jpg","Ver imagen")</f>
        <v/>
      </c>
      <c r="P2870">
        <f>HYPERLINK("imagenes/NAUTICA_MENS_208007574_DFS_2.jpg","Ver imagen")</f>
        <v/>
      </c>
      <c r="Q2870">
        <f>HYPERLINK("imagenes/NAUTICA_MENS_208007574_DFS_3.jpg","Ver imagen")</f>
        <v/>
      </c>
    </row>
    <row r="2871">
      <c r="A2871" t="inlineStr">
        <is>
          <t>NAUTICA MENS</t>
        </is>
      </c>
      <c r="B2871" t="inlineStr">
        <is>
          <t>208007574</t>
        </is>
      </c>
      <c r="C2871" t="inlineStr">
        <is>
          <t>SHIRT COLLAR HERITAGE JACKET</t>
        </is>
      </c>
      <c r="D2871" t="inlineStr">
        <is>
          <t>DFS</t>
        </is>
      </c>
      <c r="E2871" t="inlineStr">
        <is>
          <t>(en blanco)</t>
        </is>
      </c>
      <c r="F2871" t="inlineStr">
        <is>
          <t>(en blanco)</t>
        </is>
      </c>
      <c r="G2871" t="inlineStr">
        <is>
          <t>M</t>
        </is>
      </c>
      <c r="H2871" t="n">
        <v>188</v>
      </c>
      <c r="I2871" t="inlineStr">
        <is>
          <t>NAUTICA_MENS_208007574_DFS_1.jpg</t>
        </is>
      </c>
      <c r="J2871" t="inlineStr">
        <is>
          <t>NAUTICA_MENS_208007574_DFS_2.jpg</t>
        </is>
      </c>
      <c r="K2871" t="inlineStr">
        <is>
          <t>NAUTICA_MENS_208007574_DFS_3.jpg</t>
        </is>
      </c>
      <c r="L2871">
        <f>IMAGE("file:///E:/Estudios%20y%20certificaciones/ESTUDIOS%20DE%20PROGRAMMING/PROGRAMMING/PERSONAL/PYTHON/Image_Generator_API/imagenes/NAUTICA_MENS_208007574_DFS_1.jpg")</f>
        <v/>
      </c>
      <c r="M2871">
        <f>IMAGE("file:///E:/Estudios%20y%20certificaciones/ESTUDIOS%20DE%20PROGRAMMING/PROGRAMMING/PERSONAL/PYTHON/Image_Generator_API/imagenes/NAUTICA_MENS_208007574_DFS_2.jpg")</f>
        <v/>
      </c>
      <c r="N2871">
        <f>IMAGE("file:///E:/Estudios%20y%20certificaciones/ESTUDIOS%20DE%20PROGRAMMING/PROGRAMMING/PERSONAL/PYTHON/Image_Generator_API/imagenes/NAUTICA_MENS_208007574_DFS_3.jpg")</f>
        <v/>
      </c>
      <c r="O2871">
        <f>HYPERLINK("imagenes/NAUTICA_MENS_208007574_DFS_1.jpg","Ver imagen")</f>
        <v/>
      </c>
      <c r="P2871">
        <f>HYPERLINK("imagenes/NAUTICA_MENS_208007574_DFS_2.jpg","Ver imagen")</f>
        <v/>
      </c>
      <c r="Q2871">
        <f>HYPERLINK("imagenes/NAUTICA_MENS_208007574_DFS_3.jpg","Ver imagen")</f>
        <v/>
      </c>
    </row>
    <row r="2872">
      <c r="A2872" t="inlineStr">
        <is>
          <t>NAUTICA MENS</t>
        </is>
      </c>
      <c r="B2872" t="inlineStr">
        <is>
          <t>208007574</t>
        </is>
      </c>
      <c r="C2872" t="inlineStr">
        <is>
          <t>SHIRT COLLAR HERITAGE JACKET</t>
        </is>
      </c>
      <c r="D2872" t="inlineStr">
        <is>
          <t>DFS</t>
        </is>
      </c>
      <c r="E2872" t="inlineStr">
        <is>
          <t>(en blanco)</t>
        </is>
      </c>
      <c r="F2872" t="inlineStr">
        <is>
          <t>(en blanco)</t>
        </is>
      </c>
      <c r="G2872" t="inlineStr">
        <is>
          <t>L</t>
        </is>
      </c>
      <c r="H2872" t="n">
        <v>415</v>
      </c>
      <c r="I2872" t="inlineStr">
        <is>
          <t>NAUTICA_MENS_208007574_DFS_1.jpg</t>
        </is>
      </c>
      <c r="J2872" t="inlineStr">
        <is>
          <t>NAUTICA_MENS_208007574_DFS_2.jpg</t>
        </is>
      </c>
      <c r="K2872" t="inlineStr">
        <is>
          <t>NAUTICA_MENS_208007574_DFS_3.jpg</t>
        </is>
      </c>
      <c r="L2872">
        <f>IMAGE("file:///E:/Estudios%20y%20certificaciones/ESTUDIOS%20DE%20PROGRAMMING/PROGRAMMING/PERSONAL/PYTHON/Image_Generator_API/imagenes/NAUTICA_MENS_208007574_DFS_1.jpg")</f>
        <v/>
      </c>
      <c r="M2872">
        <f>IMAGE("file:///E:/Estudios%20y%20certificaciones/ESTUDIOS%20DE%20PROGRAMMING/PROGRAMMING/PERSONAL/PYTHON/Image_Generator_API/imagenes/NAUTICA_MENS_208007574_DFS_2.jpg")</f>
        <v/>
      </c>
      <c r="N2872">
        <f>IMAGE("file:///E:/Estudios%20y%20certificaciones/ESTUDIOS%20DE%20PROGRAMMING/PROGRAMMING/PERSONAL/PYTHON/Image_Generator_API/imagenes/NAUTICA_MENS_208007574_DFS_3.jpg")</f>
        <v/>
      </c>
      <c r="O2872">
        <f>HYPERLINK("imagenes/NAUTICA_MENS_208007574_DFS_1.jpg","Ver imagen")</f>
        <v/>
      </c>
      <c r="P2872">
        <f>HYPERLINK("imagenes/NAUTICA_MENS_208007574_DFS_2.jpg","Ver imagen")</f>
        <v/>
      </c>
      <c r="Q2872">
        <f>HYPERLINK("imagenes/NAUTICA_MENS_208007574_DFS_3.jpg","Ver imagen")</f>
        <v/>
      </c>
    </row>
    <row r="2873">
      <c r="A2873" t="inlineStr">
        <is>
          <t>NAUTICA MENS</t>
        </is>
      </c>
      <c r="B2873" t="inlineStr">
        <is>
          <t>208007574</t>
        </is>
      </c>
      <c r="C2873" t="inlineStr">
        <is>
          <t>SHIRT COLLAR HERITAGE JACKET</t>
        </is>
      </c>
      <c r="D2873" t="inlineStr">
        <is>
          <t>DFS</t>
        </is>
      </c>
      <c r="E2873" t="inlineStr">
        <is>
          <t>(en blanco)</t>
        </is>
      </c>
      <c r="F2873" t="inlineStr">
        <is>
          <t>(en blanco)</t>
        </is>
      </c>
      <c r="G2873" t="inlineStr">
        <is>
          <t>XL</t>
        </is>
      </c>
      <c r="H2873" t="n">
        <v>404</v>
      </c>
      <c r="I2873" t="inlineStr">
        <is>
          <t>NAUTICA_MENS_208007574_DFS_1.jpg</t>
        </is>
      </c>
      <c r="J2873" t="inlineStr">
        <is>
          <t>NAUTICA_MENS_208007574_DFS_2.jpg</t>
        </is>
      </c>
      <c r="K2873" t="inlineStr">
        <is>
          <t>NAUTICA_MENS_208007574_DFS_3.jpg</t>
        </is>
      </c>
      <c r="L2873">
        <f>IMAGE("file:///E:/Estudios%20y%20certificaciones/ESTUDIOS%20DE%20PROGRAMMING/PROGRAMMING/PERSONAL/PYTHON/Image_Generator_API/imagenes/NAUTICA_MENS_208007574_DFS_1.jpg")</f>
        <v/>
      </c>
      <c r="M2873">
        <f>IMAGE("file:///E:/Estudios%20y%20certificaciones/ESTUDIOS%20DE%20PROGRAMMING/PROGRAMMING/PERSONAL/PYTHON/Image_Generator_API/imagenes/NAUTICA_MENS_208007574_DFS_2.jpg")</f>
        <v/>
      </c>
      <c r="N2873">
        <f>IMAGE("file:///E:/Estudios%20y%20certificaciones/ESTUDIOS%20DE%20PROGRAMMING/PROGRAMMING/PERSONAL/PYTHON/Image_Generator_API/imagenes/NAUTICA_MENS_208007574_DFS_3.jpg")</f>
        <v/>
      </c>
      <c r="O2873">
        <f>HYPERLINK("imagenes/NAUTICA_MENS_208007574_DFS_1.jpg","Ver imagen")</f>
        <v/>
      </c>
      <c r="P2873">
        <f>HYPERLINK("imagenes/NAUTICA_MENS_208007574_DFS_2.jpg","Ver imagen")</f>
        <v/>
      </c>
      <c r="Q2873">
        <f>HYPERLINK("imagenes/NAUTICA_MENS_208007574_DFS_3.jpg","Ver imagen")</f>
        <v/>
      </c>
    </row>
    <row r="2874">
      <c r="A2874" t="inlineStr">
        <is>
          <t>NAUTICA MENS</t>
        </is>
      </c>
      <c r="B2874" t="inlineStr">
        <is>
          <t>208007574</t>
        </is>
      </c>
      <c r="C2874" t="inlineStr">
        <is>
          <t>SHIRT COLLAR HERITAGE JACKET</t>
        </is>
      </c>
      <c r="D2874" t="inlineStr">
        <is>
          <t>DFS</t>
        </is>
      </c>
      <c r="E2874" t="inlineStr">
        <is>
          <t>(en blanco)</t>
        </is>
      </c>
      <c r="F2874" t="inlineStr">
        <is>
          <t>(en blanco)</t>
        </is>
      </c>
      <c r="G2874" t="inlineStr">
        <is>
          <t>XXL</t>
        </is>
      </c>
      <c r="H2874" t="n">
        <v>212</v>
      </c>
      <c r="I2874" t="inlineStr">
        <is>
          <t>NAUTICA_MENS_208007574_DFS_1.jpg</t>
        </is>
      </c>
      <c r="J2874" t="inlineStr">
        <is>
          <t>NAUTICA_MENS_208007574_DFS_2.jpg</t>
        </is>
      </c>
      <c r="K2874" t="inlineStr">
        <is>
          <t>NAUTICA_MENS_208007574_DFS_3.jpg</t>
        </is>
      </c>
      <c r="L2874">
        <f>IMAGE("file:///E:/Estudios%20y%20certificaciones/ESTUDIOS%20DE%20PROGRAMMING/PROGRAMMING/PERSONAL/PYTHON/Image_Generator_API/imagenes/NAUTICA_MENS_208007574_DFS_1.jpg")</f>
        <v/>
      </c>
      <c r="M2874">
        <f>IMAGE("file:///E:/Estudios%20y%20certificaciones/ESTUDIOS%20DE%20PROGRAMMING/PROGRAMMING/PERSONAL/PYTHON/Image_Generator_API/imagenes/NAUTICA_MENS_208007574_DFS_2.jpg")</f>
        <v/>
      </c>
      <c r="N2874">
        <f>IMAGE("file:///E:/Estudios%20y%20certificaciones/ESTUDIOS%20DE%20PROGRAMMING/PROGRAMMING/PERSONAL/PYTHON/Image_Generator_API/imagenes/NAUTICA_MENS_208007574_DFS_3.jpg")</f>
        <v/>
      </c>
      <c r="O2874">
        <f>HYPERLINK("imagenes/NAUTICA_MENS_208007574_DFS_1.jpg","Ver imagen")</f>
        <v/>
      </c>
      <c r="P2874">
        <f>HYPERLINK("imagenes/NAUTICA_MENS_208007574_DFS_2.jpg","Ver imagen")</f>
        <v/>
      </c>
      <c r="Q2874">
        <f>HYPERLINK("imagenes/NAUTICA_MENS_208007574_DFS_3.jpg","Ver imagen")</f>
        <v/>
      </c>
    </row>
    <row r="2875">
      <c r="A2875" t="inlineStr">
        <is>
          <t>NAUTICA MENS</t>
        </is>
      </c>
      <c r="B2875" t="inlineStr">
        <is>
          <t>208007574</t>
        </is>
      </c>
      <c r="C2875" t="inlineStr">
        <is>
          <t>SHIRT COLLAR HERITAGE JACKET</t>
        </is>
      </c>
      <c r="D2875" t="inlineStr">
        <is>
          <t>TAU</t>
        </is>
      </c>
      <c r="E2875" t="inlineStr">
        <is>
          <t>(en blanco)</t>
        </is>
      </c>
      <c r="F2875" t="inlineStr">
        <is>
          <t>D2C</t>
        </is>
      </c>
      <c r="G2875" t="inlineStr">
        <is>
          <t>S</t>
        </is>
      </c>
      <c r="H2875" t="n">
        <v>20</v>
      </c>
      <c r="I2875" t="inlineStr">
        <is>
          <t>NAUTICA_MENS_208007574_TAU_1.jpg</t>
        </is>
      </c>
      <c r="J2875" t="inlineStr">
        <is>
          <t>NAUTICA_MENS_208007574_TAU_2.jpg</t>
        </is>
      </c>
      <c r="K2875" t="inlineStr">
        <is>
          <t>NAUTICA_MENS_208007574_TAU_3.jpg</t>
        </is>
      </c>
      <c r="L2875">
        <f>IMAGE("file:///E:/Estudios%20y%20certificaciones/ESTUDIOS%20DE%20PROGRAMMING/PROGRAMMING/PERSONAL/PYTHON/Image_Generator_API/imagenes/NAUTICA_MENS_208007574_TAU_1.jpg")</f>
        <v/>
      </c>
      <c r="M2875">
        <f>IMAGE("file:///E:/Estudios%20y%20certificaciones/ESTUDIOS%20DE%20PROGRAMMING/PROGRAMMING/PERSONAL/PYTHON/Image_Generator_API/imagenes/NAUTICA_MENS_208007574_TAU_2.jpg")</f>
        <v/>
      </c>
      <c r="N2875">
        <f>IMAGE("file:///E:/Estudios%20y%20certificaciones/ESTUDIOS%20DE%20PROGRAMMING/PROGRAMMING/PERSONAL/PYTHON/Image_Generator_API/imagenes/NAUTICA_MENS_208007574_TAU_3.jpg")</f>
        <v/>
      </c>
      <c r="O2875">
        <f>HYPERLINK("imagenes/NAUTICA_MENS_208007574_TAU_1.jpg","Ver imagen")</f>
        <v/>
      </c>
      <c r="P2875">
        <f>HYPERLINK("imagenes/NAUTICA_MENS_208007574_TAU_2.jpg","Ver imagen")</f>
        <v/>
      </c>
      <c r="Q2875">
        <f>HYPERLINK("imagenes/NAUTICA_MENS_208007574_TAU_3.jpg","Ver imagen")</f>
        <v/>
      </c>
    </row>
    <row r="2876">
      <c r="A2876" t="inlineStr">
        <is>
          <t>NAUTICA MENS</t>
        </is>
      </c>
      <c r="B2876" t="inlineStr">
        <is>
          <t>208007574</t>
        </is>
      </c>
      <c r="C2876" t="inlineStr">
        <is>
          <t>SHIRT COLLAR HERITAGE JACKET</t>
        </is>
      </c>
      <c r="D2876" t="inlineStr">
        <is>
          <t>TAU</t>
        </is>
      </c>
      <c r="E2876" t="inlineStr">
        <is>
          <t>(en blanco)</t>
        </is>
      </c>
      <c r="F2876" t="inlineStr">
        <is>
          <t>D2C</t>
        </is>
      </c>
      <c r="G2876" t="inlineStr">
        <is>
          <t>M</t>
        </is>
      </c>
      <c r="H2876" t="n">
        <v>18</v>
      </c>
      <c r="I2876" t="inlineStr">
        <is>
          <t>NAUTICA_MENS_208007574_TAU_1.jpg</t>
        </is>
      </c>
      <c r="J2876" t="inlineStr">
        <is>
          <t>NAUTICA_MENS_208007574_TAU_2.jpg</t>
        </is>
      </c>
      <c r="K2876" t="inlineStr">
        <is>
          <t>NAUTICA_MENS_208007574_TAU_3.jpg</t>
        </is>
      </c>
      <c r="L2876">
        <f>IMAGE("file:///E:/Estudios%20y%20certificaciones/ESTUDIOS%20DE%20PROGRAMMING/PROGRAMMING/PERSONAL/PYTHON/Image_Generator_API/imagenes/NAUTICA_MENS_208007574_TAU_1.jpg")</f>
        <v/>
      </c>
      <c r="M2876">
        <f>IMAGE("file:///E:/Estudios%20y%20certificaciones/ESTUDIOS%20DE%20PROGRAMMING/PROGRAMMING/PERSONAL/PYTHON/Image_Generator_API/imagenes/NAUTICA_MENS_208007574_TAU_2.jpg")</f>
        <v/>
      </c>
      <c r="N2876">
        <f>IMAGE("file:///E:/Estudios%20y%20certificaciones/ESTUDIOS%20DE%20PROGRAMMING/PROGRAMMING/PERSONAL/PYTHON/Image_Generator_API/imagenes/NAUTICA_MENS_208007574_TAU_3.jpg")</f>
        <v/>
      </c>
      <c r="O2876">
        <f>HYPERLINK("imagenes/NAUTICA_MENS_208007574_TAU_1.jpg","Ver imagen")</f>
        <v/>
      </c>
      <c r="P2876">
        <f>HYPERLINK("imagenes/NAUTICA_MENS_208007574_TAU_2.jpg","Ver imagen")</f>
        <v/>
      </c>
      <c r="Q2876">
        <f>HYPERLINK("imagenes/NAUTICA_MENS_208007574_TAU_3.jpg","Ver imagen")</f>
        <v/>
      </c>
    </row>
    <row r="2877">
      <c r="A2877" t="inlineStr">
        <is>
          <t>NAUTICA MENS</t>
        </is>
      </c>
      <c r="B2877" t="inlineStr">
        <is>
          <t>208007574</t>
        </is>
      </c>
      <c r="C2877" t="inlineStr">
        <is>
          <t>SHIRT COLLAR HERITAGE JACKET</t>
        </is>
      </c>
      <c r="D2877" t="inlineStr">
        <is>
          <t>TAU</t>
        </is>
      </c>
      <c r="E2877" t="inlineStr">
        <is>
          <t>(en blanco)</t>
        </is>
      </c>
      <c r="F2877" t="inlineStr">
        <is>
          <t>D2C</t>
        </is>
      </c>
      <c r="G2877" t="inlineStr">
        <is>
          <t>L</t>
        </is>
      </c>
      <c r="H2877" t="n">
        <v>17</v>
      </c>
      <c r="I2877" t="inlineStr">
        <is>
          <t>NAUTICA_MENS_208007574_TAU_1.jpg</t>
        </is>
      </c>
      <c r="J2877" t="inlineStr">
        <is>
          <t>NAUTICA_MENS_208007574_TAU_2.jpg</t>
        </is>
      </c>
      <c r="K2877" t="inlineStr">
        <is>
          <t>NAUTICA_MENS_208007574_TAU_3.jpg</t>
        </is>
      </c>
      <c r="L2877">
        <f>IMAGE("file:///E:/Estudios%20y%20certificaciones/ESTUDIOS%20DE%20PROGRAMMING/PROGRAMMING/PERSONAL/PYTHON/Image_Generator_API/imagenes/NAUTICA_MENS_208007574_TAU_1.jpg")</f>
        <v/>
      </c>
      <c r="M2877">
        <f>IMAGE("file:///E:/Estudios%20y%20certificaciones/ESTUDIOS%20DE%20PROGRAMMING/PROGRAMMING/PERSONAL/PYTHON/Image_Generator_API/imagenes/NAUTICA_MENS_208007574_TAU_2.jpg")</f>
        <v/>
      </c>
      <c r="N2877">
        <f>IMAGE("file:///E:/Estudios%20y%20certificaciones/ESTUDIOS%20DE%20PROGRAMMING/PROGRAMMING/PERSONAL/PYTHON/Image_Generator_API/imagenes/NAUTICA_MENS_208007574_TAU_3.jpg")</f>
        <v/>
      </c>
      <c r="O2877">
        <f>HYPERLINK("imagenes/NAUTICA_MENS_208007574_TAU_1.jpg","Ver imagen")</f>
        <v/>
      </c>
      <c r="P2877">
        <f>HYPERLINK("imagenes/NAUTICA_MENS_208007574_TAU_2.jpg","Ver imagen")</f>
        <v/>
      </c>
      <c r="Q2877">
        <f>HYPERLINK("imagenes/NAUTICA_MENS_208007574_TAU_3.jpg","Ver imagen")</f>
        <v/>
      </c>
    </row>
    <row r="2878">
      <c r="A2878" t="inlineStr">
        <is>
          <t>NAUTICA MENS</t>
        </is>
      </c>
      <c r="B2878" t="inlineStr">
        <is>
          <t>208007574</t>
        </is>
      </c>
      <c r="C2878" t="inlineStr">
        <is>
          <t>SHIRT COLLAR HERITAGE JACKET</t>
        </is>
      </c>
      <c r="D2878" t="inlineStr">
        <is>
          <t>TAU</t>
        </is>
      </c>
      <c r="E2878" t="inlineStr">
        <is>
          <t>(en blanco)</t>
        </is>
      </c>
      <c r="F2878" t="inlineStr">
        <is>
          <t>D2C</t>
        </is>
      </c>
      <c r="G2878" t="inlineStr">
        <is>
          <t>XL</t>
        </is>
      </c>
      <c r="H2878" t="n">
        <v>20</v>
      </c>
      <c r="I2878" t="inlineStr">
        <is>
          <t>NAUTICA_MENS_208007574_TAU_1.jpg</t>
        </is>
      </c>
      <c r="J2878" t="inlineStr">
        <is>
          <t>NAUTICA_MENS_208007574_TAU_2.jpg</t>
        </is>
      </c>
      <c r="K2878" t="inlineStr">
        <is>
          <t>NAUTICA_MENS_208007574_TAU_3.jpg</t>
        </is>
      </c>
      <c r="L2878">
        <f>IMAGE("file:///E:/Estudios%20y%20certificaciones/ESTUDIOS%20DE%20PROGRAMMING/PROGRAMMING/PERSONAL/PYTHON/Image_Generator_API/imagenes/NAUTICA_MENS_208007574_TAU_1.jpg")</f>
        <v/>
      </c>
      <c r="M2878">
        <f>IMAGE("file:///E:/Estudios%20y%20certificaciones/ESTUDIOS%20DE%20PROGRAMMING/PROGRAMMING/PERSONAL/PYTHON/Image_Generator_API/imagenes/NAUTICA_MENS_208007574_TAU_2.jpg")</f>
        <v/>
      </c>
      <c r="N2878">
        <f>IMAGE("file:///E:/Estudios%20y%20certificaciones/ESTUDIOS%20DE%20PROGRAMMING/PROGRAMMING/PERSONAL/PYTHON/Image_Generator_API/imagenes/NAUTICA_MENS_208007574_TAU_3.jpg")</f>
        <v/>
      </c>
      <c r="O2878">
        <f>HYPERLINK("imagenes/NAUTICA_MENS_208007574_TAU_1.jpg","Ver imagen")</f>
        <v/>
      </c>
      <c r="P2878">
        <f>HYPERLINK("imagenes/NAUTICA_MENS_208007574_TAU_2.jpg","Ver imagen")</f>
        <v/>
      </c>
      <c r="Q2878">
        <f>HYPERLINK("imagenes/NAUTICA_MENS_208007574_TAU_3.jpg","Ver imagen")</f>
        <v/>
      </c>
    </row>
    <row r="2879">
      <c r="A2879" t="inlineStr">
        <is>
          <t>NAUTICA MENS</t>
        </is>
      </c>
      <c r="B2879" t="inlineStr">
        <is>
          <t>208007574</t>
        </is>
      </c>
      <c r="C2879" t="inlineStr">
        <is>
          <t>SHIRT COLLAR HERITAGE JACKET</t>
        </is>
      </c>
      <c r="D2879" t="inlineStr">
        <is>
          <t>TAU</t>
        </is>
      </c>
      <c r="E2879" t="inlineStr">
        <is>
          <t>(en blanco)</t>
        </is>
      </c>
      <c r="F2879" t="inlineStr">
        <is>
          <t>D2C</t>
        </is>
      </c>
      <c r="G2879" t="inlineStr">
        <is>
          <t>XXL</t>
        </is>
      </c>
      <c r="H2879" t="n">
        <v>19</v>
      </c>
      <c r="I2879" t="inlineStr">
        <is>
          <t>NAUTICA_MENS_208007574_TAU_1.jpg</t>
        </is>
      </c>
      <c r="J2879" t="inlineStr">
        <is>
          <t>NAUTICA_MENS_208007574_TAU_2.jpg</t>
        </is>
      </c>
      <c r="K2879" t="inlineStr">
        <is>
          <t>NAUTICA_MENS_208007574_TAU_3.jpg</t>
        </is>
      </c>
      <c r="L2879">
        <f>IMAGE("file:///E:/Estudios%20y%20certificaciones/ESTUDIOS%20DE%20PROGRAMMING/PROGRAMMING/PERSONAL/PYTHON/Image_Generator_API/imagenes/NAUTICA_MENS_208007574_TAU_1.jpg")</f>
        <v/>
      </c>
      <c r="M2879">
        <f>IMAGE("file:///E:/Estudios%20y%20certificaciones/ESTUDIOS%20DE%20PROGRAMMING/PROGRAMMING/PERSONAL/PYTHON/Image_Generator_API/imagenes/NAUTICA_MENS_208007574_TAU_2.jpg")</f>
        <v/>
      </c>
      <c r="N2879">
        <f>IMAGE("file:///E:/Estudios%20y%20certificaciones/ESTUDIOS%20DE%20PROGRAMMING/PROGRAMMING/PERSONAL/PYTHON/Image_Generator_API/imagenes/NAUTICA_MENS_208007574_TAU_3.jpg")</f>
        <v/>
      </c>
      <c r="O2879">
        <f>HYPERLINK("imagenes/NAUTICA_MENS_208007574_TAU_1.jpg","Ver imagen")</f>
        <v/>
      </c>
      <c r="P2879">
        <f>HYPERLINK("imagenes/NAUTICA_MENS_208007574_TAU_2.jpg","Ver imagen")</f>
        <v/>
      </c>
      <c r="Q2879">
        <f>HYPERLINK("imagenes/NAUTICA_MENS_208007574_TAU_3.jpg","Ver imagen")</f>
        <v/>
      </c>
    </row>
    <row r="2880">
      <c r="A2880" t="inlineStr">
        <is>
          <t>NAUTICA MENS</t>
        </is>
      </c>
      <c r="B2880" t="inlineStr">
        <is>
          <t>208007574</t>
        </is>
      </c>
      <c r="C2880" t="inlineStr">
        <is>
          <t>SHIRT COLLAR HERITAGE JACKET</t>
        </is>
      </c>
      <c r="D2880" t="inlineStr">
        <is>
          <t>TAU</t>
        </is>
      </c>
      <c r="E2880" t="inlineStr">
        <is>
          <t>(en blanco)</t>
        </is>
      </c>
      <c r="F2880" t="inlineStr">
        <is>
          <t>(en blanco)</t>
        </is>
      </c>
      <c r="G2880" t="inlineStr">
        <is>
          <t>S</t>
        </is>
      </c>
      <c r="H2880" t="n">
        <v>64</v>
      </c>
      <c r="I2880" t="inlineStr">
        <is>
          <t>NAUTICA_MENS_208007574_TAU_1.jpg</t>
        </is>
      </c>
      <c r="J2880" t="inlineStr">
        <is>
          <t>NAUTICA_MENS_208007574_TAU_2.jpg</t>
        </is>
      </c>
      <c r="K2880" t="inlineStr">
        <is>
          <t>NAUTICA_MENS_208007574_TAU_3.jpg</t>
        </is>
      </c>
      <c r="L2880">
        <f>IMAGE("file:///E:/Estudios%20y%20certificaciones/ESTUDIOS%20DE%20PROGRAMMING/PROGRAMMING/PERSONAL/PYTHON/Image_Generator_API/imagenes/NAUTICA_MENS_208007574_TAU_1.jpg")</f>
        <v/>
      </c>
      <c r="M2880">
        <f>IMAGE("file:///E:/Estudios%20y%20certificaciones/ESTUDIOS%20DE%20PROGRAMMING/PROGRAMMING/PERSONAL/PYTHON/Image_Generator_API/imagenes/NAUTICA_MENS_208007574_TAU_2.jpg")</f>
        <v/>
      </c>
      <c r="N2880">
        <f>IMAGE("file:///E:/Estudios%20y%20certificaciones/ESTUDIOS%20DE%20PROGRAMMING/PROGRAMMING/PERSONAL/PYTHON/Image_Generator_API/imagenes/NAUTICA_MENS_208007574_TAU_3.jpg")</f>
        <v/>
      </c>
      <c r="O2880">
        <f>HYPERLINK("imagenes/NAUTICA_MENS_208007574_TAU_1.jpg","Ver imagen")</f>
        <v/>
      </c>
      <c r="P2880">
        <f>HYPERLINK("imagenes/NAUTICA_MENS_208007574_TAU_2.jpg","Ver imagen")</f>
        <v/>
      </c>
      <c r="Q2880">
        <f>HYPERLINK("imagenes/NAUTICA_MENS_208007574_TAU_3.jpg","Ver imagen")</f>
        <v/>
      </c>
    </row>
    <row r="2881">
      <c r="A2881" t="inlineStr">
        <is>
          <t>NAUTICA MENS</t>
        </is>
      </c>
      <c r="B2881" t="inlineStr">
        <is>
          <t>208007574</t>
        </is>
      </c>
      <c r="C2881" t="inlineStr">
        <is>
          <t>SHIRT COLLAR HERITAGE JACKET</t>
        </is>
      </c>
      <c r="D2881" t="inlineStr">
        <is>
          <t>TAU</t>
        </is>
      </c>
      <c r="E2881" t="inlineStr">
        <is>
          <t>(en blanco)</t>
        </is>
      </c>
      <c r="F2881" t="inlineStr">
        <is>
          <t>(en blanco)</t>
        </is>
      </c>
      <c r="G2881" t="inlineStr">
        <is>
          <t>M</t>
        </is>
      </c>
      <c r="H2881" t="n">
        <v>268</v>
      </c>
      <c r="I2881" t="inlineStr">
        <is>
          <t>NAUTICA_MENS_208007574_TAU_1.jpg</t>
        </is>
      </c>
      <c r="J2881" t="inlineStr">
        <is>
          <t>NAUTICA_MENS_208007574_TAU_2.jpg</t>
        </is>
      </c>
      <c r="K2881" t="inlineStr">
        <is>
          <t>NAUTICA_MENS_208007574_TAU_3.jpg</t>
        </is>
      </c>
      <c r="L2881">
        <f>IMAGE("file:///E:/Estudios%20y%20certificaciones/ESTUDIOS%20DE%20PROGRAMMING/PROGRAMMING/PERSONAL/PYTHON/Image_Generator_API/imagenes/NAUTICA_MENS_208007574_TAU_1.jpg")</f>
        <v/>
      </c>
      <c r="M2881">
        <f>IMAGE("file:///E:/Estudios%20y%20certificaciones/ESTUDIOS%20DE%20PROGRAMMING/PROGRAMMING/PERSONAL/PYTHON/Image_Generator_API/imagenes/NAUTICA_MENS_208007574_TAU_2.jpg")</f>
        <v/>
      </c>
      <c r="N2881">
        <f>IMAGE("file:///E:/Estudios%20y%20certificaciones/ESTUDIOS%20DE%20PROGRAMMING/PROGRAMMING/PERSONAL/PYTHON/Image_Generator_API/imagenes/NAUTICA_MENS_208007574_TAU_3.jpg")</f>
        <v/>
      </c>
      <c r="O2881">
        <f>HYPERLINK("imagenes/NAUTICA_MENS_208007574_TAU_1.jpg","Ver imagen")</f>
        <v/>
      </c>
      <c r="P2881">
        <f>HYPERLINK("imagenes/NAUTICA_MENS_208007574_TAU_2.jpg","Ver imagen")</f>
        <v/>
      </c>
      <c r="Q2881">
        <f>HYPERLINK("imagenes/NAUTICA_MENS_208007574_TAU_3.jpg","Ver imagen")</f>
        <v/>
      </c>
    </row>
    <row r="2882">
      <c r="A2882" t="inlineStr">
        <is>
          <t>NAUTICA MENS</t>
        </is>
      </c>
      <c r="B2882" t="inlineStr">
        <is>
          <t>208007574</t>
        </is>
      </c>
      <c r="C2882" t="inlineStr">
        <is>
          <t>SHIRT COLLAR HERITAGE JACKET</t>
        </is>
      </c>
      <c r="D2882" t="inlineStr">
        <is>
          <t>TAU</t>
        </is>
      </c>
      <c r="E2882" t="inlineStr">
        <is>
          <t>(en blanco)</t>
        </is>
      </c>
      <c r="F2882" t="inlineStr">
        <is>
          <t>(en blanco)</t>
        </is>
      </c>
      <c r="G2882" t="inlineStr">
        <is>
          <t>L</t>
        </is>
      </c>
      <c r="H2882" t="n">
        <v>521</v>
      </c>
      <c r="I2882" t="inlineStr">
        <is>
          <t>NAUTICA_MENS_208007574_TAU_1.jpg</t>
        </is>
      </c>
      <c r="J2882" t="inlineStr">
        <is>
          <t>NAUTICA_MENS_208007574_TAU_2.jpg</t>
        </is>
      </c>
      <c r="K2882" t="inlineStr">
        <is>
          <t>NAUTICA_MENS_208007574_TAU_3.jpg</t>
        </is>
      </c>
      <c r="L2882">
        <f>IMAGE("file:///E:/Estudios%20y%20certificaciones/ESTUDIOS%20DE%20PROGRAMMING/PROGRAMMING/PERSONAL/PYTHON/Image_Generator_API/imagenes/NAUTICA_MENS_208007574_TAU_1.jpg")</f>
        <v/>
      </c>
      <c r="M2882">
        <f>IMAGE("file:///E:/Estudios%20y%20certificaciones/ESTUDIOS%20DE%20PROGRAMMING/PROGRAMMING/PERSONAL/PYTHON/Image_Generator_API/imagenes/NAUTICA_MENS_208007574_TAU_2.jpg")</f>
        <v/>
      </c>
      <c r="N2882">
        <f>IMAGE("file:///E:/Estudios%20y%20certificaciones/ESTUDIOS%20DE%20PROGRAMMING/PROGRAMMING/PERSONAL/PYTHON/Image_Generator_API/imagenes/NAUTICA_MENS_208007574_TAU_3.jpg")</f>
        <v/>
      </c>
      <c r="O2882">
        <f>HYPERLINK("imagenes/NAUTICA_MENS_208007574_TAU_1.jpg","Ver imagen")</f>
        <v/>
      </c>
      <c r="P2882">
        <f>HYPERLINK("imagenes/NAUTICA_MENS_208007574_TAU_2.jpg","Ver imagen")</f>
        <v/>
      </c>
      <c r="Q2882">
        <f>HYPERLINK("imagenes/NAUTICA_MENS_208007574_TAU_3.jpg","Ver imagen")</f>
        <v/>
      </c>
    </row>
    <row r="2883">
      <c r="A2883" t="inlineStr">
        <is>
          <t>NAUTICA MENS</t>
        </is>
      </c>
      <c r="B2883" t="inlineStr">
        <is>
          <t>208007574</t>
        </is>
      </c>
      <c r="C2883" t="inlineStr">
        <is>
          <t>SHIRT COLLAR HERITAGE JACKET</t>
        </is>
      </c>
      <c r="D2883" t="inlineStr">
        <is>
          <t>TAU</t>
        </is>
      </c>
      <c r="E2883" t="inlineStr">
        <is>
          <t>(en blanco)</t>
        </is>
      </c>
      <c r="F2883" t="inlineStr">
        <is>
          <t>(en blanco)</t>
        </is>
      </c>
      <c r="G2883" t="inlineStr">
        <is>
          <t>XL</t>
        </is>
      </c>
      <c r="H2883" t="n">
        <v>482</v>
      </c>
      <c r="I2883" t="inlineStr">
        <is>
          <t>NAUTICA_MENS_208007574_TAU_1.jpg</t>
        </is>
      </c>
      <c r="J2883" t="inlineStr">
        <is>
          <t>NAUTICA_MENS_208007574_TAU_2.jpg</t>
        </is>
      </c>
      <c r="K2883" t="inlineStr">
        <is>
          <t>NAUTICA_MENS_208007574_TAU_3.jpg</t>
        </is>
      </c>
      <c r="L2883">
        <f>IMAGE("file:///E:/Estudios%20y%20certificaciones/ESTUDIOS%20DE%20PROGRAMMING/PROGRAMMING/PERSONAL/PYTHON/Image_Generator_API/imagenes/NAUTICA_MENS_208007574_TAU_1.jpg")</f>
        <v/>
      </c>
      <c r="M2883">
        <f>IMAGE("file:///E:/Estudios%20y%20certificaciones/ESTUDIOS%20DE%20PROGRAMMING/PROGRAMMING/PERSONAL/PYTHON/Image_Generator_API/imagenes/NAUTICA_MENS_208007574_TAU_2.jpg")</f>
        <v/>
      </c>
      <c r="N2883">
        <f>IMAGE("file:///E:/Estudios%20y%20certificaciones/ESTUDIOS%20DE%20PROGRAMMING/PROGRAMMING/PERSONAL/PYTHON/Image_Generator_API/imagenes/NAUTICA_MENS_208007574_TAU_3.jpg")</f>
        <v/>
      </c>
      <c r="O2883">
        <f>HYPERLINK("imagenes/NAUTICA_MENS_208007574_TAU_1.jpg","Ver imagen")</f>
        <v/>
      </c>
      <c r="P2883">
        <f>HYPERLINK("imagenes/NAUTICA_MENS_208007574_TAU_2.jpg","Ver imagen")</f>
        <v/>
      </c>
      <c r="Q2883">
        <f>HYPERLINK("imagenes/NAUTICA_MENS_208007574_TAU_3.jpg","Ver imagen")</f>
        <v/>
      </c>
    </row>
    <row r="2884">
      <c r="A2884" t="inlineStr">
        <is>
          <t>NAUTICA MENS</t>
        </is>
      </c>
      <c r="B2884" t="inlineStr">
        <is>
          <t>208007574</t>
        </is>
      </c>
      <c r="C2884" t="inlineStr">
        <is>
          <t>SHIRT COLLAR HERITAGE JACKET</t>
        </is>
      </c>
      <c r="D2884" t="inlineStr">
        <is>
          <t>TAU</t>
        </is>
      </c>
      <c r="E2884" t="inlineStr">
        <is>
          <t>(en blanco)</t>
        </is>
      </c>
      <c r="F2884" t="inlineStr">
        <is>
          <t>(en blanco)</t>
        </is>
      </c>
      <c r="G2884" t="inlineStr">
        <is>
          <t>XXL</t>
        </is>
      </c>
      <c r="H2884" t="n">
        <v>239</v>
      </c>
      <c r="I2884" t="inlineStr">
        <is>
          <t>NAUTICA_MENS_208007574_TAU_1.jpg</t>
        </is>
      </c>
      <c r="J2884" t="inlineStr">
        <is>
          <t>NAUTICA_MENS_208007574_TAU_2.jpg</t>
        </is>
      </c>
      <c r="K2884" t="inlineStr">
        <is>
          <t>NAUTICA_MENS_208007574_TAU_3.jpg</t>
        </is>
      </c>
      <c r="L2884">
        <f>IMAGE("file:///E:/Estudios%20y%20certificaciones/ESTUDIOS%20DE%20PROGRAMMING/PROGRAMMING/PERSONAL/PYTHON/Image_Generator_API/imagenes/NAUTICA_MENS_208007574_TAU_1.jpg")</f>
        <v/>
      </c>
      <c r="M2884">
        <f>IMAGE("file:///E:/Estudios%20y%20certificaciones/ESTUDIOS%20DE%20PROGRAMMING/PROGRAMMING/PERSONAL/PYTHON/Image_Generator_API/imagenes/NAUTICA_MENS_208007574_TAU_2.jpg")</f>
        <v/>
      </c>
      <c r="N2884">
        <f>IMAGE("file:///E:/Estudios%20y%20certificaciones/ESTUDIOS%20DE%20PROGRAMMING/PROGRAMMING/PERSONAL/PYTHON/Image_Generator_API/imagenes/NAUTICA_MENS_208007574_TAU_3.jpg")</f>
        <v/>
      </c>
      <c r="O2884">
        <f>HYPERLINK("imagenes/NAUTICA_MENS_208007574_TAU_1.jpg","Ver imagen")</f>
        <v/>
      </c>
      <c r="P2884">
        <f>HYPERLINK("imagenes/NAUTICA_MENS_208007574_TAU_2.jpg","Ver imagen")</f>
        <v/>
      </c>
      <c r="Q2884">
        <f>HYPERLINK("imagenes/NAUTICA_MENS_208007574_TAU_3.jpg","Ver imagen")</f>
        <v/>
      </c>
    </row>
    <row r="2885">
      <c r="A2885" t="inlineStr">
        <is>
          <t>NAUTICA MENS</t>
        </is>
      </c>
      <c r="B2885" t="inlineStr">
        <is>
          <t>208007850</t>
        </is>
      </c>
      <c r="C2885" t="inlineStr">
        <is>
          <t>BOMBER JKT</t>
        </is>
      </c>
      <c r="D2885" t="inlineStr">
        <is>
          <t>TRK</t>
        </is>
      </c>
      <c r="E2885" t="inlineStr">
        <is>
          <t>(en blanco)</t>
        </is>
      </c>
      <c r="F2885" t="inlineStr">
        <is>
          <t>N1160</t>
        </is>
      </c>
      <c r="G2885" t="inlineStr">
        <is>
          <t>M</t>
        </is>
      </c>
      <c r="H2885" t="n">
        <v>10</v>
      </c>
      <c r="I2885" t="inlineStr">
        <is>
          <t>NAUTICA_MENS_208007850_TRK_1.jpg</t>
        </is>
      </c>
      <c r="J2885" t="inlineStr">
        <is>
          <t>NAUTICA_MENS_208007850_TRK_2.jpg</t>
        </is>
      </c>
      <c r="K2885" t="inlineStr">
        <is>
          <t>NAUTICA_MENS_208007850_TRK_3.jpg</t>
        </is>
      </c>
      <c r="L2885">
        <f>IMAGE("file:///E:/Estudios%20y%20certificaciones/ESTUDIOS%20DE%20PROGRAMMING/PROGRAMMING/PERSONAL/PYTHON/Image_Generator_API/imagenes/NAUTICA_MENS_208007850_TRK_1.jpg")</f>
        <v/>
      </c>
      <c r="M2885">
        <f>IMAGE("file:///E:/Estudios%20y%20certificaciones/ESTUDIOS%20DE%20PROGRAMMING/PROGRAMMING/PERSONAL/PYTHON/Image_Generator_API/imagenes/NAUTICA_MENS_208007850_TRK_2.jpg")</f>
        <v/>
      </c>
      <c r="N2885">
        <f>IMAGE("file:///E:/Estudios%20y%20certificaciones/ESTUDIOS%20DE%20PROGRAMMING/PROGRAMMING/PERSONAL/PYTHON/Image_Generator_API/imagenes/NAUTICA_MENS_208007850_TRK_3.jpg")</f>
        <v/>
      </c>
      <c r="O2885">
        <f>HYPERLINK("imagenes/NAUTICA_MENS_208007850_TRK_1.jpg","Ver imagen")</f>
        <v/>
      </c>
      <c r="P2885">
        <f>HYPERLINK("imagenes/NAUTICA_MENS_208007850_TRK_2.jpg","Ver imagen")</f>
        <v/>
      </c>
      <c r="Q2885">
        <f>HYPERLINK("imagenes/NAUTICA_MENS_208007850_TRK_3.jpg","Ver imagen")</f>
        <v/>
      </c>
    </row>
    <row r="2886">
      <c r="A2886" t="inlineStr">
        <is>
          <t>NAUTICA MENS</t>
        </is>
      </c>
      <c r="B2886" t="inlineStr">
        <is>
          <t>208007876</t>
        </is>
      </c>
      <c r="C2886" t="inlineStr">
        <is>
          <t>LT.WEIGHT WINDSLICKER</t>
        </is>
      </c>
      <c r="D2886" t="inlineStr">
        <is>
          <t>BLK</t>
        </is>
      </c>
      <c r="E2886" t="inlineStr">
        <is>
          <t>(en blanco)</t>
        </is>
      </c>
      <c r="F2886" t="inlineStr">
        <is>
          <t>D2C</t>
        </is>
      </c>
      <c r="G2886" t="inlineStr">
        <is>
          <t>2X</t>
        </is>
      </c>
      <c r="H2886" t="n">
        <v>6</v>
      </c>
      <c r="I2886" t="inlineStr">
        <is>
          <t>NAUTICA_MENS_208007876_BLK_1.jpg</t>
        </is>
      </c>
      <c r="J2886" t="inlineStr">
        <is>
          <t>NAUTICA_MENS_208007876_BLK_2.jpg</t>
        </is>
      </c>
      <c r="K2886" t="inlineStr">
        <is>
          <t>NAUTICA_MENS_208007876_BLK_3.jpg</t>
        </is>
      </c>
      <c r="L2886">
        <f>IMAGE("file:///E:/Estudios%20y%20certificaciones/ESTUDIOS%20DE%20PROGRAMMING/PROGRAMMING/PERSONAL/PYTHON/Image_Generator_API/imagenes/NAUTICA_MENS_208007876_BLK_1.jpg")</f>
        <v/>
      </c>
      <c r="M2886">
        <f>IMAGE("file:///E:/Estudios%20y%20certificaciones/ESTUDIOS%20DE%20PROGRAMMING/PROGRAMMING/PERSONAL/PYTHON/Image_Generator_API/imagenes/NAUTICA_MENS_208007876_BLK_2.jpg")</f>
        <v/>
      </c>
      <c r="N2886">
        <f>IMAGE("file:///E:/Estudios%20y%20certificaciones/ESTUDIOS%20DE%20PROGRAMMING/PROGRAMMING/PERSONAL/PYTHON/Image_Generator_API/imagenes/NAUTICA_MENS_208007876_BLK_3.jpg")</f>
        <v/>
      </c>
      <c r="O2886">
        <f>HYPERLINK("imagenes/NAUTICA_MENS_208007876_BLK_1.jpg","Ver imagen")</f>
        <v/>
      </c>
      <c r="P2886">
        <f>HYPERLINK("imagenes/NAUTICA_MENS_208007876_BLK_2.jpg","Ver imagen")</f>
        <v/>
      </c>
      <c r="Q2886">
        <f>HYPERLINK("imagenes/NAUTICA_MENS_208007876_BLK_3.jpg","Ver imagen")</f>
        <v/>
      </c>
    </row>
    <row r="2887">
      <c r="A2887" t="inlineStr">
        <is>
          <t>NAUTICA MENS</t>
        </is>
      </c>
      <c r="B2887" t="inlineStr">
        <is>
          <t>208007876</t>
        </is>
      </c>
      <c r="C2887" t="inlineStr">
        <is>
          <t>LT.WEIGHT WINDSLICKER</t>
        </is>
      </c>
      <c r="D2887" t="inlineStr">
        <is>
          <t>BLK</t>
        </is>
      </c>
      <c r="E2887" t="inlineStr">
        <is>
          <t>(en blanco)</t>
        </is>
      </c>
      <c r="F2887" t="inlineStr">
        <is>
          <t>D2C</t>
        </is>
      </c>
      <c r="G2887" t="inlineStr">
        <is>
          <t>3X</t>
        </is>
      </c>
      <c r="H2887" t="n">
        <v>11</v>
      </c>
      <c r="I2887" t="inlineStr">
        <is>
          <t>NAUTICA_MENS_208007876_BLK_1.jpg</t>
        </is>
      </c>
      <c r="J2887" t="inlineStr">
        <is>
          <t>NAUTICA_MENS_208007876_BLK_2.jpg</t>
        </is>
      </c>
      <c r="K2887" t="inlineStr">
        <is>
          <t>NAUTICA_MENS_208007876_BLK_3.jpg</t>
        </is>
      </c>
      <c r="L2887">
        <f>IMAGE("file:///E:/Estudios%20y%20certificaciones/ESTUDIOS%20DE%20PROGRAMMING/PROGRAMMING/PERSONAL/PYTHON/Image_Generator_API/imagenes/NAUTICA_MENS_208007876_BLK_1.jpg")</f>
        <v/>
      </c>
      <c r="M2887">
        <f>IMAGE("file:///E:/Estudios%20y%20certificaciones/ESTUDIOS%20DE%20PROGRAMMING/PROGRAMMING/PERSONAL/PYTHON/Image_Generator_API/imagenes/NAUTICA_MENS_208007876_BLK_2.jpg")</f>
        <v/>
      </c>
      <c r="N2887">
        <f>IMAGE("file:///E:/Estudios%20y%20certificaciones/ESTUDIOS%20DE%20PROGRAMMING/PROGRAMMING/PERSONAL/PYTHON/Image_Generator_API/imagenes/NAUTICA_MENS_208007876_BLK_3.jpg")</f>
        <v/>
      </c>
      <c r="O2887">
        <f>HYPERLINK("imagenes/NAUTICA_MENS_208007876_BLK_1.jpg","Ver imagen")</f>
        <v/>
      </c>
      <c r="P2887">
        <f>HYPERLINK("imagenes/NAUTICA_MENS_208007876_BLK_2.jpg","Ver imagen")</f>
        <v/>
      </c>
      <c r="Q2887">
        <f>HYPERLINK("imagenes/NAUTICA_MENS_208007876_BLK_3.jpg","Ver imagen")</f>
        <v/>
      </c>
    </row>
    <row r="2888">
      <c r="A2888" t="inlineStr">
        <is>
          <t>NAUTICA MENS</t>
        </is>
      </c>
      <c r="B2888" t="inlineStr">
        <is>
          <t>208007876</t>
        </is>
      </c>
      <c r="C2888" t="inlineStr">
        <is>
          <t>LT.WEIGHT WINDSLICKER</t>
        </is>
      </c>
      <c r="D2888" t="inlineStr">
        <is>
          <t>BLK</t>
        </is>
      </c>
      <c r="E2888" t="inlineStr">
        <is>
          <t>(en blanco)</t>
        </is>
      </c>
      <c r="F2888" t="inlineStr">
        <is>
          <t>D2C</t>
        </is>
      </c>
      <c r="G2888" t="inlineStr">
        <is>
          <t>4X</t>
        </is>
      </c>
      <c r="H2888" t="n">
        <v>8</v>
      </c>
      <c r="I2888" t="inlineStr">
        <is>
          <t>NAUTICA_MENS_208007876_BLK_1.jpg</t>
        </is>
      </c>
      <c r="J2888" t="inlineStr">
        <is>
          <t>NAUTICA_MENS_208007876_BLK_2.jpg</t>
        </is>
      </c>
      <c r="K2888" t="inlineStr">
        <is>
          <t>NAUTICA_MENS_208007876_BLK_3.jpg</t>
        </is>
      </c>
      <c r="L2888">
        <f>IMAGE("file:///E:/Estudios%20y%20certificaciones/ESTUDIOS%20DE%20PROGRAMMING/PROGRAMMING/PERSONAL/PYTHON/Image_Generator_API/imagenes/NAUTICA_MENS_208007876_BLK_1.jpg")</f>
        <v/>
      </c>
      <c r="M2888">
        <f>IMAGE("file:///E:/Estudios%20y%20certificaciones/ESTUDIOS%20DE%20PROGRAMMING/PROGRAMMING/PERSONAL/PYTHON/Image_Generator_API/imagenes/NAUTICA_MENS_208007876_BLK_2.jpg")</f>
        <v/>
      </c>
      <c r="N2888">
        <f>IMAGE("file:///E:/Estudios%20y%20certificaciones/ESTUDIOS%20DE%20PROGRAMMING/PROGRAMMING/PERSONAL/PYTHON/Image_Generator_API/imagenes/NAUTICA_MENS_208007876_BLK_3.jpg")</f>
        <v/>
      </c>
      <c r="O2888">
        <f>HYPERLINK("imagenes/NAUTICA_MENS_208007876_BLK_1.jpg","Ver imagen")</f>
        <v/>
      </c>
      <c r="P2888">
        <f>HYPERLINK("imagenes/NAUTICA_MENS_208007876_BLK_2.jpg","Ver imagen")</f>
        <v/>
      </c>
      <c r="Q2888">
        <f>HYPERLINK("imagenes/NAUTICA_MENS_208007876_BLK_3.jpg","Ver imagen")</f>
        <v/>
      </c>
    </row>
    <row r="2889">
      <c r="A2889" t="inlineStr">
        <is>
          <t>NAUTICA MENS</t>
        </is>
      </c>
      <c r="B2889" t="inlineStr">
        <is>
          <t>208007876</t>
        </is>
      </c>
      <c r="C2889" t="inlineStr">
        <is>
          <t>LT.WEIGHT WINDSLICKER</t>
        </is>
      </c>
      <c r="D2889" t="inlineStr">
        <is>
          <t>BLK</t>
        </is>
      </c>
      <c r="E2889" t="inlineStr">
        <is>
          <t>(en blanco)</t>
        </is>
      </c>
      <c r="F2889" t="inlineStr">
        <is>
          <t>D2C</t>
        </is>
      </c>
      <c r="G2889" t="inlineStr">
        <is>
          <t>5X</t>
        </is>
      </c>
      <c r="H2889" t="n">
        <v>5</v>
      </c>
      <c r="I2889" t="inlineStr">
        <is>
          <t>NAUTICA_MENS_208007876_BLK_1.jpg</t>
        </is>
      </c>
      <c r="J2889" t="inlineStr">
        <is>
          <t>NAUTICA_MENS_208007876_BLK_2.jpg</t>
        </is>
      </c>
      <c r="K2889" t="inlineStr">
        <is>
          <t>NAUTICA_MENS_208007876_BLK_3.jpg</t>
        </is>
      </c>
      <c r="L2889">
        <f>IMAGE("file:///E:/Estudios%20y%20certificaciones/ESTUDIOS%20DE%20PROGRAMMING/PROGRAMMING/PERSONAL/PYTHON/Image_Generator_API/imagenes/NAUTICA_MENS_208007876_BLK_1.jpg")</f>
        <v/>
      </c>
      <c r="M2889">
        <f>IMAGE("file:///E:/Estudios%20y%20certificaciones/ESTUDIOS%20DE%20PROGRAMMING/PROGRAMMING/PERSONAL/PYTHON/Image_Generator_API/imagenes/NAUTICA_MENS_208007876_BLK_2.jpg")</f>
        <v/>
      </c>
      <c r="N2889">
        <f>IMAGE("file:///E:/Estudios%20y%20certificaciones/ESTUDIOS%20DE%20PROGRAMMING/PROGRAMMING/PERSONAL/PYTHON/Image_Generator_API/imagenes/NAUTICA_MENS_208007876_BLK_3.jpg")</f>
        <v/>
      </c>
      <c r="O2889">
        <f>HYPERLINK("imagenes/NAUTICA_MENS_208007876_BLK_1.jpg","Ver imagen")</f>
        <v/>
      </c>
      <c r="P2889">
        <f>HYPERLINK("imagenes/NAUTICA_MENS_208007876_BLK_2.jpg","Ver imagen")</f>
        <v/>
      </c>
      <c r="Q2889">
        <f>HYPERLINK("imagenes/NAUTICA_MENS_208007876_BLK_3.jpg","Ver imagen")</f>
        <v/>
      </c>
    </row>
    <row r="2890">
      <c r="A2890" t="inlineStr">
        <is>
          <t>NAUTICA MENS</t>
        </is>
      </c>
      <c r="B2890" t="inlineStr">
        <is>
          <t>208007876</t>
        </is>
      </c>
      <c r="C2890" t="inlineStr">
        <is>
          <t>LT.WEIGHT WINDSLICKER</t>
        </is>
      </c>
      <c r="D2890" t="inlineStr">
        <is>
          <t>BLK</t>
        </is>
      </c>
      <c r="E2890" t="inlineStr">
        <is>
          <t>(en blanco)</t>
        </is>
      </c>
      <c r="F2890" t="inlineStr">
        <is>
          <t>D2C</t>
        </is>
      </c>
      <c r="G2890" t="inlineStr">
        <is>
          <t>6X</t>
        </is>
      </c>
      <c r="H2890" t="n">
        <v>5</v>
      </c>
      <c r="I2890" t="inlineStr">
        <is>
          <t>NAUTICA_MENS_208007876_BLK_1.jpg</t>
        </is>
      </c>
      <c r="J2890" t="inlineStr">
        <is>
          <t>NAUTICA_MENS_208007876_BLK_2.jpg</t>
        </is>
      </c>
      <c r="K2890" t="inlineStr">
        <is>
          <t>NAUTICA_MENS_208007876_BLK_3.jpg</t>
        </is>
      </c>
      <c r="L2890">
        <f>IMAGE("file:///E:/Estudios%20y%20certificaciones/ESTUDIOS%20DE%20PROGRAMMING/PROGRAMMING/PERSONAL/PYTHON/Image_Generator_API/imagenes/NAUTICA_MENS_208007876_BLK_1.jpg")</f>
        <v/>
      </c>
      <c r="M2890">
        <f>IMAGE("file:///E:/Estudios%20y%20certificaciones/ESTUDIOS%20DE%20PROGRAMMING/PROGRAMMING/PERSONAL/PYTHON/Image_Generator_API/imagenes/NAUTICA_MENS_208007876_BLK_2.jpg")</f>
        <v/>
      </c>
      <c r="N2890">
        <f>IMAGE("file:///E:/Estudios%20y%20certificaciones/ESTUDIOS%20DE%20PROGRAMMING/PROGRAMMING/PERSONAL/PYTHON/Image_Generator_API/imagenes/NAUTICA_MENS_208007876_BLK_3.jpg")</f>
        <v/>
      </c>
      <c r="O2890">
        <f>HYPERLINK("imagenes/NAUTICA_MENS_208007876_BLK_1.jpg","Ver imagen")</f>
        <v/>
      </c>
      <c r="P2890">
        <f>HYPERLINK("imagenes/NAUTICA_MENS_208007876_BLK_2.jpg","Ver imagen")</f>
        <v/>
      </c>
      <c r="Q2890">
        <f>HYPERLINK("imagenes/NAUTICA_MENS_208007876_BLK_3.jpg","Ver imagen")</f>
        <v/>
      </c>
    </row>
    <row r="2891">
      <c r="A2891" t="inlineStr">
        <is>
          <t>NAUTICA MENS</t>
        </is>
      </c>
      <c r="B2891" t="inlineStr">
        <is>
          <t>208007876</t>
        </is>
      </c>
      <c r="C2891" t="inlineStr">
        <is>
          <t>LT.WEIGHT WINDSLICKER</t>
        </is>
      </c>
      <c r="D2891" t="inlineStr">
        <is>
          <t>BLK</t>
        </is>
      </c>
      <c r="E2891" t="inlineStr">
        <is>
          <t>(en blanco)</t>
        </is>
      </c>
      <c r="F2891" t="inlineStr">
        <is>
          <t>D2C</t>
        </is>
      </c>
      <c r="G2891" t="inlineStr">
        <is>
          <t>8X</t>
        </is>
      </c>
      <c r="H2891" t="n">
        <v>1</v>
      </c>
      <c r="I2891" t="inlineStr">
        <is>
          <t>NAUTICA_MENS_208007876_BLK_1.jpg</t>
        </is>
      </c>
      <c r="J2891" t="inlineStr">
        <is>
          <t>NAUTICA_MENS_208007876_BLK_2.jpg</t>
        </is>
      </c>
      <c r="K2891" t="inlineStr">
        <is>
          <t>NAUTICA_MENS_208007876_BLK_3.jpg</t>
        </is>
      </c>
      <c r="L2891">
        <f>IMAGE("file:///E:/Estudios%20y%20certificaciones/ESTUDIOS%20DE%20PROGRAMMING/PROGRAMMING/PERSONAL/PYTHON/Image_Generator_API/imagenes/NAUTICA_MENS_208007876_BLK_1.jpg")</f>
        <v/>
      </c>
      <c r="M2891">
        <f>IMAGE("file:///E:/Estudios%20y%20certificaciones/ESTUDIOS%20DE%20PROGRAMMING/PROGRAMMING/PERSONAL/PYTHON/Image_Generator_API/imagenes/NAUTICA_MENS_208007876_BLK_2.jpg")</f>
        <v/>
      </c>
      <c r="N2891">
        <f>IMAGE("file:///E:/Estudios%20y%20certificaciones/ESTUDIOS%20DE%20PROGRAMMING/PROGRAMMING/PERSONAL/PYTHON/Image_Generator_API/imagenes/NAUTICA_MENS_208007876_BLK_3.jpg")</f>
        <v/>
      </c>
      <c r="O2891">
        <f>HYPERLINK("imagenes/NAUTICA_MENS_208007876_BLK_1.jpg","Ver imagen")</f>
        <v/>
      </c>
      <c r="P2891">
        <f>HYPERLINK("imagenes/NAUTICA_MENS_208007876_BLK_2.jpg","Ver imagen")</f>
        <v/>
      </c>
      <c r="Q2891">
        <f>HYPERLINK("imagenes/NAUTICA_MENS_208007876_BLK_3.jpg","Ver imagen")</f>
        <v/>
      </c>
    </row>
    <row r="2892">
      <c r="A2892" t="inlineStr">
        <is>
          <t>NAUTICA MENS</t>
        </is>
      </c>
      <c r="B2892" t="inlineStr">
        <is>
          <t>208007876</t>
        </is>
      </c>
      <c r="C2892" t="inlineStr">
        <is>
          <t>LT.WEIGHT WINDSLICKER</t>
        </is>
      </c>
      <c r="D2892" t="inlineStr">
        <is>
          <t>BPR</t>
        </is>
      </c>
      <c r="E2892" t="inlineStr">
        <is>
          <t>(en blanco)</t>
        </is>
      </c>
      <c r="F2892" t="inlineStr">
        <is>
          <t>D2C</t>
        </is>
      </c>
      <c r="G2892" t="inlineStr">
        <is>
          <t>2X</t>
        </is>
      </c>
      <c r="H2892" t="n">
        <v>5</v>
      </c>
      <c r="I2892" t="inlineStr">
        <is>
          <t>NAUTICA_MENS_208007876_BPR_1.jpg</t>
        </is>
      </c>
      <c r="J2892" t="inlineStr">
        <is>
          <t>NAUTICA_MENS_208007876_BPR_2.jpg</t>
        </is>
      </c>
      <c r="K2892" t="inlineStr">
        <is>
          <t>NAUTICA_MENS_208007876_BPR_3.jpg</t>
        </is>
      </c>
      <c r="L2892">
        <f>IMAGE("file:///E:/Estudios%20y%20certificaciones/ESTUDIOS%20DE%20PROGRAMMING/PROGRAMMING/PERSONAL/PYTHON/Image_Generator_API/imagenes/NAUTICA_MENS_208007876_BPR_1.jpg")</f>
        <v/>
      </c>
      <c r="M2892">
        <f>IMAGE("file:///E:/Estudios%20y%20certificaciones/ESTUDIOS%20DE%20PROGRAMMING/PROGRAMMING/PERSONAL/PYTHON/Image_Generator_API/imagenes/NAUTICA_MENS_208007876_BPR_2.jpg")</f>
        <v/>
      </c>
      <c r="N2892">
        <f>IMAGE("file:///E:/Estudios%20y%20certificaciones/ESTUDIOS%20DE%20PROGRAMMING/PROGRAMMING/PERSONAL/PYTHON/Image_Generator_API/imagenes/NAUTICA_MENS_208007876_BPR_3.jpg")</f>
        <v/>
      </c>
      <c r="O2892">
        <f>HYPERLINK("imagenes/NAUTICA_MENS_208007876_BPR_1.jpg","Ver imagen")</f>
        <v/>
      </c>
      <c r="P2892">
        <f>HYPERLINK("imagenes/NAUTICA_MENS_208007876_BPR_2.jpg","Ver imagen")</f>
        <v/>
      </c>
      <c r="Q2892">
        <f>HYPERLINK("imagenes/NAUTICA_MENS_208007876_BPR_3.jpg","Ver imagen")</f>
        <v/>
      </c>
    </row>
    <row r="2893">
      <c r="A2893" t="inlineStr">
        <is>
          <t>NAUTICA MENS</t>
        </is>
      </c>
      <c r="B2893" t="inlineStr">
        <is>
          <t>208007876</t>
        </is>
      </c>
      <c r="C2893" t="inlineStr">
        <is>
          <t>LT.WEIGHT WINDSLICKER</t>
        </is>
      </c>
      <c r="D2893" t="inlineStr">
        <is>
          <t>BPR</t>
        </is>
      </c>
      <c r="E2893" t="inlineStr">
        <is>
          <t>(en blanco)</t>
        </is>
      </c>
      <c r="F2893" t="inlineStr">
        <is>
          <t>D2C</t>
        </is>
      </c>
      <c r="G2893" t="inlineStr">
        <is>
          <t>3X</t>
        </is>
      </c>
      <c r="H2893" t="n">
        <v>7</v>
      </c>
      <c r="I2893" t="inlineStr">
        <is>
          <t>NAUTICA_MENS_208007876_BPR_1.jpg</t>
        </is>
      </c>
      <c r="J2893" t="inlineStr">
        <is>
          <t>NAUTICA_MENS_208007876_BPR_2.jpg</t>
        </is>
      </c>
      <c r="K2893" t="inlineStr">
        <is>
          <t>NAUTICA_MENS_208007876_BPR_3.jpg</t>
        </is>
      </c>
      <c r="L2893">
        <f>IMAGE("file:///E:/Estudios%20y%20certificaciones/ESTUDIOS%20DE%20PROGRAMMING/PROGRAMMING/PERSONAL/PYTHON/Image_Generator_API/imagenes/NAUTICA_MENS_208007876_BPR_1.jpg")</f>
        <v/>
      </c>
      <c r="M2893">
        <f>IMAGE("file:///E:/Estudios%20y%20certificaciones/ESTUDIOS%20DE%20PROGRAMMING/PROGRAMMING/PERSONAL/PYTHON/Image_Generator_API/imagenes/NAUTICA_MENS_208007876_BPR_2.jpg")</f>
        <v/>
      </c>
      <c r="N2893">
        <f>IMAGE("file:///E:/Estudios%20y%20certificaciones/ESTUDIOS%20DE%20PROGRAMMING/PROGRAMMING/PERSONAL/PYTHON/Image_Generator_API/imagenes/NAUTICA_MENS_208007876_BPR_3.jpg")</f>
        <v/>
      </c>
      <c r="O2893">
        <f>HYPERLINK("imagenes/NAUTICA_MENS_208007876_BPR_1.jpg","Ver imagen")</f>
        <v/>
      </c>
      <c r="P2893">
        <f>HYPERLINK("imagenes/NAUTICA_MENS_208007876_BPR_2.jpg","Ver imagen")</f>
        <v/>
      </c>
      <c r="Q2893">
        <f>HYPERLINK("imagenes/NAUTICA_MENS_208007876_BPR_3.jpg","Ver imagen")</f>
        <v/>
      </c>
    </row>
    <row r="2894">
      <c r="A2894" t="inlineStr">
        <is>
          <t>NAUTICA MENS</t>
        </is>
      </c>
      <c r="B2894" t="inlineStr">
        <is>
          <t>208007876</t>
        </is>
      </c>
      <c r="C2894" t="inlineStr">
        <is>
          <t>LT.WEIGHT WINDSLICKER</t>
        </is>
      </c>
      <c r="D2894" t="inlineStr">
        <is>
          <t>BPR</t>
        </is>
      </c>
      <c r="E2894" t="inlineStr">
        <is>
          <t>(en blanco)</t>
        </is>
      </c>
      <c r="F2894" t="inlineStr">
        <is>
          <t>D2C</t>
        </is>
      </c>
      <c r="G2894" t="inlineStr">
        <is>
          <t>4X</t>
        </is>
      </c>
      <c r="H2894" t="n">
        <v>6</v>
      </c>
      <c r="I2894" t="inlineStr">
        <is>
          <t>NAUTICA_MENS_208007876_BPR_1.jpg</t>
        </is>
      </c>
      <c r="J2894" t="inlineStr">
        <is>
          <t>NAUTICA_MENS_208007876_BPR_2.jpg</t>
        </is>
      </c>
      <c r="K2894" t="inlineStr">
        <is>
          <t>NAUTICA_MENS_208007876_BPR_3.jpg</t>
        </is>
      </c>
      <c r="L2894">
        <f>IMAGE("file:///E:/Estudios%20y%20certificaciones/ESTUDIOS%20DE%20PROGRAMMING/PROGRAMMING/PERSONAL/PYTHON/Image_Generator_API/imagenes/NAUTICA_MENS_208007876_BPR_1.jpg")</f>
        <v/>
      </c>
      <c r="M2894">
        <f>IMAGE("file:///E:/Estudios%20y%20certificaciones/ESTUDIOS%20DE%20PROGRAMMING/PROGRAMMING/PERSONAL/PYTHON/Image_Generator_API/imagenes/NAUTICA_MENS_208007876_BPR_2.jpg")</f>
        <v/>
      </c>
      <c r="N2894">
        <f>IMAGE("file:///E:/Estudios%20y%20certificaciones/ESTUDIOS%20DE%20PROGRAMMING/PROGRAMMING/PERSONAL/PYTHON/Image_Generator_API/imagenes/NAUTICA_MENS_208007876_BPR_3.jpg")</f>
        <v/>
      </c>
      <c r="O2894">
        <f>HYPERLINK("imagenes/NAUTICA_MENS_208007876_BPR_1.jpg","Ver imagen")</f>
        <v/>
      </c>
      <c r="P2894">
        <f>HYPERLINK("imagenes/NAUTICA_MENS_208007876_BPR_2.jpg","Ver imagen")</f>
        <v/>
      </c>
      <c r="Q2894">
        <f>HYPERLINK("imagenes/NAUTICA_MENS_208007876_BPR_3.jpg","Ver imagen")</f>
        <v/>
      </c>
    </row>
    <row r="2895">
      <c r="A2895" t="inlineStr">
        <is>
          <t>NAUTICA MENS</t>
        </is>
      </c>
      <c r="B2895" t="inlineStr">
        <is>
          <t>208007876</t>
        </is>
      </c>
      <c r="C2895" t="inlineStr">
        <is>
          <t>LT.WEIGHT WINDSLICKER</t>
        </is>
      </c>
      <c r="D2895" t="inlineStr">
        <is>
          <t>BPR</t>
        </is>
      </c>
      <c r="E2895" t="inlineStr">
        <is>
          <t>(en blanco)</t>
        </is>
      </c>
      <c r="F2895" t="inlineStr">
        <is>
          <t>D2C</t>
        </is>
      </c>
      <c r="G2895" t="inlineStr">
        <is>
          <t>5X</t>
        </is>
      </c>
      <c r="H2895" t="n">
        <v>4</v>
      </c>
      <c r="I2895" t="inlineStr">
        <is>
          <t>NAUTICA_MENS_208007876_BPR_1.jpg</t>
        </is>
      </c>
      <c r="J2895" t="inlineStr">
        <is>
          <t>NAUTICA_MENS_208007876_BPR_2.jpg</t>
        </is>
      </c>
      <c r="K2895" t="inlineStr">
        <is>
          <t>NAUTICA_MENS_208007876_BPR_3.jpg</t>
        </is>
      </c>
      <c r="L2895">
        <f>IMAGE("file:///E:/Estudios%20y%20certificaciones/ESTUDIOS%20DE%20PROGRAMMING/PROGRAMMING/PERSONAL/PYTHON/Image_Generator_API/imagenes/NAUTICA_MENS_208007876_BPR_1.jpg")</f>
        <v/>
      </c>
      <c r="M2895">
        <f>IMAGE("file:///E:/Estudios%20y%20certificaciones/ESTUDIOS%20DE%20PROGRAMMING/PROGRAMMING/PERSONAL/PYTHON/Image_Generator_API/imagenes/NAUTICA_MENS_208007876_BPR_2.jpg")</f>
        <v/>
      </c>
      <c r="N2895">
        <f>IMAGE("file:///E:/Estudios%20y%20certificaciones/ESTUDIOS%20DE%20PROGRAMMING/PROGRAMMING/PERSONAL/PYTHON/Image_Generator_API/imagenes/NAUTICA_MENS_208007876_BPR_3.jpg")</f>
        <v/>
      </c>
      <c r="O2895">
        <f>HYPERLINK("imagenes/NAUTICA_MENS_208007876_BPR_1.jpg","Ver imagen")</f>
        <v/>
      </c>
      <c r="P2895">
        <f>HYPERLINK("imagenes/NAUTICA_MENS_208007876_BPR_2.jpg","Ver imagen")</f>
        <v/>
      </c>
      <c r="Q2895">
        <f>HYPERLINK("imagenes/NAUTICA_MENS_208007876_BPR_3.jpg","Ver imagen")</f>
        <v/>
      </c>
    </row>
    <row r="2896">
      <c r="A2896" t="inlineStr">
        <is>
          <t>NAUTICA MENS</t>
        </is>
      </c>
      <c r="B2896" t="inlineStr">
        <is>
          <t>208007876</t>
        </is>
      </c>
      <c r="C2896" t="inlineStr">
        <is>
          <t>LT.WEIGHT WINDSLICKER</t>
        </is>
      </c>
      <c r="D2896" t="inlineStr">
        <is>
          <t>BPR</t>
        </is>
      </c>
      <c r="E2896" t="inlineStr">
        <is>
          <t>(en blanco)</t>
        </is>
      </c>
      <c r="F2896" t="inlineStr">
        <is>
          <t>D2C</t>
        </is>
      </c>
      <c r="G2896" t="inlineStr">
        <is>
          <t>6X</t>
        </is>
      </c>
      <c r="H2896" t="n">
        <v>5</v>
      </c>
      <c r="I2896" t="inlineStr">
        <is>
          <t>NAUTICA_MENS_208007876_BPR_1.jpg</t>
        </is>
      </c>
      <c r="J2896" t="inlineStr">
        <is>
          <t>NAUTICA_MENS_208007876_BPR_2.jpg</t>
        </is>
      </c>
      <c r="K2896" t="inlineStr">
        <is>
          <t>NAUTICA_MENS_208007876_BPR_3.jpg</t>
        </is>
      </c>
      <c r="L2896">
        <f>IMAGE("file:///E:/Estudios%20y%20certificaciones/ESTUDIOS%20DE%20PROGRAMMING/PROGRAMMING/PERSONAL/PYTHON/Image_Generator_API/imagenes/NAUTICA_MENS_208007876_BPR_1.jpg")</f>
        <v/>
      </c>
      <c r="M2896">
        <f>IMAGE("file:///E:/Estudios%20y%20certificaciones/ESTUDIOS%20DE%20PROGRAMMING/PROGRAMMING/PERSONAL/PYTHON/Image_Generator_API/imagenes/NAUTICA_MENS_208007876_BPR_2.jpg")</f>
        <v/>
      </c>
      <c r="N2896">
        <f>IMAGE("file:///E:/Estudios%20y%20certificaciones/ESTUDIOS%20DE%20PROGRAMMING/PROGRAMMING/PERSONAL/PYTHON/Image_Generator_API/imagenes/NAUTICA_MENS_208007876_BPR_3.jpg")</f>
        <v/>
      </c>
      <c r="O2896">
        <f>HYPERLINK("imagenes/NAUTICA_MENS_208007876_BPR_1.jpg","Ver imagen")</f>
        <v/>
      </c>
      <c r="P2896">
        <f>HYPERLINK("imagenes/NAUTICA_MENS_208007876_BPR_2.jpg","Ver imagen")</f>
        <v/>
      </c>
      <c r="Q2896">
        <f>HYPERLINK("imagenes/NAUTICA_MENS_208007876_BPR_3.jpg","Ver imagen")</f>
        <v/>
      </c>
    </row>
    <row r="2897">
      <c r="A2897" t="inlineStr">
        <is>
          <t>NAUTICA MENS</t>
        </is>
      </c>
      <c r="B2897" t="inlineStr">
        <is>
          <t>208007876</t>
        </is>
      </c>
      <c r="C2897" t="inlineStr">
        <is>
          <t>LT.WEIGHT WINDSLICKER</t>
        </is>
      </c>
      <c r="D2897" t="inlineStr">
        <is>
          <t>BPR</t>
        </is>
      </c>
      <c r="E2897" t="inlineStr">
        <is>
          <t>(en blanco)</t>
        </is>
      </c>
      <c r="F2897" t="inlineStr">
        <is>
          <t>D2C</t>
        </is>
      </c>
      <c r="G2897" t="inlineStr">
        <is>
          <t>8X</t>
        </is>
      </c>
      <c r="H2897" t="n">
        <v>5</v>
      </c>
      <c r="I2897" t="inlineStr">
        <is>
          <t>NAUTICA_MENS_208007876_BPR_1.jpg</t>
        </is>
      </c>
      <c r="J2897" t="inlineStr">
        <is>
          <t>NAUTICA_MENS_208007876_BPR_2.jpg</t>
        </is>
      </c>
      <c r="K2897" t="inlineStr">
        <is>
          <t>NAUTICA_MENS_208007876_BPR_3.jpg</t>
        </is>
      </c>
      <c r="L2897">
        <f>IMAGE("file:///E:/Estudios%20y%20certificaciones/ESTUDIOS%20DE%20PROGRAMMING/PROGRAMMING/PERSONAL/PYTHON/Image_Generator_API/imagenes/NAUTICA_MENS_208007876_BPR_1.jpg")</f>
        <v/>
      </c>
      <c r="M2897">
        <f>IMAGE("file:///E:/Estudios%20y%20certificaciones/ESTUDIOS%20DE%20PROGRAMMING/PROGRAMMING/PERSONAL/PYTHON/Image_Generator_API/imagenes/NAUTICA_MENS_208007876_BPR_2.jpg")</f>
        <v/>
      </c>
      <c r="N2897">
        <f>IMAGE("file:///E:/Estudios%20y%20certificaciones/ESTUDIOS%20DE%20PROGRAMMING/PROGRAMMING/PERSONAL/PYTHON/Image_Generator_API/imagenes/NAUTICA_MENS_208007876_BPR_3.jpg")</f>
        <v/>
      </c>
      <c r="O2897">
        <f>HYPERLINK("imagenes/NAUTICA_MENS_208007876_BPR_1.jpg","Ver imagen")</f>
        <v/>
      </c>
      <c r="P2897">
        <f>HYPERLINK("imagenes/NAUTICA_MENS_208007876_BPR_2.jpg","Ver imagen")</f>
        <v/>
      </c>
      <c r="Q2897">
        <f>HYPERLINK("imagenes/NAUTICA_MENS_208007876_BPR_3.jpg","Ver imagen")</f>
        <v/>
      </c>
    </row>
    <row r="2898">
      <c r="A2898" t="inlineStr">
        <is>
          <t>NAUTICA MENS</t>
        </is>
      </c>
      <c r="B2898" t="inlineStr">
        <is>
          <t>208007876</t>
        </is>
      </c>
      <c r="C2898" t="inlineStr">
        <is>
          <t>LT.WEIGHT WINDSLICKER</t>
        </is>
      </c>
      <c r="D2898" t="inlineStr">
        <is>
          <t>BPR</t>
        </is>
      </c>
      <c r="E2898" t="inlineStr">
        <is>
          <t>(en blanco)</t>
        </is>
      </c>
      <c r="F2898" t="inlineStr">
        <is>
          <t>(en blanco)</t>
        </is>
      </c>
      <c r="G2898" t="inlineStr">
        <is>
          <t>3X</t>
        </is>
      </c>
      <c r="H2898" t="n">
        <v>7</v>
      </c>
      <c r="I2898" t="inlineStr">
        <is>
          <t>NAUTICA_MENS_208007876_BPR_1.jpg</t>
        </is>
      </c>
      <c r="J2898" t="inlineStr">
        <is>
          <t>NAUTICA_MENS_208007876_BPR_2.jpg</t>
        </is>
      </c>
      <c r="K2898" t="inlineStr">
        <is>
          <t>NAUTICA_MENS_208007876_BPR_3.jpg</t>
        </is>
      </c>
      <c r="L2898">
        <f>IMAGE("file:///E:/Estudios%20y%20certificaciones/ESTUDIOS%20DE%20PROGRAMMING/PROGRAMMING/PERSONAL/PYTHON/Image_Generator_API/imagenes/NAUTICA_MENS_208007876_BPR_1.jpg")</f>
        <v/>
      </c>
      <c r="M2898">
        <f>IMAGE("file:///E:/Estudios%20y%20certificaciones/ESTUDIOS%20DE%20PROGRAMMING/PROGRAMMING/PERSONAL/PYTHON/Image_Generator_API/imagenes/NAUTICA_MENS_208007876_BPR_2.jpg")</f>
        <v/>
      </c>
      <c r="N2898">
        <f>IMAGE("file:///E:/Estudios%20y%20certificaciones/ESTUDIOS%20DE%20PROGRAMMING/PROGRAMMING/PERSONAL/PYTHON/Image_Generator_API/imagenes/NAUTICA_MENS_208007876_BPR_3.jpg")</f>
        <v/>
      </c>
      <c r="O2898">
        <f>HYPERLINK("imagenes/NAUTICA_MENS_208007876_BPR_1.jpg","Ver imagen")</f>
        <v/>
      </c>
      <c r="P2898">
        <f>HYPERLINK("imagenes/NAUTICA_MENS_208007876_BPR_2.jpg","Ver imagen")</f>
        <v/>
      </c>
      <c r="Q2898">
        <f>HYPERLINK("imagenes/NAUTICA_MENS_208007876_BPR_3.jpg","Ver imagen")</f>
        <v/>
      </c>
    </row>
    <row r="2899">
      <c r="A2899" t="inlineStr">
        <is>
          <t>NAUTICA MENS</t>
        </is>
      </c>
      <c r="B2899" t="inlineStr">
        <is>
          <t>208007876</t>
        </is>
      </c>
      <c r="C2899" t="inlineStr">
        <is>
          <t>LT.WEIGHT WINDSLICKER</t>
        </is>
      </c>
      <c r="D2899" t="inlineStr">
        <is>
          <t>BPR</t>
        </is>
      </c>
      <c r="E2899" t="inlineStr">
        <is>
          <t>(en blanco)</t>
        </is>
      </c>
      <c r="F2899" t="inlineStr">
        <is>
          <t>(en blanco)</t>
        </is>
      </c>
      <c r="G2899" t="inlineStr">
        <is>
          <t>4X</t>
        </is>
      </c>
      <c r="H2899" t="n">
        <v>3</v>
      </c>
      <c r="I2899" t="inlineStr">
        <is>
          <t>NAUTICA_MENS_208007876_BPR_1.jpg</t>
        </is>
      </c>
      <c r="J2899" t="inlineStr">
        <is>
          <t>NAUTICA_MENS_208007876_BPR_2.jpg</t>
        </is>
      </c>
      <c r="K2899" t="inlineStr">
        <is>
          <t>NAUTICA_MENS_208007876_BPR_3.jpg</t>
        </is>
      </c>
      <c r="L2899">
        <f>IMAGE("file:///E:/Estudios%20y%20certificaciones/ESTUDIOS%20DE%20PROGRAMMING/PROGRAMMING/PERSONAL/PYTHON/Image_Generator_API/imagenes/NAUTICA_MENS_208007876_BPR_1.jpg")</f>
        <v/>
      </c>
      <c r="M2899">
        <f>IMAGE("file:///E:/Estudios%20y%20certificaciones/ESTUDIOS%20DE%20PROGRAMMING/PROGRAMMING/PERSONAL/PYTHON/Image_Generator_API/imagenes/NAUTICA_MENS_208007876_BPR_2.jpg")</f>
        <v/>
      </c>
      <c r="N2899">
        <f>IMAGE("file:///E:/Estudios%20y%20certificaciones/ESTUDIOS%20DE%20PROGRAMMING/PROGRAMMING/PERSONAL/PYTHON/Image_Generator_API/imagenes/NAUTICA_MENS_208007876_BPR_3.jpg")</f>
        <v/>
      </c>
      <c r="O2899">
        <f>HYPERLINK("imagenes/NAUTICA_MENS_208007876_BPR_1.jpg","Ver imagen")</f>
        <v/>
      </c>
      <c r="P2899">
        <f>HYPERLINK("imagenes/NAUTICA_MENS_208007876_BPR_2.jpg","Ver imagen")</f>
        <v/>
      </c>
      <c r="Q2899">
        <f>HYPERLINK("imagenes/NAUTICA_MENS_208007876_BPR_3.jpg","Ver imagen")</f>
        <v/>
      </c>
    </row>
    <row r="2900">
      <c r="A2900" t="inlineStr">
        <is>
          <t>NAUTICA MENS</t>
        </is>
      </c>
      <c r="B2900" t="inlineStr">
        <is>
          <t>208007876</t>
        </is>
      </c>
      <c r="C2900" t="inlineStr">
        <is>
          <t>LT.WEIGHT WINDSLICKER</t>
        </is>
      </c>
      <c r="D2900" t="inlineStr">
        <is>
          <t>RED</t>
        </is>
      </c>
      <c r="E2900" t="inlineStr">
        <is>
          <t>(en blanco)</t>
        </is>
      </c>
      <c r="F2900" t="inlineStr">
        <is>
          <t>D2C</t>
        </is>
      </c>
      <c r="G2900" t="inlineStr">
        <is>
          <t>2X</t>
        </is>
      </c>
      <c r="H2900" t="n">
        <v>5</v>
      </c>
      <c r="I2900" t="inlineStr">
        <is>
          <t>NAUTICA_MENS_208007876_RED_1.jpg</t>
        </is>
      </c>
      <c r="J2900" t="inlineStr">
        <is>
          <t>NAUTICA_MENS_208007876_RED_2.jpg</t>
        </is>
      </c>
      <c r="K2900" t="inlineStr">
        <is>
          <t>NAUTICA_MENS_208007876_RED_3.jpg</t>
        </is>
      </c>
      <c r="L2900">
        <f>IMAGE("file:///E:/Estudios%20y%20certificaciones/ESTUDIOS%20DE%20PROGRAMMING/PROGRAMMING/PERSONAL/PYTHON/Image_Generator_API/imagenes/NAUTICA_MENS_208007876_RED_1.jpg")</f>
        <v/>
      </c>
      <c r="M2900">
        <f>IMAGE("file:///E:/Estudios%20y%20certificaciones/ESTUDIOS%20DE%20PROGRAMMING/PROGRAMMING/PERSONAL/PYTHON/Image_Generator_API/imagenes/NAUTICA_MENS_208007876_RED_2.jpg")</f>
        <v/>
      </c>
      <c r="N2900">
        <f>IMAGE("file:///E:/Estudios%20y%20certificaciones/ESTUDIOS%20DE%20PROGRAMMING/PROGRAMMING/PERSONAL/PYTHON/Image_Generator_API/imagenes/NAUTICA_MENS_208007876_RED_3.jpg")</f>
        <v/>
      </c>
      <c r="O2900">
        <f>HYPERLINK("imagenes/NAUTICA_MENS_208007876_RED_1.jpg","Ver imagen")</f>
        <v/>
      </c>
      <c r="P2900">
        <f>HYPERLINK("imagenes/NAUTICA_MENS_208007876_RED_2.jpg","Ver imagen")</f>
        <v/>
      </c>
      <c r="Q2900">
        <f>HYPERLINK("imagenes/NAUTICA_MENS_208007876_RED_3.jpg","Ver imagen")</f>
        <v/>
      </c>
    </row>
    <row r="2901">
      <c r="A2901" t="inlineStr">
        <is>
          <t>NAUTICA MENS</t>
        </is>
      </c>
      <c r="B2901" t="inlineStr">
        <is>
          <t>208007876</t>
        </is>
      </c>
      <c r="C2901" t="inlineStr">
        <is>
          <t>LT.WEIGHT WINDSLICKER</t>
        </is>
      </c>
      <c r="D2901" t="inlineStr">
        <is>
          <t>RED</t>
        </is>
      </c>
      <c r="E2901" t="inlineStr">
        <is>
          <t>(en blanco)</t>
        </is>
      </c>
      <c r="F2901" t="inlineStr">
        <is>
          <t>D2C</t>
        </is>
      </c>
      <c r="G2901" t="inlineStr">
        <is>
          <t>3X</t>
        </is>
      </c>
      <c r="H2901" t="n">
        <v>5</v>
      </c>
      <c r="I2901" t="inlineStr">
        <is>
          <t>NAUTICA_MENS_208007876_RED_1.jpg</t>
        </is>
      </c>
      <c r="J2901" t="inlineStr">
        <is>
          <t>NAUTICA_MENS_208007876_RED_2.jpg</t>
        </is>
      </c>
      <c r="K2901" t="inlineStr">
        <is>
          <t>NAUTICA_MENS_208007876_RED_3.jpg</t>
        </is>
      </c>
      <c r="L2901">
        <f>IMAGE("file:///E:/Estudios%20y%20certificaciones/ESTUDIOS%20DE%20PROGRAMMING/PROGRAMMING/PERSONAL/PYTHON/Image_Generator_API/imagenes/NAUTICA_MENS_208007876_RED_1.jpg")</f>
        <v/>
      </c>
      <c r="M2901">
        <f>IMAGE("file:///E:/Estudios%20y%20certificaciones/ESTUDIOS%20DE%20PROGRAMMING/PROGRAMMING/PERSONAL/PYTHON/Image_Generator_API/imagenes/NAUTICA_MENS_208007876_RED_2.jpg")</f>
        <v/>
      </c>
      <c r="N2901">
        <f>IMAGE("file:///E:/Estudios%20y%20certificaciones/ESTUDIOS%20DE%20PROGRAMMING/PROGRAMMING/PERSONAL/PYTHON/Image_Generator_API/imagenes/NAUTICA_MENS_208007876_RED_3.jpg")</f>
        <v/>
      </c>
      <c r="O2901">
        <f>HYPERLINK("imagenes/NAUTICA_MENS_208007876_RED_1.jpg","Ver imagen")</f>
        <v/>
      </c>
      <c r="P2901">
        <f>HYPERLINK("imagenes/NAUTICA_MENS_208007876_RED_2.jpg","Ver imagen")</f>
        <v/>
      </c>
      <c r="Q2901">
        <f>HYPERLINK("imagenes/NAUTICA_MENS_208007876_RED_3.jpg","Ver imagen")</f>
        <v/>
      </c>
    </row>
    <row r="2902">
      <c r="A2902" t="inlineStr">
        <is>
          <t>NAUTICA MENS</t>
        </is>
      </c>
      <c r="B2902" t="inlineStr">
        <is>
          <t>208007876</t>
        </is>
      </c>
      <c r="C2902" t="inlineStr">
        <is>
          <t>LT.WEIGHT WINDSLICKER</t>
        </is>
      </c>
      <c r="D2902" t="inlineStr">
        <is>
          <t>RED</t>
        </is>
      </c>
      <c r="E2902" t="inlineStr">
        <is>
          <t>(en blanco)</t>
        </is>
      </c>
      <c r="F2902" t="inlineStr">
        <is>
          <t>D2C</t>
        </is>
      </c>
      <c r="G2902" t="inlineStr">
        <is>
          <t>4X</t>
        </is>
      </c>
      <c r="H2902" t="n">
        <v>7</v>
      </c>
      <c r="I2902" t="inlineStr">
        <is>
          <t>NAUTICA_MENS_208007876_RED_1.jpg</t>
        </is>
      </c>
      <c r="J2902" t="inlineStr">
        <is>
          <t>NAUTICA_MENS_208007876_RED_2.jpg</t>
        </is>
      </c>
      <c r="K2902" t="inlineStr">
        <is>
          <t>NAUTICA_MENS_208007876_RED_3.jpg</t>
        </is>
      </c>
      <c r="L2902">
        <f>IMAGE("file:///E:/Estudios%20y%20certificaciones/ESTUDIOS%20DE%20PROGRAMMING/PROGRAMMING/PERSONAL/PYTHON/Image_Generator_API/imagenes/NAUTICA_MENS_208007876_RED_1.jpg")</f>
        <v/>
      </c>
      <c r="M2902">
        <f>IMAGE("file:///E:/Estudios%20y%20certificaciones/ESTUDIOS%20DE%20PROGRAMMING/PROGRAMMING/PERSONAL/PYTHON/Image_Generator_API/imagenes/NAUTICA_MENS_208007876_RED_2.jpg")</f>
        <v/>
      </c>
      <c r="N2902">
        <f>IMAGE("file:///E:/Estudios%20y%20certificaciones/ESTUDIOS%20DE%20PROGRAMMING/PROGRAMMING/PERSONAL/PYTHON/Image_Generator_API/imagenes/NAUTICA_MENS_208007876_RED_3.jpg")</f>
        <v/>
      </c>
      <c r="O2902">
        <f>HYPERLINK("imagenes/NAUTICA_MENS_208007876_RED_1.jpg","Ver imagen")</f>
        <v/>
      </c>
      <c r="P2902">
        <f>HYPERLINK("imagenes/NAUTICA_MENS_208007876_RED_2.jpg","Ver imagen")</f>
        <v/>
      </c>
      <c r="Q2902">
        <f>HYPERLINK("imagenes/NAUTICA_MENS_208007876_RED_3.jpg","Ver imagen")</f>
        <v/>
      </c>
    </row>
    <row r="2903">
      <c r="A2903" t="inlineStr">
        <is>
          <t>NAUTICA MENS</t>
        </is>
      </c>
      <c r="B2903" t="inlineStr">
        <is>
          <t>208007876</t>
        </is>
      </c>
      <c r="C2903" t="inlineStr">
        <is>
          <t>LT.WEIGHT WINDSLICKER</t>
        </is>
      </c>
      <c r="D2903" t="inlineStr">
        <is>
          <t>RED</t>
        </is>
      </c>
      <c r="E2903" t="inlineStr">
        <is>
          <t>(en blanco)</t>
        </is>
      </c>
      <c r="F2903" t="inlineStr">
        <is>
          <t>D2C</t>
        </is>
      </c>
      <c r="G2903" t="inlineStr">
        <is>
          <t>5X</t>
        </is>
      </c>
      <c r="H2903" t="n">
        <v>4</v>
      </c>
      <c r="I2903" t="inlineStr">
        <is>
          <t>NAUTICA_MENS_208007876_RED_1.jpg</t>
        </is>
      </c>
      <c r="J2903" t="inlineStr">
        <is>
          <t>NAUTICA_MENS_208007876_RED_2.jpg</t>
        </is>
      </c>
      <c r="K2903" t="inlineStr">
        <is>
          <t>NAUTICA_MENS_208007876_RED_3.jpg</t>
        </is>
      </c>
      <c r="L2903">
        <f>IMAGE("file:///E:/Estudios%20y%20certificaciones/ESTUDIOS%20DE%20PROGRAMMING/PROGRAMMING/PERSONAL/PYTHON/Image_Generator_API/imagenes/NAUTICA_MENS_208007876_RED_1.jpg")</f>
        <v/>
      </c>
      <c r="M2903">
        <f>IMAGE("file:///E:/Estudios%20y%20certificaciones/ESTUDIOS%20DE%20PROGRAMMING/PROGRAMMING/PERSONAL/PYTHON/Image_Generator_API/imagenes/NAUTICA_MENS_208007876_RED_2.jpg")</f>
        <v/>
      </c>
      <c r="N2903">
        <f>IMAGE("file:///E:/Estudios%20y%20certificaciones/ESTUDIOS%20DE%20PROGRAMMING/PROGRAMMING/PERSONAL/PYTHON/Image_Generator_API/imagenes/NAUTICA_MENS_208007876_RED_3.jpg")</f>
        <v/>
      </c>
      <c r="O2903">
        <f>HYPERLINK("imagenes/NAUTICA_MENS_208007876_RED_1.jpg","Ver imagen")</f>
        <v/>
      </c>
      <c r="P2903">
        <f>HYPERLINK("imagenes/NAUTICA_MENS_208007876_RED_2.jpg","Ver imagen")</f>
        <v/>
      </c>
      <c r="Q2903">
        <f>HYPERLINK("imagenes/NAUTICA_MENS_208007876_RED_3.jpg","Ver imagen")</f>
        <v/>
      </c>
    </row>
    <row r="2904">
      <c r="A2904" t="inlineStr">
        <is>
          <t>NAUTICA MENS</t>
        </is>
      </c>
      <c r="B2904" t="inlineStr">
        <is>
          <t>208007876</t>
        </is>
      </c>
      <c r="C2904" t="inlineStr">
        <is>
          <t>LT.WEIGHT WINDSLICKER</t>
        </is>
      </c>
      <c r="D2904" t="inlineStr">
        <is>
          <t>RED</t>
        </is>
      </c>
      <c r="E2904" t="inlineStr">
        <is>
          <t>(en blanco)</t>
        </is>
      </c>
      <c r="F2904" t="inlineStr">
        <is>
          <t>D2C</t>
        </is>
      </c>
      <c r="G2904" t="inlineStr">
        <is>
          <t>6X</t>
        </is>
      </c>
      <c r="H2904" t="n">
        <v>3</v>
      </c>
      <c r="I2904" t="inlineStr">
        <is>
          <t>NAUTICA_MENS_208007876_RED_1.jpg</t>
        </is>
      </c>
      <c r="J2904" t="inlineStr">
        <is>
          <t>NAUTICA_MENS_208007876_RED_2.jpg</t>
        </is>
      </c>
      <c r="K2904" t="inlineStr">
        <is>
          <t>NAUTICA_MENS_208007876_RED_3.jpg</t>
        </is>
      </c>
      <c r="L2904">
        <f>IMAGE("file:///E:/Estudios%20y%20certificaciones/ESTUDIOS%20DE%20PROGRAMMING/PROGRAMMING/PERSONAL/PYTHON/Image_Generator_API/imagenes/NAUTICA_MENS_208007876_RED_1.jpg")</f>
        <v/>
      </c>
      <c r="M2904">
        <f>IMAGE("file:///E:/Estudios%20y%20certificaciones/ESTUDIOS%20DE%20PROGRAMMING/PROGRAMMING/PERSONAL/PYTHON/Image_Generator_API/imagenes/NAUTICA_MENS_208007876_RED_2.jpg")</f>
        <v/>
      </c>
      <c r="N2904">
        <f>IMAGE("file:///E:/Estudios%20y%20certificaciones/ESTUDIOS%20DE%20PROGRAMMING/PROGRAMMING/PERSONAL/PYTHON/Image_Generator_API/imagenes/NAUTICA_MENS_208007876_RED_3.jpg")</f>
        <v/>
      </c>
      <c r="O2904">
        <f>HYPERLINK("imagenes/NAUTICA_MENS_208007876_RED_1.jpg","Ver imagen")</f>
        <v/>
      </c>
      <c r="P2904">
        <f>HYPERLINK("imagenes/NAUTICA_MENS_208007876_RED_2.jpg","Ver imagen")</f>
        <v/>
      </c>
      <c r="Q2904">
        <f>HYPERLINK("imagenes/NAUTICA_MENS_208007876_RED_3.jpg","Ver imagen")</f>
        <v/>
      </c>
    </row>
    <row r="2905">
      <c r="A2905" t="inlineStr">
        <is>
          <t>NAUTICA MENS</t>
        </is>
      </c>
      <c r="B2905" t="inlineStr">
        <is>
          <t>208007876</t>
        </is>
      </c>
      <c r="C2905" t="inlineStr">
        <is>
          <t>LT.WEIGHT WINDSLICKER</t>
        </is>
      </c>
      <c r="D2905" t="inlineStr">
        <is>
          <t>RED</t>
        </is>
      </c>
      <c r="E2905" t="inlineStr">
        <is>
          <t>(en blanco)</t>
        </is>
      </c>
      <c r="F2905" t="inlineStr">
        <is>
          <t>D2C</t>
        </is>
      </c>
      <c r="G2905" t="inlineStr">
        <is>
          <t>8X</t>
        </is>
      </c>
      <c r="H2905" t="n">
        <v>4</v>
      </c>
      <c r="I2905" t="inlineStr">
        <is>
          <t>NAUTICA_MENS_208007876_RED_1.jpg</t>
        </is>
      </c>
      <c r="J2905" t="inlineStr">
        <is>
          <t>NAUTICA_MENS_208007876_RED_2.jpg</t>
        </is>
      </c>
      <c r="K2905" t="inlineStr">
        <is>
          <t>NAUTICA_MENS_208007876_RED_3.jpg</t>
        </is>
      </c>
      <c r="L2905">
        <f>IMAGE("file:///E:/Estudios%20y%20certificaciones/ESTUDIOS%20DE%20PROGRAMMING/PROGRAMMING/PERSONAL/PYTHON/Image_Generator_API/imagenes/NAUTICA_MENS_208007876_RED_1.jpg")</f>
        <v/>
      </c>
      <c r="M2905">
        <f>IMAGE("file:///E:/Estudios%20y%20certificaciones/ESTUDIOS%20DE%20PROGRAMMING/PROGRAMMING/PERSONAL/PYTHON/Image_Generator_API/imagenes/NAUTICA_MENS_208007876_RED_2.jpg")</f>
        <v/>
      </c>
      <c r="N2905">
        <f>IMAGE("file:///E:/Estudios%20y%20certificaciones/ESTUDIOS%20DE%20PROGRAMMING/PROGRAMMING/PERSONAL/PYTHON/Image_Generator_API/imagenes/NAUTICA_MENS_208007876_RED_3.jpg")</f>
        <v/>
      </c>
      <c r="O2905">
        <f>HYPERLINK("imagenes/NAUTICA_MENS_208007876_RED_1.jpg","Ver imagen")</f>
        <v/>
      </c>
      <c r="P2905">
        <f>HYPERLINK("imagenes/NAUTICA_MENS_208007876_RED_2.jpg","Ver imagen")</f>
        <v/>
      </c>
      <c r="Q2905">
        <f>HYPERLINK("imagenes/NAUTICA_MENS_208007876_RED_3.jpg","Ver imagen")</f>
        <v/>
      </c>
    </row>
    <row r="2906">
      <c r="A2906" t="inlineStr">
        <is>
          <t>NAUTICA MENS</t>
        </is>
      </c>
      <c r="B2906" t="inlineStr">
        <is>
          <t>208007876</t>
        </is>
      </c>
      <c r="C2906" t="inlineStr">
        <is>
          <t>LT.WEIGHT WINDSLICKER</t>
        </is>
      </c>
      <c r="D2906" t="inlineStr">
        <is>
          <t>RED</t>
        </is>
      </c>
      <c r="E2906" t="inlineStr">
        <is>
          <t>(en blanco)</t>
        </is>
      </c>
      <c r="F2906" t="inlineStr">
        <is>
          <t>(en blanco)</t>
        </is>
      </c>
      <c r="G2906" t="inlineStr">
        <is>
          <t>3X</t>
        </is>
      </c>
      <c r="H2906" t="n">
        <v>8</v>
      </c>
      <c r="I2906" t="inlineStr">
        <is>
          <t>NAUTICA_MENS_208007876_RED_1.jpg</t>
        </is>
      </c>
      <c r="J2906" t="inlineStr">
        <is>
          <t>NAUTICA_MENS_208007876_RED_2.jpg</t>
        </is>
      </c>
      <c r="K2906" t="inlineStr">
        <is>
          <t>NAUTICA_MENS_208007876_RED_3.jpg</t>
        </is>
      </c>
      <c r="L2906">
        <f>IMAGE("file:///E:/Estudios%20y%20certificaciones/ESTUDIOS%20DE%20PROGRAMMING/PROGRAMMING/PERSONAL/PYTHON/Image_Generator_API/imagenes/NAUTICA_MENS_208007876_RED_1.jpg")</f>
        <v/>
      </c>
      <c r="M2906">
        <f>IMAGE("file:///E:/Estudios%20y%20certificaciones/ESTUDIOS%20DE%20PROGRAMMING/PROGRAMMING/PERSONAL/PYTHON/Image_Generator_API/imagenes/NAUTICA_MENS_208007876_RED_2.jpg")</f>
        <v/>
      </c>
      <c r="N2906">
        <f>IMAGE("file:///E:/Estudios%20y%20certificaciones/ESTUDIOS%20DE%20PROGRAMMING/PROGRAMMING/PERSONAL/PYTHON/Image_Generator_API/imagenes/NAUTICA_MENS_208007876_RED_3.jpg")</f>
        <v/>
      </c>
      <c r="O2906">
        <f>HYPERLINK("imagenes/NAUTICA_MENS_208007876_RED_1.jpg","Ver imagen")</f>
        <v/>
      </c>
      <c r="P2906">
        <f>HYPERLINK("imagenes/NAUTICA_MENS_208007876_RED_2.jpg","Ver imagen")</f>
        <v/>
      </c>
      <c r="Q2906">
        <f>HYPERLINK("imagenes/NAUTICA_MENS_208007876_RED_3.jpg","Ver imagen")</f>
        <v/>
      </c>
    </row>
    <row r="2907">
      <c r="A2907" t="inlineStr">
        <is>
          <t>NAUTICA MENS</t>
        </is>
      </c>
      <c r="B2907" t="inlineStr">
        <is>
          <t>208007876</t>
        </is>
      </c>
      <c r="C2907" t="inlineStr">
        <is>
          <t>LT.WEIGHT WINDSLICKER</t>
        </is>
      </c>
      <c r="D2907" t="inlineStr">
        <is>
          <t>RED</t>
        </is>
      </c>
      <c r="E2907" t="inlineStr">
        <is>
          <t>(en blanco)</t>
        </is>
      </c>
      <c r="F2907" t="inlineStr">
        <is>
          <t>(en blanco)</t>
        </is>
      </c>
      <c r="G2907" t="inlineStr">
        <is>
          <t>4X</t>
        </is>
      </c>
      <c r="H2907" t="n">
        <v>6</v>
      </c>
      <c r="I2907" t="inlineStr">
        <is>
          <t>NAUTICA_MENS_208007876_RED_1.jpg</t>
        </is>
      </c>
      <c r="J2907" t="inlineStr">
        <is>
          <t>NAUTICA_MENS_208007876_RED_2.jpg</t>
        </is>
      </c>
      <c r="K2907" t="inlineStr">
        <is>
          <t>NAUTICA_MENS_208007876_RED_3.jpg</t>
        </is>
      </c>
      <c r="L2907">
        <f>IMAGE("file:///E:/Estudios%20y%20certificaciones/ESTUDIOS%20DE%20PROGRAMMING/PROGRAMMING/PERSONAL/PYTHON/Image_Generator_API/imagenes/NAUTICA_MENS_208007876_RED_1.jpg")</f>
        <v/>
      </c>
      <c r="M2907">
        <f>IMAGE("file:///E:/Estudios%20y%20certificaciones/ESTUDIOS%20DE%20PROGRAMMING/PROGRAMMING/PERSONAL/PYTHON/Image_Generator_API/imagenes/NAUTICA_MENS_208007876_RED_2.jpg")</f>
        <v/>
      </c>
      <c r="N2907">
        <f>IMAGE("file:///E:/Estudios%20y%20certificaciones/ESTUDIOS%20DE%20PROGRAMMING/PROGRAMMING/PERSONAL/PYTHON/Image_Generator_API/imagenes/NAUTICA_MENS_208007876_RED_3.jpg")</f>
        <v/>
      </c>
      <c r="O2907">
        <f>HYPERLINK("imagenes/NAUTICA_MENS_208007876_RED_1.jpg","Ver imagen")</f>
        <v/>
      </c>
      <c r="P2907">
        <f>HYPERLINK("imagenes/NAUTICA_MENS_208007876_RED_2.jpg","Ver imagen")</f>
        <v/>
      </c>
      <c r="Q2907">
        <f>HYPERLINK("imagenes/NAUTICA_MENS_208007876_RED_3.jpg","Ver imagen")</f>
        <v/>
      </c>
    </row>
    <row r="2908">
      <c r="A2908" t="inlineStr">
        <is>
          <t>NAUTICA MENS</t>
        </is>
      </c>
      <c r="B2908" t="inlineStr">
        <is>
          <t>208007877</t>
        </is>
      </c>
      <c r="C2908" t="inlineStr">
        <is>
          <t>LT.WEIGHT WINDSLICKER</t>
        </is>
      </c>
      <c r="D2908" t="inlineStr">
        <is>
          <t>BLK</t>
        </is>
      </c>
      <c r="E2908" t="inlineStr">
        <is>
          <t>(en blanco)</t>
        </is>
      </c>
      <c r="F2908" t="inlineStr">
        <is>
          <t>D2C</t>
        </is>
      </c>
      <c r="G2908" t="inlineStr">
        <is>
          <t>2XLT</t>
        </is>
      </c>
      <c r="H2908" t="n">
        <v>3</v>
      </c>
      <c r="I2908" t="inlineStr">
        <is>
          <t>NAUTICA_MENS_208007877_BLK_1.jpg</t>
        </is>
      </c>
      <c r="J2908" t="inlineStr">
        <is>
          <t>NAUTICA_MENS_208007877_BLK_2.jpg</t>
        </is>
      </c>
      <c r="K2908" t="inlineStr">
        <is>
          <t>NAUTICA_MENS_208007877_BLK_3.jpg</t>
        </is>
      </c>
      <c r="L2908">
        <f>IMAGE("file:///E:/Estudios%20y%20certificaciones/ESTUDIOS%20DE%20PROGRAMMING/PROGRAMMING/PERSONAL/PYTHON/Image_Generator_API/imagenes/NAUTICA_MENS_208007877_BLK_1.jpg")</f>
        <v/>
      </c>
      <c r="M2908">
        <f>IMAGE("file:///E:/Estudios%20y%20certificaciones/ESTUDIOS%20DE%20PROGRAMMING/PROGRAMMING/PERSONAL/PYTHON/Image_Generator_API/imagenes/NAUTICA_MENS_208007877_BLK_2.jpg")</f>
        <v/>
      </c>
      <c r="N2908">
        <f>IMAGE("file:///E:/Estudios%20y%20certificaciones/ESTUDIOS%20DE%20PROGRAMMING/PROGRAMMING/PERSONAL/PYTHON/Image_Generator_API/imagenes/NAUTICA_MENS_208007877_BLK_3.jpg")</f>
        <v/>
      </c>
      <c r="O2908">
        <f>HYPERLINK("imagenes/NAUTICA_MENS_208007877_BLK_1.jpg","Ver imagen")</f>
        <v/>
      </c>
      <c r="P2908">
        <f>HYPERLINK("imagenes/NAUTICA_MENS_208007877_BLK_2.jpg","Ver imagen")</f>
        <v/>
      </c>
      <c r="Q2908">
        <f>HYPERLINK("imagenes/NAUTICA_MENS_208007877_BLK_3.jpg","Ver imagen")</f>
        <v/>
      </c>
    </row>
    <row r="2909">
      <c r="A2909" t="inlineStr">
        <is>
          <t>NAUTICA MENS</t>
        </is>
      </c>
      <c r="B2909" t="inlineStr">
        <is>
          <t>208007877</t>
        </is>
      </c>
      <c r="C2909" t="inlineStr">
        <is>
          <t>LT.WEIGHT WINDSLICKER</t>
        </is>
      </c>
      <c r="D2909" t="inlineStr">
        <is>
          <t>BLK</t>
        </is>
      </c>
      <c r="E2909" t="inlineStr">
        <is>
          <t>(en blanco)</t>
        </is>
      </c>
      <c r="F2909" t="inlineStr">
        <is>
          <t>D2C</t>
        </is>
      </c>
      <c r="G2909" t="inlineStr">
        <is>
          <t>XLT</t>
        </is>
      </c>
      <c r="H2909" t="n">
        <v>6</v>
      </c>
      <c r="I2909" t="inlineStr">
        <is>
          <t>NAUTICA_MENS_208007877_BLK_1.jpg</t>
        </is>
      </c>
      <c r="J2909" t="inlineStr">
        <is>
          <t>NAUTICA_MENS_208007877_BLK_2.jpg</t>
        </is>
      </c>
      <c r="K2909" t="inlineStr">
        <is>
          <t>NAUTICA_MENS_208007877_BLK_3.jpg</t>
        </is>
      </c>
      <c r="L2909">
        <f>IMAGE("file:///E:/Estudios%20y%20certificaciones/ESTUDIOS%20DE%20PROGRAMMING/PROGRAMMING/PERSONAL/PYTHON/Image_Generator_API/imagenes/NAUTICA_MENS_208007877_BLK_1.jpg")</f>
        <v/>
      </c>
      <c r="M2909">
        <f>IMAGE("file:///E:/Estudios%20y%20certificaciones/ESTUDIOS%20DE%20PROGRAMMING/PROGRAMMING/PERSONAL/PYTHON/Image_Generator_API/imagenes/NAUTICA_MENS_208007877_BLK_2.jpg")</f>
        <v/>
      </c>
      <c r="N2909">
        <f>IMAGE("file:///E:/Estudios%20y%20certificaciones/ESTUDIOS%20DE%20PROGRAMMING/PROGRAMMING/PERSONAL/PYTHON/Image_Generator_API/imagenes/NAUTICA_MENS_208007877_BLK_3.jpg")</f>
        <v/>
      </c>
      <c r="O2909">
        <f>HYPERLINK("imagenes/NAUTICA_MENS_208007877_BLK_1.jpg","Ver imagen")</f>
        <v/>
      </c>
      <c r="P2909">
        <f>HYPERLINK("imagenes/NAUTICA_MENS_208007877_BLK_2.jpg","Ver imagen")</f>
        <v/>
      </c>
      <c r="Q2909">
        <f>HYPERLINK("imagenes/NAUTICA_MENS_208007877_BLK_3.jpg","Ver imagen")</f>
        <v/>
      </c>
    </row>
    <row r="2910">
      <c r="A2910" t="inlineStr">
        <is>
          <t>NAUTICA MENS</t>
        </is>
      </c>
      <c r="B2910" t="inlineStr">
        <is>
          <t>208007877</t>
        </is>
      </c>
      <c r="C2910" t="inlineStr">
        <is>
          <t>LT.WEIGHT WINDSLICKER</t>
        </is>
      </c>
      <c r="D2910" t="inlineStr">
        <is>
          <t>BPR</t>
        </is>
      </c>
      <c r="E2910" t="inlineStr">
        <is>
          <t>(en blanco)</t>
        </is>
      </c>
      <c r="F2910" t="inlineStr">
        <is>
          <t>D2C</t>
        </is>
      </c>
      <c r="G2910" t="inlineStr">
        <is>
          <t>2XLT</t>
        </is>
      </c>
      <c r="H2910" t="n">
        <v>6</v>
      </c>
      <c r="I2910" t="inlineStr">
        <is>
          <t>NAUTICA_MENS_208007877_BPR_1.jpg</t>
        </is>
      </c>
      <c r="J2910" t="inlineStr">
        <is>
          <t>NAUTICA_MENS_208007877_BPR_2.jpg</t>
        </is>
      </c>
      <c r="K2910" t="inlineStr">
        <is>
          <t>NAUTICA_MENS_208007877_BPR_3.jpg</t>
        </is>
      </c>
      <c r="L2910">
        <f>IMAGE("file:///E:/Estudios%20y%20certificaciones/ESTUDIOS%20DE%20PROGRAMMING/PROGRAMMING/PERSONAL/PYTHON/Image_Generator_API/imagenes/NAUTICA_MENS_208007877_BPR_1.jpg")</f>
        <v/>
      </c>
      <c r="M2910">
        <f>IMAGE("file:///E:/Estudios%20y%20certificaciones/ESTUDIOS%20DE%20PROGRAMMING/PROGRAMMING/PERSONAL/PYTHON/Image_Generator_API/imagenes/NAUTICA_MENS_208007877_BPR_2.jpg")</f>
        <v/>
      </c>
      <c r="N2910">
        <f>IMAGE("file:///E:/Estudios%20y%20certificaciones/ESTUDIOS%20DE%20PROGRAMMING/PROGRAMMING/PERSONAL/PYTHON/Image_Generator_API/imagenes/NAUTICA_MENS_208007877_BPR_3.jpg")</f>
        <v/>
      </c>
      <c r="O2910">
        <f>HYPERLINK("imagenes/NAUTICA_MENS_208007877_BPR_1.jpg","Ver imagen")</f>
        <v/>
      </c>
      <c r="P2910">
        <f>HYPERLINK("imagenes/NAUTICA_MENS_208007877_BPR_2.jpg","Ver imagen")</f>
        <v/>
      </c>
      <c r="Q2910">
        <f>HYPERLINK("imagenes/NAUTICA_MENS_208007877_BPR_3.jpg","Ver imagen")</f>
        <v/>
      </c>
    </row>
    <row r="2911">
      <c r="A2911" t="inlineStr">
        <is>
          <t>NAUTICA MENS</t>
        </is>
      </c>
      <c r="B2911" t="inlineStr">
        <is>
          <t>208007877</t>
        </is>
      </c>
      <c r="C2911" t="inlineStr">
        <is>
          <t>LT.WEIGHT WINDSLICKER</t>
        </is>
      </c>
      <c r="D2911" t="inlineStr">
        <is>
          <t>BPR</t>
        </is>
      </c>
      <c r="E2911" t="inlineStr">
        <is>
          <t>(en blanco)</t>
        </is>
      </c>
      <c r="F2911" t="inlineStr">
        <is>
          <t>D2C</t>
        </is>
      </c>
      <c r="G2911" t="inlineStr">
        <is>
          <t>3XLT</t>
        </is>
      </c>
      <c r="H2911" t="n">
        <v>6</v>
      </c>
      <c r="I2911" t="inlineStr">
        <is>
          <t>NAUTICA_MENS_208007877_BPR_1.jpg</t>
        </is>
      </c>
      <c r="J2911" t="inlineStr">
        <is>
          <t>NAUTICA_MENS_208007877_BPR_2.jpg</t>
        </is>
      </c>
      <c r="K2911" t="inlineStr">
        <is>
          <t>NAUTICA_MENS_208007877_BPR_3.jpg</t>
        </is>
      </c>
      <c r="L2911">
        <f>IMAGE("file:///E:/Estudios%20y%20certificaciones/ESTUDIOS%20DE%20PROGRAMMING/PROGRAMMING/PERSONAL/PYTHON/Image_Generator_API/imagenes/NAUTICA_MENS_208007877_BPR_1.jpg")</f>
        <v/>
      </c>
      <c r="M2911">
        <f>IMAGE("file:///E:/Estudios%20y%20certificaciones/ESTUDIOS%20DE%20PROGRAMMING/PROGRAMMING/PERSONAL/PYTHON/Image_Generator_API/imagenes/NAUTICA_MENS_208007877_BPR_2.jpg")</f>
        <v/>
      </c>
      <c r="N2911">
        <f>IMAGE("file:///E:/Estudios%20y%20certificaciones/ESTUDIOS%20DE%20PROGRAMMING/PROGRAMMING/PERSONAL/PYTHON/Image_Generator_API/imagenes/NAUTICA_MENS_208007877_BPR_3.jpg")</f>
        <v/>
      </c>
      <c r="O2911">
        <f>HYPERLINK("imagenes/NAUTICA_MENS_208007877_BPR_1.jpg","Ver imagen")</f>
        <v/>
      </c>
      <c r="P2911">
        <f>HYPERLINK("imagenes/NAUTICA_MENS_208007877_BPR_2.jpg","Ver imagen")</f>
        <v/>
      </c>
      <c r="Q2911">
        <f>HYPERLINK("imagenes/NAUTICA_MENS_208007877_BPR_3.jpg","Ver imagen")</f>
        <v/>
      </c>
    </row>
    <row r="2912">
      <c r="A2912" t="inlineStr">
        <is>
          <t>NAUTICA MENS</t>
        </is>
      </c>
      <c r="B2912" t="inlineStr">
        <is>
          <t>208007877</t>
        </is>
      </c>
      <c r="C2912" t="inlineStr">
        <is>
          <t>LT.WEIGHT WINDSLICKER</t>
        </is>
      </c>
      <c r="D2912" t="inlineStr">
        <is>
          <t>BPR</t>
        </is>
      </c>
      <c r="E2912" t="inlineStr">
        <is>
          <t>(en blanco)</t>
        </is>
      </c>
      <c r="F2912" t="inlineStr">
        <is>
          <t>D2C</t>
        </is>
      </c>
      <c r="G2912" t="inlineStr">
        <is>
          <t>4XLT</t>
        </is>
      </c>
      <c r="H2912" t="n">
        <v>5</v>
      </c>
      <c r="I2912" t="inlineStr">
        <is>
          <t>NAUTICA_MENS_208007877_BPR_1.jpg</t>
        </is>
      </c>
      <c r="J2912" t="inlineStr">
        <is>
          <t>NAUTICA_MENS_208007877_BPR_2.jpg</t>
        </is>
      </c>
      <c r="K2912" t="inlineStr">
        <is>
          <t>NAUTICA_MENS_208007877_BPR_3.jpg</t>
        </is>
      </c>
      <c r="L2912">
        <f>IMAGE("file:///E:/Estudios%20y%20certificaciones/ESTUDIOS%20DE%20PROGRAMMING/PROGRAMMING/PERSONAL/PYTHON/Image_Generator_API/imagenes/NAUTICA_MENS_208007877_BPR_1.jpg")</f>
        <v/>
      </c>
      <c r="M2912">
        <f>IMAGE("file:///E:/Estudios%20y%20certificaciones/ESTUDIOS%20DE%20PROGRAMMING/PROGRAMMING/PERSONAL/PYTHON/Image_Generator_API/imagenes/NAUTICA_MENS_208007877_BPR_2.jpg")</f>
        <v/>
      </c>
      <c r="N2912">
        <f>IMAGE("file:///E:/Estudios%20y%20certificaciones/ESTUDIOS%20DE%20PROGRAMMING/PROGRAMMING/PERSONAL/PYTHON/Image_Generator_API/imagenes/NAUTICA_MENS_208007877_BPR_3.jpg")</f>
        <v/>
      </c>
      <c r="O2912">
        <f>HYPERLINK("imagenes/NAUTICA_MENS_208007877_BPR_1.jpg","Ver imagen")</f>
        <v/>
      </c>
      <c r="P2912">
        <f>HYPERLINK("imagenes/NAUTICA_MENS_208007877_BPR_2.jpg","Ver imagen")</f>
        <v/>
      </c>
      <c r="Q2912">
        <f>HYPERLINK("imagenes/NAUTICA_MENS_208007877_BPR_3.jpg","Ver imagen")</f>
        <v/>
      </c>
    </row>
    <row r="2913">
      <c r="A2913" t="inlineStr">
        <is>
          <t>NAUTICA MENS</t>
        </is>
      </c>
      <c r="B2913" t="inlineStr">
        <is>
          <t>208007877</t>
        </is>
      </c>
      <c r="C2913" t="inlineStr">
        <is>
          <t>LT.WEIGHT WINDSLICKER</t>
        </is>
      </c>
      <c r="D2913" t="inlineStr">
        <is>
          <t>BPR</t>
        </is>
      </c>
      <c r="E2913" t="inlineStr">
        <is>
          <t>(en blanco)</t>
        </is>
      </c>
      <c r="F2913" t="inlineStr">
        <is>
          <t>D2C</t>
        </is>
      </c>
      <c r="G2913" t="inlineStr">
        <is>
          <t>5XLT</t>
        </is>
      </c>
      <c r="H2913" t="n">
        <v>2</v>
      </c>
      <c r="I2913" t="inlineStr">
        <is>
          <t>NAUTICA_MENS_208007877_BPR_1.jpg</t>
        </is>
      </c>
      <c r="J2913" t="inlineStr">
        <is>
          <t>NAUTICA_MENS_208007877_BPR_2.jpg</t>
        </is>
      </c>
      <c r="K2913" t="inlineStr">
        <is>
          <t>NAUTICA_MENS_208007877_BPR_3.jpg</t>
        </is>
      </c>
      <c r="L2913">
        <f>IMAGE("file:///E:/Estudios%20y%20certificaciones/ESTUDIOS%20DE%20PROGRAMMING/PROGRAMMING/PERSONAL/PYTHON/Image_Generator_API/imagenes/NAUTICA_MENS_208007877_BPR_1.jpg")</f>
        <v/>
      </c>
      <c r="M2913">
        <f>IMAGE("file:///E:/Estudios%20y%20certificaciones/ESTUDIOS%20DE%20PROGRAMMING/PROGRAMMING/PERSONAL/PYTHON/Image_Generator_API/imagenes/NAUTICA_MENS_208007877_BPR_2.jpg")</f>
        <v/>
      </c>
      <c r="N2913">
        <f>IMAGE("file:///E:/Estudios%20y%20certificaciones/ESTUDIOS%20DE%20PROGRAMMING/PROGRAMMING/PERSONAL/PYTHON/Image_Generator_API/imagenes/NAUTICA_MENS_208007877_BPR_3.jpg")</f>
        <v/>
      </c>
      <c r="O2913">
        <f>HYPERLINK("imagenes/NAUTICA_MENS_208007877_BPR_1.jpg","Ver imagen")</f>
        <v/>
      </c>
      <c r="P2913">
        <f>HYPERLINK("imagenes/NAUTICA_MENS_208007877_BPR_2.jpg","Ver imagen")</f>
        <v/>
      </c>
      <c r="Q2913">
        <f>HYPERLINK("imagenes/NAUTICA_MENS_208007877_BPR_3.jpg","Ver imagen")</f>
        <v/>
      </c>
    </row>
    <row r="2914">
      <c r="A2914" t="inlineStr">
        <is>
          <t>NAUTICA MENS</t>
        </is>
      </c>
      <c r="B2914" t="inlineStr">
        <is>
          <t>208007877</t>
        </is>
      </c>
      <c r="C2914" t="inlineStr">
        <is>
          <t>LT.WEIGHT WINDSLICKER</t>
        </is>
      </c>
      <c r="D2914" t="inlineStr">
        <is>
          <t>BPR</t>
        </is>
      </c>
      <c r="E2914" t="inlineStr">
        <is>
          <t>(en blanco)</t>
        </is>
      </c>
      <c r="F2914" t="inlineStr">
        <is>
          <t>D2C</t>
        </is>
      </c>
      <c r="G2914" t="inlineStr">
        <is>
          <t>6XLT</t>
        </is>
      </c>
      <c r="H2914" t="n">
        <v>3</v>
      </c>
      <c r="I2914" t="inlineStr">
        <is>
          <t>NAUTICA_MENS_208007877_BPR_1.jpg</t>
        </is>
      </c>
      <c r="J2914" t="inlineStr">
        <is>
          <t>NAUTICA_MENS_208007877_BPR_2.jpg</t>
        </is>
      </c>
      <c r="K2914" t="inlineStr">
        <is>
          <t>NAUTICA_MENS_208007877_BPR_3.jpg</t>
        </is>
      </c>
      <c r="L2914">
        <f>IMAGE("file:///E:/Estudios%20y%20certificaciones/ESTUDIOS%20DE%20PROGRAMMING/PROGRAMMING/PERSONAL/PYTHON/Image_Generator_API/imagenes/NAUTICA_MENS_208007877_BPR_1.jpg")</f>
        <v/>
      </c>
      <c r="M2914">
        <f>IMAGE("file:///E:/Estudios%20y%20certificaciones/ESTUDIOS%20DE%20PROGRAMMING/PROGRAMMING/PERSONAL/PYTHON/Image_Generator_API/imagenes/NAUTICA_MENS_208007877_BPR_2.jpg")</f>
        <v/>
      </c>
      <c r="N2914">
        <f>IMAGE("file:///E:/Estudios%20y%20certificaciones/ESTUDIOS%20DE%20PROGRAMMING/PROGRAMMING/PERSONAL/PYTHON/Image_Generator_API/imagenes/NAUTICA_MENS_208007877_BPR_3.jpg")</f>
        <v/>
      </c>
      <c r="O2914">
        <f>HYPERLINK("imagenes/NAUTICA_MENS_208007877_BPR_1.jpg","Ver imagen")</f>
        <v/>
      </c>
      <c r="P2914">
        <f>HYPERLINK("imagenes/NAUTICA_MENS_208007877_BPR_2.jpg","Ver imagen")</f>
        <v/>
      </c>
      <c r="Q2914">
        <f>HYPERLINK("imagenes/NAUTICA_MENS_208007877_BPR_3.jpg","Ver imagen")</f>
        <v/>
      </c>
    </row>
    <row r="2915">
      <c r="A2915" t="inlineStr">
        <is>
          <t>NAUTICA MENS</t>
        </is>
      </c>
      <c r="B2915" t="inlineStr">
        <is>
          <t>208007877</t>
        </is>
      </c>
      <c r="C2915" t="inlineStr">
        <is>
          <t>LT.WEIGHT WINDSLICKER</t>
        </is>
      </c>
      <c r="D2915" t="inlineStr">
        <is>
          <t>BPR</t>
        </is>
      </c>
      <c r="E2915" t="inlineStr">
        <is>
          <t>(en blanco)</t>
        </is>
      </c>
      <c r="F2915" t="inlineStr">
        <is>
          <t>D2C</t>
        </is>
      </c>
      <c r="G2915" t="inlineStr">
        <is>
          <t>XLT</t>
        </is>
      </c>
      <c r="H2915" t="n">
        <v>4</v>
      </c>
      <c r="I2915" t="inlineStr">
        <is>
          <t>NAUTICA_MENS_208007877_BPR_1.jpg</t>
        </is>
      </c>
      <c r="J2915" t="inlineStr">
        <is>
          <t>NAUTICA_MENS_208007877_BPR_2.jpg</t>
        </is>
      </c>
      <c r="K2915" t="inlineStr">
        <is>
          <t>NAUTICA_MENS_208007877_BPR_3.jpg</t>
        </is>
      </c>
      <c r="L2915">
        <f>IMAGE("file:///E:/Estudios%20y%20certificaciones/ESTUDIOS%20DE%20PROGRAMMING/PROGRAMMING/PERSONAL/PYTHON/Image_Generator_API/imagenes/NAUTICA_MENS_208007877_BPR_1.jpg")</f>
        <v/>
      </c>
      <c r="M2915">
        <f>IMAGE("file:///E:/Estudios%20y%20certificaciones/ESTUDIOS%20DE%20PROGRAMMING/PROGRAMMING/PERSONAL/PYTHON/Image_Generator_API/imagenes/NAUTICA_MENS_208007877_BPR_2.jpg")</f>
        <v/>
      </c>
      <c r="N2915">
        <f>IMAGE("file:///E:/Estudios%20y%20certificaciones/ESTUDIOS%20DE%20PROGRAMMING/PROGRAMMING/PERSONAL/PYTHON/Image_Generator_API/imagenes/NAUTICA_MENS_208007877_BPR_3.jpg")</f>
        <v/>
      </c>
      <c r="O2915">
        <f>HYPERLINK("imagenes/NAUTICA_MENS_208007877_BPR_1.jpg","Ver imagen")</f>
        <v/>
      </c>
      <c r="P2915">
        <f>HYPERLINK("imagenes/NAUTICA_MENS_208007877_BPR_2.jpg","Ver imagen")</f>
        <v/>
      </c>
      <c r="Q2915">
        <f>HYPERLINK("imagenes/NAUTICA_MENS_208007877_BPR_3.jpg","Ver imagen")</f>
        <v/>
      </c>
    </row>
    <row r="2916">
      <c r="A2916" t="inlineStr">
        <is>
          <t>NAUTICA MENS</t>
        </is>
      </c>
      <c r="B2916" t="inlineStr">
        <is>
          <t>208007877</t>
        </is>
      </c>
      <c r="C2916" t="inlineStr">
        <is>
          <t>LT.WEIGHT WINDSLICKER</t>
        </is>
      </c>
      <c r="D2916" t="inlineStr">
        <is>
          <t>BPR</t>
        </is>
      </c>
      <c r="E2916" t="inlineStr">
        <is>
          <t>(en blanco)</t>
        </is>
      </c>
      <c r="F2916" t="inlineStr">
        <is>
          <t>(en blanco)</t>
        </is>
      </c>
      <c r="G2916" t="inlineStr">
        <is>
          <t>2XLT</t>
        </is>
      </c>
      <c r="H2916" t="n">
        <v>5</v>
      </c>
      <c r="I2916" t="inlineStr">
        <is>
          <t>NAUTICA_MENS_208007877_BPR_1.jpg</t>
        </is>
      </c>
      <c r="J2916" t="inlineStr">
        <is>
          <t>NAUTICA_MENS_208007877_BPR_2.jpg</t>
        </is>
      </c>
      <c r="K2916" t="inlineStr">
        <is>
          <t>NAUTICA_MENS_208007877_BPR_3.jpg</t>
        </is>
      </c>
      <c r="L2916">
        <f>IMAGE("file:///E:/Estudios%20y%20certificaciones/ESTUDIOS%20DE%20PROGRAMMING/PROGRAMMING/PERSONAL/PYTHON/Image_Generator_API/imagenes/NAUTICA_MENS_208007877_BPR_1.jpg")</f>
        <v/>
      </c>
      <c r="M2916">
        <f>IMAGE("file:///E:/Estudios%20y%20certificaciones/ESTUDIOS%20DE%20PROGRAMMING/PROGRAMMING/PERSONAL/PYTHON/Image_Generator_API/imagenes/NAUTICA_MENS_208007877_BPR_2.jpg")</f>
        <v/>
      </c>
      <c r="N2916">
        <f>IMAGE("file:///E:/Estudios%20y%20certificaciones/ESTUDIOS%20DE%20PROGRAMMING/PROGRAMMING/PERSONAL/PYTHON/Image_Generator_API/imagenes/NAUTICA_MENS_208007877_BPR_3.jpg")</f>
        <v/>
      </c>
      <c r="O2916">
        <f>HYPERLINK("imagenes/NAUTICA_MENS_208007877_BPR_1.jpg","Ver imagen")</f>
        <v/>
      </c>
      <c r="P2916">
        <f>HYPERLINK("imagenes/NAUTICA_MENS_208007877_BPR_2.jpg","Ver imagen")</f>
        <v/>
      </c>
      <c r="Q2916">
        <f>HYPERLINK("imagenes/NAUTICA_MENS_208007877_BPR_3.jpg","Ver imagen")</f>
        <v/>
      </c>
    </row>
    <row r="2917">
      <c r="A2917" t="inlineStr">
        <is>
          <t>NAUTICA MENS</t>
        </is>
      </c>
      <c r="B2917" t="inlineStr">
        <is>
          <t>208007877</t>
        </is>
      </c>
      <c r="C2917" t="inlineStr">
        <is>
          <t>LT.WEIGHT WINDSLICKER</t>
        </is>
      </c>
      <c r="D2917" t="inlineStr">
        <is>
          <t>BPR</t>
        </is>
      </c>
      <c r="E2917" t="inlineStr">
        <is>
          <t>(en blanco)</t>
        </is>
      </c>
      <c r="F2917" t="inlineStr">
        <is>
          <t>(en blanco)</t>
        </is>
      </c>
      <c r="G2917" t="inlineStr">
        <is>
          <t>3XLT</t>
        </is>
      </c>
      <c r="H2917" t="n">
        <v>1</v>
      </c>
      <c r="I2917" t="inlineStr">
        <is>
          <t>NAUTICA_MENS_208007877_BPR_1.jpg</t>
        </is>
      </c>
      <c r="J2917" t="inlineStr">
        <is>
          <t>NAUTICA_MENS_208007877_BPR_2.jpg</t>
        </is>
      </c>
      <c r="K2917" t="inlineStr">
        <is>
          <t>NAUTICA_MENS_208007877_BPR_3.jpg</t>
        </is>
      </c>
      <c r="L2917">
        <f>IMAGE("file:///E:/Estudios%20y%20certificaciones/ESTUDIOS%20DE%20PROGRAMMING/PROGRAMMING/PERSONAL/PYTHON/Image_Generator_API/imagenes/NAUTICA_MENS_208007877_BPR_1.jpg")</f>
        <v/>
      </c>
      <c r="M2917">
        <f>IMAGE("file:///E:/Estudios%20y%20certificaciones/ESTUDIOS%20DE%20PROGRAMMING/PROGRAMMING/PERSONAL/PYTHON/Image_Generator_API/imagenes/NAUTICA_MENS_208007877_BPR_2.jpg")</f>
        <v/>
      </c>
      <c r="N2917">
        <f>IMAGE("file:///E:/Estudios%20y%20certificaciones/ESTUDIOS%20DE%20PROGRAMMING/PROGRAMMING/PERSONAL/PYTHON/Image_Generator_API/imagenes/NAUTICA_MENS_208007877_BPR_3.jpg")</f>
        <v/>
      </c>
      <c r="O2917">
        <f>HYPERLINK("imagenes/NAUTICA_MENS_208007877_BPR_1.jpg","Ver imagen")</f>
        <v/>
      </c>
      <c r="P2917">
        <f>HYPERLINK("imagenes/NAUTICA_MENS_208007877_BPR_2.jpg","Ver imagen")</f>
        <v/>
      </c>
      <c r="Q2917">
        <f>HYPERLINK("imagenes/NAUTICA_MENS_208007877_BPR_3.jpg","Ver imagen")</f>
        <v/>
      </c>
    </row>
    <row r="2918">
      <c r="A2918" t="inlineStr">
        <is>
          <t>NAUTICA MENS</t>
        </is>
      </c>
      <c r="B2918" t="inlineStr">
        <is>
          <t>208007877</t>
        </is>
      </c>
      <c r="C2918" t="inlineStr">
        <is>
          <t>LT.WEIGHT WINDSLICKER</t>
        </is>
      </c>
      <c r="D2918" t="inlineStr">
        <is>
          <t>BPR</t>
        </is>
      </c>
      <c r="E2918" t="inlineStr">
        <is>
          <t>(en blanco)</t>
        </is>
      </c>
      <c r="F2918" t="inlineStr">
        <is>
          <t>(en blanco)</t>
        </is>
      </c>
      <c r="G2918" t="inlineStr">
        <is>
          <t>4XLT</t>
        </is>
      </c>
      <c r="H2918" t="n">
        <v>2</v>
      </c>
      <c r="I2918" t="inlineStr">
        <is>
          <t>NAUTICA_MENS_208007877_BPR_1.jpg</t>
        </is>
      </c>
      <c r="J2918" t="inlineStr">
        <is>
          <t>NAUTICA_MENS_208007877_BPR_2.jpg</t>
        </is>
      </c>
      <c r="K2918" t="inlineStr">
        <is>
          <t>NAUTICA_MENS_208007877_BPR_3.jpg</t>
        </is>
      </c>
      <c r="L2918">
        <f>IMAGE("file:///E:/Estudios%20y%20certificaciones/ESTUDIOS%20DE%20PROGRAMMING/PROGRAMMING/PERSONAL/PYTHON/Image_Generator_API/imagenes/NAUTICA_MENS_208007877_BPR_1.jpg")</f>
        <v/>
      </c>
      <c r="M2918">
        <f>IMAGE("file:///E:/Estudios%20y%20certificaciones/ESTUDIOS%20DE%20PROGRAMMING/PROGRAMMING/PERSONAL/PYTHON/Image_Generator_API/imagenes/NAUTICA_MENS_208007877_BPR_2.jpg")</f>
        <v/>
      </c>
      <c r="N2918">
        <f>IMAGE("file:///E:/Estudios%20y%20certificaciones/ESTUDIOS%20DE%20PROGRAMMING/PROGRAMMING/PERSONAL/PYTHON/Image_Generator_API/imagenes/NAUTICA_MENS_208007877_BPR_3.jpg")</f>
        <v/>
      </c>
      <c r="O2918">
        <f>HYPERLINK("imagenes/NAUTICA_MENS_208007877_BPR_1.jpg","Ver imagen")</f>
        <v/>
      </c>
      <c r="P2918">
        <f>HYPERLINK("imagenes/NAUTICA_MENS_208007877_BPR_2.jpg","Ver imagen")</f>
        <v/>
      </c>
      <c r="Q2918">
        <f>HYPERLINK("imagenes/NAUTICA_MENS_208007877_BPR_3.jpg","Ver imagen")</f>
        <v/>
      </c>
    </row>
    <row r="2919">
      <c r="A2919" t="inlineStr">
        <is>
          <t>NAUTICA MENS</t>
        </is>
      </c>
      <c r="B2919" t="inlineStr">
        <is>
          <t>208007877</t>
        </is>
      </c>
      <c r="C2919" t="inlineStr">
        <is>
          <t>LT.WEIGHT WINDSLICKER</t>
        </is>
      </c>
      <c r="D2919" t="inlineStr">
        <is>
          <t>RED</t>
        </is>
      </c>
      <c r="E2919" t="inlineStr">
        <is>
          <t>(en blanco)</t>
        </is>
      </c>
      <c r="F2919" t="inlineStr">
        <is>
          <t>D2C</t>
        </is>
      </c>
      <c r="G2919" t="inlineStr">
        <is>
          <t>2XLT</t>
        </is>
      </c>
      <c r="H2919" t="n">
        <v>7</v>
      </c>
      <c r="I2919" t="inlineStr">
        <is>
          <t>NAUTICA_MENS_208007877_RED_1.jpg</t>
        </is>
      </c>
      <c r="J2919" t="inlineStr">
        <is>
          <t>NAUTICA_MENS_208007877_RED_2.jpg</t>
        </is>
      </c>
      <c r="K2919" t="inlineStr">
        <is>
          <t>NAUTICA_MENS_208007877_RED_3.jpg</t>
        </is>
      </c>
      <c r="L2919">
        <f>IMAGE("file:///E:/Estudios%20y%20certificaciones/ESTUDIOS%20DE%20PROGRAMMING/PROGRAMMING/PERSONAL/PYTHON/Image_Generator_API/imagenes/NAUTICA_MENS_208007877_RED_1.jpg")</f>
        <v/>
      </c>
      <c r="M2919">
        <f>IMAGE("file:///E:/Estudios%20y%20certificaciones/ESTUDIOS%20DE%20PROGRAMMING/PROGRAMMING/PERSONAL/PYTHON/Image_Generator_API/imagenes/NAUTICA_MENS_208007877_RED_2.jpg")</f>
        <v/>
      </c>
      <c r="N2919">
        <f>IMAGE("file:///E:/Estudios%20y%20certificaciones/ESTUDIOS%20DE%20PROGRAMMING/PROGRAMMING/PERSONAL/PYTHON/Image_Generator_API/imagenes/NAUTICA_MENS_208007877_RED_3.jpg")</f>
        <v/>
      </c>
      <c r="O2919">
        <f>HYPERLINK("imagenes/NAUTICA_MENS_208007877_RED_1.jpg","Ver imagen")</f>
        <v/>
      </c>
      <c r="P2919">
        <f>HYPERLINK("imagenes/NAUTICA_MENS_208007877_RED_2.jpg","Ver imagen")</f>
        <v/>
      </c>
      <c r="Q2919">
        <f>HYPERLINK("imagenes/NAUTICA_MENS_208007877_RED_3.jpg","Ver imagen")</f>
        <v/>
      </c>
    </row>
    <row r="2920">
      <c r="A2920" t="inlineStr">
        <is>
          <t>NAUTICA MENS</t>
        </is>
      </c>
      <c r="B2920" t="inlineStr">
        <is>
          <t>208007877</t>
        </is>
      </c>
      <c r="C2920" t="inlineStr">
        <is>
          <t>LT.WEIGHT WINDSLICKER</t>
        </is>
      </c>
      <c r="D2920" t="inlineStr">
        <is>
          <t>RED</t>
        </is>
      </c>
      <c r="E2920" t="inlineStr">
        <is>
          <t>(en blanco)</t>
        </is>
      </c>
      <c r="F2920" t="inlineStr">
        <is>
          <t>D2C</t>
        </is>
      </c>
      <c r="G2920" t="inlineStr">
        <is>
          <t>3XLT</t>
        </is>
      </c>
      <c r="H2920" t="n">
        <v>8</v>
      </c>
      <c r="I2920" t="inlineStr">
        <is>
          <t>NAUTICA_MENS_208007877_RED_1.jpg</t>
        </is>
      </c>
      <c r="J2920" t="inlineStr">
        <is>
          <t>NAUTICA_MENS_208007877_RED_2.jpg</t>
        </is>
      </c>
      <c r="K2920" t="inlineStr">
        <is>
          <t>NAUTICA_MENS_208007877_RED_3.jpg</t>
        </is>
      </c>
      <c r="L2920">
        <f>IMAGE("file:///E:/Estudios%20y%20certificaciones/ESTUDIOS%20DE%20PROGRAMMING/PROGRAMMING/PERSONAL/PYTHON/Image_Generator_API/imagenes/NAUTICA_MENS_208007877_RED_1.jpg")</f>
        <v/>
      </c>
      <c r="M2920">
        <f>IMAGE("file:///E:/Estudios%20y%20certificaciones/ESTUDIOS%20DE%20PROGRAMMING/PROGRAMMING/PERSONAL/PYTHON/Image_Generator_API/imagenes/NAUTICA_MENS_208007877_RED_2.jpg")</f>
        <v/>
      </c>
      <c r="N2920">
        <f>IMAGE("file:///E:/Estudios%20y%20certificaciones/ESTUDIOS%20DE%20PROGRAMMING/PROGRAMMING/PERSONAL/PYTHON/Image_Generator_API/imagenes/NAUTICA_MENS_208007877_RED_3.jpg")</f>
        <v/>
      </c>
      <c r="O2920">
        <f>HYPERLINK("imagenes/NAUTICA_MENS_208007877_RED_1.jpg","Ver imagen")</f>
        <v/>
      </c>
      <c r="P2920">
        <f>HYPERLINK("imagenes/NAUTICA_MENS_208007877_RED_2.jpg","Ver imagen")</f>
        <v/>
      </c>
      <c r="Q2920">
        <f>HYPERLINK("imagenes/NAUTICA_MENS_208007877_RED_3.jpg","Ver imagen")</f>
        <v/>
      </c>
    </row>
    <row r="2921">
      <c r="A2921" t="inlineStr">
        <is>
          <t>NAUTICA MENS</t>
        </is>
      </c>
      <c r="B2921" t="inlineStr">
        <is>
          <t>208007877</t>
        </is>
      </c>
      <c r="C2921" t="inlineStr">
        <is>
          <t>LT.WEIGHT WINDSLICKER</t>
        </is>
      </c>
      <c r="D2921" t="inlineStr">
        <is>
          <t>RED</t>
        </is>
      </c>
      <c r="E2921" t="inlineStr">
        <is>
          <t>(en blanco)</t>
        </is>
      </c>
      <c r="F2921" t="inlineStr">
        <is>
          <t>D2C</t>
        </is>
      </c>
      <c r="G2921" t="inlineStr">
        <is>
          <t>4XLT</t>
        </is>
      </c>
      <c r="H2921" t="n">
        <v>7</v>
      </c>
      <c r="I2921" t="inlineStr">
        <is>
          <t>NAUTICA_MENS_208007877_RED_1.jpg</t>
        </is>
      </c>
      <c r="J2921" t="inlineStr">
        <is>
          <t>NAUTICA_MENS_208007877_RED_2.jpg</t>
        </is>
      </c>
      <c r="K2921" t="inlineStr">
        <is>
          <t>NAUTICA_MENS_208007877_RED_3.jpg</t>
        </is>
      </c>
      <c r="L2921">
        <f>IMAGE("file:///E:/Estudios%20y%20certificaciones/ESTUDIOS%20DE%20PROGRAMMING/PROGRAMMING/PERSONAL/PYTHON/Image_Generator_API/imagenes/NAUTICA_MENS_208007877_RED_1.jpg")</f>
        <v/>
      </c>
      <c r="M2921">
        <f>IMAGE("file:///E:/Estudios%20y%20certificaciones/ESTUDIOS%20DE%20PROGRAMMING/PROGRAMMING/PERSONAL/PYTHON/Image_Generator_API/imagenes/NAUTICA_MENS_208007877_RED_2.jpg")</f>
        <v/>
      </c>
      <c r="N2921">
        <f>IMAGE("file:///E:/Estudios%20y%20certificaciones/ESTUDIOS%20DE%20PROGRAMMING/PROGRAMMING/PERSONAL/PYTHON/Image_Generator_API/imagenes/NAUTICA_MENS_208007877_RED_3.jpg")</f>
        <v/>
      </c>
      <c r="O2921">
        <f>HYPERLINK("imagenes/NAUTICA_MENS_208007877_RED_1.jpg","Ver imagen")</f>
        <v/>
      </c>
      <c r="P2921">
        <f>HYPERLINK("imagenes/NAUTICA_MENS_208007877_RED_2.jpg","Ver imagen")</f>
        <v/>
      </c>
      <c r="Q2921">
        <f>HYPERLINK("imagenes/NAUTICA_MENS_208007877_RED_3.jpg","Ver imagen")</f>
        <v/>
      </c>
    </row>
    <row r="2922">
      <c r="A2922" t="inlineStr">
        <is>
          <t>NAUTICA MENS</t>
        </is>
      </c>
      <c r="B2922" t="inlineStr">
        <is>
          <t>208007877</t>
        </is>
      </c>
      <c r="C2922" t="inlineStr">
        <is>
          <t>LT.WEIGHT WINDSLICKER</t>
        </is>
      </c>
      <c r="D2922" t="inlineStr">
        <is>
          <t>RED</t>
        </is>
      </c>
      <c r="E2922" t="inlineStr">
        <is>
          <t>(en blanco)</t>
        </is>
      </c>
      <c r="F2922" t="inlineStr">
        <is>
          <t>D2C</t>
        </is>
      </c>
      <c r="G2922" t="inlineStr">
        <is>
          <t>5XLT</t>
        </is>
      </c>
      <c r="H2922" t="n">
        <v>3</v>
      </c>
      <c r="I2922" t="inlineStr">
        <is>
          <t>NAUTICA_MENS_208007877_RED_1.jpg</t>
        </is>
      </c>
      <c r="J2922" t="inlineStr">
        <is>
          <t>NAUTICA_MENS_208007877_RED_2.jpg</t>
        </is>
      </c>
      <c r="K2922" t="inlineStr">
        <is>
          <t>NAUTICA_MENS_208007877_RED_3.jpg</t>
        </is>
      </c>
      <c r="L2922">
        <f>IMAGE("file:///E:/Estudios%20y%20certificaciones/ESTUDIOS%20DE%20PROGRAMMING/PROGRAMMING/PERSONAL/PYTHON/Image_Generator_API/imagenes/NAUTICA_MENS_208007877_RED_1.jpg")</f>
        <v/>
      </c>
      <c r="M2922">
        <f>IMAGE("file:///E:/Estudios%20y%20certificaciones/ESTUDIOS%20DE%20PROGRAMMING/PROGRAMMING/PERSONAL/PYTHON/Image_Generator_API/imagenes/NAUTICA_MENS_208007877_RED_2.jpg")</f>
        <v/>
      </c>
      <c r="N2922">
        <f>IMAGE("file:///E:/Estudios%20y%20certificaciones/ESTUDIOS%20DE%20PROGRAMMING/PROGRAMMING/PERSONAL/PYTHON/Image_Generator_API/imagenes/NAUTICA_MENS_208007877_RED_3.jpg")</f>
        <v/>
      </c>
      <c r="O2922">
        <f>HYPERLINK("imagenes/NAUTICA_MENS_208007877_RED_1.jpg","Ver imagen")</f>
        <v/>
      </c>
      <c r="P2922">
        <f>HYPERLINK("imagenes/NAUTICA_MENS_208007877_RED_2.jpg","Ver imagen")</f>
        <v/>
      </c>
      <c r="Q2922">
        <f>HYPERLINK("imagenes/NAUTICA_MENS_208007877_RED_3.jpg","Ver imagen")</f>
        <v/>
      </c>
    </row>
    <row r="2923">
      <c r="A2923" t="inlineStr">
        <is>
          <t>NAUTICA MENS</t>
        </is>
      </c>
      <c r="B2923" t="inlineStr">
        <is>
          <t>208007877</t>
        </is>
      </c>
      <c r="C2923" t="inlineStr">
        <is>
          <t>LT.WEIGHT WINDSLICKER</t>
        </is>
      </c>
      <c r="D2923" t="inlineStr">
        <is>
          <t>RED</t>
        </is>
      </c>
      <c r="E2923" t="inlineStr">
        <is>
          <t>(en blanco)</t>
        </is>
      </c>
      <c r="F2923" t="inlineStr">
        <is>
          <t>D2C</t>
        </is>
      </c>
      <c r="G2923" t="inlineStr">
        <is>
          <t>6XLT</t>
        </is>
      </c>
      <c r="H2923" t="n">
        <v>3</v>
      </c>
      <c r="I2923" t="inlineStr">
        <is>
          <t>NAUTICA_MENS_208007877_RED_1.jpg</t>
        </is>
      </c>
      <c r="J2923" t="inlineStr">
        <is>
          <t>NAUTICA_MENS_208007877_RED_2.jpg</t>
        </is>
      </c>
      <c r="K2923" t="inlineStr">
        <is>
          <t>NAUTICA_MENS_208007877_RED_3.jpg</t>
        </is>
      </c>
      <c r="L2923">
        <f>IMAGE("file:///E:/Estudios%20y%20certificaciones/ESTUDIOS%20DE%20PROGRAMMING/PROGRAMMING/PERSONAL/PYTHON/Image_Generator_API/imagenes/NAUTICA_MENS_208007877_RED_1.jpg")</f>
        <v/>
      </c>
      <c r="M2923">
        <f>IMAGE("file:///E:/Estudios%20y%20certificaciones/ESTUDIOS%20DE%20PROGRAMMING/PROGRAMMING/PERSONAL/PYTHON/Image_Generator_API/imagenes/NAUTICA_MENS_208007877_RED_2.jpg")</f>
        <v/>
      </c>
      <c r="N2923">
        <f>IMAGE("file:///E:/Estudios%20y%20certificaciones/ESTUDIOS%20DE%20PROGRAMMING/PROGRAMMING/PERSONAL/PYTHON/Image_Generator_API/imagenes/NAUTICA_MENS_208007877_RED_3.jpg")</f>
        <v/>
      </c>
      <c r="O2923">
        <f>HYPERLINK("imagenes/NAUTICA_MENS_208007877_RED_1.jpg","Ver imagen")</f>
        <v/>
      </c>
      <c r="P2923">
        <f>HYPERLINK("imagenes/NAUTICA_MENS_208007877_RED_2.jpg","Ver imagen")</f>
        <v/>
      </c>
      <c r="Q2923">
        <f>HYPERLINK("imagenes/NAUTICA_MENS_208007877_RED_3.jpg","Ver imagen")</f>
        <v/>
      </c>
    </row>
    <row r="2924">
      <c r="A2924" t="inlineStr">
        <is>
          <t>NAUTICA MENS</t>
        </is>
      </c>
      <c r="B2924" t="inlineStr">
        <is>
          <t>208007877</t>
        </is>
      </c>
      <c r="C2924" t="inlineStr">
        <is>
          <t>LT.WEIGHT WINDSLICKER</t>
        </is>
      </c>
      <c r="D2924" t="inlineStr">
        <is>
          <t>RED</t>
        </is>
      </c>
      <c r="E2924" t="inlineStr">
        <is>
          <t>(en blanco)</t>
        </is>
      </c>
      <c r="F2924" t="inlineStr">
        <is>
          <t>D2C</t>
        </is>
      </c>
      <c r="G2924" t="inlineStr">
        <is>
          <t>XLT</t>
        </is>
      </c>
      <c r="H2924" t="n">
        <v>4</v>
      </c>
      <c r="I2924" t="inlineStr">
        <is>
          <t>NAUTICA_MENS_208007877_RED_1.jpg</t>
        </is>
      </c>
      <c r="J2924" t="inlineStr">
        <is>
          <t>NAUTICA_MENS_208007877_RED_2.jpg</t>
        </is>
      </c>
      <c r="K2924" t="inlineStr">
        <is>
          <t>NAUTICA_MENS_208007877_RED_3.jpg</t>
        </is>
      </c>
      <c r="L2924">
        <f>IMAGE("file:///E:/Estudios%20y%20certificaciones/ESTUDIOS%20DE%20PROGRAMMING/PROGRAMMING/PERSONAL/PYTHON/Image_Generator_API/imagenes/NAUTICA_MENS_208007877_RED_1.jpg")</f>
        <v/>
      </c>
      <c r="M2924">
        <f>IMAGE("file:///E:/Estudios%20y%20certificaciones/ESTUDIOS%20DE%20PROGRAMMING/PROGRAMMING/PERSONAL/PYTHON/Image_Generator_API/imagenes/NAUTICA_MENS_208007877_RED_2.jpg")</f>
        <v/>
      </c>
      <c r="N2924">
        <f>IMAGE("file:///E:/Estudios%20y%20certificaciones/ESTUDIOS%20DE%20PROGRAMMING/PROGRAMMING/PERSONAL/PYTHON/Image_Generator_API/imagenes/NAUTICA_MENS_208007877_RED_3.jpg")</f>
        <v/>
      </c>
      <c r="O2924">
        <f>HYPERLINK("imagenes/NAUTICA_MENS_208007877_RED_1.jpg","Ver imagen")</f>
        <v/>
      </c>
      <c r="P2924">
        <f>HYPERLINK("imagenes/NAUTICA_MENS_208007877_RED_2.jpg","Ver imagen")</f>
        <v/>
      </c>
      <c r="Q2924">
        <f>HYPERLINK("imagenes/NAUTICA_MENS_208007877_RED_3.jpg","Ver imagen")</f>
        <v/>
      </c>
    </row>
    <row r="2925">
      <c r="A2925" t="inlineStr">
        <is>
          <t>NAUTICA MENS</t>
        </is>
      </c>
      <c r="B2925" t="inlineStr">
        <is>
          <t>208007877</t>
        </is>
      </c>
      <c r="C2925" t="inlineStr">
        <is>
          <t>LT.WEIGHT WINDSLICKER</t>
        </is>
      </c>
      <c r="D2925" t="inlineStr">
        <is>
          <t>RED</t>
        </is>
      </c>
      <c r="E2925" t="inlineStr">
        <is>
          <t>(en blanco)</t>
        </is>
      </c>
      <c r="F2925" t="inlineStr">
        <is>
          <t>(en blanco)</t>
        </is>
      </c>
      <c r="G2925" t="inlineStr">
        <is>
          <t>2XLT</t>
        </is>
      </c>
      <c r="H2925" t="n">
        <v>7</v>
      </c>
      <c r="I2925" t="inlineStr">
        <is>
          <t>NAUTICA_MENS_208007877_RED_1.jpg</t>
        </is>
      </c>
      <c r="J2925" t="inlineStr">
        <is>
          <t>NAUTICA_MENS_208007877_RED_2.jpg</t>
        </is>
      </c>
      <c r="K2925" t="inlineStr">
        <is>
          <t>NAUTICA_MENS_208007877_RED_3.jpg</t>
        </is>
      </c>
      <c r="L2925">
        <f>IMAGE("file:///E:/Estudios%20y%20certificaciones/ESTUDIOS%20DE%20PROGRAMMING/PROGRAMMING/PERSONAL/PYTHON/Image_Generator_API/imagenes/NAUTICA_MENS_208007877_RED_1.jpg")</f>
        <v/>
      </c>
      <c r="M2925">
        <f>IMAGE("file:///E:/Estudios%20y%20certificaciones/ESTUDIOS%20DE%20PROGRAMMING/PROGRAMMING/PERSONAL/PYTHON/Image_Generator_API/imagenes/NAUTICA_MENS_208007877_RED_2.jpg")</f>
        <v/>
      </c>
      <c r="N2925">
        <f>IMAGE("file:///E:/Estudios%20y%20certificaciones/ESTUDIOS%20DE%20PROGRAMMING/PROGRAMMING/PERSONAL/PYTHON/Image_Generator_API/imagenes/NAUTICA_MENS_208007877_RED_3.jpg")</f>
        <v/>
      </c>
      <c r="O2925">
        <f>HYPERLINK("imagenes/NAUTICA_MENS_208007877_RED_1.jpg","Ver imagen")</f>
        <v/>
      </c>
      <c r="P2925">
        <f>HYPERLINK("imagenes/NAUTICA_MENS_208007877_RED_2.jpg","Ver imagen")</f>
        <v/>
      </c>
      <c r="Q2925">
        <f>HYPERLINK("imagenes/NAUTICA_MENS_208007877_RED_3.jpg","Ver imagen")</f>
        <v/>
      </c>
    </row>
    <row r="2926">
      <c r="A2926" t="inlineStr">
        <is>
          <t>NAUTICA MENS</t>
        </is>
      </c>
      <c r="B2926" t="inlineStr">
        <is>
          <t>208007877</t>
        </is>
      </c>
      <c r="C2926" t="inlineStr">
        <is>
          <t>LT.WEIGHT WINDSLICKER</t>
        </is>
      </c>
      <c r="D2926" t="inlineStr">
        <is>
          <t>RED</t>
        </is>
      </c>
      <c r="E2926" t="inlineStr">
        <is>
          <t>(en blanco)</t>
        </is>
      </c>
      <c r="F2926" t="inlineStr">
        <is>
          <t>(en blanco)</t>
        </is>
      </c>
      <c r="G2926" t="inlineStr">
        <is>
          <t>3XLT</t>
        </is>
      </c>
      <c r="H2926" t="n">
        <v>7</v>
      </c>
      <c r="I2926" t="inlineStr">
        <is>
          <t>NAUTICA_MENS_208007877_RED_1.jpg</t>
        </is>
      </c>
      <c r="J2926" t="inlineStr">
        <is>
          <t>NAUTICA_MENS_208007877_RED_2.jpg</t>
        </is>
      </c>
      <c r="K2926" t="inlineStr">
        <is>
          <t>NAUTICA_MENS_208007877_RED_3.jpg</t>
        </is>
      </c>
      <c r="L2926">
        <f>IMAGE("file:///E:/Estudios%20y%20certificaciones/ESTUDIOS%20DE%20PROGRAMMING/PROGRAMMING/PERSONAL/PYTHON/Image_Generator_API/imagenes/NAUTICA_MENS_208007877_RED_1.jpg")</f>
        <v/>
      </c>
      <c r="M2926">
        <f>IMAGE("file:///E:/Estudios%20y%20certificaciones/ESTUDIOS%20DE%20PROGRAMMING/PROGRAMMING/PERSONAL/PYTHON/Image_Generator_API/imagenes/NAUTICA_MENS_208007877_RED_2.jpg")</f>
        <v/>
      </c>
      <c r="N2926">
        <f>IMAGE("file:///E:/Estudios%20y%20certificaciones/ESTUDIOS%20DE%20PROGRAMMING/PROGRAMMING/PERSONAL/PYTHON/Image_Generator_API/imagenes/NAUTICA_MENS_208007877_RED_3.jpg")</f>
        <v/>
      </c>
      <c r="O2926">
        <f>HYPERLINK("imagenes/NAUTICA_MENS_208007877_RED_1.jpg","Ver imagen")</f>
        <v/>
      </c>
      <c r="P2926">
        <f>HYPERLINK("imagenes/NAUTICA_MENS_208007877_RED_2.jpg","Ver imagen")</f>
        <v/>
      </c>
      <c r="Q2926">
        <f>HYPERLINK("imagenes/NAUTICA_MENS_208007877_RED_3.jpg","Ver imagen")</f>
        <v/>
      </c>
    </row>
    <row r="2927">
      <c r="A2927" t="inlineStr">
        <is>
          <t>NAUTICA MENS</t>
        </is>
      </c>
      <c r="B2927" t="inlineStr">
        <is>
          <t>208007877</t>
        </is>
      </c>
      <c r="C2927" t="inlineStr">
        <is>
          <t>LT.WEIGHT WINDSLICKER</t>
        </is>
      </c>
      <c r="D2927" t="inlineStr">
        <is>
          <t>RED</t>
        </is>
      </c>
      <c r="E2927" t="inlineStr">
        <is>
          <t>(en blanco)</t>
        </is>
      </c>
      <c r="F2927" t="inlineStr">
        <is>
          <t>(en blanco)</t>
        </is>
      </c>
      <c r="G2927" t="inlineStr">
        <is>
          <t>4XLT</t>
        </is>
      </c>
      <c r="H2927" t="n">
        <v>6</v>
      </c>
      <c r="I2927" t="inlineStr">
        <is>
          <t>NAUTICA_MENS_208007877_RED_1.jpg</t>
        </is>
      </c>
      <c r="J2927" t="inlineStr">
        <is>
          <t>NAUTICA_MENS_208007877_RED_2.jpg</t>
        </is>
      </c>
      <c r="K2927" t="inlineStr">
        <is>
          <t>NAUTICA_MENS_208007877_RED_3.jpg</t>
        </is>
      </c>
      <c r="L2927">
        <f>IMAGE("file:///E:/Estudios%20y%20certificaciones/ESTUDIOS%20DE%20PROGRAMMING/PROGRAMMING/PERSONAL/PYTHON/Image_Generator_API/imagenes/NAUTICA_MENS_208007877_RED_1.jpg")</f>
        <v/>
      </c>
      <c r="M2927">
        <f>IMAGE("file:///E:/Estudios%20y%20certificaciones/ESTUDIOS%20DE%20PROGRAMMING/PROGRAMMING/PERSONAL/PYTHON/Image_Generator_API/imagenes/NAUTICA_MENS_208007877_RED_2.jpg")</f>
        <v/>
      </c>
      <c r="N2927">
        <f>IMAGE("file:///E:/Estudios%20y%20certificaciones/ESTUDIOS%20DE%20PROGRAMMING/PROGRAMMING/PERSONAL/PYTHON/Image_Generator_API/imagenes/NAUTICA_MENS_208007877_RED_3.jpg")</f>
        <v/>
      </c>
      <c r="O2927">
        <f>HYPERLINK("imagenes/NAUTICA_MENS_208007877_RED_1.jpg","Ver imagen")</f>
        <v/>
      </c>
      <c r="P2927">
        <f>HYPERLINK("imagenes/NAUTICA_MENS_208007877_RED_2.jpg","Ver imagen")</f>
        <v/>
      </c>
      <c r="Q2927">
        <f>HYPERLINK("imagenes/NAUTICA_MENS_208007877_RED_3.jpg","Ver imagen")</f>
        <v/>
      </c>
    </row>
    <row r="2928">
      <c r="A2928" t="inlineStr">
        <is>
          <t>NAUTICA MENS</t>
        </is>
      </c>
      <c r="B2928" t="inlineStr">
        <is>
          <t>208008601</t>
        </is>
      </c>
      <c r="C2928" t="inlineStr">
        <is>
          <t>HOODED RAIN JACKET</t>
        </is>
      </c>
      <c r="D2928" t="inlineStr">
        <is>
          <t>BLK</t>
        </is>
      </c>
      <c r="E2928" t="inlineStr">
        <is>
          <t>12A08</t>
        </is>
      </c>
      <c r="F2928" t="inlineStr">
        <is>
          <t>R2140</t>
        </is>
      </c>
      <c r="G2928" t="inlineStr">
        <is>
          <t>PPK</t>
        </is>
      </c>
      <c r="H2928" t="n">
        <v>0</v>
      </c>
      <c r="I2928" t="inlineStr">
        <is>
          <t>NAUTICA_MENS_208008601_BLK_2.jpg</t>
        </is>
      </c>
      <c r="J2928" t="inlineStr">
        <is>
          <t>NAUTICA_MENS_208008601_BLK_3.jpg</t>
        </is>
      </c>
      <c r="L2928">
        <f>IMAGE("file:///E:/Estudios%20y%20certificaciones/ESTUDIOS%20DE%20PROGRAMMING/PROGRAMMING/PERSONAL/PYTHON/Image_Generator_API/imagenes/NAUTICA_MENS_208008601_BLK_2.jpg")</f>
        <v/>
      </c>
      <c r="M2928">
        <f>IMAGE("file:///E:/Estudios%20y%20certificaciones/ESTUDIOS%20DE%20PROGRAMMING/PROGRAMMING/PERSONAL/PYTHON/Image_Generator_API/imagenes/NAUTICA_MENS_208008601_BLK_3.jpg")</f>
        <v/>
      </c>
      <c r="O2928">
        <f>HYPERLINK("imagenes/NAUTICA_MENS_208008601_BLK_2.jpg","Ver imagen")</f>
        <v/>
      </c>
      <c r="P2928">
        <f>HYPERLINK("imagenes/NAUTICA_MENS_208008601_BLK_3.jpg","Ver imagen")</f>
        <v/>
      </c>
    </row>
    <row r="2929">
      <c r="A2929" t="inlineStr">
        <is>
          <t>NAUTICA MENS</t>
        </is>
      </c>
      <c r="B2929" t="inlineStr">
        <is>
          <t>208008601</t>
        </is>
      </c>
      <c r="C2929" t="inlineStr">
        <is>
          <t>HOODED RAIN JACKET</t>
        </is>
      </c>
      <c r="D2929" t="inlineStr">
        <is>
          <t>BLK</t>
        </is>
      </c>
      <c r="E2929" t="inlineStr">
        <is>
          <t>(en blanco)</t>
        </is>
      </c>
      <c r="F2929" t="inlineStr">
        <is>
          <t>D2C</t>
        </is>
      </c>
      <c r="G2929" t="inlineStr">
        <is>
          <t>M</t>
        </is>
      </c>
      <c r="H2929" t="n">
        <v>12</v>
      </c>
      <c r="I2929" t="inlineStr">
        <is>
          <t>NAUTICA_MENS_208008601_BLK_2.jpg</t>
        </is>
      </c>
      <c r="J2929" t="inlineStr">
        <is>
          <t>NAUTICA_MENS_208008601_BLK_3.jpg</t>
        </is>
      </c>
      <c r="L2929">
        <f>IMAGE("file:///E:/Estudios%20y%20certificaciones/ESTUDIOS%20DE%20PROGRAMMING/PROGRAMMING/PERSONAL/PYTHON/Image_Generator_API/imagenes/NAUTICA_MENS_208008601_BLK_2.jpg")</f>
        <v/>
      </c>
      <c r="M2929">
        <f>IMAGE("file:///E:/Estudios%20y%20certificaciones/ESTUDIOS%20DE%20PROGRAMMING/PROGRAMMING/PERSONAL/PYTHON/Image_Generator_API/imagenes/NAUTICA_MENS_208008601_BLK_3.jpg")</f>
        <v/>
      </c>
      <c r="O2929">
        <f>HYPERLINK("imagenes/NAUTICA_MENS_208008601_BLK_2.jpg","Ver imagen")</f>
        <v/>
      </c>
      <c r="P2929">
        <f>HYPERLINK("imagenes/NAUTICA_MENS_208008601_BLK_3.jpg","Ver imagen")</f>
        <v/>
      </c>
    </row>
    <row r="2930">
      <c r="A2930" t="inlineStr">
        <is>
          <t>NAUTICA MENS</t>
        </is>
      </c>
      <c r="B2930" t="inlineStr">
        <is>
          <t>208008601</t>
        </is>
      </c>
      <c r="C2930" t="inlineStr">
        <is>
          <t>HOODED RAIN JACKET</t>
        </is>
      </c>
      <c r="D2930" t="inlineStr">
        <is>
          <t>BLK</t>
        </is>
      </c>
      <c r="E2930" t="inlineStr">
        <is>
          <t>(en blanco)</t>
        </is>
      </c>
      <c r="F2930" t="inlineStr">
        <is>
          <t>D2C</t>
        </is>
      </c>
      <c r="G2930" t="inlineStr">
        <is>
          <t>L</t>
        </is>
      </c>
      <c r="H2930" t="n">
        <v>18</v>
      </c>
      <c r="I2930" t="inlineStr">
        <is>
          <t>NAUTICA_MENS_208008601_BLK_2.jpg</t>
        </is>
      </c>
      <c r="J2930" t="inlineStr">
        <is>
          <t>NAUTICA_MENS_208008601_BLK_3.jpg</t>
        </is>
      </c>
      <c r="L2930">
        <f>IMAGE("file:///E:/Estudios%20y%20certificaciones/ESTUDIOS%20DE%20PROGRAMMING/PROGRAMMING/PERSONAL/PYTHON/Image_Generator_API/imagenes/NAUTICA_MENS_208008601_BLK_2.jpg")</f>
        <v/>
      </c>
      <c r="M2930">
        <f>IMAGE("file:///E:/Estudios%20y%20certificaciones/ESTUDIOS%20DE%20PROGRAMMING/PROGRAMMING/PERSONAL/PYTHON/Image_Generator_API/imagenes/NAUTICA_MENS_208008601_BLK_3.jpg")</f>
        <v/>
      </c>
      <c r="O2930">
        <f>HYPERLINK("imagenes/NAUTICA_MENS_208008601_BLK_2.jpg","Ver imagen")</f>
        <v/>
      </c>
      <c r="P2930">
        <f>HYPERLINK("imagenes/NAUTICA_MENS_208008601_BLK_3.jpg","Ver imagen")</f>
        <v/>
      </c>
    </row>
    <row r="2931">
      <c r="A2931" t="inlineStr">
        <is>
          <t>NAUTICA MENS</t>
        </is>
      </c>
      <c r="B2931" t="inlineStr">
        <is>
          <t>208008601</t>
        </is>
      </c>
      <c r="C2931" t="inlineStr">
        <is>
          <t>HOODED RAIN JACKET</t>
        </is>
      </c>
      <c r="D2931" t="inlineStr">
        <is>
          <t>BLK</t>
        </is>
      </c>
      <c r="E2931" t="inlineStr">
        <is>
          <t>(en blanco)</t>
        </is>
      </c>
      <c r="F2931" t="inlineStr">
        <is>
          <t>D2C</t>
        </is>
      </c>
      <c r="G2931" t="inlineStr">
        <is>
          <t>XL</t>
        </is>
      </c>
      <c r="H2931" t="n">
        <v>17</v>
      </c>
      <c r="I2931" t="inlineStr">
        <is>
          <t>NAUTICA_MENS_208008601_BLK_2.jpg</t>
        </is>
      </c>
      <c r="J2931" t="inlineStr">
        <is>
          <t>NAUTICA_MENS_208008601_BLK_3.jpg</t>
        </is>
      </c>
      <c r="L2931">
        <f>IMAGE("file:///E:/Estudios%20y%20certificaciones/ESTUDIOS%20DE%20PROGRAMMING/PROGRAMMING/PERSONAL/PYTHON/Image_Generator_API/imagenes/NAUTICA_MENS_208008601_BLK_2.jpg")</f>
        <v/>
      </c>
      <c r="M2931">
        <f>IMAGE("file:///E:/Estudios%20y%20certificaciones/ESTUDIOS%20DE%20PROGRAMMING/PROGRAMMING/PERSONAL/PYTHON/Image_Generator_API/imagenes/NAUTICA_MENS_208008601_BLK_3.jpg")</f>
        <v/>
      </c>
      <c r="O2931">
        <f>HYPERLINK("imagenes/NAUTICA_MENS_208008601_BLK_2.jpg","Ver imagen")</f>
        <v/>
      </c>
      <c r="P2931">
        <f>HYPERLINK("imagenes/NAUTICA_MENS_208008601_BLK_3.jpg","Ver imagen")</f>
        <v/>
      </c>
    </row>
    <row r="2932">
      <c r="A2932" t="inlineStr">
        <is>
          <t>NAUTICA MENS</t>
        </is>
      </c>
      <c r="B2932" t="inlineStr">
        <is>
          <t>208008601</t>
        </is>
      </c>
      <c r="C2932" t="inlineStr">
        <is>
          <t>HOODED RAIN JACKET</t>
        </is>
      </c>
      <c r="D2932" t="inlineStr">
        <is>
          <t>BLK</t>
        </is>
      </c>
      <c r="E2932" t="inlineStr">
        <is>
          <t>(en blanco)</t>
        </is>
      </c>
      <c r="F2932" t="inlineStr">
        <is>
          <t>D2C</t>
        </is>
      </c>
      <c r="G2932" t="inlineStr">
        <is>
          <t>XXL</t>
        </is>
      </c>
      <c r="H2932" t="n">
        <v>15</v>
      </c>
      <c r="I2932" t="inlineStr">
        <is>
          <t>NAUTICA_MENS_208008601_BLK_2.jpg</t>
        </is>
      </c>
      <c r="J2932" t="inlineStr">
        <is>
          <t>NAUTICA_MENS_208008601_BLK_3.jpg</t>
        </is>
      </c>
      <c r="L2932">
        <f>IMAGE("file:///E:/Estudios%20y%20certificaciones/ESTUDIOS%20DE%20PROGRAMMING/PROGRAMMING/PERSONAL/PYTHON/Image_Generator_API/imagenes/NAUTICA_MENS_208008601_BLK_2.jpg")</f>
        <v/>
      </c>
      <c r="M2932">
        <f>IMAGE("file:///E:/Estudios%20y%20certificaciones/ESTUDIOS%20DE%20PROGRAMMING/PROGRAMMING/PERSONAL/PYTHON/Image_Generator_API/imagenes/NAUTICA_MENS_208008601_BLK_3.jpg")</f>
        <v/>
      </c>
      <c r="O2932">
        <f>HYPERLINK("imagenes/NAUTICA_MENS_208008601_BLK_2.jpg","Ver imagen")</f>
        <v/>
      </c>
      <c r="P2932">
        <f>HYPERLINK("imagenes/NAUTICA_MENS_208008601_BLK_3.jpg","Ver imagen")</f>
        <v/>
      </c>
    </row>
    <row r="2933">
      <c r="A2933" t="inlineStr">
        <is>
          <t>NAUTICA MENS</t>
        </is>
      </c>
      <c r="B2933" t="inlineStr">
        <is>
          <t>208008601</t>
        </is>
      </c>
      <c r="C2933" t="inlineStr">
        <is>
          <t>HOODED RAIN JACKET</t>
        </is>
      </c>
      <c r="D2933" t="inlineStr">
        <is>
          <t>BLK</t>
        </is>
      </c>
      <c r="E2933" t="inlineStr">
        <is>
          <t>(en blanco)</t>
        </is>
      </c>
      <c r="F2933" t="inlineStr">
        <is>
          <t>(en blanco)</t>
        </is>
      </c>
      <c r="G2933" t="inlineStr">
        <is>
          <t>M</t>
        </is>
      </c>
      <c r="H2933" t="n">
        <v>4</v>
      </c>
      <c r="I2933" t="inlineStr">
        <is>
          <t>NAUTICA_MENS_208008601_BLK_2.jpg</t>
        </is>
      </c>
      <c r="J2933" t="inlineStr">
        <is>
          <t>NAUTICA_MENS_208008601_BLK_3.jpg</t>
        </is>
      </c>
      <c r="L2933">
        <f>IMAGE("file:///E:/Estudios%20y%20certificaciones/ESTUDIOS%20DE%20PROGRAMMING/PROGRAMMING/PERSONAL/PYTHON/Image_Generator_API/imagenes/NAUTICA_MENS_208008601_BLK_2.jpg")</f>
        <v/>
      </c>
      <c r="M2933">
        <f>IMAGE("file:///E:/Estudios%20y%20certificaciones/ESTUDIOS%20DE%20PROGRAMMING/PROGRAMMING/PERSONAL/PYTHON/Image_Generator_API/imagenes/NAUTICA_MENS_208008601_BLK_3.jpg")</f>
        <v/>
      </c>
      <c r="O2933">
        <f>HYPERLINK("imagenes/NAUTICA_MENS_208008601_BLK_2.jpg","Ver imagen")</f>
        <v/>
      </c>
      <c r="P2933">
        <f>HYPERLINK("imagenes/NAUTICA_MENS_208008601_BLK_3.jpg","Ver imagen")</f>
        <v/>
      </c>
    </row>
    <row r="2934">
      <c r="A2934" t="inlineStr">
        <is>
          <t>NAUTICA MENS</t>
        </is>
      </c>
      <c r="B2934" t="inlineStr">
        <is>
          <t>208008601</t>
        </is>
      </c>
      <c r="C2934" t="inlineStr">
        <is>
          <t>HOODED RAIN JACKET</t>
        </is>
      </c>
      <c r="D2934" t="inlineStr">
        <is>
          <t>BLK</t>
        </is>
      </c>
      <c r="E2934" t="inlineStr">
        <is>
          <t>(en blanco)</t>
        </is>
      </c>
      <c r="F2934" t="inlineStr">
        <is>
          <t>(en blanco)</t>
        </is>
      </c>
      <c r="G2934" t="inlineStr">
        <is>
          <t>L</t>
        </is>
      </c>
      <c r="H2934" t="n">
        <v>4</v>
      </c>
      <c r="I2934" t="inlineStr">
        <is>
          <t>NAUTICA_MENS_208008601_BLK_2.jpg</t>
        </is>
      </c>
      <c r="J2934" t="inlineStr">
        <is>
          <t>NAUTICA_MENS_208008601_BLK_3.jpg</t>
        </is>
      </c>
      <c r="L2934">
        <f>IMAGE("file:///E:/Estudios%20y%20certificaciones/ESTUDIOS%20DE%20PROGRAMMING/PROGRAMMING/PERSONAL/PYTHON/Image_Generator_API/imagenes/NAUTICA_MENS_208008601_BLK_2.jpg")</f>
        <v/>
      </c>
      <c r="M2934">
        <f>IMAGE("file:///E:/Estudios%20y%20certificaciones/ESTUDIOS%20DE%20PROGRAMMING/PROGRAMMING/PERSONAL/PYTHON/Image_Generator_API/imagenes/NAUTICA_MENS_208008601_BLK_3.jpg")</f>
        <v/>
      </c>
      <c r="O2934">
        <f>HYPERLINK("imagenes/NAUTICA_MENS_208008601_BLK_2.jpg","Ver imagen")</f>
        <v/>
      </c>
      <c r="P2934">
        <f>HYPERLINK("imagenes/NAUTICA_MENS_208008601_BLK_3.jpg","Ver imagen")</f>
        <v/>
      </c>
    </row>
    <row r="2935">
      <c r="A2935" t="inlineStr">
        <is>
          <t>NAUTICA MENS</t>
        </is>
      </c>
      <c r="B2935" t="inlineStr">
        <is>
          <t>208008601</t>
        </is>
      </c>
      <c r="C2935" t="inlineStr">
        <is>
          <t>HOODED RAIN JACKET</t>
        </is>
      </c>
      <c r="D2935" t="inlineStr">
        <is>
          <t>BLK</t>
        </is>
      </c>
      <c r="E2935" t="inlineStr">
        <is>
          <t>(en blanco)</t>
        </is>
      </c>
      <c r="F2935" t="inlineStr">
        <is>
          <t>(en blanco)</t>
        </is>
      </c>
      <c r="G2935" t="inlineStr">
        <is>
          <t>XL</t>
        </is>
      </c>
      <c r="H2935" t="n">
        <v>3</v>
      </c>
      <c r="I2935" t="inlineStr">
        <is>
          <t>NAUTICA_MENS_208008601_BLK_2.jpg</t>
        </is>
      </c>
      <c r="J2935" t="inlineStr">
        <is>
          <t>NAUTICA_MENS_208008601_BLK_3.jpg</t>
        </is>
      </c>
      <c r="L2935">
        <f>IMAGE("file:///E:/Estudios%20y%20certificaciones/ESTUDIOS%20DE%20PROGRAMMING/PROGRAMMING/PERSONAL/PYTHON/Image_Generator_API/imagenes/NAUTICA_MENS_208008601_BLK_2.jpg")</f>
        <v/>
      </c>
      <c r="M2935">
        <f>IMAGE("file:///E:/Estudios%20y%20certificaciones/ESTUDIOS%20DE%20PROGRAMMING/PROGRAMMING/PERSONAL/PYTHON/Image_Generator_API/imagenes/NAUTICA_MENS_208008601_BLK_3.jpg")</f>
        <v/>
      </c>
      <c r="O2935">
        <f>HYPERLINK("imagenes/NAUTICA_MENS_208008601_BLK_2.jpg","Ver imagen")</f>
        <v/>
      </c>
      <c r="P2935">
        <f>HYPERLINK("imagenes/NAUTICA_MENS_208008601_BLK_3.jpg","Ver imagen")</f>
        <v/>
      </c>
    </row>
    <row r="2936">
      <c r="A2936" t="inlineStr">
        <is>
          <t>NAUTICA MENS</t>
        </is>
      </c>
      <c r="B2936" t="inlineStr">
        <is>
          <t>208008601</t>
        </is>
      </c>
      <c r="C2936" t="inlineStr">
        <is>
          <t>HOODED RAIN JACKET</t>
        </is>
      </c>
      <c r="D2936" t="inlineStr">
        <is>
          <t>BLK</t>
        </is>
      </c>
      <c r="E2936" t="inlineStr">
        <is>
          <t>(en blanco)</t>
        </is>
      </c>
      <c r="F2936" t="inlineStr">
        <is>
          <t>(en blanco)</t>
        </is>
      </c>
      <c r="G2936" t="inlineStr">
        <is>
          <t>XXL</t>
        </is>
      </c>
      <c r="H2936" t="n">
        <v>2</v>
      </c>
      <c r="I2936" t="inlineStr">
        <is>
          <t>NAUTICA_MENS_208008601_BLK_2.jpg</t>
        </is>
      </c>
      <c r="J2936" t="inlineStr">
        <is>
          <t>NAUTICA_MENS_208008601_BLK_3.jpg</t>
        </is>
      </c>
      <c r="L2936">
        <f>IMAGE("file:///E:/Estudios%20y%20certificaciones/ESTUDIOS%20DE%20PROGRAMMING/PROGRAMMING/PERSONAL/PYTHON/Image_Generator_API/imagenes/NAUTICA_MENS_208008601_BLK_2.jpg")</f>
        <v/>
      </c>
      <c r="M2936">
        <f>IMAGE("file:///E:/Estudios%20y%20certificaciones/ESTUDIOS%20DE%20PROGRAMMING/PROGRAMMING/PERSONAL/PYTHON/Image_Generator_API/imagenes/NAUTICA_MENS_208008601_BLK_3.jpg")</f>
        <v/>
      </c>
      <c r="O2936">
        <f>HYPERLINK("imagenes/NAUTICA_MENS_208008601_BLK_2.jpg","Ver imagen")</f>
        <v/>
      </c>
      <c r="P2936">
        <f>HYPERLINK("imagenes/NAUTICA_MENS_208008601_BLK_3.jpg","Ver imagen")</f>
        <v/>
      </c>
    </row>
    <row r="2937">
      <c r="A2937" t="inlineStr">
        <is>
          <t>NAUTICA MENS</t>
        </is>
      </c>
      <c r="B2937" t="inlineStr">
        <is>
          <t>208008601</t>
        </is>
      </c>
      <c r="C2937" t="inlineStr">
        <is>
          <t>HOODED RAIN JACKET</t>
        </is>
      </c>
      <c r="D2937" t="inlineStr">
        <is>
          <t>NVY</t>
        </is>
      </c>
      <c r="E2937" t="inlineStr">
        <is>
          <t>12A08</t>
        </is>
      </c>
      <c r="F2937" t="inlineStr">
        <is>
          <t>R2140</t>
        </is>
      </c>
      <c r="G2937" t="inlineStr">
        <is>
          <t>PPK</t>
        </is>
      </c>
      <c r="H2937" t="n">
        <v>0</v>
      </c>
      <c r="I2937" t="inlineStr">
        <is>
          <t>NAUTICA_MENS_208008601_NVY_1.jpg</t>
        </is>
      </c>
      <c r="J2937" t="inlineStr">
        <is>
          <t>NAUTICA_MENS_208008601_NVY_2.jpg</t>
        </is>
      </c>
      <c r="K2937" t="inlineStr">
        <is>
          <t>NAUTICA_MENS_208008601_NVY_3.jpg</t>
        </is>
      </c>
      <c r="L2937">
        <f>IMAGE("file:///E:/Estudios%20y%20certificaciones/ESTUDIOS%20DE%20PROGRAMMING/PROGRAMMING/PERSONAL/PYTHON/Image_Generator_API/imagenes/NAUTICA_MENS_208008601_NVY_1.jpg")</f>
        <v/>
      </c>
      <c r="M2937">
        <f>IMAGE("file:///E:/Estudios%20y%20certificaciones/ESTUDIOS%20DE%20PROGRAMMING/PROGRAMMING/PERSONAL/PYTHON/Image_Generator_API/imagenes/NAUTICA_MENS_208008601_NVY_2.jpg")</f>
        <v/>
      </c>
      <c r="N2937">
        <f>IMAGE("file:///E:/Estudios%20y%20certificaciones/ESTUDIOS%20DE%20PROGRAMMING/PROGRAMMING/PERSONAL/PYTHON/Image_Generator_API/imagenes/NAUTICA_MENS_208008601_NVY_3.jpg")</f>
        <v/>
      </c>
      <c r="O2937">
        <f>HYPERLINK("imagenes/NAUTICA_MENS_208008601_NVY_1.jpg","Ver imagen")</f>
        <v/>
      </c>
      <c r="P2937">
        <f>HYPERLINK("imagenes/NAUTICA_MENS_208008601_NVY_2.jpg","Ver imagen")</f>
        <v/>
      </c>
      <c r="Q2937">
        <f>HYPERLINK("imagenes/NAUTICA_MENS_208008601_NVY_3.jpg","Ver imagen")</f>
        <v/>
      </c>
    </row>
    <row r="2938">
      <c r="A2938" t="inlineStr">
        <is>
          <t>NAUTICA MENS</t>
        </is>
      </c>
      <c r="B2938" t="inlineStr">
        <is>
          <t>208008601</t>
        </is>
      </c>
      <c r="C2938" t="inlineStr">
        <is>
          <t>HOODED RAIN JACKET</t>
        </is>
      </c>
      <c r="D2938" t="inlineStr">
        <is>
          <t>NVY</t>
        </is>
      </c>
      <c r="E2938" t="inlineStr">
        <is>
          <t>(en blanco)</t>
        </is>
      </c>
      <c r="F2938" t="inlineStr">
        <is>
          <t>D2C</t>
        </is>
      </c>
      <c r="G2938" t="inlineStr">
        <is>
          <t>S</t>
        </is>
      </c>
      <c r="H2938" t="n">
        <v>14</v>
      </c>
      <c r="I2938" t="inlineStr">
        <is>
          <t>NAUTICA_MENS_208008601_NVY_1.jpg</t>
        </is>
      </c>
      <c r="J2938" t="inlineStr">
        <is>
          <t>NAUTICA_MENS_208008601_NVY_2.jpg</t>
        </is>
      </c>
      <c r="K2938" t="inlineStr">
        <is>
          <t>NAUTICA_MENS_208008601_NVY_3.jpg</t>
        </is>
      </c>
      <c r="L2938">
        <f>IMAGE("file:///E:/Estudios%20y%20certificaciones/ESTUDIOS%20DE%20PROGRAMMING/PROGRAMMING/PERSONAL/PYTHON/Image_Generator_API/imagenes/NAUTICA_MENS_208008601_NVY_1.jpg")</f>
        <v/>
      </c>
      <c r="M2938">
        <f>IMAGE("file:///E:/Estudios%20y%20certificaciones/ESTUDIOS%20DE%20PROGRAMMING/PROGRAMMING/PERSONAL/PYTHON/Image_Generator_API/imagenes/NAUTICA_MENS_208008601_NVY_2.jpg")</f>
        <v/>
      </c>
      <c r="N2938">
        <f>IMAGE("file:///E:/Estudios%20y%20certificaciones/ESTUDIOS%20DE%20PROGRAMMING/PROGRAMMING/PERSONAL/PYTHON/Image_Generator_API/imagenes/NAUTICA_MENS_208008601_NVY_3.jpg")</f>
        <v/>
      </c>
      <c r="O2938">
        <f>HYPERLINK("imagenes/NAUTICA_MENS_208008601_NVY_1.jpg","Ver imagen")</f>
        <v/>
      </c>
      <c r="P2938">
        <f>HYPERLINK("imagenes/NAUTICA_MENS_208008601_NVY_2.jpg","Ver imagen")</f>
        <v/>
      </c>
      <c r="Q2938">
        <f>HYPERLINK("imagenes/NAUTICA_MENS_208008601_NVY_3.jpg","Ver imagen")</f>
        <v/>
      </c>
    </row>
    <row r="2939">
      <c r="A2939" t="inlineStr">
        <is>
          <t>NAUTICA MENS</t>
        </is>
      </c>
      <c r="B2939" t="inlineStr">
        <is>
          <t>208008601</t>
        </is>
      </c>
      <c r="C2939" t="inlineStr">
        <is>
          <t>HOODED RAIN JACKET</t>
        </is>
      </c>
      <c r="D2939" t="inlineStr">
        <is>
          <t>NVY</t>
        </is>
      </c>
      <c r="E2939" t="inlineStr">
        <is>
          <t>(en blanco)</t>
        </is>
      </c>
      <c r="F2939" t="inlineStr">
        <is>
          <t>D2C</t>
        </is>
      </c>
      <c r="G2939" t="inlineStr">
        <is>
          <t>M</t>
        </is>
      </c>
      <c r="H2939" t="n">
        <v>11</v>
      </c>
      <c r="I2939" t="inlineStr">
        <is>
          <t>NAUTICA_MENS_208008601_NVY_1.jpg</t>
        </is>
      </c>
      <c r="J2939" t="inlineStr">
        <is>
          <t>NAUTICA_MENS_208008601_NVY_2.jpg</t>
        </is>
      </c>
      <c r="K2939" t="inlineStr">
        <is>
          <t>NAUTICA_MENS_208008601_NVY_3.jpg</t>
        </is>
      </c>
      <c r="L2939">
        <f>IMAGE("file:///E:/Estudios%20y%20certificaciones/ESTUDIOS%20DE%20PROGRAMMING/PROGRAMMING/PERSONAL/PYTHON/Image_Generator_API/imagenes/NAUTICA_MENS_208008601_NVY_1.jpg")</f>
        <v/>
      </c>
      <c r="M2939">
        <f>IMAGE("file:///E:/Estudios%20y%20certificaciones/ESTUDIOS%20DE%20PROGRAMMING/PROGRAMMING/PERSONAL/PYTHON/Image_Generator_API/imagenes/NAUTICA_MENS_208008601_NVY_2.jpg")</f>
        <v/>
      </c>
      <c r="N2939">
        <f>IMAGE("file:///E:/Estudios%20y%20certificaciones/ESTUDIOS%20DE%20PROGRAMMING/PROGRAMMING/PERSONAL/PYTHON/Image_Generator_API/imagenes/NAUTICA_MENS_208008601_NVY_3.jpg")</f>
        <v/>
      </c>
      <c r="O2939">
        <f>HYPERLINK("imagenes/NAUTICA_MENS_208008601_NVY_1.jpg","Ver imagen")</f>
        <v/>
      </c>
      <c r="P2939">
        <f>HYPERLINK("imagenes/NAUTICA_MENS_208008601_NVY_2.jpg","Ver imagen")</f>
        <v/>
      </c>
      <c r="Q2939">
        <f>HYPERLINK("imagenes/NAUTICA_MENS_208008601_NVY_3.jpg","Ver imagen")</f>
        <v/>
      </c>
    </row>
    <row r="2940">
      <c r="A2940" t="inlineStr">
        <is>
          <t>NAUTICA MENS</t>
        </is>
      </c>
      <c r="B2940" t="inlineStr">
        <is>
          <t>208008601</t>
        </is>
      </c>
      <c r="C2940" t="inlineStr">
        <is>
          <t>HOODED RAIN JACKET</t>
        </is>
      </c>
      <c r="D2940" t="inlineStr">
        <is>
          <t>NVY</t>
        </is>
      </c>
      <c r="E2940" t="inlineStr">
        <is>
          <t>(en blanco)</t>
        </is>
      </c>
      <c r="F2940" t="inlineStr">
        <is>
          <t>D2C</t>
        </is>
      </c>
      <c r="G2940" t="inlineStr">
        <is>
          <t>L</t>
        </is>
      </c>
      <c r="H2940" t="n">
        <v>11</v>
      </c>
      <c r="I2940" t="inlineStr">
        <is>
          <t>NAUTICA_MENS_208008601_NVY_1.jpg</t>
        </is>
      </c>
      <c r="J2940" t="inlineStr">
        <is>
          <t>NAUTICA_MENS_208008601_NVY_2.jpg</t>
        </is>
      </c>
      <c r="K2940" t="inlineStr">
        <is>
          <t>NAUTICA_MENS_208008601_NVY_3.jpg</t>
        </is>
      </c>
      <c r="L2940">
        <f>IMAGE("file:///E:/Estudios%20y%20certificaciones/ESTUDIOS%20DE%20PROGRAMMING/PROGRAMMING/PERSONAL/PYTHON/Image_Generator_API/imagenes/NAUTICA_MENS_208008601_NVY_1.jpg")</f>
        <v/>
      </c>
      <c r="M2940">
        <f>IMAGE("file:///E:/Estudios%20y%20certificaciones/ESTUDIOS%20DE%20PROGRAMMING/PROGRAMMING/PERSONAL/PYTHON/Image_Generator_API/imagenes/NAUTICA_MENS_208008601_NVY_2.jpg")</f>
        <v/>
      </c>
      <c r="N2940">
        <f>IMAGE("file:///E:/Estudios%20y%20certificaciones/ESTUDIOS%20DE%20PROGRAMMING/PROGRAMMING/PERSONAL/PYTHON/Image_Generator_API/imagenes/NAUTICA_MENS_208008601_NVY_3.jpg")</f>
        <v/>
      </c>
      <c r="O2940">
        <f>HYPERLINK("imagenes/NAUTICA_MENS_208008601_NVY_1.jpg","Ver imagen")</f>
        <v/>
      </c>
      <c r="P2940">
        <f>HYPERLINK("imagenes/NAUTICA_MENS_208008601_NVY_2.jpg","Ver imagen")</f>
        <v/>
      </c>
      <c r="Q2940">
        <f>HYPERLINK("imagenes/NAUTICA_MENS_208008601_NVY_3.jpg","Ver imagen")</f>
        <v/>
      </c>
    </row>
    <row r="2941">
      <c r="A2941" t="inlineStr">
        <is>
          <t>NAUTICA MENS</t>
        </is>
      </c>
      <c r="B2941" t="inlineStr">
        <is>
          <t>208008601</t>
        </is>
      </c>
      <c r="C2941" t="inlineStr">
        <is>
          <t>HOODED RAIN JACKET</t>
        </is>
      </c>
      <c r="D2941" t="inlineStr">
        <is>
          <t>NVY</t>
        </is>
      </c>
      <c r="E2941" t="inlineStr">
        <is>
          <t>(en blanco)</t>
        </is>
      </c>
      <c r="F2941" t="inlineStr">
        <is>
          <t>D2C</t>
        </is>
      </c>
      <c r="G2941" t="inlineStr">
        <is>
          <t>XL</t>
        </is>
      </c>
      <c r="H2941" t="n">
        <v>18</v>
      </c>
      <c r="I2941" t="inlineStr">
        <is>
          <t>NAUTICA_MENS_208008601_NVY_1.jpg</t>
        </is>
      </c>
      <c r="J2941" t="inlineStr">
        <is>
          <t>NAUTICA_MENS_208008601_NVY_2.jpg</t>
        </is>
      </c>
      <c r="K2941" t="inlineStr">
        <is>
          <t>NAUTICA_MENS_208008601_NVY_3.jpg</t>
        </is>
      </c>
      <c r="L2941">
        <f>IMAGE("file:///E:/Estudios%20y%20certificaciones/ESTUDIOS%20DE%20PROGRAMMING/PROGRAMMING/PERSONAL/PYTHON/Image_Generator_API/imagenes/NAUTICA_MENS_208008601_NVY_1.jpg")</f>
        <v/>
      </c>
      <c r="M2941">
        <f>IMAGE("file:///E:/Estudios%20y%20certificaciones/ESTUDIOS%20DE%20PROGRAMMING/PROGRAMMING/PERSONAL/PYTHON/Image_Generator_API/imagenes/NAUTICA_MENS_208008601_NVY_2.jpg")</f>
        <v/>
      </c>
      <c r="N2941">
        <f>IMAGE("file:///E:/Estudios%20y%20certificaciones/ESTUDIOS%20DE%20PROGRAMMING/PROGRAMMING/PERSONAL/PYTHON/Image_Generator_API/imagenes/NAUTICA_MENS_208008601_NVY_3.jpg")</f>
        <v/>
      </c>
      <c r="O2941">
        <f>HYPERLINK("imagenes/NAUTICA_MENS_208008601_NVY_1.jpg","Ver imagen")</f>
        <v/>
      </c>
      <c r="P2941">
        <f>HYPERLINK("imagenes/NAUTICA_MENS_208008601_NVY_2.jpg","Ver imagen")</f>
        <v/>
      </c>
      <c r="Q2941">
        <f>HYPERLINK("imagenes/NAUTICA_MENS_208008601_NVY_3.jpg","Ver imagen")</f>
        <v/>
      </c>
    </row>
    <row r="2942">
      <c r="A2942" t="inlineStr">
        <is>
          <t>NAUTICA MENS</t>
        </is>
      </c>
      <c r="B2942" t="inlineStr">
        <is>
          <t>208008601</t>
        </is>
      </c>
      <c r="C2942" t="inlineStr">
        <is>
          <t>HOODED RAIN JACKET</t>
        </is>
      </c>
      <c r="D2942" t="inlineStr">
        <is>
          <t>NVY</t>
        </is>
      </c>
      <c r="E2942" t="inlineStr">
        <is>
          <t>(en blanco)</t>
        </is>
      </c>
      <c r="F2942" t="inlineStr">
        <is>
          <t>D2C</t>
        </is>
      </c>
      <c r="G2942" t="inlineStr">
        <is>
          <t>XXL</t>
        </is>
      </c>
      <c r="H2942" t="n">
        <v>16</v>
      </c>
      <c r="I2942" t="inlineStr">
        <is>
          <t>NAUTICA_MENS_208008601_NVY_1.jpg</t>
        </is>
      </c>
      <c r="J2942" t="inlineStr">
        <is>
          <t>NAUTICA_MENS_208008601_NVY_2.jpg</t>
        </is>
      </c>
      <c r="K2942" t="inlineStr">
        <is>
          <t>NAUTICA_MENS_208008601_NVY_3.jpg</t>
        </is>
      </c>
      <c r="L2942">
        <f>IMAGE("file:///E:/Estudios%20y%20certificaciones/ESTUDIOS%20DE%20PROGRAMMING/PROGRAMMING/PERSONAL/PYTHON/Image_Generator_API/imagenes/NAUTICA_MENS_208008601_NVY_1.jpg")</f>
        <v/>
      </c>
      <c r="M2942">
        <f>IMAGE("file:///E:/Estudios%20y%20certificaciones/ESTUDIOS%20DE%20PROGRAMMING/PROGRAMMING/PERSONAL/PYTHON/Image_Generator_API/imagenes/NAUTICA_MENS_208008601_NVY_2.jpg")</f>
        <v/>
      </c>
      <c r="N2942">
        <f>IMAGE("file:///E:/Estudios%20y%20certificaciones/ESTUDIOS%20DE%20PROGRAMMING/PROGRAMMING/PERSONAL/PYTHON/Image_Generator_API/imagenes/NAUTICA_MENS_208008601_NVY_3.jpg")</f>
        <v/>
      </c>
      <c r="O2942">
        <f>HYPERLINK("imagenes/NAUTICA_MENS_208008601_NVY_1.jpg","Ver imagen")</f>
        <v/>
      </c>
      <c r="P2942">
        <f>HYPERLINK("imagenes/NAUTICA_MENS_208008601_NVY_2.jpg","Ver imagen")</f>
        <v/>
      </c>
      <c r="Q2942">
        <f>HYPERLINK("imagenes/NAUTICA_MENS_208008601_NVY_3.jpg","Ver imagen")</f>
        <v/>
      </c>
    </row>
    <row r="2943">
      <c r="A2943" t="inlineStr">
        <is>
          <t>NAUTICA MENS</t>
        </is>
      </c>
      <c r="B2943" t="inlineStr">
        <is>
          <t>208008601</t>
        </is>
      </c>
      <c r="C2943" t="inlineStr">
        <is>
          <t>HOODED RAIN JACKET</t>
        </is>
      </c>
      <c r="D2943" t="inlineStr">
        <is>
          <t>NVY</t>
        </is>
      </c>
      <c r="E2943" t="inlineStr">
        <is>
          <t>(en blanco)</t>
        </is>
      </c>
      <c r="F2943" t="inlineStr">
        <is>
          <t>(en blanco)</t>
        </is>
      </c>
      <c r="G2943" t="inlineStr">
        <is>
          <t>S</t>
        </is>
      </c>
      <c r="H2943" t="n">
        <v>3</v>
      </c>
      <c r="I2943" t="inlineStr">
        <is>
          <t>NAUTICA_MENS_208008601_NVY_1.jpg</t>
        </is>
      </c>
      <c r="J2943" t="inlineStr">
        <is>
          <t>NAUTICA_MENS_208008601_NVY_2.jpg</t>
        </is>
      </c>
      <c r="K2943" t="inlineStr">
        <is>
          <t>NAUTICA_MENS_208008601_NVY_3.jpg</t>
        </is>
      </c>
      <c r="L2943">
        <f>IMAGE("file:///E:/Estudios%20y%20certificaciones/ESTUDIOS%20DE%20PROGRAMMING/PROGRAMMING/PERSONAL/PYTHON/Image_Generator_API/imagenes/NAUTICA_MENS_208008601_NVY_1.jpg")</f>
        <v/>
      </c>
      <c r="M2943">
        <f>IMAGE("file:///E:/Estudios%20y%20certificaciones/ESTUDIOS%20DE%20PROGRAMMING/PROGRAMMING/PERSONAL/PYTHON/Image_Generator_API/imagenes/NAUTICA_MENS_208008601_NVY_2.jpg")</f>
        <v/>
      </c>
      <c r="N2943">
        <f>IMAGE("file:///E:/Estudios%20y%20certificaciones/ESTUDIOS%20DE%20PROGRAMMING/PROGRAMMING/PERSONAL/PYTHON/Image_Generator_API/imagenes/NAUTICA_MENS_208008601_NVY_3.jpg")</f>
        <v/>
      </c>
      <c r="O2943">
        <f>HYPERLINK("imagenes/NAUTICA_MENS_208008601_NVY_1.jpg","Ver imagen")</f>
        <v/>
      </c>
      <c r="P2943">
        <f>HYPERLINK("imagenes/NAUTICA_MENS_208008601_NVY_2.jpg","Ver imagen")</f>
        <v/>
      </c>
      <c r="Q2943">
        <f>HYPERLINK("imagenes/NAUTICA_MENS_208008601_NVY_3.jpg","Ver imagen")</f>
        <v/>
      </c>
    </row>
    <row r="2944">
      <c r="A2944" t="inlineStr">
        <is>
          <t>NAUTICA MENS</t>
        </is>
      </c>
      <c r="B2944" t="inlineStr">
        <is>
          <t>208008601</t>
        </is>
      </c>
      <c r="C2944" t="inlineStr">
        <is>
          <t>HOODED RAIN JACKET</t>
        </is>
      </c>
      <c r="D2944" t="inlineStr">
        <is>
          <t>NVY</t>
        </is>
      </c>
      <c r="E2944" t="inlineStr">
        <is>
          <t>(en blanco)</t>
        </is>
      </c>
      <c r="F2944" t="inlineStr">
        <is>
          <t>(en blanco)</t>
        </is>
      </c>
      <c r="G2944" t="inlineStr">
        <is>
          <t>M</t>
        </is>
      </c>
      <c r="H2944" t="n">
        <v>1</v>
      </c>
      <c r="I2944" t="inlineStr">
        <is>
          <t>NAUTICA_MENS_208008601_NVY_1.jpg</t>
        </is>
      </c>
      <c r="J2944" t="inlineStr">
        <is>
          <t>NAUTICA_MENS_208008601_NVY_2.jpg</t>
        </is>
      </c>
      <c r="K2944" t="inlineStr">
        <is>
          <t>NAUTICA_MENS_208008601_NVY_3.jpg</t>
        </is>
      </c>
      <c r="L2944">
        <f>IMAGE("file:///E:/Estudios%20y%20certificaciones/ESTUDIOS%20DE%20PROGRAMMING/PROGRAMMING/PERSONAL/PYTHON/Image_Generator_API/imagenes/NAUTICA_MENS_208008601_NVY_1.jpg")</f>
        <v/>
      </c>
      <c r="M2944">
        <f>IMAGE("file:///E:/Estudios%20y%20certificaciones/ESTUDIOS%20DE%20PROGRAMMING/PROGRAMMING/PERSONAL/PYTHON/Image_Generator_API/imagenes/NAUTICA_MENS_208008601_NVY_2.jpg")</f>
        <v/>
      </c>
      <c r="N2944">
        <f>IMAGE("file:///E:/Estudios%20y%20certificaciones/ESTUDIOS%20DE%20PROGRAMMING/PROGRAMMING/PERSONAL/PYTHON/Image_Generator_API/imagenes/NAUTICA_MENS_208008601_NVY_3.jpg")</f>
        <v/>
      </c>
      <c r="O2944">
        <f>HYPERLINK("imagenes/NAUTICA_MENS_208008601_NVY_1.jpg","Ver imagen")</f>
        <v/>
      </c>
      <c r="P2944">
        <f>HYPERLINK("imagenes/NAUTICA_MENS_208008601_NVY_2.jpg","Ver imagen")</f>
        <v/>
      </c>
      <c r="Q2944">
        <f>HYPERLINK("imagenes/NAUTICA_MENS_208008601_NVY_3.jpg","Ver imagen")</f>
        <v/>
      </c>
    </row>
    <row r="2945">
      <c r="A2945" t="inlineStr">
        <is>
          <t>NAUTICA MENS</t>
        </is>
      </c>
      <c r="B2945" t="inlineStr">
        <is>
          <t>208008601</t>
        </is>
      </c>
      <c r="C2945" t="inlineStr">
        <is>
          <t>HOODED RAIN JACKET</t>
        </is>
      </c>
      <c r="D2945" t="inlineStr">
        <is>
          <t>NVY</t>
        </is>
      </c>
      <c r="E2945" t="inlineStr">
        <is>
          <t>(en blanco)</t>
        </is>
      </c>
      <c r="F2945" t="inlineStr">
        <is>
          <t>(en blanco)</t>
        </is>
      </c>
      <c r="G2945" t="inlineStr">
        <is>
          <t>L</t>
        </is>
      </c>
      <c r="H2945" t="n">
        <v>3</v>
      </c>
      <c r="I2945" t="inlineStr">
        <is>
          <t>NAUTICA_MENS_208008601_NVY_1.jpg</t>
        </is>
      </c>
      <c r="J2945" t="inlineStr">
        <is>
          <t>NAUTICA_MENS_208008601_NVY_2.jpg</t>
        </is>
      </c>
      <c r="K2945" t="inlineStr">
        <is>
          <t>NAUTICA_MENS_208008601_NVY_3.jpg</t>
        </is>
      </c>
      <c r="L2945">
        <f>IMAGE("file:///E:/Estudios%20y%20certificaciones/ESTUDIOS%20DE%20PROGRAMMING/PROGRAMMING/PERSONAL/PYTHON/Image_Generator_API/imagenes/NAUTICA_MENS_208008601_NVY_1.jpg")</f>
        <v/>
      </c>
      <c r="M2945">
        <f>IMAGE("file:///E:/Estudios%20y%20certificaciones/ESTUDIOS%20DE%20PROGRAMMING/PROGRAMMING/PERSONAL/PYTHON/Image_Generator_API/imagenes/NAUTICA_MENS_208008601_NVY_2.jpg")</f>
        <v/>
      </c>
      <c r="N2945">
        <f>IMAGE("file:///E:/Estudios%20y%20certificaciones/ESTUDIOS%20DE%20PROGRAMMING/PROGRAMMING/PERSONAL/PYTHON/Image_Generator_API/imagenes/NAUTICA_MENS_208008601_NVY_3.jpg")</f>
        <v/>
      </c>
      <c r="O2945">
        <f>HYPERLINK("imagenes/NAUTICA_MENS_208008601_NVY_1.jpg","Ver imagen")</f>
        <v/>
      </c>
      <c r="P2945">
        <f>HYPERLINK("imagenes/NAUTICA_MENS_208008601_NVY_2.jpg","Ver imagen")</f>
        <v/>
      </c>
      <c r="Q2945">
        <f>HYPERLINK("imagenes/NAUTICA_MENS_208008601_NVY_3.jpg","Ver imagen")</f>
        <v/>
      </c>
    </row>
    <row r="2946">
      <c r="A2946" t="inlineStr">
        <is>
          <t>NAUTICA MENS</t>
        </is>
      </c>
      <c r="B2946" t="inlineStr">
        <is>
          <t>208008601</t>
        </is>
      </c>
      <c r="C2946" t="inlineStr">
        <is>
          <t>HOODED RAIN JACKET</t>
        </is>
      </c>
      <c r="D2946" t="inlineStr">
        <is>
          <t>NVY</t>
        </is>
      </c>
      <c r="E2946" t="inlineStr">
        <is>
          <t>(en blanco)</t>
        </is>
      </c>
      <c r="F2946" t="inlineStr">
        <is>
          <t>(en blanco)</t>
        </is>
      </c>
      <c r="G2946" t="inlineStr">
        <is>
          <t>XL</t>
        </is>
      </c>
      <c r="H2946" t="n">
        <v>1</v>
      </c>
      <c r="I2946" t="inlineStr">
        <is>
          <t>NAUTICA_MENS_208008601_NVY_1.jpg</t>
        </is>
      </c>
      <c r="J2946" t="inlineStr">
        <is>
          <t>NAUTICA_MENS_208008601_NVY_2.jpg</t>
        </is>
      </c>
      <c r="K2946" t="inlineStr">
        <is>
          <t>NAUTICA_MENS_208008601_NVY_3.jpg</t>
        </is>
      </c>
      <c r="L2946">
        <f>IMAGE("file:///E:/Estudios%20y%20certificaciones/ESTUDIOS%20DE%20PROGRAMMING/PROGRAMMING/PERSONAL/PYTHON/Image_Generator_API/imagenes/NAUTICA_MENS_208008601_NVY_1.jpg")</f>
        <v/>
      </c>
      <c r="M2946">
        <f>IMAGE("file:///E:/Estudios%20y%20certificaciones/ESTUDIOS%20DE%20PROGRAMMING/PROGRAMMING/PERSONAL/PYTHON/Image_Generator_API/imagenes/NAUTICA_MENS_208008601_NVY_2.jpg")</f>
        <v/>
      </c>
      <c r="N2946">
        <f>IMAGE("file:///E:/Estudios%20y%20certificaciones/ESTUDIOS%20DE%20PROGRAMMING/PROGRAMMING/PERSONAL/PYTHON/Image_Generator_API/imagenes/NAUTICA_MENS_208008601_NVY_3.jpg")</f>
        <v/>
      </c>
      <c r="O2946">
        <f>HYPERLINK("imagenes/NAUTICA_MENS_208008601_NVY_1.jpg","Ver imagen")</f>
        <v/>
      </c>
      <c r="P2946">
        <f>HYPERLINK("imagenes/NAUTICA_MENS_208008601_NVY_2.jpg","Ver imagen")</f>
        <v/>
      </c>
      <c r="Q2946">
        <f>HYPERLINK("imagenes/NAUTICA_MENS_208008601_NVY_3.jpg","Ver imagen")</f>
        <v/>
      </c>
    </row>
    <row r="2947">
      <c r="A2947" t="inlineStr">
        <is>
          <t>NAUTICA MENS</t>
        </is>
      </c>
      <c r="B2947" t="inlineStr">
        <is>
          <t>208008601</t>
        </is>
      </c>
      <c r="C2947" t="inlineStr">
        <is>
          <t>HOODED RAIN JACKET</t>
        </is>
      </c>
      <c r="D2947" t="inlineStr">
        <is>
          <t>NVY</t>
        </is>
      </c>
      <c r="E2947" t="inlineStr">
        <is>
          <t>(en blanco)</t>
        </is>
      </c>
      <c r="F2947" t="inlineStr">
        <is>
          <t>(en blanco)</t>
        </is>
      </c>
      <c r="G2947" t="inlineStr">
        <is>
          <t>XXL</t>
        </is>
      </c>
      <c r="H2947" t="n">
        <v>4</v>
      </c>
      <c r="I2947" t="inlineStr">
        <is>
          <t>NAUTICA_MENS_208008601_NVY_1.jpg</t>
        </is>
      </c>
      <c r="J2947" t="inlineStr">
        <is>
          <t>NAUTICA_MENS_208008601_NVY_2.jpg</t>
        </is>
      </c>
      <c r="K2947" t="inlineStr">
        <is>
          <t>NAUTICA_MENS_208008601_NVY_3.jpg</t>
        </is>
      </c>
      <c r="L2947">
        <f>IMAGE("file:///E:/Estudios%20y%20certificaciones/ESTUDIOS%20DE%20PROGRAMMING/PROGRAMMING/PERSONAL/PYTHON/Image_Generator_API/imagenes/NAUTICA_MENS_208008601_NVY_1.jpg")</f>
        <v/>
      </c>
      <c r="M2947">
        <f>IMAGE("file:///E:/Estudios%20y%20certificaciones/ESTUDIOS%20DE%20PROGRAMMING/PROGRAMMING/PERSONAL/PYTHON/Image_Generator_API/imagenes/NAUTICA_MENS_208008601_NVY_2.jpg")</f>
        <v/>
      </c>
      <c r="N2947">
        <f>IMAGE("file:///E:/Estudios%20y%20certificaciones/ESTUDIOS%20DE%20PROGRAMMING/PROGRAMMING/PERSONAL/PYTHON/Image_Generator_API/imagenes/NAUTICA_MENS_208008601_NVY_3.jpg")</f>
        <v/>
      </c>
      <c r="O2947">
        <f>HYPERLINK("imagenes/NAUTICA_MENS_208008601_NVY_1.jpg","Ver imagen")</f>
        <v/>
      </c>
      <c r="P2947">
        <f>HYPERLINK("imagenes/NAUTICA_MENS_208008601_NVY_2.jpg","Ver imagen")</f>
        <v/>
      </c>
      <c r="Q2947">
        <f>HYPERLINK("imagenes/NAUTICA_MENS_208008601_NVY_3.jpg","Ver imagen")</f>
        <v/>
      </c>
    </row>
    <row r="2948">
      <c r="A2948" t="inlineStr">
        <is>
          <t>NAUTICA MENS</t>
        </is>
      </c>
      <c r="B2948" t="inlineStr">
        <is>
          <t>208008601</t>
        </is>
      </c>
      <c r="C2948" t="inlineStr">
        <is>
          <t>HOODED RAIN JACKET</t>
        </is>
      </c>
      <c r="D2948" t="inlineStr">
        <is>
          <t>RED</t>
        </is>
      </c>
      <c r="E2948" t="inlineStr">
        <is>
          <t>12A08</t>
        </is>
      </c>
      <c r="F2948" t="inlineStr">
        <is>
          <t>R2140</t>
        </is>
      </c>
      <c r="G2948" t="inlineStr">
        <is>
          <t>PPK</t>
        </is>
      </c>
      <c r="H2948" t="n">
        <v>0</v>
      </c>
      <c r="I2948" t="inlineStr">
        <is>
          <t>NAUTICA_MENS_208008601_RED_1.jpg</t>
        </is>
      </c>
      <c r="J2948" t="inlineStr">
        <is>
          <t>NAUTICA_MENS_208008601_RED_2.jpg</t>
        </is>
      </c>
      <c r="K2948" t="inlineStr">
        <is>
          <t>NAUTICA_MENS_208008601_RED_3.jpg</t>
        </is>
      </c>
      <c r="L2948">
        <f>IMAGE("file:///E:/Estudios%20y%20certificaciones/ESTUDIOS%20DE%20PROGRAMMING/PROGRAMMING/PERSONAL/PYTHON/Image_Generator_API/imagenes/NAUTICA_MENS_208008601_RED_1.jpg")</f>
        <v/>
      </c>
      <c r="M2948">
        <f>IMAGE("file:///E:/Estudios%20y%20certificaciones/ESTUDIOS%20DE%20PROGRAMMING/PROGRAMMING/PERSONAL/PYTHON/Image_Generator_API/imagenes/NAUTICA_MENS_208008601_RED_2.jpg")</f>
        <v/>
      </c>
      <c r="N2948">
        <f>IMAGE("file:///E:/Estudios%20y%20certificaciones/ESTUDIOS%20DE%20PROGRAMMING/PROGRAMMING/PERSONAL/PYTHON/Image_Generator_API/imagenes/NAUTICA_MENS_208008601_RED_3.jpg")</f>
        <v/>
      </c>
      <c r="O2948">
        <f>HYPERLINK("imagenes/NAUTICA_MENS_208008601_RED_1.jpg","Ver imagen")</f>
        <v/>
      </c>
      <c r="P2948">
        <f>HYPERLINK("imagenes/NAUTICA_MENS_208008601_RED_2.jpg","Ver imagen")</f>
        <v/>
      </c>
      <c r="Q2948">
        <f>HYPERLINK("imagenes/NAUTICA_MENS_208008601_RED_3.jpg","Ver imagen")</f>
        <v/>
      </c>
    </row>
    <row r="2949">
      <c r="A2949" t="inlineStr">
        <is>
          <t>NAUTICA MENS</t>
        </is>
      </c>
      <c r="B2949" t="inlineStr">
        <is>
          <t>208008601</t>
        </is>
      </c>
      <c r="C2949" t="inlineStr">
        <is>
          <t>HOODED RAIN JACKET</t>
        </is>
      </c>
      <c r="D2949" t="inlineStr">
        <is>
          <t>RED</t>
        </is>
      </c>
      <c r="E2949" t="inlineStr">
        <is>
          <t>(en blanco)</t>
        </is>
      </c>
      <c r="F2949" t="inlineStr">
        <is>
          <t>D2C</t>
        </is>
      </c>
      <c r="G2949" t="inlineStr">
        <is>
          <t>M</t>
        </is>
      </c>
      <c r="H2949" t="n">
        <v>15</v>
      </c>
      <c r="I2949" t="inlineStr">
        <is>
          <t>NAUTICA_MENS_208008601_RED_1.jpg</t>
        </is>
      </c>
      <c r="J2949" t="inlineStr">
        <is>
          <t>NAUTICA_MENS_208008601_RED_2.jpg</t>
        </is>
      </c>
      <c r="K2949" t="inlineStr">
        <is>
          <t>NAUTICA_MENS_208008601_RED_3.jpg</t>
        </is>
      </c>
      <c r="L2949">
        <f>IMAGE("file:///E:/Estudios%20y%20certificaciones/ESTUDIOS%20DE%20PROGRAMMING/PROGRAMMING/PERSONAL/PYTHON/Image_Generator_API/imagenes/NAUTICA_MENS_208008601_RED_1.jpg")</f>
        <v/>
      </c>
      <c r="M2949">
        <f>IMAGE("file:///E:/Estudios%20y%20certificaciones/ESTUDIOS%20DE%20PROGRAMMING/PROGRAMMING/PERSONAL/PYTHON/Image_Generator_API/imagenes/NAUTICA_MENS_208008601_RED_2.jpg")</f>
        <v/>
      </c>
      <c r="N2949">
        <f>IMAGE("file:///E:/Estudios%20y%20certificaciones/ESTUDIOS%20DE%20PROGRAMMING/PROGRAMMING/PERSONAL/PYTHON/Image_Generator_API/imagenes/NAUTICA_MENS_208008601_RED_3.jpg")</f>
        <v/>
      </c>
      <c r="O2949">
        <f>HYPERLINK("imagenes/NAUTICA_MENS_208008601_RED_1.jpg","Ver imagen")</f>
        <v/>
      </c>
      <c r="P2949">
        <f>HYPERLINK("imagenes/NAUTICA_MENS_208008601_RED_2.jpg","Ver imagen")</f>
        <v/>
      </c>
      <c r="Q2949">
        <f>HYPERLINK("imagenes/NAUTICA_MENS_208008601_RED_3.jpg","Ver imagen")</f>
        <v/>
      </c>
    </row>
    <row r="2950">
      <c r="A2950" t="inlineStr">
        <is>
          <t>NAUTICA MENS</t>
        </is>
      </c>
      <c r="B2950" t="inlineStr">
        <is>
          <t>208008601</t>
        </is>
      </c>
      <c r="C2950" t="inlineStr">
        <is>
          <t>HOODED RAIN JACKET</t>
        </is>
      </c>
      <c r="D2950" t="inlineStr">
        <is>
          <t>RED</t>
        </is>
      </c>
      <c r="E2950" t="inlineStr">
        <is>
          <t>(en blanco)</t>
        </is>
      </c>
      <c r="F2950" t="inlineStr">
        <is>
          <t>D2C</t>
        </is>
      </c>
      <c r="G2950" t="inlineStr">
        <is>
          <t>L</t>
        </is>
      </c>
      <c r="H2950" t="n">
        <v>16</v>
      </c>
      <c r="I2950" t="inlineStr">
        <is>
          <t>NAUTICA_MENS_208008601_RED_1.jpg</t>
        </is>
      </c>
      <c r="J2950" t="inlineStr">
        <is>
          <t>NAUTICA_MENS_208008601_RED_2.jpg</t>
        </is>
      </c>
      <c r="K2950" t="inlineStr">
        <is>
          <t>NAUTICA_MENS_208008601_RED_3.jpg</t>
        </is>
      </c>
      <c r="L2950">
        <f>IMAGE("file:///E:/Estudios%20y%20certificaciones/ESTUDIOS%20DE%20PROGRAMMING/PROGRAMMING/PERSONAL/PYTHON/Image_Generator_API/imagenes/NAUTICA_MENS_208008601_RED_1.jpg")</f>
        <v/>
      </c>
      <c r="M2950">
        <f>IMAGE("file:///E:/Estudios%20y%20certificaciones/ESTUDIOS%20DE%20PROGRAMMING/PROGRAMMING/PERSONAL/PYTHON/Image_Generator_API/imagenes/NAUTICA_MENS_208008601_RED_2.jpg")</f>
        <v/>
      </c>
      <c r="N2950">
        <f>IMAGE("file:///E:/Estudios%20y%20certificaciones/ESTUDIOS%20DE%20PROGRAMMING/PROGRAMMING/PERSONAL/PYTHON/Image_Generator_API/imagenes/NAUTICA_MENS_208008601_RED_3.jpg")</f>
        <v/>
      </c>
      <c r="O2950">
        <f>HYPERLINK("imagenes/NAUTICA_MENS_208008601_RED_1.jpg","Ver imagen")</f>
        <v/>
      </c>
      <c r="P2950">
        <f>HYPERLINK("imagenes/NAUTICA_MENS_208008601_RED_2.jpg","Ver imagen")</f>
        <v/>
      </c>
      <c r="Q2950">
        <f>HYPERLINK("imagenes/NAUTICA_MENS_208008601_RED_3.jpg","Ver imagen")</f>
        <v/>
      </c>
    </row>
    <row r="2951">
      <c r="A2951" t="inlineStr">
        <is>
          <t>NAUTICA MENS</t>
        </is>
      </c>
      <c r="B2951" t="inlineStr">
        <is>
          <t>208008601</t>
        </is>
      </c>
      <c r="C2951" t="inlineStr">
        <is>
          <t>HOODED RAIN JACKET</t>
        </is>
      </c>
      <c r="D2951" t="inlineStr">
        <is>
          <t>RED</t>
        </is>
      </c>
      <c r="E2951" t="inlineStr">
        <is>
          <t>(en blanco)</t>
        </is>
      </c>
      <c r="F2951" t="inlineStr">
        <is>
          <t>D2C</t>
        </is>
      </c>
      <c r="G2951" t="inlineStr">
        <is>
          <t>XL</t>
        </is>
      </c>
      <c r="H2951" t="n">
        <v>14</v>
      </c>
      <c r="I2951" t="inlineStr">
        <is>
          <t>NAUTICA_MENS_208008601_RED_1.jpg</t>
        </is>
      </c>
      <c r="J2951" t="inlineStr">
        <is>
          <t>NAUTICA_MENS_208008601_RED_2.jpg</t>
        </is>
      </c>
      <c r="K2951" t="inlineStr">
        <is>
          <t>NAUTICA_MENS_208008601_RED_3.jpg</t>
        </is>
      </c>
      <c r="L2951">
        <f>IMAGE("file:///E:/Estudios%20y%20certificaciones/ESTUDIOS%20DE%20PROGRAMMING/PROGRAMMING/PERSONAL/PYTHON/Image_Generator_API/imagenes/NAUTICA_MENS_208008601_RED_1.jpg")</f>
        <v/>
      </c>
      <c r="M2951">
        <f>IMAGE("file:///E:/Estudios%20y%20certificaciones/ESTUDIOS%20DE%20PROGRAMMING/PROGRAMMING/PERSONAL/PYTHON/Image_Generator_API/imagenes/NAUTICA_MENS_208008601_RED_2.jpg")</f>
        <v/>
      </c>
      <c r="N2951">
        <f>IMAGE("file:///E:/Estudios%20y%20certificaciones/ESTUDIOS%20DE%20PROGRAMMING/PROGRAMMING/PERSONAL/PYTHON/Image_Generator_API/imagenes/NAUTICA_MENS_208008601_RED_3.jpg")</f>
        <v/>
      </c>
      <c r="O2951">
        <f>HYPERLINK("imagenes/NAUTICA_MENS_208008601_RED_1.jpg","Ver imagen")</f>
        <v/>
      </c>
      <c r="P2951">
        <f>HYPERLINK("imagenes/NAUTICA_MENS_208008601_RED_2.jpg","Ver imagen")</f>
        <v/>
      </c>
      <c r="Q2951">
        <f>HYPERLINK("imagenes/NAUTICA_MENS_208008601_RED_3.jpg","Ver imagen")</f>
        <v/>
      </c>
    </row>
    <row r="2952">
      <c r="A2952" t="inlineStr">
        <is>
          <t>NAUTICA MENS</t>
        </is>
      </c>
      <c r="B2952" t="inlineStr">
        <is>
          <t>208008601</t>
        </is>
      </c>
      <c r="C2952" t="inlineStr">
        <is>
          <t>HOODED RAIN JACKET</t>
        </is>
      </c>
      <c r="D2952" t="inlineStr">
        <is>
          <t>RED</t>
        </is>
      </c>
      <c r="E2952" t="inlineStr">
        <is>
          <t>(en blanco)</t>
        </is>
      </c>
      <c r="F2952" t="inlineStr">
        <is>
          <t>D2C</t>
        </is>
      </c>
      <c r="G2952" t="inlineStr">
        <is>
          <t>XXL</t>
        </is>
      </c>
      <c r="H2952" t="n">
        <v>18</v>
      </c>
      <c r="I2952" t="inlineStr">
        <is>
          <t>NAUTICA_MENS_208008601_RED_1.jpg</t>
        </is>
      </c>
      <c r="J2952" t="inlineStr">
        <is>
          <t>NAUTICA_MENS_208008601_RED_2.jpg</t>
        </is>
      </c>
      <c r="K2952" t="inlineStr">
        <is>
          <t>NAUTICA_MENS_208008601_RED_3.jpg</t>
        </is>
      </c>
      <c r="L2952">
        <f>IMAGE("file:///E:/Estudios%20y%20certificaciones/ESTUDIOS%20DE%20PROGRAMMING/PROGRAMMING/PERSONAL/PYTHON/Image_Generator_API/imagenes/NAUTICA_MENS_208008601_RED_1.jpg")</f>
        <v/>
      </c>
      <c r="M2952">
        <f>IMAGE("file:///E:/Estudios%20y%20certificaciones/ESTUDIOS%20DE%20PROGRAMMING/PROGRAMMING/PERSONAL/PYTHON/Image_Generator_API/imagenes/NAUTICA_MENS_208008601_RED_2.jpg")</f>
        <v/>
      </c>
      <c r="N2952">
        <f>IMAGE("file:///E:/Estudios%20y%20certificaciones/ESTUDIOS%20DE%20PROGRAMMING/PROGRAMMING/PERSONAL/PYTHON/Image_Generator_API/imagenes/NAUTICA_MENS_208008601_RED_3.jpg")</f>
        <v/>
      </c>
      <c r="O2952">
        <f>HYPERLINK("imagenes/NAUTICA_MENS_208008601_RED_1.jpg","Ver imagen")</f>
        <v/>
      </c>
      <c r="P2952">
        <f>HYPERLINK("imagenes/NAUTICA_MENS_208008601_RED_2.jpg","Ver imagen")</f>
        <v/>
      </c>
      <c r="Q2952">
        <f>HYPERLINK("imagenes/NAUTICA_MENS_208008601_RED_3.jpg","Ver imagen")</f>
        <v/>
      </c>
    </row>
    <row r="2953">
      <c r="A2953" t="inlineStr">
        <is>
          <t>NAUTICA MENS</t>
        </is>
      </c>
      <c r="B2953" t="inlineStr">
        <is>
          <t>208008601</t>
        </is>
      </c>
      <c r="C2953" t="inlineStr">
        <is>
          <t>HOODED RAIN JACKET</t>
        </is>
      </c>
      <c r="D2953" t="inlineStr">
        <is>
          <t>RED</t>
        </is>
      </c>
      <c r="E2953" t="inlineStr">
        <is>
          <t>(en blanco)</t>
        </is>
      </c>
      <c r="F2953" t="inlineStr">
        <is>
          <t>(en blanco)</t>
        </is>
      </c>
      <c r="G2953" t="inlineStr">
        <is>
          <t>M</t>
        </is>
      </c>
      <c r="H2953" t="n">
        <v>4</v>
      </c>
      <c r="I2953" t="inlineStr">
        <is>
          <t>NAUTICA_MENS_208008601_RED_1.jpg</t>
        </is>
      </c>
      <c r="J2953" t="inlineStr">
        <is>
          <t>NAUTICA_MENS_208008601_RED_2.jpg</t>
        </is>
      </c>
      <c r="K2953" t="inlineStr">
        <is>
          <t>NAUTICA_MENS_208008601_RED_3.jpg</t>
        </is>
      </c>
      <c r="L2953">
        <f>IMAGE("file:///E:/Estudios%20y%20certificaciones/ESTUDIOS%20DE%20PROGRAMMING/PROGRAMMING/PERSONAL/PYTHON/Image_Generator_API/imagenes/NAUTICA_MENS_208008601_RED_1.jpg")</f>
        <v/>
      </c>
      <c r="M2953">
        <f>IMAGE("file:///E:/Estudios%20y%20certificaciones/ESTUDIOS%20DE%20PROGRAMMING/PROGRAMMING/PERSONAL/PYTHON/Image_Generator_API/imagenes/NAUTICA_MENS_208008601_RED_2.jpg")</f>
        <v/>
      </c>
      <c r="N2953">
        <f>IMAGE("file:///E:/Estudios%20y%20certificaciones/ESTUDIOS%20DE%20PROGRAMMING/PROGRAMMING/PERSONAL/PYTHON/Image_Generator_API/imagenes/NAUTICA_MENS_208008601_RED_3.jpg")</f>
        <v/>
      </c>
      <c r="O2953">
        <f>HYPERLINK("imagenes/NAUTICA_MENS_208008601_RED_1.jpg","Ver imagen")</f>
        <v/>
      </c>
      <c r="P2953">
        <f>HYPERLINK("imagenes/NAUTICA_MENS_208008601_RED_2.jpg","Ver imagen")</f>
        <v/>
      </c>
      <c r="Q2953">
        <f>HYPERLINK("imagenes/NAUTICA_MENS_208008601_RED_3.jpg","Ver imagen")</f>
        <v/>
      </c>
    </row>
    <row r="2954">
      <c r="A2954" t="inlineStr">
        <is>
          <t>NAUTICA MENS</t>
        </is>
      </c>
      <c r="B2954" t="inlineStr">
        <is>
          <t>208008601</t>
        </is>
      </c>
      <c r="C2954" t="inlineStr">
        <is>
          <t>HOODED RAIN JACKET</t>
        </is>
      </c>
      <c r="D2954" t="inlineStr">
        <is>
          <t>RED</t>
        </is>
      </c>
      <c r="E2954" t="inlineStr">
        <is>
          <t>(en blanco)</t>
        </is>
      </c>
      <c r="F2954" t="inlineStr">
        <is>
          <t>(en blanco)</t>
        </is>
      </c>
      <c r="G2954" t="inlineStr">
        <is>
          <t>L</t>
        </is>
      </c>
      <c r="H2954" t="n">
        <v>3</v>
      </c>
      <c r="I2954" t="inlineStr">
        <is>
          <t>NAUTICA_MENS_208008601_RED_1.jpg</t>
        </is>
      </c>
      <c r="J2954" t="inlineStr">
        <is>
          <t>NAUTICA_MENS_208008601_RED_2.jpg</t>
        </is>
      </c>
      <c r="K2954" t="inlineStr">
        <is>
          <t>NAUTICA_MENS_208008601_RED_3.jpg</t>
        </is>
      </c>
      <c r="L2954">
        <f>IMAGE("file:///E:/Estudios%20y%20certificaciones/ESTUDIOS%20DE%20PROGRAMMING/PROGRAMMING/PERSONAL/PYTHON/Image_Generator_API/imagenes/NAUTICA_MENS_208008601_RED_1.jpg")</f>
        <v/>
      </c>
      <c r="M2954">
        <f>IMAGE("file:///E:/Estudios%20y%20certificaciones/ESTUDIOS%20DE%20PROGRAMMING/PROGRAMMING/PERSONAL/PYTHON/Image_Generator_API/imagenes/NAUTICA_MENS_208008601_RED_2.jpg")</f>
        <v/>
      </c>
      <c r="N2954">
        <f>IMAGE("file:///E:/Estudios%20y%20certificaciones/ESTUDIOS%20DE%20PROGRAMMING/PROGRAMMING/PERSONAL/PYTHON/Image_Generator_API/imagenes/NAUTICA_MENS_208008601_RED_3.jpg")</f>
        <v/>
      </c>
      <c r="O2954">
        <f>HYPERLINK("imagenes/NAUTICA_MENS_208008601_RED_1.jpg","Ver imagen")</f>
        <v/>
      </c>
      <c r="P2954">
        <f>HYPERLINK("imagenes/NAUTICA_MENS_208008601_RED_2.jpg","Ver imagen")</f>
        <v/>
      </c>
      <c r="Q2954">
        <f>HYPERLINK("imagenes/NAUTICA_MENS_208008601_RED_3.jpg","Ver imagen")</f>
        <v/>
      </c>
    </row>
    <row r="2955">
      <c r="A2955" t="inlineStr">
        <is>
          <t>NAUTICA MENS</t>
        </is>
      </c>
      <c r="B2955" t="inlineStr">
        <is>
          <t>208008601</t>
        </is>
      </c>
      <c r="C2955" t="inlineStr">
        <is>
          <t>HOODED RAIN JACKET</t>
        </is>
      </c>
      <c r="D2955" t="inlineStr">
        <is>
          <t>RED</t>
        </is>
      </c>
      <c r="E2955" t="inlineStr">
        <is>
          <t>(en blanco)</t>
        </is>
      </c>
      <c r="F2955" t="inlineStr">
        <is>
          <t>(en blanco)</t>
        </is>
      </c>
      <c r="G2955" t="inlineStr">
        <is>
          <t>XL</t>
        </is>
      </c>
      <c r="H2955" t="n">
        <v>3</v>
      </c>
      <c r="I2955" t="inlineStr">
        <is>
          <t>NAUTICA_MENS_208008601_RED_1.jpg</t>
        </is>
      </c>
      <c r="J2955" t="inlineStr">
        <is>
          <t>NAUTICA_MENS_208008601_RED_2.jpg</t>
        </is>
      </c>
      <c r="K2955" t="inlineStr">
        <is>
          <t>NAUTICA_MENS_208008601_RED_3.jpg</t>
        </is>
      </c>
      <c r="L2955">
        <f>IMAGE("file:///E:/Estudios%20y%20certificaciones/ESTUDIOS%20DE%20PROGRAMMING/PROGRAMMING/PERSONAL/PYTHON/Image_Generator_API/imagenes/NAUTICA_MENS_208008601_RED_1.jpg")</f>
        <v/>
      </c>
      <c r="M2955">
        <f>IMAGE("file:///E:/Estudios%20y%20certificaciones/ESTUDIOS%20DE%20PROGRAMMING/PROGRAMMING/PERSONAL/PYTHON/Image_Generator_API/imagenes/NAUTICA_MENS_208008601_RED_2.jpg")</f>
        <v/>
      </c>
      <c r="N2955">
        <f>IMAGE("file:///E:/Estudios%20y%20certificaciones/ESTUDIOS%20DE%20PROGRAMMING/PROGRAMMING/PERSONAL/PYTHON/Image_Generator_API/imagenes/NAUTICA_MENS_208008601_RED_3.jpg")</f>
        <v/>
      </c>
      <c r="O2955">
        <f>HYPERLINK("imagenes/NAUTICA_MENS_208008601_RED_1.jpg","Ver imagen")</f>
        <v/>
      </c>
      <c r="P2955">
        <f>HYPERLINK("imagenes/NAUTICA_MENS_208008601_RED_2.jpg","Ver imagen")</f>
        <v/>
      </c>
      <c r="Q2955">
        <f>HYPERLINK("imagenes/NAUTICA_MENS_208008601_RED_3.jpg","Ver imagen")</f>
        <v/>
      </c>
    </row>
    <row r="2956">
      <c r="A2956" t="inlineStr">
        <is>
          <t>NAUTICA MENS</t>
        </is>
      </c>
      <c r="B2956" t="inlineStr">
        <is>
          <t>208008601</t>
        </is>
      </c>
      <c r="C2956" t="inlineStr">
        <is>
          <t>HOODED RAIN JACKET</t>
        </is>
      </c>
      <c r="D2956" t="inlineStr">
        <is>
          <t>RED</t>
        </is>
      </c>
      <c r="E2956" t="inlineStr">
        <is>
          <t>(en blanco)</t>
        </is>
      </c>
      <c r="F2956" t="inlineStr">
        <is>
          <t>(en blanco)</t>
        </is>
      </c>
      <c r="G2956" t="inlineStr">
        <is>
          <t>XXL</t>
        </is>
      </c>
      <c r="H2956" t="n">
        <v>2</v>
      </c>
      <c r="I2956" t="inlineStr">
        <is>
          <t>NAUTICA_MENS_208008601_RED_1.jpg</t>
        </is>
      </c>
      <c r="J2956" t="inlineStr">
        <is>
          <t>NAUTICA_MENS_208008601_RED_2.jpg</t>
        </is>
      </c>
      <c r="K2956" t="inlineStr">
        <is>
          <t>NAUTICA_MENS_208008601_RED_3.jpg</t>
        </is>
      </c>
      <c r="L2956">
        <f>IMAGE("file:///E:/Estudios%20y%20certificaciones/ESTUDIOS%20DE%20PROGRAMMING/PROGRAMMING/PERSONAL/PYTHON/Image_Generator_API/imagenes/NAUTICA_MENS_208008601_RED_1.jpg")</f>
        <v/>
      </c>
      <c r="M2956">
        <f>IMAGE("file:///E:/Estudios%20y%20certificaciones/ESTUDIOS%20DE%20PROGRAMMING/PROGRAMMING/PERSONAL/PYTHON/Image_Generator_API/imagenes/NAUTICA_MENS_208008601_RED_2.jpg")</f>
        <v/>
      </c>
      <c r="N2956">
        <f>IMAGE("file:///E:/Estudios%20y%20certificaciones/ESTUDIOS%20DE%20PROGRAMMING/PROGRAMMING/PERSONAL/PYTHON/Image_Generator_API/imagenes/NAUTICA_MENS_208008601_RED_3.jpg")</f>
        <v/>
      </c>
      <c r="O2956">
        <f>HYPERLINK("imagenes/NAUTICA_MENS_208008601_RED_1.jpg","Ver imagen")</f>
        <v/>
      </c>
      <c r="P2956">
        <f>HYPERLINK("imagenes/NAUTICA_MENS_208008601_RED_2.jpg","Ver imagen")</f>
        <v/>
      </c>
      <c r="Q2956">
        <f>HYPERLINK("imagenes/NAUTICA_MENS_208008601_RED_3.jpg","Ver imagen")</f>
        <v/>
      </c>
    </row>
    <row r="2957">
      <c r="A2957" t="inlineStr">
        <is>
          <t>NAUTICA MENS</t>
        </is>
      </c>
      <c r="B2957" t="inlineStr">
        <is>
          <t>208009117</t>
        </is>
      </c>
      <c r="C2957" t="inlineStr">
        <is>
          <t>BOMBER JAKCET</t>
        </is>
      </c>
      <c r="D2957" t="inlineStr">
        <is>
          <t>BLK</t>
        </is>
      </c>
      <c r="E2957" t="inlineStr">
        <is>
          <t>(en blanco)</t>
        </is>
      </c>
      <c r="F2957" t="inlineStr">
        <is>
          <t>D2C</t>
        </is>
      </c>
      <c r="G2957" t="inlineStr">
        <is>
          <t>S</t>
        </is>
      </c>
      <c r="H2957" t="n">
        <v>15</v>
      </c>
      <c r="I2957" t="inlineStr">
        <is>
          <t>NAUTICA_MENS_208009117_BLK_1.jpg</t>
        </is>
      </c>
      <c r="J2957" t="inlineStr">
        <is>
          <t>NAUTICA_MENS_208009117_BLK_2.jpg</t>
        </is>
      </c>
      <c r="K2957" t="inlineStr">
        <is>
          <t>NAUTICA_MENS_208009117_BLK_3.jpg</t>
        </is>
      </c>
      <c r="L2957">
        <f>IMAGE("file:///E:/Estudios%20y%20certificaciones/ESTUDIOS%20DE%20PROGRAMMING/PROGRAMMING/PERSONAL/PYTHON/Image_Generator_API/imagenes/NAUTICA_MENS_208009117_BLK_1.jpg")</f>
        <v/>
      </c>
      <c r="M2957">
        <f>IMAGE("file:///E:/Estudios%20y%20certificaciones/ESTUDIOS%20DE%20PROGRAMMING/PROGRAMMING/PERSONAL/PYTHON/Image_Generator_API/imagenes/NAUTICA_MENS_208009117_BLK_2.jpg")</f>
        <v/>
      </c>
      <c r="N2957">
        <f>IMAGE("file:///E:/Estudios%20y%20certificaciones/ESTUDIOS%20DE%20PROGRAMMING/PROGRAMMING/PERSONAL/PYTHON/Image_Generator_API/imagenes/NAUTICA_MENS_208009117_BLK_3.jpg")</f>
        <v/>
      </c>
      <c r="O2957">
        <f>HYPERLINK("imagenes/NAUTICA_MENS_208009117_BLK_1.jpg","Ver imagen")</f>
        <v/>
      </c>
      <c r="P2957">
        <f>HYPERLINK("imagenes/NAUTICA_MENS_208009117_BLK_2.jpg","Ver imagen")</f>
        <v/>
      </c>
      <c r="Q2957">
        <f>HYPERLINK("imagenes/NAUTICA_MENS_208009117_BLK_3.jpg","Ver imagen")</f>
        <v/>
      </c>
    </row>
    <row r="2958">
      <c r="A2958" t="inlineStr">
        <is>
          <t>NAUTICA MENS</t>
        </is>
      </c>
      <c r="B2958" t="inlineStr">
        <is>
          <t>208009117</t>
        </is>
      </c>
      <c r="C2958" t="inlineStr">
        <is>
          <t>BOMBER JAKCET</t>
        </is>
      </c>
      <c r="D2958" t="inlineStr">
        <is>
          <t>BLK</t>
        </is>
      </c>
      <c r="E2958" t="inlineStr">
        <is>
          <t>(en blanco)</t>
        </is>
      </c>
      <c r="F2958" t="inlineStr">
        <is>
          <t>D2C</t>
        </is>
      </c>
      <c r="G2958" t="inlineStr">
        <is>
          <t>M</t>
        </is>
      </c>
      <c r="H2958" t="n">
        <v>20</v>
      </c>
      <c r="I2958" t="inlineStr">
        <is>
          <t>NAUTICA_MENS_208009117_BLK_1.jpg</t>
        </is>
      </c>
      <c r="J2958" t="inlineStr">
        <is>
          <t>NAUTICA_MENS_208009117_BLK_2.jpg</t>
        </is>
      </c>
      <c r="K2958" t="inlineStr">
        <is>
          <t>NAUTICA_MENS_208009117_BLK_3.jpg</t>
        </is>
      </c>
      <c r="L2958">
        <f>IMAGE("file:///E:/Estudios%20y%20certificaciones/ESTUDIOS%20DE%20PROGRAMMING/PROGRAMMING/PERSONAL/PYTHON/Image_Generator_API/imagenes/NAUTICA_MENS_208009117_BLK_1.jpg")</f>
        <v/>
      </c>
      <c r="M2958">
        <f>IMAGE("file:///E:/Estudios%20y%20certificaciones/ESTUDIOS%20DE%20PROGRAMMING/PROGRAMMING/PERSONAL/PYTHON/Image_Generator_API/imagenes/NAUTICA_MENS_208009117_BLK_2.jpg")</f>
        <v/>
      </c>
      <c r="N2958">
        <f>IMAGE("file:///E:/Estudios%20y%20certificaciones/ESTUDIOS%20DE%20PROGRAMMING/PROGRAMMING/PERSONAL/PYTHON/Image_Generator_API/imagenes/NAUTICA_MENS_208009117_BLK_3.jpg")</f>
        <v/>
      </c>
      <c r="O2958">
        <f>HYPERLINK("imagenes/NAUTICA_MENS_208009117_BLK_1.jpg","Ver imagen")</f>
        <v/>
      </c>
      <c r="P2958">
        <f>HYPERLINK("imagenes/NAUTICA_MENS_208009117_BLK_2.jpg","Ver imagen")</f>
        <v/>
      </c>
      <c r="Q2958">
        <f>HYPERLINK("imagenes/NAUTICA_MENS_208009117_BLK_3.jpg","Ver imagen")</f>
        <v/>
      </c>
    </row>
    <row r="2959">
      <c r="A2959" t="inlineStr">
        <is>
          <t>NAUTICA MENS</t>
        </is>
      </c>
      <c r="B2959" t="inlineStr">
        <is>
          <t>208009117</t>
        </is>
      </c>
      <c r="C2959" t="inlineStr">
        <is>
          <t>BOMBER JAKCET</t>
        </is>
      </c>
      <c r="D2959" t="inlineStr">
        <is>
          <t>BLK</t>
        </is>
      </c>
      <c r="E2959" t="inlineStr">
        <is>
          <t>(en blanco)</t>
        </is>
      </c>
      <c r="F2959" t="inlineStr">
        <is>
          <t>D2C</t>
        </is>
      </c>
      <c r="G2959" t="inlineStr">
        <is>
          <t>L</t>
        </is>
      </c>
      <c r="H2959" t="n">
        <v>20</v>
      </c>
      <c r="I2959" t="inlineStr">
        <is>
          <t>NAUTICA_MENS_208009117_BLK_1.jpg</t>
        </is>
      </c>
      <c r="J2959" t="inlineStr">
        <is>
          <t>NAUTICA_MENS_208009117_BLK_2.jpg</t>
        </is>
      </c>
      <c r="K2959" t="inlineStr">
        <is>
          <t>NAUTICA_MENS_208009117_BLK_3.jpg</t>
        </is>
      </c>
      <c r="L2959">
        <f>IMAGE("file:///E:/Estudios%20y%20certificaciones/ESTUDIOS%20DE%20PROGRAMMING/PROGRAMMING/PERSONAL/PYTHON/Image_Generator_API/imagenes/NAUTICA_MENS_208009117_BLK_1.jpg")</f>
        <v/>
      </c>
      <c r="M2959">
        <f>IMAGE("file:///E:/Estudios%20y%20certificaciones/ESTUDIOS%20DE%20PROGRAMMING/PROGRAMMING/PERSONAL/PYTHON/Image_Generator_API/imagenes/NAUTICA_MENS_208009117_BLK_2.jpg")</f>
        <v/>
      </c>
      <c r="N2959">
        <f>IMAGE("file:///E:/Estudios%20y%20certificaciones/ESTUDIOS%20DE%20PROGRAMMING/PROGRAMMING/PERSONAL/PYTHON/Image_Generator_API/imagenes/NAUTICA_MENS_208009117_BLK_3.jpg")</f>
        <v/>
      </c>
      <c r="O2959">
        <f>HYPERLINK("imagenes/NAUTICA_MENS_208009117_BLK_1.jpg","Ver imagen")</f>
        <v/>
      </c>
      <c r="P2959">
        <f>HYPERLINK("imagenes/NAUTICA_MENS_208009117_BLK_2.jpg","Ver imagen")</f>
        <v/>
      </c>
      <c r="Q2959">
        <f>HYPERLINK("imagenes/NAUTICA_MENS_208009117_BLK_3.jpg","Ver imagen")</f>
        <v/>
      </c>
    </row>
    <row r="2960">
      <c r="A2960" t="inlineStr">
        <is>
          <t>NAUTICA MENS</t>
        </is>
      </c>
      <c r="B2960" t="inlineStr">
        <is>
          <t>208009117</t>
        </is>
      </c>
      <c r="C2960" t="inlineStr">
        <is>
          <t>BOMBER JAKCET</t>
        </is>
      </c>
      <c r="D2960" t="inlineStr">
        <is>
          <t>BLK</t>
        </is>
      </c>
      <c r="E2960" t="inlineStr">
        <is>
          <t>(en blanco)</t>
        </is>
      </c>
      <c r="F2960" t="inlineStr">
        <is>
          <t>D2C</t>
        </is>
      </c>
      <c r="G2960" t="inlineStr">
        <is>
          <t>XL</t>
        </is>
      </c>
      <c r="H2960" t="n">
        <v>19</v>
      </c>
      <c r="I2960" t="inlineStr">
        <is>
          <t>NAUTICA_MENS_208009117_BLK_1.jpg</t>
        </is>
      </c>
      <c r="J2960" t="inlineStr">
        <is>
          <t>NAUTICA_MENS_208009117_BLK_2.jpg</t>
        </is>
      </c>
      <c r="K2960" t="inlineStr">
        <is>
          <t>NAUTICA_MENS_208009117_BLK_3.jpg</t>
        </is>
      </c>
      <c r="L2960">
        <f>IMAGE("file:///E:/Estudios%20y%20certificaciones/ESTUDIOS%20DE%20PROGRAMMING/PROGRAMMING/PERSONAL/PYTHON/Image_Generator_API/imagenes/NAUTICA_MENS_208009117_BLK_1.jpg")</f>
        <v/>
      </c>
      <c r="M2960">
        <f>IMAGE("file:///E:/Estudios%20y%20certificaciones/ESTUDIOS%20DE%20PROGRAMMING/PROGRAMMING/PERSONAL/PYTHON/Image_Generator_API/imagenes/NAUTICA_MENS_208009117_BLK_2.jpg")</f>
        <v/>
      </c>
      <c r="N2960">
        <f>IMAGE("file:///E:/Estudios%20y%20certificaciones/ESTUDIOS%20DE%20PROGRAMMING/PROGRAMMING/PERSONAL/PYTHON/Image_Generator_API/imagenes/NAUTICA_MENS_208009117_BLK_3.jpg")</f>
        <v/>
      </c>
      <c r="O2960">
        <f>HYPERLINK("imagenes/NAUTICA_MENS_208009117_BLK_1.jpg","Ver imagen")</f>
        <v/>
      </c>
      <c r="P2960">
        <f>HYPERLINK("imagenes/NAUTICA_MENS_208009117_BLK_2.jpg","Ver imagen")</f>
        <v/>
      </c>
      <c r="Q2960">
        <f>HYPERLINK("imagenes/NAUTICA_MENS_208009117_BLK_3.jpg","Ver imagen")</f>
        <v/>
      </c>
    </row>
    <row r="2961">
      <c r="A2961" t="inlineStr">
        <is>
          <t>NAUTICA MENS</t>
        </is>
      </c>
      <c r="B2961" t="inlineStr">
        <is>
          <t>208009117</t>
        </is>
      </c>
      <c r="C2961" t="inlineStr">
        <is>
          <t>BOMBER JAKCET</t>
        </is>
      </c>
      <c r="D2961" t="inlineStr">
        <is>
          <t>BLK</t>
        </is>
      </c>
      <c r="E2961" t="inlineStr">
        <is>
          <t>(en blanco)</t>
        </is>
      </c>
      <c r="F2961" t="inlineStr">
        <is>
          <t>D2C</t>
        </is>
      </c>
      <c r="G2961" t="inlineStr">
        <is>
          <t>XXL</t>
        </is>
      </c>
      <c r="H2961" t="n">
        <v>15</v>
      </c>
      <c r="I2961" t="inlineStr">
        <is>
          <t>NAUTICA_MENS_208009117_BLK_1.jpg</t>
        </is>
      </c>
      <c r="J2961" t="inlineStr">
        <is>
          <t>NAUTICA_MENS_208009117_BLK_2.jpg</t>
        </is>
      </c>
      <c r="K2961" t="inlineStr">
        <is>
          <t>NAUTICA_MENS_208009117_BLK_3.jpg</t>
        </is>
      </c>
      <c r="L2961">
        <f>IMAGE("file:///E:/Estudios%20y%20certificaciones/ESTUDIOS%20DE%20PROGRAMMING/PROGRAMMING/PERSONAL/PYTHON/Image_Generator_API/imagenes/NAUTICA_MENS_208009117_BLK_1.jpg")</f>
        <v/>
      </c>
      <c r="M2961">
        <f>IMAGE("file:///E:/Estudios%20y%20certificaciones/ESTUDIOS%20DE%20PROGRAMMING/PROGRAMMING/PERSONAL/PYTHON/Image_Generator_API/imagenes/NAUTICA_MENS_208009117_BLK_2.jpg")</f>
        <v/>
      </c>
      <c r="N2961">
        <f>IMAGE("file:///E:/Estudios%20y%20certificaciones/ESTUDIOS%20DE%20PROGRAMMING/PROGRAMMING/PERSONAL/PYTHON/Image_Generator_API/imagenes/NAUTICA_MENS_208009117_BLK_3.jpg")</f>
        <v/>
      </c>
      <c r="O2961">
        <f>HYPERLINK("imagenes/NAUTICA_MENS_208009117_BLK_1.jpg","Ver imagen")</f>
        <v/>
      </c>
      <c r="P2961">
        <f>HYPERLINK("imagenes/NAUTICA_MENS_208009117_BLK_2.jpg","Ver imagen")</f>
        <v/>
      </c>
      <c r="Q2961">
        <f>HYPERLINK("imagenes/NAUTICA_MENS_208009117_BLK_3.jpg","Ver imagen")</f>
        <v/>
      </c>
    </row>
    <row r="2962">
      <c r="A2962" t="inlineStr">
        <is>
          <t>NAUTICA MENS</t>
        </is>
      </c>
      <c r="B2962" t="inlineStr">
        <is>
          <t>208009117</t>
        </is>
      </c>
      <c r="C2962" t="inlineStr">
        <is>
          <t>BOMBER JAKCET</t>
        </is>
      </c>
      <c r="D2962" t="inlineStr">
        <is>
          <t>BLK</t>
        </is>
      </c>
      <c r="E2962" t="inlineStr">
        <is>
          <t>(en blanco)</t>
        </is>
      </c>
      <c r="F2962" t="inlineStr">
        <is>
          <t>(en blanco)</t>
        </is>
      </c>
      <c r="G2962" t="inlineStr">
        <is>
          <t>S</t>
        </is>
      </c>
      <c r="H2962" t="n">
        <v>358</v>
      </c>
      <c r="I2962" t="inlineStr">
        <is>
          <t>NAUTICA_MENS_208009117_BLK_1.jpg</t>
        </is>
      </c>
      <c r="J2962" t="inlineStr">
        <is>
          <t>NAUTICA_MENS_208009117_BLK_2.jpg</t>
        </is>
      </c>
      <c r="K2962" t="inlineStr">
        <is>
          <t>NAUTICA_MENS_208009117_BLK_3.jpg</t>
        </is>
      </c>
      <c r="L2962">
        <f>IMAGE("file:///E:/Estudios%20y%20certificaciones/ESTUDIOS%20DE%20PROGRAMMING/PROGRAMMING/PERSONAL/PYTHON/Image_Generator_API/imagenes/NAUTICA_MENS_208009117_BLK_1.jpg")</f>
        <v/>
      </c>
      <c r="M2962">
        <f>IMAGE("file:///E:/Estudios%20y%20certificaciones/ESTUDIOS%20DE%20PROGRAMMING/PROGRAMMING/PERSONAL/PYTHON/Image_Generator_API/imagenes/NAUTICA_MENS_208009117_BLK_2.jpg")</f>
        <v/>
      </c>
      <c r="N2962">
        <f>IMAGE("file:///E:/Estudios%20y%20certificaciones/ESTUDIOS%20DE%20PROGRAMMING/PROGRAMMING/PERSONAL/PYTHON/Image_Generator_API/imagenes/NAUTICA_MENS_208009117_BLK_3.jpg")</f>
        <v/>
      </c>
      <c r="O2962">
        <f>HYPERLINK("imagenes/NAUTICA_MENS_208009117_BLK_1.jpg","Ver imagen")</f>
        <v/>
      </c>
      <c r="P2962">
        <f>HYPERLINK("imagenes/NAUTICA_MENS_208009117_BLK_2.jpg","Ver imagen")</f>
        <v/>
      </c>
      <c r="Q2962">
        <f>HYPERLINK("imagenes/NAUTICA_MENS_208009117_BLK_3.jpg","Ver imagen")</f>
        <v/>
      </c>
    </row>
    <row r="2963">
      <c r="A2963" t="inlineStr">
        <is>
          <t>NAUTICA MENS</t>
        </is>
      </c>
      <c r="B2963" t="inlineStr">
        <is>
          <t>208009117</t>
        </is>
      </c>
      <c r="C2963" t="inlineStr">
        <is>
          <t>BOMBER JAKCET</t>
        </is>
      </c>
      <c r="D2963" t="inlineStr">
        <is>
          <t>BLK</t>
        </is>
      </c>
      <c r="E2963" t="inlineStr">
        <is>
          <t>(en blanco)</t>
        </is>
      </c>
      <c r="F2963" t="inlineStr">
        <is>
          <t>(en blanco)</t>
        </is>
      </c>
      <c r="G2963" t="inlineStr">
        <is>
          <t>M</t>
        </is>
      </c>
      <c r="H2963" t="n">
        <v>1421</v>
      </c>
      <c r="I2963" t="inlineStr">
        <is>
          <t>NAUTICA_MENS_208009117_BLK_1.jpg</t>
        </is>
      </c>
      <c r="J2963" t="inlineStr">
        <is>
          <t>NAUTICA_MENS_208009117_BLK_2.jpg</t>
        </is>
      </c>
      <c r="K2963" t="inlineStr">
        <is>
          <t>NAUTICA_MENS_208009117_BLK_3.jpg</t>
        </is>
      </c>
      <c r="L2963">
        <f>IMAGE("file:///E:/Estudios%20y%20certificaciones/ESTUDIOS%20DE%20PROGRAMMING/PROGRAMMING/PERSONAL/PYTHON/Image_Generator_API/imagenes/NAUTICA_MENS_208009117_BLK_1.jpg")</f>
        <v/>
      </c>
      <c r="M2963">
        <f>IMAGE("file:///E:/Estudios%20y%20certificaciones/ESTUDIOS%20DE%20PROGRAMMING/PROGRAMMING/PERSONAL/PYTHON/Image_Generator_API/imagenes/NAUTICA_MENS_208009117_BLK_2.jpg")</f>
        <v/>
      </c>
      <c r="N2963">
        <f>IMAGE("file:///E:/Estudios%20y%20certificaciones/ESTUDIOS%20DE%20PROGRAMMING/PROGRAMMING/PERSONAL/PYTHON/Image_Generator_API/imagenes/NAUTICA_MENS_208009117_BLK_3.jpg")</f>
        <v/>
      </c>
      <c r="O2963">
        <f>HYPERLINK("imagenes/NAUTICA_MENS_208009117_BLK_1.jpg","Ver imagen")</f>
        <v/>
      </c>
      <c r="P2963">
        <f>HYPERLINK("imagenes/NAUTICA_MENS_208009117_BLK_2.jpg","Ver imagen")</f>
        <v/>
      </c>
      <c r="Q2963">
        <f>HYPERLINK("imagenes/NAUTICA_MENS_208009117_BLK_3.jpg","Ver imagen")</f>
        <v/>
      </c>
    </row>
    <row r="2964">
      <c r="A2964" t="inlineStr">
        <is>
          <t>NAUTICA MENS</t>
        </is>
      </c>
      <c r="B2964" t="inlineStr">
        <is>
          <t>208009117</t>
        </is>
      </c>
      <c r="C2964" t="inlineStr">
        <is>
          <t>BOMBER JAKCET</t>
        </is>
      </c>
      <c r="D2964" t="inlineStr">
        <is>
          <t>BLK</t>
        </is>
      </c>
      <c r="E2964" t="inlineStr">
        <is>
          <t>(en blanco)</t>
        </is>
      </c>
      <c r="F2964" t="inlineStr">
        <is>
          <t>(en blanco)</t>
        </is>
      </c>
      <c r="G2964" t="inlineStr">
        <is>
          <t>L</t>
        </is>
      </c>
      <c r="H2964" t="n">
        <v>2873</v>
      </c>
      <c r="I2964" t="inlineStr">
        <is>
          <t>NAUTICA_MENS_208009117_BLK_1.jpg</t>
        </is>
      </c>
      <c r="J2964" t="inlineStr">
        <is>
          <t>NAUTICA_MENS_208009117_BLK_2.jpg</t>
        </is>
      </c>
      <c r="K2964" t="inlineStr">
        <is>
          <t>NAUTICA_MENS_208009117_BLK_3.jpg</t>
        </is>
      </c>
      <c r="L2964">
        <f>IMAGE("file:///E:/Estudios%20y%20certificaciones/ESTUDIOS%20DE%20PROGRAMMING/PROGRAMMING/PERSONAL/PYTHON/Image_Generator_API/imagenes/NAUTICA_MENS_208009117_BLK_1.jpg")</f>
        <v/>
      </c>
      <c r="M2964">
        <f>IMAGE("file:///E:/Estudios%20y%20certificaciones/ESTUDIOS%20DE%20PROGRAMMING/PROGRAMMING/PERSONAL/PYTHON/Image_Generator_API/imagenes/NAUTICA_MENS_208009117_BLK_2.jpg")</f>
        <v/>
      </c>
      <c r="N2964">
        <f>IMAGE("file:///E:/Estudios%20y%20certificaciones/ESTUDIOS%20DE%20PROGRAMMING/PROGRAMMING/PERSONAL/PYTHON/Image_Generator_API/imagenes/NAUTICA_MENS_208009117_BLK_3.jpg")</f>
        <v/>
      </c>
      <c r="O2964">
        <f>HYPERLINK("imagenes/NAUTICA_MENS_208009117_BLK_1.jpg","Ver imagen")</f>
        <v/>
      </c>
      <c r="P2964">
        <f>HYPERLINK("imagenes/NAUTICA_MENS_208009117_BLK_2.jpg","Ver imagen")</f>
        <v/>
      </c>
      <c r="Q2964">
        <f>HYPERLINK("imagenes/NAUTICA_MENS_208009117_BLK_3.jpg","Ver imagen")</f>
        <v/>
      </c>
    </row>
    <row r="2965">
      <c r="A2965" t="inlineStr">
        <is>
          <t>NAUTICA MENS</t>
        </is>
      </c>
      <c r="B2965" t="inlineStr">
        <is>
          <t>208009117</t>
        </is>
      </c>
      <c r="C2965" t="inlineStr">
        <is>
          <t>BOMBER JAKCET</t>
        </is>
      </c>
      <c r="D2965" t="inlineStr">
        <is>
          <t>BLK</t>
        </is>
      </c>
      <c r="E2965" t="inlineStr">
        <is>
          <t>(en blanco)</t>
        </is>
      </c>
      <c r="F2965" t="inlineStr">
        <is>
          <t>(en blanco)</t>
        </is>
      </c>
      <c r="G2965" t="inlineStr">
        <is>
          <t>XL</t>
        </is>
      </c>
      <c r="H2965" t="n">
        <v>2726</v>
      </c>
      <c r="I2965" t="inlineStr">
        <is>
          <t>NAUTICA_MENS_208009117_BLK_1.jpg</t>
        </is>
      </c>
      <c r="J2965" t="inlineStr">
        <is>
          <t>NAUTICA_MENS_208009117_BLK_2.jpg</t>
        </is>
      </c>
      <c r="K2965" t="inlineStr">
        <is>
          <t>NAUTICA_MENS_208009117_BLK_3.jpg</t>
        </is>
      </c>
      <c r="L2965">
        <f>IMAGE("file:///E:/Estudios%20y%20certificaciones/ESTUDIOS%20DE%20PROGRAMMING/PROGRAMMING/PERSONAL/PYTHON/Image_Generator_API/imagenes/NAUTICA_MENS_208009117_BLK_1.jpg")</f>
        <v/>
      </c>
      <c r="M2965">
        <f>IMAGE("file:///E:/Estudios%20y%20certificaciones/ESTUDIOS%20DE%20PROGRAMMING/PROGRAMMING/PERSONAL/PYTHON/Image_Generator_API/imagenes/NAUTICA_MENS_208009117_BLK_2.jpg")</f>
        <v/>
      </c>
      <c r="N2965">
        <f>IMAGE("file:///E:/Estudios%20y%20certificaciones/ESTUDIOS%20DE%20PROGRAMMING/PROGRAMMING/PERSONAL/PYTHON/Image_Generator_API/imagenes/NAUTICA_MENS_208009117_BLK_3.jpg")</f>
        <v/>
      </c>
      <c r="O2965">
        <f>HYPERLINK("imagenes/NAUTICA_MENS_208009117_BLK_1.jpg","Ver imagen")</f>
        <v/>
      </c>
      <c r="P2965">
        <f>HYPERLINK("imagenes/NAUTICA_MENS_208009117_BLK_2.jpg","Ver imagen")</f>
        <v/>
      </c>
      <c r="Q2965">
        <f>HYPERLINK("imagenes/NAUTICA_MENS_208009117_BLK_3.jpg","Ver imagen")</f>
        <v/>
      </c>
    </row>
    <row r="2966">
      <c r="A2966" t="inlineStr">
        <is>
          <t>NAUTICA MENS</t>
        </is>
      </c>
      <c r="B2966" t="inlineStr">
        <is>
          <t>208009117</t>
        </is>
      </c>
      <c r="C2966" t="inlineStr">
        <is>
          <t>BOMBER JAKCET</t>
        </is>
      </c>
      <c r="D2966" t="inlineStr">
        <is>
          <t>BLK</t>
        </is>
      </c>
      <c r="E2966" t="inlineStr">
        <is>
          <t>(en blanco)</t>
        </is>
      </c>
      <c r="F2966" t="inlineStr">
        <is>
          <t>(en blanco)</t>
        </is>
      </c>
      <c r="G2966" t="inlineStr">
        <is>
          <t>XXL</t>
        </is>
      </c>
      <c r="H2966" t="n">
        <v>1450</v>
      </c>
      <c r="I2966" t="inlineStr">
        <is>
          <t>NAUTICA_MENS_208009117_BLK_1.jpg</t>
        </is>
      </c>
      <c r="J2966" t="inlineStr">
        <is>
          <t>NAUTICA_MENS_208009117_BLK_2.jpg</t>
        </is>
      </c>
      <c r="K2966" t="inlineStr">
        <is>
          <t>NAUTICA_MENS_208009117_BLK_3.jpg</t>
        </is>
      </c>
      <c r="L2966">
        <f>IMAGE("file:///E:/Estudios%20y%20certificaciones/ESTUDIOS%20DE%20PROGRAMMING/PROGRAMMING/PERSONAL/PYTHON/Image_Generator_API/imagenes/NAUTICA_MENS_208009117_BLK_1.jpg")</f>
        <v/>
      </c>
      <c r="M2966">
        <f>IMAGE("file:///E:/Estudios%20y%20certificaciones/ESTUDIOS%20DE%20PROGRAMMING/PROGRAMMING/PERSONAL/PYTHON/Image_Generator_API/imagenes/NAUTICA_MENS_208009117_BLK_2.jpg")</f>
        <v/>
      </c>
      <c r="N2966">
        <f>IMAGE("file:///E:/Estudios%20y%20certificaciones/ESTUDIOS%20DE%20PROGRAMMING/PROGRAMMING/PERSONAL/PYTHON/Image_Generator_API/imagenes/NAUTICA_MENS_208009117_BLK_3.jpg")</f>
        <v/>
      </c>
      <c r="O2966">
        <f>HYPERLINK("imagenes/NAUTICA_MENS_208009117_BLK_1.jpg","Ver imagen")</f>
        <v/>
      </c>
      <c r="P2966">
        <f>HYPERLINK("imagenes/NAUTICA_MENS_208009117_BLK_2.jpg","Ver imagen")</f>
        <v/>
      </c>
      <c r="Q2966">
        <f>HYPERLINK("imagenes/NAUTICA_MENS_208009117_BLK_3.jpg","Ver imagen")</f>
        <v/>
      </c>
    </row>
    <row r="2967">
      <c r="A2967" t="inlineStr">
        <is>
          <t>NAUTICA MENS</t>
        </is>
      </c>
      <c r="B2967" t="inlineStr">
        <is>
          <t>208009117</t>
        </is>
      </c>
      <c r="C2967" t="inlineStr">
        <is>
          <t>BOMBER JAKCET</t>
        </is>
      </c>
      <c r="D2967" t="inlineStr">
        <is>
          <t>NVY</t>
        </is>
      </c>
      <c r="E2967" t="inlineStr">
        <is>
          <t>(en blanco)</t>
        </is>
      </c>
      <c r="F2967" t="inlineStr">
        <is>
          <t>D2C</t>
        </is>
      </c>
      <c r="G2967" t="inlineStr">
        <is>
          <t>S</t>
        </is>
      </c>
      <c r="H2967" t="n">
        <v>15</v>
      </c>
      <c r="I2967" t="inlineStr">
        <is>
          <t>NAUTICA_MENS_208009117_NVY_1.jpg</t>
        </is>
      </c>
      <c r="J2967" t="inlineStr">
        <is>
          <t>NAUTICA_MENS_208009117_NVY_2.jpg</t>
        </is>
      </c>
      <c r="K2967" t="inlineStr">
        <is>
          <t>NAUTICA_MENS_208009117_NVY_3.jpg</t>
        </is>
      </c>
      <c r="L2967">
        <f>IMAGE("file:///E:/Estudios%20y%20certificaciones/ESTUDIOS%20DE%20PROGRAMMING/PROGRAMMING/PERSONAL/PYTHON/Image_Generator_API/imagenes/NAUTICA_MENS_208009117_NVY_1.jpg")</f>
        <v/>
      </c>
      <c r="M2967">
        <f>IMAGE("file:///E:/Estudios%20y%20certificaciones/ESTUDIOS%20DE%20PROGRAMMING/PROGRAMMING/PERSONAL/PYTHON/Image_Generator_API/imagenes/NAUTICA_MENS_208009117_NVY_2.jpg")</f>
        <v/>
      </c>
      <c r="N2967">
        <f>IMAGE("file:///E:/Estudios%20y%20certificaciones/ESTUDIOS%20DE%20PROGRAMMING/PROGRAMMING/PERSONAL/PYTHON/Image_Generator_API/imagenes/NAUTICA_MENS_208009117_NVY_3.jpg")</f>
        <v/>
      </c>
      <c r="O2967">
        <f>HYPERLINK("imagenes/NAUTICA_MENS_208009117_NVY_1.jpg","Ver imagen")</f>
        <v/>
      </c>
      <c r="P2967">
        <f>HYPERLINK("imagenes/NAUTICA_MENS_208009117_NVY_2.jpg","Ver imagen")</f>
        <v/>
      </c>
      <c r="Q2967">
        <f>HYPERLINK("imagenes/NAUTICA_MENS_208009117_NVY_3.jpg","Ver imagen")</f>
        <v/>
      </c>
    </row>
    <row r="2968">
      <c r="A2968" t="inlineStr">
        <is>
          <t>NAUTICA MENS</t>
        </is>
      </c>
      <c r="B2968" t="inlineStr">
        <is>
          <t>208009117</t>
        </is>
      </c>
      <c r="C2968" t="inlineStr">
        <is>
          <t>BOMBER JAKCET</t>
        </is>
      </c>
      <c r="D2968" t="inlineStr">
        <is>
          <t>NVY</t>
        </is>
      </c>
      <c r="E2968" t="inlineStr">
        <is>
          <t>(en blanco)</t>
        </is>
      </c>
      <c r="F2968" t="inlineStr">
        <is>
          <t>D2C</t>
        </is>
      </c>
      <c r="G2968" t="inlineStr">
        <is>
          <t>M</t>
        </is>
      </c>
      <c r="H2968" t="n">
        <v>20</v>
      </c>
      <c r="I2968" t="inlineStr">
        <is>
          <t>NAUTICA_MENS_208009117_NVY_1.jpg</t>
        </is>
      </c>
      <c r="J2968" t="inlineStr">
        <is>
          <t>NAUTICA_MENS_208009117_NVY_2.jpg</t>
        </is>
      </c>
      <c r="K2968" t="inlineStr">
        <is>
          <t>NAUTICA_MENS_208009117_NVY_3.jpg</t>
        </is>
      </c>
      <c r="L2968">
        <f>IMAGE("file:///E:/Estudios%20y%20certificaciones/ESTUDIOS%20DE%20PROGRAMMING/PROGRAMMING/PERSONAL/PYTHON/Image_Generator_API/imagenes/NAUTICA_MENS_208009117_NVY_1.jpg")</f>
        <v/>
      </c>
      <c r="M2968">
        <f>IMAGE("file:///E:/Estudios%20y%20certificaciones/ESTUDIOS%20DE%20PROGRAMMING/PROGRAMMING/PERSONAL/PYTHON/Image_Generator_API/imagenes/NAUTICA_MENS_208009117_NVY_2.jpg")</f>
        <v/>
      </c>
      <c r="N2968">
        <f>IMAGE("file:///E:/Estudios%20y%20certificaciones/ESTUDIOS%20DE%20PROGRAMMING/PROGRAMMING/PERSONAL/PYTHON/Image_Generator_API/imagenes/NAUTICA_MENS_208009117_NVY_3.jpg")</f>
        <v/>
      </c>
      <c r="O2968">
        <f>HYPERLINK("imagenes/NAUTICA_MENS_208009117_NVY_1.jpg","Ver imagen")</f>
        <v/>
      </c>
      <c r="P2968">
        <f>HYPERLINK("imagenes/NAUTICA_MENS_208009117_NVY_2.jpg","Ver imagen")</f>
        <v/>
      </c>
      <c r="Q2968">
        <f>HYPERLINK("imagenes/NAUTICA_MENS_208009117_NVY_3.jpg","Ver imagen")</f>
        <v/>
      </c>
    </row>
    <row r="2969">
      <c r="A2969" t="inlineStr">
        <is>
          <t>NAUTICA MENS</t>
        </is>
      </c>
      <c r="B2969" t="inlineStr">
        <is>
          <t>208009117</t>
        </is>
      </c>
      <c r="C2969" t="inlineStr">
        <is>
          <t>BOMBER JAKCET</t>
        </is>
      </c>
      <c r="D2969" t="inlineStr">
        <is>
          <t>NVY</t>
        </is>
      </c>
      <c r="E2969" t="inlineStr">
        <is>
          <t>(en blanco)</t>
        </is>
      </c>
      <c r="F2969" t="inlineStr">
        <is>
          <t>D2C</t>
        </is>
      </c>
      <c r="G2969" t="inlineStr">
        <is>
          <t>L</t>
        </is>
      </c>
      <c r="H2969" t="n">
        <v>19</v>
      </c>
      <c r="I2969" t="inlineStr">
        <is>
          <t>NAUTICA_MENS_208009117_NVY_1.jpg</t>
        </is>
      </c>
      <c r="J2969" t="inlineStr">
        <is>
          <t>NAUTICA_MENS_208009117_NVY_2.jpg</t>
        </is>
      </c>
      <c r="K2969" t="inlineStr">
        <is>
          <t>NAUTICA_MENS_208009117_NVY_3.jpg</t>
        </is>
      </c>
      <c r="L2969">
        <f>IMAGE("file:///E:/Estudios%20y%20certificaciones/ESTUDIOS%20DE%20PROGRAMMING/PROGRAMMING/PERSONAL/PYTHON/Image_Generator_API/imagenes/NAUTICA_MENS_208009117_NVY_1.jpg")</f>
        <v/>
      </c>
      <c r="M2969">
        <f>IMAGE("file:///E:/Estudios%20y%20certificaciones/ESTUDIOS%20DE%20PROGRAMMING/PROGRAMMING/PERSONAL/PYTHON/Image_Generator_API/imagenes/NAUTICA_MENS_208009117_NVY_2.jpg")</f>
        <v/>
      </c>
      <c r="N2969">
        <f>IMAGE("file:///E:/Estudios%20y%20certificaciones/ESTUDIOS%20DE%20PROGRAMMING/PROGRAMMING/PERSONAL/PYTHON/Image_Generator_API/imagenes/NAUTICA_MENS_208009117_NVY_3.jpg")</f>
        <v/>
      </c>
      <c r="O2969">
        <f>HYPERLINK("imagenes/NAUTICA_MENS_208009117_NVY_1.jpg","Ver imagen")</f>
        <v/>
      </c>
      <c r="P2969">
        <f>HYPERLINK("imagenes/NAUTICA_MENS_208009117_NVY_2.jpg","Ver imagen")</f>
        <v/>
      </c>
      <c r="Q2969">
        <f>HYPERLINK("imagenes/NAUTICA_MENS_208009117_NVY_3.jpg","Ver imagen")</f>
        <v/>
      </c>
    </row>
    <row r="2970">
      <c r="A2970" t="inlineStr">
        <is>
          <t>NAUTICA MENS</t>
        </is>
      </c>
      <c r="B2970" t="inlineStr">
        <is>
          <t>208009117</t>
        </is>
      </c>
      <c r="C2970" t="inlineStr">
        <is>
          <t>BOMBER JAKCET</t>
        </is>
      </c>
      <c r="D2970" t="inlineStr">
        <is>
          <t>NVY</t>
        </is>
      </c>
      <c r="E2970" t="inlineStr">
        <is>
          <t>(en blanco)</t>
        </is>
      </c>
      <c r="F2970" t="inlineStr">
        <is>
          <t>D2C</t>
        </is>
      </c>
      <c r="G2970" t="inlineStr">
        <is>
          <t>XL</t>
        </is>
      </c>
      <c r="H2970" t="n">
        <v>19</v>
      </c>
      <c r="I2970" t="inlineStr">
        <is>
          <t>NAUTICA_MENS_208009117_NVY_1.jpg</t>
        </is>
      </c>
      <c r="J2970" t="inlineStr">
        <is>
          <t>NAUTICA_MENS_208009117_NVY_2.jpg</t>
        </is>
      </c>
      <c r="K2970" t="inlineStr">
        <is>
          <t>NAUTICA_MENS_208009117_NVY_3.jpg</t>
        </is>
      </c>
      <c r="L2970">
        <f>IMAGE("file:///E:/Estudios%20y%20certificaciones/ESTUDIOS%20DE%20PROGRAMMING/PROGRAMMING/PERSONAL/PYTHON/Image_Generator_API/imagenes/NAUTICA_MENS_208009117_NVY_1.jpg")</f>
        <v/>
      </c>
      <c r="M2970">
        <f>IMAGE("file:///E:/Estudios%20y%20certificaciones/ESTUDIOS%20DE%20PROGRAMMING/PROGRAMMING/PERSONAL/PYTHON/Image_Generator_API/imagenes/NAUTICA_MENS_208009117_NVY_2.jpg")</f>
        <v/>
      </c>
      <c r="N2970">
        <f>IMAGE("file:///E:/Estudios%20y%20certificaciones/ESTUDIOS%20DE%20PROGRAMMING/PROGRAMMING/PERSONAL/PYTHON/Image_Generator_API/imagenes/NAUTICA_MENS_208009117_NVY_3.jpg")</f>
        <v/>
      </c>
      <c r="O2970">
        <f>HYPERLINK("imagenes/NAUTICA_MENS_208009117_NVY_1.jpg","Ver imagen")</f>
        <v/>
      </c>
      <c r="P2970">
        <f>HYPERLINK("imagenes/NAUTICA_MENS_208009117_NVY_2.jpg","Ver imagen")</f>
        <v/>
      </c>
      <c r="Q2970">
        <f>HYPERLINK("imagenes/NAUTICA_MENS_208009117_NVY_3.jpg","Ver imagen")</f>
        <v/>
      </c>
    </row>
    <row r="2971">
      <c r="A2971" t="inlineStr">
        <is>
          <t>NAUTICA MENS</t>
        </is>
      </c>
      <c r="B2971" t="inlineStr">
        <is>
          <t>208009117</t>
        </is>
      </c>
      <c r="C2971" t="inlineStr">
        <is>
          <t>BOMBER JAKCET</t>
        </is>
      </c>
      <c r="D2971" t="inlineStr">
        <is>
          <t>NVY</t>
        </is>
      </c>
      <c r="E2971" t="inlineStr">
        <is>
          <t>(en blanco)</t>
        </is>
      </c>
      <c r="F2971" t="inlineStr">
        <is>
          <t>D2C</t>
        </is>
      </c>
      <c r="G2971" t="inlineStr">
        <is>
          <t>XXL</t>
        </is>
      </c>
      <c r="H2971" t="n">
        <v>15</v>
      </c>
      <c r="I2971" t="inlineStr">
        <is>
          <t>NAUTICA_MENS_208009117_NVY_1.jpg</t>
        </is>
      </c>
      <c r="J2971" t="inlineStr">
        <is>
          <t>NAUTICA_MENS_208009117_NVY_2.jpg</t>
        </is>
      </c>
      <c r="K2971" t="inlineStr">
        <is>
          <t>NAUTICA_MENS_208009117_NVY_3.jpg</t>
        </is>
      </c>
      <c r="L2971">
        <f>IMAGE("file:///E:/Estudios%20y%20certificaciones/ESTUDIOS%20DE%20PROGRAMMING/PROGRAMMING/PERSONAL/PYTHON/Image_Generator_API/imagenes/NAUTICA_MENS_208009117_NVY_1.jpg")</f>
        <v/>
      </c>
      <c r="M2971">
        <f>IMAGE("file:///E:/Estudios%20y%20certificaciones/ESTUDIOS%20DE%20PROGRAMMING/PROGRAMMING/PERSONAL/PYTHON/Image_Generator_API/imagenes/NAUTICA_MENS_208009117_NVY_2.jpg")</f>
        <v/>
      </c>
      <c r="N2971">
        <f>IMAGE("file:///E:/Estudios%20y%20certificaciones/ESTUDIOS%20DE%20PROGRAMMING/PROGRAMMING/PERSONAL/PYTHON/Image_Generator_API/imagenes/NAUTICA_MENS_208009117_NVY_3.jpg")</f>
        <v/>
      </c>
      <c r="O2971">
        <f>HYPERLINK("imagenes/NAUTICA_MENS_208009117_NVY_1.jpg","Ver imagen")</f>
        <v/>
      </c>
      <c r="P2971">
        <f>HYPERLINK("imagenes/NAUTICA_MENS_208009117_NVY_2.jpg","Ver imagen")</f>
        <v/>
      </c>
      <c r="Q2971">
        <f>HYPERLINK("imagenes/NAUTICA_MENS_208009117_NVY_3.jpg","Ver imagen")</f>
        <v/>
      </c>
    </row>
    <row r="2972">
      <c r="A2972" t="inlineStr">
        <is>
          <t>NAUTICA MENS</t>
        </is>
      </c>
      <c r="B2972" t="inlineStr">
        <is>
          <t>208009117</t>
        </is>
      </c>
      <c r="C2972" t="inlineStr">
        <is>
          <t>BOMBER JAKCET</t>
        </is>
      </c>
      <c r="D2972" t="inlineStr">
        <is>
          <t>NVY</t>
        </is>
      </c>
      <c r="E2972" t="inlineStr">
        <is>
          <t>(en blanco)</t>
        </is>
      </c>
      <c r="F2972" t="inlineStr">
        <is>
          <t>(en blanco)</t>
        </is>
      </c>
      <c r="G2972" t="inlineStr">
        <is>
          <t>S</t>
        </is>
      </c>
      <c r="H2972" t="n">
        <v>395</v>
      </c>
      <c r="I2972" t="inlineStr">
        <is>
          <t>NAUTICA_MENS_208009117_NVY_1.jpg</t>
        </is>
      </c>
      <c r="J2972" t="inlineStr">
        <is>
          <t>NAUTICA_MENS_208009117_NVY_2.jpg</t>
        </is>
      </c>
      <c r="K2972" t="inlineStr">
        <is>
          <t>NAUTICA_MENS_208009117_NVY_3.jpg</t>
        </is>
      </c>
      <c r="L2972">
        <f>IMAGE("file:///E:/Estudios%20y%20certificaciones/ESTUDIOS%20DE%20PROGRAMMING/PROGRAMMING/PERSONAL/PYTHON/Image_Generator_API/imagenes/NAUTICA_MENS_208009117_NVY_1.jpg")</f>
        <v/>
      </c>
      <c r="M2972">
        <f>IMAGE("file:///E:/Estudios%20y%20certificaciones/ESTUDIOS%20DE%20PROGRAMMING/PROGRAMMING/PERSONAL/PYTHON/Image_Generator_API/imagenes/NAUTICA_MENS_208009117_NVY_2.jpg")</f>
        <v/>
      </c>
      <c r="N2972">
        <f>IMAGE("file:///E:/Estudios%20y%20certificaciones/ESTUDIOS%20DE%20PROGRAMMING/PROGRAMMING/PERSONAL/PYTHON/Image_Generator_API/imagenes/NAUTICA_MENS_208009117_NVY_3.jpg")</f>
        <v/>
      </c>
      <c r="O2972">
        <f>HYPERLINK("imagenes/NAUTICA_MENS_208009117_NVY_1.jpg","Ver imagen")</f>
        <v/>
      </c>
      <c r="P2972">
        <f>HYPERLINK("imagenes/NAUTICA_MENS_208009117_NVY_2.jpg","Ver imagen")</f>
        <v/>
      </c>
      <c r="Q2972">
        <f>HYPERLINK("imagenes/NAUTICA_MENS_208009117_NVY_3.jpg","Ver imagen")</f>
        <v/>
      </c>
    </row>
    <row r="2973">
      <c r="A2973" t="inlineStr">
        <is>
          <t>NAUTICA MENS</t>
        </is>
      </c>
      <c r="B2973" t="inlineStr">
        <is>
          <t>208009117</t>
        </is>
      </c>
      <c r="C2973" t="inlineStr">
        <is>
          <t>BOMBER JAKCET</t>
        </is>
      </c>
      <c r="D2973" t="inlineStr">
        <is>
          <t>NVY</t>
        </is>
      </c>
      <c r="E2973" t="inlineStr">
        <is>
          <t>(en blanco)</t>
        </is>
      </c>
      <c r="F2973" t="inlineStr">
        <is>
          <t>(en blanco)</t>
        </is>
      </c>
      <c r="G2973" t="inlineStr">
        <is>
          <t>M</t>
        </is>
      </c>
      <c r="H2973" t="n">
        <v>1171</v>
      </c>
      <c r="I2973" t="inlineStr">
        <is>
          <t>NAUTICA_MENS_208009117_NVY_1.jpg</t>
        </is>
      </c>
      <c r="J2973" t="inlineStr">
        <is>
          <t>NAUTICA_MENS_208009117_NVY_2.jpg</t>
        </is>
      </c>
      <c r="K2973" t="inlineStr">
        <is>
          <t>NAUTICA_MENS_208009117_NVY_3.jpg</t>
        </is>
      </c>
      <c r="L2973">
        <f>IMAGE("file:///E:/Estudios%20y%20certificaciones/ESTUDIOS%20DE%20PROGRAMMING/PROGRAMMING/PERSONAL/PYTHON/Image_Generator_API/imagenes/NAUTICA_MENS_208009117_NVY_1.jpg")</f>
        <v/>
      </c>
      <c r="M2973">
        <f>IMAGE("file:///E:/Estudios%20y%20certificaciones/ESTUDIOS%20DE%20PROGRAMMING/PROGRAMMING/PERSONAL/PYTHON/Image_Generator_API/imagenes/NAUTICA_MENS_208009117_NVY_2.jpg")</f>
        <v/>
      </c>
      <c r="N2973">
        <f>IMAGE("file:///E:/Estudios%20y%20certificaciones/ESTUDIOS%20DE%20PROGRAMMING/PROGRAMMING/PERSONAL/PYTHON/Image_Generator_API/imagenes/NAUTICA_MENS_208009117_NVY_3.jpg")</f>
        <v/>
      </c>
      <c r="O2973">
        <f>HYPERLINK("imagenes/NAUTICA_MENS_208009117_NVY_1.jpg","Ver imagen")</f>
        <v/>
      </c>
      <c r="P2973">
        <f>HYPERLINK("imagenes/NAUTICA_MENS_208009117_NVY_2.jpg","Ver imagen")</f>
        <v/>
      </c>
      <c r="Q2973">
        <f>HYPERLINK("imagenes/NAUTICA_MENS_208009117_NVY_3.jpg","Ver imagen")</f>
        <v/>
      </c>
    </row>
    <row r="2974">
      <c r="A2974" t="inlineStr">
        <is>
          <t>NAUTICA MENS</t>
        </is>
      </c>
      <c r="B2974" t="inlineStr">
        <is>
          <t>208009117</t>
        </is>
      </c>
      <c r="C2974" t="inlineStr">
        <is>
          <t>BOMBER JAKCET</t>
        </is>
      </c>
      <c r="D2974" t="inlineStr">
        <is>
          <t>NVY</t>
        </is>
      </c>
      <c r="E2974" t="inlineStr">
        <is>
          <t>(en blanco)</t>
        </is>
      </c>
      <c r="F2974" t="inlineStr">
        <is>
          <t>(en blanco)</t>
        </is>
      </c>
      <c r="G2974" t="inlineStr">
        <is>
          <t>L</t>
        </is>
      </c>
      <c r="H2974" t="n">
        <v>2041</v>
      </c>
      <c r="I2974" t="inlineStr">
        <is>
          <t>NAUTICA_MENS_208009117_NVY_1.jpg</t>
        </is>
      </c>
      <c r="J2974" t="inlineStr">
        <is>
          <t>NAUTICA_MENS_208009117_NVY_2.jpg</t>
        </is>
      </c>
      <c r="K2974" t="inlineStr">
        <is>
          <t>NAUTICA_MENS_208009117_NVY_3.jpg</t>
        </is>
      </c>
      <c r="L2974">
        <f>IMAGE("file:///E:/Estudios%20y%20certificaciones/ESTUDIOS%20DE%20PROGRAMMING/PROGRAMMING/PERSONAL/PYTHON/Image_Generator_API/imagenes/NAUTICA_MENS_208009117_NVY_1.jpg")</f>
        <v/>
      </c>
      <c r="M2974">
        <f>IMAGE("file:///E:/Estudios%20y%20certificaciones/ESTUDIOS%20DE%20PROGRAMMING/PROGRAMMING/PERSONAL/PYTHON/Image_Generator_API/imagenes/NAUTICA_MENS_208009117_NVY_2.jpg")</f>
        <v/>
      </c>
      <c r="N2974">
        <f>IMAGE("file:///E:/Estudios%20y%20certificaciones/ESTUDIOS%20DE%20PROGRAMMING/PROGRAMMING/PERSONAL/PYTHON/Image_Generator_API/imagenes/NAUTICA_MENS_208009117_NVY_3.jpg")</f>
        <v/>
      </c>
      <c r="O2974">
        <f>HYPERLINK("imagenes/NAUTICA_MENS_208009117_NVY_1.jpg","Ver imagen")</f>
        <v/>
      </c>
      <c r="P2974">
        <f>HYPERLINK("imagenes/NAUTICA_MENS_208009117_NVY_2.jpg","Ver imagen")</f>
        <v/>
      </c>
      <c r="Q2974">
        <f>HYPERLINK("imagenes/NAUTICA_MENS_208009117_NVY_3.jpg","Ver imagen")</f>
        <v/>
      </c>
    </row>
    <row r="2975">
      <c r="A2975" t="inlineStr">
        <is>
          <t>NAUTICA MENS</t>
        </is>
      </c>
      <c r="B2975" t="inlineStr">
        <is>
          <t>208009117</t>
        </is>
      </c>
      <c r="C2975" t="inlineStr">
        <is>
          <t>BOMBER JAKCET</t>
        </is>
      </c>
      <c r="D2975" t="inlineStr">
        <is>
          <t>NVY</t>
        </is>
      </c>
      <c r="E2975" t="inlineStr">
        <is>
          <t>(en blanco)</t>
        </is>
      </c>
      <c r="F2975" t="inlineStr">
        <is>
          <t>(en blanco)</t>
        </is>
      </c>
      <c r="G2975" t="inlineStr">
        <is>
          <t>XL</t>
        </is>
      </c>
      <c r="H2975" t="n">
        <v>1812</v>
      </c>
      <c r="I2975" t="inlineStr">
        <is>
          <t>NAUTICA_MENS_208009117_NVY_1.jpg</t>
        </is>
      </c>
      <c r="J2975" t="inlineStr">
        <is>
          <t>NAUTICA_MENS_208009117_NVY_2.jpg</t>
        </is>
      </c>
      <c r="K2975" t="inlineStr">
        <is>
          <t>NAUTICA_MENS_208009117_NVY_3.jpg</t>
        </is>
      </c>
      <c r="L2975">
        <f>IMAGE("file:///E:/Estudios%20y%20certificaciones/ESTUDIOS%20DE%20PROGRAMMING/PROGRAMMING/PERSONAL/PYTHON/Image_Generator_API/imagenes/NAUTICA_MENS_208009117_NVY_1.jpg")</f>
        <v/>
      </c>
      <c r="M2975">
        <f>IMAGE("file:///E:/Estudios%20y%20certificaciones/ESTUDIOS%20DE%20PROGRAMMING/PROGRAMMING/PERSONAL/PYTHON/Image_Generator_API/imagenes/NAUTICA_MENS_208009117_NVY_2.jpg")</f>
        <v/>
      </c>
      <c r="N2975">
        <f>IMAGE("file:///E:/Estudios%20y%20certificaciones/ESTUDIOS%20DE%20PROGRAMMING/PROGRAMMING/PERSONAL/PYTHON/Image_Generator_API/imagenes/NAUTICA_MENS_208009117_NVY_3.jpg")</f>
        <v/>
      </c>
      <c r="O2975">
        <f>HYPERLINK("imagenes/NAUTICA_MENS_208009117_NVY_1.jpg","Ver imagen")</f>
        <v/>
      </c>
      <c r="P2975">
        <f>HYPERLINK("imagenes/NAUTICA_MENS_208009117_NVY_2.jpg","Ver imagen")</f>
        <v/>
      </c>
      <c r="Q2975">
        <f>HYPERLINK("imagenes/NAUTICA_MENS_208009117_NVY_3.jpg","Ver imagen")</f>
        <v/>
      </c>
    </row>
    <row r="2976">
      <c r="A2976" t="inlineStr">
        <is>
          <t>NAUTICA MENS</t>
        </is>
      </c>
      <c r="B2976" t="inlineStr">
        <is>
          <t>208009117</t>
        </is>
      </c>
      <c r="C2976" t="inlineStr">
        <is>
          <t>BOMBER JAKCET</t>
        </is>
      </c>
      <c r="D2976" t="inlineStr">
        <is>
          <t>NVY</t>
        </is>
      </c>
      <c r="E2976" t="inlineStr">
        <is>
          <t>(en blanco)</t>
        </is>
      </c>
      <c r="F2976" t="inlineStr">
        <is>
          <t>(en blanco)</t>
        </is>
      </c>
      <c r="G2976" t="inlineStr">
        <is>
          <t>XXL</t>
        </is>
      </c>
      <c r="H2976" t="n">
        <v>965</v>
      </c>
      <c r="I2976" t="inlineStr">
        <is>
          <t>NAUTICA_MENS_208009117_NVY_1.jpg</t>
        </is>
      </c>
      <c r="J2976" t="inlineStr">
        <is>
          <t>NAUTICA_MENS_208009117_NVY_2.jpg</t>
        </is>
      </c>
      <c r="K2976" t="inlineStr">
        <is>
          <t>NAUTICA_MENS_208009117_NVY_3.jpg</t>
        </is>
      </c>
      <c r="L2976">
        <f>IMAGE("file:///E:/Estudios%20y%20certificaciones/ESTUDIOS%20DE%20PROGRAMMING/PROGRAMMING/PERSONAL/PYTHON/Image_Generator_API/imagenes/NAUTICA_MENS_208009117_NVY_1.jpg")</f>
        <v/>
      </c>
      <c r="M2976">
        <f>IMAGE("file:///E:/Estudios%20y%20certificaciones/ESTUDIOS%20DE%20PROGRAMMING/PROGRAMMING/PERSONAL/PYTHON/Image_Generator_API/imagenes/NAUTICA_MENS_208009117_NVY_2.jpg")</f>
        <v/>
      </c>
      <c r="N2976">
        <f>IMAGE("file:///E:/Estudios%20y%20certificaciones/ESTUDIOS%20DE%20PROGRAMMING/PROGRAMMING/PERSONAL/PYTHON/Image_Generator_API/imagenes/NAUTICA_MENS_208009117_NVY_3.jpg")</f>
        <v/>
      </c>
      <c r="O2976">
        <f>HYPERLINK("imagenes/NAUTICA_MENS_208009117_NVY_1.jpg","Ver imagen")</f>
        <v/>
      </c>
      <c r="P2976">
        <f>HYPERLINK("imagenes/NAUTICA_MENS_208009117_NVY_2.jpg","Ver imagen")</f>
        <v/>
      </c>
      <c r="Q2976">
        <f>HYPERLINK("imagenes/NAUTICA_MENS_208009117_NVY_3.jpg","Ver imagen")</f>
        <v/>
      </c>
    </row>
    <row r="2977">
      <c r="A2977" t="inlineStr">
        <is>
          <t>NAUTICA MENS</t>
        </is>
      </c>
      <c r="B2977" t="inlineStr">
        <is>
          <t>208009117</t>
        </is>
      </c>
      <c r="C2977" t="inlineStr">
        <is>
          <t>BOMBER JAKCET</t>
        </is>
      </c>
      <c r="D2977" t="inlineStr">
        <is>
          <t>OTR</t>
        </is>
      </c>
      <c r="E2977" t="inlineStr">
        <is>
          <t>(en blanco)</t>
        </is>
      </c>
      <c r="F2977" t="inlineStr">
        <is>
          <t>D2C</t>
        </is>
      </c>
      <c r="G2977" t="inlineStr">
        <is>
          <t>S</t>
        </is>
      </c>
      <c r="H2977" t="n">
        <v>15</v>
      </c>
      <c r="I2977" t="inlineStr">
        <is>
          <t>NAUTICA_MENS_208009117_OTR_1.jpg</t>
        </is>
      </c>
      <c r="J2977" t="inlineStr">
        <is>
          <t>NAUTICA_MENS_208009117_OTR_2.jpg</t>
        </is>
      </c>
      <c r="K2977" t="inlineStr">
        <is>
          <t>NAUTICA_MENS_208009117_OTR_3.jpg</t>
        </is>
      </c>
      <c r="L2977">
        <f>IMAGE("file:///E:/Estudios%20y%20certificaciones/ESTUDIOS%20DE%20PROGRAMMING/PROGRAMMING/PERSONAL/PYTHON/Image_Generator_API/imagenes/NAUTICA_MENS_208009117_OTR_1.jpg")</f>
        <v/>
      </c>
      <c r="M2977">
        <f>IMAGE("file:///E:/Estudios%20y%20certificaciones/ESTUDIOS%20DE%20PROGRAMMING/PROGRAMMING/PERSONAL/PYTHON/Image_Generator_API/imagenes/NAUTICA_MENS_208009117_OTR_2.jpg")</f>
        <v/>
      </c>
      <c r="N2977">
        <f>IMAGE("file:///E:/Estudios%20y%20certificaciones/ESTUDIOS%20DE%20PROGRAMMING/PROGRAMMING/PERSONAL/PYTHON/Image_Generator_API/imagenes/NAUTICA_MENS_208009117_OTR_3.jpg")</f>
        <v/>
      </c>
      <c r="O2977">
        <f>HYPERLINK("imagenes/NAUTICA_MENS_208009117_OTR_1.jpg","Ver imagen")</f>
        <v/>
      </c>
      <c r="P2977">
        <f>HYPERLINK("imagenes/NAUTICA_MENS_208009117_OTR_2.jpg","Ver imagen")</f>
        <v/>
      </c>
      <c r="Q2977">
        <f>HYPERLINK("imagenes/NAUTICA_MENS_208009117_OTR_3.jpg","Ver imagen")</f>
        <v/>
      </c>
    </row>
    <row r="2978">
      <c r="A2978" t="inlineStr">
        <is>
          <t>NAUTICA MENS</t>
        </is>
      </c>
      <c r="B2978" t="inlineStr">
        <is>
          <t>208009117</t>
        </is>
      </c>
      <c r="C2978" t="inlineStr">
        <is>
          <t>BOMBER JAKCET</t>
        </is>
      </c>
      <c r="D2978" t="inlineStr">
        <is>
          <t>OTR</t>
        </is>
      </c>
      <c r="E2978" t="inlineStr">
        <is>
          <t>(en blanco)</t>
        </is>
      </c>
      <c r="F2978" t="inlineStr">
        <is>
          <t>D2C</t>
        </is>
      </c>
      <c r="G2978" t="inlineStr">
        <is>
          <t>M</t>
        </is>
      </c>
      <c r="H2978" t="n">
        <v>20</v>
      </c>
      <c r="I2978" t="inlineStr">
        <is>
          <t>NAUTICA_MENS_208009117_OTR_1.jpg</t>
        </is>
      </c>
      <c r="J2978" t="inlineStr">
        <is>
          <t>NAUTICA_MENS_208009117_OTR_2.jpg</t>
        </is>
      </c>
      <c r="K2978" t="inlineStr">
        <is>
          <t>NAUTICA_MENS_208009117_OTR_3.jpg</t>
        </is>
      </c>
      <c r="L2978">
        <f>IMAGE("file:///E:/Estudios%20y%20certificaciones/ESTUDIOS%20DE%20PROGRAMMING/PROGRAMMING/PERSONAL/PYTHON/Image_Generator_API/imagenes/NAUTICA_MENS_208009117_OTR_1.jpg")</f>
        <v/>
      </c>
      <c r="M2978">
        <f>IMAGE("file:///E:/Estudios%20y%20certificaciones/ESTUDIOS%20DE%20PROGRAMMING/PROGRAMMING/PERSONAL/PYTHON/Image_Generator_API/imagenes/NAUTICA_MENS_208009117_OTR_2.jpg")</f>
        <v/>
      </c>
      <c r="N2978">
        <f>IMAGE("file:///E:/Estudios%20y%20certificaciones/ESTUDIOS%20DE%20PROGRAMMING/PROGRAMMING/PERSONAL/PYTHON/Image_Generator_API/imagenes/NAUTICA_MENS_208009117_OTR_3.jpg")</f>
        <v/>
      </c>
      <c r="O2978">
        <f>HYPERLINK("imagenes/NAUTICA_MENS_208009117_OTR_1.jpg","Ver imagen")</f>
        <v/>
      </c>
      <c r="P2978">
        <f>HYPERLINK("imagenes/NAUTICA_MENS_208009117_OTR_2.jpg","Ver imagen")</f>
        <v/>
      </c>
      <c r="Q2978">
        <f>HYPERLINK("imagenes/NAUTICA_MENS_208009117_OTR_3.jpg","Ver imagen")</f>
        <v/>
      </c>
    </row>
    <row r="2979">
      <c r="A2979" t="inlineStr">
        <is>
          <t>NAUTICA MENS</t>
        </is>
      </c>
      <c r="B2979" t="inlineStr">
        <is>
          <t>208009117</t>
        </is>
      </c>
      <c r="C2979" t="inlineStr">
        <is>
          <t>BOMBER JAKCET</t>
        </is>
      </c>
      <c r="D2979" t="inlineStr">
        <is>
          <t>OTR</t>
        </is>
      </c>
      <c r="E2979" t="inlineStr">
        <is>
          <t>(en blanco)</t>
        </is>
      </c>
      <c r="F2979" t="inlineStr">
        <is>
          <t>D2C</t>
        </is>
      </c>
      <c r="G2979" t="inlineStr">
        <is>
          <t>L</t>
        </is>
      </c>
      <c r="H2979" t="n">
        <v>18</v>
      </c>
      <c r="I2979" t="inlineStr">
        <is>
          <t>NAUTICA_MENS_208009117_OTR_1.jpg</t>
        </is>
      </c>
      <c r="J2979" t="inlineStr">
        <is>
          <t>NAUTICA_MENS_208009117_OTR_2.jpg</t>
        </is>
      </c>
      <c r="K2979" t="inlineStr">
        <is>
          <t>NAUTICA_MENS_208009117_OTR_3.jpg</t>
        </is>
      </c>
      <c r="L2979">
        <f>IMAGE("file:///E:/Estudios%20y%20certificaciones/ESTUDIOS%20DE%20PROGRAMMING/PROGRAMMING/PERSONAL/PYTHON/Image_Generator_API/imagenes/NAUTICA_MENS_208009117_OTR_1.jpg")</f>
        <v/>
      </c>
      <c r="M2979">
        <f>IMAGE("file:///E:/Estudios%20y%20certificaciones/ESTUDIOS%20DE%20PROGRAMMING/PROGRAMMING/PERSONAL/PYTHON/Image_Generator_API/imagenes/NAUTICA_MENS_208009117_OTR_2.jpg")</f>
        <v/>
      </c>
      <c r="N2979">
        <f>IMAGE("file:///E:/Estudios%20y%20certificaciones/ESTUDIOS%20DE%20PROGRAMMING/PROGRAMMING/PERSONAL/PYTHON/Image_Generator_API/imagenes/NAUTICA_MENS_208009117_OTR_3.jpg")</f>
        <v/>
      </c>
      <c r="O2979">
        <f>HYPERLINK("imagenes/NAUTICA_MENS_208009117_OTR_1.jpg","Ver imagen")</f>
        <v/>
      </c>
      <c r="P2979">
        <f>HYPERLINK("imagenes/NAUTICA_MENS_208009117_OTR_2.jpg","Ver imagen")</f>
        <v/>
      </c>
      <c r="Q2979">
        <f>HYPERLINK("imagenes/NAUTICA_MENS_208009117_OTR_3.jpg","Ver imagen")</f>
        <v/>
      </c>
    </row>
    <row r="2980">
      <c r="A2980" t="inlineStr">
        <is>
          <t>NAUTICA MENS</t>
        </is>
      </c>
      <c r="B2980" t="inlineStr">
        <is>
          <t>208009117</t>
        </is>
      </c>
      <c r="C2980" t="inlineStr">
        <is>
          <t>BOMBER JAKCET</t>
        </is>
      </c>
      <c r="D2980" t="inlineStr">
        <is>
          <t>OTR</t>
        </is>
      </c>
      <c r="E2980" t="inlineStr">
        <is>
          <t>(en blanco)</t>
        </is>
      </c>
      <c r="F2980" t="inlineStr">
        <is>
          <t>D2C</t>
        </is>
      </c>
      <c r="G2980" t="inlineStr">
        <is>
          <t>XL</t>
        </is>
      </c>
      <c r="H2980" t="n">
        <v>20</v>
      </c>
      <c r="I2980" t="inlineStr">
        <is>
          <t>NAUTICA_MENS_208009117_OTR_1.jpg</t>
        </is>
      </c>
      <c r="J2980" t="inlineStr">
        <is>
          <t>NAUTICA_MENS_208009117_OTR_2.jpg</t>
        </is>
      </c>
      <c r="K2980" t="inlineStr">
        <is>
          <t>NAUTICA_MENS_208009117_OTR_3.jpg</t>
        </is>
      </c>
      <c r="L2980">
        <f>IMAGE("file:///E:/Estudios%20y%20certificaciones/ESTUDIOS%20DE%20PROGRAMMING/PROGRAMMING/PERSONAL/PYTHON/Image_Generator_API/imagenes/NAUTICA_MENS_208009117_OTR_1.jpg")</f>
        <v/>
      </c>
      <c r="M2980">
        <f>IMAGE("file:///E:/Estudios%20y%20certificaciones/ESTUDIOS%20DE%20PROGRAMMING/PROGRAMMING/PERSONAL/PYTHON/Image_Generator_API/imagenes/NAUTICA_MENS_208009117_OTR_2.jpg")</f>
        <v/>
      </c>
      <c r="N2980">
        <f>IMAGE("file:///E:/Estudios%20y%20certificaciones/ESTUDIOS%20DE%20PROGRAMMING/PROGRAMMING/PERSONAL/PYTHON/Image_Generator_API/imagenes/NAUTICA_MENS_208009117_OTR_3.jpg")</f>
        <v/>
      </c>
      <c r="O2980">
        <f>HYPERLINK("imagenes/NAUTICA_MENS_208009117_OTR_1.jpg","Ver imagen")</f>
        <v/>
      </c>
      <c r="P2980">
        <f>HYPERLINK("imagenes/NAUTICA_MENS_208009117_OTR_2.jpg","Ver imagen")</f>
        <v/>
      </c>
      <c r="Q2980">
        <f>HYPERLINK("imagenes/NAUTICA_MENS_208009117_OTR_3.jpg","Ver imagen")</f>
        <v/>
      </c>
    </row>
    <row r="2981">
      <c r="A2981" t="inlineStr">
        <is>
          <t>NAUTICA MENS</t>
        </is>
      </c>
      <c r="B2981" t="inlineStr">
        <is>
          <t>208009117</t>
        </is>
      </c>
      <c r="C2981" t="inlineStr">
        <is>
          <t>BOMBER JAKCET</t>
        </is>
      </c>
      <c r="D2981" t="inlineStr">
        <is>
          <t>OTR</t>
        </is>
      </c>
      <c r="E2981" t="inlineStr">
        <is>
          <t>(en blanco)</t>
        </is>
      </c>
      <c r="F2981" t="inlineStr">
        <is>
          <t>D2C</t>
        </is>
      </c>
      <c r="G2981" t="inlineStr">
        <is>
          <t>XXL</t>
        </is>
      </c>
      <c r="H2981" t="n">
        <v>14</v>
      </c>
      <c r="I2981" t="inlineStr">
        <is>
          <t>NAUTICA_MENS_208009117_OTR_1.jpg</t>
        </is>
      </c>
      <c r="J2981" t="inlineStr">
        <is>
          <t>NAUTICA_MENS_208009117_OTR_2.jpg</t>
        </is>
      </c>
      <c r="K2981" t="inlineStr">
        <is>
          <t>NAUTICA_MENS_208009117_OTR_3.jpg</t>
        </is>
      </c>
      <c r="L2981">
        <f>IMAGE("file:///E:/Estudios%20y%20certificaciones/ESTUDIOS%20DE%20PROGRAMMING/PROGRAMMING/PERSONAL/PYTHON/Image_Generator_API/imagenes/NAUTICA_MENS_208009117_OTR_1.jpg")</f>
        <v/>
      </c>
      <c r="M2981">
        <f>IMAGE("file:///E:/Estudios%20y%20certificaciones/ESTUDIOS%20DE%20PROGRAMMING/PROGRAMMING/PERSONAL/PYTHON/Image_Generator_API/imagenes/NAUTICA_MENS_208009117_OTR_2.jpg")</f>
        <v/>
      </c>
      <c r="N2981">
        <f>IMAGE("file:///E:/Estudios%20y%20certificaciones/ESTUDIOS%20DE%20PROGRAMMING/PROGRAMMING/PERSONAL/PYTHON/Image_Generator_API/imagenes/NAUTICA_MENS_208009117_OTR_3.jpg")</f>
        <v/>
      </c>
      <c r="O2981">
        <f>HYPERLINK("imagenes/NAUTICA_MENS_208009117_OTR_1.jpg","Ver imagen")</f>
        <v/>
      </c>
      <c r="P2981">
        <f>HYPERLINK("imagenes/NAUTICA_MENS_208009117_OTR_2.jpg","Ver imagen")</f>
        <v/>
      </c>
      <c r="Q2981">
        <f>HYPERLINK("imagenes/NAUTICA_MENS_208009117_OTR_3.jpg","Ver imagen")</f>
        <v/>
      </c>
    </row>
    <row r="2982">
      <c r="A2982" t="inlineStr">
        <is>
          <t>NAUTICA MENS</t>
        </is>
      </c>
      <c r="B2982" t="inlineStr">
        <is>
          <t>208009117</t>
        </is>
      </c>
      <c r="C2982" t="inlineStr">
        <is>
          <t>BOMBER JAKCET</t>
        </is>
      </c>
      <c r="D2982" t="inlineStr">
        <is>
          <t>OTR</t>
        </is>
      </c>
      <c r="E2982" t="inlineStr">
        <is>
          <t>(en blanco)</t>
        </is>
      </c>
      <c r="F2982" t="inlineStr">
        <is>
          <t>(en blanco)</t>
        </is>
      </c>
      <c r="G2982" t="inlineStr">
        <is>
          <t>S</t>
        </is>
      </c>
      <c r="H2982" t="n">
        <v>90</v>
      </c>
      <c r="I2982" t="inlineStr">
        <is>
          <t>NAUTICA_MENS_208009117_OTR_1.jpg</t>
        </is>
      </c>
      <c r="J2982" t="inlineStr">
        <is>
          <t>NAUTICA_MENS_208009117_OTR_2.jpg</t>
        </is>
      </c>
      <c r="K2982" t="inlineStr">
        <is>
          <t>NAUTICA_MENS_208009117_OTR_3.jpg</t>
        </is>
      </c>
      <c r="L2982">
        <f>IMAGE("file:///E:/Estudios%20y%20certificaciones/ESTUDIOS%20DE%20PROGRAMMING/PROGRAMMING/PERSONAL/PYTHON/Image_Generator_API/imagenes/NAUTICA_MENS_208009117_OTR_1.jpg")</f>
        <v/>
      </c>
      <c r="M2982">
        <f>IMAGE("file:///E:/Estudios%20y%20certificaciones/ESTUDIOS%20DE%20PROGRAMMING/PROGRAMMING/PERSONAL/PYTHON/Image_Generator_API/imagenes/NAUTICA_MENS_208009117_OTR_2.jpg")</f>
        <v/>
      </c>
      <c r="N2982">
        <f>IMAGE("file:///E:/Estudios%20y%20certificaciones/ESTUDIOS%20DE%20PROGRAMMING/PROGRAMMING/PERSONAL/PYTHON/Image_Generator_API/imagenes/NAUTICA_MENS_208009117_OTR_3.jpg")</f>
        <v/>
      </c>
      <c r="O2982">
        <f>HYPERLINK("imagenes/NAUTICA_MENS_208009117_OTR_1.jpg","Ver imagen")</f>
        <v/>
      </c>
      <c r="P2982">
        <f>HYPERLINK("imagenes/NAUTICA_MENS_208009117_OTR_2.jpg","Ver imagen")</f>
        <v/>
      </c>
      <c r="Q2982">
        <f>HYPERLINK("imagenes/NAUTICA_MENS_208009117_OTR_3.jpg","Ver imagen")</f>
        <v/>
      </c>
    </row>
    <row r="2983">
      <c r="A2983" t="inlineStr">
        <is>
          <t>NAUTICA MENS</t>
        </is>
      </c>
      <c r="B2983" t="inlineStr">
        <is>
          <t>208009117</t>
        </is>
      </c>
      <c r="C2983" t="inlineStr">
        <is>
          <t>BOMBER JAKCET</t>
        </is>
      </c>
      <c r="D2983" t="inlineStr">
        <is>
          <t>OTR</t>
        </is>
      </c>
      <c r="E2983" t="inlineStr">
        <is>
          <t>(en blanco)</t>
        </is>
      </c>
      <c r="F2983" t="inlineStr">
        <is>
          <t>(en blanco)</t>
        </is>
      </c>
      <c r="G2983" t="inlineStr">
        <is>
          <t>M</t>
        </is>
      </c>
      <c r="H2983" t="n">
        <v>243</v>
      </c>
      <c r="I2983" t="inlineStr">
        <is>
          <t>NAUTICA_MENS_208009117_OTR_1.jpg</t>
        </is>
      </c>
      <c r="J2983" t="inlineStr">
        <is>
          <t>NAUTICA_MENS_208009117_OTR_2.jpg</t>
        </is>
      </c>
      <c r="K2983" t="inlineStr">
        <is>
          <t>NAUTICA_MENS_208009117_OTR_3.jpg</t>
        </is>
      </c>
      <c r="L2983">
        <f>IMAGE("file:///E:/Estudios%20y%20certificaciones/ESTUDIOS%20DE%20PROGRAMMING/PROGRAMMING/PERSONAL/PYTHON/Image_Generator_API/imagenes/NAUTICA_MENS_208009117_OTR_1.jpg")</f>
        <v/>
      </c>
      <c r="M2983">
        <f>IMAGE("file:///E:/Estudios%20y%20certificaciones/ESTUDIOS%20DE%20PROGRAMMING/PROGRAMMING/PERSONAL/PYTHON/Image_Generator_API/imagenes/NAUTICA_MENS_208009117_OTR_2.jpg")</f>
        <v/>
      </c>
      <c r="N2983">
        <f>IMAGE("file:///E:/Estudios%20y%20certificaciones/ESTUDIOS%20DE%20PROGRAMMING/PROGRAMMING/PERSONAL/PYTHON/Image_Generator_API/imagenes/NAUTICA_MENS_208009117_OTR_3.jpg")</f>
        <v/>
      </c>
      <c r="O2983">
        <f>HYPERLINK("imagenes/NAUTICA_MENS_208009117_OTR_1.jpg","Ver imagen")</f>
        <v/>
      </c>
      <c r="P2983">
        <f>HYPERLINK("imagenes/NAUTICA_MENS_208009117_OTR_2.jpg","Ver imagen")</f>
        <v/>
      </c>
      <c r="Q2983">
        <f>HYPERLINK("imagenes/NAUTICA_MENS_208009117_OTR_3.jpg","Ver imagen")</f>
        <v/>
      </c>
    </row>
    <row r="2984">
      <c r="A2984" t="inlineStr">
        <is>
          <t>NAUTICA MENS</t>
        </is>
      </c>
      <c r="B2984" t="inlineStr">
        <is>
          <t>208009117</t>
        </is>
      </c>
      <c r="C2984" t="inlineStr">
        <is>
          <t>BOMBER JAKCET</t>
        </is>
      </c>
      <c r="D2984" t="inlineStr">
        <is>
          <t>OTR</t>
        </is>
      </c>
      <c r="E2984" t="inlineStr">
        <is>
          <t>(en blanco)</t>
        </is>
      </c>
      <c r="F2984" t="inlineStr">
        <is>
          <t>(en blanco)</t>
        </is>
      </c>
      <c r="G2984" t="inlineStr">
        <is>
          <t>L</t>
        </is>
      </c>
      <c r="H2984" t="n">
        <v>458</v>
      </c>
      <c r="I2984" t="inlineStr">
        <is>
          <t>NAUTICA_MENS_208009117_OTR_1.jpg</t>
        </is>
      </c>
      <c r="J2984" t="inlineStr">
        <is>
          <t>NAUTICA_MENS_208009117_OTR_2.jpg</t>
        </is>
      </c>
      <c r="K2984" t="inlineStr">
        <is>
          <t>NAUTICA_MENS_208009117_OTR_3.jpg</t>
        </is>
      </c>
      <c r="L2984">
        <f>IMAGE("file:///E:/Estudios%20y%20certificaciones/ESTUDIOS%20DE%20PROGRAMMING/PROGRAMMING/PERSONAL/PYTHON/Image_Generator_API/imagenes/NAUTICA_MENS_208009117_OTR_1.jpg")</f>
        <v/>
      </c>
      <c r="M2984">
        <f>IMAGE("file:///E:/Estudios%20y%20certificaciones/ESTUDIOS%20DE%20PROGRAMMING/PROGRAMMING/PERSONAL/PYTHON/Image_Generator_API/imagenes/NAUTICA_MENS_208009117_OTR_2.jpg")</f>
        <v/>
      </c>
      <c r="N2984">
        <f>IMAGE("file:///E:/Estudios%20y%20certificaciones/ESTUDIOS%20DE%20PROGRAMMING/PROGRAMMING/PERSONAL/PYTHON/Image_Generator_API/imagenes/NAUTICA_MENS_208009117_OTR_3.jpg")</f>
        <v/>
      </c>
      <c r="O2984">
        <f>HYPERLINK("imagenes/NAUTICA_MENS_208009117_OTR_1.jpg","Ver imagen")</f>
        <v/>
      </c>
      <c r="P2984">
        <f>HYPERLINK("imagenes/NAUTICA_MENS_208009117_OTR_2.jpg","Ver imagen")</f>
        <v/>
      </c>
      <c r="Q2984">
        <f>HYPERLINK("imagenes/NAUTICA_MENS_208009117_OTR_3.jpg","Ver imagen")</f>
        <v/>
      </c>
    </row>
    <row r="2985">
      <c r="A2985" t="inlineStr">
        <is>
          <t>NAUTICA MENS</t>
        </is>
      </c>
      <c r="B2985" t="inlineStr">
        <is>
          <t>208009117</t>
        </is>
      </c>
      <c r="C2985" t="inlineStr">
        <is>
          <t>BOMBER JAKCET</t>
        </is>
      </c>
      <c r="D2985" t="inlineStr">
        <is>
          <t>OTR</t>
        </is>
      </c>
      <c r="E2985" t="inlineStr">
        <is>
          <t>(en blanco)</t>
        </is>
      </c>
      <c r="F2985" t="inlineStr">
        <is>
          <t>(en blanco)</t>
        </is>
      </c>
      <c r="G2985" t="inlineStr">
        <is>
          <t>XL</t>
        </is>
      </c>
      <c r="H2985" t="n">
        <v>413</v>
      </c>
      <c r="I2985" t="inlineStr">
        <is>
          <t>NAUTICA_MENS_208009117_OTR_1.jpg</t>
        </is>
      </c>
      <c r="J2985" t="inlineStr">
        <is>
          <t>NAUTICA_MENS_208009117_OTR_2.jpg</t>
        </is>
      </c>
      <c r="K2985" t="inlineStr">
        <is>
          <t>NAUTICA_MENS_208009117_OTR_3.jpg</t>
        </is>
      </c>
      <c r="L2985">
        <f>IMAGE("file:///E:/Estudios%20y%20certificaciones/ESTUDIOS%20DE%20PROGRAMMING/PROGRAMMING/PERSONAL/PYTHON/Image_Generator_API/imagenes/NAUTICA_MENS_208009117_OTR_1.jpg")</f>
        <v/>
      </c>
      <c r="M2985">
        <f>IMAGE("file:///E:/Estudios%20y%20certificaciones/ESTUDIOS%20DE%20PROGRAMMING/PROGRAMMING/PERSONAL/PYTHON/Image_Generator_API/imagenes/NAUTICA_MENS_208009117_OTR_2.jpg")</f>
        <v/>
      </c>
      <c r="N2985">
        <f>IMAGE("file:///E:/Estudios%20y%20certificaciones/ESTUDIOS%20DE%20PROGRAMMING/PROGRAMMING/PERSONAL/PYTHON/Image_Generator_API/imagenes/NAUTICA_MENS_208009117_OTR_3.jpg")</f>
        <v/>
      </c>
      <c r="O2985">
        <f>HYPERLINK("imagenes/NAUTICA_MENS_208009117_OTR_1.jpg","Ver imagen")</f>
        <v/>
      </c>
      <c r="P2985">
        <f>HYPERLINK("imagenes/NAUTICA_MENS_208009117_OTR_2.jpg","Ver imagen")</f>
        <v/>
      </c>
      <c r="Q2985">
        <f>HYPERLINK("imagenes/NAUTICA_MENS_208009117_OTR_3.jpg","Ver imagen")</f>
        <v/>
      </c>
    </row>
    <row r="2986">
      <c r="A2986" t="inlineStr">
        <is>
          <t>NAUTICA MENS</t>
        </is>
      </c>
      <c r="B2986" t="inlineStr">
        <is>
          <t>208009117</t>
        </is>
      </c>
      <c r="C2986" t="inlineStr">
        <is>
          <t>BOMBER JAKCET</t>
        </is>
      </c>
      <c r="D2986" t="inlineStr">
        <is>
          <t>OTR</t>
        </is>
      </c>
      <c r="E2986" t="inlineStr">
        <is>
          <t>(en blanco)</t>
        </is>
      </c>
      <c r="F2986" t="inlineStr">
        <is>
          <t>(en blanco)</t>
        </is>
      </c>
      <c r="G2986" t="inlineStr">
        <is>
          <t>XXL</t>
        </is>
      </c>
      <c r="H2986" t="n">
        <v>237</v>
      </c>
      <c r="I2986" t="inlineStr">
        <is>
          <t>NAUTICA_MENS_208009117_OTR_1.jpg</t>
        </is>
      </c>
      <c r="J2986" t="inlineStr">
        <is>
          <t>NAUTICA_MENS_208009117_OTR_2.jpg</t>
        </is>
      </c>
      <c r="K2986" t="inlineStr">
        <is>
          <t>NAUTICA_MENS_208009117_OTR_3.jpg</t>
        </is>
      </c>
      <c r="L2986">
        <f>IMAGE("file:///E:/Estudios%20y%20certificaciones/ESTUDIOS%20DE%20PROGRAMMING/PROGRAMMING/PERSONAL/PYTHON/Image_Generator_API/imagenes/NAUTICA_MENS_208009117_OTR_1.jpg")</f>
        <v/>
      </c>
      <c r="M2986">
        <f>IMAGE("file:///E:/Estudios%20y%20certificaciones/ESTUDIOS%20DE%20PROGRAMMING/PROGRAMMING/PERSONAL/PYTHON/Image_Generator_API/imagenes/NAUTICA_MENS_208009117_OTR_2.jpg")</f>
        <v/>
      </c>
      <c r="N2986">
        <f>IMAGE("file:///E:/Estudios%20y%20certificaciones/ESTUDIOS%20DE%20PROGRAMMING/PROGRAMMING/PERSONAL/PYTHON/Image_Generator_API/imagenes/NAUTICA_MENS_208009117_OTR_3.jpg")</f>
        <v/>
      </c>
      <c r="O2986">
        <f>HYPERLINK("imagenes/NAUTICA_MENS_208009117_OTR_1.jpg","Ver imagen")</f>
        <v/>
      </c>
      <c r="P2986">
        <f>HYPERLINK("imagenes/NAUTICA_MENS_208009117_OTR_2.jpg","Ver imagen")</f>
        <v/>
      </c>
      <c r="Q2986">
        <f>HYPERLINK("imagenes/NAUTICA_MENS_208009117_OTR_3.jpg","Ver imagen")</f>
        <v/>
      </c>
    </row>
    <row r="2987">
      <c r="A2987" t="inlineStr">
        <is>
          <t>NAUTICA MENS</t>
        </is>
      </c>
      <c r="B2987" t="inlineStr">
        <is>
          <t>208009177</t>
        </is>
      </c>
      <c r="C2987" t="inlineStr">
        <is>
          <t>MID WEIGHT PUFFER w. BIB</t>
        </is>
      </c>
      <c r="D2987" t="inlineStr">
        <is>
          <t>BLK</t>
        </is>
      </c>
      <c r="E2987" t="inlineStr">
        <is>
          <t>(en blanco)</t>
        </is>
      </c>
      <c r="F2987" t="inlineStr">
        <is>
          <t>D2C</t>
        </is>
      </c>
      <c r="G2987" t="inlineStr">
        <is>
          <t>S</t>
        </is>
      </c>
      <c r="H2987" t="n">
        <v>20</v>
      </c>
      <c r="I2987" t="inlineStr">
        <is>
          <t>NAUTICA_MENS_208009177_BLK_1.jpg</t>
        </is>
      </c>
      <c r="J2987" t="inlineStr">
        <is>
          <t>NAUTICA_MENS_208009177_BLK_2.jpg</t>
        </is>
      </c>
      <c r="K2987" t="inlineStr">
        <is>
          <t>NAUTICA_MENS_208009177_BLK_3.jpg</t>
        </is>
      </c>
      <c r="L2987">
        <f>IMAGE("file:///E:/Estudios%20y%20certificaciones/ESTUDIOS%20DE%20PROGRAMMING/PROGRAMMING/PERSONAL/PYTHON/Image_Generator_API/imagenes/NAUTICA_MENS_208009177_BLK_1.jpg")</f>
        <v/>
      </c>
      <c r="M2987">
        <f>IMAGE("file:///E:/Estudios%20y%20certificaciones/ESTUDIOS%20DE%20PROGRAMMING/PROGRAMMING/PERSONAL/PYTHON/Image_Generator_API/imagenes/NAUTICA_MENS_208009177_BLK_2.jpg")</f>
        <v/>
      </c>
      <c r="N2987">
        <f>IMAGE("file:///E:/Estudios%20y%20certificaciones/ESTUDIOS%20DE%20PROGRAMMING/PROGRAMMING/PERSONAL/PYTHON/Image_Generator_API/imagenes/NAUTICA_MENS_208009177_BLK_3.jpg")</f>
        <v/>
      </c>
      <c r="O2987">
        <f>HYPERLINK("imagenes/NAUTICA_MENS_208009177_BLK_1.jpg","Ver imagen")</f>
        <v/>
      </c>
      <c r="P2987">
        <f>HYPERLINK("imagenes/NAUTICA_MENS_208009177_BLK_2.jpg","Ver imagen")</f>
        <v/>
      </c>
      <c r="Q2987">
        <f>HYPERLINK("imagenes/NAUTICA_MENS_208009177_BLK_3.jpg","Ver imagen")</f>
        <v/>
      </c>
    </row>
    <row r="2988">
      <c r="A2988" t="inlineStr">
        <is>
          <t>NAUTICA MENS</t>
        </is>
      </c>
      <c r="B2988" t="inlineStr">
        <is>
          <t>208009177</t>
        </is>
      </c>
      <c r="C2988" t="inlineStr">
        <is>
          <t>MID WEIGHT PUFFER w. BIB</t>
        </is>
      </c>
      <c r="D2988" t="inlineStr">
        <is>
          <t>BLK</t>
        </is>
      </c>
      <c r="E2988" t="inlineStr">
        <is>
          <t>(en blanco)</t>
        </is>
      </c>
      <c r="F2988" t="inlineStr">
        <is>
          <t>D2C</t>
        </is>
      </c>
      <c r="G2988" t="inlineStr">
        <is>
          <t>M</t>
        </is>
      </c>
      <c r="H2988" t="n">
        <v>19</v>
      </c>
      <c r="I2988" t="inlineStr">
        <is>
          <t>NAUTICA_MENS_208009177_BLK_1.jpg</t>
        </is>
      </c>
      <c r="J2988" t="inlineStr">
        <is>
          <t>NAUTICA_MENS_208009177_BLK_2.jpg</t>
        </is>
      </c>
      <c r="K2988" t="inlineStr">
        <is>
          <t>NAUTICA_MENS_208009177_BLK_3.jpg</t>
        </is>
      </c>
      <c r="L2988">
        <f>IMAGE("file:///E:/Estudios%20y%20certificaciones/ESTUDIOS%20DE%20PROGRAMMING/PROGRAMMING/PERSONAL/PYTHON/Image_Generator_API/imagenes/NAUTICA_MENS_208009177_BLK_1.jpg")</f>
        <v/>
      </c>
      <c r="M2988">
        <f>IMAGE("file:///E:/Estudios%20y%20certificaciones/ESTUDIOS%20DE%20PROGRAMMING/PROGRAMMING/PERSONAL/PYTHON/Image_Generator_API/imagenes/NAUTICA_MENS_208009177_BLK_2.jpg")</f>
        <v/>
      </c>
      <c r="N2988">
        <f>IMAGE("file:///E:/Estudios%20y%20certificaciones/ESTUDIOS%20DE%20PROGRAMMING/PROGRAMMING/PERSONAL/PYTHON/Image_Generator_API/imagenes/NAUTICA_MENS_208009177_BLK_3.jpg")</f>
        <v/>
      </c>
      <c r="O2988">
        <f>HYPERLINK("imagenes/NAUTICA_MENS_208009177_BLK_1.jpg","Ver imagen")</f>
        <v/>
      </c>
      <c r="P2988">
        <f>HYPERLINK("imagenes/NAUTICA_MENS_208009177_BLK_2.jpg","Ver imagen")</f>
        <v/>
      </c>
      <c r="Q2988">
        <f>HYPERLINK("imagenes/NAUTICA_MENS_208009177_BLK_3.jpg","Ver imagen")</f>
        <v/>
      </c>
    </row>
    <row r="2989">
      <c r="A2989" t="inlineStr">
        <is>
          <t>NAUTICA MENS</t>
        </is>
      </c>
      <c r="B2989" t="inlineStr">
        <is>
          <t>208009177</t>
        </is>
      </c>
      <c r="C2989" t="inlineStr">
        <is>
          <t>MID WEIGHT PUFFER w. BIB</t>
        </is>
      </c>
      <c r="D2989" t="inlineStr">
        <is>
          <t>BLK</t>
        </is>
      </c>
      <c r="E2989" t="inlineStr">
        <is>
          <t>(en blanco)</t>
        </is>
      </c>
      <c r="F2989" t="inlineStr">
        <is>
          <t>D2C</t>
        </is>
      </c>
      <c r="G2989" t="inlineStr">
        <is>
          <t>L</t>
        </is>
      </c>
      <c r="H2989" t="n">
        <v>19</v>
      </c>
      <c r="I2989" t="inlineStr">
        <is>
          <t>NAUTICA_MENS_208009177_BLK_1.jpg</t>
        </is>
      </c>
      <c r="J2989" t="inlineStr">
        <is>
          <t>NAUTICA_MENS_208009177_BLK_2.jpg</t>
        </is>
      </c>
      <c r="K2989" t="inlineStr">
        <is>
          <t>NAUTICA_MENS_208009177_BLK_3.jpg</t>
        </is>
      </c>
      <c r="L2989">
        <f>IMAGE("file:///E:/Estudios%20y%20certificaciones/ESTUDIOS%20DE%20PROGRAMMING/PROGRAMMING/PERSONAL/PYTHON/Image_Generator_API/imagenes/NAUTICA_MENS_208009177_BLK_1.jpg")</f>
        <v/>
      </c>
      <c r="M2989">
        <f>IMAGE("file:///E:/Estudios%20y%20certificaciones/ESTUDIOS%20DE%20PROGRAMMING/PROGRAMMING/PERSONAL/PYTHON/Image_Generator_API/imagenes/NAUTICA_MENS_208009177_BLK_2.jpg")</f>
        <v/>
      </c>
      <c r="N2989">
        <f>IMAGE("file:///E:/Estudios%20y%20certificaciones/ESTUDIOS%20DE%20PROGRAMMING/PROGRAMMING/PERSONAL/PYTHON/Image_Generator_API/imagenes/NAUTICA_MENS_208009177_BLK_3.jpg")</f>
        <v/>
      </c>
      <c r="O2989">
        <f>HYPERLINK("imagenes/NAUTICA_MENS_208009177_BLK_1.jpg","Ver imagen")</f>
        <v/>
      </c>
      <c r="P2989">
        <f>HYPERLINK("imagenes/NAUTICA_MENS_208009177_BLK_2.jpg","Ver imagen")</f>
        <v/>
      </c>
      <c r="Q2989">
        <f>HYPERLINK("imagenes/NAUTICA_MENS_208009177_BLK_3.jpg","Ver imagen")</f>
        <v/>
      </c>
    </row>
    <row r="2990">
      <c r="A2990" t="inlineStr">
        <is>
          <t>NAUTICA MENS</t>
        </is>
      </c>
      <c r="B2990" t="inlineStr">
        <is>
          <t>208009177</t>
        </is>
      </c>
      <c r="C2990" t="inlineStr">
        <is>
          <t>MID WEIGHT PUFFER w. BIB</t>
        </is>
      </c>
      <c r="D2990" t="inlineStr">
        <is>
          <t>BLK</t>
        </is>
      </c>
      <c r="E2990" t="inlineStr">
        <is>
          <t>(en blanco)</t>
        </is>
      </c>
      <c r="F2990" t="inlineStr">
        <is>
          <t>D2C</t>
        </is>
      </c>
      <c r="G2990" t="inlineStr">
        <is>
          <t>XL</t>
        </is>
      </c>
      <c r="H2990" t="n">
        <v>20</v>
      </c>
      <c r="I2990" t="inlineStr">
        <is>
          <t>NAUTICA_MENS_208009177_BLK_1.jpg</t>
        </is>
      </c>
      <c r="J2990" t="inlineStr">
        <is>
          <t>NAUTICA_MENS_208009177_BLK_2.jpg</t>
        </is>
      </c>
      <c r="K2990" t="inlineStr">
        <is>
          <t>NAUTICA_MENS_208009177_BLK_3.jpg</t>
        </is>
      </c>
      <c r="L2990">
        <f>IMAGE("file:///E:/Estudios%20y%20certificaciones/ESTUDIOS%20DE%20PROGRAMMING/PROGRAMMING/PERSONAL/PYTHON/Image_Generator_API/imagenes/NAUTICA_MENS_208009177_BLK_1.jpg")</f>
        <v/>
      </c>
      <c r="M2990">
        <f>IMAGE("file:///E:/Estudios%20y%20certificaciones/ESTUDIOS%20DE%20PROGRAMMING/PROGRAMMING/PERSONAL/PYTHON/Image_Generator_API/imagenes/NAUTICA_MENS_208009177_BLK_2.jpg")</f>
        <v/>
      </c>
      <c r="N2990">
        <f>IMAGE("file:///E:/Estudios%20y%20certificaciones/ESTUDIOS%20DE%20PROGRAMMING/PROGRAMMING/PERSONAL/PYTHON/Image_Generator_API/imagenes/NAUTICA_MENS_208009177_BLK_3.jpg")</f>
        <v/>
      </c>
      <c r="O2990">
        <f>HYPERLINK("imagenes/NAUTICA_MENS_208009177_BLK_1.jpg","Ver imagen")</f>
        <v/>
      </c>
      <c r="P2990">
        <f>HYPERLINK("imagenes/NAUTICA_MENS_208009177_BLK_2.jpg","Ver imagen")</f>
        <v/>
      </c>
      <c r="Q2990">
        <f>HYPERLINK("imagenes/NAUTICA_MENS_208009177_BLK_3.jpg","Ver imagen")</f>
        <v/>
      </c>
    </row>
    <row r="2991">
      <c r="A2991" t="inlineStr">
        <is>
          <t>NAUTICA MENS</t>
        </is>
      </c>
      <c r="B2991" t="inlineStr">
        <is>
          <t>208009177</t>
        </is>
      </c>
      <c r="C2991" t="inlineStr">
        <is>
          <t>MID WEIGHT PUFFER w. BIB</t>
        </is>
      </c>
      <c r="D2991" t="inlineStr">
        <is>
          <t>BLK</t>
        </is>
      </c>
      <c r="E2991" t="inlineStr">
        <is>
          <t>(en blanco)</t>
        </is>
      </c>
      <c r="F2991" t="inlineStr">
        <is>
          <t>D2C</t>
        </is>
      </c>
      <c r="G2991" t="inlineStr">
        <is>
          <t>XXL</t>
        </is>
      </c>
      <c r="H2991" t="n">
        <v>20</v>
      </c>
      <c r="I2991" t="inlineStr">
        <is>
          <t>NAUTICA_MENS_208009177_BLK_1.jpg</t>
        </is>
      </c>
      <c r="J2991" t="inlineStr">
        <is>
          <t>NAUTICA_MENS_208009177_BLK_2.jpg</t>
        </is>
      </c>
      <c r="K2991" t="inlineStr">
        <is>
          <t>NAUTICA_MENS_208009177_BLK_3.jpg</t>
        </is>
      </c>
      <c r="L2991">
        <f>IMAGE("file:///E:/Estudios%20y%20certificaciones/ESTUDIOS%20DE%20PROGRAMMING/PROGRAMMING/PERSONAL/PYTHON/Image_Generator_API/imagenes/NAUTICA_MENS_208009177_BLK_1.jpg")</f>
        <v/>
      </c>
      <c r="M2991">
        <f>IMAGE("file:///E:/Estudios%20y%20certificaciones/ESTUDIOS%20DE%20PROGRAMMING/PROGRAMMING/PERSONAL/PYTHON/Image_Generator_API/imagenes/NAUTICA_MENS_208009177_BLK_2.jpg")</f>
        <v/>
      </c>
      <c r="N2991">
        <f>IMAGE("file:///E:/Estudios%20y%20certificaciones/ESTUDIOS%20DE%20PROGRAMMING/PROGRAMMING/PERSONAL/PYTHON/Image_Generator_API/imagenes/NAUTICA_MENS_208009177_BLK_3.jpg")</f>
        <v/>
      </c>
      <c r="O2991">
        <f>HYPERLINK("imagenes/NAUTICA_MENS_208009177_BLK_1.jpg","Ver imagen")</f>
        <v/>
      </c>
      <c r="P2991">
        <f>HYPERLINK("imagenes/NAUTICA_MENS_208009177_BLK_2.jpg","Ver imagen")</f>
        <v/>
      </c>
      <c r="Q2991">
        <f>HYPERLINK("imagenes/NAUTICA_MENS_208009177_BLK_3.jpg","Ver imagen")</f>
        <v/>
      </c>
    </row>
    <row r="2992">
      <c r="A2992" t="inlineStr">
        <is>
          <t>NAUTICA MENS</t>
        </is>
      </c>
      <c r="B2992" t="inlineStr">
        <is>
          <t>208009177</t>
        </is>
      </c>
      <c r="C2992" t="inlineStr">
        <is>
          <t>MID WEIGHT PUFFER w. BIB</t>
        </is>
      </c>
      <c r="D2992" t="inlineStr">
        <is>
          <t>BLK</t>
        </is>
      </c>
      <c r="E2992" t="inlineStr">
        <is>
          <t>(en blanco)</t>
        </is>
      </c>
      <c r="F2992" t="inlineStr">
        <is>
          <t>(en blanco)</t>
        </is>
      </c>
      <c r="G2992" t="inlineStr">
        <is>
          <t>S</t>
        </is>
      </c>
      <c r="H2992" t="n">
        <v>20</v>
      </c>
      <c r="I2992" t="inlineStr">
        <is>
          <t>NAUTICA_MENS_208009177_BLK_1.jpg</t>
        </is>
      </c>
      <c r="J2992" t="inlineStr">
        <is>
          <t>NAUTICA_MENS_208009177_BLK_2.jpg</t>
        </is>
      </c>
      <c r="K2992" t="inlineStr">
        <is>
          <t>NAUTICA_MENS_208009177_BLK_3.jpg</t>
        </is>
      </c>
      <c r="L2992">
        <f>IMAGE("file:///E:/Estudios%20y%20certificaciones/ESTUDIOS%20DE%20PROGRAMMING/PROGRAMMING/PERSONAL/PYTHON/Image_Generator_API/imagenes/NAUTICA_MENS_208009177_BLK_1.jpg")</f>
        <v/>
      </c>
      <c r="M2992">
        <f>IMAGE("file:///E:/Estudios%20y%20certificaciones/ESTUDIOS%20DE%20PROGRAMMING/PROGRAMMING/PERSONAL/PYTHON/Image_Generator_API/imagenes/NAUTICA_MENS_208009177_BLK_2.jpg")</f>
        <v/>
      </c>
      <c r="N2992">
        <f>IMAGE("file:///E:/Estudios%20y%20certificaciones/ESTUDIOS%20DE%20PROGRAMMING/PROGRAMMING/PERSONAL/PYTHON/Image_Generator_API/imagenes/NAUTICA_MENS_208009177_BLK_3.jpg")</f>
        <v/>
      </c>
      <c r="O2992">
        <f>HYPERLINK("imagenes/NAUTICA_MENS_208009177_BLK_1.jpg","Ver imagen")</f>
        <v/>
      </c>
      <c r="P2992">
        <f>HYPERLINK("imagenes/NAUTICA_MENS_208009177_BLK_2.jpg","Ver imagen")</f>
        <v/>
      </c>
      <c r="Q2992">
        <f>HYPERLINK("imagenes/NAUTICA_MENS_208009177_BLK_3.jpg","Ver imagen")</f>
        <v/>
      </c>
    </row>
    <row r="2993">
      <c r="A2993" t="inlineStr">
        <is>
          <t>NAUTICA MENS</t>
        </is>
      </c>
      <c r="B2993" t="inlineStr">
        <is>
          <t>208009177</t>
        </is>
      </c>
      <c r="C2993" t="inlineStr">
        <is>
          <t>MID WEIGHT PUFFER w. BIB</t>
        </is>
      </c>
      <c r="D2993" t="inlineStr">
        <is>
          <t>BLK</t>
        </is>
      </c>
      <c r="E2993" t="inlineStr">
        <is>
          <t>(en blanco)</t>
        </is>
      </c>
      <c r="F2993" t="inlineStr">
        <is>
          <t>(en blanco)</t>
        </is>
      </c>
      <c r="G2993" t="inlineStr">
        <is>
          <t>M</t>
        </is>
      </c>
      <c r="H2993" t="n">
        <v>145</v>
      </c>
      <c r="I2993" t="inlineStr">
        <is>
          <t>NAUTICA_MENS_208009177_BLK_1.jpg</t>
        </is>
      </c>
      <c r="J2993" t="inlineStr">
        <is>
          <t>NAUTICA_MENS_208009177_BLK_2.jpg</t>
        </is>
      </c>
      <c r="K2993" t="inlineStr">
        <is>
          <t>NAUTICA_MENS_208009177_BLK_3.jpg</t>
        </is>
      </c>
      <c r="L2993">
        <f>IMAGE("file:///E:/Estudios%20y%20certificaciones/ESTUDIOS%20DE%20PROGRAMMING/PROGRAMMING/PERSONAL/PYTHON/Image_Generator_API/imagenes/NAUTICA_MENS_208009177_BLK_1.jpg")</f>
        <v/>
      </c>
      <c r="M2993">
        <f>IMAGE("file:///E:/Estudios%20y%20certificaciones/ESTUDIOS%20DE%20PROGRAMMING/PROGRAMMING/PERSONAL/PYTHON/Image_Generator_API/imagenes/NAUTICA_MENS_208009177_BLK_2.jpg")</f>
        <v/>
      </c>
      <c r="N2993">
        <f>IMAGE("file:///E:/Estudios%20y%20certificaciones/ESTUDIOS%20DE%20PROGRAMMING/PROGRAMMING/PERSONAL/PYTHON/Image_Generator_API/imagenes/NAUTICA_MENS_208009177_BLK_3.jpg")</f>
        <v/>
      </c>
      <c r="O2993">
        <f>HYPERLINK("imagenes/NAUTICA_MENS_208009177_BLK_1.jpg","Ver imagen")</f>
        <v/>
      </c>
      <c r="P2993">
        <f>HYPERLINK("imagenes/NAUTICA_MENS_208009177_BLK_2.jpg","Ver imagen")</f>
        <v/>
      </c>
      <c r="Q2993">
        <f>HYPERLINK("imagenes/NAUTICA_MENS_208009177_BLK_3.jpg","Ver imagen")</f>
        <v/>
      </c>
    </row>
    <row r="2994">
      <c r="A2994" t="inlineStr">
        <is>
          <t>NAUTICA MENS</t>
        </is>
      </c>
      <c r="B2994" t="inlineStr">
        <is>
          <t>208009177</t>
        </is>
      </c>
      <c r="C2994" t="inlineStr">
        <is>
          <t>MID WEIGHT PUFFER w. BIB</t>
        </is>
      </c>
      <c r="D2994" t="inlineStr">
        <is>
          <t>BLK</t>
        </is>
      </c>
      <c r="E2994" t="inlineStr">
        <is>
          <t>(en blanco)</t>
        </is>
      </c>
      <c r="F2994" t="inlineStr">
        <is>
          <t>(en blanco)</t>
        </is>
      </c>
      <c r="G2994" t="inlineStr">
        <is>
          <t>L</t>
        </is>
      </c>
      <c r="H2994" t="n">
        <v>218</v>
      </c>
      <c r="I2994" t="inlineStr">
        <is>
          <t>NAUTICA_MENS_208009177_BLK_1.jpg</t>
        </is>
      </c>
      <c r="J2994" t="inlineStr">
        <is>
          <t>NAUTICA_MENS_208009177_BLK_2.jpg</t>
        </is>
      </c>
      <c r="K2994" t="inlineStr">
        <is>
          <t>NAUTICA_MENS_208009177_BLK_3.jpg</t>
        </is>
      </c>
      <c r="L2994">
        <f>IMAGE("file:///E:/Estudios%20y%20certificaciones/ESTUDIOS%20DE%20PROGRAMMING/PROGRAMMING/PERSONAL/PYTHON/Image_Generator_API/imagenes/NAUTICA_MENS_208009177_BLK_1.jpg")</f>
        <v/>
      </c>
      <c r="M2994">
        <f>IMAGE("file:///E:/Estudios%20y%20certificaciones/ESTUDIOS%20DE%20PROGRAMMING/PROGRAMMING/PERSONAL/PYTHON/Image_Generator_API/imagenes/NAUTICA_MENS_208009177_BLK_2.jpg")</f>
        <v/>
      </c>
      <c r="N2994">
        <f>IMAGE("file:///E:/Estudios%20y%20certificaciones/ESTUDIOS%20DE%20PROGRAMMING/PROGRAMMING/PERSONAL/PYTHON/Image_Generator_API/imagenes/NAUTICA_MENS_208009177_BLK_3.jpg")</f>
        <v/>
      </c>
      <c r="O2994">
        <f>HYPERLINK("imagenes/NAUTICA_MENS_208009177_BLK_1.jpg","Ver imagen")</f>
        <v/>
      </c>
      <c r="P2994">
        <f>HYPERLINK("imagenes/NAUTICA_MENS_208009177_BLK_2.jpg","Ver imagen")</f>
        <v/>
      </c>
      <c r="Q2994">
        <f>HYPERLINK("imagenes/NAUTICA_MENS_208009177_BLK_3.jpg","Ver imagen")</f>
        <v/>
      </c>
    </row>
    <row r="2995">
      <c r="A2995" t="inlineStr">
        <is>
          <t>NAUTICA MENS</t>
        </is>
      </c>
      <c r="B2995" t="inlineStr">
        <is>
          <t>208009177</t>
        </is>
      </c>
      <c r="C2995" t="inlineStr">
        <is>
          <t>MID WEIGHT PUFFER w. BIB</t>
        </is>
      </c>
      <c r="D2995" t="inlineStr">
        <is>
          <t>BLK</t>
        </is>
      </c>
      <c r="E2995" t="inlineStr">
        <is>
          <t>(en blanco)</t>
        </is>
      </c>
      <c r="F2995" t="inlineStr">
        <is>
          <t>(en blanco)</t>
        </is>
      </c>
      <c r="G2995" t="inlineStr">
        <is>
          <t>XL</t>
        </is>
      </c>
      <c r="H2995" t="n">
        <v>195</v>
      </c>
      <c r="I2995" t="inlineStr">
        <is>
          <t>NAUTICA_MENS_208009177_BLK_1.jpg</t>
        </is>
      </c>
      <c r="J2995" t="inlineStr">
        <is>
          <t>NAUTICA_MENS_208009177_BLK_2.jpg</t>
        </is>
      </c>
      <c r="K2995" t="inlineStr">
        <is>
          <t>NAUTICA_MENS_208009177_BLK_3.jpg</t>
        </is>
      </c>
      <c r="L2995">
        <f>IMAGE("file:///E:/Estudios%20y%20certificaciones/ESTUDIOS%20DE%20PROGRAMMING/PROGRAMMING/PERSONAL/PYTHON/Image_Generator_API/imagenes/NAUTICA_MENS_208009177_BLK_1.jpg")</f>
        <v/>
      </c>
      <c r="M2995">
        <f>IMAGE("file:///E:/Estudios%20y%20certificaciones/ESTUDIOS%20DE%20PROGRAMMING/PROGRAMMING/PERSONAL/PYTHON/Image_Generator_API/imagenes/NAUTICA_MENS_208009177_BLK_2.jpg")</f>
        <v/>
      </c>
      <c r="N2995">
        <f>IMAGE("file:///E:/Estudios%20y%20certificaciones/ESTUDIOS%20DE%20PROGRAMMING/PROGRAMMING/PERSONAL/PYTHON/Image_Generator_API/imagenes/NAUTICA_MENS_208009177_BLK_3.jpg")</f>
        <v/>
      </c>
      <c r="O2995">
        <f>HYPERLINK("imagenes/NAUTICA_MENS_208009177_BLK_1.jpg","Ver imagen")</f>
        <v/>
      </c>
      <c r="P2995">
        <f>HYPERLINK("imagenes/NAUTICA_MENS_208009177_BLK_2.jpg","Ver imagen")</f>
        <v/>
      </c>
      <c r="Q2995">
        <f>HYPERLINK("imagenes/NAUTICA_MENS_208009177_BLK_3.jpg","Ver imagen")</f>
        <v/>
      </c>
    </row>
    <row r="2996">
      <c r="A2996" t="inlineStr">
        <is>
          <t>NAUTICA MENS</t>
        </is>
      </c>
      <c r="B2996" t="inlineStr">
        <is>
          <t>208009177</t>
        </is>
      </c>
      <c r="C2996" t="inlineStr">
        <is>
          <t>MID WEIGHT PUFFER w. BIB</t>
        </is>
      </c>
      <c r="D2996" t="inlineStr">
        <is>
          <t>BLK</t>
        </is>
      </c>
      <c r="E2996" t="inlineStr">
        <is>
          <t>(en blanco)</t>
        </is>
      </c>
      <c r="F2996" t="inlineStr">
        <is>
          <t>(en blanco)</t>
        </is>
      </c>
      <c r="G2996" t="inlineStr">
        <is>
          <t>XXL</t>
        </is>
      </c>
      <c r="H2996" t="n">
        <v>186</v>
      </c>
      <c r="I2996" t="inlineStr">
        <is>
          <t>NAUTICA_MENS_208009177_BLK_1.jpg</t>
        </is>
      </c>
      <c r="J2996" t="inlineStr">
        <is>
          <t>NAUTICA_MENS_208009177_BLK_2.jpg</t>
        </is>
      </c>
      <c r="K2996" t="inlineStr">
        <is>
          <t>NAUTICA_MENS_208009177_BLK_3.jpg</t>
        </is>
      </c>
      <c r="L2996">
        <f>IMAGE("file:///E:/Estudios%20y%20certificaciones/ESTUDIOS%20DE%20PROGRAMMING/PROGRAMMING/PERSONAL/PYTHON/Image_Generator_API/imagenes/NAUTICA_MENS_208009177_BLK_1.jpg")</f>
        <v/>
      </c>
      <c r="M2996">
        <f>IMAGE("file:///E:/Estudios%20y%20certificaciones/ESTUDIOS%20DE%20PROGRAMMING/PROGRAMMING/PERSONAL/PYTHON/Image_Generator_API/imagenes/NAUTICA_MENS_208009177_BLK_2.jpg")</f>
        <v/>
      </c>
      <c r="N2996">
        <f>IMAGE("file:///E:/Estudios%20y%20certificaciones/ESTUDIOS%20DE%20PROGRAMMING/PROGRAMMING/PERSONAL/PYTHON/Image_Generator_API/imagenes/NAUTICA_MENS_208009177_BLK_3.jpg")</f>
        <v/>
      </c>
      <c r="O2996">
        <f>HYPERLINK("imagenes/NAUTICA_MENS_208009177_BLK_1.jpg","Ver imagen")</f>
        <v/>
      </c>
      <c r="P2996">
        <f>HYPERLINK("imagenes/NAUTICA_MENS_208009177_BLK_2.jpg","Ver imagen")</f>
        <v/>
      </c>
      <c r="Q2996">
        <f>HYPERLINK("imagenes/NAUTICA_MENS_208009177_BLK_3.jpg","Ver imagen")</f>
        <v/>
      </c>
    </row>
    <row r="2997">
      <c r="A2997" t="inlineStr">
        <is>
          <t>NAUTICA MENS</t>
        </is>
      </c>
      <c r="B2997" t="inlineStr">
        <is>
          <t>208009177</t>
        </is>
      </c>
      <c r="C2997" t="inlineStr">
        <is>
          <t>MID WEIGHT PUFFER w. BIB</t>
        </is>
      </c>
      <c r="D2997" t="inlineStr">
        <is>
          <t>NVY</t>
        </is>
      </c>
      <c r="E2997" t="inlineStr">
        <is>
          <t>(en blanco)</t>
        </is>
      </c>
      <c r="F2997" t="inlineStr">
        <is>
          <t>(en blanco)</t>
        </is>
      </c>
      <c r="G2997" t="inlineStr">
        <is>
          <t>S</t>
        </is>
      </c>
      <c r="H2997" t="n">
        <v>0</v>
      </c>
      <c r="I2997" t="inlineStr">
        <is>
          <t>NAUTICA_MENS_208009177_NVY_1.jpg</t>
        </is>
      </c>
      <c r="J2997" t="inlineStr">
        <is>
          <t>NAUTICA_MENS_208009177_NVY_2.jpg</t>
        </is>
      </c>
      <c r="K2997" t="inlineStr">
        <is>
          <t>NAUTICA_MENS_208009177_NVY_3.jpg</t>
        </is>
      </c>
      <c r="L2997">
        <f>IMAGE("file:///E:/Estudios%20y%20certificaciones/ESTUDIOS%20DE%20PROGRAMMING/PROGRAMMING/PERSONAL/PYTHON/Image_Generator_API/imagenes/NAUTICA_MENS_208009177_NVY_1.jpg")</f>
        <v/>
      </c>
      <c r="M2997">
        <f>IMAGE("file:///E:/Estudios%20y%20certificaciones/ESTUDIOS%20DE%20PROGRAMMING/PROGRAMMING/PERSONAL/PYTHON/Image_Generator_API/imagenes/NAUTICA_MENS_208009177_NVY_2.jpg")</f>
        <v/>
      </c>
      <c r="N2997">
        <f>IMAGE("file:///E:/Estudios%20y%20certificaciones/ESTUDIOS%20DE%20PROGRAMMING/PROGRAMMING/PERSONAL/PYTHON/Image_Generator_API/imagenes/NAUTICA_MENS_208009177_NVY_3.jpg")</f>
        <v/>
      </c>
      <c r="O2997">
        <f>HYPERLINK("imagenes/NAUTICA_MENS_208009177_NVY_1.jpg","Ver imagen")</f>
        <v/>
      </c>
      <c r="P2997">
        <f>HYPERLINK("imagenes/NAUTICA_MENS_208009177_NVY_2.jpg","Ver imagen")</f>
        <v/>
      </c>
      <c r="Q2997">
        <f>HYPERLINK("imagenes/NAUTICA_MENS_208009177_NVY_3.jpg","Ver imagen")</f>
        <v/>
      </c>
    </row>
    <row r="2998">
      <c r="A2998" t="inlineStr">
        <is>
          <t>NAUTICA MENS</t>
        </is>
      </c>
      <c r="B2998" t="inlineStr">
        <is>
          <t>208009177</t>
        </is>
      </c>
      <c r="C2998" t="inlineStr">
        <is>
          <t>MID WEIGHT PUFFER w. BIB</t>
        </is>
      </c>
      <c r="D2998" t="inlineStr">
        <is>
          <t>NVY</t>
        </is>
      </c>
      <c r="E2998" t="inlineStr">
        <is>
          <t>(en blanco)</t>
        </is>
      </c>
      <c r="F2998" t="inlineStr">
        <is>
          <t>(en blanco)</t>
        </is>
      </c>
      <c r="G2998" t="inlineStr">
        <is>
          <t>M</t>
        </is>
      </c>
      <c r="H2998" t="n">
        <v>0</v>
      </c>
      <c r="I2998" t="inlineStr">
        <is>
          <t>NAUTICA_MENS_208009177_NVY_1.jpg</t>
        </is>
      </c>
      <c r="J2998" t="inlineStr">
        <is>
          <t>NAUTICA_MENS_208009177_NVY_2.jpg</t>
        </is>
      </c>
      <c r="K2998" t="inlineStr">
        <is>
          <t>NAUTICA_MENS_208009177_NVY_3.jpg</t>
        </is>
      </c>
      <c r="L2998">
        <f>IMAGE("file:///E:/Estudios%20y%20certificaciones/ESTUDIOS%20DE%20PROGRAMMING/PROGRAMMING/PERSONAL/PYTHON/Image_Generator_API/imagenes/NAUTICA_MENS_208009177_NVY_1.jpg")</f>
        <v/>
      </c>
      <c r="M2998">
        <f>IMAGE("file:///E:/Estudios%20y%20certificaciones/ESTUDIOS%20DE%20PROGRAMMING/PROGRAMMING/PERSONAL/PYTHON/Image_Generator_API/imagenes/NAUTICA_MENS_208009177_NVY_2.jpg")</f>
        <v/>
      </c>
      <c r="N2998">
        <f>IMAGE("file:///E:/Estudios%20y%20certificaciones/ESTUDIOS%20DE%20PROGRAMMING/PROGRAMMING/PERSONAL/PYTHON/Image_Generator_API/imagenes/NAUTICA_MENS_208009177_NVY_3.jpg")</f>
        <v/>
      </c>
      <c r="O2998">
        <f>HYPERLINK("imagenes/NAUTICA_MENS_208009177_NVY_1.jpg","Ver imagen")</f>
        <v/>
      </c>
      <c r="P2998">
        <f>HYPERLINK("imagenes/NAUTICA_MENS_208009177_NVY_2.jpg","Ver imagen")</f>
        <v/>
      </c>
      <c r="Q2998">
        <f>HYPERLINK("imagenes/NAUTICA_MENS_208009177_NVY_3.jpg","Ver imagen")</f>
        <v/>
      </c>
    </row>
    <row r="2999">
      <c r="A2999" t="inlineStr">
        <is>
          <t>NAUTICA MENS</t>
        </is>
      </c>
      <c r="B2999" t="inlineStr">
        <is>
          <t>208009177</t>
        </is>
      </c>
      <c r="C2999" t="inlineStr">
        <is>
          <t>MID WEIGHT PUFFER w. BIB</t>
        </is>
      </c>
      <c r="D2999" t="inlineStr">
        <is>
          <t>NVY</t>
        </is>
      </c>
      <c r="E2999" t="inlineStr">
        <is>
          <t>(en blanco)</t>
        </is>
      </c>
      <c r="F2999" t="inlineStr">
        <is>
          <t>(en blanco)</t>
        </is>
      </c>
      <c r="G2999" t="inlineStr">
        <is>
          <t>L</t>
        </is>
      </c>
      <c r="H2999" t="n">
        <v>0</v>
      </c>
      <c r="I2999" t="inlineStr">
        <is>
          <t>NAUTICA_MENS_208009177_NVY_1.jpg</t>
        </is>
      </c>
      <c r="J2999" t="inlineStr">
        <is>
          <t>NAUTICA_MENS_208009177_NVY_2.jpg</t>
        </is>
      </c>
      <c r="K2999" t="inlineStr">
        <is>
          <t>NAUTICA_MENS_208009177_NVY_3.jpg</t>
        </is>
      </c>
      <c r="L2999">
        <f>IMAGE("file:///E:/Estudios%20y%20certificaciones/ESTUDIOS%20DE%20PROGRAMMING/PROGRAMMING/PERSONAL/PYTHON/Image_Generator_API/imagenes/NAUTICA_MENS_208009177_NVY_1.jpg")</f>
        <v/>
      </c>
      <c r="M2999">
        <f>IMAGE("file:///E:/Estudios%20y%20certificaciones/ESTUDIOS%20DE%20PROGRAMMING/PROGRAMMING/PERSONAL/PYTHON/Image_Generator_API/imagenes/NAUTICA_MENS_208009177_NVY_2.jpg")</f>
        <v/>
      </c>
      <c r="N2999">
        <f>IMAGE("file:///E:/Estudios%20y%20certificaciones/ESTUDIOS%20DE%20PROGRAMMING/PROGRAMMING/PERSONAL/PYTHON/Image_Generator_API/imagenes/NAUTICA_MENS_208009177_NVY_3.jpg")</f>
        <v/>
      </c>
      <c r="O2999">
        <f>HYPERLINK("imagenes/NAUTICA_MENS_208009177_NVY_1.jpg","Ver imagen")</f>
        <v/>
      </c>
      <c r="P2999">
        <f>HYPERLINK("imagenes/NAUTICA_MENS_208009177_NVY_2.jpg","Ver imagen")</f>
        <v/>
      </c>
      <c r="Q2999">
        <f>HYPERLINK("imagenes/NAUTICA_MENS_208009177_NVY_3.jpg","Ver imagen")</f>
        <v/>
      </c>
    </row>
    <row r="3000">
      <c r="A3000" t="inlineStr">
        <is>
          <t>NAUTICA MENS</t>
        </is>
      </c>
      <c r="B3000" t="inlineStr">
        <is>
          <t>208009177</t>
        </is>
      </c>
      <c r="C3000" t="inlineStr">
        <is>
          <t>MID WEIGHT PUFFER w. BIB</t>
        </is>
      </c>
      <c r="D3000" t="inlineStr">
        <is>
          <t>NVY</t>
        </is>
      </c>
      <c r="E3000" t="inlineStr">
        <is>
          <t>(en blanco)</t>
        </is>
      </c>
      <c r="F3000" t="inlineStr">
        <is>
          <t>(en blanco)</t>
        </is>
      </c>
      <c r="G3000" t="inlineStr">
        <is>
          <t>XL</t>
        </is>
      </c>
      <c r="H3000" t="n">
        <v>0</v>
      </c>
      <c r="I3000" t="inlineStr">
        <is>
          <t>NAUTICA_MENS_208009177_NVY_1.jpg</t>
        </is>
      </c>
      <c r="J3000" t="inlineStr">
        <is>
          <t>NAUTICA_MENS_208009177_NVY_2.jpg</t>
        </is>
      </c>
      <c r="K3000" t="inlineStr">
        <is>
          <t>NAUTICA_MENS_208009177_NVY_3.jpg</t>
        </is>
      </c>
      <c r="L3000">
        <f>IMAGE("file:///E:/Estudios%20y%20certificaciones/ESTUDIOS%20DE%20PROGRAMMING/PROGRAMMING/PERSONAL/PYTHON/Image_Generator_API/imagenes/NAUTICA_MENS_208009177_NVY_1.jpg")</f>
        <v/>
      </c>
      <c r="M3000">
        <f>IMAGE("file:///E:/Estudios%20y%20certificaciones/ESTUDIOS%20DE%20PROGRAMMING/PROGRAMMING/PERSONAL/PYTHON/Image_Generator_API/imagenes/NAUTICA_MENS_208009177_NVY_2.jpg")</f>
        <v/>
      </c>
      <c r="N3000">
        <f>IMAGE("file:///E:/Estudios%20y%20certificaciones/ESTUDIOS%20DE%20PROGRAMMING/PROGRAMMING/PERSONAL/PYTHON/Image_Generator_API/imagenes/NAUTICA_MENS_208009177_NVY_3.jpg")</f>
        <v/>
      </c>
      <c r="O3000">
        <f>HYPERLINK("imagenes/NAUTICA_MENS_208009177_NVY_1.jpg","Ver imagen")</f>
        <v/>
      </c>
      <c r="P3000">
        <f>HYPERLINK("imagenes/NAUTICA_MENS_208009177_NVY_2.jpg","Ver imagen")</f>
        <v/>
      </c>
      <c r="Q3000">
        <f>HYPERLINK("imagenes/NAUTICA_MENS_208009177_NVY_3.jpg","Ver imagen")</f>
        <v/>
      </c>
    </row>
    <row r="3001">
      <c r="A3001" t="inlineStr">
        <is>
          <t>NAUTICA MENS</t>
        </is>
      </c>
      <c r="B3001" t="inlineStr">
        <is>
          <t>208009177</t>
        </is>
      </c>
      <c r="C3001" t="inlineStr">
        <is>
          <t>MID WEIGHT PUFFER w. BIB</t>
        </is>
      </c>
      <c r="D3001" t="inlineStr">
        <is>
          <t>NVY</t>
        </is>
      </c>
      <c r="E3001" t="inlineStr">
        <is>
          <t>(en blanco)</t>
        </is>
      </c>
      <c r="F3001" t="inlineStr">
        <is>
          <t>(en blanco)</t>
        </is>
      </c>
      <c r="G3001" t="inlineStr">
        <is>
          <t>XXL</t>
        </is>
      </c>
      <c r="H3001" t="n">
        <v>0</v>
      </c>
      <c r="I3001" t="inlineStr">
        <is>
          <t>NAUTICA_MENS_208009177_NVY_1.jpg</t>
        </is>
      </c>
      <c r="J3001" t="inlineStr">
        <is>
          <t>NAUTICA_MENS_208009177_NVY_2.jpg</t>
        </is>
      </c>
      <c r="K3001" t="inlineStr">
        <is>
          <t>NAUTICA_MENS_208009177_NVY_3.jpg</t>
        </is>
      </c>
      <c r="L3001">
        <f>IMAGE("file:///E:/Estudios%20y%20certificaciones/ESTUDIOS%20DE%20PROGRAMMING/PROGRAMMING/PERSONAL/PYTHON/Image_Generator_API/imagenes/NAUTICA_MENS_208009177_NVY_1.jpg")</f>
        <v/>
      </c>
      <c r="M3001">
        <f>IMAGE("file:///E:/Estudios%20y%20certificaciones/ESTUDIOS%20DE%20PROGRAMMING/PROGRAMMING/PERSONAL/PYTHON/Image_Generator_API/imagenes/NAUTICA_MENS_208009177_NVY_2.jpg")</f>
        <v/>
      </c>
      <c r="N3001">
        <f>IMAGE("file:///E:/Estudios%20y%20certificaciones/ESTUDIOS%20DE%20PROGRAMMING/PROGRAMMING/PERSONAL/PYTHON/Image_Generator_API/imagenes/NAUTICA_MENS_208009177_NVY_3.jpg")</f>
        <v/>
      </c>
      <c r="O3001">
        <f>HYPERLINK("imagenes/NAUTICA_MENS_208009177_NVY_1.jpg","Ver imagen")</f>
        <v/>
      </c>
      <c r="P3001">
        <f>HYPERLINK("imagenes/NAUTICA_MENS_208009177_NVY_2.jpg","Ver imagen")</f>
        <v/>
      </c>
      <c r="Q3001">
        <f>HYPERLINK("imagenes/NAUTICA_MENS_208009177_NVY_3.jpg","Ver imagen")</f>
        <v/>
      </c>
    </row>
    <row r="3002">
      <c r="A3002" t="inlineStr">
        <is>
          <t>NAUTICA MENS</t>
        </is>
      </c>
      <c r="B3002" t="inlineStr">
        <is>
          <t>208009177</t>
        </is>
      </c>
      <c r="C3002" t="inlineStr">
        <is>
          <t>MID WEIGHT PUFFER w. BIB</t>
        </is>
      </c>
      <c r="D3002" t="inlineStr">
        <is>
          <t>OLB</t>
        </is>
      </c>
      <c r="E3002" t="inlineStr">
        <is>
          <t>(en blanco)</t>
        </is>
      </c>
      <c r="F3002" t="inlineStr">
        <is>
          <t>D2C</t>
        </is>
      </c>
      <c r="G3002" t="inlineStr">
        <is>
          <t>M</t>
        </is>
      </c>
      <c r="H3002" t="n">
        <v>15</v>
      </c>
      <c r="I3002" t="inlineStr">
        <is>
          <t>NAUTICA_MENS_208009177_OLB_1.jpg</t>
        </is>
      </c>
      <c r="J3002" t="inlineStr">
        <is>
          <t>NAUTICA_MENS_208009177_OLB_2.jpg</t>
        </is>
      </c>
      <c r="K3002" t="inlineStr">
        <is>
          <t>NAUTICA_MENS_208009177_OLB_3.jpg</t>
        </is>
      </c>
      <c r="L3002">
        <f>IMAGE("file:///E:/Estudios%20y%20certificaciones/ESTUDIOS%20DE%20PROGRAMMING/PROGRAMMING/PERSONAL/PYTHON/Image_Generator_API/imagenes/NAUTICA_MENS_208009177_OLB_1.jpg")</f>
        <v/>
      </c>
      <c r="M3002">
        <f>IMAGE("file:///E:/Estudios%20y%20certificaciones/ESTUDIOS%20DE%20PROGRAMMING/PROGRAMMING/PERSONAL/PYTHON/Image_Generator_API/imagenes/NAUTICA_MENS_208009177_OLB_2.jpg")</f>
        <v/>
      </c>
      <c r="N3002">
        <f>IMAGE("file:///E:/Estudios%20y%20certificaciones/ESTUDIOS%20DE%20PROGRAMMING/PROGRAMMING/PERSONAL/PYTHON/Image_Generator_API/imagenes/NAUTICA_MENS_208009177_OLB_3.jpg")</f>
        <v/>
      </c>
      <c r="O3002">
        <f>HYPERLINK("imagenes/NAUTICA_MENS_208009177_OLB_1.jpg","Ver imagen")</f>
        <v/>
      </c>
      <c r="P3002">
        <f>HYPERLINK("imagenes/NAUTICA_MENS_208009177_OLB_2.jpg","Ver imagen")</f>
        <v/>
      </c>
      <c r="Q3002">
        <f>HYPERLINK("imagenes/NAUTICA_MENS_208009177_OLB_3.jpg","Ver imagen")</f>
        <v/>
      </c>
    </row>
    <row r="3003">
      <c r="A3003" t="inlineStr">
        <is>
          <t>NAUTICA MENS</t>
        </is>
      </c>
      <c r="B3003" t="inlineStr">
        <is>
          <t>208009177</t>
        </is>
      </c>
      <c r="C3003" t="inlineStr">
        <is>
          <t>MID WEIGHT PUFFER w. BIB</t>
        </is>
      </c>
      <c r="D3003" t="inlineStr">
        <is>
          <t>OLB</t>
        </is>
      </c>
      <c r="E3003" t="inlineStr">
        <is>
          <t>(en blanco)</t>
        </is>
      </c>
      <c r="F3003" t="inlineStr">
        <is>
          <t>D2C</t>
        </is>
      </c>
      <c r="G3003" t="inlineStr">
        <is>
          <t>L</t>
        </is>
      </c>
      <c r="H3003" t="n">
        <v>14</v>
      </c>
      <c r="I3003" t="inlineStr">
        <is>
          <t>NAUTICA_MENS_208009177_OLB_1.jpg</t>
        </is>
      </c>
      <c r="J3003" t="inlineStr">
        <is>
          <t>NAUTICA_MENS_208009177_OLB_2.jpg</t>
        </is>
      </c>
      <c r="K3003" t="inlineStr">
        <is>
          <t>NAUTICA_MENS_208009177_OLB_3.jpg</t>
        </is>
      </c>
      <c r="L3003">
        <f>IMAGE("file:///E:/Estudios%20y%20certificaciones/ESTUDIOS%20DE%20PROGRAMMING/PROGRAMMING/PERSONAL/PYTHON/Image_Generator_API/imagenes/NAUTICA_MENS_208009177_OLB_1.jpg")</f>
        <v/>
      </c>
      <c r="M3003">
        <f>IMAGE("file:///E:/Estudios%20y%20certificaciones/ESTUDIOS%20DE%20PROGRAMMING/PROGRAMMING/PERSONAL/PYTHON/Image_Generator_API/imagenes/NAUTICA_MENS_208009177_OLB_2.jpg")</f>
        <v/>
      </c>
      <c r="N3003">
        <f>IMAGE("file:///E:/Estudios%20y%20certificaciones/ESTUDIOS%20DE%20PROGRAMMING/PROGRAMMING/PERSONAL/PYTHON/Image_Generator_API/imagenes/NAUTICA_MENS_208009177_OLB_3.jpg")</f>
        <v/>
      </c>
      <c r="O3003">
        <f>HYPERLINK("imagenes/NAUTICA_MENS_208009177_OLB_1.jpg","Ver imagen")</f>
        <v/>
      </c>
      <c r="P3003">
        <f>HYPERLINK("imagenes/NAUTICA_MENS_208009177_OLB_2.jpg","Ver imagen")</f>
        <v/>
      </c>
      <c r="Q3003">
        <f>HYPERLINK("imagenes/NAUTICA_MENS_208009177_OLB_3.jpg","Ver imagen")</f>
        <v/>
      </c>
    </row>
    <row r="3004">
      <c r="A3004" t="inlineStr">
        <is>
          <t>NAUTICA MENS</t>
        </is>
      </c>
      <c r="B3004" t="inlineStr">
        <is>
          <t>208009177</t>
        </is>
      </c>
      <c r="C3004" t="inlineStr">
        <is>
          <t>MID WEIGHT PUFFER w. BIB</t>
        </is>
      </c>
      <c r="D3004" t="inlineStr">
        <is>
          <t>OLB</t>
        </is>
      </c>
      <c r="E3004" t="inlineStr">
        <is>
          <t>(en blanco)</t>
        </is>
      </c>
      <c r="F3004" t="inlineStr">
        <is>
          <t>D2C</t>
        </is>
      </c>
      <c r="G3004" t="inlineStr">
        <is>
          <t>XL</t>
        </is>
      </c>
      <c r="H3004" t="n">
        <v>15</v>
      </c>
      <c r="I3004" t="inlineStr">
        <is>
          <t>NAUTICA_MENS_208009177_OLB_1.jpg</t>
        </is>
      </c>
      <c r="J3004" t="inlineStr">
        <is>
          <t>NAUTICA_MENS_208009177_OLB_2.jpg</t>
        </is>
      </c>
      <c r="K3004" t="inlineStr">
        <is>
          <t>NAUTICA_MENS_208009177_OLB_3.jpg</t>
        </is>
      </c>
      <c r="L3004">
        <f>IMAGE("file:///E:/Estudios%20y%20certificaciones/ESTUDIOS%20DE%20PROGRAMMING/PROGRAMMING/PERSONAL/PYTHON/Image_Generator_API/imagenes/NAUTICA_MENS_208009177_OLB_1.jpg")</f>
        <v/>
      </c>
      <c r="M3004">
        <f>IMAGE("file:///E:/Estudios%20y%20certificaciones/ESTUDIOS%20DE%20PROGRAMMING/PROGRAMMING/PERSONAL/PYTHON/Image_Generator_API/imagenes/NAUTICA_MENS_208009177_OLB_2.jpg")</f>
        <v/>
      </c>
      <c r="N3004">
        <f>IMAGE("file:///E:/Estudios%20y%20certificaciones/ESTUDIOS%20DE%20PROGRAMMING/PROGRAMMING/PERSONAL/PYTHON/Image_Generator_API/imagenes/NAUTICA_MENS_208009177_OLB_3.jpg")</f>
        <v/>
      </c>
      <c r="O3004">
        <f>HYPERLINK("imagenes/NAUTICA_MENS_208009177_OLB_1.jpg","Ver imagen")</f>
        <v/>
      </c>
      <c r="P3004">
        <f>HYPERLINK("imagenes/NAUTICA_MENS_208009177_OLB_2.jpg","Ver imagen")</f>
        <v/>
      </c>
      <c r="Q3004">
        <f>HYPERLINK("imagenes/NAUTICA_MENS_208009177_OLB_3.jpg","Ver imagen")</f>
        <v/>
      </c>
    </row>
    <row r="3005">
      <c r="A3005" t="inlineStr">
        <is>
          <t>NAUTICA MENS</t>
        </is>
      </c>
      <c r="B3005" t="inlineStr">
        <is>
          <t>208009177</t>
        </is>
      </c>
      <c r="C3005" t="inlineStr">
        <is>
          <t>MID WEIGHT PUFFER w. BIB</t>
        </is>
      </c>
      <c r="D3005" t="inlineStr">
        <is>
          <t>OLB</t>
        </is>
      </c>
      <c r="E3005" t="inlineStr">
        <is>
          <t>(en blanco)</t>
        </is>
      </c>
      <c r="F3005" t="inlineStr">
        <is>
          <t>D2C</t>
        </is>
      </c>
      <c r="G3005" t="inlineStr">
        <is>
          <t>XXL</t>
        </is>
      </c>
      <c r="H3005" t="n">
        <v>7</v>
      </c>
      <c r="I3005" t="inlineStr">
        <is>
          <t>NAUTICA_MENS_208009177_OLB_1.jpg</t>
        </is>
      </c>
      <c r="J3005" t="inlineStr">
        <is>
          <t>NAUTICA_MENS_208009177_OLB_2.jpg</t>
        </is>
      </c>
      <c r="K3005" t="inlineStr">
        <is>
          <t>NAUTICA_MENS_208009177_OLB_3.jpg</t>
        </is>
      </c>
      <c r="L3005">
        <f>IMAGE("file:///E:/Estudios%20y%20certificaciones/ESTUDIOS%20DE%20PROGRAMMING/PROGRAMMING/PERSONAL/PYTHON/Image_Generator_API/imagenes/NAUTICA_MENS_208009177_OLB_1.jpg")</f>
        <v/>
      </c>
      <c r="M3005">
        <f>IMAGE("file:///E:/Estudios%20y%20certificaciones/ESTUDIOS%20DE%20PROGRAMMING/PROGRAMMING/PERSONAL/PYTHON/Image_Generator_API/imagenes/NAUTICA_MENS_208009177_OLB_2.jpg")</f>
        <v/>
      </c>
      <c r="N3005">
        <f>IMAGE("file:///E:/Estudios%20y%20certificaciones/ESTUDIOS%20DE%20PROGRAMMING/PROGRAMMING/PERSONAL/PYTHON/Image_Generator_API/imagenes/NAUTICA_MENS_208009177_OLB_3.jpg")</f>
        <v/>
      </c>
      <c r="O3005">
        <f>HYPERLINK("imagenes/NAUTICA_MENS_208009177_OLB_1.jpg","Ver imagen")</f>
        <v/>
      </c>
      <c r="P3005">
        <f>HYPERLINK("imagenes/NAUTICA_MENS_208009177_OLB_2.jpg","Ver imagen")</f>
        <v/>
      </c>
      <c r="Q3005">
        <f>HYPERLINK("imagenes/NAUTICA_MENS_208009177_OLB_3.jpg","Ver imagen")</f>
        <v/>
      </c>
    </row>
    <row r="3006">
      <c r="A3006" t="inlineStr">
        <is>
          <t>NAUTICA MENS</t>
        </is>
      </c>
      <c r="B3006" t="inlineStr">
        <is>
          <t>208009177</t>
        </is>
      </c>
      <c r="C3006" t="inlineStr">
        <is>
          <t>MID WEIGHT PUFFER w. BIB</t>
        </is>
      </c>
      <c r="D3006" t="inlineStr">
        <is>
          <t>OLB</t>
        </is>
      </c>
      <c r="E3006" t="inlineStr">
        <is>
          <t>(en blanco)</t>
        </is>
      </c>
      <c r="F3006" t="inlineStr">
        <is>
          <t>(en blanco)</t>
        </is>
      </c>
      <c r="G3006" t="inlineStr">
        <is>
          <t>S</t>
        </is>
      </c>
      <c r="H3006" t="n">
        <v>4</v>
      </c>
      <c r="I3006" t="inlineStr">
        <is>
          <t>NAUTICA_MENS_208009177_OLB_1.jpg</t>
        </is>
      </c>
      <c r="J3006" t="inlineStr">
        <is>
          <t>NAUTICA_MENS_208009177_OLB_2.jpg</t>
        </is>
      </c>
      <c r="K3006" t="inlineStr">
        <is>
          <t>NAUTICA_MENS_208009177_OLB_3.jpg</t>
        </is>
      </c>
      <c r="L3006">
        <f>IMAGE("file:///E:/Estudios%20y%20certificaciones/ESTUDIOS%20DE%20PROGRAMMING/PROGRAMMING/PERSONAL/PYTHON/Image_Generator_API/imagenes/NAUTICA_MENS_208009177_OLB_1.jpg")</f>
        <v/>
      </c>
      <c r="M3006">
        <f>IMAGE("file:///E:/Estudios%20y%20certificaciones/ESTUDIOS%20DE%20PROGRAMMING/PROGRAMMING/PERSONAL/PYTHON/Image_Generator_API/imagenes/NAUTICA_MENS_208009177_OLB_2.jpg")</f>
        <v/>
      </c>
      <c r="N3006">
        <f>IMAGE("file:///E:/Estudios%20y%20certificaciones/ESTUDIOS%20DE%20PROGRAMMING/PROGRAMMING/PERSONAL/PYTHON/Image_Generator_API/imagenes/NAUTICA_MENS_208009177_OLB_3.jpg")</f>
        <v/>
      </c>
      <c r="O3006">
        <f>HYPERLINK("imagenes/NAUTICA_MENS_208009177_OLB_1.jpg","Ver imagen")</f>
        <v/>
      </c>
      <c r="P3006">
        <f>HYPERLINK("imagenes/NAUTICA_MENS_208009177_OLB_2.jpg","Ver imagen")</f>
        <v/>
      </c>
      <c r="Q3006">
        <f>HYPERLINK("imagenes/NAUTICA_MENS_208009177_OLB_3.jpg","Ver imagen")</f>
        <v/>
      </c>
    </row>
    <row r="3007">
      <c r="A3007" t="inlineStr">
        <is>
          <t>NAUTICA MENS</t>
        </is>
      </c>
      <c r="B3007" t="inlineStr">
        <is>
          <t>208009177</t>
        </is>
      </c>
      <c r="C3007" t="inlineStr">
        <is>
          <t>MID WEIGHT PUFFER w. BIB</t>
        </is>
      </c>
      <c r="D3007" t="inlineStr">
        <is>
          <t>OLB</t>
        </is>
      </c>
      <c r="E3007" t="inlineStr">
        <is>
          <t>(en blanco)</t>
        </is>
      </c>
      <c r="F3007" t="inlineStr">
        <is>
          <t>(en blanco)</t>
        </is>
      </c>
      <c r="G3007" t="inlineStr">
        <is>
          <t>M</t>
        </is>
      </c>
      <c r="H3007" t="n">
        <v>6</v>
      </c>
      <c r="I3007" t="inlineStr">
        <is>
          <t>NAUTICA_MENS_208009177_OLB_1.jpg</t>
        </is>
      </c>
      <c r="J3007" t="inlineStr">
        <is>
          <t>NAUTICA_MENS_208009177_OLB_2.jpg</t>
        </is>
      </c>
      <c r="K3007" t="inlineStr">
        <is>
          <t>NAUTICA_MENS_208009177_OLB_3.jpg</t>
        </is>
      </c>
      <c r="L3007">
        <f>IMAGE("file:///E:/Estudios%20y%20certificaciones/ESTUDIOS%20DE%20PROGRAMMING/PROGRAMMING/PERSONAL/PYTHON/Image_Generator_API/imagenes/NAUTICA_MENS_208009177_OLB_1.jpg")</f>
        <v/>
      </c>
      <c r="M3007">
        <f>IMAGE("file:///E:/Estudios%20y%20certificaciones/ESTUDIOS%20DE%20PROGRAMMING/PROGRAMMING/PERSONAL/PYTHON/Image_Generator_API/imagenes/NAUTICA_MENS_208009177_OLB_2.jpg")</f>
        <v/>
      </c>
      <c r="N3007">
        <f>IMAGE("file:///E:/Estudios%20y%20certificaciones/ESTUDIOS%20DE%20PROGRAMMING/PROGRAMMING/PERSONAL/PYTHON/Image_Generator_API/imagenes/NAUTICA_MENS_208009177_OLB_3.jpg")</f>
        <v/>
      </c>
      <c r="O3007">
        <f>HYPERLINK("imagenes/NAUTICA_MENS_208009177_OLB_1.jpg","Ver imagen")</f>
        <v/>
      </c>
      <c r="P3007">
        <f>HYPERLINK("imagenes/NAUTICA_MENS_208009177_OLB_2.jpg","Ver imagen")</f>
        <v/>
      </c>
      <c r="Q3007">
        <f>HYPERLINK("imagenes/NAUTICA_MENS_208009177_OLB_3.jpg","Ver imagen")</f>
        <v/>
      </c>
    </row>
    <row r="3008">
      <c r="A3008" t="inlineStr">
        <is>
          <t>NAUTICA MENS</t>
        </is>
      </c>
      <c r="B3008" t="inlineStr">
        <is>
          <t>208009177</t>
        </is>
      </c>
      <c r="C3008" t="inlineStr">
        <is>
          <t>MID WEIGHT PUFFER w. BIB</t>
        </is>
      </c>
      <c r="D3008" t="inlineStr">
        <is>
          <t>OLB</t>
        </is>
      </c>
      <c r="E3008" t="inlineStr">
        <is>
          <t>(en blanco)</t>
        </is>
      </c>
      <c r="F3008" t="inlineStr">
        <is>
          <t>(en blanco)</t>
        </is>
      </c>
      <c r="G3008" t="inlineStr">
        <is>
          <t>L</t>
        </is>
      </c>
      <c r="H3008" t="n">
        <v>9</v>
      </c>
      <c r="I3008" t="inlineStr">
        <is>
          <t>NAUTICA_MENS_208009177_OLB_1.jpg</t>
        </is>
      </c>
      <c r="J3008" t="inlineStr">
        <is>
          <t>NAUTICA_MENS_208009177_OLB_2.jpg</t>
        </is>
      </c>
      <c r="K3008" t="inlineStr">
        <is>
          <t>NAUTICA_MENS_208009177_OLB_3.jpg</t>
        </is>
      </c>
      <c r="L3008">
        <f>IMAGE("file:///E:/Estudios%20y%20certificaciones/ESTUDIOS%20DE%20PROGRAMMING/PROGRAMMING/PERSONAL/PYTHON/Image_Generator_API/imagenes/NAUTICA_MENS_208009177_OLB_1.jpg")</f>
        <v/>
      </c>
      <c r="M3008">
        <f>IMAGE("file:///E:/Estudios%20y%20certificaciones/ESTUDIOS%20DE%20PROGRAMMING/PROGRAMMING/PERSONAL/PYTHON/Image_Generator_API/imagenes/NAUTICA_MENS_208009177_OLB_2.jpg")</f>
        <v/>
      </c>
      <c r="N3008">
        <f>IMAGE("file:///E:/Estudios%20y%20certificaciones/ESTUDIOS%20DE%20PROGRAMMING/PROGRAMMING/PERSONAL/PYTHON/Image_Generator_API/imagenes/NAUTICA_MENS_208009177_OLB_3.jpg")</f>
        <v/>
      </c>
      <c r="O3008">
        <f>HYPERLINK("imagenes/NAUTICA_MENS_208009177_OLB_1.jpg","Ver imagen")</f>
        <v/>
      </c>
      <c r="P3008">
        <f>HYPERLINK("imagenes/NAUTICA_MENS_208009177_OLB_2.jpg","Ver imagen")</f>
        <v/>
      </c>
      <c r="Q3008">
        <f>HYPERLINK("imagenes/NAUTICA_MENS_208009177_OLB_3.jpg","Ver imagen")</f>
        <v/>
      </c>
    </row>
    <row r="3009">
      <c r="A3009" t="inlineStr">
        <is>
          <t>NAUTICA MENS</t>
        </is>
      </c>
      <c r="B3009" t="inlineStr">
        <is>
          <t>208009177</t>
        </is>
      </c>
      <c r="C3009" t="inlineStr">
        <is>
          <t>MID WEIGHT PUFFER w. BIB</t>
        </is>
      </c>
      <c r="D3009" t="inlineStr">
        <is>
          <t>OLB</t>
        </is>
      </c>
      <c r="E3009" t="inlineStr">
        <is>
          <t>(en blanco)</t>
        </is>
      </c>
      <c r="F3009" t="inlineStr">
        <is>
          <t>(en blanco)</t>
        </is>
      </c>
      <c r="G3009" t="inlineStr">
        <is>
          <t>XL</t>
        </is>
      </c>
      <c r="H3009" t="n">
        <v>6</v>
      </c>
      <c r="I3009" t="inlineStr">
        <is>
          <t>NAUTICA_MENS_208009177_OLB_1.jpg</t>
        </is>
      </c>
      <c r="J3009" t="inlineStr">
        <is>
          <t>NAUTICA_MENS_208009177_OLB_2.jpg</t>
        </is>
      </c>
      <c r="K3009" t="inlineStr">
        <is>
          <t>NAUTICA_MENS_208009177_OLB_3.jpg</t>
        </is>
      </c>
      <c r="L3009">
        <f>IMAGE("file:///E:/Estudios%20y%20certificaciones/ESTUDIOS%20DE%20PROGRAMMING/PROGRAMMING/PERSONAL/PYTHON/Image_Generator_API/imagenes/NAUTICA_MENS_208009177_OLB_1.jpg")</f>
        <v/>
      </c>
      <c r="M3009">
        <f>IMAGE("file:///E:/Estudios%20y%20certificaciones/ESTUDIOS%20DE%20PROGRAMMING/PROGRAMMING/PERSONAL/PYTHON/Image_Generator_API/imagenes/NAUTICA_MENS_208009177_OLB_2.jpg")</f>
        <v/>
      </c>
      <c r="N3009">
        <f>IMAGE("file:///E:/Estudios%20y%20certificaciones/ESTUDIOS%20DE%20PROGRAMMING/PROGRAMMING/PERSONAL/PYTHON/Image_Generator_API/imagenes/NAUTICA_MENS_208009177_OLB_3.jpg")</f>
        <v/>
      </c>
      <c r="O3009">
        <f>HYPERLINK("imagenes/NAUTICA_MENS_208009177_OLB_1.jpg","Ver imagen")</f>
        <v/>
      </c>
      <c r="P3009">
        <f>HYPERLINK("imagenes/NAUTICA_MENS_208009177_OLB_2.jpg","Ver imagen")</f>
        <v/>
      </c>
      <c r="Q3009">
        <f>HYPERLINK("imagenes/NAUTICA_MENS_208009177_OLB_3.jpg","Ver imagen")</f>
        <v/>
      </c>
    </row>
    <row r="3010">
      <c r="A3010" t="inlineStr">
        <is>
          <t>NAUTICA MENS</t>
        </is>
      </c>
      <c r="B3010" t="inlineStr">
        <is>
          <t>208009177</t>
        </is>
      </c>
      <c r="C3010" t="inlineStr">
        <is>
          <t>MID WEIGHT PUFFER w. BIB</t>
        </is>
      </c>
      <c r="D3010" t="inlineStr">
        <is>
          <t>OLB</t>
        </is>
      </c>
      <c r="E3010" t="inlineStr">
        <is>
          <t>(en blanco)</t>
        </is>
      </c>
      <c r="F3010" t="inlineStr">
        <is>
          <t>(en blanco)</t>
        </is>
      </c>
      <c r="G3010" t="inlineStr">
        <is>
          <t>XXL</t>
        </is>
      </c>
      <c r="H3010" t="n">
        <v>5</v>
      </c>
      <c r="I3010" t="inlineStr">
        <is>
          <t>NAUTICA_MENS_208009177_OLB_1.jpg</t>
        </is>
      </c>
      <c r="J3010" t="inlineStr">
        <is>
          <t>NAUTICA_MENS_208009177_OLB_2.jpg</t>
        </is>
      </c>
      <c r="K3010" t="inlineStr">
        <is>
          <t>NAUTICA_MENS_208009177_OLB_3.jpg</t>
        </is>
      </c>
      <c r="L3010">
        <f>IMAGE("file:///E:/Estudios%20y%20certificaciones/ESTUDIOS%20DE%20PROGRAMMING/PROGRAMMING/PERSONAL/PYTHON/Image_Generator_API/imagenes/NAUTICA_MENS_208009177_OLB_1.jpg")</f>
        <v/>
      </c>
      <c r="M3010">
        <f>IMAGE("file:///E:/Estudios%20y%20certificaciones/ESTUDIOS%20DE%20PROGRAMMING/PROGRAMMING/PERSONAL/PYTHON/Image_Generator_API/imagenes/NAUTICA_MENS_208009177_OLB_2.jpg")</f>
        <v/>
      </c>
      <c r="N3010">
        <f>IMAGE("file:///E:/Estudios%20y%20certificaciones/ESTUDIOS%20DE%20PROGRAMMING/PROGRAMMING/PERSONAL/PYTHON/Image_Generator_API/imagenes/NAUTICA_MENS_208009177_OLB_3.jpg")</f>
        <v/>
      </c>
      <c r="O3010">
        <f>HYPERLINK("imagenes/NAUTICA_MENS_208009177_OLB_1.jpg","Ver imagen")</f>
        <v/>
      </c>
      <c r="P3010">
        <f>HYPERLINK("imagenes/NAUTICA_MENS_208009177_OLB_2.jpg","Ver imagen")</f>
        <v/>
      </c>
      <c r="Q3010">
        <f>HYPERLINK("imagenes/NAUTICA_MENS_208009177_OLB_3.jpg","Ver imagen")</f>
        <v/>
      </c>
    </row>
    <row r="3011">
      <c r="A3011" t="inlineStr">
        <is>
          <t>NAUTICA MENS</t>
        </is>
      </c>
      <c r="B3011" t="inlineStr">
        <is>
          <t>208009288</t>
        </is>
      </c>
      <c r="C3011" t="inlineStr">
        <is>
          <t>MID WEIGHT HOODED PUFFER</t>
        </is>
      </c>
      <c r="D3011" t="inlineStr">
        <is>
          <t>BLK</t>
        </is>
      </c>
      <c r="E3011" t="inlineStr">
        <is>
          <t>12A08</t>
        </is>
      </c>
      <c r="F3011" t="inlineStr">
        <is>
          <t>(en blanco)</t>
        </is>
      </c>
      <c r="G3011" t="inlineStr">
        <is>
          <t>PPK</t>
        </is>
      </c>
      <c r="H3011" t="n">
        <v>0</v>
      </c>
      <c r="I3011" t="inlineStr">
        <is>
          <t>NAUTICA_MENS_208009288_BLK_1.jpg</t>
        </is>
      </c>
      <c r="J3011" t="inlineStr">
        <is>
          <t>NAUTICA_MENS_208009288_BLK_2.jpg</t>
        </is>
      </c>
      <c r="K3011" t="inlineStr">
        <is>
          <t>NAUTICA_MENS_208009288_BLK_3.jpg</t>
        </is>
      </c>
      <c r="L3011">
        <f>IMAGE("file:///E:/Estudios%20y%20certificaciones/ESTUDIOS%20DE%20PROGRAMMING/PROGRAMMING/PERSONAL/PYTHON/Image_Generator_API/imagenes/NAUTICA_MENS_208009288_BLK_1.jpg")</f>
        <v/>
      </c>
      <c r="M3011">
        <f>IMAGE("file:///E:/Estudios%20y%20certificaciones/ESTUDIOS%20DE%20PROGRAMMING/PROGRAMMING/PERSONAL/PYTHON/Image_Generator_API/imagenes/NAUTICA_MENS_208009288_BLK_2.jpg")</f>
        <v/>
      </c>
      <c r="N3011">
        <f>IMAGE("file:///E:/Estudios%20y%20certificaciones/ESTUDIOS%20DE%20PROGRAMMING/PROGRAMMING/PERSONAL/PYTHON/Image_Generator_API/imagenes/NAUTICA_MENS_208009288_BLK_3.jpg")</f>
        <v/>
      </c>
      <c r="O3011">
        <f>HYPERLINK("imagenes/NAUTICA_MENS_208009288_BLK_1.jpg","Ver imagen")</f>
        <v/>
      </c>
      <c r="P3011">
        <f>HYPERLINK("imagenes/NAUTICA_MENS_208009288_BLK_2.jpg","Ver imagen")</f>
        <v/>
      </c>
      <c r="Q3011">
        <f>HYPERLINK("imagenes/NAUTICA_MENS_208009288_BLK_3.jpg","Ver imagen")</f>
        <v/>
      </c>
    </row>
    <row r="3012">
      <c r="A3012" t="inlineStr">
        <is>
          <t>NAUTICA MENS</t>
        </is>
      </c>
      <c r="B3012" t="inlineStr">
        <is>
          <t>208009288</t>
        </is>
      </c>
      <c r="C3012" t="inlineStr">
        <is>
          <t>MID WEIGHT HOODED PUFFER</t>
        </is>
      </c>
      <c r="D3012" t="inlineStr">
        <is>
          <t>BLK</t>
        </is>
      </c>
      <c r="E3012" t="inlineStr">
        <is>
          <t>(en blanco)</t>
        </is>
      </c>
      <c r="F3012" t="inlineStr">
        <is>
          <t>(en blanco)</t>
        </is>
      </c>
      <c r="G3012" t="inlineStr">
        <is>
          <t>S</t>
        </is>
      </c>
      <c r="H3012" t="n">
        <v>0</v>
      </c>
      <c r="I3012" t="inlineStr">
        <is>
          <t>NAUTICA_MENS_208009288_BLK_1.jpg</t>
        </is>
      </c>
      <c r="J3012" t="inlineStr">
        <is>
          <t>NAUTICA_MENS_208009288_BLK_2.jpg</t>
        </is>
      </c>
      <c r="K3012" t="inlineStr">
        <is>
          <t>NAUTICA_MENS_208009288_BLK_3.jpg</t>
        </is>
      </c>
      <c r="L3012">
        <f>IMAGE("file:///E:/Estudios%20y%20certificaciones/ESTUDIOS%20DE%20PROGRAMMING/PROGRAMMING/PERSONAL/PYTHON/Image_Generator_API/imagenes/NAUTICA_MENS_208009288_BLK_1.jpg")</f>
        <v/>
      </c>
      <c r="M3012">
        <f>IMAGE("file:///E:/Estudios%20y%20certificaciones/ESTUDIOS%20DE%20PROGRAMMING/PROGRAMMING/PERSONAL/PYTHON/Image_Generator_API/imagenes/NAUTICA_MENS_208009288_BLK_2.jpg")</f>
        <v/>
      </c>
      <c r="N3012">
        <f>IMAGE("file:///E:/Estudios%20y%20certificaciones/ESTUDIOS%20DE%20PROGRAMMING/PROGRAMMING/PERSONAL/PYTHON/Image_Generator_API/imagenes/NAUTICA_MENS_208009288_BLK_3.jpg")</f>
        <v/>
      </c>
      <c r="O3012">
        <f>HYPERLINK("imagenes/NAUTICA_MENS_208009288_BLK_1.jpg","Ver imagen")</f>
        <v/>
      </c>
      <c r="P3012">
        <f>HYPERLINK("imagenes/NAUTICA_MENS_208009288_BLK_2.jpg","Ver imagen")</f>
        <v/>
      </c>
      <c r="Q3012">
        <f>HYPERLINK("imagenes/NAUTICA_MENS_208009288_BLK_3.jpg","Ver imagen")</f>
        <v/>
      </c>
    </row>
    <row r="3013">
      <c r="A3013" t="inlineStr">
        <is>
          <t>NAUTICA MENS</t>
        </is>
      </c>
      <c r="B3013" t="inlineStr">
        <is>
          <t>208009288</t>
        </is>
      </c>
      <c r="C3013" t="inlineStr">
        <is>
          <t>MID WEIGHT HOODED PUFFER</t>
        </is>
      </c>
      <c r="D3013" t="inlineStr">
        <is>
          <t>BLK</t>
        </is>
      </c>
      <c r="E3013" t="inlineStr">
        <is>
          <t>(en blanco)</t>
        </is>
      </c>
      <c r="F3013" t="inlineStr">
        <is>
          <t>(en blanco)</t>
        </is>
      </c>
      <c r="G3013" t="inlineStr">
        <is>
          <t>M</t>
        </is>
      </c>
      <c r="H3013" t="n">
        <v>0</v>
      </c>
      <c r="I3013" t="inlineStr">
        <is>
          <t>NAUTICA_MENS_208009288_BLK_1.jpg</t>
        </is>
      </c>
      <c r="J3013" t="inlineStr">
        <is>
          <t>NAUTICA_MENS_208009288_BLK_2.jpg</t>
        </is>
      </c>
      <c r="K3013" t="inlineStr">
        <is>
          <t>NAUTICA_MENS_208009288_BLK_3.jpg</t>
        </is>
      </c>
      <c r="L3013">
        <f>IMAGE("file:///E:/Estudios%20y%20certificaciones/ESTUDIOS%20DE%20PROGRAMMING/PROGRAMMING/PERSONAL/PYTHON/Image_Generator_API/imagenes/NAUTICA_MENS_208009288_BLK_1.jpg")</f>
        <v/>
      </c>
      <c r="M3013">
        <f>IMAGE("file:///E:/Estudios%20y%20certificaciones/ESTUDIOS%20DE%20PROGRAMMING/PROGRAMMING/PERSONAL/PYTHON/Image_Generator_API/imagenes/NAUTICA_MENS_208009288_BLK_2.jpg")</f>
        <v/>
      </c>
      <c r="N3013">
        <f>IMAGE("file:///E:/Estudios%20y%20certificaciones/ESTUDIOS%20DE%20PROGRAMMING/PROGRAMMING/PERSONAL/PYTHON/Image_Generator_API/imagenes/NAUTICA_MENS_208009288_BLK_3.jpg")</f>
        <v/>
      </c>
      <c r="O3013">
        <f>HYPERLINK("imagenes/NAUTICA_MENS_208009288_BLK_1.jpg","Ver imagen")</f>
        <v/>
      </c>
      <c r="P3013">
        <f>HYPERLINK("imagenes/NAUTICA_MENS_208009288_BLK_2.jpg","Ver imagen")</f>
        <v/>
      </c>
      <c r="Q3013">
        <f>HYPERLINK("imagenes/NAUTICA_MENS_208009288_BLK_3.jpg","Ver imagen")</f>
        <v/>
      </c>
    </row>
    <row r="3014">
      <c r="A3014" t="inlineStr">
        <is>
          <t>NAUTICA MENS</t>
        </is>
      </c>
      <c r="B3014" t="inlineStr">
        <is>
          <t>208009288</t>
        </is>
      </c>
      <c r="C3014" t="inlineStr">
        <is>
          <t>MID WEIGHT HOODED PUFFER</t>
        </is>
      </c>
      <c r="D3014" t="inlineStr">
        <is>
          <t>BLK</t>
        </is>
      </c>
      <c r="E3014" t="inlineStr">
        <is>
          <t>(en blanco)</t>
        </is>
      </c>
      <c r="F3014" t="inlineStr">
        <is>
          <t>(en blanco)</t>
        </is>
      </c>
      <c r="G3014" t="inlineStr">
        <is>
          <t>L</t>
        </is>
      </c>
      <c r="H3014" t="n">
        <v>0</v>
      </c>
      <c r="I3014" t="inlineStr">
        <is>
          <t>NAUTICA_MENS_208009288_BLK_1.jpg</t>
        </is>
      </c>
      <c r="J3014" t="inlineStr">
        <is>
          <t>NAUTICA_MENS_208009288_BLK_2.jpg</t>
        </is>
      </c>
      <c r="K3014" t="inlineStr">
        <is>
          <t>NAUTICA_MENS_208009288_BLK_3.jpg</t>
        </is>
      </c>
      <c r="L3014">
        <f>IMAGE("file:///E:/Estudios%20y%20certificaciones/ESTUDIOS%20DE%20PROGRAMMING/PROGRAMMING/PERSONAL/PYTHON/Image_Generator_API/imagenes/NAUTICA_MENS_208009288_BLK_1.jpg")</f>
        <v/>
      </c>
      <c r="M3014">
        <f>IMAGE("file:///E:/Estudios%20y%20certificaciones/ESTUDIOS%20DE%20PROGRAMMING/PROGRAMMING/PERSONAL/PYTHON/Image_Generator_API/imagenes/NAUTICA_MENS_208009288_BLK_2.jpg")</f>
        <v/>
      </c>
      <c r="N3014">
        <f>IMAGE("file:///E:/Estudios%20y%20certificaciones/ESTUDIOS%20DE%20PROGRAMMING/PROGRAMMING/PERSONAL/PYTHON/Image_Generator_API/imagenes/NAUTICA_MENS_208009288_BLK_3.jpg")</f>
        <v/>
      </c>
      <c r="O3014">
        <f>HYPERLINK("imagenes/NAUTICA_MENS_208009288_BLK_1.jpg","Ver imagen")</f>
        <v/>
      </c>
      <c r="P3014">
        <f>HYPERLINK("imagenes/NAUTICA_MENS_208009288_BLK_2.jpg","Ver imagen")</f>
        <v/>
      </c>
      <c r="Q3014">
        <f>HYPERLINK("imagenes/NAUTICA_MENS_208009288_BLK_3.jpg","Ver imagen")</f>
        <v/>
      </c>
    </row>
    <row r="3015">
      <c r="A3015" t="inlineStr">
        <is>
          <t>NAUTICA MENS</t>
        </is>
      </c>
      <c r="B3015" t="inlineStr">
        <is>
          <t>208009288</t>
        </is>
      </c>
      <c r="C3015" t="inlineStr">
        <is>
          <t>MID WEIGHT HOODED PUFFER</t>
        </is>
      </c>
      <c r="D3015" t="inlineStr">
        <is>
          <t>BLK</t>
        </is>
      </c>
      <c r="E3015" t="inlineStr">
        <is>
          <t>(en blanco)</t>
        </is>
      </c>
      <c r="F3015" t="inlineStr">
        <is>
          <t>(en blanco)</t>
        </is>
      </c>
      <c r="G3015" t="inlineStr">
        <is>
          <t>XL</t>
        </is>
      </c>
      <c r="H3015" t="n">
        <v>0</v>
      </c>
      <c r="I3015" t="inlineStr">
        <is>
          <t>NAUTICA_MENS_208009288_BLK_1.jpg</t>
        </is>
      </c>
      <c r="J3015" t="inlineStr">
        <is>
          <t>NAUTICA_MENS_208009288_BLK_2.jpg</t>
        </is>
      </c>
      <c r="K3015" t="inlineStr">
        <is>
          <t>NAUTICA_MENS_208009288_BLK_3.jpg</t>
        </is>
      </c>
      <c r="L3015">
        <f>IMAGE("file:///E:/Estudios%20y%20certificaciones/ESTUDIOS%20DE%20PROGRAMMING/PROGRAMMING/PERSONAL/PYTHON/Image_Generator_API/imagenes/NAUTICA_MENS_208009288_BLK_1.jpg")</f>
        <v/>
      </c>
      <c r="M3015">
        <f>IMAGE("file:///E:/Estudios%20y%20certificaciones/ESTUDIOS%20DE%20PROGRAMMING/PROGRAMMING/PERSONAL/PYTHON/Image_Generator_API/imagenes/NAUTICA_MENS_208009288_BLK_2.jpg")</f>
        <v/>
      </c>
      <c r="N3015">
        <f>IMAGE("file:///E:/Estudios%20y%20certificaciones/ESTUDIOS%20DE%20PROGRAMMING/PROGRAMMING/PERSONAL/PYTHON/Image_Generator_API/imagenes/NAUTICA_MENS_208009288_BLK_3.jpg")</f>
        <v/>
      </c>
      <c r="O3015">
        <f>HYPERLINK("imagenes/NAUTICA_MENS_208009288_BLK_1.jpg","Ver imagen")</f>
        <v/>
      </c>
      <c r="P3015">
        <f>HYPERLINK("imagenes/NAUTICA_MENS_208009288_BLK_2.jpg","Ver imagen")</f>
        <v/>
      </c>
      <c r="Q3015">
        <f>HYPERLINK("imagenes/NAUTICA_MENS_208009288_BLK_3.jpg","Ver imagen")</f>
        <v/>
      </c>
    </row>
    <row r="3016">
      <c r="A3016" t="inlineStr">
        <is>
          <t>NAUTICA MENS</t>
        </is>
      </c>
      <c r="B3016" t="inlineStr">
        <is>
          <t>208009288</t>
        </is>
      </c>
      <c r="C3016" t="inlineStr">
        <is>
          <t>MID WEIGHT HOODED PUFFER</t>
        </is>
      </c>
      <c r="D3016" t="inlineStr">
        <is>
          <t>BLK</t>
        </is>
      </c>
      <c r="E3016" t="inlineStr">
        <is>
          <t>(en blanco)</t>
        </is>
      </c>
      <c r="F3016" t="inlineStr">
        <is>
          <t>(en blanco)</t>
        </is>
      </c>
      <c r="G3016" t="inlineStr">
        <is>
          <t>XXL</t>
        </is>
      </c>
      <c r="H3016" t="n">
        <v>0</v>
      </c>
      <c r="I3016" t="inlineStr">
        <is>
          <t>NAUTICA_MENS_208009288_BLK_1.jpg</t>
        </is>
      </c>
      <c r="J3016" t="inlineStr">
        <is>
          <t>NAUTICA_MENS_208009288_BLK_2.jpg</t>
        </is>
      </c>
      <c r="K3016" t="inlineStr">
        <is>
          <t>NAUTICA_MENS_208009288_BLK_3.jpg</t>
        </is>
      </c>
      <c r="L3016">
        <f>IMAGE("file:///E:/Estudios%20y%20certificaciones/ESTUDIOS%20DE%20PROGRAMMING/PROGRAMMING/PERSONAL/PYTHON/Image_Generator_API/imagenes/NAUTICA_MENS_208009288_BLK_1.jpg")</f>
        <v/>
      </c>
      <c r="M3016">
        <f>IMAGE("file:///E:/Estudios%20y%20certificaciones/ESTUDIOS%20DE%20PROGRAMMING/PROGRAMMING/PERSONAL/PYTHON/Image_Generator_API/imagenes/NAUTICA_MENS_208009288_BLK_2.jpg")</f>
        <v/>
      </c>
      <c r="N3016">
        <f>IMAGE("file:///E:/Estudios%20y%20certificaciones/ESTUDIOS%20DE%20PROGRAMMING/PROGRAMMING/PERSONAL/PYTHON/Image_Generator_API/imagenes/NAUTICA_MENS_208009288_BLK_3.jpg")</f>
        <v/>
      </c>
      <c r="O3016">
        <f>HYPERLINK("imagenes/NAUTICA_MENS_208009288_BLK_1.jpg","Ver imagen")</f>
        <v/>
      </c>
      <c r="P3016">
        <f>HYPERLINK("imagenes/NAUTICA_MENS_208009288_BLK_2.jpg","Ver imagen")</f>
        <v/>
      </c>
      <c r="Q3016">
        <f>HYPERLINK("imagenes/NAUTICA_MENS_208009288_BLK_3.jpg","Ver imagen")</f>
        <v/>
      </c>
    </row>
    <row r="3017">
      <c r="A3017" t="inlineStr">
        <is>
          <t>NAUTICA MENS</t>
        </is>
      </c>
      <c r="B3017" t="inlineStr">
        <is>
          <t>208009288</t>
        </is>
      </c>
      <c r="C3017" t="inlineStr">
        <is>
          <t>MID WEIGHT HOODED PUFFER</t>
        </is>
      </c>
      <c r="D3017" t="inlineStr">
        <is>
          <t>ERM</t>
        </is>
      </c>
      <c r="E3017" t="inlineStr">
        <is>
          <t>(en blanco)</t>
        </is>
      </c>
      <c r="F3017" t="inlineStr">
        <is>
          <t>(en blanco)</t>
        </is>
      </c>
      <c r="G3017" t="inlineStr">
        <is>
          <t>S</t>
        </is>
      </c>
      <c r="H3017" t="n">
        <v>0</v>
      </c>
      <c r="I3017" t="inlineStr">
        <is>
          <t>NAUTICA_MENS_208009288_ERM_1.jpg</t>
        </is>
      </c>
      <c r="J3017" t="inlineStr">
        <is>
          <t>NAUTICA_MENS_208009288_ERM_2.jpg</t>
        </is>
      </c>
      <c r="K3017" t="inlineStr">
        <is>
          <t>NAUTICA_MENS_208009288_ERM_3.jpg</t>
        </is>
      </c>
      <c r="L3017">
        <f>IMAGE("file:///E:/Estudios%20y%20certificaciones/ESTUDIOS%20DE%20PROGRAMMING/PROGRAMMING/PERSONAL/PYTHON/Image_Generator_API/imagenes/NAUTICA_MENS_208009288_ERM_1.jpg")</f>
        <v/>
      </c>
      <c r="M3017">
        <f>IMAGE("file:///E:/Estudios%20y%20certificaciones/ESTUDIOS%20DE%20PROGRAMMING/PROGRAMMING/PERSONAL/PYTHON/Image_Generator_API/imagenes/NAUTICA_MENS_208009288_ERM_2.jpg")</f>
        <v/>
      </c>
      <c r="N3017">
        <f>IMAGE("file:///E:/Estudios%20y%20certificaciones/ESTUDIOS%20DE%20PROGRAMMING/PROGRAMMING/PERSONAL/PYTHON/Image_Generator_API/imagenes/NAUTICA_MENS_208009288_ERM_3.jpg")</f>
        <v/>
      </c>
      <c r="O3017">
        <f>HYPERLINK("imagenes/NAUTICA_MENS_208009288_ERM_1.jpg","Ver imagen")</f>
        <v/>
      </c>
      <c r="P3017">
        <f>HYPERLINK("imagenes/NAUTICA_MENS_208009288_ERM_2.jpg","Ver imagen")</f>
        <v/>
      </c>
      <c r="Q3017">
        <f>HYPERLINK("imagenes/NAUTICA_MENS_208009288_ERM_3.jpg","Ver imagen")</f>
        <v/>
      </c>
    </row>
    <row r="3018">
      <c r="A3018" t="inlineStr">
        <is>
          <t>NAUTICA MENS</t>
        </is>
      </c>
      <c r="B3018" t="inlineStr">
        <is>
          <t>208009288</t>
        </is>
      </c>
      <c r="C3018" t="inlineStr">
        <is>
          <t>MID WEIGHT HOODED PUFFER</t>
        </is>
      </c>
      <c r="D3018" t="inlineStr">
        <is>
          <t>ERM</t>
        </is>
      </c>
      <c r="E3018" t="inlineStr">
        <is>
          <t>(en blanco)</t>
        </is>
      </c>
      <c r="F3018" t="inlineStr">
        <is>
          <t>(en blanco)</t>
        </is>
      </c>
      <c r="G3018" t="inlineStr">
        <is>
          <t>M</t>
        </is>
      </c>
      <c r="H3018" t="n">
        <v>0</v>
      </c>
      <c r="I3018" t="inlineStr">
        <is>
          <t>NAUTICA_MENS_208009288_ERM_1.jpg</t>
        </is>
      </c>
      <c r="J3018" t="inlineStr">
        <is>
          <t>NAUTICA_MENS_208009288_ERM_2.jpg</t>
        </is>
      </c>
      <c r="K3018" t="inlineStr">
        <is>
          <t>NAUTICA_MENS_208009288_ERM_3.jpg</t>
        </is>
      </c>
      <c r="L3018">
        <f>IMAGE("file:///E:/Estudios%20y%20certificaciones/ESTUDIOS%20DE%20PROGRAMMING/PROGRAMMING/PERSONAL/PYTHON/Image_Generator_API/imagenes/NAUTICA_MENS_208009288_ERM_1.jpg")</f>
        <v/>
      </c>
      <c r="M3018">
        <f>IMAGE("file:///E:/Estudios%20y%20certificaciones/ESTUDIOS%20DE%20PROGRAMMING/PROGRAMMING/PERSONAL/PYTHON/Image_Generator_API/imagenes/NAUTICA_MENS_208009288_ERM_2.jpg")</f>
        <v/>
      </c>
      <c r="N3018">
        <f>IMAGE("file:///E:/Estudios%20y%20certificaciones/ESTUDIOS%20DE%20PROGRAMMING/PROGRAMMING/PERSONAL/PYTHON/Image_Generator_API/imagenes/NAUTICA_MENS_208009288_ERM_3.jpg")</f>
        <v/>
      </c>
      <c r="O3018">
        <f>HYPERLINK("imagenes/NAUTICA_MENS_208009288_ERM_1.jpg","Ver imagen")</f>
        <v/>
      </c>
      <c r="P3018">
        <f>HYPERLINK("imagenes/NAUTICA_MENS_208009288_ERM_2.jpg","Ver imagen")</f>
        <v/>
      </c>
      <c r="Q3018">
        <f>HYPERLINK("imagenes/NAUTICA_MENS_208009288_ERM_3.jpg","Ver imagen")</f>
        <v/>
      </c>
    </row>
    <row r="3019">
      <c r="A3019" t="inlineStr">
        <is>
          <t>NAUTICA MENS</t>
        </is>
      </c>
      <c r="B3019" t="inlineStr">
        <is>
          <t>208009288</t>
        </is>
      </c>
      <c r="C3019" t="inlineStr">
        <is>
          <t>MID WEIGHT HOODED PUFFER</t>
        </is>
      </c>
      <c r="D3019" t="inlineStr">
        <is>
          <t>ERM</t>
        </is>
      </c>
      <c r="E3019" t="inlineStr">
        <is>
          <t>(en blanco)</t>
        </is>
      </c>
      <c r="F3019" t="inlineStr">
        <is>
          <t>(en blanco)</t>
        </is>
      </c>
      <c r="G3019" t="inlineStr">
        <is>
          <t>L</t>
        </is>
      </c>
      <c r="H3019" t="n">
        <v>0</v>
      </c>
      <c r="I3019" t="inlineStr">
        <is>
          <t>NAUTICA_MENS_208009288_ERM_1.jpg</t>
        </is>
      </c>
      <c r="J3019" t="inlineStr">
        <is>
          <t>NAUTICA_MENS_208009288_ERM_2.jpg</t>
        </is>
      </c>
      <c r="K3019" t="inlineStr">
        <is>
          <t>NAUTICA_MENS_208009288_ERM_3.jpg</t>
        </is>
      </c>
      <c r="L3019">
        <f>IMAGE("file:///E:/Estudios%20y%20certificaciones/ESTUDIOS%20DE%20PROGRAMMING/PROGRAMMING/PERSONAL/PYTHON/Image_Generator_API/imagenes/NAUTICA_MENS_208009288_ERM_1.jpg")</f>
        <v/>
      </c>
      <c r="M3019">
        <f>IMAGE("file:///E:/Estudios%20y%20certificaciones/ESTUDIOS%20DE%20PROGRAMMING/PROGRAMMING/PERSONAL/PYTHON/Image_Generator_API/imagenes/NAUTICA_MENS_208009288_ERM_2.jpg")</f>
        <v/>
      </c>
      <c r="N3019">
        <f>IMAGE("file:///E:/Estudios%20y%20certificaciones/ESTUDIOS%20DE%20PROGRAMMING/PROGRAMMING/PERSONAL/PYTHON/Image_Generator_API/imagenes/NAUTICA_MENS_208009288_ERM_3.jpg")</f>
        <v/>
      </c>
      <c r="O3019">
        <f>HYPERLINK("imagenes/NAUTICA_MENS_208009288_ERM_1.jpg","Ver imagen")</f>
        <v/>
      </c>
      <c r="P3019">
        <f>HYPERLINK("imagenes/NAUTICA_MENS_208009288_ERM_2.jpg","Ver imagen")</f>
        <v/>
      </c>
      <c r="Q3019">
        <f>HYPERLINK("imagenes/NAUTICA_MENS_208009288_ERM_3.jpg","Ver imagen")</f>
        <v/>
      </c>
    </row>
    <row r="3020">
      <c r="A3020" t="inlineStr">
        <is>
          <t>NAUTICA MENS</t>
        </is>
      </c>
      <c r="B3020" t="inlineStr">
        <is>
          <t>208009288</t>
        </is>
      </c>
      <c r="C3020" t="inlineStr">
        <is>
          <t>MID WEIGHT HOODED PUFFER</t>
        </is>
      </c>
      <c r="D3020" t="inlineStr">
        <is>
          <t>ERM</t>
        </is>
      </c>
      <c r="E3020" t="inlineStr">
        <is>
          <t>(en blanco)</t>
        </is>
      </c>
      <c r="F3020" t="inlineStr">
        <is>
          <t>(en blanco)</t>
        </is>
      </c>
      <c r="G3020" t="inlineStr">
        <is>
          <t>XL</t>
        </is>
      </c>
      <c r="H3020" t="n">
        <v>0</v>
      </c>
      <c r="I3020" t="inlineStr">
        <is>
          <t>NAUTICA_MENS_208009288_ERM_1.jpg</t>
        </is>
      </c>
      <c r="J3020" t="inlineStr">
        <is>
          <t>NAUTICA_MENS_208009288_ERM_2.jpg</t>
        </is>
      </c>
      <c r="K3020" t="inlineStr">
        <is>
          <t>NAUTICA_MENS_208009288_ERM_3.jpg</t>
        </is>
      </c>
      <c r="L3020">
        <f>IMAGE("file:///E:/Estudios%20y%20certificaciones/ESTUDIOS%20DE%20PROGRAMMING/PROGRAMMING/PERSONAL/PYTHON/Image_Generator_API/imagenes/NAUTICA_MENS_208009288_ERM_1.jpg")</f>
        <v/>
      </c>
      <c r="M3020">
        <f>IMAGE("file:///E:/Estudios%20y%20certificaciones/ESTUDIOS%20DE%20PROGRAMMING/PROGRAMMING/PERSONAL/PYTHON/Image_Generator_API/imagenes/NAUTICA_MENS_208009288_ERM_2.jpg")</f>
        <v/>
      </c>
      <c r="N3020">
        <f>IMAGE("file:///E:/Estudios%20y%20certificaciones/ESTUDIOS%20DE%20PROGRAMMING/PROGRAMMING/PERSONAL/PYTHON/Image_Generator_API/imagenes/NAUTICA_MENS_208009288_ERM_3.jpg")</f>
        <v/>
      </c>
      <c r="O3020">
        <f>HYPERLINK("imagenes/NAUTICA_MENS_208009288_ERM_1.jpg","Ver imagen")</f>
        <v/>
      </c>
      <c r="P3020">
        <f>HYPERLINK("imagenes/NAUTICA_MENS_208009288_ERM_2.jpg","Ver imagen")</f>
        <v/>
      </c>
      <c r="Q3020">
        <f>HYPERLINK("imagenes/NAUTICA_MENS_208009288_ERM_3.jpg","Ver imagen")</f>
        <v/>
      </c>
    </row>
    <row r="3021">
      <c r="A3021" t="inlineStr">
        <is>
          <t>NAUTICA MENS</t>
        </is>
      </c>
      <c r="B3021" t="inlineStr">
        <is>
          <t>208009288</t>
        </is>
      </c>
      <c r="C3021" t="inlineStr">
        <is>
          <t>MID WEIGHT HOODED PUFFER</t>
        </is>
      </c>
      <c r="D3021" t="inlineStr">
        <is>
          <t>ERM</t>
        </is>
      </c>
      <c r="E3021" t="inlineStr">
        <is>
          <t>(en blanco)</t>
        </is>
      </c>
      <c r="F3021" t="inlineStr">
        <is>
          <t>(en blanco)</t>
        </is>
      </c>
      <c r="G3021" t="inlineStr">
        <is>
          <t>XXL</t>
        </is>
      </c>
      <c r="H3021" t="n">
        <v>0</v>
      </c>
      <c r="I3021" t="inlineStr">
        <is>
          <t>NAUTICA_MENS_208009288_ERM_1.jpg</t>
        </is>
      </c>
      <c r="J3021" t="inlineStr">
        <is>
          <t>NAUTICA_MENS_208009288_ERM_2.jpg</t>
        </is>
      </c>
      <c r="K3021" t="inlineStr">
        <is>
          <t>NAUTICA_MENS_208009288_ERM_3.jpg</t>
        </is>
      </c>
      <c r="L3021">
        <f>IMAGE("file:///E:/Estudios%20y%20certificaciones/ESTUDIOS%20DE%20PROGRAMMING/PROGRAMMING/PERSONAL/PYTHON/Image_Generator_API/imagenes/NAUTICA_MENS_208009288_ERM_1.jpg")</f>
        <v/>
      </c>
      <c r="M3021">
        <f>IMAGE("file:///E:/Estudios%20y%20certificaciones/ESTUDIOS%20DE%20PROGRAMMING/PROGRAMMING/PERSONAL/PYTHON/Image_Generator_API/imagenes/NAUTICA_MENS_208009288_ERM_2.jpg")</f>
        <v/>
      </c>
      <c r="N3021">
        <f>IMAGE("file:///E:/Estudios%20y%20certificaciones/ESTUDIOS%20DE%20PROGRAMMING/PROGRAMMING/PERSONAL/PYTHON/Image_Generator_API/imagenes/NAUTICA_MENS_208009288_ERM_3.jpg")</f>
        <v/>
      </c>
      <c r="O3021">
        <f>HYPERLINK("imagenes/NAUTICA_MENS_208009288_ERM_1.jpg","Ver imagen")</f>
        <v/>
      </c>
      <c r="P3021">
        <f>HYPERLINK("imagenes/NAUTICA_MENS_208009288_ERM_2.jpg","Ver imagen")</f>
        <v/>
      </c>
      <c r="Q3021">
        <f>HYPERLINK("imagenes/NAUTICA_MENS_208009288_ERM_3.jpg","Ver imagen")</f>
        <v/>
      </c>
    </row>
    <row r="3022">
      <c r="A3022" t="inlineStr">
        <is>
          <t>NAUTICA MENS</t>
        </is>
      </c>
      <c r="B3022" t="inlineStr">
        <is>
          <t>208009288</t>
        </is>
      </c>
      <c r="C3022" t="inlineStr">
        <is>
          <t>MID WEIGHT HOODED PUFFER</t>
        </is>
      </c>
      <c r="D3022" t="inlineStr">
        <is>
          <t>NVY</t>
        </is>
      </c>
      <c r="E3022" t="inlineStr">
        <is>
          <t>12A08</t>
        </is>
      </c>
      <c r="F3022" t="inlineStr">
        <is>
          <t>(en blanco)</t>
        </is>
      </c>
      <c r="G3022" t="inlineStr">
        <is>
          <t>PPK</t>
        </is>
      </c>
      <c r="H3022" t="n">
        <v>0</v>
      </c>
      <c r="I3022" t="inlineStr">
        <is>
          <t>NAUTICA_MENS_208009288_NVY_1.jpg</t>
        </is>
      </c>
      <c r="J3022" t="inlineStr">
        <is>
          <t>NAUTICA_MENS_208009288_NVY_2.jpg</t>
        </is>
      </c>
      <c r="K3022" t="inlineStr">
        <is>
          <t>NAUTICA_MENS_208009288_NVY_3.jpg</t>
        </is>
      </c>
      <c r="L3022">
        <f>IMAGE("file:///E:/Estudios%20y%20certificaciones/ESTUDIOS%20DE%20PROGRAMMING/PROGRAMMING/PERSONAL/PYTHON/Image_Generator_API/imagenes/NAUTICA_MENS_208009288_NVY_1.jpg")</f>
        <v/>
      </c>
      <c r="M3022">
        <f>IMAGE("file:///E:/Estudios%20y%20certificaciones/ESTUDIOS%20DE%20PROGRAMMING/PROGRAMMING/PERSONAL/PYTHON/Image_Generator_API/imagenes/NAUTICA_MENS_208009288_NVY_2.jpg")</f>
        <v/>
      </c>
      <c r="N3022">
        <f>IMAGE("file:///E:/Estudios%20y%20certificaciones/ESTUDIOS%20DE%20PROGRAMMING/PROGRAMMING/PERSONAL/PYTHON/Image_Generator_API/imagenes/NAUTICA_MENS_208009288_NVY_3.jpg")</f>
        <v/>
      </c>
      <c r="O3022">
        <f>HYPERLINK("imagenes/NAUTICA_MENS_208009288_NVY_1.jpg","Ver imagen")</f>
        <v/>
      </c>
      <c r="P3022">
        <f>HYPERLINK("imagenes/NAUTICA_MENS_208009288_NVY_2.jpg","Ver imagen")</f>
        <v/>
      </c>
      <c r="Q3022">
        <f>HYPERLINK("imagenes/NAUTICA_MENS_208009288_NVY_3.jpg","Ver imagen")</f>
        <v/>
      </c>
    </row>
    <row r="3023">
      <c r="A3023" t="inlineStr">
        <is>
          <t>NAUTICA MENS</t>
        </is>
      </c>
      <c r="B3023" t="inlineStr">
        <is>
          <t>208009288</t>
        </is>
      </c>
      <c r="C3023" t="inlineStr">
        <is>
          <t>MID WEIGHT HOODED PUFFER</t>
        </is>
      </c>
      <c r="D3023" t="inlineStr">
        <is>
          <t>NVY</t>
        </is>
      </c>
      <c r="E3023" t="inlineStr">
        <is>
          <t>(en blanco)</t>
        </is>
      </c>
      <c r="F3023" t="inlineStr">
        <is>
          <t>(en blanco)</t>
        </is>
      </c>
      <c r="G3023" t="inlineStr">
        <is>
          <t>S</t>
        </is>
      </c>
      <c r="H3023" t="n">
        <v>0</v>
      </c>
      <c r="I3023" t="inlineStr">
        <is>
          <t>NAUTICA_MENS_208009288_NVY_1.jpg</t>
        </is>
      </c>
      <c r="J3023" t="inlineStr">
        <is>
          <t>NAUTICA_MENS_208009288_NVY_2.jpg</t>
        </is>
      </c>
      <c r="K3023" t="inlineStr">
        <is>
          <t>NAUTICA_MENS_208009288_NVY_3.jpg</t>
        </is>
      </c>
      <c r="L3023">
        <f>IMAGE("file:///E:/Estudios%20y%20certificaciones/ESTUDIOS%20DE%20PROGRAMMING/PROGRAMMING/PERSONAL/PYTHON/Image_Generator_API/imagenes/NAUTICA_MENS_208009288_NVY_1.jpg")</f>
        <v/>
      </c>
      <c r="M3023">
        <f>IMAGE("file:///E:/Estudios%20y%20certificaciones/ESTUDIOS%20DE%20PROGRAMMING/PROGRAMMING/PERSONAL/PYTHON/Image_Generator_API/imagenes/NAUTICA_MENS_208009288_NVY_2.jpg")</f>
        <v/>
      </c>
      <c r="N3023">
        <f>IMAGE("file:///E:/Estudios%20y%20certificaciones/ESTUDIOS%20DE%20PROGRAMMING/PROGRAMMING/PERSONAL/PYTHON/Image_Generator_API/imagenes/NAUTICA_MENS_208009288_NVY_3.jpg")</f>
        <v/>
      </c>
      <c r="O3023">
        <f>HYPERLINK("imagenes/NAUTICA_MENS_208009288_NVY_1.jpg","Ver imagen")</f>
        <v/>
      </c>
      <c r="P3023">
        <f>HYPERLINK("imagenes/NAUTICA_MENS_208009288_NVY_2.jpg","Ver imagen")</f>
        <v/>
      </c>
      <c r="Q3023">
        <f>HYPERLINK("imagenes/NAUTICA_MENS_208009288_NVY_3.jpg","Ver imagen")</f>
        <v/>
      </c>
    </row>
    <row r="3024">
      <c r="A3024" t="inlineStr">
        <is>
          <t>NAUTICA MENS</t>
        </is>
      </c>
      <c r="B3024" t="inlineStr">
        <is>
          <t>208009288</t>
        </is>
      </c>
      <c r="C3024" t="inlineStr">
        <is>
          <t>MID WEIGHT HOODED PUFFER</t>
        </is>
      </c>
      <c r="D3024" t="inlineStr">
        <is>
          <t>NVY</t>
        </is>
      </c>
      <c r="E3024" t="inlineStr">
        <is>
          <t>(en blanco)</t>
        </is>
      </c>
      <c r="F3024" t="inlineStr">
        <is>
          <t>(en blanco)</t>
        </is>
      </c>
      <c r="G3024" t="inlineStr">
        <is>
          <t>M</t>
        </is>
      </c>
      <c r="H3024" t="n">
        <v>0</v>
      </c>
      <c r="I3024" t="inlineStr">
        <is>
          <t>NAUTICA_MENS_208009288_NVY_1.jpg</t>
        </is>
      </c>
      <c r="J3024" t="inlineStr">
        <is>
          <t>NAUTICA_MENS_208009288_NVY_2.jpg</t>
        </is>
      </c>
      <c r="K3024" t="inlineStr">
        <is>
          <t>NAUTICA_MENS_208009288_NVY_3.jpg</t>
        </is>
      </c>
      <c r="L3024">
        <f>IMAGE("file:///E:/Estudios%20y%20certificaciones/ESTUDIOS%20DE%20PROGRAMMING/PROGRAMMING/PERSONAL/PYTHON/Image_Generator_API/imagenes/NAUTICA_MENS_208009288_NVY_1.jpg")</f>
        <v/>
      </c>
      <c r="M3024">
        <f>IMAGE("file:///E:/Estudios%20y%20certificaciones/ESTUDIOS%20DE%20PROGRAMMING/PROGRAMMING/PERSONAL/PYTHON/Image_Generator_API/imagenes/NAUTICA_MENS_208009288_NVY_2.jpg")</f>
        <v/>
      </c>
      <c r="N3024">
        <f>IMAGE("file:///E:/Estudios%20y%20certificaciones/ESTUDIOS%20DE%20PROGRAMMING/PROGRAMMING/PERSONAL/PYTHON/Image_Generator_API/imagenes/NAUTICA_MENS_208009288_NVY_3.jpg")</f>
        <v/>
      </c>
      <c r="O3024">
        <f>HYPERLINK("imagenes/NAUTICA_MENS_208009288_NVY_1.jpg","Ver imagen")</f>
        <v/>
      </c>
      <c r="P3024">
        <f>HYPERLINK("imagenes/NAUTICA_MENS_208009288_NVY_2.jpg","Ver imagen")</f>
        <v/>
      </c>
      <c r="Q3024">
        <f>HYPERLINK("imagenes/NAUTICA_MENS_208009288_NVY_3.jpg","Ver imagen")</f>
        <v/>
      </c>
    </row>
    <row r="3025">
      <c r="A3025" t="inlineStr">
        <is>
          <t>NAUTICA MENS</t>
        </is>
      </c>
      <c r="B3025" t="inlineStr">
        <is>
          <t>208009288</t>
        </is>
      </c>
      <c r="C3025" t="inlineStr">
        <is>
          <t>MID WEIGHT HOODED PUFFER</t>
        </is>
      </c>
      <c r="D3025" t="inlineStr">
        <is>
          <t>NVY</t>
        </is>
      </c>
      <c r="E3025" t="inlineStr">
        <is>
          <t>(en blanco)</t>
        </is>
      </c>
      <c r="F3025" t="inlineStr">
        <is>
          <t>(en blanco)</t>
        </is>
      </c>
      <c r="G3025" t="inlineStr">
        <is>
          <t>L</t>
        </is>
      </c>
      <c r="H3025" t="n">
        <v>0</v>
      </c>
      <c r="I3025" t="inlineStr">
        <is>
          <t>NAUTICA_MENS_208009288_NVY_1.jpg</t>
        </is>
      </c>
      <c r="J3025" t="inlineStr">
        <is>
          <t>NAUTICA_MENS_208009288_NVY_2.jpg</t>
        </is>
      </c>
      <c r="K3025" t="inlineStr">
        <is>
          <t>NAUTICA_MENS_208009288_NVY_3.jpg</t>
        </is>
      </c>
      <c r="L3025">
        <f>IMAGE("file:///E:/Estudios%20y%20certificaciones/ESTUDIOS%20DE%20PROGRAMMING/PROGRAMMING/PERSONAL/PYTHON/Image_Generator_API/imagenes/NAUTICA_MENS_208009288_NVY_1.jpg")</f>
        <v/>
      </c>
      <c r="M3025">
        <f>IMAGE("file:///E:/Estudios%20y%20certificaciones/ESTUDIOS%20DE%20PROGRAMMING/PROGRAMMING/PERSONAL/PYTHON/Image_Generator_API/imagenes/NAUTICA_MENS_208009288_NVY_2.jpg")</f>
        <v/>
      </c>
      <c r="N3025">
        <f>IMAGE("file:///E:/Estudios%20y%20certificaciones/ESTUDIOS%20DE%20PROGRAMMING/PROGRAMMING/PERSONAL/PYTHON/Image_Generator_API/imagenes/NAUTICA_MENS_208009288_NVY_3.jpg")</f>
        <v/>
      </c>
      <c r="O3025">
        <f>HYPERLINK("imagenes/NAUTICA_MENS_208009288_NVY_1.jpg","Ver imagen")</f>
        <v/>
      </c>
      <c r="P3025">
        <f>HYPERLINK("imagenes/NAUTICA_MENS_208009288_NVY_2.jpg","Ver imagen")</f>
        <v/>
      </c>
      <c r="Q3025">
        <f>HYPERLINK("imagenes/NAUTICA_MENS_208009288_NVY_3.jpg","Ver imagen")</f>
        <v/>
      </c>
    </row>
    <row r="3026">
      <c r="A3026" t="inlineStr">
        <is>
          <t>NAUTICA MENS</t>
        </is>
      </c>
      <c r="B3026" t="inlineStr">
        <is>
          <t>208009288</t>
        </is>
      </c>
      <c r="C3026" t="inlineStr">
        <is>
          <t>MID WEIGHT HOODED PUFFER</t>
        </is>
      </c>
      <c r="D3026" t="inlineStr">
        <is>
          <t>NVY</t>
        </is>
      </c>
      <c r="E3026" t="inlineStr">
        <is>
          <t>(en blanco)</t>
        </is>
      </c>
      <c r="F3026" t="inlineStr">
        <is>
          <t>(en blanco)</t>
        </is>
      </c>
      <c r="G3026" t="inlineStr">
        <is>
          <t>XL</t>
        </is>
      </c>
      <c r="H3026" t="n">
        <v>0</v>
      </c>
      <c r="I3026" t="inlineStr">
        <is>
          <t>NAUTICA_MENS_208009288_NVY_1.jpg</t>
        </is>
      </c>
      <c r="J3026" t="inlineStr">
        <is>
          <t>NAUTICA_MENS_208009288_NVY_2.jpg</t>
        </is>
      </c>
      <c r="K3026" t="inlineStr">
        <is>
          <t>NAUTICA_MENS_208009288_NVY_3.jpg</t>
        </is>
      </c>
      <c r="L3026">
        <f>IMAGE("file:///E:/Estudios%20y%20certificaciones/ESTUDIOS%20DE%20PROGRAMMING/PROGRAMMING/PERSONAL/PYTHON/Image_Generator_API/imagenes/NAUTICA_MENS_208009288_NVY_1.jpg")</f>
        <v/>
      </c>
      <c r="M3026">
        <f>IMAGE("file:///E:/Estudios%20y%20certificaciones/ESTUDIOS%20DE%20PROGRAMMING/PROGRAMMING/PERSONAL/PYTHON/Image_Generator_API/imagenes/NAUTICA_MENS_208009288_NVY_2.jpg")</f>
        <v/>
      </c>
      <c r="N3026">
        <f>IMAGE("file:///E:/Estudios%20y%20certificaciones/ESTUDIOS%20DE%20PROGRAMMING/PROGRAMMING/PERSONAL/PYTHON/Image_Generator_API/imagenes/NAUTICA_MENS_208009288_NVY_3.jpg")</f>
        <v/>
      </c>
      <c r="O3026">
        <f>HYPERLINK("imagenes/NAUTICA_MENS_208009288_NVY_1.jpg","Ver imagen")</f>
        <v/>
      </c>
      <c r="P3026">
        <f>HYPERLINK("imagenes/NAUTICA_MENS_208009288_NVY_2.jpg","Ver imagen")</f>
        <v/>
      </c>
      <c r="Q3026">
        <f>HYPERLINK("imagenes/NAUTICA_MENS_208009288_NVY_3.jpg","Ver imagen")</f>
        <v/>
      </c>
    </row>
    <row r="3027">
      <c r="A3027" t="inlineStr">
        <is>
          <t>NAUTICA MENS</t>
        </is>
      </c>
      <c r="B3027" t="inlineStr">
        <is>
          <t>208009288</t>
        </is>
      </c>
      <c r="C3027" t="inlineStr">
        <is>
          <t>MID WEIGHT HOODED PUFFER</t>
        </is>
      </c>
      <c r="D3027" t="inlineStr">
        <is>
          <t>NVY</t>
        </is>
      </c>
      <c r="E3027" t="inlineStr">
        <is>
          <t>(en blanco)</t>
        </is>
      </c>
      <c r="F3027" t="inlineStr">
        <is>
          <t>(en blanco)</t>
        </is>
      </c>
      <c r="G3027" t="inlineStr">
        <is>
          <t>XXL</t>
        </is>
      </c>
      <c r="H3027" t="n">
        <v>0</v>
      </c>
      <c r="I3027" t="inlineStr">
        <is>
          <t>NAUTICA_MENS_208009288_NVY_1.jpg</t>
        </is>
      </c>
      <c r="J3027" t="inlineStr">
        <is>
          <t>NAUTICA_MENS_208009288_NVY_2.jpg</t>
        </is>
      </c>
      <c r="K3027" t="inlineStr">
        <is>
          <t>NAUTICA_MENS_208009288_NVY_3.jpg</t>
        </is>
      </c>
      <c r="L3027">
        <f>IMAGE("file:///E:/Estudios%20y%20certificaciones/ESTUDIOS%20DE%20PROGRAMMING/PROGRAMMING/PERSONAL/PYTHON/Image_Generator_API/imagenes/NAUTICA_MENS_208009288_NVY_1.jpg")</f>
        <v/>
      </c>
      <c r="M3027">
        <f>IMAGE("file:///E:/Estudios%20y%20certificaciones/ESTUDIOS%20DE%20PROGRAMMING/PROGRAMMING/PERSONAL/PYTHON/Image_Generator_API/imagenes/NAUTICA_MENS_208009288_NVY_2.jpg")</f>
        <v/>
      </c>
      <c r="N3027">
        <f>IMAGE("file:///E:/Estudios%20y%20certificaciones/ESTUDIOS%20DE%20PROGRAMMING/PROGRAMMING/PERSONAL/PYTHON/Image_Generator_API/imagenes/NAUTICA_MENS_208009288_NVY_3.jpg")</f>
        <v/>
      </c>
      <c r="O3027">
        <f>HYPERLINK("imagenes/NAUTICA_MENS_208009288_NVY_1.jpg","Ver imagen")</f>
        <v/>
      </c>
      <c r="P3027">
        <f>HYPERLINK("imagenes/NAUTICA_MENS_208009288_NVY_2.jpg","Ver imagen")</f>
        <v/>
      </c>
      <c r="Q3027">
        <f>HYPERLINK("imagenes/NAUTICA_MENS_208009288_NVY_3.jpg","Ver imagen")</f>
        <v/>
      </c>
    </row>
    <row r="3028">
      <c r="A3028" t="inlineStr">
        <is>
          <t>NAUTICA MENS</t>
        </is>
      </c>
      <c r="B3028" t="inlineStr">
        <is>
          <t>208009294</t>
        </is>
      </c>
      <c r="C3028" t="inlineStr">
        <is>
          <t>PACKABLE VEST</t>
        </is>
      </c>
      <c r="D3028" t="inlineStr">
        <is>
          <t>CB1</t>
        </is>
      </c>
      <c r="E3028" t="inlineStr">
        <is>
          <t>(en blanco)</t>
        </is>
      </c>
      <c r="F3028" t="inlineStr">
        <is>
          <t>N1160</t>
        </is>
      </c>
      <c r="G3028" t="inlineStr">
        <is>
          <t>XS</t>
        </is>
      </c>
      <c r="H3028" t="n">
        <v>1</v>
      </c>
      <c r="I3028" t="inlineStr">
        <is>
          <t>NAUTICA_MENS_208009294_CB1_1.jpg</t>
        </is>
      </c>
      <c r="J3028" t="inlineStr">
        <is>
          <t>NAUTICA_MENS_208009294_CB1_2.jpg</t>
        </is>
      </c>
      <c r="K3028" t="inlineStr">
        <is>
          <t>NAUTICA_MENS_208009294_CB1_3.jpg</t>
        </is>
      </c>
      <c r="L3028">
        <f>IMAGE("file:///E:/Estudios%20y%20certificaciones/ESTUDIOS%20DE%20PROGRAMMING/PROGRAMMING/PERSONAL/PYTHON/Image_Generator_API/imagenes/NAUTICA_MENS_208009294_CB1_1.jpg")</f>
        <v/>
      </c>
      <c r="M3028">
        <f>IMAGE("file:///E:/Estudios%20y%20certificaciones/ESTUDIOS%20DE%20PROGRAMMING/PROGRAMMING/PERSONAL/PYTHON/Image_Generator_API/imagenes/NAUTICA_MENS_208009294_CB1_2.jpg")</f>
        <v/>
      </c>
      <c r="N3028">
        <f>IMAGE("file:///E:/Estudios%20y%20certificaciones/ESTUDIOS%20DE%20PROGRAMMING/PROGRAMMING/PERSONAL/PYTHON/Image_Generator_API/imagenes/NAUTICA_MENS_208009294_CB1_3.jpg")</f>
        <v/>
      </c>
      <c r="O3028">
        <f>HYPERLINK("imagenes/NAUTICA_MENS_208009294_CB1_1.jpg","Ver imagen")</f>
        <v/>
      </c>
      <c r="P3028">
        <f>HYPERLINK("imagenes/NAUTICA_MENS_208009294_CB1_2.jpg","Ver imagen")</f>
        <v/>
      </c>
      <c r="Q3028">
        <f>HYPERLINK("imagenes/NAUTICA_MENS_208009294_CB1_3.jpg","Ver imagen")</f>
        <v/>
      </c>
    </row>
    <row r="3029">
      <c r="A3029" t="inlineStr">
        <is>
          <t>NAUTICA MENS</t>
        </is>
      </c>
      <c r="B3029" t="inlineStr">
        <is>
          <t>208009294</t>
        </is>
      </c>
      <c r="C3029" t="inlineStr">
        <is>
          <t>PACKABLE VEST</t>
        </is>
      </c>
      <c r="D3029" t="inlineStr">
        <is>
          <t>F6N</t>
        </is>
      </c>
      <c r="E3029" t="inlineStr">
        <is>
          <t>(en blanco)</t>
        </is>
      </c>
      <c r="F3029" t="inlineStr">
        <is>
          <t>N1160</t>
        </is>
      </c>
      <c r="G3029" t="inlineStr">
        <is>
          <t>L</t>
        </is>
      </c>
      <c r="H3029" t="n">
        <v>1</v>
      </c>
      <c r="I3029" t="inlineStr">
        <is>
          <t>NAUTICA_MENS_208009294_F6N_1.jpg</t>
        </is>
      </c>
      <c r="J3029" t="inlineStr">
        <is>
          <t>NAUTICA_MENS_208009294_F6N_2.jpg</t>
        </is>
      </c>
      <c r="K3029" t="inlineStr">
        <is>
          <t>NAUTICA_MENS_208009294_F6N_3.jpg</t>
        </is>
      </c>
      <c r="L3029">
        <f>IMAGE("file:///E:/Estudios%20y%20certificaciones/ESTUDIOS%20DE%20PROGRAMMING/PROGRAMMING/PERSONAL/PYTHON/Image_Generator_API/imagenes/NAUTICA_MENS_208009294_F6N_1.jpg")</f>
        <v/>
      </c>
      <c r="M3029">
        <f>IMAGE("file:///E:/Estudios%20y%20certificaciones/ESTUDIOS%20DE%20PROGRAMMING/PROGRAMMING/PERSONAL/PYTHON/Image_Generator_API/imagenes/NAUTICA_MENS_208009294_F6N_2.jpg")</f>
        <v/>
      </c>
      <c r="N3029">
        <f>IMAGE("file:///E:/Estudios%20y%20certificaciones/ESTUDIOS%20DE%20PROGRAMMING/PROGRAMMING/PERSONAL/PYTHON/Image_Generator_API/imagenes/NAUTICA_MENS_208009294_F6N_3.jpg")</f>
        <v/>
      </c>
      <c r="O3029">
        <f>HYPERLINK("imagenes/NAUTICA_MENS_208009294_F6N_1.jpg","Ver imagen")</f>
        <v/>
      </c>
      <c r="P3029">
        <f>HYPERLINK("imagenes/NAUTICA_MENS_208009294_F6N_2.jpg","Ver imagen")</f>
        <v/>
      </c>
      <c r="Q3029">
        <f>HYPERLINK("imagenes/NAUTICA_MENS_208009294_F6N_3.jpg","Ver imagen")</f>
        <v/>
      </c>
    </row>
    <row r="3030">
      <c r="A3030" t="inlineStr">
        <is>
          <t>NAUTICA MENS</t>
        </is>
      </c>
      <c r="B3030" t="inlineStr">
        <is>
          <t>208009334</t>
        </is>
      </c>
      <c r="C3030" t="inlineStr">
        <is>
          <t>STRATEGICALLY SEAM SEALED SAILING JACKETSAILING JACKET</t>
        </is>
      </c>
      <c r="D3030" t="inlineStr">
        <is>
          <t>DDN</t>
        </is>
      </c>
      <c r="E3030" t="inlineStr">
        <is>
          <t>(en blanco)</t>
        </is>
      </c>
      <c r="F3030" t="inlineStr">
        <is>
          <t>D2C</t>
        </is>
      </c>
      <c r="G3030" t="inlineStr">
        <is>
          <t>S</t>
        </is>
      </c>
      <c r="H3030" t="n">
        <v>20</v>
      </c>
      <c r="I3030" t="inlineStr">
        <is>
          <t>NAUTICA_MENS_208009334_DDN_1.jpg</t>
        </is>
      </c>
      <c r="J3030" t="inlineStr">
        <is>
          <t>NAUTICA_MENS_208009334_DDN_2.jpg</t>
        </is>
      </c>
      <c r="K3030" t="inlineStr">
        <is>
          <t>NAUTICA_MENS_208009334_DDN_3.jpg</t>
        </is>
      </c>
      <c r="L3030">
        <f>IMAGE("file:///E:/Estudios%20y%20certificaciones/ESTUDIOS%20DE%20PROGRAMMING/PROGRAMMING/PERSONAL/PYTHON/Image_Generator_API/imagenes/NAUTICA_MENS_208009334_DDN_1.jpg")</f>
        <v/>
      </c>
      <c r="M3030">
        <f>IMAGE("file:///E:/Estudios%20y%20certificaciones/ESTUDIOS%20DE%20PROGRAMMING/PROGRAMMING/PERSONAL/PYTHON/Image_Generator_API/imagenes/NAUTICA_MENS_208009334_DDN_2.jpg")</f>
        <v/>
      </c>
      <c r="N3030">
        <f>IMAGE("file:///E:/Estudios%20y%20certificaciones/ESTUDIOS%20DE%20PROGRAMMING/PROGRAMMING/PERSONAL/PYTHON/Image_Generator_API/imagenes/NAUTICA_MENS_208009334_DDN_3.jpg")</f>
        <v/>
      </c>
      <c r="O3030">
        <f>HYPERLINK("imagenes/NAUTICA_MENS_208009334_DDN_1.jpg","Ver imagen")</f>
        <v/>
      </c>
      <c r="P3030">
        <f>HYPERLINK("imagenes/NAUTICA_MENS_208009334_DDN_2.jpg","Ver imagen")</f>
        <v/>
      </c>
      <c r="Q3030">
        <f>HYPERLINK("imagenes/NAUTICA_MENS_208009334_DDN_3.jpg","Ver imagen")</f>
        <v/>
      </c>
    </row>
    <row r="3031">
      <c r="A3031" t="inlineStr">
        <is>
          <t>NAUTICA MENS</t>
        </is>
      </c>
      <c r="B3031" t="inlineStr">
        <is>
          <t>208009334</t>
        </is>
      </c>
      <c r="C3031" t="inlineStr">
        <is>
          <t>STRATEGICALLY SEAM SEALED SAILING JACKETSAILING JACKET</t>
        </is>
      </c>
      <c r="D3031" t="inlineStr">
        <is>
          <t>DDN</t>
        </is>
      </c>
      <c r="E3031" t="inlineStr">
        <is>
          <t>(en blanco)</t>
        </is>
      </c>
      <c r="F3031" t="inlineStr">
        <is>
          <t>D2C</t>
        </is>
      </c>
      <c r="G3031" t="inlineStr">
        <is>
          <t>M</t>
        </is>
      </c>
      <c r="H3031" t="n">
        <v>20</v>
      </c>
      <c r="I3031" t="inlineStr">
        <is>
          <t>NAUTICA_MENS_208009334_DDN_1.jpg</t>
        </is>
      </c>
      <c r="J3031" t="inlineStr">
        <is>
          <t>NAUTICA_MENS_208009334_DDN_2.jpg</t>
        </is>
      </c>
      <c r="K3031" t="inlineStr">
        <is>
          <t>NAUTICA_MENS_208009334_DDN_3.jpg</t>
        </is>
      </c>
      <c r="L3031">
        <f>IMAGE("file:///E:/Estudios%20y%20certificaciones/ESTUDIOS%20DE%20PROGRAMMING/PROGRAMMING/PERSONAL/PYTHON/Image_Generator_API/imagenes/NAUTICA_MENS_208009334_DDN_1.jpg")</f>
        <v/>
      </c>
      <c r="M3031">
        <f>IMAGE("file:///E:/Estudios%20y%20certificaciones/ESTUDIOS%20DE%20PROGRAMMING/PROGRAMMING/PERSONAL/PYTHON/Image_Generator_API/imagenes/NAUTICA_MENS_208009334_DDN_2.jpg")</f>
        <v/>
      </c>
      <c r="N3031">
        <f>IMAGE("file:///E:/Estudios%20y%20certificaciones/ESTUDIOS%20DE%20PROGRAMMING/PROGRAMMING/PERSONAL/PYTHON/Image_Generator_API/imagenes/NAUTICA_MENS_208009334_DDN_3.jpg")</f>
        <v/>
      </c>
      <c r="O3031">
        <f>HYPERLINK("imagenes/NAUTICA_MENS_208009334_DDN_1.jpg","Ver imagen")</f>
        <v/>
      </c>
      <c r="P3031">
        <f>HYPERLINK("imagenes/NAUTICA_MENS_208009334_DDN_2.jpg","Ver imagen")</f>
        <v/>
      </c>
      <c r="Q3031">
        <f>HYPERLINK("imagenes/NAUTICA_MENS_208009334_DDN_3.jpg","Ver imagen")</f>
        <v/>
      </c>
    </row>
    <row r="3032">
      <c r="A3032" t="inlineStr">
        <is>
          <t>NAUTICA MENS</t>
        </is>
      </c>
      <c r="B3032" t="inlineStr">
        <is>
          <t>208009334</t>
        </is>
      </c>
      <c r="C3032" t="inlineStr">
        <is>
          <t>STRATEGICALLY SEAM SEALED SAILING JACKETSAILING JACKET</t>
        </is>
      </c>
      <c r="D3032" t="inlineStr">
        <is>
          <t>DDN</t>
        </is>
      </c>
      <c r="E3032" t="inlineStr">
        <is>
          <t>(en blanco)</t>
        </is>
      </c>
      <c r="F3032" t="inlineStr">
        <is>
          <t>D2C</t>
        </is>
      </c>
      <c r="G3032" t="inlineStr">
        <is>
          <t>L</t>
        </is>
      </c>
      <c r="H3032" t="n">
        <v>19</v>
      </c>
      <c r="I3032" t="inlineStr">
        <is>
          <t>NAUTICA_MENS_208009334_DDN_1.jpg</t>
        </is>
      </c>
      <c r="J3032" t="inlineStr">
        <is>
          <t>NAUTICA_MENS_208009334_DDN_2.jpg</t>
        </is>
      </c>
      <c r="K3032" t="inlineStr">
        <is>
          <t>NAUTICA_MENS_208009334_DDN_3.jpg</t>
        </is>
      </c>
      <c r="L3032">
        <f>IMAGE("file:///E:/Estudios%20y%20certificaciones/ESTUDIOS%20DE%20PROGRAMMING/PROGRAMMING/PERSONAL/PYTHON/Image_Generator_API/imagenes/NAUTICA_MENS_208009334_DDN_1.jpg")</f>
        <v/>
      </c>
      <c r="M3032">
        <f>IMAGE("file:///E:/Estudios%20y%20certificaciones/ESTUDIOS%20DE%20PROGRAMMING/PROGRAMMING/PERSONAL/PYTHON/Image_Generator_API/imagenes/NAUTICA_MENS_208009334_DDN_2.jpg")</f>
        <v/>
      </c>
      <c r="N3032">
        <f>IMAGE("file:///E:/Estudios%20y%20certificaciones/ESTUDIOS%20DE%20PROGRAMMING/PROGRAMMING/PERSONAL/PYTHON/Image_Generator_API/imagenes/NAUTICA_MENS_208009334_DDN_3.jpg")</f>
        <v/>
      </c>
      <c r="O3032">
        <f>HYPERLINK("imagenes/NAUTICA_MENS_208009334_DDN_1.jpg","Ver imagen")</f>
        <v/>
      </c>
      <c r="P3032">
        <f>HYPERLINK("imagenes/NAUTICA_MENS_208009334_DDN_2.jpg","Ver imagen")</f>
        <v/>
      </c>
      <c r="Q3032">
        <f>HYPERLINK("imagenes/NAUTICA_MENS_208009334_DDN_3.jpg","Ver imagen")</f>
        <v/>
      </c>
    </row>
    <row r="3033">
      <c r="A3033" t="inlineStr">
        <is>
          <t>NAUTICA MENS</t>
        </is>
      </c>
      <c r="B3033" t="inlineStr">
        <is>
          <t>208009334</t>
        </is>
      </c>
      <c r="C3033" t="inlineStr">
        <is>
          <t>STRATEGICALLY SEAM SEALED SAILING JACKETSAILING JACKET</t>
        </is>
      </c>
      <c r="D3033" t="inlineStr">
        <is>
          <t>DDN</t>
        </is>
      </c>
      <c r="E3033" t="inlineStr">
        <is>
          <t>(en blanco)</t>
        </is>
      </c>
      <c r="F3033" t="inlineStr">
        <is>
          <t>D2C</t>
        </is>
      </c>
      <c r="G3033" t="inlineStr">
        <is>
          <t>XL</t>
        </is>
      </c>
      <c r="H3033" t="n">
        <v>20</v>
      </c>
      <c r="I3033" t="inlineStr">
        <is>
          <t>NAUTICA_MENS_208009334_DDN_1.jpg</t>
        </is>
      </c>
      <c r="J3033" t="inlineStr">
        <is>
          <t>NAUTICA_MENS_208009334_DDN_2.jpg</t>
        </is>
      </c>
      <c r="K3033" t="inlineStr">
        <is>
          <t>NAUTICA_MENS_208009334_DDN_3.jpg</t>
        </is>
      </c>
      <c r="L3033">
        <f>IMAGE("file:///E:/Estudios%20y%20certificaciones/ESTUDIOS%20DE%20PROGRAMMING/PROGRAMMING/PERSONAL/PYTHON/Image_Generator_API/imagenes/NAUTICA_MENS_208009334_DDN_1.jpg")</f>
        <v/>
      </c>
      <c r="M3033">
        <f>IMAGE("file:///E:/Estudios%20y%20certificaciones/ESTUDIOS%20DE%20PROGRAMMING/PROGRAMMING/PERSONAL/PYTHON/Image_Generator_API/imagenes/NAUTICA_MENS_208009334_DDN_2.jpg")</f>
        <v/>
      </c>
      <c r="N3033">
        <f>IMAGE("file:///E:/Estudios%20y%20certificaciones/ESTUDIOS%20DE%20PROGRAMMING/PROGRAMMING/PERSONAL/PYTHON/Image_Generator_API/imagenes/NAUTICA_MENS_208009334_DDN_3.jpg")</f>
        <v/>
      </c>
      <c r="O3033">
        <f>HYPERLINK("imagenes/NAUTICA_MENS_208009334_DDN_1.jpg","Ver imagen")</f>
        <v/>
      </c>
      <c r="P3033">
        <f>HYPERLINK("imagenes/NAUTICA_MENS_208009334_DDN_2.jpg","Ver imagen")</f>
        <v/>
      </c>
      <c r="Q3033">
        <f>HYPERLINK("imagenes/NAUTICA_MENS_208009334_DDN_3.jpg","Ver imagen")</f>
        <v/>
      </c>
    </row>
    <row r="3034">
      <c r="A3034" t="inlineStr">
        <is>
          <t>NAUTICA MENS</t>
        </is>
      </c>
      <c r="B3034" t="inlineStr">
        <is>
          <t>208009334</t>
        </is>
      </c>
      <c r="C3034" t="inlineStr">
        <is>
          <t>STRATEGICALLY SEAM SEALED SAILING JACKETSAILING JACKET</t>
        </is>
      </c>
      <c r="D3034" t="inlineStr">
        <is>
          <t>DDN</t>
        </is>
      </c>
      <c r="E3034" t="inlineStr">
        <is>
          <t>(en blanco)</t>
        </is>
      </c>
      <c r="F3034" t="inlineStr">
        <is>
          <t>D2C</t>
        </is>
      </c>
      <c r="G3034" t="inlineStr">
        <is>
          <t>XXL</t>
        </is>
      </c>
      <c r="H3034" t="n">
        <v>20</v>
      </c>
      <c r="I3034" t="inlineStr">
        <is>
          <t>NAUTICA_MENS_208009334_DDN_1.jpg</t>
        </is>
      </c>
      <c r="J3034" t="inlineStr">
        <is>
          <t>NAUTICA_MENS_208009334_DDN_2.jpg</t>
        </is>
      </c>
      <c r="K3034" t="inlineStr">
        <is>
          <t>NAUTICA_MENS_208009334_DDN_3.jpg</t>
        </is>
      </c>
      <c r="L3034">
        <f>IMAGE("file:///E:/Estudios%20y%20certificaciones/ESTUDIOS%20DE%20PROGRAMMING/PROGRAMMING/PERSONAL/PYTHON/Image_Generator_API/imagenes/NAUTICA_MENS_208009334_DDN_1.jpg")</f>
        <v/>
      </c>
      <c r="M3034">
        <f>IMAGE("file:///E:/Estudios%20y%20certificaciones/ESTUDIOS%20DE%20PROGRAMMING/PROGRAMMING/PERSONAL/PYTHON/Image_Generator_API/imagenes/NAUTICA_MENS_208009334_DDN_2.jpg")</f>
        <v/>
      </c>
      <c r="N3034">
        <f>IMAGE("file:///E:/Estudios%20y%20certificaciones/ESTUDIOS%20DE%20PROGRAMMING/PROGRAMMING/PERSONAL/PYTHON/Image_Generator_API/imagenes/NAUTICA_MENS_208009334_DDN_3.jpg")</f>
        <v/>
      </c>
      <c r="O3034">
        <f>HYPERLINK("imagenes/NAUTICA_MENS_208009334_DDN_1.jpg","Ver imagen")</f>
        <v/>
      </c>
      <c r="P3034">
        <f>HYPERLINK("imagenes/NAUTICA_MENS_208009334_DDN_2.jpg","Ver imagen")</f>
        <v/>
      </c>
      <c r="Q3034">
        <f>HYPERLINK("imagenes/NAUTICA_MENS_208009334_DDN_3.jpg","Ver imagen")</f>
        <v/>
      </c>
    </row>
    <row r="3035">
      <c r="A3035" t="inlineStr">
        <is>
          <t>NAUTICA MENS</t>
        </is>
      </c>
      <c r="B3035" t="inlineStr">
        <is>
          <t>208009334</t>
        </is>
      </c>
      <c r="C3035" t="inlineStr">
        <is>
          <t>STRATEGICALLY SEAM SEALED SAILING JACKETSAILING JACKET</t>
        </is>
      </c>
      <c r="D3035" t="inlineStr">
        <is>
          <t>DDN</t>
        </is>
      </c>
      <c r="E3035" t="inlineStr">
        <is>
          <t>(en blanco)</t>
        </is>
      </c>
      <c r="F3035" t="inlineStr">
        <is>
          <t>(en blanco)</t>
        </is>
      </c>
      <c r="G3035" t="inlineStr">
        <is>
          <t>S</t>
        </is>
      </c>
      <c r="H3035" t="n">
        <v>132</v>
      </c>
      <c r="I3035" t="inlineStr">
        <is>
          <t>NAUTICA_MENS_208009334_DDN_1.jpg</t>
        </is>
      </c>
      <c r="J3035" t="inlineStr">
        <is>
          <t>NAUTICA_MENS_208009334_DDN_2.jpg</t>
        </is>
      </c>
      <c r="K3035" t="inlineStr">
        <is>
          <t>NAUTICA_MENS_208009334_DDN_3.jpg</t>
        </is>
      </c>
      <c r="L3035">
        <f>IMAGE("file:///E:/Estudios%20y%20certificaciones/ESTUDIOS%20DE%20PROGRAMMING/PROGRAMMING/PERSONAL/PYTHON/Image_Generator_API/imagenes/NAUTICA_MENS_208009334_DDN_1.jpg")</f>
        <v/>
      </c>
      <c r="M3035">
        <f>IMAGE("file:///E:/Estudios%20y%20certificaciones/ESTUDIOS%20DE%20PROGRAMMING/PROGRAMMING/PERSONAL/PYTHON/Image_Generator_API/imagenes/NAUTICA_MENS_208009334_DDN_2.jpg")</f>
        <v/>
      </c>
      <c r="N3035">
        <f>IMAGE("file:///E:/Estudios%20y%20certificaciones/ESTUDIOS%20DE%20PROGRAMMING/PROGRAMMING/PERSONAL/PYTHON/Image_Generator_API/imagenes/NAUTICA_MENS_208009334_DDN_3.jpg")</f>
        <v/>
      </c>
      <c r="O3035">
        <f>HYPERLINK("imagenes/NAUTICA_MENS_208009334_DDN_1.jpg","Ver imagen")</f>
        <v/>
      </c>
      <c r="P3035">
        <f>HYPERLINK("imagenes/NAUTICA_MENS_208009334_DDN_2.jpg","Ver imagen")</f>
        <v/>
      </c>
      <c r="Q3035">
        <f>HYPERLINK("imagenes/NAUTICA_MENS_208009334_DDN_3.jpg","Ver imagen")</f>
        <v/>
      </c>
    </row>
    <row r="3036">
      <c r="A3036" t="inlineStr">
        <is>
          <t>NAUTICA MENS</t>
        </is>
      </c>
      <c r="B3036" t="inlineStr">
        <is>
          <t>208009334</t>
        </is>
      </c>
      <c r="C3036" t="inlineStr">
        <is>
          <t>STRATEGICALLY SEAM SEALED SAILING JACKETSAILING JACKET</t>
        </is>
      </c>
      <c r="D3036" t="inlineStr">
        <is>
          <t>DDN</t>
        </is>
      </c>
      <c r="E3036" t="inlineStr">
        <is>
          <t>(en blanco)</t>
        </is>
      </c>
      <c r="F3036" t="inlineStr">
        <is>
          <t>(en blanco)</t>
        </is>
      </c>
      <c r="G3036" t="inlineStr">
        <is>
          <t>M</t>
        </is>
      </c>
      <c r="H3036" t="n">
        <v>512</v>
      </c>
      <c r="I3036" t="inlineStr">
        <is>
          <t>NAUTICA_MENS_208009334_DDN_1.jpg</t>
        </is>
      </c>
      <c r="J3036" t="inlineStr">
        <is>
          <t>NAUTICA_MENS_208009334_DDN_2.jpg</t>
        </is>
      </c>
      <c r="K3036" t="inlineStr">
        <is>
          <t>NAUTICA_MENS_208009334_DDN_3.jpg</t>
        </is>
      </c>
      <c r="L3036">
        <f>IMAGE("file:///E:/Estudios%20y%20certificaciones/ESTUDIOS%20DE%20PROGRAMMING/PROGRAMMING/PERSONAL/PYTHON/Image_Generator_API/imagenes/NAUTICA_MENS_208009334_DDN_1.jpg")</f>
        <v/>
      </c>
      <c r="M3036">
        <f>IMAGE("file:///E:/Estudios%20y%20certificaciones/ESTUDIOS%20DE%20PROGRAMMING/PROGRAMMING/PERSONAL/PYTHON/Image_Generator_API/imagenes/NAUTICA_MENS_208009334_DDN_2.jpg")</f>
        <v/>
      </c>
      <c r="N3036">
        <f>IMAGE("file:///E:/Estudios%20y%20certificaciones/ESTUDIOS%20DE%20PROGRAMMING/PROGRAMMING/PERSONAL/PYTHON/Image_Generator_API/imagenes/NAUTICA_MENS_208009334_DDN_3.jpg")</f>
        <v/>
      </c>
      <c r="O3036">
        <f>HYPERLINK("imagenes/NAUTICA_MENS_208009334_DDN_1.jpg","Ver imagen")</f>
        <v/>
      </c>
      <c r="P3036">
        <f>HYPERLINK("imagenes/NAUTICA_MENS_208009334_DDN_2.jpg","Ver imagen")</f>
        <v/>
      </c>
      <c r="Q3036">
        <f>HYPERLINK("imagenes/NAUTICA_MENS_208009334_DDN_3.jpg","Ver imagen")</f>
        <v/>
      </c>
    </row>
    <row r="3037">
      <c r="A3037" t="inlineStr">
        <is>
          <t>NAUTICA MENS</t>
        </is>
      </c>
      <c r="B3037" t="inlineStr">
        <is>
          <t>208009334</t>
        </is>
      </c>
      <c r="C3037" t="inlineStr">
        <is>
          <t>STRATEGICALLY SEAM SEALED SAILING JACKETSAILING JACKET</t>
        </is>
      </c>
      <c r="D3037" t="inlineStr">
        <is>
          <t>DDN</t>
        </is>
      </c>
      <c r="E3037" t="inlineStr">
        <is>
          <t>(en blanco)</t>
        </is>
      </c>
      <c r="F3037" t="inlineStr">
        <is>
          <t>(en blanco)</t>
        </is>
      </c>
      <c r="G3037" t="inlineStr">
        <is>
          <t>L</t>
        </is>
      </c>
      <c r="H3037" t="n">
        <v>1033</v>
      </c>
      <c r="I3037" t="inlineStr">
        <is>
          <t>NAUTICA_MENS_208009334_DDN_1.jpg</t>
        </is>
      </c>
      <c r="J3037" t="inlineStr">
        <is>
          <t>NAUTICA_MENS_208009334_DDN_2.jpg</t>
        </is>
      </c>
      <c r="K3037" t="inlineStr">
        <is>
          <t>NAUTICA_MENS_208009334_DDN_3.jpg</t>
        </is>
      </c>
      <c r="L3037">
        <f>IMAGE("file:///E:/Estudios%20y%20certificaciones/ESTUDIOS%20DE%20PROGRAMMING/PROGRAMMING/PERSONAL/PYTHON/Image_Generator_API/imagenes/NAUTICA_MENS_208009334_DDN_1.jpg")</f>
        <v/>
      </c>
      <c r="M3037">
        <f>IMAGE("file:///E:/Estudios%20y%20certificaciones/ESTUDIOS%20DE%20PROGRAMMING/PROGRAMMING/PERSONAL/PYTHON/Image_Generator_API/imagenes/NAUTICA_MENS_208009334_DDN_2.jpg")</f>
        <v/>
      </c>
      <c r="N3037">
        <f>IMAGE("file:///E:/Estudios%20y%20certificaciones/ESTUDIOS%20DE%20PROGRAMMING/PROGRAMMING/PERSONAL/PYTHON/Image_Generator_API/imagenes/NAUTICA_MENS_208009334_DDN_3.jpg")</f>
        <v/>
      </c>
      <c r="O3037">
        <f>HYPERLINK("imagenes/NAUTICA_MENS_208009334_DDN_1.jpg","Ver imagen")</f>
        <v/>
      </c>
      <c r="P3037">
        <f>HYPERLINK("imagenes/NAUTICA_MENS_208009334_DDN_2.jpg","Ver imagen")</f>
        <v/>
      </c>
      <c r="Q3037">
        <f>HYPERLINK("imagenes/NAUTICA_MENS_208009334_DDN_3.jpg","Ver imagen")</f>
        <v/>
      </c>
    </row>
    <row r="3038">
      <c r="A3038" t="inlineStr">
        <is>
          <t>NAUTICA MENS</t>
        </is>
      </c>
      <c r="B3038" t="inlineStr">
        <is>
          <t>208009334</t>
        </is>
      </c>
      <c r="C3038" t="inlineStr">
        <is>
          <t>STRATEGICALLY SEAM SEALED SAILING JACKETSAILING JACKET</t>
        </is>
      </c>
      <c r="D3038" t="inlineStr">
        <is>
          <t>DDN</t>
        </is>
      </c>
      <c r="E3038" t="inlineStr">
        <is>
          <t>(en blanco)</t>
        </is>
      </c>
      <c r="F3038" t="inlineStr">
        <is>
          <t>(en blanco)</t>
        </is>
      </c>
      <c r="G3038" t="inlineStr">
        <is>
          <t>XXL</t>
        </is>
      </c>
      <c r="H3038" t="n">
        <v>615</v>
      </c>
      <c r="I3038" t="inlineStr">
        <is>
          <t>NAUTICA_MENS_208009334_DDN_1.jpg</t>
        </is>
      </c>
      <c r="J3038" t="inlineStr">
        <is>
          <t>NAUTICA_MENS_208009334_DDN_2.jpg</t>
        </is>
      </c>
      <c r="K3038" t="inlineStr">
        <is>
          <t>NAUTICA_MENS_208009334_DDN_3.jpg</t>
        </is>
      </c>
      <c r="L3038">
        <f>IMAGE("file:///E:/Estudios%20y%20certificaciones/ESTUDIOS%20DE%20PROGRAMMING/PROGRAMMING/PERSONAL/PYTHON/Image_Generator_API/imagenes/NAUTICA_MENS_208009334_DDN_1.jpg")</f>
        <v/>
      </c>
      <c r="M3038">
        <f>IMAGE("file:///E:/Estudios%20y%20certificaciones/ESTUDIOS%20DE%20PROGRAMMING/PROGRAMMING/PERSONAL/PYTHON/Image_Generator_API/imagenes/NAUTICA_MENS_208009334_DDN_2.jpg")</f>
        <v/>
      </c>
      <c r="N3038">
        <f>IMAGE("file:///E:/Estudios%20y%20certificaciones/ESTUDIOS%20DE%20PROGRAMMING/PROGRAMMING/PERSONAL/PYTHON/Image_Generator_API/imagenes/NAUTICA_MENS_208009334_DDN_3.jpg")</f>
        <v/>
      </c>
      <c r="O3038">
        <f>HYPERLINK("imagenes/NAUTICA_MENS_208009334_DDN_1.jpg","Ver imagen")</f>
        <v/>
      </c>
      <c r="P3038">
        <f>HYPERLINK("imagenes/NAUTICA_MENS_208009334_DDN_2.jpg","Ver imagen")</f>
        <v/>
      </c>
      <c r="Q3038">
        <f>HYPERLINK("imagenes/NAUTICA_MENS_208009334_DDN_3.jpg","Ver imagen")</f>
        <v/>
      </c>
    </row>
    <row r="3039">
      <c r="A3039" t="inlineStr">
        <is>
          <t>NAUTICA MENS</t>
        </is>
      </c>
      <c r="B3039" t="inlineStr">
        <is>
          <t>208009334</t>
        </is>
      </c>
      <c r="C3039" t="inlineStr">
        <is>
          <t>STRATEGICALLY SEAM SEALED SAILING JACKETSAILING JACKET</t>
        </is>
      </c>
      <c r="D3039" t="inlineStr">
        <is>
          <t>NVY</t>
        </is>
      </c>
      <c r="E3039" t="inlineStr">
        <is>
          <t>(en blanco)</t>
        </is>
      </c>
      <c r="F3039" t="inlineStr">
        <is>
          <t>D2C</t>
        </is>
      </c>
      <c r="G3039" t="inlineStr">
        <is>
          <t>S</t>
        </is>
      </c>
      <c r="H3039" t="n">
        <v>20</v>
      </c>
      <c r="I3039" t="inlineStr">
        <is>
          <t>NAUTICA_MENS_208009334_NVY_1.jpg</t>
        </is>
      </c>
      <c r="J3039" t="inlineStr">
        <is>
          <t>NAUTICA_MENS_208009334_NVY_2.jpg</t>
        </is>
      </c>
      <c r="K3039" t="inlineStr">
        <is>
          <t>NAUTICA_MENS_208009334_NVY_3.jpg</t>
        </is>
      </c>
      <c r="L3039">
        <f>IMAGE("file:///E:/Estudios%20y%20certificaciones/ESTUDIOS%20DE%20PROGRAMMING/PROGRAMMING/PERSONAL/PYTHON/Image_Generator_API/imagenes/NAUTICA_MENS_208009334_NVY_1.jpg")</f>
        <v/>
      </c>
      <c r="M3039">
        <f>IMAGE("file:///E:/Estudios%20y%20certificaciones/ESTUDIOS%20DE%20PROGRAMMING/PROGRAMMING/PERSONAL/PYTHON/Image_Generator_API/imagenes/NAUTICA_MENS_208009334_NVY_2.jpg")</f>
        <v/>
      </c>
      <c r="N3039">
        <f>IMAGE("file:///E:/Estudios%20y%20certificaciones/ESTUDIOS%20DE%20PROGRAMMING/PROGRAMMING/PERSONAL/PYTHON/Image_Generator_API/imagenes/NAUTICA_MENS_208009334_NVY_3.jpg")</f>
        <v/>
      </c>
      <c r="O3039">
        <f>HYPERLINK("imagenes/NAUTICA_MENS_208009334_NVY_1.jpg","Ver imagen")</f>
        <v/>
      </c>
      <c r="P3039">
        <f>HYPERLINK("imagenes/NAUTICA_MENS_208009334_NVY_2.jpg","Ver imagen")</f>
        <v/>
      </c>
      <c r="Q3039">
        <f>HYPERLINK("imagenes/NAUTICA_MENS_208009334_NVY_3.jpg","Ver imagen")</f>
        <v/>
      </c>
    </row>
    <row r="3040">
      <c r="A3040" t="inlineStr">
        <is>
          <t>NAUTICA MENS</t>
        </is>
      </c>
      <c r="B3040" t="inlineStr">
        <is>
          <t>208009334</t>
        </is>
      </c>
      <c r="C3040" t="inlineStr">
        <is>
          <t>STRATEGICALLY SEAM SEALED SAILING JACKETSAILING JACKET</t>
        </is>
      </c>
      <c r="D3040" t="inlineStr">
        <is>
          <t>NVY</t>
        </is>
      </c>
      <c r="E3040" t="inlineStr">
        <is>
          <t>(en blanco)</t>
        </is>
      </c>
      <c r="F3040" t="inlineStr">
        <is>
          <t>D2C</t>
        </is>
      </c>
      <c r="G3040" t="inlineStr">
        <is>
          <t>M</t>
        </is>
      </c>
      <c r="H3040" t="n">
        <v>19</v>
      </c>
      <c r="I3040" t="inlineStr">
        <is>
          <t>NAUTICA_MENS_208009334_NVY_1.jpg</t>
        </is>
      </c>
      <c r="J3040" t="inlineStr">
        <is>
          <t>NAUTICA_MENS_208009334_NVY_2.jpg</t>
        </is>
      </c>
      <c r="K3040" t="inlineStr">
        <is>
          <t>NAUTICA_MENS_208009334_NVY_3.jpg</t>
        </is>
      </c>
      <c r="L3040">
        <f>IMAGE("file:///E:/Estudios%20y%20certificaciones/ESTUDIOS%20DE%20PROGRAMMING/PROGRAMMING/PERSONAL/PYTHON/Image_Generator_API/imagenes/NAUTICA_MENS_208009334_NVY_1.jpg")</f>
        <v/>
      </c>
      <c r="M3040">
        <f>IMAGE("file:///E:/Estudios%20y%20certificaciones/ESTUDIOS%20DE%20PROGRAMMING/PROGRAMMING/PERSONAL/PYTHON/Image_Generator_API/imagenes/NAUTICA_MENS_208009334_NVY_2.jpg")</f>
        <v/>
      </c>
      <c r="N3040">
        <f>IMAGE("file:///E:/Estudios%20y%20certificaciones/ESTUDIOS%20DE%20PROGRAMMING/PROGRAMMING/PERSONAL/PYTHON/Image_Generator_API/imagenes/NAUTICA_MENS_208009334_NVY_3.jpg")</f>
        <v/>
      </c>
      <c r="O3040">
        <f>HYPERLINK("imagenes/NAUTICA_MENS_208009334_NVY_1.jpg","Ver imagen")</f>
        <v/>
      </c>
      <c r="P3040">
        <f>HYPERLINK("imagenes/NAUTICA_MENS_208009334_NVY_2.jpg","Ver imagen")</f>
        <v/>
      </c>
      <c r="Q3040">
        <f>HYPERLINK("imagenes/NAUTICA_MENS_208009334_NVY_3.jpg","Ver imagen")</f>
        <v/>
      </c>
    </row>
    <row r="3041">
      <c r="A3041" t="inlineStr">
        <is>
          <t>NAUTICA MENS</t>
        </is>
      </c>
      <c r="B3041" t="inlineStr">
        <is>
          <t>208009334</t>
        </is>
      </c>
      <c r="C3041" t="inlineStr">
        <is>
          <t>STRATEGICALLY SEAM SEALED SAILING JACKETSAILING JACKET</t>
        </is>
      </c>
      <c r="D3041" t="inlineStr">
        <is>
          <t>NVY</t>
        </is>
      </c>
      <c r="E3041" t="inlineStr">
        <is>
          <t>(en blanco)</t>
        </is>
      </c>
      <c r="F3041" t="inlineStr">
        <is>
          <t>D2C</t>
        </is>
      </c>
      <c r="G3041" t="inlineStr">
        <is>
          <t>L</t>
        </is>
      </c>
      <c r="H3041" t="n">
        <v>20</v>
      </c>
      <c r="I3041" t="inlineStr">
        <is>
          <t>NAUTICA_MENS_208009334_NVY_1.jpg</t>
        </is>
      </c>
      <c r="J3041" t="inlineStr">
        <is>
          <t>NAUTICA_MENS_208009334_NVY_2.jpg</t>
        </is>
      </c>
      <c r="K3041" t="inlineStr">
        <is>
          <t>NAUTICA_MENS_208009334_NVY_3.jpg</t>
        </is>
      </c>
      <c r="L3041">
        <f>IMAGE("file:///E:/Estudios%20y%20certificaciones/ESTUDIOS%20DE%20PROGRAMMING/PROGRAMMING/PERSONAL/PYTHON/Image_Generator_API/imagenes/NAUTICA_MENS_208009334_NVY_1.jpg")</f>
        <v/>
      </c>
      <c r="M3041">
        <f>IMAGE("file:///E:/Estudios%20y%20certificaciones/ESTUDIOS%20DE%20PROGRAMMING/PROGRAMMING/PERSONAL/PYTHON/Image_Generator_API/imagenes/NAUTICA_MENS_208009334_NVY_2.jpg")</f>
        <v/>
      </c>
      <c r="N3041">
        <f>IMAGE("file:///E:/Estudios%20y%20certificaciones/ESTUDIOS%20DE%20PROGRAMMING/PROGRAMMING/PERSONAL/PYTHON/Image_Generator_API/imagenes/NAUTICA_MENS_208009334_NVY_3.jpg")</f>
        <v/>
      </c>
      <c r="O3041">
        <f>HYPERLINK("imagenes/NAUTICA_MENS_208009334_NVY_1.jpg","Ver imagen")</f>
        <v/>
      </c>
      <c r="P3041">
        <f>HYPERLINK("imagenes/NAUTICA_MENS_208009334_NVY_2.jpg","Ver imagen")</f>
        <v/>
      </c>
      <c r="Q3041">
        <f>HYPERLINK("imagenes/NAUTICA_MENS_208009334_NVY_3.jpg","Ver imagen")</f>
        <v/>
      </c>
    </row>
    <row r="3042">
      <c r="A3042" t="inlineStr">
        <is>
          <t>NAUTICA MENS</t>
        </is>
      </c>
      <c r="B3042" t="inlineStr">
        <is>
          <t>208009334</t>
        </is>
      </c>
      <c r="C3042" t="inlineStr">
        <is>
          <t>STRATEGICALLY SEAM SEALED SAILING JACKETSAILING JACKET</t>
        </is>
      </c>
      <c r="D3042" t="inlineStr">
        <is>
          <t>NVY</t>
        </is>
      </c>
      <c r="E3042" t="inlineStr">
        <is>
          <t>(en blanco)</t>
        </is>
      </c>
      <c r="F3042" t="inlineStr">
        <is>
          <t>D2C</t>
        </is>
      </c>
      <c r="G3042" t="inlineStr">
        <is>
          <t>XL</t>
        </is>
      </c>
      <c r="H3042" t="n">
        <v>20</v>
      </c>
      <c r="I3042" t="inlineStr">
        <is>
          <t>NAUTICA_MENS_208009334_NVY_1.jpg</t>
        </is>
      </c>
      <c r="J3042" t="inlineStr">
        <is>
          <t>NAUTICA_MENS_208009334_NVY_2.jpg</t>
        </is>
      </c>
      <c r="K3042" t="inlineStr">
        <is>
          <t>NAUTICA_MENS_208009334_NVY_3.jpg</t>
        </is>
      </c>
      <c r="L3042">
        <f>IMAGE("file:///E:/Estudios%20y%20certificaciones/ESTUDIOS%20DE%20PROGRAMMING/PROGRAMMING/PERSONAL/PYTHON/Image_Generator_API/imagenes/NAUTICA_MENS_208009334_NVY_1.jpg")</f>
        <v/>
      </c>
      <c r="M3042">
        <f>IMAGE("file:///E:/Estudios%20y%20certificaciones/ESTUDIOS%20DE%20PROGRAMMING/PROGRAMMING/PERSONAL/PYTHON/Image_Generator_API/imagenes/NAUTICA_MENS_208009334_NVY_2.jpg")</f>
        <v/>
      </c>
      <c r="N3042">
        <f>IMAGE("file:///E:/Estudios%20y%20certificaciones/ESTUDIOS%20DE%20PROGRAMMING/PROGRAMMING/PERSONAL/PYTHON/Image_Generator_API/imagenes/NAUTICA_MENS_208009334_NVY_3.jpg")</f>
        <v/>
      </c>
      <c r="O3042">
        <f>HYPERLINK("imagenes/NAUTICA_MENS_208009334_NVY_1.jpg","Ver imagen")</f>
        <v/>
      </c>
      <c r="P3042">
        <f>HYPERLINK("imagenes/NAUTICA_MENS_208009334_NVY_2.jpg","Ver imagen")</f>
        <v/>
      </c>
      <c r="Q3042">
        <f>HYPERLINK("imagenes/NAUTICA_MENS_208009334_NVY_3.jpg","Ver imagen")</f>
        <v/>
      </c>
    </row>
    <row r="3043">
      <c r="A3043" t="inlineStr">
        <is>
          <t>NAUTICA MENS</t>
        </is>
      </c>
      <c r="B3043" t="inlineStr">
        <is>
          <t>208009334</t>
        </is>
      </c>
      <c r="C3043" t="inlineStr">
        <is>
          <t>STRATEGICALLY SEAM SEALED SAILING JACKETSAILING JACKET</t>
        </is>
      </c>
      <c r="D3043" t="inlineStr">
        <is>
          <t>NVY</t>
        </is>
      </c>
      <c r="E3043" t="inlineStr">
        <is>
          <t>(en blanco)</t>
        </is>
      </c>
      <c r="F3043" t="inlineStr">
        <is>
          <t>D2C</t>
        </is>
      </c>
      <c r="G3043" t="inlineStr">
        <is>
          <t>XXL</t>
        </is>
      </c>
      <c r="H3043" t="n">
        <v>20</v>
      </c>
      <c r="I3043" t="inlineStr">
        <is>
          <t>NAUTICA_MENS_208009334_NVY_1.jpg</t>
        </is>
      </c>
      <c r="J3043" t="inlineStr">
        <is>
          <t>NAUTICA_MENS_208009334_NVY_2.jpg</t>
        </is>
      </c>
      <c r="K3043" t="inlineStr">
        <is>
          <t>NAUTICA_MENS_208009334_NVY_3.jpg</t>
        </is>
      </c>
      <c r="L3043">
        <f>IMAGE("file:///E:/Estudios%20y%20certificaciones/ESTUDIOS%20DE%20PROGRAMMING/PROGRAMMING/PERSONAL/PYTHON/Image_Generator_API/imagenes/NAUTICA_MENS_208009334_NVY_1.jpg")</f>
        <v/>
      </c>
      <c r="M3043">
        <f>IMAGE("file:///E:/Estudios%20y%20certificaciones/ESTUDIOS%20DE%20PROGRAMMING/PROGRAMMING/PERSONAL/PYTHON/Image_Generator_API/imagenes/NAUTICA_MENS_208009334_NVY_2.jpg")</f>
        <v/>
      </c>
      <c r="N3043">
        <f>IMAGE("file:///E:/Estudios%20y%20certificaciones/ESTUDIOS%20DE%20PROGRAMMING/PROGRAMMING/PERSONAL/PYTHON/Image_Generator_API/imagenes/NAUTICA_MENS_208009334_NVY_3.jpg")</f>
        <v/>
      </c>
      <c r="O3043">
        <f>HYPERLINK("imagenes/NAUTICA_MENS_208009334_NVY_1.jpg","Ver imagen")</f>
        <v/>
      </c>
      <c r="P3043">
        <f>HYPERLINK("imagenes/NAUTICA_MENS_208009334_NVY_2.jpg","Ver imagen")</f>
        <v/>
      </c>
      <c r="Q3043">
        <f>HYPERLINK("imagenes/NAUTICA_MENS_208009334_NVY_3.jpg","Ver imagen")</f>
        <v/>
      </c>
    </row>
    <row r="3044">
      <c r="A3044" t="inlineStr">
        <is>
          <t>NAUTICA MENS</t>
        </is>
      </c>
      <c r="B3044" t="inlineStr">
        <is>
          <t>208009334</t>
        </is>
      </c>
      <c r="C3044" t="inlineStr">
        <is>
          <t>STRATEGICALLY SEAM SEALED SAILING JACKETSAILING JACKET</t>
        </is>
      </c>
      <c r="D3044" t="inlineStr">
        <is>
          <t>NVY</t>
        </is>
      </c>
      <c r="E3044" t="inlineStr">
        <is>
          <t>(en blanco)</t>
        </is>
      </c>
      <c r="F3044" t="inlineStr">
        <is>
          <t>(en blanco)</t>
        </is>
      </c>
      <c r="G3044" t="inlineStr">
        <is>
          <t>S</t>
        </is>
      </c>
      <c r="H3044" t="n">
        <v>43</v>
      </c>
      <c r="I3044" t="inlineStr">
        <is>
          <t>NAUTICA_MENS_208009334_NVY_1.jpg</t>
        </is>
      </c>
      <c r="J3044" t="inlineStr">
        <is>
          <t>NAUTICA_MENS_208009334_NVY_2.jpg</t>
        </is>
      </c>
      <c r="K3044" t="inlineStr">
        <is>
          <t>NAUTICA_MENS_208009334_NVY_3.jpg</t>
        </is>
      </c>
      <c r="L3044">
        <f>IMAGE("file:///E:/Estudios%20y%20certificaciones/ESTUDIOS%20DE%20PROGRAMMING/PROGRAMMING/PERSONAL/PYTHON/Image_Generator_API/imagenes/NAUTICA_MENS_208009334_NVY_1.jpg")</f>
        <v/>
      </c>
      <c r="M3044">
        <f>IMAGE("file:///E:/Estudios%20y%20certificaciones/ESTUDIOS%20DE%20PROGRAMMING/PROGRAMMING/PERSONAL/PYTHON/Image_Generator_API/imagenes/NAUTICA_MENS_208009334_NVY_2.jpg")</f>
        <v/>
      </c>
      <c r="N3044">
        <f>IMAGE("file:///E:/Estudios%20y%20certificaciones/ESTUDIOS%20DE%20PROGRAMMING/PROGRAMMING/PERSONAL/PYTHON/Image_Generator_API/imagenes/NAUTICA_MENS_208009334_NVY_3.jpg")</f>
        <v/>
      </c>
      <c r="O3044">
        <f>HYPERLINK("imagenes/NAUTICA_MENS_208009334_NVY_1.jpg","Ver imagen")</f>
        <v/>
      </c>
      <c r="P3044">
        <f>HYPERLINK("imagenes/NAUTICA_MENS_208009334_NVY_2.jpg","Ver imagen")</f>
        <v/>
      </c>
      <c r="Q3044">
        <f>HYPERLINK("imagenes/NAUTICA_MENS_208009334_NVY_3.jpg","Ver imagen")</f>
        <v/>
      </c>
    </row>
    <row r="3045">
      <c r="A3045" t="inlineStr">
        <is>
          <t>NAUTICA MENS</t>
        </is>
      </c>
      <c r="B3045" t="inlineStr">
        <is>
          <t>208009334</t>
        </is>
      </c>
      <c r="C3045" t="inlineStr">
        <is>
          <t>STRATEGICALLY SEAM SEALED SAILING JACKETSAILING JACKET</t>
        </is>
      </c>
      <c r="D3045" t="inlineStr">
        <is>
          <t>NVY</t>
        </is>
      </c>
      <c r="E3045" t="inlineStr">
        <is>
          <t>(en blanco)</t>
        </is>
      </c>
      <c r="F3045" t="inlineStr">
        <is>
          <t>(en blanco)</t>
        </is>
      </c>
      <c r="G3045" t="inlineStr">
        <is>
          <t>M</t>
        </is>
      </c>
      <c r="H3045" t="n">
        <v>570</v>
      </c>
      <c r="I3045" t="inlineStr">
        <is>
          <t>NAUTICA_MENS_208009334_NVY_1.jpg</t>
        </is>
      </c>
      <c r="J3045" t="inlineStr">
        <is>
          <t>NAUTICA_MENS_208009334_NVY_2.jpg</t>
        </is>
      </c>
      <c r="K3045" t="inlineStr">
        <is>
          <t>NAUTICA_MENS_208009334_NVY_3.jpg</t>
        </is>
      </c>
      <c r="L3045">
        <f>IMAGE("file:///E:/Estudios%20y%20certificaciones/ESTUDIOS%20DE%20PROGRAMMING/PROGRAMMING/PERSONAL/PYTHON/Image_Generator_API/imagenes/NAUTICA_MENS_208009334_NVY_1.jpg")</f>
        <v/>
      </c>
      <c r="M3045">
        <f>IMAGE("file:///E:/Estudios%20y%20certificaciones/ESTUDIOS%20DE%20PROGRAMMING/PROGRAMMING/PERSONAL/PYTHON/Image_Generator_API/imagenes/NAUTICA_MENS_208009334_NVY_2.jpg")</f>
        <v/>
      </c>
      <c r="N3045">
        <f>IMAGE("file:///E:/Estudios%20y%20certificaciones/ESTUDIOS%20DE%20PROGRAMMING/PROGRAMMING/PERSONAL/PYTHON/Image_Generator_API/imagenes/NAUTICA_MENS_208009334_NVY_3.jpg")</f>
        <v/>
      </c>
      <c r="O3045">
        <f>HYPERLINK("imagenes/NAUTICA_MENS_208009334_NVY_1.jpg","Ver imagen")</f>
        <v/>
      </c>
      <c r="P3045">
        <f>HYPERLINK("imagenes/NAUTICA_MENS_208009334_NVY_2.jpg","Ver imagen")</f>
        <v/>
      </c>
      <c r="Q3045">
        <f>HYPERLINK("imagenes/NAUTICA_MENS_208009334_NVY_3.jpg","Ver imagen")</f>
        <v/>
      </c>
    </row>
    <row r="3046">
      <c r="A3046" t="inlineStr">
        <is>
          <t>NAUTICA MENS</t>
        </is>
      </c>
      <c r="B3046" t="inlineStr">
        <is>
          <t>208009334</t>
        </is>
      </c>
      <c r="C3046" t="inlineStr">
        <is>
          <t>STRATEGICALLY SEAM SEALED SAILING JACKETSAILING JACKET</t>
        </is>
      </c>
      <c r="D3046" t="inlineStr">
        <is>
          <t>NVY</t>
        </is>
      </c>
      <c r="E3046" t="inlineStr">
        <is>
          <t>(en blanco)</t>
        </is>
      </c>
      <c r="F3046" t="inlineStr">
        <is>
          <t>(en blanco)</t>
        </is>
      </c>
      <c r="G3046" t="inlineStr">
        <is>
          <t>L</t>
        </is>
      </c>
      <c r="H3046" t="n">
        <v>1830</v>
      </c>
      <c r="I3046" t="inlineStr">
        <is>
          <t>NAUTICA_MENS_208009334_NVY_1.jpg</t>
        </is>
      </c>
      <c r="J3046" t="inlineStr">
        <is>
          <t>NAUTICA_MENS_208009334_NVY_2.jpg</t>
        </is>
      </c>
      <c r="K3046" t="inlineStr">
        <is>
          <t>NAUTICA_MENS_208009334_NVY_3.jpg</t>
        </is>
      </c>
      <c r="L3046">
        <f>IMAGE("file:///E:/Estudios%20y%20certificaciones/ESTUDIOS%20DE%20PROGRAMMING/PROGRAMMING/PERSONAL/PYTHON/Image_Generator_API/imagenes/NAUTICA_MENS_208009334_NVY_1.jpg")</f>
        <v/>
      </c>
      <c r="M3046">
        <f>IMAGE("file:///E:/Estudios%20y%20certificaciones/ESTUDIOS%20DE%20PROGRAMMING/PROGRAMMING/PERSONAL/PYTHON/Image_Generator_API/imagenes/NAUTICA_MENS_208009334_NVY_2.jpg")</f>
        <v/>
      </c>
      <c r="N3046">
        <f>IMAGE("file:///E:/Estudios%20y%20certificaciones/ESTUDIOS%20DE%20PROGRAMMING/PROGRAMMING/PERSONAL/PYTHON/Image_Generator_API/imagenes/NAUTICA_MENS_208009334_NVY_3.jpg")</f>
        <v/>
      </c>
      <c r="O3046">
        <f>HYPERLINK("imagenes/NAUTICA_MENS_208009334_NVY_1.jpg","Ver imagen")</f>
        <v/>
      </c>
      <c r="P3046">
        <f>HYPERLINK("imagenes/NAUTICA_MENS_208009334_NVY_2.jpg","Ver imagen")</f>
        <v/>
      </c>
      <c r="Q3046">
        <f>HYPERLINK("imagenes/NAUTICA_MENS_208009334_NVY_3.jpg","Ver imagen")</f>
        <v/>
      </c>
    </row>
    <row r="3047">
      <c r="A3047" t="inlineStr">
        <is>
          <t>NAUTICA MENS</t>
        </is>
      </c>
      <c r="B3047" t="inlineStr">
        <is>
          <t>208009334</t>
        </is>
      </c>
      <c r="C3047" t="inlineStr">
        <is>
          <t>STRATEGICALLY SEAM SEALED SAILING JACKETSAILING JACKET</t>
        </is>
      </c>
      <c r="D3047" t="inlineStr">
        <is>
          <t>NVY</t>
        </is>
      </c>
      <c r="E3047" t="inlineStr">
        <is>
          <t>(en blanco)</t>
        </is>
      </c>
      <c r="F3047" t="inlineStr">
        <is>
          <t>(en blanco)</t>
        </is>
      </c>
      <c r="G3047" t="inlineStr">
        <is>
          <t>XL</t>
        </is>
      </c>
      <c r="H3047" t="n">
        <v>2702</v>
      </c>
      <c r="I3047" t="inlineStr">
        <is>
          <t>NAUTICA_MENS_208009334_NVY_1.jpg</t>
        </is>
      </c>
      <c r="J3047" t="inlineStr">
        <is>
          <t>NAUTICA_MENS_208009334_NVY_2.jpg</t>
        </is>
      </c>
      <c r="K3047" t="inlineStr">
        <is>
          <t>NAUTICA_MENS_208009334_NVY_3.jpg</t>
        </is>
      </c>
      <c r="L3047">
        <f>IMAGE("file:///E:/Estudios%20y%20certificaciones/ESTUDIOS%20DE%20PROGRAMMING/PROGRAMMING/PERSONAL/PYTHON/Image_Generator_API/imagenes/NAUTICA_MENS_208009334_NVY_1.jpg")</f>
        <v/>
      </c>
      <c r="M3047">
        <f>IMAGE("file:///E:/Estudios%20y%20certificaciones/ESTUDIOS%20DE%20PROGRAMMING/PROGRAMMING/PERSONAL/PYTHON/Image_Generator_API/imagenes/NAUTICA_MENS_208009334_NVY_2.jpg")</f>
        <v/>
      </c>
      <c r="N3047">
        <f>IMAGE("file:///E:/Estudios%20y%20certificaciones/ESTUDIOS%20DE%20PROGRAMMING/PROGRAMMING/PERSONAL/PYTHON/Image_Generator_API/imagenes/NAUTICA_MENS_208009334_NVY_3.jpg")</f>
        <v/>
      </c>
      <c r="O3047">
        <f>HYPERLINK("imagenes/NAUTICA_MENS_208009334_NVY_1.jpg","Ver imagen")</f>
        <v/>
      </c>
      <c r="P3047">
        <f>HYPERLINK("imagenes/NAUTICA_MENS_208009334_NVY_2.jpg","Ver imagen")</f>
        <v/>
      </c>
      <c r="Q3047">
        <f>HYPERLINK("imagenes/NAUTICA_MENS_208009334_NVY_3.jpg","Ver imagen")</f>
        <v/>
      </c>
    </row>
    <row r="3048">
      <c r="A3048" t="inlineStr">
        <is>
          <t>NAUTICA MENS</t>
        </is>
      </c>
      <c r="B3048" t="inlineStr">
        <is>
          <t>208009334</t>
        </is>
      </c>
      <c r="C3048" t="inlineStr">
        <is>
          <t>STRATEGICALLY SEAM SEALED SAILING JACKETSAILING JACKET</t>
        </is>
      </c>
      <c r="D3048" t="inlineStr">
        <is>
          <t>NVY</t>
        </is>
      </c>
      <c r="E3048" t="inlineStr">
        <is>
          <t>(en blanco)</t>
        </is>
      </c>
      <c r="F3048" t="inlineStr">
        <is>
          <t>(en blanco)</t>
        </is>
      </c>
      <c r="G3048" t="inlineStr">
        <is>
          <t>XXL</t>
        </is>
      </c>
      <c r="H3048" t="n">
        <v>1630</v>
      </c>
      <c r="I3048" t="inlineStr">
        <is>
          <t>NAUTICA_MENS_208009334_NVY_1.jpg</t>
        </is>
      </c>
      <c r="J3048" t="inlineStr">
        <is>
          <t>NAUTICA_MENS_208009334_NVY_2.jpg</t>
        </is>
      </c>
      <c r="K3048" t="inlineStr">
        <is>
          <t>NAUTICA_MENS_208009334_NVY_3.jpg</t>
        </is>
      </c>
      <c r="L3048">
        <f>IMAGE("file:///E:/Estudios%20y%20certificaciones/ESTUDIOS%20DE%20PROGRAMMING/PROGRAMMING/PERSONAL/PYTHON/Image_Generator_API/imagenes/NAUTICA_MENS_208009334_NVY_1.jpg")</f>
        <v/>
      </c>
      <c r="M3048">
        <f>IMAGE("file:///E:/Estudios%20y%20certificaciones/ESTUDIOS%20DE%20PROGRAMMING/PROGRAMMING/PERSONAL/PYTHON/Image_Generator_API/imagenes/NAUTICA_MENS_208009334_NVY_2.jpg")</f>
        <v/>
      </c>
      <c r="N3048">
        <f>IMAGE("file:///E:/Estudios%20y%20certificaciones/ESTUDIOS%20DE%20PROGRAMMING/PROGRAMMING/PERSONAL/PYTHON/Image_Generator_API/imagenes/NAUTICA_MENS_208009334_NVY_3.jpg")</f>
        <v/>
      </c>
      <c r="O3048">
        <f>HYPERLINK("imagenes/NAUTICA_MENS_208009334_NVY_1.jpg","Ver imagen")</f>
        <v/>
      </c>
      <c r="P3048">
        <f>HYPERLINK("imagenes/NAUTICA_MENS_208009334_NVY_2.jpg","Ver imagen")</f>
        <v/>
      </c>
      <c r="Q3048">
        <f>HYPERLINK("imagenes/NAUTICA_MENS_208009334_NVY_3.jpg","Ver imagen")</f>
        <v/>
      </c>
    </row>
    <row r="3049">
      <c r="A3049" t="inlineStr">
        <is>
          <t>NAUTICA MENS</t>
        </is>
      </c>
      <c r="B3049" t="inlineStr">
        <is>
          <t>208009334</t>
        </is>
      </c>
      <c r="C3049" t="inlineStr">
        <is>
          <t>STRATEGICALLY SEAM SEALED SAILING JACKETSAILING JACKET</t>
        </is>
      </c>
      <c r="D3049" t="inlineStr">
        <is>
          <t>RED</t>
        </is>
      </c>
      <c r="E3049" t="inlineStr">
        <is>
          <t>(en blanco)</t>
        </is>
      </c>
      <c r="F3049" t="inlineStr">
        <is>
          <t>D2C</t>
        </is>
      </c>
      <c r="G3049" t="inlineStr">
        <is>
          <t>S</t>
        </is>
      </c>
      <c r="H3049" t="n">
        <v>20</v>
      </c>
      <c r="I3049" t="inlineStr">
        <is>
          <t>NAUTICA_MENS_208009334_RED_1.jpg</t>
        </is>
      </c>
      <c r="J3049" t="inlineStr">
        <is>
          <t>NAUTICA_MENS_208009334_RED_2.jpg</t>
        </is>
      </c>
      <c r="K3049" t="inlineStr">
        <is>
          <t>NAUTICA_MENS_208009334_RED_3.jpg</t>
        </is>
      </c>
      <c r="L3049">
        <f>IMAGE("file:///E:/Estudios%20y%20certificaciones/ESTUDIOS%20DE%20PROGRAMMING/PROGRAMMING/PERSONAL/PYTHON/Image_Generator_API/imagenes/NAUTICA_MENS_208009334_RED_1.jpg")</f>
        <v/>
      </c>
      <c r="M3049">
        <f>IMAGE("file:///E:/Estudios%20y%20certificaciones/ESTUDIOS%20DE%20PROGRAMMING/PROGRAMMING/PERSONAL/PYTHON/Image_Generator_API/imagenes/NAUTICA_MENS_208009334_RED_2.jpg")</f>
        <v/>
      </c>
      <c r="N3049">
        <f>IMAGE("file:///E:/Estudios%20y%20certificaciones/ESTUDIOS%20DE%20PROGRAMMING/PROGRAMMING/PERSONAL/PYTHON/Image_Generator_API/imagenes/NAUTICA_MENS_208009334_RED_3.jpg")</f>
        <v/>
      </c>
      <c r="O3049">
        <f>HYPERLINK("imagenes/NAUTICA_MENS_208009334_RED_1.jpg","Ver imagen")</f>
        <v/>
      </c>
      <c r="P3049">
        <f>HYPERLINK("imagenes/NAUTICA_MENS_208009334_RED_2.jpg","Ver imagen")</f>
        <v/>
      </c>
      <c r="Q3049">
        <f>HYPERLINK("imagenes/NAUTICA_MENS_208009334_RED_3.jpg","Ver imagen")</f>
        <v/>
      </c>
    </row>
    <row r="3050">
      <c r="A3050" t="inlineStr">
        <is>
          <t>NAUTICA MENS</t>
        </is>
      </c>
      <c r="B3050" t="inlineStr">
        <is>
          <t>208009334</t>
        </is>
      </c>
      <c r="C3050" t="inlineStr">
        <is>
          <t>STRATEGICALLY SEAM SEALED SAILING JACKETSAILING JACKET</t>
        </is>
      </c>
      <c r="D3050" t="inlineStr">
        <is>
          <t>RED</t>
        </is>
      </c>
      <c r="E3050" t="inlineStr">
        <is>
          <t>(en blanco)</t>
        </is>
      </c>
      <c r="F3050" t="inlineStr">
        <is>
          <t>D2C</t>
        </is>
      </c>
      <c r="G3050" t="inlineStr">
        <is>
          <t>M</t>
        </is>
      </c>
      <c r="H3050" t="n">
        <v>20</v>
      </c>
      <c r="I3050" t="inlineStr">
        <is>
          <t>NAUTICA_MENS_208009334_RED_1.jpg</t>
        </is>
      </c>
      <c r="J3050" t="inlineStr">
        <is>
          <t>NAUTICA_MENS_208009334_RED_2.jpg</t>
        </is>
      </c>
      <c r="K3050" t="inlineStr">
        <is>
          <t>NAUTICA_MENS_208009334_RED_3.jpg</t>
        </is>
      </c>
      <c r="L3050">
        <f>IMAGE("file:///E:/Estudios%20y%20certificaciones/ESTUDIOS%20DE%20PROGRAMMING/PROGRAMMING/PERSONAL/PYTHON/Image_Generator_API/imagenes/NAUTICA_MENS_208009334_RED_1.jpg")</f>
        <v/>
      </c>
      <c r="M3050">
        <f>IMAGE("file:///E:/Estudios%20y%20certificaciones/ESTUDIOS%20DE%20PROGRAMMING/PROGRAMMING/PERSONAL/PYTHON/Image_Generator_API/imagenes/NAUTICA_MENS_208009334_RED_2.jpg")</f>
        <v/>
      </c>
      <c r="N3050">
        <f>IMAGE("file:///E:/Estudios%20y%20certificaciones/ESTUDIOS%20DE%20PROGRAMMING/PROGRAMMING/PERSONAL/PYTHON/Image_Generator_API/imagenes/NAUTICA_MENS_208009334_RED_3.jpg")</f>
        <v/>
      </c>
      <c r="O3050">
        <f>HYPERLINK("imagenes/NAUTICA_MENS_208009334_RED_1.jpg","Ver imagen")</f>
        <v/>
      </c>
      <c r="P3050">
        <f>HYPERLINK("imagenes/NAUTICA_MENS_208009334_RED_2.jpg","Ver imagen")</f>
        <v/>
      </c>
      <c r="Q3050">
        <f>HYPERLINK("imagenes/NAUTICA_MENS_208009334_RED_3.jpg","Ver imagen")</f>
        <v/>
      </c>
    </row>
    <row r="3051">
      <c r="A3051" t="inlineStr">
        <is>
          <t>NAUTICA MENS</t>
        </is>
      </c>
      <c r="B3051" t="inlineStr">
        <is>
          <t>208009334</t>
        </is>
      </c>
      <c r="C3051" t="inlineStr">
        <is>
          <t>STRATEGICALLY SEAM SEALED SAILING JACKETSAILING JACKET</t>
        </is>
      </c>
      <c r="D3051" t="inlineStr">
        <is>
          <t>RED</t>
        </is>
      </c>
      <c r="E3051" t="inlineStr">
        <is>
          <t>(en blanco)</t>
        </is>
      </c>
      <c r="F3051" t="inlineStr">
        <is>
          <t>D2C</t>
        </is>
      </c>
      <c r="G3051" t="inlineStr">
        <is>
          <t>L</t>
        </is>
      </c>
      <c r="H3051" t="n">
        <v>19</v>
      </c>
      <c r="I3051" t="inlineStr">
        <is>
          <t>NAUTICA_MENS_208009334_RED_1.jpg</t>
        </is>
      </c>
      <c r="J3051" t="inlineStr">
        <is>
          <t>NAUTICA_MENS_208009334_RED_2.jpg</t>
        </is>
      </c>
      <c r="K3051" t="inlineStr">
        <is>
          <t>NAUTICA_MENS_208009334_RED_3.jpg</t>
        </is>
      </c>
      <c r="L3051">
        <f>IMAGE("file:///E:/Estudios%20y%20certificaciones/ESTUDIOS%20DE%20PROGRAMMING/PROGRAMMING/PERSONAL/PYTHON/Image_Generator_API/imagenes/NAUTICA_MENS_208009334_RED_1.jpg")</f>
        <v/>
      </c>
      <c r="M3051">
        <f>IMAGE("file:///E:/Estudios%20y%20certificaciones/ESTUDIOS%20DE%20PROGRAMMING/PROGRAMMING/PERSONAL/PYTHON/Image_Generator_API/imagenes/NAUTICA_MENS_208009334_RED_2.jpg")</f>
        <v/>
      </c>
      <c r="N3051">
        <f>IMAGE("file:///E:/Estudios%20y%20certificaciones/ESTUDIOS%20DE%20PROGRAMMING/PROGRAMMING/PERSONAL/PYTHON/Image_Generator_API/imagenes/NAUTICA_MENS_208009334_RED_3.jpg")</f>
        <v/>
      </c>
      <c r="O3051">
        <f>HYPERLINK("imagenes/NAUTICA_MENS_208009334_RED_1.jpg","Ver imagen")</f>
        <v/>
      </c>
      <c r="P3051">
        <f>HYPERLINK("imagenes/NAUTICA_MENS_208009334_RED_2.jpg","Ver imagen")</f>
        <v/>
      </c>
      <c r="Q3051">
        <f>HYPERLINK("imagenes/NAUTICA_MENS_208009334_RED_3.jpg","Ver imagen")</f>
        <v/>
      </c>
    </row>
    <row r="3052">
      <c r="A3052" t="inlineStr">
        <is>
          <t>NAUTICA MENS</t>
        </is>
      </c>
      <c r="B3052" t="inlineStr">
        <is>
          <t>208009334</t>
        </is>
      </c>
      <c r="C3052" t="inlineStr">
        <is>
          <t>STRATEGICALLY SEAM SEALED SAILING JACKETSAILING JACKET</t>
        </is>
      </c>
      <c r="D3052" t="inlineStr">
        <is>
          <t>RED</t>
        </is>
      </c>
      <c r="E3052" t="inlineStr">
        <is>
          <t>(en blanco)</t>
        </is>
      </c>
      <c r="F3052" t="inlineStr">
        <is>
          <t>D2C</t>
        </is>
      </c>
      <c r="G3052" t="inlineStr">
        <is>
          <t>XL</t>
        </is>
      </c>
      <c r="H3052" t="n">
        <v>20</v>
      </c>
      <c r="I3052" t="inlineStr">
        <is>
          <t>NAUTICA_MENS_208009334_RED_1.jpg</t>
        </is>
      </c>
      <c r="J3052" t="inlineStr">
        <is>
          <t>NAUTICA_MENS_208009334_RED_2.jpg</t>
        </is>
      </c>
      <c r="K3052" t="inlineStr">
        <is>
          <t>NAUTICA_MENS_208009334_RED_3.jpg</t>
        </is>
      </c>
      <c r="L3052">
        <f>IMAGE("file:///E:/Estudios%20y%20certificaciones/ESTUDIOS%20DE%20PROGRAMMING/PROGRAMMING/PERSONAL/PYTHON/Image_Generator_API/imagenes/NAUTICA_MENS_208009334_RED_1.jpg")</f>
        <v/>
      </c>
      <c r="M3052">
        <f>IMAGE("file:///E:/Estudios%20y%20certificaciones/ESTUDIOS%20DE%20PROGRAMMING/PROGRAMMING/PERSONAL/PYTHON/Image_Generator_API/imagenes/NAUTICA_MENS_208009334_RED_2.jpg")</f>
        <v/>
      </c>
      <c r="N3052">
        <f>IMAGE("file:///E:/Estudios%20y%20certificaciones/ESTUDIOS%20DE%20PROGRAMMING/PROGRAMMING/PERSONAL/PYTHON/Image_Generator_API/imagenes/NAUTICA_MENS_208009334_RED_3.jpg")</f>
        <v/>
      </c>
      <c r="O3052">
        <f>HYPERLINK("imagenes/NAUTICA_MENS_208009334_RED_1.jpg","Ver imagen")</f>
        <v/>
      </c>
      <c r="P3052">
        <f>HYPERLINK("imagenes/NAUTICA_MENS_208009334_RED_2.jpg","Ver imagen")</f>
        <v/>
      </c>
      <c r="Q3052">
        <f>HYPERLINK("imagenes/NAUTICA_MENS_208009334_RED_3.jpg","Ver imagen")</f>
        <v/>
      </c>
    </row>
    <row r="3053">
      <c r="A3053" t="inlineStr">
        <is>
          <t>NAUTICA MENS</t>
        </is>
      </c>
      <c r="B3053" t="inlineStr">
        <is>
          <t>208009334</t>
        </is>
      </c>
      <c r="C3053" t="inlineStr">
        <is>
          <t>STRATEGICALLY SEAM SEALED SAILING JACKETSAILING JACKET</t>
        </is>
      </c>
      <c r="D3053" t="inlineStr">
        <is>
          <t>RED</t>
        </is>
      </c>
      <c r="E3053" t="inlineStr">
        <is>
          <t>(en blanco)</t>
        </is>
      </c>
      <c r="F3053" t="inlineStr">
        <is>
          <t>D2C</t>
        </is>
      </c>
      <c r="G3053" t="inlineStr">
        <is>
          <t>XXL</t>
        </is>
      </c>
      <c r="H3053" t="n">
        <v>20</v>
      </c>
      <c r="I3053" t="inlineStr">
        <is>
          <t>NAUTICA_MENS_208009334_RED_1.jpg</t>
        </is>
      </c>
      <c r="J3053" t="inlineStr">
        <is>
          <t>NAUTICA_MENS_208009334_RED_2.jpg</t>
        </is>
      </c>
      <c r="K3053" t="inlineStr">
        <is>
          <t>NAUTICA_MENS_208009334_RED_3.jpg</t>
        </is>
      </c>
      <c r="L3053">
        <f>IMAGE("file:///E:/Estudios%20y%20certificaciones/ESTUDIOS%20DE%20PROGRAMMING/PROGRAMMING/PERSONAL/PYTHON/Image_Generator_API/imagenes/NAUTICA_MENS_208009334_RED_1.jpg")</f>
        <v/>
      </c>
      <c r="M3053">
        <f>IMAGE("file:///E:/Estudios%20y%20certificaciones/ESTUDIOS%20DE%20PROGRAMMING/PROGRAMMING/PERSONAL/PYTHON/Image_Generator_API/imagenes/NAUTICA_MENS_208009334_RED_2.jpg")</f>
        <v/>
      </c>
      <c r="N3053">
        <f>IMAGE("file:///E:/Estudios%20y%20certificaciones/ESTUDIOS%20DE%20PROGRAMMING/PROGRAMMING/PERSONAL/PYTHON/Image_Generator_API/imagenes/NAUTICA_MENS_208009334_RED_3.jpg")</f>
        <v/>
      </c>
      <c r="O3053">
        <f>HYPERLINK("imagenes/NAUTICA_MENS_208009334_RED_1.jpg","Ver imagen")</f>
        <v/>
      </c>
      <c r="P3053">
        <f>HYPERLINK("imagenes/NAUTICA_MENS_208009334_RED_2.jpg","Ver imagen")</f>
        <v/>
      </c>
      <c r="Q3053">
        <f>HYPERLINK("imagenes/NAUTICA_MENS_208009334_RED_3.jpg","Ver imagen")</f>
        <v/>
      </c>
    </row>
    <row r="3054">
      <c r="A3054" t="inlineStr">
        <is>
          <t>NAUTICA MENS</t>
        </is>
      </c>
      <c r="B3054" t="inlineStr">
        <is>
          <t>208009334</t>
        </is>
      </c>
      <c r="C3054" t="inlineStr">
        <is>
          <t>STRATEGICALLY SEAM SEALED SAILING JACKETSAILING JACKET</t>
        </is>
      </c>
      <c r="D3054" t="inlineStr">
        <is>
          <t>RED</t>
        </is>
      </c>
      <c r="E3054" t="inlineStr">
        <is>
          <t>(en blanco)</t>
        </is>
      </c>
      <c r="F3054" t="inlineStr">
        <is>
          <t>(en blanco)</t>
        </is>
      </c>
      <c r="G3054" t="inlineStr">
        <is>
          <t>S</t>
        </is>
      </c>
      <c r="H3054" t="n">
        <v>104</v>
      </c>
      <c r="I3054" t="inlineStr">
        <is>
          <t>NAUTICA_MENS_208009334_RED_1.jpg</t>
        </is>
      </c>
      <c r="J3054" t="inlineStr">
        <is>
          <t>NAUTICA_MENS_208009334_RED_2.jpg</t>
        </is>
      </c>
      <c r="K3054" t="inlineStr">
        <is>
          <t>NAUTICA_MENS_208009334_RED_3.jpg</t>
        </is>
      </c>
      <c r="L3054">
        <f>IMAGE("file:///E:/Estudios%20y%20certificaciones/ESTUDIOS%20DE%20PROGRAMMING/PROGRAMMING/PERSONAL/PYTHON/Image_Generator_API/imagenes/NAUTICA_MENS_208009334_RED_1.jpg")</f>
        <v/>
      </c>
      <c r="M3054">
        <f>IMAGE("file:///E:/Estudios%20y%20certificaciones/ESTUDIOS%20DE%20PROGRAMMING/PROGRAMMING/PERSONAL/PYTHON/Image_Generator_API/imagenes/NAUTICA_MENS_208009334_RED_2.jpg")</f>
        <v/>
      </c>
      <c r="N3054">
        <f>IMAGE("file:///E:/Estudios%20y%20certificaciones/ESTUDIOS%20DE%20PROGRAMMING/PROGRAMMING/PERSONAL/PYTHON/Image_Generator_API/imagenes/NAUTICA_MENS_208009334_RED_3.jpg")</f>
        <v/>
      </c>
      <c r="O3054">
        <f>HYPERLINK("imagenes/NAUTICA_MENS_208009334_RED_1.jpg","Ver imagen")</f>
        <v/>
      </c>
      <c r="P3054">
        <f>HYPERLINK("imagenes/NAUTICA_MENS_208009334_RED_2.jpg","Ver imagen")</f>
        <v/>
      </c>
      <c r="Q3054">
        <f>HYPERLINK("imagenes/NAUTICA_MENS_208009334_RED_3.jpg","Ver imagen")</f>
        <v/>
      </c>
    </row>
    <row r="3055">
      <c r="A3055" t="inlineStr">
        <is>
          <t>NAUTICA MENS</t>
        </is>
      </c>
      <c r="B3055" t="inlineStr">
        <is>
          <t>208009334</t>
        </is>
      </c>
      <c r="C3055" t="inlineStr">
        <is>
          <t>STRATEGICALLY SEAM SEALED SAILING JACKETSAILING JACKET</t>
        </is>
      </c>
      <c r="D3055" t="inlineStr">
        <is>
          <t>RED</t>
        </is>
      </c>
      <c r="E3055" t="inlineStr">
        <is>
          <t>(en blanco)</t>
        </is>
      </c>
      <c r="F3055" t="inlineStr">
        <is>
          <t>(en blanco)</t>
        </is>
      </c>
      <c r="G3055" t="inlineStr">
        <is>
          <t>M</t>
        </is>
      </c>
      <c r="H3055" t="n">
        <v>410</v>
      </c>
      <c r="I3055" t="inlineStr">
        <is>
          <t>NAUTICA_MENS_208009334_RED_1.jpg</t>
        </is>
      </c>
      <c r="J3055" t="inlineStr">
        <is>
          <t>NAUTICA_MENS_208009334_RED_2.jpg</t>
        </is>
      </c>
      <c r="K3055" t="inlineStr">
        <is>
          <t>NAUTICA_MENS_208009334_RED_3.jpg</t>
        </is>
      </c>
      <c r="L3055">
        <f>IMAGE("file:///E:/Estudios%20y%20certificaciones/ESTUDIOS%20DE%20PROGRAMMING/PROGRAMMING/PERSONAL/PYTHON/Image_Generator_API/imagenes/NAUTICA_MENS_208009334_RED_1.jpg")</f>
        <v/>
      </c>
      <c r="M3055">
        <f>IMAGE("file:///E:/Estudios%20y%20certificaciones/ESTUDIOS%20DE%20PROGRAMMING/PROGRAMMING/PERSONAL/PYTHON/Image_Generator_API/imagenes/NAUTICA_MENS_208009334_RED_2.jpg")</f>
        <v/>
      </c>
      <c r="N3055">
        <f>IMAGE("file:///E:/Estudios%20y%20certificaciones/ESTUDIOS%20DE%20PROGRAMMING/PROGRAMMING/PERSONAL/PYTHON/Image_Generator_API/imagenes/NAUTICA_MENS_208009334_RED_3.jpg")</f>
        <v/>
      </c>
      <c r="O3055">
        <f>HYPERLINK("imagenes/NAUTICA_MENS_208009334_RED_1.jpg","Ver imagen")</f>
        <v/>
      </c>
      <c r="P3055">
        <f>HYPERLINK("imagenes/NAUTICA_MENS_208009334_RED_2.jpg","Ver imagen")</f>
        <v/>
      </c>
      <c r="Q3055">
        <f>HYPERLINK("imagenes/NAUTICA_MENS_208009334_RED_3.jpg","Ver imagen")</f>
        <v/>
      </c>
    </row>
    <row r="3056">
      <c r="A3056" t="inlineStr">
        <is>
          <t>NAUTICA MENS</t>
        </is>
      </c>
      <c r="B3056" t="inlineStr">
        <is>
          <t>208009334</t>
        </is>
      </c>
      <c r="C3056" t="inlineStr">
        <is>
          <t>STRATEGICALLY SEAM SEALED SAILING JACKETSAILING JACKET</t>
        </is>
      </c>
      <c r="D3056" t="inlineStr">
        <is>
          <t>RED</t>
        </is>
      </c>
      <c r="E3056" t="inlineStr">
        <is>
          <t>(en blanco)</t>
        </is>
      </c>
      <c r="F3056" t="inlineStr">
        <is>
          <t>(en blanco)</t>
        </is>
      </c>
      <c r="G3056" t="inlineStr">
        <is>
          <t>L</t>
        </is>
      </c>
      <c r="H3056" t="n">
        <v>828</v>
      </c>
      <c r="I3056" t="inlineStr">
        <is>
          <t>NAUTICA_MENS_208009334_RED_1.jpg</t>
        </is>
      </c>
      <c r="J3056" t="inlineStr">
        <is>
          <t>NAUTICA_MENS_208009334_RED_2.jpg</t>
        </is>
      </c>
      <c r="K3056" t="inlineStr">
        <is>
          <t>NAUTICA_MENS_208009334_RED_3.jpg</t>
        </is>
      </c>
      <c r="L3056">
        <f>IMAGE("file:///E:/Estudios%20y%20certificaciones/ESTUDIOS%20DE%20PROGRAMMING/PROGRAMMING/PERSONAL/PYTHON/Image_Generator_API/imagenes/NAUTICA_MENS_208009334_RED_1.jpg")</f>
        <v/>
      </c>
      <c r="M3056">
        <f>IMAGE("file:///E:/Estudios%20y%20certificaciones/ESTUDIOS%20DE%20PROGRAMMING/PROGRAMMING/PERSONAL/PYTHON/Image_Generator_API/imagenes/NAUTICA_MENS_208009334_RED_2.jpg")</f>
        <v/>
      </c>
      <c r="N3056">
        <f>IMAGE("file:///E:/Estudios%20y%20certificaciones/ESTUDIOS%20DE%20PROGRAMMING/PROGRAMMING/PERSONAL/PYTHON/Image_Generator_API/imagenes/NAUTICA_MENS_208009334_RED_3.jpg")</f>
        <v/>
      </c>
      <c r="O3056">
        <f>HYPERLINK("imagenes/NAUTICA_MENS_208009334_RED_1.jpg","Ver imagen")</f>
        <v/>
      </c>
      <c r="P3056">
        <f>HYPERLINK("imagenes/NAUTICA_MENS_208009334_RED_2.jpg","Ver imagen")</f>
        <v/>
      </c>
      <c r="Q3056">
        <f>HYPERLINK("imagenes/NAUTICA_MENS_208009334_RED_3.jpg","Ver imagen")</f>
        <v/>
      </c>
    </row>
    <row r="3057">
      <c r="A3057" t="inlineStr">
        <is>
          <t>NAUTICA MENS</t>
        </is>
      </c>
      <c r="B3057" t="inlineStr">
        <is>
          <t>208009334</t>
        </is>
      </c>
      <c r="C3057" t="inlineStr">
        <is>
          <t>STRATEGICALLY SEAM SEALED SAILING JACKETSAILING JACKET</t>
        </is>
      </c>
      <c r="D3057" t="inlineStr">
        <is>
          <t>RED</t>
        </is>
      </c>
      <c r="E3057" t="inlineStr">
        <is>
          <t>(en blanco)</t>
        </is>
      </c>
      <c r="F3057" t="inlineStr">
        <is>
          <t>(en blanco)</t>
        </is>
      </c>
      <c r="G3057" t="inlineStr">
        <is>
          <t>XL</t>
        </is>
      </c>
      <c r="H3057" t="n">
        <v>1029</v>
      </c>
      <c r="I3057" t="inlineStr">
        <is>
          <t>NAUTICA_MENS_208009334_RED_1.jpg</t>
        </is>
      </c>
      <c r="J3057" t="inlineStr">
        <is>
          <t>NAUTICA_MENS_208009334_RED_2.jpg</t>
        </is>
      </c>
      <c r="K3057" t="inlineStr">
        <is>
          <t>NAUTICA_MENS_208009334_RED_3.jpg</t>
        </is>
      </c>
      <c r="L3057">
        <f>IMAGE("file:///E:/Estudios%20y%20certificaciones/ESTUDIOS%20DE%20PROGRAMMING/PROGRAMMING/PERSONAL/PYTHON/Image_Generator_API/imagenes/NAUTICA_MENS_208009334_RED_1.jpg")</f>
        <v/>
      </c>
      <c r="M3057">
        <f>IMAGE("file:///E:/Estudios%20y%20certificaciones/ESTUDIOS%20DE%20PROGRAMMING/PROGRAMMING/PERSONAL/PYTHON/Image_Generator_API/imagenes/NAUTICA_MENS_208009334_RED_2.jpg")</f>
        <v/>
      </c>
      <c r="N3057">
        <f>IMAGE("file:///E:/Estudios%20y%20certificaciones/ESTUDIOS%20DE%20PROGRAMMING/PROGRAMMING/PERSONAL/PYTHON/Image_Generator_API/imagenes/NAUTICA_MENS_208009334_RED_3.jpg")</f>
        <v/>
      </c>
      <c r="O3057">
        <f>HYPERLINK("imagenes/NAUTICA_MENS_208009334_RED_1.jpg","Ver imagen")</f>
        <v/>
      </c>
      <c r="P3057">
        <f>HYPERLINK("imagenes/NAUTICA_MENS_208009334_RED_2.jpg","Ver imagen")</f>
        <v/>
      </c>
      <c r="Q3057">
        <f>HYPERLINK("imagenes/NAUTICA_MENS_208009334_RED_3.jpg","Ver imagen")</f>
        <v/>
      </c>
    </row>
    <row r="3058">
      <c r="A3058" t="inlineStr">
        <is>
          <t>NAUTICA MENS</t>
        </is>
      </c>
      <c r="B3058" t="inlineStr">
        <is>
          <t>208009334</t>
        </is>
      </c>
      <c r="C3058" t="inlineStr">
        <is>
          <t>STRATEGICALLY SEAM SEALED SAILING JACKETSAILING JACKET</t>
        </is>
      </c>
      <c r="D3058" t="inlineStr">
        <is>
          <t>RED</t>
        </is>
      </c>
      <c r="E3058" t="inlineStr">
        <is>
          <t>(en blanco)</t>
        </is>
      </c>
      <c r="F3058" t="inlineStr">
        <is>
          <t>(en blanco)</t>
        </is>
      </c>
      <c r="G3058" t="inlineStr">
        <is>
          <t>XXL</t>
        </is>
      </c>
      <c r="H3058" t="n">
        <v>531</v>
      </c>
      <c r="I3058" t="inlineStr">
        <is>
          <t>NAUTICA_MENS_208009334_RED_1.jpg</t>
        </is>
      </c>
      <c r="J3058" t="inlineStr">
        <is>
          <t>NAUTICA_MENS_208009334_RED_2.jpg</t>
        </is>
      </c>
      <c r="K3058" t="inlineStr">
        <is>
          <t>NAUTICA_MENS_208009334_RED_3.jpg</t>
        </is>
      </c>
      <c r="L3058">
        <f>IMAGE("file:///E:/Estudios%20y%20certificaciones/ESTUDIOS%20DE%20PROGRAMMING/PROGRAMMING/PERSONAL/PYTHON/Image_Generator_API/imagenes/NAUTICA_MENS_208009334_RED_1.jpg")</f>
        <v/>
      </c>
      <c r="M3058">
        <f>IMAGE("file:///E:/Estudios%20y%20certificaciones/ESTUDIOS%20DE%20PROGRAMMING/PROGRAMMING/PERSONAL/PYTHON/Image_Generator_API/imagenes/NAUTICA_MENS_208009334_RED_2.jpg")</f>
        <v/>
      </c>
      <c r="N3058">
        <f>IMAGE("file:///E:/Estudios%20y%20certificaciones/ESTUDIOS%20DE%20PROGRAMMING/PROGRAMMING/PERSONAL/PYTHON/Image_Generator_API/imagenes/NAUTICA_MENS_208009334_RED_3.jpg")</f>
        <v/>
      </c>
      <c r="O3058">
        <f>HYPERLINK("imagenes/NAUTICA_MENS_208009334_RED_1.jpg","Ver imagen")</f>
        <v/>
      </c>
      <c r="P3058">
        <f>HYPERLINK("imagenes/NAUTICA_MENS_208009334_RED_2.jpg","Ver imagen")</f>
        <v/>
      </c>
      <c r="Q3058">
        <f>HYPERLINK("imagenes/NAUTICA_MENS_208009334_RED_3.jpg","Ver imagen")</f>
        <v/>
      </c>
    </row>
    <row r="3059">
      <c r="A3059" t="inlineStr">
        <is>
          <t>NAUTICA MENS</t>
        </is>
      </c>
      <c r="B3059" t="inlineStr">
        <is>
          <t>208009470</t>
        </is>
      </c>
      <c r="C3059" t="inlineStr">
        <is>
          <t>QUILTED MID WEIGHT JACKET</t>
        </is>
      </c>
      <c r="D3059" t="inlineStr">
        <is>
          <t>BGI</t>
        </is>
      </c>
      <c r="E3059" t="inlineStr">
        <is>
          <t>12A09</t>
        </is>
      </c>
      <c r="F3059" t="inlineStr">
        <is>
          <t>M2360</t>
        </is>
      </c>
      <c r="G3059" t="inlineStr">
        <is>
          <t>PPK</t>
        </is>
      </c>
      <c r="H3059" t="n">
        <v>0</v>
      </c>
      <c r="I3059" t="inlineStr">
        <is>
          <t>NAUTICA_MENS_208009470_BGI_1.jpg</t>
        </is>
      </c>
      <c r="J3059" t="inlineStr">
        <is>
          <t>NAUTICA_MENS_208009470_BGI_2.jpg</t>
        </is>
      </c>
      <c r="K3059" t="inlineStr">
        <is>
          <t>NAUTICA_MENS_208009470_BGI_3.jpg</t>
        </is>
      </c>
      <c r="L3059">
        <f>IMAGE("file:///E:/Estudios%20y%20certificaciones/ESTUDIOS%20DE%20PROGRAMMING/PROGRAMMING/PERSONAL/PYTHON/Image_Generator_API/imagenes/NAUTICA_MENS_208009470_BGI_1.jpg")</f>
        <v/>
      </c>
      <c r="M3059">
        <f>IMAGE("file:///E:/Estudios%20y%20certificaciones/ESTUDIOS%20DE%20PROGRAMMING/PROGRAMMING/PERSONAL/PYTHON/Image_Generator_API/imagenes/NAUTICA_MENS_208009470_BGI_2.jpg")</f>
        <v/>
      </c>
      <c r="N3059">
        <f>IMAGE("file:///E:/Estudios%20y%20certificaciones/ESTUDIOS%20DE%20PROGRAMMING/PROGRAMMING/PERSONAL/PYTHON/Image_Generator_API/imagenes/NAUTICA_MENS_208009470_BGI_3.jpg")</f>
        <v/>
      </c>
      <c r="O3059">
        <f>HYPERLINK("imagenes/NAUTICA_MENS_208009470_BGI_1.jpg","Ver imagen")</f>
        <v/>
      </c>
      <c r="P3059">
        <f>HYPERLINK("imagenes/NAUTICA_MENS_208009470_BGI_2.jpg","Ver imagen")</f>
        <v/>
      </c>
      <c r="Q3059">
        <f>HYPERLINK("imagenes/NAUTICA_MENS_208009470_BGI_3.jpg","Ver imagen")</f>
        <v/>
      </c>
    </row>
    <row r="3060">
      <c r="A3060" t="inlineStr">
        <is>
          <t>NAUTICA MENS</t>
        </is>
      </c>
      <c r="B3060" t="inlineStr">
        <is>
          <t>208009470</t>
        </is>
      </c>
      <c r="C3060" t="inlineStr">
        <is>
          <t>QUILTED MID WEIGHT JACKET</t>
        </is>
      </c>
      <c r="D3060" t="inlineStr">
        <is>
          <t>BGI</t>
        </is>
      </c>
      <c r="E3060" t="inlineStr">
        <is>
          <t>(en blanco)</t>
        </is>
      </c>
      <c r="F3060" t="inlineStr">
        <is>
          <t>(en blanco)</t>
        </is>
      </c>
      <c r="G3060" t="inlineStr">
        <is>
          <t>S</t>
        </is>
      </c>
      <c r="H3060" t="n">
        <v>1</v>
      </c>
      <c r="I3060" t="inlineStr">
        <is>
          <t>NAUTICA_MENS_208009470_BGI_1.jpg</t>
        </is>
      </c>
      <c r="J3060" t="inlineStr">
        <is>
          <t>NAUTICA_MENS_208009470_BGI_2.jpg</t>
        </is>
      </c>
      <c r="K3060" t="inlineStr">
        <is>
          <t>NAUTICA_MENS_208009470_BGI_3.jpg</t>
        </is>
      </c>
      <c r="L3060">
        <f>IMAGE("file:///E:/Estudios%20y%20certificaciones/ESTUDIOS%20DE%20PROGRAMMING/PROGRAMMING/PERSONAL/PYTHON/Image_Generator_API/imagenes/NAUTICA_MENS_208009470_BGI_1.jpg")</f>
        <v/>
      </c>
      <c r="M3060">
        <f>IMAGE("file:///E:/Estudios%20y%20certificaciones/ESTUDIOS%20DE%20PROGRAMMING/PROGRAMMING/PERSONAL/PYTHON/Image_Generator_API/imagenes/NAUTICA_MENS_208009470_BGI_2.jpg")</f>
        <v/>
      </c>
      <c r="N3060">
        <f>IMAGE("file:///E:/Estudios%20y%20certificaciones/ESTUDIOS%20DE%20PROGRAMMING/PROGRAMMING/PERSONAL/PYTHON/Image_Generator_API/imagenes/NAUTICA_MENS_208009470_BGI_3.jpg")</f>
        <v/>
      </c>
      <c r="O3060">
        <f>HYPERLINK("imagenes/NAUTICA_MENS_208009470_BGI_1.jpg","Ver imagen")</f>
        <v/>
      </c>
      <c r="P3060">
        <f>HYPERLINK("imagenes/NAUTICA_MENS_208009470_BGI_2.jpg","Ver imagen")</f>
        <v/>
      </c>
      <c r="Q3060">
        <f>HYPERLINK("imagenes/NAUTICA_MENS_208009470_BGI_3.jpg","Ver imagen")</f>
        <v/>
      </c>
    </row>
    <row r="3061">
      <c r="A3061" t="inlineStr">
        <is>
          <t>NAUTICA MENS</t>
        </is>
      </c>
      <c r="B3061" t="inlineStr">
        <is>
          <t>208009470</t>
        </is>
      </c>
      <c r="C3061" t="inlineStr">
        <is>
          <t>QUILTED MID WEIGHT JACKET</t>
        </is>
      </c>
      <c r="D3061" t="inlineStr">
        <is>
          <t>BGI</t>
        </is>
      </c>
      <c r="E3061" t="inlineStr">
        <is>
          <t>(en blanco)</t>
        </is>
      </c>
      <c r="F3061" t="inlineStr">
        <is>
          <t>(en blanco)</t>
        </is>
      </c>
      <c r="G3061" t="inlineStr">
        <is>
          <t>M</t>
        </is>
      </c>
      <c r="H3061" t="n">
        <v>2</v>
      </c>
      <c r="I3061" t="inlineStr">
        <is>
          <t>NAUTICA_MENS_208009470_BGI_1.jpg</t>
        </is>
      </c>
      <c r="J3061" t="inlineStr">
        <is>
          <t>NAUTICA_MENS_208009470_BGI_2.jpg</t>
        </is>
      </c>
      <c r="K3061" t="inlineStr">
        <is>
          <t>NAUTICA_MENS_208009470_BGI_3.jpg</t>
        </is>
      </c>
      <c r="L3061">
        <f>IMAGE("file:///E:/Estudios%20y%20certificaciones/ESTUDIOS%20DE%20PROGRAMMING/PROGRAMMING/PERSONAL/PYTHON/Image_Generator_API/imagenes/NAUTICA_MENS_208009470_BGI_1.jpg")</f>
        <v/>
      </c>
      <c r="M3061">
        <f>IMAGE("file:///E:/Estudios%20y%20certificaciones/ESTUDIOS%20DE%20PROGRAMMING/PROGRAMMING/PERSONAL/PYTHON/Image_Generator_API/imagenes/NAUTICA_MENS_208009470_BGI_2.jpg")</f>
        <v/>
      </c>
      <c r="N3061">
        <f>IMAGE("file:///E:/Estudios%20y%20certificaciones/ESTUDIOS%20DE%20PROGRAMMING/PROGRAMMING/PERSONAL/PYTHON/Image_Generator_API/imagenes/NAUTICA_MENS_208009470_BGI_3.jpg")</f>
        <v/>
      </c>
      <c r="O3061">
        <f>HYPERLINK("imagenes/NAUTICA_MENS_208009470_BGI_1.jpg","Ver imagen")</f>
        <v/>
      </c>
      <c r="P3061">
        <f>HYPERLINK("imagenes/NAUTICA_MENS_208009470_BGI_2.jpg","Ver imagen")</f>
        <v/>
      </c>
      <c r="Q3061">
        <f>HYPERLINK("imagenes/NAUTICA_MENS_208009470_BGI_3.jpg","Ver imagen")</f>
        <v/>
      </c>
    </row>
    <row r="3062">
      <c r="A3062" t="inlineStr">
        <is>
          <t>NAUTICA MENS</t>
        </is>
      </c>
      <c r="B3062" t="inlineStr">
        <is>
          <t>208009470</t>
        </is>
      </c>
      <c r="C3062" t="inlineStr">
        <is>
          <t>QUILTED MID WEIGHT JACKET</t>
        </is>
      </c>
      <c r="D3062" t="inlineStr">
        <is>
          <t>BGI</t>
        </is>
      </c>
      <c r="E3062" t="inlineStr">
        <is>
          <t>(en blanco)</t>
        </is>
      </c>
      <c r="F3062" t="inlineStr">
        <is>
          <t>(en blanco)</t>
        </is>
      </c>
      <c r="G3062" t="inlineStr">
        <is>
          <t>L</t>
        </is>
      </c>
      <c r="H3062" t="n">
        <v>3</v>
      </c>
      <c r="I3062" t="inlineStr">
        <is>
          <t>NAUTICA_MENS_208009470_BGI_1.jpg</t>
        </is>
      </c>
      <c r="J3062" t="inlineStr">
        <is>
          <t>NAUTICA_MENS_208009470_BGI_2.jpg</t>
        </is>
      </c>
      <c r="K3062" t="inlineStr">
        <is>
          <t>NAUTICA_MENS_208009470_BGI_3.jpg</t>
        </is>
      </c>
      <c r="L3062">
        <f>IMAGE("file:///E:/Estudios%20y%20certificaciones/ESTUDIOS%20DE%20PROGRAMMING/PROGRAMMING/PERSONAL/PYTHON/Image_Generator_API/imagenes/NAUTICA_MENS_208009470_BGI_1.jpg")</f>
        <v/>
      </c>
      <c r="M3062">
        <f>IMAGE("file:///E:/Estudios%20y%20certificaciones/ESTUDIOS%20DE%20PROGRAMMING/PROGRAMMING/PERSONAL/PYTHON/Image_Generator_API/imagenes/NAUTICA_MENS_208009470_BGI_2.jpg")</f>
        <v/>
      </c>
      <c r="N3062">
        <f>IMAGE("file:///E:/Estudios%20y%20certificaciones/ESTUDIOS%20DE%20PROGRAMMING/PROGRAMMING/PERSONAL/PYTHON/Image_Generator_API/imagenes/NAUTICA_MENS_208009470_BGI_3.jpg")</f>
        <v/>
      </c>
      <c r="O3062">
        <f>HYPERLINK("imagenes/NAUTICA_MENS_208009470_BGI_1.jpg","Ver imagen")</f>
        <v/>
      </c>
      <c r="P3062">
        <f>HYPERLINK("imagenes/NAUTICA_MENS_208009470_BGI_2.jpg","Ver imagen")</f>
        <v/>
      </c>
      <c r="Q3062">
        <f>HYPERLINK("imagenes/NAUTICA_MENS_208009470_BGI_3.jpg","Ver imagen")</f>
        <v/>
      </c>
    </row>
    <row r="3063">
      <c r="A3063" t="inlineStr">
        <is>
          <t>NAUTICA MENS</t>
        </is>
      </c>
      <c r="B3063" t="inlineStr">
        <is>
          <t>208009470</t>
        </is>
      </c>
      <c r="C3063" t="inlineStr">
        <is>
          <t>QUILTED MID WEIGHT JACKET</t>
        </is>
      </c>
      <c r="D3063" t="inlineStr">
        <is>
          <t>BGI</t>
        </is>
      </c>
      <c r="E3063" t="inlineStr">
        <is>
          <t>(en blanco)</t>
        </is>
      </c>
      <c r="F3063" t="inlineStr">
        <is>
          <t>(en blanco)</t>
        </is>
      </c>
      <c r="G3063" t="inlineStr">
        <is>
          <t>XL</t>
        </is>
      </c>
      <c r="H3063" t="n">
        <v>2</v>
      </c>
      <c r="I3063" t="inlineStr">
        <is>
          <t>NAUTICA_MENS_208009470_BGI_1.jpg</t>
        </is>
      </c>
      <c r="J3063" t="inlineStr">
        <is>
          <t>NAUTICA_MENS_208009470_BGI_2.jpg</t>
        </is>
      </c>
      <c r="K3063" t="inlineStr">
        <is>
          <t>NAUTICA_MENS_208009470_BGI_3.jpg</t>
        </is>
      </c>
      <c r="L3063">
        <f>IMAGE("file:///E:/Estudios%20y%20certificaciones/ESTUDIOS%20DE%20PROGRAMMING/PROGRAMMING/PERSONAL/PYTHON/Image_Generator_API/imagenes/NAUTICA_MENS_208009470_BGI_1.jpg")</f>
        <v/>
      </c>
      <c r="M3063">
        <f>IMAGE("file:///E:/Estudios%20y%20certificaciones/ESTUDIOS%20DE%20PROGRAMMING/PROGRAMMING/PERSONAL/PYTHON/Image_Generator_API/imagenes/NAUTICA_MENS_208009470_BGI_2.jpg")</f>
        <v/>
      </c>
      <c r="N3063">
        <f>IMAGE("file:///E:/Estudios%20y%20certificaciones/ESTUDIOS%20DE%20PROGRAMMING/PROGRAMMING/PERSONAL/PYTHON/Image_Generator_API/imagenes/NAUTICA_MENS_208009470_BGI_3.jpg")</f>
        <v/>
      </c>
      <c r="O3063">
        <f>HYPERLINK("imagenes/NAUTICA_MENS_208009470_BGI_1.jpg","Ver imagen")</f>
        <v/>
      </c>
      <c r="P3063">
        <f>HYPERLINK("imagenes/NAUTICA_MENS_208009470_BGI_2.jpg","Ver imagen")</f>
        <v/>
      </c>
      <c r="Q3063">
        <f>HYPERLINK("imagenes/NAUTICA_MENS_208009470_BGI_3.jpg","Ver imagen")</f>
        <v/>
      </c>
    </row>
    <row r="3064">
      <c r="A3064" t="inlineStr">
        <is>
          <t>NAUTICA MENS</t>
        </is>
      </c>
      <c r="B3064" t="inlineStr">
        <is>
          <t>208009470</t>
        </is>
      </c>
      <c r="C3064" t="inlineStr">
        <is>
          <t>QUILTED MID WEIGHT JACKET</t>
        </is>
      </c>
      <c r="D3064" t="inlineStr">
        <is>
          <t>BGI</t>
        </is>
      </c>
      <c r="E3064" t="inlineStr">
        <is>
          <t>(en blanco)</t>
        </is>
      </c>
      <c r="F3064" t="inlineStr">
        <is>
          <t>(en blanco)</t>
        </is>
      </c>
      <c r="G3064" t="inlineStr">
        <is>
          <t>XXL</t>
        </is>
      </c>
      <c r="H3064" t="n">
        <v>2</v>
      </c>
      <c r="I3064" t="inlineStr">
        <is>
          <t>NAUTICA_MENS_208009470_BGI_1.jpg</t>
        </is>
      </c>
      <c r="J3064" t="inlineStr">
        <is>
          <t>NAUTICA_MENS_208009470_BGI_2.jpg</t>
        </is>
      </c>
      <c r="K3064" t="inlineStr">
        <is>
          <t>NAUTICA_MENS_208009470_BGI_3.jpg</t>
        </is>
      </c>
      <c r="L3064">
        <f>IMAGE("file:///E:/Estudios%20y%20certificaciones/ESTUDIOS%20DE%20PROGRAMMING/PROGRAMMING/PERSONAL/PYTHON/Image_Generator_API/imagenes/NAUTICA_MENS_208009470_BGI_1.jpg")</f>
        <v/>
      </c>
      <c r="M3064">
        <f>IMAGE("file:///E:/Estudios%20y%20certificaciones/ESTUDIOS%20DE%20PROGRAMMING/PROGRAMMING/PERSONAL/PYTHON/Image_Generator_API/imagenes/NAUTICA_MENS_208009470_BGI_2.jpg")</f>
        <v/>
      </c>
      <c r="N3064">
        <f>IMAGE("file:///E:/Estudios%20y%20certificaciones/ESTUDIOS%20DE%20PROGRAMMING/PROGRAMMING/PERSONAL/PYTHON/Image_Generator_API/imagenes/NAUTICA_MENS_208009470_BGI_3.jpg")</f>
        <v/>
      </c>
      <c r="O3064">
        <f>HYPERLINK("imagenes/NAUTICA_MENS_208009470_BGI_1.jpg","Ver imagen")</f>
        <v/>
      </c>
      <c r="P3064">
        <f>HYPERLINK("imagenes/NAUTICA_MENS_208009470_BGI_2.jpg","Ver imagen")</f>
        <v/>
      </c>
      <c r="Q3064">
        <f>HYPERLINK("imagenes/NAUTICA_MENS_208009470_BGI_3.jpg","Ver imagen")</f>
        <v/>
      </c>
    </row>
    <row r="3065">
      <c r="A3065" t="inlineStr">
        <is>
          <t>NAUTICA MENS</t>
        </is>
      </c>
      <c r="B3065" t="inlineStr">
        <is>
          <t>208009470</t>
        </is>
      </c>
      <c r="C3065" t="inlineStr">
        <is>
          <t>QUILTED MID WEIGHT JACKET</t>
        </is>
      </c>
      <c r="D3065" t="inlineStr">
        <is>
          <t>BLK</t>
        </is>
      </c>
      <c r="E3065" t="inlineStr">
        <is>
          <t>(en blanco)</t>
        </is>
      </c>
      <c r="F3065" t="inlineStr">
        <is>
          <t>(en blanco)</t>
        </is>
      </c>
      <c r="G3065" t="inlineStr">
        <is>
          <t>S</t>
        </is>
      </c>
      <c r="H3065" t="n">
        <v>1</v>
      </c>
      <c r="I3065" t="inlineStr">
        <is>
          <t>NAUTICA_MENS_208009470_BLK_1.jpg</t>
        </is>
      </c>
      <c r="J3065" t="inlineStr">
        <is>
          <t>NAUTICA_MENS_208009470_BLK_2.jpg</t>
        </is>
      </c>
      <c r="K3065" t="inlineStr">
        <is>
          <t>NAUTICA_MENS_208009470_BLK_3.jpg</t>
        </is>
      </c>
      <c r="L3065">
        <f>IMAGE("file:///E:/Estudios%20y%20certificaciones/ESTUDIOS%20DE%20PROGRAMMING/PROGRAMMING/PERSONAL/PYTHON/Image_Generator_API/imagenes/NAUTICA_MENS_208009470_BLK_1.jpg")</f>
        <v/>
      </c>
      <c r="M3065">
        <f>IMAGE("file:///E:/Estudios%20y%20certificaciones/ESTUDIOS%20DE%20PROGRAMMING/PROGRAMMING/PERSONAL/PYTHON/Image_Generator_API/imagenes/NAUTICA_MENS_208009470_BLK_2.jpg")</f>
        <v/>
      </c>
      <c r="N3065">
        <f>IMAGE("file:///E:/Estudios%20y%20certificaciones/ESTUDIOS%20DE%20PROGRAMMING/PROGRAMMING/PERSONAL/PYTHON/Image_Generator_API/imagenes/NAUTICA_MENS_208009470_BLK_3.jpg")</f>
        <v/>
      </c>
      <c r="O3065">
        <f>HYPERLINK("imagenes/NAUTICA_MENS_208009470_BLK_1.jpg","Ver imagen")</f>
        <v/>
      </c>
      <c r="P3065">
        <f>HYPERLINK("imagenes/NAUTICA_MENS_208009470_BLK_2.jpg","Ver imagen")</f>
        <v/>
      </c>
      <c r="Q3065">
        <f>HYPERLINK("imagenes/NAUTICA_MENS_208009470_BLK_3.jpg","Ver imagen")</f>
        <v/>
      </c>
    </row>
    <row r="3066">
      <c r="A3066" t="inlineStr">
        <is>
          <t>NAUTICA MENS</t>
        </is>
      </c>
      <c r="B3066" t="inlineStr">
        <is>
          <t>208009470</t>
        </is>
      </c>
      <c r="C3066" t="inlineStr">
        <is>
          <t>QUILTED MID WEIGHT JACKET</t>
        </is>
      </c>
      <c r="D3066" t="inlineStr">
        <is>
          <t>BLK</t>
        </is>
      </c>
      <c r="E3066" t="inlineStr">
        <is>
          <t>(en blanco)</t>
        </is>
      </c>
      <c r="F3066" t="inlineStr">
        <is>
          <t>(en blanco)</t>
        </is>
      </c>
      <c r="G3066" t="inlineStr">
        <is>
          <t>M</t>
        </is>
      </c>
      <c r="H3066" t="n">
        <v>2</v>
      </c>
      <c r="I3066" t="inlineStr">
        <is>
          <t>NAUTICA_MENS_208009470_BLK_1.jpg</t>
        </is>
      </c>
      <c r="J3066" t="inlineStr">
        <is>
          <t>NAUTICA_MENS_208009470_BLK_2.jpg</t>
        </is>
      </c>
      <c r="K3066" t="inlineStr">
        <is>
          <t>NAUTICA_MENS_208009470_BLK_3.jpg</t>
        </is>
      </c>
      <c r="L3066">
        <f>IMAGE("file:///E:/Estudios%20y%20certificaciones/ESTUDIOS%20DE%20PROGRAMMING/PROGRAMMING/PERSONAL/PYTHON/Image_Generator_API/imagenes/NAUTICA_MENS_208009470_BLK_1.jpg")</f>
        <v/>
      </c>
      <c r="M3066">
        <f>IMAGE("file:///E:/Estudios%20y%20certificaciones/ESTUDIOS%20DE%20PROGRAMMING/PROGRAMMING/PERSONAL/PYTHON/Image_Generator_API/imagenes/NAUTICA_MENS_208009470_BLK_2.jpg")</f>
        <v/>
      </c>
      <c r="N3066">
        <f>IMAGE("file:///E:/Estudios%20y%20certificaciones/ESTUDIOS%20DE%20PROGRAMMING/PROGRAMMING/PERSONAL/PYTHON/Image_Generator_API/imagenes/NAUTICA_MENS_208009470_BLK_3.jpg")</f>
        <v/>
      </c>
      <c r="O3066">
        <f>HYPERLINK("imagenes/NAUTICA_MENS_208009470_BLK_1.jpg","Ver imagen")</f>
        <v/>
      </c>
      <c r="P3066">
        <f>HYPERLINK("imagenes/NAUTICA_MENS_208009470_BLK_2.jpg","Ver imagen")</f>
        <v/>
      </c>
      <c r="Q3066">
        <f>HYPERLINK("imagenes/NAUTICA_MENS_208009470_BLK_3.jpg","Ver imagen")</f>
        <v/>
      </c>
    </row>
    <row r="3067">
      <c r="A3067" t="inlineStr">
        <is>
          <t>NAUTICA MENS</t>
        </is>
      </c>
      <c r="B3067" t="inlineStr">
        <is>
          <t>208009470</t>
        </is>
      </c>
      <c r="C3067" t="inlineStr">
        <is>
          <t>QUILTED MID WEIGHT JACKET</t>
        </is>
      </c>
      <c r="D3067" t="inlineStr">
        <is>
          <t>BLK</t>
        </is>
      </c>
      <c r="E3067" t="inlineStr">
        <is>
          <t>(en blanco)</t>
        </is>
      </c>
      <c r="F3067" t="inlineStr">
        <is>
          <t>(en blanco)</t>
        </is>
      </c>
      <c r="G3067" t="inlineStr">
        <is>
          <t>L</t>
        </is>
      </c>
      <c r="H3067" t="n">
        <v>3</v>
      </c>
      <c r="I3067" t="inlineStr">
        <is>
          <t>NAUTICA_MENS_208009470_BLK_1.jpg</t>
        </is>
      </c>
      <c r="J3067" t="inlineStr">
        <is>
          <t>NAUTICA_MENS_208009470_BLK_2.jpg</t>
        </is>
      </c>
      <c r="K3067" t="inlineStr">
        <is>
          <t>NAUTICA_MENS_208009470_BLK_3.jpg</t>
        </is>
      </c>
      <c r="L3067">
        <f>IMAGE("file:///E:/Estudios%20y%20certificaciones/ESTUDIOS%20DE%20PROGRAMMING/PROGRAMMING/PERSONAL/PYTHON/Image_Generator_API/imagenes/NAUTICA_MENS_208009470_BLK_1.jpg")</f>
        <v/>
      </c>
      <c r="M3067">
        <f>IMAGE("file:///E:/Estudios%20y%20certificaciones/ESTUDIOS%20DE%20PROGRAMMING/PROGRAMMING/PERSONAL/PYTHON/Image_Generator_API/imagenes/NAUTICA_MENS_208009470_BLK_2.jpg")</f>
        <v/>
      </c>
      <c r="N3067">
        <f>IMAGE("file:///E:/Estudios%20y%20certificaciones/ESTUDIOS%20DE%20PROGRAMMING/PROGRAMMING/PERSONAL/PYTHON/Image_Generator_API/imagenes/NAUTICA_MENS_208009470_BLK_3.jpg")</f>
        <v/>
      </c>
      <c r="O3067">
        <f>HYPERLINK("imagenes/NAUTICA_MENS_208009470_BLK_1.jpg","Ver imagen")</f>
        <v/>
      </c>
      <c r="P3067">
        <f>HYPERLINK("imagenes/NAUTICA_MENS_208009470_BLK_2.jpg","Ver imagen")</f>
        <v/>
      </c>
      <c r="Q3067">
        <f>HYPERLINK("imagenes/NAUTICA_MENS_208009470_BLK_3.jpg","Ver imagen")</f>
        <v/>
      </c>
    </row>
    <row r="3068">
      <c r="A3068" t="inlineStr">
        <is>
          <t>NAUTICA MENS</t>
        </is>
      </c>
      <c r="B3068" t="inlineStr">
        <is>
          <t>208009470</t>
        </is>
      </c>
      <c r="C3068" t="inlineStr">
        <is>
          <t>QUILTED MID WEIGHT JACKET</t>
        </is>
      </c>
      <c r="D3068" t="inlineStr">
        <is>
          <t>BLK</t>
        </is>
      </c>
      <c r="E3068" t="inlineStr">
        <is>
          <t>(en blanco)</t>
        </is>
      </c>
      <c r="F3068" t="inlineStr">
        <is>
          <t>(en blanco)</t>
        </is>
      </c>
      <c r="G3068" t="inlineStr">
        <is>
          <t>XL</t>
        </is>
      </c>
      <c r="H3068" t="n">
        <v>2</v>
      </c>
      <c r="I3068" t="inlineStr">
        <is>
          <t>NAUTICA_MENS_208009470_BLK_1.jpg</t>
        </is>
      </c>
      <c r="J3068" t="inlineStr">
        <is>
          <t>NAUTICA_MENS_208009470_BLK_2.jpg</t>
        </is>
      </c>
      <c r="K3068" t="inlineStr">
        <is>
          <t>NAUTICA_MENS_208009470_BLK_3.jpg</t>
        </is>
      </c>
      <c r="L3068">
        <f>IMAGE("file:///E:/Estudios%20y%20certificaciones/ESTUDIOS%20DE%20PROGRAMMING/PROGRAMMING/PERSONAL/PYTHON/Image_Generator_API/imagenes/NAUTICA_MENS_208009470_BLK_1.jpg")</f>
        <v/>
      </c>
      <c r="M3068">
        <f>IMAGE("file:///E:/Estudios%20y%20certificaciones/ESTUDIOS%20DE%20PROGRAMMING/PROGRAMMING/PERSONAL/PYTHON/Image_Generator_API/imagenes/NAUTICA_MENS_208009470_BLK_2.jpg")</f>
        <v/>
      </c>
      <c r="N3068">
        <f>IMAGE("file:///E:/Estudios%20y%20certificaciones/ESTUDIOS%20DE%20PROGRAMMING/PROGRAMMING/PERSONAL/PYTHON/Image_Generator_API/imagenes/NAUTICA_MENS_208009470_BLK_3.jpg")</f>
        <v/>
      </c>
      <c r="O3068">
        <f>HYPERLINK("imagenes/NAUTICA_MENS_208009470_BLK_1.jpg","Ver imagen")</f>
        <v/>
      </c>
      <c r="P3068">
        <f>HYPERLINK("imagenes/NAUTICA_MENS_208009470_BLK_2.jpg","Ver imagen")</f>
        <v/>
      </c>
      <c r="Q3068">
        <f>HYPERLINK("imagenes/NAUTICA_MENS_208009470_BLK_3.jpg","Ver imagen")</f>
        <v/>
      </c>
    </row>
    <row r="3069">
      <c r="A3069" t="inlineStr">
        <is>
          <t>NAUTICA MENS</t>
        </is>
      </c>
      <c r="B3069" t="inlineStr">
        <is>
          <t>208009470</t>
        </is>
      </c>
      <c r="C3069" t="inlineStr">
        <is>
          <t>QUILTED MID WEIGHT JACKET</t>
        </is>
      </c>
      <c r="D3069" t="inlineStr">
        <is>
          <t>BLK</t>
        </is>
      </c>
      <c r="E3069" t="inlineStr">
        <is>
          <t>(en blanco)</t>
        </is>
      </c>
      <c r="F3069" t="inlineStr">
        <is>
          <t>(en blanco)</t>
        </is>
      </c>
      <c r="G3069" t="inlineStr">
        <is>
          <t>XXL</t>
        </is>
      </c>
      <c r="H3069" t="n">
        <v>2</v>
      </c>
      <c r="I3069" t="inlineStr">
        <is>
          <t>NAUTICA_MENS_208009470_BLK_1.jpg</t>
        </is>
      </c>
      <c r="J3069" t="inlineStr">
        <is>
          <t>NAUTICA_MENS_208009470_BLK_2.jpg</t>
        </is>
      </c>
      <c r="K3069" t="inlineStr">
        <is>
          <t>NAUTICA_MENS_208009470_BLK_3.jpg</t>
        </is>
      </c>
      <c r="L3069">
        <f>IMAGE("file:///E:/Estudios%20y%20certificaciones/ESTUDIOS%20DE%20PROGRAMMING/PROGRAMMING/PERSONAL/PYTHON/Image_Generator_API/imagenes/NAUTICA_MENS_208009470_BLK_1.jpg")</f>
        <v/>
      </c>
      <c r="M3069">
        <f>IMAGE("file:///E:/Estudios%20y%20certificaciones/ESTUDIOS%20DE%20PROGRAMMING/PROGRAMMING/PERSONAL/PYTHON/Image_Generator_API/imagenes/NAUTICA_MENS_208009470_BLK_2.jpg")</f>
        <v/>
      </c>
      <c r="N3069">
        <f>IMAGE("file:///E:/Estudios%20y%20certificaciones/ESTUDIOS%20DE%20PROGRAMMING/PROGRAMMING/PERSONAL/PYTHON/Image_Generator_API/imagenes/NAUTICA_MENS_208009470_BLK_3.jpg")</f>
        <v/>
      </c>
      <c r="O3069">
        <f>HYPERLINK("imagenes/NAUTICA_MENS_208009470_BLK_1.jpg","Ver imagen")</f>
        <v/>
      </c>
      <c r="P3069">
        <f>HYPERLINK("imagenes/NAUTICA_MENS_208009470_BLK_2.jpg","Ver imagen")</f>
        <v/>
      </c>
      <c r="Q3069">
        <f>HYPERLINK("imagenes/NAUTICA_MENS_208009470_BLK_3.jpg","Ver imagen")</f>
        <v/>
      </c>
    </row>
    <row r="3070">
      <c r="A3070" t="inlineStr">
        <is>
          <t>NAUTICA MENS</t>
        </is>
      </c>
      <c r="B3070" t="inlineStr">
        <is>
          <t>208009470</t>
        </is>
      </c>
      <c r="C3070" t="inlineStr">
        <is>
          <t>QUILTED MID WEIGHT JACKET</t>
        </is>
      </c>
      <c r="D3070" t="inlineStr">
        <is>
          <t>NVY</t>
        </is>
      </c>
      <c r="E3070" t="inlineStr">
        <is>
          <t>(en blanco)</t>
        </is>
      </c>
      <c r="F3070" t="inlineStr">
        <is>
          <t>(en blanco)</t>
        </is>
      </c>
      <c r="G3070" t="inlineStr">
        <is>
          <t>S</t>
        </is>
      </c>
      <c r="H3070" t="n">
        <v>1</v>
      </c>
      <c r="I3070" t="inlineStr">
        <is>
          <t>NAUTICA_MENS_208009470_NVY_1.jpg</t>
        </is>
      </c>
      <c r="J3070" t="inlineStr">
        <is>
          <t>NAUTICA_MENS_208009470_NVY_2.jpg</t>
        </is>
      </c>
      <c r="K3070" t="inlineStr">
        <is>
          <t>NAUTICA_MENS_208009470_NVY_3.jpg</t>
        </is>
      </c>
      <c r="L3070">
        <f>IMAGE("file:///E:/Estudios%20y%20certificaciones/ESTUDIOS%20DE%20PROGRAMMING/PROGRAMMING/PERSONAL/PYTHON/Image_Generator_API/imagenes/NAUTICA_MENS_208009470_NVY_1.jpg")</f>
        <v/>
      </c>
      <c r="M3070">
        <f>IMAGE("file:///E:/Estudios%20y%20certificaciones/ESTUDIOS%20DE%20PROGRAMMING/PROGRAMMING/PERSONAL/PYTHON/Image_Generator_API/imagenes/NAUTICA_MENS_208009470_NVY_2.jpg")</f>
        <v/>
      </c>
      <c r="N3070">
        <f>IMAGE("file:///E:/Estudios%20y%20certificaciones/ESTUDIOS%20DE%20PROGRAMMING/PROGRAMMING/PERSONAL/PYTHON/Image_Generator_API/imagenes/NAUTICA_MENS_208009470_NVY_3.jpg")</f>
        <v/>
      </c>
      <c r="O3070">
        <f>HYPERLINK("imagenes/NAUTICA_MENS_208009470_NVY_1.jpg","Ver imagen")</f>
        <v/>
      </c>
      <c r="P3070">
        <f>HYPERLINK("imagenes/NAUTICA_MENS_208009470_NVY_2.jpg","Ver imagen")</f>
        <v/>
      </c>
      <c r="Q3070">
        <f>HYPERLINK("imagenes/NAUTICA_MENS_208009470_NVY_3.jpg","Ver imagen")</f>
        <v/>
      </c>
    </row>
    <row r="3071">
      <c r="A3071" t="inlineStr">
        <is>
          <t>NAUTICA MENS</t>
        </is>
      </c>
      <c r="B3071" t="inlineStr">
        <is>
          <t>208009470</t>
        </is>
      </c>
      <c r="C3071" t="inlineStr">
        <is>
          <t>QUILTED MID WEIGHT JACKET</t>
        </is>
      </c>
      <c r="D3071" t="inlineStr">
        <is>
          <t>NVY</t>
        </is>
      </c>
      <c r="E3071" t="inlineStr">
        <is>
          <t>(en blanco)</t>
        </is>
      </c>
      <c r="F3071" t="inlineStr">
        <is>
          <t>(en blanco)</t>
        </is>
      </c>
      <c r="G3071" t="inlineStr">
        <is>
          <t>M</t>
        </is>
      </c>
      <c r="H3071" t="n">
        <v>2</v>
      </c>
      <c r="I3071" t="inlineStr">
        <is>
          <t>NAUTICA_MENS_208009470_NVY_1.jpg</t>
        </is>
      </c>
      <c r="J3071" t="inlineStr">
        <is>
          <t>NAUTICA_MENS_208009470_NVY_2.jpg</t>
        </is>
      </c>
      <c r="K3071" t="inlineStr">
        <is>
          <t>NAUTICA_MENS_208009470_NVY_3.jpg</t>
        </is>
      </c>
      <c r="L3071">
        <f>IMAGE("file:///E:/Estudios%20y%20certificaciones/ESTUDIOS%20DE%20PROGRAMMING/PROGRAMMING/PERSONAL/PYTHON/Image_Generator_API/imagenes/NAUTICA_MENS_208009470_NVY_1.jpg")</f>
        <v/>
      </c>
      <c r="M3071">
        <f>IMAGE("file:///E:/Estudios%20y%20certificaciones/ESTUDIOS%20DE%20PROGRAMMING/PROGRAMMING/PERSONAL/PYTHON/Image_Generator_API/imagenes/NAUTICA_MENS_208009470_NVY_2.jpg")</f>
        <v/>
      </c>
      <c r="N3071">
        <f>IMAGE("file:///E:/Estudios%20y%20certificaciones/ESTUDIOS%20DE%20PROGRAMMING/PROGRAMMING/PERSONAL/PYTHON/Image_Generator_API/imagenes/NAUTICA_MENS_208009470_NVY_3.jpg")</f>
        <v/>
      </c>
      <c r="O3071">
        <f>HYPERLINK("imagenes/NAUTICA_MENS_208009470_NVY_1.jpg","Ver imagen")</f>
        <v/>
      </c>
      <c r="P3071">
        <f>HYPERLINK("imagenes/NAUTICA_MENS_208009470_NVY_2.jpg","Ver imagen")</f>
        <v/>
      </c>
      <c r="Q3071">
        <f>HYPERLINK("imagenes/NAUTICA_MENS_208009470_NVY_3.jpg","Ver imagen")</f>
        <v/>
      </c>
    </row>
    <row r="3072">
      <c r="A3072" t="inlineStr">
        <is>
          <t>NAUTICA MENS</t>
        </is>
      </c>
      <c r="B3072" t="inlineStr">
        <is>
          <t>208009470</t>
        </is>
      </c>
      <c r="C3072" t="inlineStr">
        <is>
          <t>QUILTED MID WEIGHT JACKET</t>
        </is>
      </c>
      <c r="D3072" t="inlineStr">
        <is>
          <t>NVY</t>
        </is>
      </c>
      <c r="E3072" t="inlineStr">
        <is>
          <t>(en blanco)</t>
        </is>
      </c>
      <c r="F3072" t="inlineStr">
        <is>
          <t>(en blanco)</t>
        </is>
      </c>
      <c r="G3072" t="inlineStr">
        <is>
          <t>L</t>
        </is>
      </c>
      <c r="H3072" t="n">
        <v>3</v>
      </c>
      <c r="I3072" t="inlineStr">
        <is>
          <t>NAUTICA_MENS_208009470_NVY_1.jpg</t>
        </is>
      </c>
      <c r="J3072" t="inlineStr">
        <is>
          <t>NAUTICA_MENS_208009470_NVY_2.jpg</t>
        </is>
      </c>
      <c r="K3072" t="inlineStr">
        <is>
          <t>NAUTICA_MENS_208009470_NVY_3.jpg</t>
        </is>
      </c>
      <c r="L3072">
        <f>IMAGE("file:///E:/Estudios%20y%20certificaciones/ESTUDIOS%20DE%20PROGRAMMING/PROGRAMMING/PERSONAL/PYTHON/Image_Generator_API/imagenes/NAUTICA_MENS_208009470_NVY_1.jpg")</f>
        <v/>
      </c>
      <c r="M3072">
        <f>IMAGE("file:///E:/Estudios%20y%20certificaciones/ESTUDIOS%20DE%20PROGRAMMING/PROGRAMMING/PERSONAL/PYTHON/Image_Generator_API/imagenes/NAUTICA_MENS_208009470_NVY_2.jpg")</f>
        <v/>
      </c>
      <c r="N3072">
        <f>IMAGE("file:///E:/Estudios%20y%20certificaciones/ESTUDIOS%20DE%20PROGRAMMING/PROGRAMMING/PERSONAL/PYTHON/Image_Generator_API/imagenes/NAUTICA_MENS_208009470_NVY_3.jpg")</f>
        <v/>
      </c>
      <c r="O3072">
        <f>HYPERLINK("imagenes/NAUTICA_MENS_208009470_NVY_1.jpg","Ver imagen")</f>
        <v/>
      </c>
      <c r="P3072">
        <f>HYPERLINK("imagenes/NAUTICA_MENS_208009470_NVY_2.jpg","Ver imagen")</f>
        <v/>
      </c>
      <c r="Q3072">
        <f>HYPERLINK("imagenes/NAUTICA_MENS_208009470_NVY_3.jpg","Ver imagen")</f>
        <v/>
      </c>
    </row>
    <row r="3073">
      <c r="A3073" t="inlineStr">
        <is>
          <t>NAUTICA MENS</t>
        </is>
      </c>
      <c r="B3073" t="inlineStr">
        <is>
          <t>208009470</t>
        </is>
      </c>
      <c r="C3073" t="inlineStr">
        <is>
          <t>QUILTED MID WEIGHT JACKET</t>
        </is>
      </c>
      <c r="D3073" t="inlineStr">
        <is>
          <t>NVY</t>
        </is>
      </c>
      <c r="E3073" t="inlineStr">
        <is>
          <t>(en blanco)</t>
        </is>
      </c>
      <c r="F3073" t="inlineStr">
        <is>
          <t>(en blanco)</t>
        </is>
      </c>
      <c r="G3073" t="inlineStr">
        <is>
          <t>XL</t>
        </is>
      </c>
      <c r="H3073" t="n">
        <v>2</v>
      </c>
      <c r="I3073" t="inlineStr">
        <is>
          <t>NAUTICA_MENS_208009470_NVY_1.jpg</t>
        </is>
      </c>
      <c r="J3073" t="inlineStr">
        <is>
          <t>NAUTICA_MENS_208009470_NVY_2.jpg</t>
        </is>
      </c>
      <c r="K3073" t="inlineStr">
        <is>
          <t>NAUTICA_MENS_208009470_NVY_3.jpg</t>
        </is>
      </c>
      <c r="L3073">
        <f>IMAGE("file:///E:/Estudios%20y%20certificaciones/ESTUDIOS%20DE%20PROGRAMMING/PROGRAMMING/PERSONAL/PYTHON/Image_Generator_API/imagenes/NAUTICA_MENS_208009470_NVY_1.jpg")</f>
        <v/>
      </c>
      <c r="M3073">
        <f>IMAGE("file:///E:/Estudios%20y%20certificaciones/ESTUDIOS%20DE%20PROGRAMMING/PROGRAMMING/PERSONAL/PYTHON/Image_Generator_API/imagenes/NAUTICA_MENS_208009470_NVY_2.jpg")</f>
        <v/>
      </c>
      <c r="N3073">
        <f>IMAGE("file:///E:/Estudios%20y%20certificaciones/ESTUDIOS%20DE%20PROGRAMMING/PROGRAMMING/PERSONAL/PYTHON/Image_Generator_API/imagenes/NAUTICA_MENS_208009470_NVY_3.jpg")</f>
        <v/>
      </c>
      <c r="O3073">
        <f>HYPERLINK("imagenes/NAUTICA_MENS_208009470_NVY_1.jpg","Ver imagen")</f>
        <v/>
      </c>
      <c r="P3073">
        <f>HYPERLINK("imagenes/NAUTICA_MENS_208009470_NVY_2.jpg","Ver imagen")</f>
        <v/>
      </c>
      <c r="Q3073">
        <f>HYPERLINK("imagenes/NAUTICA_MENS_208009470_NVY_3.jpg","Ver imagen")</f>
        <v/>
      </c>
    </row>
    <row r="3074">
      <c r="A3074" t="inlineStr">
        <is>
          <t>NAUTICA MENS</t>
        </is>
      </c>
      <c r="B3074" t="inlineStr">
        <is>
          <t>208009470</t>
        </is>
      </c>
      <c r="C3074" t="inlineStr">
        <is>
          <t>QUILTED MID WEIGHT JACKET</t>
        </is>
      </c>
      <c r="D3074" t="inlineStr">
        <is>
          <t>NVY</t>
        </is>
      </c>
      <c r="E3074" t="inlineStr">
        <is>
          <t>(en blanco)</t>
        </is>
      </c>
      <c r="F3074" t="inlineStr">
        <is>
          <t>(en blanco)</t>
        </is>
      </c>
      <c r="G3074" t="inlineStr">
        <is>
          <t>XXL</t>
        </is>
      </c>
      <c r="H3074" t="n">
        <v>2</v>
      </c>
      <c r="I3074" t="inlineStr">
        <is>
          <t>NAUTICA_MENS_208009470_NVY_1.jpg</t>
        </is>
      </c>
      <c r="J3074" t="inlineStr">
        <is>
          <t>NAUTICA_MENS_208009470_NVY_2.jpg</t>
        </is>
      </c>
      <c r="K3074" t="inlineStr">
        <is>
          <t>NAUTICA_MENS_208009470_NVY_3.jpg</t>
        </is>
      </c>
      <c r="L3074">
        <f>IMAGE("file:///E:/Estudios%20y%20certificaciones/ESTUDIOS%20DE%20PROGRAMMING/PROGRAMMING/PERSONAL/PYTHON/Image_Generator_API/imagenes/NAUTICA_MENS_208009470_NVY_1.jpg")</f>
        <v/>
      </c>
      <c r="M3074">
        <f>IMAGE("file:///E:/Estudios%20y%20certificaciones/ESTUDIOS%20DE%20PROGRAMMING/PROGRAMMING/PERSONAL/PYTHON/Image_Generator_API/imagenes/NAUTICA_MENS_208009470_NVY_2.jpg")</f>
        <v/>
      </c>
      <c r="N3074">
        <f>IMAGE("file:///E:/Estudios%20y%20certificaciones/ESTUDIOS%20DE%20PROGRAMMING/PROGRAMMING/PERSONAL/PYTHON/Image_Generator_API/imagenes/NAUTICA_MENS_208009470_NVY_3.jpg")</f>
        <v/>
      </c>
      <c r="O3074">
        <f>HYPERLINK("imagenes/NAUTICA_MENS_208009470_NVY_1.jpg","Ver imagen")</f>
        <v/>
      </c>
      <c r="P3074">
        <f>HYPERLINK("imagenes/NAUTICA_MENS_208009470_NVY_2.jpg","Ver imagen")</f>
        <v/>
      </c>
      <c r="Q3074">
        <f>HYPERLINK("imagenes/NAUTICA_MENS_208009470_NVY_3.jpg","Ver imagen")</f>
        <v/>
      </c>
    </row>
    <row r="3075">
      <c r="A3075" t="inlineStr">
        <is>
          <t>NAUTICA MENS</t>
        </is>
      </c>
      <c r="B3075" t="inlineStr">
        <is>
          <t>208009537</t>
        </is>
      </c>
      <c r="C3075" t="inlineStr">
        <is>
          <t>HOODED PUFFY</t>
        </is>
      </c>
      <c r="D3075" t="inlineStr">
        <is>
          <t>GYH</t>
        </is>
      </c>
      <c r="E3075" t="inlineStr">
        <is>
          <t>10A10</t>
        </is>
      </c>
      <c r="F3075" t="inlineStr">
        <is>
          <t>N1160</t>
        </is>
      </c>
      <c r="G3075" t="inlineStr">
        <is>
          <t>PPK</t>
        </is>
      </c>
      <c r="H3075" t="n">
        <v>0</v>
      </c>
      <c r="I3075" t="inlineStr">
        <is>
          <t>NAUTICA_MENS_208009537_GYH_1.jpg</t>
        </is>
      </c>
      <c r="J3075" t="inlineStr">
        <is>
          <t>NAUTICA_MENS_208009537_GYH_2.jpg</t>
        </is>
      </c>
      <c r="K3075" t="inlineStr">
        <is>
          <t>NAUTICA_MENS_208009537_GYH_3.jpg</t>
        </is>
      </c>
      <c r="L3075">
        <f>IMAGE("file:///E:/Estudios%20y%20certificaciones/ESTUDIOS%20DE%20PROGRAMMING/PROGRAMMING/PERSONAL/PYTHON/Image_Generator_API/imagenes/NAUTICA_MENS_208009537_GYH_1.jpg")</f>
        <v/>
      </c>
      <c r="M3075">
        <f>IMAGE("file:///E:/Estudios%20y%20certificaciones/ESTUDIOS%20DE%20PROGRAMMING/PROGRAMMING/PERSONAL/PYTHON/Image_Generator_API/imagenes/NAUTICA_MENS_208009537_GYH_2.jpg")</f>
        <v/>
      </c>
      <c r="N3075">
        <f>IMAGE("file:///E:/Estudios%20y%20certificaciones/ESTUDIOS%20DE%20PROGRAMMING/PROGRAMMING/PERSONAL/PYTHON/Image_Generator_API/imagenes/NAUTICA_MENS_208009537_GYH_3.jpg")</f>
        <v/>
      </c>
      <c r="O3075">
        <f>HYPERLINK("imagenes/NAUTICA_MENS_208009537_GYH_1.jpg","Ver imagen")</f>
        <v/>
      </c>
      <c r="P3075">
        <f>HYPERLINK("imagenes/NAUTICA_MENS_208009537_GYH_2.jpg","Ver imagen")</f>
        <v/>
      </c>
      <c r="Q3075">
        <f>HYPERLINK("imagenes/NAUTICA_MENS_208009537_GYH_3.jpg","Ver imagen")</f>
        <v/>
      </c>
    </row>
    <row r="3076">
      <c r="A3076" t="inlineStr">
        <is>
          <t>NAUTICA MENS</t>
        </is>
      </c>
      <c r="B3076" t="inlineStr">
        <is>
          <t>208009537</t>
        </is>
      </c>
      <c r="C3076" t="inlineStr">
        <is>
          <t>HOODED PUFFY</t>
        </is>
      </c>
      <c r="D3076" t="inlineStr">
        <is>
          <t>GYH</t>
        </is>
      </c>
      <c r="E3076" t="inlineStr">
        <is>
          <t>(en blanco)</t>
        </is>
      </c>
      <c r="F3076" t="inlineStr">
        <is>
          <t>N1160</t>
        </is>
      </c>
      <c r="G3076" t="inlineStr">
        <is>
          <t>XS</t>
        </is>
      </c>
      <c r="H3076" t="n">
        <v>0</v>
      </c>
      <c r="I3076" t="inlineStr">
        <is>
          <t>NAUTICA_MENS_208009537_GYH_1.jpg</t>
        </is>
      </c>
      <c r="J3076" t="inlineStr">
        <is>
          <t>NAUTICA_MENS_208009537_GYH_2.jpg</t>
        </is>
      </c>
      <c r="K3076" t="inlineStr">
        <is>
          <t>NAUTICA_MENS_208009537_GYH_3.jpg</t>
        </is>
      </c>
      <c r="L3076">
        <f>IMAGE("file:///E:/Estudios%20y%20certificaciones/ESTUDIOS%20DE%20PROGRAMMING/PROGRAMMING/PERSONAL/PYTHON/Image_Generator_API/imagenes/NAUTICA_MENS_208009537_GYH_1.jpg")</f>
        <v/>
      </c>
      <c r="M3076">
        <f>IMAGE("file:///E:/Estudios%20y%20certificaciones/ESTUDIOS%20DE%20PROGRAMMING/PROGRAMMING/PERSONAL/PYTHON/Image_Generator_API/imagenes/NAUTICA_MENS_208009537_GYH_2.jpg")</f>
        <v/>
      </c>
      <c r="N3076">
        <f>IMAGE("file:///E:/Estudios%20y%20certificaciones/ESTUDIOS%20DE%20PROGRAMMING/PROGRAMMING/PERSONAL/PYTHON/Image_Generator_API/imagenes/NAUTICA_MENS_208009537_GYH_3.jpg")</f>
        <v/>
      </c>
      <c r="O3076">
        <f>HYPERLINK("imagenes/NAUTICA_MENS_208009537_GYH_1.jpg","Ver imagen")</f>
        <v/>
      </c>
      <c r="P3076">
        <f>HYPERLINK("imagenes/NAUTICA_MENS_208009537_GYH_2.jpg","Ver imagen")</f>
        <v/>
      </c>
      <c r="Q3076">
        <f>HYPERLINK("imagenes/NAUTICA_MENS_208009537_GYH_3.jpg","Ver imagen")</f>
        <v/>
      </c>
    </row>
    <row r="3077">
      <c r="A3077" t="inlineStr">
        <is>
          <t>NAUTICA MENS</t>
        </is>
      </c>
      <c r="B3077" t="inlineStr">
        <is>
          <t>208009537</t>
        </is>
      </c>
      <c r="C3077" t="inlineStr">
        <is>
          <t>HOODED PUFFY</t>
        </is>
      </c>
      <c r="D3077" t="inlineStr">
        <is>
          <t>GYH</t>
        </is>
      </c>
      <c r="E3077" t="inlineStr">
        <is>
          <t>(en blanco)</t>
        </is>
      </c>
      <c r="F3077" t="inlineStr">
        <is>
          <t>N1160</t>
        </is>
      </c>
      <c r="G3077" t="inlineStr">
        <is>
          <t>S</t>
        </is>
      </c>
      <c r="H3077" t="n">
        <v>1</v>
      </c>
      <c r="I3077" t="inlineStr">
        <is>
          <t>NAUTICA_MENS_208009537_GYH_1.jpg</t>
        </is>
      </c>
      <c r="J3077" t="inlineStr">
        <is>
          <t>NAUTICA_MENS_208009537_GYH_2.jpg</t>
        </is>
      </c>
      <c r="K3077" t="inlineStr">
        <is>
          <t>NAUTICA_MENS_208009537_GYH_3.jpg</t>
        </is>
      </c>
      <c r="L3077">
        <f>IMAGE("file:///E:/Estudios%20y%20certificaciones/ESTUDIOS%20DE%20PROGRAMMING/PROGRAMMING/PERSONAL/PYTHON/Image_Generator_API/imagenes/NAUTICA_MENS_208009537_GYH_1.jpg")</f>
        <v/>
      </c>
      <c r="M3077">
        <f>IMAGE("file:///E:/Estudios%20y%20certificaciones/ESTUDIOS%20DE%20PROGRAMMING/PROGRAMMING/PERSONAL/PYTHON/Image_Generator_API/imagenes/NAUTICA_MENS_208009537_GYH_2.jpg")</f>
        <v/>
      </c>
      <c r="N3077">
        <f>IMAGE("file:///E:/Estudios%20y%20certificaciones/ESTUDIOS%20DE%20PROGRAMMING/PROGRAMMING/PERSONAL/PYTHON/Image_Generator_API/imagenes/NAUTICA_MENS_208009537_GYH_3.jpg")</f>
        <v/>
      </c>
      <c r="O3077">
        <f>HYPERLINK("imagenes/NAUTICA_MENS_208009537_GYH_1.jpg","Ver imagen")</f>
        <v/>
      </c>
      <c r="P3077">
        <f>HYPERLINK("imagenes/NAUTICA_MENS_208009537_GYH_2.jpg","Ver imagen")</f>
        <v/>
      </c>
      <c r="Q3077">
        <f>HYPERLINK("imagenes/NAUTICA_MENS_208009537_GYH_3.jpg","Ver imagen")</f>
        <v/>
      </c>
    </row>
    <row r="3078">
      <c r="A3078" t="inlineStr">
        <is>
          <t>NAUTICA MENS</t>
        </is>
      </c>
      <c r="B3078" t="inlineStr">
        <is>
          <t>208009537</t>
        </is>
      </c>
      <c r="C3078" t="inlineStr">
        <is>
          <t>HOODED PUFFY</t>
        </is>
      </c>
      <c r="D3078" t="inlineStr">
        <is>
          <t>GYH</t>
        </is>
      </c>
      <c r="E3078" t="inlineStr">
        <is>
          <t>(en blanco)</t>
        </is>
      </c>
      <c r="F3078" t="inlineStr">
        <is>
          <t>N1160</t>
        </is>
      </c>
      <c r="G3078" t="inlineStr">
        <is>
          <t>M</t>
        </is>
      </c>
      <c r="H3078" t="n">
        <v>1</v>
      </c>
      <c r="I3078" t="inlineStr">
        <is>
          <t>NAUTICA_MENS_208009537_GYH_1.jpg</t>
        </is>
      </c>
      <c r="J3078" t="inlineStr">
        <is>
          <t>NAUTICA_MENS_208009537_GYH_2.jpg</t>
        </is>
      </c>
      <c r="K3078" t="inlineStr">
        <is>
          <t>NAUTICA_MENS_208009537_GYH_3.jpg</t>
        </is>
      </c>
      <c r="L3078">
        <f>IMAGE("file:///E:/Estudios%20y%20certificaciones/ESTUDIOS%20DE%20PROGRAMMING/PROGRAMMING/PERSONAL/PYTHON/Image_Generator_API/imagenes/NAUTICA_MENS_208009537_GYH_1.jpg")</f>
        <v/>
      </c>
      <c r="M3078">
        <f>IMAGE("file:///E:/Estudios%20y%20certificaciones/ESTUDIOS%20DE%20PROGRAMMING/PROGRAMMING/PERSONAL/PYTHON/Image_Generator_API/imagenes/NAUTICA_MENS_208009537_GYH_2.jpg")</f>
        <v/>
      </c>
      <c r="N3078">
        <f>IMAGE("file:///E:/Estudios%20y%20certificaciones/ESTUDIOS%20DE%20PROGRAMMING/PROGRAMMING/PERSONAL/PYTHON/Image_Generator_API/imagenes/NAUTICA_MENS_208009537_GYH_3.jpg")</f>
        <v/>
      </c>
      <c r="O3078">
        <f>HYPERLINK("imagenes/NAUTICA_MENS_208009537_GYH_1.jpg","Ver imagen")</f>
        <v/>
      </c>
      <c r="P3078">
        <f>HYPERLINK("imagenes/NAUTICA_MENS_208009537_GYH_2.jpg","Ver imagen")</f>
        <v/>
      </c>
      <c r="Q3078">
        <f>HYPERLINK("imagenes/NAUTICA_MENS_208009537_GYH_3.jpg","Ver imagen")</f>
        <v/>
      </c>
    </row>
    <row r="3079">
      <c r="A3079" t="inlineStr">
        <is>
          <t>NAUTICA MENS</t>
        </is>
      </c>
      <c r="B3079" t="inlineStr">
        <is>
          <t>208009537</t>
        </is>
      </c>
      <c r="C3079" t="inlineStr">
        <is>
          <t>HOODED PUFFY</t>
        </is>
      </c>
      <c r="D3079" t="inlineStr">
        <is>
          <t>GYH</t>
        </is>
      </c>
      <c r="E3079" t="inlineStr">
        <is>
          <t>(en blanco)</t>
        </is>
      </c>
      <c r="F3079" t="inlineStr">
        <is>
          <t>N1160</t>
        </is>
      </c>
      <c r="G3079" t="inlineStr">
        <is>
          <t>L</t>
        </is>
      </c>
      <c r="H3079" t="n">
        <v>2</v>
      </c>
      <c r="I3079" t="inlineStr">
        <is>
          <t>NAUTICA_MENS_208009537_GYH_1.jpg</t>
        </is>
      </c>
      <c r="J3079" t="inlineStr">
        <is>
          <t>NAUTICA_MENS_208009537_GYH_2.jpg</t>
        </is>
      </c>
      <c r="K3079" t="inlineStr">
        <is>
          <t>NAUTICA_MENS_208009537_GYH_3.jpg</t>
        </is>
      </c>
      <c r="L3079">
        <f>IMAGE("file:///E:/Estudios%20y%20certificaciones/ESTUDIOS%20DE%20PROGRAMMING/PROGRAMMING/PERSONAL/PYTHON/Image_Generator_API/imagenes/NAUTICA_MENS_208009537_GYH_1.jpg")</f>
        <v/>
      </c>
      <c r="M3079">
        <f>IMAGE("file:///E:/Estudios%20y%20certificaciones/ESTUDIOS%20DE%20PROGRAMMING/PROGRAMMING/PERSONAL/PYTHON/Image_Generator_API/imagenes/NAUTICA_MENS_208009537_GYH_2.jpg")</f>
        <v/>
      </c>
      <c r="N3079">
        <f>IMAGE("file:///E:/Estudios%20y%20certificaciones/ESTUDIOS%20DE%20PROGRAMMING/PROGRAMMING/PERSONAL/PYTHON/Image_Generator_API/imagenes/NAUTICA_MENS_208009537_GYH_3.jpg")</f>
        <v/>
      </c>
      <c r="O3079">
        <f>HYPERLINK("imagenes/NAUTICA_MENS_208009537_GYH_1.jpg","Ver imagen")</f>
        <v/>
      </c>
      <c r="P3079">
        <f>HYPERLINK("imagenes/NAUTICA_MENS_208009537_GYH_2.jpg","Ver imagen")</f>
        <v/>
      </c>
      <c r="Q3079">
        <f>HYPERLINK("imagenes/NAUTICA_MENS_208009537_GYH_3.jpg","Ver imagen")</f>
        <v/>
      </c>
    </row>
    <row r="3080">
      <c r="A3080" t="inlineStr">
        <is>
          <t>NAUTICA MENS</t>
        </is>
      </c>
      <c r="B3080" t="inlineStr">
        <is>
          <t>208009537</t>
        </is>
      </c>
      <c r="C3080" t="inlineStr">
        <is>
          <t>HOODED PUFFY</t>
        </is>
      </c>
      <c r="D3080" t="inlineStr">
        <is>
          <t>GYH</t>
        </is>
      </c>
      <c r="E3080" t="inlineStr">
        <is>
          <t>(en blanco)</t>
        </is>
      </c>
      <c r="F3080" t="inlineStr">
        <is>
          <t>N1160</t>
        </is>
      </c>
      <c r="G3080" t="inlineStr">
        <is>
          <t>XL</t>
        </is>
      </c>
      <c r="H3080" t="n">
        <v>0</v>
      </c>
      <c r="I3080" t="inlineStr">
        <is>
          <t>NAUTICA_MENS_208009537_GYH_1.jpg</t>
        </is>
      </c>
      <c r="J3080" t="inlineStr">
        <is>
          <t>NAUTICA_MENS_208009537_GYH_2.jpg</t>
        </is>
      </c>
      <c r="K3080" t="inlineStr">
        <is>
          <t>NAUTICA_MENS_208009537_GYH_3.jpg</t>
        </is>
      </c>
      <c r="L3080">
        <f>IMAGE("file:///E:/Estudios%20y%20certificaciones/ESTUDIOS%20DE%20PROGRAMMING/PROGRAMMING/PERSONAL/PYTHON/Image_Generator_API/imagenes/NAUTICA_MENS_208009537_GYH_1.jpg")</f>
        <v/>
      </c>
      <c r="M3080">
        <f>IMAGE("file:///E:/Estudios%20y%20certificaciones/ESTUDIOS%20DE%20PROGRAMMING/PROGRAMMING/PERSONAL/PYTHON/Image_Generator_API/imagenes/NAUTICA_MENS_208009537_GYH_2.jpg")</f>
        <v/>
      </c>
      <c r="N3080">
        <f>IMAGE("file:///E:/Estudios%20y%20certificaciones/ESTUDIOS%20DE%20PROGRAMMING/PROGRAMMING/PERSONAL/PYTHON/Image_Generator_API/imagenes/NAUTICA_MENS_208009537_GYH_3.jpg")</f>
        <v/>
      </c>
      <c r="O3080">
        <f>HYPERLINK("imagenes/NAUTICA_MENS_208009537_GYH_1.jpg","Ver imagen")</f>
        <v/>
      </c>
      <c r="P3080">
        <f>HYPERLINK("imagenes/NAUTICA_MENS_208009537_GYH_2.jpg","Ver imagen")</f>
        <v/>
      </c>
      <c r="Q3080">
        <f>HYPERLINK("imagenes/NAUTICA_MENS_208009537_GYH_3.jpg","Ver imagen")</f>
        <v/>
      </c>
    </row>
    <row r="3081">
      <c r="A3081" t="inlineStr">
        <is>
          <t>NAUTICA MENS</t>
        </is>
      </c>
      <c r="B3081" t="inlineStr">
        <is>
          <t>208009537</t>
        </is>
      </c>
      <c r="C3081" t="inlineStr">
        <is>
          <t>HOODED PUFFY</t>
        </is>
      </c>
      <c r="D3081" t="inlineStr">
        <is>
          <t>GYH</t>
        </is>
      </c>
      <c r="E3081" t="inlineStr">
        <is>
          <t>(en blanco)</t>
        </is>
      </c>
      <c r="F3081" t="inlineStr">
        <is>
          <t>N1160</t>
        </is>
      </c>
      <c r="G3081" t="inlineStr">
        <is>
          <t>XXL</t>
        </is>
      </c>
      <c r="H3081" t="n">
        <v>1</v>
      </c>
      <c r="I3081" t="inlineStr">
        <is>
          <t>NAUTICA_MENS_208009537_GYH_1.jpg</t>
        </is>
      </c>
      <c r="J3081" t="inlineStr">
        <is>
          <t>NAUTICA_MENS_208009537_GYH_2.jpg</t>
        </is>
      </c>
      <c r="K3081" t="inlineStr">
        <is>
          <t>NAUTICA_MENS_208009537_GYH_3.jpg</t>
        </is>
      </c>
      <c r="L3081">
        <f>IMAGE("file:///E:/Estudios%20y%20certificaciones/ESTUDIOS%20DE%20PROGRAMMING/PROGRAMMING/PERSONAL/PYTHON/Image_Generator_API/imagenes/NAUTICA_MENS_208009537_GYH_1.jpg")</f>
        <v/>
      </c>
      <c r="M3081">
        <f>IMAGE("file:///E:/Estudios%20y%20certificaciones/ESTUDIOS%20DE%20PROGRAMMING/PROGRAMMING/PERSONAL/PYTHON/Image_Generator_API/imagenes/NAUTICA_MENS_208009537_GYH_2.jpg")</f>
        <v/>
      </c>
      <c r="N3081">
        <f>IMAGE("file:///E:/Estudios%20y%20certificaciones/ESTUDIOS%20DE%20PROGRAMMING/PROGRAMMING/PERSONAL/PYTHON/Image_Generator_API/imagenes/NAUTICA_MENS_208009537_GYH_3.jpg")</f>
        <v/>
      </c>
      <c r="O3081">
        <f>HYPERLINK("imagenes/NAUTICA_MENS_208009537_GYH_1.jpg","Ver imagen")</f>
        <v/>
      </c>
      <c r="P3081">
        <f>HYPERLINK("imagenes/NAUTICA_MENS_208009537_GYH_2.jpg","Ver imagen")</f>
        <v/>
      </c>
      <c r="Q3081">
        <f>HYPERLINK("imagenes/NAUTICA_MENS_208009537_GYH_3.jpg","Ver imagen")</f>
        <v/>
      </c>
    </row>
    <row r="3082">
      <c r="A3082" t="inlineStr">
        <is>
          <t>NAUTICA MENS</t>
        </is>
      </c>
      <c r="B3082" t="inlineStr">
        <is>
          <t>208009696</t>
        </is>
      </c>
      <c r="C3082" t="inlineStr">
        <is>
          <t>LT.WEIGHT WELDED JACKET</t>
        </is>
      </c>
      <c r="D3082" t="inlineStr">
        <is>
          <t>BLK</t>
        </is>
      </c>
      <c r="E3082" t="inlineStr">
        <is>
          <t>(en blanco)</t>
        </is>
      </c>
      <c r="F3082" t="inlineStr">
        <is>
          <t>(en blanco)</t>
        </is>
      </c>
      <c r="G3082" t="inlineStr">
        <is>
          <t>M</t>
        </is>
      </c>
      <c r="H3082" t="n">
        <v>10</v>
      </c>
      <c r="I3082" t="inlineStr">
        <is>
          <t>NAUTICA_MENS_208009696_BLK_1.jpg</t>
        </is>
      </c>
      <c r="J3082" t="inlineStr">
        <is>
          <t>NAUTICA_MENS_208009696_BLK_2.jpg</t>
        </is>
      </c>
      <c r="K3082" t="inlineStr">
        <is>
          <t>NAUTICA_MENS_208009696_BLK_3.jpg</t>
        </is>
      </c>
      <c r="L3082">
        <f>IMAGE("file:///E:/Estudios%20y%20certificaciones/ESTUDIOS%20DE%20PROGRAMMING/PROGRAMMING/PERSONAL/PYTHON/Image_Generator_API/imagenes/NAUTICA_MENS_208009696_BLK_1.jpg")</f>
        <v/>
      </c>
      <c r="M3082">
        <f>IMAGE("file:///E:/Estudios%20y%20certificaciones/ESTUDIOS%20DE%20PROGRAMMING/PROGRAMMING/PERSONAL/PYTHON/Image_Generator_API/imagenes/NAUTICA_MENS_208009696_BLK_2.jpg")</f>
        <v/>
      </c>
      <c r="N3082">
        <f>IMAGE("file:///E:/Estudios%20y%20certificaciones/ESTUDIOS%20DE%20PROGRAMMING/PROGRAMMING/PERSONAL/PYTHON/Image_Generator_API/imagenes/NAUTICA_MENS_208009696_BLK_3.jpg")</f>
        <v/>
      </c>
      <c r="O3082">
        <f>HYPERLINK("imagenes/NAUTICA_MENS_208009696_BLK_1.jpg","Ver imagen")</f>
        <v/>
      </c>
      <c r="P3082">
        <f>HYPERLINK("imagenes/NAUTICA_MENS_208009696_BLK_2.jpg","Ver imagen")</f>
        <v/>
      </c>
      <c r="Q3082">
        <f>HYPERLINK("imagenes/NAUTICA_MENS_208009696_BLK_3.jpg","Ver imagen")</f>
        <v/>
      </c>
    </row>
    <row r="3083">
      <c r="A3083" t="inlineStr">
        <is>
          <t>NAUTICA MENS</t>
        </is>
      </c>
      <c r="B3083" t="inlineStr">
        <is>
          <t>208009696</t>
        </is>
      </c>
      <c r="C3083" t="inlineStr">
        <is>
          <t>LT.WEIGHT WELDED JACKET</t>
        </is>
      </c>
      <c r="D3083" t="inlineStr">
        <is>
          <t>BLK</t>
        </is>
      </c>
      <c r="E3083" t="inlineStr">
        <is>
          <t>(en blanco)</t>
        </is>
      </c>
      <c r="F3083" t="inlineStr">
        <is>
          <t>(en blanco)</t>
        </is>
      </c>
      <c r="G3083" t="inlineStr">
        <is>
          <t>L</t>
        </is>
      </c>
      <c r="H3083" t="n">
        <v>20</v>
      </c>
      <c r="I3083" t="inlineStr">
        <is>
          <t>NAUTICA_MENS_208009696_BLK_1.jpg</t>
        </is>
      </c>
      <c r="J3083" t="inlineStr">
        <is>
          <t>NAUTICA_MENS_208009696_BLK_2.jpg</t>
        </is>
      </c>
      <c r="K3083" t="inlineStr">
        <is>
          <t>NAUTICA_MENS_208009696_BLK_3.jpg</t>
        </is>
      </c>
      <c r="L3083">
        <f>IMAGE("file:///E:/Estudios%20y%20certificaciones/ESTUDIOS%20DE%20PROGRAMMING/PROGRAMMING/PERSONAL/PYTHON/Image_Generator_API/imagenes/NAUTICA_MENS_208009696_BLK_1.jpg")</f>
        <v/>
      </c>
      <c r="M3083">
        <f>IMAGE("file:///E:/Estudios%20y%20certificaciones/ESTUDIOS%20DE%20PROGRAMMING/PROGRAMMING/PERSONAL/PYTHON/Image_Generator_API/imagenes/NAUTICA_MENS_208009696_BLK_2.jpg")</f>
        <v/>
      </c>
      <c r="N3083">
        <f>IMAGE("file:///E:/Estudios%20y%20certificaciones/ESTUDIOS%20DE%20PROGRAMMING/PROGRAMMING/PERSONAL/PYTHON/Image_Generator_API/imagenes/NAUTICA_MENS_208009696_BLK_3.jpg")</f>
        <v/>
      </c>
      <c r="O3083">
        <f>HYPERLINK("imagenes/NAUTICA_MENS_208009696_BLK_1.jpg","Ver imagen")</f>
        <v/>
      </c>
      <c r="P3083">
        <f>HYPERLINK("imagenes/NAUTICA_MENS_208009696_BLK_2.jpg","Ver imagen")</f>
        <v/>
      </c>
      <c r="Q3083">
        <f>HYPERLINK("imagenes/NAUTICA_MENS_208009696_BLK_3.jpg","Ver imagen")</f>
        <v/>
      </c>
    </row>
    <row r="3084">
      <c r="A3084" t="inlineStr">
        <is>
          <t>NAUTICA MENS</t>
        </is>
      </c>
      <c r="B3084" t="inlineStr">
        <is>
          <t>208009696</t>
        </is>
      </c>
      <c r="C3084" t="inlineStr">
        <is>
          <t>LT.WEIGHT WELDED JACKET</t>
        </is>
      </c>
      <c r="D3084" t="inlineStr">
        <is>
          <t>BLK</t>
        </is>
      </c>
      <c r="E3084" t="inlineStr">
        <is>
          <t>(en blanco)</t>
        </is>
      </c>
      <c r="F3084" t="inlineStr">
        <is>
          <t>(en blanco)</t>
        </is>
      </c>
      <c r="G3084" t="inlineStr">
        <is>
          <t>XL</t>
        </is>
      </c>
      <c r="H3084" t="n">
        <v>5</v>
      </c>
      <c r="I3084" t="inlineStr">
        <is>
          <t>NAUTICA_MENS_208009696_BLK_1.jpg</t>
        </is>
      </c>
      <c r="J3084" t="inlineStr">
        <is>
          <t>NAUTICA_MENS_208009696_BLK_2.jpg</t>
        </is>
      </c>
      <c r="K3084" t="inlineStr">
        <is>
          <t>NAUTICA_MENS_208009696_BLK_3.jpg</t>
        </is>
      </c>
      <c r="L3084">
        <f>IMAGE("file:///E:/Estudios%20y%20certificaciones/ESTUDIOS%20DE%20PROGRAMMING/PROGRAMMING/PERSONAL/PYTHON/Image_Generator_API/imagenes/NAUTICA_MENS_208009696_BLK_1.jpg")</f>
        <v/>
      </c>
      <c r="M3084">
        <f>IMAGE("file:///E:/Estudios%20y%20certificaciones/ESTUDIOS%20DE%20PROGRAMMING/PROGRAMMING/PERSONAL/PYTHON/Image_Generator_API/imagenes/NAUTICA_MENS_208009696_BLK_2.jpg")</f>
        <v/>
      </c>
      <c r="N3084">
        <f>IMAGE("file:///E:/Estudios%20y%20certificaciones/ESTUDIOS%20DE%20PROGRAMMING/PROGRAMMING/PERSONAL/PYTHON/Image_Generator_API/imagenes/NAUTICA_MENS_208009696_BLK_3.jpg")</f>
        <v/>
      </c>
      <c r="O3084">
        <f>HYPERLINK("imagenes/NAUTICA_MENS_208009696_BLK_1.jpg","Ver imagen")</f>
        <v/>
      </c>
      <c r="P3084">
        <f>HYPERLINK("imagenes/NAUTICA_MENS_208009696_BLK_2.jpg","Ver imagen")</f>
        <v/>
      </c>
      <c r="Q3084">
        <f>HYPERLINK("imagenes/NAUTICA_MENS_208009696_BLK_3.jpg","Ver imagen")</f>
        <v/>
      </c>
    </row>
    <row r="3085">
      <c r="A3085" t="inlineStr">
        <is>
          <t>NAUTICA MENS</t>
        </is>
      </c>
      <c r="B3085" t="inlineStr">
        <is>
          <t>208009696</t>
        </is>
      </c>
      <c r="C3085" t="inlineStr">
        <is>
          <t>LT.WEIGHT WELDED JACKET</t>
        </is>
      </c>
      <c r="D3085" t="inlineStr">
        <is>
          <t>MTA</t>
        </is>
      </c>
      <c r="E3085" t="inlineStr">
        <is>
          <t>12A08</t>
        </is>
      </c>
      <c r="F3085" t="inlineStr">
        <is>
          <t>(en blanco)</t>
        </is>
      </c>
      <c r="G3085" t="inlineStr">
        <is>
          <t>PPK</t>
        </is>
      </c>
      <c r="H3085" t="n">
        <v>1260</v>
      </c>
      <c r="I3085" t="inlineStr">
        <is>
          <t>NAUTICA_MENS_208009696_MTA_1.jpg</t>
        </is>
      </c>
      <c r="J3085" t="inlineStr">
        <is>
          <t>NAUTICA_MENS_208009696_MTA_2.jpg</t>
        </is>
      </c>
      <c r="K3085" t="inlineStr">
        <is>
          <t>NAUTICA_MENS_208009696_MTA_3.jpg</t>
        </is>
      </c>
      <c r="L3085">
        <f>IMAGE("file:///E:/Estudios%20y%20certificaciones/ESTUDIOS%20DE%20PROGRAMMING/PROGRAMMING/PERSONAL/PYTHON/Image_Generator_API/imagenes/NAUTICA_MENS_208009696_MTA_1.jpg")</f>
        <v/>
      </c>
      <c r="M3085">
        <f>IMAGE("file:///E:/Estudios%20y%20certificaciones/ESTUDIOS%20DE%20PROGRAMMING/PROGRAMMING/PERSONAL/PYTHON/Image_Generator_API/imagenes/NAUTICA_MENS_208009696_MTA_2.jpg")</f>
        <v/>
      </c>
      <c r="N3085">
        <f>IMAGE("file:///E:/Estudios%20y%20certificaciones/ESTUDIOS%20DE%20PROGRAMMING/PROGRAMMING/PERSONAL/PYTHON/Image_Generator_API/imagenes/NAUTICA_MENS_208009696_MTA_3.jpg")</f>
        <v/>
      </c>
      <c r="O3085">
        <f>HYPERLINK("imagenes/NAUTICA_MENS_208009696_MTA_1.jpg","Ver imagen")</f>
        <v/>
      </c>
      <c r="P3085">
        <f>HYPERLINK("imagenes/NAUTICA_MENS_208009696_MTA_2.jpg","Ver imagen")</f>
        <v/>
      </c>
      <c r="Q3085">
        <f>HYPERLINK("imagenes/NAUTICA_MENS_208009696_MTA_3.jpg","Ver imagen")</f>
        <v/>
      </c>
    </row>
    <row r="3086">
      <c r="A3086" t="inlineStr">
        <is>
          <t>NAUTICA MENS</t>
        </is>
      </c>
      <c r="B3086" t="inlineStr">
        <is>
          <t>208009696</t>
        </is>
      </c>
      <c r="C3086" t="inlineStr">
        <is>
          <t>LT.WEIGHT WELDED JACKET</t>
        </is>
      </c>
      <c r="D3086" t="inlineStr">
        <is>
          <t>NVY</t>
        </is>
      </c>
      <c r="E3086" t="inlineStr">
        <is>
          <t>(en blanco)</t>
        </is>
      </c>
      <c r="F3086" t="inlineStr">
        <is>
          <t>(en blanco)</t>
        </is>
      </c>
      <c r="G3086" t="inlineStr">
        <is>
          <t>M</t>
        </is>
      </c>
      <c r="H3086" t="n">
        <v>87</v>
      </c>
      <c r="I3086" t="inlineStr">
        <is>
          <t>NAUTICA_MENS_208009696_NVY_1.jpg</t>
        </is>
      </c>
      <c r="J3086" t="inlineStr">
        <is>
          <t>NAUTICA_MENS_208009696_NVY_2.jpg</t>
        </is>
      </c>
      <c r="K3086" t="inlineStr">
        <is>
          <t>NAUTICA_MENS_208009696_NVY_3.jpg</t>
        </is>
      </c>
      <c r="L3086">
        <f>IMAGE("file:///E:/Estudios%20y%20certificaciones/ESTUDIOS%20DE%20PROGRAMMING/PROGRAMMING/PERSONAL/PYTHON/Image_Generator_API/imagenes/NAUTICA_MENS_208009696_NVY_1.jpg")</f>
        <v/>
      </c>
      <c r="M3086">
        <f>IMAGE("file:///E:/Estudios%20y%20certificaciones/ESTUDIOS%20DE%20PROGRAMMING/PROGRAMMING/PERSONAL/PYTHON/Image_Generator_API/imagenes/NAUTICA_MENS_208009696_NVY_2.jpg")</f>
        <v/>
      </c>
      <c r="N3086">
        <f>IMAGE("file:///E:/Estudios%20y%20certificaciones/ESTUDIOS%20DE%20PROGRAMMING/PROGRAMMING/PERSONAL/PYTHON/Image_Generator_API/imagenes/NAUTICA_MENS_208009696_NVY_3.jpg")</f>
        <v/>
      </c>
      <c r="O3086">
        <f>HYPERLINK("imagenes/NAUTICA_MENS_208009696_NVY_1.jpg","Ver imagen")</f>
        <v/>
      </c>
      <c r="P3086">
        <f>HYPERLINK("imagenes/NAUTICA_MENS_208009696_NVY_2.jpg","Ver imagen")</f>
        <v/>
      </c>
      <c r="Q3086">
        <f>HYPERLINK("imagenes/NAUTICA_MENS_208009696_NVY_3.jpg","Ver imagen")</f>
        <v/>
      </c>
    </row>
    <row r="3087">
      <c r="A3087" t="inlineStr">
        <is>
          <t>NAUTICA MENS</t>
        </is>
      </c>
      <c r="B3087" t="inlineStr">
        <is>
          <t>208009696</t>
        </is>
      </c>
      <c r="C3087" t="inlineStr">
        <is>
          <t>LT.WEIGHT WELDED JACKET</t>
        </is>
      </c>
      <c r="D3087" t="inlineStr">
        <is>
          <t>NVY</t>
        </is>
      </c>
      <c r="E3087" t="inlineStr">
        <is>
          <t>(en blanco)</t>
        </is>
      </c>
      <c r="F3087" t="inlineStr">
        <is>
          <t>(en blanco)</t>
        </is>
      </c>
      <c r="G3087" t="inlineStr">
        <is>
          <t>L</t>
        </is>
      </c>
      <c r="H3087" t="n">
        <v>172</v>
      </c>
      <c r="I3087" t="inlineStr">
        <is>
          <t>NAUTICA_MENS_208009696_NVY_1.jpg</t>
        </is>
      </c>
      <c r="J3087" t="inlineStr">
        <is>
          <t>NAUTICA_MENS_208009696_NVY_2.jpg</t>
        </is>
      </c>
      <c r="K3087" t="inlineStr">
        <is>
          <t>NAUTICA_MENS_208009696_NVY_3.jpg</t>
        </is>
      </c>
      <c r="L3087">
        <f>IMAGE("file:///E:/Estudios%20y%20certificaciones/ESTUDIOS%20DE%20PROGRAMMING/PROGRAMMING/PERSONAL/PYTHON/Image_Generator_API/imagenes/NAUTICA_MENS_208009696_NVY_1.jpg")</f>
        <v/>
      </c>
      <c r="M3087">
        <f>IMAGE("file:///E:/Estudios%20y%20certificaciones/ESTUDIOS%20DE%20PROGRAMMING/PROGRAMMING/PERSONAL/PYTHON/Image_Generator_API/imagenes/NAUTICA_MENS_208009696_NVY_2.jpg")</f>
        <v/>
      </c>
      <c r="N3087">
        <f>IMAGE("file:///E:/Estudios%20y%20certificaciones/ESTUDIOS%20DE%20PROGRAMMING/PROGRAMMING/PERSONAL/PYTHON/Image_Generator_API/imagenes/NAUTICA_MENS_208009696_NVY_3.jpg")</f>
        <v/>
      </c>
      <c r="O3087">
        <f>HYPERLINK("imagenes/NAUTICA_MENS_208009696_NVY_1.jpg","Ver imagen")</f>
        <v/>
      </c>
      <c r="P3087">
        <f>HYPERLINK("imagenes/NAUTICA_MENS_208009696_NVY_2.jpg","Ver imagen")</f>
        <v/>
      </c>
      <c r="Q3087">
        <f>HYPERLINK("imagenes/NAUTICA_MENS_208009696_NVY_3.jpg","Ver imagen")</f>
        <v/>
      </c>
    </row>
    <row r="3088">
      <c r="A3088" t="inlineStr">
        <is>
          <t>NAUTICA MENS</t>
        </is>
      </c>
      <c r="B3088" t="inlineStr">
        <is>
          <t>208009696</t>
        </is>
      </c>
      <c r="C3088" t="inlineStr">
        <is>
          <t>LT.WEIGHT WELDED JACKET</t>
        </is>
      </c>
      <c r="D3088" t="inlineStr">
        <is>
          <t>NVY</t>
        </is>
      </c>
      <c r="E3088" t="inlineStr">
        <is>
          <t>(en blanco)</t>
        </is>
      </c>
      <c r="F3088" t="inlineStr">
        <is>
          <t>(en blanco)</t>
        </is>
      </c>
      <c r="G3088" t="inlineStr">
        <is>
          <t>XL</t>
        </is>
      </c>
      <c r="H3088" t="n">
        <v>131</v>
      </c>
      <c r="I3088" t="inlineStr">
        <is>
          <t>NAUTICA_MENS_208009696_NVY_1.jpg</t>
        </is>
      </c>
      <c r="J3088" t="inlineStr">
        <is>
          <t>NAUTICA_MENS_208009696_NVY_2.jpg</t>
        </is>
      </c>
      <c r="K3088" t="inlineStr">
        <is>
          <t>NAUTICA_MENS_208009696_NVY_3.jpg</t>
        </is>
      </c>
      <c r="L3088">
        <f>IMAGE("file:///E:/Estudios%20y%20certificaciones/ESTUDIOS%20DE%20PROGRAMMING/PROGRAMMING/PERSONAL/PYTHON/Image_Generator_API/imagenes/NAUTICA_MENS_208009696_NVY_1.jpg")</f>
        <v/>
      </c>
      <c r="M3088">
        <f>IMAGE("file:///E:/Estudios%20y%20certificaciones/ESTUDIOS%20DE%20PROGRAMMING/PROGRAMMING/PERSONAL/PYTHON/Image_Generator_API/imagenes/NAUTICA_MENS_208009696_NVY_2.jpg")</f>
        <v/>
      </c>
      <c r="N3088">
        <f>IMAGE("file:///E:/Estudios%20y%20certificaciones/ESTUDIOS%20DE%20PROGRAMMING/PROGRAMMING/PERSONAL/PYTHON/Image_Generator_API/imagenes/NAUTICA_MENS_208009696_NVY_3.jpg")</f>
        <v/>
      </c>
      <c r="O3088">
        <f>HYPERLINK("imagenes/NAUTICA_MENS_208009696_NVY_1.jpg","Ver imagen")</f>
        <v/>
      </c>
      <c r="P3088">
        <f>HYPERLINK("imagenes/NAUTICA_MENS_208009696_NVY_2.jpg","Ver imagen")</f>
        <v/>
      </c>
      <c r="Q3088">
        <f>HYPERLINK("imagenes/NAUTICA_MENS_208009696_NVY_3.jpg","Ver imagen")</f>
        <v/>
      </c>
    </row>
    <row r="3089">
      <c r="A3089" t="inlineStr">
        <is>
          <t>NAUTICA MENS</t>
        </is>
      </c>
      <c r="B3089" t="inlineStr">
        <is>
          <t>208009696</t>
        </is>
      </c>
      <c r="C3089" t="inlineStr">
        <is>
          <t>LT.WEIGHT WELDED JACKET</t>
        </is>
      </c>
      <c r="D3089" t="inlineStr">
        <is>
          <t>NVY</t>
        </is>
      </c>
      <c r="E3089" t="inlineStr">
        <is>
          <t>(en blanco)</t>
        </is>
      </c>
      <c r="F3089" t="inlineStr">
        <is>
          <t>(en blanco)</t>
        </is>
      </c>
      <c r="G3089" t="inlineStr">
        <is>
          <t>XXL</t>
        </is>
      </c>
      <c r="H3089" t="n">
        <v>90</v>
      </c>
      <c r="I3089" t="inlineStr">
        <is>
          <t>NAUTICA_MENS_208009696_NVY_1.jpg</t>
        </is>
      </c>
      <c r="J3089" t="inlineStr">
        <is>
          <t>NAUTICA_MENS_208009696_NVY_2.jpg</t>
        </is>
      </c>
      <c r="K3089" t="inlineStr">
        <is>
          <t>NAUTICA_MENS_208009696_NVY_3.jpg</t>
        </is>
      </c>
      <c r="L3089">
        <f>IMAGE("file:///E:/Estudios%20y%20certificaciones/ESTUDIOS%20DE%20PROGRAMMING/PROGRAMMING/PERSONAL/PYTHON/Image_Generator_API/imagenes/NAUTICA_MENS_208009696_NVY_1.jpg")</f>
        <v/>
      </c>
      <c r="M3089">
        <f>IMAGE("file:///E:/Estudios%20y%20certificaciones/ESTUDIOS%20DE%20PROGRAMMING/PROGRAMMING/PERSONAL/PYTHON/Image_Generator_API/imagenes/NAUTICA_MENS_208009696_NVY_2.jpg")</f>
        <v/>
      </c>
      <c r="N3089">
        <f>IMAGE("file:///E:/Estudios%20y%20certificaciones/ESTUDIOS%20DE%20PROGRAMMING/PROGRAMMING/PERSONAL/PYTHON/Image_Generator_API/imagenes/NAUTICA_MENS_208009696_NVY_3.jpg")</f>
        <v/>
      </c>
      <c r="O3089">
        <f>HYPERLINK("imagenes/NAUTICA_MENS_208009696_NVY_1.jpg","Ver imagen")</f>
        <v/>
      </c>
      <c r="P3089">
        <f>HYPERLINK("imagenes/NAUTICA_MENS_208009696_NVY_2.jpg","Ver imagen")</f>
        <v/>
      </c>
      <c r="Q3089">
        <f>HYPERLINK("imagenes/NAUTICA_MENS_208009696_NVY_3.jpg","Ver imagen")</f>
        <v/>
      </c>
    </row>
    <row r="3090">
      <c r="A3090" t="inlineStr">
        <is>
          <t>NAUTICA MENS</t>
        </is>
      </c>
      <c r="B3090" t="inlineStr">
        <is>
          <t>208009696</t>
        </is>
      </c>
      <c r="C3090" t="inlineStr">
        <is>
          <t>LT.WEIGHT WELDED JACKET</t>
        </is>
      </c>
      <c r="D3090" t="inlineStr">
        <is>
          <t>NWB</t>
        </is>
      </c>
      <c r="E3090" t="inlineStr">
        <is>
          <t>12A08</t>
        </is>
      </c>
      <c r="F3090" t="inlineStr">
        <is>
          <t>(en blanco)</t>
        </is>
      </c>
      <c r="G3090" t="inlineStr">
        <is>
          <t>PPK</t>
        </is>
      </c>
      <c r="H3090" t="n">
        <v>360</v>
      </c>
      <c r="I3090" t="inlineStr">
        <is>
          <t>NAUTICA_MENS_208009696_NWB_1.jpg</t>
        </is>
      </c>
      <c r="J3090" t="inlineStr">
        <is>
          <t>NAUTICA_MENS_208009696_NWB_2.jpg</t>
        </is>
      </c>
      <c r="K3090" t="inlineStr">
        <is>
          <t>NAUTICA_MENS_208009696_NWB_3.jpg</t>
        </is>
      </c>
      <c r="L3090">
        <f>IMAGE("file:///E:/Estudios%20y%20certificaciones/ESTUDIOS%20DE%20PROGRAMMING/PROGRAMMING/PERSONAL/PYTHON/Image_Generator_API/imagenes/NAUTICA_MENS_208009696_NWB_1.jpg")</f>
        <v/>
      </c>
      <c r="M3090">
        <f>IMAGE("file:///E:/Estudios%20y%20certificaciones/ESTUDIOS%20DE%20PROGRAMMING/PROGRAMMING/PERSONAL/PYTHON/Image_Generator_API/imagenes/NAUTICA_MENS_208009696_NWB_2.jpg")</f>
        <v/>
      </c>
      <c r="N3090">
        <f>IMAGE("file:///E:/Estudios%20y%20certificaciones/ESTUDIOS%20DE%20PROGRAMMING/PROGRAMMING/PERSONAL/PYTHON/Image_Generator_API/imagenes/NAUTICA_MENS_208009696_NWB_3.jpg")</f>
        <v/>
      </c>
      <c r="O3090">
        <f>HYPERLINK("imagenes/NAUTICA_MENS_208009696_NWB_1.jpg","Ver imagen")</f>
        <v/>
      </c>
      <c r="P3090">
        <f>HYPERLINK("imagenes/NAUTICA_MENS_208009696_NWB_2.jpg","Ver imagen")</f>
        <v/>
      </c>
      <c r="Q3090">
        <f>HYPERLINK("imagenes/NAUTICA_MENS_208009696_NWB_3.jpg","Ver imagen")</f>
        <v/>
      </c>
    </row>
    <row r="3091">
      <c r="A3091" t="inlineStr">
        <is>
          <t>NAUTICA MENS</t>
        </is>
      </c>
      <c r="B3091" t="inlineStr">
        <is>
          <t>208009961</t>
        </is>
      </c>
      <c r="C3091" t="inlineStr">
        <is>
          <t>SHERPA LINED SOFTSHELL BOMBER</t>
        </is>
      </c>
      <c r="D3091" t="inlineStr">
        <is>
          <t>BLK</t>
        </is>
      </c>
      <c r="E3091" t="inlineStr">
        <is>
          <t>12A08</t>
        </is>
      </c>
      <c r="F3091" t="inlineStr">
        <is>
          <t>(en blanco)</t>
        </is>
      </c>
      <c r="G3091" t="inlineStr">
        <is>
          <t>PPK</t>
        </is>
      </c>
      <c r="H3091" t="n">
        <v>0</v>
      </c>
      <c r="I3091" t="inlineStr">
        <is>
          <t>NAUTICA_MENS_208009961_BLK_1.jpg</t>
        </is>
      </c>
      <c r="J3091" t="inlineStr">
        <is>
          <t>NAUTICA_MENS_208009961_BLK_2.jpg</t>
        </is>
      </c>
      <c r="K3091" t="inlineStr">
        <is>
          <t>NAUTICA_MENS_208009961_BLK_3.jpg</t>
        </is>
      </c>
      <c r="L3091">
        <f>IMAGE("file:///E:/Estudios%20y%20certificaciones/ESTUDIOS%20DE%20PROGRAMMING/PROGRAMMING/PERSONAL/PYTHON/Image_Generator_API/imagenes/NAUTICA_MENS_208009961_BLK_1.jpg")</f>
        <v/>
      </c>
      <c r="M3091">
        <f>IMAGE("file:///E:/Estudios%20y%20certificaciones/ESTUDIOS%20DE%20PROGRAMMING/PROGRAMMING/PERSONAL/PYTHON/Image_Generator_API/imagenes/NAUTICA_MENS_208009961_BLK_2.jpg")</f>
        <v/>
      </c>
      <c r="N3091">
        <f>IMAGE("file:///E:/Estudios%20y%20certificaciones/ESTUDIOS%20DE%20PROGRAMMING/PROGRAMMING/PERSONAL/PYTHON/Image_Generator_API/imagenes/NAUTICA_MENS_208009961_BLK_3.jpg")</f>
        <v/>
      </c>
      <c r="O3091">
        <f>HYPERLINK("imagenes/NAUTICA_MENS_208009961_BLK_1.jpg","Ver imagen")</f>
        <v/>
      </c>
      <c r="P3091">
        <f>HYPERLINK("imagenes/NAUTICA_MENS_208009961_BLK_2.jpg","Ver imagen")</f>
        <v/>
      </c>
      <c r="Q3091">
        <f>HYPERLINK("imagenes/NAUTICA_MENS_208009961_BLK_3.jpg","Ver imagen")</f>
        <v/>
      </c>
    </row>
    <row r="3092">
      <c r="A3092" t="inlineStr">
        <is>
          <t>NAUTICA MENS</t>
        </is>
      </c>
      <c r="B3092" t="inlineStr">
        <is>
          <t>208009961</t>
        </is>
      </c>
      <c r="C3092" t="inlineStr">
        <is>
          <t>SHERPA LINED SOFTSHELL BOMBER</t>
        </is>
      </c>
      <c r="D3092" t="inlineStr">
        <is>
          <t>BLK</t>
        </is>
      </c>
      <c r="E3092" t="inlineStr">
        <is>
          <t>12A09</t>
        </is>
      </c>
      <c r="F3092" t="inlineStr">
        <is>
          <t>(en blanco)</t>
        </is>
      </c>
      <c r="G3092" t="inlineStr">
        <is>
          <t>PPK</t>
        </is>
      </c>
      <c r="H3092" t="n">
        <v>0</v>
      </c>
      <c r="I3092" t="inlineStr">
        <is>
          <t>NAUTICA_MENS_208009961_BLK_1.jpg</t>
        </is>
      </c>
      <c r="J3092" t="inlineStr">
        <is>
          <t>NAUTICA_MENS_208009961_BLK_2.jpg</t>
        </is>
      </c>
      <c r="K3092" t="inlineStr">
        <is>
          <t>NAUTICA_MENS_208009961_BLK_3.jpg</t>
        </is>
      </c>
      <c r="L3092">
        <f>IMAGE("file:///E:/Estudios%20y%20certificaciones/ESTUDIOS%20DE%20PROGRAMMING/PROGRAMMING/PERSONAL/PYTHON/Image_Generator_API/imagenes/NAUTICA_MENS_208009961_BLK_1.jpg")</f>
        <v/>
      </c>
      <c r="M3092">
        <f>IMAGE("file:///E:/Estudios%20y%20certificaciones/ESTUDIOS%20DE%20PROGRAMMING/PROGRAMMING/PERSONAL/PYTHON/Image_Generator_API/imagenes/NAUTICA_MENS_208009961_BLK_2.jpg")</f>
        <v/>
      </c>
      <c r="N3092">
        <f>IMAGE("file:///E:/Estudios%20y%20certificaciones/ESTUDIOS%20DE%20PROGRAMMING/PROGRAMMING/PERSONAL/PYTHON/Image_Generator_API/imagenes/NAUTICA_MENS_208009961_BLK_3.jpg")</f>
        <v/>
      </c>
      <c r="O3092">
        <f>HYPERLINK("imagenes/NAUTICA_MENS_208009961_BLK_1.jpg","Ver imagen")</f>
        <v/>
      </c>
      <c r="P3092">
        <f>HYPERLINK("imagenes/NAUTICA_MENS_208009961_BLK_2.jpg","Ver imagen")</f>
        <v/>
      </c>
      <c r="Q3092">
        <f>HYPERLINK("imagenes/NAUTICA_MENS_208009961_BLK_3.jpg","Ver imagen")</f>
        <v/>
      </c>
    </row>
    <row r="3093">
      <c r="A3093" t="inlineStr">
        <is>
          <t>NAUTICA MENS</t>
        </is>
      </c>
      <c r="B3093" t="inlineStr">
        <is>
          <t>208009961</t>
        </is>
      </c>
      <c r="C3093" t="inlineStr">
        <is>
          <t>SHERPA LINED SOFTSHELL BOMBER</t>
        </is>
      </c>
      <c r="D3093" t="inlineStr">
        <is>
          <t>NVY</t>
        </is>
      </c>
      <c r="E3093" t="inlineStr">
        <is>
          <t>12A08</t>
        </is>
      </c>
      <c r="F3093" t="inlineStr">
        <is>
          <t>(en blanco)</t>
        </is>
      </c>
      <c r="G3093" t="inlineStr">
        <is>
          <t>PPK</t>
        </is>
      </c>
      <c r="H3093" t="n">
        <v>0</v>
      </c>
      <c r="I3093" t="inlineStr">
        <is>
          <t>NAUTICA_MENS_208009961_NVY_1.jpg</t>
        </is>
      </c>
      <c r="J3093" t="inlineStr">
        <is>
          <t>NAUTICA_MENS_208009961_NVY_2.jpg</t>
        </is>
      </c>
      <c r="K3093" t="inlineStr">
        <is>
          <t>NAUTICA_MENS_208009961_NVY_3.jpg</t>
        </is>
      </c>
      <c r="L3093">
        <f>IMAGE("file:///E:/Estudios%20y%20certificaciones/ESTUDIOS%20DE%20PROGRAMMING/PROGRAMMING/PERSONAL/PYTHON/Image_Generator_API/imagenes/NAUTICA_MENS_208009961_NVY_1.jpg")</f>
        <v/>
      </c>
      <c r="M3093">
        <f>IMAGE("file:///E:/Estudios%20y%20certificaciones/ESTUDIOS%20DE%20PROGRAMMING/PROGRAMMING/PERSONAL/PYTHON/Image_Generator_API/imagenes/NAUTICA_MENS_208009961_NVY_2.jpg")</f>
        <v/>
      </c>
      <c r="N3093">
        <f>IMAGE("file:///E:/Estudios%20y%20certificaciones/ESTUDIOS%20DE%20PROGRAMMING/PROGRAMMING/PERSONAL/PYTHON/Image_Generator_API/imagenes/NAUTICA_MENS_208009961_NVY_3.jpg")</f>
        <v/>
      </c>
      <c r="O3093">
        <f>HYPERLINK("imagenes/NAUTICA_MENS_208009961_NVY_1.jpg","Ver imagen")</f>
        <v/>
      </c>
      <c r="P3093">
        <f>HYPERLINK("imagenes/NAUTICA_MENS_208009961_NVY_2.jpg","Ver imagen")</f>
        <v/>
      </c>
      <c r="Q3093">
        <f>HYPERLINK("imagenes/NAUTICA_MENS_208009961_NVY_3.jpg","Ver imagen")</f>
        <v/>
      </c>
    </row>
    <row r="3094">
      <c r="A3094" t="inlineStr">
        <is>
          <t>NAUTICA MENS</t>
        </is>
      </c>
      <c r="B3094" t="inlineStr">
        <is>
          <t>208009961</t>
        </is>
      </c>
      <c r="C3094" t="inlineStr">
        <is>
          <t>SHERPA LINED SOFTSHELL BOMBER</t>
        </is>
      </c>
      <c r="D3094" t="inlineStr">
        <is>
          <t>NVY</t>
        </is>
      </c>
      <c r="E3094" t="inlineStr">
        <is>
          <t>12A09</t>
        </is>
      </c>
      <c r="F3094" t="inlineStr">
        <is>
          <t>(en blanco)</t>
        </is>
      </c>
      <c r="G3094" t="inlineStr">
        <is>
          <t>PPK</t>
        </is>
      </c>
      <c r="H3094" t="n">
        <v>0</v>
      </c>
      <c r="I3094" t="inlineStr">
        <is>
          <t>NAUTICA_MENS_208009961_NVY_1.jpg</t>
        </is>
      </c>
      <c r="J3094" t="inlineStr">
        <is>
          <t>NAUTICA_MENS_208009961_NVY_2.jpg</t>
        </is>
      </c>
      <c r="K3094" t="inlineStr">
        <is>
          <t>NAUTICA_MENS_208009961_NVY_3.jpg</t>
        </is>
      </c>
      <c r="L3094">
        <f>IMAGE("file:///E:/Estudios%20y%20certificaciones/ESTUDIOS%20DE%20PROGRAMMING/PROGRAMMING/PERSONAL/PYTHON/Image_Generator_API/imagenes/NAUTICA_MENS_208009961_NVY_1.jpg")</f>
        <v/>
      </c>
      <c r="M3094">
        <f>IMAGE("file:///E:/Estudios%20y%20certificaciones/ESTUDIOS%20DE%20PROGRAMMING/PROGRAMMING/PERSONAL/PYTHON/Image_Generator_API/imagenes/NAUTICA_MENS_208009961_NVY_2.jpg")</f>
        <v/>
      </c>
      <c r="N3094">
        <f>IMAGE("file:///E:/Estudios%20y%20certificaciones/ESTUDIOS%20DE%20PROGRAMMING/PROGRAMMING/PERSONAL/PYTHON/Image_Generator_API/imagenes/NAUTICA_MENS_208009961_NVY_3.jpg")</f>
        <v/>
      </c>
      <c r="O3094">
        <f>HYPERLINK("imagenes/NAUTICA_MENS_208009961_NVY_1.jpg","Ver imagen")</f>
        <v/>
      </c>
      <c r="P3094">
        <f>HYPERLINK("imagenes/NAUTICA_MENS_208009961_NVY_2.jpg","Ver imagen")</f>
        <v/>
      </c>
      <c r="Q3094">
        <f>HYPERLINK("imagenes/NAUTICA_MENS_208009961_NVY_3.jpg","Ver imagen")</f>
        <v/>
      </c>
    </row>
    <row r="3095">
      <c r="A3095" t="inlineStr">
        <is>
          <t>NAUTICA MENS</t>
        </is>
      </c>
      <c r="B3095" t="inlineStr">
        <is>
          <t>208009962</t>
        </is>
      </c>
      <c r="C3095" t="inlineStr">
        <is>
          <t>SHERPA LINED SOFTSHELL HOODIE</t>
        </is>
      </c>
      <c r="D3095" t="inlineStr">
        <is>
          <t>NVY</t>
        </is>
      </c>
      <c r="E3095" t="inlineStr">
        <is>
          <t>12A08</t>
        </is>
      </c>
      <c r="F3095" t="inlineStr">
        <is>
          <t>M2360</t>
        </is>
      </c>
      <c r="G3095" t="inlineStr">
        <is>
          <t>PPK</t>
        </is>
      </c>
      <c r="H3095" t="n">
        <v>0</v>
      </c>
      <c r="I3095" t="inlineStr">
        <is>
          <t>NAUTICA_MENS_208009962_NVY_2.jpg</t>
        </is>
      </c>
      <c r="J3095" t="inlineStr">
        <is>
          <t>NAUTICA_MENS_208009962_NVY_3.jpg</t>
        </is>
      </c>
      <c r="L3095">
        <f>IMAGE("file:///E:/Estudios%20y%20certificaciones/ESTUDIOS%20DE%20PROGRAMMING/PROGRAMMING/PERSONAL/PYTHON/Image_Generator_API/imagenes/NAUTICA_MENS_208009962_NVY_2.jpg")</f>
        <v/>
      </c>
      <c r="M3095">
        <f>IMAGE("file:///E:/Estudios%20y%20certificaciones/ESTUDIOS%20DE%20PROGRAMMING/PROGRAMMING/PERSONAL/PYTHON/Image_Generator_API/imagenes/NAUTICA_MENS_208009962_NVY_3.jpg")</f>
        <v/>
      </c>
      <c r="O3095">
        <f>HYPERLINK("imagenes/NAUTICA_MENS_208009962_NVY_2.jpg","Ver imagen")</f>
        <v/>
      </c>
      <c r="P3095">
        <f>HYPERLINK("imagenes/NAUTICA_MENS_208009962_NVY_3.jpg","Ver imagen")</f>
        <v/>
      </c>
    </row>
    <row r="3096">
      <c r="A3096" t="inlineStr">
        <is>
          <t>NAUTICA MENS</t>
        </is>
      </c>
      <c r="B3096" t="inlineStr">
        <is>
          <t>208009962</t>
        </is>
      </c>
      <c r="C3096" t="inlineStr">
        <is>
          <t>SHERPA LINED SOFTSHELL HOODIE</t>
        </is>
      </c>
      <c r="D3096" t="inlineStr">
        <is>
          <t>NVY</t>
        </is>
      </c>
      <c r="E3096" t="inlineStr">
        <is>
          <t>12A09</t>
        </is>
      </c>
      <c r="F3096" t="inlineStr">
        <is>
          <t>M2360</t>
        </is>
      </c>
      <c r="G3096" t="inlineStr">
        <is>
          <t>PPK</t>
        </is>
      </c>
      <c r="H3096" t="n">
        <v>0</v>
      </c>
      <c r="I3096" t="inlineStr">
        <is>
          <t>NAUTICA_MENS_208009962_NVY_2.jpg</t>
        </is>
      </c>
      <c r="J3096" t="inlineStr">
        <is>
          <t>NAUTICA_MENS_208009962_NVY_3.jpg</t>
        </is>
      </c>
      <c r="L3096">
        <f>IMAGE("file:///E:/Estudios%20y%20certificaciones/ESTUDIOS%20DE%20PROGRAMMING/PROGRAMMING/PERSONAL/PYTHON/Image_Generator_API/imagenes/NAUTICA_MENS_208009962_NVY_2.jpg")</f>
        <v/>
      </c>
      <c r="M3096">
        <f>IMAGE("file:///E:/Estudios%20y%20certificaciones/ESTUDIOS%20DE%20PROGRAMMING/PROGRAMMING/PERSONAL/PYTHON/Image_Generator_API/imagenes/NAUTICA_MENS_208009962_NVY_3.jpg")</f>
        <v/>
      </c>
      <c r="O3096">
        <f>HYPERLINK("imagenes/NAUTICA_MENS_208009962_NVY_2.jpg","Ver imagen")</f>
        <v/>
      </c>
      <c r="P3096">
        <f>HYPERLINK("imagenes/NAUTICA_MENS_208009962_NVY_3.jpg","Ver imagen")</f>
        <v/>
      </c>
    </row>
    <row r="3097">
      <c r="A3097" t="inlineStr">
        <is>
          <t>NAUTICA MENS</t>
        </is>
      </c>
      <c r="B3097" t="inlineStr">
        <is>
          <t>208010020</t>
        </is>
      </c>
      <c r="C3097" t="inlineStr">
        <is>
          <t>SAILING JACKET</t>
        </is>
      </c>
      <c r="D3097" t="inlineStr">
        <is>
          <t>BGI</t>
        </is>
      </c>
      <c r="E3097" t="inlineStr">
        <is>
          <t>12A08</t>
        </is>
      </c>
      <c r="F3097" t="inlineStr">
        <is>
          <t>(en blanco)</t>
        </is>
      </c>
      <c r="G3097" t="inlineStr">
        <is>
          <t>PPK</t>
        </is>
      </c>
      <c r="H3097" t="n">
        <v>2400</v>
      </c>
      <c r="I3097" t="inlineStr">
        <is>
          <t>NAUTICA_MENS_208010020_BGI_1.jpg</t>
        </is>
      </c>
      <c r="J3097" t="inlineStr">
        <is>
          <t>NAUTICA_MENS_208010020_BGI_2.jpg</t>
        </is>
      </c>
      <c r="K3097" t="inlineStr">
        <is>
          <t>NAUTICA_MENS_208010020_BGI_3.jpg</t>
        </is>
      </c>
      <c r="L3097">
        <f>IMAGE("file:///E:/Estudios%20y%20certificaciones/ESTUDIOS%20DE%20PROGRAMMING/PROGRAMMING/PERSONAL/PYTHON/Image_Generator_API/imagenes/NAUTICA_MENS_208010020_BGI_1.jpg")</f>
        <v/>
      </c>
      <c r="M3097">
        <f>IMAGE("file:///E:/Estudios%20y%20certificaciones/ESTUDIOS%20DE%20PROGRAMMING/PROGRAMMING/PERSONAL/PYTHON/Image_Generator_API/imagenes/NAUTICA_MENS_208010020_BGI_2.jpg")</f>
        <v/>
      </c>
      <c r="N3097">
        <f>IMAGE("file:///E:/Estudios%20y%20certificaciones/ESTUDIOS%20DE%20PROGRAMMING/PROGRAMMING/PERSONAL/PYTHON/Image_Generator_API/imagenes/NAUTICA_MENS_208010020_BGI_3.jpg")</f>
        <v/>
      </c>
      <c r="O3097">
        <f>HYPERLINK("imagenes/NAUTICA_MENS_208010020_BGI_1.jpg","Ver imagen")</f>
        <v/>
      </c>
      <c r="P3097">
        <f>HYPERLINK("imagenes/NAUTICA_MENS_208010020_BGI_2.jpg","Ver imagen")</f>
        <v/>
      </c>
      <c r="Q3097">
        <f>HYPERLINK("imagenes/NAUTICA_MENS_208010020_BGI_3.jpg","Ver imagen")</f>
        <v/>
      </c>
    </row>
    <row r="3098">
      <c r="A3098" t="inlineStr">
        <is>
          <t>NAUTICA MENS</t>
        </is>
      </c>
      <c r="B3098" t="inlineStr">
        <is>
          <t>208010020</t>
        </is>
      </c>
      <c r="C3098" t="inlineStr">
        <is>
          <t>SAILING JACKET</t>
        </is>
      </c>
      <c r="D3098" t="inlineStr">
        <is>
          <t>BGI</t>
        </is>
      </c>
      <c r="E3098" t="inlineStr">
        <is>
          <t>12A09</t>
        </is>
      </c>
      <c r="F3098" t="inlineStr">
        <is>
          <t>(en blanco)</t>
        </is>
      </c>
      <c r="G3098" t="inlineStr">
        <is>
          <t>PPK</t>
        </is>
      </c>
      <c r="H3098" t="n">
        <v>1056</v>
      </c>
      <c r="I3098" t="inlineStr">
        <is>
          <t>NAUTICA_MENS_208010020_BGI_1.jpg</t>
        </is>
      </c>
      <c r="J3098" t="inlineStr">
        <is>
          <t>NAUTICA_MENS_208010020_BGI_2.jpg</t>
        </is>
      </c>
      <c r="K3098" t="inlineStr">
        <is>
          <t>NAUTICA_MENS_208010020_BGI_3.jpg</t>
        </is>
      </c>
      <c r="L3098">
        <f>IMAGE("file:///E:/Estudios%20y%20certificaciones/ESTUDIOS%20DE%20PROGRAMMING/PROGRAMMING/PERSONAL/PYTHON/Image_Generator_API/imagenes/NAUTICA_MENS_208010020_BGI_1.jpg")</f>
        <v/>
      </c>
      <c r="M3098">
        <f>IMAGE("file:///E:/Estudios%20y%20certificaciones/ESTUDIOS%20DE%20PROGRAMMING/PROGRAMMING/PERSONAL/PYTHON/Image_Generator_API/imagenes/NAUTICA_MENS_208010020_BGI_2.jpg")</f>
        <v/>
      </c>
      <c r="N3098">
        <f>IMAGE("file:///E:/Estudios%20y%20certificaciones/ESTUDIOS%20DE%20PROGRAMMING/PROGRAMMING/PERSONAL/PYTHON/Image_Generator_API/imagenes/NAUTICA_MENS_208010020_BGI_3.jpg")</f>
        <v/>
      </c>
      <c r="O3098">
        <f>HYPERLINK("imagenes/NAUTICA_MENS_208010020_BGI_1.jpg","Ver imagen")</f>
        <v/>
      </c>
      <c r="P3098">
        <f>HYPERLINK("imagenes/NAUTICA_MENS_208010020_BGI_2.jpg","Ver imagen")</f>
        <v/>
      </c>
      <c r="Q3098">
        <f>HYPERLINK("imagenes/NAUTICA_MENS_208010020_BGI_3.jpg","Ver imagen")</f>
        <v/>
      </c>
    </row>
    <row r="3099">
      <c r="A3099" t="inlineStr">
        <is>
          <t>NAUTICA MENS</t>
        </is>
      </c>
      <c r="B3099" t="inlineStr">
        <is>
          <t>208010020</t>
        </is>
      </c>
      <c r="C3099" t="inlineStr">
        <is>
          <t>SAILING JACKET</t>
        </is>
      </c>
      <c r="D3099" t="inlineStr">
        <is>
          <t>BGI</t>
        </is>
      </c>
      <c r="E3099" t="inlineStr">
        <is>
          <t>(en blanco)</t>
        </is>
      </c>
      <c r="F3099" t="inlineStr">
        <is>
          <t>D2C</t>
        </is>
      </c>
      <c r="G3099" t="inlineStr">
        <is>
          <t>S</t>
        </is>
      </c>
      <c r="H3099" t="n">
        <v>20</v>
      </c>
      <c r="I3099" t="inlineStr">
        <is>
          <t>NAUTICA_MENS_208010020_BGI_1.jpg</t>
        </is>
      </c>
      <c r="J3099" t="inlineStr">
        <is>
          <t>NAUTICA_MENS_208010020_BGI_2.jpg</t>
        </is>
      </c>
      <c r="K3099" t="inlineStr">
        <is>
          <t>NAUTICA_MENS_208010020_BGI_3.jpg</t>
        </is>
      </c>
      <c r="L3099">
        <f>IMAGE("file:///E:/Estudios%20y%20certificaciones/ESTUDIOS%20DE%20PROGRAMMING/PROGRAMMING/PERSONAL/PYTHON/Image_Generator_API/imagenes/NAUTICA_MENS_208010020_BGI_1.jpg")</f>
        <v/>
      </c>
      <c r="M3099">
        <f>IMAGE("file:///E:/Estudios%20y%20certificaciones/ESTUDIOS%20DE%20PROGRAMMING/PROGRAMMING/PERSONAL/PYTHON/Image_Generator_API/imagenes/NAUTICA_MENS_208010020_BGI_2.jpg")</f>
        <v/>
      </c>
      <c r="N3099">
        <f>IMAGE("file:///E:/Estudios%20y%20certificaciones/ESTUDIOS%20DE%20PROGRAMMING/PROGRAMMING/PERSONAL/PYTHON/Image_Generator_API/imagenes/NAUTICA_MENS_208010020_BGI_3.jpg")</f>
        <v/>
      </c>
      <c r="O3099">
        <f>HYPERLINK("imagenes/NAUTICA_MENS_208010020_BGI_1.jpg","Ver imagen")</f>
        <v/>
      </c>
      <c r="P3099">
        <f>HYPERLINK("imagenes/NAUTICA_MENS_208010020_BGI_2.jpg","Ver imagen")</f>
        <v/>
      </c>
      <c r="Q3099">
        <f>HYPERLINK("imagenes/NAUTICA_MENS_208010020_BGI_3.jpg","Ver imagen")</f>
        <v/>
      </c>
    </row>
    <row r="3100">
      <c r="A3100" t="inlineStr">
        <is>
          <t>NAUTICA MENS</t>
        </is>
      </c>
      <c r="B3100" t="inlineStr">
        <is>
          <t>208010020</t>
        </is>
      </c>
      <c r="C3100" t="inlineStr">
        <is>
          <t>SAILING JACKET</t>
        </is>
      </c>
      <c r="D3100" t="inlineStr">
        <is>
          <t>BGI</t>
        </is>
      </c>
      <c r="E3100" t="inlineStr">
        <is>
          <t>(en blanco)</t>
        </is>
      </c>
      <c r="F3100" t="inlineStr">
        <is>
          <t>D2C</t>
        </is>
      </c>
      <c r="G3100" t="inlineStr">
        <is>
          <t>M</t>
        </is>
      </c>
      <c r="H3100" t="n">
        <v>16</v>
      </c>
      <c r="I3100" t="inlineStr">
        <is>
          <t>NAUTICA_MENS_208010020_BGI_1.jpg</t>
        </is>
      </c>
      <c r="J3100" t="inlineStr">
        <is>
          <t>NAUTICA_MENS_208010020_BGI_2.jpg</t>
        </is>
      </c>
      <c r="K3100" t="inlineStr">
        <is>
          <t>NAUTICA_MENS_208010020_BGI_3.jpg</t>
        </is>
      </c>
      <c r="L3100">
        <f>IMAGE("file:///E:/Estudios%20y%20certificaciones/ESTUDIOS%20DE%20PROGRAMMING/PROGRAMMING/PERSONAL/PYTHON/Image_Generator_API/imagenes/NAUTICA_MENS_208010020_BGI_1.jpg")</f>
        <v/>
      </c>
      <c r="M3100">
        <f>IMAGE("file:///E:/Estudios%20y%20certificaciones/ESTUDIOS%20DE%20PROGRAMMING/PROGRAMMING/PERSONAL/PYTHON/Image_Generator_API/imagenes/NAUTICA_MENS_208010020_BGI_2.jpg")</f>
        <v/>
      </c>
      <c r="N3100">
        <f>IMAGE("file:///E:/Estudios%20y%20certificaciones/ESTUDIOS%20DE%20PROGRAMMING/PROGRAMMING/PERSONAL/PYTHON/Image_Generator_API/imagenes/NAUTICA_MENS_208010020_BGI_3.jpg")</f>
        <v/>
      </c>
      <c r="O3100">
        <f>HYPERLINK("imagenes/NAUTICA_MENS_208010020_BGI_1.jpg","Ver imagen")</f>
        <v/>
      </c>
      <c r="P3100">
        <f>HYPERLINK("imagenes/NAUTICA_MENS_208010020_BGI_2.jpg","Ver imagen")</f>
        <v/>
      </c>
      <c r="Q3100">
        <f>HYPERLINK("imagenes/NAUTICA_MENS_208010020_BGI_3.jpg","Ver imagen")</f>
        <v/>
      </c>
    </row>
    <row r="3101">
      <c r="A3101" t="inlineStr">
        <is>
          <t>NAUTICA MENS</t>
        </is>
      </c>
      <c r="B3101" t="inlineStr">
        <is>
          <t>208010020</t>
        </is>
      </c>
      <c r="C3101" t="inlineStr">
        <is>
          <t>SAILING JACKET</t>
        </is>
      </c>
      <c r="D3101" t="inlineStr">
        <is>
          <t>BGI</t>
        </is>
      </c>
      <c r="E3101" t="inlineStr">
        <is>
          <t>(en blanco)</t>
        </is>
      </c>
      <c r="F3101" t="inlineStr">
        <is>
          <t>D2C</t>
        </is>
      </c>
      <c r="G3101" t="inlineStr">
        <is>
          <t>L</t>
        </is>
      </c>
      <c r="H3101" t="n">
        <v>20</v>
      </c>
      <c r="I3101" t="inlineStr">
        <is>
          <t>NAUTICA_MENS_208010020_BGI_1.jpg</t>
        </is>
      </c>
      <c r="J3101" t="inlineStr">
        <is>
          <t>NAUTICA_MENS_208010020_BGI_2.jpg</t>
        </is>
      </c>
      <c r="K3101" t="inlineStr">
        <is>
          <t>NAUTICA_MENS_208010020_BGI_3.jpg</t>
        </is>
      </c>
      <c r="L3101">
        <f>IMAGE("file:///E:/Estudios%20y%20certificaciones/ESTUDIOS%20DE%20PROGRAMMING/PROGRAMMING/PERSONAL/PYTHON/Image_Generator_API/imagenes/NAUTICA_MENS_208010020_BGI_1.jpg")</f>
        <v/>
      </c>
      <c r="M3101">
        <f>IMAGE("file:///E:/Estudios%20y%20certificaciones/ESTUDIOS%20DE%20PROGRAMMING/PROGRAMMING/PERSONAL/PYTHON/Image_Generator_API/imagenes/NAUTICA_MENS_208010020_BGI_2.jpg")</f>
        <v/>
      </c>
      <c r="N3101">
        <f>IMAGE("file:///E:/Estudios%20y%20certificaciones/ESTUDIOS%20DE%20PROGRAMMING/PROGRAMMING/PERSONAL/PYTHON/Image_Generator_API/imagenes/NAUTICA_MENS_208010020_BGI_3.jpg")</f>
        <v/>
      </c>
      <c r="O3101">
        <f>HYPERLINK("imagenes/NAUTICA_MENS_208010020_BGI_1.jpg","Ver imagen")</f>
        <v/>
      </c>
      <c r="P3101">
        <f>HYPERLINK("imagenes/NAUTICA_MENS_208010020_BGI_2.jpg","Ver imagen")</f>
        <v/>
      </c>
      <c r="Q3101">
        <f>HYPERLINK("imagenes/NAUTICA_MENS_208010020_BGI_3.jpg","Ver imagen")</f>
        <v/>
      </c>
    </row>
    <row r="3102">
      <c r="A3102" t="inlineStr">
        <is>
          <t>NAUTICA MENS</t>
        </is>
      </c>
      <c r="B3102" t="inlineStr">
        <is>
          <t>208010020</t>
        </is>
      </c>
      <c r="C3102" t="inlineStr">
        <is>
          <t>SAILING JACKET</t>
        </is>
      </c>
      <c r="D3102" t="inlineStr">
        <is>
          <t>BGI</t>
        </is>
      </c>
      <c r="E3102" t="inlineStr">
        <is>
          <t>(en blanco)</t>
        </is>
      </c>
      <c r="F3102" t="inlineStr">
        <is>
          <t>D2C</t>
        </is>
      </c>
      <c r="G3102" t="inlineStr">
        <is>
          <t>XL</t>
        </is>
      </c>
      <c r="H3102" t="n">
        <v>19</v>
      </c>
      <c r="I3102" t="inlineStr">
        <is>
          <t>NAUTICA_MENS_208010020_BGI_1.jpg</t>
        </is>
      </c>
      <c r="J3102" t="inlineStr">
        <is>
          <t>NAUTICA_MENS_208010020_BGI_2.jpg</t>
        </is>
      </c>
      <c r="K3102" t="inlineStr">
        <is>
          <t>NAUTICA_MENS_208010020_BGI_3.jpg</t>
        </is>
      </c>
      <c r="L3102">
        <f>IMAGE("file:///E:/Estudios%20y%20certificaciones/ESTUDIOS%20DE%20PROGRAMMING/PROGRAMMING/PERSONAL/PYTHON/Image_Generator_API/imagenes/NAUTICA_MENS_208010020_BGI_1.jpg")</f>
        <v/>
      </c>
      <c r="M3102">
        <f>IMAGE("file:///E:/Estudios%20y%20certificaciones/ESTUDIOS%20DE%20PROGRAMMING/PROGRAMMING/PERSONAL/PYTHON/Image_Generator_API/imagenes/NAUTICA_MENS_208010020_BGI_2.jpg")</f>
        <v/>
      </c>
      <c r="N3102">
        <f>IMAGE("file:///E:/Estudios%20y%20certificaciones/ESTUDIOS%20DE%20PROGRAMMING/PROGRAMMING/PERSONAL/PYTHON/Image_Generator_API/imagenes/NAUTICA_MENS_208010020_BGI_3.jpg")</f>
        <v/>
      </c>
      <c r="O3102">
        <f>HYPERLINK("imagenes/NAUTICA_MENS_208010020_BGI_1.jpg","Ver imagen")</f>
        <v/>
      </c>
      <c r="P3102">
        <f>HYPERLINK("imagenes/NAUTICA_MENS_208010020_BGI_2.jpg","Ver imagen")</f>
        <v/>
      </c>
      <c r="Q3102">
        <f>HYPERLINK("imagenes/NAUTICA_MENS_208010020_BGI_3.jpg","Ver imagen")</f>
        <v/>
      </c>
    </row>
    <row r="3103">
      <c r="A3103" t="inlineStr">
        <is>
          <t>NAUTICA MENS</t>
        </is>
      </c>
      <c r="B3103" t="inlineStr">
        <is>
          <t>208010020</t>
        </is>
      </c>
      <c r="C3103" t="inlineStr">
        <is>
          <t>SAILING JACKET</t>
        </is>
      </c>
      <c r="D3103" t="inlineStr">
        <is>
          <t>BGI</t>
        </is>
      </c>
      <c r="E3103" t="inlineStr">
        <is>
          <t>(en blanco)</t>
        </is>
      </c>
      <c r="F3103" t="inlineStr">
        <is>
          <t>D2C</t>
        </is>
      </c>
      <c r="G3103" t="inlineStr">
        <is>
          <t>XXL</t>
        </is>
      </c>
      <c r="H3103" t="n">
        <v>19</v>
      </c>
      <c r="I3103" t="inlineStr">
        <is>
          <t>NAUTICA_MENS_208010020_BGI_1.jpg</t>
        </is>
      </c>
      <c r="J3103" t="inlineStr">
        <is>
          <t>NAUTICA_MENS_208010020_BGI_2.jpg</t>
        </is>
      </c>
      <c r="K3103" t="inlineStr">
        <is>
          <t>NAUTICA_MENS_208010020_BGI_3.jpg</t>
        </is>
      </c>
      <c r="L3103">
        <f>IMAGE("file:///E:/Estudios%20y%20certificaciones/ESTUDIOS%20DE%20PROGRAMMING/PROGRAMMING/PERSONAL/PYTHON/Image_Generator_API/imagenes/NAUTICA_MENS_208010020_BGI_1.jpg")</f>
        <v/>
      </c>
      <c r="M3103">
        <f>IMAGE("file:///E:/Estudios%20y%20certificaciones/ESTUDIOS%20DE%20PROGRAMMING/PROGRAMMING/PERSONAL/PYTHON/Image_Generator_API/imagenes/NAUTICA_MENS_208010020_BGI_2.jpg")</f>
        <v/>
      </c>
      <c r="N3103">
        <f>IMAGE("file:///E:/Estudios%20y%20certificaciones/ESTUDIOS%20DE%20PROGRAMMING/PROGRAMMING/PERSONAL/PYTHON/Image_Generator_API/imagenes/NAUTICA_MENS_208010020_BGI_3.jpg")</f>
        <v/>
      </c>
      <c r="O3103">
        <f>HYPERLINK("imagenes/NAUTICA_MENS_208010020_BGI_1.jpg","Ver imagen")</f>
        <v/>
      </c>
      <c r="P3103">
        <f>HYPERLINK("imagenes/NAUTICA_MENS_208010020_BGI_2.jpg","Ver imagen")</f>
        <v/>
      </c>
      <c r="Q3103">
        <f>HYPERLINK("imagenes/NAUTICA_MENS_208010020_BGI_3.jpg","Ver imagen")</f>
        <v/>
      </c>
    </row>
    <row r="3104">
      <c r="A3104" t="inlineStr">
        <is>
          <t>NAUTICA MENS</t>
        </is>
      </c>
      <c r="B3104" t="inlineStr">
        <is>
          <t>208010020</t>
        </is>
      </c>
      <c r="C3104" t="inlineStr">
        <is>
          <t>SAILING JACKET</t>
        </is>
      </c>
      <c r="D3104" t="inlineStr">
        <is>
          <t>BGI</t>
        </is>
      </c>
      <c r="E3104" t="inlineStr">
        <is>
          <t>(en blanco)</t>
        </is>
      </c>
      <c r="F3104" t="inlineStr">
        <is>
          <t>(en blanco)</t>
        </is>
      </c>
      <c r="G3104" t="inlineStr">
        <is>
          <t>S</t>
        </is>
      </c>
      <c r="H3104" t="n">
        <v>248</v>
      </c>
      <c r="I3104" t="inlineStr">
        <is>
          <t>NAUTICA_MENS_208010020_BGI_1.jpg</t>
        </is>
      </c>
      <c r="J3104" t="inlineStr">
        <is>
          <t>NAUTICA_MENS_208010020_BGI_2.jpg</t>
        </is>
      </c>
      <c r="K3104" t="inlineStr">
        <is>
          <t>NAUTICA_MENS_208010020_BGI_3.jpg</t>
        </is>
      </c>
      <c r="L3104">
        <f>IMAGE("file:///E:/Estudios%20y%20certificaciones/ESTUDIOS%20DE%20PROGRAMMING/PROGRAMMING/PERSONAL/PYTHON/Image_Generator_API/imagenes/NAUTICA_MENS_208010020_BGI_1.jpg")</f>
        <v/>
      </c>
      <c r="M3104">
        <f>IMAGE("file:///E:/Estudios%20y%20certificaciones/ESTUDIOS%20DE%20PROGRAMMING/PROGRAMMING/PERSONAL/PYTHON/Image_Generator_API/imagenes/NAUTICA_MENS_208010020_BGI_2.jpg")</f>
        <v/>
      </c>
      <c r="N3104">
        <f>IMAGE("file:///E:/Estudios%20y%20certificaciones/ESTUDIOS%20DE%20PROGRAMMING/PROGRAMMING/PERSONAL/PYTHON/Image_Generator_API/imagenes/NAUTICA_MENS_208010020_BGI_3.jpg")</f>
        <v/>
      </c>
      <c r="O3104">
        <f>HYPERLINK("imagenes/NAUTICA_MENS_208010020_BGI_1.jpg","Ver imagen")</f>
        <v/>
      </c>
      <c r="P3104">
        <f>HYPERLINK("imagenes/NAUTICA_MENS_208010020_BGI_2.jpg","Ver imagen")</f>
        <v/>
      </c>
      <c r="Q3104">
        <f>HYPERLINK("imagenes/NAUTICA_MENS_208010020_BGI_3.jpg","Ver imagen")</f>
        <v/>
      </c>
    </row>
    <row r="3105">
      <c r="A3105" t="inlineStr">
        <is>
          <t>NAUTICA MENS</t>
        </is>
      </c>
      <c r="B3105" t="inlineStr">
        <is>
          <t>208010020</t>
        </is>
      </c>
      <c r="C3105" t="inlineStr">
        <is>
          <t>SAILING JACKET</t>
        </is>
      </c>
      <c r="D3105" t="inlineStr">
        <is>
          <t>BGI</t>
        </is>
      </c>
      <c r="E3105" t="inlineStr">
        <is>
          <t>(en blanco)</t>
        </is>
      </c>
      <c r="F3105" t="inlineStr">
        <is>
          <t>(en blanco)</t>
        </is>
      </c>
      <c r="G3105" t="inlineStr">
        <is>
          <t>M</t>
        </is>
      </c>
      <c r="H3105" t="n">
        <v>684</v>
      </c>
      <c r="I3105" t="inlineStr">
        <is>
          <t>NAUTICA_MENS_208010020_BGI_1.jpg</t>
        </is>
      </c>
      <c r="J3105" t="inlineStr">
        <is>
          <t>NAUTICA_MENS_208010020_BGI_2.jpg</t>
        </is>
      </c>
      <c r="K3105" t="inlineStr">
        <is>
          <t>NAUTICA_MENS_208010020_BGI_3.jpg</t>
        </is>
      </c>
      <c r="L3105">
        <f>IMAGE("file:///E:/Estudios%20y%20certificaciones/ESTUDIOS%20DE%20PROGRAMMING/PROGRAMMING/PERSONAL/PYTHON/Image_Generator_API/imagenes/NAUTICA_MENS_208010020_BGI_1.jpg")</f>
        <v/>
      </c>
      <c r="M3105">
        <f>IMAGE("file:///E:/Estudios%20y%20certificaciones/ESTUDIOS%20DE%20PROGRAMMING/PROGRAMMING/PERSONAL/PYTHON/Image_Generator_API/imagenes/NAUTICA_MENS_208010020_BGI_2.jpg")</f>
        <v/>
      </c>
      <c r="N3105">
        <f>IMAGE("file:///E:/Estudios%20y%20certificaciones/ESTUDIOS%20DE%20PROGRAMMING/PROGRAMMING/PERSONAL/PYTHON/Image_Generator_API/imagenes/NAUTICA_MENS_208010020_BGI_3.jpg")</f>
        <v/>
      </c>
      <c r="O3105">
        <f>HYPERLINK("imagenes/NAUTICA_MENS_208010020_BGI_1.jpg","Ver imagen")</f>
        <v/>
      </c>
      <c r="P3105">
        <f>HYPERLINK("imagenes/NAUTICA_MENS_208010020_BGI_2.jpg","Ver imagen")</f>
        <v/>
      </c>
      <c r="Q3105">
        <f>HYPERLINK("imagenes/NAUTICA_MENS_208010020_BGI_3.jpg","Ver imagen")</f>
        <v/>
      </c>
    </row>
    <row r="3106">
      <c r="A3106" t="inlineStr">
        <is>
          <t>NAUTICA MENS</t>
        </is>
      </c>
      <c r="B3106" t="inlineStr">
        <is>
          <t>208010020</t>
        </is>
      </c>
      <c r="C3106" t="inlineStr">
        <is>
          <t>SAILING JACKET</t>
        </is>
      </c>
      <c r="D3106" t="inlineStr">
        <is>
          <t>BGI</t>
        </is>
      </c>
      <c r="E3106" t="inlineStr">
        <is>
          <t>(en blanco)</t>
        </is>
      </c>
      <c r="F3106" t="inlineStr">
        <is>
          <t>(en blanco)</t>
        </is>
      </c>
      <c r="G3106" t="inlineStr">
        <is>
          <t>L</t>
        </is>
      </c>
      <c r="H3106" t="n">
        <v>1279</v>
      </c>
      <c r="I3106" t="inlineStr">
        <is>
          <t>NAUTICA_MENS_208010020_BGI_1.jpg</t>
        </is>
      </c>
      <c r="J3106" t="inlineStr">
        <is>
          <t>NAUTICA_MENS_208010020_BGI_2.jpg</t>
        </is>
      </c>
      <c r="K3106" t="inlineStr">
        <is>
          <t>NAUTICA_MENS_208010020_BGI_3.jpg</t>
        </is>
      </c>
      <c r="L3106">
        <f>IMAGE("file:///E:/Estudios%20y%20certificaciones/ESTUDIOS%20DE%20PROGRAMMING/PROGRAMMING/PERSONAL/PYTHON/Image_Generator_API/imagenes/NAUTICA_MENS_208010020_BGI_1.jpg")</f>
        <v/>
      </c>
      <c r="M3106">
        <f>IMAGE("file:///E:/Estudios%20y%20certificaciones/ESTUDIOS%20DE%20PROGRAMMING/PROGRAMMING/PERSONAL/PYTHON/Image_Generator_API/imagenes/NAUTICA_MENS_208010020_BGI_2.jpg")</f>
        <v/>
      </c>
      <c r="N3106">
        <f>IMAGE("file:///E:/Estudios%20y%20certificaciones/ESTUDIOS%20DE%20PROGRAMMING/PROGRAMMING/PERSONAL/PYTHON/Image_Generator_API/imagenes/NAUTICA_MENS_208010020_BGI_3.jpg")</f>
        <v/>
      </c>
      <c r="O3106">
        <f>HYPERLINK("imagenes/NAUTICA_MENS_208010020_BGI_1.jpg","Ver imagen")</f>
        <v/>
      </c>
      <c r="P3106">
        <f>HYPERLINK("imagenes/NAUTICA_MENS_208010020_BGI_2.jpg","Ver imagen")</f>
        <v/>
      </c>
      <c r="Q3106">
        <f>HYPERLINK("imagenes/NAUTICA_MENS_208010020_BGI_3.jpg","Ver imagen")</f>
        <v/>
      </c>
    </row>
    <row r="3107">
      <c r="A3107" t="inlineStr">
        <is>
          <t>NAUTICA MENS</t>
        </is>
      </c>
      <c r="B3107" t="inlineStr">
        <is>
          <t>208010020</t>
        </is>
      </c>
      <c r="C3107" t="inlineStr">
        <is>
          <t>SAILING JACKET</t>
        </is>
      </c>
      <c r="D3107" t="inlineStr">
        <is>
          <t>BGI</t>
        </is>
      </c>
      <c r="E3107" t="inlineStr">
        <is>
          <t>(en blanco)</t>
        </is>
      </c>
      <c r="F3107" t="inlineStr">
        <is>
          <t>(en blanco)</t>
        </is>
      </c>
      <c r="G3107" t="inlineStr">
        <is>
          <t>XL</t>
        </is>
      </c>
      <c r="H3107" t="n">
        <v>966</v>
      </c>
      <c r="I3107" t="inlineStr">
        <is>
          <t>NAUTICA_MENS_208010020_BGI_1.jpg</t>
        </is>
      </c>
      <c r="J3107" t="inlineStr">
        <is>
          <t>NAUTICA_MENS_208010020_BGI_2.jpg</t>
        </is>
      </c>
      <c r="K3107" t="inlineStr">
        <is>
          <t>NAUTICA_MENS_208010020_BGI_3.jpg</t>
        </is>
      </c>
      <c r="L3107">
        <f>IMAGE("file:///E:/Estudios%20y%20certificaciones/ESTUDIOS%20DE%20PROGRAMMING/PROGRAMMING/PERSONAL/PYTHON/Image_Generator_API/imagenes/NAUTICA_MENS_208010020_BGI_1.jpg")</f>
        <v/>
      </c>
      <c r="M3107">
        <f>IMAGE("file:///E:/Estudios%20y%20certificaciones/ESTUDIOS%20DE%20PROGRAMMING/PROGRAMMING/PERSONAL/PYTHON/Image_Generator_API/imagenes/NAUTICA_MENS_208010020_BGI_2.jpg")</f>
        <v/>
      </c>
      <c r="N3107">
        <f>IMAGE("file:///E:/Estudios%20y%20certificaciones/ESTUDIOS%20DE%20PROGRAMMING/PROGRAMMING/PERSONAL/PYTHON/Image_Generator_API/imagenes/NAUTICA_MENS_208010020_BGI_3.jpg")</f>
        <v/>
      </c>
      <c r="O3107">
        <f>HYPERLINK("imagenes/NAUTICA_MENS_208010020_BGI_1.jpg","Ver imagen")</f>
        <v/>
      </c>
      <c r="P3107">
        <f>HYPERLINK("imagenes/NAUTICA_MENS_208010020_BGI_2.jpg","Ver imagen")</f>
        <v/>
      </c>
      <c r="Q3107">
        <f>HYPERLINK("imagenes/NAUTICA_MENS_208010020_BGI_3.jpg","Ver imagen")</f>
        <v/>
      </c>
    </row>
    <row r="3108">
      <c r="A3108" t="inlineStr">
        <is>
          <t>NAUTICA MENS</t>
        </is>
      </c>
      <c r="B3108" t="inlineStr">
        <is>
          <t>208010020</t>
        </is>
      </c>
      <c r="C3108" t="inlineStr">
        <is>
          <t>SAILING JACKET</t>
        </is>
      </c>
      <c r="D3108" t="inlineStr">
        <is>
          <t>BGI</t>
        </is>
      </c>
      <c r="E3108" t="inlineStr">
        <is>
          <t>(en blanco)</t>
        </is>
      </c>
      <c r="F3108" t="inlineStr">
        <is>
          <t>(en blanco)</t>
        </is>
      </c>
      <c r="G3108" t="inlineStr">
        <is>
          <t>XXL</t>
        </is>
      </c>
      <c r="H3108" t="n">
        <v>648</v>
      </c>
      <c r="I3108" t="inlineStr">
        <is>
          <t>NAUTICA_MENS_208010020_BGI_1.jpg</t>
        </is>
      </c>
      <c r="J3108" t="inlineStr">
        <is>
          <t>NAUTICA_MENS_208010020_BGI_2.jpg</t>
        </is>
      </c>
      <c r="K3108" t="inlineStr">
        <is>
          <t>NAUTICA_MENS_208010020_BGI_3.jpg</t>
        </is>
      </c>
      <c r="L3108">
        <f>IMAGE("file:///E:/Estudios%20y%20certificaciones/ESTUDIOS%20DE%20PROGRAMMING/PROGRAMMING/PERSONAL/PYTHON/Image_Generator_API/imagenes/NAUTICA_MENS_208010020_BGI_1.jpg")</f>
        <v/>
      </c>
      <c r="M3108">
        <f>IMAGE("file:///E:/Estudios%20y%20certificaciones/ESTUDIOS%20DE%20PROGRAMMING/PROGRAMMING/PERSONAL/PYTHON/Image_Generator_API/imagenes/NAUTICA_MENS_208010020_BGI_2.jpg")</f>
        <v/>
      </c>
      <c r="N3108">
        <f>IMAGE("file:///E:/Estudios%20y%20certificaciones/ESTUDIOS%20DE%20PROGRAMMING/PROGRAMMING/PERSONAL/PYTHON/Image_Generator_API/imagenes/NAUTICA_MENS_208010020_BGI_3.jpg")</f>
        <v/>
      </c>
      <c r="O3108">
        <f>HYPERLINK("imagenes/NAUTICA_MENS_208010020_BGI_1.jpg","Ver imagen")</f>
        <v/>
      </c>
      <c r="P3108">
        <f>HYPERLINK("imagenes/NAUTICA_MENS_208010020_BGI_2.jpg","Ver imagen")</f>
        <v/>
      </c>
      <c r="Q3108">
        <f>HYPERLINK("imagenes/NAUTICA_MENS_208010020_BGI_3.jpg","Ver imagen")</f>
        <v/>
      </c>
    </row>
    <row r="3109">
      <c r="A3109" t="inlineStr">
        <is>
          <t>NAUTICA MENS</t>
        </is>
      </c>
      <c r="B3109" t="inlineStr">
        <is>
          <t>208010041</t>
        </is>
      </c>
      <c r="C3109" t="inlineStr">
        <is>
          <t>FLEECE LINED QUILTED PUFFER
WITH FILL</t>
        </is>
      </c>
      <c r="D3109" t="inlineStr">
        <is>
          <t>F6N</t>
        </is>
      </c>
      <c r="E3109" t="inlineStr">
        <is>
          <t>(en blanco)</t>
        </is>
      </c>
      <c r="F3109" t="inlineStr">
        <is>
          <t>N1160</t>
        </is>
      </c>
      <c r="G3109" t="inlineStr">
        <is>
          <t>XS</t>
        </is>
      </c>
      <c r="H3109" t="n">
        <v>2</v>
      </c>
      <c r="I3109" t="inlineStr">
        <is>
          <t>NAUTICA_MENS_208010041_F6N_1.jpg</t>
        </is>
      </c>
      <c r="J3109" t="inlineStr">
        <is>
          <t>NAUTICA_MENS_208010041_F6N_2.jpg</t>
        </is>
      </c>
      <c r="K3109" t="inlineStr">
        <is>
          <t>NAUTICA_MENS_208010041_F6N_3.jpg</t>
        </is>
      </c>
      <c r="L3109">
        <f>IMAGE("file:///E:/Estudios%20y%20certificaciones/ESTUDIOS%20DE%20PROGRAMMING/PROGRAMMING/PERSONAL/PYTHON/Image_Generator_API/imagenes/NAUTICA_MENS_208010041_F6N_1.jpg")</f>
        <v/>
      </c>
      <c r="M3109">
        <f>IMAGE("file:///E:/Estudios%20y%20certificaciones/ESTUDIOS%20DE%20PROGRAMMING/PROGRAMMING/PERSONAL/PYTHON/Image_Generator_API/imagenes/NAUTICA_MENS_208010041_F6N_2.jpg")</f>
        <v/>
      </c>
      <c r="N3109">
        <f>IMAGE("file:///E:/Estudios%20y%20certificaciones/ESTUDIOS%20DE%20PROGRAMMING/PROGRAMMING/PERSONAL/PYTHON/Image_Generator_API/imagenes/NAUTICA_MENS_208010041_F6N_3.jpg")</f>
        <v/>
      </c>
      <c r="O3109">
        <f>HYPERLINK("imagenes/NAUTICA_MENS_208010041_F6N_1.jpg","Ver imagen")</f>
        <v/>
      </c>
      <c r="P3109">
        <f>HYPERLINK("imagenes/NAUTICA_MENS_208010041_F6N_2.jpg","Ver imagen")</f>
        <v/>
      </c>
      <c r="Q3109">
        <f>HYPERLINK("imagenes/NAUTICA_MENS_208010041_F6N_3.jpg","Ver imagen")</f>
        <v/>
      </c>
    </row>
    <row r="3110">
      <c r="A3110" t="inlineStr">
        <is>
          <t>NAUTICA MENS</t>
        </is>
      </c>
      <c r="B3110" t="inlineStr">
        <is>
          <t>208010041</t>
        </is>
      </c>
      <c r="C3110" t="inlineStr">
        <is>
          <t>FLEECE LINED QUILTED PUFFER
WITH FILL</t>
        </is>
      </c>
      <c r="D3110" t="inlineStr">
        <is>
          <t>F6N</t>
        </is>
      </c>
      <c r="E3110" t="inlineStr">
        <is>
          <t>(en blanco)</t>
        </is>
      </c>
      <c r="F3110" t="inlineStr">
        <is>
          <t>N1160</t>
        </is>
      </c>
      <c r="G3110" t="inlineStr">
        <is>
          <t>M</t>
        </is>
      </c>
      <c r="H3110" t="n">
        <v>10</v>
      </c>
      <c r="I3110" t="inlineStr">
        <is>
          <t>NAUTICA_MENS_208010041_F6N_1.jpg</t>
        </is>
      </c>
      <c r="J3110" t="inlineStr">
        <is>
          <t>NAUTICA_MENS_208010041_F6N_2.jpg</t>
        </is>
      </c>
      <c r="K3110" t="inlineStr">
        <is>
          <t>NAUTICA_MENS_208010041_F6N_3.jpg</t>
        </is>
      </c>
      <c r="L3110">
        <f>IMAGE("file:///E:/Estudios%20y%20certificaciones/ESTUDIOS%20DE%20PROGRAMMING/PROGRAMMING/PERSONAL/PYTHON/Image_Generator_API/imagenes/NAUTICA_MENS_208010041_F6N_1.jpg")</f>
        <v/>
      </c>
      <c r="M3110">
        <f>IMAGE("file:///E:/Estudios%20y%20certificaciones/ESTUDIOS%20DE%20PROGRAMMING/PROGRAMMING/PERSONAL/PYTHON/Image_Generator_API/imagenes/NAUTICA_MENS_208010041_F6N_2.jpg")</f>
        <v/>
      </c>
      <c r="N3110">
        <f>IMAGE("file:///E:/Estudios%20y%20certificaciones/ESTUDIOS%20DE%20PROGRAMMING/PROGRAMMING/PERSONAL/PYTHON/Image_Generator_API/imagenes/NAUTICA_MENS_208010041_F6N_3.jpg")</f>
        <v/>
      </c>
      <c r="O3110">
        <f>HYPERLINK("imagenes/NAUTICA_MENS_208010041_F6N_1.jpg","Ver imagen")</f>
        <v/>
      </c>
      <c r="P3110">
        <f>HYPERLINK("imagenes/NAUTICA_MENS_208010041_F6N_2.jpg","Ver imagen")</f>
        <v/>
      </c>
      <c r="Q3110">
        <f>HYPERLINK("imagenes/NAUTICA_MENS_208010041_F6N_3.jpg","Ver imagen")</f>
        <v/>
      </c>
    </row>
    <row r="3111">
      <c r="A3111" t="inlineStr">
        <is>
          <t>NAUTICA MENS</t>
        </is>
      </c>
      <c r="B3111" t="inlineStr">
        <is>
          <t>208010041</t>
        </is>
      </c>
      <c r="C3111" t="inlineStr">
        <is>
          <t>FLEECE LINED QUILTED PUFFER
WITH FILL</t>
        </is>
      </c>
      <c r="D3111" t="inlineStr">
        <is>
          <t>F6N</t>
        </is>
      </c>
      <c r="E3111" t="inlineStr">
        <is>
          <t>(en blanco)</t>
        </is>
      </c>
      <c r="F3111" t="inlineStr">
        <is>
          <t>N1160</t>
        </is>
      </c>
      <c r="G3111" t="inlineStr">
        <is>
          <t>XXXL</t>
        </is>
      </c>
      <c r="H3111" t="n">
        <v>1</v>
      </c>
      <c r="I3111" t="inlineStr">
        <is>
          <t>NAUTICA_MENS_208010041_F6N_1.jpg</t>
        </is>
      </c>
      <c r="J3111" t="inlineStr">
        <is>
          <t>NAUTICA_MENS_208010041_F6N_2.jpg</t>
        </is>
      </c>
      <c r="K3111" t="inlineStr">
        <is>
          <t>NAUTICA_MENS_208010041_F6N_3.jpg</t>
        </is>
      </c>
      <c r="L3111">
        <f>IMAGE("file:///E:/Estudios%20y%20certificaciones/ESTUDIOS%20DE%20PROGRAMMING/PROGRAMMING/PERSONAL/PYTHON/Image_Generator_API/imagenes/NAUTICA_MENS_208010041_F6N_1.jpg")</f>
        <v/>
      </c>
      <c r="M3111">
        <f>IMAGE("file:///E:/Estudios%20y%20certificaciones/ESTUDIOS%20DE%20PROGRAMMING/PROGRAMMING/PERSONAL/PYTHON/Image_Generator_API/imagenes/NAUTICA_MENS_208010041_F6N_2.jpg")</f>
        <v/>
      </c>
      <c r="N3111">
        <f>IMAGE("file:///E:/Estudios%20y%20certificaciones/ESTUDIOS%20DE%20PROGRAMMING/PROGRAMMING/PERSONAL/PYTHON/Image_Generator_API/imagenes/NAUTICA_MENS_208010041_F6N_3.jpg")</f>
        <v/>
      </c>
      <c r="O3111">
        <f>HYPERLINK("imagenes/NAUTICA_MENS_208010041_F6N_1.jpg","Ver imagen")</f>
        <v/>
      </c>
      <c r="P3111">
        <f>HYPERLINK("imagenes/NAUTICA_MENS_208010041_F6N_2.jpg","Ver imagen")</f>
        <v/>
      </c>
      <c r="Q3111">
        <f>HYPERLINK("imagenes/NAUTICA_MENS_208010041_F6N_3.jpg","Ver imagen")</f>
        <v/>
      </c>
    </row>
    <row r="3112">
      <c r="A3112" t="inlineStr">
        <is>
          <t>NAUTICA MENS</t>
        </is>
      </c>
      <c r="B3112" t="inlineStr">
        <is>
          <t>208010041</t>
        </is>
      </c>
      <c r="C3112" t="inlineStr">
        <is>
          <t>FLEECE LINED QUILTED PUFFER
WITH FILL</t>
        </is>
      </c>
      <c r="D3112" t="inlineStr">
        <is>
          <t>NSS</t>
        </is>
      </c>
      <c r="E3112" t="inlineStr">
        <is>
          <t>(en blanco)</t>
        </is>
      </c>
      <c r="F3112" t="inlineStr">
        <is>
          <t>N1160</t>
        </is>
      </c>
      <c r="G3112" t="inlineStr">
        <is>
          <t>M</t>
        </is>
      </c>
      <c r="H3112" t="n">
        <v>6</v>
      </c>
      <c r="I3112" t="inlineStr">
        <is>
          <t>NAUTICA_MENS_208010041_NSS_1.jpg</t>
        </is>
      </c>
      <c r="J3112" t="inlineStr">
        <is>
          <t>NAUTICA_MENS_208010041_NSS_2.jpg</t>
        </is>
      </c>
      <c r="K3112" t="inlineStr">
        <is>
          <t>NAUTICA_MENS_208010041_NSS_3.jpg</t>
        </is>
      </c>
      <c r="L3112">
        <f>IMAGE("file:///E:/Estudios%20y%20certificaciones/ESTUDIOS%20DE%20PROGRAMMING/PROGRAMMING/PERSONAL/PYTHON/Image_Generator_API/imagenes/NAUTICA_MENS_208010041_NSS_1.jpg")</f>
        <v/>
      </c>
      <c r="M3112">
        <f>IMAGE("file:///E:/Estudios%20y%20certificaciones/ESTUDIOS%20DE%20PROGRAMMING/PROGRAMMING/PERSONAL/PYTHON/Image_Generator_API/imagenes/NAUTICA_MENS_208010041_NSS_2.jpg")</f>
        <v/>
      </c>
      <c r="N3112">
        <f>IMAGE("file:///E:/Estudios%20y%20certificaciones/ESTUDIOS%20DE%20PROGRAMMING/PROGRAMMING/PERSONAL/PYTHON/Image_Generator_API/imagenes/NAUTICA_MENS_208010041_NSS_3.jpg")</f>
        <v/>
      </c>
      <c r="O3112">
        <f>HYPERLINK("imagenes/NAUTICA_MENS_208010041_NSS_1.jpg","Ver imagen")</f>
        <v/>
      </c>
      <c r="P3112">
        <f>HYPERLINK("imagenes/NAUTICA_MENS_208010041_NSS_2.jpg","Ver imagen")</f>
        <v/>
      </c>
      <c r="Q3112">
        <f>HYPERLINK("imagenes/NAUTICA_MENS_208010041_NSS_3.jpg","Ver imagen")</f>
        <v/>
      </c>
    </row>
    <row r="3113">
      <c r="A3113" t="inlineStr">
        <is>
          <t>NAUTICA MENS</t>
        </is>
      </c>
      <c r="B3113" t="inlineStr">
        <is>
          <t>208010041</t>
        </is>
      </c>
      <c r="C3113" t="inlineStr">
        <is>
          <t>FLEECE LINED QUILTED PUFFER
WITH FILL</t>
        </is>
      </c>
      <c r="D3113" t="inlineStr">
        <is>
          <t>TRU</t>
        </is>
      </c>
      <c r="E3113" t="inlineStr">
        <is>
          <t>(en blanco)</t>
        </is>
      </c>
      <c r="F3113" t="inlineStr">
        <is>
          <t>N1160</t>
        </is>
      </c>
      <c r="G3113" t="inlineStr">
        <is>
          <t>XS</t>
        </is>
      </c>
      <c r="H3113" t="n">
        <v>2</v>
      </c>
      <c r="I3113" t="inlineStr">
        <is>
          <t>NAUTICA_MENS_208010041_TRU_1.jpg</t>
        </is>
      </c>
      <c r="J3113" t="inlineStr">
        <is>
          <t>NAUTICA_MENS_208010041_TRU_2.jpg</t>
        </is>
      </c>
      <c r="K3113" t="inlineStr">
        <is>
          <t>NAUTICA_MENS_208010041_TRU_3.jpg</t>
        </is>
      </c>
      <c r="L3113">
        <f>IMAGE("file:///E:/Estudios%20y%20certificaciones/ESTUDIOS%20DE%20PROGRAMMING/PROGRAMMING/PERSONAL/PYTHON/Image_Generator_API/imagenes/NAUTICA_MENS_208010041_TRU_1.jpg")</f>
        <v/>
      </c>
      <c r="M3113">
        <f>IMAGE("file:///E:/Estudios%20y%20certificaciones/ESTUDIOS%20DE%20PROGRAMMING/PROGRAMMING/PERSONAL/PYTHON/Image_Generator_API/imagenes/NAUTICA_MENS_208010041_TRU_2.jpg")</f>
        <v/>
      </c>
      <c r="N3113">
        <f>IMAGE("file:///E:/Estudios%20y%20certificaciones/ESTUDIOS%20DE%20PROGRAMMING/PROGRAMMING/PERSONAL/PYTHON/Image_Generator_API/imagenes/NAUTICA_MENS_208010041_TRU_3.jpg")</f>
        <v/>
      </c>
      <c r="O3113">
        <f>HYPERLINK("imagenes/NAUTICA_MENS_208010041_TRU_1.jpg","Ver imagen")</f>
        <v/>
      </c>
      <c r="P3113">
        <f>HYPERLINK("imagenes/NAUTICA_MENS_208010041_TRU_2.jpg","Ver imagen")</f>
        <v/>
      </c>
      <c r="Q3113">
        <f>HYPERLINK("imagenes/NAUTICA_MENS_208010041_TRU_3.jpg","Ver imagen")</f>
        <v/>
      </c>
    </row>
    <row r="3114">
      <c r="A3114" t="inlineStr">
        <is>
          <t>NAUTICA MENS</t>
        </is>
      </c>
      <c r="B3114" t="inlineStr">
        <is>
          <t>208010041</t>
        </is>
      </c>
      <c r="C3114" t="inlineStr">
        <is>
          <t>FLEECE LINED QUILTED PUFFER
WITH FILL</t>
        </is>
      </c>
      <c r="D3114" t="inlineStr">
        <is>
          <t>TRU</t>
        </is>
      </c>
      <c r="E3114" t="inlineStr">
        <is>
          <t>(en blanco)</t>
        </is>
      </c>
      <c r="F3114" t="inlineStr">
        <is>
          <t>N1160</t>
        </is>
      </c>
      <c r="G3114" t="inlineStr">
        <is>
          <t>S</t>
        </is>
      </c>
      <c r="H3114" t="n">
        <v>12</v>
      </c>
      <c r="I3114" t="inlineStr">
        <is>
          <t>NAUTICA_MENS_208010041_TRU_1.jpg</t>
        </is>
      </c>
      <c r="J3114" t="inlineStr">
        <is>
          <t>NAUTICA_MENS_208010041_TRU_2.jpg</t>
        </is>
      </c>
      <c r="K3114" t="inlineStr">
        <is>
          <t>NAUTICA_MENS_208010041_TRU_3.jpg</t>
        </is>
      </c>
      <c r="L3114">
        <f>IMAGE("file:///E:/Estudios%20y%20certificaciones/ESTUDIOS%20DE%20PROGRAMMING/PROGRAMMING/PERSONAL/PYTHON/Image_Generator_API/imagenes/NAUTICA_MENS_208010041_TRU_1.jpg")</f>
        <v/>
      </c>
      <c r="M3114">
        <f>IMAGE("file:///E:/Estudios%20y%20certificaciones/ESTUDIOS%20DE%20PROGRAMMING/PROGRAMMING/PERSONAL/PYTHON/Image_Generator_API/imagenes/NAUTICA_MENS_208010041_TRU_2.jpg")</f>
        <v/>
      </c>
      <c r="N3114">
        <f>IMAGE("file:///E:/Estudios%20y%20certificaciones/ESTUDIOS%20DE%20PROGRAMMING/PROGRAMMING/PERSONAL/PYTHON/Image_Generator_API/imagenes/NAUTICA_MENS_208010041_TRU_3.jpg")</f>
        <v/>
      </c>
      <c r="O3114">
        <f>HYPERLINK("imagenes/NAUTICA_MENS_208010041_TRU_1.jpg","Ver imagen")</f>
        <v/>
      </c>
      <c r="P3114">
        <f>HYPERLINK("imagenes/NAUTICA_MENS_208010041_TRU_2.jpg","Ver imagen")</f>
        <v/>
      </c>
      <c r="Q3114">
        <f>HYPERLINK("imagenes/NAUTICA_MENS_208010041_TRU_3.jpg","Ver imagen")</f>
        <v/>
      </c>
    </row>
    <row r="3115">
      <c r="A3115" t="inlineStr">
        <is>
          <t>NAUTICA MENS</t>
        </is>
      </c>
      <c r="B3115" t="inlineStr">
        <is>
          <t>208010041</t>
        </is>
      </c>
      <c r="C3115" t="inlineStr">
        <is>
          <t>FLEECE LINED QUILTED PUFFER
WITH FILL</t>
        </is>
      </c>
      <c r="D3115" t="inlineStr">
        <is>
          <t>TRU</t>
        </is>
      </c>
      <c r="E3115" t="inlineStr">
        <is>
          <t>(en blanco)</t>
        </is>
      </c>
      <c r="F3115" t="inlineStr">
        <is>
          <t>N1160</t>
        </is>
      </c>
      <c r="G3115" t="inlineStr">
        <is>
          <t>M</t>
        </is>
      </c>
      <c r="H3115" t="n">
        <v>10</v>
      </c>
      <c r="I3115" t="inlineStr">
        <is>
          <t>NAUTICA_MENS_208010041_TRU_1.jpg</t>
        </is>
      </c>
      <c r="J3115" t="inlineStr">
        <is>
          <t>NAUTICA_MENS_208010041_TRU_2.jpg</t>
        </is>
      </c>
      <c r="K3115" t="inlineStr">
        <is>
          <t>NAUTICA_MENS_208010041_TRU_3.jpg</t>
        </is>
      </c>
      <c r="L3115">
        <f>IMAGE("file:///E:/Estudios%20y%20certificaciones/ESTUDIOS%20DE%20PROGRAMMING/PROGRAMMING/PERSONAL/PYTHON/Image_Generator_API/imagenes/NAUTICA_MENS_208010041_TRU_1.jpg")</f>
        <v/>
      </c>
      <c r="M3115">
        <f>IMAGE("file:///E:/Estudios%20y%20certificaciones/ESTUDIOS%20DE%20PROGRAMMING/PROGRAMMING/PERSONAL/PYTHON/Image_Generator_API/imagenes/NAUTICA_MENS_208010041_TRU_2.jpg")</f>
        <v/>
      </c>
      <c r="N3115">
        <f>IMAGE("file:///E:/Estudios%20y%20certificaciones/ESTUDIOS%20DE%20PROGRAMMING/PROGRAMMING/PERSONAL/PYTHON/Image_Generator_API/imagenes/NAUTICA_MENS_208010041_TRU_3.jpg")</f>
        <v/>
      </c>
      <c r="O3115">
        <f>HYPERLINK("imagenes/NAUTICA_MENS_208010041_TRU_1.jpg","Ver imagen")</f>
        <v/>
      </c>
      <c r="P3115">
        <f>HYPERLINK("imagenes/NAUTICA_MENS_208010041_TRU_2.jpg","Ver imagen")</f>
        <v/>
      </c>
      <c r="Q3115">
        <f>HYPERLINK("imagenes/NAUTICA_MENS_208010041_TRU_3.jpg","Ver imagen")</f>
        <v/>
      </c>
    </row>
    <row r="3116">
      <c r="A3116" t="inlineStr">
        <is>
          <t>NAUTICA MENS</t>
        </is>
      </c>
      <c r="B3116" t="inlineStr">
        <is>
          <t>208010041</t>
        </is>
      </c>
      <c r="C3116" t="inlineStr">
        <is>
          <t>FLEECE LINED QUILTED PUFFER
WITH FILL</t>
        </is>
      </c>
      <c r="D3116" t="inlineStr">
        <is>
          <t>TRU</t>
        </is>
      </c>
      <c r="E3116" t="inlineStr">
        <is>
          <t>(en blanco)</t>
        </is>
      </c>
      <c r="F3116" t="inlineStr">
        <is>
          <t>N1160</t>
        </is>
      </c>
      <c r="G3116" t="inlineStr">
        <is>
          <t>L</t>
        </is>
      </c>
      <c r="H3116" t="n">
        <v>0</v>
      </c>
      <c r="I3116" t="inlineStr">
        <is>
          <t>NAUTICA_MENS_208010041_TRU_1.jpg</t>
        </is>
      </c>
      <c r="J3116" t="inlineStr">
        <is>
          <t>NAUTICA_MENS_208010041_TRU_2.jpg</t>
        </is>
      </c>
      <c r="K3116" t="inlineStr">
        <is>
          <t>NAUTICA_MENS_208010041_TRU_3.jpg</t>
        </is>
      </c>
      <c r="L3116">
        <f>IMAGE("file:///E:/Estudios%20y%20certificaciones/ESTUDIOS%20DE%20PROGRAMMING/PROGRAMMING/PERSONAL/PYTHON/Image_Generator_API/imagenes/NAUTICA_MENS_208010041_TRU_1.jpg")</f>
        <v/>
      </c>
      <c r="M3116">
        <f>IMAGE("file:///E:/Estudios%20y%20certificaciones/ESTUDIOS%20DE%20PROGRAMMING/PROGRAMMING/PERSONAL/PYTHON/Image_Generator_API/imagenes/NAUTICA_MENS_208010041_TRU_2.jpg")</f>
        <v/>
      </c>
      <c r="N3116">
        <f>IMAGE("file:///E:/Estudios%20y%20certificaciones/ESTUDIOS%20DE%20PROGRAMMING/PROGRAMMING/PERSONAL/PYTHON/Image_Generator_API/imagenes/NAUTICA_MENS_208010041_TRU_3.jpg")</f>
        <v/>
      </c>
      <c r="O3116">
        <f>HYPERLINK("imagenes/NAUTICA_MENS_208010041_TRU_1.jpg","Ver imagen")</f>
        <v/>
      </c>
      <c r="P3116">
        <f>HYPERLINK("imagenes/NAUTICA_MENS_208010041_TRU_2.jpg","Ver imagen")</f>
        <v/>
      </c>
      <c r="Q3116">
        <f>HYPERLINK("imagenes/NAUTICA_MENS_208010041_TRU_3.jpg","Ver imagen")</f>
        <v/>
      </c>
    </row>
    <row r="3117">
      <c r="A3117" t="inlineStr">
        <is>
          <t>NAUTICA MENS</t>
        </is>
      </c>
      <c r="B3117" t="inlineStr">
        <is>
          <t>208010041</t>
        </is>
      </c>
      <c r="C3117" t="inlineStr">
        <is>
          <t>FLEECE LINED QUILTED PUFFER
WITH FILL</t>
        </is>
      </c>
      <c r="D3117" t="inlineStr">
        <is>
          <t>TRU</t>
        </is>
      </c>
      <c r="E3117" t="inlineStr">
        <is>
          <t>(en blanco)</t>
        </is>
      </c>
      <c r="F3117" t="inlineStr">
        <is>
          <t>N1160</t>
        </is>
      </c>
      <c r="G3117" t="inlineStr">
        <is>
          <t>XL</t>
        </is>
      </c>
      <c r="H3117" t="n">
        <v>2</v>
      </c>
      <c r="I3117" t="inlineStr">
        <is>
          <t>NAUTICA_MENS_208010041_TRU_1.jpg</t>
        </is>
      </c>
      <c r="J3117" t="inlineStr">
        <is>
          <t>NAUTICA_MENS_208010041_TRU_2.jpg</t>
        </is>
      </c>
      <c r="K3117" t="inlineStr">
        <is>
          <t>NAUTICA_MENS_208010041_TRU_3.jpg</t>
        </is>
      </c>
      <c r="L3117">
        <f>IMAGE("file:///E:/Estudios%20y%20certificaciones/ESTUDIOS%20DE%20PROGRAMMING/PROGRAMMING/PERSONAL/PYTHON/Image_Generator_API/imagenes/NAUTICA_MENS_208010041_TRU_1.jpg")</f>
        <v/>
      </c>
      <c r="M3117">
        <f>IMAGE("file:///E:/Estudios%20y%20certificaciones/ESTUDIOS%20DE%20PROGRAMMING/PROGRAMMING/PERSONAL/PYTHON/Image_Generator_API/imagenes/NAUTICA_MENS_208010041_TRU_2.jpg")</f>
        <v/>
      </c>
      <c r="N3117">
        <f>IMAGE("file:///E:/Estudios%20y%20certificaciones/ESTUDIOS%20DE%20PROGRAMMING/PROGRAMMING/PERSONAL/PYTHON/Image_Generator_API/imagenes/NAUTICA_MENS_208010041_TRU_3.jpg")</f>
        <v/>
      </c>
      <c r="O3117">
        <f>HYPERLINK("imagenes/NAUTICA_MENS_208010041_TRU_1.jpg","Ver imagen")</f>
        <v/>
      </c>
      <c r="P3117">
        <f>HYPERLINK("imagenes/NAUTICA_MENS_208010041_TRU_2.jpg","Ver imagen")</f>
        <v/>
      </c>
      <c r="Q3117">
        <f>HYPERLINK("imagenes/NAUTICA_MENS_208010041_TRU_3.jpg","Ver imagen")</f>
        <v/>
      </c>
    </row>
    <row r="3118">
      <c r="A3118" t="inlineStr">
        <is>
          <t>NAUTICA MENS</t>
        </is>
      </c>
      <c r="B3118" t="inlineStr">
        <is>
          <t>208010041</t>
        </is>
      </c>
      <c r="C3118" t="inlineStr">
        <is>
          <t>FLEECE LINED QUILTED PUFFER
WITH FILL</t>
        </is>
      </c>
      <c r="D3118" t="inlineStr">
        <is>
          <t>TRU</t>
        </is>
      </c>
      <c r="E3118" t="inlineStr">
        <is>
          <t>(en blanco)</t>
        </is>
      </c>
      <c r="F3118" t="inlineStr">
        <is>
          <t>N1160</t>
        </is>
      </c>
      <c r="G3118" t="inlineStr">
        <is>
          <t>XXL</t>
        </is>
      </c>
      <c r="H3118" t="n">
        <v>3</v>
      </c>
      <c r="I3118" t="inlineStr">
        <is>
          <t>NAUTICA_MENS_208010041_TRU_1.jpg</t>
        </is>
      </c>
      <c r="J3118" t="inlineStr">
        <is>
          <t>NAUTICA_MENS_208010041_TRU_2.jpg</t>
        </is>
      </c>
      <c r="K3118" t="inlineStr">
        <is>
          <t>NAUTICA_MENS_208010041_TRU_3.jpg</t>
        </is>
      </c>
      <c r="L3118">
        <f>IMAGE("file:///E:/Estudios%20y%20certificaciones/ESTUDIOS%20DE%20PROGRAMMING/PROGRAMMING/PERSONAL/PYTHON/Image_Generator_API/imagenes/NAUTICA_MENS_208010041_TRU_1.jpg")</f>
        <v/>
      </c>
      <c r="M3118">
        <f>IMAGE("file:///E:/Estudios%20y%20certificaciones/ESTUDIOS%20DE%20PROGRAMMING/PROGRAMMING/PERSONAL/PYTHON/Image_Generator_API/imagenes/NAUTICA_MENS_208010041_TRU_2.jpg")</f>
        <v/>
      </c>
      <c r="N3118">
        <f>IMAGE("file:///E:/Estudios%20y%20certificaciones/ESTUDIOS%20DE%20PROGRAMMING/PROGRAMMING/PERSONAL/PYTHON/Image_Generator_API/imagenes/NAUTICA_MENS_208010041_TRU_3.jpg")</f>
        <v/>
      </c>
      <c r="O3118">
        <f>HYPERLINK("imagenes/NAUTICA_MENS_208010041_TRU_1.jpg","Ver imagen")</f>
        <v/>
      </c>
      <c r="P3118">
        <f>HYPERLINK("imagenes/NAUTICA_MENS_208010041_TRU_2.jpg","Ver imagen")</f>
        <v/>
      </c>
      <c r="Q3118">
        <f>HYPERLINK("imagenes/NAUTICA_MENS_208010041_TRU_3.jpg","Ver imagen")</f>
        <v/>
      </c>
    </row>
    <row r="3119">
      <c r="A3119" t="inlineStr">
        <is>
          <t>NAUTICA MENS</t>
        </is>
      </c>
      <c r="B3119" t="inlineStr">
        <is>
          <t>208010041</t>
        </is>
      </c>
      <c r="C3119" t="inlineStr">
        <is>
          <t>FLEECE LINED QUILTED PUFFER
WITH FILL</t>
        </is>
      </c>
      <c r="D3119" t="inlineStr">
        <is>
          <t>TRU</t>
        </is>
      </c>
      <c r="E3119" t="inlineStr">
        <is>
          <t>(en blanco)</t>
        </is>
      </c>
      <c r="F3119" t="inlineStr">
        <is>
          <t>N1160</t>
        </is>
      </c>
      <c r="G3119" t="inlineStr">
        <is>
          <t>XXXL</t>
        </is>
      </c>
      <c r="H3119" t="n">
        <v>1</v>
      </c>
      <c r="I3119" t="inlineStr">
        <is>
          <t>NAUTICA_MENS_208010041_TRU_1.jpg</t>
        </is>
      </c>
      <c r="J3119" t="inlineStr">
        <is>
          <t>NAUTICA_MENS_208010041_TRU_2.jpg</t>
        </is>
      </c>
      <c r="K3119" t="inlineStr">
        <is>
          <t>NAUTICA_MENS_208010041_TRU_3.jpg</t>
        </is>
      </c>
      <c r="L3119">
        <f>IMAGE("file:///E:/Estudios%20y%20certificaciones/ESTUDIOS%20DE%20PROGRAMMING/PROGRAMMING/PERSONAL/PYTHON/Image_Generator_API/imagenes/NAUTICA_MENS_208010041_TRU_1.jpg")</f>
        <v/>
      </c>
      <c r="M3119">
        <f>IMAGE("file:///E:/Estudios%20y%20certificaciones/ESTUDIOS%20DE%20PROGRAMMING/PROGRAMMING/PERSONAL/PYTHON/Image_Generator_API/imagenes/NAUTICA_MENS_208010041_TRU_2.jpg")</f>
        <v/>
      </c>
      <c r="N3119">
        <f>IMAGE("file:///E:/Estudios%20y%20certificaciones/ESTUDIOS%20DE%20PROGRAMMING/PROGRAMMING/PERSONAL/PYTHON/Image_Generator_API/imagenes/NAUTICA_MENS_208010041_TRU_3.jpg")</f>
        <v/>
      </c>
      <c r="O3119">
        <f>HYPERLINK("imagenes/NAUTICA_MENS_208010041_TRU_1.jpg","Ver imagen")</f>
        <v/>
      </c>
      <c r="P3119">
        <f>HYPERLINK("imagenes/NAUTICA_MENS_208010041_TRU_2.jpg","Ver imagen")</f>
        <v/>
      </c>
      <c r="Q3119">
        <f>HYPERLINK("imagenes/NAUTICA_MENS_208010041_TRU_3.jpg","Ver imagen")</f>
        <v/>
      </c>
    </row>
    <row r="3120">
      <c r="A3120" t="inlineStr">
        <is>
          <t>NAUTICA MENS</t>
        </is>
      </c>
      <c r="B3120" t="inlineStr">
        <is>
          <t>208DAMAGE</t>
        </is>
      </c>
      <c r="C3120" t="inlineStr">
        <is>
          <t>DAMAGED STYLES</t>
        </is>
      </c>
      <c r="D3120" t="inlineStr">
        <is>
          <t>ASD</t>
        </is>
      </c>
      <c r="E3120" t="inlineStr">
        <is>
          <t>(en blanco)</t>
        </is>
      </c>
      <c r="F3120" t="inlineStr">
        <is>
          <t>(en blanco)</t>
        </is>
      </c>
      <c r="G3120" t="inlineStr">
        <is>
          <t>OS</t>
        </is>
      </c>
      <c r="H3120" t="n">
        <v>235</v>
      </c>
      <c r="I3120" t="inlineStr">
        <is>
          <t>NAUTICA_MENS_208DAMAGE_ASD_1.jpg</t>
        </is>
      </c>
      <c r="J3120" t="inlineStr">
        <is>
          <t>NAUTICA_MENS_208DAMAGE_ASD_2.jpg</t>
        </is>
      </c>
      <c r="K3120" t="inlineStr">
        <is>
          <t>NAUTICA_MENS_208DAMAGE_ASD_3.jpg</t>
        </is>
      </c>
      <c r="L3120">
        <f>IMAGE("file:///E:/Estudios%20y%20certificaciones/ESTUDIOS%20DE%20PROGRAMMING/PROGRAMMING/PERSONAL/PYTHON/Image_Generator_API/imagenes/NAUTICA_MENS_208DAMAGE_ASD_1.jpg")</f>
        <v/>
      </c>
      <c r="M3120">
        <f>IMAGE("file:///E:/Estudios%20y%20certificaciones/ESTUDIOS%20DE%20PROGRAMMING/PROGRAMMING/PERSONAL/PYTHON/Image_Generator_API/imagenes/NAUTICA_MENS_208DAMAGE_ASD_2.jpg")</f>
        <v/>
      </c>
      <c r="N3120">
        <f>IMAGE("file:///E:/Estudios%20y%20certificaciones/ESTUDIOS%20DE%20PROGRAMMING/PROGRAMMING/PERSONAL/PYTHON/Image_Generator_API/imagenes/NAUTICA_MENS_208DAMAGE_ASD_3.jpg")</f>
        <v/>
      </c>
      <c r="O3120">
        <f>HYPERLINK("imagenes/NAUTICA_MENS_208DAMAGE_ASD_1.jpg","Ver imagen")</f>
        <v/>
      </c>
      <c r="P3120">
        <f>HYPERLINK("imagenes/NAUTICA_MENS_208DAMAGE_ASD_2.jpg","Ver imagen")</f>
        <v/>
      </c>
      <c r="Q3120">
        <f>HYPERLINK("imagenes/NAUTICA_MENS_208DAMAGE_ASD_3.jpg","Ver imagen")</f>
        <v/>
      </c>
    </row>
    <row r="3121">
      <c r="A3121" t="inlineStr">
        <is>
          <t>NAUTICA MENS</t>
        </is>
      </c>
      <c r="B3121" t="inlineStr">
        <is>
          <t>V022744</t>
        </is>
      </c>
      <c r="C3121" t="inlineStr">
        <is>
          <t>POLYSTRETCH REVERSBL</t>
        </is>
      </c>
      <c r="D3121" t="inlineStr">
        <is>
          <t>BLK</t>
        </is>
      </c>
      <c r="E3121" t="inlineStr">
        <is>
          <t>(en blanco)</t>
        </is>
      </c>
      <c r="F3121" t="inlineStr">
        <is>
          <t>(en blanco)</t>
        </is>
      </c>
      <c r="G3121" t="inlineStr">
        <is>
          <t>XL</t>
        </is>
      </c>
      <c r="H3121" t="n">
        <v>46</v>
      </c>
      <c r="I3121" t="inlineStr">
        <is>
          <t>NAUTICA_MENS_V022744_BLK_1.jpg</t>
        </is>
      </c>
      <c r="J3121" t="inlineStr">
        <is>
          <t>NAUTICA_MENS_V022744_BLK_2.jpg</t>
        </is>
      </c>
      <c r="K3121" t="inlineStr">
        <is>
          <t>NAUTICA_MENS_V022744_BLK_3.jpg</t>
        </is>
      </c>
      <c r="L3121">
        <f>IMAGE("file:///E:/Estudios%20y%20certificaciones/ESTUDIOS%20DE%20PROGRAMMING/PROGRAMMING/PERSONAL/PYTHON/Image_Generator_API/imagenes/NAUTICA_MENS_V022744_BLK_1.jpg")</f>
        <v/>
      </c>
      <c r="M3121">
        <f>IMAGE("file:///E:/Estudios%20y%20certificaciones/ESTUDIOS%20DE%20PROGRAMMING/PROGRAMMING/PERSONAL/PYTHON/Image_Generator_API/imagenes/NAUTICA_MENS_V022744_BLK_2.jpg")</f>
        <v/>
      </c>
      <c r="N3121">
        <f>IMAGE("file:///E:/Estudios%20y%20certificaciones/ESTUDIOS%20DE%20PROGRAMMING/PROGRAMMING/PERSONAL/PYTHON/Image_Generator_API/imagenes/NAUTICA_MENS_V022744_BLK_3.jpg")</f>
        <v/>
      </c>
      <c r="O3121">
        <f>HYPERLINK("imagenes/NAUTICA_MENS_V022744_BLK_1.jpg","Ver imagen")</f>
        <v/>
      </c>
      <c r="P3121">
        <f>HYPERLINK("imagenes/NAUTICA_MENS_V022744_BLK_2.jpg","Ver imagen")</f>
        <v/>
      </c>
      <c r="Q3121">
        <f>HYPERLINK("imagenes/NAUTICA_MENS_V022744_BLK_3.jpg","Ver imagen")</f>
        <v/>
      </c>
    </row>
    <row r="3122">
      <c r="A3122" t="inlineStr">
        <is>
          <t>NAUTICA MENS</t>
        </is>
      </c>
      <c r="B3122" t="inlineStr">
        <is>
          <t>V022744</t>
        </is>
      </c>
      <c r="C3122" t="inlineStr">
        <is>
          <t>POLYSTRETCH REVERSBL</t>
        </is>
      </c>
      <c r="D3122" t="inlineStr">
        <is>
          <t>BLK</t>
        </is>
      </c>
      <c r="E3122" t="inlineStr">
        <is>
          <t>(en blanco)</t>
        </is>
      </c>
      <c r="F3122" t="inlineStr">
        <is>
          <t>(en blanco)</t>
        </is>
      </c>
      <c r="G3122" t="inlineStr">
        <is>
          <t>XXL</t>
        </is>
      </c>
      <c r="H3122" t="n">
        <v>37</v>
      </c>
      <c r="I3122" t="inlineStr">
        <is>
          <t>NAUTICA_MENS_V022744_BLK_1.jpg</t>
        </is>
      </c>
      <c r="J3122" t="inlineStr">
        <is>
          <t>NAUTICA_MENS_V022744_BLK_2.jpg</t>
        </is>
      </c>
      <c r="K3122" t="inlineStr">
        <is>
          <t>NAUTICA_MENS_V022744_BLK_3.jpg</t>
        </is>
      </c>
      <c r="L3122">
        <f>IMAGE("file:///E:/Estudios%20y%20certificaciones/ESTUDIOS%20DE%20PROGRAMMING/PROGRAMMING/PERSONAL/PYTHON/Image_Generator_API/imagenes/NAUTICA_MENS_V022744_BLK_1.jpg")</f>
        <v/>
      </c>
      <c r="M3122">
        <f>IMAGE("file:///E:/Estudios%20y%20certificaciones/ESTUDIOS%20DE%20PROGRAMMING/PROGRAMMING/PERSONAL/PYTHON/Image_Generator_API/imagenes/NAUTICA_MENS_V022744_BLK_2.jpg")</f>
        <v/>
      </c>
      <c r="N3122">
        <f>IMAGE("file:///E:/Estudios%20y%20certificaciones/ESTUDIOS%20DE%20PROGRAMMING/PROGRAMMING/PERSONAL/PYTHON/Image_Generator_API/imagenes/NAUTICA_MENS_V022744_BLK_3.jpg")</f>
        <v/>
      </c>
      <c r="O3122">
        <f>HYPERLINK("imagenes/NAUTICA_MENS_V022744_BLK_1.jpg","Ver imagen")</f>
        <v/>
      </c>
      <c r="P3122">
        <f>HYPERLINK("imagenes/NAUTICA_MENS_V022744_BLK_2.jpg","Ver imagen")</f>
        <v/>
      </c>
      <c r="Q3122">
        <f>HYPERLINK("imagenes/NAUTICA_MENS_V022744_BLK_3.jpg","Ver imagen")</f>
        <v/>
      </c>
    </row>
    <row r="3123">
      <c r="A3123" t="inlineStr">
        <is>
          <t>NAUTICA MENS</t>
        </is>
      </c>
      <c r="B3123" t="inlineStr">
        <is>
          <t>V022744</t>
        </is>
      </c>
      <c r="C3123" t="inlineStr">
        <is>
          <t>POLYSTRETCH REVERSBL</t>
        </is>
      </c>
      <c r="D3123" t="inlineStr">
        <is>
          <t>RED</t>
        </is>
      </c>
      <c r="E3123" t="inlineStr">
        <is>
          <t>(en blanco)</t>
        </is>
      </c>
      <c r="F3123" t="inlineStr">
        <is>
          <t>(en blanco)</t>
        </is>
      </c>
      <c r="G3123" t="inlineStr">
        <is>
          <t>L</t>
        </is>
      </c>
      <c r="H3123" t="n">
        <v>13</v>
      </c>
      <c r="I3123" t="inlineStr">
        <is>
          <t>NAUTICA_MENS_V022744_RED_1.jpg</t>
        </is>
      </c>
      <c r="J3123" t="inlineStr">
        <is>
          <t>NAUTICA_MENS_V022744_RED_2.jpg</t>
        </is>
      </c>
      <c r="K3123" t="inlineStr">
        <is>
          <t>NAUTICA_MENS_V022744_RED_3.jpg</t>
        </is>
      </c>
      <c r="L3123">
        <f>IMAGE("file:///E:/Estudios%20y%20certificaciones/ESTUDIOS%20DE%20PROGRAMMING/PROGRAMMING/PERSONAL/PYTHON/Image_Generator_API/imagenes/NAUTICA_MENS_V022744_RED_1.jpg")</f>
        <v/>
      </c>
      <c r="M3123">
        <f>IMAGE("file:///E:/Estudios%20y%20certificaciones/ESTUDIOS%20DE%20PROGRAMMING/PROGRAMMING/PERSONAL/PYTHON/Image_Generator_API/imagenes/NAUTICA_MENS_V022744_RED_2.jpg")</f>
        <v/>
      </c>
      <c r="N3123">
        <f>IMAGE("file:///E:/Estudios%20y%20certificaciones/ESTUDIOS%20DE%20PROGRAMMING/PROGRAMMING/PERSONAL/PYTHON/Image_Generator_API/imagenes/NAUTICA_MENS_V022744_RED_3.jpg")</f>
        <v/>
      </c>
      <c r="O3123">
        <f>HYPERLINK("imagenes/NAUTICA_MENS_V022744_RED_1.jpg","Ver imagen")</f>
        <v/>
      </c>
      <c r="P3123">
        <f>HYPERLINK("imagenes/NAUTICA_MENS_V022744_RED_2.jpg","Ver imagen")</f>
        <v/>
      </c>
      <c r="Q3123">
        <f>HYPERLINK("imagenes/NAUTICA_MENS_V022744_RED_3.jpg","Ver imagen")</f>
        <v/>
      </c>
    </row>
    <row r="3124">
      <c r="A3124" t="inlineStr">
        <is>
          <t>NAUTICA MENS</t>
        </is>
      </c>
      <c r="B3124" t="inlineStr">
        <is>
          <t>V022744</t>
        </is>
      </c>
      <c r="C3124" t="inlineStr">
        <is>
          <t>POLYSTRETCH REVERSBL</t>
        </is>
      </c>
      <c r="D3124" t="inlineStr">
        <is>
          <t>RED</t>
        </is>
      </c>
      <c r="E3124" t="inlineStr">
        <is>
          <t>(en blanco)</t>
        </is>
      </c>
      <c r="F3124" t="inlineStr">
        <is>
          <t>(en blanco)</t>
        </is>
      </c>
      <c r="G3124" t="inlineStr">
        <is>
          <t>XL</t>
        </is>
      </c>
      <c r="H3124" t="n">
        <v>5</v>
      </c>
      <c r="I3124" t="inlineStr">
        <is>
          <t>NAUTICA_MENS_V022744_RED_1.jpg</t>
        </is>
      </c>
      <c r="J3124" t="inlineStr">
        <is>
          <t>NAUTICA_MENS_V022744_RED_2.jpg</t>
        </is>
      </c>
      <c r="K3124" t="inlineStr">
        <is>
          <t>NAUTICA_MENS_V022744_RED_3.jpg</t>
        </is>
      </c>
      <c r="L3124">
        <f>IMAGE("file:///E:/Estudios%20y%20certificaciones/ESTUDIOS%20DE%20PROGRAMMING/PROGRAMMING/PERSONAL/PYTHON/Image_Generator_API/imagenes/NAUTICA_MENS_V022744_RED_1.jpg")</f>
        <v/>
      </c>
      <c r="M3124">
        <f>IMAGE("file:///E:/Estudios%20y%20certificaciones/ESTUDIOS%20DE%20PROGRAMMING/PROGRAMMING/PERSONAL/PYTHON/Image_Generator_API/imagenes/NAUTICA_MENS_V022744_RED_2.jpg")</f>
        <v/>
      </c>
      <c r="N3124">
        <f>IMAGE("file:///E:/Estudios%20y%20certificaciones/ESTUDIOS%20DE%20PROGRAMMING/PROGRAMMING/PERSONAL/PYTHON/Image_Generator_API/imagenes/NAUTICA_MENS_V022744_RED_3.jpg")</f>
        <v/>
      </c>
      <c r="O3124">
        <f>HYPERLINK("imagenes/NAUTICA_MENS_V022744_RED_1.jpg","Ver imagen")</f>
        <v/>
      </c>
      <c r="P3124">
        <f>HYPERLINK("imagenes/NAUTICA_MENS_V022744_RED_2.jpg","Ver imagen")</f>
        <v/>
      </c>
      <c r="Q3124">
        <f>HYPERLINK("imagenes/NAUTICA_MENS_V022744_RED_3.jpg","Ver imagen")</f>
        <v/>
      </c>
    </row>
    <row r="3125">
      <c r="A3125" t="inlineStr">
        <is>
          <t>NAUTICA MENS</t>
        </is>
      </c>
      <c r="B3125" t="inlineStr">
        <is>
          <t>V022744</t>
        </is>
      </c>
      <c r="C3125" t="inlineStr">
        <is>
          <t>POLYSTRETCH REVERSBL</t>
        </is>
      </c>
      <c r="D3125" t="inlineStr">
        <is>
          <t>RED</t>
        </is>
      </c>
      <c r="E3125" t="inlineStr">
        <is>
          <t>(en blanco)</t>
        </is>
      </c>
      <c r="F3125" t="inlineStr">
        <is>
          <t>(en blanco)</t>
        </is>
      </c>
      <c r="G3125" t="inlineStr">
        <is>
          <t>XXL</t>
        </is>
      </c>
      <c r="H3125" t="n">
        <v>61</v>
      </c>
      <c r="I3125" t="inlineStr">
        <is>
          <t>NAUTICA_MENS_V022744_RED_1.jpg</t>
        </is>
      </c>
      <c r="J3125" t="inlineStr">
        <is>
          <t>NAUTICA_MENS_V022744_RED_2.jpg</t>
        </is>
      </c>
      <c r="K3125" t="inlineStr">
        <is>
          <t>NAUTICA_MENS_V022744_RED_3.jpg</t>
        </is>
      </c>
      <c r="L3125">
        <f>IMAGE("file:///E:/Estudios%20y%20certificaciones/ESTUDIOS%20DE%20PROGRAMMING/PROGRAMMING/PERSONAL/PYTHON/Image_Generator_API/imagenes/NAUTICA_MENS_V022744_RED_1.jpg")</f>
        <v/>
      </c>
      <c r="M3125">
        <f>IMAGE("file:///E:/Estudios%20y%20certificaciones/ESTUDIOS%20DE%20PROGRAMMING/PROGRAMMING/PERSONAL/PYTHON/Image_Generator_API/imagenes/NAUTICA_MENS_V022744_RED_2.jpg")</f>
        <v/>
      </c>
      <c r="N3125">
        <f>IMAGE("file:///E:/Estudios%20y%20certificaciones/ESTUDIOS%20DE%20PROGRAMMING/PROGRAMMING/PERSONAL/PYTHON/Image_Generator_API/imagenes/NAUTICA_MENS_V022744_RED_3.jpg")</f>
        <v/>
      </c>
      <c r="O3125">
        <f>HYPERLINK("imagenes/NAUTICA_MENS_V022744_RED_1.jpg","Ver imagen")</f>
        <v/>
      </c>
      <c r="P3125">
        <f>HYPERLINK("imagenes/NAUTICA_MENS_V022744_RED_2.jpg","Ver imagen")</f>
        <v/>
      </c>
      <c r="Q3125">
        <f>HYPERLINK("imagenes/NAUTICA_MENS_V022744_RED_3.jpg","Ver imagen")</f>
        <v/>
      </c>
    </row>
    <row r="3126">
      <c r="A3126" t="inlineStr">
        <is>
          <t>NAUTICA MENS</t>
        </is>
      </c>
      <c r="B3126" t="inlineStr">
        <is>
          <t>V032744B</t>
        </is>
      </c>
      <c r="C3126" t="inlineStr">
        <is>
          <t>POLYSTRETCH REVERSBL</t>
        </is>
      </c>
      <c r="D3126" t="inlineStr">
        <is>
          <t>NVY</t>
        </is>
      </c>
      <c r="E3126" t="inlineStr">
        <is>
          <t>(en blanco)</t>
        </is>
      </c>
      <c r="F3126" t="inlineStr">
        <is>
          <t>(en blanco)</t>
        </is>
      </c>
      <c r="G3126" t="inlineStr">
        <is>
          <t>3X</t>
        </is>
      </c>
      <c r="H3126" t="n">
        <v>2</v>
      </c>
      <c r="I3126" t="inlineStr">
        <is>
          <t>NAUTICA_MENS_V032744B_NVY_1.jpg</t>
        </is>
      </c>
      <c r="J3126" t="inlineStr">
        <is>
          <t>NAUTICA_MENS_V032744B_NVY_2.jpg</t>
        </is>
      </c>
      <c r="K3126" t="inlineStr">
        <is>
          <t>NAUTICA_MENS_V032744B_NVY_3.jpg</t>
        </is>
      </c>
      <c r="L3126">
        <f>IMAGE("file:///E:/Estudios%20y%20certificaciones/ESTUDIOS%20DE%20PROGRAMMING/PROGRAMMING/PERSONAL/PYTHON/Image_Generator_API/imagenes/NAUTICA_MENS_V032744B_NVY_1.jpg")</f>
        <v/>
      </c>
      <c r="M3126">
        <f>IMAGE("file:///E:/Estudios%20y%20certificaciones/ESTUDIOS%20DE%20PROGRAMMING/PROGRAMMING/PERSONAL/PYTHON/Image_Generator_API/imagenes/NAUTICA_MENS_V032744B_NVY_2.jpg")</f>
        <v/>
      </c>
      <c r="N3126">
        <f>IMAGE("file:///E:/Estudios%20y%20certificaciones/ESTUDIOS%20DE%20PROGRAMMING/PROGRAMMING/PERSONAL/PYTHON/Image_Generator_API/imagenes/NAUTICA_MENS_V032744B_NVY_3.jpg")</f>
        <v/>
      </c>
      <c r="O3126">
        <f>HYPERLINK("imagenes/NAUTICA_MENS_V032744B_NVY_1.jpg","Ver imagen")</f>
        <v/>
      </c>
      <c r="P3126">
        <f>HYPERLINK("imagenes/NAUTICA_MENS_V032744B_NVY_2.jpg","Ver imagen")</f>
        <v/>
      </c>
      <c r="Q3126">
        <f>HYPERLINK("imagenes/NAUTICA_MENS_V032744B_NVY_3.jpg","Ver imagen")</f>
        <v/>
      </c>
    </row>
    <row r="3127">
      <c r="A3127" t="inlineStr">
        <is>
          <t>NAUTICA MENS</t>
        </is>
      </c>
      <c r="B3127" t="inlineStr">
        <is>
          <t>V032744B</t>
        </is>
      </c>
      <c r="C3127" t="inlineStr">
        <is>
          <t>POLYSTRETCH REVERSBL</t>
        </is>
      </c>
      <c r="D3127" t="inlineStr">
        <is>
          <t>NVY</t>
        </is>
      </c>
      <c r="E3127" t="inlineStr">
        <is>
          <t>(en blanco)</t>
        </is>
      </c>
      <c r="F3127" t="inlineStr">
        <is>
          <t>(en blanco)</t>
        </is>
      </c>
      <c r="G3127" t="inlineStr">
        <is>
          <t>4X</t>
        </is>
      </c>
      <c r="H3127" t="n">
        <v>4</v>
      </c>
      <c r="I3127" t="inlineStr">
        <is>
          <t>NAUTICA_MENS_V032744B_NVY_1.jpg</t>
        </is>
      </c>
      <c r="J3127" t="inlineStr">
        <is>
          <t>NAUTICA_MENS_V032744B_NVY_2.jpg</t>
        </is>
      </c>
      <c r="K3127" t="inlineStr">
        <is>
          <t>NAUTICA_MENS_V032744B_NVY_3.jpg</t>
        </is>
      </c>
      <c r="L3127">
        <f>IMAGE("file:///E:/Estudios%20y%20certificaciones/ESTUDIOS%20DE%20PROGRAMMING/PROGRAMMING/PERSONAL/PYTHON/Image_Generator_API/imagenes/NAUTICA_MENS_V032744B_NVY_1.jpg")</f>
        <v/>
      </c>
      <c r="M3127">
        <f>IMAGE("file:///E:/Estudios%20y%20certificaciones/ESTUDIOS%20DE%20PROGRAMMING/PROGRAMMING/PERSONAL/PYTHON/Image_Generator_API/imagenes/NAUTICA_MENS_V032744B_NVY_2.jpg")</f>
        <v/>
      </c>
      <c r="N3127">
        <f>IMAGE("file:///E:/Estudios%20y%20certificaciones/ESTUDIOS%20DE%20PROGRAMMING/PROGRAMMING/PERSONAL/PYTHON/Image_Generator_API/imagenes/NAUTICA_MENS_V032744B_NVY_3.jpg")</f>
        <v/>
      </c>
      <c r="O3127">
        <f>HYPERLINK("imagenes/NAUTICA_MENS_V032744B_NVY_1.jpg","Ver imagen")</f>
        <v/>
      </c>
      <c r="P3127">
        <f>HYPERLINK("imagenes/NAUTICA_MENS_V032744B_NVY_2.jpg","Ver imagen")</f>
        <v/>
      </c>
      <c r="Q3127">
        <f>HYPERLINK("imagenes/NAUTICA_MENS_V032744B_NVY_3.jpg","Ver imagen")</f>
        <v/>
      </c>
    </row>
    <row r="3128">
      <c r="A3128" t="inlineStr">
        <is>
          <t>NAUTICA MENS</t>
        </is>
      </c>
      <c r="B3128" t="inlineStr">
        <is>
          <t>V035548</t>
        </is>
      </c>
      <c r="C3128" t="inlineStr">
        <is>
          <t>WOOL PEACOAT</t>
        </is>
      </c>
      <c r="D3128" t="inlineStr">
        <is>
          <t>CAM</t>
        </is>
      </c>
      <c r="E3128" t="inlineStr">
        <is>
          <t>(en blanco)</t>
        </is>
      </c>
      <c r="F3128" t="inlineStr">
        <is>
          <t>(en blanco)</t>
        </is>
      </c>
      <c r="G3128" t="inlineStr">
        <is>
          <t>2X</t>
        </is>
      </c>
      <c r="H3128" t="n">
        <v>1</v>
      </c>
      <c r="I3128" t="inlineStr">
        <is>
          <t>NAUTICA_MENS_V035548_CAM_1.jpg</t>
        </is>
      </c>
      <c r="J3128" t="inlineStr">
        <is>
          <t>NAUTICA_MENS_V035548_CAM_2.jpg</t>
        </is>
      </c>
      <c r="K3128" t="inlineStr">
        <is>
          <t>NAUTICA_MENS_V035548_CAM_3.jpg</t>
        </is>
      </c>
      <c r="L3128">
        <f>IMAGE("file:///E:/Estudios%20y%20certificaciones/ESTUDIOS%20DE%20PROGRAMMING/PROGRAMMING/PERSONAL/PYTHON/Image_Generator_API/imagenes/NAUTICA_MENS_V035548_CAM_1.jpg")</f>
        <v/>
      </c>
      <c r="M3128">
        <f>IMAGE("file:///E:/Estudios%20y%20certificaciones/ESTUDIOS%20DE%20PROGRAMMING/PROGRAMMING/PERSONAL/PYTHON/Image_Generator_API/imagenes/NAUTICA_MENS_V035548_CAM_2.jpg")</f>
        <v/>
      </c>
      <c r="N3128">
        <f>IMAGE("file:///E:/Estudios%20y%20certificaciones/ESTUDIOS%20DE%20PROGRAMMING/PROGRAMMING/PERSONAL/PYTHON/Image_Generator_API/imagenes/NAUTICA_MENS_V035548_CAM_3.jpg")</f>
        <v/>
      </c>
      <c r="O3128">
        <f>HYPERLINK("imagenes/NAUTICA_MENS_V035548_CAM_1.jpg","Ver imagen")</f>
        <v/>
      </c>
      <c r="P3128">
        <f>HYPERLINK("imagenes/NAUTICA_MENS_V035548_CAM_2.jpg","Ver imagen")</f>
        <v/>
      </c>
      <c r="Q3128">
        <f>HYPERLINK("imagenes/NAUTICA_MENS_V035548_CAM_3.jpg","Ver imagen")</f>
        <v/>
      </c>
    </row>
    <row r="3129">
      <c r="A3129" t="inlineStr">
        <is>
          <t>NAUTICA MENS</t>
        </is>
      </c>
      <c r="B3129" t="inlineStr">
        <is>
          <t>V042744</t>
        </is>
      </c>
      <c r="C3129" t="inlineStr">
        <is>
          <t>POLYSTRTCH REVERSIBL</t>
        </is>
      </c>
      <c r="D3129" t="inlineStr">
        <is>
          <t>HGY</t>
        </is>
      </c>
      <c r="E3129" t="inlineStr">
        <is>
          <t>(en blanco)</t>
        </is>
      </c>
      <c r="F3129" t="inlineStr">
        <is>
          <t>(en blanco)</t>
        </is>
      </c>
      <c r="G3129" t="inlineStr">
        <is>
          <t>2XT</t>
        </is>
      </c>
      <c r="H3129" t="n">
        <v>7</v>
      </c>
      <c r="I3129" t="inlineStr">
        <is>
          <t>NAUTICA_MENS_V042744_HGY_1.jpg</t>
        </is>
      </c>
      <c r="J3129" t="inlineStr">
        <is>
          <t>NAUTICA_MENS_V042744_HGY_2.jpg</t>
        </is>
      </c>
      <c r="K3129" t="inlineStr">
        <is>
          <t>NAUTICA_MENS_V042744_HGY_3.jpg</t>
        </is>
      </c>
      <c r="L3129">
        <f>IMAGE("file:///E:/Estudios%20y%20certificaciones/ESTUDIOS%20DE%20PROGRAMMING/PROGRAMMING/PERSONAL/PYTHON/Image_Generator_API/imagenes/NAUTICA_MENS_V042744_HGY_1.jpg")</f>
        <v/>
      </c>
      <c r="M3129">
        <f>IMAGE("file:///E:/Estudios%20y%20certificaciones/ESTUDIOS%20DE%20PROGRAMMING/PROGRAMMING/PERSONAL/PYTHON/Image_Generator_API/imagenes/NAUTICA_MENS_V042744_HGY_2.jpg")</f>
        <v/>
      </c>
      <c r="N3129">
        <f>IMAGE("file:///E:/Estudios%20y%20certificaciones/ESTUDIOS%20DE%20PROGRAMMING/PROGRAMMING/PERSONAL/PYTHON/Image_Generator_API/imagenes/NAUTICA_MENS_V042744_HGY_3.jpg")</f>
        <v/>
      </c>
      <c r="O3129">
        <f>HYPERLINK("imagenes/NAUTICA_MENS_V042744_HGY_1.jpg","Ver imagen")</f>
        <v/>
      </c>
      <c r="P3129">
        <f>HYPERLINK("imagenes/NAUTICA_MENS_V042744_HGY_2.jpg","Ver imagen")</f>
        <v/>
      </c>
      <c r="Q3129">
        <f>HYPERLINK("imagenes/NAUTICA_MENS_V042744_HGY_3.jpg","Ver imagen")</f>
        <v/>
      </c>
    </row>
    <row r="3130">
      <c r="A3130" t="inlineStr">
        <is>
          <t>NAUTICA MENS</t>
        </is>
      </c>
      <c r="B3130" t="inlineStr">
        <is>
          <t>V042744</t>
        </is>
      </c>
      <c r="C3130" t="inlineStr">
        <is>
          <t>POLYSTRTCH REVERSIBL</t>
        </is>
      </c>
      <c r="D3130" t="inlineStr">
        <is>
          <t>HGY</t>
        </is>
      </c>
      <c r="E3130" t="inlineStr">
        <is>
          <t>(en blanco)</t>
        </is>
      </c>
      <c r="F3130" t="inlineStr">
        <is>
          <t>(en blanco)</t>
        </is>
      </c>
      <c r="G3130" t="inlineStr">
        <is>
          <t>3XT</t>
        </is>
      </c>
      <c r="H3130" t="n">
        <v>2</v>
      </c>
      <c r="I3130" t="inlineStr">
        <is>
          <t>NAUTICA_MENS_V042744_HGY_1.jpg</t>
        </is>
      </c>
      <c r="J3130" t="inlineStr">
        <is>
          <t>NAUTICA_MENS_V042744_HGY_2.jpg</t>
        </is>
      </c>
      <c r="K3130" t="inlineStr">
        <is>
          <t>NAUTICA_MENS_V042744_HGY_3.jpg</t>
        </is>
      </c>
      <c r="L3130">
        <f>IMAGE("file:///E:/Estudios%20y%20certificaciones/ESTUDIOS%20DE%20PROGRAMMING/PROGRAMMING/PERSONAL/PYTHON/Image_Generator_API/imagenes/NAUTICA_MENS_V042744_HGY_1.jpg")</f>
        <v/>
      </c>
      <c r="M3130">
        <f>IMAGE("file:///E:/Estudios%20y%20certificaciones/ESTUDIOS%20DE%20PROGRAMMING/PROGRAMMING/PERSONAL/PYTHON/Image_Generator_API/imagenes/NAUTICA_MENS_V042744_HGY_2.jpg")</f>
        <v/>
      </c>
      <c r="N3130">
        <f>IMAGE("file:///E:/Estudios%20y%20certificaciones/ESTUDIOS%20DE%20PROGRAMMING/PROGRAMMING/PERSONAL/PYTHON/Image_Generator_API/imagenes/NAUTICA_MENS_V042744_HGY_3.jpg")</f>
        <v/>
      </c>
      <c r="O3130">
        <f>HYPERLINK("imagenes/NAUTICA_MENS_V042744_HGY_1.jpg","Ver imagen")</f>
        <v/>
      </c>
      <c r="P3130">
        <f>HYPERLINK("imagenes/NAUTICA_MENS_V042744_HGY_2.jpg","Ver imagen")</f>
        <v/>
      </c>
      <c r="Q3130">
        <f>HYPERLINK("imagenes/NAUTICA_MENS_V042744_HGY_3.jpg","Ver imagen")</f>
        <v/>
      </c>
    </row>
    <row r="3131">
      <c r="A3131" t="inlineStr">
        <is>
          <t>NAUTICA MENS</t>
        </is>
      </c>
      <c r="B3131" t="inlineStr">
        <is>
          <t>V042744</t>
        </is>
      </c>
      <c r="C3131" t="inlineStr">
        <is>
          <t>POLYSTRTCH REVERSIBL</t>
        </is>
      </c>
      <c r="D3131" t="inlineStr">
        <is>
          <t>HGY</t>
        </is>
      </c>
      <c r="E3131" t="inlineStr">
        <is>
          <t>(en blanco)</t>
        </is>
      </c>
      <c r="F3131" t="inlineStr">
        <is>
          <t>(en blanco)</t>
        </is>
      </c>
      <c r="G3131" t="inlineStr">
        <is>
          <t>LT</t>
        </is>
      </c>
      <c r="H3131" t="n">
        <v>4</v>
      </c>
      <c r="I3131" t="inlineStr">
        <is>
          <t>NAUTICA_MENS_V042744_HGY_1.jpg</t>
        </is>
      </c>
      <c r="J3131" t="inlineStr">
        <is>
          <t>NAUTICA_MENS_V042744_HGY_2.jpg</t>
        </is>
      </c>
      <c r="K3131" t="inlineStr">
        <is>
          <t>NAUTICA_MENS_V042744_HGY_3.jpg</t>
        </is>
      </c>
      <c r="L3131">
        <f>IMAGE("file:///E:/Estudios%20y%20certificaciones/ESTUDIOS%20DE%20PROGRAMMING/PROGRAMMING/PERSONAL/PYTHON/Image_Generator_API/imagenes/NAUTICA_MENS_V042744_HGY_1.jpg")</f>
        <v/>
      </c>
      <c r="M3131">
        <f>IMAGE("file:///E:/Estudios%20y%20certificaciones/ESTUDIOS%20DE%20PROGRAMMING/PROGRAMMING/PERSONAL/PYTHON/Image_Generator_API/imagenes/NAUTICA_MENS_V042744_HGY_2.jpg")</f>
        <v/>
      </c>
      <c r="N3131">
        <f>IMAGE("file:///E:/Estudios%20y%20certificaciones/ESTUDIOS%20DE%20PROGRAMMING/PROGRAMMING/PERSONAL/PYTHON/Image_Generator_API/imagenes/NAUTICA_MENS_V042744_HGY_3.jpg")</f>
        <v/>
      </c>
      <c r="O3131">
        <f>HYPERLINK("imagenes/NAUTICA_MENS_V042744_HGY_1.jpg","Ver imagen")</f>
        <v/>
      </c>
      <c r="P3131">
        <f>HYPERLINK("imagenes/NAUTICA_MENS_V042744_HGY_2.jpg","Ver imagen")</f>
        <v/>
      </c>
      <c r="Q3131">
        <f>HYPERLINK("imagenes/NAUTICA_MENS_V042744_HGY_3.jpg","Ver imagen")</f>
        <v/>
      </c>
    </row>
    <row r="3132">
      <c r="A3132" t="inlineStr">
        <is>
          <t>NAUTICA MENS</t>
        </is>
      </c>
      <c r="B3132" t="inlineStr">
        <is>
          <t>V042744</t>
        </is>
      </c>
      <c r="C3132" t="inlineStr">
        <is>
          <t>POLYSTRTCH REVERSIBL</t>
        </is>
      </c>
      <c r="D3132" t="inlineStr">
        <is>
          <t>HGY</t>
        </is>
      </c>
      <c r="E3132" t="inlineStr">
        <is>
          <t>(en blanco)</t>
        </is>
      </c>
      <c r="F3132" t="inlineStr">
        <is>
          <t>(en blanco)</t>
        </is>
      </c>
      <c r="G3132" t="inlineStr">
        <is>
          <t>XLT</t>
        </is>
      </c>
      <c r="H3132" t="n">
        <v>7</v>
      </c>
      <c r="I3132" t="inlineStr">
        <is>
          <t>NAUTICA_MENS_V042744_HGY_1.jpg</t>
        </is>
      </c>
      <c r="J3132" t="inlineStr">
        <is>
          <t>NAUTICA_MENS_V042744_HGY_2.jpg</t>
        </is>
      </c>
      <c r="K3132" t="inlineStr">
        <is>
          <t>NAUTICA_MENS_V042744_HGY_3.jpg</t>
        </is>
      </c>
      <c r="L3132">
        <f>IMAGE("file:///E:/Estudios%20y%20certificaciones/ESTUDIOS%20DE%20PROGRAMMING/PROGRAMMING/PERSONAL/PYTHON/Image_Generator_API/imagenes/NAUTICA_MENS_V042744_HGY_1.jpg")</f>
        <v/>
      </c>
      <c r="M3132">
        <f>IMAGE("file:///E:/Estudios%20y%20certificaciones/ESTUDIOS%20DE%20PROGRAMMING/PROGRAMMING/PERSONAL/PYTHON/Image_Generator_API/imagenes/NAUTICA_MENS_V042744_HGY_2.jpg")</f>
        <v/>
      </c>
      <c r="N3132">
        <f>IMAGE("file:///E:/Estudios%20y%20certificaciones/ESTUDIOS%20DE%20PROGRAMMING/PROGRAMMING/PERSONAL/PYTHON/Image_Generator_API/imagenes/NAUTICA_MENS_V042744_HGY_3.jpg")</f>
        <v/>
      </c>
      <c r="O3132">
        <f>HYPERLINK("imagenes/NAUTICA_MENS_V042744_HGY_1.jpg","Ver imagen")</f>
        <v/>
      </c>
      <c r="P3132">
        <f>HYPERLINK("imagenes/NAUTICA_MENS_V042744_HGY_2.jpg","Ver imagen")</f>
        <v/>
      </c>
      <c r="Q3132">
        <f>HYPERLINK("imagenes/NAUTICA_MENS_V042744_HGY_3.jpg","Ver imagen")</f>
        <v/>
      </c>
    </row>
    <row r="3133">
      <c r="A3133" t="inlineStr">
        <is>
          <t>NAUTICA MENS</t>
        </is>
      </c>
      <c r="B3133" t="inlineStr">
        <is>
          <t>V045548</t>
        </is>
      </c>
      <c r="C3133" t="inlineStr">
        <is>
          <t>WOOL PEACOAT</t>
        </is>
      </c>
      <c r="D3133" t="inlineStr">
        <is>
          <t>BLK</t>
        </is>
      </c>
      <c r="E3133" t="inlineStr">
        <is>
          <t>(en blanco)</t>
        </is>
      </c>
      <c r="F3133" t="inlineStr">
        <is>
          <t>(en blanco)</t>
        </is>
      </c>
      <c r="G3133" t="inlineStr">
        <is>
          <t>4XT</t>
        </is>
      </c>
      <c r="H3133" t="n">
        <v>4</v>
      </c>
      <c r="I3133" t="inlineStr">
        <is>
          <t>NAUTICA_MENS_V045548_BLK_1.jpg</t>
        </is>
      </c>
      <c r="J3133" t="inlineStr">
        <is>
          <t>NAUTICA_MENS_V045548_BLK_2.jpg</t>
        </is>
      </c>
      <c r="K3133" t="inlineStr">
        <is>
          <t>NAUTICA_MENS_V045548_BLK_3.jpg</t>
        </is>
      </c>
      <c r="L3133">
        <f>IMAGE("file:///E:/Estudios%20y%20certificaciones/ESTUDIOS%20DE%20PROGRAMMING/PROGRAMMING/PERSONAL/PYTHON/Image_Generator_API/imagenes/NAUTICA_MENS_V045548_BLK_1.jpg")</f>
        <v/>
      </c>
      <c r="M3133">
        <f>IMAGE("file:///E:/Estudios%20y%20certificaciones/ESTUDIOS%20DE%20PROGRAMMING/PROGRAMMING/PERSONAL/PYTHON/Image_Generator_API/imagenes/NAUTICA_MENS_V045548_BLK_2.jpg")</f>
        <v/>
      </c>
      <c r="N3133">
        <f>IMAGE("file:///E:/Estudios%20y%20certificaciones/ESTUDIOS%20DE%20PROGRAMMING/PROGRAMMING/PERSONAL/PYTHON/Image_Generator_API/imagenes/NAUTICA_MENS_V045548_BLK_3.jpg")</f>
        <v/>
      </c>
      <c r="O3133">
        <f>HYPERLINK("imagenes/NAUTICA_MENS_V045548_BLK_1.jpg","Ver imagen")</f>
        <v/>
      </c>
      <c r="P3133">
        <f>HYPERLINK("imagenes/NAUTICA_MENS_V045548_BLK_2.jpg","Ver imagen")</f>
        <v/>
      </c>
      <c r="Q3133">
        <f>HYPERLINK("imagenes/NAUTICA_MENS_V045548_BLK_3.jpg","Ver imagen")</f>
        <v/>
      </c>
    </row>
    <row r="3134">
      <c r="A3134" t="inlineStr">
        <is>
          <t>NAUTICA MENS</t>
        </is>
      </c>
      <c r="B3134" t="inlineStr">
        <is>
          <t>V045548</t>
        </is>
      </c>
      <c r="C3134" t="inlineStr">
        <is>
          <t>WOOL PEACOAT</t>
        </is>
      </c>
      <c r="D3134" t="inlineStr">
        <is>
          <t>BLK</t>
        </is>
      </c>
      <c r="E3134" t="inlineStr">
        <is>
          <t>(en blanco)</t>
        </is>
      </c>
      <c r="F3134" t="inlineStr">
        <is>
          <t>(en blanco)</t>
        </is>
      </c>
      <c r="G3134" t="inlineStr">
        <is>
          <t>5XT</t>
        </is>
      </c>
      <c r="H3134" t="n">
        <v>1</v>
      </c>
      <c r="I3134" t="inlineStr">
        <is>
          <t>NAUTICA_MENS_V045548_BLK_1.jpg</t>
        </is>
      </c>
      <c r="J3134" t="inlineStr">
        <is>
          <t>NAUTICA_MENS_V045548_BLK_2.jpg</t>
        </is>
      </c>
      <c r="K3134" t="inlineStr">
        <is>
          <t>NAUTICA_MENS_V045548_BLK_3.jpg</t>
        </is>
      </c>
      <c r="L3134">
        <f>IMAGE("file:///E:/Estudios%20y%20certificaciones/ESTUDIOS%20DE%20PROGRAMMING/PROGRAMMING/PERSONAL/PYTHON/Image_Generator_API/imagenes/NAUTICA_MENS_V045548_BLK_1.jpg")</f>
        <v/>
      </c>
      <c r="M3134">
        <f>IMAGE("file:///E:/Estudios%20y%20certificaciones/ESTUDIOS%20DE%20PROGRAMMING/PROGRAMMING/PERSONAL/PYTHON/Image_Generator_API/imagenes/NAUTICA_MENS_V045548_BLK_2.jpg")</f>
        <v/>
      </c>
      <c r="N3134">
        <f>IMAGE("file:///E:/Estudios%20y%20certificaciones/ESTUDIOS%20DE%20PROGRAMMING/PROGRAMMING/PERSONAL/PYTHON/Image_Generator_API/imagenes/NAUTICA_MENS_V045548_BLK_3.jpg")</f>
        <v/>
      </c>
      <c r="O3134">
        <f>HYPERLINK("imagenes/NAUTICA_MENS_V045548_BLK_1.jpg","Ver imagen")</f>
        <v/>
      </c>
      <c r="P3134">
        <f>HYPERLINK("imagenes/NAUTICA_MENS_V045548_BLK_2.jpg","Ver imagen")</f>
        <v/>
      </c>
      <c r="Q3134">
        <f>HYPERLINK("imagenes/NAUTICA_MENS_V045548_BLK_3.jpg","Ver imagen")</f>
        <v/>
      </c>
    </row>
    <row r="3135">
      <c r="A3135" t="inlineStr">
        <is>
          <t>NAUTICA MENS</t>
        </is>
      </c>
      <c r="B3135" t="inlineStr">
        <is>
          <t>V045548</t>
        </is>
      </c>
      <c r="C3135" t="inlineStr">
        <is>
          <t>WOOL PEACOAT</t>
        </is>
      </c>
      <c r="D3135" t="inlineStr">
        <is>
          <t>CHR</t>
        </is>
      </c>
      <c r="E3135" t="inlineStr">
        <is>
          <t>(en blanco)</t>
        </is>
      </c>
      <c r="F3135" t="inlineStr">
        <is>
          <t>(en blanco)</t>
        </is>
      </c>
      <c r="G3135" t="inlineStr">
        <is>
          <t>5XT</t>
        </is>
      </c>
      <c r="H3135" t="n">
        <v>3</v>
      </c>
      <c r="I3135" t="inlineStr">
        <is>
          <t>NAUTICA_MENS_V045548_CHR_1.jpg</t>
        </is>
      </c>
      <c r="J3135" t="inlineStr">
        <is>
          <t>NAUTICA_MENS_V045548_CHR_2.jpg</t>
        </is>
      </c>
      <c r="K3135" t="inlineStr">
        <is>
          <t>NAUTICA_MENS_V045548_CHR_3.jpg</t>
        </is>
      </c>
      <c r="L3135">
        <f>IMAGE("file:///E:/Estudios%20y%20certificaciones/ESTUDIOS%20DE%20PROGRAMMING/PROGRAMMING/PERSONAL/PYTHON/Image_Generator_API/imagenes/NAUTICA_MENS_V045548_CHR_1.jpg")</f>
        <v/>
      </c>
      <c r="M3135">
        <f>IMAGE("file:///E:/Estudios%20y%20certificaciones/ESTUDIOS%20DE%20PROGRAMMING/PROGRAMMING/PERSONAL/PYTHON/Image_Generator_API/imagenes/NAUTICA_MENS_V045548_CHR_2.jpg")</f>
        <v/>
      </c>
      <c r="N3135">
        <f>IMAGE("file:///E:/Estudios%20y%20certificaciones/ESTUDIOS%20DE%20PROGRAMMING/PROGRAMMING/PERSONAL/PYTHON/Image_Generator_API/imagenes/NAUTICA_MENS_V045548_CHR_3.jpg")</f>
        <v/>
      </c>
      <c r="O3135">
        <f>HYPERLINK("imagenes/NAUTICA_MENS_V045548_CHR_1.jpg","Ver imagen")</f>
        <v/>
      </c>
      <c r="P3135">
        <f>HYPERLINK("imagenes/NAUTICA_MENS_V045548_CHR_2.jpg","Ver imagen")</f>
        <v/>
      </c>
      <c r="Q3135">
        <f>HYPERLINK("imagenes/NAUTICA_MENS_V045548_CHR_3.jpg","Ver imagen")</f>
        <v/>
      </c>
    </row>
    <row r="3136">
      <c r="A3136" t="inlineStr">
        <is>
          <t>NAUTICA MENS</t>
        </is>
      </c>
      <c r="B3136" t="inlineStr">
        <is>
          <t>V122021</t>
        </is>
      </c>
      <c r="C3136" t="inlineStr">
        <is>
          <t>POLY ZIP FNT W/KNIT</t>
        </is>
      </c>
      <c r="D3136" t="inlineStr">
        <is>
          <t>NVY</t>
        </is>
      </c>
      <c r="E3136" t="inlineStr">
        <is>
          <t>(en blanco)</t>
        </is>
      </c>
      <c r="F3136" t="inlineStr">
        <is>
          <t>(en blanco)</t>
        </is>
      </c>
      <c r="G3136" t="inlineStr">
        <is>
          <t>L</t>
        </is>
      </c>
      <c r="H3136" t="n">
        <v>1</v>
      </c>
      <c r="I3136" t="inlineStr">
        <is>
          <t>NAUTICA_MENS_V122021_NVY_1.jpg</t>
        </is>
      </c>
      <c r="J3136" t="inlineStr">
        <is>
          <t>NAUTICA_MENS_V122021_NVY_2.jpg</t>
        </is>
      </c>
      <c r="K3136" t="inlineStr">
        <is>
          <t>NAUTICA_MENS_V122021_NVY_3.jpg</t>
        </is>
      </c>
      <c r="L3136">
        <f>IMAGE("file:///E:/Estudios%20y%20certificaciones/ESTUDIOS%20DE%20PROGRAMMING/PROGRAMMING/PERSONAL/PYTHON/Image_Generator_API/imagenes/NAUTICA_MENS_V122021_NVY_1.jpg")</f>
        <v/>
      </c>
      <c r="M3136">
        <f>IMAGE("file:///E:/Estudios%20y%20certificaciones/ESTUDIOS%20DE%20PROGRAMMING/PROGRAMMING/PERSONAL/PYTHON/Image_Generator_API/imagenes/NAUTICA_MENS_V122021_NVY_2.jpg")</f>
        <v/>
      </c>
      <c r="N3136">
        <f>IMAGE("file:///E:/Estudios%20y%20certificaciones/ESTUDIOS%20DE%20PROGRAMMING/PROGRAMMING/PERSONAL/PYTHON/Image_Generator_API/imagenes/NAUTICA_MENS_V122021_NVY_3.jpg")</f>
        <v/>
      </c>
      <c r="O3136">
        <f>HYPERLINK("imagenes/NAUTICA_MENS_V122021_NVY_1.jpg","Ver imagen")</f>
        <v/>
      </c>
      <c r="P3136">
        <f>HYPERLINK("imagenes/NAUTICA_MENS_V122021_NVY_2.jpg","Ver imagen")</f>
        <v/>
      </c>
      <c r="Q3136">
        <f>HYPERLINK("imagenes/NAUTICA_MENS_V122021_NVY_3.jpg","Ver imagen")</f>
        <v/>
      </c>
    </row>
    <row r="3137">
      <c r="A3137" t="inlineStr">
        <is>
          <t>NAUTICA MENS</t>
        </is>
      </c>
      <c r="B3137" t="inlineStr">
        <is>
          <t>V132023</t>
        </is>
      </c>
      <c r="C3137" t="inlineStr">
        <is>
          <t>POLY ZIP FRNT</t>
        </is>
      </c>
      <c r="D3137" t="inlineStr">
        <is>
          <t>SIL</t>
        </is>
      </c>
      <c r="E3137" t="inlineStr">
        <is>
          <t>(en blanco)</t>
        </is>
      </c>
      <c r="F3137" t="inlineStr">
        <is>
          <t>(en blanco)</t>
        </is>
      </c>
      <c r="G3137" t="inlineStr">
        <is>
          <t>8X</t>
        </is>
      </c>
      <c r="H3137" t="n">
        <v>2</v>
      </c>
      <c r="I3137" t="inlineStr">
        <is>
          <t>NAUTICA_MENS_V132023_SIL_1.jpg</t>
        </is>
      </c>
      <c r="J3137" t="inlineStr">
        <is>
          <t>NAUTICA_MENS_V132023_SIL_2.jpg</t>
        </is>
      </c>
      <c r="K3137" t="inlineStr">
        <is>
          <t>NAUTICA_MENS_V132023_SIL_3.jpg</t>
        </is>
      </c>
      <c r="L3137">
        <f>IMAGE("file:///E:/Estudios%20y%20certificaciones/ESTUDIOS%20DE%20PROGRAMMING/PROGRAMMING/PERSONAL/PYTHON/Image_Generator_API/imagenes/NAUTICA_MENS_V132023_SIL_1.jpg")</f>
        <v/>
      </c>
      <c r="M3137">
        <f>IMAGE("file:///E:/Estudios%20y%20certificaciones/ESTUDIOS%20DE%20PROGRAMMING/PROGRAMMING/PERSONAL/PYTHON/Image_Generator_API/imagenes/NAUTICA_MENS_V132023_SIL_2.jpg")</f>
        <v/>
      </c>
      <c r="N3137">
        <f>IMAGE("file:///E:/Estudios%20y%20certificaciones/ESTUDIOS%20DE%20PROGRAMMING/PROGRAMMING/PERSONAL/PYTHON/Image_Generator_API/imagenes/NAUTICA_MENS_V132023_SIL_3.jpg")</f>
        <v/>
      </c>
      <c r="O3137">
        <f>HYPERLINK("imagenes/NAUTICA_MENS_V132023_SIL_1.jpg","Ver imagen")</f>
        <v/>
      </c>
      <c r="P3137">
        <f>HYPERLINK("imagenes/NAUTICA_MENS_V132023_SIL_2.jpg","Ver imagen")</f>
        <v/>
      </c>
      <c r="Q3137">
        <f>HYPERLINK("imagenes/NAUTICA_MENS_V132023_SIL_3.jpg","Ver imagen")</f>
        <v/>
      </c>
    </row>
    <row r="3138">
      <c r="A3138" t="inlineStr">
        <is>
          <t>NAUTICA MENS</t>
        </is>
      </c>
      <c r="B3138" t="inlineStr">
        <is>
          <t>V142023</t>
        </is>
      </c>
      <c r="C3138" t="inlineStr">
        <is>
          <t>POLY ZIP FRNT</t>
        </is>
      </c>
      <c r="D3138" t="inlineStr">
        <is>
          <t>BVA</t>
        </is>
      </c>
      <c r="E3138" t="inlineStr">
        <is>
          <t>(en blanco)</t>
        </is>
      </c>
      <c r="F3138" t="inlineStr">
        <is>
          <t>(en blanco)</t>
        </is>
      </c>
      <c r="G3138" t="inlineStr">
        <is>
          <t>6XT</t>
        </is>
      </c>
      <c r="H3138" t="n">
        <v>1</v>
      </c>
      <c r="I3138" t="inlineStr">
        <is>
          <t>NAUTICA_MENS_V142023_BVA_1.jpg</t>
        </is>
      </c>
      <c r="J3138" t="inlineStr">
        <is>
          <t>NAUTICA_MENS_V142023_BVA_2.jpg</t>
        </is>
      </c>
      <c r="K3138" t="inlineStr">
        <is>
          <t>NAUTICA_MENS_V142023_BVA_3.jpg</t>
        </is>
      </c>
      <c r="L3138">
        <f>IMAGE("file:///E:/Estudios%20y%20certificaciones/ESTUDIOS%20DE%20PROGRAMMING/PROGRAMMING/PERSONAL/PYTHON/Image_Generator_API/imagenes/NAUTICA_MENS_V142023_BVA_1.jpg")</f>
        <v/>
      </c>
      <c r="M3138">
        <f>IMAGE("file:///E:/Estudios%20y%20certificaciones/ESTUDIOS%20DE%20PROGRAMMING/PROGRAMMING/PERSONAL/PYTHON/Image_Generator_API/imagenes/NAUTICA_MENS_V142023_BVA_2.jpg")</f>
        <v/>
      </c>
      <c r="N3138">
        <f>IMAGE("file:///E:/Estudios%20y%20certificaciones/ESTUDIOS%20DE%20PROGRAMMING/PROGRAMMING/PERSONAL/PYTHON/Image_Generator_API/imagenes/NAUTICA_MENS_V142023_BVA_3.jpg")</f>
        <v/>
      </c>
      <c r="O3138">
        <f>HYPERLINK("imagenes/NAUTICA_MENS_V142023_BVA_1.jpg","Ver imagen")</f>
        <v/>
      </c>
      <c r="P3138">
        <f>HYPERLINK("imagenes/NAUTICA_MENS_V142023_BVA_2.jpg","Ver imagen")</f>
        <v/>
      </c>
      <c r="Q3138">
        <f>HYPERLINK("imagenes/NAUTICA_MENS_V142023_BVA_3.jpg","Ver imagen")</f>
        <v/>
      </c>
    </row>
    <row r="3139">
      <c r="A3139" t="inlineStr">
        <is>
          <t>NAUTICA MENS</t>
        </is>
      </c>
      <c r="B3139" t="inlineStr">
        <is>
          <t>V142023</t>
        </is>
      </c>
      <c r="C3139" t="inlineStr">
        <is>
          <t>POLY ZIP FRNT</t>
        </is>
      </c>
      <c r="D3139" t="inlineStr">
        <is>
          <t>SCA</t>
        </is>
      </c>
      <c r="E3139" t="inlineStr">
        <is>
          <t>(en blanco)</t>
        </is>
      </c>
      <c r="F3139" t="inlineStr">
        <is>
          <t>(en blanco)</t>
        </is>
      </c>
      <c r="G3139" t="inlineStr">
        <is>
          <t>5XT</t>
        </is>
      </c>
      <c r="H3139" t="n">
        <v>2</v>
      </c>
      <c r="I3139" t="inlineStr">
        <is>
          <t>NAUTICA_MENS_V142023_SCA_1.jpg</t>
        </is>
      </c>
      <c r="J3139" t="inlineStr">
        <is>
          <t>NAUTICA_MENS_V142023_SCA_2.jpg</t>
        </is>
      </c>
      <c r="K3139" t="inlineStr">
        <is>
          <t>NAUTICA_MENS_V142023_SCA_3.jpg</t>
        </is>
      </c>
      <c r="L3139">
        <f>IMAGE("file:///E:/Estudios%20y%20certificaciones/ESTUDIOS%20DE%20PROGRAMMING/PROGRAMMING/PERSONAL/PYTHON/Image_Generator_API/imagenes/NAUTICA_MENS_V142023_SCA_1.jpg")</f>
        <v/>
      </c>
      <c r="M3139">
        <f>IMAGE("file:///E:/Estudios%20y%20certificaciones/ESTUDIOS%20DE%20PROGRAMMING/PROGRAMMING/PERSONAL/PYTHON/Image_Generator_API/imagenes/NAUTICA_MENS_V142023_SCA_2.jpg")</f>
        <v/>
      </c>
      <c r="N3139">
        <f>IMAGE("file:///E:/Estudios%20y%20certificaciones/ESTUDIOS%20DE%20PROGRAMMING/PROGRAMMING/PERSONAL/PYTHON/Image_Generator_API/imagenes/NAUTICA_MENS_V142023_SCA_3.jpg")</f>
        <v/>
      </c>
      <c r="O3139">
        <f>HYPERLINK("imagenes/NAUTICA_MENS_V142023_SCA_1.jpg","Ver imagen")</f>
        <v/>
      </c>
      <c r="P3139">
        <f>HYPERLINK("imagenes/NAUTICA_MENS_V142023_SCA_2.jpg","Ver imagen")</f>
        <v/>
      </c>
      <c r="Q3139">
        <f>HYPERLINK("imagenes/NAUTICA_MENS_V142023_SCA_3.jpg","Ver imagen")</f>
        <v/>
      </c>
    </row>
    <row r="3140">
      <c r="A3140" t="inlineStr">
        <is>
          <t>NAUTICA MENS</t>
        </is>
      </c>
      <c r="B3140" t="inlineStr">
        <is>
          <t>V142023</t>
        </is>
      </c>
      <c r="C3140" t="inlineStr">
        <is>
          <t>POLY ZIP FRNT</t>
        </is>
      </c>
      <c r="D3140" t="inlineStr">
        <is>
          <t>SCA</t>
        </is>
      </c>
      <c r="E3140" t="inlineStr">
        <is>
          <t>(en blanco)</t>
        </is>
      </c>
      <c r="F3140" t="inlineStr">
        <is>
          <t>(en blanco)</t>
        </is>
      </c>
      <c r="G3140" t="inlineStr">
        <is>
          <t>6XT</t>
        </is>
      </c>
      <c r="H3140" t="n">
        <v>2</v>
      </c>
      <c r="I3140" t="inlineStr">
        <is>
          <t>NAUTICA_MENS_V142023_SCA_1.jpg</t>
        </is>
      </c>
      <c r="J3140" t="inlineStr">
        <is>
          <t>NAUTICA_MENS_V142023_SCA_2.jpg</t>
        </is>
      </c>
      <c r="K3140" t="inlineStr">
        <is>
          <t>NAUTICA_MENS_V142023_SCA_3.jpg</t>
        </is>
      </c>
      <c r="L3140">
        <f>IMAGE("file:///E:/Estudios%20y%20certificaciones/ESTUDIOS%20DE%20PROGRAMMING/PROGRAMMING/PERSONAL/PYTHON/Image_Generator_API/imagenes/NAUTICA_MENS_V142023_SCA_1.jpg")</f>
        <v/>
      </c>
      <c r="M3140">
        <f>IMAGE("file:///E:/Estudios%20y%20certificaciones/ESTUDIOS%20DE%20PROGRAMMING/PROGRAMMING/PERSONAL/PYTHON/Image_Generator_API/imagenes/NAUTICA_MENS_V142023_SCA_2.jpg")</f>
        <v/>
      </c>
      <c r="N3140">
        <f>IMAGE("file:///E:/Estudios%20y%20certificaciones/ESTUDIOS%20DE%20PROGRAMMING/PROGRAMMING/PERSONAL/PYTHON/Image_Generator_API/imagenes/NAUTICA_MENS_V142023_SCA_3.jpg")</f>
        <v/>
      </c>
      <c r="O3140">
        <f>HYPERLINK("imagenes/NAUTICA_MENS_V142023_SCA_1.jpg","Ver imagen")</f>
        <v/>
      </c>
      <c r="P3140">
        <f>HYPERLINK("imagenes/NAUTICA_MENS_V142023_SCA_2.jpg","Ver imagen")</f>
        <v/>
      </c>
      <c r="Q3140">
        <f>HYPERLINK("imagenes/NAUTICA_MENS_V142023_SCA_3.jpg","Ver imagen")</f>
        <v/>
      </c>
    </row>
    <row r="3141">
      <c r="A3141" t="inlineStr">
        <is>
          <t>NAUTICA MENS</t>
        </is>
      </c>
      <c r="B3141" t="inlineStr">
        <is>
          <t>V142023</t>
        </is>
      </c>
      <c r="C3141" t="inlineStr">
        <is>
          <t>POLY ZIP FRNT</t>
        </is>
      </c>
      <c r="D3141" t="inlineStr">
        <is>
          <t>SIL</t>
        </is>
      </c>
      <c r="E3141" t="inlineStr">
        <is>
          <t>(en blanco)</t>
        </is>
      </c>
      <c r="F3141" t="inlineStr">
        <is>
          <t>(en blanco)</t>
        </is>
      </c>
      <c r="G3141" t="inlineStr">
        <is>
          <t>5XT</t>
        </is>
      </c>
      <c r="H3141" t="n">
        <v>1</v>
      </c>
      <c r="I3141" t="inlineStr">
        <is>
          <t>NAUTICA_MENS_V142023_SIL_1.jpg</t>
        </is>
      </c>
      <c r="J3141" t="inlineStr">
        <is>
          <t>NAUTICA_MENS_V142023_SIL_2.jpg</t>
        </is>
      </c>
      <c r="K3141" t="inlineStr">
        <is>
          <t>NAUTICA_MENS_V142023_SIL_3.jpg</t>
        </is>
      </c>
      <c r="L3141">
        <f>IMAGE("file:///E:/Estudios%20y%20certificaciones/ESTUDIOS%20DE%20PROGRAMMING/PROGRAMMING/PERSONAL/PYTHON/Image_Generator_API/imagenes/NAUTICA_MENS_V142023_SIL_1.jpg")</f>
        <v/>
      </c>
      <c r="M3141">
        <f>IMAGE("file:///E:/Estudios%20y%20certificaciones/ESTUDIOS%20DE%20PROGRAMMING/PROGRAMMING/PERSONAL/PYTHON/Image_Generator_API/imagenes/NAUTICA_MENS_V142023_SIL_2.jpg")</f>
        <v/>
      </c>
      <c r="N3141">
        <f>IMAGE("file:///E:/Estudios%20y%20certificaciones/ESTUDIOS%20DE%20PROGRAMMING/PROGRAMMING/PERSONAL/PYTHON/Image_Generator_API/imagenes/NAUTICA_MENS_V142023_SIL_3.jpg")</f>
        <v/>
      </c>
      <c r="O3141">
        <f>HYPERLINK("imagenes/NAUTICA_MENS_V142023_SIL_1.jpg","Ver imagen")</f>
        <v/>
      </c>
      <c r="P3141">
        <f>HYPERLINK("imagenes/NAUTICA_MENS_V142023_SIL_2.jpg","Ver imagen")</f>
        <v/>
      </c>
      <c r="Q3141">
        <f>HYPERLINK("imagenes/NAUTICA_MENS_V142023_SIL_3.jpg","Ver imagen")</f>
        <v/>
      </c>
    </row>
    <row r="3142">
      <c r="A3142" t="inlineStr">
        <is>
          <t>NAUTICA MENS</t>
        </is>
      </c>
      <c r="B3142" t="inlineStr">
        <is>
          <t>V142023</t>
        </is>
      </c>
      <c r="C3142" t="inlineStr">
        <is>
          <t>POLY ZIP FRNT</t>
        </is>
      </c>
      <c r="D3142" t="inlineStr">
        <is>
          <t>SIL</t>
        </is>
      </c>
      <c r="E3142" t="inlineStr">
        <is>
          <t>(en blanco)</t>
        </is>
      </c>
      <c r="F3142" t="inlineStr">
        <is>
          <t>(en blanco)</t>
        </is>
      </c>
      <c r="G3142" t="inlineStr">
        <is>
          <t>6XT</t>
        </is>
      </c>
      <c r="H3142" t="n">
        <v>2</v>
      </c>
      <c r="I3142" t="inlineStr">
        <is>
          <t>NAUTICA_MENS_V142023_SIL_1.jpg</t>
        </is>
      </c>
      <c r="J3142" t="inlineStr">
        <is>
          <t>NAUTICA_MENS_V142023_SIL_2.jpg</t>
        </is>
      </c>
      <c r="K3142" t="inlineStr">
        <is>
          <t>NAUTICA_MENS_V142023_SIL_3.jpg</t>
        </is>
      </c>
      <c r="L3142">
        <f>IMAGE("file:///E:/Estudios%20y%20certificaciones/ESTUDIOS%20DE%20PROGRAMMING/PROGRAMMING/PERSONAL/PYTHON/Image_Generator_API/imagenes/NAUTICA_MENS_V142023_SIL_1.jpg")</f>
        <v/>
      </c>
      <c r="M3142">
        <f>IMAGE("file:///E:/Estudios%20y%20certificaciones/ESTUDIOS%20DE%20PROGRAMMING/PROGRAMMING/PERSONAL/PYTHON/Image_Generator_API/imagenes/NAUTICA_MENS_V142023_SIL_2.jpg")</f>
        <v/>
      </c>
      <c r="N3142">
        <f>IMAGE("file:///E:/Estudios%20y%20certificaciones/ESTUDIOS%20DE%20PROGRAMMING/PROGRAMMING/PERSONAL/PYTHON/Image_Generator_API/imagenes/NAUTICA_MENS_V142023_SIL_3.jpg")</f>
        <v/>
      </c>
      <c r="O3142">
        <f>HYPERLINK("imagenes/NAUTICA_MENS_V142023_SIL_1.jpg","Ver imagen")</f>
        <v/>
      </c>
      <c r="P3142">
        <f>HYPERLINK("imagenes/NAUTICA_MENS_V142023_SIL_2.jpg","Ver imagen")</f>
        <v/>
      </c>
      <c r="Q3142">
        <f>HYPERLINK("imagenes/NAUTICA_MENS_V142023_SIL_3.jpg","Ver imagen")</f>
        <v/>
      </c>
    </row>
    <row r="3143">
      <c r="A3143" t="inlineStr">
        <is>
          <t>NAUTICA MENS</t>
        </is>
      </c>
      <c r="B3143" t="inlineStr">
        <is>
          <t>V220252H</t>
        </is>
      </c>
      <c r="C3143" t="inlineStr">
        <is>
          <t>POLY HOODED PARKA</t>
        </is>
      </c>
      <c r="D3143" t="inlineStr">
        <is>
          <t>BLK</t>
        </is>
      </c>
      <c r="E3143" t="inlineStr">
        <is>
          <t>12A08</t>
        </is>
      </c>
      <c r="F3143" t="inlineStr">
        <is>
          <t>(en blanco)</t>
        </is>
      </c>
      <c r="G3143" t="inlineStr">
        <is>
          <t>AST</t>
        </is>
      </c>
      <c r="H3143" t="n">
        <v>1800</v>
      </c>
      <c r="I3143" t="inlineStr">
        <is>
          <t>NAUTICA_MENS_V220252H_BLK_1.jpg</t>
        </is>
      </c>
      <c r="J3143" t="inlineStr">
        <is>
          <t>NAUTICA_MENS_V220252H_BLK_2.jpg</t>
        </is>
      </c>
      <c r="K3143" t="inlineStr">
        <is>
          <t>NAUTICA_MENS_V220252H_BLK_3.jpg</t>
        </is>
      </c>
      <c r="L3143">
        <f>IMAGE("file:///E:/Estudios%20y%20certificaciones/ESTUDIOS%20DE%20PROGRAMMING/PROGRAMMING/PERSONAL/PYTHON/Image_Generator_API/imagenes/NAUTICA_MENS_V220252H_BLK_1.jpg")</f>
        <v/>
      </c>
      <c r="M3143">
        <f>IMAGE("file:///E:/Estudios%20y%20certificaciones/ESTUDIOS%20DE%20PROGRAMMING/PROGRAMMING/PERSONAL/PYTHON/Image_Generator_API/imagenes/NAUTICA_MENS_V220252H_BLK_2.jpg")</f>
        <v/>
      </c>
      <c r="N3143">
        <f>IMAGE("file:///E:/Estudios%20y%20certificaciones/ESTUDIOS%20DE%20PROGRAMMING/PROGRAMMING/PERSONAL/PYTHON/Image_Generator_API/imagenes/NAUTICA_MENS_V220252H_BLK_3.jpg")</f>
        <v/>
      </c>
      <c r="O3143">
        <f>HYPERLINK("imagenes/NAUTICA_MENS_V220252H_BLK_1.jpg","Ver imagen")</f>
        <v/>
      </c>
      <c r="P3143">
        <f>HYPERLINK("imagenes/NAUTICA_MENS_V220252H_BLK_2.jpg","Ver imagen")</f>
        <v/>
      </c>
      <c r="Q3143">
        <f>HYPERLINK("imagenes/NAUTICA_MENS_V220252H_BLK_3.jpg","Ver imagen")</f>
        <v/>
      </c>
    </row>
    <row r="3144">
      <c r="A3144" t="inlineStr">
        <is>
          <t>NAUTICA MENS</t>
        </is>
      </c>
      <c r="B3144" t="inlineStr">
        <is>
          <t>V220252H</t>
        </is>
      </c>
      <c r="C3144" t="inlineStr">
        <is>
          <t>POLY HOODED PARKA</t>
        </is>
      </c>
      <c r="D3144" t="inlineStr">
        <is>
          <t>BLK</t>
        </is>
      </c>
      <c r="E3144" t="inlineStr">
        <is>
          <t>(en blanco)</t>
        </is>
      </c>
      <c r="F3144" t="inlineStr">
        <is>
          <t>(en blanco)</t>
        </is>
      </c>
      <c r="G3144" t="inlineStr">
        <is>
          <t>S</t>
        </is>
      </c>
      <c r="H3144" t="n">
        <v>12</v>
      </c>
      <c r="I3144" t="inlineStr">
        <is>
          <t>NAUTICA_MENS_V220252H_BLK_1.jpg</t>
        </is>
      </c>
      <c r="J3144" t="inlineStr">
        <is>
          <t>NAUTICA_MENS_V220252H_BLK_2.jpg</t>
        </is>
      </c>
      <c r="K3144" t="inlineStr">
        <is>
          <t>NAUTICA_MENS_V220252H_BLK_3.jpg</t>
        </is>
      </c>
      <c r="L3144">
        <f>IMAGE("file:///E:/Estudios%20y%20certificaciones/ESTUDIOS%20DE%20PROGRAMMING/PROGRAMMING/PERSONAL/PYTHON/Image_Generator_API/imagenes/NAUTICA_MENS_V220252H_BLK_1.jpg")</f>
        <v/>
      </c>
      <c r="M3144">
        <f>IMAGE("file:///E:/Estudios%20y%20certificaciones/ESTUDIOS%20DE%20PROGRAMMING/PROGRAMMING/PERSONAL/PYTHON/Image_Generator_API/imagenes/NAUTICA_MENS_V220252H_BLK_2.jpg")</f>
        <v/>
      </c>
      <c r="N3144">
        <f>IMAGE("file:///E:/Estudios%20y%20certificaciones/ESTUDIOS%20DE%20PROGRAMMING/PROGRAMMING/PERSONAL/PYTHON/Image_Generator_API/imagenes/NAUTICA_MENS_V220252H_BLK_3.jpg")</f>
        <v/>
      </c>
      <c r="O3144">
        <f>HYPERLINK("imagenes/NAUTICA_MENS_V220252H_BLK_1.jpg","Ver imagen")</f>
        <v/>
      </c>
      <c r="P3144">
        <f>HYPERLINK("imagenes/NAUTICA_MENS_V220252H_BLK_2.jpg","Ver imagen")</f>
        <v/>
      </c>
      <c r="Q3144">
        <f>HYPERLINK("imagenes/NAUTICA_MENS_V220252H_BLK_3.jpg","Ver imagen")</f>
        <v/>
      </c>
    </row>
    <row r="3145">
      <c r="A3145" t="inlineStr">
        <is>
          <t>NAUTICA MENS</t>
        </is>
      </c>
      <c r="B3145" t="inlineStr">
        <is>
          <t>V220252H</t>
        </is>
      </c>
      <c r="C3145" t="inlineStr">
        <is>
          <t>POLY HOODED PARKA</t>
        </is>
      </c>
      <c r="D3145" t="inlineStr">
        <is>
          <t>BLK</t>
        </is>
      </c>
      <c r="E3145" t="inlineStr">
        <is>
          <t>(en blanco)</t>
        </is>
      </c>
      <c r="F3145" t="inlineStr">
        <is>
          <t>(en blanco)</t>
        </is>
      </c>
      <c r="G3145" t="inlineStr">
        <is>
          <t>M</t>
        </is>
      </c>
      <c r="H3145" t="n">
        <v>33</v>
      </c>
      <c r="I3145" t="inlineStr">
        <is>
          <t>NAUTICA_MENS_V220252H_BLK_1.jpg</t>
        </is>
      </c>
      <c r="J3145" t="inlineStr">
        <is>
          <t>NAUTICA_MENS_V220252H_BLK_2.jpg</t>
        </is>
      </c>
      <c r="K3145" t="inlineStr">
        <is>
          <t>NAUTICA_MENS_V220252H_BLK_3.jpg</t>
        </is>
      </c>
      <c r="L3145">
        <f>IMAGE("file:///E:/Estudios%20y%20certificaciones/ESTUDIOS%20DE%20PROGRAMMING/PROGRAMMING/PERSONAL/PYTHON/Image_Generator_API/imagenes/NAUTICA_MENS_V220252H_BLK_1.jpg")</f>
        <v/>
      </c>
      <c r="M3145">
        <f>IMAGE("file:///E:/Estudios%20y%20certificaciones/ESTUDIOS%20DE%20PROGRAMMING/PROGRAMMING/PERSONAL/PYTHON/Image_Generator_API/imagenes/NAUTICA_MENS_V220252H_BLK_2.jpg")</f>
        <v/>
      </c>
      <c r="N3145">
        <f>IMAGE("file:///E:/Estudios%20y%20certificaciones/ESTUDIOS%20DE%20PROGRAMMING/PROGRAMMING/PERSONAL/PYTHON/Image_Generator_API/imagenes/NAUTICA_MENS_V220252H_BLK_3.jpg")</f>
        <v/>
      </c>
      <c r="O3145">
        <f>HYPERLINK("imagenes/NAUTICA_MENS_V220252H_BLK_1.jpg","Ver imagen")</f>
        <v/>
      </c>
      <c r="P3145">
        <f>HYPERLINK("imagenes/NAUTICA_MENS_V220252H_BLK_2.jpg","Ver imagen")</f>
        <v/>
      </c>
      <c r="Q3145">
        <f>HYPERLINK("imagenes/NAUTICA_MENS_V220252H_BLK_3.jpg","Ver imagen")</f>
        <v/>
      </c>
    </row>
    <row r="3146">
      <c r="A3146" t="inlineStr">
        <is>
          <t>NAUTICA MENS</t>
        </is>
      </c>
      <c r="B3146" t="inlineStr">
        <is>
          <t>V220252H</t>
        </is>
      </c>
      <c r="C3146" t="inlineStr">
        <is>
          <t>POLY HOODED PARKA</t>
        </is>
      </c>
      <c r="D3146" t="inlineStr">
        <is>
          <t>BLK</t>
        </is>
      </c>
      <c r="E3146" t="inlineStr">
        <is>
          <t>(en blanco)</t>
        </is>
      </c>
      <c r="F3146" t="inlineStr">
        <is>
          <t>(en blanco)</t>
        </is>
      </c>
      <c r="G3146" t="inlineStr">
        <is>
          <t>L</t>
        </is>
      </c>
      <c r="H3146" t="n">
        <v>40</v>
      </c>
      <c r="I3146" t="inlineStr">
        <is>
          <t>NAUTICA_MENS_V220252H_BLK_1.jpg</t>
        </is>
      </c>
      <c r="J3146" t="inlineStr">
        <is>
          <t>NAUTICA_MENS_V220252H_BLK_2.jpg</t>
        </is>
      </c>
      <c r="K3146" t="inlineStr">
        <is>
          <t>NAUTICA_MENS_V220252H_BLK_3.jpg</t>
        </is>
      </c>
      <c r="L3146">
        <f>IMAGE("file:///E:/Estudios%20y%20certificaciones/ESTUDIOS%20DE%20PROGRAMMING/PROGRAMMING/PERSONAL/PYTHON/Image_Generator_API/imagenes/NAUTICA_MENS_V220252H_BLK_1.jpg")</f>
        <v/>
      </c>
      <c r="M3146">
        <f>IMAGE("file:///E:/Estudios%20y%20certificaciones/ESTUDIOS%20DE%20PROGRAMMING/PROGRAMMING/PERSONAL/PYTHON/Image_Generator_API/imagenes/NAUTICA_MENS_V220252H_BLK_2.jpg")</f>
        <v/>
      </c>
      <c r="N3146">
        <f>IMAGE("file:///E:/Estudios%20y%20certificaciones/ESTUDIOS%20DE%20PROGRAMMING/PROGRAMMING/PERSONAL/PYTHON/Image_Generator_API/imagenes/NAUTICA_MENS_V220252H_BLK_3.jpg")</f>
        <v/>
      </c>
      <c r="O3146">
        <f>HYPERLINK("imagenes/NAUTICA_MENS_V220252H_BLK_1.jpg","Ver imagen")</f>
        <v/>
      </c>
      <c r="P3146">
        <f>HYPERLINK("imagenes/NAUTICA_MENS_V220252H_BLK_2.jpg","Ver imagen")</f>
        <v/>
      </c>
      <c r="Q3146">
        <f>HYPERLINK("imagenes/NAUTICA_MENS_V220252H_BLK_3.jpg","Ver imagen")</f>
        <v/>
      </c>
    </row>
    <row r="3147">
      <c r="A3147" t="inlineStr">
        <is>
          <t>NAUTICA MENS</t>
        </is>
      </c>
      <c r="B3147" t="inlineStr">
        <is>
          <t>V220252H</t>
        </is>
      </c>
      <c r="C3147" t="inlineStr">
        <is>
          <t>POLY HOODED PARKA</t>
        </is>
      </c>
      <c r="D3147" t="inlineStr">
        <is>
          <t>BLK</t>
        </is>
      </c>
      <c r="E3147" t="inlineStr">
        <is>
          <t>(en blanco)</t>
        </is>
      </c>
      <c r="F3147" t="inlineStr">
        <is>
          <t>(en blanco)</t>
        </is>
      </c>
      <c r="G3147" t="inlineStr">
        <is>
          <t>XL</t>
        </is>
      </c>
      <c r="H3147" t="n">
        <v>4</v>
      </c>
      <c r="I3147" t="inlineStr">
        <is>
          <t>NAUTICA_MENS_V220252H_BLK_1.jpg</t>
        </is>
      </c>
      <c r="J3147" t="inlineStr">
        <is>
          <t>NAUTICA_MENS_V220252H_BLK_2.jpg</t>
        </is>
      </c>
      <c r="K3147" t="inlineStr">
        <is>
          <t>NAUTICA_MENS_V220252H_BLK_3.jpg</t>
        </is>
      </c>
      <c r="L3147">
        <f>IMAGE("file:///E:/Estudios%20y%20certificaciones/ESTUDIOS%20DE%20PROGRAMMING/PROGRAMMING/PERSONAL/PYTHON/Image_Generator_API/imagenes/NAUTICA_MENS_V220252H_BLK_1.jpg")</f>
        <v/>
      </c>
      <c r="M3147">
        <f>IMAGE("file:///E:/Estudios%20y%20certificaciones/ESTUDIOS%20DE%20PROGRAMMING/PROGRAMMING/PERSONAL/PYTHON/Image_Generator_API/imagenes/NAUTICA_MENS_V220252H_BLK_2.jpg")</f>
        <v/>
      </c>
      <c r="N3147">
        <f>IMAGE("file:///E:/Estudios%20y%20certificaciones/ESTUDIOS%20DE%20PROGRAMMING/PROGRAMMING/PERSONAL/PYTHON/Image_Generator_API/imagenes/NAUTICA_MENS_V220252H_BLK_3.jpg")</f>
        <v/>
      </c>
      <c r="O3147">
        <f>HYPERLINK("imagenes/NAUTICA_MENS_V220252H_BLK_1.jpg","Ver imagen")</f>
        <v/>
      </c>
      <c r="P3147">
        <f>HYPERLINK("imagenes/NAUTICA_MENS_V220252H_BLK_2.jpg","Ver imagen")</f>
        <v/>
      </c>
      <c r="Q3147">
        <f>HYPERLINK("imagenes/NAUTICA_MENS_V220252H_BLK_3.jpg","Ver imagen")</f>
        <v/>
      </c>
    </row>
    <row r="3148">
      <c r="A3148" t="inlineStr">
        <is>
          <t>NAUTICA MENS</t>
        </is>
      </c>
      <c r="B3148" t="inlineStr">
        <is>
          <t>V220252H</t>
        </is>
      </c>
      <c r="C3148" t="inlineStr">
        <is>
          <t>POLY HOODED PARKA</t>
        </is>
      </c>
      <c r="D3148" t="inlineStr">
        <is>
          <t>BLK</t>
        </is>
      </c>
      <c r="E3148" t="inlineStr">
        <is>
          <t>(en blanco)</t>
        </is>
      </c>
      <c r="F3148" t="inlineStr">
        <is>
          <t>(en blanco)</t>
        </is>
      </c>
      <c r="G3148" t="inlineStr">
        <is>
          <t>XXL</t>
        </is>
      </c>
      <c r="H3148" t="n">
        <v>6</v>
      </c>
      <c r="I3148" t="inlineStr">
        <is>
          <t>NAUTICA_MENS_V220252H_BLK_1.jpg</t>
        </is>
      </c>
      <c r="J3148" t="inlineStr">
        <is>
          <t>NAUTICA_MENS_V220252H_BLK_2.jpg</t>
        </is>
      </c>
      <c r="K3148" t="inlineStr">
        <is>
          <t>NAUTICA_MENS_V220252H_BLK_3.jpg</t>
        </is>
      </c>
      <c r="L3148">
        <f>IMAGE("file:///E:/Estudios%20y%20certificaciones/ESTUDIOS%20DE%20PROGRAMMING/PROGRAMMING/PERSONAL/PYTHON/Image_Generator_API/imagenes/NAUTICA_MENS_V220252H_BLK_1.jpg")</f>
        <v/>
      </c>
      <c r="M3148">
        <f>IMAGE("file:///E:/Estudios%20y%20certificaciones/ESTUDIOS%20DE%20PROGRAMMING/PROGRAMMING/PERSONAL/PYTHON/Image_Generator_API/imagenes/NAUTICA_MENS_V220252H_BLK_2.jpg")</f>
        <v/>
      </c>
      <c r="N3148">
        <f>IMAGE("file:///E:/Estudios%20y%20certificaciones/ESTUDIOS%20DE%20PROGRAMMING/PROGRAMMING/PERSONAL/PYTHON/Image_Generator_API/imagenes/NAUTICA_MENS_V220252H_BLK_3.jpg")</f>
        <v/>
      </c>
      <c r="O3148">
        <f>HYPERLINK("imagenes/NAUTICA_MENS_V220252H_BLK_1.jpg","Ver imagen")</f>
        <v/>
      </c>
      <c r="P3148">
        <f>HYPERLINK("imagenes/NAUTICA_MENS_V220252H_BLK_2.jpg","Ver imagen")</f>
        <v/>
      </c>
      <c r="Q3148">
        <f>HYPERLINK("imagenes/NAUTICA_MENS_V220252H_BLK_3.jpg","Ver imagen")</f>
        <v/>
      </c>
    </row>
    <row r="3149">
      <c r="A3149" t="inlineStr">
        <is>
          <t>NAUTICA MENS</t>
        </is>
      </c>
      <c r="B3149" t="inlineStr">
        <is>
          <t>V220252H</t>
        </is>
      </c>
      <c r="C3149" t="inlineStr">
        <is>
          <t>POLY HOODED PARKA</t>
        </is>
      </c>
      <c r="D3149" t="inlineStr">
        <is>
          <t>CLG</t>
        </is>
      </c>
      <c r="E3149" t="inlineStr">
        <is>
          <t>(en blanco)</t>
        </is>
      </c>
      <c r="F3149" t="inlineStr">
        <is>
          <t>(en blanco)</t>
        </is>
      </c>
      <c r="G3149" t="inlineStr">
        <is>
          <t>S</t>
        </is>
      </c>
      <c r="H3149" t="n">
        <v>11</v>
      </c>
      <c r="I3149" t="inlineStr">
        <is>
          <t>NAUTICA_MENS_V220252H_CLG_1.jpg</t>
        </is>
      </c>
      <c r="J3149" t="inlineStr">
        <is>
          <t>NAUTICA_MENS_V220252H_CLG_2.jpg</t>
        </is>
      </c>
      <c r="K3149" t="inlineStr">
        <is>
          <t>NAUTICA_MENS_V220252H_CLG_3.jpg</t>
        </is>
      </c>
      <c r="L3149">
        <f>IMAGE("file:///E:/Estudios%20y%20certificaciones/ESTUDIOS%20DE%20PROGRAMMING/PROGRAMMING/PERSONAL/PYTHON/Image_Generator_API/imagenes/NAUTICA_MENS_V220252H_CLG_1.jpg")</f>
        <v/>
      </c>
      <c r="M3149">
        <f>IMAGE("file:///E:/Estudios%20y%20certificaciones/ESTUDIOS%20DE%20PROGRAMMING/PROGRAMMING/PERSONAL/PYTHON/Image_Generator_API/imagenes/NAUTICA_MENS_V220252H_CLG_2.jpg")</f>
        <v/>
      </c>
      <c r="N3149">
        <f>IMAGE("file:///E:/Estudios%20y%20certificaciones/ESTUDIOS%20DE%20PROGRAMMING/PROGRAMMING/PERSONAL/PYTHON/Image_Generator_API/imagenes/NAUTICA_MENS_V220252H_CLG_3.jpg")</f>
        <v/>
      </c>
      <c r="O3149">
        <f>HYPERLINK("imagenes/NAUTICA_MENS_V220252H_CLG_1.jpg","Ver imagen")</f>
        <v/>
      </c>
      <c r="P3149">
        <f>HYPERLINK("imagenes/NAUTICA_MENS_V220252H_CLG_2.jpg","Ver imagen")</f>
        <v/>
      </c>
      <c r="Q3149">
        <f>HYPERLINK("imagenes/NAUTICA_MENS_V220252H_CLG_3.jpg","Ver imagen")</f>
        <v/>
      </c>
    </row>
    <row r="3150">
      <c r="A3150" t="inlineStr">
        <is>
          <t>NAUTICA MENS</t>
        </is>
      </c>
      <c r="B3150" t="inlineStr">
        <is>
          <t>V220252H</t>
        </is>
      </c>
      <c r="C3150" t="inlineStr">
        <is>
          <t>POLY HOODED PARKA</t>
        </is>
      </c>
      <c r="D3150" t="inlineStr">
        <is>
          <t>CLG</t>
        </is>
      </c>
      <c r="E3150" t="inlineStr">
        <is>
          <t>(en blanco)</t>
        </is>
      </c>
      <c r="F3150" t="inlineStr">
        <is>
          <t>(en blanco)</t>
        </is>
      </c>
      <c r="G3150" t="inlineStr">
        <is>
          <t>M</t>
        </is>
      </c>
      <c r="H3150" t="n">
        <v>24</v>
      </c>
      <c r="I3150" t="inlineStr">
        <is>
          <t>NAUTICA_MENS_V220252H_CLG_1.jpg</t>
        </is>
      </c>
      <c r="J3150" t="inlineStr">
        <is>
          <t>NAUTICA_MENS_V220252H_CLG_2.jpg</t>
        </is>
      </c>
      <c r="K3150" t="inlineStr">
        <is>
          <t>NAUTICA_MENS_V220252H_CLG_3.jpg</t>
        </is>
      </c>
      <c r="L3150">
        <f>IMAGE("file:///E:/Estudios%20y%20certificaciones/ESTUDIOS%20DE%20PROGRAMMING/PROGRAMMING/PERSONAL/PYTHON/Image_Generator_API/imagenes/NAUTICA_MENS_V220252H_CLG_1.jpg")</f>
        <v/>
      </c>
      <c r="M3150">
        <f>IMAGE("file:///E:/Estudios%20y%20certificaciones/ESTUDIOS%20DE%20PROGRAMMING/PROGRAMMING/PERSONAL/PYTHON/Image_Generator_API/imagenes/NAUTICA_MENS_V220252H_CLG_2.jpg")</f>
        <v/>
      </c>
      <c r="N3150">
        <f>IMAGE("file:///E:/Estudios%20y%20certificaciones/ESTUDIOS%20DE%20PROGRAMMING/PROGRAMMING/PERSONAL/PYTHON/Image_Generator_API/imagenes/NAUTICA_MENS_V220252H_CLG_3.jpg")</f>
        <v/>
      </c>
      <c r="O3150">
        <f>HYPERLINK("imagenes/NAUTICA_MENS_V220252H_CLG_1.jpg","Ver imagen")</f>
        <v/>
      </c>
      <c r="P3150">
        <f>HYPERLINK("imagenes/NAUTICA_MENS_V220252H_CLG_2.jpg","Ver imagen")</f>
        <v/>
      </c>
      <c r="Q3150">
        <f>HYPERLINK("imagenes/NAUTICA_MENS_V220252H_CLG_3.jpg","Ver imagen")</f>
        <v/>
      </c>
    </row>
    <row r="3151">
      <c r="A3151" t="inlineStr">
        <is>
          <t>NAUTICA MENS</t>
        </is>
      </c>
      <c r="B3151" t="inlineStr">
        <is>
          <t>V220252H</t>
        </is>
      </c>
      <c r="C3151" t="inlineStr">
        <is>
          <t>POLY HOODED PARKA</t>
        </is>
      </c>
      <c r="D3151" t="inlineStr">
        <is>
          <t>CLG</t>
        </is>
      </c>
      <c r="E3151" t="inlineStr">
        <is>
          <t>(en blanco)</t>
        </is>
      </c>
      <c r="F3151" t="inlineStr">
        <is>
          <t>(en blanco)</t>
        </is>
      </c>
      <c r="G3151" t="inlineStr">
        <is>
          <t>L</t>
        </is>
      </c>
      <c r="H3151" t="n">
        <v>27</v>
      </c>
      <c r="I3151" t="inlineStr">
        <is>
          <t>NAUTICA_MENS_V220252H_CLG_1.jpg</t>
        </is>
      </c>
      <c r="J3151" t="inlineStr">
        <is>
          <t>NAUTICA_MENS_V220252H_CLG_2.jpg</t>
        </is>
      </c>
      <c r="K3151" t="inlineStr">
        <is>
          <t>NAUTICA_MENS_V220252H_CLG_3.jpg</t>
        </is>
      </c>
      <c r="L3151">
        <f>IMAGE("file:///E:/Estudios%20y%20certificaciones/ESTUDIOS%20DE%20PROGRAMMING/PROGRAMMING/PERSONAL/PYTHON/Image_Generator_API/imagenes/NAUTICA_MENS_V220252H_CLG_1.jpg")</f>
        <v/>
      </c>
      <c r="M3151">
        <f>IMAGE("file:///E:/Estudios%20y%20certificaciones/ESTUDIOS%20DE%20PROGRAMMING/PROGRAMMING/PERSONAL/PYTHON/Image_Generator_API/imagenes/NAUTICA_MENS_V220252H_CLG_2.jpg")</f>
        <v/>
      </c>
      <c r="N3151">
        <f>IMAGE("file:///E:/Estudios%20y%20certificaciones/ESTUDIOS%20DE%20PROGRAMMING/PROGRAMMING/PERSONAL/PYTHON/Image_Generator_API/imagenes/NAUTICA_MENS_V220252H_CLG_3.jpg")</f>
        <v/>
      </c>
      <c r="O3151">
        <f>HYPERLINK("imagenes/NAUTICA_MENS_V220252H_CLG_1.jpg","Ver imagen")</f>
        <v/>
      </c>
      <c r="P3151">
        <f>HYPERLINK("imagenes/NAUTICA_MENS_V220252H_CLG_2.jpg","Ver imagen")</f>
        <v/>
      </c>
      <c r="Q3151">
        <f>HYPERLINK("imagenes/NAUTICA_MENS_V220252H_CLG_3.jpg","Ver imagen")</f>
        <v/>
      </c>
    </row>
    <row r="3152">
      <c r="A3152" t="inlineStr">
        <is>
          <t>NAUTICA MENS</t>
        </is>
      </c>
      <c r="B3152" t="inlineStr">
        <is>
          <t>V220252H</t>
        </is>
      </c>
      <c r="C3152" t="inlineStr">
        <is>
          <t>POLY HOODED PARKA</t>
        </is>
      </c>
      <c r="D3152" t="inlineStr">
        <is>
          <t>CLG</t>
        </is>
      </c>
      <c r="E3152" t="inlineStr">
        <is>
          <t>(en blanco)</t>
        </is>
      </c>
      <c r="F3152" t="inlineStr">
        <is>
          <t>(en blanco)</t>
        </is>
      </c>
      <c r="G3152" t="inlineStr">
        <is>
          <t>XL</t>
        </is>
      </c>
      <c r="H3152" t="n">
        <v>4</v>
      </c>
      <c r="I3152" t="inlineStr">
        <is>
          <t>NAUTICA_MENS_V220252H_CLG_1.jpg</t>
        </is>
      </c>
      <c r="J3152" t="inlineStr">
        <is>
          <t>NAUTICA_MENS_V220252H_CLG_2.jpg</t>
        </is>
      </c>
      <c r="K3152" t="inlineStr">
        <is>
          <t>NAUTICA_MENS_V220252H_CLG_3.jpg</t>
        </is>
      </c>
      <c r="L3152">
        <f>IMAGE("file:///E:/Estudios%20y%20certificaciones/ESTUDIOS%20DE%20PROGRAMMING/PROGRAMMING/PERSONAL/PYTHON/Image_Generator_API/imagenes/NAUTICA_MENS_V220252H_CLG_1.jpg")</f>
        <v/>
      </c>
      <c r="M3152">
        <f>IMAGE("file:///E:/Estudios%20y%20certificaciones/ESTUDIOS%20DE%20PROGRAMMING/PROGRAMMING/PERSONAL/PYTHON/Image_Generator_API/imagenes/NAUTICA_MENS_V220252H_CLG_2.jpg")</f>
        <v/>
      </c>
      <c r="N3152">
        <f>IMAGE("file:///E:/Estudios%20y%20certificaciones/ESTUDIOS%20DE%20PROGRAMMING/PROGRAMMING/PERSONAL/PYTHON/Image_Generator_API/imagenes/NAUTICA_MENS_V220252H_CLG_3.jpg")</f>
        <v/>
      </c>
      <c r="O3152">
        <f>HYPERLINK("imagenes/NAUTICA_MENS_V220252H_CLG_1.jpg","Ver imagen")</f>
        <v/>
      </c>
      <c r="P3152">
        <f>HYPERLINK("imagenes/NAUTICA_MENS_V220252H_CLG_2.jpg","Ver imagen")</f>
        <v/>
      </c>
      <c r="Q3152">
        <f>HYPERLINK("imagenes/NAUTICA_MENS_V220252H_CLG_3.jpg","Ver imagen")</f>
        <v/>
      </c>
    </row>
    <row r="3153">
      <c r="A3153" t="inlineStr">
        <is>
          <t>NAUTICA MENS</t>
        </is>
      </c>
      <c r="B3153" t="inlineStr">
        <is>
          <t>V220252H</t>
        </is>
      </c>
      <c r="C3153" t="inlineStr">
        <is>
          <t>POLY HOODED PARKA</t>
        </is>
      </c>
      <c r="D3153" t="inlineStr">
        <is>
          <t>CLG</t>
        </is>
      </c>
      <c r="E3153" t="inlineStr">
        <is>
          <t>(en blanco)</t>
        </is>
      </c>
      <c r="F3153" t="inlineStr">
        <is>
          <t>(en blanco)</t>
        </is>
      </c>
      <c r="G3153" t="inlineStr">
        <is>
          <t>XXL</t>
        </is>
      </c>
      <c r="H3153" t="n">
        <v>4</v>
      </c>
      <c r="I3153" t="inlineStr">
        <is>
          <t>NAUTICA_MENS_V220252H_CLG_1.jpg</t>
        </is>
      </c>
      <c r="J3153" t="inlineStr">
        <is>
          <t>NAUTICA_MENS_V220252H_CLG_2.jpg</t>
        </is>
      </c>
      <c r="K3153" t="inlineStr">
        <is>
          <t>NAUTICA_MENS_V220252H_CLG_3.jpg</t>
        </is>
      </c>
      <c r="L3153">
        <f>IMAGE("file:///E:/Estudios%20y%20certificaciones/ESTUDIOS%20DE%20PROGRAMMING/PROGRAMMING/PERSONAL/PYTHON/Image_Generator_API/imagenes/NAUTICA_MENS_V220252H_CLG_1.jpg")</f>
        <v/>
      </c>
      <c r="M3153">
        <f>IMAGE("file:///E:/Estudios%20y%20certificaciones/ESTUDIOS%20DE%20PROGRAMMING/PROGRAMMING/PERSONAL/PYTHON/Image_Generator_API/imagenes/NAUTICA_MENS_V220252H_CLG_2.jpg")</f>
        <v/>
      </c>
      <c r="N3153">
        <f>IMAGE("file:///E:/Estudios%20y%20certificaciones/ESTUDIOS%20DE%20PROGRAMMING/PROGRAMMING/PERSONAL/PYTHON/Image_Generator_API/imagenes/NAUTICA_MENS_V220252H_CLG_3.jpg")</f>
        <v/>
      </c>
      <c r="O3153">
        <f>HYPERLINK("imagenes/NAUTICA_MENS_V220252H_CLG_1.jpg","Ver imagen")</f>
        <v/>
      </c>
      <c r="P3153">
        <f>HYPERLINK("imagenes/NAUTICA_MENS_V220252H_CLG_2.jpg","Ver imagen")</f>
        <v/>
      </c>
      <c r="Q3153">
        <f>HYPERLINK("imagenes/NAUTICA_MENS_V220252H_CLG_3.jpg","Ver imagen")</f>
        <v/>
      </c>
    </row>
    <row r="3154">
      <c r="A3154" t="inlineStr">
        <is>
          <t>NAUTICA MENS</t>
        </is>
      </c>
      <c r="B3154" t="inlineStr">
        <is>
          <t>V220252H</t>
        </is>
      </c>
      <c r="C3154" t="inlineStr">
        <is>
          <t>POLY HOODED PARKA</t>
        </is>
      </c>
      <c r="D3154" t="inlineStr">
        <is>
          <t>HGY</t>
        </is>
      </c>
      <c r="E3154" t="inlineStr">
        <is>
          <t>(en blanco)</t>
        </is>
      </c>
      <c r="F3154" t="inlineStr">
        <is>
          <t>(en blanco)</t>
        </is>
      </c>
      <c r="G3154" t="inlineStr">
        <is>
          <t>S</t>
        </is>
      </c>
      <c r="H3154" t="n">
        <v>4</v>
      </c>
      <c r="I3154" t="inlineStr">
        <is>
          <t>NAUTICA_MENS_V220252H_HGY_1.jpg</t>
        </is>
      </c>
      <c r="J3154" t="inlineStr">
        <is>
          <t>NAUTICA_MENS_V220252H_HGY_2.jpg</t>
        </is>
      </c>
      <c r="K3154" t="inlineStr">
        <is>
          <t>NAUTICA_MENS_V220252H_HGY_3.jpg</t>
        </is>
      </c>
      <c r="L3154">
        <f>IMAGE("file:///E:/Estudios%20y%20certificaciones/ESTUDIOS%20DE%20PROGRAMMING/PROGRAMMING/PERSONAL/PYTHON/Image_Generator_API/imagenes/NAUTICA_MENS_V220252H_HGY_1.jpg")</f>
        <v/>
      </c>
      <c r="M3154">
        <f>IMAGE("file:///E:/Estudios%20y%20certificaciones/ESTUDIOS%20DE%20PROGRAMMING/PROGRAMMING/PERSONAL/PYTHON/Image_Generator_API/imagenes/NAUTICA_MENS_V220252H_HGY_2.jpg")</f>
        <v/>
      </c>
      <c r="N3154">
        <f>IMAGE("file:///E:/Estudios%20y%20certificaciones/ESTUDIOS%20DE%20PROGRAMMING/PROGRAMMING/PERSONAL/PYTHON/Image_Generator_API/imagenes/NAUTICA_MENS_V220252H_HGY_3.jpg")</f>
        <v/>
      </c>
      <c r="O3154">
        <f>HYPERLINK("imagenes/NAUTICA_MENS_V220252H_HGY_1.jpg","Ver imagen")</f>
        <v/>
      </c>
      <c r="P3154">
        <f>HYPERLINK("imagenes/NAUTICA_MENS_V220252H_HGY_2.jpg","Ver imagen")</f>
        <v/>
      </c>
      <c r="Q3154">
        <f>HYPERLINK("imagenes/NAUTICA_MENS_V220252H_HGY_3.jpg","Ver imagen")</f>
        <v/>
      </c>
    </row>
    <row r="3155">
      <c r="A3155" t="inlineStr">
        <is>
          <t>NAUTICA MENS</t>
        </is>
      </c>
      <c r="B3155" t="inlineStr">
        <is>
          <t>V220252H</t>
        </is>
      </c>
      <c r="C3155" t="inlineStr">
        <is>
          <t>POLY HOODED PARKA</t>
        </is>
      </c>
      <c r="D3155" t="inlineStr">
        <is>
          <t>HGY</t>
        </is>
      </c>
      <c r="E3155" t="inlineStr">
        <is>
          <t>(en blanco)</t>
        </is>
      </c>
      <c r="F3155" t="inlineStr">
        <is>
          <t>(en blanco)</t>
        </is>
      </c>
      <c r="G3155" t="inlineStr">
        <is>
          <t>M</t>
        </is>
      </c>
      <c r="H3155" t="n">
        <v>7</v>
      </c>
      <c r="I3155" t="inlineStr">
        <is>
          <t>NAUTICA_MENS_V220252H_HGY_1.jpg</t>
        </is>
      </c>
      <c r="J3155" t="inlineStr">
        <is>
          <t>NAUTICA_MENS_V220252H_HGY_2.jpg</t>
        </is>
      </c>
      <c r="K3155" t="inlineStr">
        <is>
          <t>NAUTICA_MENS_V220252H_HGY_3.jpg</t>
        </is>
      </c>
      <c r="L3155">
        <f>IMAGE("file:///E:/Estudios%20y%20certificaciones/ESTUDIOS%20DE%20PROGRAMMING/PROGRAMMING/PERSONAL/PYTHON/Image_Generator_API/imagenes/NAUTICA_MENS_V220252H_HGY_1.jpg")</f>
        <v/>
      </c>
      <c r="M3155">
        <f>IMAGE("file:///E:/Estudios%20y%20certificaciones/ESTUDIOS%20DE%20PROGRAMMING/PROGRAMMING/PERSONAL/PYTHON/Image_Generator_API/imagenes/NAUTICA_MENS_V220252H_HGY_2.jpg")</f>
        <v/>
      </c>
      <c r="N3155">
        <f>IMAGE("file:///E:/Estudios%20y%20certificaciones/ESTUDIOS%20DE%20PROGRAMMING/PROGRAMMING/PERSONAL/PYTHON/Image_Generator_API/imagenes/NAUTICA_MENS_V220252H_HGY_3.jpg")</f>
        <v/>
      </c>
      <c r="O3155">
        <f>HYPERLINK("imagenes/NAUTICA_MENS_V220252H_HGY_1.jpg","Ver imagen")</f>
        <v/>
      </c>
      <c r="P3155">
        <f>HYPERLINK("imagenes/NAUTICA_MENS_V220252H_HGY_2.jpg","Ver imagen")</f>
        <v/>
      </c>
      <c r="Q3155">
        <f>HYPERLINK("imagenes/NAUTICA_MENS_V220252H_HGY_3.jpg","Ver imagen")</f>
        <v/>
      </c>
    </row>
    <row r="3156">
      <c r="A3156" t="inlineStr">
        <is>
          <t>NAUTICA MENS</t>
        </is>
      </c>
      <c r="B3156" t="inlineStr">
        <is>
          <t>V220252H</t>
        </is>
      </c>
      <c r="C3156" t="inlineStr">
        <is>
          <t>POLY HOODED PARKA</t>
        </is>
      </c>
      <c r="D3156" t="inlineStr">
        <is>
          <t>HGY</t>
        </is>
      </c>
      <c r="E3156" t="inlineStr">
        <is>
          <t>(en blanco)</t>
        </is>
      </c>
      <c r="F3156" t="inlineStr">
        <is>
          <t>(en blanco)</t>
        </is>
      </c>
      <c r="G3156" t="inlineStr">
        <is>
          <t>L</t>
        </is>
      </c>
      <c r="H3156" t="n">
        <v>8</v>
      </c>
      <c r="I3156" t="inlineStr">
        <is>
          <t>NAUTICA_MENS_V220252H_HGY_1.jpg</t>
        </is>
      </c>
      <c r="J3156" t="inlineStr">
        <is>
          <t>NAUTICA_MENS_V220252H_HGY_2.jpg</t>
        </is>
      </c>
      <c r="K3156" t="inlineStr">
        <is>
          <t>NAUTICA_MENS_V220252H_HGY_3.jpg</t>
        </is>
      </c>
      <c r="L3156">
        <f>IMAGE("file:///E:/Estudios%20y%20certificaciones/ESTUDIOS%20DE%20PROGRAMMING/PROGRAMMING/PERSONAL/PYTHON/Image_Generator_API/imagenes/NAUTICA_MENS_V220252H_HGY_1.jpg")</f>
        <v/>
      </c>
      <c r="M3156">
        <f>IMAGE("file:///E:/Estudios%20y%20certificaciones/ESTUDIOS%20DE%20PROGRAMMING/PROGRAMMING/PERSONAL/PYTHON/Image_Generator_API/imagenes/NAUTICA_MENS_V220252H_HGY_2.jpg")</f>
        <v/>
      </c>
      <c r="N3156">
        <f>IMAGE("file:///E:/Estudios%20y%20certificaciones/ESTUDIOS%20DE%20PROGRAMMING/PROGRAMMING/PERSONAL/PYTHON/Image_Generator_API/imagenes/NAUTICA_MENS_V220252H_HGY_3.jpg")</f>
        <v/>
      </c>
      <c r="O3156">
        <f>HYPERLINK("imagenes/NAUTICA_MENS_V220252H_HGY_1.jpg","Ver imagen")</f>
        <v/>
      </c>
      <c r="P3156">
        <f>HYPERLINK("imagenes/NAUTICA_MENS_V220252H_HGY_2.jpg","Ver imagen")</f>
        <v/>
      </c>
      <c r="Q3156">
        <f>HYPERLINK("imagenes/NAUTICA_MENS_V220252H_HGY_3.jpg","Ver imagen")</f>
        <v/>
      </c>
    </row>
    <row r="3157">
      <c r="A3157" t="inlineStr">
        <is>
          <t>NAUTICA MENS</t>
        </is>
      </c>
      <c r="B3157" t="inlineStr">
        <is>
          <t>V220252H</t>
        </is>
      </c>
      <c r="C3157" t="inlineStr">
        <is>
          <t>POLY HOODED PARKA</t>
        </is>
      </c>
      <c r="D3157" t="inlineStr">
        <is>
          <t>HGY</t>
        </is>
      </c>
      <c r="E3157" t="inlineStr">
        <is>
          <t>(en blanco)</t>
        </is>
      </c>
      <c r="F3157" t="inlineStr">
        <is>
          <t>(en blanco)</t>
        </is>
      </c>
      <c r="G3157" t="inlineStr">
        <is>
          <t>XXL</t>
        </is>
      </c>
      <c r="H3157" t="n">
        <v>1</v>
      </c>
      <c r="I3157" t="inlineStr">
        <is>
          <t>NAUTICA_MENS_V220252H_HGY_1.jpg</t>
        </is>
      </c>
      <c r="J3157" t="inlineStr">
        <is>
          <t>NAUTICA_MENS_V220252H_HGY_2.jpg</t>
        </is>
      </c>
      <c r="K3157" t="inlineStr">
        <is>
          <t>NAUTICA_MENS_V220252H_HGY_3.jpg</t>
        </is>
      </c>
      <c r="L3157">
        <f>IMAGE("file:///E:/Estudios%20y%20certificaciones/ESTUDIOS%20DE%20PROGRAMMING/PROGRAMMING/PERSONAL/PYTHON/Image_Generator_API/imagenes/NAUTICA_MENS_V220252H_HGY_1.jpg")</f>
        <v/>
      </c>
      <c r="M3157">
        <f>IMAGE("file:///E:/Estudios%20y%20certificaciones/ESTUDIOS%20DE%20PROGRAMMING/PROGRAMMING/PERSONAL/PYTHON/Image_Generator_API/imagenes/NAUTICA_MENS_V220252H_HGY_2.jpg")</f>
        <v/>
      </c>
      <c r="N3157">
        <f>IMAGE("file:///E:/Estudios%20y%20certificaciones/ESTUDIOS%20DE%20PROGRAMMING/PROGRAMMING/PERSONAL/PYTHON/Image_Generator_API/imagenes/NAUTICA_MENS_V220252H_HGY_3.jpg")</f>
        <v/>
      </c>
      <c r="O3157">
        <f>HYPERLINK("imagenes/NAUTICA_MENS_V220252H_HGY_1.jpg","Ver imagen")</f>
        <v/>
      </c>
      <c r="P3157">
        <f>HYPERLINK("imagenes/NAUTICA_MENS_V220252H_HGY_2.jpg","Ver imagen")</f>
        <v/>
      </c>
      <c r="Q3157">
        <f>HYPERLINK("imagenes/NAUTICA_MENS_V220252H_HGY_3.jpg","Ver imagen")</f>
        <v/>
      </c>
    </row>
    <row r="3158">
      <c r="A3158" t="inlineStr">
        <is>
          <t>NAUTICA MENS</t>
        </is>
      </c>
      <c r="B3158" t="inlineStr">
        <is>
          <t>V220252H</t>
        </is>
      </c>
      <c r="C3158" t="inlineStr">
        <is>
          <t>POLY HOODED PARKA</t>
        </is>
      </c>
      <c r="D3158" t="inlineStr">
        <is>
          <t>NVY</t>
        </is>
      </c>
      <c r="E3158" t="inlineStr">
        <is>
          <t>12A08</t>
        </is>
      </c>
      <c r="F3158" t="inlineStr">
        <is>
          <t>(en blanco)</t>
        </is>
      </c>
      <c r="G3158" t="inlineStr">
        <is>
          <t>AST</t>
        </is>
      </c>
      <c r="H3158" t="n">
        <v>1404</v>
      </c>
      <c r="I3158" t="inlineStr">
        <is>
          <t>NAUTICA_MENS_V220252H_NVY_1.jpg</t>
        </is>
      </c>
      <c r="J3158" t="inlineStr">
        <is>
          <t>NAUTICA_MENS_V220252H_NVY_2.jpg</t>
        </is>
      </c>
      <c r="K3158" t="inlineStr">
        <is>
          <t>NAUTICA_MENS_V220252H_NVY_3.jpg</t>
        </is>
      </c>
      <c r="L3158">
        <f>IMAGE("file:///E:/Estudios%20y%20certificaciones/ESTUDIOS%20DE%20PROGRAMMING/PROGRAMMING/PERSONAL/PYTHON/Image_Generator_API/imagenes/NAUTICA_MENS_V220252H_NVY_1.jpg")</f>
        <v/>
      </c>
      <c r="M3158">
        <f>IMAGE("file:///E:/Estudios%20y%20certificaciones/ESTUDIOS%20DE%20PROGRAMMING/PROGRAMMING/PERSONAL/PYTHON/Image_Generator_API/imagenes/NAUTICA_MENS_V220252H_NVY_2.jpg")</f>
        <v/>
      </c>
      <c r="N3158">
        <f>IMAGE("file:///E:/Estudios%20y%20certificaciones/ESTUDIOS%20DE%20PROGRAMMING/PROGRAMMING/PERSONAL/PYTHON/Image_Generator_API/imagenes/NAUTICA_MENS_V220252H_NVY_3.jpg")</f>
        <v/>
      </c>
      <c r="O3158">
        <f>HYPERLINK("imagenes/NAUTICA_MENS_V220252H_NVY_1.jpg","Ver imagen")</f>
        <v/>
      </c>
      <c r="P3158">
        <f>HYPERLINK("imagenes/NAUTICA_MENS_V220252H_NVY_2.jpg","Ver imagen")</f>
        <v/>
      </c>
      <c r="Q3158">
        <f>HYPERLINK("imagenes/NAUTICA_MENS_V220252H_NVY_3.jpg","Ver imagen")</f>
        <v/>
      </c>
    </row>
    <row r="3159">
      <c r="A3159" t="inlineStr">
        <is>
          <t>NAUTICA MENS</t>
        </is>
      </c>
      <c r="B3159" t="inlineStr">
        <is>
          <t>V220252H</t>
        </is>
      </c>
      <c r="C3159" t="inlineStr">
        <is>
          <t>POLY HOODED PARKA</t>
        </is>
      </c>
      <c r="D3159" t="inlineStr">
        <is>
          <t>NVY</t>
        </is>
      </c>
      <c r="E3159" t="inlineStr">
        <is>
          <t>(en blanco)</t>
        </is>
      </c>
      <c r="F3159" t="inlineStr">
        <is>
          <t>(en blanco)</t>
        </is>
      </c>
      <c r="G3159" t="inlineStr">
        <is>
          <t>S</t>
        </is>
      </c>
      <c r="H3159" t="n">
        <v>20</v>
      </c>
      <c r="I3159" t="inlineStr">
        <is>
          <t>NAUTICA_MENS_V220252H_NVY_1.jpg</t>
        </is>
      </c>
      <c r="J3159" t="inlineStr">
        <is>
          <t>NAUTICA_MENS_V220252H_NVY_2.jpg</t>
        </is>
      </c>
      <c r="K3159" t="inlineStr">
        <is>
          <t>NAUTICA_MENS_V220252H_NVY_3.jpg</t>
        </is>
      </c>
      <c r="L3159">
        <f>IMAGE("file:///E:/Estudios%20y%20certificaciones/ESTUDIOS%20DE%20PROGRAMMING/PROGRAMMING/PERSONAL/PYTHON/Image_Generator_API/imagenes/NAUTICA_MENS_V220252H_NVY_1.jpg")</f>
        <v/>
      </c>
      <c r="M3159">
        <f>IMAGE("file:///E:/Estudios%20y%20certificaciones/ESTUDIOS%20DE%20PROGRAMMING/PROGRAMMING/PERSONAL/PYTHON/Image_Generator_API/imagenes/NAUTICA_MENS_V220252H_NVY_2.jpg")</f>
        <v/>
      </c>
      <c r="N3159">
        <f>IMAGE("file:///E:/Estudios%20y%20certificaciones/ESTUDIOS%20DE%20PROGRAMMING/PROGRAMMING/PERSONAL/PYTHON/Image_Generator_API/imagenes/NAUTICA_MENS_V220252H_NVY_3.jpg")</f>
        <v/>
      </c>
      <c r="O3159">
        <f>HYPERLINK("imagenes/NAUTICA_MENS_V220252H_NVY_1.jpg","Ver imagen")</f>
        <v/>
      </c>
      <c r="P3159">
        <f>HYPERLINK("imagenes/NAUTICA_MENS_V220252H_NVY_2.jpg","Ver imagen")</f>
        <v/>
      </c>
      <c r="Q3159">
        <f>HYPERLINK("imagenes/NAUTICA_MENS_V220252H_NVY_3.jpg","Ver imagen")</f>
        <v/>
      </c>
    </row>
    <row r="3160">
      <c r="A3160" t="inlineStr">
        <is>
          <t>NAUTICA MENS</t>
        </is>
      </c>
      <c r="B3160" t="inlineStr">
        <is>
          <t>V220252H</t>
        </is>
      </c>
      <c r="C3160" t="inlineStr">
        <is>
          <t>POLY HOODED PARKA</t>
        </is>
      </c>
      <c r="D3160" t="inlineStr">
        <is>
          <t>NVY</t>
        </is>
      </c>
      <c r="E3160" t="inlineStr">
        <is>
          <t>(en blanco)</t>
        </is>
      </c>
      <c r="F3160" t="inlineStr">
        <is>
          <t>(en blanco)</t>
        </is>
      </c>
      <c r="G3160" t="inlineStr">
        <is>
          <t>M</t>
        </is>
      </c>
      <c r="H3160" t="n">
        <v>40</v>
      </c>
      <c r="I3160" t="inlineStr">
        <is>
          <t>NAUTICA_MENS_V220252H_NVY_1.jpg</t>
        </is>
      </c>
      <c r="J3160" t="inlineStr">
        <is>
          <t>NAUTICA_MENS_V220252H_NVY_2.jpg</t>
        </is>
      </c>
      <c r="K3160" t="inlineStr">
        <is>
          <t>NAUTICA_MENS_V220252H_NVY_3.jpg</t>
        </is>
      </c>
      <c r="L3160">
        <f>IMAGE("file:///E:/Estudios%20y%20certificaciones/ESTUDIOS%20DE%20PROGRAMMING/PROGRAMMING/PERSONAL/PYTHON/Image_Generator_API/imagenes/NAUTICA_MENS_V220252H_NVY_1.jpg")</f>
        <v/>
      </c>
      <c r="M3160">
        <f>IMAGE("file:///E:/Estudios%20y%20certificaciones/ESTUDIOS%20DE%20PROGRAMMING/PROGRAMMING/PERSONAL/PYTHON/Image_Generator_API/imagenes/NAUTICA_MENS_V220252H_NVY_2.jpg")</f>
        <v/>
      </c>
      <c r="N3160">
        <f>IMAGE("file:///E:/Estudios%20y%20certificaciones/ESTUDIOS%20DE%20PROGRAMMING/PROGRAMMING/PERSONAL/PYTHON/Image_Generator_API/imagenes/NAUTICA_MENS_V220252H_NVY_3.jpg")</f>
        <v/>
      </c>
      <c r="O3160">
        <f>HYPERLINK("imagenes/NAUTICA_MENS_V220252H_NVY_1.jpg","Ver imagen")</f>
        <v/>
      </c>
      <c r="P3160">
        <f>HYPERLINK("imagenes/NAUTICA_MENS_V220252H_NVY_2.jpg","Ver imagen")</f>
        <v/>
      </c>
      <c r="Q3160">
        <f>HYPERLINK("imagenes/NAUTICA_MENS_V220252H_NVY_3.jpg","Ver imagen")</f>
        <v/>
      </c>
    </row>
    <row r="3161">
      <c r="A3161" t="inlineStr">
        <is>
          <t>NAUTICA MENS</t>
        </is>
      </c>
      <c r="B3161" t="inlineStr">
        <is>
          <t>V220252H</t>
        </is>
      </c>
      <c r="C3161" t="inlineStr">
        <is>
          <t>POLY HOODED PARKA</t>
        </is>
      </c>
      <c r="D3161" t="inlineStr">
        <is>
          <t>NVY</t>
        </is>
      </c>
      <c r="E3161" t="inlineStr">
        <is>
          <t>(en blanco)</t>
        </is>
      </c>
      <c r="F3161" t="inlineStr">
        <is>
          <t>(en blanco)</t>
        </is>
      </c>
      <c r="G3161" t="inlineStr">
        <is>
          <t>L</t>
        </is>
      </c>
      <c r="H3161" t="n">
        <v>45</v>
      </c>
      <c r="I3161" t="inlineStr">
        <is>
          <t>NAUTICA_MENS_V220252H_NVY_1.jpg</t>
        </is>
      </c>
      <c r="J3161" t="inlineStr">
        <is>
          <t>NAUTICA_MENS_V220252H_NVY_2.jpg</t>
        </is>
      </c>
      <c r="K3161" t="inlineStr">
        <is>
          <t>NAUTICA_MENS_V220252H_NVY_3.jpg</t>
        </is>
      </c>
      <c r="L3161">
        <f>IMAGE("file:///E:/Estudios%20y%20certificaciones/ESTUDIOS%20DE%20PROGRAMMING/PROGRAMMING/PERSONAL/PYTHON/Image_Generator_API/imagenes/NAUTICA_MENS_V220252H_NVY_1.jpg")</f>
        <v/>
      </c>
      <c r="M3161">
        <f>IMAGE("file:///E:/Estudios%20y%20certificaciones/ESTUDIOS%20DE%20PROGRAMMING/PROGRAMMING/PERSONAL/PYTHON/Image_Generator_API/imagenes/NAUTICA_MENS_V220252H_NVY_2.jpg")</f>
        <v/>
      </c>
      <c r="N3161">
        <f>IMAGE("file:///E:/Estudios%20y%20certificaciones/ESTUDIOS%20DE%20PROGRAMMING/PROGRAMMING/PERSONAL/PYTHON/Image_Generator_API/imagenes/NAUTICA_MENS_V220252H_NVY_3.jpg")</f>
        <v/>
      </c>
      <c r="O3161">
        <f>HYPERLINK("imagenes/NAUTICA_MENS_V220252H_NVY_1.jpg","Ver imagen")</f>
        <v/>
      </c>
      <c r="P3161">
        <f>HYPERLINK("imagenes/NAUTICA_MENS_V220252H_NVY_2.jpg","Ver imagen")</f>
        <v/>
      </c>
      <c r="Q3161">
        <f>HYPERLINK("imagenes/NAUTICA_MENS_V220252H_NVY_3.jpg","Ver imagen")</f>
        <v/>
      </c>
    </row>
    <row r="3162">
      <c r="A3162" t="inlineStr">
        <is>
          <t>NAUTICA MENS</t>
        </is>
      </c>
      <c r="B3162" t="inlineStr">
        <is>
          <t>V220252H</t>
        </is>
      </c>
      <c r="C3162" t="inlineStr">
        <is>
          <t>POLY HOODED PARKA</t>
        </is>
      </c>
      <c r="D3162" t="inlineStr">
        <is>
          <t>NVY</t>
        </is>
      </c>
      <c r="E3162" t="inlineStr">
        <is>
          <t>(en blanco)</t>
        </is>
      </c>
      <c r="F3162" t="inlineStr">
        <is>
          <t>(en blanco)</t>
        </is>
      </c>
      <c r="G3162" t="inlineStr">
        <is>
          <t>XL</t>
        </is>
      </c>
      <c r="H3162" t="n">
        <v>14</v>
      </c>
      <c r="I3162" t="inlineStr">
        <is>
          <t>NAUTICA_MENS_V220252H_NVY_1.jpg</t>
        </is>
      </c>
      <c r="J3162" t="inlineStr">
        <is>
          <t>NAUTICA_MENS_V220252H_NVY_2.jpg</t>
        </is>
      </c>
      <c r="K3162" t="inlineStr">
        <is>
          <t>NAUTICA_MENS_V220252H_NVY_3.jpg</t>
        </is>
      </c>
      <c r="L3162">
        <f>IMAGE("file:///E:/Estudios%20y%20certificaciones/ESTUDIOS%20DE%20PROGRAMMING/PROGRAMMING/PERSONAL/PYTHON/Image_Generator_API/imagenes/NAUTICA_MENS_V220252H_NVY_1.jpg")</f>
        <v/>
      </c>
      <c r="M3162">
        <f>IMAGE("file:///E:/Estudios%20y%20certificaciones/ESTUDIOS%20DE%20PROGRAMMING/PROGRAMMING/PERSONAL/PYTHON/Image_Generator_API/imagenes/NAUTICA_MENS_V220252H_NVY_2.jpg")</f>
        <v/>
      </c>
      <c r="N3162">
        <f>IMAGE("file:///E:/Estudios%20y%20certificaciones/ESTUDIOS%20DE%20PROGRAMMING/PROGRAMMING/PERSONAL/PYTHON/Image_Generator_API/imagenes/NAUTICA_MENS_V220252H_NVY_3.jpg")</f>
        <v/>
      </c>
      <c r="O3162">
        <f>HYPERLINK("imagenes/NAUTICA_MENS_V220252H_NVY_1.jpg","Ver imagen")</f>
        <v/>
      </c>
      <c r="P3162">
        <f>HYPERLINK("imagenes/NAUTICA_MENS_V220252H_NVY_2.jpg","Ver imagen")</f>
        <v/>
      </c>
      <c r="Q3162">
        <f>HYPERLINK("imagenes/NAUTICA_MENS_V220252H_NVY_3.jpg","Ver imagen")</f>
        <v/>
      </c>
    </row>
    <row r="3163">
      <c r="A3163" t="inlineStr">
        <is>
          <t>NAUTICA MENS</t>
        </is>
      </c>
      <c r="B3163" t="inlineStr">
        <is>
          <t>V220252H</t>
        </is>
      </c>
      <c r="C3163" t="inlineStr">
        <is>
          <t>POLY HOODED PARKA</t>
        </is>
      </c>
      <c r="D3163" t="inlineStr">
        <is>
          <t>NVY</t>
        </is>
      </c>
      <c r="E3163" t="inlineStr">
        <is>
          <t>(en blanco)</t>
        </is>
      </c>
      <c r="F3163" t="inlineStr">
        <is>
          <t>(en blanco)</t>
        </is>
      </c>
      <c r="G3163" t="inlineStr">
        <is>
          <t>XXL</t>
        </is>
      </c>
      <c r="H3163" t="n">
        <v>8</v>
      </c>
      <c r="I3163" t="inlineStr">
        <is>
          <t>NAUTICA_MENS_V220252H_NVY_1.jpg</t>
        </is>
      </c>
      <c r="J3163" t="inlineStr">
        <is>
          <t>NAUTICA_MENS_V220252H_NVY_2.jpg</t>
        </is>
      </c>
      <c r="K3163" t="inlineStr">
        <is>
          <t>NAUTICA_MENS_V220252H_NVY_3.jpg</t>
        </is>
      </c>
      <c r="L3163">
        <f>IMAGE("file:///E:/Estudios%20y%20certificaciones/ESTUDIOS%20DE%20PROGRAMMING/PROGRAMMING/PERSONAL/PYTHON/Image_Generator_API/imagenes/NAUTICA_MENS_V220252H_NVY_1.jpg")</f>
        <v/>
      </c>
      <c r="M3163">
        <f>IMAGE("file:///E:/Estudios%20y%20certificaciones/ESTUDIOS%20DE%20PROGRAMMING/PROGRAMMING/PERSONAL/PYTHON/Image_Generator_API/imagenes/NAUTICA_MENS_V220252H_NVY_2.jpg")</f>
        <v/>
      </c>
      <c r="N3163">
        <f>IMAGE("file:///E:/Estudios%20y%20certificaciones/ESTUDIOS%20DE%20PROGRAMMING/PROGRAMMING/PERSONAL/PYTHON/Image_Generator_API/imagenes/NAUTICA_MENS_V220252H_NVY_3.jpg")</f>
        <v/>
      </c>
      <c r="O3163">
        <f>HYPERLINK("imagenes/NAUTICA_MENS_V220252H_NVY_1.jpg","Ver imagen")</f>
        <v/>
      </c>
      <c r="P3163">
        <f>HYPERLINK("imagenes/NAUTICA_MENS_V220252H_NVY_2.jpg","Ver imagen")</f>
        <v/>
      </c>
      <c r="Q3163">
        <f>HYPERLINK("imagenes/NAUTICA_MENS_V220252H_NVY_3.jpg","Ver imagen")</f>
        <v/>
      </c>
    </row>
    <row r="3164">
      <c r="A3164" t="inlineStr">
        <is>
          <t>NAUTICA MENS</t>
        </is>
      </c>
      <c r="B3164" t="inlineStr">
        <is>
          <t>V220252H</t>
        </is>
      </c>
      <c r="C3164" t="inlineStr">
        <is>
          <t>POLY HOODED PARKA</t>
        </is>
      </c>
      <c r="D3164" t="inlineStr">
        <is>
          <t>OLB</t>
        </is>
      </c>
      <c r="E3164" t="inlineStr">
        <is>
          <t>(en blanco)</t>
        </is>
      </c>
      <c r="F3164" t="inlineStr">
        <is>
          <t>(en blanco)</t>
        </is>
      </c>
      <c r="G3164" t="inlineStr">
        <is>
          <t>S</t>
        </is>
      </c>
      <c r="H3164" t="n">
        <v>4</v>
      </c>
      <c r="I3164" t="inlineStr">
        <is>
          <t>NAUTICA_MENS_V220252H_OLB_1.jpg</t>
        </is>
      </c>
      <c r="J3164" t="inlineStr">
        <is>
          <t>NAUTICA_MENS_V220252H_OLB_2.jpg</t>
        </is>
      </c>
      <c r="K3164" t="inlineStr">
        <is>
          <t>NAUTICA_MENS_V220252H_OLB_3.jpg</t>
        </is>
      </c>
      <c r="L3164">
        <f>IMAGE("file:///E:/Estudios%20y%20certificaciones/ESTUDIOS%20DE%20PROGRAMMING/PROGRAMMING/PERSONAL/PYTHON/Image_Generator_API/imagenes/NAUTICA_MENS_V220252H_OLB_1.jpg")</f>
        <v/>
      </c>
      <c r="M3164">
        <f>IMAGE("file:///E:/Estudios%20y%20certificaciones/ESTUDIOS%20DE%20PROGRAMMING/PROGRAMMING/PERSONAL/PYTHON/Image_Generator_API/imagenes/NAUTICA_MENS_V220252H_OLB_2.jpg")</f>
        <v/>
      </c>
      <c r="N3164">
        <f>IMAGE("file:///E:/Estudios%20y%20certificaciones/ESTUDIOS%20DE%20PROGRAMMING/PROGRAMMING/PERSONAL/PYTHON/Image_Generator_API/imagenes/NAUTICA_MENS_V220252H_OLB_3.jpg")</f>
        <v/>
      </c>
      <c r="O3164">
        <f>HYPERLINK("imagenes/NAUTICA_MENS_V220252H_OLB_1.jpg","Ver imagen")</f>
        <v/>
      </c>
      <c r="P3164">
        <f>HYPERLINK("imagenes/NAUTICA_MENS_V220252H_OLB_2.jpg","Ver imagen")</f>
        <v/>
      </c>
      <c r="Q3164">
        <f>HYPERLINK("imagenes/NAUTICA_MENS_V220252H_OLB_3.jpg","Ver imagen")</f>
        <v/>
      </c>
    </row>
    <row r="3165">
      <c r="A3165" t="inlineStr">
        <is>
          <t>NAUTICA MENS</t>
        </is>
      </c>
      <c r="B3165" t="inlineStr">
        <is>
          <t>V220252H</t>
        </is>
      </c>
      <c r="C3165" t="inlineStr">
        <is>
          <t>POLY HOODED PARKA</t>
        </is>
      </c>
      <c r="D3165" t="inlineStr">
        <is>
          <t>OLB</t>
        </is>
      </c>
      <c r="E3165" t="inlineStr">
        <is>
          <t>(en blanco)</t>
        </is>
      </c>
      <c r="F3165" t="inlineStr">
        <is>
          <t>(en blanco)</t>
        </is>
      </c>
      <c r="G3165" t="inlineStr">
        <is>
          <t>M</t>
        </is>
      </c>
      <c r="H3165" t="n">
        <v>7</v>
      </c>
      <c r="I3165" t="inlineStr">
        <is>
          <t>NAUTICA_MENS_V220252H_OLB_1.jpg</t>
        </is>
      </c>
      <c r="J3165" t="inlineStr">
        <is>
          <t>NAUTICA_MENS_V220252H_OLB_2.jpg</t>
        </is>
      </c>
      <c r="K3165" t="inlineStr">
        <is>
          <t>NAUTICA_MENS_V220252H_OLB_3.jpg</t>
        </is>
      </c>
      <c r="L3165">
        <f>IMAGE("file:///E:/Estudios%20y%20certificaciones/ESTUDIOS%20DE%20PROGRAMMING/PROGRAMMING/PERSONAL/PYTHON/Image_Generator_API/imagenes/NAUTICA_MENS_V220252H_OLB_1.jpg")</f>
        <v/>
      </c>
      <c r="M3165">
        <f>IMAGE("file:///E:/Estudios%20y%20certificaciones/ESTUDIOS%20DE%20PROGRAMMING/PROGRAMMING/PERSONAL/PYTHON/Image_Generator_API/imagenes/NAUTICA_MENS_V220252H_OLB_2.jpg")</f>
        <v/>
      </c>
      <c r="N3165">
        <f>IMAGE("file:///E:/Estudios%20y%20certificaciones/ESTUDIOS%20DE%20PROGRAMMING/PROGRAMMING/PERSONAL/PYTHON/Image_Generator_API/imagenes/NAUTICA_MENS_V220252H_OLB_3.jpg")</f>
        <v/>
      </c>
      <c r="O3165">
        <f>HYPERLINK("imagenes/NAUTICA_MENS_V220252H_OLB_1.jpg","Ver imagen")</f>
        <v/>
      </c>
      <c r="P3165">
        <f>HYPERLINK("imagenes/NAUTICA_MENS_V220252H_OLB_2.jpg","Ver imagen")</f>
        <v/>
      </c>
      <c r="Q3165">
        <f>HYPERLINK("imagenes/NAUTICA_MENS_V220252H_OLB_3.jpg","Ver imagen")</f>
        <v/>
      </c>
    </row>
    <row r="3166">
      <c r="A3166" t="inlineStr">
        <is>
          <t>NAUTICA MENS</t>
        </is>
      </c>
      <c r="B3166" t="inlineStr">
        <is>
          <t>V220252H</t>
        </is>
      </c>
      <c r="C3166" t="inlineStr">
        <is>
          <t>POLY HOODED PARKA</t>
        </is>
      </c>
      <c r="D3166" t="inlineStr">
        <is>
          <t>OLB</t>
        </is>
      </c>
      <c r="E3166" t="inlineStr">
        <is>
          <t>(en blanco)</t>
        </is>
      </c>
      <c r="F3166" t="inlineStr">
        <is>
          <t>(en blanco)</t>
        </is>
      </c>
      <c r="G3166" t="inlineStr">
        <is>
          <t>L</t>
        </is>
      </c>
      <c r="H3166" t="n">
        <v>7</v>
      </c>
      <c r="I3166" t="inlineStr">
        <is>
          <t>NAUTICA_MENS_V220252H_OLB_1.jpg</t>
        </is>
      </c>
      <c r="J3166" t="inlineStr">
        <is>
          <t>NAUTICA_MENS_V220252H_OLB_2.jpg</t>
        </is>
      </c>
      <c r="K3166" t="inlineStr">
        <is>
          <t>NAUTICA_MENS_V220252H_OLB_3.jpg</t>
        </is>
      </c>
      <c r="L3166">
        <f>IMAGE("file:///E:/Estudios%20y%20certificaciones/ESTUDIOS%20DE%20PROGRAMMING/PROGRAMMING/PERSONAL/PYTHON/Image_Generator_API/imagenes/NAUTICA_MENS_V220252H_OLB_1.jpg")</f>
        <v/>
      </c>
      <c r="M3166">
        <f>IMAGE("file:///E:/Estudios%20y%20certificaciones/ESTUDIOS%20DE%20PROGRAMMING/PROGRAMMING/PERSONAL/PYTHON/Image_Generator_API/imagenes/NAUTICA_MENS_V220252H_OLB_2.jpg")</f>
        <v/>
      </c>
      <c r="N3166">
        <f>IMAGE("file:///E:/Estudios%20y%20certificaciones/ESTUDIOS%20DE%20PROGRAMMING/PROGRAMMING/PERSONAL/PYTHON/Image_Generator_API/imagenes/NAUTICA_MENS_V220252H_OLB_3.jpg")</f>
        <v/>
      </c>
      <c r="O3166">
        <f>HYPERLINK("imagenes/NAUTICA_MENS_V220252H_OLB_1.jpg","Ver imagen")</f>
        <v/>
      </c>
      <c r="P3166">
        <f>HYPERLINK("imagenes/NAUTICA_MENS_V220252H_OLB_2.jpg","Ver imagen")</f>
        <v/>
      </c>
      <c r="Q3166">
        <f>HYPERLINK("imagenes/NAUTICA_MENS_V220252H_OLB_3.jpg","Ver imagen")</f>
        <v/>
      </c>
    </row>
    <row r="3167">
      <c r="A3167" t="inlineStr">
        <is>
          <t>NAUTICA MENS</t>
        </is>
      </c>
      <c r="B3167" t="inlineStr">
        <is>
          <t>V220252H</t>
        </is>
      </c>
      <c r="C3167" t="inlineStr">
        <is>
          <t>POLY HOODED PARKA</t>
        </is>
      </c>
      <c r="D3167" t="inlineStr">
        <is>
          <t>OLB</t>
        </is>
      </c>
      <c r="E3167" t="inlineStr">
        <is>
          <t>(en blanco)</t>
        </is>
      </c>
      <c r="F3167" t="inlineStr">
        <is>
          <t>(en blanco)</t>
        </is>
      </c>
      <c r="G3167" t="inlineStr">
        <is>
          <t>XL</t>
        </is>
      </c>
      <c r="H3167" t="n">
        <v>4</v>
      </c>
      <c r="I3167" t="inlineStr">
        <is>
          <t>NAUTICA_MENS_V220252H_OLB_1.jpg</t>
        </is>
      </c>
      <c r="J3167" t="inlineStr">
        <is>
          <t>NAUTICA_MENS_V220252H_OLB_2.jpg</t>
        </is>
      </c>
      <c r="K3167" t="inlineStr">
        <is>
          <t>NAUTICA_MENS_V220252H_OLB_3.jpg</t>
        </is>
      </c>
      <c r="L3167">
        <f>IMAGE("file:///E:/Estudios%20y%20certificaciones/ESTUDIOS%20DE%20PROGRAMMING/PROGRAMMING/PERSONAL/PYTHON/Image_Generator_API/imagenes/NAUTICA_MENS_V220252H_OLB_1.jpg")</f>
        <v/>
      </c>
      <c r="M3167">
        <f>IMAGE("file:///E:/Estudios%20y%20certificaciones/ESTUDIOS%20DE%20PROGRAMMING/PROGRAMMING/PERSONAL/PYTHON/Image_Generator_API/imagenes/NAUTICA_MENS_V220252H_OLB_2.jpg")</f>
        <v/>
      </c>
      <c r="N3167">
        <f>IMAGE("file:///E:/Estudios%20y%20certificaciones/ESTUDIOS%20DE%20PROGRAMMING/PROGRAMMING/PERSONAL/PYTHON/Image_Generator_API/imagenes/NAUTICA_MENS_V220252H_OLB_3.jpg")</f>
        <v/>
      </c>
      <c r="O3167">
        <f>HYPERLINK("imagenes/NAUTICA_MENS_V220252H_OLB_1.jpg","Ver imagen")</f>
        <v/>
      </c>
      <c r="P3167">
        <f>HYPERLINK("imagenes/NAUTICA_MENS_V220252H_OLB_2.jpg","Ver imagen")</f>
        <v/>
      </c>
      <c r="Q3167">
        <f>HYPERLINK("imagenes/NAUTICA_MENS_V220252H_OLB_3.jpg","Ver imagen")</f>
        <v/>
      </c>
    </row>
    <row r="3168">
      <c r="A3168" t="inlineStr">
        <is>
          <t>NAUTICA MENS</t>
        </is>
      </c>
      <c r="B3168" t="inlineStr">
        <is>
          <t>V220252H</t>
        </is>
      </c>
      <c r="C3168" t="inlineStr">
        <is>
          <t>POLY HOODED PARKA</t>
        </is>
      </c>
      <c r="D3168" t="inlineStr">
        <is>
          <t>OLB</t>
        </is>
      </c>
      <c r="E3168" t="inlineStr">
        <is>
          <t>(en blanco)</t>
        </is>
      </c>
      <c r="F3168" t="inlineStr">
        <is>
          <t>(en blanco)</t>
        </is>
      </c>
      <c r="G3168" t="inlineStr">
        <is>
          <t>XXL</t>
        </is>
      </c>
      <c r="H3168" t="n">
        <v>1</v>
      </c>
      <c r="I3168" t="inlineStr">
        <is>
          <t>NAUTICA_MENS_V220252H_OLB_1.jpg</t>
        </is>
      </c>
      <c r="J3168" t="inlineStr">
        <is>
          <t>NAUTICA_MENS_V220252H_OLB_2.jpg</t>
        </is>
      </c>
      <c r="K3168" t="inlineStr">
        <is>
          <t>NAUTICA_MENS_V220252H_OLB_3.jpg</t>
        </is>
      </c>
      <c r="L3168">
        <f>IMAGE("file:///E:/Estudios%20y%20certificaciones/ESTUDIOS%20DE%20PROGRAMMING/PROGRAMMING/PERSONAL/PYTHON/Image_Generator_API/imagenes/NAUTICA_MENS_V220252H_OLB_1.jpg")</f>
        <v/>
      </c>
      <c r="M3168">
        <f>IMAGE("file:///E:/Estudios%20y%20certificaciones/ESTUDIOS%20DE%20PROGRAMMING/PROGRAMMING/PERSONAL/PYTHON/Image_Generator_API/imagenes/NAUTICA_MENS_V220252H_OLB_2.jpg")</f>
        <v/>
      </c>
      <c r="N3168">
        <f>IMAGE("file:///E:/Estudios%20y%20certificaciones/ESTUDIOS%20DE%20PROGRAMMING/PROGRAMMING/PERSONAL/PYTHON/Image_Generator_API/imagenes/NAUTICA_MENS_V220252H_OLB_3.jpg")</f>
        <v/>
      </c>
      <c r="O3168">
        <f>HYPERLINK("imagenes/NAUTICA_MENS_V220252H_OLB_1.jpg","Ver imagen")</f>
        <v/>
      </c>
      <c r="P3168">
        <f>HYPERLINK("imagenes/NAUTICA_MENS_V220252H_OLB_2.jpg","Ver imagen")</f>
        <v/>
      </c>
      <c r="Q3168">
        <f>HYPERLINK("imagenes/NAUTICA_MENS_V220252H_OLB_3.jpg","Ver imagen")</f>
        <v/>
      </c>
    </row>
    <row r="3169">
      <c r="A3169" t="inlineStr">
        <is>
          <t>NAUTICA MENS</t>
        </is>
      </c>
      <c r="B3169" t="inlineStr">
        <is>
          <t>V220320</t>
        </is>
      </c>
      <c r="C3169" t="inlineStr">
        <is>
          <t>LEATHER BLOUSON</t>
        </is>
      </c>
      <c r="D3169" t="inlineStr">
        <is>
          <t>BLK</t>
        </is>
      </c>
      <c r="E3169" t="inlineStr">
        <is>
          <t>(en blanco)</t>
        </is>
      </c>
      <c r="F3169" t="inlineStr">
        <is>
          <t>(en blanco)</t>
        </is>
      </c>
      <c r="G3169" t="inlineStr">
        <is>
          <t>L</t>
        </is>
      </c>
      <c r="H3169" t="n">
        <v>1</v>
      </c>
      <c r="I3169" t="inlineStr">
        <is>
          <t>NAUTICA_MENS_V220320_BLK_1.jpg</t>
        </is>
      </c>
      <c r="J3169" t="inlineStr">
        <is>
          <t>NAUTICA_MENS_V220320_BLK_2.jpg</t>
        </is>
      </c>
      <c r="K3169" t="inlineStr">
        <is>
          <t>NAUTICA_MENS_V220320_BLK_3.jpg</t>
        </is>
      </c>
      <c r="L3169">
        <f>IMAGE("file:///E:/Estudios%20y%20certificaciones/ESTUDIOS%20DE%20PROGRAMMING/PROGRAMMING/PERSONAL/PYTHON/Image_Generator_API/imagenes/NAUTICA_MENS_V220320_BLK_1.jpg")</f>
        <v/>
      </c>
      <c r="M3169">
        <f>IMAGE("file:///E:/Estudios%20y%20certificaciones/ESTUDIOS%20DE%20PROGRAMMING/PROGRAMMING/PERSONAL/PYTHON/Image_Generator_API/imagenes/NAUTICA_MENS_V220320_BLK_2.jpg")</f>
        <v/>
      </c>
      <c r="N3169">
        <f>IMAGE("file:///E:/Estudios%20y%20certificaciones/ESTUDIOS%20DE%20PROGRAMMING/PROGRAMMING/PERSONAL/PYTHON/Image_Generator_API/imagenes/NAUTICA_MENS_V220320_BLK_3.jpg")</f>
        <v/>
      </c>
      <c r="O3169">
        <f>HYPERLINK("imagenes/NAUTICA_MENS_V220320_BLK_1.jpg","Ver imagen")</f>
        <v/>
      </c>
      <c r="P3169">
        <f>HYPERLINK("imagenes/NAUTICA_MENS_V220320_BLK_2.jpg","Ver imagen")</f>
        <v/>
      </c>
      <c r="Q3169">
        <f>HYPERLINK("imagenes/NAUTICA_MENS_V220320_BLK_3.jpg","Ver imagen")</f>
        <v/>
      </c>
    </row>
    <row r="3170">
      <c r="A3170" t="inlineStr">
        <is>
          <t>NAUTICA MENS</t>
        </is>
      </c>
      <c r="B3170" t="inlineStr">
        <is>
          <t>V220320</t>
        </is>
      </c>
      <c r="C3170" t="inlineStr">
        <is>
          <t>LEATHER BLOUSON</t>
        </is>
      </c>
      <c r="D3170" t="inlineStr">
        <is>
          <t>MCH</t>
        </is>
      </c>
      <c r="E3170" t="inlineStr">
        <is>
          <t>(en blanco)</t>
        </is>
      </c>
      <c r="F3170" t="inlineStr">
        <is>
          <t>(en blanco)</t>
        </is>
      </c>
      <c r="G3170" t="inlineStr">
        <is>
          <t>L</t>
        </is>
      </c>
      <c r="H3170" t="n">
        <v>1</v>
      </c>
      <c r="I3170" t="inlineStr">
        <is>
          <t>NAUTICA_MENS_V220320_MCH_1.jpg</t>
        </is>
      </c>
      <c r="J3170" t="inlineStr">
        <is>
          <t>NAUTICA_MENS_V220320_MCH_2.jpg</t>
        </is>
      </c>
      <c r="K3170" t="inlineStr">
        <is>
          <t>NAUTICA_MENS_V220320_MCH_3.jpg</t>
        </is>
      </c>
      <c r="L3170">
        <f>IMAGE("file:///E:/Estudios%20y%20certificaciones/ESTUDIOS%20DE%20PROGRAMMING/PROGRAMMING/PERSONAL/PYTHON/Image_Generator_API/imagenes/NAUTICA_MENS_V220320_MCH_1.jpg")</f>
        <v/>
      </c>
      <c r="M3170">
        <f>IMAGE("file:///E:/Estudios%20y%20certificaciones/ESTUDIOS%20DE%20PROGRAMMING/PROGRAMMING/PERSONAL/PYTHON/Image_Generator_API/imagenes/NAUTICA_MENS_V220320_MCH_2.jpg")</f>
        <v/>
      </c>
      <c r="N3170">
        <f>IMAGE("file:///E:/Estudios%20y%20certificaciones/ESTUDIOS%20DE%20PROGRAMMING/PROGRAMMING/PERSONAL/PYTHON/Image_Generator_API/imagenes/NAUTICA_MENS_V220320_MCH_3.jpg")</f>
        <v/>
      </c>
      <c r="O3170">
        <f>HYPERLINK("imagenes/NAUTICA_MENS_V220320_MCH_1.jpg","Ver imagen")</f>
        <v/>
      </c>
      <c r="P3170">
        <f>HYPERLINK("imagenes/NAUTICA_MENS_V220320_MCH_2.jpg","Ver imagen")</f>
        <v/>
      </c>
      <c r="Q3170">
        <f>HYPERLINK("imagenes/NAUTICA_MENS_V220320_MCH_3.jpg","Ver imagen")</f>
        <v/>
      </c>
    </row>
    <row r="3171">
      <c r="A3171" t="inlineStr">
        <is>
          <t>NAUTICA MENS</t>
        </is>
      </c>
      <c r="B3171" t="inlineStr">
        <is>
          <t>V222744</t>
        </is>
      </c>
      <c r="C3171" t="inlineStr">
        <is>
          <t>POLY STRETCH REVERS</t>
        </is>
      </c>
      <c r="D3171" t="inlineStr">
        <is>
          <t>RED</t>
        </is>
      </c>
      <c r="E3171" t="inlineStr">
        <is>
          <t>(en blanco)</t>
        </is>
      </c>
      <c r="F3171" t="inlineStr">
        <is>
          <t>(en blanco)</t>
        </is>
      </c>
      <c r="G3171" t="inlineStr">
        <is>
          <t>XL</t>
        </is>
      </c>
      <c r="H3171" t="n">
        <v>7</v>
      </c>
      <c r="I3171" t="inlineStr">
        <is>
          <t>NAUTICA_MENS_V222744_RED_1.jpg</t>
        </is>
      </c>
      <c r="J3171" t="inlineStr">
        <is>
          <t>NAUTICA_MENS_V222744_RED_2.jpg</t>
        </is>
      </c>
      <c r="K3171" t="inlineStr">
        <is>
          <t>NAUTICA_MENS_V222744_RED_3.jpg</t>
        </is>
      </c>
      <c r="L3171">
        <f>IMAGE("file:///E:/Estudios%20y%20certificaciones/ESTUDIOS%20DE%20PROGRAMMING/PROGRAMMING/PERSONAL/PYTHON/Image_Generator_API/imagenes/NAUTICA_MENS_V222744_RED_1.jpg")</f>
        <v/>
      </c>
      <c r="M3171">
        <f>IMAGE("file:///E:/Estudios%20y%20certificaciones/ESTUDIOS%20DE%20PROGRAMMING/PROGRAMMING/PERSONAL/PYTHON/Image_Generator_API/imagenes/NAUTICA_MENS_V222744_RED_2.jpg")</f>
        <v/>
      </c>
      <c r="N3171">
        <f>IMAGE("file:///E:/Estudios%20y%20certificaciones/ESTUDIOS%20DE%20PROGRAMMING/PROGRAMMING/PERSONAL/PYTHON/Image_Generator_API/imagenes/NAUTICA_MENS_V222744_RED_3.jpg")</f>
        <v/>
      </c>
      <c r="O3171">
        <f>HYPERLINK("imagenes/NAUTICA_MENS_V222744_RED_1.jpg","Ver imagen")</f>
        <v/>
      </c>
      <c r="P3171">
        <f>HYPERLINK("imagenes/NAUTICA_MENS_V222744_RED_2.jpg","Ver imagen")</f>
        <v/>
      </c>
      <c r="Q3171">
        <f>HYPERLINK("imagenes/NAUTICA_MENS_V222744_RED_3.jpg","Ver imagen")</f>
        <v/>
      </c>
    </row>
    <row r="3172">
      <c r="A3172" t="inlineStr">
        <is>
          <t>NAUTICA MENS</t>
        </is>
      </c>
      <c r="B3172" t="inlineStr">
        <is>
          <t>V225598K</t>
        </is>
      </c>
      <c r="C3172" t="inlineStr">
        <is>
          <t>WOOL TOGGLE COAT</t>
        </is>
      </c>
      <c r="D3172" t="inlineStr">
        <is>
          <t>CHR</t>
        </is>
      </c>
      <c r="E3172" t="inlineStr">
        <is>
          <t>(en blanco)</t>
        </is>
      </c>
      <c r="F3172" t="inlineStr">
        <is>
          <t>(en blanco)</t>
        </is>
      </c>
      <c r="G3172" t="inlineStr">
        <is>
          <t>M</t>
        </is>
      </c>
      <c r="H3172" t="n">
        <v>2</v>
      </c>
      <c r="I3172" t="inlineStr">
        <is>
          <t>NAUTICA_MENS_V225598K_CHR_1.jpg</t>
        </is>
      </c>
      <c r="J3172" t="inlineStr">
        <is>
          <t>NAUTICA_MENS_V225598K_CHR_2.jpg</t>
        </is>
      </c>
      <c r="K3172" t="inlineStr">
        <is>
          <t>NAUTICA_MENS_V225598K_CHR_3.jpg</t>
        </is>
      </c>
      <c r="L3172">
        <f>IMAGE("file:///E:/Estudios%20y%20certificaciones/ESTUDIOS%20DE%20PROGRAMMING/PROGRAMMING/PERSONAL/PYTHON/Image_Generator_API/imagenes/NAUTICA_MENS_V225598K_CHR_1.jpg")</f>
        <v/>
      </c>
      <c r="M3172">
        <f>IMAGE("file:///E:/Estudios%20y%20certificaciones/ESTUDIOS%20DE%20PROGRAMMING/PROGRAMMING/PERSONAL/PYTHON/Image_Generator_API/imagenes/NAUTICA_MENS_V225598K_CHR_2.jpg")</f>
        <v/>
      </c>
      <c r="N3172">
        <f>IMAGE("file:///E:/Estudios%20y%20certificaciones/ESTUDIOS%20DE%20PROGRAMMING/PROGRAMMING/PERSONAL/PYTHON/Image_Generator_API/imagenes/NAUTICA_MENS_V225598K_CHR_3.jpg")</f>
        <v/>
      </c>
      <c r="O3172">
        <f>HYPERLINK("imagenes/NAUTICA_MENS_V225598K_CHR_1.jpg","Ver imagen")</f>
        <v/>
      </c>
      <c r="P3172">
        <f>HYPERLINK("imagenes/NAUTICA_MENS_V225598K_CHR_2.jpg","Ver imagen")</f>
        <v/>
      </c>
      <c r="Q3172">
        <f>HYPERLINK("imagenes/NAUTICA_MENS_V225598K_CHR_3.jpg","Ver imagen")</f>
        <v/>
      </c>
    </row>
    <row r="3173">
      <c r="A3173" t="inlineStr">
        <is>
          <t>NAUTICA MENS</t>
        </is>
      </c>
      <c r="B3173" t="inlineStr">
        <is>
          <t>V225598K</t>
        </is>
      </c>
      <c r="C3173" t="inlineStr">
        <is>
          <t>WOOL TOGGLE COAT</t>
        </is>
      </c>
      <c r="D3173" t="inlineStr">
        <is>
          <t>CHR</t>
        </is>
      </c>
      <c r="E3173" t="inlineStr">
        <is>
          <t>(en blanco)</t>
        </is>
      </c>
      <c r="F3173" t="inlineStr">
        <is>
          <t>(en blanco)</t>
        </is>
      </c>
      <c r="G3173" t="inlineStr">
        <is>
          <t>L</t>
        </is>
      </c>
      <c r="H3173" t="n">
        <v>2</v>
      </c>
      <c r="I3173" t="inlineStr">
        <is>
          <t>NAUTICA_MENS_V225598K_CHR_1.jpg</t>
        </is>
      </c>
      <c r="J3173" t="inlineStr">
        <is>
          <t>NAUTICA_MENS_V225598K_CHR_2.jpg</t>
        </is>
      </c>
      <c r="K3173" t="inlineStr">
        <is>
          <t>NAUTICA_MENS_V225598K_CHR_3.jpg</t>
        </is>
      </c>
      <c r="L3173">
        <f>IMAGE("file:///E:/Estudios%20y%20certificaciones/ESTUDIOS%20DE%20PROGRAMMING/PROGRAMMING/PERSONAL/PYTHON/Image_Generator_API/imagenes/NAUTICA_MENS_V225598K_CHR_1.jpg")</f>
        <v/>
      </c>
      <c r="M3173">
        <f>IMAGE("file:///E:/Estudios%20y%20certificaciones/ESTUDIOS%20DE%20PROGRAMMING/PROGRAMMING/PERSONAL/PYTHON/Image_Generator_API/imagenes/NAUTICA_MENS_V225598K_CHR_2.jpg")</f>
        <v/>
      </c>
      <c r="N3173">
        <f>IMAGE("file:///E:/Estudios%20y%20certificaciones/ESTUDIOS%20DE%20PROGRAMMING/PROGRAMMING/PERSONAL/PYTHON/Image_Generator_API/imagenes/NAUTICA_MENS_V225598K_CHR_3.jpg")</f>
        <v/>
      </c>
      <c r="O3173">
        <f>HYPERLINK("imagenes/NAUTICA_MENS_V225598K_CHR_1.jpg","Ver imagen")</f>
        <v/>
      </c>
      <c r="P3173">
        <f>HYPERLINK("imagenes/NAUTICA_MENS_V225598K_CHR_2.jpg","Ver imagen")</f>
        <v/>
      </c>
      <c r="Q3173">
        <f>HYPERLINK("imagenes/NAUTICA_MENS_V225598K_CHR_3.jpg","Ver imagen")</f>
        <v/>
      </c>
    </row>
    <row r="3174">
      <c r="A3174" t="inlineStr">
        <is>
          <t>NAUTICA MENS</t>
        </is>
      </c>
      <c r="B3174" t="inlineStr">
        <is>
          <t>V225598K</t>
        </is>
      </c>
      <c r="C3174" t="inlineStr">
        <is>
          <t>WOOL TOGGLE COAT</t>
        </is>
      </c>
      <c r="D3174" t="inlineStr">
        <is>
          <t>CHR</t>
        </is>
      </c>
      <c r="E3174" t="inlineStr">
        <is>
          <t>(en blanco)</t>
        </is>
      </c>
      <c r="F3174" t="inlineStr">
        <is>
          <t>(en blanco)</t>
        </is>
      </c>
      <c r="G3174" t="inlineStr">
        <is>
          <t>XL</t>
        </is>
      </c>
      <c r="H3174" t="n">
        <v>5</v>
      </c>
      <c r="I3174" t="inlineStr">
        <is>
          <t>NAUTICA_MENS_V225598K_CHR_1.jpg</t>
        </is>
      </c>
      <c r="J3174" t="inlineStr">
        <is>
          <t>NAUTICA_MENS_V225598K_CHR_2.jpg</t>
        </is>
      </c>
      <c r="K3174" t="inlineStr">
        <is>
          <t>NAUTICA_MENS_V225598K_CHR_3.jpg</t>
        </is>
      </c>
      <c r="L3174">
        <f>IMAGE("file:///E:/Estudios%20y%20certificaciones/ESTUDIOS%20DE%20PROGRAMMING/PROGRAMMING/PERSONAL/PYTHON/Image_Generator_API/imagenes/NAUTICA_MENS_V225598K_CHR_1.jpg")</f>
        <v/>
      </c>
      <c r="M3174">
        <f>IMAGE("file:///E:/Estudios%20y%20certificaciones/ESTUDIOS%20DE%20PROGRAMMING/PROGRAMMING/PERSONAL/PYTHON/Image_Generator_API/imagenes/NAUTICA_MENS_V225598K_CHR_2.jpg")</f>
        <v/>
      </c>
      <c r="N3174">
        <f>IMAGE("file:///E:/Estudios%20y%20certificaciones/ESTUDIOS%20DE%20PROGRAMMING/PROGRAMMING/PERSONAL/PYTHON/Image_Generator_API/imagenes/NAUTICA_MENS_V225598K_CHR_3.jpg")</f>
        <v/>
      </c>
      <c r="O3174">
        <f>HYPERLINK("imagenes/NAUTICA_MENS_V225598K_CHR_1.jpg","Ver imagen")</f>
        <v/>
      </c>
      <c r="P3174">
        <f>HYPERLINK("imagenes/NAUTICA_MENS_V225598K_CHR_2.jpg","Ver imagen")</f>
        <v/>
      </c>
      <c r="Q3174">
        <f>HYPERLINK("imagenes/NAUTICA_MENS_V225598K_CHR_3.jpg","Ver imagen")</f>
        <v/>
      </c>
    </row>
    <row r="3175">
      <c r="A3175" t="inlineStr">
        <is>
          <t>NAUTICA MENS</t>
        </is>
      </c>
      <c r="B3175" t="inlineStr">
        <is>
          <t>V230322</t>
        </is>
      </c>
      <c r="C3175" t="inlineStr">
        <is>
          <t>LAMB BLOUSON</t>
        </is>
      </c>
      <c r="D3175" t="inlineStr">
        <is>
          <t>BLK</t>
        </is>
      </c>
      <c r="E3175" t="inlineStr">
        <is>
          <t>(en blanco)</t>
        </is>
      </c>
      <c r="F3175" t="inlineStr">
        <is>
          <t>(en blanco)</t>
        </is>
      </c>
      <c r="G3175" t="inlineStr">
        <is>
          <t>5X</t>
        </is>
      </c>
      <c r="H3175" t="n">
        <v>2</v>
      </c>
      <c r="I3175" t="inlineStr">
        <is>
          <t>NAUTICA_MENS_V230322_BLK_1.jpg</t>
        </is>
      </c>
      <c r="J3175" t="inlineStr">
        <is>
          <t>NAUTICA_MENS_V230322_BLK_2.jpg</t>
        </is>
      </c>
      <c r="K3175" t="inlineStr">
        <is>
          <t>NAUTICA_MENS_V230322_BLK_3.jpg</t>
        </is>
      </c>
      <c r="L3175">
        <f>IMAGE("file:///E:/Estudios%20y%20certificaciones/ESTUDIOS%20DE%20PROGRAMMING/PROGRAMMING/PERSONAL/PYTHON/Image_Generator_API/imagenes/NAUTICA_MENS_V230322_BLK_1.jpg")</f>
        <v/>
      </c>
      <c r="M3175">
        <f>IMAGE("file:///E:/Estudios%20y%20certificaciones/ESTUDIOS%20DE%20PROGRAMMING/PROGRAMMING/PERSONAL/PYTHON/Image_Generator_API/imagenes/NAUTICA_MENS_V230322_BLK_2.jpg")</f>
        <v/>
      </c>
      <c r="N3175">
        <f>IMAGE("file:///E:/Estudios%20y%20certificaciones/ESTUDIOS%20DE%20PROGRAMMING/PROGRAMMING/PERSONAL/PYTHON/Image_Generator_API/imagenes/NAUTICA_MENS_V230322_BLK_3.jpg")</f>
        <v/>
      </c>
      <c r="O3175">
        <f>HYPERLINK("imagenes/NAUTICA_MENS_V230322_BLK_1.jpg","Ver imagen")</f>
        <v/>
      </c>
      <c r="P3175">
        <f>HYPERLINK("imagenes/NAUTICA_MENS_V230322_BLK_2.jpg","Ver imagen")</f>
        <v/>
      </c>
      <c r="Q3175">
        <f>HYPERLINK("imagenes/NAUTICA_MENS_V230322_BLK_3.jpg","Ver imagen")</f>
        <v/>
      </c>
    </row>
    <row r="3176">
      <c r="A3176" t="inlineStr">
        <is>
          <t>NAUTICA MENS</t>
        </is>
      </c>
      <c r="B3176" t="inlineStr">
        <is>
          <t>V231201</t>
        </is>
      </c>
      <c r="C3176" t="inlineStr">
        <is>
          <t>NYLON REVERSBL VEST</t>
        </is>
      </c>
      <c r="D3176" t="inlineStr">
        <is>
          <t>NVY</t>
        </is>
      </c>
      <c r="E3176" t="inlineStr">
        <is>
          <t>(en blanco)</t>
        </is>
      </c>
      <c r="F3176" t="inlineStr">
        <is>
          <t>(en blanco)</t>
        </is>
      </c>
      <c r="G3176" t="inlineStr">
        <is>
          <t>2X</t>
        </is>
      </c>
      <c r="H3176" t="n">
        <v>1</v>
      </c>
      <c r="I3176" t="inlineStr">
        <is>
          <t>NAUTICA_MENS_V231201_NVY_1.jpg</t>
        </is>
      </c>
      <c r="J3176" t="inlineStr">
        <is>
          <t>NAUTICA_MENS_V231201_NVY_2.jpg</t>
        </is>
      </c>
      <c r="K3176" t="inlineStr">
        <is>
          <t>NAUTICA_MENS_V231201_NVY_3.jpg</t>
        </is>
      </c>
      <c r="L3176">
        <f>IMAGE("file:///E:/Estudios%20y%20certificaciones/ESTUDIOS%20DE%20PROGRAMMING/PROGRAMMING/PERSONAL/PYTHON/Image_Generator_API/imagenes/NAUTICA_MENS_V231201_NVY_1.jpg")</f>
        <v/>
      </c>
      <c r="M3176">
        <f>IMAGE("file:///E:/Estudios%20y%20certificaciones/ESTUDIOS%20DE%20PROGRAMMING/PROGRAMMING/PERSONAL/PYTHON/Image_Generator_API/imagenes/NAUTICA_MENS_V231201_NVY_2.jpg")</f>
        <v/>
      </c>
      <c r="N3176">
        <f>IMAGE("file:///E:/Estudios%20y%20certificaciones/ESTUDIOS%20DE%20PROGRAMMING/PROGRAMMING/PERSONAL/PYTHON/Image_Generator_API/imagenes/NAUTICA_MENS_V231201_NVY_3.jpg")</f>
        <v/>
      </c>
      <c r="O3176">
        <f>HYPERLINK("imagenes/NAUTICA_MENS_V231201_NVY_1.jpg","Ver imagen")</f>
        <v/>
      </c>
      <c r="P3176">
        <f>HYPERLINK("imagenes/NAUTICA_MENS_V231201_NVY_2.jpg","Ver imagen")</f>
        <v/>
      </c>
      <c r="Q3176">
        <f>HYPERLINK("imagenes/NAUTICA_MENS_V231201_NVY_3.jpg","Ver imagen")</f>
        <v/>
      </c>
    </row>
    <row r="3177">
      <c r="A3177" t="inlineStr">
        <is>
          <t>NAUTICA MENS</t>
        </is>
      </c>
      <c r="B3177" t="inlineStr">
        <is>
          <t>V231201</t>
        </is>
      </c>
      <c r="C3177" t="inlineStr">
        <is>
          <t>NYLON REVERSBL VEST</t>
        </is>
      </c>
      <c r="D3177" t="inlineStr">
        <is>
          <t>TML</t>
        </is>
      </c>
      <c r="E3177" t="inlineStr">
        <is>
          <t>(en blanco)</t>
        </is>
      </c>
      <c r="F3177" t="inlineStr">
        <is>
          <t>(en blanco)</t>
        </is>
      </c>
      <c r="G3177" t="inlineStr">
        <is>
          <t>8X</t>
        </is>
      </c>
      <c r="H3177" t="n">
        <v>5</v>
      </c>
      <c r="I3177" t="inlineStr">
        <is>
          <t>NAUTICA_MENS_V231201_TML_1.jpg</t>
        </is>
      </c>
      <c r="J3177" t="inlineStr">
        <is>
          <t>NAUTICA_MENS_V231201_TML_2.jpg</t>
        </is>
      </c>
      <c r="K3177" t="inlineStr">
        <is>
          <t>NAUTICA_MENS_V231201_TML_3.jpg</t>
        </is>
      </c>
      <c r="L3177">
        <f>IMAGE("file:///E:/Estudios%20y%20certificaciones/ESTUDIOS%20DE%20PROGRAMMING/PROGRAMMING/PERSONAL/PYTHON/Image_Generator_API/imagenes/NAUTICA_MENS_V231201_TML_1.jpg")</f>
        <v/>
      </c>
      <c r="M3177">
        <f>IMAGE("file:///E:/Estudios%20y%20certificaciones/ESTUDIOS%20DE%20PROGRAMMING/PROGRAMMING/PERSONAL/PYTHON/Image_Generator_API/imagenes/NAUTICA_MENS_V231201_TML_2.jpg")</f>
        <v/>
      </c>
      <c r="N3177">
        <f>IMAGE("file:///E:/Estudios%20y%20certificaciones/ESTUDIOS%20DE%20PROGRAMMING/PROGRAMMING/PERSONAL/PYTHON/Image_Generator_API/imagenes/NAUTICA_MENS_V231201_TML_3.jpg")</f>
        <v/>
      </c>
      <c r="O3177">
        <f>HYPERLINK("imagenes/NAUTICA_MENS_V231201_TML_1.jpg","Ver imagen")</f>
        <v/>
      </c>
      <c r="P3177">
        <f>HYPERLINK("imagenes/NAUTICA_MENS_V231201_TML_2.jpg","Ver imagen")</f>
        <v/>
      </c>
      <c r="Q3177">
        <f>HYPERLINK("imagenes/NAUTICA_MENS_V231201_TML_3.jpg","Ver imagen")</f>
        <v/>
      </c>
    </row>
    <row r="3178">
      <c r="A3178" t="inlineStr">
        <is>
          <t>NAUTICA MENS</t>
        </is>
      </c>
      <c r="B3178" t="inlineStr">
        <is>
          <t>V231823K</t>
        </is>
      </c>
      <c r="C3178" t="inlineStr">
        <is>
          <t>POLY PARKA W/HOOD</t>
        </is>
      </c>
      <c r="D3178" t="inlineStr">
        <is>
          <t>BLK</t>
        </is>
      </c>
      <c r="E3178" t="inlineStr">
        <is>
          <t>(en blanco)</t>
        </is>
      </c>
      <c r="F3178" t="inlineStr">
        <is>
          <t>(en blanco)</t>
        </is>
      </c>
      <c r="G3178" t="inlineStr">
        <is>
          <t>3X</t>
        </is>
      </c>
      <c r="H3178" t="n">
        <v>1</v>
      </c>
      <c r="I3178" t="inlineStr">
        <is>
          <t>NAUTICA_MENS_V231823K_BLK_2.jpg</t>
        </is>
      </c>
      <c r="J3178" t="inlineStr">
        <is>
          <t>NAUTICA_MENS_V231823K_BLK_3.jpg</t>
        </is>
      </c>
      <c r="L3178">
        <f>IMAGE("file:///E:/Estudios%20y%20certificaciones/ESTUDIOS%20DE%20PROGRAMMING/PROGRAMMING/PERSONAL/PYTHON/Image_Generator_API/imagenes/NAUTICA_MENS_V231823K_BLK_2.jpg")</f>
        <v/>
      </c>
      <c r="M3178">
        <f>IMAGE("file:///E:/Estudios%20y%20certificaciones/ESTUDIOS%20DE%20PROGRAMMING/PROGRAMMING/PERSONAL/PYTHON/Image_Generator_API/imagenes/NAUTICA_MENS_V231823K_BLK_3.jpg")</f>
        <v/>
      </c>
      <c r="O3178">
        <f>HYPERLINK("imagenes/NAUTICA_MENS_V231823K_BLK_2.jpg","Ver imagen")</f>
        <v/>
      </c>
      <c r="P3178">
        <f>HYPERLINK("imagenes/NAUTICA_MENS_V231823K_BLK_3.jpg","Ver imagen")</f>
        <v/>
      </c>
    </row>
    <row r="3179">
      <c r="A3179" t="inlineStr">
        <is>
          <t>NAUTICA MENS</t>
        </is>
      </c>
      <c r="B3179" t="inlineStr">
        <is>
          <t>V232744</t>
        </is>
      </c>
      <c r="C3179" t="inlineStr">
        <is>
          <t>POLYSTRETCH REVERSBL</t>
        </is>
      </c>
      <c r="D3179" t="inlineStr">
        <is>
          <t>BCM</t>
        </is>
      </c>
      <c r="E3179" t="inlineStr">
        <is>
          <t>(en blanco)</t>
        </is>
      </c>
      <c r="F3179" t="inlineStr">
        <is>
          <t>(en blanco)</t>
        </is>
      </c>
      <c r="G3179" t="inlineStr">
        <is>
          <t>2X</t>
        </is>
      </c>
      <c r="H3179" t="n">
        <v>1</v>
      </c>
      <c r="I3179" t="inlineStr">
        <is>
          <t>NAUTICA_MENS_V232744_BCM_1.jpg</t>
        </is>
      </c>
      <c r="J3179" t="inlineStr">
        <is>
          <t>NAUTICA_MENS_V232744_BCM_2.jpg</t>
        </is>
      </c>
      <c r="K3179" t="inlineStr">
        <is>
          <t>NAUTICA_MENS_V232744_BCM_3.jpg</t>
        </is>
      </c>
      <c r="L3179">
        <f>IMAGE("file:///E:/Estudios%20y%20certificaciones/ESTUDIOS%20DE%20PROGRAMMING/PROGRAMMING/PERSONAL/PYTHON/Image_Generator_API/imagenes/NAUTICA_MENS_V232744_BCM_1.jpg")</f>
        <v/>
      </c>
      <c r="M3179">
        <f>IMAGE("file:///E:/Estudios%20y%20certificaciones/ESTUDIOS%20DE%20PROGRAMMING/PROGRAMMING/PERSONAL/PYTHON/Image_Generator_API/imagenes/NAUTICA_MENS_V232744_BCM_2.jpg")</f>
        <v/>
      </c>
      <c r="N3179">
        <f>IMAGE("file:///E:/Estudios%20y%20certificaciones/ESTUDIOS%20DE%20PROGRAMMING/PROGRAMMING/PERSONAL/PYTHON/Image_Generator_API/imagenes/NAUTICA_MENS_V232744_BCM_3.jpg")</f>
        <v/>
      </c>
      <c r="O3179">
        <f>HYPERLINK("imagenes/NAUTICA_MENS_V232744_BCM_1.jpg","Ver imagen")</f>
        <v/>
      </c>
      <c r="P3179">
        <f>HYPERLINK("imagenes/NAUTICA_MENS_V232744_BCM_2.jpg","Ver imagen")</f>
        <v/>
      </c>
      <c r="Q3179">
        <f>HYPERLINK("imagenes/NAUTICA_MENS_V232744_BCM_3.jpg","Ver imagen")</f>
        <v/>
      </c>
    </row>
    <row r="3180">
      <c r="A3180" t="inlineStr">
        <is>
          <t>NAUTICA MENS</t>
        </is>
      </c>
      <c r="B3180" t="inlineStr">
        <is>
          <t>V232744</t>
        </is>
      </c>
      <c r="C3180" t="inlineStr">
        <is>
          <t>POLYSTRETCH REVERSBL</t>
        </is>
      </c>
      <c r="D3180" t="inlineStr">
        <is>
          <t>BCM</t>
        </is>
      </c>
      <c r="E3180" t="inlineStr">
        <is>
          <t>(en blanco)</t>
        </is>
      </c>
      <c r="F3180" t="inlineStr">
        <is>
          <t>(en blanco)</t>
        </is>
      </c>
      <c r="G3180" t="inlineStr">
        <is>
          <t>6X</t>
        </is>
      </c>
      <c r="H3180" t="n">
        <v>13</v>
      </c>
      <c r="I3180" t="inlineStr">
        <is>
          <t>NAUTICA_MENS_V232744_BCM_1.jpg</t>
        </is>
      </c>
      <c r="J3180" t="inlineStr">
        <is>
          <t>NAUTICA_MENS_V232744_BCM_2.jpg</t>
        </is>
      </c>
      <c r="K3180" t="inlineStr">
        <is>
          <t>NAUTICA_MENS_V232744_BCM_3.jpg</t>
        </is>
      </c>
      <c r="L3180">
        <f>IMAGE("file:///E:/Estudios%20y%20certificaciones/ESTUDIOS%20DE%20PROGRAMMING/PROGRAMMING/PERSONAL/PYTHON/Image_Generator_API/imagenes/NAUTICA_MENS_V232744_BCM_1.jpg")</f>
        <v/>
      </c>
      <c r="M3180">
        <f>IMAGE("file:///E:/Estudios%20y%20certificaciones/ESTUDIOS%20DE%20PROGRAMMING/PROGRAMMING/PERSONAL/PYTHON/Image_Generator_API/imagenes/NAUTICA_MENS_V232744_BCM_2.jpg")</f>
        <v/>
      </c>
      <c r="N3180">
        <f>IMAGE("file:///E:/Estudios%20y%20certificaciones/ESTUDIOS%20DE%20PROGRAMMING/PROGRAMMING/PERSONAL/PYTHON/Image_Generator_API/imagenes/NAUTICA_MENS_V232744_BCM_3.jpg")</f>
        <v/>
      </c>
      <c r="O3180">
        <f>HYPERLINK("imagenes/NAUTICA_MENS_V232744_BCM_1.jpg","Ver imagen")</f>
        <v/>
      </c>
      <c r="P3180">
        <f>HYPERLINK("imagenes/NAUTICA_MENS_V232744_BCM_2.jpg","Ver imagen")</f>
        <v/>
      </c>
      <c r="Q3180">
        <f>HYPERLINK("imagenes/NAUTICA_MENS_V232744_BCM_3.jpg","Ver imagen")</f>
        <v/>
      </c>
    </row>
    <row r="3181">
      <c r="A3181" t="inlineStr">
        <is>
          <t>NAUTICA MENS</t>
        </is>
      </c>
      <c r="B3181" t="inlineStr">
        <is>
          <t>V232744</t>
        </is>
      </c>
      <c r="C3181" t="inlineStr">
        <is>
          <t>POLYSTRETCH REVERSBL</t>
        </is>
      </c>
      <c r="D3181" t="inlineStr">
        <is>
          <t>BCM</t>
        </is>
      </c>
      <c r="E3181" t="inlineStr">
        <is>
          <t>(en blanco)</t>
        </is>
      </c>
      <c r="F3181" t="inlineStr">
        <is>
          <t>(en blanco)</t>
        </is>
      </c>
      <c r="G3181" t="inlineStr">
        <is>
          <t>8X</t>
        </is>
      </c>
      <c r="H3181" t="n">
        <v>10</v>
      </c>
      <c r="I3181" t="inlineStr">
        <is>
          <t>NAUTICA_MENS_V232744_BCM_1.jpg</t>
        </is>
      </c>
      <c r="J3181" t="inlineStr">
        <is>
          <t>NAUTICA_MENS_V232744_BCM_2.jpg</t>
        </is>
      </c>
      <c r="K3181" t="inlineStr">
        <is>
          <t>NAUTICA_MENS_V232744_BCM_3.jpg</t>
        </is>
      </c>
      <c r="L3181">
        <f>IMAGE("file:///E:/Estudios%20y%20certificaciones/ESTUDIOS%20DE%20PROGRAMMING/PROGRAMMING/PERSONAL/PYTHON/Image_Generator_API/imagenes/NAUTICA_MENS_V232744_BCM_1.jpg")</f>
        <v/>
      </c>
      <c r="M3181">
        <f>IMAGE("file:///E:/Estudios%20y%20certificaciones/ESTUDIOS%20DE%20PROGRAMMING/PROGRAMMING/PERSONAL/PYTHON/Image_Generator_API/imagenes/NAUTICA_MENS_V232744_BCM_2.jpg")</f>
        <v/>
      </c>
      <c r="N3181">
        <f>IMAGE("file:///E:/Estudios%20y%20certificaciones/ESTUDIOS%20DE%20PROGRAMMING/PROGRAMMING/PERSONAL/PYTHON/Image_Generator_API/imagenes/NAUTICA_MENS_V232744_BCM_3.jpg")</f>
        <v/>
      </c>
      <c r="O3181">
        <f>HYPERLINK("imagenes/NAUTICA_MENS_V232744_BCM_1.jpg","Ver imagen")</f>
        <v/>
      </c>
      <c r="P3181">
        <f>HYPERLINK("imagenes/NAUTICA_MENS_V232744_BCM_2.jpg","Ver imagen")</f>
        <v/>
      </c>
      <c r="Q3181">
        <f>HYPERLINK("imagenes/NAUTICA_MENS_V232744_BCM_3.jpg","Ver imagen")</f>
        <v/>
      </c>
    </row>
    <row r="3182">
      <c r="A3182" t="inlineStr">
        <is>
          <t>NAUTICA MENS</t>
        </is>
      </c>
      <c r="B3182" t="inlineStr">
        <is>
          <t>V232744</t>
        </is>
      </c>
      <c r="C3182" t="inlineStr">
        <is>
          <t>POLYSTRETCH REVERSBL</t>
        </is>
      </c>
      <c r="D3182" t="inlineStr">
        <is>
          <t>BLK</t>
        </is>
      </c>
      <c r="E3182" t="inlineStr">
        <is>
          <t>(en blanco)</t>
        </is>
      </c>
      <c r="F3182" t="inlineStr">
        <is>
          <t>(en blanco)</t>
        </is>
      </c>
      <c r="G3182" t="inlineStr">
        <is>
          <t>2X</t>
        </is>
      </c>
      <c r="H3182" t="n">
        <v>2</v>
      </c>
      <c r="I3182" t="inlineStr">
        <is>
          <t>NAUTICA_MENS_V232744_BLK_1.jpg</t>
        </is>
      </c>
      <c r="J3182" t="inlineStr">
        <is>
          <t>NAUTICA_MENS_V232744_BLK_2.jpg</t>
        </is>
      </c>
      <c r="K3182" t="inlineStr">
        <is>
          <t>NAUTICA_MENS_V232744_BLK_3.jpg</t>
        </is>
      </c>
      <c r="L3182">
        <f>IMAGE("file:///E:/Estudios%20y%20certificaciones/ESTUDIOS%20DE%20PROGRAMMING/PROGRAMMING/PERSONAL/PYTHON/Image_Generator_API/imagenes/NAUTICA_MENS_V232744_BLK_1.jpg")</f>
        <v/>
      </c>
      <c r="M3182">
        <f>IMAGE("file:///E:/Estudios%20y%20certificaciones/ESTUDIOS%20DE%20PROGRAMMING/PROGRAMMING/PERSONAL/PYTHON/Image_Generator_API/imagenes/NAUTICA_MENS_V232744_BLK_2.jpg")</f>
        <v/>
      </c>
      <c r="N3182">
        <f>IMAGE("file:///E:/Estudios%20y%20certificaciones/ESTUDIOS%20DE%20PROGRAMMING/PROGRAMMING/PERSONAL/PYTHON/Image_Generator_API/imagenes/NAUTICA_MENS_V232744_BLK_3.jpg")</f>
        <v/>
      </c>
      <c r="O3182">
        <f>HYPERLINK("imagenes/NAUTICA_MENS_V232744_BLK_1.jpg","Ver imagen")</f>
        <v/>
      </c>
      <c r="P3182">
        <f>HYPERLINK("imagenes/NAUTICA_MENS_V232744_BLK_2.jpg","Ver imagen")</f>
        <v/>
      </c>
      <c r="Q3182">
        <f>HYPERLINK("imagenes/NAUTICA_MENS_V232744_BLK_3.jpg","Ver imagen")</f>
        <v/>
      </c>
    </row>
    <row r="3183">
      <c r="A3183" t="inlineStr">
        <is>
          <t>NAUTICA MENS</t>
        </is>
      </c>
      <c r="B3183" t="inlineStr">
        <is>
          <t>V232744</t>
        </is>
      </c>
      <c r="C3183" t="inlineStr">
        <is>
          <t>POLYSTRETCH REVERSBL</t>
        </is>
      </c>
      <c r="D3183" t="inlineStr">
        <is>
          <t>BLK</t>
        </is>
      </c>
      <c r="E3183" t="inlineStr">
        <is>
          <t>(en blanco)</t>
        </is>
      </c>
      <c r="F3183" t="inlineStr">
        <is>
          <t>(en blanco)</t>
        </is>
      </c>
      <c r="G3183" t="inlineStr">
        <is>
          <t>3X</t>
        </is>
      </c>
      <c r="H3183" t="n">
        <v>2</v>
      </c>
      <c r="I3183" t="inlineStr">
        <is>
          <t>NAUTICA_MENS_V232744_BLK_1.jpg</t>
        </is>
      </c>
      <c r="J3183" t="inlineStr">
        <is>
          <t>NAUTICA_MENS_V232744_BLK_2.jpg</t>
        </is>
      </c>
      <c r="K3183" t="inlineStr">
        <is>
          <t>NAUTICA_MENS_V232744_BLK_3.jpg</t>
        </is>
      </c>
      <c r="L3183">
        <f>IMAGE("file:///E:/Estudios%20y%20certificaciones/ESTUDIOS%20DE%20PROGRAMMING/PROGRAMMING/PERSONAL/PYTHON/Image_Generator_API/imagenes/NAUTICA_MENS_V232744_BLK_1.jpg")</f>
        <v/>
      </c>
      <c r="M3183">
        <f>IMAGE("file:///E:/Estudios%20y%20certificaciones/ESTUDIOS%20DE%20PROGRAMMING/PROGRAMMING/PERSONAL/PYTHON/Image_Generator_API/imagenes/NAUTICA_MENS_V232744_BLK_2.jpg")</f>
        <v/>
      </c>
      <c r="N3183">
        <f>IMAGE("file:///E:/Estudios%20y%20certificaciones/ESTUDIOS%20DE%20PROGRAMMING/PROGRAMMING/PERSONAL/PYTHON/Image_Generator_API/imagenes/NAUTICA_MENS_V232744_BLK_3.jpg")</f>
        <v/>
      </c>
      <c r="O3183">
        <f>HYPERLINK("imagenes/NAUTICA_MENS_V232744_BLK_1.jpg","Ver imagen")</f>
        <v/>
      </c>
      <c r="P3183">
        <f>HYPERLINK("imagenes/NAUTICA_MENS_V232744_BLK_2.jpg","Ver imagen")</f>
        <v/>
      </c>
      <c r="Q3183">
        <f>HYPERLINK("imagenes/NAUTICA_MENS_V232744_BLK_3.jpg","Ver imagen")</f>
        <v/>
      </c>
    </row>
    <row r="3184">
      <c r="A3184" t="inlineStr">
        <is>
          <t>NAUTICA MENS</t>
        </is>
      </c>
      <c r="B3184" t="inlineStr">
        <is>
          <t>V232744</t>
        </is>
      </c>
      <c r="C3184" t="inlineStr">
        <is>
          <t>POLYSTRETCH REVERSBL</t>
        </is>
      </c>
      <c r="D3184" t="inlineStr">
        <is>
          <t>BLK</t>
        </is>
      </c>
      <c r="E3184" t="inlineStr">
        <is>
          <t>(en blanco)</t>
        </is>
      </c>
      <c r="F3184" t="inlineStr">
        <is>
          <t>(en blanco)</t>
        </is>
      </c>
      <c r="G3184" t="inlineStr">
        <is>
          <t>4X</t>
        </is>
      </c>
      <c r="H3184" t="n">
        <v>6</v>
      </c>
      <c r="I3184" t="inlineStr">
        <is>
          <t>NAUTICA_MENS_V232744_BLK_1.jpg</t>
        </is>
      </c>
      <c r="J3184" t="inlineStr">
        <is>
          <t>NAUTICA_MENS_V232744_BLK_2.jpg</t>
        </is>
      </c>
      <c r="K3184" t="inlineStr">
        <is>
          <t>NAUTICA_MENS_V232744_BLK_3.jpg</t>
        </is>
      </c>
      <c r="L3184">
        <f>IMAGE("file:///E:/Estudios%20y%20certificaciones/ESTUDIOS%20DE%20PROGRAMMING/PROGRAMMING/PERSONAL/PYTHON/Image_Generator_API/imagenes/NAUTICA_MENS_V232744_BLK_1.jpg")</f>
        <v/>
      </c>
      <c r="M3184">
        <f>IMAGE("file:///E:/Estudios%20y%20certificaciones/ESTUDIOS%20DE%20PROGRAMMING/PROGRAMMING/PERSONAL/PYTHON/Image_Generator_API/imagenes/NAUTICA_MENS_V232744_BLK_2.jpg")</f>
        <v/>
      </c>
      <c r="N3184">
        <f>IMAGE("file:///E:/Estudios%20y%20certificaciones/ESTUDIOS%20DE%20PROGRAMMING/PROGRAMMING/PERSONAL/PYTHON/Image_Generator_API/imagenes/NAUTICA_MENS_V232744_BLK_3.jpg")</f>
        <v/>
      </c>
      <c r="O3184">
        <f>HYPERLINK("imagenes/NAUTICA_MENS_V232744_BLK_1.jpg","Ver imagen")</f>
        <v/>
      </c>
      <c r="P3184">
        <f>HYPERLINK("imagenes/NAUTICA_MENS_V232744_BLK_2.jpg","Ver imagen")</f>
        <v/>
      </c>
      <c r="Q3184">
        <f>HYPERLINK("imagenes/NAUTICA_MENS_V232744_BLK_3.jpg","Ver imagen")</f>
        <v/>
      </c>
    </row>
    <row r="3185">
      <c r="A3185" t="inlineStr">
        <is>
          <t>NAUTICA MENS</t>
        </is>
      </c>
      <c r="B3185" t="inlineStr">
        <is>
          <t>V232744</t>
        </is>
      </c>
      <c r="C3185" t="inlineStr">
        <is>
          <t>POLYSTRETCH REVERSBL</t>
        </is>
      </c>
      <c r="D3185" t="inlineStr">
        <is>
          <t>NVY</t>
        </is>
      </c>
      <c r="E3185" t="inlineStr">
        <is>
          <t>(en blanco)</t>
        </is>
      </c>
      <c r="F3185" t="inlineStr">
        <is>
          <t>(en blanco)</t>
        </is>
      </c>
      <c r="G3185" t="inlineStr">
        <is>
          <t>3X</t>
        </is>
      </c>
      <c r="H3185" t="n">
        <v>6</v>
      </c>
      <c r="I3185" t="inlineStr">
        <is>
          <t>NAUTICA_MENS_V232744_NVY_1.jpg</t>
        </is>
      </c>
      <c r="J3185" t="inlineStr">
        <is>
          <t>NAUTICA_MENS_V232744_NVY_2.jpg</t>
        </is>
      </c>
      <c r="K3185" t="inlineStr">
        <is>
          <t>NAUTICA_MENS_V232744_NVY_3.jpg</t>
        </is>
      </c>
      <c r="L3185">
        <f>IMAGE("file:///E:/Estudios%20y%20certificaciones/ESTUDIOS%20DE%20PROGRAMMING/PROGRAMMING/PERSONAL/PYTHON/Image_Generator_API/imagenes/NAUTICA_MENS_V232744_NVY_1.jpg")</f>
        <v/>
      </c>
      <c r="M3185">
        <f>IMAGE("file:///E:/Estudios%20y%20certificaciones/ESTUDIOS%20DE%20PROGRAMMING/PROGRAMMING/PERSONAL/PYTHON/Image_Generator_API/imagenes/NAUTICA_MENS_V232744_NVY_2.jpg")</f>
        <v/>
      </c>
      <c r="N3185">
        <f>IMAGE("file:///E:/Estudios%20y%20certificaciones/ESTUDIOS%20DE%20PROGRAMMING/PROGRAMMING/PERSONAL/PYTHON/Image_Generator_API/imagenes/NAUTICA_MENS_V232744_NVY_3.jpg")</f>
        <v/>
      </c>
      <c r="O3185">
        <f>HYPERLINK("imagenes/NAUTICA_MENS_V232744_NVY_1.jpg","Ver imagen")</f>
        <v/>
      </c>
      <c r="P3185">
        <f>HYPERLINK("imagenes/NAUTICA_MENS_V232744_NVY_2.jpg","Ver imagen")</f>
        <v/>
      </c>
      <c r="Q3185">
        <f>HYPERLINK("imagenes/NAUTICA_MENS_V232744_NVY_3.jpg","Ver imagen")</f>
        <v/>
      </c>
    </row>
    <row r="3186">
      <c r="A3186" t="inlineStr">
        <is>
          <t>NAUTICA MENS</t>
        </is>
      </c>
      <c r="B3186" t="inlineStr">
        <is>
          <t>V232744</t>
        </is>
      </c>
      <c r="C3186" t="inlineStr">
        <is>
          <t>POLYSTRETCH REVERSBL</t>
        </is>
      </c>
      <c r="D3186" t="inlineStr">
        <is>
          <t>NVY</t>
        </is>
      </c>
      <c r="E3186" t="inlineStr">
        <is>
          <t>(en blanco)</t>
        </is>
      </c>
      <c r="F3186" t="inlineStr">
        <is>
          <t>(en blanco)</t>
        </is>
      </c>
      <c r="G3186" t="inlineStr">
        <is>
          <t>4X</t>
        </is>
      </c>
      <c r="H3186" t="n">
        <v>8</v>
      </c>
      <c r="I3186" t="inlineStr">
        <is>
          <t>NAUTICA_MENS_V232744_NVY_1.jpg</t>
        </is>
      </c>
      <c r="J3186" t="inlineStr">
        <is>
          <t>NAUTICA_MENS_V232744_NVY_2.jpg</t>
        </is>
      </c>
      <c r="K3186" t="inlineStr">
        <is>
          <t>NAUTICA_MENS_V232744_NVY_3.jpg</t>
        </is>
      </c>
      <c r="L3186">
        <f>IMAGE("file:///E:/Estudios%20y%20certificaciones/ESTUDIOS%20DE%20PROGRAMMING/PROGRAMMING/PERSONAL/PYTHON/Image_Generator_API/imagenes/NAUTICA_MENS_V232744_NVY_1.jpg")</f>
        <v/>
      </c>
      <c r="M3186">
        <f>IMAGE("file:///E:/Estudios%20y%20certificaciones/ESTUDIOS%20DE%20PROGRAMMING/PROGRAMMING/PERSONAL/PYTHON/Image_Generator_API/imagenes/NAUTICA_MENS_V232744_NVY_2.jpg")</f>
        <v/>
      </c>
      <c r="N3186">
        <f>IMAGE("file:///E:/Estudios%20y%20certificaciones/ESTUDIOS%20DE%20PROGRAMMING/PROGRAMMING/PERSONAL/PYTHON/Image_Generator_API/imagenes/NAUTICA_MENS_V232744_NVY_3.jpg")</f>
        <v/>
      </c>
      <c r="O3186">
        <f>HYPERLINK("imagenes/NAUTICA_MENS_V232744_NVY_1.jpg","Ver imagen")</f>
        <v/>
      </c>
      <c r="P3186">
        <f>HYPERLINK("imagenes/NAUTICA_MENS_V232744_NVY_2.jpg","Ver imagen")</f>
        <v/>
      </c>
      <c r="Q3186">
        <f>HYPERLINK("imagenes/NAUTICA_MENS_V232744_NVY_3.jpg","Ver imagen")</f>
        <v/>
      </c>
    </row>
    <row r="3187">
      <c r="A3187" t="inlineStr">
        <is>
          <t>NAUTICA MENS</t>
        </is>
      </c>
      <c r="B3187" t="inlineStr">
        <is>
          <t>V235598K</t>
        </is>
      </c>
      <c r="C3187" t="inlineStr">
        <is>
          <t>WOOL TOGGLE COAT</t>
        </is>
      </c>
      <c r="D3187" t="inlineStr">
        <is>
          <t>DNY</t>
        </is>
      </c>
      <c r="E3187" t="inlineStr">
        <is>
          <t>(en blanco)</t>
        </is>
      </c>
      <c r="F3187" t="inlineStr">
        <is>
          <t>(en blanco)</t>
        </is>
      </c>
      <c r="G3187" t="inlineStr">
        <is>
          <t>3X</t>
        </is>
      </c>
      <c r="H3187" t="n">
        <v>5</v>
      </c>
      <c r="I3187" t="inlineStr">
        <is>
          <t>NAUTICA_MENS_V235598K_DNY_1.jpg</t>
        </is>
      </c>
      <c r="J3187" t="inlineStr">
        <is>
          <t>NAUTICA_MENS_V235598K_DNY_2.jpg</t>
        </is>
      </c>
      <c r="L3187">
        <f>IMAGE("file:///E:/Estudios%20y%20certificaciones/ESTUDIOS%20DE%20PROGRAMMING/PROGRAMMING/PERSONAL/PYTHON/Image_Generator_API/imagenes/NAUTICA_MENS_V235598K_DNY_1.jpg")</f>
        <v/>
      </c>
      <c r="M3187">
        <f>IMAGE("file:///E:/Estudios%20y%20certificaciones/ESTUDIOS%20DE%20PROGRAMMING/PROGRAMMING/PERSONAL/PYTHON/Image_Generator_API/imagenes/NAUTICA_MENS_V235598K_DNY_2.jpg")</f>
        <v/>
      </c>
      <c r="O3187">
        <f>HYPERLINK("imagenes/NAUTICA_MENS_V235598K_DNY_1.jpg","Ver imagen")</f>
        <v/>
      </c>
      <c r="P3187">
        <f>HYPERLINK("imagenes/NAUTICA_MENS_V235598K_DNY_2.jpg","Ver imagen")</f>
        <v/>
      </c>
    </row>
    <row r="3188">
      <c r="A3188" t="inlineStr">
        <is>
          <t>NAUTICA MENS</t>
        </is>
      </c>
      <c r="B3188" t="inlineStr">
        <is>
          <t>V235598K</t>
        </is>
      </c>
      <c r="C3188" t="inlineStr">
        <is>
          <t>WOOL TOGGLE COAT</t>
        </is>
      </c>
      <c r="D3188" t="inlineStr">
        <is>
          <t>DNY</t>
        </is>
      </c>
      <c r="E3188" t="inlineStr">
        <is>
          <t>(en blanco)</t>
        </is>
      </c>
      <c r="F3188" t="inlineStr">
        <is>
          <t>(en blanco)</t>
        </is>
      </c>
      <c r="G3188" t="inlineStr">
        <is>
          <t>4X</t>
        </is>
      </c>
      <c r="H3188" t="n">
        <v>4</v>
      </c>
      <c r="I3188" t="inlineStr">
        <is>
          <t>NAUTICA_MENS_V235598K_DNY_1.jpg</t>
        </is>
      </c>
      <c r="J3188" t="inlineStr">
        <is>
          <t>NAUTICA_MENS_V235598K_DNY_2.jpg</t>
        </is>
      </c>
      <c r="L3188">
        <f>IMAGE("file:///E:/Estudios%20y%20certificaciones/ESTUDIOS%20DE%20PROGRAMMING/PROGRAMMING/PERSONAL/PYTHON/Image_Generator_API/imagenes/NAUTICA_MENS_V235598K_DNY_1.jpg")</f>
        <v/>
      </c>
      <c r="M3188">
        <f>IMAGE("file:///E:/Estudios%20y%20certificaciones/ESTUDIOS%20DE%20PROGRAMMING/PROGRAMMING/PERSONAL/PYTHON/Image_Generator_API/imagenes/NAUTICA_MENS_V235598K_DNY_2.jpg")</f>
        <v/>
      </c>
      <c r="O3188">
        <f>HYPERLINK("imagenes/NAUTICA_MENS_V235598K_DNY_1.jpg","Ver imagen")</f>
        <v/>
      </c>
      <c r="P3188">
        <f>HYPERLINK("imagenes/NAUTICA_MENS_V235598K_DNY_2.jpg","Ver imagen")</f>
        <v/>
      </c>
    </row>
    <row r="3189">
      <c r="A3189" t="inlineStr">
        <is>
          <t>NAUTICA MENS</t>
        </is>
      </c>
      <c r="B3189" t="inlineStr">
        <is>
          <t>V235598K</t>
        </is>
      </c>
      <c r="C3189" t="inlineStr">
        <is>
          <t>WOOL TOGGLE COAT</t>
        </is>
      </c>
      <c r="D3189" t="inlineStr">
        <is>
          <t>DNY</t>
        </is>
      </c>
      <c r="E3189" t="inlineStr">
        <is>
          <t>(en blanco)</t>
        </is>
      </c>
      <c r="F3189" t="inlineStr">
        <is>
          <t>(en blanco)</t>
        </is>
      </c>
      <c r="G3189" t="inlineStr">
        <is>
          <t>5X</t>
        </is>
      </c>
      <c r="H3189" t="n">
        <v>2</v>
      </c>
      <c r="I3189" t="inlineStr">
        <is>
          <t>NAUTICA_MENS_V235598K_DNY_1.jpg</t>
        </is>
      </c>
      <c r="J3189" t="inlineStr">
        <is>
          <t>NAUTICA_MENS_V235598K_DNY_2.jpg</t>
        </is>
      </c>
      <c r="L3189">
        <f>IMAGE("file:///E:/Estudios%20y%20certificaciones/ESTUDIOS%20DE%20PROGRAMMING/PROGRAMMING/PERSONAL/PYTHON/Image_Generator_API/imagenes/NAUTICA_MENS_V235598K_DNY_1.jpg")</f>
        <v/>
      </c>
      <c r="M3189">
        <f>IMAGE("file:///E:/Estudios%20y%20certificaciones/ESTUDIOS%20DE%20PROGRAMMING/PROGRAMMING/PERSONAL/PYTHON/Image_Generator_API/imagenes/NAUTICA_MENS_V235598K_DNY_2.jpg")</f>
        <v/>
      </c>
      <c r="O3189">
        <f>HYPERLINK("imagenes/NAUTICA_MENS_V235598K_DNY_1.jpg","Ver imagen")</f>
        <v/>
      </c>
      <c r="P3189">
        <f>HYPERLINK("imagenes/NAUTICA_MENS_V235598K_DNY_2.jpg","Ver imagen")</f>
        <v/>
      </c>
    </row>
    <row r="3190">
      <c r="A3190" t="inlineStr">
        <is>
          <t>NAUTICA MENS</t>
        </is>
      </c>
      <c r="B3190" t="inlineStr">
        <is>
          <t>V237597</t>
        </is>
      </c>
      <c r="C3190" t="inlineStr">
        <is>
          <t>FX SHRLNG OPEN BTTM</t>
        </is>
      </c>
      <c r="D3190" t="inlineStr">
        <is>
          <t>DBR</t>
        </is>
      </c>
      <c r="E3190" t="inlineStr">
        <is>
          <t>(en blanco)</t>
        </is>
      </c>
      <c r="F3190" t="inlineStr">
        <is>
          <t>(en blanco)</t>
        </is>
      </c>
      <c r="G3190" t="inlineStr">
        <is>
          <t>2X</t>
        </is>
      </c>
      <c r="H3190" t="n">
        <v>1</v>
      </c>
      <c r="I3190" t="inlineStr">
        <is>
          <t>NAUTICA_MENS_V237597_DBR_1.jpg</t>
        </is>
      </c>
      <c r="J3190" t="inlineStr">
        <is>
          <t>NAUTICA_MENS_V237597_DBR_2.jpg</t>
        </is>
      </c>
      <c r="K3190" t="inlineStr">
        <is>
          <t>NAUTICA_MENS_V237597_DBR_3.jpg</t>
        </is>
      </c>
      <c r="L3190">
        <f>IMAGE("file:///E:/Estudios%20y%20certificaciones/ESTUDIOS%20DE%20PROGRAMMING/PROGRAMMING/PERSONAL/PYTHON/Image_Generator_API/imagenes/NAUTICA_MENS_V237597_DBR_1.jpg")</f>
        <v/>
      </c>
      <c r="M3190">
        <f>IMAGE("file:///E:/Estudios%20y%20certificaciones/ESTUDIOS%20DE%20PROGRAMMING/PROGRAMMING/PERSONAL/PYTHON/Image_Generator_API/imagenes/NAUTICA_MENS_V237597_DBR_2.jpg")</f>
        <v/>
      </c>
      <c r="N3190">
        <f>IMAGE("file:///E:/Estudios%20y%20certificaciones/ESTUDIOS%20DE%20PROGRAMMING/PROGRAMMING/PERSONAL/PYTHON/Image_Generator_API/imagenes/NAUTICA_MENS_V237597_DBR_3.jpg")</f>
        <v/>
      </c>
      <c r="O3190">
        <f>HYPERLINK("imagenes/NAUTICA_MENS_V237597_DBR_1.jpg","Ver imagen")</f>
        <v/>
      </c>
      <c r="P3190">
        <f>HYPERLINK("imagenes/NAUTICA_MENS_V237597_DBR_2.jpg","Ver imagen")</f>
        <v/>
      </c>
      <c r="Q3190">
        <f>HYPERLINK("imagenes/NAUTICA_MENS_V237597_DBR_3.jpg","Ver imagen")</f>
        <v/>
      </c>
    </row>
    <row r="3191">
      <c r="A3191" t="inlineStr">
        <is>
          <t>NAUTICA MENS</t>
        </is>
      </c>
      <c r="B3191" t="inlineStr">
        <is>
          <t>V237597</t>
        </is>
      </c>
      <c r="C3191" t="inlineStr">
        <is>
          <t>FX SHRLNG OPEN BTTM</t>
        </is>
      </c>
      <c r="D3191" t="inlineStr">
        <is>
          <t>DBR</t>
        </is>
      </c>
      <c r="E3191" t="inlineStr">
        <is>
          <t>(en blanco)</t>
        </is>
      </c>
      <c r="F3191" t="inlineStr">
        <is>
          <t>(en blanco)</t>
        </is>
      </c>
      <c r="G3191" t="inlineStr">
        <is>
          <t>3X</t>
        </is>
      </c>
      <c r="H3191" t="n">
        <v>1</v>
      </c>
      <c r="I3191" t="inlineStr">
        <is>
          <t>NAUTICA_MENS_V237597_DBR_1.jpg</t>
        </is>
      </c>
      <c r="J3191" t="inlineStr">
        <is>
          <t>NAUTICA_MENS_V237597_DBR_2.jpg</t>
        </is>
      </c>
      <c r="K3191" t="inlineStr">
        <is>
          <t>NAUTICA_MENS_V237597_DBR_3.jpg</t>
        </is>
      </c>
      <c r="L3191">
        <f>IMAGE("file:///E:/Estudios%20y%20certificaciones/ESTUDIOS%20DE%20PROGRAMMING/PROGRAMMING/PERSONAL/PYTHON/Image_Generator_API/imagenes/NAUTICA_MENS_V237597_DBR_1.jpg")</f>
        <v/>
      </c>
      <c r="M3191">
        <f>IMAGE("file:///E:/Estudios%20y%20certificaciones/ESTUDIOS%20DE%20PROGRAMMING/PROGRAMMING/PERSONAL/PYTHON/Image_Generator_API/imagenes/NAUTICA_MENS_V237597_DBR_2.jpg")</f>
        <v/>
      </c>
      <c r="N3191">
        <f>IMAGE("file:///E:/Estudios%20y%20certificaciones/ESTUDIOS%20DE%20PROGRAMMING/PROGRAMMING/PERSONAL/PYTHON/Image_Generator_API/imagenes/NAUTICA_MENS_V237597_DBR_3.jpg")</f>
        <v/>
      </c>
      <c r="O3191">
        <f>HYPERLINK("imagenes/NAUTICA_MENS_V237597_DBR_1.jpg","Ver imagen")</f>
        <v/>
      </c>
      <c r="P3191">
        <f>HYPERLINK("imagenes/NAUTICA_MENS_V237597_DBR_2.jpg","Ver imagen")</f>
        <v/>
      </c>
      <c r="Q3191">
        <f>HYPERLINK("imagenes/NAUTICA_MENS_V237597_DBR_3.jpg","Ver imagen")</f>
        <v/>
      </c>
    </row>
    <row r="3192">
      <c r="A3192" t="inlineStr">
        <is>
          <t>NAUTICA MENS</t>
        </is>
      </c>
      <c r="B3192" t="inlineStr">
        <is>
          <t>V237597</t>
        </is>
      </c>
      <c r="C3192" t="inlineStr">
        <is>
          <t>FX SHRLNG OPEN BTTM</t>
        </is>
      </c>
      <c r="D3192" t="inlineStr">
        <is>
          <t>DBR</t>
        </is>
      </c>
      <c r="E3192" t="inlineStr">
        <is>
          <t>(en blanco)</t>
        </is>
      </c>
      <c r="F3192" t="inlineStr">
        <is>
          <t>(en blanco)</t>
        </is>
      </c>
      <c r="G3192" t="inlineStr">
        <is>
          <t>4X</t>
        </is>
      </c>
      <c r="H3192" t="n">
        <v>3</v>
      </c>
      <c r="I3192" t="inlineStr">
        <is>
          <t>NAUTICA_MENS_V237597_DBR_1.jpg</t>
        </is>
      </c>
      <c r="J3192" t="inlineStr">
        <is>
          <t>NAUTICA_MENS_V237597_DBR_2.jpg</t>
        </is>
      </c>
      <c r="K3192" t="inlineStr">
        <is>
          <t>NAUTICA_MENS_V237597_DBR_3.jpg</t>
        </is>
      </c>
      <c r="L3192">
        <f>IMAGE("file:///E:/Estudios%20y%20certificaciones/ESTUDIOS%20DE%20PROGRAMMING/PROGRAMMING/PERSONAL/PYTHON/Image_Generator_API/imagenes/NAUTICA_MENS_V237597_DBR_1.jpg")</f>
        <v/>
      </c>
      <c r="M3192">
        <f>IMAGE("file:///E:/Estudios%20y%20certificaciones/ESTUDIOS%20DE%20PROGRAMMING/PROGRAMMING/PERSONAL/PYTHON/Image_Generator_API/imagenes/NAUTICA_MENS_V237597_DBR_2.jpg")</f>
        <v/>
      </c>
      <c r="N3192">
        <f>IMAGE("file:///E:/Estudios%20y%20certificaciones/ESTUDIOS%20DE%20PROGRAMMING/PROGRAMMING/PERSONAL/PYTHON/Image_Generator_API/imagenes/NAUTICA_MENS_V237597_DBR_3.jpg")</f>
        <v/>
      </c>
      <c r="O3192">
        <f>HYPERLINK("imagenes/NAUTICA_MENS_V237597_DBR_1.jpg","Ver imagen")</f>
        <v/>
      </c>
      <c r="P3192">
        <f>HYPERLINK("imagenes/NAUTICA_MENS_V237597_DBR_2.jpg","Ver imagen")</f>
        <v/>
      </c>
      <c r="Q3192">
        <f>HYPERLINK("imagenes/NAUTICA_MENS_V237597_DBR_3.jpg","Ver imagen")</f>
        <v/>
      </c>
    </row>
    <row r="3193">
      <c r="A3193" t="inlineStr">
        <is>
          <t>NAUTICA MENS</t>
        </is>
      </c>
      <c r="B3193" t="inlineStr">
        <is>
          <t>V237597</t>
        </is>
      </c>
      <c r="C3193" t="inlineStr">
        <is>
          <t>FX SHRLNG OPEN BTTM</t>
        </is>
      </c>
      <c r="D3193" t="inlineStr">
        <is>
          <t>DBR</t>
        </is>
      </c>
      <c r="E3193" t="inlineStr">
        <is>
          <t>(en blanco)</t>
        </is>
      </c>
      <c r="F3193" t="inlineStr">
        <is>
          <t>(en blanco)</t>
        </is>
      </c>
      <c r="G3193" t="inlineStr">
        <is>
          <t>5X</t>
        </is>
      </c>
      <c r="H3193" t="n">
        <v>1</v>
      </c>
      <c r="I3193" t="inlineStr">
        <is>
          <t>NAUTICA_MENS_V237597_DBR_1.jpg</t>
        </is>
      </c>
      <c r="J3193" t="inlineStr">
        <is>
          <t>NAUTICA_MENS_V237597_DBR_2.jpg</t>
        </is>
      </c>
      <c r="K3193" t="inlineStr">
        <is>
          <t>NAUTICA_MENS_V237597_DBR_3.jpg</t>
        </is>
      </c>
      <c r="L3193">
        <f>IMAGE("file:///E:/Estudios%20y%20certificaciones/ESTUDIOS%20DE%20PROGRAMMING/PROGRAMMING/PERSONAL/PYTHON/Image_Generator_API/imagenes/NAUTICA_MENS_V237597_DBR_1.jpg")</f>
        <v/>
      </c>
      <c r="M3193">
        <f>IMAGE("file:///E:/Estudios%20y%20certificaciones/ESTUDIOS%20DE%20PROGRAMMING/PROGRAMMING/PERSONAL/PYTHON/Image_Generator_API/imagenes/NAUTICA_MENS_V237597_DBR_2.jpg")</f>
        <v/>
      </c>
      <c r="N3193">
        <f>IMAGE("file:///E:/Estudios%20y%20certificaciones/ESTUDIOS%20DE%20PROGRAMMING/PROGRAMMING/PERSONAL/PYTHON/Image_Generator_API/imagenes/NAUTICA_MENS_V237597_DBR_3.jpg")</f>
        <v/>
      </c>
      <c r="O3193">
        <f>HYPERLINK("imagenes/NAUTICA_MENS_V237597_DBR_1.jpg","Ver imagen")</f>
        <v/>
      </c>
      <c r="P3193">
        <f>HYPERLINK("imagenes/NAUTICA_MENS_V237597_DBR_2.jpg","Ver imagen")</f>
        <v/>
      </c>
      <c r="Q3193">
        <f>HYPERLINK("imagenes/NAUTICA_MENS_V237597_DBR_3.jpg","Ver imagen")</f>
        <v/>
      </c>
    </row>
    <row r="3194">
      <c r="A3194" t="inlineStr">
        <is>
          <t>NAUTICA MENS</t>
        </is>
      </c>
      <c r="B3194" t="inlineStr">
        <is>
          <t>V240291</t>
        </is>
      </c>
      <c r="C3194" t="inlineStr">
        <is>
          <t>POLY PUFFER W/BIB</t>
        </is>
      </c>
      <c r="D3194" t="inlineStr">
        <is>
          <t>DFS</t>
        </is>
      </c>
      <c r="E3194" t="inlineStr">
        <is>
          <t>(en blanco)</t>
        </is>
      </c>
      <c r="F3194" t="inlineStr">
        <is>
          <t>(en blanco)</t>
        </is>
      </c>
      <c r="G3194" t="inlineStr">
        <is>
          <t>5XT</t>
        </is>
      </c>
      <c r="H3194" t="n">
        <v>2</v>
      </c>
      <c r="I3194" t="inlineStr">
        <is>
          <t>NAUTICA_MENS_V240291_DFS_1.jpg</t>
        </is>
      </c>
      <c r="J3194" t="inlineStr">
        <is>
          <t>NAUTICA_MENS_V240291_DFS_2.jpg</t>
        </is>
      </c>
      <c r="K3194" t="inlineStr">
        <is>
          <t>NAUTICA_MENS_V240291_DFS_3.jpg</t>
        </is>
      </c>
      <c r="L3194">
        <f>IMAGE("file:///E:/Estudios%20y%20certificaciones/ESTUDIOS%20DE%20PROGRAMMING/PROGRAMMING/PERSONAL/PYTHON/Image_Generator_API/imagenes/NAUTICA_MENS_V240291_DFS_1.jpg")</f>
        <v/>
      </c>
      <c r="M3194">
        <f>IMAGE("file:///E:/Estudios%20y%20certificaciones/ESTUDIOS%20DE%20PROGRAMMING/PROGRAMMING/PERSONAL/PYTHON/Image_Generator_API/imagenes/NAUTICA_MENS_V240291_DFS_2.jpg")</f>
        <v/>
      </c>
      <c r="N3194">
        <f>IMAGE("file:///E:/Estudios%20y%20certificaciones/ESTUDIOS%20DE%20PROGRAMMING/PROGRAMMING/PERSONAL/PYTHON/Image_Generator_API/imagenes/NAUTICA_MENS_V240291_DFS_3.jpg")</f>
        <v/>
      </c>
      <c r="O3194">
        <f>HYPERLINK("imagenes/NAUTICA_MENS_V240291_DFS_1.jpg","Ver imagen")</f>
        <v/>
      </c>
      <c r="P3194">
        <f>HYPERLINK("imagenes/NAUTICA_MENS_V240291_DFS_2.jpg","Ver imagen")</f>
        <v/>
      </c>
      <c r="Q3194">
        <f>HYPERLINK("imagenes/NAUTICA_MENS_V240291_DFS_3.jpg","Ver imagen")</f>
        <v/>
      </c>
    </row>
    <row r="3195">
      <c r="A3195" t="inlineStr">
        <is>
          <t>NAUTICA MENS</t>
        </is>
      </c>
      <c r="B3195" t="inlineStr">
        <is>
          <t>V240322</t>
        </is>
      </c>
      <c r="C3195" t="inlineStr">
        <is>
          <t>LAMB BLOUSON</t>
        </is>
      </c>
      <c r="D3195" t="inlineStr">
        <is>
          <t>MCH</t>
        </is>
      </c>
      <c r="E3195" t="inlineStr">
        <is>
          <t>(en blanco)</t>
        </is>
      </c>
      <c r="F3195" t="inlineStr">
        <is>
          <t>(en blanco)</t>
        </is>
      </c>
      <c r="G3195" t="inlineStr">
        <is>
          <t>4XT</t>
        </is>
      </c>
      <c r="H3195" t="n">
        <v>3</v>
      </c>
      <c r="I3195" t="inlineStr">
        <is>
          <t>NAUTICA_MENS_V240322_MCH_1.jpg</t>
        </is>
      </c>
      <c r="J3195" t="inlineStr">
        <is>
          <t>NAUTICA_MENS_V240322_MCH_2.jpg</t>
        </is>
      </c>
      <c r="K3195" t="inlineStr">
        <is>
          <t>NAUTICA_MENS_V240322_MCH_3.jpg</t>
        </is>
      </c>
      <c r="L3195">
        <f>IMAGE("file:///E:/Estudios%20y%20certificaciones/ESTUDIOS%20DE%20PROGRAMMING/PROGRAMMING/PERSONAL/PYTHON/Image_Generator_API/imagenes/NAUTICA_MENS_V240322_MCH_1.jpg")</f>
        <v/>
      </c>
      <c r="M3195">
        <f>IMAGE("file:///E:/Estudios%20y%20certificaciones/ESTUDIOS%20DE%20PROGRAMMING/PROGRAMMING/PERSONAL/PYTHON/Image_Generator_API/imagenes/NAUTICA_MENS_V240322_MCH_2.jpg")</f>
        <v/>
      </c>
      <c r="N3195">
        <f>IMAGE("file:///E:/Estudios%20y%20certificaciones/ESTUDIOS%20DE%20PROGRAMMING/PROGRAMMING/PERSONAL/PYTHON/Image_Generator_API/imagenes/NAUTICA_MENS_V240322_MCH_3.jpg")</f>
        <v/>
      </c>
      <c r="O3195">
        <f>HYPERLINK("imagenes/NAUTICA_MENS_V240322_MCH_1.jpg","Ver imagen")</f>
        <v/>
      </c>
      <c r="P3195">
        <f>HYPERLINK("imagenes/NAUTICA_MENS_V240322_MCH_2.jpg","Ver imagen")</f>
        <v/>
      </c>
      <c r="Q3195">
        <f>HYPERLINK("imagenes/NAUTICA_MENS_V240322_MCH_3.jpg","Ver imagen")</f>
        <v/>
      </c>
    </row>
    <row r="3196">
      <c r="A3196" t="inlineStr">
        <is>
          <t>NAUTICA MENS</t>
        </is>
      </c>
      <c r="B3196" t="inlineStr">
        <is>
          <t>V240322</t>
        </is>
      </c>
      <c r="C3196" t="inlineStr">
        <is>
          <t>LAMB BLOUSON</t>
        </is>
      </c>
      <c r="D3196" t="inlineStr">
        <is>
          <t>MCH</t>
        </is>
      </c>
      <c r="E3196" t="inlineStr">
        <is>
          <t>(en blanco)</t>
        </is>
      </c>
      <c r="F3196" t="inlineStr">
        <is>
          <t>(en blanco)</t>
        </is>
      </c>
      <c r="G3196" t="inlineStr">
        <is>
          <t>LT</t>
        </is>
      </c>
      <c r="H3196" t="n">
        <v>1</v>
      </c>
      <c r="I3196" t="inlineStr">
        <is>
          <t>NAUTICA_MENS_V240322_MCH_1.jpg</t>
        </is>
      </c>
      <c r="J3196" t="inlineStr">
        <is>
          <t>NAUTICA_MENS_V240322_MCH_2.jpg</t>
        </is>
      </c>
      <c r="K3196" t="inlineStr">
        <is>
          <t>NAUTICA_MENS_V240322_MCH_3.jpg</t>
        </is>
      </c>
      <c r="L3196">
        <f>IMAGE("file:///E:/Estudios%20y%20certificaciones/ESTUDIOS%20DE%20PROGRAMMING/PROGRAMMING/PERSONAL/PYTHON/Image_Generator_API/imagenes/NAUTICA_MENS_V240322_MCH_1.jpg")</f>
        <v/>
      </c>
      <c r="M3196">
        <f>IMAGE("file:///E:/Estudios%20y%20certificaciones/ESTUDIOS%20DE%20PROGRAMMING/PROGRAMMING/PERSONAL/PYTHON/Image_Generator_API/imagenes/NAUTICA_MENS_V240322_MCH_2.jpg")</f>
        <v/>
      </c>
      <c r="N3196">
        <f>IMAGE("file:///E:/Estudios%20y%20certificaciones/ESTUDIOS%20DE%20PROGRAMMING/PROGRAMMING/PERSONAL/PYTHON/Image_Generator_API/imagenes/NAUTICA_MENS_V240322_MCH_3.jpg")</f>
        <v/>
      </c>
      <c r="O3196">
        <f>HYPERLINK("imagenes/NAUTICA_MENS_V240322_MCH_1.jpg","Ver imagen")</f>
        <v/>
      </c>
      <c r="P3196">
        <f>HYPERLINK("imagenes/NAUTICA_MENS_V240322_MCH_2.jpg","Ver imagen")</f>
        <v/>
      </c>
      <c r="Q3196">
        <f>HYPERLINK("imagenes/NAUTICA_MENS_V240322_MCH_3.jpg","Ver imagen")</f>
        <v/>
      </c>
    </row>
    <row r="3197">
      <c r="A3197" t="inlineStr">
        <is>
          <t>NAUTICA MENS</t>
        </is>
      </c>
      <c r="B3197" t="inlineStr">
        <is>
          <t>V241201</t>
        </is>
      </c>
      <c r="C3197" t="inlineStr">
        <is>
          <t>NYLON REVERSBL VEST</t>
        </is>
      </c>
      <c r="D3197" t="inlineStr">
        <is>
          <t>DRR</t>
        </is>
      </c>
      <c r="E3197" t="inlineStr">
        <is>
          <t>(en blanco)</t>
        </is>
      </c>
      <c r="F3197" t="inlineStr">
        <is>
          <t>(en blanco)</t>
        </is>
      </c>
      <c r="G3197" t="inlineStr">
        <is>
          <t>3XT</t>
        </is>
      </c>
      <c r="H3197" t="n">
        <v>2</v>
      </c>
      <c r="I3197" t="inlineStr">
        <is>
          <t>NAUTICA_MENS_V241201_DRR_1.jpg</t>
        </is>
      </c>
      <c r="J3197" t="inlineStr">
        <is>
          <t>NAUTICA_MENS_V241201_DRR_2.jpg</t>
        </is>
      </c>
      <c r="K3197" t="inlineStr">
        <is>
          <t>NAUTICA_MENS_V241201_DRR_3.jpg</t>
        </is>
      </c>
      <c r="L3197">
        <f>IMAGE("file:///E:/Estudios%20y%20certificaciones/ESTUDIOS%20DE%20PROGRAMMING/PROGRAMMING/PERSONAL/PYTHON/Image_Generator_API/imagenes/NAUTICA_MENS_V241201_DRR_1.jpg")</f>
        <v/>
      </c>
      <c r="M3197">
        <f>IMAGE("file:///E:/Estudios%20y%20certificaciones/ESTUDIOS%20DE%20PROGRAMMING/PROGRAMMING/PERSONAL/PYTHON/Image_Generator_API/imagenes/NAUTICA_MENS_V241201_DRR_2.jpg")</f>
        <v/>
      </c>
      <c r="N3197">
        <f>IMAGE("file:///E:/Estudios%20y%20certificaciones/ESTUDIOS%20DE%20PROGRAMMING/PROGRAMMING/PERSONAL/PYTHON/Image_Generator_API/imagenes/NAUTICA_MENS_V241201_DRR_3.jpg")</f>
        <v/>
      </c>
      <c r="O3197">
        <f>HYPERLINK("imagenes/NAUTICA_MENS_V241201_DRR_1.jpg","Ver imagen")</f>
        <v/>
      </c>
      <c r="P3197">
        <f>HYPERLINK("imagenes/NAUTICA_MENS_V241201_DRR_2.jpg","Ver imagen")</f>
        <v/>
      </c>
      <c r="Q3197">
        <f>HYPERLINK("imagenes/NAUTICA_MENS_V241201_DRR_3.jpg","Ver imagen")</f>
        <v/>
      </c>
    </row>
    <row r="3198">
      <c r="A3198" t="inlineStr">
        <is>
          <t>NAUTICA MENS</t>
        </is>
      </c>
      <c r="B3198" t="inlineStr">
        <is>
          <t>V241201</t>
        </is>
      </c>
      <c r="C3198" t="inlineStr">
        <is>
          <t>NYLON REVERSBL VEST</t>
        </is>
      </c>
      <c r="D3198" t="inlineStr">
        <is>
          <t>DRR</t>
        </is>
      </c>
      <c r="E3198" t="inlineStr">
        <is>
          <t>(en blanco)</t>
        </is>
      </c>
      <c r="F3198" t="inlineStr">
        <is>
          <t>(en blanco)</t>
        </is>
      </c>
      <c r="G3198" t="inlineStr">
        <is>
          <t>4XT</t>
        </is>
      </c>
      <c r="H3198" t="n">
        <v>3</v>
      </c>
      <c r="I3198" t="inlineStr">
        <is>
          <t>NAUTICA_MENS_V241201_DRR_1.jpg</t>
        </is>
      </c>
      <c r="J3198" t="inlineStr">
        <is>
          <t>NAUTICA_MENS_V241201_DRR_2.jpg</t>
        </is>
      </c>
      <c r="K3198" t="inlineStr">
        <is>
          <t>NAUTICA_MENS_V241201_DRR_3.jpg</t>
        </is>
      </c>
      <c r="L3198">
        <f>IMAGE("file:///E:/Estudios%20y%20certificaciones/ESTUDIOS%20DE%20PROGRAMMING/PROGRAMMING/PERSONAL/PYTHON/Image_Generator_API/imagenes/NAUTICA_MENS_V241201_DRR_1.jpg")</f>
        <v/>
      </c>
      <c r="M3198">
        <f>IMAGE("file:///E:/Estudios%20y%20certificaciones/ESTUDIOS%20DE%20PROGRAMMING/PROGRAMMING/PERSONAL/PYTHON/Image_Generator_API/imagenes/NAUTICA_MENS_V241201_DRR_2.jpg")</f>
        <v/>
      </c>
      <c r="N3198">
        <f>IMAGE("file:///E:/Estudios%20y%20certificaciones/ESTUDIOS%20DE%20PROGRAMMING/PROGRAMMING/PERSONAL/PYTHON/Image_Generator_API/imagenes/NAUTICA_MENS_V241201_DRR_3.jpg")</f>
        <v/>
      </c>
      <c r="O3198">
        <f>HYPERLINK("imagenes/NAUTICA_MENS_V241201_DRR_1.jpg","Ver imagen")</f>
        <v/>
      </c>
      <c r="P3198">
        <f>HYPERLINK("imagenes/NAUTICA_MENS_V241201_DRR_2.jpg","Ver imagen")</f>
        <v/>
      </c>
      <c r="Q3198">
        <f>HYPERLINK("imagenes/NAUTICA_MENS_V241201_DRR_3.jpg","Ver imagen")</f>
        <v/>
      </c>
    </row>
    <row r="3199">
      <c r="A3199" t="inlineStr">
        <is>
          <t>NAUTICA MENS</t>
        </is>
      </c>
      <c r="B3199" t="inlineStr">
        <is>
          <t>V241201</t>
        </is>
      </c>
      <c r="C3199" t="inlineStr">
        <is>
          <t>NYLON REVERSBL VEST</t>
        </is>
      </c>
      <c r="D3199" t="inlineStr">
        <is>
          <t>DRR</t>
        </is>
      </c>
      <c r="E3199" t="inlineStr">
        <is>
          <t>(en blanco)</t>
        </is>
      </c>
      <c r="F3199" t="inlineStr">
        <is>
          <t>(en blanco)</t>
        </is>
      </c>
      <c r="G3199" t="inlineStr">
        <is>
          <t>6XT</t>
        </is>
      </c>
      <c r="H3199" t="n">
        <v>4</v>
      </c>
      <c r="I3199" t="inlineStr">
        <is>
          <t>NAUTICA_MENS_V241201_DRR_1.jpg</t>
        </is>
      </c>
      <c r="J3199" t="inlineStr">
        <is>
          <t>NAUTICA_MENS_V241201_DRR_2.jpg</t>
        </is>
      </c>
      <c r="K3199" t="inlineStr">
        <is>
          <t>NAUTICA_MENS_V241201_DRR_3.jpg</t>
        </is>
      </c>
      <c r="L3199">
        <f>IMAGE("file:///E:/Estudios%20y%20certificaciones/ESTUDIOS%20DE%20PROGRAMMING/PROGRAMMING/PERSONAL/PYTHON/Image_Generator_API/imagenes/NAUTICA_MENS_V241201_DRR_1.jpg")</f>
        <v/>
      </c>
      <c r="M3199">
        <f>IMAGE("file:///E:/Estudios%20y%20certificaciones/ESTUDIOS%20DE%20PROGRAMMING/PROGRAMMING/PERSONAL/PYTHON/Image_Generator_API/imagenes/NAUTICA_MENS_V241201_DRR_2.jpg")</f>
        <v/>
      </c>
      <c r="N3199">
        <f>IMAGE("file:///E:/Estudios%20y%20certificaciones/ESTUDIOS%20DE%20PROGRAMMING/PROGRAMMING/PERSONAL/PYTHON/Image_Generator_API/imagenes/NAUTICA_MENS_V241201_DRR_3.jpg")</f>
        <v/>
      </c>
      <c r="O3199">
        <f>HYPERLINK("imagenes/NAUTICA_MENS_V241201_DRR_1.jpg","Ver imagen")</f>
        <v/>
      </c>
      <c r="P3199">
        <f>HYPERLINK("imagenes/NAUTICA_MENS_V241201_DRR_2.jpg","Ver imagen")</f>
        <v/>
      </c>
      <c r="Q3199">
        <f>HYPERLINK("imagenes/NAUTICA_MENS_V241201_DRR_3.jpg","Ver imagen")</f>
        <v/>
      </c>
    </row>
    <row r="3200">
      <c r="A3200" t="inlineStr">
        <is>
          <t>NAUTICA MENS</t>
        </is>
      </c>
      <c r="B3200" t="inlineStr">
        <is>
          <t>V241201</t>
        </is>
      </c>
      <c r="C3200" t="inlineStr">
        <is>
          <t>NYLON REVERSBL VEST</t>
        </is>
      </c>
      <c r="D3200" t="inlineStr">
        <is>
          <t>DRR</t>
        </is>
      </c>
      <c r="E3200" t="inlineStr">
        <is>
          <t>(en blanco)</t>
        </is>
      </c>
      <c r="F3200" t="inlineStr">
        <is>
          <t>(en blanco)</t>
        </is>
      </c>
      <c r="G3200" t="inlineStr">
        <is>
          <t>XLT</t>
        </is>
      </c>
      <c r="H3200" t="n">
        <v>2</v>
      </c>
      <c r="I3200" t="inlineStr">
        <is>
          <t>NAUTICA_MENS_V241201_DRR_1.jpg</t>
        </is>
      </c>
      <c r="J3200" t="inlineStr">
        <is>
          <t>NAUTICA_MENS_V241201_DRR_2.jpg</t>
        </is>
      </c>
      <c r="K3200" t="inlineStr">
        <is>
          <t>NAUTICA_MENS_V241201_DRR_3.jpg</t>
        </is>
      </c>
      <c r="L3200">
        <f>IMAGE("file:///E:/Estudios%20y%20certificaciones/ESTUDIOS%20DE%20PROGRAMMING/PROGRAMMING/PERSONAL/PYTHON/Image_Generator_API/imagenes/NAUTICA_MENS_V241201_DRR_1.jpg")</f>
        <v/>
      </c>
      <c r="M3200">
        <f>IMAGE("file:///E:/Estudios%20y%20certificaciones/ESTUDIOS%20DE%20PROGRAMMING/PROGRAMMING/PERSONAL/PYTHON/Image_Generator_API/imagenes/NAUTICA_MENS_V241201_DRR_2.jpg")</f>
        <v/>
      </c>
      <c r="N3200">
        <f>IMAGE("file:///E:/Estudios%20y%20certificaciones/ESTUDIOS%20DE%20PROGRAMMING/PROGRAMMING/PERSONAL/PYTHON/Image_Generator_API/imagenes/NAUTICA_MENS_V241201_DRR_3.jpg")</f>
        <v/>
      </c>
      <c r="O3200">
        <f>HYPERLINK("imagenes/NAUTICA_MENS_V241201_DRR_1.jpg","Ver imagen")</f>
        <v/>
      </c>
      <c r="P3200">
        <f>HYPERLINK("imagenes/NAUTICA_MENS_V241201_DRR_2.jpg","Ver imagen")</f>
        <v/>
      </c>
      <c r="Q3200">
        <f>HYPERLINK("imagenes/NAUTICA_MENS_V241201_DRR_3.jpg","Ver imagen")</f>
        <v/>
      </c>
    </row>
    <row r="3201">
      <c r="A3201" t="inlineStr">
        <is>
          <t>NAUTICA MENS</t>
        </is>
      </c>
      <c r="B3201" t="inlineStr">
        <is>
          <t>V241201</t>
        </is>
      </c>
      <c r="C3201" t="inlineStr">
        <is>
          <t>NYLON REVERSBL VEST</t>
        </is>
      </c>
      <c r="D3201" t="inlineStr">
        <is>
          <t>GRZ</t>
        </is>
      </c>
      <c r="E3201" t="inlineStr">
        <is>
          <t>(en blanco)</t>
        </is>
      </c>
      <c r="F3201" t="inlineStr">
        <is>
          <t>(en blanco)</t>
        </is>
      </c>
      <c r="G3201" t="inlineStr">
        <is>
          <t>4XT</t>
        </is>
      </c>
      <c r="H3201" t="n">
        <v>1</v>
      </c>
      <c r="I3201" t="inlineStr">
        <is>
          <t>NAUTICA_MENS_V241201_GRZ_1.jpg</t>
        </is>
      </c>
      <c r="J3201" t="inlineStr">
        <is>
          <t>NAUTICA_MENS_V241201_GRZ_2.jpg</t>
        </is>
      </c>
      <c r="L3201">
        <f>IMAGE("file:///E:/Estudios%20y%20certificaciones/ESTUDIOS%20DE%20PROGRAMMING/PROGRAMMING/PERSONAL/PYTHON/Image_Generator_API/imagenes/NAUTICA_MENS_V241201_GRZ_1.jpg")</f>
        <v/>
      </c>
      <c r="M3201">
        <f>IMAGE("file:///E:/Estudios%20y%20certificaciones/ESTUDIOS%20DE%20PROGRAMMING/PROGRAMMING/PERSONAL/PYTHON/Image_Generator_API/imagenes/NAUTICA_MENS_V241201_GRZ_2.jpg")</f>
        <v/>
      </c>
      <c r="O3201">
        <f>HYPERLINK("imagenes/NAUTICA_MENS_V241201_GRZ_1.jpg","Ver imagen")</f>
        <v/>
      </c>
      <c r="P3201">
        <f>HYPERLINK("imagenes/NAUTICA_MENS_V241201_GRZ_2.jpg","Ver imagen")</f>
        <v/>
      </c>
    </row>
    <row r="3202">
      <c r="A3202" t="inlineStr">
        <is>
          <t>NAUTICA MENS</t>
        </is>
      </c>
      <c r="B3202" t="inlineStr">
        <is>
          <t>V241201</t>
        </is>
      </c>
      <c r="C3202" t="inlineStr">
        <is>
          <t>NYLON REVERSBL VEST</t>
        </is>
      </c>
      <c r="D3202" t="inlineStr">
        <is>
          <t>GRZ</t>
        </is>
      </c>
      <c r="E3202" t="inlineStr">
        <is>
          <t>(en blanco)</t>
        </is>
      </c>
      <c r="F3202" t="inlineStr">
        <is>
          <t>(en blanco)</t>
        </is>
      </c>
      <c r="G3202" t="inlineStr">
        <is>
          <t>5XT</t>
        </is>
      </c>
      <c r="H3202" t="n">
        <v>1</v>
      </c>
      <c r="I3202" t="inlineStr">
        <is>
          <t>NAUTICA_MENS_V241201_GRZ_1.jpg</t>
        </is>
      </c>
      <c r="J3202" t="inlineStr">
        <is>
          <t>NAUTICA_MENS_V241201_GRZ_2.jpg</t>
        </is>
      </c>
      <c r="L3202">
        <f>IMAGE("file:///E:/Estudios%20y%20certificaciones/ESTUDIOS%20DE%20PROGRAMMING/PROGRAMMING/PERSONAL/PYTHON/Image_Generator_API/imagenes/NAUTICA_MENS_V241201_GRZ_1.jpg")</f>
        <v/>
      </c>
      <c r="M3202">
        <f>IMAGE("file:///E:/Estudios%20y%20certificaciones/ESTUDIOS%20DE%20PROGRAMMING/PROGRAMMING/PERSONAL/PYTHON/Image_Generator_API/imagenes/NAUTICA_MENS_V241201_GRZ_2.jpg")</f>
        <v/>
      </c>
      <c r="O3202">
        <f>HYPERLINK("imagenes/NAUTICA_MENS_V241201_GRZ_1.jpg","Ver imagen")</f>
        <v/>
      </c>
      <c r="P3202">
        <f>HYPERLINK("imagenes/NAUTICA_MENS_V241201_GRZ_2.jpg","Ver imagen")</f>
        <v/>
      </c>
    </row>
    <row r="3203">
      <c r="A3203" t="inlineStr">
        <is>
          <t>NAUTICA MENS</t>
        </is>
      </c>
      <c r="B3203" t="inlineStr">
        <is>
          <t>V241201</t>
        </is>
      </c>
      <c r="C3203" t="inlineStr">
        <is>
          <t>NYLON REVERSBL VEST</t>
        </is>
      </c>
      <c r="D3203" t="inlineStr">
        <is>
          <t>HGY</t>
        </is>
      </c>
      <c r="E3203" t="inlineStr">
        <is>
          <t>(en blanco)</t>
        </is>
      </c>
      <c r="F3203" t="inlineStr">
        <is>
          <t>(en blanco)</t>
        </is>
      </c>
      <c r="G3203" t="inlineStr">
        <is>
          <t>2XT</t>
        </is>
      </c>
      <c r="H3203" t="n">
        <v>1</v>
      </c>
      <c r="I3203" t="inlineStr">
        <is>
          <t>NAUTICA_MENS_V241201_HGY_1.jpg</t>
        </is>
      </c>
      <c r="J3203" t="inlineStr">
        <is>
          <t>NAUTICA_MENS_V241201_HGY_2.jpg</t>
        </is>
      </c>
      <c r="K3203" t="inlineStr">
        <is>
          <t>NAUTICA_MENS_V241201_HGY_3.jpg</t>
        </is>
      </c>
      <c r="L3203">
        <f>IMAGE("file:///E:/Estudios%20y%20certificaciones/ESTUDIOS%20DE%20PROGRAMMING/PROGRAMMING/PERSONAL/PYTHON/Image_Generator_API/imagenes/NAUTICA_MENS_V241201_HGY_1.jpg")</f>
        <v/>
      </c>
      <c r="M3203">
        <f>IMAGE("file:///E:/Estudios%20y%20certificaciones/ESTUDIOS%20DE%20PROGRAMMING/PROGRAMMING/PERSONAL/PYTHON/Image_Generator_API/imagenes/NAUTICA_MENS_V241201_HGY_2.jpg")</f>
        <v/>
      </c>
      <c r="N3203">
        <f>IMAGE("file:///E:/Estudios%20y%20certificaciones/ESTUDIOS%20DE%20PROGRAMMING/PROGRAMMING/PERSONAL/PYTHON/Image_Generator_API/imagenes/NAUTICA_MENS_V241201_HGY_3.jpg")</f>
        <v/>
      </c>
      <c r="O3203">
        <f>HYPERLINK("imagenes/NAUTICA_MENS_V241201_HGY_1.jpg","Ver imagen")</f>
        <v/>
      </c>
      <c r="P3203">
        <f>HYPERLINK("imagenes/NAUTICA_MENS_V241201_HGY_2.jpg","Ver imagen")</f>
        <v/>
      </c>
      <c r="Q3203">
        <f>HYPERLINK("imagenes/NAUTICA_MENS_V241201_HGY_3.jpg","Ver imagen")</f>
        <v/>
      </c>
    </row>
    <row r="3204">
      <c r="A3204" t="inlineStr">
        <is>
          <t>NAUTICA MENS</t>
        </is>
      </c>
      <c r="B3204" t="inlineStr">
        <is>
          <t>V241201</t>
        </is>
      </c>
      <c r="C3204" t="inlineStr">
        <is>
          <t>NYLON REVERSBL VEST</t>
        </is>
      </c>
      <c r="D3204" t="inlineStr">
        <is>
          <t>NVY</t>
        </is>
      </c>
      <c r="E3204" t="inlineStr">
        <is>
          <t>(en blanco)</t>
        </is>
      </c>
      <c r="F3204" t="inlineStr">
        <is>
          <t>(en blanco)</t>
        </is>
      </c>
      <c r="G3204" t="inlineStr">
        <is>
          <t>3XT</t>
        </is>
      </c>
      <c r="H3204" t="n">
        <v>14</v>
      </c>
      <c r="I3204" t="inlineStr">
        <is>
          <t>NAUTICA_MENS_V241201_NVY_1.jpg</t>
        </is>
      </c>
      <c r="J3204" t="inlineStr">
        <is>
          <t>NAUTICA_MENS_V241201_NVY_2.jpg</t>
        </is>
      </c>
      <c r="K3204" t="inlineStr">
        <is>
          <t>NAUTICA_MENS_V241201_NVY_3.jpg</t>
        </is>
      </c>
      <c r="L3204">
        <f>IMAGE("file:///E:/Estudios%20y%20certificaciones/ESTUDIOS%20DE%20PROGRAMMING/PROGRAMMING/PERSONAL/PYTHON/Image_Generator_API/imagenes/NAUTICA_MENS_V241201_NVY_1.jpg")</f>
        <v/>
      </c>
      <c r="M3204">
        <f>IMAGE("file:///E:/Estudios%20y%20certificaciones/ESTUDIOS%20DE%20PROGRAMMING/PROGRAMMING/PERSONAL/PYTHON/Image_Generator_API/imagenes/NAUTICA_MENS_V241201_NVY_2.jpg")</f>
        <v/>
      </c>
      <c r="N3204">
        <f>IMAGE("file:///E:/Estudios%20y%20certificaciones/ESTUDIOS%20DE%20PROGRAMMING/PROGRAMMING/PERSONAL/PYTHON/Image_Generator_API/imagenes/NAUTICA_MENS_V241201_NVY_3.jpg")</f>
        <v/>
      </c>
      <c r="O3204">
        <f>HYPERLINK("imagenes/NAUTICA_MENS_V241201_NVY_1.jpg","Ver imagen")</f>
        <v/>
      </c>
      <c r="P3204">
        <f>HYPERLINK("imagenes/NAUTICA_MENS_V241201_NVY_2.jpg","Ver imagen")</f>
        <v/>
      </c>
      <c r="Q3204">
        <f>HYPERLINK("imagenes/NAUTICA_MENS_V241201_NVY_3.jpg","Ver imagen")</f>
        <v/>
      </c>
    </row>
    <row r="3205">
      <c r="A3205" t="inlineStr">
        <is>
          <t>NAUTICA MENS</t>
        </is>
      </c>
      <c r="B3205" t="inlineStr">
        <is>
          <t>V241201</t>
        </is>
      </c>
      <c r="C3205" t="inlineStr">
        <is>
          <t>NYLON REVERSBL VEST</t>
        </is>
      </c>
      <c r="D3205" t="inlineStr">
        <is>
          <t>TML</t>
        </is>
      </c>
      <c r="E3205" t="inlineStr">
        <is>
          <t>(en blanco)</t>
        </is>
      </c>
      <c r="F3205" t="inlineStr">
        <is>
          <t>(en blanco)</t>
        </is>
      </c>
      <c r="G3205" t="inlineStr">
        <is>
          <t>2XT</t>
        </is>
      </c>
      <c r="H3205" t="n">
        <v>1</v>
      </c>
      <c r="I3205" t="inlineStr">
        <is>
          <t>NAUTICA_MENS_V241201_TML_1.jpg</t>
        </is>
      </c>
      <c r="J3205" t="inlineStr">
        <is>
          <t>NAUTICA_MENS_V241201_TML_2.jpg</t>
        </is>
      </c>
      <c r="K3205" t="inlineStr">
        <is>
          <t>NAUTICA_MENS_V241201_TML_3.jpg</t>
        </is>
      </c>
      <c r="L3205">
        <f>IMAGE("file:///E:/Estudios%20y%20certificaciones/ESTUDIOS%20DE%20PROGRAMMING/PROGRAMMING/PERSONAL/PYTHON/Image_Generator_API/imagenes/NAUTICA_MENS_V241201_TML_1.jpg")</f>
        <v/>
      </c>
      <c r="M3205">
        <f>IMAGE("file:///E:/Estudios%20y%20certificaciones/ESTUDIOS%20DE%20PROGRAMMING/PROGRAMMING/PERSONAL/PYTHON/Image_Generator_API/imagenes/NAUTICA_MENS_V241201_TML_2.jpg")</f>
        <v/>
      </c>
      <c r="N3205">
        <f>IMAGE("file:///E:/Estudios%20y%20certificaciones/ESTUDIOS%20DE%20PROGRAMMING/PROGRAMMING/PERSONAL/PYTHON/Image_Generator_API/imagenes/NAUTICA_MENS_V241201_TML_3.jpg")</f>
        <v/>
      </c>
      <c r="O3205">
        <f>HYPERLINK("imagenes/NAUTICA_MENS_V241201_TML_1.jpg","Ver imagen")</f>
        <v/>
      </c>
      <c r="P3205">
        <f>HYPERLINK("imagenes/NAUTICA_MENS_V241201_TML_2.jpg","Ver imagen")</f>
        <v/>
      </c>
      <c r="Q3205">
        <f>HYPERLINK("imagenes/NAUTICA_MENS_V241201_TML_3.jpg","Ver imagen")</f>
        <v/>
      </c>
    </row>
    <row r="3206">
      <c r="A3206" t="inlineStr">
        <is>
          <t>NAUTICA MENS</t>
        </is>
      </c>
      <c r="B3206" t="inlineStr">
        <is>
          <t>V241201</t>
        </is>
      </c>
      <c r="C3206" t="inlineStr">
        <is>
          <t>NYLON REVERSBL VEST</t>
        </is>
      </c>
      <c r="D3206" t="inlineStr">
        <is>
          <t>TML</t>
        </is>
      </c>
      <c r="E3206" t="inlineStr">
        <is>
          <t>(en blanco)</t>
        </is>
      </c>
      <c r="F3206" t="inlineStr">
        <is>
          <t>(en blanco)</t>
        </is>
      </c>
      <c r="G3206" t="inlineStr">
        <is>
          <t>3XT</t>
        </is>
      </c>
      <c r="H3206" t="n">
        <v>3</v>
      </c>
      <c r="I3206" t="inlineStr">
        <is>
          <t>NAUTICA_MENS_V241201_TML_1.jpg</t>
        </is>
      </c>
      <c r="J3206" t="inlineStr">
        <is>
          <t>NAUTICA_MENS_V241201_TML_2.jpg</t>
        </is>
      </c>
      <c r="K3206" t="inlineStr">
        <is>
          <t>NAUTICA_MENS_V241201_TML_3.jpg</t>
        </is>
      </c>
      <c r="L3206">
        <f>IMAGE("file:///E:/Estudios%20y%20certificaciones/ESTUDIOS%20DE%20PROGRAMMING/PROGRAMMING/PERSONAL/PYTHON/Image_Generator_API/imagenes/NAUTICA_MENS_V241201_TML_1.jpg")</f>
        <v/>
      </c>
      <c r="M3206">
        <f>IMAGE("file:///E:/Estudios%20y%20certificaciones/ESTUDIOS%20DE%20PROGRAMMING/PROGRAMMING/PERSONAL/PYTHON/Image_Generator_API/imagenes/NAUTICA_MENS_V241201_TML_2.jpg")</f>
        <v/>
      </c>
      <c r="N3206">
        <f>IMAGE("file:///E:/Estudios%20y%20certificaciones/ESTUDIOS%20DE%20PROGRAMMING/PROGRAMMING/PERSONAL/PYTHON/Image_Generator_API/imagenes/NAUTICA_MENS_V241201_TML_3.jpg")</f>
        <v/>
      </c>
      <c r="O3206">
        <f>HYPERLINK("imagenes/NAUTICA_MENS_V241201_TML_1.jpg","Ver imagen")</f>
        <v/>
      </c>
      <c r="P3206">
        <f>HYPERLINK("imagenes/NAUTICA_MENS_V241201_TML_2.jpg","Ver imagen")</f>
        <v/>
      </c>
      <c r="Q3206">
        <f>HYPERLINK("imagenes/NAUTICA_MENS_V241201_TML_3.jpg","Ver imagen")</f>
        <v/>
      </c>
    </row>
    <row r="3207">
      <c r="A3207" t="inlineStr">
        <is>
          <t>NAUTICA MENS</t>
        </is>
      </c>
      <c r="B3207" t="inlineStr">
        <is>
          <t>V241201</t>
        </is>
      </c>
      <c r="C3207" t="inlineStr">
        <is>
          <t>NYLON REVERSBL VEST</t>
        </is>
      </c>
      <c r="D3207" t="inlineStr">
        <is>
          <t>TML</t>
        </is>
      </c>
      <c r="E3207" t="inlineStr">
        <is>
          <t>(en blanco)</t>
        </is>
      </c>
      <c r="F3207" t="inlineStr">
        <is>
          <t>(en blanco)</t>
        </is>
      </c>
      <c r="G3207" t="inlineStr">
        <is>
          <t>4XT</t>
        </is>
      </c>
      <c r="H3207" t="n">
        <v>1</v>
      </c>
      <c r="I3207" t="inlineStr">
        <is>
          <t>NAUTICA_MENS_V241201_TML_1.jpg</t>
        </is>
      </c>
      <c r="J3207" t="inlineStr">
        <is>
          <t>NAUTICA_MENS_V241201_TML_2.jpg</t>
        </is>
      </c>
      <c r="K3207" t="inlineStr">
        <is>
          <t>NAUTICA_MENS_V241201_TML_3.jpg</t>
        </is>
      </c>
      <c r="L3207">
        <f>IMAGE("file:///E:/Estudios%20y%20certificaciones/ESTUDIOS%20DE%20PROGRAMMING/PROGRAMMING/PERSONAL/PYTHON/Image_Generator_API/imagenes/NAUTICA_MENS_V241201_TML_1.jpg")</f>
        <v/>
      </c>
      <c r="M3207">
        <f>IMAGE("file:///E:/Estudios%20y%20certificaciones/ESTUDIOS%20DE%20PROGRAMMING/PROGRAMMING/PERSONAL/PYTHON/Image_Generator_API/imagenes/NAUTICA_MENS_V241201_TML_2.jpg")</f>
        <v/>
      </c>
      <c r="N3207">
        <f>IMAGE("file:///E:/Estudios%20y%20certificaciones/ESTUDIOS%20DE%20PROGRAMMING/PROGRAMMING/PERSONAL/PYTHON/Image_Generator_API/imagenes/NAUTICA_MENS_V241201_TML_3.jpg")</f>
        <v/>
      </c>
      <c r="O3207">
        <f>HYPERLINK("imagenes/NAUTICA_MENS_V241201_TML_1.jpg","Ver imagen")</f>
        <v/>
      </c>
      <c r="P3207">
        <f>HYPERLINK("imagenes/NAUTICA_MENS_V241201_TML_2.jpg","Ver imagen")</f>
        <v/>
      </c>
      <c r="Q3207">
        <f>HYPERLINK("imagenes/NAUTICA_MENS_V241201_TML_3.jpg","Ver imagen")</f>
        <v/>
      </c>
    </row>
    <row r="3208">
      <c r="A3208" t="inlineStr">
        <is>
          <t>NAUTICA MENS</t>
        </is>
      </c>
      <c r="B3208" t="inlineStr">
        <is>
          <t>V241201</t>
        </is>
      </c>
      <c r="C3208" t="inlineStr">
        <is>
          <t>NYLON REVERSBL VEST</t>
        </is>
      </c>
      <c r="D3208" t="inlineStr">
        <is>
          <t>TML</t>
        </is>
      </c>
      <c r="E3208" t="inlineStr">
        <is>
          <t>(en blanco)</t>
        </is>
      </c>
      <c r="F3208" t="inlineStr">
        <is>
          <t>(en blanco)</t>
        </is>
      </c>
      <c r="G3208" t="inlineStr">
        <is>
          <t>5XT</t>
        </is>
      </c>
      <c r="H3208" t="n">
        <v>1</v>
      </c>
      <c r="I3208" t="inlineStr">
        <is>
          <t>NAUTICA_MENS_V241201_TML_1.jpg</t>
        </is>
      </c>
      <c r="J3208" t="inlineStr">
        <is>
          <t>NAUTICA_MENS_V241201_TML_2.jpg</t>
        </is>
      </c>
      <c r="K3208" t="inlineStr">
        <is>
          <t>NAUTICA_MENS_V241201_TML_3.jpg</t>
        </is>
      </c>
      <c r="L3208">
        <f>IMAGE("file:///E:/Estudios%20y%20certificaciones/ESTUDIOS%20DE%20PROGRAMMING/PROGRAMMING/PERSONAL/PYTHON/Image_Generator_API/imagenes/NAUTICA_MENS_V241201_TML_1.jpg")</f>
        <v/>
      </c>
      <c r="M3208">
        <f>IMAGE("file:///E:/Estudios%20y%20certificaciones/ESTUDIOS%20DE%20PROGRAMMING/PROGRAMMING/PERSONAL/PYTHON/Image_Generator_API/imagenes/NAUTICA_MENS_V241201_TML_2.jpg")</f>
        <v/>
      </c>
      <c r="N3208">
        <f>IMAGE("file:///E:/Estudios%20y%20certificaciones/ESTUDIOS%20DE%20PROGRAMMING/PROGRAMMING/PERSONAL/PYTHON/Image_Generator_API/imagenes/NAUTICA_MENS_V241201_TML_3.jpg")</f>
        <v/>
      </c>
      <c r="O3208">
        <f>HYPERLINK("imagenes/NAUTICA_MENS_V241201_TML_1.jpg","Ver imagen")</f>
        <v/>
      </c>
      <c r="P3208">
        <f>HYPERLINK("imagenes/NAUTICA_MENS_V241201_TML_2.jpg","Ver imagen")</f>
        <v/>
      </c>
      <c r="Q3208">
        <f>HYPERLINK("imagenes/NAUTICA_MENS_V241201_TML_3.jpg","Ver imagen")</f>
        <v/>
      </c>
    </row>
    <row r="3209">
      <c r="A3209" t="inlineStr">
        <is>
          <t>NAUTICA MENS</t>
        </is>
      </c>
      <c r="B3209" t="inlineStr">
        <is>
          <t>V241201</t>
        </is>
      </c>
      <c r="C3209" t="inlineStr">
        <is>
          <t>NYLON REVERSBL VEST</t>
        </is>
      </c>
      <c r="D3209" t="inlineStr">
        <is>
          <t>TML</t>
        </is>
      </c>
      <c r="E3209" t="inlineStr">
        <is>
          <t>(en blanco)</t>
        </is>
      </c>
      <c r="F3209" t="inlineStr">
        <is>
          <t>(en blanco)</t>
        </is>
      </c>
      <c r="G3209" t="inlineStr">
        <is>
          <t>LT</t>
        </is>
      </c>
      <c r="H3209" t="n">
        <v>2</v>
      </c>
      <c r="I3209" t="inlineStr">
        <is>
          <t>NAUTICA_MENS_V241201_TML_1.jpg</t>
        </is>
      </c>
      <c r="J3209" t="inlineStr">
        <is>
          <t>NAUTICA_MENS_V241201_TML_2.jpg</t>
        </is>
      </c>
      <c r="K3209" t="inlineStr">
        <is>
          <t>NAUTICA_MENS_V241201_TML_3.jpg</t>
        </is>
      </c>
      <c r="L3209">
        <f>IMAGE("file:///E:/Estudios%20y%20certificaciones/ESTUDIOS%20DE%20PROGRAMMING/PROGRAMMING/PERSONAL/PYTHON/Image_Generator_API/imagenes/NAUTICA_MENS_V241201_TML_1.jpg")</f>
        <v/>
      </c>
      <c r="M3209">
        <f>IMAGE("file:///E:/Estudios%20y%20certificaciones/ESTUDIOS%20DE%20PROGRAMMING/PROGRAMMING/PERSONAL/PYTHON/Image_Generator_API/imagenes/NAUTICA_MENS_V241201_TML_2.jpg")</f>
        <v/>
      </c>
      <c r="N3209">
        <f>IMAGE("file:///E:/Estudios%20y%20certificaciones/ESTUDIOS%20DE%20PROGRAMMING/PROGRAMMING/PERSONAL/PYTHON/Image_Generator_API/imagenes/NAUTICA_MENS_V241201_TML_3.jpg")</f>
        <v/>
      </c>
      <c r="O3209">
        <f>HYPERLINK("imagenes/NAUTICA_MENS_V241201_TML_1.jpg","Ver imagen")</f>
        <v/>
      </c>
      <c r="P3209">
        <f>HYPERLINK("imagenes/NAUTICA_MENS_V241201_TML_2.jpg","Ver imagen")</f>
        <v/>
      </c>
      <c r="Q3209">
        <f>HYPERLINK("imagenes/NAUTICA_MENS_V241201_TML_3.jpg","Ver imagen")</f>
        <v/>
      </c>
    </row>
    <row r="3210">
      <c r="A3210" t="inlineStr">
        <is>
          <t>NAUTICA MENS</t>
        </is>
      </c>
      <c r="B3210" t="inlineStr">
        <is>
          <t>V241201</t>
        </is>
      </c>
      <c r="C3210" t="inlineStr">
        <is>
          <t>NYLON REVERSBL VEST</t>
        </is>
      </c>
      <c r="D3210" t="inlineStr">
        <is>
          <t>TML</t>
        </is>
      </c>
      <c r="E3210" t="inlineStr">
        <is>
          <t>(en blanco)</t>
        </is>
      </c>
      <c r="F3210" t="inlineStr">
        <is>
          <t>(en blanco)</t>
        </is>
      </c>
      <c r="G3210" t="inlineStr">
        <is>
          <t>XLT</t>
        </is>
      </c>
      <c r="H3210" t="n">
        <v>3</v>
      </c>
      <c r="I3210" t="inlineStr">
        <is>
          <t>NAUTICA_MENS_V241201_TML_1.jpg</t>
        </is>
      </c>
      <c r="J3210" t="inlineStr">
        <is>
          <t>NAUTICA_MENS_V241201_TML_2.jpg</t>
        </is>
      </c>
      <c r="K3210" t="inlineStr">
        <is>
          <t>NAUTICA_MENS_V241201_TML_3.jpg</t>
        </is>
      </c>
      <c r="L3210">
        <f>IMAGE("file:///E:/Estudios%20y%20certificaciones/ESTUDIOS%20DE%20PROGRAMMING/PROGRAMMING/PERSONAL/PYTHON/Image_Generator_API/imagenes/NAUTICA_MENS_V241201_TML_1.jpg")</f>
        <v/>
      </c>
      <c r="M3210">
        <f>IMAGE("file:///E:/Estudios%20y%20certificaciones/ESTUDIOS%20DE%20PROGRAMMING/PROGRAMMING/PERSONAL/PYTHON/Image_Generator_API/imagenes/NAUTICA_MENS_V241201_TML_2.jpg")</f>
        <v/>
      </c>
      <c r="N3210">
        <f>IMAGE("file:///E:/Estudios%20y%20certificaciones/ESTUDIOS%20DE%20PROGRAMMING/PROGRAMMING/PERSONAL/PYTHON/Image_Generator_API/imagenes/NAUTICA_MENS_V241201_TML_3.jpg")</f>
        <v/>
      </c>
      <c r="O3210">
        <f>HYPERLINK("imagenes/NAUTICA_MENS_V241201_TML_1.jpg","Ver imagen")</f>
        <v/>
      </c>
      <c r="P3210">
        <f>HYPERLINK("imagenes/NAUTICA_MENS_V241201_TML_2.jpg","Ver imagen")</f>
        <v/>
      </c>
      <c r="Q3210">
        <f>HYPERLINK("imagenes/NAUTICA_MENS_V241201_TML_3.jpg","Ver imagen")</f>
        <v/>
      </c>
    </row>
    <row r="3211">
      <c r="A3211" t="inlineStr">
        <is>
          <t>NAUTICA MENS</t>
        </is>
      </c>
      <c r="B3211" t="inlineStr">
        <is>
          <t>V242744</t>
        </is>
      </c>
      <c r="C3211" t="inlineStr">
        <is>
          <t>POLY STRETCH REVERS</t>
        </is>
      </c>
      <c r="D3211" t="inlineStr">
        <is>
          <t>BLK</t>
        </is>
      </c>
      <c r="E3211" t="inlineStr">
        <is>
          <t>(en blanco)</t>
        </is>
      </c>
      <c r="F3211" t="inlineStr">
        <is>
          <t>(en blanco)</t>
        </is>
      </c>
      <c r="G3211" t="inlineStr">
        <is>
          <t>3XT</t>
        </is>
      </c>
      <c r="H3211" t="n">
        <v>8</v>
      </c>
      <c r="I3211" t="inlineStr">
        <is>
          <t>NAUTICA_MENS_V242744_BLK_1.jpg</t>
        </is>
      </c>
      <c r="J3211" t="inlineStr">
        <is>
          <t>NAUTICA_MENS_V242744_BLK_2.jpg</t>
        </is>
      </c>
      <c r="K3211" t="inlineStr">
        <is>
          <t>NAUTICA_MENS_V242744_BLK_3.jpg</t>
        </is>
      </c>
      <c r="L3211">
        <f>IMAGE("file:///E:/Estudios%20y%20certificaciones/ESTUDIOS%20DE%20PROGRAMMING/PROGRAMMING/PERSONAL/PYTHON/Image_Generator_API/imagenes/NAUTICA_MENS_V242744_BLK_1.jpg")</f>
        <v/>
      </c>
      <c r="M3211">
        <f>IMAGE("file:///E:/Estudios%20y%20certificaciones/ESTUDIOS%20DE%20PROGRAMMING/PROGRAMMING/PERSONAL/PYTHON/Image_Generator_API/imagenes/NAUTICA_MENS_V242744_BLK_2.jpg")</f>
        <v/>
      </c>
      <c r="N3211">
        <f>IMAGE("file:///E:/Estudios%20y%20certificaciones/ESTUDIOS%20DE%20PROGRAMMING/PROGRAMMING/PERSONAL/PYTHON/Image_Generator_API/imagenes/NAUTICA_MENS_V242744_BLK_3.jpg")</f>
        <v/>
      </c>
      <c r="O3211">
        <f>HYPERLINK("imagenes/NAUTICA_MENS_V242744_BLK_1.jpg","Ver imagen")</f>
        <v/>
      </c>
      <c r="P3211">
        <f>HYPERLINK("imagenes/NAUTICA_MENS_V242744_BLK_2.jpg","Ver imagen")</f>
        <v/>
      </c>
      <c r="Q3211">
        <f>HYPERLINK("imagenes/NAUTICA_MENS_V242744_BLK_3.jpg","Ver imagen")</f>
        <v/>
      </c>
    </row>
    <row r="3212">
      <c r="A3212" t="inlineStr">
        <is>
          <t>NAUTICA MENS</t>
        </is>
      </c>
      <c r="B3212" t="inlineStr">
        <is>
          <t>V242744</t>
        </is>
      </c>
      <c r="C3212" t="inlineStr">
        <is>
          <t>POLY STRETCH REVERS</t>
        </is>
      </c>
      <c r="D3212" t="inlineStr">
        <is>
          <t>NVY</t>
        </is>
      </c>
      <c r="E3212" t="inlineStr">
        <is>
          <t>(en blanco)</t>
        </is>
      </c>
      <c r="F3212" t="inlineStr">
        <is>
          <t>(en blanco)</t>
        </is>
      </c>
      <c r="G3212" t="inlineStr">
        <is>
          <t>2XT</t>
        </is>
      </c>
      <c r="H3212" t="n">
        <v>1</v>
      </c>
      <c r="I3212" t="inlineStr">
        <is>
          <t>NAUTICA_MENS_V242744_NVY_1.jpg</t>
        </is>
      </c>
      <c r="J3212" t="inlineStr">
        <is>
          <t>NAUTICA_MENS_V242744_NVY_2.jpg</t>
        </is>
      </c>
      <c r="K3212" t="inlineStr">
        <is>
          <t>NAUTICA_MENS_V242744_NVY_3.jpg</t>
        </is>
      </c>
      <c r="L3212">
        <f>IMAGE("file:///E:/Estudios%20y%20certificaciones/ESTUDIOS%20DE%20PROGRAMMING/PROGRAMMING/PERSONAL/PYTHON/Image_Generator_API/imagenes/NAUTICA_MENS_V242744_NVY_1.jpg")</f>
        <v/>
      </c>
      <c r="M3212">
        <f>IMAGE("file:///E:/Estudios%20y%20certificaciones/ESTUDIOS%20DE%20PROGRAMMING/PROGRAMMING/PERSONAL/PYTHON/Image_Generator_API/imagenes/NAUTICA_MENS_V242744_NVY_2.jpg")</f>
        <v/>
      </c>
      <c r="N3212">
        <f>IMAGE("file:///E:/Estudios%20y%20certificaciones/ESTUDIOS%20DE%20PROGRAMMING/PROGRAMMING/PERSONAL/PYTHON/Image_Generator_API/imagenes/NAUTICA_MENS_V242744_NVY_3.jpg")</f>
        <v/>
      </c>
      <c r="O3212">
        <f>HYPERLINK("imagenes/NAUTICA_MENS_V242744_NVY_1.jpg","Ver imagen")</f>
        <v/>
      </c>
      <c r="P3212">
        <f>HYPERLINK("imagenes/NAUTICA_MENS_V242744_NVY_2.jpg","Ver imagen")</f>
        <v/>
      </c>
      <c r="Q3212">
        <f>HYPERLINK("imagenes/NAUTICA_MENS_V242744_NVY_3.jpg","Ver imagen")</f>
        <v/>
      </c>
    </row>
    <row r="3213">
      <c r="A3213" t="inlineStr">
        <is>
          <t>NAUTICA MENS</t>
        </is>
      </c>
      <c r="B3213" t="inlineStr">
        <is>
          <t>V242744</t>
        </is>
      </c>
      <c r="C3213" t="inlineStr">
        <is>
          <t>POLY STRETCH REVERS</t>
        </is>
      </c>
      <c r="D3213" t="inlineStr">
        <is>
          <t>NVY</t>
        </is>
      </c>
      <c r="E3213" t="inlineStr">
        <is>
          <t>(en blanco)</t>
        </is>
      </c>
      <c r="F3213" t="inlineStr">
        <is>
          <t>(en blanco)</t>
        </is>
      </c>
      <c r="G3213" t="inlineStr">
        <is>
          <t>3XT</t>
        </is>
      </c>
      <c r="H3213" t="n">
        <v>1</v>
      </c>
      <c r="I3213" t="inlineStr">
        <is>
          <t>NAUTICA_MENS_V242744_NVY_1.jpg</t>
        </is>
      </c>
      <c r="J3213" t="inlineStr">
        <is>
          <t>NAUTICA_MENS_V242744_NVY_2.jpg</t>
        </is>
      </c>
      <c r="K3213" t="inlineStr">
        <is>
          <t>NAUTICA_MENS_V242744_NVY_3.jpg</t>
        </is>
      </c>
      <c r="L3213">
        <f>IMAGE("file:///E:/Estudios%20y%20certificaciones/ESTUDIOS%20DE%20PROGRAMMING/PROGRAMMING/PERSONAL/PYTHON/Image_Generator_API/imagenes/NAUTICA_MENS_V242744_NVY_1.jpg")</f>
        <v/>
      </c>
      <c r="M3213">
        <f>IMAGE("file:///E:/Estudios%20y%20certificaciones/ESTUDIOS%20DE%20PROGRAMMING/PROGRAMMING/PERSONAL/PYTHON/Image_Generator_API/imagenes/NAUTICA_MENS_V242744_NVY_2.jpg")</f>
        <v/>
      </c>
      <c r="N3213">
        <f>IMAGE("file:///E:/Estudios%20y%20certificaciones/ESTUDIOS%20DE%20PROGRAMMING/PROGRAMMING/PERSONAL/PYTHON/Image_Generator_API/imagenes/NAUTICA_MENS_V242744_NVY_3.jpg")</f>
        <v/>
      </c>
      <c r="O3213">
        <f>HYPERLINK("imagenes/NAUTICA_MENS_V242744_NVY_1.jpg","Ver imagen")</f>
        <v/>
      </c>
      <c r="P3213">
        <f>HYPERLINK("imagenes/NAUTICA_MENS_V242744_NVY_2.jpg","Ver imagen")</f>
        <v/>
      </c>
      <c r="Q3213">
        <f>HYPERLINK("imagenes/NAUTICA_MENS_V242744_NVY_3.jpg","Ver imagen")</f>
        <v/>
      </c>
    </row>
    <row r="3214">
      <c r="A3214" t="inlineStr">
        <is>
          <t>NAUTICA MENS</t>
        </is>
      </c>
      <c r="B3214" t="inlineStr">
        <is>
          <t>V247597</t>
        </is>
      </c>
      <c r="C3214" t="inlineStr">
        <is>
          <t>FX SHRLNG OPEN BTTM</t>
        </is>
      </c>
      <c r="D3214" t="inlineStr">
        <is>
          <t>DBR</t>
        </is>
      </c>
      <c r="E3214" t="inlineStr">
        <is>
          <t>(en blanco)</t>
        </is>
      </c>
      <c r="F3214" t="inlineStr">
        <is>
          <t>(en blanco)</t>
        </is>
      </c>
      <c r="G3214" t="inlineStr">
        <is>
          <t>2XT</t>
        </is>
      </c>
      <c r="H3214" t="n">
        <v>2</v>
      </c>
      <c r="I3214" t="inlineStr">
        <is>
          <t>NAUTICA_MENS_V247597_DBR_1.jpg</t>
        </is>
      </c>
      <c r="J3214" t="inlineStr">
        <is>
          <t>NAUTICA_MENS_V247597_DBR_2.jpg</t>
        </is>
      </c>
      <c r="K3214" t="inlineStr">
        <is>
          <t>NAUTICA_MENS_V247597_DBR_3.jpg</t>
        </is>
      </c>
      <c r="L3214">
        <f>IMAGE("file:///E:/Estudios%20y%20certificaciones/ESTUDIOS%20DE%20PROGRAMMING/PROGRAMMING/PERSONAL/PYTHON/Image_Generator_API/imagenes/NAUTICA_MENS_V247597_DBR_1.jpg")</f>
        <v/>
      </c>
      <c r="M3214">
        <f>IMAGE("file:///E:/Estudios%20y%20certificaciones/ESTUDIOS%20DE%20PROGRAMMING/PROGRAMMING/PERSONAL/PYTHON/Image_Generator_API/imagenes/NAUTICA_MENS_V247597_DBR_2.jpg")</f>
        <v/>
      </c>
      <c r="N3214">
        <f>IMAGE("file:///E:/Estudios%20y%20certificaciones/ESTUDIOS%20DE%20PROGRAMMING/PROGRAMMING/PERSONAL/PYTHON/Image_Generator_API/imagenes/NAUTICA_MENS_V247597_DBR_3.jpg")</f>
        <v/>
      </c>
      <c r="O3214">
        <f>HYPERLINK("imagenes/NAUTICA_MENS_V247597_DBR_1.jpg","Ver imagen")</f>
        <v/>
      </c>
      <c r="P3214">
        <f>HYPERLINK("imagenes/NAUTICA_MENS_V247597_DBR_2.jpg","Ver imagen")</f>
        <v/>
      </c>
      <c r="Q3214">
        <f>HYPERLINK("imagenes/NAUTICA_MENS_V247597_DBR_3.jpg","Ver imagen")</f>
        <v/>
      </c>
    </row>
    <row r="3215">
      <c r="A3215" t="inlineStr">
        <is>
          <t>NAUTICA MENS</t>
        </is>
      </c>
      <c r="B3215" t="inlineStr">
        <is>
          <t>V247597</t>
        </is>
      </c>
      <c r="C3215" t="inlineStr">
        <is>
          <t>FX SHRLNG OPEN BTTM</t>
        </is>
      </c>
      <c r="D3215" t="inlineStr">
        <is>
          <t>DBR</t>
        </is>
      </c>
      <c r="E3215" t="inlineStr">
        <is>
          <t>(en blanco)</t>
        </is>
      </c>
      <c r="F3215" t="inlineStr">
        <is>
          <t>(en blanco)</t>
        </is>
      </c>
      <c r="G3215" t="inlineStr">
        <is>
          <t>3XT</t>
        </is>
      </c>
      <c r="H3215" t="n">
        <v>1</v>
      </c>
      <c r="I3215" t="inlineStr">
        <is>
          <t>NAUTICA_MENS_V247597_DBR_1.jpg</t>
        </is>
      </c>
      <c r="J3215" t="inlineStr">
        <is>
          <t>NAUTICA_MENS_V247597_DBR_2.jpg</t>
        </is>
      </c>
      <c r="K3215" t="inlineStr">
        <is>
          <t>NAUTICA_MENS_V247597_DBR_3.jpg</t>
        </is>
      </c>
      <c r="L3215">
        <f>IMAGE("file:///E:/Estudios%20y%20certificaciones/ESTUDIOS%20DE%20PROGRAMMING/PROGRAMMING/PERSONAL/PYTHON/Image_Generator_API/imagenes/NAUTICA_MENS_V247597_DBR_1.jpg")</f>
        <v/>
      </c>
      <c r="M3215">
        <f>IMAGE("file:///E:/Estudios%20y%20certificaciones/ESTUDIOS%20DE%20PROGRAMMING/PROGRAMMING/PERSONAL/PYTHON/Image_Generator_API/imagenes/NAUTICA_MENS_V247597_DBR_2.jpg")</f>
        <v/>
      </c>
      <c r="N3215">
        <f>IMAGE("file:///E:/Estudios%20y%20certificaciones/ESTUDIOS%20DE%20PROGRAMMING/PROGRAMMING/PERSONAL/PYTHON/Image_Generator_API/imagenes/NAUTICA_MENS_V247597_DBR_3.jpg")</f>
        <v/>
      </c>
      <c r="O3215">
        <f>HYPERLINK("imagenes/NAUTICA_MENS_V247597_DBR_1.jpg","Ver imagen")</f>
        <v/>
      </c>
      <c r="P3215">
        <f>HYPERLINK("imagenes/NAUTICA_MENS_V247597_DBR_2.jpg","Ver imagen")</f>
        <v/>
      </c>
      <c r="Q3215">
        <f>HYPERLINK("imagenes/NAUTICA_MENS_V247597_DBR_3.jpg","Ver imagen")</f>
        <v/>
      </c>
    </row>
    <row r="3216">
      <c r="A3216" t="inlineStr">
        <is>
          <t>NAUTICA MENS</t>
        </is>
      </c>
      <c r="B3216" t="inlineStr">
        <is>
          <t>V247597</t>
        </is>
      </c>
      <c r="C3216" t="inlineStr">
        <is>
          <t>FX SHRLNG OPEN BTTM</t>
        </is>
      </c>
      <c r="D3216" t="inlineStr">
        <is>
          <t>DBR</t>
        </is>
      </c>
      <c r="E3216" t="inlineStr">
        <is>
          <t>(en blanco)</t>
        </is>
      </c>
      <c r="F3216" t="inlineStr">
        <is>
          <t>(en blanco)</t>
        </is>
      </c>
      <c r="G3216" t="inlineStr">
        <is>
          <t>XLT</t>
        </is>
      </c>
      <c r="H3216" t="n">
        <v>1</v>
      </c>
      <c r="I3216" t="inlineStr">
        <is>
          <t>NAUTICA_MENS_V247597_DBR_1.jpg</t>
        </is>
      </c>
      <c r="J3216" t="inlineStr">
        <is>
          <t>NAUTICA_MENS_V247597_DBR_2.jpg</t>
        </is>
      </c>
      <c r="K3216" t="inlineStr">
        <is>
          <t>NAUTICA_MENS_V247597_DBR_3.jpg</t>
        </is>
      </c>
      <c r="L3216">
        <f>IMAGE("file:///E:/Estudios%20y%20certificaciones/ESTUDIOS%20DE%20PROGRAMMING/PROGRAMMING/PERSONAL/PYTHON/Image_Generator_API/imagenes/NAUTICA_MENS_V247597_DBR_1.jpg")</f>
        <v/>
      </c>
      <c r="M3216">
        <f>IMAGE("file:///E:/Estudios%20y%20certificaciones/ESTUDIOS%20DE%20PROGRAMMING/PROGRAMMING/PERSONAL/PYTHON/Image_Generator_API/imagenes/NAUTICA_MENS_V247597_DBR_2.jpg")</f>
        <v/>
      </c>
      <c r="N3216">
        <f>IMAGE("file:///E:/Estudios%20y%20certificaciones/ESTUDIOS%20DE%20PROGRAMMING/PROGRAMMING/PERSONAL/PYTHON/Image_Generator_API/imagenes/NAUTICA_MENS_V247597_DBR_3.jpg")</f>
        <v/>
      </c>
      <c r="O3216">
        <f>HYPERLINK("imagenes/NAUTICA_MENS_V247597_DBR_1.jpg","Ver imagen")</f>
        <v/>
      </c>
      <c r="P3216">
        <f>HYPERLINK("imagenes/NAUTICA_MENS_V247597_DBR_2.jpg","Ver imagen")</f>
        <v/>
      </c>
      <c r="Q3216">
        <f>HYPERLINK("imagenes/NAUTICA_MENS_V247597_DBR_3.jpg","Ver imagen")</f>
        <v/>
      </c>
    </row>
    <row r="3217">
      <c r="A3217" t="inlineStr">
        <is>
          <t>NAUTICA MENS</t>
        </is>
      </c>
      <c r="B3217" t="inlineStr">
        <is>
          <t>V320314S</t>
        </is>
      </c>
      <c r="C3217" t="inlineStr">
        <is>
          <t>PLY OPEN BTM W/HOOD</t>
        </is>
      </c>
      <c r="D3217" t="inlineStr">
        <is>
          <t>NVY</t>
        </is>
      </c>
      <c r="E3217" t="inlineStr">
        <is>
          <t>(en blanco)</t>
        </is>
      </c>
      <c r="F3217" t="inlineStr">
        <is>
          <t>(en blanco)</t>
        </is>
      </c>
      <c r="G3217" t="inlineStr">
        <is>
          <t>S</t>
        </is>
      </c>
      <c r="H3217" t="n">
        <v>1</v>
      </c>
      <c r="I3217" t="inlineStr">
        <is>
          <t>NAUTICA_MENS_V320314S_NVY_1.jpg</t>
        </is>
      </c>
      <c r="J3217" t="inlineStr">
        <is>
          <t>NAUTICA_MENS_V320314S_NVY_2.jpg</t>
        </is>
      </c>
      <c r="K3217" t="inlineStr">
        <is>
          <t>NAUTICA_MENS_V320314S_NVY_3.jpg</t>
        </is>
      </c>
      <c r="L3217">
        <f>IMAGE("file:///E:/Estudios%20y%20certificaciones/ESTUDIOS%20DE%20PROGRAMMING/PROGRAMMING/PERSONAL/PYTHON/Image_Generator_API/imagenes/NAUTICA_MENS_V320314S_NVY_1.jpg")</f>
        <v/>
      </c>
      <c r="M3217">
        <f>IMAGE("file:///E:/Estudios%20y%20certificaciones/ESTUDIOS%20DE%20PROGRAMMING/PROGRAMMING/PERSONAL/PYTHON/Image_Generator_API/imagenes/NAUTICA_MENS_V320314S_NVY_2.jpg")</f>
        <v/>
      </c>
      <c r="N3217">
        <f>IMAGE("file:///E:/Estudios%20y%20certificaciones/ESTUDIOS%20DE%20PROGRAMMING/PROGRAMMING/PERSONAL/PYTHON/Image_Generator_API/imagenes/NAUTICA_MENS_V320314S_NVY_3.jpg")</f>
        <v/>
      </c>
      <c r="O3217">
        <f>HYPERLINK("imagenes/NAUTICA_MENS_V320314S_NVY_1.jpg","Ver imagen")</f>
        <v/>
      </c>
      <c r="P3217">
        <f>HYPERLINK("imagenes/NAUTICA_MENS_V320314S_NVY_2.jpg","Ver imagen")</f>
        <v/>
      </c>
      <c r="Q3217">
        <f>HYPERLINK("imagenes/NAUTICA_MENS_V320314S_NVY_3.jpg","Ver imagen")</f>
        <v/>
      </c>
    </row>
    <row r="3218">
      <c r="A3218" t="inlineStr">
        <is>
          <t>NAUTICA MENS</t>
        </is>
      </c>
      <c r="B3218" t="inlineStr">
        <is>
          <t>V320314S</t>
        </is>
      </c>
      <c r="C3218" t="inlineStr">
        <is>
          <t>PLY OPEN BTM W/HOOD</t>
        </is>
      </c>
      <c r="D3218" t="inlineStr">
        <is>
          <t>SCM</t>
        </is>
      </c>
      <c r="E3218" t="inlineStr">
        <is>
          <t>(en blanco)</t>
        </is>
      </c>
      <c r="F3218" t="inlineStr">
        <is>
          <t>(en blanco)</t>
        </is>
      </c>
      <c r="G3218" t="inlineStr">
        <is>
          <t>M</t>
        </is>
      </c>
      <c r="H3218" t="n">
        <v>4</v>
      </c>
      <c r="I3218" t="inlineStr">
        <is>
          <t>NAUTICA_MENS_V320314S_SCM_1.jpg</t>
        </is>
      </c>
      <c r="J3218" t="inlineStr">
        <is>
          <t>NAUTICA_MENS_V320314S_SCM_2.jpg</t>
        </is>
      </c>
      <c r="K3218" t="inlineStr">
        <is>
          <t>NAUTICA_MENS_V320314S_SCM_3.jpg</t>
        </is>
      </c>
      <c r="L3218">
        <f>IMAGE("file:///E:/Estudios%20y%20certificaciones/ESTUDIOS%20DE%20PROGRAMMING/PROGRAMMING/PERSONAL/PYTHON/Image_Generator_API/imagenes/NAUTICA_MENS_V320314S_SCM_1.jpg")</f>
        <v/>
      </c>
      <c r="M3218">
        <f>IMAGE("file:///E:/Estudios%20y%20certificaciones/ESTUDIOS%20DE%20PROGRAMMING/PROGRAMMING/PERSONAL/PYTHON/Image_Generator_API/imagenes/NAUTICA_MENS_V320314S_SCM_2.jpg")</f>
        <v/>
      </c>
      <c r="N3218">
        <f>IMAGE("file:///E:/Estudios%20y%20certificaciones/ESTUDIOS%20DE%20PROGRAMMING/PROGRAMMING/PERSONAL/PYTHON/Image_Generator_API/imagenes/NAUTICA_MENS_V320314S_SCM_3.jpg")</f>
        <v/>
      </c>
      <c r="O3218">
        <f>HYPERLINK("imagenes/NAUTICA_MENS_V320314S_SCM_1.jpg","Ver imagen")</f>
        <v/>
      </c>
      <c r="P3218">
        <f>HYPERLINK("imagenes/NAUTICA_MENS_V320314S_SCM_2.jpg","Ver imagen")</f>
        <v/>
      </c>
      <c r="Q3218">
        <f>HYPERLINK("imagenes/NAUTICA_MENS_V320314S_SCM_3.jpg","Ver imagen")</f>
        <v/>
      </c>
    </row>
    <row r="3219">
      <c r="A3219" t="inlineStr">
        <is>
          <t>NAUTICA MENS</t>
        </is>
      </c>
      <c r="B3219" t="inlineStr">
        <is>
          <t>V320314S</t>
        </is>
      </c>
      <c r="C3219" t="inlineStr">
        <is>
          <t>PLY OPEN BTM W/HOOD</t>
        </is>
      </c>
      <c r="D3219" t="inlineStr">
        <is>
          <t>SCM</t>
        </is>
      </c>
      <c r="E3219" t="inlineStr">
        <is>
          <t>(en blanco)</t>
        </is>
      </c>
      <c r="F3219" t="inlineStr">
        <is>
          <t>(en blanco)</t>
        </is>
      </c>
      <c r="G3219" t="inlineStr">
        <is>
          <t>L</t>
        </is>
      </c>
      <c r="H3219" t="n">
        <v>1</v>
      </c>
      <c r="I3219" t="inlineStr">
        <is>
          <t>NAUTICA_MENS_V320314S_SCM_1.jpg</t>
        </is>
      </c>
      <c r="J3219" t="inlineStr">
        <is>
          <t>NAUTICA_MENS_V320314S_SCM_2.jpg</t>
        </is>
      </c>
      <c r="K3219" t="inlineStr">
        <is>
          <t>NAUTICA_MENS_V320314S_SCM_3.jpg</t>
        </is>
      </c>
      <c r="L3219">
        <f>IMAGE("file:///E:/Estudios%20y%20certificaciones/ESTUDIOS%20DE%20PROGRAMMING/PROGRAMMING/PERSONAL/PYTHON/Image_Generator_API/imagenes/NAUTICA_MENS_V320314S_SCM_1.jpg")</f>
        <v/>
      </c>
      <c r="M3219">
        <f>IMAGE("file:///E:/Estudios%20y%20certificaciones/ESTUDIOS%20DE%20PROGRAMMING/PROGRAMMING/PERSONAL/PYTHON/Image_Generator_API/imagenes/NAUTICA_MENS_V320314S_SCM_2.jpg")</f>
        <v/>
      </c>
      <c r="N3219">
        <f>IMAGE("file:///E:/Estudios%20y%20certificaciones/ESTUDIOS%20DE%20PROGRAMMING/PROGRAMMING/PERSONAL/PYTHON/Image_Generator_API/imagenes/NAUTICA_MENS_V320314S_SCM_3.jpg")</f>
        <v/>
      </c>
      <c r="O3219">
        <f>HYPERLINK("imagenes/NAUTICA_MENS_V320314S_SCM_1.jpg","Ver imagen")</f>
        <v/>
      </c>
      <c r="P3219">
        <f>HYPERLINK("imagenes/NAUTICA_MENS_V320314S_SCM_2.jpg","Ver imagen")</f>
        <v/>
      </c>
      <c r="Q3219">
        <f>HYPERLINK("imagenes/NAUTICA_MENS_V320314S_SCM_3.jpg","Ver imagen")</f>
        <v/>
      </c>
    </row>
    <row r="3220">
      <c r="A3220" t="inlineStr">
        <is>
          <t>NAUTICA MENS</t>
        </is>
      </c>
      <c r="B3220" t="inlineStr">
        <is>
          <t>V320328R</t>
        </is>
      </c>
      <c r="C3220" t="inlineStr">
        <is>
          <t>POLY OPEN BOTTOM</t>
        </is>
      </c>
      <c r="D3220" t="inlineStr">
        <is>
          <t>RNV</t>
        </is>
      </c>
      <c r="E3220" t="inlineStr">
        <is>
          <t>(en blanco)</t>
        </is>
      </c>
      <c r="F3220" t="inlineStr">
        <is>
          <t>(en blanco)</t>
        </is>
      </c>
      <c r="G3220" t="inlineStr">
        <is>
          <t>XL</t>
        </is>
      </c>
      <c r="H3220" t="n">
        <v>1</v>
      </c>
      <c r="I3220" t="inlineStr">
        <is>
          <t>NAUTICA_MENS_V320328R_RNV_1.jpg</t>
        </is>
      </c>
      <c r="J3220" t="inlineStr">
        <is>
          <t>NAUTICA_MENS_V320328R_RNV_2.jpg</t>
        </is>
      </c>
      <c r="K3220" t="inlineStr">
        <is>
          <t>NAUTICA_MENS_V320328R_RNV_3.jpg</t>
        </is>
      </c>
      <c r="L3220">
        <f>IMAGE("file:///E:/Estudios%20y%20certificaciones/ESTUDIOS%20DE%20PROGRAMMING/PROGRAMMING/PERSONAL/PYTHON/Image_Generator_API/imagenes/NAUTICA_MENS_V320328R_RNV_1.jpg")</f>
        <v/>
      </c>
      <c r="M3220">
        <f>IMAGE("file:///E:/Estudios%20y%20certificaciones/ESTUDIOS%20DE%20PROGRAMMING/PROGRAMMING/PERSONAL/PYTHON/Image_Generator_API/imagenes/NAUTICA_MENS_V320328R_RNV_2.jpg")</f>
        <v/>
      </c>
      <c r="N3220">
        <f>IMAGE("file:///E:/Estudios%20y%20certificaciones/ESTUDIOS%20DE%20PROGRAMMING/PROGRAMMING/PERSONAL/PYTHON/Image_Generator_API/imagenes/NAUTICA_MENS_V320328R_RNV_3.jpg")</f>
        <v/>
      </c>
      <c r="O3220">
        <f>HYPERLINK("imagenes/NAUTICA_MENS_V320328R_RNV_1.jpg","Ver imagen")</f>
        <v/>
      </c>
      <c r="P3220">
        <f>HYPERLINK("imagenes/NAUTICA_MENS_V320328R_RNV_2.jpg","Ver imagen")</f>
        <v/>
      </c>
      <c r="Q3220">
        <f>HYPERLINK("imagenes/NAUTICA_MENS_V320328R_RNV_3.jpg","Ver imagen")</f>
        <v/>
      </c>
    </row>
    <row r="3221">
      <c r="A3221" t="inlineStr">
        <is>
          <t>NAUTICA MENS</t>
        </is>
      </c>
      <c r="B3221" t="inlineStr">
        <is>
          <t>V322453M</t>
        </is>
      </c>
      <c r="C3221" t="inlineStr">
        <is>
          <t>STRETCH OPEN BOTTOM</t>
        </is>
      </c>
      <c r="D3221" t="inlineStr">
        <is>
          <t>ART</t>
        </is>
      </c>
      <c r="E3221" t="inlineStr">
        <is>
          <t>(en blanco)</t>
        </is>
      </c>
      <c r="F3221" t="inlineStr">
        <is>
          <t>D2C</t>
        </is>
      </c>
      <c r="G3221" t="inlineStr">
        <is>
          <t>S</t>
        </is>
      </c>
      <c r="H3221" t="n">
        <v>8</v>
      </c>
      <c r="I3221" t="inlineStr">
        <is>
          <t>NAUTICA_MENS_V322453M_ART_1.jpg</t>
        </is>
      </c>
      <c r="J3221" t="inlineStr">
        <is>
          <t>NAUTICA_MENS_V322453M_ART_2.jpg</t>
        </is>
      </c>
      <c r="K3221" t="inlineStr">
        <is>
          <t>NAUTICA_MENS_V322453M_ART_3.jpg</t>
        </is>
      </c>
      <c r="L3221">
        <f>IMAGE("file:///E:/Estudios%20y%20certificaciones/ESTUDIOS%20DE%20PROGRAMMING/PROGRAMMING/PERSONAL/PYTHON/Image_Generator_API/imagenes/NAUTICA_MENS_V322453M_ART_1.jpg")</f>
        <v/>
      </c>
      <c r="M3221">
        <f>IMAGE("file:///E:/Estudios%20y%20certificaciones/ESTUDIOS%20DE%20PROGRAMMING/PROGRAMMING/PERSONAL/PYTHON/Image_Generator_API/imagenes/NAUTICA_MENS_V322453M_ART_2.jpg")</f>
        <v/>
      </c>
      <c r="N3221">
        <f>IMAGE("file:///E:/Estudios%20y%20certificaciones/ESTUDIOS%20DE%20PROGRAMMING/PROGRAMMING/PERSONAL/PYTHON/Image_Generator_API/imagenes/NAUTICA_MENS_V322453M_ART_3.jpg")</f>
        <v/>
      </c>
      <c r="O3221">
        <f>HYPERLINK("imagenes/NAUTICA_MENS_V322453M_ART_1.jpg","Ver imagen")</f>
        <v/>
      </c>
      <c r="P3221">
        <f>HYPERLINK("imagenes/NAUTICA_MENS_V322453M_ART_2.jpg","Ver imagen")</f>
        <v/>
      </c>
      <c r="Q3221">
        <f>HYPERLINK("imagenes/NAUTICA_MENS_V322453M_ART_3.jpg","Ver imagen")</f>
        <v/>
      </c>
    </row>
    <row r="3222">
      <c r="A3222" t="inlineStr">
        <is>
          <t>NAUTICA MENS</t>
        </is>
      </c>
      <c r="B3222" t="inlineStr">
        <is>
          <t>V322453M</t>
        </is>
      </c>
      <c r="C3222" t="inlineStr">
        <is>
          <t>STRETCH OPEN BOTTOM</t>
        </is>
      </c>
      <c r="D3222" t="inlineStr">
        <is>
          <t>ART</t>
        </is>
      </c>
      <c r="E3222" t="inlineStr">
        <is>
          <t>(en blanco)</t>
        </is>
      </c>
      <c r="F3222" t="inlineStr">
        <is>
          <t>D2C</t>
        </is>
      </c>
      <c r="G3222" t="inlineStr">
        <is>
          <t>M</t>
        </is>
      </c>
      <c r="H3222" t="n">
        <v>30</v>
      </c>
      <c r="I3222" t="inlineStr">
        <is>
          <t>NAUTICA_MENS_V322453M_ART_1.jpg</t>
        </is>
      </c>
      <c r="J3222" t="inlineStr">
        <is>
          <t>NAUTICA_MENS_V322453M_ART_2.jpg</t>
        </is>
      </c>
      <c r="K3222" t="inlineStr">
        <is>
          <t>NAUTICA_MENS_V322453M_ART_3.jpg</t>
        </is>
      </c>
      <c r="L3222">
        <f>IMAGE("file:///E:/Estudios%20y%20certificaciones/ESTUDIOS%20DE%20PROGRAMMING/PROGRAMMING/PERSONAL/PYTHON/Image_Generator_API/imagenes/NAUTICA_MENS_V322453M_ART_1.jpg")</f>
        <v/>
      </c>
      <c r="M3222">
        <f>IMAGE("file:///E:/Estudios%20y%20certificaciones/ESTUDIOS%20DE%20PROGRAMMING/PROGRAMMING/PERSONAL/PYTHON/Image_Generator_API/imagenes/NAUTICA_MENS_V322453M_ART_2.jpg")</f>
        <v/>
      </c>
      <c r="N3222">
        <f>IMAGE("file:///E:/Estudios%20y%20certificaciones/ESTUDIOS%20DE%20PROGRAMMING/PROGRAMMING/PERSONAL/PYTHON/Image_Generator_API/imagenes/NAUTICA_MENS_V322453M_ART_3.jpg")</f>
        <v/>
      </c>
      <c r="O3222">
        <f>HYPERLINK("imagenes/NAUTICA_MENS_V322453M_ART_1.jpg","Ver imagen")</f>
        <v/>
      </c>
      <c r="P3222">
        <f>HYPERLINK("imagenes/NAUTICA_MENS_V322453M_ART_2.jpg","Ver imagen")</f>
        <v/>
      </c>
      <c r="Q3222">
        <f>HYPERLINK("imagenes/NAUTICA_MENS_V322453M_ART_3.jpg","Ver imagen")</f>
        <v/>
      </c>
    </row>
    <row r="3223">
      <c r="A3223" t="inlineStr">
        <is>
          <t>NAUTICA MENS</t>
        </is>
      </c>
      <c r="B3223" t="inlineStr">
        <is>
          <t>V322453M</t>
        </is>
      </c>
      <c r="C3223" t="inlineStr">
        <is>
          <t>STRETCH OPEN BOTTOM</t>
        </is>
      </c>
      <c r="D3223" t="inlineStr">
        <is>
          <t>ART</t>
        </is>
      </c>
      <c r="E3223" t="inlineStr">
        <is>
          <t>(en blanco)</t>
        </is>
      </c>
      <c r="F3223" t="inlineStr">
        <is>
          <t>D2C</t>
        </is>
      </c>
      <c r="G3223" t="inlineStr">
        <is>
          <t>L</t>
        </is>
      </c>
      <c r="H3223" t="n">
        <v>15</v>
      </c>
      <c r="I3223" t="inlineStr">
        <is>
          <t>NAUTICA_MENS_V322453M_ART_1.jpg</t>
        </is>
      </c>
      <c r="J3223" t="inlineStr">
        <is>
          <t>NAUTICA_MENS_V322453M_ART_2.jpg</t>
        </is>
      </c>
      <c r="K3223" t="inlineStr">
        <is>
          <t>NAUTICA_MENS_V322453M_ART_3.jpg</t>
        </is>
      </c>
      <c r="L3223">
        <f>IMAGE("file:///E:/Estudios%20y%20certificaciones/ESTUDIOS%20DE%20PROGRAMMING/PROGRAMMING/PERSONAL/PYTHON/Image_Generator_API/imagenes/NAUTICA_MENS_V322453M_ART_1.jpg")</f>
        <v/>
      </c>
      <c r="M3223">
        <f>IMAGE("file:///E:/Estudios%20y%20certificaciones/ESTUDIOS%20DE%20PROGRAMMING/PROGRAMMING/PERSONAL/PYTHON/Image_Generator_API/imagenes/NAUTICA_MENS_V322453M_ART_2.jpg")</f>
        <v/>
      </c>
      <c r="N3223">
        <f>IMAGE("file:///E:/Estudios%20y%20certificaciones/ESTUDIOS%20DE%20PROGRAMMING/PROGRAMMING/PERSONAL/PYTHON/Image_Generator_API/imagenes/NAUTICA_MENS_V322453M_ART_3.jpg")</f>
        <v/>
      </c>
      <c r="O3223">
        <f>HYPERLINK("imagenes/NAUTICA_MENS_V322453M_ART_1.jpg","Ver imagen")</f>
        <v/>
      </c>
      <c r="P3223">
        <f>HYPERLINK("imagenes/NAUTICA_MENS_V322453M_ART_2.jpg","Ver imagen")</f>
        <v/>
      </c>
      <c r="Q3223">
        <f>HYPERLINK("imagenes/NAUTICA_MENS_V322453M_ART_3.jpg","Ver imagen")</f>
        <v/>
      </c>
    </row>
    <row r="3224">
      <c r="A3224" t="inlineStr">
        <is>
          <t>NAUTICA MENS</t>
        </is>
      </c>
      <c r="B3224" t="inlineStr">
        <is>
          <t>V322453M</t>
        </is>
      </c>
      <c r="C3224" t="inlineStr">
        <is>
          <t>STRETCH OPEN BOTTOM</t>
        </is>
      </c>
      <c r="D3224" t="inlineStr">
        <is>
          <t>ART</t>
        </is>
      </c>
      <c r="E3224" t="inlineStr">
        <is>
          <t>(en blanco)</t>
        </is>
      </c>
      <c r="F3224" t="inlineStr">
        <is>
          <t>D2C</t>
        </is>
      </c>
      <c r="G3224" t="inlineStr">
        <is>
          <t>XL</t>
        </is>
      </c>
      <c r="H3224" t="n">
        <v>31</v>
      </c>
      <c r="I3224" t="inlineStr">
        <is>
          <t>NAUTICA_MENS_V322453M_ART_1.jpg</t>
        </is>
      </c>
      <c r="J3224" t="inlineStr">
        <is>
          <t>NAUTICA_MENS_V322453M_ART_2.jpg</t>
        </is>
      </c>
      <c r="K3224" t="inlineStr">
        <is>
          <t>NAUTICA_MENS_V322453M_ART_3.jpg</t>
        </is>
      </c>
      <c r="L3224">
        <f>IMAGE("file:///E:/Estudios%20y%20certificaciones/ESTUDIOS%20DE%20PROGRAMMING/PROGRAMMING/PERSONAL/PYTHON/Image_Generator_API/imagenes/NAUTICA_MENS_V322453M_ART_1.jpg")</f>
        <v/>
      </c>
      <c r="M3224">
        <f>IMAGE("file:///E:/Estudios%20y%20certificaciones/ESTUDIOS%20DE%20PROGRAMMING/PROGRAMMING/PERSONAL/PYTHON/Image_Generator_API/imagenes/NAUTICA_MENS_V322453M_ART_2.jpg")</f>
        <v/>
      </c>
      <c r="N3224">
        <f>IMAGE("file:///E:/Estudios%20y%20certificaciones/ESTUDIOS%20DE%20PROGRAMMING/PROGRAMMING/PERSONAL/PYTHON/Image_Generator_API/imagenes/NAUTICA_MENS_V322453M_ART_3.jpg")</f>
        <v/>
      </c>
      <c r="O3224">
        <f>HYPERLINK("imagenes/NAUTICA_MENS_V322453M_ART_1.jpg","Ver imagen")</f>
        <v/>
      </c>
      <c r="P3224">
        <f>HYPERLINK("imagenes/NAUTICA_MENS_V322453M_ART_2.jpg","Ver imagen")</f>
        <v/>
      </c>
      <c r="Q3224">
        <f>HYPERLINK("imagenes/NAUTICA_MENS_V322453M_ART_3.jpg","Ver imagen")</f>
        <v/>
      </c>
    </row>
    <row r="3225">
      <c r="A3225" t="inlineStr">
        <is>
          <t>NAUTICA MENS</t>
        </is>
      </c>
      <c r="B3225" t="inlineStr">
        <is>
          <t>V322453M</t>
        </is>
      </c>
      <c r="C3225" t="inlineStr">
        <is>
          <t>STRETCH OPEN BOTTOM</t>
        </is>
      </c>
      <c r="D3225" t="inlineStr">
        <is>
          <t>ART</t>
        </is>
      </c>
      <c r="E3225" t="inlineStr">
        <is>
          <t>(en blanco)</t>
        </is>
      </c>
      <c r="F3225" t="inlineStr">
        <is>
          <t>D2C</t>
        </is>
      </c>
      <c r="G3225" t="inlineStr">
        <is>
          <t>XXL</t>
        </is>
      </c>
      <c r="H3225" t="n">
        <v>5</v>
      </c>
      <c r="I3225" t="inlineStr">
        <is>
          <t>NAUTICA_MENS_V322453M_ART_1.jpg</t>
        </is>
      </c>
      <c r="J3225" t="inlineStr">
        <is>
          <t>NAUTICA_MENS_V322453M_ART_2.jpg</t>
        </is>
      </c>
      <c r="K3225" t="inlineStr">
        <is>
          <t>NAUTICA_MENS_V322453M_ART_3.jpg</t>
        </is>
      </c>
      <c r="L3225">
        <f>IMAGE("file:///E:/Estudios%20y%20certificaciones/ESTUDIOS%20DE%20PROGRAMMING/PROGRAMMING/PERSONAL/PYTHON/Image_Generator_API/imagenes/NAUTICA_MENS_V322453M_ART_1.jpg")</f>
        <v/>
      </c>
      <c r="M3225">
        <f>IMAGE("file:///E:/Estudios%20y%20certificaciones/ESTUDIOS%20DE%20PROGRAMMING/PROGRAMMING/PERSONAL/PYTHON/Image_Generator_API/imagenes/NAUTICA_MENS_V322453M_ART_2.jpg")</f>
        <v/>
      </c>
      <c r="N3225">
        <f>IMAGE("file:///E:/Estudios%20y%20certificaciones/ESTUDIOS%20DE%20PROGRAMMING/PROGRAMMING/PERSONAL/PYTHON/Image_Generator_API/imagenes/NAUTICA_MENS_V322453M_ART_3.jpg")</f>
        <v/>
      </c>
      <c r="O3225">
        <f>HYPERLINK("imagenes/NAUTICA_MENS_V322453M_ART_1.jpg","Ver imagen")</f>
        <v/>
      </c>
      <c r="P3225">
        <f>HYPERLINK("imagenes/NAUTICA_MENS_V322453M_ART_2.jpg","Ver imagen")</f>
        <v/>
      </c>
      <c r="Q3225">
        <f>HYPERLINK("imagenes/NAUTICA_MENS_V322453M_ART_3.jpg","Ver imagen")</f>
        <v/>
      </c>
    </row>
    <row r="3226">
      <c r="A3226" t="inlineStr">
        <is>
          <t>NAUTICA MENS</t>
        </is>
      </c>
      <c r="B3226" t="inlineStr">
        <is>
          <t>V322453M</t>
        </is>
      </c>
      <c r="C3226" t="inlineStr">
        <is>
          <t>STRETCH OPEN BOTTOM</t>
        </is>
      </c>
      <c r="D3226" t="inlineStr">
        <is>
          <t>ART</t>
        </is>
      </c>
      <c r="E3226" t="inlineStr">
        <is>
          <t>(en blanco)</t>
        </is>
      </c>
      <c r="F3226" t="inlineStr">
        <is>
          <t>(en blanco)</t>
        </is>
      </c>
      <c r="G3226" t="inlineStr">
        <is>
          <t>S</t>
        </is>
      </c>
      <c r="H3226" t="n">
        <v>8</v>
      </c>
      <c r="I3226" t="inlineStr">
        <is>
          <t>NAUTICA_MENS_V322453M_ART_1.jpg</t>
        </is>
      </c>
      <c r="J3226" t="inlineStr">
        <is>
          <t>NAUTICA_MENS_V322453M_ART_2.jpg</t>
        </is>
      </c>
      <c r="K3226" t="inlineStr">
        <is>
          <t>NAUTICA_MENS_V322453M_ART_3.jpg</t>
        </is>
      </c>
      <c r="L3226">
        <f>IMAGE("file:///E:/Estudios%20y%20certificaciones/ESTUDIOS%20DE%20PROGRAMMING/PROGRAMMING/PERSONAL/PYTHON/Image_Generator_API/imagenes/NAUTICA_MENS_V322453M_ART_1.jpg")</f>
        <v/>
      </c>
      <c r="M3226">
        <f>IMAGE("file:///E:/Estudios%20y%20certificaciones/ESTUDIOS%20DE%20PROGRAMMING/PROGRAMMING/PERSONAL/PYTHON/Image_Generator_API/imagenes/NAUTICA_MENS_V322453M_ART_2.jpg")</f>
        <v/>
      </c>
      <c r="N3226">
        <f>IMAGE("file:///E:/Estudios%20y%20certificaciones/ESTUDIOS%20DE%20PROGRAMMING/PROGRAMMING/PERSONAL/PYTHON/Image_Generator_API/imagenes/NAUTICA_MENS_V322453M_ART_3.jpg")</f>
        <v/>
      </c>
      <c r="O3226">
        <f>HYPERLINK("imagenes/NAUTICA_MENS_V322453M_ART_1.jpg","Ver imagen")</f>
        <v/>
      </c>
      <c r="P3226">
        <f>HYPERLINK("imagenes/NAUTICA_MENS_V322453M_ART_2.jpg","Ver imagen")</f>
        <v/>
      </c>
      <c r="Q3226">
        <f>HYPERLINK("imagenes/NAUTICA_MENS_V322453M_ART_3.jpg","Ver imagen")</f>
        <v/>
      </c>
    </row>
    <row r="3227">
      <c r="A3227" t="inlineStr">
        <is>
          <t>NAUTICA MENS</t>
        </is>
      </c>
      <c r="B3227" t="inlineStr">
        <is>
          <t>V322453M</t>
        </is>
      </c>
      <c r="C3227" t="inlineStr">
        <is>
          <t>STRETCH OPEN BOTTOM</t>
        </is>
      </c>
      <c r="D3227" t="inlineStr">
        <is>
          <t>ART</t>
        </is>
      </c>
      <c r="E3227" t="inlineStr">
        <is>
          <t>(en blanco)</t>
        </is>
      </c>
      <c r="F3227" t="inlineStr">
        <is>
          <t>(en blanco)</t>
        </is>
      </c>
      <c r="G3227" t="inlineStr">
        <is>
          <t>L</t>
        </is>
      </c>
      <c r="H3227" t="n">
        <v>14</v>
      </c>
      <c r="I3227" t="inlineStr">
        <is>
          <t>NAUTICA_MENS_V322453M_ART_1.jpg</t>
        </is>
      </c>
      <c r="J3227" t="inlineStr">
        <is>
          <t>NAUTICA_MENS_V322453M_ART_2.jpg</t>
        </is>
      </c>
      <c r="K3227" t="inlineStr">
        <is>
          <t>NAUTICA_MENS_V322453M_ART_3.jpg</t>
        </is>
      </c>
      <c r="L3227">
        <f>IMAGE("file:///E:/Estudios%20y%20certificaciones/ESTUDIOS%20DE%20PROGRAMMING/PROGRAMMING/PERSONAL/PYTHON/Image_Generator_API/imagenes/NAUTICA_MENS_V322453M_ART_1.jpg")</f>
        <v/>
      </c>
      <c r="M3227">
        <f>IMAGE("file:///E:/Estudios%20y%20certificaciones/ESTUDIOS%20DE%20PROGRAMMING/PROGRAMMING/PERSONAL/PYTHON/Image_Generator_API/imagenes/NAUTICA_MENS_V322453M_ART_2.jpg")</f>
        <v/>
      </c>
      <c r="N3227">
        <f>IMAGE("file:///E:/Estudios%20y%20certificaciones/ESTUDIOS%20DE%20PROGRAMMING/PROGRAMMING/PERSONAL/PYTHON/Image_Generator_API/imagenes/NAUTICA_MENS_V322453M_ART_3.jpg")</f>
        <v/>
      </c>
      <c r="O3227">
        <f>HYPERLINK("imagenes/NAUTICA_MENS_V322453M_ART_1.jpg","Ver imagen")</f>
        <v/>
      </c>
      <c r="P3227">
        <f>HYPERLINK("imagenes/NAUTICA_MENS_V322453M_ART_2.jpg","Ver imagen")</f>
        <v/>
      </c>
      <c r="Q3227">
        <f>HYPERLINK("imagenes/NAUTICA_MENS_V322453M_ART_3.jpg","Ver imagen")</f>
        <v/>
      </c>
    </row>
    <row r="3228">
      <c r="A3228" t="inlineStr">
        <is>
          <t>NAUTICA MENS</t>
        </is>
      </c>
      <c r="B3228" t="inlineStr">
        <is>
          <t>V322453M</t>
        </is>
      </c>
      <c r="C3228" t="inlineStr">
        <is>
          <t>STRETCH OPEN BOTTOM</t>
        </is>
      </c>
      <c r="D3228" t="inlineStr">
        <is>
          <t>ART</t>
        </is>
      </c>
      <c r="E3228" t="inlineStr">
        <is>
          <t>(en blanco)</t>
        </is>
      </c>
      <c r="F3228" t="inlineStr">
        <is>
          <t>(en blanco)</t>
        </is>
      </c>
      <c r="G3228" t="inlineStr">
        <is>
          <t>XL</t>
        </is>
      </c>
      <c r="H3228" t="n">
        <v>8</v>
      </c>
      <c r="I3228" t="inlineStr">
        <is>
          <t>NAUTICA_MENS_V322453M_ART_1.jpg</t>
        </is>
      </c>
      <c r="J3228" t="inlineStr">
        <is>
          <t>NAUTICA_MENS_V322453M_ART_2.jpg</t>
        </is>
      </c>
      <c r="K3228" t="inlineStr">
        <is>
          <t>NAUTICA_MENS_V322453M_ART_3.jpg</t>
        </is>
      </c>
      <c r="L3228">
        <f>IMAGE("file:///E:/Estudios%20y%20certificaciones/ESTUDIOS%20DE%20PROGRAMMING/PROGRAMMING/PERSONAL/PYTHON/Image_Generator_API/imagenes/NAUTICA_MENS_V322453M_ART_1.jpg")</f>
        <v/>
      </c>
      <c r="M3228">
        <f>IMAGE("file:///E:/Estudios%20y%20certificaciones/ESTUDIOS%20DE%20PROGRAMMING/PROGRAMMING/PERSONAL/PYTHON/Image_Generator_API/imagenes/NAUTICA_MENS_V322453M_ART_2.jpg")</f>
        <v/>
      </c>
      <c r="N3228">
        <f>IMAGE("file:///E:/Estudios%20y%20certificaciones/ESTUDIOS%20DE%20PROGRAMMING/PROGRAMMING/PERSONAL/PYTHON/Image_Generator_API/imagenes/NAUTICA_MENS_V322453M_ART_3.jpg")</f>
        <v/>
      </c>
      <c r="O3228">
        <f>HYPERLINK("imagenes/NAUTICA_MENS_V322453M_ART_1.jpg","Ver imagen")</f>
        <v/>
      </c>
      <c r="P3228">
        <f>HYPERLINK("imagenes/NAUTICA_MENS_V322453M_ART_2.jpg","Ver imagen")</f>
        <v/>
      </c>
      <c r="Q3228">
        <f>HYPERLINK("imagenes/NAUTICA_MENS_V322453M_ART_3.jpg","Ver imagen")</f>
        <v/>
      </c>
    </row>
    <row r="3229">
      <c r="A3229" t="inlineStr">
        <is>
          <t>NAUTICA MENS</t>
        </is>
      </c>
      <c r="B3229" t="inlineStr">
        <is>
          <t>V322453M</t>
        </is>
      </c>
      <c r="C3229" t="inlineStr">
        <is>
          <t>STRETCH OPEN BOTTOM</t>
        </is>
      </c>
      <c r="D3229" t="inlineStr">
        <is>
          <t>ART</t>
        </is>
      </c>
      <c r="E3229" t="inlineStr">
        <is>
          <t>(en blanco)</t>
        </is>
      </c>
      <c r="F3229" t="inlineStr">
        <is>
          <t>(en blanco)</t>
        </is>
      </c>
      <c r="G3229" t="inlineStr">
        <is>
          <t>XXL</t>
        </is>
      </c>
      <c r="H3229" t="n">
        <v>7</v>
      </c>
      <c r="I3229" t="inlineStr">
        <is>
          <t>NAUTICA_MENS_V322453M_ART_1.jpg</t>
        </is>
      </c>
      <c r="J3229" t="inlineStr">
        <is>
          <t>NAUTICA_MENS_V322453M_ART_2.jpg</t>
        </is>
      </c>
      <c r="K3229" t="inlineStr">
        <is>
          <t>NAUTICA_MENS_V322453M_ART_3.jpg</t>
        </is>
      </c>
      <c r="L3229">
        <f>IMAGE("file:///E:/Estudios%20y%20certificaciones/ESTUDIOS%20DE%20PROGRAMMING/PROGRAMMING/PERSONAL/PYTHON/Image_Generator_API/imagenes/NAUTICA_MENS_V322453M_ART_1.jpg")</f>
        <v/>
      </c>
      <c r="M3229">
        <f>IMAGE("file:///E:/Estudios%20y%20certificaciones/ESTUDIOS%20DE%20PROGRAMMING/PROGRAMMING/PERSONAL/PYTHON/Image_Generator_API/imagenes/NAUTICA_MENS_V322453M_ART_2.jpg")</f>
        <v/>
      </c>
      <c r="N3229">
        <f>IMAGE("file:///E:/Estudios%20y%20certificaciones/ESTUDIOS%20DE%20PROGRAMMING/PROGRAMMING/PERSONAL/PYTHON/Image_Generator_API/imagenes/NAUTICA_MENS_V322453M_ART_3.jpg")</f>
        <v/>
      </c>
      <c r="O3229">
        <f>HYPERLINK("imagenes/NAUTICA_MENS_V322453M_ART_1.jpg","Ver imagen")</f>
        <v/>
      </c>
      <c r="P3229">
        <f>HYPERLINK("imagenes/NAUTICA_MENS_V322453M_ART_2.jpg","Ver imagen")</f>
        <v/>
      </c>
      <c r="Q3229">
        <f>HYPERLINK("imagenes/NAUTICA_MENS_V322453M_ART_3.jpg","Ver imagen")</f>
        <v/>
      </c>
    </row>
    <row r="3230">
      <c r="A3230" t="inlineStr">
        <is>
          <t>NAUTICA MENS</t>
        </is>
      </c>
      <c r="B3230" t="inlineStr">
        <is>
          <t>V322453M</t>
        </is>
      </c>
      <c r="C3230" t="inlineStr">
        <is>
          <t>STRETCH OPEN BOTTOM</t>
        </is>
      </c>
      <c r="D3230" t="inlineStr">
        <is>
          <t>ARU</t>
        </is>
      </c>
      <c r="E3230" t="inlineStr">
        <is>
          <t>(en blanco)</t>
        </is>
      </c>
      <c r="F3230" t="inlineStr">
        <is>
          <t>D2C</t>
        </is>
      </c>
      <c r="G3230" t="inlineStr">
        <is>
          <t>L</t>
        </is>
      </c>
      <c r="H3230" t="n">
        <v>8</v>
      </c>
      <c r="I3230" t="inlineStr">
        <is>
          <t>NAUTICA_MENS_V322453M_ARU_1.jpg</t>
        </is>
      </c>
      <c r="J3230" t="inlineStr">
        <is>
          <t>NAUTICA_MENS_V322453M_ARU_2.jpg</t>
        </is>
      </c>
      <c r="K3230" t="inlineStr">
        <is>
          <t>NAUTICA_MENS_V322453M_ARU_3.jpg</t>
        </is>
      </c>
      <c r="L3230">
        <f>IMAGE("file:///E:/Estudios%20y%20certificaciones/ESTUDIOS%20DE%20PROGRAMMING/PROGRAMMING/PERSONAL/PYTHON/Image_Generator_API/imagenes/NAUTICA_MENS_V322453M_ARU_1.jpg")</f>
        <v/>
      </c>
      <c r="M3230">
        <f>IMAGE("file:///E:/Estudios%20y%20certificaciones/ESTUDIOS%20DE%20PROGRAMMING/PROGRAMMING/PERSONAL/PYTHON/Image_Generator_API/imagenes/NAUTICA_MENS_V322453M_ARU_2.jpg")</f>
        <v/>
      </c>
      <c r="N3230">
        <f>IMAGE("file:///E:/Estudios%20y%20certificaciones/ESTUDIOS%20DE%20PROGRAMMING/PROGRAMMING/PERSONAL/PYTHON/Image_Generator_API/imagenes/NAUTICA_MENS_V322453M_ARU_3.jpg")</f>
        <v/>
      </c>
      <c r="O3230">
        <f>HYPERLINK("imagenes/NAUTICA_MENS_V322453M_ARU_1.jpg","Ver imagen")</f>
        <v/>
      </c>
      <c r="P3230">
        <f>HYPERLINK("imagenes/NAUTICA_MENS_V322453M_ARU_2.jpg","Ver imagen")</f>
        <v/>
      </c>
      <c r="Q3230">
        <f>HYPERLINK("imagenes/NAUTICA_MENS_V322453M_ARU_3.jpg","Ver imagen")</f>
        <v/>
      </c>
    </row>
    <row r="3231">
      <c r="A3231" t="inlineStr">
        <is>
          <t>NAUTICA MENS</t>
        </is>
      </c>
      <c r="B3231" t="inlineStr">
        <is>
          <t>V322453M</t>
        </is>
      </c>
      <c r="C3231" t="inlineStr">
        <is>
          <t>STRETCH OPEN BOTTOM</t>
        </is>
      </c>
      <c r="D3231" t="inlineStr">
        <is>
          <t>ARU</t>
        </is>
      </c>
      <c r="E3231" t="inlineStr">
        <is>
          <t>(en blanco)</t>
        </is>
      </c>
      <c r="F3231" t="inlineStr">
        <is>
          <t>D2C</t>
        </is>
      </c>
      <c r="G3231" t="inlineStr">
        <is>
          <t>XL</t>
        </is>
      </c>
      <c r="H3231" t="n">
        <v>83</v>
      </c>
      <c r="I3231" t="inlineStr">
        <is>
          <t>NAUTICA_MENS_V322453M_ARU_1.jpg</t>
        </is>
      </c>
      <c r="J3231" t="inlineStr">
        <is>
          <t>NAUTICA_MENS_V322453M_ARU_2.jpg</t>
        </is>
      </c>
      <c r="K3231" t="inlineStr">
        <is>
          <t>NAUTICA_MENS_V322453M_ARU_3.jpg</t>
        </is>
      </c>
      <c r="L3231">
        <f>IMAGE("file:///E:/Estudios%20y%20certificaciones/ESTUDIOS%20DE%20PROGRAMMING/PROGRAMMING/PERSONAL/PYTHON/Image_Generator_API/imagenes/NAUTICA_MENS_V322453M_ARU_1.jpg")</f>
        <v/>
      </c>
      <c r="M3231">
        <f>IMAGE("file:///E:/Estudios%20y%20certificaciones/ESTUDIOS%20DE%20PROGRAMMING/PROGRAMMING/PERSONAL/PYTHON/Image_Generator_API/imagenes/NAUTICA_MENS_V322453M_ARU_2.jpg")</f>
        <v/>
      </c>
      <c r="N3231">
        <f>IMAGE("file:///E:/Estudios%20y%20certificaciones/ESTUDIOS%20DE%20PROGRAMMING/PROGRAMMING/PERSONAL/PYTHON/Image_Generator_API/imagenes/NAUTICA_MENS_V322453M_ARU_3.jpg")</f>
        <v/>
      </c>
      <c r="O3231">
        <f>HYPERLINK("imagenes/NAUTICA_MENS_V322453M_ARU_1.jpg","Ver imagen")</f>
        <v/>
      </c>
      <c r="P3231">
        <f>HYPERLINK("imagenes/NAUTICA_MENS_V322453M_ARU_2.jpg","Ver imagen")</f>
        <v/>
      </c>
      <c r="Q3231">
        <f>HYPERLINK("imagenes/NAUTICA_MENS_V322453M_ARU_3.jpg","Ver imagen")</f>
        <v/>
      </c>
    </row>
    <row r="3232">
      <c r="A3232" t="inlineStr">
        <is>
          <t>NAUTICA MENS</t>
        </is>
      </c>
      <c r="B3232" t="inlineStr">
        <is>
          <t>V322453M</t>
        </is>
      </c>
      <c r="C3232" t="inlineStr">
        <is>
          <t>STRETCH OPEN BOTTOM</t>
        </is>
      </c>
      <c r="D3232" t="inlineStr">
        <is>
          <t>ARU</t>
        </is>
      </c>
      <c r="E3232" t="inlineStr">
        <is>
          <t>(en blanco)</t>
        </is>
      </c>
      <c r="F3232" t="inlineStr">
        <is>
          <t>D2C</t>
        </is>
      </c>
      <c r="G3232" t="inlineStr">
        <is>
          <t>XXL</t>
        </is>
      </c>
      <c r="H3232" t="n">
        <v>4</v>
      </c>
      <c r="I3232" t="inlineStr">
        <is>
          <t>NAUTICA_MENS_V322453M_ARU_1.jpg</t>
        </is>
      </c>
      <c r="J3232" t="inlineStr">
        <is>
          <t>NAUTICA_MENS_V322453M_ARU_2.jpg</t>
        </is>
      </c>
      <c r="K3232" t="inlineStr">
        <is>
          <t>NAUTICA_MENS_V322453M_ARU_3.jpg</t>
        </is>
      </c>
      <c r="L3232">
        <f>IMAGE("file:///E:/Estudios%20y%20certificaciones/ESTUDIOS%20DE%20PROGRAMMING/PROGRAMMING/PERSONAL/PYTHON/Image_Generator_API/imagenes/NAUTICA_MENS_V322453M_ARU_1.jpg")</f>
        <v/>
      </c>
      <c r="M3232">
        <f>IMAGE("file:///E:/Estudios%20y%20certificaciones/ESTUDIOS%20DE%20PROGRAMMING/PROGRAMMING/PERSONAL/PYTHON/Image_Generator_API/imagenes/NAUTICA_MENS_V322453M_ARU_2.jpg")</f>
        <v/>
      </c>
      <c r="N3232">
        <f>IMAGE("file:///E:/Estudios%20y%20certificaciones/ESTUDIOS%20DE%20PROGRAMMING/PROGRAMMING/PERSONAL/PYTHON/Image_Generator_API/imagenes/NAUTICA_MENS_V322453M_ARU_3.jpg")</f>
        <v/>
      </c>
      <c r="O3232">
        <f>HYPERLINK("imagenes/NAUTICA_MENS_V322453M_ARU_1.jpg","Ver imagen")</f>
        <v/>
      </c>
      <c r="P3232">
        <f>HYPERLINK("imagenes/NAUTICA_MENS_V322453M_ARU_2.jpg","Ver imagen")</f>
        <v/>
      </c>
      <c r="Q3232">
        <f>HYPERLINK("imagenes/NAUTICA_MENS_V322453M_ARU_3.jpg","Ver imagen")</f>
        <v/>
      </c>
    </row>
    <row r="3233">
      <c r="A3233" t="inlineStr">
        <is>
          <t>NAUTICA MENS</t>
        </is>
      </c>
      <c r="B3233" t="inlineStr">
        <is>
          <t>V322453M</t>
        </is>
      </c>
      <c r="C3233" t="inlineStr">
        <is>
          <t>STRETCH OPEN BOTTOM</t>
        </is>
      </c>
      <c r="D3233" t="inlineStr">
        <is>
          <t>ARU</t>
        </is>
      </c>
      <c r="E3233" t="inlineStr">
        <is>
          <t>(en blanco)</t>
        </is>
      </c>
      <c r="F3233" t="inlineStr">
        <is>
          <t>(en blanco)</t>
        </is>
      </c>
      <c r="G3233" t="inlineStr">
        <is>
          <t>XL</t>
        </is>
      </c>
      <c r="H3233" t="n">
        <v>17</v>
      </c>
      <c r="I3233" t="inlineStr">
        <is>
          <t>NAUTICA_MENS_V322453M_ARU_1.jpg</t>
        </is>
      </c>
      <c r="J3233" t="inlineStr">
        <is>
          <t>NAUTICA_MENS_V322453M_ARU_2.jpg</t>
        </is>
      </c>
      <c r="K3233" t="inlineStr">
        <is>
          <t>NAUTICA_MENS_V322453M_ARU_3.jpg</t>
        </is>
      </c>
      <c r="L3233">
        <f>IMAGE("file:///E:/Estudios%20y%20certificaciones/ESTUDIOS%20DE%20PROGRAMMING/PROGRAMMING/PERSONAL/PYTHON/Image_Generator_API/imagenes/NAUTICA_MENS_V322453M_ARU_1.jpg")</f>
        <v/>
      </c>
      <c r="M3233">
        <f>IMAGE("file:///E:/Estudios%20y%20certificaciones/ESTUDIOS%20DE%20PROGRAMMING/PROGRAMMING/PERSONAL/PYTHON/Image_Generator_API/imagenes/NAUTICA_MENS_V322453M_ARU_2.jpg")</f>
        <v/>
      </c>
      <c r="N3233">
        <f>IMAGE("file:///E:/Estudios%20y%20certificaciones/ESTUDIOS%20DE%20PROGRAMMING/PROGRAMMING/PERSONAL/PYTHON/Image_Generator_API/imagenes/NAUTICA_MENS_V322453M_ARU_3.jpg")</f>
        <v/>
      </c>
      <c r="O3233">
        <f>HYPERLINK("imagenes/NAUTICA_MENS_V322453M_ARU_1.jpg","Ver imagen")</f>
        <v/>
      </c>
      <c r="P3233">
        <f>HYPERLINK("imagenes/NAUTICA_MENS_V322453M_ARU_2.jpg","Ver imagen")</f>
        <v/>
      </c>
      <c r="Q3233">
        <f>HYPERLINK("imagenes/NAUTICA_MENS_V322453M_ARU_3.jpg","Ver imagen")</f>
        <v/>
      </c>
    </row>
    <row r="3234">
      <c r="A3234" t="inlineStr">
        <is>
          <t>NAUTICA MENS</t>
        </is>
      </c>
      <c r="B3234" t="inlineStr">
        <is>
          <t>V322453M</t>
        </is>
      </c>
      <c r="C3234" t="inlineStr">
        <is>
          <t>STRETCH OPEN BOTTOM</t>
        </is>
      </c>
      <c r="D3234" t="inlineStr">
        <is>
          <t>BLK</t>
        </is>
      </c>
      <c r="E3234" t="inlineStr">
        <is>
          <t>(en blanco)</t>
        </is>
      </c>
      <c r="F3234" t="inlineStr">
        <is>
          <t>D2C</t>
        </is>
      </c>
      <c r="G3234" t="inlineStr">
        <is>
          <t>M</t>
        </is>
      </c>
      <c r="H3234" t="n">
        <v>1</v>
      </c>
      <c r="I3234" t="inlineStr">
        <is>
          <t>NAUTICA_MENS_V322453M_BLK_1.jpg</t>
        </is>
      </c>
      <c r="J3234" t="inlineStr">
        <is>
          <t>NAUTICA_MENS_V322453M_BLK_2.jpg</t>
        </is>
      </c>
      <c r="K3234" t="inlineStr">
        <is>
          <t>NAUTICA_MENS_V322453M_BLK_3.jpg</t>
        </is>
      </c>
      <c r="L3234">
        <f>IMAGE("file:///E:/Estudios%20y%20certificaciones/ESTUDIOS%20DE%20PROGRAMMING/PROGRAMMING/PERSONAL/PYTHON/Image_Generator_API/imagenes/NAUTICA_MENS_V322453M_BLK_1.jpg")</f>
        <v/>
      </c>
      <c r="M3234">
        <f>IMAGE("file:///E:/Estudios%20y%20certificaciones/ESTUDIOS%20DE%20PROGRAMMING/PROGRAMMING/PERSONAL/PYTHON/Image_Generator_API/imagenes/NAUTICA_MENS_V322453M_BLK_2.jpg")</f>
        <v/>
      </c>
      <c r="N3234">
        <f>IMAGE("file:///E:/Estudios%20y%20certificaciones/ESTUDIOS%20DE%20PROGRAMMING/PROGRAMMING/PERSONAL/PYTHON/Image_Generator_API/imagenes/NAUTICA_MENS_V322453M_BLK_3.jpg")</f>
        <v/>
      </c>
      <c r="O3234">
        <f>HYPERLINK("imagenes/NAUTICA_MENS_V322453M_BLK_1.jpg","Ver imagen")</f>
        <v/>
      </c>
      <c r="P3234">
        <f>HYPERLINK("imagenes/NAUTICA_MENS_V322453M_BLK_2.jpg","Ver imagen")</f>
        <v/>
      </c>
      <c r="Q3234">
        <f>HYPERLINK("imagenes/NAUTICA_MENS_V322453M_BLK_3.jpg","Ver imagen")</f>
        <v/>
      </c>
    </row>
    <row r="3235">
      <c r="A3235" t="inlineStr">
        <is>
          <t>NAUTICA MENS</t>
        </is>
      </c>
      <c r="B3235" t="inlineStr">
        <is>
          <t>V322453M</t>
        </is>
      </c>
      <c r="C3235" t="inlineStr">
        <is>
          <t>STRETCH OPEN BOTTOM</t>
        </is>
      </c>
      <c r="D3235" t="inlineStr">
        <is>
          <t>BLK</t>
        </is>
      </c>
      <c r="E3235" t="inlineStr">
        <is>
          <t>(en blanco)</t>
        </is>
      </c>
      <c r="F3235" t="inlineStr">
        <is>
          <t>D2C</t>
        </is>
      </c>
      <c r="G3235" t="inlineStr">
        <is>
          <t>L</t>
        </is>
      </c>
      <c r="H3235" t="n">
        <v>18</v>
      </c>
      <c r="I3235" t="inlineStr">
        <is>
          <t>NAUTICA_MENS_V322453M_BLK_1.jpg</t>
        </is>
      </c>
      <c r="J3235" t="inlineStr">
        <is>
          <t>NAUTICA_MENS_V322453M_BLK_2.jpg</t>
        </is>
      </c>
      <c r="K3235" t="inlineStr">
        <is>
          <t>NAUTICA_MENS_V322453M_BLK_3.jpg</t>
        </is>
      </c>
      <c r="L3235">
        <f>IMAGE("file:///E:/Estudios%20y%20certificaciones/ESTUDIOS%20DE%20PROGRAMMING/PROGRAMMING/PERSONAL/PYTHON/Image_Generator_API/imagenes/NAUTICA_MENS_V322453M_BLK_1.jpg")</f>
        <v/>
      </c>
      <c r="M3235">
        <f>IMAGE("file:///E:/Estudios%20y%20certificaciones/ESTUDIOS%20DE%20PROGRAMMING/PROGRAMMING/PERSONAL/PYTHON/Image_Generator_API/imagenes/NAUTICA_MENS_V322453M_BLK_2.jpg")</f>
        <v/>
      </c>
      <c r="N3235">
        <f>IMAGE("file:///E:/Estudios%20y%20certificaciones/ESTUDIOS%20DE%20PROGRAMMING/PROGRAMMING/PERSONAL/PYTHON/Image_Generator_API/imagenes/NAUTICA_MENS_V322453M_BLK_3.jpg")</f>
        <v/>
      </c>
      <c r="O3235">
        <f>HYPERLINK("imagenes/NAUTICA_MENS_V322453M_BLK_1.jpg","Ver imagen")</f>
        <v/>
      </c>
      <c r="P3235">
        <f>HYPERLINK("imagenes/NAUTICA_MENS_V322453M_BLK_2.jpg","Ver imagen")</f>
        <v/>
      </c>
      <c r="Q3235">
        <f>HYPERLINK("imagenes/NAUTICA_MENS_V322453M_BLK_3.jpg","Ver imagen")</f>
        <v/>
      </c>
    </row>
    <row r="3236">
      <c r="A3236" t="inlineStr">
        <is>
          <t>NAUTICA MENS</t>
        </is>
      </c>
      <c r="B3236" t="inlineStr">
        <is>
          <t>V322453M</t>
        </is>
      </c>
      <c r="C3236" t="inlineStr">
        <is>
          <t>STRETCH OPEN BOTTOM</t>
        </is>
      </c>
      <c r="D3236" t="inlineStr">
        <is>
          <t>BLK</t>
        </is>
      </c>
      <c r="E3236" t="inlineStr">
        <is>
          <t>(en blanco)</t>
        </is>
      </c>
      <c r="F3236" t="inlineStr">
        <is>
          <t>D2C</t>
        </is>
      </c>
      <c r="G3236" t="inlineStr">
        <is>
          <t>XL</t>
        </is>
      </c>
      <c r="H3236" t="n">
        <v>28</v>
      </c>
      <c r="I3236" t="inlineStr">
        <is>
          <t>NAUTICA_MENS_V322453M_BLK_1.jpg</t>
        </is>
      </c>
      <c r="J3236" t="inlineStr">
        <is>
          <t>NAUTICA_MENS_V322453M_BLK_2.jpg</t>
        </is>
      </c>
      <c r="K3236" t="inlineStr">
        <is>
          <t>NAUTICA_MENS_V322453M_BLK_3.jpg</t>
        </is>
      </c>
      <c r="L3236">
        <f>IMAGE("file:///E:/Estudios%20y%20certificaciones/ESTUDIOS%20DE%20PROGRAMMING/PROGRAMMING/PERSONAL/PYTHON/Image_Generator_API/imagenes/NAUTICA_MENS_V322453M_BLK_1.jpg")</f>
        <v/>
      </c>
      <c r="M3236">
        <f>IMAGE("file:///E:/Estudios%20y%20certificaciones/ESTUDIOS%20DE%20PROGRAMMING/PROGRAMMING/PERSONAL/PYTHON/Image_Generator_API/imagenes/NAUTICA_MENS_V322453M_BLK_2.jpg")</f>
        <v/>
      </c>
      <c r="N3236">
        <f>IMAGE("file:///E:/Estudios%20y%20certificaciones/ESTUDIOS%20DE%20PROGRAMMING/PROGRAMMING/PERSONAL/PYTHON/Image_Generator_API/imagenes/NAUTICA_MENS_V322453M_BLK_3.jpg")</f>
        <v/>
      </c>
      <c r="O3236">
        <f>HYPERLINK("imagenes/NAUTICA_MENS_V322453M_BLK_1.jpg","Ver imagen")</f>
        <v/>
      </c>
      <c r="P3236">
        <f>HYPERLINK("imagenes/NAUTICA_MENS_V322453M_BLK_2.jpg","Ver imagen")</f>
        <v/>
      </c>
      <c r="Q3236">
        <f>HYPERLINK("imagenes/NAUTICA_MENS_V322453M_BLK_3.jpg","Ver imagen")</f>
        <v/>
      </c>
    </row>
    <row r="3237">
      <c r="A3237" t="inlineStr">
        <is>
          <t>NAUTICA MENS</t>
        </is>
      </c>
      <c r="B3237" t="inlineStr">
        <is>
          <t>V322453M</t>
        </is>
      </c>
      <c r="C3237" t="inlineStr">
        <is>
          <t>STRETCH OPEN BOTTOM</t>
        </is>
      </c>
      <c r="D3237" t="inlineStr">
        <is>
          <t>BLK</t>
        </is>
      </c>
      <c r="E3237" t="inlineStr">
        <is>
          <t>(en blanco)</t>
        </is>
      </c>
      <c r="F3237" t="inlineStr">
        <is>
          <t>D2C</t>
        </is>
      </c>
      <c r="G3237" t="inlineStr">
        <is>
          <t>XXL</t>
        </is>
      </c>
      <c r="H3237" t="n">
        <v>15</v>
      </c>
      <c r="I3237" t="inlineStr">
        <is>
          <t>NAUTICA_MENS_V322453M_BLK_1.jpg</t>
        </is>
      </c>
      <c r="J3237" t="inlineStr">
        <is>
          <t>NAUTICA_MENS_V322453M_BLK_2.jpg</t>
        </is>
      </c>
      <c r="K3237" t="inlineStr">
        <is>
          <t>NAUTICA_MENS_V322453M_BLK_3.jpg</t>
        </is>
      </c>
      <c r="L3237">
        <f>IMAGE("file:///E:/Estudios%20y%20certificaciones/ESTUDIOS%20DE%20PROGRAMMING/PROGRAMMING/PERSONAL/PYTHON/Image_Generator_API/imagenes/NAUTICA_MENS_V322453M_BLK_1.jpg")</f>
        <v/>
      </c>
      <c r="M3237">
        <f>IMAGE("file:///E:/Estudios%20y%20certificaciones/ESTUDIOS%20DE%20PROGRAMMING/PROGRAMMING/PERSONAL/PYTHON/Image_Generator_API/imagenes/NAUTICA_MENS_V322453M_BLK_2.jpg")</f>
        <v/>
      </c>
      <c r="N3237">
        <f>IMAGE("file:///E:/Estudios%20y%20certificaciones/ESTUDIOS%20DE%20PROGRAMMING/PROGRAMMING/PERSONAL/PYTHON/Image_Generator_API/imagenes/NAUTICA_MENS_V322453M_BLK_3.jpg")</f>
        <v/>
      </c>
      <c r="O3237">
        <f>HYPERLINK("imagenes/NAUTICA_MENS_V322453M_BLK_1.jpg","Ver imagen")</f>
        <v/>
      </c>
      <c r="P3237">
        <f>HYPERLINK("imagenes/NAUTICA_MENS_V322453M_BLK_2.jpg","Ver imagen")</f>
        <v/>
      </c>
      <c r="Q3237">
        <f>HYPERLINK("imagenes/NAUTICA_MENS_V322453M_BLK_3.jpg","Ver imagen")</f>
        <v/>
      </c>
    </row>
    <row r="3238">
      <c r="A3238" t="inlineStr">
        <is>
          <t>NAUTICA MENS</t>
        </is>
      </c>
      <c r="B3238" t="inlineStr">
        <is>
          <t>V322453M</t>
        </is>
      </c>
      <c r="C3238" t="inlineStr">
        <is>
          <t>STRETCH OPEN BOTTOM</t>
        </is>
      </c>
      <c r="D3238" t="inlineStr">
        <is>
          <t>C8N</t>
        </is>
      </c>
      <c r="E3238" t="inlineStr">
        <is>
          <t>(en blanco)</t>
        </is>
      </c>
      <c r="F3238" t="inlineStr">
        <is>
          <t>(en blanco)</t>
        </is>
      </c>
      <c r="G3238" t="inlineStr">
        <is>
          <t>XL</t>
        </is>
      </c>
      <c r="H3238" t="n">
        <v>2</v>
      </c>
      <c r="I3238" t="inlineStr">
        <is>
          <t>NAUTICA_MENS_V322453M_C8N_1.jpg</t>
        </is>
      </c>
      <c r="J3238" t="inlineStr">
        <is>
          <t>NAUTICA_MENS_V322453M_C8N_2.jpg</t>
        </is>
      </c>
      <c r="K3238" t="inlineStr">
        <is>
          <t>NAUTICA_MENS_V322453M_C8N_3.jpg</t>
        </is>
      </c>
      <c r="L3238">
        <f>IMAGE("file:///E:/Estudios%20y%20certificaciones/ESTUDIOS%20DE%20PROGRAMMING/PROGRAMMING/PERSONAL/PYTHON/Image_Generator_API/imagenes/NAUTICA_MENS_V322453M_C8N_1.jpg")</f>
        <v/>
      </c>
      <c r="M3238">
        <f>IMAGE("file:///E:/Estudios%20y%20certificaciones/ESTUDIOS%20DE%20PROGRAMMING/PROGRAMMING/PERSONAL/PYTHON/Image_Generator_API/imagenes/NAUTICA_MENS_V322453M_C8N_2.jpg")</f>
        <v/>
      </c>
      <c r="N3238">
        <f>IMAGE("file:///E:/Estudios%20y%20certificaciones/ESTUDIOS%20DE%20PROGRAMMING/PROGRAMMING/PERSONAL/PYTHON/Image_Generator_API/imagenes/NAUTICA_MENS_V322453M_C8N_3.jpg")</f>
        <v/>
      </c>
      <c r="O3238">
        <f>HYPERLINK("imagenes/NAUTICA_MENS_V322453M_C8N_1.jpg","Ver imagen")</f>
        <v/>
      </c>
      <c r="P3238">
        <f>HYPERLINK("imagenes/NAUTICA_MENS_V322453M_C8N_2.jpg","Ver imagen")</f>
        <v/>
      </c>
      <c r="Q3238">
        <f>HYPERLINK("imagenes/NAUTICA_MENS_V322453M_C8N_3.jpg","Ver imagen")</f>
        <v/>
      </c>
    </row>
    <row r="3239">
      <c r="A3239" t="inlineStr">
        <is>
          <t>NAUTICA MENS</t>
        </is>
      </c>
      <c r="B3239" t="inlineStr">
        <is>
          <t>V322453M</t>
        </is>
      </c>
      <c r="C3239" t="inlineStr">
        <is>
          <t>STRETCH OPEN BOTTOM</t>
        </is>
      </c>
      <c r="D3239" t="inlineStr">
        <is>
          <t>CBL</t>
        </is>
      </c>
      <c r="E3239" t="inlineStr">
        <is>
          <t>(en blanco)</t>
        </is>
      </c>
      <c r="F3239" t="inlineStr">
        <is>
          <t>D2C</t>
        </is>
      </c>
      <c r="G3239" t="inlineStr">
        <is>
          <t>L</t>
        </is>
      </c>
      <c r="H3239" t="n">
        <v>23</v>
      </c>
      <c r="I3239" t="inlineStr">
        <is>
          <t>NAUTICA_MENS_V322453M_CBL_1.jpg</t>
        </is>
      </c>
      <c r="J3239" t="inlineStr">
        <is>
          <t>NAUTICA_MENS_V322453M_CBL_2.jpg</t>
        </is>
      </c>
      <c r="K3239" t="inlineStr">
        <is>
          <t>NAUTICA_MENS_V322453M_CBL_3.jpg</t>
        </is>
      </c>
      <c r="L3239">
        <f>IMAGE("file:///E:/Estudios%20y%20certificaciones/ESTUDIOS%20DE%20PROGRAMMING/PROGRAMMING/PERSONAL/PYTHON/Image_Generator_API/imagenes/NAUTICA_MENS_V322453M_CBL_1.jpg")</f>
        <v/>
      </c>
      <c r="M3239">
        <f>IMAGE("file:///E:/Estudios%20y%20certificaciones/ESTUDIOS%20DE%20PROGRAMMING/PROGRAMMING/PERSONAL/PYTHON/Image_Generator_API/imagenes/NAUTICA_MENS_V322453M_CBL_2.jpg")</f>
        <v/>
      </c>
      <c r="N3239">
        <f>IMAGE("file:///E:/Estudios%20y%20certificaciones/ESTUDIOS%20DE%20PROGRAMMING/PROGRAMMING/PERSONAL/PYTHON/Image_Generator_API/imagenes/NAUTICA_MENS_V322453M_CBL_3.jpg")</f>
        <v/>
      </c>
      <c r="O3239">
        <f>HYPERLINK("imagenes/NAUTICA_MENS_V322453M_CBL_1.jpg","Ver imagen")</f>
        <v/>
      </c>
      <c r="P3239">
        <f>HYPERLINK("imagenes/NAUTICA_MENS_V322453M_CBL_2.jpg","Ver imagen")</f>
        <v/>
      </c>
      <c r="Q3239">
        <f>HYPERLINK("imagenes/NAUTICA_MENS_V322453M_CBL_3.jpg","Ver imagen")</f>
        <v/>
      </c>
    </row>
    <row r="3240">
      <c r="A3240" t="inlineStr">
        <is>
          <t>NAUTICA MENS</t>
        </is>
      </c>
      <c r="B3240" t="inlineStr">
        <is>
          <t>V322453M</t>
        </is>
      </c>
      <c r="C3240" t="inlineStr">
        <is>
          <t>STRETCH OPEN BOTTOM</t>
        </is>
      </c>
      <c r="D3240" t="inlineStr">
        <is>
          <t>CBL</t>
        </is>
      </c>
      <c r="E3240" t="inlineStr">
        <is>
          <t>(en blanco)</t>
        </is>
      </c>
      <c r="F3240" t="inlineStr">
        <is>
          <t>D2C</t>
        </is>
      </c>
      <c r="G3240" t="inlineStr">
        <is>
          <t>XL</t>
        </is>
      </c>
      <c r="H3240" t="n">
        <v>1</v>
      </c>
      <c r="I3240" t="inlineStr">
        <is>
          <t>NAUTICA_MENS_V322453M_CBL_1.jpg</t>
        </is>
      </c>
      <c r="J3240" t="inlineStr">
        <is>
          <t>NAUTICA_MENS_V322453M_CBL_2.jpg</t>
        </is>
      </c>
      <c r="K3240" t="inlineStr">
        <is>
          <t>NAUTICA_MENS_V322453M_CBL_3.jpg</t>
        </is>
      </c>
      <c r="L3240">
        <f>IMAGE("file:///E:/Estudios%20y%20certificaciones/ESTUDIOS%20DE%20PROGRAMMING/PROGRAMMING/PERSONAL/PYTHON/Image_Generator_API/imagenes/NAUTICA_MENS_V322453M_CBL_1.jpg")</f>
        <v/>
      </c>
      <c r="M3240">
        <f>IMAGE("file:///E:/Estudios%20y%20certificaciones/ESTUDIOS%20DE%20PROGRAMMING/PROGRAMMING/PERSONAL/PYTHON/Image_Generator_API/imagenes/NAUTICA_MENS_V322453M_CBL_2.jpg")</f>
        <v/>
      </c>
      <c r="N3240">
        <f>IMAGE("file:///E:/Estudios%20y%20certificaciones/ESTUDIOS%20DE%20PROGRAMMING/PROGRAMMING/PERSONAL/PYTHON/Image_Generator_API/imagenes/NAUTICA_MENS_V322453M_CBL_3.jpg")</f>
        <v/>
      </c>
      <c r="O3240">
        <f>HYPERLINK("imagenes/NAUTICA_MENS_V322453M_CBL_1.jpg","Ver imagen")</f>
        <v/>
      </c>
      <c r="P3240">
        <f>HYPERLINK("imagenes/NAUTICA_MENS_V322453M_CBL_2.jpg","Ver imagen")</f>
        <v/>
      </c>
      <c r="Q3240">
        <f>HYPERLINK("imagenes/NAUTICA_MENS_V322453M_CBL_3.jpg","Ver imagen")</f>
        <v/>
      </c>
    </row>
    <row r="3241">
      <c r="A3241" t="inlineStr">
        <is>
          <t>NAUTICA MENS</t>
        </is>
      </c>
      <c r="B3241" t="inlineStr">
        <is>
          <t>V322453M</t>
        </is>
      </c>
      <c r="C3241" t="inlineStr">
        <is>
          <t>STRETCH OPEN BOTTOM</t>
        </is>
      </c>
      <c r="D3241" t="inlineStr">
        <is>
          <t>CBL</t>
        </is>
      </c>
      <c r="E3241" t="inlineStr">
        <is>
          <t>(en blanco)</t>
        </is>
      </c>
      <c r="F3241" t="inlineStr">
        <is>
          <t>D2C</t>
        </is>
      </c>
      <c r="G3241" t="inlineStr">
        <is>
          <t>XXL</t>
        </is>
      </c>
      <c r="H3241" t="n">
        <v>23</v>
      </c>
      <c r="I3241" t="inlineStr">
        <is>
          <t>NAUTICA_MENS_V322453M_CBL_1.jpg</t>
        </is>
      </c>
      <c r="J3241" t="inlineStr">
        <is>
          <t>NAUTICA_MENS_V322453M_CBL_2.jpg</t>
        </is>
      </c>
      <c r="K3241" t="inlineStr">
        <is>
          <t>NAUTICA_MENS_V322453M_CBL_3.jpg</t>
        </is>
      </c>
      <c r="L3241">
        <f>IMAGE("file:///E:/Estudios%20y%20certificaciones/ESTUDIOS%20DE%20PROGRAMMING/PROGRAMMING/PERSONAL/PYTHON/Image_Generator_API/imagenes/NAUTICA_MENS_V322453M_CBL_1.jpg")</f>
        <v/>
      </c>
      <c r="M3241">
        <f>IMAGE("file:///E:/Estudios%20y%20certificaciones/ESTUDIOS%20DE%20PROGRAMMING/PROGRAMMING/PERSONAL/PYTHON/Image_Generator_API/imagenes/NAUTICA_MENS_V322453M_CBL_2.jpg")</f>
        <v/>
      </c>
      <c r="N3241">
        <f>IMAGE("file:///E:/Estudios%20y%20certificaciones/ESTUDIOS%20DE%20PROGRAMMING/PROGRAMMING/PERSONAL/PYTHON/Image_Generator_API/imagenes/NAUTICA_MENS_V322453M_CBL_3.jpg")</f>
        <v/>
      </c>
      <c r="O3241">
        <f>HYPERLINK("imagenes/NAUTICA_MENS_V322453M_CBL_1.jpg","Ver imagen")</f>
        <v/>
      </c>
      <c r="P3241">
        <f>HYPERLINK("imagenes/NAUTICA_MENS_V322453M_CBL_2.jpg","Ver imagen")</f>
        <v/>
      </c>
      <c r="Q3241">
        <f>HYPERLINK("imagenes/NAUTICA_MENS_V322453M_CBL_3.jpg","Ver imagen")</f>
        <v/>
      </c>
    </row>
    <row r="3242">
      <c r="A3242" t="inlineStr">
        <is>
          <t>NAUTICA MENS</t>
        </is>
      </c>
      <c r="B3242" t="inlineStr">
        <is>
          <t>V322453M</t>
        </is>
      </c>
      <c r="C3242" t="inlineStr">
        <is>
          <t>STRETCH OPEN BOTTOM</t>
        </is>
      </c>
      <c r="D3242" t="inlineStr">
        <is>
          <t>CBL</t>
        </is>
      </c>
      <c r="E3242" t="inlineStr">
        <is>
          <t>(en blanco)</t>
        </is>
      </c>
      <c r="F3242" t="inlineStr">
        <is>
          <t>(en blanco)</t>
        </is>
      </c>
      <c r="G3242" t="inlineStr">
        <is>
          <t>L</t>
        </is>
      </c>
      <c r="H3242" t="n">
        <v>2</v>
      </c>
      <c r="I3242" t="inlineStr">
        <is>
          <t>NAUTICA_MENS_V322453M_CBL_1.jpg</t>
        </is>
      </c>
      <c r="J3242" t="inlineStr">
        <is>
          <t>NAUTICA_MENS_V322453M_CBL_2.jpg</t>
        </is>
      </c>
      <c r="K3242" t="inlineStr">
        <is>
          <t>NAUTICA_MENS_V322453M_CBL_3.jpg</t>
        </is>
      </c>
      <c r="L3242">
        <f>IMAGE("file:///E:/Estudios%20y%20certificaciones/ESTUDIOS%20DE%20PROGRAMMING/PROGRAMMING/PERSONAL/PYTHON/Image_Generator_API/imagenes/NAUTICA_MENS_V322453M_CBL_1.jpg")</f>
        <v/>
      </c>
      <c r="M3242">
        <f>IMAGE("file:///E:/Estudios%20y%20certificaciones/ESTUDIOS%20DE%20PROGRAMMING/PROGRAMMING/PERSONAL/PYTHON/Image_Generator_API/imagenes/NAUTICA_MENS_V322453M_CBL_2.jpg")</f>
        <v/>
      </c>
      <c r="N3242">
        <f>IMAGE("file:///E:/Estudios%20y%20certificaciones/ESTUDIOS%20DE%20PROGRAMMING/PROGRAMMING/PERSONAL/PYTHON/Image_Generator_API/imagenes/NAUTICA_MENS_V322453M_CBL_3.jpg")</f>
        <v/>
      </c>
      <c r="O3242">
        <f>HYPERLINK("imagenes/NAUTICA_MENS_V322453M_CBL_1.jpg","Ver imagen")</f>
        <v/>
      </c>
      <c r="P3242">
        <f>HYPERLINK("imagenes/NAUTICA_MENS_V322453M_CBL_2.jpg","Ver imagen")</f>
        <v/>
      </c>
      <c r="Q3242">
        <f>HYPERLINK("imagenes/NAUTICA_MENS_V322453M_CBL_3.jpg","Ver imagen")</f>
        <v/>
      </c>
    </row>
    <row r="3243">
      <c r="A3243" t="inlineStr">
        <is>
          <t>NAUTICA MENS</t>
        </is>
      </c>
      <c r="B3243" t="inlineStr">
        <is>
          <t>V322453M</t>
        </is>
      </c>
      <c r="C3243" t="inlineStr">
        <is>
          <t>STRETCH OPEN BOTTOM</t>
        </is>
      </c>
      <c r="D3243" t="inlineStr">
        <is>
          <t>CBL</t>
        </is>
      </c>
      <c r="E3243" t="inlineStr">
        <is>
          <t>(en blanco)</t>
        </is>
      </c>
      <c r="F3243" t="inlineStr">
        <is>
          <t>(en blanco)</t>
        </is>
      </c>
      <c r="G3243" t="inlineStr">
        <is>
          <t>XXL</t>
        </is>
      </c>
      <c r="H3243" t="n">
        <v>1</v>
      </c>
      <c r="I3243" t="inlineStr">
        <is>
          <t>NAUTICA_MENS_V322453M_CBL_1.jpg</t>
        </is>
      </c>
      <c r="J3243" t="inlineStr">
        <is>
          <t>NAUTICA_MENS_V322453M_CBL_2.jpg</t>
        </is>
      </c>
      <c r="K3243" t="inlineStr">
        <is>
          <t>NAUTICA_MENS_V322453M_CBL_3.jpg</t>
        </is>
      </c>
      <c r="L3243">
        <f>IMAGE("file:///E:/Estudios%20y%20certificaciones/ESTUDIOS%20DE%20PROGRAMMING/PROGRAMMING/PERSONAL/PYTHON/Image_Generator_API/imagenes/NAUTICA_MENS_V322453M_CBL_1.jpg")</f>
        <v/>
      </c>
      <c r="M3243">
        <f>IMAGE("file:///E:/Estudios%20y%20certificaciones/ESTUDIOS%20DE%20PROGRAMMING/PROGRAMMING/PERSONAL/PYTHON/Image_Generator_API/imagenes/NAUTICA_MENS_V322453M_CBL_2.jpg")</f>
        <v/>
      </c>
      <c r="N3243">
        <f>IMAGE("file:///E:/Estudios%20y%20certificaciones/ESTUDIOS%20DE%20PROGRAMMING/PROGRAMMING/PERSONAL/PYTHON/Image_Generator_API/imagenes/NAUTICA_MENS_V322453M_CBL_3.jpg")</f>
        <v/>
      </c>
      <c r="O3243">
        <f>HYPERLINK("imagenes/NAUTICA_MENS_V322453M_CBL_1.jpg","Ver imagen")</f>
        <v/>
      </c>
      <c r="P3243">
        <f>HYPERLINK("imagenes/NAUTICA_MENS_V322453M_CBL_2.jpg","Ver imagen")</f>
        <v/>
      </c>
      <c r="Q3243">
        <f>HYPERLINK("imagenes/NAUTICA_MENS_V322453M_CBL_3.jpg","Ver imagen")</f>
        <v/>
      </c>
    </row>
    <row r="3244">
      <c r="A3244" t="inlineStr">
        <is>
          <t>NAUTICA MENS</t>
        </is>
      </c>
      <c r="B3244" t="inlineStr">
        <is>
          <t>V322453M</t>
        </is>
      </c>
      <c r="C3244" t="inlineStr">
        <is>
          <t>STRETCH OPEN BOTTOM</t>
        </is>
      </c>
      <c r="D3244" t="inlineStr">
        <is>
          <t>CLG</t>
        </is>
      </c>
      <c r="E3244" t="inlineStr">
        <is>
          <t>(en blanco)</t>
        </is>
      </c>
      <c r="F3244" t="inlineStr">
        <is>
          <t>D2C</t>
        </is>
      </c>
      <c r="G3244" t="inlineStr">
        <is>
          <t>S</t>
        </is>
      </c>
      <c r="H3244" t="n">
        <v>2</v>
      </c>
      <c r="I3244" t="inlineStr">
        <is>
          <t>NAUTICA_MENS_V322453M_CLG_1.jpg</t>
        </is>
      </c>
      <c r="J3244" t="inlineStr">
        <is>
          <t>NAUTICA_MENS_V322453M_CLG_2.jpg</t>
        </is>
      </c>
      <c r="K3244" t="inlineStr">
        <is>
          <t>NAUTICA_MENS_V322453M_CLG_3.jpg</t>
        </is>
      </c>
      <c r="L3244">
        <f>IMAGE("file:///E:/Estudios%20y%20certificaciones/ESTUDIOS%20DE%20PROGRAMMING/PROGRAMMING/PERSONAL/PYTHON/Image_Generator_API/imagenes/NAUTICA_MENS_V322453M_CLG_1.jpg")</f>
        <v/>
      </c>
      <c r="M3244">
        <f>IMAGE("file:///E:/Estudios%20y%20certificaciones/ESTUDIOS%20DE%20PROGRAMMING/PROGRAMMING/PERSONAL/PYTHON/Image_Generator_API/imagenes/NAUTICA_MENS_V322453M_CLG_2.jpg")</f>
        <v/>
      </c>
      <c r="N3244">
        <f>IMAGE("file:///E:/Estudios%20y%20certificaciones/ESTUDIOS%20DE%20PROGRAMMING/PROGRAMMING/PERSONAL/PYTHON/Image_Generator_API/imagenes/NAUTICA_MENS_V322453M_CLG_3.jpg")</f>
        <v/>
      </c>
      <c r="O3244">
        <f>HYPERLINK("imagenes/NAUTICA_MENS_V322453M_CLG_1.jpg","Ver imagen")</f>
        <v/>
      </c>
      <c r="P3244">
        <f>HYPERLINK("imagenes/NAUTICA_MENS_V322453M_CLG_2.jpg","Ver imagen")</f>
        <v/>
      </c>
      <c r="Q3244">
        <f>HYPERLINK("imagenes/NAUTICA_MENS_V322453M_CLG_3.jpg","Ver imagen")</f>
        <v/>
      </c>
    </row>
    <row r="3245">
      <c r="A3245" t="inlineStr">
        <is>
          <t>NAUTICA MENS</t>
        </is>
      </c>
      <c r="B3245" t="inlineStr">
        <is>
          <t>V322453M</t>
        </is>
      </c>
      <c r="C3245" t="inlineStr">
        <is>
          <t>STRETCH OPEN BOTTOM</t>
        </is>
      </c>
      <c r="D3245" t="inlineStr">
        <is>
          <t>CLG</t>
        </is>
      </c>
      <c r="E3245" t="inlineStr">
        <is>
          <t>(en blanco)</t>
        </is>
      </c>
      <c r="F3245" t="inlineStr">
        <is>
          <t>D2C</t>
        </is>
      </c>
      <c r="G3245" t="inlineStr">
        <is>
          <t>M</t>
        </is>
      </c>
      <c r="H3245" t="n">
        <v>3</v>
      </c>
      <c r="I3245" t="inlineStr">
        <is>
          <t>NAUTICA_MENS_V322453M_CLG_1.jpg</t>
        </is>
      </c>
      <c r="J3245" t="inlineStr">
        <is>
          <t>NAUTICA_MENS_V322453M_CLG_2.jpg</t>
        </is>
      </c>
      <c r="K3245" t="inlineStr">
        <is>
          <t>NAUTICA_MENS_V322453M_CLG_3.jpg</t>
        </is>
      </c>
      <c r="L3245">
        <f>IMAGE("file:///E:/Estudios%20y%20certificaciones/ESTUDIOS%20DE%20PROGRAMMING/PROGRAMMING/PERSONAL/PYTHON/Image_Generator_API/imagenes/NAUTICA_MENS_V322453M_CLG_1.jpg")</f>
        <v/>
      </c>
      <c r="M3245">
        <f>IMAGE("file:///E:/Estudios%20y%20certificaciones/ESTUDIOS%20DE%20PROGRAMMING/PROGRAMMING/PERSONAL/PYTHON/Image_Generator_API/imagenes/NAUTICA_MENS_V322453M_CLG_2.jpg")</f>
        <v/>
      </c>
      <c r="N3245">
        <f>IMAGE("file:///E:/Estudios%20y%20certificaciones/ESTUDIOS%20DE%20PROGRAMMING/PROGRAMMING/PERSONAL/PYTHON/Image_Generator_API/imagenes/NAUTICA_MENS_V322453M_CLG_3.jpg")</f>
        <v/>
      </c>
      <c r="O3245">
        <f>HYPERLINK("imagenes/NAUTICA_MENS_V322453M_CLG_1.jpg","Ver imagen")</f>
        <v/>
      </c>
      <c r="P3245">
        <f>HYPERLINK("imagenes/NAUTICA_MENS_V322453M_CLG_2.jpg","Ver imagen")</f>
        <v/>
      </c>
      <c r="Q3245">
        <f>HYPERLINK("imagenes/NAUTICA_MENS_V322453M_CLG_3.jpg","Ver imagen")</f>
        <v/>
      </c>
    </row>
    <row r="3246">
      <c r="A3246" t="inlineStr">
        <is>
          <t>NAUTICA MENS</t>
        </is>
      </c>
      <c r="B3246" t="inlineStr">
        <is>
          <t>V322453M</t>
        </is>
      </c>
      <c r="C3246" t="inlineStr">
        <is>
          <t>STRETCH OPEN BOTTOM</t>
        </is>
      </c>
      <c r="D3246" t="inlineStr">
        <is>
          <t>CLG</t>
        </is>
      </c>
      <c r="E3246" t="inlineStr">
        <is>
          <t>(en blanco)</t>
        </is>
      </c>
      <c r="F3246" t="inlineStr">
        <is>
          <t>D2C</t>
        </is>
      </c>
      <c r="G3246" t="inlineStr">
        <is>
          <t>L</t>
        </is>
      </c>
      <c r="H3246" t="n">
        <v>1</v>
      </c>
      <c r="I3246" t="inlineStr">
        <is>
          <t>NAUTICA_MENS_V322453M_CLG_1.jpg</t>
        </is>
      </c>
      <c r="J3246" t="inlineStr">
        <is>
          <t>NAUTICA_MENS_V322453M_CLG_2.jpg</t>
        </is>
      </c>
      <c r="K3246" t="inlineStr">
        <is>
          <t>NAUTICA_MENS_V322453M_CLG_3.jpg</t>
        </is>
      </c>
      <c r="L3246">
        <f>IMAGE("file:///E:/Estudios%20y%20certificaciones/ESTUDIOS%20DE%20PROGRAMMING/PROGRAMMING/PERSONAL/PYTHON/Image_Generator_API/imagenes/NAUTICA_MENS_V322453M_CLG_1.jpg")</f>
        <v/>
      </c>
      <c r="M3246">
        <f>IMAGE("file:///E:/Estudios%20y%20certificaciones/ESTUDIOS%20DE%20PROGRAMMING/PROGRAMMING/PERSONAL/PYTHON/Image_Generator_API/imagenes/NAUTICA_MENS_V322453M_CLG_2.jpg")</f>
        <v/>
      </c>
      <c r="N3246">
        <f>IMAGE("file:///E:/Estudios%20y%20certificaciones/ESTUDIOS%20DE%20PROGRAMMING/PROGRAMMING/PERSONAL/PYTHON/Image_Generator_API/imagenes/NAUTICA_MENS_V322453M_CLG_3.jpg")</f>
        <v/>
      </c>
      <c r="O3246">
        <f>HYPERLINK("imagenes/NAUTICA_MENS_V322453M_CLG_1.jpg","Ver imagen")</f>
        <v/>
      </c>
      <c r="P3246">
        <f>HYPERLINK("imagenes/NAUTICA_MENS_V322453M_CLG_2.jpg","Ver imagen")</f>
        <v/>
      </c>
      <c r="Q3246">
        <f>HYPERLINK("imagenes/NAUTICA_MENS_V322453M_CLG_3.jpg","Ver imagen")</f>
        <v/>
      </c>
    </row>
    <row r="3247">
      <c r="A3247" t="inlineStr">
        <is>
          <t>NAUTICA MENS</t>
        </is>
      </c>
      <c r="B3247" t="inlineStr">
        <is>
          <t>V322453M</t>
        </is>
      </c>
      <c r="C3247" t="inlineStr">
        <is>
          <t>STRETCH OPEN BOTTOM</t>
        </is>
      </c>
      <c r="D3247" t="inlineStr">
        <is>
          <t>CLG</t>
        </is>
      </c>
      <c r="E3247" t="inlineStr">
        <is>
          <t>(en blanco)</t>
        </is>
      </c>
      <c r="F3247" t="inlineStr">
        <is>
          <t>D2C</t>
        </is>
      </c>
      <c r="G3247" t="inlineStr">
        <is>
          <t>XL</t>
        </is>
      </c>
      <c r="H3247" t="n">
        <v>2</v>
      </c>
      <c r="I3247" t="inlineStr">
        <is>
          <t>NAUTICA_MENS_V322453M_CLG_1.jpg</t>
        </is>
      </c>
      <c r="J3247" t="inlineStr">
        <is>
          <t>NAUTICA_MENS_V322453M_CLG_2.jpg</t>
        </is>
      </c>
      <c r="K3247" t="inlineStr">
        <is>
          <t>NAUTICA_MENS_V322453M_CLG_3.jpg</t>
        </is>
      </c>
      <c r="L3247">
        <f>IMAGE("file:///E:/Estudios%20y%20certificaciones/ESTUDIOS%20DE%20PROGRAMMING/PROGRAMMING/PERSONAL/PYTHON/Image_Generator_API/imagenes/NAUTICA_MENS_V322453M_CLG_1.jpg")</f>
        <v/>
      </c>
      <c r="M3247">
        <f>IMAGE("file:///E:/Estudios%20y%20certificaciones/ESTUDIOS%20DE%20PROGRAMMING/PROGRAMMING/PERSONAL/PYTHON/Image_Generator_API/imagenes/NAUTICA_MENS_V322453M_CLG_2.jpg")</f>
        <v/>
      </c>
      <c r="N3247">
        <f>IMAGE("file:///E:/Estudios%20y%20certificaciones/ESTUDIOS%20DE%20PROGRAMMING/PROGRAMMING/PERSONAL/PYTHON/Image_Generator_API/imagenes/NAUTICA_MENS_V322453M_CLG_3.jpg")</f>
        <v/>
      </c>
      <c r="O3247">
        <f>HYPERLINK("imagenes/NAUTICA_MENS_V322453M_CLG_1.jpg","Ver imagen")</f>
        <v/>
      </c>
      <c r="P3247">
        <f>HYPERLINK("imagenes/NAUTICA_MENS_V322453M_CLG_2.jpg","Ver imagen")</f>
        <v/>
      </c>
      <c r="Q3247">
        <f>HYPERLINK("imagenes/NAUTICA_MENS_V322453M_CLG_3.jpg","Ver imagen")</f>
        <v/>
      </c>
    </row>
    <row r="3248">
      <c r="A3248" t="inlineStr">
        <is>
          <t>NAUTICA MENS</t>
        </is>
      </c>
      <c r="B3248" t="inlineStr">
        <is>
          <t>V322453M</t>
        </is>
      </c>
      <c r="C3248" t="inlineStr">
        <is>
          <t>STRETCH OPEN BOTTOM</t>
        </is>
      </c>
      <c r="D3248" t="inlineStr">
        <is>
          <t>CLG</t>
        </is>
      </c>
      <c r="E3248" t="inlineStr">
        <is>
          <t>(en blanco)</t>
        </is>
      </c>
      <c r="F3248" t="inlineStr">
        <is>
          <t>D2C</t>
        </is>
      </c>
      <c r="G3248" t="inlineStr">
        <is>
          <t>XXL</t>
        </is>
      </c>
      <c r="H3248" t="n">
        <v>11</v>
      </c>
      <c r="I3248" t="inlineStr">
        <is>
          <t>NAUTICA_MENS_V322453M_CLG_1.jpg</t>
        </is>
      </c>
      <c r="J3248" t="inlineStr">
        <is>
          <t>NAUTICA_MENS_V322453M_CLG_2.jpg</t>
        </is>
      </c>
      <c r="K3248" t="inlineStr">
        <is>
          <t>NAUTICA_MENS_V322453M_CLG_3.jpg</t>
        </is>
      </c>
      <c r="L3248">
        <f>IMAGE("file:///E:/Estudios%20y%20certificaciones/ESTUDIOS%20DE%20PROGRAMMING/PROGRAMMING/PERSONAL/PYTHON/Image_Generator_API/imagenes/NAUTICA_MENS_V322453M_CLG_1.jpg")</f>
        <v/>
      </c>
      <c r="M3248">
        <f>IMAGE("file:///E:/Estudios%20y%20certificaciones/ESTUDIOS%20DE%20PROGRAMMING/PROGRAMMING/PERSONAL/PYTHON/Image_Generator_API/imagenes/NAUTICA_MENS_V322453M_CLG_2.jpg")</f>
        <v/>
      </c>
      <c r="N3248">
        <f>IMAGE("file:///E:/Estudios%20y%20certificaciones/ESTUDIOS%20DE%20PROGRAMMING/PROGRAMMING/PERSONAL/PYTHON/Image_Generator_API/imagenes/NAUTICA_MENS_V322453M_CLG_3.jpg")</f>
        <v/>
      </c>
      <c r="O3248">
        <f>HYPERLINK("imagenes/NAUTICA_MENS_V322453M_CLG_1.jpg","Ver imagen")</f>
        <v/>
      </c>
      <c r="P3248">
        <f>HYPERLINK("imagenes/NAUTICA_MENS_V322453M_CLG_2.jpg","Ver imagen")</f>
        <v/>
      </c>
      <c r="Q3248">
        <f>HYPERLINK("imagenes/NAUTICA_MENS_V322453M_CLG_3.jpg","Ver imagen")</f>
        <v/>
      </c>
    </row>
    <row r="3249">
      <c r="A3249" t="inlineStr">
        <is>
          <t>NAUTICA MENS</t>
        </is>
      </c>
      <c r="B3249" t="inlineStr">
        <is>
          <t>V322453M</t>
        </is>
      </c>
      <c r="C3249" t="inlineStr">
        <is>
          <t>STRETCH OPEN BOTTOM</t>
        </is>
      </c>
      <c r="D3249" t="inlineStr">
        <is>
          <t>DGY</t>
        </is>
      </c>
      <c r="E3249" t="inlineStr">
        <is>
          <t>(en blanco)</t>
        </is>
      </c>
      <c r="F3249" t="inlineStr">
        <is>
          <t>D2C</t>
        </is>
      </c>
      <c r="G3249" t="inlineStr">
        <is>
          <t>S</t>
        </is>
      </c>
      <c r="H3249" t="n">
        <v>1</v>
      </c>
      <c r="I3249" t="inlineStr">
        <is>
          <t>NAUTICA_MENS_V322453M_DGY_1.jpg</t>
        </is>
      </c>
      <c r="J3249" t="inlineStr">
        <is>
          <t>NAUTICA_MENS_V322453M_DGY_2.jpg</t>
        </is>
      </c>
      <c r="K3249" t="inlineStr">
        <is>
          <t>NAUTICA_MENS_V322453M_DGY_3.jpg</t>
        </is>
      </c>
      <c r="L3249">
        <f>IMAGE("file:///E:/Estudios%20y%20certificaciones/ESTUDIOS%20DE%20PROGRAMMING/PROGRAMMING/PERSONAL/PYTHON/Image_Generator_API/imagenes/NAUTICA_MENS_V322453M_DGY_1.jpg")</f>
        <v/>
      </c>
      <c r="M3249">
        <f>IMAGE("file:///E:/Estudios%20y%20certificaciones/ESTUDIOS%20DE%20PROGRAMMING/PROGRAMMING/PERSONAL/PYTHON/Image_Generator_API/imagenes/NAUTICA_MENS_V322453M_DGY_2.jpg")</f>
        <v/>
      </c>
      <c r="N3249">
        <f>IMAGE("file:///E:/Estudios%20y%20certificaciones/ESTUDIOS%20DE%20PROGRAMMING/PROGRAMMING/PERSONAL/PYTHON/Image_Generator_API/imagenes/NAUTICA_MENS_V322453M_DGY_3.jpg")</f>
        <v/>
      </c>
      <c r="O3249">
        <f>HYPERLINK("imagenes/NAUTICA_MENS_V322453M_DGY_1.jpg","Ver imagen")</f>
        <v/>
      </c>
      <c r="P3249">
        <f>HYPERLINK("imagenes/NAUTICA_MENS_V322453M_DGY_2.jpg","Ver imagen")</f>
        <v/>
      </c>
      <c r="Q3249">
        <f>HYPERLINK("imagenes/NAUTICA_MENS_V322453M_DGY_3.jpg","Ver imagen")</f>
        <v/>
      </c>
    </row>
    <row r="3250">
      <c r="A3250" t="inlineStr">
        <is>
          <t>NAUTICA MENS</t>
        </is>
      </c>
      <c r="B3250" t="inlineStr">
        <is>
          <t>V322453M</t>
        </is>
      </c>
      <c r="C3250" t="inlineStr">
        <is>
          <t>STRETCH OPEN BOTTOM</t>
        </is>
      </c>
      <c r="D3250" t="inlineStr">
        <is>
          <t>DGY</t>
        </is>
      </c>
      <c r="E3250" t="inlineStr">
        <is>
          <t>(en blanco)</t>
        </is>
      </c>
      <c r="F3250" t="inlineStr">
        <is>
          <t>D2C</t>
        </is>
      </c>
      <c r="G3250" t="inlineStr">
        <is>
          <t>M</t>
        </is>
      </c>
      <c r="H3250" t="n">
        <v>42</v>
      </c>
      <c r="I3250" t="inlineStr">
        <is>
          <t>NAUTICA_MENS_V322453M_DGY_1.jpg</t>
        </is>
      </c>
      <c r="J3250" t="inlineStr">
        <is>
          <t>NAUTICA_MENS_V322453M_DGY_2.jpg</t>
        </is>
      </c>
      <c r="K3250" t="inlineStr">
        <is>
          <t>NAUTICA_MENS_V322453M_DGY_3.jpg</t>
        </is>
      </c>
      <c r="L3250">
        <f>IMAGE("file:///E:/Estudios%20y%20certificaciones/ESTUDIOS%20DE%20PROGRAMMING/PROGRAMMING/PERSONAL/PYTHON/Image_Generator_API/imagenes/NAUTICA_MENS_V322453M_DGY_1.jpg")</f>
        <v/>
      </c>
      <c r="M3250">
        <f>IMAGE("file:///E:/Estudios%20y%20certificaciones/ESTUDIOS%20DE%20PROGRAMMING/PROGRAMMING/PERSONAL/PYTHON/Image_Generator_API/imagenes/NAUTICA_MENS_V322453M_DGY_2.jpg")</f>
        <v/>
      </c>
      <c r="N3250">
        <f>IMAGE("file:///E:/Estudios%20y%20certificaciones/ESTUDIOS%20DE%20PROGRAMMING/PROGRAMMING/PERSONAL/PYTHON/Image_Generator_API/imagenes/NAUTICA_MENS_V322453M_DGY_3.jpg")</f>
        <v/>
      </c>
      <c r="O3250">
        <f>HYPERLINK("imagenes/NAUTICA_MENS_V322453M_DGY_1.jpg","Ver imagen")</f>
        <v/>
      </c>
      <c r="P3250">
        <f>HYPERLINK("imagenes/NAUTICA_MENS_V322453M_DGY_2.jpg","Ver imagen")</f>
        <v/>
      </c>
      <c r="Q3250">
        <f>HYPERLINK("imagenes/NAUTICA_MENS_V322453M_DGY_3.jpg","Ver imagen")</f>
        <v/>
      </c>
    </row>
    <row r="3251">
      <c r="A3251" t="inlineStr">
        <is>
          <t>NAUTICA MENS</t>
        </is>
      </c>
      <c r="B3251" t="inlineStr">
        <is>
          <t>V322453M</t>
        </is>
      </c>
      <c r="C3251" t="inlineStr">
        <is>
          <t>STRETCH OPEN BOTTOM</t>
        </is>
      </c>
      <c r="D3251" t="inlineStr">
        <is>
          <t>DGY</t>
        </is>
      </c>
      <c r="E3251" t="inlineStr">
        <is>
          <t>(en blanco)</t>
        </is>
      </c>
      <c r="F3251" t="inlineStr">
        <is>
          <t>D2C</t>
        </is>
      </c>
      <c r="G3251" t="inlineStr">
        <is>
          <t>L</t>
        </is>
      </c>
      <c r="H3251" t="n">
        <v>19</v>
      </c>
      <c r="I3251" t="inlineStr">
        <is>
          <t>NAUTICA_MENS_V322453M_DGY_1.jpg</t>
        </is>
      </c>
      <c r="J3251" t="inlineStr">
        <is>
          <t>NAUTICA_MENS_V322453M_DGY_2.jpg</t>
        </is>
      </c>
      <c r="K3251" t="inlineStr">
        <is>
          <t>NAUTICA_MENS_V322453M_DGY_3.jpg</t>
        </is>
      </c>
      <c r="L3251">
        <f>IMAGE("file:///E:/Estudios%20y%20certificaciones/ESTUDIOS%20DE%20PROGRAMMING/PROGRAMMING/PERSONAL/PYTHON/Image_Generator_API/imagenes/NAUTICA_MENS_V322453M_DGY_1.jpg")</f>
        <v/>
      </c>
      <c r="M3251">
        <f>IMAGE("file:///E:/Estudios%20y%20certificaciones/ESTUDIOS%20DE%20PROGRAMMING/PROGRAMMING/PERSONAL/PYTHON/Image_Generator_API/imagenes/NAUTICA_MENS_V322453M_DGY_2.jpg")</f>
        <v/>
      </c>
      <c r="N3251">
        <f>IMAGE("file:///E:/Estudios%20y%20certificaciones/ESTUDIOS%20DE%20PROGRAMMING/PROGRAMMING/PERSONAL/PYTHON/Image_Generator_API/imagenes/NAUTICA_MENS_V322453M_DGY_3.jpg")</f>
        <v/>
      </c>
      <c r="O3251">
        <f>HYPERLINK("imagenes/NAUTICA_MENS_V322453M_DGY_1.jpg","Ver imagen")</f>
        <v/>
      </c>
      <c r="P3251">
        <f>HYPERLINK("imagenes/NAUTICA_MENS_V322453M_DGY_2.jpg","Ver imagen")</f>
        <v/>
      </c>
      <c r="Q3251">
        <f>HYPERLINK("imagenes/NAUTICA_MENS_V322453M_DGY_3.jpg","Ver imagen")</f>
        <v/>
      </c>
    </row>
    <row r="3252">
      <c r="A3252" t="inlineStr">
        <is>
          <t>NAUTICA MENS</t>
        </is>
      </c>
      <c r="B3252" t="inlineStr">
        <is>
          <t>V322453M</t>
        </is>
      </c>
      <c r="C3252" t="inlineStr">
        <is>
          <t>STRETCH OPEN BOTTOM</t>
        </is>
      </c>
      <c r="D3252" t="inlineStr">
        <is>
          <t>DGY</t>
        </is>
      </c>
      <c r="E3252" t="inlineStr">
        <is>
          <t>(en blanco)</t>
        </is>
      </c>
      <c r="F3252" t="inlineStr">
        <is>
          <t>D2C</t>
        </is>
      </c>
      <c r="G3252" t="inlineStr">
        <is>
          <t>XL</t>
        </is>
      </c>
      <c r="H3252" t="n">
        <v>11</v>
      </c>
      <c r="I3252" t="inlineStr">
        <is>
          <t>NAUTICA_MENS_V322453M_DGY_1.jpg</t>
        </is>
      </c>
      <c r="J3252" t="inlineStr">
        <is>
          <t>NAUTICA_MENS_V322453M_DGY_2.jpg</t>
        </is>
      </c>
      <c r="K3252" t="inlineStr">
        <is>
          <t>NAUTICA_MENS_V322453M_DGY_3.jpg</t>
        </is>
      </c>
      <c r="L3252">
        <f>IMAGE("file:///E:/Estudios%20y%20certificaciones/ESTUDIOS%20DE%20PROGRAMMING/PROGRAMMING/PERSONAL/PYTHON/Image_Generator_API/imagenes/NAUTICA_MENS_V322453M_DGY_1.jpg")</f>
        <v/>
      </c>
      <c r="M3252">
        <f>IMAGE("file:///E:/Estudios%20y%20certificaciones/ESTUDIOS%20DE%20PROGRAMMING/PROGRAMMING/PERSONAL/PYTHON/Image_Generator_API/imagenes/NAUTICA_MENS_V322453M_DGY_2.jpg")</f>
        <v/>
      </c>
      <c r="N3252">
        <f>IMAGE("file:///E:/Estudios%20y%20certificaciones/ESTUDIOS%20DE%20PROGRAMMING/PROGRAMMING/PERSONAL/PYTHON/Image_Generator_API/imagenes/NAUTICA_MENS_V322453M_DGY_3.jpg")</f>
        <v/>
      </c>
      <c r="O3252">
        <f>HYPERLINK("imagenes/NAUTICA_MENS_V322453M_DGY_1.jpg","Ver imagen")</f>
        <v/>
      </c>
      <c r="P3252">
        <f>HYPERLINK("imagenes/NAUTICA_MENS_V322453M_DGY_2.jpg","Ver imagen")</f>
        <v/>
      </c>
      <c r="Q3252">
        <f>HYPERLINK("imagenes/NAUTICA_MENS_V322453M_DGY_3.jpg","Ver imagen")</f>
        <v/>
      </c>
    </row>
    <row r="3253">
      <c r="A3253" t="inlineStr">
        <is>
          <t>NAUTICA MENS</t>
        </is>
      </c>
      <c r="B3253" t="inlineStr">
        <is>
          <t>V322453M</t>
        </is>
      </c>
      <c r="C3253" t="inlineStr">
        <is>
          <t>STRETCH OPEN BOTTOM</t>
        </is>
      </c>
      <c r="D3253" t="inlineStr">
        <is>
          <t>DSO</t>
        </is>
      </c>
      <c r="E3253" t="inlineStr">
        <is>
          <t>(en blanco)</t>
        </is>
      </c>
      <c r="F3253" t="inlineStr">
        <is>
          <t>D2C</t>
        </is>
      </c>
      <c r="G3253" t="inlineStr">
        <is>
          <t>S</t>
        </is>
      </c>
      <c r="H3253" t="n">
        <v>3</v>
      </c>
      <c r="I3253" t="inlineStr">
        <is>
          <t>NAUTICA_MENS_V322453M_DSO_1.jpg</t>
        </is>
      </c>
      <c r="J3253" t="inlineStr">
        <is>
          <t>NAUTICA_MENS_V322453M_DSO_2.jpg</t>
        </is>
      </c>
      <c r="K3253" t="inlineStr">
        <is>
          <t>NAUTICA_MENS_V322453M_DSO_3.jpg</t>
        </is>
      </c>
      <c r="L3253">
        <f>IMAGE("file:///E:/Estudios%20y%20certificaciones/ESTUDIOS%20DE%20PROGRAMMING/PROGRAMMING/PERSONAL/PYTHON/Image_Generator_API/imagenes/NAUTICA_MENS_V322453M_DSO_1.jpg")</f>
        <v/>
      </c>
      <c r="M3253">
        <f>IMAGE("file:///E:/Estudios%20y%20certificaciones/ESTUDIOS%20DE%20PROGRAMMING/PROGRAMMING/PERSONAL/PYTHON/Image_Generator_API/imagenes/NAUTICA_MENS_V322453M_DSO_2.jpg")</f>
        <v/>
      </c>
      <c r="N3253">
        <f>IMAGE("file:///E:/Estudios%20y%20certificaciones/ESTUDIOS%20DE%20PROGRAMMING/PROGRAMMING/PERSONAL/PYTHON/Image_Generator_API/imagenes/NAUTICA_MENS_V322453M_DSO_3.jpg")</f>
        <v/>
      </c>
      <c r="O3253">
        <f>HYPERLINK("imagenes/NAUTICA_MENS_V322453M_DSO_1.jpg","Ver imagen")</f>
        <v/>
      </c>
      <c r="P3253">
        <f>HYPERLINK("imagenes/NAUTICA_MENS_V322453M_DSO_2.jpg","Ver imagen")</f>
        <v/>
      </c>
      <c r="Q3253">
        <f>HYPERLINK("imagenes/NAUTICA_MENS_V322453M_DSO_3.jpg","Ver imagen")</f>
        <v/>
      </c>
    </row>
    <row r="3254">
      <c r="A3254" t="inlineStr">
        <is>
          <t>NAUTICA MENS</t>
        </is>
      </c>
      <c r="B3254" t="inlineStr">
        <is>
          <t>V322453M</t>
        </is>
      </c>
      <c r="C3254" t="inlineStr">
        <is>
          <t>STRETCH OPEN BOTTOM</t>
        </is>
      </c>
      <c r="D3254" t="inlineStr">
        <is>
          <t>DSO</t>
        </is>
      </c>
      <c r="E3254" t="inlineStr">
        <is>
          <t>(en blanco)</t>
        </is>
      </c>
      <c r="F3254" t="inlineStr">
        <is>
          <t>D2C</t>
        </is>
      </c>
      <c r="G3254" t="inlineStr">
        <is>
          <t>L</t>
        </is>
      </c>
      <c r="H3254" t="n">
        <v>31</v>
      </c>
      <c r="I3254" t="inlineStr">
        <is>
          <t>NAUTICA_MENS_V322453M_DSO_1.jpg</t>
        </is>
      </c>
      <c r="J3254" t="inlineStr">
        <is>
          <t>NAUTICA_MENS_V322453M_DSO_2.jpg</t>
        </is>
      </c>
      <c r="K3254" t="inlineStr">
        <is>
          <t>NAUTICA_MENS_V322453M_DSO_3.jpg</t>
        </is>
      </c>
      <c r="L3254">
        <f>IMAGE("file:///E:/Estudios%20y%20certificaciones/ESTUDIOS%20DE%20PROGRAMMING/PROGRAMMING/PERSONAL/PYTHON/Image_Generator_API/imagenes/NAUTICA_MENS_V322453M_DSO_1.jpg")</f>
        <v/>
      </c>
      <c r="M3254">
        <f>IMAGE("file:///E:/Estudios%20y%20certificaciones/ESTUDIOS%20DE%20PROGRAMMING/PROGRAMMING/PERSONAL/PYTHON/Image_Generator_API/imagenes/NAUTICA_MENS_V322453M_DSO_2.jpg")</f>
        <v/>
      </c>
      <c r="N3254">
        <f>IMAGE("file:///E:/Estudios%20y%20certificaciones/ESTUDIOS%20DE%20PROGRAMMING/PROGRAMMING/PERSONAL/PYTHON/Image_Generator_API/imagenes/NAUTICA_MENS_V322453M_DSO_3.jpg")</f>
        <v/>
      </c>
      <c r="O3254">
        <f>HYPERLINK("imagenes/NAUTICA_MENS_V322453M_DSO_1.jpg","Ver imagen")</f>
        <v/>
      </c>
      <c r="P3254">
        <f>HYPERLINK("imagenes/NAUTICA_MENS_V322453M_DSO_2.jpg","Ver imagen")</f>
        <v/>
      </c>
      <c r="Q3254">
        <f>HYPERLINK("imagenes/NAUTICA_MENS_V322453M_DSO_3.jpg","Ver imagen")</f>
        <v/>
      </c>
    </row>
    <row r="3255">
      <c r="A3255" t="inlineStr">
        <is>
          <t>NAUTICA MENS</t>
        </is>
      </c>
      <c r="B3255" t="inlineStr">
        <is>
          <t>V322453M</t>
        </is>
      </c>
      <c r="C3255" t="inlineStr">
        <is>
          <t>STRETCH OPEN BOTTOM</t>
        </is>
      </c>
      <c r="D3255" t="inlineStr">
        <is>
          <t>DSO</t>
        </is>
      </c>
      <c r="E3255" t="inlineStr">
        <is>
          <t>(en blanco)</t>
        </is>
      </c>
      <c r="F3255" t="inlineStr">
        <is>
          <t>D2C</t>
        </is>
      </c>
      <c r="G3255" t="inlineStr">
        <is>
          <t>XL</t>
        </is>
      </c>
      <c r="H3255" t="n">
        <v>13</v>
      </c>
      <c r="I3255" t="inlineStr">
        <is>
          <t>NAUTICA_MENS_V322453M_DSO_1.jpg</t>
        </is>
      </c>
      <c r="J3255" t="inlineStr">
        <is>
          <t>NAUTICA_MENS_V322453M_DSO_2.jpg</t>
        </is>
      </c>
      <c r="K3255" t="inlineStr">
        <is>
          <t>NAUTICA_MENS_V322453M_DSO_3.jpg</t>
        </is>
      </c>
      <c r="L3255">
        <f>IMAGE("file:///E:/Estudios%20y%20certificaciones/ESTUDIOS%20DE%20PROGRAMMING/PROGRAMMING/PERSONAL/PYTHON/Image_Generator_API/imagenes/NAUTICA_MENS_V322453M_DSO_1.jpg")</f>
        <v/>
      </c>
      <c r="M3255">
        <f>IMAGE("file:///E:/Estudios%20y%20certificaciones/ESTUDIOS%20DE%20PROGRAMMING/PROGRAMMING/PERSONAL/PYTHON/Image_Generator_API/imagenes/NAUTICA_MENS_V322453M_DSO_2.jpg")</f>
        <v/>
      </c>
      <c r="N3255">
        <f>IMAGE("file:///E:/Estudios%20y%20certificaciones/ESTUDIOS%20DE%20PROGRAMMING/PROGRAMMING/PERSONAL/PYTHON/Image_Generator_API/imagenes/NAUTICA_MENS_V322453M_DSO_3.jpg")</f>
        <v/>
      </c>
      <c r="O3255">
        <f>HYPERLINK("imagenes/NAUTICA_MENS_V322453M_DSO_1.jpg","Ver imagen")</f>
        <v/>
      </c>
      <c r="P3255">
        <f>HYPERLINK("imagenes/NAUTICA_MENS_V322453M_DSO_2.jpg","Ver imagen")</f>
        <v/>
      </c>
      <c r="Q3255">
        <f>HYPERLINK("imagenes/NAUTICA_MENS_V322453M_DSO_3.jpg","Ver imagen")</f>
        <v/>
      </c>
    </row>
    <row r="3256">
      <c r="A3256" t="inlineStr">
        <is>
          <t>NAUTICA MENS</t>
        </is>
      </c>
      <c r="B3256" t="inlineStr">
        <is>
          <t>V322453M</t>
        </is>
      </c>
      <c r="C3256" t="inlineStr">
        <is>
          <t>STRETCH OPEN BOTTOM</t>
        </is>
      </c>
      <c r="D3256" t="inlineStr">
        <is>
          <t>DSO</t>
        </is>
      </c>
      <c r="E3256" t="inlineStr">
        <is>
          <t>(en blanco)</t>
        </is>
      </c>
      <c r="F3256" t="inlineStr">
        <is>
          <t>D2C</t>
        </is>
      </c>
      <c r="G3256" t="inlineStr">
        <is>
          <t>XXL</t>
        </is>
      </c>
      <c r="H3256" t="n">
        <v>43</v>
      </c>
      <c r="I3256" t="inlineStr">
        <is>
          <t>NAUTICA_MENS_V322453M_DSO_1.jpg</t>
        </is>
      </c>
      <c r="J3256" t="inlineStr">
        <is>
          <t>NAUTICA_MENS_V322453M_DSO_2.jpg</t>
        </is>
      </c>
      <c r="K3256" t="inlineStr">
        <is>
          <t>NAUTICA_MENS_V322453M_DSO_3.jpg</t>
        </is>
      </c>
      <c r="L3256">
        <f>IMAGE("file:///E:/Estudios%20y%20certificaciones/ESTUDIOS%20DE%20PROGRAMMING/PROGRAMMING/PERSONAL/PYTHON/Image_Generator_API/imagenes/NAUTICA_MENS_V322453M_DSO_1.jpg")</f>
        <v/>
      </c>
      <c r="M3256">
        <f>IMAGE("file:///E:/Estudios%20y%20certificaciones/ESTUDIOS%20DE%20PROGRAMMING/PROGRAMMING/PERSONAL/PYTHON/Image_Generator_API/imagenes/NAUTICA_MENS_V322453M_DSO_2.jpg")</f>
        <v/>
      </c>
      <c r="N3256">
        <f>IMAGE("file:///E:/Estudios%20y%20certificaciones/ESTUDIOS%20DE%20PROGRAMMING/PROGRAMMING/PERSONAL/PYTHON/Image_Generator_API/imagenes/NAUTICA_MENS_V322453M_DSO_3.jpg")</f>
        <v/>
      </c>
      <c r="O3256">
        <f>HYPERLINK("imagenes/NAUTICA_MENS_V322453M_DSO_1.jpg","Ver imagen")</f>
        <v/>
      </c>
      <c r="P3256">
        <f>HYPERLINK("imagenes/NAUTICA_MENS_V322453M_DSO_2.jpg","Ver imagen")</f>
        <v/>
      </c>
      <c r="Q3256">
        <f>HYPERLINK("imagenes/NAUTICA_MENS_V322453M_DSO_3.jpg","Ver imagen")</f>
        <v/>
      </c>
    </row>
    <row r="3257">
      <c r="A3257" t="inlineStr">
        <is>
          <t>NAUTICA MENS</t>
        </is>
      </c>
      <c r="B3257" t="inlineStr">
        <is>
          <t>V322453M</t>
        </is>
      </c>
      <c r="C3257" t="inlineStr">
        <is>
          <t>STRETCH OPEN BOTTOM</t>
        </is>
      </c>
      <c r="D3257" t="inlineStr">
        <is>
          <t>G4T</t>
        </is>
      </c>
      <c r="E3257" t="inlineStr">
        <is>
          <t>(en blanco)</t>
        </is>
      </c>
      <c r="F3257" t="inlineStr">
        <is>
          <t>(en blanco)</t>
        </is>
      </c>
      <c r="G3257" t="inlineStr">
        <is>
          <t>S</t>
        </is>
      </c>
      <c r="H3257" t="n">
        <v>19</v>
      </c>
      <c r="I3257" t="inlineStr">
        <is>
          <t>NAUTICA_MENS_V322453M_G4T_1.jpg</t>
        </is>
      </c>
      <c r="J3257" t="inlineStr">
        <is>
          <t>NAUTICA_MENS_V322453M_G4T_2.jpg</t>
        </is>
      </c>
      <c r="K3257" t="inlineStr">
        <is>
          <t>NAUTICA_MENS_V322453M_G4T_3.jpg</t>
        </is>
      </c>
      <c r="L3257">
        <f>IMAGE("file:///E:/Estudios%20y%20certificaciones/ESTUDIOS%20DE%20PROGRAMMING/PROGRAMMING/PERSONAL/PYTHON/Image_Generator_API/imagenes/NAUTICA_MENS_V322453M_G4T_1.jpg")</f>
        <v/>
      </c>
      <c r="M3257">
        <f>IMAGE("file:///E:/Estudios%20y%20certificaciones/ESTUDIOS%20DE%20PROGRAMMING/PROGRAMMING/PERSONAL/PYTHON/Image_Generator_API/imagenes/NAUTICA_MENS_V322453M_G4T_2.jpg")</f>
        <v/>
      </c>
      <c r="N3257">
        <f>IMAGE("file:///E:/Estudios%20y%20certificaciones/ESTUDIOS%20DE%20PROGRAMMING/PROGRAMMING/PERSONAL/PYTHON/Image_Generator_API/imagenes/NAUTICA_MENS_V322453M_G4T_3.jpg")</f>
        <v/>
      </c>
      <c r="O3257">
        <f>HYPERLINK("imagenes/NAUTICA_MENS_V322453M_G4T_1.jpg","Ver imagen")</f>
        <v/>
      </c>
      <c r="P3257">
        <f>HYPERLINK("imagenes/NAUTICA_MENS_V322453M_G4T_2.jpg","Ver imagen")</f>
        <v/>
      </c>
      <c r="Q3257">
        <f>HYPERLINK("imagenes/NAUTICA_MENS_V322453M_G4T_3.jpg","Ver imagen")</f>
        <v/>
      </c>
    </row>
    <row r="3258">
      <c r="A3258" t="inlineStr">
        <is>
          <t>NAUTICA MENS</t>
        </is>
      </c>
      <c r="B3258" t="inlineStr">
        <is>
          <t>V322453M</t>
        </is>
      </c>
      <c r="C3258" t="inlineStr">
        <is>
          <t>STRETCH OPEN BOTTOM</t>
        </is>
      </c>
      <c r="D3258" t="inlineStr">
        <is>
          <t>G4T</t>
        </is>
      </c>
      <c r="E3258" t="inlineStr">
        <is>
          <t>(en blanco)</t>
        </is>
      </c>
      <c r="F3258" t="inlineStr">
        <is>
          <t>(en blanco)</t>
        </is>
      </c>
      <c r="G3258" t="inlineStr">
        <is>
          <t>M</t>
        </is>
      </c>
      <c r="H3258" t="n">
        <v>33</v>
      </c>
      <c r="I3258" t="inlineStr">
        <is>
          <t>NAUTICA_MENS_V322453M_G4T_1.jpg</t>
        </is>
      </c>
      <c r="J3258" t="inlineStr">
        <is>
          <t>NAUTICA_MENS_V322453M_G4T_2.jpg</t>
        </is>
      </c>
      <c r="K3258" t="inlineStr">
        <is>
          <t>NAUTICA_MENS_V322453M_G4T_3.jpg</t>
        </is>
      </c>
      <c r="L3258">
        <f>IMAGE("file:///E:/Estudios%20y%20certificaciones/ESTUDIOS%20DE%20PROGRAMMING/PROGRAMMING/PERSONAL/PYTHON/Image_Generator_API/imagenes/NAUTICA_MENS_V322453M_G4T_1.jpg")</f>
        <v/>
      </c>
      <c r="M3258">
        <f>IMAGE("file:///E:/Estudios%20y%20certificaciones/ESTUDIOS%20DE%20PROGRAMMING/PROGRAMMING/PERSONAL/PYTHON/Image_Generator_API/imagenes/NAUTICA_MENS_V322453M_G4T_2.jpg")</f>
        <v/>
      </c>
      <c r="N3258">
        <f>IMAGE("file:///E:/Estudios%20y%20certificaciones/ESTUDIOS%20DE%20PROGRAMMING/PROGRAMMING/PERSONAL/PYTHON/Image_Generator_API/imagenes/NAUTICA_MENS_V322453M_G4T_3.jpg")</f>
        <v/>
      </c>
      <c r="O3258">
        <f>HYPERLINK("imagenes/NAUTICA_MENS_V322453M_G4T_1.jpg","Ver imagen")</f>
        <v/>
      </c>
      <c r="P3258">
        <f>HYPERLINK("imagenes/NAUTICA_MENS_V322453M_G4T_2.jpg","Ver imagen")</f>
        <v/>
      </c>
      <c r="Q3258">
        <f>HYPERLINK("imagenes/NAUTICA_MENS_V322453M_G4T_3.jpg","Ver imagen")</f>
        <v/>
      </c>
    </row>
    <row r="3259">
      <c r="A3259" t="inlineStr">
        <is>
          <t>NAUTICA MENS</t>
        </is>
      </c>
      <c r="B3259" t="inlineStr">
        <is>
          <t>V322453M</t>
        </is>
      </c>
      <c r="C3259" t="inlineStr">
        <is>
          <t>STRETCH OPEN BOTTOM</t>
        </is>
      </c>
      <c r="D3259" t="inlineStr">
        <is>
          <t>G4T</t>
        </is>
      </c>
      <c r="E3259" t="inlineStr">
        <is>
          <t>(en blanco)</t>
        </is>
      </c>
      <c r="F3259" t="inlineStr">
        <is>
          <t>(en blanco)</t>
        </is>
      </c>
      <c r="G3259" t="inlineStr">
        <is>
          <t>L</t>
        </is>
      </c>
      <c r="H3259" t="n">
        <v>80</v>
      </c>
      <c r="I3259" t="inlineStr">
        <is>
          <t>NAUTICA_MENS_V322453M_G4T_1.jpg</t>
        </is>
      </c>
      <c r="J3259" t="inlineStr">
        <is>
          <t>NAUTICA_MENS_V322453M_G4T_2.jpg</t>
        </is>
      </c>
      <c r="K3259" t="inlineStr">
        <is>
          <t>NAUTICA_MENS_V322453M_G4T_3.jpg</t>
        </is>
      </c>
      <c r="L3259">
        <f>IMAGE("file:///E:/Estudios%20y%20certificaciones/ESTUDIOS%20DE%20PROGRAMMING/PROGRAMMING/PERSONAL/PYTHON/Image_Generator_API/imagenes/NAUTICA_MENS_V322453M_G4T_1.jpg")</f>
        <v/>
      </c>
      <c r="M3259">
        <f>IMAGE("file:///E:/Estudios%20y%20certificaciones/ESTUDIOS%20DE%20PROGRAMMING/PROGRAMMING/PERSONAL/PYTHON/Image_Generator_API/imagenes/NAUTICA_MENS_V322453M_G4T_2.jpg")</f>
        <v/>
      </c>
      <c r="N3259">
        <f>IMAGE("file:///E:/Estudios%20y%20certificaciones/ESTUDIOS%20DE%20PROGRAMMING/PROGRAMMING/PERSONAL/PYTHON/Image_Generator_API/imagenes/NAUTICA_MENS_V322453M_G4T_3.jpg")</f>
        <v/>
      </c>
      <c r="O3259">
        <f>HYPERLINK("imagenes/NAUTICA_MENS_V322453M_G4T_1.jpg","Ver imagen")</f>
        <v/>
      </c>
      <c r="P3259">
        <f>HYPERLINK("imagenes/NAUTICA_MENS_V322453M_G4T_2.jpg","Ver imagen")</f>
        <v/>
      </c>
      <c r="Q3259">
        <f>HYPERLINK("imagenes/NAUTICA_MENS_V322453M_G4T_3.jpg","Ver imagen")</f>
        <v/>
      </c>
    </row>
    <row r="3260">
      <c r="A3260" t="inlineStr">
        <is>
          <t>NAUTICA MENS</t>
        </is>
      </c>
      <c r="B3260" t="inlineStr">
        <is>
          <t>V322453M</t>
        </is>
      </c>
      <c r="C3260" t="inlineStr">
        <is>
          <t>STRETCH OPEN BOTTOM</t>
        </is>
      </c>
      <c r="D3260" t="inlineStr">
        <is>
          <t>G4T</t>
        </is>
      </c>
      <c r="E3260" t="inlineStr">
        <is>
          <t>(en blanco)</t>
        </is>
      </c>
      <c r="F3260" t="inlineStr">
        <is>
          <t>(en blanco)</t>
        </is>
      </c>
      <c r="G3260" t="inlineStr">
        <is>
          <t>XL</t>
        </is>
      </c>
      <c r="H3260" t="n">
        <v>132</v>
      </c>
      <c r="I3260" t="inlineStr">
        <is>
          <t>NAUTICA_MENS_V322453M_G4T_1.jpg</t>
        </is>
      </c>
      <c r="J3260" t="inlineStr">
        <is>
          <t>NAUTICA_MENS_V322453M_G4T_2.jpg</t>
        </is>
      </c>
      <c r="K3260" t="inlineStr">
        <is>
          <t>NAUTICA_MENS_V322453M_G4T_3.jpg</t>
        </is>
      </c>
      <c r="L3260">
        <f>IMAGE("file:///E:/Estudios%20y%20certificaciones/ESTUDIOS%20DE%20PROGRAMMING/PROGRAMMING/PERSONAL/PYTHON/Image_Generator_API/imagenes/NAUTICA_MENS_V322453M_G4T_1.jpg")</f>
        <v/>
      </c>
      <c r="M3260">
        <f>IMAGE("file:///E:/Estudios%20y%20certificaciones/ESTUDIOS%20DE%20PROGRAMMING/PROGRAMMING/PERSONAL/PYTHON/Image_Generator_API/imagenes/NAUTICA_MENS_V322453M_G4T_2.jpg")</f>
        <v/>
      </c>
      <c r="N3260">
        <f>IMAGE("file:///E:/Estudios%20y%20certificaciones/ESTUDIOS%20DE%20PROGRAMMING/PROGRAMMING/PERSONAL/PYTHON/Image_Generator_API/imagenes/NAUTICA_MENS_V322453M_G4T_3.jpg")</f>
        <v/>
      </c>
      <c r="O3260">
        <f>HYPERLINK("imagenes/NAUTICA_MENS_V322453M_G4T_1.jpg","Ver imagen")</f>
        <v/>
      </c>
      <c r="P3260">
        <f>HYPERLINK("imagenes/NAUTICA_MENS_V322453M_G4T_2.jpg","Ver imagen")</f>
        <v/>
      </c>
      <c r="Q3260">
        <f>HYPERLINK("imagenes/NAUTICA_MENS_V322453M_G4T_3.jpg","Ver imagen")</f>
        <v/>
      </c>
    </row>
    <row r="3261">
      <c r="A3261" t="inlineStr">
        <is>
          <t>NAUTICA MENS</t>
        </is>
      </c>
      <c r="B3261" t="inlineStr">
        <is>
          <t>V322453M</t>
        </is>
      </c>
      <c r="C3261" t="inlineStr">
        <is>
          <t>STRETCH OPEN BOTTOM</t>
        </is>
      </c>
      <c r="D3261" t="inlineStr">
        <is>
          <t>G4T</t>
        </is>
      </c>
      <c r="E3261" t="inlineStr">
        <is>
          <t>(en blanco)</t>
        </is>
      </c>
      <c r="F3261" t="inlineStr">
        <is>
          <t>(en blanco)</t>
        </is>
      </c>
      <c r="G3261" t="inlineStr">
        <is>
          <t>XXL</t>
        </is>
      </c>
      <c r="H3261" t="n">
        <v>63</v>
      </c>
      <c r="I3261" t="inlineStr">
        <is>
          <t>NAUTICA_MENS_V322453M_G4T_1.jpg</t>
        </is>
      </c>
      <c r="J3261" t="inlineStr">
        <is>
          <t>NAUTICA_MENS_V322453M_G4T_2.jpg</t>
        </is>
      </c>
      <c r="K3261" t="inlineStr">
        <is>
          <t>NAUTICA_MENS_V322453M_G4T_3.jpg</t>
        </is>
      </c>
      <c r="L3261">
        <f>IMAGE("file:///E:/Estudios%20y%20certificaciones/ESTUDIOS%20DE%20PROGRAMMING/PROGRAMMING/PERSONAL/PYTHON/Image_Generator_API/imagenes/NAUTICA_MENS_V322453M_G4T_1.jpg")</f>
        <v/>
      </c>
      <c r="M3261">
        <f>IMAGE("file:///E:/Estudios%20y%20certificaciones/ESTUDIOS%20DE%20PROGRAMMING/PROGRAMMING/PERSONAL/PYTHON/Image_Generator_API/imagenes/NAUTICA_MENS_V322453M_G4T_2.jpg")</f>
        <v/>
      </c>
      <c r="N3261">
        <f>IMAGE("file:///E:/Estudios%20y%20certificaciones/ESTUDIOS%20DE%20PROGRAMMING/PROGRAMMING/PERSONAL/PYTHON/Image_Generator_API/imagenes/NAUTICA_MENS_V322453M_G4T_3.jpg")</f>
        <v/>
      </c>
      <c r="O3261">
        <f>HYPERLINK("imagenes/NAUTICA_MENS_V322453M_G4T_1.jpg","Ver imagen")</f>
        <v/>
      </c>
      <c r="P3261">
        <f>HYPERLINK("imagenes/NAUTICA_MENS_V322453M_G4T_2.jpg","Ver imagen")</f>
        <v/>
      </c>
      <c r="Q3261">
        <f>HYPERLINK("imagenes/NAUTICA_MENS_V322453M_G4T_3.jpg","Ver imagen")</f>
        <v/>
      </c>
    </row>
    <row r="3262">
      <c r="A3262" t="inlineStr">
        <is>
          <t>NAUTICA MENS</t>
        </is>
      </c>
      <c r="B3262" t="inlineStr">
        <is>
          <t>V322453M</t>
        </is>
      </c>
      <c r="C3262" t="inlineStr">
        <is>
          <t>STRETCH OPEN BOTTOM</t>
        </is>
      </c>
      <c r="D3262" t="inlineStr">
        <is>
          <t>GRG</t>
        </is>
      </c>
      <c r="E3262" t="inlineStr">
        <is>
          <t>(en blanco)</t>
        </is>
      </c>
      <c r="F3262" t="inlineStr">
        <is>
          <t>(en blanco)</t>
        </is>
      </c>
      <c r="G3262" t="inlineStr">
        <is>
          <t>L</t>
        </is>
      </c>
      <c r="H3262" t="n">
        <v>11</v>
      </c>
      <c r="I3262" t="inlineStr">
        <is>
          <t>NAUTICA_MENS_V322453M_GRG_1.jpg</t>
        </is>
      </c>
      <c r="J3262" t="inlineStr">
        <is>
          <t>NAUTICA_MENS_V322453M_GRG_2.jpg</t>
        </is>
      </c>
      <c r="K3262" t="inlineStr">
        <is>
          <t>NAUTICA_MENS_V322453M_GRG_3.jpg</t>
        </is>
      </c>
      <c r="L3262">
        <f>IMAGE("file:///E:/Estudios%20y%20certificaciones/ESTUDIOS%20DE%20PROGRAMMING/PROGRAMMING/PERSONAL/PYTHON/Image_Generator_API/imagenes/NAUTICA_MENS_V322453M_GRG_1.jpg")</f>
        <v/>
      </c>
      <c r="M3262">
        <f>IMAGE("file:///E:/Estudios%20y%20certificaciones/ESTUDIOS%20DE%20PROGRAMMING/PROGRAMMING/PERSONAL/PYTHON/Image_Generator_API/imagenes/NAUTICA_MENS_V322453M_GRG_2.jpg")</f>
        <v/>
      </c>
      <c r="N3262">
        <f>IMAGE("file:///E:/Estudios%20y%20certificaciones/ESTUDIOS%20DE%20PROGRAMMING/PROGRAMMING/PERSONAL/PYTHON/Image_Generator_API/imagenes/NAUTICA_MENS_V322453M_GRG_3.jpg")</f>
        <v/>
      </c>
      <c r="O3262">
        <f>HYPERLINK("imagenes/NAUTICA_MENS_V322453M_GRG_1.jpg","Ver imagen")</f>
        <v/>
      </c>
      <c r="P3262">
        <f>HYPERLINK("imagenes/NAUTICA_MENS_V322453M_GRG_2.jpg","Ver imagen")</f>
        <v/>
      </c>
      <c r="Q3262">
        <f>HYPERLINK("imagenes/NAUTICA_MENS_V322453M_GRG_3.jpg","Ver imagen")</f>
        <v/>
      </c>
    </row>
    <row r="3263">
      <c r="A3263" t="inlineStr">
        <is>
          <t>NAUTICA MENS</t>
        </is>
      </c>
      <c r="B3263" t="inlineStr">
        <is>
          <t>V322453M</t>
        </is>
      </c>
      <c r="C3263" t="inlineStr">
        <is>
          <t>STRETCH OPEN BOTTOM</t>
        </is>
      </c>
      <c r="D3263" t="inlineStr">
        <is>
          <t>GRG</t>
        </is>
      </c>
      <c r="E3263" t="inlineStr">
        <is>
          <t>(en blanco)</t>
        </is>
      </c>
      <c r="F3263" t="inlineStr">
        <is>
          <t>(en blanco)</t>
        </is>
      </c>
      <c r="G3263" t="inlineStr">
        <is>
          <t>XL</t>
        </is>
      </c>
      <c r="H3263" t="n">
        <v>17</v>
      </c>
      <c r="I3263" t="inlineStr">
        <is>
          <t>NAUTICA_MENS_V322453M_GRG_1.jpg</t>
        </is>
      </c>
      <c r="J3263" t="inlineStr">
        <is>
          <t>NAUTICA_MENS_V322453M_GRG_2.jpg</t>
        </is>
      </c>
      <c r="K3263" t="inlineStr">
        <is>
          <t>NAUTICA_MENS_V322453M_GRG_3.jpg</t>
        </is>
      </c>
      <c r="L3263">
        <f>IMAGE("file:///E:/Estudios%20y%20certificaciones/ESTUDIOS%20DE%20PROGRAMMING/PROGRAMMING/PERSONAL/PYTHON/Image_Generator_API/imagenes/NAUTICA_MENS_V322453M_GRG_1.jpg")</f>
        <v/>
      </c>
      <c r="M3263">
        <f>IMAGE("file:///E:/Estudios%20y%20certificaciones/ESTUDIOS%20DE%20PROGRAMMING/PROGRAMMING/PERSONAL/PYTHON/Image_Generator_API/imagenes/NAUTICA_MENS_V322453M_GRG_2.jpg")</f>
        <v/>
      </c>
      <c r="N3263">
        <f>IMAGE("file:///E:/Estudios%20y%20certificaciones/ESTUDIOS%20DE%20PROGRAMMING/PROGRAMMING/PERSONAL/PYTHON/Image_Generator_API/imagenes/NAUTICA_MENS_V322453M_GRG_3.jpg")</f>
        <v/>
      </c>
      <c r="O3263">
        <f>HYPERLINK("imagenes/NAUTICA_MENS_V322453M_GRG_1.jpg","Ver imagen")</f>
        <v/>
      </c>
      <c r="P3263">
        <f>HYPERLINK("imagenes/NAUTICA_MENS_V322453M_GRG_2.jpg","Ver imagen")</f>
        <v/>
      </c>
      <c r="Q3263">
        <f>HYPERLINK("imagenes/NAUTICA_MENS_V322453M_GRG_3.jpg","Ver imagen")</f>
        <v/>
      </c>
    </row>
    <row r="3264">
      <c r="A3264" t="inlineStr">
        <is>
          <t>NAUTICA MENS</t>
        </is>
      </c>
      <c r="B3264" t="inlineStr">
        <is>
          <t>V322453M</t>
        </is>
      </c>
      <c r="C3264" t="inlineStr">
        <is>
          <t>STRETCH OPEN BOTTOM</t>
        </is>
      </c>
      <c r="D3264" t="inlineStr">
        <is>
          <t>GRG</t>
        </is>
      </c>
      <c r="E3264" t="inlineStr">
        <is>
          <t>(en blanco)</t>
        </is>
      </c>
      <c r="F3264" t="inlineStr">
        <is>
          <t>(en blanco)</t>
        </is>
      </c>
      <c r="G3264" t="inlineStr">
        <is>
          <t>XXL</t>
        </is>
      </c>
      <c r="H3264" t="n">
        <v>4</v>
      </c>
      <c r="I3264" t="inlineStr">
        <is>
          <t>NAUTICA_MENS_V322453M_GRG_1.jpg</t>
        </is>
      </c>
      <c r="J3264" t="inlineStr">
        <is>
          <t>NAUTICA_MENS_V322453M_GRG_2.jpg</t>
        </is>
      </c>
      <c r="K3264" t="inlineStr">
        <is>
          <t>NAUTICA_MENS_V322453M_GRG_3.jpg</t>
        </is>
      </c>
      <c r="L3264">
        <f>IMAGE("file:///E:/Estudios%20y%20certificaciones/ESTUDIOS%20DE%20PROGRAMMING/PROGRAMMING/PERSONAL/PYTHON/Image_Generator_API/imagenes/NAUTICA_MENS_V322453M_GRG_1.jpg")</f>
        <v/>
      </c>
      <c r="M3264">
        <f>IMAGE("file:///E:/Estudios%20y%20certificaciones/ESTUDIOS%20DE%20PROGRAMMING/PROGRAMMING/PERSONAL/PYTHON/Image_Generator_API/imagenes/NAUTICA_MENS_V322453M_GRG_2.jpg")</f>
        <v/>
      </c>
      <c r="N3264">
        <f>IMAGE("file:///E:/Estudios%20y%20certificaciones/ESTUDIOS%20DE%20PROGRAMMING/PROGRAMMING/PERSONAL/PYTHON/Image_Generator_API/imagenes/NAUTICA_MENS_V322453M_GRG_3.jpg")</f>
        <v/>
      </c>
      <c r="O3264">
        <f>HYPERLINK("imagenes/NAUTICA_MENS_V322453M_GRG_1.jpg","Ver imagen")</f>
        <v/>
      </c>
      <c r="P3264">
        <f>HYPERLINK("imagenes/NAUTICA_MENS_V322453M_GRG_2.jpg","Ver imagen")</f>
        <v/>
      </c>
      <c r="Q3264">
        <f>HYPERLINK("imagenes/NAUTICA_MENS_V322453M_GRG_3.jpg","Ver imagen")</f>
        <v/>
      </c>
    </row>
    <row r="3265">
      <c r="A3265" t="inlineStr">
        <is>
          <t>NAUTICA MENS</t>
        </is>
      </c>
      <c r="B3265" t="inlineStr">
        <is>
          <t>V322453M</t>
        </is>
      </c>
      <c r="C3265" t="inlineStr">
        <is>
          <t>STRETCH OPEN BOTTOM</t>
        </is>
      </c>
      <c r="D3265" t="inlineStr">
        <is>
          <t>MGD</t>
        </is>
      </c>
      <c r="E3265" t="inlineStr">
        <is>
          <t>(en blanco)</t>
        </is>
      </c>
      <c r="F3265" t="inlineStr">
        <is>
          <t>(en blanco)</t>
        </is>
      </c>
      <c r="G3265" t="inlineStr">
        <is>
          <t>L</t>
        </is>
      </c>
      <c r="H3265" t="n">
        <v>7</v>
      </c>
      <c r="I3265" t="inlineStr">
        <is>
          <t>NAUTICA_MENS_V322453M_MGD_1.jpg</t>
        </is>
      </c>
      <c r="J3265" t="inlineStr">
        <is>
          <t>NAUTICA_MENS_V322453M_MGD_2.jpg</t>
        </is>
      </c>
      <c r="K3265" t="inlineStr">
        <is>
          <t>NAUTICA_MENS_V322453M_MGD_3.jpg</t>
        </is>
      </c>
      <c r="L3265">
        <f>IMAGE("file:///E:/Estudios%20y%20certificaciones/ESTUDIOS%20DE%20PROGRAMMING/PROGRAMMING/PERSONAL/PYTHON/Image_Generator_API/imagenes/NAUTICA_MENS_V322453M_MGD_1.jpg")</f>
        <v/>
      </c>
      <c r="M3265">
        <f>IMAGE("file:///E:/Estudios%20y%20certificaciones/ESTUDIOS%20DE%20PROGRAMMING/PROGRAMMING/PERSONAL/PYTHON/Image_Generator_API/imagenes/NAUTICA_MENS_V322453M_MGD_2.jpg")</f>
        <v/>
      </c>
      <c r="N3265">
        <f>IMAGE("file:///E:/Estudios%20y%20certificaciones/ESTUDIOS%20DE%20PROGRAMMING/PROGRAMMING/PERSONAL/PYTHON/Image_Generator_API/imagenes/NAUTICA_MENS_V322453M_MGD_3.jpg")</f>
        <v/>
      </c>
      <c r="O3265">
        <f>HYPERLINK("imagenes/NAUTICA_MENS_V322453M_MGD_1.jpg","Ver imagen")</f>
        <v/>
      </c>
      <c r="P3265">
        <f>HYPERLINK("imagenes/NAUTICA_MENS_V322453M_MGD_2.jpg","Ver imagen")</f>
        <v/>
      </c>
      <c r="Q3265">
        <f>HYPERLINK("imagenes/NAUTICA_MENS_V322453M_MGD_3.jpg","Ver imagen")</f>
        <v/>
      </c>
    </row>
    <row r="3266">
      <c r="A3266" t="inlineStr">
        <is>
          <t>NAUTICA MENS</t>
        </is>
      </c>
      <c r="B3266" t="inlineStr">
        <is>
          <t>V322453M</t>
        </is>
      </c>
      <c r="C3266" t="inlineStr">
        <is>
          <t>STRETCH OPEN BOTTOM</t>
        </is>
      </c>
      <c r="D3266" t="inlineStr">
        <is>
          <t>MGD</t>
        </is>
      </c>
      <c r="E3266" t="inlineStr">
        <is>
          <t>(en blanco)</t>
        </is>
      </c>
      <c r="F3266" t="inlineStr">
        <is>
          <t>(en blanco)</t>
        </is>
      </c>
      <c r="G3266" t="inlineStr">
        <is>
          <t>XL</t>
        </is>
      </c>
      <c r="H3266" t="n">
        <v>30</v>
      </c>
      <c r="I3266" t="inlineStr">
        <is>
          <t>NAUTICA_MENS_V322453M_MGD_1.jpg</t>
        </is>
      </c>
      <c r="J3266" t="inlineStr">
        <is>
          <t>NAUTICA_MENS_V322453M_MGD_2.jpg</t>
        </is>
      </c>
      <c r="K3266" t="inlineStr">
        <is>
          <t>NAUTICA_MENS_V322453M_MGD_3.jpg</t>
        </is>
      </c>
      <c r="L3266">
        <f>IMAGE("file:///E:/Estudios%20y%20certificaciones/ESTUDIOS%20DE%20PROGRAMMING/PROGRAMMING/PERSONAL/PYTHON/Image_Generator_API/imagenes/NAUTICA_MENS_V322453M_MGD_1.jpg")</f>
        <v/>
      </c>
      <c r="M3266">
        <f>IMAGE("file:///E:/Estudios%20y%20certificaciones/ESTUDIOS%20DE%20PROGRAMMING/PROGRAMMING/PERSONAL/PYTHON/Image_Generator_API/imagenes/NAUTICA_MENS_V322453M_MGD_2.jpg")</f>
        <v/>
      </c>
      <c r="N3266">
        <f>IMAGE("file:///E:/Estudios%20y%20certificaciones/ESTUDIOS%20DE%20PROGRAMMING/PROGRAMMING/PERSONAL/PYTHON/Image_Generator_API/imagenes/NAUTICA_MENS_V322453M_MGD_3.jpg")</f>
        <v/>
      </c>
      <c r="O3266">
        <f>HYPERLINK("imagenes/NAUTICA_MENS_V322453M_MGD_1.jpg","Ver imagen")</f>
        <v/>
      </c>
      <c r="P3266">
        <f>HYPERLINK("imagenes/NAUTICA_MENS_V322453M_MGD_2.jpg","Ver imagen")</f>
        <v/>
      </c>
      <c r="Q3266">
        <f>HYPERLINK("imagenes/NAUTICA_MENS_V322453M_MGD_3.jpg","Ver imagen")</f>
        <v/>
      </c>
    </row>
    <row r="3267">
      <c r="A3267" t="inlineStr">
        <is>
          <t>NAUTICA MENS</t>
        </is>
      </c>
      <c r="B3267" t="inlineStr">
        <is>
          <t>V322453M</t>
        </is>
      </c>
      <c r="C3267" t="inlineStr">
        <is>
          <t>STRETCH OPEN BOTTOM</t>
        </is>
      </c>
      <c r="D3267" t="inlineStr">
        <is>
          <t>MGD</t>
        </is>
      </c>
      <c r="E3267" t="inlineStr">
        <is>
          <t>(en blanco)</t>
        </is>
      </c>
      <c r="F3267" t="inlineStr">
        <is>
          <t>(en blanco)</t>
        </is>
      </c>
      <c r="G3267" t="inlineStr">
        <is>
          <t>XXL</t>
        </is>
      </c>
      <c r="H3267" t="n">
        <v>11</v>
      </c>
      <c r="I3267" t="inlineStr">
        <is>
          <t>NAUTICA_MENS_V322453M_MGD_1.jpg</t>
        </is>
      </c>
      <c r="J3267" t="inlineStr">
        <is>
          <t>NAUTICA_MENS_V322453M_MGD_2.jpg</t>
        </is>
      </c>
      <c r="K3267" t="inlineStr">
        <is>
          <t>NAUTICA_MENS_V322453M_MGD_3.jpg</t>
        </is>
      </c>
      <c r="L3267">
        <f>IMAGE("file:///E:/Estudios%20y%20certificaciones/ESTUDIOS%20DE%20PROGRAMMING/PROGRAMMING/PERSONAL/PYTHON/Image_Generator_API/imagenes/NAUTICA_MENS_V322453M_MGD_1.jpg")</f>
        <v/>
      </c>
      <c r="M3267">
        <f>IMAGE("file:///E:/Estudios%20y%20certificaciones/ESTUDIOS%20DE%20PROGRAMMING/PROGRAMMING/PERSONAL/PYTHON/Image_Generator_API/imagenes/NAUTICA_MENS_V322453M_MGD_2.jpg")</f>
        <v/>
      </c>
      <c r="N3267">
        <f>IMAGE("file:///E:/Estudios%20y%20certificaciones/ESTUDIOS%20DE%20PROGRAMMING/PROGRAMMING/PERSONAL/PYTHON/Image_Generator_API/imagenes/NAUTICA_MENS_V322453M_MGD_3.jpg")</f>
        <v/>
      </c>
      <c r="O3267">
        <f>HYPERLINK("imagenes/NAUTICA_MENS_V322453M_MGD_1.jpg","Ver imagen")</f>
        <v/>
      </c>
      <c r="P3267">
        <f>HYPERLINK("imagenes/NAUTICA_MENS_V322453M_MGD_2.jpg","Ver imagen")</f>
        <v/>
      </c>
      <c r="Q3267">
        <f>HYPERLINK("imagenes/NAUTICA_MENS_V322453M_MGD_3.jpg","Ver imagen")</f>
        <v/>
      </c>
    </row>
    <row r="3268">
      <c r="A3268" t="inlineStr">
        <is>
          <t>NAUTICA MENS</t>
        </is>
      </c>
      <c r="B3268" t="inlineStr">
        <is>
          <t>V322453M</t>
        </is>
      </c>
      <c r="C3268" t="inlineStr">
        <is>
          <t>STRETCH OPEN BOTTOM</t>
        </is>
      </c>
      <c r="D3268" t="inlineStr">
        <is>
          <t>NVY</t>
        </is>
      </c>
      <c r="E3268" t="inlineStr">
        <is>
          <t>(en blanco)</t>
        </is>
      </c>
      <c r="F3268" t="inlineStr">
        <is>
          <t>D2C</t>
        </is>
      </c>
      <c r="G3268" t="inlineStr">
        <is>
          <t>M</t>
        </is>
      </c>
      <c r="H3268" t="n">
        <v>14</v>
      </c>
      <c r="I3268" t="inlineStr">
        <is>
          <t>NAUTICA_MENS_V322453M_NVY_1.jpg</t>
        </is>
      </c>
      <c r="J3268" t="inlineStr">
        <is>
          <t>NAUTICA_MENS_V322453M_NVY_2.jpg</t>
        </is>
      </c>
      <c r="K3268" t="inlineStr">
        <is>
          <t>NAUTICA_MENS_V322453M_NVY_3.jpg</t>
        </is>
      </c>
      <c r="L3268">
        <f>IMAGE("file:///E:/Estudios%20y%20certificaciones/ESTUDIOS%20DE%20PROGRAMMING/PROGRAMMING/PERSONAL/PYTHON/Image_Generator_API/imagenes/NAUTICA_MENS_V322453M_NVY_1.jpg")</f>
        <v/>
      </c>
      <c r="M3268">
        <f>IMAGE("file:///E:/Estudios%20y%20certificaciones/ESTUDIOS%20DE%20PROGRAMMING/PROGRAMMING/PERSONAL/PYTHON/Image_Generator_API/imagenes/NAUTICA_MENS_V322453M_NVY_2.jpg")</f>
        <v/>
      </c>
      <c r="N3268">
        <f>IMAGE("file:///E:/Estudios%20y%20certificaciones/ESTUDIOS%20DE%20PROGRAMMING/PROGRAMMING/PERSONAL/PYTHON/Image_Generator_API/imagenes/NAUTICA_MENS_V322453M_NVY_3.jpg")</f>
        <v/>
      </c>
      <c r="O3268">
        <f>HYPERLINK("imagenes/NAUTICA_MENS_V322453M_NVY_1.jpg","Ver imagen")</f>
        <v/>
      </c>
      <c r="P3268">
        <f>HYPERLINK("imagenes/NAUTICA_MENS_V322453M_NVY_2.jpg","Ver imagen")</f>
        <v/>
      </c>
      <c r="Q3268">
        <f>HYPERLINK("imagenes/NAUTICA_MENS_V322453M_NVY_3.jpg","Ver imagen")</f>
        <v/>
      </c>
    </row>
    <row r="3269">
      <c r="A3269" t="inlineStr">
        <is>
          <t>NAUTICA MENS</t>
        </is>
      </c>
      <c r="B3269" t="inlineStr">
        <is>
          <t>V322453M</t>
        </is>
      </c>
      <c r="C3269" t="inlineStr">
        <is>
          <t>STRETCH OPEN BOTTOM</t>
        </is>
      </c>
      <c r="D3269" t="inlineStr">
        <is>
          <t>NVY</t>
        </is>
      </c>
      <c r="E3269" t="inlineStr">
        <is>
          <t>(en blanco)</t>
        </is>
      </c>
      <c r="F3269" t="inlineStr">
        <is>
          <t>D2C</t>
        </is>
      </c>
      <c r="G3269" t="inlineStr">
        <is>
          <t>L</t>
        </is>
      </c>
      <c r="H3269" t="n">
        <v>81</v>
      </c>
      <c r="I3269" t="inlineStr">
        <is>
          <t>NAUTICA_MENS_V322453M_NVY_1.jpg</t>
        </is>
      </c>
      <c r="J3269" t="inlineStr">
        <is>
          <t>NAUTICA_MENS_V322453M_NVY_2.jpg</t>
        </is>
      </c>
      <c r="K3269" t="inlineStr">
        <is>
          <t>NAUTICA_MENS_V322453M_NVY_3.jpg</t>
        </is>
      </c>
      <c r="L3269">
        <f>IMAGE("file:///E:/Estudios%20y%20certificaciones/ESTUDIOS%20DE%20PROGRAMMING/PROGRAMMING/PERSONAL/PYTHON/Image_Generator_API/imagenes/NAUTICA_MENS_V322453M_NVY_1.jpg")</f>
        <v/>
      </c>
      <c r="M3269">
        <f>IMAGE("file:///E:/Estudios%20y%20certificaciones/ESTUDIOS%20DE%20PROGRAMMING/PROGRAMMING/PERSONAL/PYTHON/Image_Generator_API/imagenes/NAUTICA_MENS_V322453M_NVY_2.jpg")</f>
        <v/>
      </c>
      <c r="N3269">
        <f>IMAGE("file:///E:/Estudios%20y%20certificaciones/ESTUDIOS%20DE%20PROGRAMMING/PROGRAMMING/PERSONAL/PYTHON/Image_Generator_API/imagenes/NAUTICA_MENS_V322453M_NVY_3.jpg")</f>
        <v/>
      </c>
      <c r="O3269">
        <f>HYPERLINK("imagenes/NAUTICA_MENS_V322453M_NVY_1.jpg","Ver imagen")</f>
        <v/>
      </c>
      <c r="P3269">
        <f>HYPERLINK("imagenes/NAUTICA_MENS_V322453M_NVY_2.jpg","Ver imagen")</f>
        <v/>
      </c>
      <c r="Q3269">
        <f>HYPERLINK("imagenes/NAUTICA_MENS_V322453M_NVY_3.jpg","Ver imagen")</f>
        <v/>
      </c>
    </row>
    <row r="3270">
      <c r="A3270" t="inlineStr">
        <is>
          <t>NAUTICA MENS</t>
        </is>
      </c>
      <c r="B3270" t="inlineStr">
        <is>
          <t>V322453M</t>
        </is>
      </c>
      <c r="C3270" t="inlineStr">
        <is>
          <t>STRETCH OPEN BOTTOM</t>
        </is>
      </c>
      <c r="D3270" t="inlineStr">
        <is>
          <t>NVY</t>
        </is>
      </c>
      <c r="E3270" t="inlineStr">
        <is>
          <t>(en blanco)</t>
        </is>
      </c>
      <c r="F3270" t="inlineStr">
        <is>
          <t>D2C</t>
        </is>
      </c>
      <c r="G3270" t="inlineStr">
        <is>
          <t>XL</t>
        </is>
      </c>
      <c r="H3270" t="n">
        <v>42</v>
      </c>
      <c r="I3270" t="inlineStr">
        <is>
          <t>NAUTICA_MENS_V322453M_NVY_1.jpg</t>
        </is>
      </c>
      <c r="J3270" t="inlineStr">
        <is>
          <t>NAUTICA_MENS_V322453M_NVY_2.jpg</t>
        </is>
      </c>
      <c r="K3270" t="inlineStr">
        <is>
          <t>NAUTICA_MENS_V322453M_NVY_3.jpg</t>
        </is>
      </c>
      <c r="L3270">
        <f>IMAGE("file:///E:/Estudios%20y%20certificaciones/ESTUDIOS%20DE%20PROGRAMMING/PROGRAMMING/PERSONAL/PYTHON/Image_Generator_API/imagenes/NAUTICA_MENS_V322453M_NVY_1.jpg")</f>
        <v/>
      </c>
      <c r="M3270">
        <f>IMAGE("file:///E:/Estudios%20y%20certificaciones/ESTUDIOS%20DE%20PROGRAMMING/PROGRAMMING/PERSONAL/PYTHON/Image_Generator_API/imagenes/NAUTICA_MENS_V322453M_NVY_2.jpg")</f>
        <v/>
      </c>
      <c r="N3270">
        <f>IMAGE("file:///E:/Estudios%20y%20certificaciones/ESTUDIOS%20DE%20PROGRAMMING/PROGRAMMING/PERSONAL/PYTHON/Image_Generator_API/imagenes/NAUTICA_MENS_V322453M_NVY_3.jpg")</f>
        <v/>
      </c>
      <c r="O3270">
        <f>HYPERLINK("imagenes/NAUTICA_MENS_V322453M_NVY_1.jpg","Ver imagen")</f>
        <v/>
      </c>
      <c r="P3270">
        <f>HYPERLINK("imagenes/NAUTICA_MENS_V322453M_NVY_2.jpg","Ver imagen")</f>
        <v/>
      </c>
      <c r="Q3270">
        <f>HYPERLINK("imagenes/NAUTICA_MENS_V322453M_NVY_3.jpg","Ver imagen")</f>
        <v/>
      </c>
    </row>
    <row r="3271">
      <c r="A3271" t="inlineStr">
        <is>
          <t>NAUTICA MENS</t>
        </is>
      </c>
      <c r="B3271" t="inlineStr">
        <is>
          <t>V322453M</t>
        </is>
      </c>
      <c r="C3271" t="inlineStr">
        <is>
          <t>STRETCH OPEN BOTTOM</t>
        </is>
      </c>
      <c r="D3271" t="inlineStr">
        <is>
          <t>NVY</t>
        </is>
      </c>
      <c r="E3271" t="inlineStr">
        <is>
          <t>(en blanco)</t>
        </is>
      </c>
      <c r="F3271" t="inlineStr">
        <is>
          <t>D2C</t>
        </is>
      </c>
      <c r="G3271" t="inlineStr">
        <is>
          <t>XXL</t>
        </is>
      </c>
      <c r="H3271" t="n">
        <v>24</v>
      </c>
      <c r="I3271" t="inlineStr">
        <is>
          <t>NAUTICA_MENS_V322453M_NVY_1.jpg</t>
        </is>
      </c>
      <c r="J3271" t="inlineStr">
        <is>
          <t>NAUTICA_MENS_V322453M_NVY_2.jpg</t>
        </is>
      </c>
      <c r="K3271" t="inlineStr">
        <is>
          <t>NAUTICA_MENS_V322453M_NVY_3.jpg</t>
        </is>
      </c>
      <c r="L3271">
        <f>IMAGE("file:///E:/Estudios%20y%20certificaciones/ESTUDIOS%20DE%20PROGRAMMING/PROGRAMMING/PERSONAL/PYTHON/Image_Generator_API/imagenes/NAUTICA_MENS_V322453M_NVY_1.jpg")</f>
        <v/>
      </c>
      <c r="M3271">
        <f>IMAGE("file:///E:/Estudios%20y%20certificaciones/ESTUDIOS%20DE%20PROGRAMMING/PROGRAMMING/PERSONAL/PYTHON/Image_Generator_API/imagenes/NAUTICA_MENS_V322453M_NVY_2.jpg")</f>
        <v/>
      </c>
      <c r="N3271">
        <f>IMAGE("file:///E:/Estudios%20y%20certificaciones/ESTUDIOS%20DE%20PROGRAMMING/PROGRAMMING/PERSONAL/PYTHON/Image_Generator_API/imagenes/NAUTICA_MENS_V322453M_NVY_3.jpg")</f>
        <v/>
      </c>
      <c r="O3271">
        <f>HYPERLINK("imagenes/NAUTICA_MENS_V322453M_NVY_1.jpg","Ver imagen")</f>
        <v/>
      </c>
      <c r="P3271">
        <f>HYPERLINK("imagenes/NAUTICA_MENS_V322453M_NVY_2.jpg","Ver imagen")</f>
        <v/>
      </c>
      <c r="Q3271">
        <f>HYPERLINK("imagenes/NAUTICA_MENS_V322453M_NVY_3.jpg","Ver imagen")</f>
        <v/>
      </c>
    </row>
    <row r="3272">
      <c r="A3272" t="inlineStr">
        <is>
          <t>NAUTICA MENS</t>
        </is>
      </c>
      <c r="B3272" t="inlineStr">
        <is>
          <t>V322453M</t>
        </is>
      </c>
      <c r="C3272" t="inlineStr">
        <is>
          <t>STRETCH OPEN BOTTOM</t>
        </is>
      </c>
      <c r="D3272" t="inlineStr">
        <is>
          <t>RED</t>
        </is>
      </c>
      <c r="E3272" t="inlineStr">
        <is>
          <t>(en blanco)</t>
        </is>
      </c>
      <c r="F3272" t="inlineStr">
        <is>
          <t>D2C</t>
        </is>
      </c>
      <c r="G3272" t="inlineStr">
        <is>
          <t>M</t>
        </is>
      </c>
      <c r="H3272" t="n">
        <v>5</v>
      </c>
      <c r="I3272" t="inlineStr">
        <is>
          <t>NAUTICA_MENS_V322453M_RED_1.jpg</t>
        </is>
      </c>
      <c r="J3272" t="inlineStr">
        <is>
          <t>NAUTICA_MENS_V322453M_RED_2.jpg</t>
        </is>
      </c>
      <c r="K3272" t="inlineStr">
        <is>
          <t>NAUTICA_MENS_V322453M_RED_3.jpg</t>
        </is>
      </c>
      <c r="L3272">
        <f>IMAGE("file:///E:/Estudios%20y%20certificaciones/ESTUDIOS%20DE%20PROGRAMMING/PROGRAMMING/PERSONAL/PYTHON/Image_Generator_API/imagenes/NAUTICA_MENS_V322453M_RED_1.jpg")</f>
        <v/>
      </c>
      <c r="M3272">
        <f>IMAGE("file:///E:/Estudios%20y%20certificaciones/ESTUDIOS%20DE%20PROGRAMMING/PROGRAMMING/PERSONAL/PYTHON/Image_Generator_API/imagenes/NAUTICA_MENS_V322453M_RED_2.jpg")</f>
        <v/>
      </c>
      <c r="N3272">
        <f>IMAGE("file:///E:/Estudios%20y%20certificaciones/ESTUDIOS%20DE%20PROGRAMMING/PROGRAMMING/PERSONAL/PYTHON/Image_Generator_API/imagenes/NAUTICA_MENS_V322453M_RED_3.jpg")</f>
        <v/>
      </c>
      <c r="O3272">
        <f>HYPERLINK("imagenes/NAUTICA_MENS_V322453M_RED_1.jpg","Ver imagen")</f>
        <v/>
      </c>
      <c r="P3272">
        <f>HYPERLINK("imagenes/NAUTICA_MENS_V322453M_RED_2.jpg","Ver imagen")</f>
        <v/>
      </c>
      <c r="Q3272">
        <f>HYPERLINK("imagenes/NAUTICA_MENS_V322453M_RED_3.jpg","Ver imagen")</f>
        <v/>
      </c>
    </row>
    <row r="3273">
      <c r="A3273" t="inlineStr">
        <is>
          <t>NAUTICA MENS</t>
        </is>
      </c>
      <c r="B3273" t="inlineStr">
        <is>
          <t>V322453M</t>
        </is>
      </c>
      <c r="C3273" t="inlineStr">
        <is>
          <t>STRETCH OPEN BOTTOM</t>
        </is>
      </c>
      <c r="D3273" t="inlineStr">
        <is>
          <t>RED</t>
        </is>
      </c>
      <c r="E3273" t="inlineStr">
        <is>
          <t>(en blanco)</t>
        </is>
      </c>
      <c r="F3273" t="inlineStr">
        <is>
          <t>D2C</t>
        </is>
      </c>
      <c r="G3273" t="inlineStr">
        <is>
          <t>XL</t>
        </is>
      </c>
      <c r="H3273" t="n">
        <v>88</v>
      </c>
      <c r="I3273" t="inlineStr">
        <is>
          <t>NAUTICA_MENS_V322453M_RED_1.jpg</t>
        </is>
      </c>
      <c r="J3273" t="inlineStr">
        <is>
          <t>NAUTICA_MENS_V322453M_RED_2.jpg</t>
        </is>
      </c>
      <c r="K3273" t="inlineStr">
        <is>
          <t>NAUTICA_MENS_V322453M_RED_3.jpg</t>
        </is>
      </c>
      <c r="L3273">
        <f>IMAGE("file:///E:/Estudios%20y%20certificaciones/ESTUDIOS%20DE%20PROGRAMMING/PROGRAMMING/PERSONAL/PYTHON/Image_Generator_API/imagenes/NAUTICA_MENS_V322453M_RED_1.jpg")</f>
        <v/>
      </c>
      <c r="M3273">
        <f>IMAGE("file:///E:/Estudios%20y%20certificaciones/ESTUDIOS%20DE%20PROGRAMMING/PROGRAMMING/PERSONAL/PYTHON/Image_Generator_API/imagenes/NAUTICA_MENS_V322453M_RED_2.jpg")</f>
        <v/>
      </c>
      <c r="N3273">
        <f>IMAGE("file:///E:/Estudios%20y%20certificaciones/ESTUDIOS%20DE%20PROGRAMMING/PROGRAMMING/PERSONAL/PYTHON/Image_Generator_API/imagenes/NAUTICA_MENS_V322453M_RED_3.jpg")</f>
        <v/>
      </c>
      <c r="O3273">
        <f>HYPERLINK("imagenes/NAUTICA_MENS_V322453M_RED_1.jpg","Ver imagen")</f>
        <v/>
      </c>
      <c r="P3273">
        <f>HYPERLINK("imagenes/NAUTICA_MENS_V322453M_RED_2.jpg","Ver imagen")</f>
        <v/>
      </c>
      <c r="Q3273">
        <f>HYPERLINK("imagenes/NAUTICA_MENS_V322453M_RED_3.jpg","Ver imagen")</f>
        <v/>
      </c>
    </row>
    <row r="3274">
      <c r="A3274" t="inlineStr">
        <is>
          <t>NAUTICA MENS</t>
        </is>
      </c>
      <c r="B3274" t="inlineStr">
        <is>
          <t>V322453M</t>
        </is>
      </c>
      <c r="C3274" t="inlineStr">
        <is>
          <t>STRETCH OPEN BOTTOM</t>
        </is>
      </c>
      <c r="D3274" t="inlineStr">
        <is>
          <t>RED</t>
        </is>
      </c>
      <c r="E3274" t="inlineStr">
        <is>
          <t>(en blanco)</t>
        </is>
      </c>
      <c r="F3274" t="inlineStr">
        <is>
          <t>D2C</t>
        </is>
      </c>
      <c r="G3274" t="inlineStr">
        <is>
          <t>XXL</t>
        </is>
      </c>
      <c r="H3274" t="n">
        <v>52</v>
      </c>
      <c r="I3274" t="inlineStr">
        <is>
          <t>NAUTICA_MENS_V322453M_RED_1.jpg</t>
        </is>
      </c>
      <c r="J3274" t="inlineStr">
        <is>
          <t>NAUTICA_MENS_V322453M_RED_2.jpg</t>
        </is>
      </c>
      <c r="K3274" t="inlineStr">
        <is>
          <t>NAUTICA_MENS_V322453M_RED_3.jpg</t>
        </is>
      </c>
      <c r="L3274">
        <f>IMAGE("file:///E:/Estudios%20y%20certificaciones/ESTUDIOS%20DE%20PROGRAMMING/PROGRAMMING/PERSONAL/PYTHON/Image_Generator_API/imagenes/NAUTICA_MENS_V322453M_RED_1.jpg")</f>
        <v/>
      </c>
      <c r="M3274">
        <f>IMAGE("file:///E:/Estudios%20y%20certificaciones/ESTUDIOS%20DE%20PROGRAMMING/PROGRAMMING/PERSONAL/PYTHON/Image_Generator_API/imagenes/NAUTICA_MENS_V322453M_RED_2.jpg")</f>
        <v/>
      </c>
      <c r="N3274">
        <f>IMAGE("file:///E:/Estudios%20y%20certificaciones/ESTUDIOS%20DE%20PROGRAMMING/PROGRAMMING/PERSONAL/PYTHON/Image_Generator_API/imagenes/NAUTICA_MENS_V322453M_RED_3.jpg")</f>
        <v/>
      </c>
      <c r="O3274">
        <f>HYPERLINK("imagenes/NAUTICA_MENS_V322453M_RED_1.jpg","Ver imagen")</f>
        <v/>
      </c>
      <c r="P3274">
        <f>HYPERLINK("imagenes/NAUTICA_MENS_V322453M_RED_2.jpg","Ver imagen")</f>
        <v/>
      </c>
      <c r="Q3274">
        <f>HYPERLINK("imagenes/NAUTICA_MENS_V322453M_RED_3.jpg","Ver imagen")</f>
        <v/>
      </c>
    </row>
    <row r="3275">
      <c r="A3275" t="inlineStr">
        <is>
          <t>NAUTICA MENS</t>
        </is>
      </c>
      <c r="B3275" t="inlineStr">
        <is>
          <t>V322453M</t>
        </is>
      </c>
      <c r="C3275" t="inlineStr">
        <is>
          <t>STRETCH OPEN BOTTOM</t>
        </is>
      </c>
      <c r="D3275" t="inlineStr">
        <is>
          <t>STO</t>
        </is>
      </c>
      <c r="E3275" t="inlineStr">
        <is>
          <t>(en blanco)</t>
        </is>
      </c>
      <c r="F3275" t="inlineStr">
        <is>
          <t>D2C</t>
        </is>
      </c>
      <c r="G3275" t="inlineStr">
        <is>
          <t>S</t>
        </is>
      </c>
      <c r="H3275" t="n">
        <v>4</v>
      </c>
      <c r="I3275" t="inlineStr">
        <is>
          <t>NAUTICA_MENS_V322453M_STO_1.jpg</t>
        </is>
      </c>
      <c r="J3275" t="inlineStr">
        <is>
          <t>NAUTICA_MENS_V322453M_STO_2.jpg</t>
        </is>
      </c>
      <c r="K3275" t="inlineStr">
        <is>
          <t>NAUTICA_MENS_V322453M_STO_3.jpg</t>
        </is>
      </c>
      <c r="L3275">
        <f>IMAGE("file:///E:/Estudios%20y%20certificaciones/ESTUDIOS%20DE%20PROGRAMMING/PROGRAMMING/PERSONAL/PYTHON/Image_Generator_API/imagenes/NAUTICA_MENS_V322453M_STO_1.jpg")</f>
        <v/>
      </c>
      <c r="M3275">
        <f>IMAGE("file:///E:/Estudios%20y%20certificaciones/ESTUDIOS%20DE%20PROGRAMMING/PROGRAMMING/PERSONAL/PYTHON/Image_Generator_API/imagenes/NAUTICA_MENS_V322453M_STO_2.jpg")</f>
        <v/>
      </c>
      <c r="N3275">
        <f>IMAGE("file:///E:/Estudios%20y%20certificaciones/ESTUDIOS%20DE%20PROGRAMMING/PROGRAMMING/PERSONAL/PYTHON/Image_Generator_API/imagenes/NAUTICA_MENS_V322453M_STO_3.jpg")</f>
        <v/>
      </c>
      <c r="O3275">
        <f>HYPERLINK("imagenes/NAUTICA_MENS_V322453M_STO_1.jpg","Ver imagen")</f>
        <v/>
      </c>
      <c r="P3275">
        <f>HYPERLINK("imagenes/NAUTICA_MENS_V322453M_STO_2.jpg","Ver imagen")</f>
        <v/>
      </c>
      <c r="Q3275">
        <f>HYPERLINK("imagenes/NAUTICA_MENS_V322453M_STO_3.jpg","Ver imagen")</f>
        <v/>
      </c>
    </row>
    <row r="3276">
      <c r="A3276" t="inlineStr">
        <is>
          <t>NAUTICA MENS</t>
        </is>
      </c>
      <c r="B3276" t="inlineStr">
        <is>
          <t>V322453M</t>
        </is>
      </c>
      <c r="C3276" t="inlineStr">
        <is>
          <t>STRETCH OPEN BOTTOM</t>
        </is>
      </c>
      <c r="D3276" t="inlineStr">
        <is>
          <t>STO</t>
        </is>
      </c>
      <c r="E3276" t="inlineStr">
        <is>
          <t>(en blanco)</t>
        </is>
      </c>
      <c r="F3276" t="inlineStr">
        <is>
          <t>D2C</t>
        </is>
      </c>
      <c r="G3276" t="inlineStr">
        <is>
          <t>L</t>
        </is>
      </c>
      <c r="H3276" t="n">
        <v>5</v>
      </c>
      <c r="I3276" t="inlineStr">
        <is>
          <t>NAUTICA_MENS_V322453M_STO_1.jpg</t>
        </is>
      </c>
      <c r="J3276" t="inlineStr">
        <is>
          <t>NAUTICA_MENS_V322453M_STO_2.jpg</t>
        </is>
      </c>
      <c r="K3276" t="inlineStr">
        <is>
          <t>NAUTICA_MENS_V322453M_STO_3.jpg</t>
        </is>
      </c>
      <c r="L3276">
        <f>IMAGE("file:///E:/Estudios%20y%20certificaciones/ESTUDIOS%20DE%20PROGRAMMING/PROGRAMMING/PERSONAL/PYTHON/Image_Generator_API/imagenes/NAUTICA_MENS_V322453M_STO_1.jpg")</f>
        <v/>
      </c>
      <c r="M3276">
        <f>IMAGE("file:///E:/Estudios%20y%20certificaciones/ESTUDIOS%20DE%20PROGRAMMING/PROGRAMMING/PERSONAL/PYTHON/Image_Generator_API/imagenes/NAUTICA_MENS_V322453M_STO_2.jpg")</f>
        <v/>
      </c>
      <c r="N3276">
        <f>IMAGE("file:///E:/Estudios%20y%20certificaciones/ESTUDIOS%20DE%20PROGRAMMING/PROGRAMMING/PERSONAL/PYTHON/Image_Generator_API/imagenes/NAUTICA_MENS_V322453M_STO_3.jpg")</f>
        <v/>
      </c>
      <c r="O3276">
        <f>HYPERLINK("imagenes/NAUTICA_MENS_V322453M_STO_1.jpg","Ver imagen")</f>
        <v/>
      </c>
      <c r="P3276">
        <f>HYPERLINK("imagenes/NAUTICA_MENS_V322453M_STO_2.jpg","Ver imagen")</f>
        <v/>
      </c>
      <c r="Q3276">
        <f>HYPERLINK("imagenes/NAUTICA_MENS_V322453M_STO_3.jpg","Ver imagen")</f>
        <v/>
      </c>
    </row>
    <row r="3277">
      <c r="A3277" t="inlineStr">
        <is>
          <t>NAUTICA MENS</t>
        </is>
      </c>
      <c r="B3277" t="inlineStr">
        <is>
          <t>V322453M</t>
        </is>
      </c>
      <c r="C3277" t="inlineStr">
        <is>
          <t>STRETCH OPEN BOTTOM</t>
        </is>
      </c>
      <c r="D3277" t="inlineStr">
        <is>
          <t>STO</t>
        </is>
      </c>
      <c r="E3277" t="inlineStr">
        <is>
          <t>(en blanco)</t>
        </is>
      </c>
      <c r="F3277" t="inlineStr">
        <is>
          <t>D2C</t>
        </is>
      </c>
      <c r="G3277" t="inlineStr">
        <is>
          <t>XL</t>
        </is>
      </c>
      <c r="H3277" t="n">
        <v>25</v>
      </c>
      <c r="I3277" t="inlineStr">
        <is>
          <t>NAUTICA_MENS_V322453M_STO_1.jpg</t>
        </is>
      </c>
      <c r="J3277" t="inlineStr">
        <is>
          <t>NAUTICA_MENS_V322453M_STO_2.jpg</t>
        </is>
      </c>
      <c r="K3277" t="inlineStr">
        <is>
          <t>NAUTICA_MENS_V322453M_STO_3.jpg</t>
        </is>
      </c>
      <c r="L3277">
        <f>IMAGE("file:///E:/Estudios%20y%20certificaciones/ESTUDIOS%20DE%20PROGRAMMING/PROGRAMMING/PERSONAL/PYTHON/Image_Generator_API/imagenes/NAUTICA_MENS_V322453M_STO_1.jpg")</f>
        <v/>
      </c>
      <c r="M3277">
        <f>IMAGE("file:///E:/Estudios%20y%20certificaciones/ESTUDIOS%20DE%20PROGRAMMING/PROGRAMMING/PERSONAL/PYTHON/Image_Generator_API/imagenes/NAUTICA_MENS_V322453M_STO_2.jpg")</f>
        <v/>
      </c>
      <c r="N3277">
        <f>IMAGE("file:///E:/Estudios%20y%20certificaciones/ESTUDIOS%20DE%20PROGRAMMING/PROGRAMMING/PERSONAL/PYTHON/Image_Generator_API/imagenes/NAUTICA_MENS_V322453M_STO_3.jpg")</f>
        <v/>
      </c>
      <c r="O3277">
        <f>HYPERLINK("imagenes/NAUTICA_MENS_V322453M_STO_1.jpg","Ver imagen")</f>
        <v/>
      </c>
      <c r="P3277">
        <f>HYPERLINK("imagenes/NAUTICA_MENS_V322453M_STO_2.jpg","Ver imagen")</f>
        <v/>
      </c>
      <c r="Q3277">
        <f>HYPERLINK("imagenes/NAUTICA_MENS_V322453M_STO_3.jpg","Ver imagen")</f>
        <v/>
      </c>
    </row>
    <row r="3278">
      <c r="A3278" t="inlineStr">
        <is>
          <t>NAUTICA MENS</t>
        </is>
      </c>
      <c r="B3278" t="inlineStr">
        <is>
          <t>V322453M</t>
        </is>
      </c>
      <c r="C3278" t="inlineStr">
        <is>
          <t>STRETCH OPEN BOTTOM</t>
        </is>
      </c>
      <c r="D3278" t="inlineStr">
        <is>
          <t>STO</t>
        </is>
      </c>
      <c r="E3278" t="inlineStr">
        <is>
          <t>(en blanco)</t>
        </is>
      </c>
      <c r="F3278" t="inlineStr">
        <is>
          <t>D2C</t>
        </is>
      </c>
      <c r="G3278" t="inlineStr">
        <is>
          <t>XXL</t>
        </is>
      </c>
      <c r="H3278" t="n">
        <v>24</v>
      </c>
      <c r="I3278" t="inlineStr">
        <is>
          <t>NAUTICA_MENS_V322453M_STO_1.jpg</t>
        </is>
      </c>
      <c r="J3278" t="inlineStr">
        <is>
          <t>NAUTICA_MENS_V322453M_STO_2.jpg</t>
        </is>
      </c>
      <c r="K3278" t="inlineStr">
        <is>
          <t>NAUTICA_MENS_V322453M_STO_3.jpg</t>
        </is>
      </c>
      <c r="L3278">
        <f>IMAGE("file:///E:/Estudios%20y%20certificaciones/ESTUDIOS%20DE%20PROGRAMMING/PROGRAMMING/PERSONAL/PYTHON/Image_Generator_API/imagenes/NAUTICA_MENS_V322453M_STO_1.jpg")</f>
        <v/>
      </c>
      <c r="M3278">
        <f>IMAGE("file:///E:/Estudios%20y%20certificaciones/ESTUDIOS%20DE%20PROGRAMMING/PROGRAMMING/PERSONAL/PYTHON/Image_Generator_API/imagenes/NAUTICA_MENS_V322453M_STO_2.jpg")</f>
        <v/>
      </c>
      <c r="N3278">
        <f>IMAGE("file:///E:/Estudios%20y%20certificaciones/ESTUDIOS%20DE%20PROGRAMMING/PROGRAMMING/PERSONAL/PYTHON/Image_Generator_API/imagenes/NAUTICA_MENS_V322453M_STO_3.jpg")</f>
        <v/>
      </c>
      <c r="O3278">
        <f>HYPERLINK("imagenes/NAUTICA_MENS_V322453M_STO_1.jpg","Ver imagen")</f>
        <v/>
      </c>
      <c r="P3278">
        <f>HYPERLINK("imagenes/NAUTICA_MENS_V322453M_STO_2.jpg","Ver imagen")</f>
        <v/>
      </c>
      <c r="Q3278">
        <f>HYPERLINK("imagenes/NAUTICA_MENS_V322453M_STO_3.jpg","Ver imagen")</f>
        <v/>
      </c>
    </row>
    <row r="3279">
      <c r="A3279" t="inlineStr">
        <is>
          <t>NAUTICA MENS</t>
        </is>
      </c>
      <c r="B3279" t="inlineStr">
        <is>
          <t>V322453M</t>
        </is>
      </c>
      <c r="C3279" t="inlineStr">
        <is>
          <t>STRETCH OPEN BOTTOM</t>
        </is>
      </c>
      <c r="D3279" t="inlineStr">
        <is>
          <t>STO</t>
        </is>
      </c>
      <c r="E3279" t="inlineStr">
        <is>
          <t>(en blanco)</t>
        </is>
      </c>
      <c r="F3279" t="inlineStr">
        <is>
          <t>(en blanco)</t>
        </is>
      </c>
      <c r="G3279" t="inlineStr">
        <is>
          <t>L</t>
        </is>
      </c>
      <c r="H3279" t="n">
        <v>2</v>
      </c>
      <c r="I3279" t="inlineStr">
        <is>
          <t>NAUTICA_MENS_V322453M_STO_1.jpg</t>
        </is>
      </c>
      <c r="J3279" t="inlineStr">
        <is>
          <t>NAUTICA_MENS_V322453M_STO_2.jpg</t>
        </is>
      </c>
      <c r="K3279" t="inlineStr">
        <is>
          <t>NAUTICA_MENS_V322453M_STO_3.jpg</t>
        </is>
      </c>
      <c r="L3279">
        <f>IMAGE("file:///E:/Estudios%20y%20certificaciones/ESTUDIOS%20DE%20PROGRAMMING/PROGRAMMING/PERSONAL/PYTHON/Image_Generator_API/imagenes/NAUTICA_MENS_V322453M_STO_1.jpg")</f>
        <v/>
      </c>
      <c r="M3279">
        <f>IMAGE("file:///E:/Estudios%20y%20certificaciones/ESTUDIOS%20DE%20PROGRAMMING/PROGRAMMING/PERSONAL/PYTHON/Image_Generator_API/imagenes/NAUTICA_MENS_V322453M_STO_2.jpg")</f>
        <v/>
      </c>
      <c r="N3279">
        <f>IMAGE("file:///E:/Estudios%20y%20certificaciones/ESTUDIOS%20DE%20PROGRAMMING/PROGRAMMING/PERSONAL/PYTHON/Image_Generator_API/imagenes/NAUTICA_MENS_V322453M_STO_3.jpg")</f>
        <v/>
      </c>
      <c r="O3279">
        <f>HYPERLINK("imagenes/NAUTICA_MENS_V322453M_STO_1.jpg","Ver imagen")</f>
        <v/>
      </c>
      <c r="P3279">
        <f>HYPERLINK("imagenes/NAUTICA_MENS_V322453M_STO_2.jpg","Ver imagen")</f>
        <v/>
      </c>
      <c r="Q3279">
        <f>HYPERLINK("imagenes/NAUTICA_MENS_V322453M_STO_3.jpg","Ver imagen")</f>
        <v/>
      </c>
    </row>
    <row r="3280">
      <c r="A3280" t="inlineStr">
        <is>
          <t>NAUTICA MENS</t>
        </is>
      </c>
      <c r="B3280" t="inlineStr">
        <is>
          <t>V322453M</t>
        </is>
      </c>
      <c r="C3280" t="inlineStr">
        <is>
          <t>STRETCH OPEN BOTTOM</t>
        </is>
      </c>
      <c r="D3280" t="inlineStr">
        <is>
          <t>STO</t>
        </is>
      </c>
      <c r="E3280" t="inlineStr">
        <is>
          <t>(en blanco)</t>
        </is>
      </c>
      <c r="F3280" t="inlineStr">
        <is>
          <t>(en blanco)</t>
        </is>
      </c>
      <c r="G3280" t="inlineStr">
        <is>
          <t>XL</t>
        </is>
      </c>
      <c r="H3280" t="n">
        <v>1</v>
      </c>
      <c r="I3280" t="inlineStr">
        <is>
          <t>NAUTICA_MENS_V322453M_STO_1.jpg</t>
        </is>
      </c>
      <c r="J3280" t="inlineStr">
        <is>
          <t>NAUTICA_MENS_V322453M_STO_2.jpg</t>
        </is>
      </c>
      <c r="K3280" t="inlineStr">
        <is>
          <t>NAUTICA_MENS_V322453M_STO_3.jpg</t>
        </is>
      </c>
      <c r="L3280">
        <f>IMAGE("file:///E:/Estudios%20y%20certificaciones/ESTUDIOS%20DE%20PROGRAMMING/PROGRAMMING/PERSONAL/PYTHON/Image_Generator_API/imagenes/NAUTICA_MENS_V322453M_STO_1.jpg")</f>
        <v/>
      </c>
      <c r="M3280">
        <f>IMAGE("file:///E:/Estudios%20y%20certificaciones/ESTUDIOS%20DE%20PROGRAMMING/PROGRAMMING/PERSONAL/PYTHON/Image_Generator_API/imagenes/NAUTICA_MENS_V322453M_STO_2.jpg")</f>
        <v/>
      </c>
      <c r="N3280">
        <f>IMAGE("file:///E:/Estudios%20y%20certificaciones/ESTUDIOS%20DE%20PROGRAMMING/PROGRAMMING/PERSONAL/PYTHON/Image_Generator_API/imagenes/NAUTICA_MENS_V322453M_STO_3.jpg")</f>
        <v/>
      </c>
      <c r="O3280">
        <f>HYPERLINK("imagenes/NAUTICA_MENS_V322453M_STO_1.jpg","Ver imagen")</f>
        <v/>
      </c>
      <c r="P3280">
        <f>HYPERLINK("imagenes/NAUTICA_MENS_V322453M_STO_2.jpg","Ver imagen")</f>
        <v/>
      </c>
      <c r="Q3280">
        <f>HYPERLINK("imagenes/NAUTICA_MENS_V322453M_STO_3.jpg","Ver imagen")</f>
        <v/>
      </c>
    </row>
    <row r="3281">
      <c r="A3281" t="inlineStr">
        <is>
          <t>NAUTICA MENS</t>
        </is>
      </c>
      <c r="B3281" t="inlineStr">
        <is>
          <t>V322453M</t>
        </is>
      </c>
      <c r="C3281" t="inlineStr">
        <is>
          <t>STRETCH OPEN BOTTOM</t>
        </is>
      </c>
      <c r="D3281" t="inlineStr">
        <is>
          <t>TAU</t>
        </is>
      </c>
      <c r="E3281" t="inlineStr">
        <is>
          <t>(en blanco)</t>
        </is>
      </c>
      <c r="F3281" t="inlineStr">
        <is>
          <t>D2C</t>
        </is>
      </c>
      <c r="G3281" t="inlineStr">
        <is>
          <t>M</t>
        </is>
      </c>
      <c r="H3281" t="n">
        <v>2</v>
      </c>
      <c r="I3281" t="inlineStr">
        <is>
          <t>NAUTICA_MENS_V322453M_TAU_1.jpg</t>
        </is>
      </c>
      <c r="J3281" t="inlineStr">
        <is>
          <t>NAUTICA_MENS_V322453M_TAU_2.jpg</t>
        </is>
      </c>
      <c r="K3281" t="inlineStr">
        <is>
          <t>NAUTICA_MENS_V322453M_TAU_3.jpg</t>
        </is>
      </c>
      <c r="L3281">
        <f>IMAGE("file:///E:/Estudios%20y%20certificaciones/ESTUDIOS%20DE%20PROGRAMMING/PROGRAMMING/PERSONAL/PYTHON/Image_Generator_API/imagenes/NAUTICA_MENS_V322453M_TAU_1.jpg")</f>
        <v/>
      </c>
      <c r="M3281">
        <f>IMAGE("file:///E:/Estudios%20y%20certificaciones/ESTUDIOS%20DE%20PROGRAMMING/PROGRAMMING/PERSONAL/PYTHON/Image_Generator_API/imagenes/NAUTICA_MENS_V322453M_TAU_2.jpg")</f>
        <v/>
      </c>
      <c r="N3281">
        <f>IMAGE("file:///E:/Estudios%20y%20certificaciones/ESTUDIOS%20DE%20PROGRAMMING/PROGRAMMING/PERSONAL/PYTHON/Image_Generator_API/imagenes/NAUTICA_MENS_V322453M_TAU_3.jpg")</f>
        <v/>
      </c>
      <c r="O3281">
        <f>HYPERLINK("imagenes/NAUTICA_MENS_V322453M_TAU_1.jpg","Ver imagen")</f>
        <v/>
      </c>
      <c r="P3281">
        <f>HYPERLINK("imagenes/NAUTICA_MENS_V322453M_TAU_2.jpg","Ver imagen")</f>
        <v/>
      </c>
      <c r="Q3281">
        <f>HYPERLINK("imagenes/NAUTICA_MENS_V322453M_TAU_3.jpg","Ver imagen")</f>
        <v/>
      </c>
    </row>
    <row r="3282">
      <c r="A3282" t="inlineStr">
        <is>
          <t>NAUTICA MENS</t>
        </is>
      </c>
      <c r="B3282" t="inlineStr">
        <is>
          <t>V322453M</t>
        </is>
      </c>
      <c r="C3282" t="inlineStr">
        <is>
          <t>STRETCH OPEN BOTTOM</t>
        </is>
      </c>
      <c r="D3282" t="inlineStr">
        <is>
          <t>TAU</t>
        </is>
      </c>
      <c r="E3282" t="inlineStr">
        <is>
          <t>(en blanco)</t>
        </is>
      </c>
      <c r="F3282" t="inlineStr">
        <is>
          <t>D2C</t>
        </is>
      </c>
      <c r="G3282" t="inlineStr">
        <is>
          <t>L</t>
        </is>
      </c>
      <c r="H3282" t="n">
        <v>26</v>
      </c>
      <c r="I3282" t="inlineStr">
        <is>
          <t>NAUTICA_MENS_V322453M_TAU_1.jpg</t>
        </is>
      </c>
      <c r="J3282" t="inlineStr">
        <is>
          <t>NAUTICA_MENS_V322453M_TAU_2.jpg</t>
        </is>
      </c>
      <c r="K3282" t="inlineStr">
        <is>
          <t>NAUTICA_MENS_V322453M_TAU_3.jpg</t>
        </is>
      </c>
      <c r="L3282">
        <f>IMAGE("file:///E:/Estudios%20y%20certificaciones/ESTUDIOS%20DE%20PROGRAMMING/PROGRAMMING/PERSONAL/PYTHON/Image_Generator_API/imagenes/NAUTICA_MENS_V322453M_TAU_1.jpg")</f>
        <v/>
      </c>
      <c r="M3282">
        <f>IMAGE("file:///E:/Estudios%20y%20certificaciones/ESTUDIOS%20DE%20PROGRAMMING/PROGRAMMING/PERSONAL/PYTHON/Image_Generator_API/imagenes/NAUTICA_MENS_V322453M_TAU_2.jpg")</f>
        <v/>
      </c>
      <c r="N3282">
        <f>IMAGE("file:///E:/Estudios%20y%20certificaciones/ESTUDIOS%20DE%20PROGRAMMING/PROGRAMMING/PERSONAL/PYTHON/Image_Generator_API/imagenes/NAUTICA_MENS_V322453M_TAU_3.jpg")</f>
        <v/>
      </c>
      <c r="O3282">
        <f>HYPERLINK("imagenes/NAUTICA_MENS_V322453M_TAU_1.jpg","Ver imagen")</f>
        <v/>
      </c>
      <c r="P3282">
        <f>HYPERLINK("imagenes/NAUTICA_MENS_V322453M_TAU_2.jpg","Ver imagen")</f>
        <v/>
      </c>
      <c r="Q3282">
        <f>HYPERLINK("imagenes/NAUTICA_MENS_V322453M_TAU_3.jpg","Ver imagen")</f>
        <v/>
      </c>
    </row>
    <row r="3283">
      <c r="A3283" t="inlineStr">
        <is>
          <t>NAUTICA MENS</t>
        </is>
      </c>
      <c r="B3283" t="inlineStr">
        <is>
          <t>V322453M</t>
        </is>
      </c>
      <c r="C3283" t="inlineStr">
        <is>
          <t>STRETCH OPEN BOTTOM</t>
        </is>
      </c>
      <c r="D3283" t="inlineStr">
        <is>
          <t>TAU</t>
        </is>
      </c>
      <c r="E3283" t="inlineStr">
        <is>
          <t>(en blanco)</t>
        </is>
      </c>
      <c r="F3283" t="inlineStr">
        <is>
          <t>D2C</t>
        </is>
      </c>
      <c r="G3283" t="inlineStr">
        <is>
          <t>XXL</t>
        </is>
      </c>
      <c r="H3283" t="n">
        <v>1</v>
      </c>
      <c r="I3283" t="inlineStr">
        <is>
          <t>NAUTICA_MENS_V322453M_TAU_1.jpg</t>
        </is>
      </c>
      <c r="J3283" t="inlineStr">
        <is>
          <t>NAUTICA_MENS_V322453M_TAU_2.jpg</t>
        </is>
      </c>
      <c r="K3283" t="inlineStr">
        <is>
          <t>NAUTICA_MENS_V322453M_TAU_3.jpg</t>
        </is>
      </c>
      <c r="L3283">
        <f>IMAGE("file:///E:/Estudios%20y%20certificaciones/ESTUDIOS%20DE%20PROGRAMMING/PROGRAMMING/PERSONAL/PYTHON/Image_Generator_API/imagenes/NAUTICA_MENS_V322453M_TAU_1.jpg")</f>
        <v/>
      </c>
      <c r="M3283">
        <f>IMAGE("file:///E:/Estudios%20y%20certificaciones/ESTUDIOS%20DE%20PROGRAMMING/PROGRAMMING/PERSONAL/PYTHON/Image_Generator_API/imagenes/NAUTICA_MENS_V322453M_TAU_2.jpg")</f>
        <v/>
      </c>
      <c r="N3283">
        <f>IMAGE("file:///E:/Estudios%20y%20certificaciones/ESTUDIOS%20DE%20PROGRAMMING/PROGRAMMING/PERSONAL/PYTHON/Image_Generator_API/imagenes/NAUTICA_MENS_V322453M_TAU_3.jpg")</f>
        <v/>
      </c>
      <c r="O3283">
        <f>HYPERLINK("imagenes/NAUTICA_MENS_V322453M_TAU_1.jpg","Ver imagen")</f>
        <v/>
      </c>
      <c r="P3283">
        <f>HYPERLINK("imagenes/NAUTICA_MENS_V322453M_TAU_2.jpg","Ver imagen")</f>
        <v/>
      </c>
      <c r="Q3283">
        <f>HYPERLINK("imagenes/NAUTICA_MENS_V322453M_TAU_3.jpg","Ver imagen")</f>
        <v/>
      </c>
    </row>
    <row r="3284">
      <c r="A3284" t="inlineStr">
        <is>
          <t>NAUTICA MENS</t>
        </is>
      </c>
      <c r="B3284" t="inlineStr">
        <is>
          <t>V322453M</t>
        </is>
      </c>
      <c r="C3284" t="inlineStr">
        <is>
          <t>STRETCH OPEN BOTTOM</t>
        </is>
      </c>
      <c r="D3284" t="inlineStr">
        <is>
          <t>TRO</t>
        </is>
      </c>
      <c r="E3284" t="inlineStr">
        <is>
          <t>(en blanco)</t>
        </is>
      </c>
      <c r="F3284" t="inlineStr">
        <is>
          <t>(en blanco)</t>
        </is>
      </c>
      <c r="G3284" t="inlineStr">
        <is>
          <t>M</t>
        </is>
      </c>
      <c r="H3284" t="n">
        <v>4</v>
      </c>
      <c r="I3284" t="inlineStr">
        <is>
          <t>NAUTICA_MENS_V322453M_TRO_1.jpg</t>
        </is>
      </c>
      <c r="J3284" t="inlineStr">
        <is>
          <t>NAUTICA_MENS_V322453M_TRO_2.jpg</t>
        </is>
      </c>
      <c r="K3284" t="inlineStr">
        <is>
          <t>NAUTICA_MENS_V322453M_TRO_3.jpg</t>
        </is>
      </c>
      <c r="L3284">
        <f>IMAGE("file:///E:/Estudios%20y%20certificaciones/ESTUDIOS%20DE%20PROGRAMMING/PROGRAMMING/PERSONAL/PYTHON/Image_Generator_API/imagenes/NAUTICA_MENS_V322453M_TRO_1.jpg")</f>
        <v/>
      </c>
      <c r="M3284">
        <f>IMAGE("file:///E:/Estudios%20y%20certificaciones/ESTUDIOS%20DE%20PROGRAMMING/PROGRAMMING/PERSONAL/PYTHON/Image_Generator_API/imagenes/NAUTICA_MENS_V322453M_TRO_2.jpg")</f>
        <v/>
      </c>
      <c r="N3284">
        <f>IMAGE("file:///E:/Estudios%20y%20certificaciones/ESTUDIOS%20DE%20PROGRAMMING/PROGRAMMING/PERSONAL/PYTHON/Image_Generator_API/imagenes/NAUTICA_MENS_V322453M_TRO_3.jpg")</f>
        <v/>
      </c>
      <c r="O3284">
        <f>HYPERLINK("imagenes/NAUTICA_MENS_V322453M_TRO_1.jpg","Ver imagen")</f>
        <v/>
      </c>
      <c r="P3284">
        <f>HYPERLINK("imagenes/NAUTICA_MENS_V322453M_TRO_2.jpg","Ver imagen")</f>
        <v/>
      </c>
      <c r="Q3284">
        <f>HYPERLINK("imagenes/NAUTICA_MENS_V322453M_TRO_3.jpg","Ver imagen")</f>
        <v/>
      </c>
    </row>
    <row r="3285">
      <c r="A3285" t="inlineStr">
        <is>
          <t>NAUTICA MENS</t>
        </is>
      </c>
      <c r="B3285" t="inlineStr">
        <is>
          <t>V322453M</t>
        </is>
      </c>
      <c r="C3285" t="inlineStr">
        <is>
          <t>STRETCH OPEN BOTTOM</t>
        </is>
      </c>
      <c r="D3285" t="inlineStr">
        <is>
          <t>TRO</t>
        </is>
      </c>
      <c r="E3285" t="inlineStr">
        <is>
          <t>(en blanco)</t>
        </is>
      </c>
      <c r="F3285" t="inlineStr">
        <is>
          <t>(en blanco)</t>
        </is>
      </c>
      <c r="G3285" t="inlineStr">
        <is>
          <t>L</t>
        </is>
      </c>
      <c r="H3285" t="n">
        <v>27</v>
      </c>
      <c r="I3285" t="inlineStr">
        <is>
          <t>NAUTICA_MENS_V322453M_TRO_1.jpg</t>
        </is>
      </c>
      <c r="J3285" t="inlineStr">
        <is>
          <t>NAUTICA_MENS_V322453M_TRO_2.jpg</t>
        </is>
      </c>
      <c r="K3285" t="inlineStr">
        <is>
          <t>NAUTICA_MENS_V322453M_TRO_3.jpg</t>
        </is>
      </c>
      <c r="L3285">
        <f>IMAGE("file:///E:/Estudios%20y%20certificaciones/ESTUDIOS%20DE%20PROGRAMMING/PROGRAMMING/PERSONAL/PYTHON/Image_Generator_API/imagenes/NAUTICA_MENS_V322453M_TRO_1.jpg")</f>
        <v/>
      </c>
      <c r="M3285">
        <f>IMAGE("file:///E:/Estudios%20y%20certificaciones/ESTUDIOS%20DE%20PROGRAMMING/PROGRAMMING/PERSONAL/PYTHON/Image_Generator_API/imagenes/NAUTICA_MENS_V322453M_TRO_2.jpg")</f>
        <v/>
      </c>
      <c r="N3285">
        <f>IMAGE("file:///E:/Estudios%20y%20certificaciones/ESTUDIOS%20DE%20PROGRAMMING/PROGRAMMING/PERSONAL/PYTHON/Image_Generator_API/imagenes/NAUTICA_MENS_V322453M_TRO_3.jpg")</f>
        <v/>
      </c>
      <c r="O3285">
        <f>HYPERLINK("imagenes/NAUTICA_MENS_V322453M_TRO_1.jpg","Ver imagen")</f>
        <v/>
      </c>
      <c r="P3285">
        <f>HYPERLINK("imagenes/NAUTICA_MENS_V322453M_TRO_2.jpg","Ver imagen")</f>
        <v/>
      </c>
      <c r="Q3285">
        <f>HYPERLINK("imagenes/NAUTICA_MENS_V322453M_TRO_3.jpg","Ver imagen")</f>
        <v/>
      </c>
    </row>
    <row r="3286">
      <c r="A3286" t="inlineStr">
        <is>
          <t>NAUTICA MENS</t>
        </is>
      </c>
      <c r="B3286" t="inlineStr">
        <is>
          <t>V322453M</t>
        </is>
      </c>
      <c r="C3286" t="inlineStr">
        <is>
          <t>STRETCH OPEN BOTTOM</t>
        </is>
      </c>
      <c r="D3286" t="inlineStr">
        <is>
          <t>TRO</t>
        </is>
      </c>
      <c r="E3286" t="inlineStr">
        <is>
          <t>(en blanco)</t>
        </is>
      </c>
      <c r="F3286" t="inlineStr">
        <is>
          <t>(en blanco)</t>
        </is>
      </c>
      <c r="G3286" t="inlineStr">
        <is>
          <t>XL</t>
        </is>
      </c>
      <c r="H3286" t="n">
        <v>32</v>
      </c>
      <c r="I3286" t="inlineStr">
        <is>
          <t>NAUTICA_MENS_V322453M_TRO_1.jpg</t>
        </is>
      </c>
      <c r="J3286" t="inlineStr">
        <is>
          <t>NAUTICA_MENS_V322453M_TRO_2.jpg</t>
        </is>
      </c>
      <c r="K3286" t="inlineStr">
        <is>
          <t>NAUTICA_MENS_V322453M_TRO_3.jpg</t>
        </is>
      </c>
      <c r="L3286">
        <f>IMAGE("file:///E:/Estudios%20y%20certificaciones/ESTUDIOS%20DE%20PROGRAMMING/PROGRAMMING/PERSONAL/PYTHON/Image_Generator_API/imagenes/NAUTICA_MENS_V322453M_TRO_1.jpg")</f>
        <v/>
      </c>
      <c r="M3286">
        <f>IMAGE("file:///E:/Estudios%20y%20certificaciones/ESTUDIOS%20DE%20PROGRAMMING/PROGRAMMING/PERSONAL/PYTHON/Image_Generator_API/imagenes/NAUTICA_MENS_V322453M_TRO_2.jpg")</f>
        <v/>
      </c>
      <c r="N3286">
        <f>IMAGE("file:///E:/Estudios%20y%20certificaciones/ESTUDIOS%20DE%20PROGRAMMING/PROGRAMMING/PERSONAL/PYTHON/Image_Generator_API/imagenes/NAUTICA_MENS_V322453M_TRO_3.jpg")</f>
        <v/>
      </c>
      <c r="O3286">
        <f>HYPERLINK("imagenes/NAUTICA_MENS_V322453M_TRO_1.jpg","Ver imagen")</f>
        <v/>
      </c>
      <c r="P3286">
        <f>HYPERLINK("imagenes/NAUTICA_MENS_V322453M_TRO_2.jpg","Ver imagen")</f>
        <v/>
      </c>
      <c r="Q3286">
        <f>HYPERLINK("imagenes/NAUTICA_MENS_V322453M_TRO_3.jpg","Ver imagen")</f>
        <v/>
      </c>
    </row>
    <row r="3287">
      <c r="A3287" t="inlineStr">
        <is>
          <t>NAUTICA MENS</t>
        </is>
      </c>
      <c r="B3287" t="inlineStr">
        <is>
          <t>V330329</t>
        </is>
      </c>
      <c r="C3287" t="inlineStr">
        <is>
          <t>BOMBER JACKET</t>
        </is>
      </c>
      <c r="D3287" t="inlineStr">
        <is>
          <t>NIB</t>
        </is>
      </c>
      <c r="E3287" t="inlineStr">
        <is>
          <t>(en blanco)</t>
        </is>
      </c>
      <c r="F3287" t="inlineStr">
        <is>
          <t>(en blanco)</t>
        </is>
      </c>
      <c r="G3287" t="inlineStr">
        <is>
          <t>2X</t>
        </is>
      </c>
      <c r="H3287" t="n">
        <v>12</v>
      </c>
      <c r="I3287" t="inlineStr">
        <is>
          <t>NAUTICA_MENS_V330329_NIB_1.jpg</t>
        </is>
      </c>
      <c r="J3287" t="inlineStr">
        <is>
          <t>NAUTICA_MENS_V330329_NIB_2.jpg</t>
        </is>
      </c>
      <c r="K3287" t="inlineStr">
        <is>
          <t>NAUTICA_MENS_V330329_NIB_3.jpg</t>
        </is>
      </c>
      <c r="L3287">
        <f>IMAGE("file:///E:/Estudios%20y%20certificaciones/ESTUDIOS%20DE%20PROGRAMMING/PROGRAMMING/PERSONAL/PYTHON/Image_Generator_API/imagenes/NAUTICA_MENS_V330329_NIB_1.jpg")</f>
        <v/>
      </c>
      <c r="M3287">
        <f>IMAGE("file:///E:/Estudios%20y%20certificaciones/ESTUDIOS%20DE%20PROGRAMMING/PROGRAMMING/PERSONAL/PYTHON/Image_Generator_API/imagenes/NAUTICA_MENS_V330329_NIB_2.jpg")</f>
        <v/>
      </c>
      <c r="N3287">
        <f>IMAGE("file:///E:/Estudios%20y%20certificaciones/ESTUDIOS%20DE%20PROGRAMMING/PROGRAMMING/PERSONAL/PYTHON/Image_Generator_API/imagenes/NAUTICA_MENS_V330329_NIB_3.jpg")</f>
        <v/>
      </c>
      <c r="O3287">
        <f>HYPERLINK("imagenes/NAUTICA_MENS_V330329_NIB_1.jpg","Ver imagen")</f>
        <v/>
      </c>
      <c r="P3287">
        <f>HYPERLINK("imagenes/NAUTICA_MENS_V330329_NIB_2.jpg","Ver imagen")</f>
        <v/>
      </c>
      <c r="Q3287">
        <f>HYPERLINK("imagenes/NAUTICA_MENS_V330329_NIB_3.jpg","Ver imagen")</f>
        <v/>
      </c>
    </row>
    <row r="3288">
      <c r="A3288" t="inlineStr">
        <is>
          <t>NAUTICA MENS</t>
        </is>
      </c>
      <c r="B3288" t="inlineStr">
        <is>
          <t>V330329</t>
        </is>
      </c>
      <c r="C3288" t="inlineStr">
        <is>
          <t>BOMBER JACKET</t>
        </is>
      </c>
      <c r="D3288" t="inlineStr">
        <is>
          <t>NIB</t>
        </is>
      </c>
      <c r="E3288" t="inlineStr">
        <is>
          <t>(en blanco)</t>
        </is>
      </c>
      <c r="F3288" t="inlineStr">
        <is>
          <t>(en blanco)</t>
        </is>
      </c>
      <c r="G3288" t="inlineStr">
        <is>
          <t>4X</t>
        </is>
      </c>
      <c r="H3288" t="n">
        <v>3</v>
      </c>
      <c r="I3288" t="inlineStr">
        <is>
          <t>NAUTICA_MENS_V330329_NIB_1.jpg</t>
        </is>
      </c>
      <c r="J3288" t="inlineStr">
        <is>
          <t>NAUTICA_MENS_V330329_NIB_2.jpg</t>
        </is>
      </c>
      <c r="K3288" t="inlineStr">
        <is>
          <t>NAUTICA_MENS_V330329_NIB_3.jpg</t>
        </is>
      </c>
      <c r="L3288">
        <f>IMAGE("file:///E:/Estudios%20y%20certificaciones/ESTUDIOS%20DE%20PROGRAMMING/PROGRAMMING/PERSONAL/PYTHON/Image_Generator_API/imagenes/NAUTICA_MENS_V330329_NIB_1.jpg")</f>
        <v/>
      </c>
      <c r="M3288">
        <f>IMAGE("file:///E:/Estudios%20y%20certificaciones/ESTUDIOS%20DE%20PROGRAMMING/PROGRAMMING/PERSONAL/PYTHON/Image_Generator_API/imagenes/NAUTICA_MENS_V330329_NIB_2.jpg")</f>
        <v/>
      </c>
      <c r="N3288">
        <f>IMAGE("file:///E:/Estudios%20y%20certificaciones/ESTUDIOS%20DE%20PROGRAMMING/PROGRAMMING/PERSONAL/PYTHON/Image_Generator_API/imagenes/NAUTICA_MENS_V330329_NIB_3.jpg")</f>
        <v/>
      </c>
      <c r="O3288">
        <f>HYPERLINK("imagenes/NAUTICA_MENS_V330329_NIB_1.jpg","Ver imagen")</f>
        <v/>
      </c>
      <c r="P3288">
        <f>HYPERLINK("imagenes/NAUTICA_MENS_V330329_NIB_2.jpg","Ver imagen")</f>
        <v/>
      </c>
      <c r="Q3288">
        <f>HYPERLINK("imagenes/NAUTICA_MENS_V330329_NIB_3.jpg","Ver imagen")</f>
        <v/>
      </c>
    </row>
    <row r="3289">
      <c r="A3289" t="inlineStr">
        <is>
          <t>NAUTICA MENS</t>
        </is>
      </c>
      <c r="B3289" t="inlineStr">
        <is>
          <t>V421688</t>
        </is>
      </c>
      <c r="C3289" t="inlineStr">
        <is>
          <t>PLYSTRTCH REV CLRBLK</t>
        </is>
      </c>
      <c r="D3289" t="inlineStr">
        <is>
          <t>NIB</t>
        </is>
      </c>
      <c r="E3289" t="inlineStr">
        <is>
          <t>(en blanco)</t>
        </is>
      </c>
      <c r="F3289" t="inlineStr">
        <is>
          <t>(en blanco)</t>
        </is>
      </c>
      <c r="G3289" t="inlineStr">
        <is>
          <t>XXL</t>
        </is>
      </c>
      <c r="H3289" t="n">
        <v>4</v>
      </c>
      <c r="I3289" t="inlineStr">
        <is>
          <t>NAUTICA_MENS_V421688_NIB_1.jpg</t>
        </is>
      </c>
      <c r="J3289" t="inlineStr">
        <is>
          <t>NAUTICA_MENS_V421688_NIB_2.jpg</t>
        </is>
      </c>
      <c r="K3289" t="inlineStr">
        <is>
          <t>NAUTICA_MENS_V421688_NIB_3.jpg</t>
        </is>
      </c>
      <c r="L3289">
        <f>IMAGE("file:///E:/Estudios%20y%20certificaciones/ESTUDIOS%20DE%20PROGRAMMING/PROGRAMMING/PERSONAL/PYTHON/Image_Generator_API/imagenes/NAUTICA_MENS_V421688_NIB_1.jpg")</f>
        <v/>
      </c>
      <c r="M3289">
        <f>IMAGE("file:///E:/Estudios%20y%20certificaciones/ESTUDIOS%20DE%20PROGRAMMING/PROGRAMMING/PERSONAL/PYTHON/Image_Generator_API/imagenes/NAUTICA_MENS_V421688_NIB_2.jpg")</f>
        <v/>
      </c>
      <c r="N3289">
        <f>IMAGE("file:///E:/Estudios%20y%20certificaciones/ESTUDIOS%20DE%20PROGRAMMING/PROGRAMMING/PERSONAL/PYTHON/Image_Generator_API/imagenes/NAUTICA_MENS_V421688_NIB_3.jpg")</f>
        <v/>
      </c>
      <c r="O3289">
        <f>HYPERLINK("imagenes/NAUTICA_MENS_V421688_NIB_1.jpg","Ver imagen")</f>
        <v/>
      </c>
      <c r="P3289">
        <f>HYPERLINK("imagenes/NAUTICA_MENS_V421688_NIB_2.jpg","Ver imagen")</f>
        <v/>
      </c>
      <c r="Q3289">
        <f>HYPERLINK("imagenes/NAUTICA_MENS_V421688_NIB_3.jpg","Ver imagen")</f>
        <v/>
      </c>
    </row>
    <row r="3290">
      <c r="A3290" t="inlineStr">
        <is>
          <t>NAUTICA MENS</t>
        </is>
      </c>
      <c r="B3290" t="inlineStr">
        <is>
          <t>V422291M</t>
        </is>
      </c>
      <c r="C3290" t="inlineStr">
        <is>
          <t>38 CHARCOAL NAUTICA</t>
        </is>
      </c>
      <c r="D3290" t="inlineStr">
        <is>
          <t>DPH</t>
        </is>
      </c>
      <c r="E3290" t="inlineStr">
        <is>
          <t>1RG</t>
        </is>
      </c>
      <c r="F3290" t="inlineStr">
        <is>
          <t>(en blanco)</t>
        </is>
      </c>
      <c r="G3290" t="inlineStr">
        <is>
          <t>46</t>
        </is>
      </c>
      <c r="H3290" t="n">
        <v>1</v>
      </c>
      <c r="I3290" t="inlineStr">
        <is>
          <t>NAUTICA_MENS_V422291M_DPH_1.jpg</t>
        </is>
      </c>
      <c r="J3290" t="inlineStr">
        <is>
          <t>NAUTICA_MENS_V422291M_DPH_2.jpg</t>
        </is>
      </c>
      <c r="K3290" t="inlineStr">
        <is>
          <t>NAUTICA_MENS_V422291M_DPH_3.jpg</t>
        </is>
      </c>
      <c r="L3290">
        <f>IMAGE("file:///E:/Estudios%20y%20certificaciones/ESTUDIOS%20DE%20PROGRAMMING/PROGRAMMING/PERSONAL/PYTHON/Image_Generator_API/imagenes/NAUTICA_MENS_V422291M_DPH_1.jpg")</f>
        <v/>
      </c>
      <c r="M3290">
        <f>IMAGE("file:///E:/Estudios%20y%20certificaciones/ESTUDIOS%20DE%20PROGRAMMING/PROGRAMMING/PERSONAL/PYTHON/Image_Generator_API/imagenes/NAUTICA_MENS_V422291M_DPH_2.jpg")</f>
        <v/>
      </c>
      <c r="N3290">
        <f>IMAGE("file:///E:/Estudios%20y%20certificaciones/ESTUDIOS%20DE%20PROGRAMMING/PROGRAMMING/PERSONAL/PYTHON/Image_Generator_API/imagenes/NAUTICA_MENS_V422291M_DPH_3.jpg")</f>
        <v/>
      </c>
      <c r="O3290">
        <f>HYPERLINK("imagenes/NAUTICA_MENS_V422291M_DPH_1.jpg","Ver imagen")</f>
        <v/>
      </c>
      <c r="P3290">
        <f>HYPERLINK("imagenes/NAUTICA_MENS_V422291M_DPH_2.jpg","Ver imagen")</f>
        <v/>
      </c>
      <c r="Q3290">
        <f>HYPERLINK("imagenes/NAUTICA_MENS_V422291M_DPH_3.jpg","Ver imagen")</f>
        <v/>
      </c>
    </row>
    <row r="3291">
      <c r="A3291" t="inlineStr">
        <is>
          <t>NAUTICA MENS</t>
        </is>
      </c>
      <c r="B3291" t="inlineStr">
        <is>
          <t>V422491</t>
        </is>
      </c>
      <c r="C3291" t="inlineStr">
        <is>
          <t>FLEECE LINED JACKET</t>
        </is>
      </c>
      <c r="D3291" t="inlineStr">
        <is>
          <t>NVY</t>
        </is>
      </c>
      <c r="E3291" t="inlineStr">
        <is>
          <t>(en blanco)</t>
        </is>
      </c>
      <c r="F3291" t="inlineStr">
        <is>
          <t>(en blanco)</t>
        </is>
      </c>
      <c r="G3291" t="inlineStr">
        <is>
          <t>3XL</t>
        </is>
      </c>
      <c r="H3291" t="n">
        <v>1</v>
      </c>
      <c r="I3291" t="inlineStr">
        <is>
          <t>NAUTICA_MENS_V422491_NVY_1.jpg</t>
        </is>
      </c>
      <c r="J3291" t="inlineStr">
        <is>
          <t>NAUTICA_MENS_V422491_NVY_2.jpg</t>
        </is>
      </c>
      <c r="K3291" t="inlineStr">
        <is>
          <t>NAUTICA_MENS_V422491_NVY_3.jpg</t>
        </is>
      </c>
      <c r="L3291">
        <f>IMAGE("file:///E:/Estudios%20y%20certificaciones/ESTUDIOS%20DE%20PROGRAMMING/PROGRAMMING/PERSONAL/PYTHON/Image_Generator_API/imagenes/NAUTICA_MENS_V422491_NVY_1.jpg")</f>
        <v/>
      </c>
      <c r="M3291">
        <f>IMAGE("file:///E:/Estudios%20y%20certificaciones/ESTUDIOS%20DE%20PROGRAMMING/PROGRAMMING/PERSONAL/PYTHON/Image_Generator_API/imagenes/NAUTICA_MENS_V422491_NVY_2.jpg")</f>
        <v/>
      </c>
      <c r="N3291">
        <f>IMAGE("file:///E:/Estudios%20y%20certificaciones/ESTUDIOS%20DE%20PROGRAMMING/PROGRAMMING/PERSONAL/PYTHON/Image_Generator_API/imagenes/NAUTICA_MENS_V422491_NVY_3.jpg")</f>
        <v/>
      </c>
      <c r="O3291">
        <f>HYPERLINK("imagenes/NAUTICA_MENS_V422491_NVY_1.jpg","Ver imagen")</f>
        <v/>
      </c>
      <c r="P3291">
        <f>HYPERLINK("imagenes/NAUTICA_MENS_V422491_NVY_2.jpg","Ver imagen")</f>
        <v/>
      </c>
      <c r="Q3291">
        <f>HYPERLINK("imagenes/NAUTICA_MENS_V422491_NVY_3.jpg","Ver imagen")</f>
        <v/>
      </c>
    </row>
    <row r="3292">
      <c r="A3292" t="inlineStr">
        <is>
          <t>NAUTICA MENS</t>
        </is>
      </c>
      <c r="B3292" t="inlineStr">
        <is>
          <t>V422744</t>
        </is>
      </c>
      <c r="C3292" t="inlineStr">
        <is>
          <t>POLYSTRETCH REVERSBL</t>
        </is>
      </c>
      <c r="D3292" t="inlineStr">
        <is>
          <t>BLK</t>
        </is>
      </c>
      <c r="E3292" t="inlineStr">
        <is>
          <t>(en blanco)</t>
        </is>
      </c>
      <c r="F3292" t="inlineStr">
        <is>
          <t>(en blanco)</t>
        </is>
      </c>
      <c r="G3292" t="inlineStr">
        <is>
          <t>S</t>
        </is>
      </c>
      <c r="H3292" t="n">
        <v>2</v>
      </c>
      <c r="I3292" t="inlineStr">
        <is>
          <t>NAUTICA_MENS_V422744_BLK_1.jpg</t>
        </is>
      </c>
      <c r="J3292" t="inlineStr">
        <is>
          <t>NAUTICA_MENS_V422744_BLK_2.jpg</t>
        </is>
      </c>
      <c r="K3292" t="inlineStr">
        <is>
          <t>NAUTICA_MENS_V422744_BLK_3.jpg</t>
        </is>
      </c>
      <c r="L3292">
        <f>IMAGE("file:///E:/Estudios%20y%20certificaciones/ESTUDIOS%20DE%20PROGRAMMING/PROGRAMMING/PERSONAL/PYTHON/Image_Generator_API/imagenes/NAUTICA_MENS_V422744_BLK_1.jpg")</f>
        <v/>
      </c>
      <c r="M3292">
        <f>IMAGE("file:///E:/Estudios%20y%20certificaciones/ESTUDIOS%20DE%20PROGRAMMING/PROGRAMMING/PERSONAL/PYTHON/Image_Generator_API/imagenes/NAUTICA_MENS_V422744_BLK_2.jpg")</f>
        <v/>
      </c>
      <c r="N3292">
        <f>IMAGE("file:///E:/Estudios%20y%20certificaciones/ESTUDIOS%20DE%20PROGRAMMING/PROGRAMMING/PERSONAL/PYTHON/Image_Generator_API/imagenes/NAUTICA_MENS_V422744_BLK_3.jpg")</f>
        <v/>
      </c>
      <c r="O3292">
        <f>HYPERLINK("imagenes/NAUTICA_MENS_V422744_BLK_1.jpg","Ver imagen")</f>
        <v/>
      </c>
      <c r="P3292">
        <f>HYPERLINK("imagenes/NAUTICA_MENS_V422744_BLK_2.jpg","Ver imagen")</f>
        <v/>
      </c>
      <c r="Q3292">
        <f>HYPERLINK("imagenes/NAUTICA_MENS_V422744_BLK_3.jpg","Ver imagen")</f>
        <v/>
      </c>
    </row>
    <row r="3293">
      <c r="A3293" t="inlineStr">
        <is>
          <t>NAUTICA MENS</t>
        </is>
      </c>
      <c r="B3293" t="inlineStr">
        <is>
          <t>V422744</t>
        </is>
      </c>
      <c r="C3293" t="inlineStr">
        <is>
          <t>POLYSTRETCH REVERSBL</t>
        </is>
      </c>
      <c r="D3293" t="inlineStr">
        <is>
          <t>BLK</t>
        </is>
      </c>
      <c r="E3293" t="inlineStr">
        <is>
          <t>(en blanco)</t>
        </is>
      </c>
      <c r="F3293" t="inlineStr">
        <is>
          <t>(en blanco)</t>
        </is>
      </c>
      <c r="G3293" t="inlineStr">
        <is>
          <t>L</t>
        </is>
      </c>
      <c r="H3293" t="n">
        <v>2</v>
      </c>
      <c r="I3293" t="inlineStr">
        <is>
          <t>NAUTICA_MENS_V422744_BLK_1.jpg</t>
        </is>
      </c>
      <c r="J3293" t="inlineStr">
        <is>
          <t>NAUTICA_MENS_V422744_BLK_2.jpg</t>
        </is>
      </c>
      <c r="K3293" t="inlineStr">
        <is>
          <t>NAUTICA_MENS_V422744_BLK_3.jpg</t>
        </is>
      </c>
      <c r="L3293">
        <f>IMAGE("file:///E:/Estudios%20y%20certificaciones/ESTUDIOS%20DE%20PROGRAMMING/PROGRAMMING/PERSONAL/PYTHON/Image_Generator_API/imagenes/NAUTICA_MENS_V422744_BLK_1.jpg")</f>
        <v/>
      </c>
      <c r="M3293">
        <f>IMAGE("file:///E:/Estudios%20y%20certificaciones/ESTUDIOS%20DE%20PROGRAMMING/PROGRAMMING/PERSONAL/PYTHON/Image_Generator_API/imagenes/NAUTICA_MENS_V422744_BLK_2.jpg")</f>
        <v/>
      </c>
      <c r="N3293">
        <f>IMAGE("file:///E:/Estudios%20y%20certificaciones/ESTUDIOS%20DE%20PROGRAMMING/PROGRAMMING/PERSONAL/PYTHON/Image_Generator_API/imagenes/NAUTICA_MENS_V422744_BLK_3.jpg")</f>
        <v/>
      </c>
      <c r="O3293">
        <f>HYPERLINK("imagenes/NAUTICA_MENS_V422744_BLK_1.jpg","Ver imagen")</f>
        <v/>
      </c>
      <c r="P3293">
        <f>HYPERLINK("imagenes/NAUTICA_MENS_V422744_BLK_2.jpg","Ver imagen")</f>
        <v/>
      </c>
      <c r="Q3293">
        <f>HYPERLINK("imagenes/NAUTICA_MENS_V422744_BLK_3.jpg","Ver imagen")</f>
        <v/>
      </c>
    </row>
    <row r="3294">
      <c r="A3294" t="inlineStr">
        <is>
          <t>NAUTICA MENS</t>
        </is>
      </c>
      <c r="B3294" t="inlineStr">
        <is>
          <t>V422744</t>
        </is>
      </c>
      <c r="C3294" t="inlineStr">
        <is>
          <t>POLYSTRETCH REVERSBL</t>
        </is>
      </c>
      <c r="D3294" t="inlineStr">
        <is>
          <t>BLK</t>
        </is>
      </c>
      <c r="E3294" t="inlineStr">
        <is>
          <t>(en blanco)</t>
        </is>
      </c>
      <c r="F3294" t="inlineStr">
        <is>
          <t>(en blanco)</t>
        </is>
      </c>
      <c r="G3294" t="inlineStr">
        <is>
          <t>XL</t>
        </is>
      </c>
      <c r="H3294" t="n">
        <v>6</v>
      </c>
      <c r="I3294" t="inlineStr">
        <is>
          <t>NAUTICA_MENS_V422744_BLK_1.jpg</t>
        </is>
      </c>
      <c r="J3294" t="inlineStr">
        <is>
          <t>NAUTICA_MENS_V422744_BLK_2.jpg</t>
        </is>
      </c>
      <c r="K3294" t="inlineStr">
        <is>
          <t>NAUTICA_MENS_V422744_BLK_3.jpg</t>
        </is>
      </c>
      <c r="L3294">
        <f>IMAGE("file:///E:/Estudios%20y%20certificaciones/ESTUDIOS%20DE%20PROGRAMMING/PROGRAMMING/PERSONAL/PYTHON/Image_Generator_API/imagenes/NAUTICA_MENS_V422744_BLK_1.jpg")</f>
        <v/>
      </c>
      <c r="M3294">
        <f>IMAGE("file:///E:/Estudios%20y%20certificaciones/ESTUDIOS%20DE%20PROGRAMMING/PROGRAMMING/PERSONAL/PYTHON/Image_Generator_API/imagenes/NAUTICA_MENS_V422744_BLK_2.jpg")</f>
        <v/>
      </c>
      <c r="N3294">
        <f>IMAGE("file:///E:/Estudios%20y%20certificaciones/ESTUDIOS%20DE%20PROGRAMMING/PROGRAMMING/PERSONAL/PYTHON/Image_Generator_API/imagenes/NAUTICA_MENS_V422744_BLK_3.jpg")</f>
        <v/>
      </c>
      <c r="O3294">
        <f>HYPERLINK("imagenes/NAUTICA_MENS_V422744_BLK_1.jpg","Ver imagen")</f>
        <v/>
      </c>
      <c r="P3294">
        <f>HYPERLINK("imagenes/NAUTICA_MENS_V422744_BLK_2.jpg","Ver imagen")</f>
        <v/>
      </c>
      <c r="Q3294">
        <f>HYPERLINK("imagenes/NAUTICA_MENS_V422744_BLK_3.jpg","Ver imagen")</f>
        <v/>
      </c>
    </row>
    <row r="3295">
      <c r="A3295" t="inlineStr">
        <is>
          <t>NAUTICA MENS</t>
        </is>
      </c>
      <c r="B3295" t="inlineStr">
        <is>
          <t>V422744</t>
        </is>
      </c>
      <c r="C3295" t="inlineStr">
        <is>
          <t>POLYSTRETCH REVERSBL</t>
        </is>
      </c>
      <c r="D3295" t="inlineStr">
        <is>
          <t>BLK</t>
        </is>
      </c>
      <c r="E3295" t="inlineStr">
        <is>
          <t>(en blanco)</t>
        </is>
      </c>
      <c r="F3295" t="inlineStr">
        <is>
          <t>(en blanco)</t>
        </is>
      </c>
      <c r="G3295" t="inlineStr">
        <is>
          <t>XXL</t>
        </is>
      </c>
      <c r="H3295" t="n">
        <v>2</v>
      </c>
      <c r="I3295" t="inlineStr">
        <is>
          <t>NAUTICA_MENS_V422744_BLK_1.jpg</t>
        </is>
      </c>
      <c r="J3295" t="inlineStr">
        <is>
          <t>NAUTICA_MENS_V422744_BLK_2.jpg</t>
        </is>
      </c>
      <c r="K3295" t="inlineStr">
        <is>
          <t>NAUTICA_MENS_V422744_BLK_3.jpg</t>
        </is>
      </c>
      <c r="L3295">
        <f>IMAGE("file:///E:/Estudios%20y%20certificaciones/ESTUDIOS%20DE%20PROGRAMMING/PROGRAMMING/PERSONAL/PYTHON/Image_Generator_API/imagenes/NAUTICA_MENS_V422744_BLK_1.jpg")</f>
        <v/>
      </c>
      <c r="M3295">
        <f>IMAGE("file:///E:/Estudios%20y%20certificaciones/ESTUDIOS%20DE%20PROGRAMMING/PROGRAMMING/PERSONAL/PYTHON/Image_Generator_API/imagenes/NAUTICA_MENS_V422744_BLK_2.jpg")</f>
        <v/>
      </c>
      <c r="N3295">
        <f>IMAGE("file:///E:/Estudios%20y%20certificaciones/ESTUDIOS%20DE%20PROGRAMMING/PROGRAMMING/PERSONAL/PYTHON/Image_Generator_API/imagenes/NAUTICA_MENS_V422744_BLK_3.jpg")</f>
        <v/>
      </c>
      <c r="O3295">
        <f>HYPERLINK("imagenes/NAUTICA_MENS_V422744_BLK_1.jpg","Ver imagen")</f>
        <v/>
      </c>
      <c r="P3295">
        <f>HYPERLINK("imagenes/NAUTICA_MENS_V422744_BLK_2.jpg","Ver imagen")</f>
        <v/>
      </c>
      <c r="Q3295">
        <f>HYPERLINK("imagenes/NAUTICA_MENS_V422744_BLK_3.jpg","Ver imagen")</f>
        <v/>
      </c>
    </row>
    <row r="3296">
      <c r="A3296" t="inlineStr">
        <is>
          <t>NAUTICA MENS</t>
        </is>
      </c>
      <c r="B3296" t="inlineStr">
        <is>
          <t>V422744</t>
        </is>
      </c>
      <c r="C3296" t="inlineStr">
        <is>
          <t>POLYSTRETCH REVERSBL</t>
        </is>
      </c>
      <c r="D3296" t="inlineStr">
        <is>
          <t>RED</t>
        </is>
      </c>
      <c r="E3296" t="inlineStr">
        <is>
          <t>(en blanco)</t>
        </is>
      </c>
      <c r="F3296" t="inlineStr">
        <is>
          <t>(en blanco)</t>
        </is>
      </c>
      <c r="G3296" t="inlineStr">
        <is>
          <t>L</t>
        </is>
      </c>
      <c r="H3296" t="n">
        <v>1</v>
      </c>
      <c r="I3296" t="inlineStr">
        <is>
          <t>NAUTICA_MENS_V422744_RED_1.jpg</t>
        </is>
      </c>
      <c r="J3296" t="inlineStr">
        <is>
          <t>NAUTICA_MENS_V422744_RED_2.jpg</t>
        </is>
      </c>
      <c r="K3296" t="inlineStr">
        <is>
          <t>NAUTICA_MENS_V422744_RED_3.jpg</t>
        </is>
      </c>
      <c r="L3296">
        <f>IMAGE("file:///E:/Estudios%20y%20certificaciones/ESTUDIOS%20DE%20PROGRAMMING/PROGRAMMING/PERSONAL/PYTHON/Image_Generator_API/imagenes/NAUTICA_MENS_V422744_RED_1.jpg")</f>
        <v/>
      </c>
      <c r="M3296">
        <f>IMAGE("file:///E:/Estudios%20y%20certificaciones/ESTUDIOS%20DE%20PROGRAMMING/PROGRAMMING/PERSONAL/PYTHON/Image_Generator_API/imagenes/NAUTICA_MENS_V422744_RED_2.jpg")</f>
        <v/>
      </c>
      <c r="N3296">
        <f>IMAGE("file:///E:/Estudios%20y%20certificaciones/ESTUDIOS%20DE%20PROGRAMMING/PROGRAMMING/PERSONAL/PYTHON/Image_Generator_API/imagenes/NAUTICA_MENS_V422744_RED_3.jpg")</f>
        <v/>
      </c>
      <c r="O3296">
        <f>HYPERLINK("imagenes/NAUTICA_MENS_V422744_RED_1.jpg","Ver imagen")</f>
        <v/>
      </c>
      <c r="P3296">
        <f>HYPERLINK("imagenes/NAUTICA_MENS_V422744_RED_2.jpg","Ver imagen")</f>
        <v/>
      </c>
      <c r="Q3296">
        <f>HYPERLINK("imagenes/NAUTICA_MENS_V422744_RED_3.jpg","Ver imagen")</f>
        <v/>
      </c>
    </row>
    <row r="3297">
      <c r="A3297" t="inlineStr">
        <is>
          <t>NAUTICA MENS</t>
        </is>
      </c>
      <c r="B3297" t="inlineStr">
        <is>
          <t>V425548</t>
        </is>
      </c>
      <c r="C3297" t="inlineStr">
        <is>
          <t>WOOL PEACOAT</t>
        </is>
      </c>
      <c r="D3297" t="inlineStr">
        <is>
          <t>CHR</t>
        </is>
      </c>
      <c r="E3297" t="inlineStr">
        <is>
          <t>(en blanco)</t>
        </is>
      </c>
      <c r="F3297" t="inlineStr">
        <is>
          <t>(en blanco)</t>
        </is>
      </c>
      <c r="G3297" t="inlineStr">
        <is>
          <t>L</t>
        </is>
      </c>
      <c r="H3297" t="n">
        <v>2</v>
      </c>
      <c r="I3297" t="inlineStr">
        <is>
          <t>NAUTICA_MENS_V425548_CHR_1.jpg</t>
        </is>
      </c>
      <c r="J3297" t="inlineStr">
        <is>
          <t>NAUTICA_MENS_V425548_CHR_2.jpg</t>
        </is>
      </c>
      <c r="K3297" t="inlineStr">
        <is>
          <t>NAUTICA_MENS_V425548_CHR_3.jpg</t>
        </is>
      </c>
      <c r="L3297">
        <f>IMAGE("file:///E:/Estudios%20y%20certificaciones/ESTUDIOS%20DE%20PROGRAMMING/PROGRAMMING/PERSONAL/PYTHON/Image_Generator_API/imagenes/NAUTICA_MENS_V425548_CHR_1.jpg")</f>
        <v/>
      </c>
      <c r="M3297">
        <f>IMAGE("file:///E:/Estudios%20y%20certificaciones/ESTUDIOS%20DE%20PROGRAMMING/PROGRAMMING/PERSONAL/PYTHON/Image_Generator_API/imagenes/NAUTICA_MENS_V425548_CHR_2.jpg")</f>
        <v/>
      </c>
      <c r="N3297">
        <f>IMAGE("file:///E:/Estudios%20y%20certificaciones/ESTUDIOS%20DE%20PROGRAMMING/PROGRAMMING/PERSONAL/PYTHON/Image_Generator_API/imagenes/NAUTICA_MENS_V425548_CHR_3.jpg")</f>
        <v/>
      </c>
      <c r="O3297">
        <f>HYPERLINK("imagenes/NAUTICA_MENS_V425548_CHR_1.jpg","Ver imagen")</f>
        <v/>
      </c>
      <c r="P3297">
        <f>HYPERLINK("imagenes/NAUTICA_MENS_V425548_CHR_2.jpg","Ver imagen")</f>
        <v/>
      </c>
      <c r="Q3297">
        <f>HYPERLINK("imagenes/NAUTICA_MENS_V425548_CHR_3.jpg","Ver imagen")</f>
        <v/>
      </c>
    </row>
    <row r="3298">
      <c r="A3298" t="inlineStr">
        <is>
          <t>NAUTICA MENS</t>
        </is>
      </c>
      <c r="B3298" t="inlineStr">
        <is>
          <t>V432744</t>
        </is>
      </c>
      <c r="C3298" t="inlineStr">
        <is>
          <t>POLYSTRETCH REVERSBL</t>
        </is>
      </c>
      <c r="D3298" t="inlineStr">
        <is>
          <t>BLK</t>
        </is>
      </c>
      <c r="E3298" t="inlineStr">
        <is>
          <t>(en blanco)</t>
        </is>
      </c>
      <c r="F3298" t="inlineStr">
        <is>
          <t>(en blanco)</t>
        </is>
      </c>
      <c r="G3298" t="inlineStr">
        <is>
          <t>3X</t>
        </is>
      </c>
      <c r="H3298" t="n">
        <v>4</v>
      </c>
      <c r="I3298" t="inlineStr">
        <is>
          <t>NAUTICA_MENS_V432744_BLK_1.jpg</t>
        </is>
      </c>
      <c r="J3298" t="inlineStr">
        <is>
          <t>NAUTICA_MENS_V432744_BLK_2.jpg</t>
        </is>
      </c>
      <c r="K3298" t="inlineStr">
        <is>
          <t>NAUTICA_MENS_V432744_BLK_3.jpg</t>
        </is>
      </c>
      <c r="L3298">
        <f>IMAGE("file:///E:/Estudios%20y%20certificaciones/ESTUDIOS%20DE%20PROGRAMMING/PROGRAMMING/PERSONAL/PYTHON/Image_Generator_API/imagenes/NAUTICA_MENS_V432744_BLK_1.jpg")</f>
        <v/>
      </c>
      <c r="M3298">
        <f>IMAGE("file:///E:/Estudios%20y%20certificaciones/ESTUDIOS%20DE%20PROGRAMMING/PROGRAMMING/PERSONAL/PYTHON/Image_Generator_API/imagenes/NAUTICA_MENS_V432744_BLK_2.jpg")</f>
        <v/>
      </c>
      <c r="N3298">
        <f>IMAGE("file:///E:/Estudios%20y%20certificaciones/ESTUDIOS%20DE%20PROGRAMMING/PROGRAMMING/PERSONAL/PYTHON/Image_Generator_API/imagenes/NAUTICA_MENS_V432744_BLK_3.jpg")</f>
        <v/>
      </c>
      <c r="O3298">
        <f>HYPERLINK("imagenes/NAUTICA_MENS_V432744_BLK_1.jpg","Ver imagen")</f>
        <v/>
      </c>
      <c r="P3298">
        <f>HYPERLINK("imagenes/NAUTICA_MENS_V432744_BLK_2.jpg","Ver imagen")</f>
        <v/>
      </c>
      <c r="Q3298">
        <f>HYPERLINK("imagenes/NAUTICA_MENS_V432744_BLK_3.jpg","Ver imagen")</f>
        <v/>
      </c>
    </row>
    <row r="3299">
      <c r="A3299" t="inlineStr">
        <is>
          <t>NAUTICA MENS</t>
        </is>
      </c>
      <c r="B3299" t="inlineStr">
        <is>
          <t>V432744</t>
        </is>
      </c>
      <c r="C3299" t="inlineStr">
        <is>
          <t>POLYSTRETCH REVERSBL</t>
        </is>
      </c>
      <c r="D3299" t="inlineStr">
        <is>
          <t>BLK</t>
        </is>
      </c>
      <c r="E3299" t="inlineStr">
        <is>
          <t>(en blanco)</t>
        </is>
      </c>
      <c r="F3299" t="inlineStr">
        <is>
          <t>(en blanco)</t>
        </is>
      </c>
      <c r="G3299" t="inlineStr">
        <is>
          <t>4X</t>
        </is>
      </c>
      <c r="H3299" t="n">
        <v>3</v>
      </c>
      <c r="I3299" t="inlineStr">
        <is>
          <t>NAUTICA_MENS_V432744_BLK_1.jpg</t>
        </is>
      </c>
      <c r="J3299" t="inlineStr">
        <is>
          <t>NAUTICA_MENS_V432744_BLK_2.jpg</t>
        </is>
      </c>
      <c r="K3299" t="inlineStr">
        <is>
          <t>NAUTICA_MENS_V432744_BLK_3.jpg</t>
        </is>
      </c>
      <c r="L3299">
        <f>IMAGE("file:///E:/Estudios%20y%20certificaciones/ESTUDIOS%20DE%20PROGRAMMING/PROGRAMMING/PERSONAL/PYTHON/Image_Generator_API/imagenes/NAUTICA_MENS_V432744_BLK_1.jpg")</f>
        <v/>
      </c>
      <c r="M3299">
        <f>IMAGE("file:///E:/Estudios%20y%20certificaciones/ESTUDIOS%20DE%20PROGRAMMING/PROGRAMMING/PERSONAL/PYTHON/Image_Generator_API/imagenes/NAUTICA_MENS_V432744_BLK_2.jpg")</f>
        <v/>
      </c>
      <c r="N3299">
        <f>IMAGE("file:///E:/Estudios%20y%20certificaciones/ESTUDIOS%20DE%20PROGRAMMING/PROGRAMMING/PERSONAL/PYTHON/Image_Generator_API/imagenes/NAUTICA_MENS_V432744_BLK_3.jpg")</f>
        <v/>
      </c>
      <c r="O3299">
        <f>HYPERLINK("imagenes/NAUTICA_MENS_V432744_BLK_1.jpg","Ver imagen")</f>
        <v/>
      </c>
      <c r="P3299">
        <f>HYPERLINK("imagenes/NAUTICA_MENS_V432744_BLK_2.jpg","Ver imagen")</f>
        <v/>
      </c>
      <c r="Q3299">
        <f>HYPERLINK("imagenes/NAUTICA_MENS_V432744_BLK_3.jpg","Ver imagen")</f>
        <v/>
      </c>
    </row>
    <row r="3300">
      <c r="A3300" t="inlineStr">
        <is>
          <t>NAUTICA MENS</t>
        </is>
      </c>
      <c r="B3300" t="inlineStr">
        <is>
          <t>V432744</t>
        </is>
      </c>
      <c r="C3300" t="inlineStr">
        <is>
          <t>POLYSTRETCH REVERSBL</t>
        </is>
      </c>
      <c r="D3300" t="inlineStr">
        <is>
          <t>NVY</t>
        </is>
      </c>
      <c r="E3300" t="inlineStr">
        <is>
          <t>(en blanco)</t>
        </is>
      </c>
      <c r="F3300" t="inlineStr">
        <is>
          <t>(en blanco)</t>
        </is>
      </c>
      <c r="G3300" t="inlineStr">
        <is>
          <t>2X</t>
        </is>
      </c>
      <c r="H3300" t="n">
        <v>11</v>
      </c>
      <c r="I3300" t="inlineStr">
        <is>
          <t>NAUTICA_MENS_V432744_NVY_1.jpg</t>
        </is>
      </c>
      <c r="J3300" t="inlineStr">
        <is>
          <t>NAUTICA_MENS_V432744_NVY_2.jpg</t>
        </is>
      </c>
      <c r="K3300" t="inlineStr">
        <is>
          <t>NAUTICA_MENS_V432744_NVY_3.jpg</t>
        </is>
      </c>
      <c r="L3300">
        <f>IMAGE("file:///E:/Estudios%20y%20certificaciones/ESTUDIOS%20DE%20PROGRAMMING/PROGRAMMING/PERSONAL/PYTHON/Image_Generator_API/imagenes/NAUTICA_MENS_V432744_NVY_1.jpg")</f>
        <v/>
      </c>
      <c r="M3300">
        <f>IMAGE("file:///E:/Estudios%20y%20certificaciones/ESTUDIOS%20DE%20PROGRAMMING/PROGRAMMING/PERSONAL/PYTHON/Image_Generator_API/imagenes/NAUTICA_MENS_V432744_NVY_2.jpg")</f>
        <v/>
      </c>
      <c r="N3300">
        <f>IMAGE("file:///E:/Estudios%20y%20certificaciones/ESTUDIOS%20DE%20PROGRAMMING/PROGRAMMING/PERSONAL/PYTHON/Image_Generator_API/imagenes/NAUTICA_MENS_V432744_NVY_3.jpg")</f>
        <v/>
      </c>
      <c r="O3300">
        <f>HYPERLINK("imagenes/NAUTICA_MENS_V432744_NVY_1.jpg","Ver imagen")</f>
        <v/>
      </c>
      <c r="P3300">
        <f>HYPERLINK("imagenes/NAUTICA_MENS_V432744_NVY_2.jpg","Ver imagen")</f>
        <v/>
      </c>
      <c r="Q3300">
        <f>HYPERLINK("imagenes/NAUTICA_MENS_V432744_NVY_3.jpg","Ver imagen")</f>
        <v/>
      </c>
    </row>
    <row r="3301">
      <c r="A3301" t="inlineStr">
        <is>
          <t>NAUTICA MENS</t>
        </is>
      </c>
      <c r="B3301" t="inlineStr">
        <is>
          <t>V432744</t>
        </is>
      </c>
      <c r="C3301" t="inlineStr">
        <is>
          <t>POLYSTRETCH REVERSBL</t>
        </is>
      </c>
      <c r="D3301" t="inlineStr">
        <is>
          <t>NVY</t>
        </is>
      </c>
      <c r="E3301" t="inlineStr">
        <is>
          <t>(en blanco)</t>
        </is>
      </c>
      <c r="F3301" t="inlineStr">
        <is>
          <t>(en blanco)</t>
        </is>
      </c>
      <c r="G3301" t="inlineStr">
        <is>
          <t>3X</t>
        </is>
      </c>
      <c r="H3301" t="n">
        <v>22</v>
      </c>
      <c r="I3301" t="inlineStr">
        <is>
          <t>NAUTICA_MENS_V432744_NVY_1.jpg</t>
        </is>
      </c>
      <c r="J3301" t="inlineStr">
        <is>
          <t>NAUTICA_MENS_V432744_NVY_2.jpg</t>
        </is>
      </c>
      <c r="K3301" t="inlineStr">
        <is>
          <t>NAUTICA_MENS_V432744_NVY_3.jpg</t>
        </is>
      </c>
      <c r="L3301">
        <f>IMAGE("file:///E:/Estudios%20y%20certificaciones/ESTUDIOS%20DE%20PROGRAMMING/PROGRAMMING/PERSONAL/PYTHON/Image_Generator_API/imagenes/NAUTICA_MENS_V432744_NVY_1.jpg")</f>
        <v/>
      </c>
      <c r="M3301">
        <f>IMAGE("file:///E:/Estudios%20y%20certificaciones/ESTUDIOS%20DE%20PROGRAMMING/PROGRAMMING/PERSONAL/PYTHON/Image_Generator_API/imagenes/NAUTICA_MENS_V432744_NVY_2.jpg")</f>
        <v/>
      </c>
      <c r="N3301">
        <f>IMAGE("file:///E:/Estudios%20y%20certificaciones/ESTUDIOS%20DE%20PROGRAMMING/PROGRAMMING/PERSONAL/PYTHON/Image_Generator_API/imagenes/NAUTICA_MENS_V432744_NVY_3.jpg")</f>
        <v/>
      </c>
      <c r="O3301">
        <f>HYPERLINK("imagenes/NAUTICA_MENS_V432744_NVY_1.jpg","Ver imagen")</f>
        <v/>
      </c>
      <c r="P3301">
        <f>HYPERLINK("imagenes/NAUTICA_MENS_V432744_NVY_2.jpg","Ver imagen")</f>
        <v/>
      </c>
      <c r="Q3301">
        <f>HYPERLINK("imagenes/NAUTICA_MENS_V432744_NVY_3.jpg","Ver imagen")</f>
        <v/>
      </c>
    </row>
    <row r="3302">
      <c r="A3302" t="inlineStr">
        <is>
          <t>NAUTICA MENS</t>
        </is>
      </c>
      <c r="B3302" t="inlineStr">
        <is>
          <t>V435548</t>
        </is>
      </c>
      <c r="C3302" t="inlineStr">
        <is>
          <t>WOOL PEACOAT</t>
        </is>
      </c>
      <c r="D3302" t="inlineStr">
        <is>
          <t>BLK</t>
        </is>
      </c>
      <c r="E3302" t="inlineStr">
        <is>
          <t>(en blanco)</t>
        </is>
      </c>
      <c r="F3302" t="inlineStr">
        <is>
          <t>(en blanco)</t>
        </is>
      </c>
      <c r="G3302" t="inlineStr">
        <is>
          <t>3X</t>
        </is>
      </c>
      <c r="H3302" t="n">
        <v>1</v>
      </c>
      <c r="I3302" t="inlineStr">
        <is>
          <t>NAUTICA_MENS_V435548_BLK_1.jpg</t>
        </is>
      </c>
      <c r="J3302" t="inlineStr">
        <is>
          <t>NAUTICA_MENS_V435548_BLK_2.jpg</t>
        </is>
      </c>
      <c r="K3302" t="inlineStr">
        <is>
          <t>NAUTICA_MENS_V435548_BLK_3.jpg</t>
        </is>
      </c>
      <c r="L3302">
        <f>IMAGE("file:///E:/Estudios%20y%20certificaciones/ESTUDIOS%20DE%20PROGRAMMING/PROGRAMMING/PERSONAL/PYTHON/Image_Generator_API/imagenes/NAUTICA_MENS_V435548_BLK_1.jpg")</f>
        <v/>
      </c>
      <c r="M3302">
        <f>IMAGE("file:///E:/Estudios%20y%20certificaciones/ESTUDIOS%20DE%20PROGRAMMING/PROGRAMMING/PERSONAL/PYTHON/Image_Generator_API/imagenes/NAUTICA_MENS_V435548_BLK_2.jpg")</f>
        <v/>
      </c>
      <c r="N3302">
        <f>IMAGE("file:///E:/Estudios%20y%20certificaciones/ESTUDIOS%20DE%20PROGRAMMING/PROGRAMMING/PERSONAL/PYTHON/Image_Generator_API/imagenes/NAUTICA_MENS_V435548_BLK_3.jpg")</f>
        <v/>
      </c>
      <c r="O3302">
        <f>HYPERLINK("imagenes/NAUTICA_MENS_V435548_BLK_1.jpg","Ver imagen")</f>
        <v/>
      </c>
      <c r="P3302">
        <f>HYPERLINK("imagenes/NAUTICA_MENS_V435548_BLK_2.jpg","Ver imagen")</f>
        <v/>
      </c>
      <c r="Q3302">
        <f>HYPERLINK("imagenes/NAUTICA_MENS_V435548_BLK_3.jpg","Ver imagen")</f>
        <v/>
      </c>
    </row>
    <row r="3303">
      <c r="A3303" t="inlineStr">
        <is>
          <t>NAUTICA MENS</t>
        </is>
      </c>
      <c r="B3303" t="inlineStr">
        <is>
          <t>V435548</t>
        </is>
      </c>
      <c r="C3303" t="inlineStr">
        <is>
          <t>WOOL PEACOAT</t>
        </is>
      </c>
      <c r="D3303" t="inlineStr">
        <is>
          <t>CHR</t>
        </is>
      </c>
      <c r="E3303" t="inlineStr">
        <is>
          <t>(en blanco)</t>
        </is>
      </c>
      <c r="F3303" t="inlineStr">
        <is>
          <t>(en blanco)</t>
        </is>
      </c>
      <c r="G3303" t="inlineStr">
        <is>
          <t>2X</t>
        </is>
      </c>
      <c r="H3303" t="n">
        <v>1</v>
      </c>
      <c r="I3303" t="inlineStr">
        <is>
          <t>NAUTICA_MENS_V435548_CHR_1.jpg</t>
        </is>
      </c>
      <c r="J3303" t="inlineStr">
        <is>
          <t>NAUTICA_MENS_V435548_CHR_2.jpg</t>
        </is>
      </c>
      <c r="K3303" t="inlineStr">
        <is>
          <t>NAUTICA_MENS_V435548_CHR_3.jpg</t>
        </is>
      </c>
      <c r="L3303">
        <f>IMAGE("file:///E:/Estudios%20y%20certificaciones/ESTUDIOS%20DE%20PROGRAMMING/PROGRAMMING/PERSONAL/PYTHON/Image_Generator_API/imagenes/NAUTICA_MENS_V435548_CHR_1.jpg")</f>
        <v/>
      </c>
      <c r="M3303">
        <f>IMAGE("file:///E:/Estudios%20y%20certificaciones/ESTUDIOS%20DE%20PROGRAMMING/PROGRAMMING/PERSONAL/PYTHON/Image_Generator_API/imagenes/NAUTICA_MENS_V435548_CHR_2.jpg")</f>
        <v/>
      </c>
      <c r="N3303">
        <f>IMAGE("file:///E:/Estudios%20y%20certificaciones/ESTUDIOS%20DE%20PROGRAMMING/PROGRAMMING/PERSONAL/PYTHON/Image_Generator_API/imagenes/NAUTICA_MENS_V435548_CHR_3.jpg")</f>
        <v/>
      </c>
      <c r="O3303">
        <f>HYPERLINK("imagenes/NAUTICA_MENS_V435548_CHR_1.jpg","Ver imagen")</f>
        <v/>
      </c>
      <c r="P3303">
        <f>HYPERLINK("imagenes/NAUTICA_MENS_V435548_CHR_2.jpg","Ver imagen")</f>
        <v/>
      </c>
      <c r="Q3303">
        <f>HYPERLINK("imagenes/NAUTICA_MENS_V435548_CHR_3.jpg","Ver imagen")</f>
        <v/>
      </c>
    </row>
    <row r="3304">
      <c r="A3304" t="inlineStr">
        <is>
          <t>NAUTICA MENS</t>
        </is>
      </c>
      <c r="B3304" t="inlineStr">
        <is>
          <t>V442744</t>
        </is>
      </c>
      <c r="C3304" t="inlineStr">
        <is>
          <t>POLYSTRCH REVERSIBLE</t>
        </is>
      </c>
      <c r="D3304" t="inlineStr">
        <is>
          <t>BLK</t>
        </is>
      </c>
      <c r="E3304" t="inlineStr">
        <is>
          <t>(en blanco)</t>
        </is>
      </c>
      <c r="F3304" t="inlineStr">
        <is>
          <t>(en blanco)</t>
        </is>
      </c>
      <c r="G3304" t="inlineStr">
        <is>
          <t>2XT</t>
        </is>
      </c>
      <c r="H3304" t="n">
        <v>1</v>
      </c>
      <c r="I3304" t="inlineStr">
        <is>
          <t>NAUTICA_MENS_V442744_BLK_1.jpg</t>
        </is>
      </c>
      <c r="J3304" t="inlineStr">
        <is>
          <t>NAUTICA_MENS_V442744_BLK_2.jpg</t>
        </is>
      </c>
      <c r="K3304" t="inlineStr">
        <is>
          <t>NAUTICA_MENS_V442744_BLK_3.jpg</t>
        </is>
      </c>
      <c r="L3304">
        <f>IMAGE("file:///E:/Estudios%20y%20certificaciones/ESTUDIOS%20DE%20PROGRAMMING/PROGRAMMING/PERSONAL/PYTHON/Image_Generator_API/imagenes/NAUTICA_MENS_V442744_BLK_1.jpg")</f>
        <v/>
      </c>
      <c r="M3304">
        <f>IMAGE("file:///E:/Estudios%20y%20certificaciones/ESTUDIOS%20DE%20PROGRAMMING/PROGRAMMING/PERSONAL/PYTHON/Image_Generator_API/imagenes/NAUTICA_MENS_V442744_BLK_2.jpg")</f>
        <v/>
      </c>
      <c r="N3304">
        <f>IMAGE("file:///E:/Estudios%20y%20certificaciones/ESTUDIOS%20DE%20PROGRAMMING/PROGRAMMING/PERSONAL/PYTHON/Image_Generator_API/imagenes/NAUTICA_MENS_V442744_BLK_3.jpg")</f>
        <v/>
      </c>
      <c r="O3304">
        <f>HYPERLINK("imagenes/NAUTICA_MENS_V442744_BLK_1.jpg","Ver imagen")</f>
        <v/>
      </c>
      <c r="P3304">
        <f>HYPERLINK("imagenes/NAUTICA_MENS_V442744_BLK_2.jpg","Ver imagen")</f>
        <v/>
      </c>
      <c r="Q3304">
        <f>HYPERLINK("imagenes/NAUTICA_MENS_V442744_BLK_3.jpg","Ver imagen")</f>
        <v/>
      </c>
    </row>
    <row r="3305">
      <c r="A3305" t="inlineStr">
        <is>
          <t>NAUTICA MENS</t>
        </is>
      </c>
      <c r="B3305" t="inlineStr">
        <is>
          <t>V442744</t>
        </is>
      </c>
      <c r="C3305" t="inlineStr">
        <is>
          <t>POLYSTRCH REVERSIBLE</t>
        </is>
      </c>
      <c r="D3305" t="inlineStr">
        <is>
          <t>BLK</t>
        </is>
      </c>
      <c r="E3305" t="inlineStr">
        <is>
          <t>(en blanco)</t>
        </is>
      </c>
      <c r="F3305" t="inlineStr">
        <is>
          <t>(en blanco)</t>
        </is>
      </c>
      <c r="G3305" t="inlineStr">
        <is>
          <t>3XT</t>
        </is>
      </c>
      <c r="H3305" t="n">
        <v>1</v>
      </c>
      <c r="I3305" t="inlineStr">
        <is>
          <t>NAUTICA_MENS_V442744_BLK_1.jpg</t>
        </is>
      </c>
      <c r="J3305" t="inlineStr">
        <is>
          <t>NAUTICA_MENS_V442744_BLK_2.jpg</t>
        </is>
      </c>
      <c r="K3305" t="inlineStr">
        <is>
          <t>NAUTICA_MENS_V442744_BLK_3.jpg</t>
        </is>
      </c>
      <c r="L3305">
        <f>IMAGE("file:///E:/Estudios%20y%20certificaciones/ESTUDIOS%20DE%20PROGRAMMING/PROGRAMMING/PERSONAL/PYTHON/Image_Generator_API/imagenes/NAUTICA_MENS_V442744_BLK_1.jpg")</f>
        <v/>
      </c>
      <c r="M3305">
        <f>IMAGE("file:///E:/Estudios%20y%20certificaciones/ESTUDIOS%20DE%20PROGRAMMING/PROGRAMMING/PERSONAL/PYTHON/Image_Generator_API/imagenes/NAUTICA_MENS_V442744_BLK_2.jpg")</f>
        <v/>
      </c>
      <c r="N3305">
        <f>IMAGE("file:///E:/Estudios%20y%20certificaciones/ESTUDIOS%20DE%20PROGRAMMING/PROGRAMMING/PERSONAL/PYTHON/Image_Generator_API/imagenes/NAUTICA_MENS_V442744_BLK_3.jpg")</f>
        <v/>
      </c>
      <c r="O3305">
        <f>HYPERLINK("imagenes/NAUTICA_MENS_V442744_BLK_1.jpg","Ver imagen")</f>
        <v/>
      </c>
      <c r="P3305">
        <f>HYPERLINK("imagenes/NAUTICA_MENS_V442744_BLK_2.jpg","Ver imagen")</f>
        <v/>
      </c>
      <c r="Q3305">
        <f>HYPERLINK("imagenes/NAUTICA_MENS_V442744_BLK_3.jpg","Ver imagen")</f>
        <v/>
      </c>
    </row>
    <row r="3306">
      <c r="A3306" t="inlineStr">
        <is>
          <t>NAUTICA MENS</t>
        </is>
      </c>
      <c r="B3306" t="inlineStr">
        <is>
          <t>V442744</t>
        </is>
      </c>
      <c r="C3306" t="inlineStr">
        <is>
          <t>POLYSTRCH REVERSIBLE</t>
        </is>
      </c>
      <c r="D3306" t="inlineStr">
        <is>
          <t>BLK</t>
        </is>
      </c>
      <c r="E3306" t="inlineStr">
        <is>
          <t>(en blanco)</t>
        </is>
      </c>
      <c r="F3306" t="inlineStr">
        <is>
          <t>(en blanco)</t>
        </is>
      </c>
      <c r="G3306" t="inlineStr">
        <is>
          <t>XLT</t>
        </is>
      </c>
      <c r="H3306" t="n">
        <v>4</v>
      </c>
      <c r="I3306" t="inlineStr">
        <is>
          <t>NAUTICA_MENS_V442744_BLK_1.jpg</t>
        </is>
      </c>
      <c r="J3306" t="inlineStr">
        <is>
          <t>NAUTICA_MENS_V442744_BLK_2.jpg</t>
        </is>
      </c>
      <c r="K3306" t="inlineStr">
        <is>
          <t>NAUTICA_MENS_V442744_BLK_3.jpg</t>
        </is>
      </c>
      <c r="L3306">
        <f>IMAGE("file:///E:/Estudios%20y%20certificaciones/ESTUDIOS%20DE%20PROGRAMMING/PROGRAMMING/PERSONAL/PYTHON/Image_Generator_API/imagenes/NAUTICA_MENS_V442744_BLK_1.jpg")</f>
        <v/>
      </c>
      <c r="M3306">
        <f>IMAGE("file:///E:/Estudios%20y%20certificaciones/ESTUDIOS%20DE%20PROGRAMMING/PROGRAMMING/PERSONAL/PYTHON/Image_Generator_API/imagenes/NAUTICA_MENS_V442744_BLK_2.jpg")</f>
        <v/>
      </c>
      <c r="N3306">
        <f>IMAGE("file:///E:/Estudios%20y%20certificaciones/ESTUDIOS%20DE%20PROGRAMMING/PROGRAMMING/PERSONAL/PYTHON/Image_Generator_API/imagenes/NAUTICA_MENS_V442744_BLK_3.jpg")</f>
        <v/>
      </c>
      <c r="O3306">
        <f>HYPERLINK("imagenes/NAUTICA_MENS_V442744_BLK_1.jpg","Ver imagen")</f>
        <v/>
      </c>
      <c r="P3306">
        <f>HYPERLINK("imagenes/NAUTICA_MENS_V442744_BLK_2.jpg","Ver imagen")</f>
        <v/>
      </c>
      <c r="Q3306">
        <f>HYPERLINK("imagenes/NAUTICA_MENS_V442744_BLK_3.jpg","Ver imagen")</f>
        <v/>
      </c>
    </row>
    <row r="3307">
      <c r="A3307" t="inlineStr">
        <is>
          <t>NAUTICA MENS</t>
        </is>
      </c>
      <c r="B3307" t="inlineStr">
        <is>
          <t>V442744</t>
        </is>
      </c>
      <c r="C3307" t="inlineStr">
        <is>
          <t>POLYSTRCH REVERSIBLE</t>
        </is>
      </c>
      <c r="D3307" t="inlineStr">
        <is>
          <t>NVY</t>
        </is>
      </c>
      <c r="E3307" t="inlineStr">
        <is>
          <t>(en blanco)</t>
        </is>
      </c>
      <c r="F3307" t="inlineStr">
        <is>
          <t>(en blanco)</t>
        </is>
      </c>
      <c r="G3307" t="inlineStr">
        <is>
          <t>2XT</t>
        </is>
      </c>
      <c r="H3307" t="n">
        <v>4</v>
      </c>
      <c r="I3307" t="inlineStr">
        <is>
          <t>NAUTICA_MENS_V442744_NVY_1.jpg</t>
        </is>
      </c>
      <c r="J3307" t="inlineStr">
        <is>
          <t>NAUTICA_MENS_V442744_NVY_2.jpg</t>
        </is>
      </c>
      <c r="K3307" t="inlineStr">
        <is>
          <t>NAUTICA_MENS_V442744_NVY_3.jpg</t>
        </is>
      </c>
      <c r="L3307">
        <f>IMAGE("file:///E:/Estudios%20y%20certificaciones/ESTUDIOS%20DE%20PROGRAMMING/PROGRAMMING/PERSONAL/PYTHON/Image_Generator_API/imagenes/NAUTICA_MENS_V442744_NVY_1.jpg")</f>
        <v/>
      </c>
      <c r="M3307">
        <f>IMAGE("file:///E:/Estudios%20y%20certificaciones/ESTUDIOS%20DE%20PROGRAMMING/PROGRAMMING/PERSONAL/PYTHON/Image_Generator_API/imagenes/NAUTICA_MENS_V442744_NVY_2.jpg")</f>
        <v/>
      </c>
      <c r="N3307">
        <f>IMAGE("file:///E:/Estudios%20y%20certificaciones/ESTUDIOS%20DE%20PROGRAMMING/PROGRAMMING/PERSONAL/PYTHON/Image_Generator_API/imagenes/NAUTICA_MENS_V442744_NVY_3.jpg")</f>
        <v/>
      </c>
      <c r="O3307">
        <f>HYPERLINK("imagenes/NAUTICA_MENS_V442744_NVY_1.jpg","Ver imagen")</f>
        <v/>
      </c>
      <c r="P3307">
        <f>HYPERLINK("imagenes/NAUTICA_MENS_V442744_NVY_2.jpg","Ver imagen")</f>
        <v/>
      </c>
      <c r="Q3307">
        <f>HYPERLINK("imagenes/NAUTICA_MENS_V442744_NVY_3.jpg","Ver imagen")</f>
        <v/>
      </c>
    </row>
    <row r="3308">
      <c r="A3308" t="inlineStr">
        <is>
          <t>NAUTICA MENS</t>
        </is>
      </c>
      <c r="B3308" t="inlineStr">
        <is>
          <t>V520329</t>
        </is>
      </c>
      <c r="C3308" t="inlineStr">
        <is>
          <t>BOMBER JACKET</t>
        </is>
      </c>
      <c r="D3308" t="inlineStr">
        <is>
          <t>BLK</t>
        </is>
      </c>
      <c r="E3308" t="inlineStr">
        <is>
          <t>(en blanco)</t>
        </is>
      </c>
      <c r="F3308" t="inlineStr">
        <is>
          <t>(en blanco)</t>
        </is>
      </c>
      <c r="G3308" t="inlineStr">
        <is>
          <t>S</t>
        </is>
      </c>
      <c r="H3308" t="n">
        <v>1</v>
      </c>
      <c r="I3308" t="inlineStr">
        <is>
          <t>NAUTICA_MENS_V520329_BLK_1.jpg</t>
        </is>
      </c>
      <c r="J3308" t="inlineStr">
        <is>
          <t>NAUTICA_MENS_V520329_BLK_2.jpg</t>
        </is>
      </c>
      <c r="K3308" t="inlineStr">
        <is>
          <t>NAUTICA_MENS_V520329_BLK_3.jpg</t>
        </is>
      </c>
      <c r="L3308">
        <f>IMAGE("file:///E:/Estudios%20y%20certificaciones/ESTUDIOS%20DE%20PROGRAMMING/PROGRAMMING/PERSONAL/PYTHON/Image_Generator_API/imagenes/NAUTICA_MENS_V520329_BLK_1.jpg")</f>
        <v/>
      </c>
      <c r="M3308">
        <f>IMAGE("file:///E:/Estudios%20y%20certificaciones/ESTUDIOS%20DE%20PROGRAMMING/PROGRAMMING/PERSONAL/PYTHON/Image_Generator_API/imagenes/NAUTICA_MENS_V520329_BLK_2.jpg")</f>
        <v/>
      </c>
      <c r="N3308">
        <f>IMAGE("file:///E:/Estudios%20y%20certificaciones/ESTUDIOS%20DE%20PROGRAMMING/PROGRAMMING/PERSONAL/PYTHON/Image_Generator_API/imagenes/NAUTICA_MENS_V520329_BLK_3.jpg")</f>
        <v/>
      </c>
      <c r="O3308">
        <f>HYPERLINK("imagenes/NAUTICA_MENS_V520329_BLK_1.jpg","Ver imagen")</f>
        <v/>
      </c>
      <c r="P3308">
        <f>HYPERLINK("imagenes/NAUTICA_MENS_V520329_BLK_2.jpg","Ver imagen")</f>
        <v/>
      </c>
      <c r="Q3308">
        <f>HYPERLINK("imagenes/NAUTICA_MENS_V520329_BLK_3.jpg","Ver imagen")</f>
        <v/>
      </c>
    </row>
    <row r="3309">
      <c r="A3309" t="inlineStr">
        <is>
          <t>NAUTICA MENS</t>
        </is>
      </c>
      <c r="B3309" t="inlineStr">
        <is>
          <t>V520363</t>
        </is>
      </c>
      <c r="C3309" t="inlineStr">
        <is>
          <t>COLORBLOCK GOLF JKT</t>
        </is>
      </c>
      <c r="D3309" t="inlineStr">
        <is>
          <t>BGI</t>
        </is>
      </c>
      <c r="E3309" t="inlineStr">
        <is>
          <t>(en blanco)</t>
        </is>
      </c>
      <c r="F3309" t="inlineStr">
        <is>
          <t>(en blanco)</t>
        </is>
      </c>
      <c r="G3309" t="inlineStr">
        <is>
          <t>S</t>
        </is>
      </c>
      <c r="H3309" t="n">
        <v>1</v>
      </c>
      <c r="I3309" t="inlineStr">
        <is>
          <t>NAUTICA_MENS_V520363_BGI_1.jpg</t>
        </is>
      </c>
      <c r="J3309" t="inlineStr">
        <is>
          <t>NAUTICA_MENS_V520363_BGI_2.jpg</t>
        </is>
      </c>
      <c r="K3309" t="inlineStr">
        <is>
          <t>NAUTICA_MENS_V520363_BGI_3.jpg</t>
        </is>
      </c>
      <c r="L3309">
        <f>IMAGE("file:///E:/Estudios%20y%20certificaciones/ESTUDIOS%20DE%20PROGRAMMING/PROGRAMMING/PERSONAL/PYTHON/Image_Generator_API/imagenes/NAUTICA_MENS_V520363_BGI_1.jpg")</f>
        <v/>
      </c>
      <c r="M3309">
        <f>IMAGE("file:///E:/Estudios%20y%20certificaciones/ESTUDIOS%20DE%20PROGRAMMING/PROGRAMMING/PERSONAL/PYTHON/Image_Generator_API/imagenes/NAUTICA_MENS_V520363_BGI_2.jpg")</f>
        <v/>
      </c>
      <c r="N3309">
        <f>IMAGE("file:///E:/Estudios%20y%20certificaciones/ESTUDIOS%20DE%20PROGRAMMING/PROGRAMMING/PERSONAL/PYTHON/Image_Generator_API/imagenes/NAUTICA_MENS_V520363_BGI_3.jpg")</f>
        <v/>
      </c>
      <c r="O3309">
        <f>HYPERLINK("imagenes/NAUTICA_MENS_V520363_BGI_1.jpg","Ver imagen")</f>
        <v/>
      </c>
      <c r="P3309">
        <f>HYPERLINK("imagenes/NAUTICA_MENS_V520363_BGI_2.jpg","Ver imagen")</f>
        <v/>
      </c>
      <c r="Q3309">
        <f>HYPERLINK("imagenes/NAUTICA_MENS_V520363_BGI_3.jpg","Ver imagen")</f>
        <v/>
      </c>
    </row>
    <row r="3310">
      <c r="A3310" t="inlineStr">
        <is>
          <t>NAUTICA MENS</t>
        </is>
      </c>
      <c r="B3310" t="inlineStr">
        <is>
          <t>V620185K</t>
        </is>
      </c>
      <c r="C3310" t="inlineStr">
        <is>
          <t>POLY RAIN COAT</t>
        </is>
      </c>
      <c r="D3310" t="inlineStr">
        <is>
          <t>BLK</t>
        </is>
      </c>
      <c r="E3310" t="inlineStr">
        <is>
          <t>(en blanco)</t>
        </is>
      </c>
      <c r="F3310" t="inlineStr">
        <is>
          <t>(en blanco)</t>
        </is>
      </c>
      <c r="G3310" t="inlineStr">
        <is>
          <t>XL</t>
        </is>
      </c>
      <c r="H3310" t="n">
        <v>1</v>
      </c>
      <c r="I3310" t="inlineStr">
        <is>
          <t>NAUTICA_MENS_V620185K_BLK_1.jpg</t>
        </is>
      </c>
      <c r="J3310" t="inlineStr">
        <is>
          <t>NAUTICA_MENS_V620185K_BLK_2.jpg</t>
        </is>
      </c>
      <c r="K3310" t="inlineStr">
        <is>
          <t>NAUTICA_MENS_V620185K_BLK_3.jpg</t>
        </is>
      </c>
      <c r="L3310">
        <f>IMAGE("file:///E:/Estudios%20y%20certificaciones/ESTUDIOS%20DE%20PROGRAMMING/PROGRAMMING/PERSONAL/PYTHON/Image_Generator_API/imagenes/NAUTICA_MENS_V620185K_BLK_1.jpg")</f>
        <v/>
      </c>
      <c r="M3310">
        <f>IMAGE("file:///E:/Estudios%20y%20certificaciones/ESTUDIOS%20DE%20PROGRAMMING/PROGRAMMING/PERSONAL/PYTHON/Image_Generator_API/imagenes/NAUTICA_MENS_V620185K_BLK_2.jpg")</f>
        <v/>
      </c>
      <c r="N3310">
        <f>IMAGE("file:///E:/Estudios%20y%20certificaciones/ESTUDIOS%20DE%20PROGRAMMING/PROGRAMMING/PERSONAL/PYTHON/Image_Generator_API/imagenes/NAUTICA_MENS_V620185K_BLK_3.jpg")</f>
        <v/>
      </c>
      <c r="O3310">
        <f>HYPERLINK("imagenes/NAUTICA_MENS_V620185K_BLK_1.jpg","Ver imagen")</f>
        <v/>
      </c>
      <c r="P3310">
        <f>HYPERLINK("imagenes/NAUTICA_MENS_V620185K_BLK_2.jpg","Ver imagen")</f>
        <v/>
      </c>
      <c r="Q3310">
        <f>HYPERLINK("imagenes/NAUTICA_MENS_V620185K_BLK_3.jpg","Ver imagen")</f>
        <v/>
      </c>
    </row>
    <row r="3311">
      <c r="A3311" t="inlineStr">
        <is>
          <t>NAUTICA MENS</t>
        </is>
      </c>
      <c r="B3311" t="inlineStr">
        <is>
          <t>V620185K</t>
        </is>
      </c>
      <c r="C3311" t="inlineStr">
        <is>
          <t>POLY RAIN COAT</t>
        </is>
      </c>
      <c r="D3311" t="inlineStr">
        <is>
          <t>BLK</t>
        </is>
      </c>
      <c r="E3311" t="inlineStr">
        <is>
          <t>(en blanco)</t>
        </is>
      </c>
      <c r="F3311" t="inlineStr">
        <is>
          <t>(en blanco)</t>
        </is>
      </c>
      <c r="G3311" t="inlineStr">
        <is>
          <t>XXL</t>
        </is>
      </c>
      <c r="H3311" t="n">
        <v>4</v>
      </c>
      <c r="I3311" t="inlineStr">
        <is>
          <t>NAUTICA_MENS_V620185K_BLK_1.jpg</t>
        </is>
      </c>
      <c r="J3311" t="inlineStr">
        <is>
          <t>NAUTICA_MENS_V620185K_BLK_2.jpg</t>
        </is>
      </c>
      <c r="K3311" t="inlineStr">
        <is>
          <t>NAUTICA_MENS_V620185K_BLK_3.jpg</t>
        </is>
      </c>
      <c r="L3311">
        <f>IMAGE("file:///E:/Estudios%20y%20certificaciones/ESTUDIOS%20DE%20PROGRAMMING/PROGRAMMING/PERSONAL/PYTHON/Image_Generator_API/imagenes/NAUTICA_MENS_V620185K_BLK_1.jpg")</f>
        <v/>
      </c>
      <c r="M3311">
        <f>IMAGE("file:///E:/Estudios%20y%20certificaciones/ESTUDIOS%20DE%20PROGRAMMING/PROGRAMMING/PERSONAL/PYTHON/Image_Generator_API/imagenes/NAUTICA_MENS_V620185K_BLK_2.jpg")</f>
        <v/>
      </c>
      <c r="N3311">
        <f>IMAGE("file:///E:/Estudios%20y%20certificaciones/ESTUDIOS%20DE%20PROGRAMMING/PROGRAMMING/PERSONAL/PYTHON/Image_Generator_API/imagenes/NAUTICA_MENS_V620185K_BLK_3.jpg")</f>
        <v/>
      </c>
      <c r="O3311">
        <f>HYPERLINK("imagenes/NAUTICA_MENS_V620185K_BLK_1.jpg","Ver imagen")</f>
        <v/>
      </c>
      <c r="P3311">
        <f>HYPERLINK("imagenes/NAUTICA_MENS_V620185K_BLK_2.jpg","Ver imagen")</f>
        <v/>
      </c>
      <c r="Q3311">
        <f>HYPERLINK("imagenes/NAUTICA_MENS_V620185K_BLK_3.jpg","Ver imagen")</f>
        <v/>
      </c>
    </row>
    <row r="3312">
      <c r="A3312" t="inlineStr">
        <is>
          <t>NAUTICA MENS</t>
        </is>
      </c>
      <c r="B3312" t="inlineStr">
        <is>
          <t>V620364A</t>
        </is>
      </c>
      <c r="C3312" t="inlineStr">
        <is>
          <t>POLY HOODED PUFFER</t>
        </is>
      </c>
      <c r="D3312" t="inlineStr">
        <is>
          <t>RED</t>
        </is>
      </c>
      <c r="E3312" t="inlineStr">
        <is>
          <t>(en blanco)</t>
        </is>
      </c>
      <c r="F3312" t="inlineStr">
        <is>
          <t>(en blanco)</t>
        </is>
      </c>
      <c r="G3312" t="inlineStr">
        <is>
          <t>XXL</t>
        </is>
      </c>
      <c r="H3312" t="n">
        <v>1</v>
      </c>
      <c r="I3312" t="inlineStr">
        <is>
          <t>NAUTICA_MENS_V620364A_RED_1.jpg</t>
        </is>
      </c>
      <c r="J3312" t="inlineStr">
        <is>
          <t>NAUTICA_MENS_V620364A_RED_2.jpg</t>
        </is>
      </c>
      <c r="K3312" t="inlineStr">
        <is>
          <t>NAUTICA_MENS_V620364A_RED_3.jpg</t>
        </is>
      </c>
      <c r="L3312">
        <f>IMAGE("file:///E:/Estudios%20y%20certificaciones/ESTUDIOS%20DE%20PROGRAMMING/PROGRAMMING/PERSONAL/PYTHON/Image_Generator_API/imagenes/NAUTICA_MENS_V620364A_RED_1.jpg")</f>
        <v/>
      </c>
      <c r="M3312">
        <f>IMAGE("file:///E:/Estudios%20y%20certificaciones/ESTUDIOS%20DE%20PROGRAMMING/PROGRAMMING/PERSONAL/PYTHON/Image_Generator_API/imagenes/NAUTICA_MENS_V620364A_RED_2.jpg")</f>
        <v/>
      </c>
      <c r="N3312">
        <f>IMAGE("file:///E:/Estudios%20y%20certificaciones/ESTUDIOS%20DE%20PROGRAMMING/PROGRAMMING/PERSONAL/PYTHON/Image_Generator_API/imagenes/NAUTICA_MENS_V620364A_RED_3.jpg")</f>
        <v/>
      </c>
      <c r="O3312">
        <f>HYPERLINK("imagenes/NAUTICA_MENS_V620364A_RED_1.jpg","Ver imagen")</f>
        <v/>
      </c>
      <c r="P3312">
        <f>HYPERLINK("imagenes/NAUTICA_MENS_V620364A_RED_2.jpg","Ver imagen")</f>
        <v/>
      </c>
      <c r="Q3312">
        <f>HYPERLINK("imagenes/NAUTICA_MENS_V620364A_RED_3.jpg","Ver imagen")</f>
        <v/>
      </c>
    </row>
    <row r="3313">
      <c r="A3313" t="inlineStr">
        <is>
          <t>NAUTICA MENS</t>
        </is>
      </c>
      <c r="B3313" t="inlineStr">
        <is>
          <t>V621645</t>
        </is>
      </c>
      <c r="C3313" t="inlineStr">
        <is>
          <t>HOODED QUILTED PUFFR</t>
        </is>
      </c>
      <c r="D3313" t="inlineStr">
        <is>
          <t>NVY</t>
        </is>
      </c>
      <c r="E3313" t="inlineStr">
        <is>
          <t>(en blanco)</t>
        </is>
      </c>
      <c r="F3313" t="inlineStr">
        <is>
          <t>(en blanco)</t>
        </is>
      </c>
      <c r="G3313" t="inlineStr">
        <is>
          <t>S</t>
        </is>
      </c>
      <c r="H3313" t="n">
        <v>1</v>
      </c>
      <c r="I3313" t="inlineStr">
        <is>
          <t>NAUTICA_MENS_V621645_NVY_1.jpg</t>
        </is>
      </c>
      <c r="J3313" t="inlineStr">
        <is>
          <t>NAUTICA_MENS_V621645_NVY_2.jpg</t>
        </is>
      </c>
      <c r="K3313" t="inlineStr">
        <is>
          <t>NAUTICA_MENS_V621645_NVY_3.jpg</t>
        </is>
      </c>
      <c r="L3313">
        <f>IMAGE("file:///E:/Estudios%20y%20certificaciones/ESTUDIOS%20DE%20PROGRAMMING/PROGRAMMING/PERSONAL/PYTHON/Image_Generator_API/imagenes/NAUTICA_MENS_V621645_NVY_1.jpg")</f>
        <v/>
      </c>
      <c r="M3313">
        <f>IMAGE("file:///E:/Estudios%20y%20certificaciones/ESTUDIOS%20DE%20PROGRAMMING/PROGRAMMING/PERSONAL/PYTHON/Image_Generator_API/imagenes/NAUTICA_MENS_V621645_NVY_2.jpg")</f>
        <v/>
      </c>
      <c r="N3313">
        <f>IMAGE("file:///E:/Estudios%20y%20certificaciones/ESTUDIOS%20DE%20PROGRAMMING/PROGRAMMING/PERSONAL/PYTHON/Image_Generator_API/imagenes/NAUTICA_MENS_V621645_NVY_3.jpg")</f>
        <v/>
      </c>
      <c r="O3313">
        <f>HYPERLINK("imagenes/NAUTICA_MENS_V621645_NVY_1.jpg","Ver imagen")</f>
        <v/>
      </c>
      <c r="P3313">
        <f>HYPERLINK("imagenes/NAUTICA_MENS_V621645_NVY_2.jpg","Ver imagen")</f>
        <v/>
      </c>
      <c r="Q3313">
        <f>HYPERLINK("imagenes/NAUTICA_MENS_V621645_NVY_3.jpg","Ver imagen")</f>
        <v/>
      </c>
    </row>
    <row r="3314">
      <c r="A3314" t="inlineStr">
        <is>
          <t>NAUTICA MENS</t>
        </is>
      </c>
      <c r="B3314" t="inlineStr">
        <is>
          <t>V621645</t>
        </is>
      </c>
      <c r="C3314" t="inlineStr">
        <is>
          <t>HOODED QUILTED PUFFR</t>
        </is>
      </c>
      <c r="D3314" t="inlineStr">
        <is>
          <t>OTR</t>
        </is>
      </c>
      <c r="E3314" t="inlineStr">
        <is>
          <t>(en blanco)</t>
        </is>
      </c>
      <c r="F3314" t="inlineStr">
        <is>
          <t>(en blanco)</t>
        </is>
      </c>
      <c r="G3314" t="inlineStr">
        <is>
          <t>L</t>
        </is>
      </c>
      <c r="H3314" t="n">
        <v>1</v>
      </c>
      <c r="I3314" t="inlineStr">
        <is>
          <t>NAUTICA_MENS_V621645_OTR_1.jpg</t>
        </is>
      </c>
      <c r="J3314" t="inlineStr">
        <is>
          <t>NAUTICA_MENS_V621645_OTR_2.jpg</t>
        </is>
      </c>
      <c r="K3314" t="inlineStr">
        <is>
          <t>NAUTICA_MENS_V621645_OTR_3.jpg</t>
        </is>
      </c>
      <c r="L3314">
        <f>IMAGE("file:///E:/Estudios%20y%20certificaciones/ESTUDIOS%20DE%20PROGRAMMING/PROGRAMMING/PERSONAL/PYTHON/Image_Generator_API/imagenes/NAUTICA_MENS_V621645_OTR_1.jpg")</f>
        <v/>
      </c>
      <c r="M3314">
        <f>IMAGE("file:///E:/Estudios%20y%20certificaciones/ESTUDIOS%20DE%20PROGRAMMING/PROGRAMMING/PERSONAL/PYTHON/Image_Generator_API/imagenes/NAUTICA_MENS_V621645_OTR_2.jpg")</f>
        <v/>
      </c>
      <c r="N3314">
        <f>IMAGE("file:///E:/Estudios%20y%20certificaciones/ESTUDIOS%20DE%20PROGRAMMING/PROGRAMMING/PERSONAL/PYTHON/Image_Generator_API/imagenes/NAUTICA_MENS_V621645_OTR_3.jpg")</f>
        <v/>
      </c>
      <c r="O3314">
        <f>HYPERLINK("imagenes/NAUTICA_MENS_V621645_OTR_1.jpg","Ver imagen")</f>
        <v/>
      </c>
      <c r="P3314">
        <f>HYPERLINK("imagenes/NAUTICA_MENS_V621645_OTR_2.jpg","Ver imagen")</f>
        <v/>
      </c>
      <c r="Q3314">
        <f>HYPERLINK("imagenes/NAUTICA_MENS_V621645_OTR_3.jpg","Ver imagen")</f>
        <v/>
      </c>
    </row>
    <row r="3315">
      <c r="A3315" t="inlineStr">
        <is>
          <t>NAUTICA MENS</t>
        </is>
      </c>
      <c r="B3315" t="inlineStr">
        <is>
          <t>V621647</t>
        </is>
      </c>
      <c r="C3315" t="inlineStr">
        <is>
          <t>EL FUEGO</t>
        </is>
      </c>
      <c r="D3315" t="inlineStr">
        <is>
          <t>B1B</t>
        </is>
      </c>
      <c r="E3315" t="inlineStr">
        <is>
          <t>(en blanco)</t>
        </is>
      </c>
      <c r="F3315" t="inlineStr">
        <is>
          <t>(en blanco)</t>
        </is>
      </c>
      <c r="G3315" t="inlineStr">
        <is>
          <t>L</t>
        </is>
      </c>
      <c r="H3315" t="n">
        <v>1</v>
      </c>
      <c r="I3315" t="inlineStr">
        <is>
          <t>NAUTICA_MENS_V621647_B1B_1.jpg</t>
        </is>
      </c>
      <c r="J3315" t="inlineStr">
        <is>
          <t>NAUTICA_MENS_V621647_B1B_2.jpg</t>
        </is>
      </c>
      <c r="K3315" t="inlineStr">
        <is>
          <t>NAUTICA_MENS_V621647_B1B_3.jpg</t>
        </is>
      </c>
      <c r="L3315">
        <f>IMAGE("file:///E:/Estudios%20y%20certificaciones/ESTUDIOS%20DE%20PROGRAMMING/PROGRAMMING/PERSONAL/PYTHON/Image_Generator_API/imagenes/NAUTICA_MENS_V621647_B1B_1.jpg")</f>
        <v/>
      </c>
      <c r="M3315">
        <f>IMAGE("file:///E:/Estudios%20y%20certificaciones/ESTUDIOS%20DE%20PROGRAMMING/PROGRAMMING/PERSONAL/PYTHON/Image_Generator_API/imagenes/NAUTICA_MENS_V621647_B1B_2.jpg")</f>
        <v/>
      </c>
      <c r="N3315">
        <f>IMAGE("file:///E:/Estudios%20y%20certificaciones/ESTUDIOS%20DE%20PROGRAMMING/PROGRAMMING/PERSONAL/PYTHON/Image_Generator_API/imagenes/NAUTICA_MENS_V621647_B1B_3.jpg")</f>
        <v/>
      </c>
      <c r="O3315">
        <f>HYPERLINK("imagenes/NAUTICA_MENS_V621647_B1B_1.jpg","Ver imagen")</f>
        <v/>
      </c>
      <c r="P3315">
        <f>HYPERLINK("imagenes/NAUTICA_MENS_V621647_B1B_2.jpg","Ver imagen")</f>
        <v/>
      </c>
      <c r="Q3315">
        <f>HYPERLINK("imagenes/NAUTICA_MENS_V621647_B1B_3.jpg","Ver imagen")</f>
        <v/>
      </c>
    </row>
    <row r="3316">
      <c r="A3316" t="inlineStr">
        <is>
          <t>NAUTICA MENS</t>
        </is>
      </c>
      <c r="B3316" t="inlineStr">
        <is>
          <t>V621647</t>
        </is>
      </c>
      <c r="C3316" t="inlineStr">
        <is>
          <t>EL FUEGO</t>
        </is>
      </c>
      <c r="D3316" t="inlineStr">
        <is>
          <t>BLK</t>
        </is>
      </c>
      <c r="E3316" t="inlineStr">
        <is>
          <t>(en blanco)</t>
        </is>
      </c>
      <c r="F3316" t="inlineStr">
        <is>
          <t>(en blanco)</t>
        </is>
      </c>
      <c r="G3316" t="inlineStr">
        <is>
          <t>M</t>
        </is>
      </c>
      <c r="H3316" t="n">
        <v>1</v>
      </c>
      <c r="I3316" t="inlineStr">
        <is>
          <t>NAUTICA_MENS_V621647_BLK_1.jpg</t>
        </is>
      </c>
      <c r="J3316" t="inlineStr">
        <is>
          <t>NAUTICA_MENS_V621647_BLK_2.jpg</t>
        </is>
      </c>
      <c r="K3316" t="inlineStr">
        <is>
          <t>NAUTICA_MENS_V621647_BLK_3.jpg</t>
        </is>
      </c>
      <c r="L3316">
        <f>IMAGE("file:///E:/Estudios%20y%20certificaciones/ESTUDIOS%20DE%20PROGRAMMING/PROGRAMMING/PERSONAL/PYTHON/Image_Generator_API/imagenes/NAUTICA_MENS_V621647_BLK_1.jpg")</f>
        <v/>
      </c>
      <c r="M3316">
        <f>IMAGE("file:///E:/Estudios%20y%20certificaciones/ESTUDIOS%20DE%20PROGRAMMING/PROGRAMMING/PERSONAL/PYTHON/Image_Generator_API/imagenes/NAUTICA_MENS_V621647_BLK_2.jpg")</f>
        <v/>
      </c>
      <c r="N3316">
        <f>IMAGE("file:///E:/Estudios%20y%20certificaciones/ESTUDIOS%20DE%20PROGRAMMING/PROGRAMMING/PERSONAL/PYTHON/Image_Generator_API/imagenes/NAUTICA_MENS_V621647_BLK_3.jpg")</f>
        <v/>
      </c>
      <c r="O3316">
        <f>HYPERLINK("imagenes/NAUTICA_MENS_V621647_BLK_1.jpg","Ver imagen")</f>
        <v/>
      </c>
      <c r="P3316">
        <f>HYPERLINK("imagenes/NAUTICA_MENS_V621647_BLK_2.jpg","Ver imagen")</f>
        <v/>
      </c>
      <c r="Q3316">
        <f>HYPERLINK("imagenes/NAUTICA_MENS_V621647_BLK_3.jpg","Ver imagen")</f>
        <v/>
      </c>
    </row>
    <row r="3317">
      <c r="A3317" t="inlineStr">
        <is>
          <t>NAUTICA MENS</t>
        </is>
      </c>
      <c r="B3317" t="inlineStr">
        <is>
          <t>V621647</t>
        </is>
      </c>
      <c r="C3317" t="inlineStr">
        <is>
          <t>EL FUEGO</t>
        </is>
      </c>
      <c r="D3317" t="inlineStr">
        <is>
          <t>BLK</t>
        </is>
      </c>
      <c r="E3317" t="inlineStr">
        <is>
          <t>(en blanco)</t>
        </is>
      </c>
      <c r="F3317" t="inlineStr">
        <is>
          <t>(en blanco)</t>
        </is>
      </c>
      <c r="G3317" t="inlineStr">
        <is>
          <t>L</t>
        </is>
      </c>
      <c r="H3317" t="n">
        <v>1</v>
      </c>
      <c r="I3317" t="inlineStr">
        <is>
          <t>NAUTICA_MENS_V621647_BLK_1.jpg</t>
        </is>
      </c>
      <c r="J3317" t="inlineStr">
        <is>
          <t>NAUTICA_MENS_V621647_BLK_2.jpg</t>
        </is>
      </c>
      <c r="K3317" t="inlineStr">
        <is>
          <t>NAUTICA_MENS_V621647_BLK_3.jpg</t>
        </is>
      </c>
      <c r="L3317">
        <f>IMAGE("file:///E:/Estudios%20y%20certificaciones/ESTUDIOS%20DE%20PROGRAMMING/PROGRAMMING/PERSONAL/PYTHON/Image_Generator_API/imagenes/NAUTICA_MENS_V621647_BLK_1.jpg")</f>
        <v/>
      </c>
      <c r="M3317">
        <f>IMAGE("file:///E:/Estudios%20y%20certificaciones/ESTUDIOS%20DE%20PROGRAMMING/PROGRAMMING/PERSONAL/PYTHON/Image_Generator_API/imagenes/NAUTICA_MENS_V621647_BLK_2.jpg")</f>
        <v/>
      </c>
      <c r="N3317">
        <f>IMAGE("file:///E:/Estudios%20y%20certificaciones/ESTUDIOS%20DE%20PROGRAMMING/PROGRAMMING/PERSONAL/PYTHON/Image_Generator_API/imagenes/NAUTICA_MENS_V621647_BLK_3.jpg")</f>
        <v/>
      </c>
      <c r="O3317">
        <f>HYPERLINK("imagenes/NAUTICA_MENS_V621647_BLK_1.jpg","Ver imagen")</f>
        <v/>
      </c>
      <c r="P3317">
        <f>HYPERLINK("imagenes/NAUTICA_MENS_V621647_BLK_2.jpg","Ver imagen")</f>
        <v/>
      </c>
      <c r="Q3317">
        <f>HYPERLINK("imagenes/NAUTICA_MENS_V621647_BLK_3.jpg","Ver imagen")</f>
        <v/>
      </c>
    </row>
    <row r="3318">
      <c r="A3318" t="inlineStr">
        <is>
          <t>NAUTICA MENS</t>
        </is>
      </c>
      <c r="B3318" t="inlineStr">
        <is>
          <t>V621647</t>
        </is>
      </c>
      <c r="C3318" t="inlineStr">
        <is>
          <t>EL FUEGO</t>
        </is>
      </c>
      <c r="D3318" t="inlineStr">
        <is>
          <t>CO8</t>
        </is>
      </c>
      <c r="E3318" t="inlineStr">
        <is>
          <t>(en blanco)</t>
        </is>
      </c>
      <c r="F3318" t="inlineStr">
        <is>
          <t>(en blanco)</t>
        </is>
      </c>
      <c r="G3318" t="inlineStr">
        <is>
          <t>XL</t>
        </is>
      </c>
      <c r="H3318" t="n">
        <v>2</v>
      </c>
      <c r="I3318" t="inlineStr">
        <is>
          <t>NAUTICA_MENS_V621647_CO8_1.jpg</t>
        </is>
      </c>
      <c r="J3318" t="inlineStr">
        <is>
          <t>NAUTICA_MENS_V621647_CO8_2.jpg</t>
        </is>
      </c>
      <c r="K3318" t="inlineStr">
        <is>
          <t>NAUTICA_MENS_V621647_CO8_3.jpg</t>
        </is>
      </c>
      <c r="L3318">
        <f>IMAGE("file:///E:/Estudios%20y%20certificaciones/ESTUDIOS%20DE%20PROGRAMMING/PROGRAMMING/PERSONAL/PYTHON/Image_Generator_API/imagenes/NAUTICA_MENS_V621647_CO8_1.jpg")</f>
        <v/>
      </c>
      <c r="M3318">
        <f>IMAGE("file:///E:/Estudios%20y%20certificaciones/ESTUDIOS%20DE%20PROGRAMMING/PROGRAMMING/PERSONAL/PYTHON/Image_Generator_API/imagenes/NAUTICA_MENS_V621647_CO8_2.jpg")</f>
        <v/>
      </c>
      <c r="N3318">
        <f>IMAGE("file:///E:/Estudios%20y%20certificaciones/ESTUDIOS%20DE%20PROGRAMMING/PROGRAMMING/PERSONAL/PYTHON/Image_Generator_API/imagenes/NAUTICA_MENS_V621647_CO8_3.jpg")</f>
        <v/>
      </c>
      <c r="O3318">
        <f>HYPERLINK("imagenes/NAUTICA_MENS_V621647_CO8_1.jpg","Ver imagen")</f>
        <v/>
      </c>
      <c r="P3318">
        <f>HYPERLINK("imagenes/NAUTICA_MENS_V621647_CO8_2.jpg","Ver imagen")</f>
        <v/>
      </c>
      <c r="Q3318">
        <f>HYPERLINK("imagenes/NAUTICA_MENS_V621647_CO8_3.jpg","Ver imagen")</f>
        <v/>
      </c>
    </row>
    <row r="3319">
      <c r="A3319" t="inlineStr">
        <is>
          <t>NAUTICA MENS</t>
        </is>
      </c>
      <c r="B3319" t="inlineStr">
        <is>
          <t>V621647</t>
        </is>
      </c>
      <c r="C3319" t="inlineStr">
        <is>
          <t>EL FUEGO</t>
        </is>
      </c>
      <c r="D3319" t="inlineStr">
        <is>
          <t>NVY</t>
        </is>
      </c>
      <c r="E3319" t="inlineStr">
        <is>
          <t>(en blanco)</t>
        </is>
      </c>
      <c r="F3319" t="inlineStr">
        <is>
          <t>(en blanco)</t>
        </is>
      </c>
      <c r="G3319" t="inlineStr">
        <is>
          <t>L</t>
        </is>
      </c>
      <c r="H3319" t="n">
        <v>1</v>
      </c>
      <c r="I3319" t="inlineStr">
        <is>
          <t>NAUTICA_MENS_V621647_NVY_1.jpg</t>
        </is>
      </c>
      <c r="J3319" t="inlineStr">
        <is>
          <t>NAUTICA_MENS_V621647_NVY_2.jpg</t>
        </is>
      </c>
      <c r="K3319" t="inlineStr">
        <is>
          <t>NAUTICA_MENS_V621647_NVY_3.jpg</t>
        </is>
      </c>
      <c r="L3319">
        <f>IMAGE("file:///E:/Estudios%20y%20certificaciones/ESTUDIOS%20DE%20PROGRAMMING/PROGRAMMING/PERSONAL/PYTHON/Image_Generator_API/imagenes/NAUTICA_MENS_V621647_NVY_1.jpg")</f>
        <v/>
      </c>
      <c r="M3319">
        <f>IMAGE("file:///E:/Estudios%20y%20certificaciones/ESTUDIOS%20DE%20PROGRAMMING/PROGRAMMING/PERSONAL/PYTHON/Image_Generator_API/imagenes/NAUTICA_MENS_V621647_NVY_2.jpg")</f>
        <v/>
      </c>
      <c r="N3319">
        <f>IMAGE("file:///E:/Estudios%20y%20certificaciones/ESTUDIOS%20DE%20PROGRAMMING/PROGRAMMING/PERSONAL/PYTHON/Image_Generator_API/imagenes/NAUTICA_MENS_V621647_NVY_3.jpg")</f>
        <v/>
      </c>
      <c r="O3319">
        <f>HYPERLINK("imagenes/NAUTICA_MENS_V621647_NVY_1.jpg","Ver imagen")</f>
        <v/>
      </c>
      <c r="P3319">
        <f>HYPERLINK("imagenes/NAUTICA_MENS_V621647_NVY_2.jpg","Ver imagen")</f>
        <v/>
      </c>
      <c r="Q3319">
        <f>HYPERLINK("imagenes/NAUTICA_MENS_V621647_NVY_3.jpg","Ver imagen")</f>
        <v/>
      </c>
    </row>
    <row r="3320">
      <c r="A3320" t="inlineStr">
        <is>
          <t>NAUTICA MENS</t>
        </is>
      </c>
      <c r="B3320" t="inlineStr">
        <is>
          <t>V621647</t>
        </is>
      </c>
      <c r="C3320" t="inlineStr">
        <is>
          <t>EL FUEGO</t>
        </is>
      </c>
      <c r="D3320" t="inlineStr">
        <is>
          <t>NVY</t>
        </is>
      </c>
      <c r="E3320" t="inlineStr">
        <is>
          <t>(en blanco)</t>
        </is>
      </c>
      <c r="F3320" t="inlineStr">
        <is>
          <t>(en blanco)</t>
        </is>
      </c>
      <c r="G3320" t="inlineStr">
        <is>
          <t>XL</t>
        </is>
      </c>
      <c r="H3320" t="n">
        <v>1</v>
      </c>
      <c r="I3320" t="inlineStr">
        <is>
          <t>NAUTICA_MENS_V621647_NVY_1.jpg</t>
        </is>
      </c>
      <c r="J3320" t="inlineStr">
        <is>
          <t>NAUTICA_MENS_V621647_NVY_2.jpg</t>
        </is>
      </c>
      <c r="K3320" t="inlineStr">
        <is>
          <t>NAUTICA_MENS_V621647_NVY_3.jpg</t>
        </is>
      </c>
      <c r="L3320">
        <f>IMAGE("file:///E:/Estudios%20y%20certificaciones/ESTUDIOS%20DE%20PROGRAMMING/PROGRAMMING/PERSONAL/PYTHON/Image_Generator_API/imagenes/NAUTICA_MENS_V621647_NVY_1.jpg")</f>
        <v/>
      </c>
      <c r="M3320">
        <f>IMAGE("file:///E:/Estudios%20y%20certificaciones/ESTUDIOS%20DE%20PROGRAMMING/PROGRAMMING/PERSONAL/PYTHON/Image_Generator_API/imagenes/NAUTICA_MENS_V621647_NVY_2.jpg")</f>
        <v/>
      </c>
      <c r="N3320">
        <f>IMAGE("file:///E:/Estudios%20y%20certificaciones/ESTUDIOS%20DE%20PROGRAMMING/PROGRAMMING/PERSONAL/PYTHON/Image_Generator_API/imagenes/NAUTICA_MENS_V621647_NVY_3.jpg")</f>
        <v/>
      </c>
      <c r="O3320">
        <f>HYPERLINK("imagenes/NAUTICA_MENS_V621647_NVY_1.jpg","Ver imagen")</f>
        <v/>
      </c>
      <c r="P3320">
        <f>HYPERLINK("imagenes/NAUTICA_MENS_V621647_NVY_2.jpg","Ver imagen")</f>
        <v/>
      </c>
      <c r="Q3320">
        <f>HYPERLINK("imagenes/NAUTICA_MENS_V621647_NVY_3.jpg","Ver imagen")</f>
        <v/>
      </c>
    </row>
    <row r="3321">
      <c r="A3321" t="inlineStr">
        <is>
          <t>NAUTICA MENS</t>
        </is>
      </c>
      <c r="B3321" t="inlineStr">
        <is>
          <t>V621647</t>
        </is>
      </c>
      <c r="C3321" t="inlineStr">
        <is>
          <t>EL FUEGO</t>
        </is>
      </c>
      <c r="D3321" t="inlineStr">
        <is>
          <t>NVY</t>
        </is>
      </c>
      <c r="E3321" t="inlineStr">
        <is>
          <t>(en blanco)</t>
        </is>
      </c>
      <c r="F3321" t="inlineStr">
        <is>
          <t>(en blanco)</t>
        </is>
      </c>
      <c r="G3321" t="inlineStr">
        <is>
          <t>XXL</t>
        </is>
      </c>
      <c r="H3321" t="n">
        <v>4</v>
      </c>
      <c r="I3321" t="inlineStr">
        <is>
          <t>NAUTICA_MENS_V621647_NVY_1.jpg</t>
        </is>
      </c>
      <c r="J3321" t="inlineStr">
        <is>
          <t>NAUTICA_MENS_V621647_NVY_2.jpg</t>
        </is>
      </c>
      <c r="K3321" t="inlineStr">
        <is>
          <t>NAUTICA_MENS_V621647_NVY_3.jpg</t>
        </is>
      </c>
      <c r="L3321">
        <f>IMAGE("file:///E:/Estudios%20y%20certificaciones/ESTUDIOS%20DE%20PROGRAMMING/PROGRAMMING/PERSONAL/PYTHON/Image_Generator_API/imagenes/NAUTICA_MENS_V621647_NVY_1.jpg")</f>
        <v/>
      </c>
      <c r="M3321">
        <f>IMAGE("file:///E:/Estudios%20y%20certificaciones/ESTUDIOS%20DE%20PROGRAMMING/PROGRAMMING/PERSONAL/PYTHON/Image_Generator_API/imagenes/NAUTICA_MENS_V621647_NVY_2.jpg")</f>
        <v/>
      </c>
      <c r="N3321">
        <f>IMAGE("file:///E:/Estudios%20y%20certificaciones/ESTUDIOS%20DE%20PROGRAMMING/PROGRAMMING/PERSONAL/PYTHON/Image_Generator_API/imagenes/NAUTICA_MENS_V621647_NVY_3.jpg")</f>
        <v/>
      </c>
      <c r="O3321">
        <f>HYPERLINK("imagenes/NAUTICA_MENS_V621647_NVY_1.jpg","Ver imagen")</f>
        <v/>
      </c>
      <c r="P3321">
        <f>HYPERLINK("imagenes/NAUTICA_MENS_V621647_NVY_2.jpg","Ver imagen")</f>
        <v/>
      </c>
      <c r="Q3321">
        <f>HYPERLINK("imagenes/NAUTICA_MENS_V621647_NVY_3.jpg","Ver imagen")</f>
        <v/>
      </c>
    </row>
    <row r="3322">
      <c r="A3322" t="inlineStr">
        <is>
          <t>NAUTICA MENS</t>
        </is>
      </c>
      <c r="B3322" t="inlineStr">
        <is>
          <t>V621815B</t>
        </is>
      </c>
      <c r="C3322" t="inlineStr">
        <is>
          <t>POLY HOODED PARKA</t>
        </is>
      </c>
      <c r="D3322" t="inlineStr">
        <is>
          <t>BLK</t>
        </is>
      </c>
      <c r="E3322" t="inlineStr">
        <is>
          <t>(en blanco)</t>
        </is>
      </c>
      <c r="F3322" t="inlineStr">
        <is>
          <t>(en blanco)</t>
        </is>
      </c>
      <c r="G3322" t="inlineStr">
        <is>
          <t>M</t>
        </is>
      </c>
      <c r="H3322" t="n">
        <v>1</v>
      </c>
      <c r="I3322" t="inlineStr">
        <is>
          <t>NAUTICA_MENS_V621815B_BLK_2.jpg</t>
        </is>
      </c>
      <c r="J3322" t="inlineStr">
        <is>
          <t>NAUTICA_MENS_V621815B_BLK_3.jpg</t>
        </is>
      </c>
      <c r="L3322">
        <f>IMAGE("file:///E:/Estudios%20y%20certificaciones/ESTUDIOS%20DE%20PROGRAMMING/PROGRAMMING/PERSONAL/PYTHON/Image_Generator_API/imagenes/NAUTICA_MENS_V621815B_BLK_2.jpg")</f>
        <v/>
      </c>
      <c r="M3322">
        <f>IMAGE("file:///E:/Estudios%20y%20certificaciones/ESTUDIOS%20DE%20PROGRAMMING/PROGRAMMING/PERSONAL/PYTHON/Image_Generator_API/imagenes/NAUTICA_MENS_V621815B_BLK_3.jpg")</f>
        <v/>
      </c>
      <c r="O3322">
        <f>HYPERLINK("imagenes/NAUTICA_MENS_V621815B_BLK_2.jpg","Ver imagen")</f>
        <v/>
      </c>
      <c r="P3322">
        <f>HYPERLINK("imagenes/NAUTICA_MENS_V621815B_BLK_3.jpg","Ver imagen")</f>
        <v/>
      </c>
    </row>
    <row r="3323">
      <c r="A3323" t="inlineStr">
        <is>
          <t>NAUTICA MENS</t>
        </is>
      </c>
      <c r="B3323" t="inlineStr">
        <is>
          <t>V621815B</t>
        </is>
      </c>
      <c r="C3323" t="inlineStr">
        <is>
          <t>POLY HOODED PARKA</t>
        </is>
      </c>
      <c r="D3323" t="inlineStr">
        <is>
          <t>BLK</t>
        </is>
      </c>
      <c r="E3323" t="inlineStr">
        <is>
          <t>(en blanco)</t>
        </is>
      </c>
      <c r="F3323" t="inlineStr">
        <is>
          <t>(en blanco)</t>
        </is>
      </c>
      <c r="G3323" t="inlineStr">
        <is>
          <t>XL</t>
        </is>
      </c>
      <c r="H3323" t="n">
        <v>1</v>
      </c>
      <c r="I3323" t="inlineStr">
        <is>
          <t>NAUTICA_MENS_V621815B_BLK_2.jpg</t>
        </is>
      </c>
      <c r="J3323" t="inlineStr">
        <is>
          <t>NAUTICA_MENS_V621815B_BLK_3.jpg</t>
        </is>
      </c>
      <c r="L3323">
        <f>IMAGE("file:///E:/Estudios%20y%20certificaciones/ESTUDIOS%20DE%20PROGRAMMING/PROGRAMMING/PERSONAL/PYTHON/Image_Generator_API/imagenes/NAUTICA_MENS_V621815B_BLK_2.jpg")</f>
        <v/>
      </c>
      <c r="M3323">
        <f>IMAGE("file:///E:/Estudios%20y%20certificaciones/ESTUDIOS%20DE%20PROGRAMMING/PROGRAMMING/PERSONAL/PYTHON/Image_Generator_API/imagenes/NAUTICA_MENS_V621815B_BLK_3.jpg")</f>
        <v/>
      </c>
      <c r="O3323">
        <f>HYPERLINK("imagenes/NAUTICA_MENS_V621815B_BLK_2.jpg","Ver imagen")</f>
        <v/>
      </c>
      <c r="P3323">
        <f>HYPERLINK("imagenes/NAUTICA_MENS_V621815B_BLK_3.jpg","Ver imagen")</f>
        <v/>
      </c>
    </row>
    <row r="3324">
      <c r="A3324" t="inlineStr">
        <is>
          <t>NAUTICA MENS</t>
        </is>
      </c>
      <c r="B3324" t="inlineStr">
        <is>
          <t>V621815B</t>
        </is>
      </c>
      <c r="C3324" t="inlineStr">
        <is>
          <t>POLY HOODED PARKA</t>
        </is>
      </c>
      <c r="D3324" t="inlineStr">
        <is>
          <t>DNY</t>
        </is>
      </c>
      <c r="E3324" t="inlineStr">
        <is>
          <t>(en blanco)</t>
        </is>
      </c>
      <c r="F3324" t="inlineStr">
        <is>
          <t>(en blanco)</t>
        </is>
      </c>
      <c r="G3324" t="inlineStr">
        <is>
          <t>M</t>
        </is>
      </c>
      <c r="H3324" t="n">
        <v>1</v>
      </c>
      <c r="I3324" t="inlineStr">
        <is>
          <t>NAUTICA_MENS_V621815B_DNY_1.jpg</t>
        </is>
      </c>
      <c r="J3324" t="inlineStr">
        <is>
          <t>NAUTICA_MENS_V621815B_DNY_2.jpg</t>
        </is>
      </c>
      <c r="K3324" t="inlineStr">
        <is>
          <t>NAUTICA_MENS_V621815B_DNY_3.jpg</t>
        </is>
      </c>
      <c r="L3324">
        <f>IMAGE("file:///E:/Estudios%20y%20certificaciones/ESTUDIOS%20DE%20PROGRAMMING/PROGRAMMING/PERSONAL/PYTHON/Image_Generator_API/imagenes/NAUTICA_MENS_V621815B_DNY_1.jpg")</f>
        <v/>
      </c>
      <c r="M3324">
        <f>IMAGE("file:///E:/Estudios%20y%20certificaciones/ESTUDIOS%20DE%20PROGRAMMING/PROGRAMMING/PERSONAL/PYTHON/Image_Generator_API/imagenes/NAUTICA_MENS_V621815B_DNY_2.jpg")</f>
        <v/>
      </c>
      <c r="N3324">
        <f>IMAGE("file:///E:/Estudios%20y%20certificaciones/ESTUDIOS%20DE%20PROGRAMMING/PROGRAMMING/PERSONAL/PYTHON/Image_Generator_API/imagenes/NAUTICA_MENS_V621815B_DNY_3.jpg")</f>
        <v/>
      </c>
      <c r="O3324">
        <f>HYPERLINK("imagenes/NAUTICA_MENS_V621815B_DNY_1.jpg","Ver imagen")</f>
        <v/>
      </c>
      <c r="P3324">
        <f>HYPERLINK("imagenes/NAUTICA_MENS_V621815B_DNY_2.jpg","Ver imagen")</f>
        <v/>
      </c>
      <c r="Q3324">
        <f>HYPERLINK("imagenes/NAUTICA_MENS_V621815B_DNY_3.jpg","Ver imagen")</f>
        <v/>
      </c>
    </row>
    <row r="3325">
      <c r="A3325" t="inlineStr">
        <is>
          <t>NAUTICA MENS</t>
        </is>
      </c>
      <c r="B3325" t="inlineStr">
        <is>
          <t>V621815B</t>
        </is>
      </c>
      <c r="C3325" t="inlineStr">
        <is>
          <t>POLY HOODED PARKA</t>
        </is>
      </c>
      <c r="D3325" t="inlineStr">
        <is>
          <t>DNY</t>
        </is>
      </c>
      <c r="E3325" t="inlineStr">
        <is>
          <t>(en blanco)</t>
        </is>
      </c>
      <c r="F3325" t="inlineStr">
        <is>
          <t>(en blanco)</t>
        </is>
      </c>
      <c r="G3325" t="inlineStr">
        <is>
          <t>L</t>
        </is>
      </c>
      <c r="H3325" t="n">
        <v>2</v>
      </c>
      <c r="I3325" t="inlineStr">
        <is>
          <t>NAUTICA_MENS_V621815B_DNY_1.jpg</t>
        </is>
      </c>
      <c r="J3325" t="inlineStr">
        <is>
          <t>NAUTICA_MENS_V621815B_DNY_2.jpg</t>
        </is>
      </c>
      <c r="K3325" t="inlineStr">
        <is>
          <t>NAUTICA_MENS_V621815B_DNY_3.jpg</t>
        </is>
      </c>
      <c r="L3325">
        <f>IMAGE("file:///E:/Estudios%20y%20certificaciones/ESTUDIOS%20DE%20PROGRAMMING/PROGRAMMING/PERSONAL/PYTHON/Image_Generator_API/imagenes/NAUTICA_MENS_V621815B_DNY_1.jpg")</f>
        <v/>
      </c>
      <c r="M3325">
        <f>IMAGE("file:///E:/Estudios%20y%20certificaciones/ESTUDIOS%20DE%20PROGRAMMING/PROGRAMMING/PERSONAL/PYTHON/Image_Generator_API/imagenes/NAUTICA_MENS_V621815B_DNY_2.jpg")</f>
        <v/>
      </c>
      <c r="N3325">
        <f>IMAGE("file:///E:/Estudios%20y%20certificaciones/ESTUDIOS%20DE%20PROGRAMMING/PROGRAMMING/PERSONAL/PYTHON/Image_Generator_API/imagenes/NAUTICA_MENS_V621815B_DNY_3.jpg")</f>
        <v/>
      </c>
      <c r="O3325">
        <f>HYPERLINK("imagenes/NAUTICA_MENS_V621815B_DNY_1.jpg","Ver imagen")</f>
        <v/>
      </c>
      <c r="P3325">
        <f>HYPERLINK("imagenes/NAUTICA_MENS_V621815B_DNY_2.jpg","Ver imagen")</f>
        <v/>
      </c>
      <c r="Q3325">
        <f>HYPERLINK("imagenes/NAUTICA_MENS_V621815B_DNY_3.jpg","Ver imagen")</f>
        <v/>
      </c>
    </row>
    <row r="3326">
      <c r="A3326" t="inlineStr">
        <is>
          <t>NAUTICA MENS</t>
        </is>
      </c>
      <c r="B3326" t="inlineStr">
        <is>
          <t>V621815B</t>
        </is>
      </c>
      <c r="C3326" t="inlineStr">
        <is>
          <t>POLY HOODED PARKA</t>
        </is>
      </c>
      <c r="D3326" t="inlineStr">
        <is>
          <t>DNY</t>
        </is>
      </c>
      <c r="E3326" t="inlineStr">
        <is>
          <t>(en blanco)</t>
        </is>
      </c>
      <c r="F3326" t="inlineStr">
        <is>
          <t>(en blanco)</t>
        </is>
      </c>
      <c r="G3326" t="inlineStr">
        <is>
          <t>XL</t>
        </is>
      </c>
      <c r="H3326" t="n">
        <v>1</v>
      </c>
      <c r="I3326" t="inlineStr">
        <is>
          <t>NAUTICA_MENS_V621815B_DNY_1.jpg</t>
        </is>
      </c>
      <c r="J3326" t="inlineStr">
        <is>
          <t>NAUTICA_MENS_V621815B_DNY_2.jpg</t>
        </is>
      </c>
      <c r="K3326" t="inlineStr">
        <is>
          <t>NAUTICA_MENS_V621815B_DNY_3.jpg</t>
        </is>
      </c>
      <c r="L3326">
        <f>IMAGE("file:///E:/Estudios%20y%20certificaciones/ESTUDIOS%20DE%20PROGRAMMING/PROGRAMMING/PERSONAL/PYTHON/Image_Generator_API/imagenes/NAUTICA_MENS_V621815B_DNY_1.jpg")</f>
        <v/>
      </c>
      <c r="M3326">
        <f>IMAGE("file:///E:/Estudios%20y%20certificaciones/ESTUDIOS%20DE%20PROGRAMMING/PROGRAMMING/PERSONAL/PYTHON/Image_Generator_API/imagenes/NAUTICA_MENS_V621815B_DNY_2.jpg")</f>
        <v/>
      </c>
      <c r="N3326">
        <f>IMAGE("file:///E:/Estudios%20y%20certificaciones/ESTUDIOS%20DE%20PROGRAMMING/PROGRAMMING/PERSONAL/PYTHON/Image_Generator_API/imagenes/NAUTICA_MENS_V621815B_DNY_3.jpg")</f>
        <v/>
      </c>
      <c r="O3326">
        <f>HYPERLINK("imagenes/NAUTICA_MENS_V621815B_DNY_1.jpg","Ver imagen")</f>
        <v/>
      </c>
      <c r="P3326">
        <f>HYPERLINK("imagenes/NAUTICA_MENS_V621815B_DNY_2.jpg","Ver imagen")</f>
        <v/>
      </c>
      <c r="Q3326">
        <f>HYPERLINK("imagenes/NAUTICA_MENS_V621815B_DNY_3.jpg","Ver imagen")</f>
        <v/>
      </c>
    </row>
    <row r="3327">
      <c r="A3327" t="inlineStr">
        <is>
          <t>NAUTICA MENS</t>
        </is>
      </c>
      <c r="B3327" t="inlineStr">
        <is>
          <t>V622041A</t>
        </is>
      </c>
      <c r="C3327" t="inlineStr">
        <is>
          <t>MIXED MEDIA W/BIB</t>
        </is>
      </c>
      <c r="D3327" t="inlineStr">
        <is>
          <t>BLK</t>
        </is>
      </c>
      <c r="E3327" t="inlineStr">
        <is>
          <t>(en blanco)</t>
        </is>
      </c>
      <c r="F3327" t="inlineStr">
        <is>
          <t>(en blanco)</t>
        </is>
      </c>
      <c r="G3327" t="inlineStr">
        <is>
          <t>XXL</t>
        </is>
      </c>
      <c r="H3327" t="n">
        <v>1</v>
      </c>
      <c r="I3327" t="inlineStr">
        <is>
          <t>NAUTICA_MENS_V622041A_BLK_1.jpg</t>
        </is>
      </c>
      <c r="J3327" t="inlineStr">
        <is>
          <t>NAUTICA_MENS_V622041A_BLK_2.jpg</t>
        </is>
      </c>
      <c r="K3327" t="inlineStr">
        <is>
          <t>NAUTICA_MENS_V622041A_BLK_3.jpg</t>
        </is>
      </c>
      <c r="L3327">
        <f>IMAGE("file:///E:/Estudios%20y%20certificaciones/ESTUDIOS%20DE%20PROGRAMMING/PROGRAMMING/PERSONAL/PYTHON/Image_Generator_API/imagenes/NAUTICA_MENS_V622041A_BLK_1.jpg")</f>
        <v/>
      </c>
      <c r="M3327">
        <f>IMAGE("file:///E:/Estudios%20y%20certificaciones/ESTUDIOS%20DE%20PROGRAMMING/PROGRAMMING/PERSONAL/PYTHON/Image_Generator_API/imagenes/NAUTICA_MENS_V622041A_BLK_2.jpg")</f>
        <v/>
      </c>
      <c r="N3327">
        <f>IMAGE("file:///E:/Estudios%20y%20certificaciones/ESTUDIOS%20DE%20PROGRAMMING/PROGRAMMING/PERSONAL/PYTHON/Image_Generator_API/imagenes/NAUTICA_MENS_V622041A_BLK_3.jpg")</f>
        <v/>
      </c>
      <c r="O3327">
        <f>HYPERLINK("imagenes/NAUTICA_MENS_V622041A_BLK_1.jpg","Ver imagen")</f>
        <v/>
      </c>
      <c r="P3327">
        <f>HYPERLINK("imagenes/NAUTICA_MENS_V622041A_BLK_2.jpg","Ver imagen")</f>
        <v/>
      </c>
      <c r="Q3327">
        <f>HYPERLINK("imagenes/NAUTICA_MENS_V622041A_BLK_3.jpg","Ver imagen")</f>
        <v/>
      </c>
    </row>
    <row r="3328">
      <c r="A3328" t="inlineStr">
        <is>
          <t>NAUTICA MENS</t>
        </is>
      </c>
      <c r="B3328" t="inlineStr">
        <is>
          <t>V622041A</t>
        </is>
      </c>
      <c r="C3328" t="inlineStr">
        <is>
          <t>MIXED MEDIA W/BIB</t>
        </is>
      </c>
      <c r="D3328" t="inlineStr">
        <is>
          <t>NVY</t>
        </is>
      </c>
      <c r="E3328" t="inlineStr">
        <is>
          <t>(en blanco)</t>
        </is>
      </c>
      <c r="F3328" t="inlineStr">
        <is>
          <t>(en blanco)</t>
        </is>
      </c>
      <c r="G3328" t="inlineStr">
        <is>
          <t>XXL</t>
        </is>
      </c>
      <c r="H3328" t="n">
        <v>1</v>
      </c>
      <c r="I3328" t="inlineStr">
        <is>
          <t>NAUTICA_MENS_V622041A_NVY_1.jpg</t>
        </is>
      </c>
      <c r="J3328" t="inlineStr">
        <is>
          <t>NAUTICA_MENS_V622041A_NVY_2.jpg</t>
        </is>
      </c>
      <c r="K3328" t="inlineStr">
        <is>
          <t>NAUTICA_MENS_V622041A_NVY_3.jpg</t>
        </is>
      </c>
      <c r="L3328">
        <f>IMAGE("file:///E:/Estudios%20y%20certificaciones/ESTUDIOS%20DE%20PROGRAMMING/PROGRAMMING/PERSONAL/PYTHON/Image_Generator_API/imagenes/NAUTICA_MENS_V622041A_NVY_1.jpg")</f>
        <v/>
      </c>
      <c r="M3328">
        <f>IMAGE("file:///E:/Estudios%20y%20certificaciones/ESTUDIOS%20DE%20PROGRAMMING/PROGRAMMING/PERSONAL/PYTHON/Image_Generator_API/imagenes/NAUTICA_MENS_V622041A_NVY_2.jpg")</f>
        <v/>
      </c>
      <c r="N3328">
        <f>IMAGE("file:///E:/Estudios%20y%20certificaciones/ESTUDIOS%20DE%20PROGRAMMING/PROGRAMMING/PERSONAL/PYTHON/Image_Generator_API/imagenes/NAUTICA_MENS_V622041A_NVY_3.jpg")</f>
        <v/>
      </c>
      <c r="O3328">
        <f>HYPERLINK("imagenes/NAUTICA_MENS_V622041A_NVY_1.jpg","Ver imagen")</f>
        <v/>
      </c>
      <c r="P3328">
        <f>HYPERLINK("imagenes/NAUTICA_MENS_V622041A_NVY_2.jpg","Ver imagen")</f>
        <v/>
      </c>
      <c r="Q3328">
        <f>HYPERLINK("imagenes/NAUTICA_MENS_V622041A_NVY_3.jpg","Ver imagen")</f>
        <v/>
      </c>
    </row>
    <row r="3329">
      <c r="A3329" t="inlineStr">
        <is>
          <t>NAUTICA MENS</t>
        </is>
      </c>
      <c r="B3329" t="inlineStr">
        <is>
          <t>V622160</t>
        </is>
      </c>
      <c r="C3329" t="inlineStr">
        <is>
          <t>TECH SHELL HYBRD JKT</t>
        </is>
      </c>
      <c r="D3329" t="inlineStr">
        <is>
          <t>BLK</t>
        </is>
      </c>
      <c r="E3329" t="inlineStr">
        <is>
          <t>(en blanco)</t>
        </is>
      </c>
      <c r="F3329" t="inlineStr">
        <is>
          <t>(en blanco)</t>
        </is>
      </c>
      <c r="G3329" t="inlineStr">
        <is>
          <t>XXL</t>
        </is>
      </c>
      <c r="H3329" t="n">
        <v>3</v>
      </c>
      <c r="I3329" t="inlineStr">
        <is>
          <t>NAUTICA_MENS_V622160_BLK_1.jpg</t>
        </is>
      </c>
      <c r="J3329" t="inlineStr">
        <is>
          <t>NAUTICA_MENS_V622160_BLK_2.jpg</t>
        </is>
      </c>
      <c r="K3329" t="inlineStr">
        <is>
          <t>NAUTICA_MENS_V622160_BLK_3.jpg</t>
        </is>
      </c>
      <c r="L3329">
        <f>IMAGE("file:///E:/Estudios%20y%20certificaciones/ESTUDIOS%20DE%20PROGRAMMING/PROGRAMMING/PERSONAL/PYTHON/Image_Generator_API/imagenes/NAUTICA_MENS_V622160_BLK_1.jpg")</f>
        <v/>
      </c>
      <c r="M3329">
        <f>IMAGE("file:///E:/Estudios%20y%20certificaciones/ESTUDIOS%20DE%20PROGRAMMING/PROGRAMMING/PERSONAL/PYTHON/Image_Generator_API/imagenes/NAUTICA_MENS_V622160_BLK_2.jpg")</f>
        <v/>
      </c>
      <c r="N3329">
        <f>IMAGE("file:///E:/Estudios%20y%20certificaciones/ESTUDIOS%20DE%20PROGRAMMING/PROGRAMMING/PERSONAL/PYTHON/Image_Generator_API/imagenes/NAUTICA_MENS_V622160_BLK_3.jpg")</f>
        <v/>
      </c>
      <c r="O3329">
        <f>HYPERLINK("imagenes/NAUTICA_MENS_V622160_BLK_1.jpg","Ver imagen")</f>
        <v/>
      </c>
      <c r="P3329">
        <f>HYPERLINK("imagenes/NAUTICA_MENS_V622160_BLK_2.jpg","Ver imagen")</f>
        <v/>
      </c>
      <c r="Q3329">
        <f>HYPERLINK("imagenes/NAUTICA_MENS_V622160_BLK_3.jpg","Ver imagen")</f>
        <v/>
      </c>
    </row>
    <row r="3330">
      <c r="A3330" t="inlineStr">
        <is>
          <t>NAUTICA MENS</t>
        </is>
      </c>
      <c r="B3330" t="inlineStr">
        <is>
          <t>V622160</t>
        </is>
      </c>
      <c r="C3330" t="inlineStr">
        <is>
          <t>TECH SHELL HYBRD JKT</t>
        </is>
      </c>
      <c r="D3330" t="inlineStr">
        <is>
          <t>MTA</t>
        </is>
      </c>
      <c r="E3330" t="inlineStr">
        <is>
          <t>(en blanco)</t>
        </is>
      </c>
      <c r="F3330" t="inlineStr">
        <is>
          <t>(en blanco)</t>
        </is>
      </c>
      <c r="G3330" t="inlineStr">
        <is>
          <t>L</t>
        </is>
      </c>
      <c r="H3330" t="n">
        <v>1</v>
      </c>
      <c r="I3330" t="inlineStr">
        <is>
          <t>NAUTICA_MENS_V622160_MTA_1.jpg</t>
        </is>
      </c>
      <c r="J3330" t="inlineStr">
        <is>
          <t>NAUTICA_MENS_V622160_MTA_2.jpg</t>
        </is>
      </c>
      <c r="K3330" t="inlineStr">
        <is>
          <t>NAUTICA_MENS_V622160_MTA_3.jpg</t>
        </is>
      </c>
      <c r="L3330">
        <f>IMAGE("file:///E:/Estudios%20y%20certificaciones/ESTUDIOS%20DE%20PROGRAMMING/PROGRAMMING/PERSONAL/PYTHON/Image_Generator_API/imagenes/NAUTICA_MENS_V622160_MTA_1.jpg")</f>
        <v/>
      </c>
      <c r="M3330">
        <f>IMAGE("file:///E:/Estudios%20y%20certificaciones/ESTUDIOS%20DE%20PROGRAMMING/PROGRAMMING/PERSONAL/PYTHON/Image_Generator_API/imagenes/NAUTICA_MENS_V622160_MTA_2.jpg")</f>
        <v/>
      </c>
      <c r="N3330">
        <f>IMAGE("file:///E:/Estudios%20y%20certificaciones/ESTUDIOS%20DE%20PROGRAMMING/PROGRAMMING/PERSONAL/PYTHON/Image_Generator_API/imagenes/NAUTICA_MENS_V622160_MTA_3.jpg")</f>
        <v/>
      </c>
      <c r="O3330">
        <f>HYPERLINK("imagenes/NAUTICA_MENS_V622160_MTA_1.jpg","Ver imagen")</f>
        <v/>
      </c>
      <c r="P3330">
        <f>HYPERLINK("imagenes/NAUTICA_MENS_V622160_MTA_2.jpg","Ver imagen")</f>
        <v/>
      </c>
      <c r="Q3330">
        <f>HYPERLINK("imagenes/NAUTICA_MENS_V622160_MTA_3.jpg","Ver imagen")</f>
        <v/>
      </c>
    </row>
    <row r="3331">
      <c r="A3331" t="inlineStr">
        <is>
          <t>NAUTICA MENS</t>
        </is>
      </c>
      <c r="B3331" t="inlineStr">
        <is>
          <t>V622160</t>
        </is>
      </c>
      <c r="C3331" t="inlineStr">
        <is>
          <t>TECH SHELL HYBRD JKT</t>
        </is>
      </c>
      <c r="D3331" t="inlineStr">
        <is>
          <t>MTA</t>
        </is>
      </c>
      <c r="E3331" t="inlineStr">
        <is>
          <t>(en blanco)</t>
        </is>
      </c>
      <c r="F3331" t="inlineStr">
        <is>
          <t>(en blanco)</t>
        </is>
      </c>
      <c r="G3331" t="inlineStr">
        <is>
          <t>XL</t>
        </is>
      </c>
      <c r="H3331" t="n">
        <v>1</v>
      </c>
      <c r="I3331" t="inlineStr">
        <is>
          <t>NAUTICA_MENS_V622160_MTA_1.jpg</t>
        </is>
      </c>
      <c r="J3331" t="inlineStr">
        <is>
          <t>NAUTICA_MENS_V622160_MTA_2.jpg</t>
        </is>
      </c>
      <c r="K3331" t="inlineStr">
        <is>
          <t>NAUTICA_MENS_V622160_MTA_3.jpg</t>
        </is>
      </c>
      <c r="L3331">
        <f>IMAGE("file:///E:/Estudios%20y%20certificaciones/ESTUDIOS%20DE%20PROGRAMMING/PROGRAMMING/PERSONAL/PYTHON/Image_Generator_API/imagenes/NAUTICA_MENS_V622160_MTA_1.jpg")</f>
        <v/>
      </c>
      <c r="M3331">
        <f>IMAGE("file:///E:/Estudios%20y%20certificaciones/ESTUDIOS%20DE%20PROGRAMMING/PROGRAMMING/PERSONAL/PYTHON/Image_Generator_API/imagenes/NAUTICA_MENS_V622160_MTA_2.jpg")</f>
        <v/>
      </c>
      <c r="N3331">
        <f>IMAGE("file:///E:/Estudios%20y%20certificaciones/ESTUDIOS%20DE%20PROGRAMMING/PROGRAMMING/PERSONAL/PYTHON/Image_Generator_API/imagenes/NAUTICA_MENS_V622160_MTA_3.jpg")</f>
        <v/>
      </c>
      <c r="O3331">
        <f>HYPERLINK("imagenes/NAUTICA_MENS_V622160_MTA_1.jpg","Ver imagen")</f>
        <v/>
      </c>
      <c r="P3331">
        <f>HYPERLINK("imagenes/NAUTICA_MENS_V622160_MTA_2.jpg","Ver imagen")</f>
        <v/>
      </c>
      <c r="Q3331">
        <f>HYPERLINK("imagenes/NAUTICA_MENS_V622160_MTA_3.jpg","Ver imagen")</f>
        <v/>
      </c>
    </row>
    <row r="3332">
      <c r="A3332" t="inlineStr">
        <is>
          <t>NAUTICA MENS</t>
        </is>
      </c>
      <c r="B3332" t="inlineStr">
        <is>
          <t>V622160</t>
        </is>
      </c>
      <c r="C3332" t="inlineStr">
        <is>
          <t>TECH SHELL HYBRD JKT</t>
        </is>
      </c>
      <c r="D3332" t="inlineStr">
        <is>
          <t>OLH</t>
        </is>
      </c>
      <c r="E3332" t="inlineStr">
        <is>
          <t>(en blanco)</t>
        </is>
      </c>
      <c r="F3332" t="inlineStr">
        <is>
          <t>(en blanco)</t>
        </is>
      </c>
      <c r="G3332" t="inlineStr">
        <is>
          <t>M</t>
        </is>
      </c>
      <c r="H3332" t="n">
        <v>1</v>
      </c>
      <c r="I3332" t="inlineStr">
        <is>
          <t>NAUTICA_MENS_V622160_OLH_1.jpg</t>
        </is>
      </c>
      <c r="J3332" t="inlineStr">
        <is>
          <t>NAUTICA_MENS_V622160_OLH_2.jpg</t>
        </is>
      </c>
      <c r="K3332" t="inlineStr">
        <is>
          <t>NAUTICA_MENS_V622160_OLH_3.jpg</t>
        </is>
      </c>
      <c r="L3332">
        <f>IMAGE("file:///E:/Estudios%20y%20certificaciones/ESTUDIOS%20DE%20PROGRAMMING/PROGRAMMING/PERSONAL/PYTHON/Image_Generator_API/imagenes/NAUTICA_MENS_V622160_OLH_1.jpg")</f>
        <v/>
      </c>
      <c r="M3332">
        <f>IMAGE("file:///E:/Estudios%20y%20certificaciones/ESTUDIOS%20DE%20PROGRAMMING/PROGRAMMING/PERSONAL/PYTHON/Image_Generator_API/imagenes/NAUTICA_MENS_V622160_OLH_2.jpg")</f>
        <v/>
      </c>
      <c r="N3332">
        <f>IMAGE("file:///E:/Estudios%20y%20certificaciones/ESTUDIOS%20DE%20PROGRAMMING/PROGRAMMING/PERSONAL/PYTHON/Image_Generator_API/imagenes/NAUTICA_MENS_V622160_OLH_3.jpg")</f>
        <v/>
      </c>
      <c r="O3332">
        <f>HYPERLINK("imagenes/NAUTICA_MENS_V622160_OLH_1.jpg","Ver imagen")</f>
        <v/>
      </c>
      <c r="P3332">
        <f>HYPERLINK("imagenes/NAUTICA_MENS_V622160_OLH_2.jpg","Ver imagen")</f>
        <v/>
      </c>
      <c r="Q3332">
        <f>HYPERLINK("imagenes/NAUTICA_MENS_V622160_OLH_3.jpg","Ver imagen")</f>
        <v/>
      </c>
    </row>
    <row r="3333">
      <c r="A3333" t="inlineStr">
        <is>
          <t>NAUTICA MENS</t>
        </is>
      </c>
      <c r="B3333" t="inlineStr">
        <is>
          <t>V622160</t>
        </is>
      </c>
      <c r="C3333" t="inlineStr">
        <is>
          <t>TECH SHELL HYBRD JKT</t>
        </is>
      </c>
      <c r="D3333" t="inlineStr">
        <is>
          <t>OLH</t>
        </is>
      </c>
      <c r="E3333" t="inlineStr">
        <is>
          <t>(en blanco)</t>
        </is>
      </c>
      <c r="F3333" t="inlineStr">
        <is>
          <t>(en blanco)</t>
        </is>
      </c>
      <c r="G3333" t="inlineStr">
        <is>
          <t>L</t>
        </is>
      </c>
      <c r="H3333" t="n">
        <v>1</v>
      </c>
      <c r="I3333" t="inlineStr">
        <is>
          <t>NAUTICA_MENS_V622160_OLH_1.jpg</t>
        </is>
      </c>
      <c r="J3333" t="inlineStr">
        <is>
          <t>NAUTICA_MENS_V622160_OLH_2.jpg</t>
        </is>
      </c>
      <c r="K3333" t="inlineStr">
        <is>
          <t>NAUTICA_MENS_V622160_OLH_3.jpg</t>
        </is>
      </c>
      <c r="L3333">
        <f>IMAGE("file:///E:/Estudios%20y%20certificaciones/ESTUDIOS%20DE%20PROGRAMMING/PROGRAMMING/PERSONAL/PYTHON/Image_Generator_API/imagenes/NAUTICA_MENS_V622160_OLH_1.jpg")</f>
        <v/>
      </c>
      <c r="M3333">
        <f>IMAGE("file:///E:/Estudios%20y%20certificaciones/ESTUDIOS%20DE%20PROGRAMMING/PROGRAMMING/PERSONAL/PYTHON/Image_Generator_API/imagenes/NAUTICA_MENS_V622160_OLH_2.jpg")</f>
        <v/>
      </c>
      <c r="N3333">
        <f>IMAGE("file:///E:/Estudios%20y%20certificaciones/ESTUDIOS%20DE%20PROGRAMMING/PROGRAMMING/PERSONAL/PYTHON/Image_Generator_API/imagenes/NAUTICA_MENS_V622160_OLH_3.jpg")</f>
        <v/>
      </c>
      <c r="O3333">
        <f>HYPERLINK("imagenes/NAUTICA_MENS_V622160_OLH_1.jpg","Ver imagen")</f>
        <v/>
      </c>
      <c r="P3333">
        <f>HYPERLINK("imagenes/NAUTICA_MENS_V622160_OLH_2.jpg","Ver imagen")</f>
        <v/>
      </c>
      <c r="Q3333">
        <f>HYPERLINK("imagenes/NAUTICA_MENS_V622160_OLH_3.jpg","Ver imagen")</f>
        <v/>
      </c>
    </row>
    <row r="3334">
      <c r="A3334" t="inlineStr">
        <is>
          <t>NAUTICA MENS</t>
        </is>
      </c>
      <c r="B3334" t="inlineStr">
        <is>
          <t>V622160</t>
        </is>
      </c>
      <c r="C3334" t="inlineStr">
        <is>
          <t>TECH SHELL HYBRD JKT</t>
        </is>
      </c>
      <c r="D3334" t="inlineStr">
        <is>
          <t>OLH</t>
        </is>
      </c>
      <c r="E3334" t="inlineStr">
        <is>
          <t>(en blanco)</t>
        </is>
      </c>
      <c r="F3334" t="inlineStr">
        <is>
          <t>(en blanco)</t>
        </is>
      </c>
      <c r="G3334" t="inlineStr">
        <is>
          <t>XXL</t>
        </is>
      </c>
      <c r="H3334" t="n">
        <v>2</v>
      </c>
      <c r="I3334" t="inlineStr">
        <is>
          <t>NAUTICA_MENS_V622160_OLH_1.jpg</t>
        </is>
      </c>
      <c r="J3334" t="inlineStr">
        <is>
          <t>NAUTICA_MENS_V622160_OLH_2.jpg</t>
        </is>
      </c>
      <c r="K3334" t="inlineStr">
        <is>
          <t>NAUTICA_MENS_V622160_OLH_3.jpg</t>
        </is>
      </c>
      <c r="L3334">
        <f>IMAGE("file:///E:/Estudios%20y%20certificaciones/ESTUDIOS%20DE%20PROGRAMMING/PROGRAMMING/PERSONAL/PYTHON/Image_Generator_API/imagenes/NAUTICA_MENS_V622160_OLH_1.jpg")</f>
        <v/>
      </c>
      <c r="M3334">
        <f>IMAGE("file:///E:/Estudios%20y%20certificaciones/ESTUDIOS%20DE%20PROGRAMMING/PROGRAMMING/PERSONAL/PYTHON/Image_Generator_API/imagenes/NAUTICA_MENS_V622160_OLH_2.jpg")</f>
        <v/>
      </c>
      <c r="N3334">
        <f>IMAGE("file:///E:/Estudios%20y%20certificaciones/ESTUDIOS%20DE%20PROGRAMMING/PROGRAMMING/PERSONAL/PYTHON/Image_Generator_API/imagenes/NAUTICA_MENS_V622160_OLH_3.jpg")</f>
        <v/>
      </c>
      <c r="O3334">
        <f>HYPERLINK("imagenes/NAUTICA_MENS_V622160_OLH_1.jpg","Ver imagen")</f>
        <v/>
      </c>
      <c r="P3334">
        <f>HYPERLINK("imagenes/NAUTICA_MENS_V622160_OLH_2.jpg","Ver imagen")</f>
        <v/>
      </c>
      <c r="Q3334">
        <f>HYPERLINK("imagenes/NAUTICA_MENS_V622160_OLH_3.jpg","Ver imagen")</f>
        <v/>
      </c>
    </row>
    <row r="3335">
      <c r="A3335" t="inlineStr">
        <is>
          <t>NAUTICA MENS</t>
        </is>
      </c>
      <c r="B3335" t="inlineStr">
        <is>
          <t>V622744</t>
        </is>
      </c>
      <c r="C3335" t="inlineStr">
        <is>
          <t>POLYSTR REVERSIBLE</t>
        </is>
      </c>
      <c r="D3335" t="inlineStr">
        <is>
          <t>BBY</t>
        </is>
      </c>
      <c r="E3335" t="inlineStr">
        <is>
          <t>(en blanco)</t>
        </is>
      </c>
      <c r="F3335" t="inlineStr">
        <is>
          <t>(en blanco)</t>
        </is>
      </c>
      <c r="G3335" t="inlineStr">
        <is>
          <t>S</t>
        </is>
      </c>
      <c r="H3335" t="n">
        <v>181</v>
      </c>
      <c r="I3335" t="inlineStr">
        <is>
          <t>NAUTICA_MENS_V622744_BBY_1.jpg</t>
        </is>
      </c>
      <c r="J3335" t="inlineStr">
        <is>
          <t>NAUTICA_MENS_V622744_BBY_2.jpg</t>
        </is>
      </c>
      <c r="K3335" t="inlineStr">
        <is>
          <t>NAUTICA_MENS_V622744_BBY_3.jpg</t>
        </is>
      </c>
      <c r="L3335">
        <f>IMAGE("file:///E:/Estudios%20y%20certificaciones/ESTUDIOS%20DE%20PROGRAMMING/PROGRAMMING/PERSONAL/PYTHON/Image_Generator_API/imagenes/NAUTICA_MENS_V622744_BBY_1.jpg")</f>
        <v/>
      </c>
      <c r="M3335">
        <f>IMAGE("file:///E:/Estudios%20y%20certificaciones/ESTUDIOS%20DE%20PROGRAMMING/PROGRAMMING/PERSONAL/PYTHON/Image_Generator_API/imagenes/NAUTICA_MENS_V622744_BBY_2.jpg")</f>
        <v/>
      </c>
      <c r="N3335">
        <f>IMAGE("file:///E:/Estudios%20y%20certificaciones/ESTUDIOS%20DE%20PROGRAMMING/PROGRAMMING/PERSONAL/PYTHON/Image_Generator_API/imagenes/NAUTICA_MENS_V622744_BBY_3.jpg")</f>
        <v/>
      </c>
      <c r="O3335">
        <f>HYPERLINK("imagenes/NAUTICA_MENS_V622744_BBY_1.jpg","Ver imagen")</f>
        <v/>
      </c>
      <c r="P3335">
        <f>HYPERLINK("imagenes/NAUTICA_MENS_V622744_BBY_2.jpg","Ver imagen")</f>
        <v/>
      </c>
      <c r="Q3335">
        <f>HYPERLINK("imagenes/NAUTICA_MENS_V622744_BBY_3.jpg","Ver imagen")</f>
        <v/>
      </c>
    </row>
    <row r="3336">
      <c r="A3336" t="inlineStr">
        <is>
          <t>NAUTICA MENS</t>
        </is>
      </c>
      <c r="B3336" t="inlineStr">
        <is>
          <t>V622744</t>
        </is>
      </c>
      <c r="C3336" t="inlineStr">
        <is>
          <t>POLYSTR REVERSIBLE</t>
        </is>
      </c>
      <c r="D3336" t="inlineStr">
        <is>
          <t>BBY</t>
        </is>
      </c>
      <c r="E3336" t="inlineStr">
        <is>
          <t>(en blanco)</t>
        </is>
      </c>
      <c r="F3336" t="inlineStr">
        <is>
          <t>(en blanco)</t>
        </is>
      </c>
      <c r="G3336" t="inlineStr">
        <is>
          <t>M</t>
        </is>
      </c>
      <c r="H3336" t="n">
        <v>503</v>
      </c>
      <c r="I3336" t="inlineStr">
        <is>
          <t>NAUTICA_MENS_V622744_BBY_1.jpg</t>
        </is>
      </c>
      <c r="J3336" t="inlineStr">
        <is>
          <t>NAUTICA_MENS_V622744_BBY_2.jpg</t>
        </is>
      </c>
      <c r="K3336" t="inlineStr">
        <is>
          <t>NAUTICA_MENS_V622744_BBY_3.jpg</t>
        </is>
      </c>
      <c r="L3336">
        <f>IMAGE("file:///E:/Estudios%20y%20certificaciones/ESTUDIOS%20DE%20PROGRAMMING/PROGRAMMING/PERSONAL/PYTHON/Image_Generator_API/imagenes/NAUTICA_MENS_V622744_BBY_1.jpg")</f>
        <v/>
      </c>
      <c r="M3336">
        <f>IMAGE("file:///E:/Estudios%20y%20certificaciones/ESTUDIOS%20DE%20PROGRAMMING/PROGRAMMING/PERSONAL/PYTHON/Image_Generator_API/imagenes/NAUTICA_MENS_V622744_BBY_2.jpg")</f>
        <v/>
      </c>
      <c r="N3336">
        <f>IMAGE("file:///E:/Estudios%20y%20certificaciones/ESTUDIOS%20DE%20PROGRAMMING/PROGRAMMING/PERSONAL/PYTHON/Image_Generator_API/imagenes/NAUTICA_MENS_V622744_BBY_3.jpg")</f>
        <v/>
      </c>
      <c r="O3336">
        <f>HYPERLINK("imagenes/NAUTICA_MENS_V622744_BBY_1.jpg","Ver imagen")</f>
        <v/>
      </c>
      <c r="P3336">
        <f>HYPERLINK("imagenes/NAUTICA_MENS_V622744_BBY_2.jpg","Ver imagen")</f>
        <v/>
      </c>
      <c r="Q3336">
        <f>HYPERLINK("imagenes/NAUTICA_MENS_V622744_BBY_3.jpg","Ver imagen")</f>
        <v/>
      </c>
    </row>
    <row r="3337">
      <c r="A3337" t="inlineStr">
        <is>
          <t>NAUTICA MENS</t>
        </is>
      </c>
      <c r="B3337" t="inlineStr">
        <is>
          <t>V622744</t>
        </is>
      </c>
      <c r="C3337" t="inlineStr">
        <is>
          <t>POLYSTR REVERSIBLE</t>
        </is>
      </c>
      <c r="D3337" t="inlineStr">
        <is>
          <t>BBY</t>
        </is>
      </c>
      <c r="E3337" t="inlineStr">
        <is>
          <t>(en blanco)</t>
        </is>
      </c>
      <c r="F3337" t="inlineStr">
        <is>
          <t>(en blanco)</t>
        </is>
      </c>
      <c r="G3337" t="inlineStr">
        <is>
          <t>L</t>
        </is>
      </c>
      <c r="H3337" t="n">
        <v>766</v>
      </c>
      <c r="I3337" t="inlineStr">
        <is>
          <t>NAUTICA_MENS_V622744_BBY_1.jpg</t>
        </is>
      </c>
      <c r="J3337" t="inlineStr">
        <is>
          <t>NAUTICA_MENS_V622744_BBY_2.jpg</t>
        </is>
      </c>
      <c r="K3337" t="inlineStr">
        <is>
          <t>NAUTICA_MENS_V622744_BBY_3.jpg</t>
        </is>
      </c>
      <c r="L3337">
        <f>IMAGE("file:///E:/Estudios%20y%20certificaciones/ESTUDIOS%20DE%20PROGRAMMING/PROGRAMMING/PERSONAL/PYTHON/Image_Generator_API/imagenes/NAUTICA_MENS_V622744_BBY_1.jpg")</f>
        <v/>
      </c>
      <c r="M3337">
        <f>IMAGE("file:///E:/Estudios%20y%20certificaciones/ESTUDIOS%20DE%20PROGRAMMING/PROGRAMMING/PERSONAL/PYTHON/Image_Generator_API/imagenes/NAUTICA_MENS_V622744_BBY_2.jpg")</f>
        <v/>
      </c>
      <c r="N3337">
        <f>IMAGE("file:///E:/Estudios%20y%20certificaciones/ESTUDIOS%20DE%20PROGRAMMING/PROGRAMMING/PERSONAL/PYTHON/Image_Generator_API/imagenes/NAUTICA_MENS_V622744_BBY_3.jpg")</f>
        <v/>
      </c>
      <c r="O3337">
        <f>HYPERLINK("imagenes/NAUTICA_MENS_V622744_BBY_1.jpg","Ver imagen")</f>
        <v/>
      </c>
      <c r="P3337">
        <f>HYPERLINK("imagenes/NAUTICA_MENS_V622744_BBY_2.jpg","Ver imagen")</f>
        <v/>
      </c>
      <c r="Q3337">
        <f>HYPERLINK("imagenes/NAUTICA_MENS_V622744_BBY_3.jpg","Ver imagen")</f>
        <v/>
      </c>
    </row>
    <row r="3338">
      <c r="A3338" t="inlineStr">
        <is>
          <t>NAUTICA MENS</t>
        </is>
      </c>
      <c r="B3338" t="inlineStr">
        <is>
          <t>V622744</t>
        </is>
      </c>
      <c r="C3338" t="inlineStr">
        <is>
          <t>POLYSTR REVERSIBLE</t>
        </is>
      </c>
      <c r="D3338" t="inlineStr">
        <is>
          <t>BBY</t>
        </is>
      </c>
      <c r="E3338" t="inlineStr">
        <is>
          <t>(en blanco)</t>
        </is>
      </c>
      <c r="F3338" t="inlineStr">
        <is>
          <t>(en blanco)</t>
        </is>
      </c>
      <c r="G3338" t="inlineStr">
        <is>
          <t>XL</t>
        </is>
      </c>
      <c r="H3338" t="n">
        <v>497</v>
      </c>
      <c r="I3338" t="inlineStr">
        <is>
          <t>NAUTICA_MENS_V622744_BBY_1.jpg</t>
        </is>
      </c>
      <c r="J3338" t="inlineStr">
        <is>
          <t>NAUTICA_MENS_V622744_BBY_2.jpg</t>
        </is>
      </c>
      <c r="K3338" t="inlineStr">
        <is>
          <t>NAUTICA_MENS_V622744_BBY_3.jpg</t>
        </is>
      </c>
      <c r="L3338">
        <f>IMAGE("file:///E:/Estudios%20y%20certificaciones/ESTUDIOS%20DE%20PROGRAMMING/PROGRAMMING/PERSONAL/PYTHON/Image_Generator_API/imagenes/NAUTICA_MENS_V622744_BBY_1.jpg")</f>
        <v/>
      </c>
      <c r="M3338">
        <f>IMAGE("file:///E:/Estudios%20y%20certificaciones/ESTUDIOS%20DE%20PROGRAMMING/PROGRAMMING/PERSONAL/PYTHON/Image_Generator_API/imagenes/NAUTICA_MENS_V622744_BBY_2.jpg")</f>
        <v/>
      </c>
      <c r="N3338">
        <f>IMAGE("file:///E:/Estudios%20y%20certificaciones/ESTUDIOS%20DE%20PROGRAMMING/PROGRAMMING/PERSONAL/PYTHON/Image_Generator_API/imagenes/NAUTICA_MENS_V622744_BBY_3.jpg")</f>
        <v/>
      </c>
      <c r="O3338">
        <f>HYPERLINK("imagenes/NAUTICA_MENS_V622744_BBY_1.jpg","Ver imagen")</f>
        <v/>
      </c>
      <c r="P3338">
        <f>HYPERLINK("imagenes/NAUTICA_MENS_V622744_BBY_2.jpg","Ver imagen")</f>
        <v/>
      </c>
      <c r="Q3338">
        <f>HYPERLINK("imagenes/NAUTICA_MENS_V622744_BBY_3.jpg","Ver imagen")</f>
        <v/>
      </c>
    </row>
    <row r="3339">
      <c r="A3339" t="inlineStr">
        <is>
          <t>NAUTICA MENS</t>
        </is>
      </c>
      <c r="B3339" t="inlineStr">
        <is>
          <t>V622744</t>
        </is>
      </c>
      <c r="C3339" t="inlineStr">
        <is>
          <t>POLYSTR REVERSIBLE</t>
        </is>
      </c>
      <c r="D3339" t="inlineStr">
        <is>
          <t>BBY</t>
        </is>
      </c>
      <c r="E3339" t="inlineStr">
        <is>
          <t>(en blanco)</t>
        </is>
      </c>
      <c r="F3339" t="inlineStr">
        <is>
          <t>(en blanco)</t>
        </is>
      </c>
      <c r="G3339" t="inlineStr">
        <is>
          <t>XXL</t>
        </is>
      </c>
      <c r="H3339" t="n">
        <v>549</v>
      </c>
      <c r="I3339" t="inlineStr">
        <is>
          <t>NAUTICA_MENS_V622744_BBY_1.jpg</t>
        </is>
      </c>
      <c r="J3339" t="inlineStr">
        <is>
          <t>NAUTICA_MENS_V622744_BBY_2.jpg</t>
        </is>
      </c>
      <c r="K3339" t="inlineStr">
        <is>
          <t>NAUTICA_MENS_V622744_BBY_3.jpg</t>
        </is>
      </c>
      <c r="L3339">
        <f>IMAGE("file:///E:/Estudios%20y%20certificaciones/ESTUDIOS%20DE%20PROGRAMMING/PROGRAMMING/PERSONAL/PYTHON/Image_Generator_API/imagenes/NAUTICA_MENS_V622744_BBY_1.jpg")</f>
        <v/>
      </c>
      <c r="M3339">
        <f>IMAGE("file:///E:/Estudios%20y%20certificaciones/ESTUDIOS%20DE%20PROGRAMMING/PROGRAMMING/PERSONAL/PYTHON/Image_Generator_API/imagenes/NAUTICA_MENS_V622744_BBY_2.jpg")</f>
        <v/>
      </c>
      <c r="N3339">
        <f>IMAGE("file:///E:/Estudios%20y%20certificaciones/ESTUDIOS%20DE%20PROGRAMMING/PROGRAMMING/PERSONAL/PYTHON/Image_Generator_API/imagenes/NAUTICA_MENS_V622744_BBY_3.jpg")</f>
        <v/>
      </c>
      <c r="O3339">
        <f>HYPERLINK("imagenes/NAUTICA_MENS_V622744_BBY_1.jpg","Ver imagen")</f>
        <v/>
      </c>
      <c r="P3339">
        <f>HYPERLINK("imagenes/NAUTICA_MENS_V622744_BBY_2.jpg","Ver imagen")</f>
        <v/>
      </c>
      <c r="Q3339">
        <f>HYPERLINK("imagenes/NAUTICA_MENS_V622744_BBY_3.jpg","Ver imagen")</f>
        <v/>
      </c>
    </row>
    <row r="3340">
      <c r="A3340" t="inlineStr">
        <is>
          <t>NAUTICA MENS</t>
        </is>
      </c>
      <c r="B3340" t="inlineStr">
        <is>
          <t>V622744</t>
        </is>
      </c>
      <c r="C3340" t="inlineStr">
        <is>
          <t>POLYSTR REVERSIBLE</t>
        </is>
      </c>
      <c r="D3340" t="inlineStr">
        <is>
          <t>BLK</t>
        </is>
      </c>
      <c r="E3340" t="inlineStr">
        <is>
          <t>(en blanco)</t>
        </is>
      </c>
      <c r="F3340" t="inlineStr">
        <is>
          <t>(en blanco)</t>
        </is>
      </c>
      <c r="G3340" t="inlineStr">
        <is>
          <t>S</t>
        </is>
      </c>
      <c r="H3340" t="n">
        <v>24</v>
      </c>
      <c r="I3340" t="inlineStr">
        <is>
          <t>NAUTICA_MENS_V622744_BLK_1.jpg</t>
        </is>
      </c>
      <c r="J3340" t="inlineStr">
        <is>
          <t>NAUTICA_MENS_V622744_BLK_2.jpg</t>
        </is>
      </c>
      <c r="L3340">
        <f>IMAGE("file:///E:/Estudios%20y%20certificaciones/ESTUDIOS%20DE%20PROGRAMMING/PROGRAMMING/PERSONAL/PYTHON/Image_Generator_API/imagenes/NAUTICA_MENS_V622744_BLK_1.jpg")</f>
        <v/>
      </c>
      <c r="M3340">
        <f>IMAGE("file:///E:/Estudios%20y%20certificaciones/ESTUDIOS%20DE%20PROGRAMMING/PROGRAMMING/PERSONAL/PYTHON/Image_Generator_API/imagenes/NAUTICA_MENS_V622744_BLK_2.jpg")</f>
        <v/>
      </c>
      <c r="O3340">
        <f>HYPERLINK("imagenes/NAUTICA_MENS_V622744_BLK_1.jpg","Ver imagen")</f>
        <v/>
      </c>
      <c r="P3340">
        <f>HYPERLINK("imagenes/NAUTICA_MENS_V622744_BLK_2.jpg","Ver imagen")</f>
        <v/>
      </c>
    </row>
    <row r="3341">
      <c r="A3341" t="inlineStr">
        <is>
          <t>NAUTICA MENS</t>
        </is>
      </c>
      <c r="B3341" t="inlineStr">
        <is>
          <t>V622744</t>
        </is>
      </c>
      <c r="C3341" t="inlineStr">
        <is>
          <t>POLYSTR REVERSIBLE</t>
        </is>
      </c>
      <c r="D3341" t="inlineStr">
        <is>
          <t>BLK</t>
        </is>
      </c>
      <c r="E3341" t="inlineStr">
        <is>
          <t>(en blanco)</t>
        </is>
      </c>
      <c r="F3341" t="inlineStr">
        <is>
          <t>(en blanco)</t>
        </is>
      </c>
      <c r="G3341" t="inlineStr">
        <is>
          <t>M</t>
        </is>
      </c>
      <c r="H3341" t="n">
        <v>1</v>
      </c>
      <c r="I3341" t="inlineStr">
        <is>
          <t>NAUTICA_MENS_V622744_BLK_1.jpg</t>
        </is>
      </c>
      <c r="J3341" t="inlineStr">
        <is>
          <t>NAUTICA_MENS_V622744_BLK_2.jpg</t>
        </is>
      </c>
      <c r="L3341">
        <f>IMAGE("file:///E:/Estudios%20y%20certificaciones/ESTUDIOS%20DE%20PROGRAMMING/PROGRAMMING/PERSONAL/PYTHON/Image_Generator_API/imagenes/NAUTICA_MENS_V622744_BLK_1.jpg")</f>
        <v/>
      </c>
      <c r="M3341">
        <f>IMAGE("file:///E:/Estudios%20y%20certificaciones/ESTUDIOS%20DE%20PROGRAMMING/PROGRAMMING/PERSONAL/PYTHON/Image_Generator_API/imagenes/NAUTICA_MENS_V622744_BLK_2.jpg")</f>
        <v/>
      </c>
      <c r="O3341">
        <f>HYPERLINK("imagenes/NAUTICA_MENS_V622744_BLK_1.jpg","Ver imagen")</f>
        <v/>
      </c>
      <c r="P3341">
        <f>HYPERLINK("imagenes/NAUTICA_MENS_V622744_BLK_2.jpg","Ver imagen")</f>
        <v/>
      </c>
    </row>
    <row r="3342">
      <c r="A3342" t="inlineStr">
        <is>
          <t>NAUTICA MENS</t>
        </is>
      </c>
      <c r="B3342" t="inlineStr">
        <is>
          <t>V622744</t>
        </is>
      </c>
      <c r="C3342" t="inlineStr">
        <is>
          <t>POLYSTR REVERSIBLE</t>
        </is>
      </c>
      <c r="D3342" t="inlineStr">
        <is>
          <t>CLG</t>
        </is>
      </c>
      <c r="E3342" t="inlineStr">
        <is>
          <t>(en blanco)</t>
        </is>
      </c>
      <c r="F3342" t="inlineStr">
        <is>
          <t>(en blanco)</t>
        </is>
      </c>
      <c r="G3342" t="inlineStr">
        <is>
          <t>S</t>
        </is>
      </c>
      <c r="H3342" t="n">
        <v>1</v>
      </c>
      <c r="I3342" t="inlineStr">
        <is>
          <t>NAUTICA_MENS_V622744_CLG_1.jpg</t>
        </is>
      </c>
      <c r="J3342" t="inlineStr">
        <is>
          <t>NAUTICA_MENS_V622744_CLG_2.jpg</t>
        </is>
      </c>
      <c r="K3342" t="inlineStr">
        <is>
          <t>NAUTICA_MENS_V622744_CLG_3.jpg</t>
        </is>
      </c>
      <c r="L3342">
        <f>IMAGE("file:///E:/Estudios%20y%20certificaciones/ESTUDIOS%20DE%20PROGRAMMING/PROGRAMMING/PERSONAL/PYTHON/Image_Generator_API/imagenes/NAUTICA_MENS_V622744_CLG_1.jpg")</f>
        <v/>
      </c>
      <c r="M3342">
        <f>IMAGE("file:///E:/Estudios%20y%20certificaciones/ESTUDIOS%20DE%20PROGRAMMING/PROGRAMMING/PERSONAL/PYTHON/Image_Generator_API/imagenes/NAUTICA_MENS_V622744_CLG_2.jpg")</f>
        <v/>
      </c>
      <c r="N3342">
        <f>IMAGE("file:///E:/Estudios%20y%20certificaciones/ESTUDIOS%20DE%20PROGRAMMING/PROGRAMMING/PERSONAL/PYTHON/Image_Generator_API/imagenes/NAUTICA_MENS_V622744_CLG_3.jpg")</f>
        <v/>
      </c>
      <c r="O3342">
        <f>HYPERLINK("imagenes/NAUTICA_MENS_V622744_CLG_1.jpg","Ver imagen")</f>
        <v/>
      </c>
      <c r="P3342">
        <f>HYPERLINK("imagenes/NAUTICA_MENS_V622744_CLG_2.jpg","Ver imagen")</f>
        <v/>
      </c>
      <c r="Q3342">
        <f>HYPERLINK("imagenes/NAUTICA_MENS_V622744_CLG_3.jpg","Ver imagen")</f>
        <v/>
      </c>
    </row>
    <row r="3343">
      <c r="A3343" t="inlineStr">
        <is>
          <t>NAUTICA MENS</t>
        </is>
      </c>
      <c r="B3343" t="inlineStr">
        <is>
          <t>V622744</t>
        </is>
      </c>
      <c r="C3343" t="inlineStr">
        <is>
          <t>POLYSTR REVERSIBLE</t>
        </is>
      </c>
      <c r="D3343" t="inlineStr">
        <is>
          <t>CLG</t>
        </is>
      </c>
      <c r="E3343" t="inlineStr">
        <is>
          <t>(en blanco)</t>
        </is>
      </c>
      <c r="F3343" t="inlineStr">
        <is>
          <t>(en blanco)</t>
        </is>
      </c>
      <c r="G3343" t="inlineStr">
        <is>
          <t>M</t>
        </is>
      </c>
      <c r="H3343" t="n">
        <v>0</v>
      </c>
      <c r="I3343" t="inlineStr">
        <is>
          <t>NAUTICA_MENS_V622744_CLG_1.jpg</t>
        </is>
      </c>
      <c r="J3343" t="inlineStr">
        <is>
          <t>NAUTICA_MENS_V622744_CLG_2.jpg</t>
        </is>
      </c>
      <c r="K3343" t="inlineStr">
        <is>
          <t>NAUTICA_MENS_V622744_CLG_3.jpg</t>
        </is>
      </c>
      <c r="L3343">
        <f>IMAGE("file:///E:/Estudios%20y%20certificaciones/ESTUDIOS%20DE%20PROGRAMMING/PROGRAMMING/PERSONAL/PYTHON/Image_Generator_API/imagenes/NAUTICA_MENS_V622744_CLG_1.jpg")</f>
        <v/>
      </c>
      <c r="M3343">
        <f>IMAGE("file:///E:/Estudios%20y%20certificaciones/ESTUDIOS%20DE%20PROGRAMMING/PROGRAMMING/PERSONAL/PYTHON/Image_Generator_API/imagenes/NAUTICA_MENS_V622744_CLG_2.jpg")</f>
        <v/>
      </c>
      <c r="N3343">
        <f>IMAGE("file:///E:/Estudios%20y%20certificaciones/ESTUDIOS%20DE%20PROGRAMMING/PROGRAMMING/PERSONAL/PYTHON/Image_Generator_API/imagenes/NAUTICA_MENS_V622744_CLG_3.jpg")</f>
        <v/>
      </c>
      <c r="O3343">
        <f>HYPERLINK("imagenes/NAUTICA_MENS_V622744_CLG_1.jpg","Ver imagen")</f>
        <v/>
      </c>
      <c r="P3343">
        <f>HYPERLINK("imagenes/NAUTICA_MENS_V622744_CLG_2.jpg","Ver imagen")</f>
        <v/>
      </c>
      <c r="Q3343">
        <f>HYPERLINK("imagenes/NAUTICA_MENS_V622744_CLG_3.jpg","Ver imagen")</f>
        <v/>
      </c>
    </row>
    <row r="3344">
      <c r="A3344" t="inlineStr">
        <is>
          <t>NAUTICA MENS</t>
        </is>
      </c>
      <c r="B3344" t="inlineStr">
        <is>
          <t>V622744</t>
        </is>
      </c>
      <c r="C3344" t="inlineStr">
        <is>
          <t>POLYSTR REVERSIBLE</t>
        </is>
      </c>
      <c r="D3344" t="inlineStr">
        <is>
          <t>CLG</t>
        </is>
      </c>
      <c r="E3344" t="inlineStr">
        <is>
          <t>(en blanco)</t>
        </is>
      </c>
      <c r="F3344" t="inlineStr">
        <is>
          <t>(en blanco)</t>
        </is>
      </c>
      <c r="G3344" t="inlineStr">
        <is>
          <t>L</t>
        </is>
      </c>
      <c r="H3344" t="n">
        <v>186</v>
      </c>
      <c r="I3344" t="inlineStr">
        <is>
          <t>NAUTICA_MENS_V622744_CLG_1.jpg</t>
        </is>
      </c>
      <c r="J3344" t="inlineStr">
        <is>
          <t>NAUTICA_MENS_V622744_CLG_2.jpg</t>
        </is>
      </c>
      <c r="K3344" t="inlineStr">
        <is>
          <t>NAUTICA_MENS_V622744_CLG_3.jpg</t>
        </is>
      </c>
      <c r="L3344">
        <f>IMAGE("file:///E:/Estudios%20y%20certificaciones/ESTUDIOS%20DE%20PROGRAMMING/PROGRAMMING/PERSONAL/PYTHON/Image_Generator_API/imagenes/NAUTICA_MENS_V622744_CLG_1.jpg")</f>
        <v/>
      </c>
      <c r="M3344">
        <f>IMAGE("file:///E:/Estudios%20y%20certificaciones/ESTUDIOS%20DE%20PROGRAMMING/PROGRAMMING/PERSONAL/PYTHON/Image_Generator_API/imagenes/NAUTICA_MENS_V622744_CLG_2.jpg")</f>
        <v/>
      </c>
      <c r="N3344">
        <f>IMAGE("file:///E:/Estudios%20y%20certificaciones/ESTUDIOS%20DE%20PROGRAMMING/PROGRAMMING/PERSONAL/PYTHON/Image_Generator_API/imagenes/NAUTICA_MENS_V622744_CLG_3.jpg")</f>
        <v/>
      </c>
      <c r="O3344">
        <f>HYPERLINK("imagenes/NAUTICA_MENS_V622744_CLG_1.jpg","Ver imagen")</f>
        <v/>
      </c>
      <c r="P3344">
        <f>HYPERLINK("imagenes/NAUTICA_MENS_V622744_CLG_2.jpg","Ver imagen")</f>
        <v/>
      </c>
      <c r="Q3344">
        <f>HYPERLINK("imagenes/NAUTICA_MENS_V622744_CLG_3.jpg","Ver imagen")</f>
        <v/>
      </c>
    </row>
    <row r="3345">
      <c r="A3345" t="inlineStr">
        <is>
          <t>NAUTICA MENS</t>
        </is>
      </c>
      <c r="B3345" t="inlineStr">
        <is>
          <t>V622744</t>
        </is>
      </c>
      <c r="C3345" t="inlineStr">
        <is>
          <t>POLYSTR REVERSIBLE</t>
        </is>
      </c>
      <c r="D3345" t="inlineStr">
        <is>
          <t>CLG</t>
        </is>
      </c>
      <c r="E3345" t="inlineStr">
        <is>
          <t>(en blanco)</t>
        </is>
      </c>
      <c r="F3345" t="inlineStr">
        <is>
          <t>(en blanco)</t>
        </is>
      </c>
      <c r="G3345" t="inlineStr">
        <is>
          <t>XL</t>
        </is>
      </c>
      <c r="H3345" t="n">
        <v>99</v>
      </c>
      <c r="I3345" t="inlineStr">
        <is>
          <t>NAUTICA_MENS_V622744_CLG_1.jpg</t>
        </is>
      </c>
      <c r="J3345" t="inlineStr">
        <is>
          <t>NAUTICA_MENS_V622744_CLG_2.jpg</t>
        </is>
      </c>
      <c r="K3345" t="inlineStr">
        <is>
          <t>NAUTICA_MENS_V622744_CLG_3.jpg</t>
        </is>
      </c>
      <c r="L3345">
        <f>IMAGE("file:///E:/Estudios%20y%20certificaciones/ESTUDIOS%20DE%20PROGRAMMING/PROGRAMMING/PERSONAL/PYTHON/Image_Generator_API/imagenes/NAUTICA_MENS_V622744_CLG_1.jpg")</f>
        <v/>
      </c>
      <c r="M3345">
        <f>IMAGE("file:///E:/Estudios%20y%20certificaciones/ESTUDIOS%20DE%20PROGRAMMING/PROGRAMMING/PERSONAL/PYTHON/Image_Generator_API/imagenes/NAUTICA_MENS_V622744_CLG_2.jpg")</f>
        <v/>
      </c>
      <c r="N3345">
        <f>IMAGE("file:///E:/Estudios%20y%20certificaciones/ESTUDIOS%20DE%20PROGRAMMING/PROGRAMMING/PERSONAL/PYTHON/Image_Generator_API/imagenes/NAUTICA_MENS_V622744_CLG_3.jpg")</f>
        <v/>
      </c>
      <c r="O3345">
        <f>HYPERLINK("imagenes/NAUTICA_MENS_V622744_CLG_1.jpg","Ver imagen")</f>
        <v/>
      </c>
      <c r="P3345">
        <f>HYPERLINK("imagenes/NAUTICA_MENS_V622744_CLG_2.jpg","Ver imagen")</f>
        <v/>
      </c>
      <c r="Q3345">
        <f>HYPERLINK("imagenes/NAUTICA_MENS_V622744_CLG_3.jpg","Ver imagen")</f>
        <v/>
      </c>
    </row>
    <row r="3346">
      <c r="A3346" t="inlineStr">
        <is>
          <t>NAUTICA MENS</t>
        </is>
      </c>
      <c r="B3346" t="inlineStr">
        <is>
          <t>V622744</t>
        </is>
      </c>
      <c r="C3346" t="inlineStr">
        <is>
          <t>POLYSTR REVERSIBLE</t>
        </is>
      </c>
      <c r="D3346" t="inlineStr">
        <is>
          <t>CLG</t>
        </is>
      </c>
      <c r="E3346" t="inlineStr">
        <is>
          <t>(en blanco)</t>
        </is>
      </c>
      <c r="F3346" t="inlineStr">
        <is>
          <t>(en blanco)</t>
        </is>
      </c>
      <c r="G3346" t="inlineStr">
        <is>
          <t>XXL</t>
        </is>
      </c>
      <c r="H3346" t="n">
        <v>80</v>
      </c>
      <c r="I3346" t="inlineStr">
        <is>
          <t>NAUTICA_MENS_V622744_CLG_1.jpg</t>
        </is>
      </c>
      <c r="J3346" t="inlineStr">
        <is>
          <t>NAUTICA_MENS_V622744_CLG_2.jpg</t>
        </is>
      </c>
      <c r="K3346" t="inlineStr">
        <is>
          <t>NAUTICA_MENS_V622744_CLG_3.jpg</t>
        </is>
      </c>
      <c r="L3346">
        <f>IMAGE("file:///E:/Estudios%20y%20certificaciones/ESTUDIOS%20DE%20PROGRAMMING/PROGRAMMING/PERSONAL/PYTHON/Image_Generator_API/imagenes/NAUTICA_MENS_V622744_CLG_1.jpg")</f>
        <v/>
      </c>
      <c r="M3346">
        <f>IMAGE("file:///E:/Estudios%20y%20certificaciones/ESTUDIOS%20DE%20PROGRAMMING/PROGRAMMING/PERSONAL/PYTHON/Image_Generator_API/imagenes/NAUTICA_MENS_V622744_CLG_2.jpg")</f>
        <v/>
      </c>
      <c r="N3346">
        <f>IMAGE("file:///E:/Estudios%20y%20certificaciones/ESTUDIOS%20DE%20PROGRAMMING/PROGRAMMING/PERSONAL/PYTHON/Image_Generator_API/imagenes/NAUTICA_MENS_V622744_CLG_3.jpg")</f>
        <v/>
      </c>
      <c r="O3346">
        <f>HYPERLINK("imagenes/NAUTICA_MENS_V622744_CLG_1.jpg","Ver imagen")</f>
        <v/>
      </c>
      <c r="P3346">
        <f>HYPERLINK("imagenes/NAUTICA_MENS_V622744_CLG_2.jpg","Ver imagen")</f>
        <v/>
      </c>
      <c r="Q3346">
        <f>HYPERLINK("imagenes/NAUTICA_MENS_V622744_CLG_3.jpg","Ver imagen")</f>
        <v/>
      </c>
    </row>
    <row r="3347">
      <c r="A3347" t="inlineStr">
        <is>
          <t>NAUTICA MENS</t>
        </is>
      </c>
      <c r="B3347" t="inlineStr">
        <is>
          <t>V622744</t>
        </is>
      </c>
      <c r="C3347" t="inlineStr">
        <is>
          <t>POLYSTR REVERSIBLE</t>
        </is>
      </c>
      <c r="D3347" t="inlineStr">
        <is>
          <t>CO8</t>
        </is>
      </c>
      <c r="E3347" t="inlineStr">
        <is>
          <t>(en blanco)</t>
        </is>
      </c>
      <c r="F3347" t="inlineStr">
        <is>
          <t>(en blanco)</t>
        </is>
      </c>
      <c r="G3347" t="inlineStr">
        <is>
          <t>S</t>
        </is>
      </c>
      <c r="H3347" t="n">
        <v>40</v>
      </c>
      <c r="I3347" t="inlineStr">
        <is>
          <t>NAUTICA_MENS_V622744_CO8_1.jpg</t>
        </is>
      </c>
      <c r="J3347" t="inlineStr">
        <is>
          <t>NAUTICA_MENS_V622744_CO8_2.jpg</t>
        </is>
      </c>
      <c r="K3347" t="inlineStr">
        <is>
          <t>NAUTICA_MENS_V622744_CO8_3.jpg</t>
        </is>
      </c>
      <c r="L3347">
        <f>IMAGE("file:///E:/Estudios%20y%20certificaciones/ESTUDIOS%20DE%20PROGRAMMING/PROGRAMMING/PERSONAL/PYTHON/Image_Generator_API/imagenes/NAUTICA_MENS_V622744_CO8_1.jpg")</f>
        <v/>
      </c>
      <c r="M3347">
        <f>IMAGE("file:///E:/Estudios%20y%20certificaciones/ESTUDIOS%20DE%20PROGRAMMING/PROGRAMMING/PERSONAL/PYTHON/Image_Generator_API/imagenes/NAUTICA_MENS_V622744_CO8_2.jpg")</f>
        <v/>
      </c>
      <c r="N3347">
        <f>IMAGE("file:///E:/Estudios%20y%20certificaciones/ESTUDIOS%20DE%20PROGRAMMING/PROGRAMMING/PERSONAL/PYTHON/Image_Generator_API/imagenes/NAUTICA_MENS_V622744_CO8_3.jpg")</f>
        <v/>
      </c>
      <c r="O3347">
        <f>HYPERLINK("imagenes/NAUTICA_MENS_V622744_CO8_1.jpg","Ver imagen")</f>
        <v/>
      </c>
      <c r="P3347">
        <f>HYPERLINK("imagenes/NAUTICA_MENS_V622744_CO8_2.jpg","Ver imagen")</f>
        <v/>
      </c>
      <c r="Q3347">
        <f>HYPERLINK("imagenes/NAUTICA_MENS_V622744_CO8_3.jpg","Ver imagen")</f>
        <v/>
      </c>
    </row>
    <row r="3348">
      <c r="A3348" t="inlineStr">
        <is>
          <t>NAUTICA MENS</t>
        </is>
      </c>
      <c r="B3348" t="inlineStr">
        <is>
          <t>V622744</t>
        </is>
      </c>
      <c r="C3348" t="inlineStr">
        <is>
          <t>POLYSTR REVERSIBLE</t>
        </is>
      </c>
      <c r="D3348" t="inlineStr">
        <is>
          <t>CO8</t>
        </is>
      </c>
      <c r="E3348" t="inlineStr">
        <is>
          <t>(en blanco)</t>
        </is>
      </c>
      <c r="F3348" t="inlineStr">
        <is>
          <t>(en blanco)</t>
        </is>
      </c>
      <c r="G3348" t="inlineStr">
        <is>
          <t>M</t>
        </is>
      </c>
      <c r="H3348" t="n">
        <v>76</v>
      </c>
      <c r="I3348" t="inlineStr">
        <is>
          <t>NAUTICA_MENS_V622744_CO8_1.jpg</t>
        </is>
      </c>
      <c r="J3348" t="inlineStr">
        <is>
          <t>NAUTICA_MENS_V622744_CO8_2.jpg</t>
        </is>
      </c>
      <c r="K3348" t="inlineStr">
        <is>
          <t>NAUTICA_MENS_V622744_CO8_3.jpg</t>
        </is>
      </c>
      <c r="L3348">
        <f>IMAGE("file:///E:/Estudios%20y%20certificaciones/ESTUDIOS%20DE%20PROGRAMMING/PROGRAMMING/PERSONAL/PYTHON/Image_Generator_API/imagenes/NAUTICA_MENS_V622744_CO8_1.jpg")</f>
        <v/>
      </c>
      <c r="M3348">
        <f>IMAGE("file:///E:/Estudios%20y%20certificaciones/ESTUDIOS%20DE%20PROGRAMMING/PROGRAMMING/PERSONAL/PYTHON/Image_Generator_API/imagenes/NAUTICA_MENS_V622744_CO8_2.jpg")</f>
        <v/>
      </c>
      <c r="N3348">
        <f>IMAGE("file:///E:/Estudios%20y%20certificaciones/ESTUDIOS%20DE%20PROGRAMMING/PROGRAMMING/PERSONAL/PYTHON/Image_Generator_API/imagenes/NAUTICA_MENS_V622744_CO8_3.jpg")</f>
        <v/>
      </c>
      <c r="O3348">
        <f>HYPERLINK("imagenes/NAUTICA_MENS_V622744_CO8_1.jpg","Ver imagen")</f>
        <v/>
      </c>
      <c r="P3348">
        <f>HYPERLINK("imagenes/NAUTICA_MENS_V622744_CO8_2.jpg","Ver imagen")</f>
        <v/>
      </c>
      <c r="Q3348">
        <f>HYPERLINK("imagenes/NAUTICA_MENS_V622744_CO8_3.jpg","Ver imagen")</f>
        <v/>
      </c>
    </row>
    <row r="3349">
      <c r="A3349" t="inlineStr">
        <is>
          <t>NAUTICA MENS</t>
        </is>
      </c>
      <c r="B3349" t="inlineStr">
        <is>
          <t>V622744</t>
        </is>
      </c>
      <c r="C3349" t="inlineStr">
        <is>
          <t>POLYSTR REVERSIBLE</t>
        </is>
      </c>
      <c r="D3349" t="inlineStr">
        <is>
          <t>CO8</t>
        </is>
      </c>
      <c r="E3349" t="inlineStr">
        <is>
          <t>(en blanco)</t>
        </is>
      </c>
      <c r="F3349" t="inlineStr">
        <is>
          <t>(en blanco)</t>
        </is>
      </c>
      <c r="G3349" t="inlineStr">
        <is>
          <t>L</t>
        </is>
      </c>
      <c r="H3349" t="n">
        <v>171</v>
      </c>
      <c r="I3349" t="inlineStr">
        <is>
          <t>NAUTICA_MENS_V622744_CO8_1.jpg</t>
        </is>
      </c>
      <c r="J3349" t="inlineStr">
        <is>
          <t>NAUTICA_MENS_V622744_CO8_2.jpg</t>
        </is>
      </c>
      <c r="K3349" t="inlineStr">
        <is>
          <t>NAUTICA_MENS_V622744_CO8_3.jpg</t>
        </is>
      </c>
      <c r="L3349">
        <f>IMAGE("file:///E:/Estudios%20y%20certificaciones/ESTUDIOS%20DE%20PROGRAMMING/PROGRAMMING/PERSONAL/PYTHON/Image_Generator_API/imagenes/NAUTICA_MENS_V622744_CO8_1.jpg")</f>
        <v/>
      </c>
      <c r="M3349">
        <f>IMAGE("file:///E:/Estudios%20y%20certificaciones/ESTUDIOS%20DE%20PROGRAMMING/PROGRAMMING/PERSONAL/PYTHON/Image_Generator_API/imagenes/NAUTICA_MENS_V622744_CO8_2.jpg")</f>
        <v/>
      </c>
      <c r="N3349">
        <f>IMAGE("file:///E:/Estudios%20y%20certificaciones/ESTUDIOS%20DE%20PROGRAMMING/PROGRAMMING/PERSONAL/PYTHON/Image_Generator_API/imagenes/NAUTICA_MENS_V622744_CO8_3.jpg")</f>
        <v/>
      </c>
      <c r="O3349">
        <f>HYPERLINK("imagenes/NAUTICA_MENS_V622744_CO8_1.jpg","Ver imagen")</f>
        <v/>
      </c>
      <c r="P3349">
        <f>HYPERLINK("imagenes/NAUTICA_MENS_V622744_CO8_2.jpg","Ver imagen")</f>
        <v/>
      </c>
      <c r="Q3349">
        <f>HYPERLINK("imagenes/NAUTICA_MENS_V622744_CO8_3.jpg","Ver imagen")</f>
        <v/>
      </c>
    </row>
    <row r="3350">
      <c r="A3350" t="inlineStr">
        <is>
          <t>NAUTICA MENS</t>
        </is>
      </c>
      <c r="B3350" t="inlineStr">
        <is>
          <t>V622744</t>
        </is>
      </c>
      <c r="C3350" t="inlineStr">
        <is>
          <t>POLYSTR REVERSIBLE</t>
        </is>
      </c>
      <c r="D3350" t="inlineStr">
        <is>
          <t>CO8</t>
        </is>
      </c>
      <c r="E3350" t="inlineStr">
        <is>
          <t>(en blanco)</t>
        </is>
      </c>
      <c r="F3350" t="inlineStr">
        <is>
          <t>(en blanco)</t>
        </is>
      </c>
      <c r="G3350" t="inlineStr">
        <is>
          <t>XL</t>
        </is>
      </c>
      <c r="H3350" t="n">
        <v>126</v>
      </c>
      <c r="I3350" t="inlineStr">
        <is>
          <t>NAUTICA_MENS_V622744_CO8_1.jpg</t>
        </is>
      </c>
      <c r="J3350" t="inlineStr">
        <is>
          <t>NAUTICA_MENS_V622744_CO8_2.jpg</t>
        </is>
      </c>
      <c r="K3350" t="inlineStr">
        <is>
          <t>NAUTICA_MENS_V622744_CO8_3.jpg</t>
        </is>
      </c>
      <c r="L3350">
        <f>IMAGE("file:///E:/Estudios%20y%20certificaciones/ESTUDIOS%20DE%20PROGRAMMING/PROGRAMMING/PERSONAL/PYTHON/Image_Generator_API/imagenes/NAUTICA_MENS_V622744_CO8_1.jpg")</f>
        <v/>
      </c>
      <c r="M3350">
        <f>IMAGE("file:///E:/Estudios%20y%20certificaciones/ESTUDIOS%20DE%20PROGRAMMING/PROGRAMMING/PERSONAL/PYTHON/Image_Generator_API/imagenes/NAUTICA_MENS_V622744_CO8_2.jpg")</f>
        <v/>
      </c>
      <c r="N3350">
        <f>IMAGE("file:///E:/Estudios%20y%20certificaciones/ESTUDIOS%20DE%20PROGRAMMING/PROGRAMMING/PERSONAL/PYTHON/Image_Generator_API/imagenes/NAUTICA_MENS_V622744_CO8_3.jpg")</f>
        <v/>
      </c>
      <c r="O3350">
        <f>HYPERLINK("imagenes/NAUTICA_MENS_V622744_CO8_1.jpg","Ver imagen")</f>
        <v/>
      </c>
      <c r="P3350">
        <f>HYPERLINK("imagenes/NAUTICA_MENS_V622744_CO8_2.jpg","Ver imagen")</f>
        <v/>
      </c>
      <c r="Q3350">
        <f>HYPERLINK("imagenes/NAUTICA_MENS_V622744_CO8_3.jpg","Ver imagen")</f>
        <v/>
      </c>
    </row>
    <row r="3351">
      <c r="A3351" t="inlineStr">
        <is>
          <t>NAUTICA MENS</t>
        </is>
      </c>
      <c r="B3351" t="inlineStr">
        <is>
          <t>V622744</t>
        </is>
      </c>
      <c r="C3351" t="inlineStr">
        <is>
          <t>POLYSTR REVERSIBLE</t>
        </is>
      </c>
      <c r="D3351" t="inlineStr">
        <is>
          <t>CO8</t>
        </is>
      </c>
      <c r="E3351" t="inlineStr">
        <is>
          <t>(en blanco)</t>
        </is>
      </c>
      <c r="F3351" t="inlineStr">
        <is>
          <t>(en blanco)</t>
        </is>
      </c>
      <c r="G3351" t="inlineStr">
        <is>
          <t>XXL</t>
        </is>
      </c>
      <c r="H3351" t="n">
        <v>83</v>
      </c>
      <c r="I3351" t="inlineStr">
        <is>
          <t>NAUTICA_MENS_V622744_CO8_1.jpg</t>
        </is>
      </c>
      <c r="J3351" t="inlineStr">
        <is>
          <t>NAUTICA_MENS_V622744_CO8_2.jpg</t>
        </is>
      </c>
      <c r="K3351" t="inlineStr">
        <is>
          <t>NAUTICA_MENS_V622744_CO8_3.jpg</t>
        </is>
      </c>
      <c r="L3351">
        <f>IMAGE("file:///E:/Estudios%20y%20certificaciones/ESTUDIOS%20DE%20PROGRAMMING/PROGRAMMING/PERSONAL/PYTHON/Image_Generator_API/imagenes/NAUTICA_MENS_V622744_CO8_1.jpg")</f>
        <v/>
      </c>
      <c r="M3351">
        <f>IMAGE("file:///E:/Estudios%20y%20certificaciones/ESTUDIOS%20DE%20PROGRAMMING/PROGRAMMING/PERSONAL/PYTHON/Image_Generator_API/imagenes/NAUTICA_MENS_V622744_CO8_2.jpg")</f>
        <v/>
      </c>
      <c r="N3351">
        <f>IMAGE("file:///E:/Estudios%20y%20certificaciones/ESTUDIOS%20DE%20PROGRAMMING/PROGRAMMING/PERSONAL/PYTHON/Image_Generator_API/imagenes/NAUTICA_MENS_V622744_CO8_3.jpg")</f>
        <v/>
      </c>
      <c r="O3351">
        <f>HYPERLINK("imagenes/NAUTICA_MENS_V622744_CO8_1.jpg","Ver imagen")</f>
        <v/>
      </c>
      <c r="P3351">
        <f>HYPERLINK("imagenes/NAUTICA_MENS_V622744_CO8_2.jpg","Ver imagen")</f>
        <v/>
      </c>
      <c r="Q3351">
        <f>HYPERLINK("imagenes/NAUTICA_MENS_V622744_CO8_3.jpg","Ver imagen")</f>
        <v/>
      </c>
    </row>
    <row r="3352">
      <c r="A3352" t="inlineStr">
        <is>
          <t>NAUTICA MENS</t>
        </is>
      </c>
      <c r="B3352" t="inlineStr">
        <is>
          <t>V622744</t>
        </is>
      </c>
      <c r="C3352" t="inlineStr">
        <is>
          <t>POLYSTR REVERSIBLE</t>
        </is>
      </c>
      <c r="D3352" t="inlineStr">
        <is>
          <t>DFS</t>
        </is>
      </c>
      <c r="E3352" t="inlineStr">
        <is>
          <t>(en blanco)</t>
        </is>
      </c>
      <c r="F3352" t="inlineStr">
        <is>
          <t>D2C</t>
        </is>
      </c>
      <c r="G3352" t="inlineStr">
        <is>
          <t>M</t>
        </is>
      </c>
      <c r="H3352" t="n">
        <v>1</v>
      </c>
      <c r="I3352" t="inlineStr">
        <is>
          <t>NAUTICA_MENS_V622744_DFS_1.jpg</t>
        </is>
      </c>
      <c r="J3352" t="inlineStr">
        <is>
          <t>NAUTICA_MENS_V622744_DFS_2.jpg</t>
        </is>
      </c>
      <c r="K3352" t="inlineStr">
        <is>
          <t>NAUTICA_MENS_V622744_DFS_3.jpg</t>
        </is>
      </c>
      <c r="L3352">
        <f>IMAGE("file:///E:/Estudios%20y%20certificaciones/ESTUDIOS%20DE%20PROGRAMMING/PROGRAMMING/PERSONAL/PYTHON/Image_Generator_API/imagenes/NAUTICA_MENS_V622744_DFS_1.jpg")</f>
        <v/>
      </c>
      <c r="M3352">
        <f>IMAGE("file:///E:/Estudios%20y%20certificaciones/ESTUDIOS%20DE%20PROGRAMMING/PROGRAMMING/PERSONAL/PYTHON/Image_Generator_API/imagenes/NAUTICA_MENS_V622744_DFS_2.jpg")</f>
        <v/>
      </c>
      <c r="N3352">
        <f>IMAGE("file:///E:/Estudios%20y%20certificaciones/ESTUDIOS%20DE%20PROGRAMMING/PROGRAMMING/PERSONAL/PYTHON/Image_Generator_API/imagenes/NAUTICA_MENS_V622744_DFS_3.jpg")</f>
        <v/>
      </c>
      <c r="O3352">
        <f>HYPERLINK("imagenes/NAUTICA_MENS_V622744_DFS_1.jpg","Ver imagen")</f>
        <v/>
      </c>
      <c r="P3352">
        <f>HYPERLINK("imagenes/NAUTICA_MENS_V622744_DFS_2.jpg","Ver imagen")</f>
        <v/>
      </c>
      <c r="Q3352">
        <f>HYPERLINK("imagenes/NAUTICA_MENS_V622744_DFS_3.jpg","Ver imagen")</f>
        <v/>
      </c>
    </row>
    <row r="3353">
      <c r="A3353" t="inlineStr">
        <is>
          <t>NAUTICA MENS</t>
        </is>
      </c>
      <c r="B3353" t="inlineStr">
        <is>
          <t>V622744</t>
        </is>
      </c>
      <c r="C3353" t="inlineStr">
        <is>
          <t>POLYSTR REVERSIBLE</t>
        </is>
      </c>
      <c r="D3353" t="inlineStr">
        <is>
          <t>DFS</t>
        </is>
      </c>
      <c r="E3353" t="inlineStr">
        <is>
          <t>(en blanco)</t>
        </is>
      </c>
      <c r="F3353" t="inlineStr">
        <is>
          <t>D2C</t>
        </is>
      </c>
      <c r="G3353" t="inlineStr">
        <is>
          <t>L</t>
        </is>
      </c>
      <c r="H3353" t="n">
        <v>7</v>
      </c>
      <c r="I3353" t="inlineStr">
        <is>
          <t>NAUTICA_MENS_V622744_DFS_1.jpg</t>
        </is>
      </c>
      <c r="J3353" t="inlineStr">
        <is>
          <t>NAUTICA_MENS_V622744_DFS_2.jpg</t>
        </is>
      </c>
      <c r="K3353" t="inlineStr">
        <is>
          <t>NAUTICA_MENS_V622744_DFS_3.jpg</t>
        </is>
      </c>
      <c r="L3353">
        <f>IMAGE("file:///E:/Estudios%20y%20certificaciones/ESTUDIOS%20DE%20PROGRAMMING/PROGRAMMING/PERSONAL/PYTHON/Image_Generator_API/imagenes/NAUTICA_MENS_V622744_DFS_1.jpg")</f>
        <v/>
      </c>
      <c r="M3353">
        <f>IMAGE("file:///E:/Estudios%20y%20certificaciones/ESTUDIOS%20DE%20PROGRAMMING/PROGRAMMING/PERSONAL/PYTHON/Image_Generator_API/imagenes/NAUTICA_MENS_V622744_DFS_2.jpg")</f>
        <v/>
      </c>
      <c r="N3353">
        <f>IMAGE("file:///E:/Estudios%20y%20certificaciones/ESTUDIOS%20DE%20PROGRAMMING/PROGRAMMING/PERSONAL/PYTHON/Image_Generator_API/imagenes/NAUTICA_MENS_V622744_DFS_3.jpg")</f>
        <v/>
      </c>
      <c r="O3353">
        <f>HYPERLINK("imagenes/NAUTICA_MENS_V622744_DFS_1.jpg","Ver imagen")</f>
        <v/>
      </c>
      <c r="P3353">
        <f>HYPERLINK("imagenes/NAUTICA_MENS_V622744_DFS_2.jpg","Ver imagen")</f>
        <v/>
      </c>
      <c r="Q3353">
        <f>HYPERLINK("imagenes/NAUTICA_MENS_V622744_DFS_3.jpg","Ver imagen")</f>
        <v/>
      </c>
    </row>
    <row r="3354">
      <c r="A3354" t="inlineStr">
        <is>
          <t>NAUTICA MENS</t>
        </is>
      </c>
      <c r="B3354" t="inlineStr">
        <is>
          <t>V622744</t>
        </is>
      </c>
      <c r="C3354" t="inlineStr">
        <is>
          <t>POLYSTR REVERSIBLE</t>
        </is>
      </c>
      <c r="D3354" t="inlineStr">
        <is>
          <t>DFS</t>
        </is>
      </c>
      <c r="E3354" t="inlineStr">
        <is>
          <t>(en blanco)</t>
        </is>
      </c>
      <c r="F3354" t="inlineStr">
        <is>
          <t>D2C</t>
        </is>
      </c>
      <c r="G3354" t="inlineStr">
        <is>
          <t>XL</t>
        </is>
      </c>
      <c r="H3354" t="n">
        <v>21</v>
      </c>
      <c r="I3354" t="inlineStr">
        <is>
          <t>NAUTICA_MENS_V622744_DFS_1.jpg</t>
        </is>
      </c>
      <c r="J3354" t="inlineStr">
        <is>
          <t>NAUTICA_MENS_V622744_DFS_2.jpg</t>
        </is>
      </c>
      <c r="K3354" t="inlineStr">
        <is>
          <t>NAUTICA_MENS_V622744_DFS_3.jpg</t>
        </is>
      </c>
      <c r="L3354">
        <f>IMAGE("file:///E:/Estudios%20y%20certificaciones/ESTUDIOS%20DE%20PROGRAMMING/PROGRAMMING/PERSONAL/PYTHON/Image_Generator_API/imagenes/NAUTICA_MENS_V622744_DFS_1.jpg")</f>
        <v/>
      </c>
      <c r="M3354">
        <f>IMAGE("file:///E:/Estudios%20y%20certificaciones/ESTUDIOS%20DE%20PROGRAMMING/PROGRAMMING/PERSONAL/PYTHON/Image_Generator_API/imagenes/NAUTICA_MENS_V622744_DFS_2.jpg")</f>
        <v/>
      </c>
      <c r="N3354">
        <f>IMAGE("file:///E:/Estudios%20y%20certificaciones/ESTUDIOS%20DE%20PROGRAMMING/PROGRAMMING/PERSONAL/PYTHON/Image_Generator_API/imagenes/NAUTICA_MENS_V622744_DFS_3.jpg")</f>
        <v/>
      </c>
      <c r="O3354">
        <f>HYPERLINK("imagenes/NAUTICA_MENS_V622744_DFS_1.jpg","Ver imagen")</f>
        <v/>
      </c>
      <c r="P3354">
        <f>HYPERLINK("imagenes/NAUTICA_MENS_V622744_DFS_2.jpg","Ver imagen")</f>
        <v/>
      </c>
      <c r="Q3354">
        <f>HYPERLINK("imagenes/NAUTICA_MENS_V622744_DFS_3.jpg","Ver imagen")</f>
        <v/>
      </c>
    </row>
    <row r="3355">
      <c r="A3355" t="inlineStr">
        <is>
          <t>NAUTICA MENS</t>
        </is>
      </c>
      <c r="B3355" t="inlineStr">
        <is>
          <t>V622744</t>
        </is>
      </c>
      <c r="C3355" t="inlineStr">
        <is>
          <t>POLYSTR REVERSIBLE</t>
        </is>
      </c>
      <c r="D3355" t="inlineStr">
        <is>
          <t>DFS</t>
        </is>
      </c>
      <c r="E3355" t="inlineStr">
        <is>
          <t>(en blanco)</t>
        </is>
      </c>
      <c r="F3355" t="inlineStr">
        <is>
          <t>D2C</t>
        </is>
      </c>
      <c r="G3355" t="inlineStr">
        <is>
          <t>XXL</t>
        </is>
      </c>
      <c r="H3355" t="n">
        <v>28</v>
      </c>
      <c r="I3355" t="inlineStr">
        <is>
          <t>NAUTICA_MENS_V622744_DFS_1.jpg</t>
        </is>
      </c>
      <c r="J3355" t="inlineStr">
        <is>
          <t>NAUTICA_MENS_V622744_DFS_2.jpg</t>
        </is>
      </c>
      <c r="K3355" t="inlineStr">
        <is>
          <t>NAUTICA_MENS_V622744_DFS_3.jpg</t>
        </is>
      </c>
      <c r="L3355">
        <f>IMAGE("file:///E:/Estudios%20y%20certificaciones/ESTUDIOS%20DE%20PROGRAMMING/PROGRAMMING/PERSONAL/PYTHON/Image_Generator_API/imagenes/NAUTICA_MENS_V622744_DFS_1.jpg")</f>
        <v/>
      </c>
      <c r="M3355">
        <f>IMAGE("file:///E:/Estudios%20y%20certificaciones/ESTUDIOS%20DE%20PROGRAMMING/PROGRAMMING/PERSONAL/PYTHON/Image_Generator_API/imagenes/NAUTICA_MENS_V622744_DFS_2.jpg")</f>
        <v/>
      </c>
      <c r="N3355">
        <f>IMAGE("file:///E:/Estudios%20y%20certificaciones/ESTUDIOS%20DE%20PROGRAMMING/PROGRAMMING/PERSONAL/PYTHON/Image_Generator_API/imagenes/NAUTICA_MENS_V622744_DFS_3.jpg")</f>
        <v/>
      </c>
      <c r="O3355">
        <f>HYPERLINK("imagenes/NAUTICA_MENS_V622744_DFS_1.jpg","Ver imagen")</f>
        <v/>
      </c>
      <c r="P3355">
        <f>HYPERLINK("imagenes/NAUTICA_MENS_V622744_DFS_2.jpg","Ver imagen")</f>
        <v/>
      </c>
      <c r="Q3355">
        <f>HYPERLINK("imagenes/NAUTICA_MENS_V622744_DFS_3.jpg","Ver imagen")</f>
        <v/>
      </c>
    </row>
    <row r="3356">
      <c r="A3356" t="inlineStr">
        <is>
          <t>NAUTICA MENS</t>
        </is>
      </c>
      <c r="B3356" t="inlineStr">
        <is>
          <t>V622744</t>
        </is>
      </c>
      <c r="C3356" t="inlineStr">
        <is>
          <t>POLYSTR REVERSIBLE</t>
        </is>
      </c>
      <c r="D3356" t="inlineStr">
        <is>
          <t>DFS</t>
        </is>
      </c>
      <c r="E3356" t="inlineStr">
        <is>
          <t>(en blanco)</t>
        </is>
      </c>
      <c r="F3356" t="inlineStr">
        <is>
          <t>(en blanco)</t>
        </is>
      </c>
      <c r="G3356" t="inlineStr">
        <is>
          <t>S</t>
        </is>
      </c>
      <c r="H3356" t="n">
        <v>7</v>
      </c>
      <c r="I3356" t="inlineStr">
        <is>
          <t>NAUTICA_MENS_V622744_DFS_1.jpg</t>
        </is>
      </c>
      <c r="J3356" t="inlineStr">
        <is>
          <t>NAUTICA_MENS_V622744_DFS_2.jpg</t>
        </is>
      </c>
      <c r="K3356" t="inlineStr">
        <is>
          <t>NAUTICA_MENS_V622744_DFS_3.jpg</t>
        </is>
      </c>
      <c r="L3356">
        <f>IMAGE("file:///E:/Estudios%20y%20certificaciones/ESTUDIOS%20DE%20PROGRAMMING/PROGRAMMING/PERSONAL/PYTHON/Image_Generator_API/imagenes/NAUTICA_MENS_V622744_DFS_1.jpg")</f>
        <v/>
      </c>
      <c r="M3356">
        <f>IMAGE("file:///E:/Estudios%20y%20certificaciones/ESTUDIOS%20DE%20PROGRAMMING/PROGRAMMING/PERSONAL/PYTHON/Image_Generator_API/imagenes/NAUTICA_MENS_V622744_DFS_2.jpg")</f>
        <v/>
      </c>
      <c r="N3356">
        <f>IMAGE("file:///E:/Estudios%20y%20certificaciones/ESTUDIOS%20DE%20PROGRAMMING/PROGRAMMING/PERSONAL/PYTHON/Image_Generator_API/imagenes/NAUTICA_MENS_V622744_DFS_3.jpg")</f>
        <v/>
      </c>
      <c r="O3356">
        <f>HYPERLINK("imagenes/NAUTICA_MENS_V622744_DFS_1.jpg","Ver imagen")</f>
        <v/>
      </c>
      <c r="P3356">
        <f>HYPERLINK("imagenes/NAUTICA_MENS_V622744_DFS_2.jpg","Ver imagen")</f>
        <v/>
      </c>
      <c r="Q3356">
        <f>HYPERLINK("imagenes/NAUTICA_MENS_V622744_DFS_3.jpg","Ver imagen")</f>
        <v/>
      </c>
    </row>
    <row r="3357">
      <c r="A3357" t="inlineStr">
        <is>
          <t>NAUTICA MENS</t>
        </is>
      </c>
      <c r="B3357" t="inlineStr">
        <is>
          <t>V622744</t>
        </is>
      </c>
      <c r="C3357" t="inlineStr">
        <is>
          <t>POLYSTR REVERSIBLE</t>
        </is>
      </c>
      <c r="D3357" t="inlineStr">
        <is>
          <t>DFS</t>
        </is>
      </c>
      <c r="E3357" t="inlineStr">
        <is>
          <t>(en blanco)</t>
        </is>
      </c>
      <c r="F3357" t="inlineStr">
        <is>
          <t>(en blanco)</t>
        </is>
      </c>
      <c r="G3357" t="inlineStr">
        <is>
          <t>M</t>
        </is>
      </c>
      <c r="H3357" t="n">
        <v>129</v>
      </c>
      <c r="I3357" t="inlineStr">
        <is>
          <t>NAUTICA_MENS_V622744_DFS_1.jpg</t>
        </is>
      </c>
      <c r="J3357" t="inlineStr">
        <is>
          <t>NAUTICA_MENS_V622744_DFS_2.jpg</t>
        </is>
      </c>
      <c r="K3357" t="inlineStr">
        <is>
          <t>NAUTICA_MENS_V622744_DFS_3.jpg</t>
        </is>
      </c>
      <c r="L3357">
        <f>IMAGE("file:///E:/Estudios%20y%20certificaciones/ESTUDIOS%20DE%20PROGRAMMING/PROGRAMMING/PERSONAL/PYTHON/Image_Generator_API/imagenes/NAUTICA_MENS_V622744_DFS_1.jpg")</f>
        <v/>
      </c>
      <c r="M3357">
        <f>IMAGE("file:///E:/Estudios%20y%20certificaciones/ESTUDIOS%20DE%20PROGRAMMING/PROGRAMMING/PERSONAL/PYTHON/Image_Generator_API/imagenes/NAUTICA_MENS_V622744_DFS_2.jpg")</f>
        <v/>
      </c>
      <c r="N3357">
        <f>IMAGE("file:///E:/Estudios%20y%20certificaciones/ESTUDIOS%20DE%20PROGRAMMING/PROGRAMMING/PERSONAL/PYTHON/Image_Generator_API/imagenes/NAUTICA_MENS_V622744_DFS_3.jpg")</f>
        <v/>
      </c>
      <c r="O3357">
        <f>HYPERLINK("imagenes/NAUTICA_MENS_V622744_DFS_1.jpg","Ver imagen")</f>
        <v/>
      </c>
      <c r="P3357">
        <f>HYPERLINK("imagenes/NAUTICA_MENS_V622744_DFS_2.jpg","Ver imagen")</f>
        <v/>
      </c>
      <c r="Q3357">
        <f>HYPERLINK("imagenes/NAUTICA_MENS_V622744_DFS_3.jpg","Ver imagen")</f>
        <v/>
      </c>
    </row>
    <row r="3358">
      <c r="A3358" t="inlineStr">
        <is>
          <t>NAUTICA MENS</t>
        </is>
      </c>
      <c r="B3358" t="inlineStr">
        <is>
          <t>V622744</t>
        </is>
      </c>
      <c r="C3358" t="inlineStr">
        <is>
          <t>POLYSTR REVERSIBLE</t>
        </is>
      </c>
      <c r="D3358" t="inlineStr">
        <is>
          <t>DFS</t>
        </is>
      </c>
      <c r="E3358" t="inlineStr">
        <is>
          <t>(en blanco)</t>
        </is>
      </c>
      <c r="F3358" t="inlineStr">
        <is>
          <t>(en blanco)</t>
        </is>
      </c>
      <c r="G3358" t="inlineStr">
        <is>
          <t>L</t>
        </is>
      </c>
      <c r="H3358" t="n">
        <v>352</v>
      </c>
      <c r="I3358" t="inlineStr">
        <is>
          <t>NAUTICA_MENS_V622744_DFS_1.jpg</t>
        </is>
      </c>
      <c r="J3358" t="inlineStr">
        <is>
          <t>NAUTICA_MENS_V622744_DFS_2.jpg</t>
        </is>
      </c>
      <c r="K3358" t="inlineStr">
        <is>
          <t>NAUTICA_MENS_V622744_DFS_3.jpg</t>
        </is>
      </c>
      <c r="L3358">
        <f>IMAGE("file:///E:/Estudios%20y%20certificaciones/ESTUDIOS%20DE%20PROGRAMMING/PROGRAMMING/PERSONAL/PYTHON/Image_Generator_API/imagenes/NAUTICA_MENS_V622744_DFS_1.jpg")</f>
        <v/>
      </c>
      <c r="M3358">
        <f>IMAGE("file:///E:/Estudios%20y%20certificaciones/ESTUDIOS%20DE%20PROGRAMMING/PROGRAMMING/PERSONAL/PYTHON/Image_Generator_API/imagenes/NAUTICA_MENS_V622744_DFS_2.jpg")</f>
        <v/>
      </c>
      <c r="N3358">
        <f>IMAGE("file:///E:/Estudios%20y%20certificaciones/ESTUDIOS%20DE%20PROGRAMMING/PROGRAMMING/PERSONAL/PYTHON/Image_Generator_API/imagenes/NAUTICA_MENS_V622744_DFS_3.jpg")</f>
        <v/>
      </c>
      <c r="O3358">
        <f>HYPERLINK("imagenes/NAUTICA_MENS_V622744_DFS_1.jpg","Ver imagen")</f>
        <v/>
      </c>
      <c r="P3358">
        <f>HYPERLINK("imagenes/NAUTICA_MENS_V622744_DFS_2.jpg","Ver imagen")</f>
        <v/>
      </c>
      <c r="Q3358">
        <f>HYPERLINK("imagenes/NAUTICA_MENS_V622744_DFS_3.jpg","Ver imagen")</f>
        <v/>
      </c>
    </row>
    <row r="3359">
      <c r="A3359" t="inlineStr">
        <is>
          <t>NAUTICA MENS</t>
        </is>
      </c>
      <c r="B3359" t="inlineStr">
        <is>
          <t>V622744</t>
        </is>
      </c>
      <c r="C3359" t="inlineStr">
        <is>
          <t>POLYSTR REVERSIBLE</t>
        </is>
      </c>
      <c r="D3359" t="inlineStr">
        <is>
          <t>DFS</t>
        </is>
      </c>
      <c r="E3359" t="inlineStr">
        <is>
          <t>(en blanco)</t>
        </is>
      </c>
      <c r="F3359" t="inlineStr">
        <is>
          <t>(en blanco)</t>
        </is>
      </c>
      <c r="G3359" t="inlineStr">
        <is>
          <t>XL</t>
        </is>
      </c>
      <c r="H3359" t="n">
        <v>96</v>
      </c>
      <c r="I3359" t="inlineStr">
        <is>
          <t>NAUTICA_MENS_V622744_DFS_1.jpg</t>
        </is>
      </c>
      <c r="J3359" t="inlineStr">
        <is>
          <t>NAUTICA_MENS_V622744_DFS_2.jpg</t>
        </is>
      </c>
      <c r="K3359" t="inlineStr">
        <is>
          <t>NAUTICA_MENS_V622744_DFS_3.jpg</t>
        </is>
      </c>
      <c r="L3359">
        <f>IMAGE("file:///E:/Estudios%20y%20certificaciones/ESTUDIOS%20DE%20PROGRAMMING/PROGRAMMING/PERSONAL/PYTHON/Image_Generator_API/imagenes/NAUTICA_MENS_V622744_DFS_1.jpg")</f>
        <v/>
      </c>
      <c r="M3359">
        <f>IMAGE("file:///E:/Estudios%20y%20certificaciones/ESTUDIOS%20DE%20PROGRAMMING/PROGRAMMING/PERSONAL/PYTHON/Image_Generator_API/imagenes/NAUTICA_MENS_V622744_DFS_2.jpg")</f>
        <v/>
      </c>
      <c r="N3359">
        <f>IMAGE("file:///E:/Estudios%20y%20certificaciones/ESTUDIOS%20DE%20PROGRAMMING/PROGRAMMING/PERSONAL/PYTHON/Image_Generator_API/imagenes/NAUTICA_MENS_V622744_DFS_3.jpg")</f>
        <v/>
      </c>
      <c r="O3359">
        <f>HYPERLINK("imagenes/NAUTICA_MENS_V622744_DFS_1.jpg","Ver imagen")</f>
        <v/>
      </c>
      <c r="P3359">
        <f>HYPERLINK("imagenes/NAUTICA_MENS_V622744_DFS_2.jpg","Ver imagen")</f>
        <v/>
      </c>
      <c r="Q3359">
        <f>HYPERLINK("imagenes/NAUTICA_MENS_V622744_DFS_3.jpg","Ver imagen")</f>
        <v/>
      </c>
    </row>
    <row r="3360">
      <c r="A3360" t="inlineStr">
        <is>
          <t>NAUTICA MENS</t>
        </is>
      </c>
      <c r="B3360" t="inlineStr">
        <is>
          <t>V622744</t>
        </is>
      </c>
      <c r="C3360" t="inlineStr">
        <is>
          <t>POLYSTR REVERSIBLE</t>
        </is>
      </c>
      <c r="D3360" t="inlineStr">
        <is>
          <t>DFS</t>
        </is>
      </c>
      <c r="E3360" t="inlineStr">
        <is>
          <t>(en blanco)</t>
        </is>
      </c>
      <c r="F3360" t="inlineStr">
        <is>
          <t>(en blanco)</t>
        </is>
      </c>
      <c r="G3360" t="inlineStr">
        <is>
          <t>XXL</t>
        </is>
      </c>
      <c r="H3360" t="n">
        <v>163</v>
      </c>
      <c r="I3360" t="inlineStr">
        <is>
          <t>NAUTICA_MENS_V622744_DFS_1.jpg</t>
        </is>
      </c>
      <c r="J3360" t="inlineStr">
        <is>
          <t>NAUTICA_MENS_V622744_DFS_2.jpg</t>
        </is>
      </c>
      <c r="K3360" t="inlineStr">
        <is>
          <t>NAUTICA_MENS_V622744_DFS_3.jpg</t>
        </is>
      </c>
      <c r="L3360">
        <f>IMAGE("file:///E:/Estudios%20y%20certificaciones/ESTUDIOS%20DE%20PROGRAMMING/PROGRAMMING/PERSONAL/PYTHON/Image_Generator_API/imagenes/NAUTICA_MENS_V622744_DFS_1.jpg")</f>
        <v/>
      </c>
      <c r="M3360">
        <f>IMAGE("file:///E:/Estudios%20y%20certificaciones/ESTUDIOS%20DE%20PROGRAMMING/PROGRAMMING/PERSONAL/PYTHON/Image_Generator_API/imagenes/NAUTICA_MENS_V622744_DFS_2.jpg")</f>
        <v/>
      </c>
      <c r="N3360">
        <f>IMAGE("file:///E:/Estudios%20y%20certificaciones/ESTUDIOS%20DE%20PROGRAMMING/PROGRAMMING/PERSONAL/PYTHON/Image_Generator_API/imagenes/NAUTICA_MENS_V622744_DFS_3.jpg")</f>
        <v/>
      </c>
      <c r="O3360">
        <f>HYPERLINK("imagenes/NAUTICA_MENS_V622744_DFS_1.jpg","Ver imagen")</f>
        <v/>
      </c>
      <c r="P3360">
        <f>HYPERLINK("imagenes/NAUTICA_MENS_V622744_DFS_2.jpg","Ver imagen")</f>
        <v/>
      </c>
      <c r="Q3360">
        <f>HYPERLINK("imagenes/NAUTICA_MENS_V622744_DFS_3.jpg","Ver imagen")</f>
        <v/>
      </c>
    </row>
    <row r="3361">
      <c r="A3361" t="inlineStr">
        <is>
          <t>NAUTICA MENS</t>
        </is>
      </c>
      <c r="B3361" t="inlineStr">
        <is>
          <t>V622744</t>
        </is>
      </c>
      <c r="C3361" t="inlineStr">
        <is>
          <t>POLYSTR REVERSIBLE</t>
        </is>
      </c>
      <c r="D3361" t="inlineStr">
        <is>
          <t>MTA</t>
        </is>
      </c>
      <c r="E3361" t="inlineStr">
        <is>
          <t>(en blanco)</t>
        </is>
      </c>
      <c r="F3361" t="inlineStr">
        <is>
          <t>D2C</t>
        </is>
      </c>
      <c r="G3361" t="inlineStr">
        <is>
          <t>L</t>
        </is>
      </c>
      <c r="H3361" t="n">
        <v>26</v>
      </c>
      <c r="I3361" t="inlineStr">
        <is>
          <t>NAUTICA_MENS_V622744_MTA_1.jpg</t>
        </is>
      </c>
      <c r="J3361" t="inlineStr">
        <is>
          <t>NAUTICA_MENS_V622744_MTA_2.jpg</t>
        </is>
      </c>
      <c r="K3361" t="inlineStr">
        <is>
          <t>NAUTICA_MENS_V622744_MTA_3.jpg</t>
        </is>
      </c>
      <c r="L3361">
        <f>IMAGE("file:///E:/Estudios%20y%20certificaciones/ESTUDIOS%20DE%20PROGRAMMING/PROGRAMMING/PERSONAL/PYTHON/Image_Generator_API/imagenes/NAUTICA_MENS_V622744_MTA_1.jpg")</f>
        <v/>
      </c>
      <c r="M3361">
        <f>IMAGE("file:///E:/Estudios%20y%20certificaciones/ESTUDIOS%20DE%20PROGRAMMING/PROGRAMMING/PERSONAL/PYTHON/Image_Generator_API/imagenes/NAUTICA_MENS_V622744_MTA_2.jpg")</f>
        <v/>
      </c>
      <c r="N3361">
        <f>IMAGE("file:///E:/Estudios%20y%20certificaciones/ESTUDIOS%20DE%20PROGRAMMING/PROGRAMMING/PERSONAL/PYTHON/Image_Generator_API/imagenes/NAUTICA_MENS_V622744_MTA_3.jpg")</f>
        <v/>
      </c>
      <c r="O3361">
        <f>HYPERLINK("imagenes/NAUTICA_MENS_V622744_MTA_1.jpg","Ver imagen")</f>
        <v/>
      </c>
      <c r="P3361">
        <f>HYPERLINK("imagenes/NAUTICA_MENS_V622744_MTA_2.jpg","Ver imagen")</f>
        <v/>
      </c>
      <c r="Q3361">
        <f>HYPERLINK("imagenes/NAUTICA_MENS_V622744_MTA_3.jpg","Ver imagen")</f>
        <v/>
      </c>
    </row>
    <row r="3362">
      <c r="A3362" t="inlineStr">
        <is>
          <t>NAUTICA MENS</t>
        </is>
      </c>
      <c r="B3362" t="inlineStr">
        <is>
          <t>V622744</t>
        </is>
      </c>
      <c r="C3362" t="inlineStr">
        <is>
          <t>POLYSTR REVERSIBLE</t>
        </is>
      </c>
      <c r="D3362" t="inlineStr">
        <is>
          <t>MTA</t>
        </is>
      </c>
      <c r="E3362" t="inlineStr">
        <is>
          <t>(en blanco)</t>
        </is>
      </c>
      <c r="F3362" t="inlineStr">
        <is>
          <t>D2C</t>
        </is>
      </c>
      <c r="G3362" t="inlineStr">
        <is>
          <t>XL</t>
        </is>
      </c>
      <c r="H3362" t="n">
        <v>38</v>
      </c>
      <c r="I3362" t="inlineStr">
        <is>
          <t>NAUTICA_MENS_V622744_MTA_1.jpg</t>
        </is>
      </c>
      <c r="J3362" t="inlineStr">
        <is>
          <t>NAUTICA_MENS_V622744_MTA_2.jpg</t>
        </is>
      </c>
      <c r="K3362" t="inlineStr">
        <is>
          <t>NAUTICA_MENS_V622744_MTA_3.jpg</t>
        </is>
      </c>
      <c r="L3362">
        <f>IMAGE("file:///E:/Estudios%20y%20certificaciones/ESTUDIOS%20DE%20PROGRAMMING/PROGRAMMING/PERSONAL/PYTHON/Image_Generator_API/imagenes/NAUTICA_MENS_V622744_MTA_1.jpg")</f>
        <v/>
      </c>
      <c r="M3362">
        <f>IMAGE("file:///E:/Estudios%20y%20certificaciones/ESTUDIOS%20DE%20PROGRAMMING/PROGRAMMING/PERSONAL/PYTHON/Image_Generator_API/imagenes/NAUTICA_MENS_V622744_MTA_2.jpg")</f>
        <v/>
      </c>
      <c r="N3362">
        <f>IMAGE("file:///E:/Estudios%20y%20certificaciones/ESTUDIOS%20DE%20PROGRAMMING/PROGRAMMING/PERSONAL/PYTHON/Image_Generator_API/imagenes/NAUTICA_MENS_V622744_MTA_3.jpg")</f>
        <v/>
      </c>
      <c r="O3362">
        <f>HYPERLINK("imagenes/NAUTICA_MENS_V622744_MTA_1.jpg","Ver imagen")</f>
        <v/>
      </c>
      <c r="P3362">
        <f>HYPERLINK("imagenes/NAUTICA_MENS_V622744_MTA_2.jpg","Ver imagen")</f>
        <v/>
      </c>
      <c r="Q3362">
        <f>HYPERLINK("imagenes/NAUTICA_MENS_V622744_MTA_3.jpg","Ver imagen")</f>
        <v/>
      </c>
    </row>
    <row r="3363">
      <c r="A3363" t="inlineStr">
        <is>
          <t>NAUTICA MENS</t>
        </is>
      </c>
      <c r="B3363" t="inlineStr">
        <is>
          <t>V622744</t>
        </is>
      </c>
      <c r="C3363" t="inlineStr">
        <is>
          <t>POLYSTR REVERSIBLE</t>
        </is>
      </c>
      <c r="D3363" t="inlineStr">
        <is>
          <t>MTA</t>
        </is>
      </c>
      <c r="E3363" t="inlineStr">
        <is>
          <t>(en blanco)</t>
        </is>
      </c>
      <c r="F3363" t="inlineStr">
        <is>
          <t>D2C</t>
        </is>
      </c>
      <c r="G3363" t="inlineStr">
        <is>
          <t>XXL</t>
        </is>
      </c>
      <c r="H3363" t="n">
        <v>21</v>
      </c>
      <c r="I3363" t="inlineStr">
        <is>
          <t>NAUTICA_MENS_V622744_MTA_1.jpg</t>
        </is>
      </c>
      <c r="J3363" t="inlineStr">
        <is>
          <t>NAUTICA_MENS_V622744_MTA_2.jpg</t>
        </is>
      </c>
      <c r="K3363" t="inlineStr">
        <is>
          <t>NAUTICA_MENS_V622744_MTA_3.jpg</t>
        </is>
      </c>
      <c r="L3363">
        <f>IMAGE("file:///E:/Estudios%20y%20certificaciones/ESTUDIOS%20DE%20PROGRAMMING/PROGRAMMING/PERSONAL/PYTHON/Image_Generator_API/imagenes/NAUTICA_MENS_V622744_MTA_1.jpg")</f>
        <v/>
      </c>
      <c r="M3363">
        <f>IMAGE("file:///E:/Estudios%20y%20certificaciones/ESTUDIOS%20DE%20PROGRAMMING/PROGRAMMING/PERSONAL/PYTHON/Image_Generator_API/imagenes/NAUTICA_MENS_V622744_MTA_2.jpg")</f>
        <v/>
      </c>
      <c r="N3363">
        <f>IMAGE("file:///E:/Estudios%20y%20certificaciones/ESTUDIOS%20DE%20PROGRAMMING/PROGRAMMING/PERSONAL/PYTHON/Image_Generator_API/imagenes/NAUTICA_MENS_V622744_MTA_3.jpg")</f>
        <v/>
      </c>
      <c r="O3363">
        <f>HYPERLINK("imagenes/NAUTICA_MENS_V622744_MTA_1.jpg","Ver imagen")</f>
        <v/>
      </c>
      <c r="P3363">
        <f>HYPERLINK("imagenes/NAUTICA_MENS_V622744_MTA_2.jpg","Ver imagen")</f>
        <v/>
      </c>
      <c r="Q3363">
        <f>HYPERLINK("imagenes/NAUTICA_MENS_V622744_MTA_3.jpg","Ver imagen")</f>
        <v/>
      </c>
    </row>
    <row r="3364">
      <c r="A3364" t="inlineStr">
        <is>
          <t>NAUTICA MENS</t>
        </is>
      </c>
      <c r="B3364" t="inlineStr">
        <is>
          <t>V622744</t>
        </is>
      </c>
      <c r="C3364" t="inlineStr">
        <is>
          <t>POLYSTR REVERSIBLE</t>
        </is>
      </c>
      <c r="D3364" t="inlineStr">
        <is>
          <t>MTA</t>
        </is>
      </c>
      <c r="E3364" t="inlineStr">
        <is>
          <t>(en blanco)</t>
        </is>
      </c>
      <c r="F3364" t="inlineStr">
        <is>
          <t>(en blanco)</t>
        </is>
      </c>
      <c r="G3364" t="inlineStr">
        <is>
          <t>S</t>
        </is>
      </c>
      <c r="H3364" t="n">
        <v>5</v>
      </c>
      <c r="I3364" t="inlineStr">
        <is>
          <t>NAUTICA_MENS_V622744_MTA_1.jpg</t>
        </is>
      </c>
      <c r="J3364" t="inlineStr">
        <is>
          <t>NAUTICA_MENS_V622744_MTA_2.jpg</t>
        </is>
      </c>
      <c r="K3364" t="inlineStr">
        <is>
          <t>NAUTICA_MENS_V622744_MTA_3.jpg</t>
        </is>
      </c>
      <c r="L3364">
        <f>IMAGE("file:///E:/Estudios%20y%20certificaciones/ESTUDIOS%20DE%20PROGRAMMING/PROGRAMMING/PERSONAL/PYTHON/Image_Generator_API/imagenes/NAUTICA_MENS_V622744_MTA_1.jpg")</f>
        <v/>
      </c>
      <c r="M3364">
        <f>IMAGE("file:///E:/Estudios%20y%20certificaciones/ESTUDIOS%20DE%20PROGRAMMING/PROGRAMMING/PERSONAL/PYTHON/Image_Generator_API/imagenes/NAUTICA_MENS_V622744_MTA_2.jpg")</f>
        <v/>
      </c>
      <c r="N3364">
        <f>IMAGE("file:///E:/Estudios%20y%20certificaciones/ESTUDIOS%20DE%20PROGRAMMING/PROGRAMMING/PERSONAL/PYTHON/Image_Generator_API/imagenes/NAUTICA_MENS_V622744_MTA_3.jpg")</f>
        <v/>
      </c>
      <c r="O3364">
        <f>HYPERLINK("imagenes/NAUTICA_MENS_V622744_MTA_1.jpg","Ver imagen")</f>
        <v/>
      </c>
      <c r="P3364">
        <f>HYPERLINK("imagenes/NAUTICA_MENS_V622744_MTA_2.jpg","Ver imagen")</f>
        <v/>
      </c>
      <c r="Q3364">
        <f>HYPERLINK("imagenes/NAUTICA_MENS_V622744_MTA_3.jpg","Ver imagen")</f>
        <v/>
      </c>
    </row>
    <row r="3365">
      <c r="A3365" t="inlineStr">
        <is>
          <t>NAUTICA MENS</t>
        </is>
      </c>
      <c r="B3365" t="inlineStr">
        <is>
          <t>V622744</t>
        </is>
      </c>
      <c r="C3365" t="inlineStr">
        <is>
          <t>POLYSTR REVERSIBLE</t>
        </is>
      </c>
      <c r="D3365" t="inlineStr">
        <is>
          <t>MTA</t>
        </is>
      </c>
      <c r="E3365" t="inlineStr">
        <is>
          <t>(en blanco)</t>
        </is>
      </c>
      <c r="F3365" t="inlineStr">
        <is>
          <t>(en blanco)</t>
        </is>
      </c>
      <c r="G3365" t="inlineStr">
        <is>
          <t>M</t>
        </is>
      </c>
      <c r="H3365" t="n">
        <v>51</v>
      </c>
      <c r="I3365" t="inlineStr">
        <is>
          <t>NAUTICA_MENS_V622744_MTA_1.jpg</t>
        </is>
      </c>
      <c r="J3365" t="inlineStr">
        <is>
          <t>NAUTICA_MENS_V622744_MTA_2.jpg</t>
        </is>
      </c>
      <c r="K3365" t="inlineStr">
        <is>
          <t>NAUTICA_MENS_V622744_MTA_3.jpg</t>
        </is>
      </c>
      <c r="L3365">
        <f>IMAGE("file:///E:/Estudios%20y%20certificaciones/ESTUDIOS%20DE%20PROGRAMMING/PROGRAMMING/PERSONAL/PYTHON/Image_Generator_API/imagenes/NAUTICA_MENS_V622744_MTA_1.jpg")</f>
        <v/>
      </c>
      <c r="M3365">
        <f>IMAGE("file:///E:/Estudios%20y%20certificaciones/ESTUDIOS%20DE%20PROGRAMMING/PROGRAMMING/PERSONAL/PYTHON/Image_Generator_API/imagenes/NAUTICA_MENS_V622744_MTA_2.jpg")</f>
        <v/>
      </c>
      <c r="N3365">
        <f>IMAGE("file:///E:/Estudios%20y%20certificaciones/ESTUDIOS%20DE%20PROGRAMMING/PROGRAMMING/PERSONAL/PYTHON/Image_Generator_API/imagenes/NAUTICA_MENS_V622744_MTA_3.jpg")</f>
        <v/>
      </c>
      <c r="O3365">
        <f>HYPERLINK("imagenes/NAUTICA_MENS_V622744_MTA_1.jpg","Ver imagen")</f>
        <v/>
      </c>
      <c r="P3365">
        <f>HYPERLINK("imagenes/NAUTICA_MENS_V622744_MTA_2.jpg","Ver imagen")</f>
        <v/>
      </c>
      <c r="Q3365">
        <f>HYPERLINK("imagenes/NAUTICA_MENS_V622744_MTA_3.jpg","Ver imagen")</f>
        <v/>
      </c>
    </row>
    <row r="3366">
      <c r="A3366" t="inlineStr">
        <is>
          <t>NAUTICA MENS</t>
        </is>
      </c>
      <c r="B3366" t="inlineStr">
        <is>
          <t>V622744</t>
        </is>
      </c>
      <c r="C3366" t="inlineStr">
        <is>
          <t>POLYSTR REVERSIBLE</t>
        </is>
      </c>
      <c r="D3366" t="inlineStr">
        <is>
          <t>MTA</t>
        </is>
      </c>
      <c r="E3366" t="inlineStr">
        <is>
          <t>(en blanco)</t>
        </is>
      </c>
      <c r="F3366" t="inlineStr">
        <is>
          <t>(en blanco)</t>
        </is>
      </c>
      <c r="G3366" t="inlineStr">
        <is>
          <t>L</t>
        </is>
      </c>
      <c r="H3366" t="n">
        <v>166</v>
      </c>
      <c r="I3366" t="inlineStr">
        <is>
          <t>NAUTICA_MENS_V622744_MTA_1.jpg</t>
        </is>
      </c>
      <c r="J3366" t="inlineStr">
        <is>
          <t>NAUTICA_MENS_V622744_MTA_2.jpg</t>
        </is>
      </c>
      <c r="K3366" t="inlineStr">
        <is>
          <t>NAUTICA_MENS_V622744_MTA_3.jpg</t>
        </is>
      </c>
      <c r="L3366">
        <f>IMAGE("file:///E:/Estudios%20y%20certificaciones/ESTUDIOS%20DE%20PROGRAMMING/PROGRAMMING/PERSONAL/PYTHON/Image_Generator_API/imagenes/NAUTICA_MENS_V622744_MTA_1.jpg")</f>
        <v/>
      </c>
      <c r="M3366">
        <f>IMAGE("file:///E:/Estudios%20y%20certificaciones/ESTUDIOS%20DE%20PROGRAMMING/PROGRAMMING/PERSONAL/PYTHON/Image_Generator_API/imagenes/NAUTICA_MENS_V622744_MTA_2.jpg")</f>
        <v/>
      </c>
      <c r="N3366">
        <f>IMAGE("file:///E:/Estudios%20y%20certificaciones/ESTUDIOS%20DE%20PROGRAMMING/PROGRAMMING/PERSONAL/PYTHON/Image_Generator_API/imagenes/NAUTICA_MENS_V622744_MTA_3.jpg")</f>
        <v/>
      </c>
      <c r="O3366">
        <f>HYPERLINK("imagenes/NAUTICA_MENS_V622744_MTA_1.jpg","Ver imagen")</f>
        <v/>
      </c>
      <c r="P3366">
        <f>HYPERLINK("imagenes/NAUTICA_MENS_V622744_MTA_2.jpg","Ver imagen")</f>
        <v/>
      </c>
      <c r="Q3366">
        <f>HYPERLINK("imagenes/NAUTICA_MENS_V622744_MTA_3.jpg","Ver imagen")</f>
        <v/>
      </c>
    </row>
    <row r="3367">
      <c r="A3367" t="inlineStr">
        <is>
          <t>NAUTICA MENS</t>
        </is>
      </c>
      <c r="B3367" t="inlineStr">
        <is>
          <t>V622744</t>
        </is>
      </c>
      <c r="C3367" t="inlineStr">
        <is>
          <t>POLYSTR REVERSIBLE</t>
        </is>
      </c>
      <c r="D3367" t="inlineStr">
        <is>
          <t>MTA</t>
        </is>
      </c>
      <c r="E3367" t="inlineStr">
        <is>
          <t>(en blanco)</t>
        </is>
      </c>
      <c r="F3367" t="inlineStr">
        <is>
          <t>(en blanco)</t>
        </is>
      </c>
      <c r="G3367" t="inlineStr">
        <is>
          <t>XL</t>
        </is>
      </c>
      <c r="H3367" t="n">
        <v>180</v>
      </c>
      <c r="I3367" t="inlineStr">
        <is>
          <t>NAUTICA_MENS_V622744_MTA_1.jpg</t>
        </is>
      </c>
      <c r="J3367" t="inlineStr">
        <is>
          <t>NAUTICA_MENS_V622744_MTA_2.jpg</t>
        </is>
      </c>
      <c r="K3367" t="inlineStr">
        <is>
          <t>NAUTICA_MENS_V622744_MTA_3.jpg</t>
        </is>
      </c>
      <c r="L3367">
        <f>IMAGE("file:///E:/Estudios%20y%20certificaciones/ESTUDIOS%20DE%20PROGRAMMING/PROGRAMMING/PERSONAL/PYTHON/Image_Generator_API/imagenes/NAUTICA_MENS_V622744_MTA_1.jpg")</f>
        <v/>
      </c>
      <c r="M3367">
        <f>IMAGE("file:///E:/Estudios%20y%20certificaciones/ESTUDIOS%20DE%20PROGRAMMING/PROGRAMMING/PERSONAL/PYTHON/Image_Generator_API/imagenes/NAUTICA_MENS_V622744_MTA_2.jpg")</f>
        <v/>
      </c>
      <c r="N3367">
        <f>IMAGE("file:///E:/Estudios%20y%20certificaciones/ESTUDIOS%20DE%20PROGRAMMING/PROGRAMMING/PERSONAL/PYTHON/Image_Generator_API/imagenes/NAUTICA_MENS_V622744_MTA_3.jpg")</f>
        <v/>
      </c>
      <c r="O3367">
        <f>HYPERLINK("imagenes/NAUTICA_MENS_V622744_MTA_1.jpg","Ver imagen")</f>
        <v/>
      </c>
      <c r="P3367">
        <f>HYPERLINK("imagenes/NAUTICA_MENS_V622744_MTA_2.jpg","Ver imagen")</f>
        <v/>
      </c>
      <c r="Q3367">
        <f>HYPERLINK("imagenes/NAUTICA_MENS_V622744_MTA_3.jpg","Ver imagen")</f>
        <v/>
      </c>
    </row>
    <row r="3368">
      <c r="A3368" t="inlineStr">
        <is>
          <t>NAUTICA MENS</t>
        </is>
      </c>
      <c r="B3368" t="inlineStr">
        <is>
          <t>V622744</t>
        </is>
      </c>
      <c r="C3368" t="inlineStr">
        <is>
          <t>POLYSTR REVERSIBLE</t>
        </is>
      </c>
      <c r="D3368" t="inlineStr">
        <is>
          <t>MTA</t>
        </is>
      </c>
      <c r="E3368" t="inlineStr">
        <is>
          <t>(en blanco)</t>
        </is>
      </c>
      <c r="F3368" t="inlineStr">
        <is>
          <t>(en blanco)</t>
        </is>
      </c>
      <c r="G3368" t="inlineStr">
        <is>
          <t>XXL</t>
        </is>
      </c>
      <c r="H3368" t="n">
        <v>96</v>
      </c>
      <c r="I3368" t="inlineStr">
        <is>
          <t>NAUTICA_MENS_V622744_MTA_1.jpg</t>
        </is>
      </c>
      <c r="J3368" t="inlineStr">
        <is>
          <t>NAUTICA_MENS_V622744_MTA_2.jpg</t>
        </is>
      </c>
      <c r="K3368" t="inlineStr">
        <is>
          <t>NAUTICA_MENS_V622744_MTA_3.jpg</t>
        </is>
      </c>
      <c r="L3368">
        <f>IMAGE("file:///E:/Estudios%20y%20certificaciones/ESTUDIOS%20DE%20PROGRAMMING/PROGRAMMING/PERSONAL/PYTHON/Image_Generator_API/imagenes/NAUTICA_MENS_V622744_MTA_1.jpg")</f>
        <v/>
      </c>
      <c r="M3368">
        <f>IMAGE("file:///E:/Estudios%20y%20certificaciones/ESTUDIOS%20DE%20PROGRAMMING/PROGRAMMING/PERSONAL/PYTHON/Image_Generator_API/imagenes/NAUTICA_MENS_V622744_MTA_2.jpg")</f>
        <v/>
      </c>
      <c r="N3368">
        <f>IMAGE("file:///E:/Estudios%20y%20certificaciones/ESTUDIOS%20DE%20PROGRAMMING/PROGRAMMING/PERSONAL/PYTHON/Image_Generator_API/imagenes/NAUTICA_MENS_V622744_MTA_3.jpg")</f>
        <v/>
      </c>
      <c r="O3368">
        <f>HYPERLINK("imagenes/NAUTICA_MENS_V622744_MTA_1.jpg","Ver imagen")</f>
        <v/>
      </c>
      <c r="P3368">
        <f>HYPERLINK("imagenes/NAUTICA_MENS_V622744_MTA_2.jpg","Ver imagen")</f>
        <v/>
      </c>
      <c r="Q3368">
        <f>HYPERLINK("imagenes/NAUTICA_MENS_V622744_MTA_3.jpg","Ver imagen")</f>
        <v/>
      </c>
    </row>
    <row r="3369">
      <c r="A3369" t="inlineStr">
        <is>
          <t>NAUTICA MENS</t>
        </is>
      </c>
      <c r="B3369" t="inlineStr">
        <is>
          <t>V622744</t>
        </is>
      </c>
      <c r="C3369" t="inlineStr">
        <is>
          <t>POLYSTR REVERSIBLE</t>
        </is>
      </c>
      <c r="D3369" t="inlineStr">
        <is>
          <t>NRD</t>
        </is>
      </c>
      <c r="E3369" t="inlineStr">
        <is>
          <t>(en blanco)</t>
        </is>
      </c>
      <c r="F3369" t="inlineStr">
        <is>
          <t>(en blanco)</t>
        </is>
      </c>
      <c r="G3369" t="inlineStr">
        <is>
          <t>S</t>
        </is>
      </c>
      <c r="H3369" t="n">
        <v>51</v>
      </c>
      <c r="I3369" t="inlineStr">
        <is>
          <t>NAUTICA_MENS_V622744_NRD_1.jpg</t>
        </is>
      </c>
      <c r="J3369" t="inlineStr">
        <is>
          <t>NAUTICA_MENS_V622744_NRD_2.jpg</t>
        </is>
      </c>
      <c r="K3369" t="inlineStr">
        <is>
          <t>NAUTICA_MENS_V622744_NRD_3.jpg</t>
        </is>
      </c>
      <c r="L3369">
        <f>IMAGE("file:///E:/Estudios%20y%20certificaciones/ESTUDIOS%20DE%20PROGRAMMING/PROGRAMMING/PERSONAL/PYTHON/Image_Generator_API/imagenes/NAUTICA_MENS_V622744_NRD_1.jpg")</f>
        <v/>
      </c>
      <c r="M3369">
        <f>IMAGE("file:///E:/Estudios%20y%20certificaciones/ESTUDIOS%20DE%20PROGRAMMING/PROGRAMMING/PERSONAL/PYTHON/Image_Generator_API/imagenes/NAUTICA_MENS_V622744_NRD_2.jpg")</f>
        <v/>
      </c>
      <c r="N3369">
        <f>IMAGE("file:///E:/Estudios%20y%20certificaciones/ESTUDIOS%20DE%20PROGRAMMING/PROGRAMMING/PERSONAL/PYTHON/Image_Generator_API/imagenes/NAUTICA_MENS_V622744_NRD_3.jpg")</f>
        <v/>
      </c>
      <c r="O3369">
        <f>HYPERLINK("imagenes/NAUTICA_MENS_V622744_NRD_1.jpg","Ver imagen")</f>
        <v/>
      </c>
      <c r="P3369">
        <f>HYPERLINK("imagenes/NAUTICA_MENS_V622744_NRD_2.jpg","Ver imagen")</f>
        <v/>
      </c>
      <c r="Q3369">
        <f>HYPERLINK("imagenes/NAUTICA_MENS_V622744_NRD_3.jpg","Ver imagen")</f>
        <v/>
      </c>
    </row>
    <row r="3370">
      <c r="A3370" t="inlineStr">
        <is>
          <t>NAUTICA MENS</t>
        </is>
      </c>
      <c r="B3370" t="inlineStr">
        <is>
          <t>V622744</t>
        </is>
      </c>
      <c r="C3370" t="inlineStr">
        <is>
          <t>POLYSTR REVERSIBLE</t>
        </is>
      </c>
      <c r="D3370" t="inlineStr">
        <is>
          <t>NRD</t>
        </is>
      </c>
      <c r="E3370" t="inlineStr">
        <is>
          <t>(en blanco)</t>
        </is>
      </c>
      <c r="F3370" t="inlineStr">
        <is>
          <t>(en blanco)</t>
        </is>
      </c>
      <c r="G3370" t="inlineStr">
        <is>
          <t>M</t>
        </is>
      </c>
      <c r="H3370" t="n">
        <v>226</v>
      </c>
      <c r="I3370" t="inlineStr">
        <is>
          <t>NAUTICA_MENS_V622744_NRD_1.jpg</t>
        </is>
      </c>
      <c r="J3370" t="inlineStr">
        <is>
          <t>NAUTICA_MENS_V622744_NRD_2.jpg</t>
        </is>
      </c>
      <c r="K3370" t="inlineStr">
        <is>
          <t>NAUTICA_MENS_V622744_NRD_3.jpg</t>
        </is>
      </c>
      <c r="L3370">
        <f>IMAGE("file:///E:/Estudios%20y%20certificaciones/ESTUDIOS%20DE%20PROGRAMMING/PROGRAMMING/PERSONAL/PYTHON/Image_Generator_API/imagenes/NAUTICA_MENS_V622744_NRD_1.jpg")</f>
        <v/>
      </c>
      <c r="M3370">
        <f>IMAGE("file:///E:/Estudios%20y%20certificaciones/ESTUDIOS%20DE%20PROGRAMMING/PROGRAMMING/PERSONAL/PYTHON/Image_Generator_API/imagenes/NAUTICA_MENS_V622744_NRD_2.jpg")</f>
        <v/>
      </c>
      <c r="N3370">
        <f>IMAGE("file:///E:/Estudios%20y%20certificaciones/ESTUDIOS%20DE%20PROGRAMMING/PROGRAMMING/PERSONAL/PYTHON/Image_Generator_API/imagenes/NAUTICA_MENS_V622744_NRD_3.jpg")</f>
        <v/>
      </c>
      <c r="O3370">
        <f>HYPERLINK("imagenes/NAUTICA_MENS_V622744_NRD_1.jpg","Ver imagen")</f>
        <v/>
      </c>
      <c r="P3370">
        <f>HYPERLINK("imagenes/NAUTICA_MENS_V622744_NRD_2.jpg","Ver imagen")</f>
        <v/>
      </c>
      <c r="Q3370">
        <f>HYPERLINK("imagenes/NAUTICA_MENS_V622744_NRD_3.jpg","Ver imagen")</f>
        <v/>
      </c>
    </row>
    <row r="3371">
      <c r="A3371" t="inlineStr">
        <is>
          <t>NAUTICA MENS</t>
        </is>
      </c>
      <c r="B3371" t="inlineStr">
        <is>
          <t>V622744</t>
        </is>
      </c>
      <c r="C3371" t="inlineStr">
        <is>
          <t>POLYSTR REVERSIBLE</t>
        </is>
      </c>
      <c r="D3371" t="inlineStr">
        <is>
          <t>NRD</t>
        </is>
      </c>
      <c r="E3371" t="inlineStr">
        <is>
          <t>(en blanco)</t>
        </is>
      </c>
      <c r="F3371" t="inlineStr">
        <is>
          <t>(en blanco)</t>
        </is>
      </c>
      <c r="G3371" t="inlineStr">
        <is>
          <t>L</t>
        </is>
      </c>
      <c r="H3371" t="n">
        <v>494</v>
      </c>
      <c r="I3371" t="inlineStr">
        <is>
          <t>NAUTICA_MENS_V622744_NRD_1.jpg</t>
        </is>
      </c>
      <c r="J3371" t="inlineStr">
        <is>
          <t>NAUTICA_MENS_V622744_NRD_2.jpg</t>
        </is>
      </c>
      <c r="K3371" t="inlineStr">
        <is>
          <t>NAUTICA_MENS_V622744_NRD_3.jpg</t>
        </is>
      </c>
      <c r="L3371">
        <f>IMAGE("file:///E:/Estudios%20y%20certificaciones/ESTUDIOS%20DE%20PROGRAMMING/PROGRAMMING/PERSONAL/PYTHON/Image_Generator_API/imagenes/NAUTICA_MENS_V622744_NRD_1.jpg")</f>
        <v/>
      </c>
      <c r="M3371">
        <f>IMAGE("file:///E:/Estudios%20y%20certificaciones/ESTUDIOS%20DE%20PROGRAMMING/PROGRAMMING/PERSONAL/PYTHON/Image_Generator_API/imagenes/NAUTICA_MENS_V622744_NRD_2.jpg")</f>
        <v/>
      </c>
      <c r="N3371">
        <f>IMAGE("file:///E:/Estudios%20y%20certificaciones/ESTUDIOS%20DE%20PROGRAMMING/PROGRAMMING/PERSONAL/PYTHON/Image_Generator_API/imagenes/NAUTICA_MENS_V622744_NRD_3.jpg")</f>
        <v/>
      </c>
      <c r="O3371">
        <f>HYPERLINK("imagenes/NAUTICA_MENS_V622744_NRD_1.jpg","Ver imagen")</f>
        <v/>
      </c>
      <c r="P3371">
        <f>HYPERLINK("imagenes/NAUTICA_MENS_V622744_NRD_2.jpg","Ver imagen")</f>
        <v/>
      </c>
      <c r="Q3371">
        <f>HYPERLINK("imagenes/NAUTICA_MENS_V622744_NRD_3.jpg","Ver imagen")</f>
        <v/>
      </c>
    </row>
    <row r="3372">
      <c r="A3372" t="inlineStr">
        <is>
          <t>NAUTICA MENS</t>
        </is>
      </c>
      <c r="B3372" t="inlineStr">
        <is>
          <t>V622744</t>
        </is>
      </c>
      <c r="C3372" t="inlineStr">
        <is>
          <t>POLYSTR REVERSIBLE</t>
        </is>
      </c>
      <c r="D3372" t="inlineStr">
        <is>
          <t>NRD</t>
        </is>
      </c>
      <c r="E3372" t="inlineStr">
        <is>
          <t>(en blanco)</t>
        </is>
      </c>
      <c r="F3372" t="inlineStr">
        <is>
          <t>(en blanco)</t>
        </is>
      </c>
      <c r="G3372" t="inlineStr">
        <is>
          <t>XL</t>
        </is>
      </c>
      <c r="H3372" t="n">
        <v>484</v>
      </c>
      <c r="I3372" t="inlineStr">
        <is>
          <t>NAUTICA_MENS_V622744_NRD_1.jpg</t>
        </is>
      </c>
      <c r="J3372" t="inlineStr">
        <is>
          <t>NAUTICA_MENS_V622744_NRD_2.jpg</t>
        </is>
      </c>
      <c r="K3372" t="inlineStr">
        <is>
          <t>NAUTICA_MENS_V622744_NRD_3.jpg</t>
        </is>
      </c>
      <c r="L3372">
        <f>IMAGE("file:///E:/Estudios%20y%20certificaciones/ESTUDIOS%20DE%20PROGRAMMING/PROGRAMMING/PERSONAL/PYTHON/Image_Generator_API/imagenes/NAUTICA_MENS_V622744_NRD_1.jpg")</f>
        <v/>
      </c>
      <c r="M3372">
        <f>IMAGE("file:///E:/Estudios%20y%20certificaciones/ESTUDIOS%20DE%20PROGRAMMING/PROGRAMMING/PERSONAL/PYTHON/Image_Generator_API/imagenes/NAUTICA_MENS_V622744_NRD_2.jpg")</f>
        <v/>
      </c>
      <c r="N3372">
        <f>IMAGE("file:///E:/Estudios%20y%20certificaciones/ESTUDIOS%20DE%20PROGRAMMING/PROGRAMMING/PERSONAL/PYTHON/Image_Generator_API/imagenes/NAUTICA_MENS_V622744_NRD_3.jpg")</f>
        <v/>
      </c>
      <c r="O3372">
        <f>HYPERLINK("imagenes/NAUTICA_MENS_V622744_NRD_1.jpg","Ver imagen")</f>
        <v/>
      </c>
      <c r="P3372">
        <f>HYPERLINK("imagenes/NAUTICA_MENS_V622744_NRD_2.jpg","Ver imagen")</f>
        <v/>
      </c>
      <c r="Q3372">
        <f>HYPERLINK("imagenes/NAUTICA_MENS_V622744_NRD_3.jpg","Ver imagen")</f>
        <v/>
      </c>
    </row>
    <row r="3373">
      <c r="A3373" t="inlineStr">
        <is>
          <t>NAUTICA MENS</t>
        </is>
      </c>
      <c r="B3373" t="inlineStr">
        <is>
          <t>V622744</t>
        </is>
      </c>
      <c r="C3373" t="inlineStr">
        <is>
          <t>POLYSTR REVERSIBLE</t>
        </is>
      </c>
      <c r="D3373" t="inlineStr">
        <is>
          <t>NRD</t>
        </is>
      </c>
      <c r="E3373" t="inlineStr">
        <is>
          <t>(en blanco)</t>
        </is>
      </c>
      <c r="F3373" t="inlineStr">
        <is>
          <t>(en blanco)</t>
        </is>
      </c>
      <c r="G3373" t="inlineStr">
        <is>
          <t>XXL</t>
        </is>
      </c>
      <c r="H3373" t="n">
        <v>445</v>
      </c>
      <c r="I3373" t="inlineStr">
        <is>
          <t>NAUTICA_MENS_V622744_NRD_1.jpg</t>
        </is>
      </c>
      <c r="J3373" t="inlineStr">
        <is>
          <t>NAUTICA_MENS_V622744_NRD_2.jpg</t>
        </is>
      </c>
      <c r="K3373" t="inlineStr">
        <is>
          <t>NAUTICA_MENS_V622744_NRD_3.jpg</t>
        </is>
      </c>
      <c r="L3373">
        <f>IMAGE("file:///E:/Estudios%20y%20certificaciones/ESTUDIOS%20DE%20PROGRAMMING/PROGRAMMING/PERSONAL/PYTHON/Image_Generator_API/imagenes/NAUTICA_MENS_V622744_NRD_1.jpg")</f>
        <v/>
      </c>
      <c r="M3373">
        <f>IMAGE("file:///E:/Estudios%20y%20certificaciones/ESTUDIOS%20DE%20PROGRAMMING/PROGRAMMING/PERSONAL/PYTHON/Image_Generator_API/imagenes/NAUTICA_MENS_V622744_NRD_2.jpg")</f>
        <v/>
      </c>
      <c r="N3373">
        <f>IMAGE("file:///E:/Estudios%20y%20certificaciones/ESTUDIOS%20DE%20PROGRAMMING/PROGRAMMING/PERSONAL/PYTHON/Image_Generator_API/imagenes/NAUTICA_MENS_V622744_NRD_3.jpg")</f>
        <v/>
      </c>
      <c r="O3373">
        <f>HYPERLINK("imagenes/NAUTICA_MENS_V622744_NRD_1.jpg","Ver imagen")</f>
        <v/>
      </c>
      <c r="P3373">
        <f>HYPERLINK("imagenes/NAUTICA_MENS_V622744_NRD_2.jpg","Ver imagen")</f>
        <v/>
      </c>
      <c r="Q3373">
        <f>HYPERLINK("imagenes/NAUTICA_MENS_V622744_NRD_3.jpg","Ver imagen")</f>
        <v/>
      </c>
    </row>
    <row r="3374">
      <c r="A3374" t="inlineStr">
        <is>
          <t>NAUTICA MENS</t>
        </is>
      </c>
      <c r="B3374" t="inlineStr">
        <is>
          <t>V622744</t>
        </is>
      </c>
      <c r="C3374" t="inlineStr">
        <is>
          <t>POLYSTR REVERSIBLE</t>
        </is>
      </c>
      <c r="D3374" t="inlineStr">
        <is>
          <t>NTA</t>
        </is>
      </c>
      <c r="E3374" t="inlineStr">
        <is>
          <t>(en blanco)</t>
        </is>
      </c>
      <c r="F3374" t="inlineStr">
        <is>
          <t>(en blanco)</t>
        </is>
      </c>
      <c r="G3374" t="inlineStr">
        <is>
          <t>XS</t>
        </is>
      </c>
      <c r="H3374" t="n">
        <v>17</v>
      </c>
      <c r="I3374" t="inlineStr">
        <is>
          <t>NAUTICA_MENS_V622744_NTA_1.jpg</t>
        </is>
      </c>
      <c r="J3374" t="inlineStr">
        <is>
          <t>NAUTICA_MENS_V622744_NTA_2.jpg</t>
        </is>
      </c>
      <c r="K3374" t="inlineStr">
        <is>
          <t>NAUTICA_MENS_V622744_NTA_3.jpg</t>
        </is>
      </c>
      <c r="L3374">
        <f>IMAGE("file:///E:/Estudios%20y%20certificaciones/ESTUDIOS%20DE%20PROGRAMMING/PROGRAMMING/PERSONAL/PYTHON/Image_Generator_API/imagenes/NAUTICA_MENS_V622744_NTA_1.jpg")</f>
        <v/>
      </c>
      <c r="M3374">
        <f>IMAGE("file:///E:/Estudios%20y%20certificaciones/ESTUDIOS%20DE%20PROGRAMMING/PROGRAMMING/PERSONAL/PYTHON/Image_Generator_API/imagenes/NAUTICA_MENS_V622744_NTA_2.jpg")</f>
        <v/>
      </c>
      <c r="N3374">
        <f>IMAGE("file:///E:/Estudios%20y%20certificaciones/ESTUDIOS%20DE%20PROGRAMMING/PROGRAMMING/PERSONAL/PYTHON/Image_Generator_API/imagenes/NAUTICA_MENS_V622744_NTA_3.jpg")</f>
        <v/>
      </c>
      <c r="O3374">
        <f>HYPERLINK("imagenes/NAUTICA_MENS_V622744_NTA_1.jpg","Ver imagen")</f>
        <v/>
      </c>
      <c r="P3374">
        <f>HYPERLINK("imagenes/NAUTICA_MENS_V622744_NTA_2.jpg","Ver imagen")</f>
        <v/>
      </c>
      <c r="Q3374">
        <f>HYPERLINK("imagenes/NAUTICA_MENS_V622744_NTA_3.jpg","Ver imagen")</f>
        <v/>
      </c>
    </row>
    <row r="3375">
      <c r="A3375" t="inlineStr">
        <is>
          <t>NAUTICA MENS</t>
        </is>
      </c>
      <c r="B3375" t="inlineStr">
        <is>
          <t>V622744</t>
        </is>
      </c>
      <c r="C3375" t="inlineStr">
        <is>
          <t>POLYSTR REVERSIBLE</t>
        </is>
      </c>
      <c r="D3375" t="inlineStr">
        <is>
          <t>NTA</t>
        </is>
      </c>
      <c r="E3375" t="inlineStr">
        <is>
          <t>(en blanco)</t>
        </is>
      </c>
      <c r="F3375" t="inlineStr">
        <is>
          <t>(en blanco)</t>
        </is>
      </c>
      <c r="G3375" t="inlineStr">
        <is>
          <t>S</t>
        </is>
      </c>
      <c r="H3375" t="n">
        <v>40</v>
      </c>
      <c r="I3375" t="inlineStr">
        <is>
          <t>NAUTICA_MENS_V622744_NTA_1.jpg</t>
        </is>
      </c>
      <c r="J3375" t="inlineStr">
        <is>
          <t>NAUTICA_MENS_V622744_NTA_2.jpg</t>
        </is>
      </c>
      <c r="K3375" t="inlineStr">
        <is>
          <t>NAUTICA_MENS_V622744_NTA_3.jpg</t>
        </is>
      </c>
      <c r="L3375">
        <f>IMAGE("file:///E:/Estudios%20y%20certificaciones/ESTUDIOS%20DE%20PROGRAMMING/PROGRAMMING/PERSONAL/PYTHON/Image_Generator_API/imagenes/NAUTICA_MENS_V622744_NTA_1.jpg")</f>
        <v/>
      </c>
      <c r="M3375">
        <f>IMAGE("file:///E:/Estudios%20y%20certificaciones/ESTUDIOS%20DE%20PROGRAMMING/PROGRAMMING/PERSONAL/PYTHON/Image_Generator_API/imagenes/NAUTICA_MENS_V622744_NTA_2.jpg")</f>
        <v/>
      </c>
      <c r="N3375">
        <f>IMAGE("file:///E:/Estudios%20y%20certificaciones/ESTUDIOS%20DE%20PROGRAMMING/PROGRAMMING/PERSONAL/PYTHON/Image_Generator_API/imagenes/NAUTICA_MENS_V622744_NTA_3.jpg")</f>
        <v/>
      </c>
      <c r="O3375">
        <f>HYPERLINK("imagenes/NAUTICA_MENS_V622744_NTA_1.jpg","Ver imagen")</f>
        <v/>
      </c>
      <c r="P3375">
        <f>HYPERLINK("imagenes/NAUTICA_MENS_V622744_NTA_2.jpg","Ver imagen")</f>
        <v/>
      </c>
      <c r="Q3375">
        <f>HYPERLINK("imagenes/NAUTICA_MENS_V622744_NTA_3.jpg","Ver imagen")</f>
        <v/>
      </c>
    </row>
    <row r="3376">
      <c r="A3376" t="inlineStr">
        <is>
          <t>NAUTICA MENS</t>
        </is>
      </c>
      <c r="B3376" t="inlineStr">
        <is>
          <t>V622744</t>
        </is>
      </c>
      <c r="C3376" t="inlineStr">
        <is>
          <t>POLYSTR REVERSIBLE</t>
        </is>
      </c>
      <c r="D3376" t="inlineStr">
        <is>
          <t>NTA</t>
        </is>
      </c>
      <c r="E3376" t="inlineStr">
        <is>
          <t>(en blanco)</t>
        </is>
      </c>
      <c r="F3376" t="inlineStr">
        <is>
          <t>(en blanco)</t>
        </is>
      </c>
      <c r="G3376" t="inlineStr">
        <is>
          <t>M</t>
        </is>
      </c>
      <c r="H3376" t="n">
        <v>76</v>
      </c>
      <c r="I3376" t="inlineStr">
        <is>
          <t>NAUTICA_MENS_V622744_NTA_1.jpg</t>
        </is>
      </c>
      <c r="J3376" t="inlineStr">
        <is>
          <t>NAUTICA_MENS_V622744_NTA_2.jpg</t>
        </is>
      </c>
      <c r="K3376" t="inlineStr">
        <is>
          <t>NAUTICA_MENS_V622744_NTA_3.jpg</t>
        </is>
      </c>
      <c r="L3376">
        <f>IMAGE("file:///E:/Estudios%20y%20certificaciones/ESTUDIOS%20DE%20PROGRAMMING/PROGRAMMING/PERSONAL/PYTHON/Image_Generator_API/imagenes/NAUTICA_MENS_V622744_NTA_1.jpg")</f>
        <v/>
      </c>
      <c r="M3376">
        <f>IMAGE("file:///E:/Estudios%20y%20certificaciones/ESTUDIOS%20DE%20PROGRAMMING/PROGRAMMING/PERSONAL/PYTHON/Image_Generator_API/imagenes/NAUTICA_MENS_V622744_NTA_2.jpg")</f>
        <v/>
      </c>
      <c r="N3376">
        <f>IMAGE("file:///E:/Estudios%20y%20certificaciones/ESTUDIOS%20DE%20PROGRAMMING/PROGRAMMING/PERSONAL/PYTHON/Image_Generator_API/imagenes/NAUTICA_MENS_V622744_NTA_3.jpg")</f>
        <v/>
      </c>
      <c r="O3376">
        <f>HYPERLINK("imagenes/NAUTICA_MENS_V622744_NTA_1.jpg","Ver imagen")</f>
        <v/>
      </c>
      <c r="P3376">
        <f>HYPERLINK("imagenes/NAUTICA_MENS_V622744_NTA_2.jpg","Ver imagen")</f>
        <v/>
      </c>
      <c r="Q3376">
        <f>HYPERLINK("imagenes/NAUTICA_MENS_V622744_NTA_3.jpg","Ver imagen")</f>
        <v/>
      </c>
    </row>
    <row r="3377">
      <c r="A3377" t="inlineStr">
        <is>
          <t>NAUTICA MENS</t>
        </is>
      </c>
      <c r="B3377" t="inlineStr">
        <is>
          <t>V622744</t>
        </is>
      </c>
      <c r="C3377" t="inlineStr">
        <is>
          <t>POLYSTR REVERSIBLE</t>
        </is>
      </c>
      <c r="D3377" t="inlineStr">
        <is>
          <t>NTA</t>
        </is>
      </c>
      <c r="E3377" t="inlineStr">
        <is>
          <t>(en blanco)</t>
        </is>
      </c>
      <c r="F3377" t="inlineStr">
        <is>
          <t>(en blanco)</t>
        </is>
      </c>
      <c r="G3377" t="inlineStr">
        <is>
          <t>L</t>
        </is>
      </c>
      <c r="H3377" t="n">
        <v>58</v>
      </c>
      <c r="I3377" t="inlineStr">
        <is>
          <t>NAUTICA_MENS_V622744_NTA_1.jpg</t>
        </is>
      </c>
      <c r="J3377" t="inlineStr">
        <is>
          <t>NAUTICA_MENS_V622744_NTA_2.jpg</t>
        </is>
      </c>
      <c r="K3377" t="inlineStr">
        <is>
          <t>NAUTICA_MENS_V622744_NTA_3.jpg</t>
        </is>
      </c>
      <c r="L3377">
        <f>IMAGE("file:///E:/Estudios%20y%20certificaciones/ESTUDIOS%20DE%20PROGRAMMING/PROGRAMMING/PERSONAL/PYTHON/Image_Generator_API/imagenes/NAUTICA_MENS_V622744_NTA_1.jpg")</f>
        <v/>
      </c>
      <c r="M3377">
        <f>IMAGE("file:///E:/Estudios%20y%20certificaciones/ESTUDIOS%20DE%20PROGRAMMING/PROGRAMMING/PERSONAL/PYTHON/Image_Generator_API/imagenes/NAUTICA_MENS_V622744_NTA_2.jpg")</f>
        <v/>
      </c>
      <c r="N3377">
        <f>IMAGE("file:///E:/Estudios%20y%20certificaciones/ESTUDIOS%20DE%20PROGRAMMING/PROGRAMMING/PERSONAL/PYTHON/Image_Generator_API/imagenes/NAUTICA_MENS_V622744_NTA_3.jpg")</f>
        <v/>
      </c>
      <c r="O3377">
        <f>HYPERLINK("imagenes/NAUTICA_MENS_V622744_NTA_1.jpg","Ver imagen")</f>
        <v/>
      </c>
      <c r="P3377">
        <f>HYPERLINK("imagenes/NAUTICA_MENS_V622744_NTA_2.jpg","Ver imagen")</f>
        <v/>
      </c>
      <c r="Q3377">
        <f>HYPERLINK("imagenes/NAUTICA_MENS_V622744_NTA_3.jpg","Ver imagen")</f>
        <v/>
      </c>
    </row>
    <row r="3378">
      <c r="A3378" t="inlineStr">
        <is>
          <t>NAUTICA MENS</t>
        </is>
      </c>
      <c r="B3378" t="inlineStr">
        <is>
          <t>V622744</t>
        </is>
      </c>
      <c r="C3378" t="inlineStr">
        <is>
          <t>POLYSTR REVERSIBLE</t>
        </is>
      </c>
      <c r="D3378" t="inlineStr">
        <is>
          <t>NTA</t>
        </is>
      </c>
      <c r="E3378" t="inlineStr">
        <is>
          <t>(en blanco)</t>
        </is>
      </c>
      <c r="F3378" t="inlineStr">
        <is>
          <t>(en blanco)</t>
        </is>
      </c>
      <c r="G3378" t="inlineStr">
        <is>
          <t>XL</t>
        </is>
      </c>
      <c r="H3378" t="n">
        <v>39</v>
      </c>
      <c r="I3378" t="inlineStr">
        <is>
          <t>NAUTICA_MENS_V622744_NTA_1.jpg</t>
        </is>
      </c>
      <c r="J3378" t="inlineStr">
        <is>
          <t>NAUTICA_MENS_V622744_NTA_2.jpg</t>
        </is>
      </c>
      <c r="K3378" t="inlineStr">
        <is>
          <t>NAUTICA_MENS_V622744_NTA_3.jpg</t>
        </is>
      </c>
      <c r="L3378">
        <f>IMAGE("file:///E:/Estudios%20y%20certificaciones/ESTUDIOS%20DE%20PROGRAMMING/PROGRAMMING/PERSONAL/PYTHON/Image_Generator_API/imagenes/NAUTICA_MENS_V622744_NTA_1.jpg")</f>
        <v/>
      </c>
      <c r="M3378">
        <f>IMAGE("file:///E:/Estudios%20y%20certificaciones/ESTUDIOS%20DE%20PROGRAMMING/PROGRAMMING/PERSONAL/PYTHON/Image_Generator_API/imagenes/NAUTICA_MENS_V622744_NTA_2.jpg")</f>
        <v/>
      </c>
      <c r="N3378">
        <f>IMAGE("file:///E:/Estudios%20y%20certificaciones/ESTUDIOS%20DE%20PROGRAMMING/PROGRAMMING/PERSONAL/PYTHON/Image_Generator_API/imagenes/NAUTICA_MENS_V622744_NTA_3.jpg")</f>
        <v/>
      </c>
      <c r="O3378">
        <f>HYPERLINK("imagenes/NAUTICA_MENS_V622744_NTA_1.jpg","Ver imagen")</f>
        <v/>
      </c>
      <c r="P3378">
        <f>HYPERLINK("imagenes/NAUTICA_MENS_V622744_NTA_2.jpg","Ver imagen")</f>
        <v/>
      </c>
      <c r="Q3378">
        <f>HYPERLINK("imagenes/NAUTICA_MENS_V622744_NTA_3.jpg","Ver imagen")</f>
        <v/>
      </c>
    </row>
    <row r="3379">
      <c r="A3379" t="inlineStr">
        <is>
          <t>NAUTICA MENS</t>
        </is>
      </c>
      <c r="B3379" t="inlineStr">
        <is>
          <t>V622744</t>
        </is>
      </c>
      <c r="C3379" t="inlineStr">
        <is>
          <t>POLYSTR REVERSIBLE</t>
        </is>
      </c>
      <c r="D3379" t="inlineStr">
        <is>
          <t>RG3</t>
        </is>
      </c>
      <c r="E3379" t="inlineStr">
        <is>
          <t>(en blanco)</t>
        </is>
      </c>
      <c r="F3379" t="inlineStr">
        <is>
          <t>(en blanco)</t>
        </is>
      </c>
      <c r="G3379" t="inlineStr">
        <is>
          <t>S</t>
        </is>
      </c>
      <c r="H3379" t="n">
        <v>95</v>
      </c>
      <c r="I3379" t="inlineStr">
        <is>
          <t>NAUTICA_MENS_V622744_RG3_1.jpg</t>
        </is>
      </c>
      <c r="J3379" t="inlineStr">
        <is>
          <t>NAUTICA_MENS_V622744_RG3_2.jpg</t>
        </is>
      </c>
      <c r="K3379" t="inlineStr">
        <is>
          <t>NAUTICA_MENS_V622744_RG3_3.jpg</t>
        </is>
      </c>
      <c r="L3379">
        <f>IMAGE("file:///E:/Estudios%20y%20certificaciones/ESTUDIOS%20DE%20PROGRAMMING/PROGRAMMING/PERSONAL/PYTHON/Image_Generator_API/imagenes/NAUTICA_MENS_V622744_RG3_1.jpg")</f>
        <v/>
      </c>
      <c r="M3379">
        <f>IMAGE("file:///E:/Estudios%20y%20certificaciones/ESTUDIOS%20DE%20PROGRAMMING/PROGRAMMING/PERSONAL/PYTHON/Image_Generator_API/imagenes/NAUTICA_MENS_V622744_RG3_2.jpg")</f>
        <v/>
      </c>
      <c r="N3379">
        <f>IMAGE("file:///E:/Estudios%20y%20certificaciones/ESTUDIOS%20DE%20PROGRAMMING/PROGRAMMING/PERSONAL/PYTHON/Image_Generator_API/imagenes/NAUTICA_MENS_V622744_RG3_3.jpg")</f>
        <v/>
      </c>
      <c r="O3379">
        <f>HYPERLINK("imagenes/NAUTICA_MENS_V622744_RG3_1.jpg","Ver imagen")</f>
        <v/>
      </c>
      <c r="P3379">
        <f>HYPERLINK("imagenes/NAUTICA_MENS_V622744_RG3_2.jpg","Ver imagen")</f>
        <v/>
      </c>
      <c r="Q3379">
        <f>HYPERLINK("imagenes/NAUTICA_MENS_V622744_RG3_3.jpg","Ver imagen")</f>
        <v/>
      </c>
    </row>
    <row r="3380">
      <c r="A3380" t="inlineStr">
        <is>
          <t>NAUTICA MENS</t>
        </is>
      </c>
      <c r="B3380" t="inlineStr">
        <is>
          <t>V622744</t>
        </is>
      </c>
      <c r="C3380" t="inlineStr">
        <is>
          <t>POLYSTR REVERSIBLE</t>
        </is>
      </c>
      <c r="D3380" t="inlineStr">
        <is>
          <t>RG3</t>
        </is>
      </c>
      <c r="E3380" t="inlineStr">
        <is>
          <t>(en blanco)</t>
        </is>
      </c>
      <c r="F3380" t="inlineStr">
        <is>
          <t>(en blanco)</t>
        </is>
      </c>
      <c r="G3380" t="inlineStr">
        <is>
          <t>M</t>
        </is>
      </c>
      <c r="H3380" t="n">
        <v>169</v>
      </c>
      <c r="I3380" t="inlineStr">
        <is>
          <t>NAUTICA_MENS_V622744_RG3_1.jpg</t>
        </is>
      </c>
      <c r="J3380" t="inlineStr">
        <is>
          <t>NAUTICA_MENS_V622744_RG3_2.jpg</t>
        </is>
      </c>
      <c r="K3380" t="inlineStr">
        <is>
          <t>NAUTICA_MENS_V622744_RG3_3.jpg</t>
        </is>
      </c>
      <c r="L3380">
        <f>IMAGE("file:///E:/Estudios%20y%20certificaciones/ESTUDIOS%20DE%20PROGRAMMING/PROGRAMMING/PERSONAL/PYTHON/Image_Generator_API/imagenes/NAUTICA_MENS_V622744_RG3_1.jpg")</f>
        <v/>
      </c>
      <c r="M3380">
        <f>IMAGE("file:///E:/Estudios%20y%20certificaciones/ESTUDIOS%20DE%20PROGRAMMING/PROGRAMMING/PERSONAL/PYTHON/Image_Generator_API/imagenes/NAUTICA_MENS_V622744_RG3_2.jpg")</f>
        <v/>
      </c>
      <c r="N3380">
        <f>IMAGE("file:///E:/Estudios%20y%20certificaciones/ESTUDIOS%20DE%20PROGRAMMING/PROGRAMMING/PERSONAL/PYTHON/Image_Generator_API/imagenes/NAUTICA_MENS_V622744_RG3_3.jpg")</f>
        <v/>
      </c>
      <c r="O3380">
        <f>HYPERLINK("imagenes/NAUTICA_MENS_V622744_RG3_1.jpg","Ver imagen")</f>
        <v/>
      </c>
      <c r="P3380">
        <f>HYPERLINK("imagenes/NAUTICA_MENS_V622744_RG3_2.jpg","Ver imagen")</f>
        <v/>
      </c>
      <c r="Q3380">
        <f>HYPERLINK("imagenes/NAUTICA_MENS_V622744_RG3_3.jpg","Ver imagen")</f>
        <v/>
      </c>
    </row>
    <row r="3381">
      <c r="A3381" t="inlineStr">
        <is>
          <t>NAUTICA MENS</t>
        </is>
      </c>
      <c r="B3381" t="inlineStr">
        <is>
          <t>V622744</t>
        </is>
      </c>
      <c r="C3381" t="inlineStr">
        <is>
          <t>POLYSTR REVERSIBLE</t>
        </is>
      </c>
      <c r="D3381" t="inlineStr">
        <is>
          <t>RG3</t>
        </is>
      </c>
      <c r="E3381" t="inlineStr">
        <is>
          <t>(en blanco)</t>
        </is>
      </c>
      <c r="F3381" t="inlineStr">
        <is>
          <t>(en blanco)</t>
        </is>
      </c>
      <c r="G3381" t="inlineStr">
        <is>
          <t>L</t>
        </is>
      </c>
      <c r="H3381" t="n">
        <v>343</v>
      </c>
      <c r="I3381" t="inlineStr">
        <is>
          <t>NAUTICA_MENS_V622744_RG3_1.jpg</t>
        </is>
      </c>
      <c r="J3381" t="inlineStr">
        <is>
          <t>NAUTICA_MENS_V622744_RG3_2.jpg</t>
        </is>
      </c>
      <c r="K3381" t="inlineStr">
        <is>
          <t>NAUTICA_MENS_V622744_RG3_3.jpg</t>
        </is>
      </c>
      <c r="L3381">
        <f>IMAGE("file:///E:/Estudios%20y%20certificaciones/ESTUDIOS%20DE%20PROGRAMMING/PROGRAMMING/PERSONAL/PYTHON/Image_Generator_API/imagenes/NAUTICA_MENS_V622744_RG3_1.jpg")</f>
        <v/>
      </c>
      <c r="M3381">
        <f>IMAGE("file:///E:/Estudios%20y%20certificaciones/ESTUDIOS%20DE%20PROGRAMMING/PROGRAMMING/PERSONAL/PYTHON/Image_Generator_API/imagenes/NAUTICA_MENS_V622744_RG3_2.jpg")</f>
        <v/>
      </c>
      <c r="N3381">
        <f>IMAGE("file:///E:/Estudios%20y%20certificaciones/ESTUDIOS%20DE%20PROGRAMMING/PROGRAMMING/PERSONAL/PYTHON/Image_Generator_API/imagenes/NAUTICA_MENS_V622744_RG3_3.jpg")</f>
        <v/>
      </c>
      <c r="O3381">
        <f>HYPERLINK("imagenes/NAUTICA_MENS_V622744_RG3_1.jpg","Ver imagen")</f>
        <v/>
      </c>
      <c r="P3381">
        <f>HYPERLINK("imagenes/NAUTICA_MENS_V622744_RG3_2.jpg","Ver imagen")</f>
        <v/>
      </c>
      <c r="Q3381">
        <f>HYPERLINK("imagenes/NAUTICA_MENS_V622744_RG3_3.jpg","Ver imagen")</f>
        <v/>
      </c>
    </row>
    <row r="3382">
      <c r="A3382" t="inlineStr">
        <is>
          <t>NAUTICA MENS</t>
        </is>
      </c>
      <c r="B3382" t="inlineStr">
        <is>
          <t>V622744</t>
        </is>
      </c>
      <c r="C3382" t="inlineStr">
        <is>
          <t>POLYSTR REVERSIBLE</t>
        </is>
      </c>
      <c r="D3382" t="inlineStr">
        <is>
          <t>RG3</t>
        </is>
      </c>
      <c r="E3382" t="inlineStr">
        <is>
          <t>(en blanco)</t>
        </is>
      </c>
      <c r="F3382" t="inlineStr">
        <is>
          <t>(en blanco)</t>
        </is>
      </c>
      <c r="G3382" t="inlineStr">
        <is>
          <t>XL</t>
        </is>
      </c>
      <c r="H3382" t="n">
        <v>208</v>
      </c>
      <c r="I3382" t="inlineStr">
        <is>
          <t>NAUTICA_MENS_V622744_RG3_1.jpg</t>
        </is>
      </c>
      <c r="J3382" t="inlineStr">
        <is>
          <t>NAUTICA_MENS_V622744_RG3_2.jpg</t>
        </is>
      </c>
      <c r="K3382" t="inlineStr">
        <is>
          <t>NAUTICA_MENS_V622744_RG3_3.jpg</t>
        </is>
      </c>
      <c r="L3382">
        <f>IMAGE("file:///E:/Estudios%20y%20certificaciones/ESTUDIOS%20DE%20PROGRAMMING/PROGRAMMING/PERSONAL/PYTHON/Image_Generator_API/imagenes/NAUTICA_MENS_V622744_RG3_1.jpg")</f>
        <v/>
      </c>
      <c r="M3382">
        <f>IMAGE("file:///E:/Estudios%20y%20certificaciones/ESTUDIOS%20DE%20PROGRAMMING/PROGRAMMING/PERSONAL/PYTHON/Image_Generator_API/imagenes/NAUTICA_MENS_V622744_RG3_2.jpg")</f>
        <v/>
      </c>
      <c r="N3382">
        <f>IMAGE("file:///E:/Estudios%20y%20certificaciones/ESTUDIOS%20DE%20PROGRAMMING/PROGRAMMING/PERSONAL/PYTHON/Image_Generator_API/imagenes/NAUTICA_MENS_V622744_RG3_3.jpg")</f>
        <v/>
      </c>
      <c r="O3382">
        <f>HYPERLINK("imagenes/NAUTICA_MENS_V622744_RG3_1.jpg","Ver imagen")</f>
        <v/>
      </c>
      <c r="P3382">
        <f>HYPERLINK("imagenes/NAUTICA_MENS_V622744_RG3_2.jpg","Ver imagen")</f>
        <v/>
      </c>
      <c r="Q3382">
        <f>HYPERLINK("imagenes/NAUTICA_MENS_V622744_RG3_3.jpg","Ver imagen")</f>
        <v/>
      </c>
    </row>
    <row r="3383">
      <c r="A3383" t="inlineStr">
        <is>
          <t>NAUTICA MENS</t>
        </is>
      </c>
      <c r="B3383" t="inlineStr">
        <is>
          <t>V622744</t>
        </is>
      </c>
      <c r="C3383" t="inlineStr">
        <is>
          <t>POLYSTR REVERSIBLE</t>
        </is>
      </c>
      <c r="D3383" t="inlineStr">
        <is>
          <t>RG3</t>
        </is>
      </c>
      <c r="E3383" t="inlineStr">
        <is>
          <t>(en blanco)</t>
        </is>
      </c>
      <c r="F3383" t="inlineStr">
        <is>
          <t>(en blanco)</t>
        </is>
      </c>
      <c r="G3383" t="inlineStr">
        <is>
          <t>XXL</t>
        </is>
      </c>
      <c r="H3383" t="n">
        <v>179</v>
      </c>
      <c r="I3383" t="inlineStr">
        <is>
          <t>NAUTICA_MENS_V622744_RG3_1.jpg</t>
        </is>
      </c>
      <c r="J3383" t="inlineStr">
        <is>
          <t>NAUTICA_MENS_V622744_RG3_2.jpg</t>
        </is>
      </c>
      <c r="K3383" t="inlineStr">
        <is>
          <t>NAUTICA_MENS_V622744_RG3_3.jpg</t>
        </is>
      </c>
      <c r="L3383">
        <f>IMAGE("file:///E:/Estudios%20y%20certificaciones/ESTUDIOS%20DE%20PROGRAMMING/PROGRAMMING/PERSONAL/PYTHON/Image_Generator_API/imagenes/NAUTICA_MENS_V622744_RG3_1.jpg")</f>
        <v/>
      </c>
      <c r="M3383">
        <f>IMAGE("file:///E:/Estudios%20y%20certificaciones/ESTUDIOS%20DE%20PROGRAMMING/PROGRAMMING/PERSONAL/PYTHON/Image_Generator_API/imagenes/NAUTICA_MENS_V622744_RG3_2.jpg")</f>
        <v/>
      </c>
      <c r="N3383">
        <f>IMAGE("file:///E:/Estudios%20y%20certificaciones/ESTUDIOS%20DE%20PROGRAMMING/PROGRAMMING/PERSONAL/PYTHON/Image_Generator_API/imagenes/NAUTICA_MENS_V622744_RG3_3.jpg")</f>
        <v/>
      </c>
      <c r="O3383">
        <f>HYPERLINK("imagenes/NAUTICA_MENS_V622744_RG3_1.jpg","Ver imagen")</f>
        <v/>
      </c>
      <c r="P3383">
        <f>HYPERLINK("imagenes/NAUTICA_MENS_V622744_RG3_2.jpg","Ver imagen")</f>
        <v/>
      </c>
      <c r="Q3383">
        <f>HYPERLINK("imagenes/NAUTICA_MENS_V622744_RG3_3.jpg","Ver imagen")</f>
        <v/>
      </c>
    </row>
    <row r="3384">
      <c r="A3384" t="inlineStr">
        <is>
          <t>NAUTICA MENS</t>
        </is>
      </c>
      <c r="B3384" t="inlineStr">
        <is>
          <t>V622744</t>
        </is>
      </c>
      <c r="C3384" t="inlineStr">
        <is>
          <t>POLYSTR REVERSIBLE</t>
        </is>
      </c>
      <c r="D3384" t="inlineStr">
        <is>
          <t>TAU</t>
        </is>
      </c>
      <c r="E3384" t="inlineStr">
        <is>
          <t>(en blanco)</t>
        </is>
      </c>
      <c r="F3384" t="inlineStr">
        <is>
          <t>(en blanco)</t>
        </is>
      </c>
      <c r="G3384" t="inlineStr">
        <is>
          <t>S</t>
        </is>
      </c>
      <c r="H3384" t="n">
        <v>30</v>
      </c>
      <c r="I3384" t="inlineStr">
        <is>
          <t>NAUTICA_MENS_V622744_TAU_1.jpg</t>
        </is>
      </c>
      <c r="J3384" t="inlineStr">
        <is>
          <t>NAUTICA_MENS_V622744_TAU_2.jpg</t>
        </is>
      </c>
      <c r="K3384" t="inlineStr">
        <is>
          <t>NAUTICA_MENS_V622744_TAU_3.jpg</t>
        </is>
      </c>
      <c r="L3384">
        <f>IMAGE("file:///E:/Estudios%20y%20certificaciones/ESTUDIOS%20DE%20PROGRAMMING/PROGRAMMING/PERSONAL/PYTHON/Image_Generator_API/imagenes/NAUTICA_MENS_V622744_TAU_1.jpg")</f>
        <v/>
      </c>
      <c r="M3384">
        <f>IMAGE("file:///E:/Estudios%20y%20certificaciones/ESTUDIOS%20DE%20PROGRAMMING/PROGRAMMING/PERSONAL/PYTHON/Image_Generator_API/imagenes/NAUTICA_MENS_V622744_TAU_2.jpg")</f>
        <v/>
      </c>
      <c r="N3384">
        <f>IMAGE("file:///E:/Estudios%20y%20certificaciones/ESTUDIOS%20DE%20PROGRAMMING/PROGRAMMING/PERSONAL/PYTHON/Image_Generator_API/imagenes/NAUTICA_MENS_V622744_TAU_3.jpg")</f>
        <v/>
      </c>
      <c r="O3384">
        <f>HYPERLINK("imagenes/NAUTICA_MENS_V622744_TAU_1.jpg","Ver imagen")</f>
        <v/>
      </c>
      <c r="P3384">
        <f>HYPERLINK("imagenes/NAUTICA_MENS_V622744_TAU_2.jpg","Ver imagen")</f>
        <v/>
      </c>
      <c r="Q3384">
        <f>HYPERLINK("imagenes/NAUTICA_MENS_V622744_TAU_3.jpg","Ver imagen")</f>
        <v/>
      </c>
    </row>
    <row r="3385">
      <c r="A3385" t="inlineStr">
        <is>
          <t>NAUTICA MENS</t>
        </is>
      </c>
      <c r="B3385" t="inlineStr">
        <is>
          <t>V622744</t>
        </is>
      </c>
      <c r="C3385" t="inlineStr">
        <is>
          <t>POLYSTR REVERSIBLE</t>
        </is>
      </c>
      <c r="D3385" t="inlineStr">
        <is>
          <t>TAU</t>
        </is>
      </c>
      <c r="E3385" t="inlineStr">
        <is>
          <t>(en blanco)</t>
        </is>
      </c>
      <c r="F3385" t="inlineStr">
        <is>
          <t>(en blanco)</t>
        </is>
      </c>
      <c r="G3385" t="inlineStr">
        <is>
          <t>M</t>
        </is>
      </c>
      <c r="H3385" t="n">
        <v>169</v>
      </c>
      <c r="I3385" t="inlineStr">
        <is>
          <t>NAUTICA_MENS_V622744_TAU_1.jpg</t>
        </is>
      </c>
      <c r="J3385" t="inlineStr">
        <is>
          <t>NAUTICA_MENS_V622744_TAU_2.jpg</t>
        </is>
      </c>
      <c r="K3385" t="inlineStr">
        <is>
          <t>NAUTICA_MENS_V622744_TAU_3.jpg</t>
        </is>
      </c>
      <c r="L3385">
        <f>IMAGE("file:///E:/Estudios%20y%20certificaciones/ESTUDIOS%20DE%20PROGRAMMING/PROGRAMMING/PERSONAL/PYTHON/Image_Generator_API/imagenes/NAUTICA_MENS_V622744_TAU_1.jpg")</f>
        <v/>
      </c>
      <c r="M3385">
        <f>IMAGE("file:///E:/Estudios%20y%20certificaciones/ESTUDIOS%20DE%20PROGRAMMING/PROGRAMMING/PERSONAL/PYTHON/Image_Generator_API/imagenes/NAUTICA_MENS_V622744_TAU_2.jpg")</f>
        <v/>
      </c>
      <c r="N3385">
        <f>IMAGE("file:///E:/Estudios%20y%20certificaciones/ESTUDIOS%20DE%20PROGRAMMING/PROGRAMMING/PERSONAL/PYTHON/Image_Generator_API/imagenes/NAUTICA_MENS_V622744_TAU_3.jpg")</f>
        <v/>
      </c>
      <c r="O3385">
        <f>HYPERLINK("imagenes/NAUTICA_MENS_V622744_TAU_1.jpg","Ver imagen")</f>
        <v/>
      </c>
      <c r="P3385">
        <f>HYPERLINK("imagenes/NAUTICA_MENS_V622744_TAU_2.jpg","Ver imagen")</f>
        <v/>
      </c>
      <c r="Q3385">
        <f>HYPERLINK("imagenes/NAUTICA_MENS_V622744_TAU_3.jpg","Ver imagen")</f>
        <v/>
      </c>
    </row>
    <row r="3386">
      <c r="A3386" t="inlineStr">
        <is>
          <t>NAUTICA MENS</t>
        </is>
      </c>
      <c r="B3386" t="inlineStr">
        <is>
          <t>V622744</t>
        </is>
      </c>
      <c r="C3386" t="inlineStr">
        <is>
          <t>POLYSTR REVERSIBLE</t>
        </is>
      </c>
      <c r="D3386" t="inlineStr">
        <is>
          <t>TAU</t>
        </is>
      </c>
      <c r="E3386" t="inlineStr">
        <is>
          <t>(en blanco)</t>
        </is>
      </c>
      <c r="F3386" t="inlineStr">
        <is>
          <t>(en blanco)</t>
        </is>
      </c>
      <c r="G3386" t="inlineStr">
        <is>
          <t>L</t>
        </is>
      </c>
      <c r="H3386" t="n">
        <v>274</v>
      </c>
      <c r="I3386" t="inlineStr">
        <is>
          <t>NAUTICA_MENS_V622744_TAU_1.jpg</t>
        </is>
      </c>
      <c r="J3386" t="inlineStr">
        <is>
          <t>NAUTICA_MENS_V622744_TAU_2.jpg</t>
        </is>
      </c>
      <c r="K3386" t="inlineStr">
        <is>
          <t>NAUTICA_MENS_V622744_TAU_3.jpg</t>
        </is>
      </c>
      <c r="L3386">
        <f>IMAGE("file:///E:/Estudios%20y%20certificaciones/ESTUDIOS%20DE%20PROGRAMMING/PROGRAMMING/PERSONAL/PYTHON/Image_Generator_API/imagenes/NAUTICA_MENS_V622744_TAU_1.jpg")</f>
        <v/>
      </c>
      <c r="M3386">
        <f>IMAGE("file:///E:/Estudios%20y%20certificaciones/ESTUDIOS%20DE%20PROGRAMMING/PROGRAMMING/PERSONAL/PYTHON/Image_Generator_API/imagenes/NAUTICA_MENS_V622744_TAU_2.jpg")</f>
        <v/>
      </c>
      <c r="N3386">
        <f>IMAGE("file:///E:/Estudios%20y%20certificaciones/ESTUDIOS%20DE%20PROGRAMMING/PROGRAMMING/PERSONAL/PYTHON/Image_Generator_API/imagenes/NAUTICA_MENS_V622744_TAU_3.jpg")</f>
        <v/>
      </c>
      <c r="O3386">
        <f>HYPERLINK("imagenes/NAUTICA_MENS_V622744_TAU_1.jpg","Ver imagen")</f>
        <v/>
      </c>
      <c r="P3386">
        <f>HYPERLINK("imagenes/NAUTICA_MENS_V622744_TAU_2.jpg","Ver imagen")</f>
        <v/>
      </c>
      <c r="Q3386">
        <f>HYPERLINK("imagenes/NAUTICA_MENS_V622744_TAU_3.jpg","Ver imagen")</f>
        <v/>
      </c>
    </row>
    <row r="3387">
      <c r="A3387" t="inlineStr">
        <is>
          <t>NAUTICA MENS</t>
        </is>
      </c>
      <c r="B3387" t="inlineStr">
        <is>
          <t>V622744</t>
        </is>
      </c>
      <c r="C3387" t="inlineStr">
        <is>
          <t>POLYSTR REVERSIBLE</t>
        </is>
      </c>
      <c r="D3387" t="inlineStr">
        <is>
          <t>TAU</t>
        </is>
      </c>
      <c r="E3387" t="inlineStr">
        <is>
          <t>(en blanco)</t>
        </is>
      </c>
      <c r="F3387" t="inlineStr">
        <is>
          <t>(en blanco)</t>
        </is>
      </c>
      <c r="G3387" t="inlineStr">
        <is>
          <t>XL</t>
        </is>
      </c>
      <c r="H3387" t="n">
        <v>194</v>
      </c>
      <c r="I3387" t="inlineStr">
        <is>
          <t>NAUTICA_MENS_V622744_TAU_1.jpg</t>
        </is>
      </c>
      <c r="J3387" t="inlineStr">
        <is>
          <t>NAUTICA_MENS_V622744_TAU_2.jpg</t>
        </is>
      </c>
      <c r="K3387" t="inlineStr">
        <is>
          <t>NAUTICA_MENS_V622744_TAU_3.jpg</t>
        </is>
      </c>
      <c r="L3387">
        <f>IMAGE("file:///E:/Estudios%20y%20certificaciones/ESTUDIOS%20DE%20PROGRAMMING/PROGRAMMING/PERSONAL/PYTHON/Image_Generator_API/imagenes/NAUTICA_MENS_V622744_TAU_1.jpg")</f>
        <v/>
      </c>
      <c r="M3387">
        <f>IMAGE("file:///E:/Estudios%20y%20certificaciones/ESTUDIOS%20DE%20PROGRAMMING/PROGRAMMING/PERSONAL/PYTHON/Image_Generator_API/imagenes/NAUTICA_MENS_V622744_TAU_2.jpg")</f>
        <v/>
      </c>
      <c r="N3387">
        <f>IMAGE("file:///E:/Estudios%20y%20certificaciones/ESTUDIOS%20DE%20PROGRAMMING/PROGRAMMING/PERSONAL/PYTHON/Image_Generator_API/imagenes/NAUTICA_MENS_V622744_TAU_3.jpg")</f>
        <v/>
      </c>
      <c r="O3387">
        <f>HYPERLINK("imagenes/NAUTICA_MENS_V622744_TAU_1.jpg","Ver imagen")</f>
        <v/>
      </c>
      <c r="P3387">
        <f>HYPERLINK("imagenes/NAUTICA_MENS_V622744_TAU_2.jpg","Ver imagen")</f>
        <v/>
      </c>
      <c r="Q3387">
        <f>HYPERLINK("imagenes/NAUTICA_MENS_V622744_TAU_3.jpg","Ver imagen")</f>
        <v/>
      </c>
    </row>
    <row r="3388">
      <c r="A3388" t="inlineStr">
        <is>
          <t>NAUTICA MENS</t>
        </is>
      </c>
      <c r="B3388" t="inlineStr">
        <is>
          <t>V622744</t>
        </is>
      </c>
      <c r="C3388" t="inlineStr">
        <is>
          <t>POLYSTR REVERSIBLE</t>
        </is>
      </c>
      <c r="D3388" t="inlineStr">
        <is>
          <t>TAU</t>
        </is>
      </c>
      <c r="E3388" t="inlineStr">
        <is>
          <t>(en blanco)</t>
        </is>
      </c>
      <c r="F3388" t="inlineStr">
        <is>
          <t>(en blanco)</t>
        </is>
      </c>
      <c r="G3388" t="inlineStr">
        <is>
          <t>XXL</t>
        </is>
      </c>
      <c r="H3388" t="n">
        <v>136</v>
      </c>
      <c r="I3388" t="inlineStr">
        <is>
          <t>NAUTICA_MENS_V622744_TAU_1.jpg</t>
        </is>
      </c>
      <c r="J3388" t="inlineStr">
        <is>
          <t>NAUTICA_MENS_V622744_TAU_2.jpg</t>
        </is>
      </c>
      <c r="K3388" t="inlineStr">
        <is>
          <t>NAUTICA_MENS_V622744_TAU_3.jpg</t>
        </is>
      </c>
      <c r="L3388">
        <f>IMAGE("file:///E:/Estudios%20y%20certificaciones/ESTUDIOS%20DE%20PROGRAMMING/PROGRAMMING/PERSONAL/PYTHON/Image_Generator_API/imagenes/NAUTICA_MENS_V622744_TAU_1.jpg")</f>
        <v/>
      </c>
      <c r="M3388">
        <f>IMAGE("file:///E:/Estudios%20y%20certificaciones/ESTUDIOS%20DE%20PROGRAMMING/PROGRAMMING/PERSONAL/PYTHON/Image_Generator_API/imagenes/NAUTICA_MENS_V622744_TAU_2.jpg")</f>
        <v/>
      </c>
      <c r="N3388">
        <f>IMAGE("file:///E:/Estudios%20y%20certificaciones/ESTUDIOS%20DE%20PROGRAMMING/PROGRAMMING/PERSONAL/PYTHON/Image_Generator_API/imagenes/NAUTICA_MENS_V622744_TAU_3.jpg")</f>
        <v/>
      </c>
      <c r="O3388">
        <f>HYPERLINK("imagenes/NAUTICA_MENS_V622744_TAU_1.jpg","Ver imagen")</f>
        <v/>
      </c>
      <c r="P3388">
        <f>HYPERLINK("imagenes/NAUTICA_MENS_V622744_TAU_2.jpg","Ver imagen")</f>
        <v/>
      </c>
      <c r="Q3388">
        <f>HYPERLINK("imagenes/NAUTICA_MENS_V622744_TAU_3.jpg","Ver imagen")</f>
        <v/>
      </c>
    </row>
    <row r="3389">
      <c r="A3389" t="inlineStr">
        <is>
          <t>NAUTICA MENS</t>
        </is>
      </c>
      <c r="B3389" t="inlineStr">
        <is>
          <t>V623040A</t>
        </is>
      </c>
      <c r="C3389" t="inlineStr">
        <is>
          <t>VINTAGE PUFFER</t>
        </is>
      </c>
      <c r="D3389" t="inlineStr">
        <is>
          <t>NVY</t>
        </is>
      </c>
      <c r="E3389" t="inlineStr">
        <is>
          <t>(en blanco)</t>
        </is>
      </c>
      <c r="F3389" t="inlineStr">
        <is>
          <t>(en blanco)</t>
        </is>
      </c>
      <c r="G3389" t="inlineStr">
        <is>
          <t>XL</t>
        </is>
      </c>
      <c r="H3389" t="n">
        <v>1</v>
      </c>
      <c r="I3389" t="inlineStr">
        <is>
          <t>NAUTICA_MENS_V623040A_NVY_1.jpg</t>
        </is>
      </c>
      <c r="J3389" t="inlineStr">
        <is>
          <t>NAUTICA_MENS_V623040A_NVY_2.jpg</t>
        </is>
      </c>
      <c r="K3389" t="inlineStr">
        <is>
          <t>NAUTICA_MENS_V623040A_NVY_3.jpg</t>
        </is>
      </c>
      <c r="L3389">
        <f>IMAGE("file:///E:/Estudios%20y%20certificaciones/ESTUDIOS%20DE%20PROGRAMMING/PROGRAMMING/PERSONAL/PYTHON/Image_Generator_API/imagenes/NAUTICA_MENS_V623040A_NVY_1.jpg")</f>
        <v/>
      </c>
      <c r="M3389">
        <f>IMAGE("file:///E:/Estudios%20y%20certificaciones/ESTUDIOS%20DE%20PROGRAMMING/PROGRAMMING/PERSONAL/PYTHON/Image_Generator_API/imagenes/NAUTICA_MENS_V623040A_NVY_2.jpg")</f>
        <v/>
      </c>
      <c r="N3389">
        <f>IMAGE("file:///E:/Estudios%20y%20certificaciones/ESTUDIOS%20DE%20PROGRAMMING/PROGRAMMING/PERSONAL/PYTHON/Image_Generator_API/imagenes/NAUTICA_MENS_V623040A_NVY_3.jpg")</f>
        <v/>
      </c>
      <c r="O3389">
        <f>HYPERLINK("imagenes/NAUTICA_MENS_V623040A_NVY_1.jpg","Ver imagen")</f>
        <v/>
      </c>
      <c r="P3389">
        <f>HYPERLINK("imagenes/NAUTICA_MENS_V623040A_NVY_2.jpg","Ver imagen")</f>
        <v/>
      </c>
      <c r="Q3389">
        <f>HYPERLINK("imagenes/NAUTICA_MENS_V623040A_NVY_3.jpg","Ver imagen")</f>
        <v/>
      </c>
    </row>
    <row r="3390">
      <c r="A3390" t="inlineStr">
        <is>
          <t>NAUTICA MENS</t>
        </is>
      </c>
      <c r="B3390" t="inlineStr">
        <is>
          <t>V623040A</t>
        </is>
      </c>
      <c r="C3390" t="inlineStr">
        <is>
          <t>VINTAGE PUFFER</t>
        </is>
      </c>
      <c r="D3390" t="inlineStr">
        <is>
          <t>STO</t>
        </is>
      </c>
      <c r="E3390" t="inlineStr">
        <is>
          <t>(en blanco)</t>
        </is>
      </c>
      <c r="F3390" t="inlineStr">
        <is>
          <t>(en blanco)</t>
        </is>
      </c>
      <c r="G3390" t="inlineStr">
        <is>
          <t>M</t>
        </is>
      </c>
      <c r="H3390" t="n">
        <v>1</v>
      </c>
      <c r="I3390" t="inlineStr">
        <is>
          <t>NAUTICA_MENS_V623040A_STO_1.jpg</t>
        </is>
      </c>
      <c r="J3390" t="inlineStr">
        <is>
          <t>NAUTICA_MENS_V623040A_STO_2.jpg</t>
        </is>
      </c>
      <c r="K3390" t="inlineStr">
        <is>
          <t>NAUTICA_MENS_V623040A_STO_3.jpg</t>
        </is>
      </c>
      <c r="L3390">
        <f>IMAGE("file:///E:/Estudios%20y%20certificaciones/ESTUDIOS%20DE%20PROGRAMMING/PROGRAMMING/PERSONAL/PYTHON/Image_Generator_API/imagenes/NAUTICA_MENS_V623040A_STO_1.jpg")</f>
        <v/>
      </c>
      <c r="M3390">
        <f>IMAGE("file:///E:/Estudios%20y%20certificaciones/ESTUDIOS%20DE%20PROGRAMMING/PROGRAMMING/PERSONAL/PYTHON/Image_Generator_API/imagenes/NAUTICA_MENS_V623040A_STO_2.jpg")</f>
        <v/>
      </c>
      <c r="N3390">
        <f>IMAGE("file:///E:/Estudios%20y%20certificaciones/ESTUDIOS%20DE%20PROGRAMMING/PROGRAMMING/PERSONAL/PYTHON/Image_Generator_API/imagenes/NAUTICA_MENS_V623040A_STO_3.jpg")</f>
        <v/>
      </c>
      <c r="O3390">
        <f>HYPERLINK("imagenes/NAUTICA_MENS_V623040A_STO_1.jpg","Ver imagen")</f>
        <v/>
      </c>
      <c r="P3390">
        <f>HYPERLINK("imagenes/NAUTICA_MENS_V623040A_STO_2.jpg","Ver imagen")</f>
        <v/>
      </c>
      <c r="Q3390">
        <f>HYPERLINK("imagenes/NAUTICA_MENS_V623040A_STO_3.jpg","Ver imagen")</f>
        <v/>
      </c>
    </row>
    <row r="3391">
      <c r="A3391" t="inlineStr">
        <is>
          <t>NAUTICA MENS</t>
        </is>
      </c>
      <c r="B3391" t="inlineStr">
        <is>
          <t>V623040A</t>
        </is>
      </c>
      <c r="C3391" t="inlineStr">
        <is>
          <t>VINTAGE PUFFER</t>
        </is>
      </c>
      <c r="D3391" t="inlineStr">
        <is>
          <t>STO</t>
        </is>
      </c>
      <c r="E3391" t="inlineStr">
        <is>
          <t>(en blanco)</t>
        </is>
      </c>
      <c r="F3391" t="inlineStr">
        <is>
          <t>(en blanco)</t>
        </is>
      </c>
      <c r="G3391" t="inlineStr">
        <is>
          <t>L</t>
        </is>
      </c>
      <c r="H3391" t="n">
        <v>1</v>
      </c>
      <c r="I3391" t="inlineStr">
        <is>
          <t>NAUTICA_MENS_V623040A_STO_1.jpg</t>
        </is>
      </c>
      <c r="J3391" t="inlineStr">
        <is>
          <t>NAUTICA_MENS_V623040A_STO_2.jpg</t>
        </is>
      </c>
      <c r="K3391" t="inlineStr">
        <is>
          <t>NAUTICA_MENS_V623040A_STO_3.jpg</t>
        </is>
      </c>
      <c r="L3391">
        <f>IMAGE("file:///E:/Estudios%20y%20certificaciones/ESTUDIOS%20DE%20PROGRAMMING/PROGRAMMING/PERSONAL/PYTHON/Image_Generator_API/imagenes/NAUTICA_MENS_V623040A_STO_1.jpg")</f>
        <v/>
      </c>
      <c r="M3391">
        <f>IMAGE("file:///E:/Estudios%20y%20certificaciones/ESTUDIOS%20DE%20PROGRAMMING/PROGRAMMING/PERSONAL/PYTHON/Image_Generator_API/imagenes/NAUTICA_MENS_V623040A_STO_2.jpg")</f>
        <v/>
      </c>
      <c r="N3391">
        <f>IMAGE("file:///E:/Estudios%20y%20certificaciones/ESTUDIOS%20DE%20PROGRAMMING/PROGRAMMING/PERSONAL/PYTHON/Image_Generator_API/imagenes/NAUTICA_MENS_V623040A_STO_3.jpg")</f>
        <v/>
      </c>
      <c r="O3391">
        <f>HYPERLINK("imagenes/NAUTICA_MENS_V623040A_STO_1.jpg","Ver imagen")</f>
        <v/>
      </c>
      <c r="P3391">
        <f>HYPERLINK("imagenes/NAUTICA_MENS_V623040A_STO_2.jpg","Ver imagen")</f>
        <v/>
      </c>
      <c r="Q3391">
        <f>HYPERLINK("imagenes/NAUTICA_MENS_V623040A_STO_3.jpg","Ver imagen")</f>
        <v/>
      </c>
    </row>
    <row r="3392">
      <c r="A3392" t="inlineStr">
        <is>
          <t>NAUTICA MENS</t>
        </is>
      </c>
      <c r="B3392" t="inlineStr">
        <is>
          <t>V623055A</t>
        </is>
      </c>
      <c r="C3392" t="inlineStr">
        <is>
          <t>VINTAGE JIMMY DEAN</t>
        </is>
      </c>
      <c r="D3392" t="inlineStr">
        <is>
          <t>NVY</t>
        </is>
      </c>
      <c r="E3392" t="inlineStr">
        <is>
          <t>(en blanco)</t>
        </is>
      </c>
      <c r="F3392" t="inlineStr">
        <is>
          <t>(en blanco)</t>
        </is>
      </c>
      <c r="G3392" t="inlineStr">
        <is>
          <t>L</t>
        </is>
      </c>
      <c r="H3392" t="n">
        <v>3</v>
      </c>
      <c r="I3392" t="inlineStr">
        <is>
          <t>NAUTICA_MENS_V623055A_NVY_1.jpg</t>
        </is>
      </c>
      <c r="J3392" t="inlineStr">
        <is>
          <t>NAUTICA_MENS_V623055A_NVY_2.jpg</t>
        </is>
      </c>
      <c r="K3392" t="inlineStr">
        <is>
          <t>NAUTICA_MENS_V623055A_NVY_3.jpg</t>
        </is>
      </c>
      <c r="L3392">
        <f>IMAGE("file:///E:/Estudios%20y%20certificaciones/ESTUDIOS%20DE%20PROGRAMMING/PROGRAMMING/PERSONAL/PYTHON/Image_Generator_API/imagenes/NAUTICA_MENS_V623055A_NVY_1.jpg")</f>
        <v/>
      </c>
      <c r="M3392">
        <f>IMAGE("file:///E:/Estudios%20y%20certificaciones/ESTUDIOS%20DE%20PROGRAMMING/PROGRAMMING/PERSONAL/PYTHON/Image_Generator_API/imagenes/NAUTICA_MENS_V623055A_NVY_2.jpg")</f>
        <v/>
      </c>
      <c r="N3392">
        <f>IMAGE("file:///E:/Estudios%20y%20certificaciones/ESTUDIOS%20DE%20PROGRAMMING/PROGRAMMING/PERSONAL/PYTHON/Image_Generator_API/imagenes/NAUTICA_MENS_V623055A_NVY_3.jpg")</f>
        <v/>
      </c>
      <c r="O3392">
        <f>HYPERLINK("imagenes/NAUTICA_MENS_V623055A_NVY_1.jpg","Ver imagen")</f>
        <v/>
      </c>
      <c r="P3392">
        <f>HYPERLINK("imagenes/NAUTICA_MENS_V623055A_NVY_2.jpg","Ver imagen")</f>
        <v/>
      </c>
      <c r="Q3392">
        <f>HYPERLINK("imagenes/NAUTICA_MENS_V623055A_NVY_3.jpg","Ver imagen")</f>
        <v/>
      </c>
    </row>
    <row r="3393">
      <c r="A3393" t="inlineStr">
        <is>
          <t>NAUTICA MENS</t>
        </is>
      </c>
      <c r="B3393" t="inlineStr">
        <is>
          <t>V623055A</t>
        </is>
      </c>
      <c r="C3393" t="inlineStr">
        <is>
          <t>VINTAGE JIMMY DEAN</t>
        </is>
      </c>
      <c r="D3393" t="inlineStr">
        <is>
          <t>STO</t>
        </is>
      </c>
      <c r="E3393" t="inlineStr">
        <is>
          <t>(en blanco)</t>
        </is>
      </c>
      <c r="F3393" t="inlineStr">
        <is>
          <t>(en blanco)</t>
        </is>
      </c>
      <c r="G3393" t="inlineStr">
        <is>
          <t>L</t>
        </is>
      </c>
      <c r="H3393" t="n">
        <v>1</v>
      </c>
      <c r="I3393" t="inlineStr">
        <is>
          <t>NAUTICA_MENS_V623055A_STO_1.jpg</t>
        </is>
      </c>
      <c r="J3393" t="inlineStr">
        <is>
          <t>NAUTICA_MENS_V623055A_STO_2.jpg</t>
        </is>
      </c>
      <c r="K3393" t="inlineStr">
        <is>
          <t>NAUTICA_MENS_V623055A_STO_3.jpg</t>
        </is>
      </c>
      <c r="L3393">
        <f>IMAGE("file:///E:/Estudios%20y%20certificaciones/ESTUDIOS%20DE%20PROGRAMMING/PROGRAMMING/PERSONAL/PYTHON/Image_Generator_API/imagenes/NAUTICA_MENS_V623055A_STO_1.jpg")</f>
        <v/>
      </c>
      <c r="M3393">
        <f>IMAGE("file:///E:/Estudios%20y%20certificaciones/ESTUDIOS%20DE%20PROGRAMMING/PROGRAMMING/PERSONAL/PYTHON/Image_Generator_API/imagenes/NAUTICA_MENS_V623055A_STO_2.jpg")</f>
        <v/>
      </c>
      <c r="N3393">
        <f>IMAGE("file:///E:/Estudios%20y%20certificaciones/ESTUDIOS%20DE%20PROGRAMMING/PROGRAMMING/PERSONAL/PYTHON/Image_Generator_API/imagenes/NAUTICA_MENS_V623055A_STO_3.jpg")</f>
        <v/>
      </c>
      <c r="O3393">
        <f>HYPERLINK("imagenes/NAUTICA_MENS_V623055A_STO_1.jpg","Ver imagen")</f>
        <v/>
      </c>
      <c r="P3393">
        <f>HYPERLINK("imagenes/NAUTICA_MENS_V623055A_STO_2.jpg","Ver imagen")</f>
        <v/>
      </c>
      <c r="Q3393">
        <f>HYPERLINK("imagenes/NAUTICA_MENS_V623055A_STO_3.jpg","Ver imagen")</f>
        <v/>
      </c>
    </row>
    <row r="3394">
      <c r="A3394" t="inlineStr">
        <is>
          <t>NAUTICA MENS</t>
        </is>
      </c>
      <c r="B3394" t="inlineStr">
        <is>
          <t>V623055A</t>
        </is>
      </c>
      <c r="C3394" t="inlineStr">
        <is>
          <t>VINTAGE JIMMY DEAN</t>
        </is>
      </c>
      <c r="D3394" t="inlineStr">
        <is>
          <t>STO</t>
        </is>
      </c>
      <c r="E3394" t="inlineStr">
        <is>
          <t>(en blanco)</t>
        </is>
      </c>
      <c r="F3394" t="inlineStr">
        <is>
          <t>(en blanco)</t>
        </is>
      </c>
      <c r="G3394" t="inlineStr">
        <is>
          <t>XXL</t>
        </is>
      </c>
      <c r="H3394" t="n">
        <v>1</v>
      </c>
      <c r="I3394" t="inlineStr">
        <is>
          <t>NAUTICA_MENS_V623055A_STO_1.jpg</t>
        </is>
      </c>
      <c r="J3394" t="inlineStr">
        <is>
          <t>NAUTICA_MENS_V623055A_STO_2.jpg</t>
        </is>
      </c>
      <c r="K3394" t="inlineStr">
        <is>
          <t>NAUTICA_MENS_V623055A_STO_3.jpg</t>
        </is>
      </c>
      <c r="L3394">
        <f>IMAGE("file:///E:/Estudios%20y%20certificaciones/ESTUDIOS%20DE%20PROGRAMMING/PROGRAMMING/PERSONAL/PYTHON/Image_Generator_API/imagenes/NAUTICA_MENS_V623055A_STO_1.jpg")</f>
        <v/>
      </c>
      <c r="M3394">
        <f>IMAGE("file:///E:/Estudios%20y%20certificaciones/ESTUDIOS%20DE%20PROGRAMMING/PROGRAMMING/PERSONAL/PYTHON/Image_Generator_API/imagenes/NAUTICA_MENS_V623055A_STO_2.jpg")</f>
        <v/>
      </c>
      <c r="N3394">
        <f>IMAGE("file:///E:/Estudios%20y%20certificaciones/ESTUDIOS%20DE%20PROGRAMMING/PROGRAMMING/PERSONAL/PYTHON/Image_Generator_API/imagenes/NAUTICA_MENS_V623055A_STO_3.jpg")</f>
        <v/>
      </c>
      <c r="O3394">
        <f>HYPERLINK("imagenes/NAUTICA_MENS_V623055A_STO_1.jpg","Ver imagen")</f>
        <v/>
      </c>
      <c r="P3394">
        <f>HYPERLINK("imagenes/NAUTICA_MENS_V623055A_STO_2.jpg","Ver imagen")</f>
        <v/>
      </c>
      <c r="Q3394">
        <f>HYPERLINK("imagenes/NAUTICA_MENS_V623055A_STO_3.jpg","Ver imagen")</f>
        <v/>
      </c>
    </row>
    <row r="3395">
      <c r="A3395" t="inlineStr">
        <is>
          <t>NAUTICA MENS</t>
        </is>
      </c>
      <c r="B3395" t="inlineStr">
        <is>
          <t>V625548</t>
        </is>
      </c>
      <c r="C3395" t="inlineStr">
        <is>
          <t>WOOL PEACOAT</t>
        </is>
      </c>
      <c r="D3395" t="inlineStr">
        <is>
          <t>CHR</t>
        </is>
      </c>
      <c r="E3395" t="inlineStr">
        <is>
          <t>(en blanco)</t>
        </is>
      </c>
      <c r="F3395" t="inlineStr">
        <is>
          <t>(en blanco)</t>
        </is>
      </c>
      <c r="G3395" t="inlineStr">
        <is>
          <t>M</t>
        </is>
      </c>
      <c r="H3395" t="n">
        <v>2</v>
      </c>
      <c r="I3395" t="inlineStr">
        <is>
          <t>NAUTICA_MENS_V625548_CHR_1.jpg</t>
        </is>
      </c>
      <c r="J3395" t="inlineStr">
        <is>
          <t>NAUTICA_MENS_V625548_CHR_2.jpg</t>
        </is>
      </c>
      <c r="K3395" t="inlineStr">
        <is>
          <t>NAUTICA_MENS_V625548_CHR_3.jpg</t>
        </is>
      </c>
      <c r="L3395">
        <f>IMAGE("file:///E:/Estudios%20y%20certificaciones/ESTUDIOS%20DE%20PROGRAMMING/PROGRAMMING/PERSONAL/PYTHON/Image_Generator_API/imagenes/NAUTICA_MENS_V625548_CHR_1.jpg")</f>
        <v/>
      </c>
      <c r="M3395">
        <f>IMAGE("file:///E:/Estudios%20y%20certificaciones/ESTUDIOS%20DE%20PROGRAMMING/PROGRAMMING/PERSONAL/PYTHON/Image_Generator_API/imagenes/NAUTICA_MENS_V625548_CHR_2.jpg")</f>
        <v/>
      </c>
      <c r="N3395">
        <f>IMAGE("file:///E:/Estudios%20y%20certificaciones/ESTUDIOS%20DE%20PROGRAMMING/PROGRAMMING/PERSONAL/PYTHON/Image_Generator_API/imagenes/NAUTICA_MENS_V625548_CHR_3.jpg")</f>
        <v/>
      </c>
      <c r="O3395">
        <f>HYPERLINK("imagenes/NAUTICA_MENS_V625548_CHR_1.jpg","Ver imagen")</f>
        <v/>
      </c>
      <c r="P3395">
        <f>HYPERLINK("imagenes/NAUTICA_MENS_V625548_CHR_2.jpg","Ver imagen")</f>
        <v/>
      </c>
      <c r="Q3395">
        <f>HYPERLINK("imagenes/NAUTICA_MENS_V625548_CHR_3.jpg","Ver imagen")</f>
        <v/>
      </c>
    </row>
    <row r="3396">
      <c r="A3396" t="inlineStr">
        <is>
          <t>NAUTICA MENS</t>
        </is>
      </c>
      <c r="B3396" t="inlineStr">
        <is>
          <t>V625548</t>
        </is>
      </c>
      <c r="C3396" t="inlineStr">
        <is>
          <t>WOOL PEACOAT</t>
        </is>
      </c>
      <c r="D3396" t="inlineStr">
        <is>
          <t>CHR</t>
        </is>
      </c>
      <c r="E3396" t="inlineStr">
        <is>
          <t>(en blanco)</t>
        </is>
      </c>
      <c r="F3396" t="inlineStr">
        <is>
          <t>(en blanco)</t>
        </is>
      </c>
      <c r="G3396" t="inlineStr">
        <is>
          <t>L</t>
        </is>
      </c>
      <c r="H3396" t="n">
        <v>1</v>
      </c>
      <c r="I3396" t="inlineStr">
        <is>
          <t>NAUTICA_MENS_V625548_CHR_1.jpg</t>
        </is>
      </c>
      <c r="J3396" t="inlineStr">
        <is>
          <t>NAUTICA_MENS_V625548_CHR_2.jpg</t>
        </is>
      </c>
      <c r="K3396" t="inlineStr">
        <is>
          <t>NAUTICA_MENS_V625548_CHR_3.jpg</t>
        </is>
      </c>
      <c r="L3396">
        <f>IMAGE("file:///E:/Estudios%20y%20certificaciones/ESTUDIOS%20DE%20PROGRAMMING/PROGRAMMING/PERSONAL/PYTHON/Image_Generator_API/imagenes/NAUTICA_MENS_V625548_CHR_1.jpg")</f>
        <v/>
      </c>
      <c r="M3396">
        <f>IMAGE("file:///E:/Estudios%20y%20certificaciones/ESTUDIOS%20DE%20PROGRAMMING/PROGRAMMING/PERSONAL/PYTHON/Image_Generator_API/imagenes/NAUTICA_MENS_V625548_CHR_2.jpg")</f>
        <v/>
      </c>
      <c r="N3396">
        <f>IMAGE("file:///E:/Estudios%20y%20certificaciones/ESTUDIOS%20DE%20PROGRAMMING/PROGRAMMING/PERSONAL/PYTHON/Image_Generator_API/imagenes/NAUTICA_MENS_V625548_CHR_3.jpg")</f>
        <v/>
      </c>
      <c r="O3396">
        <f>HYPERLINK("imagenes/NAUTICA_MENS_V625548_CHR_1.jpg","Ver imagen")</f>
        <v/>
      </c>
      <c r="P3396">
        <f>HYPERLINK("imagenes/NAUTICA_MENS_V625548_CHR_2.jpg","Ver imagen")</f>
        <v/>
      </c>
      <c r="Q3396">
        <f>HYPERLINK("imagenes/NAUTICA_MENS_V625548_CHR_3.jpg","Ver imagen")</f>
        <v/>
      </c>
    </row>
    <row r="3397">
      <c r="A3397" t="inlineStr">
        <is>
          <t>NAUTICA MENS</t>
        </is>
      </c>
      <c r="B3397" t="inlineStr">
        <is>
          <t>V625548</t>
        </is>
      </c>
      <c r="C3397" t="inlineStr">
        <is>
          <t>WOOL PEACOAT</t>
        </is>
      </c>
      <c r="D3397" t="inlineStr">
        <is>
          <t>DNY</t>
        </is>
      </c>
      <c r="E3397" t="inlineStr">
        <is>
          <t>(en blanco)</t>
        </is>
      </c>
      <c r="F3397" t="inlineStr">
        <is>
          <t>(en blanco)</t>
        </is>
      </c>
      <c r="G3397" t="inlineStr">
        <is>
          <t>S</t>
        </is>
      </c>
      <c r="H3397" t="n">
        <v>2</v>
      </c>
      <c r="I3397" t="inlineStr">
        <is>
          <t>NAUTICA_MENS_V625548_DNY_1.jpg</t>
        </is>
      </c>
      <c r="J3397" t="inlineStr">
        <is>
          <t>NAUTICA_MENS_V625548_DNY_2.jpg</t>
        </is>
      </c>
      <c r="K3397" t="inlineStr">
        <is>
          <t>NAUTICA_MENS_V625548_DNY_3.jpg</t>
        </is>
      </c>
      <c r="L3397">
        <f>IMAGE("file:///E:/Estudios%20y%20certificaciones/ESTUDIOS%20DE%20PROGRAMMING/PROGRAMMING/PERSONAL/PYTHON/Image_Generator_API/imagenes/NAUTICA_MENS_V625548_DNY_1.jpg")</f>
        <v/>
      </c>
      <c r="M3397">
        <f>IMAGE("file:///E:/Estudios%20y%20certificaciones/ESTUDIOS%20DE%20PROGRAMMING/PROGRAMMING/PERSONAL/PYTHON/Image_Generator_API/imagenes/NAUTICA_MENS_V625548_DNY_2.jpg")</f>
        <v/>
      </c>
      <c r="N3397">
        <f>IMAGE("file:///E:/Estudios%20y%20certificaciones/ESTUDIOS%20DE%20PROGRAMMING/PROGRAMMING/PERSONAL/PYTHON/Image_Generator_API/imagenes/NAUTICA_MENS_V625548_DNY_3.jpg")</f>
        <v/>
      </c>
      <c r="O3397">
        <f>HYPERLINK("imagenes/NAUTICA_MENS_V625548_DNY_1.jpg","Ver imagen")</f>
        <v/>
      </c>
      <c r="P3397">
        <f>HYPERLINK("imagenes/NAUTICA_MENS_V625548_DNY_2.jpg","Ver imagen")</f>
        <v/>
      </c>
      <c r="Q3397">
        <f>HYPERLINK("imagenes/NAUTICA_MENS_V625548_DNY_3.jpg","Ver imagen")</f>
        <v/>
      </c>
    </row>
    <row r="3398">
      <c r="A3398" t="inlineStr">
        <is>
          <t>NAUTICA MENS</t>
        </is>
      </c>
      <c r="B3398" t="inlineStr">
        <is>
          <t>V625548</t>
        </is>
      </c>
      <c r="C3398" t="inlineStr">
        <is>
          <t>WOOL PEACOAT</t>
        </is>
      </c>
      <c r="D3398" t="inlineStr">
        <is>
          <t>DNY</t>
        </is>
      </c>
      <c r="E3398" t="inlineStr">
        <is>
          <t>(en blanco)</t>
        </is>
      </c>
      <c r="F3398" t="inlineStr">
        <is>
          <t>(en blanco)</t>
        </is>
      </c>
      <c r="G3398" t="inlineStr">
        <is>
          <t>M</t>
        </is>
      </c>
      <c r="H3398" t="n">
        <v>5</v>
      </c>
      <c r="I3398" t="inlineStr">
        <is>
          <t>NAUTICA_MENS_V625548_DNY_1.jpg</t>
        </is>
      </c>
      <c r="J3398" t="inlineStr">
        <is>
          <t>NAUTICA_MENS_V625548_DNY_2.jpg</t>
        </is>
      </c>
      <c r="K3398" t="inlineStr">
        <is>
          <t>NAUTICA_MENS_V625548_DNY_3.jpg</t>
        </is>
      </c>
      <c r="L3398">
        <f>IMAGE("file:///E:/Estudios%20y%20certificaciones/ESTUDIOS%20DE%20PROGRAMMING/PROGRAMMING/PERSONAL/PYTHON/Image_Generator_API/imagenes/NAUTICA_MENS_V625548_DNY_1.jpg")</f>
        <v/>
      </c>
      <c r="M3398">
        <f>IMAGE("file:///E:/Estudios%20y%20certificaciones/ESTUDIOS%20DE%20PROGRAMMING/PROGRAMMING/PERSONAL/PYTHON/Image_Generator_API/imagenes/NAUTICA_MENS_V625548_DNY_2.jpg")</f>
        <v/>
      </c>
      <c r="N3398">
        <f>IMAGE("file:///E:/Estudios%20y%20certificaciones/ESTUDIOS%20DE%20PROGRAMMING/PROGRAMMING/PERSONAL/PYTHON/Image_Generator_API/imagenes/NAUTICA_MENS_V625548_DNY_3.jpg")</f>
        <v/>
      </c>
      <c r="O3398">
        <f>HYPERLINK("imagenes/NAUTICA_MENS_V625548_DNY_1.jpg","Ver imagen")</f>
        <v/>
      </c>
      <c r="P3398">
        <f>HYPERLINK("imagenes/NAUTICA_MENS_V625548_DNY_2.jpg","Ver imagen")</f>
        <v/>
      </c>
      <c r="Q3398">
        <f>HYPERLINK("imagenes/NAUTICA_MENS_V625548_DNY_3.jpg","Ver imagen")</f>
        <v/>
      </c>
    </row>
    <row r="3399">
      <c r="A3399" t="inlineStr">
        <is>
          <t>NAUTICA MENS</t>
        </is>
      </c>
      <c r="B3399" t="inlineStr">
        <is>
          <t>V625548</t>
        </is>
      </c>
      <c r="C3399" t="inlineStr">
        <is>
          <t>WOOL PEACOAT</t>
        </is>
      </c>
      <c r="D3399" t="inlineStr">
        <is>
          <t>DNY</t>
        </is>
      </c>
      <c r="E3399" t="inlineStr">
        <is>
          <t>(en blanco)</t>
        </is>
      </c>
      <c r="F3399" t="inlineStr">
        <is>
          <t>(en blanco)</t>
        </is>
      </c>
      <c r="G3399" t="inlineStr">
        <is>
          <t>L</t>
        </is>
      </c>
      <c r="H3399" t="n">
        <v>11</v>
      </c>
      <c r="I3399" t="inlineStr">
        <is>
          <t>NAUTICA_MENS_V625548_DNY_1.jpg</t>
        </is>
      </c>
      <c r="J3399" t="inlineStr">
        <is>
          <t>NAUTICA_MENS_V625548_DNY_2.jpg</t>
        </is>
      </c>
      <c r="K3399" t="inlineStr">
        <is>
          <t>NAUTICA_MENS_V625548_DNY_3.jpg</t>
        </is>
      </c>
      <c r="L3399">
        <f>IMAGE("file:///E:/Estudios%20y%20certificaciones/ESTUDIOS%20DE%20PROGRAMMING/PROGRAMMING/PERSONAL/PYTHON/Image_Generator_API/imagenes/NAUTICA_MENS_V625548_DNY_1.jpg")</f>
        <v/>
      </c>
      <c r="M3399">
        <f>IMAGE("file:///E:/Estudios%20y%20certificaciones/ESTUDIOS%20DE%20PROGRAMMING/PROGRAMMING/PERSONAL/PYTHON/Image_Generator_API/imagenes/NAUTICA_MENS_V625548_DNY_2.jpg")</f>
        <v/>
      </c>
      <c r="N3399">
        <f>IMAGE("file:///E:/Estudios%20y%20certificaciones/ESTUDIOS%20DE%20PROGRAMMING/PROGRAMMING/PERSONAL/PYTHON/Image_Generator_API/imagenes/NAUTICA_MENS_V625548_DNY_3.jpg")</f>
        <v/>
      </c>
      <c r="O3399">
        <f>HYPERLINK("imagenes/NAUTICA_MENS_V625548_DNY_1.jpg","Ver imagen")</f>
        <v/>
      </c>
      <c r="P3399">
        <f>HYPERLINK("imagenes/NAUTICA_MENS_V625548_DNY_2.jpg","Ver imagen")</f>
        <v/>
      </c>
      <c r="Q3399">
        <f>HYPERLINK("imagenes/NAUTICA_MENS_V625548_DNY_3.jpg","Ver imagen")</f>
        <v/>
      </c>
    </row>
    <row r="3400">
      <c r="A3400" t="inlineStr">
        <is>
          <t>NAUTICA MENS</t>
        </is>
      </c>
      <c r="B3400" t="inlineStr">
        <is>
          <t>V625548</t>
        </is>
      </c>
      <c r="C3400" t="inlineStr">
        <is>
          <t>WOOL PEACOAT</t>
        </is>
      </c>
      <c r="D3400" t="inlineStr">
        <is>
          <t>DNY</t>
        </is>
      </c>
      <c r="E3400" t="inlineStr">
        <is>
          <t>(en blanco)</t>
        </is>
      </c>
      <c r="F3400" t="inlineStr">
        <is>
          <t>(en blanco)</t>
        </is>
      </c>
      <c r="G3400" t="inlineStr">
        <is>
          <t>XL</t>
        </is>
      </c>
      <c r="H3400" t="n">
        <v>2</v>
      </c>
      <c r="I3400" t="inlineStr">
        <is>
          <t>NAUTICA_MENS_V625548_DNY_1.jpg</t>
        </is>
      </c>
      <c r="J3400" t="inlineStr">
        <is>
          <t>NAUTICA_MENS_V625548_DNY_2.jpg</t>
        </is>
      </c>
      <c r="K3400" t="inlineStr">
        <is>
          <t>NAUTICA_MENS_V625548_DNY_3.jpg</t>
        </is>
      </c>
      <c r="L3400">
        <f>IMAGE("file:///E:/Estudios%20y%20certificaciones/ESTUDIOS%20DE%20PROGRAMMING/PROGRAMMING/PERSONAL/PYTHON/Image_Generator_API/imagenes/NAUTICA_MENS_V625548_DNY_1.jpg")</f>
        <v/>
      </c>
      <c r="M3400">
        <f>IMAGE("file:///E:/Estudios%20y%20certificaciones/ESTUDIOS%20DE%20PROGRAMMING/PROGRAMMING/PERSONAL/PYTHON/Image_Generator_API/imagenes/NAUTICA_MENS_V625548_DNY_2.jpg")</f>
        <v/>
      </c>
      <c r="N3400">
        <f>IMAGE("file:///E:/Estudios%20y%20certificaciones/ESTUDIOS%20DE%20PROGRAMMING/PROGRAMMING/PERSONAL/PYTHON/Image_Generator_API/imagenes/NAUTICA_MENS_V625548_DNY_3.jpg")</f>
        <v/>
      </c>
      <c r="O3400">
        <f>HYPERLINK("imagenes/NAUTICA_MENS_V625548_DNY_1.jpg","Ver imagen")</f>
        <v/>
      </c>
      <c r="P3400">
        <f>HYPERLINK("imagenes/NAUTICA_MENS_V625548_DNY_2.jpg","Ver imagen")</f>
        <v/>
      </c>
      <c r="Q3400">
        <f>HYPERLINK("imagenes/NAUTICA_MENS_V625548_DNY_3.jpg","Ver imagen")</f>
        <v/>
      </c>
    </row>
    <row r="3401">
      <c r="A3401" t="inlineStr">
        <is>
          <t>NAUTICA MENS</t>
        </is>
      </c>
      <c r="B3401" t="inlineStr">
        <is>
          <t>V625580</t>
        </is>
      </c>
      <c r="C3401" t="inlineStr">
        <is>
          <t>WOOL 4 POCKET FRONT</t>
        </is>
      </c>
      <c r="D3401" t="inlineStr">
        <is>
          <t>BLK</t>
        </is>
      </c>
      <c r="E3401" t="inlineStr">
        <is>
          <t>(en blanco)</t>
        </is>
      </c>
      <c r="F3401" t="inlineStr">
        <is>
          <t>(en blanco)</t>
        </is>
      </c>
      <c r="G3401" t="inlineStr">
        <is>
          <t>S</t>
        </is>
      </c>
      <c r="H3401" t="n">
        <v>1</v>
      </c>
      <c r="I3401" t="inlineStr">
        <is>
          <t>NAUTICA_MENS_V625580_BLK_1.jpg</t>
        </is>
      </c>
      <c r="J3401" t="inlineStr">
        <is>
          <t>NAUTICA_MENS_V625580_BLK_2.jpg</t>
        </is>
      </c>
      <c r="K3401" t="inlineStr">
        <is>
          <t>NAUTICA_MENS_V625580_BLK_3.jpg</t>
        </is>
      </c>
      <c r="L3401">
        <f>IMAGE("file:///E:/Estudios%20y%20certificaciones/ESTUDIOS%20DE%20PROGRAMMING/PROGRAMMING/PERSONAL/PYTHON/Image_Generator_API/imagenes/NAUTICA_MENS_V625580_BLK_1.jpg")</f>
        <v/>
      </c>
      <c r="M3401">
        <f>IMAGE("file:///E:/Estudios%20y%20certificaciones/ESTUDIOS%20DE%20PROGRAMMING/PROGRAMMING/PERSONAL/PYTHON/Image_Generator_API/imagenes/NAUTICA_MENS_V625580_BLK_2.jpg")</f>
        <v/>
      </c>
      <c r="N3401">
        <f>IMAGE("file:///E:/Estudios%20y%20certificaciones/ESTUDIOS%20DE%20PROGRAMMING/PROGRAMMING/PERSONAL/PYTHON/Image_Generator_API/imagenes/NAUTICA_MENS_V625580_BLK_3.jpg")</f>
        <v/>
      </c>
      <c r="O3401">
        <f>HYPERLINK("imagenes/NAUTICA_MENS_V625580_BLK_1.jpg","Ver imagen")</f>
        <v/>
      </c>
      <c r="P3401">
        <f>HYPERLINK("imagenes/NAUTICA_MENS_V625580_BLK_2.jpg","Ver imagen")</f>
        <v/>
      </c>
      <c r="Q3401">
        <f>HYPERLINK("imagenes/NAUTICA_MENS_V625580_BLK_3.jpg","Ver imagen")</f>
        <v/>
      </c>
    </row>
    <row r="3402">
      <c r="A3402" t="inlineStr">
        <is>
          <t>NAUTICA MENS</t>
        </is>
      </c>
      <c r="B3402" t="inlineStr">
        <is>
          <t>V625580</t>
        </is>
      </c>
      <c r="C3402" t="inlineStr">
        <is>
          <t>WOOL 4 POCKET FRONT</t>
        </is>
      </c>
      <c r="D3402" t="inlineStr">
        <is>
          <t>BLK</t>
        </is>
      </c>
      <c r="E3402" t="inlineStr">
        <is>
          <t>(en blanco)</t>
        </is>
      </c>
      <c r="F3402" t="inlineStr">
        <is>
          <t>(en blanco)</t>
        </is>
      </c>
      <c r="G3402" t="inlineStr">
        <is>
          <t>M</t>
        </is>
      </c>
      <c r="H3402" t="n">
        <v>1</v>
      </c>
      <c r="I3402" t="inlineStr">
        <is>
          <t>NAUTICA_MENS_V625580_BLK_1.jpg</t>
        </is>
      </c>
      <c r="J3402" t="inlineStr">
        <is>
          <t>NAUTICA_MENS_V625580_BLK_2.jpg</t>
        </is>
      </c>
      <c r="K3402" t="inlineStr">
        <is>
          <t>NAUTICA_MENS_V625580_BLK_3.jpg</t>
        </is>
      </c>
      <c r="L3402">
        <f>IMAGE("file:///E:/Estudios%20y%20certificaciones/ESTUDIOS%20DE%20PROGRAMMING/PROGRAMMING/PERSONAL/PYTHON/Image_Generator_API/imagenes/NAUTICA_MENS_V625580_BLK_1.jpg")</f>
        <v/>
      </c>
      <c r="M3402">
        <f>IMAGE("file:///E:/Estudios%20y%20certificaciones/ESTUDIOS%20DE%20PROGRAMMING/PROGRAMMING/PERSONAL/PYTHON/Image_Generator_API/imagenes/NAUTICA_MENS_V625580_BLK_2.jpg")</f>
        <v/>
      </c>
      <c r="N3402">
        <f>IMAGE("file:///E:/Estudios%20y%20certificaciones/ESTUDIOS%20DE%20PROGRAMMING/PROGRAMMING/PERSONAL/PYTHON/Image_Generator_API/imagenes/NAUTICA_MENS_V625580_BLK_3.jpg")</f>
        <v/>
      </c>
      <c r="O3402">
        <f>HYPERLINK("imagenes/NAUTICA_MENS_V625580_BLK_1.jpg","Ver imagen")</f>
        <v/>
      </c>
      <c r="P3402">
        <f>HYPERLINK("imagenes/NAUTICA_MENS_V625580_BLK_2.jpg","Ver imagen")</f>
        <v/>
      </c>
      <c r="Q3402">
        <f>HYPERLINK("imagenes/NAUTICA_MENS_V625580_BLK_3.jpg","Ver imagen")</f>
        <v/>
      </c>
    </row>
    <row r="3403">
      <c r="A3403" t="inlineStr">
        <is>
          <t>NAUTICA MENS</t>
        </is>
      </c>
      <c r="B3403" t="inlineStr">
        <is>
          <t>V625593</t>
        </is>
      </c>
      <c r="C3403" t="inlineStr">
        <is>
          <t>WOOL OPEN BOTTOM</t>
        </is>
      </c>
      <c r="D3403" t="inlineStr">
        <is>
          <t>BLK</t>
        </is>
      </c>
      <c r="E3403" t="inlineStr">
        <is>
          <t>(en blanco)</t>
        </is>
      </c>
      <c r="F3403" t="inlineStr">
        <is>
          <t>(en blanco)</t>
        </is>
      </c>
      <c r="G3403" t="inlineStr">
        <is>
          <t>S</t>
        </is>
      </c>
      <c r="H3403" t="n">
        <v>1</v>
      </c>
      <c r="I3403" t="inlineStr">
        <is>
          <t>NAUTICA_MENS_V625593_BLK_1.jpg</t>
        </is>
      </c>
      <c r="J3403" t="inlineStr">
        <is>
          <t>NAUTICA_MENS_V625593_BLK_2.jpg</t>
        </is>
      </c>
      <c r="K3403" t="inlineStr">
        <is>
          <t>NAUTICA_MENS_V625593_BLK_3.jpg</t>
        </is>
      </c>
      <c r="L3403">
        <f>IMAGE("file:///E:/Estudios%20y%20certificaciones/ESTUDIOS%20DE%20PROGRAMMING/PROGRAMMING/PERSONAL/PYTHON/Image_Generator_API/imagenes/NAUTICA_MENS_V625593_BLK_1.jpg")</f>
        <v/>
      </c>
      <c r="M3403">
        <f>IMAGE("file:///E:/Estudios%20y%20certificaciones/ESTUDIOS%20DE%20PROGRAMMING/PROGRAMMING/PERSONAL/PYTHON/Image_Generator_API/imagenes/NAUTICA_MENS_V625593_BLK_2.jpg")</f>
        <v/>
      </c>
      <c r="N3403">
        <f>IMAGE("file:///E:/Estudios%20y%20certificaciones/ESTUDIOS%20DE%20PROGRAMMING/PROGRAMMING/PERSONAL/PYTHON/Image_Generator_API/imagenes/NAUTICA_MENS_V625593_BLK_3.jpg")</f>
        <v/>
      </c>
      <c r="O3403">
        <f>HYPERLINK("imagenes/NAUTICA_MENS_V625593_BLK_1.jpg","Ver imagen")</f>
        <v/>
      </c>
      <c r="P3403">
        <f>HYPERLINK("imagenes/NAUTICA_MENS_V625593_BLK_2.jpg","Ver imagen")</f>
        <v/>
      </c>
      <c r="Q3403">
        <f>HYPERLINK("imagenes/NAUTICA_MENS_V625593_BLK_3.jpg","Ver imagen")</f>
        <v/>
      </c>
    </row>
    <row r="3404">
      <c r="A3404" t="inlineStr">
        <is>
          <t>NAUTICA MENS</t>
        </is>
      </c>
      <c r="B3404" t="inlineStr">
        <is>
          <t>V625593</t>
        </is>
      </c>
      <c r="C3404" t="inlineStr">
        <is>
          <t>WOOL OPEN BOTTOM</t>
        </is>
      </c>
      <c r="D3404" t="inlineStr">
        <is>
          <t>BLK</t>
        </is>
      </c>
      <c r="E3404" t="inlineStr">
        <is>
          <t>(en blanco)</t>
        </is>
      </c>
      <c r="F3404" t="inlineStr">
        <is>
          <t>(en blanco)</t>
        </is>
      </c>
      <c r="G3404" t="inlineStr">
        <is>
          <t>M</t>
        </is>
      </c>
      <c r="H3404" t="n">
        <v>1</v>
      </c>
      <c r="I3404" t="inlineStr">
        <is>
          <t>NAUTICA_MENS_V625593_BLK_1.jpg</t>
        </is>
      </c>
      <c r="J3404" t="inlineStr">
        <is>
          <t>NAUTICA_MENS_V625593_BLK_2.jpg</t>
        </is>
      </c>
      <c r="K3404" t="inlineStr">
        <is>
          <t>NAUTICA_MENS_V625593_BLK_3.jpg</t>
        </is>
      </c>
      <c r="L3404">
        <f>IMAGE("file:///E:/Estudios%20y%20certificaciones/ESTUDIOS%20DE%20PROGRAMMING/PROGRAMMING/PERSONAL/PYTHON/Image_Generator_API/imagenes/NAUTICA_MENS_V625593_BLK_1.jpg")</f>
        <v/>
      </c>
      <c r="M3404">
        <f>IMAGE("file:///E:/Estudios%20y%20certificaciones/ESTUDIOS%20DE%20PROGRAMMING/PROGRAMMING/PERSONAL/PYTHON/Image_Generator_API/imagenes/NAUTICA_MENS_V625593_BLK_2.jpg")</f>
        <v/>
      </c>
      <c r="N3404">
        <f>IMAGE("file:///E:/Estudios%20y%20certificaciones/ESTUDIOS%20DE%20PROGRAMMING/PROGRAMMING/PERSONAL/PYTHON/Image_Generator_API/imagenes/NAUTICA_MENS_V625593_BLK_3.jpg")</f>
        <v/>
      </c>
      <c r="O3404">
        <f>HYPERLINK("imagenes/NAUTICA_MENS_V625593_BLK_1.jpg","Ver imagen")</f>
        <v/>
      </c>
      <c r="P3404">
        <f>HYPERLINK("imagenes/NAUTICA_MENS_V625593_BLK_2.jpg","Ver imagen")</f>
        <v/>
      </c>
      <c r="Q3404">
        <f>HYPERLINK("imagenes/NAUTICA_MENS_V625593_BLK_3.jpg","Ver imagen")</f>
        <v/>
      </c>
    </row>
    <row r="3405">
      <c r="A3405" t="inlineStr">
        <is>
          <t>NAUTICA MENS</t>
        </is>
      </c>
      <c r="B3405" t="inlineStr">
        <is>
          <t>V625593</t>
        </is>
      </c>
      <c r="C3405" t="inlineStr">
        <is>
          <t>WOOL OPEN BOTTOM</t>
        </is>
      </c>
      <c r="D3405" t="inlineStr">
        <is>
          <t>BLK</t>
        </is>
      </c>
      <c r="E3405" t="inlineStr">
        <is>
          <t>(en blanco)</t>
        </is>
      </c>
      <c r="F3405" t="inlineStr">
        <is>
          <t>(en blanco)</t>
        </is>
      </c>
      <c r="G3405" t="inlineStr">
        <is>
          <t>L</t>
        </is>
      </c>
      <c r="H3405" t="n">
        <v>1</v>
      </c>
      <c r="I3405" t="inlineStr">
        <is>
          <t>NAUTICA_MENS_V625593_BLK_1.jpg</t>
        </is>
      </c>
      <c r="J3405" t="inlineStr">
        <is>
          <t>NAUTICA_MENS_V625593_BLK_2.jpg</t>
        </is>
      </c>
      <c r="K3405" t="inlineStr">
        <is>
          <t>NAUTICA_MENS_V625593_BLK_3.jpg</t>
        </is>
      </c>
      <c r="L3405">
        <f>IMAGE("file:///E:/Estudios%20y%20certificaciones/ESTUDIOS%20DE%20PROGRAMMING/PROGRAMMING/PERSONAL/PYTHON/Image_Generator_API/imagenes/NAUTICA_MENS_V625593_BLK_1.jpg")</f>
        <v/>
      </c>
      <c r="M3405">
        <f>IMAGE("file:///E:/Estudios%20y%20certificaciones/ESTUDIOS%20DE%20PROGRAMMING/PROGRAMMING/PERSONAL/PYTHON/Image_Generator_API/imagenes/NAUTICA_MENS_V625593_BLK_2.jpg")</f>
        <v/>
      </c>
      <c r="N3405">
        <f>IMAGE("file:///E:/Estudios%20y%20certificaciones/ESTUDIOS%20DE%20PROGRAMMING/PROGRAMMING/PERSONAL/PYTHON/Image_Generator_API/imagenes/NAUTICA_MENS_V625593_BLK_3.jpg")</f>
        <v/>
      </c>
      <c r="O3405">
        <f>HYPERLINK("imagenes/NAUTICA_MENS_V625593_BLK_1.jpg","Ver imagen")</f>
        <v/>
      </c>
      <c r="P3405">
        <f>HYPERLINK("imagenes/NAUTICA_MENS_V625593_BLK_2.jpg","Ver imagen")</f>
        <v/>
      </c>
      <c r="Q3405">
        <f>HYPERLINK("imagenes/NAUTICA_MENS_V625593_BLK_3.jpg","Ver imagen")</f>
        <v/>
      </c>
    </row>
    <row r="3406">
      <c r="A3406" t="inlineStr">
        <is>
          <t>NAUTICA MENS</t>
        </is>
      </c>
      <c r="B3406" t="inlineStr">
        <is>
          <t>V625593</t>
        </is>
      </c>
      <c r="C3406" t="inlineStr">
        <is>
          <t>WOOL OPEN BOTTOM</t>
        </is>
      </c>
      <c r="D3406" t="inlineStr">
        <is>
          <t>BLK</t>
        </is>
      </c>
      <c r="E3406" t="inlineStr">
        <is>
          <t>(en blanco)</t>
        </is>
      </c>
      <c r="F3406" t="inlineStr">
        <is>
          <t>(en blanco)</t>
        </is>
      </c>
      <c r="G3406" t="inlineStr">
        <is>
          <t>XL</t>
        </is>
      </c>
      <c r="H3406" t="n">
        <v>2</v>
      </c>
      <c r="I3406" t="inlineStr">
        <is>
          <t>NAUTICA_MENS_V625593_BLK_1.jpg</t>
        </is>
      </c>
      <c r="J3406" t="inlineStr">
        <is>
          <t>NAUTICA_MENS_V625593_BLK_2.jpg</t>
        </is>
      </c>
      <c r="K3406" t="inlineStr">
        <is>
          <t>NAUTICA_MENS_V625593_BLK_3.jpg</t>
        </is>
      </c>
      <c r="L3406">
        <f>IMAGE("file:///E:/Estudios%20y%20certificaciones/ESTUDIOS%20DE%20PROGRAMMING/PROGRAMMING/PERSONAL/PYTHON/Image_Generator_API/imagenes/NAUTICA_MENS_V625593_BLK_1.jpg")</f>
        <v/>
      </c>
      <c r="M3406">
        <f>IMAGE("file:///E:/Estudios%20y%20certificaciones/ESTUDIOS%20DE%20PROGRAMMING/PROGRAMMING/PERSONAL/PYTHON/Image_Generator_API/imagenes/NAUTICA_MENS_V625593_BLK_2.jpg")</f>
        <v/>
      </c>
      <c r="N3406">
        <f>IMAGE("file:///E:/Estudios%20y%20certificaciones/ESTUDIOS%20DE%20PROGRAMMING/PROGRAMMING/PERSONAL/PYTHON/Image_Generator_API/imagenes/NAUTICA_MENS_V625593_BLK_3.jpg")</f>
        <v/>
      </c>
      <c r="O3406">
        <f>HYPERLINK("imagenes/NAUTICA_MENS_V625593_BLK_1.jpg","Ver imagen")</f>
        <v/>
      </c>
      <c r="P3406">
        <f>HYPERLINK("imagenes/NAUTICA_MENS_V625593_BLK_2.jpg","Ver imagen")</f>
        <v/>
      </c>
      <c r="Q3406">
        <f>HYPERLINK("imagenes/NAUTICA_MENS_V625593_BLK_3.jpg","Ver imagen")</f>
        <v/>
      </c>
    </row>
    <row r="3407">
      <c r="A3407" t="inlineStr">
        <is>
          <t>NAUTICA MENS</t>
        </is>
      </c>
      <c r="B3407" t="inlineStr">
        <is>
          <t>V625593</t>
        </is>
      </c>
      <c r="C3407" t="inlineStr">
        <is>
          <t>WOOL OPEN BOTTOM</t>
        </is>
      </c>
      <c r="D3407" t="inlineStr">
        <is>
          <t>BLK</t>
        </is>
      </c>
      <c r="E3407" t="inlineStr">
        <is>
          <t>(en blanco)</t>
        </is>
      </c>
      <c r="F3407" t="inlineStr">
        <is>
          <t>(en blanco)</t>
        </is>
      </c>
      <c r="G3407" t="inlineStr">
        <is>
          <t>XXL</t>
        </is>
      </c>
      <c r="H3407" t="n">
        <v>3</v>
      </c>
      <c r="I3407" t="inlineStr">
        <is>
          <t>NAUTICA_MENS_V625593_BLK_1.jpg</t>
        </is>
      </c>
      <c r="J3407" t="inlineStr">
        <is>
          <t>NAUTICA_MENS_V625593_BLK_2.jpg</t>
        </is>
      </c>
      <c r="K3407" t="inlineStr">
        <is>
          <t>NAUTICA_MENS_V625593_BLK_3.jpg</t>
        </is>
      </c>
      <c r="L3407">
        <f>IMAGE("file:///E:/Estudios%20y%20certificaciones/ESTUDIOS%20DE%20PROGRAMMING/PROGRAMMING/PERSONAL/PYTHON/Image_Generator_API/imagenes/NAUTICA_MENS_V625593_BLK_1.jpg")</f>
        <v/>
      </c>
      <c r="M3407">
        <f>IMAGE("file:///E:/Estudios%20y%20certificaciones/ESTUDIOS%20DE%20PROGRAMMING/PROGRAMMING/PERSONAL/PYTHON/Image_Generator_API/imagenes/NAUTICA_MENS_V625593_BLK_2.jpg")</f>
        <v/>
      </c>
      <c r="N3407">
        <f>IMAGE("file:///E:/Estudios%20y%20certificaciones/ESTUDIOS%20DE%20PROGRAMMING/PROGRAMMING/PERSONAL/PYTHON/Image_Generator_API/imagenes/NAUTICA_MENS_V625593_BLK_3.jpg")</f>
        <v/>
      </c>
      <c r="O3407">
        <f>HYPERLINK("imagenes/NAUTICA_MENS_V625593_BLK_1.jpg","Ver imagen")</f>
        <v/>
      </c>
      <c r="P3407">
        <f>HYPERLINK("imagenes/NAUTICA_MENS_V625593_BLK_2.jpg","Ver imagen")</f>
        <v/>
      </c>
      <c r="Q3407">
        <f>HYPERLINK("imagenes/NAUTICA_MENS_V625593_BLK_3.jpg","Ver imagen")</f>
        <v/>
      </c>
    </row>
    <row r="3408">
      <c r="A3408" t="inlineStr">
        <is>
          <t>NAUTICA MENS</t>
        </is>
      </c>
      <c r="B3408" t="inlineStr">
        <is>
          <t>V625593</t>
        </is>
      </c>
      <c r="C3408" t="inlineStr">
        <is>
          <t>WOOL OPEN BOTTOM</t>
        </is>
      </c>
      <c r="D3408" t="inlineStr">
        <is>
          <t>CHR</t>
        </is>
      </c>
      <c r="E3408" t="inlineStr">
        <is>
          <t>(en blanco)</t>
        </is>
      </c>
      <c r="F3408" t="inlineStr">
        <is>
          <t>(en blanco)</t>
        </is>
      </c>
      <c r="G3408" t="inlineStr">
        <is>
          <t>S</t>
        </is>
      </c>
      <c r="H3408" t="n">
        <v>1</v>
      </c>
      <c r="I3408" t="inlineStr">
        <is>
          <t>NAUTICA_MENS_V625593_CHR_1.jpg</t>
        </is>
      </c>
      <c r="J3408" t="inlineStr">
        <is>
          <t>NAUTICA_MENS_V625593_CHR_2.jpg</t>
        </is>
      </c>
      <c r="K3408" t="inlineStr">
        <is>
          <t>NAUTICA_MENS_V625593_CHR_3.jpg</t>
        </is>
      </c>
      <c r="L3408">
        <f>IMAGE("file:///E:/Estudios%20y%20certificaciones/ESTUDIOS%20DE%20PROGRAMMING/PROGRAMMING/PERSONAL/PYTHON/Image_Generator_API/imagenes/NAUTICA_MENS_V625593_CHR_1.jpg")</f>
        <v/>
      </c>
      <c r="M3408">
        <f>IMAGE("file:///E:/Estudios%20y%20certificaciones/ESTUDIOS%20DE%20PROGRAMMING/PROGRAMMING/PERSONAL/PYTHON/Image_Generator_API/imagenes/NAUTICA_MENS_V625593_CHR_2.jpg")</f>
        <v/>
      </c>
      <c r="N3408">
        <f>IMAGE("file:///E:/Estudios%20y%20certificaciones/ESTUDIOS%20DE%20PROGRAMMING/PROGRAMMING/PERSONAL/PYTHON/Image_Generator_API/imagenes/NAUTICA_MENS_V625593_CHR_3.jpg")</f>
        <v/>
      </c>
      <c r="O3408">
        <f>HYPERLINK("imagenes/NAUTICA_MENS_V625593_CHR_1.jpg","Ver imagen")</f>
        <v/>
      </c>
      <c r="P3408">
        <f>HYPERLINK("imagenes/NAUTICA_MENS_V625593_CHR_2.jpg","Ver imagen")</f>
        <v/>
      </c>
      <c r="Q3408">
        <f>HYPERLINK("imagenes/NAUTICA_MENS_V625593_CHR_3.jpg","Ver imagen")</f>
        <v/>
      </c>
    </row>
    <row r="3409">
      <c r="A3409" t="inlineStr">
        <is>
          <t>NAUTICA MENS</t>
        </is>
      </c>
      <c r="B3409" t="inlineStr">
        <is>
          <t>V625593</t>
        </is>
      </c>
      <c r="C3409" t="inlineStr">
        <is>
          <t>WOOL OPEN BOTTOM</t>
        </is>
      </c>
      <c r="D3409" t="inlineStr">
        <is>
          <t>CHR</t>
        </is>
      </c>
      <c r="E3409" t="inlineStr">
        <is>
          <t>(en blanco)</t>
        </is>
      </c>
      <c r="F3409" t="inlineStr">
        <is>
          <t>(en blanco)</t>
        </is>
      </c>
      <c r="G3409" t="inlineStr">
        <is>
          <t>M</t>
        </is>
      </c>
      <c r="H3409" t="n">
        <v>3</v>
      </c>
      <c r="I3409" t="inlineStr">
        <is>
          <t>NAUTICA_MENS_V625593_CHR_1.jpg</t>
        </is>
      </c>
      <c r="J3409" t="inlineStr">
        <is>
          <t>NAUTICA_MENS_V625593_CHR_2.jpg</t>
        </is>
      </c>
      <c r="K3409" t="inlineStr">
        <is>
          <t>NAUTICA_MENS_V625593_CHR_3.jpg</t>
        </is>
      </c>
      <c r="L3409">
        <f>IMAGE("file:///E:/Estudios%20y%20certificaciones/ESTUDIOS%20DE%20PROGRAMMING/PROGRAMMING/PERSONAL/PYTHON/Image_Generator_API/imagenes/NAUTICA_MENS_V625593_CHR_1.jpg")</f>
        <v/>
      </c>
      <c r="M3409">
        <f>IMAGE("file:///E:/Estudios%20y%20certificaciones/ESTUDIOS%20DE%20PROGRAMMING/PROGRAMMING/PERSONAL/PYTHON/Image_Generator_API/imagenes/NAUTICA_MENS_V625593_CHR_2.jpg")</f>
        <v/>
      </c>
      <c r="N3409">
        <f>IMAGE("file:///E:/Estudios%20y%20certificaciones/ESTUDIOS%20DE%20PROGRAMMING/PROGRAMMING/PERSONAL/PYTHON/Image_Generator_API/imagenes/NAUTICA_MENS_V625593_CHR_3.jpg")</f>
        <v/>
      </c>
      <c r="O3409">
        <f>HYPERLINK("imagenes/NAUTICA_MENS_V625593_CHR_1.jpg","Ver imagen")</f>
        <v/>
      </c>
      <c r="P3409">
        <f>HYPERLINK("imagenes/NAUTICA_MENS_V625593_CHR_2.jpg","Ver imagen")</f>
        <v/>
      </c>
      <c r="Q3409">
        <f>HYPERLINK("imagenes/NAUTICA_MENS_V625593_CHR_3.jpg","Ver imagen")</f>
        <v/>
      </c>
    </row>
    <row r="3410">
      <c r="A3410" t="inlineStr">
        <is>
          <t>NAUTICA MENS</t>
        </is>
      </c>
      <c r="B3410" t="inlineStr">
        <is>
          <t>V625593</t>
        </is>
      </c>
      <c r="C3410" t="inlineStr">
        <is>
          <t>WOOL OPEN BOTTOM</t>
        </is>
      </c>
      <c r="D3410" t="inlineStr">
        <is>
          <t>CHR</t>
        </is>
      </c>
      <c r="E3410" t="inlineStr">
        <is>
          <t>(en blanco)</t>
        </is>
      </c>
      <c r="F3410" t="inlineStr">
        <is>
          <t>(en blanco)</t>
        </is>
      </c>
      <c r="G3410" t="inlineStr">
        <is>
          <t>XL</t>
        </is>
      </c>
      <c r="H3410" t="n">
        <v>5</v>
      </c>
      <c r="I3410" t="inlineStr">
        <is>
          <t>NAUTICA_MENS_V625593_CHR_1.jpg</t>
        </is>
      </c>
      <c r="J3410" t="inlineStr">
        <is>
          <t>NAUTICA_MENS_V625593_CHR_2.jpg</t>
        </is>
      </c>
      <c r="K3410" t="inlineStr">
        <is>
          <t>NAUTICA_MENS_V625593_CHR_3.jpg</t>
        </is>
      </c>
      <c r="L3410">
        <f>IMAGE("file:///E:/Estudios%20y%20certificaciones/ESTUDIOS%20DE%20PROGRAMMING/PROGRAMMING/PERSONAL/PYTHON/Image_Generator_API/imagenes/NAUTICA_MENS_V625593_CHR_1.jpg")</f>
        <v/>
      </c>
      <c r="M3410">
        <f>IMAGE("file:///E:/Estudios%20y%20certificaciones/ESTUDIOS%20DE%20PROGRAMMING/PROGRAMMING/PERSONAL/PYTHON/Image_Generator_API/imagenes/NAUTICA_MENS_V625593_CHR_2.jpg")</f>
        <v/>
      </c>
      <c r="N3410">
        <f>IMAGE("file:///E:/Estudios%20y%20certificaciones/ESTUDIOS%20DE%20PROGRAMMING/PROGRAMMING/PERSONAL/PYTHON/Image_Generator_API/imagenes/NAUTICA_MENS_V625593_CHR_3.jpg")</f>
        <v/>
      </c>
      <c r="O3410">
        <f>HYPERLINK("imagenes/NAUTICA_MENS_V625593_CHR_1.jpg","Ver imagen")</f>
        <v/>
      </c>
      <c r="P3410">
        <f>HYPERLINK("imagenes/NAUTICA_MENS_V625593_CHR_2.jpg","Ver imagen")</f>
        <v/>
      </c>
      <c r="Q3410">
        <f>HYPERLINK("imagenes/NAUTICA_MENS_V625593_CHR_3.jpg","Ver imagen")</f>
        <v/>
      </c>
    </row>
    <row r="3411">
      <c r="A3411" t="inlineStr">
        <is>
          <t>NAUTICA MENS</t>
        </is>
      </c>
      <c r="B3411" t="inlineStr">
        <is>
          <t>V625593</t>
        </is>
      </c>
      <c r="C3411" t="inlineStr">
        <is>
          <t>WOOL OPEN BOTTOM</t>
        </is>
      </c>
      <c r="D3411" t="inlineStr">
        <is>
          <t>CHR</t>
        </is>
      </c>
      <c r="E3411" t="inlineStr">
        <is>
          <t>(en blanco)</t>
        </is>
      </c>
      <c r="F3411" t="inlineStr">
        <is>
          <t>(en blanco)</t>
        </is>
      </c>
      <c r="G3411" t="inlineStr">
        <is>
          <t>XXL</t>
        </is>
      </c>
      <c r="H3411" t="n">
        <v>1</v>
      </c>
      <c r="I3411" t="inlineStr">
        <is>
          <t>NAUTICA_MENS_V625593_CHR_1.jpg</t>
        </is>
      </c>
      <c r="J3411" t="inlineStr">
        <is>
          <t>NAUTICA_MENS_V625593_CHR_2.jpg</t>
        </is>
      </c>
      <c r="K3411" t="inlineStr">
        <is>
          <t>NAUTICA_MENS_V625593_CHR_3.jpg</t>
        </is>
      </c>
      <c r="L3411">
        <f>IMAGE("file:///E:/Estudios%20y%20certificaciones/ESTUDIOS%20DE%20PROGRAMMING/PROGRAMMING/PERSONAL/PYTHON/Image_Generator_API/imagenes/NAUTICA_MENS_V625593_CHR_1.jpg")</f>
        <v/>
      </c>
      <c r="M3411">
        <f>IMAGE("file:///E:/Estudios%20y%20certificaciones/ESTUDIOS%20DE%20PROGRAMMING/PROGRAMMING/PERSONAL/PYTHON/Image_Generator_API/imagenes/NAUTICA_MENS_V625593_CHR_2.jpg")</f>
        <v/>
      </c>
      <c r="N3411">
        <f>IMAGE("file:///E:/Estudios%20y%20certificaciones/ESTUDIOS%20DE%20PROGRAMMING/PROGRAMMING/PERSONAL/PYTHON/Image_Generator_API/imagenes/NAUTICA_MENS_V625593_CHR_3.jpg")</f>
        <v/>
      </c>
      <c r="O3411">
        <f>HYPERLINK("imagenes/NAUTICA_MENS_V625593_CHR_1.jpg","Ver imagen")</f>
        <v/>
      </c>
      <c r="P3411">
        <f>HYPERLINK("imagenes/NAUTICA_MENS_V625593_CHR_2.jpg","Ver imagen")</f>
        <v/>
      </c>
      <c r="Q3411">
        <f>HYPERLINK("imagenes/NAUTICA_MENS_V625593_CHR_3.jpg","Ver imagen")</f>
        <v/>
      </c>
    </row>
    <row r="3412">
      <c r="A3412" t="inlineStr">
        <is>
          <t>NAUTICA MENS</t>
        </is>
      </c>
      <c r="B3412" t="inlineStr">
        <is>
          <t>V625598</t>
        </is>
      </c>
      <c r="C3412" t="inlineStr">
        <is>
          <t>WOOL TOGGLE</t>
        </is>
      </c>
      <c r="D3412" t="inlineStr">
        <is>
          <t>CHR</t>
        </is>
      </c>
      <c r="E3412" t="inlineStr">
        <is>
          <t>(en blanco)</t>
        </is>
      </c>
      <c r="F3412" t="inlineStr">
        <is>
          <t>(en blanco)</t>
        </is>
      </c>
      <c r="G3412" t="inlineStr">
        <is>
          <t>S</t>
        </is>
      </c>
      <c r="H3412" t="n">
        <v>2</v>
      </c>
      <c r="I3412" t="inlineStr">
        <is>
          <t>NAUTICA_MENS_V625598_CHR_1.jpg</t>
        </is>
      </c>
      <c r="J3412" t="inlineStr">
        <is>
          <t>NAUTICA_MENS_V625598_CHR_2.jpg</t>
        </is>
      </c>
      <c r="K3412" t="inlineStr">
        <is>
          <t>NAUTICA_MENS_V625598_CHR_3.jpg</t>
        </is>
      </c>
      <c r="L3412">
        <f>IMAGE("file:///E:/Estudios%20y%20certificaciones/ESTUDIOS%20DE%20PROGRAMMING/PROGRAMMING/PERSONAL/PYTHON/Image_Generator_API/imagenes/NAUTICA_MENS_V625598_CHR_1.jpg")</f>
        <v/>
      </c>
      <c r="M3412">
        <f>IMAGE("file:///E:/Estudios%20y%20certificaciones/ESTUDIOS%20DE%20PROGRAMMING/PROGRAMMING/PERSONAL/PYTHON/Image_Generator_API/imagenes/NAUTICA_MENS_V625598_CHR_2.jpg")</f>
        <v/>
      </c>
      <c r="N3412">
        <f>IMAGE("file:///E:/Estudios%20y%20certificaciones/ESTUDIOS%20DE%20PROGRAMMING/PROGRAMMING/PERSONAL/PYTHON/Image_Generator_API/imagenes/NAUTICA_MENS_V625598_CHR_3.jpg")</f>
        <v/>
      </c>
      <c r="O3412">
        <f>HYPERLINK("imagenes/NAUTICA_MENS_V625598_CHR_1.jpg","Ver imagen")</f>
        <v/>
      </c>
      <c r="P3412">
        <f>HYPERLINK("imagenes/NAUTICA_MENS_V625598_CHR_2.jpg","Ver imagen")</f>
        <v/>
      </c>
      <c r="Q3412">
        <f>HYPERLINK("imagenes/NAUTICA_MENS_V625598_CHR_3.jpg","Ver imagen")</f>
        <v/>
      </c>
    </row>
    <row r="3413">
      <c r="A3413" t="inlineStr">
        <is>
          <t>NAUTICA MENS</t>
        </is>
      </c>
      <c r="B3413" t="inlineStr">
        <is>
          <t>V625598</t>
        </is>
      </c>
      <c r="C3413" t="inlineStr">
        <is>
          <t>WOOL TOGGLE</t>
        </is>
      </c>
      <c r="D3413" t="inlineStr">
        <is>
          <t>CHR</t>
        </is>
      </c>
      <c r="E3413" t="inlineStr">
        <is>
          <t>(en blanco)</t>
        </is>
      </c>
      <c r="F3413" t="inlineStr">
        <is>
          <t>(en blanco)</t>
        </is>
      </c>
      <c r="G3413" t="inlineStr">
        <is>
          <t>M</t>
        </is>
      </c>
      <c r="H3413" t="n">
        <v>1</v>
      </c>
      <c r="I3413" t="inlineStr">
        <is>
          <t>NAUTICA_MENS_V625598_CHR_1.jpg</t>
        </is>
      </c>
      <c r="J3413" t="inlineStr">
        <is>
          <t>NAUTICA_MENS_V625598_CHR_2.jpg</t>
        </is>
      </c>
      <c r="K3413" t="inlineStr">
        <is>
          <t>NAUTICA_MENS_V625598_CHR_3.jpg</t>
        </is>
      </c>
      <c r="L3413">
        <f>IMAGE("file:///E:/Estudios%20y%20certificaciones/ESTUDIOS%20DE%20PROGRAMMING/PROGRAMMING/PERSONAL/PYTHON/Image_Generator_API/imagenes/NAUTICA_MENS_V625598_CHR_1.jpg")</f>
        <v/>
      </c>
      <c r="M3413">
        <f>IMAGE("file:///E:/Estudios%20y%20certificaciones/ESTUDIOS%20DE%20PROGRAMMING/PROGRAMMING/PERSONAL/PYTHON/Image_Generator_API/imagenes/NAUTICA_MENS_V625598_CHR_2.jpg")</f>
        <v/>
      </c>
      <c r="N3413">
        <f>IMAGE("file:///E:/Estudios%20y%20certificaciones/ESTUDIOS%20DE%20PROGRAMMING/PROGRAMMING/PERSONAL/PYTHON/Image_Generator_API/imagenes/NAUTICA_MENS_V625598_CHR_3.jpg")</f>
        <v/>
      </c>
      <c r="O3413">
        <f>HYPERLINK("imagenes/NAUTICA_MENS_V625598_CHR_1.jpg","Ver imagen")</f>
        <v/>
      </c>
      <c r="P3413">
        <f>HYPERLINK("imagenes/NAUTICA_MENS_V625598_CHR_2.jpg","Ver imagen")</f>
        <v/>
      </c>
      <c r="Q3413">
        <f>HYPERLINK("imagenes/NAUTICA_MENS_V625598_CHR_3.jpg","Ver imagen")</f>
        <v/>
      </c>
    </row>
    <row r="3414">
      <c r="A3414" t="inlineStr">
        <is>
          <t>NAUTICA MENS</t>
        </is>
      </c>
      <c r="B3414" t="inlineStr">
        <is>
          <t>V625598</t>
        </is>
      </c>
      <c r="C3414" t="inlineStr">
        <is>
          <t>WOOL TOGGLE</t>
        </is>
      </c>
      <c r="D3414" t="inlineStr">
        <is>
          <t>CHR</t>
        </is>
      </c>
      <c r="E3414" t="inlineStr">
        <is>
          <t>(en blanco)</t>
        </is>
      </c>
      <c r="F3414" t="inlineStr">
        <is>
          <t>(en blanco)</t>
        </is>
      </c>
      <c r="G3414" t="inlineStr">
        <is>
          <t>L</t>
        </is>
      </c>
      <c r="H3414" t="n">
        <v>3</v>
      </c>
      <c r="I3414" t="inlineStr">
        <is>
          <t>NAUTICA_MENS_V625598_CHR_1.jpg</t>
        </is>
      </c>
      <c r="J3414" t="inlineStr">
        <is>
          <t>NAUTICA_MENS_V625598_CHR_2.jpg</t>
        </is>
      </c>
      <c r="K3414" t="inlineStr">
        <is>
          <t>NAUTICA_MENS_V625598_CHR_3.jpg</t>
        </is>
      </c>
      <c r="L3414">
        <f>IMAGE("file:///E:/Estudios%20y%20certificaciones/ESTUDIOS%20DE%20PROGRAMMING/PROGRAMMING/PERSONAL/PYTHON/Image_Generator_API/imagenes/NAUTICA_MENS_V625598_CHR_1.jpg")</f>
        <v/>
      </c>
      <c r="M3414">
        <f>IMAGE("file:///E:/Estudios%20y%20certificaciones/ESTUDIOS%20DE%20PROGRAMMING/PROGRAMMING/PERSONAL/PYTHON/Image_Generator_API/imagenes/NAUTICA_MENS_V625598_CHR_2.jpg")</f>
        <v/>
      </c>
      <c r="N3414">
        <f>IMAGE("file:///E:/Estudios%20y%20certificaciones/ESTUDIOS%20DE%20PROGRAMMING/PROGRAMMING/PERSONAL/PYTHON/Image_Generator_API/imagenes/NAUTICA_MENS_V625598_CHR_3.jpg")</f>
        <v/>
      </c>
      <c r="O3414">
        <f>HYPERLINK("imagenes/NAUTICA_MENS_V625598_CHR_1.jpg","Ver imagen")</f>
        <v/>
      </c>
      <c r="P3414">
        <f>HYPERLINK("imagenes/NAUTICA_MENS_V625598_CHR_2.jpg","Ver imagen")</f>
        <v/>
      </c>
      <c r="Q3414">
        <f>HYPERLINK("imagenes/NAUTICA_MENS_V625598_CHR_3.jpg","Ver imagen")</f>
        <v/>
      </c>
    </row>
    <row r="3415">
      <c r="A3415" t="inlineStr">
        <is>
          <t>NAUTICA MENS</t>
        </is>
      </c>
      <c r="B3415" t="inlineStr">
        <is>
          <t>V625598</t>
        </is>
      </c>
      <c r="C3415" t="inlineStr">
        <is>
          <t>WOOL TOGGLE</t>
        </is>
      </c>
      <c r="D3415" t="inlineStr">
        <is>
          <t>CHR</t>
        </is>
      </c>
      <c r="E3415" t="inlineStr">
        <is>
          <t>(en blanco)</t>
        </is>
      </c>
      <c r="F3415" t="inlineStr">
        <is>
          <t>(en blanco)</t>
        </is>
      </c>
      <c r="G3415" t="inlineStr">
        <is>
          <t>XL</t>
        </is>
      </c>
      <c r="H3415" t="n">
        <v>4</v>
      </c>
      <c r="I3415" t="inlineStr">
        <is>
          <t>NAUTICA_MENS_V625598_CHR_1.jpg</t>
        </is>
      </c>
      <c r="J3415" t="inlineStr">
        <is>
          <t>NAUTICA_MENS_V625598_CHR_2.jpg</t>
        </is>
      </c>
      <c r="K3415" t="inlineStr">
        <is>
          <t>NAUTICA_MENS_V625598_CHR_3.jpg</t>
        </is>
      </c>
      <c r="L3415">
        <f>IMAGE("file:///E:/Estudios%20y%20certificaciones/ESTUDIOS%20DE%20PROGRAMMING/PROGRAMMING/PERSONAL/PYTHON/Image_Generator_API/imagenes/NAUTICA_MENS_V625598_CHR_1.jpg")</f>
        <v/>
      </c>
      <c r="M3415">
        <f>IMAGE("file:///E:/Estudios%20y%20certificaciones/ESTUDIOS%20DE%20PROGRAMMING/PROGRAMMING/PERSONAL/PYTHON/Image_Generator_API/imagenes/NAUTICA_MENS_V625598_CHR_2.jpg")</f>
        <v/>
      </c>
      <c r="N3415">
        <f>IMAGE("file:///E:/Estudios%20y%20certificaciones/ESTUDIOS%20DE%20PROGRAMMING/PROGRAMMING/PERSONAL/PYTHON/Image_Generator_API/imagenes/NAUTICA_MENS_V625598_CHR_3.jpg")</f>
        <v/>
      </c>
      <c r="O3415">
        <f>HYPERLINK("imagenes/NAUTICA_MENS_V625598_CHR_1.jpg","Ver imagen")</f>
        <v/>
      </c>
      <c r="P3415">
        <f>HYPERLINK("imagenes/NAUTICA_MENS_V625598_CHR_2.jpg","Ver imagen")</f>
        <v/>
      </c>
      <c r="Q3415">
        <f>HYPERLINK("imagenes/NAUTICA_MENS_V625598_CHR_3.jpg","Ver imagen")</f>
        <v/>
      </c>
    </row>
    <row r="3416">
      <c r="A3416" t="inlineStr">
        <is>
          <t>NAUTICA MENS</t>
        </is>
      </c>
      <c r="B3416" t="inlineStr">
        <is>
          <t>V625598</t>
        </is>
      </c>
      <c r="C3416" t="inlineStr">
        <is>
          <t>WOOL TOGGLE</t>
        </is>
      </c>
      <c r="D3416" t="inlineStr">
        <is>
          <t>DNY</t>
        </is>
      </c>
      <c r="E3416" t="inlineStr">
        <is>
          <t>(en blanco)</t>
        </is>
      </c>
      <c r="F3416" t="inlineStr">
        <is>
          <t>(en blanco)</t>
        </is>
      </c>
      <c r="G3416" t="inlineStr">
        <is>
          <t>S</t>
        </is>
      </c>
      <c r="H3416" t="n">
        <v>1</v>
      </c>
      <c r="I3416" t="inlineStr">
        <is>
          <t>NAUTICA_MENS_V625598_DNY_1.jpg</t>
        </is>
      </c>
      <c r="J3416" t="inlineStr">
        <is>
          <t>NAUTICA_MENS_V625598_DNY_2.jpg</t>
        </is>
      </c>
      <c r="K3416" t="inlineStr">
        <is>
          <t>NAUTICA_MENS_V625598_DNY_3.jpg</t>
        </is>
      </c>
      <c r="L3416">
        <f>IMAGE("file:///E:/Estudios%20y%20certificaciones/ESTUDIOS%20DE%20PROGRAMMING/PROGRAMMING/PERSONAL/PYTHON/Image_Generator_API/imagenes/NAUTICA_MENS_V625598_DNY_1.jpg")</f>
        <v/>
      </c>
      <c r="M3416">
        <f>IMAGE("file:///E:/Estudios%20y%20certificaciones/ESTUDIOS%20DE%20PROGRAMMING/PROGRAMMING/PERSONAL/PYTHON/Image_Generator_API/imagenes/NAUTICA_MENS_V625598_DNY_2.jpg")</f>
        <v/>
      </c>
      <c r="N3416">
        <f>IMAGE("file:///E:/Estudios%20y%20certificaciones/ESTUDIOS%20DE%20PROGRAMMING/PROGRAMMING/PERSONAL/PYTHON/Image_Generator_API/imagenes/NAUTICA_MENS_V625598_DNY_3.jpg")</f>
        <v/>
      </c>
      <c r="O3416">
        <f>HYPERLINK("imagenes/NAUTICA_MENS_V625598_DNY_1.jpg","Ver imagen")</f>
        <v/>
      </c>
      <c r="P3416">
        <f>HYPERLINK("imagenes/NAUTICA_MENS_V625598_DNY_2.jpg","Ver imagen")</f>
        <v/>
      </c>
      <c r="Q3416">
        <f>HYPERLINK("imagenes/NAUTICA_MENS_V625598_DNY_3.jpg","Ver imagen")</f>
        <v/>
      </c>
    </row>
    <row r="3417">
      <c r="A3417" t="inlineStr">
        <is>
          <t>NAUTICA MENS</t>
        </is>
      </c>
      <c r="B3417" t="inlineStr">
        <is>
          <t>V625598</t>
        </is>
      </c>
      <c r="C3417" t="inlineStr">
        <is>
          <t>WOOL TOGGLE</t>
        </is>
      </c>
      <c r="D3417" t="inlineStr">
        <is>
          <t>DNY</t>
        </is>
      </c>
      <c r="E3417" t="inlineStr">
        <is>
          <t>(en blanco)</t>
        </is>
      </c>
      <c r="F3417" t="inlineStr">
        <is>
          <t>(en blanco)</t>
        </is>
      </c>
      <c r="G3417" t="inlineStr">
        <is>
          <t>M</t>
        </is>
      </c>
      <c r="H3417" t="n">
        <v>1</v>
      </c>
      <c r="I3417" t="inlineStr">
        <is>
          <t>NAUTICA_MENS_V625598_DNY_1.jpg</t>
        </is>
      </c>
      <c r="J3417" t="inlineStr">
        <is>
          <t>NAUTICA_MENS_V625598_DNY_2.jpg</t>
        </is>
      </c>
      <c r="K3417" t="inlineStr">
        <is>
          <t>NAUTICA_MENS_V625598_DNY_3.jpg</t>
        </is>
      </c>
      <c r="L3417">
        <f>IMAGE("file:///E:/Estudios%20y%20certificaciones/ESTUDIOS%20DE%20PROGRAMMING/PROGRAMMING/PERSONAL/PYTHON/Image_Generator_API/imagenes/NAUTICA_MENS_V625598_DNY_1.jpg")</f>
        <v/>
      </c>
      <c r="M3417">
        <f>IMAGE("file:///E:/Estudios%20y%20certificaciones/ESTUDIOS%20DE%20PROGRAMMING/PROGRAMMING/PERSONAL/PYTHON/Image_Generator_API/imagenes/NAUTICA_MENS_V625598_DNY_2.jpg")</f>
        <v/>
      </c>
      <c r="N3417">
        <f>IMAGE("file:///E:/Estudios%20y%20certificaciones/ESTUDIOS%20DE%20PROGRAMMING/PROGRAMMING/PERSONAL/PYTHON/Image_Generator_API/imagenes/NAUTICA_MENS_V625598_DNY_3.jpg")</f>
        <v/>
      </c>
      <c r="O3417">
        <f>HYPERLINK("imagenes/NAUTICA_MENS_V625598_DNY_1.jpg","Ver imagen")</f>
        <v/>
      </c>
      <c r="P3417">
        <f>HYPERLINK("imagenes/NAUTICA_MENS_V625598_DNY_2.jpg","Ver imagen")</f>
        <v/>
      </c>
      <c r="Q3417">
        <f>HYPERLINK("imagenes/NAUTICA_MENS_V625598_DNY_3.jpg","Ver imagen")</f>
        <v/>
      </c>
    </row>
    <row r="3418">
      <c r="A3418" t="inlineStr">
        <is>
          <t>NAUTICA MENS</t>
        </is>
      </c>
      <c r="B3418" t="inlineStr">
        <is>
          <t>V625598</t>
        </is>
      </c>
      <c r="C3418" t="inlineStr">
        <is>
          <t>WOOL TOGGLE</t>
        </is>
      </c>
      <c r="D3418" t="inlineStr">
        <is>
          <t>DNY</t>
        </is>
      </c>
      <c r="E3418" t="inlineStr">
        <is>
          <t>(en blanco)</t>
        </is>
      </c>
      <c r="F3418" t="inlineStr">
        <is>
          <t>(en blanco)</t>
        </is>
      </c>
      <c r="G3418" t="inlineStr">
        <is>
          <t>L</t>
        </is>
      </c>
      <c r="H3418" t="n">
        <v>2</v>
      </c>
      <c r="I3418" t="inlineStr">
        <is>
          <t>NAUTICA_MENS_V625598_DNY_1.jpg</t>
        </is>
      </c>
      <c r="J3418" t="inlineStr">
        <is>
          <t>NAUTICA_MENS_V625598_DNY_2.jpg</t>
        </is>
      </c>
      <c r="K3418" t="inlineStr">
        <is>
          <t>NAUTICA_MENS_V625598_DNY_3.jpg</t>
        </is>
      </c>
      <c r="L3418">
        <f>IMAGE("file:///E:/Estudios%20y%20certificaciones/ESTUDIOS%20DE%20PROGRAMMING/PROGRAMMING/PERSONAL/PYTHON/Image_Generator_API/imagenes/NAUTICA_MENS_V625598_DNY_1.jpg")</f>
        <v/>
      </c>
      <c r="M3418">
        <f>IMAGE("file:///E:/Estudios%20y%20certificaciones/ESTUDIOS%20DE%20PROGRAMMING/PROGRAMMING/PERSONAL/PYTHON/Image_Generator_API/imagenes/NAUTICA_MENS_V625598_DNY_2.jpg")</f>
        <v/>
      </c>
      <c r="N3418">
        <f>IMAGE("file:///E:/Estudios%20y%20certificaciones/ESTUDIOS%20DE%20PROGRAMMING/PROGRAMMING/PERSONAL/PYTHON/Image_Generator_API/imagenes/NAUTICA_MENS_V625598_DNY_3.jpg")</f>
        <v/>
      </c>
      <c r="O3418">
        <f>HYPERLINK("imagenes/NAUTICA_MENS_V625598_DNY_1.jpg","Ver imagen")</f>
        <v/>
      </c>
      <c r="P3418">
        <f>HYPERLINK("imagenes/NAUTICA_MENS_V625598_DNY_2.jpg","Ver imagen")</f>
        <v/>
      </c>
      <c r="Q3418">
        <f>HYPERLINK("imagenes/NAUTICA_MENS_V625598_DNY_3.jpg","Ver imagen")</f>
        <v/>
      </c>
    </row>
    <row r="3419">
      <c r="A3419" t="inlineStr">
        <is>
          <t>NAUTICA MENS</t>
        </is>
      </c>
      <c r="B3419" t="inlineStr">
        <is>
          <t>V625598</t>
        </is>
      </c>
      <c r="C3419" t="inlineStr">
        <is>
          <t>WOOL TOGGLE</t>
        </is>
      </c>
      <c r="D3419" t="inlineStr">
        <is>
          <t>DNY</t>
        </is>
      </c>
      <c r="E3419" t="inlineStr">
        <is>
          <t>(en blanco)</t>
        </is>
      </c>
      <c r="F3419" t="inlineStr">
        <is>
          <t>(en blanco)</t>
        </is>
      </c>
      <c r="G3419" t="inlineStr">
        <is>
          <t>XL</t>
        </is>
      </c>
      <c r="H3419" t="n">
        <v>2</v>
      </c>
      <c r="I3419" t="inlineStr">
        <is>
          <t>NAUTICA_MENS_V625598_DNY_1.jpg</t>
        </is>
      </c>
      <c r="J3419" t="inlineStr">
        <is>
          <t>NAUTICA_MENS_V625598_DNY_2.jpg</t>
        </is>
      </c>
      <c r="K3419" t="inlineStr">
        <is>
          <t>NAUTICA_MENS_V625598_DNY_3.jpg</t>
        </is>
      </c>
      <c r="L3419">
        <f>IMAGE("file:///E:/Estudios%20y%20certificaciones/ESTUDIOS%20DE%20PROGRAMMING/PROGRAMMING/PERSONAL/PYTHON/Image_Generator_API/imagenes/NAUTICA_MENS_V625598_DNY_1.jpg")</f>
        <v/>
      </c>
      <c r="M3419">
        <f>IMAGE("file:///E:/Estudios%20y%20certificaciones/ESTUDIOS%20DE%20PROGRAMMING/PROGRAMMING/PERSONAL/PYTHON/Image_Generator_API/imagenes/NAUTICA_MENS_V625598_DNY_2.jpg")</f>
        <v/>
      </c>
      <c r="N3419">
        <f>IMAGE("file:///E:/Estudios%20y%20certificaciones/ESTUDIOS%20DE%20PROGRAMMING/PROGRAMMING/PERSONAL/PYTHON/Image_Generator_API/imagenes/NAUTICA_MENS_V625598_DNY_3.jpg")</f>
        <v/>
      </c>
      <c r="O3419">
        <f>HYPERLINK("imagenes/NAUTICA_MENS_V625598_DNY_1.jpg","Ver imagen")</f>
        <v/>
      </c>
      <c r="P3419">
        <f>HYPERLINK("imagenes/NAUTICA_MENS_V625598_DNY_2.jpg","Ver imagen")</f>
        <v/>
      </c>
      <c r="Q3419">
        <f>HYPERLINK("imagenes/NAUTICA_MENS_V625598_DNY_3.jpg","Ver imagen")</f>
        <v/>
      </c>
    </row>
    <row r="3420">
      <c r="A3420" t="inlineStr">
        <is>
          <t>NAUTICA MENS</t>
        </is>
      </c>
      <c r="B3420" t="inlineStr">
        <is>
          <t>V625598</t>
        </is>
      </c>
      <c r="C3420" t="inlineStr">
        <is>
          <t>WOOL TOGGLE</t>
        </is>
      </c>
      <c r="D3420" t="inlineStr">
        <is>
          <t>DNY</t>
        </is>
      </c>
      <c r="E3420" t="inlineStr">
        <is>
          <t>(en blanco)</t>
        </is>
      </c>
      <c r="F3420" t="inlineStr">
        <is>
          <t>(en blanco)</t>
        </is>
      </c>
      <c r="G3420" t="inlineStr">
        <is>
          <t>XXL</t>
        </is>
      </c>
      <c r="H3420" t="n">
        <v>1</v>
      </c>
      <c r="I3420" t="inlineStr">
        <is>
          <t>NAUTICA_MENS_V625598_DNY_1.jpg</t>
        </is>
      </c>
      <c r="J3420" t="inlineStr">
        <is>
          <t>NAUTICA_MENS_V625598_DNY_2.jpg</t>
        </is>
      </c>
      <c r="K3420" t="inlineStr">
        <is>
          <t>NAUTICA_MENS_V625598_DNY_3.jpg</t>
        </is>
      </c>
      <c r="L3420">
        <f>IMAGE("file:///E:/Estudios%20y%20certificaciones/ESTUDIOS%20DE%20PROGRAMMING/PROGRAMMING/PERSONAL/PYTHON/Image_Generator_API/imagenes/NAUTICA_MENS_V625598_DNY_1.jpg")</f>
        <v/>
      </c>
      <c r="M3420">
        <f>IMAGE("file:///E:/Estudios%20y%20certificaciones/ESTUDIOS%20DE%20PROGRAMMING/PROGRAMMING/PERSONAL/PYTHON/Image_Generator_API/imagenes/NAUTICA_MENS_V625598_DNY_2.jpg")</f>
        <v/>
      </c>
      <c r="N3420">
        <f>IMAGE("file:///E:/Estudios%20y%20certificaciones/ESTUDIOS%20DE%20PROGRAMMING/PROGRAMMING/PERSONAL/PYTHON/Image_Generator_API/imagenes/NAUTICA_MENS_V625598_DNY_3.jpg")</f>
        <v/>
      </c>
      <c r="O3420">
        <f>HYPERLINK("imagenes/NAUTICA_MENS_V625598_DNY_1.jpg","Ver imagen")</f>
        <v/>
      </c>
      <c r="P3420">
        <f>HYPERLINK("imagenes/NAUTICA_MENS_V625598_DNY_2.jpg","Ver imagen")</f>
        <v/>
      </c>
      <c r="Q3420">
        <f>HYPERLINK("imagenes/NAUTICA_MENS_V625598_DNY_3.jpg","Ver imagen")</f>
        <v/>
      </c>
    </row>
    <row r="3421">
      <c r="A3421" t="inlineStr">
        <is>
          <t>NAUTICA MENS</t>
        </is>
      </c>
      <c r="B3421" t="inlineStr">
        <is>
          <t>V630185K</t>
        </is>
      </c>
      <c r="C3421" t="inlineStr">
        <is>
          <t>POLY RAIN COAT</t>
        </is>
      </c>
      <c r="D3421" t="inlineStr">
        <is>
          <t>BLK</t>
        </is>
      </c>
      <c r="E3421" t="inlineStr">
        <is>
          <t>(en blanco)</t>
        </is>
      </c>
      <c r="F3421" t="inlineStr">
        <is>
          <t>(en blanco)</t>
        </is>
      </c>
      <c r="G3421" t="inlineStr">
        <is>
          <t>3X</t>
        </is>
      </c>
      <c r="H3421" t="n">
        <v>2</v>
      </c>
      <c r="I3421" t="inlineStr">
        <is>
          <t>NAUTICA_MENS_V630185K_BLK_1.jpg</t>
        </is>
      </c>
      <c r="J3421" t="inlineStr">
        <is>
          <t>NAUTICA_MENS_V630185K_BLK_2.jpg</t>
        </is>
      </c>
      <c r="K3421" t="inlineStr">
        <is>
          <t>NAUTICA_MENS_V630185K_BLK_3.jpg</t>
        </is>
      </c>
      <c r="L3421">
        <f>IMAGE("file:///E:/Estudios%20y%20certificaciones/ESTUDIOS%20DE%20PROGRAMMING/PROGRAMMING/PERSONAL/PYTHON/Image_Generator_API/imagenes/NAUTICA_MENS_V630185K_BLK_1.jpg")</f>
        <v/>
      </c>
      <c r="M3421">
        <f>IMAGE("file:///E:/Estudios%20y%20certificaciones/ESTUDIOS%20DE%20PROGRAMMING/PROGRAMMING/PERSONAL/PYTHON/Image_Generator_API/imagenes/NAUTICA_MENS_V630185K_BLK_2.jpg")</f>
        <v/>
      </c>
      <c r="N3421">
        <f>IMAGE("file:///E:/Estudios%20y%20certificaciones/ESTUDIOS%20DE%20PROGRAMMING/PROGRAMMING/PERSONAL/PYTHON/Image_Generator_API/imagenes/NAUTICA_MENS_V630185K_BLK_3.jpg")</f>
        <v/>
      </c>
      <c r="O3421">
        <f>HYPERLINK("imagenes/NAUTICA_MENS_V630185K_BLK_1.jpg","Ver imagen")</f>
        <v/>
      </c>
      <c r="P3421">
        <f>HYPERLINK("imagenes/NAUTICA_MENS_V630185K_BLK_2.jpg","Ver imagen")</f>
        <v/>
      </c>
      <c r="Q3421">
        <f>HYPERLINK("imagenes/NAUTICA_MENS_V630185K_BLK_3.jpg","Ver imagen")</f>
        <v/>
      </c>
    </row>
    <row r="3422">
      <c r="A3422" t="inlineStr">
        <is>
          <t>NAUTICA MENS</t>
        </is>
      </c>
      <c r="B3422" t="inlineStr">
        <is>
          <t>V630185K</t>
        </is>
      </c>
      <c r="C3422" t="inlineStr">
        <is>
          <t>POLY RAIN COAT</t>
        </is>
      </c>
      <c r="D3422" t="inlineStr">
        <is>
          <t>BLK</t>
        </is>
      </c>
      <c r="E3422" t="inlineStr">
        <is>
          <t>(en blanco)</t>
        </is>
      </c>
      <c r="F3422" t="inlineStr">
        <is>
          <t>(en blanco)</t>
        </is>
      </c>
      <c r="G3422" t="inlineStr">
        <is>
          <t>4X</t>
        </is>
      </c>
      <c r="H3422" t="n">
        <v>2</v>
      </c>
      <c r="I3422" t="inlineStr">
        <is>
          <t>NAUTICA_MENS_V630185K_BLK_1.jpg</t>
        </is>
      </c>
      <c r="J3422" t="inlineStr">
        <is>
          <t>NAUTICA_MENS_V630185K_BLK_2.jpg</t>
        </is>
      </c>
      <c r="K3422" t="inlineStr">
        <is>
          <t>NAUTICA_MENS_V630185K_BLK_3.jpg</t>
        </is>
      </c>
      <c r="L3422">
        <f>IMAGE("file:///E:/Estudios%20y%20certificaciones/ESTUDIOS%20DE%20PROGRAMMING/PROGRAMMING/PERSONAL/PYTHON/Image_Generator_API/imagenes/NAUTICA_MENS_V630185K_BLK_1.jpg")</f>
        <v/>
      </c>
      <c r="M3422">
        <f>IMAGE("file:///E:/Estudios%20y%20certificaciones/ESTUDIOS%20DE%20PROGRAMMING/PROGRAMMING/PERSONAL/PYTHON/Image_Generator_API/imagenes/NAUTICA_MENS_V630185K_BLK_2.jpg")</f>
        <v/>
      </c>
      <c r="N3422">
        <f>IMAGE("file:///E:/Estudios%20y%20certificaciones/ESTUDIOS%20DE%20PROGRAMMING/PROGRAMMING/PERSONAL/PYTHON/Image_Generator_API/imagenes/NAUTICA_MENS_V630185K_BLK_3.jpg")</f>
        <v/>
      </c>
      <c r="O3422">
        <f>HYPERLINK("imagenes/NAUTICA_MENS_V630185K_BLK_1.jpg","Ver imagen")</f>
        <v/>
      </c>
      <c r="P3422">
        <f>HYPERLINK("imagenes/NAUTICA_MENS_V630185K_BLK_2.jpg","Ver imagen")</f>
        <v/>
      </c>
      <c r="Q3422">
        <f>HYPERLINK("imagenes/NAUTICA_MENS_V630185K_BLK_3.jpg","Ver imagen")</f>
        <v/>
      </c>
    </row>
    <row r="3423">
      <c r="A3423" t="inlineStr">
        <is>
          <t>NAUTICA MENS</t>
        </is>
      </c>
      <c r="B3423" t="inlineStr">
        <is>
          <t>V630185K</t>
        </is>
      </c>
      <c r="C3423" t="inlineStr">
        <is>
          <t>POLY RAIN COAT</t>
        </is>
      </c>
      <c r="D3423" t="inlineStr">
        <is>
          <t>BLK</t>
        </is>
      </c>
      <c r="E3423" t="inlineStr">
        <is>
          <t>(en blanco)</t>
        </is>
      </c>
      <c r="F3423" t="inlineStr">
        <is>
          <t>(en blanco)</t>
        </is>
      </c>
      <c r="G3423" t="inlineStr">
        <is>
          <t>5X</t>
        </is>
      </c>
      <c r="H3423" t="n">
        <v>1</v>
      </c>
      <c r="I3423" t="inlineStr">
        <is>
          <t>NAUTICA_MENS_V630185K_BLK_1.jpg</t>
        </is>
      </c>
      <c r="J3423" t="inlineStr">
        <is>
          <t>NAUTICA_MENS_V630185K_BLK_2.jpg</t>
        </is>
      </c>
      <c r="K3423" t="inlineStr">
        <is>
          <t>NAUTICA_MENS_V630185K_BLK_3.jpg</t>
        </is>
      </c>
      <c r="L3423">
        <f>IMAGE("file:///E:/Estudios%20y%20certificaciones/ESTUDIOS%20DE%20PROGRAMMING/PROGRAMMING/PERSONAL/PYTHON/Image_Generator_API/imagenes/NAUTICA_MENS_V630185K_BLK_1.jpg")</f>
        <v/>
      </c>
      <c r="M3423">
        <f>IMAGE("file:///E:/Estudios%20y%20certificaciones/ESTUDIOS%20DE%20PROGRAMMING/PROGRAMMING/PERSONAL/PYTHON/Image_Generator_API/imagenes/NAUTICA_MENS_V630185K_BLK_2.jpg")</f>
        <v/>
      </c>
      <c r="N3423">
        <f>IMAGE("file:///E:/Estudios%20y%20certificaciones/ESTUDIOS%20DE%20PROGRAMMING/PROGRAMMING/PERSONAL/PYTHON/Image_Generator_API/imagenes/NAUTICA_MENS_V630185K_BLK_3.jpg")</f>
        <v/>
      </c>
      <c r="O3423">
        <f>HYPERLINK("imagenes/NAUTICA_MENS_V630185K_BLK_1.jpg","Ver imagen")</f>
        <v/>
      </c>
      <c r="P3423">
        <f>HYPERLINK("imagenes/NAUTICA_MENS_V630185K_BLK_2.jpg","Ver imagen")</f>
        <v/>
      </c>
      <c r="Q3423">
        <f>HYPERLINK("imagenes/NAUTICA_MENS_V630185K_BLK_3.jpg","Ver imagen")</f>
        <v/>
      </c>
    </row>
    <row r="3424">
      <c r="A3424" t="inlineStr">
        <is>
          <t>NAUTICA MENS</t>
        </is>
      </c>
      <c r="B3424" t="inlineStr">
        <is>
          <t>V632744</t>
        </is>
      </c>
      <c r="C3424" t="inlineStr">
        <is>
          <t>POLY STRETCH REVRSBL</t>
        </is>
      </c>
      <c r="D3424" t="inlineStr">
        <is>
          <t>BBY</t>
        </is>
      </c>
      <c r="E3424" t="inlineStr">
        <is>
          <t>(en blanco)</t>
        </is>
      </c>
      <c r="F3424" t="inlineStr">
        <is>
          <t>(en blanco)</t>
        </is>
      </c>
      <c r="G3424" t="inlineStr">
        <is>
          <t>4X</t>
        </is>
      </c>
      <c r="H3424" t="n">
        <v>14</v>
      </c>
      <c r="I3424" t="inlineStr">
        <is>
          <t>NAUTICA_MENS_V632744_BBY_1.jpg</t>
        </is>
      </c>
      <c r="J3424" t="inlineStr">
        <is>
          <t>NAUTICA_MENS_V632744_BBY_2.jpg</t>
        </is>
      </c>
      <c r="K3424" t="inlineStr">
        <is>
          <t>NAUTICA_MENS_V632744_BBY_3.jpg</t>
        </is>
      </c>
      <c r="L3424">
        <f>IMAGE("file:///E:/Estudios%20y%20certificaciones/ESTUDIOS%20DE%20PROGRAMMING/PROGRAMMING/PERSONAL/PYTHON/Image_Generator_API/imagenes/NAUTICA_MENS_V632744_BBY_1.jpg")</f>
        <v/>
      </c>
      <c r="M3424">
        <f>IMAGE("file:///E:/Estudios%20y%20certificaciones/ESTUDIOS%20DE%20PROGRAMMING/PROGRAMMING/PERSONAL/PYTHON/Image_Generator_API/imagenes/NAUTICA_MENS_V632744_BBY_2.jpg")</f>
        <v/>
      </c>
      <c r="N3424">
        <f>IMAGE("file:///E:/Estudios%20y%20certificaciones/ESTUDIOS%20DE%20PROGRAMMING/PROGRAMMING/PERSONAL/PYTHON/Image_Generator_API/imagenes/NAUTICA_MENS_V632744_BBY_3.jpg")</f>
        <v/>
      </c>
      <c r="O3424">
        <f>HYPERLINK("imagenes/NAUTICA_MENS_V632744_BBY_1.jpg","Ver imagen")</f>
        <v/>
      </c>
      <c r="P3424">
        <f>HYPERLINK("imagenes/NAUTICA_MENS_V632744_BBY_2.jpg","Ver imagen")</f>
        <v/>
      </c>
      <c r="Q3424">
        <f>HYPERLINK("imagenes/NAUTICA_MENS_V632744_BBY_3.jpg","Ver imagen")</f>
        <v/>
      </c>
    </row>
    <row r="3425">
      <c r="A3425" t="inlineStr">
        <is>
          <t>NAUTICA MENS</t>
        </is>
      </c>
      <c r="B3425" t="inlineStr">
        <is>
          <t>V632744</t>
        </is>
      </c>
      <c r="C3425" t="inlineStr">
        <is>
          <t>POLY STRETCH REVRSBL</t>
        </is>
      </c>
      <c r="D3425" t="inlineStr">
        <is>
          <t>BBY</t>
        </is>
      </c>
      <c r="E3425" t="inlineStr">
        <is>
          <t>(en blanco)</t>
        </is>
      </c>
      <c r="F3425" t="inlineStr">
        <is>
          <t>(en blanco)</t>
        </is>
      </c>
      <c r="G3425" t="inlineStr">
        <is>
          <t>5X</t>
        </is>
      </c>
      <c r="H3425" t="n">
        <v>20</v>
      </c>
      <c r="I3425" t="inlineStr">
        <is>
          <t>NAUTICA_MENS_V632744_BBY_1.jpg</t>
        </is>
      </c>
      <c r="J3425" t="inlineStr">
        <is>
          <t>NAUTICA_MENS_V632744_BBY_2.jpg</t>
        </is>
      </c>
      <c r="K3425" t="inlineStr">
        <is>
          <t>NAUTICA_MENS_V632744_BBY_3.jpg</t>
        </is>
      </c>
      <c r="L3425">
        <f>IMAGE("file:///E:/Estudios%20y%20certificaciones/ESTUDIOS%20DE%20PROGRAMMING/PROGRAMMING/PERSONAL/PYTHON/Image_Generator_API/imagenes/NAUTICA_MENS_V632744_BBY_1.jpg")</f>
        <v/>
      </c>
      <c r="M3425">
        <f>IMAGE("file:///E:/Estudios%20y%20certificaciones/ESTUDIOS%20DE%20PROGRAMMING/PROGRAMMING/PERSONAL/PYTHON/Image_Generator_API/imagenes/NAUTICA_MENS_V632744_BBY_2.jpg")</f>
        <v/>
      </c>
      <c r="N3425">
        <f>IMAGE("file:///E:/Estudios%20y%20certificaciones/ESTUDIOS%20DE%20PROGRAMMING/PROGRAMMING/PERSONAL/PYTHON/Image_Generator_API/imagenes/NAUTICA_MENS_V632744_BBY_3.jpg")</f>
        <v/>
      </c>
      <c r="O3425">
        <f>HYPERLINK("imagenes/NAUTICA_MENS_V632744_BBY_1.jpg","Ver imagen")</f>
        <v/>
      </c>
      <c r="P3425">
        <f>HYPERLINK("imagenes/NAUTICA_MENS_V632744_BBY_2.jpg","Ver imagen")</f>
        <v/>
      </c>
      <c r="Q3425">
        <f>HYPERLINK("imagenes/NAUTICA_MENS_V632744_BBY_3.jpg","Ver imagen")</f>
        <v/>
      </c>
    </row>
    <row r="3426">
      <c r="A3426" t="inlineStr">
        <is>
          <t>NAUTICA MENS</t>
        </is>
      </c>
      <c r="B3426" t="inlineStr">
        <is>
          <t>V632744</t>
        </is>
      </c>
      <c r="C3426" t="inlineStr">
        <is>
          <t>POLY STRETCH REVRSBL</t>
        </is>
      </c>
      <c r="D3426" t="inlineStr">
        <is>
          <t>BBY</t>
        </is>
      </c>
      <c r="E3426" t="inlineStr">
        <is>
          <t>(en blanco)</t>
        </is>
      </c>
      <c r="F3426" t="inlineStr">
        <is>
          <t>(en blanco)</t>
        </is>
      </c>
      <c r="G3426" t="inlineStr">
        <is>
          <t>6X</t>
        </is>
      </c>
      <c r="H3426" t="n">
        <v>10</v>
      </c>
      <c r="I3426" t="inlineStr">
        <is>
          <t>NAUTICA_MENS_V632744_BBY_1.jpg</t>
        </is>
      </c>
      <c r="J3426" t="inlineStr">
        <is>
          <t>NAUTICA_MENS_V632744_BBY_2.jpg</t>
        </is>
      </c>
      <c r="K3426" t="inlineStr">
        <is>
          <t>NAUTICA_MENS_V632744_BBY_3.jpg</t>
        </is>
      </c>
      <c r="L3426">
        <f>IMAGE("file:///E:/Estudios%20y%20certificaciones/ESTUDIOS%20DE%20PROGRAMMING/PROGRAMMING/PERSONAL/PYTHON/Image_Generator_API/imagenes/NAUTICA_MENS_V632744_BBY_1.jpg")</f>
        <v/>
      </c>
      <c r="M3426">
        <f>IMAGE("file:///E:/Estudios%20y%20certificaciones/ESTUDIOS%20DE%20PROGRAMMING/PROGRAMMING/PERSONAL/PYTHON/Image_Generator_API/imagenes/NAUTICA_MENS_V632744_BBY_2.jpg")</f>
        <v/>
      </c>
      <c r="N3426">
        <f>IMAGE("file:///E:/Estudios%20y%20certificaciones/ESTUDIOS%20DE%20PROGRAMMING/PROGRAMMING/PERSONAL/PYTHON/Image_Generator_API/imagenes/NAUTICA_MENS_V632744_BBY_3.jpg")</f>
        <v/>
      </c>
      <c r="O3426">
        <f>HYPERLINK("imagenes/NAUTICA_MENS_V632744_BBY_1.jpg","Ver imagen")</f>
        <v/>
      </c>
      <c r="P3426">
        <f>HYPERLINK("imagenes/NAUTICA_MENS_V632744_BBY_2.jpg","Ver imagen")</f>
        <v/>
      </c>
      <c r="Q3426">
        <f>HYPERLINK("imagenes/NAUTICA_MENS_V632744_BBY_3.jpg","Ver imagen")</f>
        <v/>
      </c>
    </row>
    <row r="3427">
      <c r="A3427" t="inlineStr">
        <is>
          <t>NAUTICA MENS</t>
        </is>
      </c>
      <c r="B3427" t="inlineStr">
        <is>
          <t>V632744</t>
        </is>
      </c>
      <c r="C3427" t="inlineStr">
        <is>
          <t>POLY STRETCH REVRSBL</t>
        </is>
      </c>
      <c r="D3427" t="inlineStr">
        <is>
          <t>BBY</t>
        </is>
      </c>
      <c r="E3427" t="inlineStr">
        <is>
          <t>(en blanco)</t>
        </is>
      </c>
      <c r="F3427" t="inlineStr">
        <is>
          <t>(en blanco)</t>
        </is>
      </c>
      <c r="G3427" t="inlineStr">
        <is>
          <t>8X</t>
        </is>
      </c>
      <c r="H3427" t="n">
        <v>5</v>
      </c>
      <c r="I3427" t="inlineStr">
        <is>
          <t>NAUTICA_MENS_V632744_BBY_1.jpg</t>
        </is>
      </c>
      <c r="J3427" t="inlineStr">
        <is>
          <t>NAUTICA_MENS_V632744_BBY_2.jpg</t>
        </is>
      </c>
      <c r="K3427" t="inlineStr">
        <is>
          <t>NAUTICA_MENS_V632744_BBY_3.jpg</t>
        </is>
      </c>
      <c r="L3427">
        <f>IMAGE("file:///E:/Estudios%20y%20certificaciones/ESTUDIOS%20DE%20PROGRAMMING/PROGRAMMING/PERSONAL/PYTHON/Image_Generator_API/imagenes/NAUTICA_MENS_V632744_BBY_1.jpg")</f>
        <v/>
      </c>
      <c r="M3427">
        <f>IMAGE("file:///E:/Estudios%20y%20certificaciones/ESTUDIOS%20DE%20PROGRAMMING/PROGRAMMING/PERSONAL/PYTHON/Image_Generator_API/imagenes/NAUTICA_MENS_V632744_BBY_2.jpg")</f>
        <v/>
      </c>
      <c r="N3427">
        <f>IMAGE("file:///E:/Estudios%20y%20certificaciones/ESTUDIOS%20DE%20PROGRAMMING/PROGRAMMING/PERSONAL/PYTHON/Image_Generator_API/imagenes/NAUTICA_MENS_V632744_BBY_3.jpg")</f>
        <v/>
      </c>
      <c r="O3427">
        <f>HYPERLINK("imagenes/NAUTICA_MENS_V632744_BBY_1.jpg","Ver imagen")</f>
        <v/>
      </c>
      <c r="P3427">
        <f>HYPERLINK("imagenes/NAUTICA_MENS_V632744_BBY_2.jpg","Ver imagen")</f>
        <v/>
      </c>
      <c r="Q3427">
        <f>HYPERLINK("imagenes/NAUTICA_MENS_V632744_BBY_3.jpg","Ver imagen")</f>
        <v/>
      </c>
    </row>
    <row r="3428">
      <c r="A3428" t="inlineStr">
        <is>
          <t>NAUTICA MENS</t>
        </is>
      </c>
      <c r="B3428" t="inlineStr">
        <is>
          <t>V632744</t>
        </is>
      </c>
      <c r="C3428" t="inlineStr">
        <is>
          <t>POLY STRETCH REVRSBL</t>
        </is>
      </c>
      <c r="D3428" t="inlineStr">
        <is>
          <t>NRD</t>
        </is>
      </c>
      <c r="E3428" t="inlineStr">
        <is>
          <t>(en blanco)</t>
        </is>
      </c>
      <c r="F3428" t="inlineStr">
        <is>
          <t>D2C</t>
        </is>
      </c>
      <c r="G3428" t="inlineStr">
        <is>
          <t>2X</t>
        </is>
      </c>
      <c r="H3428" t="n">
        <v>11</v>
      </c>
      <c r="I3428" t="inlineStr">
        <is>
          <t>NAUTICA_MENS_V632744_NRD_1.jpg</t>
        </is>
      </c>
      <c r="J3428" t="inlineStr">
        <is>
          <t>NAUTICA_MENS_V632744_NRD_2.jpg</t>
        </is>
      </c>
      <c r="K3428" t="inlineStr">
        <is>
          <t>NAUTICA_MENS_V632744_NRD_3.jpg</t>
        </is>
      </c>
      <c r="L3428">
        <f>IMAGE("file:///E:/Estudios%20y%20certificaciones/ESTUDIOS%20DE%20PROGRAMMING/PROGRAMMING/PERSONAL/PYTHON/Image_Generator_API/imagenes/NAUTICA_MENS_V632744_NRD_1.jpg")</f>
        <v/>
      </c>
      <c r="M3428">
        <f>IMAGE("file:///E:/Estudios%20y%20certificaciones/ESTUDIOS%20DE%20PROGRAMMING/PROGRAMMING/PERSONAL/PYTHON/Image_Generator_API/imagenes/NAUTICA_MENS_V632744_NRD_2.jpg")</f>
        <v/>
      </c>
      <c r="N3428">
        <f>IMAGE("file:///E:/Estudios%20y%20certificaciones/ESTUDIOS%20DE%20PROGRAMMING/PROGRAMMING/PERSONAL/PYTHON/Image_Generator_API/imagenes/NAUTICA_MENS_V632744_NRD_3.jpg")</f>
        <v/>
      </c>
      <c r="O3428">
        <f>HYPERLINK("imagenes/NAUTICA_MENS_V632744_NRD_1.jpg","Ver imagen")</f>
        <v/>
      </c>
      <c r="P3428">
        <f>HYPERLINK("imagenes/NAUTICA_MENS_V632744_NRD_2.jpg","Ver imagen")</f>
        <v/>
      </c>
      <c r="Q3428">
        <f>HYPERLINK("imagenes/NAUTICA_MENS_V632744_NRD_3.jpg","Ver imagen")</f>
        <v/>
      </c>
    </row>
    <row r="3429">
      <c r="A3429" t="inlineStr">
        <is>
          <t>NAUTICA MENS</t>
        </is>
      </c>
      <c r="B3429" t="inlineStr">
        <is>
          <t>V632744</t>
        </is>
      </c>
      <c r="C3429" t="inlineStr">
        <is>
          <t>POLY STRETCH REVRSBL</t>
        </is>
      </c>
      <c r="D3429" t="inlineStr">
        <is>
          <t>NRD</t>
        </is>
      </c>
      <c r="E3429" t="inlineStr">
        <is>
          <t>(en blanco)</t>
        </is>
      </c>
      <c r="F3429" t="inlineStr">
        <is>
          <t>D2C</t>
        </is>
      </c>
      <c r="G3429" t="inlineStr">
        <is>
          <t>3X</t>
        </is>
      </c>
      <c r="H3429" t="n">
        <v>43</v>
      </c>
      <c r="I3429" t="inlineStr">
        <is>
          <t>NAUTICA_MENS_V632744_NRD_1.jpg</t>
        </is>
      </c>
      <c r="J3429" t="inlineStr">
        <is>
          <t>NAUTICA_MENS_V632744_NRD_2.jpg</t>
        </is>
      </c>
      <c r="K3429" t="inlineStr">
        <is>
          <t>NAUTICA_MENS_V632744_NRD_3.jpg</t>
        </is>
      </c>
      <c r="L3429">
        <f>IMAGE("file:///E:/Estudios%20y%20certificaciones/ESTUDIOS%20DE%20PROGRAMMING/PROGRAMMING/PERSONAL/PYTHON/Image_Generator_API/imagenes/NAUTICA_MENS_V632744_NRD_1.jpg")</f>
        <v/>
      </c>
      <c r="M3429">
        <f>IMAGE("file:///E:/Estudios%20y%20certificaciones/ESTUDIOS%20DE%20PROGRAMMING/PROGRAMMING/PERSONAL/PYTHON/Image_Generator_API/imagenes/NAUTICA_MENS_V632744_NRD_2.jpg")</f>
        <v/>
      </c>
      <c r="N3429">
        <f>IMAGE("file:///E:/Estudios%20y%20certificaciones/ESTUDIOS%20DE%20PROGRAMMING/PROGRAMMING/PERSONAL/PYTHON/Image_Generator_API/imagenes/NAUTICA_MENS_V632744_NRD_3.jpg")</f>
        <v/>
      </c>
      <c r="O3429">
        <f>HYPERLINK("imagenes/NAUTICA_MENS_V632744_NRD_1.jpg","Ver imagen")</f>
        <v/>
      </c>
      <c r="P3429">
        <f>HYPERLINK("imagenes/NAUTICA_MENS_V632744_NRD_2.jpg","Ver imagen")</f>
        <v/>
      </c>
      <c r="Q3429">
        <f>HYPERLINK("imagenes/NAUTICA_MENS_V632744_NRD_3.jpg","Ver imagen")</f>
        <v/>
      </c>
    </row>
    <row r="3430">
      <c r="A3430" t="inlineStr">
        <is>
          <t>NAUTICA MENS</t>
        </is>
      </c>
      <c r="B3430" t="inlineStr">
        <is>
          <t>V632744</t>
        </is>
      </c>
      <c r="C3430" t="inlineStr">
        <is>
          <t>POLY STRETCH REVRSBL</t>
        </is>
      </c>
      <c r="D3430" t="inlineStr">
        <is>
          <t>NRD</t>
        </is>
      </c>
      <c r="E3430" t="inlineStr">
        <is>
          <t>(en blanco)</t>
        </is>
      </c>
      <c r="F3430" t="inlineStr">
        <is>
          <t>D2C</t>
        </is>
      </c>
      <c r="G3430" t="inlineStr">
        <is>
          <t>4X</t>
        </is>
      </c>
      <c r="H3430" t="n">
        <v>11</v>
      </c>
      <c r="I3430" t="inlineStr">
        <is>
          <t>NAUTICA_MENS_V632744_NRD_1.jpg</t>
        </is>
      </c>
      <c r="J3430" t="inlineStr">
        <is>
          <t>NAUTICA_MENS_V632744_NRD_2.jpg</t>
        </is>
      </c>
      <c r="K3430" t="inlineStr">
        <is>
          <t>NAUTICA_MENS_V632744_NRD_3.jpg</t>
        </is>
      </c>
      <c r="L3430">
        <f>IMAGE("file:///E:/Estudios%20y%20certificaciones/ESTUDIOS%20DE%20PROGRAMMING/PROGRAMMING/PERSONAL/PYTHON/Image_Generator_API/imagenes/NAUTICA_MENS_V632744_NRD_1.jpg")</f>
        <v/>
      </c>
      <c r="M3430">
        <f>IMAGE("file:///E:/Estudios%20y%20certificaciones/ESTUDIOS%20DE%20PROGRAMMING/PROGRAMMING/PERSONAL/PYTHON/Image_Generator_API/imagenes/NAUTICA_MENS_V632744_NRD_2.jpg")</f>
        <v/>
      </c>
      <c r="N3430">
        <f>IMAGE("file:///E:/Estudios%20y%20certificaciones/ESTUDIOS%20DE%20PROGRAMMING/PROGRAMMING/PERSONAL/PYTHON/Image_Generator_API/imagenes/NAUTICA_MENS_V632744_NRD_3.jpg")</f>
        <v/>
      </c>
      <c r="O3430">
        <f>HYPERLINK("imagenes/NAUTICA_MENS_V632744_NRD_1.jpg","Ver imagen")</f>
        <v/>
      </c>
      <c r="P3430">
        <f>HYPERLINK("imagenes/NAUTICA_MENS_V632744_NRD_2.jpg","Ver imagen")</f>
        <v/>
      </c>
      <c r="Q3430">
        <f>HYPERLINK("imagenes/NAUTICA_MENS_V632744_NRD_3.jpg","Ver imagen")</f>
        <v/>
      </c>
    </row>
    <row r="3431">
      <c r="A3431" t="inlineStr">
        <is>
          <t>NAUTICA MENS</t>
        </is>
      </c>
      <c r="B3431" t="inlineStr">
        <is>
          <t>V632744</t>
        </is>
      </c>
      <c r="C3431" t="inlineStr">
        <is>
          <t>POLY STRETCH REVRSBL</t>
        </is>
      </c>
      <c r="D3431" t="inlineStr">
        <is>
          <t>NRD</t>
        </is>
      </c>
      <c r="E3431" t="inlineStr">
        <is>
          <t>(en blanco)</t>
        </is>
      </c>
      <c r="F3431" t="inlineStr">
        <is>
          <t>D2C</t>
        </is>
      </c>
      <c r="G3431" t="inlineStr">
        <is>
          <t>5X</t>
        </is>
      </c>
      <c r="H3431" t="n">
        <v>21</v>
      </c>
      <c r="I3431" t="inlineStr">
        <is>
          <t>NAUTICA_MENS_V632744_NRD_1.jpg</t>
        </is>
      </c>
      <c r="J3431" t="inlineStr">
        <is>
          <t>NAUTICA_MENS_V632744_NRD_2.jpg</t>
        </is>
      </c>
      <c r="K3431" t="inlineStr">
        <is>
          <t>NAUTICA_MENS_V632744_NRD_3.jpg</t>
        </is>
      </c>
      <c r="L3431">
        <f>IMAGE("file:///E:/Estudios%20y%20certificaciones/ESTUDIOS%20DE%20PROGRAMMING/PROGRAMMING/PERSONAL/PYTHON/Image_Generator_API/imagenes/NAUTICA_MENS_V632744_NRD_1.jpg")</f>
        <v/>
      </c>
      <c r="M3431">
        <f>IMAGE("file:///E:/Estudios%20y%20certificaciones/ESTUDIOS%20DE%20PROGRAMMING/PROGRAMMING/PERSONAL/PYTHON/Image_Generator_API/imagenes/NAUTICA_MENS_V632744_NRD_2.jpg")</f>
        <v/>
      </c>
      <c r="N3431">
        <f>IMAGE("file:///E:/Estudios%20y%20certificaciones/ESTUDIOS%20DE%20PROGRAMMING/PROGRAMMING/PERSONAL/PYTHON/Image_Generator_API/imagenes/NAUTICA_MENS_V632744_NRD_3.jpg")</f>
        <v/>
      </c>
      <c r="O3431">
        <f>HYPERLINK("imagenes/NAUTICA_MENS_V632744_NRD_1.jpg","Ver imagen")</f>
        <v/>
      </c>
      <c r="P3431">
        <f>HYPERLINK("imagenes/NAUTICA_MENS_V632744_NRD_2.jpg","Ver imagen")</f>
        <v/>
      </c>
      <c r="Q3431">
        <f>HYPERLINK("imagenes/NAUTICA_MENS_V632744_NRD_3.jpg","Ver imagen")</f>
        <v/>
      </c>
    </row>
    <row r="3432">
      <c r="A3432" t="inlineStr">
        <is>
          <t>NAUTICA MENS</t>
        </is>
      </c>
      <c r="B3432" t="inlineStr">
        <is>
          <t>V632744</t>
        </is>
      </c>
      <c r="C3432" t="inlineStr">
        <is>
          <t>POLY STRETCH REVRSBL</t>
        </is>
      </c>
      <c r="D3432" t="inlineStr">
        <is>
          <t>NRD</t>
        </is>
      </c>
      <c r="E3432" t="inlineStr">
        <is>
          <t>(en blanco)</t>
        </is>
      </c>
      <c r="F3432" t="inlineStr">
        <is>
          <t>D2C</t>
        </is>
      </c>
      <c r="G3432" t="inlineStr">
        <is>
          <t>6X</t>
        </is>
      </c>
      <c r="H3432" t="n">
        <v>11</v>
      </c>
      <c r="I3432" t="inlineStr">
        <is>
          <t>NAUTICA_MENS_V632744_NRD_1.jpg</t>
        </is>
      </c>
      <c r="J3432" t="inlineStr">
        <is>
          <t>NAUTICA_MENS_V632744_NRD_2.jpg</t>
        </is>
      </c>
      <c r="K3432" t="inlineStr">
        <is>
          <t>NAUTICA_MENS_V632744_NRD_3.jpg</t>
        </is>
      </c>
      <c r="L3432">
        <f>IMAGE("file:///E:/Estudios%20y%20certificaciones/ESTUDIOS%20DE%20PROGRAMMING/PROGRAMMING/PERSONAL/PYTHON/Image_Generator_API/imagenes/NAUTICA_MENS_V632744_NRD_1.jpg")</f>
        <v/>
      </c>
      <c r="M3432">
        <f>IMAGE("file:///E:/Estudios%20y%20certificaciones/ESTUDIOS%20DE%20PROGRAMMING/PROGRAMMING/PERSONAL/PYTHON/Image_Generator_API/imagenes/NAUTICA_MENS_V632744_NRD_2.jpg")</f>
        <v/>
      </c>
      <c r="N3432">
        <f>IMAGE("file:///E:/Estudios%20y%20certificaciones/ESTUDIOS%20DE%20PROGRAMMING/PROGRAMMING/PERSONAL/PYTHON/Image_Generator_API/imagenes/NAUTICA_MENS_V632744_NRD_3.jpg")</f>
        <v/>
      </c>
      <c r="O3432">
        <f>HYPERLINK("imagenes/NAUTICA_MENS_V632744_NRD_1.jpg","Ver imagen")</f>
        <v/>
      </c>
      <c r="P3432">
        <f>HYPERLINK("imagenes/NAUTICA_MENS_V632744_NRD_2.jpg","Ver imagen")</f>
        <v/>
      </c>
      <c r="Q3432">
        <f>HYPERLINK("imagenes/NAUTICA_MENS_V632744_NRD_3.jpg","Ver imagen")</f>
        <v/>
      </c>
    </row>
    <row r="3433">
      <c r="A3433" t="inlineStr">
        <is>
          <t>NAUTICA MENS</t>
        </is>
      </c>
      <c r="B3433" t="inlineStr">
        <is>
          <t>V632744</t>
        </is>
      </c>
      <c r="C3433" t="inlineStr">
        <is>
          <t>POLY STRETCH REVRSBL</t>
        </is>
      </c>
      <c r="D3433" t="inlineStr">
        <is>
          <t>NRD</t>
        </is>
      </c>
      <c r="E3433" t="inlineStr">
        <is>
          <t>(en blanco)</t>
        </is>
      </c>
      <c r="F3433" t="inlineStr">
        <is>
          <t>(en blanco)</t>
        </is>
      </c>
      <c r="G3433" t="inlineStr">
        <is>
          <t>4X</t>
        </is>
      </c>
      <c r="H3433" t="n">
        <v>3</v>
      </c>
      <c r="I3433" t="inlineStr">
        <is>
          <t>NAUTICA_MENS_V632744_NRD_1.jpg</t>
        </is>
      </c>
      <c r="J3433" t="inlineStr">
        <is>
          <t>NAUTICA_MENS_V632744_NRD_2.jpg</t>
        </is>
      </c>
      <c r="K3433" t="inlineStr">
        <is>
          <t>NAUTICA_MENS_V632744_NRD_3.jpg</t>
        </is>
      </c>
      <c r="L3433">
        <f>IMAGE("file:///E:/Estudios%20y%20certificaciones/ESTUDIOS%20DE%20PROGRAMMING/PROGRAMMING/PERSONAL/PYTHON/Image_Generator_API/imagenes/NAUTICA_MENS_V632744_NRD_1.jpg")</f>
        <v/>
      </c>
      <c r="M3433">
        <f>IMAGE("file:///E:/Estudios%20y%20certificaciones/ESTUDIOS%20DE%20PROGRAMMING/PROGRAMMING/PERSONAL/PYTHON/Image_Generator_API/imagenes/NAUTICA_MENS_V632744_NRD_2.jpg")</f>
        <v/>
      </c>
      <c r="N3433">
        <f>IMAGE("file:///E:/Estudios%20y%20certificaciones/ESTUDIOS%20DE%20PROGRAMMING/PROGRAMMING/PERSONAL/PYTHON/Image_Generator_API/imagenes/NAUTICA_MENS_V632744_NRD_3.jpg")</f>
        <v/>
      </c>
      <c r="O3433">
        <f>HYPERLINK("imagenes/NAUTICA_MENS_V632744_NRD_1.jpg","Ver imagen")</f>
        <v/>
      </c>
      <c r="P3433">
        <f>HYPERLINK("imagenes/NAUTICA_MENS_V632744_NRD_2.jpg","Ver imagen")</f>
        <v/>
      </c>
      <c r="Q3433">
        <f>HYPERLINK("imagenes/NAUTICA_MENS_V632744_NRD_3.jpg","Ver imagen")</f>
        <v/>
      </c>
    </row>
    <row r="3434">
      <c r="A3434" t="inlineStr">
        <is>
          <t>NAUTICA MENS</t>
        </is>
      </c>
      <c r="B3434" t="inlineStr">
        <is>
          <t>V632744</t>
        </is>
      </c>
      <c r="C3434" t="inlineStr">
        <is>
          <t>POLY STRETCH REVRSBL</t>
        </is>
      </c>
      <c r="D3434" t="inlineStr">
        <is>
          <t>NRD</t>
        </is>
      </c>
      <c r="E3434" t="inlineStr">
        <is>
          <t>(en blanco)</t>
        </is>
      </c>
      <c r="F3434" t="inlineStr">
        <is>
          <t>(en blanco)</t>
        </is>
      </c>
      <c r="G3434" t="inlineStr">
        <is>
          <t>6X</t>
        </is>
      </c>
      <c r="H3434" t="n">
        <v>10</v>
      </c>
      <c r="I3434" t="inlineStr">
        <is>
          <t>NAUTICA_MENS_V632744_NRD_1.jpg</t>
        </is>
      </c>
      <c r="J3434" t="inlineStr">
        <is>
          <t>NAUTICA_MENS_V632744_NRD_2.jpg</t>
        </is>
      </c>
      <c r="K3434" t="inlineStr">
        <is>
          <t>NAUTICA_MENS_V632744_NRD_3.jpg</t>
        </is>
      </c>
      <c r="L3434">
        <f>IMAGE("file:///E:/Estudios%20y%20certificaciones/ESTUDIOS%20DE%20PROGRAMMING/PROGRAMMING/PERSONAL/PYTHON/Image_Generator_API/imagenes/NAUTICA_MENS_V632744_NRD_1.jpg")</f>
        <v/>
      </c>
      <c r="M3434">
        <f>IMAGE("file:///E:/Estudios%20y%20certificaciones/ESTUDIOS%20DE%20PROGRAMMING/PROGRAMMING/PERSONAL/PYTHON/Image_Generator_API/imagenes/NAUTICA_MENS_V632744_NRD_2.jpg")</f>
        <v/>
      </c>
      <c r="N3434">
        <f>IMAGE("file:///E:/Estudios%20y%20certificaciones/ESTUDIOS%20DE%20PROGRAMMING/PROGRAMMING/PERSONAL/PYTHON/Image_Generator_API/imagenes/NAUTICA_MENS_V632744_NRD_3.jpg")</f>
        <v/>
      </c>
      <c r="O3434">
        <f>HYPERLINK("imagenes/NAUTICA_MENS_V632744_NRD_1.jpg","Ver imagen")</f>
        <v/>
      </c>
      <c r="P3434">
        <f>HYPERLINK("imagenes/NAUTICA_MENS_V632744_NRD_2.jpg","Ver imagen")</f>
        <v/>
      </c>
      <c r="Q3434">
        <f>HYPERLINK("imagenes/NAUTICA_MENS_V632744_NRD_3.jpg","Ver imagen")</f>
        <v/>
      </c>
    </row>
    <row r="3435">
      <c r="A3435" t="inlineStr">
        <is>
          <t>NAUTICA MENS</t>
        </is>
      </c>
      <c r="B3435" t="inlineStr">
        <is>
          <t>V632744</t>
        </is>
      </c>
      <c r="C3435" t="inlineStr">
        <is>
          <t>POLY STRETCH REVRSBL</t>
        </is>
      </c>
      <c r="D3435" t="inlineStr">
        <is>
          <t>NVY</t>
        </is>
      </c>
      <c r="E3435" t="inlineStr">
        <is>
          <t>(en blanco)</t>
        </is>
      </c>
      <c r="F3435" t="inlineStr">
        <is>
          <t>(en blanco)</t>
        </is>
      </c>
      <c r="G3435" t="inlineStr">
        <is>
          <t>3X</t>
        </is>
      </c>
      <c r="H3435" t="n">
        <v>2</v>
      </c>
      <c r="I3435" t="inlineStr">
        <is>
          <t>NAUTICA_MENS_V632744_NVY_1.jpg</t>
        </is>
      </c>
      <c r="J3435" t="inlineStr">
        <is>
          <t>NAUTICA_MENS_V632744_NVY_2.jpg</t>
        </is>
      </c>
      <c r="K3435" t="inlineStr">
        <is>
          <t>NAUTICA_MENS_V632744_NVY_3.jpg</t>
        </is>
      </c>
      <c r="L3435">
        <f>IMAGE("file:///E:/Estudios%20y%20certificaciones/ESTUDIOS%20DE%20PROGRAMMING/PROGRAMMING/PERSONAL/PYTHON/Image_Generator_API/imagenes/NAUTICA_MENS_V632744_NVY_1.jpg")</f>
        <v/>
      </c>
      <c r="M3435">
        <f>IMAGE("file:///E:/Estudios%20y%20certificaciones/ESTUDIOS%20DE%20PROGRAMMING/PROGRAMMING/PERSONAL/PYTHON/Image_Generator_API/imagenes/NAUTICA_MENS_V632744_NVY_2.jpg")</f>
        <v/>
      </c>
      <c r="N3435">
        <f>IMAGE("file:///E:/Estudios%20y%20certificaciones/ESTUDIOS%20DE%20PROGRAMMING/PROGRAMMING/PERSONAL/PYTHON/Image_Generator_API/imagenes/NAUTICA_MENS_V632744_NVY_3.jpg")</f>
        <v/>
      </c>
      <c r="O3435">
        <f>HYPERLINK("imagenes/NAUTICA_MENS_V632744_NVY_1.jpg","Ver imagen")</f>
        <v/>
      </c>
      <c r="P3435">
        <f>HYPERLINK("imagenes/NAUTICA_MENS_V632744_NVY_2.jpg","Ver imagen")</f>
        <v/>
      </c>
      <c r="Q3435">
        <f>HYPERLINK("imagenes/NAUTICA_MENS_V632744_NVY_3.jpg","Ver imagen")</f>
        <v/>
      </c>
    </row>
    <row r="3436">
      <c r="A3436" t="inlineStr">
        <is>
          <t>NAUTICA MENS</t>
        </is>
      </c>
      <c r="B3436" t="inlineStr">
        <is>
          <t>V632744</t>
        </is>
      </c>
      <c r="C3436" t="inlineStr">
        <is>
          <t>POLY STRETCH REVRSBL</t>
        </is>
      </c>
      <c r="D3436" t="inlineStr">
        <is>
          <t>SCM</t>
        </is>
      </c>
      <c r="E3436" t="inlineStr">
        <is>
          <t>(en blanco)</t>
        </is>
      </c>
      <c r="F3436" t="inlineStr">
        <is>
          <t>(en blanco)</t>
        </is>
      </c>
      <c r="G3436" t="inlineStr">
        <is>
          <t>3X</t>
        </is>
      </c>
      <c r="H3436" t="n">
        <v>88</v>
      </c>
      <c r="I3436" t="inlineStr">
        <is>
          <t>NAUTICA_MENS_V632744_SCM_1.jpg</t>
        </is>
      </c>
      <c r="J3436" t="inlineStr">
        <is>
          <t>NAUTICA_MENS_V632744_SCM_2.jpg</t>
        </is>
      </c>
      <c r="K3436" t="inlineStr">
        <is>
          <t>NAUTICA_MENS_V632744_SCM_3.jpg</t>
        </is>
      </c>
      <c r="L3436">
        <f>IMAGE("file:///E:/Estudios%20y%20certificaciones/ESTUDIOS%20DE%20PROGRAMMING/PROGRAMMING/PERSONAL/PYTHON/Image_Generator_API/imagenes/NAUTICA_MENS_V632744_SCM_1.jpg")</f>
        <v/>
      </c>
      <c r="M3436">
        <f>IMAGE("file:///E:/Estudios%20y%20certificaciones/ESTUDIOS%20DE%20PROGRAMMING/PROGRAMMING/PERSONAL/PYTHON/Image_Generator_API/imagenes/NAUTICA_MENS_V632744_SCM_2.jpg")</f>
        <v/>
      </c>
      <c r="N3436">
        <f>IMAGE("file:///E:/Estudios%20y%20certificaciones/ESTUDIOS%20DE%20PROGRAMMING/PROGRAMMING/PERSONAL/PYTHON/Image_Generator_API/imagenes/NAUTICA_MENS_V632744_SCM_3.jpg")</f>
        <v/>
      </c>
      <c r="O3436">
        <f>HYPERLINK("imagenes/NAUTICA_MENS_V632744_SCM_1.jpg","Ver imagen")</f>
        <v/>
      </c>
      <c r="P3436">
        <f>HYPERLINK("imagenes/NAUTICA_MENS_V632744_SCM_2.jpg","Ver imagen")</f>
        <v/>
      </c>
      <c r="Q3436">
        <f>HYPERLINK("imagenes/NAUTICA_MENS_V632744_SCM_3.jpg","Ver imagen")</f>
        <v/>
      </c>
    </row>
    <row r="3437">
      <c r="A3437" t="inlineStr">
        <is>
          <t>NAUTICA MENS</t>
        </is>
      </c>
      <c r="B3437" t="inlineStr">
        <is>
          <t>V632744</t>
        </is>
      </c>
      <c r="C3437" t="inlineStr">
        <is>
          <t>POLY STRETCH REVRSBL</t>
        </is>
      </c>
      <c r="D3437" t="inlineStr">
        <is>
          <t>SCM</t>
        </is>
      </c>
      <c r="E3437" t="inlineStr">
        <is>
          <t>(en blanco)</t>
        </is>
      </c>
      <c r="F3437" t="inlineStr">
        <is>
          <t>(en blanco)</t>
        </is>
      </c>
      <c r="G3437" t="inlineStr">
        <is>
          <t>4X</t>
        </is>
      </c>
      <c r="H3437" t="n">
        <v>62</v>
      </c>
      <c r="I3437" t="inlineStr">
        <is>
          <t>NAUTICA_MENS_V632744_SCM_1.jpg</t>
        </is>
      </c>
      <c r="J3437" t="inlineStr">
        <is>
          <t>NAUTICA_MENS_V632744_SCM_2.jpg</t>
        </is>
      </c>
      <c r="K3437" t="inlineStr">
        <is>
          <t>NAUTICA_MENS_V632744_SCM_3.jpg</t>
        </is>
      </c>
      <c r="L3437">
        <f>IMAGE("file:///E:/Estudios%20y%20certificaciones/ESTUDIOS%20DE%20PROGRAMMING/PROGRAMMING/PERSONAL/PYTHON/Image_Generator_API/imagenes/NAUTICA_MENS_V632744_SCM_1.jpg")</f>
        <v/>
      </c>
      <c r="M3437">
        <f>IMAGE("file:///E:/Estudios%20y%20certificaciones/ESTUDIOS%20DE%20PROGRAMMING/PROGRAMMING/PERSONAL/PYTHON/Image_Generator_API/imagenes/NAUTICA_MENS_V632744_SCM_2.jpg")</f>
        <v/>
      </c>
      <c r="N3437">
        <f>IMAGE("file:///E:/Estudios%20y%20certificaciones/ESTUDIOS%20DE%20PROGRAMMING/PROGRAMMING/PERSONAL/PYTHON/Image_Generator_API/imagenes/NAUTICA_MENS_V632744_SCM_3.jpg")</f>
        <v/>
      </c>
      <c r="O3437">
        <f>HYPERLINK("imagenes/NAUTICA_MENS_V632744_SCM_1.jpg","Ver imagen")</f>
        <v/>
      </c>
      <c r="P3437">
        <f>HYPERLINK("imagenes/NAUTICA_MENS_V632744_SCM_2.jpg","Ver imagen")</f>
        <v/>
      </c>
      <c r="Q3437">
        <f>HYPERLINK("imagenes/NAUTICA_MENS_V632744_SCM_3.jpg","Ver imagen")</f>
        <v/>
      </c>
    </row>
    <row r="3438">
      <c r="A3438" t="inlineStr">
        <is>
          <t>NAUTICA MENS</t>
        </is>
      </c>
      <c r="B3438" t="inlineStr">
        <is>
          <t>V632744</t>
        </is>
      </c>
      <c r="C3438" t="inlineStr">
        <is>
          <t>POLY STRETCH REVRSBL</t>
        </is>
      </c>
      <c r="D3438" t="inlineStr">
        <is>
          <t>SCM</t>
        </is>
      </c>
      <c r="E3438" t="inlineStr">
        <is>
          <t>(en blanco)</t>
        </is>
      </c>
      <c r="F3438" t="inlineStr">
        <is>
          <t>(en blanco)</t>
        </is>
      </c>
      <c r="G3438" t="inlineStr">
        <is>
          <t>5X</t>
        </is>
      </c>
      <c r="H3438" t="n">
        <v>30</v>
      </c>
      <c r="I3438" t="inlineStr">
        <is>
          <t>NAUTICA_MENS_V632744_SCM_1.jpg</t>
        </is>
      </c>
      <c r="J3438" t="inlineStr">
        <is>
          <t>NAUTICA_MENS_V632744_SCM_2.jpg</t>
        </is>
      </c>
      <c r="K3438" t="inlineStr">
        <is>
          <t>NAUTICA_MENS_V632744_SCM_3.jpg</t>
        </is>
      </c>
      <c r="L3438">
        <f>IMAGE("file:///E:/Estudios%20y%20certificaciones/ESTUDIOS%20DE%20PROGRAMMING/PROGRAMMING/PERSONAL/PYTHON/Image_Generator_API/imagenes/NAUTICA_MENS_V632744_SCM_1.jpg")</f>
        <v/>
      </c>
      <c r="M3438">
        <f>IMAGE("file:///E:/Estudios%20y%20certificaciones/ESTUDIOS%20DE%20PROGRAMMING/PROGRAMMING/PERSONAL/PYTHON/Image_Generator_API/imagenes/NAUTICA_MENS_V632744_SCM_2.jpg")</f>
        <v/>
      </c>
      <c r="N3438">
        <f>IMAGE("file:///E:/Estudios%20y%20certificaciones/ESTUDIOS%20DE%20PROGRAMMING/PROGRAMMING/PERSONAL/PYTHON/Image_Generator_API/imagenes/NAUTICA_MENS_V632744_SCM_3.jpg")</f>
        <v/>
      </c>
      <c r="O3438">
        <f>HYPERLINK("imagenes/NAUTICA_MENS_V632744_SCM_1.jpg","Ver imagen")</f>
        <v/>
      </c>
      <c r="P3438">
        <f>HYPERLINK("imagenes/NAUTICA_MENS_V632744_SCM_2.jpg","Ver imagen")</f>
        <v/>
      </c>
      <c r="Q3438">
        <f>HYPERLINK("imagenes/NAUTICA_MENS_V632744_SCM_3.jpg","Ver imagen")</f>
        <v/>
      </c>
    </row>
    <row r="3439">
      <c r="A3439" t="inlineStr">
        <is>
          <t>NAUTICA MENS</t>
        </is>
      </c>
      <c r="B3439" t="inlineStr">
        <is>
          <t>V635548</t>
        </is>
      </c>
      <c r="C3439" t="inlineStr">
        <is>
          <t>WOOL PEACOAT</t>
        </is>
      </c>
      <c r="D3439" t="inlineStr">
        <is>
          <t>BLK</t>
        </is>
      </c>
      <c r="E3439" t="inlineStr">
        <is>
          <t>(en blanco)</t>
        </is>
      </c>
      <c r="F3439" t="inlineStr">
        <is>
          <t>(en blanco)</t>
        </is>
      </c>
      <c r="G3439" t="inlineStr">
        <is>
          <t>2X</t>
        </is>
      </c>
      <c r="H3439" t="n">
        <v>16</v>
      </c>
      <c r="I3439" t="inlineStr">
        <is>
          <t>NAUTICA_MENS_V635548_BLK_1.jpg</t>
        </is>
      </c>
      <c r="J3439" t="inlineStr">
        <is>
          <t>NAUTICA_MENS_V635548_BLK_2.jpg</t>
        </is>
      </c>
      <c r="K3439" t="inlineStr">
        <is>
          <t>NAUTICA_MENS_V635548_BLK_3.jpg</t>
        </is>
      </c>
      <c r="L3439">
        <f>IMAGE("file:///E:/Estudios%20y%20certificaciones/ESTUDIOS%20DE%20PROGRAMMING/PROGRAMMING/PERSONAL/PYTHON/Image_Generator_API/imagenes/NAUTICA_MENS_V635548_BLK_1.jpg")</f>
        <v/>
      </c>
      <c r="M3439">
        <f>IMAGE("file:///E:/Estudios%20y%20certificaciones/ESTUDIOS%20DE%20PROGRAMMING/PROGRAMMING/PERSONAL/PYTHON/Image_Generator_API/imagenes/NAUTICA_MENS_V635548_BLK_2.jpg")</f>
        <v/>
      </c>
      <c r="N3439">
        <f>IMAGE("file:///E:/Estudios%20y%20certificaciones/ESTUDIOS%20DE%20PROGRAMMING/PROGRAMMING/PERSONAL/PYTHON/Image_Generator_API/imagenes/NAUTICA_MENS_V635548_BLK_3.jpg")</f>
        <v/>
      </c>
      <c r="O3439">
        <f>HYPERLINK("imagenes/NAUTICA_MENS_V635548_BLK_1.jpg","Ver imagen")</f>
        <v/>
      </c>
      <c r="P3439">
        <f>HYPERLINK("imagenes/NAUTICA_MENS_V635548_BLK_2.jpg","Ver imagen")</f>
        <v/>
      </c>
      <c r="Q3439">
        <f>HYPERLINK("imagenes/NAUTICA_MENS_V635548_BLK_3.jpg","Ver imagen")</f>
        <v/>
      </c>
    </row>
    <row r="3440">
      <c r="A3440" t="inlineStr">
        <is>
          <t>NAUTICA MENS</t>
        </is>
      </c>
      <c r="B3440" t="inlineStr">
        <is>
          <t>V635548</t>
        </is>
      </c>
      <c r="C3440" t="inlineStr">
        <is>
          <t>WOOL PEACOAT</t>
        </is>
      </c>
      <c r="D3440" t="inlineStr">
        <is>
          <t>BLK</t>
        </is>
      </c>
      <c r="E3440" t="inlineStr">
        <is>
          <t>(en blanco)</t>
        </is>
      </c>
      <c r="F3440" t="inlineStr">
        <is>
          <t>(en blanco)</t>
        </is>
      </c>
      <c r="G3440" t="inlineStr">
        <is>
          <t>3X</t>
        </is>
      </c>
      <c r="H3440" t="n">
        <v>22</v>
      </c>
      <c r="I3440" t="inlineStr">
        <is>
          <t>NAUTICA_MENS_V635548_BLK_1.jpg</t>
        </is>
      </c>
      <c r="J3440" t="inlineStr">
        <is>
          <t>NAUTICA_MENS_V635548_BLK_2.jpg</t>
        </is>
      </c>
      <c r="K3440" t="inlineStr">
        <is>
          <t>NAUTICA_MENS_V635548_BLK_3.jpg</t>
        </is>
      </c>
      <c r="L3440">
        <f>IMAGE("file:///E:/Estudios%20y%20certificaciones/ESTUDIOS%20DE%20PROGRAMMING/PROGRAMMING/PERSONAL/PYTHON/Image_Generator_API/imagenes/NAUTICA_MENS_V635548_BLK_1.jpg")</f>
        <v/>
      </c>
      <c r="M3440">
        <f>IMAGE("file:///E:/Estudios%20y%20certificaciones/ESTUDIOS%20DE%20PROGRAMMING/PROGRAMMING/PERSONAL/PYTHON/Image_Generator_API/imagenes/NAUTICA_MENS_V635548_BLK_2.jpg")</f>
        <v/>
      </c>
      <c r="N3440">
        <f>IMAGE("file:///E:/Estudios%20y%20certificaciones/ESTUDIOS%20DE%20PROGRAMMING/PROGRAMMING/PERSONAL/PYTHON/Image_Generator_API/imagenes/NAUTICA_MENS_V635548_BLK_3.jpg")</f>
        <v/>
      </c>
      <c r="O3440">
        <f>HYPERLINK("imagenes/NAUTICA_MENS_V635548_BLK_1.jpg","Ver imagen")</f>
        <v/>
      </c>
      <c r="P3440">
        <f>HYPERLINK("imagenes/NAUTICA_MENS_V635548_BLK_2.jpg","Ver imagen")</f>
        <v/>
      </c>
      <c r="Q3440">
        <f>HYPERLINK("imagenes/NAUTICA_MENS_V635548_BLK_3.jpg","Ver imagen")</f>
        <v/>
      </c>
    </row>
    <row r="3441">
      <c r="A3441" t="inlineStr">
        <is>
          <t>NAUTICA MENS</t>
        </is>
      </c>
      <c r="B3441" t="inlineStr">
        <is>
          <t>V635548</t>
        </is>
      </c>
      <c r="C3441" t="inlineStr">
        <is>
          <t>WOOL PEACOAT</t>
        </is>
      </c>
      <c r="D3441" t="inlineStr">
        <is>
          <t>BLK</t>
        </is>
      </c>
      <c r="E3441" t="inlineStr">
        <is>
          <t>(en blanco)</t>
        </is>
      </c>
      <c r="F3441" t="inlineStr">
        <is>
          <t>(en blanco)</t>
        </is>
      </c>
      <c r="G3441" t="inlineStr">
        <is>
          <t>4X</t>
        </is>
      </c>
      <c r="H3441" t="n">
        <v>49</v>
      </c>
      <c r="I3441" t="inlineStr">
        <is>
          <t>NAUTICA_MENS_V635548_BLK_1.jpg</t>
        </is>
      </c>
      <c r="J3441" t="inlineStr">
        <is>
          <t>NAUTICA_MENS_V635548_BLK_2.jpg</t>
        </is>
      </c>
      <c r="K3441" t="inlineStr">
        <is>
          <t>NAUTICA_MENS_V635548_BLK_3.jpg</t>
        </is>
      </c>
      <c r="L3441">
        <f>IMAGE("file:///E:/Estudios%20y%20certificaciones/ESTUDIOS%20DE%20PROGRAMMING/PROGRAMMING/PERSONAL/PYTHON/Image_Generator_API/imagenes/NAUTICA_MENS_V635548_BLK_1.jpg")</f>
        <v/>
      </c>
      <c r="M3441">
        <f>IMAGE("file:///E:/Estudios%20y%20certificaciones/ESTUDIOS%20DE%20PROGRAMMING/PROGRAMMING/PERSONAL/PYTHON/Image_Generator_API/imagenes/NAUTICA_MENS_V635548_BLK_2.jpg")</f>
        <v/>
      </c>
      <c r="N3441">
        <f>IMAGE("file:///E:/Estudios%20y%20certificaciones/ESTUDIOS%20DE%20PROGRAMMING/PROGRAMMING/PERSONAL/PYTHON/Image_Generator_API/imagenes/NAUTICA_MENS_V635548_BLK_3.jpg")</f>
        <v/>
      </c>
      <c r="O3441">
        <f>HYPERLINK("imagenes/NAUTICA_MENS_V635548_BLK_1.jpg","Ver imagen")</f>
        <v/>
      </c>
      <c r="P3441">
        <f>HYPERLINK("imagenes/NAUTICA_MENS_V635548_BLK_2.jpg","Ver imagen")</f>
        <v/>
      </c>
      <c r="Q3441">
        <f>HYPERLINK("imagenes/NAUTICA_MENS_V635548_BLK_3.jpg","Ver imagen")</f>
        <v/>
      </c>
    </row>
    <row r="3442">
      <c r="A3442" t="inlineStr">
        <is>
          <t>NAUTICA MENS</t>
        </is>
      </c>
      <c r="B3442" t="inlineStr">
        <is>
          <t>V635548</t>
        </is>
      </c>
      <c r="C3442" t="inlineStr">
        <is>
          <t>WOOL PEACOAT</t>
        </is>
      </c>
      <c r="D3442" t="inlineStr">
        <is>
          <t>BLK</t>
        </is>
      </c>
      <c r="E3442" t="inlineStr">
        <is>
          <t>(en blanco)</t>
        </is>
      </c>
      <c r="F3442" t="inlineStr">
        <is>
          <t>(en blanco)</t>
        </is>
      </c>
      <c r="G3442" t="inlineStr">
        <is>
          <t>5X</t>
        </is>
      </c>
      <c r="H3442" t="n">
        <v>4</v>
      </c>
      <c r="I3442" t="inlineStr">
        <is>
          <t>NAUTICA_MENS_V635548_BLK_1.jpg</t>
        </is>
      </c>
      <c r="J3442" t="inlineStr">
        <is>
          <t>NAUTICA_MENS_V635548_BLK_2.jpg</t>
        </is>
      </c>
      <c r="K3442" t="inlineStr">
        <is>
          <t>NAUTICA_MENS_V635548_BLK_3.jpg</t>
        </is>
      </c>
      <c r="L3442">
        <f>IMAGE("file:///E:/Estudios%20y%20certificaciones/ESTUDIOS%20DE%20PROGRAMMING/PROGRAMMING/PERSONAL/PYTHON/Image_Generator_API/imagenes/NAUTICA_MENS_V635548_BLK_1.jpg")</f>
        <v/>
      </c>
      <c r="M3442">
        <f>IMAGE("file:///E:/Estudios%20y%20certificaciones/ESTUDIOS%20DE%20PROGRAMMING/PROGRAMMING/PERSONAL/PYTHON/Image_Generator_API/imagenes/NAUTICA_MENS_V635548_BLK_2.jpg")</f>
        <v/>
      </c>
      <c r="N3442">
        <f>IMAGE("file:///E:/Estudios%20y%20certificaciones/ESTUDIOS%20DE%20PROGRAMMING/PROGRAMMING/PERSONAL/PYTHON/Image_Generator_API/imagenes/NAUTICA_MENS_V635548_BLK_3.jpg")</f>
        <v/>
      </c>
      <c r="O3442">
        <f>HYPERLINK("imagenes/NAUTICA_MENS_V635548_BLK_1.jpg","Ver imagen")</f>
        <v/>
      </c>
      <c r="P3442">
        <f>HYPERLINK("imagenes/NAUTICA_MENS_V635548_BLK_2.jpg","Ver imagen")</f>
        <v/>
      </c>
      <c r="Q3442">
        <f>HYPERLINK("imagenes/NAUTICA_MENS_V635548_BLK_3.jpg","Ver imagen")</f>
        <v/>
      </c>
    </row>
    <row r="3443">
      <c r="A3443" t="inlineStr">
        <is>
          <t>NAUTICA MENS</t>
        </is>
      </c>
      <c r="B3443" t="inlineStr">
        <is>
          <t>V635548</t>
        </is>
      </c>
      <c r="C3443" t="inlineStr">
        <is>
          <t>WOOL PEACOAT</t>
        </is>
      </c>
      <c r="D3443" t="inlineStr">
        <is>
          <t>BLK</t>
        </is>
      </c>
      <c r="E3443" t="inlineStr">
        <is>
          <t>(en blanco)</t>
        </is>
      </c>
      <c r="F3443" t="inlineStr">
        <is>
          <t>(en blanco)</t>
        </is>
      </c>
      <c r="G3443" t="inlineStr">
        <is>
          <t>6X</t>
        </is>
      </c>
      <c r="H3443" t="n">
        <v>8</v>
      </c>
      <c r="I3443" t="inlineStr">
        <is>
          <t>NAUTICA_MENS_V635548_BLK_1.jpg</t>
        </is>
      </c>
      <c r="J3443" t="inlineStr">
        <is>
          <t>NAUTICA_MENS_V635548_BLK_2.jpg</t>
        </is>
      </c>
      <c r="K3443" t="inlineStr">
        <is>
          <t>NAUTICA_MENS_V635548_BLK_3.jpg</t>
        </is>
      </c>
      <c r="L3443">
        <f>IMAGE("file:///E:/Estudios%20y%20certificaciones/ESTUDIOS%20DE%20PROGRAMMING/PROGRAMMING/PERSONAL/PYTHON/Image_Generator_API/imagenes/NAUTICA_MENS_V635548_BLK_1.jpg")</f>
        <v/>
      </c>
      <c r="M3443">
        <f>IMAGE("file:///E:/Estudios%20y%20certificaciones/ESTUDIOS%20DE%20PROGRAMMING/PROGRAMMING/PERSONAL/PYTHON/Image_Generator_API/imagenes/NAUTICA_MENS_V635548_BLK_2.jpg")</f>
        <v/>
      </c>
      <c r="N3443">
        <f>IMAGE("file:///E:/Estudios%20y%20certificaciones/ESTUDIOS%20DE%20PROGRAMMING/PROGRAMMING/PERSONAL/PYTHON/Image_Generator_API/imagenes/NAUTICA_MENS_V635548_BLK_3.jpg")</f>
        <v/>
      </c>
      <c r="O3443">
        <f>HYPERLINK("imagenes/NAUTICA_MENS_V635548_BLK_1.jpg","Ver imagen")</f>
        <v/>
      </c>
      <c r="P3443">
        <f>HYPERLINK("imagenes/NAUTICA_MENS_V635548_BLK_2.jpg","Ver imagen")</f>
        <v/>
      </c>
      <c r="Q3443">
        <f>HYPERLINK("imagenes/NAUTICA_MENS_V635548_BLK_3.jpg","Ver imagen")</f>
        <v/>
      </c>
    </row>
    <row r="3444">
      <c r="A3444" t="inlineStr">
        <is>
          <t>NAUTICA MENS</t>
        </is>
      </c>
      <c r="B3444" t="inlineStr">
        <is>
          <t>V635548</t>
        </is>
      </c>
      <c r="C3444" t="inlineStr">
        <is>
          <t>WOOL PEACOAT</t>
        </is>
      </c>
      <c r="D3444" t="inlineStr">
        <is>
          <t>BLK</t>
        </is>
      </c>
      <c r="E3444" t="inlineStr">
        <is>
          <t>(en blanco)</t>
        </is>
      </c>
      <c r="F3444" t="inlineStr">
        <is>
          <t>(en blanco)</t>
        </is>
      </c>
      <c r="G3444" t="inlineStr">
        <is>
          <t>8X</t>
        </is>
      </c>
      <c r="H3444" t="n">
        <v>10</v>
      </c>
      <c r="I3444" t="inlineStr">
        <is>
          <t>NAUTICA_MENS_V635548_BLK_1.jpg</t>
        </is>
      </c>
      <c r="J3444" t="inlineStr">
        <is>
          <t>NAUTICA_MENS_V635548_BLK_2.jpg</t>
        </is>
      </c>
      <c r="K3444" t="inlineStr">
        <is>
          <t>NAUTICA_MENS_V635548_BLK_3.jpg</t>
        </is>
      </c>
      <c r="L3444">
        <f>IMAGE("file:///E:/Estudios%20y%20certificaciones/ESTUDIOS%20DE%20PROGRAMMING/PROGRAMMING/PERSONAL/PYTHON/Image_Generator_API/imagenes/NAUTICA_MENS_V635548_BLK_1.jpg")</f>
        <v/>
      </c>
      <c r="M3444">
        <f>IMAGE("file:///E:/Estudios%20y%20certificaciones/ESTUDIOS%20DE%20PROGRAMMING/PROGRAMMING/PERSONAL/PYTHON/Image_Generator_API/imagenes/NAUTICA_MENS_V635548_BLK_2.jpg")</f>
        <v/>
      </c>
      <c r="N3444">
        <f>IMAGE("file:///E:/Estudios%20y%20certificaciones/ESTUDIOS%20DE%20PROGRAMMING/PROGRAMMING/PERSONAL/PYTHON/Image_Generator_API/imagenes/NAUTICA_MENS_V635548_BLK_3.jpg")</f>
        <v/>
      </c>
      <c r="O3444">
        <f>HYPERLINK("imagenes/NAUTICA_MENS_V635548_BLK_1.jpg","Ver imagen")</f>
        <v/>
      </c>
      <c r="P3444">
        <f>HYPERLINK("imagenes/NAUTICA_MENS_V635548_BLK_2.jpg","Ver imagen")</f>
        <v/>
      </c>
      <c r="Q3444">
        <f>HYPERLINK("imagenes/NAUTICA_MENS_V635548_BLK_3.jpg","Ver imagen")</f>
        <v/>
      </c>
    </row>
    <row r="3445">
      <c r="A3445" t="inlineStr">
        <is>
          <t>NAUTICA MENS</t>
        </is>
      </c>
      <c r="B3445" t="inlineStr">
        <is>
          <t>V635548</t>
        </is>
      </c>
      <c r="C3445" t="inlineStr">
        <is>
          <t>WOOL PEACOAT</t>
        </is>
      </c>
      <c r="D3445" t="inlineStr">
        <is>
          <t>CHR</t>
        </is>
      </c>
      <c r="E3445" t="inlineStr">
        <is>
          <t>(en blanco)</t>
        </is>
      </c>
      <c r="F3445" t="inlineStr">
        <is>
          <t>(en blanco)</t>
        </is>
      </c>
      <c r="G3445" t="inlineStr">
        <is>
          <t>2X</t>
        </is>
      </c>
      <c r="H3445" t="n">
        <v>19</v>
      </c>
      <c r="I3445" t="inlineStr">
        <is>
          <t>NAUTICA_MENS_V635548_CHR_1.jpg</t>
        </is>
      </c>
      <c r="J3445" t="inlineStr">
        <is>
          <t>NAUTICA_MENS_V635548_CHR_2.jpg</t>
        </is>
      </c>
      <c r="K3445" t="inlineStr">
        <is>
          <t>NAUTICA_MENS_V635548_CHR_3.jpg</t>
        </is>
      </c>
      <c r="L3445">
        <f>IMAGE("file:///E:/Estudios%20y%20certificaciones/ESTUDIOS%20DE%20PROGRAMMING/PROGRAMMING/PERSONAL/PYTHON/Image_Generator_API/imagenes/NAUTICA_MENS_V635548_CHR_1.jpg")</f>
        <v/>
      </c>
      <c r="M3445">
        <f>IMAGE("file:///E:/Estudios%20y%20certificaciones/ESTUDIOS%20DE%20PROGRAMMING/PROGRAMMING/PERSONAL/PYTHON/Image_Generator_API/imagenes/NAUTICA_MENS_V635548_CHR_2.jpg")</f>
        <v/>
      </c>
      <c r="N3445">
        <f>IMAGE("file:///E:/Estudios%20y%20certificaciones/ESTUDIOS%20DE%20PROGRAMMING/PROGRAMMING/PERSONAL/PYTHON/Image_Generator_API/imagenes/NAUTICA_MENS_V635548_CHR_3.jpg")</f>
        <v/>
      </c>
      <c r="O3445">
        <f>HYPERLINK("imagenes/NAUTICA_MENS_V635548_CHR_1.jpg","Ver imagen")</f>
        <v/>
      </c>
      <c r="P3445">
        <f>HYPERLINK("imagenes/NAUTICA_MENS_V635548_CHR_2.jpg","Ver imagen")</f>
        <v/>
      </c>
      <c r="Q3445">
        <f>HYPERLINK("imagenes/NAUTICA_MENS_V635548_CHR_3.jpg","Ver imagen")</f>
        <v/>
      </c>
    </row>
    <row r="3446">
      <c r="A3446" t="inlineStr">
        <is>
          <t>NAUTICA MENS</t>
        </is>
      </c>
      <c r="B3446" t="inlineStr">
        <is>
          <t>V635548</t>
        </is>
      </c>
      <c r="C3446" t="inlineStr">
        <is>
          <t>WOOL PEACOAT</t>
        </is>
      </c>
      <c r="D3446" t="inlineStr">
        <is>
          <t>CHR</t>
        </is>
      </c>
      <c r="E3446" t="inlineStr">
        <is>
          <t>(en blanco)</t>
        </is>
      </c>
      <c r="F3446" t="inlineStr">
        <is>
          <t>(en blanco)</t>
        </is>
      </c>
      <c r="G3446" t="inlineStr">
        <is>
          <t>3X</t>
        </is>
      </c>
      <c r="H3446" t="n">
        <v>12</v>
      </c>
      <c r="I3446" t="inlineStr">
        <is>
          <t>NAUTICA_MENS_V635548_CHR_1.jpg</t>
        </is>
      </c>
      <c r="J3446" t="inlineStr">
        <is>
          <t>NAUTICA_MENS_V635548_CHR_2.jpg</t>
        </is>
      </c>
      <c r="K3446" t="inlineStr">
        <is>
          <t>NAUTICA_MENS_V635548_CHR_3.jpg</t>
        </is>
      </c>
      <c r="L3446">
        <f>IMAGE("file:///E:/Estudios%20y%20certificaciones/ESTUDIOS%20DE%20PROGRAMMING/PROGRAMMING/PERSONAL/PYTHON/Image_Generator_API/imagenes/NAUTICA_MENS_V635548_CHR_1.jpg")</f>
        <v/>
      </c>
      <c r="M3446">
        <f>IMAGE("file:///E:/Estudios%20y%20certificaciones/ESTUDIOS%20DE%20PROGRAMMING/PROGRAMMING/PERSONAL/PYTHON/Image_Generator_API/imagenes/NAUTICA_MENS_V635548_CHR_2.jpg")</f>
        <v/>
      </c>
      <c r="N3446">
        <f>IMAGE("file:///E:/Estudios%20y%20certificaciones/ESTUDIOS%20DE%20PROGRAMMING/PROGRAMMING/PERSONAL/PYTHON/Image_Generator_API/imagenes/NAUTICA_MENS_V635548_CHR_3.jpg")</f>
        <v/>
      </c>
      <c r="O3446">
        <f>HYPERLINK("imagenes/NAUTICA_MENS_V635548_CHR_1.jpg","Ver imagen")</f>
        <v/>
      </c>
      <c r="P3446">
        <f>HYPERLINK("imagenes/NAUTICA_MENS_V635548_CHR_2.jpg","Ver imagen")</f>
        <v/>
      </c>
      <c r="Q3446">
        <f>HYPERLINK("imagenes/NAUTICA_MENS_V635548_CHR_3.jpg","Ver imagen")</f>
        <v/>
      </c>
    </row>
    <row r="3447">
      <c r="A3447" t="inlineStr">
        <is>
          <t>NAUTICA MENS</t>
        </is>
      </c>
      <c r="B3447" t="inlineStr">
        <is>
          <t>V635548</t>
        </is>
      </c>
      <c r="C3447" t="inlineStr">
        <is>
          <t>WOOL PEACOAT</t>
        </is>
      </c>
      <c r="D3447" t="inlineStr">
        <is>
          <t>CHR</t>
        </is>
      </c>
      <c r="E3447" t="inlineStr">
        <is>
          <t>(en blanco)</t>
        </is>
      </c>
      <c r="F3447" t="inlineStr">
        <is>
          <t>(en blanco)</t>
        </is>
      </c>
      <c r="G3447" t="inlineStr">
        <is>
          <t>4X</t>
        </is>
      </c>
      <c r="H3447" t="n">
        <v>18</v>
      </c>
      <c r="I3447" t="inlineStr">
        <is>
          <t>NAUTICA_MENS_V635548_CHR_1.jpg</t>
        </is>
      </c>
      <c r="J3447" t="inlineStr">
        <is>
          <t>NAUTICA_MENS_V635548_CHR_2.jpg</t>
        </is>
      </c>
      <c r="K3447" t="inlineStr">
        <is>
          <t>NAUTICA_MENS_V635548_CHR_3.jpg</t>
        </is>
      </c>
      <c r="L3447">
        <f>IMAGE("file:///E:/Estudios%20y%20certificaciones/ESTUDIOS%20DE%20PROGRAMMING/PROGRAMMING/PERSONAL/PYTHON/Image_Generator_API/imagenes/NAUTICA_MENS_V635548_CHR_1.jpg")</f>
        <v/>
      </c>
      <c r="M3447">
        <f>IMAGE("file:///E:/Estudios%20y%20certificaciones/ESTUDIOS%20DE%20PROGRAMMING/PROGRAMMING/PERSONAL/PYTHON/Image_Generator_API/imagenes/NAUTICA_MENS_V635548_CHR_2.jpg")</f>
        <v/>
      </c>
      <c r="N3447">
        <f>IMAGE("file:///E:/Estudios%20y%20certificaciones/ESTUDIOS%20DE%20PROGRAMMING/PROGRAMMING/PERSONAL/PYTHON/Image_Generator_API/imagenes/NAUTICA_MENS_V635548_CHR_3.jpg")</f>
        <v/>
      </c>
      <c r="O3447">
        <f>HYPERLINK("imagenes/NAUTICA_MENS_V635548_CHR_1.jpg","Ver imagen")</f>
        <v/>
      </c>
      <c r="P3447">
        <f>HYPERLINK("imagenes/NAUTICA_MENS_V635548_CHR_2.jpg","Ver imagen")</f>
        <v/>
      </c>
      <c r="Q3447">
        <f>HYPERLINK("imagenes/NAUTICA_MENS_V635548_CHR_3.jpg","Ver imagen")</f>
        <v/>
      </c>
    </row>
    <row r="3448">
      <c r="A3448" t="inlineStr">
        <is>
          <t>NAUTICA MENS</t>
        </is>
      </c>
      <c r="B3448" t="inlineStr">
        <is>
          <t>V635548</t>
        </is>
      </c>
      <c r="C3448" t="inlineStr">
        <is>
          <t>WOOL PEACOAT</t>
        </is>
      </c>
      <c r="D3448" t="inlineStr">
        <is>
          <t>CHR</t>
        </is>
      </c>
      <c r="E3448" t="inlineStr">
        <is>
          <t>(en blanco)</t>
        </is>
      </c>
      <c r="F3448" t="inlineStr">
        <is>
          <t>(en blanco)</t>
        </is>
      </c>
      <c r="G3448" t="inlineStr">
        <is>
          <t>5X</t>
        </is>
      </c>
      <c r="H3448" t="n">
        <v>14</v>
      </c>
      <c r="I3448" t="inlineStr">
        <is>
          <t>NAUTICA_MENS_V635548_CHR_1.jpg</t>
        </is>
      </c>
      <c r="J3448" t="inlineStr">
        <is>
          <t>NAUTICA_MENS_V635548_CHR_2.jpg</t>
        </is>
      </c>
      <c r="K3448" t="inlineStr">
        <is>
          <t>NAUTICA_MENS_V635548_CHR_3.jpg</t>
        </is>
      </c>
      <c r="L3448">
        <f>IMAGE("file:///E:/Estudios%20y%20certificaciones/ESTUDIOS%20DE%20PROGRAMMING/PROGRAMMING/PERSONAL/PYTHON/Image_Generator_API/imagenes/NAUTICA_MENS_V635548_CHR_1.jpg")</f>
        <v/>
      </c>
      <c r="M3448">
        <f>IMAGE("file:///E:/Estudios%20y%20certificaciones/ESTUDIOS%20DE%20PROGRAMMING/PROGRAMMING/PERSONAL/PYTHON/Image_Generator_API/imagenes/NAUTICA_MENS_V635548_CHR_2.jpg")</f>
        <v/>
      </c>
      <c r="N3448">
        <f>IMAGE("file:///E:/Estudios%20y%20certificaciones/ESTUDIOS%20DE%20PROGRAMMING/PROGRAMMING/PERSONAL/PYTHON/Image_Generator_API/imagenes/NAUTICA_MENS_V635548_CHR_3.jpg")</f>
        <v/>
      </c>
      <c r="O3448">
        <f>HYPERLINK("imagenes/NAUTICA_MENS_V635548_CHR_1.jpg","Ver imagen")</f>
        <v/>
      </c>
      <c r="P3448">
        <f>HYPERLINK("imagenes/NAUTICA_MENS_V635548_CHR_2.jpg","Ver imagen")</f>
        <v/>
      </c>
      <c r="Q3448">
        <f>HYPERLINK("imagenes/NAUTICA_MENS_V635548_CHR_3.jpg","Ver imagen")</f>
        <v/>
      </c>
    </row>
    <row r="3449">
      <c r="A3449" t="inlineStr">
        <is>
          <t>NAUTICA MENS</t>
        </is>
      </c>
      <c r="B3449" t="inlineStr">
        <is>
          <t>V635548</t>
        </is>
      </c>
      <c r="C3449" t="inlineStr">
        <is>
          <t>WOOL PEACOAT</t>
        </is>
      </c>
      <c r="D3449" t="inlineStr">
        <is>
          <t>CHR</t>
        </is>
      </c>
      <c r="E3449" t="inlineStr">
        <is>
          <t>(en blanco)</t>
        </is>
      </c>
      <c r="F3449" t="inlineStr">
        <is>
          <t>(en blanco)</t>
        </is>
      </c>
      <c r="G3449" t="inlineStr">
        <is>
          <t>6X</t>
        </is>
      </c>
      <c r="H3449" t="n">
        <v>16</v>
      </c>
      <c r="I3449" t="inlineStr">
        <is>
          <t>NAUTICA_MENS_V635548_CHR_1.jpg</t>
        </is>
      </c>
      <c r="J3449" t="inlineStr">
        <is>
          <t>NAUTICA_MENS_V635548_CHR_2.jpg</t>
        </is>
      </c>
      <c r="K3449" t="inlineStr">
        <is>
          <t>NAUTICA_MENS_V635548_CHR_3.jpg</t>
        </is>
      </c>
      <c r="L3449">
        <f>IMAGE("file:///E:/Estudios%20y%20certificaciones/ESTUDIOS%20DE%20PROGRAMMING/PROGRAMMING/PERSONAL/PYTHON/Image_Generator_API/imagenes/NAUTICA_MENS_V635548_CHR_1.jpg")</f>
        <v/>
      </c>
      <c r="M3449">
        <f>IMAGE("file:///E:/Estudios%20y%20certificaciones/ESTUDIOS%20DE%20PROGRAMMING/PROGRAMMING/PERSONAL/PYTHON/Image_Generator_API/imagenes/NAUTICA_MENS_V635548_CHR_2.jpg")</f>
        <v/>
      </c>
      <c r="N3449">
        <f>IMAGE("file:///E:/Estudios%20y%20certificaciones/ESTUDIOS%20DE%20PROGRAMMING/PROGRAMMING/PERSONAL/PYTHON/Image_Generator_API/imagenes/NAUTICA_MENS_V635548_CHR_3.jpg")</f>
        <v/>
      </c>
      <c r="O3449">
        <f>HYPERLINK("imagenes/NAUTICA_MENS_V635548_CHR_1.jpg","Ver imagen")</f>
        <v/>
      </c>
      <c r="P3449">
        <f>HYPERLINK("imagenes/NAUTICA_MENS_V635548_CHR_2.jpg","Ver imagen")</f>
        <v/>
      </c>
      <c r="Q3449">
        <f>HYPERLINK("imagenes/NAUTICA_MENS_V635548_CHR_3.jpg","Ver imagen")</f>
        <v/>
      </c>
    </row>
    <row r="3450">
      <c r="A3450" t="inlineStr">
        <is>
          <t>NAUTICA MENS</t>
        </is>
      </c>
      <c r="B3450" t="inlineStr">
        <is>
          <t>V635548</t>
        </is>
      </c>
      <c r="C3450" t="inlineStr">
        <is>
          <t>WOOL PEACOAT</t>
        </is>
      </c>
      <c r="D3450" t="inlineStr">
        <is>
          <t>DNY</t>
        </is>
      </c>
      <c r="E3450" t="inlineStr">
        <is>
          <t>(en blanco)</t>
        </is>
      </c>
      <c r="F3450" t="inlineStr">
        <is>
          <t>(en blanco)</t>
        </is>
      </c>
      <c r="G3450" t="inlineStr">
        <is>
          <t>2X</t>
        </is>
      </c>
      <c r="H3450" t="n">
        <v>5</v>
      </c>
      <c r="I3450" t="inlineStr">
        <is>
          <t>NAUTICA_MENS_V635548_DNY_1.jpg</t>
        </is>
      </c>
      <c r="J3450" t="inlineStr">
        <is>
          <t>NAUTICA_MENS_V635548_DNY_2.jpg</t>
        </is>
      </c>
      <c r="K3450" t="inlineStr">
        <is>
          <t>NAUTICA_MENS_V635548_DNY_3.jpg</t>
        </is>
      </c>
      <c r="L3450">
        <f>IMAGE("file:///E:/Estudios%20y%20certificaciones/ESTUDIOS%20DE%20PROGRAMMING/PROGRAMMING/PERSONAL/PYTHON/Image_Generator_API/imagenes/NAUTICA_MENS_V635548_DNY_1.jpg")</f>
        <v/>
      </c>
      <c r="M3450">
        <f>IMAGE("file:///E:/Estudios%20y%20certificaciones/ESTUDIOS%20DE%20PROGRAMMING/PROGRAMMING/PERSONAL/PYTHON/Image_Generator_API/imagenes/NAUTICA_MENS_V635548_DNY_2.jpg")</f>
        <v/>
      </c>
      <c r="N3450">
        <f>IMAGE("file:///E:/Estudios%20y%20certificaciones/ESTUDIOS%20DE%20PROGRAMMING/PROGRAMMING/PERSONAL/PYTHON/Image_Generator_API/imagenes/NAUTICA_MENS_V635548_DNY_3.jpg")</f>
        <v/>
      </c>
      <c r="O3450">
        <f>HYPERLINK("imagenes/NAUTICA_MENS_V635548_DNY_1.jpg","Ver imagen")</f>
        <v/>
      </c>
      <c r="P3450">
        <f>HYPERLINK("imagenes/NAUTICA_MENS_V635548_DNY_2.jpg","Ver imagen")</f>
        <v/>
      </c>
      <c r="Q3450">
        <f>HYPERLINK("imagenes/NAUTICA_MENS_V635548_DNY_3.jpg","Ver imagen")</f>
        <v/>
      </c>
    </row>
    <row r="3451">
      <c r="A3451" t="inlineStr">
        <is>
          <t>NAUTICA MENS</t>
        </is>
      </c>
      <c r="B3451" t="inlineStr">
        <is>
          <t>V635548</t>
        </is>
      </c>
      <c r="C3451" t="inlineStr">
        <is>
          <t>WOOL PEACOAT</t>
        </is>
      </c>
      <c r="D3451" t="inlineStr">
        <is>
          <t>DNY</t>
        </is>
      </c>
      <c r="E3451" t="inlineStr">
        <is>
          <t>(en blanco)</t>
        </is>
      </c>
      <c r="F3451" t="inlineStr">
        <is>
          <t>(en blanco)</t>
        </is>
      </c>
      <c r="G3451" t="inlineStr">
        <is>
          <t>3X</t>
        </is>
      </c>
      <c r="H3451" t="n">
        <v>14</v>
      </c>
      <c r="I3451" t="inlineStr">
        <is>
          <t>NAUTICA_MENS_V635548_DNY_1.jpg</t>
        </is>
      </c>
      <c r="J3451" t="inlineStr">
        <is>
          <t>NAUTICA_MENS_V635548_DNY_2.jpg</t>
        </is>
      </c>
      <c r="K3451" t="inlineStr">
        <is>
          <t>NAUTICA_MENS_V635548_DNY_3.jpg</t>
        </is>
      </c>
      <c r="L3451">
        <f>IMAGE("file:///E:/Estudios%20y%20certificaciones/ESTUDIOS%20DE%20PROGRAMMING/PROGRAMMING/PERSONAL/PYTHON/Image_Generator_API/imagenes/NAUTICA_MENS_V635548_DNY_1.jpg")</f>
        <v/>
      </c>
      <c r="M3451">
        <f>IMAGE("file:///E:/Estudios%20y%20certificaciones/ESTUDIOS%20DE%20PROGRAMMING/PROGRAMMING/PERSONAL/PYTHON/Image_Generator_API/imagenes/NAUTICA_MENS_V635548_DNY_2.jpg")</f>
        <v/>
      </c>
      <c r="N3451">
        <f>IMAGE("file:///E:/Estudios%20y%20certificaciones/ESTUDIOS%20DE%20PROGRAMMING/PROGRAMMING/PERSONAL/PYTHON/Image_Generator_API/imagenes/NAUTICA_MENS_V635548_DNY_3.jpg")</f>
        <v/>
      </c>
      <c r="O3451">
        <f>HYPERLINK("imagenes/NAUTICA_MENS_V635548_DNY_1.jpg","Ver imagen")</f>
        <v/>
      </c>
      <c r="P3451">
        <f>HYPERLINK("imagenes/NAUTICA_MENS_V635548_DNY_2.jpg","Ver imagen")</f>
        <v/>
      </c>
      <c r="Q3451">
        <f>HYPERLINK("imagenes/NAUTICA_MENS_V635548_DNY_3.jpg","Ver imagen")</f>
        <v/>
      </c>
    </row>
    <row r="3452">
      <c r="A3452" t="inlineStr">
        <is>
          <t>NAUTICA MENS</t>
        </is>
      </c>
      <c r="B3452" t="inlineStr">
        <is>
          <t>V635548</t>
        </is>
      </c>
      <c r="C3452" t="inlineStr">
        <is>
          <t>WOOL PEACOAT</t>
        </is>
      </c>
      <c r="D3452" t="inlineStr">
        <is>
          <t>DNY</t>
        </is>
      </c>
      <c r="E3452" t="inlineStr">
        <is>
          <t>(en blanco)</t>
        </is>
      </c>
      <c r="F3452" t="inlineStr">
        <is>
          <t>(en blanco)</t>
        </is>
      </c>
      <c r="G3452" t="inlineStr">
        <is>
          <t>4X</t>
        </is>
      </c>
      <c r="H3452" t="n">
        <v>17</v>
      </c>
      <c r="I3452" t="inlineStr">
        <is>
          <t>NAUTICA_MENS_V635548_DNY_1.jpg</t>
        </is>
      </c>
      <c r="J3452" t="inlineStr">
        <is>
          <t>NAUTICA_MENS_V635548_DNY_2.jpg</t>
        </is>
      </c>
      <c r="K3452" t="inlineStr">
        <is>
          <t>NAUTICA_MENS_V635548_DNY_3.jpg</t>
        </is>
      </c>
      <c r="L3452">
        <f>IMAGE("file:///E:/Estudios%20y%20certificaciones/ESTUDIOS%20DE%20PROGRAMMING/PROGRAMMING/PERSONAL/PYTHON/Image_Generator_API/imagenes/NAUTICA_MENS_V635548_DNY_1.jpg")</f>
        <v/>
      </c>
      <c r="M3452">
        <f>IMAGE("file:///E:/Estudios%20y%20certificaciones/ESTUDIOS%20DE%20PROGRAMMING/PROGRAMMING/PERSONAL/PYTHON/Image_Generator_API/imagenes/NAUTICA_MENS_V635548_DNY_2.jpg")</f>
        <v/>
      </c>
      <c r="N3452">
        <f>IMAGE("file:///E:/Estudios%20y%20certificaciones/ESTUDIOS%20DE%20PROGRAMMING/PROGRAMMING/PERSONAL/PYTHON/Image_Generator_API/imagenes/NAUTICA_MENS_V635548_DNY_3.jpg")</f>
        <v/>
      </c>
      <c r="O3452">
        <f>HYPERLINK("imagenes/NAUTICA_MENS_V635548_DNY_1.jpg","Ver imagen")</f>
        <v/>
      </c>
      <c r="P3452">
        <f>HYPERLINK("imagenes/NAUTICA_MENS_V635548_DNY_2.jpg","Ver imagen")</f>
        <v/>
      </c>
      <c r="Q3452">
        <f>HYPERLINK("imagenes/NAUTICA_MENS_V635548_DNY_3.jpg","Ver imagen")</f>
        <v/>
      </c>
    </row>
    <row r="3453">
      <c r="A3453" t="inlineStr">
        <is>
          <t>NAUTICA MENS</t>
        </is>
      </c>
      <c r="B3453" t="inlineStr">
        <is>
          <t>V635548</t>
        </is>
      </c>
      <c r="C3453" t="inlineStr">
        <is>
          <t>WOOL PEACOAT</t>
        </is>
      </c>
      <c r="D3453" t="inlineStr">
        <is>
          <t>DNY</t>
        </is>
      </c>
      <c r="E3453" t="inlineStr">
        <is>
          <t>(en blanco)</t>
        </is>
      </c>
      <c r="F3453" t="inlineStr">
        <is>
          <t>(en blanco)</t>
        </is>
      </c>
      <c r="G3453" t="inlineStr">
        <is>
          <t>5X</t>
        </is>
      </c>
      <c r="H3453" t="n">
        <v>10</v>
      </c>
      <c r="I3453" t="inlineStr">
        <is>
          <t>NAUTICA_MENS_V635548_DNY_1.jpg</t>
        </is>
      </c>
      <c r="J3453" t="inlineStr">
        <is>
          <t>NAUTICA_MENS_V635548_DNY_2.jpg</t>
        </is>
      </c>
      <c r="K3453" t="inlineStr">
        <is>
          <t>NAUTICA_MENS_V635548_DNY_3.jpg</t>
        </is>
      </c>
      <c r="L3453">
        <f>IMAGE("file:///E:/Estudios%20y%20certificaciones/ESTUDIOS%20DE%20PROGRAMMING/PROGRAMMING/PERSONAL/PYTHON/Image_Generator_API/imagenes/NAUTICA_MENS_V635548_DNY_1.jpg")</f>
        <v/>
      </c>
      <c r="M3453">
        <f>IMAGE("file:///E:/Estudios%20y%20certificaciones/ESTUDIOS%20DE%20PROGRAMMING/PROGRAMMING/PERSONAL/PYTHON/Image_Generator_API/imagenes/NAUTICA_MENS_V635548_DNY_2.jpg")</f>
        <v/>
      </c>
      <c r="N3453">
        <f>IMAGE("file:///E:/Estudios%20y%20certificaciones/ESTUDIOS%20DE%20PROGRAMMING/PROGRAMMING/PERSONAL/PYTHON/Image_Generator_API/imagenes/NAUTICA_MENS_V635548_DNY_3.jpg")</f>
        <v/>
      </c>
      <c r="O3453">
        <f>HYPERLINK("imagenes/NAUTICA_MENS_V635548_DNY_1.jpg","Ver imagen")</f>
        <v/>
      </c>
      <c r="P3453">
        <f>HYPERLINK("imagenes/NAUTICA_MENS_V635548_DNY_2.jpg","Ver imagen")</f>
        <v/>
      </c>
      <c r="Q3453">
        <f>HYPERLINK("imagenes/NAUTICA_MENS_V635548_DNY_3.jpg","Ver imagen")</f>
        <v/>
      </c>
    </row>
    <row r="3454">
      <c r="A3454" t="inlineStr">
        <is>
          <t>NAUTICA MENS</t>
        </is>
      </c>
      <c r="B3454" t="inlineStr">
        <is>
          <t>V635548</t>
        </is>
      </c>
      <c r="C3454" t="inlineStr">
        <is>
          <t>WOOL PEACOAT</t>
        </is>
      </c>
      <c r="D3454" t="inlineStr">
        <is>
          <t>DNY</t>
        </is>
      </c>
      <c r="E3454" t="inlineStr">
        <is>
          <t>(en blanco)</t>
        </is>
      </c>
      <c r="F3454" t="inlineStr">
        <is>
          <t>(en blanco)</t>
        </is>
      </c>
      <c r="G3454" t="inlineStr">
        <is>
          <t>6X</t>
        </is>
      </c>
      <c r="H3454" t="n">
        <v>20</v>
      </c>
      <c r="I3454" t="inlineStr">
        <is>
          <t>NAUTICA_MENS_V635548_DNY_1.jpg</t>
        </is>
      </c>
      <c r="J3454" t="inlineStr">
        <is>
          <t>NAUTICA_MENS_V635548_DNY_2.jpg</t>
        </is>
      </c>
      <c r="K3454" t="inlineStr">
        <is>
          <t>NAUTICA_MENS_V635548_DNY_3.jpg</t>
        </is>
      </c>
      <c r="L3454">
        <f>IMAGE("file:///E:/Estudios%20y%20certificaciones/ESTUDIOS%20DE%20PROGRAMMING/PROGRAMMING/PERSONAL/PYTHON/Image_Generator_API/imagenes/NAUTICA_MENS_V635548_DNY_1.jpg")</f>
        <v/>
      </c>
      <c r="M3454">
        <f>IMAGE("file:///E:/Estudios%20y%20certificaciones/ESTUDIOS%20DE%20PROGRAMMING/PROGRAMMING/PERSONAL/PYTHON/Image_Generator_API/imagenes/NAUTICA_MENS_V635548_DNY_2.jpg")</f>
        <v/>
      </c>
      <c r="N3454">
        <f>IMAGE("file:///E:/Estudios%20y%20certificaciones/ESTUDIOS%20DE%20PROGRAMMING/PROGRAMMING/PERSONAL/PYTHON/Image_Generator_API/imagenes/NAUTICA_MENS_V635548_DNY_3.jpg")</f>
        <v/>
      </c>
      <c r="O3454">
        <f>HYPERLINK("imagenes/NAUTICA_MENS_V635548_DNY_1.jpg","Ver imagen")</f>
        <v/>
      </c>
      <c r="P3454">
        <f>HYPERLINK("imagenes/NAUTICA_MENS_V635548_DNY_2.jpg","Ver imagen")</f>
        <v/>
      </c>
      <c r="Q3454">
        <f>HYPERLINK("imagenes/NAUTICA_MENS_V635548_DNY_3.jpg","Ver imagen")</f>
        <v/>
      </c>
    </row>
    <row r="3455">
      <c r="A3455" t="inlineStr">
        <is>
          <t>NAUTICA MENS</t>
        </is>
      </c>
      <c r="B3455" t="inlineStr">
        <is>
          <t>V640359</t>
        </is>
      </c>
      <c r="C3455" t="inlineStr">
        <is>
          <t>TRANSITIONAL BOMBER</t>
        </is>
      </c>
      <c r="D3455" t="inlineStr">
        <is>
          <t>BLK</t>
        </is>
      </c>
      <c r="E3455" t="inlineStr">
        <is>
          <t>(en blanco)</t>
        </is>
      </c>
      <c r="F3455" t="inlineStr">
        <is>
          <t>(en blanco)</t>
        </is>
      </c>
      <c r="G3455" t="inlineStr">
        <is>
          <t>6XT</t>
        </is>
      </c>
      <c r="H3455" t="n">
        <v>3</v>
      </c>
      <c r="I3455" t="inlineStr">
        <is>
          <t>NAUTICA_MENS_V640359_BLK_1.jpg</t>
        </is>
      </c>
      <c r="J3455" t="inlineStr">
        <is>
          <t>NAUTICA_MENS_V640359_BLK_2.jpg</t>
        </is>
      </c>
      <c r="K3455" t="inlineStr">
        <is>
          <t>NAUTICA_MENS_V640359_BLK_3.jpg</t>
        </is>
      </c>
      <c r="L3455">
        <f>IMAGE("file:///E:/Estudios%20y%20certificaciones/ESTUDIOS%20DE%20PROGRAMMING/PROGRAMMING/PERSONAL/PYTHON/Image_Generator_API/imagenes/NAUTICA_MENS_V640359_BLK_1.jpg")</f>
        <v/>
      </c>
      <c r="M3455">
        <f>IMAGE("file:///E:/Estudios%20y%20certificaciones/ESTUDIOS%20DE%20PROGRAMMING/PROGRAMMING/PERSONAL/PYTHON/Image_Generator_API/imagenes/NAUTICA_MENS_V640359_BLK_2.jpg")</f>
        <v/>
      </c>
      <c r="N3455">
        <f>IMAGE("file:///E:/Estudios%20y%20certificaciones/ESTUDIOS%20DE%20PROGRAMMING/PROGRAMMING/PERSONAL/PYTHON/Image_Generator_API/imagenes/NAUTICA_MENS_V640359_BLK_3.jpg")</f>
        <v/>
      </c>
      <c r="O3455">
        <f>HYPERLINK("imagenes/NAUTICA_MENS_V640359_BLK_1.jpg","Ver imagen")</f>
        <v/>
      </c>
      <c r="P3455">
        <f>HYPERLINK("imagenes/NAUTICA_MENS_V640359_BLK_2.jpg","Ver imagen")</f>
        <v/>
      </c>
      <c r="Q3455">
        <f>HYPERLINK("imagenes/NAUTICA_MENS_V640359_BLK_3.jpg","Ver imagen")</f>
        <v/>
      </c>
    </row>
    <row r="3456">
      <c r="A3456" t="inlineStr">
        <is>
          <t>NAUTICA MENS</t>
        </is>
      </c>
      <c r="B3456" t="inlineStr">
        <is>
          <t>V640359</t>
        </is>
      </c>
      <c r="C3456" t="inlineStr">
        <is>
          <t>TRANSITIONAL BOMBER</t>
        </is>
      </c>
      <c r="D3456" t="inlineStr">
        <is>
          <t>NVY</t>
        </is>
      </c>
      <c r="E3456" t="inlineStr">
        <is>
          <t>(en blanco)</t>
        </is>
      </c>
      <c r="F3456" t="inlineStr">
        <is>
          <t>(en blanco)</t>
        </is>
      </c>
      <c r="G3456" t="inlineStr">
        <is>
          <t>2XT</t>
        </is>
      </c>
      <c r="H3456" t="n">
        <v>1</v>
      </c>
      <c r="I3456" t="inlineStr">
        <is>
          <t>NAUTICA_MENS_V640359_NVY_1.jpg</t>
        </is>
      </c>
      <c r="J3456" t="inlineStr">
        <is>
          <t>NAUTICA_MENS_V640359_NVY_2.jpg</t>
        </is>
      </c>
      <c r="K3456" t="inlineStr">
        <is>
          <t>NAUTICA_MENS_V640359_NVY_3.jpg</t>
        </is>
      </c>
      <c r="L3456">
        <f>IMAGE("file:///E:/Estudios%20y%20certificaciones/ESTUDIOS%20DE%20PROGRAMMING/PROGRAMMING/PERSONAL/PYTHON/Image_Generator_API/imagenes/NAUTICA_MENS_V640359_NVY_1.jpg")</f>
        <v/>
      </c>
      <c r="M3456">
        <f>IMAGE("file:///E:/Estudios%20y%20certificaciones/ESTUDIOS%20DE%20PROGRAMMING/PROGRAMMING/PERSONAL/PYTHON/Image_Generator_API/imagenes/NAUTICA_MENS_V640359_NVY_2.jpg")</f>
        <v/>
      </c>
      <c r="N3456">
        <f>IMAGE("file:///E:/Estudios%20y%20certificaciones/ESTUDIOS%20DE%20PROGRAMMING/PROGRAMMING/PERSONAL/PYTHON/Image_Generator_API/imagenes/NAUTICA_MENS_V640359_NVY_3.jpg")</f>
        <v/>
      </c>
      <c r="O3456">
        <f>HYPERLINK("imagenes/NAUTICA_MENS_V640359_NVY_1.jpg","Ver imagen")</f>
        <v/>
      </c>
      <c r="P3456">
        <f>HYPERLINK("imagenes/NAUTICA_MENS_V640359_NVY_2.jpg","Ver imagen")</f>
        <v/>
      </c>
      <c r="Q3456">
        <f>HYPERLINK("imagenes/NAUTICA_MENS_V640359_NVY_3.jpg","Ver imagen")</f>
        <v/>
      </c>
    </row>
    <row r="3457">
      <c r="A3457" t="inlineStr">
        <is>
          <t>NAUTICA MENS</t>
        </is>
      </c>
      <c r="B3457" t="inlineStr">
        <is>
          <t>V640359</t>
        </is>
      </c>
      <c r="C3457" t="inlineStr">
        <is>
          <t>TRANSITIONAL BOMBER</t>
        </is>
      </c>
      <c r="D3457" t="inlineStr">
        <is>
          <t>NVY</t>
        </is>
      </c>
      <c r="E3457" t="inlineStr">
        <is>
          <t>(en blanco)</t>
        </is>
      </c>
      <c r="F3457" t="inlineStr">
        <is>
          <t>(en blanco)</t>
        </is>
      </c>
      <c r="G3457" t="inlineStr">
        <is>
          <t>4XT</t>
        </is>
      </c>
      <c r="H3457" t="n">
        <v>1</v>
      </c>
      <c r="I3457" t="inlineStr">
        <is>
          <t>NAUTICA_MENS_V640359_NVY_1.jpg</t>
        </is>
      </c>
      <c r="J3457" t="inlineStr">
        <is>
          <t>NAUTICA_MENS_V640359_NVY_2.jpg</t>
        </is>
      </c>
      <c r="K3457" t="inlineStr">
        <is>
          <t>NAUTICA_MENS_V640359_NVY_3.jpg</t>
        </is>
      </c>
      <c r="L3457">
        <f>IMAGE("file:///E:/Estudios%20y%20certificaciones/ESTUDIOS%20DE%20PROGRAMMING/PROGRAMMING/PERSONAL/PYTHON/Image_Generator_API/imagenes/NAUTICA_MENS_V640359_NVY_1.jpg")</f>
        <v/>
      </c>
      <c r="M3457">
        <f>IMAGE("file:///E:/Estudios%20y%20certificaciones/ESTUDIOS%20DE%20PROGRAMMING/PROGRAMMING/PERSONAL/PYTHON/Image_Generator_API/imagenes/NAUTICA_MENS_V640359_NVY_2.jpg")</f>
        <v/>
      </c>
      <c r="N3457">
        <f>IMAGE("file:///E:/Estudios%20y%20certificaciones/ESTUDIOS%20DE%20PROGRAMMING/PROGRAMMING/PERSONAL/PYTHON/Image_Generator_API/imagenes/NAUTICA_MENS_V640359_NVY_3.jpg")</f>
        <v/>
      </c>
      <c r="O3457">
        <f>HYPERLINK("imagenes/NAUTICA_MENS_V640359_NVY_1.jpg","Ver imagen")</f>
        <v/>
      </c>
      <c r="P3457">
        <f>HYPERLINK("imagenes/NAUTICA_MENS_V640359_NVY_2.jpg","Ver imagen")</f>
        <v/>
      </c>
      <c r="Q3457">
        <f>HYPERLINK("imagenes/NAUTICA_MENS_V640359_NVY_3.jpg","Ver imagen")</f>
        <v/>
      </c>
    </row>
    <row r="3458">
      <c r="A3458" t="inlineStr">
        <is>
          <t>NAUTICA MENS</t>
        </is>
      </c>
      <c r="B3458" t="inlineStr">
        <is>
          <t>V641633</t>
        </is>
      </c>
      <c r="C3458" t="inlineStr">
        <is>
          <t>PUFFER VEST</t>
        </is>
      </c>
      <c r="D3458" t="inlineStr">
        <is>
          <t>BLK</t>
        </is>
      </c>
      <c r="E3458" t="inlineStr">
        <is>
          <t>(en blanco)</t>
        </is>
      </c>
      <c r="F3458" t="inlineStr">
        <is>
          <t>D2C</t>
        </is>
      </c>
      <c r="G3458" t="inlineStr">
        <is>
          <t>2XT</t>
        </is>
      </c>
      <c r="H3458" t="n">
        <v>5</v>
      </c>
      <c r="I3458" t="inlineStr">
        <is>
          <t>NAUTICA_MENS_V641633_BLK_1.jpg</t>
        </is>
      </c>
      <c r="J3458" t="inlineStr">
        <is>
          <t>NAUTICA_MENS_V641633_BLK_2.jpg</t>
        </is>
      </c>
      <c r="K3458" t="inlineStr">
        <is>
          <t>NAUTICA_MENS_V641633_BLK_3.jpg</t>
        </is>
      </c>
      <c r="L3458">
        <f>IMAGE("file:///E:/Estudios%20y%20certificaciones/ESTUDIOS%20DE%20PROGRAMMING/PROGRAMMING/PERSONAL/PYTHON/Image_Generator_API/imagenes/NAUTICA_MENS_V641633_BLK_1.jpg")</f>
        <v/>
      </c>
      <c r="M3458">
        <f>IMAGE("file:///E:/Estudios%20y%20certificaciones/ESTUDIOS%20DE%20PROGRAMMING/PROGRAMMING/PERSONAL/PYTHON/Image_Generator_API/imagenes/NAUTICA_MENS_V641633_BLK_2.jpg")</f>
        <v/>
      </c>
      <c r="N3458">
        <f>IMAGE("file:///E:/Estudios%20y%20certificaciones/ESTUDIOS%20DE%20PROGRAMMING/PROGRAMMING/PERSONAL/PYTHON/Image_Generator_API/imagenes/NAUTICA_MENS_V641633_BLK_3.jpg")</f>
        <v/>
      </c>
      <c r="O3458">
        <f>HYPERLINK("imagenes/NAUTICA_MENS_V641633_BLK_1.jpg","Ver imagen")</f>
        <v/>
      </c>
      <c r="P3458">
        <f>HYPERLINK("imagenes/NAUTICA_MENS_V641633_BLK_2.jpg","Ver imagen")</f>
        <v/>
      </c>
      <c r="Q3458">
        <f>HYPERLINK("imagenes/NAUTICA_MENS_V641633_BLK_3.jpg","Ver imagen")</f>
        <v/>
      </c>
    </row>
    <row r="3459">
      <c r="A3459" t="inlineStr">
        <is>
          <t>NAUTICA MENS</t>
        </is>
      </c>
      <c r="B3459" t="inlineStr">
        <is>
          <t>V641633</t>
        </is>
      </c>
      <c r="C3459" t="inlineStr">
        <is>
          <t>PUFFER VEST</t>
        </is>
      </c>
      <c r="D3459" t="inlineStr">
        <is>
          <t>BLK</t>
        </is>
      </c>
      <c r="E3459" t="inlineStr">
        <is>
          <t>(en blanco)</t>
        </is>
      </c>
      <c r="F3459" t="inlineStr">
        <is>
          <t>D2C</t>
        </is>
      </c>
      <c r="G3459" t="inlineStr">
        <is>
          <t>3XT</t>
        </is>
      </c>
      <c r="H3459" t="n">
        <v>4</v>
      </c>
      <c r="I3459" t="inlineStr">
        <is>
          <t>NAUTICA_MENS_V641633_BLK_1.jpg</t>
        </is>
      </c>
      <c r="J3459" t="inlineStr">
        <is>
          <t>NAUTICA_MENS_V641633_BLK_2.jpg</t>
        </is>
      </c>
      <c r="K3459" t="inlineStr">
        <is>
          <t>NAUTICA_MENS_V641633_BLK_3.jpg</t>
        </is>
      </c>
      <c r="L3459">
        <f>IMAGE("file:///E:/Estudios%20y%20certificaciones/ESTUDIOS%20DE%20PROGRAMMING/PROGRAMMING/PERSONAL/PYTHON/Image_Generator_API/imagenes/NAUTICA_MENS_V641633_BLK_1.jpg")</f>
        <v/>
      </c>
      <c r="M3459">
        <f>IMAGE("file:///E:/Estudios%20y%20certificaciones/ESTUDIOS%20DE%20PROGRAMMING/PROGRAMMING/PERSONAL/PYTHON/Image_Generator_API/imagenes/NAUTICA_MENS_V641633_BLK_2.jpg")</f>
        <v/>
      </c>
      <c r="N3459">
        <f>IMAGE("file:///E:/Estudios%20y%20certificaciones/ESTUDIOS%20DE%20PROGRAMMING/PROGRAMMING/PERSONAL/PYTHON/Image_Generator_API/imagenes/NAUTICA_MENS_V641633_BLK_3.jpg")</f>
        <v/>
      </c>
      <c r="O3459">
        <f>HYPERLINK("imagenes/NAUTICA_MENS_V641633_BLK_1.jpg","Ver imagen")</f>
        <v/>
      </c>
      <c r="P3459">
        <f>HYPERLINK("imagenes/NAUTICA_MENS_V641633_BLK_2.jpg","Ver imagen")</f>
        <v/>
      </c>
      <c r="Q3459">
        <f>HYPERLINK("imagenes/NAUTICA_MENS_V641633_BLK_3.jpg","Ver imagen")</f>
        <v/>
      </c>
    </row>
    <row r="3460">
      <c r="A3460" t="inlineStr">
        <is>
          <t>NAUTICA MENS</t>
        </is>
      </c>
      <c r="B3460" t="inlineStr">
        <is>
          <t>V641633</t>
        </is>
      </c>
      <c r="C3460" t="inlineStr">
        <is>
          <t>PUFFER VEST</t>
        </is>
      </c>
      <c r="D3460" t="inlineStr">
        <is>
          <t>BLK</t>
        </is>
      </c>
      <c r="E3460" t="inlineStr">
        <is>
          <t>(en blanco)</t>
        </is>
      </c>
      <c r="F3460" t="inlineStr">
        <is>
          <t>D2C</t>
        </is>
      </c>
      <c r="G3460" t="inlineStr">
        <is>
          <t>5XT</t>
        </is>
      </c>
      <c r="H3460" t="n">
        <v>1</v>
      </c>
      <c r="I3460" t="inlineStr">
        <is>
          <t>NAUTICA_MENS_V641633_BLK_1.jpg</t>
        </is>
      </c>
      <c r="J3460" t="inlineStr">
        <is>
          <t>NAUTICA_MENS_V641633_BLK_2.jpg</t>
        </is>
      </c>
      <c r="K3460" t="inlineStr">
        <is>
          <t>NAUTICA_MENS_V641633_BLK_3.jpg</t>
        </is>
      </c>
      <c r="L3460">
        <f>IMAGE("file:///E:/Estudios%20y%20certificaciones/ESTUDIOS%20DE%20PROGRAMMING/PROGRAMMING/PERSONAL/PYTHON/Image_Generator_API/imagenes/NAUTICA_MENS_V641633_BLK_1.jpg")</f>
        <v/>
      </c>
      <c r="M3460">
        <f>IMAGE("file:///E:/Estudios%20y%20certificaciones/ESTUDIOS%20DE%20PROGRAMMING/PROGRAMMING/PERSONAL/PYTHON/Image_Generator_API/imagenes/NAUTICA_MENS_V641633_BLK_2.jpg")</f>
        <v/>
      </c>
      <c r="N3460">
        <f>IMAGE("file:///E:/Estudios%20y%20certificaciones/ESTUDIOS%20DE%20PROGRAMMING/PROGRAMMING/PERSONAL/PYTHON/Image_Generator_API/imagenes/NAUTICA_MENS_V641633_BLK_3.jpg")</f>
        <v/>
      </c>
      <c r="O3460">
        <f>HYPERLINK("imagenes/NAUTICA_MENS_V641633_BLK_1.jpg","Ver imagen")</f>
        <v/>
      </c>
      <c r="P3460">
        <f>HYPERLINK("imagenes/NAUTICA_MENS_V641633_BLK_2.jpg","Ver imagen")</f>
        <v/>
      </c>
      <c r="Q3460">
        <f>HYPERLINK("imagenes/NAUTICA_MENS_V641633_BLK_3.jpg","Ver imagen")</f>
        <v/>
      </c>
    </row>
    <row r="3461">
      <c r="A3461" t="inlineStr">
        <is>
          <t>NAUTICA MENS</t>
        </is>
      </c>
      <c r="B3461" t="inlineStr">
        <is>
          <t>V641633</t>
        </is>
      </c>
      <c r="C3461" t="inlineStr">
        <is>
          <t>PUFFER VEST</t>
        </is>
      </c>
      <c r="D3461" t="inlineStr">
        <is>
          <t>BLK</t>
        </is>
      </c>
      <c r="E3461" t="inlineStr">
        <is>
          <t>(en blanco)</t>
        </is>
      </c>
      <c r="F3461" t="inlineStr">
        <is>
          <t>D2C</t>
        </is>
      </c>
      <c r="G3461" t="inlineStr">
        <is>
          <t>XLT</t>
        </is>
      </c>
      <c r="H3461" t="n">
        <v>2</v>
      </c>
      <c r="I3461" t="inlineStr">
        <is>
          <t>NAUTICA_MENS_V641633_BLK_1.jpg</t>
        </is>
      </c>
      <c r="J3461" t="inlineStr">
        <is>
          <t>NAUTICA_MENS_V641633_BLK_2.jpg</t>
        </is>
      </c>
      <c r="K3461" t="inlineStr">
        <is>
          <t>NAUTICA_MENS_V641633_BLK_3.jpg</t>
        </is>
      </c>
      <c r="L3461">
        <f>IMAGE("file:///E:/Estudios%20y%20certificaciones/ESTUDIOS%20DE%20PROGRAMMING/PROGRAMMING/PERSONAL/PYTHON/Image_Generator_API/imagenes/NAUTICA_MENS_V641633_BLK_1.jpg")</f>
        <v/>
      </c>
      <c r="M3461">
        <f>IMAGE("file:///E:/Estudios%20y%20certificaciones/ESTUDIOS%20DE%20PROGRAMMING/PROGRAMMING/PERSONAL/PYTHON/Image_Generator_API/imagenes/NAUTICA_MENS_V641633_BLK_2.jpg")</f>
        <v/>
      </c>
      <c r="N3461">
        <f>IMAGE("file:///E:/Estudios%20y%20certificaciones/ESTUDIOS%20DE%20PROGRAMMING/PROGRAMMING/PERSONAL/PYTHON/Image_Generator_API/imagenes/NAUTICA_MENS_V641633_BLK_3.jpg")</f>
        <v/>
      </c>
      <c r="O3461">
        <f>HYPERLINK("imagenes/NAUTICA_MENS_V641633_BLK_1.jpg","Ver imagen")</f>
        <v/>
      </c>
      <c r="P3461">
        <f>HYPERLINK("imagenes/NAUTICA_MENS_V641633_BLK_2.jpg","Ver imagen")</f>
        <v/>
      </c>
      <c r="Q3461">
        <f>HYPERLINK("imagenes/NAUTICA_MENS_V641633_BLK_3.jpg","Ver imagen")</f>
        <v/>
      </c>
    </row>
    <row r="3462">
      <c r="A3462" t="inlineStr">
        <is>
          <t>NAUTICA MENS</t>
        </is>
      </c>
      <c r="B3462" t="inlineStr">
        <is>
          <t>V642744</t>
        </is>
      </c>
      <c r="C3462" t="inlineStr">
        <is>
          <t>POLYSTR REVERSIBLE</t>
        </is>
      </c>
      <c r="D3462" t="inlineStr">
        <is>
          <t>BBY</t>
        </is>
      </c>
      <c r="E3462" t="inlineStr">
        <is>
          <t>(en blanco)</t>
        </is>
      </c>
      <c r="F3462" t="inlineStr">
        <is>
          <t>(en blanco)</t>
        </is>
      </c>
      <c r="G3462" t="inlineStr">
        <is>
          <t>2XT</t>
        </is>
      </c>
      <c r="H3462" t="n">
        <v>16</v>
      </c>
      <c r="I3462" t="inlineStr">
        <is>
          <t>NAUTICA_MENS_V642744_BBY_1.jpg</t>
        </is>
      </c>
      <c r="J3462" t="inlineStr">
        <is>
          <t>NAUTICA_MENS_V642744_BBY_2.jpg</t>
        </is>
      </c>
      <c r="K3462" t="inlineStr">
        <is>
          <t>NAUTICA_MENS_V642744_BBY_3.jpg</t>
        </is>
      </c>
      <c r="L3462">
        <f>IMAGE("file:///E:/Estudios%20y%20certificaciones/ESTUDIOS%20DE%20PROGRAMMING/PROGRAMMING/PERSONAL/PYTHON/Image_Generator_API/imagenes/NAUTICA_MENS_V642744_BBY_1.jpg")</f>
        <v/>
      </c>
      <c r="M3462">
        <f>IMAGE("file:///E:/Estudios%20y%20certificaciones/ESTUDIOS%20DE%20PROGRAMMING/PROGRAMMING/PERSONAL/PYTHON/Image_Generator_API/imagenes/NAUTICA_MENS_V642744_BBY_2.jpg")</f>
        <v/>
      </c>
      <c r="N3462">
        <f>IMAGE("file:///E:/Estudios%20y%20certificaciones/ESTUDIOS%20DE%20PROGRAMMING/PROGRAMMING/PERSONAL/PYTHON/Image_Generator_API/imagenes/NAUTICA_MENS_V642744_BBY_3.jpg")</f>
        <v/>
      </c>
      <c r="O3462">
        <f>HYPERLINK("imagenes/NAUTICA_MENS_V642744_BBY_1.jpg","Ver imagen")</f>
        <v/>
      </c>
      <c r="P3462">
        <f>HYPERLINK("imagenes/NAUTICA_MENS_V642744_BBY_2.jpg","Ver imagen")</f>
        <v/>
      </c>
      <c r="Q3462">
        <f>HYPERLINK("imagenes/NAUTICA_MENS_V642744_BBY_3.jpg","Ver imagen")</f>
        <v/>
      </c>
    </row>
    <row r="3463">
      <c r="A3463" t="inlineStr">
        <is>
          <t>NAUTICA MENS</t>
        </is>
      </c>
      <c r="B3463" t="inlineStr">
        <is>
          <t>V642744</t>
        </is>
      </c>
      <c r="C3463" t="inlineStr">
        <is>
          <t>POLYSTR REVERSIBLE</t>
        </is>
      </c>
      <c r="D3463" t="inlineStr">
        <is>
          <t>BBY</t>
        </is>
      </c>
      <c r="E3463" t="inlineStr">
        <is>
          <t>(en blanco)</t>
        </is>
      </c>
      <c r="F3463" t="inlineStr">
        <is>
          <t>(en blanco)</t>
        </is>
      </c>
      <c r="G3463" t="inlineStr">
        <is>
          <t>3XT</t>
        </is>
      </c>
      <c r="H3463" t="n">
        <v>10</v>
      </c>
      <c r="I3463" t="inlineStr">
        <is>
          <t>NAUTICA_MENS_V642744_BBY_1.jpg</t>
        </is>
      </c>
      <c r="J3463" t="inlineStr">
        <is>
          <t>NAUTICA_MENS_V642744_BBY_2.jpg</t>
        </is>
      </c>
      <c r="K3463" t="inlineStr">
        <is>
          <t>NAUTICA_MENS_V642744_BBY_3.jpg</t>
        </is>
      </c>
      <c r="L3463">
        <f>IMAGE("file:///E:/Estudios%20y%20certificaciones/ESTUDIOS%20DE%20PROGRAMMING/PROGRAMMING/PERSONAL/PYTHON/Image_Generator_API/imagenes/NAUTICA_MENS_V642744_BBY_1.jpg")</f>
        <v/>
      </c>
      <c r="M3463">
        <f>IMAGE("file:///E:/Estudios%20y%20certificaciones/ESTUDIOS%20DE%20PROGRAMMING/PROGRAMMING/PERSONAL/PYTHON/Image_Generator_API/imagenes/NAUTICA_MENS_V642744_BBY_2.jpg")</f>
        <v/>
      </c>
      <c r="N3463">
        <f>IMAGE("file:///E:/Estudios%20y%20certificaciones/ESTUDIOS%20DE%20PROGRAMMING/PROGRAMMING/PERSONAL/PYTHON/Image_Generator_API/imagenes/NAUTICA_MENS_V642744_BBY_3.jpg")</f>
        <v/>
      </c>
      <c r="O3463">
        <f>HYPERLINK("imagenes/NAUTICA_MENS_V642744_BBY_1.jpg","Ver imagen")</f>
        <v/>
      </c>
      <c r="P3463">
        <f>HYPERLINK("imagenes/NAUTICA_MENS_V642744_BBY_2.jpg","Ver imagen")</f>
        <v/>
      </c>
      <c r="Q3463">
        <f>HYPERLINK("imagenes/NAUTICA_MENS_V642744_BBY_3.jpg","Ver imagen")</f>
        <v/>
      </c>
    </row>
    <row r="3464">
      <c r="A3464" t="inlineStr">
        <is>
          <t>NAUTICA MENS</t>
        </is>
      </c>
      <c r="B3464" t="inlineStr">
        <is>
          <t>V642744</t>
        </is>
      </c>
      <c r="C3464" t="inlineStr">
        <is>
          <t>POLYSTR REVERSIBLE</t>
        </is>
      </c>
      <c r="D3464" t="inlineStr">
        <is>
          <t>BBY</t>
        </is>
      </c>
      <c r="E3464" t="inlineStr">
        <is>
          <t>(en blanco)</t>
        </is>
      </c>
      <c r="F3464" t="inlineStr">
        <is>
          <t>(en blanco)</t>
        </is>
      </c>
      <c r="G3464" t="inlineStr">
        <is>
          <t>4XT</t>
        </is>
      </c>
      <c r="H3464" t="n">
        <v>51</v>
      </c>
      <c r="I3464" t="inlineStr">
        <is>
          <t>NAUTICA_MENS_V642744_BBY_1.jpg</t>
        </is>
      </c>
      <c r="J3464" t="inlineStr">
        <is>
          <t>NAUTICA_MENS_V642744_BBY_2.jpg</t>
        </is>
      </c>
      <c r="K3464" t="inlineStr">
        <is>
          <t>NAUTICA_MENS_V642744_BBY_3.jpg</t>
        </is>
      </c>
      <c r="L3464">
        <f>IMAGE("file:///E:/Estudios%20y%20certificaciones/ESTUDIOS%20DE%20PROGRAMMING/PROGRAMMING/PERSONAL/PYTHON/Image_Generator_API/imagenes/NAUTICA_MENS_V642744_BBY_1.jpg")</f>
        <v/>
      </c>
      <c r="M3464">
        <f>IMAGE("file:///E:/Estudios%20y%20certificaciones/ESTUDIOS%20DE%20PROGRAMMING/PROGRAMMING/PERSONAL/PYTHON/Image_Generator_API/imagenes/NAUTICA_MENS_V642744_BBY_2.jpg")</f>
        <v/>
      </c>
      <c r="N3464">
        <f>IMAGE("file:///E:/Estudios%20y%20certificaciones/ESTUDIOS%20DE%20PROGRAMMING/PROGRAMMING/PERSONAL/PYTHON/Image_Generator_API/imagenes/NAUTICA_MENS_V642744_BBY_3.jpg")</f>
        <v/>
      </c>
      <c r="O3464">
        <f>HYPERLINK("imagenes/NAUTICA_MENS_V642744_BBY_1.jpg","Ver imagen")</f>
        <v/>
      </c>
      <c r="P3464">
        <f>HYPERLINK("imagenes/NAUTICA_MENS_V642744_BBY_2.jpg","Ver imagen")</f>
        <v/>
      </c>
      <c r="Q3464">
        <f>HYPERLINK("imagenes/NAUTICA_MENS_V642744_BBY_3.jpg","Ver imagen")</f>
        <v/>
      </c>
    </row>
    <row r="3465">
      <c r="A3465" t="inlineStr">
        <is>
          <t>NAUTICA MENS</t>
        </is>
      </c>
      <c r="B3465" t="inlineStr">
        <is>
          <t>V642744</t>
        </is>
      </c>
      <c r="C3465" t="inlineStr">
        <is>
          <t>POLYSTR REVERSIBLE</t>
        </is>
      </c>
      <c r="D3465" t="inlineStr">
        <is>
          <t>BBY</t>
        </is>
      </c>
      <c r="E3465" t="inlineStr">
        <is>
          <t>(en blanco)</t>
        </is>
      </c>
      <c r="F3465" t="inlineStr">
        <is>
          <t>(en blanco)</t>
        </is>
      </c>
      <c r="G3465" t="inlineStr">
        <is>
          <t>5XT</t>
        </is>
      </c>
      <c r="H3465" t="n">
        <v>10</v>
      </c>
      <c r="I3465" t="inlineStr">
        <is>
          <t>NAUTICA_MENS_V642744_BBY_1.jpg</t>
        </is>
      </c>
      <c r="J3465" t="inlineStr">
        <is>
          <t>NAUTICA_MENS_V642744_BBY_2.jpg</t>
        </is>
      </c>
      <c r="K3465" t="inlineStr">
        <is>
          <t>NAUTICA_MENS_V642744_BBY_3.jpg</t>
        </is>
      </c>
      <c r="L3465">
        <f>IMAGE("file:///E:/Estudios%20y%20certificaciones/ESTUDIOS%20DE%20PROGRAMMING/PROGRAMMING/PERSONAL/PYTHON/Image_Generator_API/imagenes/NAUTICA_MENS_V642744_BBY_1.jpg")</f>
        <v/>
      </c>
      <c r="M3465">
        <f>IMAGE("file:///E:/Estudios%20y%20certificaciones/ESTUDIOS%20DE%20PROGRAMMING/PROGRAMMING/PERSONAL/PYTHON/Image_Generator_API/imagenes/NAUTICA_MENS_V642744_BBY_2.jpg")</f>
        <v/>
      </c>
      <c r="N3465">
        <f>IMAGE("file:///E:/Estudios%20y%20certificaciones/ESTUDIOS%20DE%20PROGRAMMING/PROGRAMMING/PERSONAL/PYTHON/Image_Generator_API/imagenes/NAUTICA_MENS_V642744_BBY_3.jpg")</f>
        <v/>
      </c>
      <c r="O3465">
        <f>HYPERLINK("imagenes/NAUTICA_MENS_V642744_BBY_1.jpg","Ver imagen")</f>
        <v/>
      </c>
      <c r="P3465">
        <f>HYPERLINK("imagenes/NAUTICA_MENS_V642744_BBY_2.jpg","Ver imagen")</f>
        <v/>
      </c>
      <c r="Q3465">
        <f>HYPERLINK("imagenes/NAUTICA_MENS_V642744_BBY_3.jpg","Ver imagen")</f>
        <v/>
      </c>
    </row>
    <row r="3466">
      <c r="A3466" t="inlineStr">
        <is>
          <t>NAUTICA MENS</t>
        </is>
      </c>
      <c r="B3466" t="inlineStr">
        <is>
          <t>V642744</t>
        </is>
      </c>
      <c r="C3466" t="inlineStr">
        <is>
          <t>POLYSTR REVERSIBLE</t>
        </is>
      </c>
      <c r="D3466" t="inlineStr">
        <is>
          <t>BBY</t>
        </is>
      </c>
      <c r="E3466" t="inlineStr">
        <is>
          <t>(en blanco)</t>
        </is>
      </c>
      <c r="F3466" t="inlineStr">
        <is>
          <t>(en blanco)</t>
        </is>
      </c>
      <c r="G3466" t="inlineStr">
        <is>
          <t>6XT</t>
        </is>
      </c>
      <c r="H3466" t="n">
        <v>10</v>
      </c>
      <c r="I3466" t="inlineStr">
        <is>
          <t>NAUTICA_MENS_V642744_BBY_1.jpg</t>
        </is>
      </c>
      <c r="J3466" t="inlineStr">
        <is>
          <t>NAUTICA_MENS_V642744_BBY_2.jpg</t>
        </is>
      </c>
      <c r="K3466" t="inlineStr">
        <is>
          <t>NAUTICA_MENS_V642744_BBY_3.jpg</t>
        </is>
      </c>
      <c r="L3466">
        <f>IMAGE("file:///E:/Estudios%20y%20certificaciones/ESTUDIOS%20DE%20PROGRAMMING/PROGRAMMING/PERSONAL/PYTHON/Image_Generator_API/imagenes/NAUTICA_MENS_V642744_BBY_1.jpg")</f>
        <v/>
      </c>
      <c r="M3466">
        <f>IMAGE("file:///E:/Estudios%20y%20certificaciones/ESTUDIOS%20DE%20PROGRAMMING/PROGRAMMING/PERSONAL/PYTHON/Image_Generator_API/imagenes/NAUTICA_MENS_V642744_BBY_2.jpg")</f>
        <v/>
      </c>
      <c r="N3466">
        <f>IMAGE("file:///E:/Estudios%20y%20certificaciones/ESTUDIOS%20DE%20PROGRAMMING/PROGRAMMING/PERSONAL/PYTHON/Image_Generator_API/imagenes/NAUTICA_MENS_V642744_BBY_3.jpg")</f>
        <v/>
      </c>
      <c r="O3466">
        <f>HYPERLINK("imagenes/NAUTICA_MENS_V642744_BBY_1.jpg","Ver imagen")</f>
        <v/>
      </c>
      <c r="P3466">
        <f>HYPERLINK("imagenes/NAUTICA_MENS_V642744_BBY_2.jpg","Ver imagen")</f>
        <v/>
      </c>
      <c r="Q3466">
        <f>HYPERLINK("imagenes/NAUTICA_MENS_V642744_BBY_3.jpg","Ver imagen")</f>
        <v/>
      </c>
    </row>
    <row r="3467">
      <c r="A3467" t="inlineStr">
        <is>
          <t>NAUTICA MENS</t>
        </is>
      </c>
      <c r="B3467" t="inlineStr">
        <is>
          <t>V642744</t>
        </is>
      </c>
      <c r="C3467" t="inlineStr">
        <is>
          <t>POLYSTR REVERSIBLE</t>
        </is>
      </c>
      <c r="D3467" t="inlineStr">
        <is>
          <t>BBY</t>
        </is>
      </c>
      <c r="E3467" t="inlineStr">
        <is>
          <t>(en blanco)</t>
        </is>
      </c>
      <c r="F3467" t="inlineStr">
        <is>
          <t>(en blanco)</t>
        </is>
      </c>
      <c r="G3467" t="inlineStr">
        <is>
          <t>LT</t>
        </is>
      </c>
      <c r="H3467" t="n">
        <v>24</v>
      </c>
      <c r="I3467" t="inlineStr">
        <is>
          <t>NAUTICA_MENS_V642744_BBY_1.jpg</t>
        </is>
      </c>
      <c r="J3467" t="inlineStr">
        <is>
          <t>NAUTICA_MENS_V642744_BBY_2.jpg</t>
        </is>
      </c>
      <c r="K3467" t="inlineStr">
        <is>
          <t>NAUTICA_MENS_V642744_BBY_3.jpg</t>
        </is>
      </c>
      <c r="L3467">
        <f>IMAGE("file:///E:/Estudios%20y%20certificaciones/ESTUDIOS%20DE%20PROGRAMMING/PROGRAMMING/PERSONAL/PYTHON/Image_Generator_API/imagenes/NAUTICA_MENS_V642744_BBY_1.jpg")</f>
        <v/>
      </c>
      <c r="M3467">
        <f>IMAGE("file:///E:/Estudios%20y%20certificaciones/ESTUDIOS%20DE%20PROGRAMMING/PROGRAMMING/PERSONAL/PYTHON/Image_Generator_API/imagenes/NAUTICA_MENS_V642744_BBY_2.jpg")</f>
        <v/>
      </c>
      <c r="N3467">
        <f>IMAGE("file:///E:/Estudios%20y%20certificaciones/ESTUDIOS%20DE%20PROGRAMMING/PROGRAMMING/PERSONAL/PYTHON/Image_Generator_API/imagenes/NAUTICA_MENS_V642744_BBY_3.jpg")</f>
        <v/>
      </c>
      <c r="O3467">
        <f>HYPERLINK("imagenes/NAUTICA_MENS_V642744_BBY_1.jpg","Ver imagen")</f>
        <v/>
      </c>
      <c r="P3467">
        <f>HYPERLINK("imagenes/NAUTICA_MENS_V642744_BBY_2.jpg","Ver imagen")</f>
        <v/>
      </c>
      <c r="Q3467">
        <f>HYPERLINK("imagenes/NAUTICA_MENS_V642744_BBY_3.jpg","Ver imagen")</f>
        <v/>
      </c>
    </row>
    <row r="3468">
      <c r="A3468" t="inlineStr">
        <is>
          <t>NAUTICA MENS</t>
        </is>
      </c>
      <c r="B3468" t="inlineStr">
        <is>
          <t>V642744</t>
        </is>
      </c>
      <c r="C3468" t="inlineStr">
        <is>
          <t>POLYSTR REVERSIBLE</t>
        </is>
      </c>
      <c r="D3468" t="inlineStr">
        <is>
          <t>BBY</t>
        </is>
      </c>
      <c r="E3468" t="inlineStr">
        <is>
          <t>(en blanco)</t>
        </is>
      </c>
      <c r="F3468" t="inlineStr">
        <is>
          <t>(en blanco)</t>
        </is>
      </c>
      <c r="G3468" t="inlineStr">
        <is>
          <t>XLT</t>
        </is>
      </c>
      <c r="H3468" t="n">
        <v>14</v>
      </c>
      <c r="I3468" t="inlineStr">
        <is>
          <t>NAUTICA_MENS_V642744_BBY_1.jpg</t>
        </is>
      </c>
      <c r="J3468" t="inlineStr">
        <is>
          <t>NAUTICA_MENS_V642744_BBY_2.jpg</t>
        </is>
      </c>
      <c r="K3468" t="inlineStr">
        <is>
          <t>NAUTICA_MENS_V642744_BBY_3.jpg</t>
        </is>
      </c>
      <c r="L3468">
        <f>IMAGE("file:///E:/Estudios%20y%20certificaciones/ESTUDIOS%20DE%20PROGRAMMING/PROGRAMMING/PERSONAL/PYTHON/Image_Generator_API/imagenes/NAUTICA_MENS_V642744_BBY_1.jpg")</f>
        <v/>
      </c>
      <c r="M3468">
        <f>IMAGE("file:///E:/Estudios%20y%20certificaciones/ESTUDIOS%20DE%20PROGRAMMING/PROGRAMMING/PERSONAL/PYTHON/Image_Generator_API/imagenes/NAUTICA_MENS_V642744_BBY_2.jpg")</f>
        <v/>
      </c>
      <c r="N3468">
        <f>IMAGE("file:///E:/Estudios%20y%20certificaciones/ESTUDIOS%20DE%20PROGRAMMING/PROGRAMMING/PERSONAL/PYTHON/Image_Generator_API/imagenes/NAUTICA_MENS_V642744_BBY_3.jpg")</f>
        <v/>
      </c>
      <c r="O3468">
        <f>HYPERLINK("imagenes/NAUTICA_MENS_V642744_BBY_1.jpg","Ver imagen")</f>
        <v/>
      </c>
      <c r="P3468">
        <f>HYPERLINK("imagenes/NAUTICA_MENS_V642744_BBY_2.jpg","Ver imagen")</f>
        <v/>
      </c>
      <c r="Q3468">
        <f>HYPERLINK("imagenes/NAUTICA_MENS_V642744_BBY_3.jpg","Ver imagen")</f>
        <v/>
      </c>
    </row>
    <row r="3469">
      <c r="A3469" t="inlineStr">
        <is>
          <t>NAUTICA MENS</t>
        </is>
      </c>
      <c r="B3469" t="inlineStr">
        <is>
          <t>V642744</t>
        </is>
      </c>
      <c r="C3469" t="inlineStr">
        <is>
          <t>POLYSTR REVERSIBLE</t>
        </is>
      </c>
      <c r="D3469" t="inlineStr">
        <is>
          <t>NRD</t>
        </is>
      </c>
      <c r="E3469" t="inlineStr">
        <is>
          <t>(en blanco)</t>
        </is>
      </c>
      <c r="F3469" t="inlineStr">
        <is>
          <t>D2C</t>
        </is>
      </c>
      <c r="G3469" t="inlineStr">
        <is>
          <t>2XT</t>
        </is>
      </c>
      <c r="H3469" t="n">
        <v>12</v>
      </c>
      <c r="I3469" t="inlineStr">
        <is>
          <t>NAUTICA_MENS_V642744_NRD_1.jpg</t>
        </is>
      </c>
      <c r="J3469" t="inlineStr">
        <is>
          <t>NAUTICA_MENS_V642744_NRD_2.jpg</t>
        </is>
      </c>
      <c r="K3469" t="inlineStr">
        <is>
          <t>NAUTICA_MENS_V642744_NRD_3.jpg</t>
        </is>
      </c>
      <c r="L3469">
        <f>IMAGE("file:///E:/Estudios%20y%20certificaciones/ESTUDIOS%20DE%20PROGRAMMING/PROGRAMMING/PERSONAL/PYTHON/Image_Generator_API/imagenes/NAUTICA_MENS_V642744_NRD_1.jpg")</f>
        <v/>
      </c>
      <c r="M3469">
        <f>IMAGE("file:///E:/Estudios%20y%20certificaciones/ESTUDIOS%20DE%20PROGRAMMING/PROGRAMMING/PERSONAL/PYTHON/Image_Generator_API/imagenes/NAUTICA_MENS_V642744_NRD_2.jpg")</f>
        <v/>
      </c>
      <c r="N3469">
        <f>IMAGE("file:///E:/Estudios%20y%20certificaciones/ESTUDIOS%20DE%20PROGRAMMING/PROGRAMMING/PERSONAL/PYTHON/Image_Generator_API/imagenes/NAUTICA_MENS_V642744_NRD_3.jpg")</f>
        <v/>
      </c>
      <c r="O3469">
        <f>HYPERLINK("imagenes/NAUTICA_MENS_V642744_NRD_1.jpg","Ver imagen")</f>
        <v/>
      </c>
      <c r="P3469">
        <f>HYPERLINK("imagenes/NAUTICA_MENS_V642744_NRD_2.jpg","Ver imagen")</f>
        <v/>
      </c>
      <c r="Q3469">
        <f>HYPERLINK("imagenes/NAUTICA_MENS_V642744_NRD_3.jpg","Ver imagen")</f>
        <v/>
      </c>
    </row>
    <row r="3470">
      <c r="A3470" t="inlineStr">
        <is>
          <t>NAUTICA MENS</t>
        </is>
      </c>
      <c r="B3470" t="inlineStr">
        <is>
          <t>V642744</t>
        </is>
      </c>
      <c r="C3470" t="inlineStr">
        <is>
          <t>POLYSTR REVERSIBLE</t>
        </is>
      </c>
      <c r="D3470" t="inlineStr">
        <is>
          <t>NRD</t>
        </is>
      </c>
      <c r="E3470" t="inlineStr">
        <is>
          <t>(en blanco)</t>
        </is>
      </c>
      <c r="F3470" t="inlineStr">
        <is>
          <t>D2C</t>
        </is>
      </c>
      <c r="G3470" t="inlineStr">
        <is>
          <t>3XT</t>
        </is>
      </c>
      <c r="H3470" t="n">
        <v>14</v>
      </c>
      <c r="I3470" t="inlineStr">
        <is>
          <t>NAUTICA_MENS_V642744_NRD_1.jpg</t>
        </is>
      </c>
      <c r="J3470" t="inlineStr">
        <is>
          <t>NAUTICA_MENS_V642744_NRD_2.jpg</t>
        </is>
      </c>
      <c r="K3470" t="inlineStr">
        <is>
          <t>NAUTICA_MENS_V642744_NRD_3.jpg</t>
        </is>
      </c>
      <c r="L3470">
        <f>IMAGE("file:///E:/Estudios%20y%20certificaciones/ESTUDIOS%20DE%20PROGRAMMING/PROGRAMMING/PERSONAL/PYTHON/Image_Generator_API/imagenes/NAUTICA_MENS_V642744_NRD_1.jpg")</f>
        <v/>
      </c>
      <c r="M3470">
        <f>IMAGE("file:///E:/Estudios%20y%20certificaciones/ESTUDIOS%20DE%20PROGRAMMING/PROGRAMMING/PERSONAL/PYTHON/Image_Generator_API/imagenes/NAUTICA_MENS_V642744_NRD_2.jpg")</f>
        <v/>
      </c>
      <c r="N3470">
        <f>IMAGE("file:///E:/Estudios%20y%20certificaciones/ESTUDIOS%20DE%20PROGRAMMING/PROGRAMMING/PERSONAL/PYTHON/Image_Generator_API/imagenes/NAUTICA_MENS_V642744_NRD_3.jpg")</f>
        <v/>
      </c>
      <c r="O3470">
        <f>HYPERLINK("imagenes/NAUTICA_MENS_V642744_NRD_1.jpg","Ver imagen")</f>
        <v/>
      </c>
      <c r="P3470">
        <f>HYPERLINK("imagenes/NAUTICA_MENS_V642744_NRD_2.jpg","Ver imagen")</f>
        <v/>
      </c>
      <c r="Q3470">
        <f>HYPERLINK("imagenes/NAUTICA_MENS_V642744_NRD_3.jpg","Ver imagen")</f>
        <v/>
      </c>
    </row>
    <row r="3471">
      <c r="A3471" t="inlineStr">
        <is>
          <t>NAUTICA MENS</t>
        </is>
      </c>
      <c r="B3471" t="inlineStr">
        <is>
          <t>V642744</t>
        </is>
      </c>
      <c r="C3471" t="inlineStr">
        <is>
          <t>POLYSTR REVERSIBLE</t>
        </is>
      </c>
      <c r="D3471" t="inlineStr">
        <is>
          <t>NRD</t>
        </is>
      </c>
      <c r="E3471" t="inlineStr">
        <is>
          <t>(en blanco)</t>
        </is>
      </c>
      <c r="F3471" t="inlineStr">
        <is>
          <t>D2C</t>
        </is>
      </c>
      <c r="G3471" t="inlineStr">
        <is>
          <t>4XT</t>
        </is>
      </c>
      <c r="H3471" t="n">
        <v>1</v>
      </c>
      <c r="I3471" t="inlineStr">
        <is>
          <t>NAUTICA_MENS_V642744_NRD_1.jpg</t>
        </is>
      </c>
      <c r="J3471" t="inlineStr">
        <is>
          <t>NAUTICA_MENS_V642744_NRD_2.jpg</t>
        </is>
      </c>
      <c r="K3471" t="inlineStr">
        <is>
          <t>NAUTICA_MENS_V642744_NRD_3.jpg</t>
        </is>
      </c>
      <c r="L3471">
        <f>IMAGE("file:///E:/Estudios%20y%20certificaciones/ESTUDIOS%20DE%20PROGRAMMING/PROGRAMMING/PERSONAL/PYTHON/Image_Generator_API/imagenes/NAUTICA_MENS_V642744_NRD_1.jpg")</f>
        <v/>
      </c>
      <c r="M3471">
        <f>IMAGE("file:///E:/Estudios%20y%20certificaciones/ESTUDIOS%20DE%20PROGRAMMING/PROGRAMMING/PERSONAL/PYTHON/Image_Generator_API/imagenes/NAUTICA_MENS_V642744_NRD_2.jpg")</f>
        <v/>
      </c>
      <c r="N3471">
        <f>IMAGE("file:///E:/Estudios%20y%20certificaciones/ESTUDIOS%20DE%20PROGRAMMING/PROGRAMMING/PERSONAL/PYTHON/Image_Generator_API/imagenes/NAUTICA_MENS_V642744_NRD_3.jpg")</f>
        <v/>
      </c>
      <c r="O3471">
        <f>HYPERLINK("imagenes/NAUTICA_MENS_V642744_NRD_1.jpg","Ver imagen")</f>
        <v/>
      </c>
      <c r="P3471">
        <f>HYPERLINK("imagenes/NAUTICA_MENS_V642744_NRD_2.jpg","Ver imagen")</f>
        <v/>
      </c>
      <c r="Q3471">
        <f>HYPERLINK("imagenes/NAUTICA_MENS_V642744_NRD_3.jpg","Ver imagen")</f>
        <v/>
      </c>
    </row>
    <row r="3472">
      <c r="A3472" t="inlineStr">
        <is>
          <t>NAUTICA MENS</t>
        </is>
      </c>
      <c r="B3472" t="inlineStr">
        <is>
          <t>V642744</t>
        </is>
      </c>
      <c r="C3472" t="inlineStr">
        <is>
          <t>POLYSTR REVERSIBLE</t>
        </is>
      </c>
      <c r="D3472" t="inlineStr">
        <is>
          <t>NRD</t>
        </is>
      </c>
      <c r="E3472" t="inlineStr">
        <is>
          <t>(en blanco)</t>
        </is>
      </c>
      <c r="F3472" t="inlineStr">
        <is>
          <t>D2C</t>
        </is>
      </c>
      <c r="G3472" t="inlineStr">
        <is>
          <t>LT</t>
        </is>
      </c>
      <c r="H3472" t="n">
        <v>18</v>
      </c>
      <c r="I3472" t="inlineStr">
        <is>
          <t>NAUTICA_MENS_V642744_NRD_1.jpg</t>
        </is>
      </c>
      <c r="J3472" t="inlineStr">
        <is>
          <t>NAUTICA_MENS_V642744_NRD_2.jpg</t>
        </is>
      </c>
      <c r="K3472" t="inlineStr">
        <is>
          <t>NAUTICA_MENS_V642744_NRD_3.jpg</t>
        </is>
      </c>
      <c r="L3472">
        <f>IMAGE("file:///E:/Estudios%20y%20certificaciones/ESTUDIOS%20DE%20PROGRAMMING/PROGRAMMING/PERSONAL/PYTHON/Image_Generator_API/imagenes/NAUTICA_MENS_V642744_NRD_1.jpg")</f>
        <v/>
      </c>
      <c r="M3472">
        <f>IMAGE("file:///E:/Estudios%20y%20certificaciones/ESTUDIOS%20DE%20PROGRAMMING/PROGRAMMING/PERSONAL/PYTHON/Image_Generator_API/imagenes/NAUTICA_MENS_V642744_NRD_2.jpg")</f>
        <v/>
      </c>
      <c r="N3472">
        <f>IMAGE("file:///E:/Estudios%20y%20certificaciones/ESTUDIOS%20DE%20PROGRAMMING/PROGRAMMING/PERSONAL/PYTHON/Image_Generator_API/imagenes/NAUTICA_MENS_V642744_NRD_3.jpg")</f>
        <v/>
      </c>
      <c r="O3472">
        <f>HYPERLINK("imagenes/NAUTICA_MENS_V642744_NRD_1.jpg","Ver imagen")</f>
        <v/>
      </c>
      <c r="P3472">
        <f>HYPERLINK("imagenes/NAUTICA_MENS_V642744_NRD_2.jpg","Ver imagen")</f>
        <v/>
      </c>
      <c r="Q3472">
        <f>HYPERLINK("imagenes/NAUTICA_MENS_V642744_NRD_3.jpg","Ver imagen")</f>
        <v/>
      </c>
    </row>
    <row r="3473">
      <c r="A3473" t="inlineStr">
        <is>
          <t>NAUTICA MENS</t>
        </is>
      </c>
      <c r="B3473" t="inlineStr">
        <is>
          <t>V642744</t>
        </is>
      </c>
      <c r="C3473" t="inlineStr">
        <is>
          <t>POLYSTR REVERSIBLE</t>
        </is>
      </c>
      <c r="D3473" t="inlineStr">
        <is>
          <t>NRD</t>
        </is>
      </c>
      <c r="E3473" t="inlineStr">
        <is>
          <t>(en blanco)</t>
        </is>
      </c>
      <c r="F3473" t="inlineStr">
        <is>
          <t>D2C</t>
        </is>
      </c>
      <c r="G3473" t="inlineStr">
        <is>
          <t>XLT</t>
        </is>
      </c>
      <c r="H3473" t="n">
        <v>26</v>
      </c>
      <c r="I3473" t="inlineStr">
        <is>
          <t>NAUTICA_MENS_V642744_NRD_1.jpg</t>
        </is>
      </c>
      <c r="J3473" t="inlineStr">
        <is>
          <t>NAUTICA_MENS_V642744_NRD_2.jpg</t>
        </is>
      </c>
      <c r="K3473" t="inlineStr">
        <is>
          <t>NAUTICA_MENS_V642744_NRD_3.jpg</t>
        </is>
      </c>
      <c r="L3473">
        <f>IMAGE("file:///E:/Estudios%20y%20certificaciones/ESTUDIOS%20DE%20PROGRAMMING/PROGRAMMING/PERSONAL/PYTHON/Image_Generator_API/imagenes/NAUTICA_MENS_V642744_NRD_1.jpg")</f>
        <v/>
      </c>
      <c r="M3473">
        <f>IMAGE("file:///E:/Estudios%20y%20certificaciones/ESTUDIOS%20DE%20PROGRAMMING/PROGRAMMING/PERSONAL/PYTHON/Image_Generator_API/imagenes/NAUTICA_MENS_V642744_NRD_2.jpg")</f>
        <v/>
      </c>
      <c r="N3473">
        <f>IMAGE("file:///E:/Estudios%20y%20certificaciones/ESTUDIOS%20DE%20PROGRAMMING/PROGRAMMING/PERSONAL/PYTHON/Image_Generator_API/imagenes/NAUTICA_MENS_V642744_NRD_3.jpg")</f>
        <v/>
      </c>
      <c r="O3473">
        <f>HYPERLINK("imagenes/NAUTICA_MENS_V642744_NRD_1.jpg","Ver imagen")</f>
        <v/>
      </c>
      <c r="P3473">
        <f>HYPERLINK("imagenes/NAUTICA_MENS_V642744_NRD_2.jpg","Ver imagen")</f>
        <v/>
      </c>
      <c r="Q3473">
        <f>HYPERLINK("imagenes/NAUTICA_MENS_V642744_NRD_3.jpg","Ver imagen")</f>
        <v/>
      </c>
    </row>
    <row r="3474">
      <c r="A3474" t="inlineStr">
        <is>
          <t>NAUTICA MENS</t>
        </is>
      </c>
      <c r="B3474" t="inlineStr">
        <is>
          <t>V642744</t>
        </is>
      </c>
      <c r="C3474" t="inlineStr">
        <is>
          <t>POLYSTR REVERSIBLE</t>
        </is>
      </c>
      <c r="D3474" t="inlineStr">
        <is>
          <t>NRD</t>
        </is>
      </c>
      <c r="E3474" t="inlineStr">
        <is>
          <t>(en blanco)</t>
        </is>
      </c>
      <c r="F3474" t="inlineStr">
        <is>
          <t>(en blanco)</t>
        </is>
      </c>
      <c r="G3474" t="inlineStr">
        <is>
          <t>2XT</t>
        </is>
      </c>
      <c r="H3474" t="n">
        <v>8</v>
      </c>
      <c r="I3474" t="inlineStr">
        <is>
          <t>NAUTICA_MENS_V642744_NRD_1.jpg</t>
        </is>
      </c>
      <c r="J3474" t="inlineStr">
        <is>
          <t>NAUTICA_MENS_V642744_NRD_2.jpg</t>
        </is>
      </c>
      <c r="K3474" t="inlineStr">
        <is>
          <t>NAUTICA_MENS_V642744_NRD_3.jpg</t>
        </is>
      </c>
      <c r="L3474">
        <f>IMAGE("file:///E:/Estudios%20y%20certificaciones/ESTUDIOS%20DE%20PROGRAMMING/PROGRAMMING/PERSONAL/PYTHON/Image_Generator_API/imagenes/NAUTICA_MENS_V642744_NRD_1.jpg")</f>
        <v/>
      </c>
      <c r="M3474">
        <f>IMAGE("file:///E:/Estudios%20y%20certificaciones/ESTUDIOS%20DE%20PROGRAMMING/PROGRAMMING/PERSONAL/PYTHON/Image_Generator_API/imagenes/NAUTICA_MENS_V642744_NRD_2.jpg")</f>
        <v/>
      </c>
      <c r="N3474">
        <f>IMAGE("file:///E:/Estudios%20y%20certificaciones/ESTUDIOS%20DE%20PROGRAMMING/PROGRAMMING/PERSONAL/PYTHON/Image_Generator_API/imagenes/NAUTICA_MENS_V642744_NRD_3.jpg")</f>
        <v/>
      </c>
      <c r="O3474">
        <f>HYPERLINK("imagenes/NAUTICA_MENS_V642744_NRD_1.jpg","Ver imagen")</f>
        <v/>
      </c>
      <c r="P3474">
        <f>HYPERLINK("imagenes/NAUTICA_MENS_V642744_NRD_2.jpg","Ver imagen")</f>
        <v/>
      </c>
      <c r="Q3474">
        <f>HYPERLINK("imagenes/NAUTICA_MENS_V642744_NRD_3.jpg","Ver imagen")</f>
        <v/>
      </c>
    </row>
    <row r="3475">
      <c r="A3475" t="inlineStr">
        <is>
          <t>NAUTICA MENS</t>
        </is>
      </c>
      <c r="B3475" t="inlineStr">
        <is>
          <t>V645548</t>
        </is>
      </c>
      <c r="C3475" t="inlineStr">
        <is>
          <t>WOOL PEACOAT</t>
        </is>
      </c>
      <c r="D3475" t="inlineStr">
        <is>
          <t>BLK</t>
        </is>
      </c>
      <c r="E3475" t="inlineStr">
        <is>
          <t>(en blanco)</t>
        </is>
      </c>
      <c r="F3475" t="inlineStr">
        <is>
          <t>(en blanco)</t>
        </is>
      </c>
      <c r="G3475" t="inlineStr">
        <is>
          <t>2XT</t>
        </is>
      </c>
      <c r="H3475" t="n">
        <v>4</v>
      </c>
      <c r="I3475" t="inlineStr">
        <is>
          <t>NAUTICA_MENS_V645548_BLK_1.jpg</t>
        </is>
      </c>
      <c r="J3475" t="inlineStr">
        <is>
          <t>NAUTICA_MENS_V645548_BLK_2.jpg</t>
        </is>
      </c>
      <c r="K3475" t="inlineStr">
        <is>
          <t>NAUTICA_MENS_V645548_BLK_3.jpg</t>
        </is>
      </c>
      <c r="L3475">
        <f>IMAGE("file:///E:/Estudios%20y%20certificaciones/ESTUDIOS%20DE%20PROGRAMMING/PROGRAMMING/PERSONAL/PYTHON/Image_Generator_API/imagenes/NAUTICA_MENS_V645548_BLK_1.jpg")</f>
        <v/>
      </c>
      <c r="M3475">
        <f>IMAGE("file:///E:/Estudios%20y%20certificaciones/ESTUDIOS%20DE%20PROGRAMMING/PROGRAMMING/PERSONAL/PYTHON/Image_Generator_API/imagenes/NAUTICA_MENS_V645548_BLK_2.jpg")</f>
        <v/>
      </c>
      <c r="N3475">
        <f>IMAGE("file:///E:/Estudios%20y%20certificaciones/ESTUDIOS%20DE%20PROGRAMMING/PROGRAMMING/PERSONAL/PYTHON/Image_Generator_API/imagenes/NAUTICA_MENS_V645548_BLK_3.jpg")</f>
        <v/>
      </c>
      <c r="O3475">
        <f>HYPERLINK("imagenes/NAUTICA_MENS_V645548_BLK_1.jpg","Ver imagen")</f>
        <v/>
      </c>
      <c r="P3475">
        <f>HYPERLINK("imagenes/NAUTICA_MENS_V645548_BLK_2.jpg","Ver imagen")</f>
        <v/>
      </c>
      <c r="Q3475">
        <f>HYPERLINK("imagenes/NAUTICA_MENS_V645548_BLK_3.jpg","Ver imagen")</f>
        <v/>
      </c>
    </row>
    <row r="3476">
      <c r="A3476" t="inlineStr">
        <is>
          <t>NAUTICA MENS</t>
        </is>
      </c>
      <c r="B3476" t="inlineStr">
        <is>
          <t>V645548</t>
        </is>
      </c>
      <c r="C3476" t="inlineStr">
        <is>
          <t>WOOL PEACOAT</t>
        </is>
      </c>
      <c r="D3476" t="inlineStr">
        <is>
          <t>BLK</t>
        </is>
      </c>
      <c r="E3476" t="inlineStr">
        <is>
          <t>(en blanco)</t>
        </is>
      </c>
      <c r="F3476" t="inlineStr">
        <is>
          <t>(en blanco)</t>
        </is>
      </c>
      <c r="G3476" t="inlineStr">
        <is>
          <t>3XT</t>
        </is>
      </c>
      <c r="H3476" t="n">
        <v>9</v>
      </c>
      <c r="I3476" t="inlineStr">
        <is>
          <t>NAUTICA_MENS_V645548_BLK_1.jpg</t>
        </is>
      </c>
      <c r="J3476" t="inlineStr">
        <is>
          <t>NAUTICA_MENS_V645548_BLK_2.jpg</t>
        </is>
      </c>
      <c r="K3476" t="inlineStr">
        <is>
          <t>NAUTICA_MENS_V645548_BLK_3.jpg</t>
        </is>
      </c>
      <c r="L3476">
        <f>IMAGE("file:///E:/Estudios%20y%20certificaciones/ESTUDIOS%20DE%20PROGRAMMING/PROGRAMMING/PERSONAL/PYTHON/Image_Generator_API/imagenes/NAUTICA_MENS_V645548_BLK_1.jpg")</f>
        <v/>
      </c>
      <c r="M3476">
        <f>IMAGE("file:///E:/Estudios%20y%20certificaciones/ESTUDIOS%20DE%20PROGRAMMING/PROGRAMMING/PERSONAL/PYTHON/Image_Generator_API/imagenes/NAUTICA_MENS_V645548_BLK_2.jpg")</f>
        <v/>
      </c>
      <c r="N3476">
        <f>IMAGE("file:///E:/Estudios%20y%20certificaciones/ESTUDIOS%20DE%20PROGRAMMING/PROGRAMMING/PERSONAL/PYTHON/Image_Generator_API/imagenes/NAUTICA_MENS_V645548_BLK_3.jpg")</f>
        <v/>
      </c>
      <c r="O3476">
        <f>HYPERLINK("imagenes/NAUTICA_MENS_V645548_BLK_1.jpg","Ver imagen")</f>
        <v/>
      </c>
      <c r="P3476">
        <f>HYPERLINK("imagenes/NAUTICA_MENS_V645548_BLK_2.jpg","Ver imagen")</f>
        <v/>
      </c>
      <c r="Q3476">
        <f>HYPERLINK("imagenes/NAUTICA_MENS_V645548_BLK_3.jpg","Ver imagen")</f>
        <v/>
      </c>
    </row>
    <row r="3477">
      <c r="A3477" t="inlineStr">
        <is>
          <t>NAUTICA MENS</t>
        </is>
      </c>
      <c r="B3477" t="inlineStr">
        <is>
          <t>V645548</t>
        </is>
      </c>
      <c r="C3477" t="inlineStr">
        <is>
          <t>WOOL PEACOAT</t>
        </is>
      </c>
      <c r="D3477" t="inlineStr">
        <is>
          <t>BLK</t>
        </is>
      </c>
      <c r="E3477" t="inlineStr">
        <is>
          <t>(en blanco)</t>
        </is>
      </c>
      <c r="F3477" t="inlineStr">
        <is>
          <t>(en blanco)</t>
        </is>
      </c>
      <c r="G3477" t="inlineStr">
        <is>
          <t>5XT</t>
        </is>
      </c>
      <c r="H3477" t="n">
        <v>7</v>
      </c>
      <c r="I3477" t="inlineStr">
        <is>
          <t>NAUTICA_MENS_V645548_BLK_1.jpg</t>
        </is>
      </c>
      <c r="J3477" t="inlineStr">
        <is>
          <t>NAUTICA_MENS_V645548_BLK_2.jpg</t>
        </is>
      </c>
      <c r="K3477" t="inlineStr">
        <is>
          <t>NAUTICA_MENS_V645548_BLK_3.jpg</t>
        </is>
      </c>
      <c r="L3477">
        <f>IMAGE("file:///E:/Estudios%20y%20certificaciones/ESTUDIOS%20DE%20PROGRAMMING/PROGRAMMING/PERSONAL/PYTHON/Image_Generator_API/imagenes/NAUTICA_MENS_V645548_BLK_1.jpg")</f>
        <v/>
      </c>
      <c r="M3477">
        <f>IMAGE("file:///E:/Estudios%20y%20certificaciones/ESTUDIOS%20DE%20PROGRAMMING/PROGRAMMING/PERSONAL/PYTHON/Image_Generator_API/imagenes/NAUTICA_MENS_V645548_BLK_2.jpg")</f>
        <v/>
      </c>
      <c r="N3477">
        <f>IMAGE("file:///E:/Estudios%20y%20certificaciones/ESTUDIOS%20DE%20PROGRAMMING/PROGRAMMING/PERSONAL/PYTHON/Image_Generator_API/imagenes/NAUTICA_MENS_V645548_BLK_3.jpg")</f>
        <v/>
      </c>
      <c r="O3477">
        <f>HYPERLINK("imagenes/NAUTICA_MENS_V645548_BLK_1.jpg","Ver imagen")</f>
        <v/>
      </c>
      <c r="P3477">
        <f>HYPERLINK("imagenes/NAUTICA_MENS_V645548_BLK_2.jpg","Ver imagen")</f>
        <v/>
      </c>
      <c r="Q3477">
        <f>HYPERLINK("imagenes/NAUTICA_MENS_V645548_BLK_3.jpg","Ver imagen")</f>
        <v/>
      </c>
    </row>
    <row r="3478">
      <c r="A3478" t="inlineStr">
        <is>
          <t>NAUTICA MENS</t>
        </is>
      </c>
      <c r="B3478" t="inlineStr">
        <is>
          <t>V645548</t>
        </is>
      </c>
      <c r="C3478" t="inlineStr">
        <is>
          <t>WOOL PEACOAT</t>
        </is>
      </c>
      <c r="D3478" t="inlineStr">
        <is>
          <t>BLK</t>
        </is>
      </c>
      <c r="E3478" t="inlineStr">
        <is>
          <t>(en blanco)</t>
        </is>
      </c>
      <c r="F3478" t="inlineStr">
        <is>
          <t>(en blanco)</t>
        </is>
      </c>
      <c r="G3478" t="inlineStr">
        <is>
          <t>6XT</t>
        </is>
      </c>
      <c r="H3478" t="n">
        <v>17</v>
      </c>
      <c r="I3478" t="inlineStr">
        <is>
          <t>NAUTICA_MENS_V645548_BLK_1.jpg</t>
        </is>
      </c>
      <c r="J3478" t="inlineStr">
        <is>
          <t>NAUTICA_MENS_V645548_BLK_2.jpg</t>
        </is>
      </c>
      <c r="K3478" t="inlineStr">
        <is>
          <t>NAUTICA_MENS_V645548_BLK_3.jpg</t>
        </is>
      </c>
      <c r="L3478">
        <f>IMAGE("file:///E:/Estudios%20y%20certificaciones/ESTUDIOS%20DE%20PROGRAMMING/PROGRAMMING/PERSONAL/PYTHON/Image_Generator_API/imagenes/NAUTICA_MENS_V645548_BLK_1.jpg")</f>
        <v/>
      </c>
      <c r="M3478">
        <f>IMAGE("file:///E:/Estudios%20y%20certificaciones/ESTUDIOS%20DE%20PROGRAMMING/PROGRAMMING/PERSONAL/PYTHON/Image_Generator_API/imagenes/NAUTICA_MENS_V645548_BLK_2.jpg")</f>
        <v/>
      </c>
      <c r="N3478">
        <f>IMAGE("file:///E:/Estudios%20y%20certificaciones/ESTUDIOS%20DE%20PROGRAMMING/PROGRAMMING/PERSONAL/PYTHON/Image_Generator_API/imagenes/NAUTICA_MENS_V645548_BLK_3.jpg")</f>
        <v/>
      </c>
      <c r="O3478">
        <f>HYPERLINK("imagenes/NAUTICA_MENS_V645548_BLK_1.jpg","Ver imagen")</f>
        <v/>
      </c>
      <c r="P3478">
        <f>HYPERLINK("imagenes/NAUTICA_MENS_V645548_BLK_2.jpg","Ver imagen")</f>
        <v/>
      </c>
      <c r="Q3478">
        <f>HYPERLINK("imagenes/NAUTICA_MENS_V645548_BLK_3.jpg","Ver imagen")</f>
        <v/>
      </c>
    </row>
    <row r="3479">
      <c r="A3479" t="inlineStr">
        <is>
          <t>NAUTICA MENS</t>
        </is>
      </c>
      <c r="B3479" t="inlineStr">
        <is>
          <t>V645548</t>
        </is>
      </c>
      <c r="C3479" t="inlineStr">
        <is>
          <t>WOOL PEACOAT</t>
        </is>
      </c>
      <c r="D3479" t="inlineStr">
        <is>
          <t>BLK</t>
        </is>
      </c>
      <c r="E3479" t="inlineStr">
        <is>
          <t>(en blanco)</t>
        </is>
      </c>
      <c r="F3479" t="inlineStr">
        <is>
          <t>(en blanco)</t>
        </is>
      </c>
      <c r="G3479" t="inlineStr">
        <is>
          <t>LT</t>
        </is>
      </c>
      <c r="H3479" t="n">
        <v>17</v>
      </c>
      <c r="I3479" t="inlineStr">
        <is>
          <t>NAUTICA_MENS_V645548_BLK_1.jpg</t>
        </is>
      </c>
      <c r="J3479" t="inlineStr">
        <is>
          <t>NAUTICA_MENS_V645548_BLK_2.jpg</t>
        </is>
      </c>
      <c r="K3479" t="inlineStr">
        <is>
          <t>NAUTICA_MENS_V645548_BLK_3.jpg</t>
        </is>
      </c>
      <c r="L3479">
        <f>IMAGE("file:///E:/Estudios%20y%20certificaciones/ESTUDIOS%20DE%20PROGRAMMING/PROGRAMMING/PERSONAL/PYTHON/Image_Generator_API/imagenes/NAUTICA_MENS_V645548_BLK_1.jpg")</f>
        <v/>
      </c>
      <c r="M3479">
        <f>IMAGE("file:///E:/Estudios%20y%20certificaciones/ESTUDIOS%20DE%20PROGRAMMING/PROGRAMMING/PERSONAL/PYTHON/Image_Generator_API/imagenes/NAUTICA_MENS_V645548_BLK_2.jpg")</f>
        <v/>
      </c>
      <c r="N3479">
        <f>IMAGE("file:///E:/Estudios%20y%20certificaciones/ESTUDIOS%20DE%20PROGRAMMING/PROGRAMMING/PERSONAL/PYTHON/Image_Generator_API/imagenes/NAUTICA_MENS_V645548_BLK_3.jpg")</f>
        <v/>
      </c>
      <c r="O3479">
        <f>HYPERLINK("imagenes/NAUTICA_MENS_V645548_BLK_1.jpg","Ver imagen")</f>
        <v/>
      </c>
      <c r="P3479">
        <f>HYPERLINK("imagenes/NAUTICA_MENS_V645548_BLK_2.jpg","Ver imagen")</f>
        <v/>
      </c>
      <c r="Q3479">
        <f>HYPERLINK("imagenes/NAUTICA_MENS_V645548_BLK_3.jpg","Ver imagen")</f>
        <v/>
      </c>
    </row>
    <row r="3480">
      <c r="A3480" t="inlineStr">
        <is>
          <t>NAUTICA MENS</t>
        </is>
      </c>
      <c r="B3480" t="inlineStr">
        <is>
          <t>V645548</t>
        </is>
      </c>
      <c r="C3480" t="inlineStr">
        <is>
          <t>WOOL PEACOAT</t>
        </is>
      </c>
      <c r="D3480" t="inlineStr">
        <is>
          <t>BLK</t>
        </is>
      </c>
      <c r="E3480" t="inlineStr">
        <is>
          <t>(en blanco)</t>
        </is>
      </c>
      <c r="F3480" t="inlineStr">
        <is>
          <t>(en blanco)</t>
        </is>
      </c>
      <c r="G3480" t="inlineStr">
        <is>
          <t>XLT</t>
        </is>
      </c>
      <c r="H3480" t="n">
        <v>9</v>
      </c>
      <c r="I3480" t="inlineStr">
        <is>
          <t>NAUTICA_MENS_V645548_BLK_1.jpg</t>
        </is>
      </c>
      <c r="J3480" t="inlineStr">
        <is>
          <t>NAUTICA_MENS_V645548_BLK_2.jpg</t>
        </is>
      </c>
      <c r="K3480" t="inlineStr">
        <is>
          <t>NAUTICA_MENS_V645548_BLK_3.jpg</t>
        </is>
      </c>
      <c r="L3480">
        <f>IMAGE("file:///E:/Estudios%20y%20certificaciones/ESTUDIOS%20DE%20PROGRAMMING/PROGRAMMING/PERSONAL/PYTHON/Image_Generator_API/imagenes/NAUTICA_MENS_V645548_BLK_1.jpg")</f>
        <v/>
      </c>
      <c r="M3480">
        <f>IMAGE("file:///E:/Estudios%20y%20certificaciones/ESTUDIOS%20DE%20PROGRAMMING/PROGRAMMING/PERSONAL/PYTHON/Image_Generator_API/imagenes/NAUTICA_MENS_V645548_BLK_2.jpg")</f>
        <v/>
      </c>
      <c r="N3480">
        <f>IMAGE("file:///E:/Estudios%20y%20certificaciones/ESTUDIOS%20DE%20PROGRAMMING/PROGRAMMING/PERSONAL/PYTHON/Image_Generator_API/imagenes/NAUTICA_MENS_V645548_BLK_3.jpg")</f>
        <v/>
      </c>
      <c r="O3480">
        <f>HYPERLINK("imagenes/NAUTICA_MENS_V645548_BLK_1.jpg","Ver imagen")</f>
        <v/>
      </c>
      <c r="P3480">
        <f>HYPERLINK("imagenes/NAUTICA_MENS_V645548_BLK_2.jpg","Ver imagen")</f>
        <v/>
      </c>
      <c r="Q3480">
        <f>HYPERLINK("imagenes/NAUTICA_MENS_V645548_BLK_3.jpg","Ver imagen")</f>
        <v/>
      </c>
    </row>
    <row r="3481">
      <c r="A3481" t="inlineStr">
        <is>
          <t>NAUTICA MENS</t>
        </is>
      </c>
      <c r="B3481" t="inlineStr">
        <is>
          <t>V645548</t>
        </is>
      </c>
      <c r="C3481" t="inlineStr">
        <is>
          <t>WOOL PEACOAT</t>
        </is>
      </c>
      <c r="D3481" t="inlineStr">
        <is>
          <t>CHR</t>
        </is>
      </c>
      <c r="E3481" t="inlineStr">
        <is>
          <t>(en blanco)</t>
        </is>
      </c>
      <c r="F3481" t="inlineStr">
        <is>
          <t>(en blanco)</t>
        </is>
      </c>
      <c r="G3481" t="inlineStr">
        <is>
          <t>2XT</t>
        </is>
      </c>
      <c r="H3481" t="n">
        <v>25</v>
      </c>
      <c r="I3481" t="inlineStr">
        <is>
          <t>NAUTICA_MENS_V645548_CHR_1.jpg</t>
        </is>
      </c>
      <c r="J3481" t="inlineStr">
        <is>
          <t>NAUTICA_MENS_V645548_CHR_2.jpg</t>
        </is>
      </c>
      <c r="K3481" t="inlineStr">
        <is>
          <t>NAUTICA_MENS_V645548_CHR_3.jpg</t>
        </is>
      </c>
      <c r="L3481">
        <f>IMAGE("file:///E:/Estudios%20y%20certificaciones/ESTUDIOS%20DE%20PROGRAMMING/PROGRAMMING/PERSONAL/PYTHON/Image_Generator_API/imagenes/NAUTICA_MENS_V645548_CHR_1.jpg")</f>
        <v/>
      </c>
      <c r="M3481">
        <f>IMAGE("file:///E:/Estudios%20y%20certificaciones/ESTUDIOS%20DE%20PROGRAMMING/PROGRAMMING/PERSONAL/PYTHON/Image_Generator_API/imagenes/NAUTICA_MENS_V645548_CHR_2.jpg")</f>
        <v/>
      </c>
      <c r="N3481">
        <f>IMAGE("file:///E:/Estudios%20y%20certificaciones/ESTUDIOS%20DE%20PROGRAMMING/PROGRAMMING/PERSONAL/PYTHON/Image_Generator_API/imagenes/NAUTICA_MENS_V645548_CHR_3.jpg")</f>
        <v/>
      </c>
      <c r="O3481">
        <f>HYPERLINK("imagenes/NAUTICA_MENS_V645548_CHR_1.jpg","Ver imagen")</f>
        <v/>
      </c>
      <c r="P3481">
        <f>HYPERLINK("imagenes/NAUTICA_MENS_V645548_CHR_2.jpg","Ver imagen")</f>
        <v/>
      </c>
      <c r="Q3481">
        <f>HYPERLINK("imagenes/NAUTICA_MENS_V645548_CHR_3.jpg","Ver imagen")</f>
        <v/>
      </c>
    </row>
    <row r="3482">
      <c r="A3482" t="inlineStr">
        <is>
          <t>NAUTICA MENS</t>
        </is>
      </c>
      <c r="B3482" t="inlineStr">
        <is>
          <t>V645548</t>
        </is>
      </c>
      <c r="C3482" t="inlineStr">
        <is>
          <t>WOOL PEACOAT</t>
        </is>
      </c>
      <c r="D3482" t="inlineStr">
        <is>
          <t>CHR</t>
        </is>
      </c>
      <c r="E3482" t="inlineStr">
        <is>
          <t>(en blanco)</t>
        </is>
      </c>
      <c r="F3482" t="inlineStr">
        <is>
          <t>(en blanco)</t>
        </is>
      </c>
      <c r="G3482" t="inlineStr">
        <is>
          <t>3XT</t>
        </is>
      </c>
      <c r="H3482" t="n">
        <v>17</v>
      </c>
      <c r="I3482" t="inlineStr">
        <is>
          <t>NAUTICA_MENS_V645548_CHR_1.jpg</t>
        </is>
      </c>
      <c r="J3482" t="inlineStr">
        <is>
          <t>NAUTICA_MENS_V645548_CHR_2.jpg</t>
        </is>
      </c>
      <c r="K3482" t="inlineStr">
        <is>
          <t>NAUTICA_MENS_V645548_CHR_3.jpg</t>
        </is>
      </c>
      <c r="L3482">
        <f>IMAGE("file:///E:/Estudios%20y%20certificaciones/ESTUDIOS%20DE%20PROGRAMMING/PROGRAMMING/PERSONAL/PYTHON/Image_Generator_API/imagenes/NAUTICA_MENS_V645548_CHR_1.jpg")</f>
        <v/>
      </c>
      <c r="M3482">
        <f>IMAGE("file:///E:/Estudios%20y%20certificaciones/ESTUDIOS%20DE%20PROGRAMMING/PROGRAMMING/PERSONAL/PYTHON/Image_Generator_API/imagenes/NAUTICA_MENS_V645548_CHR_2.jpg")</f>
        <v/>
      </c>
      <c r="N3482">
        <f>IMAGE("file:///E:/Estudios%20y%20certificaciones/ESTUDIOS%20DE%20PROGRAMMING/PROGRAMMING/PERSONAL/PYTHON/Image_Generator_API/imagenes/NAUTICA_MENS_V645548_CHR_3.jpg")</f>
        <v/>
      </c>
      <c r="O3482">
        <f>HYPERLINK("imagenes/NAUTICA_MENS_V645548_CHR_1.jpg","Ver imagen")</f>
        <v/>
      </c>
      <c r="P3482">
        <f>HYPERLINK("imagenes/NAUTICA_MENS_V645548_CHR_2.jpg","Ver imagen")</f>
        <v/>
      </c>
      <c r="Q3482">
        <f>HYPERLINK("imagenes/NAUTICA_MENS_V645548_CHR_3.jpg","Ver imagen")</f>
        <v/>
      </c>
    </row>
    <row r="3483">
      <c r="A3483" t="inlineStr">
        <is>
          <t>NAUTICA MENS</t>
        </is>
      </c>
      <c r="B3483" t="inlineStr">
        <is>
          <t>V645548</t>
        </is>
      </c>
      <c r="C3483" t="inlineStr">
        <is>
          <t>WOOL PEACOAT</t>
        </is>
      </c>
      <c r="D3483" t="inlineStr">
        <is>
          <t>CHR</t>
        </is>
      </c>
      <c r="E3483" t="inlineStr">
        <is>
          <t>(en blanco)</t>
        </is>
      </c>
      <c r="F3483" t="inlineStr">
        <is>
          <t>(en blanco)</t>
        </is>
      </c>
      <c r="G3483" t="inlineStr">
        <is>
          <t>4XT</t>
        </is>
      </c>
      <c r="H3483" t="n">
        <v>9</v>
      </c>
      <c r="I3483" t="inlineStr">
        <is>
          <t>NAUTICA_MENS_V645548_CHR_1.jpg</t>
        </is>
      </c>
      <c r="J3483" t="inlineStr">
        <is>
          <t>NAUTICA_MENS_V645548_CHR_2.jpg</t>
        </is>
      </c>
      <c r="K3483" t="inlineStr">
        <is>
          <t>NAUTICA_MENS_V645548_CHR_3.jpg</t>
        </is>
      </c>
      <c r="L3483">
        <f>IMAGE("file:///E:/Estudios%20y%20certificaciones/ESTUDIOS%20DE%20PROGRAMMING/PROGRAMMING/PERSONAL/PYTHON/Image_Generator_API/imagenes/NAUTICA_MENS_V645548_CHR_1.jpg")</f>
        <v/>
      </c>
      <c r="M3483">
        <f>IMAGE("file:///E:/Estudios%20y%20certificaciones/ESTUDIOS%20DE%20PROGRAMMING/PROGRAMMING/PERSONAL/PYTHON/Image_Generator_API/imagenes/NAUTICA_MENS_V645548_CHR_2.jpg")</f>
        <v/>
      </c>
      <c r="N3483">
        <f>IMAGE("file:///E:/Estudios%20y%20certificaciones/ESTUDIOS%20DE%20PROGRAMMING/PROGRAMMING/PERSONAL/PYTHON/Image_Generator_API/imagenes/NAUTICA_MENS_V645548_CHR_3.jpg")</f>
        <v/>
      </c>
      <c r="O3483">
        <f>HYPERLINK("imagenes/NAUTICA_MENS_V645548_CHR_1.jpg","Ver imagen")</f>
        <v/>
      </c>
      <c r="P3483">
        <f>HYPERLINK("imagenes/NAUTICA_MENS_V645548_CHR_2.jpg","Ver imagen")</f>
        <v/>
      </c>
      <c r="Q3483">
        <f>HYPERLINK("imagenes/NAUTICA_MENS_V645548_CHR_3.jpg","Ver imagen")</f>
        <v/>
      </c>
    </row>
    <row r="3484">
      <c r="A3484" t="inlineStr">
        <is>
          <t>NAUTICA MENS</t>
        </is>
      </c>
      <c r="B3484" t="inlineStr">
        <is>
          <t>V645548</t>
        </is>
      </c>
      <c r="C3484" t="inlineStr">
        <is>
          <t>WOOL PEACOAT</t>
        </is>
      </c>
      <c r="D3484" t="inlineStr">
        <is>
          <t>CHR</t>
        </is>
      </c>
      <c r="E3484" t="inlineStr">
        <is>
          <t>(en blanco)</t>
        </is>
      </c>
      <c r="F3484" t="inlineStr">
        <is>
          <t>(en blanco)</t>
        </is>
      </c>
      <c r="G3484" t="inlineStr">
        <is>
          <t>LT</t>
        </is>
      </c>
      <c r="H3484" t="n">
        <v>14</v>
      </c>
      <c r="I3484" t="inlineStr">
        <is>
          <t>NAUTICA_MENS_V645548_CHR_1.jpg</t>
        </is>
      </c>
      <c r="J3484" t="inlineStr">
        <is>
          <t>NAUTICA_MENS_V645548_CHR_2.jpg</t>
        </is>
      </c>
      <c r="K3484" t="inlineStr">
        <is>
          <t>NAUTICA_MENS_V645548_CHR_3.jpg</t>
        </is>
      </c>
      <c r="L3484">
        <f>IMAGE("file:///E:/Estudios%20y%20certificaciones/ESTUDIOS%20DE%20PROGRAMMING/PROGRAMMING/PERSONAL/PYTHON/Image_Generator_API/imagenes/NAUTICA_MENS_V645548_CHR_1.jpg")</f>
        <v/>
      </c>
      <c r="M3484">
        <f>IMAGE("file:///E:/Estudios%20y%20certificaciones/ESTUDIOS%20DE%20PROGRAMMING/PROGRAMMING/PERSONAL/PYTHON/Image_Generator_API/imagenes/NAUTICA_MENS_V645548_CHR_2.jpg")</f>
        <v/>
      </c>
      <c r="N3484">
        <f>IMAGE("file:///E:/Estudios%20y%20certificaciones/ESTUDIOS%20DE%20PROGRAMMING/PROGRAMMING/PERSONAL/PYTHON/Image_Generator_API/imagenes/NAUTICA_MENS_V645548_CHR_3.jpg")</f>
        <v/>
      </c>
      <c r="O3484">
        <f>HYPERLINK("imagenes/NAUTICA_MENS_V645548_CHR_1.jpg","Ver imagen")</f>
        <v/>
      </c>
      <c r="P3484">
        <f>HYPERLINK("imagenes/NAUTICA_MENS_V645548_CHR_2.jpg","Ver imagen")</f>
        <v/>
      </c>
      <c r="Q3484">
        <f>HYPERLINK("imagenes/NAUTICA_MENS_V645548_CHR_3.jpg","Ver imagen")</f>
        <v/>
      </c>
    </row>
    <row r="3485">
      <c r="A3485" t="inlineStr">
        <is>
          <t>NAUTICA MENS</t>
        </is>
      </c>
      <c r="B3485" t="inlineStr">
        <is>
          <t>V645548</t>
        </is>
      </c>
      <c r="C3485" t="inlineStr">
        <is>
          <t>WOOL PEACOAT</t>
        </is>
      </c>
      <c r="D3485" t="inlineStr">
        <is>
          <t>CHR</t>
        </is>
      </c>
      <c r="E3485" t="inlineStr">
        <is>
          <t>(en blanco)</t>
        </is>
      </c>
      <c r="F3485" t="inlineStr">
        <is>
          <t>(en blanco)</t>
        </is>
      </c>
      <c r="G3485" t="inlineStr">
        <is>
          <t>XLT</t>
        </is>
      </c>
      <c r="H3485" t="n">
        <v>17</v>
      </c>
      <c r="I3485" t="inlineStr">
        <is>
          <t>NAUTICA_MENS_V645548_CHR_1.jpg</t>
        </is>
      </c>
      <c r="J3485" t="inlineStr">
        <is>
          <t>NAUTICA_MENS_V645548_CHR_2.jpg</t>
        </is>
      </c>
      <c r="K3485" t="inlineStr">
        <is>
          <t>NAUTICA_MENS_V645548_CHR_3.jpg</t>
        </is>
      </c>
      <c r="L3485">
        <f>IMAGE("file:///E:/Estudios%20y%20certificaciones/ESTUDIOS%20DE%20PROGRAMMING/PROGRAMMING/PERSONAL/PYTHON/Image_Generator_API/imagenes/NAUTICA_MENS_V645548_CHR_1.jpg")</f>
        <v/>
      </c>
      <c r="M3485">
        <f>IMAGE("file:///E:/Estudios%20y%20certificaciones/ESTUDIOS%20DE%20PROGRAMMING/PROGRAMMING/PERSONAL/PYTHON/Image_Generator_API/imagenes/NAUTICA_MENS_V645548_CHR_2.jpg")</f>
        <v/>
      </c>
      <c r="N3485">
        <f>IMAGE("file:///E:/Estudios%20y%20certificaciones/ESTUDIOS%20DE%20PROGRAMMING/PROGRAMMING/PERSONAL/PYTHON/Image_Generator_API/imagenes/NAUTICA_MENS_V645548_CHR_3.jpg")</f>
        <v/>
      </c>
      <c r="O3485">
        <f>HYPERLINK("imagenes/NAUTICA_MENS_V645548_CHR_1.jpg","Ver imagen")</f>
        <v/>
      </c>
      <c r="P3485">
        <f>HYPERLINK("imagenes/NAUTICA_MENS_V645548_CHR_2.jpg","Ver imagen")</f>
        <v/>
      </c>
      <c r="Q3485">
        <f>HYPERLINK("imagenes/NAUTICA_MENS_V645548_CHR_3.jpg","Ver imagen")</f>
        <v/>
      </c>
    </row>
    <row r="3486">
      <c r="A3486" t="inlineStr">
        <is>
          <t>NAUTICA MENS</t>
        </is>
      </c>
      <c r="B3486" t="inlineStr">
        <is>
          <t>V645548</t>
        </is>
      </c>
      <c r="C3486" t="inlineStr">
        <is>
          <t>WOOL PEACOAT</t>
        </is>
      </c>
      <c r="D3486" t="inlineStr">
        <is>
          <t>DNY</t>
        </is>
      </c>
      <c r="E3486" t="inlineStr">
        <is>
          <t>(en blanco)</t>
        </is>
      </c>
      <c r="F3486" t="inlineStr">
        <is>
          <t>(en blanco)</t>
        </is>
      </c>
      <c r="G3486" t="inlineStr">
        <is>
          <t>2XT</t>
        </is>
      </c>
      <c r="H3486" t="n">
        <v>25</v>
      </c>
      <c r="I3486" t="inlineStr">
        <is>
          <t>NAUTICA_MENS_V645548_DNY_1.jpg</t>
        </is>
      </c>
      <c r="J3486" t="inlineStr">
        <is>
          <t>NAUTICA_MENS_V645548_DNY_2.jpg</t>
        </is>
      </c>
      <c r="K3486" t="inlineStr">
        <is>
          <t>NAUTICA_MENS_V645548_DNY_3.jpg</t>
        </is>
      </c>
      <c r="L3486">
        <f>IMAGE("file:///E:/Estudios%20y%20certificaciones/ESTUDIOS%20DE%20PROGRAMMING/PROGRAMMING/PERSONAL/PYTHON/Image_Generator_API/imagenes/NAUTICA_MENS_V645548_DNY_1.jpg")</f>
        <v/>
      </c>
      <c r="M3486">
        <f>IMAGE("file:///E:/Estudios%20y%20certificaciones/ESTUDIOS%20DE%20PROGRAMMING/PROGRAMMING/PERSONAL/PYTHON/Image_Generator_API/imagenes/NAUTICA_MENS_V645548_DNY_2.jpg")</f>
        <v/>
      </c>
      <c r="N3486">
        <f>IMAGE("file:///E:/Estudios%20y%20certificaciones/ESTUDIOS%20DE%20PROGRAMMING/PROGRAMMING/PERSONAL/PYTHON/Image_Generator_API/imagenes/NAUTICA_MENS_V645548_DNY_3.jpg")</f>
        <v/>
      </c>
      <c r="O3486">
        <f>HYPERLINK("imagenes/NAUTICA_MENS_V645548_DNY_1.jpg","Ver imagen")</f>
        <v/>
      </c>
      <c r="P3486">
        <f>HYPERLINK("imagenes/NAUTICA_MENS_V645548_DNY_2.jpg","Ver imagen")</f>
        <v/>
      </c>
      <c r="Q3486">
        <f>HYPERLINK("imagenes/NAUTICA_MENS_V645548_DNY_3.jpg","Ver imagen")</f>
        <v/>
      </c>
    </row>
    <row r="3487">
      <c r="A3487" t="inlineStr">
        <is>
          <t>NAUTICA MENS</t>
        </is>
      </c>
      <c r="B3487" t="inlineStr">
        <is>
          <t>V645548</t>
        </is>
      </c>
      <c r="C3487" t="inlineStr">
        <is>
          <t>WOOL PEACOAT</t>
        </is>
      </c>
      <c r="D3487" t="inlineStr">
        <is>
          <t>DNY</t>
        </is>
      </c>
      <c r="E3487" t="inlineStr">
        <is>
          <t>(en blanco)</t>
        </is>
      </c>
      <c r="F3487" t="inlineStr">
        <is>
          <t>(en blanco)</t>
        </is>
      </c>
      <c r="G3487" t="inlineStr">
        <is>
          <t>3XT</t>
        </is>
      </c>
      <c r="H3487" t="n">
        <v>23</v>
      </c>
      <c r="I3487" t="inlineStr">
        <is>
          <t>NAUTICA_MENS_V645548_DNY_1.jpg</t>
        </is>
      </c>
      <c r="J3487" t="inlineStr">
        <is>
          <t>NAUTICA_MENS_V645548_DNY_2.jpg</t>
        </is>
      </c>
      <c r="K3487" t="inlineStr">
        <is>
          <t>NAUTICA_MENS_V645548_DNY_3.jpg</t>
        </is>
      </c>
      <c r="L3487">
        <f>IMAGE("file:///E:/Estudios%20y%20certificaciones/ESTUDIOS%20DE%20PROGRAMMING/PROGRAMMING/PERSONAL/PYTHON/Image_Generator_API/imagenes/NAUTICA_MENS_V645548_DNY_1.jpg")</f>
        <v/>
      </c>
      <c r="M3487">
        <f>IMAGE("file:///E:/Estudios%20y%20certificaciones/ESTUDIOS%20DE%20PROGRAMMING/PROGRAMMING/PERSONAL/PYTHON/Image_Generator_API/imagenes/NAUTICA_MENS_V645548_DNY_2.jpg")</f>
        <v/>
      </c>
      <c r="N3487">
        <f>IMAGE("file:///E:/Estudios%20y%20certificaciones/ESTUDIOS%20DE%20PROGRAMMING/PROGRAMMING/PERSONAL/PYTHON/Image_Generator_API/imagenes/NAUTICA_MENS_V645548_DNY_3.jpg")</f>
        <v/>
      </c>
      <c r="O3487">
        <f>HYPERLINK("imagenes/NAUTICA_MENS_V645548_DNY_1.jpg","Ver imagen")</f>
        <v/>
      </c>
      <c r="P3487">
        <f>HYPERLINK("imagenes/NAUTICA_MENS_V645548_DNY_2.jpg","Ver imagen")</f>
        <v/>
      </c>
      <c r="Q3487">
        <f>HYPERLINK("imagenes/NAUTICA_MENS_V645548_DNY_3.jpg","Ver imagen")</f>
        <v/>
      </c>
    </row>
    <row r="3488">
      <c r="A3488" t="inlineStr">
        <is>
          <t>NAUTICA MENS</t>
        </is>
      </c>
      <c r="B3488" t="inlineStr">
        <is>
          <t>V645548</t>
        </is>
      </c>
      <c r="C3488" t="inlineStr">
        <is>
          <t>WOOL PEACOAT</t>
        </is>
      </c>
      <c r="D3488" t="inlineStr">
        <is>
          <t>DNY</t>
        </is>
      </c>
      <c r="E3488" t="inlineStr">
        <is>
          <t>(en blanco)</t>
        </is>
      </c>
      <c r="F3488" t="inlineStr">
        <is>
          <t>(en blanco)</t>
        </is>
      </c>
      <c r="G3488" t="inlineStr">
        <is>
          <t>4XT</t>
        </is>
      </c>
      <c r="H3488" t="n">
        <v>8</v>
      </c>
      <c r="I3488" t="inlineStr">
        <is>
          <t>NAUTICA_MENS_V645548_DNY_1.jpg</t>
        </is>
      </c>
      <c r="J3488" t="inlineStr">
        <is>
          <t>NAUTICA_MENS_V645548_DNY_2.jpg</t>
        </is>
      </c>
      <c r="K3488" t="inlineStr">
        <is>
          <t>NAUTICA_MENS_V645548_DNY_3.jpg</t>
        </is>
      </c>
      <c r="L3488">
        <f>IMAGE("file:///E:/Estudios%20y%20certificaciones/ESTUDIOS%20DE%20PROGRAMMING/PROGRAMMING/PERSONAL/PYTHON/Image_Generator_API/imagenes/NAUTICA_MENS_V645548_DNY_1.jpg")</f>
        <v/>
      </c>
      <c r="M3488">
        <f>IMAGE("file:///E:/Estudios%20y%20certificaciones/ESTUDIOS%20DE%20PROGRAMMING/PROGRAMMING/PERSONAL/PYTHON/Image_Generator_API/imagenes/NAUTICA_MENS_V645548_DNY_2.jpg")</f>
        <v/>
      </c>
      <c r="N3488">
        <f>IMAGE("file:///E:/Estudios%20y%20certificaciones/ESTUDIOS%20DE%20PROGRAMMING/PROGRAMMING/PERSONAL/PYTHON/Image_Generator_API/imagenes/NAUTICA_MENS_V645548_DNY_3.jpg")</f>
        <v/>
      </c>
      <c r="O3488">
        <f>HYPERLINK("imagenes/NAUTICA_MENS_V645548_DNY_1.jpg","Ver imagen")</f>
        <v/>
      </c>
      <c r="P3488">
        <f>HYPERLINK("imagenes/NAUTICA_MENS_V645548_DNY_2.jpg","Ver imagen")</f>
        <v/>
      </c>
      <c r="Q3488">
        <f>HYPERLINK("imagenes/NAUTICA_MENS_V645548_DNY_3.jpg","Ver imagen")</f>
        <v/>
      </c>
    </row>
    <row r="3489">
      <c r="A3489" t="inlineStr">
        <is>
          <t>NAUTICA MENS</t>
        </is>
      </c>
      <c r="B3489" t="inlineStr">
        <is>
          <t>V645548</t>
        </is>
      </c>
      <c r="C3489" t="inlineStr">
        <is>
          <t>WOOL PEACOAT</t>
        </is>
      </c>
      <c r="D3489" t="inlineStr">
        <is>
          <t>DNY</t>
        </is>
      </c>
      <c r="E3489" t="inlineStr">
        <is>
          <t>(en blanco)</t>
        </is>
      </c>
      <c r="F3489" t="inlineStr">
        <is>
          <t>(en blanco)</t>
        </is>
      </c>
      <c r="G3489" t="inlineStr">
        <is>
          <t>5XT</t>
        </is>
      </c>
      <c r="H3489" t="n">
        <v>4</v>
      </c>
      <c r="I3489" t="inlineStr">
        <is>
          <t>NAUTICA_MENS_V645548_DNY_1.jpg</t>
        </is>
      </c>
      <c r="J3489" t="inlineStr">
        <is>
          <t>NAUTICA_MENS_V645548_DNY_2.jpg</t>
        </is>
      </c>
      <c r="K3489" t="inlineStr">
        <is>
          <t>NAUTICA_MENS_V645548_DNY_3.jpg</t>
        </is>
      </c>
      <c r="L3489">
        <f>IMAGE("file:///E:/Estudios%20y%20certificaciones/ESTUDIOS%20DE%20PROGRAMMING/PROGRAMMING/PERSONAL/PYTHON/Image_Generator_API/imagenes/NAUTICA_MENS_V645548_DNY_1.jpg")</f>
        <v/>
      </c>
      <c r="M3489">
        <f>IMAGE("file:///E:/Estudios%20y%20certificaciones/ESTUDIOS%20DE%20PROGRAMMING/PROGRAMMING/PERSONAL/PYTHON/Image_Generator_API/imagenes/NAUTICA_MENS_V645548_DNY_2.jpg")</f>
        <v/>
      </c>
      <c r="N3489">
        <f>IMAGE("file:///E:/Estudios%20y%20certificaciones/ESTUDIOS%20DE%20PROGRAMMING/PROGRAMMING/PERSONAL/PYTHON/Image_Generator_API/imagenes/NAUTICA_MENS_V645548_DNY_3.jpg")</f>
        <v/>
      </c>
      <c r="O3489">
        <f>HYPERLINK("imagenes/NAUTICA_MENS_V645548_DNY_1.jpg","Ver imagen")</f>
        <v/>
      </c>
      <c r="P3489">
        <f>HYPERLINK("imagenes/NAUTICA_MENS_V645548_DNY_2.jpg","Ver imagen")</f>
        <v/>
      </c>
      <c r="Q3489">
        <f>HYPERLINK("imagenes/NAUTICA_MENS_V645548_DNY_3.jpg","Ver imagen")</f>
        <v/>
      </c>
    </row>
    <row r="3490">
      <c r="A3490" t="inlineStr">
        <is>
          <t>NAUTICA MENS</t>
        </is>
      </c>
      <c r="B3490" t="inlineStr">
        <is>
          <t>V645548</t>
        </is>
      </c>
      <c r="C3490" t="inlineStr">
        <is>
          <t>WOOL PEACOAT</t>
        </is>
      </c>
      <c r="D3490" t="inlineStr">
        <is>
          <t>DNY</t>
        </is>
      </c>
      <c r="E3490" t="inlineStr">
        <is>
          <t>(en blanco)</t>
        </is>
      </c>
      <c r="F3490" t="inlineStr">
        <is>
          <t>(en blanco)</t>
        </is>
      </c>
      <c r="G3490" t="inlineStr">
        <is>
          <t>6XT</t>
        </is>
      </c>
      <c r="H3490" t="n">
        <v>8</v>
      </c>
      <c r="I3490" t="inlineStr">
        <is>
          <t>NAUTICA_MENS_V645548_DNY_1.jpg</t>
        </is>
      </c>
      <c r="J3490" t="inlineStr">
        <is>
          <t>NAUTICA_MENS_V645548_DNY_2.jpg</t>
        </is>
      </c>
      <c r="K3490" t="inlineStr">
        <is>
          <t>NAUTICA_MENS_V645548_DNY_3.jpg</t>
        </is>
      </c>
      <c r="L3490">
        <f>IMAGE("file:///E:/Estudios%20y%20certificaciones/ESTUDIOS%20DE%20PROGRAMMING/PROGRAMMING/PERSONAL/PYTHON/Image_Generator_API/imagenes/NAUTICA_MENS_V645548_DNY_1.jpg")</f>
        <v/>
      </c>
      <c r="M3490">
        <f>IMAGE("file:///E:/Estudios%20y%20certificaciones/ESTUDIOS%20DE%20PROGRAMMING/PROGRAMMING/PERSONAL/PYTHON/Image_Generator_API/imagenes/NAUTICA_MENS_V645548_DNY_2.jpg")</f>
        <v/>
      </c>
      <c r="N3490">
        <f>IMAGE("file:///E:/Estudios%20y%20certificaciones/ESTUDIOS%20DE%20PROGRAMMING/PROGRAMMING/PERSONAL/PYTHON/Image_Generator_API/imagenes/NAUTICA_MENS_V645548_DNY_3.jpg")</f>
        <v/>
      </c>
      <c r="O3490">
        <f>HYPERLINK("imagenes/NAUTICA_MENS_V645548_DNY_1.jpg","Ver imagen")</f>
        <v/>
      </c>
      <c r="P3490">
        <f>HYPERLINK("imagenes/NAUTICA_MENS_V645548_DNY_2.jpg","Ver imagen")</f>
        <v/>
      </c>
      <c r="Q3490">
        <f>HYPERLINK("imagenes/NAUTICA_MENS_V645548_DNY_3.jpg","Ver imagen")</f>
        <v/>
      </c>
    </row>
    <row r="3491">
      <c r="A3491" t="inlineStr">
        <is>
          <t>NAUTICA MENS</t>
        </is>
      </c>
      <c r="B3491" t="inlineStr">
        <is>
          <t>V645548</t>
        </is>
      </c>
      <c r="C3491" t="inlineStr">
        <is>
          <t>WOOL PEACOAT</t>
        </is>
      </c>
      <c r="D3491" t="inlineStr">
        <is>
          <t>DNY</t>
        </is>
      </c>
      <c r="E3491" t="inlineStr">
        <is>
          <t>(en blanco)</t>
        </is>
      </c>
      <c r="F3491" t="inlineStr">
        <is>
          <t>(en blanco)</t>
        </is>
      </c>
      <c r="G3491" t="inlineStr">
        <is>
          <t>LT</t>
        </is>
      </c>
      <c r="H3491" t="n">
        <v>13</v>
      </c>
      <c r="I3491" t="inlineStr">
        <is>
          <t>NAUTICA_MENS_V645548_DNY_1.jpg</t>
        </is>
      </c>
      <c r="J3491" t="inlineStr">
        <is>
          <t>NAUTICA_MENS_V645548_DNY_2.jpg</t>
        </is>
      </c>
      <c r="K3491" t="inlineStr">
        <is>
          <t>NAUTICA_MENS_V645548_DNY_3.jpg</t>
        </is>
      </c>
      <c r="L3491">
        <f>IMAGE("file:///E:/Estudios%20y%20certificaciones/ESTUDIOS%20DE%20PROGRAMMING/PROGRAMMING/PERSONAL/PYTHON/Image_Generator_API/imagenes/NAUTICA_MENS_V645548_DNY_1.jpg")</f>
        <v/>
      </c>
      <c r="M3491">
        <f>IMAGE("file:///E:/Estudios%20y%20certificaciones/ESTUDIOS%20DE%20PROGRAMMING/PROGRAMMING/PERSONAL/PYTHON/Image_Generator_API/imagenes/NAUTICA_MENS_V645548_DNY_2.jpg")</f>
        <v/>
      </c>
      <c r="N3491">
        <f>IMAGE("file:///E:/Estudios%20y%20certificaciones/ESTUDIOS%20DE%20PROGRAMMING/PROGRAMMING/PERSONAL/PYTHON/Image_Generator_API/imagenes/NAUTICA_MENS_V645548_DNY_3.jpg")</f>
        <v/>
      </c>
      <c r="O3491">
        <f>HYPERLINK("imagenes/NAUTICA_MENS_V645548_DNY_1.jpg","Ver imagen")</f>
        <v/>
      </c>
      <c r="P3491">
        <f>HYPERLINK("imagenes/NAUTICA_MENS_V645548_DNY_2.jpg","Ver imagen")</f>
        <v/>
      </c>
      <c r="Q3491">
        <f>HYPERLINK("imagenes/NAUTICA_MENS_V645548_DNY_3.jpg","Ver imagen")</f>
        <v/>
      </c>
    </row>
    <row r="3492">
      <c r="A3492" t="inlineStr">
        <is>
          <t>NAUTICA MENS</t>
        </is>
      </c>
      <c r="B3492" t="inlineStr">
        <is>
          <t>V645548</t>
        </is>
      </c>
      <c r="C3492" t="inlineStr">
        <is>
          <t>WOOL PEACOAT</t>
        </is>
      </c>
      <c r="D3492" t="inlineStr">
        <is>
          <t>DNY</t>
        </is>
      </c>
      <c r="E3492" t="inlineStr">
        <is>
          <t>(en blanco)</t>
        </is>
      </c>
      <c r="F3492" t="inlineStr">
        <is>
          <t>(en blanco)</t>
        </is>
      </c>
      <c r="G3492" t="inlineStr">
        <is>
          <t>XLT</t>
        </is>
      </c>
      <c r="H3492" t="n">
        <v>14</v>
      </c>
      <c r="I3492" t="inlineStr">
        <is>
          <t>NAUTICA_MENS_V645548_DNY_1.jpg</t>
        </is>
      </c>
      <c r="J3492" t="inlineStr">
        <is>
          <t>NAUTICA_MENS_V645548_DNY_2.jpg</t>
        </is>
      </c>
      <c r="K3492" t="inlineStr">
        <is>
          <t>NAUTICA_MENS_V645548_DNY_3.jpg</t>
        </is>
      </c>
      <c r="L3492">
        <f>IMAGE("file:///E:/Estudios%20y%20certificaciones/ESTUDIOS%20DE%20PROGRAMMING/PROGRAMMING/PERSONAL/PYTHON/Image_Generator_API/imagenes/NAUTICA_MENS_V645548_DNY_1.jpg")</f>
        <v/>
      </c>
      <c r="M3492">
        <f>IMAGE("file:///E:/Estudios%20y%20certificaciones/ESTUDIOS%20DE%20PROGRAMMING/PROGRAMMING/PERSONAL/PYTHON/Image_Generator_API/imagenes/NAUTICA_MENS_V645548_DNY_2.jpg")</f>
        <v/>
      </c>
      <c r="N3492">
        <f>IMAGE("file:///E:/Estudios%20y%20certificaciones/ESTUDIOS%20DE%20PROGRAMMING/PROGRAMMING/PERSONAL/PYTHON/Image_Generator_API/imagenes/NAUTICA_MENS_V645548_DNY_3.jpg")</f>
        <v/>
      </c>
      <c r="O3492">
        <f>HYPERLINK("imagenes/NAUTICA_MENS_V645548_DNY_1.jpg","Ver imagen")</f>
        <v/>
      </c>
      <c r="P3492">
        <f>HYPERLINK("imagenes/NAUTICA_MENS_V645548_DNY_2.jpg","Ver imagen")</f>
        <v/>
      </c>
      <c r="Q3492">
        <f>HYPERLINK("imagenes/NAUTICA_MENS_V645548_DNY_3.jpg","Ver imagen")</f>
        <v/>
      </c>
    </row>
    <row r="3493">
      <c r="A3493" t="inlineStr">
        <is>
          <t>NAUTICA MENS</t>
        </is>
      </c>
      <c r="B3493" t="inlineStr">
        <is>
          <t>V720329</t>
        </is>
      </c>
      <c r="C3493" t="inlineStr">
        <is>
          <t>BOMBER JACKET</t>
        </is>
      </c>
      <c r="D3493" t="inlineStr">
        <is>
          <t>BLK</t>
        </is>
      </c>
      <c r="E3493" t="inlineStr">
        <is>
          <t>(en blanco)</t>
        </is>
      </c>
      <c r="F3493" t="inlineStr">
        <is>
          <t>(en blanco)</t>
        </is>
      </c>
      <c r="G3493" t="inlineStr">
        <is>
          <t>S</t>
        </is>
      </c>
      <c r="H3493" t="n">
        <v>3</v>
      </c>
      <c r="I3493" t="inlineStr">
        <is>
          <t>NAUTICA_MENS_V720329_BLK_1.jpg</t>
        </is>
      </c>
      <c r="J3493" t="inlineStr">
        <is>
          <t>NAUTICA_MENS_V720329_BLK_2.jpg</t>
        </is>
      </c>
      <c r="K3493" t="inlineStr">
        <is>
          <t>NAUTICA_MENS_V720329_BLK_3.jpg</t>
        </is>
      </c>
      <c r="L3493">
        <f>IMAGE("file:///E:/Estudios%20y%20certificaciones/ESTUDIOS%20DE%20PROGRAMMING/PROGRAMMING/PERSONAL/PYTHON/Image_Generator_API/imagenes/NAUTICA_MENS_V720329_BLK_1.jpg")</f>
        <v/>
      </c>
      <c r="M3493">
        <f>IMAGE("file:///E:/Estudios%20y%20certificaciones/ESTUDIOS%20DE%20PROGRAMMING/PROGRAMMING/PERSONAL/PYTHON/Image_Generator_API/imagenes/NAUTICA_MENS_V720329_BLK_2.jpg")</f>
        <v/>
      </c>
      <c r="N3493">
        <f>IMAGE("file:///E:/Estudios%20y%20certificaciones/ESTUDIOS%20DE%20PROGRAMMING/PROGRAMMING/PERSONAL/PYTHON/Image_Generator_API/imagenes/NAUTICA_MENS_V720329_BLK_3.jpg")</f>
        <v/>
      </c>
      <c r="O3493">
        <f>HYPERLINK("imagenes/NAUTICA_MENS_V720329_BLK_1.jpg","Ver imagen")</f>
        <v/>
      </c>
      <c r="P3493">
        <f>HYPERLINK("imagenes/NAUTICA_MENS_V720329_BLK_2.jpg","Ver imagen")</f>
        <v/>
      </c>
      <c r="Q3493">
        <f>HYPERLINK("imagenes/NAUTICA_MENS_V720329_BLK_3.jpg","Ver imagen")</f>
        <v/>
      </c>
    </row>
    <row r="3494">
      <c r="A3494" t="inlineStr">
        <is>
          <t>NAUTICA MENS</t>
        </is>
      </c>
      <c r="B3494" t="inlineStr">
        <is>
          <t>V720329</t>
        </is>
      </c>
      <c r="C3494" t="inlineStr">
        <is>
          <t>BOMBER JACKET</t>
        </is>
      </c>
      <c r="D3494" t="inlineStr">
        <is>
          <t>BLK</t>
        </is>
      </c>
      <c r="E3494" t="inlineStr">
        <is>
          <t>(en blanco)</t>
        </is>
      </c>
      <c r="F3494" t="inlineStr">
        <is>
          <t>(en blanco)</t>
        </is>
      </c>
      <c r="G3494" t="inlineStr">
        <is>
          <t>M</t>
        </is>
      </c>
      <c r="H3494" t="n">
        <v>2</v>
      </c>
      <c r="I3494" t="inlineStr">
        <is>
          <t>NAUTICA_MENS_V720329_BLK_1.jpg</t>
        </is>
      </c>
      <c r="J3494" t="inlineStr">
        <is>
          <t>NAUTICA_MENS_V720329_BLK_2.jpg</t>
        </is>
      </c>
      <c r="K3494" t="inlineStr">
        <is>
          <t>NAUTICA_MENS_V720329_BLK_3.jpg</t>
        </is>
      </c>
      <c r="L3494">
        <f>IMAGE("file:///E:/Estudios%20y%20certificaciones/ESTUDIOS%20DE%20PROGRAMMING/PROGRAMMING/PERSONAL/PYTHON/Image_Generator_API/imagenes/NAUTICA_MENS_V720329_BLK_1.jpg")</f>
        <v/>
      </c>
      <c r="M3494">
        <f>IMAGE("file:///E:/Estudios%20y%20certificaciones/ESTUDIOS%20DE%20PROGRAMMING/PROGRAMMING/PERSONAL/PYTHON/Image_Generator_API/imagenes/NAUTICA_MENS_V720329_BLK_2.jpg")</f>
        <v/>
      </c>
      <c r="N3494">
        <f>IMAGE("file:///E:/Estudios%20y%20certificaciones/ESTUDIOS%20DE%20PROGRAMMING/PROGRAMMING/PERSONAL/PYTHON/Image_Generator_API/imagenes/NAUTICA_MENS_V720329_BLK_3.jpg")</f>
        <v/>
      </c>
      <c r="O3494">
        <f>HYPERLINK("imagenes/NAUTICA_MENS_V720329_BLK_1.jpg","Ver imagen")</f>
        <v/>
      </c>
      <c r="P3494">
        <f>HYPERLINK("imagenes/NAUTICA_MENS_V720329_BLK_2.jpg","Ver imagen")</f>
        <v/>
      </c>
      <c r="Q3494">
        <f>HYPERLINK("imagenes/NAUTICA_MENS_V720329_BLK_3.jpg","Ver imagen")</f>
        <v/>
      </c>
    </row>
    <row r="3495">
      <c r="A3495" t="inlineStr">
        <is>
          <t>NAUTICA MENS</t>
        </is>
      </c>
      <c r="B3495" t="inlineStr">
        <is>
          <t>V720329</t>
        </is>
      </c>
      <c r="C3495" t="inlineStr">
        <is>
          <t>BOMBER JACKET</t>
        </is>
      </c>
      <c r="D3495" t="inlineStr">
        <is>
          <t>BLK</t>
        </is>
      </c>
      <c r="E3495" t="inlineStr">
        <is>
          <t>(en blanco)</t>
        </is>
      </c>
      <c r="F3495" t="inlineStr">
        <is>
          <t>(en blanco)</t>
        </is>
      </c>
      <c r="G3495" t="inlineStr">
        <is>
          <t>L</t>
        </is>
      </c>
      <c r="H3495" t="n">
        <v>1</v>
      </c>
      <c r="I3495" t="inlineStr">
        <is>
          <t>NAUTICA_MENS_V720329_BLK_1.jpg</t>
        </is>
      </c>
      <c r="J3495" t="inlineStr">
        <is>
          <t>NAUTICA_MENS_V720329_BLK_2.jpg</t>
        </is>
      </c>
      <c r="K3495" t="inlineStr">
        <is>
          <t>NAUTICA_MENS_V720329_BLK_3.jpg</t>
        </is>
      </c>
      <c r="L3495">
        <f>IMAGE("file:///E:/Estudios%20y%20certificaciones/ESTUDIOS%20DE%20PROGRAMMING/PROGRAMMING/PERSONAL/PYTHON/Image_Generator_API/imagenes/NAUTICA_MENS_V720329_BLK_1.jpg")</f>
        <v/>
      </c>
      <c r="M3495">
        <f>IMAGE("file:///E:/Estudios%20y%20certificaciones/ESTUDIOS%20DE%20PROGRAMMING/PROGRAMMING/PERSONAL/PYTHON/Image_Generator_API/imagenes/NAUTICA_MENS_V720329_BLK_2.jpg")</f>
        <v/>
      </c>
      <c r="N3495">
        <f>IMAGE("file:///E:/Estudios%20y%20certificaciones/ESTUDIOS%20DE%20PROGRAMMING/PROGRAMMING/PERSONAL/PYTHON/Image_Generator_API/imagenes/NAUTICA_MENS_V720329_BLK_3.jpg")</f>
        <v/>
      </c>
      <c r="O3495">
        <f>HYPERLINK("imagenes/NAUTICA_MENS_V720329_BLK_1.jpg","Ver imagen")</f>
        <v/>
      </c>
      <c r="P3495">
        <f>HYPERLINK("imagenes/NAUTICA_MENS_V720329_BLK_2.jpg","Ver imagen")</f>
        <v/>
      </c>
      <c r="Q3495">
        <f>HYPERLINK("imagenes/NAUTICA_MENS_V720329_BLK_3.jpg","Ver imagen")</f>
        <v/>
      </c>
    </row>
    <row r="3496">
      <c r="A3496" t="inlineStr">
        <is>
          <t>NAUTICA MENS</t>
        </is>
      </c>
      <c r="B3496" t="inlineStr">
        <is>
          <t>V720329</t>
        </is>
      </c>
      <c r="C3496" t="inlineStr">
        <is>
          <t>BOMBER JACKET</t>
        </is>
      </c>
      <c r="D3496" t="inlineStr">
        <is>
          <t>BLK</t>
        </is>
      </c>
      <c r="E3496" t="inlineStr">
        <is>
          <t>(en blanco)</t>
        </is>
      </c>
      <c r="F3496" t="inlineStr">
        <is>
          <t>(en blanco)</t>
        </is>
      </c>
      <c r="G3496" t="inlineStr">
        <is>
          <t>XL</t>
        </is>
      </c>
      <c r="H3496" t="n">
        <v>6</v>
      </c>
      <c r="I3496" t="inlineStr">
        <is>
          <t>NAUTICA_MENS_V720329_BLK_1.jpg</t>
        </is>
      </c>
      <c r="J3496" t="inlineStr">
        <is>
          <t>NAUTICA_MENS_V720329_BLK_2.jpg</t>
        </is>
      </c>
      <c r="K3496" t="inlineStr">
        <is>
          <t>NAUTICA_MENS_V720329_BLK_3.jpg</t>
        </is>
      </c>
      <c r="L3496">
        <f>IMAGE("file:///E:/Estudios%20y%20certificaciones/ESTUDIOS%20DE%20PROGRAMMING/PROGRAMMING/PERSONAL/PYTHON/Image_Generator_API/imagenes/NAUTICA_MENS_V720329_BLK_1.jpg")</f>
        <v/>
      </c>
      <c r="M3496">
        <f>IMAGE("file:///E:/Estudios%20y%20certificaciones/ESTUDIOS%20DE%20PROGRAMMING/PROGRAMMING/PERSONAL/PYTHON/Image_Generator_API/imagenes/NAUTICA_MENS_V720329_BLK_2.jpg")</f>
        <v/>
      </c>
      <c r="N3496">
        <f>IMAGE("file:///E:/Estudios%20y%20certificaciones/ESTUDIOS%20DE%20PROGRAMMING/PROGRAMMING/PERSONAL/PYTHON/Image_Generator_API/imagenes/NAUTICA_MENS_V720329_BLK_3.jpg")</f>
        <v/>
      </c>
      <c r="O3496">
        <f>HYPERLINK("imagenes/NAUTICA_MENS_V720329_BLK_1.jpg","Ver imagen")</f>
        <v/>
      </c>
      <c r="P3496">
        <f>HYPERLINK("imagenes/NAUTICA_MENS_V720329_BLK_2.jpg","Ver imagen")</f>
        <v/>
      </c>
      <c r="Q3496">
        <f>HYPERLINK("imagenes/NAUTICA_MENS_V720329_BLK_3.jpg","Ver imagen")</f>
        <v/>
      </c>
    </row>
    <row r="3497">
      <c r="A3497" t="inlineStr">
        <is>
          <t>NAUTICA MENS</t>
        </is>
      </c>
      <c r="B3497" t="inlineStr">
        <is>
          <t>V720329</t>
        </is>
      </c>
      <c r="C3497" t="inlineStr">
        <is>
          <t>BOMBER JACKET</t>
        </is>
      </c>
      <c r="D3497" t="inlineStr">
        <is>
          <t>BLK</t>
        </is>
      </c>
      <c r="E3497" t="inlineStr">
        <is>
          <t>(en blanco)</t>
        </is>
      </c>
      <c r="F3497" t="inlineStr">
        <is>
          <t>(en blanco)</t>
        </is>
      </c>
      <c r="G3497" t="inlineStr">
        <is>
          <t>XXL</t>
        </is>
      </c>
      <c r="H3497" t="n">
        <v>2</v>
      </c>
      <c r="I3497" t="inlineStr">
        <is>
          <t>NAUTICA_MENS_V720329_BLK_1.jpg</t>
        </is>
      </c>
      <c r="J3497" t="inlineStr">
        <is>
          <t>NAUTICA_MENS_V720329_BLK_2.jpg</t>
        </is>
      </c>
      <c r="K3497" t="inlineStr">
        <is>
          <t>NAUTICA_MENS_V720329_BLK_3.jpg</t>
        </is>
      </c>
      <c r="L3497">
        <f>IMAGE("file:///E:/Estudios%20y%20certificaciones/ESTUDIOS%20DE%20PROGRAMMING/PROGRAMMING/PERSONAL/PYTHON/Image_Generator_API/imagenes/NAUTICA_MENS_V720329_BLK_1.jpg")</f>
        <v/>
      </c>
      <c r="M3497">
        <f>IMAGE("file:///E:/Estudios%20y%20certificaciones/ESTUDIOS%20DE%20PROGRAMMING/PROGRAMMING/PERSONAL/PYTHON/Image_Generator_API/imagenes/NAUTICA_MENS_V720329_BLK_2.jpg")</f>
        <v/>
      </c>
      <c r="N3497">
        <f>IMAGE("file:///E:/Estudios%20y%20certificaciones/ESTUDIOS%20DE%20PROGRAMMING/PROGRAMMING/PERSONAL/PYTHON/Image_Generator_API/imagenes/NAUTICA_MENS_V720329_BLK_3.jpg")</f>
        <v/>
      </c>
      <c r="O3497">
        <f>HYPERLINK("imagenes/NAUTICA_MENS_V720329_BLK_1.jpg","Ver imagen")</f>
        <v/>
      </c>
      <c r="P3497">
        <f>HYPERLINK("imagenes/NAUTICA_MENS_V720329_BLK_2.jpg","Ver imagen")</f>
        <v/>
      </c>
      <c r="Q3497">
        <f>HYPERLINK("imagenes/NAUTICA_MENS_V720329_BLK_3.jpg","Ver imagen")</f>
        <v/>
      </c>
    </row>
    <row r="3498">
      <c r="A3498" t="inlineStr">
        <is>
          <t>NAUTICA MENS</t>
        </is>
      </c>
      <c r="B3498" t="inlineStr">
        <is>
          <t>V720329</t>
        </is>
      </c>
      <c r="C3498" t="inlineStr">
        <is>
          <t>BOMBER JACKET</t>
        </is>
      </c>
      <c r="D3498" t="inlineStr">
        <is>
          <t>DSO</t>
        </is>
      </c>
      <c r="E3498" t="inlineStr">
        <is>
          <t>(en blanco)</t>
        </is>
      </c>
      <c r="F3498" t="inlineStr">
        <is>
          <t>(en blanco)</t>
        </is>
      </c>
      <c r="G3498" t="inlineStr">
        <is>
          <t>S</t>
        </is>
      </c>
      <c r="H3498" t="n">
        <v>6</v>
      </c>
      <c r="I3498" t="inlineStr">
        <is>
          <t>NAUTICA_MENS_V720329_DSO_1.jpg</t>
        </is>
      </c>
      <c r="J3498" t="inlineStr">
        <is>
          <t>NAUTICA_MENS_V720329_DSO_2.jpg</t>
        </is>
      </c>
      <c r="K3498" t="inlineStr">
        <is>
          <t>NAUTICA_MENS_V720329_DSO_3.jpg</t>
        </is>
      </c>
      <c r="L3498">
        <f>IMAGE("file:///E:/Estudios%20y%20certificaciones/ESTUDIOS%20DE%20PROGRAMMING/PROGRAMMING/PERSONAL/PYTHON/Image_Generator_API/imagenes/NAUTICA_MENS_V720329_DSO_1.jpg")</f>
        <v/>
      </c>
      <c r="M3498">
        <f>IMAGE("file:///E:/Estudios%20y%20certificaciones/ESTUDIOS%20DE%20PROGRAMMING/PROGRAMMING/PERSONAL/PYTHON/Image_Generator_API/imagenes/NAUTICA_MENS_V720329_DSO_2.jpg")</f>
        <v/>
      </c>
      <c r="N3498">
        <f>IMAGE("file:///E:/Estudios%20y%20certificaciones/ESTUDIOS%20DE%20PROGRAMMING/PROGRAMMING/PERSONAL/PYTHON/Image_Generator_API/imagenes/NAUTICA_MENS_V720329_DSO_3.jpg")</f>
        <v/>
      </c>
      <c r="O3498">
        <f>HYPERLINK("imagenes/NAUTICA_MENS_V720329_DSO_1.jpg","Ver imagen")</f>
        <v/>
      </c>
      <c r="P3498">
        <f>HYPERLINK("imagenes/NAUTICA_MENS_V720329_DSO_2.jpg","Ver imagen")</f>
        <v/>
      </c>
      <c r="Q3498">
        <f>HYPERLINK("imagenes/NAUTICA_MENS_V720329_DSO_3.jpg","Ver imagen")</f>
        <v/>
      </c>
    </row>
    <row r="3499">
      <c r="A3499" t="inlineStr">
        <is>
          <t>NAUTICA MENS</t>
        </is>
      </c>
      <c r="B3499" t="inlineStr">
        <is>
          <t>V720329</t>
        </is>
      </c>
      <c r="C3499" t="inlineStr">
        <is>
          <t>BOMBER JACKET</t>
        </is>
      </c>
      <c r="D3499" t="inlineStr">
        <is>
          <t>DSO</t>
        </is>
      </c>
      <c r="E3499" t="inlineStr">
        <is>
          <t>(en blanco)</t>
        </is>
      </c>
      <c r="F3499" t="inlineStr">
        <is>
          <t>(en blanco)</t>
        </is>
      </c>
      <c r="G3499" t="inlineStr">
        <is>
          <t>M</t>
        </is>
      </c>
      <c r="H3499" t="n">
        <v>2</v>
      </c>
      <c r="I3499" t="inlineStr">
        <is>
          <t>NAUTICA_MENS_V720329_DSO_1.jpg</t>
        </is>
      </c>
      <c r="J3499" t="inlineStr">
        <is>
          <t>NAUTICA_MENS_V720329_DSO_2.jpg</t>
        </is>
      </c>
      <c r="K3499" t="inlineStr">
        <is>
          <t>NAUTICA_MENS_V720329_DSO_3.jpg</t>
        </is>
      </c>
      <c r="L3499">
        <f>IMAGE("file:///E:/Estudios%20y%20certificaciones/ESTUDIOS%20DE%20PROGRAMMING/PROGRAMMING/PERSONAL/PYTHON/Image_Generator_API/imagenes/NAUTICA_MENS_V720329_DSO_1.jpg")</f>
        <v/>
      </c>
      <c r="M3499">
        <f>IMAGE("file:///E:/Estudios%20y%20certificaciones/ESTUDIOS%20DE%20PROGRAMMING/PROGRAMMING/PERSONAL/PYTHON/Image_Generator_API/imagenes/NAUTICA_MENS_V720329_DSO_2.jpg")</f>
        <v/>
      </c>
      <c r="N3499">
        <f>IMAGE("file:///E:/Estudios%20y%20certificaciones/ESTUDIOS%20DE%20PROGRAMMING/PROGRAMMING/PERSONAL/PYTHON/Image_Generator_API/imagenes/NAUTICA_MENS_V720329_DSO_3.jpg")</f>
        <v/>
      </c>
      <c r="O3499">
        <f>HYPERLINK("imagenes/NAUTICA_MENS_V720329_DSO_1.jpg","Ver imagen")</f>
        <v/>
      </c>
      <c r="P3499">
        <f>HYPERLINK("imagenes/NAUTICA_MENS_V720329_DSO_2.jpg","Ver imagen")</f>
        <v/>
      </c>
      <c r="Q3499">
        <f>HYPERLINK("imagenes/NAUTICA_MENS_V720329_DSO_3.jpg","Ver imagen")</f>
        <v/>
      </c>
    </row>
    <row r="3500">
      <c r="A3500" t="inlineStr">
        <is>
          <t>NAUTICA MENS</t>
        </is>
      </c>
      <c r="B3500" t="inlineStr">
        <is>
          <t>V720329</t>
        </is>
      </c>
      <c r="C3500" t="inlineStr">
        <is>
          <t>BOMBER JACKET</t>
        </is>
      </c>
      <c r="D3500" t="inlineStr">
        <is>
          <t>DSO</t>
        </is>
      </c>
      <c r="E3500" t="inlineStr">
        <is>
          <t>(en blanco)</t>
        </is>
      </c>
      <c r="F3500" t="inlineStr">
        <is>
          <t>(en blanco)</t>
        </is>
      </c>
      <c r="G3500" t="inlineStr">
        <is>
          <t>L</t>
        </is>
      </c>
      <c r="H3500" t="n">
        <v>2</v>
      </c>
      <c r="I3500" t="inlineStr">
        <is>
          <t>NAUTICA_MENS_V720329_DSO_1.jpg</t>
        </is>
      </c>
      <c r="J3500" t="inlineStr">
        <is>
          <t>NAUTICA_MENS_V720329_DSO_2.jpg</t>
        </is>
      </c>
      <c r="K3500" t="inlineStr">
        <is>
          <t>NAUTICA_MENS_V720329_DSO_3.jpg</t>
        </is>
      </c>
      <c r="L3500">
        <f>IMAGE("file:///E:/Estudios%20y%20certificaciones/ESTUDIOS%20DE%20PROGRAMMING/PROGRAMMING/PERSONAL/PYTHON/Image_Generator_API/imagenes/NAUTICA_MENS_V720329_DSO_1.jpg")</f>
        <v/>
      </c>
      <c r="M3500">
        <f>IMAGE("file:///E:/Estudios%20y%20certificaciones/ESTUDIOS%20DE%20PROGRAMMING/PROGRAMMING/PERSONAL/PYTHON/Image_Generator_API/imagenes/NAUTICA_MENS_V720329_DSO_2.jpg")</f>
        <v/>
      </c>
      <c r="N3500">
        <f>IMAGE("file:///E:/Estudios%20y%20certificaciones/ESTUDIOS%20DE%20PROGRAMMING/PROGRAMMING/PERSONAL/PYTHON/Image_Generator_API/imagenes/NAUTICA_MENS_V720329_DSO_3.jpg")</f>
        <v/>
      </c>
      <c r="O3500">
        <f>HYPERLINK("imagenes/NAUTICA_MENS_V720329_DSO_1.jpg","Ver imagen")</f>
        <v/>
      </c>
      <c r="P3500">
        <f>HYPERLINK("imagenes/NAUTICA_MENS_V720329_DSO_2.jpg","Ver imagen")</f>
        <v/>
      </c>
      <c r="Q3500">
        <f>HYPERLINK("imagenes/NAUTICA_MENS_V720329_DSO_3.jpg","Ver imagen")</f>
        <v/>
      </c>
    </row>
    <row r="3501">
      <c r="A3501" t="inlineStr">
        <is>
          <t>NAUTICA MENS</t>
        </is>
      </c>
      <c r="B3501" t="inlineStr">
        <is>
          <t>V720329</t>
        </is>
      </c>
      <c r="C3501" t="inlineStr">
        <is>
          <t>BOMBER JACKET</t>
        </is>
      </c>
      <c r="D3501" t="inlineStr">
        <is>
          <t>DSO</t>
        </is>
      </c>
      <c r="E3501" t="inlineStr">
        <is>
          <t>(en blanco)</t>
        </is>
      </c>
      <c r="F3501" t="inlineStr">
        <is>
          <t>(en blanco)</t>
        </is>
      </c>
      <c r="G3501" t="inlineStr">
        <is>
          <t>XL</t>
        </is>
      </c>
      <c r="H3501" t="n">
        <v>4</v>
      </c>
      <c r="I3501" t="inlineStr">
        <is>
          <t>NAUTICA_MENS_V720329_DSO_1.jpg</t>
        </is>
      </c>
      <c r="J3501" t="inlineStr">
        <is>
          <t>NAUTICA_MENS_V720329_DSO_2.jpg</t>
        </is>
      </c>
      <c r="K3501" t="inlineStr">
        <is>
          <t>NAUTICA_MENS_V720329_DSO_3.jpg</t>
        </is>
      </c>
      <c r="L3501">
        <f>IMAGE("file:///E:/Estudios%20y%20certificaciones/ESTUDIOS%20DE%20PROGRAMMING/PROGRAMMING/PERSONAL/PYTHON/Image_Generator_API/imagenes/NAUTICA_MENS_V720329_DSO_1.jpg")</f>
        <v/>
      </c>
      <c r="M3501">
        <f>IMAGE("file:///E:/Estudios%20y%20certificaciones/ESTUDIOS%20DE%20PROGRAMMING/PROGRAMMING/PERSONAL/PYTHON/Image_Generator_API/imagenes/NAUTICA_MENS_V720329_DSO_2.jpg")</f>
        <v/>
      </c>
      <c r="N3501">
        <f>IMAGE("file:///E:/Estudios%20y%20certificaciones/ESTUDIOS%20DE%20PROGRAMMING/PROGRAMMING/PERSONAL/PYTHON/Image_Generator_API/imagenes/NAUTICA_MENS_V720329_DSO_3.jpg")</f>
        <v/>
      </c>
      <c r="O3501">
        <f>HYPERLINK("imagenes/NAUTICA_MENS_V720329_DSO_1.jpg","Ver imagen")</f>
        <v/>
      </c>
      <c r="P3501">
        <f>HYPERLINK("imagenes/NAUTICA_MENS_V720329_DSO_2.jpg","Ver imagen")</f>
        <v/>
      </c>
      <c r="Q3501">
        <f>HYPERLINK("imagenes/NAUTICA_MENS_V720329_DSO_3.jpg","Ver imagen")</f>
        <v/>
      </c>
    </row>
    <row r="3502">
      <c r="A3502" t="inlineStr">
        <is>
          <t>NAUTICA MENS</t>
        </is>
      </c>
      <c r="B3502" t="inlineStr">
        <is>
          <t>V720329</t>
        </is>
      </c>
      <c r="C3502" t="inlineStr">
        <is>
          <t>BOMBER JACKET</t>
        </is>
      </c>
      <c r="D3502" t="inlineStr">
        <is>
          <t>DSO</t>
        </is>
      </c>
      <c r="E3502" t="inlineStr">
        <is>
          <t>(en blanco)</t>
        </is>
      </c>
      <c r="F3502" t="inlineStr">
        <is>
          <t>(en blanco)</t>
        </is>
      </c>
      <c r="G3502" t="inlineStr">
        <is>
          <t>XXL</t>
        </is>
      </c>
      <c r="H3502" t="n">
        <v>4</v>
      </c>
      <c r="I3502" t="inlineStr">
        <is>
          <t>NAUTICA_MENS_V720329_DSO_1.jpg</t>
        </is>
      </c>
      <c r="J3502" t="inlineStr">
        <is>
          <t>NAUTICA_MENS_V720329_DSO_2.jpg</t>
        </is>
      </c>
      <c r="K3502" t="inlineStr">
        <is>
          <t>NAUTICA_MENS_V720329_DSO_3.jpg</t>
        </is>
      </c>
      <c r="L3502">
        <f>IMAGE("file:///E:/Estudios%20y%20certificaciones/ESTUDIOS%20DE%20PROGRAMMING/PROGRAMMING/PERSONAL/PYTHON/Image_Generator_API/imagenes/NAUTICA_MENS_V720329_DSO_1.jpg")</f>
        <v/>
      </c>
      <c r="M3502">
        <f>IMAGE("file:///E:/Estudios%20y%20certificaciones/ESTUDIOS%20DE%20PROGRAMMING/PROGRAMMING/PERSONAL/PYTHON/Image_Generator_API/imagenes/NAUTICA_MENS_V720329_DSO_2.jpg")</f>
        <v/>
      </c>
      <c r="N3502">
        <f>IMAGE("file:///E:/Estudios%20y%20certificaciones/ESTUDIOS%20DE%20PROGRAMMING/PROGRAMMING/PERSONAL/PYTHON/Image_Generator_API/imagenes/NAUTICA_MENS_V720329_DSO_3.jpg")</f>
        <v/>
      </c>
      <c r="O3502">
        <f>HYPERLINK("imagenes/NAUTICA_MENS_V720329_DSO_1.jpg","Ver imagen")</f>
        <v/>
      </c>
      <c r="P3502">
        <f>HYPERLINK("imagenes/NAUTICA_MENS_V720329_DSO_2.jpg","Ver imagen")</f>
        <v/>
      </c>
      <c r="Q3502">
        <f>HYPERLINK("imagenes/NAUTICA_MENS_V720329_DSO_3.jpg","Ver imagen")</f>
        <v/>
      </c>
    </row>
    <row r="3503">
      <c r="A3503" t="inlineStr">
        <is>
          <t>NAUTICA MENS</t>
        </is>
      </c>
      <c r="B3503" t="inlineStr">
        <is>
          <t>V720329</t>
        </is>
      </c>
      <c r="C3503" t="inlineStr">
        <is>
          <t>BOMBER JACKET</t>
        </is>
      </c>
      <c r="D3503" t="inlineStr">
        <is>
          <t>NIB</t>
        </is>
      </c>
      <c r="E3503" t="inlineStr">
        <is>
          <t>(en blanco)</t>
        </is>
      </c>
      <c r="F3503" t="inlineStr">
        <is>
          <t>(en blanco)</t>
        </is>
      </c>
      <c r="G3503" t="inlineStr">
        <is>
          <t>S</t>
        </is>
      </c>
      <c r="H3503" t="n">
        <v>5</v>
      </c>
      <c r="I3503" t="inlineStr">
        <is>
          <t>NAUTICA_MENS_V720329_NIB_1.jpg</t>
        </is>
      </c>
      <c r="J3503" t="inlineStr">
        <is>
          <t>NAUTICA_MENS_V720329_NIB_2.jpg</t>
        </is>
      </c>
      <c r="K3503" t="inlineStr">
        <is>
          <t>NAUTICA_MENS_V720329_NIB_3.jpg</t>
        </is>
      </c>
      <c r="L3503">
        <f>IMAGE("file:///E:/Estudios%20y%20certificaciones/ESTUDIOS%20DE%20PROGRAMMING/PROGRAMMING/PERSONAL/PYTHON/Image_Generator_API/imagenes/NAUTICA_MENS_V720329_NIB_1.jpg")</f>
        <v/>
      </c>
      <c r="M3503">
        <f>IMAGE("file:///E:/Estudios%20y%20certificaciones/ESTUDIOS%20DE%20PROGRAMMING/PROGRAMMING/PERSONAL/PYTHON/Image_Generator_API/imagenes/NAUTICA_MENS_V720329_NIB_2.jpg")</f>
        <v/>
      </c>
      <c r="N3503">
        <f>IMAGE("file:///E:/Estudios%20y%20certificaciones/ESTUDIOS%20DE%20PROGRAMMING/PROGRAMMING/PERSONAL/PYTHON/Image_Generator_API/imagenes/NAUTICA_MENS_V720329_NIB_3.jpg")</f>
        <v/>
      </c>
      <c r="O3503">
        <f>HYPERLINK("imagenes/NAUTICA_MENS_V720329_NIB_1.jpg","Ver imagen")</f>
        <v/>
      </c>
      <c r="P3503">
        <f>HYPERLINK("imagenes/NAUTICA_MENS_V720329_NIB_2.jpg","Ver imagen")</f>
        <v/>
      </c>
      <c r="Q3503">
        <f>HYPERLINK("imagenes/NAUTICA_MENS_V720329_NIB_3.jpg","Ver imagen")</f>
        <v/>
      </c>
    </row>
    <row r="3504">
      <c r="A3504" t="inlineStr">
        <is>
          <t>NAUTICA MENS</t>
        </is>
      </c>
      <c r="B3504" t="inlineStr">
        <is>
          <t>V720329</t>
        </is>
      </c>
      <c r="C3504" t="inlineStr">
        <is>
          <t>BOMBER JACKET</t>
        </is>
      </c>
      <c r="D3504" t="inlineStr">
        <is>
          <t>NIB</t>
        </is>
      </c>
      <c r="E3504" t="inlineStr">
        <is>
          <t>(en blanco)</t>
        </is>
      </c>
      <c r="F3504" t="inlineStr">
        <is>
          <t>(en blanco)</t>
        </is>
      </c>
      <c r="G3504" t="inlineStr">
        <is>
          <t>M</t>
        </is>
      </c>
      <c r="H3504" t="n">
        <v>9</v>
      </c>
      <c r="I3504" t="inlineStr">
        <is>
          <t>NAUTICA_MENS_V720329_NIB_1.jpg</t>
        </is>
      </c>
      <c r="J3504" t="inlineStr">
        <is>
          <t>NAUTICA_MENS_V720329_NIB_2.jpg</t>
        </is>
      </c>
      <c r="K3504" t="inlineStr">
        <is>
          <t>NAUTICA_MENS_V720329_NIB_3.jpg</t>
        </is>
      </c>
      <c r="L3504">
        <f>IMAGE("file:///E:/Estudios%20y%20certificaciones/ESTUDIOS%20DE%20PROGRAMMING/PROGRAMMING/PERSONAL/PYTHON/Image_Generator_API/imagenes/NAUTICA_MENS_V720329_NIB_1.jpg")</f>
        <v/>
      </c>
      <c r="M3504">
        <f>IMAGE("file:///E:/Estudios%20y%20certificaciones/ESTUDIOS%20DE%20PROGRAMMING/PROGRAMMING/PERSONAL/PYTHON/Image_Generator_API/imagenes/NAUTICA_MENS_V720329_NIB_2.jpg")</f>
        <v/>
      </c>
      <c r="N3504">
        <f>IMAGE("file:///E:/Estudios%20y%20certificaciones/ESTUDIOS%20DE%20PROGRAMMING/PROGRAMMING/PERSONAL/PYTHON/Image_Generator_API/imagenes/NAUTICA_MENS_V720329_NIB_3.jpg")</f>
        <v/>
      </c>
      <c r="O3504">
        <f>HYPERLINK("imagenes/NAUTICA_MENS_V720329_NIB_1.jpg","Ver imagen")</f>
        <v/>
      </c>
      <c r="P3504">
        <f>HYPERLINK("imagenes/NAUTICA_MENS_V720329_NIB_2.jpg","Ver imagen")</f>
        <v/>
      </c>
      <c r="Q3504">
        <f>HYPERLINK("imagenes/NAUTICA_MENS_V720329_NIB_3.jpg","Ver imagen")</f>
        <v/>
      </c>
    </row>
    <row r="3505">
      <c r="A3505" t="inlineStr">
        <is>
          <t>NAUTICA MENS</t>
        </is>
      </c>
      <c r="B3505" t="inlineStr">
        <is>
          <t>V720329</t>
        </is>
      </c>
      <c r="C3505" t="inlineStr">
        <is>
          <t>BOMBER JACKET</t>
        </is>
      </c>
      <c r="D3505" t="inlineStr">
        <is>
          <t>NIB</t>
        </is>
      </c>
      <c r="E3505" t="inlineStr">
        <is>
          <t>(en blanco)</t>
        </is>
      </c>
      <c r="F3505" t="inlineStr">
        <is>
          <t>(en blanco)</t>
        </is>
      </c>
      <c r="G3505" t="inlineStr">
        <is>
          <t>L</t>
        </is>
      </c>
      <c r="H3505" t="n">
        <v>8</v>
      </c>
      <c r="I3505" t="inlineStr">
        <is>
          <t>NAUTICA_MENS_V720329_NIB_1.jpg</t>
        </is>
      </c>
      <c r="J3505" t="inlineStr">
        <is>
          <t>NAUTICA_MENS_V720329_NIB_2.jpg</t>
        </is>
      </c>
      <c r="K3505" t="inlineStr">
        <is>
          <t>NAUTICA_MENS_V720329_NIB_3.jpg</t>
        </is>
      </c>
      <c r="L3505">
        <f>IMAGE("file:///E:/Estudios%20y%20certificaciones/ESTUDIOS%20DE%20PROGRAMMING/PROGRAMMING/PERSONAL/PYTHON/Image_Generator_API/imagenes/NAUTICA_MENS_V720329_NIB_1.jpg")</f>
        <v/>
      </c>
      <c r="M3505">
        <f>IMAGE("file:///E:/Estudios%20y%20certificaciones/ESTUDIOS%20DE%20PROGRAMMING/PROGRAMMING/PERSONAL/PYTHON/Image_Generator_API/imagenes/NAUTICA_MENS_V720329_NIB_2.jpg")</f>
        <v/>
      </c>
      <c r="N3505">
        <f>IMAGE("file:///E:/Estudios%20y%20certificaciones/ESTUDIOS%20DE%20PROGRAMMING/PROGRAMMING/PERSONAL/PYTHON/Image_Generator_API/imagenes/NAUTICA_MENS_V720329_NIB_3.jpg")</f>
        <v/>
      </c>
      <c r="O3505">
        <f>HYPERLINK("imagenes/NAUTICA_MENS_V720329_NIB_1.jpg","Ver imagen")</f>
        <v/>
      </c>
      <c r="P3505">
        <f>HYPERLINK("imagenes/NAUTICA_MENS_V720329_NIB_2.jpg","Ver imagen")</f>
        <v/>
      </c>
      <c r="Q3505">
        <f>HYPERLINK("imagenes/NAUTICA_MENS_V720329_NIB_3.jpg","Ver imagen")</f>
        <v/>
      </c>
    </row>
    <row r="3506">
      <c r="A3506" t="inlineStr">
        <is>
          <t>NAUTICA MENS</t>
        </is>
      </c>
      <c r="B3506" t="inlineStr">
        <is>
          <t>V720329</t>
        </is>
      </c>
      <c r="C3506" t="inlineStr">
        <is>
          <t>BOMBER JACKET</t>
        </is>
      </c>
      <c r="D3506" t="inlineStr">
        <is>
          <t>NIB</t>
        </is>
      </c>
      <c r="E3506" t="inlineStr">
        <is>
          <t>(en blanco)</t>
        </is>
      </c>
      <c r="F3506" t="inlineStr">
        <is>
          <t>(en blanco)</t>
        </is>
      </c>
      <c r="G3506" t="inlineStr">
        <is>
          <t>XL</t>
        </is>
      </c>
      <c r="H3506" t="n">
        <v>3</v>
      </c>
      <c r="I3506" t="inlineStr">
        <is>
          <t>NAUTICA_MENS_V720329_NIB_1.jpg</t>
        </is>
      </c>
      <c r="J3506" t="inlineStr">
        <is>
          <t>NAUTICA_MENS_V720329_NIB_2.jpg</t>
        </is>
      </c>
      <c r="K3506" t="inlineStr">
        <is>
          <t>NAUTICA_MENS_V720329_NIB_3.jpg</t>
        </is>
      </c>
      <c r="L3506">
        <f>IMAGE("file:///E:/Estudios%20y%20certificaciones/ESTUDIOS%20DE%20PROGRAMMING/PROGRAMMING/PERSONAL/PYTHON/Image_Generator_API/imagenes/NAUTICA_MENS_V720329_NIB_1.jpg")</f>
        <v/>
      </c>
      <c r="M3506">
        <f>IMAGE("file:///E:/Estudios%20y%20certificaciones/ESTUDIOS%20DE%20PROGRAMMING/PROGRAMMING/PERSONAL/PYTHON/Image_Generator_API/imagenes/NAUTICA_MENS_V720329_NIB_2.jpg")</f>
        <v/>
      </c>
      <c r="N3506">
        <f>IMAGE("file:///E:/Estudios%20y%20certificaciones/ESTUDIOS%20DE%20PROGRAMMING/PROGRAMMING/PERSONAL/PYTHON/Image_Generator_API/imagenes/NAUTICA_MENS_V720329_NIB_3.jpg")</f>
        <v/>
      </c>
      <c r="O3506">
        <f>HYPERLINK("imagenes/NAUTICA_MENS_V720329_NIB_1.jpg","Ver imagen")</f>
        <v/>
      </c>
      <c r="P3506">
        <f>HYPERLINK("imagenes/NAUTICA_MENS_V720329_NIB_2.jpg","Ver imagen")</f>
        <v/>
      </c>
      <c r="Q3506">
        <f>HYPERLINK("imagenes/NAUTICA_MENS_V720329_NIB_3.jpg","Ver imagen")</f>
        <v/>
      </c>
    </row>
    <row r="3507">
      <c r="A3507" t="inlineStr">
        <is>
          <t>NAUTICA MENS</t>
        </is>
      </c>
      <c r="B3507" t="inlineStr">
        <is>
          <t>V720329</t>
        </is>
      </c>
      <c r="C3507" t="inlineStr">
        <is>
          <t>BOMBER JACKET</t>
        </is>
      </c>
      <c r="D3507" t="inlineStr">
        <is>
          <t>NVY</t>
        </is>
      </c>
      <c r="E3507" t="inlineStr">
        <is>
          <t>(en blanco)</t>
        </is>
      </c>
      <c r="F3507" t="inlineStr">
        <is>
          <t>(en blanco)</t>
        </is>
      </c>
      <c r="G3507" t="inlineStr">
        <is>
          <t>S</t>
        </is>
      </c>
      <c r="H3507" t="n">
        <v>4</v>
      </c>
      <c r="I3507" t="inlineStr">
        <is>
          <t>NAUTICA_MENS_V720329_NVY_1.jpg</t>
        </is>
      </c>
      <c r="J3507" t="inlineStr">
        <is>
          <t>NAUTICA_MENS_V720329_NVY_2.jpg</t>
        </is>
      </c>
      <c r="K3507" t="inlineStr">
        <is>
          <t>NAUTICA_MENS_V720329_NVY_3.jpg</t>
        </is>
      </c>
      <c r="L3507">
        <f>IMAGE("file:///E:/Estudios%20y%20certificaciones/ESTUDIOS%20DE%20PROGRAMMING/PROGRAMMING/PERSONAL/PYTHON/Image_Generator_API/imagenes/NAUTICA_MENS_V720329_NVY_1.jpg")</f>
        <v/>
      </c>
      <c r="M3507">
        <f>IMAGE("file:///E:/Estudios%20y%20certificaciones/ESTUDIOS%20DE%20PROGRAMMING/PROGRAMMING/PERSONAL/PYTHON/Image_Generator_API/imagenes/NAUTICA_MENS_V720329_NVY_2.jpg")</f>
        <v/>
      </c>
      <c r="N3507">
        <f>IMAGE("file:///E:/Estudios%20y%20certificaciones/ESTUDIOS%20DE%20PROGRAMMING/PROGRAMMING/PERSONAL/PYTHON/Image_Generator_API/imagenes/NAUTICA_MENS_V720329_NVY_3.jpg")</f>
        <v/>
      </c>
      <c r="O3507">
        <f>HYPERLINK("imagenes/NAUTICA_MENS_V720329_NVY_1.jpg","Ver imagen")</f>
        <v/>
      </c>
      <c r="P3507">
        <f>HYPERLINK("imagenes/NAUTICA_MENS_V720329_NVY_2.jpg","Ver imagen")</f>
        <v/>
      </c>
      <c r="Q3507">
        <f>HYPERLINK("imagenes/NAUTICA_MENS_V720329_NVY_3.jpg","Ver imagen")</f>
        <v/>
      </c>
    </row>
    <row r="3508">
      <c r="A3508" t="inlineStr">
        <is>
          <t>NAUTICA MENS</t>
        </is>
      </c>
      <c r="B3508" t="inlineStr">
        <is>
          <t>V720329</t>
        </is>
      </c>
      <c r="C3508" t="inlineStr">
        <is>
          <t>BOMBER JACKET</t>
        </is>
      </c>
      <c r="D3508" t="inlineStr">
        <is>
          <t>NVY</t>
        </is>
      </c>
      <c r="E3508" t="inlineStr">
        <is>
          <t>(en blanco)</t>
        </is>
      </c>
      <c r="F3508" t="inlineStr">
        <is>
          <t>(en blanco)</t>
        </is>
      </c>
      <c r="G3508" t="inlineStr">
        <is>
          <t>M</t>
        </is>
      </c>
      <c r="H3508" t="n">
        <v>8</v>
      </c>
      <c r="I3508" t="inlineStr">
        <is>
          <t>NAUTICA_MENS_V720329_NVY_1.jpg</t>
        </is>
      </c>
      <c r="J3508" t="inlineStr">
        <is>
          <t>NAUTICA_MENS_V720329_NVY_2.jpg</t>
        </is>
      </c>
      <c r="K3508" t="inlineStr">
        <is>
          <t>NAUTICA_MENS_V720329_NVY_3.jpg</t>
        </is>
      </c>
      <c r="L3508">
        <f>IMAGE("file:///E:/Estudios%20y%20certificaciones/ESTUDIOS%20DE%20PROGRAMMING/PROGRAMMING/PERSONAL/PYTHON/Image_Generator_API/imagenes/NAUTICA_MENS_V720329_NVY_1.jpg")</f>
        <v/>
      </c>
      <c r="M3508">
        <f>IMAGE("file:///E:/Estudios%20y%20certificaciones/ESTUDIOS%20DE%20PROGRAMMING/PROGRAMMING/PERSONAL/PYTHON/Image_Generator_API/imagenes/NAUTICA_MENS_V720329_NVY_2.jpg")</f>
        <v/>
      </c>
      <c r="N3508">
        <f>IMAGE("file:///E:/Estudios%20y%20certificaciones/ESTUDIOS%20DE%20PROGRAMMING/PROGRAMMING/PERSONAL/PYTHON/Image_Generator_API/imagenes/NAUTICA_MENS_V720329_NVY_3.jpg")</f>
        <v/>
      </c>
      <c r="O3508">
        <f>HYPERLINK("imagenes/NAUTICA_MENS_V720329_NVY_1.jpg","Ver imagen")</f>
        <v/>
      </c>
      <c r="P3508">
        <f>HYPERLINK("imagenes/NAUTICA_MENS_V720329_NVY_2.jpg","Ver imagen")</f>
        <v/>
      </c>
      <c r="Q3508">
        <f>HYPERLINK("imagenes/NAUTICA_MENS_V720329_NVY_3.jpg","Ver imagen")</f>
        <v/>
      </c>
    </row>
    <row r="3509">
      <c r="A3509" t="inlineStr">
        <is>
          <t>NAUTICA MENS</t>
        </is>
      </c>
      <c r="B3509" t="inlineStr">
        <is>
          <t>V720329</t>
        </is>
      </c>
      <c r="C3509" t="inlineStr">
        <is>
          <t>BOMBER JACKET</t>
        </is>
      </c>
      <c r="D3509" t="inlineStr">
        <is>
          <t>NVY</t>
        </is>
      </c>
      <c r="E3509" t="inlineStr">
        <is>
          <t>(en blanco)</t>
        </is>
      </c>
      <c r="F3509" t="inlineStr">
        <is>
          <t>(en blanco)</t>
        </is>
      </c>
      <c r="G3509" t="inlineStr">
        <is>
          <t>L</t>
        </is>
      </c>
      <c r="H3509" t="n">
        <v>2</v>
      </c>
      <c r="I3509" t="inlineStr">
        <is>
          <t>NAUTICA_MENS_V720329_NVY_1.jpg</t>
        </is>
      </c>
      <c r="J3509" t="inlineStr">
        <is>
          <t>NAUTICA_MENS_V720329_NVY_2.jpg</t>
        </is>
      </c>
      <c r="K3509" t="inlineStr">
        <is>
          <t>NAUTICA_MENS_V720329_NVY_3.jpg</t>
        </is>
      </c>
      <c r="L3509">
        <f>IMAGE("file:///E:/Estudios%20y%20certificaciones/ESTUDIOS%20DE%20PROGRAMMING/PROGRAMMING/PERSONAL/PYTHON/Image_Generator_API/imagenes/NAUTICA_MENS_V720329_NVY_1.jpg")</f>
        <v/>
      </c>
      <c r="M3509">
        <f>IMAGE("file:///E:/Estudios%20y%20certificaciones/ESTUDIOS%20DE%20PROGRAMMING/PROGRAMMING/PERSONAL/PYTHON/Image_Generator_API/imagenes/NAUTICA_MENS_V720329_NVY_2.jpg")</f>
        <v/>
      </c>
      <c r="N3509">
        <f>IMAGE("file:///E:/Estudios%20y%20certificaciones/ESTUDIOS%20DE%20PROGRAMMING/PROGRAMMING/PERSONAL/PYTHON/Image_Generator_API/imagenes/NAUTICA_MENS_V720329_NVY_3.jpg")</f>
        <v/>
      </c>
      <c r="O3509">
        <f>HYPERLINK("imagenes/NAUTICA_MENS_V720329_NVY_1.jpg","Ver imagen")</f>
        <v/>
      </c>
      <c r="P3509">
        <f>HYPERLINK("imagenes/NAUTICA_MENS_V720329_NVY_2.jpg","Ver imagen")</f>
        <v/>
      </c>
      <c r="Q3509">
        <f>HYPERLINK("imagenes/NAUTICA_MENS_V720329_NVY_3.jpg","Ver imagen")</f>
        <v/>
      </c>
    </row>
    <row r="3510">
      <c r="A3510" t="inlineStr">
        <is>
          <t>NAUTICA MENS</t>
        </is>
      </c>
      <c r="B3510" t="inlineStr">
        <is>
          <t>V720329</t>
        </is>
      </c>
      <c r="C3510" t="inlineStr">
        <is>
          <t>BOMBER JACKET</t>
        </is>
      </c>
      <c r="D3510" t="inlineStr">
        <is>
          <t>NVY</t>
        </is>
      </c>
      <c r="E3510" t="inlineStr">
        <is>
          <t>(en blanco)</t>
        </is>
      </c>
      <c r="F3510" t="inlineStr">
        <is>
          <t>(en blanco)</t>
        </is>
      </c>
      <c r="G3510" t="inlineStr">
        <is>
          <t>XL</t>
        </is>
      </c>
      <c r="H3510" t="n">
        <v>3</v>
      </c>
      <c r="I3510" t="inlineStr">
        <is>
          <t>NAUTICA_MENS_V720329_NVY_1.jpg</t>
        </is>
      </c>
      <c r="J3510" t="inlineStr">
        <is>
          <t>NAUTICA_MENS_V720329_NVY_2.jpg</t>
        </is>
      </c>
      <c r="K3510" t="inlineStr">
        <is>
          <t>NAUTICA_MENS_V720329_NVY_3.jpg</t>
        </is>
      </c>
      <c r="L3510">
        <f>IMAGE("file:///E:/Estudios%20y%20certificaciones/ESTUDIOS%20DE%20PROGRAMMING/PROGRAMMING/PERSONAL/PYTHON/Image_Generator_API/imagenes/NAUTICA_MENS_V720329_NVY_1.jpg")</f>
        <v/>
      </c>
      <c r="M3510">
        <f>IMAGE("file:///E:/Estudios%20y%20certificaciones/ESTUDIOS%20DE%20PROGRAMMING/PROGRAMMING/PERSONAL/PYTHON/Image_Generator_API/imagenes/NAUTICA_MENS_V720329_NVY_2.jpg")</f>
        <v/>
      </c>
      <c r="N3510">
        <f>IMAGE("file:///E:/Estudios%20y%20certificaciones/ESTUDIOS%20DE%20PROGRAMMING/PROGRAMMING/PERSONAL/PYTHON/Image_Generator_API/imagenes/NAUTICA_MENS_V720329_NVY_3.jpg")</f>
        <v/>
      </c>
      <c r="O3510">
        <f>HYPERLINK("imagenes/NAUTICA_MENS_V720329_NVY_1.jpg","Ver imagen")</f>
        <v/>
      </c>
      <c r="P3510">
        <f>HYPERLINK("imagenes/NAUTICA_MENS_V720329_NVY_2.jpg","Ver imagen")</f>
        <v/>
      </c>
      <c r="Q3510">
        <f>HYPERLINK("imagenes/NAUTICA_MENS_V720329_NVY_3.jpg","Ver imagen")</f>
        <v/>
      </c>
    </row>
    <row r="3511">
      <c r="A3511" t="inlineStr">
        <is>
          <t>NAUTICA MENS</t>
        </is>
      </c>
      <c r="B3511" t="inlineStr">
        <is>
          <t>V720329</t>
        </is>
      </c>
      <c r="C3511" t="inlineStr">
        <is>
          <t>BOMBER JACKET</t>
        </is>
      </c>
      <c r="D3511" t="inlineStr">
        <is>
          <t>NVY</t>
        </is>
      </c>
      <c r="E3511" t="inlineStr">
        <is>
          <t>(en blanco)</t>
        </is>
      </c>
      <c r="F3511" t="inlineStr">
        <is>
          <t>(en blanco)</t>
        </is>
      </c>
      <c r="G3511" t="inlineStr">
        <is>
          <t>XXL</t>
        </is>
      </c>
      <c r="H3511" t="n">
        <v>4</v>
      </c>
      <c r="I3511" t="inlineStr">
        <is>
          <t>NAUTICA_MENS_V720329_NVY_1.jpg</t>
        </is>
      </c>
      <c r="J3511" t="inlineStr">
        <is>
          <t>NAUTICA_MENS_V720329_NVY_2.jpg</t>
        </is>
      </c>
      <c r="K3511" t="inlineStr">
        <is>
          <t>NAUTICA_MENS_V720329_NVY_3.jpg</t>
        </is>
      </c>
      <c r="L3511">
        <f>IMAGE("file:///E:/Estudios%20y%20certificaciones/ESTUDIOS%20DE%20PROGRAMMING/PROGRAMMING/PERSONAL/PYTHON/Image_Generator_API/imagenes/NAUTICA_MENS_V720329_NVY_1.jpg")</f>
        <v/>
      </c>
      <c r="M3511">
        <f>IMAGE("file:///E:/Estudios%20y%20certificaciones/ESTUDIOS%20DE%20PROGRAMMING/PROGRAMMING/PERSONAL/PYTHON/Image_Generator_API/imagenes/NAUTICA_MENS_V720329_NVY_2.jpg")</f>
        <v/>
      </c>
      <c r="N3511">
        <f>IMAGE("file:///E:/Estudios%20y%20certificaciones/ESTUDIOS%20DE%20PROGRAMMING/PROGRAMMING/PERSONAL/PYTHON/Image_Generator_API/imagenes/NAUTICA_MENS_V720329_NVY_3.jpg")</f>
        <v/>
      </c>
      <c r="O3511">
        <f>HYPERLINK("imagenes/NAUTICA_MENS_V720329_NVY_1.jpg","Ver imagen")</f>
        <v/>
      </c>
      <c r="P3511">
        <f>HYPERLINK("imagenes/NAUTICA_MENS_V720329_NVY_2.jpg","Ver imagen")</f>
        <v/>
      </c>
      <c r="Q3511">
        <f>HYPERLINK("imagenes/NAUTICA_MENS_V720329_NVY_3.jpg","Ver imagen")</f>
        <v/>
      </c>
    </row>
    <row r="3512">
      <c r="A3512" t="inlineStr">
        <is>
          <t>NAUTICA MENS</t>
        </is>
      </c>
      <c r="B3512" t="inlineStr">
        <is>
          <t>V720329</t>
        </is>
      </c>
      <c r="C3512" t="inlineStr">
        <is>
          <t>BOMBER JACKET</t>
        </is>
      </c>
      <c r="D3512" t="inlineStr">
        <is>
          <t>RED</t>
        </is>
      </c>
      <c r="E3512" t="inlineStr">
        <is>
          <t>(en blanco)</t>
        </is>
      </c>
      <c r="F3512" t="inlineStr">
        <is>
          <t>(en blanco)</t>
        </is>
      </c>
      <c r="G3512" t="inlineStr">
        <is>
          <t>S</t>
        </is>
      </c>
      <c r="H3512" t="n">
        <v>1</v>
      </c>
      <c r="I3512" t="inlineStr">
        <is>
          <t>NAUTICA_MENS_V720329_RED_1.jpg</t>
        </is>
      </c>
      <c r="J3512" t="inlineStr">
        <is>
          <t>NAUTICA_MENS_V720329_RED_2.jpg</t>
        </is>
      </c>
      <c r="K3512" t="inlineStr">
        <is>
          <t>NAUTICA_MENS_V720329_RED_3.jpg</t>
        </is>
      </c>
      <c r="L3512">
        <f>IMAGE("file:///E:/Estudios%20y%20certificaciones/ESTUDIOS%20DE%20PROGRAMMING/PROGRAMMING/PERSONAL/PYTHON/Image_Generator_API/imagenes/NAUTICA_MENS_V720329_RED_1.jpg")</f>
        <v/>
      </c>
      <c r="M3512">
        <f>IMAGE("file:///E:/Estudios%20y%20certificaciones/ESTUDIOS%20DE%20PROGRAMMING/PROGRAMMING/PERSONAL/PYTHON/Image_Generator_API/imagenes/NAUTICA_MENS_V720329_RED_2.jpg")</f>
        <v/>
      </c>
      <c r="N3512">
        <f>IMAGE("file:///E:/Estudios%20y%20certificaciones/ESTUDIOS%20DE%20PROGRAMMING/PROGRAMMING/PERSONAL/PYTHON/Image_Generator_API/imagenes/NAUTICA_MENS_V720329_RED_3.jpg")</f>
        <v/>
      </c>
      <c r="O3512">
        <f>HYPERLINK("imagenes/NAUTICA_MENS_V720329_RED_1.jpg","Ver imagen")</f>
        <v/>
      </c>
      <c r="P3512">
        <f>HYPERLINK("imagenes/NAUTICA_MENS_V720329_RED_2.jpg","Ver imagen")</f>
        <v/>
      </c>
      <c r="Q3512">
        <f>HYPERLINK("imagenes/NAUTICA_MENS_V720329_RED_3.jpg","Ver imagen")</f>
        <v/>
      </c>
    </row>
    <row r="3513">
      <c r="A3513" t="inlineStr">
        <is>
          <t>NAUTICA MENS</t>
        </is>
      </c>
      <c r="B3513" t="inlineStr">
        <is>
          <t>V720329</t>
        </is>
      </c>
      <c r="C3513" t="inlineStr">
        <is>
          <t>BOMBER JACKET</t>
        </is>
      </c>
      <c r="D3513" t="inlineStr">
        <is>
          <t>RED</t>
        </is>
      </c>
      <c r="E3513" t="inlineStr">
        <is>
          <t>(en blanco)</t>
        </is>
      </c>
      <c r="F3513" t="inlineStr">
        <is>
          <t>(en blanco)</t>
        </is>
      </c>
      <c r="G3513" t="inlineStr">
        <is>
          <t>M</t>
        </is>
      </c>
      <c r="H3513" t="n">
        <v>5</v>
      </c>
      <c r="I3513" t="inlineStr">
        <is>
          <t>NAUTICA_MENS_V720329_RED_1.jpg</t>
        </is>
      </c>
      <c r="J3513" t="inlineStr">
        <is>
          <t>NAUTICA_MENS_V720329_RED_2.jpg</t>
        </is>
      </c>
      <c r="K3513" t="inlineStr">
        <is>
          <t>NAUTICA_MENS_V720329_RED_3.jpg</t>
        </is>
      </c>
      <c r="L3513">
        <f>IMAGE("file:///E:/Estudios%20y%20certificaciones/ESTUDIOS%20DE%20PROGRAMMING/PROGRAMMING/PERSONAL/PYTHON/Image_Generator_API/imagenes/NAUTICA_MENS_V720329_RED_1.jpg")</f>
        <v/>
      </c>
      <c r="M3513">
        <f>IMAGE("file:///E:/Estudios%20y%20certificaciones/ESTUDIOS%20DE%20PROGRAMMING/PROGRAMMING/PERSONAL/PYTHON/Image_Generator_API/imagenes/NAUTICA_MENS_V720329_RED_2.jpg")</f>
        <v/>
      </c>
      <c r="N3513">
        <f>IMAGE("file:///E:/Estudios%20y%20certificaciones/ESTUDIOS%20DE%20PROGRAMMING/PROGRAMMING/PERSONAL/PYTHON/Image_Generator_API/imagenes/NAUTICA_MENS_V720329_RED_3.jpg")</f>
        <v/>
      </c>
      <c r="O3513">
        <f>HYPERLINK("imagenes/NAUTICA_MENS_V720329_RED_1.jpg","Ver imagen")</f>
        <v/>
      </c>
      <c r="P3513">
        <f>HYPERLINK("imagenes/NAUTICA_MENS_V720329_RED_2.jpg","Ver imagen")</f>
        <v/>
      </c>
      <c r="Q3513">
        <f>HYPERLINK("imagenes/NAUTICA_MENS_V720329_RED_3.jpg","Ver imagen")</f>
        <v/>
      </c>
    </row>
    <row r="3514">
      <c r="A3514" t="inlineStr">
        <is>
          <t>NAUTICA MENS</t>
        </is>
      </c>
      <c r="B3514" t="inlineStr">
        <is>
          <t>V720329</t>
        </is>
      </c>
      <c r="C3514" t="inlineStr">
        <is>
          <t>BOMBER JACKET</t>
        </is>
      </c>
      <c r="D3514" t="inlineStr">
        <is>
          <t>RED</t>
        </is>
      </c>
      <c r="E3514" t="inlineStr">
        <is>
          <t>(en blanco)</t>
        </is>
      </c>
      <c r="F3514" t="inlineStr">
        <is>
          <t>(en blanco)</t>
        </is>
      </c>
      <c r="G3514" t="inlineStr">
        <is>
          <t>L</t>
        </is>
      </c>
      <c r="H3514" t="n">
        <v>4</v>
      </c>
      <c r="I3514" t="inlineStr">
        <is>
          <t>NAUTICA_MENS_V720329_RED_1.jpg</t>
        </is>
      </c>
      <c r="J3514" t="inlineStr">
        <is>
          <t>NAUTICA_MENS_V720329_RED_2.jpg</t>
        </is>
      </c>
      <c r="K3514" t="inlineStr">
        <is>
          <t>NAUTICA_MENS_V720329_RED_3.jpg</t>
        </is>
      </c>
      <c r="L3514">
        <f>IMAGE("file:///E:/Estudios%20y%20certificaciones/ESTUDIOS%20DE%20PROGRAMMING/PROGRAMMING/PERSONAL/PYTHON/Image_Generator_API/imagenes/NAUTICA_MENS_V720329_RED_1.jpg")</f>
        <v/>
      </c>
      <c r="M3514">
        <f>IMAGE("file:///E:/Estudios%20y%20certificaciones/ESTUDIOS%20DE%20PROGRAMMING/PROGRAMMING/PERSONAL/PYTHON/Image_Generator_API/imagenes/NAUTICA_MENS_V720329_RED_2.jpg")</f>
        <v/>
      </c>
      <c r="N3514">
        <f>IMAGE("file:///E:/Estudios%20y%20certificaciones/ESTUDIOS%20DE%20PROGRAMMING/PROGRAMMING/PERSONAL/PYTHON/Image_Generator_API/imagenes/NAUTICA_MENS_V720329_RED_3.jpg")</f>
        <v/>
      </c>
      <c r="O3514">
        <f>HYPERLINK("imagenes/NAUTICA_MENS_V720329_RED_1.jpg","Ver imagen")</f>
        <v/>
      </c>
      <c r="P3514">
        <f>HYPERLINK("imagenes/NAUTICA_MENS_V720329_RED_2.jpg","Ver imagen")</f>
        <v/>
      </c>
      <c r="Q3514">
        <f>HYPERLINK("imagenes/NAUTICA_MENS_V720329_RED_3.jpg","Ver imagen")</f>
        <v/>
      </c>
    </row>
    <row r="3515">
      <c r="A3515" t="inlineStr">
        <is>
          <t>NAUTICA MENS</t>
        </is>
      </c>
      <c r="B3515" t="inlineStr">
        <is>
          <t>V720329</t>
        </is>
      </c>
      <c r="C3515" t="inlineStr">
        <is>
          <t>BOMBER JACKET</t>
        </is>
      </c>
      <c r="D3515" t="inlineStr">
        <is>
          <t>RED</t>
        </is>
      </c>
      <c r="E3515" t="inlineStr">
        <is>
          <t>(en blanco)</t>
        </is>
      </c>
      <c r="F3515" t="inlineStr">
        <is>
          <t>(en blanco)</t>
        </is>
      </c>
      <c r="G3515" t="inlineStr">
        <is>
          <t>XL</t>
        </is>
      </c>
      <c r="H3515" t="n">
        <v>5</v>
      </c>
      <c r="I3515" t="inlineStr">
        <is>
          <t>NAUTICA_MENS_V720329_RED_1.jpg</t>
        </is>
      </c>
      <c r="J3515" t="inlineStr">
        <is>
          <t>NAUTICA_MENS_V720329_RED_2.jpg</t>
        </is>
      </c>
      <c r="K3515" t="inlineStr">
        <is>
          <t>NAUTICA_MENS_V720329_RED_3.jpg</t>
        </is>
      </c>
      <c r="L3515">
        <f>IMAGE("file:///E:/Estudios%20y%20certificaciones/ESTUDIOS%20DE%20PROGRAMMING/PROGRAMMING/PERSONAL/PYTHON/Image_Generator_API/imagenes/NAUTICA_MENS_V720329_RED_1.jpg")</f>
        <v/>
      </c>
      <c r="M3515">
        <f>IMAGE("file:///E:/Estudios%20y%20certificaciones/ESTUDIOS%20DE%20PROGRAMMING/PROGRAMMING/PERSONAL/PYTHON/Image_Generator_API/imagenes/NAUTICA_MENS_V720329_RED_2.jpg")</f>
        <v/>
      </c>
      <c r="N3515">
        <f>IMAGE("file:///E:/Estudios%20y%20certificaciones/ESTUDIOS%20DE%20PROGRAMMING/PROGRAMMING/PERSONAL/PYTHON/Image_Generator_API/imagenes/NAUTICA_MENS_V720329_RED_3.jpg")</f>
        <v/>
      </c>
      <c r="O3515">
        <f>HYPERLINK("imagenes/NAUTICA_MENS_V720329_RED_1.jpg","Ver imagen")</f>
        <v/>
      </c>
      <c r="P3515">
        <f>HYPERLINK("imagenes/NAUTICA_MENS_V720329_RED_2.jpg","Ver imagen")</f>
        <v/>
      </c>
      <c r="Q3515">
        <f>HYPERLINK("imagenes/NAUTICA_MENS_V720329_RED_3.jpg","Ver imagen")</f>
        <v/>
      </c>
    </row>
    <row r="3516">
      <c r="A3516" t="inlineStr">
        <is>
          <t>NAUTICA MENS</t>
        </is>
      </c>
      <c r="B3516" t="inlineStr">
        <is>
          <t>V720329</t>
        </is>
      </c>
      <c r="C3516" t="inlineStr">
        <is>
          <t>BOMBER JACKET</t>
        </is>
      </c>
      <c r="D3516" t="inlineStr">
        <is>
          <t>SAM</t>
        </is>
      </c>
      <c r="E3516" t="inlineStr">
        <is>
          <t>(en blanco)</t>
        </is>
      </c>
      <c r="F3516" t="inlineStr">
        <is>
          <t>(en blanco)</t>
        </is>
      </c>
      <c r="G3516" t="inlineStr">
        <is>
          <t>S</t>
        </is>
      </c>
      <c r="H3516" t="n">
        <v>4</v>
      </c>
      <c r="I3516" t="inlineStr">
        <is>
          <t>NAUTICA_MENS_V720329_SAM_1.jpg</t>
        </is>
      </c>
      <c r="J3516" t="inlineStr">
        <is>
          <t>NAUTICA_MENS_V720329_SAM_2.jpg</t>
        </is>
      </c>
      <c r="K3516" t="inlineStr">
        <is>
          <t>NAUTICA_MENS_V720329_SAM_3.jpg</t>
        </is>
      </c>
      <c r="L3516">
        <f>IMAGE("file:///E:/Estudios%20y%20certificaciones/ESTUDIOS%20DE%20PROGRAMMING/PROGRAMMING/PERSONAL/PYTHON/Image_Generator_API/imagenes/NAUTICA_MENS_V720329_SAM_1.jpg")</f>
        <v/>
      </c>
      <c r="M3516">
        <f>IMAGE("file:///E:/Estudios%20y%20certificaciones/ESTUDIOS%20DE%20PROGRAMMING/PROGRAMMING/PERSONAL/PYTHON/Image_Generator_API/imagenes/NAUTICA_MENS_V720329_SAM_2.jpg")</f>
        <v/>
      </c>
      <c r="N3516">
        <f>IMAGE("file:///E:/Estudios%20y%20certificaciones/ESTUDIOS%20DE%20PROGRAMMING/PROGRAMMING/PERSONAL/PYTHON/Image_Generator_API/imagenes/NAUTICA_MENS_V720329_SAM_3.jpg")</f>
        <v/>
      </c>
      <c r="O3516">
        <f>HYPERLINK("imagenes/NAUTICA_MENS_V720329_SAM_1.jpg","Ver imagen")</f>
        <v/>
      </c>
      <c r="P3516">
        <f>HYPERLINK("imagenes/NAUTICA_MENS_V720329_SAM_2.jpg","Ver imagen")</f>
        <v/>
      </c>
      <c r="Q3516">
        <f>HYPERLINK("imagenes/NAUTICA_MENS_V720329_SAM_3.jpg","Ver imagen")</f>
        <v/>
      </c>
    </row>
    <row r="3517">
      <c r="A3517" t="inlineStr">
        <is>
          <t>NAUTICA MENS</t>
        </is>
      </c>
      <c r="B3517" t="inlineStr">
        <is>
          <t>V720329</t>
        </is>
      </c>
      <c r="C3517" t="inlineStr">
        <is>
          <t>BOMBER JACKET</t>
        </is>
      </c>
      <c r="D3517" t="inlineStr">
        <is>
          <t>SAM</t>
        </is>
      </c>
      <c r="E3517" t="inlineStr">
        <is>
          <t>(en blanco)</t>
        </is>
      </c>
      <c r="F3517" t="inlineStr">
        <is>
          <t>(en blanco)</t>
        </is>
      </c>
      <c r="G3517" t="inlineStr">
        <is>
          <t>M</t>
        </is>
      </c>
      <c r="H3517" t="n">
        <v>3</v>
      </c>
      <c r="I3517" t="inlineStr">
        <is>
          <t>NAUTICA_MENS_V720329_SAM_1.jpg</t>
        </is>
      </c>
      <c r="J3517" t="inlineStr">
        <is>
          <t>NAUTICA_MENS_V720329_SAM_2.jpg</t>
        </is>
      </c>
      <c r="K3517" t="inlineStr">
        <is>
          <t>NAUTICA_MENS_V720329_SAM_3.jpg</t>
        </is>
      </c>
      <c r="L3517">
        <f>IMAGE("file:///E:/Estudios%20y%20certificaciones/ESTUDIOS%20DE%20PROGRAMMING/PROGRAMMING/PERSONAL/PYTHON/Image_Generator_API/imagenes/NAUTICA_MENS_V720329_SAM_1.jpg")</f>
        <v/>
      </c>
      <c r="M3517">
        <f>IMAGE("file:///E:/Estudios%20y%20certificaciones/ESTUDIOS%20DE%20PROGRAMMING/PROGRAMMING/PERSONAL/PYTHON/Image_Generator_API/imagenes/NAUTICA_MENS_V720329_SAM_2.jpg")</f>
        <v/>
      </c>
      <c r="N3517">
        <f>IMAGE("file:///E:/Estudios%20y%20certificaciones/ESTUDIOS%20DE%20PROGRAMMING/PROGRAMMING/PERSONAL/PYTHON/Image_Generator_API/imagenes/NAUTICA_MENS_V720329_SAM_3.jpg")</f>
        <v/>
      </c>
      <c r="O3517">
        <f>HYPERLINK("imagenes/NAUTICA_MENS_V720329_SAM_1.jpg","Ver imagen")</f>
        <v/>
      </c>
      <c r="P3517">
        <f>HYPERLINK("imagenes/NAUTICA_MENS_V720329_SAM_2.jpg","Ver imagen")</f>
        <v/>
      </c>
      <c r="Q3517">
        <f>HYPERLINK("imagenes/NAUTICA_MENS_V720329_SAM_3.jpg","Ver imagen")</f>
        <v/>
      </c>
    </row>
    <row r="3518">
      <c r="A3518" t="inlineStr">
        <is>
          <t>NAUTICA MENS</t>
        </is>
      </c>
      <c r="B3518" t="inlineStr">
        <is>
          <t>V720329</t>
        </is>
      </c>
      <c r="C3518" t="inlineStr">
        <is>
          <t>BOMBER JACKET</t>
        </is>
      </c>
      <c r="D3518" t="inlineStr">
        <is>
          <t>SAM</t>
        </is>
      </c>
      <c r="E3518" t="inlineStr">
        <is>
          <t>(en blanco)</t>
        </is>
      </c>
      <c r="F3518" t="inlineStr">
        <is>
          <t>(en blanco)</t>
        </is>
      </c>
      <c r="G3518" t="inlineStr">
        <is>
          <t>L</t>
        </is>
      </c>
      <c r="H3518" t="n">
        <v>2</v>
      </c>
      <c r="I3518" t="inlineStr">
        <is>
          <t>NAUTICA_MENS_V720329_SAM_1.jpg</t>
        </is>
      </c>
      <c r="J3518" t="inlineStr">
        <is>
          <t>NAUTICA_MENS_V720329_SAM_2.jpg</t>
        </is>
      </c>
      <c r="K3518" t="inlineStr">
        <is>
          <t>NAUTICA_MENS_V720329_SAM_3.jpg</t>
        </is>
      </c>
      <c r="L3518">
        <f>IMAGE("file:///E:/Estudios%20y%20certificaciones/ESTUDIOS%20DE%20PROGRAMMING/PROGRAMMING/PERSONAL/PYTHON/Image_Generator_API/imagenes/NAUTICA_MENS_V720329_SAM_1.jpg")</f>
        <v/>
      </c>
      <c r="M3518">
        <f>IMAGE("file:///E:/Estudios%20y%20certificaciones/ESTUDIOS%20DE%20PROGRAMMING/PROGRAMMING/PERSONAL/PYTHON/Image_Generator_API/imagenes/NAUTICA_MENS_V720329_SAM_2.jpg")</f>
        <v/>
      </c>
      <c r="N3518">
        <f>IMAGE("file:///E:/Estudios%20y%20certificaciones/ESTUDIOS%20DE%20PROGRAMMING/PROGRAMMING/PERSONAL/PYTHON/Image_Generator_API/imagenes/NAUTICA_MENS_V720329_SAM_3.jpg")</f>
        <v/>
      </c>
      <c r="O3518">
        <f>HYPERLINK("imagenes/NAUTICA_MENS_V720329_SAM_1.jpg","Ver imagen")</f>
        <v/>
      </c>
      <c r="P3518">
        <f>HYPERLINK("imagenes/NAUTICA_MENS_V720329_SAM_2.jpg","Ver imagen")</f>
        <v/>
      </c>
      <c r="Q3518">
        <f>HYPERLINK("imagenes/NAUTICA_MENS_V720329_SAM_3.jpg","Ver imagen")</f>
        <v/>
      </c>
    </row>
    <row r="3519">
      <c r="A3519" t="inlineStr">
        <is>
          <t>NAUTICA MENS</t>
        </is>
      </c>
      <c r="B3519" t="inlineStr">
        <is>
          <t>V720329</t>
        </is>
      </c>
      <c r="C3519" t="inlineStr">
        <is>
          <t>BOMBER JACKET</t>
        </is>
      </c>
      <c r="D3519" t="inlineStr">
        <is>
          <t>SAM</t>
        </is>
      </c>
      <c r="E3519" t="inlineStr">
        <is>
          <t>(en blanco)</t>
        </is>
      </c>
      <c r="F3519" t="inlineStr">
        <is>
          <t>(en blanco)</t>
        </is>
      </c>
      <c r="G3519" t="inlineStr">
        <is>
          <t>XL</t>
        </is>
      </c>
      <c r="H3519" t="n">
        <v>8</v>
      </c>
      <c r="I3519" t="inlineStr">
        <is>
          <t>NAUTICA_MENS_V720329_SAM_1.jpg</t>
        </is>
      </c>
      <c r="J3519" t="inlineStr">
        <is>
          <t>NAUTICA_MENS_V720329_SAM_2.jpg</t>
        </is>
      </c>
      <c r="K3519" t="inlineStr">
        <is>
          <t>NAUTICA_MENS_V720329_SAM_3.jpg</t>
        </is>
      </c>
      <c r="L3519">
        <f>IMAGE("file:///E:/Estudios%20y%20certificaciones/ESTUDIOS%20DE%20PROGRAMMING/PROGRAMMING/PERSONAL/PYTHON/Image_Generator_API/imagenes/NAUTICA_MENS_V720329_SAM_1.jpg")</f>
        <v/>
      </c>
      <c r="M3519">
        <f>IMAGE("file:///E:/Estudios%20y%20certificaciones/ESTUDIOS%20DE%20PROGRAMMING/PROGRAMMING/PERSONAL/PYTHON/Image_Generator_API/imagenes/NAUTICA_MENS_V720329_SAM_2.jpg")</f>
        <v/>
      </c>
      <c r="N3519">
        <f>IMAGE("file:///E:/Estudios%20y%20certificaciones/ESTUDIOS%20DE%20PROGRAMMING/PROGRAMMING/PERSONAL/PYTHON/Image_Generator_API/imagenes/NAUTICA_MENS_V720329_SAM_3.jpg")</f>
        <v/>
      </c>
      <c r="O3519">
        <f>HYPERLINK("imagenes/NAUTICA_MENS_V720329_SAM_1.jpg","Ver imagen")</f>
        <v/>
      </c>
      <c r="P3519">
        <f>HYPERLINK("imagenes/NAUTICA_MENS_V720329_SAM_2.jpg","Ver imagen")</f>
        <v/>
      </c>
      <c r="Q3519">
        <f>HYPERLINK("imagenes/NAUTICA_MENS_V720329_SAM_3.jpg","Ver imagen")</f>
        <v/>
      </c>
    </row>
    <row r="3520">
      <c r="A3520" t="inlineStr">
        <is>
          <t>NAUTICA MENS</t>
        </is>
      </c>
      <c r="B3520" t="inlineStr">
        <is>
          <t>V720329</t>
        </is>
      </c>
      <c r="C3520" t="inlineStr">
        <is>
          <t>BOMBER JACKET</t>
        </is>
      </c>
      <c r="D3520" t="inlineStr">
        <is>
          <t>SAM</t>
        </is>
      </c>
      <c r="E3520" t="inlineStr">
        <is>
          <t>(en blanco)</t>
        </is>
      </c>
      <c r="F3520" t="inlineStr">
        <is>
          <t>(en blanco)</t>
        </is>
      </c>
      <c r="G3520" t="inlineStr">
        <is>
          <t>XXL</t>
        </is>
      </c>
      <c r="H3520" t="n">
        <v>6</v>
      </c>
      <c r="I3520" t="inlineStr">
        <is>
          <t>NAUTICA_MENS_V720329_SAM_1.jpg</t>
        </is>
      </c>
      <c r="J3520" t="inlineStr">
        <is>
          <t>NAUTICA_MENS_V720329_SAM_2.jpg</t>
        </is>
      </c>
      <c r="K3520" t="inlineStr">
        <is>
          <t>NAUTICA_MENS_V720329_SAM_3.jpg</t>
        </is>
      </c>
      <c r="L3520">
        <f>IMAGE("file:///E:/Estudios%20y%20certificaciones/ESTUDIOS%20DE%20PROGRAMMING/PROGRAMMING/PERSONAL/PYTHON/Image_Generator_API/imagenes/NAUTICA_MENS_V720329_SAM_1.jpg")</f>
        <v/>
      </c>
      <c r="M3520">
        <f>IMAGE("file:///E:/Estudios%20y%20certificaciones/ESTUDIOS%20DE%20PROGRAMMING/PROGRAMMING/PERSONAL/PYTHON/Image_Generator_API/imagenes/NAUTICA_MENS_V720329_SAM_2.jpg")</f>
        <v/>
      </c>
      <c r="N3520">
        <f>IMAGE("file:///E:/Estudios%20y%20certificaciones/ESTUDIOS%20DE%20PROGRAMMING/PROGRAMMING/PERSONAL/PYTHON/Image_Generator_API/imagenes/NAUTICA_MENS_V720329_SAM_3.jpg")</f>
        <v/>
      </c>
      <c r="O3520">
        <f>HYPERLINK("imagenes/NAUTICA_MENS_V720329_SAM_1.jpg","Ver imagen")</f>
        <v/>
      </c>
      <c r="P3520">
        <f>HYPERLINK("imagenes/NAUTICA_MENS_V720329_SAM_2.jpg","Ver imagen")</f>
        <v/>
      </c>
      <c r="Q3520">
        <f>HYPERLINK("imagenes/NAUTICA_MENS_V720329_SAM_3.jpg","Ver imagen")</f>
        <v/>
      </c>
    </row>
    <row r="3521">
      <c r="A3521" t="inlineStr">
        <is>
          <t>NAUTICA MENS</t>
        </is>
      </c>
      <c r="B3521" t="inlineStr">
        <is>
          <t>V720329</t>
        </is>
      </c>
      <c r="C3521" t="inlineStr">
        <is>
          <t>BOMBER JACKET</t>
        </is>
      </c>
      <c r="D3521" t="inlineStr">
        <is>
          <t>SP7</t>
        </is>
      </c>
      <c r="E3521" t="inlineStr">
        <is>
          <t>(en blanco)</t>
        </is>
      </c>
      <c r="F3521" t="inlineStr">
        <is>
          <t>(en blanco)</t>
        </is>
      </c>
      <c r="G3521" t="inlineStr">
        <is>
          <t>S</t>
        </is>
      </c>
      <c r="H3521" t="n">
        <v>4</v>
      </c>
      <c r="I3521" t="inlineStr">
        <is>
          <t>NAUTICA_MENS_V720329_SP7_1.jpg</t>
        </is>
      </c>
      <c r="J3521" t="inlineStr">
        <is>
          <t>NAUTICA_MENS_V720329_SP7_2.jpg</t>
        </is>
      </c>
      <c r="K3521" t="inlineStr">
        <is>
          <t>NAUTICA_MENS_V720329_SP7_3.jpg</t>
        </is>
      </c>
      <c r="L3521">
        <f>IMAGE("file:///E:/Estudios%20y%20certificaciones/ESTUDIOS%20DE%20PROGRAMMING/PROGRAMMING/PERSONAL/PYTHON/Image_Generator_API/imagenes/NAUTICA_MENS_V720329_SP7_1.jpg")</f>
        <v/>
      </c>
      <c r="M3521">
        <f>IMAGE("file:///E:/Estudios%20y%20certificaciones/ESTUDIOS%20DE%20PROGRAMMING/PROGRAMMING/PERSONAL/PYTHON/Image_Generator_API/imagenes/NAUTICA_MENS_V720329_SP7_2.jpg")</f>
        <v/>
      </c>
      <c r="N3521">
        <f>IMAGE("file:///E:/Estudios%20y%20certificaciones/ESTUDIOS%20DE%20PROGRAMMING/PROGRAMMING/PERSONAL/PYTHON/Image_Generator_API/imagenes/NAUTICA_MENS_V720329_SP7_3.jpg")</f>
        <v/>
      </c>
      <c r="O3521">
        <f>HYPERLINK("imagenes/NAUTICA_MENS_V720329_SP7_1.jpg","Ver imagen")</f>
        <v/>
      </c>
      <c r="P3521">
        <f>HYPERLINK("imagenes/NAUTICA_MENS_V720329_SP7_2.jpg","Ver imagen")</f>
        <v/>
      </c>
      <c r="Q3521">
        <f>HYPERLINK("imagenes/NAUTICA_MENS_V720329_SP7_3.jpg","Ver imagen")</f>
        <v/>
      </c>
    </row>
    <row r="3522">
      <c r="A3522" t="inlineStr">
        <is>
          <t>NAUTICA MENS</t>
        </is>
      </c>
      <c r="B3522" t="inlineStr">
        <is>
          <t>V720329</t>
        </is>
      </c>
      <c r="C3522" t="inlineStr">
        <is>
          <t>BOMBER JACKET</t>
        </is>
      </c>
      <c r="D3522" t="inlineStr">
        <is>
          <t>SP7</t>
        </is>
      </c>
      <c r="E3522" t="inlineStr">
        <is>
          <t>(en blanco)</t>
        </is>
      </c>
      <c r="F3522" t="inlineStr">
        <is>
          <t>(en blanco)</t>
        </is>
      </c>
      <c r="G3522" t="inlineStr">
        <is>
          <t>M</t>
        </is>
      </c>
      <c r="H3522" t="n">
        <v>6</v>
      </c>
      <c r="I3522" t="inlineStr">
        <is>
          <t>NAUTICA_MENS_V720329_SP7_1.jpg</t>
        </is>
      </c>
      <c r="J3522" t="inlineStr">
        <is>
          <t>NAUTICA_MENS_V720329_SP7_2.jpg</t>
        </is>
      </c>
      <c r="K3522" t="inlineStr">
        <is>
          <t>NAUTICA_MENS_V720329_SP7_3.jpg</t>
        </is>
      </c>
      <c r="L3522">
        <f>IMAGE("file:///E:/Estudios%20y%20certificaciones/ESTUDIOS%20DE%20PROGRAMMING/PROGRAMMING/PERSONAL/PYTHON/Image_Generator_API/imagenes/NAUTICA_MENS_V720329_SP7_1.jpg")</f>
        <v/>
      </c>
      <c r="M3522">
        <f>IMAGE("file:///E:/Estudios%20y%20certificaciones/ESTUDIOS%20DE%20PROGRAMMING/PROGRAMMING/PERSONAL/PYTHON/Image_Generator_API/imagenes/NAUTICA_MENS_V720329_SP7_2.jpg")</f>
        <v/>
      </c>
      <c r="N3522">
        <f>IMAGE("file:///E:/Estudios%20y%20certificaciones/ESTUDIOS%20DE%20PROGRAMMING/PROGRAMMING/PERSONAL/PYTHON/Image_Generator_API/imagenes/NAUTICA_MENS_V720329_SP7_3.jpg")</f>
        <v/>
      </c>
      <c r="O3522">
        <f>HYPERLINK("imagenes/NAUTICA_MENS_V720329_SP7_1.jpg","Ver imagen")</f>
        <v/>
      </c>
      <c r="P3522">
        <f>HYPERLINK("imagenes/NAUTICA_MENS_V720329_SP7_2.jpg","Ver imagen")</f>
        <v/>
      </c>
      <c r="Q3522">
        <f>HYPERLINK("imagenes/NAUTICA_MENS_V720329_SP7_3.jpg","Ver imagen")</f>
        <v/>
      </c>
    </row>
    <row r="3523">
      <c r="A3523" t="inlineStr">
        <is>
          <t>NAUTICA MENS</t>
        </is>
      </c>
      <c r="B3523" t="inlineStr">
        <is>
          <t>V720329</t>
        </is>
      </c>
      <c r="C3523" t="inlineStr">
        <is>
          <t>BOMBER JACKET</t>
        </is>
      </c>
      <c r="D3523" t="inlineStr">
        <is>
          <t>SP7</t>
        </is>
      </c>
      <c r="E3523" t="inlineStr">
        <is>
          <t>(en blanco)</t>
        </is>
      </c>
      <c r="F3523" t="inlineStr">
        <is>
          <t>(en blanco)</t>
        </is>
      </c>
      <c r="G3523" t="inlineStr">
        <is>
          <t>L</t>
        </is>
      </c>
      <c r="H3523" t="n">
        <v>8</v>
      </c>
      <c r="I3523" t="inlineStr">
        <is>
          <t>NAUTICA_MENS_V720329_SP7_1.jpg</t>
        </is>
      </c>
      <c r="J3523" t="inlineStr">
        <is>
          <t>NAUTICA_MENS_V720329_SP7_2.jpg</t>
        </is>
      </c>
      <c r="K3523" t="inlineStr">
        <is>
          <t>NAUTICA_MENS_V720329_SP7_3.jpg</t>
        </is>
      </c>
      <c r="L3523">
        <f>IMAGE("file:///E:/Estudios%20y%20certificaciones/ESTUDIOS%20DE%20PROGRAMMING/PROGRAMMING/PERSONAL/PYTHON/Image_Generator_API/imagenes/NAUTICA_MENS_V720329_SP7_1.jpg")</f>
        <v/>
      </c>
      <c r="M3523">
        <f>IMAGE("file:///E:/Estudios%20y%20certificaciones/ESTUDIOS%20DE%20PROGRAMMING/PROGRAMMING/PERSONAL/PYTHON/Image_Generator_API/imagenes/NAUTICA_MENS_V720329_SP7_2.jpg")</f>
        <v/>
      </c>
      <c r="N3523">
        <f>IMAGE("file:///E:/Estudios%20y%20certificaciones/ESTUDIOS%20DE%20PROGRAMMING/PROGRAMMING/PERSONAL/PYTHON/Image_Generator_API/imagenes/NAUTICA_MENS_V720329_SP7_3.jpg")</f>
        <v/>
      </c>
      <c r="O3523">
        <f>HYPERLINK("imagenes/NAUTICA_MENS_V720329_SP7_1.jpg","Ver imagen")</f>
        <v/>
      </c>
      <c r="P3523">
        <f>HYPERLINK("imagenes/NAUTICA_MENS_V720329_SP7_2.jpg","Ver imagen")</f>
        <v/>
      </c>
      <c r="Q3523">
        <f>HYPERLINK("imagenes/NAUTICA_MENS_V720329_SP7_3.jpg","Ver imagen")</f>
        <v/>
      </c>
    </row>
    <row r="3524">
      <c r="A3524" t="inlineStr">
        <is>
          <t>NAUTICA MENS</t>
        </is>
      </c>
      <c r="B3524" t="inlineStr">
        <is>
          <t>V720329</t>
        </is>
      </c>
      <c r="C3524" t="inlineStr">
        <is>
          <t>BOMBER JACKET</t>
        </is>
      </c>
      <c r="D3524" t="inlineStr">
        <is>
          <t>SP7</t>
        </is>
      </c>
      <c r="E3524" t="inlineStr">
        <is>
          <t>(en blanco)</t>
        </is>
      </c>
      <c r="F3524" t="inlineStr">
        <is>
          <t>(en blanco)</t>
        </is>
      </c>
      <c r="G3524" t="inlineStr">
        <is>
          <t>XL</t>
        </is>
      </c>
      <c r="H3524" t="n">
        <v>7</v>
      </c>
      <c r="I3524" t="inlineStr">
        <is>
          <t>NAUTICA_MENS_V720329_SP7_1.jpg</t>
        </is>
      </c>
      <c r="J3524" t="inlineStr">
        <is>
          <t>NAUTICA_MENS_V720329_SP7_2.jpg</t>
        </is>
      </c>
      <c r="K3524" t="inlineStr">
        <is>
          <t>NAUTICA_MENS_V720329_SP7_3.jpg</t>
        </is>
      </c>
      <c r="L3524">
        <f>IMAGE("file:///E:/Estudios%20y%20certificaciones/ESTUDIOS%20DE%20PROGRAMMING/PROGRAMMING/PERSONAL/PYTHON/Image_Generator_API/imagenes/NAUTICA_MENS_V720329_SP7_1.jpg")</f>
        <v/>
      </c>
      <c r="M3524">
        <f>IMAGE("file:///E:/Estudios%20y%20certificaciones/ESTUDIOS%20DE%20PROGRAMMING/PROGRAMMING/PERSONAL/PYTHON/Image_Generator_API/imagenes/NAUTICA_MENS_V720329_SP7_2.jpg")</f>
        <v/>
      </c>
      <c r="N3524">
        <f>IMAGE("file:///E:/Estudios%20y%20certificaciones/ESTUDIOS%20DE%20PROGRAMMING/PROGRAMMING/PERSONAL/PYTHON/Image_Generator_API/imagenes/NAUTICA_MENS_V720329_SP7_3.jpg")</f>
        <v/>
      </c>
      <c r="O3524">
        <f>HYPERLINK("imagenes/NAUTICA_MENS_V720329_SP7_1.jpg","Ver imagen")</f>
        <v/>
      </c>
      <c r="P3524">
        <f>HYPERLINK("imagenes/NAUTICA_MENS_V720329_SP7_2.jpg","Ver imagen")</f>
        <v/>
      </c>
      <c r="Q3524">
        <f>HYPERLINK("imagenes/NAUTICA_MENS_V720329_SP7_3.jpg","Ver imagen")</f>
        <v/>
      </c>
    </row>
    <row r="3525">
      <c r="A3525" t="inlineStr">
        <is>
          <t>NAUTICA MENS</t>
        </is>
      </c>
      <c r="B3525" t="inlineStr">
        <is>
          <t>V720329</t>
        </is>
      </c>
      <c r="C3525" t="inlineStr">
        <is>
          <t>BOMBER JACKET</t>
        </is>
      </c>
      <c r="D3525" t="inlineStr">
        <is>
          <t>SP7</t>
        </is>
      </c>
      <c r="E3525" t="inlineStr">
        <is>
          <t>(en blanco)</t>
        </is>
      </c>
      <c r="F3525" t="inlineStr">
        <is>
          <t>(en blanco)</t>
        </is>
      </c>
      <c r="G3525" t="inlineStr">
        <is>
          <t>XXL</t>
        </is>
      </c>
      <c r="H3525" t="n">
        <v>2</v>
      </c>
      <c r="I3525" t="inlineStr">
        <is>
          <t>NAUTICA_MENS_V720329_SP7_1.jpg</t>
        </is>
      </c>
      <c r="J3525" t="inlineStr">
        <is>
          <t>NAUTICA_MENS_V720329_SP7_2.jpg</t>
        </is>
      </c>
      <c r="K3525" t="inlineStr">
        <is>
          <t>NAUTICA_MENS_V720329_SP7_3.jpg</t>
        </is>
      </c>
      <c r="L3525">
        <f>IMAGE("file:///E:/Estudios%20y%20certificaciones/ESTUDIOS%20DE%20PROGRAMMING/PROGRAMMING/PERSONAL/PYTHON/Image_Generator_API/imagenes/NAUTICA_MENS_V720329_SP7_1.jpg")</f>
        <v/>
      </c>
      <c r="M3525">
        <f>IMAGE("file:///E:/Estudios%20y%20certificaciones/ESTUDIOS%20DE%20PROGRAMMING/PROGRAMMING/PERSONAL/PYTHON/Image_Generator_API/imagenes/NAUTICA_MENS_V720329_SP7_2.jpg")</f>
        <v/>
      </c>
      <c r="N3525">
        <f>IMAGE("file:///E:/Estudios%20y%20certificaciones/ESTUDIOS%20DE%20PROGRAMMING/PROGRAMMING/PERSONAL/PYTHON/Image_Generator_API/imagenes/NAUTICA_MENS_V720329_SP7_3.jpg")</f>
        <v/>
      </c>
      <c r="O3525">
        <f>HYPERLINK("imagenes/NAUTICA_MENS_V720329_SP7_1.jpg","Ver imagen")</f>
        <v/>
      </c>
      <c r="P3525">
        <f>HYPERLINK("imagenes/NAUTICA_MENS_V720329_SP7_2.jpg","Ver imagen")</f>
        <v/>
      </c>
      <c r="Q3525">
        <f>HYPERLINK("imagenes/NAUTICA_MENS_V720329_SP7_3.jpg","Ver imagen")</f>
        <v/>
      </c>
    </row>
    <row r="3526">
      <c r="A3526" t="inlineStr">
        <is>
          <t>NAUTICA MENS</t>
        </is>
      </c>
      <c r="B3526" t="inlineStr">
        <is>
          <t>V720363</t>
        </is>
      </c>
      <c r="C3526" t="inlineStr">
        <is>
          <t>BOMBER JACKET</t>
        </is>
      </c>
      <c r="D3526" t="inlineStr">
        <is>
          <t>BGI</t>
        </is>
      </c>
      <c r="E3526" t="inlineStr">
        <is>
          <t>(en blanco)</t>
        </is>
      </c>
      <c r="F3526" t="inlineStr">
        <is>
          <t>(en blanco)</t>
        </is>
      </c>
      <c r="G3526" t="inlineStr">
        <is>
          <t>S</t>
        </is>
      </c>
      <c r="H3526" t="n">
        <v>7</v>
      </c>
      <c r="I3526" t="inlineStr">
        <is>
          <t>NAUTICA_MENS_V720363_BGI_1.jpg</t>
        </is>
      </c>
      <c r="J3526" t="inlineStr">
        <is>
          <t>NAUTICA_MENS_V720363_BGI_2.jpg</t>
        </is>
      </c>
      <c r="K3526" t="inlineStr">
        <is>
          <t>NAUTICA_MENS_V720363_BGI_3.jpg</t>
        </is>
      </c>
      <c r="L3526">
        <f>IMAGE("file:///E:/Estudios%20y%20certificaciones/ESTUDIOS%20DE%20PROGRAMMING/PROGRAMMING/PERSONAL/PYTHON/Image_Generator_API/imagenes/NAUTICA_MENS_V720363_BGI_1.jpg")</f>
        <v/>
      </c>
      <c r="M3526">
        <f>IMAGE("file:///E:/Estudios%20y%20certificaciones/ESTUDIOS%20DE%20PROGRAMMING/PROGRAMMING/PERSONAL/PYTHON/Image_Generator_API/imagenes/NAUTICA_MENS_V720363_BGI_2.jpg")</f>
        <v/>
      </c>
      <c r="N3526">
        <f>IMAGE("file:///E:/Estudios%20y%20certificaciones/ESTUDIOS%20DE%20PROGRAMMING/PROGRAMMING/PERSONAL/PYTHON/Image_Generator_API/imagenes/NAUTICA_MENS_V720363_BGI_3.jpg")</f>
        <v/>
      </c>
      <c r="O3526">
        <f>HYPERLINK("imagenes/NAUTICA_MENS_V720363_BGI_1.jpg","Ver imagen")</f>
        <v/>
      </c>
      <c r="P3526">
        <f>HYPERLINK("imagenes/NAUTICA_MENS_V720363_BGI_2.jpg","Ver imagen")</f>
        <v/>
      </c>
      <c r="Q3526">
        <f>HYPERLINK("imagenes/NAUTICA_MENS_V720363_BGI_3.jpg","Ver imagen")</f>
        <v/>
      </c>
    </row>
    <row r="3527">
      <c r="A3527" t="inlineStr">
        <is>
          <t>NAUTICA MENS</t>
        </is>
      </c>
      <c r="B3527" t="inlineStr">
        <is>
          <t>V720363</t>
        </is>
      </c>
      <c r="C3527" t="inlineStr">
        <is>
          <t>BOMBER JACKET</t>
        </is>
      </c>
      <c r="D3527" t="inlineStr">
        <is>
          <t>BGI</t>
        </is>
      </c>
      <c r="E3527" t="inlineStr">
        <is>
          <t>(en blanco)</t>
        </is>
      </c>
      <c r="F3527" t="inlineStr">
        <is>
          <t>(en blanco)</t>
        </is>
      </c>
      <c r="G3527" t="inlineStr">
        <is>
          <t>M</t>
        </is>
      </c>
      <c r="H3527" t="n">
        <v>11</v>
      </c>
      <c r="I3527" t="inlineStr">
        <is>
          <t>NAUTICA_MENS_V720363_BGI_1.jpg</t>
        </is>
      </c>
      <c r="J3527" t="inlineStr">
        <is>
          <t>NAUTICA_MENS_V720363_BGI_2.jpg</t>
        </is>
      </c>
      <c r="K3527" t="inlineStr">
        <is>
          <t>NAUTICA_MENS_V720363_BGI_3.jpg</t>
        </is>
      </c>
      <c r="L3527">
        <f>IMAGE("file:///E:/Estudios%20y%20certificaciones/ESTUDIOS%20DE%20PROGRAMMING/PROGRAMMING/PERSONAL/PYTHON/Image_Generator_API/imagenes/NAUTICA_MENS_V720363_BGI_1.jpg")</f>
        <v/>
      </c>
      <c r="M3527">
        <f>IMAGE("file:///E:/Estudios%20y%20certificaciones/ESTUDIOS%20DE%20PROGRAMMING/PROGRAMMING/PERSONAL/PYTHON/Image_Generator_API/imagenes/NAUTICA_MENS_V720363_BGI_2.jpg")</f>
        <v/>
      </c>
      <c r="N3527">
        <f>IMAGE("file:///E:/Estudios%20y%20certificaciones/ESTUDIOS%20DE%20PROGRAMMING/PROGRAMMING/PERSONAL/PYTHON/Image_Generator_API/imagenes/NAUTICA_MENS_V720363_BGI_3.jpg")</f>
        <v/>
      </c>
      <c r="O3527">
        <f>HYPERLINK("imagenes/NAUTICA_MENS_V720363_BGI_1.jpg","Ver imagen")</f>
        <v/>
      </c>
      <c r="P3527">
        <f>HYPERLINK("imagenes/NAUTICA_MENS_V720363_BGI_2.jpg","Ver imagen")</f>
        <v/>
      </c>
      <c r="Q3527">
        <f>HYPERLINK("imagenes/NAUTICA_MENS_V720363_BGI_3.jpg","Ver imagen")</f>
        <v/>
      </c>
    </row>
    <row r="3528">
      <c r="A3528" t="inlineStr">
        <is>
          <t>NAUTICA MENS</t>
        </is>
      </c>
      <c r="B3528" t="inlineStr">
        <is>
          <t>V720363</t>
        </is>
      </c>
      <c r="C3528" t="inlineStr">
        <is>
          <t>BOMBER JACKET</t>
        </is>
      </c>
      <c r="D3528" t="inlineStr">
        <is>
          <t>BGI</t>
        </is>
      </c>
      <c r="E3528" t="inlineStr">
        <is>
          <t>(en blanco)</t>
        </is>
      </c>
      <c r="F3528" t="inlineStr">
        <is>
          <t>(en blanco)</t>
        </is>
      </c>
      <c r="G3528" t="inlineStr">
        <is>
          <t>L</t>
        </is>
      </c>
      <c r="H3528" t="n">
        <v>5</v>
      </c>
      <c r="I3528" t="inlineStr">
        <is>
          <t>NAUTICA_MENS_V720363_BGI_1.jpg</t>
        </is>
      </c>
      <c r="J3528" t="inlineStr">
        <is>
          <t>NAUTICA_MENS_V720363_BGI_2.jpg</t>
        </is>
      </c>
      <c r="K3528" t="inlineStr">
        <is>
          <t>NAUTICA_MENS_V720363_BGI_3.jpg</t>
        </is>
      </c>
      <c r="L3528">
        <f>IMAGE("file:///E:/Estudios%20y%20certificaciones/ESTUDIOS%20DE%20PROGRAMMING/PROGRAMMING/PERSONAL/PYTHON/Image_Generator_API/imagenes/NAUTICA_MENS_V720363_BGI_1.jpg")</f>
        <v/>
      </c>
      <c r="M3528">
        <f>IMAGE("file:///E:/Estudios%20y%20certificaciones/ESTUDIOS%20DE%20PROGRAMMING/PROGRAMMING/PERSONAL/PYTHON/Image_Generator_API/imagenes/NAUTICA_MENS_V720363_BGI_2.jpg")</f>
        <v/>
      </c>
      <c r="N3528">
        <f>IMAGE("file:///E:/Estudios%20y%20certificaciones/ESTUDIOS%20DE%20PROGRAMMING/PROGRAMMING/PERSONAL/PYTHON/Image_Generator_API/imagenes/NAUTICA_MENS_V720363_BGI_3.jpg")</f>
        <v/>
      </c>
      <c r="O3528">
        <f>HYPERLINK("imagenes/NAUTICA_MENS_V720363_BGI_1.jpg","Ver imagen")</f>
        <v/>
      </c>
      <c r="P3528">
        <f>HYPERLINK("imagenes/NAUTICA_MENS_V720363_BGI_2.jpg","Ver imagen")</f>
        <v/>
      </c>
      <c r="Q3528">
        <f>HYPERLINK("imagenes/NAUTICA_MENS_V720363_BGI_3.jpg","Ver imagen")</f>
        <v/>
      </c>
    </row>
    <row r="3529">
      <c r="A3529" t="inlineStr">
        <is>
          <t>NAUTICA MENS</t>
        </is>
      </c>
      <c r="B3529" t="inlineStr">
        <is>
          <t>V720363</t>
        </is>
      </c>
      <c r="C3529" t="inlineStr">
        <is>
          <t>BOMBER JACKET</t>
        </is>
      </c>
      <c r="D3529" t="inlineStr">
        <is>
          <t>BGI</t>
        </is>
      </c>
      <c r="E3529" t="inlineStr">
        <is>
          <t>(en blanco)</t>
        </is>
      </c>
      <c r="F3529" t="inlineStr">
        <is>
          <t>(en blanco)</t>
        </is>
      </c>
      <c r="G3529" t="inlineStr">
        <is>
          <t>XL</t>
        </is>
      </c>
      <c r="H3529" t="n">
        <v>5</v>
      </c>
      <c r="I3529" t="inlineStr">
        <is>
          <t>NAUTICA_MENS_V720363_BGI_1.jpg</t>
        </is>
      </c>
      <c r="J3529" t="inlineStr">
        <is>
          <t>NAUTICA_MENS_V720363_BGI_2.jpg</t>
        </is>
      </c>
      <c r="K3529" t="inlineStr">
        <is>
          <t>NAUTICA_MENS_V720363_BGI_3.jpg</t>
        </is>
      </c>
      <c r="L3529">
        <f>IMAGE("file:///E:/Estudios%20y%20certificaciones/ESTUDIOS%20DE%20PROGRAMMING/PROGRAMMING/PERSONAL/PYTHON/Image_Generator_API/imagenes/NAUTICA_MENS_V720363_BGI_1.jpg")</f>
        <v/>
      </c>
      <c r="M3529">
        <f>IMAGE("file:///E:/Estudios%20y%20certificaciones/ESTUDIOS%20DE%20PROGRAMMING/PROGRAMMING/PERSONAL/PYTHON/Image_Generator_API/imagenes/NAUTICA_MENS_V720363_BGI_2.jpg")</f>
        <v/>
      </c>
      <c r="N3529">
        <f>IMAGE("file:///E:/Estudios%20y%20certificaciones/ESTUDIOS%20DE%20PROGRAMMING/PROGRAMMING/PERSONAL/PYTHON/Image_Generator_API/imagenes/NAUTICA_MENS_V720363_BGI_3.jpg")</f>
        <v/>
      </c>
      <c r="O3529">
        <f>HYPERLINK("imagenes/NAUTICA_MENS_V720363_BGI_1.jpg","Ver imagen")</f>
        <v/>
      </c>
      <c r="P3529">
        <f>HYPERLINK("imagenes/NAUTICA_MENS_V720363_BGI_2.jpg","Ver imagen")</f>
        <v/>
      </c>
      <c r="Q3529">
        <f>HYPERLINK("imagenes/NAUTICA_MENS_V720363_BGI_3.jpg","Ver imagen")</f>
        <v/>
      </c>
    </row>
    <row r="3530">
      <c r="A3530" t="inlineStr">
        <is>
          <t>NAUTICA MENS</t>
        </is>
      </c>
      <c r="B3530" t="inlineStr">
        <is>
          <t>V720363</t>
        </is>
      </c>
      <c r="C3530" t="inlineStr">
        <is>
          <t>BOMBER JACKET</t>
        </is>
      </c>
      <c r="D3530" t="inlineStr">
        <is>
          <t>BGI</t>
        </is>
      </c>
      <c r="E3530" t="inlineStr">
        <is>
          <t>(en blanco)</t>
        </is>
      </c>
      <c r="F3530" t="inlineStr">
        <is>
          <t>(en blanco)</t>
        </is>
      </c>
      <c r="G3530" t="inlineStr">
        <is>
          <t>XXL</t>
        </is>
      </c>
      <c r="H3530" t="n">
        <v>6</v>
      </c>
      <c r="I3530" t="inlineStr">
        <is>
          <t>NAUTICA_MENS_V720363_BGI_1.jpg</t>
        </is>
      </c>
      <c r="J3530" t="inlineStr">
        <is>
          <t>NAUTICA_MENS_V720363_BGI_2.jpg</t>
        </is>
      </c>
      <c r="K3530" t="inlineStr">
        <is>
          <t>NAUTICA_MENS_V720363_BGI_3.jpg</t>
        </is>
      </c>
      <c r="L3530">
        <f>IMAGE("file:///E:/Estudios%20y%20certificaciones/ESTUDIOS%20DE%20PROGRAMMING/PROGRAMMING/PERSONAL/PYTHON/Image_Generator_API/imagenes/NAUTICA_MENS_V720363_BGI_1.jpg")</f>
        <v/>
      </c>
      <c r="M3530">
        <f>IMAGE("file:///E:/Estudios%20y%20certificaciones/ESTUDIOS%20DE%20PROGRAMMING/PROGRAMMING/PERSONAL/PYTHON/Image_Generator_API/imagenes/NAUTICA_MENS_V720363_BGI_2.jpg")</f>
        <v/>
      </c>
      <c r="N3530">
        <f>IMAGE("file:///E:/Estudios%20y%20certificaciones/ESTUDIOS%20DE%20PROGRAMMING/PROGRAMMING/PERSONAL/PYTHON/Image_Generator_API/imagenes/NAUTICA_MENS_V720363_BGI_3.jpg")</f>
        <v/>
      </c>
      <c r="O3530">
        <f>HYPERLINK("imagenes/NAUTICA_MENS_V720363_BGI_1.jpg","Ver imagen")</f>
        <v/>
      </c>
      <c r="P3530">
        <f>HYPERLINK("imagenes/NAUTICA_MENS_V720363_BGI_2.jpg","Ver imagen")</f>
        <v/>
      </c>
      <c r="Q3530">
        <f>HYPERLINK("imagenes/NAUTICA_MENS_V720363_BGI_3.jpg","Ver imagen")</f>
        <v/>
      </c>
    </row>
    <row r="3531">
      <c r="A3531" t="inlineStr">
        <is>
          <t>NAUTICA MENS</t>
        </is>
      </c>
      <c r="B3531" t="inlineStr">
        <is>
          <t>V720363</t>
        </is>
      </c>
      <c r="C3531" t="inlineStr">
        <is>
          <t>BOMBER JACKET</t>
        </is>
      </c>
      <c r="D3531" t="inlineStr">
        <is>
          <t>LA1</t>
        </is>
      </c>
      <c r="E3531" t="inlineStr">
        <is>
          <t>(en blanco)</t>
        </is>
      </c>
      <c r="F3531" t="inlineStr">
        <is>
          <t>(en blanco)</t>
        </is>
      </c>
      <c r="G3531" t="inlineStr">
        <is>
          <t>S</t>
        </is>
      </c>
      <c r="H3531" t="n">
        <v>5</v>
      </c>
      <c r="I3531" t="inlineStr">
        <is>
          <t>NAUTICA_MENS_V720363_LA1_1.jpg</t>
        </is>
      </c>
      <c r="J3531" t="inlineStr">
        <is>
          <t>NAUTICA_MENS_V720363_LA1_2.jpg</t>
        </is>
      </c>
      <c r="K3531" t="inlineStr">
        <is>
          <t>NAUTICA_MENS_V720363_LA1_3.jpg</t>
        </is>
      </c>
      <c r="L3531">
        <f>IMAGE("file:///E:/Estudios%20y%20certificaciones/ESTUDIOS%20DE%20PROGRAMMING/PROGRAMMING/PERSONAL/PYTHON/Image_Generator_API/imagenes/NAUTICA_MENS_V720363_LA1_1.jpg")</f>
        <v/>
      </c>
      <c r="M3531">
        <f>IMAGE("file:///E:/Estudios%20y%20certificaciones/ESTUDIOS%20DE%20PROGRAMMING/PROGRAMMING/PERSONAL/PYTHON/Image_Generator_API/imagenes/NAUTICA_MENS_V720363_LA1_2.jpg")</f>
        <v/>
      </c>
      <c r="N3531">
        <f>IMAGE("file:///E:/Estudios%20y%20certificaciones/ESTUDIOS%20DE%20PROGRAMMING/PROGRAMMING/PERSONAL/PYTHON/Image_Generator_API/imagenes/NAUTICA_MENS_V720363_LA1_3.jpg")</f>
        <v/>
      </c>
      <c r="O3531">
        <f>HYPERLINK("imagenes/NAUTICA_MENS_V720363_LA1_1.jpg","Ver imagen")</f>
        <v/>
      </c>
      <c r="P3531">
        <f>HYPERLINK("imagenes/NAUTICA_MENS_V720363_LA1_2.jpg","Ver imagen")</f>
        <v/>
      </c>
      <c r="Q3531">
        <f>HYPERLINK("imagenes/NAUTICA_MENS_V720363_LA1_3.jpg","Ver imagen")</f>
        <v/>
      </c>
    </row>
    <row r="3532">
      <c r="A3532" t="inlineStr">
        <is>
          <t>NAUTICA MENS</t>
        </is>
      </c>
      <c r="B3532" t="inlineStr">
        <is>
          <t>V720363</t>
        </is>
      </c>
      <c r="C3532" t="inlineStr">
        <is>
          <t>BOMBER JACKET</t>
        </is>
      </c>
      <c r="D3532" t="inlineStr">
        <is>
          <t>LA1</t>
        </is>
      </c>
      <c r="E3532" t="inlineStr">
        <is>
          <t>(en blanco)</t>
        </is>
      </c>
      <c r="F3532" t="inlineStr">
        <is>
          <t>(en blanco)</t>
        </is>
      </c>
      <c r="G3532" t="inlineStr">
        <is>
          <t>M</t>
        </is>
      </c>
      <c r="H3532" t="n">
        <v>5</v>
      </c>
      <c r="I3532" t="inlineStr">
        <is>
          <t>NAUTICA_MENS_V720363_LA1_1.jpg</t>
        </is>
      </c>
      <c r="J3532" t="inlineStr">
        <is>
          <t>NAUTICA_MENS_V720363_LA1_2.jpg</t>
        </is>
      </c>
      <c r="K3532" t="inlineStr">
        <is>
          <t>NAUTICA_MENS_V720363_LA1_3.jpg</t>
        </is>
      </c>
      <c r="L3532">
        <f>IMAGE("file:///E:/Estudios%20y%20certificaciones/ESTUDIOS%20DE%20PROGRAMMING/PROGRAMMING/PERSONAL/PYTHON/Image_Generator_API/imagenes/NAUTICA_MENS_V720363_LA1_1.jpg")</f>
        <v/>
      </c>
      <c r="M3532">
        <f>IMAGE("file:///E:/Estudios%20y%20certificaciones/ESTUDIOS%20DE%20PROGRAMMING/PROGRAMMING/PERSONAL/PYTHON/Image_Generator_API/imagenes/NAUTICA_MENS_V720363_LA1_2.jpg")</f>
        <v/>
      </c>
      <c r="N3532">
        <f>IMAGE("file:///E:/Estudios%20y%20certificaciones/ESTUDIOS%20DE%20PROGRAMMING/PROGRAMMING/PERSONAL/PYTHON/Image_Generator_API/imagenes/NAUTICA_MENS_V720363_LA1_3.jpg")</f>
        <v/>
      </c>
      <c r="O3532">
        <f>HYPERLINK("imagenes/NAUTICA_MENS_V720363_LA1_1.jpg","Ver imagen")</f>
        <v/>
      </c>
      <c r="P3532">
        <f>HYPERLINK("imagenes/NAUTICA_MENS_V720363_LA1_2.jpg","Ver imagen")</f>
        <v/>
      </c>
      <c r="Q3532">
        <f>HYPERLINK("imagenes/NAUTICA_MENS_V720363_LA1_3.jpg","Ver imagen")</f>
        <v/>
      </c>
    </row>
    <row r="3533">
      <c r="A3533" t="inlineStr">
        <is>
          <t>NAUTICA MENS</t>
        </is>
      </c>
      <c r="B3533" t="inlineStr">
        <is>
          <t>V720363</t>
        </is>
      </c>
      <c r="C3533" t="inlineStr">
        <is>
          <t>BOMBER JACKET</t>
        </is>
      </c>
      <c r="D3533" t="inlineStr">
        <is>
          <t>LA1</t>
        </is>
      </c>
      <c r="E3533" t="inlineStr">
        <is>
          <t>(en blanco)</t>
        </is>
      </c>
      <c r="F3533" t="inlineStr">
        <is>
          <t>(en blanco)</t>
        </is>
      </c>
      <c r="G3533" t="inlineStr">
        <is>
          <t>L</t>
        </is>
      </c>
      <c r="H3533" t="n">
        <v>3</v>
      </c>
      <c r="I3533" t="inlineStr">
        <is>
          <t>NAUTICA_MENS_V720363_LA1_1.jpg</t>
        </is>
      </c>
      <c r="J3533" t="inlineStr">
        <is>
          <t>NAUTICA_MENS_V720363_LA1_2.jpg</t>
        </is>
      </c>
      <c r="K3533" t="inlineStr">
        <is>
          <t>NAUTICA_MENS_V720363_LA1_3.jpg</t>
        </is>
      </c>
      <c r="L3533">
        <f>IMAGE("file:///E:/Estudios%20y%20certificaciones/ESTUDIOS%20DE%20PROGRAMMING/PROGRAMMING/PERSONAL/PYTHON/Image_Generator_API/imagenes/NAUTICA_MENS_V720363_LA1_1.jpg")</f>
        <v/>
      </c>
      <c r="M3533">
        <f>IMAGE("file:///E:/Estudios%20y%20certificaciones/ESTUDIOS%20DE%20PROGRAMMING/PROGRAMMING/PERSONAL/PYTHON/Image_Generator_API/imagenes/NAUTICA_MENS_V720363_LA1_2.jpg")</f>
        <v/>
      </c>
      <c r="N3533">
        <f>IMAGE("file:///E:/Estudios%20y%20certificaciones/ESTUDIOS%20DE%20PROGRAMMING/PROGRAMMING/PERSONAL/PYTHON/Image_Generator_API/imagenes/NAUTICA_MENS_V720363_LA1_3.jpg")</f>
        <v/>
      </c>
      <c r="O3533">
        <f>HYPERLINK("imagenes/NAUTICA_MENS_V720363_LA1_1.jpg","Ver imagen")</f>
        <v/>
      </c>
      <c r="P3533">
        <f>HYPERLINK("imagenes/NAUTICA_MENS_V720363_LA1_2.jpg","Ver imagen")</f>
        <v/>
      </c>
      <c r="Q3533">
        <f>HYPERLINK("imagenes/NAUTICA_MENS_V720363_LA1_3.jpg","Ver imagen")</f>
        <v/>
      </c>
    </row>
    <row r="3534">
      <c r="A3534" t="inlineStr">
        <is>
          <t>NAUTICA MENS</t>
        </is>
      </c>
      <c r="B3534" t="inlineStr">
        <is>
          <t>V720363</t>
        </is>
      </c>
      <c r="C3534" t="inlineStr">
        <is>
          <t>BOMBER JACKET</t>
        </is>
      </c>
      <c r="D3534" t="inlineStr">
        <is>
          <t>LA1</t>
        </is>
      </c>
      <c r="E3534" t="inlineStr">
        <is>
          <t>(en blanco)</t>
        </is>
      </c>
      <c r="F3534" t="inlineStr">
        <is>
          <t>(en blanco)</t>
        </is>
      </c>
      <c r="G3534" t="inlineStr">
        <is>
          <t>XL</t>
        </is>
      </c>
      <c r="H3534" t="n">
        <v>4</v>
      </c>
      <c r="I3534" t="inlineStr">
        <is>
          <t>NAUTICA_MENS_V720363_LA1_1.jpg</t>
        </is>
      </c>
      <c r="J3534" t="inlineStr">
        <is>
          <t>NAUTICA_MENS_V720363_LA1_2.jpg</t>
        </is>
      </c>
      <c r="K3534" t="inlineStr">
        <is>
          <t>NAUTICA_MENS_V720363_LA1_3.jpg</t>
        </is>
      </c>
      <c r="L3534">
        <f>IMAGE("file:///E:/Estudios%20y%20certificaciones/ESTUDIOS%20DE%20PROGRAMMING/PROGRAMMING/PERSONAL/PYTHON/Image_Generator_API/imagenes/NAUTICA_MENS_V720363_LA1_1.jpg")</f>
        <v/>
      </c>
      <c r="M3534">
        <f>IMAGE("file:///E:/Estudios%20y%20certificaciones/ESTUDIOS%20DE%20PROGRAMMING/PROGRAMMING/PERSONAL/PYTHON/Image_Generator_API/imagenes/NAUTICA_MENS_V720363_LA1_2.jpg")</f>
        <v/>
      </c>
      <c r="N3534">
        <f>IMAGE("file:///E:/Estudios%20y%20certificaciones/ESTUDIOS%20DE%20PROGRAMMING/PROGRAMMING/PERSONAL/PYTHON/Image_Generator_API/imagenes/NAUTICA_MENS_V720363_LA1_3.jpg")</f>
        <v/>
      </c>
      <c r="O3534">
        <f>HYPERLINK("imagenes/NAUTICA_MENS_V720363_LA1_1.jpg","Ver imagen")</f>
        <v/>
      </c>
      <c r="P3534">
        <f>HYPERLINK("imagenes/NAUTICA_MENS_V720363_LA1_2.jpg","Ver imagen")</f>
        <v/>
      </c>
      <c r="Q3534">
        <f>HYPERLINK("imagenes/NAUTICA_MENS_V720363_LA1_3.jpg","Ver imagen")</f>
        <v/>
      </c>
    </row>
    <row r="3535">
      <c r="A3535" t="inlineStr">
        <is>
          <t>NAUTICA MENS</t>
        </is>
      </c>
      <c r="B3535" t="inlineStr">
        <is>
          <t>V720363</t>
        </is>
      </c>
      <c r="C3535" t="inlineStr">
        <is>
          <t>BOMBER JACKET</t>
        </is>
      </c>
      <c r="D3535" t="inlineStr">
        <is>
          <t>LA1</t>
        </is>
      </c>
      <c r="E3535" t="inlineStr">
        <is>
          <t>(en blanco)</t>
        </is>
      </c>
      <c r="F3535" t="inlineStr">
        <is>
          <t>(en blanco)</t>
        </is>
      </c>
      <c r="G3535" t="inlineStr">
        <is>
          <t>XXL</t>
        </is>
      </c>
      <c r="H3535" t="n">
        <v>3</v>
      </c>
      <c r="I3535" t="inlineStr">
        <is>
          <t>NAUTICA_MENS_V720363_LA1_1.jpg</t>
        </is>
      </c>
      <c r="J3535" t="inlineStr">
        <is>
          <t>NAUTICA_MENS_V720363_LA1_2.jpg</t>
        </is>
      </c>
      <c r="K3535" t="inlineStr">
        <is>
          <t>NAUTICA_MENS_V720363_LA1_3.jpg</t>
        </is>
      </c>
      <c r="L3535">
        <f>IMAGE("file:///E:/Estudios%20y%20certificaciones/ESTUDIOS%20DE%20PROGRAMMING/PROGRAMMING/PERSONAL/PYTHON/Image_Generator_API/imagenes/NAUTICA_MENS_V720363_LA1_1.jpg")</f>
        <v/>
      </c>
      <c r="M3535">
        <f>IMAGE("file:///E:/Estudios%20y%20certificaciones/ESTUDIOS%20DE%20PROGRAMMING/PROGRAMMING/PERSONAL/PYTHON/Image_Generator_API/imagenes/NAUTICA_MENS_V720363_LA1_2.jpg")</f>
        <v/>
      </c>
      <c r="N3535">
        <f>IMAGE("file:///E:/Estudios%20y%20certificaciones/ESTUDIOS%20DE%20PROGRAMMING/PROGRAMMING/PERSONAL/PYTHON/Image_Generator_API/imagenes/NAUTICA_MENS_V720363_LA1_3.jpg")</f>
        <v/>
      </c>
      <c r="O3535">
        <f>HYPERLINK("imagenes/NAUTICA_MENS_V720363_LA1_1.jpg","Ver imagen")</f>
        <v/>
      </c>
      <c r="P3535">
        <f>HYPERLINK("imagenes/NAUTICA_MENS_V720363_LA1_2.jpg","Ver imagen")</f>
        <v/>
      </c>
      <c r="Q3535">
        <f>HYPERLINK("imagenes/NAUTICA_MENS_V720363_LA1_3.jpg","Ver imagen")</f>
        <v/>
      </c>
    </row>
    <row r="3536">
      <c r="A3536" t="inlineStr">
        <is>
          <t>NAUTICA MENS</t>
        </is>
      </c>
      <c r="B3536" t="inlineStr">
        <is>
          <t>V720363</t>
        </is>
      </c>
      <c r="C3536" t="inlineStr">
        <is>
          <t>BOMBER JACKET</t>
        </is>
      </c>
      <c r="D3536" t="inlineStr">
        <is>
          <t>OLH</t>
        </is>
      </c>
      <c r="E3536" t="inlineStr">
        <is>
          <t>(en blanco)</t>
        </is>
      </c>
      <c r="F3536" t="inlineStr">
        <is>
          <t>(en blanco)</t>
        </is>
      </c>
      <c r="G3536" t="inlineStr">
        <is>
          <t>S</t>
        </is>
      </c>
      <c r="H3536" t="n">
        <v>5</v>
      </c>
      <c r="I3536" t="inlineStr">
        <is>
          <t>NAUTICA_MENS_V720363_OLH_1.jpg</t>
        </is>
      </c>
      <c r="J3536" t="inlineStr">
        <is>
          <t>NAUTICA_MENS_V720363_OLH_2.jpg</t>
        </is>
      </c>
      <c r="K3536" t="inlineStr">
        <is>
          <t>NAUTICA_MENS_V720363_OLH_3.jpg</t>
        </is>
      </c>
      <c r="L3536">
        <f>IMAGE("file:///E:/Estudios%20y%20certificaciones/ESTUDIOS%20DE%20PROGRAMMING/PROGRAMMING/PERSONAL/PYTHON/Image_Generator_API/imagenes/NAUTICA_MENS_V720363_OLH_1.jpg")</f>
        <v/>
      </c>
      <c r="M3536">
        <f>IMAGE("file:///E:/Estudios%20y%20certificaciones/ESTUDIOS%20DE%20PROGRAMMING/PROGRAMMING/PERSONAL/PYTHON/Image_Generator_API/imagenes/NAUTICA_MENS_V720363_OLH_2.jpg")</f>
        <v/>
      </c>
      <c r="N3536">
        <f>IMAGE("file:///E:/Estudios%20y%20certificaciones/ESTUDIOS%20DE%20PROGRAMMING/PROGRAMMING/PERSONAL/PYTHON/Image_Generator_API/imagenes/NAUTICA_MENS_V720363_OLH_3.jpg")</f>
        <v/>
      </c>
      <c r="O3536">
        <f>HYPERLINK("imagenes/NAUTICA_MENS_V720363_OLH_1.jpg","Ver imagen")</f>
        <v/>
      </c>
      <c r="P3536">
        <f>HYPERLINK("imagenes/NAUTICA_MENS_V720363_OLH_2.jpg","Ver imagen")</f>
        <v/>
      </c>
      <c r="Q3536">
        <f>HYPERLINK("imagenes/NAUTICA_MENS_V720363_OLH_3.jpg","Ver imagen")</f>
        <v/>
      </c>
    </row>
    <row r="3537">
      <c r="A3537" t="inlineStr">
        <is>
          <t>NAUTICA MENS</t>
        </is>
      </c>
      <c r="B3537" t="inlineStr">
        <is>
          <t>V720363</t>
        </is>
      </c>
      <c r="C3537" t="inlineStr">
        <is>
          <t>BOMBER JACKET</t>
        </is>
      </c>
      <c r="D3537" t="inlineStr">
        <is>
          <t>OLH</t>
        </is>
      </c>
      <c r="E3537" t="inlineStr">
        <is>
          <t>(en blanco)</t>
        </is>
      </c>
      <c r="F3537" t="inlineStr">
        <is>
          <t>(en blanco)</t>
        </is>
      </c>
      <c r="G3537" t="inlineStr">
        <is>
          <t>M</t>
        </is>
      </c>
      <c r="H3537" t="n">
        <v>4</v>
      </c>
      <c r="I3537" t="inlineStr">
        <is>
          <t>NAUTICA_MENS_V720363_OLH_1.jpg</t>
        </is>
      </c>
      <c r="J3537" t="inlineStr">
        <is>
          <t>NAUTICA_MENS_V720363_OLH_2.jpg</t>
        </is>
      </c>
      <c r="K3537" t="inlineStr">
        <is>
          <t>NAUTICA_MENS_V720363_OLH_3.jpg</t>
        </is>
      </c>
      <c r="L3537">
        <f>IMAGE("file:///E:/Estudios%20y%20certificaciones/ESTUDIOS%20DE%20PROGRAMMING/PROGRAMMING/PERSONAL/PYTHON/Image_Generator_API/imagenes/NAUTICA_MENS_V720363_OLH_1.jpg")</f>
        <v/>
      </c>
      <c r="M3537">
        <f>IMAGE("file:///E:/Estudios%20y%20certificaciones/ESTUDIOS%20DE%20PROGRAMMING/PROGRAMMING/PERSONAL/PYTHON/Image_Generator_API/imagenes/NAUTICA_MENS_V720363_OLH_2.jpg")</f>
        <v/>
      </c>
      <c r="N3537">
        <f>IMAGE("file:///E:/Estudios%20y%20certificaciones/ESTUDIOS%20DE%20PROGRAMMING/PROGRAMMING/PERSONAL/PYTHON/Image_Generator_API/imagenes/NAUTICA_MENS_V720363_OLH_3.jpg")</f>
        <v/>
      </c>
      <c r="O3537">
        <f>HYPERLINK("imagenes/NAUTICA_MENS_V720363_OLH_1.jpg","Ver imagen")</f>
        <v/>
      </c>
      <c r="P3537">
        <f>HYPERLINK("imagenes/NAUTICA_MENS_V720363_OLH_2.jpg","Ver imagen")</f>
        <v/>
      </c>
      <c r="Q3537">
        <f>HYPERLINK("imagenes/NAUTICA_MENS_V720363_OLH_3.jpg","Ver imagen")</f>
        <v/>
      </c>
    </row>
    <row r="3538">
      <c r="A3538" t="inlineStr">
        <is>
          <t>NAUTICA MENS</t>
        </is>
      </c>
      <c r="B3538" t="inlineStr">
        <is>
          <t>V720363</t>
        </is>
      </c>
      <c r="C3538" t="inlineStr">
        <is>
          <t>BOMBER JACKET</t>
        </is>
      </c>
      <c r="D3538" t="inlineStr">
        <is>
          <t>OLH</t>
        </is>
      </c>
      <c r="E3538" t="inlineStr">
        <is>
          <t>(en blanco)</t>
        </is>
      </c>
      <c r="F3538" t="inlineStr">
        <is>
          <t>(en blanco)</t>
        </is>
      </c>
      <c r="G3538" t="inlineStr">
        <is>
          <t>L</t>
        </is>
      </c>
      <c r="H3538" t="n">
        <v>6</v>
      </c>
      <c r="I3538" t="inlineStr">
        <is>
          <t>NAUTICA_MENS_V720363_OLH_1.jpg</t>
        </is>
      </c>
      <c r="J3538" t="inlineStr">
        <is>
          <t>NAUTICA_MENS_V720363_OLH_2.jpg</t>
        </is>
      </c>
      <c r="K3538" t="inlineStr">
        <is>
          <t>NAUTICA_MENS_V720363_OLH_3.jpg</t>
        </is>
      </c>
      <c r="L3538">
        <f>IMAGE("file:///E:/Estudios%20y%20certificaciones/ESTUDIOS%20DE%20PROGRAMMING/PROGRAMMING/PERSONAL/PYTHON/Image_Generator_API/imagenes/NAUTICA_MENS_V720363_OLH_1.jpg")</f>
        <v/>
      </c>
      <c r="M3538">
        <f>IMAGE("file:///E:/Estudios%20y%20certificaciones/ESTUDIOS%20DE%20PROGRAMMING/PROGRAMMING/PERSONAL/PYTHON/Image_Generator_API/imagenes/NAUTICA_MENS_V720363_OLH_2.jpg")</f>
        <v/>
      </c>
      <c r="N3538">
        <f>IMAGE("file:///E:/Estudios%20y%20certificaciones/ESTUDIOS%20DE%20PROGRAMMING/PROGRAMMING/PERSONAL/PYTHON/Image_Generator_API/imagenes/NAUTICA_MENS_V720363_OLH_3.jpg")</f>
        <v/>
      </c>
      <c r="O3538">
        <f>HYPERLINK("imagenes/NAUTICA_MENS_V720363_OLH_1.jpg","Ver imagen")</f>
        <v/>
      </c>
      <c r="P3538">
        <f>HYPERLINK("imagenes/NAUTICA_MENS_V720363_OLH_2.jpg","Ver imagen")</f>
        <v/>
      </c>
      <c r="Q3538">
        <f>HYPERLINK("imagenes/NAUTICA_MENS_V720363_OLH_3.jpg","Ver imagen")</f>
        <v/>
      </c>
    </row>
    <row r="3539">
      <c r="A3539" t="inlineStr">
        <is>
          <t>NAUTICA MENS</t>
        </is>
      </c>
      <c r="B3539" t="inlineStr">
        <is>
          <t>V720363</t>
        </is>
      </c>
      <c r="C3539" t="inlineStr">
        <is>
          <t>BOMBER JACKET</t>
        </is>
      </c>
      <c r="D3539" t="inlineStr">
        <is>
          <t>OLH</t>
        </is>
      </c>
      <c r="E3539" t="inlineStr">
        <is>
          <t>(en blanco)</t>
        </is>
      </c>
      <c r="F3539" t="inlineStr">
        <is>
          <t>(en blanco)</t>
        </is>
      </c>
      <c r="G3539" t="inlineStr">
        <is>
          <t>XL</t>
        </is>
      </c>
      <c r="H3539" t="n">
        <v>5</v>
      </c>
      <c r="I3539" t="inlineStr">
        <is>
          <t>NAUTICA_MENS_V720363_OLH_1.jpg</t>
        </is>
      </c>
      <c r="J3539" t="inlineStr">
        <is>
          <t>NAUTICA_MENS_V720363_OLH_2.jpg</t>
        </is>
      </c>
      <c r="K3539" t="inlineStr">
        <is>
          <t>NAUTICA_MENS_V720363_OLH_3.jpg</t>
        </is>
      </c>
      <c r="L3539">
        <f>IMAGE("file:///E:/Estudios%20y%20certificaciones/ESTUDIOS%20DE%20PROGRAMMING/PROGRAMMING/PERSONAL/PYTHON/Image_Generator_API/imagenes/NAUTICA_MENS_V720363_OLH_1.jpg")</f>
        <v/>
      </c>
      <c r="M3539">
        <f>IMAGE("file:///E:/Estudios%20y%20certificaciones/ESTUDIOS%20DE%20PROGRAMMING/PROGRAMMING/PERSONAL/PYTHON/Image_Generator_API/imagenes/NAUTICA_MENS_V720363_OLH_2.jpg")</f>
        <v/>
      </c>
      <c r="N3539">
        <f>IMAGE("file:///E:/Estudios%20y%20certificaciones/ESTUDIOS%20DE%20PROGRAMMING/PROGRAMMING/PERSONAL/PYTHON/Image_Generator_API/imagenes/NAUTICA_MENS_V720363_OLH_3.jpg")</f>
        <v/>
      </c>
      <c r="O3539">
        <f>HYPERLINK("imagenes/NAUTICA_MENS_V720363_OLH_1.jpg","Ver imagen")</f>
        <v/>
      </c>
      <c r="P3539">
        <f>HYPERLINK("imagenes/NAUTICA_MENS_V720363_OLH_2.jpg","Ver imagen")</f>
        <v/>
      </c>
      <c r="Q3539">
        <f>HYPERLINK("imagenes/NAUTICA_MENS_V720363_OLH_3.jpg","Ver imagen")</f>
        <v/>
      </c>
    </row>
    <row r="3540">
      <c r="A3540" t="inlineStr">
        <is>
          <t>NAUTICA MENS</t>
        </is>
      </c>
      <c r="B3540" t="inlineStr">
        <is>
          <t>V720363</t>
        </is>
      </c>
      <c r="C3540" t="inlineStr">
        <is>
          <t>BOMBER JACKET</t>
        </is>
      </c>
      <c r="D3540" t="inlineStr">
        <is>
          <t>OLH</t>
        </is>
      </c>
      <c r="E3540" t="inlineStr">
        <is>
          <t>(en blanco)</t>
        </is>
      </c>
      <c r="F3540" t="inlineStr">
        <is>
          <t>(en blanco)</t>
        </is>
      </c>
      <c r="G3540" t="inlineStr">
        <is>
          <t>XXL</t>
        </is>
      </c>
      <c r="H3540" t="n">
        <v>4</v>
      </c>
      <c r="I3540" t="inlineStr">
        <is>
          <t>NAUTICA_MENS_V720363_OLH_1.jpg</t>
        </is>
      </c>
      <c r="J3540" t="inlineStr">
        <is>
          <t>NAUTICA_MENS_V720363_OLH_2.jpg</t>
        </is>
      </c>
      <c r="K3540" t="inlineStr">
        <is>
          <t>NAUTICA_MENS_V720363_OLH_3.jpg</t>
        </is>
      </c>
      <c r="L3540">
        <f>IMAGE("file:///E:/Estudios%20y%20certificaciones/ESTUDIOS%20DE%20PROGRAMMING/PROGRAMMING/PERSONAL/PYTHON/Image_Generator_API/imagenes/NAUTICA_MENS_V720363_OLH_1.jpg")</f>
        <v/>
      </c>
      <c r="M3540">
        <f>IMAGE("file:///E:/Estudios%20y%20certificaciones/ESTUDIOS%20DE%20PROGRAMMING/PROGRAMMING/PERSONAL/PYTHON/Image_Generator_API/imagenes/NAUTICA_MENS_V720363_OLH_2.jpg")</f>
        <v/>
      </c>
      <c r="N3540">
        <f>IMAGE("file:///E:/Estudios%20y%20certificaciones/ESTUDIOS%20DE%20PROGRAMMING/PROGRAMMING/PERSONAL/PYTHON/Image_Generator_API/imagenes/NAUTICA_MENS_V720363_OLH_3.jpg")</f>
        <v/>
      </c>
      <c r="O3540">
        <f>HYPERLINK("imagenes/NAUTICA_MENS_V720363_OLH_1.jpg","Ver imagen")</f>
        <v/>
      </c>
      <c r="P3540">
        <f>HYPERLINK("imagenes/NAUTICA_MENS_V720363_OLH_2.jpg","Ver imagen")</f>
        <v/>
      </c>
      <c r="Q3540">
        <f>HYPERLINK("imagenes/NAUTICA_MENS_V720363_OLH_3.jpg","Ver imagen")</f>
        <v/>
      </c>
    </row>
    <row r="3541">
      <c r="A3541" t="inlineStr">
        <is>
          <t>NAUTICA MENS</t>
        </is>
      </c>
      <c r="B3541" t="inlineStr">
        <is>
          <t>V722807A</t>
        </is>
      </c>
      <c r="C3541" t="inlineStr">
        <is>
          <t>JACKET</t>
        </is>
      </c>
      <c r="D3541" t="inlineStr">
        <is>
          <t>ALU</t>
        </is>
      </c>
      <c r="E3541" t="inlineStr">
        <is>
          <t>(en blanco)</t>
        </is>
      </c>
      <c r="F3541" t="inlineStr">
        <is>
          <t>(en blanco)</t>
        </is>
      </c>
      <c r="G3541" t="inlineStr">
        <is>
          <t>L</t>
        </is>
      </c>
      <c r="H3541" t="n">
        <v>1</v>
      </c>
      <c r="I3541" t="inlineStr">
        <is>
          <t>NAUTICA_MENS_V722807A_ALU_1.jpg</t>
        </is>
      </c>
      <c r="J3541" t="inlineStr">
        <is>
          <t>NAUTICA_MENS_V722807A_ALU_2.jpg</t>
        </is>
      </c>
      <c r="K3541" t="inlineStr">
        <is>
          <t>NAUTICA_MENS_V722807A_ALU_3.jpg</t>
        </is>
      </c>
      <c r="L3541">
        <f>IMAGE("file:///E:/Estudios%20y%20certificaciones/ESTUDIOS%20DE%20PROGRAMMING/PROGRAMMING/PERSONAL/PYTHON/Image_Generator_API/imagenes/NAUTICA_MENS_V722807A_ALU_1.jpg")</f>
        <v/>
      </c>
      <c r="M3541">
        <f>IMAGE("file:///E:/Estudios%20y%20certificaciones/ESTUDIOS%20DE%20PROGRAMMING/PROGRAMMING/PERSONAL/PYTHON/Image_Generator_API/imagenes/NAUTICA_MENS_V722807A_ALU_2.jpg")</f>
        <v/>
      </c>
      <c r="N3541">
        <f>IMAGE("file:///E:/Estudios%20y%20certificaciones/ESTUDIOS%20DE%20PROGRAMMING/PROGRAMMING/PERSONAL/PYTHON/Image_Generator_API/imagenes/NAUTICA_MENS_V722807A_ALU_3.jpg")</f>
        <v/>
      </c>
      <c r="O3541">
        <f>HYPERLINK("imagenes/NAUTICA_MENS_V722807A_ALU_1.jpg","Ver imagen")</f>
        <v/>
      </c>
      <c r="P3541">
        <f>HYPERLINK("imagenes/NAUTICA_MENS_V722807A_ALU_2.jpg","Ver imagen")</f>
        <v/>
      </c>
      <c r="Q3541">
        <f>HYPERLINK("imagenes/NAUTICA_MENS_V722807A_ALU_3.jpg","Ver imagen")</f>
        <v/>
      </c>
    </row>
    <row r="3542">
      <c r="A3542" t="inlineStr">
        <is>
          <t>NAUTICA MENS</t>
        </is>
      </c>
      <c r="B3542" t="inlineStr">
        <is>
          <t>V722807A</t>
        </is>
      </c>
      <c r="C3542" t="inlineStr">
        <is>
          <t>JACKET</t>
        </is>
      </c>
      <c r="D3542" t="inlineStr">
        <is>
          <t>ALU</t>
        </is>
      </c>
      <c r="E3542" t="inlineStr">
        <is>
          <t>(en blanco)</t>
        </is>
      </c>
      <c r="F3542" t="inlineStr">
        <is>
          <t>(en blanco)</t>
        </is>
      </c>
      <c r="G3542" t="inlineStr">
        <is>
          <t>XXL</t>
        </is>
      </c>
      <c r="H3542" t="n">
        <v>1</v>
      </c>
      <c r="I3542" t="inlineStr">
        <is>
          <t>NAUTICA_MENS_V722807A_ALU_1.jpg</t>
        </is>
      </c>
      <c r="J3542" t="inlineStr">
        <is>
          <t>NAUTICA_MENS_V722807A_ALU_2.jpg</t>
        </is>
      </c>
      <c r="K3542" t="inlineStr">
        <is>
          <t>NAUTICA_MENS_V722807A_ALU_3.jpg</t>
        </is>
      </c>
      <c r="L3542">
        <f>IMAGE("file:///E:/Estudios%20y%20certificaciones/ESTUDIOS%20DE%20PROGRAMMING/PROGRAMMING/PERSONAL/PYTHON/Image_Generator_API/imagenes/NAUTICA_MENS_V722807A_ALU_1.jpg")</f>
        <v/>
      </c>
      <c r="M3542">
        <f>IMAGE("file:///E:/Estudios%20y%20certificaciones/ESTUDIOS%20DE%20PROGRAMMING/PROGRAMMING/PERSONAL/PYTHON/Image_Generator_API/imagenes/NAUTICA_MENS_V722807A_ALU_2.jpg")</f>
        <v/>
      </c>
      <c r="N3542">
        <f>IMAGE("file:///E:/Estudios%20y%20certificaciones/ESTUDIOS%20DE%20PROGRAMMING/PROGRAMMING/PERSONAL/PYTHON/Image_Generator_API/imagenes/NAUTICA_MENS_V722807A_ALU_3.jpg")</f>
        <v/>
      </c>
      <c r="O3542">
        <f>HYPERLINK("imagenes/NAUTICA_MENS_V722807A_ALU_1.jpg","Ver imagen")</f>
        <v/>
      </c>
      <c r="P3542">
        <f>HYPERLINK("imagenes/NAUTICA_MENS_V722807A_ALU_2.jpg","Ver imagen")</f>
        <v/>
      </c>
      <c r="Q3542">
        <f>HYPERLINK("imagenes/NAUTICA_MENS_V722807A_ALU_3.jpg","Ver imagen")</f>
        <v/>
      </c>
    </row>
    <row r="3543">
      <c r="A3543" t="inlineStr">
        <is>
          <t>NAUTICA MENS</t>
        </is>
      </c>
      <c r="B3543" t="inlineStr">
        <is>
          <t>V726954</t>
        </is>
      </c>
      <c r="C3543" t="inlineStr">
        <is>
          <t>CRINKLE NYLON FULL</t>
        </is>
      </c>
      <c r="D3543" t="inlineStr">
        <is>
          <t>WHT</t>
        </is>
      </c>
      <c r="E3543" t="inlineStr">
        <is>
          <t>(en blanco)</t>
        </is>
      </c>
      <c r="F3543" t="inlineStr">
        <is>
          <t>(en blanco)</t>
        </is>
      </c>
      <c r="G3543" t="inlineStr">
        <is>
          <t>M</t>
        </is>
      </c>
      <c r="H3543" t="n">
        <v>3</v>
      </c>
      <c r="I3543" t="inlineStr">
        <is>
          <t>NAUTICA_MENS_V726954_WHT_1.jpg</t>
        </is>
      </c>
      <c r="J3543" t="inlineStr">
        <is>
          <t>NAUTICA_MENS_V726954_WHT_2.jpg</t>
        </is>
      </c>
      <c r="K3543" t="inlineStr">
        <is>
          <t>NAUTICA_MENS_V726954_WHT_3.jpg</t>
        </is>
      </c>
      <c r="L3543">
        <f>IMAGE("file:///E:/Estudios%20y%20certificaciones/ESTUDIOS%20DE%20PROGRAMMING/PROGRAMMING/PERSONAL/PYTHON/Image_Generator_API/imagenes/NAUTICA_MENS_V726954_WHT_1.jpg")</f>
        <v/>
      </c>
      <c r="M3543">
        <f>IMAGE("file:///E:/Estudios%20y%20certificaciones/ESTUDIOS%20DE%20PROGRAMMING/PROGRAMMING/PERSONAL/PYTHON/Image_Generator_API/imagenes/NAUTICA_MENS_V726954_WHT_2.jpg")</f>
        <v/>
      </c>
      <c r="N3543">
        <f>IMAGE("file:///E:/Estudios%20y%20certificaciones/ESTUDIOS%20DE%20PROGRAMMING/PROGRAMMING/PERSONAL/PYTHON/Image_Generator_API/imagenes/NAUTICA_MENS_V726954_WHT_3.jpg")</f>
        <v/>
      </c>
      <c r="O3543">
        <f>HYPERLINK("imagenes/NAUTICA_MENS_V726954_WHT_1.jpg","Ver imagen")</f>
        <v/>
      </c>
      <c r="P3543">
        <f>HYPERLINK("imagenes/NAUTICA_MENS_V726954_WHT_2.jpg","Ver imagen")</f>
        <v/>
      </c>
      <c r="Q3543">
        <f>HYPERLINK("imagenes/NAUTICA_MENS_V726954_WHT_3.jpg","Ver imagen")</f>
        <v/>
      </c>
    </row>
    <row r="3544">
      <c r="A3544" t="inlineStr">
        <is>
          <t>NAUTICA MENS</t>
        </is>
      </c>
      <c r="B3544" t="inlineStr">
        <is>
          <t>V730701</t>
        </is>
      </c>
      <c r="C3544" t="inlineStr">
        <is>
          <t>PARKA COAT</t>
        </is>
      </c>
      <c r="D3544" t="inlineStr">
        <is>
          <t>BLK</t>
        </is>
      </c>
      <c r="E3544" t="inlineStr">
        <is>
          <t>(en blanco)</t>
        </is>
      </c>
      <c r="F3544" t="inlineStr">
        <is>
          <t>D2C</t>
        </is>
      </c>
      <c r="G3544" t="inlineStr">
        <is>
          <t>8X</t>
        </is>
      </c>
      <c r="H3544" t="n">
        <v>1</v>
      </c>
      <c r="I3544" t="inlineStr">
        <is>
          <t>NAUTICA_MENS_V730701_BLK_1.jpg</t>
        </is>
      </c>
      <c r="J3544" t="inlineStr">
        <is>
          <t>NAUTICA_MENS_V730701_BLK_2.jpg</t>
        </is>
      </c>
      <c r="K3544" t="inlineStr">
        <is>
          <t>NAUTICA_MENS_V730701_BLK_3.jpg</t>
        </is>
      </c>
      <c r="L3544">
        <f>IMAGE("file:///E:/Estudios%20y%20certificaciones/ESTUDIOS%20DE%20PROGRAMMING/PROGRAMMING/PERSONAL/PYTHON/Image_Generator_API/imagenes/NAUTICA_MENS_V730701_BLK_1.jpg")</f>
        <v/>
      </c>
      <c r="M3544">
        <f>IMAGE("file:///E:/Estudios%20y%20certificaciones/ESTUDIOS%20DE%20PROGRAMMING/PROGRAMMING/PERSONAL/PYTHON/Image_Generator_API/imagenes/NAUTICA_MENS_V730701_BLK_2.jpg")</f>
        <v/>
      </c>
      <c r="N3544">
        <f>IMAGE("file:///E:/Estudios%20y%20certificaciones/ESTUDIOS%20DE%20PROGRAMMING/PROGRAMMING/PERSONAL/PYTHON/Image_Generator_API/imagenes/NAUTICA_MENS_V730701_BLK_3.jpg")</f>
        <v/>
      </c>
      <c r="O3544">
        <f>HYPERLINK("imagenes/NAUTICA_MENS_V730701_BLK_1.jpg","Ver imagen")</f>
        <v/>
      </c>
      <c r="P3544">
        <f>HYPERLINK("imagenes/NAUTICA_MENS_V730701_BLK_2.jpg","Ver imagen")</f>
        <v/>
      </c>
      <c r="Q3544">
        <f>HYPERLINK("imagenes/NAUTICA_MENS_V730701_BLK_3.jpg","Ver imagen")</f>
        <v/>
      </c>
    </row>
    <row r="3545">
      <c r="A3545" t="inlineStr">
        <is>
          <t>NAUTICA MENS</t>
        </is>
      </c>
      <c r="B3545" t="inlineStr">
        <is>
          <t>V732807</t>
        </is>
      </c>
      <c r="C3545" t="inlineStr">
        <is>
          <t>GOLF JACKET</t>
        </is>
      </c>
      <c r="D3545" t="inlineStr">
        <is>
          <t>BLK</t>
        </is>
      </c>
      <c r="E3545" t="inlineStr">
        <is>
          <t>(en blanco)</t>
        </is>
      </c>
      <c r="F3545" t="inlineStr">
        <is>
          <t>(en blanco)</t>
        </is>
      </c>
      <c r="G3545" t="inlineStr">
        <is>
          <t>8X</t>
        </is>
      </c>
      <c r="H3545" t="n">
        <v>25</v>
      </c>
      <c r="I3545" t="inlineStr">
        <is>
          <t>NAUTICA_MENS_V732807_BLK_1.jpg</t>
        </is>
      </c>
      <c r="J3545" t="inlineStr">
        <is>
          <t>NAUTICA_MENS_V732807_BLK_2.jpg</t>
        </is>
      </c>
      <c r="K3545" t="inlineStr">
        <is>
          <t>NAUTICA_MENS_V732807_BLK_3.jpg</t>
        </is>
      </c>
      <c r="L3545">
        <f>IMAGE("file:///E:/Estudios%20y%20certificaciones/ESTUDIOS%20DE%20PROGRAMMING/PROGRAMMING/PERSONAL/PYTHON/Image_Generator_API/imagenes/NAUTICA_MENS_V732807_BLK_1.jpg")</f>
        <v/>
      </c>
      <c r="M3545">
        <f>IMAGE("file:///E:/Estudios%20y%20certificaciones/ESTUDIOS%20DE%20PROGRAMMING/PROGRAMMING/PERSONAL/PYTHON/Image_Generator_API/imagenes/NAUTICA_MENS_V732807_BLK_2.jpg")</f>
        <v/>
      </c>
      <c r="N3545">
        <f>IMAGE("file:///E:/Estudios%20y%20certificaciones/ESTUDIOS%20DE%20PROGRAMMING/PROGRAMMING/PERSONAL/PYTHON/Image_Generator_API/imagenes/NAUTICA_MENS_V732807_BLK_3.jpg")</f>
        <v/>
      </c>
      <c r="O3545">
        <f>HYPERLINK("imagenes/NAUTICA_MENS_V732807_BLK_1.jpg","Ver imagen")</f>
        <v/>
      </c>
      <c r="P3545">
        <f>HYPERLINK("imagenes/NAUTICA_MENS_V732807_BLK_2.jpg","Ver imagen")</f>
        <v/>
      </c>
      <c r="Q3545">
        <f>HYPERLINK("imagenes/NAUTICA_MENS_V732807_BLK_3.jpg","Ver imagen")</f>
        <v/>
      </c>
    </row>
    <row r="3546">
      <c r="A3546" t="inlineStr">
        <is>
          <t>NAUTICA MENS</t>
        </is>
      </c>
      <c r="B3546" t="inlineStr">
        <is>
          <t>V740701</t>
        </is>
      </c>
      <c r="C3546" t="inlineStr">
        <is>
          <t>PARKA COAT</t>
        </is>
      </c>
      <c r="D3546" t="inlineStr">
        <is>
          <t>BLK</t>
        </is>
      </c>
      <c r="E3546" t="inlineStr">
        <is>
          <t>(en blanco)</t>
        </is>
      </c>
      <c r="F3546" t="inlineStr">
        <is>
          <t>D2C</t>
        </is>
      </c>
      <c r="G3546" t="inlineStr">
        <is>
          <t>5XLT</t>
        </is>
      </c>
      <c r="H3546" t="n">
        <v>11</v>
      </c>
      <c r="I3546" t="inlineStr">
        <is>
          <t>NAUTICA_MENS_V740701_BLK_1.jpg</t>
        </is>
      </c>
      <c r="J3546" t="inlineStr">
        <is>
          <t>NAUTICA_MENS_V740701_BLK_2.jpg</t>
        </is>
      </c>
      <c r="K3546" t="inlineStr">
        <is>
          <t>NAUTICA_MENS_V740701_BLK_3.jpg</t>
        </is>
      </c>
      <c r="L3546">
        <f>IMAGE("file:///E:/Estudios%20y%20certificaciones/ESTUDIOS%20DE%20PROGRAMMING/PROGRAMMING/PERSONAL/PYTHON/Image_Generator_API/imagenes/NAUTICA_MENS_V740701_BLK_1.jpg")</f>
        <v/>
      </c>
      <c r="M3546">
        <f>IMAGE("file:///E:/Estudios%20y%20certificaciones/ESTUDIOS%20DE%20PROGRAMMING/PROGRAMMING/PERSONAL/PYTHON/Image_Generator_API/imagenes/NAUTICA_MENS_V740701_BLK_2.jpg")</f>
        <v/>
      </c>
      <c r="N3546">
        <f>IMAGE("file:///E:/Estudios%20y%20certificaciones/ESTUDIOS%20DE%20PROGRAMMING/PROGRAMMING/PERSONAL/PYTHON/Image_Generator_API/imagenes/NAUTICA_MENS_V740701_BLK_3.jpg")</f>
        <v/>
      </c>
      <c r="O3546">
        <f>HYPERLINK("imagenes/NAUTICA_MENS_V740701_BLK_1.jpg","Ver imagen")</f>
        <v/>
      </c>
      <c r="P3546">
        <f>HYPERLINK("imagenes/NAUTICA_MENS_V740701_BLK_2.jpg","Ver imagen")</f>
        <v/>
      </c>
      <c r="Q3546">
        <f>HYPERLINK("imagenes/NAUTICA_MENS_V740701_BLK_3.jpg","Ver imagen")</f>
        <v/>
      </c>
    </row>
    <row r="3547">
      <c r="A3547" t="inlineStr">
        <is>
          <t>NAUTICA MENS</t>
        </is>
      </c>
      <c r="B3547" t="inlineStr">
        <is>
          <t>V740701</t>
        </is>
      </c>
      <c r="C3547" t="inlineStr">
        <is>
          <t>PARKA COAT</t>
        </is>
      </c>
      <c r="D3547" t="inlineStr">
        <is>
          <t>BLK</t>
        </is>
      </c>
      <c r="E3547" t="inlineStr">
        <is>
          <t>(en blanco)</t>
        </is>
      </c>
      <c r="F3547" t="inlineStr">
        <is>
          <t>D2C</t>
        </is>
      </c>
      <c r="G3547" t="inlineStr">
        <is>
          <t>6XLT</t>
        </is>
      </c>
      <c r="H3547" t="n">
        <v>14</v>
      </c>
      <c r="I3547" t="inlineStr">
        <is>
          <t>NAUTICA_MENS_V740701_BLK_1.jpg</t>
        </is>
      </c>
      <c r="J3547" t="inlineStr">
        <is>
          <t>NAUTICA_MENS_V740701_BLK_2.jpg</t>
        </is>
      </c>
      <c r="K3547" t="inlineStr">
        <is>
          <t>NAUTICA_MENS_V740701_BLK_3.jpg</t>
        </is>
      </c>
      <c r="L3547">
        <f>IMAGE("file:///E:/Estudios%20y%20certificaciones/ESTUDIOS%20DE%20PROGRAMMING/PROGRAMMING/PERSONAL/PYTHON/Image_Generator_API/imagenes/NAUTICA_MENS_V740701_BLK_1.jpg")</f>
        <v/>
      </c>
      <c r="M3547">
        <f>IMAGE("file:///E:/Estudios%20y%20certificaciones/ESTUDIOS%20DE%20PROGRAMMING/PROGRAMMING/PERSONAL/PYTHON/Image_Generator_API/imagenes/NAUTICA_MENS_V740701_BLK_2.jpg")</f>
        <v/>
      </c>
      <c r="N3547">
        <f>IMAGE("file:///E:/Estudios%20y%20certificaciones/ESTUDIOS%20DE%20PROGRAMMING/PROGRAMMING/PERSONAL/PYTHON/Image_Generator_API/imagenes/NAUTICA_MENS_V740701_BLK_3.jpg")</f>
        <v/>
      </c>
      <c r="O3547">
        <f>HYPERLINK("imagenes/NAUTICA_MENS_V740701_BLK_1.jpg","Ver imagen")</f>
        <v/>
      </c>
      <c r="P3547">
        <f>HYPERLINK("imagenes/NAUTICA_MENS_V740701_BLK_2.jpg","Ver imagen")</f>
        <v/>
      </c>
      <c r="Q3547">
        <f>HYPERLINK("imagenes/NAUTICA_MENS_V740701_BLK_3.jpg","Ver imagen")</f>
        <v/>
      </c>
    </row>
    <row r="3548">
      <c r="A3548" t="inlineStr">
        <is>
          <t>NAUTICA MENS</t>
        </is>
      </c>
      <c r="B3548" t="inlineStr">
        <is>
          <t>V740701</t>
        </is>
      </c>
      <c r="C3548" t="inlineStr">
        <is>
          <t>PARKA COAT</t>
        </is>
      </c>
      <c r="D3548" t="inlineStr">
        <is>
          <t>BLK</t>
        </is>
      </c>
      <c r="E3548" t="inlineStr">
        <is>
          <t>(en blanco)</t>
        </is>
      </c>
      <c r="F3548" t="inlineStr">
        <is>
          <t>(en blanco)</t>
        </is>
      </c>
      <c r="G3548" t="inlineStr">
        <is>
          <t>4XLT</t>
        </is>
      </c>
      <c r="H3548" t="n">
        <v>1</v>
      </c>
      <c r="I3548" t="inlineStr">
        <is>
          <t>NAUTICA_MENS_V740701_BLK_1.jpg</t>
        </is>
      </c>
      <c r="J3548" t="inlineStr">
        <is>
          <t>NAUTICA_MENS_V740701_BLK_2.jpg</t>
        </is>
      </c>
      <c r="K3548" t="inlineStr">
        <is>
          <t>NAUTICA_MENS_V740701_BLK_3.jpg</t>
        </is>
      </c>
      <c r="L3548">
        <f>IMAGE("file:///E:/Estudios%20y%20certificaciones/ESTUDIOS%20DE%20PROGRAMMING/PROGRAMMING/PERSONAL/PYTHON/Image_Generator_API/imagenes/NAUTICA_MENS_V740701_BLK_1.jpg")</f>
        <v/>
      </c>
      <c r="M3548">
        <f>IMAGE("file:///E:/Estudios%20y%20certificaciones/ESTUDIOS%20DE%20PROGRAMMING/PROGRAMMING/PERSONAL/PYTHON/Image_Generator_API/imagenes/NAUTICA_MENS_V740701_BLK_2.jpg")</f>
        <v/>
      </c>
      <c r="N3548">
        <f>IMAGE("file:///E:/Estudios%20y%20certificaciones/ESTUDIOS%20DE%20PROGRAMMING/PROGRAMMING/PERSONAL/PYTHON/Image_Generator_API/imagenes/NAUTICA_MENS_V740701_BLK_3.jpg")</f>
        <v/>
      </c>
      <c r="O3548">
        <f>HYPERLINK("imagenes/NAUTICA_MENS_V740701_BLK_1.jpg","Ver imagen")</f>
        <v/>
      </c>
      <c r="P3548">
        <f>HYPERLINK("imagenes/NAUTICA_MENS_V740701_BLK_2.jpg","Ver imagen")</f>
        <v/>
      </c>
      <c r="Q3548">
        <f>HYPERLINK("imagenes/NAUTICA_MENS_V740701_BLK_3.jpg","Ver imagen")</f>
        <v/>
      </c>
    </row>
    <row r="3549">
      <c r="A3549" t="inlineStr">
        <is>
          <t>NAUTICA MENS</t>
        </is>
      </c>
      <c r="B3549" t="inlineStr">
        <is>
          <t>V740701</t>
        </is>
      </c>
      <c r="C3549" t="inlineStr">
        <is>
          <t>PARKA COAT</t>
        </is>
      </c>
      <c r="D3549" t="inlineStr">
        <is>
          <t>BLK</t>
        </is>
      </c>
      <c r="E3549" t="inlineStr">
        <is>
          <t>(en blanco)</t>
        </is>
      </c>
      <c r="F3549" t="inlineStr">
        <is>
          <t>(en blanco)</t>
        </is>
      </c>
      <c r="G3549" t="inlineStr">
        <is>
          <t>6XLT</t>
        </is>
      </c>
      <c r="H3549" t="n">
        <v>1</v>
      </c>
      <c r="I3549" t="inlineStr">
        <is>
          <t>NAUTICA_MENS_V740701_BLK_1.jpg</t>
        </is>
      </c>
      <c r="J3549" t="inlineStr">
        <is>
          <t>NAUTICA_MENS_V740701_BLK_2.jpg</t>
        </is>
      </c>
      <c r="K3549" t="inlineStr">
        <is>
          <t>NAUTICA_MENS_V740701_BLK_3.jpg</t>
        </is>
      </c>
      <c r="L3549">
        <f>IMAGE("file:///E:/Estudios%20y%20certificaciones/ESTUDIOS%20DE%20PROGRAMMING/PROGRAMMING/PERSONAL/PYTHON/Image_Generator_API/imagenes/NAUTICA_MENS_V740701_BLK_1.jpg")</f>
        <v/>
      </c>
      <c r="M3549">
        <f>IMAGE("file:///E:/Estudios%20y%20certificaciones/ESTUDIOS%20DE%20PROGRAMMING/PROGRAMMING/PERSONAL/PYTHON/Image_Generator_API/imagenes/NAUTICA_MENS_V740701_BLK_2.jpg")</f>
        <v/>
      </c>
      <c r="N3549">
        <f>IMAGE("file:///E:/Estudios%20y%20certificaciones/ESTUDIOS%20DE%20PROGRAMMING/PROGRAMMING/PERSONAL/PYTHON/Image_Generator_API/imagenes/NAUTICA_MENS_V740701_BLK_3.jpg")</f>
        <v/>
      </c>
      <c r="O3549">
        <f>HYPERLINK("imagenes/NAUTICA_MENS_V740701_BLK_1.jpg","Ver imagen")</f>
        <v/>
      </c>
      <c r="P3549">
        <f>HYPERLINK("imagenes/NAUTICA_MENS_V740701_BLK_2.jpg","Ver imagen")</f>
        <v/>
      </c>
      <c r="Q3549">
        <f>HYPERLINK("imagenes/NAUTICA_MENS_V740701_BLK_3.jpg","Ver imagen")</f>
        <v/>
      </c>
    </row>
    <row r="3550">
      <c r="A3550" t="inlineStr">
        <is>
          <t>NAUTICA MENS</t>
        </is>
      </c>
      <c r="B3550" t="inlineStr">
        <is>
          <t>V742807</t>
        </is>
      </c>
      <c r="C3550" t="inlineStr">
        <is>
          <t>GOLF JACKET</t>
        </is>
      </c>
      <c r="D3550" t="inlineStr">
        <is>
          <t>BLK</t>
        </is>
      </c>
      <c r="E3550" t="inlineStr">
        <is>
          <t>(en blanco)</t>
        </is>
      </c>
      <c r="F3550" t="inlineStr">
        <is>
          <t>(en blanco)</t>
        </is>
      </c>
      <c r="G3550" t="inlineStr">
        <is>
          <t>5XT</t>
        </is>
      </c>
      <c r="H3550" t="n">
        <v>15</v>
      </c>
      <c r="I3550" t="inlineStr">
        <is>
          <t>NAUTICA_MENS_V742807_BLK_1.jpg</t>
        </is>
      </c>
      <c r="J3550" t="inlineStr">
        <is>
          <t>NAUTICA_MENS_V742807_BLK_2.jpg</t>
        </is>
      </c>
      <c r="K3550" t="inlineStr">
        <is>
          <t>NAUTICA_MENS_V742807_BLK_3.jpg</t>
        </is>
      </c>
      <c r="L3550">
        <f>IMAGE("file:///E:/Estudios%20y%20certificaciones/ESTUDIOS%20DE%20PROGRAMMING/PROGRAMMING/PERSONAL/PYTHON/Image_Generator_API/imagenes/NAUTICA_MENS_V742807_BLK_1.jpg")</f>
        <v/>
      </c>
      <c r="M3550">
        <f>IMAGE("file:///E:/Estudios%20y%20certificaciones/ESTUDIOS%20DE%20PROGRAMMING/PROGRAMMING/PERSONAL/PYTHON/Image_Generator_API/imagenes/NAUTICA_MENS_V742807_BLK_2.jpg")</f>
        <v/>
      </c>
      <c r="N3550">
        <f>IMAGE("file:///E:/Estudios%20y%20certificaciones/ESTUDIOS%20DE%20PROGRAMMING/PROGRAMMING/PERSONAL/PYTHON/Image_Generator_API/imagenes/NAUTICA_MENS_V742807_BLK_3.jpg")</f>
        <v/>
      </c>
      <c r="O3550">
        <f>HYPERLINK("imagenes/NAUTICA_MENS_V742807_BLK_1.jpg","Ver imagen")</f>
        <v/>
      </c>
      <c r="P3550">
        <f>HYPERLINK("imagenes/NAUTICA_MENS_V742807_BLK_2.jpg","Ver imagen")</f>
        <v/>
      </c>
      <c r="Q3550">
        <f>HYPERLINK("imagenes/NAUTICA_MENS_V742807_BLK_3.jpg","Ver imagen")</f>
        <v/>
      </c>
    </row>
    <row r="3551">
      <c r="A3551" t="inlineStr">
        <is>
          <t>NAUTICA MENS</t>
        </is>
      </c>
      <c r="B3551" t="inlineStr">
        <is>
          <t>V742807</t>
        </is>
      </c>
      <c r="C3551" t="inlineStr">
        <is>
          <t>GOLF JACKET</t>
        </is>
      </c>
      <c r="D3551" t="inlineStr">
        <is>
          <t>BLK</t>
        </is>
      </c>
      <c r="E3551" t="inlineStr">
        <is>
          <t>(en blanco)</t>
        </is>
      </c>
      <c r="F3551" t="inlineStr">
        <is>
          <t>(en blanco)</t>
        </is>
      </c>
      <c r="G3551" t="inlineStr">
        <is>
          <t>6XT</t>
        </is>
      </c>
      <c r="H3551" t="n">
        <v>15</v>
      </c>
      <c r="I3551" t="inlineStr">
        <is>
          <t>NAUTICA_MENS_V742807_BLK_1.jpg</t>
        </is>
      </c>
      <c r="J3551" t="inlineStr">
        <is>
          <t>NAUTICA_MENS_V742807_BLK_2.jpg</t>
        </is>
      </c>
      <c r="K3551" t="inlineStr">
        <is>
          <t>NAUTICA_MENS_V742807_BLK_3.jpg</t>
        </is>
      </c>
      <c r="L3551">
        <f>IMAGE("file:///E:/Estudios%20y%20certificaciones/ESTUDIOS%20DE%20PROGRAMMING/PROGRAMMING/PERSONAL/PYTHON/Image_Generator_API/imagenes/NAUTICA_MENS_V742807_BLK_1.jpg")</f>
        <v/>
      </c>
      <c r="M3551">
        <f>IMAGE("file:///E:/Estudios%20y%20certificaciones/ESTUDIOS%20DE%20PROGRAMMING/PROGRAMMING/PERSONAL/PYTHON/Image_Generator_API/imagenes/NAUTICA_MENS_V742807_BLK_2.jpg")</f>
        <v/>
      </c>
      <c r="N3551">
        <f>IMAGE("file:///E:/Estudios%20y%20certificaciones/ESTUDIOS%20DE%20PROGRAMMING/PROGRAMMING/PERSONAL/PYTHON/Image_Generator_API/imagenes/NAUTICA_MENS_V742807_BLK_3.jpg")</f>
        <v/>
      </c>
      <c r="O3551">
        <f>HYPERLINK("imagenes/NAUTICA_MENS_V742807_BLK_1.jpg","Ver imagen")</f>
        <v/>
      </c>
      <c r="P3551">
        <f>HYPERLINK("imagenes/NAUTICA_MENS_V742807_BLK_2.jpg","Ver imagen")</f>
        <v/>
      </c>
      <c r="Q3551">
        <f>HYPERLINK("imagenes/NAUTICA_MENS_V742807_BLK_3.jpg","Ver imagen")</f>
        <v/>
      </c>
    </row>
    <row r="3552">
      <c r="A3552" t="inlineStr">
        <is>
          <t>NAUTICA MENS</t>
        </is>
      </c>
      <c r="B3552" t="inlineStr">
        <is>
          <t>V821851</t>
        </is>
      </c>
      <c r="C3552" t="inlineStr">
        <is>
          <t>POLY HOODED PARKA</t>
        </is>
      </c>
      <c r="D3552" t="inlineStr">
        <is>
          <t>BLK</t>
        </is>
      </c>
      <c r="E3552" t="inlineStr">
        <is>
          <t>(en blanco)</t>
        </is>
      </c>
      <c r="F3552" t="inlineStr">
        <is>
          <t>(en blanco)</t>
        </is>
      </c>
      <c r="G3552" t="inlineStr">
        <is>
          <t>L</t>
        </is>
      </c>
      <c r="H3552" t="n">
        <v>2</v>
      </c>
      <c r="I3552" t="inlineStr">
        <is>
          <t>NAUTICA_MENS_V821851_BLK_1.jpg</t>
        </is>
      </c>
      <c r="J3552" t="inlineStr">
        <is>
          <t>NAUTICA_MENS_V821851_BLK_2.jpg</t>
        </is>
      </c>
      <c r="K3552" t="inlineStr">
        <is>
          <t>NAUTICA_MENS_V821851_BLK_3.jpg</t>
        </is>
      </c>
      <c r="L3552">
        <f>IMAGE("file:///E:/Estudios%20y%20certificaciones/ESTUDIOS%20DE%20PROGRAMMING/PROGRAMMING/PERSONAL/PYTHON/Image_Generator_API/imagenes/NAUTICA_MENS_V821851_BLK_1.jpg")</f>
        <v/>
      </c>
      <c r="M3552">
        <f>IMAGE("file:///E:/Estudios%20y%20certificaciones/ESTUDIOS%20DE%20PROGRAMMING/PROGRAMMING/PERSONAL/PYTHON/Image_Generator_API/imagenes/NAUTICA_MENS_V821851_BLK_2.jpg")</f>
        <v/>
      </c>
      <c r="N3552">
        <f>IMAGE("file:///E:/Estudios%20y%20certificaciones/ESTUDIOS%20DE%20PROGRAMMING/PROGRAMMING/PERSONAL/PYTHON/Image_Generator_API/imagenes/NAUTICA_MENS_V821851_BLK_3.jpg")</f>
        <v/>
      </c>
      <c r="O3552">
        <f>HYPERLINK("imagenes/NAUTICA_MENS_V821851_BLK_1.jpg","Ver imagen")</f>
        <v/>
      </c>
      <c r="P3552">
        <f>HYPERLINK("imagenes/NAUTICA_MENS_V821851_BLK_2.jpg","Ver imagen")</f>
        <v/>
      </c>
      <c r="Q3552">
        <f>HYPERLINK("imagenes/NAUTICA_MENS_V821851_BLK_3.jpg","Ver imagen")</f>
        <v/>
      </c>
    </row>
    <row r="3553">
      <c r="A3553" t="inlineStr">
        <is>
          <t>NAUTICA MENS</t>
        </is>
      </c>
      <c r="B3553" t="inlineStr">
        <is>
          <t>V822401</t>
        </is>
      </c>
      <c r="C3553" t="inlineStr">
        <is>
          <t>POLY SPAN GOLF JKT</t>
        </is>
      </c>
      <c r="D3553" t="inlineStr">
        <is>
          <t>BGI</t>
        </is>
      </c>
      <c r="E3553" t="inlineStr">
        <is>
          <t>(en blanco)</t>
        </is>
      </c>
      <c r="F3553" t="inlineStr">
        <is>
          <t>(en blanco)</t>
        </is>
      </c>
      <c r="G3553" t="inlineStr">
        <is>
          <t>S</t>
        </is>
      </c>
      <c r="H3553" t="n">
        <v>5</v>
      </c>
      <c r="I3553" t="inlineStr">
        <is>
          <t>NAUTICA_MENS_V822401_BGI_1.jpg</t>
        </is>
      </c>
      <c r="J3553" t="inlineStr">
        <is>
          <t>NAUTICA_MENS_V822401_BGI_2.jpg</t>
        </is>
      </c>
      <c r="K3553" t="inlineStr">
        <is>
          <t>NAUTICA_MENS_V822401_BGI_3.jpg</t>
        </is>
      </c>
      <c r="L3553">
        <f>IMAGE("file:///E:/Estudios%20y%20certificaciones/ESTUDIOS%20DE%20PROGRAMMING/PROGRAMMING/PERSONAL/PYTHON/Image_Generator_API/imagenes/NAUTICA_MENS_V822401_BGI_1.jpg")</f>
        <v/>
      </c>
      <c r="M3553">
        <f>IMAGE("file:///E:/Estudios%20y%20certificaciones/ESTUDIOS%20DE%20PROGRAMMING/PROGRAMMING/PERSONAL/PYTHON/Image_Generator_API/imagenes/NAUTICA_MENS_V822401_BGI_2.jpg")</f>
        <v/>
      </c>
      <c r="N3553">
        <f>IMAGE("file:///E:/Estudios%20y%20certificaciones/ESTUDIOS%20DE%20PROGRAMMING/PROGRAMMING/PERSONAL/PYTHON/Image_Generator_API/imagenes/NAUTICA_MENS_V822401_BGI_3.jpg")</f>
        <v/>
      </c>
      <c r="O3553">
        <f>HYPERLINK("imagenes/NAUTICA_MENS_V822401_BGI_1.jpg","Ver imagen")</f>
        <v/>
      </c>
      <c r="P3553">
        <f>HYPERLINK("imagenes/NAUTICA_MENS_V822401_BGI_2.jpg","Ver imagen")</f>
        <v/>
      </c>
      <c r="Q3553">
        <f>HYPERLINK("imagenes/NAUTICA_MENS_V822401_BGI_3.jpg","Ver imagen")</f>
        <v/>
      </c>
    </row>
    <row r="3554">
      <c r="A3554" t="inlineStr">
        <is>
          <t>NAUTICA MENS</t>
        </is>
      </c>
      <c r="B3554" t="inlineStr">
        <is>
          <t>V822401</t>
        </is>
      </c>
      <c r="C3554" t="inlineStr">
        <is>
          <t>POLY SPAN GOLF JKT</t>
        </is>
      </c>
      <c r="D3554" t="inlineStr">
        <is>
          <t>BGI</t>
        </is>
      </c>
      <c r="E3554" t="inlineStr">
        <is>
          <t>(en blanco)</t>
        </is>
      </c>
      <c r="F3554" t="inlineStr">
        <is>
          <t>(en blanco)</t>
        </is>
      </c>
      <c r="G3554" t="inlineStr">
        <is>
          <t>L</t>
        </is>
      </c>
      <c r="H3554" t="n">
        <v>6</v>
      </c>
      <c r="I3554" t="inlineStr">
        <is>
          <t>NAUTICA_MENS_V822401_BGI_1.jpg</t>
        </is>
      </c>
      <c r="J3554" t="inlineStr">
        <is>
          <t>NAUTICA_MENS_V822401_BGI_2.jpg</t>
        </is>
      </c>
      <c r="K3554" t="inlineStr">
        <is>
          <t>NAUTICA_MENS_V822401_BGI_3.jpg</t>
        </is>
      </c>
      <c r="L3554">
        <f>IMAGE("file:///E:/Estudios%20y%20certificaciones/ESTUDIOS%20DE%20PROGRAMMING/PROGRAMMING/PERSONAL/PYTHON/Image_Generator_API/imagenes/NAUTICA_MENS_V822401_BGI_1.jpg")</f>
        <v/>
      </c>
      <c r="M3554">
        <f>IMAGE("file:///E:/Estudios%20y%20certificaciones/ESTUDIOS%20DE%20PROGRAMMING/PROGRAMMING/PERSONAL/PYTHON/Image_Generator_API/imagenes/NAUTICA_MENS_V822401_BGI_2.jpg")</f>
        <v/>
      </c>
      <c r="N3554">
        <f>IMAGE("file:///E:/Estudios%20y%20certificaciones/ESTUDIOS%20DE%20PROGRAMMING/PROGRAMMING/PERSONAL/PYTHON/Image_Generator_API/imagenes/NAUTICA_MENS_V822401_BGI_3.jpg")</f>
        <v/>
      </c>
      <c r="O3554">
        <f>HYPERLINK("imagenes/NAUTICA_MENS_V822401_BGI_1.jpg","Ver imagen")</f>
        <v/>
      </c>
      <c r="P3554">
        <f>HYPERLINK("imagenes/NAUTICA_MENS_V822401_BGI_2.jpg","Ver imagen")</f>
        <v/>
      </c>
      <c r="Q3554">
        <f>HYPERLINK("imagenes/NAUTICA_MENS_V822401_BGI_3.jpg","Ver imagen")</f>
        <v/>
      </c>
    </row>
    <row r="3555">
      <c r="A3555" t="inlineStr">
        <is>
          <t>NAUTICA MENS</t>
        </is>
      </c>
      <c r="B3555" t="inlineStr">
        <is>
          <t>V822401</t>
        </is>
      </c>
      <c r="C3555" t="inlineStr">
        <is>
          <t>POLY SPAN GOLF JKT</t>
        </is>
      </c>
      <c r="D3555" t="inlineStr">
        <is>
          <t>NVY</t>
        </is>
      </c>
      <c r="E3555" t="inlineStr">
        <is>
          <t>(en blanco)</t>
        </is>
      </c>
      <c r="F3555" t="inlineStr">
        <is>
          <t>(en blanco)</t>
        </is>
      </c>
      <c r="G3555" t="inlineStr">
        <is>
          <t>XXL</t>
        </is>
      </c>
      <c r="H3555" t="n">
        <v>2</v>
      </c>
      <c r="I3555" t="inlineStr">
        <is>
          <t>NAUTICA_MENS_V822401_NVY_1.jpg</t>
        </is>
      </c>
      <c r="J3555" t="inlineStr">
        <is>
          <t>NAUTICA_MENS_V822401_NVY_2.jpg</t>
        </is>
      </c>
      <c r="K3555" t="inlineStr">
        <is>
          <t>NAUTICA_MENS_V822401_NVY_3.jpg</t>
        </is>
      </c>
      <c r="L3555">
        <f>IMAGE("file:///E:/Estudios%20y%20certificaciones/ESTUDIOS%20DE%20PROGRAMMING/PROGRAMMING/PERSONAL/PYTHON/Image_Generator_API/imagenes/NAUTICA_MENS_V822401_NVY_1.jpg")</f>
        <v/>
      </c>
      <c r="M3555">
        <f>IMAGE("file:///E:/Estudios%20y%20certificaciones/ESTUDIOS%20DE%20PROGRAMMING/PROGRAMMING/PERSONAL/PYTHON/Image_Generator_API/imagenes/NAUTICA_MENS_V822401_NVY_2.jpg")</f>
        <v/>
      </c>
      <c r="N3555">
        <f>IMAGE("file:///E:/Estudios%20y%20certificaciones/ESTUDIOS%20DE%20PROGRAMMING/PROGRAMMING/PERSONAL/PYTHON/Image_Generator_API/imagenes/NAUTICA_MENS_V822401_NVY_3.jpg")</f>
        <v/>
      </c>
      <c r="O3555">
        <f>HYPERLINK("imagenes/NAUTICA_MENS_V822401_NVY_1.jpg","Ver imagen")</f>
        <v/>
      </c>
      <c r="P3555">
        <f>HYPERLINK("imagenes/NAUTICA_MENS_V822401_NVY_2.jpg","Ver imagen")</f>
        <v/>
      </c>
      <c r="Q3555">
        <f>HYPERLINK("imagenes/NAUTICA_MENS_V822401_NVY_3.jpg","Ver imagen")</f>
        <v/>
      </c>
    </row>
    <row r="3556">
      <c r="A3556" t="inlineStr">
        <is>
          <t>NAUTICA MENS</t>
        </is>
      </c>
      <c r="B3556" t="inlineStr">
        <is>
          <t>V822401</t>
        </is>
      </c>
      <c r="C3556" t="inlineStr">
        <is>
          <t>POLY SPAN GOLF JKT</t>
        </is>
      </c>
      <c r="D3556" t="inlineStr">
        <is>
          <t>RED</t>
        </is>
      </c>
      <c r="E3556" t="inlineStr">
        <is>
          <t>(en blanco)</t>
        </is>
      </c>
      <c r="F3556" t="inlineStr">
        <is>
          <t>(en blanco)</t>
        </is>
      </c>
      <c r="G3556" t="inlineStr">
        <is>
          <t>L</t>
        </is>
      </c>
      <c r="H3556" t="n">
        <v>1</v>
      </c>
      <c r="I3556" t="inlineStr">
        <is>
          <t>NAUTICA_MENS_V822401_RED_1.jpg</t>
        </is>
      </c>
      <c r="J3556" t="inlineStr">
        <is>
          <t>NAUTICA_MENS_V822401_RED_2.jpg</t>
        </is>
      </c>
      <c r="K3556" t="inlineStr">
        <is>
          <t>NAUTICA_MENS_V822401_RED_3.jpg</t>
        </is>
      </c>
      <c r="L3556">
        <f>IMAGE("file:///E:/Estudios%20y%20certificaciones/ESTUDIOS%20DE%20PROGRAMMING/PROGRAMMING/PERSONAL/PYTHON/Image_Generator_API/imagenes/NAUTICA_MENS_V822401_RED_1.jpg")</f>
        <v/>
      </c>
      <c r="M3556">
        <f>IMAGE("file:///E:/Estudios%20y%20certificaciones/ESTUDIOS%20DE%20PROGRAMMING/PROGRAMMING/PERSONAL/PYTHON/Image_Generator_API/imagenes/NAUTICA_MENS_V822401_RED_2.jpg")</f>
        <v/>
      </c>
      <c r="N3556">
        <f>IMAGE("file:///E:/Estudios%20y%20certificaciones/ESTUDIOS%20DE%20PROGRAMMING/PROGRAMMING/PERSONAL/PYTHON/Image_Generator_API/imagenes/NAUTICA_MENS_V822401_RED_3.jpg")</f>
        <v/>
      </c>
      <c r="O3556">
        <f>HYPERLINK("imagenes/NAUTICA_MENS_V822401_RED_1.jpg","Ver imagen")</f>
        <v/>
      </c>
      <c r="P3556">
        <f>HYPERLINK("imagenes/NAUTICA_MENS_V822401_RED_2.jpg","Ver imagen")</f>
        <v/>
      </c>
      <c r="Q3556">
        <f>HYPERLINK("imagenes/NAUTICA_MENS_V822401_RED_3.jpg","Ver imagen")</f>
        <v/>
      </c>
    </row>
    <row r="3557">
      <c r="A3557" t="inlineStr">
        <is>
          <t>NAUTICA MENS</t>
        </is>
      </c>
      <c r="B3557" t="inlineStr">
        <is>
          <t>V825548</t>
        </is>
      </c>
      <c r="C3557" t="inlineStr">
        <is>
          <t>WOOL PEACOAT</t>
        </is>
      </c>
      <c r="D3557" t="inlineStr">
        <is>
          <t>BLK</t>
        </is>
      </c>
      <c r="E3557" t="inlineStr">
        <is>
          <t>(en blanco)</t>
        </is>
      </c>
      <c r="F3557" t="inlineStr">
        <is>
          <t>D2C</t>
        </is>
      </c>
      <c r="G3557" t="inlineStr">
        <is>
          <t>S</t>
        </is>
      </c>
      <c r="H3557" t="n">
        <v>20</v>
      </c>
      <c r="I3557" t="inlineStr">
        <is>
          <t>NAUTICA_MENS_V825548_BLK_1.jpg</t>
        </is>
      </c>
      <c r="J3557" t="inlineStr">
        <is>
          <t>NAUTICA_MENS_V825548_BLK_2.jpg</t>
        </is>
      </c>
      <c r="K3557" t="inlineStr">
        <is>
          <t>NAUTICA_MENS_V825548_BLK_3.jpg</t>
        </is>
      </c>
      <c r="L3557">
        <f>IMAGE("file:///E:/Estudios%20y%20certificaciones/ESTUDIOS%20DE%20PROGRAMMING/PROGRAMMING/PERSONAL/PYTHON/Image_Generator_API/imagenes/NAUTICA_MENS_V825548_BLK_1.jpg")</f>
        <v/>
      </c>
      <c r="M3557">
        <f>IMAGE("file:///E:/Estudios%20y%20certificaciones/ESTUDIOS%20DE%20PROGRAMMING/PROGRAMMING/PERSONAL/PYTHON/Image_Generator_API/imagenes/NAUTICA_MENS_V825548_BLK_2.jpg")</f>
        <v/>
      </c>
      <c r="N3557">
        <f>IMAGE("file:///E:/Estudios%20y%20certificaciones/ESTUDIOS%20DE%20PROGRAMMING/PROGRAMMING/PERSONAL/PYTHON/Image_Generator_API/imagenes/NAUTICA_MENS_V825548_BLK_3.jpg")</f>
        <v/>
      </c>
      <c r="O3557">
        <f>HYPERLINK("imagenes/NAUTICA_MENS_V825548_BLK_1.jpg","Ver imagen")</f>
        <v/>
      </c>
      <c r="P3557">
        <f>HYPERLINK("imagenes/NAUTICA_MENS_V825548_BLK_2.jpg","Ver imagen")</f>
        <v/>
      </c>
      <c r="Q3557">
        <f>HYPERLINK("imagenes/NAUTICA_MENS_V825548_BLK_3.jpg","Ver imagen")</f>
        <v/>
      </c>
    </row>
    <row r="3558">
      <c r="A3558" t="inlineStr">
        <is>
          <t>NAUTICA MENS</t>
        </is>
      </c>
      <c r="B3558" t="inlineStr">
        <is>
          <t>V825548</t>
        </is>
      </c>
      <c r="C3558" t="inlineStr">
        <is>
          <t>WOOL PEACOAT</t>
        </is>
      </c>
      <c r="D3558" t="inlineStr">
        <is>
          <t>BLK</t>
        </is>
      </c>
      <c r="E3558" t="inlineStr">
        <is>
          <t>(en blanco)</t>
        </is>
      </c>
      <c r="F3558" t="inlineStr">
        <is>
          <t>D2C</t>
        </is>
      </c>
      <c r="G3558" t="inlineStr">
        <is>
          <t>M</t>
        </is>
      </c>
      <c r="H3558" t="n">
        <v>20</v>
      </c>
      <c r="I3558" t="inlineStr">
        <is>
          <t>NAUTICA_MENS_V825548_BLK_1.jpg</t>
        </is>
      </c>
      <c r="J3558" t="inlineStr">
        <is>
          <t>NAUTICA_MENS_V825548_BLK_2.jpg</t>
        </is>
      </c>
      <c r="K3558" t="inlineStr">
        <is>
          <t>NAUTICA_MENS_V825548_BLK_3.jpg</t>
        </is>
      </c>
      <c r="L3558">
        <f>IMAGE("file:///E:/Estudios%20y%20certificaciones/ESTUDIOS%20DE%20PROGRAMMING/PROGRAMMING/PERSONAL/PYTHON/Image_Generator_API/imagenes/NAUTICA_MENS_V825548_BLK_1.jpg")</f>
        <v/>
      </c>
      <c r="M3558">
        <f>IMAGE("file:///E:/Estudios%20y%20certificaciones/ESTUDIOS%20DE%20PROGRAMMING/PROGRAMMING/PERSONAL/PYTHON/Image_Generator_API/imagenes/NAUTICA_MENS_V825548_BLK_2.jpg")</f>
        <v/>
      </c>
      <c r="N3558">
        <f>IMAGE("file:///E:/Estudios%20y%20certificaciones/ESTUDIOS%20DE%20PROGRAMMING/PROGRAMMING/PERSONAL/PYTHON/Image_Generator_API/imagenes/NAUTICA_MENS_V825548_BLK_3.jpg")</f>
        <v/>
      </c>
      <c r="O3558">
        <f>HYPERLINK("imagenes/NAUTICA_MENS_V825548_BLK_1.jpg","Ver imagen")</f>
        <v/>
      </c>
      <c r="P3558">
        <f>HYPERLINK("imagenes/NAUTICA_MENS_V825548_BLK_2.jpg","Ver imagen")</f>
        <v/>
      </c>
      <c r="Q3558">
        <f>HYPERLINK("imagenes/NAUTICA_MENS_V825548_BLK_3.jpg","Ver imagen")</f>
        <v/>
      </c>
    </row>
    <row r="3559">
      <c r="A3559" t="inlineStr">
        <is>
          <t>NAUTICA MENS</t>
        </is>
      </c>
      <c r="B3559" t="inlineStr">
        <is>
          <t>V825548</t>
        </is>
      </c>
      <c r="C3559" t="inlineStr">
        <is>
          <t>WOOL PEACOAT</t>
        </is>
      </c>
      <c r="D3559" t="inlineStr">
        <is>
          <t>BLK</t>
        </is>
      </c>
      <c r="E3559" t="inlineStr">
        <is>
          <t>(en blanco)</t>
        </is>
      </c>
      <c r="F3559" t="inlineStr">
        <is>
          <t>D2C</t>
        </is>
      </c>
      <c r="G3559" t="inlineStr">
        <is>
          <t>L</t>
        </is>
      </c>
      <c r="H3559" t="n">
        <v>20</v>
      </c>
      <c r="I3559" t="inlineStr">
        <is>
          <t>NAUTICA_MENS_V825548_BLK_1.jpg</t>
        </is>
      </c>
      <c r="J3559" t="inlineStr">
        <is>
          <t>NAUTICA_MENS_V825548_BLK_2.jpg</t>
        </is>
      </c>
      <c r="K3559" t="inlineStr">
        <is>
          <t>NAUTICA_MENS_V825548_BLK_3.jpg</t>
        </is>
      </c>
      <c r="L3559">
        <f>IMAGE("file:///E:/Estudios%20y%20certificaciones/ESTUDIOS%20DE%20PROGRAMMING/PROGRAMMING/PERSONAL/PYTHON/Image_Generator_API/imagenes/NAUTICA_MENS_V825548_BLK_1.jpg")</f>
        <v/>
      </c>
      <c r="M3559">
        <f>IMAGE("file:///E:/Estudios%20y%20certificaciones/ESTUDIOS%20DE%20PROGRAMMING/PROGRAMMING/PERSONAL/PYTHON/Image_Generator_API/imagenes/NAUTICA_MENS_V825548_BLK_2.jpg")</f>
        <v/>
      </c>
      <c r="N3559">
        <f>IMAGE("file:///E:/Estudios%20y%20certificaciones/ESTUDIOS%20DE%20PROGRAMMING/PROGRAMMING/PERSONAL/PYTHON/Image_Generator_API/imagenes/NAUTICA_MENS_V825548_BLK_3.jpg")</f>
        <v/>
      </c>
      <c r="O3559">
        <f>HYPERLINK("imagenes/NAUTICA_MENS_V825548_BLK_1.jpg","Ver imagen")</f>
        <v/>
      </c>
      <c r="P3559">
        <f>HYPERLINK("imagenes/NAUTICA_MENS_V825548_BLK_2.jpg","Ver imagen")</f>
        <v/>
      </c>
      <c r="Q3559">
        <f>HYPERLINK("imagenes/NAUTICA_MENS_V825548_BLK_3.jpg","Ver imagen")</f>
        <v/>
      </c>
    </row>
    <row r="3560">
      <c r="A3560" t="inlineStr">
        <is>
          <t>NAUTICA MENS</t>
        </is>
      </c>
      <c r="B3560" t="inlineStr">
        <is>
          <t>V825548</t>
        </is>
      </c>
      <c r="C3560" t="inlineStr">
        <is>
          <t>WOOL PEACOAT</t>
        </is>
      </c>
      <c r="D3560" t="inlineStr">
        <is>
          <t>BLK</t>
        </is>
      </c>
      <c r="E3560" t="inlineStr">
        <is>
          <t>(en blanco)</t>
        </is>
      </c>
      <c r="F3560" t="inlineStr">
        <is>
          <t>D2C</t>
        </is>
      </c>
      <c r="G3560" t="inlineStr">
        <is>
          <t>XL</t>
        </is>
      </c>
      <c r="H3560" t="n">
        <v>20</v>
      </c>
      <c r="I3560" t="inlineStr">
        <is>
          <t>NAUTICA_MENS_V825548_BLK_1.jpg</t>
        </is>
      </c>
      <c r="J3560" t="inlineStr">
        <is>
          <t>NAUTICA_MENS_V825548_BLK_2.jpg</t>
        </is>
      </c>
      <c r="K3560" t="inlineStr">
        <is>
          <t>NAUTICA_MENS_V825548_BLK_3.jpg</t>
        </is>
      </c>
      <c r="L3560">
        <f>IMAGE("file:///E:/Estudios%20y%20certificaciones/ESTUDIOS%20DE%20PROGRAMMING/PROGRAMMING/PERSONAL/PYTHON/Image_Generator_API/imagenes/NAUTICA_MENS_V825548_BLK_1.jpg")</f>
        <v/>
      </c>
      <c r="M3560">
        <f>IMAGE("file:///E:/Estudios%20y%20certificaciones/ESTUDIOS%20DE%20PROGRAMMING/PROGRAMMING/PERSONAL/PYTHON/Image_Generator_API/imagenes/NAUTICA_MENS_V825548_BLK_2.jpg")</f>
        <v/>
      </c>
      <c r="N3560">
        <f>IMAGE("file:///E:/Estudios%20y%20certificaciones/ESTUDIOS%20DE%20PROGRAMMING/PROGRAMMING/PERSONAL/PYTHON/Image_Generator_API/imagenes/NAUTICA_MENS_V825548_BLK_3.jpg")</f>
        <v/>
      </c>
      <c r="O3560">
        <f>HYPERLINK("imagenes/NAUTICA_MENS_V825548_BLK_1.jpg","Ver imagen")</f>
        <v/>
      </c>
      <c r="P3560">
        <f>HYPERLINK("imagenes/NAUTICA_MENS_V825548_BLK_2.jpg","Ver imagen")</f>
        <v/>
      </c>
      <c r="Q3560">
        <f>HYPERLINK("imagenes/NAUTICA_MENS_V825548_BLK_3.jpg","Ver imagen")</f>
        <v/>
      </c>
    </row>
    <row r="3561">
      <c r="A3561" t="inlineStr">
        <is>
          <t>NAUTICA MENS</t>
        </is>
      </c>
      <c r="B3561" t="inlineStr">
        <is>
          <t>V825548</t>
        </is>
      </c>
      <c r="C3561" t="inlineStr">
        <is>
          <t>WOOL PEACOAT</t>
        </is>
      </c>
      <c r="D3561" t="inlineStr">
        <is>
          <t>BLK</t>
        </is>
      </c>
      <c r="E3561" t="inlineStr">
        <is>
          <t>(en blanco)</t>
        </is>
      </c>
      <c r="F3561" t="inlineStr">
        <is>
          <t>D2C</t>
        </is>
      </c>
      <c r="G3561" t="inlineStr">
        <is>
          <t>XXL</t>
        </is>
      </c>
      <c r="H3561" t="n">
        <v>18</v>
      </c>
      <c r="I3561" t="inlineStr">
        <is>
          <t>NAUTICA_MENS_V825548_BLK_1.jpg</t>
        </is>
      </c>
      <c r="J3561" t="inlineStr">
        <is>
          <t>NAUTICA_MENS_V825548_BLK_2.jpg</t>
        </is>
      </c>
      <c r="K3561" t="inlineStr">
        <is>
          <t>NAUTICA_MENS_V825548_BLK_3.jpg</t>
        </is>
      </c>
      <c r="L3561">
        <f>IMAGE("file:///E:/Estudios%20y%20certificaciones/ESTUDIOS%20DE%20PROGRAMMING/PROGRAMMING/PERSONAL/PYTHON/Image_Generator_API/imagenes/NAUTICA_MENS_V825548_BLK_1.jpg")</f>
        <v/>
      </c>
      <c r="M3561">
        <f>IMAGE("file:///E:/Estudios%20y%20certificaciones/ESTUDIOS%20DE%20PROGRAMMING/PROGRAMMING/PERSONAL/PYTHON/Image_Generator_API/imagenes/NAUTICA_MENS_V825548_BLK_2.jpg")</f>
        <v/>
      </c>
      <c r="N3561">
        <f>IMAGE("file:///E:/Estudios%20y%20certificaciones/ESTUDIOS%20DE%20PROGRAMMING/PROGRAMMING/PERSONAL/PYTHON/Image_Generator_API/imagenes/NAUTICA_MENS_V825548_BLK_3.jpg")</f>
        <v/>
      </c>
      <c r="O3561">
        <f>HYPERLINK("imagenes/NAUTICA_MENS_V825548_BLK_1.jpg","Ver imagen")</f>
        <v/>
      </c>
      <c r="P3561">
        <f>HYPERLINK("imagenes/NAUTICA_MENS_V825548_BLK_2.jpg","Ver imagen")</f>
        <v/>
      </c>
      <c r="Q3561">
        <f>HYPERLINK("imagenes/NAUTICA_MENS_V825548_BLK_3.jpg","Ver imagen")</f>
        <v/>
      </c>
    </row>
    <row r="3562">
      <c r="A3562" t="inlineStr">
        <is>
          <t>NAUTICA MENS</t>
        </is>
      </c>
      <c r="B3562" t="inlineStr">
        <is>
          <t>V825548</t>
        </is>
      </c>
      <c r="C3562" t="inlineStr">
        <is>
          <t>WOOL PEACOAT</t>
        </is>
      </c>
      <c r="D3562" t="inlineStr">
        <is>
          <t>BLK</t>
        </is>
      </c>
      <c r="E3562" t="inlineStr">
        <is>
          <t>(en blanco)</t>
        </is>
      </c>
      <c r="F3562" t="inlineStr">
        <is>
          <t>(en blanco)</t>
        </is>
      </c>
      <c r="G3562" t="inlineStr">
        <is>
          <t>XS</t>
        </is>
      </c>
      <c r="H3562" t="n">
        <v>69</v>
      </c>
      <c r="I3562" t="inlineStr">
        <is>
          <t>NAUTICA_MENS_V825548_BLK_1.jpg</t>
        </is>
      </c>
      <c r="J3562" t="inlineStr">
        <is>
          <t>NAUTICA_MENS_V825548_BLK_2.jpg</t>
        </is>
      </c>
      <c r="K3562" t="inlineStr">
        <is>
          <t>NAUTICA_MENS_V825548_BLK_3.jpg</t>
        </is>
      </c>
      <c r="L3562">
        <f>IMAGE("file:///E:/Estudios%20y%20certificaciones/ESTUDIOS%20DE%20PROGRAMMING/PROGRAMMING/PERSONAL/PYTHON/Image_Generator_API/imagenes/NAUTICA_MENS_V825548_BLK_1.jpg")</f>
        <v/>
      </c>
      <c r="M3562">
        <f>IMAGE("file:///E:/Estudios%20y%20certificaciones/ESTUDIOS%20DE%20PROGRAMMING/PROGRAMMING/PERSONAL/PYTHON/Image_Generator_API/imagenes/NAUTICA_MENS_V825548_BLK_2.jpg")</f>
        <v/>
      </c>
      <c r="N3562">
        <f>IMAGE("file:///E:/Estudios%20y%20certificaciones/ESTUDIOS%20DE%20PROGRAMMING/PROGRAMMING/PERSONAL/PYTHON/Image_Generator_API/imagenes/NAUTICA_MENS_V825548_BLK_3.jpg")</f>
        <v/>
      </c>
      <c r="O3562">
        <f>HYPERLINK("imagenes/NAUTICA_MENS_V825548_BLK_1.jpg","Ver imagen")</f>
        <v/>
      </c>
      <c r="P3562">
        <f>HYPERLINK("imagenes/NAUTICA_MENS_V825548_BLK_2.jpg","Ver imagen")</f>
        <v/>
      </c>
      <c r="Q3562">
        <f>HYPERLINK("imagenes/NAUTICA_MENS_V825548_BLK_3.jpg","Ver imagen")</f>
        <v/>
      </c>
    </row>
    <row r="3563">
      <c r="A3563" t="inlineStr">
        <is>
          <t>NAUTICA MENS</t>
        </is>
      </c>
      <c r="B3563" t="inlineStr">
        <is>
          <t>V825548</t>
        </is>
      </c>
      <c r="C3563" t="inlineStr">
        <is>
          <t>WOOL PEACOAT</t>
        </is>
      </c>
      <c r="D3563" t="inlineStr">
        <is>
          <t>BLK</t>
        </is>
      </c>
      <c r="E3563" t="inlineStr">
        <is>
          <t>(en blanco)</t>
        </is>
      </c>
      <c r="F3563" t="inlineStr">
        <is>
          <t>(en blanco)</t>
        </is>
      </c>
      <c r="G3563" t="inlineStr">
        <is>
          <t>S</t>
        </is>
      </c>
      <c r="H3563" t="n">
        <v>706</v>
      </c>
      <c r="I3563" t="inlineStr">
        <is>
          <t>NAUTICA_MENS_V825548_BLK_1.jpg</t>
        </is>
      </c>
      <c r="J3563" t="inlineStr">
        <is>
          <t>NAUTICA_MENS_V825548_BLK_2.jpg</t>
        </is>
      </c>
      <c r="K3563" t="inlineStr">
        <is>
          <t>NAUTICA_MENS_V825548_BLK_3.jpg</t>
        </is>
      </c>
      <c r="L3563">
        <f>IMAGE("file:///E:/Estudios%20y%20certificaciones/ESTUDIOS%20DE%20PROGRAMMING/PROGRAMMING/PERSONAL/PYTHON/Image_Generator_API/imagenes/NAUTICA_MENS_V825548_BLK_1.jpg")</f>
        <v/>
      </c>
      <c r="M3563">
        <f>IMAGE("file:///E:/Estudios%20y%20certificaciones/ESTUDIOS%20DE%20PROGRAMMING/PROGRAMMING/PERSONAL/PYTHON/Image_Generator_API/imagenes/NAUTICA_MENS_V825548_BLK_2.jpg")</f>
        <v/>
      </c>
      <c r="N3563">
        <f>IMAGE("file:///E:/Estudios%20y%20certificaciones/ESTUDIOS%20DE%20PROGRAMMING/PROGRAMMING/PERSONAL/PYTHON/Image_Generator_API/imagenes/NAUTICA_MENS_V825548_BLK_3.jpg")</f>
        <v/>
      </c>
      <c r="O3563">
        <f>HYPERLINK("imagenes/NAUTICA_MENS_V825548_BLK_1.jpg","Ver imagen")</f>
        <v/>
      </c>
      <c r="P3563">
        <f>HYPERLINK("imagenes/NAUTICA_MENS_V825548_BLK_2.jpg","Ver imagen")</f>
        <v/>
      </c>
      <c r="Q3563">
        <f>HYPERLINK("imagenes/NAUTICA_MENS_V825548_BLK_3.jpg","Ver imagen")</f>
        <v/>
      </c>
    </row>
    <row r="3564">
      <c r="A3564" t="inlineStr">
        <is>
          <t>NAUTICA MENS</t>
        </is>
      </c>
      <c r="B3564" t="inlineStr">
        <is>
          <t>V825548</t>
        </is>
      </c>
      <c r="C3564" t="inlineStr">
        <is>
          <t>WOOL PEACOAT</t>
        </is>
      </c>
      <c r="D3564" t="inlineStr">
        <is>
          <t>BLK</t>
        </is>
      </c>
      <c r="E3564" t="inlineStr">
        <is>
          <t>(en blanco)</t>
        </is>
      </c>
      <c r="F3564" t="inlineStr">
        <is>
          <t>(en blanco)</t>
        </is>
      </c>
      <c r="G3564" t="inlineStr">
        <is>
          <t>M</t>
        </is>
      </c>
      <c r="H3564" t="n">
        <v>1579</v>
      </c>
      <c r="I3564" t="inlineStr">
        <is>
          <t>NAUTICA_MENS_V825548_BLK_1.jpg</t>
        </is>
      </c>
      <c r="J3564" t="inlineStr">
        <is>
          <t>NAUTICA_MENS_V825548_BLK_2.jpg</t>
        </is>
      </c>
      <c r="K3564" t="inlineStr">
        <is>
          <t>NAUTICA_MENS_V825548_BLK_3.jpg</t>
        </is>
      </c>
      <c r="L3564">
        <f>IMAGE("file:///E:/Estudios%20y%20certificaciones/ESTUDIOS%20DE%20PROGRAMMING/PROGRAMMING/PERSONAL/PYTHON/Image_Generator_API/imagenes/NAUTICA_MENS_V825548_BLK_1.jpg")</f>
        <v/>
      </c>
      <c r="M3564">
        <f>IMAGE("file:///E:/Estudios%20y%20certificaciones/ESTUDIOS%20DE%20PROGRAMMING/PROGRAMMING/PERSONAL/PYTHON/Image_Generator_API/imagenes/NAUTICA_MENS_V825548_BLK_2.jpg")</f>
        <v/>
      </c>
      <c r="N3564">
        <f>IMAGE("file:///E:/Estudios%20y%20certificaciones/ESTUDIOS%20DE%20PROGRAMMING/PROGRAMMING/PERSONAL/PYTHON/Image_Generator_API/imagenes/NAUTICA_MENS_V825548_BLK_3.jpg")</f>
        <v/>
      </c>
      <c r="O3564">
        <f>HYPERLINK("imagenes/NAUTICA_MENS_V825548_BLK_1.jpg","Ver imagen")</f>
        <v/>
      </c>
      <c r="P3564">
        <f>HYPERLINK("imagenes/NAUTICA_MENS_V825548_BLK_2.jpg","Ver imagen")</f>
        <v/>
      </c>
      <c r="Q3564">
        <f>HYPERLINK("imagenes/NAUTICA_MENS_V825548_BLK_3.jpg","Ver imagen")</f>
        <v/>
      </c>
    </row>
    <row r="3565">
      <c r="A3565" t="inlineStr">
        <is>
          <t>NAUTICA MENS</t>
        </is>
      </c>
      <c r="B3565" t="inlineStr">
        <is>
          <t>V825548</t>
        </is>
      </c>
      <c r="C3565" t="inlineStr">
        <is>
          <t>WOOL PEACOAT</t>
        </is>
      </c>
      <c r="D3565" t="inlineStr">
        <is>
          <t>BLK</t>
        </is>
      </c>
      <c r="E3565" t="inlineStr">
        <is>
          <t>(en blanco)</t>
        </is>
      </c>
      <c r="F3565" t="inlineStr">
        <is>
          <t>(en blanco)</t>
        </is>
      </c>
      <c r="G3565" t="inlineStr">
        <is>
          <t>L</t>
        </is>
      </c>
      <c r="H3565" t="n">
        <v>1882</v>
      </c>
      <c r="I3565" t="inlineStr">
        <is>
          <t>NAUTICA_MENS_V825548_BLK_1.jpg</t>
        </is>
      </c>
      <c r="J3565" t="inlineStr">
        <is>
          <t>NAUTICA_MENS_V825548_BLK_2.jpg</t>
        </is>
      </c>
      <c r="K3565" t="inlineStr">
        <is>
          <t>NAUTICA_MENS_V825548_BLK_3.jpg</t>
        </is>
      </c>
      <c r="L3565">
        <f>IMAGE("file:///E:/Estudios%20y%20certificaciones/ESTUDIOS%20DE%20PROGRAMMING/PROGRAMMING/PERSONAL/PYTHON/Image_Generator_API/imagenes/NAUTICA_MENS_V825548_BLK_1.jpg")</f>
        <v/>
      </c>
      <c r="M3565">
        <f>IMAGE("file:///E:/Estudios%20y%20certificaciones/ESTUDIOS%20DE%20PROGRAMMING/PROGRAMMING/PERSONAL/PYTHON/Image_Generator_API/imagenes/NAUTICA_MENS_V825548_BLK_2.jpg")</f>
        <v/>
      </c>
      <c r="N3565">
        <f>IMAGE("file:///E:/Estudios%20y%20certificaciones/ESTUDIOS%20DE%20PROGRAMMING/PROGRAMMING/PERSONAL/PYTHON/Image_Generator_API/imagenes/NAUTICA_MENS_V825548_BLK_3.jpg")</f>
        <v/>
      </c>
      <c r="O3565">
        <f>HYPERLINK("imagenes/NAUTICA_MENS_V825548_BLK_1.jpg","Ver imagen")</f>
        <v/>
      </c>
      <c r="P3565">
        <f>HYPERLINK("imagenes/NAUTICA_MENS_V825548_BLK_2.jpg","Ver imagen")</f>
        <v/>
      </c>
      <c r="Q3565">
        <f>HYPERLINK("imagenes/NAUTICA_MENS_V825548_BLK_3.jpg","Ver imagen")</f>
        <v/>
      </c>
    </row>
    <row r="3566">
      <c r="A3566" t="inlineStr">
        <is>
          <t>NAUTICA MENS</t>
        </is>
      </c>
      <c r="B3566" t="inlineStr">
        <is>
          <t>V825548</t>
        </is>
      </c>
      <c r="C3566" t="inlineStr">
        <is>
          <t>WOOL PEACOAT</t>
        </is>
      </c>
      <c r="D3566" t="inlineStr">
        <is>
          <t>BLK</t>
        </is>
      </c>
      <c r="E3566" t="inlineStr">
        <is>
          <t>(en blanco)</t>
        </is>
      </c>
      <c r="F3566" t="inlineStr">
        <is>
          <t>(en blanco)</t>
        </is>
      </c>
      <c r="G3566" t="inlineStr">
        <is>
          <t>XL</t>
        </is>
      </c>
      <c r="H3566" t="n">
        <v>1225</v>
      </c>
      <c r="I3566" t="inlineStr">
        <is>
          <t>NAUTICA_MENS_V825548_BLK_1.jpg</t>
        </is>
      </c>
      <c r="J3566" t="inlineStr">
        <is>
          <t>NAUTICA_MENS_V825548_BLK_2.jpg</t>
        </is>
      </c>
      <c r="K3566" t="inlineStr">
        <is>
          <t>NAUTICA_MENS_V825548_BLK_3.jpg</t>
        </is>
      </c>
      <c r="L3566">
        <f>IMAGE("file:///E:/Estudios%20y%20certificaciones/ESTUDIOS%20DE%20PROGRAMMING/PROGRAMMING/PERSONAL/PYTHON/Image_Generator_API/imagenes/NAUTICA_MENS_V825548_BLK_1.jpg")</f>
        <v/>
      </c>
      <c r="M3566">
        <f>IMAGE("file:///E:/Estudios%20y%20certificaciones/ESTUDIOS%20DE%20PROGRAMMING/PROGRAMMING/PERSONAL/PYTHON/Image_Generator_API/imagenes/NAUTICA_MENS_V825548_BLK_2.jpg")</f>
        <v/>
      </c>
      <c r="N3566">
        <f>IMAGE("file:///E:/Estudios%20y%20certificaciones/ESTUDIOS%20DE%20PROGRAMMING/PROGRAMMING/PERSONAL/PYTHON/Image_Generator_API/imagenes/NAUTICA_MENS_V825548_BLK_3.jpg")</f>
        <v/>
      </c>
      <c r="O3566">
        <f>HYPERLINK("imagenes/NAUTICA_MENS_V825548_BLK_1.jpg","Ver imagen")</f>
        <v/>
      </c>
      <c r="P3566">
        <f>HYPERLINK("imagenes/NAUTICA_MENS_V825548_BLK_2.jpg","Ver imagen")</f>
        <v/>
      </c>
      <c r="Q3566">
        <f>HYPERLINK("imagenes/NAUTICA_MENS_V825548_BLK_3.jpg","Ver imagen")</f>
        <v/>
      </c>
    </row>
    <row r="3567">
      <c r="A3567" t="inlineStr">
        <is>
          <t>NAUTICA MENS</t>
        </is>
      </c>
      <c r="B3567" t="inlineStr">
        <is>
          <t>V825548</t>
        </is>
      </c>
      <c r="C3567" t="inlineStr">
        <is>
          <t>WOOL PEACOAT</t>
        </is>
      </c>
      <c r="D3567" t="inlineStr">
        <is>
          <t>BLK</t>
        </is>
      </c>
      <c r="E3567" t="inlineStr">
        <is>
          <t>(en blanco)</t>
        </is>
      </c>
      <c r="F3567" t="inlineStr">
        <is>
          <t>(en blanco)</t>
        </is>
      </c>
      <c r="G3567" t="inlineStr">
        <is>
          <t>XXL</t>
        </is>
      </c>
      <c r="H3567" t="n">
        <v>278</v>
      </c>
      <c r="I3567" t="inlineStr">
        <is>
          <t>NAUTICA_MENS_V825548_BLK_1.jpg</t>
        </is>
      </c>
      <c r="J3567" t="inlineStr">
        <is>
          <t>NAUTICA_MENS_V825548_BLK_2.jpg</t>
        </is>
      </c>
      <c r="K3567" t="inlineStr">
        <is>
          <t>NAUTICA_MENS_V825548_BLK_3.jpg</t>
        </is>
      </c>
      <c r="L3567">
        <f>IMAGE("file:///E:/Estudios%20y%20certificaciones/ESTUDIOS%20DE%20PROGRAMMING/PROGRAMMING/PERSONAL/PYTHON/Image_Generator_API/imagenes/NAUTICA_MENS_V825548_BLK_1.jpg")</f>
        <v/>
      </c>
      <c r="M3567">
        <f>IMAGE("file:///E:/Estudios%20y%20certificaciones/ESTUDIOS%20DE%20PROGRAMMING/PROGRAMMING/PERSONAL/PYTHON/Image_Generator_API/imagenes/NAUTICA_MENS_V825548_BLK_2.jpg")</f>
        <v/>
      </c>
      <c r="N3567">
        <f>IMAGE("file:///E:/Estudios%20y%20certificaciones/ESTUDIOS%20DE%20PROGRAMMING/PROGRAMMING/PERSONAL/PYTHON/Image_Generator_API/imagenes/NAUTICA_MENS_V825548_BLK_3.jpg")</f>
        <v/>
      </c>
      <c r="O3567">
        <f>HYPERLINK("imagenes/NAUTICA_MENS_V825548_BLK_1.jpg","Ver imagen")</f>
        <v/>
      </c>
      <c r="P3567">
        <f>HYPERLINK("imagenes/NAUTICA_MENS_V825548_BLK_2.jpg","Ver imagen")</f>
        <v/>
      </c>
      <c r="Q3567">
        <f>HYPERLINK("imagenes/NAUTICA_MENS_V825548_BLK_3.jpg","Ver imagen")</f>
        <v/>
      </c>
    </row>
    <row r="3568">
      <c r="A3568" t="inlineStr">
        <is>
          <t>NAUTICA MENS</t>
        </is>
      </c>
      <c r="B3568" t="inlineStr">
        <is>
          <t>V825548</t>
        </is>
      </c>
      <c r="C3568" t="inlineStr">
        <is>
          <t>WOOL PEACOAT</t>
        </is>
      </c>
      <c r="D3568" t="inlineStr">
        <is>
          <t>BLK</t>
        </is>
      </c>
      <c r="E3568" t="inlineStr">
        <is>
          <t>(en blanco)</t>
        </is>
      </c>
      <c r="F3568" t="inlineStr">
        <is>
          <t>(en blanco)</t>
        </is>
      </c>
      <c r="G3568" t="inlineStr">
        <is>
          <t>3X</t>
        </is>
      </c>
      <c r="H3568" t="n">
        <v>10</v>
      </c>
      <c r="I3568" t="inlineStr">
        <is>
          <t>NAUTICA_MENS_V825548_BLK_1.jpg</t>
        </is>
      </c>
      <c r="J3568" t="inlineStr">
        <is>
          <t>NAUTICA_MENS_V825548_BLK_2.jpg</t>
        </is>
      </c>
      <c r="K3568" t="inlineStr">
        <is>
          <t>NAUTICA_MENS_V825548_BLK_3.jpg</t>
        </is>
      </c>
      <c r="L3568">
        <f>IMAGE("file:///E:/Estudios%20y%20certificaciones/ESTUDIOS%20DE%20PROGRAMMING/PROGRAMMING/PERSONAL/PYTHON/Image_Generator_API/imagenes/NAUTICA_MENS_V825548_BLK_1.jpg")</f>
        <v/>
      </c>
      <c r="M3568">
        <f>IMAGE("file:///E:/Estudios%20y%20certificaciones/ESTUDIOS%20DE%20PROGRAMMING/PROGRAMMING/PERSONAL/PYTHON/Image_Generator_API/imagenes/NAUTICA_MENS_V825548_BLK_2.jpg")</f>
        <v/>
      </c>
      <c r="N3568">
        <f>IMAGE("file:///E:/Estudios%20y%20certificaciones/ESTUDIOS%20DE%20PROGRAMMING/PROGRAMMING/PERSONAL/PYTHON/Image_Generator_API/imagenes/NAUTICA_MENS_V825548_BLK_3.jpg")</f>
        <v/>
      </c>
      <c r="O3568">
        <f>HYPERLINK("imagenes/NAUTICA_MENS_V825548_BLK_1.jpg","Ver imagen")</f>
        <v/>
      </c>
      <c r="P3568">
        <f>HYPERLINK("imagenes/NAUTICA_MENS_V825548_BLK_2.jpg","Ver imagen")</f>
        <v/>
      </c>
      <c r="Q3568">
        <f>HYPERLINK("imagenes/NAUTICA_MENS_V825548_BLK_3.jpg","Ver imagen")</f>
        <v/>
      </c>
    </row>
    <row r="3569">
      <c r="A3569" t="inlineStr">
        <is>
          <t>NAUTICA MENS</t>
        </is>
      </c>
      <c r="B3569" t="inlineStr">
        <is>
          <t>V825548</t>
        </is>
      </c>
      <c r="C3569" t="inlineStr">
        <is>
          <t>WOOL PEACOAT</t>
        </is>
      </c>
      <c r="D3569" t="inlineStr">
        <is>
          <t>CAM</t>
        </is>
      </c>
      <c r="E3569" t="inlineStr">
        <is>
          <t>(en blanco)</t>
        </is>
      </c>
      <c r="F3569" t="inlineStr">
        <is>
          <t>D2C</t>
        </is>
      </c>
      <c r="G3569" t="inlineStr">
        <is>
          <t>S</t>
        </is>
      </c>
      <c r="H3569" t="n">
        <v>10</v>
      </c>
      <c r="I3569" t="inlineStr">
        <is>
          <t>NAUTICA_MENS_V825548_CAM_1.jpg</t>
        </is>
      </c>
      <c r="J3569" t="inlineStr">
        <is>
          <t>NAUTICA_MENS_V825548_CAM_2.jpg</t>
        </is>
      </c>
      <c r="K3569" t="inlineStr">
        <is>
          <t>NAUTICA_MENS_V825548_CAM_3.jpg</t>
        </is>
      </c>
      <c r="L3569">
        <f>IMAGE("file:///E:/Estudios%20y%20certificaciones/ESTUDIOS%20DE%20PROGRAMMING/PROGRAMMING/PERSONAL/PYTHON/Image_Generator_API/imagenes/NAUTICA_MENS_V825548_CAM_1.jpg")</f>
        <v/>
      </c>
      <c r="M3569">
        <f>IMAGE("file:///E:/Estudios%20y%20certificaciones/ESTUDIOS%20DE%20PROGRAMMING/PROGRAMMING/PERSONAL/PYTHON/Image_Generator_API/imagenes/NAUTICA_MENS_V825548_CAM_2.jpg")</f>
        <v/>
      </c>
      <c r="N3569">
        <f>IMAGE("file:///E:/Estudios%20y%20certificaciones/ESTUDIOS%20DE%20PROGRAMMING/PROGRAMMING/PERSONAL/PYTHON/Image_Generator_API/imagenes/NAUTICA_MENS_V825548_CAM_3.jpg")</f>
        <v/>
      </c>
      <c r="O3569">
        <f>HYPERLINK("imagenes/NAUTICA_MENS_V825548_CAM_1.jpg","Ver imagen")</f>
        <v/>
      </c>
      <c r="P3569">
        <f>HYPERLINK("imagenes/NAUTICA_MENS_V825548_CAM_2.jpg","Ver imagen")</f>
        <v/>
      </c>
      <c r="Q3569">
        <f>HYPERLINK("imagenes/NAUTICA_MENS_V825548_CAM_3.jpg","Ver imagen")</f>
        <v/>
      </c>
    </row>
    <row r="3570">
      <c r="A3570" t="inlineStr">
        <is>
          <t>NAUTICA MENS</t>
        </is>
      </c>
      <c r="B3570" t="inlineStr">
        <is>
          <t>V825548</t>
        </is>
      </c>
      <c r="C3570" t="inlineStr">
        <is>
          <t>WOOL PEACOAT</t>
        </is>
      </c>
      <c r="D3570" t="inlineStr">
        <is>
          <t>CAM</t>
        </is>
      </c>
      <c r="E3570" t="inlineStr">
        <is>
          <t>(en blanco)</t>
        </is>
      </c>
      <c r="F3570" t="inlineStr">
        <is>
          <t>D2C</t>
        </is>
      </c>
      <c r="G3570" t="inlineStr">
        <is>
          <t>M</t>
        </is>
      </c>
      <c r="H3570" t="n">
        <v>10</v>
      </c>
      <c r="I3570" t="inlineStr">
        <is>
          <t>NAUTICA_MENS_V825548_CAM_1.jpg</t>
        </is>
      </c>
      <c r="J3570" t="inlineStr">
        <is>
          <t>NAUTICA_MENS_V825548_CAM_2.jpg</t>
        </is>
      </c>
      <c r="K3570" t="inlineStr">
        <is>
          <t>NAUTICA_MENS_V825548_CAM_3.jpg</t>
        </is>
      </c>
      <c r="L3570">
        <f>IMAGE("file:///E:/Estudios%20y%20certificaciones/ESTUDIOS%20DE%20PROGRAMMING/PROGRAMMING/PERSONAL/PYTHON/Image_Generator_API/imagenes/NAUTICA_MENS_V825548_CAM_1.jpg")</f>
        <v/>
      </c>
      <c r="M3570">
        <f>IMAGE("file:///E:/Estudios%20y%20certificaciones/ESTUDIOS%20DE%20PROGRAMMING/PROGRAMMING/PERSONAL/PYTHON/Image_Generator_API/imagenes/NAUTICA_MENS_V825548_CAM_2.jpg")</f>
        <v/>
      </c>
      <c r="N3570">
        <f>IMAGE("file:///E:/Estudios%20y%20certificaciones/ESTUDIOS%20DE%20PROGRAMMING/PROGRAMMING/PERSONAL/PYTHON/Image_Generator_API/imagenes/NAUTICA_MENS_V825548_CAM_3.jpg")</f>
        <v/>
      </c>
      <c r="O3570">
        <f>HYPERLINK("imagenes/NAUTICA_MENS_V825548_CAM_1.jpg","Ver imagen")</f>
        <v/>
      </c>
      <c r="P3570">
        <f>HYPERLINK("imagenes/NAUTICA_MENS_V825548_CAM_2.jpg","Ver imagen")</f>
        <v/>
      </c>
      <c r="Q3570">
        <f>HYPERLINK("imagenes/NAUTICA_MENS_V825548_CAM_3.jpg","Ver imagen")</f>
        <v/>
      </c>
    </row>
    <row r="3571">
      <c r="A3571" t="inlineStr">
        <is>
          <t>NAUTICA MENS</t>
        </is>
      </c>
      <c r="B3571" t="inlineStr">
        <is>
          <t>V825548</t>
        </is>
      </c>
      <c r="C3571" t="inlineStr">
        <is>
          <t>WOOL PEACOAT</t>
        </is>
      </c>
      <c r="D3571" t="inlineStr">
        <is>
          <t>CAM</t>
        </is>
      </c>
      <c r="E3571" t="inlineStr">
        <is>
          <t>(en blanco)</t>
        </is>
      </c>
      <c r="F3571" t="inlineStr">
        <is>
          <t>D2C</t>
        </is>
      </c>
      <c r="G3571" t="inlineStr">
        <is>
          <t>L</t>
        </is>
      </c>
      <c r="H3571" t="n">
        <v>10</v>
      </c>
      <c r="I3571" t="inlineStr">
        <is>
          <t>NAUTICA_MENS_V825548_CAM_1.jpg</t>
        </is>
      </c>
      <c r="J3571" t="inlineStr">
        <is>
          <t>NAUTICA_MENS_V825548_CAM_2.jpg</t>
        </is>
      </c>
      <c r="K3571" t="inlineStr">
        <is>
          <t>NAUTICA_MENS_V825548_CAM_3.jpg</t>
        </is>
      </c>
      <c r="L3571">
        <f>IMAGE("file:///E:/Estudios%20y%20certificaciones/ESTUDIOS%20DE%20PROGRAMMING/PROGRAMMING/PERSONAL/PYTHON/Image_Generator_API/imagenes/NAUTICA_MENS_V825548_CAM_1.jpg")</f>
        <v/>
      </c>
      <c r="M3571">
        <f>IMAGE("file:///E:/Estudios%20y%20certificaciones/ESTUDIOS%20DE%20PROGRAMMING/PROGRAMMING/PERSONAL/PYTHON/Image_Generator_API/imagenes/NAUTICA_MENS_V825548_CAM_2.jpg")</f>
        <v/>
      </c>
      <c r="N3571">
        <f>IMAGE("file:///E:/Estudios%20y%20certificaciones/ESTUDIOS%20DE%20PROGRAMMING/PROGRAMMING/PERSONAL/PYTHON/Image_Generator_API/imagenes/NAUTICA_MENS_V825548_CAM_3.jpg")</f>
        <v/>
      </c>
      <c r="O3571">
        <f>HYPERLINK("imagenes/NAUTICA_MENS_V825548_CAM_1.jpg","Ver imagen")</f>
        <v/>
      </c>
      <c r="P3571">
        <f>HYPERLINK("imagenes/NAUTICA_MENS_V825548_CAM_2.jpg","Ver imagen")</f>
        <v/>
      </c>
      <c r="Q3571">
        <f>HYPERLINK("imagenes/NAUTICA_MENS_V825548_CAM_3.jpg","Ver imagen")</f>
        <v/>
      </c>
    </row>
    <row r="3572">
      <c r="A3572" t="inlineStr">
        <is>
          <t>NAUTICA MENS</t>
        </is>
      </c>
      <c r="B3572" t="inlineStr">
        <is>
          <t>V825548</t>
        </is>
      </c>
      <c r="C3572" t="inlineStr">
        <is>
          <t>WOOL PEACOAT</t>
        </is>
      </c>
      <c r="D3572" t="inlineStr">
        <is>
          <t>CAM</t>
        </is>
      </c>
      <c r="E3572" t="inlineStr">
        <is>
          <t>(en blanco)</t>
        </is>
      </c>
      <c r="F3572" t="inlineStr">
        <is>
          <t>D2C</t>
        </is>
      </c>
      <c r="G3572" t="inlineStr">
        <is>
          <t>XXL</t>
        </is>
      </c>
      <c r="H3572" t="n">
        <v>10</v>
      </c>
      <c r="I3572" t="inlineStr">
        <is>
          <t>NAUTICA_MENS_V825548_CAM_1.jpg</t>
        </is>
      </c>
      <c r="J3572" t="inlineStr">
        <is>
          <t>NAUTICA_MENS_V825548_CAM_2.jpg</t>
        </is>
      </c>
      <c r="K3572" t="inlineStr">
        <is>
          <t>NAUTICA_MENS_V825548_CAM_3.jpg</t>
        </is>
      </c>
      <c r="L3572">
        <f>IMAGE("file:///E:/Estudios%20y%20certificaciones/ESTUDIOS%20DE%20PROGRAMMING/PROGRAMMING/PERSONAL/PYTHON/Image_Generator_API/imagenes/NAUTICA_MENS_V825548_CAM_1.jpg")</f>
        <v/>
      </c>
      <c r="M3572">
        <f>IMAGE("file:///E:/Estudios%20y%20certificaciones/ESTUDIOS%20DE%20PROGRAMMING/PROGRAMMING/PERSONAL/PYTHON/Image_Generator_API/imagenes/NAUTICA_MENS_V825548_CAM_2.jpg")</f>
        <v/>
      </c>
      <c r="N3572">
        <f>IMAGE("file:///E:/Estudios%20y%20certificaciones/ESTUDIOS%20DE%20PROGRAMMING/PROGRAMMING/PERSONAL/PYTHON/Image_Generator_API/imagenes/NAUTICA_MENS_V825548_CAM_3.jpg")</f>
        <v/>
      </c>
      <c r="O3572">
        <f>HYPERLINK("imagenes/NAUTICA_MENS_V825548_CAM_1.jpg","Ver imagen")</f>
        <v/>
      </c>
      <c r="P3572">
        <f>HYPERLINK("imagenes/NAUTICA_MENS_V825548_CAM_2.jpg","Ver imagen")</f>
        <v/>
      </c>
      <c r="Q3572">
        <f>HYPERLINK("imagenes/NAUTICA_MENS_V825548_CAM_3.jpg","Ver imagen")</f>
        <v/>
      </c>
    </row>
    <row r="3573">
      <c r="A3573" t="inlineStr">
        <is>
          <t>NAUTICA MENS</t>
        </is>
      </c>
      <c r="B3573" t="inlineStr">
        <is>
          <t>V825548</t>
        </is>
      </c>
      <c r="C3573" t="inlineStr">
        <is>
          <t>WOOL PEACOAT</t>
        </is>
      </c>
      <c r="D3573" t="inlineStr">
        <is>
          <t>CAM</t>
        </is>
      </c>
      <c r="E3573" t="inlineStr">
        <is>
          <t>(en blanco)</t>
        </is>
      </c>
      <c r="F3573" t="inlineStr">
        <is>
          <t>(en blanco)</t>
        </is>
      </c>
      <c r="G3573" t="inlineStr">
        <is>
          <t>S</t>
        </is>
      </c>
      <c r="H3573" t="n">
        <v>77</v>
      </c>
      <c r="I3573" t="inlineStr">
        <is>
          <t>NAUTICA_MENS_V825548_CAM_1.jpg</t>
        </is>
      </c>
      <c r="J3573" t="inlineStr">
        <is>
          <t>NAUTICA_MENS_V825548_CAM_2.jpg</t>
        </is>
      </c>
      <c r="K3573" t="inlineStr">
        <is>
          <t>NAUTICA_MENS_V825548_CAM_3.jpg</t>
        </is>
      </c>
      <c r="L3573">
        <f>IMAGE("file:///E:/Estudios%20y%20certificaciones/ESTUDIOS%20DE%20PROGRAMMING/PROGRAMMING/PERSONAL/PYTHON/Image_Generator_API/imagenes/NAUTICA_MENS_V825548_CAM_1.jpg")</f>
        <v/>
      </c>
      <c r="M3573">
        <f>IMAGE("file:///E:/Estudios%20y%20certificaciones/ESTUDIOS%20DE%20PROGRAMMING/PROGRAMMING/PERSONAL/PYTHON/Image_Generator_API/imagenes/NAUTICA_MENS_V825548_CAM_2.jpg")</f>
        <v/>
      </c>
      <c r="N3573">
        <f>IMAGE("file:///E:/Estudios%20y%20certificaciones/ESTUDIOS%20DE%20PROGRAMMING/PROGRAMMING/PERSONAL/PYTHON/Image_Generator_API/imagenes/NAUTICA_MENS_V825548_CAM_3.jpg")</f>
        <v/>
      </c>
      <c r="O3573">
        <f>HYPERLINK("imagenes/NAUTICA_MENS_V825548_CAM_1.jpg","Ver imagen")</f>
        <v/>
      </c>
      <c r="P3573">
        <f>HYPERLINK("imagenes/NAUTICA_MENS_V825548_CAM_2.jpg","Ver imagen")</f>
        <v/>
      </c>
      <c r="Q3573">
        <f>HYPERLINK("imagenes/NAUTICA_MENS_V825548_CAM_3.jpg","Ver imagen")</f>
        <v/>
      </c>
    </row>
    <row r="3574">
      <c r="A3574" t="inlineStr">
        <is>
          <t>NAUTICA MENS</t>
        </is>
      </c>
      <c r="B3574" t="inlineStr">
        <is>
          <t>V825548</t>
        </is>
      </c>
      <c r="C3574" t="inlineStr">
        <is>
          <t>WOOL PEACOAT</t>
        </is>
      </c>
      <c r="D3574" t="inlineStr">
        <is>
          <t>CAM</t>
        </is>
      </c>
      <c r="E3574" t="inlineStr">
        <is>
          <t>(en blanco)</t>
        </is>
      </c>
      <c r="F3574" t="inlineStr">
        <is>
          <t>(en blanco)</t>
        </is>
      </c>
      <c r="G3574" t="inlineStr">
        <is>
          <t>M</t>
        </is>
      </c>
      <c r="H3574" t="n">
        <v>73</v>
      </c>
      <c r="I3574" t="inlineStr">
        <is>
          <t>NAUTICA_MENS_V825548_CAM_1.jpg</t>
        </is>
      </c>
      <c r="J3574" t="inlineStr">
        <is>
          <t>NAUTICA_MENS_V825548_CAM_2.jpg</t>
        </is>
      </c>
      <c r="K3574" t="inlineStr">
        <is>
          <t>NAUTICA_MENS_V825548_CAM_3.jpg</t>
        </is>
      </c>
      <c r="L3574">
        <f>IMAGE("file:///E:/Estudios%20y%20certificaciones/ESTUDIOS%20DE%20PROGRAMMING/PROGRAMMING/PERSONAL/PYTHON/Image_Generator_API/imagenes/NAUTICA_MENS_V825548_CAM_1.jpg")</f>
        <v/>
      </c>
      <c r="M3574">
        <f>IMAGE("file:///E:/Estudios%20y%20certificaciones/ESTUDIOS%20DE%20PROGRAMMING/PROGRAMMING/PERSONAL/PYTHON/Image_Generator_API/imagenes/NAUTICA_MENS_V825548_CAM_2.jpg")</f>
        <v/>
      </c>
      <c r="N3574">
        <f>IMAGE("file:///E:/Estudios%20y%20certificaciones/ESTUDIOS%20DE%20PROGRAMMING/PROGRAMMING/PERSONAL/PYTHON/Image_Generator_API/imagenes/NAUTICA_MENS_V825548_CAM_3.jpg")</f>
        <v/>
      </c>
      <c r="O3574">
        <f>HYPERLINK("imagenes/NAUTICA_MENS_V825548_CAM_1.jpg","Ver imagen")</f>
        <v/>
      </c>
      <c r="P3574">
        <f>HYPERLINK("imagenes/NAUTICA_MENS_V825548_CAM_2.jpg","Ver imagen")</f>
        <v/>
      </c>
      <c r="Q3574">
        <f>HYPERLINK("imagenes/NAUTICA_MENS_V825548_CAM_3.jpg","Ver imagen")</f>
        <v/>
      </c>
    </row>
    <row r="3575">
      <c r="A3575" t="inlineStr">
        <is>
          <t>NAUTICA MENS</t>
        </is>
      </c>
      <c r="B3575" t="inlineStr">
        <is>
          <t>V825548</t>
        </is>
      </c>
      <c r="C3575" t="inlineStr">
        <is>
          <t>WOOL PEACOAT</t>
        </is>
      </c>
      <c r="D3575" t="inlineStr">
        <is>
          <t>CAM</t>
        </is>
      </c>
      <c r="E3575" t="inlineStr">
        <is>
          <t>(en blanco)</t>
        </is>
      </c>
      <c r="F3575" t="inlineStr">
        <is>
          <t>(en blanco)</t>
        </is>
      </c>
      <c r="G3575" t="inlineStr">
        <is>
          <t>L</t>
        </is>
      </c>
      <c r="H3575" t="n">
        <v>133</v>
      </c>
      <c r="I3575" t="inlineStr">
        <is>
          <t>NAUTICA_MENS_V825548_CAM_1.jpg</t>
        </is>
      </c>
      <c r="J3575" t="inlineStr">
        <is>
          <t>NAUTICA_MENS_V825548_CAM_2.jpg</t>
        </is>
      </c>
      <c r="K3575" t="inlineStr">
        <is>
          <t>NAUTICA_MENS_V825548_CAM_3.jpg</t>
        </is>
      </c>
      <c r="L3575">
        <f>IMAGE("file:///E:/Estudios%20y%20certificaciones/ESTUDIOS%20DE%20PROGRAMMING/PROGRAMMING/PERSONAL/PYTHON/Image_Generator_API/imagenes/NAUTICA_MENS_V825548_CAM_1.jpg")</f>
        <v/>
      </c>
      <c r="M3575">
        <f>IMAGE("file:///E:/Estudios%20y%20certificaciones/ESTUDIOS%20DE%20PROGRAMMING/PROGRAMMING/PERSONAL/PYTHON/Image_Generator_API/imagenes/NAUTICA_MENS_V825548_CAM_2.jpg")</f>
        <v/>
      </c>
      <c r="N3575">
        <f>IMAGE("file:///E:/Estudios%20y%20certificaciones/ESTUDIOS%20DE%20PROGRAMMING/PROGRAMMING/PERSONAL/PYTHON/Image_Generator_API/imagenes/NAUTICA_MENS_V825548_CAM_3.jpg")</f>
        <v/>
      </c>
      <c r="O3575">
        <f>HYPERLINK("imagenes/NAUTICA_MENS_V825548_CAM_1.jpg","Ver imagen")</f>
        <v/>
      </c>
      <c r="P3575">
        <f>HYPERLINK("imagenes/NAUTICA_MENS_V825548_CAM_2.jpg","Ver imagen")</f>
        <v/>
      </c>
      <c r="Q3575">
        <f>HYPERLINK("imagenes/NAUTICA_MENS_V825548_CAM_3.jpg","Ver imagen")</f>
        <v/>
      </c>
    </row>
    <row r="3576">
      <c r="A3576" t="inlineStr">
        <is>
          <t>NAUTICA MENS</t>
        </is>
      </c>
      <c r="B3576" t="inlineStr">
        <is>
          <t>V825548</t>
        </is>
      </c>
      <c r="C3576" t="inlineStr">
        <is>
          <t>WOOL PEACOAT</t>
        </is>
      </c>
      <c r="D3576" t="inlineStr">
        <is>
          <t>CAM</t>
        </is>
      </c>
      <c r="E3576" t="inlineStr">
        <is>
          <t>(en blanco)</t>
        </is>
      </c>
      <c r="F3576" t="inlineStr">
        <is>
          <t>(en blanco)</t>
        </is>
      </c>
      <c r="G3576" t="inlineStr">
        <is>
          <t>XL</t>
        </is>
      </c>
      <c r="H3576" t="n">
        <v>7</v>
      </c>
      <c r="I3576" t="inlineStr">
        <is>
          <t>NAUTICA_MENS_V825548_CAM_1.jpg</t>
        </is>
      </c>
      <c r="J3576" t="inlineStr">
        <is>
          <t>NAUTICA_MENS_V825548_CAM_2.jpg</t>
        </is>
      </c>
      <c r="K3576" t="inlineStr">
        <is>
          <t>NAUTICA_MENS_V825548_CAM_3.jpg</t>
        </is>
      </c>
      <c r="L3576">
        <f>IMAGE("file:///E:/Estudios%20y%20certificaciones/ESTUDIOS%20DE%20PROGRAMMING/PROGRAMMING/PERSONAL/PYTHON/Image_Generator_API/imagenes/NAUTICA_MENS_V825548_CAM_1.jpg")</f>
        <v/>
      </c>
      <c r="M3576">
        <f>IMAGE("file:///E:/Estudios%20y%20certificaciones/ESTUDIOS%20DE%20PROGRAMMING/PROGRAMMING/PERSONAL/PYTHON/Image_Generator_API/imagenes/NAUTICA_MENS_V825548_CAM_2.jpg")</f>
        <v/>
      </c>
      <c r="N3576">
        <f>IMAGE("file:///E:/Estudios%20y%20certificaciones/ESTUDIOS%20DE%20PROGRAMMING/PROGRAMMING/PERSONAL/PYTHON/Image_Generator_API/imagenes/NAUTICA_MENS_V825548_CAM_3.jpg")</f>
        <v/>
      </c>
      <c r="O3576">
        <f>HYPERLINK("imagenes/NAUTICA_MENS_V825548_CAM_1.jpg","Ver imagen")</f>
        <v/>
      </c>
      <c r="P3576">
        <f>HYPERLINK("imagenes/NAUTICA_MENS_V825548_CAM_2.jpg","Ver imagen")</f>
        <v/>
      </c>
      <c r="Q3576">
        <f>HYPERLINK("imagenes/NAUTICA_MENS_V825548_CAM_3.jpg","Ver imagen")</f>
        <v/>
      </c>
    </row>
    <row r="3577">
      <c r="A3577" t="inlineStr">
        <is>
          <t>NAUTICA MENS</t>
        </is>
      </c>
      <c r="B3577" t="inlineStr">
        <is>
          <t>V825548</t>
        </is>
      </c>
      <c r="C3577" t="inlineStr">
        <is>
          <t>WOOL PEACOAT</t>
        </is>
      </c>
      <c r="D3577" t="inlineStr">
        <is>
          <t>CAM</t>
        </is>
      </c>
      <c r="E3577" t="inlineStr">
        <is>
          <t>(en blanco)</t>
        </is>
      </c>
      <c r="F3577" t="inlineStr">
        <is>
          <t>(en blanco)</t>
        </is>
      </c>
      <c r="G3577" t="inlineStr">
        <is>
          <t>XXL</t>
        </is>
      </c>
      <c r="H3577" t="n">
        <v>11</v>
      </c>
      <c r="I3577" t="inlineStr">
        <is>
          <t>NAUTICA_MENS_V825548_CAM_1.jpg</t>
        </is>
      </c>
      <c r="J3577" t="inlineStr">
        <is>
          <t>NAUTICA_MENS_V825548_CAM_2.jpg</t>
        </is>
      </c>
      <c r="K3577" t="inlineStr">
        <is>
          <t>NAUTICA_MENS_V825548_CAM_3.jpg</t>
        </is>
      </c>
      <c r="L3577">
        <f>IMAGE("file:///E:/Estudios%20y%20certificaciones/ESTUDIOS%20DE%20PROGRAMMING/PROGRAMMING/PERSONAL/PYTHON/Image_Generator_API/imagenes/NAUTICA_MENS_V825548_CAM_1.jpg")</f>
        <v/>
      </c>
      <c r="M3577">
        <f>IMAGE("file:///E:/Estudios%20y%20certificaciones/ESTUDIOS%20DE%20PROGRAMMING/PROGRAMMING/PERSONAL/PYTHON/Image_Generator_API/imagenes/NAUTICA_MENS_V825548_CAM_2.jpg")</f>
        <v/>
      </c>
      <c r="N3577">
        <f>IMAGE("file:///E:/Estudios%20y%20certificaciones/ESTUDIOS%20DE%20PROGRAMMING/PROGRAMMING/PERSONAL/PYTHON/Image_Generator_API/imagenes/NAUTICA_MENS_V825548_CAM_3.jpg")</f>
        <v/>
      </c>
      <c r="O3577">
        <f>HYPERLINK("imagenes/NAUTICA_MENS_V825548_CAM_1.jpg","Ver imagen")</f>
        <v/>
      </c>
      <c r="P3577">
        <f>HYPERLINK("imagenes/NAUTICA_MENS_V825548_CAM_2.jpg","Ver imagen")</f>
        <v/>
      </c>
      <c r="Q3577">
        <f>HYPERLINK("imagenes/NAUTICA_MENS_V825548_CAM_3.jpg","Ver imagen")</f>
        <v/>
      </c>
    </row>
    <row r="3578">
      <c r="A3578" t="inlineStr">
        <is>
          <t>NAUTICA MENS</t>
        </is>
      </c>
      <c r="B3578" t="inlineStr">
        <is>
          <t>V825548</t>
        </is>
      </c>
      <c r="C3578" t="inlineStr">
        <is>
          <t>WOOL PEACOAT</t>
        </is>
      </c>
      <c r="D3578" t="inlineStr">
        <is>
          <t>CHR</t>
        </is>
      </c>
      <c r="E3578" t="inlineStr">
        <is>
          <t>(en blanco)</t>
        </is>
      </c>
      <c r="F3578" t="inlineStr">
        <is>
          <t>D2C</t>
        </is>
      </c>
      <c r="G3578" t="inlineStr">
        <is>
          <t>S</t>
        </is>
      </c>
      <c r="H3578" t="n">
        <v>20</v>
      </c>
      <c r="I3578" t="inlineStr">
        <is>
          <t>NAUTICA_MENS_V825548_CHR_1.jpg</t>
        </is>
      </c>
      <c r="J3578" t="inlineStr">
        <is>
          <t>NAUTICA_MENS_V825548_CHR_2.jpg</t>
        </is>
      </c>
      <c r="K3578" t="inlineStr">
        <is>
          <t>NAUTICA_MENS_V825548_CHR_3.jpg</t>
        </is>
      </c>
      <c r="L3578">
        <f>IMAGE("file:///E:/Estudios%20y%20certificaciones/ESTUDIOS%20DE%20PROGRAMMING/PROGRAMMING/PERSONAL/PYTHON/Image_Generator_API/imagenes/NAUTICA_MENS_V825548_CHR_1.jpg")</f>
        <v/>
      </c>
      <c r="M3578">
        <f>IMAGE("file:///E:/Estudios%20y%20certificaciones/ESTUDIOS%20DE%20PROGRAMMING/PROGRAMMING/PERSONAL/PYTHON/Image_Generator_API/imagenes/NAUTICA_MENS_V825548_CHR_2.jpg")</f>
        <v/>
      </c>
      <c r="N3578">
        <f>IMAGE("file:///E:/Estudios%20y%20certificaciones/ESTUDIOS%20DE%20PROGRAMMING/PROGRAMMING/PERSONAL/PYTHON/Image_Generator_API/imagenes/NAUTICA_MENS_V825548_CHR_3.jpg")</f>
        <v/>
      </c>
      <c r="O3578">
        <f>HYPERLINK("imagenes/NAUTICA_MENS_V825548_CHR_1.jpg","Ver imagen")</f>
        <v/>
      </c>
      <c r="P3578">
        <f>HYPERLINK("imagenes/NAUTICA_MENS_V825548_CHR_2.jpg","Ver imagen")</f>
        <v/>
      </c>
      <c r="Q3578">
        <f>HYPERLINK("imagenes/NAUTICA_MENS_V825548_CHR_3.jpg","Ver imagen")</f>
        <v/>
      </c>
    </row>
    <row r="3579">
      <c r="A3579" t="inlineStr">
        <is>
          <t>NAUTICA MENS</t>
        </is>
      </c>
      <c r="B3579" t="inlineStr">
        <is>
          <t>V825548</t>
        </is>
      </c>
      <c r="C3579" t="inlineStr">
        <is>
          <t>WOOL PEACOAT</t>
        </is>
      </c>
      <c r="D3579" t="inlineStr">
        <is>
          <t>CHR</t>
        </is>
      </c>
      <c r="E3579" t="inlineStr">
        <is>
          <t>(en blanco)</t>
        </is>
      </c>
      <c r="F3579" t="inlineStr">
        <is>
          <t>D2C</t>
        </is>
      </c>
      <c r="G3579" t="inlineStr">
        <is>
          <t>M</t>
        </is>
      </c>
      <c r="H3579" t="n">
        <v>20</v>
      </c>
      <c r="I3579" t="inlineStr">
        <is>
          <t>NAUTICA_MENS_V825548_CHR_1.jpg</t>
        </is>
      </c>
      <c r="J3579" t="inlineStr">
        <is>
          <t>NAUTICA_MENS_V825548_CHR_2.jpg</t>
        </is>
      </c>
      <c r="K3579" t="inlineStr">
        <is>
          <t>NAUTICA_MENS_V825548_CHR_3.jpg</t>
        </is>
      </c>
      <c r="L3579">
        <f>IMAGE("file:///E:/Estudios%20y%20certificaciones/ESTUDIOS%20DE%20PROGRAMMING/PROGRAMMING/PERSONAL/PYTHON/Image_Generator_API/imagenes/NAUTICA_MENS_V825548_CHR_1.jpg")</f>
        <v/>
      </c>
      <c r="M3579">
        <f>IMAGE("file:///E:/Estudios%20y%20certificaciones/ESTUDIOS%20DE%20PROGRAMMING/PROGRAMMING/PERSONAL/PYTHON/Image_Generator_API/imagenes/NAUTICA_MENS_V825548_CHR_2.jpg")</f>
        <v/>
      </c>
      <c r="N3579">
        <f>IMAGE("file:///E:/Estudios%20y%20certificaciones/ESTUDIOS%20DE%20PROGRAMMING/PROGRAMMING/PERSONAL/PYTHON/Image_Generator_API/imagenes/NAUTICA_MENS_V825548_CHR_3.jpg")</f>
        <v/>
      </c>
      <c r="O3579">
        <f>HYPERLINK("imagenes/NAUTICA_MENS_V825548_CHR_1.jpg","Ver imagen")</f>
        <v/>
      </c>
      <c r="P3579">
        <f>HYPERLINK("imagenes/NAUTICA_MENS_V825548_CHR_2.jpg","Ver imagen")</f>
        <v/>
      </c>
      <c r="Q3579">
        <f>HYPERLINK("imagenes/NAUTICA_MENS_V825548_CHR_3.jpg","Ver imagen")</f>
        <v/>
      </c>
    </row>
    <row r="3580">
      <c r="A3580" t="inlineStr">
        <is>
          <t>NAUTICA MENS</t>
        </is>
      </c>
      <c r="B3580" t="inlineStr">
        <is>
          <t>V825548</t>
        </is>
      </c>
      <c r="C3580" t="inlineStr">
        <is>
          <t>WOOL PEACOAT</t>
        </is>
      </c>
      <c r="D3580" t="inlineStr">
        <is>
          <t>CHR</t>
        </is>
      </c>
      <c r="E3580" t="inlineStr">
        <is>
          <t>(en blanco)</t>
        </is>
      </c>
      <c r="F3580" t="inlineStr">
        <is>
          <t>D2C</t>
        </is>
      </c>
      <c r="G3580" t="inlineStr">
        <is>
          <t>L</t>
        </is>
      </c>
      <c r="H3580" t="n">
        <v>20</v>
      </c>
      <c r="I3580" t="inlineStr">
        <is>
          <t>NAUTICA_MENS_V825548_CHR_1.jpg</t>
        </is>
      </c>
      <c r="J3580" t="inlineStr">
        <is>
          <t>NAUTICA_MENS_V825548_CHR_2.jpg</t>
        </is>
      </c>
      <c r="K3580" t="inlineStr">
        <is>
          <t>NAUTICA_MENS_V825548_CHR_3.jpg</t>
        </is>
      </c>
      <c r="L3580">
        <f>IMAGE("file:///E:/Estudios%20y%20certificaciones/ESTUDIOS%20DE%20PROGRAMMING/PROGRAMMING/PERSONAL/PYTHON/Image_Generator_API/imagenes/NAUTICA_MENS_V825548_CHR_1.jpg")</f>
        <v/>
      </c>
      <c r="M3580">
        <f>IMAGE("file:///E:/Estudios%20y%20certificaciones/ESTUDIOS%20DE%20PROGRAMMING/PROGRAMMING/PERSONAL/PYTHON/Image_Generator_API/imagenes/NAUTICA_MENS_V825548_CHR_2.jpg")</f>
        <v/>
      </c>
      <c r="N3580">
        <f>IMAGE("file:///E:/Estudios%20y%20certificaciones/ESTUDIOS%20DE%20PROGRAMMING/PROGRAMMING/PERSONAL/PYTHON/Image_Generator_API/imagenes/NAUTICA_MENS_V825548_CHR_3.jpg")</f>
        <v/>
      </c>
      <c r="O3580">
        <f>HYPERLINK("imagenes/NAUTICA_MENS_V825548_CHR_1.jpg","Ver imagen")</f>
        <v/>
      </c>
      <c r="P3580">
        <f>HYPERLINK("imagenes/NAUTICA_MENS_V825548_CHR_2.jpg","Ver imagen")</f>
        <v/>
      </c>
      <c r="Q3580">
        <f>HYPERLINK("imagenes/NAUTICA_MENS_V825548_CHR_3.jpg","Ver imagen")</f>
        <v/>
      </c>
    </row>
    <row r="3581">
      <c r="A3581" t="inlineStr">
        <is>
          <t>NAUTICA MENS</t>
        </is>
      </c>
      <c r="B3581" t="inlineStr">
        <is>
          <t>V825548</t>
        </is>
      </c>
      <c r="C3581" t="inlineStr">
        <is>
          <t>WOOL PEACOAT</t>
        </is>
      </c>
      <c r="D3581" t="inlineStr">
        <is>
          <t>CHR</t>
        </is>
      </c>
      <c r="E3581" t="inlineStr">
        <is>
          <t>(en blanco)</t>
        </is>
      </c>
      <c r="F3581" t="inlineStr">
        <is>
          <t>D2C</t>
        </is>
      </c>
      <c r="G3581" t="inlineStr">
        <is>
          <t>XL</t>
        </is>
      </c>
      <c r="H3581" t="n">
        <v>20</v>
      </c>
      <c r="I3581" t="inlineStr">
        <is>
          <t>NAUTICA_MENS_V825548_CHR_1.jpg</t>
        </is>
      </c>
      <c r="J3581" t="inlineStr">
        <is>
          <t>NAUTICA_MENS_V825548_CHR_2.jpg</t>
        </is>
      </c>
      <c r="K3581" t="inlineStr">
        <is>
          <t>NAUTICA_MENS_V825548_CHR_3.jpg</t>
        </is>
      </c>
      <c r="L3581">
        <f>IMAGE("file:///E:/Estudios%20y%20certificaciones/ESTUDIOS%20DE%20PROGRAMMING/PROGRAMMING/PERSONAL/PYTHON/Image_Generator_API/imagenes/NAUTICA_MENS_V825548_CHR_1.jpg")</f>
        <v/>
      </c>
      <c r="M3581">
        <f>IMAGE("file:///E:/Estudios%20y%20certificaciones/ESTUDIOS%20DE%20PROGRAMMING/PROGRAMMING/PERSONAL/PYTHON/Image_Generator_API/imagenes/NAUTICA_MENS_V825548_CHR_2.jpg")</f>
        <v/>
      </c>
      <c r="N3581">
        <f>IMAGE("file:///E:/Estudios%20y%20certificaciones/ESTUDIOS%20DE%20PROGRAMMING/PROGRAMMING/PERSONAL/PYTHON/Image_Generator_API/imagenes/NAUTICA_MENS_V825548_CHR_3.jpg")</f>
        <v/>
      </c>
      <c r="O3581">
        <f>HYPERLINK("imagenes/NAUTICA_MENS_V825548_CHR_1.jpg","Ver imagen")</f>
        <v/>
      </c>
      <c r="P3581">
        <f>HYPERLINK("imagenes/NAUTICA_MENS_V825548_CHR_2.jpg","Ver imagen")</f>
        <v/>
      </c>
      <c r="Q3581">
        <f>HYPERLINK("imagenes/NAUTICA_MENS_V825548_CHR_3.jpg","Ver imagen")</f>
        <v/>
      </c>
    </row>
    <row r="3582">
      <c r="A3582" t="inlineStr">
        <is>
          <t>NAUTICA MENS</t>
        </is>
      </c>
      <c r="B3582" t="inlineStr">
        <is>
          <t>V825548</t>
        </is>
      </c>
      <c r="C3582" t="inlineStr">
        <is>
          <t>WOOL PEACOAT</t>
        </is>
      </c>
      <c r="D3582" t="inlineStr">
        <is>
          <t>CHR</t>
        </is>
      </c>
      <c r="E3582" t="inlineStr">
        <is>
          <t>(en blanco)</t>
        </is>
      </c>
      <c r="F3582" t="inlineStr">
        <is>
          <t>D2C</t>
        </is>
      </c>
      <c r="G3582" t="inlineStr">
        <is>
          <t>XXL</t>
        </is>
      </c>
      <c r="H3582" t="n">
        <v>20</v>
      </c>
      <c r="I3582" t="inlineStr">
        <is>
          <t>NAUTICA_MENS_V825548_CHR_1.jpg</t>
        </is>
      </c>
      <c r="J3582" t="inlineStr">
        <is>
          <t>NAUTICA_MENS_V825548_CHR_2.jpg</t>
        </is>
      </c>
      <c r="K3582" t="inlineStr">
        <is>
          <t>NAUTICA_MENS_V825548_CHR_3.jpg</t>
        </is>
      </c>
      <c r="L3582">
        <f>IMAGE("file:///E:/Estudios%20y%20certificaciones/ESTUDIOS%20DE%20PROGRAMMING/PROGRAMMING/PERSONAL/PYTHON/Image_Generator_API/imagenes/NAUTICA_MENS_V825548_CHR_1.jpg")</f>
        <v/>
      </c>
      <c r="M3582">
        <f>IMAGE("file:///E:/Estudios%20y%20certificaciones/ESTUDIOS%20DE%20PROGRAMMING/PROGRAMMING/PERSONAL/PYTHON/Image_Generator_API/imagenes/NAUTICA_MENS_V825548_CHR_2.jpg")</f>
        <v/>
      </c>
      <c r="N3582">
        <f>IMAGE("file:///E:/Estudios%20y%20certificaciones/ESTUDIOS%20DE%20PROGRAMMING/PROGRAMMING/PERSONAL/PYTHON/Image_Generator_API/imagenes/NAUTICA_MENS_V825548_CHR_3.jpg")</f>
        <v/>
      </c>
      <c r="O3582">
        <f>HYPERLINK("imagenes/NAUTICA_MENS_V825548_CHR_1.jpg","Ver imagen")</f>
        <v/>
      </c>
      <c r="P3582">
        <f>HYPERLINK("imagenes/NAUTICA_MENS_V825548_CHR_2.jpg","Ver imagen")</f>
        <v/>
      </c>
      <c r="Q3582">
        <f>HYPERLINK("imagenes/NAUTICA_MENS_V825548_CHR_3.jpg","Ver imagen")</f>
        <v/>
      </c>
    </row>
    <row r="3583">
      <c r="A3583" t="inlineStr">
        <is>
          <t>NAUTICA MENS</t>
        </is>
      </c>
      <c r="B3583" t="inlineStr">
        <is>
          <t>V825548</t>
        </is>
      </c>
      <c r="C3583" t="inlineStr">
        <is>
          <t>WOOL PEACOAT</t>
        </is>
      </c>
      <c r="D3583" t="inlineStr">
        <is>
          <t>CHR</t>
        </is>
      </c>
      <c r="E3583" t="inlineStr">
        <is>
          <t>(en blanco)</t>
        </is>
      </c>
      <c r="F3583" t="inlineStr">
        <is>
          <t>(en blanco)</t>
        </is>
      </c>
      <c r="G3583" t="inlineStr">
        <is>
          <t>XS</t>
        </is>
      </c>
      <c r="H3583" t="n">
        <v>50</v>
      </c>
      <c r="I3583" t="inlineStr">
        <is>
          <t>NAUTICA_MENS_V825548_CHR_1.jpg</t>
        </is>
      </c>
      <c r="J3583" t="inlineStr">
        <is>
          <t>NAUTICA_MENS_V825548_CHR_2.jpg</t>
        </is>
      </c>
      <c r="K3583" t="inlineStr">
        <is>
          <t>NAUTICA_MENS_V825548_CHR_3.jpg</t>
        </is>
      </c>
      <c r="L3583">
        <f>IMAGE("file:///E:/Estudios%20y%20certificaciones/ESTUDIOS%20DE%20PROGRAMMING/PROGRAMMING/PERSONAL/PYTHON/Image_Generator_API/imagenes/NAUTICA_MENS_V825548_CHR_1.jpg")</f>
        <v/>
      </c>
      <c r="M3583">
        <f>IMAGE("file:///E:/Estudios%20y%20certificaciones/ESTUDIOS%20DE%20PROGRAMMING/PROGRAMMING/PERSONAL/PYTHON/Image_Generator_API/imagenes/NAUTICA_MENS_V825548_CHR_2.jpg")</f>
        <v/>
      </c>
      <c r="N3583">
        <f>IMAGE("file:///E:/Estudios%20y%20certificaciones/ESTUDIOS%20DE%20PROGRAMMING/PROGRAMMING/PERSONAL/PYTHON/Image_Generator_API/imagenes/NAUTICA_MENS_V825548_CHR_3.jpg")</f>
        <v/>
      </c>
      <c r="O3583">
        <f>HYPERLINK("imagenes/NAUTICA_MENS_V825548_CHR_1.jpg","Ver imagen")</f>
        <v/>
      </c>
      <c r="P3583">
        <f>HYPERLINK("imagenes/NAUTICA_MENS_V825548_CHR_2.jpg","Ver imagen")</f>
        <v/>
      </c>
      <c r="Q3583">
        <f>HYPERLINK("imagenes/NAUTICA_MENS_V825548_CHR_3.jpg","Ver imagen")</f>
        <v/>
      </c>
    </row>
    <row r="3584">
      <c r="A3584" t="inlineStr">
        <is>
          <t>NAUTICA MENS</t>
        </is>
      </c>
      <c r="B3584" t="inlineStr">
        <is>
          <t>V825548</t>
        </is>
      </c>
      <c r="C3584" t="inlineStr">
        <is>
          <t>WOOL PEACOAT</t>
        </is>
      </c>
      <c r="D3584" t="inlineStr">
        <is>
          <t>CHR</t>
        </is>
      </c>
      <c r="E3584" t="inlineStr">
        <is>
          <t>(en blanco)</t>
        </is>
      </c>
      <c r="F3584" t="inlineStr">
        <is>
          <t>(en blanco)</t>
        </is>
      </c>
      <c r="G3584" t="inlineStr">
        <is>
          <t>S</t>
        </is>
      </c>
      <c r="H3584" t="n">
        <v>459</v>
      </c>
      <c r="I3584" t="inlineStr">
        <is>
          <t>NAUTICA_MENS_V825548_CHR_1.jpg</t>
        </is>
      </c>
      <c r="J3584" t="inlineStr">
        <is>
          <t>NAUTICA_MENS_V825548_CHR_2.jpg</t>
        </is>
      </c>
      <c r="K3584" t="inlineStr">
        <is>
          <t>NAUTICA_MENS_V825548_CHR_3.jpg</t>
        </is>
      </c>
      <c r="L3584">
        <f>IMAGE("file:///E:/Estudios%20y%20certificaciones/ESTUDIOS%20DE%20PROGRAMMING/PROGRAMMING/PERSONAL/PYTHON/Image_Generator_API/imagenes/NAUTICA_MENS_V825548_CHR_1.jpg")</f>
        <v/>
      </c>
      <c r="M3584">
        <f>IMAGE("file:///E:/Estudios%20y%20certificaciones/ESTUDIOS%20DE%20PROGRAMMING/PROGRAMMING/PERSONAL/PYTHON/Image_Generator_API/imagenes/NAUTICA_MENS_V825548_CHR_2.jpg")</f>
        <v/>
      </c>
      <c r="N3584">
        <f>IMAGE("file:///E:/Estudios%20y%20certificaciones/ESTUDIOS%20DE%20PROGRAMMING/PROGRAMMING/PERSONAL/PYTHON/Image_Generator_API/imagenes/NAUTICA_MENS_V825548_CHR_3.jpg")</f>
        <v/>
      </c>
      <c r="O3584">
        <f>HYPERLINK("imagenes/NAUTICA_MENS_V825548_CHR_1.jpg","Ver imagen")</f>
        <v/>
      </c>
      <c r="P3584">
        <f>HYPERLINK("imagenes/NAUTICA_MENS_V825548_CHR_2.jpg","Ver imagen")</f>
        <v/>
      </c>
      <c r="Q3584">
        <f>HYPERLINK("imagenes/NAUTICA_MENS_V825548_CHR_3.jpg","Ver imagen")</f>
        <v/>
      </c>
    </row>
    <row r="3585">
      <c r="A3585" t="inlineStr">
        <is>
          <t>NAUTICA MENS</t>
        </is>
      </c>
      <c r="B3585" t="inlineStr">
        <is>
          <t>V825548</t>
        </is>
      </c>
      <c r="C3585" t="inlineStr">
        <is>
          <t>WOOL PEACOAT</t>
        </is>
      </c>
      <c r="D3585" t="inlineStr">
        <is>
          <t>CHR</t>
        </is>
      </c>
      <c r="E3585" t="inlineStr">
        <is>
          <t>(en blanco)</t>
        </is>
      </c>
      <c r="F3585" t="inlineStr">
        <is>
          <t>(en blanco)</t>
        </is>
      </c>
      <c r="G3585" t="inlineStr">
        <is>
          <t>M</t>
        </is>
      </c>
      <c r="H3585" t="n">
        <v>766</v>
      </c>
      <c r="I3585" t="inlineStr">
        <is>
          <t>NAUTICA_MENS_V825548_CHR_1.jpg</t>
        </is>
      </c>
      <c r="J3585" t="inlineStr">
        <is>
          <t>NAUTICA_MENS_V825548_CHR_2.jpg</t>
        </is>
      </c>
      <c r="K3585" t="inlineStr">
        <is>
          <t>NAUTICA_MENS_V825548_CHR_3.jpg</t>
        </is>
      </c>
      <c r="L3585">
        <f>IMAGE("file:///E:/Estudios%20y%20certificaciones/ESTUDIOS%20DE%20PROGRAMMING/PROGRAMMING/PERSONAL/PYTHON/Image_Generator_API/imagenes/NAUTICA_MENS_V825548_CHR_1.jpg")</f>
        <v/>
      </c>
      <c r="M3585">
        <f>IMAGE("file:///E:/Estudios%20y%20certificaciones/ESTUDIOS%20DE%20PROGRAMMING/PROGRAMMING/PERSONAL/PYTHON/Image_Generator_API/imagenes/NAUTICA_MENS_V825548_CHR_2.jpg")</f>
        <v/>
      </c>
      <c r="N3585">
        <f>IMAGE("file:///E:/Estudios%20y%20certificaciones/ESTUDIOS%20DE%20PROGRAMMING/PROGRAMMING/PERSONAL/PYTHON/Image_Generator_API/imagenes/NAUTICA_MENS_V825548_CHR_3.jpg")</f>
        <v/>
      </c>
      <c r="O3585">
        <f>HYPERLINK("imagenes/NAUTICA_MENS_V825548_CHR_1.jpg","Ver imagen")</f>
        <v/>
      </c>
      <c r="P3585">
        <f>HYPERLINK("imagenes/NAUTICA_MENS_V825548_CHR_2.jpg","Ver imagen")</f>
        <v/>
      </c>
      <c r="Q3585">
        <f>HYPERLINK("imagenes/NAUTICA_MENS_V825548_CHR_3.jpg","Ver imagen")</f>
        <v/>
      </c>
    </row>
    <row r="3586">
      <c r="A3586" t="inlineStr">
        <is>
          <t>NAUTICA MENS</t>
        </is>
      </c>
      <c r="B3586" t="inlineStr">
        <is>
          <t>V825548</t>
        </is>
      </c>
      <c r="C3586" t="inlineStr">
        <is>
          <t>WOOL PEACOAT</t>
        </is>
      </c>
      <c r="D3586" t="inlineStr">
        <is>
          <t>CHR</t>
        </is>
      </c>
      <c r="E3586" t="inlineStr">
        <is>
          <t>(en blanco)</t>
        </is>
      </c>
      <c r="F3586" t="inlineStr">
        <is>
          <t>(en blanco)</t>
        </is>
      </c>
      <c r="G3586" t="inlineStr">
        <is>
          <t>L</t>
        </is>
      </c>
      <c r="H3586" t="n">
        <v>1025</v>
      </c>
      <c r="I3586" t="inlineStr">
        <is>
          <t>NAUTICA_MENS_V825548_CHR_1.jpg</t>
        </is>
      </c>
      <c r="J3586" t="inlineStr">
        <is>
          <t>NAUTICA_MENS_V825548_CHR_2.jpg</t>
        </is>
      </c>
      <c r="K3586" t="inlineStr">
        <is>
          <t>NAUTICA_MENS_V825548_CHR_3.jpg</t>
        </is>
      </c>
      <c r="L3586">
        <f>IMAGE("file:///E:/Estudios%20y%20certificaciones/ESTUDIOS%20DE%20PROGRAMMING/PROGRAMMING/PERSONAL/PYTHON/Image_Generator_API/imagenes/NAUTICA_MENS_V825548_CHR_1.jpg")</f>
        <v/>
      </c>
      <c r="M3586">
        <f>IMAGE("file:///E:/Estudios%20y%20certificaciones/ESTUDIOS%20DE%20PROGRAMMING/PROGRAMMING/PERSONAL/PYTHON/Image_Generator_API/imagenes/NAUTICA_MENS_V825548_CHR_2.jpg")</f>
        <v/>
      </c>
      <c r="N3586">
        <f>IMAGE("file:///E:/Estudios%20y%20certificaciones/ESTUDIOS%20DE%20PROGRAMMING/PROGRAMMING/PERSONAL/PYTHON/Image_Generator_API/imagenes/NAUTICA_MENS_V825548_CHR_3.jpg")</f>
        <v/>
      </c>
      <c r="O3586">
        <f>HYPERLINK("imagenes/NAUTICA_MENS_V825548_CHR_1.jpg","Ver imagen")</f>
        <v/>
      </c>
      <c r="P3586">
        <f>HYPERLINK("imagenes/NAUTICA_MENS_V825548_CHR_2.jpg","Ver imagen")</f>
        <v/>
      </c>
      <c r="Q3586">
        <f>HYPERLINK("imagenes/NAUTICA_MENS_V825548_CHR_3.jpg","Ver imagen")</f>
        <v/>
      </c>
    </row>
    <row r="3587">
      <c r="A3587" t="inlineStr">
        <is>
          <t>NAUTICA MENS</t>
        </is>
      </c>
      <c r="B3587" t="inlineStr">
        <is>
          <t>V825548</t>
        </is>
      </c>
      <c r="C3587" t="inlineStr">
        <is>
          <t>WOOL PEACOAT</t>
        </is>
      </c>
      <c r="D3587" t="inlineStr">
        <is>
          <t>CHR</t>
        </is>
      </c>
      <c r="E3587" t="inlineStr">
        <is>
          <t>(en blanco)</t>
        </is>
      </c>
      <c r="F3587" t="inlineStr">
        <is>
          <t>(en blanco)</t>
        </is>
      </c>
      <c r="G3587" t="inlineStr">
        <is>
          <t>XL</t>
        </is>
      </c>
      <c r="H3587" t="n">
        <v>616</v>
      </c>
      <c r="I3587" t="inlineStr">
        <is>
          <t>NAUTICA_MENS_V825548_CHR_1.jpg</t>
        </is>
      </c>
      <c r="J3587" t="inlineStr">
        <is>
          <t>NAUTICA_MENS_V825548_CHR_2.jpg</t>
        </is>
      </c>
      <c r="K3587" t="inlineStr">
        <is>
          <t>NAUTICA_MENS_V825548_CHR_3.jpg</t>
        </is>
      </c>
      <c r="L3587">
        <f>IMAGE("file:///E:/Estudios%20y%20certificaciones/ESTUDIOS%20DE%20PROGRAMMING/PROGRAMMING/PERSONAL/PYTHON/Image_Generator_API/imagenes/NAUTICA_MENS_V825548_CHR_1.jpg")</f>
        <v/>
      </c>
      <c r="M3587">
        <f>IMAGE("file:///E:/Estudios%20y%20certificaciones/ESTUDIOS%20DE%20PROGRAMMING/PROGRAMMING/PERSONAL/PYTHON/Image_Generator_API/imagenes/NAUTICA_MENS_V825548_CHR_2.jpg")</f>
        <v/>
      </c>
      <c r="N3587">
        <f>IMAGE("file:///E:/Estudios%20y%20certificaciones/ESTUDIOS%20DE%20PROGRAMMING/PROGRAMMING/PERSONAL/PYTHON/Image_Generator_API/imagenes/NAUTICA_MENS_V825548_CHR_3.jpg")</f>
        <v/>
      </c>
      <c r="O3587">
        <f>HYPERLINK("imagenes/NAUTICA_MENS_V825548_CHR_1.jpg","Ver imagen")</f>
        <v/>
      </c>
      <c r="P3587">
        <f>HYPERLINK("imagenes/NAUTICA_MENS_V825548_CHR_2.jpg","Ver imagen")</f>
        <v/>
      </c>
      <c r="Q3587">
        <f>HYPERLINK("imagenes/NAUTICA_MENS_V825548_CHR_3.jpg","Ver imagen")</f>
        <v/>
      </c>
    </row>
    <row r="3588">
      <c r="A3588" t="inlineStr">
        <is>
          <t>NAUTICA MENS</t>
        </is>
      </c>
      <c r="B3588" t="inlineStr">
        <is>
          <t>V825548</t>
        </is>
      </c>
      <c r="C3588" t="inlineStr">
        <is>
          <t>WOOL PEACOAT</t>
        </is>
      </c>
      <c r="D3588" t="inlineStr">
        <is>
          <t>CHR</t>
        </is>
      </c>
      <c r="E3588" t="inlineStr">
        <is>
          <t>(en blanco)</t>
        </is>
      </c>
      <c r="F3588" t="inlineStr">
        <is>
          <t>(en blanco)</t>
        </is>
      </c>
      <c r="G3588" t="inlineStr">
        <is>
          <t>XXL</t>
        </is>
      </c>
      <c r="H3588" t="n">
        <v>339</v>
      </c>
      <c r="I3588" t="inlineStr">
        <is>
          <t>NAUTICA_MENS_V825548_CHR_1.jpg</t>
        </is>
      </c>
      <c r="J3588" t="inlineStr">
        <is>
          <t>NAUTICA_MENS_V825548_CHR_2.jpg</t>
        </is>
      </c>
      <c r="K3588" t="inlineStr">
        <is>
          <t>NAUTICA_MENS_V825548_CHR_3.jpg</t>
        </is>
      </c>
      <c r="L3588">
        <f>IMAGE("file:///E:/Estudios%20y%20certificaciones/ESTUDIOS%20DE%20PROGRAMMING/PROGRAMMING/PERSONAL/PYTHON/Image_Generator_API/imagenes/NAUTICA_MENS_V825548_CHR_1.jpg")</f>
        <v/>
      </c>
      <c r="M3588">
        <f>IMAGE("file:///E:/Estudios%20y%20certificaciones/ESTUDIOS%20DE%20PROGRAMMING/PROGRAMMING/PERSONAL/PYTHON/Image_Generator_API/imagenes/NAUTICA_MENS_V825548_CHR_2.jpg")</f>
        <v/>
      </c>
      <c r="N3588">
        <f>IMAGE("file:///E:/Estudios%20y%20certificaciones/ESTUDIOS%20DE%20PROGRAMMING/PROGRAMMING/PERSONAL/PYTHON/Image_Generator_API/imagenes/NAUTICA_MENS_V825548_CHR_3.jpg")</f>
        <v/>
      </c>
      <c r="O3588">
        <f>HYPERLINK("imagenes/NAUTICA_MENS_V825548_CHR_1.jpg","Ver imagen")</f>
        <v/>
      </c>
      <c r="P3588">
        <f>HYPERLINK("imagenes/NAUTICA_MENS_V825548_CHR_2.jpg","Ver imagen")</f>
        <v/>
      </c>
      <c r="Q3588">
        <f>HYPERLINK("imagenes/NAUTICA_MENS_V825548_CHR_3.jpg","Ver imagen")</f>
        <v/>
      </c>
    </row>
    <row r="3589">
      <c r="A3589" t="inlineStr">
        <is>
          <t>NAUTICA MENS</t>
        </is>
      </c>
      <c r="B3589" t="inlineStr">
        <is>
          <t>V825548</t>
        </is>
      </c>
      <c r="C3589" t="inlineStr">
        <is>
          <t>WOOL PEACOAT</t>
        </is>
      </c>
      <c r="D3589" t="inlineStr">
        <is>
          <t>CHR</t>
        </is>
      </c>
      <c r="E3589" t="inlineStr">
        <is>
          <t>(en blanco)</t>
        </is>
      </c>
      <c r="F3589" t="inlineStr">
        <is>
          <t>(en blanco)</t>
        </is>
      </c>
      <c r="G3589" t="inlineStr">
        <is>
          <t>3X</t>
        </is>
      </c>
      <c r="H3589" t="n">
        <v>11</v>
      </c>
      <c r="I3589" t="inlineStr">
        <is>
          <t>NAUTICA_MENS_V825548_CHR_1.jpg</t>
        </is>
      </c>
      <c r="J3589" t="inlineStr">
        <is>
          <t>NAUTICA_MENS_V825548_CHR_2.jpg</t>
        </is>
      </c>
      <c r="K3589" t="inlineStr">
        <is>
          <t>NAUTICA_MENS_V825548_CHR_3.jpg</t>
        </is>
      </c>
      <c r="L3589">
        <f>IMAGE("file:///E:/Estudios%20y%20certificaciones/ESTUDIOS%20DE%20PROGRAMMING/PROGRAMMING/PERSONAL/PYTHON/Image_Generator_API/imagenes/NAUTICA_MENS_V825548_CHR_1.jpg")</f>
        <v/>
      </c>
      <c r="M3589">
        <f>IMAGE("file:///E:/Estudios%20y%20certificaciones/ESTUDIOS%20DE%20PROGRAMMING/PROGRAMMING/PERSONAL/PYTHON/Image_Generator_API/imagenes/NAUTICA_MENS_V825548_CHR_2.jpg")</f>
        <v/>
      </c>
      <c r="N3589">
        <f>IMAGE("file:///E:/Estudios%20y%20certificaciones/ESTUDIOS%20DE%20PROGRAMMING/PROGRAMMING/PERSONAL/PYTHON/Image_Generator_API/imagenes/NAUTICA_MENS_V825548_CHR_3.jpg")</f>
        <v/>
      </c>
      <c r="O3589">
        <f>HYPERLINK("imagenes/NAUTICA_MENS_V825548_CHR_1.jpg","Ver imagen")</f>
        <v/>
      </c>
      <c r="P3589">
        <f>HYPERLINK("imagenes/NAUTICA_MENS_V825548_CHR_2.jpg","Ver imagen")</f>
        <v/>
      </c>
      <c r="Q3589">
        <f>HYPERLINK("imagenes/NAUTICA_MENS_V825548_CHR_3.jpg","Ver imagen")</f>
        <v/>
      </c>
    </row>
    <row r="3590">
      <c r="A3590" t="inlineStr">
        <is>
          <t>NAUTICA MENS</t>
        </is>
      </c>
      <c r="B3590" t="inlineStr">
        <is>
          <t>V825548</t>
        </is>
      </c>
      <c r="C3590" t="inlineStr">
        <is>
          <t>WOOL PEACOAT</t>
        </is>
      </c>
      <c r="D3590" t="inlineStr">
        <is>
          <t>DNY</t>
        </is>
      </c>
      <c r="E3590" t="inlineStr">
        <is>
          <t>(en blanco)</t>
        </is>
      </c>
      <c r="F3590" t="inlineStr">
        <is>
          <t>D2C</t>
        </is>
      </c>
      <c r="G3590" t="inlineStr">
        <is>
          <t>S</t>
        </is>
      </c>
      <c r="H3590" t="n">
        <v>20</v>
      </c>
      <c r="I3590" t="inlineStr">
        <is>
          <t>NAUTICA_MENS_V825548_DNY_1.jpg</t>
        </is>
      </c>
      <c r="J3590" t="inlineStr">
        <is>
          <t>NAUTICA_MENS_V825548_DNY_2.jpg</t>
        </is>
      </c>
      <c r="K3590" t="inlineStr">
        <is>
          <t>NAUTICA_MENS_V825548_DNY_3.jpg</t>
        </is>
      </c>
      <c r="L3590">
        <f>IMAGE("file:///E:/Estudios%20y%20certificaciones/ESTUDIOS%20DE%20PROGRAMMING/PROGRAMMING/PERSONAL/PYTHON/Image_Generator_API/imagenes/NAUTICA_MENS_V825548_DNY_1.jpg")</f>
        <v/>
      </c>
      <c r="M3590">
        <f>IMAGE("file:///E:/Estudios%20y%20certificaciones/ESTUDIOS%20DE%20PROGRAMMING/PROGRAMMING/PERSONAL/PYTHON/Image_Generator_API/imagenes/NAUTICA_MENS_V825548_DNY_2.jpg")</f>
        <v/>
      </c>
      <c r="N3590">
        <f>IMAGE("file:///E:/Estudios%20y%20certificaciones/ESTUDIOS%20DE%20PROGRAMMING/PROGRAMMING/PERSONAL/PYTHON/Image_Generator_API/imagenes/NAUTICA_MENS_V825548_DNY_3.jpg")</f>
        <v/>
      </c>
      <c r="O3590">
        <f>HYPERLINK("imagenes/NAUTICA_MENS_V825548_DNY_1.jpg","Ver imagen")</f>
        <v/>
      </c>
      <c r="P3590">
        <f>HYPERLINK("imagenes/NAUTICA_MENS_V825548_DNY_2.jpg","Ver imagen")</f>
        <v/>
      </c>
      <c r="Q3590">
        <f>HYPERLINK("imagenes/NAUTICA_MENS_V825548_DNY_3.jpg","Ver imagen")</f>
        <v/>
      </c>
    </row>
    <row r="3591">
      <c r="A3591" t="inlineStr">
        <is>
          <t>NAUTICA MENS</t>
        </is>
      </c>
      <c r="B3591" t="inlineStr">
        <is>
          <t>V825548</t>
        </is>
      </c>
      <c r="C3591" t="inlineStr">
        <is>
          <t>WOOL PEACOAT</t>
        </is>
      </c>
      <c r="D3591" t="inlineStr">
        <is>
          <t>DNY</t>
        </is>
      </c>
      <c r="E3591" t="inlineStr">
        <is>
          <t>(en blanco)</t>
        </is>
      </c>
      <c r="F3591" t="inlineStr">
        <is>
          <t>D2C</t>
        </is>
      </c>
      <c r="G3591" t="inlineStr">
        <is>
          <t>M</t>
        </is>
      </c>
      <c r="H3591" t="n">
        <v>20</v>
      </c>
      <c r="I3591" t="inlineStr">
        <is>
          <t>NAUTICA_MENS_V825548_DNY_1.jpg</t>
        </is>
      </c>
      <c r="J3591" t="inlineStr">
        <is>
          <t>NAUTICA_MENS_V825548_DNY_2.jpg</t>
        </is>
      </c>
      <c r="K3591" t="inlineStr">
        <is>
          <t>NAUTICA_MENS_V825548_DNY_3.jpg</t>
        </is>
      </c>
      <c r="L3591">
        <f>IMAGE("file:///E:/Estudios%20y%20certificaciones/ESTUDIOS%20DE%20PROGRAMMING/PROGRAMMING/PERSONAL/PYTHON/Image_Generator_API/imagenes/NAUTICA_MENS_V825548_DNY_1.jpg")</f>
        <v/>
      </c>
      <c r="M3591">
        <f>IMAGE("file:///E:/Estudios%20y%20certificaciones/ESTUDIOS%20DE%20PROGRAMMING/PROGRAMMING/PERSONAL/PYTHON/Image_Generator_API/imagenes/NAUTICA_MENS_V825548_DNY_2.jpg")</f>
        <v/>
      </c>
      <c r="N3591">
        <f>IMAGE("file:///E:/Estudios%20y%20certificaciones/ESTUDIOS%20DE%20PROGRAMMING/PROGRAMMING/PERSONAL/PYTHON/Image_Generator_API/imagenes/NAUTICA_MENS_V825548_DNY_3.jpg")</f>
        <v/>
      </c>
      <c r="O3591">
        <f>HYPERLINK("imagenes/NAUTICA_MENS_V825548_DNY_1.jpg","Ver imagen")</f>
        <v/>
      </c>
      <c r="P3591">
        <f>HYPERLINK("imagenes/NAUTICA_MENS_V825548_DNY_2.jpg","Ver imagen")</f>
        <v/>
      </c>
      <c r="Q3591">
        <f>HYPERLINK("imagenes/NAUTICA_MENS_V825548_DNY_3.jpg","Ver imagen")</f>
        <v/>
      </c>
    </row>
    <row r="3592">
      <c r="A3592" t="inlineStr">
        <is>
          <t>NAUTICA MENS</t>
        </is>
      </c>
      <c r="B3592" t="inlineStr">
        <is>
          <t>V825548</t>
        </is>
      </c>
      <c r="C3592" t="inlineStr">
        <is>
          <t>WOOL PEACOAT</t>
        </is>
      </c>
      <c r="D3592" t="inlineStr">
        <is>
          <t>DNY</t>
        </is>
      </c>
      <c r="E3592" t="inlineStr">
        <is>
          <t>(en blanco)</t>
        </is>
      </c>
      <c r="F3592" t="inlineStr">
        <is>
          <t>D2C</t>
        </is>
      </c>
      <c r="G3592" t="inlineStr">
        <is>
          <t>L</t>
        </is>
      </c>
      <c r="H3592" t="n">
        <v>20</v>
      </c>
      <c r="I3592" t="inlineStr">
        <is>
          <t>NAUTICA_MENS_V825548_DNY_1.jpg</t>
        </is>
      </c>
      <c r="J3592" t="inlineStr">
        <is>
          <t>NAUTICA_MENS_V825548_DNY_2.jpg</t>
        </is>
      </c>
      <c r="K3592" t="inlineStr">
        <is>
          <t>NAUTICA_MENS_V825548_DNY_3.jpg</t>
        </is>
      </c>
      <c r="L3592">
        <f>IMAGE("file:///E:/Estudios%20y%20certificaciones/ESTUDIOS%20DE%20PROGRAMMING/PROGRAMMING/PERSONAL/PYTHON/Image_Generator_API/imagenes/NAUTICA_MENS_V825548_DNY_1.jpg")</f>
        <v/>
      </c>
      <c r="M3592">
        <f>IMAGE("file:///E:/Estudios%20y%20certificaciones/ESTUDIOS%20DE%20PROGRAMMING/PROGRAMMING/PERSONAL/PYTHON/Image_Generator_API/imagenes/NAUTICA_MENS_V825548_DNY_2.jpg")</f>
        <v/>
      </c>
      <c r="N3592">
        <f>IMAGE("file:///E:/Estudios%20y%20certificaciones/ESTUDIOS%20DE%20PROGRAMMING/PROGRAMMING/PERSONAL/PYTHON/Image_Generator_API/imagenes/NAUTICA_MENS_V825548_DNY_3.jpg")</f>
        <v/>
      </c>
      <c r="O3592">
        <f>HYPERLINK("imagenes/NAUTICA_MENS_V825548_DNY_1.jpg","Ver imagen")</f>
        <v/>
      </c>
      <c r="P3592">
        <f>HYPERLINK("imagenes/NAUTICA_MENS_V825548_DNY_2.jpg","Ver imagen")</f>
        <v/>
      </c>
      <c r="Q3592">
        <f>HYPERLINK("imagenes/NAUTICA_MENS_V825548_DNY_3.jpg","Ver imagen")</f>
        <v/>
      </c>
    </row>
    <row r="3593">
      <c r="A3593" t="inlineStr">
        <is>
          <t>NAUTICA MENS</t>
        </is>
      </c>
      <c r="B3593" t="inlineStr">
        <is>
          <t>V825548</t>
        </is>
      </c>
      <c r="C3593" t="inlineStr">
        <is>
          <t>WOOL PEACOAT</t>
        </is>
      </c>
      <c r="D3593" t="inlineStr">
        <is>
          <t>DNY</t>
        </is>
      </c>
      <c r="E3593" t="inlineStr">
        <is>
          <t>(en blanco)</t>
        </is>
      </c>
      <c r="F3593" t="inlineStr">
        <is>
          <t>D2C</t>
        </is>
      </c>
      <c r="G3593" t="inlineStr">
        <is>
          <t>XL</t>
        </is>
      </c>
      <c r="H3593" t="n">
        <v>20</v>
      </c>
      <c r="I3593" t="inlineStr">
        <is>
          <t>NAUTICA_MENS_V825548_DNY_1.jpg</t>
        </is>
      </c>
      <c r="J3593" t="inlineStr">
        <is>
          <t>NAUTICA_MENS_V825548_DNY_2.jpg</t>
        </is>
      </c>
      <c r="K3593" t="inlineStr">
        <is>
          <t>NAUTICA_MENS_V825548_DNY_3.jpg</t>
        </is>
      </c>
      <c r="L3593">
        <f>IMAGE("file:///E:/Estudios%20y%20certificaciones/ESTUDIOS%20DE%20PROGRAMMING/PROGRAMMING/PERSONAL/PYTHON/Image_Generator_API/imagenes/NAUTICA_MENS_V825548_DNY_1.jpg")</f>
        <v/>
      </c>
      <c r="M3593">
        <f>IMAGE("file:///E:/Estudios%20y%20certificaciones/ESTUDIOS%20DE%20PROGRAMMING/PROGRAMMING/PERSONAL/PYTHON/Image_Generator_API/imagenes/NAUTICA_MENS_V825548_DNY_2.jpg")</f>
        <v/>
      </c>
      <c r="N3593">
        <f>IMAGE("file:///E:/Estudios%20y%20certificaciones/ESTUDIOS%20DE%20PROGRAMMING/PROGRAMMING/PERSONAL/PYTHON/Image_Generator_API/imagenes/NAUTICA_MENS_V825548_DNY_3.jpg")</f>
        <v/>
      </c>
      <c r="O3593">
        <f>HYPERLINK("imagenes/NAUTICA_MENS_V825548_DNY_1.jpg","Ver imagen")</f>
        <v/>
      </c>
      <c r="P3593">
        <f>HYPERLINK("imagenes/NAUTICA_MENS_V825548_DNY_2.jpg","Ver imagen")</f>
        <v/>
      </c>
      <c r="Q3593">
        <f>HYPERLINK("imagenes/NAUTICA_MENS_V825548_DNY_3.jpg","Ver imagen")</f>
        <v/>
      </c>
    </row>
    <row r="3594">
      <c r="A3594" t="inlineStr">
        <is>
          <t>NAUTICA MENS</t>
        </is>
      </c>
      <c r="B3594" t="inlineStr">
        <is>
          <t>V825548</t>
        </is>
      </c>
      <c r="C3594" t="inlineStr">
        <is>
          <t>WOOL PEACOAT</t>
        </is>
      </c>
      <c r="D3594" t="inlineStr">
        <is>
          <t>DNY</t>
        </is>
      </c>
      <c r="E3594" t="inlineStr">
        <is>
          <t>(en blanco)</t>
        </is>
      </c>
      <c r="F3594" t="inlineStr">
        <is>
          <t>D2C</t>
        </is>
      </c>
      <c r="G3594" t="inlineStr">
        <is>
          <t>XXL</t>
        </is>
      </c>
      <c r="H3594" t="n">
        <v>20</v>
      </c>
      <c r="I3594" t="inlineStr">
        <is>
          <t>NAUTICA_MENS_V825548_DNY_1.jpg</t>
        </is>
      </c>
      <c r="J3594" t="inlineStr">
        <is>
          <t>NAUTICA_MENS_V825548_DNY_2.jpg</t>
        </is>
      </c>
      <c r="K3594" t="inlineStr">
        <is>
          <t>NAUTICA_MENS_V825548_DNY_3.jpg</t>
        </is>
      </c>
      <c r="L3594">
        <f>IMAGE("file:///E:/Estudios%20y%20certificaciones/ESTUDIOS%20DE%20PROGRAMMING/PROGRAMMING/PERSONAL/PYTHON/Image_Generator_API/imagenes/NAUTICA_MENS_V825548_DNY_1.jpg")</f>
        <v/>
      </c>
      <c r="M3594">
        <f>IMAGE("file:///E:/Estudios%20y%20certificaciones/ESTUDIOS%20DE%20PROGRAMMING/PROGRAMMING/PERSONAL/PYTHON/Image_Generator_API/imagenes/NAUTICA_MENS_V825548_DNY_2.jpg")</f>
        <v/>
      </c>
      <c r="N3594">
        <f>IMAGE("file:///E:/Estudios%20y%20certificaciones/ESTUDIOS%20DE%20PROGRAMMING/PROGRAMMING/PERSONAL/PYTHON/Image_Generator_API/imagenes/NAUTICA_MENS_V825548_DNY_3.jpg")</f>
        <v/>
      </c>
      <c r="O3594">
        <f>HYPERLINK("imagenes/NAUTICA_MENS_V825548_DNY_1.jpg","Ver imagen")</f>
        <v/>
      </c>
      <c r="P3594">
        <f>HYPERLINK("imagenes/NAUTICA_MENS_V825548_DNY_2.jpg","Ver imagen")</f>
        <v/>
      </c>
      <c r="Q3594">
        <f>HYPERLINK("imagenes/NAUTICA_MENS_V825548_DNY_3.jpg","Ver imagen")</f>
        <v/>
      </c>
    </row>
    <row r="3595">
      <c r="A3595" t="inlineStr">
        <is>
          <t>NAUTICA MENS</t>
        </is>
      </c>
      <c r="B3595" t="inlineStr">
        <is>
          <t>V825548</t>
        </is>
      </c>
      <c r="C3595" t="inlineStr">
        <is>
          <t>WOOL PEACOAT</t>
        </is>
      </c>
      <c r="D3595" t="inlineStr">
        <is>
          <t>DNY</t>
        </is>
      </c>
      <c r="E3595" t="inlineStr">
        <is>
          <t>(en blanco)</t>
        </is>
      </c>
      <c r="F3595" t="inlineStr">
        <is>
          <t>(en blanco)</t>
        </is>
      </c>
      <c r="G3595" t="inlineStr">
        <is>
          <t>XS</t>
        </is>
      </c>
      <c r="H3595" t="n">
        <v>1</v>
      </c>
      <c r="I3595" t="inlineStr">
        <is>
          <t>NAUTICA_MENS_V825548_DNY_1.jpg</t>
        </is>
      </c>
      <c r="J3595" t="inlineStr">
        <is>
          <t>NAUTICA_MENS_V825548_DNY_2.jpg</t>
        </is>
      </c>
      <c r="K3595" t="inlineStr">
        <is>
          <t>NAUTICA_MENS_V825548_DNY_3.jpg</t>
        </is>
      </c>
      <c r="L3595">
        <f>IMAGE("file:///E:/Estudios%20y%20certificaciones/ESTUDIOS%20DE%20PROGRAMMING/PROGRAMMING/PERSONAL/PYTHON/Image_Generator_API/imagenes/NAUTICA_MENS_V825548_DNY_1.jpg")</f>
        <v/>
      </c>
      <c r="M3595">
        <f>IMAGE("file:///E:/Estudios%20y%20certificaciones/ESTUDIOS%20DE%20PROGRAMMING/PROGRAMMING/PERSONAL/PYTHON/Image_Generator_API/imagenes/NAUTICA_MENS_V825548_DNY_2.jpg")</f>
        <v/>
      </c>
      <c r="N3595">
        <f>IMAGE("file:///E:/Estudios%20y%20certificaciones/ESTUDIOS%20DE%20PROGRAMMING/PROGRAMMING/PERSONAL/PYTHON/Image_Generator_API/imagenes/NAUTICA_MENS_V825548_DNY_3.jpg")</f>
        <v/>
      </c>
      <c r="O3595">
        <f>HYPERLINK("imagenes/NAUTICA_MENS_V825548_DNY_1.jpg","Ver imagen")</f>
        <v/>
      </c>
      <c r="P3595">
        <f>HYPERLINK("imagenes/NAUTICA_MENS_V825548_DNY_2.jpg","Ver imagen")</f>
        <v/>
      </c>
      <c r="Q3595">
        <f>HYPERLINK("imagenes/NAUTICA_MENS_V825548_DNY_3.jpg","Ver imagen")</f>
        <v/>
      </c>
    </row>
    <row r="3596">
      <c r="A3596" t="inlineStr">
        <is>
          <t>NAUTICA MENS</t>
        </is>
      </c>
      <c r="B3596" t="inlineStr">
        <is>
          <t>V825548</t>
        </is>
      </c>
      <c r="C3596" t="inlineStr">
        <is>
          <t>WOOL PEACOAT</t>
        </is>
      </c>
      <c r="D3596" t="inlineStr">
        <is>
          <t>DNY</t>
        </is>
      </c>
      <c r="E3596" t="inlineStr">
        <is>
          <t>(en blanco)</t>
        </is>
      </c>
      <c r="F3596" t="inlineStr">
        <is>
          <t>(en blanco)</t>
        </is>
      </c>
      <c r="G3596" t="inlineStr">
        <is>
          <t>S</t>
        </is>
      </c>
      <c r="H3596" t="n">
        <v>713</v>
      </c>
      <c r="I3596" t="inlineStr">
        <is>
          <t>NAUTICA_MENS_V825548_DNY_1.jpg</t>
        </is>
      </c>
      <c r="J3596" t="inlineStr">
        <is>
          <t>NAUTICA_MENS_V825548_DNY_2.jpg</t>
        </is>
      </c>
      <c r="K3596" t="inlineStr">
        <is>
          <t>NAUTICA_MENS_V825548_DNY_3.jpg</t>
        </is>
      </c>
      <c r="L3596">
        <f>IMAGE("file:///E:/Estudios%20y%20certificaciones/ESTUDIOS%20DE%20PROGRAMMING/PROGRAMMING/PERSONAL/PYTHON/Image_Generator_API/imagenes/NAUTICA_MENS_V825548_DNY_1.jpg")</f>
        <v/>
      </c>
      <c r="M3596">
        <f>IMAGE("file:///E:/Estudios%20y%20certificaciones/ESTUDIOS%20DE%20PROGRAMMING/PROGRAMMING/PERSONAL/PYTHON/Image_Generator_API/imagenes/NAUTICA_MENS_V825548_DNY_2.jpg")</f>
        <v/>
      </c>
      <c r="N3596">
        <f>IMAGE("file:///E:/Estudios%20y%20certificaciones/ESTUDIOS%20DE%20PROGRAMMING/PROGRAMMING/PERSONAL/PYTHON/Image_Generator_API/imagenes/NAUTICA_MENS_V825548_DNY_3.jpg")</f>
        <v/>
      </c>
      <c r="O3596">
        <f>HYPERLINK("imagenes/NAUTICA_MENS_V825548_DNY_1.jpg","Ver imagen")</f>
        <v/>
      </c>
      <c r="P3596">
        <f>HYPERLINK("imagenes/NAUTICA_MENS_V825548_DNY_2.jpg","Ver imagen")</f>
        <v/>
      </c>
      <c r="Q3596">
        <f>HYPERLINK("imagenes/NAUTICA_MENS_V825548_DNY_3.jpg","Ver imagen")</f>
        <v/>
      </c>
    </row>
    <row r="3597">
      <c r="A3597" t="inlineStr">
        <is>
          <t>NAUTICA MENS</t>
        </is>
      </c>
      <c r="B3597" t="inlineStr">
        <is>
          <t>V825548</t>
        </is>
      </c>
      <c r="C3597" t="inlineStr">
        <is>
          <t>WOOL PEACOAT</t>
        </is>
      </c>
      <c r="D3597" t="inlineStr">
        <is>
          <t>DNY</t>
        </is>
      </c>
      <c r="E3597" t="inlineStr">
        <is>
          <t>(en blanco)</t>
        </is>
      </c>
      <c r="F3597" t="inlineStr">
        <is>
          <t>(en blanco)</t>
        </is>
      </c>
      <c r="G3597" t="inlineStr">
        <is>
          <t>M</t>
        </is>
      </c>
      <c r="H3597" t="n">
        <v>759</v>
      </c>
      <c r="I3597" t="inlineStr">
        <is>
          <t>NAUTICA_MENS_V825548_DNY_1.jpg</t>
        </is>
      </c>
      <c r="J3597" t="inlineStr">
        <is>
          <t>NAUTICA_MENS_V825548_DNY_2.jpg</t>
        </is>
      </c>
      <c r="K3597" t="inlineStr">
        <is>
          <t>NAUTICA_MENS_V825548_DNY_3.jpg</t>
        </is>
      </c>
      <c r="L3597">
        <f>IMAGE("file:///E:/Estudios%20y%20certificaciones/ESTUDIOS%20DE%20PROGRAMMING/PROGRAMMING/PERSONAL/PYTHON/Image_Generator_API/imagenes/NAUTICA_MENS_V825548_DNY_1.jpg")</f>
        <v/>
      </c>
      <c r="M3597">
        <f>IMAGE("file:///E:/Estudios%20y%20certificaciones/ESTUDIOS%20DE%20PROGRAMMING/PROGRAMMING/PERSONAL/PYTHON/Image_Generator_API/imagenes/NAUTICA_MENS_V825548_DNY_2.jpg")</f>
        <v/>
      </c>
      <c r="N3597">
        <f>IMAGE("file:///E:/Estudios%20y%20certificaciones/ESTUDIOS%20DE%20PROGRAMMING/PROGRAMMING/PERSONAL/PYTHON/Image_Generator_API/imagenes/NAUTICA_MENS_V825548_DNY_3.jpg")</f>
        <v/>
      </c>
      <c r="O3597">
        <f>HYPERLINK("imagenes/NAUTICA_MENS_V825548_DNY_1.jpg","Ver imagen")</f>
        <v/>
      </c>
      <c r="P3597">
        <f>HYPERLINK("imagenes/NAUTICA_MENS_V825548_DNY_2.jpg","Ver imagen")</f>
        <v/>
      </c>
      <c r="Q3597">
        <f>HYPERLINK("imagenes/NAUTICA_MENS_V825548_DNY_3.jpg","Ver imagen")</f>
        <v/>
      </c>
    </row>
    <row r="3598">
      <c r="A3598" t="inlineStr">
        <is>
          <t>NAUTICA MENS</t>
        </is>
      </c>
      <c r="B3598" t="inlineStr">
        <is>
          <t>V825548</t>
        </is>
      </c>
      <c r="C3598" t="inlineStr">
        <is>
          <t>WOOL PEACOAT</t>
        </is>
      </c>
      <c r="D3598" t="inlineStr">
        <is>
          <t>DNY</t>
        </is>
      </c>
      <c r="E3598" t="inlineStr">
        <is>
          <t>(en blanco)</t>
        </is>
      </c>
      <c r="F3598" t="inlineStr">
        <is>
          <t>(en blanco)</t>
        </is>
      </c>
      <c r="G3598" t="inlineStr">
        <is>
          <t>L</t>
        </is>
      </c>
      <c r="H3598" t="n">
        <v>602</v>
      </c>
      <c r="I3598" t="inlineStr">
        <is>
          <t>NAUTICA_MENS_V825548_DNY_1.jpg</t>
        </is>
      </c>
      <c r="J3598" t="inlineStr">
        <is>
          <t>NAUTICA_MENS_V825548_DNY_2.jpg</t>
        </is>
      </c>
      <c r="K3598" t="inlineStr">
        <is>
          <t>NAUTICA_MENS_V825548_DNY_3.jpg</t>
        </is>
      </c>
      <c r="L3598">
        <f>IMAGE("file:///E:/Estudios%20y%20certificaciones/ESTUDIOS%20DE%20PROGRAMMING/PROGRAMMING/PERSONAL/PYTHON/Image_Generator_API/imagenes/NAUTICA_MENS_V825548_DNY_1.jpg")</f>
        <v/>
      </c>
      <c r="M3598">
        <f>IMAGE("file:///E:/Estudios%20y%20certificaciones/ESTUDIOS%20DE%20PROGRAMMING/PROGRAMMING/PERSONAL/PYTHON/Image_Generator_API/imagenes/NAUTICA_MENS_V825548_DNY_2.jpg")</f>
        <v/>
      </c>
      <c r="N3598">
        <f>IMAGE("file:///E:/Estudios%20y%20certificaciones/ESTUDIOS%20DE%20PROGRAMMING/PROGRAMMING/PERSONAL/PYTHON/Image_Generator_API/imagenes/NAUTICA_MENS_V825548_DNY_3.jpg")</f>
        <v/>
      </c>
      <c r="O3598">
        <f>HYPERLINK("imagenes/NAUTICA_MENS_V825548_DNY_1.jpg","Ver imagen")</f>
        <v/>
      </c>
      <c r="P3598">
        <f>HYPERLINK("imagenes/NAUTICA_MENS_V825548_DNY_2.jpg","Ver imagen")</f>
        <v/>
      </c>
      <c r="Q3598">
        <f>HYPERLINK("imagenes/NAUTICA_MENS_V825548_DNY_3.jpg","Ver imagen")</f>
        <v/>
      </c>
    </row>
    <row r="3599">
      <c r="A3599" t="inlineStr">
        <is>
          <t>NAUTICA MENS</t>
        </is>
      </c>
      <c r="B3599" t="inlineStr">
        <is>
          <t>V825548</t>
        </is>
      </c>
      <c r="C3599" t="inlineStr">
        <is>
          <t>WOOL PEACOAT</t>
        </is>
      </c>
      <c r="D3599" t="inlineStr">
        <is>
          <t>DNY</t>
        </is>
      </c>
      <c r="E3599" t="inlineStr">
        <is>
          <t>(en blanco)</t>
        </is>
      </c>
      <c r="F3599" t="inlineStr">
        <is>
          <t>(en blanco)</t>
        </is>
      </c>
      <c r="G3599" t="inlineStr">
        <is>
          <t>XL</t>
        </is>
      </c>
      <c r="H3599" t="n">
        <v>385</v>
      </c>
      <c r="I3599" t="inlineStr">
        <is>
          <t>NAUTICA_MENS_V825548_DNY_1.jpg</t>
        </is>
      </c>
      <c r="J3599" t="inlineStr">
        <is>
          <t>NAUTICA_MENS_V825548_DNY_2.jpg</t>
        </is>
      </c>
      <c r="K3599" t="inlineStr">
        <is>
          <t>NAUTICA_MENS_V825548_DNY_3.jpg</t>
        </is>
      </c>
      <c r="L3599">
        <f>IMAGE("file:///E:/Estudios%20y%20certificaciones/ESTUDIOS%20DE%20PROGRAMMING/PROGRAMMING/PERSONAL/PYTHON/Image_Generator_API/imagenes/NAUTICA_MENS_V825548_DNY_1.jpg")</f>
        <v/>
      </c>
      <c r="M3599">
        <f>IMAGE("file:///E:/Estudios%20y%20certificaciones/ESTUDIOS%20DE%20PROGRAMMING/PROGRAMMING/PERSONAL/PYTHON/Image_Generator_API/imagenes/NAUTICA_MENS_V825548_DNY_2.jpg")</f>
        <v/>
      </c>
      <c r="N3599">
        <f>IMAGE("file:///E:/Estudios%20y%20certificaciones/ESTUDIOS%20DE%20PROGRAMMING/PROGRAMMING/PERSONAL/PYTHON/Image_Generator_API/imagenes/NAUTICA_MENS_V825548_DNY_3.jpg")</f>
        <v/>
      </c>
      <c r="O3599">
        <f>HYPERLINK("imagenes/NAUTICA_MENS_V825548_DNY_1.jpg","Ver imagen")</f>
        <v/>
      </c>
      <c r="P3599">
        <f>HYPERLINK("imagenes/NAUTICA_MENS_V825548_DNY_2.jpg","Ver imagen")</f>
        <v/>
      </c>
      <c r="Q3599">
        <f>HYPERLINK("imagenes/NAUTICA_MENS_V825548_DNY_3.jpg","Ver imagen")</f>
        <v/>
      </c>
    </row>
    <row r="3600">
      <c r="A3600" t="inlineStr">
        <is>
          <t>NAUTICA MENS</t>
        </is>
      </c>
      <c r="B3600" t="inlineStr">
        <is>
          <t>V825548</t>
        </is>
      </c>
      <c r="C3600" t="inlineStr">
        <is>
          <t>WOOL PEACOAT</t>
        </is>
      </c>
      <c r="D3600" t="inlineStr">
        <is>
          <t>DNY</t>
        </is>
      </c>
      <c r="E3600" t="inlineStr">
        <is>
          <t>(en blanco)</t>
        </is>
      </c>
      <c r="F3600" t="inlineStr">
        <is>
          <t>(en blanco)</t>
        </is>
      </c>
      <c r="G3600" t="inlineStr">
        <is>
          <t>XXL</t>
        </is>
      </c>
      <c r="H3600" t="n">
        <v>325</v>
      </c>
      <c r="I3600" t="inlineStr">
        <is>
          <t>NAUTICA_MENS_V825548_DNY_1.jpg</t>
        </is>
      </c>
      <c r="J3600" t="inlineStr">
        <is>
          <t>NAUTICA_MENS_V825548_DNY_2.jpg</t>
        </is>
      </c>
      <c r="K3600" t="inlineStr">
        <is>
          <t>NAUTICA_MENS_V825548_DNY_3.jpg</t>
        </is>
      </c>
      <c r="L3600">
        <f>IMAGE("file:///E:/Estudios%20y%20certificaciones/ESTUDIOS%20DE%20PROGRAMMING/PROGRAMMING/PERSONAL/PYTHON/Image_Generator_API/imagenes/NAUTICA_MENS_V825548_DNY_1.jpg")</f>
        <v/>
      </c>
      <c r="M3600">
        <f>IMAGE("file:///E:/Estudios%20y%20certificaciones/ESTUDIOS%20DE%20PROGRAMMING/PROGRAMMING/PERSONAL/PYTHON/Image_Generator_API/imagenes/NAUTICA_MENS_V825548_DNY_2.jpg")</f>
        <v/>
      </c>
      <c r="N3600">
        <f>IMAGE("file:///E:/Estudios%20y%20certificaciones/ESTUDIOS%20DE%20PROGRAMMING/PROGRAMMING/PERSONAL/PYTHON/Image_Generator_API/imagenes/NAUTICA_MENS_V825548_DNY_3.jpg")</f>
        <v/>
      </c>
      <c r="O3600">
        <f>HYPERLINK("imagenes/NAUTICA_MENS_V825548_DNY_1.jpg","Ver imagen")</f>
        <v/>
      </c>
      <c r="P3600">
        <f>HYPERLINK("imagenes/NAUTICA_MENS_V825548_DNY_2.jpg","Ver imagen")</f>
        <v/>
      </c>
      <c r="Q3600">
        <f>HYPERLINK("imagenes/NAUTICA_MENS_V825548_DNY_3.jpg","Ver imagen")</f>
        <v/>
      </c>
    </row>
    <row r="3601">
      <c r="A3601" t="inlineStr">
        <is>
          <t>NAUTICA MENS</t>
        </is>
      </c>
      <c r="B3601" t="inlineStr">
        <is>
          <t>V825548</t>
        </is>
      </c>
      <c r="C3601" t="inlineStr">
        <is>
          <t>WOOL PEACOAT</t>
        </is>
      </c>
      <c r="D3601" t="inlineStr">
        <is>
          <t>LGR</t>
        </is>
      </c>
      <c r="E3601" t="inlineStr">
        <is>
          <t>(en blanco)</t>
        </is>
      </c>
      <c r="F3601" t="inlineStr">
        <is>
          <t>(en blanco)</t>
        </is>
      </c>
      <c r="G3601" t="inlineStr">
        <is>
          <t>M</t>
        </is>
      </c>
      <c r="H3601" t="n">
        <v>72</v>
      </c>
      <c r="I3601" t="inlineStr">
        <is>
          <t>NAUTICA_MENS_V825548_LGR_1.jpg</t>
        </is>
      </c>
      <c r="J3601" t="inlineStr">
        <is>
          <t>NAUTICA_MENS_V825548_LGR_2.jpg</t>
        </is>
      </c>
      <c r="K3601" t="inlineStr">
        <is>
          <t>NAUTICA_MENS_V825548_LGR_3.jpg</t>
        </is>
      </c>
      <c r="L3601">
        <f>IMAGE("file:///E:/Estudios%20y%20certificaciones/ESTUDIOS%20DE%20PROGRAMMING/PROGRAMMING/PERSONAL/PYTHON/Image_Generator_API/imagenes/NAUTICA_MENS_V825548_LGR_1.jpg")</f>
        <v/>
      </c>
      <c r="M3601">
        <f>IMAGE("file:///E:/Estudios%20y%20certificaciones/ESTUDIOS%20DE%20PROGRAMMING/PROGRAMMING/PERSONAL/PYTHON/Image_Generator_API/imagenes/NAUTICA_MENS_V825548_LGR_2.jpg")</f>
        <v/>
      </c>
      <c r="N3601">
        <f>IMAGE("file:///E:/Estudios%20y%20certificaciones/ESTUDIOS%20DE%20PROGRAMMING/PROGRAMMING/PERSONAL/PYTHON/Image_Generator_API/imagenes/NAUTICA_MENS_V825548_LGR_3.jpg")</f>
        <v/>
      </c>
      <c r="O3601">
        <f>HYPERLINK("imagenes/NAUTICA_MENS_V825548_LGR_1.jpg","Ver imagen")</f>
        <v/>
      </c>
      <c r="P3601">
        <f>HYPERLINK("imagenes/NAUTICA_MENS_V825548_LGR_2.jpg","Ver imagen")</f>
        <v/>
      </c>
      <c r="Q3601">
        <f>HYPERLINK("imagenes/NAUTICA_MENS_V825548_LGR_3.jpg","Ver imagen")</f>
        <v/>
      </c>
    </row>
    <row r="3602">
      <c r="A3602" t="inlineStr">
        <is>
          <t>NAUTICA MENS</t>
        </is>
      </c>
      <c r="B3602" t="inlineStr">
        <is>
          <t>V825548</t>
        </is>
      </c>
      <c r="C3602" t="inlineStr">
        <is>
          <t>WOOL PEACOAT</t>
        </is>
      </c>
      <c r="D3602" t="inlineStr">
        <is>
          <t>LGR</t>
        </is>
      </c>
      <c r="E3602" t="inlineStr">
        <is>
          <t>(en blanco)</t>
        </is>
      </c>
      <c r="F3602" t="inlineStr">
        <is>
          <t>(en blanco)</t>
        </is>
      </c>
      <c r="G3602" t="inlineStr">
        <is>
          <t>L</t>
        </is>
      </c>
      <c r="H3602" t="n">
        <v>12</v>
      </c>
      <c r="I3602" t="inlineStr">
        <is>
          <t>NAUTICA_MENS_V825548_LGR_1.jpg</t>
        </is>
      </c>
      <c r="J3602" t="inlineStr">
        <is>
          <t>NAUTICA_MENS_V825548_LGR_2.jpg</t>
        </is>
      </c>
      <c r="K3602" t="inlineStr">
        <is>
          <t>NAUTICA_MENS_V825548_LGR_3.jpg</t>
        </is>
      </c>
      <c r="L3602">
        <f>IMAGE("file:///E:/Estudios%20y%20certificaciones/ESTUDIOS%20DE%20PROGRAMMING/PROGRAMMING/PERSONAL/PYTHON/Image_Generator_API/imagenes/NAUTICA_MENS_V825548_LGR_1.jpg")</f>
        <v/>
      </c>
      <c r="M3602">
        <f>IMAGE("file:///E:/Estudios%20y%20certificaciones/ESTUDIOS%20DE%20PROGRAMMING/PROGRAMMING/PERSONAL/PYTHON/Image_Generator_API/imagenes/NAUTICA_MENS_V825548_LGR_2.jpg")</f>
        <v/>
      </c>
      <c r="N3602">
        <f>IMAGE("file:///E:/Estudios%20y%20certificaciones/ESTUDIOS%20DE%20PROGRAMMING/PROGRAMMING/PERSONAL/PYTHON/Image_Generator_API/imagenes/NAUTICA_MENS_V825548_LGR_3.jpg")</f>
        <v/>
      </c>
      <c r="O3602">
        <f>HYPERLINK("imagenes/NAUTICA_MENS_V825548_LGR_1.jpg","Ver imagen")</f>
        <v/>
      </c>
      <c r="P3602">
        <f>HYPERLINK("imagenes/NAUTICA_MENS_V825548_LGR_2.jpg","Ver imagen")</f>
        <v/>
      </c>
      <c r="Q3602">
        <f>HYPERLINK("imagenes/NAUTICA_MENS_V825548_LGR_3.jpg","Ver imagen")</f>
        <v/>
      </c>
    </row>
    <row r="3603">
      <c r="A3603" t="inlineStr">
        <is>
          <t>NAUTICA MENS</t>
        </is>
      </c>
      <c r="B3603" t="inlineStr">
        <is>
          <t>V825548</t>
        </is>
      </c>
      <c r="C3603" t="inlineStr">
        <is>
          <t>WOOL PEACOAT</t>
        </is>
      </c>
      <c r="D3603" t="inlineStr">
        <is>
          <t>LGR</t>
        </is>
      </c>
      <c r="E3603" t="inlineStr">
        <is>
          <t>(en blanco)</t>
        </is>
      </c>
      <c r="F3603" t="inlineStr">
        <is>
          <t>(en blanco)</t>
        </is>
      </c>
      <c r="G3603" t="inlineStr">
        <is>
          <t>XL</t>
        </is>
      </c>
      <c r="H3603" t="n">
        <v>1</v>
      </c>
      <c r="I3603" t="inlineStr">
        <is>
          <t>NAUTICA_MENS_V825548_LGR_1.jpg</t>
        </is>
      </c>
      <c r="J3603" t="inlineStr">
        <is>
          <t>NAUTICA_MENS_V825548_LGR_2.jpg</t>
        </is>
      </c>
      <c r="K3603" t="inlineStr">
        <is>
          <t>NAUTICA_MENS_V825548_LGR_3.jpg</t>
        </is>
      </c>
      <c r="L3603">
        <f>IMAGE("file:///E:/Estudios%20y%20certificaciones/ESTUDIOS%20DE%20PROGRAMMING/PROGRAMMING/PERSONAL/PYTHON/Image_Generator_API/imagenes/NAUTICA_MENS_V825548_LGR_1.jpg")</f>
        <v/>
      </c>
      <c r="M3603">
        <f>IMAGE("file:///E:/Estudios%20y%20certificaciones/ESTUDIOS%20DE%20PROGRAMMING/PROGRAMMING/PERSONAL/PYTHON/Image_Generator_API/imagenes/NAUTICA_MENS_V825548_LGR_2.jpg")</f>
        <v/>
      </c>
      <c r="N3603">
        <f>IMAGE("file:///E:/Estudios%20y%20certificaciones/ESTUDIOS%20DE%20PROGRAMMING/PROGRAMMING/PERSONAL/PYTHON/Image_Generator_API/imagenes/NAUTICA_MENS_V825548_LGR_3.jpg")</f>
        <v/>
      </c>
      <c r="O3603">
        <f>HYPERLINK("imagenes/NAUTICA_MENS_V825548_LGR_1.jpg","Ver imagen")</f>
        <v/>
      </c>
      <c r="P3603">
        <f>HYPERLINK("imagenes/NAUTICA_MENS_V825548_LGR_2.jpg","Ver imagen")</f>
        <v/>
      </c>
      <c r="Q3603">
        <f>HYPERLINK("imagenes/NAUTICA_MENS_V825548_LGR_3.jpg","Ver imagen")</f>
        <v/>
      </c>
    </row>
    <row r="3604">
      <c r="A3604" t="inlineStr">
        <is>
          <t>NAUTICA MENS</t>
        </is>
      </c>
      <c r="B3604" t="inlineStr">
        <is>
          <t>V825548</t>
        </is>
      </c>
      <c r="C3604" t="inlineStr">
        <is>
          <t>WOOL PEACOAT</t>
        </is>
      </c>
      <c r="D3604" t="inlineStr">
        <is>
          <t>LGR</t>
        </is>
      </c>
      <c r="E3604" t="inlineStr">
        <is>
          <t>(en blanco)</t>
        </is>
      </c>
      <c r="F3604" t="inlineStr">
        <is>
          <t>(en blanco)</t>
        </is>
      </c>
      <c r="G3604" t="inlineStr">
        <is>
          <t>XXL</t>
        </is>
      </c>
      <c r="H3604" t="n">
        <v>46</v>
      </c>
      <c r="I3604" t="inlineStr">
        <is>
          <t>NAUTICA_MENS_V825548_LGR_1.jpg</t>
        </is>
      </c>
      <c r="J3604" t="inlineStr">
        <is>
          <t>NAUTICA_MENS_V825548_LGR_2.jpg</t>
        </is>
      </c>
      <c r="K3604" t="inlineStr">
        <is>
          <t>NAUTICA_MENS_V825548_LGR_3.jpg</t>
        </is>
      </c>
      <c r="L3604">
        <f>IMAGE("file:///E:/Estudios%20y%20certificaciones/ESTUDIOS%20DE%20PROGRAMMING/PROGRAMMING/PERSONAL/PYTHON/Image_Generator_API/imagenes/NAUTICA_MENS_V825548_LGR_1.jpg")</f>
        <v/>
      </c>
      <c r="M3604">
        <f>IMAGE("file:///E:/Estudios%20y%20certificaciones/ESTUDIOS%20DE%20PROGRAMMING/PROGRAMMING/PERSONAL/PYTHON/Image_Generator_API/imagenes/NAUTICA_MENS_V825548_LGR_2.jpg")</f>
        <v/>
      </c>
      <c r="N3604">
        <f>IMAGE("file:///E:/Estudios%20y%20certificaciones/ESTUDIOS%20DE%20PROGRAMMING/PROGRAMMING/PERSONAL/PYTHON/Image_Generator_API/imagenes/NAUTICA_MENS_V825548_LGR_3.jpg")</f>
        <v/>
      </c>
      <c r="O3604">
        <f>HYPERLINK("imagenes/NAUTICA_MENS_V825548_LGR_1.jpg","Ver imagen")</f>
        <v/>
      </c>
      <c r="P3604">
        <f>HYPERLINK("imagenes/NAUTICA_MENS_V825548_LGR_2.jpg","Ver imagen")</f>
        <v/>
      </c>
      <c r="Q3604">
        <f>HYPERLINK("imagenes/NAUTICA_MENS_V825548_LGR_3.jpg","Ver imagen")</f>
        <v/>
      </c>
    </row>
    <row r="3605">
      <c r="A3605" t="inlineStr">
        <is>
          <t>NAUTICA MENS</t>
        </is>
      </c>
      <c r="B3605" t="inlineStr">
        <is>
          <t>V825548</t>
        </is>
      </c>
      <c r="C3605" t="inlineStr">
        <is>
          <t>WOOL PEACOAT</t>
        </is>
      </c>
      <c r="D3605" t="inlineStr">
        <is>
          <t>LOD</t>
        </is>
      </c>
      <c r="E3605" t="inlineStr">
        <is>
          <t>(en blanco)</t>
        </is>
      </c>
      <c r="F3605" t="inlineStr">
        <is>
          <t>(en blanco)</t>
        </is>
      </c>
      <c r="G3605" t="inlineStr">
        <is>
          <t>S</t>
        </is>
      </c>
      <c r="H3605" t="n">
        <v>14</v>
      </c>
      <c r="I3605" t="inlineStr">
        <is>
          <t>NAUTICA_MENS_V825548_LOD_1.jpg</t>
        </is>
      </c>
      <c r="J3605" t="inlineStr">
        <is>
          <t>NAUTICA_MENS_V825548_LOD_2.jpg</t>
        </is>
      </c>
      <c r="K3605" t="inlineStr">
        <is>
          <t>NAUTICA_MENS_V825548_LOD_3.jpg</t>
        </is>
      </c>
      <c r="L3605">
        <f>IMAGE("file:///E:/Estudios%20y%20certificaciones/ESTUDIOS%20DE%20PROGRAMMING/PROGRAMMING/PERSONAL/PYTHON/Image_Generator_API/imagenes/NAUTICA_MENS_V825548_LOD_1.jpg")</f>
        <v/>
      </c>
      <c r="M3605">
        <f>IMAGE("file:///E:/Estudios%20y%20certificaciones/ESTUDIOS%20DE%20PROGRAMMING/PROGRAMMING/PERSONAL/PYTHON/Image_Generator_API/imagenes/NAUTICA_MENS_V825548_LOD_2.jpg")</f>
        <v/>
      </c>
      <c r="N3605">
        <f>IMAGE("file:///E:/Estudios%20y%20certificaciones/ESTUDIOS%20DE%20PROGRAMMING/PROGRAMMING/PERSONAL/PYTHON/Image_Generator_API/imagenes/NAUTICA_MENS_V825548_LOD_3.jpg")</f>
        <v/>
      </c>
      <c r="O3605">
        <f>HYPERLINK("imagenes/NAUTICA_MENS_V825548_LOD_1.jpg","Ver imagen")</f>
        <v/>
      </c>
      <c r="P3605">
        <f>HYPERLINK("imagenes/NAUTICA_MENS_V825548_LOD_2.jpg","Ver imagen")</f>
        <v/>
      </c>
      <c r="Q3605">
        <f>HYPERLINK("imagenes/NAUTICA_MENS_V825548_LOD_3.jpg","Ver imagen")</f>
        <v/>
      </c>
    </row>
    <row r="3606">
      <c r="A3606" t="inlineStr">
        <is>
          <t>NAUTICA MENS</t>
        </is>
      </c>
      <c r="B3606" t="inlineStr">
        <is>
          <t>V825548</t>
        </is>
      </c>
      <c r="C3606" t="inlineStr">
        <is>
          <t>WOOL PEACOAT</t>
        </is>
      </c>
      <c r="D3606" t="inlineStr">
        <is>
          <t>LOD</t>
        </is>
      </c>
      <c r="E3606" t="inlineStr">
        <is>
          <t>(en blanco)</t>
        </is>
      </c>
      <c r="F3606" t="inlineStr">
        <is>
          <t>(en blanco)</t>
        </is>
      </c>
      <c r="G3606" t="inlineStr">
        <is>
          <t>M</t>
        </is>
      </c>
      <c r="H3606" t="n">
        <v>57</v>
      </c>
      <c r="I3606" t="inlineStr">
        <is>
          <t>NAUTICA_MENS_V825548_LOD_1.jpg</t>
        </is>
      </c>
      <c r="J3606" t="inlineStr">
        <is>
          <t>NAUTICA_MENS_V825548_LOD_2.jpg</t>
        </is>
      </c>
      <c r="K3606" t="inlineStr">
        <is>
          <t>NAUTICA_MENS_V825548_LOD_3.jpg</t>
        </is>
      </c>
      <c r="L3606">
        <f>IMAGE("file:///E:/Estudios%20y%20certificaciones/ESTUDIOS%20DE%20PROGRAMMING/PROGRAMMING/PERSONAL/PYTHON/Image_Generator_API/imagenes/NAUTICA_MENS_V825548_LOD_1.jpg")</f>
        <v/>
      </c>
      <c r="M3606">
        <f>IMAGE("file:///E:/Estudios%20y%20certificaciones/ESTUDIOS%20DE%20PROGRAMMING/PROGRAMMING/PERSONAL/PYTHON/Image_Generator_API/imagenes/NAUTICA_MENS_V825548_LOD_2.jpg")</f>
        <v/>
      </c>
      <c r="N3606">
        <f>IMAGE("file:///E:/Estudios%20y%20certificaciones/ESTUDIOS%20DE%20PROGRAMMING/PROGRAMMING/PERSONAL/PYTHON/Image_Generator_API/imagenes/NAUTICA_MENS_V825548_LOD_3.jpg")</f>
        <v/>
      </c>
      <c r="O3606">
        <f>HYPERLINK("imagenes/NAUTICA_MENS_V825548_LOD_1.jpg","Ver imagen")</f>
        <v/>
      </c>
      <c r="P3606">
        <f>HYPERLINK("imagenes/NAUTICA_MENS_V825548_LOD_2.jpg","Ver imagen")</f>
        <v/>
      </c>
      <c r="Q3606">
        <f>HYPERLINK("imagenes/NAUTICA_MENS_V825548_LOD_3.jpg","Ver imagen")</f>
        <v/>
      </c>
    </row>
    <row r="3607">
      <c r="A3607" t="inlineStr">
        <is>
          <t>NAUTICA MENS</t>
        </is>
      </c>
      <c r="B3607" t="inlineStr">
        <is>
          <t>V825548</t>
        </is>
      </c>
      <c r="C3607" t="inlineStr">
        <is>
          <t>WOOL PEACOAT</t>
        </is>
      </c>
      <c r="D3607" t="inlineStr">
        <is>
          <t>LOD</t>
        </is>
      </c>
      <c r="E3607" t="inlineStr">
        <is>
          <t>(en blanco)</t>
        </is>
      </c>
      <c r="F3607" t="inlineStr">
        <is>
          <t>(en blanco)</t>
        </is>
      </c>
      <c r="G3607" t="inlineStr">
        <is>
          <t>L</t>
        </is>
      </c>
      <c r="H3607" t="n">
        <v>20</v>
      </c>
      <c r="I3607" t="inlineStr">
        <is>
          <t>NAUTICA_MENS_V825548_LOD_1.jpg</t>
        </is>
      </c>
      <c r="J3607" t="inlineStr">
        <is>
          <t>NAUTICA_MENS_V825548_LOD_2.jpg</t>
        </is>
      </c>
      <c r="K3607" t="inlineStr">
        <is>
          <t>NAUTICA_MENS_V825548_LOD_3.jpg</t>
        </is>
      </c>
      <c r="L3607">
        <f>IMAGE("file:///E:/Estudios%20y%20certificaciones/ESTUDIOS%20DE%20PROGRAMMING/PROGRAMMING/PERSONAL/PYTHON/Image_Generator_API/imagenes/NAUTICA_MENS_V825548_LOD_1.jpg")</f>
        <v/>
      </c>
      <c r="M3607">
        <f>IMAGE("file:///E:/Estudios%20y%20certificaciones/ESTUDIOS%20DE%20PROGRAMMING/PROGRAMMING/PERSONAL/PYTHON/Image_Generator_API/imagenes/NAUTICA_MENS_V825548_LOD_2.jpg")</f>
        <v/>
      </c>
      <c r="N3607">
        <f>IMAGE("file:///E:/Estudios%20y%20certificaciones/ESTUDIOS%20DE%20PROGRAMMING/PROGRAMMING/PERSONAL/PYTHON/Image_Generator_API/imagenes/NAUTICA_MENS_V825548_LOD_3.jpg")</f>
        <v/>
      </c>
      <c r="O3607">
        <f>HYPERLINK("imagenes/NAUTICA_MENS_V825548_LOD_1.jpg","Ver imagen")</f>
        <v/>
      </c>
      <c r="P3607">
        <f>HYPERLINK("imagenes/NAUTICA_MENS_V825548_LOD_2.jpg","Ver imagen")</f>
        <v/>
      </c>
      <c r="Q3607">
        <f>HYPERLINK("imagenes/NAUTICA_MENS_V825548_LOD_3.jpg","Ver imagen")</f>
        <v/>
      </c>
    </row>
    <row r="3608">
      <c r="A3608" t="inlineStr">
        <is>
          <t>NAUTICA MENS</t>
        </is>
      </c>
      <c r="B3608" t="inlineStr">
        <is>
          <t>V825548</t>
        </is>
      </c>
      <c r="C3608" t="inlineStr">
        <is>
          <t>WOOL PEACOAT</t>
        </is>
      </c>
      <c r="D3608" t="inlineStr">
        <is>
          <t>LOD</t>
        </is>
      </c>
      <c r="E3608" t="inlineStr">
        <is>
          <t>(en blanco)</t>
        </is>
      </c>
      <c r="F3608" t="inlineStr">
        <is>
          <t>(en blanco)</t>
        </is>
      </c>
      <c r="G3608" t="inlineStr">
        <is>
          <t>XL</t>
        </is>
      </c>
      <c r="H3608" t="n">
        <v>4</v>
      </c>
      <c r="I3608" t="inlineStr">
        <is>
          <t>NAUTICA_MENS_V825548_LOD_1.jpg</t>
        </is>
      </c>
      <c r="J3608" t="inlineStr">
        <is>
          <t>NAUTICA_MENS_V825548_LOD_2.jpg</t>
        </is>
      </c>
      <c r="K3608" t="inlineStr">
        <is>
          <t>NAUTICA_MENS_V825548_LOD_3.jpg</t>
        </is>
      </c>
      <c r="L3608">
        <f>IMAGE("file:///E:/Estudios%20y%20certificaciones/ESTUDIOS%20DE%20PROGRAMMING/PROGRAMMING/PERSONAL/PYTHON/Image_Generator_API/imagenes/NAUTICA_MENS_V825548_LOD_1.jpg")</f>
        <v/>
      </c>
      <c r="M3608">
        <f>IMAGE("file:///E:/Estudios%20y%20certificaciones/ESTUDIOS%20DE%20PROGRAMMING/PROGRAMMING/PERSONAL/PYTHON/Image_Generator_API/imagenes/NAUTICA_MENS_V825548_LOD_2.jpg")</f>
        <v/>
      </c>
      <c r="N3608">
        <f>IMAGE("file:///E:/Estudios%20y%20certificaciones/ESTUDIOS%20DE%20PROGRAMMING/PROGRAMMING/PERSONAL/PYTHON/Image_Generator_API/imagenes/NAUTICA_MENS_V825548_LOD_3.jpg")</f>
        <v/>
      </c>
      <c r="O3608">
        <f>HYPERLINK("imagenes/NAUTICA_MENS_V825548_LOD_1.jpg","Ver imagen")</f>
        <v/>
      </c>
      <c r="P3608">
        <f>HYPERLINK("imagenes/NAUTICA_MENS_V825548_LOD_2.jpg","Ver imagen")</f>
        <v/>
      </c>
      <c r="Q3608">
        <f>HYPERLINK("imagenes/NAUTICA_MENS_V825548_LOD_3.jpg","Ver imagen")</f>
        <v/>
      </c>
    </row>
    <row r="3609">
      <c r="A3609" t="inlineStr">
        <is>
          <t>NAUTICA MENS</t>
        </is>
      </c>
      <c r="B3609" t="inlineStr">
        <is>
          <t>V825548</t>
        </is>
      </c>
      <c r="C3609" t="inlineStr">
        <is>
          <t>WOOL PEACOAT</t>
        </is>
      </c>
      <c r="D3609" t="inlineStr">
        <is>
          <t>LOD</t>
        </is>
      </c>
      <c r="E3609" t="inlineStr">
        <is>
          <t>(en blanco)</t>
        </is>
      </c>
      <c r="F3609" t="inlineStr">
        <is>
          <t>(en blanco)</t>
        </is>
      </c>
      <c r="G3609" t="inlineStr">
        <is>
          <t>XXL</t>
        </is>
      </c>
      <c r="H3609" t="n">
        <v>5</v>
      </c>
      <c r="I3609" t="inlineStr">
        <is>
          <t>NAUTICA_MENS_V825548_LOD_1.jpg</t>
        </is>
      </c>
      <c r="J3609" t="inlineStr">
        <is>
          <t>NAUTICA_MENS_V825548_LOD_2.jpg</t>
        </is>
      </c>
      <c r="K3609" t="inlineStr">
        <is>
          <t>NAUTICA_MENS_V825548_LOD_3.jpg</t>
        </is>
      </c>
      <c r="L3609">
        <f>IMAGE("file:///E:/Estudios%20y%20certificaciones/ESTUDIOS%20DE%20PROGRAMMING/PROGRAMMING/PERSONAL/PYTHON/Image_Generator_API/imagenes/NAUTICA_MENS_V825548_LOD_1.jpg")</f>
        <v/>
      </c>
      <c r="M3609">
        <f>IMAGE("file:///E:/Estudios%20y%20certificaciones/ESTUDIOS%20DE%20PROGRAMMING/PROGRAMMING/PERSONAL/PYTHON/Image_Generator_API/imagenes/NAUTICA_MENS_V825548_LOD_2.jpg")</f>
        <v/>
      </c>
      <c r="N3609">
        <f>IMAGE("file:///E:/Estudios%20y%20certificaciones/ESTUDIOS%20DE%20PROGRAMMING/PROGRAMMING/PERSONAL/PYTHON/Image_Generator_API/imagenes/NAUTICA_MENS_V825548_LOD_3.jpg")</f>
        <v/>
      </c>
      <c r="O3609">
        <f>HYPERLINK("imagenes/NAUTICA_MENS_V825548_LOD_1.jpg","Ver imagen")</f>
        <v/>
      </c>
      <c r="P3609">
        <f>HYPERLINK("imagenes/NAUTICA_MENS_V825548_LOD_2.jpg","Ver imagen")</f>
        <v/>
      </c>
      <c r="Q3609">
        <f>HYPERLINK("imagenes/NAUTICA_MENS_V825548_LOD_3.jpg","Ver imagen")</f>
        <v/>
      </c>
    </row>
    <row r="3610">
      <c r="A3610" t="inlineStr">
        <is>
          <t>SAGE COLLECTIVE OUTERWEAR</t>
        </is>
      </c>
      <c r="B3610" t="inlineStr">
        <is>
          <t>107010295</t>
        </is>
      </c>
      <c r="C3610" t="inlineStr">
        <is>
          <t>32 STRETCH PUFFER REF 121001176</t>
        </is>
      </c>
      <c r="D3610" t="inlineStr">
        <is>
          <t>BLK</t>
        </is>
      </c>
      <c r="E3610" t="inlineStr">
        <is>
          <t>06A01</t>
        </is>
      </c>
      <c r="F3610" t="inlineStr">
        <is>
          <t>(en blanco)</t>
        </is>
      </c>
      <c r="G3610" t="inlineStr">
        <is>
          <t>PPK</t>
        </is>
      </c>
      <c r="H3610" t="n">
        <v>5496</v>
      </c>
      <c r="I3610" t="inlineStr">
        <is>
          <t>SAGE_COLLECTIVE_OUTERWEAR_107010295_BLK_1.jpg</t>
        </is>
      </c>
      <c r="J3610" t="inlineStr">
        <is>
          <t>SAGE_COLLECTIVE_OUTERWEAR_107010295_BLK_2.jpg</t>
        </is>
      </c>
      <c r="K3610" t="inlineStr">
        <is>
          <t>SAGE_COLLECTIVE_OUTERWEAR_107010295_BLK_3.jpg</t>
        </is>
      </c>
      <c r="L3610">
        <f>IMAGE("file:///E:/Estudios%20y%20certificaciones/ESTUDIOS%20DE%20PROGRAMMING/PROGRAMMING/PERSONAL/PYTHON/Image_Generator_API/imagenes/SAGE_COLLECTIVE_OUTERWEAR_107010295_BLK_1.jpg")</f>
        <v/>
      </c>
      <c r="M3610">
        <f>IMAGE("file:///E:/Estudios%20y%20certificaciones/ESTUDIOS%20DE%20PROGRAMMING/PROGRAMMING/PERSONAL/PYTHON/Image_Generator_API/imagenes/SAGE_COLLECTIVE_OUTERWEAR_107010295_BLK_2.jpg")</f>
        <v/>
      </c>
      <c r="N3610">
        <f>IMAGE("file:///E:/Estudios%20y%20certificaciones/ESTUDIOS%20DE%20PROGRAMMING/PROGRAMMING/PERSONAL/PYTHON/Image_Generator_API/imagenes/SAGE_COLLECTIVE_OUTERWEAR_107010295_BLK_3.jpg")</f>
        <v/>
      </c>
      <c r="O3610">
        <f>HYPERLINK("imagenes/SAGE_COLLECTIVE_OUTERWEAR_107010295_BLK_1.jpg","Ver imagen")</f>
        <v/>
      </c>
      <c r="P3610">
        <f>HYPERLINK("imagenes/SAGE_COLLECTIVE_OUTERWEAR_107010295_BLK_2.jpg","Ver imagen")</f>
        <v/>
      </c>
      <c r="Q3610">
        <f>HYPERLINK("imagenes/SAGE_COLLECTIVE_OUTERWEAR_107010295_BLK_3.jpg","Ver imagen")</f>
        <v/>
      </c>
    </row>
    <row r="3611">
      <c r="A3611" t="inlineStr">
        <is>
          <t>SAGE COLLECTIVE OUTERWEAR</t>
        </is>
      </c>
      <c r="B3611" t="inlineStr">
        <is>
          <t>107010295</t>
        </is>
      </c>
      <c r="C3611" t="inlineStr">
        <is>
          <t>32 STRETCH PUFFER REF 121001176</t>
        </is>
      </c>
      <c r="D3611" t="inlineStr">
        <is>
          <t>BLK</t>
        </is>
      </c>
      <c r="E3611" t="inlineStr">
        <is>
          <t>(en blanco)</t>
        </is>
      </c>
      <c r="F3611" t="inlineStr">
        <is>
          <t>D2C</t>
        </is>
      </c>
      <c r="G3611" t="inlineStr">
        <is>
          <t>S</t>
        </is>
      </c>
      <c r="H3611" t="n">
        <v>34</v>
      </c>
      <c r="I3611" t="inlineStr">
        <is>
          <t>SAGE_COLLECTIVE_OUTERWEAR_107010295_BLK_1.jpg</t>
        </is>
      </c>
      <c r="J3611" t="inlineStr">
        <is>
          <t>SAGE_COLLECTIVE_OUTERWEAR_107010295_BLK_2.jpg</t>
        </is>
      </c>
      <c r="K3611" t="inlineStr">
        <is>
          <t>SAGE_COLLECTIVE_OUTERWEAR_107010295_BLK_3.jpg</t>
        </is>
      </c>
      <c r="L3611">
        <f>IMAGE("file:///E:/Estudios%20y%20certificaciones/ESTUDIOS%20DE%20PROGRAMMING/PROGRAMMING/PERSONAL/PYTHON/Image_Generator_API/imagenes/SAGE_COLLECTIVE_OUTERWEAR_107010295_BLK_1.jpg")</f>
        <v/>
      </c>
      <c r="M3611">
        <f>IMAGE("file:///E:/Estudios%20y%20certificaciones/ESTUDIOS%20DE%20PROGRAMMING/PROGRAMMING/PERSONAL/PYTHON/Image_Generator_API/imagenes/SAGE_COLLECTIVE_OUTERWEAR_107010295_BLK_2.jpg")</f>
        <v/>
      </c>
      <c r="N3611">
        <f>IMAGE("file:///E:/Estudios%20y%20certificaciones/ESTUDIOS%20DE%20PROGRAMMING/PROGRAMMING/PERSONAL/PYTHON/Image_Generator_API/imagenes/SAGE_COLLECTIVE_OUTERWEAR_107010295_BLK_3.jpg")</f>
        <v/>
      </c>
      <c r="O3611">
        <f>HYPERLINK("imagenes/SAGE_COLLECTIVE_OUTERWEAR_107010295_BLK_1.jpg","Ver imagen")</f>
        <v/>
      </c>
      <c r="P3611">
        <f>HYPERLINK("imagenes/SAGE_COLLECTIVE_OUTERWEAR_107010295_BLK_2.jpg","Ver imagen")</f>
        <v/>
      </c>
      <c r="Q3611">
        <f>HYPERLINK("imagenes/SAGE_COLLECTIVE_OUTERWEAR_107010295_BLK_3.jpg","Ver imagen")</f>
        <v/>
      </c>
    </row>
    <row r="3612">
      <c r="A3612" t="inlineStr">
        <is>
          <t>SAGE COLLECTIVE OUTERWEAR</t>
        </is>
      </c>
      <c r="B3612" t="inlineStr">
        <is>
          <t>107010295</t>
        </is>
      </c>
      <c r="C3612" t="inlineStr">
        <is>
          <t>32 STRETCH PUFFER REF 121001176</t>
        </is>
      </c>
      <c r="D3612" t="inlineStr">
        <is>
          <t>BLK</t>
        </is>
      </c>
      <c r="E3612" t="inlineStr">
        <is>
          <t>(en blanco)</t>
        </is>
      </c>
      <c r="F3612" t="inlineStr">
        <is>
          <t>D2C</t>
        </is>
      </c>
      <c r="G3612" t="inlineStr">
        <is>
          <t>M</t>
        </is>
      </c>
      <c r="H3612" t="n">
        <v>68</v>
      </c>
      <c r="I3612" t="inlineStr">
        <is>
          <t>SAGE_COLLECTIVE_OUTERWEAR_107010295_BLK_1.jpg</t>
        </is>
      </c>
      <c r="J3612" t="inlineStr">
        <is>
          <t>SAGE_COLLECTIVE_OUTERWEAR_107010295_BLK_2.jpg</t>
        </is>
      </c>
      <c r="K3612" t="inlineStr">
        <is>
          <t>SAGE_COLLECTIVE_OUTERWEAR_107010295_BLK_3.jpg</t>
        </is>
      </c>
      <c r="L3612">
        <f>IMAGE("file:///E:/Estudios%20y%20certificaciones/ESTUDIOS%20DE%20PROGRAMMING/PROGRAMMING/PERSONAL/PYTHON/Image_Generator_API/imagenes/SAGE_COLLECTIVE_OUTERWEAR_107010295_BLK_1.jpg")</f>
        <v/>
      </c>
      <c r="M3612">
        <f>IMAGE("file:///E:/Estudios%20y%20certificaciones/ESTUDIOS%20DE%20PROGRAMMING/PROGRAMMING/PERSONAL/PYTHON/Image_Generator_API/imagenes/SAGE_COLLECTIVE_OUTERWEAR_107010295_BLK_2.jpg")</f>
        <v/>
      </c>
      <c r="N3612">
        <f>IMAGE("file:///E:/Estudios%20y%20certificaciones/ESTUDIOS%20DE%20PROGRAMMING/PROGRAMMING/PERSONAL/PYTHON/Image_Generator_API/imagenes/SAGE_COLLECTIVE_OUTERWEAR_107010295_BLK_3.jpg")</f>
        <v/>
      </c>
      <c r="O3612">
        <f>HYPERLINK("imagenes/SAGE_COLLECTIVE_OUTERWEAR_107010295_BLK_1.jpg","Ver imagen")</f>
        <v/>
      </c>
      <c r="P3612">
        <f>HYPERLINK("imagenes/SAGE_COLLECTIVE_OUTERWEAR_107010295_BLK_2.jpg","Ver imagen")</f>
        <v/>
      </c>
      <c r="Q3612">
        <f>HYPERLINK("imagenes/SAGE_COLLECTIVE_OUTERWEAR_107010295_BLK_3.jpg","Ver imagen")</f>
        <v/>
      </c>
    </row>
    <row r="3613">
      <c r="A3613" t="inlineStr">
        <is>
          <t>SAGE COLLECTIVE OUTERWEAR</t>
        </is>
      </c>
      <c r="B3613" t="inlineStr">
        <is>
          <t>107010295</t>
        </is>
      </c>
      <c r="C3613" t="inlineStr">
        <is>
          <t>32 STRETCH PUFFER REF 121001176</t>
        </is>
      </c>
      <c r="D3613" t="inlineStr">
        <is>
          <t>BLK</t>
        </is>
      </c>
      <c r="E3613" t="inlineStr">
        <is>
          <t>(en blanco)</t>
        </is>
      </c>
      <c r="F3613" t="inlineStr">
        <is>
          <t>D2C</t>
        </is>
      </c>
      <c r="G3613" t="inlineStr">
        <is>
          <t>L</t>
        </is>
      </c>
      <c r="H3613" t="n">
        <v>68</v>
      </c>
      <c r="I3613" t="inlineStr">
        <is>
          <t>SAGE_COLLECTIVE_OUTERWEAR_107010295_BLK_1.jpg</t>
        </is>
      </c>
      <c r="J3613" t="inlineStr">
        <is>
          <t>SAGE_COLLECTIVE_OUTERWEAR_107010295_BLK_2.jpg</t>
        </is>
      </c>
      <c r="K3613" t="inlineStr">
        <is>
          <t>SAGE_COLLECTIVE_OUTERWEAR_107010295_BLK_3.jpg</t>
        </is>
      </c>
      <c r="L3613">
        <f>IMAGE("file:///E:/Estudios%20y%20certificaciones/ESTUDIOS%20DE%20PROGRAMMING/PROGRAMMING/PERSONAL/PYTHON/Image_Generator_API/imagenes/SAGE_COLLECTIVE_OUTERWEAR_107010295_BLK_1.jpg")</f>
        <v/>
      </c>
      <c r="M3613">
        <f>IMAGE("file:///E:/Estudios%20y%20certificaciones/ESTUDIOS%20DE%20PROGRAMMING/PROGRAMMING/PERSONAL/PYTHON/Image_Generator_API/imagenes/SAGE_COLLECTIVE_OUTERWEAR_107010295_BLK_2.jpg")</f>
        <v/>
      </c>
      <c r="N3613">
        <f>IMAGE("file:///E:/Estudios%20y%20certificaciones/ESTUDIOS%20DE%20PROGRAMMING/PROGRAMMING/PERSONAL/PYTHON/Image_Generator_API/imagenes/SAGE_COLLECTIVE_OUTERWEAR_107010295_BLK_3.jpg")</f>
        <v/>
      </c>
      <c r="O3613">
        <f>HYPERLINK("imagenes/SAGE_COLLECTIVE_OUTERWEAR_107010295_BLK_1.jpg","Ver imagen")</f>
        <v/>
      </c>
      <c r="P3613">
        <f>HYPERLINK("imagenes/SAGE_COLLECTIVE_OUTERWEAR_107010295_BLK_2.jpg","Ver imagen")</f>
        <v/>
      </c>
      <c r="Q3613">
        <f>HYPERLINK("imagenes/SAGE_COLLECTIVE_OUTERWEAR_107010295_BLK_3.jpg","Ver imagen")</f>
        <v/>
      </c>
    </row>
    <row r="3614">
      <c r="A3614" t="inlineStr">
        <is>
          <t>SAGE COLLECTIVE OUTERWEAR</t>
        </is>
      </c>
      <c r="B3614" t="inlineStr">
        <is>
          <t>107010295</t>
        </is>
      </c>
      <c r="C3614" t="inlineStr">
        <is>
          <t>32 STRETCH PUFFER REF 121001176</t>
        </is>
      </c>
      <c r="D3614" t="inlineStr">
        <is>
          <t>BLK</t>
        </is>
      </c>
      <c r="E3614" t="inlineStr">
        <is>
          <t>(en blanco)</t>
        </is>
      </c>
      <c r="F3614" t="inlineStr">
        <is>
          <t>D2C</t>
        </is>
      </c>
      <c r="G3614" t="inlineStr">
        <is>
          <t>XL</t>
        </is>
      </c>
      <c r="H3614" t="n">
        <v>34</v>
      </c>
      <c r="I3614" t="inlineStr">
        <is>
          <t>SAGE_COLLECTIVE_OUTERWEAR_107010295_BLK_1.jpg</t>
        </is>
      </c>
      <c r="J3614" t="inlineStr">
        <is>
          <t>SAGE_COLLECTIVE_OUTERWEAR_107010295_BLK_2.jpg</t>
        </is>
      </c>
      <c r="K3614" t="inlineStr">
        <is>
          <t>SAGE_COLLECTIVE_OUTERWEAR_107010295_BLK_3.jpg</t>
        </is>
      </c>
      <c r="L3614">
        <f>IMAGE("file:///E:/Estudios%20y%20certificaciones/ESTUDIOS%20DE%20PROGRAMMING/PROGRAMMING/PERSONAL/PYTHON/Image_Generator_API/imagenes/SAGE_COLLECTIVE_OUTERWEAR_107010295_BLK_1.jpg")</f>
        <v/>
      </c>
      <c r="M3614">
        <f>IMAGE("file:///E:/Estudios%20y%20certificaciones/ESTUDIOS%20DE%20PROGRAMMING/PROGRAMMING/PERSONAL/PYTHON/Image_Generator_API/imagenes/SAGE_COLLECTIVE_OUTERWEAR_107010295_BLK_2.jpg")</f>
        <v/>
      </c>
      <c r="N3614">
        <f>IMAGE("file:///E:/Estudios%20y%20certificaciones/ESTUDIOS%20DE%20PROGRAMMING/PROGRAMMING/PERSONAL/PYTHON/Image_Generator_API/imagenes/SAGE_COLLECTIVE_OUTERWEAR_107010295_BLK_3.jpg")</f>
        <v/>
      </c>
      <c r="O3614">
        <f>HYPERLINK("imagenes/SAGE_COLLECTIVE_OUTERWEAR_107010295_BLK_1.jpg","Ver imagen")</f>
        <v/>
      </c>
      <c r="P3614">
        <f>HYPERLINK("imagenes/SAGE_COLLECTIVE_OUTERWEAR_107010295_BLK_2.jpg","Ver imagen")</f>
        <v/>
      </c>
      <c r="Q3614">
        <f>HYPERLINK("imagenes/SAGE_COLLECTIVE_OUTERWEAR_107010295_BLK_3.jpg","Ver imagen")</f>
        <v/>
      </c>
    </row>
    <row r="3615">
      <c r="A3615" t="inlineStr">
        <is>
          <t>SAGE COLLECTIVE OUTERWEAR</t>
        </is>
      </c>
      <c r="B3615" t="inlineStr">
        <is>
          <t>107010295</t>
        </is>
      </c>
      <c r="C3615" t="inlineStr">
        <is>
          <t>32 STRETCH PUFFER REF 121001176</t>
        </is>
      </c>
      <c r="D3615" t="inlineStr">
        <is>
          <t>TFF</t>
        </is>
      </c>
      <c r="E3615" t="inlineStr">
        <is>
          <t>06A01</t>
        </is>
      </c>
      <c r="F3615" t="inlineStr">
        <is>
          <t>(en blanco)</t>
        </is>
      </c>
      <c r="G3615" t="inlineStr">
        <is>
          <t>PPK</t>
        </is>
      </c>
      <c r="H3615" t="n">
        <v>1236</v>
      </c>
      <c r="I3615" t="inlineStr">
        <is>
          <t>SAGE_COLLECTIVE_OUTERWEAR_107010295_TFF_1.jpg</t>
        </is>
      </c>
      <c r="J3615" t="inlineStr">
        <is>
          <t>SAGE_COLLECTIVE_OUTERWEAR_107010295_TFF_2.jpg</t>
        </is>
      </c>
      <c r="K3615" t="inlineStr">
        <is>
          <t>SAGE_COLLECTIVE_OUTERWEAR_107010295_TFF_3.jpg</t>
        </is>
      </c>
      <c r="L3615">
        <f>IMAGE("file:///E:/Estudios%20y%20certificaciones/ESTUDIOS%20DE%20PROGRAMMING/PROGRAMMING/PERSONAL/PYTHON/Image_Generator_API/imagenes/SAGE_COLLECTIVE_OUTERWEAR_107010295_TFF_1.jpg")</f>
        <v/>
      </c>
      <c r="M3615">
        <f>IMAGE("file:///E:/Estudios%20y%20certificaciones/ESTUDIOS%20DE%20PROGRAMMING/PROGRAMMING/PERSONAL/PYTHON/Image_Generator_API/imagenes/SAGE_COLLECTIVE_OUTERWEAR_107010295_TFF_2.jpg")</f>
        <v/>
      </c>
      <c r="N3615">
        <f>IMAGE("file:///E:/Estudios%20y%20certificaciones/ESTUDIOS%20DE%20PROGRAMMING/PROGRAMMING/PERSONAL/PYTHON/Image_Generator_API/imagenes/SAGE_COLLECTIVE_OUTERWEAR_107010295_TFF_3.jpg")</f>
        <v/>
      </c>
      <c r="O3615">
        <f>HYPERLINK("imagenes/SAGE_COLLECTIVE_OUTERWEAR_107010295_TFF_1.jpg","Ver imagen")</f>
        <v/>
      </c>
      <c r="P3615">
        <f>HYPERLINK("imagenes/SAGE_COLLECTIVE_OUTERWEAR_107010295_TFF_2.jpg","Ver imagen")</f>
        <v/>
      </c>
      <c r="Q3615">
        <f>HYPERLINK("imagenes/SAGE_COLLECTIVE_OUTERWEAR_107010295_TFF_3.jpg","Ver imagen")</f>
        <v/>
      </c>
    </row>
    <row r="3616">
      <c r="A3616" t="inlineStr">
        <is>
          <t>SAGE COLLECTIVE OUTERWEAR</t>
        </is>
      </c>
      <c r="B3616" t="inlineStr">
        <is>
          <t>107010295</t>
        </is>
      </c>
      <c r="C3616" t="inlineStr">
        <is>
          <t>32 STRETCH PUFFER REF 121001176</t>
        </is>
      </c>
      <c r="D3616" t="inlineStr">
        <is>
          <t>TFF</t>
        </is>
      </c>
      <c r="E3616" t="inlineStr">
        <is>
          <t>(en blanco)</t>
        </is>
      </c>
      <c r="F3616" t="inlineStr">
        <is>
          <t>D2C</t>
        </is>
      </c>
      <c r="G3616" t="inlineStr">
        <is>
          <t>S</t>
        </is>
      </c>
      <c r="H3616" t="n">
        <v>41</v>
      </c>
      <c r="I3616" t="inlineStr">
        <is>
          <t>SAGE_COLLECTIVE_OUTERWEAR_107010295_TFF_1.jpg</t>
        </is>
      </c>
      <c r="J3616" t="inlineStr">
        <is>
          <t>SAGE_COLLECTIVE_OUTERWEAR_107010295_TFF_2.jpg</t>
        </is>
      </c>
      <c r="K3616" t="inlineStr">
        <is>
          <t>SAGE_COLLECTIVE_OUTERWEAR_107010295_TFF_3.jpg</t>
        </is>
      </c>
      <c r="L3616">
        <f>IMAGE("file:///E:/Estudios%20y%20certificaciones/ESTUDIOS%20DE%20PROGRAMMING/PROGRAMMING/PERSONAL/PYTHON/Image_Generator_API/imagenes/SAGE_COLLECTIVE_OUTERWEAR_107010295_TFF_1.jpg")</f>
        <v/>
      </c>
      <c r="M3616">
        <f>IMAGE("file:///E:/Estudios%20y%20certificaciones/ESTUDIOS%20DE%20PROGRAMMING/PROGRAMMING/PERSONAL/PYTHON/Image_Generator_API/imagenes/SAGE_COLLECTIVE_OUTERWEAR_107010295_TFF_2.jpg")</f>
        <v/>
      </c>
      <c r="N3616">
        <f>IMAGE("file:///E:/Estudios%20y%20certificaciones/ESTUDIOS%20DE%20PROGRAMMING/PROGRAMMING/PERSONAL/PYTHON/Image_Generator_API/imagenes/SAGE_COLLECTIVE_OUTERWEAR_107010295_TFF_3.jpg")</f>
        <v/>
      </c>
      <c r="O3616">
        <f>HYPERLINK("imagenes/SAGE_COLLECTIVE_OUTERWEAR_107010295_TFF_1.jpg","Ver imagen")</f>
        <v/>
      </c>
      <c r="P3616">
        <f>HYPERLINK("imagenes/SAGE_COLLECTIVE_OUTERWEAR_107010295_TFF_2.jpg","Ver imagen")</f>
        <v/>
      </c>
      <c r="Q3616">
        <f>HYPERLINK("imagenes/SAGE_COLLECTIVE_OUTERWEAR_107010295_TFF_3.jpg","Ver imagen")</f>
        <v/>
      </c>
    </row>
    <row r="3617">
      <c r="A3617" t="inlineStr">
        <is>
          <t>SAGE COLLECTIVE OUTERWEAR</t>
        </is>
      </c>
      <c r="B3617" t="inlineStr">
        <is>
          <t>107010295</t>
        </is>
      </c>
      <c r="C3617" t="inlineStr">
        <is>
          <t>32 STRETCH PUFFER REF 121001176</t>
        </is>
      </c>
      <c r="D3617" t="inlineStr">
        <is>
          <t>TFF</t>
        </is>
      </c>
      <c r="E3617" t="inlineStr">
        <is>
          <t>(en blanco)</t>
        </is>
      </c>
      <c r="F3617" t="inlineStr">
        <is>
          <t>D2C</t>
        </is>
      </c>
      <c r="G3617" t="inlineStr">
        <is>
          <t>M</t>
        </is>
      </c>
      <c r="H3617" t="n">
        <v>85</v>
      </c>
      <c r="I3617" t="inlineStr">
        <is>
          <t>SAGE_COLLECTIVE_OUTERWEAR_107010295_TFF_1.jpg</t>
        </is>
      </c>
      <c r="J3617" t="inlineStr">
        <is>
          <t>SAGE_COLLECTIVE_OUTERWEAR_107010295_TFF_2.jpg</t>
        </is>
      </c>
      <c r="K3617" t="inlineStr">
        <is>
          <t>SAGE_COLLECTIVE_OUTERWEAR_107010295_TFF_3.jpg</t>
        </is>
      </c>
      <c r="L3617">
        <f>IMAGE("file:///E:/Estudios%20y%20certificaciones/ESTUDIOS%20DE%20PROGRAMMING/PROGRAMMING/PERSONAL/PYTHON/Image_Generator_API/imagenes/SAGE_COLLECTIVE_OUTERWEAR_107010295_TFF_1.jpg")</f>
        <v/>
      </c>
      <c r="M3617">
        <f>IMAGE("file:///E:/Estudios%20y%20certificaciones/ESTUDIOS%20DE%20PROGRAMMING/PROGRAMMING/PERSONAL/PYTHON/Image_Generator_API/imagenes/SAGE_COLLECTIVE_OUTERWEAR_107010295_TFF_2.jpg")</f>
        <v/>
      </c>
      <c r="N3617">
        <f>IMAGE("file:///E:/Estudios%20y%20certificaciones/ESTUDIOS%20DE%20PROGRAMMING/PROGRAMMING/PERSONAL/PYTHON/Image_Generator_API/imagenes/SAGE_COLLECTIVE_OUTERWEAR_107010295_TFF_3.jpg")</f>
        <v/>
      </c>
      <c r="O3617">
        <f>HYPERLINK("imagenes/SAGE_COLLECTIVE_OUTERWEAR_107010295_TFF_1.jpg","Ver imagen")</f>
        <v/>
      </c>
      <c r="P3617">
        <f>HYPERLINK("imagenes/SAGE_COLLECTIVE_OUTERWEAR_107010295_TFF_2.jpg","Ver imagen")</f>
        <v/>
      </c>
      <c r="Q3617">
        <f>HYPERLINK("imagenes/SAGE_COLLECTIVE_OUTERWEAR_107010295_TFF_3.jpg","Ver imagen")</f>
        <v/>
      </c>
    </row>
    <row r="3618">
      <c r="A3618" t="inlineStr">
        <is>
          <t>SAGE COLLECTIVE OUTERWEAR</t>
        </is>
      </c>
      <c r="B3618" t="inlineStr">
        <is>
          <t>107010295</t>
        </is>
      </c>
      <c r="C3618" t="inlineStr">
        <is>
          <t>32 STRETCH PUFFER REF 121001176</t>
        </is>
      </c>
      <c r="D3618" t="inlineStr">
        <is>
          <t>TFF</t>
        </is>
      </c>
      <c r="E3618" t="inlineStr">
        <is>
          <t>(en blanco)</t>
        </is>
      </c>
      <c r="F3618" t="inlineStr">
        <is>
          <t>D2C</t>
        </is>
      </c>
      <c r="G3618" t="inlineStr">
        <is>
          <t>L</t>
        </is>
      </c>
      <c r="H3618" t="n">
        <v>85</v>
      </c>
      <c r="I3618" t="inlineStr">
        <is>
          <t>SAGE_COLLECTIVE_OUTERWEAR_107010295_TFF_1.jpg</t>
        </is>
      </c>
      <c r="J3618" t="inlineStr">
        <is>
          <t>SAGE_COLLECTIVE_OUTERWEAR_107010295_TFF_2.jpg</t>
        </is>
      </c>
      <c r="K3618" t="inlineStr">
        <is>
          <t>SAGE_COLLECTIVE_OUTERWEAR_107010295_TFF_3.jpg</t>
        </is>
      </c>
      <c r="L3618">
        <f>IMAGE("file:///E:/Estudios%20y%20certificaciones/ESTUDIOS%20DE%20PROGRAMMING/PROGRAMMING/PERSONAL/PYTHON/Image_Generator_API/imagenes/SAGE_COLLECTIVE_OUTERWEAR_107010295_TFF_1.jpg")</f>
        <v/>
      </c>
      <c r="M3618">
        <f>IMAGE("file:///E:/Estudios%20y%20certificaciones/ESTUDIOS%20DE%20PROGRAMMING/PROGRAMMING/PERSONAL/PYTHON/Image_Generator_API/imagenes/SAGE_COLLECTIVE_OUTERWEAR_107010295_TFF_2.jpg")</f>
        <v/>
      </c>
      <c r="N3618">
        <f>IMAGE("file:///E:/Estudios%20y%20certificaciones/ESTUDIOS%20DE%20PROGRAMMING/PROGRAMMING/PERSONAL/PYTHON/Image_Generator_API/imagenes/SAGE_COLLECTIVE_OUTERWEAR_107010295_TFF_3.jpg")</f>
        <v/>
      </c>
      <c r="O3618">
        <f>HYPERLINK("imagenes/SAGE_COLLECTIVE_OUTERWEAR_107010295_TFF_1.jpg","Ver imagen")</f>
        <v/>
      </c>
      <c r="P3618">
        <f>HYPERLINK("imagenes/SAGE_COLLECTIVE_OUTERWEAR_107010295_TFF_2.jpg","Ver imagen")</f>
        <v/>
      </c>
      <c r="Q3618">
        <f>HYPERLINK("imagenes/SAGE_COLLECTIVE_OUTERWEAR_107010295_TFF_3.jpg","Ver imagen")</f>
        <v/>
      </c>
    </row>
    <row r="3619">
      <c r="A3619" t="inlineStr">
        <is>
          <t>SAGE COLLECTIVE OUTERWEAR</t>
        </is>
      </c>
      <c r="B3619" t="inlineStr">
        <is>
          <t>107010295</t>
        </is>
      </c>
      <c r="C3619" t="inlineStr">
        <is>
          <t>32 STRETCH PUFFER REF 121001176</t>
        </is>
      </c>
      <c r="D3619" t="inlineStr">
        <is>
          <t>TFF</t>
        </is>
      </c>
      <c r="E3619" t="inlineStr">
        <is>
          <t>(en blanco)</t>
        </is>
      </c>
      <c r="F3619" t="inlineStr">
        <is>
          <t>(en blanco)</t>
        </is>
      </c>
      <c r="G3619" t="inlineStr">
        <is>
          <t>S</t>
        </is>
      </c>
      <c r="H3619" t="n">
        <v>1</v>
      </c>
      <c r="I3619" t="inlineStr">
        <is>
          <t>SAGE_COLLECTIVE_OUTERWEAR_107010295_TFF_1.jpg</t>
        </is>
      </c>
      <c r="J3619" t="inlineStr">
        <is>
          <t>SAGE_COLLECTIVE_OUTERWEAR_107010295_TFF_2.jpg</t>
        </is>
      </c>
      <c r="K3619" t="inlineStr">
        <is>
          <t>SAGE_COLLECTIVE_OUTERWEAR_107010295_TFF_3.jpg</t>
        </is>
      </c>
      <c r="L3619">
        <f>IMAGE("file:///E:/Estudios%20y%20certificaciones/ESTUDIOS%20DE%20PROGRAMMING/PROGRAMMING/PERSONAL/PYTHON/Image_Generator_API/imagenes/SAGE_COLLECTIVE_OUTERWEAR_107010295_TFF_1.jpg")</f>
        <v/>
      </c>
      <c r="M3619">
        <f>IMAGE("file:///E:/Estudios%20y%20certificaciones/ESTUDIOS%20DE%20PROGRAMMING/PROGRAMMING/PERSONAL/PYTHON/Image_Generator_API/imagenes/SAGE_COLLECTIVE_OUTERWEAR_107010295_TFF_2.jpg")</f>
        <v/>
      </c>
      <c r="N3619">
        <f>IMAGE("file:///E:/Estudios%20y%20certificaciones/ESTUDIOS%20DE%20PROGRAMMING/PROGRAMMING/PERSONAL/PYTHON/Image_Generator_API/imagenes/SAGE_COLLECTIVE_OUTERWEAR_107010295_TFF_3.jpg")</f>
        <v/>
      </c>
      <c r="O3619">
        <f>HYPERLINK("imagenes/SAGE_COLLECTIVE_OUTERWEAR_107010295_TFF_1.jpg","Ver imagen")</f>
        <v/>
      </c>
      <c r="P3619">
        <f>HYPERLINK("imagenes/SAGE_COLLECTIVE_OUTERWEAR_107010295_TFF_2.jpg","Ver imagen")</f>
        <v/>
      </c>
      <c r="Q3619">
        <f>HYPERLINK("imagenes/SAGE_COLLECTIVE_OUTERWEAR_107010295_TFF_3.jpg","Ver imagen")</f>
        <v/>
      </c>
    </row>
    <row r="3620">
      <c r="A3620" t="inlineStr">
        <is>
          <t>SAGE COLLECTIVE OUTERWEAR</t>
        </is>
      </c>
      <c r="B3620" t="inlineStr">
        <is>
          <t>107010295</t>
        </is>
      </c>
      <c r="C3620" t="inlineStr">
        <is>
          <t>32 STRETCH PUFFER REF 121001176</t>
        </is>
      </c>
      <c r="D3620" t="inlineStr">
        <is>
          <t>TFF</t>
        </is>
      </c>
      <c r="E3620" t="inlineStr">
        <is>
          <t>(en blanco)</t>
        </is>
      </c>
      <c r="F3620" t="inlineStr">
        <is>
          <t>(en blanco)</t>
        </is>
      </c>
      <c r="G3620" t="inlineStr">
        <is>
          <t>M</t>
        </is>
      </c>
      <c r="H3620" t="n">
        <v>1</v>
      </c>
      <c r="I3620" t="inlineStr">
        <is>
          <t>SAGE_COLLECTIVE_OUTERWEAR_107010295_TFF_1.jpg</t>
        </is>
      </c>
      <c r="J3620" t="inlineStr">
        <is>
          <t>SAGE_COLLECTIVE_OUTERWEAR_107010295_TFF_2.jpg</t>
        </is>
      </c>
      <c r="K3620" t="inlineStr">
        <is>
          <t>SAGE_COLLECTIVE_OUTERWEAR_107010295_TFF_3.jpg</t>
        </is>
      </c>
      <c r="L3620">
        <f>IMAGE("file:///E:/Estudios%20y%20certificaciones/ESTUDIOS%20DE%20PROGRAMMING/PROGRAMMING/PERSONAL/PYTHON/Image_Generator_API/imagenes/SAGE_COLLECTIVE_OUTERWEAR_107010295_TFF_1.jpg")</f>
        <v/>
      </c>
      <c r="M3620">
        <f>IMAGE("file:///E:/Estudios%20y%20certificaciones/ESTUDIOS%20DE%20PROGRAMMING/PROGRAMMING/PERSONAL/PYTHON/Image_Generator_API/imagenes/SAGE_COLLECTIVE_OUTERWEAR_107010295_TFF_2.jpg")</f>
        <v/>
      </c>
      <c r="N3620">
        <f>IMAGE("file:///E:/Estudios%20y%20certificaciones/ESTUDIOS%20DE%20PROGRAMMING/PROGRAMMING/PERSONAL/PYTHON/Image_Generator_API/imagenes/SAGE_COLLECTIVE_OUTERWEAR_107010295_TFF_3.jpg")</f>
        <v/>
      </c>
      <c r="O3620">
        <f>HYPERLINK("imagenes/SAGE_COLLECTIVE_OUTERWEAR_107010295_TFF_1.jpg","Ver imagen")</f>
        <v/>
      </c>
      <c r="P3620">
        <f>HYPERLINK("imagenes/SAGE_COLLECTIVE_OUTERWEAR_107010295_TFF_2.jpg","Ver imagen")</f>
        <v/>
      </c>
      <c r="Q3620">
        <f>HYPERLINK("imagenes/SAGE_COLLECTIVE_OUTERWEAR_107010295_TFF_3.jpg","Ver imagen")</f>
        <v/>
      </c>
    </row>
    <row r="3621">
      <c r="A3621" t="inlineStr">
        <is>
          <t>SAGE COLLECTIVE OUTERWEAR</t>
        </is>
      </c>
      <c r="B3621" t="inlineStr">
        <is>
          <t>107010295</t>
        </is>
      </c>
      <c r="C3621" t="inlineStr">
        <is>
          <t>32 STRETCH PUFFER REF 121001176</t>
        </is>
      </c>
      <c r="D3621" t="inlineStr">
        <is>
          <t>TFF</t>
        </is>
      </c>
      <c r="E3621" t="inlineStr">
        <is>
          <t>(en blanco)</t>
        </is>
      </c>
      <c r="F3621" t="inlineStr">
        <is>
          <t>(en blanco)</t>
        </is>
      </c>
      <c r="G3621" t="inlineStr">
        <is>
          <t>L</t>
        </is>
      </c>
      <c r="H3621" t="n">
        <v>1</v>
      </c>
      <c r="I3621" t="inlineStr">
        <is>
          <t>SAGE_COLLECTIVE_OUTERWEAR_107010295_TFF_1.jpg</t>
        </is>
      </c>
      <c r="J3621" t="inlineStr">
        <is>
          <t>SAGE_COLLECTIVE_OUTERWEAR_107010295_TFF_2.jpg</t>
        </is>
      </c>
      <c r="K3621" t="inlineStr">
        <is>
          <t>SAGE_COLLECTIVE_OUTERWEAR_107010295_TFF_3.jpg</t>
        </is>
      </c>
      <c r="L3621">
        <f>IMAGE("file:///E:/Estudios%20y%20certificaciones/ESTUDIOS%20DE%20PROGRAMMING/PROGRAMMING/PERSONAL/PYTHON/Image_Generator_API/imagenes/SAGE_COLLECTIVE_OUTERWEAR_107010295_TFF_1.jpg")</f>
        <v/>
      </c>
      <c r="M3621">
        <f>IMAGE("file:///E:/Estudios%20y%20certificaciones/ESTUDIOS%20DE%20PROGRAMMING/PROGRAMMING/PERSONAL/PYTHON/Image_Generator_API/imagenes/SAGE_COLLECTIVE_OUTERWEAR_107010295_TFF_2.jpg")</f>
        <v/>
      </c>
      <c r="N3621">
        <f>IMAGE("file:///E:/Estudios%20y%20certificaciones/ESTUDIOS%20DE%20PROGRAMMING/PROGRAMMING/PERSONAL/PYTHON/Image_Generator_API/imagenes/SAGE_COLLECTIVE_OUTERWEAR_107010295_TFF_3.jpg")</f>
        <v/>
      </c>
      <c r="O3621">
        <f>HYPERLINK("imagenes/SAGE_COLLECTIVE_OUTERWEAR_107010295_TFF_1.jpg","Ver imagen")</f>
        <v/>
      </c>
      <c r="P3621">
        <f>HYPERLINK("imagenes/SAGE_COLLECTIVE_OUTERWEAR_107010295_TFF_2.jpg","Ver imagen")</f>
        <v/>
      </c>
      <c r="Q3621">
        <f>HYPERLINK("imagenes/SAGE_COLLECTIVE_OUTERWEAR_107010295_TFF_3.jpg","Ver imagen")</f>
        <v/>
      </c>
    </row>
    <row r="3622">
      <c r="A3622" t="inlineStr">
        <is>
          <t>SAGE COLLECTIVE OUTERWEAR</t>
        </is>
      </c>
      <c r="B3622" t="inlineStr">
        <is>
          <t>107010295</t>
        </is>
      </c>
      <c r="C3622" t="inlineStr">
        <is>
          <t>32 STRETCH PUFFER REF 121001176</t>
        </is>
      </c>
      <c r="D3622" t="inlineStr">
        <is>
          <t>TFF</t>
        </is>
      </c>
      <c r="E3622" t="inlineStr">
        <is>
          <t>(en blanco)</t>
        </is>
      </c>
      <c r="F3622" t="inlineStr">
        <is>
          <t>(en blanco)</t>
        </is>
      </c>
      <c r="G3622" t="inlineStr">
        <is>
          <t>XL</t>
        </is>
      </c>
      <c r="H3622" t="n">
        <v>43</v>
      </c>
      <c r="I3622" t="inlineStr">
        <is>
          <t>SAGE_COLLECTIVE_OUTERWEAR_107010295_TFF_1.jpg</t>
        </is>
      </c>
      <c r="J3622" t="inlineStr">
        <is>
          <t>SAGE_COLLECTIVE_OUTERWEAR_107010295_TFF_2.jpg</t>
        </is>
      </c>
      <c r="K3622" t="inlineStr">
        <is>
          <t>SAGE_COLLECTIVE_OUTERWEAR_107010295_TFF_3.jpg</t>
        </is>
      </c>
      <c r="L3622">
        <f>IMAGE("file:///E:/Estudios%20y%20certificaciones/ESTUDIOS%20DE%20PROGRAMMING/PROGRAMMING/PERSONAL/PYTHON/Image_Generator_API/imagenes/SAGE_COLLECTIVE_OUTERWEAR_107010295_TFF_1.jpg")</f>
        <v/>
      </c>
      <c r="M3622">
        <f>IMAGE("file:///E:/Estudios%20y%20certificaciones/ESTUDIOS%20DE%20PROGRAMMING/PROGRAMMING/PERSONAL/PYTHON/Image_Generator_API/imagenes/SAGE_COLLECTIVE_OUTERWEAR_107010295_TFF_2.jpg")</f>
        <v/>
      </c>
      <c r="N3622">
        <f>IMAGE("file:///E:/Estudios%20y%20certificaciones/ESTUDIOS%20DE%20PROGRAMMING/PROGRAMMING/PERSONAL/PYTHON/Image_Generator_API/imagenes/SAGE_COLLECTIVE_OUTERWEAR_107010295_TFF_3.jpg")</f>
        <v/>
      </c>
      <c r="O3622">
        <f>HYPERLINK("imagenes/SAGE_COLLECTIVE_OUTERWEAR_107010295_TFF_1.jpg","Ver imagen")</f>
        <v/>
      </c>
      <c r="P3622">
        <f>HYPERLINK("imagenes/SAGE_COLLECTIVE_OUTERWEAR_107010295_TFF_2.jpg","Ver imagen")</f>
        <v/>
      </c>
      <c r="Q3622">
        <f>HYPERLINK("imagenes/SAGE_COLLECTIVE_OUTERWEAR_107010295_TFF_3.jpg","Ver imagen")</f>
        <v/>
      </c>
    </row>
    <row r="3623">
      <c r="A3623" t="inlineStr">
        <is>
          <t>SAGE COLLECTIVE OUTERWEAR</t>
        </is>
      </c>
      <c r="B3623" t="inlineStr">
        <is>
          <t>107010297</t>
        </is>
      </c>
      <c r="C3623" t="inlineStr">
        <is>
          <t>34 WOOL COAT W FUR REF U028775A</t>
        </is>
      </c>
      <c r="D3623" t="inlineStr">
        <is>
          <t>BEG</t>
        </is>
      </c>
      <c r="E3623" t="inlineStr">
        <is>
          <t>06A01</t>
        </is>
      </c>
      <c r="F3623" t="inlineStr">
        <is>
          <t>(en blanco)</t>
        </is>
      </c>
      <c r="G3623" t="inlineStr">
        <is>
          <t>PPK</t>
        </is>
      </c>
      <c r="H3623" t="n">
        <v>1374</v>
      </c>
      <c r="I3623" t="inlineStr">
        <is>
          <t>SAGE_COLLECTIVE_OUTERWEAR_107010297_BEG_1.jpg</t>
        </is>
      </c>
      <c r="J3623" t="inlineStr">
        <is>
          <t>SAGE_COLLECTIVE_OUTERWEAR_107010297_BEG_2.jpg</t>
        </is>
      </c>
      <c r="K3623" t="inlineStr">
        <is>
          <t>SAGE_COLLECTIVE_OUTERWEAR_107010297_BEG_3.jpg</t>
        </is>
      </c>
      <c r="L3623">
        <f>IMAGE("file:///E:/Estudios%20y%20certificaciones/ESTUDIOS%20DE%20PROGRAMMING/PROGRAMMING/PERSONAL/PYTHON/Image_Generator_API/imagenes/SAGE_COLLECTIVE_OUTERWEAR_107010297_BEG_1.jpg")</f>
        <v/>
      </c>
      <c r="M3623">
        <f>IMAGE("file:///E:/Estudios%20y%20certificaciones/ESTUDIOS%20DE%20PROGRAMMING/PROGRAMMING/PERSONAL/PYTHON/Image_Generator_API/imagenes/SAGE_COLLECTIVE_OUTERWEAR_107010297_BEG_2.jpg")</f>
        <v/>
      </c>
      <c r="N3623">
        <f>IMAGE("file:///E:/Estudios%20y%20certificaciones/ESTUDIOS%20DE%20PROGRAMMING/PROGRAMMING/PERSONAL/PYTHON/Image_Generator_API/imagenes/SAGE_COLLECTIVE_OUTERWEAR_107010297_BEG_3.jpg")</f>
        <v/>
      </c>
      <c r="O3623">
        <f>HYPERLINK("imagenes/SAGE_COLLECTIVE_OUTERWEAR_107010297_BEG_1.jpg","Ver imagen")</f>
        <v/>
      </c>
      <c r="P3623">
        <f>HYPERLINK("imagenes/SAGE_COLLECTIVE_OUTERWEAR_107010297_BEG_2.jpg","Ver imagen")</f>
        <v/>
      </c>
      <c r="Q3623">
        <f>HYPERLINK("imagenes/SAGE_COLLECTIVE_OUTERWEAR_107010297_BEG_3.jpg","Ver imagen")</f>
        <v/>
      </c>
    </row>
    <row r="3624">
      <c r="A3624" t="inlineStr">
        <is>
          <t>SAGE COLLECTIVE OUTERWEAR</t>
        </is>
      </c>
      <c r="B3624" t="inlineStr">
        <is>
          <t>107010297</t>
        </is>
      </c>
      <c r="C3624" t="inlineStr">
        <is>
          <t>34 WOOL COAT W FUR REF U028775A</t>
        </is>
      </c>
      <c r="D3624" t="inlineStr">
        <is>
          <t>BEG</t>
        </is>
      </c>
      <c r="E3624" t="inlineStr">
        <is>
          <t>08A06</t>
        </is>
      </c>
      <c r="F3624" t="inlineStr">
        <is>
          <t>B2230</t>
        </is>
      </c>
      <c r="G3624" t="inlineStr">
        <is>
          <t>PPK</t>
        </is>
      </c>
      <c r="H3624" t="n">
        <v>96</v>
      </c>
      <c r="I3624" t="inlineStr">
        <is>
          <t>SAGE_COLLECTIVE_OUTERWEAR_107010297_BEG_1.jpg</t>
        </is>
      </c>
      <c r="J3624" t="inlineStr">
        <is>
          <t>SAGE_COLLECTIVE_OUTERWEAR_107010297_BEG_2.jpg</t>
        </is>
      </c>
      <c r="K3624" t="inlineStr">
        <is>
          <t>SAGE_COLLECTIVE_OUTERWEAR_107010297_BEG_3.jpg</t>
        </is>
      </c>
      <c r="L3624">
        <f>IMAGE("file:///E:/Estudios%20y%20certificaciones/ESTUDIOS%20DE%20PROGRAMMING/PROGRAMMING/PERSONAL/PYTHON/Image_Generator_API/imagenes/SAGE_COLLECTIVE_OUTERWEAR_107010297_BEG_1.jpg")</f>
        <v/>
      </c>
      <c r="M3624">
        <f>IMAGE("file:///E:/Estudios%20y%20certificaciones/ESTUDIOS%20DE%20PROGRAMMING/PROGRAMMING/PERSONAL/PYTHON/Image_Generator_API/imagenes/SAGE_COLLECTIVE_OUTERWEAR_107010297_BEG_2.jpg")</f>
        <v/>
      </c>
      <c r="N3624">
        <f>IMAGE("file:///E:/Estudios%20y%20certificaciones/ESTUDIOS%20DE%20PROGRAMMING/PROGRAMMING/PERSONAL/PYTHON/Image_Generator_API/imagenes/SAGE_COLLECTIVE_OUTERWEAR_107010297_BEG_3.jpg")</f>
        <v/>
      </c>
      <c r="O3624">
        <f>HYPERLINK("imagenes/SAGE_COLLECTIVE_OUTERWEAR_107010297_BEG_1.jpg","Ver imagen")</f>
        <v/>
      </c>
      <c r="P3624">
        <f>HYPERLINK("imagenes/SAGE_COLLECTIVE_OUTERWEAR_107010297_BEG_2.jpg","Ver imagen")</f>
        <v/>
      </c>
      <c r="Q3624">
        <f>HYPERLINK("imagenes/SAGE_COLLECTIVE_OUTERWEAR_107010297_BEG_3.jpg","Ver imagen")</f>
        <v/>
      </c>
    </row>
    <row r="3625">
      <c r="A3625" t="inlineStr">
        <is>
          <t>SAGE COLLECTIVE OUTERWEAR</t>
        </is>
      </c>
      <c r="B3625" t="inlineStr">
        <is>
          <t>107010297</t>
        </is>
      </c>
      <c r="C3625" t="inlineStr">
        <is>
          <t>34 WOOL COAT W FUR REF U028775A</t>
        </is>
      </c>
      <c r="D3625" t="inlineStr">
        <is>
          <t>BEG</t>
        </is>
      </c>
      <c r="E3625" t="inlineStr">
        <is>
          <t>(en blanco)</t>
        </is>
      </c>
      <c r="F3625" t="inlineStr">
        <is>
          <t>D2C</t>
        </is>
      </c>
      <c r="G3625" t="inlineStr">
        <is>
          <t>S</t>
        </is>
      </c>
      <c r="H3625" t="n">
        <v>44</v>
      </c>
      <c r="I3625" t="inlineStr">
        <is>
          <t>SAGE_COLLECTIVE_OUTERWEAR_107010297_BEG_1.jpg</t>
        </is>
      </c>
      <c r="J3625" t="inlineStr">
        <is>
          <t>SAGE_COLLECTIVE_OUTERWEAR_107010297_BEG_2.jpg</t>
        </is>
      </c>
      <c r="K3625" t="inlineStr">
        <is>
          <t>SAGE_COLLECTIVE_OUTERWEAR_107010297_BEG_3.jpg</t>
        </is>
      </c>
      <c r="L3625">
        <f>IMAGE("file:///E:/Estudios%20y%20certificaciones/ESTUDIOS%20DE%20PROGRAMMING/PROGRAMMING/PERSONAL/PYTHON/Image_Generator_API/imagenes/SAGE_COLLECTIVE_OUTERWEAR_107010297_BEG_1.jpg")</f>
        <v/>
      </c>
      <c r="M3625">
        <f>IMAGE("file:///E:/Estudios%20y%20certificaciones/ESTUDIOS%20DE%20PROGRAMMING/PROGRAMMING/PERSONAL/PYTHON/Image_Generator_API/imagenes/SAGE_COLLECTIVE_OUTERWEAR_107010297_BEG_2.jpg")</f>
        <v/>
      </c>
      <c r="N3625">
        <f>IMAGE("file:///E:/Estudios%20y%20certificaciones/ESTUDIOS%20DE%20PROGRAMMING/PROGRAMMING/PERSONAL/PYTHON/Image_Generator_API/imagenes/SAGE_COLLECTIVE_OUTERWEAR_107010297_BEG_3.jpg")</f>
        <v/>
      </c>
      <c r="O3625">
        <f>HYPERLINK("imagenes/SAGE_COLLECTIVE_OUTERWEAR_107010297_BEG_1.jpg","Ver imagen")</f>
        <v/>
      </c>
      <c r="P3625">
        <f>HYPERLINK("imagenes/SAGE_COLLECTIVE_OUTERWEAR_107010297_BEG_2.jpg","Ver imagen")</f>
        <v/>
      </c>
      <c r="Q3625">
        <f>HYPERLINK("imagenes/SAGE_COLLECTIVE_OUTERWEAR_107010297_BEG_3.jpg","Ver imagen")</f>
        <v/>
      </c>
    </row>
    <row r="3626">
      <c r="A3626" t="inlineStr">
        <is>
          <t>SAGE COLLECTIVE OUTERWEAR</t>
        </is>
      </c>
      <c r="B3626" t="inlineStr">
        <is>
          <t>107010297</t>
        </is>
      </c>
      <c r="C3626" t="inlineStr">
        <is>
          <t>34 WOOL COAT W FUR REF U028775A</t>
        </is>
      </c>
      <c r="D3626" t="inlineStr">
        <is>
          <t>BEG</t>
        </is>
      </c>
      <c r="E3626" t="inlineStr">
        <is>
          <t>(en blanco)</t>
        </is>
      </c>
      <c r="F3626" t="inlineStr">
        <is>
          <t>D2C</t>
        </is>
      </c>
      <c r="G3626" t="inlineStr">
        <is>
          <t>M</t>
        </is>
      </c>
      <c r="H3626" t="n">
        <v>81</v>
      </c>
      <c r="I3626" t="inlineStr">
        <is>
          <t>SAGE_COLLECTIVE_OUTERWEAR_107010297_BEG_1.jpg</t>
        </is>
      </c>
      <c r="J3626" t="inlineStr">
        <is>
          <t>SAGE_COLLECTIVE_OUTERWEAR_107010297_BEG_2.jpg</t>
        </is>
      </c>
      <c r="K3626" t="inlineStr">
        <is>
          <t>SAGE_COLLECTIVE_OUTERWEAR_107010297_BEG_3.jpg</t>
        </is>
      </c>
      <c r="L3626">
        <f>IMAGE("file:///E:/Estudios%20y%20certificaciones/ESTUDIOS%20DE%20PROGRAMMING/PROGRAMMING/PERSONAL/PYTHON/Image_Generator_API/imagenes/SAGE_COLLECTIVE_OUTERWEAR_107010297_BEG_1.jpg")</f>
        <v/>
      </c>
      <c r="M3626">
        <f>IMAGE("file:///E:/Estudios%20y%20certificaciones/ESTUDIOS%20DE%20PROGRAMMING/PROGRAMMING/PERSONAL/PYTHON/Image_Generator_API/imagenes/SAGE_COLLECTIVE_OUTERWEAR_107010297_BEG_2.jpg")</f>
        <v/>
      </c>
      <c r="N3626">
        <f>IMAGE("file:///E:/Estudios%20y%20certificaciones/ESTUDIOS%20DE%20PROGRAMMING/PROGRAMMING/PERSONAL/PYTHON/Image_Generator_API/imagenes/SAGE_COLLECTIVE_OUTERWEAR_107010297_BEG_3.jpg")</f>
        <v/>
      </c>
      <c r="O3626">
        <f>HYPERLINK("imagenes/SAGE_COLLECTIVE_OUTERWEAR_107010297_BEG_1.jpg","Ver imagen")</f>
        <v/>
      </c>
      <c r="P3626">
        <f>HYPERLINK("imagenes/SAGE_COLLECTIVE_OUTERWEAR_107010297_BEG_2.jpg","Ver imagen")</f>
        <v/>
      </c>
      <c r="Q3626">
        <f>HYPERLINK("imagenes/SAGE_COLLECTIVE_OUTERWEAR_107010297_BEG_3.jpg","Ver imagen")</f>
        <v/>
      </c>
    </row>
    <row r="3627">
      <c r="A3627" t="inlineStr">
        <is>
          <t>SAGE COLLECTIVE OUTERWEAR</t>
        </is>
      </c>
      <c r="B3627" t="inlineStr">
        <is>
          <t>107010297</t>
        </is>
      </c>
      <c r="C3627" t="inlineStr">
        <is>
          <t>34 WOOL COAT W FUR REF U028775A</t>
        </is>
      </c>
      <c r="D3627" t="inlineStr">
        <is>
          <t>BEG</t>
        </is>
      </c>
      <c r="E3627" t="inlineStr">
        <is>
          <t>(en blanco)</t>
        </is>
      </c>
      <c r="F3627" t="inlineStr">
        <is>
          <t>D2C</t>
        </is>
      </c>
      <c r="G3627" t="inlineStr">
        <is>
          <t>L</t>
        </is>
      </c>
      <c r="H3627" t="n">
        <v>80</v>
      </c>
      <c r="I3627" t="inlineStr">
        <is>
          <t>SAGE_COLLECTIVE_OUTERWEAR_107010297_BEG_1.jpg</t>
        </is>
      </c>
      <c r="J3627" t="inlineStr">
        <is>
          <t>SAGE_COLLECTIVE_OUTERWEAR_107010297_BEG_2.jpg</t>
        </is>
      </c>
      <c r="K3627" t="inlineStr">
        <is>
          <t>SAGE_COLLECTIVE_OUTERWEAR_107010297_BEG_3.jpg</t>
        </is>
      </c>
      <c r="L3627">
        <f>IMAGE("file:///E:/Estudios%20y%20certificaciones/ESTUDIOS%20DE%20PROGRAMMING/PROGRAMMING/PERSONAL/PYTHON/Image_Generator_API/imagenes/SAGE_COLLECTIVE_OUTERWEAR_107010297_BEG_1.jpg")</f>
        <v/>
      </c>
      <c r="M3627">
        <f>IMAGE("file:///E:/Estudios%20y%20certificaciones/ESTUDIOS%20DE%20PROGRAMMING/PROGRAMMING/PERSONAL/PYTHON/Image_Generator_API/imagenes/SAGE_COLLECTIVE_OUTERWEAR_107010297_BEG_2.jpg")</f>
        <v/>
      </c>
      <c r="N3627">
        <f>IMAGE("file:///E:/Estudios%20y%20certificaciones/ESTUDIOS%20DE%20PROGRAMMING/PROGRAMMING/PERSONAL/PYTHON/Image_Generator_API/imagenes/SAGE_COLLECTIVE_OUTERWEAR_107010297_BEG_3.jpg")</f>
        <v/>
      </c>
      <c r="O3627">
        <f>HYPERLINK("imagenes/SAGE_COLLECTIVE_OUTERWEAR_107010297_BEG_1.jpg","Ver imagen")</f>
        <v/>
      </c>
      <c r="P3627">
        <f>HYPERLINK("imagenes/SAGE_COLLECTIVE_OUTERWEAR_107010297_BEG_2.jpg","Ver imagen")</f>
        <v/>
      </c>
      <c r="Q3627">
        <f>HYPERLINK("imagenes/SAGE_COLLECTIVE_OUTERWEAR_107010297_BEG_3.jpg","Ver imagen")</f>
        <v/>
      </c>
    </row>
    <row r="3628">
      <c r="A3628" t="inlineStr">
        <is>
          <t>SAGE COLLECTIVE OUTERWEAR</t>
        </is>
      </c>
      <c r="B3628" t="inlineStr">
        <is>
          <t>107010297</t>
        </is>
      </c>
      <c r="C3628" t="inlineStr">
        <is>
          <t>34 WOOL COAT W FUR REF U028775A</t>
        </is>
      </c>
      <c r="D3628" t="inlineStr">
        <is>
          <t>BEG</t>
        </is>
      </c>
      <c r="E3628" t="inlineStr">
        <is>
          <t>(en blanco)</t>
        </is>
      </c>
      <c r="F3628" t="inlineStr">
        <is>
          <t>D2C</t>
        </is>
      </c>
      <c r="G3628" t="inlineStr">
        <is>
          <t>XL</t>
        </is>
      </c>
      <c r="H3628" t="n">
        <v>35</v>
      </c>
      <c r="I3628" t="inlineStr">
        <is>
          <t>SAGE_COLLECTIVE_OUTERWEAR_107010297_BEG_1.jpg</t>
        </is>
      </c>
      <c r="J3628" t="inlineStr">
        <is>
          <t>SAGE_COLLECTIVE_OUTERWEAR_107010297_BEG_2.jpg</t>
        </is>
      </c>
      <c r="K3628" t="inlineStr">
        <is>
          <t>SAGE_COLLECTIVE_OUTERWEAR_107010297_BEG_3.jpg</t>
        </is>
      </c>
      <c r="L3628">
        <f>IMAGE("file:///E:/Estudios%20y%20certificaciones/ESTUDIOS%20DE%20PROGRAMMING/PROGRAMMING/PERSONAL/PYTHON/Image_Generator_API/imagenes/SAGE_COLLECTIVE_OUTERWEAR_107010297_BEG_1.jpg")</f>
        <v/>
      </c>
      <c r="M3628">
        <f>IMAGE("file:///E:/Estudios%20y%20certificaciones/ESTUDIOS%20DE%20PROGRAMMING/PROGRAMMING/PERSONAL/PYTHON/Image_Generator_API/imagenes/SAGE_COLLECTIVE_OUTERWEAR_107010297_BEG_2.jpg")</f>
        <v/>
      </c>
      <c r="N3628">
        <f>IMAGE("file:///E:/Estudios%20y%20certificaciones/ESTUDIOS%20DE%20PROGRAMMING/PROGRAMMING/PERSONAL/PYTHON/Image_Generator_API/imagenes/SAGE_COLLECTIVE_OUTERWEAR_107010297_BEG_3.jpg")</f>
        <v/>
      </c>
      <c r="O3628">
        <f>HYPERLINK("imagenes/SAGE_COLLECTIVE_OUTERWEAR_107010297_BEG_1.jpg","Ver imagen")</f>
        <v/>
      </c>
      <c r="P3628">
        <f>HYPERLINK("imagenes/SAGE_COLLECTIVE_OUTERWEAR_107010297_BEG_2.jpg","Ver imagen")</f>
        <v/>
      </c>
      <c r="Q3628">
        <f>HYPERLINK("imagenes/SAGE_COLLECTIVE_OUTERWEAR_107010297_BEG_3.jpg","Ver imagen")</f>
        <v/>
      </c>
    </row>
    <row r="3629">
      <c r="A3629" t="inlineStr">
        <is>
          <t>SAGE COLLECTIVE OUTERWEAR</t>
        </is>
      </c>
      <c r="B3629" t="inlineStr">
        <is>
          <t>107010297</t>
        </is>
      </c>
      <c r="C3629" t="inlineStr">
        <is>
          <t>34 WOOL COAT W FUR REF U028775A</t>
        </is>
      </c>
      <c r="D3629" t="inlineStr">
        <is>
          <t>BEG</t>
        </is>
      </c>
      <c r="E3629" t="inlineStr">
        <is>
          <t>(en blanco)</t>
        </is>
      </c>
      <c r="F3629" t="inlineStr">
        <is>
          <t>(en blanco)</t>
        </is>
      </c>
      <c r="G3629" t="inlineStr">
        <is>
          <t>M</t>
        </is>
      </c>
      <c r="H3629" t="n">
        <v>0</v>
      </c>
      <c r="I3629" t="inlineStr">
        <is>
          <t>SAGE_COLLECTIVE_OUTERWEAR_107010297_BEG_1.jpg</t>
        </is>
      </c>
      <c r="J3629" t="inlineStr">
        <is>
          <t>SAGE_COLLECTIVE_OUTERWEAR_107010297_BEG_2.jpg</t>
        </is>
      </c>
      <c r="K3629" t="inlineStr">
        <is>
          <t>SAGE_COLLECTIVE_OUTERWEAR_107010297_BEG_3.jpg</t>
        </is>
      </c>
      <c r="L3629">
        <f>IMAGE("file:///E:/Estudios%20y%20certificaciones/ESTUDIOS%20DE%20PROGRAMMING/PROGRAMMING/PERSONAL/PYTHON/Image_Generator_API/imagenes/SAGE_COLLECTIVE_OUTERWEAR_107010297_BEG_1.jpg")</f>
        <v/>
      </c>
      <c r="M3629">
        <f>IMAGE("file:///E:/Estudios%20y%20certificaciones/ESTUDIOS%20DE%20PROGRAMMING/PROGRAMMING/PERSONAL/PYTHON/Image_Generator_API/imagenes/SAGE_COLLECTIVE_OUTERWEAR_107010297_BEG_2.jpg")</f>
        <v/>
      </c>
      <c r="N3629">
        <f>IMAGE("file:///E:/Estudios%20y%20certificaciones/ESTUDIOS%20DE%20PROGRAMMING/PROGRAMMING/PERSONAL/PYTHON/Image_Generator_API/imagenes/SAGE_COLLECTIVE_OUTERWEAR_107010297_BEG_3.jpg")</f>
        <v/>
      </c>
      <c r="O3629">
        <f>HYPERLINK("imagenes/SAGE_COLLECTIVE_OUTERWEAR_107010297_BEG_1.jpg","Ver imagen")</f>
        <v/>
      </c>
      <c r="P3629">
        <f>HYPERLINK("imagenes/SAGE_COLLECTIVE_OUTERWEAR_107010297_BEG_2.jpg","Ver imagen")</f>
        <v/>
      </c>
      <c r="Q3629">
        <f>HYPERLINK("imagenes/SAGE_COLLECTIVE_OUTERWEAR_107010297_BEG_3.jpg","Ver imagen")</f>
        <v/>
      </c>
    </row>
    <row r="3630">
      <c r="A3630" t="inlineStr">
        <is>
          <t>SAGE COLLECTIVE OUTERWEAR</t>
        </is>
      </c>
      <c r="B3630" t="inlineStr">
        <is>
          <t>107010297</t>
        </is>
      </c>
      <c r="C3630" t="inlineStr">
        <is>
          <t>34 WOOL COAT W FUR REF U028775A</t>
        </is>
      </c>
      <c r="D3630" t="inlineStr">
        <is>
          <t>BEG</t>
        </is>
      </c>
      <c r="E3630" t="inlineStr">
        <is>
          <t>(en blanco)</t>
        </is>
      </c>
      <c r="F3630" t="inlineStr">
        <is>
          <t>(en blanco)</t>
        </is>
      </c>
      <c r="G3630" t="inlineStr">
        <is>
          <t>L</t>
        </is>
      </c>
      <c r="H3630" t="n">
        <v>0</v>
      </c>
      <c r="I3630" t="inlineStr">
        <is>
          <t>SAGE_COLLECTIVE_OUTERWEAR_107010297_BEG_1.jpg</t>
        </is>
      </c>
      <c r="J3630" t="inlineStr">
        <is>
          <t>SAGE_COLLECTIVE_OUTERWEAR_107010297_BEG_2.jpg</t>
        </is>
      </c>
      <c r="K3630" t="inlineStr">
        <is>
          <t>SAGE_COLLECTIVE_OUTERWEAR_107010297_BEG_3.jpg</t>
        </is>
      </c>
      <c r="L3630">
        <f>IMAGE("file:///E:/Estudios%20y%20certificaciones/ESTUDIOS%20DE%20PROGRAMMING/PROGRAMMING/PERSONAL/PYTHON/Image_Generator_API/imagenes/SAGE_COLLECTIVE_OUTERWEAR_107010297_BEG_1.jpg")</f>
        <v/>
      </c>
      <c r="M3630">
        <f>IMAGE("file:///E:/Estudios%20y%20certificaciones/ESTUDIOS%20DE%20PROGRAMMING/PROGRAMMING/PERSONAL/PYTHON/Image_Generator_API/imagenes/SAGE_COLLECTIVE_OUTERWEAR_107010297_BEG_2.jpg")</f>
        <v/>
      </c>
      <c r="N3630">
        <f>IMAGE("file:///E:/Estudios%20y%20certificaciones/ESTUDIOS%20DE%20PROGRAMMING/PROGRAMMING/PERSONAL/PYTHON/Image_Generator_API/imagenes/SAGE_COLLECTIVE_OUTERWEAR_107010297_BEG_3.jpg")</f>
        <v/>
      </c>
      <c r="O3630">
        <f>HYPERLINK("imagenes/SAGE_COLLECTIVE_OUTERWEAR_107010297_BEG_1.jpg","Ver imagen")</f>
        <v/>
      </c>
      <c r="P3630">
        <f>HYPERLINK("imagenes/SAGE_COLLECTIVE_OUTERWEAR_107010297_BEG_2.jpg","Ver imagen")</f>
        <v/>
      </c>
      <c r="Q3630">
        <f>HYPERLINK("imagenes/SAGE_COLLECTIVE_OUTERWEAR_107010297_BEG_3.jpg","Ver imagen")</f>
        <v/>
      </c>
    </row>
    <row r="3631">
      <c r="A3631" t="inlineStr">
        <is>
          <t>SAGE COLLECTIVE OUTERWEAR</t>
        </is>
      </c>
      <c r="B3631" t="inlineStr">
        <is>
          <t>107010297</t>
        </is>
      </c>
      <c r="C3631" t="inlineStr">
        <is>
          <t>34 WOOL COAT W FUR REF U028775A</t>
        </is>
      </c>
      <c r="D3631" t="inlineStr">
        <is>
          <t>BEG</t>
        </is>
      </c>
      <c r="E3631" t="inlineStr">
        <is>
          <t>(en blanco)</t>
        </is>
      </c>
      <c r="F3631" t="inlineStr">
        <is>
          <t>(en blanco)</t>
        </is>
      </c>
      <c r="G3631" t="inlineStr">
        <is>
          <t>XL</t>
        </is>
      </c>
      <c r="H3631" t="n">
        <v>1</v>
      </c>
      <c r="I3631" t="inlineStr">
        <is>
          <t>SAGE_COLLECTIVE_OUTERWEAR_107010297_BEG_1.jpg</t>
        </is>
      </c>
      <c r="J3631" t="inlineStr">
        <is>
          <t>SAGE_COLLECTIVE_OUTERWEAR_107010297_BEG_2.jpg</t>
        </is>
      </c>
      <c r="K3631" t="inlineStr">
        <is>
          <t>SAGE_COLLECTIVE_OUTERWEAR_107010297_BEG_3.jpg</t>
        </is>
      </c>
      <c r="L3631">
        <f>IMAGE("file:///E:/Estudios%20y%20certificaciones/ESTUDIOS%20DE%20PROGRAMMING/PROGRAMMING/PERSONAL/PYTHON/Image_Generator_API/imagenes/SAGE_COLLECTIVE_OUTERWEAR_107010297_BEG_1.jpg")</f>
        <v/>
      </c>
      <c r="M3631">
        <f>IMAGE("file:///E:/Estudios%20y%20certificaciones/ESTUDIOS%20DE%20PROGRAMMING/PROGRAMMING/PERSONAL/PYTHON/Image_Generator_API/imagenes/SAGE_COLLECTIVE_OUTERWEAR_107010297_BEG_2.jpg")</f>
        <v/>
      </c>
      <c r="N3631">
        <f>IMAGE("file:///E:/Estudios%20y%20certificaciones/ESTUDIOS%20DE%20PROGRAMMING/PROGRAMMING/PERSONAL/PYTHON/Image_Generator_API/imagenes/SAGE_COLLECTIVE_OUTERWEAR_107010297_BEG_3.jpg")</f>
        <v/>
      </c>
      <c r="O3631">
        <f>HYPERLINK("imagenes/SAGE_COLLECTIVE_OUTERWEAR_107010297_BEG_1.jpg","Ver imagen")</f>
        <v/>
      </c>
      <c r="P3631">
        <f>HYPERLINK("imagenes/SAGE_COLLECTIVE_OUTERWEAR_107010297_BEG_2.jpg","Ver imagen")</f>
        <v/>
      </c>
      <c r="Q3631">
        <f>HYPERLINK("imagenes/SAGE_COLLECTIVE_OUTERWEAR_107010297_BEG_3.jpg","Ver imagen")</f>
        <v/>
      </c>
    </row>
    <row r="3632">
      <c r="A3632" t="inlineStr">
        <is>
          <t>SAGE COLLECTIVE OUTERWEAR</t>
        </is>
      </c>
      <c r="B3632" t="inlineStr">
        <is>
          <t>107010297</t>
        </is>
      </c>
      <c r="C3632" t="inlineStr">
        <is>
          <t>34 WOOL COAT W FUR REF U028775A</t>
        </is>
      </c>
      <c r="D3632" t="inlineStr">
        <is>
          <t>BLK</t>
        </is>
      </c>
      <c r="E3632" t="inlineStr">
        <is>
          <t>06A01</t>
        </is>
      </c>
      <c r="F3632" t="inlineStr">
        <is>
          <t>(en blanco)</t>
        </is>
      </c>
      <c r="G3632" t="inlineStr">
        <is>
          <t>PPK</t>
        </is>
      </c>
      <c r="H3632" t="n">
        <v>2472</v>
      </c>
      <c r="I3632" t="inlineStr">
        <is>
          <t>SAGE_COLLECTIVE_OUTERWEAR_107010297_BLK_1.jpg</t>
        </is>
      </c>
      <c r="J3632" t="inlineStr">
        <is>
          <t>SAGE_COLLECTIVE_OUTERWEAR_107010297_BLK_2.jpg</t>
        </is>
      </c>
      <c r="K3632" t="inlineStr">
        <is>
          <t>SAGE_COLLECTIVE_OUTERWEAR_107010297_BLK_3.jpg</t>
        </is>
      </c>
      <c r="L3632">
        <f>IMAGE("file:///E:/Estudios%20y%20certificaciones/ESTUDIOS%20DE%20PROGRAMMING/PROGRAMMING/PERSONAL/PYTHON/Image_Generator_API/imagenes/SAGE_COLLECTIVE_OUTERWEAR_107010297_BLK_1.jpg")</f>
        <v/>
      </c>
      <c r="M3632">
        <f>IMAGE("file:///E:/Estudios%20y%20certificaciones/ESTUDIOS%20DE%20PROGRAMMING/PROGRAMMING/PERSONAL/PYTHON/Image_Generator_API/imagenes/SAGE_COLLECTIVE_OUTERWEAR_107010297_BLK_2.jpg")</f>
        <v/>
      </c>
      <c r="N3632">
        <f>IMAGE("file:///E:/Estudios%20y%20certificaciones/ESTUDIOS%20DE%20PROGRAMMING/PROGRAMMING/PERSONAL/PYTHON/Image_Generator_API/imagenes/SAGE_COLLECTIVE_OUTERWEAR_107010297_BLK_3.jpg")</f>
        <v/>
      </c>
      <c r="O3632">
        <f>HYPERLINK("imagenes/SAGE_COLLECTIVE_OUTERWEAR_107010297_BLK_1.jpg","Ver imagen")</f>
        <v/>
      </c>
      <c r="P3632">
        <f>HYPERLINK("imagenes/SAGE_COLLECTIVE_OUTERWEAR_107010297_BLK_2.jpg","Ver imagen")</f>
        <v/>
      </c>
      <c r="Q3632">
        <f>HYPERLINK("imagenes/SAGE_COLLECTIVE_OUTERWEAR_107010297_BLK_3.jpg","Ver imagen")</f>
        <v/>
      </c>
    </row>
    <row r="3633">
      <c r="A3633" t="inlineStr">
        <is>
          <t>SAGE COLLECTIVE OUTERWEAR</t>
        </is>
      </c>
      <c r="B3633" t="inlineStr">
        <is>
          <t>107010297</t>
        </is>
      </c>
      <c r="C3633" t="inlineStr">
        <is>
          <t>34 WOOL COAT W FUR REF U028775A</t>
        </is>
      </c>
      <c r="D3633" t="inlineStr">
        <is>
          <t>BLK</t>
        </is>
      </c>
      <c r="E3633" t="inlineStr">
        <is>
          <t>08A06</t>
        </is>
      </c>
      <c r="F3633" t="inlineStr">
        <is>
          <t>B2230</t>
        </is>
      </c>
      <c r="G3633" t="inlineStr">
        <is>
          <t>PPK</t>
        </is>
      </c>
      <c r="H3633" t="n">
        <v>96</v>
      </c>
      <c r="I3633" t="inlineStr">
        <is>
          <t>SAGE_COLLECTIVE_OUTERWEAR_107010297_BLK_1.jpg</t>
        </is>
      </c>
      <c r="J3633" t="inlineStr">
        <is>
          <t>SAGE_COLLECTIVE_OUTERWEAR_107010297_BLK_2.jpg</t>
        </is>
      </c>
      <c r="K3633" t="inlineStr">
        <is>
          <t>SAGE_COLLECTIVE_OUTERWEAR_107010297_BLK_3.jpg</t>
        </is>
      </c>
      <c r="L3633">
        <f>IMAGE("file:///E:/Estudios%20y%20certificaciones/ESTUDIOS%20DE%20PROGRAMMING/PROGRAMMING/PERSONAL/PYTHON/Image_Generator_API/imagenes/SAGE_COLLECTIVE_OUTERWEAR_107010297_BLK_1.jpg")</f>
        <v/>
      </c>
      <c r="M3633">
        <f>IMAGE("file:///E:/Estudios%20y%20certificaciones/ESTUDIOS%20DE%20PROGRAMMING/PROGRAMMING/PERSONAL/PYTHON/Image_Generator_API/imagenes/SAGE_COLLECTIVE_OUTERWEAR_107010297_BLK_2.jpg")</f>
        <v/>
      </c>
      <c r="N3633">
        <f>IMAGE("file:///E:/Estudios%20y%20certificaciones/ESTUDIOS%20DE%20PROGRAMMING/PROGRAMMING/PERSONAL/PYTHON/Image_Generator_API/imagenes/SAGE_COLLECTIVE_OUTERWEAR_107010297_BLK_3.jpg")</f>
        <v/>
      </c>
      <c r="O3633">
        <f>HYPERLINK("imagenes/SAGE_COLLECTIVE_OUTERWEAR_107010297_BLK_1.jpg","Ver imagen")</f>
        <v/>
      </c>
      <c r="P3633">
        <f>HYPERLINK("imagenes/SAGE_COLLECTIVE_OUTERWEAR_107010297_BLK_2.jpg","Ver imagen")</f>
        <v/>
      </c>
      <c r="Q3633">
        <f>HYPERLINK("imagenes/SAGE_COLLECTIVE_OUTERWEAR_107010297_BLK_3.jpg","Ver imagen")</f>
        <v/>
      </c>
    </row>
    <row r="3634">
      <c r="A3634" t="inlineStr">
        <is>
          <t>SAGE COLLECTIVE OUTERWEAR</t>
        </is>
      </c>
      <c r="B3634" t="inlineStr">
        <is>
          <t>107010297</t>
        </is>
      </c>
      <c r="C3634" t="inlineStr">
        <is>
          <t>34 WOOL COAT W FUR REF U028775A</t>
        </is>
      </c>
      <c r="D3634" t="inlineStr">
        <is>
          <t>BLK</t>
        </is>
      </c>
      <c r="E3634" t="inlineStr">
        <is>
          <t>(en blanco)</t>
        </is>
      </c>
      <c r="F3634" t="inlineStr">
        <is>
          <t>D2C</t>
        </is>
      </c>
      <c r="G3634" t="inlineStr">
        <is>
          <t>S</t>
        </is>
      </c>
      <c r="H3634" t="n">
        <v>35</v>
      </c>
      <c r="I3634" t="inlineStr">
        <is>
          <t>SAGE_COLLECTIVE_OUTERWEAR_107010297_BLK_1.jpg</t>
        </is>
      </c>
      <c r="J3634" t="inlineStr">
        <is>
          <t>SAGE_COLLECTIVE_OUTERWEAR_107010297_BLK_2.jpg</t>
        </is>
      </c>
      <c r="K3634" t="inlineStr">
        <is>
          <t>SAGE_COLLECTIVE_OUTERWEAR_107010297_BLK_3.jpg</t>
        </is>
      </c>
      <c r="L3634">
        <f>IMAGE("file:///E:/Estudios%20y%20certificaciones/ESTUDIOS%20DE%20PROGRAMMING/PROGRAMMING/PERSONAL/PYTHON/Image_Generator_API/imagenes/SAGE_COLLECTIVE_OUTERWEAR_107010297_BLK_1.jpg")</f>
        <v/>
      </c>
      <c r="M3634">
        <f>IMAGE("file:///E:/Estudios%20y%20certificaciones/ESTUDIOS%20DE%20PROGRAMMING/PROGRAMMING/PERSONAL/PYTHON/Image_Generator_API/imagenes/SAGE_COLLECTIVE_OUTERWEAR_107010297_BLK_2.jpg")</f>
        <v/>
      </c>
      <c r="N3634">
        <f>IMAGE("file:///E:/Estudios%20y%20certificaciones/ESTUDIOS%20DE%20PROGRAMMING/PROGRAMMING/PERSONAL/PYTHON/Image_Generator_API/imagenes/SAGE_COLLECTIVE_OUTERWEAR_107010297_BLK_3.jpg")</f>
        <v/>
      </c>
      <c r="O3634">
        <f>HYPERLINK("imagenes/SAGE_COLLECTIVE_OUTERWEAR_107010297_BLK_1.jpg","Ver imagen")</f>
        <v/>
      </c>
      <c r="P3634">
        <f>HYPERLINK("imagenes/SAGE_COLLECTIVE_OUTERWEAR_107010297_BLK_2.jpg","Ver imagen")</f>
        <v/>
      </c>
      <c r="Q3634">
        <f>HYPERLINK("imagenes/SAGE_COLLECTIVE_OUTERWEAR_107010297_BLK_3.jpg","Ver imagen")</f>
        <v/>
      </c>
    </row>
    <row r="3635">
      <c r="A3635" t="inlineStr">
        <is>
          <t>SAGE COLLECTIVE OUTERWEAR</t>
        </is>
      </c>
      <c r="B3635" t="inlineStr">
        <is>
          <t>107010297</t>
        </is>
      </c>
      <c r="C3635" t="inlineStr">
        <is>
          <t>34 WOOL COAT W FUR REF U028775A</t>
        </is>
      </c>
      <c r="D3635" t="inlineStr">
        <is>
          <t>BLK</t>
        </is>
      </c>
      <c r="E3635" t="inlineStr">
        <is>
          <t>(en blanco)</t>
        </is>
      </c>
      <c r="F3635" t="inlineStr">
        <is>
          <t>D2C</t>
        </is>
      </c>
      <c r="G3635" t="inlineStr">
        <is>
          <t>M</t>
        </is>
      </c>
      <c r="H3635" t="n">
        <v>85</v>
      </c>
      <c r="I3635" t="inlineStr">
        <is>
          <t>SAGE_COLLECTIVE_OUTERWEAR_107010297_BLK_1.jpg</t>
        </is>
      </c>
      <c r="J3635" t="inlineStr">
        <is>
          <t>SAGE_COLLECTIVE_OUTERWEAR_107010297_BLK_2.jpg</t>
        </is>
      </c>
      <c r="K3635" t="inlineStr">
        <is>
          <t>SAGE_COLLECTIVE_OUTERWEAR_107010297_BLK_3.jpg</t>
        </is>
      </c>
      <c r="L3635">
        <f>IMAGE("file:///E:/Estudios%20y%20certificaciones/ESTUDIOS%20DE%20PROGRAMMING/PROGRAMMING/PERSONAL/PYTHON/Image_Generator_API/imagenes/SAGE_COLLECTIVE_OUTERWEAR_107010297_BLK_1.jpg")</f>
        <v/>
      </c>
      <c r="M3635">
        <f>IMAGE("file:///E:/Estudios%20y%20certificaciones/ESTUDIOS%20DE%20PROGRAMMING/PROGRAMMING/PERSONAL/PYTHON/Image_Generator_API/imagenes/SAGE_COLLECTIVE_OUTERWEAR_107010297_BLK_2.jpg")</f>
        <v/>
      </c>
      <c r="N3635">
        <f>IMAGE("file:///E:/Estudios%20y%20certificaciones/ESTUDIOS%20DE%20PROGRAMMING/PROGRAMMING/PERSONAL/PYTHON/Image_Generator_API/imagenes/SAGE_COLLECTIVE_OUTERWEAR_107010297_BLK_3.jpg")</f>
        <v/>
      </c>
      <c r="O3635">
        <f>HYPERLINK("imagenes/SAGE_COLLECTIVE_OUTERWEAR_107010297_BLK_1.jpg","Ver imagen")</f>
        <v/>
      </c>
      <c r="P3635">
        <f>HYPERLINK("imagenes/SAGE_COLLECTIVE_OUTERWEAR_107010297_BLK_2.jpg","Ver imagen")</f>
        <v/>
      </c>
      <c r="Q3635">
        <f>HYPERLINK("imagenes/SAGE_COLLECTIVE_OUTERWEAR_107010297_BLK_3.jpg","Ver imagen")</f>
        <v/>
      </c>
    </row>
    <row r="3636">
      <c r="A3636" t="inlineStr">
        <is>
          <t>SAGE COLLECTIVE OUTERWEAR</t>
        </is>
      </c>
      <c r="B3636" t="inlineStr">
        <is>
          <t>107010297</t>
        </is>
      </c>
      <c r="C3636" t="inlineStr">
        <is>
          <t>34 WOOL COAT W FUR REF U028775A</t>
        </is>
      </c>
      <c r="D3636" t="inlineStr">
        <is>
          <t>BLK</t>
        </is>
      </c>
      <c r="E3636" t="inlineStr">
        <is>
          <t>(en blanco)</t>
        </is>
      </c>
      <c r="F3636" t="inlineStr">
        <is>
          <t>D2C</t>
        </is>
      </c>
      <c r="G3636" t="inlineStr">
        <is>
          <t>L</t>
        </is>
      </c>
      <c r="H3636" t="n">
        <v>79</v>
      </c>
      <c r="I3636" t="inlineStr">
        <is>
          <t>SAGE_COLLECTIVE_OUTERWEAR_107010297_BLK_1.jpg</t>
        </is>
      </c>
      <c r="J3636" t="inlineStr">
        <is>
          <t>SAGE_COLLECTIVE_OUTERWEAR_107010297_BLK_2.jpg</t>
        </is>
      </c>
      <c r="K3636" t="inlineStr">
        <is>
          <t>SAGE_COLLECTIVE_OUTERWEAR_107010297_BLK_3.jpg</t>
        </is>
      </c>
      <c r="L3636">
        <f>IMAGE("file:///E:/Estudios%20y%20certificaciones/ESTUDIOS%20DE%20PROGRAMMING/PROGRAMMING/PERSONAL/PYTHON/Image_Generator_API/imagenes/SAGE_COLLECTIVE_OUTERWEAR_107010297_BLK_1.jpg")</f>
        <v/>
      </c>
      <c r="M3636">
        <f>IMAGE("file:///E:/Estudios%20y%20certificaciones/ESTUDIOS%20DE%20PROGRAMMING/PROGRAMMING/PERSONAL/PYTHON/Image_Generator_API/imagenes/SAGE_COLLECTIVE_OUTERWEAR_107010297_BLK_2.jpg")</f>
        <v/>
      </c>
      <c r="N3636">
        <f>IMAGE("file:///E:/Estudios%20y%20certificaciones/ESTUDIOS%20DE%20PROGRAMMING/PROGRAMMING/PERSONAL/PYTHON/Image_Generator_API/imagenes/SAGE_COLLECTIVE_OUTERWEAR_107010297_BLK_3.jpg")</f>
        <v/>
      </c>
      <c r="O3636">
        <f>HYPERLINK("imagenes/SAGE_COLLECTIVE_OUTERWEAR_107010297_BLK_1.jpg","Ver imagen")</f>
        <v/>
      </c>
      <c r="P3636">
        <f>HYPERLINK("imagenes/SAGE_COLLECTIVE_OUTERWEAR_107010297_BLK_2.jpg","Ver imagen")</f>
        <v/>
      </c>
      <c r="Q3636">
        <f>HYPERLINK("imagenes/SAGE_COLLECTIVE_OUTERWEAR_107010297_BLK_3.jpg","Ver imagen")</f>
        <v/>
      </c>
    </row>
    <row r="3637">
      <c r="A3637" t="inlineStr">
        <is>
          <t>SAGE COLLECTIVE OUTERWEAR</t>
        </is>
      </c>
      <c r="B3637" t="inlineStr">
        <is>
          <t>107010297</t>
        </is>
      </c>
      <c r="C3637" t="inlineStr">
        <is>
          <t>34 WOOL COAT W FUR REF U028775A</t>
        </is>
      </c>
      <c r="D3637" t="inlineStr">
        <is>
          <t>BLK</t>
        </is>
      </c>
      <c r="E3637" t="inlineStr">
        <is>
          <t>(en blanco)</t>
        </is>
      </c>
      <c r="F3637" t="inlineStr">
        <is>
          <t>D2C</t>
        </is>
      </c>
      <c r="G3637" t="inlineStr">
        <is>
          <t>XL</t>
        </is>
      </c>
      <c r="H3637" t="n">
        <v>35</v>
      </c>
      <c r="I3637" t="inlineStr">
        <is>
          <t>SAGE_COLLECTIVE_OUTERWEAR_107010297_BLK_1.jpg</t>
        </is>
      </c>
      <c r="J3637" t="inlineStr">
        <is>
          <t>SAGE_COLLECTIVE_OUTERWEAR_107010297_BLK_2.jpg</t>
        </is>
      </c>
      <c r="K3637" t="inlineStr">
        <is>
          <t>SAGE_COLLECTIVE_OUTERWEAR_107010297_BLK_3.jpg</t>
        </is>
      </c>
      <c r="L3637">
        <f>IMAGE("file:///E:/Estudios%20y%20certificaciones/ESTUDIOS%20DE%20PROGRAMMING/PROGRAMMING/PERSONAL/PYTHON/Image_Generator_API/imagenes/SAGE_COLLECTIVE_OUTERWEAR_107010297_BLK_1.jpg")</f>
        <v/>
      </c>
      <c r="M3637">
        <f>IMAGE("file:///E:/Estudios%20y%20certificaciones/ESTUDIOS%20DE%20PROGRAMMING/PROGRAMMING/PERSONAL/PYTHON/Image_Generator_API/imagenes/SAGE_COLLECTIVE_OUTERWEAR_107010297_BLK_2.jpg")</f>
        <v/>
      </c>
      <c r="N3637">
        <f>IMAGE("file:///E:/Estudios%20y%20certificaciones/ESTUDIOS%20DE%20PROGRAMMING/PROGRAMMING/PERSONAL/PYTHON/Image_Generator_API/imagenes/SAGE_COLLECTIVE_OUTERWEAR_107010297_BLK_3.jpg")</f>
        <v/>
      </c>
      <c r="O3637">
        <f>HYPERLINK("imagenes/SAGE_COLLECTIVE_OUTERWEAR_107010297_BLK_1.jpg","Ver imagen")</f>
        <v/>
      </c>
      <c r="P3637">
        <f>HYPERLINK("imagenes/SAGE_COLLECTIVE_OUTERWEAR_107010297_BLK_2.jpg","Ver imagen")</f>
        <v/>
      </c>
      <c r="Q3637">
        <f>HYPERLINK("imagenes/SAGE_COLLECTIVE_OUTERWEAR_107010297_BLK_3.jpg","Ver imagen")</f>
        <v/>
      </c>
    </row>
    <row r="3638">
      <c r="A3638" t="inlineStr">
        <is>
          <t>SAGE COLLECTIVE OUTERWEAR</t>
        </is>
      </c>
      <c r="B3638" t="inlineStr">
        <is>
          <t>107010297</t>
        </is>
      </c>
      <c r="C3638" t="inlineStr">
        <is>
          <t>34 WOOL COAT W FUR REF U028775A</t>
        </is>
      </c>
      <c r="D3638" t="inlineStr">
        <is>
          <t>BLK</t>
        </is>
      </c>
      <c r="E3638" t="inlineStr">
        <is>
          <t>(en blanco)</t>
        </is>
      </c>
      <c r="F3638" t="inlineStr">
        <is>
          <t>(en blanco)</t>
        </is>
      </c>
      <c r="G3638" t="inlineStr">
        <is>
          <t>S</t>
        </is>
      </c>
      <c r="H3638" t="n">
        <v>0</v>
      </c>
      <c r="I3638" t="inlineStr">
        <is>
          <t>SAGE_COLLECTIVE_OUTERWEAR_107010297_BLK_1.jpg</t>
        </is>
      </c>
      <c r="J3638" t="inlineStr">
        <is>
          <t>SAGE_COLLECTIVE_OUTERWEAR_107010297_BLK_2.jpg</t>
        </is>
      </c>
      <c r="K3638" t="inlineStr">
        <is>
          <t>SAGE_COLLECTIVE_OUTERWEAR_107010297_BLK_3.jpg</t>
        </is>
      </c>
      <c r="L3638">
        <f>IMAGE("file:///E:/Estudios%20y%20certificaciones/ESTUDIOS%20DE%20PROGRAMMING/PROGRAMMING/PERSONAL/PYTHON/Image_Generator_API/imagenes/SAGE_COLLECTIVE_OUTERWEAR_107010297_BLK_1.jpg")</f>
        <v/>
      </c>
      <c r="M3638">
        <f>IMAGE("file:///E:/Estudios%20y%20certificaciones/ESTUDIOS%20DE%20PROGRAMMING/PROGRAMMING/PERSONAL/PYTHON/Image_Generator_API/imagenes/SAGE_COLLECTIVE_OUTERWEAR_107010297_BLK_2.jpg")</f>
        <v/>
      </c>
      <c r="N3638">
        <f>IMAGE("file:///E:/Estudios%20y%20certificaciones/ESTUDIOS%20DE%20PROGRAMMING/PROGRAMMING/PERSONAL/PYTHON/Image_Generator_API/imagenes/SAGE_COLLECTIVE_OUTERWEAR_107010297_BLK_3.jpg")</f>
        <v/>
      </c>
      <c r="O3638">
        <f>HYPERLINK("imagenes/SAGE_COLLECTIVE_OUTERWEAR_107010297_BLK_1.jpg","Ver imagen")</f>
        <v/>
      </c>
      <c r="P3638">
        <f>HYPERLINK("imagenes/SAGE_COLLECTIVE_OUTERWEAR_107010297_BLK_2.jpg","Ver imagen")</f>
        <v/>
      </c>
      <c r="Q3638">
        <f>HYPERLINK("imagenes/SAGE_COLLECTIVE_OUTERWEAR_107010297_BLK_3.jpg","Ver imagen")</f>
        <v/>
      </c>
    </row>
    <row r="3639">
      <c r="A3639" t="inlineStr">
        <is>
          <t>SAGE COLLECTIVE OUTERWEAR</t>
        </is>
      </c>
      <c r="B3639" t="inlineStr">
        <is>
          <t>107010297</t>
        </is>
      </c>
      <c r="C3639" t="inlineStr">
        <is>
          <t>34 WOOL COAT W FUR REF U028775A</t>
        </is>
      </c>
      <c r="D3639" t="inlineStr">
        <is>
          <t>BLK</t>
        </is>
      </c>
      <c r="E3639" t="inlineStr">
        <is>
          <t>(en blanco)</t>
        </is>
      </c>
      <c r="F3639" t="inlineStr">
        <is>
          <t>(en blanco)</t>
        </is>
      </c>
      <c r="G3639" t="inlineStr">
        <is>
          <t>M</t>
        </is>
      </c>
      <c r="H3639" t="n">
        <v>0</v>
      </c>
      <c r="I3639" t="inlineStr">
        <is>
          <t>SAGE_COLLECTIVE_OUTERWEAR_107010297_BLK_1.jpg</t>
        </is>
      </c>
      <c r="J3639" t="inlineStr">
        <is>
          <t>SAGE_COLLECTIVE_OUTERWEAR_107010297_BLK_2.jpg</t>
        </is>
      </c>
      <c r="K3639" t="inlineStr">
        <is>
          <t>SAGE_COLLECTIVE_OUTERWEAR_107010297_BLK_3.jpg</t>
        </is>
      </c>
      <c r="L3639">
        <f>IMAGE("file:///E:/Estudios%20y%20certificaciones/ESTUDIOS%20DE%20PROGRAMMING/PROGRAMMING/PERSONAL/PYTHON/Image_Generator_API/imagenes/SAGE_COLLECTIVE_OUTERWEAR_107010297_BLK_1.jpg")</f>
        <v/>
      </c>
      <c r="M3639">
        <f>IMAGE("file:///E:/Estudios%20y%20certificaciones/ESTUDIOS%20DE%20PROGRAMMING/PROGRAMMING/PERSONAL/PYTHON/Image_Generator_API/imagenes/SAGE_COLLECTIVE_OUTERWEAR_107010297_BLK_2.jpg")</f>
        <v/>
      </c>
      <c r="N3639">
        <f>IMAGE("file:///E:/Estudios%20y%20certificaciones/ESTUDIOS%20DE%20PROGRAMMING/PROGRAMMING/PERSONAL/PYTHON/Image_Generator_API/imagenes/SAGE_COLLECTIVE_OUTERWEAR_107010297_BLK_3.jpg")</f>
        <v/>
      </c>
      <c r="O3639">
        <f>HYPERLINK("imagenes/SAGE_COLLECTIVE_OUTERWEAR_107010297_BLK_1.jpg","Ver imagen")</f>
        <v/>
      </c>
      <c r="P3639">
        <f>HYPERLINK("imagenes/SAGE_COLLECTIVE_OUTERWEAR_107010297_BLK_2.jpg","Ver imagen")</f>
        <v/>
      </c>
      <c r="Q3639">
        <f>HYPERLINK("imagenes/SAGE_COLLECTIVE_OUTERWEAR_107010297_BLK_3.jpg","Ver imagen")</f>
        <v/>
      </c>
    </row>
    <row r="3640">
      <c r="A3640" t="inlineStr">
        <is>
          <t>SAGE COLLECTIVE OUTERWEAR</t>
        </is>
      </c>
      <c r="B3640" t="inlineStr">
        <is>
          <t>107010297</t>
        </is>
      </c>
      <c r="C3640" t="inlineStr">
        <is>
          <t>34 WOOL COAT W FUR REF U028775A</t>
        </is>
      </c>
      <c r="D3640" t="inlineStr">
        <is>
          <t>BLK</t>
        </is>
      </c>
      <c r="E3640" t="inlineStr">
        <is>
          <t>(en blanco)</t>
        </is>
      </c>
      <c r="F3640" t="inlineStr">
        <is>
          <t>(en blanco)</t>
        </is>
      </c>
      <c r="G3640" t="inlineStr">
        <is>
          <t>L</t>
        </is>
      </c>
      <c r="H3640" t="n">
        <v>1</v>
      </c>
      <c r="I3640" t="inlineStr">
        <is>
          <t>SAGE_COLLECTIVE_OUTERWEAR_107010297_BLK_1.jpg</t>
        </is>
      </c>
      <c r="J3640" t="inlineStr">
        <is>
          <t>SAGE_COLLECTIVE_OUTERWEAR_107010297_BLK_2.jpg</t>
        </is>
      </c>
      <c r="K3640" t="inlineStr">
        <is>
          <t>SAGE_COLLECTIVE_OUTERWEAR_107010297_BLK_3.jpg</t>
        </is>
      </c>
      <c r="L3640">
        <f>IMAGE("file:///E:/Estudios%20y%20certificaciones/ESTUDIOS%20DE%20PROGRAMMING/PROGRAMMING/PERSONAL/PYTHON/Image_Generator_API/imagenes/SAGE_COLLECTIVE_OUTERWEAR_107010297_BLK_1.jpg")</f>
        <v/>
      </c>
      <c r="M3640">
        <f>IMAGE("file:///E:/Estudios%20y%20certificaciones/ESTUDIOS%20DE%20PROGRAMMING/PROGRAMMING/PERSONAL/PYTHON/Image_Generator_API/imagenes/SAGE_COLLECTIVE_OUTERWEAR_107010297_BLK_2.jpg")</f>
        <v/>
      </c>
      <c r="N3640">
        <f>IMAGE("file:///E:/Estudios%20y%20certificaciones/ESTUDIOS%20DE%20PROGRAMMING/PROGRAMMING/PERSONAL/PYTHON/Image_Generator_API/imagenes/SAGE_COLLECTIVE_OUTERWEAR_107010297_BLK_3.jpg")</f>
        <v/>
      </c>
      <c r="O3640">
        <f>HYPERLINK("imagenes/SAGE_COLLECTIVE_OUTERWEAR_107010297_BLK_1.jpg","Ver imagen")</f>
        <v/>
      </c>
      <c r="P3640">
        <f>HYPERLINK("imagenes/SAGE_COLLECTIVE_OUTERWEAR_107010297_BLK_2.jpg","Ver imagen")</f>
        <v/>
      </c>
      <c r="Q3640">
        <f>HYPERLINK("imagenes/SAGE_COLLECTIVE_OUTERWEAR_107010297_BLK_3.jpg","Ver imagen")</f>
        <v/>
      </c>
    </row>
    <row r="3641">
      <c r="A3641" t="inlineStr">
        <is>
          <t>SAGE COLLECTIVE OUTERWEAR</t>
        </is>
      </c>
      <c r="B3641" t="inlineStr">
        <is>
          <t>107010297</t>
        </is>
      </c>
      <c r="C3641" t="inlineStr">
        <is>
          <t>34 WOOL COAT W FUR REF U028775A</t>
        </is>
      </c>
      <c r="D3641" t="inlineStr">
        <is>
          <t>BLK</t>
        </is>
      </c>
      <c r="E3641" t="inlineStr">
        <is>
          <t>(en blanco)</t>
        </is>
      </c>
      <c r="F3641" t="inlineStr">
        <is>
          <t>(en blanco)</t>
        </is>
      </c>
      <c r="G3641" t="inlineStr">
        <is>
          <t>XL</t>
        </is>
      </c>
      <c r="H3641" t="n">
        <v>2</v>
      </c>
      <c r="I3641" t="inlineStr">
        <is>
          <t>SAGE_COLLECTIVE_OUTERWEAR_107010297_BLK_1.jpg</t>
        </is>
      </c>
      <c r="J3641" t="inlineStr">
        <is>
          <t>SAGE_COLLECTIVE_OUTERWEAR_107010297_BLK_2.jpg</t>
        </is>
      </c>
      <c r="K3641" t="inlineStr">
        <is>
          <t>SAGE_COLLECTIVE_OUTERWEAR_107010297_BLK_3.jpg</t>
        </is>
      </c>
      <c r="L3641">
        <f>IMAGE("file:///E:/Estudios%20y%20certificaciones/ESTUDIOS%20DE%20PROGRAMMING/PROGRAMMING/PERSONAL/PYTHON/Image_Generator_API/imagenes/SAGE_COLLECTIVE_OUTERWEAR_107010297_BLK_1.jpg")</f>
        <v/>
      </c>
      <c r="M3641">
        <f>IMAGE("file:///E:/Estudios%20y%20certificaciones/ESTUDIOS%20DE%20PROGRAMMING/PROGRAMMING/PERSONAL/PYTHON/Image_Generator_API/imagenes/SAGE_COLLECTIVE_OUTERWEAR_107010297_BLK_2.jpg")</f>
        <v/>
      </c>
      <c r="N3641">
        <f>IMAGE("file:///E:/Estudios%20y%20certificaciones/ESTUDIOS%20DE%20PROGRAMMING/PROGRAMMING/PERSONAL/PYTHON/Image_Generator_API/imagenes/SAGE_COLLECTIVE_OUTERWEAR_107010297_BLK_3.jpg")</f>
        <v/>
      </c>
      <c r="O3641">
        <f>HYPERLINK("imagenes/SAGE_COLLECTIVE_OUTERWEAR_107010297_BLK_1.jpg","Ver imagen")</f>
        <v/>
      </c>
      <c r="P3641">
        <f>HYPERLINK("imagenes/SAGE_COLLECTIVE_OUTERWEAR_107010297_BLK_2.jpg","Ver imagen")</f>
        <v/>
      </c>
      <c r="Q3641">
        <f>HYPERLINK("imagenes/SAGE_COLLECTIVE_OUTERWEAR_107010297_BLK_3.jpg","Ver imagen")</f>
        <v/>
      </c>
    </row>
    <row r="3642">
      <c r="A3642" t="inlineStr">
        <is>
          <t>SAGE COLLECTIVE OUTERWEAR</t>
        </is>
      </c>
      <c r="B3642" t="inlineStr">
        <is>
          <t>107010298</t>
        </is>
      </c>
      <c r="C3642" t="inlineStr">
        <is>
          <t>35 WOOL COAT REF 121000428</t>
        </is>
      </c>
      <c r="D3642" t="inlineStr">
        <is>
          <t>B2W</t>
        </is>
      </c>
      <c r="E3642" t="inlineStr">
        <is>
          <t>08A06</t>
        </is>
      </c>
      <c r="F3642" t="inlineStr">
        <is>
          <t>B2230</t>
        </is>
      </c>
      <c r="G3642" t="inlineStr">
        <is>
          <t>PPK</t>
        </is>
      </c>
      <c r="H3642" t="n">
        <v>0</v>
      </c>
      <c r="I3642" t="inlineStr">
        <is>
          <t>SAGE_COLLECTIVE_OUTERWEAR_107010298_B2W_2.jpg</t>
        </is>
      </c>
      <c r="J3642" t="inlineStr">
        <is>
          <t>SAGE_COLLECTIVE_OUTERWEAR_107010298_B2W_3.jpg</t>
        </is>
      </c>
      <c r="L3642">
        <f>IMAGE("file:///E:/Estudios%20y%20certificaciones/ESTUDIOS%20DE%20PROGRAMMING/PROGRAMMING/PERSONAL/PYTHON/Image_Generator_API/imagenes/SAGE_COLLECTIVE_OUTERWEAR_107010298_B2W_2.jpg")</f>
        <v/>
      </c>
      <c r="M3642">
        <f>IMAGE("file:///E:/Estudios%20y%20certificaciones/ESTUDIOS%20DE%20PROGRAMMING/PROGRAMMING/PERSONAL/PYTHON/Image_Generator_API/imagenes/SAGE_COLLECTIVE_OUTERWEAR_107010298_B2W_3.jpg")</f>
        <v/>
      </c>
      <c r="O3642">
        <f>HYPERLINK("imagenes/SAGE_COLLECTIVE_OUTERWEAR_107010298_B2W_2.jpg","Ver imagen")</f>
        <v/>
      </c>
      <c r="P3642">
        <f>HYPERLINK("imagenes/SAGE_COLLECTIVE_OUTERWEAR_107010298_B2W_3.jpg","Ver imagen")</f>
        <v/>
      </c>
    </row>
    <row r="3643">
      <c r="A3643" t="inlineStr">
        <is>
          <t>SAGE COLLECTIVE OUTERWEAR</t>
        </is>
      </c>
      <c r="B3643" t="inlineStr">
        <is>
          <t>107010298</t>
        </is>
      </c>
      <c r="C3643" t="inlineStr">
        <is>
          <t>35 WOOL COAT REF 121000428</t>
        </is>
      </c>
      <c r="D3643" t="inlineStr">
        <is>
          <t>BEG</t>
        </is>
      </c>
      <c r="E3643" t="inlineStr">
        <is>
          <t>08A06</t>
        </is>
      </c>
      <c r="F3643" t="inlineStr">
        <is>
          <t>B2230</t>
        </is>
      </c>
      <c r="G3643" t="inlineStr">
        <is>
          <t>PPK</t>
        </is>
      </c>
      <c r="H3643" t="n">
        <v>0</v>
      </c>
      <c r="I3643" t="inlineStr">
        <is>
          <t>SAGE_COLLECTIVE_OUTERWEAR_107010298_BEG_1.jpg</t>
        </is>
      </c>
      <c r="J3643" t="inlineStr">
        <is>
          <t>SAGE_COLLECTIVE_OUTERWEAR_107010298_BEG_2.jpg</t>
        </is>
      </c>
      <c r="K3643" t="inlineStr">
        <is>
          <t>SAGE_COLLECTIVE_OUTERWEAR_107010298_BEG_3.jpg</t>
        </is>
      </c>
      <c r="L3643">
        <f>IMAGE("file:///E:/Estudios%20y%20certificaciones/ESTUDIOS%20DE%20PROGRAMMING/PROGRAMMING/PERSONAL/PYTHON/Image_Generator_API/imagenes/SAGE_COLLECTIVE_OUTERWEAR_107010298_BEG_1.jpg")</f>
        <v/>
      </c>
      <c r="M3643">
        <f>IMAGE("file:///E:/Estudios%20y%20certificaciones/ESTUDIOS%20DE%20PROGRAMMING/PROGRAMMING/PERSONAL/PYTHON/Image_Generator_API/imagenes/SAGE_COLLECTIVE_OUTERWEAR_107010298_BEG_2.jpg")</f>
        <v/>
      </c>
      <c r="N3643">
        <f>IMAGE("file:///E:/Estudios%20y%20certificaciones/ESTUDIOS%20DE%20PROGRAMMING/PROGRAMMING/PERSONAL/PYTHON/Image_Generator_API/imagenes/SAGE_COLLECTIVE_OUTERWEAR_107010298_BEG_3.jpg")</f>
        <v/>
      </c>
      <c r="O3643">
        <f>HYPERLINK("imagenes/SAGE_COLLECTIVE_OUTERWEAR_107010298_BEG_1.jpg","Ver imagen")</f>
        <v/>
      </c>
      <c r="P3643">
        <f>HYPERLINK("imagenes/SAGE_COLLECTIVE_OUTERWEAR_107010298_BEG_2.jpg","Ver imagen")</f>
        <v/>
      </c>
      <c r="Q3643">
        <f>HYPERLINK("imagenes/SAGE_COLLECTIVE_OUTERWEAR_107010298_BEG_3.jpg","Ver imagen")</f>
        <v/>
      </c>
    </row>
    <row r="3644">
      <c r="A3644" t="inlineStr">
        <is>
          <t>SAGE COLLECTIVE OUTERWEAR</t>
        </is>
      </c>
      <c r="B3644" t="inlineStr">
        <is>
          <t>107010298</t>
        </is>
      </c>
      <c r="C3644" t="inlineStr">
        <is>
          <t>35 WOOL COAT REF 121000428</t>
        </is>
      </c>
      <c r="D3644" t="inlineStr">
        <is>
          <t>BLK</t>
        </is>
      </c>
      <c r="E3644" t="inlineStr">
        <is>
          <t>08A06</t>
        </is>
      </c>
      <c r="F3644" t="inlineStr">
        <is>
          <t>B2230</t>
        </is>
      </c>
      <c r="G3644" t="inlineStr">
        <is>
          <t>PPK</t>
        </is>
      </c>
      <c r="H3644" t="n">
        <v>0</v>
      </c>
      <c r="I3644" t="inlineStr">
        <is>
          <t>SAGE_COLLECTIVE_OUTERWEAR_107010298_BLK_1.jpg</t>
        </is>
      </c>
      <c r="J3644" t="inlineStr">
        <is>
          <t>SAGE_COLLECTIVE_OUTERWEAR_107010298_BLK_2.jpg</t>
        </is>
      </c>
      <c r="K3644" t="inlineStr">
        <is>
          <t>SAGE_COLLECTIVE_OUTERWEAR_107010298_BLK_3.jpg</t>
        </is>
      </c>
      <c r="L3644">
        <f>IMAGE("file:///E:/Estudios%20y%20certificaciones/ESTUDIOS%20DE%20PROGRAMMING/PROGRAMMING/PERSONAL/PYTHON/Image_Generator_API/imagenes/SAGE_COLLECTIVE_OUTERWEAR_107010298_BLK_1.jpg")</f>
        <v/>
      </c>
      <c r="M3644">
        <f>IMAGE("file:///E:/Estudios%20y%20certificaciones/ESTUDIOS%20DE%20PROGRAMMING/PROGRAMMING/PERSONAL/PYTHON/Image_Generator_API/imagenes/SAGE_COLLECTIVE_OUTERWEAR_107010298_BLK_2.jpg")</f>
        <v/>
      </c>
      <c r="N3644">
        <f>IMAGE("file:///E:/Estudios%20y%20certificaciones/ESTUDIOS%20DE%20PROGRAMMING/PROGRAMMING/PERSONAL/PYTHON/Image_Generator_API/imagenes/SAGE_COLLECTIVE_OUTERWEAR_107010298_BLK_3.jpg")</f>
        <v/>
      </c>
      <c r="O3644">
        <f>HYPERLINK("imagenes/SAGE_COLLECTIVE_OUTERWEAR_107010298_BLK_1.jpg","Ver imagen")</f>
        <v/>
      </c>
      <c r="P3644">
        <f>HYPERLINK("imagenes/SAGE_COLLECTIVE_OUTERWEAR_107010298_BLK_2.jpg","Ver imagen")</f>
        <v/>
      </c>
      <c r="Q3644">
        <f>HYPERLINK("imagenes/SAGE_COLLECTIVE_OUTERWEAR_107010298_BLK_3.jpg","Ver imagen")</f>
        <v/>
      </c>
    </row>
    <row r="3645">
      <c r="A3645" t="inlineStr">
        <is>
          <t>SAGE COLLECTIVE OUTERWEAR</t>
        </is>
      </c>
      <c r="B3645" t="inlineStr">
        <is>
          <t>107010298</t>
        </is>
      </c>
      <c r="C3645" t="inlineStr">
        <is>
          <t>35 WOOL COAT REF 121000428</t>
        </is>
      </c>
      <c r="D3645" t="inlineStr">
        <is>
          <t>ICE</t>
        </is>
      </c>
      <c r="E3645" t="inlineStr">
        <is>
          <t>08A06</t>
        </is>
      </c>
      <c r="F3645" t="inlineStr">
        <is>
          <t>B2230</t>
        </is>
      </c>
      <c r="G3645" t="inlineStr">
        <is>
          <t>PPK</t>
        </is>
      </c>
      <c r="H3645" t="n">
        <v>0</v>
      </c>
      <c r="I3645" t="inlineStr">
        <is>
          <t>SAGE_COLLECTIVE_OUTERWEAR_107010298_ICE_2.jpg</t>
        </is>
      </c>
      <c r="J3645" t="inlineStr">
        <is>
          <t>SAGE_COLLECTIVE_OUTERWEAR_107010298_ICE_3.jpg</t>
        </is>
      </c>
      <c r="L3645">
        <f>IMAGE("file:///E:/Estudios%20y%20certificaciones/ESTUDIOS%20DE%20PROGRAMMING/PROGRAMMING/PERSONAL/PYTHON/Image_Generator_API/imagenes/SAGE_COLLECTIVE_OUTERWEAR_107010298_ICE_2.jpg")</f>
        <v/>
      </c>
      <c r="M3645">
        <f>IMAGE("file:///E:/Estudios%20y%20certificaciones/ESTUDIOS%20DE%20PROGRAMMING/PROGRAMMING/PERSONAL/PYTHON/Image_Generator_API/imagenes/SAGE_COLLECTIVE_OUTERWEAR_107010298_ICE_3.jpg")</f>
        <v/>
      </c>
      <c r="O3645">
        <f>HYPERLINK("imagenes/SAGE_COLLECTIVE_OUTERWEAR_107010298_ICE_2.jpg","Ver imagen")</f>
        <v/>
      </c>
      <c r="P3645">
        <f>HYPERLINK("imagenes/SAGE_COLLECTIVE_OUTERWEAR_107010298_ICE_3.jpg","Ver imagen")</f>
        <v/>
      </c>
    </row>
    <row r="3646">
      <c r="A3646" t="inlineStr">
        <is>
          <t>SAGE COLLECTIVE OUTERWEAR</t>
        </is>
      </c>
      <c r="B3646" t="inlineStr">
        <is>
          <t>107010298</t>
        </is>
      </c>
      <c r="C3646" t="inlineStr">
        <is>
          <t>35 WOOL COAT REF 121000428</t>
        </is>
      </c>
      <c r="D3646" t="inlineStr">
        <is>
          <t>RWI</t>
        </is>
      </c>
      <c r="E3646" t="inlineStr">
        <is>
          <t>08A06</t>
        </is>
      </c>
      <c r="F3646" t="inlineStr">
        <is>
          <t>B2230</t>
        </is>
      </c>
      <c r="G3646" t="inlineStr">
        <is>
          <t>PPK</t>
        </is>
      </c>
      <c r="H3646" t="n">
        <v>0</v>
      </c>
      <c r="I3646" t="inlineStr">
        <is>
          <t>SAGE_COLLECTIVE_OUTERWEAR_107010298_RWI_2.jpg</t>
        </is>
      </c>
      <c r="J3646" t="inlineStr">
        <is>
          <t>SAGE_COLLECTIVE_OUTERWEAR_107010298_RWI_3.jpg</t>
        </is>
      </c>
      <c r="L3646">
        <f>IMAGE("file:///E:/Estudios%20y%20certificaciones/ESTUDIOS%20DE%20PROGRAMMING/PROGRAMMING/PERSONAL/PYTHON/Image_Generator_API/imagenes/SAGE_COLLECTIVE_OUTERWEAR_107010298_RWI_2.jpg")</f>
        <v/>
      </c>
      <c r="M3646">
        <f>IMAGE("file:///E:/Estudios%20y%20certificaciones/ESTUDIOS%20DE%20PROGRAMMING/PROGRAMMING/PERSONAL/PYTHON/Image_Generator_API/imagenes/SAGE_COLLECTIVE_OUTERWEAR_107010298_RWI_3.jpg")</f>
        <v/>
      </c>
      <c r="O3646">
        <f>HYPERLINK("imagenes/SAGE_COLLECTIVE_OUTERWEAR_107010298_RWI_2.jpg","Ver imagen")</f>
        <v/>
      </c>
      <c r="P3646">
        <f>HYPERLINK("imagenes/SAGE_COLLECTIVE_OUTERWEAR_107010298_RWI_3.jpg","Ver imagen")</f>
        <v/>
      </c>
    </row>
    <row r="3647">
      <c r="A3647" t="inlineStr">
        <is>
          <t>SAGE COLLECTIVE OUTERWEAR</t>
        </is>
      </c>
      <c r="B3647" t="inlineStr">
        <is>
          <t>107010298M</t>
        </is>
      </c>
      <c r="C3647" t="inlineStr">
        <is>
          <t>WALKER WOOL COAT PLUS</t>
        </is>
      </c>
      <c r="D3647" t="inlineStr">
        <is>
          <t>B2W</t>
        </is>
      </c>
      <c r="E3647" t="inlineStr">
        <is>
          <t>09A07</t>
        </is>
      </c>
      <c r="F3647" t="inlineStr">
        <is>
          <t>B2230</t>
        </is>
      </c>
      <c r="G3647" t="inlineStr">
        <is>
          <t>PPK</t>
        </is>
      </c>
      <c r="H3647" t="n">
        <v>0</v>
      </c>
      <c r="I3647" t="inlineStr">
        <is>
          <t>SAGE_COLLECTIVE_OUTERWEAR_107010298M_B2W_1.jpg</t>
        </is>
      </c>
      <c r="J3647" t="inlineStr">
        <is>
          <t>SAGE_COLLECTIVE_OUTERWEAR_107010298M_B2W_2.jpg</t>
        </is>
      </c>
      <c r="K3647" t="inlineStr">
        <is>
          <t>SAGE_COLLECTIVE_OUTERWEAR_107010298M_B2W_3.jpg</t>
        </is>
      </c>
      <c r="L3647">
        <f>IMAGE("file:///E:/Estudios%20y%20certificaciones/ESTUDIOS%20DE%20PROGRAMMING/PROGRAMMING/PERSONAL/PYTHON/Image_Generator_API/imagenes/SAGE_COLLECTIVE_OUTERWEAR_107010298M_B2W_1.jpg")</f>
        <v/>
      </c>
      <c r="M3647">
        <f>IMAGE("file:///E:/Estudios%20y%20certificaciones/ESTUDIOS%20DE%20PROGRAMMING/PROGRAMMING/PERSONAL/PYTHON/Image_Generator_API/imagenes/SAGE_COLLECTIVE_OUTERWEAR_107010298M_B2W_2.jpg")</f>
        <v/>
      </c>
      <c r="N3647">
        <f>IMAGE("file:///E:/Estudios%20y%20certificaciones/ESTUDIOS%20DE%20PROGRAMMING/PROGRAMMING/PERSONAL/PYTHON/Image_Generator_API/imagenes/SAGE_COLLECTIVE_OUTERWEAR_107010298M_B2W_3.jpg")</f>
        <v/>
      </c>
      <c r="O3647">
        <f>HYPERLINK("imagenes/SAGE_COLLECTIVE_OUTERWEAR_107010298M_B2W_1.jpg","Ver imagen")</f>
        <v/>
      </c>
      <c r="P3647">
        <f>HYPERLINK("imagenes/SAGE_COLLECTIVE_OUTERWEAR_107010298M_B2W_2.jpg","Ver imagen")</f>
        <v/>
      </c>
      <c r="Q3647">
        <f>HYPERLINK("imagenes/SAGE_COLLECTIVE_OUTERWEAR_107010298M_B2W_3.jpg","Ver imagen")</f>
        <v/>
      </c>
    </row>
    <row r="3648">
      <c r="A3648" t="inlineStr">
        <is>
          <t>SAGE COLLECTIVE OUTERWEAR</t>
        </is>
      </c>
      <c r="B3648" t="inlineStr">
        <is>
          <t>107010298M</t>
        </is>
      </c>
      <c r="C3648" t="inlineStr">
        <is>
          <t>WALKER WOOL COAT PLUS</t>
        </is>
      </c>
      <c r="D3648" t="inlineStr">
        <is>
          <t>CHO</t>
        </is>
      </c>
      <c r="E3648" t="inlineStr">
        <is>
          <t>09A07</t>
        </is>
      </c>
      <c r="F3648" t="inlineStr">
        <is>
          <t>B2230</t>
        </is>
      </c>
      <c r="G3648" t="inlineStr">
        <is>
          <t>PPK</t>
        </is>
      </c>
      <c r="H3648" t="n">
        <v>0</v>
      </c>
      <c r="I3648" t="inlineStr">
        <is>
          <t>SAGE_COLLECTIVE_OUTERWEAR_107010298M_CHO_1.jpg</t>
        </is>
      </c>
      <c r="J3648" t="inlineStr">
        <is>
          <t>SAGE_COLLECTIVE_OUTERWEAR_107010298M_CHO_2.jpg</t>
        </is>
      </c>
      <c r="K3648" t="inlineStr">
        <is>
          <t>SAGE_COLLECTIVE_OUTERWEAR_107010298M_CHO_3.jpg</t>
        </is>
      </c>
      <c r="L3648">
        <f>IMAGE("file:///E:/Estudios%20y%20certificaciones/ESTUDIOS%20DE%20PROGRAMMING/PROGRAMMING/PERSONAL/PYTHON/Image_Generator_API/imagenes/SAGE_COLLECTIVE_OUTERWEAR_107010298M_CHO_1.jpg")</f>
        <v/>
      </c>
      <c r="M3648">
        <f>IMAGE("file:///E:/Estudios%20y%20certificaciones/ESTUDIOS%20DE%20PROGRAMMING/PROGRAMMING/PERSONAL/PYTHON/Image_Generator_API/imagenes/SAGE_COLLECTIVE_OUTERWEAR_107010298M_CHO_2.jpg")</f>
        <v/>
      </c>
      <c r="N3648">
        <f>IMAGE("file:///E:/Estudios%20y%20certificaciones/ESTUDIOS%20DE%20PROGRAMMING/PROGRAMMING/PERSONAL/PYTHON/Image_Generator_API/imagenes/SAGE_COLLECTIVE_OUTERWEAR_107010298M_CHO_3.jpg")</f>
        <v/>
      </c>
      <c r="O3648">
        <f>HYPERLINK("imagenes/SAGE_COLLECTIVE_OUTERWEAR_107010298M_CHO_1.jpg","Ver imagen")</f>
        <v/>
      </c>
      <c r="P3648">
        <f>HYPERLINK("imagenes/SAGE_COLLECTIVE_OUTERWEAR_107010298M_CHO_2.jpg","Ver imagen")</f>
        <v/>
      </c>
      <c r="Q3648">
        <f>HYPERLINK("imagenes/SAGE_COLLECTIVE_OUTERWEAR_107010298M_CHO_3.jpg","Ver imagen")</f>
        <v/>
      </c>
    </row>
    <row r="3649">
      <c r="A3649" t="inlineStr">
        <is>
          <t>SAGE COLLECTIVE OUTERWEAR</t>
        </is>
      </c>
      <c r="B3649" t="inlineStr">
        <is>
          <t>107010298P</t>
        </is>
      </c>
      <c r="C3649" t="inlineStr">
        <is>
          <t>35 WOOL COAT PETITE</t>
        </is>
      </c>
      <c r="D3649" t="inlineStr">
        <is>
          <t>B2W</t>
        </is>
      </c>
      <c r="E3649" t="inlineStr">
        <is>
          <t>08A24</t>
        </is>
      </c>
      <c r="F3649" t="inlineStr">
        <is>
          <t>B2230</t>
        </is>
      </c>
      <c r="G3649" t="inlineStr">
        <is>
          <t>PPK</t>
        </is>
      </c>
      <c r="H3649" t="n">
        <v>0</v>
      </c>
      <c r="I3649" t="inlineStr">
        <is>
          <t>SAGE_COLLECTIVE_OUTERWEAR_107010298P_B2W_2.jpg</t>
        </is>
      </c>
      <c r="J3649" t="inlineStr">
        <is>
          <t>SAGE_COLLECTIVE_OUTERWEAR_107010298P_B2W_3.jpg</t>
        </is>
      </c>
      <c r="L3649">
        <f>IMAGE("file:///E:/Estudios%20y%20certificaciones/ESTUDIOS%20DE%20PROGRAMMING/PROGRAMMING/PERSONAL/PYTHON/Image_Generator_API/imagenes/SAGE_COLLECTIVE_OUTERWEAR_107010298P_B2W_2.jpg")</f>
        <v/>
      </c>
      <c r="M3649">
        <f>IMAGE("file:///E:/Estudios%20y%20certificaciones/ESTUDIOS%20DE%20PROGRAMMING/PROGRAMMING/PERSONAL/PYTHON/Image_Generator_API/imagenes/SAGE_COLLECTIVE_OUTERWEAR_107010298P_B2W_3.jpg")</f>
        <v/>
      </c>
      <c r="O3649">
        <f>HYPERLINK("imagenes/SAGE_COLLECTIVE_OUTERWEAR_107010298P_B2W_2.jpg","Ver imagen")</f>
        <v/>
      </c>
      <c r="P3649">
        <f>HYPERLINK("imagenes/SAGE_COLLECTIVE_OUTERWEAR_107010298P_B2W_3.jpg","Ver imagen")</f>
        <v/>
      </c>
    </row>
    <row r="3650">
      <c r="A3650" t="inlineStr">
        <is>
          <t>SAGE COLLECTIVE OUTERWEAR</t>
        </is>
      </c>
      <c r="B3650" t="inlineStr">
        <is>
          <t>107010298P</t>
        </is>
      </c>
      <c r="C3650" t="inlineStr">
        <is>
          <t>35 WOOL COAT PETITE</t>
        </is>
      </c>
      <c r="D3650" t="inlineStr">
        <is>
          <t>BEG</t>
        </is>
      </c>
      <c r="E3650" t="inlineStr">
        <is>
          <t>08A24</t>
        </is>
      </c>
      <c r="F3650" t="inlineStr">
        <is>
          <t>B2230</t>
        </is>
      </c>
      <c r="G3650" t="inlineStr">
        <is>
          <t>PPK</t>
        </is>
      </c>
      <c r="H3650" t="n">
        <v>0</v>
      </c>
      <c r="I3650" t="inlineStr">
        <is>
          <t>SAGE_COLLECTIVE_OUTERWEAR_107010298P_BEG_1.jpg</t>
        </is>
      </c>
      <c r="J3650" t="inlineStr">
        <is>
          <t>SAGE_COLLECTIVE_OUTERWEAR_107010298P_BEG_2.jpg</t>
        </is>
      </c>
      <c r="K3650" t="inlineStr">
        <is>
          <t>SAGE_COLLECTIVE_OUTERWEAR_107010298P_BEG_3.jpg</t>
        </is>
      </c>
      <c r="L3650">
        <f>IMAGE("file:///E:/Estudios%20y%20certificaciones/ESTUDIOS%20DE%20PROGRAMMING/PROGRAMMING/PERSONAL/PYTHON/Image_Generator_API/imagenes/SAGE_COLLECTIVE_OUTERWEAR_107010298P_BEG_1.jpg")</f>
        <v/>
      </c>
      <c r="M3650">
        <f>IMAGE("file:///E:/Estudios%20y%20certificaciones/ESTUDIOS%20DE%20PROGRAMMING/PROGRAMMING/PERSONAL/PYTHON/Image_Generator_API/imagenes/SAGE_COLLECTIVE_OUTERWEAR_107010298P_BEG_2.jpg")</f>
        <v/>
      </c>
      <c r="N3650">
        <f>IMAGE("file:///E:/Estudios%20y%20certificaciones/ESTUDIOS%20DE%20PROGRAMMING/PROGRAMMING/PERSONAL/PYTHON/Image_Generator_API/imagenes/SAGE_COLLECTIVE_OUTERWEAR_107010298P_BEG_3.jpg")</f>
        <v/>
      </c>
      <c r="O3650">
        <f>HYPERLINK("imagenes/SAGE_COLLECTIVE_OUTERWEAR_107010298P_BEG_1.jpg","Ver imagen")</f>
        <v/>
      </c>
      <c r="P3650">
        <f>HYPERLINK("imagenes/SAGE_COLLECTIVE_OUTERWEAR_107010298P_BEG_2.jpg","Ver imagen")</f>
        <v/>
      </c>
      <c r="Q3650">
        <f>HYPERLINK("imagenes/SAGE_COLLECTIVE_OUTERWEAR_107010298P_BEG_3.jpg","Ver imagen")</f>
        <v/>
      </c>
    </row>
    <row r="3651">
      <c r="A3651" t="inlineStr">
        <is>
          <t>SAGE COLLECTIVE OUTERWEAR</t>
        </is>
      </c>
      <c r="B3651" t="inlineStr">
        <is>
          <t>107010298P</t>
        </is>
      </c>
      <c r="C3651" t="inlineStr">
        <is>
          <t>35 WOOL COAT PETITE</t>
        </is>
      </c>
      <c r="D3651" t="inlineStr">
        <is>
          <t>BLK</t>
        </is>
      </c>
      <c r="E3651" t="inlineStr">
        <is>
          <t>08A24</t>
        </is>
      </c>
      <c r="F3651" t="inlineStr">
        <is>
          <t>B2230</t>
        </is>
      </c>
      <c r="G3651" t="inlineStr">
        <is>
          <t>PPK</t>
        </is>
      </c>
      <c r="H3651" t="n">
        <v>0</v>
      </c>
      <c r="I3651" t="inlineStr">
        <is>
          <t>SAGE_COLLECTIVE_OUTERWEAR_107010298P_BLK_1.jpg</t>
        </is>
      </c>
      <c r="J3651" t="inlineStr">
        <is>
          <t>SAGE_COLLECTIVE_OUTERWEAR_107010298P_BLK_2.jpg</t>
        </is>
      </c>
      <c r="K3651" t="inlineStr">
        <is>
          <t>SAGE_COLLECTIVE_OUTERWEAR_107010298P_BLK_3.jpg</t>
        </is>
      </c>
      <c r="L3651">
        <f>IMAGE("file:///E:/Estudios%20y%20certificaciones/ESTUDIOS%20DE%20PROGRAMMING/PROGRAMMING/PERSONAL/PYTHON/Image_Generator_API/imagenes/SAGE_COLLECTIVE_OUTERWEAR_107010298P_BLK_1.jpg")</f>
        <v/>
      </c>
      <c r="M3651">
        <f>IMAGE("file:///E:/Estudios%20y%20certificaciones/ESTUDIOS%20DE%20PROGRAMMING/PROGRAMMING/PERSONAL/PYTHON/Image_Generator_API/imagenes/SAGE_COLLECTIVE_OUTERWEAR_107010298P_BLK_2.jpg")</f>
        <v/>
      </c>
      <c r="N3651">
        <f>IMAGE("file:///E:/Estudios%20y%20certificaciones/ESTUDIOS%20DE%20PROGRAMMING/PROGRAMMING/PERSONAL/PYTHON/Image_Generator_API/imagenes/SAGE_COLLECTIVE_OUTERWEAR_107010298P_BLK_3.jpg")</f>
        <v/>
      </c>
      <c r="O3651">
        <f>HYPERLINK("imagenes/SAGE_COLLECTIVE_OUTERWEAR_107010298P_BLK_1.jpg","Ver imagen")</f>
        <v/>
      </c>
      <c r="P3651">
        <f>HYPERLINK("imagenes/SAGE_COLLECTIVE_OUTERWEAR_107010298P_BLK_2.jpg","Ver imagen")</f>
        <v/>
      </c>
      <c r="Q3651">
        <f>HYPERLINK("imagenes/SAGE_COLLECTIVE_OUTERWEAR_107010298P_BLK_3.jpg","Ver imagen")</f>
        <v/>
      </c>
    </row>
    <row r="3652">
      <c r="A3652" t="inlineStr">
        <is>
          <t>SAGE COLLECTIVE OUTERWEAR</t>
        </is>
      </c>
      <c r="B3652" t="inlineStr">
        <is>
          <t>107010298P</t>
        </is>
      </c>
      <c r="C3652" t="inlineStr">
        <is>
          <t>35 WOOL COAT PETITE</t>
        </is>
      </c>
      <c r="D3652" t="inlineStr">
        <is>
          <t>CHO</t>
        </is>
      </c>
      <c r="E3652" t="inlineStr">
        <is>
          <t>08A24</t>
        </is>
      </c>
      <c r="F3652" t="inlineStr">
        <is>
          <t>B2230</t>
        </is>
      </c>
      <c r="G3652" t="inlineStr">
        <is>
          <t>PPK</t>
        </is>
      </c>
      <c r="H3652" t="n">
        <v>0</v>
      </c>
      <c r="I3652" t="inlineStr">
        <is>
          <t>SAGE_COLLECTIVE_OUTERWEAR_107010298P_CHO_1.jpg</t>
        </is>
      </c>
      <c r="J3652" t="inlineStr">
        <is>
          <t>SAGE_COLLECTIVE_OUTERWEAR_107010298P_CHO_2.jpg</t>
        </is>
      </c>
      <c r="K3652" t="inlineStr">
        <is>
          <t>SAGE_COLLECTIVE_OUTERWEAR_107010298P_CHO_3.jpg</t>
        </is>
      </c>
      <c r="L3652">
        <f>IMAGE("file:///E:/Estudios%20y%20certificaciones/ESTUDIOS%20DE%20PROGRAMMING/PROGRAMMING/PERSONAL/PYTHON/Image_Generator_API/imagenes/SAGE_COLLECTIVE_OUTERWEAR_107010298P_CHO_1.jpg")</f>
        <v/>
      </c>
      <c r="M3652">
        <f>IMAGE("file:///E:/Estudios%20y%20certificaciones/ESTUDIOS%20DE%20PROGRAMMING/PROGRAMMING/PERSONAL/PYTHON/Image_Generator_API/imagenes/SAGE_COLLECTIVE_OUTERWEAR_107010298P_CHO_2.jpg")</f>
        <v/>
      </c>
      <c r="N3652">
        <f>IMAGE("file:///E:/Estudios%20y%20certificaciones/ESTUDIOS%20DE%20PROGRAMMING/PROGRAMMING/PERSONAL/PYTHON/Image_Generator_API/imagenes/SAGE_COLLECTIVE_OUTERWEAR_107010298P_CHO_3.jpg")</f>
        <v/>
      </c>
      <c r="O3652">
        <f>HYPERLINK("imagenes/SAGE_COLLECTIVE_OUTERWEAR_107010298P_CHO_1.jpg","Ver imagen")</f>
        <v/>
      </c>
      <c r="P3652">
        <f>HYPERLINK("imagenes/SAGE_COLLECTIVE_OUTERWEAR_107010298P_CHO_2.jpg","Ver imagen")</f>
        <v/>
      </c>
      <c r="Q3652">
        <f>HYPERLINK("imagenes/SAGE_COLLECTIVE_OUTERWEAR_107010298P_CHO_3.jpg","Ver imagen")</f>
        <v/>
      </c>
    </row>
    <row r="3653">
      <c r="A3653" t="inlineStr">
        <is>
          <t>SAGE COLLECTIVE OUTERWEAR</t>
        </is>
      </c>
      <c r="B3653" t="inlineStr">
        <is>
          <t>107010298P</t>
        </is>
      </c>
      <c r="C3653" t="inlineStr">
        <is>
          <t>35 WOOL COAT PETITE</t>
        </is>
      </c>
      <c r="D3653" t="inlineStr">
        <is>
          <t>RWI</t>
        </is>
      </c>
      <c r="E3653" t="inlineStr">
        <is>
          <t>08A24</t>
        </is>
      </c>
      <c r="F3653" t="inlineStr">
        <is>
          <t>B2230</t>
        </is>
      </c>
      <c r="G3653" t="inlineStr">
        <is>
          <t>PPK</t>
        </is>
      </c>
      <c r="H3653" t="n">
        <v>0</v>
      </c>
      <c r="I3653" t="inlineStr">
        <is>
          <t>SAGE_COLLECTIVE_OUTERWEAR_107010298P_RWI_2.jpg</t>
        </is>
      </c>
      <c r="J3653" t="inlineStr">
        <is>
          <t>SAGE_COLLECTIVE_OUTERWEAR_107010298P_RWI_3.jpg</t>
        </is>
      </c>
      <c r="L3653">
        <f>IMAGE("file:///E:/Estudios%20y%20certificaciones/ESTUDIOS%20DE%20PROGRAMMING/PROGRAMMING/PERSONAL/PYTHON/Image_Generator_API/imagenes/SAGE_COLLECTIVE_OUTERWEAR_107010298P_RWI_2.jpg")</f>
        <v/>
      </c>
      <c r="M3653">
        <f>IMAGE("file:///E:/Estudios%20y%20certificaciones/ESTUDIOS%20DE%20PROGRAMMING/PROGRAMMING/PERSONAL/PYTHON/Image_Generator_API/imagenes/SAGE_COLLECTIVE_OUTERWEAR_107010298P_RWI_3.jpg")</f>
        <v/>
      </c>
      <c r="O3653">
        <f>HYPERLINK("imagenes/SAGE_COLLECTIVE_OUTERWEAR_107010298P_RWI_2.jpg","Ver imagen")</f>
        <v/>
      </c>
      <c r="P3653">
        <f>HYPERLINK("imagenes/SAGE_COLLECTIVE_OUTERWEAR_107010298P_RWI_3.jpg","Ver imagen")</f>
        <v/>
      </c>
    </row>
    <row r="3654">
      <c r="A3654" t="inlineStr">
        <is>
          <t>SAGE COLLECTIVE OUTERWEAR</t>
        </is>
      </c>
      <c r="B3654" t="inlineStr">
        <is>
          <t>107010299</t>
        </is>
      </c>
      <c r="C3654" t="inlineStr">
        <is>
          <t>32 STRETCH PUFFER REF 121000408</t>
        </is>
      </c>
      <c r="D3654" t="inlineStr">
        <is>
          <t>BLK</t>
        </is>
      </c>
      <c r="E3654" t="inlineStr">
        <is>
          <t>06A01</t>
        </is>
      </c>
      <c r="F3654" t="inlineStr">
        <is>
          <t>(en blanco)</t>
        </is>
      </c>
      <c r="G3654" t="inlineStr">
        <is>
          <t>PPK</t>
        </is>
      </c>
      <c r="H3654" t="n">
        <v>5310</v>
      </c>
      <c r="I3654" t="inlineStr">
        <is>
          <t>SAGE_COLLECTIVE_OUTERWEAR_107010299_BLK_1.jpg</t>
        </is>
      </c>
      <c r="J3654" t="inlineStr">
        <is>
          <t>SAGE_COLLECTIVE_OUTERWEAR_107010299_BLK_2.jpg</t>
        </is>
      </c>
      <c r="K3654" t="inlineStr">
        <is>
          <t>SAGE_COLLECTIVE_OUTERWEAR_107010299_BLK_3.jpg</t>
        </is>
      </c>
      <c r="L3654">
        <f>IMAGE("file:///E:/Estudios%20y%20certificaciones/ESTUDIOS%20DE%20PROGRAMMING/PROGRAMMING/PERSONAL/PYTHON/Image_Generator_API/imagenes/SAGE_COLLECTIVE_OUTERWEAR_107010299_BLK_1.jpg")</f>
        <v/>
      </c>
      <c r="M3654">
        <f>IMAGE("file:///E:/Estudios%20y%20certificaciones/ESTUDIOS%20DE%20PROGRAMMING/PROGRAMMING/PERSONAL/PYTHON/Image_Generator_API/imagenes/SAGE_COLLECTIVE_OUTERWEAR_107010299_BLK_2.jpg")</f>
        <v/>
      </c>
      <c r="N3654">
        <f>IMAGE("file:///E:/Estudios%20y%20certificaciones/ESTUDIOS%20DE%20PROGRAMMING/PROGRAMMING/PERSONAL/PYTHON/Image_Generator_API/imagenes/SAGE_COLLECTIVE_OUTERWEAR_107010299_BLK_3.jpg")</f>
        <v/>
      </c>
      <c r="O3654">
        <f>HYPERLINK("imagenes/SAGE_COLLECTIVE_OUTERWEAR_107010299_BLK_1.jpg","Ver imagen")</f>
        <v/>
      </c>
      <c r="P3654">
        <f>HYPERLINK("imagenes/SAGE_COLLECTIVE_OUTERWEAR_107010299_BLK_2.jpg","Ver imagen")</f>
        <v/>
      </c>
      <c r="Q3654">
        <f>HYPERLINK("imagenes/SAGE_COLLECTIVE_OUTERWEAR_107010299_BLK_3.jpg","Ver imagen")</f>
        <v/>
      </c>
    </row>
    <row r="3655">
      <c r="A3655" t="inlineStr">
        <is>
          <t>SAGE COLLECTIVE OUTERWEAR</t>
        </is>
      </c>
      <c r="B3655" t="inlineStr">
        <is>
          <t>107010299</t>
        </is>
      </c>
      <c r="C3655" t="inlineStr">
        <is>
          <t>32 STRETCH PUFFER REF 121000408</t>
        </is>
      </c>
      <c r="D3655" t="inlineStr">
        <is>
          <t>BLK</t>
        </is>
      </c>
      <c r="E3655" t="inlineStr">
        <is>
          <t>(en blanco)</t>
        </is>
      </c>
      <c r="F3655" t="inlineStr">
        <is>
          <t>D2C</t>
        </is>
      </c>
      <c r="G3655" t="inlineStr">
        <is>
          <t>S</t>
        </is>
      </c>
      <c r="H3655" t="n">
        <v>34</v>
      </c>
      <c r="I3655" t="inlineStr">
        <is>
          <t>SAGE_COLLECTIVE_OUTERWEAR_107010299_BLK_1.jpg</t>
        </is>
      </c>
      <c r="J3655" t="inlineStr">
        <is>
          <t>SAGE_COLLECTIVE_OUTERWEAR_107010299_BLK_2.jpg</t>
        </is>
      </c>
      <c r="K3655" t="inlineStr">
        <is>
          <t>SAGE_COLLECTIVE_OUTERWEAR_107010299_BLK_3.jpg</t>
        </is>
      </c>
      <c r="L3655">
        <f>IMAGE("file:///E:/Estudios%20y%20certificaciones/ESTUDIOS%20DE%20PROGRAMMING/PROGRAMMING/PERSONAL/PYTHON/Image_Generator_API/imagenes/SAGE_COLLECTIVE_OUTERWEAR_107010299_BLK_1.jpg")</f>
        <v/>
      </c>
      <c r="M3655">
        <f>IMAGE("file:///E:/Estudios%20y%20certificaciones/ESTUDIOS%20DE%20PROGRAMMING/PROGRAMMING/PERSONAL/PYTHON/Image_Generator_API/imagenes/SAGE_COLLECTIVE_OUTERWEAR_107010299_BLK_2.jpg")</f>
        <v/>
      </c>
      <c r="N3655">
        <f>IMAGE("file:///E:/Estudios%20y%20certificaciones/ESTUDIOS%20DE%20PROGRAMMING/PROGRAMMING/PERSONAL/PYTHON/Image_Generator_API/imagenes/SAGE_COLLECTIVE_OUTERWEAR_107010299_BLK_3.jpg")</f>
        <v/>
      </c>
      <c r="O3655">
        <f>HYPERLINK("imagenes/SAGE_COLLECTIVE_OUTERWEAR_107010299_BLK_1.jpg","Ver imagen")</f>
        <v/>
      </c>
      <c r="P3655">
        <f>HYPERLINK("imagenes/SAGE_COLLECTIVE_OUTERWEAR_107010299_BLK_2.jpg","Ver imagen")</f>
        <v/>
      </c>
      <c r="Q3655">
        <f>HYPERLINK("imagenes/SAGE_COLLECTIVE_OUTERWEAR_107010299_BLK_3.jpg","Ver imagen")</f>
        <v/>
      </c>
    </row>
    <row r="3656">
      <c r="A3656" t="inlineStr">
        <is>
          <t>SAGE COLLECTIVE OUTERWEAR</t>
        </is>
      </c>
      <c r="B3656" t="inlineStr">
        <is>
          <t>107010299</t>
        </is>
      </c>
      <c r="C3656" t="inlineStr">
        <is>
          <t>32 STRETCH PUFFER REF 121000408</t>
        </is>
      </c>
      <c r="D3656" t="inlineStr">
        <is>
          <t>BLK</t>
        </is>
      </c>
      <c r="E3656" t="inlineStr">
        <is>
          <t>(en blanco)</t>
        </is>
      </c>
      <c r="F3656" t="inlineStr">
        <is>
          <t>D2C</t>
        </is>
      </c>
      <c r="G3656" t="inlineStr">
        <is>
          <t>M</t>
        </is>
      </c>
      <c r="H3656" t="n">
        <v>68</v>
      </c>
      <c r="I3656" t="inlineStr">
        <is>
          <t>SAGE_COLLECTIVE_OUTERWEAR_107010299_BLK_1.jpg</t>
        </is>
      </c>
      <c r="J3656" t="inlineStr">
        <is>
          <t>SAGE_COLLECTIVE_OUTERWEAR_107010299_BLK_2.jpg</t>
        </is>
      </c>
      <c r="K3656" t="inlineStr">
        <is>
          <t>SAGE_COLLECTIVE_OUTERWEAR_107010299_BLK_3.jpg</t>
        </is>
      </c>
      <c r="L3656">
        <f>IMAGE("file:///E:/Estudios%20y%20certificaciones/ESTUDIOS%20DE%20PROGRAMMING/PROGRAMMING/PERSONAL/PYTHON/Image_Generator_API/imagenes/SAGE_COLLECTIVE_OUTERWEAR_107010299_BLK_1.jpg")</f>
        <v/>
      </c>
      <c r="M3656">
        <f>IMAGE("file:///E:/Estudios%20y%20certificaciones/ESTUDIOS%20DE%20PROGRAMMING/PROGRAMMING/PERSONAL/PYTHON/Image_Generator_API/imagenes/SAGE_COLLECTIVE_OUTERWEAR_107010299_BLK_2.jpg")</f>
        <v/>
      </c>
      <c r="N3656">
        <f>IMAGE("file:///E:/Estudios%20y%20certificaciones/ESTUDIOS%20DE%20PROGRAMMING/PROGRAMMING/PERSONAL/PYTHON/Image_Generator_API/imagenes/SAGE_COLLECTIVE_OUTERWEAR_107010299_BLK_3.jpg")</f>
        <v/>
      </c>
      <c r="O3656">
        <f>HYPERLINK("imagenes/SAGE_COLLECTIVE_OUTERWEAR_107010299_BLK_1.jpg","Ver imagen")</f>
        <v/>
      </c>
      <c r="P3656">
        <f>HYPERLINK("imagenes/SAGE_COLLECTIVE_OUTERWEAR_107010299_BLK_2.jpg","Ver imagen")</f>
        <v/>
      </c>
      <c r="Q3656">
        <f>HYPERLINK("imagenes/SAGE_COLLECTIVE_OUTERWEAR_107010299_BLK_3.jpg","Ver imagen")</f>
        <v/>
      </c>
    </row>
    <row r="3657">
      <c r="A3657" t="inlineStr">
        <is>
          <t>SAGE COLLECTIVE OUTERWEAR</t>
        </is>
      </c>
      <c r="B3657" t="inlineStr">
        <is>
          <t>107010299</t>
        </is>
      </c>
      <c r="C3657" t="inlineStr">
        <is>
          <t>32 STRETCH PUFFER REF 121000408</t>
        </is>
      </c>
      <c r="D3657" t="inlineStr">
        <is>
          <t>BLK</t>
        </is>
      </c>
      <c r="E3657" t="inlineStr">
        <is>
          <t>(en blanco)</t>
        </is>
      </c>
      <c r="F3657" t="inlineStr">
        <is>
          <t>D2C</t>
        </is>
      </c>
      <c r="G3657" t="inlineStr">
        <is>
          <t>L</t>
        </is>
      </c>
      <c r="H3657" t="n">
        <v>68</v>
      </c>
      <c r="I3657" t="inlineStr">
        <is>
          <t>SAGE_COLLECTIVE_OUTERWEAR_107010299_BLK_1.jpg</t>
        </is>
      </c>
      <c r="J3657" t="inlineStr">
        <is>
          <t>SAGE_COLLECTIVE_OUTERWEAR_107010299_BLK_2.jpg</t>
        </is>
      </c>
      <c r="K3657" t="inlineStr">
        <is>
          <t>SAGE_COLLECTIVE_OUTERWEAR_107010299_BLK_3.jpg</t>
        </is>
      </c>
      <c r="L3657">
        <f>IMAGE("file:///E:/Estudios%20y%20certificaciones/ESTUDIOS%20DE%20PROGRAMMING/PROGRAMMING/PERSONAL/PYTHON/Image_Generator_API/imagenes/SAGE_COLLECTIVE_OUTERWEAR_107010299_BLK_1.jpg")</f>
        <v/>
      </c>
      <c r="M3657">
        <f>IMAGE("file:///E:/Estudios%20y%20certificaciones/ESTUDIOS%20DE%20PROGRAMMING/PROGRAMMING/PERSONAL/PYTHON/Image_Generator_API/imagenes/SAGE_COLLECTIVE_OUTERWEAR_107010299_BLK_2.jpg")</f>
        <v/>
      </c>
      <c r="N3657">
        <f>IMAGE("file:///E:/Estudios%20y%20certificaciones/ESTUDIOS%20DE%20PROGRAMMING/PROGRAMMING/PERSONAL/PYTHON/Image_Generator_API/imagenes/SAGE_COLLECTIVE_OUTERWEAR_107010299_BLK_3.jpg")</f>
        <v/>
      </c>
      <c r="O3657">
        <f>HYPERLINK("imagenes/SAGE_COLLECTIVE_OUTERWEAR_107010299_BLK_1.jpg","Ver imagen")</f>
        <v/>
      </c>
      <c r="P3657">
        <f>HYPERLINK("imagenes/SAGE_COLLECTIVE_OUTERWEAR_107010299_BLK_2.jpg","Ver imagen")</f>
        <v/>
      </c>
      <c r="Q3657">
        <f>HYPERLINK("imagenes/SAGE_COLLECTIVE_OUTERWEAR_107010299_BLK_3.jpg","Ver imagen")</f>
        <v/>
      </c>
    </row>
    <row r="3658">
      <c r="A3658" t="inlineStr">
        <is>
          <t>SAGE COLLECTIVE OUTERWEAR</t>
        </is>
      </c>
      <c r="B3658" t="inlineStr">
        <is>
          <t>107010299</t>
        </is>
      </c>
      <c r="C3658" t="inlineStr">
        <is>
          <t>32 STRETCH PUFFER REF 121000408</t>
        </is>
      </c>
      <c r="D3658" t="inlineStr">
        <is>
          <t>BLK</t>
        </is>
      </c>
      <c r="E3658" t="inlineStr">
        <is>
          <t>(en blanco)</t>
        </is>
      </c>
      <c r="F3658" t="inlineStr">
        <is>
          <t>D2C</t>
        </is>
      </c>
      <c r="G3658" t="inlineStr">
        <is>
          <t>XL</t>
        </is>
      </c>
      <c r="H3658" t="n">
        <v>34</v>
      </c>
      <c r="I3658" t="inlineStr">
        <is>
          <t>SAGE_COLLECTIVE_OUTERWEAR_107010299_BLK_1.jpg</t>
        </is>
      </c>
      <c r="J3658" t="inlineStr">
        <is>
          <t>SAGE_COLLECTIVE_OUTERWEAR_107010299_BLK_2.jpg</t>
        </is>
      </c>
      <c r="K3658" t="inlineStr">
        <is>
          <t>SAGE_COLLECTIVE_OUTERWEAR_107010299_BLK_3.jpg</t>
        </is>
      </c>
      <c r="L3658">
        <f>IMAGE("file:///E:/Estudios%20y%20certificaciones/ESTUDIOS%20DE%20PROGRAMMING/PROGRAMMING/PERSONAL/PYTHON/Image_Generator_API/imagenes/SAGE_COLLECTIVE_OUTERWEAR_107010299_BLK_1.jpg")</f>
        <v/>
      </c>
      <c r="M3658">
        <f>IMAGE("file:///E:/Estudios%20y%20certificaciones/ESTUDIOS%20DE%20PROGRAMMING/PROGRAMMING/PERSONAL/PYTHON/Image_Generator_API/imagenes/SAGE_COLLECTIVE_OUTERWEAR_107010299_BLK_2.jpg")</f>
        <v/>
      </c>
      <c r="N3658">
        <f>IMAGE("file:///E:/Estudios%20y%20certificaciones/ESTUDIOS%20DE%20PROGRAMMING/PROGRAMMING/PERSONAL/PYTHON/Image_Generator_API/imagenes/SAGE_COLLECTIVE_OUTERWEAR_107010299_BLK_3.jpg")</f>
        <v/>
      </c>
      <c r="O3658">
        <f>HYPERLINK("imagenes/SAGE_COLLECTIVE_OUTERWEAR_107010299_BLK_1.jpg","Ver imagen")</f>
        <v/>
      </c>
      <c r="P3658">
        <f>HYPERLINK("imagenes/SAGE_COLLECTIVE_OUTERWEAR_107010299_BLK_2.jpg","Ver imagen")</f>
        <v/>
      </c>
      <c r="Q3658">
        <f>HYPERLINK("imagenes/SAGE_COLLECTIVE_OUTERWEAR_107010299_BLK_3.jpg","Ver imagen")</f>
        <v/>
      </c>
    </row>
    <row r="3659">
      <c r="A3659" t="inlineStr">
        <is>
          <t>SAGE COLLECTIVE OUTERWEAR</t>
        </is>
      </c>
      <c r="B3659" t="inlineStr">
        <is>
          <t>107010299</t>
        </is>
      </c>
      <c r="C3659" t="inlineStr">
        <is>
          <t>32 STRETCH PUFFER REF 121000408</t>
        </is>
      </c>
      <c r="D3659" t="inlineStr">
        <is>
          <t>OLI</t>
        </is>
      </c>
      <c r="E3659" t="inlineStr">
        <is>
          <t>06A01</t>
        </is>
      </c>
      <c r="F3659" t="inlineStr">
        <is>
          <t>(en blanco)</t>
        </is>
      </c>
      <c r="G3659" t="inlineStr">
        <is>
          <t>PPK</t>
        </is>
      </c>
      <c r="H3659" t="n">
        <v>1266</v>
      </c>
      <c r="I3659" t="inlineStr">
        <is>
          <t>SAGE_COLLECTIVE_OUTERWEAR_107010299_OLI_1.jpg</t>
        </is>
      </c>
      <c r="J3659" t="inlineStr">
        <is>
          <t>SAGE_COLLECTIVE_OUTERWEAR_107010299_OLI_2.jpg</t>
        </is>
      </c>
      <c r="K3659" t="inlineStr">
        <is>
          <t>SAGE_COLLECTIVE_OUTERWEAR_107010299_OLI_3.jpg</t>
        </is>
      </c>
      <c r="L3659">
        <f>IMAGE("file:///E:/Estudios%20y%20certificaciones/ESTUDIOS%20DE%20PROGRAMMING/PROGRAMMING/PERSONAL/PYTHON/Image_Generator_API/imagenes/SAGE_COLLECTIVE_OUTERWEAR_107010299_OLI_1.jpg")</f>
        <v/>
      </c>
      <c r="M3659">
        <f>IMAGE("file:///E:/Estudios%20y%20certificaciones/ESTUDIOS%20DE%20PROGRAMMING/PROGRAMMING/PERSONAL/PYTHON/Image_Generator_API/imagenes/SAGE_COLLECTIVE_OUTERWEAR_107010299_OLI_2.jpg")</f>
        <v/>
      </c>
      <c r="N3659">
        <f>IMAGE("file:///E:/Estudios%20y%20certificaciones/ESTUDIOS%20DE%20PROGRAMMING/PROGRAMMING/PERSONAL/PYTHON/Image_Generator_API/imagenes/SAGE_COLLECTIVE_OUTERWEAR_107010299_OLI_3.jpg")</f>
        <v/>
      </c>
      <c r="O3659">
        <f>HYPERLINK("imagenes/SAGE_COLLECTIVE_OUTERWEAR_107010299_OLI_1.jpg","Ver imagen")</f>
        <v/>
      </c>
      <c r="P3659">
        <f>HYPERLINK("imagenes/SAGE_COLLECTIVE_OUTERWEAR_107010299_OLI_2.jpg","Ver imagen")</f>
        <v/>
      </c>
      <c r="Q3659">
        <f>HYPERLINK("imagenes/SAGE_COLLECTIVE_OUTERWEAR_107010299_OLI_3.jpg","Ver imagen")</f>
        <v/>
      </c>
    </row>
    <row r="3660">
      <c r="A3660" t="inlineStr">
        <is>
          <t>SAGE COLLECTIVE OUTERWEAR</t>
        </is>
      </c>
      <c r="B3660" t="inlineStr">
        <is>
          <t>107010299</t>
        </is>
      </c>
      <c r="C3660" t="inlineStr">
        <is>
          <t>32 STRETCH PUFFER REF 121000408</t>
        </is>
      </c>
      <c r="D3660" t="inlineStr">
        <is>
          <t>OLI</t>
        </is>
      </c>
      <c r="E3660" t="inlineStr">
        <is>
          <t>(en blanco)</t>
        </is>
      </c>
      <c r="F3660" t="inlineStr">
        <is>
          <t>D2C</t>
        </is>
      </c>
      <c r="G3660" t="inlineStr">
        <is>
          <t>S</t>
        </is>
      </c>
      <c r="H3660" t="n">
        <v>36</v>
      </c>
      <c r="I3660" t="inlineStr">
        <is>
          <t>SAGE_COLLECTIVE_OUTERWEAR_107010299_OLI_1.jpg</t>
        </is>
      </c>
      <c r="J3660" t="inlineStr">
        <is>
          <t>SAGE_COLLECTIVE_OUTERWEAR_107010299_OLI_2.jpg</t>
        </is>
      </c>
      <c r="K3660" t="inlineStr">
        <is>
          <t>SAGE_COLLECTIVE_OUTERWEAR_107010299_OLI_3.jpg</t>
        </is>
      </c>
      <c r="L3660">
        <f>IMAGE("file:///E:/Estudios%20y%20certificaciones/ESTUDIOS%20DE%20PROGRAMMING/PROGRAMMING/PERSONAL/PYTHON/Image_Generator_API/imagenes/SAGE_COLLECTIVE_OUTERWEAR_107010299_OLI_1.jpg")</f>
        <v/>
      </c>
      <c r="M3660">
        <f>IMAGE("file:///E:/Estudios%20y%20certificaciones/ESTUDIOS%20DE%20PROGRAMMING/PROGRAMMING/PERSONAL/PYTHON/Image_Generator_API/imagenes/SAGE_COLLECTIVE_OUTERWEAR_107010299_OLI_2.jpg")</f>
        <v/>
      </c>
      <c r="N3660">
        <f>IMAGE("file:///E:/Estudios%20y%20certificaciones/ESTUDIOS%20DE%20PROGRAMMING/PROGRAMMING/PERSONAL/PYTHON/Image_Generator_API/imagenes/SAGE_COLLECTIVE_OUTERWEAR_107010299_OLI_3.jpg")</f>
        <v/>
      </c>
      <c r="O3660">
        <f>HYPERLINK("imagenes/SAGE_COLLECTIVE_OUTERWEAR_107010299_OLI_1.jpg","Ver imagen")</f>
        <v/>
      </c>
      <c r="P3660">
        <f>HYPERLINK("imagenes/SAGE_COLLECTIVE_OUTERWEAR_107010299_OLI_2.jpg","Ver imagen")</f>
        <v/>
      </c>
      <c r="Q3660">
        <f>HYPERLINK("imagenes/SAGE_COLLECTIVE_OUTERWEAR_107010299_OLI_3.jpg","Ver imagen")</f>
        <v/>
      </c>
    </row>
    <row r="3661">
      <c r="A3661" t="inlineStr">
        <is>
          <t>SAGE COLLECTIVE OUTERWEAR</t>
        </is>
      </c>
      <c r="B3661" t="inlineStr">
        <is>
          <t>107010299</t>
        </is>
      </c>
      <c r="C3661" t="inlineStr">
        <is>
          <t>32 STRETCH PUFFER REF 121000408</t>
        </is>
      </c>
      <c r="D3661" t="inlineStr">
        <is>
          <t>OLI</t>
        </is>
      </c>
      <c r="E3661" t="inlineStr">
        <is>
          <t>(en blanco)</t>
        </is>
      </c>
      <c r="F3661" t="inlineStr">
        <is>
          <t>D2C</t>
        </is>
      </c>
      <c r="G3661" t="inlineStr">
        <is>
          <t>M</t>
        </is>
      </c>
      <c r="H3661" t="n">
        <v>77</v>
      </c>
      <c r="I3661" t="inlineStr">
        <is>
          <t>SAGE_COLLECTIVE_OUTERWEAR_107010299_OLI_1.jpg</t>
        </is>
      </c>
      <c r="J3661" t="inlineStr">
        <is>
          <t>SAGE_COLLECTIVE_OUTERWEAR_107010299_OLI_2.jpg</t>
        </is>
      </c>
      <c r="K3661" t="inlineStr">
        <is>
          <t>SAGE_COLLECTIVE_OUTERWEAR_107010299_OLI_3.jpg</t>
        </is>
      </c>
      <c r="L3661">
        <f>IMAGE("file:///E:/Estudios%20y%20certificaciones/ESTUDIOS%20DE%20PROGRAMMING/PROGRAMMING/PERSONAL/PYTHON/Image_Generator_API/imagenes/SAGE_COLLECTIVE_OUTERWEAR_107010299_OLI_1.jpg")</f>
        <v/>
      </c>
      <c r="M3661">
        <f>IMAGE("file:///E:/Estudios%20y%20certificaciones/ESTUDIOS%20DE%20PROGRAMMING/PROGRAMMING/PERSONAL/PYTHON/Image_Generator_API/imagenes/SAGE_COLLECTIVE_OUTERWEAR_107010299_OLI_2.jpg")</f>
        <v/>
      </c>
      <c r="N3661">
        <f>IMAGE("file:///E:/Estudios%20y%20certificaciones/ESTUDIOS%20DE%20PROGRAMMING/PROGRAMMING/PERSONAL/PYTHON/Image_Generator_API/imagenes/SAGE_COLLECTIVE_OUTERWEAR_107010299_OLI_3.jpg")</f>
        <v/>
      </c>
      <c r="O3661">
        <f>HYPERLINK("imagenes/SAGE_COLLECTIVE_OUTERWEAR_107010299_OLI_1.jpg","Ver imagen")</f>
        <v/>
      </c>
      <c r="P3661">
        <f>HYPERLINK("imagenes/SAGE_COLLECTIVE_OUTERWEAR_107010299_OLI_2.jpg","Ver imagen")</f>
        <v/>
      </c>
      <c r="Q3661">
        <f>HYPERLINK("imagenes/SAGE_COLLECTIVE_OUTERWEAR_107010299_OLI_3.jpg","Ver imagen")</f>
        <v/>
      </c>
    </row>
    <row r="3662">
      <c r="A3662" t="inlineStr">
        <is>
          <t>SAGE COLLECTIVE OUTERWEAR</t>
        </is>
      </c>
      <c r="B3662" t="inlineStr">
        <is>
          <t>107010299</t>
        </is>
      </c>
      <c r="C3662" t="inlineStr">
        <is>
          <t>32 STRETCH PUFFER REF 121000408</t>
        </is>
      </c>
      <c r="D3662" t="inlineStr">
        <is>
          <t>OLI</t>
        </is>
      </c>
      <c r="E3662" t="inlineStr">
        <is>
          <t>(en blanco)</t>
        </is>
      </c>
      <c r="F3662" t="inlineStr">
        <is>
          <t>D2C</t>
        </is>
      </c>
      <c r="G3662" t="inlineStr">
        <is>
          <t>L</t>
        </is>
      </c>
      <c r="H3662" t="n">
        <v>71</v>
      </c>
      <c r="I3662" t="inlineStr">
        <is>
          <t>SAGE_COLLECTIVE_OUTERWEAR_107010299_OLI_1.jpg</t>
        </is>
      </c>
      <c r="J3662" t="inlineStr">
        <is>
          <t>SAGE_COLLECTIVE_OUTERWEAR_107010299_OLI_2.jpg</t>
        </is>
      </c>
      <c r="K3662" t="inlineStr">
        <is>
          <t>SAGE_COLLECTIVE_OUTERWEAR_107010299_OLI_3.jpg</t>
        </is>
      </c>
      <c r="L3662">
        <f>IMAGE("file:///E:/Estudios%20y%20certificaciones/ESTUDIOS%20DE%20PROGRAMMING/PROGRAMMING/PERSONAL/PYTHON/Image_Generator_API/imagenes/SAGE_COLLECTIVE_OUTERWEAR_107010299_OLI_1.jpg")</f>
        <v/>
      </c>
      <c r="M3662">
        <f>IMAGE("file:///E:/Estudios%20y%20certificaciones/ESTUDIOS%20DE%20PROGRAMMING/PROGRAMMING/PERSONAL/PYTHON/Image_Generator_API/imagenes/SAGE_COLLECTIVE_OUTERWEAR_107010299_OLI_2.jpg")</f>
        <v/>
      </c>
      <c r="N3662">
        <f>IMAGE("file:///E:/Estudios%20y%20certificaciones/ESTUDIOS%20DE%20PROGRAMMING/PROGRAMMING/PERSONAL/PYTHON/Image_Generator_API/imagenes/SAGE_COLLECTIVE_OUTERWEAR_107010299_OLI_3.jpg")</f>
        <v/>
      </c>
      <c r="O3662">
        <f>HYPERLINK("imagenes/SAGE_COLLECTIVE_OUTERWEAR_107010299_OLI_1.jpg","Ver imagen")</f>
        <v/>
      </c>
      <c r="P3662">
        <f>HYPERLINK("imagenes/SAGE_COLLECTIVE_OUTERWEAR_107010299_OLI_2.jpg","Ver imagen")</f>
        <v/>
      </c>
      <c r="Q3662">
        <f>HYPERLINK("imagenes/SAGE_COLLECTIVE_OUTERWEAR_107010299_OLI_3.jpg","Ver imagen")</f>
        <v/>
      </c>
    </row>
    <row r="3663">
      <c r="A3663" t="inlineStr">
        <is>
          <t>SAGE COLLECTIVE OUTERWEAR</t>
        </is>
      </c>
      <c r="B3663" t="inlineStr">
        <is>
          <t>107010299</t>
        </is>
      </c>
      <c r="C3663" t="inlineStr">
        <is>
          <t>32 STRETCH PUFFER REF 121000408</t>
        </is>
      </c>
      <c r="D3663" t="inlineStr">
        <is>
          <t>OLI</t>
        </is>
      </c>
      <c r="E3663" t="inlineStr">
        <is>
          <t>(en blanco)</t>
        </is>
      </c>
      <c r="F3663" t="inlineStr">
        <is>
          <t>D2C</t>
        </is>
      </c>
      <c r="G3663" t="inlineStr">
        <is>
          <t>XL</t>
        </is>
      </c>
      <c r="H3663" t="n">
        <v>31</v>
      </c>
      <c r="I3663" t="inlineStr">
        <is>
          <t>SAGE_COLLECTIVE_OUTERWEAR_107010299_OLI_1.jpg</t>
        </is>
      </c>
      <c r="J3663" t="inlineStr">
        <is>
          <t>SAGE_COLLECTIVE_OUTERWEAR_107010299_OLI_2.jpg</t>
        </is>
      </c>
      <c r="K3663" t="inlineStr">
        <is>
          <t>SAGE_COLLECTIVE_OUTERWEAR_107010299_OLI_3.jpg</t>
        </is>
      </c>
      <c r="L3663">
        <f>IMAGE("file:///E:/Estudios%20y%20certificaciones/ESTUDIOS%20DE%20PROGRAMMING/PROGRAMMING/PERSONAL/PYTHON/Image_Generator_API/imagenes/SAGE_COLLECTIVE_OUTERWEAR_107010299_OLI_1.jpg")</f>
        <v/>
      </c>
      <c r="M3663">
        <f>IMAGE("file:///E:/Estudios%20y%20certificaciones/ESTUDIOS%20DE%20PROGRAMMING/PROGRAMMING/PERSONAL/PYTHON/Image_Generator_API/imagenes/SAGE_COLLECTIVE_OUTERWEAR_107010299_OLI_2.jpg")</f>
        <v/>
      </c>
      <c r="N3663">
        <f>IMAGE("file:///E:/Estudios%20y%20certificaciones/ESTUDIOS%20DE%20PROGRAMMING/PROGRAMMING/PERSONAL/PYTHON/Image_Generator_API/imagenes/SAGE_COLLECTIVE_OUTERWEAR_107010299_OLI_3.jpg")</f>
        <v/>
      </c>
      <c r="O3663">
        <f>HYPERLINK("imagenes/SAGE_COLLECTIVE_OUTERWEAR_107010299_OLI_1.jpg","Ver imagen")</f>
        <v/>
      </c>
      <c r="P3663">
        <f>HYPERLINK("imagenes/SAGE_COLLECTIVE_OUTERWEAR_107010299_OLI_2.jpg","Ver imagen")</f>
        <v/>
      </c>
      <c r="Q3663">
        <f>HYPERLINK("imagenes/SAGE_COLLECTIVE_OUTERWEAR_107010299_OLI_3.jpg","Ver imagen")</f>
        <v/>
      </c>
    </row>
    <row r="3664">
      <c r="A3664" t="inlineStr">
        <is>
          <t>SAGE COLLECTIVE OUTERWEAR</t>
        </is>
      </c>
      <c r="B3664" t="inlineStr">
        <is>
          <t>107010299</t>
        </is>
      </c>
      <c r="C3664" t="inlineStr">
        <is>
          <t>32 STRETCH PUFFER REF 121000408</t>
        </is>
      </c>
      <c r="D3664" t="inlineStr">
        <is>
          <t>OLI</t>
        </is>
      </c>
      <c r="E3664" t="inlineStr">
        <is>
          <t>(en blanco)</t>
        </is>
      </c>
      <c r="F3664" t="inlineStr">
        <is>
          <t>(en blanco)</t>
        </is>
      </c>
      <c r="G3664" t="inlineStr">
        <is>
          <t>S</t>
        </is>
      </c>
      <c r="H3664" t="n">
        <v>1</v>
      </c>
      <c r="I3664" t="inlineStr">
        <is>
          <t>SAGE_COLLECTIVE_OUTERWEAR_107010299_OLI_1.jpg</t>
        </is>
      </c>
      <c r="J3664" t="inlineStr">
        <is>
          <t>SAGE_COLLECTIVE_OUTERWEAR_107010299_OLI_2.jpg</t>
        </is>
      </c>
      <c r="K3664" t="inlineStr">
        <is>
          <t>SAGE_COLLECTIVE_OUTERWEAR_107010299_OLI_3.jpg</t>
        </is>
      </c>
      <c r="L3664">
        <f>IMAGE("file:///E:/Estudios%20y%20certificaciones/ESTUDIOS%20DE%20PROGRAMMING/PROGRAMMING/PERSONAL/PYTHON/Image_Generator_API/imagenes/SAGE_COLLECTIVE_OUTERWEAR_107010299_OLI_1.jpg")</f>
        <v/>
      </c>
      <c r="M3664">
        <f>IMAGE("file:///E:/Estudios%20y%20certificaciones/ESTUDIOS%20DE%20PROGRAMMING/PROGRAMMING/PERSONAL/PYTHON/Image_Generator_API/imagenes/SAGE_COLLECTIVE_OUTERWEAR_107010299_OLI_2.jpg")</f>
        <v/>
      </c>
      <c r="N3664">
        <f>IMAGE("file:///E:/Estudios%20y%20certificaciones/ESTUDIOS%20DE%20PROGRAMMING/PROGRAMMING/PERSONAL/PYTHON/Image_Generator_API/imagenes/SAGE_COLLECTIVE_OUTERWEAR_107010299_OLI_3.jpg")</f>
        <v/>
      </c>
      <c r="O3664">
        <f>HYPERLINK("imagenes/SAGE_COLLECTIVE_OUTERWEAR_107010299_OLI_1.jpg","Ver imagen")</f>
        <v/>
      </c>
      <c r="P3664">
        <f>HYPERLINK("imagenes/SAGE_COLLECTIVE_OUTERWEAR_107010299_OLI_2.jpg","Ver imagen")</f>
        <v/>
      </c>
      <c r="Q3664">
        <f>HYPERLINK("imagenes/SAGE_COLLECTIVE_OUTERWEAR_107010299_OLI_3.jpg","Ver imagen")</f>
        <v/>
      </c>
    </row>
    <row r="3665">
      <c r="A3665" t="inlineStr">
        <is>
          <t>SAGE COLLECTIVE OUTERWEAR</t>
        </is>
      </c>
      <c r="B3665" t="inlineStr">
        <is>
          <t>107010299</t>
        </is>
      </c>
      <c r="C3665" t="inlineStr">
        <is>
          <t>32 STRETCH PUFFER REF 121000408</t>
        </is>
      </c>
      <c r="D3665" t="inlineStr">
        <is>
          <t>OLI</t>
        </is>
      </c>
      <c r="E3665" t="inlineStr">
        <is>
          <t>(en blanco)</t>
        </is>
      </c>
      <c r="F3665" t="inlineStr">
        <is>
          <t>(en blanco)</t>
        </is>
      </c>
      <c r="G3665" t="inlineStr">
        <is>
          <t>M</t>
        </is>
      </c>
      <c r="H3665" t="n">
        <v>1</v>
      </c>
      <c r="I3665" t="inlineStr">
        <is>
          <t>SAGE_COLLECTIVE_OUTERWEAR_107010299_OLI_1.jpg</t>
        </is>
      </c>
      <c r="J3665" t="inlineStr">
        <is>
          <t>SAGE_COLLECTIVE_OUTERWEAR_107010299_OLI_2.jpg</t>
        </is>
      </c>
      <c r="K3665" t="inlineStr">
        <is>
          <t>SAGE_COLLECTIVE_OUTERWEAR_107010299_OLI_3.jpg</t>
        </is>
      </c>
      <c r="L3665">
        <f>IMAGE("file:///E:/Estudios%20y%20certificaciones/ESTUDIOS%20DE%20PROGRAMMING/PROGRAMMING/PERSONAL/PYTHON/Image_Generator_API/imagenes/SAGE_COLLECTIVE_OUTERWEAR_107010299_OLI_1.jpg")</f>
        <v/>
      </c>
      <c r="M3665">
        <f>IMAGE("file:///E:/Estudios%20y%20certificaciones/ESTUDIOS%20DE%20PROGRAMMING/PROGRAMMING/PERSONAL/PYTHON/Image_Generator_API/imagenes/SAGE_COLLECTIVE_OUTERWEAR_107010299_OLI_2.jpg")</f>
        <v/>
      </c>
      <c r="N3665">
        <f>IMAGE("file:///E:/Estudios%20y%20certificaciones/ESTUDIOS%20DE%20PROGRAMMING/PROGRAMMING/PERSONAL/PYTHON/Image_Generator_API/imagenes/SAGE_COLLECTIVE_OUTERWEAR_107010299_OLI_3.jpg")</f>
        <v/>
      </c>
      <c r="O3665">
        <f>HYPERLINK("imagenes/SAGE_COLLECTIVE_OUTERWEAR_107010299_OLI_1.jpg","Ver imagen")</f>
        <v/>
      </c>
      <c r="P3665">
        <f>HYPERLINK("imagenes/SAGE_COLLECTIVE_OUTERWEAR_107010299_OLI_2.jpg","Ver imagen")</f>
        <v/>
      </c>
      <c r="Q3665">
        <f>HYPERLINK("imagenes/SAGE_COLLECTIVE_OUTERWEAR_107010299_OLI_3.jpg","Ver imagen")</f>
        <v/>
      </c>
    </row>
    <row r="3666">
      <c r="A3666" t="inlineStr">
        <is>
          <t>SAGE COLLECTIVE OUTERWEAR</t>
        </is>
      </c>
      <c r="B3666" t="inlineStr">
        <is>
          <t>107010299</t>
        </is>
      </c>
      <c r="C3666" t="inlineStr">
        <is>
          <t>32 STRETCH PUFFER REF 121000408</t>
        </is>
      </c>
      <c r="D3666" t="inlineStr">
        <is>
          <t>OLI</t>
        </is>
      </c>
      <c r="E3666" t="inlineStr">
        <is>
          <t>(en blanco)</t>
        </is>
      </c>
      <c r="F3666" t="inlineStr">
        <is>
          <t>(en blanco)</t>
        </is>
      </c>
      <c r="G3666" t="inlineStr">
        <is>
          <t>L</t>
        </is>
      </c>
      <c r="H3666" t="n">
        <v>3</v>
      </c>
      <c r="I3666" t="inlineStr">
        <is>
          <t>SAGE_COLLECTIVE_OUTERWEAR_107010299_OLI_1.jpg</t>
        </is>
      </c>
      <c r="J3666" t="inlineStr">
        <is>
          <t>SAGE_COLLECTIVE_OUTERWEAR_107010299_OLI_2.jpg</t>
        </is>
      </c>
      <c r="K3666" t="inlineStr">
        <is>
          <t>SAGE_COLLECTIVE_OUTERWEAR_107010299_OLI_3.jpg</t>
        </is>
      </c>
      <c r="L3666">
        <f>IMAGE("file:///E:/Estudios%20y%20certificaciones/ESTUDIOS%20DE%20PROGRAMMING/PROGRAMMING/PERSONAL/PYTHON/Image_Generator_API/imagenes/SAGE_COLLECTIVE_OUTERWEAR_107010299_OLI_1.jpg")</f>
        <v/>
      </c>
      <c r="M3666">
        <f>IMAGE("file:///E:/Estudios%20y%20certificaciones/ESTUDIOS%20DE%20PROGRAMMING/PROGRAMMING/PERSONAL/PYTHON/Image_Generator_API/imagenes/SAGE_COLLECTIVE_OUTERWEAR_107010299_OLI_2.jpg")</f>
        <v/>
      </c>
      <c r="N3666">
        <f>IMAGE("file:///E:/Estudios%20y%20certificaciones/ESTUDIOS%20DE%20PROGRAMMING/PROGRAMMING/PERSONAL/PYTHON/Image_Generator_API/imagenes/SAGE_COLLECTIVE_OUTERWEAR_107010299_OLI_3.jpg")</f>
        <v/>
      </c>
      <c r="O3666">
        <f>HYPERLINK("imagenes/SAGE_COLLECTIVE_OUTERWEAR_107010299_OLI_1.jpg","Ver imagen")</f>
        <v/>
      </c>
      <c r="P3666">
        <f>HYPERLINK("imagenes/SAGE_COLLECTIVE_OUTERWEAR_107010299_OLI_2.jpg","Ver imagen")</f>
        <v/>
      </c>
      <c r="Q3666">
        <f>HYPERLINK("imagenes/SAGE_COLLECTIVE_OUTERWEAR_107010299_OLI_3.jpg","Ver imagen")</f>
        <v/>
      </c>
    </row>
    <row r="3667">
      <c r="A3667" t="inlineStr">
        <is>
          <t>SAGE COLLECTIVE OUTERWEAR</t>
        </is>
      </c>
      <c r="B3667" t="inlineStr">
        <is>
          <t>107010299</t>
        </is>
      </c>
      <c r="C3667" t="inlineStr">
        <is>
          <t>32 STRETCH PUFFER REF 121000408</t>
        </is>
      </c>
      <c r="D3667" t="inlineStr">
        <is>
          <t>OLI</t>
        </is>
      </c>
      <c r="E3667" t="inlineStr">
        <is>
          <t>(en blanco)</t>
        </is>
      </c>
      <c r="F3667" t="inlineStr">
        <is>
          <t>(en blanco)</t>
        </is>
      </c>
      <c r="G3667" t="inlineStr">
        <is>
          <t>XL</t>
        </is>
      </c>
      <c r="H3667" t="n">
        <v>6</v>
      </c>
      <c r="I3667" t="inlineStr">
        <is>
          <t>SAGE_COLLECTIVE_OUTERWEAR_107010299_OLI_1.jpg</t>
        </is>
      </c>
      <c r="J3667" t="inlineStr">
        <is>
          <t>SAGE_COLLECTIVE_OUTERWEAR_107010299_OLI_2.jpg</t>
        </is>
      </c>
      <c r="K3667" t="inlineStr">
        <is>
          <t>SAGE_COLLECTIVE_OUTERWEAR_107010299_OLI_3.jpg</t>
        </is>
      </c>
      <c r="L3667">
        <f>IMAGE("file:///E:/Estudios%20y%20certificaciones/ESTUDIOS%20DE%20PROGRAMMING/PROGRAMMING/PERSONAL/PYTHON/Image_Generator_API/imagenes/SAGE_COLLECTIVE_OUTERWEAR_107010299_OLI_1.jpg")</f>
        <v/>
      </c>
      <c r="M3667">
        <f>IMAGE("file:///E:/Estudios%20y%20certificaciones/ESTUDIOS%20DE%20PROGRAMMING/PROGRAMMING/PERSONAL/PYTHON/Image_Generator_API/imagenes/SAGE_COLLECTIVE_OUTERWEAR_107010299_OLI_2.jpg")</f>
        <v/>
      </c>
      <c r="N3667">
        <f>IMAGE("file:///E:/Estudios%20y%20certificaciones/ESTUDIOS%20DE%20PROGRAMMING/PROGRAMMING/PERSONAL/PYTHON/Image_Generator_API/imagenes/SAGE_COLLECTIVE_OUTERWEAR_107010299_OLI_3.jpg")</f>
        <v/>
      </c>
      <c r="O3667">
        <f>HYPERLINK("imagenes/SAGE_COLLECTIVE_OUTERWEAR_107010299_OLI_1.jpg","Ver imagen")</f>
        <v/>
      </c>
      <c r="P3667">
        <f>HYPERLINK("imagenes/SAGE_COLLECTIVE_OUTERWEAR_107010299_OLI_2.jpg","Ver imagen")</f>
        <v/>
      </c>
      <c r="Q3667">
        <f>HYPERLINK("imagenes/SAGE_COLLECTIVE_OUTERWEAR_107010299_OLI_3.jpg","Ver imagen")</f>
        <v/>
      </c>
    </row>
    <row r="3668">
      <c r="A3668" t="inlineStr">
        <is>
          <t>SAGE COLLECTIVE OUTERWEAR</t>
        </is>
      </c>
      <c r="B3668" t="inlineStr">
        <is>
          <t>107010326</t>
        </is>
      </c>
      <c r="C3668" t="inlineStr">
        <is>
          <t>26.5 SOFT TECH PUFFER</t>
        </is>
      </c>
      <c r="D3668" t="inlineStr">
        <is>
          <t>CHO</t>
        </is>
      </c>
      <c r="E3668" t="inlineStr">
        <is>
          <t>06A01</t>
        </is>
      </c>
      <c r="F3668" t="inlineStr">
        <is>
          <t>(en blanco)</t>
        </is>
      </c>
      <c r="G3668" t="inlineStr">
        <is>
          <t>PPK</t>
        </is>
      </c>
      <c r="H3668" t="n">
        <v>2502</v>
      </c>
      <c r="I3668" t="inlineStr">
        <is>
          <t>SAGE_COLLECTIVE_OUTERWEAR_107010326_CHO_1.jpg</t>
        </is>
      </c>
      <c r="J3668" t="inlineStr">
        <is>
          <t>SAGE_COLLECTIVE_OUTERWEAR_107010326_CHO_3.jpg</t>
        </is>
      </c>
      <c r="L3668">
        <f>IMAGE("file:///E:/Estudios%20y%20certificaciones/ESTUDIOS%20DE%20PROGRAMMING/PROGRAMMING/PERSONAL/PYTHON/Image_Generator_API/imagenes/SAGE_COLLECTIVE_OUTERWEAR_107010326_CHO_1.jpg")</f>
        <v/>
      </c>
      <c r="M3668">
        <f>IMAGE("file:///E:/Estudios%20y%20certificaciones/ESTUDIOS%20DE%20PROGRAMMING/PROGRAMMING/PERSONAL/PYTHON/Image_Generator_API/imagenes/SAGE_COLLECTIVE_OUTERWEAR_107010326_CHO_3.jpg")</f>
        <v/>
      </c>
      <c r="O3668">
        <f>HYPERLINK("imagenes/SAGE_COLLECTIVE_OUTERWEAR_107010326_CHO_1.jpg","Ver imagen")</f>
        <v/>
      </c>
      <c r="P3668">
        <f>HYPERLINK("imagenes/SAGE_COLLECTIVE_OUTERWEAR_107010326_CHO_3.jpg","Ver imagen")</f>
        <v/>
      </c>
    </row>
    <row r="3669">
      <c r="A3669" t="inlineStr">
        <is>
          <t>SAGE COLLECTIVE OUTERWEAR</t>
        </is>
      </c>
      <c r="B3669" t="inlineStr">
        <is>
          <t>107010385</t>
        </is>
      </c>
      <c r="C3669" t="inlineStr">
        <is>
          <t>34 BELTED WOOL COAT REF U028776</t>
        </is>
      </c>
      <c r="D3669" t="inlineStr">
        <is>
          <t>BEG</t>
        </is>
      </c>
      <c r="E3669" t="inlineStr">
        <is>
          <t>06A01</t>
        </is>
      </c>
      <c r="F3669" t="inlineStr">
        <is>
          <t>(en blanco)</t>
        </is>
      </c>
      <c r="G3669" t="inlineStr">
        <is>
          <t>PPK</t>
        </is>
      </c>
      <c r="H3669" t="n">
        <v>930</v>
      </c>
      <c r="I3669" t="inlineStr">
        <is>
          <t>SAGE_COLLECTIVE_OUTERWEAR_107010385_BEG_1.jpg</t>
        </is>
      </c>
      <c r="J3669" t="inlineStr">
        <is>
          <t>SAGE_COLLECTIVE_OUTERWEAR_107010385_BEG_2.jpg</t>
        </is>
      </c>
      <c r="K3669" t="inlineStr">
        <is>
          <t>SAGE_COLLECTIVE_OUTERWEAR_107010385_BEG_3.jpg</t>
        </is>
      </c>
      <c r="L3669">
        <f>IMAGE("file:///E:/Estudios%20y%20certificaciones/ESTUDIOS%20DE%20PROGRAMMING/PROGRAMMING/PERSONAL/PYTHON/Image_Generator_API/imagenes/SAGE_COLLECTIVE_OUTERWEAR_107010385_BEG_1.jpg")</f>
        <v/>
      </c>
      <c r="M3669">
        <f>IMAGE("file:///E:/Estudios%20y%20certificaciones/ESTUDIOS%20DE%20PROGRAMMING/PROGRAMMING/PERSONAL/PYTHON/Image_Generator_API/imagenes/SAGE_COLLECTIVE_OUTERWEAR_107010385_BEG_2.jpg")</f>
        <v/>
      </c>
      <c r="N3669">
        <f>IMAGE("file:///E:/Estudios%20y%20certificaciones/ESTUDIOS%20DE%20PROGRAMMING/PROGRAMMING/PERSONAL/PYTHON/Image_Generator_API/imagenes/SAGE_COLLECTIVE_OUTERWEAR_107010385_BEG_3.jpg")</f>
        <v/>
      </c>
      <c r="O3669">
        <f>HYPERLINK("imagenes/SAGE_COLLECTIVE_OUTERWEAR_107010385_BEG_1.jpg","Ver imagen")</f>
        <v/>
      </c>
      <c r="P3669">
        <f>HYPERLINK("imagenes/SAGE_COLLECTIVE_OUTERWEAR_107010385_BEG_2.jpg","Ver imagen")</f>
        <v/>
      </c>
      <c r="Q3669">
        <f>HYPERLINK("imagenes/SAGE_COLLECTIVE_OUTERWEAR_107010385_BEG_3.jpg","Ver imagen")</f>
        <v/>
      </c>
    </row>
    <row r="3670">
      <c r="A3670" t="inlineStr">
        <is>
          <t>SAGE COLLECTIVE OUTERWEAR</t>
        </is>
      </c>
      <c r="B3670" t="inlineStr">
        <is>
          <t>107010385</t>
        </is>
      </c>
      <c r="C3670" t="inlineStr">
        <is>
          <t>34 BELTED WOOL COAT REF U028776</t>
        </is>
      </c>
      <c r="D3670" t="inlineStr">
        <is>
          <t>BEG</t>
        </is>
      </c>
      <c r="E3670" t="inlineStr">
        <is>
          <t>08A06</t>
        </is>
      </c>
      <c r="F3670" t="inlineStr">
        <is>
          <t>B2230</t>
        </is>
      </c>
      <c r="G3670" t="inlineStr">
        <is>
          <t>PPK</t>
        </is>
      </c>
      <c r="H3670" t="n">
        <v>0</v>
      </c>
      <c r="I3670" t="inlineStr">
        <is>
          <t>SAGE_COLLECTIVE_OUTERWEAR_107010385_BEG_1.jpg</t>
        </is>
      </c>
      <c r="J3670" t="inlineStr">
        <is>
          <t>SAGE_COLLECTIVE_OUTERWEAR_107010385_BEG_2.jpg</t>
        </is>
      </c>
      <c r="K3670" t="inlineStr">
        <is>
          <t>SAGE_COLLECTIVE_OUTERWEAR_107010385_BEG_3.jpg</t>
        </is>
      </c>
      <c r="L3670">
        <f>IMAGE("file:///E:/Estudios%20y%20certificaciones/ESTUDIOS%20DE%20PROGRAMMING/PROGRAMMING/PERSONAL/PYTHON/Image_Generator_API/imagenes/SAGE_COLLECTIVE_OUTERWEAR_107010385_BEG_1.jpg")</f>
        <v/>
      </c>
      <c r="M3670">
        <f>IMAGE("file:///E:/Estudios%20y%20certificaciones/ESTUDIOS%20DE%20PROGRAMMING/PROGRAMMING/PERSONAL/PYTHON/Image_Generator_API/imagenes/SAGE_COLLECTIVE_OUTERWEAR_107010385_BEG_2.jpg")</f>
        <v/>
      </c>
      <c r="N3670">
        <f>IMAGE("file:///E:/Estudios%20y%20certificaciones/ESTUDIOS%20DE%20PROGRAMMING/PROGRAMMING/PERSONAL/PYTHON/Image_Generator_API/imagenes/SAGE_COLLECTIVE_OUTERWEAR_107010385_BEG_3.jpg")</f>
        <v/>
      </c>
      <c r="O3670">
        <f>HYPERLINK("imagenes/SAGE_COLLECTIVE_OUTERWEAR_107010385_BEG_1.jpg","Ver imagen")</f>
        <v/>
      </c>
      <c r="P3670">
        <f>HYPERLINK("imagenes/SAGE_COLLECTIVE_OUTERWEAR_107010385_BEG_2.jpg","Ver imagen")</f>
        <v/>
      </c>
      <c r="Q3670">
        <f>HYPERLINK("imagenes/SAGE_COLLECTIVE_OUTERWEAR_107010385_BEG_3.jpg","Ver imagen")</f>
        <v/>
      </c>
    </row>
    <row r="3671">
      <c r="A3671" t="inlineStr">
        <is>
          <t>SAGE COLLECTIVE OUTERWEAR</t>
        </is>
      </c>
      <c r="B3671" t="inlineStr">
        <is>
          <t>107010385</t>
        </is>
      </c>
      <c r="C3671" t="inlineStr">
        <is>
          <t>34 BELTED WOOL COAT REF U028776</t>
        </is>
      </c>
      <c r="D3671" t="inlineStr">
        <is>
          <t>BEG</t>
        </is>
      </c>
      <c r="E3671" t="inlineStr">
        <is>
          <t>(en blanco)</t>
        </is>
      </c>
      <c r="F3671" t="inlineStr">
        <is>
          <t>(en blanco)</t>
        </is>
      </c>
      <c r="G3671" t="inlineStr">
        <is>
          <t>S</t>
        </is>
      </c>
      <c r="H3671" t="n">
        <v>34</v>
      </c>
      <c r="I3671" t="inlineStr">
        <is>
          <t>SAGE_COLLECTIVE_OUTERWEAR_107010385_BEG_1.jpg</t>
        </is>
      </c>
      <c r="J3671" t="inlineStr">
        <is>
          <t>SAGE_COLLECTIVE_OUTERWEAR_107010385_BEG_2.jpg</t>
        </is>
      </c>
      <c r="K3671" t="inlineStr">
        <is>
          <t>SAGE_COLLECTIVE_OUTERWEAR_107010385_BEG_3.jpg</t>
        </is>
      </c>
      <c r="L3671">
        <f>IMAGE("file:///E:/Estudios%20y%20certificaciones/ESTUDIOS%20DE%20PROGRAMMING/PROGRAMMING/PERSONAL/PYTHON/Image_Generator_API/imagenes/SAGE_COLLECTIVE_OUTERWEAR_107010385_BEG_1.jpg")</f>
        <v/>
      </c>
      <c r="M3671">
        <f>IMAGE("file:///E:/Estudios%20y%20certificaciones/ESTUDIOS%20DE%20PROGRAMMING/PROGRAMMING/PERSONAL/PYTHON/Image_Generator_API/imagenes/SAGE_COLLECTIVE_OUTERWEAR_107010385_BEG_2.jpg")</f>
        <v/>
      </c>
      <c r="N3671">
        <f>IMAGE("file:///E:/Estudios%20y%20certificaciones/ESTUDIOS%20DE%20PROGRAMMING/PROGRAMMING/PERSONAL/PYTHON/Image_Generator_API/imagenes/SAGE_COLLECTIVE_OUTERWEAR_107010385_BEG_3.jpg")</f>
        <v/>
      </c>
      <c r="O3671">
        <f>HYPERLINK("imagenes/SAGE_COLLECTIVE_OUTERWEAR_107010385_BEG_1.jpg","Ver imagen")</f>
        <v/>
      </c>
      <c r="P3671">
        <f>HYPERLINK("imagenes/SAGE_COLLECTIVE_OUTERWEAR_107010385_BEG_2.jpg","Ver imagen")</f>
        <v/>
      </c>
      <c r="Q3671">
        <f>HYPERLINK("imagenes/SAGE_COLLECTIVE_OUTERWEAR_107010385_BEG_3.jpg","Ver imagen")</f>
        <v/>
      </c>
    </row>
    <row r="3672">
      <c r="A3672" t="inlineStr">
        <is>
          <t>SAGE COLLECTIVE OUTERWEAR</t>
        </is>
      </c>
      <c r="B3672" t="inlineStr">
        <is>
          <t>107010385</t>
        </is>
      </c>
      <c r="C3672" t="inlineStr">
        <is>
          <t>34 BELTED WOOL COAT REF U028776</t>
        </is>
      </c>
      <c r="D3672" t="inlineStr">
        <is>
          <t>BEG</t>
        </is>
      </c>
      <c r="E3672" t="inlineStr">
        <is>
          <t>(en blanco)</t>
        </is>
      </c>
      <c r="F3672" t="inlineStr">
        <is>
          <t>(en blanco)</t>
        </is>
      </c>
      <c r="G3672" t="inlineStr">
        <is>
          <t>M</t>
        </is>
      </c>
      <c r="H3672" t="n">
        <v>68</v>
      </c>
      <c r="I3672" t="inlineStr">
        <is>
          <t>SAGE_COLLECTIVE_OUTERWEAR_107010385_BEG_1.jpg</t>
        </is>
      </c>
      <c r="J3672" t="inlineStr">
        <is>
          <t>SAGE_COLLECTIVE_OUTERWEAR_107010385_BEG_2.jpg</t>
        </is>
      </c>
      <c r="K3672" t="inlineStr">
        <is>
          <t>SAGE_COLLECTIVE_OUTERWEAR_107010385_BEG_3.jpg</t>
        </is>
      </c>
      <c r="L3672">
        <f>IMAGE("file:///E:/Estudios%20y%20certificaciones/ESTUDIOS%20DE%20PROGRAMMING/PROGRAMMING/PERSONAL/PYTHON/Image_Generator_API/imagenes/SAGE_COLLECTIVE_OUTERWEAR_107010385_BEG_1.jpg")</f>
        <v/>
      </c>
      <c r="M3672">
        <f>IMAGE("file:///E:/Estudios%20y%20certificaciones/ESTUDIOS%20DE%20PROGRAMMING/PROGRAMMING/PERSONAL/PYTHON/Image_Generator_API/imagenes/SAGE_COLLECTIVE_OUTERWEAR_107010385_BEG_2.jpg")</f>
        <v/>
      </c>
      <c r="N3672">
        <f>IMAGE("file:///E:/Estudios%20y%20certificaciones/ESTUDIOS%20DE%20PROGRAMMING/PROGRAMMING/PERSONAL/PYTHON/Image_Generator_API/imagenes/SAGE_COLLECTIVE_OUTERWEAR_107010385_BEG_3.jpg")</f>
        <v/>
      </c>
      <c r="O3672">
        <f>HYPERLINK("imagenes/SAGE_COLLECTIVE_OUTERWEAR_107010385_BEG_1.jpg","Ver imagen")</f>
        <v/>
      </c>
      <c r="P3672">
        <f>HYPERLINK("imagenes/SAGE_COLLECTIVE_OUTERWEAR_107010385_BEG_2.jpg","Ver imagen")</f>
        <v/>
      </c>
      <c r="Q3672">
        <f>HYPERLINK("imagenes/SAGE_COLLECTIVE_OUTERWEAR_107010385_BEG_3.jpg","Ver imagen")</f>
        <v/>
      </c>
    </row>
    <row r="3673">
      <c r="A3673" t="inlineStr">
        <is>
          <t>SAGE COLLECTIVE OUTERWEAR</t>
        </is>
      </c>
      <c r="B3673" t="inlineStr">
        <is>
          <t>107010385</t>
        </is>
      </c>
      <c r="C3673" t="inlineStr">
        <is>
          <t>34 BELTED WOOL COAT REF U028776</t>
        </is>
      </c>
      <c r="D3673" t="inlineStr">
        <is>
          <t>BEG</t>
        </is>
      </c>
      <c r="E3673" t="inlineStr">
        <is>
          <t>(en blanco)</t>
        </is>
      </c>
      <c r="F3673" t="inlineStr">
        <is>
          <t>(en blanco)</t>
        </is>
      </c>
      <c r="G3673" t="inlineStr">
        <is>
          <t>L</t>
        </is>
      </c>
      <c r="H3673" t="n">
        <v>68</v>
      </c>
      <c r="I3673" t="inlineStr">
        <is>
          <t>SAGE_COLLECTIVE_OUTERWEAR_107010385_BEG_1.jpg</t>
        </is>
      </c>
      <c r="J3673" t="inlineStr">
        <is>
          <t>SAGE_COLLECTIVE_OUTERWEAR_107010385_BEG_2.jpg</t>
        </is>
      </c>
      <c r="K3673" t="inlineStr">
        <is>
          <t>SAGE_COLLECTIVE_OUTERWEAR_107010385_BEG_3.jpg</t>
        </is>
      </c>
      <c r="L3673">
        <f>IMAGE("file:///E:/Estudios%20y%20certificaciones/ESTUDIOS%20DE%20PROGRAMMING/PROGRAMMING/PERSONAL/PYTHON/Image_Generator_API/imagenes/SAGE_COLLECTIVE_OUTERWEAR_107010385_BEG_1.jpg")</f>
        <v/>
      </c>
      <c r="M3673">
        <f>IMAGE("file:///E:/Estudios%20y%20certificaciones/ESTUDIOS%20DE%20PROGRAMMING/PROGRAMMING/PERSONAL/PYTHON/Image_Generator_API/imagenes/SAGE_COLLECTIVE_OUTERWEAR_107010385_BEG_2.jpg")</f>
        <v/>
      </c>
      <c r="N3673">
        <f>IMAGE("file:///E:/Estudios%20y%20certificaciones/ESTUDIOS%20DE%20PROGRAMMING/PROGRAMMING/PERSONAL/PYTHON/Image_Generator_API/imagenes/SAGE_COLLECTIVE_OUTERWEAR_107010385_BEG_3.jpg")</f>
        <v/>
      </c>
      <c r="O3673">
        <f>HYPERLINK("imagenes/SAGE_COLLECTIVE_OUTERWEAR_107010385_BEG_1.jpg","Ver imagen")</f>
        <v/>
      </c>
      <c r="P3673">
        <f>HYPERLINK("imagenes/SAGE_COLLECTIVE_OUTERWEAR_107010385_BEG_2.jpg","Ver imagen")</f>
        <v/>
      </c>
      <c r="Q3673">
        <f>HYPERLINK("imagenes/SAGE_COLLECTIVE_OUTERWEAR_107010385_BEG_3.jpg","Ver imagen")</f>
        <v/>
      </c>
    </row>
    <row r="3674">
      <c r="A3674" t="inlineStr">
        <is>
          <t>SAGE COLLECTIVE OUTERWEAR</t>
        </is>
      </c>
      <c r="B3674" t="inlineStr">
        <is>
          <t>107010385</t>
        </is>
      </c>
      <c r="C3674" t="inlineStr">
        <is>
          <t>34 BELTED WOOL COAT REF U028776</t>
        </is>
      </c>
      <c r="D3674" t="inlineStr">
        <is>
          <t>BEG</t>
        </is>
      </c>
      <c r="E3674" t="inlineStr">
        <is>
          <t>(en blanco)</t>
        </is>
      </c>
      <c r="F3674" t="inlineStr">
        <is>
          <t>(en blanco)</t>
        </is>
      </c>
      <c r="G3674" t="inlineStr">
        <is>
          <t>XL</t>
        </is>
      </c>
      <c r="H3674" t="n">
        <v>34</v>
      </c>
      <c r="I3674" t="inlineStr">
        <is>
          <t>SAGE_COLLECTIVE_OUTERWEAR_107010385_BEG_1.jpg</t>
        </is>
      </c>
      <c r="J3674" t="inlineStr">
        <is>
          <t>SAGE_COLLECTIVE_OUTERWEAR_107010385_BEG_2.jpg</t>
        </is>
      </c>
      <c r="K3674" t="inlineStr">
        <is>
          <t>SAGE_COLLECTIVE_OUTERWEAR_107010385_BEG_3.jpg</t>
        </is>
      </c>
      <c r="L3674">
        <f>IMAGE("file:///E:/Estudios%20y%20certificaciones/ESTUDIOS%20DE%20PROGRAMMING/PROGRAMMING/PERSONAL/PYTHON/Image_Generator_API/imagenes/SAGE_COLLECTIVE_OUTERWEAR_107010385_BEG_1.jpg")</f>
        <v/>
      </c>
      <c r="M3674">
        <f>IMAGE("file:///E:/Estudios%20y%20certificaciones/ESTUDIOS%20DE%20PROGRAMMING/PROGRAMMING/PERSONAL/PYTHON/Image_Generator_API/imagenes/SAGE_COLLECTIVE_OUTERWEAR_107010385_BEG_2.jpg")</f>
        <v/>
      </c>
      <c r="N3674">
        <f>IMAGE("file:///E:/Estudios%20y%20certificaciones/ESTUDIOS%20DE%20PROGRAMMING/PROGRAMMING/PERSONAL/PYTHON/Image_Generator_API/imagenes/SAGE_COLLECTIVE_OUTERWEAR_107010385_BEG_3.jpg")</f>
        <v/>
      </c>
      <c r="O3674">
        <f>HYPERLINK("imagenes/SAGE_COLLECTIVE_OUTERWEAR_107010385_BEG_1.jpg","Ver imagen")</f>
        <v/>
      </c>
      <c r="P3674">
        <f>HYPERLINK("imagenes/SAGE_COLLECTIVE_OUTERWEAR_107010385_BEG_2.jpg","Ver imagen")</f>
        <v/>
      </c>
      <c r="Q3674">
        <f>HYPERLINK("imagenes/SAGE_COLLECTIVE_OUTERWEAR_107010385_BEG_3.jpg","Ver imagen")</f>
        <v/>
      </c>
    </row>
    <row r="3675">
      <c r="A3675" t="inlineStr">
        <is>
          <t>SAGE COLLECTIVE OUTERWEAR</t>
        </is>
      </c>
      <c r="B3675" t="inlineStr">
        <is>
          <t>107010385</t>
        </is>
      </c>
      <c r="C3675" t="inlineStr">
        <is>
          <t>34 BELTED WOOL COAT REF U028776</t>
        </is>
      </c>
      <c r="D3675" t="inlineStr">
        <is>
          <t>BLK</t>
        </is>
      </c>
      <c r="E3675" t="inlineStr">
        <is>
          <t>06A01</t>
        </is>
      </c>
      <c r="F3675" t="inlineStr">
        <is>
          <t>(en blanco)</t>
        </is>
      </c>
      <c r="G3675" t="inlineStr">
        <is>
          <t>PPK</t>
        </is>
      </c>
      <c r="H3675" t="n">
        <v>1800</v>
      </c>
      <c r="I3675" t="inlineStr">
        <is>
          <t>SAGE_COLLECTIVE_OUTERWEAR_107010385_BLK_1.jpg</t>
        </is>
      </c>
      <c r="J3675" t="inlineStr">
        <is>
          <t>SAGE_COLLECTIVE_OUTERWEAR_107010385_BLK_2.jpg</t>
        </is>
      </c>
      <c r="K3675" t="inlineStr">
        <is>
          <t>SAGE_COLLECTIVE_OUTERWEAR_107010385_BLK_3.jpg</t>
        </is>
      </c>
      <c r="L3675">
        <f>IMAGE("file:///E:/Estudios%20y%20certificaciones/ESTUDIOS%20DE%20PROGRAMMING/PROGRAMMING/PERSONAL/PYTHON/Image_Generator_API/imagenes/SAGE_COLLECTIVE_OUTERWEAR_107010385_BLK_1.jpg")</f>
        <v/>
      </c>
      <c r="M3675">
        <f>IMAGE("file:///E:/Estudios%20y%20certificaciones/ESTUDIOS%20DE%20PROGRAMMING/PROGRAMMING/PERSONAL/PYTHON/Image_Generator_API/imagenes/SAGE_COLLECTIVE_OUTERWEAR_107010385_BLK_2.jpg")</f>
        <v/>
      </c>
      <c r="N3675">
        <f>IMAGE("file:///E:/Estudios%20y%20certificaciones/ESTUDIOS%20DE%20PROGRAMMING/PROGRAMMING/PERSONAL/PYTHON/Image_Generator_API/imagenes/SAGE_COLLECTIVE_OUTERWEAR_107010385_BLK_3.jpg")</f>
        <v/>
      </c>
      <c r="O3675">
        <f>HYPERLINK("imagenes/SAGE_COLLECTIVE_OUTERWEAR_107010385_BLK_1.jpg","Ver imagen")</f>
        <v/>
      </c>
      <c r="P3675">
        <f>HYPERLINK("imagenes/SAGE_COLLECTIVE_OUTERWEAR_107010385_BLK_2.jpg","Ver imagen")</f>
        <v/>
      </c>
      <c r="Q3675">
        <f>HYPERLINK("imagenes/SAGE_COLLECTIVE_OUTERWEAR_107010385_BLK_3.jpg","Ver imagen")</f>
        <v/>
      </c>
    </row>
    <row r="3676">
      <c r="A3676" t="inlineStr">
        <is>
          <t>SAGE COLLECTIVE OUTERWEAR</t>
        </is>
      </c>
      <c r="B3676" t="inlineStr">
        <is>
          <t>107010385</t>
        </is>
      </c>
      <c r="C3676" t="inlineStr">
        <is>
          <t>34 BELTED WOOL COAT REF U028776</t>
        </is>
      </c>
      <c r="D3676" t="inlineStr">
        <is>
          <t>BLK</t>
        </is>
      </c>
      <c r="E3676" t="inlineStr">
        <is>
          <t>08A06</t>
        </is>
      </c>
      <c r="F3676" t="inlineStr">
        <is>
          <t>B2230</t>
        </is>
      </c>
      <c r="G3676" t="inlineStr">
        <is>
          <t>PPK</t>
        </is>
      </c>
      <c r="H3676" t="n">
        <v>0</v>
      </c>
      <c r="I3676" t="inlineStr">
        <is>
          <t>SAGE_COLLECTIVE_OUTERWEAR_107010385_BLK_1.jpg</t>
        </is>
      </c>
      <c r="J3676" t="inlineStr">
        <is>
          <t>SAGE_COLLECTIVE_OUTERWEAR_107010385_BLK_2.jpg</t>
        </is>
      </c>
      <c r="K3676" t="inlineStr">
        <is>
          <t>SAGE_COLLECTIVE_OUTERWEAR_107010385_BLK_3.jpg</t>
        </is>
      </c>
      <c r="L3676">
        <f>IMAGE("file:///E:/Estudios%20y%20certificaciones/ESTUDIOS%20DE%20PROGRAMMING/PROGRAMMING/PERSONAL/PYTHON/Image_Generator_API/imagenes/SAGE_COLLECTIVE_OUTERWEAR_107010385_BLK_1.jpg")</f>
        <v/>
      </c>
      <c r="M3676">
        <f>IMAGE("file:///E:/Estudios%20y%20certificaciones/ESTUDIOS%20DE%20PROGRAMMING/PROGRAMMING/PERSONAL/PYTHON/Image_Generator_API/imagenes/SAGE_COLLECTIVE_OUTERWEAR_107010385_BLK_2.jpg")</f>
        <v/>
      </c>
      <c r="N3676">
        <f>IMAGE("file:///E:/Estudios%20y%20certificaciones/ESTUDIOS%20DE%20PROGRAMMING/PROGRAMMING/PERSONAL/PYTHON/Image_Generator_API/imagenes/SAGE_COLLECTIVE_OUTERWEAR_107010385_BLK_3.jpg")</f>
        <v/>
      </c>
      <c r="O3676">
        <f>HYPERLINK("imagenes/SAGE_COLLECTIVE_OUTERWEAR_107010385_BLK_1.jpg","Ver imagen")</f>
        <v/>
      </c>
      <c r="P3676">
        <f>HYPERLINK("imagenes/SAGE_COLLECTIVE_OUTERWEAR_107010385_BLK_2.jpg","Ver imagen")</f>
        <v/>
      </c>
      <c r="Q3676">
        <f>HYPERLINK("imagenes/SAGE_COLLECTIVE_OUTERWEAR_107010385_BLK_3.jpg","Ver imagen")</f>
        <v/>
      </c>
    </row>
    <row r="3677">
      <c r="A3677" t="inlineStr">
        <is>
          <t>SAGE COLLECTIVE OUTERWEAR</t>
        </is>
      </c>
      <c r="B3677" t="inlineStr">
        <is>
          <t>107010385</t>
        </is>
      </c>
      <c r="C3677" t="inlineStr">
        <is>
          <t>34 BELTED WOOL COAT REF U028776</t>
        </is>
      </c>
      <c r="D3677" t="inlineStr">
        <is>
          <t>BLK</t>
        </is>
      </c>
      <c r="E3677" t="inlineStr">
        <is>
          <t>(en blanco)</t>
        </is>
      </c>
      <c r="F3677" t="inlineStr">
        <is>
          <t>(en blanco)</t>
        </is>
      </c>
      <c r="G3677" t="inlineStr">
        <is>
          <t>S</t>
        </is>
      </c>
      <c r="H3677" t="n">
        <v>34</v>
      </c>
      <c r="I3677" t="inlineStr">
        <is>
          <t>SAGE_COLLECTIVE_OUTERWEAR_107010385_BLK_1.jpg</t>
        </is>
      </c>
      <c r="J3677" t="inlineStr">
        <is>
          <t>SAGE_COLLECTIVE_OUTERWEAR_107010385_BLK_2.jpg</t>
        </is>
      </c>
      <c r="K3677" t="inlineStr">
        <is>
          <t>SAGE_COLLECTIVE_OUTERWEAR_107010385_BLK_3.jpg</t>
        </is>
      </c>
      <c r="L3677">
        <f>IMAGE("file:///E:/Estudios%20y%20certificaciones/ESTUDIOS%20DE%20PROGRAMMING/PROGRAMMING/PERSONAL/PYTHON/Image_Generator_API/imagenes/SAGE_COLLECTIVE_OUTERWEAR_107010385_BLK_1.jpg")</f>
        <v/>
      </c>
      <c r="M3677">
        <f>IMAGE("file:///E:/Estudios%20y%20certificaciones/ESTUDIOS%20DE%20PROGRAMMING/PROGRAMMING/PERSONAL/PYTHON/Image_Generator_API/imagenes/SAGE_COLLECTIVE_OUTERWEAR_107010385_BLK_2.jpg")</f>
        <v/>
      </c>
      <c r="N3677">
        <f>IMAGE("file:///E:/Estudios%20y%20certificaciones/ESTUDIOS%20DE%20PROGRAMMING/PROGRAMMING/PERSONAL/PYTHON/Image_Generator_API/imagenes/SAGE_COLLECTIVE_OUTERWEAR_107010385_BLK_3.jpg")</f>
        <v/>
      </c>
      <c r="O3677">
        <f>HYPERLINK("imagenes/SAGE_COLLECTIVE_OUTERWEAR_107010385_BLK_1.jpg","Ver imagen")</f>
        <v/>
      </c>
      <c r="P3677">
        <f>HYPERLINK("imagenes/SAGE_COLLECTIVE_OUTERWEAR_107010385_BLK_2.jpg","Ver imagen")</f>
        <v/>
      </c>
      <c r="Q3677">
        <f>HYPERLINK("imagenes/SAGE_COLLECTIVE_OUTERWEAR_107010385_BLK_3.jpg","Ver imagen")</f>
        <v/>
      </c>
    </row>
    <row r="3678">
      <c r="A3678" t="inlineStr">
        <is>
          <t>SAGE COLLECTIVE OUTERWEAR</t>
        </is>
      </c>
      <c r="B3678" t="inlineStr">
        <is>
          <t>107010385</t>
        </is>
      </c>
      <c r="C3678" t="inlineStr">
        <is>
          <t>34 BELTED WOOL COAT REF U028776</t>
        </is>
      </c>
      <c r="D3678" t="inlineStr">
        <is>
          <t>BLK</t>
        </is>
      </c>
      <c r="E3678" t="inlineStr">
        <is>
          <t>(en blanco)</t>
        </is>
      </c>
      <c r="F3678" t="inlineStr">
        <is>
          <t>(en blanco)</t>
        </is>
      </c>
      <c r="G3678" t="inlineStr">
        <is>
          <t>M</t>
        </is>
      </c>
      <c r="H3678" t="n">
        <v>68</v>
      </c>
      <c r="I3678" t="inlineStr">
        <is>
          <t>SAGE_COLLECTIVE_OUTERWEAR_107010385_BLK_1.jpg</t>
        </is>
      </c>
      <c r="J3678" t="inlineStr">
        <is>
          <t>SAGE_COLLECTIVE_OUTERWEAR_107010385_BLK_2.jpg</t>
        </is>
      </c>
      <c r="K3678" t="inlineStr">
        <is>
          <t>SAGE_COLLECTIVE_OUTERWEAR_107010385_BLK_3.jpg</t>
        </is>
      </c>
      <c r="L3678">
        <f>IMAGE("file:///E:/Estudios%20y%20certificaciones/ESTUDIOS%20DE%20PROGRAMMING/PROGRAMMING/PERSONAL/PYTHON/Image_Generator_API/imagenes/SAGE_COLLECTIVE_OUTERWEAR_107010385_BLK_1.jpg")</f>
        <v/>
      </c>
      <c r="M3678">
        <f>IMAGE("file:///E:/Estudios%20y%20certificaciones/ESTUDIOS%20DE%20PROGRAMMING/PROGRAMMING/PERSONAL/PYTHON/Image_Generator_API/imagenes/SAGE_COLLECTIVE_OUTERWEAR_107010385_BLK_2.jpg")</f>
        <v/>
      </c>
      <c r="N3678">
        <f>IMAGE("file:///E:/Estudios%20y%20certificaciones/ESTUDIOS%20DE%20PROGRAMMING/PROGRAMMING/PERSONAL/PYTHON/Image_Generator_API/imagenes/SAGE_COLLECTIVE_OUTERWEAR_107010385_BLK_3.jpg")</f>
        <v/>
      </c>
      <c r="O3678">
        <f>HYPERLINK("imagenes/SAGE_COLLECTIVE_OUTERWEAR_107010385_BLK_1.jpg","Ver imagen")</f>
        <v/>
      </c>
      <c r="P3678">
        <f>HYPERLINK("imagenes/SAGE_COLLECTIVE_OUTERWEAR_107010385_BLK_2.jpg","Ver imagen")</f>
        <v/>
      </c>
      <c r="Q3678">
        <f>HYPERLINK("imagenes/SAGE_COLLECTIVE_OUTERWEAR_107010385_BLK_3.jpg","Ver imagen")</f>
        <v/>
      </c>
    </row>
    <row r="3679">
      <c r="A3679" t="inlineStr">
        <is>
          <t>SAGE COLLECTIVE OUTERWEAR</t>
        </is>
      </c>
      <c r="B3679" t="inlineStr">
        <is>
          <t>107010385</t>
        </is>
      </c>
      <c r="C3679" t="inlineStr">
        <is>
          <t>34 BELTED WOOL COAT REF U028776</t>
        </is>
      </c>
      <c r="D3679" t="inlineStr">
        <is>
          <t>BLK</t>
        </is>
      </c>
      <c r="E3679" t="inlineStr">
        <is>
          <t>(en blanco)</t>
        </is>
      </c>
      <c r="F3679" t="inlineStr">
        <is>
          <t>(en blanco)</t>
        </is>
      </c>
      <c r="G3679" t="inlineStr">
        <is>
          <t>L</t>
        </is>
      </c>
      <c r="H3679" t="n">
        <v>68</v>
      </c>
      <c r="I3679" t="inlineStr">
        <is>
          <t>SAGE_COLLECTIVE_OUTERWEAR_107010385_BLK_1.jpg</t>
        </is>
      </c>
      <c r="J3679" t="inlineStr">
        <is>
          <t>SAGE_COLLECTIVE_OUTERWEAR_107010385_BLK_2.jpg</t>
        </is>
      </c>
      <c r="K3679" t="inlineStr">
        <is>
          <t>SAGE_COLLECTIVE_OUTERWEAR_107010385_BLK_3.jpg</t>
        </is>
      </c>
      <c r="L3679">
        <f>IMAGE("file:///E:/Estudios%20y%20certificaciones/ESTUDIOS%20DE%20PROGRAMMING/PROGRAMMING/PERSONAL/PYTHON/Image_Generator_API/imagenes/SAGE_COLLECTIVE_OUTERWEAR_107010385_BLK_1.jpg")</f>
        <v/>
      </c>
      <c r="M3679">
        <f>IMAGE("file:///E:/Estudios%20y%20certificaciones/ESTUDIOS%20DE%20PROGRAMMING/PROGRAMMING/PERSONAL/PYTHON/Image_Generator_API/imagenes/SAGE_COLLECTIVE_OUTERWEAR_107010385_BLK_2.jpg")</f>
        <v/>
      </c>
      <c r="N3679">
        <f>IMAGE("file:///E:/Estudios%20y%20certificaciones/ESTUDIOS%20DE%20PROGRAMMING/PROGRAMMING/PERSONAL/PYTHON/Image_Generator_API/imagenes/SAGE_COLLECTIVE_OUTERWEAR_107010385_BLK_3.jpg")</f>
        <v/>
      </c>
      <c r="O3679">
        <f>HYPERLINK("imagenes/SAGE_COLLECTIVE_OUTERWEAR_107010385_BLK_1.jpg","Ver imagen")</f>
        <v/>
      </c>
      <c r="P3679">
        <f>HYPERLINK("imagenes/SAGE_COLLECTIVE_OUTERWEAR_107010385_BLK_2.jpg","Ver imagen")</f>
        <v/>
      </c>
      <c r="Q3679">
        <f>HYPERLINK("imagenes/SAGE_COLLECTIVE_OUTERWEAR_107010385_BLK_3.jpg","Ver imagen")</f>
        <v/>
      </c>
    </row>
    <row r="3680">
      <c r="A3680" t="inlineStr">
        <is>
          <t>SAGE COLLECTIVE OUTERWEAR</t>
        </is>
      </c>
      <c r="B3680" t="inlineStr">
        <is>
          <t>107010385</t>
        </is>
      </c>
      <c r="C3680" t="inlineStr">
        <is>
          <t>34 BELTED WOOL COAT REF U028776</t>
        </is>
      </c>
      <c r="D3680" t="inlineStr">
        <is>
          <t>BLK</t>
        </is>
      </c>
      <c r="E3680" t="inlineStr">
        <is>
          <t>(en blanco)</t>
        </is>
      </c>
      <c r="F3680" t="inlineStr">
        <is>
          <t>(en blanco)</t>
        </is>
      </c>
      <c r="G3680" t="inlineStr">
        <is>
          <t>XL</t>
        </is>
      </c>
      <c r="H3680" t="n">
        <v>34</v>
      </c>
      <c r="I3680" t="inlineStr">
        <is>
          <t>SAGE_COLLECTIVE_OUTERWEAR_107010385_BLK_1.jpg</t>
        </is>
      </c>
      <c r="J3680" t="inlineStr">
        <is>
          <t>SAGE_COLLECTIVE_OUTERWEAR_107010385_BLK_2.jpg</t>
        </is>
      </c>
      <c r="K3680" t="inlineStr">
        <is>
          <t>SAGE_COLLECTIVE_OUTERWEAR_107010385_BLK_3.jpg</t>
        </is>
      </c>
      <c r="L3680">
        <f>IMAGE("file:///E:/Estudios%20y%20certificaciones/ESTUDIOS%20DE%20PROGRAMMING/PROGRAMMING/PERSONAL/PYTHON/Image_Generator_API/imagenes/SAGE_COLLECTIVE_OUTERWEAR_107010385_BLK_1.jpg")</f>
        <v/>
      </c>
      <c r="M3680">
        <f>IMAGE("file:///E:/Estudios%20y%20certificaciones/ESTUDIOS%20DE%20PROGRAMMING/PROGRAMMING/PERSONAL/PYTHON/Image_Generator_API/imagenes/SAGE_COLLECTIVE_OUTERWEAR_107010385_BLK_2.jpg")</f>
        <v/>
      </c>
      <c r="N3680">
        <f>IMAGE("file:///E:/Estudios%20y%20certificaciones/ESTUDIOS%20DE%20PROGRAMMING/PROGRAMMING/PERSONAL/PYTHON/Image_Generator_API/imagenes/SAGE_COLLECTIVE_OUTERWEAR_107010385_BLK_3.jpg")</f>
        <v/>
      </c>
      <c r="O3680">
        <f>HYPERLINK("imagenes/SAGE_COLLECTIVE_OUTERWEAR_107010385_BLK_1.jpg","Ver imagen")</f>
        <v/>
      </c>
      <c r="P3680">
        <f>HYPERLINK("imagenes/SAGE_COLLECTIVE_OUTERWEAR_107010385_BLK_2.jpg","Ver imagen")</f>
        <v/>
      </c>
      <c r="Q3680">
        <f>HYPERLINK("imagenes/SAGE_COLLECTIVE_OUTERWEAR_107010385_BLK_3.jpg","Ver imagen")</f>
        <v/>
      </c>
    </row>
    <row r="3681">
      <c r="A3681" t="inlineStr">
        <is>
          <t>T TAHARI</t>
        </is>
      </c>
      <c r="B3681" t="inlineStr">
        <is>
          <t>124000159</t>
        </is>
      </c>
      <c r="C3681" t="inlineStr">
        <is>
          <t>ELLA</t>
        </is>
      </c>
      <c r="D3681" t="inlineStr">
        <is>
          <t>CAM</t>
        </is>
      </c>
      <c r="E3681" t="inlineStr">
        <is>
          <t>(en blanco)</t>
        </is>
      </c>
      <c r="F3681" t="inlineStr">
        <is>
          <t>(en blanco)</t>
        </is>
      </c>
      <c r="G3681" t="inlineStr">
        <is>
          <t>S</t>
        </is>
      </c>
      <c r="H3681" t="n">
        <v>1</v>
      </c>
      <c r="I3681" t="inlineStr">
        <is>
          <t>T_TAHARI_124000159_CAM_1.jpg</t>
        </is>
      </c>
      <c r="J3681" t="inlineStr">
        <is>
          <t>T_TAHARI_124000159_CAM_2.jpg</t>
        </is>
      </c>
      <c r="K3681" t="inlineStr">
        <is>
          <t>T_TAHARI_124000159_CAM_3.jpg</t>
        </is>
      </c>
      <c r="L3681">
        <f>IMAGE("file:///E:/Estudios%20y%20certificaciones/ESTUDIOS%20DE%20PROGRAMMING/PROGRAMMING/PERSONAL/PYTHON/Image_Generator_API/imagenes/T_TAHARI_124000159_CAM_1.jpg")</f>
        <v/>
      </c>
      <c r="M3681">
        <f>IMAGE("file:///E:/Estudios%20y%20certificaciones/ESTUDIOS%20DE%20PROGRAMMING/PROGRAMMING/PERSONAL/PYTHON/Image_Generator_API/imagenes/T_TAHARI_124000159_CAM_2.jpg")</f>
        <v/>
      </c>
      <c r="N3681">
        <f>IMAGE("file:///E:/Estudios%20y%20certificaciones/ESTUDIOS%20DE%20PROGRAMMING/PROGRAMMING/PERSONAL/PYTHON/Image_Generator_API/imagenes/T_TAHARI_124000159_CAM_3.jpg")</f>
        <v/>
      </c>
      <c r="O3681">
        <f>HYPERLINK("imagenes/T_TAHARI_124000159_CAM_1.jpg","Ver imagen")</f>
        <v/>
      </c>
      <c r="P3681">
        <f>HYPERLINK("imagenes/T_TAHARI_124000159_CAM_2.jpg","Ver imagen")</f>
        <v/>
      </c>
      <c r="Q3681">
        <f>HYPERLINK("imagenes/T_TAHARI_124000159_CAM_3.jpg","Ver imagen")</f>
        <v/>
      </c>
    </row>
    <row r="3682">
      <c r="A3682" t="inlineStr">
        <is>
          <t>T TAHARI</t>
        </is>
      </c>
      <c r="B3682" t="inlineStr">
        <is>
          <t>124000159</t>
        </is>
      </c>
      <c r="C3682" t="inlineStr">
        <is>
          <t>ELLA</t>
        </is>
      </c>
      <c r="D3682" t="inlineStr">
        <is>
          <t>CAM</t>
        </is>
      </c>
      <c r="E3682" t="inlineStr">
        <is>
          <t>(en blanco)</t>
        </is>
      </c>
      <c r="F3682" t="inlineStr">
        <is>
          <t>(en blanco)</t>
        </is>
      </c>
      <c r="G3682" t="inlineStr">
        <is>
          <t>L</t>
        </is>
      </c>
      <c r="H3682" t="n">
        <v>1</v>
      </c>
      <c r="I3682" t="inlineStr">
        <is>
          <t>T_TAHARI_124000159_CAM_1.jpg</t>
        </is>
      </c>
      <c r="J3682" t="inlineStr">
        <is>
          <t>T_TAHARI_124000159_CAM_2.jpg</t>
        </is>
      </c>
      <c r="K3682" t="inlineStr">
        <is>
          <t>T_TAHARI_124000159_CAM_3.jpg</t>
        </is>
      </c>
      <c r="L3682">
        <f>IMAGE("file:///E:/Estudios%20y%20certificaciones/ESTUDIOS%20DE%20PROGRAMMING/PROGRAMMING/PERSONAL/PYTHON/Image_Generator_API/imagenes/T_TAHARI_124000159_CAM_1.jpg")</f>
        <v/>
      </c>
      <c r="M3682">
        <f>IMAGE("file:///E:/Estudios%20y%20certificaciones/ESTUDIOS%20DE%20PROGRAMMING/PROGRAMMING/PERSONAL/PYTHON/Image_Generator_API/imagenes/T_TAHARI_124000159_CAM_2.jpg")</f>
        <v/>
      </c>
      <c r="N3682">
        <f>IMAGE("file:///E:/Estudios%20y%20certificaciones/ESTUDIOS%20DE%20PROGRAMMING/PROGRAMMING/PERSONAL/PYTHON/Image_Generator_API/imagenes/T_TAHARI_124000159_CAM_3.jpg")</f>
        <v/>
      </c>
      <c r="O3682">
        <f>HYPERLINK("imagenes/T_TAHARI_124000159_CAM_1.jpg","Ver imagen")</f>
        <v/>
      </c>
      <c r="P3682">
        <f>HYPERLINK("imagenes/T_TAHARI_124000159_CAM_2.jpg","Ver imagen")</f>
        <v/>
      </c>
      <c r="Q3682">
        <f>HYPERLINK("imagenes/T_TAHARI_124000159_CAM_3.jpg","Ver imagen")</f>
        <v/>
      </c>
    </row>
    <row r="3683">
      <c r="A3683" t="inlineStr">
        <is>
          <t>T TAHARI</t>
        </is>
      </c>
      <c r="B3683" t="inlineStr">
        <is>
          <t>124000159</t>
        </is>
      </c>
      <c r="C3683" t="inlineStr">
        <is>
          <t>ELLA</t>
        </is>
      </c>
      <c r="D3683" t="inlineStr">
        <is>
          <t>CAM</t>
        </is>
      </c>
      <c r="E3683" t="inlineStr">
        <is>
          <t>(en blanco)</t>
        </is>
      </c>
      <c r="F3683" t="inlineStr">
        <is>
          <t>(en blanco)</t>
        </is>
      </c>
      <c r="G3683" t="inlineStr">
        <is>
          <t>XL</t>
        </is>
      </c>
      <c r="H3683" t="n">
        <v>1</v>
      </c>
      <c r="I3683" t="inlineStr">
        <is>
          <t>T_TAHARI_124000159_CAM_1.jpg</t>
        </is>
      </c>
      <c r="J3683" t="inlineStr">
        <is>
          <t>T_TAHARI_124000159_CAM_2.jpg</t>
        </is>
      </c>
      <c r="K3683" t="inlineStr">
        <is>
          <t>T_TAHARI_124000159_CAM_3.jpg</t>
        </is>
      </c>
      <c r="L3683">
        <f>IMAGE("file:///E:/Estudios%20y%20certificaciones/ESTUDIOS%20DE%20PROGRAMMING/PROGRAMMING/PERSONAL/PYTHON/Image_Generator_API/imagenes/T_TAHARI_124000159_CAM_1.jpg")</f>
        <v/>
      </c>
      <c r="M3683">
        <f>IMAGE("file:///E:/Estudios%20y%20certificaciones/ESTUDIOS%20DE%20PROGRAMMING/PROGRAMMING/PERSONAL/PYTHON/Image_Generator_API/imagenes/T_TAHARI_124000159_CAM_2.jpg")</f>
        <v/>
      </c>
      <c r="N3683">
        <f>IMAGE("file:///E:/Estudios%20y%20certificaciones/ESTUDIOS%20DE%20PROGRAMMING/PROGRAMMING/PERSONAL/PYTHON/Image_Generator_API/imagenes/T_TAHARI_124000159_CAM_3.jpg")</f>
        <v/>
      </c>
      <c r="O3683">
        <f>HYPERLINK("imagenes/T_TAHARI_124000159_CAM_1.jpg","Ver imagen")</f>
        <v/>
      </c>
      <c r="P3683">
        <f>HYPERLINK("imagenes/T_TAHARI_124000159_CAM_2.jpg","Ver imagen")</f>
        <v/>
      </c>
      <c r="Q3683">
        <f>HYPERLINK("imagenes/T_TAHARI_124000159_CAM_3.jpg","Ver imagen")</f>
        <v/>
      </c>
    </row>
    <row r="3684">
      <c r="A3684" t="inlineStr">
        <is>
          <t>T TAHARI</t>
        </is>
      </c>
      <c r="B3684" t="inlineStr">
        <is>
          <t>124000159</t>
        </is>
      </c>
      <c r="C3684" t="inlineStr">
        <is>
          <t>ELLA</t>
        </is>
      </c>
      <c r="D3684" t="inlineStr">
        <is>
          <t>CHO</t>
        </is>
      </c>
      <c r="E3684" t="inlineStr">
        <is>
          <t>(en blanco)</t>
        </is>
      </c>
      <c r="F3684" t="inlineStr">
        <is>
          <t>(en blanco)</t>
        </is>
      </c>
      <c r="G3684" t="inlineStr">
        <is>
          <t>XS</t>
        </is>
      </c>
      <c r="H3684" t="n">
        <v>1</v>
      </c>
      <c r="I3684" t="inlineStr">
        <is>
          <t>T_TAHARI_124000159_CHO_1.jpg</t>
        </is>
      </c>
      <c r="J3684" t="inlineStr">
        <is>
          <t>T_TAHARI_124000159_CHO_2.jpg</t>
        </is>
      </c>
      <c r="K3684" t="inlineStr">
        <is>
          <t>T_TAHARI_124000159_CHO_3.jpg</t>
        </is>
      </c>
      <c r="L3684">
        <f>IMAGE("file:///E:/Estudios%20y%20certificaciones/ESTUDIOS%20DE%20PROGRAMMING/PROGRAMMING/PERSONAL/PYTHON/Image_Generator_API/imagenes/T_TAHARI_124000159_CHO_1.jpg")</f>
        <v/>
      </c>
      <c r="M3684">
        <f>IMAGE("file:///E:/Estudios%20y%20certificaciones/ESTUDIOS%20DE%20PROGRAMMING/PROGRAMMING/PERSONAL/PYTHON/Image_Generator_API/imagenes/T_TAHARI_124000159_CHO_2.jpg")</f>
        <v/>
      </c>
      <c r="N3684">
        <f>IMAGE("file:///E:/Estudios%20y%20certificaciones/ESTUDIOS%20DE%20PROGRAMMING/PROGRAMMING/PERSONAL/PYTHON/Image_Generator_API/imagenes/T_TAHARI_124000159_CHO_3.jpg")</f>
        <v/>
      </c>
      <c r="O3684">
        <f>HYPERLINK("imagenes/T_TAHARI_124000159_CHO_1.jpg","Ver imagen")</f>
        <v/>
      </c>
      <c r="P3684">
        <f>HYPERLINK("imagenes/T_TAHARI_124000159_CHO_2.jpg","Ver imagen")</f>
        <v/>
      </c>
      <c r="Q3684">
        <f>HYPERLINK("imagenes/T_TAHARI_124000159_CHO_3.jpg","Ver imagen")</f>
        <v/>
      </c>
    </row>
    <row r="3685">
      <c r="A3685" t="inlineStr">
        <is>
          <t>T TAHARI</t>
        </is>
      </c>
      <c r="B3685" t="inlineStr">
        <is>
          <t>124000159</t>
        </is>
      </c>
      <c r="C3685" t="inlineStr">
        <is>
          <t>ELLA</t>
        </is>
      </c>
      <c r="D3685" t="inlineStr">
        <is>
          <t>CHO</t>
        </is>
      </c>
      <c r="E3685" t="inlineStr">
        <is>
          <t>(en blanco)</t>
        </is>
      </c>
      <c r="F3685" t="inlineStr">
        <is>
          <t>(en blanco)</t>
        </is>
      </c>
      <c r="G3685" t="inlineStr">
        <is>
          <t>M</t>
        </is>
      </c>
      <c r="H3685" t="n">
        <v>1</v>
      </c>
      <c r="I3685" t="inlineStr">
        <is>
          <t>T_TAHARI_124000159_CHO_1.jpg</t>
        </is>
      </c>
      <c r="J3685" t="inlineStr">
        <is>
          <t>T_TAHARI_124000159_CHO_2.jpg</t>
        </is>
      </c>
      <c r="K3685" t="inlineStr">
        <is>
          <t>T_TAHARI_124000159_CHO_3.jpg</t>
        </is>
      </c>
      <c r="L3685">
        <f>IMAGE("file:///E:/Estudios%20y%20certificaciones/ESTUDIOS%20DE%20PROGRAMMING/PROGRAMMING/PERSONAL/PYTHON/Image_Generator_API/imagenes/T_TAHARI_124000159_CHO_1.jpg")</f>
        <v/>
      </c>
      <c r="M3685">
        <f>IMAGE("file:///E:/Estudios%20y%20certificaciones/ESTUDIOS%20DE%20PROGRAMMING/PROGRAMMING/PERSONAL/PYTHON/Image_Generator_API/imagenes/T_TAHARI_124000159_CHO_2.jpg")</f>
        <v/>
      </c>
      <c r="N3685">
        <f>IMAGE("file:///E:/Estudios%20y%20certificaciones/ESTUDIOS%20DE%20PROGRAMMING/PROGRAMMING/PERSONAL/PYTHON/Image_Generator_API/imagenes/T_TAHARI_124000159_CHO_3.jpg")</f>
        <v/>
      </c>
      <c r="O3685">
        <f>HYPERLINK("imagenes/T_TAHARI_124000159_CHO_1.jpg","Ver imagen")</f>
        <v/>
      </c>
      <c r="P3685">
        <f>HYPERLINK("imagenes/T_TAHARI_124000159_CHO_2.jpg","Ver imagen")</f>
        <v/>
      </c>
      <c r="Q3685">
        <f>HYPERLINK("imagenes/T_TAHARI_124000159_CHO_3.jpg","Ver imagen")</f>
        <v/>
      </c>
    </row>
    <row r="3686">
      <c r="A3686" t="inlineStr">
        <is>
          <t>T TAHARI</t>
        </is>
      </c>
      <c r="B3686" t="inlineStr">
        <is>
          <t>124000159</t>
        </is>
      </c>
      <c r="C3686" t="inlineStr">
        <is>
          <t>ELLA</t>
        </is>
      </c>
      <c r="D3686" t="inlineStr">
        <is>
          <t>CHY</t>
        </is>
      </c>
      <c r="E3686" t="inlineStr">
        <is>
          <t>(en blanco)</t>
        </is>
      </c>
      <c r="F3686" t="inlineStr">
        <is>
          <t>(en blanco)</t>
        </is>
      </c>
      <c r="G3686" t="inlineStr">
        <is>
          <t>XS</t>
        </is>
      </c>
      <c r="H3686" t="n">
        <v>8</v>
      </c>
      <c r="I3686" t="inlineStr">
        <is>
          <t>T_TAHARI_124000159_CHY_1.jpg</t>
        </is>
      </c>
      <c r="J3686" t="inlineStr">
        <is>
          <t>T_TAHARI_124000159_CHY_2.jpg</t>
        </is>
      </c>
      <c r="K3686" t="inlineStr">
        <is>
          <t>T_TAHARI_124000159_CHY_3.jpg</t>
        </is>
      </c>
      <c r="L3686">
        <f>IMAGE("file:///E:/Estudios%20y%20certificaciones/ESTUDIOS%20DE%20PROGRAMMING/PROGRAMMING/PERSONAL/PYTHON/Image_Generator_API/imagenes/T_TAHARI_124000159_CHY_1.jpg")</f>
        <v/>
      </c>
      <c r="M3686">
        <f>IMAGE("file:///E:/Estudios%20y%20certificaciones/ESTUDIOS%20DE%20PROGRAMMING/PROGRAMMING/PERSONAL/PYTHON/Image_Generator_API/imagenes/T_TAHARI_124000159_CHY_2.jpg")</f>
        <v/>
      </c>
      <c r="N3686">
        <f>IMAGE("file:///E:/Estudios%20y%20certificaciones/ESTUDIOS%20DE%20PROGRAMMING/PROGRAMMING/PERSONAL/PYTHON/Image_Generator_API/imagenes/T_TAHARI_124000159_CHY_3.jpg")</f>
        <v/>
      </c>
      <c r="O3686">
        <f>HYPERLINK("imagenes/T_TAHARI_124000159_CHY_1.jpg","Ver imagen")</f>
        <v/>
      </c>
      <c r="P3686">
        <f>HYPERLINK("imagenes/T_TAHARI_124000159_CHY_2.jpg","Ver imagen")</f>
        <v/>
      </c>
      <c r="Q3686">
        <f>HYPERLINK("imagenes/T_TAHARI_124000159_CHY_3.jpg","Ver imagen")</f>
        <v/>
      </c>
    </row>
    <row r="3687">
      <c r="A3687" t="inlineStr">
        <is>
          <t>T TAHARI</t>
        </is>
      </c>
      <c r="B3687" t="inlineStr">
        <is>
          <t>124000159</t>
        </is>
      </c>
      <c r="C3687" t="inlineStr">
        <is>
          <t>ELLA</t>
        </is>
      </c>
      <c r="D3687" t="inlineStr">
        <is>
          <t>CHY</t>
        </is>
      </c>
      <c r="E3687" t="inlineStr">
        <is>
          <t>(en blanco)</t>
        </is>
      </c>
      <c r="F3687" t="inlineStr">
        <is>
          <t>(en blanco)</t>
        </is>
      </c>
      <c r="G3687" t="inlineStr">
        <is>
          <t>S</t>
        </is>
      </c>
      <c r="H3687" t="n">
        <v>25</v>
      </c>
      <c r="I3687" t="inlineStr">
        <is>
          <t>T_TAHARI_124000159_CHY_1.jpg</t>
        </is>
      </c>
      <c r="J3687" t="inlineStr">
        <is>
          <t>T_TAHARI_124000159_CHY_2.jpg</t>
        </is>
      </c>
      <c r="K3687" t="inlineStr">
        <is>
          <t>T_TAHARI_124000159_CHY_3.jpg</t>
        </is>
      </c>
      <c r="L3687">
        <f>IMAGE("file:///E:/Estudios%20y%20certificaciones/ESTUDIOS%20DE%20PROGRAMMING/PROGRAMMING/PERSONAL/PYTHON/Image_Generator_API/imagenes/T_TAHARI_124000159_CHY_1.jpg")</f>
        <v/>
      </c>
      <c r="M3687">
        <f>IMAGE("file:///E:/Estudios%20y%20certificaciones/ESTUDIOS%20DE%20PROGRAMMING/PROGRAMMING/PERSONAL/PYTHON/Image_Generator_API/imagenes/T_TAHARI_124000159_CHY_2.jpg")</f>
        <v/>
      </c>
      <c r="N3687">
        <f>IMAGE("file:///E:/Estudios%20y%20certificaciones/ESTUDIOS%20DE%20PROGRAMMING/PROGRAMMING/PERSONAL/PYTHON/Image_Generator_API/imagenes/T_TAHARI_124000159_CHY_3.jpg")</f>
        <v/>
      </c>
      <c r="O3687">
        <f>HYPERLINK("imagenes/T_TAHARI_124000159_CHY_1.jpg","Ver imagen")</f>
        <v/>
      </c>
      <c r="P3687">
        <f>HYPERLINK("imagenes/T_TAHARI_124000159_CHY_2.jpg","Ver imagen")</f>
        <v/>
      </c>
      <c r="Q3687">
        <f>HYPERLINK("imagenes/T_TAHARI_124000159_CHY_3.jpg","Ver imagen")</f>
        <v/>
      </c>
    </row>
    <row r="3688">
      <c r="A3688" t="inlineStr">
        <is>
          <t>T TAHARI</t>
        </is>
      </c>
      <c r="B3688" t="inlineStr">
        <is>
          <t>124000159</t>
        </is>
      </c>
      <c r="C3688" t="inlineStr">
        <is>
          <t>ELLA</t>
        </is>
      </c>
      <c r="D3688" t="inlineStr">
        <is>
          <t>CHY</t>
        </is>
      </c>
      <c r="E3688" t="inlineStr">
        <is>
          <t>(en blanco)</t>
        </is>
      </c>
      <c r="F3688" t="inlineStr">
        <is>
          <t>(en blanco)</t>
        </is>
      </c>
      <c r="G3688" t="inlineStr">
        <is>
          <t>M</t>
        </is>
      </c>
      <c r="H3688" t="n">
        <v>28</v>
      </c>
      <c r="I3688" t="inlineStr">
        <is>
          <t>T_TAHARI_124000159_CHY_1.jpg</t>
        </is>
      </c>
      <c r="J3688" t="inlineStr">
        <is>
          <t>T_TAHARI_124000159_CHY_2.jpg</t>
        </is>
      </c>
      <c r="K3688" t="inlineStr">
        <is>
          <t>T_TAHARI_124000159_CHY_3.jpg</t>
        </is>
      </c>
      <c r="L3688">
        <f>IMAGE("file:///E:/Estudios%20y%20certificaciones/ESTUDIOS%20DE%20PROGRAMMING/PROGRAMMING/PERSONAL/PYTHON/Image_Generator_API/imagenes/T_TAHARI_124000159_CHY_1.jpg")</f>
        <v/>
      </c>
      <c r="M3688">
        <f>IMAGE("file:///E:/Estudios%20y%20certificaciones/ESTUDIOS%20DE%20PROGRAMMING/PROGRAMMING/PERSONAL/PYTHON/Image_Generator_API/imagenes/T_TAHARI_124000159_CHY_2.jpg")</f>
        <v/>
      </c>
      <c r="N3688">
        <f>IMAGE("file:///E:/Estudios%20y%20certificaciones/ESTUDIOS%20DE%20PROGRAMMING/PROGRAMMING/PERSONAL/PYTHON/Image_Generator_API/imagenes/T_TAHARI_124000159_CHY_3.jpg")</f>
        <v/>
      </c>
      <c r="O3688">
        <f>HYPERLINK("imagenes/T_TAHARI_124000159_CHY_1.jpg","Ver imagen")</f>
        <v/>
      </c>
      <c r="P3688">
        <f>HYPERLINK("imagenes/T_TAHARI_124000159_CHY_2.jpg","Ver imagen")</f>
        <v/>
      </c>
      <c r="Q3688">
        <f>HYPERLINK("imagenes/T_TAHARI_124000159_CHY_3.jpg","Ver imagen")</f>
        <v/>
      </c>
    </row>
    <row r="3689">
      <c r="A3689" t="inlineStr">
        <is>
          <t>T TAHARI</t>
        </is>
      </c>
      <c r="B3689" t="inlineStr">
        <is>
          <t>124000159</t>
        </is>
      </c>
      <c r="C3689" t="inlineStr">
        <is>
          <t>ELLA</t>
        </is>
      </c>
      <c r="D3689" t="inlineStr">
        <is>
          <t>LAP</t>
        </is>
      </c>
      <c r="E3689" t="inlineStr">
        <is>
          <t>(en blanco)</t>
        </is>
      </c>
      <c r="F3689" t="inlineStr">
        <is>
          <t>(en blanco)</t>
        </is>
      </c>
      <c r="G3689" t="inlineStr">
        <is>
          <t>XS</t>
        </is>
      </c>
      <c r="H3689" t="n">
        <v>19</v>
      </c>
      <c r="I3689" t="inlineStr">
        <is>
          <t>T_TAHARI_124000159_LAP_1.jpg</t>
        </is>
      </c>
      <c r="J3689" t="inlineStr">
        <is>
          <t>T_TAHARI_124000159_LAP_2.jpg</t>
        </is>
      </c>
      <c r="K3689" t="inlineStr">
        <is>
          <t>T_TAHARI_124000159_LAP_3.jpg</t>
        </is>
      </c>
      <c r="L3689">
        <f>IMAGE("file:///E:/Estudios%20y%20certificaciones/ESTUDIOS%20DE%20PROGRAMMING/PROGRAMMING/PERSONAL/PYTHON/Image_Generator_API/imagenes/T_TAHARI_124000159_LAP_1.jpg")</f>
        <v/>
      </c>
      <c r="M3689">
        <f>IMAGE("file:///E:/Estudios%20y%20certificaciones/ESTUDIOS%20DE%20PROGRAMMING/PROGRAMMING/PERSONAL/PYTHON/Image_Generator_API/imagenes/T_TAHARI_124000159_LAP_2.jpg")</f>
        <v/>
      </c>
      <c r="N3689">
        <f>IMAGE("file:///E:/Estudios%20y%20certificaciones/ESTUDIOS%20DE%20PROGRAMMING/PROGRAMMING/PERSONAL/PYTHON/Image_Generator_API/imagenes/T_TAHARI_124000159_LAP_3.jpg")</f>
        <v/>
      </c>
      <c r="O3689">
        <f>HYPERLINK("imagenes/T_TAHARI_124000159_LAP_1.jpg","Ver imagen")</f>
        <v/>
      </c>
      <c r="P3689">
        <f>HYPERLINK("imagenes/T_TAHARI_124000159_LAP_2.jpg","Ver imagen")</f>
        <v/>
      </c>
      <c r="Q3689">
        <f>HYPERLINK("imagenes/T_TAHARI_124000159_LAP_3.jpg","Ver imagen")</f>
        <v/>
      </c>
    </row>
    <row r="3690">
      <c r="A3690" t="inlineStr">
        <is>
          <t>T TAHARI</t>
        </is>
      </c>
      <c r="B3690" t="inlineStr">
        <is>
          <t>124000159</t>
        </is>
      </c>
      <c r="C3690" t="inlineStr">
        <is>
          <t>ELLA</t>
        </is>
      </c>
      <c r="D3690" t="inlineStr">
        <is>
          <t>LAP</t>
        </is>
      </c>
      <c r="E3690" t="inlineStr">
        <is>
          <t>(en blanco)</t>
        </is>
      </c>
      <c r="F3690" t="inlineStr">
        <is>
          <t>(en blanco)</t>
        </is>
      </c>
      <c r="G3690" t="inlineStr">
        <is>
          <t>S</t>
        </is>
      </c>
      <c r="H3690" t="n">
        <v>46</v>
      </c>
      <c r="I3690" t="inlineStr">
        <is>
          <t>T_TAHARI_124000159_LAP_1.jpg</t>
        </is>
      </c>
      <c r="J3690" t="inlineStr">
        <is>
          <t>T_TAHARI_124000159_LAP_2.jpg</t>
        </is>
      </c>
      <c r="K3690" t="inlineStr">
        <is>
          <t>T_TAHARI_124000159_LAP_3.jpg</t>
        </is>
      </c>
      <c r="L3690">
        <f>IMAGE("file:///E:/Estudios%20y%20certificaciones/ESTUDIOS%20DE%20PROGRAMMING/PROGRAMMING/PERSONAL/PYTHON/Image_Generator_API/imagenes/T_TAHARI_124000159_LAP_1.jpg")</f>
        <v/>
      </c>
      <c r="M3690">
        <f>IMAGE("file:///E:/Estudios%20y%20certificaciones/ESTUDIOS%20DE%20PROGRAMMING/PROGRAMMING/PERSONAL/PYTHON/Image_Generator_API/imagenes/T_TAHARI_124000159_LAP_2.jpg")</f>
        <v/>
      </c>
      <c r="N3690">
        <f>IMAGE("file:///E:/Estudios%20y%20certificaciones/ESTUDIOS%20DE%20PROGRAMMING/PROGRAMMING/PERSONAL/PYTHON/Image_Generator_API/imagenes/T_TAHARI_124000159_LAP_3.jpg")</f>
        <v/>
      </c>
      <c r="O3690">
        <f>HYPERLINK("imagenes/T_TAHARI_124000159_LAP_1.jpg","Ver imagen")</f>
        <v/>
      </c>
      <c r="P3690">
        <f>HYPERLINK("imagenes/T_TAHARI_124000159_LAP_2.jpg","Ver imagen")</f>
        <v/>
      </c>
      <c r="Q3690">
        <f>HYPERLINK("imagenes/T_TAHARI_124000159_LAP_3.jpg","Ver imagen")</f>
        <v/>
      </c>
    </row>
    <row r="3691">
      <c r="A3691" t="inlineStr">
        <is>
          <t>T TAHARI</t>
        </is>
      </c>
      <c r="B3691" t="inlineStr">
        <is>
          <t>124000159</t>
        </is>
      </c>
      <c r="C3691" t="inlineStr">
        <is>
          <t>ELLA</t>
        </is>
      </c>
      <c r="D3691" t="inlineStr">
        <is>
          <t>LAP</t>
        </is>
      </c>
      <c r="E3691" t="inlineStr">
        <is>
          <t>(en blanco)</t>
        </is>
      </c>
      <c r="F3691" t="inlineStr">
        <is>
          <t>(en blanco)</t>
        </is>
      </c>
      <c r="G3691" t="inlineStr">
        <is>
          <t>M</t>
        </is>
      </c>
      <c r="H3691" t="n">
        <v>98</v>
      </c>
      <c r="I3691" t="inlineStr">
        <is>
          <t>T_TAHARI_124000159_LAP_1.jpg</t>
        </is>
      </c>
      <c r="J3691" t="inlineStr">
        <is>
          <t>T_TAHARI_124000159_LAP_2.jpg</t>
        </is>
      </c>
      <c r="K3691" t="inlineStr">
        <is>
          <t>T_TAHARI_124000159_LAP_3.jpg</t>
        </is>
      </c>
      <c r="L3691">
        <f>IMAGE("file:///E:/Estudios%20y%20certificaciones/ESTUDIOS%20DE%20PROGRAMMING/PROGRAMMING/PERSONAL/PYTHON/Image_Generator_API/imagenes/T_TAHARI_124000159_LAP_1.jpg")</f>
        <v/>
      </c>
      <c r="M3691">
        <f>IMAGE("file:///E:/Estudios%20y%20certificaciones/ESTUDIOS%20DE%20PROGRAMMING/PROGRAMMING/PERSONAL/PYTHON/Image_Generator_API/imagenes/T_TAHARI_124000159_LAP_2.jpg")</f>
        <v/>
      </c>
      <c r="N3691">
        <f>IMAGE("file:///E:/Estudios%20y%20certificaciones/ESTUDIOS%20DE%20PROGRAMMING/PROGRAMMING/PERSONAL/PYTHON/Image_Generator_API/imagenes/T_TAHARI_124000159_LAP_3.jpg")</f>
        <v/>
      </c>
      <c r="O3691">
        <f>HYPERLINK("imagenes/T_TAHARI_124000159_LAP_1.jpg","Ver imagen")</f>
        <v/>
      </c>
      <c r="P3691">
        <f>HYPERLINK("imagenes/T_TAHARI_124000159_LAP_2.jpg","Ver imagen")</f>
        <v/>
      </c>
      <c r="Q3691">
        <f>HYPERLINK("imagenes/T_TAHARI_124000159_LAP_3.jpg","Ver imagen")</f>
        <v/>
      </c>
    </row>
    <row r="3692">
      <c r="A3692" t="inlineStr">
        <is>
          <t>T TAHARI</t>
        </is>
      </c>
      <c r="B3692" t="inlineStr">
        <is>
          <t>124000159</t>
        </is>
      </c>
      <c r="C3692" t="inlineStr">
        <is>
          <t>ELLA</t>
        </is>
      </c>
      <c r="D3692" t="inlineStr">
        <is>
          <t>LAP</t>
        </is>
      </c>
      <c r="E3692" t="inlineStr">
        <is>
          <t>(en blanco)</t>
        </is>
      </c>
      <c r="F3692" t="inlineStr">
        <is>
          <t>(en blanco)</t>
        </is>
      </c>
      <c r="G3692" t="inlineStr">
        <is>
          <t>L</t>
        </is>
      </c>
      <c r="H3692" t="n">
        <v>15</v>
      </c>
      <c r="I3692" t="inlineStr">
        <is>
          <t>T_TAHARI_124000159_LAP_1.jpg</t>
        </is>
      </c>
      <c r="J3692" t="inlineStr">
        <is>
          <t>T_TAHARI_124000159_LAP_2.jpg</t>
        </is>
      </c>
      <c r="K3692" t="inlineStr">
        <is>
          <t>T_TAHARI_124000159_LAP_3.jpg</t>
        </is>
      </c>
      <c r="L3692">
        <f>IMAGE("file:///E:/Estudios%20y%20certificaciones/ESTUDIOS%20DE%20PROGRAMMING/PROGRAMMING/PERSONAL/PYTHON/Image_Generator_API/imagenes/T_TAHARI_124000159_LAP_1.jpg")</f>
        <v/>
      </c>
      <c r="M3692">
        <f>IMAGE("file:///E:/Estudios%20y%20certificaciones/ESTUDIOS%20DE%20PROGRAMMING/PROGRAMMING/PERSONAL/PYTHON/Image_Generator_API/imagenes/T_TAHARI_124000159_LAP_2.jpg")</f>
        <v/>
      </c>
      <c r="N3692">
        <f>IMAGE("file:///E:/Estudios%20y%20certificaciones/ESTUDIOS%20DE%20PROGRAMMING/PROGRAMMING/PERSONAL/PYTHON/Image_Generator_API/imagenes/T_TAHARI_124000159_LAP_3.jpg")</f>
        <v/>
      </c>
      <c r="O3692">
        <f>HYPERLINK("imagenes/T_TAHARI_124000159_LAP_1.jpg","Ver imagen")</f>
        <v/>
      </c>
      <c r="P3692">
        <f>HYPERLINK("imagenes/T_TAHARI_124000159_LAP_2.jpg","Ver imagen")</f>
        <v/>
      </c>
      <c r="Q3692">
        <f>HYPERLINK("imagenes/T_TAHARI_124000159_LAP_3.jpg","Ver imagen")</f>
        <v/>
      </c>
    </row>
    <row r="3693">
      <c r="A3693" t="inlineStr">
        <is>
          <t>T TAHARI</t>
        </is>
      </c>
      <c r="B3693" t="inlineStr">
        <is>
          <t>124000159</t>
        </is>
      </c>
      <c r="C3693" t="inlineStr">
        <is>
          <t>ELLA</t>
        </is>
      </c>
      <c r="D3693" t="inlineStr">
        <is>
          <t>OTM</t>
        </is>
      </c>
      <c r="E3693" t="inlineStr">
        <is>
          <t>(en blanco)</t>
        </is>
      </c>
      <c r="F3693" t="inlineStr">
        <is>
          <t>(en blanco)</t>
        </is>
      </c>
      <c r="G3693" t="inlineStr">
        <is>
          <t>XS</t>
        </is>
      </c>
      <c r="H3693" t="n">
        <v>11</v>
      </c>
      <c r="I3693" t="inlineStr">
        <is>
          <t>T_TAHARI_124000159_OTM_1.jpg</t>
        </is>
      </c>
      <c r="J3693" t="inlineStr">
        <is>
          <t>T_TAHARI_124000159_OTM_2.jpg</t>
        </is>
      </c>
      <c r="K3693" t="inlineStr">
        <is>
          <t>T_TAHARI_124000159_OTM_3.jpg</t>
        </is>
      </c>
      <c r="L3693">
        <f>IMAGE("file:///E:/Estudios%20y%20certificaciones/ESTUDIOS%20DE%20PROGRAMMING/PROGRAMMING/PERSONAL/PYTHON/Image_Generator_API/imagenes/T_TAHARI_124000159_OTM_1.jpg")</f>
        <v/>
      </c>
      <c r="M3693">
        <f>IMAGE("file:///E:/Estudios%20y%20certificaciones/ESTUDIOS%20DE%20PROGRAMMING/PROGRAMMING/PERSONAL/PYTHON/Image_Generator_API/imagenes/T_TAHARI_124000159_OTM_2.jpg")</f>
        <v/>
      </c>
      <c r="N3693">
        <f>IMAGE("file:///E:/Estudios%20y%20certificaciones/ESTUDIOS%20DE%20PROGRAMMING/PROGRAMMING/PERSONAL/PYTHON/Image_Generator_API/imagenes/T_TAHARI_124000159_OTM_3.jpg")</f>
        <v/>
      </c>
      <c r="O3693">
        <f>HYPERLINK("imagenes/T_TAHARI_124000159_OTM_1.jpg","Ver imagen")</f>
        <v/>
      </c>
      <c r="P3693">
        <f>HYPERLINK("imagenes/T_TAHARI_124000159_OTM_2.jpg","Ver imagen")</f>
        <v/>
      </c>
      <c r="Q3693">
        <f>HYPERLINK("imagenes/T_TAHARI_124000159_OTM_3.jpg","Ver imagen")</f>
        <v/>
      </c>
    </row>
    <row r="3694">
      <c r="A3694" t="inlineStr">
        <is>
          <t>T TAHARI</t>
        </is>
      </c>
      <c r="B3694" t="inlineStr">
        <is>
          <t>124000159</t>
        </is>
      </c>
      <c r="C3694" t="inlineStr">
        <is>
          <t>ELLA</t>
        </is>
      </c>
      <c r="D3694" t="inlineStr">
        <is>
          <t>OTM</t>
        </is>
      </c>
      <c r="E3694" t="inlineStr">
        <is>
          <t>(en blanco)</t>
        </is>
      </c>
      <c r="F3694" t="inlineStr">
        <is>
          <t>(en blanco)</t>
        </is>
      </c>
      <c r="G3694" t="inlineStr">
        <is>
          <t>S</t>
        </is>
      </c>
      <c r="H3694" t="n">
        <v>12</v>
      </c>
      <c r="I3694" t="inlineStr">
        <is>
          <t>T_TAHARI_124000159_OTM_1.jpg</t>
        </is>
      </c>
      <c r="J3694" t="inlineStr">
        <is>
          <t>T_TAHARI_124000159_OTM_2.jpg</t>
        </is>
      </c>
      <c r="K3694" t="inlineStr">
        <is>
          <t>T_TAHARI_124000159_OTM_3.jpg</t>
        </is>
      </c>
      <c r="L3694">
        <f>IMAGE("file:///E:/Estudios%20y%20certificaciones/ESTUDIOS%20DE%20PROGRAMMING/PROGRAMMING/PERSONAL/PYTHON/Image_Generator_API/imagenes/T_TAHARI_124000159_OTM_1.jpg")</f>
        <v/>
      </c>
      <c r="M3694">
        <f>IMAGE("file:///E:/Estudios%20y%20certificaciones/ESTUDIOS%20DE%20PROGRAMMING/PROGRAMMING/PERSONAL/PYTHON/Image_Generator_API/imagenes/T_TAHARI_124000159_OTM_2.jpg")</f>
        <v/>
      </c>
      <c r="N3694">
        <f>IMAGE("file:///E:/Estudios%20y%20certificaciones/ESTUDIOS%20DE%20PROGRAMMING/PROGRAMMING/PERSONAL/PYTHON/Image_Generator_API/imagenes/T_TAHARI_124000159_OTM_3.jpg")</f>
        <v/>
      </c>
      <c r="O3694">
        <f>HYPERLINK("imagenes/T_TAHARI_124000159_OTM_1.jpg","Ver imagen")</f>
        <v/>
      </c>
      <c r="P3694">
        <f>HYPERLINK("imagenes/T_TAHARI_124000159_OTM_2.jpg","Ver imagen")</f>
        <v/>
      </c>
      <c r="Q3694">
        <f>HYPERLINK("imagenes/T_TAHARI_124000159_OTM_3.jpg","Ver imagen")</f>
        <v/>
      </c>
    </row>
    <row r="3695">
      <c r="A3695" t="inlineStr">
        <is>
          <t>T TAHARI</t>
        </is>
      </c>
      <c r="B3695" t="inlineStr">
        <is>
          <t>124000159</t>
        </is>
      </c>
      <c r="C3695" t="inlineStr">
        <is>
          <t>ELLA</t>
        </is>
      </c>
      <c r="D3695" t="inlineStr">
        <is>
          <t>OTM</t>
        </is>
      </c>
      <c r="E3695" t="inlineStr">
        <is>
          <t>(en blanco)</t>
        </is>
      </c>
      <c r="F3695" t="inlineStr">
        <is>
          <t>(en blanco)</t>
        </is>
      </c>
      <c r="G3695" t="inlineStr">
        <is>
          <t>M</t>
        </is>
      </c>
      <c r="H3695" t="n">
        <v>77</v>
      </c>
      <c r="I3695" t="inlineStr">
        <is>
          <t>T_TAHARI_124000159_OTM_1.jpg</t>
        </is>
      </c>
      <c r="J3695" t="inlineStr">
        <is>
          <t>T_TAHARI_124000159_OTM_2.jpg</t>
        </is>
      </c>
      <c r="K3695" t="inlineStr">
        <is>
          <t>T_TAHARI_124000159_OTM_3.jpg</t>
        </is>
      </c>
      <c r="L3695">
        <f>IMAGE("file:///E:/Estudios%20y%20certificaciones/ESTUDIOS%20DE%20PROGRAMMING/PROGRAMMING/PERSONAL/PYTHON/Image_Generator_API/imagenes/T_TAHARI_124000159_OTM_1.jpg")</f>
        <v/>
      </c>
      <c r="M3695">
        <f>IMAGE("file:///E:/Estudios%20y%20certificaciones/ESTUDIOS%20DE%20PROGRAMMING/PROGRAMMING/PERSONAL/PYTHON/Image_Generator_API/imagenes/T_TAHARI_124000159_OTM_2.jpg")</f>
        <v/>
      </c>
      <c r="N3695">
        <f>IMAGE("file:///E:/Estudios%20y%20certificaciones/ESTUDIOS%20DE%20PROGRAMMING/PROGRAMMING/PERSONAL/PYTHON/Image_Generator_API/imagenes/T_TAHARI_124000159_OTM_3.jpg")</f>
        <v/>
      </c>
      <c r="O3695">
        <f>HYPERLINK("imagenes/T_TAHARI_124000159_OTM_1.jpg","Ver imagen")</f>
        <v/>
      </c>
      <c r="P3695">
        <f>HYPERLINK("imagenes/T_TAHARI_124000159_OTM_2.jpg","Ver imagen")</f>
        <v/>
      </c>
      <c r="Q3695">
        <f>HYPERLINK("imagenes/T_TAHARI_124000159_OTM_3.jpg","Ver imagen")</f>
        <v/>
      </c>
    </row>
    <row r="3696">
      <c r="A3696" t="inlineStr">
        <is>
          <t>T TAHARI</t>
        </is>
      </c>
      <c r="B3696" t="inlineStr">
        <is>
          <t>124000159</t>
        </is>
      </c>
      <c r="C3696" t="inlineStr">
        <is>
          <t>ELLA</t>
        </is>
      </c>
      <c r="D3696" t="inlineStr">
        <is>
          <t>OTM</t>
        </is>
      </c>
      <c r="E3696" t="inlineStr">
        <is>
          <t>(en blanco)</t>
        </is>
      </c>
      <c r="F3696" t="inlineStr">
        <is>
          <t>(en blanco)</t>
        </is>
      </c>
      <c r="G3696" t="inlineStr">
        <is>
          <t>L</t>
        </is>
      </c>
      <c r="H3696" t="n">
        <v>31</v>
      </c>
      <c r="I3696" t="inlineStr">
        <is>
          <t>T_TAHARI_124000159_OTM_1.jpg</t>
        </is>
      </c>
      <c r="J3696" t="inlineStr">
        <is>
          <t>T_TAHARI_124000159_OTM_2.jpg</t>
        </is>
      </c>
      <c r="K3696" t="inlineStr">
        <is>
          <t>T_TAHARI_124000159_OTM_3.jpg</t>
        </is>
      </c>
      <c r="L3696">
        <f>IMAGE("file:///E:/Estudios%20y%20certificaciones/ESTUDIOS%20DE%20PROGRAMMING/PROGRAMMING/PERSONAL/PYTHON/Image_Generator_API/imagenes/T_TAHARI_124000159_OTM_1.jpg")</f>
        <v/>
      </c>
      <c r="M3696">
        <f>IMAGE("file:///E:/Estudios%20y%20certificaciones/ESTUDIOS%20DE%20PROGRAMMING/PROGRAMMING/PERSONAL/PYTHON/Image_Generator_API/imagenes/T_TAHARI_124000159_OTM_2.jpg")</f>
        <v/>
      </c>
      <c r="N3696">
        <f>IMAGE("file:///E:/Estudios%20y%20certificaciones/ESTUDIOS%20DE%20PROGRAMMING/PROGRAMMING/PERSONAL/PYTHON/Image_Generator_API/imagenes/T_TAHARI_124000159_OTM_3.jpg")</f>
        <v/>
      </c>
      <c r="O3696">
        <f>HYPERLINK("imagenes/T_TAHARI_124000159_OTM_1.jpg","Ver imagen")</f>
        <v/>
      </c>
      <c r="P3696">
        <f>HYPERLINK("imagenes/T_TAHARI_124000159_OTM_2.jpg","Ver imagen")</f>
        <v/>
      </c>
      <c r="Q3696">
        <f>HYPERLINK("imagenes/T_TAHARI_124000159_OTM_3.jpg","Ver imagen")</f>
        <v/>
      </c>
    </row>
    <row r="3697">
      <c r="A3697" t="inlineStr">
        <is>
          <t>T TAHARI</t>
        </is>
      </c>
      <c r="B3697" t="inlineStr">
        <is>
          <t>124000159</t>
        </is>
      </c>
      <c r="C3697" t="inlineStr">
        <is>
          <t>ELLA</t>
        </is>
      </c>
      <c r="D3697" t="inlineStr">
        <is>
          <t>OTM</t>
        </is>
      </c>
      <c r="E3697" t="inlineStr">
        <is>
          <t>(en blanco)</t>
        </is>
      </c>
      <c r="F3697" t="inlineStr">
        <is>
          <t>(en blanco)</t>
        </is>
      </c>
      <c r="G3697" t="inlineStr">
        <is>
          <t>XL</t>
        </is>
      </c>
      <c r="H3697" t="n">
        <v>2</v>
      </c>
      <c r="I3697" t="inlineStr">
        <is>
          <t>T_TAHARI_124000159_OTM_1.jpg</t>
        </is>
      </c>
      <c r="J3697" t="inlineStr">
        <is>
          <t>T_TAHARI_124000159_OTM_2.jpg</t>
        </is>
      </c>
      <c r="K3697" t="inlineStr">
        <is>
          <t>T_TAHARI_124000159_OTM_3.jpg</t>
        </is>
      </c>
      <c r="L3697">
        <f>IMAGE("file:///E:/Estudios%20y%20certificaciones/ESTUDIOS%20DE%20PROGRAMMING/PROGRAMMING/PERSONAL/PYTHON/Image_Generator_API/imagenes/T_TAHARI_124000159_OTM_1.jpg")</f>
        <v/>
      </c>
      <c r="M3697">
        <f>IMAGE("file:///E:/Estudios%20y%20certificaciones/ESTUDIOS%20DE%20PROGRAMMING/PROGRAMMING/PERSONAL/PYTHON/Image_Generator_API/imagenes/T_TAHARI_124000159_OTM_2.jpg")</f>
        <v/>
      </c>
      <c r="N3697">
        <f>IMAGE("file:///E:/Estudios%20y%20certificaciones/ESTUDIOS%20DE%20PROGRAMMING/PROGRAMMING/PERSONAL/PYTHON/Image_Generator_API/imagenes/T_TAHARI_124000159_OTM_3.jpg")</f>
        <v/>
      </c>
      <c r="O3697">
        <f>HYPERLINK("imagenes/T_TAHARI_124000159_OTM_1.jpg","Ver imagen")</f>
        <v/>
      </c>
      <c r="P3697">
        <f>HYPERLINK("imagenes/T_TAHARI_124000159_OTM_2.jpg","Ver imagen")</f>
        <v/>
      </c>
      <c r="Q3697">
        <f>HYPERLINK("imagenes/T_TAHARI_124000159_OTM_3.jpg","Ver imagen")</f>
        <v/>
      </c>
    </row>
    <row r="3698">
      <c r="A3698" t="inlineStr">
        <is>
          <t>T TAHARI</t>
        </is>
      </c>
      <c r="B3698" t="inlineStr">
        <is>
          <t>124000161</t>
        </is>
      </c>
      <c r="C3698" t="inlineStr">
        <is>
          <t>MARILYN</t>
        </is>
      </c>
      <c r="D3698" t="inlineStr">
        <is>
          <t>CAM</t>
        </is>
      </c>
      <c r="E3698" t="inlineStr">
        <is>
          <t>(en blanco)</t>
        </is>
      </c>
      <c r="F3698" t="inlineStr">
        <is>
          <t>(en blanco)</t>
        </is>
      </c>
      <c r="G3698" t="inlineStr">
        <is>
          <t>XS</t>
        </is>
      </c>
      <c r="H3698" t="n">
        <v>5</v>
      </c>
      <c r="I3698" t="inlineStr">
        <is>
          <t>T_TAHARI_124000161_CAM_1.jpg</t>
        </is>
      </c>
      <c r="J3698" t="inlineStr">
        <is>
          <t>T_TAHARI_124000161_CAM_2.jpg</t>
        </is>
      </c>
      <c r="K3698" t="inlineStr">
        <is>
          <t>T_TAHARI_124000161_CAM_3.jpg</t>
        </is>
      </c>
      <c r="L3698">
        <f>IMAGE("file:///E:/Estudios%20y%20certificaciones/ESTUDIOS%20DE%20PROGRAMMING/PROGRAMMING/PERSONAL/PYTHON/Image_Generator_API/imagenes/T_TAHARI_124000161_CAM_1.jpg")</f>
        <v/>
      </c>
      <c r="M3698">
        <f>IMAGE("file:///E:/Estudios%20y%20certificaciones/ESTUDIOS%20DE%20PROGRAMMING/PROGRAMMING/PERSONAL/PYTHON/Image_Generator_API/imagenes/T_TAHARI_124000161_CAM_2.jpg")</f>
        <v/>
      </c>
      <c r="N3698">
        <f>IMAGE("file:///E:/Estudios%20y%20certificaciones/ESTUDIOS%20DE%20PROGRAMMING/PROGRAMMING/PERSONAL/PYTHON/Image_Generator_API/imagenes/T_TAHARI_124000161_CAM_3.jpg")</f>
        <v/>
      </c>
      <c r="O3698">
        <f>HYPERLINK("imagenes/T_TAHARI_124000161_CAM_1.jpg","Ver imagen")</f>
        <v/>
      </c>
      <c r="P3698">
        <f>HYPERLINK("imagenes/T_TAHARI_124000161_CAM_2.jpg","Ver imagen")</f>
        <v/>
      </c>
      <c r="Q3698">
        <f>HYPERLINK("imagenes/T_TAHARI_124000161_CAM_3.jpg","Ver imagen")</f>
        <v/>
      </c>
    </row>
    <row r="3699">
      <c r="A3699" t="inlineStr">
        <is>
          <t>T TAHARI</t>
        </is>
      </c>
      <c r="B3699" t="inlineStr">
        <is>
          <t>124000161</t>
        </is>
      </c>
      <c r="C3699" t="inlineStr">
        <is>
          <t>MARILYN</t>
        </is>
      </c>
      <c r="D3699" t="inlineStr">
        <is>
          <t>CAM</t>
        </is>
      </c>
      <c r="E3699" t="inlineStr">
        <is>
          <t>(en blanco)</t>
        </is>
      </c>
      <c r="F3699" t="inlineStr">
        <is>
          <t>(en blanco)</t>
        </is>
      </c>
      <c r="G3699" t="inlineStr">
        <is>
          <t>S</t>
        </is>
      </c>
      <c r="H3699" t="n">
        <v>2</v>
      </c>
      <c r="I3699" t="inlineStr">
        <is>
          <t>T_TAHARI_124000161_CAM_1.jpg</t>
        </is>
      </c>
      <c r="J3699" t="inlineStr">
        <is>
          <t>T_TAHARI_124000161_CAM_2.jpg</t>
        </is>
      </c>
      <c r="K3699" t="inlineStr">
        <is>
          <t>T_TAHARI_124000161_CAM_3.jpg</t>
        </is>
      </c>
      <c r="L3699">
        <f>IMAGE("file:///E:/Estudios%20y%20certificaciones/ESTUDIOS%20DE%20PROGRAMMING/PROGRAMMING/PERSONAL/PYTHON/Image_Generator_API/imagenes/T_TAHARI_124000161_CAM_1.jpg")</f>
        <v/>
      </c>
      <c r="M3699">
        <f>IMAGE("file:///E:/Estudios%20y%20certificaciones/ESTUDIOS%20DE%20PROGRAMMING/PROGRAMMING/PERSONAL/PYTHON/Image_Generator_API/imagenes/T_TAHARI_124000161_CAM_2.jpg")</f>
        <v/>
      </c>
      <c r="N3699">
        <f>IMAGE("file:///E:/Estudios%20y%20certificaciones/ESTUDIOS%20DE%20PROGRAMMING/PROGRAMMING/PERSONAL/PYTHON/Image_Generator_API/imagenes/T_TAHARI_124000161_CAM_3.jpg")</f>
        <v/>
      </c>
      <c r="O3699">
        <f>HYPERLINK("imagenes/T_TAHARI_124000161_CAM_1.jpg","Ver imagen")</f>
        <v/>
      </c>
      <c r="P3699">
        <f>HYPERLINK("imagenes/T_TAHARI_124000161_CAM_2.jpg","Ver imagen")</f>
        <v/>
      </c>
      <c r="Q3699">
        <f>HYPERLINK("imagenes/T_TAHARI_124000161_CAM_3.jpg","Ver imagen")</f>
        <v/>
      </c>
    </row>
    <row r="3700">
      <c r="A3700" t="inlineStr">
        <is>
          <t>T TAHARI</t>
        </is>
      </c>
      <c r="B3700" t="inlineStr">
        <is>
          <t>124000161</t>
        </is>
      </c>
      <c r="C3700" t="inlineStr">
        <is>
          <t>MARILYN</t>
        </is>
      </c>
      <c r="D3700" t="inlineStr">
        <is>
          <t>CAM</t>
        </is>
      </c>
      <c r="E3700" t="inlineStr">
        <is>
          <t>(en blanco)</t>
        </is>
      </c>
      <c r="F3700" t="inlineStr">
        <is>
          <t>(en blanco)</t>
        </is>
      </c>
      <c r="G3700" t="inlineStr">
        <is>
          <t>M</t>
        </is>
      </c>
      <c r="H3700" t="n">
        <v>8</v>
      </c>
      <c r="I3700" t="inlineStr">
        <is>
          <t>T_TAHARI_124000161_CAM_1.jpg</t>
        </is>
      </c>
      <c r="J3700" t="inlineStr">
        <is>
          <t>T_TAHARI_124000161_CAM_2.jpg</t>
        </is>
      </c>
      <c r="K3700" t="inlineStr">
        <is>
          <t>T_TAHARI_124000161_CAM_3.jpg</t>
        </is>
      </c>
      <c r="L3700">
        <f>IMAGE("file:///E:/Estudios%20y%20certificaciones/ESTUDIOS%20DE%20PROGRAMMING/PROGRAMMING/PERSONAL/PYTHON/Image_Generator_API/imagenes/T_TAHARI_124000161_CAM_1.jpg")</f>
        <v/>
      </c>
      <c r="M3700">
        <f>IMAGE("file:///E:/Estudios%20y%20certificaciones/ESTUDIOS%20DE%20PROGRAMMING/PROGRAMMING/PERSONAL/PYTHON/Image_Generator_API/imagenes/T_TAHARI_124000161_CAM_2.jpg")</f>
        <v/>
      </c>
      <c r="N3700">
        <f>IMAGE("file:///E:/Estudios%20y%20certificaciones/ESTUDIOS%20DE%20PROGRAMMING/PROGRAMMING/PERSONAL/PYTHON/Image_Generator_API/imagenes/T_TAHARI_124000161_CAM_3.jpg")</f>
        <v/>
      </c>
      <c r="O3700">
        <f>HYPERLINK("imagenes/T_TAHARI_124000161_CAM_1.jpg","Ver imagen")</f>
        <v/>
      </c>
      <c r="P3700">
        <f>HYPERLINK("imagenes/T_TAHARI_124000161_CAM_2.jpg","Ver imagen")</f>
        <v/>
      </c>
      <c r="Q3700">
        <f>HYPERLINK("imagenes/T_TAHARI_124000161_CAM_3.jpg","Ver imagen")</f>
        <v/>
      </c>
    </row>
    <row r="3701">
      <c r="A3701" t="inlineStr">
        <is>
          <t>T TAHARI</t>
        </is>
      </c>
      <c r="B3701" t="inlineStr">
        <is>
          <t>124000161</t>
        </is>
      </c>
      <c r="C3701" t="inlineStr">
        <is>
          <t>MARILYN</t>
        </is>
      </c>
      <c r="D3701" t="inlineStr">
        <is>
          <t>CAM</t>
        </is>
      </c>
      <c r="E3701" t="inlineStr">
        <is>
          <t>(en blanco)</t>
        </is>
      </c>
      <c r="F3701" t="inlineStr">
        <is>
          <t>(en blanco)</t>
        </is>
      </c>
      <c r="G3701" t="inlineStr">
        <is>
          <t>L</t>
        </is>
      </c>
      <c r="H3701" t="n">
        <v>0</v>
      </c>
      <c r="I3701" t="inlineStr">
        <is>
          <t>T_TAHARI_124000161_CAM_1.jpg</t>
        </is>
      </c>
      <c r="J3701" t="inlineStr">
        <is>
          <t>T_TAHARI_124000161_CAM_2.jpg</t>
        </is>
      </c>
      <c r="K3701" t="inlineStr">
        <is>
          <t>T_TAHARI_124000161_CAM_3.jpg</t>
        </is>
      </c>
      <c r="L3701">
        <f>IMAGE("file:///E:/Estudios%20y%20certificaciones/ESTUDIOS%20DE%20PROGRAMMING/PROGRAMMING/PERSONAL/PYTHON/Image_Generator_API/imagenes/T_TAHARI_124000161_CAM_1.jpg")</f>
        <v/>
      </c>
      <c r="M3701">
        <f>IMAGE("file:///E:/Estudios%20y%20certificaciones/ESTUDIOS%20DE%20PROGRAMMING/PROGRAMMING/PERSONAL/PYTHON/Image_Generator_API/imagenes/T_TAHARI_124000161_CAM_2.jpg")</f>
        <v/>
      </c>
      <c r="N3701">
        <f>IMAGE("file:///E:/Estudios%20y%20certificaciones/ESTUDIOS%20DE%20PROGRAMMING/PROGRAMMING/PERSONAL/PYTHON/Image_Generator_API/imagenes/T_TAHARI_124000161_CAM_3.jpg")</f>
        <v/>
      </c>
      <c r="O3701">
        <f>HYPERLINK("imagenes/T_TAHARI_124000161_CAM_1.jpg","Ver imagen")</f>
        <v/>
      </c>
      <c r="P3701">
        <f>HYPERLINK("imagenes/T_TAHARI_124000161_CAM_2.jpg","Ver imagen")</f>
        <v/>
      </c>
      <c r="Q3701">
        <f>HYPERLINK("imagenes/T_TAHARI_124000161_CAM_3.jpg","Ver imagen")</f>
        <v/>
      </c>
    </row>
    <row r="3702">
      <c r="A3702" t="inlineStr">
        <is>
          <t>T TAHARI</t>
        </is>
      </c>
      <c r="B3702" t="inlineStr">
        <is>
          <t>124000161</t>
        </is>
      </c>
      <c r="C3702" t="inlineStr">
        <is>
          <t>MARILYN</t>
        </is>
      </c>
      <c r="D3702" t="inlineStr">
        <is>
          <t>CAM</t>
        </is>
      </c>
      <c r="E3702" t="inlineStr">
        <is>
          <t>(en blanco)</t>
        </is>
      </c>
      <c r="F3702" t="inlineStr">
        <is>
          <t>(en blanco)</t>
        </is>
      </c>
      <c r="G3702" t="inlineStr">
        <is>
          <t>XL</t>
        </is>
      </c>
      <c r="H3702" t="n">
        <v>0</v>
      </c>
      <c r="I3702" t="inlineStr">
        <is>
          <t>T_TAHARI_124000161_CAM_1.jpg</t>
        </is>
      </c>
      <c r="J3702" t="inlineStr">
        <is>
          <t>T_TAHARI_124000161_CAM_2.jpg</t>
        </is>
      </c>
      <c r="K3702" t="inlineStr">
        <is>
          <t>T_TAHARI_124000161_CAM_3.jpg</t>
        </is>
      </c>
      <c r="L3702">
        <f>IMAGE("file:///E:/Estudios%20y%20certificaciones/ESTUDIOS%20DE%20PROGRAMMING/PROGRAMMING/PERSONAL/PYTHON/Image_Generator_API/imagenes/T_TAHARI_124000161_CAM_1.jpg")</f>
        <v/>
      </c>
      <c r="M3702">
        <f>IMAGE("file:///E:/Estudios%20y%20certificaciones/ESTUDIOS%20DE%20PROGRAMMING/PROGRAMMING/PERSONAL/PYTHON/Image_Generator_API/imagenes/T_TAHARI_124000161_CAM_2.jpg")</f>
        <v/>
      </c>
      <c r="N3702">
        <f>IMAGE("file:///E:/Estudios%20y%20certificaciones/ESTUDIOS%20DE%20PROGRAMMING/PROGRAMMING/PERSONAL/PYTHON/Image_Generator_API/imagenes/T_TAHARI_124000161_CAM_3.jpg")</f>
        <v/>
      </c>
      <c r="O3702">
        <f>HYPERLINK("imagenes/T_TAHARI_124000161_CAM_1.jpg","Ver imagen")</f>
        <v/>
      </c>
      <c r="P3702">
        <f>HYPERLINK("imagenes/T_TAHARI_124000161_CAM_2.jpg","Ver imagen")</f>
        <v/>
      </c>
      <c r="Q3702">
        <f>HYPERLINK("imagenes/T_TAHARI_124000161_CAM_3.jpg","Ver imagen")</f>
        <v/>
      </c>
    </row>
    <row r="3703">
      <c r="A3703" t="inlineStr">
        <is>
          <t>T TAHARI</t>
        </is>
      </c>
      <c r="B3703" t="inlineStr">
        <is>
          <t>124000161</t>
        </is>
      </c>
      <c r="C3703" t="inlineStr">
        <is>
          <t>MARILYN</t>
        </is>
      </c>
      <c r="D3703" t="inlineStr">
        <is>
          <t>OTM</t>
        </is>
      </c>
      <c r="E3703" t="inlineStr">
        <is>
          <t>(en blanco)</t>
        </is>
      </c>
      <c r="F3703" t="inlineStr">
        <is>
          <t>(en blanco)</t>
        </is>
      </c>
      <c r="G3703" t="inlineStr">
        <is>
          <t>XS</t>
        </is>
      </c>
      <c r="H3703" t="n">
        <v>58</v>
      </c>
      <c r="I3703" t="inlineStr">
        <is>
          <t>T_TAHARI_124000161_OTM_1.jpg</t>
        </is>
      </c>
      <c r="J3703" t="inlineStr">
        <is>
          <t>T_TAHARI_124000161_OTM_2.jpg</t>
        </is>
      </c>
      <c r="K3703" t="inlineStr">
        <is>
          <t>T_TAHARI_124000161_OTM_3.jpg</t>
        </is>
      </c>
      <c r="L3703">
        <f>IMAGE("file:///E:/Estudios%20y%20certificaciones/ESTUDIOS%20DE%20PROGRAMMING/PROGRAMMING/PERSONAL/PYTHON/Image_Generator_API/imagenes/T_TAHARI_124000161_OTM_1.jpg")</f>
        <v/>
      </c>
      <c r="M3703">
        <f>IMAGE("file:///E:/Estudios%20y%20certificaciones/ESTUDIOS%20DE%20PROGRAMMING/PROGRAMMING/PERSONAL/PYTHON/Image_Generator_API/imagenes/T_TAHARI_124000161_OTM_2.jpg")</f>
        <v/>
      </c>
      <c r="N3703">
        <f>IMAGE("file:///E:/Estudios%20y%20certificaciones/ESTUDIOS%20DE%20PROGRAMMING/PROGRAMMING/PERSONAL/PYTHON/Image_Generator_API/imagenes/T_TAHARI_124000161_OTM_3.jpg")</f>
        <v/>
      </c>
      <c r="O3703">
        <f>HYPERLINK("imagenes/T_TAHARI_124000161_OTM_1.jpg","Ver imagen")</f>
        <v/>
      </c>
      <c r="P3703">
        <f>HYPERLINK("imagenes/T_TAHARI_124000161_OTM_2.jpg","Ver imagen")</f>
        <v/>
      </c>
      <c r="Q3703">
        <f>HYPERLINK("imagenes/T_TAHARI_124000161_OTM_3.jpg","Ver imagen")</f>
        <v/>
      </c>
    </row>
    <row r="3704">
      <c r="A3704" t="inlineStr">
        <is>
          <t>T TAHARI</t>
        </is>
      </c>
      <c r="B3704" t="inlineStr">
        <is>
          <t>124000161</t>
        </is>
      </c>
      <c r="C3704" t="inlineStr">
        <is>
          <t>MARILYN</t>
        </is>
      </c>
      <c r="D3704" t="inlineStr">
        <is>
          <t>OTM</t>
        </is>
      </c>
      <c r="E3704" t="inlineStr">
        <is>
          <t>(en blanco)</t>
        </is>
      </c>
      <c r="F3704" t="inlineStr">
        <is>
          <t>(en blanco)</t>
        </is>
      </c>
      <c r="G3704" t="inlineStr">
        <is>
          <t>S</t>
        </is>
      </c>
      <c r="H3704" t="n">
        <v>101</v>
      </c>
      <c r="I3704" t="inlineStr">
        <is>
          <t>T_TAHARI_124000161_OTM_1.jpg</t>
        </is>
      </c>
      <c r="J3704" t="inlineStr">
        <is>
          <t>T_TAHARI_124000161_OTM_2.jpg</t>
        </is>
      </c>
      <c r="K3704" t="inlineStr">
        <is>
          <t>T_TAHARI_124000161_OTM_3.jpg</t>
        </is>
      </c>
      <c r="L3704">
        <f>IMAGE("file:///E:/Estudios%20y%20certificaciones/ESTUDIOS%20DE%20PROGRAMMING/PROGRAMMING/PERSONAL/PYTHON/Image_Generator_API/imagenes/T_TAHARI_124000161_OTM_1.jpg")</f>
        <v/>
      </c>
      <c r="M3704">
        <f>IMAGE("file:///E:/Estudios%20y%20certificaciones/ESTUDIOS%20DE%20PROGRAMMING/PROGRAMMING/PERSONAL/PYTHON/Image_Generator_API/imagenes/T_TAHARI_124000161_OTM_2.jpg")</f>
        <v/>
      </c>
      <c r="N3704">
        <f>IMAGE("file:///E:/Estudios%20y%20certificaciones/ESTUDIOS%20DE%20PROGRAMMING/PROGRAMMING/PERSONAL/PYTHON/Image_Generator_API/imagenes/T_TAHARI_124000161_OTM_3.jpg")</f>
        <v/>
      </c>
      <c r="O3704">
        <f>HYPERLINK("imagenes/T_TAHARI_124000161_OTM_1.jpg","Ver imagen")</f>
        <v/>
      </c>
      <c r="P3704">
        <f>HYPERLINK("imagenes/T_TAHARI_124000161_OTM_2.jpg","Ver imagen")</f>
        <v/>
      </c>
      <c r="Q3704">
        <f>HYPERLINK("imagenes/T_TAHARI_124000161_OTM_3.jpg","Ver imagen")</f>
        <v/>
      </c>
    </row>
    <row r="3705">
      <c r="A3705" t="inlineStr">
        <is>
          <t>T TAHARI</t>
        </is>
      </c>
      <c r="B3705" t="inlineStr">
        <is>
          <t>124000161</t>
        </is>
      </c>
      <c r="C3705" t="inlineStr">
        <is>
          <t>MARILYN</t>
        </is>
      </c>
      <c r="D3705" t="inlineStr">
        <is>
          <t>OTM</t>
        </is>
      </c>
      <c r="E3705" t="inlineStr">
        <is>
          <t>(en blanco)</t>
        </is>
      </c>
      <c r="F3705" t="inlineStr">
        <is>
          <t>(en blanco)</t>
        </is>
      </c>
      <c r="G3705" t="inlineStr">
        <is>
          <t>M</t>
        </is>
      </c>
      <c r="H3705" t="n">
        <v>153</v>
      </c>
      <c r="I3705" t="inlineStr">
        <is>
          <t>T_TAHARI_124000161_OTM_1.jpg</t>
        </is>
      </c>
      <c r="J3705" t="inlineStr">
        <is>
          <t>T_TAHARI_124000161_OTM_2.jpg</t>
        </is>
      </c>
      <c r="K3705" t="inlineStr">
        <is>
          <t>T_TAHARI_124000161_OTM_3.jpg</t>
        </is>
      </c>
      <c r="L3705">
        <f>IMAGE("file:///E:/Estudios%20y%20certificaciones/ESTUDIOS%20DE%20PROGRAMMING/PROGRAMMING/PERSONAL/PYTHON/Image_Generator_API/imagenes/T_TAHARI_124000161_OTM_1.jpg")</f>
        <v/>
      </c>
      <c r="M3705">
        <f>IMAGE("file:///E:/Estudios%20y%20certificaciones/ESTUDIOS%20DE%20PROGRAMMING/PROGRAMMING/PERSONAL/PYTHON/Image_Generator_API/imagenes/T_TAHARI_124000161_OTM_2.jpg")</f>
        <v/>
      </c>
      <c r="N3705">
        <f>IMAGE("file:///E:/Estudios%20y%20certificaciones/ESTUDIOS%20DE%20PROGRAMMING/PROGRAMMING/PERSONAL/PYTHON/Image_Generator_API/imagenes/T_TAHARI_124000161_OTM_3.jpg")</f>
        <v/>
      </c>
      <c r="O3705">
        <f>HYPERLINK("imagenes/T_TAHARI_124000161_OTM_1.jpg","Ver imagen")</f>
        <v/>
      </c>
      <c r="P3705">
        <f>HYPERLINK("imagenes/T_TAHARI_124000161_OTM_2.jpg","Ver imagen")</f>
        <v/>
      </c>
      <c r="Q3705">
        <f>HYPERLINK("imagenes/T_TAHARI_124000161_OTM_3.jpg","Ver imagen")</f>
        <v/>
      </c>
    </row>
    <row r="3706">
      <c r="A3706" t="inlineStr">
        <is>
          <t>T TAHARI</t>
        </is>
      </c>
      <c r="B3706" t="inlineStr">
        <is>
          <t>124000161</t>
        </is>
      </c>
      <c r="C3706" t="inlineStr">
        <is>
          <t>MARILYN</t>
        </is>
      </c>
      <c r="D3706" t="inlineStr">
        <is>
          <t>OTM</t>
        </is>
      </c>
      <c r="E3706" t="inlineStr">
        <is>
          <t>(en blanco)</t>
        </is>
      </c>
      <c r="F3706" t="inlineStr">
        <is>
          <t>(en blanco)</t>
        </is>
      </c>
      <c r="G3706" t="inlineStr">
        <is>
          <t>L</t>
        </is>
      </c>
      <c r="H3706" t="n">
        <v>118</v>
      </c>
      <c r="I3706" t="inlineStr">
        <is>
          <t>T_TAHARI_124000161_OTM_1.jpg</t>
        </is>
      </c>
      <c r="J3706" t="inlineStr">
        <is>
          <t>T_TAHARI_124000161_OTM_2.jpg</t>
        </is>
      </c>
      <c r="K3706" t="inlineStr">
        <is>
          <t>T_TAHARI_124000161_OTM_3.jpg</t>
        </is>
      </c>
      <c r="L3706">
        <f>IMAGE("file:///E:/Estudios%20y%20certificaciones/ESTUDIOS%20DE%20PROGRAMMING/PROGRAMMING/PERSONAL/PYTHON/Image_Generator_API/imagenes/T_TAHARI_124000161_OTM_1.jpg")</f>
        <v/>
      </c>
      <c r="M3706">
        <f>IMAGE("file:///E:/Estudios%20y%20certificaciones/ESTUDIOS%20DE%20PROGRAMMING/PROGRAMMING/PERSONAL/PYTHON/Image_Generator_API/imagenes/T_TAHARI_124000161_OTM_2.jpg")</f>
        <v/>
      </c>
      <c r="N3706">
        <f>IMAGE("file:///E:/Estudios%20y%20certificaciones/ESTUDIOS%20DE%20PROGRAMMING/PROGRAMMING/PERSONAL/PYTHON/Image_Generator_API/imagenes/T_TAHARI_124000161_OTM_3.jpg")</f>
        <v/>
      </c>
      <c r="O3706">
        <f>HYPERLINK("imagenes/T_TAHARI_124000161_OTM_1.jpg","Ver imagen")</f>
        <v/>
      </c>
      <c r="P3706">
        <f>HYPERLINK("imagenes/T_TAHARI_124000161_OTM_2.jpg","Ver imagen")</f>
        <v/>
      </c>
      <c r="Q3706">
        <f>HYPERLINK("imagenes/T_TAHARI_124000161_OTM_3.jpg","Ver imagen")</f>
        <v/>
      </c>
    </row>
    <row r="3707">
      <c r="A3707" t="inlineStr">
        <is>
          <t>T TAHARI</t>
        </is>
      </c>
      <c r="B3707" t="inlineStr">
        <is>
          <t>124000161</t>
        </is>
      </c>
      <c r="C3707" t="inlineStr">
        <is>
          <t>MARILYN</t>
        </is>
      </c>
      <c r="D3707" t="inlineStr">
        <is>
          <t>OTM</t>
        </is>
      </c>
      <c r="E3707" t="inlineStr">
        <is>
          <t>(en blanco)</t>
        </is>
      </c>
      <c r="F3707" t="inlineStr">
        <is>
          <t>(en blanco)</t>
        </is>
      </c>
      <c r="G3707" t="inlineStr">
        <is>
          <t>XL</t>
        </is>
      </c>
      <c r="H3707" t="n">
        <v>48</v>
      </c>
      <c r="I3707" t="inlineStr">
        <is>
          <t>T_TAHARI_124000161_OTM_1.jpg</t>
        </is>
      </c>
      <c r="J3707" t="inlineStr">
        <is>
          <t>T_TAHARI_124000161_OTM_2.jpg</t>
        </is>
      </c>
      <c r="K3707" t="inlineStr">
        <is>
          <t>T_TAHARI_124000161_OTM_3.jpg</t>
        </is>
      </c>
      <c r="L3707">
        <f>IMAGE("file:///E:/Estudios%20y%20certificaciones/ESTUDIOS%20DE%20PROGRAMMING/PROGRAMMING/PERSONAL/PYTHON/Image_Generator_API/imagenes/T_TAHARI_124000161_OTM_1.jpg")</f>
        <v/>
      </c>
      <c r="M3707">
        <f>IMAGE("file:///E:/Estudios%20y%20certificaciones/ESTUDIOS%20DE%20PROGRAMMING/PROGRAMMING/PERSONAL/PYTHON/Image_Generator_API/imagenes/T_TAHARI_124000161_OTM_2.jpg")</f>
        <v/>
      </c>
      <c r="N3707">
        <f>IMAGE("file:///E:/Estudios%20y%20certificaciones/ESTUDIOS%20DE%20PROGRAMMING/PROGRAMMING/PERSONAL/PYTHON/Image_Generator_API/imagenes/T_TAHARI_124000161_OTM_3.jpg")</f>
        <v/>
      </c>
      <c r="O3707">
        <f>HYPERLINK("imagenes/T_TAHARI_124000161_OTM_1.jpg","Ver imagen")</f>
        <v/>
      </c>
      <c r="P3707">
        <f>HYPERLINK("imagenes/T_TAHARI_124000161_OTM_2.jpg","Ver imagen")</f>
        <v/>
      </c>
      <c r="Q3707">
        <f>HYPERLINK("imagenes/T_TAHARI_124000161_OTM_3.jpg","Ver imagen")</f>
        <v/>
      </c>
    </row>
    <row r="3708">
      <c r="A3708" t="inlineStr">
        <is>
          <t>T TAHARI</t>
        </is>
      </c>
      <c r="B3708" t="inlineStr">
        <is>
          <t>124000161</t>
        </is>
      </c>
      <c r="C3708" t="inlineStr">
        <is>
          <t>MARILYN</t>
        </is>
      </c>
      <c r="D3708" t="inlineStr">
        <is>
          <t>SFA</t>
        </is>
      </c>
      <c r="E3708" t="inlineStr">
        <is>
          <t>(en blanco)</t>
        </is>
      </c>
      <c r="F3708" t="inlineStr">
        <is>
          <t>(en blanco)</t>
        </is>
      </c>
      <c r="G3708" t="inlineStr">
        <is>
          <t>XS</t>
        </is>
      </c>
      <c r="H3708" t="n">
        <v>7</v>
      </c>
      <c r="I3708" t="inlineStr">
        <is>
          <t>T_TAHARI_124000161_SFA_1.jpg</t>
        </is>
      </c>
      <c r="J3708" t="inlineStr">
        <is>
          <t>T_TAHARI_124000161_SFA_2.jpg</t>
        </is>
      </c>
      <c r="K3708" t="inlineStr">
        <is>
          <t>T_TAHARI_124000161_SFA_3.jpg</t>
        </is>
      </c>
      <c r="L3708">
        <f>IMAGE("file:///E:/Estudios%20y%20certificaciones/ESTUDIOS%20DE%20PROGRAMMING/PROGRAMMING/PERSONAL/PYTHON/Image_Generator_API/imagenes/T_TAHARI_124000161_SFA_1.jpg")</f>
        <v/>
      </c>
      <c r="M3708">
        <f>IMAGE("file:///E:/Estudios%20y%20certificaciones/ESTUDIOS%20DE%20PROGRAMMING/PROGRAMMING/PERSONAL/PYTHON/Image_Generator_API/imagenes/T_TAHARI_124000161_SFA_2.jpg")</f>
        <v/>
      </c>
      <c r="N3708">
        <f>IMAGE("file:///E:/Estudios%20y%20certificaciones/ESTUDIOS%20DE%20PROGRAMMING/PROGRAMMING/PERSONAL/PYTHON/Image_Generator_API/imagenes/T_TAHARI_124000161_SFA_3.jpg")</f>
        <v/>
      </c>
      <c r="O3708">
        <f>HYPERLINK("imagenes/T_TAHARI_124000161_SFA_1.jpg","Ver imagen")</f>
        <v/>
      </c>
      <c r="P3708">
        <f>HYPERLINK("imagenes/T_TAHARI_124000161_SFA_2.jpg","Ver imagen")</f>
        <v/>
      </c>
      <c r="Q3708">
        <f>HYPERLINK("imagenes/T_TAHARI_124000161_SFA_3.jpg","Ver imagen")</f>
        <v/>
      </c>
    </row>
    <row r="3709">
      <c r="A3709" t="inlineStr">
        <is>
          <t>T TAHARI</t>
        </is>
      </c>
      <c r="B3709" t="inlineStr">
        <is>
          <t>124000161</t>
        </is>
      </c>
      <c r="C3709" t="inlineStr">
        <is>
          <t>MARILYN</t>
        </is>
      </c>
      <c r="D3709" t="inlineStr">
        <is>
          <t>SFA</t>
        </is>
      </c>
      <c r="E3709" t="inlineStr">
        <is>
          <t>(en blanco)</t>
        </is>
      </c>
      <c r="F3709" t="inlineStr">
        <is>
          <t>(en blanco)</t>
        </is>
      </c>
      <c r="G3709" t="inlineStr">
        <is>
          <t>M</t>
        </is>
      </c>
      <c r="H3709" t="n">
        <v>1</v>
      </c>
      <c r="I3709" t="inlineStr">
        <is>
          <t>T_TAHARI_124000161_SFA_1.jpg</t>
        </is>
      </c>
      <c r="J3709" t="inlineStr">
        <is>
          <t>T_TAHARI_124000161_SFA_2.jpg</t>
        </is>
      </c>
      <c r="K3709" t="inlineStr">
        <is>
          <t>T_TAHARI_124000161_SFA_3.jpg</t>
        </is>
      </c>
      <c r="L3709">
        <f>IMAGE("file:///E:/Estudios%20y%20certificaciones/ESTUDIOS%20DE%20PROGRAMMING/PROGRAMMING/PERSONAL/PYTHON/Image_Generator_API/imagenes/T_TAHARI_124000161_SFA_1.jpg")</f>
        <v/>
      </c>
      <c r="M3709">
        <f>IMAGE("file:///E:/Estudios%20y%20certificaciones/ESTUDIOS%20DE%20PROGRAMMING/PROGRAMMING/PERSONAL/PYTHON/Image_Generator_API/imagenes/T_TAHARI_124000161_SFA_2.jpg")</f>
        <v/>
      </c>
      <c r="N3709">
        <f>IMAGE("file:///E:/Estudios%20y%20certificaciones/ESTUDIOS%20DE%20PROGRAMMING/PROGRAMMING/PERSONAL/PYTHON/Image_Generator_API/imagenes/T_TAHARI_124000161_SFA_3.jpg")</f>
        <v/>
      </c>
      <c r="O3709">
        <f>HYPERLINK("imagenes/T_TAHARI_124000161_SFA_1.jpg","Ver imagen")</f>
        <v/>
      </c>
      <c r="P3709">
        <f>HYPERLINK("imagenes/T_TAHARI_124000161_SFA_2.jpg","Ver imagen")</f>
        <v/>
      </c>
      <c r="Q3709">
        <f>HYPERLINK("imagenes/T_TAHARI_124000161_SFA_3.jpg","Ver imagen")</f>
        <v/>
      </c>
    </row>
    <row r="3710">
      <c r="A3710" t="inlineStr">
        <is>
          <t>T TAHARI</t>
        </is>
      </c>
      <c r="B3710" t="inlineStr">
        <is>
          <t>124000161</t>
        </is>
      </c>
      <c r="C3710" t="inlineStr">
        <is>
          <t>MARILYN</t>
        </is>
      </c>
      <c r="D3710" t="inlineStr">
        <is>
          <t>SFA</t>
        </is>
      </c>
      <c r="E3710" t="inlineStr">
        <is>
          <t>(en blanco)</t>
        </is>
      </c>
      <c r="F3710" t="inlineStr">
        <is>
          <t>(en blanco)</t>
        </is>
      </c>
      <c r="G3710" t="inlineStr">
        <is>
          <t>L</t>
        </is>
      </c>
      <c r="H3710" t="n">
        <v>11</v>
      </c>
      <c r="I3710" t="inlineStr">
        <is>
          <t>T_TAHARI_124000161_SFA_1.jpg</t>
        </is>
      </c>
      <c r="J3710" t="inlineStr">
        <is>
          <t>T_TAHARI_124000161_SFA_2.jpg</t>
        </is>
      </c>
      <c r="K3710" t="inlineStr">
        <is>
          <t>T_TAHARI_124000161_SFA_3.jpg</t>
        </is>
      </c>
      <c r="L3710">
        <f>IMAGE("file:///E:/Estudios%20y%20certificaciones/ESTUDIOS%20DE%20PROGRAMMING/PROGRAMMING/PERSONAL/PYTHON/Image_Generator_API/imagenes/T_TAHARI_124000161_SFA_1.jpg")</f>
        <v/>
      </c>
      <c r="M3710">
        <f>IMAGE("file:///E:/Estudios%20y%20certificaciones/ESTUDIOS%20DE%20PROGRAMMING/PROGRAMMING/PERSONAL/PYTHON/Image_Generator_API/imagenes/T_TAHARI_124000161_SFA_2.jpg")</f>
        <v/>
      </c>
      <c r="N3710">
        <f>IMAGE("file:///E:/Estudios%20y%20certificaciones/ESTUDIOS%20DE%20PROGRAMMING/PROGRAMMING/PERSONAL/PYTHON/Image_Generator_API/imagenes/T_TAHARI_124000161_SFA_3.jpg")</f>
        <v/>
      </c>
      <c r="O3710">
        <f>HYPERLINK("imagenes/T_TAHARI_124000161_SFA_1.jpg","Ver imagen")</f>
        <v/>
      </c>
      <c r="P3710">
        <f>HYPERLINK("imagenes/T_TAHARI_124000161_SFA_2.jpg","Ver imagen")</f>
        <v/>
      </c>
      <c r="Q3710">
        <f>HYPERLINK("imagenes/T_TAHARI_124000161_SFA_3.jpg","Ver imagen")</f>
        <v/>
      </c>
    </row>
    <row r="3711">
      <c r="A3711" t="inlineStr">
        <is>
          <t>T TAHARI</t>
        </is>
      </c>
      <c r="B3711" t="inlineStr">
        <is>
          <t>124000188</t>
        </is>
      </c>
      <c r="C3711" t="inlineStr">
        <is>
          <t>ELLIOT</t>
        </is>
      </c>
      <c r="D3711" t="inlineStr">
        <is>
          <t>CAM</t>
        </is>
      </c>
      <c r="E3711" t="inlineStr">
        <is>
          <t>(en blanco)</t>
        </is>
      </c>
      <c r="F3711" t="inlineStr">
        <is>
          <t>D2C</t>
        </is>
      </c>
      <c r="G3711" t="inlineStr">
        <is>
          <t>XS</t>
        </is>
      </c>
      <c r="H3711" t="n">
        <v>14</v>
      </c>
      <c r="I3711" t="inlineStr">
        <is>
          <t>T_TAHARI_124000188_CAM_1.jpg</t>
        </is>
      </c>
      <c r="J3711" t="inlineStr">
        <is>
          <t>T_TAHARI_124000188_CAM_2.jpg</t>
        </is>
      </c>
      <c r="K3711" t="inlineStr">
        <is>
          <t>T_TAHARI_124000188_CAM_3.jpg</t>
        </is>
      </c>
      <c r="L3711">
        <f>IMAGE("file:///E:/Estudios%20y%20certificaciones/ESTUDIOS%20DE%20PROGRAMMING/PROGRAMMING/PERSONAL/PYTHON/Image_Generator_API/imagenes/T_TAHARI_124000188_CAM_1.jpg")</f>
        <v/>
      </c>
      <c r="M3711">
        <f>IMAGE("file:///E:/Estudios%20y%20certificaciones/ESTUDIOS%20DE%20PROGRAMMING/PROGRAMMING/PERSONAL/PYTHON/Image_Generator_API/imagenes/T_TAHARI_124000188_CAM_2.jpg")</f>
        <v/>
      </c>
      <c r="N3711">
        <f>IMAGE("file:///E:/Estudios%20y%20certificaciones/ESTUDIOS%20DE%20PROGRAMMING/PROGRAMMING/PERSONAL/PYTHON/Image_Generator_API/imagenes/T_TAHARI_124000188_CAM_3.jpg")</f>
        <v/>
      </c>
      <c r="O3711">
        <f>HYPERLINK("imagenes/T_TAHARI_124000188_CAM_1.jpg","Ver imagen")</f>
        <v/>
      </c>
      <c r="P3711">
        <f>HYPERLINK("imagenes/T_TAHARI_124000188_CAM_2.jpg","Ver imagen")</f>
        <v/>
      </c>
      <c r="Q3711">
        <f>HYPERLINK("imagenes/T_TAHARI_124000188_CAM_3.jpg","Ver imagen")</f>
        <v/>
      </c>
    </row>
    <row r="3712">
      <c r="A3712" t="inlineStr">
        <is>
          <t>T TAHARI</t>
        </is>
      </c>
      <c r="B3712" t="inlineStr">
        <is>
          <t>124000188</t>
        </is>
      </c>
      <c r="C3712" t="inlineStr">
        <is>
          <t>ELLIOT</t>
        </is>
      </c>
      <c r="D3712" t="inlineStr">
        <is>
          <t>CAM</t>
        </is>
      </c>
      <c r="E3712" t="inlineStr">
        <is>
          <t>(en blanco)</t>
        </is>
      </c>
      <c r="F3712" t="inlineStr">
        <is>
          <t>D2C</t>
        </is>
      </c>
      <c r="G3712" t="inlineStr">
        <is>
          <t>S</t>
        </is>
      </c>
      <c r="H3712" t="n">
        <v>20</v>
      </c>
      <c r="I3712" t="inlineStr">
        <is>
          <t>T_TAHARI_124000188_CAM_1.jpg</t>
        </is>
      </c>
      <c r="J3712" t="inlineStr">
        <is>
          <t>T_TAHARI_124000188_CAM_2.jpg</t>
        </is>
      </c>
      <c r="K3712" t="inlineStr">
        <is>
          <t>T_TAHARI_124000188_CAM_3.jpg</t>
        </is>
      </c>
      <c r="L3712">
        <f>IMAGE("file:///E:/Estudios%20y%20certificaciones/ESTUDIOS%20DE%20PROGRAMMING/PROGRAMMING/PERSONAL/PYTHON/Image_Generator_API/imagenes/T_TAHARI_124000188_CAM_1.jpg")</f>
        <v/>
      </c>
      <c r="M3712">
        <f>IMAGE("file:///E:/Estudios%20y%20certificaciones/ESTUDIOS%20DE%20PROGRAMMING/PROGRAMMING/PERSONAL/PYTHON/Image_Generator_API/imagenes/T_TAHARI_124000188_CAM_2.jpg")</f>
        <v/>
      </c>
      <c r="N3712">
        <f>IMAGE("file:///E:/Estudios%20y%20certificaciones/ESTUDIOS%20DE%20PROGRAMMING/PROGRAMMING/PERSONAL/PYTHON/Image_Generator_API/imagenes/T_TAHARI_124000188_CAM_3.jpg")</f>
        <v/>
      </c>
      <c r="O3712">
        <f>HYPERLINK("imagenes/T_TAHARI_124000188_CAM_1.jpg","Ver imagen")</f>
        <v/>
      </c>
      <c r="P3712">
        <f>HYPERLINK("imagenes/T_TAHARI_124000188_CAM_2.jpg","Ver imagen")</f>
        <v/>
      </c>
      <c r="Q3712">
        <f>HYPERLINK("imagenes/T_TAHARI_124000188_CAM_3.jpg","Ver imagen")</f>
        <v/>
      </c>
    </row>
    <row r="3713">
      <c r="A3713" t="inlineStr">
        <is>
          <t>T TAHARI</t>
        </is>
      </c>
      <c r="B3713" t="inlineStr">
        <is>
          <t>124000188</t>
        </is>
      </c>
      <c r="C3713" t="inlineStr">
        <is>
          <t>ELLIOT</t>
        </is>
      </c>
      <c r="D3713" t="inlineStr">
        <is>
          <t>CAM</t>
        </is>
      </c>
      <c r="E3713" t="inlineStr">
        <is>
          <t>(en blanco)</t>
        </is>
      </c>
      <c r="F3713" t="inlineStr">
        <is>
          <t>D2C</t>
        </is>
      </c>
      <c r="G3713" t="inlineStr">
        <is>
          <t>M</t>
        </is>
      </c>
      <c r="H3713" t="n">
        <v>20</v>
      </c>
      <c r="I3713" t="inlineStr">
        <is>
          <t>T_TAHARI_124000188_CAM_1.jpg</t>
        </is>
      </c>
      <c r="J3713" t="inlineStr">
        <is>
          <t>T_TAHARI_124000188_CAM_2.jpg</t>
        </is>
      </c>
      <c r="K3713" t="inlineStr">
        <is>
          <t>T_TAHARI_124000188_CAM_3.jpg</t>
        </is>
      </c>
      <c r="L3713">
        <f>IMAGE("file:///E:/Estudios%20y%20certificaciones/ESTUDIOS%20DE%20PROGRAMMING/PROGRAMMING/PERSONAL/PYTHON/Image_Generator_API/imagenes/T_TAHARI_124000188_CAM_1.jpg")</f>
        <v/>
      </c>
      <c r="M3713">
        <f>IMAGE("file:///E:/Estudios%20y%20certificaciones/ESTUDIOS%20DE%20PROGRAMMING/PROGRAMMING/PERSONAL/PYTHON/Image_Generator_API/imagenes/T_TAHARI_124000188_CAM_2.jpg")</f>
        <v/>
      </c>
      <c r="N3713">
        <f>IMAGE("file:///E:/Estudios%20y%20certificaciones/ESTUDIOS%20DE%20PROGRAMMING/PROGRAMMING/PERSONAL/PYTHON/Image_Generator_API/imagenes/T_TAHARI_124000188_CAM_3.jpg")</f>
        <v/>
      </c>
      <c r="O3713">
        <f>HYPERLINK("imagenes/T_TAHARI_124000188_CAM_1.jpg","Ver imagen")</f>
        <v/>
      </c>
      <c r="P3713">
        <f>HYPERLINK("imagenes/T_TAHARI_124000188_CAM_2.jpg","Ver imagen")</f>
        <v/>
      </c>
      <c r="Q3713">
        <f>HYPERLINK("imagenes/T_TAHARI_124000188_CAM_3.jpg","Ver imagen")</f>
        <v/>
      </c>
    </row>
    <row r="3714">
      <c r="A3714" t="inlineStr">
        <is>
          <t>T TAHARI</t>
        </is>
      </c>
      <c r="B3714" t="inlineStr">
        <is>
          <t>124000188</t>
        </is>
      </c>
      <c r="C3714" t="inlineStr">
        <is>
          <t>ELLIOT</t>
        </is>
      </c>
      <c r="D3714" t="inlineStr">
        <is>
          <t>CAM</t>
        </is>
      </c>
      <c r="E3714" t="inlineStr">
        <is>
          <t>(en blanco)</t>
        </is>
      </c>
      <c r="F3714" t="inlineStr">
        <is>
          <t>D2C</t>
        </is>
      </c>
      <c r="G3714" t="inlineStr">
        <is>
          <t>L</t>
        </is>
      </c>
      <c r="H3714" t="n">
        <v>22</v>
      </c>
      <c r="I3714" t="inlineStr">
        <is>
          <t>T_TAHARI_124000188_CAM_1.jpg</t>
        </is>
      </c>
      <c r="J3714" t="inlineStr">
        <is>
          <t>T_TAHARI_124000188_CAM_2.jpg</t>
        </is>
      </c>
      <c r="K3714" t="inlineStr">
        <is>
          <t>T_TAHARI_124000188_CAM_3.jpg</t>
        </is>
      </c>
      <c r="L3714">
        <f>IMAGE("file:///E:/Estudios%20y%20certificaciones/ESTUDIOS%20DE%20PROGRAMMING/PROGRAMMING/PERSONAL/PYTHON/Image_Generator_API/imagenes/T_TAHARI_124000188_CAM_1.jpg")</f>
        <v/>
      </c>
      <c r="M3714">
        <f>IMAGE("file:///E:/Estudios%20y%20certificaciones/ESTUDIOS%20DE%20PROGRAMMING/PROGRAMMING/PERSONAL/PYTHON/Image_Generator_API/imagenes/T_TAHARI_124000188_CAM_2.jpg")</f>
        <v/>
      </c>
      <c r="N3714">
        <f>IMAGE("file:///E:/Estudios%20y%20certificaciones/ESTUDIOS%20DE%20PROGRAMMING/PROGRAMMING/PERSONAL/PYTHON/Image_Generator_API/imagenes/T_TAHARI_124000188_CAM_3.jpg")</f>
        <v/>
      </c>
      <c r="O3714">
        <f>HYPERLINK("imagenes/T_TAHARI_124000188_CAM_1.jpg","Ver imagen")</f>
        <v/>
      </c>
      <c r="P3714">
        <f>HYPERLINK("imagenes/T_TAHARI_124000188_CAM_2.jpg","Ver imagen")</f>
        <v/>
      </c>
      <c r="Q3714">
        <f>HYPERLINK("imagenes/T_TAHARI_124000188_CAM_3.jpg","Ver imagen")</f>
        <v/>
      </c>
    </row>
    <row r="3715">
      <c r="A3715" t="inlineStr">
        <is>
          <t>T TAHARI</t>
        </is>
      </c>
      <c r="B3715" t="inlineStr">
        <is>
          <t>124000188</t>
        </is>
      </c>
      <c r="C3715" t="inlineStr">
        <is>
          <t>ELLIOT</t>
        </is>
      </c>
      <c r="D3715" t="inlineStr">
        <is>
          <t>CAM</t>
        </is>
      </c>
      <c r="E3715" t="inlineStr">
        <is>
          <t>(en blanco)</t>
        </is>
      </c>
      <c r="F3715" t="inlineStr">
        <is>
          <t>(en blanco)</t>
        </is>
      </c>
      <c r="G3715" t="inlineStr">
        <is>
          <t>XS</t>
        </is>
      </c>
      <c r="H3715" t="n">
        <v>103</v>
      </c>
      <c r="I3715" t="inlineStr">
        <is>
          <t>T_TAHARI_124000188_CAM_1.jpg</t>
        </is>
      </c>
      <c r="J3715" t="inlineStr">
        <is>
          <t>T_TAHARI_124000188_CAM_2.jpg</t>
        </is>
      </c>
      <c r="K3715" t="inlineStr">
        <is>
          <t>T_TAHARI_124000188_CAM_3.jpg</t>
        </is>
      </c>
      <c r="L3715">
        <f>IMAGE("file:///E:/Estudios%20y%20certificaciones/ESTUDIOS%20DE%20PROGRAMMING/PROGRAMMING/PERSONAL/PYTHON/Image_Generator_API/imagenes/T_TAHARI_124000188_CAM_1.jpg")</f>
        <v/>
      </c>
      <c r="M3715">
        <f>IMAGE("file:///E:/Estudios%20y%20certificaciones/ESTUDIOS%20DE%20PROGRAMMING/PROGRAMMING/PERSONAL/PYTHON/Image_Generator_API/imagenes/T_TAHARI_124000188_CAM_2.jpg")</f>
        <v/>
      </c>
      <c r="N3715">
        <f>IMAGE("file:///E:/Estudios%20y%20certificaciones/ESTUDIOS%20DE%20PROGRAMMING/PROGRAMMING/PERSONAL/PYTHON/Image_Generator_API/imagenes/T_TAHARI_124000188_CAM_3.jpg")</f>
        <v/>
      </c>
      <c r="O3715">
        <f>HYPERLINK("imagenes/T_TAHARI_124000188_CAM_1.jpg","Ver imagen")</f>
        <v/>
      </c>
      <c r="P3715">
        <f>HYPERLINK("imagenes/T_TAHARI_124000188_CAM_2.jpg","Ver imagen")</f>
        <v/>
      </c>
      <c r="Q3715">
        <f>HYPERLINK("imagenes/T_TAHARI_124000188_CAM_3.jpg","Ver imagen")</f>
        <v/>
      </c>
    </row>
    <row r="3716">
      <c r="A3716" t="inlineStr">
        <is>
          <t>T TAHARI</t>
        </is>
      </c>
      <c r="B3716" t="inlineStr">
        <is>
          <t>124000188</t>
        </is>
      </c>
      <c r="C3716" t="inlineStr">
        <is>
          <t>ELLIOT</t>
        </is>
      </c>
      <c r="D3716" t="inlineStr">
        <is>
          <t>CAM</t>
        </is>
      </c>
      <c r="E3716" t="inlineStr">
        <is>
          <t>(en blanco)</t>
        </is>
      </c>
      <c r="F3716" t="inlineStr">
        <is>
          <t>(en blanco)</t>
        </is>
      </c>
      <c r="G3716" t="inlineStr">
        <is>
          <t>S</t>
        </is>
      </c>
      <c r="H3716" t="n">
        <v>202</v>
      </c>
      <c r="I3716" t="inlineStr">
        <is>
          <t>T_TAHARI_124000188_CAM_1.jpg</t>
        </is>
      </c>
      <c r="J3716" t="inlineStr">
        <is>
          <t>T_TAHARI_124000188_CAM_2.jpg</t>
        </is>
      </c>
      <c r="K3716" t="inlineStr">
        <is>
          <t>T_TAHARI_124000188_CAM_3.jpg</t>
        </is>
      </c>
      <c r="L3716">
        <f>IMAGE("file:///E:/Estudios%20y%20certificaciones/ESTUDIOS%20DE%20PROGRAMMING/PROGRAMMING/PERSONAL/PYTHON/Image_Generator_API/imagenes/T_TAHARI_124000188_CAM_1.jpg")</f>
        <v/>
      </c>
      <c r="M3716">
        <f>IMAGE("file:///E:/Estudios%20y%20certificaciones/ESTUDIOS%20DE%20PROGRAMMING/PROGRAMMING/PERSONAL/PYTHON/Image_Generator_API/imagenes/T_TAHARI_124000188_CAM_2.jpg")</f>
        <v/>
      </c>
      <c r="N3716">
        <f>IMAGE("file:///E:/Estudios%20y%20certificaciones/ESTUDIOS%20DE%20PROGRAMMING/PROGRAMMING/PERSONAL/PYTHON/Image_Generator_API/imagenes/T_TAHARI_124000188_CAM_3.jpg")</f>
        <v/>
      </c>
      <c r="O3716">
        <f>HYPERLINK("imagenes/T_TAHARI_124000188_CAM_1.jpg","Ver imagen")</f>
        <v/>
      </c>
      <c r="P3716">
        <f>HYPERLINK("imagenes/T_TAHARI_124000188_CAM_2.jpg","Ver imagen")</f>
        <v/>
      </c>
      <c r="Q3716">
        <f>HYPERLINK("imagenes/T_TAHARI_124000188_CAM_3.jpg","Ver imagen")</f>
        <v/>
      </c>
    </row>
    <row r="3717">
      <c r="A3717" t="inlineStr">
        <is>
          <t>T TAHARI</t>
        </is>
      </c>
      <c r="B3717" t="inlineStr">
        <is>
          <t>124000188</t>
        </is>
      </c>
      <c r="C3717" t="inlineStr">
        <is>
          <t>ELLIOT</t>
        </is>
      </c>
      <c r="D3717" t="inlineStr">
        <is>
          <t>CAM</t>
        </is>
      </c>
      <c r="E3717" t="inlineStr">
        <is>
          <t>(en blanco)</t>
        </is>
      </c>
      <c r="F3717" t="inlineStr">
        <is>
          <t>(en blanco)</t>
        </is>
      </c>
      <c r="G3717" t="inlineStr">
        <is>
          <t>M</t>
        </is>
      </c>
      <c r="H3717" t="n">
        <v>110</v>
      </c>
      <c r="I3717" t="inlineStr">
        <is>
          <t>T_TAHARI_124000188_CAM_1.jpg</t>
        </is>
      </c>
      <c r="J3717" t="inlineStr">
        <is>
          <t>T_TAHARI_124000188_CAM_2.jpg</t>
        </is>
      </c>
      <c r="K3717" t="inlineStr">
        <is>
          <t>T_TAHARI_124000188_CAM_3.jpg</t>
        </is>
      </c>
      <c r="L3717">
        <f>IMAGE("file:///E:/Estudios%20y%20certificaciones/ESTUDIOS%20DE%20PROGRAMMING/PROGRAMMING/PERSONAL/PYTHON/Image_Generator_API/imagenes/T_TAHARI_124000188_CAM_1.jpg")</f>
        <v/>
      </c>
      <c r="M3717">
        <f>IMAGE("file:///E:/Estudios%20y%20certificaciones/ESTUDIOS%20DE%20PROGRAMMING/PROGRAMMING/PERSONAL/PYTHON/Image_Generator_API/imagenes/T_TAHARI_124000188_CAM_2.jpg")</f>
        <v/>
      </c>
      <c r="N3717">
        <f>IMAGE("file:///E:/Estudios%20y%20certificaciones/ESTUDIOS%20DE%20PROGRAMMING/PROGRAMMING/PERSONAL/PYTHON/Image_Generator_API/imagenes/T_TAHARI_124000188_CAM_3.jpg")</f>
        <v/>
      </c>
      <c r="O3717">
        <f>HYPERLINK("imagenes/T_TAHARI_124000188_CAM_1.jpg","Ver imagen")</f>
        <v/>
      </c>
      <c r="P3717">
        <f>HYPERLINK("imagenes/T_TAHARI_124000188_CAM_2.jpg","Ver imagen")</f>
        <v/>
      </c>
      <c r="Q3717">
        <f>HYPERLINK("imagenes/T_TAHARI_124000188_CAM_3.jpg","Ver imagen")</f>
        <v/>
      </c>
    </row>
    <row r="3718">
      <c r="A3718" t="inlineStr">
        <is>
          <t>T TAHARI</t>
        </is>
      </c>
      <c r="B3718" t="inlineStr">
        <is>
          <t>124000188</t>
        </is>
      </c>
      <c r="C3718" t="inlineStr">
        <is>
          <t>ELLIOT</t>
        </is>
      </c>
      <c r="D3718" t="inlineStr">
        <is>
          <t>CAM</t>
        </is>
      </c>
      <c r="E3718" t="inlineStr">
        <is>
          <t>(en blanco)</t>
        </is>
      </c>
      <c r="F3718" t="inlineStr">
        <is>
          <t>(en blanco)</t>
        </is>
      </c>
      <c r="G3718" t="inlineStr">
        <is>
          <t>L</t>
        </is>
      </c>
      <c r="H3718" t="n">
        <v>172</v>
      </c>
      <c r="I3718" t="inlineStr">
        <is>
          <t>T_TAHARI_124000188_CAM_1.jpg</t>
        </is>
      </c>
      <c r="J3718" t="inlineStr">
        <is>
          <t>T_TAHARI_124000188_CAM_2.jpg</t>
        </is>
      </c>
      <c r="K3718" t="inlineStr">
        <is>
          <t>T_TAHARI_124000188_CAM_3.jpg</t>
        </is>
      </c>
      <c r="L3718">
        <f>IMAGE("file:///E:/Estudios%20y%20certificaciones/ESTUDIOS%20DE%20PROGRAMMING/PROGRAMMING/PERSONAL/PYTHON/Image_Generator_API/imagenes/T_TAHARI_124000188_CAM_1.jpg")</f>
        <v/>
      </c>
      <c r="M3718">
        <f>IMAGE("file:///E:/Estudios%20y%20certificaciones/ESTUDIOS%20DE%20PROGRAMMING/PROGRAMMING/PERSONAL/PYTHON/Image_Generator_API/imagenes/T_TAHARI_124000188_CAM_2.jpg")</f>
        <v/>
      </c>
      <c r="N3718">
        <f>IMAGE("file:///E:/Estudios%20y%20certificaciones/ESTUDIOS%20DE%20PROGRAMMING/PROGRAMMING/PERSONAL/PYTHON/Image_Generator_API/imagenes/T_TAHARI_124000188_CAM_3.jpg")</f>
        <v/>
      </c>
      <c r="O3718">
        <f>HYPERLINK("imagenes/T_TAHARI_124000188_CAM_1.jpg","Ver imagen")</f>
        <v/>
      </c>
      <c r="P3718">
        <f>HYPERLINK("imagenes/T_TAHARI_124000188_CAM_2.jpg","Ver imagen")</f>
        <v/>
      </c>
      <c r="Q3718">
        <f>HYPERLINK("imagenes/T_TAHARI_124000188_CAM_3.jpg","Ver imagen")</f>
        <v/>
      </c>
    </row>
    <row r="3719">
      <c r="A3719" t="inlineStr">
        <is>
          <t>T TAHARI</t>
        </is>
      </c>
      <c r="B3719" t="inlineStr">
        <is>
          <t>124000188</t>
        </is>
      </c>
      <c r="C3719" t="inlineStr">
        <is>
          <t>ELLIOT</t>
        </is>
      </c>
      <c r="D3719" t="inlineStr">
        <is>
          <t>CAM</t>
        </is>
      </c>
      <c r="E3719" t="inlineStr">
        <is>
          <t>(en blanco)</t>
        </is>
      </c>
      <c r="F3719" t="inlineStr">
        <is>
          <t>(en blanco)</t>
        </is>
      </c>
      <c r="G3719" t="inlineStr">
        <is>
          <t>XL</t>
        </is>
      </c>
      <c r="H3719" t="n">
        <v>70</v>
      </c>
      <c r="I3719" t="inlineStr">
        <is>
          <t>T_TAHARI_124000188_CAM_1.jpg</t>
        </is>
      </c>
      <c r="J3719" t="inlineStr">
        <is>
          <t>T_TAHARI_124000188_CAM_2.jpg</t>
        </is>
      </c>
      <c r="K3719" t="inlineStr">
        <is>
          <t>T_TAHARI_124000188_CAM_3.jpg</t>
        </is>
      </c>
      <c r="L3719">
        <f>IMAGE("file:///E:/Estudios%20y%20certificaciones/ESTUDIOS%20DE%20PROGRAMMING/PROGRAMMING/PERSONAL/PYTHON/Image_Generator_API/imagenes/T_TAHARI_124000188_CAM_1.jpg")</f>
        <v/>
      </c>
      <c r="M3719">
        <f>IMAGE("file:///E:/Estudios%20y%20certificaciones/ESTUDIOS%20DE%20PROGRAMMING/PROGRAMMING/PERSONAL/PYTHON/Image_Generator_API/imagenes/T_TAHARI_124000188_CAM_2.jpg")</f>
        <v/>
      </c>
      <c r="N3719">
        <f>IMAGE("file:///E:/Estudios%20y%20certificaciones/ESTUDIOS%20DE%20PROGRAMMING/PROGRAMMING/PERSONAL/PYTHON/Image_Generator_API/imagenes/T_TAHARI_124000188_CAM_3.jpg")</f>
        <v/>
      </c>
      <c r="O3719">
        <f>HYPERLINK("imagenes/T_TAHARI_124000188_CAM_1.jpg","Ver imagen")</f>
        <v/>
      </c>
      <c r="P3719">
        <f>HYPERLINK("imagenes/T_TAHARI_124000188_CAM_2.jpg","Ver imagen")</f>
        <v/>
      </c>
      <c r="Q3719">
        <f>HYPERLINK("imagenes/T_TAHARI_124000188_CAM_3.jpg","Ver imagen")</f>
        <v/>
      </c>
    </row>
    <row r="3720">
      <c r="A3720" t="inlineStr">
        <is>
          <t>T TAHARI</t>
        </is>
      </c>
      <c r="B3720" t="inlineStr">
        <is>
          <t>124000188</t>
        </is>
      </c>
      <c r="C3720" t="inlineStr">
        <is>
          <t>ELLIOT</t>
        </is>
      </c>
      <c r="D3720" t="inlineStr">
        <is>
          <t>CHO</t>
        </is>
      </c>
      <c r="E3720" t="inlineStr">
        <is>
          <t>(en blanco)</t>
        </is>
      </c>
      <c r="F3720" t="inlineStr">
        <is>
          <t>D2C</t>
        </is>
      </c>
      <c r="G3720" t="inlineStr">
        <is>
          <t>S</t>
        </is>
      </c>
      <c r="H3720" t="n">
        <v>1</v>
      </c>
      <c r="I3720" t="inlineStr">
        <is>
          <t>T_TAHARI_124000188_CHO_1.jpg</t>
        </is>
      </c>
      <c r="J3720" t="inlineStr">
        <is>
          <t>T_TAHARI_124000188_CHO_2.jpg</t>
        </is>
      </c>
      <c r="K3720" t="inlineStr">
        <is>
          <t>T_TAHARI_124000188_CHO_3.jpg</t>
        </is>
      </c>
      <c r="L3720">
        <f>IMAGE("file:///E:/Estudios%20y%20certificaciones/ESTUDIOS%20DE%20PROGRAMMING/PROGRAMMING/PERSONAL/PYTHON/Image_Generator_API/imagenes/T_TAHARI_124000188_CHO_1.jpg")</f>
        <v/>
      </c>
      <c r="M3720">
        <f>IMAGE("file:///E:/Estudios%20y%20certificaciones/ESTUDIOS%20DE%20PROGRAMMING/PROGRAMMING/PERSONAL/PYTHON/Image_Generator_API/imagenes/T_TAHARI_124000188_CHO_2.jpg")</f>
        <v/>
      </c>
      <c r="N3720">
        <f>IMAGE("file:///E:/Estudios%20y%20certificaciones/ESTUDIOS%20DE%20PROGRAMMING/PROGRAMMING/PERSONAL/PYTHON/Image_Generator_API/imagenes/T_TAHARI_124000188_CHO_3.jpg")</f>
        <v/>
      </c>
      <c r="O3720">
        <f>HYPERLINK("imagenes/T_TAHARI_124000188_CHO_1.jpg","Ver imagen")</f>
        <v/>
      </c>
      <c r="P3720">
        <f>HYPERLINK("imagenes/T_TAHARI_124000188_CHO_2.jpg","Ver imagen")</f>
        <v/>
      </c>
      <c r="Q3720">
        <f>HYPERLINK("imagenes/T_TAHARI_124000188_CHO_3.jpg","Ver imagen")</f>
        <v/>
      </c>
    </row>
    <row r="3721">
      <c r="A3721" t="inlineStr">
        <is>
          <t>T TAHARI</t>
        </is>
      </c>
      <c r="B3721" t="inlineStr">
        <is>
          <t>124000188</t>
        </is>
      </c>
      <c r="C3721" t="inlineStr">
        <is>
          <t>ELLIOT</t>
        </is>
      </c>
      <c r="D3721" t="inlineStr">
        <is>
          <t>CHO</t>
        </is>
      </c>
      <c r="E3721" t="inlineStr">
        <is>
          <t>(en blanco)</t>
        </is>
      </c>
      <c r="F3721" t="inlineStr">
        <is>
          <t>D2C</t>
        </is>
      </c>
      <c r="G3721" t="inlineStr">
        <is>
          <t>L</t>
        </is>
      </c>
      <c r="H3721" t="n">
        <v>2</v>
      </c>
      <c r="I3721" t="inlineStr">
        <is>
          <t>T_TAHARI_124000188_CHO_1.jpg</t>
        </is>
      </c>
      <c r="J3721" t="inlineStr">
        <is>
          <t>T_TAHARI_124000188_CHO_2.jpg</t>
        </is>
      </c>
      <c r="K3721" t="inlineStr">
        <is>
          <t>T_TAHARI_124000188_CHO_3.jpg</t>
        </is>
      </c>
      <c r="L3721">
        <f>IMAGE("file:///E:/Estudios%20y%20certificaciones/ESTUDIOS%20DE%20PROGRAMMING/PROGRAMMING/PERSONAL/PYTHON/Image_Generator_API/imagenes/T_TAHARI_124000188_CHO_1.jpg")</f>
        <v/>
      </c>
      <c r="M3721">
        <f>IMAGE("file:///E:/Estudios%20y%20certificaciones/ESTUDIOS%20DE%20PROGRAMMING/PROGRAMMING/PERSONAL/PYTHON/Image_Generator_API/imagenes/T_TAHARI_124000188_CHO_2.jpg")</f>
        <v/>
      </c>
      <c r="N3721">
        <f>IMAGE("file:///E:/Estudios%20y%20certificaciones/ESTUDIOS%20DE%20PROGRAMMING/PROGRAMMING/PERSONAL/PYTHON/Image_Generator_API/imagenes/T_TAHARI_124000188_CHO_3.jpg")</f>
        <v/>
      </c>
      <c r="O3721">
        <f>HYPERLINK("imagenes/T_TAHARI_124000188_CHO_1.jpg","Ver imagen")</f>
        <v/>
      </c>
      <c r="P3721">
        <f>HYPERLINK("imagenes/T_TAHARI_124000188_CHO_2.jpg","Ver imagen")</f>
        <v/>
      </c>
      <c r="Q3721">
        <f>HYPERLINK("imagenes/T_TAHARI_124000188_CHO_3.jpg","Ver imagen")</f>
        <v/>
      </c>
    </row>
    <row r="3722">
      <c r="A3722" t="inlineStr">
        <is>
          <t>T TAHARI</t>
        </is>
      </c>
      <c r="B3722" t="inlineStr">
        <is>
          <t>124000188</t>
        </is>
      </c>
      <c r="C3722" t="inlineStr">
        <is>
          <t>ELLIOT</t>
        </is>
      </c>
      <c r="D3722" t="inlineStr">
        <is>
          <t>CHO</t>
        </is>
      </c>
      <c r="E3722" t="inlineStr">
        <is>
          <t>(en blanco)</t>
        </is>
      </c>
      <c r="F3722" t="inlineStr">
        <is>
          <t>D2C</t>
        </is>
      </c>
      <c r="G3722" t="inlineStr">
        <is>
          <t>XL</t>
        </is>
      </c>
      <c r="H3722" t="n">
        <v>8</v>
      </c>
      <c r="I3722" t="inlineStr">
        <is>
          <t>T_TAHARI_124000188_CHO_1.jpg</t>
        </is>
      </c>
      <c r="J3722" t="inlineStr">
        <is>
          <t>T_TAHARI_124000188_CHO_2.jpg</t>
        </is>
      </c>
      <c r="K3722" t="inlineStr">
        <is>
          <t>T_TAHARI_124000188_CHO_3.jpg</t>
        </is>
      </c>
      <c r="L3722">
        <f>IMAGE("file:///E:/Estudios%20y%20certificaciones/ESTUDIOS%20DE%20PROGRAMMING/PROGRAMMING/PERSONAL/PYTHON/Image_Generator_API/imagenes/T_TAHARI_124000188_CHO_1.jpg")</f>
        <v/>
      </c>
      <c r="M3722">
        <f>IMAGE("file:///E:/Estudios%20y%20certificaciones/ESTUDIOS%20DE%20PROGRAMMING/PROGRAMMING/PERSONAL/PYTHON/Image_Generator_API/imagenes/T_TAHARI_124000188_CHO_2.jpg")</f>
        <v/>
      </c>
      <c r="N3722">
        <f>IMAGE("file:///E:/Estudios%20y%20certificaciones/ESTUDIOS%20DE%20PROGRAMMING/PROGRAMMING/PERSONAL/PYTHON/Image_Generator_API/imagenes/T_TAHARI_124000188_CHO_3.jpg")</f>
        <v/>
      </c>
      <c r="O3722">
        <f>HYPERLINK("imagenes/T_TAHARI_124000188_CHO_1.jpg","Ver imagen")</f>
        <v/>
      </c>
      <c r="P3722">
        <f>HYPERLINK("imagenes/T_TAHARI_124000188_CHO_2.jpg","Ver imagen")</f>
        <v/>
      </c>
      <c r="Q3722">
        <f>HYPERLINK("imagenes/T_TAHARI_124000188_CHO_3.jpg","Ver imagen")</f>
        <v/>
      </c>
    </row>
    <row r="3723">
      <c r="A3723" t="inlineStr">
        <is>
          <t>T TAHARI</t>
        </is>
      </c>
      <c r="B3723" t="inlineStr">
        <is>
          <t>124000188</t>
        </is>
      </c>
      <c r="C3723" t="inlineStr">
        <is>
          <t>ELLIOT</t>
        </is>
      </c>
      <c r="D3723" t="inlineStr">
        <is>
          <t>CHO</t>
        </is>
      </c>
      <c r="E3723" t="inlineStr">
        <is>
          <t>(en blanco)</t>
        </is>
      </c>
      <c r="F3723" t="inlineStr">
        <is>
          <t>(en blanco)</t>
        </is>
      </c>
      <c r="G3723" t="inlineStr">
        <is>
          <t>XS</t>
        </is>
      </c>
      <c r="H3723" t="n">
        <v>21</v>
      </c>
      <c r="I3723" t="inlineStr">
        <is>
          <t>T_TAHARI_124000188_CHO_1.jpg</t>
        </is>
      </c>
      <c r="J3723" t="inlineStr">
        <is>
          <t>T_TAHARI_124000188_CHO_2.jpg</t>
        </is>
      </c>
      <c r="K3723" t="inlineStr">
        <is>
          <t>T_TAHARI_124000188_CHO_3.jpg</t>
        </is>
      </c>
      <c r="L3723">
        <f>IMAGE("file:///E:/Estudios%20y%20certificaciones/ESTUDIOS%20DE%20PROGRAMMING/PROGRAMMING/PERSONAL/PYTHON/Image_Generator_API/imagenes/T_TAHARI_124000188_CHO_1.jpg")</f>
        <v/>
      </c>
      <c r="M3723">
        <f>IMAGE("file:///E:/Estudios%20y%20certificaciones/ESTUDIOS%20DE%20PROGRAMMING/PROGRAMMING/PERSONAL/PYTHON/Image_Generator_API/imagenes/T_TAHARI_124000188_CHO_2.jpg")</f>
        <v/>
      </c>
      <c r="N3723">
        <f>IMAGE("file:///E:/Estudios%20y%20certificaciones/ESTUDIOS%20DE%20PROGRAMMING/PROGRAMMING/PERSONAL/PYTHON/Image_Generator_API/imagenes/T_TAHARI_124000188_CHO_3.jpg")</f>
        <v/>
      </c>
      <c r="O3723">
        <f>HYPERLINK("imagenes/T_TAHARI_124000188_CHO_1.jpg","Ver imagen")</f>
        <v/>
      </c>
      <c r="P3723">
        <f>HYPERLINK("imagenes/T_TAHARI_124000188_CHO_2.jpg","Ver imagen")</f>
        <v/>
      </c>
      <c r="Q3723">
        <f>HYPERLINK("imagenes/T_TAHARI_124000188_CHO_3.jpg","Ver imagen")</f>
        <v/>
      </c>
    </row>
    <row r="3724">
      <c r="A3724" t="inlineStr">
        <is>
          <t>T TAHARI</t>
        </is>
      </c>
      <c r="B3724" t="inlineStr">
        <is>
          <t>124000188</t>
        </is>
      </c>
      <c r="C3724" t="inlineStr">
        <is>
          <t>ELLIOT</t>
        </is>
      </c>
      <c r="D3724" t="inlineStr">
        <is>
          <t>CHO</t>
        </is>
      </c>
      <c r="E3724" t="inlineStr">
        <is>
          <t>(en blanco)</t>
        </is>
      </c>
      <c r="F3724" t="inlineStr">
        <is>
          <t>(en blanco)</t>
        </is>
      </c>
      <c r="G3724" t="inlineStr">
        <is>
          <t>S</t>
        </is>
      </c>
      <c r="H3724" t="n">
        <v>108</v>
      </c>
      <c r="I3724" t="inlineStr">
        <is>
          <t>T_TAHARI_124000188_CHO_1.jpg</t>
        </is>
      </c>
      <c r="J3724" t="inlineStr">
        <is>
          <t>T_TAHARI_124000188_CHO_2.jpg</t>
        </is>
      </c>
      <c r="K3724" t="inlineStr">
        <is>
          <t>T_TAHARI_124000188_CHO_3.jpg</t>
        </is>
      </c>
      <c r="L3724">
        <f>IMAGE("file:///E:/Estudios%20y%20certificaciones/ESTUDIOS%20DE%20PROGRAMMING/PROGRAMMING/PERSONAL/PYTHON/Image_Generator_API/imagenes/T_TAHARI_124000188_CHO_1.jpg")</f>
        <v/>
      </c>
      <c r="M3724">
        <f>IMAGE("file:///E:/Estudios%20y%20certificaciones/ESTUDIOS%20DE%20PROGRAMMING/PROGRAMMING/PERSONAL/PYTHON/Image_Generator_API/imagenes/T_TAHARI_124000188_CHO_2.jpg")</f>
        <v/>
      </c>
      <c r="N3724">
        <f>IMAGE("file:///E:/Estudios%20y%20certificaciones/ESTUDIOS%20DE%20PROGRAMMING/PROGRAMMING/PERSONAL/PYTHON/Image_Generator_API/imagenes/T_TAHARI_124000188_CHO_3.jpg")</f>
        <v/>
      </c>
      <c r="O3724">
        <f>HYPERLINK("imagenes/T_TAHARI_124000188_CHO_1.jpg","Ver imagen")</f>
        <v/>
      </c>
      <c r="P3724">
        <f>HYPERLINK("imagenes/T_TAHARI_124000188_CHO_2.jpg","Ver imagen")</f>
        <v/>
      </c>
      <c r="Q3724">
        <f>HYPERLINK("imagenes/T_TAHARI_124000188_CHO_3.jpg","Ver imagen")</f>
        <v/>
      </c>
    </row>
    <row r="3725">
      <c r="A3725" t="inlineStr">
        <is>
          <t>T TAHARI</t>
        </is>
      </c>
      <c r="B3725" t="inlineStr">
        <is>
          <t>124000188</t>
        </is>
      </c>
      <c r="C3725" t="inlineStr">
        <is>
          <t>ELLIOT</t>
        </is>
      </c>
      <c r="D3725" t="inlineStr">
        <is>
          <t>CHO</t>
        </is>
      </c>
      <c r="E3725" t="inlineStr">
        <is>
          <t>(en blanco)</t>
        </is>
      </c>
      <c r="F3725" t="inlineStr">
        <is>
          <t>(en blanco)</t>
        </is>
      </c>
      <c r="G3725" t="inlineStr">
        <is>
          <t>M</t>
        </is>
      </c>
      <c r="H3725" t="n">
        <v>92</v>
      </c>
      <c r="I3725" t="inlineStr">
        <is>
          <t>T_TAHARI_124000188_CHO_1.jpg</t>
        </is>
      </c>
      <c r="J3725" t="inlineStr">
        <is>
          <t>T_TAHARI_124000188_CHO_2.jpg</t>
        </is>
      </c>
      <c r="K3725" t="inlineStr">
        <is>
          <t>T_TAHARI_124000188_CHO_3.jpg</t>
        </is>
      </c>
      <c r="L3725">
        <f>IMAGE("file:///E:/Estudios%20y%20certificaciones/ESTUDIOS%20DE%20PROGRAMMING/PROGRAMMING/PERSONAL/PYTHON/Image_Generator_API/imagenes/T_TAHARI_124000188_CHO_1.jpg")</f>
        <v/>
      </c>
      <c r="M3725">
        <f>IMAGE("file:///E:/Estudios%20y%20certificaciones/ESTUDIOS%20DE%20PROGRAMMING/PROGRAMMING/PERSONAL/PYTHON/Image_Generator_API/imagenes/T_TAHARI_124000188_CHO_2.jpg")</f>
        <v/>
      </c>
      <c r="N3725">
        <f>IMAGE("file:///E:/Estudios%20y%20certificaciones/ESTUDIOS%20DE%20PROGRAMMING/PROGRAMMING/PERSONAL/PYTHON/Image_Generator_API/imagenes/T_TAHARI_124000188_CHO_3.jpg")</f>
        <v/>
      </c>
      <c r="O3725">
        <f>HYPERLINK("imagenes/T_TAHARI_124000188_CHO_1.jpg","Ver imagen")</f>
        <v/>
      </c>
      <c r="P3725">
        <f>HYPERLINK("imagenes/T_TAHARI_124000188_CHO_2.jpg","Ver imagen")</f>
        <v/>
      </c>
      <c r="Q3725">
        <f>HYPERLINK("imagenes/T_TAHARI_124000188_CHO_3.jpg","Ver imagen")</f>
        <v/>
      </c>
    </row>
    <row r="3726">
      <c r="A3726" t="inlineStr">
        <is>
          <t>T TAHARI</t>
        </is>
      </c>
      <c r="B3726" t="inlineStr">
        <is>
          <t>124000188</t>
        </is>
      </c>
      <c r="C3726" t="inlineStr">
        <is>
          <t>ELLIOT</t>
        </is>
      </c>
      <c r="D3726" t="inlineStr">
        <is>
          <t>CHO</t>
        </is>
      </c>
      <c r="E3726" t="inlineStr">
        <is>
          <t>(en blanco)</t>
        </is>
      </c>
      <c r="F3726" t="inlineStr">
        <is>
          <t>(en blanco)</t>
        </is>
      </c>
      <c r="G3726" t="inlineStr">
        <is>
          <t>L</t>
        </is>
      </c>
      <c r="H3726" t="n">
        <v>94</v>
      </c>
      <c r="I3726" t="inlineStr">
        <is>
          <t>T_TAHARI_124000188_CHO_1.jpg</t>
        </is>
      </c>
      <c r="J3726" t="inlineStr">
        <is>
          <t>T_TAHARI_124000188_CHO_2.jpg</t>
        </is>
      </c>
      <c r="K3726" t="inlineStr">
        <is>
          <t>T_TAHARI_124000188_CHO_3.jpg</t>
        </is>
      </c>
      <c r="L3726">
        <f>IMAGE("file:///E:/Estudios%20y%20certificaciones/ESTUDIOS%20DE%20PROGRAMMING/PROGRAMMING/PERSONAL/PYTHON/Image_Generator_API/imagenes/T_TAHARI_124000188_CHO_1.jpg")</f>
        <v/>
      </c>
      <c r="M3726">
        <f>IMAGE("file:///E:/Estudios%20y%20certificaciones/ESTUDIOS%20DE%20PROGRAMMING/PROGRAMMING/PERSONAL/PYTHON/Image_Generator_API/imagenes/T_TAHARI_124000188_CHO_2.jpg")</f>
        <v/>
      </c>
      <c r="N3726">
        <f>IMAGE("file:///E:/Estudios%20y%20certificaciones/ESTUDIOS%20DE%20PROGRAMMING/PROGRAMMING/PERSONAL/PYTHON/Image_Generator_API/imagenes/T_TAHARI_124000188_CHO_3.jpg")</f>
        <v/>
      </c>
      <c r="O3726">
        <f>HYPERLINK("imagenes/T_TAHARI_124000188_CHO_1.jpg","Ver imagen")</f>
        <v/>
      </c>
      <c r="P3726">
        <f>HYPERLINK("imagenes/T_TAHARI_124000188_CHO_2.jpg","Ver imagen")</f>
        <v/>
      </c>
      <c r="Q3726">
        <f>HYPERLINK("imagenes/T_TAHARI_124000188_CHO_3.jpg","Ver imagen")</f>
        <v/>
      </c>
    </row>
    <row r="3727">
      <c r="A3727" t="inlineStr">
        <is>
          <t>T TAHARI</t>
        </is>
      </c>
      <c r="B3727" t="inlineStr">
        <is>
          <t>124000188</t>
        </is>
      </c>
      <c r="C3727" t="inlineStr">
        <is>
          <t>ELLIOT</t>
        </is>
      </c>
      <c r="D3727" t="inlineStr">
        <is>
          <t>CHO</t>
        </is>
      </c>
      <c r="E3727" t="inlineStr">
        <is>
          <t>(en blanco)</t>
        </is>
      </c>
      <c r="F3727" t="inlineStr">
        <is>
          <t>(en blanco)</t>
        </is>
      </c>
      <c r="G3727" t="inlineStr">
        <is>
          <t>XL</t>
        </is>
      </c>
      <c r="H3727" t="n">
        <v>34</v>
      </c>
      <c r="I3727" t="inlineStr">
        <is>
          <t>T_TAHARI_124000188_CHO_1.jpg</t>
        </is>
      </c>
      <c r="J3727" t="inlineStr">
        <is>
          <t>T_TAHARI_124000188_CHO_2.jpg</t>
        </is>
      </c>
      <c r="K3727" t="inlineStr">
        <is>
          <t>T_TAHARI_124000188_CHO_3.jpg</t>
        </is>
      </c>
      <c r="L3727">
        <f>IMAGE("file:///E:/Estudios%20y%20certificaciones/ESTUDIOS%20DE%20PROGRAMMING/PROGRAMMING/PERSONAL/PYTHON/Image_Generator_API/imagenes/T_TAHARI_124000188_CHO_1.jpg")</f>
        <v/>
      </c>
      <c r="M3727">
        <f>IMAGE("file:///E:/Estudios%20y%20certificaciones/ESTUDIOS%20DE%20PROGRAMMING/PROGRAMMING/PERSONAL/PYTHON/Image_Generator_API/imagenes/T_TAHARI_124000188_CHO_2.jpg")</f>
        <v/>
      </c>
      <c r="N3727">
        <f>IMAGE("file:///E:/Estudios%20y%20certificaciones/ESTUDIOS%20DE%20PROGRAMMING/PROGRAMMING/PERSONAL/PYTHON/Image_Generator_API/imagenes/T_TAHARI_124000188_CHO_3.jpg")</f>
        <v/>
      </c>
      <c r="O3727">
        <f>HYPERLINK("imagenes/T_TAHARI_124000188_CHO_1.jpg","Ver imagen")</f>
        <v/>
      </c>
      <c r="P3727">
        <f>HYPERLINK("imagenes/T_TAHARI_124000188_CHO_2.jpg","Ver imagen")</f>
        <v/>
      </c>
      <c r="Q3727">
        <f>HYPERLINK("imagenes/T_TAHARI_124000188_CHO_3.jpg","Ver imagen")</f>
        <v/>
      </c>
    </row>
    <row r="3728">
      <c r="A3728" t="inlineStr">
        <is>
          <t>T TAHARI</t>
        </is>
      </c>
      <c r="B3728" t="inlineStr">
        <is>
          <t>124000188</t>
        </is>
      </c>
      <c r="C3728" t="inlineStr">
        <is>
          <t>ELLIOT</t>
        </is>
      </c>
      <c r="D3728" t="inlineStr">
        <is>
          <t>CIN</t>
        </is>
      </c>
      <c r="E3728" t="inlineStr">
        <is>
          <t>(en blanco)</t>
        </is>
      </c>
      <c r="F3728" t="inlineStr">
        <is>
          <t>D2C</t>
        </is>
      </c>
      <c r="G3728" t="inlineStr">
        <is>
          <t>XS</t>
        </is>
      </c>
      <c r="H3728" t="n">
        <v>10</v>
      </c>
      <c r="I3728" t="inlineStr">
        <is>
          <t>T_TAHARI_124000188_CIN_1.jpg</t>
        </is>
      </c>
      <c r="J3728" t="inlineStr">
        <is>
          <t>T_TAHARI_124000188_CIN_2.jpg</t>
        </is>
      </c>
      <c r="K3728" t="inlineStr">
        <is>
          <t>T_TAHARI_124000188_CIN_3.jpg</t>
        </is>
      </c>
      <c r="L3728">
        <f>IMAGE("file:///E:/Estudios%20y%20certificaciones/ESTUDIOS%20DE%20PROGRAMMING/PROGRAMMING/PERSONAL/PYTHON/Image_Generator_API/imagenes/T_TAHARI_124000188_CIN_1.jpg")</f>
        <v/>
      </c>
      <c r="M3728">
        <f>IMAGE("file:///E:/Estudios%20y%20certificaciones/ESTUDIOS%20DE%20PROGRAMMING/PROGRAMMING/PERSONAL/PYTHON/Image_Generator_API/imagenes/T_TAHARI_124000188_CIN_2.jpg")</f>
        <v/>
      </c>
      <c r="N3728">
        <f>IMAGE("file:///E:/Estudios%20y%20certificaciones/ESTUDIOS%20DE%20PROGRAMMING/PROGRAMMING/PERSONAL/PYTHON/Image_Generator_API/imagenes/T_TAHARI_124000188_CIN_3.jpg")</f>
        <v/>
      </c>
      <c r="O3728">
        <f>HYPERLINK("imagenes/T_TAHARI_124000188_CIN_1.jpg","Ver imagen")</f>
        <v/>
      </c>
      <c r="P3728">
        <f>HYPERLINK("imagenes/T_TAHARI_124000188_CIN_2.jpg","Ver imagen")</f>
        <v/>
      </c>
      <c r="Q3728">
        <f>HYPERLINK("imagenes/T_TAHARI_124000188_CIN_3.jpg","Ver imagen")</f>
        <v/>
      </c>
    </row>
    <row r="3729">
      <c r="A3729" t="inlineStr">
        <is>
          <t>T TAHARI</t>
        </is>
      </c>
      <c r="B3729" t="inlineStr">
        <is>
          <t>124000188</t>
        </is>
      </c>
      <c r="C3729" t="inlineStr">
        <is>
          <t>ELLIOT</t>
        </is>
      </c>
      <c r="D3729" t="inlineStr">
        <is>
          <t>CIN</t>
        </is>
      </c>
      <c r="E3729" t="inlineStr">
        <is>
          <t>(en blanco)</t>
        </is>
      </c>
      <c r="F3729" t="inlineStr">
        <is>
          <t>D2C</t>
        </is>
      </c>
      <c r="G3729" t="inlineStr">
        <is>
          <t>S</t>
        </is>
      </c>
      <c r="H3729" t="n">
        <v>10</v>
      </c>
      <c r="I3729" t="inlineStr">
        <is>
          <t>T_TAHARI_124000188_CIN_1.jpg</t>
        </is>
      </c>
      <c r="J3729" t="inlineStr">
        <is>
          <t>T_TAHARI_124000188_CIN_2.jpg</t>
        </is>
      </c>
      <c r="K3729" t="inlineStr">
        <is>
          <t>T_TAHARI_124000188_CIN_3.jpg</t>
        </is>
      </c>
      <c r="L3729">
        <f>IMAGE("file:///E:/Estudios%20y%20certificaciones/ESTUDIOS%20DE%20PROGRAMMING/PROGRAMMING/PERSONAL/PYTHON/Image_Generator_API/imagenes/T_TAHARI_124000188_CIN_1.jpg")</f>
        <v/>
      </c>
      <c r="M3729">
        <f>IMAGE("file:///E:/Estudios%20y%20certificaciones/ESTUDIOS%20DE%20PROGRAMMING/PROGRAMMING/PERSONAL/PYTHON/Image_Generator_API/imagenes/T_TAHARI_124000188_CIN_2.jpg")</f>
        <v/>
      </c>
      <c r="N3729">
        <f>IMAGE("file:///E:/Estudios%20y%20certificaciones/ESTUDIOS%20DE%20PROGRAMMING/PROGRAMMING/PERSONAL/PYTHON/Image_Generator_API/imagenes/T_TAHARI_124000188_CIN_3.jpg")</f>
        <v/>
      </c>
      <c r="O3729">
        <f>HYPERLINK("imagenes/T_TAHARI_124000188_CIN_1.jpg","Ver imagen")</f>
        <v/>
      </c>
      <c r="P3729">
        <f>HYPERLINK("imagenes/T_TAHARI_124000188_CIN_2.jpg","Ver imagen")</f>
        <v/>
      </c>
      <c r="Q3729">
        <f>HYPERLINK("imagenes/T_TAHARI_124000188_CIN_3.jpg","Ver imagen")</f>
        <v/>
      </c>
    </row>
    <row r="3730">
      <c r="A3730" t="inlineStr">
        <is>
          <t>T TAHARI</t>
        </is>
      </c>
      <c r="B3730" t="inlineStr">
        <is>
          <t>124000188</t>
        </is>
      </c>
      <c r="C3730" t="inlineStr">
        <is>
          <t>ELLIOT</t>
        </is>
      </c>
      <c r="D3730" t="inlineStr">
        <is>
          <t>CIN</t>
        </is>
      </c>
      <c r="E3730" t="inlineStr">
        <is>
          <t>(en blanco)</t>
        </is>
      </c>
      <c r="F3730" t="inlineStr">
        <is>
          <t>D2C</t>
        </is>
      </c>
      <c r="G3730" t="inlineStr">
        <is>
          <t>L</t>
        </is>
      </c>
      <c r="H3730" t="n">
        <v>20</v>
      </c>
      <c r="I3730" t="inlineStr">
        <is>
          <t>T_TAHARI_124000188_CIN_1.jpg</t>
        </is>
      </c>
      <c r="J3730" t="inlineStr">
        <is>
          <t>T_TAHARI_124000188_CIN_2.jpg</t>
        </is>
      </c>
      <c r="K3730" t="inlineStr">
        <is>
          <t>T_TAHARI_124000188_CIN_3.jpg</t>
        </is>
      </c>
      <c r="L3730">
        <f>IMAGE("file:///E:/Estudios%20y%20certificaciones/ESTUDIOS%20DE%20PROGRAMMING/PROGRAMMING/PERSONAL/PYTHON/Image_Generator_API/imagenes/T_TAHARI_124000188_CIN_1.jpg")</f>
        <v/>
      </c>
      <c r="M3730">
        <f>IMAGE("file:///E:/Estudios%20y%20certificaciones/ESTUDIOS%20DE%20PROGRAMMING/PROGRAMMING/PERSONAL/PYTHON/Image_Generator_API/imagenes/T_TAHARI_124000188_CIN_2.jpg")</f>
        <v/>
      </c>
      <c r="N3730">
        <f>IMAGE("file:///E:/Estudios%20y%20certificaciones/ESTUDIOS%20DE%20PROGRAMMING/PROGRAMMING/PERSONAL/PYTHON/Image_Generator_API/imagenes/T_TAHARI_124000188_CIN_3.jpg")</f>
        <v/>
      </c>
      <c r="O3730">
        <f>HYPERLINK("imagenes/T_TAHARI_124000188_CIN_1.jpg","Ver imagen")</f>
        <v/>
      </c>
      <c r="P3730">
        <f>HYPERLINK("imagenes/T_TAHARI_124000188_CIN_2.jpg","Ver imagen")</f>
        <v/>
      </c>
      <c r="Q3730">
        <f>HYPERLINK("imagenes/T_TAHARI_124000188_CIN_3.jpg","Ver imagen")</f>
        <v/>
      </c>
    </row>
    <row r="3731">
      <c r="A3731" t="inlineStr">
        <is>
          <t>T TAHARI</t>
        </is>
      </c>
      <c r="B3731" t="inlineStr">
        <is>
          <t>124000188</t>
        </is>
      </c>
      <c r="C3731" t="inlineStr">
        <is>
          <t>ELLIOT</t>
        </is>
      </c>
      <c r="D3731" t="inlineStr">
        <is>
          <t>CIN</t>
        </is>
      </c>
      <c r="E3731" t="inlineStr">
        <is>
          <t>(en blanco)</t>
        </is>
      </c>
      <c r="F3731" t="inlineStr">
        <is>
          <t>D2C</t>
        </is>
      </c>
      <c r="G3731" t="inlineStr">
        <is>
          <t>XL</t>
        </is>
      </c>
      <c r="H3731" t="n">
        <v>10</v>
      </c>
      <c r="I3731" t="inlineStr">
        <is>
          <t>T_TAHARI_124000188_CIN_1.jpg</t>
        </is>
      </c>
      <c r="J3731" t="inlineStr">
        <is>
          <t>T_TAHARI_124000188_CIN_2.jpg</t>
        </is>
      </c>
      <c r="K3731" t="inlineStr">
        <is>
          <t>T_TAHARI_124000188_CIN_3.jpg</t>
        </is>
      </c>
      <c r="L3731">
        <f>IMAGE("file:///E:/Estudios%20y%20certificaciones/ESTUDIOS%20DE%20PROGRAMMING/PROGRAMMING/PERSONAL/PYTHON/Image_Generator_API/imagenes/T_TAHARI_124000188_CIN_1.jpg")</f>
        <v/>
      </c>
      <c r="M3731">
        <f>IMAGE("file:///E:/Estudios%20y%20certificaciones/ESTUDIOS%20DE%20PROGRAMMING/PROGRAMMING/PERSONAL/PYTHON/Image_Generator_API/imagenes/T_TAHARI_124000188_CIN_2.jpg")</f>
        <v/>
      </c>
      <c r="N3731">
        <f>IMAGE("file:///E:/Estudios%20y%20certificaciones/ESTUDIOS%20DE%20PROGRAMMING/PROGRAMMING/PERSONAL/PYTHON/Image_Generator_API/imagenes/T_TAHARI_124000188_CIN_3.jpg")</f>
        <v/>
      </c>
      <c r="O3731">
        <f>HYPERLINK("imagenes/T_TAHARI_124000188_CIN_1.jpg","Ver imagen")</f>
        <v/>
      </c>
      <c r="P3731">
        <f>HYPERLINK("imagenes/T_TAHARI_124000188_CIN_2.jpg","Ver imagen")</f>
        <v/>
      </c>
      <c r="Q3731">
        <f>HYPERLINK("imagenes/T_TAHARI_124000188_CIN_3.jpg","Ver imagen")</f>
        <v/>
      </c>
    </row>
    <row r="3732">
      <c r="A3732" t="inlineStr">
        <is>
          <t>T TAHARI</t>
        </is>
      </c>
      <c r="B3732" t="inlineStr">
        <is>
          <t>124000188</t>
        </is>
      </c>
      <c r="C3732" t="inlineStr">
        <is>
          <t>ELLIOT</t>
        </is>
      </c>
      <c r="D3732" t="inlineStr">
        <is>
          <t>CIN</t>
        </is>
      </c>
      <c r="E3732" t="inlineStr">
        <is>
          <t>(en blanco)</t>
        </is>
      </c>
      <c r="F3732" t="inlineStr">
        <is>
          <t>(en blanco)</t>
        </is>
      </c>
      <c r="G3732" t="inlineStr">
        <is>
          <t>XS</t>
        </is>
      </c>
      <c r="H3732" t="n">
        <v>77</v>
      </c>
      <c r="I3732" t="inlineStr">
        <is>
          <t>T_TAHARI_124000188_CIN_1.jpg</t>
        </is>
      </c>
      <c r="J3732" t="inlineStr">
        <is>
          <t>T_TAHARI_124000188_CIN_2.jpg</t>
        </is>
      </c>
      <c r="K3732" t="inlineStr">
        <is>
          <t>T_TAHARI_124000188_CIN_3.jpg</t>
        </is>
      </c>
      <c r="L3732">
        <f>IMAGE("file:///E:/Estudios%20y%20certificaciones/ESTUDIOS%20DE%20PROGRAMMING/PROGRAMMING/PERSONAL/PYTHON/Image_Generator_API/imagenes/T_TAHARI_124000188_CIN_1.jpg")</f>
        <v/>
      </c>
      <c r="M3732">
        <f>IMAGE("file:///E:/Estudios%20y%20certificaciones/ESTUDIOS%20DE%20PROGRAMMING/PROGRAMMING/PERSONAL/PYTHON/Image_Generator_API/imagenes/T_TAHARI_124000188_CIN_2.jpg")</f>
        <v/>
      </c>
      <c r="N3732">
        <f>IMAGE("file:///E:/Estudios%20y%20certificaciones/ESTUDIOS%20DE%20PROGRAMMING/PROGRAMMING/PERSONAL/PYTHON/Image_Generator_API/imagenes/T_TAHARI_124000188_CIN_3.jpg")</f>
        <v/>
      </c>
      <c r="O3732">
        <f>HYPERLINK("imagenes/T_TAHARI_124000188_CIN_1.jpg","Ver imagen")</f>
        <v/>
      </c>
      <c r="P3732">
        <f>HYPERLINK("imagenes/T_TAHARI_124000188_CIN_2.jpg","Ver imagen")</f>
        <v/>
      </c>
      <c r="Q3732">
        <f>HYPERLINK("imagenes/T_TAHARI_124000188_CIN_3.jpg","Ver imagen")</f>
        <v/>
      </c>
    </row>
    <row r="3733">
      <c r="A3733" t="inlineStr">
        <is>
          <t>T TAHARI</t>
        </is>
      </c>
      <c r="B3733" t="inlineStr">
        <is>
          <t>124000188</t>
        </is>
      </c>
      <c r="C3733" t="inlineStr">
        <is>
          <t>ELLIOT</t>
        </is>
      </c>
      <c r="D3733" t="inlineStr">
        <is>
          <t>CIN</t>
        </is>
      </c>
      <c r="E3733" t="inlineStr">
        <is>
          <t>(en blanco)</t>
        </is>
      </c>
      <c r="F3733" t="inlineStr">
        <is>
          <t>(en blanco)</t>
        </is>
      </c>
      <c r="G3733" t="inlineStr">
        <is>
          <t>S</t>
        </is>
      </c>
      <c r="H3733" t="n">
        <v>80</v>
      </c>
      <c r="I3733" t="inlineStr">
        <is>
          <t>T_TAHARI_124000188_CIN_1.jpg</t>
        </is>
      </c>
      <c r="J3733" t="inlineStr">
        <is>
          <t>T_TAHARI_124000188_CIN_2.jpg</t>
        </is>
      </c>
      <c r="K3733" t="inlineStr">
        <is>
          <t>T_TAHARI_124000188_CIN_3.jpg</t>
        </is>
      </c>
      <c r="L3733">
        <f>IMAGE("file:///E:/Estudios%20y%20certificaciones/ESTUDIOS%20DE%20PROGRAMMING/PROGRAMMING/PERSONAL/PYTHON/Image_Generator_API/imagenes/T_TAHARI_124000188_CIN_1.jpg")</f>
        <v/>
      </c>
      <c r="M3733">
        <f>IMAGE("file:///E:/Estudios%20y%20certificaciones/ESTUDIOS%20DE%20PROGRAMMING/PROGRAMMING/PERSONAL/PYTHON/Image_Generator_API/imagenes/T_TAHARI_124000188_CIN_2.jpg")</f>
        <v/>
      </c>
      <c r="N3733">
        <f>IMAGE("file:///E:/Estudios%20y%20certificaciones/ESTUDIOS%20DE%20PROGRAMMING/PROGRAMMING/PERSONAL/PYTHON/Image_Generator_API/imagenes/T_TAHARI_124000188_CIN_3.jpg")</f>
        <v/>
      </c>
      <c r="O3733">
        <f>HYPERLINK("imagenes/T_TAHARI_124000188_CIN_1.jpg","Ver imagen")</f>
        <v/>
      </c>
      <c r="P3733">
        <f>HYPERLINK("imagenes/T_TAHARI_124000188_CIN_2.jpg","Ver imagen")</f>
        <v/>
      </c>
      <c r="Q3733">
        <f>HYPERLINK("imagenes/T_TAHARI_124000188_CIN_3.jpg","Ver imagen")</f>
        <v/>
      </c>
    </row>
    <row r="3734">
      <c r="A3734" t="inlineStr">
        <is>
          <t>T TAHARI</t>
        </is>
      </c>
      <c r="B3734" t="inlineStr">
        <is>
          <t>124000188</t>
        </is>
      </c>
      <c r="C3734" t="inlineStr">
        <is>
          <t>ELLIOT</t>
        </is>
      </c>
      <c r="D3734" t="inlineStr">
        <is>
          <t>CIN</t>
        </is>
      </c>
      <c r="E3734" t="inlineStr">
        <is>
          <t>(en blanco)</t>
        </is>
      </c>
      <c r="F3734" t="inlineStr">
        <is>
          <t>(en blanco)</t>
        </is>
      </c>
      <c r="G3734" t="inlineStr">
        <is>
          <t>M</t>
        </is>
      </c>
      <c r="H3734" t="n">
        <v>171</v>
      </c>
      <c r="I3734" t="inlineStr">
        <is>
          <t>T_TAHARI_124000188_CIN_1.jpg</t>
        </is>
      </c>
      <c r="J3734" t="inlineStr">
        <is>
          <t>T_TAHARI_124000188_CIN_2.jpg</t>
        </is>
      </c>
      <c r="K3734" t="inlineStr">
        <is>
          <t>T_TAHARI_124000188_CIN_3.jpg</t>
        </is>
      </c>
      <c r="L3734">
        <f>IMAGE("file:///E:/Estudios%20y%20certificaciones/ESTUDIOS%20DE%20PROGRAMMING/PROGRAMMING/PERSONAL/PYTHON/Image_Generator_API/imagenes/T_TAHARI_124000188_CIN_1.jpg")</f>
        <v/>
      </c>
      <c r="M3734">
        <f>IMAGE("file:///E:/Estudios%20y%20certificaciones/ESTUDIOS%20DE%20PROGRAMMING/PROGRAMMING/PERSONAL/PYTHON/Image_Generator_API/imagenes/T_TAHARI_124000188_CIN_2.jpg")</f>
        <v/>
      </c>
      <c r="N3734">
        <f>IMAGE("file:///E:/Estudios%20y%20certificaciones/ESTUDIOS%20DE%20PROGRAMMING/PROGRAMMING/PERSONAL/PYTHON/Image_Generator_API/imagenes/T_TAHARI_124000188_CIN_3.jpg")</f>
        <v/>
      </c>
      <c r="O3734">
        <f>HYPERLINK("imagenes/T_TAHARI_124000188_CIN_1.jpg","Ver imagen")</f>
        <v/>
      </c>
      <c r="P3734">
        <f>HYPERLINK("imagenes/T_TAHARI_124000188_CIN_2.jpg","Ver imagen")</f>
        <v/>
      </c>
      <c r="Q3734">
        <f>HYPERLINK("imagenes/T_TAHARI_124000188_CIN_3.jpg","Ver imagen")</f>
        <v/>
      </c>
    </row>
    <row r="3735">
      <c r="A3735" t="inlineStr">
        <is>
          <t>T TAHARI</t>
        </is>
      </c>
      <c r="B3735" t="inlineStr">
        <is>
          <t>124000188</t>
        </is>
      </c>
      <c r="C3735" t="inlineStr">
        <is>
          <t>ELLIOT</t>
        </is>
      </c>
      <c r="D3735" t="inlineStr">
        <is>
          <t>CIN</t>
        </is>
      </c>
      <c r="E3735" t="inlineStr">
        <is>
          <t>(en blanco)</t>
        </is>
      </c>
      <c r="F3735" t="inlineStr">
        <is>
          <t>(en blanco)</t>
        </is>
      </c>
      <c r="G3735" t="inlineStr">
        <is>
          <t>L</t>
        </is>
      </c>
      <c r="H3735" t="n">
        <v>144</v>
      </c>
      <c r="I3735" t="inlineStr">
        <is>
          <t>T_TAHARI_124000188_CIN_1.jpg</t>
        </is>
      </c>
      <c r="J3735" t="inlineStr">
        <is>
          <t>T_TAHARI_124000188_CIN_2.jpg</t>
        </is>
      </c>
      <c r="K3735" t="inlineStr">
        <is>
          <t>T_TAHARI_124000188_CIN_3.jpg</t>
        </is>
      </c>
      <c r="L3735">
        <f>IMAGE("file:///E:/Estudios%20y%20certificaciones/ESTUDIOS%20DE%20PROGRAMMING/PROGRAMMING/PERSONAL/PYTHON/Image_Generator_API/imagenes/T_TAHARI_124000188_CIN_1.jpg")</f>
        <v/>
      </c>
      <c r="M3735">
        <f>IMAGE("file:///E:/Estudios%20y%20certificaciones/ESTUDIOS%20DE%20PROGRAMMING/PROGRAMMING/PERSONAL/PYTHON/Image_Generator_API/imagenes/T_TAHARI_124000188_CIN_2.jpg")</f>
        <v/>
      </c>
      <c r="N3735">
        <f>IMAGE("file:///E:/Estudios%20y%20certificaciones/ESTUDIOS%20DE%20PROGRAMMING/PROGRAMMING/PERSONAL/PYTHON/Image_Generator_API/imagenes/T_TAHARI_124000188_CIN_3.jpg")</f>
        <v/>
      </c>
      <c r="O3735">
        <f>HYPERLINK("imagenes/T_TAHARI_124000188_CIN_1.jpg","Ver imagen")</f>
        <v/>
      </c>
      <c r="P3735">
        <f>HYPERLINK("imagenes/T_TAHARI_124000188_CIN_2.jpg","Ver imagen")</f>
        <v/>
      </c>
      <c r="Q3735">
        <f>HYPERLINK("imagenes/T_TAHARI_124000188_CIN_3.jpg","Ver imagen")</f>
        <v/>
      </c>
    </row>
    <row r="3736">
      <c r="A3736" t="inlineStr">
        <is>
          <t>T TAHARI</t>
        </is>
      </c>
      <c r="B3736" t="inlineStr">
        <is>
          <t>124000188</t>
        </is>
      </c>
      <c r="C3736" t="inlineStr">
        <is>
          <t>ELLIOT</t>
        </is>
      </c>
      <c r="D3736" t="inlineStr">
        <is>
          <t>CIN</t>
        </is>
      </c>
      <c r="E3736" t="inlineStr">
        <is>
          <t>(en blanco)</t>
        </is>
      </c>
      <c r="F3736" t="inlineStr">
        <is>
          <t>(en blanco)</t>
        </is>
      </c>
      <c r="G3736" t="inlineStr">
        <is>
          <t>XL</t>
        </is>
      </c>
      <c r="H3736" t="n">
        <v>77</v>
      </c>
      <c r="I3736" t="inlineStr">
        <is>
          <t>T_TAHARI_124000188_CIN_1.jpg</t>
        </is>
      </c>
      <c r="J3736" t="inlineStr">
        <is>
          <t>T_TAHARI_124000188_CIN_2.jpg</t>
        </is>
      </c>
      <c r="K3736" t="inlineStr">
        <is>
          <t>T_TAHARI_124000188_CIN_3.jpg</t>
        </is>
      </c>
      <c r="L3736">
        <f>IMAGE("file:///E:/Estudios%20y%20certificaciones/ESTUDIOS%20DE%20PROGRAMMING/PROGRAMMING/PERSONAL/PYTHON/Image_Generator_API/imagenes/T_TAHARI_124000188_CIN_1.jpg")</f>
        <v/>
      </c>
      <c r="M3736">
        <f>IMAGE("file:///E:/Estudios%20y%20certificaciones/ESTUDIOS%20DE%20PROGRAMMING/PROGRAMMING/PERSONAL/PYTHON/Image_Generator_API/imagenes/T_TAHARI_124000188_CIN_2.jpg")</f>
        <v/>
      </c>
      <c r="N3736">
        <f>IMAGE("file:///E:/Estudios%20y%20certificaciones/ESTUDIOS%20DE%20PROGRAMMING/PROGRAMMING/PERSONAL/PYTHON/Image_Generator_API/imagenes/T_TAHARI_124000188_CIN_3.jpg")</f>
        <v/>
      </c>
      <c r="O3736">
        <f>HYPERLINK("imagenes/T_TAHARI_124000188_CIN_1.jpg","Ver imagen")</f>
        <v/>
      </c>
      <c r="P3736">
        <f>HYPERLINK("imagenes/T_TAHARI_124000188_CIN_2.jpg","Ver imagen")</f>
        <v/>
      </c>
      <c r="Q3736">
        <f>HYPERLINK("imagenes/T_TAHARI_124000188_CIN_3.jpg","Ver imagen")</f>
        <v/>
      </c>
    </row>
    <row r="3737">
      <c r="A3737" t="inlineStr">
        <is>
          <t>T TAHARI</t>
        </is>
      </c>
      <c r="B3737" t="inlineStr">
        <is>
          <t>124000188</t>
        </is>
      </c>
      <c r="C3737" t="inlineStr">
        <is>
          <t>ELLIOT</t>
        </is>
      </c>
      <c r="D3737" t="inlineStr">
        <is>
          <t>CIN</t>
        </is>
      </c>
      <c r="E3737" t="inlineStr">
        <is>
          <t>(en blanco)</t>
        </is>
      </c>
      <c r="F3737" t="inlineStr">
        <is>
          <t>(en blanco)</t>
        </is>
      </c>
      <c r="G3737" t="inlineStr">
        <is>
          <t>XXL</t>
        </is>
      </c>
      <c r="H3737" t="n">
        <v>54</v>
      </c>
      <c r="I3737" t="inlineStr">
        <is>
          <t>T_TAHARI_124000188_CIN_1.jpg</t>
        </is>
      </c>
      <c r="J3737" t="inlineStr">
        <is>
          <t>T_TAHARI_124000188_CIN_2.jpg</t>
        </is>
      </c>
      <c r="K3737" t="inlineStr">
        <is>
          <t>T_TAHARI_124000188_CIN_3.jpg</t>
        </is>
      </c>
      <c r="L3737">
        <f>IMAGE("file:///E:/Estudios%20y%20certificaciones/ESTUDIOS%20DE%20PROGRAMMING/PROGRAMMING/PERSONAL/PYTHON/Image_Generator_API/imagenes/T_TAHARI_124000188_CIN_1.jpg")</f>
        <v/>
      </c>
      <c r="M3737">
        <f>IMAGE("file:///E:/Estudios%20y%20certificaciones/ESTUDIOS%20DE%20PROGRAMMING/PROGRAMMING/PERSONAL/PYTHON/Image_Generator_API/imagenes/T_TAHARI_124000188_CIN_2.jpg")</f>
        <v/>
      </c>
      <c r="N3737">
        <f>IMAGE("file:///E:/Estudios%20y%20certificaciones/ESTUDIOS%20DE%20PROGRAMMING/PROGRAMMING/PERSONAL/PYTHON/Image_Generator_API/imagenes/T_TAHARI_124000188_CIN_3.jpg")</f>
        <v/>
      </c>
      <c r="O3737">
        <f>HYPERLINK("imagenes/T_TAHARI_124000188_CIN_1.jpg","Ver imagen")</f>
        <v/>
      </c>
      <c r="P3737">
        <f>HYPERLINK("imagenes/T_TAHARI_124000188_CIN_2.jpg","Ver imagen")</f>
        <v/>
      </c>
      <c r="Q3737">
        <f>HYPERLINK("imagenes/T_TAHARI_124000188_CIN_3.jpg","Ver imagen")</f>
        <v/>
      </c>
    </row>
    <row r="3738">
      <c r="A3738" t="inlineStr">
        <is>
          <t>T TAHARI</t>
        </is>
      </c>
      <c r="B3738" t="inlineStr">
        <is>
          <t>124000188</t>
        </is>
      </c>
      <c r="C3738" t="inlineStr">
        <is>
          <t>ELLIOT</t>
        </is>
      </c>
      <c r="D3738" t="inlineStr">
        <is>
          <t>CIN</t>
        </is>
      </c>
      <c r="E3738" t="inlineStr">
        <is>
          <t>(en blanco)</t>
        </is>
      </c>
      <c r="F3738" t="inlineStr">
        <is>
          <t>(en blanco)</t>
        </is>
      </c>
      <c r="G3738" t="inlineStr">
        <is>
          <t>XXS</t>
        </is>
      </c>
      <c r="H3738" t="n">
        <v>30</v>
      </c>
      <c r="I3738" t="inlineStr">
        <is>
          <t>T_TAHARI_124000188_CIN_1.jpg</t>
        </is>
      </c>
      <c r="J3738" t="inlineStr">
        <is>
          <t>T_TAHARI_124000188_CIN_2.jpg</t>
        </is>
      </c>
      <c r="K3738" t="inlineStr">
        <is>
          <t>T_TAHARI_124000188_CIN_3.jpg</t>
        </is>
      </c>
      <c r="L3738">
        <f>IMAGE("file:///E:/Estudios%20y%20certificaciones/ESTUDIOS%20DE%20PROGRAMMING/PROGRAMMING/PERSONAL/PYTHON/Image_Generator_API/imagenes/T_TAHARI_124000188_CIN_1.jpg")</f>
        <v/>
      </c>
      <c r="M3738">
        <f>IMAGE("file:///E:/Estudios%20y%20certificaciones/ESTUDIOS%20DE%20PROGRAMMING/PROGRAMMING/PERSONAL/PYTHON/Image_Generator_API/imagenes/T_TAHARI_124000188_CIN_2.jpg")</f>
        <v/>
      </c>
      <c r="N3738">
        <f>IMAGE("file:///E:/Estudios%20y%20certificaciones/ESTUDIOS%20DE%20PROGRAMMING/PROGRAMMING/PERSONAL/PYTHON/Image_Generator_API/imagenes/T_TAHARI_124000188_CIN_3.jpg")</f>
        <v/>
      </c>
      <c r="O3738">
        <f>HYPERLINK("imagenes/T_TAHARI_124000188_CIN_1.jpg","Ver imagen")</f>
        <v/>
      </c>
      <c r="P3738">
        <f>HYPERLINK("imagenes/T_TAHARI_124000188_CIN_2.jpg","Ver imagen")</f>
        <v/>
      </c>
      <c r="Q3738">
        <f>HYPERLINK("imagenes/T_TAHARI_124000188_CIN_3.jpg","Ver imagen")</f>
        <v/>
      </c>
    </row>
    <row r="3739">
      <c r="A3739" t="inlineStr">
        <is>
          <t>T TAHARI</t>
        </is>
      </c>
      <c r="B3739" t="inlineStr">
        <is>
          <t>124000188</t>
        </is>
      </c>
      <c r="C3739" t="inlineStr">
        <is>
          <t>ELLIOT</t>
        </is>
      </c>
      <c r="D3739" t="inlineStr">
        <is>
          <t>OTM</t>
        </is>
      </c>
      <c r="E3739" t="inlineStr">
        <is>
          <t>(en blanco)</t>
        </is>
      </c>
      <c r="F3739" t="inlineStr">
        <is>
          <t>D2C</t>
        </is>
      </c>
      <c r="G3739" t="inlineStr">
        <is>
          <t>XS</t>
        </is>
      </c>
      <c r="H3739" t="n">
        <v>3</v>
      </c>
      <c r="I3739" t="inlineStr">
        <is>
          <t>T_TAHARI_124000188_OTM_1.jpg</t>
        </is>
      </c>
      <c r="J3739" t="inlineStr">
        <is>
          <t>T_TAHARI_124000188_OTM_2.jpg</t>
        </is>
      </c>
      <c r="K3739" t="inlineStr">
        <is>
          <t>T_TAHARI_124000188_OTM_3.jpg</t>
        </is>
      </c>
      <c r="L3739">
        <f>IMAGE("file:///E:/Estudios%20y%20certificaciones/ESTUDIOS%20DE%20PROGRAMMING/PROGRAMMING/PERSONAL/PYTHON/Image_Generator_API/imagenes/T_TAHARI_124000188_OTM_1.jpg")</f>
        <v/>
      </c>
      <c r="M3739">
        <f>IMAGE("file:///E:/Estudios%20y%20certificaciones/ESTUDIOS%20DE%20PROGRAMMING/PROGRAMMING/PERSONAL/PYTHON/Image_Generator_API/imagenes/T_TAHARI_124000188_OTM_2.jpg")</f>
        <v/>
      </c>
      <c r="N3739">
        <f>IMAGE("file:///E:/Estudios%20y%20certificaciones/ESTUDIOS%20DE%20PROGRAMMING/PROGRAMMING/PERSONAL/PYTHON/Image_Generator_API/imagenes/T_TAHARI_124000188_OTM_3.jpg")</f>
        <v/>
      </c>
      <c r="O3739">
        <f>HYPERLINK("imagenes/T_TAHARI_124000188_OTM_1.jpg","Ver imagen")</f>
        <v/>
      </c>
      <c r="P3739">
        <f>HYPERLINK("imagenes/T_TAHARI_124000188_OTM_2.jpg","Ver imagen")</f>
        <v/>
      </c>
      <c r="Q3739">
        <f>HYPERLINK("imagenes/T_TAHARI_124000188_OTM_3.jpg","Ver imagen")</f>
        <v/>
      </c>
    </row>
    <row r="3740">
      <c r="A3740" t="inlineStr">
        <is>
          <t>T TAHARI</t>
        </is>
      </c>
      <c r="B3740" t="inlineStr">
        <is>
          <t>124000188</t>
        </is>
      </c>
      <c r="C3740" t="inlineStr">
        <is>
          <t>ELLIOT</t>
        </is>
      </c>
      <c r="D3740" t="inlineStr">
        <is>
          <t>OTM</t>
        </is>
      </c>
      <c r="E3740" t="inlineStr">
        <is>
          <t>(en blanco)</t>
        </is>
      </c>
      <c r="F3740" t="inlineStr">
        <is>
          <t>D2C</t>
        </is>
      </c>
      <c r="G3740" t="inlineStr">
        <is>
          <t>S</t>
        </is>
      </c>
      <c r="H3740" t="n">
        <v>16</v>
      </c>
      <c r="I3740" t="inlineStr">
        <is>
          <t>T_TAHARI_124000188_OTM_1.jpg</t>
        </is>
      </c>
      <c r="J3740" t="inlineStr">
        <is>
          <t>T_TAHARI_124000188_OTM_2.jpg</t>
        </is>
      </c>
      <c r="K3740" t="inlineStr">
        <is>
          <t>T_TAHARI_124000188_OTM_3.jpg</t>
        </is>
      </c>
      <c r="L3740">
        <f>IMAGE("file:///E:/Estudios%20y%20certificaciones/ESTUDIOS%20DE%20PROGRAMMING/PROGRAMMING/PERSONAL/PYTHON/Image_Generator_API/imagenes/T_TAHARI_124000188_OTM_1.jpg")</f>
        <v/>
      </c>
      <c r="M3740">
        <f>IMAGE("file:///E:/Estudios%20y%20certificaciones/ESTUDIOS%20DE%20PROGRAMMING/PROGRAMMING/PERSONAL/PYTHON/Image_Generator_API/imagenes/T_TAHARI_124000188_OTM_2.jpg")</f>
        <v/>
      </c>
      <c r="N3740">
        <f>IMAGE("file:///E:/Estudios%20y%20certificaciones/ESTUDIOS%20DE%20PROGRAMMING/PROGRAMMING/PERSONAL/PYTHON/Image_Generator_API/imagenes/T_TAHARI_124000188_OTM_3.jpg")</f>
        <v/>
      </c>
      <c r="O3740">
        <f>HYPERLINK("imagenes/T_TAHARI_124000188_OTM_1.jpg","Ver imagen")</f>
        <v/>
      </c>
      <c r="P3740">
        <f>HYPERLINK("imagenes/T_TAHARI_124000188_OTM_2.jpg","Ver imagen")</f>
        <v/>
      </c>
      <c r="Q3740">
        <f>HYPERLINK("imagenes/T_TAHARI_124000188_OTM_3.jpg","Ver imagen")</f>
        <v/>
      </c>
    </row>
    <row r="3741">
      <c r="A3741" t="inlineStr">
        <is>
          <t>T TAHARI</t>
        </is>
      </c>
      <c r="B3741" t="inlineStr">
        <is>
          <t>124000188</t>
        </is>
      </c>
      <c r="C3741" t="inlineStr">
        <is>
          <t>ELLIOT</t>
        </is>
      </c>
      <c r="D3741" t="inlineStr">
        <is>
          <t>OTM</t>
        </is>
      </c>
      <c r="E3741" t="inlineStr">
        <is>
          <t>(en blanco)</t>
        </is>
      </c>
      <c r="F3741" t="inlineStr">
        <is>
          <t>D2C</t>
        </is>
      </c>
      <c r="G3741" t="inlineStr">
        <is>
          <t>M</t>
        </is>
      </c>
      <c r="H3741" t="n">
        <v>17</v>
      </c>
      <c r="I3741" t="inlineStr">
        <is>
          <t>T_TAHARI_124000188_OTM_1.jpg</t>
        </is>
      </c>
      <c r="J3741" t="inlineStr">
        <is>
          <t>T_TAHARI_124000188_OTM_2.jpg</t>
        </is>
      </c>
      <c r="K3741" t="inlineStr">
        <is>
          <t>T_TAHARI_124000188_OTM_3.jpg</t>
        </is>
      </c>
      <c r="L3741">
        <f>IMAGE("file:///E:/Estudios%20y%20certificaciones/ESTUDIOS%20DE%20PROGRAMMING/PROGRAMMING/PERSONAL/PYTHON/Image_Generator_API/imagenes/T_TAHARI_124000188_OTM_1.jpg")</f>
        <v/>
      </c>
      <c r="M3741">
        <f>IMAGE("file:///E:/Estudios%20y%20certificaciones/ESTUDIOS%20DE%20PROGRAMMING/PROGRAMMING/PERSONAL/PYTHON/Image_Generator_API/imagenes/T_TAHARI_124000188_OTM_2.jpg")</f>
        <v/>
      </c>
      <c r="N3741">
        <f>IMAGE("file:///E:/Estudios%20y%20certificaciones/ESTUDIOS%20DE%20PROGRAMMING/PROGRAMMING/PERSONAL/PYTHON/Image_Generator_API/imagenes/T_TAHARI_124000188_OTM_3.jpg")</f>
        <v/>
      </c>
      <c r="O3741">
        <f>HYPERLINK("imagenes/T_TAHARI_124000188_OTM_1.jpg","Ver imagen")</f>
        <v/>
      </c>
      <c r="P3741">
        <f>HYPERLINK("imagenes/T_TAHARI_124000188_OTM_2.jpg","Ver imagen")</f>
        <v/>
      </c>
      <c r="Q3741">
        <f>HYPERLINK("imagenes/T_TAHARI_124000188_OTM_3.jpg","Ver imagen")</f>
        <v/>
      </c>
    </row>
    <row r="3742">
      <c r="A3742" t="inlineStr">
        <is>
          <t>T TAHARI</t>
        </is>
      </c>
      <c r="B3742" t="inlineStr">
        <is>
          <t>124000188</t>
        </is>
      </c>
      <c r="C3742" t="inlineStr">
        <is>
          <t>ELLIOT</t>
        </is>
      </c>
      <c r="D3742" t="inlineStr">
        <is>
          <t>OTM</t>
        </is>
      </c>
      <c r="E3742" t="inlineStr">
        <is>
          <t>(en blanco)</t>
        </is>
      </c>
      <c r="F3742" t="inlineStr">
        <is>
          <t>D2C</t>
        </is>
      </c>
      <c r="G3742" t="inlineStr">
        <is>
          <t>L</t>
        </is>
      </c>
      <c r="H3742" t="n">
        <v>22</v>
      </c>
      <c r="I3742" t="inlineStr">
        <is>
          <t>T_TAHARI_124000188_OTM_1.jpg</t>
        </is>
      </c>
      <c r="J3742" t="inlineStr">
        <is>
          <t>T_TAHARI_124000188_OTM_2.jpg</t>
        </is>
      </c>
      <c r="K3742" t="inlineStr">
        <is>
          <t>T_TAHARI_124000188_OTM_3.jpg</t>
        </is>
      </c>
      <c r="L3742">
        <f>IMAGE("file:///E:/Estudios%20y%20certificaciones/ESTUDIOS%20DE%20PROGRAMMING/PROGRAMMING/PERSONAL/PYTHON/Image_Generator_API/imagenes/T_TAHARI_124000188_OTM_1.jpg")</f>
        <v/>
      </c>
      <c r="M3742">
        <f>IMAGE("file:///E:/Estudios%20y%20certificaciones/ESTUDIOS%20DE%20PROGRAMMING/PROGRAMMING/PERSONAL/PYTHON/Image_Generator_API/imagenes/T_TAHARI_124000188_OTM_2.jpg")</f>
        <v/>
      </c>
      <c r="N3742">
        <f>IMAGE("file:///E:/Estudios%20y%20certificaciones/ESTUDIOS%20DE%20PROGRAMMING/PROGRAMMING/PERSONAL/PYTHON/Image_Generator_API/imagenes/T_TAHARI_124000188_OTM_3.jpg")</f>
        <v/>
      </c>
      <c r="O3742">
        <f>HYPERLINK("imagenes/T_TAHARI_124000188_OTM_1.jpg","Ver imagen")</f>
        <v/>
      </c>
      <c r="P3742">
        <f>HYPERLINK("imagenes/T_TAHARI_124000188_OTM_2.jpg","Ver imagen")</f>
        <v/>
      </c>
      <c r="Q3742">
        <f>HYPERLINK("imagenes/T_TAHARI_124000188_OTM_3.jpg","Ver imagen")</f>
        <v/>
      </c>
    </row>
    <row r="3743">
      <c r="A3743" t="inlineStr">
        <is>
          <t>T TAHARI</t>
        </is>
      </c>
      <c r="B3743" t="inlineStr">
        <is>
          <t>124000188</t>
        </is>
      </c>
      <c r="C3743" t="inlineStr">
        <is>
          <t>ELLIOT</t>
        </is>
      </c>
      <c r="D3743" t="inlineStr">
        <is>
          <t>OTM</t>
        </is>
      </c>
      <c r="E3743" t="inlineStr">
        <is>
          <t>(en blanco)</t>
        </is>
      </c>
      <c r="F3743" t="inlineStr">
        <is>
          <t>D2C</t>
        </is>
      </c>
      <c r="G3743" t="inlineStr">
        <is>
          <t>XL</t>
        </is>
      </c>
      <c r="H3743" t="n">
        <v>12</v>
      </c>
      <c r="I3743" t="inlineStr">
        <is>
          <t>T_TAHARI_124000188_OTM_1.jpg</t>
        </is>
      </c>
      <c r="J3743" t="inlineStr">
        <is>
          <t>T_TAHARI_124000188_OTM_2.jpg</t>
        </is>
      </c>
      <c r="K3743" t="inlineStr">
        <is>
          <t>T_TAHARI_124000188_OTM_3.jpg</t>
        </is>
      </c>
      <c r="L3743">
        <f>IMAGE("file:///E:/Estudios%20y%20certificaciones/ESTUDIOS%20DE%20PROGRAMMING/PROGRAMMING/PERSONAL/PYTHON/Image_Generator_API/imagenes/T_TAHARI_124000188_OTM_1.jpg")</f>
        <v/>
      </c>
      <c r="M3743">
        <f>IMAGE("file:///E:/Estudios%20y%20certificaciones/ESTUDIOS%20DE%20PROGRAMMING/PROGRAMMING/PERSONAL/PYTHON/Image_Generator_API/imagenes/T_TAHARI_124000188_OTM_2.jpg")</f>
        <v/>
      </c>
      <c r="N3743">
        <f>IMAGE("file:///E:/Estudios%20y%20certificaciones/ESTUDIOS%20DE%20PROGRAMMING/PROGRAMMING/PERSONAL/PYTHON/Image_Generator_API/imagenes/T_TAHARI_124000188_OTM_3.jpg")</f>
        <v/>
      </c>
      <c r="O3743">
        <f>HYPERLINK("imagenes/T_TAHARI_124000188_OTM_1.jpg","Ver imagen")</f>
        <v/>
      </c>
      <c r="P3743">
        <f>HYPERLINK("imagenes/T_TAHARI_124000188_OTM_2.jpg","Ver imagen")</f>
        <v/>
      </c>
      <c r="Q3743">
        <f>HYPERLINK("imagenes/T_TAHARI_124000188_OTM_3.jpg","Ver imagen")</f>
        <v/>
      </c>
    </row>
    <row r="3744">
      <c r="A3744" t="inlineStr">
        <is>
          <t>T TAHARI</t>
        </is>
      </c>
      <c r="B3744" t="inlineStr">
        <is>
          <t>124000188</t>
        </is>
      </c>
      <c r="C3744" t="inlineStr">
        <is>
          <t>ELLIOT</t>
        </is>
      </c>
      <c r="D3744" t="inlineStr">
        <is>
          <t>OTM</t>
        </is>
      </c>
      <c r="E3744" t="inlineStr">
        <is>
          <t>(en blanco)</t>
        </is>
      </c>
      <c r="F3744" t="inlineStr">
        <is>
          <t>(en blanco)</t>
        </is>
      </c>
      <c r="G3744" t="inlineStr">
        <is>
          <t>XS</t>
        </is>
      </c>
      <c r="H3744" t="n">
        <v>34</v>
      </c>
      <c r="I3744" t="inlineStr">
        <is>
          <t>T_TAHARI_124000188_OTM_1.jpg</t>
        </is>
      </c>
      <c r="J3744" t="inlineStr">
        <is>
          <t>T_TAHARI_124000188_OTM_2.jpg</t>
        </is>
      </c>
      <c r="K3744" t="inlineStr">
        <is>
          <t>T_TAHARI_124000188_OTM_3.jpg</t>
        </is>
      </c>
      <c r="L3744">
        <f>IMAGE("file:///E:/Estudios%20y%20certificaciones/ESTUDIOS%20DE%20PROGRAMMING/PROGRAMMING/PERSONAL/PYTHON/Image_Generator_API/imagenes/T_TAHARI_124000188_OTM_1.jpg")</f>
        <v/>
      </c>
      <c r="M3744">
        <f>IMAGE("file:///E:/Estudios%20y%20certificaciones/ESTUDIOS%20DE%20PROGRAMMING/PROGRAMMING/PERSONAL/PYTHON/Image_Generator_API/imagenes/T_TAHARI_124000188_OTM_2.jpg")</f>
        <v/>
      </c>
      <c r="N3744">
        <f>IMAGE("file:///E:/Estudios%20y%20certificaciones/ESTUDIOS%20DE%20PROGRAMMING/PROGRAMMING/PERSONAL/PYTHON/Image_Generator_API/imagenes/T_TAHARI_124000188_OTM_3.jpg")</f>
        <v/>
      </c>
      <c r="O3744">
        <f>HYPERLINK("imagenes/T_TAHARI_124000188_OTM_1.jpg","Ver imagen")</f>
        <v/>
      </c>
      <c r="P3744">
        <f>HYPERLINK("imagenes/T_TAHARI_124000188_OTM_2.jpg","Ver imagen")</f>
        <v/>
      </c>
      <c r="Q3744">
        <f>HYPERLINK("imagenes/T_TAHARI_124000188_OTM_3.jpg","Ver imagen")</f>
        <v/>
      </c>
    </row>
    <row r="3745">
      <c r="A3745" t="inlineStr">
        <is>
          <t>T TAHARI</t>
        </is>
      </c>
      <c r="B3745" t="inlineStr">
        <is>
          <t>124000188</t>
        </is>
      </c>
      <c r="C3745" t="inlineStr">
        <is>
          <t>ELLIOT</t>
        </is>
      </c>
      <c r="D3745" t="inlineStr">
        <is>
          <t>OTM</t>
        </is>
      </c>
      <c r="E3745" t="inlineStr">
        <is>
          <t>(en blanco)</t>
        </is>
      </c>
      <c r="F3745" t="inlineStr">
        <is>
          <t>(en blanco)</t>
        </is>
      </c>
      <c r="G3745" t="inlineStr">
        <is>
          <t>S</t>
        </is>
      </c>
      <c r="H3745" t="n">
        <v>74</v>
      </c>
      <c r="I3745" t="inlineStr">
        <is>
          <t>T_TAHARI_124000188_OTM_1.jpg</t>
        </is>
      </c>
      <c r="J3745" t="inlineStr">
        <is>
          <t>T_TAHARI_124000188_OTM_2.jpg</t>
        </is>
      </c>
      <c r="K3745" t="inlineStr">
        <is>
          <t>T_TAHARI_124000188_OTM_3.jpg</t>
        </is>
      </c>
      <c r="L3745">
        <f>IMAGE("file:///E:/Estudios%20y%20certificaciones/ESTUDIOS%20DE%20PROGRAMMING/PROGRAMMING/PERSONAL/PYTHON/Image_Generator_API/imagenes/T_TAHARI_124000188_OTM_1.jpg")</f>
        <v/>
      </c>
      <c r="M3745">
        <f>IMAGE("file:///E:/Estudios%20y%20certificaciones/ESTUDIOS%20DE%20PROGRAMMING/PROGRAMMING/PERSONAL/PYTHON/Image_Generator_API/imagenes/T_TAHARI_124000188_OTM_2.jpg")</f>
        <v/>
      </c>
      <c r="N3745">
        <f>IMAGE("file:///E:/Estudios%20y%20certificaciones/ESTUDIOS%20DE%20PROGRAMMING/PROGRAMMING/PERSONAL/PYTHON/Image_Generator_API/imagenes/T_TAHARI_124000188_OTM_3.jpg")</f>
        <v/>
      </c>
      <c r="O3745">
        <f>HYPERLINK("imagenes/T_TAHARI_124000188_OTM_1.jpg","Ver imagen")</f>
        <v/>
      </c>
      <c r="P3745">
        <f>HYPERLINK("imagenes/T_TAHARI_124000188_OTM_2.jpg","Ver imagen")</f>
        <v/>
      </c>
      <c r="Q3745">
        <f>HYPERLINK("imagenes/T_TAHARI_124000188_OTM_3.jpg","Ver imagen")</f>
        <v/>
      </c>
    </row>
    <row r="3746">
      <c r="A3746" t="inlineStr">
        <is>
          <t>T TAHARI</t>
        </is>
      </c>
      <c r="B3746" t="inlineStr">
        <is>
          <t>124000188</t>
        </is>
      </c>
      <c r="C3746" t="inlineStr">
        <is>
          <t>ELLIOT</t>
        </is>
      </c>
      <c r="D3746" t="inlineStr">
        <is>
          <t>OTM</t>
        </is>
      </c>
      <c r="E3746" t="inlineStr">
        <is>
          <t>(en blanco)</t>
        </is>
      </c>
      <c r="F3746" t="inlineStr">
        <is>
          <t>(en blanco)</t>
        </is>
      </c>
      <c r="G3746" t="inlineStr">
        <is>
          <t>M</t>
        </is>
      </c>
      <c r="H3746" t="n">
        <v>66</v>
      </c>
      <c r="I3746" t="inlineStr">
        <is>
          <t>T_TAHARI_124000188_OTM_1.jpg</t>
        </is>
      </c>
      <c r="J3746" t="inlineStr">
        <is>
          <t>T_TAHARI_124000188_OTM_2.jpg</t>
        </is>
      </c>
      <c r="K3746" t="inlineStr">
        <is>
          <t>T_TAHARI_124000188_OTM_3.jpg</t>
        </is>
      </c>
      <c r="L3746">
        <f>IMAGE("file:///E:/Estudios%20y%20certificaciones/ESTUDIOS%20DE%20PROGRAMMING/PROGRAMMING/PERSONAL/PYTHON/Image_Generator_API/imagenes/T_TAHARI_124000188_OTM_1.jpg")</f>
        <v/>
      </c>
      <c r="M3746">
        <f>IMAGE("file:///E:/Estudios%20y%20certificaciones/ESTUDIOS%20DE%20PROGRAMMING/PROGRAMMING/PERSONAL/PYTHON/Image_Generator_API/imagenes/T_TAHARI_124000188_OTM_2.jpg")</f>
        <v/>
      </c>
      <c r="N3746">
        <f>IMAGE("file:///E:/Estudios%20y%20certificaciones/ESTUDIOS%20DE%20PROGRAMMING/PROGRAMMING/PERSONAL/PYTHON/Image_Generator_API/imagenes/T_TAHARI_124000188_OTM_3.jpg")</f>
        <v/>
      </c>
      <c r="O3746">
        <f>HYPERLINK("imagenes/T_TAHARI_124000188_OTM_1.jpg","Ver imagen")</f>
        <v/>
      </c>
      <c r="P3746">
        <f>HYPERLINK("imagenes/T_TAHARI_124000188_OTM_2.jpg","Ver imagen")</f>
        <v/>
      </c>
      <c r="Q3746">
        <f>HYPERLINK("imagenes/T_TAHARI_124000188_OTM_3.jpg","Ver imagen")</f>
        <v/>
      </c>
    </row>
    <row r="3747">
      <c r="A3747" t="inlineStr">
        <is>
          <t>T TAHARI</t>
        </is>
      </c>
      <c r="B3747" t="inlineStr">
        <is>
          <t>124000188</t>
        </is>
      </c>
      <c r="C3747" t="inlineStr">
        <is>
          <t>ELLIOT</t>
        </is>
      </c>
      <c r="D3747" t="inlineStr">
        <is>
          <t>OTM</t>
        </is>
      </c>
      <c r="E3747" t="inlineStr">
        <is>
          <t>(en blanco)</t>
        </is>
      </c>
      <c r="F3747" t="inlineStr">
        <is>
          <t>(en blanco)</t>
        </is>
      </c>
      <c r="G3747" t="inlineStr">
        <is>
          <t>L</t>
        </is>
      </c>
      <c r="H3747" t="n">
        <v>56</v>
      </c>
      <c r="I3747" t="inlineStr">
        <is>
          <t>T_TAHARI_124000188_OTM_1.jpg</t>
        </is>
      </c>
      <c r="J3747" t="inlineStr">
        <is>
          <t>T_TAHARI_124000188_OTM_2.jpg</t>
        </is>
      </c>
      <c r="K3747" t="inlineStr">
        <is>
          <t>T_TAHARI_124000188_OTM_3.jpg</t>
        </is>
      </c>
      <c r="L3747">
        <f>IMAGE("file:///E:/Estudios%20y%20certificaciones/ESTUDIOS%20DE%20PROGRAMMING/PROGRAMMING/PERSONAL/PYTHON/Image_Generator_API/imagenes/T_TAHARI_124000188_OTM_1.jpg")</f>
        <v/>
      </c>
      <c r="M3747">
        <f>IMAGE("file:///E:/Estudios%20y%20certificaciones/ESTUDIOS%20DE%20PROGRAMMING/PROGRAMMING/PERSONAL/PYTHON/Image_Generator_API/imagenes/T_TAHARI_124000188_OTM_2.jpg")</f>
        <v/>
      </c>
      <c r="N3747">
        <f>IMAGE("file:///E:/Estudios%20y%20certificaciones/ESTUDIOS%20DE%20PROGRAMMING/PROGRAMMING/PERSONAL/PYTHON/Image_Generator_API/imagenes/T_TAHARI_124000188_OTM_3.jpg")</f>
        <v/>
      </c>
      <c r="O3747">
        <f>HYPERLINK("imagenes/T_TAHARI_124000188_OTM_1.jpg","Ver imagen")</f>
        <v/>
      </c>
      <c r="P3747">
        <f>HYPERLINK("imagenes/T_TAHARI_124000188_OTM_2.jpg","Ver imagen")</f>
        <v/>
      </c>
      <c r="Q3747">
        <f>HYPERLINK("imagenes/T_TAHARI_124000188_OTM_3.jpg","Ver imagen")</f>
        <v/>
      </c>
    </row>
    <row r="3748">
      <c r="A3748" t="inlineStr">
        <is>
          <t>T TAHARI</t>
        </is>
      </c>
      <c r="B3748" t="inlineStr">
        <is>
          <t>124000188</t>
        </is>
      </c>
      <c r="C3748" t="inlineStr">
        <is>
          <t>ELLIOT</t>
        </is>
      </c>
      <c r="D3748" t="inlineStr">
        <is>
          <t>OTM</t>
        </is>
      </c>
      <c r="E3748" t="inlineStr">
        <is>
          <t>(en blanco)</t>
        </is>
      </c>
      <c r="F3748" t="inlineStr">
        <is>
          <t>(en blanco)</t>
        </is>
      </c>
      <c r="G3748" t="inlineStr">
        <is>
          <t>XL</t>
        </is>
      </c>
      <c r="H3748" t="n">
        <v>20</v>
      </c>
      <c r="I3748" t="inlineStr">
        <is>
          <t>T_TAHARI_124000188_OTM_1.jpg</t>
        </is>
      </c>
      <c r="J3748" t="inlineStr">
        <is>
          <t>T_TAHARI_124000188_OTM_2.jpg</t>
        </is>
      </c>
      <c r="K3748" t="inlineStr">
        <is>
          <t>T_TAHARI_124000188_OTM_3.jpg</t>
        </is>
      </c>
      <c r="L3748">
        <f>IMAGE("file:///E:/Estudios%20y%20certificaciones/ESTUDIOS%20DE%20PROGRAMMING/PROGRAMMING/PERSONAL/PYTHON/Image_Generator_API/imagenes/T_TAHARI_124000188_OTM_1.jpg")</f>
        <v/>
      </c>
      <c r="M3748">
        <f>IMAGE("file:///E:/Estudios%20y%20certificaciones/ESTUDIOS%20DE%20PROGRAMMING/PROGRAMMING/PERSONAL/PYTHON/Image_Generator_API/imagenes/T_TAHARI_124000188_OTM_2.jpg")</f>
        <v/>
      </c>
      <c r="N3748">
        <f>IMAGE("file:///E:/Estudios%20y%20certificaciones/ESTUDIOS%20DE%20PROGRAMMING/PROGRAMMING/PERSONAL/PYTHON/Image_Generator_API/imagenes/T_TAHARI_124000188_OTM_3.jpg")</f>
        <v/>
      </c>
      <c r="O3748">
        <f>HYPERLINK("imagenes/T_TAHARI_124000188_OTM_1.jpg","Ver imagen")</f>
        <v/>
      </c>
      <c r="P3748">
        <f>HYPERLINK("imagenes/T_TAHARI_124000188_OTM_2.jpg","Ver imagen")</f>
        <v/>
      </c>
      <c r="Q3748">
        <f>HYPERLINK("imagenes/T_TAHARI_124000188_OTM_3.jpg","Ver imagen")</f>
        <v/>
      </c>
    </row>
    <row r="3749">
      <c r="A3749" t="inlineStr">
        <is>
          <t>T TAHARI</t>
        </is>
      </c>
      <c r="B3749" t="inlineStr">
        <is>
          <t>124000503</t>
        </is>
      </c>
      <c r="C3749" t="inlineStr">
        <is>
          <t>SANDRA</t>
        </is>
      </c>
      <c r="D3749" t="inlineStr">
        <is>
          <t>CAM</t>
        </is>
      </c>
      <c r="E3749" t="inlineStr">
        <is>
          <t>(en blanco)</t>
        </is>
      </c>
      <c r="F3749" t="inlineStr">
        <is>
          <t>(en blanco)</t>
        </is>
      </c>
      <c r="G3749" t="inlineStr">
        <is>
          <t>S</t>
        </is>
      </c>
      <c r="H3749" t="n">
        <v>48</v>
      </c>
      <c r="I3749" t="inlineStr">
        <is>
          <t>T_TAHARI_124000503_CAM_1.jpg</t>
        </is>
      </c>
      <c r="J3749" t="inlineStr">
        <is>
          <t>T_TAHARI_124000503_CAM_2.jpg</t>
        </is>
      </c>
      <c r="K3749" t="inlineStr">
        <is>
          <t>T_TAHARI_124000503_CAM_3.jpg</t>
        </is>
      </c>
      <c r="L3749">
        <f>IMAGE("file:///E:/Estudios%20y%20certificaciones/ESTUDIOS%20DE%20PROGRAMMING/PROGRAMMING/PERSONAL/PYTHON/Image_Generator_API/imagenes/T_TAHARI_124000503_CAM_1.jpg")</f>
        <v/>
      </c>
      <c r="M3749">
        <f>IMAGE("file:///E:/Estudios%20y%20certificaciones/ESTUDIOS%20DE%20PROGRAMMING/PROGRAMMING/PERSONAL/PYTHON/Image_Generator_API/imagenes/T_TAHARI_124000503_CAM_2.jpg")</f>
        <v/>
      </c>
      <c r="N3749">
        <f>IMAGE("file:///E:/Estudios%20y%20certificaciones/ESTUDIOS%20DE%20PROGRAMMING/PROGRAMMING/PERSONAL/PYTHON/Image_Generator_API/imagenes/T_TAHARI_124000503_CAM_3.jpg")</f>
        <v/>
      </c>
      <c r="O3749">
        <f>HYPERLINK("imagenes/T_TAHARI_124000503_CAM_1.jpg","Ver imagen")</f>
        <v/>
      </c>
      <c r="P3749">
        <f>HYPERLINK("imagenes/T_TAHARI_124000503_CAM_2.jpg","Ver imagen")</f>
        <v/>
      </c>
      <c r="Q3749">
        <f>HYPERLINK("imagenes/T_TAHARI_124000503_CAM_3.jpg","Ver imagen")</f>
        <v/>
      </c>
    </row>
    <row r="3750">
      <c r="A3750" t="inlineStr">
        <is>
          <t>T TAHARI</t>
        </is>
      </c>
      <c r="B3750" t="inlineStr">
        <is>
          <t>124000503</t>
        </is>
      </c>
      <c r="C3750" t="inlineStr">
        <is>
          <t>SANDRA</t>
        </is>
      </c>
      <c r="D3750" t="inlineStr">
        <is>
          <t>CAM</t>
        </is>
      </c>
      <c r="E3750" t="inlineStr">
        <is>
          <t>(en blanco)</t>
        </is>
      </c>
      <c r="F3750" t="inlineStr">
        <is>
          <t>(en blanco)</t>
        </is>
      </c>
      <c r="G3750" t="inlineStr">
        <is>
          <t>M</t>
        </is>
      </c>
      <c r="H3750" t="n">
        <v>75</v>
      </c>
      <c r="I3750" t="inlineStr">
        <is>
          <t>T_TAHARI_124000503_CAM_1.jpg</t>
        </is>
      </c>
      <c r="J3750" t="inlineStr">
        <is>
          <t>T_TAHARI_124000503_CAM_2.jpg</t>
        </is>
      </c>
      <c r="K3750" t="inlineStr">
        <is>
          <t>T_TAHARI_124000503_CAM_3.jpg</t>
        </is>
      </c>
      <c r="L3750">
        <f>IMAGE("file:///E:/Estudios%20y%20certificaciones/ESTUDIOS%20DE%20PROGRAMMING/PROGRAMMING/PERSONAL/PYTHON/Image_Generator_API/imagenes/T_TAHARI_124000503_CAM_1.jpg")</f>
        <v/>
      </c>
      <c r="M3750">
        <f>IMAGE("file:///E:/Estudios%20y%20certificaciones/ESTUDIOS%20DE%20PROGRAMMING/PROGRAMMING/PERSONAL/PYTHON/Image_Generator_API/imagenes/T_TAHARI_124000503_CAM_2.jpg")</f>
        <v/>
      </c>
      <c r="N3750">
        <f>IMAGE("file:///E:/Estudios%20y%20certificaciones/ESTUDIOS%20DE%20PROGRAMMING/PROGRAMMING/PERSONAL/PYTHON/Image_Generator_API/imagenes/T_TAHARI_124000503_CAM_3.jpg")</f>
        <v/>
      </c>
      <c r="O3750">
        <f>HYPERLINK("imagenes/T_TAHARI_124000503_CAM_1.jpg","Ver imagen")</f>
        <v/>
      </c>
      <c r="P3750">
        <f>HYPERLINK("imagenes/T_TAHARI_124000503_CAM_2.jpg","Ver imagen")</f>
        <v/>
      </c>
      <c r="Q3750">
        <f>HYPERLINK("imagenes/T_TAHARI_124000503_CAM_3.jpg","Ver imagen")</f>
        <v/>
      </c>
    </row>
    <row r="3751">
      <c r="A3751" t="inlineStr">
        <is>
          <t>T TAHARI</t>
        </is>
      </c>
      <c r="B3751" t="inlineStr">
        <is>
          <t>124000503</t>
        </is>
      </c>
      <c r="C3751" t="inlineStr">
        <is>
          <t>SANDRA</t>
        </is>
      </c>
      <c r="D3751" t="inlineStr">
        <is>
          <t>CAM</t>
        </is>
      </c>
      <c r="E3751" t="inlineStr">
        <is>
          <t>(en blanco)</t>
        </is>
      </c>
      <c r="F3751" t="inlineStr">
        <is>
          <t>(en blanco)</t>
        </is>
      </c>
      <c r="G3751" t="inlineStr">
        <is>
          <t>L</t>
        </is>
      </c>
      <c r="H3751" t="n">
        <v>72</v>
      </c>
      <c r="I3751" t="inlineStr">
        <is>
          <t>T_TAHARI_124000503_CAM_1.jpg</t>
        </is>
      </c>
      <c r="J3751" t="inlineStr">
        <is>
          <t>T_TAHARI_124000503_CAM_2.jpg</t>
        </is>
      </c>
      <c r="K3751" t="inlineStr">
        <is>
          <t>T_TAHARI_124000503_CAM_3.jpg</t>
        </is>
      </c>
      <c r="L3751">
        <f>IMAGE("file:///E:/Estudios%20y%20certificaciones/ESTUDIOS%20DE%20PROGRAMMING/PROGRAMMING/PERSONAL/PYTHON/Image_Generator_API/imagenes/T_TAHARI_124000503_CAM_1.jpg")</f>
        <v/>
      </c>
      <c r="M3751">
        <f>IMAGE("file:///E:/Estudios%20y%20certificaciones/ESTUDIOS%20DE%20PROGRAMMING/PROGRAMMING/PERSONAL/PYTHON/Image_Generator_API/imagenes/T_TAHARI_124000503_CAM_2.jpg")</f>
        <v/>
      </c>
      <c r="N3751">
        <f>IMAGE("file:///E:/Estudios%20y%20certificaciones/ESTUDIOS%20DE%20PROGRAMMING/PROGRAMMING/PERSONAL/PYTHON/Image_Generator_API/imagenes/T_TAHARI_124000503_CAM_3.jpg")</f>
        <v/>
      </c>
      <c r="O3751">
        <f>HYPERLINK("imagenes/T_TAHARI_124000503_CAM_1.jpg","Ver imagen")</f>
        <v/>
      </c>
      <c r="P3751">
        <f>HYPERLINK("imagenes/T_TAHARI_124000503_CAM_2.jpg","Ver imagen")</f>
        <v/>
      </c>
      <c r="Q3751">
        <f>HYPERLINK("imagenes/T_TAHARI_124000503_CAM_3.jpg","Ver imagen")</f>
        <v/>
      </c>
    </row>
    <row r="3752">
      <c r="A3752" t="inlineStr">
        <is>
          <t>T TAHARI</t>
        </is>
      </c>
      <c r="B3752" t="inlineStr">
        <is>
          <t>124000503</t>
        </is>
      </c>
      <c r="C3752" t="inlineStr">
        <is>
          <t>SANDRA</t>
        </is>
      </c>
      <c r="D3752" t="inlineStr">
        <is>
          <t>HGY</t>
        </is>
      </c>
      <c r="E3752" t="inlineStr">
        <is>
          <t>(en blanco)</t>
        </is>
      </c>
      <c r="F3752" t="inlineStr">
        <is>
          <t>(en blanco)</t>
        </is>
      </c>
      <c r="G3752" t="inlineStr">
        <is>
          <t>XS</t>
        </is>
      </c>
      <c r="H3752" t="n">
        <v>78</v>
      </c>
      <c r="I3752" t="inlineStr">
        <is>
          <t>T_TAHARI_124000503_HGY_1.jpg</t>
        </is>
      </c>
      <c r="J3752" t="inlineStr">
        <is>
          <t>T_TAHARI_124000503_HGY_3.jpg</t>
        </is>
      </c>
      <c r="L3752">
        <f>IMAGE("file:///E:/Estudios%20y%20certificaciones/ESTUDIOS%20DE%20PROGRAMMING/PROGRAMMING/PERSONAL/PYTHON/Image_Generator_API/imagenes/T_TAHARI_124000503_HGY_1.jpg")</f>
        <v/>
      </c>
      <c r="M3752">
        <f>IMAGE("file:///E:/Estudios%20y%20certificaciones/ESTUDIOS%20DE%20PROGRAMMING/PROGRAMMING/PERSONAL/PYTHON/Image_Generator_API/imagenes/T_TAHARI_124000503_HGY_3.jpg")</f>
        <v/>
      </c>
      <c r="O3752">
        <f>HYPERLINK("imagenes/T_TAHARI_124000503_HGY_1.jpg","Ver imagen")</f>
        <v/>
      </c>
      <c r="P3752">
        <f>HYPERLINK("imagenes/T_TAHARI_124000503_HGY_3.jpg","Ver imagen")</f>
        <v/>
      </c>
    </row>
    <row r="3753">
      <c r="A3753" t="inlineStr">
        <is>
          <t>T TAHARI</t>
        </is>
      </c>
      <c r="B3753" t="inlineStr">
        <is>
          <t>124000503</t>
        </is>
      </c>
      <c r="C3753" t="inlineStr">
        <is>
          <t>SANDRA</t>
        </is>
      </c>
      <c r="D3753" t="inlineStr">
        <is>
          <t>HGY</t>
        </is>
      </c>
      <c r="E3753" t="inlineStr">
        <is>
          <t>(en blanco)</t>
        </is>
      </c>
      <c r="F3753" t="inlineStr">
        <is>
          <t>(en blanco)</t>
        </is>
      </c>
      <c r="G3753" t="inlineStr">
        <is>
          <t>S</t>
        </is>
      </c>
      <c r="H3753" t="n">
        <v>66</v>
      </c>
      <c r="I3753" t="inlineStr">
        <is>
          <t>T_TAHARI_124000503_HGY_1.jpg</t>
        </is>
      </c>
      <c r="J3753" t="inlineStr">
        <is>
          <t>T_TAHARI_124000503_HGY_3.jpg</t>
        </is>
      </c>
      <c r="L3753">
        <f>IMAGE("file:///E:/Estudios%20y%20certificaciones/ESTUDIOS%20DE%20PROGRAMMING/PROGRAMMING/PERSONAL/PYTHON/Image_Generator_API/imagenes/T_TAHARI_124000503_HGY_1.jpg")</f>
        <v/>
      </c>
      <c r="M3753">
        <f>IMAGE("file:///E:/Estudios%20y%20certificaciones/ESTUDIOS%20DE%20PROGRAMMING/PROGRAMMING/PERSONAL/PYTHON/Image_Generator_API/imagenes/T_TAHARI_124000503_HGY_3.jpg")</f>
        <v/>
      </c>
      <c r="O3753">
        <f>HYPERLINK("imagenes/T_TAHARI_124000503_HGY_1.jpg","Ver imagen")</f>
        <v/>
      </c>
      <c r="P3753">
        <f>HYPERLINK("imagenes/T_TAHARI_124000503_HGY_3.jpg","Ver imagen")</f>
        <v/>
      </c>
    </row>
    <row r="3754">
      <c r="A3754" t="inlineStr">
        <is>
          <t>T TAHARI</t>
        </is>
      </c>
      <c r="B3754" t="inlineStr">
        <is>
          <t>124000503</t>
        </is>
      </c>
      <c r="C3754" t="inlineStr">
        <is>
          <t>SANDRA</t>
        </is>
      </c>
      <c r="D3754" t="inlineStr">
        <is>
          <t>HGY</t>
        </is>
      </c>
      <c r="E3754" t="inlineStr">
        <is>
          <t>(en blanco)</t>
        </is>
      </c>
      <c r="F3754" t="inlineStr">
        <is>
          <t>(en blanco)</t>
        </is>
      </c>
      <c r="G3754" t="inlineStr">
        <is>
          <t>M</t>
        </is>
      </c>
      <c r="H3754" t="n">
        <v>100</v>
      </c>
      <c r="I3754" t="inlineStr">
        <is>
          <t>T_TAHARI_124000503_HGY_1.jpg</t>
        </is>
      </c>
      <c r="J3754" t="inlineStr">
        <is>
          <t>T_TAHARI_124000503_HGY_3.jpg</t>
        </is>
      </c>
      <c r="L3754">
        <f>IMAGE("file:///E:/Estudios%20y%20certificaciones/ESTUDIOS%20DE%20PROGRAMMING/PROGRAMMING/PERSONAL/PYTHON/Image_Generator_API/imagenes/T_TAHARI_124000503_HGY_1.jpg")</f>
        <v/>
      </c>
      <c r="M3754">
        <f>IMAGE("file:///E:/Estudios%20y%20certificaciones/ESTUDIOS%20DE%20PROGRAMMING/PROGRAMMING/PERSONAL/PYTHON/Image_Generator_API/imagenes/T_TAHARI_124000503_HGY_3.jpg")</f>
        <v/>
      </c>
      <c r="O3754">
        <f>HYPERLINK("imagenes/T_TAHARI_124000503_HGY_1.jpg","Ver imagen")</f>
        <v/>
      </c>
      <c r="P3754">
        <f>HYPERLINK("imagenes/T_TAHARI_124000503_HGY_3.jpg","Ver imagen")</f>
        <v/>
      </c>
    </row>
    <row r="3755">
      <c r="A3755" t="inlineStr">
        <is>
          <t>T TAHARI</t>
        </is>
      </c>
      <c r="B3755" t="inlineStr">
        <is>
          <t>124000503</t>
        </is>
      </c>
      <c r="C3755" t="inlineStr">
        <is>
          <t>SANDRA</t>
        </is>
      </c>
      <c r="D3755" t="inlineStr">
        <is>
          <t>HGY</t>
        </is>
      </c>
      <c r="E3755" t="inlineStr">
        <is>
          <t>(en blanco)</t>
        </is>
      </c>
      <c r="F3755" t="inlineStr">
        <is>
          <t>(en blanco)</t>
        </is>
      </c>
      <c r="G3755" t="inlineStr">
        <is>
          <t>L</t>
        </is>
      </c>
      <c r="H3755" t="n">
        <v>96</v>
      </c>
      <c r="I3755" t="inlineStr">
        <is>
          <t>T_TAHARI_124000503_HGY_1.jpg</t>
        </is>
      </c>
      <c r="J3755" t="inlineStr">
        <is>
          <t>T_TAHARI_124000503_HGY_3.jpg</t>
        </is>
      </c>
      <c r="L3755">
        <f>IMAGE("file:///E:/Estudios%20y%20certificaciones/ESTUDIOS%20DE%20PROGRAMMING/PROGRAMMING/PERSONAL/PYTHON/Image_Generator_API/imagenes/T_TAHARI_124000503_HGY_1.jpg")</f>
        <v/>
      </c>
      <c r="M3755">
        <f>IMAGE("file:///E:/Estudios%20y%20certificaciones/ESTUDIOS%20DE%20PROGRAMMING/PROGRAMMING/PERSONAL/PYTHON/Image_Generator_API/imagenes/T_TAHARI_124000503_HGY_3.jpg")</f>
        <v/>
      </c>
      <c r="O3755">
        <f>HYPERLINK("imagenes/T_TAHARI_124000503_HGY_1.jpg","Ver imagen")</f>
        <v/>
      </c>
      <c r="P3755">
        <f>HYPERLINK("imagenes/T_TAHARI_124000503_HGY_3.jpg","Ver imagen")</f>
        <v/>
      </c>
    </row>
    <row r="3756">
      <c r="A3756" t="inlineStr">
        <is>
          <t>T TAHARI</t>
        </is>
      </c>
      <c r="B3756" t="inlineStr">
        <is>
          <t>124000503</t>
        </is>
      </c>
      <c r="C3756" t="inlineStr">
        <is>
          <t>SANDRA</t>
        </is>
      </c>
      <c r="D3756" t="inlineStr">
        <is>
          <t>HGY</t>
        </is>
      </c>
      <c r="E3756" t="inlineStr">
        <is>
          <t>(en blanco)</t>
        </is>
      </c>
      <c r="F3756" t="inlineStr">
        <is>
          <t>(en blanco)</t>
        </is>
      </c>
      <c r="G3756" t="inlineStr">
        <is>
          <t>XL</t>
        </is>
      </c>
      <c r="H3756" t="n">
        <v>18</v>
      </c>
      <c r="I3756" t="inlineStr">
        <is>
          <t>T_TAHARI_124000503_HGY_1.jpg</t>
        </is>
      </c>
      <c r="J3756" t="inlineStr">
        <is>
          <t>T_TAHARI_124000503_HGY_3.jpg</t>
        </is>
      </c>
      <c r="L3756">
        <f>IMAGE("file:///E:/Estudios%20y%20certificaciones/ESTUDIOS%20DE%20PROGRAMMING/PROGRAMMING/PERSONAL/PYTHON/Image_Generator_API/imagenes/T_TAHARI_124000503_HGY_1.jpg")</f>
        <v/>
      </c>
      <c r="M3756">
        <f>IMAGE("file:///E:/Estudios%20y%20certificaciones/ESTUDIOS%20DE%20PROGRAMMING/PROGRAMMING/PERSONAL/PYTHON/Image_Generator_API/imagenes/T_TAHARI_124000503_HGY_3.jpg")</f>
        <v/>
      </c>
      <c r="O3756">
        <f>HYPERLINK("imagenes/T_TAHARI_124000503_HGY_1.jpg","Ver imagen")</f>
        <v/>
      </c>
      <c r="P3756">
        <f>HYPERLINK("imagenes/T_TAHARI_124000503_HGY_3.jpg","Ver imagen")</f>
        <v/>
      </c>
    </row>
    <row r="3757">
      <c r="A3757" t="inlineStr">
        <is>
          <t>T TAHARI</t>
        </is>
      </c>
      <c r="B3757" t="inlineStr">
        <is>
          <t>124000503</t>
        </is>
      </c>
      <c r="C3757" t="inlineStr">
        <is>
          <t>SANDRA</t>
        </is>
      </c>
      <c r="D3757" t="inlineStr">
        <is>
          <t>SFA</t>
        </is>
      </c>
      <c r="E3757" t="inlineStr">
        <is>
          <t>(en blanco)</t>
        </is>
      </c>
      <c r="F3757" t="inlineStr">
        <is>
          <t>(en blanco)</t>
        </is>
      </c>
      <c r="G3757" t="inlineStr">
        <is>
          <t>XS</t>
        </is>
      </c>
      <c r="H3757" t="n">
        <v>2</v>
      </c>
      <c r="I3757" t="inlineStr">
        <is>
          <t>T_TAHARI_124000503_SFA_1.jpg</t>
        </is>
      </c>
      <c r="J3757" t="inlineStr">
        <is>
          <t>T_TAHARI_124000503_SFA_2.jpg</t>
        </is>
      </c>
      <c r="K3757" t="inlineStr">
        <is>
          <t>T_TAHARI_124000503_SFA_3.jpg</t>
        </is>
      </c>
      <c r="L3757">
        <f>IMAGE("file:///E:/Estudios%20y%20certificaciones/ESTUDIOS%20DE%20PROGRAMMING/PROGRAMMING/PERSONAL/PYTHON/Image_Generator_API/imagenes/T_TAHARI_124000503_SFA_1.jpg")</f>
        <v/>
      </c>
      <c r="M3757">
        <f>IMAGE("file:///E:/Estudios%20y%20certificaciones/ESTUDIOS%20DE%20PROGRAMMING/PROGRAMMING/PERSONAL/PYTHON/Image_Generator_API/imagenes/T_TAHARI_124000503_SFA_2.jpg")</f>
        <v/>
      </c>
      <c r="N3757">
        <f>IMAGE("file:///E:/Estudios%20y%20certificaciones/ESTUDIOS%20DE%20PROGRAMMING/PROGRAMMING/PERSONAL/PYTHON/Image_Generator_API/imagenes/T_TAHARI_124000503_SFA_3.jpg")</f>
        <v/>
      </c>
      <c r="O3757">
        <f>HYPERLINK("imagenes/T_TAHARI_124000503_SFA_1.jpg","Ver imagen")</f>
        <v/>
      </c>
      <c r="P3757">
        <f>HYPERLINK("imagenes/T_TAHARI_124000503_SFA_2.jpg","Ver imagen")</f>
        <v/>
      </c>
      <c r="Q3757">
        <f>HYPERLINK("imagenes/T_TAHARI_124000503_SFA_3.jpg","Ver imagen")</f>
        <v/>
      </c>
    </row>
    <row r="3758">
      <c r="A3758" t="inlineStr">
        <is>
          <t>T TAHARI</t>
        </is>
      </c>
      <c r="B3758" t="inlineStr">
        <is>
          <t>124000503</t>
        </is>
      </c>
      <c r="C3758" t="inlineStr">
        <is>
          <t>SANDRA</t>
        </is>
      </c>
      <c r="D3758" t="inlineStr">
        <is>
          <t>SFA</t>
        </is>
      </c>
      <c r="E3758" t="inlineStr">
        <is>
          <t>(en blanco)</t>
        </is>
      </c>
      <c r="F3758" t="inlineStr">
        <is>
          <t>(en blanco)</t>
        </is>
      </c>
      <c r="G3758" t="inlineStr">
        <is>
          <t>S</t>
        </is>
      </c>
      <c r="H3758" t="n">
        <v>3</v>
      </c>
      <c r="I3758" t="inlineStr">
        <is>
          <t>T_TAHARI_124000503_SFA_1.jpg</t>
        </is>
      </c>
      <c r="J3758" t="inlineStr">
        <is>
          <t>T_TAHARI_124000503_SFA_2.jpg</t>
        </is>
      </c>
      <c r="K3758" t="inlineStr">
        <is>
          <t>T_TAHARI_124000503_SFA_3.jpg</t>
        </is>
      </c>
      <c r="L3758">
        <f>IMAGE("file:///E:/Estudios%20y%20certificaciones/ESTUDIOS%20DE%20PROGRAMMING/PROGRAMMING/PERSONAL/PYTHON/Image_Generator_API/imagenes/T_TAHARI_124000503_SFA_1.jpg")</f>
        <v/>
      </c>
      <c r="M3758">
        <f>IMAGE("file:///E:/Estudios%20y%20certificaciones/ESTUDIOS%20DE%20PROGRAMMING/PROGRAMMING/PERSONAL/PYTHON/Image_Generator_API/imagenes/T_TAHARI_124000503_SFA_2.jpg")</f>
        <v/>
      </c>
      <c r="N3758">
        <f>IMAGE("file:///E:/Estudios%20y%20certificaciones/ESTUDIOS%20DE%20PROGRAMMING/PROGRAMMING/PERSONAL/PYTHON/Image_Generator_API/imagenes/T_TAHARI_124000503_SFA_3.jpg")</f>
        <v/>
      </c>
      <c r="O3758">
        <f>HYPERLINK("imagenes/T_TAHARI_124000503_SFA_1.jpg","Ver imagen")</f>
        <v/>
      </c>
      <c r="P3758">
        <f>HYPERLINK("imagenes/T_TAHARI_124000503_SFA_2.jpg","Ver imagen")</f>
        <v/>
      </c>
      <c r="Q3758">
        <f>HYPERLINK("imagenes/T_TAHARI_124000503_SFA_3.jpg","Ver imagen")</f>
        <v/>
      </c>
    </row>
    <row r="3759">
      <c r="A3759" t="inlineStr">
        <is>
          <t>T TAHARI</t>
        </is>
      </c>
      <c r="B3759" t="inlineStr">
        <is>
          <t>124000503</t>
        </is>
      </c>
      <c r="C3759" t="inlineStr">
        <is>
          <t>SANDRA</t>
        </is>
      </c>
      <c r="D3759" t="inlineStr">
        <is>
          <t>SFA</t>
        </is>
      </c>
      <c r="E3759" t="inlineStr">
        <is>
          <t>(en blanco)</t>
        </is>
      </c>
      <c r="F3759" t="inlineStr">
        <is>
          <t>(en blanco)</t>
        </is>
      </c>
      <c r="G3759" t="inlineStr">
        <is>
          <t>L</t>
        </is>
      </c>
      <c r="H3759" t="n">
        <v>18</v>
      </c>
      <c r="I3759" t="inlineStr">
        <is>
          <t>T_TAHARI_124000503_SFA_1.jpg</t>
        </is>
      </c>
      <c r="J3759" t="inlineStr">
        <is>
          <t>T_TAHARI_124000503_SFA_2.jpg</t>
        </is>
      </c>
      <c r="K3759" t="inlineStr">
        <is>
          <t>T_TAHARI_124000503_SFA_3.jpg</t>
        </is>
      </c>
      <c r="L3759">
        <f>IMAGE("file:///E:/Estudios%20y%20certificaciones/ESTUDIOS%20DE%20PROGRAMMING/PROGRAMMING/PERSONAL/PYTHON/Image_Generator_API/imagenes/T_TAHARI_124000503_SFA_1.jpg")</f>
        <v/>
      </c>
      <c r="M3759">
        <f>IMAGE("file:///E:/Estudios%20y%20certificaciones/ESTUDIOS%20DE%20PROGRAMMING/PROGRAMMING/PERSONAL/PYTHON/Image_Generator_API/imagenes/T_TAHARI_124000503_SFA_2.jpg")</f>
        <v/>
      </c>
      <c r="N3759">
        <f>IMAGE("file:///E:/Estudios%20y%20certificaciones/ESTUDIOS%20DE%20PROGRAMMING/PROGRAMMING/PERSONAL/PYTHON/Image_Generator_API/imagenes/T_TAHARI_124000503_SFA_3.jpg")</f>
        <v/>
      </c>
      <c r="O3759">
        <f>HYPERLINK("imagenes/T_TAHARI_124000503_SFA_1.jpg","Ver imagen")</f>
        <v/>
      </c>
      <c r="P3759">
        <f>HYPERLINK("imagenes/T_TAHARI_124000503_SFA_2.jpg","Ver imagen")</f>
        <v/>
      </c>
      <c r="Q3759">
        <f>HYPERLINK("imagenes/T_TAHARI_124000503_SFA_3.jpg","Ver imagen")</f>
        <v/>
      </c>
    </row>
    <row r="3760">
      <c r="A3760" t="inlineStr">
        <is>
          <t>T TAHARI</t>
        </is>
      </c>
      <c r="B3760" t="inlineStr">
        <is>
          <t>124000503</t>
        </is>
      </c>
      <c r="C3760" t="inlineStr">
        <is>
          <t>SANDRA</t>
        </is>
      </c>
      <c r="D3760" t="inlineStr">
        <is>
          <t>SFA</t>
        </is>
      </c>
      <c r="E3760" t="inlineStr">
        <is>
          <t>(en blanco)</t>
        </is>
      </c>
      <c r="F3760" t="inlineStr">
        <is>
          <t>(en blanco)</t>
        </is>
      </c>
      <c r="G3760" t="inlineStr">
        <is>
          <t>XL</t>
        </is>
      </c>
      <c r="H3760" t="n">
        <v>4</v>
      </c>
      <c r="I3760" t="inlineStr">
        <is>
          <t>T_TAHARI_124000503_SFA_1.jpg</t>
        </is>
      </c>
      <c r="J3760" t="inlineStr">
        <is>
          <t>T_TAHARI_124000503_SFA_2.jpg</t>
        </is>
      </c>
      <c r="K3760" t="inlineStr">
        <is>
          <t>T_TAHARI_124000503_SFA_3.jpg</t>
        </is>
      </c>
      <c r="L3760">
        <f>IMAGE("file:///E:/Estudios%20y%20certificaciones/ESTUDIOS%20DE%20PROGRAMMING/PROGRAMMING/PERSONAL/PYTHON/Image_Generator_API/imagenes/T_TAHARI_124000503_SFA_1.jpg")</f>
        <v/>
      </c>
      <c r="M3760">
        <f>IMAGE("file:///E:/Estudios%20y%20certificaciones/ESTUDIOS%20DE%20PROGRAMMING/PROGRAMMING/PERSONAL/PYTHON/Image_Generator_API/imagenes/T_TAHARI_124000503_SFA_2.jpg")</f>
        <v/>
      </c>
      <c r="N3760">
        <f>IMAGE("file:///E:/Estudios%20y%20certificaciones/ESTUDIOS%20DE%20PROGRAMMING/PROGRAMMING/PERSONAL/PYTHON/Image_Generator_API/imagenes/T_TAHARI_124000503_SFA_3.jpg")</f>
        <v/>
      </c>
      <c r="O3760">
        <f>HYPERLINK("imagenes/T_TAHARI_124000503_SFA_1.jpg","Ver imagen")</f>
        <v/>
      </c>
      <c r="P3760">
        <f>HYPERLINK("imagenes/T_TAHARI_124000503_SFA_2.jpg","Ver imagen")</f>
        <v/>
      </c>
      <c r="Q3760">
        <f>HYPERLINK("imagenes/T_TAHARI_124000503_SFA_3.jpg","Ver imagen")</f>
        <v/>
      </c>
    </row>
    <row r="3761">
      <c r="A3761" t="inlineStr">
        <is>
          <t>T TAHARI</t>
        </is>
      </c>
      <c r="B3761" t="inlineStr">
        <is>
          <t>124001275</t>
        </is>
      </c>
      <c r="C3761" t="inlineStr">
        <is>
          <t>SANDY 99816</t>
        </is>
      </c>
      <c r="D3761" t="inlineStr">
        <is>
          <t>BLK</t>
        </is>
      </c>
      <c r="E3761" t="inlineStr">
        <is>
          <t>(en blanco)</t>
        </is>
      </c>
      <c r="F3761" t="inlineStr">
        <is>
          <t>(en blanco)</t>
        </is>
      </c>
      <c r="G3761" t="inlineStr">
        <is>
          <t>M</t>
        </is>
      </c>
      <c r="H3761" t="n">
        <v>1</v>
      </c>
      <c r="I3761" t="inlineStr">
        <is>
          <t>T_TAHARI_124001275_BLK_1.jpg</t>
        </is>
      </c>
      <c r="J3761" t="inlineStr">
        <is>
          <t>T_TAHARI_124001275_BLK_2.jpg</t>
        </is>
      </c>
      <c r="K3761" t="inlineStr">
        <is>
          <t>T_TAHARI_124001275_BLK_3.jpg</t>
        </is>
      </c>
      <c r="L3761">
        <f>IMAGE("file:///E:/Estudios%20y%20certificaciones/ESTUDIOS%20DE%20PROGRAMMING/PROGRAMMING/PERSONAL/PYTHON/Image_Generator_API/imagenes/T_TAHARI_124001275_BLK_1.jpg")</f>
        <v/>
      </c>
      <c r="M3761">
        <f>IMAGE("file:///E:/Estudios%20y%20certificaciones/ESTUDIOS%20DE%20PROGRAMMING/PROGRAMMING/PERSONAL/PYTHON/Image_Generator_API/imagenes/T_TAHARI_124001275_BLK_2.jpg")</f>
        <v/>
      </c>
      <c r="N3761">
        <f>IMAGE("file:///E:/Estudios%20y%20certificaciones/ESTUDIOS%20DE%20PROGRAMMING/PROGRAMMING/PERSONAL/PYTHON/Image_Generator_API/imagenes/T_TAHARI_124001275_BLK_3.jpg")</f>
        <v/>
      </c>
      <c r="O3761">
        <f>HYPERLINK("imagenes/T_TAHARI_124001275_BLK_1.jpg","Ver imagen")</f>
        <v/>
      </c>
      <c r="P3761">
        <f>HYPERLINK("imagenes/T_TAHARI_124001275_BLK_2.jpg","Ver imagen")</f>
        <v/>
      </c>
      <c r="Q3761">
        <f>HYPERLINK("imagenes/T_TAHARI_124001275_BLK_3.jpg","Ver imagen")</f>
        <v/>
      </c>
    </row>
    <row r="3762">
      <c r="A3762" t="inlineStr">
        <is>
          <t>T TAHARI</t>
        </is>
      </c>
      <c r="B3762" t="inlineStr">
        <is>
          <t>124001275</t>
        </is>
      </c>
      <c r="C3762" t="inlineStr">
        <is>
          <t>SANDY 99816</t>
        </is>
      </c>
      <c r="D3762" t="inlineStr">
        <is>
          <t>HGY</t>
        </is>
      </c>
      <c r="E3762" t="inlineStr">
        <is>
          <t>(en blanco)</t>
        </is>
      </c>
      <c r="F3762" t="inlineStr">
        <is>
          <t>(en blanco)</t>
        </is>
      </c>
      <c r="G3762" t="inlineStr">
        <is>
          <t>XXL</t>
        </is>
      </c>
      <c r="H3762" t="n">
        <v>2</v>
      </c>
      <c r="I3762" t="inlineStr">
        <is>
          <t>T_TAHARI_124001275_HGY_1.jpg</t>
        </is>
      </c>
      <c r="J3762" t="inlineStr">
        <is>
          <t>T_TAHARI_124001275_HGY_2.jpg</t>
        </is>
      </c>
      <c r="K3762" t="inlineStr">
        <is>
          <t>T_TAHARI_124001275_HGY_3.jpg</t>
        </is>
      </c>
      <c r="L3762">
        <f>IMAGE("file:///E:/Estudios%20y%20certificaciones/ESTUDIOS%20DE%20PROGRAMMING/PROGRAMMING/PERSONAL/PYTHON/Image_Generator_API/imagenes/T_TAHARI_124001275_HGY_1.jpg")</f>
        <v/>
      </c>
      <c r="M3762">
        <f>IMAGE("file:///E:/Estudios%20y%20certificaciones/ESTUDIOS%20DE%20PROGRAMMING/PROGRAMMING/PERSONAL/PYTHON/Image_Generator_API/imagenes/T_TAHARI_124001275_HGY_2.jpg")</f>
        <v/>
      </c>
      <c r="N3762">
        <f>IMAGE("file:///E:/Estudios%20y%20certificaciones/ESTUDIOS%20DE%20PROGRAMMING/PROGRAMMING/PERSONAL/PYTHON/Image_Generator_API/imagenes/T_TAHARI_124001275_HGY_3.jpg")</f>
        <v/>
      </c>
      <c r="O3762">
        <f>HYPERLINK("imagenes/T_TAHARI_124001275_HGY_1.jpg","Ver imagen")</f>
        <v/>
      </c>
      <c r="P3762">
        <f>HYPERLINK("imagenes/T_TAHARI_124001275_HGY_2.jpg","Ver imagen")</f>
        <v/>
      </c>
      <c r="Q3762">
        <f>HYPERLINK("imagenes/T_TAHARI_124001275_HGY_3.jpg","Ver imagen")</f>
        <v/>
      </c>
    </row>
    <row r="3763">
      <c r="A3763" t="inlineStr">
        <is>
          <t>T TAHARI</t>
        </is>
      </c>
      <c r="B3763" t="inlineStr">
        <is>
          <t>124001278</t>
        </is>
      </c>
      <c r="C3763" t="inlineStr">
        <is>
          <t>LAURA 99812</t>
        </is>
      </c>
      <c r="D3763" t="inlineStr">
        <is>
          <t>BLK</t>
        </is>
      </c>
      <c r="E3763" t="inlineStr">
        <is>
          <t>(en blanco)</t>
        </is>
      </c>
      <c r="F3763" t="inlineStr">
        <is>
          <t>(en blanco)</t>
        </is>
      </c>
      <c r="G3763" t="inlineStr">
        <is>
          <t>M</t>
        </is>
      </c>
      <c r="H3763" t="n">
        <v>3</v>
      </c>
      <c r="I3763" t="inlineStr">
        <is>
          <t>T_TAHARI_124001278_BLK_1.jpg</t>
        </is>
      </c>
      <c r="J3763" t="inlineStr">
        <is>
          <t>T_TAHARI_124001278_BLK_2.jpg</t>
        </is>
      </c>
      <c r="K3763" t="inlineStr">
        <is>
          <t>T_TAHARI_124001278_BLK_3.jpg</t>
        </is>
      </c>
      <c r="L3763">
        <f>IMAGE("file:///E:/Estudios%20y%20certificaciones/ESTUDIOS%20DE%20PROGRAMMING/PROGRAMMING/PERSONAL/PYTHON/Image_Generator_API/imagenes/T_TAHARI_124001278_BLK_1.jpg")</f>
        <v/>
      </c>
      <c r="M3763">
        <f>IMAGE("file:///E:/Estudios%20y%20certificaciones/ESTUDIOS%20DE%20PROGRAMMING/PROGRAMMING/PERSONAL/PYTHON/Image_Generator_API/imagenes/T_TAHARI_124001278_BLK_2.jpg")</f>
        <v/>
      </c>
      <c r="N3763">
        <f>IMAGE("file:///E:/Estudios%20y%20certificaciones/ESTUDIOS%20DE%20PROGRAMMING/PROGRAMMING/PERSONAL/PYTHON/Image_Generator_API/imagenes/T_TAHARI_124001278_BLK_3.jpg")</f>
        <v/>
      </c>
      <c r="O3763">
        <f>HYPERLINK("imagenes/T_TAHARI_124001278_BLK_1.jpg","Ver imagen")</f>
        <v/>
      </c>
      <c r="P3763">
        <f>HYPERLINK("imagenes/T_TAHARI_124001278_BLK_2.jpg","Ver imagen")</f>
        <v/>
      </c>
      <c r="Q3763">
        <f>HYPERLINK("imagenes/T_TAHARI_124001278_BLK_3.jpg","Ver imagen")</f>
        <v/>
      </c>
    </row>
    <row r="3764">
      <c r="A3764" t="inlineStr">
        <is>
          <t>T TAHARI</t>
        </is>
      </c>
      <c r="B3764" t="inlineStr">
        <is>
          <t>124001278</t>
        </is>
      </c>
      <c r="C3764" t="inlineStr">
        <is>
          <t>LAURA 99812</t>
        </is>
      </c>
      <c r="D3764" t="inlineStr">
        <is>
          <t>BLK</t>
        </is>
      </c>
      <c r="E3764" t="inlineStr">
        <is>
          <t>(en blanco)</t>
        </is>
      </c>
      <c r="F3764" t="inlineStr">
        <is>
          <t>(en blanco)</t>
        </is>
      </c>
      <c r="G3764" t="inlineStr">
        <is>
          <t>XL</t>
        </is>
      </c>
      <c r="H3764" t="n">
        <v>1</v>
      </c>
      <c r="I3764" t="inlineStr">
        <is>
          <t>T_TAHARI_124001278_BLK_1.jpg</t>
        </is>
      </c>
      <c r="J3764" t="inlineStr">
        <is>
          <t>T_TAHARI_124001278_BLK_2.jpg</t>
        </is>
      </c>
      <c r="K3764" t="inlineStr">
        <is>
          <t>T_TAHARI_124001278_BLK_3.jpg</t>
        </is>
      </c>
      <c r="L3764">
        <f>IMAGE("file:///E:/Estudios%20y%20certificaciones/ESTUDIOS%20DE%20PROGRAMMING/PROGRAMMING/PERSONAL/PYTHON/Image_Generator_API/imagenes/T_TAHARI_124001278_BLK_1.jpg")</f>
        <v/>
      </c>
      <c r="M3764">
        <f>IMAGE("file:///E:/Estudios%20y%20certificaciones/ESTUDIOS%20DE%20PROGRAMMING/PROGRAMMING/PERSONAL/PYTHON/Image_Generator_API/imagenes/T_TAHARI_124001278_BLK_2.jpg")</f>
        <v/>
      </c>
      <c r="N3764">
        <f>IMAGE("file:///E:/Estudios%20y%20certificaciones/ESTUDIOS%20DE%20PROGRAMMING/PROGRAMMING/PERSONAL/PYTHON/Image_Generator_API/imagenes/T_TAHARI_124001278_BLK_3.jpg")</f>
        <v/>
      </c>
      <c r="O3764">
        <f>HYPERLINK("imagenes/T_TAHARI_124001278_BLK_1.jpg","Ver imagen")</f>
        <v/>
      </c>
      <c r="P3764">
        <f>HYPERLINK("imagenes/T_TAHARI_124001278_BLK_2.jpg","Ver imagen")</f>
        <v/>
      </c>
      <c r="Q3764">
        <f>HYPERLINK("imagenes/T_TAHARI_124001278_BLK_3.jpg","Ver imagen")</f>
        <v/>
      </c>
    </row>
    <row r="3765">
      <c r="A3765" t="inlineStr">
        <is>
          <t>T TAHARI</t>
        </is>
      </c>
      <c r="B3765" t="inlineStr">
        <is>
          <t>124001278</t>
        </is>
      </c>
      <c r="C3765" t="inlineStr">
        <is>
          <t>LAURA 99812</t>
        </is>
      </c>
      <c r="D3765" t="inlineStr">
        <is>
          <t>NVY</t>
        </is>
      </c>
      <c r="E3765" t="inlineStr">
        <is>
          <t>(en blanco)</t>
        </is>
      </c>
      <c r="F3765" t="inlineStr">
        <is>
          <t>(en blanco)</t>
        </is>
      </c>
      <c r="G3765" t="inlineStr">
        <is>
          <t>XS</t>
        </is>
      </c>
      <c r="H3765" t="n">
        <v>1</v>
      </c>
      <c r="I3765" t="inlineStr">
        <is>
          <t>T_TAHARI_124001278_NVY_1.jpg</t>
        </is>
      </c>
      <c r="J3765" t="inlineStr">
        <is>
          <t>T_TAHARI_124001278_NVY_2.jpg</t>
        </is>
      </c>
      <c r="K3765" t="inlineStr">
        <is>
          <t>T_TAHARI_124001278_NVY_3.jpg</t>
        </is>
      </c>
      <c r="L3765">
        <f>IMAGE("file:///E:/Estudios%20y%20certificaciones/ESTUDIOS%20DE%20PROGRAMMING/PROGRAMMING/PERSONAL/PYTHON/Image_Generator_API/imagenes/T_TAHARI_124001278_NVY_1.jpg")</f>
        <v/>
      </c>
      <c r="M3765">
        <f>IMAGE("file:///E:/Estudios%20y%20certificaciones/ESTUDIOS%20DE%20PROGRAMMING/PROGRAMMING/PERSONAL/PYTHON/Image_Generator_API/imagenes/T_TAHARI_124001278_NVY_2.jpg")</f>
        <v/>
      </c>
      <c r="N3765">
        <f>IMAGE("file:///E:/Estudios%20y%20certificaciones/ESTUDIOS%20DE%20PROGRAMMING/PROGRAMMING/PERSONAL/PYTHON/Image_Generator_API/imagenes/T_TAHARI_124001278_NVY_3.jpg")</f>
        <v/>
      </c>
      <c r="O3765">
        <f>HYPERLINK("imagenes/T_TAHARI_124001278_NVY_1.jpg","Ver imagen")</f>
        <v/>
      </c>
      <c r="P3765">
        <f>HYPERLINK("imagenes/T_TAHARI_124001278_NVY_2.jpg","Ver imagen")</f>
        <v/>
      </c>
      <c r="Q3765">
        <f>HYPERLINK("imagenes/T_TAHARI_124001278_NVY_3.jpg","Ver imagen")</f>
        <v/>
      </c>
    </row>
    <row r="3766">
      <c r="A3766" t="inlineStr">
        <is>
          <t>T TAHARI</t>
        </is>
      </c>
      <c r="B3766" t="inlineStr">
        <is>
          <t>124001278</t>
        </is>
      </c>
      <c r="C3766" t="inlineStr">
        <is>
          <t>LAURA 99812</t>
        </is>
      </c>
      <c r="D3766" t="inlineStr">
        <is>
          <t>NVY</t>
        </is>
      </c>
      <c r="E3766" t="inlineStr">
        <is>
          <t>(en blanco)</t>
        </is>
      </c>
      <c r="F3766" t="inlineStr">
        <is>
          <t>(en blanco)</t>
        </is>
      </c>
      <c r="G3766" t="inlineStr">
        <is>
          <t>S</t>
        </is>
      </c>
      <c r="H3766" t="n">
        <v>1</v>
      </c>
      <c r="I3766" t="inlineStr">
        <is>
          <t>T_TAHARI_124001278_NVY_1.jpg</t>
        </is>
      </c>
      <c r="J3766" t="inlineStr">
        <is>
          <t>T_TAHARI_124001278_NVY_2.jpg</t>
        </is>
      </c>
      <c r="K3766" t="inlineStr">
        <is>
          <t>T_TAHARI_124001278_NVY_3.jpg</t>
        </is>
      </c>
      <c r="L3766">
        <f>IMAGE("file:///E:/Estudios%20y%20certificaciones/ESTUDIOS%20DE%20PROGRAMMING/PROGRAMMING/PERSONAL/PYTHON/Image_Generator_API/imagenes/T_TAHARI_124001278_NVY_1.jpg")</f>
        <v/>
      </c>
      <c r="M3766">
        <f>IMAGE("file:///E:/Estudios%20y%20certificaciones/ESTUDIOS%20DE%20PROGRAMMING/PROGRAMMING/PERSONAL/PYTHON/Image_Generator_API/imagenes/T_TAHARI_124001278_NVY_2.jpg")</f>
        <v/>
      </c>
      <c r="N3766">
        <f>IMAGE("file:///E:/Estudios%20y%20certificaciones/ESTUDIOS%20DE%20PROGRAMMING/PROGRAMMING/PERSONAL/PYTHON/Image_Generator_API/imagenes/T_TAHARI_124001278_NVY_3.jpg")</f>
        <v/>
      </c>
      <c r="O3766">
        <f>HYPERLINK("imagenes/T_TAHARI_124001278_NVY_1.jpg","Ver imagen")</f>
        <v/>
      </c>
      <c r="P3766">
        <f>HYPERLINK("imagenes/T_TAHARI_124001278_NVY_2.jpg","Ver imagen")</f>
        <v/>
      </c>
      <c r="Q3766">
        <f>HYPERLINK("imagenes/T_TAHARI_124001278_NVY_3.jpg","Ver imagen")</f>
        <v/>
      </c>
    </row>
    <row r="3767">
      <c r="A3767" t="inlineStr">
        <is>
          <t>T TAHARI</t>
        </is>
      </c>
      <c r="B3767" t="inlineStr">
        <is>
          <t>124001278</t>
        </is>
      </c>
      <c r="C3767" t="inlineStr">
        <is>
          <t>LAURA 99812</t>
        </is>
      </c>
      <c r="D3767" t="inlineStr">
        <is>
          <t>NVY</t>
        </is>
      </c>
      <c r="E3767" t="inlineStr">
        <is>
          <t>(en blanco)</t>
        </is>
      </c>
      <c r="F3767" t="inlineStr">
        <is>
          <t>(en blanco)</t>
        </is>
      </c>
      <c r="G3767" t="inlineStr">
        <is>
          <t>L</t>
        </is>
      </c>
      <c r="H3767" t="n">
        <v>1</v>
      </c>
      <c r="I3767" t="inlineStr">
        <is>
          <t>T_TAHARI_124001278_NVY_1.jpg</t>
        </is>
      </c>
      <c r="J3767" t="inlineStr">
        <is>
          <t>T_TAHARI_124001278_NVY_2.jpg</t>
        </is>
      </c>
      <c r="K3767" t="inlineStr">
        <is>
          <t>T_TAHARI_124001278_NVY_3.jpg</t>
        </is>
      </c>
      <c r="L3767">
        <f>IMAGE("file:///E:/Estudios%20y%20certificaciones/ESTUDIOS%20DE%20PROGRAMMING/PROGRAMMING/PERSONAL/PYTHON/Image_Generator_API/imagenes/T_TAHARI_124001278_NVY_1.jpg")</f>
        <v/>
      </c>
      <c r="M3767">
        <f>IMAGE("file:///E:/Estudios%20y%20certificaciones/ESTUDIOS%20DE%20PROGRAMMING/PROGRAMMING/PERSONAL/PYTHON/Image_Generator_API/imagenes/T_TAHARI_124001278_NVY_2.jpg")</f>
        <v/>
      </c>
      <c r="N3767">
        <f>IMAGE("file:///E:/Estudios%20y%20certificaciones/ESTUDIOS%20DE%20PROGRAMMING/PROGRAMMING/PERSONAL/PYTHON/Image_Generator_API/imagenes/T_TAHARI_124001278_NVY_3.jpg")</f>
        <v/>
      </c>
      <c r="O3767">
        <f>HYPERLINK("imagenes/T_TAHARI_124001278_NVY_1.jpg","Ver imagen")</f>
        <v/>
      </c>
      <c r="P3767">
        <f>HYPERLINK("imagenes/T_TAHARI_124001278_NVY_2.jpg","Ver imagen")</f>
        <v/>
      </c>
      <c r="Q3767">
        <f>HYPERLINK("imagenes/T_TAHARI_124001278_NVY_3.jpg","Ver imagen")</f>
        <v/>
      </c>
    </row>
    <row r="3768">
      <c r="A3768" t="inlineStr">
        <is>
          <t>T TAHARI</t>
        </is>
      </c>
      <c r="B3768" t="inlineStr">
        <is>
          <t>124001304</t>
        </is>
      </c>
      <c r="C3768" t="inlineStr">
        <is>
          <t>RENO 99793</t>
        </is>
      </c>
      <c r="D3768" t="inlineStr">
        <is>
          <t>BLK</t>
        </is>
      </c>
      <c r="E3768" t="inlineStr">
        <is>
          <t>(en blanco)</t>
        </is>
      </c>
      <c r="F3768" t="inlineStr">
        <is>
          <t>(en blanco)</t>
        </is>
      </c>
      <c r="G3768" t="inlineStr">
        <is>
          <t>M</t>
        </is>
      </c>
      <c r="H3768" t="n">
        <v>1</v>
      </c>
      <c r="I3768" t="inlineStr">
        <is>
          <t>T_TAHARI_124001304_BLK_1.jpg</t>
        </is>
      </c>
      <c r="J3768" t="inlineStr">
        <is>
          <t>T_TAHARI_124001304_BLK_2.jpg</t>
        </is>
      </c>
      <c r="K3768" t="inlineStr">
        <is>
          <t>T_TAHARI_124001304_BLK_3.jpg</t>
        </is>
      </c>
      <c r="L3768">
        <f>IMAGE("file:///E:/Estudios%20y%20certificaciones/ESTUDIOS%20DE%20PROGRAMMING/PROGRAMMING/PERSONAL/PYTHON/Image_Generator_API/imagenes/T_TAHARI_124001304_BLK_1.jpg")</f>
        <v/>
      </c>
      <c r="M3768">
        <f>IMAGE("file:///E:/Estudios%20y%20certificaciones/ESTUDIOS%20DE%20PROGRAMMING/PROGRAMMING/PERSONAL/PYTHON/Image_Generator_API/imagenes/T_TAHARI_124001304_BLK_2.jpg")</f>
        <v/>
      </c>
      <c r="N3768">
        <f>IMAGE("file:///E:/Estudios%20y%20certificaciones/ESTUDIOS%20DE%20PROGRAMMING/PROGRAMMING/PERSONAL/PYTHON/Image_Generator_API/imagenes/T_TAHARI_124001304_BLK_3.jpg")</f>
        <v/>
      </c>
      <c r="O3768">
        <f>HYPERLINK("imagenes/T_TAHARI_124001304_BLK_1.jpg","Ver imagen")</f>
        <v/>
      </c>
      <c r="P3768">
        <f>HYPERLINK("imagenes/T_TAHARI_124001304_BLK_2.jpg","Ver imagen")</f>
        <v/>
      </c>
      <c r="Q3768">
        <f>HYPERLINK("imagenes/T_TAHARI_124001304_BLK_3.jpg","Ver imagen")</f>
        <v/>
      </c>
    </row>
    <row r="3769">
      <c r="A3769" t="inlineStr">
        <is>
          <t>T TAHARI</t>
        </is>
      </c>
      <c r="B3769" t="inlineStr">
        <is>
          <t>124001304</t>
        </is>
      </c>
      <c r="C3769" t="inlineStr">
        <is>
          <t>RENO 99793</t>
        </is>
      </c>
      <c r="D3769" t="inlineStr">
        <is>
          <t>BLK</t>
        </is>
      </c>
      <c r="E3769" t="inlineStr">
        <is>
          <t>(en blanco)</t>
        </is>
      </c>
      <c r="F3769" t="inlineStr">
        <is>
          <t>(en blanco)</t>
        </is>
      </c>
      <c r="G3769" t="inlineStr">
        <is>
          <t>XXL</t>
        </is>
      </c>
      <c r="H3769" t="n">
        <v>1</v>
      </c>
      <c r="I3769" t="inlineStr">
        <is>
          <t>T_TAHARI_124001304_BLK_1.jpg</t>
        </is>
      </c>
      <c r="J3769" t="inlineStr">
        <is>
          <t>T_TAHARI_124001304_BLK_2.jpg</t>
        </is>
      </c>
      <c r="K3769" t="inlineStr">
        <is>
          <t>T_TAHARI_124001304_BLK_3.jpg</t>
        </is>
      </c>
      <c r="L3769">
        <f>IMAGE("file:///E:/Estudios%20y%20certificaciones/ESTUDIOS%20DE%20PROGRAMMING/PROGRAMMING/PERSONAL/PYTHON/Image_Generator_API/imagenes/T_TAHARI_124001304_BLK_1.jpg")</f>
        <v/>
      </c>
      <c r="M3769">
        <f>IMAGE("file:///E:/Estudios%20y%20certificaciones/ESTUDIOS%20DE%20PROGRAMMING/PROGRAMMING/PERSONAL/PYTHON/Image_Generator_API/imagenes/T_TAHARI_124001304_BLK_2.jpg")</f>
        <v/>
      </c>
      <c r="N3769">
        <f>IMAGE("file:///E:/Estudios%20y%20certificaciones/ESTUDIOS%20DE%20PROGRAMMING/PROGRAMMING/PERSONAL/PYTHON/Image_Generator_API/imagenes/T_TAHARI_124001304_BLK_3.jpg")</f>
        <v/>
      </c>
      <c r="O3769">
        <f>HYPERLINK("imagenes/T_TAHARI_124001304_BLK_1.jpg","Ver imagen")</f>
        <v/>
      </c>
      <c r="P3769">
        <f>HYPERLINK("imagenes/T_TAHARI_124001304_BLK_2.jpg","Ver imagen")</f>
        <v/>
      </c>
      <c r="Q3769">
        <f>HYPERLINK("imagenes/T_TAHARI_124001304_BLK_3.jpg","Ver imagen")</f>
        <v/>
      </c>
    </row>
    <row r="3770">
      <c r="A3770" t="inlineStr">
        <is>
          <t>T TAHARI</t>
        </is>
      </c>
      <c r="B3770" t="inlineStr">
        <is>
          <t>124001304</t>
        </is>
      </c>
      <c r="C3770" t="inlineStr">
        <is>
          <t>RENO 99793</t>
        </is>
      </c>
      <c r="D3770" t="inlineStr">
        <is>
          <t>BLK</t>
        </is>
      </c>
      <c r="E3770" t="inlineStr">
        <is>
          <t>(en blanco)</t>
        </is>
      </c>
      <c r="F3770" t="inlineStr">
        <is>
          <t>(en blanco)</t>
        </is>
      </c>
      <c r="G3770" t="inlineStr">
        <is>
          <t>XXS</t>
        </is>
      </c>
      <c r="H3770" t="n">
        <v>8</v>
      </c>
      <c r="I3770" t="inlineStr">
        <is>
          <t>T_TAHARI_124001304_BLK_1.jpg</t>
        </is>
      </c>
      <c r="J3770" t="inlineStr">
        <is>
          <t>T_TAHARI_124001304_BLK_2.jpg</t>
        </is>
      </c>
      <c r="K3770" t="inlineStr">
        <is>
          <t>T_TAHARI_124001304_BLK_3.jpg</t>
        </is>
      </c>
      <c r="L3770">
        <f>IMAGE("file:///E:/Estudios%20y%20certificaciones/ESTUDIOS%20DE%20PROGRAMMING/PROGRAMMING/PERSONAL/PYTHON/Image_Generator_API/imagenes/T_TAHARI_124001304_BLK_1.jpg")</f>
        <v/>
      </c>
      <c r="M3770">
        <f>IMAGE("file:///E:/Estudios%20y%20certificaciones/ESTUDIOS%20DE%20PROGRAMMING/PROGRAMMING/PERSONAL/PYTHON/Image_Generator_API/imagenes/T_TAHARI_124001304_BLK_2.jpg")</f>
        <v/>
      </c>
      <c r="N3770">
        <f>IMAGE("file:///E:/Estudios%20y%20certificaciones/ESTUDIOS%20DE%20PROGRAMMING/PROGRAMMING/PERSONAL/PYTHON/Image_Generator_API/imagenes/T_TAHARI_124001304_BLK_3.jpg")</f>
        <v/>
      </c>
      <c r="O3770">
        <f>HYPERLINK("imagenes/T_TAHARI_124001304_BLK_1.jpg","Ver imagen")</f>
        <v/>
      </c>
      <c r="P3770">
        <f>HYPERLINK("imagenes/T_TAHARI_124001304_BLK_2.jpg","Ver imagen")</f>
        <v/>
      </c>
      <c r="Q3770">
        <f>HYPERLINK("imagenes/T_TAHARI_124001304_BLK_3.jpg","Ver imagen")</f>
        <v/>
      </c>
    </row>
    <row r="3771">
      <c r="A3771" t="inlineStr">
        <is>
          <t>T TAHARI</t>
        </is>
      </c>
      <c r="B3771" t="inlineStr">
        <is>
          <t>124001304</t>
        </is>
      </c>
      <c r="C3771" t="inlineStr">
        <is>
          <t>RENO 99793</t>
        </is>
      </c>
      <c r="D3771" t="inlineStr">
        <is>
          <t>STZ</t>
        </is>
      </c>
      <c r="E3771" t="inlineStr">
        <is>
          <t>(en blanco)</t>
        </is>
      </c>
      <c r="F3771" t="inlineStr">
        <is>
          <t>(en blanco)</t>
        </is>
      </c>
      <c r="G3771" t="inlineStr">
        <is>
          <t>XS</t>
        </is>
      </c>
      <c r="H3771" t="n">
        <v>9</v>
      </c>
      <c r="I3771" t="inlineStr">
        <is>
          <t>T_TAHARI_124001304_STZ_1.jpg</t>
        </is>
      </c>
      <c r="J3771" t="inlineStr">
        <is>
          <t>T_TAHARI_124001304_STZ_2.jpg</t>
        </is>
      </c>
      <c r="K3771" t="inlineStr">
        <is>
          <t>T_TAHARI_124001304_STZ_3.jpg</t>
        </is>
      </c>
      <c r="L3771">
        <f>IMAGE("file:///E:/Estudios%20y%20certificaciones/ESTUDIOS%20DE%20PROGRAMMING/PROGRAMMING/PERSONAL/PYTHON/Image_Generator_API/imagenes/T_TAHARI_124001304_STZ_1.jpg")</f>
        <v/>
      </c>
      <c r="M3771">
        <f>IMAGE("file:///E:/Estudios%20y%20certificaciones/ESTUDIOS%20DE%20PROGRAMMING/PROGRAMMING/PERSONAL/PYTHON/Image_Generator_API/imagenes/T_TAHARI_124001304_STZ_2.jpg")</f>
        <v/>
      </c>
      <c r="N3771">
        <f>IMAGE("file:///E:/Estudios%20y%20certificaciones/ESTUDIOS%20DE%20PROGRAMMING/PROGRAMMING/PERSONAL/PYTHON/Image_Generator_API/imagenes/T_TAHARI_124001304_STZ_3.jpg")</f>
        <v/>
      </c>
      <c r="O3771">
        <f>HYPERLINK("imagenes/T_TAHARI_124001304_STZ_1.jpg","Ver imagen")</f>
        <v/>
      </c>
      <c r="P3771">
        <f>HYPERLINK("imagenes/T_TAHARI_124001304_STZ_2.jpg","Ver imagen")</f>
        <v/>
      </c>
      <c r="Q3771">
        <f>HYPERLINK("imagenes/T_TAHARI_124001304_STZ_3.jpg","Ver imagen")</f>
        <v/>
      </c>
    </row>
    <row r="3772">
      <c r="A3772" t="inlineStr">
        <is>
          <t>T TAHARI</t>
        </is>
      </c>
      <c r="B3772" t="inlineStr">
        <is>
          <t>124001304</t>
        </is>
      </c>
      <c r="C3772" t="inlineStr">
        <is>
          <t>RENO 99793</t>
        </is>
      </c>
      <c r="D3772" t="inlineStr">
        <is>
          <t>STZ</t>
        </is>
      </c>
      <c r="E3772" t="inlineStr">
        <is>
          <t>(en blanco)</t>
        </is>
      </c>
      <c r="F3772" t="inlineStr">
        <is>
          <t>(en blanco)</t>
        </is>
      </c>
      <c r="G3772" t="inlineStr">
        <is>
          <t>S</t>
        </is>
      </c>
      <c r="H3772" t="n">
        <v>3</v>
      </c>
      <c r="I3772" t="inlineStr">
        <is>
          <t>T_TAHARI_124001304_STZ_1.jpg</t>
        </is>
      </c>
      <c r="J3772" t="inlineStr">
        <is>
          <t>T_TAHARI_124001304_STZ_2.jpg</t>
        </is>
      </c>
      <c r="K3772" t="inlineStr">
        <is>
          <t>T_TAHARI_124001304_STZ_3.jpg</t>
        </is>
      </c>
      <c r="L3772">
        <f>IMAGE("file:///E:/Estudios%20y%20certificaciones/ESTUDIOS%20DE%20PROGRAMMING/PROGRAMMING/PERSONAL/PYTHON/Image_Generator_API/imagenes/T_TAHARI_124001304_STZ_1.jpg")</f>
        <v/>
      </c>
      <c r="M3772">
        <f>IMAGE("file:///E:/Estudios%20y%20certificaciones/ESTUDIOS%20DE%20PROGRAMMING/PROGRAMMING/PERSONAL/PYTHON/Image_Generator_API/imagenes/T_TAHARI_124001304_STZ_2.jpg")</f>
        <v/>
      </c>
      <c r="N3772">
        <f>IMAGE("file:///E:/Estudios%20y%20certificaciones/ESTUDIOS%20DE%20PROGRAMMING/PROGRAMMING/PERSONAL/PYTHON/Image_Generator_API/imagenes/T_TAHARI_124001304_STZ_3.jpg")</f>
        <v/>
      </c>
      <c r="O3772">
        <f>HYPERLINK("imagenes/T_TAHARI_124001304_STZ_1.jpg","Ver imagen")</f>
        <v/>
      </c>
      <c r="P3772">
        <f>HYPERLINK("imagenes/T_TAHARI_124001304_STZ_2.jpg","Ver imagen")</f>
        <v/>
      </c>
      <c r="Q3772">
        <f>HYPERLINK("imagenes/T_TAHARI_124001304_STZ_3.jpg","Ver imagen")</f>
        <v/>
      </c>
    </row>
    <row r="3773">
      <c r="A3773" t="inlineStr">
        <is>
          <t>T TAHARI</t>
        </is>
      </c>
      <c r="B3773" t="inlineStr">
        <is>
          <t>124001304</t>
        </is>
      </c>
      <c r="C3773" t="inlineStr">
        <is>
          <t>RENO 99793</t>
        </is>
      </c>
      <c r="D3773" t="inlineStr">
        <is>
          <t>STZ</t>
        </is>
      </c>
      <c r="E3773" t="inlineStr">
        <is>
          <t>(en blanco)</t>
        </is>
      </c>
      <c r="F3773" t="inlineStr">
        <is>
          <t>(en blanco)</t>
        </is>
      </c>
      <c r="G3773" t="inlineStr">
        <is>
          <t>M</t>
        </is>
      </c>
      <c r="H3773" t="n">
        <v>8</v>
      </c>
      <c r="I3773" t="inlineStr">
        <is>
          <t>T_TAHARI_124001304_STZ_1.jpg</t>
        </is>
      </c>
      <c r="J3773" t="inlineStr">
        <is>
          <t>T_TAHARI_124001304_STZ_2.jpg</t>
        </is>
      </c>
      <c r="K3773" t="inlineStr">
        <is>
          <t>T_TAHARI_124001304_STZ_3.jpg</t>
        </is>
      </c>
      <c r="L3773">
        <f>IMAGE("file:///E:/Estudios%20y%20certificaciones/ESTUDIOS%20DE%20PROGRAMMING/PROGRAMMING/PERSONAL/PYTHON/Image_Generator_API/imagenes/T_TAHARI_124001304_STZ_1.jpg")</f>
        <v/>
      </c>
      <c r="M3773">
        <f>IMAGE("file:///E:/Estudios%20y%20certificaciones/ESTUDIOS%20DE%20PROGRAMMING/PROGRAMMING/PERSONAL/PYTHON/Image_Generator_API/imagenes/T_TAHARI_124001304_STZ_2.jpg")</f>
        <v/>
      </c>
      <c r="N3773">
        <f>IMAGE("file:///E:/Estudios%20y%20certificaciones/ESTUDIOS%20DE%20PROGRAMMING/PROGRAMMING/PERSONAL/PYTHON/Image_Generator_API/imagenes/T_TAHARI_124001304_STZ_3.jpg")</f>
        <v/>
      </c>
      <c r="O3773">
        <f>HYPERLINK("imagenes/T_TAHARI_124001304_STZ_1.jpg","Ver imagen")</f>
        <v/>
      </c>
      <c r="P3773">
        <f>HYPERLINK("imagenes/T_TAHARI_124001304_STZ_2.jpg","Ver imagen")</f>
        <v/>
      </c>
      <c r="Q3773">
        <f>HYPERLINK("imagenes/T_TAHARI_124001304_STZ_3.jpg","Ver imagen")</f>
        <v/>
      </c>
    </row>
    <row r="3774">
      <c r="A3774" t="inlineStr">
        <is>
          <t>T TAHARI</t>
        </is>
      </c>
      <c r="B3774" t="inlineStr">
        <is>
          <t>124001304</t>
        </is>
      </c>
      <c r="C3774" t="inlineStr">
        <is>
          <t>RENO 99793</t>
        </is>
      </c>
      <c r="D3774" t="inlineStr">
        <is>
          <t>STZ</t>
        </is>
      </c>
      <c r="E3774" t="inlineStr">
        <is>
          <t>(en blanco)</t>
        </is>
      </c>
      <c r="F3774" t="inlineStr">
        <is>
          <t>(en blanco)</t>
        </is>
      </c>
      <c r="G3774" t="inlineStr">
        <is>
          <t>XL</t>
        </is>
      </c>
      <c r="H3774" t="n">
        <v>1</v>
      </c>
      <c r="I3774" t="inlineStr">
        <is>
          <t>T_TAHARI_124001304_STZ_1.jpg</t>
        </is>
      </c>
      <c r="J3774" t="inlineStr">
        <is>
          <t>T_TAHARI_124001304_STZ_2.jpg</t>
        </is>
      </c>
      <c r="K3774" t="inlineStr">
        <is>
          <t>T_TAHARI_124001304_STZ_3.jpg</t>
        </is>
      </c>
      <c r="L3774">
        <f>IMAGE("file:///E:/Estudios%20y%20certificaciones/ESTUDIOS%20DE%20PROGRAMMING/PROGRAMMING/PERSONAL/PYTHON/Image_Generator_API/imagenes/T_TAHARI_124001304_STZ_1.jpg")</f>
        <v/>
      </c>
      <c r="M3774">
        <f>IMAGE("file:///E:/Estudios%20y%20certificaciones/ESTUDIOS%20DE%20PROGRAMMING/PROGRAMMING/PERSONAL/PYTHON/Image_Generator_API/imagenes/T_TAHARI_124001304_STZ_2.jpg")</f>
        <v/>
      </c>
      <c r="N3774">
        <f>IMAGE("file:///E:/Estudios%20y%20certificaciones/ESTUDIOS%20DE%20PROGRAMMING/PROGRAMMING/PERSONAL/PYTHON/Image_Generator_API/imagenes/T_TAHARI_124001304_STZ_3.jpg")</f>
        <v/>
      </c>
      <c r="O3774">
        <f>HYPERLINK("imagenes/T_TAHARI_124001304_STZ_1.jpg","Ver imagen")</f>
        <v/>
      </c>
      <c r="P3774">
        <f>HYPERLINK("imagenes/T_TAHARI_124001304_STZ_2.jpg","Ver imagen")</f>
        <v/>
      </c>
      <c r="Q3774">
        <f>HYPERLINK("imagenes/T_TAHARI_124001304_STZ_3.jpg","Ver imagen")</f>
        <v/>
      </c>
    </row>
    <row r="3775">
      <c r="A3775" t="inlineStr">
        <is>
          <t>T TAHARI</t>
        </is>
      </c>
      <c r="B3775" t="inlineStr">
        <is>
          <t>124001304</t>
        </is>
      </c>
      <c r="C3775" t="inlineStr">
        <is>
          <t>RENO 99793</t>
        </is>
      </c>
      <c r="D3775" t="inlineStr">
        <is>
          <t>STZ</t>
        </is>
      </c>
      <c r="E3775" t="inlineStr">
        <is>
          <t>(en blanco)</t>
        </is>
      </c>
      <c r="F3775" t="inlineStr">
        <is>
          <t>(en blanco)</t>
        </is>
      </c>
      <c r="G3775" t="inlineStr">
        <is>
          <t>XXL</t>
        </is>
      </c>
      <c r="H3775" t="n">
        <v>1</v>
      </c>
      <c r="I3775" t="inlineStr">
        <is>
          <t>T_TAHARI_124001304_STZ_1.jpg</t>
        </is>
      </c>
      <c r="J3775" t="inlineStr">
        <is>
          <t>T_TAHARI_124001304_STZ_2.jpg</t>
        </is>
      </c>
      <c r="K3775" t="inlineStr">
        <is>
          <t>T_TAHARI_124001304_STZ_3.jpg</t>
        </is>
      </c>
      <c r="L3775">
        <f>IMAGE("file:///E:/Estudios%20y%20certificaciones/ESTUDIOS%20DE%20PROGRAMMING/PROGRAMMING/PERSONAL/PYTHON/Image_Generator_API/imagenes/T_TAHARI_124001304_STZ_1.jpg")</f>
        <v/>
      </c>
      <c r="M3775">
        <f>IMAGE("file:///E:/Estudios%20y%20certificaciones/ESTUDIOS%20DE%20PROGRAMMING/PROGRAMMING/PERSONAL/PYTHON/Image_Generator_API/imagenes/T_TAHARI_124001304_STZ_2.jpg")</f>
        <v/>
      </c>
      <c r="N3775">
        <f>IMAGE("file:///E:/Estudios%20y%20certificaciones/ESTUDIOS%20DE%20PROGRAMMING/PROGRAMMING/PERSONAL/PYTHON/Image_Generator_API/imagenes/T_TAHARI_124001304_STZ_3.jpg")</f>
        <v/>
      </c>
      <c r="O3775">
        <f>HYPERLINK("imagenes/T_TAHARI_124001304_STZ_1.jpg","Ver imagen")</f>
        <v/>
      </c>
      <c r="P3775">
        <f>HYPERLINK("imagenes/T_TAHARI_124001304_STZ_2.jpg","Ver imagen")</f>
        <v/>
      </c>
      <c r="Q3775">
        <f>HYPERLINK("imagenes/T_TAHARI_124001304_STZ_3.jpg","Ver imagen")</f>
        <v/>
      </c>
    </row>
    <row r="3776">
      <c r="A3776" t="inlineStr">
        <is>
          <t>T TAHARI</t>
        </is>
      </c>
      <c r="B3776" t="inlineStr">
        <is>
          <t>124001304</t>
        </is>
      </c>
      <c r="C3776" t="inlineStr">
        <is>
          <t>RENO 99793</t>
        </is>
      </c>
      <c r="D3776" t="inlineStr">
        <is>
          <t>STZ</t>
        </is>
      </c>
      <c r="E3776" t="inlineStr">
        <is>
          <t>(en blanco)</t>
        </is>
      </c>
      <c r="F3776" t="inlineStr">
        <is>
          <t>(en blanco)</t>
        </is>
      </c>
      <c r="G3776" t="inlineStr">
        <is>
          <t>XXS</t>
        </is>
      </c>
      <c r="H3776" t="n">
        <v>5</v>
      </c>
      <c r="I3776" t="inlineStr">
        <is>
          <t>T_TAHARI_124001304_STZ_1.jpg</t>
        </is>
      </c>
      <c r="J3776" t="inlineStr">
        <is>
          <t>T_TAHARI_124001304_STZ_2.jpg</t>
        </is>
      </c>
      <c r="K3776" t="inlineStr">
        <is>
          <t>T_TAHARI_124001304_STZ_3.jpg</t>
        </is>
      </c>
      <c r="L3776">
        <f>IMAGE("file:///E:/Estudios%20y%20certificaciones/ESTUDIOS%20DE%20PROGRAMMING/PROGRAMMING/PERSONAL/PYTHON/Image_Generator_API/imagenes/T_TAHARI_124001304_STZ_1.jpg")</f>
        <v/>
      </c>
      <c r="M3776">
        <f>IMAGE("file:///E:/Estudios%20y%20certificaciones/ESTUDIOS%20DE%20PROGRAMMING/PROGRAMMING/PERSONAL/PYTHON/Image_Generator_API/imagenes/T_TAHARI_124001304_STZ_2.jpg")</f>
        <v/>
      </c>
      <c r="N3776">
        <f>IMAGE("file:///E:/Estudios%20y%20certificaciones/ESTUDIOS%20DE%20PROGRAMMING/PROGRAMMING/PERSONAL/PYTHON/Image_Generator_API/imagenes/T_TAHARI_124001304_STZ_3.jpg")</f>
        <v/>
      </c>
      <c r="O3776">
        <f>HYPERLINK("imagenes/T_TAHARI_124001304_STZ_1.jpg","Ver imagen")</f>
        <v/>
      </c>
      <c r="P3776">
        <f>HYPERLINK("imagenes/T_TAHARI_124001304_STZ_2.jpg","Ver imagen")</f>
        <v/>
      </c>
      <c r="Q3776">
        <f>HYPERLINK("imagenes/T_TAHARI_124001304_STZ_3.jpg","Ver imagen")</f>
        <v/>
      </c>
    </row>
    <row r="3777">
      <c r="A3777" t="inlineStr">
        <is>
          <t>T TAHARI</t>
        </is>
      </c>
      <c r="B3777" t="inlineStr">
        <is>
          <t>124001327</t>
        </is>
      </c>
      <c r="C3777" t="inlineStr">
        <is>
          <t>CAMILLA DUP99898</t>
        </is>
      </c>
      <c r="D3777" t="inlineStr">
        <is>
          <t>BLK</t>
        </is>
      </c>
      <c r="E3777" t="inlineStr">
        <is>
          <t>(en blanco)</t>
        </is>
      </c>
      <c r="F3777" t="inlineStr">
        <is>
          <t>(en blanco)</t>
        </is>
      </c>
      <c r="G3777" t="inlineStr">
        <is>
          <t>XS</t>
        </is>
      </c>
      <c r="H3777" t="n">
        <v>4</v>
      </c>
      <c r="I3777" t="inlineStr">
        <is>
          <t>T_TAHARI_124001327_BLK_1.jpg</t>
        </is>
      </c>
      <c r="J3777" t="inlineStr">
        <is>
          <t>T_TAHARI_124001327_BLK_2.jpg</t>
        </is>
      </c>
      <c r="K3777" t="inlineStr">
        <is>
          <t>T_TAHARI_124001327_BLK_3.jpg</t>
        </is>
      </c>
      <c r="L3777">
        <f>IMAGE("file:///E:/Estudios%20y%20certificaciones/ESTUDIOS%20DE%20PROGRAMMING/PROGRAMMING/PERSONAL/PYTHON/Image_Generator_API/imagenes/T_TAHARI_124001327_BLK_1.jpg")</f>
        <v/>
      </c>
      <c r="M3777">
        <f>IMAGE("file:///E:/Estudios%20y%20certificaciones/ESTUDIOS%20DE%20PROGRAMMING/PROGRAMMING/PERSONAL/PYTHON/Image_Generator_API/imagenes/T_TAHARI_124001327_BLK_2.jpg")</f>
        <v/>
      </c>
      <c r="N3777">
        <f>IMAGE("file:///E:/Estudios%20y%20certificaciones/ESTUDIOS%20DE%20PROGRAMMING/PROGRAMMING/PERSONAL/PYTHON/Image_Generator_API/imagenes/T_TAHARI_124001327_BLK_3.jpg")</f>
        <v/>
      </c>
      <c r="O3777">
        <f>HYPERLINK("imagenes/T_TAHARI_124001327_BLK_1.jpg","Ver imagen")</f>
        <v/>
      </c>
      <c r="P3777">
        <f>HYPERLINK("imagenes/T_TAHARI_124001327_BLK_2.jpg","Ver imagen")</f>
        <v/>
      </c>
      <c r="Q3777">
        <f>HYPERLINK("imagenes/T_TAHARI_124001327_BLK_3.jpg","Ver imagen")</f>
        <v/>
      </c>
    </row>
    <row r="3778">
      <c r="A3778" t="inlineStr">
        <is>
          <t>T TAHARI</t>
        </is>
      </c>
      <c r="B3778" t="inlineStr">
        <is>
          <t>124001400</t>
        </is>
      </c>
      <c r="C3778" t="inlineStr">
        <is>
          <t>SHEENA 99826</t>
        </is>
      </c>
      <c r="D3778" t="inlineStr">
        <is>
          <t>ASH</t>
        </is>
      </c>
      <c r="E3778" t="inlineStr">
        <is>
          <t>(en blanco)</t>
        </is>
      </c>
      <c r="F3778" t="inlineStr">
        <is>
          <t>(en blanco)</t>
        </is>
      </c>
      <c r="G3778" t="inlineStr">
        <is>
          <t>S</t>
        </is>
      </c>
      <c r="H3778" t="n">
        <v>1</v>
      </c>
      <c r="I3778" t="inlineStr">
        <is>
          <t>T_TAHARI_124001400_ASH_1.jpg</t>
        </is>
      </c>
      <c r="J3778" t="inlineStr">
        <is>
          <t>T_TAHARI_124001400_ASH_2.jpg</t>
        </is>
      </c>
      <c r="K3778" t="inlineStr">
        <is>
          <t>T_TAHARI_124001400_ASH_3.jpg</t>
        </is>
      </c>
      <c r="L3778">
        <f>IMAGE("file:///E:/Estudios%20y%20certificaciones/ESTUDIOS%20DE%20PROGRAMMING/PROGRAMMING/PERSONAL/PYTHON/Image_Generator_API/imagenes/T_TAHARI_124001400_ASH_1.jpg")</f>
        <v/>
      </c>
      <c r="M3778">
        <f>IMAGE("file:///E:/Estudios%20y%20certificaciones/ESTUDIOS%20DE%20PROGRAMMING/PROGRAMMING/PERSONAL/PYTHON/Image_Generator_API/imagenes/T_TAHARI_124001400_ASH_2.jpg")</f>
        <v/>
      </c>
      <c r="N3778">
        <f>IMAGE("file:///E:/Estudios%20y%20certificaciones/ESTUDIOS%20DE%20PROGRAMMING/PROGRAMMING/PERSONAL/PYTHON/Image_Generator_API/imagenes/T_TAHARI_124001400_ASH_3.jpg")</f>
        <v/>
      </c>
      <c r="O3778">
        <f>HYPERLINK("imagenes/T_TAHARI_124001400_ASH_1.jpg","Ver imagen")</f>
        <v/>
      </c>
      <c r="P3778">
        <f>HYPERLINK("imagenes/T_TAHARI_124001400_ASH_2.jpg","Ver imagen")</f>
        <v/>
      </c>
      <c r="Q3778">
        <f>HYPERLINK("imagenes/T_TAHARI_124001400_ASH_3.jpg","Ver imagen")</f>
        <v/>
      </c>
    </row>
    <row r="3779">
      <c r="A3779" t="inlineStr">
        <is>
          <t>T TAHARI</t>
        </is>
      </c>
      <c r="B3779" t="inlineStr">
        <is>
          <t>124001400</t>
        </is>
      </c>
      <c r="C3779" t="inlineStr">
        <is>
          <t>SHEENA 99826</t>
        </is>
      </c>
      <c r="D3779" t="inlineStr">
        <is>
          <t>BLK</t>
        </is>
      </c>
      <c r="E3779" t="inlineStr">
        <is>
          <t>(en blanco)</t>
        </is>
      </c>
      <c r="F3779" t="inlineStr">
        <is>
          <t>(en blanco)</t>
        </is>
      </c>
      <c r="G3779" t="inlineStr">
        <is>
          <t>XS</t>
        </is>
      </c>
      <c r="H3779" t="n">
        <v>4</v>
      </c>
      <c r="I3779" t="inlineStr">
        <is>
          <t>T_TAHARI_124001400_BLK_1.jpg</t>
        </is>
      </c>
      <c r="J3779" t="inlineStr">
        <is>
          <t>T_TAHARI_124001400_BLK_2.jpg</t>
        </is>
      </c>
      <c r="K3779" t="inlineStr">
        <is>
          <t>T_TAHARI_124001400_BLK_3.jpg</t>
        </is>
      </c>
      <c r="L3779">
        <f>IMAGE("file:///E:/Estudios%20y%20certificaciones/ESTUDIOS%20DE%20PROGRAMMING/PROGRAMMING/PERSONAL/PYTHON/Image_Generator_API/imagenes/T_TAHARI_124001400_BLK_1.jpg")</f>
        <v/>
      </c>
      <c r="M3779">
        <f>IMAGE("file:///E:/Estudios%20y%20certificaciones/ESTUDIOS%20DE%20PROGRAMMING/PROGRAMMING/PERSONAL/PYTHON/Image_Generator_API/imagenes/T_TAHARI_124001400_BLK_2.jpg")</f>
        <v/>
      </c>
      <c r="N3779">
        <f>IMAGE("file:///E:/Estudios%20y%20certificaciones/ESTUDIOS%20DE%20PROGRAMMING/PROGRAMMING/PERSONAL/PYTHON/Image_Generator_API/imagenes/T_TAHARI_124001400_BLK_3.jpg")</f>
        <v/>
      </c>
      <c r="O3779">
        <f>HYPERLINK("imagenes/T_TAHARI_124001400_BLK_1.jpg","Ver imagen")</f>
        <v/>
      </c>
      <c r="P3779">
        <f>HYPERLINK("imagenes/T_TAHARI_124001400_BLK_2.jpg","Ver imagen")</f>
        <v/>
      </c>
      <c r="Q3779">
        <f>HYPERLINK("imagenes/T_TAHARI_124001400_BLK_3.jpg","Ver imagen")</f>
        <v/>
      </c>
    </row>
    <row r="3780">
      <c r="A3780" t="inlineStr">
        <is>
          <t>T TAHARI</t>
        </is>
      </c>
      <c r="B3780" t="inlineStr">
        <is>
          <t>124001400</t>
        </is>
      </c>
      <c r="C3780" t="inlineStr">
        <is>
          <t>SHEENA 99826</t>
        </is>
      </c>
      <c r="D3780" t="inlineStr">
        <is>
          <t>BLK</t>
        </is>
      </c>
      <c r="E3780" t="inlineStr">
        <is>
          <t>(en blanco)</t>
        </is>
      </c>
      <c r="F3780" t="inlineStr">
        <is>
          <t>(en blanco)</t>
        </is>
      </c>
      <c r="G3780" t="inlineStr">
        <is>
          <t>S</t>
        </is>
      </c>
      <c r="H3780" t="n">
        <v>7</v>
      </c>
      <c r="I3780" t="inlineStr">
        <is>
          <t>T_TAHARI_124001400_BLK_1.jpg</t>
        </is>
      </c>
      <c r="J3780" t="inlineStr">
        <is>
          <t>T_TAHARI_124001400_BLK_2.jpg</t>
        </is>
      </c>
      <c r="K3780" t="inlineStr">
        <is>
          <t>T_TAHARI_124001400_BLK_3.jpg</t>
        </is>
      </c>
      <c r="L3780">
        <f>IMAGE("file:///E:/Estudios%20y%20certificaciones/ESTUDIOS%20DE%20PROGRAMMING/PROGRAMMING/PERSONAL/PYTHON/Image_Generator_API/imagenes/T_TAHARI_124001400_BLK_1.jpg")</f>
        <v/>
      </c>
      <c r="M3780">
        <f>IMAGE("file:///E:/Estudios%20y%20certificaciones/ESTUDIOS%20DE%20PROGRAMMING/PROGRAMMING/PERSONAL/PYTHON/Image_Generator_API/imagenes/T_TAHARI_124001400_BLK_2.jpg")</f>
        <v/>
      </c>
      <c r="N3780">
        <f>IMAGE("file:///E:/Estudios%20y%20certificaciones/ESTUDIOS%20DE%20PROGRAMMING/PROGRAMMING/PERSONAL/PYTHON/Image_Generator_API/imagenes/T_TAHARI_124001400_BLK_3.jpg")</f>
        <v/>
      </c>
      <c r="O3780">
        <f>HYPERLINK("imagenes/T_TAHARI_124001400_BLK_1.jpg","Ver imagen")</f>
        <v/>
      </c>
      <c r="P3780">
        <f>HYPERLINK("imagenes/T_TAHARI_124001400_BLK_2.jpg","Ver imagen")</f>
        <v/>
      </c>
      <c r="Q3780">
        <f>HYPERLINK("imagenes/T_TAHARI_124001400_BLK_3.jpg","Ver imagen")</f>
        <v/>
      </c>
    </row>
    <row r="3781">
      <c r="A3781" t="inlineStr">
        <is>
          <t>T TAHARI</t>
        </is>
      </c>
      <c r="B3781" t="inlineStr">
        <is>
          <t>124001400</t>
        </is>
      </c>
      <c r="C3781" t="inlineStr">
        <is>
          <t>SHEENA 99826</t>
        </is>
      </c>
      <c r="D3781" t="inlineStr">
        <is>
          <t>BLK</t>
        </is>
      </c>
      <c r="E3781" t="inlineStr">
        <is>
          <t>(en blanco)</t>
        </is>
      </c>
      <c r="F3781" t="inlineStr">
        <is>
          <t>(en blanco)</t>
        </is>
      </c>
      <c r="G3781" t="inlineStr">
        <is>
          <t>M</t>
        </is>
      </c>
      <c r="H3781" t="n">
        <v>7</v>
      </c>
      <c r="I3781" t="inlineStr">
        <is>
          <t>T_TAHARI_124001400_BLK_1.jpg</t>
        </is>
      </c>
      <c r="J3781" t="inlineStr">
        <is>
          <t>T_TAHARI_124001400_BLK_2.jpg</t>
        </is>
      </c>
      <c r="K3781" t="inlineStr">
        <is>
          <t>T_TAHARI_124001400_BLK_3.jpg</t>
        </is>
      </c>
      <c r="L3781">
        <f>IMAGE("file:///E:/Estudios%20y%20certificaciones/ESTUDIOS%20DE%20PROGRAMMING/PROGRAMMING/PERSONAL/PYTHON/Image_Generator_API/imagenes/T_TAHARI_124001400_BLK_1.jpg")</f>
        <v/>
      </c>
      <c r="M3781">
        <f>IMAGE("file:///E:/Estudios%20y%20certificaciones/ESTUDIOS%20DE%20PROGRAMMING/PROGRAMMING/PERSONAL/PYTHON/Image_Generator_API/imagenes/T_TAHARI_124001400_BLK_2.jpg")</f>
        <v/>
      </c>
      <c r="N3781">
        <f>IMAGE("file:///E:/Estudios%20y%20certificaciones/ESTUDIOS%20DE%20PROGRAMMING/PROGRAMMING/PERSONAL/PYTHON/Image_Generator_API/imagenes/T_TAHARI_124001400_BLK_3.jpg")</f>
        <v/>
      </c>
      <c r="O3781">
        <f>HYPERLINK("imagenes/T_TAHARI_124001400_BLK_1.jpg","Ver imagen")</f>
        <v/>
      </c>
      <c r="P3781">
        <f>HYPERLINK("imagenes/T_TAHARI_124001400_BLK_2.jpg","Ver imagen")</f>
        <v/>
      </c>
      <c r="Q3781">
        <f>HYPERLINK("imagenes/T_TAHARI_124001400_BLK_3.jpg","Ver imagen")</f>
        <v/>
      </c>
    </row>
    <row r="3782">
      <c r="A3782" t="inlineStr">
        <is>
          <t>T TAHARI</t>
        </is>
      </c>
      <c r="B3782" t="inlineStr">
        <is>
          <t>124001400</t>
        </is>
      </c>
      <c r="C3782" t="inlineStr">
        <is>
          <t>SHEENA 99826</t>
        </is>
      </c>
      <c r="D3782" t="inlineStr">
        <is>
          <t>BLK</t>
        </is>
      </c>
      <c r="E3782" t="inlineStr">
        <is>
          <t>(en blanco)</t>
        </is>
      </c>
      <c r="F3782" t="inlineStr">
        <is>
          <t>(en blanco)</t>
        </is>
      </c>
      <c r="G3782" t="inlineStr">
        <is>
          <t>L</t>
        </is>
      </c>
      <c r="H3782" t="n">
        <v>9</v>
      </c>
      <c r="I3782" t="inlineStr">
        <is>
          <t>T_TAHARI_124001400_BLK_1.jpg</t>
        </is>
      </c>
      <c r="J3782" t="inlineStr">
        <is>
          <t>T_TAHARI_124001400_BLK_2.jpg</t>
        </is>
      </c>
      <c r="K3782" t="inlineStr">
        <is>
          <t>T_TAHARI_124001400_BLK_3.jpg</t>
        </is>
      </c>
      <c r="L3782">
        <f>IMAGE("file:///E:/Estudios%20y%20certificaciones/ESTUDIOS%20DE%20PROGRAMMING/PROGRAMMING/PERSONAL/PYTHON/Image_Generator_API/imagenes/T_TAHARI_124001400_BLK_1.jpg")</f>
        <v/>
      </c>
      <c r="M3782">
        <f>IMAGE("file:///E:/Estudios%20y%20certificaciones/ESTUDIOS%20DE%20PROGRAMMING/PROGRAMMING/PERSONAL/PYTHON/Image_Generator_API/imagenes/T_TAHARI_124001400_BLK_2.jpg")</f>
        <v/>
      </c>
      <c r="N3782">
        <f>IMAGE("file:///E:/Estudios%20y%20certificaciones/ESTUDIOS%20DE%20PROGRAMMING/PROGRAMMING/PERSONAL/PYTHON/Image_Generator_API/imagenes/T_TAHARI_124001400_BLK_3.jpg")</f>
        <v/>
      </c>
      <c r="O3782">
        <f>HYPERLINK("imagenes/T_TAHARI_124001400_BLK_1.jpg","Ver imagen")</f>
        <v/>
      </c>
      <c r="P3782">
        <f>HYPERLINK("imagenes/T_TAHARI_124001400_BLK_2.jpg","Ver imagen")</f>
        <v/>
      </c>
      <c r="Q3782">
        <f>HYPERLINK("imagenes/T_TAHARI_124001400_BLK_3.jpg","Ver imagen")</f>
        <v/>
      </c>
    </row>
    <row r="3783">
      <c r="A3783" t="inlineStr">
        <is>
          <t>T TAHARI</t>
        </is>
      </c>
      <c r="B3783" t="inlineStr">
        <is>
          <t>124001400</t>
        </is>
      </c>
      <c r="C3783" t="inlineStr">
        <is>
          <t>SHEENA 99826</t>
        </is>
      </c>
      <c r="D3783" t="inlineStr">
        <is>
          <t>BLK</t>
        </is>
      </c>
      <c r="E3783" t="inlineStr">
        <is>
          <t>(en blanco)</t>
        </is>
      </c>
      <c r="F3783" t="inlineStr">
        <is>
          <t>(en blanco)</t>
        </is>
      </c>
      <c r="G3783" t="inlineStr">
        <is>
          <t>XL</t>
        </is>
      </c>
      <c r="H3783" t="n">
        <v>7</v>
      </c>
      <c r="I3783" t="inlineStr">
        <is>
          <t>T_TAHARI_124001400_BLK_1.jpg</t>
        </is>
      </c>
      <c r="J3783" t="inlineStr">
        <is>
          <t>T_TAHARI_124001400_BLK_2.jpg</t>
        </is>
      </c>
      <c r="K3783" t="inlineStr">
        <is>
          <t>T_TAHARI_124001400_BLK_3.jpg</t>
        </is>
      </c>
      <c r="L3783">
        <f>IMAGE("file:///E:/Estudios%20y%20certificaciones/ESTUDIOS%20DE%20PROGRAMMING/PROGRAMMING/PERSONAL/PYTHON/Image_Generator_API/imagenes/T_TAHARI_124001400_BLK_1.jpg")</f>
        <v/>
      </c>
      <c r="M3783">
        <f>IMAGE("file:///E:/Estudios%20y%20certificaciones/ESTUDIOS%20DE%20PROGRAMMING/PROGRAMMING/PERSONAL/PYTHON/Image_Generator_API/imagenes/T_TAHARI_124001400_BLK_2.jpg")</f>
        <v/>
      </c>
      <c r="N3783">
        <f>IMAGE("file:///E:/Estudios%20y%20certificaciones/ESTUDIOS%20DE%20PROGRAMMING/PROGRAMMING/PERSONAL/PYTHON/Image_Generator_API/imagenes/T_TAHARI_124001400_BLK_3.jpg")</f>
        <v/>
      </c>
      <c r="O3783">
        <f>HYPERLINK("imagenes/T_TAHARI_124001400_BLK_1.jpg","Ver imagen")</f>
        <v/>
      </c>
      <c r="P3783">
        <f>HYPERLINK("imagenes/T_TAHARI_124001400_BLK_2.jpg","Ver imagen")</f>
        <v/>
      </c>
      <c r="Q3783">
        <f>HYPERLINK("imagenes/T_TAHARI_124001400_BLK_3.jpg","Ver imagen")</f>
        <v/>
      </c>
    </row>
    <row r="3784">
      <c r="A3784" t="inlineStr">
        <is>
          <t>T TAHARI</t>
        </is>
      </c>
      <c r="B3784" t="inlineStr">
        <is>
          <t>124001624</t>
        </is>
      </c>
      <c r="C3784" t="inlineStr">
        <is>
          <t>ASTRID 99814</t>
        </is>
      </c>
      <c r="D3784" t="inlineStr">
        <is>
          <t>BLK</t>
        </is>
      </c>
      <c r="E3784" t="inlineStr">
        <is>
          <t>(en blanco)</t>
        </is>
      </c>
      <c r="F3784" t="inlineStr">
        <is>
          <t>(en blanco)</t>
        </is>
      </c>
      <c r="G3784" t="inlineStr">
        <is>
          <t>XS</t>
        </is>
      </c>
      <c r="H3784" t="n">
        <v>16</v>
      </c>
      <c r="I3784" t="inlineStr">
        <is>
          <t>T_TAHARI_124001624_BLK_1.jpg</t>
        </is>
      </c>
      <c r="J3784" t="inlineStr">
        <is>
          <t>T_TAHARI_124001624_BLK_2.jpg</t>
        </is>
      </c>
      <c r="K3784" t="inlineStr">
        <is>
          <t>T_TAHARI_124001624_BLK_3.jpg</t>
        </is>
      </c>
      <c r="L3784">
        <f>IMAGE("file:///E:/Estudios%20y%20certificaciones/ESTUDIOS%20DE%20PROGRAMMING/PROGRAMMING/PERSONAL/PYTHON/Image_Generator_API/imagenes/T_TAHARI_124001624_BLK_1.jpg")</f>
        <v/>
      </c>
      <c r="M3784">
        <f>IMAGE("file:///E:/Estudios%20y%20certificaciones/ESTUDIOS%20DE%20PROGRAMMING/PROGRAMMING/PERSONAL/PYTHON/Image_Generator_API/imagenes/T_TAHARI_124001624_BLK_2.jpg")</f>
        <v/>
      </c>
      <c r="N3784">
        <f>IMAGE("file:///E:/Estudios%20y%20certificaciones/ESTUDIOS%20DE%20PROGRAMMING/PROGRAMMING/PERSONAL/PYTHON/Image_Generator_API/imagenes/T_TAHARI_124001624_BLK_3.jpg")</f>
        <v/>
      </c>
      <c r="O3784">
        <f>HYPERLINK("imagenes/T_TAHARI_124001624_BLK_1.jpg","Ver imagen")</f>
        <v/>
      </c>
      <c r="P3784">
        <f>HYPERLINK("imagenes/T_TAHARI_124001624_BLK_2.jpg","Ver imagen")</f>
        <v/>
      </c>
      <c r="Q3784">
        <f>HYPERLINK("imagenes/T_TAHARI_124001624_BLK_3.jpg","Ver imagen")</f>
        <v/>
      </c>
    </row>
    <row r="3785">
      <c r="A3785" t="inlineStr">
        <is>
          <t>T TAHARI</t>
        </is>
      </c>
      <c r="B3785" t="inlineStr">
        <is>
          <t>124001624</t>
        </is>
      </c>
      <c r="C3785" t="inlineStr">
        <is>
          <t>ASTRID 99814</t>
        </is>
      </c>
      <c r="D3785" t="inlineStr">
        <is>
          <t>BLK</t>
        </is>
      </c>
      <c r="E3785" t="inlineStr">
        <is>
          <t>(en blanco)</t>
        </is>
      </c>
      <c r="F3785" t="inlineStr">
        <is>
          <t>(en blanco)</t>
        </is>
      </c>
      <c r="G3785" t="inlineStr">
        <is>
          <t>XXS</t>
        </is>
      </c>
      <c r="H3785" t="n">
        <v>12</v>
      </c>
      <c r="I3785" t="inlineStr">
        <is>
          <t>T_TAHARI_124001624_BLK_1.jpg</t>
        </is>
      </c>
      <c r="J3785" t="inlineStr">
        <is>
          <t>T_TAHARI_124001624_BLK_2.jpg</t>
        </is>
      </c>
      <c r="K3785" t="inlineStr">
        <is>
          <t>T_TAHARI_124001624_BLK_3.jpg</t>
        </is>
      </c>
      <c r="L3785">
        <f>IMAGE("file:///E:/Estudios%20y%20certificaciones/ESTUDIOS%20DE%20PROGRAMMING/PROGRAMMING/PERSONAL/PYTHON/Image_Generator_API/imagenes/T_TAHARI_124001624_BLK_1.jpg")</f>
        <v/>
      </c>
      <c r="M3785">
        <f>IMAGE("file:///E:/Estudios%20y%20certificaciones/ESTUDIOS%20DE%20PROGRAMMING/PROGRAMMING/PERSONAL/PYTHON/Image_Generator_API/imagenes/T_TAHARI_124001624_BLK_2.jpg")</f>
        <v/>
      </c>
      <c r="N3785">
        <f>IMAGE("file:///E:/Estudios%20y%20certificaciones/ESTUDIOS%20DE%20PROGRAMMING/PROGRAMMING/PERSONAL/PYTHON/Image_Generator_API/imagenes/T_TAHARI_124001624_BLK_3.jpg")</f>
        <v/>
      </c>
      <c r="O3785">
        <f>HYPERLINK("imagenes/T_TAHARI_124001624_BLK_1.jpg","Ver imagen")</f>
        <v/>
      </c>
      <c r="P3785">
        <f>HYPERLINK("imagenes/T_TAHARI_124001624_BLK_2.jpg","Ver imagen")</f>
        <v/>
      </c>
      <c r="Q3785">
        <f>HYPERLINK("imagenes/T_TAHARI_124001624_BLK_3.jpg","Ver imagen")</f>
        <v/>
      </c>
    </row>
    <row r="3786">
      <c r="A3786" t="inlineStr">
        <is>
          <t>T TAHARI</t>
        </is>
      </c>
      <c r="B3786" t="inlineStr">
        <is>
          <t>124001624</t>
        </is>
      </c>
      <c r="C3786" t="inlineStr">
        <is>
          <t>ASTRID 99814</t>
        </is>
      </c>
      <c r="D3786" t="inlineStr">
        <is>
          <t>PEW</t>
        </is>
      </c>
      <c r="E3786" t="inlineStr">
        <is>
          <t>(en blanco)</t>
        </is>
      </c>
      <c r="F3786" t="inlineStr">
        <is>
          <t>(en blanco)</t>
        </is>
      </c>
      <c r="G3786" t="inlineStr">
        <is>
          <t>XXS</t>
        </is>
      </c>
      <c r="H3786" t="n">
        <v>12</v>
      </c>
      <c r="I3786" t="inlineStr">
        <is>
          <t>T_TAHARI_124001624_PEW_1.jpg</t>
        </is>
      </c>
      <c r="J3786" t="inlineStr">
        <is>
          <t>T_TAHARI_124001624_PEW_2.jpg</t>
        </is>
      </c>
      <c r="K3786" t="inlineStr">
        <is>
          <t>T_TAHARI_124001624_PEW_3.jpg</t>
        </is>
      </c>
      <c r="L3786">
        <f>IMAGE("file:///E:/Estudios%20y%20certificaciones/ESTUDIOS%20DE%20PROGRAMMING/PROGRAMMING/PERSONAL/PYTHON/Image_Generator_API/imagenes/T_TAHARI_124001624_PEW_1.jpg")</f>
        <v/>
      </c>
      <c r="M3786">
        <f>IMAGE("file:///E:/Estudios%20y%20certificaciones/ESTUDIOS%20DE%20PROGRAMMING/PROGRAMMING/PERSONAL/PYTHON/Image_Generator_API/imagenes/T_TAHARI_124001624_PEW_2.jpg")</f>
        <v/>
      </c>
      <c r="N3786">
        <f>IMAGE("file:///E:/Estudios%20y%20certificaciones/ESTUDIOS%20DE%20PROGRAMMING/PROGRAMMING/PERSONAL/PYTHON/Image_Generator_API/imagenes/T_TAHARI_124001624_PEW_3.jpg")</f>
        <v/>
      </c>
      <c r="O3786">
        <f>HYPERLINK("imagenes/T_TAHARI_124001624_PEW_1.jpg","Ver imagen")</f>
        <v/>
      </c>
      <c r="P3786">
        <f>HYPERLINK("imagenes/T_TAHARI_124001624_PEW_2.jpg","Ver imagen")</f>
        <v/>
      </c>
      <c r="Q3786">
        <f>HYPERLINK("imagenes/T_TAHARI_124001624_PEW_3.jpg","Ver imagen")</f>
        <v/>
      </c>
    </row>
    <row r="3787">
      <c r="A3787" t="inlineStr">
        <is>
          <t>T TAHARI</t>
        </is>
      </c>
      <c r="B3787" t="inlineStr">
        <is>
          <t>124001649</t>
        </is>
      </c>
      <c r="C3787" t="inlineStr">
        <is>
          <t>NATALIE 6627123 NEW COLOR</t>
        </is>
      </c>
      <c r="D3787" t="inlineStr">
        <is>
          <t>CHO</t>
        </is>
      </c>
      <c r="E3787" t="inlineStr">
        <is>
          <t>(en blanco)</t>
        </is>
      </c>
      <c r="F3787" t="inlineStr">
        <is>
          <t>D2C</t>
        </is>
      </c>
      <c r="G3787" t="inlineStr">
        <is>
          <t>L</t>
        </is>
      </c>
      <c r="H3787" t="n">
        <v>1</v>
      </c>
      <c r="I3787" t="inlineStr">
        <is>
          <t>T_TAHARI_124001649_CHO_1.jpg</t>
        </is>
      </c>
      <c r="J3787" t="inlineStr">
        <is>
          <t>T_TAHARI_124001649_CHO_2.jpg</t>
        </is>
      </c>
      <c r="K3787" t="inlineStr">
        <is>
          <t>T_TAHARI_124001649_CHO_3.jpg</t>
        </is>
      </c>
      <c r="L3787">
        <f>IMAGE("file:///E:/Estudios%20y%20certificaciones/ESTUDIOS%20DE%20PROGRAMMING/PROGRAMMING/PERSONAL/PYTHON/Image_Generator_API/imagenes/T_TAHARI_124001649_CHO_1.jpg")</f>
        <v/>
      </c>
      <c r="M3787">
        <f>IMAGE("file:///E:/Estudios%20y%20certificaciones/ESTUDIOS%20DE%20PROGRAMMING/PROGRAMMING/PERSONAL/PYTHON/Image_Generator_API/imagenes/T_TAHARI_124001649_CHO_2.jpg")</f>
        <v/>
      </c>
      <c r="N3787">
        <f>IMAGE("file:///E:/Estudios%20y%20certificaciones/ESTUDIOS%20DE%20PROGRAMMING/PROGRAMMING/PERSONAL/PYTHON/Image_Generator_API/imagenes/T_TAHARI_124001649_CHO_3.jpg")</f>
        <v/>
      </c>
      <c r="O3787">
        <f>HYPERLINK("imagenes/T_TAHARI_124001649_CHO_1.jpg","Ver imagen")</f>
        <v/>
      </c>
      <c r="P3787">
        <f>HYPERLINK("imagenes/T_TAHARI_124001649_CHO_2.jpg","Ver imagen")</f>
        <v/>
      </c>
      <c r="Q3787">
        <f>HYPERLINK("imagenes/T_TAHARI_124001649_CHO_3.jpg","Ver imagen")</f>
        <v/>
      </c>
    </row>
    <row r="3788">
      <c r="A3788" t="inlineStr">
        <is>
          <t>T TAHARI</t>
        </is>
      </c>
      <c r="B3788" t="inlineStr">
        <is>
          <t>124001649</t>
        </is>
      </c>
      <c r="C3788" t="inlineStr">
        <is>
          <t>NATALIE 6627123 NEW COLOR</t>
        </is>
      </c>
      <c r="D3788" t="inlineStr">
        <is>
          <t>CHO</t>
        </is>
      </c>
      <c r="E3788" t="inlineStr">
        <is>
          <t>(en blanco)</t>
        </is>
      </c>
      <c r="F3788" t="inlineStr">
        <is>
          <t>D2C</t>
        </is>
      </c>
      <c r="G3788" t="inlineStr">
        <is>
          <t>XXL</t>
        </is>
      </c>
      <c r="H3788" t="n">
        <v>8</v>
      </c>
      <c r="I3788" t="inlineStr">
        <is>
          <t>T_TAHARI_124001649_CHO_1.jpg</t>
        </is>
      </c>
      <c r="J3788" t="inlineStr">
        <is>
          <t>T_TAHARI_124001649_CHO_2.jpg</t>
        </is>
      </c>
      <c r="K3788" t="inlineStr">
        <is>
          <t>T_TAHARI_124001649_CHO_3.jpg</t>
        </is>
      </c>
      <c r="L3788">
        <f>IMAGE("file:///E:/Estudios%20y%20certificaciones/ESTUDIOS%20DE%20PROGRAMMING/PROGRAMMING/PERSONAL/PYTHON/Image_Generator_API/imagenes/T_TAHARI_124001649_CHO_1.jpg")</f>
        <v/>
      </c>
      <c r="M3788">
        <f>IMAGE("file:///E:/Estudios%20y%20certificaciones/ESTUDIOS%20DE%20PROGRAMMING/PROGRAMMING/PERSONAL/PYTHON/Image_Generator_API/imagenes/T_TAHARI_124001649_CHO_2.jpg")</f>
        <v/>
      </c>
      <c r="N3788">
        <f>IMAGE("file:///E:/Estudios%20y%20certificaciones/ESTUDIOS%20DE%20PROGRAMMING/PROGRAMMING/PERSONAL/PYTHON/Image_Generator_API/imagenes/T_TAHARI_124001649_CHO_3.jpg")</f>
        <v/>
      </c>
      <c r="O3788">
        <f>HYPERLINK("imagenes/T_TAHARI_124001649_CHO_1.jpg","Ver imagen")</f>
        <v/>
      </c>
      <c r="P3788">
        <f>HYPERLINK("imagenes/T_TAHARI_124001649_CHO_2.jpg","Ver imagen")</f>
        <v/>
      </c>
      <c r="Q3788">
        <f>HYPERLINK("imagenes/T_TAHARI_124001649_CHO_3.jpg","Ver imagen")</f>
        <v/>
      </c>
    </row>
    <row r="3789">
      <c r="A3789" t="inlineStr">
        <is>
          <t>T TAHARI</t>
        </is>
      </c>
      <c r="B3789" t="inlineStr">
        <is>
          <t>124001649</t>
        </is>
      </c>
      <c r="C3789" t="inlineStr">
        <is>
          <t>NATALIE 6627123 NEW COLOR</t>
        </is>
      </c>
      <c r="D3789" t="inlineStr">
        <is>
          <t>CHO</t>
        </is>
      </c>
      <c r="E3789" t="inlineStr">
        <is>
          <t>(en blanco)</t>
        </is>
      </c>
      <c r="F3789" t="inlineStr">
        <is>
          <t>(en blanco)</t>
        </is>
      </c>
      <c r="G3789" t="inlineStr">
        <is>
          <t>L</t>
        </is>
      </c>
      <c r="H3789" t="n">
        <v>4</v>
      </c>
      <c r="I3789" t="inlineStr">
        <is>
          <t>T_TAHARI_124001649_CHO_1.jpg</t>
        </is>
      </c>
      <c r="J3789" t="inlineStr">
        <is>
          <t>T_TAHARI_124001649_CHO_2.jpg</t>
        </is>
      </c>
      <c r="K3789" t="inlineStr">
        <is>
          <t>T_TAHARI_124001649_CHO_3.jpg</t>
        </is>
      </c>
      <c r="L3789">
        <f>IMAGE("file:///E:/Estudios%20y%20certificaciones/ESTUDIOS%20DE%20PROGRAMMING/PROGRAMMING/PERSONAL/PYTHON/Image_Generator_API/imagenes/T_TAHARI_124001649_CHO_1.jpg")</f>
        <v/>
      </c>
      <c r="M3789">
        <f>IMAGE("file:///E:/Estudios%20y%20certificaciones/ESTUDIOS%20DE%20PROGRAMMING/PROGRAMMING/PERSONAL/PYTHON/Image_Generator_API/imagenes/T_TAHARI_124001649_CHO_2.jpg")</f>
        <v/>
      </c>
      <c r="N3789">
        <f>IMAGE("file:///E:/Estudios%20y%20certificaciones/ESTUDIOS%20DE%20PROGRAMMING/PROGRAMMING/PERSONAL/PYTHON/Image_Generator_API/imagenes/T_TAHARI_124001649_CHO_3.jpg")</f>
        <v/>
      </c>
      <c r="O3789">
        <f>HYPERLINK("imagenes/T_TAHARI_124001649_CHO_1.jpg","Ver imagen")</f>
        <v/>
      </c>
      <c r="P3789">
        <f>HYPERLINK("imagenes/T_TAHARI_124001649_CHO_2.jpg","Ver imagen")</f>
        <v/>
      </c>
      <c r="Q3789">
        <f>HYPERLINK("imagenes/T_TAHARI_124001649_CHO_3.jpg","Ver imagen")</f>
        <v/>
      </c>
    </row>
    <row r="3790">
      <c r="A3790" t="inlineStr">
        <is>
          <t>T TAHARI</t>
        </is>
      </c>
      <c r="B3790" t="inlineStr">
        <is>
          <t>124001649</t>
        </is>
      </c>
      <c r="C3790" t="inlineStr">
        <is>
          <t>NATALIE 6627123 NEW COLOR</t>
        </is>
      </c>
      <c r="D3790" t="inlineStr">
        <is>
          <t>CHO</t>
        </is>
      </c>
      <c r="E3790" t="inlineStr">
        <is>
          <t>(en blanco)</t>
        </is>
      </c>
      <c r="F3790" t="inlineStr">
        <is>
          <t>(en blanco)</t>
        </is>
      </c>
      <c r="G3790" t="inlineStr">
        <is>
          <t>XXL</t>
        </is>
      </c>
      <c r="H3790" t="n">
        <v>6</v>
      </c>
      <c r="I3790" t="inlineStr">
        <is>
          <t>T_TAHARI_124001649_CHO_1.jpg</t>
        </is>
      </c>
      <c r="J3790" t="inlineStr">
        <is>
          <t>T_TAHARI_124001649_CHO_2.jpg</t>
        </is>
      </c>
      <c r="K3790" t="inlineStr">
        <is>
          <t>T_TAHARI_124001649_CHO_3.jpg</t>
        </is>
      </c>
      <c r="L3790">
        <f>IMAGE("file:///E:/Estudios%20y%20certificaciones/ESTUDIOS%20DE%20PROGRAMMING/PROGRAMMING/PERSONAL/PYTHON/Image_Generator_API/imagenes/T_TAHARI_124001649_CHO_1.jpg")</f>
        <v/>
      </c>
      <c r="M3790">
        <f>IMAGE("file:///E:/Estudios%20y%20certificaciones/ESTUDIOS%20DE%20PROGRAMMING/PROGRAMMING/PERSONAL/PYTHON/Image_Generator_API/imagenes/T_TAHARI_124001649_CHO_2.jpg")</f>
        <v/>
      </c>
      <c r="N3790">
        <f>IMAGE("file:///E:/Estudios%20y%20certificaciones/ESTUDIOS%20DE%20PROGRAMMING/PROGRAMMING/PERSONAL/PYTHON/Image_Generator_API/imagenes/T_TAHARI_124001649_CHO_3.jpg")</f>
        <v/>
      </c>
      <c r="O3790">
        <f>HYPERLINK("imagenes/T_TAHARI_124001649_CHO_1.jpg","Ver imagen")</f>
        <v/>
      </c>
      <c r="P3790">
        <f>HYPERLINK("imagenes/T_TAHARI_124001649_CHO_2.jpg","Ver imagen")</f>
        <v/>
      </c>
      <c r="Q3790">
        <f>HYPERLINK("imagenes/T_TAHARI_124001649_CHO_3.jpg","Ver imagen")</f>
        <v/>
      </c>
    </row>
    <row r="3791">
      <c r="A3791" t="inlineStr">
        <is>
          <t>T TAHARI</t>
        </is>
      </c>
      <c r="B3791" t="inlineStr">
        <is>
          <t>124001666</t>
        </is>
      </c>
      <c r="C3791" t="inlineStr">
        <is>
          <t>LEAH 99786</t>
        </is>
      </c>
      <c r="D3791" t="inlineStr">
        <is>
          <t>BLK</t>
        </is>
      </c>
      <c r="E3791" t="inlineStr">
        <is>
          <t>(en blanco)</t>
        </is>
      </c>
      <c r="F3791" t="inlineStr">
        <is>
          <t>(en blanco)</t>
        </is>
      </c>
      <c r="G3791" t="inlineStr">
        <is>
          <t>XS</t>
        </is>
      </c>
      <c r="H3791" t="n">
        <v>14</v>
      </c>
      <c r="I3791" t="inlineStr">
        <is>
          <t>T_TAHARI_124001666_BLK_1.jpg</t>
        </is>
      </c>
      <c r="J3791" t="inlineStr">
        <is>
          <t>T_TAHARI_124001666_BLK_2.jpg</t>
        </is>
      </c>
      <c r="K3791" t="inlineStr">
        <is>
          <t>T_TAHARI_124001666_BLK_3.jpg</t>
        </is>
      </c>
      <c r="L3791">
        <f>IMAGE("file:///E:/Estudios%20y%20certificaciones/ESTUDIOS%20DE%20PROGRAMMING/PROGRAMMING/PERSONAL/PYTHON/Image_Generator_API/imagenes/T_TAHARI_124001666_BLK_1.jpg")</f>
        <v/>
      </c>
      <c r="M3791">
        <f>IMAGE("file:///E:/Estudios%20y%20certificaciones/ESTUDIOS%20DE%20PROGRAMMING/PROGRAMMING/PERSONAL/PYTHON/Image_Generator_API/imagenes/T_TAHARI_124001666_BLK_2.jpg")</f>
        <v/>
      </c>
      <c r="N3791">
        <f>IMAGE("file:///E:/Estudios%20y%20certificaciones/ESTUDIOS%20DE%20PROGRAMMING/PROGRAMMING/PERSONAL/PYTHON/Image_Generator_API/imagenes/T_TAHARI_124001666_BLK_3.jpg")</f>
        <v/>
      </c>
      <c r="O3791">
        <f>HYPERLINK("imagenes/T_TAHARI_124001666_BLK_1.jpg","Ver imagen")</f>
        <v/>
      </c>
      <c r="P3791">
        <f>HYPERLINK("imagenes/T_TAHARI_124001666_BLK_2.jpg","Ver imagen")</f>
        <v/>
      </c>
      <c r="Q3791">
        <f>HYPERLINK("imagenes/T_TAHARI_124001666_BLK_3.jpg","Ver imagen")</f>
        <v/>
      </c>
    </row>
    <row r="3792">
      <c r="A3792" t="inlineStr">
        <is>
          <t>T TAHARI</t>
        </is>
      </c>
      <c r="B3792" t="inlineStr">
        <is>
          <t>124001666</t>
        </is>
      </c>
      <c r="C3792" t="inlineStr">
        <is>
          <t>LEAH 99786</t>
        </is>
      </c>
      <c r="D3792" t="inlineStr">
        <is>
          <t>BLK</t>
        </is>
      </c>
      <c r="E3792" t="inlineStr">
        <is>
          <t>(en blanco)</t>
        </is>
      </c>
      <c r="F3792" t="inlineStr">
        <is>
          <t>(en blanco)</t>
        </is>
      </c>
      <c r="G3792" t="inlineStr">
        <is>
          <t>S</t>
        </is>
      </c>
      <c r="H3792" t="n">
        <v>1</v>
      </c>
      <c r="I3792" t="inlineStr">
        <is>
          <t>T_TAHARI_124001666_BLK_1.jpg</t>
        </is>
      </c>
      <c r="J3792" t="inlineStr">
        <is>
          <t>T_TAHARI_124001666_BLK_2.jpg</t>
        </is>
      </c>
      <c r="K3792" t="inlineStr">
        <is>
          <t>T_TAHARI_124001666_BLK_3.jpg</t>
        </is>
      </c>
      <c r="L3792">
        <f>IMAGE("file:///E:/Estudios%20y%20certificaciones/ESTUDIOS%20DE%20PROGRAMMING/PROGRAMMING/PERSONAL/PYTHON/Image_Generator_API/imagenes/T_TAHARI_124001666_BLK_1.jpg")</f>
        <v/>
      </c>
      <c r="M3792">
        <f>IMAGE("file:///E:/Estudios%20y%20certificaciones/ESTUDIOS%20DE%20PROGRAMMING/PROGRAMMING/PERSONAL/PYTHON/Image_Generator_API/imagenes/T_TAHARI_124001666_BLK_2.jpg")</f>
        <v/>
      </c>
      <c r="N3792">
        <f>IMAGE("file:///E:/Estudios%20y%20certificaciones/ESTUDIOS%20DE%20PROGRAMMING/PROGRAMMING/PERSONAL/PYTHON/Image_Generator_API/imagenes/T_TAHARI_124001666_BLK_3.jpg")</f>
        <v/>
      </c>
      <c r="O3792">
        <f>HYPERLINK("imagenes/T_TAHARI_124001666_BLK_1.jpg","Ver imagen")</f>
        <v/>
      </c>
      <c r="P3792">
        <f>HYPERLINK("imagenes/T_TAHARI_124001666_BLK_2.jpg","Ver imagen")</f>
        <v/>
      </c>
      <c r="Q3792">
        <f>HYPERLINK("imagenes/T_TAHARI_124001666_BLK_3.jpg","Ver imagen")</f>
        <v/>
      </c>
    </row>
    <row r="3793">
      <c r="A3793" t="inlineStr">
        <is>
          <t>T TAHARI</t>
        </is>
      </c>
      <c r="B3793" t="inlineStr">
        <is>
          <t>124001666</t>
        </is>
      </c>
      <c r="C3793" t="inlineStr">
        <is>
          <t>LEAH 99786</t>
        </is>
      </c>
      <c r="D3793" t="inlineStr">
        <is>
          <t>BLK</t>
        </is>
      </c>
      <c r="E3793" t="inlineStr">
        <is>
          <t>(en blanco)</t>
        </is>
      </c>
      <c r="F3793" t="inlineStr">
        <is>
          <t>(en blanco)</t>
        </is>
      </c>
      <c r="G3793" t="inlineStr">
        <is>
          <t>M</t>
        </is>
      </c>
      <c r="H3793" t="n">
        <v>2</v>
      </c>
      <c r="I3793" t="inlineStr">
        <is>
          <t>T_TAHARI_124001666_BLK_1.jpg</t>
        </is>
      </c>
      <c r="J3793" t="inlineStr">
        <is>
          <t>T_TAHARI_124001666_BLK_2.jpg</t>
        </is>
      </c>
      <c r="K3793" t="inlineStr">
        <is>
          <t>T_TAHARI_124001666_BLK_3.jpg</t>
        </is>
      </c>
      <c r="L3793">
        <f>IMAGE("file:///E:/Estudios%20y%20certificaciones/ESTUDIOS%20DE%20PROGRAMMING/PROGRAMMING/PERSONAL/PYTHON/Image_Generator_API/imagenes/T_TAHARI_124001666_BLK_1.jpg")</f>
        <v/>
      </c>
      <c r="M3793">
        <f>IMAGE("file:///E:/Estudios%20y%20certificaciones/ESTUDIOS%20DE%20PROGRAMMING/PROGRAMMING/PERSONAL/PYTHON/Image_Generator_API/imagenes/T_TAHARI_124001666_BLK_2.jpg")</f>
        <v/>
      </c>
      <c r="N3793">
        <f>IMAGE("file:///E:/Estudios%20y%20certificaciones/ESTUDIOS%20DE%20PROGRAMMING/PROGRAMMING/PERSONAL/PYTHON/Image_Generator_API/imagenes/T_TAHARI_124001666_BLK_3.jpg")</f>
        <v/>
      </c>
      <c r="O3793">
        <f>HYPERLINK("imagenes/T_TAHARI_124001666_BLK_1.jpg","Ver imagen")</f>
        <v/>
      </c>
      <c r="P3793">
        <f>HYPERLINK("imagenes/T_TAHARI_124001666_BLK_2.jpg","Ver imagen")</f>
        <v/>
      </c>
      <c r="Q3793">
        <f>HYPERLINK("imagenes/T_TAHARI_124001666_BLK_3.jpg","Ver imagen")</f>
        <v/>
      </c>
    </row>
    <row r="3794">
      <c r="A3794" t="inlineStr">
        <is>
          <t>T TAHARI</t>
        </is>
      </c>
      <c r="B3794" t="inlineStr">
        <is>
          <t>124001666</t>
        </is>
      </c>
      <c r="C3794" t="inlineStr">
        <is>
          <t>LEAH 99786</t>
        </is>
      </c>
      <c r="D3794" t="inlineStr">
        <is>
          <t>BLK</t>
        </is>
      </c>
      <c r="E3794" t="inlineStr">
        <is>
          <t>(en blanco)</t>
        </is>
      </c>
      <c r="F3794" t="inlineStr">
        <is>
          <t>(en blanco)</t>
        </is>
      </c>
      <c r="G3794" t="inlineStr">
        <is>
          <t>L</t>
        </is>
      </c>
      <c r="H3794" t="n">
        <v>2</v>
      </c>
      <c r="I3794" t="inlineStr">
        <is>
          <t>T_TAHARI_124001666_BLK_1.jpg</t>
        </is>
      </c>
      <c r="J3794" t="inlineStr">
        <is>
          <t>T_TAHARI_124001666_BLK_2.jpg</t>
        </is>
      </c>
      <c r="K3794" t="inlineStr">
        <is>
          <t>T_TAHARI_124001666_BLK_3.jpg</t>
        </is>
      </c>
      <c r="L3794">
        <f>IMAGE("file:///E:/Estudios%20y%20certificaciones/ESTUDIOS%20DE%20PROGRAMMING/PROGRAMMING/PERSONAL/PYTHON/Image_Generator_API/imagenes/T_TAHARI_124001666_BLK_1.jpg")</f>
        <v/>
      </c>
      <c r="M3794">
        <f>IMAGE("file:///E:/Estudios%20y%20certificaciones/ESTUDIOS%20DE%20PROGRAMMING/PROGRAMMING/PERSONAL/PYTHON/Image_Generator_API/imagenes/T_TAHARI_124001666_BLK_2.jpg")</f>
        <v/>
      </c>
      <c r="N3794">
        <f>IMAGE("file:///E:/Estudios%20y%20certificaciones/ESTUDIOS%20DE%20PROGRAMMING/PROGRAMMING/PERSONAL/PYTHON/Image_Generator_API/imagenes/T_TAHARI_124001666_BLK_3.jpg")</f>
        <v/>
      </c>
      <c r="O3794">
        <f>HYPERLINK("imagenes/T_TAHARI_124001666_BLK_1.jpg","Ver imagen")</f>
        <v/>
      </c>
      <c r="P3794">
        <f>HYPERLINK("imagenes/T_TAHARI_124001666_BLK_2.jpg","Ver imagen")</f>
        <v/>
      </c>
      <c r="Q3794">
        <f>HYPERLINK("imagenes/T_TAHARI_124001666_BLK_3.jpg","Ver imagen")</f>
        <v/>
      </c>
    </row>
    <row r="3795">
      <c r="A3795" t="inlineStr">
        <is>
          <t>T TAHARI</t>
        </is>
      </c>
      <c r="B3795" t="inlineStr">
        <is>
          <t>124001666</t>
        </is>
      </c>
      <c r="C3795" t="inlineStr">
        <is>
          <t>LEAH 99786</t>
        </is>
      </c>
      <c r="D3795" t="inlineStr">
        <is>
          <t>BLK</t>
        </is>
      </c>
      <c r="E3795" t="inlineStr">
        <is>
          <t>(en blanco)</t>
        </is>
      </c>
      <c r="F3795" t="inlineStr">
        <is>
          <t>(en blanco)</t>
        </is>
      </c>
      <c r="G3795" t="inlineStr">
        <is>
          <t>XL</t>
        </is>
      </c>
      <c r="H3795" t="n">
        <v>2</v>
      </c>
      <c r="I3795" t="inlineStr">
        <is>
          <t>T_TAHARI_124001666_BLK_1.jpg</t>
        </is>
      </c>
      <c r="J3795" t="inlineStr">
        <is>
          <t>T_TAHARI_124001666_BLK_2.jpg</t>
        </is>
      </c>
      <c r="K3795" t="inlineStr">
        <is>
          <t>T_TAHARI_124001666_BLK_3.jpg</t>
        </is>
      </c>
      <c r="L3795">
        <f>IMAGE("file:///E:/Estudios%20y%20certificaciones/ESTUDIOS%20DE%20PROGRAMMING/PROGRAMMING/PERSONAL/PYTHON/Image_Generator_API/imagenes/T_TAHARI_124001666_BLK_1.jpg")</f>
        <v/>
      </c>
      <c r="M3795">
        <f>IMAGE("file:///E:/Estudios%20y%20certificaciones/ESTUDIOS%20DE%20PROGRAMMING/PROGRAMMING/PERSONAL/PYTHON/Image_Generator_API/imagenes/T_TAHARI_124001666_BLK_2.jpg")</f>
        <v/>
      </c>
      <c r="N3795">
        <f>IMAGE("file:///E:/Estudios%20y%20certificaciones/ESTUDIOS%20DE%20PROGRAMMING/PROGRAMMING/PERSONAL/PYTHON/Image_Generator_API/imagenes/T_TAHARI_124001666_BLK_3.jpg")</f>
        <v/>
      </c>
      <c r="O3795">
        <f>HYPERLINK("imagenes/T_TAHARI_124001666_BLK_1.jpg","Ver imagen")</f>
        <v/>
      </c>
      <c r="P3795">
        <f>HYPERLINK("imagenes/T_TAHARI_124001666_BLK_2.jpg","Ver imagen")</f>
        <v/>
      </c>
      <c r="Q3795">
        <f>HYPERLINK("imagenes/T_TAHARI_124001666_BLK_3.jpg","Ver imagen")</f>
        <v/>
      </c>
    </row>
    <row r="3796">
      <c r="A3796" t="inlineStr">
        <is>
          <t>T TAHARI</t>
        </is>
      </c>
      <c r="B3796" t="inlineStr">
        <is>
          <t>124001666</t>
        </is>
      </c>
      <c r="C3796" t="inlineStr">
        <is>
          <t>LEAH 99786</t>
        </is>
      </c>
      <c r="D3796" t="inlineStr">
        <is>
          <t>BLK</t>
        </is>
      </c>
      <c r="E3796" t="inlineStr">
        <is>
          <t>(en blanco)</t>
        </is>
      </c>
      <c r="F3796" t="inlineStr">
        <is>
          <t>(en blanco)</t>
        </is>
      </c>
      <c r="G3796" t="inlineStr">
        <is>
          <t>XXL</t>
        </is>
      </c>
      <c r="H3796" t="n">
        <v>13</v>
      </c>
      <c r="I3796" t="inlineStr">
        <is>
          <t>T_TAHARI_124001666_BLK_1.jpg</t>
        </is>
      </c>
      <c r="J3796" t="inlineStr">
        <is>
          <t>T_TAHARI_124001666_BLK_2.jpg</t>
        </is>
      </c>
      <c r="K3796" t="inlineStr">
        <is>
          <t>T_TAHARI_124001666_BLK_3.jpg</t>
        </is>
      </c>
      <c r="L3796">
        <f>IMAGE("file:///E:/Estudios%20y%20certificaciones/ESTUDIOS%20DE%20PROGRAMMING/PROGRAMMING/PERSONAL/PYTHON/Image_Generator_API/imagenes/T_TAHARI_124001666_BLK_1.jpg")</f>
        <v/>
      </c>
      <c r="M3796">
        <f>IMAGE("file:///E:/Estudios%20y%20certificaciones/ESTUDIOS%20DE%20PROGRAMMING/PROGRAMMING/PERSONAL/PYTHON/Image_Generator_API/imagenes/T_TAHARI_124001666_BLK_2.jpg")</f>
        <v/>
      </c>
      <c r="N3796">
        <f>IMAGE("file:///E:/Estudios%20y%20certificaciones/ESTUDIOS%20DE%20PROGRAMMING/PROGRAMMING/PERSONAL/PYTHON/Image_Generator_API/imagenes/T_TAHARI_124001666_BLK_3.jpg")</f>
        <v/>
      </c>
      <c r="O3796">
        <f>HYPERLINK("imagenes/T_TAHARI_124001666_BLK_1.jpg","Ver imagen")</f>
        <v/>
      </c>
      <c r="P3796">
        <f>HYPERLINK("imagenes/T_TAHARI_124001666_BLK_2.jpg","Ver imagen")</f>
        <v/>
      </c>
      <c r="Q3796">
        <f>HYPERLINK("imagenes/T_TAHARI_124001666_BLK_3.jpg","Ver imagen")</f>
        <v/>
      </c>
    </row>
    <row r="3797">
      <c r="A3797" t="inlineStr">
        <is>
          <t>T TAHARI</t>
        </is>
      </c>
      <c r="B3797" t="inlineStr">
        <is>
          <t>124001666</t>
        </is>
      </c>
      <c r="C3797" t="inlineStr">
        <is>
          <t>LEAH 99786</t>
        </is>
      </c>
      <c r="D3797" t="inlineStr">
        <is>
          <t>BLK</t>
        </is>
      </c>
      <c r="E3797" t="inlineStr">
        <is>
          <t>(en blanco)</t>
        </is>
      </c>
      <c r="F3797" t="inlineStr">
        <is>
          <t>(en blanco)</t>
        </is>
      </c>
      <c r="G3797" t="inlineStr">
        <is>
          <t>XXS</t>
        </is>
      </c>
      <c r="H3797" t="n">
        <v>10</v>
      </c>
      <c r="I3797" t="inlineStr">
        <is>
          <t>T_TAHARI_124001666_BLK_1.jpg</t>
        </is>
      </c>
      <c r="J3797" t="inlineStr">
        <is>
          <t>T_TAHARI_124001666_BLK_2.jpg</t>
        </is>
      </c>
      <c r="K3797" t="inlineStr">
        <is>
          <t>T_TAHARI_124001666_BLK_3.jpg</t>
        </is>
      </c>
      <c r="L3797">
        <f>IMAGE("file:///E:/Estudios%20y%20certificaciones/ESTUDIOS%20DE%20PROGRAMMING/PROGRAMMING/PERSONAL/PYTHON/Image_Generator_API/imagenes/T_TAHARI_124001666_BLK_1.jpg")</f>
        <v/>
      </c>
      <c r="M3797">
        <f>IMAGE("file:///E:/Estudios%20y%20certificaciones/ESTUDIOS%20DE%20PROGRAMMING/PROGRAMMING/PERSONAL/PYTHON/Image_Generator_API/imagenes/T_TAHARI_124001666_BLK_2.jpg")</f>
        <v/>
      </c>
      <c r="N3797">
        <f>IMAGE("file:///E:/Estudios%20y%20certificaciones/ESTUDIOS%20DE%20PROGRAMMING/PROGRAMMING/PERSONAL/PYTHON/Image_Generator_API/imagenes/T_TAHARI_124001666_BLK_3.jpg")</f>
        <v/>
      </c>
      <c r="O3797">
        <f>HYPERLINK("imagenes/T_TAHARI_124001666_BLK_1.jpg","Ver imagen")</f>
        <v/>
      </c>
      <c r="P3797">
        <f>HYPERLINK("imagenes/T_TAHARI_124001666_BLK_2.jpg","Ver imagen")</f>
        <v/>
      </c>
      <c r="Q3797">
        <f>HYPERLINK("imagenes/T_TAHARI_124001666_BLK_3.jpg","Ver imagen")</f>
        <v/>
      </c>
    </row>
    <row r="3798">
      <c r="A3798" t="inlineStr">
        <is>
          <t>T TAHARI</t>
        </is>
      </c>
      <c r="B3798" t="inlineStr">
        <is>
          <t>124001666</t>
        </is>
      </c>
      <c r="C3798" t="inlineStr">
        <is>
          <t>LEAH 99786</t>
        </is>
      </c>
      <c r="D3798" t="inlineStr">
        <is>
          <t>CHO</t>
        </is>
      </c>
      <c r="E3798" t="inlineStr">
        <is>
          <t>(en blanco)</t>
        </is>
      </c>
      <c r="F3798" t="inlineStr">
        <is>
          <t>(en blanco)</t>
        </is>
      </c>
      <c r="G3798" t="inlineStr">
        <is>
          <t>XS</t>
        </is>
      </c>
      <c r="H3798" t="n">
        <v>18</v>
      </c>
      <c r="I3798" t="inlineStr">
        <is>
          <t>T_TAHARI_124001666_CHO_1.jpg</t>
        </is>
      </c>
      <c r="J3798" t="inlineStr">
        <is>
          <t>T_TAHARI_124001666_CHO_2.jpg</t>
        </is>
      </c>
      <c r="K3798" t="inlineStr">
        <is>
          <t>T_TAHARI_124001666_CHO_3.jpg</t>
        </is>
      </c>
      <c r="L3798">
        <f>IMAGE("file:///E:/Estudios%20y%20certificaciones/ESTUDIOS%20DE%20PROGRAMMING/PROGRAMMING/PERSONAL/PYTHON/Image_Generator_API/imagenes/T_TAHARI_124001666_CHO_1.jpg")</f>
        <v/>
      </c>
      <c r="M3798">
        <f>IMAGE("file:///E:/Estudios%20y%20certificaciones/ESTUDIOS%20DE%20PROGRAMMING/PROGRAMMING/PERSONAL/PYTHON/Image_Generator_API/imagenes/T_TAHARI_124001666_CHO_2.jpg")</f>
        <v/>
      </c>
      <c r="N3798">
        <f>IMAGE("file:///E:/Estudios%20y%20certificaciones/ESTUDIOS%20DE%20PROGRAMMING/PROGRAMMING/PERSONAL/PYTHON/Image_Generator_API/imagenes/T_TAHARI_124001666_CHO_3.jpg")</f>
        <v/>
      </c>
      <c r="O3798">
        <f>HYPERLINK("imagenes/T_TAHARI_124001666_CHO_1.jpg","Ver imagen")</f>
        <v/>
      </c>
      <c r="P3798">
        <f>HYPERLINK("imagenes/T_TAHARI_124001666_CHO_2.jpg","Ver imagen")</f>
        <v/>
      </c>
      <c r="Q3798">
        <f>HYPERLINK("imagenes/T_TAHARI_124001666_CHO_3.jpg","Ver imagen")</f>
        <v/>
      </c>
    </row>
    <row r="3799">
      <c r="A3799" t="inlineStr">
        <is>
          <t>T TAHARI</t>
        </is>
      </c>
      <c r="B3799" t="inlineStr">
        <is>
          <t>124001666</t>
        </is>
      </c>
      <c r="C3799" t="inlineStr">
        <is>
          <t>LEAH 99786</t>
        </is>
      </c>
      <c r="D3799" t="inlineStr">
        <is>
          <t>CHO</t>
        </is>
      </c>
      <c r="E3799" t="inlineStr">
        <is>
          <t>(en blanco)</t>
        </is>
      </c>
      <c r="F3799" t="inlineStr">
        <is>
          <t>(en blanco)</t>
        </is>
      </c>
      <c r="G3799" t="inlineStr">
        <is>
          <t>S</t>
        </is>
      </c>
      <c r="H3799" t="n">
        <v>5</v>
      </c>
      <c r="I3799" t="inlineStr">
        <is>
          <t>T_TAHARI_124001666_CHO_1.jpg</t>
        </is>
      </c>
      <c r="J3799" t="inlineStr">
        <is>
          <t>T_TAHARI_124001666_CHO_2.jpg</t>
        </is>
      </c>
      <c r="K3799" t="inlineStr">
        <is>
          <t>T_TAHARI_124001666_CHO_3.jpg</t>
        </is>
      </c>
      <c r="L3799">
        <f>IMAGE("file:///E:/Estudios%20y%20certificaciones/ESTUDIOS%20DE%20PROGRAMMING/PROGRAMMING/PERSONAL/PYTHON/Image_Generator_API/imagenes/T_TAHARI_124001666_CHO_1.jpg")</f>
        <v/>
      </c>
      <c r="M3799">
        <f>IMAGE("file:///E:/Estudios%20y%20certificaciones/ESTUDIOS%20DE%20PROGRAMMING/PROGRAMMING/PERSONAL/PYTHON/Image_Generator_API/imagenes/T_TAHARI_124001666_CHO_2.jpg")</f>
        <v/>
      </c>
      <c r="N3799">
        <f>IMAGE("file:///E:/Estudios%20y%20certificaciones/ESTUDIOS%20DE%20PROGRAMMING/PROGRAMMING/PERSONAL/PYTHON/Image_Generator_API/imagenes/T_TAHARI_124001666_CHO_3.jpg")</f>
        <v/>
      </c>
      <c r="O3799">
        <f>HYPERLINK("imagenes/T_TAHARI_124001666_CHO_1.jpg","Ver imagen")</f>
        <v/>
      </c>
      <c r="P3799">
        <f>HYPERLINK("imagenes/T_TAHARI_124001666_CHO_2.jpg","Ver imagen")</f>
        <v/>
      </c>
      <c r="Q3799">
        <f>HYPERLINK("imagenes/T_TAHARI_124001666_CHO_3.jpg","Ver imagen")</f>
        <v/>
      </c>
    </row>
    <row r="3800">
      <c r="A3800" t="inlineStr">
        <is>
          <t>T TAHARI</t>
        </is>
      </c>
      <c r="B3800" t="inlineStr">
        <is>
          <t>124001666</t>
        </is>
      </c>
      <c r="C3800" t="inlineStr">
        <is>
          <t>LEAH 99786</t>
        </is>
      </c>
      <c r="D3800" t="inlineStr">
        <is>
          <t>CHO</t>
        </is>
      </c>
      <c r="E3800" t="inlineStr">
        <is>
          <t>(en blanco)</t>
        </is>
      </c>
      <c r="F3800" t="inlineStr">
        <is>
          <t>(en blanco)</t>
        </is>
      </c>
      <c r="G3800" t="inlineStr">
        <is>
          <t>L</t>
        </is>
      </c>
      <c r="H3800" t="n">
        <v>7</v>
      </c>
      <c r="I3800" t="inlineStr">
        <is>
          <t>T_TAHARI_124001666_CHO_1.jpg</t>
        </is>
      </c>
      <c r="J3800" t="inlineStr">
        <is>
          <t>T_TAHARI_124001666_CHO_2.jpg</t>
        </is>
      </c>
      <c r="K3800" t="inlineStr">
        <is>
          <t>T_TAHARI_124001666_CHO_3.jpg</t>
        </is>
      </c>
      <c r="L3800">
        <f>IMAGE("file:///E:/Estudios%20y%20certificaciones/ESTUDIOS%20DE%20PROGRAMMING/PROGRAMMING/PERSONAL/PYTHON/Image_Generator_API/imagenes/T_TAHARI_124001666_CHO_1.jpg")</f>
        <v/>
      </c>
      <c r="M3800">
        <f>IMAGE("file:///E:/Estudios%20y%20certificaciones/ESTUDIOS%20DE%20PROGRAMMING/PROGRAMMING/PERSONAL/PYTHON/Image_Generator_API/imagenes/T_TAHARI_124001666_CHO_2.jpg")</f>
        <v/>
      </c>
      <c r="N3800">
        <f>IMAGE("file:///E:/Estudios%20y%20certificaciones/ESTUDIOS%20DE%20PROGRAMMING/PROGRAMMING/PERSONAL/PYTHON/Image_Generator_API/imagenes/T_TAHARI_124001666_CHO_3.jpg")</f>
        <v/>
      </c>
      <c r="O3800">
        <f>HYPERLINK("imagenes/T_TAHARI_124001666_CHO_1.jpg","Ver imagen")</f>
        <v/>
      </c>
      <c r="P3800">
        <f>HYPERLINK("imagenes/T_TAHARI_124001666_CHO_2.jpg","Ver imagen")</f>
        <v/>
      </c>
      <c r="Q3800">
        <f>HYPERLINK("imagenes/T_TAHARI_124001666_CHO_3.jpg","Ver imagen")</f>
        <v/>
      </c>
    </row>
    <row r="3801">
      <c r="A3801" t="inlineStr">
        <is>
          <t>T TAHARI</t>
        </is>
      </c>
      <c r="B3801" t="inlineStr">
        <is>
          <t>124001666</t>
        </is>
      </c>
      <c r="C3801" t="inlineStr">
        <is>
          <t>LEAH 99786</t>
        </is>
      </c>
      <c r="D3801" t="inlineStr">
        <is>
          <t>CHO</t>
        </is>
      </c>
      <c r="E3801" t="inlineStr">
        <is>
          <t>(en blanco)</t>
        </is>
      </c>
      <c r="F3801" t="inlineStr">
        <is>
          <t>(en blanco)</t>
        </is>
      </c>
      <c r="G3801" t="inlineStr">
        <is>
          <t>XL</t>
        </is>
      </c>
      <c r="H3801" t="n">
        <v>14</v>
      </c>
      <c r="I3801" t="inlineStr">
        <is>
          <t>T_TAHARI_124001666_CHO_1.jpg</t>
        </is>
      </c>
      <c r="J3801" t="inlineStr">
        <is>
          <t>T_TAHARI_124001666_CHO_2.jpg</t>
        </is>
      </c>
      <c r="K3801" t="inlineStr">
        <is>
          <t>T_TAHARI_124001666_CHO_3.jpg</t>
        </is>
      </c>
      <c r="L3801">
        <f>IMAGE("file:///E:/Estudios%20y%20certificaciones/ESTUDIOS%20DE%20PROGRAMMING/PROGRAMMING/PERSONAL/PYTHON/Image_Generator_API/imagenes/T_TAHARI_124001666_CHO_1.jpg")</f>
        <v/>
      </c>
      <c r="M3801">
        <f>IMAGE("file:///E:/Estudios%20y%20certificaciones/ESTUDIOS%20DE%20PROGRAMMING/PROGRAMMING/PERSONAL/PYTHON/Image_Generator_API/imagenes/T_TAHARI_124001666_CHO_2.jpg")</f>
        <v/>
      </c>
      <c r="N3801">
        <f>IMAGE("file:///E:/Estudios%20y%20certificaciones/ESTUDIOS%20DE%20PROGRAMMING/PROGRAMMING/PERSONAL/PYTHON/Image_Generator_API/imagenes/T_TAHARI_124001666_CHO_3.jpg")</f>
        <v/>
      </c>
      <c r="O3801">
        <f>HYPERLINK("imagenes/T_TAHARI_124001666_CHO_1.jpg","Ver imagen")</f>
        <v/>
      </c>
      <c r="P3801">
        <f>HYPERLINK("imagenes/T_TAHARI_124001666_CHO_2.jpg","Ver imagen")</f>
        <v/>
      </c>
      <c r="Q3801">
        <f>HYPERLINK("imagenes/T_TAHARI_124001666_CHO_3.jpg","Ver imagen")</f>
        <v/>
      </c>
    </row>
    <row r="3802">
      <c r="A3802" t="inlineStr">
        <is>
          <t>T TAHARI</t>
        </is>
      </c>
      <c r="B3802" t="inlineStr">
        <is>
          <t>124001666</t>
        </is>
      </c>
      <c r="C3802" t="inlineStr">
        <is>
          <t>LEAH 99786</t>
        </is>
      </c>
      <c r="D3802" t="inlineStr">
        <is>
          <t>CHO</t>
        </is>
      </c>
      <c r="E3802" t="inlineStr">
        <is>
          <t>(en blanco)</t>
        </is>
      </c>
      <c r="F3802" t="inlineStr">
        <is>
          <t>(en blanco)</t>
        </is>
      </c>
      <c r="G3802" t="inlineStr">
        <is>
          <t>XXL</t>
        </is>
      </c>
      <c r="H3802" t="n">
        <v>18</v>
      </c>
      <c r="I3802" t="inlineStr">
        <is>
          <t>T_TAHARI_124001666_CHO_1.jpg</t>
        </is>
      </c>
      <c r="J3802" t="inlineStr">
        <is>
          <t>T_TAHARI_124001666_CHO_2.jpg</t>
        </is>
      </c>
      <c r="K3802" t="inlineStr">
        <is>
          <t>T_TAHARI_124001666_CHO_3.jpg</t>
        </is>
      </c>
      <c r="L3802">
        <f>IMAGE("file:///E:/Estudios%20y%20certificaciones/ESTUDIOS%20DE%20PROGRAMMING/PROGRAMMING/PERSONAL/PYTHON/Image_Generator_API/imagenes/T_TAHARI_124001666_CHO_1.jpg")</f>
        <v/>
      </c>
      <c r="M3802">
        <f>IMAGE("file:///E:/Estudios%20y%20certificaciones/ESTUDIOS%20DE%20PROGRAMMING/PROGRAMMING/PERSONAL/PYTHON/Image_Generator_API/imagenes/T_TAHARI_124001666_CHO_2.jpg")</f>
        <v/>
      </c>
      <c r="N3802">
        <f>IMAGE("file:///E:/Estudios%20y%20certificaciones/ESTUDIOS%20DE%20PROGRAMMING/PROGRAMMING/PERSONAL/PYTHON/Image_Generator_API/imagenes/T_TAHARI_124001666_CHO_3.jpg")</f>
        <v/>
      </c>
      <c r="O3802">
        <f>HYPERLINK("imagenes/T_TAHARI_124001666_CHO_1.jpg","Ver imagen")</f>
        <v/>
      </c>
      <c r="P3802">
        <f>HYPERLINK("imagenes/T_TAHARI_124001666_CHO_2.jpg","Ver imagen")</f>
        <v/>
      </c>
      <c r="Q3802">
        <f>HYPERLINK("imagenes/T_TAHARI_124001666_CHO_3.jpg","Ver imagen")</f>
        <v/>
      </c>
    </row>
    <row r="3803">
      <c r="A3803" t="inlineStr">
        <is>
          <t>T TAHARI</t>
        </is>
      </c>
      <c r="B3803" t="inlineStr">
        <is>
          <t>124001666</t>
        </is>
      </c>
      <c r="C3803" t="inlineStr">
        <is>
          <t>LEAH 99786</t>
        </is>
      </c>
      <c r="D3803" t="inlineStr">
        <is>
          <t>CHO</t>
        </is>
      </c>
      <c r="E3803" t="inlineStr">
        <is>
          <t>(en blanco)</t>
        </is>
      </c>
      <c r="F3803" t="inlineStr">
        <is>
          <t>(en blanco)</t>
        </is>
      </c>
      <c r="G3803" t="inlineStr">
        <is>
          <t>XXS</t>
        </is>
      </c>
      <c r="H3803" t="n">
        <v>14</v>
      </c>
      <c r="I3803" t="inlineStr">
        <is>
          <t>T_TAHARI_124001666_CHO_1.jpg</t>
        </is>
      </c>
      <c r="J3803" t="inlineStr">
        <is>
          <t>T_TAHARI_124001666_CHO_2.jpg</t>
        </is>
      </c>
      <c r="K3803" t="inlineStr">
        <is>
          <t>T_TAHARI_124001666_CHO_3.jpg</t>
        </is>
      </c>
      <c r="L3803">
        <f>IMAGE("file:///E:/Estudios%20y%20certificaciones/ESTUDIOS%20DE%20PROGRAMMING/PROGRAMMING/PERSONAL/PYTHON/Image_Generator_API/imagenes/T_TAHARI_124001666_CHO_1.jpg")</f>
        <v/>
      </c>
      <c r="M3803">
        <f>IMAGE("file:///E:/Estudios%20y%20certificaciones/ESTUDIOS%20DE%20PROGRAMMING/PROGRAMMING/PERSONAL/PYTHON/Image_Generator_API/imagenes/T_TAHARI_124001666_CHO_2.jpg")</f>
        <v/>
      </c>
      <c r="N3803">
        <f>IMAGE("file:///E:/Estudios%20y%20certificaciones/ESTUDIOS%20DE%20PROGRAMMING/PROGRAMMING/PERSONAL/PYTHON/Image_Generator_API/imagenes/T_TAHARI_124001666_CHO_3.jpg")</f>
        <v/>
      </c>
      <c r="O3803">
        <f>HYPERLINK("imagenes/T_TAHARI_124001666_CHO_1.jpg","Ver imagen")</f>
        <v/>
      </c>
      <c r="P3803">
        <f>HYPERLINK("imagenes/T_TAHARI_124001666_CHO_2.jpg","Ver imagen")</f>
        <v/>
      </c>
      <c r="Q3803">
        <f>HYPERLINK("imagenes/T_TAHARI_124001666_CHO_3.jpg","Ver imagen")</f>
        <v/>
      </c>
    </row>
    <row r="3804">
      <c r="A3804" t="inlineStr">
        <is>
          <t>T TAHARI</t>
        </is>
      </c>
      <c r="B3804" t="inlineStr">
        <is>
          <t>124001667</t>
        </is>
      </c>
      <c r="C3804" t="inlineStr">
        <is>
          <t>SHAY 99781</t>
        </is>
      </c>
      <c r="D3804" t="inlineStr">
        <is>
          <t>BLK</t>
        </is>
      </c>
      <c r="E3804" t="inlineStr">
        <is>
          <t>(en blanco)</t>
        </is>
      </c>
      <c r="F3804" t="inlineStr">
        <is>
          <t>D2C</t>
        </is>
      </c>
      <c r="G3804" t="inlineStr">
        <is>
          <t>XS</t>
        </is>
      </c>
      <c r="H3804" t="n">
        <v>9</v>
      </c>
      <c r="I3804" t="inlineStr">
        <is>
          <t>T_TAHARI_124001667_BLK_1.jpg</t>
        </is>
      </c>
      <c r="J3804" t="inlineStr">
        <is>
          <t>T_TAHARI_124001667_BLK_2.jpg</t>
        </is>
      </c>
      <c r="K3804" t="inlineStr">
        <is>
          <t>T_TAHARI_124001667_BLK_3.jpg</t>
        </is>
      </c>
      <c r="L3804">
        <f>IMAGE("file:///E:/Estudios%20y%20certificaciones/ESTUDIOS%20DE%20PROGRAMMING/PROGRAMMING/PERSONAL/PYTHON/Image_Generator_API/imagenes/T_TAHARI_124001667_BLK_1.jpg")</f>
        <v/>
      </c>
      <c r="M3804">
        <f>IMAGE("file:///E:/Estudios%20y%20certificaciones/ESTUDIOS%20DE%20PROGRAMMING/PROGRAMMING/PERSONAL/PYTHON/Image_Generator_API/imagenes/T_TAHARI_124001667_BLK_2.jpg")</f>
        <v/>
      </c>
      <c r="N3804">
        <f>IMAGE("file:///E:/Estudios%20y%20certificaciones/ESTUDIOS%20DE%20PROGRAMMING/PROGRAMMING/PERSONAL/PYTHON/Image_Generator_API/imagenes/T_TAHARI_124001667_BLK_3.jpg")</f>
        <v/>
      </c>
      <c r="O3804">
        <f>HYPERLINK("imagenes/T_TAHARI_124001667_BLK_1.jpg","Ver imagen")</f>
        <v/>
      </c>
      <c r="P3804">
        <f>HYPERLINK("imagenes/T_TAHARI_124001667_BLK_2.jpg","Ver imagen")</f>
        <v/>
      </c>
      <c r="Q3804">
        <f>HYPERLINK("imagenes/T_TAHARI_124001667_BLK_3.jpg","Ver imagen")</f>
        <v/>
      </c>
    </row>
    <row r="3805">
      <c r="A3805" t="inlineStr">
        <is>
          <t>T TAHARI</t>
        </is>
      </c>
      <c r="B3805" t="inlineStr">
        <is>
          <t>124001667</t>
        </is>
      </c>
      <c r="C3805" t="inlineStr">
        <is>
          <t>SHAY 99781</t>
        </is>
      </c>
      <c r="D3805" t="inlineStr">
        <is>
          <t>BLK</t>
        </is>
      </c>
      <c r="E3805" t="inlineStr">
        <is>
          <t>(en blanco)</t>
        </is>
      </c>
      <c r="F3805" t="inlineStr">
        <is>
          <t>D2C</t>
        </is>
      </c>
      <c r="G3805" t="inlineStr">
        <is>
          <t>S</t>
        </is>
      </c>
      <c r="H3805" t="n">
        <v>20</v>
      </c>
      <c r="I3805" t="inlineStr">
        <is>
          <t>T_TAHARI_124001667_BLK_1.jpg</t>
        </is>
      </c>
      <c r="J3805" t="inlineStr">
        <is>
          <t>T_TAHARI_124001667_BLK_2.jpg</t>
        </is>
      </c>
      <c r="K3805" t="inlineStr">
        <is>
          <t>T_TAHARI_124001667_BLK_3.jpg</t>
        </is>
      </c>
      <c r="L3805">
        <f>IMAGE("file:///E:/Estudios%20y%20certificaciones/ESTUDIOS%20DE%20PROGRAMMING/PROGRAMMING/PERSONAL/PYTHON/Image_Generator_API/imagenes/T_TAHARI_124001667_BLK_1.jpg")</f>
        <v/>
      </c>
      <c r="M3805">
        <f>IMAGE("file:///E:/Estudios%20y%20certificaciones/ESTUDIOS%20DE%20PROGRAMMING/PROGRAMMING/PERSONAL/PYTHON/Image_Generator_API/imagenes/T_TAHARI_124001667_BLK_2.jpg")</f>
        <v/>
      </c>
      <c r="N3805">
        <f>IMAGE("file:///E:/Estudios%20y%20certificaciones/ESTUDIOS%20DE%20PROGRAMMING/PROGRAMMING/PERSONAL/PYTHON/Image_Generator_API/imagenes/T_TAHARI_124001667_BLK_3.jpg")</f>
        <v/>
      </c>
      <c r="O3805">
        <f>HYPERLINK("imagenes/T_TAHARI_124001667_BLK_1.jpg","Ver imagen")</f>
        <v/>
      </c>
      <c r="P3805">
        <f>HYPERLINK("imagenes/T_TAHARI_124001667_BLK_2.jpg","Ver imagen")</f>
        <v/>
      </c>
      <c r="Q3805">
        <f>HYPERLINK("imagenes/T_TAHARI_124001667_BLK_3.jpg","Ver imagen")</f>
        <v/>
      </c>
    </row>
    <row r="3806">
      <c r="A3806" t="inlineStr">
        <is>
          <t>T TAHARI</t>
        </is>
      </c>
      <c r="B3806" t="inlineStr">
        <is>
          <t>124001667</t>
        </is>
      </c>
      <c r="C3806" t="inlineStr">
        <is>
          <t>SHAY 99781</t>
        </is>
      </c>
      <c r="D3806" t="inlineStr">
        <is>
          <t>BLK</t>
        </is>
      </c>
      <c r="E3806" t="inlineStr">
        <is>
          <t>(en blanco)</t>
        </is>
      </c>
      <c r="F3806" t="inlineStr">
        <is>
          <t>D2C</t>
        </is>
      </c>
      <c r="G3806" t="inlineStr">
        <is>
          <t>M</t>
        </is>
      </c>
      <c r="H3806" t="n">
        <v>19</v>
      </c>
      <c r="I3806" t="inlineStr">
        <is>
          <t>T_TAHARI_124001667_BLK_1.jpg</t>
        </is>
      </c>
      <c r="J3806" t="inlineStr">
        <is>
          <t>T_TAHARI_124001667_BLK_2.jpg</t>
        </is>
      </c>
      <c r="K3806" t="inlineStr">
        <is>
          <t>T_TAHARI_124001667_BLK_3.jpg</t>
        </is>
      </c>
      <c r="L3806">
        <f>IMAGE("file:///E:/Estudios%20y%20certificaciones/ESTUDIOS%20DE%20PROGRAMMING/PROGRAMMING/PERSONAL/PYTHON/Image_Generator_API/imagenes/T_TAHARI_124001667_BLK_1.jpg")</f>
        <v/>
      </c>
      <c r="M3806">
        <f>IMAGE("file:///E:/Estudios%20y%20certificaciones/ESTUDIOS%20DE%20PROGRAMMING/PROGRAMMING/PERSONAL/PYTHON/Image_Generator_API/imagenes/T_TAHARI_124001667_BLK_2.jpg")</f>
        <v/>
      </c>
      <c r="N3806">
        <f>IMAGE("file:///E:/Estudios%20y%20certificaciones/ESTUDIOS%20DE%20PROGRAMMING/PROGRAMMING/PERSONAL/PYTHON/Image_Generator_API/imagenes/T_TAHARI_124001667_BLK_3.jpg")</f>
        <v/>
      </c>
      <c r="O3806">
        <f>HYPERLINK("imagenes/T_TAHARI_124001667_BLK_1.jpg","Ver imagen")</f>
        <v/>
      </c>
      <c r="P3806">
        <f>HYPERLINK("imagenes/T_TAHARI_124001667_BLK_2.jpg","Ver imagen")</f>
        <v/>
      </c>
      <c r="Q3806">
        <f>HYPERLINK("imagenes/T_TAHARI_124001667_BLK_3.jpg","Ver imagen")</f>
        <v/>
      </c>
    </row>
    <row r="3807">
      <c r="A3807" t="inlineStr">
        <is>
          <t>T TAHARI</t>
        </is>
      </c>
      <c r="B3807" t="inlineStr">
        <is>
          <t>124001667</t>
        </is>
      </c>
      <c r="C3807" t="inlineStr">
        <is>
          <t>SHAY 99781</t>
        </is>
      </c>
      <c r="D3807" t="inlineStr">
        <is>
          <t>BLK</t>
        </is>
      </c>
      <c r="E3807" t="inlineStr">
        <is>
          <t>(en blanco)</t>
        </is>
      </c>
      <c r="F3807" t="inlineStr">
        <is>
          <t>D2C</t>
        </is>
      </c>
      <c r="G3807" t="inlineStr">
        <is>
          <t>L</t>
        </is>
      </c>
      <c r="H3807" t="n">
        <v>19</v>
      </c>
      <c r="I3807" t="inlineStr">
        <is>
          <t>T_TAHARI_124001667_BLK_1.jpg</t>
        </is>
      </c>
      <c r="J3807" t="inlineStr">
        <is>
          <t>T_TAHARI_124001667_BLK_2.jpg</t>
        </is>
      </c>
      <c r="K3807" t="inlineStr">
        <is>
          <t>T_TAHARI_124001667_BLK_3.jpg</t>
        </is>
      </c>
      <c r="L3807">
        <f>IMAGE("file:///E:/Estudios%20y%20certificaciones/ESTUDIOS%20DE%20PROGRAMMING/PROGRAMMING/PERSONAL/PYTHON/Image_Generator_API/imagenes/T_TAHARI_124001667_BLK_1.jpg")</f>
        <v/>
      </c>
      <c r="M3807">
        <f>IMAGE("file:///E:/Estudios%20y%20certificaciones/ESTUDIOS%20DE%20PROGRAMMING/PROGRAMMING/PERSONAL/PYTHON/Image_Generator_API/imagenes/T_TAHARI_124001667_BLK_2.jpg")</f>
        <v/>
      </c>
      <c r="N3807">
        <f>IMAGE("file:///E:/Estudios%20y%20certificaciones/ESTUDIOS%20DE%20PROGRAMMING/PROGRAMMING/PERSONAL/PYTHON/Image_Generator_API/imagenes/T_TAHARI_124001667_BLK_3.jpg")</f>
        <v/>
      </c>
      <c r="O3807">
        <f>HYPERLINK("imagenes/T_TAHARI_124001667_BLK_1.jpg","Ver imagen")</f>
        <v/>
      </c>
      <c r="P3807">
        <f>HYPERLINK("imagenes/T_TAHARI_124001667_BLK_2.jpg","Ver imagen")</f>
        <v/>
      </c>
      <c r="Q3807">
        <f>HYPERLINK("imagenes/T_TAHARI_124001667_BLK_3.jpg","Ver imagen")</f>
        <v/>
      </c>
    </row>
    <row r="3808">
      <c r="A3808" t="inlineStr">
        <is>
          <t>T TAHARI</t>
        </is>
      </c>
      <c r="B3808" t="inlineStr">
        <is>
          <t>124001667</t>
        </is>
      </c>
      <c r="C3808" t="inlineStr">
        <is>
          <t>SHAY 99781</t>
        </is>
      </c>
      <c r="D3808" t="inlineStr">
        <is>
          <t>BLK</t>
        </is>
      </c>
      <c r="E3808" t="inlineStr">
        <is>
          <t>(en blanco)</t>
        </is>
      </c>
      <c r="F3808" t="inlineStr">
        <is>
          <t>D2C</t>
        </is>
      </c>
      <c r="G3808" t="inlineStr">
        <is>
          <t>XL</t>
        </is>
      </c>
      <c r="H3808" t="n">
        <v>8</v>
      </c>
      <c r="I3808" t="inlineStr">
        <is>
          <t>T_TAHARI_124001667_BLK_1.jpg</t>
        </is>
      </c>
      <c r="J3808" t="inlineStr">
        <is>
          <t>T_TAHARI_124001667_BLK_2.jpg</t>
        </is>
      </c>
      <c r="K3808" t="inlineStr">
        <is>
          <t>T_TAHARI_124001667_BLK_3.jpg</t>
        </is>
      </c>
      <c r="L3808">
        <f>IMAGE("file:///E:/Estudios%20y%20certificaciones/ESTUDIOS%20DE%20PROGRAMMING/PROGRAMMING/PERSONAL/PYTHON/Image_Generator_API/imagenes/T_TAHARI_124001667_BLK_1.jpg")</f>
        <v/>
      </c>
      <c r="M3808">
        <f>IMAGE("file:///E:/Estudios%20y%20certificaciones/ESTUDIOS%20DE%20PROGRAMMING/PROGRAMMING/PERSONAL/PYTHON/Image_Generator_API/imagenes/T_TAHARI_124001667_BLK_2.jpg")</f>
        <v/>
      </c>
      <c r="N3808">
        <f>IMAGE("file:///E:/Estudios%20y%20certificaciones/ESTUDIOS%20DE%20PROGRAMMING/PROGRAMMING/PERSONAL/PYTHON/Image_Generator_API/imagenes/T_TAHARI_124001667_BLK_3.jpg")</f>
        <v/>
      </c>
      <c r="O3808">
        <f>HYPERLINK("imagenes/T_TAHARI_124001667_BLK_1.jpg","Ver imagen")</f>
        <v/>
      </c>
      <c r="P3808">
        <f>HYPERLINK("imagenes/T_TAHARI_124001667_BLK_2.jpg","Ver imagen")</f>
        <v/>
      </c>
      <c r="Q3808">
        <f>HYPERLINK("imagenes/T_TAHARI_124001667_BLK_3.jpg","Ver imagen")</f>
        <v/>
      </c>
    </row>
    <row r="3809">
      <c r="A3809" t="inlineStr">
        <is>
          <t>T TAHARI</t>
        </is>
      </c>
      <c r="B3809" t="inlineStr">
        <is>
          <t>124001667</t>
        </is>
      </c>
      <c r="C3809" t="inlineStr">
        <is>
          <t>SHAY 99781</t>
        </is>
      </c>
      <c r="D3809" t="inlineStr">
        <is>
          <t>BLK</t>
        </is>
      </c>
      <c r="E3809" t="inlineStr">
        <is>
          <t>(en blanco)</t>
        </is>
      </c>
      <c r="F3809" t="inlineStr">
        <is>
          <t>(en blanco)</t>
        </is>
      </c>
      <c r="G3809" t="inlineStr">
        <is>
          <t>XS</t>
        </is>
      </c>
      <c r="H3809" t="n">
        <v>75</v>
      </c>
      <c r="I3809" t="inlineStr">
        <is>
          <t>T_TAHARI_124001667_BLK_1.jpg</t>
        </is>
      </c>
      <c r="J3809" t="inlineStr">
        <is>
          <t>T_TAHARI_124001667_BLK_2.jpg</t>
        </is>
      </c>
      <c r="K3809" t="inlineStr">
        <is>
          <t>T_TAHARI_124001667_BLK_3.jpg</t>
        </is>
      </c>
      <c r="L3809">
        <f>IMAGE("file:///E:/Estudios%20y%20certificaciones/ESTUDIOS%20DE%20PROGRAMMING/PROGRAMMING/PERSONAL/PYTHON/Image_Generator_API/imagenes/T_TAHARI_124001667_BLK_1.jpg")</f>
        <v/>
      </c>
      <c r="M3809">
        <f>IMAGE("file:///E:/Estudios%20y%20certificaciones/ESTUDIOS%20DE%20PROGRAMMING/PROGRAMMING/PERSONAL/PYTHON/Image_Generator_API/imagenes/T_TAHARI_124001667_BLK_2.jpg")</f>
        <v/>
      </c>
      <c r="N3809">
        <f>IMAGE("file:///E:/Estudios%20y%20certificaciones/ESTUDIOS%20DE%20PROGRAMMING/PROGRAMMING/PERSONAL/PYTHON/Image_Generator_API/imagenes/T_TAHARI_124001667_BLK_3.jpg")</f>
        <v/>
      </c>
      <c r="O3809">
        <f>HYPERLINK("imagenes/T_TAHARI_124001667_BLK_1.jpg","Ver imagen")</f>
        <v/>
      </c>
      <c r="P3809">
        <f>HYPERLINK("imagenes/T_TAHARI_124001667_BLK_2.jpg","Ver imagen")</f>
        <v/>
      </c>
      <c r="Q3809">
        <f>HYPERLINK("imagenes/T_TAHARI_124001667_BLK_3.jpg","Ver imagen")</f>
        <v/>
      </c>
    </row>
    <row r="3810">
      <c r="A3810" t="inlineStr">
        <is>
          <t>T TAHARI</t>
        </is>
      </c>
      <c r="B3810" t="inlineStr">
        <is>
          <t>124001667</t>
        </is>
      </c>
      <c r="C3810" t="inlineStr">
        <is>
          <t>SHAY 99781</t>
        </is>
      </c>
      <c r="D3810" t="inlineStr">
        <is>
          <t>BLK</t>
        </is>
      </c>
      <c r="E3810" t="inlineStr">
        <is>
          <t>(en blanco)</t>
        </is>
      </c>
      <c r="F3810" t="inlineStr">
        <is>
          <t>(en blanco)</t>
        </is>
      </c>
      <c r="G3810" t="inlineStr">
        <is>
          <t>S</t>
        </is>
      </c>
      <c r="H3810" t="n">
        <v>88</v>
      </c>
      <c r="I3810" t="inlineStr">
        <is>
          <t>T_TAHARI_124001667_BLK_1.jpg</t>
        </is>
      </c>
      <c r="J3810" t="inlineStr">
        <is>
          <t>T_TAHARI_124001667_BLK_2.jpg</t>
        </is>
      </c>
      <c r="K3810" t="inlineStr">
        <is>
          <t>T_TAHARI_124001667_BLK_3.jpg</t>
        </is>
      </c>
      <c r="L3810">
        <f>IMAGE("file:///E:/Estudios%20y%20certificaciones/ESTUDIOS%20DE%20PROGRAMMING/PROGRAMMING/PERSONAL/PYTHON/Image_Generator_API/imagenes/T_TAHARI_124001667_BLK_1.jpg")</f>
        <v/>
      </c>
      <c r="M3810">
        <f>IMAGE("file:///E:/Estudios%20y%20certificaciones/ESTUDIOS%20DE%20PROGRAMMING/PROGRAMMING/PERSONAL/PYTHON/Image_Generator_API/imagenes/T_TAHARI_124001667_BLK_2.jpg")</f>
        <v/>
      </c>
      <c r="N3810">
        <f>IMAGE("file:///E:/Estudios%20y%20certificaciones/ESTUDIOS%20DE%20PROGRAMMING/PROGRAMMING/PERSONAL/PYTHON/Image_Generator_API/imagenes/T_TAHARI_124001667_BLK_3.jpg")</f>
        <v/>
      </c>
      <c r="O3810">
        <f>HYPERLINK("imagenes/T_TAHARI_124001667_BLK_1.jpg","Ver imagen")</f>
        <v/>
      </c>
      <c r="P3810">
        <f>HYPERLINK("imagenes/T_TAHARI_124001667_BLK_2.jpg","Ver imagen")</f>
        <v/>
      </c>
      <c r="Q3810">
        <f>HYPERLINK("imagenes/T_TAHARI_124001667_BLK_3.jpg","Ver imagen")</f>
        <v/>
      </c>
    </row>
    <row r="3811">
      <c r="A3811" t="inlineStr">
        <is>
          <t>T TAHARI</t>
        </is>
      </c>
      <c r="B3811" t="inlineStr">
        <is>
          <t>124001667</t>
        </is>
      </c>
      <c r="C3811" t="inlineStr">
        <is>
          <t>SHAY 99781</t>
        </is>
      </c>
      <c r="D3811" t="inlineStr">
        <is>
          <t>BLK</t>
        </is>
      </c>
      <c r="E3811" t="inlineStr">
        <is>
          <t>(en blanco)</t>
        </is>
      </c>
      <c r="F3811" t="inlineStr">
        <is>
          <t>(en blanco)</t>
        </is>
      </c>
      <c r="G3811" t="inlineStr">
        <is>
          <t>M</t>
        </is>
      </c>
      <c r="H3811" t="n">
        <v>83</v>
      </c>
      <c r="I3811" t="inlineStr">
        <is>
          <t>T_TAHARI_124001667_BLK_1.jpg</t>
        </is>
      </c>
      <c r="J3811" t="inlineStr">
        <is>
          <t>T_TAHARI_124001667_BLK_2.jpg</t>
        </is>
      </c>
      <c r="K3811" t="inlineStr">
        <is>
          <t>T_TAHARI_124001667_BLK_3.jpg</t>
        </is>
      </c>
      <c r="L3811">
        <f>IMAGE("file:///E:/Estudios%20y%20certificaciones/ESTUDIOS%20DE%20PROGRAMMING/PROGRAMMING/PERSONAL/PYTHON/Image_Generator_API/imagenes/T_TAHARI_124001667_BLK_1.jpg")</f>
        <v/>
      </c>
      <c r="M3811">
        <f>IMAGE("file:///E:/Estudios%20y%20certificaciones/ESTUDIOS%20DE%20PROGRAMMING/PROGRAMMING/PERSONAL/PYTHON/Image_Generator_API/imagenes/T_TAHARI_124001667_BLK_2.jpg")</f>
        <v/>
      </c>
      <c r="N3811">
        <f>IMAGE("file:///E:/Estudios%20y%20certificaciones/ESTUDIOS%20DE%20PROGRAMMING/PROGRAMMING/PERSONAL/PYTHON/Image_Generator_API/imagenes/T_TAHARI_124001667_BLK_3.jpg")</f>
        <v/>
      </c>
      <c r="O3811">
        <f>HYPERLINK("imagenes/T_TAHARI_124001667_BLK_1.jpg","Ver imagen")</f>
        <v/>
      </c>
      <c r="P3811">
        <f>HYPERLINK("imagenes/T_TAHARI_124001667_BLK_2.jpg","Ver imagen")</f>
        <v/>
      </c>
      <c r="Q3811">
        <f>HYPERLINK("imagenes/T_TAHARI_124001667_BLK_3.jpg","Ver imagen")</f>
        <v/>
      </c>
    </row>
    <row r="3812">
      <c r="A3812" t="inlineStr">
        <is>
          <t>T TAHARI</t>
        </is>
      </c>
      <c r="B3812" t="inlineStr">
        <is>
          <t>124001667</t>
        </is>
      </c>
      <c r="C3812" t="inlineStr">
        <is>
          <t>SHAY 99781</t>
        </is>
      </c>
      <c r="D3812" t="inlineStr">
        <is>
          <t>BLK</t>
        </is>
      </c>
      <c r="E3812" t="inlineStr">
        <is>
          <t>(en blanco)</t>
        </is>
      </c>
      <c r="F3812" t="inlineStr">
        <is>
          <t>(en blanco)</t>
        </is>
      </c>
      <c r="G3812" t="inlineStr">
        <is>
          <t>L</t>
        </is>
      </c>
      <c r="H3812" t="n">
        <v>55</v>
      </c>
      <c r="I3812" t="inlineStr">
        <is>
          <t>T_TAHARI_124001667_BLK_1.jpg</t>
        </is>
      </c>
      <c r="J3812" t="inlineStr">
        <is>
          <t>T_TAHARI_124001667_BLK_2.jpg</t>
        </is>
      </c>
      <c r="K3812" t="inlineStr">
        <is>
          <t>T_TAHARI_124001667_BLK_3.jpg</t>
        </is>
      </c>
      <c r="L3812">
        <f>IMAGE("file:///E:/Estudios%20y%20certificaciones/ESTUDIOS%20DE%20PROGRAMMING/PROGRAMMING/PERSONAL/PYTHON/Image_Generator_API/imagenes/T_TAHARI_124001667_BLK_1.jpg")</f>
        <v/>
      </c>
      <c r="M3812">
        <f>IMAGE("file:///E:/Estudios%20y%20certificaciones/ESTUDIOS%20DE%20PROGRAMMING/PROGRAMMING/PERSONAL/PYTHON/Image_Generator_API/imagenes/T_TAHARI_124001667_BLK_2.jpg")</f>
        <v/>
      </c>
      <c r="N3812">
        <f>IMAGE("file:///E:/Estudios%20y%20certificaciones/ESTUDIOS%20DE%20PROGRAMMING/PROGRAMMING/PERSONAL/PYTHON/Image_Generator_API/imagenes/T_TAHARI_124001667_BLK_3.jpg")</f>
        <v/>
      </c>
      <c r="O3812">
        <f>HYPERLINK("imagenes/T_TAHARI_124001667_BLK_1.jpg","Ver imagen")</f>
        <v/>
      </c>
      <c r="P3812">
        <f>HYPERLINK("imagenes/T_TAHARI_124001667_BLK_2.jpg","Ver imagen")</f>
        <v/>
      </c>
      <c r="Q3812">
        <f>HYPERLINK("imagenes/T_TAHARI_124001667_BLK_3.jpg","Ver imagen")</f>
        <v/>
      </c>
    </row>
    <row r="3813">
      <c r="A3813" t="inlineStr">
        <is>
          <t>T TAHARI</t>
        </is>
      </c>
      <c r="B3813" t="inlineStr">
        <is>
          <t>124001667</t>
        </is>
      </c>
      <c r="C3813" t="inlineStr">
        <is>
          <t>SHAY 99781</t>
        </is>
      </c>
      <c r="D3813" t="inlineStr">
        <is>
          <t>BLK</t>
        </is>
      </c>
      <c r="E3813" t="inlineStr">
        <is>
          <t>(en blanco)</t>
        </is>
      </c>
      <c r="F3813" t="inlineStr">
        <is>
          <t>(en blanco)</t>
        </is>
      </c>
      <c r="G3813" t="inlineStr">
        <is>
          <t>XL</t>
        </is>
      </c>
      <c r="H3813" t="n">
        <v>61</v>
      </c>
      <c r="I3813" t="inlineStr">
        <is>
          <t>T_TAHARI_124001667_BLK_1.jpg</t>
        </is>
      </c>
      <c r="J3813" t="inlineStr">
        <is>
          <t>T_TAHARI_124001667_BLK_2.jpg</t>
        </is>
      </c>
      <c r="K3813" t="inlineStr">
        <is>
          <t>T_TAHARI_124001667_BLK_3.jpg</t>
        </is>
      </c>
      <c r="L3813">
        <f>IMAGE("file:///E:/Estudios%20y%20certificaciones/ESTUDIOS%20DE%20PROGRAMMING/PROGRAMMING/PERSONAL/PYTHON/Image_Generator_API/imagenes/T_TAHARI_124001667_BLK_1.jpg")</f>
        <v/>
      </c>
      <c r="M3813">
        <f>IMAGE("file:///E:/Estudios%20y%20certificaciones/ESTUDIOS%20DE%20PROGRAMMING/PROGRAMMING/PERSONAL/PYTHON/Image_Generator_API/imagenes/T_TAHARI_124001667_BLK_2.jpg")</f>
        <v/>
      </c>
      <c r="N3813">
        <f>IMAGE("file:///E:/Estudios%20y%20certificaciones/ESTUDIOS%20DE%20PROGRAMMING/PROGRAMMING/PERSONAL/PYTHON/Image_Generator_API/imagenes/T_TAHARI_124001667_BLK_3.jpg")</f>
        <v/>
      </c>
      <c r="O3813">
        <f>HYPERLINK("imagenes/T_TAHARI_124001667_BLK_1.jpg","Ver imagen")</f>
        <v/>
      </c>
      <c r="P3813">
        <f>HYPERLINK("imagenes/T_TAHARI_124001667_BLK_2.jpg","Ver imagen")</f>
        <v/>
      </c>
      <c r="Q3813">
        <f>HYPERLINK("imagenes/T_TAHARI_124001667_BLK_3.jpg","Ver imagen")</f>
        <v/>
      </c>
    </row>
    <row r="3814">
      <c r="A3814" t="inlineStr">
        <is>
          <t>T TAHARI</t>
        </is>
      </c>
      <c r="B3814" t="inlineStr">
        <is>
          <t>124001667</t>
        </is>
      </c>
      <c r="C3814" t="inlineStr">
        <is>
          <t>SHAY 99781</t>
        </is>
      </c>
      <c r="D3814" t="inlineStr">
        <is>
          <t>BLK</t>
        </is>
      </c>
      <c r="E3814" t="inlineStr">
        <is>
          <t>(en blanco)</t>
        </is>
      </c>
      <c r="F3814" t="inlineStr">
        <is>
          <t>(en blanco)</t>
        </is>
      </c>
      <c r="G3814" t="inlineStr">
        <is>
          <t>XXL</t>
        </is>
      </c>
      <c r="H3814" t="n">
        <v>77</v>
      </c>
      <c r="I3814" t="inlineStr">
        <is>
          <t>T_TAHARI_124001667_BLK_1.jpg</t>
        </is>
      </c>
      <c r="J3814" t="inlineStr">
        <is>
          <t>T_TAHARI_124001667_BLK_2.jpg</t>
        </is>
      </c>
      <c r="K3814" t="inlineStr">
        <is>
          <t>T_TAHARI_124001667_BLK_3.jpg</t>
        </is>
      </c>
      <c r="L3814">
        <f>IMAGE("file:///E:/Estudios%20y%20certificaciones/ESTUDIOS%20DE%20PROGRAMMING/PROGRAMMING/PERSONAL/PYTHON/Image_Generator_API/imagenes/T_TAHARI_124001667_BLK_1.jpg")</f>
        <v/>
      </c>
      <c r="M3814">
        <f>IMAGE("file:///E:/Estudios%20y%20certificaciones/ESTUDIOS%20DE%20PROGRAMMING/PROGRAMMING/PERSONAL/PYTHON/Image_Generator_API/imagenes/T_TAHARI_124001667_BLK_2.jpg")</f>
        <v/>
      </c>
      <c r="N3814">
        <f>IMAGE("file:///E:/Estudios%20y%20certificaciones/ESTUDIOS%20DE%20PROGRAMMING/PROGRAMMING/PERSONAL/PYTHON/Image_Generator_API/imagenes/T_TAHARI_124001667_BLK_3.jpg")</f>
        <v/>
      </c>
      <c r="O3814">
        <f>HYPERLINK("imagenes/T_TAHARI_124001667_BLK_1.jpg","Ver imagen")</f>
        <v/>
      </c>
      <c r="P3814">
        <f>HYPERLINK("imagenes/T_TAHARI_124001667_BLK_2.jpg","Ver imagen")</f>
        <v/>
      </c>
      <c r="Q3814">
        <f>HYPERLINK("imagenes/T_TAHARI_124001667_BLK_3.jpg","Ver imagen")</f>
        <v/>
      </c>
    </row>
    <row r="3815">
      <c r="A3815" t="inlineStr">
        <is>
          <t>T TAHARI</t>
        </is>
      </c>
      <c r="B3815" t="inlineStr">
        <is>
          <t>124001667</t>
        </is>
      </c>
      <c r="C3815" t="inlineStr">
        <is>
          <t>SHAY 99781</t>
        </is>
      </c>
      <c r="D3815" t="inlineStr">
        <is>
          <t>BLK</t>
        </is>
      </c>
      <c r="E3815" t="inlineStr">
        <is>
          <t>(en blanco)</t>
        </is>
      </c>
      <c r="F3815" t="inlineStr">
        <is>
          <t>(en blanco)</t>
        </is>
      </c>
      <c r="G3815" t="inlineStr">
        <is>
          <t>XXS</t>
        </is>
      </c>
      <c r="H3815" t="n">
        <v>78</v>
      </c>
      <c r="I3815" t="inlineStr">
        <is>
          <t>T_TAHARI_124001667_BLK_1.jpg</t>
        </is>
      </c>
      <c r="J3815" t="inlineStr">
        <is>
          <t>T_TAHARI_124001667_BLK_2.jpg</t>
        </is>
      </c>
      <c r="K3815" t="inlineStr">
        <is>
          <t>T_TAHARI_124001667_BLK_3.jpg</t>
        </is>
      </c>
      <c r="L3815">
        <f>IMAGE("file:///E:/Estudios%20y%20certificaciones/ESTUDIOS%20DE%20PROGRAMMING/PROGRAMMING/PERSONAL/PYTHON/Image_Generator_API/imagenes/T_TAHARI_124001667_BLK_1.jpg")</f>
        <v/>
      </c>
      <c r="M3815">
        <f>IMAGE("file:///E:/Estudios%20y%20certificaciones/ESTUDIOS%20DE%20PROGRAMMING/PROGRAMMING/PERSONAL/PYTHON/Image_Generator_API/imagenes/T_TAHARI_124001667_BLK_2.jpg")</f>
        <v/>
      </c>
      <c r="N3815">
        <f>IMAGE("file:///E:/Estudios%20y%20certificaciones/ESTUDIOS%20DE%20PROGRAMMING/PROGRAMMING/PERSONAL/PYTHON/Image_Generator_API/imagenes/T_TAHARI_124001667_BLK_3.jpg")</f>
        <v/>
      </c>
      <c r="O3815">
        <f>HYPERLINK("imagenes/T_TAHARI_124001667_BLK_1.jpg","Ver imagen")</f>
        <v/>
      </c>
      <c r="P3815">
        <f>HYPERLINK("imagenes/T_TAHARI_124001667_BLK_2.jpg","Ver imagen")</f>
        <v/>
      </c>
      <c r="Q3815">
        <f>HYPERLINK("imagenes/T_TAHARI_124001667_BLK_3.jpg","Ver imagen")</f>
        <v/>
      </c>
    </row>
    <row r="3816">
      <c r="A3816" t="inlineStr">
        <is>
          <t>T TAHARI</t>
        </is>
      </c>
      <c r="B3816" t="inlineStr">
        <is>
          <t>124001685</t>
        </is>
      </c>
      <c r="C3816" t="inlineStr">
        <is>
          <t>NATALIE 6637123 PLUS NEW COLOR</t>
        </is>
      </c>
      <c r="D3816" t="inlineStr">
        <is>
          <t>CHO</t>
        </is>
      </c>
      <c r="E3816" t="inlineStr">
        <is>
          <t>(en blanco)</t>
        </is>
      </c>
      <c r="F3816" t="inlineStr">
        <is>
          <t>(en blanco)</t>
        </is>
      </c>
      <c r="G3816" t="inlineStr">
        <is>
          <t>0X</t>
        </is>
      </c>
      <c r="H3816" t="n">
        <v>11</v>
      </c>
      <c r="I3816" t="inlineStr">
        <is>
          <t>T_TAHARI_124001685_CHO_1.jpg</t>
        </is>
      </c>
      <c r="J3816" t="inlineStr">
        <is>
          <t>T_TAHARI_124001685_CHO_2.jpg</t>
        </is>
      </c>
      <c r="K3816" t="inlineStr">
        <is>
          <t>T_TAHARI_124001685_CHO_3.jpg</t>
        </is>
      </c>
      <c r="L3816">
        <f>IMAGE("file:///E:/Estudios%20y%20certificaciones/ESTUDIOS%20DE%20PROGRAMMING/PROGRAMMING/PERSONAL/PYTHON/Image_Generator_API/imagenes/T_TAHARI_124001685_CHO_1.jpg")</f>
        <v/>
      </c>
      <c r="M3816">
        <f>IMAGE("file:///E:/Estudios%20y%20certificaciones/ESTUDIOS%20DE%20PROGRAMMING/PROGRAMMING/PERSONAL/PYTHON/Image_Generator_API/imagenes/T_TAHARI_124001685_CHO_2.jpg")</f>
        <v/>
      </c>
      <c r="N3816">
        <f>IMAGE("file:///E:/Estudios%20y%20certificaciones/ESTUDIOS%20DE%20PROGRAMMING/PROGRAMMING/PERSONAL/PYTHON/Image_Generator_API/imagenes/T_TAHARI_124001685_CHO_3.jpg")</f>
        <v/>
      </c>
      <c r="O3816">
        <f>HYPERLINK("imagenes/T_TAHARI_124001685_CHO_1.jpg","Ver imagen")</f>
        <v/>
      </c>
      <c r="P3816">
        <f>HYPERLINK("imagenes/T_TAHARI_124001685_CHO_2.jpg","Ver imagen")</f>
        <v/>
      </c>
      <c r="Q3816">
        <f>HYPERLINK("imagenes/T_TAHARI_124001685_CHO_3.jpg","Ver imagen")</f>
        <v/>
      </c>
    </row>
    <row r="3817">
      <c r="A3817" t="inlineStr">
        <is>
          <t>T TAHARI</t>
        </is>
      </c>
      <c r="B3817" t="inlineStr">
        <is>
          <t>124001685</t>
        </is>
      </c>
      <c r="C3817" t="inlineStr">
        <is>
          <t>NATALIE 6637123 PLUS NEW COLOR</t>
        </is>
      </c>
      <c r="D3817" t="inlineStr">
        <is>
          <t>CHO</t>
        </is>
      </c>
      <c r="E3817" t="inlineStr">
        <is>
          <t>(en blanco)</t>
        </is>
      </c>
      <c r="F3817" t="inlineStr">
        <is>
          <t>(en blanco)</t>
        </is>
      </c>
      <c r="G3817" t="inlineStr">
        <is>
          <t>1X</t>
        </is>
      </c>
      <c r="H3817" t="n">
        <v>13</v>
      </c>
      <c r="I3817" t="inlineStr">
        <is>
          <t>T_TAHARI_124001685_CHO_1.jpg</t>
        </is>
      </c>
      <c r="J3817" t="inlineStr">
        <is>
          <t>T_TAHARI_124001685_CHO_2.jpg</t>
        </is>
      </c>
      <c r="K3817" t="inlineStr">
        <is>
          <t>T_TAHARI_124001685_CHO_3.jpg</t>
        </is>
      </c>
      <c r="L3817">
        <f>IMAGE("file:///E:/Estudios%20y%20certificaciones/ESTUDIOS%20DE%20PROGRAMMING/PROGRAMMING/PERSONAL/PYTHON/Image_Generator_API/imagenes/T_TAHARI_124001685_CHO_1.jpg")</f>
        <v/>
      </c>
      <c r="M3817">
        <f>IMAGE("file:///E:/Estudios%20y%20certificaciones/ESTUDIOS%20DE%20PROGRAMMING/PROGRAMMING/PERSONAL/PYTHON/Image_Generator_API/imagenes/T_TAHARI_124001685_CHO_2.jpg")</f>
        <v/>
      </c>
      <c r="N3817">
        <f>IMAGE("file:///E:/Estudios%20y%20certificaciones/ESTUDIOS%20DE%20PROGRAMMING/PROGRAMMING/PERSONAL/PYTHON/Image_Generator_API/imagenes/T_TAHARI_124001685_CHO_3.jpg")</f>
        <v/>
      </c>
      <c r="O3817">
        <f>HYPERLINK("imagenes/T_TAHARI_124001685_CHO_1.jpg","Ver imagen")</f>
        <v/>
      </c>
      <c r="P3817">
        <f>HYPERLINK("imagenes/T_TAHARI_124001685_CHO_2.jpg","Ver imagen")</f>
        <v/>
      </c>
      <c r="Q3817">
        <f>HYPERLINK("imagenes/T_TAHARI_124001685_CHO_3.jpg","Ver imagen")</f>
        <v/>
      </c>
    </row>
    <row r="3818">
      <c r="A3818" t="inlineStr">
        <is>
          <t>T TAHARI</t>
        </is>
      </c>
      <c r="B3818" t="inlineStr">
        <is>
          <t>124001685</t>
        </is>
      </c>
      <c r="C3818" t="inlineStr">
        <is>
          <t>NATALIE 6637123 PLUS NEW COLOR</t>
        </is>
      </c>
      <c r="D3818" t="inlineStr">
        <is>
          <t>CHO</t>
        </is>
      </c>
      <c r="E3818" t="inlineStr">
        <is>
          <t>(en blanco)</t>
        </is>
      </c>
      <c r="F3818" t="inlineStr">
        <is>
          <t>(en blanco)</t>
        </is>
      </c>
      <c r="G3818" t="inlineStr">
        <is>
          <t>2X</t>
        </is>
      </c>
      <c r="H3818" t="n">
        <v>18</v>
      </c>
      <c r="I3818" t="inlineStr">
        <is>
          <t>T_TAHARI_124001685_CHO_1.jpg</t>
        </is>
      </c>
      <c r="J3818" t="inlineStr">
        <is>
          <t>T_TAHARI_124001685_CHO_2.jpg</t>
        </is>
      </c>
      <c r="K3818" t="inlineStr">
        <is>
          <t>T_TAHARI_124001685_CHO_3.jpg</t>
        </is>
      </c>
      <c r="L3818">
        <f>IMAGE("file:///E:/Estudios%20y%20certificaciones/ESTUDIOS%20DE%20PROGRAMMING/PROGRAMMING/PERSONAL/PYTHON/Image_Generator_API/imagenes/T_TAHARI_124001685_CHO_1.jpg")</f>
        <v/>
      </c>
      <c r="M3818">
        <f>IMAGE("file:///E:/Estudios%20y%20certificaciones/ESTUDIOS%20DE%20PROGRAMMING/PROGRAMMING/PERSONAL/PYTHON/Image_Generator_API/imagenes/T_TAHARI_124001685_CHO_2.jpg")</f>
        <v/>
      </c>
      <c r="N3818">
        <f>IMAGE("file:///E:/Estudios%20y%20certificaciones/ESTUDIOS%20DE%20PROGRAMMING/PROGRAMMING/PERSONAL/PYTHON/Image_Generator_API/imagenes/T_TAHARI_124001685_CHO_3.jpg")</f>
        <v/>
      </c>
      <c r="O3818">
        <f>HYPERLINK("imagenes/T_TAHARI_124001685_CHO_1.jpg","Ver imagen")</f>
        <v/>
      </c>
      <c r="P3818">
        <f>HYPERLINK("imagenes/T_TAHARI_124001685_CHO_2.jpg","Ver imagen")</f>
        <v/>
      </c>
      <c r="Q3818">
        <f>HYPERLINK("imagenes/T_TAHARI_124001685_CHO_3.jpg","Ver imagen")</f>
        <v/>
      </c>
    </row>
    <row r="3819">
      <c r="A3819" t="inlineStr">
        <is>
          <t>T TAHARI</t>
        </is>
      </c>
      <c r="B3819" t="inlineStr">
        <is>
          <t>124001685</t>
        </is>
      </c>
      <c r="C3819" t="inlineStr">
        <is>
          <t>NATALIE 6637123 PLUS NEW COLOR</t>
        </is>
      </c>
      <c r="D3819" t="inlineStr">
        <is>
          <t>CHO</t>
        </is>
      </c>
      <c r="E3819" t="inlineStr">
        <is>
          <t>(en blanco)</t>
        </is>
      </c>
      <c r="F3819" t="inlineStr">
        <is>
          <t>(en blanco)</t>
        </is>
      </c>
      <c r="G3819" t="inlineStr">
        <is>
          <t>3X</t>
        </is>
      </c>
      <c r="H3819" t="n">
        <v>12</v>
      </c>
      <c r="I3819" t="inlineStr">
        <is>
          <t>T_TAHARI_124001685_CHO_1.jpg</t>
        </is>
      </c>
      <c r="J3819" t="inlineStr">
        <is>
          <t>T_TAHARI_124001685_CHO_2.jpg</t>
        </is>
      </c>
      <c r="K3819" t="inlineStr">
        <is>
          <t>T_TAHARI_124001685_CHO_3.jpg</t>
        </is>
      </c>
      <c r="L3819">
        <f>IMAGE("file:///E:/Estudios%20y%20certificaciones/ESTUDIOS%20DE%20PROGRAMMING/PROGRAMMING/PERSONAL/PYTHON/Image_Generator_API/imagenes/T_TAHARI_124001685_CHO_1.jpg")</f>
        <v/>
      </c>
      <c r="M3819">
        <f>IMAGE("file:///E:/Estudios%20y%20certificaciones/ESTUDIOS%20DE%20PROGRAMMING/PROGRAMMING/PERSONAL/PYTHON/Image_Generator_API/imagenes/T_TAHARI_124001685_CHO_2.jpg")</f>
        <v/>
      </c>
      <c r="N3819">
        <f>IMAGE("file:///E:/Estudios%20y%20certificaciones/ESTUDIOS%20DE%20PROGRAMMING/PROGRAMMING/PERSONAL/PYTHON/Image_Generator_API/imagenes/T_TAHARI_124001685_CHO_3.jpg")</f>
        <v/>
      </c>
      <c r="O3819">
        <f>HYPERLINK("imagenes/T_TAHARI_124001685_CHO_1.jpg","Ver imagen")</f>
        <v/>
      </c>
      <c r="P3819">
        <f>HYPERLINK("imagenes/T_TAHARI_124001685_CHO_2.jpg","Ver imagen")</f>
        <v/>
      </c>
      <c r="Q3819">
        <f>HYPERLINK("imagenes/T_TAHARI_124001685_CHO_3.jpg","Ver imagen")</f>
        <v/>
      </c>
    </row>
    <row r="3820">
      <c r="A3820" t="inlineStr">
        <is>
          <t>T TAHARI</t>
        </is>
      </c>
      <c r="B3820" t="inlineStr">
        <is>
          <t>124001687</t>
        </is>
      </c>
      <c r="C3820" t="inlineStr">
        <is>
          <t>NATALIE 6617123 PETITE</t>
        </is>
      </c>
      <c r="D3820" t="inlineStr">
        <is>
          <t>BLK</t>
        </is>
      </c>
      <c r="E3820" t="inlineStr">
        <is>
          <t>(en blanco)</t>
        </is>
      </c>
      <c r="F3820" t="inlineStr">
        <is>
          <t>(en blanco)</t>
        </is>
      </c>
      <c r="G3820" t="inlineStr">
        <is>
          <t>LP</t>
        </is>
      </c>
      <c r="H3820" t="n">
        <v>7</v>
      </c>
      <c r="I3820" t="inlineStr">
        <is>
          <t>T_TAHARI_124001687_BLK_1.jpg</t>
        </is>
      </c>
      <c r="J3820" t="inlineStr">
        <is>
          <t>T_TAHARI_124001687_BLK_2.jpg</t>
        </is>
      </c>
      <c r="K3820" t="inlineStr">
        <is>
          <t>T_TAHARI_124001687_BLK_3.jpg</t>
        </is>
      </c>
      <c r="L3820">
        <f>IMAGE("file:///E:/Estudios%20y%20certificaciones/ESTUDIOS%20DE%20PROGRAMMING/PROGRAMMING/PERSONAL/PYTHON/Image_Generator_API/imagenes/T_TAHARI_124001687_BLK_1.jpg")</f>
        <v/>
      </c>
      <c r="M3820">
        <f>IMAGE("file:///E:/Estudios%20y%20certificaciones/ESTUDIOS%20DE%20PROGRAMMING/PROGRAMMING/PERSONAL/PYTHON/Image_Generator_API/imagenes/T_TAHARI_124001687_BLK_2.jpg")</f>
        <v/>
      </c>
      <c r="N3820">
        <f>IMAGE("file:///E:/Estudios%20y%20certificaciones/ESTUDIOS%20DE%20PROGRAMMING/PROGRAMMING/PERSONAL/PYTHON/Image_Generator_API/imagenes/T_TAHARI_124001687_BLK_3.jpg")</f>
        <v/>
      </c>
      <c r="O3820">
        <f>HYPERLINK("imagenes/T_TAHARI_124001687_BLK_1.jpg","Ver imagen")</f>
        <v/>
      </c>
      <c r="P3820">
        <f>HYPERLINK("imagenes/T_TAHARI_124001687_BLK_2.jpg","Ver imagen")</f>
        <v/>
      </c>
      <c r="Q3820">
        <f>HYPERLINK("imagenes/T_TAHARI_124001687_BLK_3.jpg","Ver imagen")</f>
        <v/>
      </c>
    </row>
    <row r="3821">
      <c r="A3821" t="inlineStr">
        <is>
          <t>T TAHARI</t>
        </is>
      </c>
      <c r="B3821" t="inlineStr">
        <is>
          <t>124001687</t>
        </is>
      </c>
      <c r="C3821" t="inlineStr">
        <is>
          <t>NATALIE 6617123 PETITE</t>
        </is>
      </c>
      <c r="D3821" t="inlineStr">
        <is>
          <t>BLK</t>
        </is>
      </c>
      <c r="E3821" t="inlineStr">
        <is>
          <t>(en blanco)</t>
        </is>
      </c>
      <c r="F3821" t="inlineStr">
        <is>
          <t>(en blanco)</t>
        </is>
      </c>
      <c r="G3821" t="inlineStr">
        <is>
          <t>SP</t>
        </is>
      </c>
      <c r="H3821" t="n">
        <v>2</v>
      </c>
      <c r="I3821" t="inlineStr">
        <is>
          <t>T_TAHARI_124001687_BLK_1.jpg</t>
        </is>
      </c>
      <c r="J3821" t="inlineStr">
        <is>
          <t>T_TAHARI_124001687_BLK_2.jpg</t>
        </is>
      </c>
      <c r="K3821" t="inlineStr">
        <is>
          <t>T_TAHARI_124001687_BLK_3.jpg</t>
        </is>
      </c>
      <c r="L3821">
        <f>IMAGE("file:///E:/Estudios%20y%20certificaciones/ESTUDIOS%20DE%20PROGRAMMING/PROGRAMMING/PERSONAL/PYTHON/Image_Generator_API/imagenes/T_TAHARI_124001687_BLK_1.jpg")</f>
        <v/>
      </c>
      <c r="M3821">
        <f>IMAGE("file:///E:/Estudios%20y%20certificaciones/ESTUDIOS%20DE%20PROGRAMMING/PROGRAMMING/PERSONAL/PYTHON/Image_Generator_API/imagenes/T_TAHARI_124001687_BLK_2.jpg")</f>
        <v/>
      </c>
      <c r="N3821">
        <f>IMAGE("file:///E:/Estudios%20y%20certificaciones/ESTUDIOS%20DE%20PROGRAMMING/PROGRAMMING/PERSONAL/PYTHON/Image_Generator_API/imagenes/T_TAHARI_124001687_BLK_3.jpg")</f>
        <v/>
      </c>
      <c r="O3821">
        <f>HYPERLINK("imagenes/T_TAHARI_124001687_BLK_1.jpg","Ver imagen")</f>
        <v/>
      </c>
      <c r="P3821">
        <f>HYPERLINK("imagenes/T_TAHARI_124001687_BLK_2.jpg","Ver imagen")</f>
        <v/>
      </c>
      <c r="Q3821">
        <f>HYPERLINK("imagenes/T_TAHARI_124001687_BLK_3.jpg","Ver imagen")</f>
        <v/>
      </c>
    </row>
    <row r="3822">
      <c r="A3822" t="inlineStr">
        <is>
          <t>T TAHARI</t>
        </is>
      </c>
      <c r="B3822" t="inlineStr">
        <is>
          <t>124001687</t>
        </is>
      </c>
      <c r="C3822" t="inlineStr">
        <is>
          <t>NATALIE 6617123 PETITE</t>
        </is>
      </c>
      <c r="D3822" t="inlineStr">
        <is>
          <t>BLK</t>
        </is>
      </c>
      <c r="E3822" t="inlineStr">
        <is>
          <t>(en blanco)</t>
        </is>
      </c>
      <c r="F3822" t="inlineStr">
        <is>
          <t>(en blanco)</t>
        </is>
      </c>
      <c r="G3822" t="inlineStr">
        <is>
          <t>XLP</t>
        </is>
      </c>
      <c r="H3822" t="n">
        <v>3</v>
      </c>
      <c r="I3822" t="inlineStr">
        <is>
          <t>T_TAHARI_124001687_BLK_1.jpg</t>
        </is>
      </c>
      <c r="J3822" t="inlineStr">
        <is>
          <t>T_TAHARI_124001687_BLK_2.jpg</t>
        </is>
      </c>
      <c r="K3822" t="inlineStr">
        <is>
          <t>T_TAHARI_124001687_BLK_3.jpg</t>
        </is>
      </c>
      <c r="L3822">
        <f>IMAGE("file:///E:/Estudios%20y%20certificaciones/ESTUDIOS%20DE%20PROGRAMMING/PROGRAMMING/PERSONAL/PYTHON/Image_Generator_API/imagenes/T_TAHARI_124001687_BLK_1.jpg")</f>
        <v/>
      </c>
      <c r="M3822">
        <f>IMAGE("file:///E:/Estudios%20y%20certificaciones/ESTUDIOS%20DE%20PROGRAMMING/PROGRAMMING/PERSONAL/PYTHON/Image_Generator_API/imagenes/T_TAHARI_124001687_BLK_2.jpg")</f>
        <v/>
      </c>
      <c r="N3822">
        <f>IMAGE("file:///E:/Estudios%20y%20certificaciones/ESTUDIOS%20DE%20PROGRAMMING/PROGRAMMING/PERSONAL/PYTHON/Image_Generator_API/imagenes/T_TAHARI_124001687_BLK_3.jpg")</f>
        <v/>
      </c>
      <c r="O3822">
        <f>HYPERLINK("imagenes/T_TAHARI_124001687_BLK_1.jpg","Ver imagen")</f>
        <v/>
      </c>
      <c r="P3822">
        <f>HYPERLINK("imagenes/T_TAHARI_124001687_BLK_2.jpg","Ver imagen")</f>
        <v/>
      </c>
      <c r="Q3822">
        <f>HYPERLINK("imagenes/T_TAHARI_124001687_BLK_3.jpg","Ver imagen")</f>
        <v/>
      </c>
    </row>
    <row r="3823">
      <c r="A3823" t="inlineStr">
        <is>
          <t>T TAHARI</t>
        </is>
      </c>
      <c r="B3823" t="inlineStr">
        <is>
          <t>124001687</t>
        </is>
      </c>
      <c r="C3823" t="inlineStr">
        <is>
          <t>NATALIE 6617123 PETITE</t>
        </is>
      </c>
      <c r="D3823" t="inlineStr">
        <is>
          <t>BLK</t>
        </is>
      </c>
      <c r="E3823" t="inlineStr">
        <is>
          <t>(en blanco)</t>
        </is>
      </c>
      <c r="F3823" t="inlineStr">
        <is>
          <t>(en blanco)</t>
        </is>
      </c>
      <c r="G3823" t="inlineStr">
        <is>
          <t>XXLP</t>
        </is>
      </c>
      <c r="H3823" t="n">
        <v>1</v>
      </c>
      <c r="I3823" t="inlineStr">
        <is>
          <t>T_TAHARI_124001687_BLK_1.jpg</t>
        </is>
      </c>
      <c r="J3823" t="inlineStr">
        <is>
          <t>T_TAHARI_124001687_BLK_2.jpg</t>
        </is>
      </c>
      <c r="K3823" t="inlineStr">
        <is>
          <t>T_TAHARI_124001687_BLK_3.jpg</t>
        </is>
      </c>
      <c r="L3823">
        <f>IMAGE("file:///E:/Estudios%20y%20certificaciones/ESTUDIOS%20DE%20PROGRAMMING/PROGRAMMING/PERSONAL/PYTHON/Image_Generator_API/imagenes/T_TAHARI_124001687_BLK_1.jpg")</f>
        <v/>
      </c>
      <c r="M3823">
        <f>IMAGE("file:///E:/Estudios%20y%20certificaciones/ESTUDIOS%20DE%20PROGRAMMING/PROGRAMMING/PERSONAL/PYTHON/Image_Generator_API/imagenes/T_TAHARI_124001687_BLK_2.jpg")</f>
        <v/>
      </c>
      <c r="N3823">
        <f>IMAGE("file:///E:/Estudios%20y%20certificaciones/ESTUDIOS%20DE%20PROGRAMMING/PROGRAMMING/PERSONAL/PYTHON/Image_Generator_API/imagenes/T_TAHARI_124001687_BLK_3.jpg")</f>
        <v/>
      </c>
      <c r="O3823">
        <f>HYPERLINK("imagenes/T_TAHARI_124001687_BLK_1.jpg","Ver imagen")</f>
        <v/>
      </c>
      <c r="P3823">
        <f>HYPERLINK("imagenes/T_TAHARI_124001687_BLK_2.jpg","Ver imagen")</f>
        <v/>
      </c>
      <c r="Q3823">
        <f>HYPERLINK("imagenes/T_TAHARI_124001687_BLK_3.jpg","Ver imagen")</f>
        <v/>
      </c>
    </row>
    <row r="3824">
      <c r="A3824" t="inlineStr">
        <is>
          <t>T TAHARI</t>
        </is>
      </c>
      <c r="B3824" t="inlineStr">
        <is>
          <t>124001687</t>
        </is>
      </c>
      <c r="C3824" t="inlineStr">
        <is>
          <t>NATALIE 6617123 PETITE</t>
        </is>
      </c>
      <c r="D3824" t="inlineStr">
        <is>
          <t>CHO</t>
        </is>
      </c>
      <c r="E3824" t="inlineStr">
        <is>
          <t>(en blanco)</t>
        </is>
      </c>
      <c r="F3824" t="inlineStr">
        <is>
          <t>(en blanco)</t>
        </is>
      </c>
      <c r="G3824" t="inlineStr">
        <is>
          <t>LP</t>
        </is>
      </c>
      <c r="H3824" t="n">
        <v>1</v>
      </c>
      <c r="I3824" t="inlineStr">
        <is>
          <t>T_TAHARI_124001687_CHO_1.jpg</t>
        </is>
      </c>
      <c r="J3824" t="inlineStr">
        <is>
          <t>T_TAHARI_124001687_CHO_2.jpg</t>
        </is>
      </c>
      <c r="K3824" t="inlineStr">
        <is>
          <t>T_TAHARI_124001687_CHO_3.jpg</t>
        </is>
      </c>
      <c r="L3824">
        <f>IMAGE("file:///E:/Estudios%20y%20certificaciones/ESTUDIOS%20DE%20PROGRAMMING/PROGRAMMING/PERSONAL/PYTHON/Image_Generator_API/imagenes/T_TAHARI_124001687_CHO_1.jpg")</f>
        <v/>
      </c>
      <c r="M3824">
        <f>IMAGE("file:///E:/Estudios%20y%20certificaciones/ESTUDIOS%20DE%20PROGRAMMING/PROGRAMMING/PERSONAL/PYTHON/Image_Generator_API/imagenes/T_TAHARI_124001687_CHO_2.jpg")</f>
        <v/>
      </c>
      <c r="N3824">
        <f>IMAGE("file:///E:/Estudios%20y%20certificaciones/ESTUDIOS%20DE%20PROGRAMMING/PROGRAMMING/PERSONAL/PYTHON/Image_Generator_API/imagenes/T_TAHARI_124001687_CHO_3.jpg")</f>
        <v/>
      </c>
      <c r="O3824">
        <f>HYPERLINK("imagenes/T_TAHARI_124001687_CHO_1.jpg","Ver imagen")</f>
        <v/>
      </c>
      <c r="P3824">
        <f>HYPERLINK("imagenes/T_TAHARI_124001687_CHO_2.jpg","Ver imagen")</f>
        <v/>
      </c>
      <c r="Q3824">
        <f>HYPERLINK("imagenes/T_TAHARI_124001687_CHO_3.jpg","Ver imagen")</f>
        <v/>
      </c>
    </row>
    <row r="3825">
      <c r="A3825" t="inlineStr">
        <is>
          <t>T TAHARI</t>
        </is>
      </c>
      <c r="B3825" t="inlineStr">
        <is>
          <t>124001687</t>
        </is>
      </c>
      <c r="C3825" t="inlineStr">
        <is>
          <t>NATALIE 6617123 PETITE</t>
        </is>
      </c>
      <c r="D3825" t="inlineStr">
        <is>
          <t>CHO</t>
        </is>
      </c>
      <c r="E3825" t="inlineStr">
        <is>
          <t>(en blanco)</t>
        </is>
      </c>
      <c r="F3825" t="inlineStr">
        <is>
          <t>(en blanco)</t>
        </is>
      </c>
      <c r="G3825" t="inlineStr">
        <is>
          <t>MP</t>
        </is>
      </c>
      <c r="H3825" t="n">
        <v>4</v>
      </c>
      <c r="I3825" t="inlineStr">
        <is>
          <t>T_TAHARI_124001687_CHO_1.jpg</t>
        </is>
      </c>
      <c r="J3825" t="inlineStr">
        <is>
          <t>T_TAHARI_124001687_CHO_2.jpg</t>
        </is>
      </c>
      <c r="K3825" t="inlineStr">
        <is>
          <t>T_TAHARI_124001687_CHO_3.jpg</t>
        </is>
      </c>
      <c r="L3825">
        <f>IMAGE("file:///E:/Estudios%20y%20certificaciones/ESTUDIOS%20DE%20PROGRAMMING/PROGRAMMING/PERSONAL/PYTHON/Image_Generator_API/imagenes/T_TAHARI_124001687_CHO_1.jpg")</f>
        <v/>
      </c>
      <c r="M3825">
        <f>IMAGE("file:///E:/Estudios%20y%20certificaciones/ESTUDIOS%20DE%20PROGRAMMING/PROGRAMMING/PERSONAL/PYTHON/Image_Generator_API/imagenes/T_TAHARI_124001687_CHO_2.jpg")</f>
        <v/>
      </c>
      <c r="N3825">
        <f>IMAGE("file:///E:/Estudios%20y%20certificaciones/ESTUDIOS%20DE%20PROGRAMMING/PROGRAMMING/PERSONAL/PYTHON/Image_Generator_API/imagenes/T_TAHARI_124001687_CHO_3.jpg")</f>
        <v/>
      </c>
      <c r="O3825">
        <f>HYPERLINK("imagenes/T_TAHARI_124001687_CHO_1.jpg","Ver imagen")</f>
        <v/>
      </c>
      <c r="P3825">
        <f>HYPERLINK("imagenes/T_TAHARI_124001687_CHO_2.jpg","Ver imagen")</f>
        <v/>
      </c>
      <c r="Q3825">
        <f>HYPERLINK("imagenes/T_TAHARI_124001687_CHO_3.jpg","Ver imagen")</f>
        <v/>
      </c>
    </row>
    <row r="3826">
      <c r="A3826" t="inlineStr">
        <is>
          <t>T TAHARI</t>
        </is>
      </c>
      <c r="B3826" t="inlineStr">
        <is>
          <t>124001687</t>
        </is>
      </c>
      <c r="C3826" t="inlineStr">
        <is>
          <t>NATALIE 6617123 PETITE</t>
        </is>
      </c>
      <c r="D3826" t="inlineStr">
        <is>
          <t>CHO</t>
        </is>
      </c>
      <c r="E3826" t="inlineStr">
        <is>
          <t>(en blanco)</t>
        </is>
      </c>
      <c r="F3826" t="inlineStr">
        <is>
          <t>(en blanco)</t>
        </is>
      </c>
      <c r="G3826" t="inlineStr">
        <is>
          <t>SP</t>
        </is>
      </c>
      <c r="H3826" t="n">
        <v>3</v>
      </c>
      <c r="I3826" t="inlineStr">
        <is>
          <t>T_TAHARI_124001687_CHO_1.jpg</t>
        </is>
      </c>
      <c r="J3826" t="inlineStr">
        <is>
          <t>T_TAHARI_124001687_CHO_2.jpg</t>
        </is>
      </c>
      <c r="K3826" t="inlineStr">
        <is>
          <t>T_TAHARI_124001687_CHO_3.jpg</t>
        </is>
      </c>
      <c r="L3826">
        <f>IMAGE("file:///E:/Estudios%20y%20certificaciones/ESTUDIOS%20DE%20PROGRAMMING/PROGRAMMING/PERSONAL/PYTHON/Image_Generator_API/imagenes/T_TAHARI_124001687_CHO_1.jpg")</f>
        <v/>
      </c>
      <c r="M3826">
        <f>IMAGE("file:///E:/Estudios%20y%20certificaciones/ESTUDIOS%20DE%20PROGRAMMING/PROGRAMMING/PERSONAL/PYTHON/Image_Generator_API/imagenes/T_TAHARI_124001687_CHO_2.jpg")</f>
        <v/>
      </c>
      <c r="N3826">
        <f>IMAGE("file:///E:/Estudios%20y%20certificaciones/ESTUDIOS%20DE%20PROGRAMMING/PROGRAMMING/PERSONAL/PYTHON/Image_Generator_API/imagenes/T_TAHARI_124001687_CHO_3.jpg")</f>
        <v/>
      </c>
      <c r="O3826">
        <f>HYPERLINK("imagenes/T_TAHARI_124001687_CHO_1.jpg","Ver imagen")</f>
        <v/>
      </c>
      <c r="P3826">
        <f>HYPERLINK("imagenes/T_TAHARI_124001687_CHO_2.jpg","Ver imagen")</f>
        <v/>
      </c>
      <c r="Q3826">
        <f>HYPERLINK("imagenes/T_TAHARI_124001687_CHO_3.jpg","Ver imagen")</f>
        <v/>
      </c>
    </row>
    <row r="3827">
      <c r="A3827" t="inlineStr">
        <is>
          <t>T TAHARI</t>
        </is>
      </c>
      <c r="B3827" t="inlineStr">
        <is>
          <t>124001687</t>
        </is>
      </c>
      <c r="C3827" t="inlineStr">
        <is>
          <t>NATALIE 6617123 PETITE</t>
        </is>
      </c>
      <c r="D3827" t="inlineStr">
        <is>
          <t>CHO</t>
        </is>
      </c>
      <c r="E3827" t="inlineStr">
        <is>
          <t>(en blanco)</t>
        </is>
      </c>
      <c r="F3827" t="inlineStr">
        <is>
          <t>(en blanco)</t>
        </is>
      </c>
      <c r="G3827" t="inlineStr">
        <is>
          <t>XLP</t>
        </is>
      </c>
      <c r="H3827" t="n">
        <v>4</v>
      </c>
      <c r="I3827" t="inlineStr">
        <is>
          <t>T_TAHARI_124001687_CHO_1.jpg</t>
        </is>
      </c>
      <c r="J3827" t="inlineStr">
        <is>
          <t>T_TAHARI_124001687_CHO_2.jpg</t>
        </is>
      </c>
      <c r="K3827" t="inlineStr">
        <is>
          <t>T_TAHARI_124001687_CHO_3.jpg</t>
        </is>
      </c>
      <c r="L3827">
        <f>IMAGE("file:///E:/Estudios%20y%20certificaciones/ESTUDIOS%20DE%20PROGRAMMING/PROGRAMMING/PERSONAL/PYTHON/Image_Generator_API/imagenes/T_TAHARI_124001687_CHO_1.jpg")</f>
        <v/>
      </c>
      <c r="M3827">
        <f>IMAGE("file:///E:/Estudios%20y%20certificaciones/ESTUDIOS%20DE%20PROGRAMMING/PROGRAMMING/PERSONAL/PYTHON/Image_Generator_API/imagenes/T_TAHARI_124001687_CHO_2.jpg")</f>
        <v/>
      </c>
      <c r="N3827">
        <f>IMAGE("file:///E:/Estudios%20y%20certificaciones/ESTUDIOS%20DE%20PROGRAMMING/PROGRAMMING/PERSONAL/PYTHON/Image_Generator_API/imagenes/T_TAHARI_124001687_CHO_3.jpg")</f>
        <v/>
      </c>
      <c r="O3827">
        <f>HYPERLINK("imagenes/T_TAHARI_124001687_CHO_1.jpg","Ver imagen")</f>
        <v/>
      </c>
      <c r="P3827">
        <f>HYPERLINK("imagenes/T_TAHARI_124001687_CHO_2.jpg","Ver imagen")</f>
        <v/>
      </c>
      <c r="Q3827">
        <f>HYPERLINK("imagenes/T_TAHARI_124001687_CHO_3.jpg","Ver imagen")</f>
        <v/>
      </c>
    </row>
    <row r="3828">
      <c r="A3828" t="inlineStr">
        <is>
          <t>T TAHARI</t>
        </is>
      </c>
      <c r="B3828" t="inlineStr">
        <is>
          <t>124001687</t>
        </is>
      </c>
      <c r="C3828" t="inlineStr">
        <is>
          <t>NATALIE 6617123 PETITE</t>
        </is>
      </c>
      <c r="D3828" t="inlineStr">
        <is>
          <t>CHO</t>
        </is>
      </c>
      <c r="E3828" t="inlineStr">
        <is>
          <t>(en blanco)</t>
        </is>
      </c>
      <c r="F3828" t="inlineStr">
        <is>
          <t>(en blanco)</t>
        </is>
      </c>
      <c r="G3828" t="inlineStr">
        <is>
          <t>XSP</t>
        </is>
      </c>
      <c r="H3828" t="n">
        <v>1</v>
      </c>
      <c r="I3828" t="inlineStr">
        <is>
          <t>T_TAHARI_124001687_CHO_1.jpg</t>
        </is>
      </c>
      <c r="J3828" t="inlineStr">
        <is>
          <t>T_TAHARI_124001687_CHO_2.jpg</t>
        </is>
      </c>
      <c r="K3828" t="inlineStr">
        <is>
          <t>T_TAHARI_124001687_CHO_3.jpg</t>
        </is>
      </c>
      <c r="L3828">
        <f>IMAGE("file:///E:/Estudios%20y%20certificaciones/ESTUDIOS%20DE%20PROGRAMMING/PROGRAMMING/PERSONAL/PYTHON/Image_Generator_API/imagenes/T_TAHARI_124001687_CHO_1.jpg")</f>
        <v/>
      </c>
      <c r="M3828">
        <f>IMAGE("file:///E:/Estudios%20y%20certificaciones/ESTUDIOS%20DE%20PROGRAMMING/PROGRAMMING/PERSONAL/PYTHON/Image_Generator_API/imagenes/T_TAHARI_124001687_CHO_2.jpg")</f>
        <v/>
      </c>
      <c r="N3828">
        <f>IMAGE("file:///E:/Estudios%20y%20certificaciones/ESTUDIOS%20DE%20PROGRAMMING/PROGRAMMING/PERSONAL/PYTHON/Image_Generator_API/imagenes/T_TAHARI_124001687_CHO_3.jpg")</f>
        <v/>
      </c>
      <c r="O3828">
        <f>HYPERLINK("imagenes/T_TAHARI_124001687_CHO_1.jpg","Ver imagen")</f>
        <v/>
      </c>
      <c r="P3828">
        <f>HYPERLINK("imagenes/T_TAHARI_124001687_CHO_2.jpg","Ver imagen")</f>
        <v/>
      </c>
      <c r="Q3828">
        <f>HYPERLINK("imagenes/T_TAHARI_124001687_CHO_3.jpg","Ver imagen")</f>
        <v/>
      </c>
    </row>
    <row r="3829">
      <c r="A3829" t="inlineStr">
        <is>
          <t>T TAHARI</t>
        </is>
      </c>
      <c r="B3829" t="inlineStr">
        <is>
          <t>124003480</t>
        </is>
      </c>
      <c r="C3829" t="inlineStr">
        <is>
          <t>AMELIA 99926</t>
        </is>
      </c>
      <c r="D3829" t="inlineStr">
        <is>
          <t>BLK</t>
        </is>
      </c>
      <c r="E3829" t="inlineStr">
        <is>
          <t>(en blanco)</t>
        </is>
      </c>
      <c r="F3829" t="inlineStr">
        <is>
          <t>D2C</t>
        </is>
      </c>
      <c r="G3829" t="inlineStr">
        <is>
          <t>XS</t>
        </is>
      </c>
      <c r="H3829" t="n">
        <v>15</v>
      </c>
      <c r="I3829" t="inlineStr">
        <is>
          <t>T_TAHARI_124003480_BLK_1.jpg</t>
        </is>
      </c>
      <c r="J3829" t="inlineStr">
        <is>
          <t>T_TAHARI_124003480_BLK_2.jpg</t>
        </is>
      </c>
      <c r="K3829" t="inlineStr">
        <is>
          <t>T_TAHARI_124003480_BLK_3.jpg</t>
        </is>
      </c>
      <c r="L3829">
        <f>IMAGE("file:///E:/Estudios%20y%20certificaciones/ESTUDIOS%20DE%20PROGRAMMING/PROGRAMMING/PERSONAL/PYTHON/Image_Generator_API/imagenes/T_TAHARI_124003480_BLK_1.jpg")</f>
        <v/>
      </c>
      <c r="M3829">
        <f>IMAGE("file:///E:/Estudios%20y%20certificaciones/ESTUDIOS%20DE%20PROGRAMMING/PROGRAMMING/PERSONAL/PYTHON/Image_Generator_API/imagenes/T_TAHARI_124003480_BLK_2.jpg")</f>
        <v/>
      </c>
      <c r="N3829">
        <f>IMAGE("file:///E:/Estudios%20y%20certificaciones/ESTUDIOS%20DE%20PROGRAMMING/PROGRAMMING/PERSONAL/PYTHON/Image_Generator_API/imagenes/T_TAHARI_124003480_BLK_3.jpg")</f>
        <v/>
      </c>
      <c r="O3829">
        <f>HYPERLINK("imagenes/T_TAHARI_124003480_BLK_1.jpg","Ver imagen")</f>
        <v/>
      </c>
      <c r="P3829">
        <f>HYPERLINK("imagenes/T_TAHARI_124003480_BLK_2.jpg","Ver imagen")</f>
        <v/>
      </c>
      <c r="Q3829">
        <f>HYPERLINK("imagenes/T_TAHARI_124003480_BLK_3.jpg","Ver imagen")</f>
        <v/>
      </c>
    </row>
    <row r="3830">
      <c r="A3830" t="inlineStr">
        <is>
          <t>T TAHARI</t>
        </is>
      </c>
      <c r="B3830" t="inlineStr">
        <is>
          <t>124003480</t>
        </is>
      </c>
      <c r="C3830" t="inlineStr">
        <is>
          <t>AMELIA 99926</t>
        </is>
      </c>
      <c r="D3830" t="inlineStr">
        <is>
          <t>BLK</t>
        </is>
      </c>
      <c r="E3830" t="inlineStr">
        <is>
          <t>(en blanco)</t>
        </is>
      </c>
      <c r="F3830" t="inlineStr">
        <is>
          <t>D2C</t>
        </is>
      </c>
      <c r="G3830" t="inlineStr">
        <is>
          <t>S</t>
        </is>
      </c>
      <c r="H3830" t="n">
        <v>30</v>
      </c>
      <c r="I3830" t="inlineStr">
        <is>
          <t>T_TAHARI_124003480_BLK_1.jpg</t>
        </is>
      </c>
      <c r="J3830" t="inlineStr">
        <is>
          <t>T_TAHARI_124003480_BLK_2.jpg</t>
        </is>
      </c>
      <c r="K3830" t="inlineStr">
        <is>
          <t>T_TAHARI_124003480_BLK_3.jpg</t>
        </is>
      </c>
      <c r="L3830">
        <f>IMAGE("file:///E:/Estudios%20y%20certificaciones/ESTUDIOS%20DE%20PROGRAMMING/PROGRAMMING/PERSONAL/PYTHON/Image_Generator_API/imagenes/T_TAHARI_124003480_BLK_1.jpg")</f>
        <v/>
      </c>
      <c r="M3830">
        <f>IMAGE("file:///E:/Estudios%20y%20certificaciones/ESTUDIOS%20DE%20PROGRAMMING/PROGRAMMING/PERSONAL/PYTHON/Image_Generator_API/imagenes/T_TAHARI_124003480_BLK_2.jpg")</f>
        <v/>
      </c>
      <c r="N3830">
        <f>IMAGE("file:///E:/Estudios%20y%20certificaciones/ESTUDIOS%20DE%20PROGRAMMING/PROGRAMMING/PERSONAL/PYTHON/Image_Generator_API/imagenes/T_TAHARI_124003480_BLK_3.jpg")</f>
        <v/>
      </c>
      <c r="O3830">
        <f>HYPERLINK("imagenes/T_TAHARI_124003480_BLK_1.jpg","Ver imagen")</f>
        <v/>
      </c>
      <c r="P3830">
        <f>HYPERLINK("imagenes/T_TAHARI_124003480_BLK_2.jpg","Ver imagen")</f>
        <v/>
      </c>
      <c r="Q3830">
        <f>HYPERLINK("imagenes/T_TAHARI_124003480_BLK_3.jpg","Ver imagen")</f>
        <v/>
      </c>
    </row>
    <row r="3831">
      <c r="A3831" t="inlineStr">
        <is>
          <t>T TAHARI</t>
        </is>
      </c>
      <c r="B3831" t="inlineStr">
        <is>
          <t>124003480</t>
        </is>
      </c>
      <c r="C3831" t="inlineStr">
        <is>
          <t>AMELIA 99926</t>
        </is>
      </c>
      <c r="D3831" t="inlineStr">
        <is>
          <t>BLK</t>
        </is>
      </c>
      <c r="E3831" t="inlineStr">
        <is>
          <t>(en blanco)</t>
        </is>
      </c>
      <c r="F3831" t="inlineStr">
        <is>
          <t>D2C</t>
        </is>
      </c>
      <c r="G3831" t="inlineStr">
        <is>
          <t>M</t>
        </is>
      </c>
      <c r="H3831" t="n">
        <v>42</v>
      </c>
      <c r="I3831" t="inlineStr">
        <is>
          <t>T_TAHARI_124003480_BLK_1.jpg</t>
        </is>
      </c>
      <c r="J3831" t="inlineStr">
        <is>
          <t>T_TAHARI_124003480_BLK_2.jpg</t>
        </is>
      </c>
      <c r="K3831" t="inlineStr">
        <is>
          <t>T_TAHARI_124003480_BLK_3.jpg</t>
        </is>
      </c>
      <c r="L3831">
        <f>IMAGE("file:///E:/Estudios%20y%20certificaciones/ESTUDIOS%20DE%20PROGRAMMING/PROGRAMMING/PERSONAL/PYTHON/Image_Generator_API/imagenes/T_TAHARI_124003480_BLK_1.jpg")</f>
        <v/>
      </c>
      <c r="M3831">
        <f>IMAGE("file:///E:/Estudios%20y%20certificaciones/ESTUDIOS%20DE%20PROGRAMMING/PROGRAMMING/PERSONAL/PYTHON/Image_Generator_API/imagenes/T_TAHARI_124003480_BLK_2.jpg")</f>
        <v/>
      </c>
      <c r="N3831">
        <f>IMAGE("file:///E:/Estudios%20y%20certificaciones/ESTUDIOS%20DE%20PROGRAMMING/PROGRAMMING/PERSONAL/PYTHON/Image_Generator_API/imagenes/T_TAHARI_124003480_BLK_3.jpg")</f>
        <v/>
      </c>
      <c r="O3831">
        <f>HYPERLINK("imagenes/T_TAHARI_124003480_BLK_1.jpg","Ver imagen")</f>
        <v/>
      </c>
      <c r="P3831">
        <f>HYPERLINK("imagenes/T_TAHARI_124003480_BLK_2.jpg","Ver imagen")</f>
        <v/>
      </c>
      <c r="Q3831">
        <f>HYPERLINK("imagenes/T_TAHARI_124003480_BLK_3.jpg","Ver imagen")</f>
        <v/>
      </c>
    </row>
    <row r="3832">
      <c r="A3832" t="inlineStr">
        <is>
          <t>T TAHARI</t>
        </is>
      </c>
      <c r="B3832" t="inlineStr">
        <is>
          <t>124003480</t>
        </is>
      </c>
      <c r="C3832" t="inlineStr">
        <is>
          <t>AMELIA 99926</t>
        </is>
      </c>
      <c r="D3832" t="inlineStr">
        <is>
          <t>BLK</t>
        </is>
      </c>
      <c r="E3832" t="inlineStr">
        <is>
          <t>(en blanco)</t>
        </is>
      </c>
      <c r="F3832" t="inlineStr">
        <is>
          <t>D2C</t>
        </is>
      </c>
      <c r="G3832" t="inlineStr">
        <is>
          <t>L</t>
        </is>
      </c>
      <c r="H3832" t="n">
        <v>30</v>
      </c>
      <c r="I3832" t="inlineStr">
        <is>
          <t>T_TAHARI_124003480_BLK_1.jpg</t>
        </is>
      </c>
      <c r="J3832" t="inlineStr">
        <is>
          <t>T_TAHARI_124003480_BLK_2.jpg</t>
        </is>
      </c>
      <c r="K3832" t="inlineStr">
        <is>
          <t>T_TAHARI_124003480_BLK_3.jpg</t>
        </is>
      </c>
      <c r="L3832">
        <f>IMAGE("file:///E:/Estudios%20y%20certificaciones/ESTUDIOS%20DE%20PROGRAMMING/PROGRAMMING/PERSONAL/PYTHON/Image_Generator_API/imagenes/T_TAHARI_124003480_BLK_1.jpg")</f>
        <v/>
      </c>
      <c r="M3832">
        <f>IMAGE("file:///E:/Estudios%20y%20certificaciones/ESTUDIOS%20DE%20PROGRAMMING/PROGRAMMING/PERSONAL/PYTHON/Image_Generator_API/imagenes/T_TAHARI_124003480_BLK_2.jpg")</f>
        <v/>
      </c>
      <c r="N3832">
        <f>IMAGE("file:///E:/Estudios%20y%20certificaciones/ESTUDIOS%20DE%20PROGRAMMING/PROGRAMMING/PERSONAL/PYTHON/Image_Generator_API/imagenes/T_TAHARI_124003480_BLK_3.jpg")</f>
        <v/>
      </c>
      <c r="O3832">
        <f>HYPERLINK("imagenes/T_TAHARI_124003480_BLK_1.jpg","Ver imagen")</f>
        <v/>
      </c>
      <c r="P3832">
        <f>HYPERLINK("imagenes/T_TAHARI_124003480_BLK_2.jpg","Ver imagen")</f>
        <v/>
      </c>
      <c r="Q3832">
        <f>HYPERLINK("imagenes/T_TAHARI_124003480_BLK_3.jpg","Ver imagen")</f>
        <v/>
      </c>
    </row>
    <row r="3833">
      <c r="A3833" t="inlineStr">
        <is>
          <t>T TAHARI</t>
        </is>
      </c>
      <c r="B3833" t="inlineStr">
        <is>
          <t>124003480</t>
        </is>
      </c>
      <c r="C3833" t="inlineStr">
        <is>
          <t>AMELIA 99926</t>
        </is>
      </c>
      <c r="D3833" t="inlineStr">
        <is>
          <t>BLK</t>
        </is>
      </c>
      <c r="E3833" t="inlineStr">
        <is>
          <t>(en blanco)</t>
        </is>
      </c>
      <c r="F3833" t="inlineStr">
        <is>
          <t>D2C</t>
        </is>
      </c>
      <c r="G3833" t="inlineStr">
        <is>
          <t>XL</t>
        </is>
      </c>
      <c r="H3833" t="n">
        <v>15</v>
      </c>
      <c r="I3833" t="inlineStr">
        <is>
          <t>T_TAHARI_124003480_BLK_1.jpg</t>
        </is>
      </c>
      <c r="J3833" t="inlineStr">
        <is>
          <t>T_TAHARI_124003480_BLK_2.jpg</t>
        </is>
      </c>
      <c r="K3833" t="inlineStr">
        <is>
          <t>T_TAHARI_124003480_BLK_3.jpg</t>
        </is>
      </c>
      <c r="L3833">
        <f>IMAGE("file:///E:/Estudios%20y%20certificaciones/ESTUDIOS%20DE%20PROGRAMMING/PROGRAMMING/PERSONAL/PYTHON/Image_Generator_API/imagenes/T_TAHARI_124003480_BLK_1.jpg")</f>
        <v/>
      </c>
      <c r="M3833">
        <f>IMAGE("file:///E:/Estudios%20y%20certificaciones/ESTUDIOS%20DE%20PROGRAMMING/PROGRAMMING/PERSONAL/PYTHON/Image_Generator_API/imagenes/T_TAHARI_124003480_BLK_2.jpg")</f>
        <v/>
      </c>
      <c r="N3833">
        <f>IMAGE("file:///E:/Estudios%20y%20certificaciones/ESTUDIOS%20DE%20PROGRAMMING/PROGRAMMING/PERSONAL/PYTHON/Image_Generator_API/imagenes/T_TAHARI_124003480_BLK_3.jpg")</f>
        <v/>
      </c>
      <c r="O3833">
        <f>HYPERLINK("imagenes/T_TAHARI_124003480_BLK_1.jpg","Ver imagen")</f>
        <v/>
      </c>
      <c r="P3833">
        <f>HYPERLINK("imagenes/T_TAHARI_124003480_BLK_2.jpg","Ver imagen")</f>
        <v/>
      </c>
      <c r="Q3833">
        <f>HYPERLINK("imagenes/T_TAHARI_124003480_BLK_3.jpg","Ver imagen")</f>
        <v/>
      </c>
    </row>
    <row r="3834">
      <c r="A3834" t="inlineStr">
        <is>
          <t>T TAHARI</t>
        </is>
      </c>
      <c r="B3834" t="inlineStr">
        <is>
          <t>124003480</t>
        </is>
      </c>
      <c r="C3834" t="inlineStr">
        <is>
          <t>AMELIA 99926</t>
        </is>
      </c>
      <c r="D3834" t="inlineStr">
        <is>
          <t>NVY</t>
        </is>
      </c>
      <c r="E3834" t="inlineStr">
        <is>
          <t>(en blanco)</t>
        </is>
      </c>
      <c r="F3834" t="inlineStr">
        <is>
          <t>D2C</t>
        </is>
      </c>
      <c r="G3834" t="inlineStr">
        <is>
          <t>M</t>
        </is>
      </c>
      <c r="H3834" t="n">
        <v>1</v>
      </c>
      <c r="I3834" t="inlineStr">
        <is>
          <t>T_TAHARI_124003480_NVY_1.jpg</t>
        </is>
      </c>
      <c r="J3834" t="inlineStr">
        <is>
          <t>T_TAHARI_124003480_NVY_2.jpg</t>
        </is>
      </c>
      <c r="K3834" t="inlineStr">
        <is>
          <t>T_TAHARI_124003480_NVY_3.jpg</t>
        </is>
      </c>
      <c r="L3834">
        <f>IMAGE("file:///E:/Estudios%20y%20certificaciones/ESTUDIOS%20DE%20PROGRAMMING/PROGRAMMING/PERSONAL/PYTHON/Image_Generator_API/imagenes/T_TAHARI_124003480_NVY_1.jpg")</f>
        <v/>
      </c>
      <c r="M3834">
        <f>IMAGE("file:///E:/Estudios%20y%20certificaciones/ESTUDIOS%20DE%20PROGRAMMING/PROGRAMMING/PERSONAL/PYTHON/Image_Generator_API/imagenes/T_TAHARI_124003480_NVY_2.jpg")</f>
        <v/>
      </c>
      <c r="N3834">
        <f>IMAGE("file:///E:/Estudios%20y%20certificaciones/ESTUDIOS%20DE%20PROGRAMMING/PROGRAMMING/PERSONAL/PYTHON/Image_Generator_API/imagenes/T_TAHARI_124003480_NVY_3.jpg")</f>
        <v/>
      </c>
      <c r="O3834">
        <f>HYPERLINK("imagenes/T_TAHARI_124003480_NVY_1.jpg","Ver imagen")</f>
        <v/>
      </c>
      <c r="P3834">
        <f>HYPERLINK("imagenes/T_TAHARI_124003480_NVY_2.jpg","Ver imagen")</f>
        <v/>
      </c>
      <c r="Q3834">
        <f>HYPERLINK("imagenes/T_TAHARI_124003480_NVY_3.jpg","Ver imagen")</f>
        <v/>
      </c>
    </row>
    <row r="3835">
      <c r="A3835" t="inlineStr">
        <is>
          <t>T TAHARI</t>
        </is>
      </c>
      <c r="B3835" t="inlineStr">
        <is>
          <t>124004732</t>
        </is>
      </c>
      <c r="C3835" t="inlineStr">
        <is>
          <t>COCO</t>
        </is>
      </c>
      <c r="D3835" t="inlineStr">
        <is>
          <t>BLK</t>
        </is>
      </c>
      <c r="E3835" t="inlineStr">
        <is>
          <t>(en blanco)</t>
        </is>
      </c>
      <c r="F3835" t="inlineStr">
        <is>
          <t>D2C</t>
        </is>
      </c>
      <c r="G3835" t="inlineStr">
        <is>
          <t>XS</t>
        </is>
      </c>
      <c r="H3835" t="n">
        <v>13</v>
      </c>
      <c r="I3835" t="inlineStr">
        <is>
          <t>T_TAHARI_124004732_BLK_1.jpg</t>
        </is>
      </c>
      <c r="J3835" t="inlineStr">
        <is>
          <t>T_TAHARI_124004732_BLK_2.jpg</t>
        </is>
      </c>
      <c r="K3835" t="inlineStr">
        <is>
          <t>T_TAHARI_124004732_BLK_3.jpg</t>
        </is>
      </c>
      <c r="L3835">
        <f>IMAGE("file:///E:/Estudios%20y%20certificaciones/ESTUDIOS%20DE%20PROGRAMMING/PROGRAMMING/PERSONAL/PYTHON/Image_Generator_API/imagenes/T_TAHARI_124004732_BLK_1.jpg")</f>
        <v/>
      </c>
      <c r="M3835">
        <f>IMAGE("file:///E:/Estudios%20y%20certificaciones/ESTUDIOS%20DE%20PROGRAMMING/PROGRAMMING/PERSONAL/PYTHON/Image_Generator_API/imagenes/T_TAHARI_124004732_BLK_2.jpg")</f>
        <v/>
      </c>
      <c r="N3835">
        <f>IMAGE("file:///E:/Estudios%20y%20certificaciones/ESTUDIOS%20DE%20PROGRAMMING/PROGRAMMING/PERSONAL/PYTHON/Image_Generator_API/imagenes/T_TAHARI_124004732_BLK_3.jpg")</f>
        <v/>
      </c>
      <c r="O3835">
        <f>HYPERLINK("imagenes/T_TAHARI_124004732_BLK_1.jpg","Ver imagen")</f>
        <v/>
      </c>
      <c r="P3835">
        <f>HYPERLINK("imagenes/T_TAHARI_124004732_BLK_2.jpg","Ver imagen")</f>
        <v/>
      </c>
      <c r="Q3835">
        <f>HYPERLINK("imagenes/T_TAHARI_124004732_BLK_3.jpg","Ver imagen")</f>
        <v/>
      </c>
    </row>
    <row r="3836">
      <c r="A3836" t="inlineStr">
        <is>
          <t>T TAHARI</t>
        </is>
      </c>
      <c r="B3836" t="inlineStr">
        <is>
          <t>124004732</t>
        </is>
      </c>
      <c r="C3836" t="inlineStr">
        <is>
          <t>COCO</t>
        </is>
      </c>
      <c r="D3836" t="inlineStr">
        <is>
          <t>BLK</t>
        </is>
      </c>
      <c r="E3836" t="inlineStr">
        <is>
          <t>(en blanco)</t>
        </is>
      </c>
      <c r="F3836" t="inlineStr">
        <is>
          <t>D2C</t>
        </is>
      </c>
      <c r="G3836" t="inlineStr">
        <is>
          <t>S</t>
        </is>
      </c>
      <c r="H3836" t="n">
        <v>31</v>
      </c>
      <c r="I3836" t="inlineStr">
        <is>
          <t>T_TAHARI_124004732_BLK_1.jpg</t>
        </is>
      </c>
      <c r="J3836" t="inlineStr">
        <is>
          <t>T_TAHARI_124004732_BLK_2.jpg</t>
        </is>
      </c>
      <c r="K3836" t="inlineStr">
        <is>
          <t>T_TAHARI_124004732_BLK_3.jpg</t>
        </is>
      </c>
      <c r="L3836">
        <f>IMAGE("file:///E:/Estudios%20y%20certificaciones/ESTUDIOS%20DE%20PROGRAMMING/PROGRAMMING/PERSONAL/PYTHON/Image_Generator_API/imagenes/T_TAHARI_124004732_BLK_1.jpg")</f>
        <v/>
      </c>
      <c r="M3836">
        <f>IMAGE("file:///E:/Estudios%20y%20certificaciones/ESTUDIOS%20DE%20PROGRAMMING/PROGRAMMING/PERSONAL/PYTHON/Image_Generator_API/imagenes/T_TAHARI_124004732_BLK_2.jpg")</f>
        <v/>
      </c>
      <c r="N3836">
        <f>IMAGE("file:///E:/Estudios%20y%20certificaciones/ESTUDIOS%20DE%20PROGRAMMING/PROGRAMMING/PERSONAL/PYTHON/Image_Generator_API/imagenes/T_TAHARI_124004732_BLK_3.jpg")</f>
        <v/>
      </c>
      <c r="O3836">
        <f>HYPERLINK("imagenes/T_TAHARI_124004732_BLK_1.jpg","Ver imagen")</f>
        <v/>
      </c>
      <c r="P3836">
        <f>HYPERLINK("imagenes/T_TAHARI_124004732_BLK_2.jpg","Ver imagen")</f>
        <v/>
      </c>
      <c r="Q3836">
        <f>HYPERLINK("imagenes/T_TAHARI_124004732_BLK_3.jpg","Ver imagen")</f>
        <v/>
      </c>
    </row>
    <row r="3837">
      <c r="A3837" t="inlineStr">
        <is>
          <t>T TAHARI</t>
        </is>
      </c>
      <c r="B3837" t="inlineStr">
        <is>
          <t>124004732</t>
        </is>
      </c>
      <c r="C3837" t="inlineStr">
        <is>
          <t>COCO</t>
        </is>
      </c>
      <c r="D3837" t="inlineStr">
        <is>
          <t>BLK</t>
        </is>
      </c>
      <c r="E3837" t="inlineStr">
        <is>
          <t>(en blanco)</t>
        </is>
      </c>
      <c r="F3837" t="inlineStr">
        <is>
          <t>D2C</t>
        </is>
      </c>
      <c r="G3837" t="inlineStr">
        <is>
          <t>M</t>
        </is>
      </c>
      <c r="H3837" t="n">
        <v>7</v>
      </c>
      <c r="I3837" t="inlineStr">
        <is>
          <t>T_TAHARI_124004732_BLK_1.jpg</t>
        </is>
      </c>
      <c r="J3837" t="inlineStr">
        <is>
          <t>T_TAHARI_124004732_BLK_2.jpg</t>
        </is>
      </c>
      <c r="K3837" t="inlineStr">
        <is>
          <t>T_TAHARI_124004732_BLK_3.jpg</t>
        </is>
      </c>
      <c r="L3837">
        <f>IMAGE("file:///E:/Estudios%20y%20certificaciones/ESTUDIOS%20DE%20PROGRAMMING/PROGRAMMING/PERSONAL/PYTHON/Image_Generator_API/imagenes/T_TAHARI_124004732_BLK_1.jpg")</f>
        <v/>
      </c>
      <c r="M3837">
        <f>IMAGE("file:///E:/Estudios%20y%20certificaciones/ESTUDIOS%20DE%20PROGRAMMING/PROGRAMMING/PERSONAL/PYTHON/Image_Generator_API/imagenes/T_TAHARI_124004732_BLK_2.jpg")</f>
        <v/>
      </c>
      <c r="N3837">
        <f>IMAGE("file:///E:/Estudios%20y%20certificaciones/ESTUDIOS%20DE%20PROGRAMMING/PROGRAMMING/PERSONAL/PYTHON/Image_Generator_API/imagenes/T_TAHARI_124004732_BLK_3.jpg")</f>
        <v/>
      </c>
      <c r="O3837">
        <f>HYPERLINK("imagenes/T_TAHARI_124004732_BLK_1.jpg","Ver imagen")</f>
        <v/>
      </c>
      <c r="P3837">
        <f>HYPERLINK("imagenes/T_TAHARI_124004732_BLK_2.jpg","Ver imagen")</f>
        <v/>
      </c>
      <c r="Q3837">
        <f>HYPERLINK("imagenes/T_TAHARI_124004732_BLK_3.jpg","Ver imagen")</f>
        <v/>
      </c>
    </row>
    <row r="3838">
      <c r="A3838" t="inlineStr">
        <is>
          <t>T TAHARI</t>
        </is>
      </c>
      <c r="B3838" t="inlineStr">
        <is>
          <t>124004732</t>
        </is>
      </c>
      <c r="C3838" t="inlineStr">
        <is>
          <t>COCO</t>
        </is>
      </c>
      <c r="D3838" t="inlineStr">
        <is>
          <t>BLK</t>
        </is>
      </c>
      <c r="E3838" t="inlineStr">
        <is>
          <t>(en blanco)</t>
        </is>
      </c>
      <c r="F3838" t="inlineStr">
        <is>
          <t>D2C</t>
        </is>
      </c>
      <c r="G3838" t="inlineStr">
        <is>
          <t>L</t>
        </is>
      </c>
      <c r="H3838" t="n">
        <v>24</v>
      </c>
      <c r="I3838" t="inlineStr">
        <is>
          <t>T_TAHARI_124004732_BLK_1.jpg</t>
        </is>
      </c>
      <c r="J3838" t="inlineStr">
        <is>
          <t>T_TAHARI_124004732_BLK_2.jpg</t>
        </is>
      </c>
      <c r="K3838" t="inlineStr">
        <is>
          <t>T_TAHARI_124004732_BLK_3.jpg</t>
        </is>
      </c>
      <c r="L3838">
        <f>IMAGE("file:///E:/Estudios%20y%20certificaciones/ESTUDIOS%20DE%20PROGRAMMING/PROGRAMMING/PERSONAL/PYTHON/Image_Generator_API/imagenes/T_TAHARI_124004732_BLK_1.jpg")</f>
        <v/>
      </c>
      <c r="M3838">
        <f>IMAGE("file:///E:/Estudios%20y%20certificaciones/ESTUDIOS%20DE%20PROGRAMMING/PROGRAMMING/PERSONAL/PYTHON/Image_Generator_API/imagenes/T_TAHARI_124004732_BLK_2.jpg")</f>
        <v/>
      </c>
      <c r="N3838">
        <f>IMAGE("file:///E:/Estudios%20y%20certificaciones/ESTUDIOS%20DE%20PROGRAMMING/PROGRAMMING/PERSONAL/PYTHON/Image_Generator_API/imagenes/T_TAHARI_124004732_BLK_3.jpg")</f>
        <v/>
      </c>
      <c r="O3838">
        <f>HYPERLINK("imagenes/T_TAHARI_124004732_BLK_1.jpg","Ver imagen")</f>
        <v/>
      </c>
      <c r="P3838">
        <f>HYPERLINK("imagenes/T_TAHARI_124004732_BLK_2.jpg","Ver imagen")</f>
        <v/>
      </c>
      <c r="Q3838">
        <f>HYPERLINK("imagenes/T_TAHARI_124004732_BLK_3.jpg","Ver imagen")</f>
        <v/>
      </c>
    </row>
    <row r="3839">
      <c r="A3839" t="inlineStr">
        <is>
          <t>T TAHARI</t>
        </is>
      </c>
      <c r="B3839" t="inlineStr">
        <is>
          <t>124004732</t>
        </is>
      </c>
      <c r="C3839" t="inlineStr">
        <is>
          <t>COCO</t>
        </is>
      </c>
      <c r="D3839" t="inlineStr">
        <is>
          <t>BLK</t>
        </is>
      </c>
      <c r="E3839" t="inlineStr">
        <is>
          <t>(en blanco)</t>
        </is>
      </c>
      <c r="F3839" t="inlineStr">
        <is>
          <t>D2C</t>
        </is>
      </c>
      <c r="G3839" t="inlineStr">
        <is>
          <t>XL</t>
        </is>
      </c>
      <c r="H3839" t="n">
        <v>12</v>
      </c>
      <c r="I3839" t="inlineStr">
        <is>
          <t>T_TAHARI_124004732_BLK_1.jpg</t>
        </is>
      </c>
      <c r="J3839" t="inlineStr">
        <is>
          <t>T_TAHARI_124004732_BLK_2.jpg</t>
        </is>
      </c>
      <c r="K3839" t="inlineStr">
        <is>
          <t>T_TAHARI_124004732_BLK_3.jpg</t>
        </is>
      </c>
      <c r="L3839">
        <f>IMAGE("file:///E:/Estudios%20y%20certificaciones/ESTUDIOS%20DE%20PROGRAMMING/PROGRAMMING/PERSONAL/PYTHON/Image_Generator_API/imagenes/T_TAHARI_124004732_BLK_1.jpg")</f>
        <v/>
      </c>
      <c r="M3839">
        <f>IMAGE("file:///E:/Estudios%20y%20certificaciones/ESTUDIOS%20DE%20PROGRAMMING/PROGRAMMING/PERSONAL/PYTHON/Image_Generator_API/imagenes/T_TAHARI_124004732_BLK_2.jpg")</f>
        <v/>
      </c>
      <c r="N3839">
        <f>IMAGE("file:///E:/Estudios%20y%20certificaciones/ESTUDIOS%20DE%20PROGRAMMING/PROGRAMMING/PERSONAL/PYTHON/Image_Generator_API/imagenes/T_TAHARI_124004732_BLK_3.jpg")</f>
        <v/>
      </c>
      <c r="O3839">
        <f>HYPERLINK("imagenes/T_TAHARI_124004732_BLK_1.jpg","Ver imagen")</f>
        <v/>
      </c>
      <c r="P3839">
        <f>HYPERLINK("imagenes/T_TAHARI_124004732_BLK_2.jpg","Ver imagen")</f>
        <v/>
      </c>
      <c r="Q3839">
        <f>HYPERLINK("imagenes/T_TAHARI_124004732_BLK_3.jpg","Ver imagen")</f>
        <v/>
      </c>
    </row>
    <row r="3840">
      <c r="A3840" t="inlineStr">
        <is>
          <t>T TAHARI</t>
        </is>
      </c>
      <c r="B3840" t="inlineStr">
        <is>
          <t>124004732</t>
        </is>
      </c>
      <c r="C3840" t="inlineStr">
        <is>
          <t>COCO</t>
        </is>
      </c>
      <c r="D3840" t="inlineStr">
        <is>
          <t>BLK</t>
        </is>
      </c>
      <c r="E3840" t="inlineStr">
        <is>
          <t>(en blanco)</t>
        </is>
      </c>
      <c r="F3840" t="inlineStr">
        <is>
          <t>(en blanco)</t>
        </is>
      </c>
      <c r="G3840" t="inlineStr">
        <is>
          <t>XS</t>
        </is>
      </c>
      <c r="H3840" t="n">
        <v>20</v>
      </c>
      <c r="I3840" t="inlineStr">
        <is>
          <t>T_TAHARI_124004732_BLK_1.jpg</t>
        </is>
      </c>
      <c r="J3840" t="inlineStr">
        <is>
          <t>T_TAHARI_124004732_BLK_2.jpg</t>
        </is>
      </c>
      <c r="K3840" t="inlineStr">
        <is>
          <t>T_TAHARI_124004732_BLK_3.jpg</t>
        </is>
      </c>
      <c r="L3840">
        <f>IMAGE("file:///E:/Estudios%20y%20certificaciones/ESTUDIOS%20DE%20PROGRAMMING/PROGRAMMING/PERSONAL/PYTHON/Image_Generator_API/imagenes/T_TAHARI_124004732_BLK_1.jpg")</f>
        <v/>
      </c>
      <c r="M3840">
        <f>IMAGE("file:///E:/Estudios%20y%20certificaciones/ESTUDIOS%20DE%20PROGRAMMING/PROGRAMMING/PERSONAL/PYTHON/Image_Generator_API/imagenes/T_TAHARI_124004732_BLK_2.jpg")</f>
        <v/>
      </c>
      <c r="N3840">
        <f>IMAGE("file:///E:/Estudios%20y%20certificaciones/ESTUDIOS%20DE%20PROGRAMMING/PROGRAMMING/PERSONAL/PYTHON/Image_Generator_API/imagenes/T_TAHARI_124004732_BLK_3.jpg")</f>
        <v/>
      </c>
      <c r="O3840">
        <f>HYPERLINK("imagenes/T_TAHARI_124004732_BLK_1.jpg","Ver imagen")</f>
        <v/>
      </c>
      <c r="P3840">
        <f>HYPERLINK("imagenes/T_TAHARI_124004732_BLK_2.jpg","Ver imagen")</f>
        <v/>
      </c>
      <c r="Q3840">
        <f>HYPERLINK("imagenes/T_TAHARI_124004732_BLK_3.jpg","Ver imagen")</f>
        <v/>
      </c>
    </row>
    <row r="3841">
      <c r="A3841" t="inlineStr">
        <is>
          <t>T TAHARI</t>
        </is>
      </c>
      <c r="B3841" t="inlineStr">
        <is>
          <t>124004732</t>
        </is>
      </c>
      <c r="C3841" t="inlineStr">
        <is>
          <t>COCO</t>
        </is>
      </c>
      <c r="D3841" t="inlineStr">
        <is>
          <t>BLK</t>
        </is>
      </c>
      <c r="E3841" t="inlineStr">
        <is>
          <t>(en blanco)</t>
        </is>
      </c>
      <c r="F3841" t="inlineStr">
        <is>
          <t>(en blanco)</t>
        </is>
      </c>
      <c r="G3841" t="inlineStr">
        <is>
          <t>S</t>
        </is>
      </c>
      <c r="H3841" t="n">
        <v>81</v>
      </c>
      <c r="I3841" t="inlineStr">
        <is>
          <t>T_TAHARI_124004732_BLK_1.jpg</t>
        </is>
      </c>
      <c r="J3841" t="inlineStr">
        <is>
          <t>T_TAHARI_124004732_BLK_2.jpg</t>
        </is>
      </c>
      <c r="K3841" t="inlineStr">
        <is>
          <t>T_TAHARI_124004732_BLK_3.jpg</t>
        </is>
      </c>
      <c r="L3841">
        <f>IMAGE("file:///E:/Estudios%20y%20certificaciones/ESTUDIOS%20DE%20PROGRAMMING/PROGRAMMING/PERSONAL/PYTHON/Image_Generator_API/imagenes/T_TAHARI_124004732_BLK_1.jpg")</f>
        <v/>
      </c>
      <c r="M3841">
        <f>IMAGE("file:///E:/Estudios%20y%20certificaciones/ESTUDIOS%20DE%20PROGRAMMING/PROGRAMMING/PERSONAL/PYTHON/Image_Generator_API/imagenes/T_TAHARI_124004732_BLK_2.jpg")</f>
        <v/>
      </c>
      <c r="N3841">
        <f>IMAGE("file:///E:/Estudios%20y%20certificaciones/ESTUDIOS%20DE%20PROGRAMMING/PROGRAMMING/PERSONAL/PYTHON/Image_Generator_API/imagenes/T_TAHARI_124004732_BLK_3.jpg")</f>
        <v/>
      </c>
      <c r="O3841">
        <f>HYPERLINK("imagenes/T_TAHARI_124004732_BLK_1.jpg","Ver imagen")</f>
        <v/>
      </c>
      <c r="P3841">
        <f>HYPERLINK("imagenes/T_TAHARI_124004732_BLK_2.jpg","Ver imagen")</f>
        <v/>
      </c>
      <c r="Q3841">
        <f>HYPERLINK("imagenes/T_TAHARI_124004732_BLK_3.jpg","Ver imagen")</f>
        <v/>
      </c>
    </row>
    <row r="3842">
      <c r="A3842" t="inlineStr">
        <is>
          <t>T TAHARI</t>
        </is>
      </c>
      <c r="B3842" t="inlineStr">
        <is>
          <t>124004732</t>
        </is>
      </c>
      <c r="C3842" t="inlineStr">
        <is>
          <t>COCO</t>
        </is>
      </c>
      <c r="D3842" t="inlineStr">
        <is>
          <t>BLK</t>
        </is>
      </c>
      <c r="E3842" t="inlineStr">
        <is>
          <t>(en blanco)</t>
        </is>
      </c>
      <c r="F3842" t="inlineStr">
        <is>
          <t>(en blanco)</t>
        </is>
      </c>
      <c r="G3842" t="inlineStr">
        <is>
          <t>M</t>
        </is>
      </c>
      <c r="H3842" t="n">
        <v>241</v>
      </c>
      <c r="I3842" t="inlineStr">
        <is>
          <t>T_TAHARI_124004732_BLK_1.jpg</t>
        </is>
      </c>
      <c r="J3842" t="inlineStr">
        <is>
          <t>T_TAHARI_124004732_BLK_2.jpg</t>
        </is>
      </c>
      <c r="K3842" t="inlineStr">
        <is>
          <t>T_TAHARI_124004732_BLK_3.jpg</t>
        </is>
      </c>
      <c r="L3842">
        <f>IMAGE("file:///E:/Estudios%20y%20certificaciones/ESTUDIOS%20DE%20PROGRAMMING/PROGRAMMING/PERSONAL/PYTHON/Image_Generator_API/imagenes/T_TAHARI_124004732_BLK_1.jpg")</f>
        <v/>
      </c>
      <c r="M3842">
        <f>IMAGE("file:///E:/Estudios%20y%20certificaciones/ESTUDIOS%20DE%20PROGRAMMING/PROGRAMMING/PERSONAL/PYTHON/Image_Generator_API/imagenes/T_TAHARI_124004732_BLK_2.jpg")</f>
        <v/>
      </c>
      <c r="N3842">
        <f>IMAGE("file:///E:/Estudios%20y%20certificaciones/ESTUDIOS%20DE%20PROGRAMMING/PROGRAMMING/PERSONAL/PYTHON/Image_Generator_API/imagenes/T_TAHARI_124004732_BLK_3.jpg")</f>
        <v/>
      </c>
      <c r="O3842">
        <f>HYPERLINK("imagenes/T_TAHARI_124004732_BLK_1.jpg","Ver imagen")</f>
        <v/>
      </c>
      <c r="P3842">
        <f>HYPERLINK("imagenes/T_TAHARI_124004732_BLK_2.jpg","Ver imagen")</f>
        <v/>
      </c>
      <c r="Q3842">
        <f>HYPERLINK("imagenes/T_TAHARI_124004732_BLK_3.jpg","Ver imagen")</f>
        <v/>
      </c>
    </row>
    <row r="3843">
      <c r="A3843" t="inlineStr">
        <is>
          <t>T TAHARI</t>
        </is>
      </c>
      <c r="B3843" t="inlineStr">
        <is>
          <t>124004732</t>
        </is>
      </c>
      <c r="C3843" t="inlineStr">
        <is>
          <t>COCO</t>
        </is>
      </c>
      <c r="D3843" t="inlineStr">
        <is>
          <t>BLK</t>
        </is>
      </c>
      <c r="E3843" t="inlineStr">
        <is>
          <t>(en blanco)</t>
        </is>
      </c>
      <c r="F3843" t="inlineStr">
        <is>
          <t>(en blanco)</t>
        </is>
      </c>
      <c r="G3843" t="inlineStr">
        <is>
          <t>L</t>
        </is>
      </c>
      <c r="H3843" t="n">
        <v>136</v>
      </c>
      <c r="I3843" t="inlineStr">
        <is>
          <t>T_TAHARI_124004732_BLK_1.jpg</t>
        </is>
      </c>
      <c r="J3843" t="inlineStr">
        <is>
          <t>T_TAHARI_124004732_BLK_2.jpg</t>
        </is>
      </c>
      <c r="K3843" t="inlineStr">
        <is>
          <t>T_TAHARI_124004732_BLK_3.jpg</t>
        </is>
      </c>
      <c r="L3843">
        <f>IMAGE("file:///E:/Estudios%20y%20certificaciones/ESTUDIOS%20DE%20PROGRAMMING/PROGRAMMING/PERSONAL/PYTHON/Image_Generator_API/imagenes/T_TAHARI_124004732_BLK_1.jpg")</f>
        <v/>
      </c>
      <c r="M3843">
        <f>IMAGE("file:///E:/Estudios%20y%20certificaciones/ESTUDIOS%20DE%20PROGRAMMING/PROGRAMMING/PERSONAL/PYTHON/Image_Generator_API/imagenes/T_TAHARI_124004732_BLK_2.jpg")</f>
        <v/>
      </c>
      <c r="N3843">
        <f>IMAGE("file:///E:/Estudios%20y%20certificaciones/ESTUDIOS%20DE%20PROGRAMMING/PROGRAMMING/PERSONAL/PYTHON/Image_Generator_API/imagenes/T_TAHARI_124004732_BLK_3.jpg")</f>
        <v/>
      </c>
      <c r="O3843">
        <f>HYPERLINK("imagenes/T_TAHARI_124004732_BLK_1.jpg","Ver imagen")</f>
        <v/>
      </c>
      <c r="P3843">
        <f>HYPERLINK("imagenes/T_TAHARI_124004732_BLK_2.jpg","Ver imagen")</f>
        <v/>
      </c>
      <c r="Q3843">
        <f>HYPERLINK("imagenes/T_TAHARI_124004732_BLK_3.jpg","Ver imagen")</f>
        <v/>
      </c>
    </row>
    <row r="3844">
      <c r="A3844" t="inlineStr">
        <is>
          <t>T TAHARI</t>
        </is>
      </c>
      <c r="B3844" t="inlineStr">
        <is>
          <t>124004732</t>
        </is>
      </c>
      <c r="C3844" t="inlineStr">
        <is>
          <t>COCO</t>
        </is>
      </c>
      <c r="D3844" t="inlineStr">
        <is>
          <t>BLK</t>
        </is>
      </c>
      <c r="E3844" t="inlineStr">
        <is>
          <t>(en blanco)</t>
        </is>
      </c>
      <c r="F3844" t="inlineStr">
        <is>
          <t>(en blanco)</t>
        </is>
      </c>
      <c r="G3844" t="inlineStr">
        <is>
          <t>XL</t>
        </is>
      </c>
      <c r="H3844" t="n">
        <v>0</v>
      </c>
      <c r="I3844" t="inlineStr">
        <is>
          <t>T_TAHARI_124004732_BLK_1.jpg</t>
        </is>
      </c>
      <c r="J3844" t="inlineStr">
        <is>
          <t>T_TAHARI_124004732_BLK_2.jpg</t>
        </is>
      </c>
      <c r="K3844" t="inlineStr">
        <is>
          <t>T_TAHARI_124004732_BLK_3.jpg</t>
        </is>
      </c>
      <c r="L3844">
        <f>IMAGE("file:///E:/Estudios%20y%20certificaciones/ESTUDIOS%20DE%20PROGRAMMING/PROGRAMMING/PERSONAL/PYTHON/Image_Generator_API/imagenes/T_TAHARI_124004732_BLK_1.jpg")</f>
        <v/>
      </c>
      <c r="M3844">
        <f>IMAGE("file:///E:/Estudios%20y%20certificaciones/ESTUDIOS%20DE%20PROGRAMMING/PROGRAMMING/PERSONAL/PYTHON/Image_Generator_API/imagenes/T_TAHARI_124004732_BLK_2.jpg")</f>
        <v/>
      </c>
      <c r="N3844">
        <f>IMAGE("file:///E:/Estudios%20y%20certificaciones/ESTUDIOS%20DE%20PROGRAMMING/PROGRAMMING/PERSONAL/PYTHON/Image_Generator_API/imagenes/T_TAHARI_124004732_BLK_3.jpg")</f>
        <v/>
      </c>
      <c r="O3844">
        <f>HYPERLINK("imagenes/T_TAHARI_124004732_BLK_1.jpg","Ver imagen")</f>
        <v/>
      </c>
      <c r="P3844">
        <f>HYPERLINK("imagenes/T_TAHARI_124004732_BLK_2.jpg","Ver imagen")</f>
        <v/>
      </c>
      <c r="Q3844">
        <f>HYPERLINK("imagenes/T_TAHARI_124004732_BLK_3.jpg","Ver imagen")</f>
        <v/>
      </c>
    </row>
    <row r="3845">
      <c r="A3845" t="inlineStr">
        <is>
          <t>T TAHARI</t>
        </is>
      </c>
      <c r="B3845" t="inlineStr">
        <is>
          <t>124004732</t>
        </is>
      </c>
      <c r="C3845" t="inlineStr">
        <is>
          <t>COCO</t>
        </is>
      </c>
      <c r="D3845" t="inlineStr">
        <is>
          <t>OTM</t>
        </is>
      </c>
      <c r="E3845" t="inlineStr">
        <is>
          <t>(en blanco)</t>
        </is>
      </c>
      <c r="F3845" t="inlineStr">
        <is>
          <t>D2C</t>
        </is>
      </c>
      <c r="G3845" t="inlineStr">
        <is>
          <t>XS</t>
        </is>
      </c>
      <c r="H3845" t="n">
        <v>10</v>
      </c>
      <c r="I3845" t="inlineStr">
        <is>
          <t>T_TAHARI_124004732_OTM_1.jpg</t>
        </is>
      </c>
      <c r="J3845" t="inlineStr">
        <is>
          <t>T_TAHARI_124004732_OTM_2.jpg</t>
        </is>
      </c>
      <c r="K3845" t="inlineStr">
        <is>
          <t>T_TAHARI_124004732_OTM_3.jpg</t>
        </is>
      </c>
      <c r="L3845">
        <f>IMAGE("file:///E:/Estudios%20y%20certificaciones/ESTUDIOS%20DE%20PROGRAMMING/PROGRAMMING/PERSONAL/PYTHON/Image_Generator_API/imagenes/T_TAHARI_124004732_OTM_1.jpg")</f>
        <v/>
      </c>
      <c r="M3845">
        <f>IMAGE("file:///E:/Estudios%20y%20certificaciones/ESTUDIOS%20DE%20PROGRAMMING/PROGRAMMING/PERSONAL/PYTHON/Image_Generator_API/imagenes/T_TAHARI_124004732_OTM_2.jpg")</f>
        <v/>
      </c>
      <c r="N3845">
        <f>IMAGE("file:///E:/Estudios%20y%20certificaciones/ESTUDIOS%20DE%20PROGRAMMING/PROGRAMMING/PERSONAL/PYTHON/Image_Generator_API/imagenes/T_TAHARI_124004732_OTM_3.jpg")</f>
        <v/>
      </c>
      <c r="O3845">
        <f>HYPERLINK("imagenes/T_TAHARI_124004732_OTM_1.jpg","Ver imagen")</f>
        <v/>
      </c>
      <c r="P3845">
        <f>HYPERLINK("imagenes/T_TAHARI_124004732_OTM_2.jpg","Ver imagen")</f>
        <v/>
      </c>
      <c r="Q3845">
        <f>HYPERLINK("imagenes/T_TAHARI_124004732_OTM_3.jpg","Ver imagen")</f>
        <v/>
      </c>
    </row>
    <row r="3846">
      <c r="A3846" t="inlineStr">
        <is>
          <t>T TAHARI</t>
        </is>
      </c>
      <c r="B3846" t="inlineStr">
        <is>
          <t>124004732</t>
        </is>
      </c>
      <c r="C3846" t="inlineStr">
        <is>
          <t>COCO</t>
        </is>
      </c>
      <c r="D3846" t="inlineStr">
        <is>
          <t>OTM</t>
        </is>
      </c>
      <c r="E3846" t="inlineStr">
        <is>
          <t>(en blanco)</t>
        </is>
      </c>
      <c r="F3846" t="inlineStr">
        <is>
          <t>D2C</t>
        </is>
      </c>
      <c r="G3846" t="inlineStr">
        <is>
          <t>S</t>
        </is>
      </c>
      <c r="H3846" t="n">
        <v>19</v>
      </c>
      <c r="I3846" t="inlineStr">
        <is>
          <t>T_TAHARI_124004732_OTM_1.jpg</t>
        </is>
      </c>
      <c r="J3846" t="inlineStr">
        <is>
          <t>T_TAHARI_124004732_OTM_2.jpg</t>
        </is>
      </c>
      <c r="K3846" t="inlineStr">
        <is>
          <t>T_TAHARI_124004732_OTM_3.jpg</t>
        </is>
      </c>
      <c r="L3846">
        <f>IMAGE("file:///E:/Estudios%20y%20certificaciones/ESTUDIOS%20DE%20PROGRAMMING/PROGRAMMING/PERSONAL/PYTHON/Image_Generator_API/imagenes/T_TAHARI_124004732_OTM_1.jpg")</f>
        <v/>
      </c>
      <c r="M3846">
        <f>IMAGE("file:///E:/Estudios%20y%20certificaciones/ESTUDIOS%20DE%20PROGRAMMING/PROGRAMMING/PERSONAL/PYTHON/Image_Generator_API/imagenes/T_TAHARI_124004732_OTM_2.jpg")</f>
        <v/>
      </c>
      <c r="N3846">
        <f>IMAGE("file:///E:/Estudios%20y%20certificaciones/ESTUDIOS%20DE%20PROGRAMMING/PROGRAMMING/PERSONAL/PYTHON/Image_Generator_API/imagenes/T_TAHARI_124004732_OTM_3.jpg")</f>
        <v/>
      </c>
      <c r="O3846">
        <f>HYPERLINK("imagenes/T_TAHARI_124004732_OTM_1.jpg","Ver imagen")</f>
        <v/>
      </c>
      <c r="P3846">
        <f>HYPERLINK("imagenes/T_TAHARI_124004732_OTM_2.jpg","Ver imagen")</f>
        <v/>
      </c>
      <c r="Q3846">
        <f>HYPERLINK("imagenes/T_TAHARI_124004732_OTM_3.jpg","Ver imagen")</f>
        <v/>
      </c>
    </row>
    <row r="3847">
      <c r="A3847" t="inlineStr">
        <is>
          <t>T TAHARI</t>
        </is>
      </c>
      <c r="B3847" t="inlineStr">
        <is>
          <t>124004732</t>
        </is>
      </c>
      <c r="C3847" t="inlineStr">
        <is>
          <t>COCO</t>
        </is>
      </c>
      <c r="D3847" t="inlineStr">
        <is>
          <t>OTM</t>
        </is>
      </c>
      <c r="E3847" t="inlineStr">
        <is>
          <t>(en blanco)</t>
        </is>
      </c>
      <c r="F3847" t="inlineStr">
        <is>
          <t>D2C</t>
        </is>
      </c>
      <c r="G3847" t="inlineStr">
        <is>
          <t>M</t>
        </is>
      </c>
      <c r="H3847" t="n">
        <v>15</v>
      </c>
      <c r="I3847" t="inlineStr">
        <is>
          <t>T_TAHARI_124004732_OTM_1.jpg</t>
        </is>
      </c>
      <c r="J3847" t="inlineStr">
        <is>
          <t>T_TAHARI_124004732_OTM_2.jpg</t>
        </is>
      </c>
      <c r="K3847" t="inlineStr">
        <is>
          <t>T_TAHARI_124004732_OTM_3.jpg</t>
        </is>
      </c>
      <c r="L3847">
        <f>IMAGE("file:///E:/Estudios%20y%20certificaciones/ESTUDIOS%20DE%20PROGRAMMING/PROGRAMMING/PERSONAL/PYTHON/Image_Generator_API/imagenes/T_TAHARI_124004732_OTM_1.jpg")</f>
        <v/>
      </c>
      <c r="M3847">
        <f>IMAGE("file:///E:/Estudios%20y%20certificaciones/ESTUDIOS%20DE%20PROGRAMMING/PROGRAMMING/PERSONAL/PYTHON/Image_Generator_API/imagenes/T_TAHARI_124004732_OTM_2.jpg")</f>
        <v/>
      </c>
      <c r="N3847">
        <f>IMAGE("file:///E:/Estudios%20y%20certificaciones/ESTUDIOS%20DE%20PROGRAMMING/PROGRAMMING/PERSONAL/PYTHON/Image_Generator_API/imagenes/T_TAHARI_124004732_OTM_3.jpg")</f>
        <v/>
      </c>
      <c r="O3847">
        <f>HYPERLINK("imagenes/T_TAHARI_124004732_OTM_1.jpg","Ver imagen")</f>
        <v/>
      </c>
      <c r="P3847">
        <f>HYPERLINK("imagenes/T_TAHARI_124004732_OTM_2.jpg","Ver imagen")</f>
        <v/>
      </c>
      <c r="Q3847">
        <f>HYPERLINK("imagenes/T_TAHARI_124004732_OTM_3.jpg","Ver imagen")</f>
        <v/>
      </c>
    </row>
    <row r="3848">
      <c r="A3848" t="inlineStr">
        <is>
          <t>T TAHARI</t>
        </is>
      </c>
      <c r="B3848" t="inlineStr">
        <is>
          <t>124004732</t>
        </is>
      </c>
      <c r="C3848" t="inlineStr">
        <is>
          <t>COCO</t>
        </is>
      </c>
      <c r="D3848" t="inlineStr">
        <is>
          <t>OTM</t>
        </is>
      </c>
      <c r="E3848" t="inlineStr">
        <is>
          <t>(en blanco)</t>
        </is>
      </c>
      <c r="F3848" t="inlineStr">
        <is>
          <t>D2C</t>
        </is>
      </c>
      <c r="G3848" t="inlineStr">
        <is>
          <t>L</t>
        </is>
      </c>
      <c r="H3848" t="n">
        <v>18</v>
      </c>
      <c r="I3848" t="inlineStr">
        <is>
          <t>T_TAHARI_124004732_OTM_1.jpg</t>
        </is>
      </c>
      <c r="J3848" t="inlineStr">
        <is>
          <t>T_TAHARI_124004732_OTM_2.jpg</t>
        </is>
      </c>
      <c r="K3848" t="inlineStr">
        <is>
          <t>T_TAHARI_124004732_OTM_3.jpg</t>
        </is>
      </c>
      <c r="L3848">
        <f>IMAGE("file:///E:/Estudios%20y%20certificaciones/ESTUDIOS%20DE%20PROGRAMMING/PROGRAMMING/PERSONAL/PYTHON/Image_Generator_API/imagenes/T_TAHARI_124004732_OTM_1.jpg")</f>
        <v/>
      </c>
      <c r="M3848">
        <f>IMAGE("file:///E:/Estudios%20y%20certificaciones/ESTUDIOS%20DE%20PROGRAMMING/PROGRAMMING/PERSONAL/PYTHON/Image_Generator_API/imagenes/T_TAHARI_124004732_OTM_2.jpg")</f>
        <v/>
      </c>
      <c r="N3848">
        <f>IMAGE("file:///E:/Estudios%20y%20certificaciones/ESTUDIOS%20DE%20PROGRAMMING/PROGRAMMING/PERSONAL/PYTHON/Image_Generator_API/imagenes/T_TAHARI_124004732_OTM_3.jpg")</f>
        <v/>
      </c>
      <c r="O3848">
        <f>HYPERLINK("imagenes/T_TAHARI_124004732_OTM_1.jpg","Ver imagen")</f>
        <v/>
      </c>
      <c r="P3848">
        <f>HYPERLINK("imagenes/T_TAHARI_124004732_OTM_2.jpg","Ver imagen")</f>
        <v/>
      </c>
      <c r="Q3848">
        <f>HYPERLINK("imagenes/T_TAHARI_124004732_OTM_3.jpg","Ver imagen")</f>
        <v/>
      </c>
    </row>
    <row r="3849">
      <c r="A3849" t="inlineStr">
        <is>
          <t>T TAHARI</t>
        </is>
      </c>
      <c r="B3849" t="inlineStr">
        <is>
          <t>124004732</t>
        </is>
      </c>
      <c r="C3849" t="inlineStr">
        <is>
          <t>COCO</t>
        </is>
      </c>
      <c r="D3849" t="inlineStr">
        <is>
          <t>OTM</t>
        </is>
      </c>
      <c r="E3849" t="inlineStr">
        <is>
          <t>(en blanco)</t>
        </is>
      </c>
      <c r="F3849" t="inlineStr">
        <is>
          <t>D2C</t>
        </is>
      </c>
      <c r="G3849" t="inlineStr">
        <is>
          <t>XL</t>
        </is>
      </c>
      <c r="H3849" t="n">
        <v>13</v>
      </c>
      <c r="I3849" t="inlineStr">
        <is>
          <t>T_TAHARI_124004732_OTM_1.jpg</t>
        </is>
      </c>
      <c r="J3849" t="inlineStr">
        <is>
          <t>T_TAHARI_124004732_OTM_2.jpg</t>
        </is>
      </c>
      <c r="K3849" t="inlineStr">
        <is>
          <t>T_TAHARI_124004732_OTM_3.jpg</t>
        </is>
      </c>
      <c r="L3849">
        <f>IMAGE("file:///E:/Estudios%20y%20certificaciones/ESTUDIOS%20DE%20PROGRAMMING/PROGRAMMING/PERSONAL/PYTHON/Image_Generator_API/imagenes/T_TAHARI_124004732_OTM_1.jpg")</f>
        <v/>
      </c>
      <c r="M3849">
        <f>IMAGE("file:///E:/Estudios%20y%20certificaciones/ESTUDIOS%20DE%20PROGRAMMING/PROGRAMMING/PERSONAL/PYTHON/Image_Generator_API/imagenes/T_TAHARI_124004732_OTM_2.jpg")</f>
        <v/>
      </c>
      <c r="N3849">
        <f>IMAGE("file:///E:/Estudios%20y%20certificaciones/ESTUDIOS%20DE%20PROGRAMMING/PROGRAMMING/PERSONAL/PYTHON/Image_Generator_API/imagenes/T_TAHARI_124004732_OTM_3.jpg")</f>
        <v/>
      </c>
      <c r="O3849">
        <f>HYPERLINK("imagenes/T_TAHARI_124004732_OTM_1.jpg","Ver imagen")</f>
        <v/>
      </c>
      <c r="P3849">
        <f>HYPERLINK("imagenes/T_TAHARI_124004732_OTM_2.jpg","Ver imagen")</f>
        <v/>
      </c>
      <c r="Q3849">
        <f>HYPERLINK("imagenes/T_TAHARI_124004732_OTM_3.jpg","Ver imagen")</f>
        <v/>
      </c>
    </row>
    <row r="3850">
      <c r="A3850" t="inlineStr">
        <is>
          <t>T TAHARI</t>
        </is>
      </c>
      <c r="B3850" t="inlineStr">
        <is>
          <t>124004732</t>
        </is>
      </c>
      <c r="C3850" t="inlineStr">
        <is>
          <t>COCO</t>
        </is>
      </c>
      <c r="D3850" t="inlineStr">
        <is>
          <t>OTM</t>
        </is>
      </c>
      <c r="E3850" t="inlineStr">
        <is>
          <t>(en blanco)</t>
        </is>
      </c>
      <c r="F3850" t="inlineStr">
        <is>
          <t>(en blanco)</t>
        </is>
      </c>
      <c r="G3850" t="inlineStr">
        <is>
          <t>XS</t>
        </is>
      </c>
      <c r="H3850" t="n">
        <v>42</v>
      </c>
      <c r="I3850" t="inlineStr">
        <is>
          <t>T_TAHARI_124004732_OTM_1.jpg</t>
        </is>
      </c>
      <c r="J3850" t="inlineStr">
        <is>
          <t>T_TAHARI_124004732_OTM_2.jpg</t>
        </is>
      </c>
      <c r="K3850" t="inlineStr">
        <is>
          <t>T_TAHARI_124004732_OTM_3.jpg</t>
        </is>
      </c>
      <c r="L3850">
        <f>IMAGE("file:///E:/Estudios%20y%20certificaciones/ESTUDIOS%20DE%20PROGRAMMING/PROGRAMMING/PERSONAL/PYTHON/Image_Generator_API/imagenes/T_TAHARI_124004732_OTM_1.jpg")</f>
        <v/>
      </c>
      <c r="M3850">
        <f>IMAGE("file:///E:/Estudios%20y%20certificaciones/ESTUDIOS%20DE%20PROGRAMMING/PROGRAMMING/PERSONAL/PYTHON/Image_Generator_API/imagenes/T_TAHARI_124004732_OTM_2.jpg")</f>
        <v/>
      </c>
      <c r="N3850">
        <f>IMAGE("file:///E:/Estudios%20y%20certificaciones/ESTUDIOS%20DE%20PROGRAMMING/PROGRAMMING/PERSONAL/PYTHON/Image_Generator_API/imagenes/T_TAHARI_124004732_OTM_3.jpg")</f>
        <v/>
      </c>
      <c r="O3850">
        <f>HYPERLINK("imagenes/T_TAHARI_124004732_OTM_1.jpg","Ver imagen")</f>
        <v/>
      </c>
      <c r="P3850">
        <f>HYPERLINK("imagenes/T_TAHARI_124004732_OTM_2.jpg","Ver imagen")</f>
        <v/>
      </c>
      <c r="Q3850">
        <f>HYPERLINK("imagenes/T_TAHARI_124004732_OTM_3.jpg","Ver imagen")</f>
        <v/>
      </c>
    </row>
    <row r="3851">
      <c r="A3851" t="inlineStr">
        <is>
          <t>T TAHARI</t>
        </is>
      </c>
      <c r="B3851" t="inlineStr">
        <is>
          <t>124004732</t>
        </is>
      </c>
      <c r="C3851" t="inlineStr">
        <is>
          <t>COCO</t>
        </is>
      </c>
      <c r="D3851" t="inlineStr">
        <is>
          <t>OTM</t>
        </is>
      </c>
      <c r="E3851" t="inlineStr">
        <is>
          <t>(en blanco)</t>
        </is>
      </c>
      <c r="F3851" t="inlineStr">
        <is>
          <t>(en blanco)</t>
        </is>
      </c>
      <c r="G3851" t="inlineStr">
        <is>
          <t>S</t>
        </is>
      </c>
      <c r="H3851" t="n">
        <v>67</v>
      </c>
      <c r="I3851" t="inlineStr">
        <is>
          <t>T_TAHARI_124004732_OTM_1.jpg</t>
        </is>
      </c>
      <c r="J3851" t="inlineStr">
        <is>
          <t>T_TAHARI_124004732_OTM_2.jpg</t>
        </is>
      </c>
      <c r="K3851" t="inlineStr">
        <is>
          <t>T_TAHARI_124004732_OTM_3.jpg</t>
        </is>
      </c>
      <c r="L3851">
        <f>IMAGE("file:///E:/Estudios%20y%20certificaciones/ESTUDIOS%20DE%20PROGRAMMING/PROGRAMMING/PERSONAL/PYTHON/Image_Generator_API/imagenes/T_TAHARI_124004732_OTM_1.jpg")</f>
        <v/>
      </c>
      <c r="M3851">
        <f>IMAGE("file:///E:/Estudios%20y%20certificaciones/ESTUDIOS%20DE%20PROGRAMMING/PROGRAMMING/PERSONAL/PYTHON/Image_Generator_API/imagenes/T_TAHARI_124004732_OTM_2.jpg")</f>
        <v/>
      </c>
      <c r="N3851">
        <f>IMAGE("file:///E:/Estudios%20y%20certificaciones/ESTUDIOS%20DE%20PROGRAMMING/PROGRAMMING/PERSONAL/PYTHON/Image_Generator_API/imagenes/T_TAHARI_124004732_OTM_3.jpg")</f>
        <v/>
      </c>
      <c r="O3851">
        <f>HYPERLINK("imagenes/T_TAHARI_124004732_OTM_1.jpg","Ver imagen")</f>
        <v/>
      </c>
      <c r="P3851">
        <f>HYPERLINK("imagenes/T_TAHARI_124004732_OTM_2.jpg","Ver imagen")</f>
        <v/>
      </c>
      <c r="Q3851">
        <f>HYPERLINK("imagenes/T_TAHARI_124004732_OTM_3.jpg","Ver imagen")</f>
        <v/>
      </c>
    </row>
    <row r="3852">
      <c r="A3852" t="inlineStr">
        <is>
          <t>T TAHARI</t>
        </is>
      </c>
      <c r="B3852" t="inlineStr">
        <is>
          <t>124004732</t>
        </is>
      </c>
      <c r="C3852" t="inlineStr">
        <is>
          <t>COCO</t>
        </is>
      </c>
      <c r="D3852" t="inlineStr">
        <is>
          <t>OTM</t>
        </is>
      </c>
      <c r="E3852" t="inlineStr">
        <is>
          <t>(en blanco)</t>
        </is>
      </c>
      <c r="F3852" t="inlineStr">
        <is>
          <t>(en blanco)</t>
        </is>
      </c>
      <c r="G3852" t="inlineStr">
        <is>
          <t>M</t>
        </is>
      </c>
      <c r="H3852" t="n">
        <v>212</v>
      </c>
      <c r="I3852" t="inlineStr">
        <is>
          <t>T_TAHARI_124004732_OTM_1.jpg</t>
        </is>
      </c>
      <c r="J3852" t="inlineStr">
        <is>
          <t>T_TAHARI_124004732_OTM_2.jpg</t>
        </is>
      </c>
      <c r="K3852" t="inlineStr">
        <is>
          <t>T_TAHARI_124004732_OTM_3.jpg</t>
        </is>
      </c>
      <c r="L3852">
        <f>IMAGE("file:///E:/Estudios%20y%20certificaciones/ESTUDIOS%20DE%20PROGRAMMING/PROGRAMMING/PERSONAL/PYTHON/Image_Generator_API/imagenes/T_TAHARI_124004732_OTM_1.jpg")</f>
        <v/>
      </c>
      <c r="M3852">
        <f>IMAGE("file:///E:/Estudios%20y%20certificaciones/ESTUDIOS%20DE%20PROGRAMMING/PROGRAMMING/PERSONAL/PYTHON/Image_Generator_API/imagenes/T_TAHARI_124004732_OTM_2.jpg")</f>
        <v/>
      </c>
      <c r="N3852">
        <f>IMAGE("file:///E:/Estudios%20y%20certificaciones/ESTUDIOS%20DE%20PROGRAMMING/PROGRAMMING/PERSONAL/PYTHON/Image_Generator_API/imagenes/T_TAHARI_124004732_OTM_3.jpg")</f>
        <v/>
      </c>
      <c r="O3852">
        <f>HYPERLINK("imagenes/T_TAHARI_124004732_OTM_1.jpg","Ver imagen")</f>
        <v/>
      </c>
      <c r="P3852">
        <f>HYPERLINK("imagenes/T_TAHARI_124004732_OTM_2.jpg","Ver imagen")</f>
        <v/>
      </c>
      <c r="Q3852">
        <f>HYPERLINK("imagenes/T_TAHARI_124004732_OTM_3.jpg","Ver imagen")</f>
        <v/>
      </c>
    </row>
    <row r="3853">
      <c r="A3853" t="inlineStr">
        <is>
          <t>T TAHARI</t>
        </is>
      </c>
      <c r="B3853" t="inlineStr">
        <is>
          <t>124004732</t>
        </is>
      </c>
      <c r="C3853" t="inlineStr">
        <is>
          <t>COCO</t>
        </is>
      </c>
      <c r="D3853" t="inlineStr">
        <is>
          <t>OTM</t>
        </is>
      </c>
      <c r="E3853" t="inlineStr">
        <is>
          <t>(en blanco)</t>
        </is>
      </c>
      <c r="F3853" t="inlineStr">
        <is>
          <t>(en blanco)</t>
        </is>
      </c>
      <c r="G3853" t="inlineStr">
        <is>
          <t>L</t>
        </is>
      </c>
      <c r="H3853" t="n">
        <v>133</v>
      </c>
      <c r="I3853" t="inlineStr">
        <is>
          <t>T_TAHARI_124004732_OTM_1.jpg</t>
        </is>
      </c>
      <c r="J3853" t="inlineStr">
        <is>
          <t>T_TAHARI_124004732_OTM_2.jpg</t>
        </is>
      </c>
      <c r="K3853" t="inlineStr">
        <is>
          <t>T_TAHARI_124004732_OTM_3.jpg</t>
        </is>
      </c>
      <c r="L3853">
        <f>IMAGE("file:///E:/Estudios%20y%20certificaciones/ESTUDIOS%20DE%20PROGRAMMING/PROGRAMMING/PERSONAL/PYTHON/Image_Generator_API/imagenes/T_TAHARI_124004732_OTM_1.jpg")</f>
        <v/>
      </c>
      <c r="M3853">
        <f>IMAGE("file:///E:/Estudios%20y%20certificaciones/ESTUDIOS%20DE%20PROGRAMMING/PROGRAMMING/PERSONAL/PYTHON/Image_Generator_API/imagenes/T_TAHARI_124004732_OTM_2.jpg")</f>
        <v/>
      </c>
      <c r="N3853">
        <f>IMAGE("file:///E:/Estudios%20y%20certificaciones/ESTUDIOS%20DE%20PROGRAMMING/PROGRAMMING/PERSONAL/PYTHON/Image_Generator_API/imagenes/T_TAHARI_124004732_OTM_3.jpg")</f>
        <v/>
      </c>
      <c r="O3853">
        <f>HYPERLINK("imagenes/T_TAHARI_124004732_OTM_1.jpg","Ver imagen")</f>
        <v/>
      </c>
      <c r="P3853">
        <f>HYPERLINK("imagenes/T_TAHARI_124004732_OTM_2.jpg","Ver imagen")</f>
        <v/>
      </c>
      <c r="Q3853">
        <f>HYPERLINK("imagenes/T_TAHARI_124004732_OTM_3.jpg","Ver imagen")</f>
        <v/>
      </c>
    </row>
    <row r="3854">
      <c r="A3854" t="inlineStr">
        <is>
          <t>T TAHARI</t>
        </is>
      </c>
      <c r="B3854" t="inlineStr">
        <is>
          <t>124004732</t>
        </is>
      </c>
      <c r="C3854" t="inlineStr">
        <is>
          <t>COCO</t>
        </is>
      </c>
      <c r="D3854" t="inlineStr">
        <is>
          <t>OTM</t>
        </is>
      </c>
      <c r="E3854" t="inlineStr">
        <is>
          <t>(en blanco)</t>
        </is>
      </c>
      <c r="F3854" t="inlineStr">
        <is>
          <t>(en blanco)</t>
        </is>
      </c>
      <c r="G3854" t="inlineStr">
        <is>
          <t>XL</t>
        </is>
      </c>
      <c r="H3854" t="n">
        <v>47</v>
      </c>
      <c r="I3854" t="inlineStr">
        <is>
          <t>T_TAHARI_124004732_OTM_1.jpg</t>
        </is>
      </c>
      <c r="J3854" t="inlineStr">
        <is>
          <t>T_TAHARI_124004732_OTM_2.jpg</t>
        </is>
      </c>
      <c r="K3854" t="inlineStr">
        <is>
          <t>T_TAHARI_124004732_OTM_3.jpg</t>
        </is>
      </c>
      <c r="L3854">
        <f>IMAGE("file:///E:/Estudios%20y%20certificaciones/ESTUDIOS%20DE%20PROGRAMMING/PROGRAMMING/PERSONAL/PYTHON/Image_Generator_API/imagenes/T_TAHARI_124004732_OTM_1.jpg")</f>
        <v/>
      </c>
      <c r="M3854">
        <f>IMAGE("file:///E:/Estudios%20y%20certificaciones/ESTUDIOS%20DE%20PROGRAMMING/PROGRAMMING/PERSONAL/PYTHON/Image_Generator_API/imagenes/T_TAHARI_124004732_OTM_2.jpg")</f>
        <v/>
      </c>
      <c r="N3854">
        <f>IMAGE("file:///E:/Estudios%20y%20certificaciones/ESTUDIOS%20DE%20PROGRAMMING/PROGRAMMING/PERSONAL/PYTHON/Image_Generator_API/imagenes/T_TAHARI_124004732_OTM_3.jpg")</f>
        <v/>
      </c>
      <c r="O3854">
        <f>HYPERLINK("imagenes/T_TAHARI_124004732_OTM_1.jpg","Ver imagen")</f>
        <v/>
      </c>
      <c r="P3854">
        <f>HYPERLINK("imagenes/T_TAHARI_124004732_OTM_2.jpg","Ver imagen")</f>
        <v/>
      </c>
      <c r="Q3854">
        <f>HYPERLINK("imagenes/T_TAHARI_124004732_OTM_3.jpg","Ver imagen")</f>
        <v/>
      </c>
    </row>
    <row r="3855">
      <c r="A3855" t="inlineStr">
        <is>
          <t>T TAHARI</t>
        </is>
      </c>
      <c r="B3855" t="inlineStr">
        <is>
          <t>124004734</t>
        </is>
      </c>
      <c r="C3855" t="inlineStr">
        <is>
          <t>SYDNEY</t>
        </is>
      </c>
      <c r="D3855" t="inlineStr">
        <is>
          <t>BLK</t>
        </is>
      </c>
      <c r="E3855" t="inlineStr">
        <is>
          <t>(en blanco)</t>
        </is>
      </c>
      <c r="F3855" t="inlineStr">
        <is>
          <t>D2C</t>
        </is>
      </c>
      <c r="G3855" t="inlineStr">
        <is>
          <t>XS</t>
        </is>
      </c>
      <c r="H3855" t="n">
        <v>3</v>
      </c>
      <c r="I3855" t="inlineStr">
        <is>
          <t>T_TAHARI_124004734_BLK_1.jpg</t>
        </is>
      </c>
      <c r="J3855" t="inlineStr">
        <is>
          <t>T_TAHARI_124004734_BLK_2.jpg</t>
        </is>
      </c>
      <c r="K3855" t="inlineStr">
        <is>
          <t>T_TAHARI_124004734_BLK_3.jpg</t>
        </is>
      </c>
      <c r="L3855">
        <f>IMAGE("file:///E:/Estudios%20y%20certificaciones/ESTUDIOS%20DE%20PROGRAMMING/PROGRAMMING/PERSONAL/PYTHON/Image_Generator_API/imagenes/T_TAHARI_124004734_BLK_1.jpg")</f>
        <v/>
      </c>
      <c r="M3855">
        <f>IMAGE("file:///E:/Estudios%20y%20certificaciones/ESTUDIOS%20DE%20PROGRAMMING/PROGRAMMING/PERSONAL/PYTHON/Image_Generator_API/imagenes/T_TAHARI_124004734_BLK_2.jpg")</f>
        <v/>
      </c>
      <c r="N3855">
        <f>IMAGE("file:///E:/Estudios%20y%20certificaciones/ESTUDIOS%20DE%20PROGRAMMING/PROGRAMMING/PERSONAL/PYTHON/Image_Generator_API/imagenes/T_TAHARI_124004734_BLK_3.jpg")</f>
        <v/>
      </c>
      <c r="O3855">
        <f>HYPERLINK("imagenes/T_TAHARI_124004734_BLK_1.jpg","Ver imagen")</f>
        <v/>
      </c>
      <c r="P3855">
        <f>HYPERLINK("imagenes/T_TAHARI_124004734_BLK_2.jpg","Ver imagen")</f>
        <v/>
      </c>
      <c r="Q3855">
        <f>HYPERLINK("imagenes/T_TAHARI_124004734_BLK_3.jpg","Ver imagen")</f>
        <v/>
      </c>
    </row>
    <row r="3856">
      <c r="A3856" t="inlineStr">
        <is>
          <t>T TAHARI</t>
        </is>
      </c>
      <c r="B3856" t="inlineStr">
        <is>
          <t>124004734</t>
        </is>
      </c>
      <c r="C3856" t="inlineStr">
        <is>
          <t>SYDNEY</t>
        </is>
      </c>
      <c r="D3856" t="inlineStr">
        <is>
          <t>BLK</t>
        </is>
      </c>
      <c r="E3856" t="inlineStr">
        <is>
          <t>(en blanco)</t>
        </is>
      </c>
      <c r="F3856" t="inlineStr">
        <is>
          <t>D2C</t>
        </is>
      </c>
      <c r="G3856" t="inlineStr">
        <is>
          <t>S</t>
        </is>
      </c>
      <c r="H3856" t="n">
        <v>4</v>
      </c>
      <c r="I3856" t="inlineStr">
        <is>
          <t>T_TAHARI_124004734_BLK_1.jpg</t>
        </is>
      </c>
      <c r="J3856" t="inlineStr">
        <is>
          <t>T_TAHARI_124004734_BLK_2.jpg</t>
        </is>
      </c>
      <c r="K3856" t="inlineStr">
        <is>
          <t>T_TAHARI_124004734_BLK_3.jpg</t>
        </is>
      </c>
      <c r="L3856">
        <f>IMAGE("file:///E:/Estudios%20y%20certificaciones/ESTUDIOS%20DE%20PROGRAMMING/PROGRAMMING/PERSONAL/PYTHON/Image_Generator_API/imagenes/T_TAHARI_124004734_BLK_1.jpg")</f>
        <v/>
      </c>
      <c r="M3856">
        <f>IMAGE("file:///E:/Estudios%20y%20certificaciones/ESTUDIOS%20DE%20PROGRAMMING/PROGRAMMING/PERSONAL/PYTHON/Image_Generator_API/imagenes/T_TAHARI_124004734_BLK_2.jpg")</f>
        <v/>
      </c>
      <c r="N3856">
        <f>IMAGE("file:///E:/Estudios%20y%20certificaciones/ESTUDIOS%20DE%20PROGRAMMING/PROGRAMMING/PERSONAL/PYTHON/Image_Generator_API/imagenes/T_TAHARI_124004734_BLK_3.jpg")</f>
        <v/>
      </c>
      <c r="O3856">
        <f>HYPERLINK("imagenes/T_TAHARI_124004734_BLK_1.jpg","Ver imagen")</f>
        <v/>
      </c>
      <c r="P3856">
        <f>HYPERLINK("imagenes/T_TAHARI_124004734_BLK_2.jpg","Ver imagen")</f>
        <v/>
      </c>
      <c r="Q3856">
        <f>HYPERLINK("imagenes/T_TAHARI_124004734_BLK_3.jpg","Ver imagen")</f>
        <v/>
      </c>
    </row>
    <row r="3857">
      <c r="A3857" t="inlineStr">
        <is>
          <t>T TAHARI</t>
        </is>
      </c>
      <c r="B3857" t="inlineStr">
        <is>
          <t>124004734</t>
        </is>
      </c>
      <c r="C3857" t="inlineStr">
        <is>
          <t>SYDNEY</t>
        </is>
      </c>
      <c r="D3857" t="inlineStr">
        <is>
          <t>BLK</t>
        </is>
      </c>
      <c r="E3857" t="inlineStr">
        <is>
          <t>(en blanco)</t>
        </is>
      </c>
      <c r="F3857" t="inlineStr">
        <is>
          <t>D2C</t>
        </is>
      </c>
      <c r="G3857" t="inlineStr">
        <is>
          <t>M</t>
        </is>
      </c>
      <c r="H3857" t="n">
        <v>2</v>
      </c>
      <c r="I3857" t="inlineStr">
        <is>
          <t>T_TAHARI_124004734_BLK_1.jpg</t>
        </is>
      </c>
      <c r="J3857" t="inlineStr">
        <is>
          <t>T_TAHARI_124004734_BLK_2.jpg</t>
        </is>
      </c>
      <c r="K3857" t="inlineStr">
        <is>
          <t>T_TAHARI_124004734_BLK_3.jpg</t>
        </is>
      </c>
      <c r="L3857">
        <f>IMAGE("file:///E:/Estudios%20y%20certificaciones/ESTUDIOS%20DE%20PROGRAMMING/PROGRAMMING/PERSONAL/PYTHON/Image_Generator_API/imagenes/T_TAHARI_124004734_BLK_1.jpg")</f>
        <v/>
      </c>
      <c r="M3857">
        <f>IMAGE("file:///E:/Estudios%20y%20certificaciones/ESTUDIOS%20DE%20PROGRAMMING/PROGRAMMING/PERSONAL/PYTHON/Image_Generator_API/imagenes/T_TAHARI_124004734_BLK_2.jpg")</f>
        <v/>
      </c>
      <c r="N3857">
        <f>IMAGE("file:///E:/Estudios%20y%20certificaciones/ESTUDIOS%20DE%20PROGRAMMING/PROGRAMMING/PERSONAL/PYTHON/Image_Generator_API/imagenes/T_TAHARI_124004734_BLK_3.jpg")</f>
        <v/>
      </c>
      <c r="O3857">
        <f>HYPERLINK("imagenes/T_TAHARI_124004734_BLK_1.jpg","Ver imagen")</f>
        <v/>
      </c>
      <c r="P3857">
        <f>HYPERLINK("imagenes/T_TAHARI_124004734_BLK_2.jpg","Ver imagen")</f>
        <v/>
      </c>
      <c r="Q3857">
        <f>HYPERLINK("imagenes/T_TAHARI_124004734_BLK_3.jpg","Ver imagen")</f>
        <v/>
      </c>
    </row>
    <row r="3858">
      <c r="A3858" t="inlineStr">
        <is>
          <t>T TAHARI</t>
        </is>
      </c>
      <c r="B3858" t="inlineStr">
        <is>
          <t>124004734</t>
        </is>
      </c>
      <c r="C3858" t="inlineStr">
        <is>
          <t>SYDNEY</t>
        </is>
      </c>
      <c r="D3858" t="inlineStr">
        <is>
          <t>BLK</t>
        </is>
      </c>
      <c r="E3858" t="inlineStr">
        <is>
          <t>(en blanco)</t>
        </is>
      </c>
      <c r="F3858" t="inlineStr">
        <is>
          <t>D2C</t>
        </is>
      </c>
      <c r="G3858" t="inlineStr">
        <is>
          <t>L</t>
        </is>
      </c>
      <c r="H3858" t="n">
        <v>8</v>
      </c>
      <c r="I3858" t="inlineStr">
        <is>
          <t>T_TAHARI_124004734_BLK_1.jpg</t>
        </is>
      </c>
      <c r="J3858" t="inlineStr">
        <is>
          <t>T_TAHARI_124004734_BLK_2.jpg</t>
        </is>
      </c>
      <c r="K3858" t="inlineStr">
        <is>
          <t>T_TAHARI_124004734_BLK_3.jpg</t>
        </is>
      </c>
      <c r="L3858">
        <f>IMAGE("file:///E:/Estudios%20y%20certificaciones/ESTUDIOS%20DE%20PROGRAMMING/PROGRAMMING/PERSONAL/PYTHON/Image_Generator_API/imagenes/T_TAHARI_124004734_BLK_1.jpg")</f>
        <v/>
      </c>
      <c r="M3858">
        <f>IMAGE("file:///E:/Estudios%20y%20certificaciones/ESTUDIOS%20DE%20PROGRAMMING/PROGRAMMING/PERSONAL/PYTHON/Image_Generator_API/imagenes/T_TAHARI_124004734_BLK_2.jpg")</f>
        <v/>
      </c>
      <c r="N3858">
        <f>IMAGE("file:///E:/Estudios%20y%20certificaciones/ESTUDIOS%20DE%20PROGRAMMING/PROGRAMMING/PERSONAL/PYTHON/Image_Generator_API/imagenes/T_TAHARI_124004734_BLK_3.jpg")</f>
        <v/>
      </c>
      <c r="O3858">
        <f>HYPERLINK("imagenes/T_TAHARI_124004734_BLK_1.jpg","Ver imagen")</f>
        <v/>
      </c>
      <c r="P3858">
        <f>HYPERLINK("imagenes/T_TAHARI_124004734_BLK_2.jpg","Ver imagen")</f>
        <v/>
      </c>
      <c r="Q3858">
        <f>HYPERLINK("imagenes/T_TAHARI_124004734_BLK_3.jpg","Ver imagen")</f>
        <v/>
      </c>
    </row>
    <row r="3859">
      <c r="A3859" t="inlineStr">
        <is>
          <t>T TAHARI</t>
        </is>
      </c>
      <c r="B3859" t="inlineStr">
        <is>
          <t>124004734</t>
        </is>
      </c>
      <c r="C3859" t="inlineStr">
        <is>
          <t>SYDNEY</t>
        </is>
      </c>
      <c r="D3859" t="inlineStr">
        <is>
          <t>BLK</t>
        </is>
      </c>
      <c r="E3859" t="inlineStr">
        <is>
          <t>(en blanco)</t>
        </is>
      </c>
      <c r="F3859" t="inlineStr">
        <is>
          <t>D2C</t>
        </is>
      </c>
      <c r="G3859" t="inlineStr">
        <is>
          <t>XL</t>
        </is>
      </c>
      <c r="H3859" t="n">
        <v>2</v>
      </c>
      <c r="I3859" t="inlineStr">
        <is>
          <t>T_TAHARI_124004734_BLK_1.jpg</t>
        </is>
      </c>
      <c r="J3859" t="inlineStr">
        <is>
          <t>T_TAHARI_124004734_BLK_2.jpg</t>
        </is>
      </c>
      <c r="K3859" t="inlineStr">
        <is>
          <t>T_TAHARI_124004734_BLK_3.jpg</t>
        </is>
      </c>
      <c r="L3859">
        <f>IMAGE("file:///E:/Estudios%20y%20certificaciones/ESTUDIOS%20DE%20PROGRAMMING/PROGRAMMING/PERSONAL/PYTHON/Image_Generator_API/imagenes/T_TAHARI_124004734_BLK_1.jpg")</f>
        <v/>
      </c>
      <c r="M3859">
        <f>IMAGE("file:///E:/Estudios%20y%20certificaciones/ESTUDIOS%20DE%20PROGRAMMING/PROGRAMMING/PERSONAL/PYTHON/Image_Generator_API/imagenes/T_TAHARI_124004734_BLK_2.jpg")</f>
        <v/>
      </c>
      <c r="N3859">
        <f>IMAGE("file:///E:/Estudios%20y%20certificaciones/ESTUDIOS%20DE%20PROGRAMMING/PROGRAMMING/PERSONAL/PYTHON/Image_Generator_API/imagenes/T_TAHARI_124004734_BLK_3.jpg")</f>
        <v/>
      </c>
      <c r="O3859">
        <f>HYPERLINK("imagenes/T_TAHARI_124004734_BLK_1.jpg","Ver imagen")</f>
        <v/>
      </c>
      <c r="P3859">
        <f>HYPERLINK("imagenes/T_TAHARI_124004734_BLK_2.jpg","Ver imagen")</f>
        <v/>
      </c>
      <c r="Q3859">
        <f>HYPERLINK("imagenes/T_TAHARI_124004734_BLK_3.jpg","Ver imagen")</f>
        <v/>
      </c>
    </row>
    <row r="3860">
      <c r="A3860" t="inlineStr">
        <is>
          <t>T TAHARI</t>
        </is>
      </c>
      <c r="B3860" t="inlineStr">
        <is>
          <t>124004734</t>
        </is>
      </c>
      <c r="C3860" t="inlineStr">
        <is>
          <t>SYDNEY</t>
        </is>
      </c>
      <c r="D3860" t="inlineStr">
        <is>
          <t>BLK</t>
        </is>
      </c>
      <c r="E3860" t="inlineStr">
        <is>
          <t>(en blanco)</t>
        </is>
      </c>
      <c r="F3860" t="inlineStr">
        <is>
          <t>(en blanco)</t>
        </is>
      </c>
      <c r="G3860" t="inlineStr">
        <is>
          <t>XS</t>
        </is>
      </c>
      <c r="H3860" t="n">
        <v>47</v>
      </c>
      <c r="I3860" t="inlineStr">
        <is>
          <t>T_TAHARI_124004734_BLK_1.jpg</t>
        </is>
      </c>
      <c r="J3860" t="inlineStr">
        <is>
          <t>T_TAHARI_124004734_BLK_2.jpg</t>
        </is>
      </c>
      <c r="K3860" t="inlineStr">
        <is>
          <t>T_TAHARI_124004734_BLK_3.jpg</t>
        </is>
      </c>
      <c r="L3860">
        <f>IMAGE("file:///E:/Estudios%20y%20certificaciones/ESTUDIOS%20DE%20PROGRAMMING/PROGRAMMING/PERSONAL/PYTHON/Image_Generator_API/imagenes/T_TAHARI_124004734_BLK_1.jpg")</f>
        <v/>
      </c>
      <c r="M3860">
        <f>IMAGE("file:///E:/Estudios%20y%20certificaciones/ESTUDIOS%20DE%20PROGRAMMING/PROGRAMMING/PERSONAL/PYTHON/Image_Generator_API/imagenes/T_TAHARI_124004734_BLK_2.jpg")</f>
        <v/>
      </c>
      <c r="N3860">
        <f>IMAGE("file:///E:/Estudios%20y%20certificaciones/ESTUDIOS%20DE%20PROGRAMMING/PROGRAMMING/PERSONAL/PYTHON/Image_Generator_API/imagenes/T_TAHARI_124004734_BLK_3.jpg")</f>
        <v/>
      </c>
      <c r="O3860">
        <f>HYPERLINK("imagenes/T_TAHARI_124004734_BLK_1.jpg","Ver imagen")</f>
        <v/>
      </c>
      <c r="P3860">
        <f>HYPERLINK("imagenes/T_TAHARI_124004734_BLK_2.jpg","Ver imagen")</f>
        <v/>
      </c>
      <c r="Q3860">
        <f>HYPERLINK("imagenes/T_TAHARI_124004734_BLK_3.jpg","Ver imagen")</f>
        <v/>
      </c>
    </row>
    <row r="3861">
      <c r="A3861" t="inlineStr">
        <is>
          <t>T TAHARI</t>
        </is>
      </c>
      <c r="B3861" t="inlineStr">
        <is>
          <t>124004734</t>
        </is>
      </c>
      <c r="C3861" t="inlineStr">
        <is>
          <t>SYDNEY</t>
        </is>
      </c>
      <c r="D3861" t="inlineStr">
        <is>
          <t>BLK</t>
        </is>
      </c>
      <c r="E3861" t="inlineStr">
        <is>
          <t>(en blanco)</t>
        </is>
      </c>
      <c r="F3861" t="inlineStr">
        <is>
          <t>(en blanco)</t>
        </is>
      </c>
      <c r="G3861" t="inlineStr">
        <is>
          <t>S</t>
        </is>
      </c>
      <c r="H3861" t="n">
        <v>170</v>
      </c>
      <c r="I3861" t="inlineStr">
        <is>
          <t>T_TAHARI_124004734_BLK_1.jpg</t>
        </is>
      </c>
      <c r="J3861" t="inlineStr">
        <is>
          <t>T_TAHARI_124004734_BLK_2.jpg</t>
        </is>
      </c>
      <c r="K3861" t="inlineStr">
        <is>
          <t>T_TAHARI_124004734_BLK_3.jpg</t>
        </is>
      </c>
      <c r="L3861">
        <f>IMAGE("file:///E:/Estudios%20y%20certificaciones/ESTUDIOS%20DE%20PROGRAMMING/PROGRAMMING/PERSONAL/PYTHON/Image_Generator_API/imagenes/T_TAHARI_124004734_BLK_1.jpg")</f>
        <v/>
      </c>
      <c r="M3861">
        <f>IMAGE("file:///E:/Estudios%20y%20certificaciones/ESTUDIOS%20DE%20PROGRAMMING/PROGRAMMING/PERSONAL/PYTHON/Image_Generator_API/imagenes/T_TAHARI_124004734_BLK_2.jpg")</f>
        <v/>
      </c>
      <c r="N3861">
        <f>IMAGE("file:///E:/Estudios%20y%20certificaciones/ESTUDIOS%20DE%20PROGRAMMING/PROGRAMMING/PERSONAL/PYTHON/Image_Generator_API/imagenes/T_TAHARI_124004734_BLK_3.jpg")</f>
        <v/>
      </c>
      <c r="O3861">
        <f>HYPERLINK("imagenes/T_TAHARI_124004734_BLK_1.jpg","Ver imagen")</f>
        <v/>
      </c>
      <c r="P3861">
        <f>HYPERLINK("imagenes/T_TAHARI_124004734_BLK_2.jpg","Ver imagen")</f>
        <v/>
      </c>
      <c r="Q3861">
        <f>HYPERLINK("imagenes/T_TAHARI_124004734_BLK_3.jpg","Ver imagen")</f>
        <v/>
      </c>
    </row>
    <row r="3862">
      <c r="A3862" t="inlineStr">
        <is>
          <t>T TAHARI</t>
        </is>
      </c>
      <c r="B3862" t="inlineStr">
        <is>
          <t>124004734</t>
        </is>
      </c>
      <c r="C3862" t="inlineStr">
        <is>
          <t>SYDNEY</t>
        </is>
      </c>
      <c r="D3862" t="inlineStr">
        <is>
          <t>BLK</t>
        </is>
      </c>
      <c r="E3862" t="inlineStr">
        <is>
          <t>(en blanco)</t>
        </is>
      </c>
      <c r="F3862" t="inlineStr">
        <is>
          <t>(en blanco)</t>
        </is>
      </c>
      <c r="G3862" t="inlineStr">
        <is>
          <t>M</t>
        </is>
      </c>
      <c r="H3862" t="n">
        <v>234</v>
      </c>
      <c r="I3862" t="inlineStr">
        <is>
          <t>T_TAHARI_124004734_BLK_1.jpg</t>
        </is>
      </c>
      <c r="J3862" t="inlineStr">
        <is>
          <t>T_TAHARI_124004734_BLK_2.jpg</t>
        </is>
      </c>
      <c r="K3862" t="inlineStr">
        <is>
          <t>T_TAHARI_124004734_BLK_3.jpg</t>
        </is>
      </c>
      <c r="L3862">
        <f>IMAGE("file:///E:/Estudios%20y%20certificaciones/ESTUDIOS%20DE%20PROGRAMMING/PROGRAMMING/PERSONAL/PYTHON/Image_Generator_API/imagenes/T_TAHARI_124004734_BLK_1.jpg")</f>
        <v/>
      </c>
      <c r="M3862">
        <f>IMAGE("file:///E:/Estudios%20y%20certificaciones/ESTUDIOS%20DE%20PROGRAMMING/PROGRAMMING/PERSONAL/PYTHON/Image_Generator_API/imagenes/T_TAHARI_124004734_BLK_2.jpg")</f>
        <v/>
      </c>
      <c r="N3862">
        <f>IMAGE("file:///E:/Estudios%20y%20certificaciones/ESTUDIOS%20DE%20PROGRAMMING/PROGRAMMING/PERSONAL/PYTHON/Image_Generator_API/imagenes/T_TAHARI_124004734_BLK_3.jpg")</f>
        <v/>
      </c>
      <c r="O3862">
        <f>HYPERLINK("imagenes/T_TAHARI_124004734_BLK_1.jpg","Ver imagen")</f>
        <v/>
      </c>
      <c r="P3862">
        <f>HYPERLINK("imagenes/T_TAHARI_124004734_BLK_2.jpg","Ver imagen")</f>
        <v/>
      </c>
      <c r="Q3862">
        <f>HYPERLINK("imagenes/T_TAHARI_124004734_BLK_3.jpg","Ver imagen")</f>
        <v/>
      </c>
    </row>
    <row r="3863">
      <c r="A3863" t="inlineStr">
        <is>
          <t>T TAHARI</t>
        </is>
      </c>
      <c r="B3863" t="inlineStr">
        <is>
          <t>124004734</t>
        </is>
      </c>
      <c r="C3863" t="inlineStr">
        <is>
          <t>SYDNEY</t>
        </is>
      </c>
      <c r="D3863" t="inlineStr">
        <is>
          <t>BLK</t>
        </is>
      </c>
      <c r="E3863" t="inlineStr">
        <is>
          <t>(en blanco)</t>
        </is>
      </c>
      <c r="F3863" t="inlineStr">
        <is>
          <t>(en blanco)</t>
        </is>
      </c>
      <c r="G3863" t="inlineStr">
        <is>
          <t>L</t>
        </is>
      </c>
      <c r="H3863" t="n">
        <v>156</v>
      </c>
      <c r="I3863" t="inlineStr">
        <is>
          <t>T_TAHARI_124004734_BLK_1.jpg</t>
        </is>
      </c>
      <c r="J3863" t="inlineStr">
        <is>
          <t>T_TAHARI_124004734_BLK_2.jpg</t>
        </is>
      </c>
      <c r="K3863" t="inlineStr">
        <is>
          <t>T_TAHARI_124004734_BLK_3.jpg</t>
        </is>
      </c>
      <c r="L3863">
        <f>IMAGE("file:///E:/Estudios%20y%20certificaciones/ESTUDIOS%20DE%20PROGRAMMING/PROGRAMMING/PERSONAL/PYTHON/Image_Generator_API/imagenes/T_TAHARI_124004734_BLK_1.jpg")</f>
        <v/>
      </c>
      <c r="M3863">
        <f>IMAGE("file:///E:/Estudios%20y%20certificaciones/ESTUDIOS%20DE%20PROGRAMMING/PROGRAMMING/PERSONAL/PYTHON/Image_Generator_API/imagenes/T_TAHARI_124004734_BLK_2.jpg")</f>
        <v/>
      </c>
      <c r="N3863">
        <f>IMAGE("file:///E:/Estudios%20y%20certificaciones/ESTUDIOS%20DE%20PROGRAMMING/PROGRAMMING/PERSONAL/PYTHON/Image_Generator_API/imagenes/T_TAHARI_124004734_BLK_3.jpg")</f>
        <v/>
      </c>
      <c r="O3863">
        <f>HYPERLINK("imagenes/T_TAHARI_124004734_BLK_1.jpg","Ver imagen")</f>
        <v/>
      </c>
      <c r="P3863">
        <f>HYPERLINK("imagenes/T_TAHARI_124004734_BLK_2.jpg","Ver imagen")</f>
        <v/>
      </c>
      <c r="Q3863">
        <f>HYPERLINK("imagenes/T_TAHARI_124004734_BLK_3.jpg","Ver imagen")</f>
        <v/>
      </c>
    </row>
    <row r="3864">
      <c r="A3864" t="inlineStr">
        <is>
          <t>T TAHARI</t>
        </is>
      </c>
      <c r="B3864" t="inlineStr">
        <is>
          <t>124004734</t>
        </is>
      </c>
      <c r="C3864" t="inlineStr">
        <is>
          <t>SYDNEY</t>
        </is>
      </c>
      <c r="D3864" t="inlineStr">
        <is>
          <t>BLK</t>
        </is>
      </c>
      <c r="E3864" t="inlineStr">
        <is>
          <t>(en blanco)</t>
        </is>
      </c>
      <c r="F3864" t="inlineStr">
        <is>
          <t>(en blanco)</t>
        </is>
      </c>
      <c r="G3864" t="inlineStr">
        <is>
          <t>XL</t>
        </is>
      </c>
      <c r="H3864" t="n">
        <v>72</v>
      </c>
      <c r="I3864" t="inlineStr">
        <is>
          <t>T_TAHARI_124004734_BLK_1.jpg</t>
        </is>
      </c>
      <c r="J3864" t="inlineStr">
        <is>
          <t>T_TAHARI_124004734_BLK_2.jpg</t>
        </is>
      </c>
      <c r="K3864" t="inlineStr">
        <is>
          <t>T_TAHARI_124004734_BLK_3.jpg</t>
        </is>
      </c>
      <c r="L3864">
        <f>IMAGE("file:///E:/Estudios%20y%20certificaciones/ESTUDIOS%20DE%20PROGRAMMING/PROGRAMMING/PERSONAL/PYTHON/Image_Generator_API/imagenes/T_TAHARI_124004734_BLK_1.jpg")</f>
        <v/>
      </c>
      <c r="M3864">
        <f>IMAGE("file:///E:/Estudios%20y%20certificaciones/ESTUDIOS%20DE%20PROGRAMMING/PROGRAMMING/PERSONAL/PYTHON/Image_Generator_API/imagenes/T_TAHARI_124004734_BLK_2.jpg")</f>
        <v/>
      </c>
      <c r="N3864">
        <f>IMAGE("file:///E:/Estudios%20y%20certificaciones/ESTUDIOS%20DE%20PROGRAMMING/PROGRAMMING/PERSONAL/PYTHON/Image_Generator_API/imagenes/T_TAHARI_124004734_BLK_3.jpg")</f>
        <v/>
      </c>
      <c r="O3864">
        <f>HYPERLINK("imagenes/T_TAHARI_124004734_BLK_1.jpg","Ver imagen")</f>
        <v/>
      </c>
      <c r="P3864">
        <f>HYPERLINK("imagenes/T_TAHARI_124004734_BLK_2.jpg","Ver imagen")</f>
        <v/>
      </c>
      <c r="Q3864">
        <f>HYPERLINK("imagenes/T_TAHARI_124004734_BLK_3.jpg","Ver imagen")</f>
        <v/>
      </c>
    </row>
    <row r="3865">
      <c r="A3865" t="inlineStr">
        <is>
          <t>T TAHARI</t>
        </is>
      </c>
      <c r="B3865" t="inlineStr">
        <is>
          <t>124004734</t>
        </is>
      </c>
      <c r="C3865" t="inlineStr">
        <is>
          <t>SYDNEY</t>
        </is>
      </c>
      <c r="D3865" t="inlineStr">
        <is>
          <t>CAM</t>
        </is>
      </c>
      <c r="E3865" t="inlineStr">
        <is>
          <t>(en blanco)</t>
        </is>
      </c>
      <c r="F3865" t="inlineStr">
        <is>
          <t>D2C</t>
        </is>
      </c>
      <c r="G3865" t="inlineStr">
        <is>
          <t>XS</t>
        </is>
      </c>
      <c r="H3865" t="n">
        <v>6</v>
      </c>
      <c r="I3865" t="inlineStr">
        <is>
          <t>T_TAHARI_124004734_CAM_1.jpg</t>
        </is>
      </c>
      <c r="J3865" t="inlineStr">
        <is>
          <t>T_TAHARI_124004734_CAM_2.jpg</t>
        </is>
      </c>
      <c r="K3865" t="inlineStr">
        <is>
          <t>T_TAHARI_124004734_CAM_3.jpg</t>
        </is>
      </c>
      <c r="L3865">
        <f>IMAGE("file:///E:/Estudios%20y%20certificaciones/ESTUDIOS%20DE%20PROGRAMMING/PROGRAMMING/PERSONAL/PYTHON/Image_Generator_API/imagenes/T_TAHARI_124004734_CAM_1.jpg")</f>
        <v/>
      </c>
      <c r="M3865">
        <f>IMAGE("file:///E:/Estudios%20y%20certificaciones/ESTUDIOS%20DE%20PROGRAMMING/PROGRAMMING/PERSONAL/PYTHON/Image_Generator_API/imagenes/T_TAHARI_124004734_CAM_2.jpg")</f>
        <v/>
      </c>
      <c r="N3865">
        <f>IMAGE("file:///E:/Estudios%20y%20certificaciones/ESTUDIOS%20DE%20PROGRAMMING/PROGRAMMING/PERSONAL/PYTHON/Image_Generator_API/imagenes/T_TAHARI_124004734_CAM_3.jpg")</f>
        <v/>
      </c>
      <c r="O3865">
        <f>HYPERLINK("imagenes/T_TAHARI_124004734_CAM_1.jpg","Ver imagen")</f>
        <v/>
      </c>
      <c r="P3865">
        <f>HYPERLINK("imagenes/T_TAHARI_124004734_CAM_2.jpg","Ver imagen")</f>
        <v/>
      </c>
      <c r="Q3865">
        <f>HYPERLINK("imagenes/T_TAHARI_124004734_CAM_3.jpg","Ver imagen")</f>
        <v/>
      </c>
    </row>
    <row r="3866">
      <c r="A3866" t="inlineStr">
        <is>
          <t>T TAHARI</t>
        </is>
      </c>
      <c r="B3866" t="inlineStr">
        <is>
          <t>124004734</t>
        </is>
      </c>
      <c r="C3866" t="inlineStr">
        <is>
          <t>SYDNEY</t>
        </is>
      </c>
      <c r="D3866" t="inlineStr">
        <is>
          <t>CAM</t>
        </is>
      </c>
      <c r="E3866" t="inlineStr">
        <is>
          <t>(en blanco)</t>
        </is>
      </c>
      <c r="F3866" t="inlineStr">
        <is>
          <t>D2C</t>
        </is>
      </c>
      <c r="G3866" t="inlineStr">
        <is>
          <t>S</t>
        </is>
      </c>
      <c r="H3866" t="n">
        <v>15</v>
      </c>
      <c r="I3866" t="inlineStr">
        <is>
          <t>T_TAHARI_124004734_CAM_1.jpg</t>
        </is>
      </c>
      <c r="J3866" t="inlineStr">
        <is>
          <t>T_TAHARI_124004734_CAM_2.jpg</t>
        </is>
      </c>
      <c r="K3866" t="inlineStr">
        <is>
          <t>T_TAHARI_124004734_CAM_3.jpg</t>
        </is>
      </c>
      <c r="L3866">
        <f>IMAGE("file:///E:/Estudios%20y%20certificaciones/ESTUDIOS%20DE%20PROGRAMMING/PROGRAMMING/PERSONAL/PYTHON/Image_Generator_API/imagenes/T_TAHARI_124004734_CAM_1.jpg")</f>
        <v/>
      </c>
      <c r="M3866">
        <f>IMAGE("file:///E:/Estudios%20y%20certificaciones/ESTUDIOS%20DE%20PROGRAMMING/PROGRAMMING/PERSONAL/PYTHON/Image_Generator_API/imagenes/T_TAHARI_124004734_CAM_2.jpg")</f>
        <v/>
      </c>
      <c r="N3866">
        <f>IMAGE("file:///E:/Estudios%20y%20certificaciones/ESTUDIOS%20DE%20PROGRAMMING/PROGRAMMING/PERSONAL/PYTHON/Image_Generator_API/imagenes/T_TAHARI_124004734_CAM_3.jpg")</f>
        <v/>
      </c>
      <c r="O3866">
        <f>HYPERLINK("imagenes/T_TAHARI_124004734_CAM_1.jpg","Ver imagen")</f>
        <v/>
      </c>
      <c r="P3866">
        <f>HYPERLINK("imagenes/T_TAHARI_124004734_CAM_2.jpg","Ver imagen")</f>
        <v/>
      </c>
      <c r="Q3866">
        <f>HYPERLINK("imagenes/T_TAHARI_124004734_CAM_3.jpg","Ver imagen")</f>
        <v/>
      </c>
    </row>
    <row r="3867">
      <c r="A3867" t="inlineStr">
        <is>
          <t>T TAHARI</t>
        </is>
      </c>
      <c r="B3867" t="inlineStr">
        <is>
          <t>124004734</t>
        </is>
      </c>
      <c r="C3867" t="inlineStr">
        <is>
          <t>SYDNEY</t>
        </is>
      </c>
      <c r="D3867" t="inlineStr">
        <is>
          <t>CAM</t>
        </is>
      </c>
      <c r="E3867" t="inlineStr">
        <is>
          <t>(en blanco)</t>
        </is>
      </c>
      <c r="F3867" t="inlineStr">
        <is>
          <t>D2C</t>
        </is>
      </c>
      <c r="G3867" t="inlineStr">
        <is>
          <t>M</t>
        </is>
      </c>
      <c r="H3867" t="n">
        <v>12</v>
      </c>
      <c r="I3867" t="inlineStr">
        <is>
          <t>T_TAHARI_124004734_CAM_1.jpg</t>
        </is>
      </c>
      <c r="J3867" t="inlineStr">
        <is>
          <t>T_TAHARI_124004734_CAM_2.jpg</t>
        </is>
      </c>
      <c r="K3867" t="inlineStr">
        <is>
          <t>T_TAHARI_124004734_CAM_3.jpg</t>
        </is>
      </c>
      <c r="L3867">
        <f>IMAGE("file:///E:/Estudios%20y%20certificaciones/ESTUDIOS%20DE%20PROGRAMMING/PROGRAMMING/PERSONAL/PYTHON/Image_Generator_API/imagenes/T_TAHARI_124004734_CAM_1.jpg")</f>
        <v/>
      </c>
      <c r="M3867">
        <f>IMAGE("file:///E:/Estudios%20y%20certificaciones/ESTUDIOS%20DE%20PROGRAMMING/PROGRAMMING/PERSONAL/PYTHON/Image_Generator_API/imagenes/T_TAHARI_124004734_CAM_2.jpg")</f>
        <v/>
      </c>
      <c r="N3867">
        <f>IMAGE("file:///E:/Estudios%20y%20certificaciones/ESTUDIOS%20DE%20PROGRAMMING/PROGRAMMING/PERSONAL/PYTHON/Image_Generator_API/imagenes/T_TAHARI_124004734_CAM_3.jpg")</f>
        <v/>
      </c>
      <c r="O3867">
        <f>HYPERLINK("imagenes/T_TAHARI_124004734_CAM_1.jpg","Ver imagen")</f>
        <v/>
      </c>
      <c r="P3867">
        <f>HYPERLINK("imagenes/T_TAHARI_124004734_CAM_2.jpg","Ver imagen")</f>
        <v/>
      </c>
      <c r="Q3867">
        <f>HYPERLINK("imagenes/T_TAHARI_124004734_CAM_3.jpg","Ver imagen")</f>
        <v/>
      </c>
    </row>
    <row r="3868">
      <c r="A3868" t="inlineStr">
        <is>
          <t>T TAHARI</t>
        </is>
      </c>
      <c r="B3868" t="inlineStr">
        <is>
          <t>124004734</t>
        </is>
      </c>
      <c r="C3868" t="inlineStr">
        <is>
          <t>SYDNEY</t>
        </is>
      </c>
      <c r="D3868" t="inlineStr">
        <is>
          <t>CAM</t>
        </is>
      </c>
      <c r="E3868" t="inlineStr">
        <is>
          <t>(en blanco)</t>
        </is>
      </c>
      <c r="F3868" t="inlineStr">
        <is>
          <t>D2C</t>
        </is>
      </c>
      <c r="G3868" t="inlineStr">
        <is>
          <t>L</t>
        </is>
      </c>
      <c r="H3868" t="n">
        <v>12</v>
      </c>
      <c r="I3868" t="inlineStr">
        <is>
          <t>T_TAHARI_124004734_CAM_1.jpg</t>
        </is>
      </c>
      <c r="J3868" t="inlineStr">
        <is>
          <t>T_TAHARI_124004734_CAM_2.jpg</t>
        </is>
      </c>
      <c r="K3868" t="inlineStr">
        <is>
          <t>T_TAHARI_124004734_CAM_3.jpg</t>
        </is>
      </c>
      <c r="L3868">
        <f>IMAGE("file:///E:/Estudios%20y%20certificaciones/ESTUDIOS%20DE%20PROGRAMMING/PROGRAMMING/PERSONAL/PYTHON/Image_Generator_API/imagenes/T_TAHARI_124004734_CAM_1.jpg")</f>
        <v/>
      </c>
      <c r="M3868">
        <f>IMAGE("file:///E:/Estudios%20y%20certificaciones/ESTUDIOS%20DE%20PROGRAMMING/PROGRAMMING/PERSONAL/PYTHON/Image_Generator_API/imagenes/T_TAHARI_124004734_CAM_2.jpg")</f>
        <v/>
      </c>
      <c r="N3868">
        <f>IMAGE("file:///E:/Estudios%20y%20certificaciones/ESTUDIOS%20DE%20PROGRAMMING/PROGRAMMING/PERSONAL/PYTHON/Image_Generator_API/imagenes/T_TAHARI_124004734_CAM_3.jpg")</f>
        <v/>
      </c>
      <c r="O3868">
        <f>HYPERLINK("imagenes/T_TAHARI_124004734_CAM_1.jpg","Ver imagen")</f>
        <v/>
      </c>
      <c r="P3868">
        <f>HYPERLINK("imagenes/T_TAHARI_124004734_CAM_2.jpg","Ver imagen")</f>
        <v/>
      </c>
      <c r="Q3868">
        <f>HYPERLINK("imagenes/T_TAHARI_124004734_CAM_3.jpg","Ver imagen")</f>
        <v/>
      </c>
    </row>
    <row r="3869">
      <c r="A3869" t="inlineStr">
        <is>
          <t>T TAHARI</t>
        </is>
      </c>
      <c r="B3869" t="inlineStr">
        <is>
          <t>124004734</t>
        </is>
      </c>
      <c r="C3869" t="inlineStr">
        <is>
          <t>SYDNEY</t>
        </is>
      </c>
      <c r="D3869" t="inlineStr">
        <is>
          <t>CAM</t>
        </is>
      </c>
      <c r="E3869" t="inlineStr">
        <is>
          <t>(en blanco)</t>
        </is>
      </c>
      <c r="F3869" t="inlineStr">
        <is>
          <t>D2C</t>
        </is>
      </c>
      <c r="G3869" t="inlineStr">
        <is>
          <t>XL</t>
        </is>
      </c>
      <c r="H3869" t="n">
        <v>4</v>
      </c>
      <c r="I3869" t="inlineStr">
        <is>
          <t>T_TAHARI_124004734_CAM_1.jpg</t>
        </is>
      </c>
      <c r="J3869" t="inlineStr">
        <is>
          <t>T_TAHARI_124004734_CAM_2.jpg</t>
        </is>
      </c>
      <c r="K3869" t="inlineStr">
        <is>
          <t>T_TAHARI_124004734_CAM_3.jpg</t>
        </is>
      </c>
      <c r="L3869">
        <f>IMAGE("file:///E:/Estudios%20y%20certificaciones/ESTUDIOS%20DE%20PROGRAMMING/PROGRAMMING/PERSONAL/PYTHON/Image_Generator_API/imagenes/T_TAHARI_124004734_CAM_1.jpg")</f>
        <v/>
      </c>
      <c r="M3869">
        <f>IMAGE("file:///E:/Estudios%20y%20certificaciones/ESTUDIOS%20DE%20PROGRAMMING/PROGRAMMING/PERSONAL/PYTHON/Image_Generator_API/imagenes/T_TAHARI_124004734_CAM_2.jpg")</f>
        <v/>
      </c>
      <c r="N3869">
        <f>IMAGE("file:///E:/Estudios%20y%20certificaciones/ESTUDIOS%20DE%20PROGRAMMING/PROGRAMMING/PERSONAL/PYTHON/Image_Generator_API/imagenes/T_TAHARI_124004734_CAM_3.jpg")</f>
        <v/>
      </c>
      <c r="O3869">
        <f>HYPERLINK("imagenes/T_TAHARI_124004734_CAM_1.jpg","Ver imagen")</f>
        <v/>
      </c>
      <c r="P3869">
        <f>HYPERLINK("imagenes/T_TAHARI_124004734_CAM_2.jpg","Ver imagen")</f>
        <v/>
      </c>
      <c r="Q3869">
        <f>HYPERLINK("imagenes/T_TAHARI_124004734_CAM_3.jpg","Ver imagen")</f>
        <v/>
      </c>
    </row>
    <row r="3870">
      <c r="A3870" t="inlineStr">
        <is>
          <t>T TAHARI</t>
        </is>
      </c>
      <c r="B3870" t="inlineStr">
        <is>
          <t>124004734</t>
        </is>
      </c>
      <c r="C3870" t="inlineStr">
        <is>
          <t>SYDNEY</t>
        </is>
      </c>
      <c r="D3870" t="inlineStr">
        <is>
          <t>CAM</t>
        </is>
      </c>
      <c r="E3870" t="inlineStr">
        <is>
          <t>(en blanco)</t>
        </is>
      </c>
      <c r="F3870" t="inlineStr">
        <is>
          <t>(en blanco)</t>
        </is>
      </c>
      <c r="G3870" t="inlineStr">
        <is>
          <t>XS</t>
        </is>
      </c>
      <c r="H3870" t="n">
        <v>74</v>
      </c>
      <c r="I3870" t="inlineStr">
        <is>
          <t>T_TAHARI_124004734_CAM_1.jpg</t>
        </is>
      </c>
      <c r="J3870" t="inlineStr">
        <is>
          <t>T_TAHARI_124004734_CAM_2.jpg</t>
        </is>
      </c>
      <c r="K3870" t="inlineStr">
        <is>
          <t>T_TAHARI_124004734_CAM_3.jpg</t>
        </is>
      </c>
      <c r="L3870">
        <f>IMAGE("file:///E:/Estudios%20y%20certificaciones/ESTUDIOS%20DE%20PROGRAMMING/PROGRAMMING/PERSONAL/PYTHON/Image_Generator_API/imagenes/T_TAHARI_124004734_CAM_1.jpg")</f>
        <v/>
      </c>
      <c r="M3870">
        <f>IMAGE("file:///E:/Estudios%20y%20certificaciones/ESTUDIOS%20DE%20PROGRAMMING/PROGRAMMING/PERSONAL/PYTHON/Image_Generator_API/imagenes/T_TAHARI_124004734_CAM_2.jpg")</f>
        <v/>
      </c>
      <c r="N3870">
        <f>IMAGE("file:///E:/Estudios%20y%20certificaciones/ESTUDIOS%20DE%20PROGRAMMING/PROGRAMMING/PERSONAL/PYTHON/Image_Generator_API/imagenes/T_TAHARI_124004734_CAM_3.jpg")</f>
        <v/>
      </c>
      <c r="O3870">
        <f>HYPERLINK("imagenes/T_TAHARI_124004734_CAM_1.jpg","Ver imagen")</f>
        <v/>
      </c>
      <c r="P3870">
        <f>HYPERLINK("imagenes/T_TAHARI_124004734_CAM_2.jpg","Ver imagen")</f>
        <v/>
      </c>
      <c r="Q3870">
        <f>HYPERLINK("imagenes/T_TAHARI_124004734_CAM_3.jpg","Ver imagen")</f>
        <v/>
      </c>
    </row>
    <row r="3871">
      <c r="A3871" t="inlineStr">
        <is>
          <t>T TAHARI</t>
        </is>
      </c>
      <c r="B3871" t="inlineStr">
        <is>
          <t>124004734</t>
        </is>
      </c>
      <c r="C3871" t="inlineStr">
        <is>
          <t>SYDNEY</t>
        </is>
      </c>
      <c r="D3871" t="inlineStr">
        <is>
          <t>CAM</t>
        </is>
      </c>
      <c r="E3871" t="inlineStr">
        <is>
          <t>(en blanco)</t>
        </is>
      </c>
      <c r="F3871" t="inlineStr">
        <is>
          <t>(en blanco)</t>
        </is>
      </c>
      <c r="G3871" t="inlineStr">
        <is>
          <t>S</t>
        </is>
      </c>
      <c r="H3871" t="n">
        <v>139</v>
      </c>
      <c r="I3871" t="inlineStr">
        <is>
          <t>T_TAHARI_124004734_CAM_1.jpg</t>
        </is>
      </c>
      <c r="J3871" t="inlineStr">
        <is>
          <t>T_TAHARI_124004734_CAM_2.jpg</t>
        </is>
      </c>
      <c r="K3871" t="inlineStr">
        <is>
          <t>T_TAHARI_124004734_CAM_3.jpg</t>
        </is>
      </c>
      <c r="L3871">
        <f>IMAGE("file:///E:/Estudios%20y%20certificaciones/ESTUDIOS%20DE%20PROGRAMMING/PROGRAMMING/PERSONAL/PYTHON/Image_Generator_API/imagenes/T_TAHARI_124004734_CAM_1.jpg")</f>
        <v/>
      </c>
      <c r="M3871">
        <f>IMAGE("file:///E:/Estudios%20y%20certificaciones/ESTUDIOS%20DE%20PROGRAMMING/PROGRAMMING/PERSONAL/PYTHON/Image_Generator_API/imagenes/T_TAHARI_124004734_CAM_2.jpg")</f>
        <v/>
      </c>
      <c r="N3871">
        <f>IMAGE("file:///E:/Estudios%20y%20certificaciones/ESTUDIOS%20DE%20PROGRAMMING/PROGRAMMING/PERSONAL/PYTHON/Image_Generator_API/imagenes/T_TAHARI_124004734_CAM_3.jpg")</f>
        <v/>
      </c>
      <c r="O3871">
        <f>HYPERLINK("imagenes/T_TAHARI_124004734_CAM_1.jpg","Ver imagen")</f>
        <v/>
      </c>
      <c r="P3871">
        <f>HYPERLINK("imagenes/T_TAHARI_124004734_CAM_2.jpg","Ver imagen")</f>
        <v/>
      </c>
      <c r="Q3871">
        <f>HYPERLINK("imagenes/T_TAHARI_124004734_CAM_3.jpg","Ver imagen")</f>
        <v/>
      </c>
    </row>
    <row r="3872">
      <c r="A3872" t="inlineStr">
        <is>
          <t>T TAHARI</t>
        </is>
      </c>
      <c r="B3872" t="inlineStr">
        <is>
          <t>124004734</t>
        </is>
      </c>
      <c r="C3872" t="inlineStr">
        <is>
          <t>SYDNEY</t>
        </is>
      </c>
      <c r="D3872" t="inlineStr">
        <is>
          <t>CAM</t>
        </is>
      </c>
      <c r="E3872" t="inlineStr">
        <is>
          <t>(en blanco)</t>
        </is>
      </c>
      <c r="F3872" t="inlineStr">
        <is>
          <t>(en blanco)</t>
        </is>
      </c>
      <c r="G3872" t="inlineStr">
        <is>
          <t>M</t>
        </is>
      </c>
      <c r="H3872" t="n">
        <v>219</v>
      </c>
      <c r="I3872" t="inlineStr">
        <is>
          <t>T_TAHARI_124004734_CAM_1.jpg</t>
        </is>
      </c>
      <c r="J3872" t="inlineStr">
        <is>
          <t>T_TAHARI_124004734_CAM_2.jpg</t>
        </is>
      </c>
      <c r="K3872" t="inlineStr">
        <is>
          <t>T_TAHARI_124004734_CAM_3.jpg</t>
        </is>
      </c>
      <c r="L3872">
        <f>IMAGE("file:///E:/Estudios%20y%20certificaciones/ESTUDIOS%20DE%20PROGRAMMING/PROGRAMMING/PERSONAL/PYTHON/Image_Generator_API/imagenes/T_TAHARI_124004734_CAM_1.jpg")</f>
        <v/>
      </c>
      <c r="M3872">
        <f>IMAGE("file:///E:/Estudios%20y%20certificaciones/ESTUDIOS%20DE%20PROGRAMMING/PROGRAMMING/PERSONAL/PYTHON/Image_Generator_API/imagenes/T_TAHARI_124004734_CAM_2.jpg")</f>
        <v/>
      </c>
      <c r="N3872">
        <f>IMAGE("file:///E:/Estudios%20y%20certificaciones/ESTUDIOS%20DE%20PROGRAMMING/PROGRAMMING/PERSONAL/PYTHON/Image_Generator_API/imagenes/T_TAHARI_124004734_CAM_3.jpg")</f>
        <v/>
      </c>
      <c r="O3872">
        <f>HYPERLINK("imagenes/T_TAHARI_124004734_CAM_1.jpg","Ver imagen")</f>
        <v/>
      </c>
      <c r="P3872">
        <f>HYPERLINK("imagenes/T_TAHARI_124004734_CAM_2.jpg","Ver imagen")</f>
        <v/>
      </c>
      <c r="Q3872">
        <f>HYPERLINK("imagenes/T_TAHARI_124004734_CAM_3.jpg","Ver imagen")</f>
        <v/>
      </c>
    </row>
    <row r="3873">
      <c r="A3873" t="inlineStr">
        <is>
          <t>T TAHARI</t>
        </is>
      </c>
      <c r="B3873" t="inlineStr">
        <is>
          <t>124004734</t>
        </is>
      </c>
      <c r="C3873" t="inlineStr">
        <is>
          <t>SYDNEY</t>
        </is>
      </c>
      <c r="D3873" t="inlineStr">
        <is>
          <t>CAM</t>
        </is>
      </c>
      <c r="E3873" t="inlineStr">
        <is>
          <t>(en blanco)</t>
        </is>
      </c>
      <c r="F3873" t="inlineStr">
        <is>
          <t>(en blanco)</t>
        </is>
      </c>
      <c r="G3873" t="inlineStr">
        <is>
          <t>L</t>
        </is>
      </c>
      <c r="H3873" t="n">
        <v>145</v>
      </c>
      <c r="I3873" t="inlineStr">
        <is>
          <t>T_TAHARI_124004734_CAM_1.jpg</t>
        </is>
      </c>
      <c r="J3873" t="inlineStr">
        <is>
          <t>T_TAHARI_124004734_CAM_2.jpg</t>
        </is>
      </c>
      <c r="K3873" t="inlineStr">
        <is>
          <t>T_TAHARI_124004734_CAM_3.jpg</t>
        </is>
      </c>
      <c r="L3873">
        <f>IMAGE("file:///E:/Estudios%20y%20certificaciones/ESTUDIOS%20DE%20PROGRAMMING/PROGRAMMING/PERSONAL/PYTHON/Image_Generator_API/imagenes/T_TAHARI_124004734_CAM_1.jpg")</f>
        <v/>
      </c>
      <c r="M3873">
        <f>IMAGE("file:///E:/Estudios%20y%20certificaciones/ESTUDIOS%20DE%20PROGRAMMING/PROGRAMMING/PERSONAL/PYTHON/Image_Generator_API/imagenes/T_TAHARI_124004734_CAM_2.jpg")</f>
        <v/>
      </c>
      <c r="N3873">
        <f>IMAGE("file:///E:/Estudios%20y%20certificaciones/ESTUDIOS%20DE%20PROGRAMMING/PROGRAMMING/PERSONAL/PYTHON/Image_Generator_API/imagenes/T_TAHARI_124004734_CAM_3.jpg")</f>
        <v/>
      </c>
      <c r="O3873">
        <f>HYPERLINK("imagenes/T_TAHARI_124004734_CAM_1.jpg","Ver imagen")</f>
        <v/>
      </c>
      <c r="P3873">
        <f>HYPERLINK("imagenes/T_TAHARI_124004734_CAM_2.jpg","Ver imagen")</f>
        <v/>
      </c>
      <c r="Q3873">
        <f>HYPERLINK("imagenes/T_TAHARI_124004734_CAM_3.jpg","Ver imagen")</f>
        <v/>
      </c>
    </row>
    <row r="3874">
      <c r="A3874" t="inlineStr">
        <is>
          <t>T TAHARI</t>
        </is>
      </c>
      <c r="B3874" t="inlineStr">
        <is>
          <t>124004734</t>
        </is>
      </c>
      <c r="C3874" t="inlineStr">
        <is>
          <t>SYDNEY</t>
        </is>
      </c>
      <c r="D3874" t="inlineStr">
        <is>
          <t>CAM</t>
        </is>
      </c>
      <c r="E3874" t="inlineStr">
        <is>
          <t>(en blanco)</t>
        </is>
      </c>
      <c r="F3874" t="inlineStr">
        <is>
          <t>(en blanco)</t>
        </is>
      </c>
      <c r="G3874" t="inlineStr">
        <is>
          <t>XL</t>
        </is>
      </c>
      <c r="H3874" t="n">
        <v>82</v>
      </c>
      <c r="I3874" t="inlineStr">
        <is>
          <t>T_TAHARI_124004734_CAM_1.jpg</t>
        </is>
      </c>
      <c r="J3874" t="inlineStr">
        <is>
          <t>T_TAHARI_124004734_CAM_2.jpg</t>
        </is>
      </c>
      <c r="K3874" t="inlineStr">
        <is>
          <t>T_TAHARI_124004734_CAM_3.jpg</t>
        </is>
      </c>
      <c r="L3874">
        <f>IMAGE("file:///E:/Estudios%20y%20certificaciones/ESTUDIOS%20DE%20PROGRAMMING/PROGRAMMING/PERSONAL/PYTHON/Image_Generator_API/imagenes/T_TAHARI_124004734_CAM_1.jpg")</f>
        <v/>
      </c>
      <c r="M3874">
        <f>IMAGE("file:///E:/Estudios%20y%20certificaciones/ESTUDIOS%20DE%20PROGRAMMING/PROGRAMMING/PERSONAL/PYTHON/Image_Generator_API/imagenes/T_TAHARI_124004734_CAM_2.jpg")</f>
        <v/>
      </c>
      <c r="N3874">
        <f>IMAGE("file:///E:/Estudios%20y%20certificaciones/ESTUDIOS%20DE%20PROGRAMMING/PROGRAMMING/PERSONAL/PYTHON/Image_Generator_API/imagenes/T_TAHARI_124004734_CAM_3.jpg")</f>
        <v/>
      </c>
      <c r="O3874">
        <f>HYPERLINK("imagenes/T_TAHARI_124004734_CAM_1.jpg","Ver imagen")</f>
        <v/>
      </c>
      <c r="P3874">
        <f>HYPERLINK("imagenes/T_TAHARI_124004734_CAM_2.jpg","Ver imagen")</f>
        <v/>
      </c>
      <c r="Q3874">
        <f>HYPERLINK("imagenes/T_TAHARI_124004734_CAM_3.jpg","Ver imagen")</f>
        <v/>
      </c>
    </row>
    <row r="3875">
      <c r="A3875" t="inlineStr">
        <is>
          <t>T TAHARI</t>
        </is>
      </c>
      <c r="B3875" t="inlineStr">
        <is>
          <t>124004734</t>
        </is>
      </c>
      <c r="C3875" t="inlineStr">
        <is>
          <t>SYDNEY</t>
        </is>
      </c>
      <c r="D3875" t="inlineStr">
        <is>
          <t>OLI</t>
        </is>
      </c>
      <c r="E3875" t="inlineStr">
        <is>
          <t>(en blanco)</t>
        </is>
      </c>
      <c r="F3875" t="inlineStr">
        <is>
          <t>D2C</t>
        </is>
      </c>
      <c r="G3875" t="inlineStr">
        <is>
          <t>XS</t>
        </is>
      </c>
      <c r="H3875" t="n">
        <v>7</v>
      </c>
      <c r="I3875" t="inlineStr">
        <is>
          <t>T_TAHARI_124004734_OLI_1.jpg</t>
        </is>
      </c>
      <c r="J3875" t="inlineStr">
        <is>
          <t>T_TAHARI_124004734_OLI_2.jpg</t>
        </is>
      </c>
      <c r="K3875" t="inlineStr">
        <is>
          <t>T_TAHARI_124004734_OLI_3.jpg</t>
        </is>
      </c>
      <c r="L3875">
        <f>IMAGE("file:///E:/Estudios%20y%20certificaciones/ESTUDIOS%20DE%20PROGRAMMING/PROGRAMMING/PERSONAL/PYTHON/Image_Generator_API/imagenes/T_TAHARI_124004734_OLI_1.jpg")</f>
        <v/>
      </c>
      <c r="M3875">
        <f>IMAGE("file:///E:/Estudios%20y%20certificaciones/ESTUDIOS%20DE%20PROGRAMMING/PROGRAMMING/PERSONAL/PYTHON/Image_Generator_API/imagenes/T_TAHARI_124004734_OLI_2.jpg")</f>
        <v/>
      </c>
      <c r="N3875">
        <f>IMAGE("file:///E:/Estudios%20y%20certificaciones/ESTUDIOS%20DE%20PROGRAMMING/PROGRAMMING/PERSONAL/PYTHON/Image_Generator_API/imagenes/T_TAHARI_124004734_OLI_3.jpg")</f>
        <v/>
      </c>
      <c r="O3875">
        <f>HYPERLINK("imagenes/T_TAHARI_124004734_OLI_1.jpg","Ver imagen")</f>
        <v/>
      </c>
      <c r="P3875">
        <f>HYPERLINK("imagenes/T_TAHARI_124004734_OLI_2.jpg","Ver imagen")</f>
        <v/>
      </c>
      <c r="Q3875">
        <f>HYPERLINK("imagenes/T_TAHARI_124004734_OLI_3.jpg","Ver imagen")</f>
        <v/>
      </c>
    </row>
    <row r="3876">
      <c r="A3876" t="inlineStr">
        <is>
          <t>T TAHARI</t>
        </is>
      </c>
      <c r="B3876" t="inlineStr">
        <is>
          <t>124004734</t>
        </is>
      </c>
      <c r="C3876" t="inlineStr">
        <is>
          <t>SYDNEY</t>
        </is>
      </c>
      <c r="D3876" t="inlineStr">
        <is>
          <t>OLI</t>
        </is>
      </c>
      <c r="E3876" t="inlineStr">
        <is>
          <t>(en blanco)</t>
        </is>
      </c>
      <c r="F3876" t="inlineStr">
        <is>
          <t>D2C</t>
        </is>
      </c>
      <c r="G3876" t="inlineStr">
        <is>
          <t>S</t>
        </is>
      </c>
      <c r="H3876" t="n">
        <v>12</v>
      </c>
      <c r="I3876" t="inlineStr">
        <is>
          <t>T_TAHARI_124004734_OLI_1.jpg</t>
        </is>
      </c>
      <c r="J3876" t="inlineStr">
        <is>
          <t>T_TAHARI_124004734_OLI_2.jpg</t>
        </is>
      </c>
      <c r="K3876" t="inlineStr">
        <is>
          <t>T_TAHARI_124004734_OLI_3.jpg</t>
        </is>
      </c>
      <c r="L3876">
        <f>IMAGE("file:///E:/Estudios%20y%20certificaciones/ESTUDIOS%20DE%20PROGRAMMING/PROGRAMMING/PERSONAL/PYTHON/Image_Generator_API/imagenes/T_TAHARI_124004734_OLI_1.jpg")</f>
        <v/>
      </c>
      <c r="M3876">
        <f>IMAGE("file:///E:/Estudios%20y%20certificaciones/ESTUDIOS%20DE%20PROGRAMMING/PROGRAMMING/PERSONAL/PYTHON/Image_Generator_API/imagenes/T_TAHARI_124004734_OLI_2.jpg")</f>
        <v/>
      </c>
      <c r="N3876">
        <f>IMAGE("file:///E:/Estudios%20y%20certificaciones/ESTUDIOS%20DE%20PROGRAMMING/PROGRAMMING/PERSONAL/PYTHON/Image_Generator_API/imagenes/T_TAHARI_124004734_OLI_3.jpg")</f>
        <v/>
      </c>
      <c r="O3876">
        <f>HYPERLINK("imagenes/T_TAHARI_124004734_OLI_1.jpg","Ver imagen")</f>
        <v/>
      </c>
      <c r="P3876">
        <f>HYPERLINK("imagenes/T_TAHARI_124004734_OLI_2.jpg","Ver imagen")</f>
        <v/>
      </c>
      <c r="Q3876">
        <f>HYPERLINK("imagenes/T_TAHARI_124004734_OLI_3.jpg","Ver imagen")</f>
        <v/>
      </c>
    </row>
    <row r="3877">
      <c r="A3877" t="inlineStr">
        <is>
          <t>T TAHARI</t>
        </is>
      </c>
      <c r="B3877" t="inlineStr">
        <is>
          <t>124004734</t>
        </is>
      </c>
      <c r="C3877" t="inlineStr">
        <is>
          <t>SYDNEY</t>
        </is>
      </c>
      <c r="D3877" t="inlineStr">
        <is>
          <t>OLI</t>
        </is>
      </c>
      <c r="E3877" t="inlineStr">
        <is>
          <t>(en blanco)</t>
        </is>
      </c>
      <c r="F3877" t="inlineStr">
        <is>
          <t>D2C</t>
        </is>
      </c>
      <c r="G3877" t="inlineStr">
        <is>
          <t>M</t>
        </is>
      </c>
      <c r="H3877" t="n">
        <v>10</v>
      </c>
      <c r="I3877" t="inlineStr">
        <is>
          <t>T_TAHARI_124004734_OLI_1.jpg</t>
        </is>
      </c>
      <c r="J3877" t="inlineStr">
        <is>
          <t>T_TAHARI_124004734_OLI_2.jpg</t>
        </is>
      </c>
      <c r="K3877" t="inlineStr">
        <is>
          <t>T_TAHARI_124004734_OLI_3.jpg</t>
        </is>
      </c>
      <c r="L3877">
        <f>IMAGE("file:///E:/Estudios%20y%20certificaciones/ESTUDIOS%20DE%20PROGRAMMING/PROGRAMMING/PERSONAL/PYTHON/Image_Generator_API/imagenes/T_TAHARI_124004734_OLI_1.jpg")</f>
        <v/>
      </c>
      <c r="M3877">
        <f>IMAGE("file:///E:/Estudios%20y%20certificaciones/ESTUDIOS%20DE%20PROGRAMMING/PROGRAMMING/PERSONAL/PYTHON/Image_Generator_API/imagenes/T_TAHARI_124004734_OLI_2.jpg")</f>
        <v/>
      </c>
      <c r="N3877">
        <f>IMAGE("file:///E:/Estudios%20y%20certificaciones/ESTUDIOS%20DE%20PROGRAMMING/PROGRAMMING/PERSONAL/PYTHON/Image_Generator_API/imagenes/T_TAHARI_124004734_OLI_3.jpg")</f>
        <v/>
      </c>
      <c r="O3877">
        <f>HYPERLINK("imagenes/T_TAHARI_124004734_OLI_1.jpg","Ver imagen")</f>
        <v/>
      </c>
      <c r="P3877">
        <f>HYPERLINK("imagenes/T_TAHARI_124004734_OLI_2.jpg","Ver imagen")</f>
        <v/>
      </c>
      <c r="Q3877">
        <f>HYPERLINK("imagenes/T_TAHARI_124004734_OLI_3.jpg","Ver imagen")</f>
        <v/>
      </c>
    </row>
    <row r="3878">
      <c r="A3878" t="inlineStr">
        <is>
          <t>T TAHARI</t>
        </is>
      </c>
      <c r="B3878" t="inlineStr">
        <is>
          <t>124004734</t>
        </is>
      </c>
      <c r="C3878" t="inlineStr">
        <is>
          <t>SYDNEY</t>
        </is>
      </c>
      <c r="D3878" t="inlineStr">
        <is>
          <t>OLI</t>
        </is>
      </c>
      <c r="E3878" t="inlineStr">
        <is>
          <t>(en blanco)</t>
        </is>
      </c>
      <c r="F3878" t="inlineStr">
        <is>
          <t>D2C</t>
        </is>
      </c>
      <c r="G3878" t="inlineStr">
        <is>
          <t>L</t>
        </is>
      </c>
      <c r="H3878" t="n">
        <v>7</v>
      </c>
      <c r="I3878" t="inlineStr">
        <is>
          <t>T_TAHARI_124004734_OLI_1.jpg</t>
        </is>
      </c>
      <c r="J3878" t="inlineStr">
        <is>
          <t>T_TAHARI_124004734_OLI_2.jpg</t>
        </is>
      </c>
      <c r="K3878" t="inlineStr">
        <is>
          <t>T_TAHARI_124004734_OLI_3.jpg</t>
        </is>
      </c>
      <c r="L3878">
        <f>IMAGE("file:///E:/Estudios%20y%20certificaciones/ESTUDIOS%20DE%20PROGRAMMING/PROGRAMMING/PERSONAL/PYTHON/Image_Generator_API/imagenes/T_TAHARI_124004734_OLI_1.jpg")</f>
        <v/>
      </c>
      <c r="M3878">
        <f>IMAGE("file:///E:/Estudios%20y%20certificaciones/ESTUDIOS%20DE%20PROGRAMMING/PROGRAMMING/PERSONAL/PYTHON/Image_Generator_API/imagenes/T_TAHARI_124004734_OLI_2.jpg")</f>
        <v/>
      </c>
      <c r="N3878">
        <f>IMAGE("file:///E:/Estudios%20y%20certificaciones/ESTUDIOS%20DE%20PROGRAMMING/PROGRAMMING/PERSONAL/PYTHON/Image_Generator_API/imagenes/T_TAHARI_124004734_OLI_3.jpg")</f>
        <v/>
      </c>
      <c r="O3878">
        <f>HYPERLINK("imagenes/T_TAHARI_124004734_OLI_1.jpg","Ver imagen")</f>
        <v/>
      </c>
      <c r="P3878">
        <f>HYPERLINK("imagenes/T_TAHARI_124004734_OLI_2.jpg","Ver imagen")</f>
        <v/>
      </c>
      <c r="Q3878">
        <f>HYPERLINK("imagenes/T_TAHARI_124004734_OLI_3.jpg","Ver imagen")</f>
        <v/>
      </c>
    </row>
    <row r="3879">
      <c r="A3879" t="inlineStr">
        <is>
          <t>T TAHARI</t>
        </is>
      </c>
      <c r="B3879" t="inlineStr">
        <is>
          <t>124004734</t>
        </is>
      </c>
      <c r="C3879" t="inlineStr">
        <is>
          <t>SYDNEY</t>
        </is>
      </c>
      <c r="D3879" t="inlineStr">
        <is>
          <t>OLI</t>
        </is>
      </c>
      <c r="E3879" t="inlineStr">
        <is>
          <t>(en blanco)</t>
        </is>
      </c>
      <c r="F3879" t="inlineStr">
        <is>
          <t>D2C</t>
        </is>
      </c>
      <c r="G3879" t="inlineStr">
        <is>
          <t>XL</t>
        </is>
      </c>
      <c r="H3879" t="n">
        <v>4</v>
      </c>
      <c r="I3879" t="inlineStr">
        <is>
          <t>T_TAHARI_124004734_OLI_1.jpg</t>
        </is>
      </c>
      <c r="J3879" t="inlineStr">
        <is>
          <t>T_TAHARI_124004734_OLI_2.jpg</t>
        </is>
      </c>
      <c r="K3879" t="inlineStr">
        <is>
          <t>T_TAHARI_124004734_OLI_3.jpg</t>
        </is>
      </c>
      <c r="L3879">
        <f>IMAGE("file:///E:/Estudios%20y%20certificaciones/ESTUDIOS%20DE%20PROGRAMMING/PROGRAMMING/PERSONAL/PYTHON/Image_Generator_API/imagenes/T_TAHARI_124004734_OLI_1.jpg")</f>
        <v/>
      </c>
      <c r="M3879">
        <f>IMAGE("file:///E:/Estudios%20y%20certificaciones/ESTUDIOS%20DE%20PROGRAMMING/PROGRAMMING/PERSONAL/PYTHON/Image_Generator_API/imagenes/T_TAHARI_124004734_OLI_2.jpg")</f>
        <v/>
      </c>
      <c r="N3879">
        <f>IMAGE("file:///E:/Estudios%20y%20certificaciones/ESTUDIOS%20DE%20PROGRAMMING/PROGRAMMING/PERSONAL/PYTHON/Image_Generator_API/imagenes/T_TAHARI_124004734_OLI_3.jpg")</f>
        <v/>
      </c>
      <c r="O3879">
        <f>HYPERLINK("imagenes/T_TAHARI_124004734_OLI_1.jpg","Ver imagen")</f>
        <v/>
      </c>
      <c r="P3879">
        <f>HYPERLINK("imagenes/T_TAHARI_124004734_OLI_2.jpg","Ver imagen")</f>
        <v/>
      </c>
      <c r="Q3879">
        <f>HYPERLINK("imagenes/T_TAHARI_124004734_OLI_3.jpg","Ver imagen")</f>
        <v/>
      </c>
    </row>
    <row r="3880">
      <c r="A3880" t="inlineStr">
        <is>
          <t>T TAHARI</t>
        </is>
      </c>
      <c r="B3880" t="inlineStr">
        <is>
          <t>124004734</t>
        </is>
      </c>
      <c r="C3880" t="inlineStr">
        <is>
          <t>SYDNEY</t>
        </is>
      </c>
      <c r="D3880" t="inlineStr">
        <is>
          <t>OLI</t>
        </is>
      </c>
      <c r="E3880" t="inlineStr">
        <is>
          <t>(en blanco)</t>
        </is>
      </c>
      <c r="F3880" t="inlineStr">
        <is>
          <t>(en blanco)</t>
        </is>
      </c>
      <c r="G3880" t="inlineStr">
        <is>
          <t>XS</t>
        </is>
      </c>
      <c r="H3880" t="n">
        <v>8</v>
      </c>
      <c r="I3880" t="inlineStr">
        <is>
          <t>T_TAHARI_124004734_OLI_1.jpg</t>
        </is>
      </c>
      <c r="J3880" t="inlineStr">
        <is>
          <t>T_TAHARI_124004734_OLI_2.jpg</t>
        </is>
      </c>
      <c r="K3880" t="inlineStr">
        <is>
          <t>T_TAHARI_124004734_OLI_3.jpg</t>
        </is>
      </c>
      <c r="L3880">
        <f>IMAGE("file:///E:/Estudios%20y%20certificaciones/ESTUDIOS%20DE%20PROGRAMMING/PROGRAMMING/PERSONAL/PYTHON/Image_Generator_API/imagenes/T_TAHARI_124004734_OLI_1.jpg")</f>
        <v/>
      </c>
      <c r="M3880">
        <f>IMAGE("file:///E:/Estudios%20y%20certificaciones/ESTUDIOS%20DE%20PROGRAMMING/PROGRAMMING/PERSONAL/PYTHON/Image_Generator_API/imagenes/T_TAHARI_124004734_OLI_2.jpg")</f>
        <v/>
      </c>
      <c r="N3880">
        <f>IMAGE("file:///E:/Estudios%20y%20certificaciones/ESTUDIOS%20DE%20PROGRAMMING/PROGRAMMING/PERSONAL/PYTHON/Image_Generator_API/imagenes/T_TAHARI_124004734_OLI_3.jpg")</f>
        <v/>
      </c>
      <c r="O3880">
        <f>HYPERLINK("imagenes/T_TAHARI_124004734_OLI_1.jpg","Ver imagen")</f>
        <v/>
      </c>
      <c r="P3880">
        <f>HYPERLINK("imagenes/T_TAHARI_124004734_OLI_2.jpg","Ver imagen")</f>
        <v/>
      </c>
      <c r="Q3880">
        <f>HYPERLINK("imagenes/T_TAHARI_124004734_OLI_3.jpg","Ver imagen")</f>
        <v/>
      </c>
    </row>
    <row r="3881">
      <c r="A3881" t="inlineStr">
        <is>
          <t>T TAHARI</t>
        </is>
      </c>
      <c r="B3881" t="inlineStr">
        <is>
          <t>124004734</t>
        </is>
      </c>
      <c r="C3881" t="inlineStr">
        <is>
          <t>SYDNEY</t>
        </is>
      </c>
      <c r="D3881" t="inlineStr">
        <is>
          <t>OLI</t>
        </is>
      </c>
      <c r="E3881" t="inlineStr">
        <is>
          <t>(en blanco)</t>
        </is>
      </c>
      <c r="F3881" t="inlineStr">
        <is>
          <t>(en blanco)</t>
        </is>
      </c>
      <c r="G3881" t="inlineStr">
        <is>
          <t>S</t>
        </is>
      </c>
      <c r="H3881" t="n">
        <v>114</v>
      </c>
      <c r="I3881" t="inlineStr">
        <is>
          <t>T_TAHARI_124004734_OLI_1.jpg</t>
        </is>
      </c>
      <c r="J3881" t="inlineStr">
        <is>
          <t>T_TAHARI_124004734_OLI_2.jpg</t>
        </is>
      </c>
      <c r="K3881" t="inlineStr">
        <is>
          <t>T_TAHARI_124004734_OLI_3.jpg</t>
        </is>
      </c>
      <c r="L3881">
        <f>IMAGE("file:///E:/Estudios%20y%20certificaciones/ESTUDIOS%20DE%20PROGRAMMING/PROGRAMMING/PERSONAL/PYTHON/Image_Generator_API/imagenes/T_TAHARI_124004734_OLI_1.jpg")</f>
        <v/>
      </c>
      <c r="M3881">
        <f>IMAGE("file:///E:/Estudios%20y%20certificaciones/ESTUDIOS%20DE%20PROGRAMMING/PROGRAMMING/PERSONAL/PYTHON/Image_Generator_API/imagenes/T_TAHARI_124004734_OLI_2.jpg")</f>
        <v/>
      </c>
      <c r="N3881">
        <f>IMAGE("file:///E:/Estudios%20y%20certificaciones/ESTUDIOS%20DE%20PROGRAMMING/PROGRAMMING/PERSONAL/PYTHON/Image_Generator_API/imagenes/T_TAHARI_124004734_OLI_3.jpg")</f>
        <v/>
      </c>
      <c r="O3881">
        <f>HYPERLINK("imagenes/T_TAHARI_124004734_OLI_1.jpg","Ver imagen")</f>
        <v/>
      </c>
      <c r="P3881">
        <f>HYPERLINK("imagenes/T_TAHARI_124004734_OLI_2.jpg","Ver imagen")</f>
        <v/>
      </c>
      <c r="Q3881">
        <f>HYPERLINK("imagenes/T_TAHARI_124004734_OLI_3.jpg","Ver imagen")</f>
        <v/>
      </c>
    </row>
    <row r="3882">
      <c r="A3882" t="inlineStr">
        <is>
          <t>T TAHARI</t>
        </is>
      </c>
      <c r="B3882" t="inlineStr">
        <is>
          <t>124004734</t>
        </is>
      </c>
      <c r="C3882" t="inlineStr">
        <is>
          <t>SYDNEY</t>
        </is>
      </c>
      <c r="D3882" t="inlineStr">
        <is>
          <t>OLI</t>
        </is>
      </c>
      <c r="E3882" t="inlineStr">
        <is>
          <t>(en blanco)</t>
        </is>
      </c>
      <c r="F3882" t="inlineStr">
        <is>
          <t>(en blanco)</t>
        </is>
      </c>
      <c r="G3882" t="inlineStr">
        <is>
          <t>M</t>
        </is>
      </c>
      <c r="H3882" t="n">
        <v>143</v>
      </c>
      <c r="I3882" t="inlineStr">
        <is>
          <t>T_TAHARI_124004734_OLI_1.jpg</t>
        </is>
      </c>
      <c r="J3882" t="inlineStr">
        <is>
          <t>T_TAHARI_124004734_OLI_2.jpg</t>
        </is>
      </c>
      <c r="K3882" t="inlineStr">
        <is>
          <t>T_TAHARI_124004734_OLI_3.jpg</t>
        </is>
      </c>
      <c r="L3882">
        <f>IMAGE("file:///E:/Estudios%20y%20certificaciones/ESTUDIOS%20DE%20PROGRAMMING/PROGRAMMING/PERSONAL/PYTHON/Image_Generator_API/imagenes/T_TAHARI_124004734_OLI_1.jpg")</f>
        <v/>
      </c>
      <c r="M3882">
        <f>IMAGE("file:///E:/Estudios%20y%20certificaciones/ESTUDIOS%20DE%20PROGRAMMING/PROGRAMMING/PERSONAL/PYTHON/Image_Generator_API/imagenes/T_TAHARI_124004734_OLI_2.jpg")</f>
        <v/>
      </c>
      <c r="N3882">
        <f>IMAGE("file:///E:/Estudios%20y%20certificaciones/ESTUDIOS%20DE%20PROGRAMMING/PROGRAMMING/PERSONAL/PYTHON/Image_Generator_API/imagenes/T_TAHARI_124004734_OLI_3.jpg")</f>
        <v/>
      </c>
      <c r="O3882">
        <f>HYPERLINK("imagenes/T_TAHARI_124004734_OLI_1.jpg","Ver imagen")</f>
        <v/>
      </c>
      <c r="P3882">
        <f>HYPERLINK("imagenes/T_TAHARI_124004734_OLI_2.jpg","Ver imagen")</f>
        <v/>
      </c>
      <c r="Q3882">
        <f>HYPERLINK("imagenes/T_TAHARI_124004734_OLI_3.jpg","Ver imagen")</f>
        <v/>
      </c>
    </row>
    <row r="3883">
      <c r="A3883" t="inlineStr">
        <is>
          <t>T TAHARI</t>
        </is>
      </c>
      <c r="B3883" t="inlineStr">
        <is>
          <t>124004734</t>
        </is>
      </c>
      <c r="C3883" t="inlineStr">
        <is>
          <t>SYDNEY</t>
        </is>
      </c>
      <c r="D3883" t="inlineStr">
        <is>
          <t>OLI</t>
        </is>
      </c>
      <c r="E3883" t="inlineStr">
        <is>
          <t>(en blanco)</t>
        </is>
      </c>
      <c r="F3883" t="inlineStr">
        <is>
          <t>(en blanco)</t>
        </is>
      </c>
      <c r="G3883" t="inlineStr">
        <is>
          <t>L</t>
        </is>
      </c>
      <c r="H3883" t="n">
        <v>139</v>
      </c>
      <c r="I3883" t="inlineStr">
        <is>
          <t>T_TAHARI_124004734_OLI_1.jpg</t>
        </is>
      </c>
      <c r="J3883" t="inlineStr">
        <is>
          <t>T_TAHARI_124004734_OLI_2.jpg</t>
        </is>
      </c>
      <c r="K3883" t="inlineStr">
        <is>
          <t>T_TAHARI_124004734_OLI_3.jpg</t>
        </is>
      </c>
      <c r="L3883">
        <f>IMAGE("file:///E:/Estudios%20y%20certificaciones/ESTUDIOS%20DE%20PROGRAMMING/PROGRAMMING/PERSONAL/PYTHON/Image_Generator_API/imagenes/T_TAHARI_124004734_OLI_1.jpg")</f>
        <v/>
      </c>
      <c r="M3883">
        <f>IMAGE("file:///E:/Estudios%20y%20certificaciones/ESTUDIOS%20DE%20PROGRAMMING/PROGRAMMING/PERSONAL/PYTHON/Image_Generator_API/imagenes/T_TAHARI_124004734_OLI_2.jpg")</f>
        <v/>
      </c>
      <c r="N3883">
        <f>IMAGE("file:///E:/Estudios%20y%20certificaciones/ESTUDIOS%20DE%20PROGRAMMING/PROGRAMMING/PERSONAL/PYTHON/Image_Generator_API/imagenes/T_TAHARI_124004734_OLI_3.jpg")</f>
        <v/>
      </c>
      <c r="O3883">
        <f>HYPERLINK("imagenes/T_TAHARI_124004734_OLI_1.jpg","Ver imagen")</f>
        <v/>
      </c>
      <c r="P3883">
        <f>HYPERLINK("imagenes/T_TAHARI_124004734_OLI_2.jpg","Ver imagen")</f>
        <v/>
      </c>
      <c r="Q3883">
        <f>HYPERLINK("imagenes/T_TAHARI_124004734_OLI_3.jpg","Ver imagen")</f>
        <v/>
      </c>
    </row>
    <row r="3884">
      <c r="A3884" t="inlineStr">
        <is>
          <t>T TAHARI</t>
        </is>
      </c>
      <c r="B3884" t="inlineStr">
        <is>
          <t>124004734</t>
        </is>
      </c>
      <c r="C3884" t="inlineStr">
        <is>
          <t>SYDNEY</t>
        </is>
      </c>
      <c r="D3884" t="inlineStr">
        <is>
          <t>OLI</t>
        </is>
      </c>
      <c r="E3884" t="inlineStr">
        <is>
          <t>(en blanco)</t>
        </is>
      </c>
      <c r="F3884" t="inlineStr">
        <is>
          <t>(en blanco)</t>
        </is>
      </c>
      <c r="G3884" t="inlineStr">
        <is>
          <t>XL</t>
        </is>
      </c>
      <c r="H3884" t="n">
        <v>56</v>
      </c>
      <c r="I3884" t="inlineStr">
        <is>
          <t>T_TAHARI_124004734_OLI_1.jpg</t>
        </is>
      </c>
      <c r="J3884" t="inlineStr">
        <is>
          <t>T_TAHARI_124004734_OLI_2.jpg</t>
        </is>
      </c>
      <c r="K3884" t="inlineStr">
        <is>
          <t>T_TAHARI_124004734_OLI_3.jpg</t>
        </is>
      </c>
      <c r="L3884">
        <f>IMAGE("file:///E:/Estudios%20y%20certificaciones/ESTUDIOS%20DE%20PROGRAMMING/PROGRAMMING/PERSONAL/PYTHON/Image_Generator_API/imagenes/T_TAHARI_124004734_OLI_1.jpg")</f>
        <v/>
      </c>
      <c r="M3884">
        <f>IMAGE("file:///E:/Estudios%20y%20certificaciones/ESTUDIOS%20DE%20PROGRAMMING/PROGRAMMING/PERSONAL/PYTHON/Image_Generator_API/imagenes/T_TAHARI_124004734_OLI_2.jpg")</f>
        <v/>
      </c>
      <c r="N3884">
        <f>IMAGE("file:///E:/Estudios%20y%20certificaciones/ESTUDIOS%20DE%20PROGRAMMING/PROGRAMMING/PERSONAL/PYTHON/Image_Generator_API/imagenes/T_TAHARI_124004734_OLI_3.jpg")</f>
        <v/>
      </c>
      <c r="O3884">
        <f>HYPERLINK("imagenes/T_TAHARI_124004734_OLI_1.jpg","Ver imagen")</f>
        <v/>
      </c>
      <c r="P3884">
        <f>HYPERLINK("imagenes/T_TAHARI_124004734_OLI_2.jpg","Ver imagen")</f>
        <v/>
      </c>
      <c r="Q3884">
        <f>HYPERLINK("imagenes/T_TAHARI_124004734_OLI_3.jpg","Ver imagen")</f>
        <v/>
      </c>
    </row>
    <row r="3885">
      <c r="A3885" t="inlineStr">
        <is>
          <t>T TAHARI</t>
        </is>
      </c>
      <c r="B3885" t="inlineStr">
        <is>
          <t>124004770</t>
        </is>
      </c>
      <c r="C3885" t="inlineStr">
        <is>
          <t>BRIE</t>
        </is>
      </c>
      <c r="D3885" t="inlineStr">
        <is>
          <t>BLK</t>
        </is>
      </c>
      <c r="E3885" t="inlineStr">
        <is>
          <t>(en blanco)</t>
        </is>
      </c>
      <c r="F3885" t="inlineStr">
        <is>
          <t>(en blanco)</t>
        </is>
      </c>
      <c r="G3885" t="inlineStr">
        <is>
          <t>XS</t>
        </is>
      </c>
      <c r="H3885" t="n">
        <v>24</v>
      </c>
      <c r="I3885" t="inlineStr">
        <is>
          <t>T_TAHARI_124004770_BLK_1.jpg</t>
        </is>
      </c>
      <c r="J3885" t="inlineStr">
        <is>
          <t>T_TAHARI_124004770_BLK_2.jpg</t>
        </is>
      </c>
      <c r="K3885" t="inlineStr">
        <is>
          <t>T_TAHARI_124004770_BLK_3.jpg</t>
        </is>
      </c>
      <c r="L3885">
        <f>IMAGE("file:///E:/Estudios%20y%20certificaciones/ESTUDIOS%20DE%20PROGRAMMING/PROGRAMMING/PERSONAL/PYTHON/Image_Generator_API/imagenes/T_TAHARI_124004770_BLK_1.jpg")</f>
        <v/>
      </c>
      <c r="M3885">
        <f>IMAGE("file:///E:/Estudios%20y%20certificaciones/ESTUDIOS%20DE%20PROGRAMMING/PROGRAMMING/PERSONAL/PYTHON/Image_Generator_API/imagenes/T_TAHARI_124004770_BLK_2.jpg")</f>
        <v/>
      </c>
      <c r="N3885">
        <f>IMAGE("file:///E:/Estudios%20y%20certificaciones/ESTUDIOS%20DE%20PROGRAMMING/PROGRAMMING/PERSONAL/PYTHON/Image_Generator_API/imagenes/T_TAHARI_124004770_BLK_3.jpg")</f>
        <v/>
      </c>
      <c r="O3885">
        <f>HYPERLINK("imagenes/T_TAHARI_124004770_BLK_1.jpg","Ver imagen")</f>
        <v/>
      </c>
      <c r="P3885">
        <f>HYPERLINK("imagenes/T_TAHARI_124004770_BLK_2.jpg","Ver imagen")</f>
        <v/>
      </c>
      <c r="Q3885">
        <f>HYPERLINK("imagenes/T_TAHARI_124004770_BLK_3.jpg","Ver imagen")</f>
        <v/>
      </c>
    </row>
    <row r="3886">
      <c r="A3886" t="inlineStr">
        <is>
          <t>T TAHARI</t>
        </is>
      </c>
      <c r="B3886" t="inlineStr">
        <is>
          <t>124004770</t>
        </is>
      </c>
      <c r="C3886" t="inlineStr">
        <is>
          <t>BRIE</t>
        </is>
      </c>
      <c r="D3886" t="inlineStr">
        <is>
          <t>BLK</t>
        </is>
      </c>
      <c r="E3886" t="inlineStr">
        <is>
          <t>(en blanco)</t>
        </is>
      </c>
      <c r="F3886" t="inlineStr">
        <is>
          <t>(en blanco)</t>
        </is>
      </c>
      <c r="G3886" t="inlineStr">
        <is>
          <t>S</t>
        </is>
      </c>
      <c r="H3886" t="n">
        <v>44</v>
      </c>
      <c r="I3886" t="inlineStr">
        <is>
          <t>T_TAHARI_124004770_BLK_1.jpg</t>
        </is>
      </c>
      <c r="J3886" t="inlineStr">
        <is>
          <t>T_TAHARI_124004770_BLK_2.jpg</t>
        </is>
      </c>
      <c r="K3886" t="inlineStr">
        <is>
          <t>T_TAHARI_124004770_BLK_3.jpg</t>
        </is>
      </c>
      <c r="L3886">
        <f>IMAGE("file:///E:/Estudios%20y%20certificaciones/ESTUDIOS%20DE%20PROGRAMMING/PROGRAMMING/PERSONAL/PYTHON/Image_Generator_API/imagenes/T_TAHARI_124004770_BLK_1.jpg")</f>
        <v/>
      </c>
      <c r="M3886">
        <f>IMAGE("file:///E:/Estudios%20y%20certificaciones/ESTUDIOS%20DE%20PROGRAMMING/PROGRAMMING/PERSONAL/PYTHON/Image_Generator_API/imagenes/T_TAHARI_124004770_BLK_2.jpg")</f>
        <v/>
      </c>
      <c r="N3886">
        <f>IMAGE("file:///E:/Estudios%20y%20certificaciones/ESTUDIOS%20DE%20PROGRAMMING/PROGRAMMING/PERSONAL/PYTHON/Image_Generator_API/imagenes/T_TAHARI_124004770_BLK_3.jpg")</f>
        <v/>
      </c>
      <c r="O3886">
        <f>HYPERLINK("imagenes/T_TAHARI_124004770_BLK_1.jpg","Ver imagen")</f>
        <v/>
      </c>
      <c r="P3886">
        <f>HYPERLINK("imagenes/T_TAHARI_124004770_BLK_2.jpg","Ver imagen")</f>
        <v/>
      </c>
      <c r="Q3886">
        <f>HYPERLINK("imagenes/T_TAHARI_124004770_BLK_3.jpg","Ver imagen")</f>
        <v/>
      </c>
    </row>
    <row r="3887">
      <c r="A3887" t="inlineStr">
        <is>
          <t>T TAHARI</t>
        </is>
      </c>
      <c r="B3887" t="inlineStr">
        <is>
          <t>124004770</t>
        </is>
      </c>
      <c r="C3887" t="inlineStr">
        <is>
          <t>BRIE</t>
        </is>
      </c>
      <c r="D3887" t="inlineStr">
        <is>
          <t>BLK</t>
        </is>
      </c>
      <c r="E3887" t="inlineStr">
        <is>
          <t>(en blanco)</t>
        </is>
      </c>
      <c r="F3887" t="inlineStr">
        <is>
          <t>(en blanco)</t>
        </is>
      </c>
      <c r="G3887" t="inlineStr">
        <is>
          <t>M</t>
        </is>
      </c>
      <c r="H3887" t="n">
        <v>26</v>
      </c>
      <c r="I3887" t="inlineStr">
        <is>
          <t>T_TAHARI_124004770_BLK_1.jpg</t>
        </is>
      </c>
      <c r="J3887" t="inlineStr">
        <is>
          <t>T_TAHARI_124004770_BLK_2.jpg</t>
        </is>
      </c>
      <c r="K3887" t="inlineStr">
        <is>
          <t>T_TAHARI_124004770_BLK_3.jpg</t>
        </is>
      </c>
      <c r="L3887">
        <f>IMAGE("file:///E:/Estudios%20y%20certificaciones/ESTUDIOS%20DE%20PROGRAMMING/PROGRAMMING/PERSONAL/PYTHON/Image_Generator_API/imagenes/T_TAHARI_124004770_BLK_1.jpg")</f>
        <v/>
      </c>
      <c r="M3887">
        <f>IMAGE("file:///E:/Estudios%20y%20certificaciones/ESTUDIOS%20DE%20PROGRAMMING/PROGRAMMING/PERSONAL/PYTHON/Image_Generator_API/imagenes/T_TAHARI_124004770_BLK_2.jpg")</f>
        <v/>
      </c>
      <c r="N3887">
        <f>IMAGE("file:///E:/Estudios%20y%20certificaciones/ESTUDIOS%20DE%20PROGRAMMING/PROGRAMMING/PERSONAL/PYTHON/Image_Generator_API/imagenes/T_TAHARI_124004770_BLK_3.jpg")</f>
        <v/>
      </c>
      <c r="O3887">
        <f>HYPERLINK("imagenes/T_TAHARI_124004770_BLK_1.jpg","Ver imagen")</f>
        <v/>
      </c>
      <c r="P3887">
        <f>HYPERLINK("imagenes/T_TAHARI_124004770_BLK_2.jpg","Ver imagen")</f>
        <v/>
      </c>
      <c r="Q3887">
        <f>HYPERLINK("imagenes/T_TAHARI_124004770_BLK_3.jpg","Ver imagen")</f>
        <v/>
      </c>
    </row>
    <row r="3888">
      <c r="A3888" t="inlineStr">
        <is>
          <t>T TAHARI</t>
        </is>
      </c>
      <c r="B3888" t="inlineStr">
        <is>
          <t>124004770</t>
        </is>
      </c>
      <c r="C3888" t="inlineStr">
        <is>
          <t>BRIE</t>
        </is>
      </c>
      <c r="D3888" t="inlineStr">
        <is>
          <t>BLK</t>
        </is>
      </c>
      <c r="E3888" t="inlineStr">
        <is>
          <t>(en blanco)</t>
        </is>
      </c>
      <c r="F3888" t="inlineStr">
        <is>
          <t>(en blanco)</t>
        </is>
      </c>
      <c r="G3888" t="inlineStr">
        <is>
          <t>L</t>
        </is>
      </c>
      <c r="H3888" t="n">
        <v>23</v>
      </c>
      <c r="I3888" t="inlineStr">
        <is>
          <t>T_TAHARI_124004770_BLK_1.jpg</t>
        </is>
      </c>
      <c r="J3888" t="inlineStr">
        <is>
          <t>T_TAHARI_124004770_BLK_2.jpg</t>
        </is>
      </c>
      <c r="K3888" t="inlineStr">
        <is>
          <t>T_TAHARI_124004770_BLK_3.jpg</t>
        </is>
      </c>
      <c r="L3888">
        <f>IMAGE("file:///E:/Estudios%20y%20certificaciones/ESTUDIOS%20DE%20PROGRAMMING/PROGRAMMING/PERSONAL/PYTHON/Image_Generator_API/imagenes/T_TAHARI_124004770_BLK_1.jpg")</f>
        <v/>
      </c>
      <c r="M3888">
        <f>IMAGE("file:///E:/Estudios%20y%20certificaciones/ESTUDIOS%20DE%20PROGRAMMING/PROGRAMMING/PERSONAL/PYTHON/Image_Generator_API/imagenes/T_TAHARI_124004770_BLK_2.jpg")</f>
        <v/>
      </c>
      <c r="N3888">
        <f>IMAGE("file:///E:/Estudios%20y%20certificaciones/ESTUDIOS%20DE%20PROGRAMMING/PROGRAMMING/PERSONAL/PYTHON/Image_Generator_API/imagenes/T_TAHARI_124004770_BLK_3.jpg")</f>
        <v/>
      </c>
      <c r="O3888">
        <f>HYPERLINK("imagenes/T_TAHARI_124004770_BLK_1.jpg","Ver imagen")</f>
        <v/>
      </c>
      <c r="P3888">
        <f>HYPERLINK("imagenes/T_TAHARI_124004770_BLK_2.jpg","Ver imagen")</f>
        <v/>
      </c>
      <c r="Q3888">
        <f>HYPERLINK("imagenes/T_TAHARI_124004770_BLK_3.jpg","Ver imagen")</f>
        <v/>
      </c>
    </row>
    <row r="3889">
      <c r="A3889" t="inlineStr">
        <is>
          <t>T TAHARI</t>
        </is>
      </c>
      <c r="B3889" t="inlineStr">
        <is>
          <t>124004770</t>
        </is>
      </c>
      <c r="C3889" t="inlineStr">
        <is>
          <t>BRIE</t>
        </is>
      </c>
      <c r="D3889" t="inlineStr">
        <is>
          <t>BLK</t>
        </is>
      </c>
      <c r="E3889" t="inlineStr">
        <is>
          <t>(en blanco)</t>
        </is>
      </c>
      <c r="F3889" t="inlineStr">
        <is>
          <t>(en blanco)</t>
        </is>
      </c>
      <c r="G3889" t="inlineStr">
        <is>
          <t>XL</t>
        </is>
      </c>
      <c r="H3889" t="n">
        <v>17</v>
      </c>
      <c r="I3889" t="inlineStr">
        <is>
          <t>T_TAHARI_124004770_BLK_1.jpg</t>
        </is>
      </c>
      <c r="J3889" t="inlineStr">
        <is>
          <t>T_TAHARI_124004770_BLK_2.jpg</t>
        </is>
      </c>
      <c r="K3889" t="inlineStr">
        <is>
          <t>T_TAHARI_124004770_BLK_3.jpg</t>
        </is>
      </c>
      <c r="L3889">
        <f>IMAGE("file:///E:/Estudios%20y%20certificaciones/ESTUDIOS%20DE%20PROGRAMMING/PROGRAMMING/PERSONAL/PYTHON/Image_Generator_API/imagenes/T_TAHARI_124004770_BLK_1.jpg")</f>
        <v/>
      </c>
      <c r="M3889">
        <f>IMAGE("file:///E:/Estudios%20y%20certificaciones/ESTUDIOS%20DE%20PROGRAMMING/PROGRAMMING/PERSONAL/PYTHON/Image_Generator_API/imagenes/T_TAHARI_124004770_BLK_2.jpg")</f>
        <v/>
      </c>
      <c r="N3889">
        <f>IMAGE("file:///E:/Estudios%20y%20certificaciones/ESTUDIOS%20DE%20PROGRAMMING/PROGRAMMING/PERSONAL/PYTHON/Image_Generator_API/imagenes/T_TAHARI_124004770_BLK_3.jpg")</f>
        <v/>
      </c>
      <c r="O3889">
        <f>HYPERLINK("imagenes/T_TAHARI_124004770_BLK_1.jpg","Ver imagen")</f>
        <v/>
      </c>
      <c r="P3889">
        <f>HYPERLINK("imagenes/T_TAHARI_124004770_BLK_2.jpg","Ver imagen")</f>
        <v/>
      </c>
      <c r="Q3889">
        <f>HYPERLINK("imagenes/T_TAHARI_124004770_BLK_3.jpg","Ver imagen")</f>
        <v/>
      </c>
    </row>
    <row r="3890">
      <c r="A3890" t="inlineStr">
        <is>
          <t>T TAHARI</t>
        </is>
      </c>
      <c r="B3890" t="inlineStr">
        <is>
          <t>124004770</t>
        </is>
      </c>
      <c r="C3890" t="inlineStr">
        <is>
          <t>BRIE</t>
        </is>
      </c>
      <c r="D3890" t="inlineStr">
        <is>
          <t>GXY</t>
        </is>
      </c>
      <c r="E3890" t="inlineStr">
        <is>
          <t>(en blanco)</t>
        </is>
      </c>
      <c r="F3890" t="inlineStr">
        <is>
          <t>(en blanco)</t>
        </is>
      </c>
      <c r="G3890" t="inlineStr">
        <is>
          <t>XL</t>
        </is>
      </c>
      <c r="H3890" t="n">
        <v>1</v>
      </c>
      <c r="I3890" t="inlineStr">
        <is>
          <t>T_TAHARI_124004770_GXY_1.jpg</t>
        </is>
      </c>
      <c r="J3890" t="inlineStr">
        <is>
          <t>T_TAHARI_124004770_GXY_2.jpg</t>
        </is>
      </c>
      <c r="K3890" t="inlineStr">
        <is>
          <t>T_TAHARI_124004770_GXY_3.jpg</t>
        </is>
      </c>
      <c r="L3890">
        <f>IMAGE("file:///E:/Estudios%20y%20certificaciones/ESTUDIOS%20DE%20PROGRAMMING/PROGRAMMING/PERSONAL/PYTHON/Image_Generator_API/imagenes/T_TAHARI_124004770_GXY_1.jpg")</f>
        <v/>
      </c>
      <c r="M3890">
        <f>IMAGE("file:///E:/Estudios%20y%20certificaciones/ESTUDIOS%20DE%20PROGRAMMING/PROGRAMMING/PERSONAL/PYTHON/Image_Generator_API/imagenes/T_TAHARI_124004770_GXY_2.jpg")</f>
        <v/>
      </c>
      <c r="N3890">
        <f>IMAGE("file:///E:/Estudios%20y%20certificaciones/ESTUDIOS%20DE%20PROGRAMMING/PROGRAMMING/PERSONAL/PYTHON/Image_Generator_API/imagenes/T_TAHARI_124004770_GXY_3.jpg")</f>
        <v/>
      </c>
      <c r="O3890">
        <f>HYPERLINK("imagenes/T_TAHARI_124004770_GXY_1.jpg","Ver imagen")</f>
        <v/>
      </c>
      <c r="P3890">
        <f>HYPERLINK("imagenes/T_TAHARI_124004770_GXY_2.jpg","Ver imagen")</f>
        <v/>
      </c>
      <c r="Q3890">
        <f>HYPERLINK("imagenes/T_TAHARI_124004770_GXY_3.jpg","Ver imagen")</f>
        <v/>
      </c>
    </row>
    <row r="3891">
      <c r="A3891" t="inlineStr">
        <is>
          <t>T TAHARI</t>
        </is>
      </c>
      <c r="B3891" t="inlineStr">
        <is>
          <t>124004772</t>
        </is>
      </c>
      <c r="C3891" t="inlineStr">
        <is>
          <t>CASEY PUFFER</t>
        </is>
      </c>
      <c r="D3891" t="inlineStr">
        <is>
          <t>BLK</t>
        </is>
      </c>
      <c r="E3891" t="inlineStr">
        <is>
          <t>(en blanco)</t>
        </is>
      </c>
      <c r="F3891" t="inlineStr">
        <is>
          <t>D2C</t>
        </is>
      </c>
      <c r="G3891" t="inlineStr">
        <is>
          <t>XS</t>
        </is>
      </c>
      <c r="H3891" t="n">
        <v>19</v>
      </c>
      <c r="I3891" t="inlineStr">
        <is>
          <t>T_TAHARI_124004772_BLK_1.jpg</t>
        </is>
      </c>
      <c r="J3891" t="inlineStr">
        <is>
          <t>T_TAHARI_124004772_BLK_2.jpg</t>
        </is>
      </c>
      <c r="K3891" t="inlineStr">
        <is>
          <t>T_TAHARI_124004772_BLK_3.jpg</t>
        </is>
      </c>
      <c r="L3891">
        <f>IMAGE("file:///E:/Estudios%20y%20certificaciones/ESTUDIOS%20DE%20PROGRAMMING/PROGRAMMING/PERSONAL/PYTHON/Image_Generator_API/imagenes/T_TAHARI_124004772_BLK_1.jpg")</f>
        <v/>
      </c>
      <c r="M3891">
        <f>IMAGE("file:///E:/Estudios%20y%20certificaciones/ESTUDIOS%20DE%20PROGRAMMING/PROGRAMMING/PERSONAL/PYTHON/Image_Generator_API/imagenes/T_TAHARI_124004772_BLK_2.jpg")</f>
        <v/>
      </c>
      <c r="N3891">
        <f>IMAGE("file:///E:/Estudios%20y%20certificaciones/ESTUDIOS%20DE%20PROGRAMMING/PROGRAMMING/PERSONAL/PYTHON/Image_Generator_API/imagenes/T_TAHARI_124004772_BLK_3.jpg")</f>
        <v/>
      </c>
      <c r="O3891">
        <f>HYPERLINK("imagenes/T_TAHARI_124004772_BLK_1.jpg","Ver imagen")</f>
        <v/>
      </c>
      <c r="P3891">
        <f>HYPERLINK("imagenes/T_TAHARI_124004772_BLK_2.jpg","Ver imagen")</f>
        <v/>
      </c>
      <c r="Q3891">
        <f>HYPERLINK("imagenes/T_TAHARI_124004772_BLK_3.jpg","Ver imagen")</f>
        <v/>
      </c>
    </row>
    <row r="3892">
      <c r="A3892" t="inlineStr">
        <is>
          <t>T TAHARI</t>
        </is>
      </c>
      <c r="B3892" t="inlineStr">
        <is>
          <t>124004772</t>
        </is>
      </c>
      <c r="C3892" t="inlineStr">
        <is>
          <t>CASEY PUFFER</t>
        </is>
      </c>
      <c r="D3892" t="inlineStr">
        <is>
          <t>BLK</t>
        </is>
      </c>
      <c r="E3892" t="inlineStr">
        <is>
          <t>(en blanco)</t>
        </is>
      </c>
      <c r="F3892" t="inlineStr">
        <is>
          <t>D2C</t>
        </is>
      </c>
      <c r="G3892" t="inlineStr">
        <is>
          <t>L</t>
        </is>
      </c>
      <c r="H3892" t="n">
        <v>13</v>
      </c>
      <c r="I3892" t="inlineStr">
        <is>
          <t>T_TAHARI_124004772_BLK_1.jpg</t>
        </is>
      </c>
      <c r="J3892" t="inlineStr">
        <is>
          <t>T_TAHARI_124004772_BLK_2.jpg</t>
        </is>
      </c>
      <c r="K3892" t="inlineStr">
        <is>
          <t>T_TAHARI_124004772_BLK_3.jpg</t>
        </is>
      </c>
      <c r="L3892">
        <f>IMAGE("file:///E:/Estudios%20y%20certificaciones/ESTUDIOS%20DE%20PROGRAMMING/PROGRAMMING/PERSONAL/PYTHON/Image_Generator_API/imagenes/T_TAHARI_124004772_BLK_1.jpg")</f>
        <v/>
      </c>
      <c r="M3892">
        <f>IMAGE("file:///E:/Estudios%20y%20certificaciones/ESTUDIOS%20DE%20PROGRAMMING/PROGRAMMING/PERSONAL/PYTHON/Image_Generator_API/imagenes/T_TAHARI_124004772_BLK_2.jpg")</f>
        <v/>
      </c>
      <c r="N3892">
        <f>IMAGE("file:///E:/Estudios%20y%20certificaciones/ESTUDIOS%20DE%20PROGRAMMING/PROGRAMMING/PERSONAL/PYTHON/Image_Generator_API/imagenes/T_TAHARI_124004772_BLK_3.jpg")</f>
        <v/>
      </c>
      <c r="O3892">
        <f>HYPERLINK("imagenes/T_TAHARI_124004772_BLK_1.jpg","Ver imagen")</f>
        <v/>
      </c>
      <c r="P3892">
        <f>HYPERLINK("imagenes/T_TAHARI_124004772_BLK_2.jpg","Ver imagen")</f>
        <v/>
      </c>
      <c r="Q3892">
        <f>HYPERLINK("imagenes/T_TAHARI_124004772_BLK_3.jpg","Ver imagen")</f>
        <v/>
      </c>
    </row>
    <row r="3893">
      <c r="A3893" t="inlineStr">
        <is>
          <t>T TAHARI</t>
        </is>
      </c>
      <c r="B3893" t="inlineStr">
        <is>
          <t>124004772</t>
        </is>
      </c>
      <c r="C3893" t="inlineStr">
        <is>
          <t>CASEY PUFFER</t>
        </is>
      </c>
      <c r="D3893" t="inlineStr">
        <is>
          <t>CHY</t>
        </is>
      </c>
      <c r="E3893" t="inlineStr">
        <is>
          <t>(en blanco)</t>
        </is>
      </c>
      <c r="F3893" t="inlineStr">
        <is>
          <t>D2C</t>
        </is>
      </c>
      <c r="G3893" t="inlineStr">
        <is>
          <t>XS</t>
        </is>
      </c>
      <c r="H3893" t="n">
        <v>7</v>
      </c>
      <c r="I3893" t="inlineStr">
        <is>
          <t>T_TAHARI_124004772_CHY_1.jpg</t>
        </is>
      </c>
      <c r="J3893" t="inlineStr">
        <is>
          <t>T_TAHARI_124004772_CHY_2.jpg</t>
        </is>
      </c>
      <c r="K3893" t="inlineStr">
        <is>
          <t>T_TAHARI_124004772_CHY_3.jpg</t>
        </is>
      </c>
      <c r="L3893">
        <f>IMAGE("file:///E:/Estudios%20y%20certificaciones/ESTUDIOS%20DE%20PROGRAMMING/PROGRAMMING/PERSONAL/PYTHON/Image_Generator_API/imagenes/T_TAHARI_124004772_CHY_1.jpg")</f>
        <v/>
      </c>
      <c r="M3893">
        <f>IMAGE("file:///E:/Estudios%20y%20certificaciones/ESTUDIOS%20DE%20PROGRAMMING/PROGRAMMING/PERSONAL/PYTHON/Image_Generator_API/imagenes/T_TAHARI_124004772_CHY_2.jpg")</f>
        <v/>
      </c>
      <c r="N3893">
        <f>IMAGE("file:///E:/Estudios%20y%20certificaciones/ESTUDIOS%20DE%20PROGRAMMING/PROGRAMMING/PERSONAL/PYTHON/Image_Generator_API/imagenes/T_TAHARI_124004772_CHY_3.jpg")</f>
        <v/>
      </c>
      <c r="O3893">
        <f>HYPERLINK("imagenes/T_TAHARI_124004772_CHY_1.jpg","Ver imagen")</f>
        <v/>
      </c>
      <c r="P3893">
        <f>HYPERLINK("imagenes/T_TAHARI_124004772_CHY_2.jpg","Ver imagen")</f>
        <v/>
      </c>
      <c r="Q3893">
        <f>HYPERLINK("imagenes/T_TAHARI_124004772_CHY_3.jpg","Ver imagen")</f>
        <v/>
      </c>
    </row>
    <row r="3894">
      <c r="A3894" t="inlineStr">
        <is>
          <t>T TAHARI</t>
        </is>
      </c>
      <c r="B3894" t="inlineStr">
        <is>
          <t>124004772</t>
        </is>
      </c>
      <c r="C3894" t="inlineStr">
        <is>
          <t>CASEY PUFFER</t>
        </is>
      </c>
      <c r="D3894" t="inlineStr">
        <is>
          <t>CHY</t>
        </is>
      </c>
      <c r="E3894" t="inlineStr">
        <is>
          <t>(en blanco)</t>
        </is>
      </c>
      <c r="F3894" t="inlineStr">
        <is>
          <t>D2C</t>
        </is>
      </c>
      <c r="G3894" t="inlineStr">
        <is>
          <t>S</t>
        </is>
      </c>
      <c r="H3894" t="n">
        <v>3</v>
      </c>
      <c r="I3894" t="inlineStr">
        <is>
          <t>T_TAHARI_124004772_CHY_1.jpg</t>
        </is>
      </c>
      <c r="J3894" t="inlineStr">
        <is>
          <t>T_TAHARI_124004772_CHY_2.jpg</t>
        </is>
      </c>
      <c r="K3894" t="inlineStr">
        <is>
          <t>T_TAHARI_124004772_CHY_3.jpg</t>
        </is>
      </c>
      <c r="L3894">
        <f>IMAGE("file:///E:/Estudios%20y%20certificaciones/ESTUDIOS%20DE%20PROGRAMMING/PROGRAMMING/PERSONAL/PYTHON/Image_Generator_API/imagenes/T_TAHARI_124004772_CHY_1.jpg")</f>
        <v/>
      </c>
      <c r="M3894">
        <f>IMAGE("file:///E:/Estudios%20y%20certificaciones/ESTUDIOS%20DE%20PROGRAMMING/PROGRAMMING/PERSONAL/PYTHON/Image_Generator_API/imagenes/T_TAHARI_124004772_CHY_2.jpg")</f>
        <v/>
      </c>
      <c r="N3894">
        <f>IMAGE("file:///E:/Estudios%20y%20certificaciones/ESTUDIOS%20DE%20PROGRAMMING/PROGRAMMING/PERSONAL/PYTHON/Image_Generator_API/imagenes/T_TAHARI_124004772_CHY_3.jpg")</f>
        <v/>
      </c>
      <c r="O3894">
        <f>HYPERLINK("imagenes/T_TAHARI_124004772_CHY_1.jpg","Ver imagen")</f>
        <v/>
      </c>
      <c r="P3894">
        <f>HYPERLINK("imagenes/T_TAHARI_124004772_CHY_2.jpg","Ver imagen")</f>
        <v/>
      </c>
      <c r="Q3894">
        <f>HYPERLINK("imagenes/T_TAHARI_124004772_CHY_3.jpg","Ver imagen")</f>
        <v/>
      </c>
    </row>
    <row r="3895">
      <c r="A3895" t="inlineStr">
        <is>
          <t>T TAHARI</t>
        </is>
      </c>
      <c r="B3895" t="inlineStr">
        <is>
          <t>124004772</t>
        </is>
      </c>
      <c r="C3895" t="inlineStr">
        <is>
          <t>CASEY PUFFER</t>
        </is>
      </c>
      <c r="D3895" t="inlineStr">
        <is>
          <t>GXY</t>
        </is>
      </c>
      <c r="E3895" t="inlineStr">
        <is>
          <t>(en blanco)</t>
        </is>
      </c>
      <c r="F3895" t="inlineStr">
        <is>
          <t>D2C</t>
        </is>
      </c>
      <c r="G3895" t="inlineStr">
        <is>
          <t>XS</t>
        </is>
      </c>
      <c r="H3895" t="n">
        <v>15</v>
      </c>
      <c r="I3895" t="inlineStr">
        <is>
          <t>T_TAHARI_124004772_GXY_1.jpg</t>
        </is>
      </c>
      <c r="J3895" t="inlineStr">
        <is>
          <t>T_TAHARI_124004772_GXY_2.jpg</t>
        </is>
      </c>
      <c r="K3895" t="inlineStr">
        <is>
          <t>T_TAHARI_124004772_GXY_3.jpg</t>
        </is>
      </c>
      <c r="L3895">
        <f>IMAGE("file:///E:/Estudios%20y%20certificaciones/ESTUDIOS%20DE%20PROGRAMMING/PROGRAMMING/PERSONAL/PYTHON/Image_Generator_API/imagenes/T_TAHARI_124004772_GXY_1.jpg")</f>
        <v/>
      </c>
      <c r="M3895">
        <f>IMAGE("file:///E:/Estudios%20y%20certificaciones/ESTUDIOS%20DE%20PROGRAMMING/PROGRAMMING/PERSONAL/PYTHON/Image_Generator_API/imagenes/T_TAHARI_124004772_GXY_2.jpg")</f>
        <v/>
      </c>
      <c r="N3895">
        <f>IMAGE("file:///E:/Estudios%20y%20certificaciones/ESTUDIOS%20DE%20PROGRAMMING/PROGRAMMING/PERSONAL/PYTHON/Image_Generator_API/imagenes/T_TAHARI_124004772_GXY_3.jpg")</f>
        <v/>
      </c>
      <c r="O3895">
        <f>HYPERLINK("imagenes/T_TAHARI_124004772_GXY_1.jpg","Ver imagen")</f>
        <v/>
      </c>
      <c r="P3895">
        <f>HYPERLINK("imagenes/T_TAHARI_124004772_GXY_2.jpg","Ver imagen")</f>
        <v/>
      </c>
      <c r="Q3895">
        <f>HYPERLINK("imagenes/T_TAHARI_124004772_GXY_3.jpg","Ver imagen")</f>
        <v/>
      </c>
    </row>
    <row r="3896">
      <c r="A3896" t="inlineStr">
        <is>
          <t>T TAHARI</t>
        </is>
      </c>
      <c r="B3896" t="inlineStr">
        <is>
          <t>124004772</t>
        </is>
      </c>
      <c r="C3896" t="inlineStr">
        <is>
          <t>CASEY PUFFER</t>
        </is>
      </c>
      <c r="D3896" t="inlineStr">
        <is>
          <t>GXY</t>
        </is>
      </c>
      <c r="E3896" t="inlineStr">
        <is>
          <t>(en blanco)</t>
        </is>
      </c>
      <c r="F3896" t="inlineStr">
        <is>
          <t>D2C</t>
        </is>
      </c>
      <c r="G3896" t="inlineStr">
        <is>
          <t>S</t>
        </is>
      </c>
      <c r="H3896" t="n">
        <v>23</v>
      </c>
      <c r="I3896" t="inlineStr">
        <is>
          <t>T_TAHARI_124004772_GXY_1.jpg</t>
        </is>
      </c>
      <c r="J3896" t="inlineStr">
        <is>
          <t>T_TAHARI_124004772_GXY_2.jpg</t>
        </is>
      </c>
      <c r="K3896" t="inlineStr">
        <is>
          <t>T_TAHARI_124004772_GXY_3.jpg</t>
        </is>
      </c>
      <c r="L3896">
        <f>IMAGE("file:///E:/Estudios%20y%20certificaciones/ESTUDIOS%20DE%20PROGRAMMING/PROGRAMMING/PERSONAL/PYTHON/Image_Generator_API/imagenes/T_TAHARI_124004772_GXY_1.jpg")</f>
        <v/>
      </c>
      <c r="M3896">
        <f>IMAGE("file:///E:/Estudios%20y%20certificaciones/ESTUDIOS%20DE%20PROGRAMMING/PROGRAMMING/PERSONAL/PYTHON/Image_Generator_API/imagenes/T_TAHARI_124004772_GXY_2.jpg")</f>
        <v/>
      </c>
      <c r="N3896">
        <f>IMAGE("file:///E:/Estudios%20y%20certificaciones/ESTUDIOS%20DE%20PROGRAMMING/PROGRAMMING/PERSONAL/PYTHON/Image_Generator_API/imagenes/T_TAHARI_124004772_GXY_3.jpg")</f>
        <v/>
      </c>
      <c r="O3896">
        <f>HYPERLINK("imagenes/T_TAHARI_124004772_GXY_1.jpg","Ver imagen")</f>
        <v/>
      </c>
      <c r="P3896">
        <f>HYPERLINK("imagenes/T_TAHARI_124004772_GXY_2.jpg","Ver imagen")</f>
        <v/>
      </c>
      <c r="Q3896">
        <f>HYPERLINK("imagenes/T_TAHARI_124004772_GXY_3.jpg","Ver imagen")</f>
        <v/>
      </c>
    </row>
    <row r="3897">
      <c r="A3897" t="inlineStr">
        <is>
          <t>T TAHARI</t>
        </is>
      </c>
      <c r="B3897" t="inlineStr">
        <is>
          <t>124004772</t>
        </is>
      </c>
      <c r="C3897" t="inlineStr">
        <is>
          <t>CASEY PUFFER</t>
        </is>
      </c>
      <c r="D3897" t="inlineStr">
        <is>
          <t>GXY</t>
        </is>
      </c>
      <c r="E3897" t="inlineStr">
        <is>
          <t>(en blanco)</t>
        </is>
      </c>
      <c r="F3897" t="inlineStr">
        <is>
          <t>D2C</t>
        </is>
      </c>
      <c r="G3897" t="inlineStr">
        <is>
          <t>M</t>
        </is>
      </c>
      <c r="H3897" t="n">
        <v>6</v>
      </c>
      <c r="I3897" t="inlineStr">
        <is>
          <t>T_TAHARI_124004772_GXY_1.jpg</t>
        </is>
      </c>
      <c r="J3897" t="inlineStr">
        <is>
          <t>T_TAHARI_124004772_GXY_2.jpg</t>
        </is>
      </c>
      <c r="K3897" t="inlineStr">
        <is>
          <t>T_TAHARI_124004772_GXY_3.jpg</t>
        </is>
      </c>
      <c r="L3897">
        <f>IMAGE("file:///E:/Estudios%20y%20certificaciones/ESTUDIOS%20DE%20PROGRAMMING/PROGRAMMING/PERSONAL/PYTHON/Image_Generator_API/imagenes/T_TAHARI_124004772_GXY_1.jpg")</f>
        <v/>
      </c>
      <c r="M3897">
        <f>IMAGE("file:///E:/Estudios%20y%20certificaciones/ESTUDIOS%20DE%20PROGRAMMING/PROGRAMMING/PERSONAL/PYTHON/Image_Generator_API/imagenes/T_TAHARI_124004772_GXY_2.jpg")</f>
        <v/>
      </c>
      <c r="N3897">
        <f>IMAGE("file:///E:/Estudios%20y%20certificaciones/ESTUDIOS%20DE%20PROGRAMMING/PROGRAMMING/PERSONAL/PYTHON/Image_Generator_API/imagenes/T_TAHARI_124004772_GXY_3.jpg")</f>
        <v/>
      </c>
      <c r="O3897">
        <f>HYPERLINK("imagenes/T_TAHARI_124004772_GXY_1.jpg","Ver imagen")</f>
        <v/>
      </c>
      <c r="P3897">
        <f>HYPERLINK("imagenes/T_TAHARI_124004772_GXY_2.jpg","Ver imagen")</f>
        <v/>
      </c>
      <c r="Q3897">
        <f>HYPERLINK("imagenes/T_TAHARI_124004772_GXY_3.jpg","Ver imagen")</f>
        <v/>
      </c>
    </row>
    <row r="3898">
      <c r="A3898" t="inlineStr">
        <is>
          <t>T TAHARI</t>
        </is>
      </c>
      <c r="B3898" t="inlineStr">
        <is>
          <t>124004809</t>
        </is>
      </c>
      <c r="C3898" t="inlineStr">
        <is>
          <t>BILLY</t>
        </is>
      </c>
      <c r="D3898" t="inlineStr">
        <is>
          <t>BLK</t>
        </is>
      </c>
      <c r="E3898" t="inlineStr">
        <is>
          <t>(en blanco)</t>
        </is>
      </c>
      <c r="F3898" t="inlineStr">
        <is>
          <t>D2C</t>
        </is>
      </c>
      <c r="G3898" t="inlineStr">
        <is>
          <t>XL</t>
        </is>
      </c>
      <c r="H3898" t="n">
        <v>1</v>
      </c>
      <c r="I3898" t="inlineStr">
        <is>
          <t>T_TAHARI_124004809_BLK_1.jpg</t>
        </is>
      </c>
      <c r="J3898" t="inlineStr">
        <is>
          <t>T_TAHARI_124004809_BLK_2.jpg</t>
        </is>
      </c>
      <c r="K3898" t="inlineStr">
        <is>
          <t>T_TAHARI_124004809_BLK_3.jpg</t>
        </is>
      </c>
      <c r="L3898">
        <f>IMAGE("file:///E:/Estudios%20y%20certificaciones/ESTUDIOS%20DE%20PROGRAMMING/PROGRAMMING/PERSONAL/PYTHON/Image_Generator_API/imagenes/T_TAHARI_124004809_BLK_1.jpg")</f>
        <v/>
      </c>
      <c r="M3898">
        <f>IMAGE("file:///E:/Estudios%20y%20certificaciones/ESTUDIOS%20DE%20PROGRAMMING/PROGRAMMING/PERSONAL/PYTHON/Image_Generator_API/imagenes/T_TAHARI_124004809_BLK_2.jpg")</f>
        <v/>
      </c>
      <c r="N3898">
        <f>IMAGE("file:///E:/Estudios%20y%20certificaciones/ESTUDIOS%20DE%20PROGRAMMING/PROGRAMMING/PERSONAL/PYTHON/Image_Generator_API/imagenes/T_TAHARI_124004809_BLK_3.jpg")</f>
        <v/>
      </c>
      <c r="O3898">
        <f>HYPERLINK("imagenes/T_TAHARI_124004809_BLK_1.jpg","Ver imagen")</f>
        <v/>
      </c>
      <c r="P3898">
        <f>HYPERLINK("imagenes/T_TAHARI_124004809_BLK_2.jpg","Ver imagen")</f>
        <v/>
      </c>
      <c r="Q3898">
        <f>HYPERLINK("imagenes/T_TAHARI_124004809_BLK_3.jpg","Ver imagen")</f>
        <v/>
      </c>
    </row>
    <row r="3899">
      <c r="A3899" t="inlineStr">
        <is>
          <t>T TAHARI</t>
        </is>
      </c>
      <c r="B3899" t="inlineStr">
        <is>
          <t>124004809</t>
        </is>
      </c>
      <c r="C3899" t="inlineStr">
        <is>
          <t>BILLY</t>
        </is>
      </c>
      <c r="D3899" t="inlineStr">
        <is>
          <t>CHY</t>
        </is>
      </c>
      <c r="E3899" t="inlineStr">
        <is>
          <t>(en blanco)</t>
        </is>
      </c>
      <c r="F3899" t="inlineStr">
        <is>
          <t>D2C</t>
        </is>
      </c>
      <c r="G3899" t="inlineStr">
        <is>
          <t>L</t>
        </is>
      </c>
      <c r="H3899" t="n">
        <v>1</v>
      </c>
      <c r="I3899" t="inlineStr">
        <is>
          <t>T_TAHARI_124004809_CHY_1.jpg</t>
        </is>
      </c>
      <c r="J3899" t="inlineStr">
        <is>
          <t>T_TAHARI_124004809_CHY_2.jpg</t>
        </is>
      </c>
      <c r="K3899" t="inlineStr">
        <is>
          <t>T_TAHARI_124004809_CHY_3.jpg</t>
        </is>
      </c>
      <c r="L3899">
        <f>IMAGE("file:///E:/Estudios%20y%20certificaciones/ESTUDIOS%20DE%20PROGRAMMING/PROGRAMMING/PERSONAL/PYTHON/Image_Generator_API/imagenes/T_TAHARI_124004809_CHY_1.jpg")</f>
        <v/>
      </c>
      <c r="M3899">
        <f>IMAGE("file:///E:/Estudios%20y%20certificaciones/ESTUDIOS%20DE%20PROGRAMMING/PROGRAMMING/PERSONAL/PYTHON/Image_Generator_API/imagenes/T_TAHARI_124004809_CHY_2.jpg")</f>
        <v/>
      </c>
      <c r="N3899">
        <f>IMAGE("file:///E:/Estudios%20y%20certificaciones/ESTUDIOS%20DE%20PROGRAMMING/PROGRAMMING/PERSONAL/PYTHON/Image_Generator_API/imagenes/T_TAHARI_124004809_CHY_3.jpg")</f>
        <v/>
      </c>
      <c r="O3899">
        <f>HYPERLINK("imagenes/T_TAHARI_124004809_CHY_1.jpg","Ver imagen")</f>
        <v/>
      </c>
      <c r="P3899">
        <f>HYPERLINK("imagenes/T_TAHARI_124004809_CHY_2.jpg","Ver imagen")</f>
        <v/>
      </c>
      <c r="Q3899">
        <f>HYPERLINK("imagenes/T_TAHARI_124004809_CHY_3.jpg","Ver imagen")</f>
        <v/>
      </c>
    </row>
    <row r="3900">
      <c r="A3900" t="inlineStr">
        <is>
          <t>T TAHARI</t>
        </is>
      </c>
      <c r="B3900" t="inlineStr">
        <is>
          <t>124004809</t>
        </is>
      </c>
      <c r="C3900" t="inlineStr">
        <is>
          <t>BILLY</t>
        </is>
      </c>
      <c r="D3900" t="inlineStr">
        <is>
          <t>SGZ</t>
        </is>
      </c>
      <c r="E3900" t="inlineStr">
        <is>
          <t>(en blanco)</t>
        </is>
      </c>
      <c r="F3900" t="inlineStr">
        <is>
          <t>D2C</t>
        </is>
      </c>
      <c r="G3900" t="inlineStr">
        <is>
          <t>XS</t>
        </is>
      </c>
      <c r="H3900" t="n">
        <v>2</v>
      </c>
      <c r="I3900" t="inlineStr">
        <is>
          <t>T_TAHARI_124004809_SGZ_1.jpg</t>
        </is>
      </c>
      <c r="J3900" t="inlineStr">
        <is>
          <t>T_TAHARI_124004809_SGZ_2.jpg</t>
        </is>
      </c>
      <c r="K3900" t="inlineStr">
        <is>
          <t>T_TAHARI_124004809_SGZ_3.jpg</t>
        </is>
      </c>
      <c r="L3900">
        <f>IMAGE("file:///E:/Estudios%20y%20certificaciones/ESTUDIOS%20DE%20PROGRAMMING/PROGRAMMING/PERSONAL/PYTHON/Image_Generator_API/imagenes/T_TAHARI_124004809_SGZ_1.jpg")</f>
        <v/>
      </c>
      <c r="M3900">
        <f>IMAGE("file:///E:/Estudios%20y%20certificaciones/ESTUDIOS%20DE%20PROGRAMMING/PROGRAMMING/PERSONAL/PYTHON/Image_Generator_API/imagenes/T_TAHARI_124004809_SGZ_2.jpg")</f>
        <v/>
      </c>
      <c r="N3900">
        <f>IMAGE("file:///E:/Estudios%20y%20certificaciones/ESTUDIOS%20DE%20PROGRAMMING/PROGRAMMING/PERSONAL/PYTHON/Image_Generator_API/imagenes/T_TAHARI_124004809_SGZ_3.jpg")</f>
        <v/>
      </c>
      <c r="O3900">
        <f>HYPERLINK("imagenes/T_TAHARI_124004809_SGZ_1.jpg","Ver imagen")</f>
        <v/>
      </c>
      <c r="P3900">
        <f>HYPERLINK("imagenes/T_TAHARI_124004809_SGZ_2.jpg","Ver imagen")</f>
        <v/>
      </c>
      <c r="Q3900">
        <f>HYPERLINK("imagenes/T_TAHARI_124004809_SGZ_3.jpg","Ver imagen")</f>
        <v/>
      </c>
    </row>
    <row r="3901">
      <c r="A3901" t="inlineStr">
        <is>
          <t>T TAHARI</t>
        </is>
      </c>
      <c r="B3901" t="inlineStr">
        <is>
          <t>124005011</t>
        </is>
      </c>
      <c r="C3901" t="inlineStr">
        <is>
          <t>JULIETTE 6620685</t>
        </is>
      </c>
      <c r="D3901" t="inlineStr">
        <is>
          <t>CHO</t>
        </is>
      </c>
      <c r="E3901" t="inlineStr">
        <is>
          <t>(en blanco)</t>
        </is>
      </c>
      <c r="F3901" t="inlineStr">
        <is>
          <t>D2C</t>
        </is>
      </c>
      <c r="G3901" t="inlineStr">
        <is>
          <t>XS</t>
        </is>
      </c>
      <c r="H3901" t="n">
        <v>2</v>
      </c>
      <c r="I3901" t="inlineStr">
        <is>
          <t>T_TAHARI_124005011_CHO_1.jpg</t>
        </is>
      </c>
      <c r="J3901" t="inlineStr">
        <is>
          <t>T_TAHARI_124005011_CHO_2.jpg</t>
        </is>
      </c>
      <c r="K3901" t="inlineStr">
        <is>
          <t>T_TAHARI_124005011_CHO_3.jpg</t>
        </is>
      </c>
      <c r="L3901">
        <f>IMAGE("file:///E:/Estudios%20y%20certificaciones/ESTUDIOS%20DE%20PROGRAMMING/PROGRAMMING/PERSONAL/PYTHON/Image_Generator_API/imagenes/T_TAHARI_124005011_CHO_1.jpg")</f>
        <v/>
      </c>
      <c r="M3901">
        <f>IMAGE("file:///E:/Estudios%20y%20certificaciones/ESTUDIOS%20DE%20PROGRAMMING/PROGRAMMING/PERSONAL/PYTHON/Image_Generator_API/imagenes/T_TAHARI_124005011_CHO_2.jpg")</f>
        <v/>
      </c>
      <c r="N3901">
        <f>IMAGE("file:///E:/Estudios%20y%20certificaciones/ESTUDIOS%20DE%20PROGRAMMING/PROGRAMMING/PERSONAL/PYTHON/Image_Generator_API/imagenes/T_TAHARI_124005011_CHO_3.jpg")</f>
        <v/>
      </c>
      <c r="O3901">
        <f>HYPERLINK("imagenes/T_TAHARI_124005011_CHO_1.jpg","Ver imagen")</f>
        <v/>
      </c>
      <c r="P3901">
        <f>HYPERLINK("imagenes/T_TAHARI_124005011_CHO_2.jpg","Ver imagen")</f>
        <v/>
      </c>
      <c r="Q3901">
        <f>HYPERLINK("imagenes/T_TAHARI_124005011_CHO_3.jpg","Ver imagen")</f>
        <v/>
      </c>
    </row>
    <row r="3902">
      <c r="A3902" t="inlineStr">
        <is>
          <t>T TAHARI</t>
        </is>
      </c>
      <c r="B3902" t="inlineStr">
        <is>
          <t>124005011</t>
        </is>
      </c>
      <c r="C3902" t="inlineStr">
        <is>
          <t>JULIETTE 6620685</t>
        </is>
      </c>
      <c r="D3902" t="inlineStr">
        <is>
          <t>CHO</t>
        </is>
      </c>
      <c r="E3902" t="inlineStr">
        <is>
          <t>(en blanco)</t>
        </is>
      </c>
      <c r="F3902" t="inlineStr">
        <is>
          <t>D2C</t>
        </is>
      </c>
      <c r="G3902" t="inlineStr">
        <is>
          <t>S</t>
        </is>
      </c>
      <c r="H3902" t="n">
        <v>2</v>
      </c>
      <c r="I3902" t="inlineStr">
        <is>
          <t>T_TAHARI_124005011_CHO_1.jpg</t>
        </is>
      </c>
      <c r="J3902" t="inlineStr">
        <is>
          <t>T_TAHARI_124005011_CHO_2.jpg</t>
        </is>
      </c>
      <c r="K3902" t="inlineStr">
        <is>
          <t>T_TAHARI_124005011_CHO_3.jpg</t>
        </is>
      </c>
      <c r="L3902">
        <f>IMAGE("file:///E:/Estudios%20y%20certificaciones/ESTUDIOS%20DE%20PROGRAMMING/PROGRAMMING/PERSONAL/PYTHON/Image_Generator_API/imagenes/T_TAHARI_124005011_CHO_1.jpg")</f>
        <v/>
      </c>
      <c r="M3902">
        <f>IMAGE("file:///E:/Estudios%20y%20certificaciones/ESTUDIOS%20DE%20PROGRAMMING/PROGRAMMING/PERSONAL/PYTHON/Image_Generator_API/imagenes/T_TAHARI_124005011_CHO_2.jpg")</f>
        <v/>
      </c>
      <c r="N3902">
        <f>IMAGE("file:///E:/Estudios%20y%20certificaciones/ESTUDIOS%20DE%20PROGRAMMING/PROGRAMMING/PERSONAL/PYTHON/Image_Generator_API/imagenes/T_TAHARI_124005011_CHO_3.jpg")</f>
        <v/>
      </c>
      <c r="O3902">
        <f>HYPERLINK("imagenes/T_TAHARI_124005011_CHO_1.jpg","Ver imagen")</f>
        <v/>
      </c>
      <c r="P3902">
        <f>HYPERLINK("imagenes/T_TAHARI_124005011_CHO_2.jpg","Ver imagen")</f>
        <v/>
      </c>
      <c r="Q3902">
        <f>HYPERLINK("imagenes/T_TAHARI_124005011_CHO_3.jpg","Ver imagen")</f>
        <v/>
      </c>
    </row>
    <row r="3903">
      <c r="A3903" t="inlineStr">
        <is>
          <t>T TAHARI</t>
        </is>
      </c>
      <c r="B3903" t="inlineStr">
        <is>
          <t>124005011</t>
        </is>
      </c>
      <c r="C3903" t="inlineStr">
        <is>
          <t>JULIETTE 6620685</t>
        </is>
      </c>
      <c r="D3903" t="inlineStr">
        <is>
          <t>CHO</t>
        </is>
      </c>
      <c r="E3903" t="inlineStr">
        <is>
          <t>(en blanco)</t>
        </is>
      </c>
      <c r="F3903" t="inlineStr">
        <is>
          <t>(en blanco)</t>
        </is>
      </c>
      <c r="G3903" t="inlineStr">
        <is>
          <t>XS</t>
        </is>
      </c>
      <c r="H3903" t="n">
        <v>55</v>
      </c>
      <c r="I3903" t="inlineStr">
        <is>
          <t>T_TAHARI_124005011_CHO_1.jpg</t>
        </is>
      </c>
      <c r="J3903" t="inlineStr">
        <is>
          <t>T_TAHARI_124005011_CHO_2.jpg</t>
        </is>
      </c>
      <c r="K3903" t="inlineStr">
        <is>
          <t>T_TAHARI_124005011_CHO_3.jpg</t>
        </is>
      </c>
      <c r="L3903">
        <f>IMAGE("file:///E:/Estudios%20y%20certificaciones/ESTUDIOS%20DE%20PROGRAMMING/PROGRAMMING/PERSONAL/PYTHON/Image_Generator_API/imagenes/T_TAHARI_124005011_CHO_1.jpg")</f>
        <v/>
      </c>
      <c r="M3903">
        <f>IMAGE("file:///E:/Estudios%20y%20certificaciones/ESTUDIOS%20DE%20PROGRAMMING/PROGRAMMING/PERSONAL/PYTHON/Image_Generator_API/imagenes/T_TAHARI_124005011_CHO_2.jpg")</f>
        <v/>
      </c>
      <c r="N3903">
        <f>IMAGE("file:///E:/Estudios%20y%20certificaciones/ESTUDIOS%20DE%20PROGRAMMING/PROGRAMMING/PERSONAL/PYTHON/Image_Generator_API/imagenes/T_TAHARI_124005011_CHO_3.jpg")</f>
        <v/>
      </c>
      <c r="O3903">
        <f>HYPERLINK("imagenes/T_TAHARI_124005011_CHO_1.jpg","Ver imagen")</f>
        <v/>
      </c>
      <c r="P3903">
        <f>HYPERLINK("imagenes/T_TAHARI_124005011_CHO_2.jpg","Ver imagen")</f>
        <v/>
      </c>
      <c r="Q3903">
        <f>HYPERLINK("imagenes/T_TAHARI_124005011_CHO_3.jpg","Ver imagen")</f>
        <v/>
      </c>
    </row>
    <row r="3904">
      <c r="A3904" t="inlineStr">
        <is>
          <t>T TAHARI</t>
        </is>
      </c>
      <c r="B3904" t="inlineStr">
        <is>
          <t>124005011</t>
        </is>
      </c>
      <c r="C3904" t="inlineStr">
        <is>
          <t>JULIETTE 6620685</t>
        </is>
      </c>
      <c r="D3904" t="inlineStr">
        <is>
          <t>CHO</t>
        </is>
      </c>
      <c r="E3904" t="inlineStr">
        <is>
          <t>(en blanco)</t>
        </is>
      </c>
      <c r="F3904" t="inlineStr">
        <is>
          <t>(en blanco)</t>
        </is>
      </c>
      <c r="G3904" t="inlineStr">
        <is>
          <t>S</t>
        </is>
      </c>
      <c r="H3904" t="n">
        <v>108</v>
      </c>
      <c r="I3904" t="inlineStr">
        <is>
          <t>T_TAHARI_124005011_CHO_1.jpg</t>
        </is>
      </c>
      <c r="J3904" t="inlineStr">
        <is>
          <t>T_TAHARI_124005011_CHO_2.jpg</t>
        </is>
      </c>
      <c r="K3904" t="inlineStr">
        <is>
          <t>T_TAHARI_124005011_CHO_3.jpg</t>
        </is>
      </c>
      <c r="L3904">
        <f>IMAGE("file:///E:/Estudios%20y%20certificaciones/ESTUDIOS%20DE%20PROGRAMMING/PROGRAMMING/PERSONAL/PYTHON/Image_Generator_API/imagenes/T_TAHARI_124005011_CHO_1.jpg")</f>
        <v/>
      </c>
      <c r="M3904">
        <f>IMAGE("file:///E:/Estudios%20y%20certificaciones/ESTUDIOS%20DE%20PROGRAMMING/PROGRAMMING/PERSONAL/PYTHON/Image_Generator_API/imagenes/T_TAHARI_124005011_CHO_2.jpg")</f>
        <v/>
      </c>
      <c r="N3904">
        <f>IMAGE("file:///E:/Estudios%20y%20certificaciones/ESTUDIOS%20DE%20PROGRAMMING/PROGRAMMING/PERSONAL/PYTHON/Image_Generator_API/imagenes/T_TAHARI_124005011_CHO_3.jpg")</f>
        <v/>
      </c>
      <c r="O3904">
        <f>HYPERLINK("imagenes/T_TAHARI_124005011_CHO_1.jpg","Ver imagen")</f>
        <v/>
      </c>
      <c r="P3904">
        <f>HYPERLINK("imagenes/T_TAHARI_124005011_CHO_2.jpg","Ver imagen")</f>
        <v/>
      </c>
      <c r="Q3904">
        <f>HYPERLINK("imagenes/T_TAHARI_124005011_CHO_3.jpg","Ver imagen")</f>
        <v/>
      </c>
    </row>
    <row r="3905">
      <c r="A3905" t="inlineStr">
        <is>
          <t>T TAHARI</t>
        </is>
      </c>
      <c r="B3905" t="inlineStr">
        <is>
          <t>124005011</t>
        </is>
      </c>
      <c r="C3905" t="inlineStr">
        <is>
          <t>JULIETTE 6620685</t>
        </is>
      </c>
      <c r="D3905" t="inlineStr">
        <is>
          <t>CHO</t>
        </is>
      </c>
      <c r="E3905" t="inlineStr">
        <is>
          <t>(en blanco)</t>
        </is>
      </c>
      <c r="F3905" t="inlineStr">
        <is>
          <t>(en blanco)</t>
        </is>
      </c>
      <c r="G3905" t="inlineStr">
        <is>
          <t>M</t>
        </is>
      </c>
      <c r="H3905" t="n">
        <v>101</v>
      </c>
      <c r="I3905" t="inlineStr">
        <is>
          <t>T_TAHARI_124005011_CHO_1.jpg</t>
        </is>
      </c>
      <c r="J3905" t="inlineStr">
        <is>
          <t>T_TAHARI_124005011_CHO_2.jpg</t>
        </is>
      </c>
      <c r="K3905" t="inlineStr">
        <is>
          <t>T_TAHARI_124005011_CHO_3.jpg</t>
        </is>
      </c>
      <c r="L3905">
        <f>IMAGE("file:///E:/Estudios%20y%20certificaciones/ESTUDIOS%20DE%20PROGRAMMING/PROGRAMMING/PERSONAL/PYTHON/Image_Generator_API/imagenes/T_TAHARI_124005011_CHO_1.jpg")</f>
        <v/>
      </c>
      <c r="M3905">
        <f>IMAGE("file:///E:/Estudios%20y%20certificaciones/ESTUDIOS%20DE%20PROGRAMMING/PROGRAMMING/PERSONAL/PYTHON/Image_Generator_API/imagenes/T_TAHARI_124005011_CHO_2.jpg")</f>
        <v/>
      </c>
      <c r="N3905">
        <f>IMAGE("file:///E:/Estudios%20y%20certificaciones/ESTUDIOS%20DE%20PROGRAMMING/PROGRAMMING/PERSONAL/PYTHON/Image_Generator_API/imagenes/T_TAHARI_124005011_CHO_3.jpg")</f>
        <v/>
      </c>
      <c r="O3905">
        <f>HYPERLINK("imagenes/T_TAHARI_124005011_CHO_1.jpg","Ver imagen")</f>
        <v/>
      </c>
      <c r="P3905">
        <f>HYPERLINK("imagenes/T_TAHARI_124005011_CHO_2.jpg","Ver imagen")</f>
        <v/>
      </c>
      <c r="Q3905">
        <f>HYPERLINK("imagenes/T_TAHARI_124005011_CHO_3.jpg","Ver imagen")</f>
        <v/>
      </c>
    </row>
    <row r="3906">
      <c r="A3906" t="inlineStr">
        <is>
          <t>T TAHARI</t>
        </is>
      </c>
      <c r="B3906" t="inlineStr">
        <is>
          <t>124005011</t>
        </is>
      </c>
      <c r="C3906" t="inlineStr">
        <is>
          <t>JULIETTE 6620685</t>
        </is>
      </c>
      <c r="D3906" t="inlineStr">
        <is>
          <t>CHO</t>
        </is>
      </c>
      <c r="E3906" t="inlineStr">
        <is>
          <t>(en blanco)</t>
        </is>
      </c>
      <c r="F3906" t="inlineStr">
        <is>
          <t>(en blanco)</t>
        </is>
      </c>
      <c r="G3906" t="inlineStr">
        <is>
          <t>L</t>
        </is>
      </c>
      <c r="H3906" t="n">
        <v>98</v>
      </c>
      <c r="I3906" t="inlineStr">
        <is>
          <t>T_TAHARI_124005011_CHO_1.jpg</t>
        </is>
      </c>
      <c r="J3906" t="inlineStr">
        <is>
          <t>T_TAHARI_124005011_CHO_2.jpg</t>
        </is>
      </c>
      <c r="K3906" t="inlineStr">
        <is>
          <t>T_TAHARI_124005011_CHO_3.jpg</t>
        </is>
      </c>
      <c r="L3906">
        <f>IMAGE("file:///E:/Estudios%20y%20certificaciones/ESTUDIOS%20DE%20PROGRAMMING/PROGRAMMING/PERSONAL/PYTHON/Image_Generator_API/imagenes/T_TAHARI_124005011_CHO_1.jpg")</f>
        <v/>
      </c>
      <c r="M3906">
        <f>IMAGE("file:///E:/Estudios%20y%20certificaciones/ESTUDIOS%20DE%20PROGRAMMING/PROGRAMMING/PERSONAL/PYTHON/Image_Generator_API/imagenes/T_TAHARI_124005011_CHO_2.jpg")</f>
        <v/>
      </c>
      <c r="N3906">
        <f>IMAGE("file:///E:/Estudios%20y%20certificaciones/ESTUDIOS%20DE%20PROGRAMMING/PROGRAMMING/PERSONAL/PYTHON/Image_Generator_API/imagenes/T_TAHARI_124005011_CHO_3.jpg")</f>
        <v/>
      </c>
      <c r="O3906">
        <f>HYPERLINK("imagenes/T_TAHARI_124005011_CHO_1.jpg","Ver imagen")</f>
        <v/>
      </c>
      <c r="P3906">
        <f>HYPERLINK("imagenes/T_TAHARI_124005011_CHO_2.jpg","Ver imagen")</f>
        <v/>
      </c>
      <c r="Q3906">
        <f>HYPERLINK("imagenes/T_TAHARI_124005011_CHO_3.jpg","Ver imagen")</f>
        <v/>
      </c>
    </row>
    <row r="3907">
      <c r="A3907" t="inlineStr">
        <is>
          <t>T TAHARI</t>
        </is>
      </c>
      <c r="B3907" t="inlineStr">
        <is>
          <t>124005011</t>
        </is>
      </c>
      <c r="C3907" t="inlineStr">
        <is>
          <t>JULIETTE 6620685</t>
        </is>
      </c>
      <c r="D3907" t="inlineStr">
        <is>
          <t>CHO</t>
        </is>
      </c>
      <c r="E3907" t="inlineStr">
        <is>
          <t>(en blanco)</t>
        </is>
      </c>
      <c r="F3907" t="inlineStr">
        <is>
          <t>(en blanco)</t>
        </is>
      </c>
      <c r="G3907" t="inlineStr">
        <is>
          <t>XL</t>
        </is>
      </c>
      <c r="H3907" t="n">
        <v>50</v>
      </c>
      <c r="I3907" t="inlineStr">
        <is>
          <t>T_TAHARI_124005011_CHO_1.jpg</t>
        </is>
      </c>
      <c r="J3907" t="inlineStr">
        <is>
          <t>T_TAHARI_124005011_CHO_2.jpg</t>
        </is>
      </c>
      <c r="K3907" t="inlineStr">
        <is>
          <t>T_TAHARI_124005011_CHO_3.jpg</t>
        </is>
      </c>
      <c r="L3907">
        <f>IMAGE("file:///E:/Estudios%20y%20certificaciones/ESTUDIOS%20DE%20PROGRAMMING/PROGRAMMING/PERSONAL/PYTHON/Image_Generator_API/imagenes/T_TAHARI_124005011_CHO_1.jpg")</f>
        <v/>
      </c>
      <c r="M3907">
        <f>IMAGE("file:///E:/Estudios%20y%20certificaciones/ESTUDIOS%20DE%20PROGRAMMING/PROGRAMMING/PERSONAL/PYTHON/Image_Generator_API/imagenes/T_TAHARI_124005011_CHO_2.jpg")</f>
        <v/>
      </c>
      <c r="N3907">
        <f>IMAGE("file:///E:/Estudios%20y%20certificaciones/ESTUDIOS%20DE%20PROGRAMMING/PROGRAMMING/PERSONAL/PYTHON/Image_Generator_API/imagenes/T_TAHARI_124005011_CHO_3.jpg")</f>
        <v/>
      </c>
      <c r="O3907">
        <f>HYPERLINK("imagenes/T_TAHARI_124005011_CHO_1.jpg","Ver imagen")</f>
        <v/>
      </c>
      <c r="P3907">
        <f>HYPERLINK("imagenes/T_TAHARI_124005011_CHO_2.jpg","Ver imagen")</f>
        <v/>
      </c>
      <c r="Q3907">
        <f>HYPERLINK("imagenes/T_TAHARI_124005011_CHO_3.jpg","Ver imagen")</f>
        <v/>
      </c>
    </row>
    <row r="3908">
      <c r="A3908" t="inlineStr">
        <is>
          <t>T TAHARI</t>
        </is>
      </c>
      <c r="B3908" t="inlineStr">
        <is>
          <t>124005011</t>
        </is>
      </c>
      <c r="C3908" t="inlineStr">
        <is>
          <t>JULIETTE 6620685</t>
        </is>
      </c>
      <c r="D3908" t="inlineStr">
        <is>
          <t>CHY</t>
        </is>
      </c>
      <c r="E3908" t="inlineStr">
        <is>
          <t>(en blanco)</t>
        </is>
      </c>
      <c r="F3908" t="inlineStr">
        <is>
          <t>D2C</t>
        </is>
      </c>
      <c r="G3908" t="inlineStr">
        <is>
          <t>XS</t>
        </is>
      </c>
      <c r="H3908" t="n">
        <v>4</v>
      </c>
      <c r="I3908" t="inlineStr">
        <is>
          <t>T_TAHARI_124005011_CHY_1.jpg</t>
        </is>
      </c>
      <c r="J3908" t="inlineStr">
        <is>
          <t>T_TAHARI_124005011_CHY_2.jpg</t>
        </is>
      </c>
      <c r="K3908" t="inlineStr">
        <is>
          <t>T_TAHARI_124005011_CHY_3.jpg</t>
        </is>
      </c>
      <c r="L3908">
        <f>IMAGE("file:///E:/Estudios%20y%20certificaciones/ESTUDIOS%20DE%20PROGRAMMING/PROGRAMMING/PERSONAL/PYTHON/Image_Generator_API/imagenes/T_TAHARI_124005011_CHY_1.jpg")</f>
        <v/>
      </c>
      <c r="M3908">
        <f>IMAGE("file:///E:/Estudios%20y%20certificaciones/ESTUDIOS%20DE%20PROGRAMMING/PROGRAMMING/PERSONAL/PYTHON/Image_Generator_API/imagenes/T_TAHARI_124005011_CHY_2.jpg")</f>
        <v/>
      </c>
      <c r="N3908">
        <f>IMAGE("file:///E:/Estudios%20y%20certificaciones/ESTUDIOS%20DE%20PROGRAMMING/PROGRAMMING/PERSONAL/PYTHON/Image_Generator_API/imagenes/T_TAHARI_124005011_CHY_3.jpg")</f>
        <v/>
      </c>
      <c r="O3908">
        <f>HYPERLINK("imagenes/T_TAHARI_124005011_CHY_1.jpg","Ver imagen")</f>
        <v/>
      </c>
      <c r="P3908">
        <f>HYPERLINK("imagenes/T_TAHARI_124005011_CHY_2.jpg","Ver imagen")</f>
        <v/>
      </c>
      <c r="Q3908">
        <f>HYPERLINK("imagenes/T_TAHARI_124005011_CHY_3.jpg","Ver imagen")</f>
        <v/>
      </c>
    </row>
    <row r="3909">
      <c r="A3909" t="inlineStr">
        <is>
          <t>T TAHARI</t>
        </is>
      </c>
      <c r="B3909" t="inlineStr">
        <is>
          <t>124005011</t>
        </is>
      </c>
      <c r="C3909" t="inlineStr">
        <is>
          <t>JULIETTE 6620685</t>
        </is>
      </c>
      <c r="D3909" t="inlineStr">
        <is>
          <t>CHY</t>
        </is>
      </c>
      <c r="E3909" t="inlineStr">
        <is>
          <t>(en blanco)</t>
        </is>
      </c>
      <c r="F3909" t="inlineStr">
        <is>
          <t>D2C</t>
        </is>
      </c>
      <c r="G3909" t="inlineStr">
        <is>
          <t>S</t>
        </is>
      </c>
      <c r="H3909" t="n">
        <v>9</v>
      </c>
      <c r="I3909" t="inlineStr">
        <is>
          <t>T_TAHARI_124005011_CHY_1.jpg</t>
        </is>
      </c>
      <c r="J3909" t="inlineStr">
        <is>
          <t>T_TAHARI_124005011_CHY_2.jpg</t>
        </is>
      </c>
      <c r="K3909" t="inlineStr">
        <is>
          <t>T_TAHARI_124005011_CHY_3.jpg</t>
        </is>
      </c>
      <c r="L3909">
        <f>IMAGE("file:///E:/Estudios%20y%20certificaciones/ESTUDIOS%20DE%20PROGRAMMING/PROGRAMMING/PERSONAL/PYTHON/Image_Generator_API/imagenes/T_TAHARI_124005011_CHY_1.jpg")</f>
        <v/>
      </c>
      <c r="M3909">
        <f>IMAGE("file:///E:/Estudios%20y%20certificaciones/ESTUDIOS%20DE%20PROGRAMMING/PROGRAMMING/PERSONAL/PYTHON/Image_Generator_API/imagenes/T_TAHARI_124005011_CHY_2.jpg")</f>
        <v/>
      </c>
      <c r="N3909">
        <f>IMAGE("file:///E:/Estudios%20y%20certificaciones/ESTUDIOS%20DE%20PROGRAMMING/PROGRAMMING/PERSONAL/PYTHON/Image_Generator_API/imagenes/T_TAHARI_124005011_CHY_3.jpg")</f>
        <v/>
      </c>
      <c r="O3909">
        <f>HYPERLINK("imagenes/T_TAHARI_124005011_CHY_1.jpg","Ver imagen")</f>
        <v/>
      </c>
      <c r="P3909">
        <f>HYPERLINK("imagenes/T_TAHARI_124005011_CHY_2.jpg","Ver imagen")</f>
        <v/>
      </c>
      <c r="Q3909">
        <f>HYPERLINK("imagenes/T_TAHARI_124005011_CHY_3.jpg","Ver imagen")</f>
        <v/>
      </c>
    </row>
    <row r="3910">
      <c r="A3910" t="inlineStr">
        <is>
          <t>T TAHARI</t>
        </is>
      </c>
      <c r="B3910" t="inlineStr">
        <is>
          <t>124005011</t>
        </is>
      </c>
      <c r="C3910" t="inlineStr">
        <is>
          <t>JULIETTE 6620685</t>
        </is>
      </c>
      <c r="D3910" t="inlineStr">
        <is>
          <t>CHY</t>
        </is>
      </c>
      <c r="E3910" t="inlineStr">
        <is>
          <t>(en blanco)</t>
        </is>
      </c>
      <c r="F3910" t="inlineStr">
        <is>
          <t>D2C</t>
        </is>
      </c>
      <c r="G3910" t="inlineStr">
        <is>
          <t>M</t>
        </is>
      </c>
      <c r="H3910" t="n">
        <v>11</v>
      </c>
      <c r="I3910" t="inlineStr">
        <is>
          <t>T_TAHARI_124005011_CHY_1.jpg</t>
        </is>
      </c>
      <c r="J3910" t="inlineStr">
        <is>
          <t>T_TAHARI_124005011_CHY_2.jpg</t>
        </is>
      </c>
      <c r="K3910" t="inlineStr">
        <is>
          <t>T_TAHARI_124005011_CHY_3.jpg</t>
        </is>
      </c>
      <c r="L3910">
        <f>IMAGE("file:///E:/Estudios%20y%20certificaciones/ESTUDIOS%20DE%20PROGRAMMING/PROGRAMMING/PERSONAL/PYTHON/Image_Generator_API/imagenes/T_TAHARI_124005011_CHY_1.jpg")</f>
        <v/>
      </c>
      <c r="M3910">
        <f>IMAGE("file:///E:/Estudios%20y%20certificaciones/ESTUDIOS%20DE%20PROGRAMMING/PROGRAMMING/PERSONAL/PYTHON/Image_Generator_API/imagenes/T_TAHARI_124005011_CHY_2.jpg")</f>
        <v/>
      </c>
      <c r="N3910">
        <f>IMAGE("file:///E:/Estudios%20y%20certificaciones/ESTUDIOS%20DE%20PROGRAMMING/PROGRAMMING/PERSONAL/PYTHON/Image_Generator_API/imagenes/T_TAHARI_124005011_CHY_3.jpg")</f>
        <v/>
      </c>
      <c r="O3910">
        <f>HYPERLINK("imagenes/T_TAHARI_124005011_CHY_1.jpg","Ver imagen")</f>
        <v/>
      </c>
      <c r="P3910">
        <f>HYPERLINK("imagenes/T_TAHARI_124005011_CHY_2.jpg","Ver imagen")</f>
        <v/>
      </c>
      <c r="Q3910">
        <f>HYPERLINK("imagenes/T_TAHARI_124005011_CHY_3.jpg","Ver imagen")</f>
        <v/>
      </c>
    </row>
    <row r="3911">
      <c r="A3911" t="inlineStr">
        <is>
          <t>T TAHARI</t>
        </is>
      </c>
      <c r="B3911" t="inlineStr">
        <is>
          <t>124005011</t>
        </is>
      </c>
      <c r="C3911" t="inlineStr">
        <is>
          <t>JULIETTE 6620685</t>
        </is>
      </c>
      <c r="D3911" t="inlineStr">
        <is>
          <t>CHY</t>
        </is>
      </c>
      <c r="E3911" t="inlineStr">
        <is>
          <t>(en blanco)</t>
        </is>
      </c>
      <c r="F3911" t="inlineStr">
        <is>
          <t>D2C</t>
        </is>
      </c>
      <c r="G3911" t="inlineStr">
        <is>
          <t>L</t>
        </is>
      </c>
      <c r="H3911" t="n">
        <v>17</v>
      </c>
      <c r="I3911" t="inlineStr">
        <is>
          <t>T_TAHARI_124005011_CHY_1.jpg</t>
        </is>
      </c>
      <c r="J3911" t="inlineStr">
        <is>
          <t>T_TAHARI_124005011_CHY_2.jpg</t>
        </is>
      </c>
      <c r="K3911" t="inlineStr">
        <is>
          <t>T_TAHARI_124005011_CHY_3.jpg</t>
        </is>
      </c>
      <c r="L3911">
        <f>IMAGE("file:///E:/Estudios%20y%20certificaciones/ESTUDIOS%20DE%20PROGRAMMING/PROGRAMMING/PERSONAL/PYTHON/Image_Generator_API/imagenes/T_TAHARI_124005011_CHY_1.jpg")</f>
        <v/>
      </c>
      <c r="M3911">
        <f>IMAGE("file:///E:/Estudios%20y%20certificaciones/ESTUDIOS%20DE%20PROGRAMMING/PROGRAMMING/PERSONAL/PYTHON/Image_Generator_API/imagenes/T_TAHARI_124005011_CHY_2.jpg")</f>
        <v/>
      </c>
      <c r="N3911">
        <f>IMAGE("file:///E:/Estudios%20y%20certificaciones/ESTUDIOS%20DE%20PROGRAMMING/PROGRAMMING/PERSONAL/PYTHON/Image_Generator_API/imagenes/T_TAHARI_124005011_CHY_3.jpg")</f>
        <v/>
      </c>
      <c r="O3911">
        <f>HYPERLINK("imagenes/T_TAHARI_124005011_CHY_1.jpg","Ver imagen")</f>
        <v/>
      </c>
      <c r="P3911">
        <f>HYPERLINK("imagenes/T_TAHARI_124005011_CHY_2.jpg","Ver imagen")</f>
        <v/>
      </c>
      <c r="Q3911">
        <f>HYPERLINK("imagenes/T_TAHARI_124005011_CHY_3.jpg","Ver imagen")</f>
        <v/>
      </c>
    </row>
    <row r="3912">
      <c r="A3912" t="inlineStr">
        <is>
          <t>T TAHARI</t>
        </is>
      </c>
      <c r="B3912" t="inlineStr">
        <is>
          <t>124005011</t>
        </is>
      </c>
      <c r="C3912" t="inlineStr">
        <is>
          <t>JULIETTE 6620685</t>
        </is>
      </c>
      <c r="D3912" t="inlineStr">
        <is>
          <t>CHY</t>
        </is>
      </c>
      <c r="E3912" t="inlineStr">
        <is>
          <t>(en blanco)</t>
        </is>
      </c>
      <c r="F3912" t="inlineStr">
        <is>
          <t>D2C</t>
        </is>
      </c>
      <c r="G3912" t="inlineStr">
        <is>
          <t>XL</t>
        </is>
      </c>
      <c r="H3912" t="n">
        <v>2</v>
      </c>
      <c r="I3912" t="inlineStr">
        <is>
          <t>T_TAHARI_124005011_CHY_1.jpg</t>
        </is>
      </c>
      <c r="J3912" t="inlineStr">
        <is>
          <t>T_TAHARI_124005011_CHY_2.jpg</t>
        </is>
      </c>
      <c r="K3912" t="inlineStr">
        <is>
          <t>T_TAHARI_124005011_CHY_3.jpg</t>
        </is>
      </c>
      <c r="L3912">
        <f>IMAGE("file:///E:/Estudios%20y%20certificaciones/ESTUDIOS%20DE%20PROGRAMMING/PROGRAMMING/PERSONAL/PYTHON/Image_Generator_API/imagenes/T_TAHARI_124005011_CHY_1.jpg")</f>
        <v/>
      </c>
      <c r="M3912">
        <f>IMAGE("file:///E:/Estudios%20y%20certificaciones/ESTUDIOS%20DE%20PROGRAMMING/PROGRAMMING/PERSONAL/PYTHON/Image_Generator_API/imagenes/T_TAHARI_124005011_CHY_2.jpg")</f>
        <v/>
      </c>
      <c r="N3912">
        <f>IMAGE("file:///E:/Estudios%20y%20certificaciones/ESTUDIOS%20DE%20PROGRAMMING/PROGRAMMING/PERSONAL/PYTHON/Image_Generator_API/imagenes/T_TAHARI_124005011_CHY_3.jpg")</f>
        <v/>
      </c>
      <c r="O3912">
        <f>HYPERLINK("imagenes/T_TAHARI_124005011_CHY_1.jpg","Ver imagen")</f>
        <v/>
      </c>
      <c r="P3912">
        <f>HYPERLINK("imagenes/T_TAHARI_124005011_CHY_2.jpg","Ver imagen")</f>
        <v/>
      </c>
      <c r="Q3912">
        <f>HYPERLINK("imagenes/T_TAHARI_124005011_CHY_3.jpg","Ver imagen")</f>
        <v/>
      </c>
    </row>
    <row r="3913">
      <c r="A3913" t="inlineStr">
        <is>
          <t>T TAHARI</t>
        </is>
      </c>
      <c r="B3913" t="inlineStr">
        <is>
          <t>124005011</t>
        </is>
      </c>
      <c r="C3913" t="inlineStr">
        <is>
          <t>JULIETTE 6620685</t>
        </is>
      </c>
      <c r="D3913" t="inlineStr">
        <is>
          <t>CHY</t>
        </is>
      </c>
      <c r="E3913" t="inlineStr">
        <is>
          <t>(en blanco)</t>
        </is>
      </c>
      <c r="F3913" t="inlineStr">
        <is>
          <t>(en blanco)</t>
        </is>
      </c>
      <c r="G3913" t="inlineStr">
        <is>
          <t>M</t>
        </is>
      </c>
      <c r="H3913" t="n">
        <v>5</v>
      </c>
      <c r="I3913" t="inlineStr">
        <is>
          <t>T_TAHARI_124005011_CHY_1.jpg</t>
        </is>
      </c>
      <c r="J3913" t="inlineStr">
        <is>
          <t>T_TAHARI_124005011_CHY_2.jpg</t>
        </is>
      </c>
      <c r="K3913" t="inlineStr">
        <is>
          <t>T_TAHARI_124005011_CHY_3.jpg</t>
        </is>
      </c>
      <c r="L3913">
        <f>IMAGE("file:///E:/Estudios%20y%20certificaciones/ESTUDIOS%20DE%20PROGRAMMING/PROGRAMMING/PERSONAL/PYTHON/Image_Generator_API/imagenes/T_TAHARI_124005011_CHY_1.jpg")</f>
        <v/>
      </c>
      <c r="M3913">
        <f>IMAGE("file:///E:/Estudios%20y%20certificaciones/ESTUDIOS%20DE%20PROGRAMMING/PROGRAMMING/PERSONAL/PYTHON/Image_Generator_API/imagenes/T_TAHARI_124005011_CHY_2.jpg")</f>
        <v/>
      </c>
      <c r="N3913">
        <f>IMAGE("file:///E:/Estudios%20y%20certificaciones/ESTUDIOS%20DE%20PROGRAMMING/PROGRAMMING/PERSONAL/PYTHON/Image_Generator_API/imagenes/T_TAHARI_124005011_CHY_3.jpg")</f>
        <v/>
      </c>
      <c r="O3913">
        <f>HYPERLINK("imagenes/T_TAHARI_124005011_CHY_1.jpg","Ver imagen")</f>
        <v/>
      </c>
      <c r="P3913">
        <f>HYPERLINK("imagenes/T_TAHARI_124005011_CHY_2.jpg","Ver imagen")</f>
        <v/>
      </c>
      <c r="Q3913">
        <f>HYPERLINK("imagenes/T_TAHARI_124005011_CHY_3.jpg","Ver imagen")</f>
        <v/>
      </c>
    </row>
    <row r="3914">
      <c r="A3914" t="inlineStr">
        <is>
          <t>T TAHARI</t>
        </is>
      </c>
      <c r="B3914" t="inlineStr">
        <is>
          <t>124005172</t>
        </is>
      </c>
      <c r="C3914" t="inlineStr">
        <is>
          <t>BEE</t>
        </is>
      </c>
      <c r="D3914" t="inlineStr">
        <is>
          <t>STZ</t>
        </is>
      </c>
      <c r="E3914" t="inlineStr">
        <is>
          <t>(en blanco)</t>
        </is>
      </c>
      <c r="F3914" t="inlineStr">
        <is>
          <t>D2C</t>
        </is>
      </c>
      <c r="G3914" t="inlineStr">
        <is>
          <t>XL</t>
        </is>
      </c>
      <c r="H3914" t="n">
        <v>8</v>
      </c>
      <c r="I3914" t="inlineStr">
        <is>
          <t>T_TAHARI_124005172_STZ_1.jpg</t>
        </is>
      </c>
      <c r="J3914" t="inlineStr">
        <is>
          <t>T_TAHARI_124005172_STZ_2.jpg</t>
        </is>
      </c>
      <c r="K3914" t="inlineStr">
        <is>
          <t>T_TAHARI_124005172_STZ_3.jpg</t>
        </is>
      </c>
      <c r="L3914">
        <f>IMAGE("file:///E:/Estudios%20y%20certificaciones/ESTUDIOS%20DE%20PROGRAMMING/PROGRAMMING/PERSONAL/PYTHON/Image_Generator_API/imagenes/T_TAHARI_124005172_STZ_1.jpg")</f>
        <v/>
      </c>
      <c r="M3914">
        <f>IMAGE("file:///E:/Estudios%20y%20certificaciones/ESTUDIOS%20DE%20PROGRAMMING/PROGRAMMING/PERSONAL/PYTHON/Image_Generator_API/imagenes/T_TAHARI_124005172_STZ_2.jpg")</f>
        <v/>
      </c>
      <c r="N3914">
        <f>IMAGE("file:///E:/Estudios%20y%20certificaciones/ESTUDIOS%20DE%20PROGRAMMING/PROGRAMMING/PERSONAL/PYTHON/Image_Generator_API/imagenes/T_TAHARI_124005172_STZ_3.jpg")</f>
        <v/>
      </c>
      <c r="O3914">
        <f>HYPERLINK("imagenes/T_TAHARI_124005172_STZ_1.jpg","Ver imagen")</f>
        <v/>
      </c>
      <c r="P3914">
        <f>HYPERLINK("imagenes/T_TAHARI_124005172_STZ_2.jpg","Ver imagen")</f>
        <v/>
      </c>
      <c r="Q3914">
        <f>HYPERLINK("imagenes/T_TAHARI_124005172_STZ_3.jpg","Ver imagen")</f>
        <v/>
      </c>
    </row>
    <row r="3915">
      <c r="A3915" t="inlineStr">
        <is>
          <t>T TAHARI</t>
        </is>
      </c>
      <c r="B3915" t="inlineStr">
        <is>
          <t>124005395</t>
        </is>
      </c>
      <c r="C3915" t="inlineStr">
        <is>
          <t>LINA</t>
        </is>
      </c>
      <c r="D3915" t="inlineStr">
        <is>
          <t>BLK</t>
        </is>
      </c>
      <c r="E3915" t="inlineStr">
        <is>
          <t>(en blanco)</t>
        </is>
      </c>
      <c r="F3915" t="inlineStr">
        <is>
          <t>D2C</t>
        </is>
      </c>
      <c r="G3915" t="inlineStr">
        <is>
          <t>L</t>
        </is>
      </c>
      <c r="H3915" t="n">
        <v>1</v>
      </c>
      <c r="I3915" t="inlineStr">
        <is>
          <t>T_TAHARI_124005395_BLK_1.jpg</t>
        </is>
      </c>
      <c r="J3915" t="inlineStr">
        <is>
          <t>T_TAHARI_124005395_BLK_2.jpg</t>
        </is>
      </c>
      <c r="K3915" t="inlineStr">
        <is>
          <t>T_TAHARI_124005395_BLK_3.jpg</t>
        </is>
      </c>
      <c r="L3915">
        <f>IMAGE("file:///E:/Estudios%20y%20certificaciones/ESTUDIOS%20DE%20PROGRAMMING/PROGRAMMING/PERSONAL/PYTHON/Image_Generator_API/imagenes/T_TAHARI_124005395_BLK_1.jpg")</f>
        <v/>
      </c>
      <c r="M3915">
        <f>IMAGE("file:///E:/Estudios%20y%20certificaciones/ESTUDIOS%20DE%20PROGRAMMING/PROGRAMMING/PERSONAL/PYTHON/Image_Generator_API/imagenes/T_TAHARI_124005395_BLK_2.jpg")</f>
        <v/>
      </c>
      <c r="N3915">
        <f>IMAGE("file:///E:/Estudios%20y%20certificaciones/ESTUDIOS%20DE%20PROGRAMMING/PROGRAMMING/PERSONAL/PYTHON/Image_Generator_API/imagenes/T_TAHARI_124005395_BLK_3.jpg")</f>
        <v/>
      </c>
      <c r="O3915">
        <f>HYPERLINK("imagenes/T_TAHARI_124005395_BLK_1.jpg","Ver imagen")</f>
        <v/>
      </c>
      <c r="P3915">
        <f>HYPERLINK("imagenes/T_TAHARI_124005395_BLK_2.jpg","Ver imagen")</f>
        <v/>
      </c>
      <c r="Q3915">
        <f>HYPERLINK("imagenes/T_TAHARI_124005395_BLK_3.jpg","Ver imagen")</f>
        <v/>
      </c>
    </row>
    <row r="3916">
      <c r="A3916" t="inlineStr">
        <is>
          <t>T TAHARI</t>
        </is>
      </c>
      <c r="B3916" t="inlineStr">
        <is>
          <t>124005395</t>
        </is>
      </c>
      <c r="C3916" t="inlineStr">
        <is>
          <t>LINA</t>
        </is>
      </c>
      <c r="D3916" t="inlineStr">
        <is>
          <t>BLK</t>
        </is>
      </c>
      <c r="E3916" t="inlineStr">
        <is>
          <t>(en blanco)</t>
        </is>
      </c>
      <c r="F3916" t="inlineStr">
        <is>
          <t>(en blanco)</t>
        </is>
      </c>
      <c r="G3916" t="inlineStr">
        <is>
          <t>S</t>
        </is>
      </c>
      <c r="H3916" t="n">
        <v>1</v>
      </c>
      <c r="I3916" t="inlineStr">
        <is>
          <t>T_TAHARI_124005395_BLK_1.jpg</t>
        </is>
      </c>
      <c r="J3916" t="inlineStr">
        <is>
          <t>T_TAHARI_124005395_BLK_2.jpg</t>
        </is>
      </c>
      <c r="K3916" t="inlineStr">
        <is>
          <t>T_TAHARI_124005395_BLK_3.jpg</t>
        </is>
      </c>
      <c r="L3916">
        <f>IMAGE("file:///E:/Estudios%20y%20certificaciones/ESTUDIOS%20DE%20PROGRAMMING/PROGRAMMING/PERSONAL/PYTHON/Image_Generator_API/imagenes/T_TAHARI_124005395_BLK_1.jpg")</f>
        <v/>
      </c>
      <c r="M3916">
        <f>IMAGE("file:///E:/Estudios%20y%20certificaciones/ESTUDIOS%20DE%20PROGRAMMING/PROGRAMMING/PERSONAL/PYTHON/Image_Generator_API/imagenes/T_TAHARI_124005395_BLK_2.jpg")</f>
        <v/>
      </c>
      <c r="N3916">
        <f>IMAGE("file:///E:/Estudios%20y%20certificaciones/ESTUDIOS%20DE%20PROGRAMMING/PROGRAMMING/PERSONAL/PYTHON/Image_Generator_API/imagenes/T_TAHARI_124005395_BLK_3.jpg")</f>
        <v/>
      </c>
      <c r="O3916">
        <f>HYPERLINK("imagenes/T_TAHARI_124005395_BLK_1.jpg","Ver imagen")</f>
        <v/>
      </c>
      <c r="P3916">
        <f>HYPERLINK("imagenes/T_TAHARI_124005395_BLK_2.jpg","Ver imagen")</f>
        <v/>
      </c>
      <c r="Q3916">
        <f>HYPERLINK("imagenes/T_TAHARI_124005395_BLK_3.jpg","Ver imagen")</f>
        <v/>
      </c>
    </row>
    <row r="3917">
      <c r="A3917" t="inlineStr">
        <is>
          <t>T TAHARI</t>
        </is>
      </c>
      <c r="B3917" t="inlineStr">
        <is>
          <t>124005395</t>
        </is>
      </c>
      <c r="C3917" t="inlineStr">
        <is>
          <t>LINA</t>
        </is>
      </c>
      <c r="D3917" t="inlineStr">
        <is>
          <t>BLK</t>
        </is>
      </c>
      <c r="E3917" t="inlineStr">
        <is>
          <t>(en blanco)</t>
        </is>
      </c>
      <c r="F3917" t="inlineStr">
        <is>
          <t>(en blanco)</t>
        </is>
      </c>
      <c r="G3917" t="inlineStr">
        <is>
          <t>L</t>
        </is>
      </c>
      <c r="H3917" t="n">
        <v>152</v>
      </c>
      <c r="I3917" t="inlineStr">
        <is>
          <t>T_TAHARI_124005395_BLK_1.jpg</t>
        </is>
      </c>
      <c r="J3917" t="inlineStr">
        <is>
          <t>T_TAHARI_124005395_BLK_2.jpg</t>
        </is>
      </c>
      <c r="K3917" t="inlineStr">
        <is>
          <t>T_TAHARI_124005395_BLK_3.jpg</t>
        </is>
      </c>
      <c r="L3917">
        <f>IMAGE("file:///E:/Estudios%20y%20certificaciones/ESTUDIOS%20DE%20PROGRAMMING/PROGRAMMING/PERSONAL/PYTHON/Image_Generator_API/imagenes/T_TAHARI_124005395_BLK_1.jpg")</f>
        <v/>
      </c>
      <c r="M3917">
        <f>IMAGE("file:///E:/Estudios%20y%20certificaciones/ESTUDIOS%20DE%20PROGRAMMING/PROGRAMMING/PERSONAL/PYTHON/Image_Generator_API/imagenes/T_TAHARI_124005395_BLK_2.jpg")</f>
        <v/>
      </c>
      <c r="N3917">
        <f>IMAGE("file:///E:/Estudios%20y%20certificaciones/ESTUDIOS%20DE%20PROGRAMMING/PROGRAMMING/PERSONAL/PYTHON/Image_Generator_API/imagenes/T_TAHARI_124005395_BLK_3.jpg")</f>
        <v/>
      </c>
      <c r="O3917">
        <f>HYPERLINK("imagenes/T_TAHARI_124005395_BLK_1.jpg","Ver imagen")</f>
        <v/>
      </c>
      <c r="P3917">
        <f>HYPERLINK("imagenes/T_TAHARI_124005395_BLK_2.jpg","Ver imagen")</f>
        <v/>
      </c>
      <c r="Q3917">
        <f>HYPERLINK("imagenes/T_TAHARI_124005395_BLK_3.jpg","Ver imagen")</f>
        <v/>
      </c>
    </row>
    <row r="3918">
      <c r="A3918" t="inlineStr">
        <is>
          <t>T TAHARI</t>
        </is>
      </c>
      <c r="B3918" t="inlineStr">
        <is>
          <t>124005517</t>
        </is>
      </c>
      <c r="C3918" t="inlineStr">
        <is>
          <t>MARI</t>
        </is>
      </c>
      <c r="D3918" t="inlineStr">
        <is>
          <t>CHO</t>
        </is>
      </c>
      <c r="E3918" t="inlineStr">
        <is>
          <t>(en blanco)</t>
        </is>
      </c>
      <c r="F3918" t="inlineStr">
        <is>
          <t>(en blanco)</t>
        </is>
      </c>
      <c r="G3918" t="inlineStr">
        <is>
          <t>M</t>
        </is>
      </c>
      <c r="H3918" t="n">
        <v>1</v>
      </c>
      <c r="I3918" t="inlineStr">
        <is>
          <t>T_TAHARI_124005517_CHO_1.jpg</t>
        </is>
      </c>
      <c r="J3918" t="inlineStr">
        <is>
          <t>T_TAHARI_124005517_CHO_2.jpg</t>
        </is>
      </c>
      <c r="K3918" t="inlineStr">
        <is>
          <t>T_TAHARI_124005517_CHO_3.jpg</t>
        </is>
      </c>
      <c r="L3918">
        <f>IMAGE("file:///E:/Estudios%20y%20certificaciones/ESTUDIOS%20DE%20PROGRAMMING/PROGRAMMING/PERSONAL/PYTHON/Image_Generator_API/imagenes/T_TAHARI_124005517_CHO_1.jpg")</f>
        <v/>
      </c>
      <c r="M3918">
        <f>IMAGE("file:///E:/Estudios%20y%20certificaciones/ESTUDIOS%20DE%20PROGRAMMING/PROGRAMMING/PERSONAL/PYTHON/Image_Generator_API/imagenes/T_TAHARI_124005517_CHO_2.jpg")</f>
        <v/>
      </c>
      <c r="N3918">
        <f>IMAGE("file:///E:/Estudios%20y%20certificaciones/ESTUDIOS%20DE%20PROGRAMMING/PROGRAMMING/PERSONAL/PYTHON/Image_Generator_API/imagenes/T_TAHARI_124005517_CHO_3.jpg")</f>
        <v/>
      </c>
      <c r="O3918">
        <f>HYPERLINK("imagenes/T_TAHARI_124005517_CHO_1.jpg","Ver imagen")</f>
        <v/>
      </c>
      <c r="P3918">
        <f>HYPERLINK("imagenes/T_TAHARI_124005517_CHO_2.jpg","Ver imagen")</f>
        <v/>
      </c>
      <c r="Q3918">
        <f>HYPERLINK("imagenes/T_TAHARI_124005517_CHO_3.jpg","Ver imagen")</f>
        <v/>
      </c>
    </row>
    <row r="3919">
      <c r="A3919" t="inlineStr">
        <is>
          <t>T TAHARI</t>
        </is>
      </c>
      <c r="B3919" t="inlineStr">
        <is>
          <t>124005517</t>
        </is>
      </c>
      <c r="C3919" t="inlineStr">
        <is>
          <t>MARI</t>
        </is>
      </c>
      <c r="D3919" t="inlineStr">
        <is>
          <t>CHO</t>
        </is>
      </c>
      <c r="E3919" t="inlineStr">
        <is>
          <t>(en blanco)</t>
        </is>
      </c>
      <c r="F3919" t="inlineStr">
        <is>
          <t>(en blanco)</t>
        </is>
      </c>
      <c r="G3919" t="inlineStr">
        <is>
          <t>L</t>
        </is>
      </c>
      <c r="H3919" t="n">
        <v>3</v>
      </c>
      <c r="I3919" t="inlineStr">
        <is>
          <t>T_TAHARI_124005517_CHO_1.jpg</t>
        </is>
      </c>
      <c r="J3919" t="inlineStr">
        <is>
          <t>T_TAHARI_124005517_CHO_2.jpg</t>
        </is>
      </c>
      <c r="K3919" t="inlineStr">
        <is>
          <t>T_TAHARI_124005517_CHO_3.jpg</t>
        </is>
      </c>
      <c r="L3919">
        <f>IMAGE("file:///E:/Estudios%20y%20certificaciones/ESTUDIOS%20DE%20PROGRAMMING/PROGRAMMING/PERSONAL/PYTHON/Image_Generator_API/imagenes/T_TAHARI_124005517_CHO_1.jpg")</f>
        <v/>
      </c>
      <c r="M3919">
        <f>IMAGE("file:///E:/Estudios%20y%20certificaciones/ESTUDIOS%20DE%20PROGRAMMING/PROGRAMMING/PERSONAL/PYTHON/Image_Generator_API/imagenes/T_TAHARI_124005517_CHO_2.jpg")</f>
        <v/>
      </c>
      <c r="N3919">
        <f>IMAGE("file:///E:/Estudios%20y%20certificaciones/ESTUDIOS%20DE%20PROGRAMMING/PROGRAMMING/PERSONAL/PYTHON/Image_Generator_API/imagenes/T_TAHARI_124005517_CHO_3.jpg")</f>
        <v/>
      </c>
      <c r="O3919">
        <f>HYPERLINK("imagenes/T_TAHARI_124005517_CHO_1.jpg","Ver imagen")</f>
        <v/>
      </c>
      <c r="P3919">
        <f>HYPERLINK("imagenes/T_TAHARI_124005517_CHO_2.jpg","Ver imagen")</f>
        <v/>
      </c>
      <c r="Q3919">
        <f>HYPERLINK("imagenes/T_TAHARI_124005517_CHO_3.jpg","Ver imagen")</f>
        <v/>
      </c>
    </row>
    <row r="3920">
      <c r="A3920" t="inlineStr">
        <is>
          <t>T TAHARI</t>
        </is>
      </c>
      <c r="B3920" t="inlineStr">
        <is>
          <t>124005517</t>
        </is>
      </c>
      <c r="C3920" t="inlineStr">
        <is>
          <t>MARI</t>
        </is>
      </c>
      <c r="D3920" t="inlineStr">
        <is>
          <t>CHO</t>
        </is>
      </c>
      <c r="E3920" t="inlineStr">
        <is>
          <t>(en blanco)</t>
        </is>
      </c>
      <c r="F3920" t="inlineStr">
        <is>
          <t>(en blanco)</t>
        </is>
      </c>
      <c r="G3920" t="inlineStr">
        <is>
          <t>XL</t>
        </is>
      </c>
      <c r="H3920" t="n">
        <v>3</v>
      </c>
      <c r="I3920" t="inlineStr">
        <is>
          <t>T_TAHARI_124005517_CHO_1.jpg</t>
        </is>
      </c>
      <c r="J3920" t="inlineStr">
        <is>
          <t>T_TAHARI_124005517_CHO_2.jpg</t>
        </is>
      </c>
      <c r="K3920" t="inlineStr">
        <is>
          <t>T_TAHARI_124005517_CHO_3.jpg</t>
        </is>
      </c>
      <c r="L3920">
        <f>IMAGE("file:///E:/Estudios%20y%20certificaciones/ESTUDIOS%20DE%20PROGRAMMING/PROGRAMMING/PERSONAL/PYTHON/Image_Generator_API/imagenes/T_TAHARI_124005517_CHO_1.jpg")</f>
        <v/>
      </c>
      <c r="M3920">
        <f>IMAGE("file:///E:/Estudios%20y%20certificaciones/ESTUDIOS%20DE%20PROGRAMMING/PROGRAMMING/PERSONAL/PYTHON/Image_Generator_API/imagenes/T_TAHARI_124005517_CHO_2.jpg")</f>
        <v/>
      </c>
      <c r="N3920">
        <f>IMAGE("file:///E:/Estudios%20y%20certificaciones/ESTUDIOS%20DE%20PROGRAMMING/PROGRAMMING/PERSONAL/PYTHON/Image_Generator_API/imagenes/T_TAHARI_124005517_CHO_3.jpg")</f>
        <v/>
      </c>
      <c r="O3920">
        <f>HYPERLINK("imagenes/T_TAHARI_124005517_CHO_1.jpg","Ver imagen")</f>
        <v/>
      </c>
      <c r="P3920">
        <f>HYPERLINK("imagenes/T_TAHARI_124005517_CHO_2.jpg","Ver imagen")</f>
        <v/>
      </c>
      <c r="Q3920">
        <f>HYPERLINK("imagenes/T_TAHARI_124005517_CHO_3.jpg","Ver imagen")</f>
        <v/>
      </c>
    </row>
    <row r="3921">
      <c r="A3921" t="inlineStr">
        <is>
          <t>T TAHARI</t>
        </is>
      </c>
      <c r="B3921" t="inlineStr">
        <is>
          <t>124005518</t>
        </is>
      </c>
      <c r="C3921" t="inlineStr">
        <is>
          <t>LINA (LEOPARD)</t>
        </is>
      </c>
      <c r="D3921" t="inlineStr">
        <is>
          <t>LPD</t>
        </is>
      </c>
      <c r="E3921" t="inlineStr">
        <is>
          <t>(en blanco)</t>
        </is>
      </c>
      <c r="F3921" t="inlineStr">
        <is>
          <t>(en blanco)</t>
        </is>
      </c>
      <c r="G3921" t="inlineStr">
        <is>
          <t>XS</t>
        </is>
      </c>
      <c r="H3921" t="n">
        <v>7</v>
      </c>
      <c r="I3921" t="inlineStr">
        <is>
          <t>T_TAHARI_124005518_LPD_1.jpg</t>
        </is>
      </c>
      <c r="J3921" t="inlineStr">
        <is>
          <t>T_TAHARI_124005518_LPD_2.jpg</t>
        </is>
      </c>
      <c r="K3921" t="inlineStr">
        <is>
          <t>T_TAHARI_124005518_LPD_3.jpg</t>
        </is>
      </c>
      <c r="L3921">
        <f>IMAGE("file:///E:/Estudios%20y%20certificaciones/ESTUDIOS%20DE%20PROGRAMMING/PROGRAMMING/PERSONAL/PYTHON/Image_Generator_API/imagenes/T_TAHARI_124005518_LPD_1.jpg")</f>
        <v/>
      </c>
      <c r="M3921">
        <f>IMAGE("file:///E:/Estudios%20y%20certificaciones/ESTUDIOS%20DE%20PROGRAMMING/PROGRAMMING/PERSONAL/PYTHON/Image_Generator_API/imagenes/T_TAHARI_124005518_LPD_2.jpg")</f>
        <v/>
      </c>
      <c r="N3921">
        <f>IMAGE("file:///E:/Estudios%20y%20certificaciones/ESTUDIOS%20DE%20PROGRAMMING/PROGRAMMING/PERSONAL/PYTHON/Image_Generator_API/imagenes/T_TAHARI_124005518_LPD_3.jpg")</f>
        <v/>
      </c>
      <c r="O3921">
        <f>HYPERLINK("imagenes/T_TAHARI_124005518_LPD_1.jpg","Ver imagen")</f>
        <v/>
      </c>
      <c r="P3921">
        <f>HYPERLINK("imagenes/T_TAHARI_124005518_LPD_2.jpg","Ver imagen")</f>
        <v/>
      </c>
      <c r="Q3921">
        <f>HYPERLINK("imagenes/T_TAHARI_124005518_LPD_3.jpg","Ver imagen")</f>
        <v/>
      </c>
    </row>
    <row r="3922">
      <c r="A3922" t="inlineStr">
        <is>
          <t>T TAHARI</t>
        </is>
      </c>
      <c r="B3922" t="inlineStr">
        <is>
          <t>124005518</t>
        </is>
      </c>
      <c r="C3922" t="inlineStr">
        <is>
          <t>LINA (LEOPARD)</t>
        </is>
      </c>
      <c r="D3922" t="inlineStr">
        <is>
          <t>LPD</t>
        </is>
      </c>
      <c r="E3922" t="inlineStr">
        <is>
          <t>(en blanco)</t>
        </is>
      </c>
      <c r="F3922" t="inlineStr">
        <is>
          <t>(en blanco)</t>
        </is>
      </c>
      <c r="G3922" t="inlineStr">
        <is>
          <t>S</t>
        </is>
      </c>
      <c r="H3922" t="n">
        <v>10</v>
      </c>
      <c r="I3922" t="inlineStr">
        <is>
          <t>T_TAHARI_124005518_LPD_1.jpg</t>
        </is>
      </c>
      <c r="J3922" t="inlineStr">
        <is>
          <t>T_TAHARI_124005518_LPD_2.jpg</t>
        </is>
      </c>
      <c r="K3922" t="inlineStr">
        <is>
          <t>T_TAHARI_124005518_LPD_3.jpg</t>
        </is>
      </c>
      <c r="L3922">
        <f>IMAGE("file:///E:/Estudios%20y%20certificaciones/ESTUDIOS%20DE%20PROGRAMMING/PROGRAMMING/PERSONAL/PYTHON/Image_Generator_API/imagenes/T_TAHARI_124005518_LPD_1.jpg")</f>
        <v/>
      </c>
      <c r="M3922">
        <f>IMAGE("file:///E:/Estudios%20y%20certificaciones/ESTUDIOS%20DE%20PROGRAMMING/PROGRAMMING/PERSONAL/PYTHON/Image_Generator_API/imagenes/T_TAHARI_124005518_LPD_2.jpg")</f>
        <v/>
      </c>
      <c r="N3922">
        <f>IMAGE("file:///E:/Estudios%20y%20certificaciones/ESTUDIOS%20DE%20PROGRAMMING/PROGRAMMING/PERSONAL/PYTHON/Image_Generator_API/imagenes/T_TAHARI_124005518_LPD_3.jpg")</f>
        <v/>
      </c>
      <c r="O3922">
        <f>HYPERLINK("imagenes/T_TAHARI_124005518_LPD_1.jpg","Ver imagen")</f>
        <v/>
      </c>
      <c r="P3922">
        <f>HYPERLINK("imagenes/T_TAHARI_124005518_LPD_2.jpg","Ver imagen")</f>
        <v/>
      </c>
      <c r="Q3922">
        <f>HYPERLINK("imagenes/T_TAHARI_124005518_LPD_3.jpg","Ver imagen")</f>
        <v/>
      </c>
    </row>
    <row r="3923">
      <c r="A3923" t="inlineStr">
        <is>
          <t>T TAHARI</t>
        </is>
      </c>
      <c r="B3923" t="inlineStr">
        <is>
          <t>124005518</t>
        </is>
      </c>
      <c r="C3923" t="inlineStr">
        <is>
          <t>LINA (LEOPARD)</t>
        </is>
      </c>
      <c r="D3923" t="inlineStr">
        <is>
          <t>LPD</t>
        </is>
      </c>
      <c r="E3923" t="inlineStr">
        <is>
          <t>(en blanco)</t>
        </is>
      </c>
      <c r="F3923" t="inlineStr">
        <is>
          <t>(en blanco)</t>
        </is>
      </c>
      <c r="G3923" t="inlineStr">
        <is>
          <t>M</t>
        </is>
      </c>
      <c r="H3923" t="n">
        <v>7</v>
      </c>
      <c r="I3923" t="inlineStr">
        <is>
          <t>T_TAHARI_124005518_LPD_1.jpg</t>
        </is>
      </c>
      <c r="J3923" t="inlineStr">
        <is>
          <t>T_TAHARI_124005518_LPD_2.jpg</t>
        </is>
      </c>
      <c r="K3923" t="inlineStr">
        <is>
          <t>T_TAHARI_124005518_LPD_3.jpg</t>
        </is>
      </c>
      <c r="L3923">
        <f>IMAGE("file:///E:/Estudios%20y%20certificaciones/ESTUDIOS%20DE%20PROGRAMMING/PROGRAMMING/PERSONAL/PYTHON/Image_Generator_API/imagenes/T_TAHARI_124005518_LPD_1.jpg")</f>
        <v/>
      </c>
      <c r="M3923">
        <f>IMAGE("file:///E:/Estudios%20y%20certificaciones/ESTUDIOS%20DE%20PROGRAMMING/PROGRAMMING/PERSONAL/PYTHON/Image_Generator_API/imagenes/T_TAHARI_124005518_LPD_2.jpg")</f>
        <v/>
      </c>
      <c r="N3923">
        <f>IMAGE("file:///E:/Estudios%20y%20certificaciones/ESTUDIOS%20DE%20PROGRAMMING/PROGRAMMING/PERSONAL/PYTHON/Image_Generator_API/imagenes/T_TAHARI_124005518_LPD_3.jpg")</f>
        <v/>
      </c>
      <c r="O3923">
        <f>HYPERLINK("imagenes/T_TAHARI_124005518_LPD_1.jpg","Ver imagen")</f>
        <v/>
      </c>
      <c r="P3923">
        <f>HYPERLINK("imagenes/T_TAHARI_124005518_LPD_2.jpg","Ver imagen")</f>
        <v/>
      </c>
      <c r="Q3923">
        <f>HYPERLINK("imagenes/T_TAHARI_124005518_LPD_3.jpg","Ver imagen")</f>
        <v/>
      </c>
    </row>
    <row r="3924">
      <c r="A3924" t="inlineStr">
        <is>
          <t>T TAHARI</t>
        </is>
      </c>
      <c r="B3924" t="inlineStr">
        <is>
          <t>124005518</t>
        </is>
      </c>
      <c r="C3924" t="inlineStr">
        <is>
          <t>LINA (LEOPARD)</t>
        </is>
      </c>
      <c r="D3924" t="inlineStr">
        <is>
          <t>LPD</t>
        </is>
      </c>
      <c r="E3924" t="inlineStr">
        <is>
          <t>(en blanco)</t>
        </is>
      </c>
      <c r="F3924" t="inlineStr">
        <is>
          <t>(en blanco)</t>
        </is>
      </c>
      <c r="G3924" t="inlineStr">
        <is>
          <t>L</t>
        </is>
      </c>
      <c r="H3924" t="n">
        <v>1</v>
      </c>
      <c r="I3924" t="inlineStr">
        <is>
          <t>T_TAHARI_124005518_LPD_1.jpg</t>
        </is>
      </c>
      <c r="J3924" t="inlineStr">
        <is>
          <t>T_TAHARI_124005518_LPD_2.jpg</t>
        </is>
      </c>
      <c r="K3924" t="inlineStr">
        <is>
          <t>T_TAHARI_124005518_LPD_3.jpg</t>
        </is>
      </c>
      <c r="L3924">
        <f>IMAGE("file:///E:/Estudios%20y%20certificaciones/ESTUDIOS%20DE%20PROGRAMMING/PROGRAMMING/PERSONAL/PYTHON/Image_Generator_API/imagenes/T_TAHARI_124005518_LPD_1.jpg")</f>
        <v/>
      </c>
      <c r="M3924">
        <f>IMAGE("file:///E:/Estudios%20y%20certificaciones/ESTUDIOS%20DE%20PROGRAMMING/PROGRAMMING/PERSONAL/PYTHON/Image_Generator_API/imagenes/T_TAHARI_124005518_LPD_2.jpg")</f>
        <v/>
      </c>
      <c r="N3924">
        <f>IMAGE("file:///E:/Estudios%20y%20certificaciones/ESTUDIOS%20DE%20PROGRAMMING/PROGRAMMING/PERSONAL/PYTHON/Image_Generator_API/imagenes/T_TAHARI_124005518_LPD_3.jpg")</f>
        <v/>
      </c>
      <c r="O3924">
        <f>HYPERLINK("imagenes/T_TAHARI_124005518_LPD_1.jpg","Ver imagen")</f>
        <v/>
      </c>
      <c r="P3924">
        <f>HYPERLINK("imagenes/T_TAHARI_124005518_LPD_2.jpg","Ver imagen")</f>
        <v/>
      </c>
      <c r="Q3924">
        <f>HYPERLINK("imagenes/T_TAHARI_124005518_LPD_3.jpg","Ver imagen")</f>
        <v/>
      </c>
    </row>
    <row r="3925">
      <c r="A3925" t="inlineStr">
        <is>
          <t>T TAHARI</t>
        </is>
      </c>
      <c r="B3925" t="inlineStr">
        <is>
          <t>124005794</t>
        </is>
      </c>
      <c r="C3925" t="inlineStr">
        <is>
          <t>98076 PAULA</t>
        </is>
      </c>
      <c r="D3925" t="inlineStr">
        <is>
          <t>BLK</t>
        </is>
      </c>
      <c r="E3925" t="inlineStr">
        <is>
          <t>(en blanco)</t>
        </is>
      </c>
      <c r="F3925" t="inlineStr">
        <is>
          <t>D2C</t>
        </is>
      </c>
      <c r="G3925" t="inlineStr">
        <is>
          <t>XS</t>
        </is>
      </c>
      <c r="H3925" t="n">
        <v>12</v>
      </c>
      <c r="I3925" t="inlineStr">
        <is>
          <t>T_TAHARI_124005794_BLK_1.jpg</t>
        </is>
      </c>
      <c r="J3925" t="inlineStr">
        <is>
          <t>T_TAHARI_124005794_BLK_2.jpg</t>
        </is>
      </c>
      <c r="K3925" t="inlineStr">
        <is>
          <t>T_TAHARI_124005794_BLK_3.jpg</t>
        </is>
      </c>
      <c r="L3925">
        <f>IMAGE("file:///E:/Estudios%20y%20certificaciones/ESTUDIOS%20DE%20PROGRAMMING/PROGRAMMING/PERSONAL/PYTHON/Image_Generator_API/imagenes/T_TAHARI_124005794_BLK_1.jpg")</f>
        <v/>
      </c>
      <c r="M3925">
        <f>IMAGE("file:///E:/Estudios%20y%20certificaciones/ESTUDIOS%20DE%20PROGRAMMING/PROGRAMMING/PERSONAL/PYTHON/Image_Generator_API/imagenes/T_TAHARI_124005794_BLK_2.jpg")</f>
        <v/>
      </c>
      <c r="N3925">
        <f>IMAGE("file:///E:/Estudios%20y%20certificaciones/ESTUDIOS%20DE%20PROGRAMMING/PROGRAMMING/PERSONAL/PYTHON/Image_Generator_API/imagenes/T_TAHARI_124005794_BLK_3.jpg")</f>
        <v/>
      </c>
      <c r="O3925">
        <f>HYPERLINK("imagenes/T_TAHARI_124005794_BLK_1.jpg","Ver imagen")</f>
        <v/>
      </c>
      <c r="P3925">
        <f>HYPERLINK("imagenes/T_TAHARI_124005794_BLK_2.jpg","Ver imagen")</f>
        <v/>
      </c>
      <c r="Q3925">
        <f>HYPERLINK("imagenes/T_TAHARI_124005794_BLK_3.jpg","Ver imagen")</f>
        <v/>
      </c>
    </row>
    <row r="3926">
      <c r="A3926" t="inlineStr">
        <is>
          <t>T TAHARI</t>
        </is>
      </c>
      <c r="B3926" t="inlineStr">
        <is>
          <t>124005794</t>
        </is>
      </c>
      <c r="C3926" t="inlineStr">
        <is>
          <t>98076 PAULA</t>
        </is>
      </c>
      <c r="D3926" t="inlineStr">
        <is>
          <t>BLK</t>
        </is>
      </c>
      <c r="E3926" t="inlineStr">
        <is>
          <t>(en blanco)</t>
        </is>
      </c>
      <c r="F3926" t="inlineStr">
        <is>
          <t>D2C</t>
        </is>
      </c>
      <c r="G3926" t="inlineStr">
        <is>
          <t>S</t>
        </is>
      </c>
      <c r="H3926" t="n">
        <v>38</v>
      </c>
      <c r="I3926" t="inlineStr">
        <is>
          <t>T_TAHARI_124005794_BLK_1.jpg</t>
        </is>
      </c>
      <c r="J3926" t="inlineStr">
        <is>
          <t>T_TAHARI_124005794_BLK_2.jpg</t>
        </is>
      </c>
      <c r="K3926" t="inlineStr">
        <is>
          <t>T_TAHARI_124005794_BLK_3.jpg</t>
        </is>
      </c>
      <c r="L3926">
        <f>IMAGE("file:///E:/Estudios%20y%20certificaciones/ESTUDIOS%20DE%20PROGRAMMING/PROGRAMMING/PERSONAL/PYTHON/Image_Generator_API/imagenes/T_TAHARI_124005794_BLK_1.jpg")</f>
        <v/>
      </c>
      <c r="M3926">
        <f>IMAGE("file:///E:/Estudios%20y%20certificaciones/ESTUDIOS%20DE%20PROGRAMMING/PROGRAMMING/PERSONAL/PYTHON/Image_Generator_API/imagenes/T_TAHARI_124005794_BLK_2.jpg")</f>
        <v/>
      </c>
      <c r="N3926">
        <f>IMAGE("file:///E:/Estudios%20y%20certificaciones/ESTUDIOS%20DE%20PROGRAMMING/PROGRAMMING/PERSONAL/PYTHON/Image_Generator_API/imagenes/T_TAHARI_124005794_BLK_3.jpg")</f>
        <v/>
      </c>
      <c r="O3926">
        <f>HYPERLINK("imagenes/T_TAHARI_124005794_BLK_1.jpg","Ver imagen")</f>
        <v/>
      </c>
      <c r="P3926">
        <f>HYPERLINK("imagenes/T_TAHARI_124005794_BLK_2.jpg","Ver imagen")</f>
        <v/>
      </c>
      <c r="Q3926">
        <f>HYPERLINK("imagenes/T_TAHARI_124005794_BLK_3.jpg","Ver imagen")</f>
        <v/>
      </c>
    </row>
    <row r="3927">
      <c r="A3927" t="inlineStr">
        <is>
          <t>T TAHARI</t>
        </is>
      </c>
      <c r="B3927" t="inlineStr">
        <is>
          <t>124005794</t>
        </is>
      </c>
      <c r="C3927" t="inlineStr">
        <is>
          <t>98076 PAULA</t>
        </is>
      </c>
      <c r="D3927" t="inlineStr">
        <is>
          <t>BLK</t>
        </is>
      </c>
      <c r="E3927" t="inlineStr">
        <is>
          <t>(en blanco)</t>
        </is>
      </c>
      <c r="F3927" t="inlineStr">
        <is>
          <t>D2C</t>
        </is>
      </c>
      <c r="G3927" t="inlineStr">
        <is>
          <t>M</t>
        </is>
      </c>
      <c r="H3927" t="n">
        <v>29</v>
      </c>
      <c r="I3927" t="inlineStr">
        <is>
          <t>T_TAHARI_124005794_BLK_1.jpg</t>
        </is>
      </c>
      <c r="J3927" t="inlineStr">
        <is>
          <t>T_TAHARI_124005794_BLK_2.jpg</t>
        </is>
      </c>
      <c r="K3927" t="inlineStr">
        <is>
          <t>T_TAHARI_124005794_BLK_3.jpg</t>
        </is>
      </c>
      <c r="L3927">
        <f>IMAGE("file:///E:/Estudios%20y%20certificaciones/ESTUDIOS%20DE%20PROGRAMMING/PROGRAMMING/PERSONAL/PYTHON/Image_Generator_API/imagenes/T_TAHARI_124005794_BLK_1.jpg")</f>
        <v/>
      </c>
      <c r="M3927">
        <f>IMAGE("file:///E:/Estudios%20y%20certificaciones/ESTUDIOS%20DE%20PROGRAMMING/PROGRAMMING/PERSONAL/PYTHON/Image_Generator_API/imagenes/T_TAHARI_124005794_BLK_2.jpg")</f>
        <v/>
      </c>
      <c r="N3927">
        <f>IMAGE("file:///E:/Estudios%20y%20certificaciones/ESTUDIOS%20DE%20PROGRAMMING/PROGRAMMING/PERSONAL/PYTHON/Image_Generator_API/imagenes/T_TAHARI_124005794_BLK_3.jpg")</f>
        <v/>
      </c>
      <c r="O3927">
        <f>HYPERLINK("imagenes/T_TAHARI_124005794_BLK_1.jpg","Ver imagen")</f>
        <v/>
      </c>
      <c r="P3927">
        <f>HYPERLINK("imagenes/T_TAHARI_124005794_BLK_2.jpg","Ver imagen")</f>
        <v/>
      </c>
      <c r="Q3927">
        <f>HYPERLINK("imagenes/T_TAHARI_124005794_BLK_3.jpg","Ver imagen")</f>
        <v/>
      </c>
    </row>
    <row r="3928">
      <c r="A3928" t="inlineStr">
        <is>
          <t>T TAHARI</t>
        </is>
      </c>
      <c r="B3928" t="inlineStr">
        <is>
          <t>124005794</t>
        </is>
      </c>
      <c r="C3928" t="inlineStr">
        <is>
          <t>98076 PAULA</t>
        </is>
      </c>
      <c r="D3928" t="inlineStr">
        <is>
          <t>BLK</t>
        </is>
      </c>
      <c r="E3928" t="inlineStr">
        <is>
          <t>(en blanco)</t>
        </is>
      </c>
      <c r="F3928" t="inlineStr">
        <is>
          <t>D2C</t>
        </is>
      </c>
      <c r="G3928" t="inlineStr">
        <is>
          <t>L</t>
        </is>
      </c>
      <c r="H3928" t="n">
        <v>1</v>
      </c>
      <c r="I3928" t="inlineStr">
        <is>
          <t>T_TAHARI_124005794_BLK_1.jpg</t>
        </is>
      </c>
      <c r="J3928" t="inlineStr">
        <is>
          <t>T_TAHARI_124005794_BLK_2.jpg</t>
        </is>
      </c>
      <c r="K3928" t="inlineStr">
        <is>
          <t>T_TAHARI_124005794_BLK_3.jpg</t>
        </is>
      </c>
      <c r="L3928">
        <f>IMAGE("file:///E:/Estudios%20y%20certificaciones/ESTUDIOS%20DE%20PROGRAMMING/PROGRAMMING/PERSONAL/PYTHON/Image_Generator_API/imagenes/T_TAHARI_124005794_BLK_1.jpg")</f>
        <v/>
      </c>
      <c r="M3928">
        <f>IMAGE("file:///E:/Estudios%20y%20certificaciones/ESTUDIOS%20DE%20PROGRAMMING/PROGRAMMING/PERSONAL/PYTHON/Image_Generator_API/imagenes/T_TAHARI_124005794_BLK_2.jpg")</f>
        <v/>
      </c>
      <c r="N3928">
        <f>IMAGE("file:///E:/Estudios%20y%20certificaciones/ESTUDIOS%20DE%20PROGRAMMING/PROGRAMMING/PERSONAL/PYTHON/Image_Generator_API/imagenes/T_TAHARI_124005794_BLK_3.jpg")</f>
        <v/>
      </c>
      <c r="O3928">
        <f>HYPERLINK("imagenes/T_TAHARI_124005794_BLK_1.jpg","Ver imagen")</f>
        <v/>
      </c>
      <c r="P3928">
        <f>HYPERLINK("imagenes/T_TAHARI_124005794_BLK_2.jpg","Ver imagen")</f>
        <v/>
      </c>
      <c r="Q3928">
        <f>HYPERLINK("imagenes/T_TAHARI_124005794_BLK_3.jpg","Ver imagen")</f>
        <v/>
      </c>
    </row>
    <row r="3929">
      <c r="A3929" t="inlineStr">
        <is>
          <t>T TAHARI</t>
        </is>
      </c>
      <c r="B3929" t="inlineStr">
        <is>
          <t>124005794</t>
        </is>
      </c>
      <c r="C3929" t="inlineStr">
        <is>
          <t>98076 PAULA</t>
        </is>
      </c>
      <c r="D3929" t="inlineStr">
        <is>
          <t>BLK</t>
        </is>
      </c>
      <c r="E3929" t="inlineStr">
        <is>
          <t>(en blanco)</t>
        </is>
      </c>
      <c r="F3929" t="inlineStr">
        <is>
          <t>(en blanco)</t>
        </is>
      </c>
      <c r="G3929" t="inlineStr">
        <is>
          <t>XS</t>
        </is>
      </c>
      <c r="H3929" t="n">
        <v>41</v>
      </c>
      <c r="I3929" t="inlineStr">
        <is>
          <t>T_TAHARI_124005794_BLK_1.jpg</t>
        </is>
      </c>
      <c r="J3929" t="inlineStr">
        <is>
          <t>T_TAHARI_124005794_BLK_2.jpg</t>
        </is>
      </c>
      <c r="K3929" t="inlineStr">
        <is>
          <t>T_TAHARI_124005794_BLK_3.jpg</t>
        </is>
      </c>
      <c r="L3929">
        <f>IMAGE("file:///E:/Estudios%20y%20certificaciones/ESTUDIOS%20DE%20PROGRAMMING/PROGRAMMING/PERSONAL/PYTHON/Image_Generator_API/imagenes/T_TAHARI_124005794_BLK_1.jpg")</f>
        <v/>
      </c>
      <c r="M3929">
        <f>IMAGE("file:///E:/Estudios%20y%20certificaciones/ESTUDIOS%20DE%20PROGRAMMING/PROGRAMMING/PERSONAL/PYTHON/Image_Generator_API/imagenes/T_TAHARI_124005794_BLK_2.jpg")</f>
        <v/>
      </c>
      <c r="N3929">
        <f>IMAGE("file:///E:/Estudios%20y%20certificaciones/ESTUDIOS%20DE%20PROGRAMMING/PROGRAMMING/PERSONAL/PYTHON/Image_Generator_API/imagenes/T_TAHARI_124005794_BLK_3.jpg")</f>
        <v/>
      </c>
      <c r="O3929">
        <f>HYPERLINK("imagenes/T_TAHARI_124005794_BLK_1.jpg","Ver imagen")</f>
        <v/>
      </c>
      <c r="P3929">
        <f>HYPERLINK("imagenes/T_TAHARI_124005794_BLK_2.jpg","Ver imagen")</f>
        <v/>
      </c>
      <c r="Q3929">
        <f>HYPERLINK("imagenes/T_TAHARI_124005794_BLK_3.jpg","Ver imagen")</f>
        <v/>
      </c>
    </row>
    <row r="3930">
      <c r="A3930" t="inlineStr">
        <is>
          <t>T TAHARI</t>
        </is>
      </c>
      <c r="B3930" t="inlineStr">
        <is>
          <t>124005794</t>
        </is>
      </c>
      <c r="C3930" t="inlineStr">
        <is>
          <t>98076 PAULA</t>
        </is>
      </c>
      <c r="D3930" t="inlineStr">
        <is>
          <t>BLK</t>
        </is>
      </c>
      <c r="E3930" t="inlineStr">
        <is>
          <t>(en blanco)</t>
        </is>
      </c>
      <c r="F3930" t="inlineStr">
        <is>
          <t>(en blanco)</t>
        </is>
      </c>
      <c r="G3930" t="inlineStr">
        <is>
          <t>S</t>
        </is>
      </c>
      <c r="H3930" t="n">
        <v>57</v>
      </c>
      <c r="I3930" t="inlineStr">
        <is>
          <t>T_TAHARI_124005794_BLK_1.jpg</t>
        </is>
      </c>
      <c r="J3930" t="inlineStr">
        <is>
          <t>T_TAHARI_124005794_BLK_2.jpg</t>
        </is>
      </c>
      <c r="K3930" t="inlineStr">
        <is>
          <t>T_TAHARI_124005794_BLK_3.jpg</t>
        </is>
      </c>
      <c r="L3930">
        <f>IMAGE("file:///E:/Estudios%20y%20certificaciones/ESTUDIOS%20DE%20PROGRAMMING/PROGRAMMING/PERSONAL/PYTHON/Image_Generator_API/imagenes/T_TAHARI_124005794_BLK_1.jpg")</f>
        <v/>
      </c>
      <c r="M3930">
        <f>IMAGE("file:///E:/Estudios%20y%20certificaciones/ESTUDIOS%20DE%20PROGRAMMING/PROGRAMMING/PERSONAL/PYTHON/Image_Generator_API/imagenes/T_TAHARI_124005794_BLK_2.jpg")</f>
        <v/>
      </c>
      <c r="N3930">
        <f>IMAGE("file:///E:/Estudios%20y%20certificaciones/ESTUDIOS%20DE%20PROGRAMMING/PROGRAMMING/PERSONAL/PYTHON/Image_Generator_API/imagenes/T_TAHARI_124005794_BLK_3.jpg")</f>
        <v/>
      </c>
      <c r="O3930">
        <f>HYPERLINK("imagenes/T_TAHARI_124005794_BLK_1.jpg","Ver imagen")</f>
        <v/>
      </c>
      <c r="P3930">
        <f>HYPERLINK("imagenes/T_TAHARI_124005794_BLK_2.jpg","Ver imagen")</f>
        <v/>
      </c>
      <c r="Q3930">
        <f>HYPERLINK("imagenes/T_TAHARI_124005794_BLK_3.jpg","Ver imagen")</f>
        <v/>
      </c>
    </row>
    <row r="3931">
      <c r="A3931" t="inlineStr">
        <is>
          <t>T TAHARI</t>
        </is>
      </c>
      <c r="B3931" t="inlineStr">
        <is>
          <t>124005794</t>
        </is>
      </c>
      <c r="C3931" t="inlineStr">
        <is>
          <t>98076 PAULA</t>
        </is>
      </c>
      <c r="D3931" t="inlineStr">
        <is>
          <t>BLK</t>
        </is>
      </c>
      <c r="E3931" t="inlineStr">
        <is>
          <t>(en blanco)</t>
        </is>
      </c>
      <c r="F3931" t="inlineStr">
        <is>
          <t>(en blanco)</t>
        </is>
      </c>
      <c r="G3931" t="inlineStr">
        <is>
          <t>M</t>
        </is>
      </c>
      <c r="H3931" t="n">
        <v>64</v>
      </c>
      <c r="I3931" t="inlineStr">
        <is>
          <t>T_TAHARI_124005794_BLK_1.jpg</t>
        </is>
      </c>
      <c r="J3931" t="inlineStr">
        <is>
          <t>T_TAHARI_124005794_BLK_2.jpg</t>
        </is>
      </c>
      <c r="K3931" t="inlineStr">
        <is>
          <t>T_TAHARI_124005794_BLK_3.jpg</t>
        </is>
      </c>
      <c r="L3931">
        <f>IMAGE("file:///E:/Estudios%20y%20certificaciones/ESTUDIOS%20DE%20PROGRAMMING/PROGRAMMING/PERSONAL/PYTHON/Image_Generator_API/imagenes/T_TAHARI_124005794_BLK_1.jpg")</f>
        <v/>
      </c>
      <c r="M3931">
        <f>IMAGE("file:///E:/Estudios%20y%20certificaciones/ESTUDIOS%20DE%20PROGRAMMING/PROGRAMMING/PERSONAL/PYTHON/Image_Generator_API/imagenes/T_TAHARI_124005794_BLK_2.jpg")</f>
        <v/>
      </c>
      <c r="N3931">
        <f>IMAGE("file:///E:/Estudios%20y%20certificaciones/ESTUDIOS%20DE%20PROGRAMMING/PROGRAMMING/PERSONAL/PYTHON/Image_Generator_API/imagenes/T_TAHARI_124005794_BLK_3.jpg")</f>
        <v/>
      </c>
      <c r="O3931">
        <f>HYPERLINK("imagenes/T_TAHARI_124005794_BLK_1.jpg","Ver imagen")</f>
        <v/>
      </c>
      <c r="P3931">
        <f>HYPERLINK("imagenes/T_TAHARI_124005794_BLK_2.jpg","Ver imagen")</f>
        <v/>
      </c>
      <c r="Q3931">
        <f>HYPERLINK("imagenes/T_TAHARI_124005794_BLK_3.jpg","Ver imagen")</f>
        <v/>
      </c>
    </row>
    <row r="3932">
      <c r="A3932" t="inlineStr">
        <is>
          <t>T TAHARI</t>
        </is>
      </c>
      <c r="B3932" t="inlineStr">
        <is>
          <t>124005794</t>
        </is>
      </c>
      <c r="C3932" t="inlineStr">
        <is>
          <t>98076 PAULA</t>
        </is>
      </c>
      <c r="D3932" t="inlineStr">
        <is>
          <t>BLK</t>
        </is>
      </c>
      <c r="E3932" t="inlineStr">
        <is>
          <t>(en blanco)</t>
        </is>
      </c>
      <c r="F3932" t="inlineStr">
        <is>
          <t>(en blanco)</t>
        </is>
      </c>
      <c r="G3932" t="inlineStr">
        <is>
          <t>L</t>
        </is>
      </c>
      <c r="H3932" t="n">
        <v>20</v>
      </c>
      <c r="I3932" t="inlineStr">
        <is>
          <t>T_TAHARI_124005794_BLK_1.jpg</t>
        </is>
      </c>
      <c r="J3932" t="inlineStr">
        <is>
          <t>T_TAHARI_124005794_BLK_2.jpg</t>
        </is>
      </c>
      <c r="K3932" t="inlineStr">
        <is>
          <t>T_TAHARI_124005794_BLK_3.jpg</t>
        </is>
      </c>
      <c r="L3932">
        <f>IMAGE("file:///E:/Estudios%20y%20certificaciones/ESTUDIOS%20DE%20PROGRAMMING/PROGRAMMING/PERSONAL/PYTHON/Image_Generator_API/imagenes/T_TAHARI_124005794_BLK_1.jpg")</f>
        <v/>
      </c>
      <c r="M3932">
        <f>IMAGE("file:///E:/Estudios%20y%20certificaciones/ESTUDIOS%20DE%20PROGRAMMING/PROGRAMMING/PERSONAL/PYTHON/Image_Generator_API/imagenes/T_TAHARI_124005794_BLK_2.jpg")</f>
        <v/>
      </c>
      <c r="N3932">
        <f>IMAGE("file:///E:/Estudios%20y%20certificaciones/ESTUDIOS%20DE%20PROGRAMMING/PROGRAMMING/PERSONAL/PYTHON/Image_Generator_API/imagenes/T_TAHARI_124005794_BLK_3.jpg")</f>
        <v/>
      </c>
      <c r="O3932">
        <f>HYPERLINK("imagenes/T_TAHARI_124005794_BLK_1.jpg","Ver imagen")</f>
        <v/>
      </c>
      <c r="P3932">
        <f>HYPERLINK("imagenes/T_TAHARI_124005794_BLK_2.jpg","Ver imagen")</f>
        <v/>
      </c>
      <c r="Q3932">
        <f>HYPERLINK("imagenes/T_TAHARI_124005794_BLK_3.jpg","Ver imagen")</f>
        <v/>
      </c>
    </row>
    <row r="3933">
      <c r="A3933" t="inlineStr">
        <is>
          <t>T TAHARI</t>
        </is>
      </c>
      <c r="B3933" t="inlineStr">
        <is>
          <t>124005794</t>
        </is>
      </c>
      <c r="C3933" t="inlineStr">
        <is>
          <t>98076 PAULA</t>
        </is>
      </c>
      <c r="D3933" t="inlineStr">
        <is>
          <t>BLK</t>
        </is>
      </c>
      <c r="E3933" t="inlineStr">
        <is>
          <t>(en blanco)</t>
        </is>
      </c>
      <c r="F3933" t="inlineStr">
        <is>
          <t>(en blanco)</t>
        </is>
      </c>
      <c r="G3933" t="inlineStr">
        <is>
          <t>XXL</t>
        </is>
      </c>
      <c r="H3933" t="n">
        <v>12</v>
      </c>
      <c r="I3933" t="inlineStr">
        <is>
          <t>T_TAHARI_124005794_BLK_1.jpg</t>
        </is>
      </c>
      <c r="J3933" t="inlineStr">
        <is>
          <t>T_TAHARI_124005794_BLK_2.jpg</t>
        </is>
      </c>
      <c r="K3933" t="inlineStr">
        <is>
          <t>T_TAHARI_124005794_BLK_3.jpg</t>
        </is>
      </c>
      <c r="L3933">
        <f>IMAGE("file:///E:/Estudios%20y%20certificaciones/ESTUDIOS%20DE%20PROGRAMMING/PROGRAMMING/PERSONAL/PYTHON/Image_Generator_API/imagenes/T_TAHARI_124005794_BLK_1.jpg")</f>
        <v/>
      </c>
      <c r="M3933">
        <f>IMAGE("file:///E:/Estudios%20y%20certificaciones/ESTUDIOS%20DE%20PROGRAMMING/PROGRAMMING/PERSONAL/PYTHON/Image_Generator_API/imagenes/T_TAHARI_124005794_BLK_2.jpg")</f>
        <v/>
      </c>
      <c r="N3933">
        <f>IMAGE("file:///E:/Estudios%20y%20certificaciones/ESTUDIOS%20DE%20PROGRAMMING/PROGRAMMING/PERSONAL/PYTHON/Image_Generator_API/imagenes/T_TAHARI_124005794_BLK_3.jpg")</f>
        <v/>
      </c>
      <c r="O3933">
        <f>HYPERLINK("imagenes/T_TAHARI_124005794_BLK_1.jpg","Ver imagen")</f>
        <v/>
      </c>
      <c r="P3933">
        <f>HYPERLINK("imagenes/T_TAHARI_124005794_BLK_2.jpg","Ver imagen")</f>
        <v/>
      </c>
      <c r="Q3933">
        <f>HYPERLINK("imagenes/T_TAHARI_124005794_BLK_3.jpg","Ver imagen")</f>
        <v/>
      </c>
    </row>
    <row r="3934">
      <c r="A3934" t="inlineStr">
        <is>
          <t>T TAHARI</t>
        </is>
      </c>
      <c r="B3934" t="inlineStr">
        <is>
          <t>124005794</t>
        </is>
      </c>
      <c r="C3934" t="inlineStr">
        <is>
          <t>98076 PAULA</t>
        </is>
      </c>
      <c r="D3934" t="inlineStr">
        <is>
          <t>BLK</t>
        </is>
      </c>
      <c r="E3934" t="inlineStr">
        <is>
          <t>(en blanco)</t>
        </is>
      </c>
      <c r="F3934" t="inlineStr">
        <is>
          <t>(en blanco)</t>
        </is>
      </c>
      <c r="G3934" t="inlineStr">
        <is>
          <t>XXS</t>
        </is>
      </c>
      <c r="H3934" t="n">
        <v>10</v>
      </c>
      <c r="I3934" t="inlineStr">
        <is>
          <t>T_TAHARI_124005794_BLK_1.jpg</t>
        </is>
      </c>
      <c r="J3934" t="inlineStr">
        <is>
          <t>T_TAHARI_124005794_BLK_2.jpg</t>
        </is>
      </c>
      <c r="K3934" t="inlineStr">
        <is>
          <t>T_TAHARI_124005794_BLK_3.jpg</t>
        </is>
      </c>
      <c r="L3934">
        <f>IMAGE("file:///E:/Estudios%20y%20certificaciones/ESTUDIOS%20DE%20PROGRAMMING/PROGRAMMING/PERSONAL/PYTHON/Image_Generator_API/imagenes/T_TAHARI_124005794_BLK_1.jpg")</f>
        <v/>
      </c>
      <c r="M3934">
        <f>IMAGE("file:///E:/Estudios%20y%20certificaciones/ESTUDIOS%20DE%20PROGRAMMING/PROGRAMMING/PERSONAL/PYTHON/Image_Generator_API/imagenes/T_TAHARI_124005794_BLK_2.jpg")</f>
        <v/>
      </c>
      <c r="N3934">
        <f>IMAGE("file:///E:/Estudios%20y%20certificaciones/ESTUDIOS%20DE%20PROGRAMMING/PROGRAMMING/PERSONAL/PYTHON/Image_Generator_API/imagenes/T_TAHARI_124005794_BLK_3.jpg")</f>
        <v/>
      </c>
      <c r="O3934">
        <f>HYPERLINK("imagenes/T_TAHARI_124005794_BLK_1.jpg","Ver imagen")</f>
        <v/>
      </c>
      <c r="P3934">
        <f>HYPERLINK("imagenes/T_TAHARI_124005794_BLK_2.jpg","Ver imagen")</f>
        <v/>
      </c>
      <c r="Q3934">
        <f>HYPERLINK("imagenes/T_TAHARI_124005794_BLK_3.jpg","Ver imagen")</f>
        <v/>
      </c>
    </row>
    <row r="3935">
      <c r="A3935" t="inlineStr">
        <is>
          <t>T TAHARI</t>
        </is>
      </c>
      <c r="B3935" t="inlineStr">
        <is>
          <t>124005794</t>
        </is>
      </c>
      <c r="C3935" t="inlineStr">
        <is>
          <t>98076 PAULA</t>
        </is>
      </c>
      <c r="D3935" t="inlineStr">
        <is>
          <t>CAM</t>
        </is>
      </c>
      <c r="E3935" t="inlineStr">
        <is>
          <t>(en blanco)</t>
        </is>
      </c>
      <c r="F3935" t="inlineStr">
        <is>
          <t>D2C</t>
        </is>
      </c>
      <c r="G3935" t="inlineStr">
        <is>
          <t>XS</t>
        </is>
      </c>
      <c r="H3935" t="n">
        <v>6</v>
      </c>
      <c r="I3935" t="inlineStr">
        <is>
          <t>T_TAHARI_124005794_CAM_1.jpg</t>
        </is>
      </c>
      <c r="J3935" t="inlineStr">
        <is>
          <t>T_TAHARI_124005794_CAM_2.jpg</t>
        </is>
      </c>
      <c r="K3935" t="inlineStr">
        <is>
          <t>T_TAHARI_124005794_CAM_3.jpg</t>
        </is>
      </c>
      <c r="L3935">
        <f>IMAGE("file:///E:/Estudios%20y%20certificaciones/ESTUDIOS%20DE%20PROGRAMMING/PROGRAMMING/PERSONAL/PYTHON/Image_Generator_API/imagenes/T_TAHARI_124005794_CAM_1.jpg")</f>
        <v/>
      </c>
      <c r="M3935">
        <f>IMAGE("file:///E:/Estudios%20y%20certificaciones/ESTUDIOS%20DE%20PROGRAMMING/PROGRAMMING/PERSONAL/PYTHON/Image_Generator_API/imagenes/T_TAHARI_124005794_CAM_2.jpg")</f>
        <v/>
      </c>
      <c r="N3935">
        <f>IMAGE("file:///E:/Estudios%20y%20certificaciones/ESTUDIOS%20DE%20PROGRAMMING/PROGRAMMING/PERSONAL/PYTHON/Image_Generator_API/imagenes/T_TAHARI_124005794_CAM_3.jpg")</f>
        <v/>
      </c>
      <c r="O3935">
        <f>HYPERLINK("imagenes/T_TAHARI_124005794_CAM_1.jpg","Ver imagen")</f>
        <v/>
      </c>
      <c r="P3935">
        <f>HYPERLINK("imagenes/T_TAHARI_124005794_CAM_2.jpg","Ver imagen")</f>
        <v/>
      </c>
      <c r="Q3935">
        <f>HYPERLINK("imagenes/T_TAHARI_124005794_CAM_3.jpg","Ver imagen")</f>
        <v/>
      </c>
    </row>
    <row r="3936">
      <c r="A3936" t="inlineStr">
        <is>
          <t>T TAHARI</t>
        </is>
      </c>
      <c r="B3936" t="inlineStr">
        <is>
          <t>124005794</t>
        </is>
      </c>
      <c r="C3936" t="inlineStr">
        <is>
          <t>98076 PAULA</t>
        </is>
      </c>
      <c r="D3936" t="inlineStr">
        <is>
          <t>CAM</t>
        </is>
      </c>
      <c r="E3936" t="inlineStr">
        <is>
          <t>(en blanco)</t>
        </is>
      </c>
      <c r="F3936" t="inlineStr">
        <is>
          <t>D2C</t>
        </is>
      </c>
      <c r="G3936" t="inlineStr">
        <is>
          <t>S</t>
        </is>
      </c>
      <c r="H3936" t="n">
        <v>14</v>
      </c>
      <c r="I3936" t="inlineStr">
        <is>
          <t>T_TAHARI_124005794_CAM_1.jpg</t>
        </is>
      </c>
      <c r="J3936" t="inlineStr">
        <is>
          <t>T_TAHARI_124005794_CAM_2.jpg</t>
        </is>
      </c>
      <c r="K3936" t="inlineStr">
        <is>
          <t>T_TAHARI_124005794_CAM_3.jpg</t>
        </is>
      </c>
      <c r="L3936">
        <f>IMAGE("file:///E:/Estudios%20y%20certificaciones/ESTUDIOS%20DE%20PROGRAMMING/PROGRAMMING/PERSONAL/PYTHON/Image_Generator_API/imagenes/T_TAHARI_124005794_CAM_1.jpg")</f>
        <v/>
      </c>
      <c r="M3936">
        <f>IMAGE("file:///E:/Estudios%20y%20certificaciones/ESTUDIOS%20DE%20PROGRAMMING/PROGRAMMING/PERSONAL/PYTHON/Image_Generator_API/imagenes/T_TAHARI_124005794_CAM_2.jpg")</f>
        <v/>
      </c>
      <c r="N3936">
        <f>IMAGE("file:///E:/Estudios%20y%20certificaciones/ESTUDIOS%20DE%20PROGRAMMING/PROGRAMMING/PERSONAL/PYTHON/Image_Generator_API/imagenes/T_TAHARI_124005794_CAM_3.jpg")</f>
        <v/>
      </c>
      <c r="O3936">
        <f>HYPERLINK("imagenes/T_TAHARI_124005794_CAM_1.jpg","Ver imagen")</f>
        <v/>
      </c>
      <c r="P3936">
        <f>HYPERLINK("imagenes/T_TAHARI_124005794_CAM_2.jpg","Ver imagen")</f>
        <v/>
      </c>
      <c r="Q3936">
        <f>HYPERLINK("imagenes/T_TAHARI_124005794_CAM_3.jpg","Ver imagen")</f>
        <v/>
      </c>
    </row>
    <row r="3937">
      <c r="A3937" t="inlineStr">
        <is>
          <t>T TAHARI</t>
        </is>
      </c>
      <c r="B3937" t="inlineStr">
        <is>
          <t>124005794</t>
        </is>
      </c>
      <c r="C3937" t="inlineStr">
        <is>
          <t>98076 PAULA</t>
        </is>
      </c>
      <c r="D3937" t="inlineStr">
        <is>
          <t>CAM</t>
        </is>
      </c>
      <c r="E3937" t="inlineStr">
        <is>
          <t>(en blanco)</t>
        </is>
      </c>
      <c r="F3937" t="inlineStr">
        <is>
          <t>D2C</t>
        </is>
      </c>
      <c r="G3937" t="inlineStr">
        <is>
          <t>M</t>
        </is>
      </c>
      <c r="H3937" t="n">
        <v>13</v>
      </c>
      <c r="I3937" t="inlineStr">
        <is>
          <t>T_TAHARI_124005794_CAM_1.jpg</t>
        </is>
      </c>
      <c r="J3937" t="inlineStr">
        <is>
          <t>T_TAHARI_124005794_CAM_2.jpg</t>
        </is>
      </c>
      <c r="K3937" t="inlineStr">
        <is>
          <t>T_TAHARI_124005794_CAM_3.jpg</t>
        </is>
      </c>
      <c r="L3937">
        <f>IMAGE("file:///E:/Estudios%20y%20certificaciones/ESTUDIOS%20DE%20PROGRAMMING/PROGRAMMING/PERSONAL/PYTHON/Image_Generator_API/imagenes/T_TAHARI_124005794_CAM_1.jpg")</f>
        <v/>
      </c>
      <c r="M3937">
        <f>IMAGE("file:///E:/Estudios%20y%20certificaciones/ESTUDIOS%20DE%20PROGRAMMING/PROGRAMMING/PERSONAL/PYTHON/Image_Generator_API/imagenes/T_TAHARI_124005794_CAM_2.jpg")</f>
        <v/>
      </c>
      <c r="N3937">
        <f>IMAGE("file:///E:/Estudios%20y%20certificaciones/ESTUDIOS%20DE%20PROGRAMMING/PROGRAMMING/PERSONAL/PYTHON/Image_Generator_API/imagenes/T_TAHARI_124005794_CAM_3.jpg")</f>
        <v/>
      </c>
      <c r="O3937">
        <f>HYPERLINK("imagenes/T_TAHARI_124005794_CAM_1.jpg","Ver imagen")</f>
        <v/>
      </c>
      <c r="P3937">
        <f>HYPERLINK("imagenes/T_TAHARI_124005794_CAM_2.jpg","Ver imagen")</f>
        <v/>
      </c>
      <c r="Q3937">
        <f>HYPERLINK("imagenes/T_TAHARI_124005794_CAM_3.jpg","Ver imagen")</f>
        <v/>
      </c>
    </row>
    <row r="3938">
      <c r="A3938" t="inlineStr">
        <is>
          <t>T TAHARI</t>
        </is>
      </c>
      <c r="B3938" t="inlineStr">
        <is>
          <t>124005794</t>
        </is>
      </c>
      <c r="C3938" t="inlineStr">
        <is>
          <t>98076 PAULA</t>
        </is>
      </c>
      <c r="D3938" t="inlineStr">
        <is>
          <t>CAM</t>
        </is>
      </c>
      <c r="E3938" t="inlineStr">
        <is>
          <t>(en blanco)</t>
        </is>
      </c>
      <c r="F3938" t="inlineStr">
        <is>
          <t>D2C</t>
        </is>
      </c>
      <c r="G3938" t="inlineStr">
        <is>
          <t>L</t>
        </is>
      </c>
      <c r="H3938" t="n">
        <v>18</v>
      </c>
      <c r="I3938" t="inlineStr">
        <is>
          <t>T_TAHARI_124005794_CAM_1.jpg</t>
        </is>
      </c>
      <c r="J3938" t="inlineStr">
        <is>
          <t>T_TAHARI_124005794_CAM_2.jpg</t>
        </is>
      </c>
      <c r="K3938" t="inlineStr">
        <is>
          <t>T_TAHARI_124005794_CAM_3.jpg</t>
        </is>
      </c>
      <c r="L3938">
        <f>IMAGE("file:///E:/Estudios%20y%20certificaciones/ESTUDIOS%20DE%20PROGRAMMING/PROGRAMMING/PERSONAL/PYTHON/Image_Generator_API/imagenes/T_TAHARI_124005794_CAM_1.jpg")</f>
        <v/>
      </c>
      <c r="M3938">
        <f>IMAGE("file:///E:/Estudios%20y%20certificaciones/ESTUDIOS%20DE%20PROGRAMMING/PROGRAMMING/PERSONAL/PYTHON/Image_Generator_API/imagenes/T_TAHARI_124005794_CAM_2.jpg")</f>
        <v/>
      </c>
      <c r="N3938">
        <f>IMAGE("file:///E:/Estudios%20y%20certificaciones/ESTUDIOS%20DE%20PROGRAMMING/PROGRAMMING/PERSONAL/PYTHON/Image_Generator_API/imagenes/T_TAHARI_124005794_CAM_3.jpg")</f>
        <v/>
      </c>
      <c r="O3938">
        <f>HYPERLINK("imagenes/T_TAHARI_124005794_CAM_1.jpg","Ver imagen")</f>
        <v/>
      </c>
      <c r="P3938">
        <f>HYPERLINK("imagenes/T_TAHARI_124005794_CAM_2.jpg","Ver imagen")</f>
        <v/>
      </c>
      <c r="Q3938">
        <f>HYPERLINK("imagenes/T_TAHARI_124005794_CAM_3.jpg","Ver imagen")</f>
        <v/>
      </c>
    </row>
    <row r="3939">
      <c r="A3939" t="inlineStr">
        <is>
          <t>T TAHARI</t>
        </is>
      </c>
      <c r="B3939" t="inlineStr">
        <is>
          <t>124005794</t>
        </is>
      </c>
      <c r="C3939" t="inlineStr">
        <is>
          <t>98076 PAULA</t>
        </is>
      </c>
      <c r="D3939" t="inlineStr">
        <is>
          <t>CAM</t>
        </is>
      </c>
      <c r="E3939" t="inlineStr">
        <is>
          <t>(en blanco)</t>
        </is>
      </c>
      <c r="F3939" t="inlineStr">
        <is>
          <t>D2C</t>
        </is>
      </c>
      <c r="G3939" t="inlineStr">
        <is>
          <t>XL</t>
        </is>
      </c>
      <c r="H3939" t="n">
        <v>9</v>
      </c>
      <c r="I3939" t="inlineStr">
        <is>
          <t>T_TAHARI_124005794_CAM_1.jpg</t>
        </is>
      </c>
      <c r="J3939" t="inlineStr">
        <is>
          <t>T_TAHARI_124005794_CAM_2.jpg</t>
        </is>
      </c>
      <c r="K3939" t="inlineStr">
        <is>
          <t>T_TAHARI_124005794_CAM_3.jpg</t>
        </is>
      </c>
      <c r="L3939">
        <f>IMAGE("file:///E:/Estudios%20y%20certificaciones/ESTUDIOS%20DE%20PROGRAMMING/PROGRAMMING/PERSONAL/PYTHON/Image_Generator_API/imagenes/T_TAHARI_124005794_CAM_1.jpg")</f>
        <v/>
      </c>
      <c r="M3939">
        <f>IMAGE("file:///E:/Estudios%20y%20certificaciones/ESTUDIOS%20DE%20PROGRAMMING/PROGRAMMING/PERSONAL/PYTHON/Image_Generator_API/imagenes/T_TAHARI_124005794_CAM_2.jpg")</f>
        <v/>
      </c>
      <c r="N3939">
        <f>IMAGE("file:///E:/Estudios%20y%20certificaciones/ESTUDIOS%20DE%20PROGRAMMING/PROGRAMMING/PERSONAL/PYTHON/Image_Generator_API/imagenes/T_TAHARI_124005794_CAM_3.jpg")</f>
        <v/>
      </c>
      <c r="O3939">
        <f>HYPERLINK("imagenes/T_TAHARI_124005794_CAM_1.jpg","Ver imagen")</f>
        <v/>
      </c>
      <c r="P3939">
        <f>HYPERLINK("imagenes/T_TAHARI_124005794_CAM_2.jpg","Ver imagen")</f>
        <v/>
      </c>
      <c r="Q3939">
        <f>HYPERLINK("imagenes/T_TAHARI_124005794_CAM_3.jpg","Ver imagen")</f>
        <v/>
      </c>
    </row>
    <row r="3940">
      <c r="A3940" t="inlineStr">
        <is>
          <t>T TAHARI</t>
        </is>
      </c>
      <c r="B3940" t="inlineStr">
        <is>
          <t>124005794</t>
        </is>
      </c>
      <c r="C3940" t="inlineStr">
        <is>
          <t>98076 PAULA</t>
        </is>
      </c>
      <c r="D3940" t="inlineStr">
        <is>
          <t>CAM</t>
        </is>
      </c>
      <c r="E3940" t="inlineStr">
        <is>
          <t>(en blanco)</t>
        </is>
      </c>
      <c r="F3940" t="inlineStr">
        <is>
          <t>(en blanco)</t>
        </is>
      </c>
      <c r="G3940" t="inlineStr">
        <is>
          <t>XS</t>
        </is>
      </c>
      <c r="H3940" t="n">
        <v>37</v>
      </c>
      <c r="I3940" t="inlineStr">
        <is>
          <t>T_TAHARI_124005794_CAM_1.jpg</t>
        </is>
      </c>
      <c r="J3940" t="inlineStr">
        <is>
          <t>T_TAHARI_124005794_CAM_2.jpg</t>
        </is>
      </c>
      <c r="K3940" t="inlineStr">
        <is>
          <t>T_TAHARI_124005794_CAM_3.jpg</t>
        </is>
      </c>
      <c r="L3940">
        <f>IMAGE("file:///E:/Estudios%20y%20certificaciones/ESTUDIOS%20DE%20PROGRAMMING/PROGRAMMING/PERSONAL/PYTHON/Image_Generator_API/imagenes/T_TAHARI_124005794_CAM_1.jpg")</f>
        <v/>
      </c>
      <c r="M3940">
        <f>IMAGE("file:///E:/Estudios%20y%20certificaciones/ESTUDIOS%20DE%20PROGRAMMING/PROGRAMMING/PERSONAL/PYTHON/Image_Generator_API/imagenes/T_TAHARI_124005794_CAM_2.jpg")</f>
        <v/>
      </c>
      <c r="N3940">
        <f>IMAGE("file:///E:/Estudios%20y%20certificaciones/ESTUDIOS%20DE%20PROGRAMMING/PROGRAMMING/PERSONAL/PYTHON/Image_Generator_API/imagenes/T_TAHARI_124005794_CAM_3.jpg")</f>
        <v/>
      </c>
      <c r="O3940">
        <f>HYPERLINK("imagenes/T_TAHARI_124005794_CAM_1.jpg","Ver imagen")</f>
        <v/>
      </c>
      <c r="P3940">
        <f>HYPERLINK("imagenes/T_TAHARI_124005794_CAM_2.jpg","Ver imagen")</f>
        <v/>
      </c>
      <c r="Q3940">
        <f>HYPERLINK("imagenes/T_TAHARI_124005794_CAM_3.jpg","Ver imagen")</f>
        <v/>
      </c>
    </row>
    <row r="3941">
      <c r="A3941" t="inlineStr">
        <is>
          <t>T TAHARI</t>
        </is>
      </c>
      <c r="B3941" t="inlineStr">
        <is>
          <t>124005794</t>
        </is>
      </c>
      <c r="C3941" t="inlineStr">
        <is>
          <t>98076 PAULA</t>
        </is>
      </c>
      <c r="D3941" t="inlineStr">
        <is>
          <t>CAM</t>
        </is>
      </c>
      <c r="E3941" t="inlineStr">
        <is>
          <t>(en blanco)</t>
        </is>
      </c>
      <c r="F3941" t="inlineStr">
        <is>
          <t>(en blanco)</t>
        </is>
      </c>
      <c r="G3941" t="inlineStr">
        <is>
          <t>S</t>
        </is>
      </c>
      <c r="H3941" t="n">
        <v>82</v>
      </c>
      <c r="I3941" t="inlineStr">
        <is>
          <t>T_TAHARI_124005794_CAM_1.jpg</t>
        </is>
      </c>
      <c r="J3941" t="inlineStr">
        <is>
          <t>T_TAHARI_124005794_CAM_2.jpg</t>
        </is>
      </c>
      <c r="K3941" t="inlineStr">
        <is>
          <t>T_TAHARI_124005794_CAM_3.jpg</t>
        </is>
      </c>
      <c r="L3941">
        <f>IMAGE("file:///E:/Estudios%20y%20certificaciones/ESTUDIOS%20DE%20PROGRAMMING/PROGRAMMING/PERSONAL/PYTHON/Image_Generator_API/imagenes/T_TAHARI_124005794_CAM_1.jpg")</f>
        <v/>
      </c>
      <c r="M3941">
        <f>IMAGE("file:///E:/Estudios%20y%20certificaciones/ESTUDIOS%20DE%20PROGRAMMING/PROGRAMMING/PERSONAL/PYTHON/Image_Generator_API/imagenes/T_TAHARI_124005794_CAM_2.jpg")</f>
        <v/>
      </c>
      <c r="N3941">
        <f>IMAGE("file:///E:/Estudios%20y%20certificaciones/ESTUDIOS%20DE%20PROGRAMMING/PROGRAMMING/PERSONAL/PYTHON/Image_Generator_API/imagenes/T_TAHARI_124005794_CAM_3.jpg")</f>
        <v/>
      </c>
      <c r="O3941">
        <f>HYPERLINK("imagenes/T_TAHARI_124005794_CAM_1.jpg","Ver imagen")</f>
        <v/>
      </c>
      <c r="P3941">
        <f>HYPERLINK("imagenes/T_TAHARI_124005794_CAM_2.jpg","Ver imagen")</f>
        <v/>
      </c>
      <c r="Q3941">
        <f>HYPERLINK("imagenes/T_TAHARI_124005794_CAM_3.jpg","Ver imagen")</f>
        <v/>
      </c>
    </row>
    <row r="3942">
      <c r="A3942" t="inlineStr">
        <is>
          <t>T TAHARI</t>
        </is>
      </c>
      <c r="B3942" t="inlineStr">
        <is>
          <t>124005794</t>
        </is>
      </c>
      <c r="C3942" t="inlineStr">
        <is>
          <t>98076 PAULA</t>
        </is>
      </c>
      <c r="D3942" t="inlineStr">
        <is>
          <t>CAM</t>
        </is>
      </c>
      <c r="E3942" t="inlineStr">
        <is>
          <t>(en blanco)</t>
        </is>
      </c>
      <c r="F3942" t="inlineStr">
        <is>
          <t>(en blanco)</t>
        </is>
      </c>
      <c r="G3942" t="inlineStr">
        <is>
          <t>M</t>
        </is>
      </c>
      <c r="H3942" t="n">
        <v>83</v>
      </c>
      <c r="I3942" t="inlineStr">
        <is>
          <t>T_TAHARI_124005794_CAM_1.jpg</t>
        </is>
      </c>
      <c r="J3942" t="inlineStr">
        <is>
          <t>T_TAHARI_124005794_CAM_2.jpg</t>
        </is>
      </c>
      <c r="K3942" t="inlineStr">
        <is>
          <t>T_TAHARI_124005794_CAM_3.jpg</t>
        </is>
      </c>
      <c r="L3942">
        <f>IMAGE("file:///E:/Estudios%20y%20certificaciones/ESTUDIOS%20DE%20PROGRAMMING/PROGRAMMING/PERSONAL/PYTHON/Image_Generator_API/imagenes/T_TAHARI_124005794_CAM_1.jpg")</f>
        <v/>
      </c>
      <c r="M3942">
        <f>IMAGE("file:///E:/Estudios%20y%20certificaciones/ESTUDIOS%20DE%20PROGRAMMING/PROGRAMMING/PERSONAL/PYTHON/Image_Generator_API/imagenes/T_TAHARI_124005794_CAM_2.jpg")</f>
        <v/>
      </c>
      <c r="N3942">
        <f>IMAGE("file:///E:/Estudios%20y%20certificaciones/ESTUDIOS%20DE%20PROGRAMMING/PROGRAMMING/PERSONAL/PYTHON/Image_Generator_API/imagenes/T_TAHARI_124005794_CAM_3.jpg")</f>
        <v/>
      </c>
      <c r="O3942">
        <f>HYPERLINK("imagenes/T_TAHARI_124005794_CAM_1.jpg","Ver imagen")</f>
        <v/>
      </c>
      <c r="P3942">
        <f>HYPERLINK("imagenes/T_TAHARI_124005794_CAM_2.jpg","Ver imagen")</f>
        <v/>
      </c>
      <c r="Q3942">
        <f>HYPERLINK("imagenes/T_TAHARI_124005794_CAM_3.jpg","Ver imagen")</f>
        <v/>
      </c>
    </row>
    <row r="3943">
      <c r="A3943" t="inlineStr">
        <is>
          <t>T TAHARI</t>
        </is>
      </c>
      <c r="B3943" t="inlineStr">
        <is>
          <t>124005794</t>
        </is>
      </c>
      <c r="C3943" t="inlineStr">
        <is>
          <t>98076 PAULA</t>
        </is>
      </c>
      <c r="D3943" t="inlineStr">
        <is>
          <t>CAM</t>
        </is>
      </c>
      <c r="E3943" t="inlineStr">
        <is>
          <t>(en blanco)</t>
        </is>
      </c>
      <c r="F3943" t="inlineStr">
        <is>
          <t>(en blanco)</t>
        </is>
      </c>
      <c r="G3943" t="inlineStr">
        <is>
          <t>L</t>
        </is>
      </c>
      <c r="H3943" t="n">
        <v>72</v>
      </c>
      <c r="I3943" t="inlineStr">
        <is>
          <t>T_TAHARI_124005794_CAM_1.jpg</t>
        </is>
      </c>
      <c r="J3943" t="inlineStr">
        <is>
          <t>T_TAHARI_124005794_CAM_2.jpg</t>
        </is>
      </c>
      <c r="K3943" t="inlineStr">
        <is>
          <t>T_TAHARI_124005794_CAM_3.jpg</t>
        </is>
      </c>
      <c r="L3943">
        <f>IMAGE("file:///E:/Estudios%20y%20certificaciones/ESTUDIOS%20DE%20PROGRAMMING/PROGRAMMING/PERSONAL/PYTHON/Image_Generator_API/imagenes/T_TAHARI_124005794_CAM_1.jpg")</f>
        <v/>
      </c>
      <c r="M3943">
        <f>IMAGE("file:///E:/Estudios%20y%20certificaciones/ESTUDIOS%20DE%20PROGRAMMING/PROGRAMMING/PERSONAL/PYTHON/Image_Generator_API/imagenes/T_TAHARI_124005794_CAM_2.jpg")</f>
        <v/>
      </c>
      <c r="N3943">
        <f>IMAGE("file:///E:/Estudios%20y%20certificaciones/ESTUDIOS%20DE%20PROGRAMMING/PROGRAMMING/PERSONAL/PYTHON/Image_Generator_API/imagenes/T_TAHARI_124005794_CAM_3.jpg")</f>
        <v/>
      </c>
      <c r="O3943">
        <f>HYPERLINK("imagenes/T_TAHARI_124005794_CAM_1.jpg","Ver imagen")</f>
        <v/>
      </c>
      <c r="P3943">
        <f>HYPERLINK("imagenes/T_TAHARI_124005794_CAM_2.jpg","Ver imagen")</f>
        <v/>
      </c>
      <c r="Q3943">
        <f>HYPERLINK("imagenes/T_TAHARI_124005794_CAM_3.jpg","Ver imagen")</f>
        <v/>
      </c>
    </row>
    <row r="3944">
      <c r="A3944" t="inlineStr">
        <is>
          <t>T TAHARI</t>
        </is>
      </c>
      <c r="B3944" t="inlineStr">
        <is>
          <t>124005794</t>
        </is>
      </c>
      <c r="C3944" t="inlineStr">
        <is>
          <t>98076 PAULA</t>
        </is>
      </c>
      <c r="D3944" t="inlineStr">
        <is>
          <t>CAM</t>
        </is>
      </c>
      <c r="E3944" t="inlineStr">
        <is>
          <t>(en blanco)</t>
        </is>
      </c>
      <c r="F3944" t="inlineStr">
        <is>
          <t>(en blanco)</t>
        </is>
      </c>
      <c r="G3944" t="inlineStr">
        <is>
          <t>XL</t>
        </is>
      </c>
      <c r="H3944" t="n">
        <v>55</v>
      </c>
      <c r="I3944" t="inlineStr">
        <is>
          <t>T_TAHARI_124005794_CAM_1.jpg</t>
        </is>
      </c>
      <c r="J3944" t="inlineStr">
        <is>
          <t>T_TAHARI_124005794_CAM_2.jpg</t>
        </is>
      </c>
      <c r="K3944" t="inlineStr">
        <is>
          <t>T_TAHARI_124005794_CAM_3.jpg</t>
        </is>
      </c>
      <c r="L3944">
        <f>IMAGE("file:///E:/Estudios%20y%20certificaciones/ESTUDIOS%20DE%20PROGRAMMING/PROGRAMMING/PERSONAL/PYTHON/Image_Generator_API/imagenes/T_TAHARI_124005794_CAM_1.jpg")</f>
        <v/>
      </c>
      <c r="M3944">
        <f>IMAGE("file:///E:/Estudios%20y%20certificaciones/ESTUDIOS%20DE%20PROGRAMMING/PROGRAMMING/PERSONAL/PYTHON/Image_Generator_API/imagenes/T_TAHARI_124005794_CAM_2.jpg")</f>
        <v/>
      </c>
      <c r="N3944">
        <f>IMAGE("file:///E:/Estudios%20y%20certificaciones/ESTUDIOS%20DE%20PROGRAMMING/PROGRAMMING/PERSONAL/PYTHON/Image_Generator_API/imagenes/T_TAHARI_124005794_CAM_3.jpg")</f>
        <v/>
      </c>
      <c r="O3944">
        <f>HYPERLINK("imagenes/T_TAHARI_124005794_CAM_1.jpg","Ver imagen")</f>
        <v/>
      </c>
      <c r="P3944">
        <f>HYPERLINK("imagenes/T_TAHARI_124005794_CAM_2.jpg","Ver imagen")</f>
        <v/>
      </c>
      <c r="Q3944">
        <f>HYPERLINK("imagenes/T_TAHARI_124005794_CAM_3.jpg","Ver imagen")</f>
        <v/>
      </c>
    </row>
    <row r="3945">
      <c r="A3945" t="inlineStr">
        <is>
          <t>T TAHARI</t>
        </is>
      </c>
      <c r="B3945" t="inlineStr">
        <is>
          <t>124005794</t>
        </is>
      </c>
      <c r="C3945" t="inlineStr">
        <is>
          <t>98076 PAULA</t>
        </is>
      </c>
      <c r="D3945" t="inlineStr">
        <is>
          <t>CAM</t>
        </is>
      </c>
      <c r="E3945" t="inlineStr">
        <is>
          <t>(en blanco)</t>
        </is>
      </c>
      <c r="F3945" t="inlineStr">
        <is>
          <t>(en blanco)</t>
        </is>
      </c>
      <c r="G3945" t="inlineStr">
        <is>
          <t>XXL</t>
        </is>
      </c>
      <c r="H3945" t="n">
        <v>13</v>
      </c>
      <c r="I3945" t="inlineStr">
        <is>
          <t>T_TAHARI_124005794_CAM_1.jpg</t>
        </is>
      </c>
      <c r="J3945" t="inlineStr">
        <is>
          <t>T_TAHARI_124005794_CAM_2.jpg</t>
        </is>
      </c>
      <c r="K3945" t="inlineStr">
        <is>
          <t>T_TAHARI_124005794_CAM_3.jpg</t>
        </is>
      </c>
      <c r="L3945">
        <f>IMAGE("file:///E:/Estudios%20y%20certificaciones/ESTUDIOS%20DE%20PROGRAMMING/PROGRAMMING/PERSONAL/PYTHON/Image_Generator_API/imagenes/T_TAHARI_124005794_CAM_1.jpg")</f>
        <v/>
      </c>
      <c r="M3945">
        <f>IMAGE("file:///E:/Estudios%20y%20certificaciones/ESTUDIOS%20DE%20PROGRAMMING/PROGRAMMING/PERSONAL/PYTHON/Image_Generator_API/imagenes/T_TAHARI_124005794_CAM_2.jpg")</f>
        <v/>
      </c>
      <c r="N3945">
        <f>IMAGE("file:///E:/Estudios%20y%20certificaciones/ESTUDIOS%20DE%20PROGRAMMING/PROGRAMMING/PERSONAL/PYTHON/Image_Generator_API/imagenes/T_TAHARI_124005794_CAM_3.jpg")</f>
        <v/>
      </c>
      <c r="O3945">
        <f>HYPERLINK("imagenes/T_TAHARI_124005794_CAM_1.jpg","Ver imagen")</f>
        <v/>
      </c>
      <c r="P3945">
        <f>HYPERLINK("imagenes/T_TAHARI_124005794_CAM_2.jpg","Ver imagen")</f>
        <v/>
      </c>
      <c r="Q3945">
        <f>HYPERLINK("imagenes/T_TAHARI_124005794_CAM_3.jpg","Ver imagen")</f>
        <v/>
      </c>
    </row>
    <row r="3946">
      <c r="A3946" t="inlineStr">
        <is>
          <t>T TAHARI</t>
        </is>
      </c>
      <c r="B3946" t="inlineStr">
        <is>
          <t>124005794</t>
        </is>
      </c>
      <c r="C3946" t="inlineStr">
        <is>
          <t>98076 PAULA</t>
        </is>
      </c>
      <c r="D3946" t="inlineStr">
        <is>
          <t>CAM</t>
        </is>
      </c>
      <c r="E3946" t="inlineStr">
        <is>
          <t>(en blanco)</t>
        </is>
      </c>
      <c r="F3946" t="inlineStr">
        <is>
          <t>(en blanco)</t>
        </is>
      </c>
      <c r="G3946" t="inlineStr">
        <is>
          <t>XXS</t>
        </is>
      </c>
      <c r="H3946" t="n">
        <v>6</v>
      </c>
      <c r="I3946" t="inlineStr">
        <is>
          <t>T_TAHARI_124005794_CAM_1.jpg</t>
        </is>
      </c>
      <c r="J3946" t="inlineStr">
        <is>
          <t>T_TAHARI_124005794_CAM_2.jpg</t>
        </is>
      </c>
      <c r="K3946" t="inlineStr">
        <is>
          <t>T_TAHARI_124005794_CAM_3.jpg</t>
        </is>
      </c>
      <c r="L3946">
        <f>IMAGE("file:///E:/Estudios%20y%20certificaciones/ESTUDIOS%20DE%20PROGRAMMING/PROGRAMMING/PERSONAL/PYTHON/Image_Generator_API/imagenes/T_TAHARI_124005794_CAM_1.jpg")</f>
        <v/>
      </c>
      <c r="M3946">
        <f>IMAGE("file:///E:/Estudios%20y%20certificaciones/ESTUDIOS%20DE%20PROGRAMMING/PROGRAMMING/PERSONAL/PYTHON/Image_Generator_API/imagenes/T_TAHARI_124005794_CAM_2.jpg")</f>
        <v/>
      </c>
      <c r="N3946">
        <f>IMAGE("file:///E:/Estudios%20y%20certificaciones/ESTUDIOS%20DE%20PROGRAMMING/PROGRAMMING/PERSONAL/PYTHON/Image_Generator_API/imagenes/T_TAHARI_124005794_CAM_3.jpg")</f>
        <v/>
      </c>
      <c r="O3946">
        <f>HYPERLINK("imagenes/T_TAHARI_124005794_CAM_1.jpg","Ver imagen")</f>
        <v/>
      </c>
      <c r="P3946">
        <f>HYPERLINK("imagenes/T_TAHARI_124005794_CAM_2.jpg","Ver imagen")</f>
        <v/>
      </c>
      <c r="Q3946">
        <f>HYPERLINK("imagenes/T_TAHARI_124005794_CAM_3.jpg","Ver imagen")</f>
        <v/>
      </c>
    </row>
    <row r="3947">
      <c r="A3947" t="inlineStr">
        <is>
          <t>T TAHARI</t>
        </is>
      </c>
      <c r="B3947" t="inlineStr">
        <is>
          <t>124005795</t>
        </is>
      </c>
      <c r="C3947" t="inlineStr">
        <is>
          <t>99993 CLYDE</t>
        </is>
      </c>
      <c r="D3947" t="inlineStr">
        <is>
          <t>BW0</t>
        </is>
      </c>
      <c r="E3947" t="inlineStr">
        <is>
          <t>(en blanco)</t>
        </is>
      </c>
      <c r="F3947" t="inlineStr">
        <is>
          <t>(en blanco)</t>
        </is>
      </c>
      <c r="G3947" t="inlineStr">
        <is>
          <t>XS</t>
        </is>
      </c>
      <c r="H3947" t="n">
        <v>25</v>
      </c>
      <c r="I3947" t="inlineStr">
        <is>
          <t>T_TAHARI_124005795_BW0_1.jpg</t>
        </is>
      </c>
      <c r="J3947" t="inlineStr">
        <is>
          <t>T_TAHARI_124005795_BW0_2.jpg</t>
        </is>
      </c>
      <c r="K3947" t="inlineStr">
        <is>
          <t>T_TAHARI_124005795_BW0_3.jpg</t>
        </is>
      </c>
      <c r="L3947">
        <f>IMAGE("file:///E:/Estudios%20y%20certificaciones/ESTUDIOS%20DE%20PROGRAMMING/PROGRAMMING/PERSONAL/PYTHON/Image_Generator_API/imagenes/T_TAHARI_124005795_BW0_1.jpg")</f>
        <v/>
      </c>
      <c r="M3947">
        <f>IMAGE("file:///E:/Estudios%20y%20certificaciones/ESTUDIOS%20DE%20PROGRAMMING/PROGRAMMING/PERSONAL/PYTHON/Image_Generator_API/imagenes/T_TAHARI_124005795_BW0_2.jpg")</f>
        <v/>
      </c>
      <c r="N3947">
        <f>IMAGE("file:///E:/Estudios%20y%20certificaciones/ESTUDIOS%20DE%20PROGRAMMING/PROGRAMMING/PERSONAL/PYTHON/Image_Generator_API/imagenes/T_TAHARI_124005795_BW0_3.jpg")</f>
        <v/>
      </c>
      <c r="O3947">
        <f>HYPERLINK("imagenes/T_TAHARI_124005795_BW0_1.jpg","Ver imagen")</f>
        <v/>
      </c>
      <c r="P3947">
        <f>HYPERLINK("imagenes/T_TAHARI_124005795_BW0_2.jpg","Ver imagen")</f>
        <v/>
      </c>
      <c r="Q3947">
        <f>HYPERLINK("imagenes/T_TAHARI_124005795_BW0_3.jpg","Ver imagen")</f>
        <v/>
      </c>
    </row>
    <row r="3948">
      <c r="A3948" t="inlineStr">
        <is>
          <t>T TAHARI</t>
        </is>
      </c>
      <c r="B3948" t="inlineStr">
        <is>
          <t>124005795</t>
        </is>
      </c>
      <c r="C3948" t="inlineStr">
        <is>
          <t>99993 CLYDE</t>
        </is>
      </c>
      <c r="D3948" t="inlineStr">
        <is>
          <t>BW0</t>
        </is>
      </c>
      <c r="E3948" t="inlineStr">
        <is>
          <t>(en blanco)</t>
        </is>
      </c>
      <c r="F3948" t="inlineStr">
        <is>
          <t>(en blanco)</t>
        </is>
      </c>
      <c r="G3948" t="inlineStr">
        <is>
          <t>S</t>
        </is>
      </c>
      <c r="H3948" t="n">
        <v>31</v>
      </c>
      <c r="I3948" t="inlineStr">
        <is>
          <t>T_TAHARI_124005795_BW0_1.jpg</t>
        </is>
      </c>
      <c r="J3948" t="inlineStr">
        <is>
          <t>T_TAHARI_124005795_BW0_2.jpg</t>
        </is>
      </c>
      <c r="K3948" t="inlineStr">
        <is>
          <t>T_TAHARI_124005795_BW0_3.jpg</t>
        </is>
      </c>
      <c r="L3948">
        <f>IMAGE("file:///E:/Estudios%20y%20certificaciones/ESTUDIOS%20DE%20PROGRAMMING/PROGRAMMING/PERSONAL/PYTHON/Image_Generator_API/imagenes/T_TAHARI_124005795_BW0_1.jpg")</f>
        <v/>
      </c>
      <c r="M3948">
        <f>IMAGE("file:///E:/Estudios%20y%20certificaciones/ESTUDIOS%20DE%20PROGRAMMING/PROGRAMMING/PERSONAL/PYTHON/Image_Generator_API/imagenes/T_TAHARI_124005795_BW0_2.jpg")</f>
        <v/>
      </c>
      <c r="N3948">
        <f>IMAGE("file:///E:/Estudios%20y%20certificaciones/ESTUDIOS%20DE%20PROGRAMMING/PROGRAMMING/PERSONAL/PYTHON/Image_Generator_API/imagenes/T_TAHARI_124005795_BW0_3.jpg")</f>
        <v/>
      </c>
      <c r="O3948">
        <f>HYPERLINK("imagenes/T_TAHARI_124005795_BW0_1.jpg","Ver imagen")</f>
        <v/>
      </c>
      <c r="P3948">
        <f>HYPERLINK("imagenes/T_TAHARI_124005795_BW0_2.jpg","Ver imagen")</f>
        <v/>
      </c>
      <c r="Q3948">
        <f>HYPERLINK("imagenes/T_TAHARI_124005795_BW0_3.jpg","Ver imagen")</f>
        <v/>
      </c>
    </row>
    <row r="3949">
      <c r="A3949" t="inlineStr">
        <is>
          <t>T TAHARI</t>
        </is>
      </c>
      <c r="B3949" t="inlineStr">
        <is>
          <t>124005795</t>
        </is>
      </c>
      <c r="C3949" t="inlineStr">
        <is>
          <t>99993 CLYDE</t>
        </is>
      </c>
      <c r="D3949" t="inlineStr">
        <is>
          <t>BW0</t>
        </is>
      </c>
      <c r="E3949" t="inlineStr">
        <is>
          <t>(en blanco)</t>
        </is>
      </c>
      <c r="F3949" t="inlineStr">
        <is>
          <t>(en blanco)</t>
        </is>
      </c>
      <c r="G3949" t="inlineStr">
        <is>
          <t>M</t>
        </is>
      </c>
      <c r="H3949" t="n">
        <v>25</v>
      </c>
      <c r="I3949" t="inlineStr">
        <is>
          <t>T_TAHARI_124005795_BW0_1.jpg</t>
        </is>
      </c>
      <c r="J3949" t="inlineStr">
        <is>
          <t>T_TAHARI_124005795_BW0_2.jpg</t>
        </is>
      </c>
      <c r="K3949" t="inlineStr">
        <is>
          <t>T_TAHARI_124005795_BW0_3.jpg</t>
        </is>
      </c>
      <c r="L3949">
        <f>IMAGE("file:///E:/Estudios%20y%20certificaciones/ESTUDIOS%20DE%20PROGRAMMING/PROGRAMMING/PERSONAL/PYTHON/Image_Generator_API/imagenes/T_TAHARI_124005795_BW0_1.jpg")</f>
        <v/>
      </c>
      <c r="M3949">
        <f>IMAGE("file:///E:/Estudios%20y%20certificaciones/ESTUDIOS%20DE%20PROGRAMMING/PROGRAMMING/PERSONAL/PYTHON/Image_Generator_API/imagenes/T_TAHARI_124005795_BW0_2.jpg")</f>
        <v/>
      </c>
      <c r="N3949">
        <f>IMAGE("file:///E:/Estudios%20y%20certificaciones/ESTUDIOS%20DE%20PROGRAMMING/PROGRAMMING/PERSONAL/PYTHON/Image_Generator_API/imagenes/T_TAHARI_124005795_BW0_3.jpg")</f>
        <v/>
      </c>
      <c r="O3949">
        <f>HYPERLINK("imagenes/T_TAHARI_124005795_BW0_1.jpg","Ver imagen")</f>
        <v/>
      </c>
      <c r="P3949">
        <f>HYPERLINK("imagenes/T_TAHARI_124005795_BW0_2.jpg","Ver imagen")</f>
        <v/>
      </c>
      <c r="Q3949">
        <f>HYPERLINK("imagenes/T_TAHARI_124005795_BW0_3.jpg","Ver imagen")</f>
        <v/>
      </c>
    </row>
    <row r="3950">
      <c r="A3950" t="inlineStr">
        <is>
          <t>T TAHARI</t>
        </is>
      </c>
      <c r="B3950" t="inlineStr">
        <is>
          <t>124005795</t>
        </is>
      </c>
      <c r="C3950" t="inlineStr">
        <is>
          <t>99993 CLYDE</t>
        </is>
      </c>
      <c r="D3950" t="inlineStr">
        <is>
          <t>BW0</t>
        </is>
      </c>
      <c r="E3950" t="inlineStr">
        <is>
          <t>(en blanco)</t>
        </is>
      </c>
      <c r="F3950" t="inlineStr">
        <is>
          <t>(en blanco)</t>
        </is>
      </c>
      <c r="G3950" t="inlineStr">
        <is>
          <t>L</t>
        </is>
      </c>
      <c r="H3950" t="n">
        <v>11</v>
      </c>
      <c r="I3950" t="inlineStr">
        <is>
          <t>T_TAHARI_124005795_BW0_1.jpg</t>
        </is>
      </c>
      <c r="J3950" t="inlineStr">
        <is>
          <t>T_TAHARI_124005795_BW0_2.jpg</t>
        </is>
      </c>
      <c r="K3950" t="inlineStr">
        <is>
          <t>T_TAHARI_124005795_BW0_3.jpg</t>
        </is>
      </c>
      <c r="L3950">
        <f>IMAGE("file:///E:/Estudios%20y%20certificaciones/ESTUDIOS%20DE%20PROGRAMMING/PROGRAMMING/PERSONAL/PYTHON/Image_Generator_API/imagenes/T_TAHARI_124005795_BW0_1.jpg")</f>
        <v/>
      </c>
      <c r="M3950">
        <f>IMAGE("file:///E:/Estudios%20y%20certificaciones/ESTUDIOS%20DE%20PROGRAMMING/PROGRAMMING/PERSONAL/PYTHON/Image_Generator_API/imagenes/T_TAHARI_124005795_BW0_2.jpg")</f>
        <v/>
      </c>
      <c r="N3950">
        <f>IMAGE("file:///E:/Estudios%20y%20certificaciones/ESTUDIOS%20DE%20PROGRAMMING/PROGRAMMING/PERSONAL/PYTHON/Image_Generator_API/imagenes/T_TAHARI_124005795_BW0_3.jpg")</f>
        <v/>
      </c>
      <c r="O3950">
        <f>HYPERLINK("imagenes/T_TAHARI_124005795_BW0_1.jpg","Ver imagen")</f>
        <v/>
      </c>
      <c r="P3950">
        <f>HYPERLINK("imagenes/T_TAHARI_124005795_BW0_2.jpg","Ver imagen")</f>
        <v/>
      </c>
      <c r="Q3950">
        <f>HYPERLINK("imagenes/T_TAHARI_124005795_BW0_3.jpg","Ver imagen")</f>
        <v/>
      </c>
    </row>
    <row r="3951">
      <c r="A3951" t="inlineStr">
        <is>
          <t>T TAHARI</t>
        </is>
      </c>
      <c r="B3951" t="inlineStr">
        <is>
          <t>124005795</t>
        </is>
      </c>
      <c r="C3951" t="inlineStr">
        <is>
          <t>99993 CLYDE</t>
        </is>
      </c>
      <c r="D3951" t="inlineStr">
        <is>
          <t>BW0</t>
        </is>
      </c>
      <c r="E3951" t="inlineStr">
        <is>
          <t>(en blanco)</t>
        </is>
      </c>
      <c r="F3951" t="inlineStr">
        <is>
          <t>(en blanco)</t>
        </is>
      </c>
      <c r="G3951" t="inlineStr">
        <is>
          <t>XL</t>
        </is>
      </c>
      <c r="H3951" t="n">
        <v>17</v>
      </c>
      <c r="I3951" t="inlineStr">
        <is>
          <t>T_TAHARI_124005795_BW0_1.jpg</t>
        </is>
      </c>
      <c r="J3951" t="inlineStr">
        <is>
          <t>T_TAHARI_124005795_BW0_2.jpg</t>
        </is>
      </c>
      <c r="K3951" t="inlineStr">
        <is>
          <t>T_TAHARI_124005795_BW0_3.jpg</t>
        </is>
      </c>
      <c r="L3951">
        <f>IMAGE("file:///E:/Estudios%20y%20certificaciones/ESTUDIOS%20DE%20PROGRAMMING/PROGRAMMING/PERSONAL/PYTHON/Image_Generator_API/imagenes/T_TAHARI_124005795_BW0_1.jpg")</f>
        <v/>
      </c>
      <c r="M3951">
        <f>IMAGE("file:///E:/Estudios%20y%20certificaciones/ESTUDIOS%20DE%20PROGRAMMING/PROGRAMMING/PERSONAL/PYTHON/Image_Generator_API/imagenes/T_TAHARI_124005795_BW0_2.jpg")</f>
        <v/>
      </c>
      <c r="N3951">
        <f>IMAGE("file:///E:/Estudios%20y%20certificaciones/ESTUDIOS%20DE%20PROGRAMMING/PROGRAMMING/PERSONAL/PYTHON/Image_Generator_API/imagenes/T_TAHARI_124005795_BW0_3.jpg")</f>
        <v/>
      </c>
      <c r="O3951">
        <f>HYPERLINK("imagenes/T_TAHARI_124005795_BW0_1.jpg","Ver imagen")</f>
        <v/>
      </c>
      <c r="P3951">
        <f>HYPERLINK("imagenes/T_TAHARI_124005795_BW0_2.jpg","Ver imagen")</f>
        <v/>
      </c>
      <c r="Q3951">
        <f>HYPERLINK("imagenes/T_TAHARI_124005795_BW0_3.jpg","Ver imagen")</f>
        <v/>
      </c>
    </row>
    <row r="3952">
      <c r="A3952" t="inlineStr">
        <is>
          <t>T TAHARI</t>
        </is>
      </c>
      <c r="B3952" t="inlineStr">
        <is>
          <t>124005795</t>
        </is>
      </c>
      <c r="C3952" t="inlineStr">
        <is>
          <t>99993 CLYDE</t>
        </is>
      </c>
      <c r="D3952" t="inlineStr">
        <is>
          <t>BW0</t>
        </is>
      </c>
      <c r="E3952" t="inlineStr">
        <is>
          <t>(en blanco)</t>
        </is>
      </c>
      <c r="F3952" t="inlineStr">
        <is>
          <t>(en blanco)</t>
        </is>
      </c>
      <c r="G3952" t="inlineStr">
        <is>
          <t>XXL</t>
        </is>
      </c>
      <c r="H3952" t="n">
        <v>14</v>
      </c>
      <c r="I3952" t="inlineStr">
        <is>
          <t>T_TAHARI_124005795_BW0_1.jpg</t>
        </is>
      </c>
      <c r="J3952" t="inlineStr">
        <is>
          <t>T_TAHARI_124005795_BW0_2.jpg</t>
        </is>
      </c>
      <c r="K3952" t="inlineStr">
        <is>
          <t>T_TAHARI_124005795_BW0_3.jpg</t>
        </is>
      </c>
      <c r="L3952">
        <f>IMAGE("file:///E:/Estudios%20y%20certificaciones/ESTUDIOS%20DE%20PROGRAMMING/PROGRAMMING/PERSONAL/PYTHON/Image_Generator_API/imagenes/T_TAHARI_124005795_BW0_1.jpg")</f>
        <v/>
      </c>
      <c r="M3952">
        <f>IMAGE("file:///E:/Estudios%20y%20certificaciones/ESTUDIOS%20DE%20PROGRAMMING/PROGRAMMING/PERSONAL/PYTHON/Image_Generator_API/imagenes/T_TAHARI_124005795_BW0_2.jpg")</f>
        <v/>
      </c>
      <c r="N3952">
        <f>IMAGE("file:///E:/Estudios%20y%20certificaciones/ESTUDIOS%20DE%20PROGRAMMING/PROGRAMMING/PERSONAL/PYTHON/Image_Generator_API/imagenes/T_TAHARI_124005795_BW0_3.jpg")</f>
        <v/>
      </c>
      <c r="O3952">
        <f>HYPERLINK("imagenes/T_TAHARI_124005795_BW0_1.jpg","Ver imagen")</f>
        <v/>
      </c>
      <c r="P3952">
        <f>HYPERLINK("imagenes/T_TAHARI_124005795_BW0_2.jpg","Ver imagen")</f>
        <v/>
      </c>
      <c r="Q3952">
        <f>HYPERLINK("imagenes/T_TAHARI_124005795_BW0_3.jpg","Ver imagen")</f>
        <v/>
      </c>
    </row>
    <row r="3953">
      <c r="A3953" t="inlineStr">
        <is>
          <t>T TAHARI</t>
        </is>
      </c>
      <c r="B3953" t="inlineStr">
        <is>
          <t>124005795</t>
        </is>
      </c>
      <c r="C3953" t="inlineStr">
        <is>
          <t>99993 CLYDE</t>
        </is>
      </c>
      <c r="D3953" t="inlineStr">
        <is>
          <t>BW0</t>
        </is>
      </c>
      <c r="E3953" t="inlineStr">
        <is>
          <t>(en blanco)</t>
        </is>
      </c>
      <c r="F3953" t="inlineStr">
        <is>
          <t>(en blanco)</t>
        </is>
      </c>
      <c r="G3953" t="inlineStr">
        <is>
          <t>XXS</t>
        </is>
      </c>
      <c r="H3953" t="n">
        <v>6</v>
      </c>
      <c r="I3953" t="inlineStr">
        <is>
          <t>T_TAHARI_124005795_BW0_1.jpg</t>
        </is>
      </c>
      <c r="J3953" t="inlineStr">
        <is>
          <t>T_TAHARI_124005795_BW0_2.jpg</t>
        </is>
      </c>
      <c r="K3953" t="inlineStr">
        <is>
          <t>T_TAHARI_124005795_BW0_3.jpg</t>
        </is>
      </c>
      <c r="L3953">
        <f>IMAGE("file:///E:/Estudios%20y%20certificaciones/ESTUDIOS%20DE%20PROGRAMMING/PROGRAMMING/PERSONAL/PYTHON/Image_Generator_API/imagenes/T_TAHARI_124005795_BW0_1.jpg")</f>
        <v/>
      </c>
      <c r="M3953">
        <f>IMAGE("file:///E:/Estudios%20y%20certificaciones/ESTUDIOS%20DE%20PROGRAMMING/PROGRAMMING/PERSONAL/PYTHON/Image_Generator_API/imagenes/T_TAHARI_124005795_BW0_2.jpg")</f>
        <v/>
      </c>
      <c r="N3953">
        <f>IMAGE("file:///E:/Estudios%20y%20certificaciones/ESTUDIOS%20DE%20PROGRAMMING/PROGRAMMING/PERSONAL/PYTHON/Image_Generator_API/imagenes/T_TAHARI_124005795_BW0_3.jpg")</f>
        <v/>
      </c>
      <c r="O3953">
        <f>HYPERLINK("imagenes/T_TAHARI_124005795_BW0_1.jpg","Ver imagen")</f>
        <v/>
      </c>
      <c r="P3953">
        <f>HYPERLINK("imagenes/T_TAHARI_124005795_BW0_2.jpg","Ver imagen")</f>
        <v/>
      </c>
      <c r="Q3953">
        <f>HYPERLINK("imagenes/T_TAHARI_124005795_BW0_3.jpg","Ver imagen")</f>
        <v/>
      </c>
    </row>
    <row r="3954">
      <c r="A3954" t="inlineStr">
        <is>
          <t>T TAHARI</t>
        </is>
      </c>
      <c r="B3954" t="inlineStr">
        <is>
          <t>124005796</t>
        </is>
      </c>
      <c r="C3954" t="inlineStr">
        <is>
          <t>99973 EMILY</t>
        </is>
      </c>
      <c r="D3954" t="inlineStr">
        <is>
          <t>BLK</t>
        </is>
      </c>
      <c r="E3954" t="inlineStr">
        <is>
          <t>(en blanco)</t>
        </is>
      </c>
      <c r="F3954" t="inlineStr">
        <is>
          <t>D2C</t>
        </is>
      </c>
      <c r="G3954" t="inlineStr">
        <is>
          <t>XS</t>
        </is>
      </c>
      <c r="H3954" t="n">
        <v>41</v>
      </c>
      <c r="I3954" t="inlineStr">
        <is>
          <t>T_TAHARI_124005796_BLK_1.jpg</t>
        </is>
      </c>
      <c r="J3954" t="inlineStr">
        <is>
          <t>T_TAHARI_124005796_BLK_2.jpg</t>
        </is>
      </c>
      <c r="K3954" t="inlineStr">
        <is>
          <t>T_TAHARI_124005796_BLK_3.jpg</t>
        </is>
      </c>
      <c r="L3954">
        <f>IMAGE("file:///E:/Estudios%20y%20certificaciones/ESTUDIOS%20DE%20PROGRAMMING/PROGRAMMING/PERSONAL/PYTHON/Image_Generator_API/imagenes/T_TAHARI_124005796_BLK_1.jpg")</f>
        <v/>
      </c>
      <c r="M3954">
        <f>IMAGE("file:///E:/Estudios%20y%20certificaciones/ESTUDIOS%20DE%20PROGRAMMING/PROGRAMMING/PERSONAL/PYTHON/Image_Generator_API/imagenes/T_TAHARI_124005796_BLK_2.jpg")</f>
        <v/>
      </c>
      <c r="N3954">
        <f>IMAGE("file:///E:/Estudios%20y%20certificaciones/ESTUDIOS%20DE%20PROGRAMMING/PROGRAMMING/PERSONAL/PYTHON/Image_Generator_API/imagenes/T_TAHARI_124005796_BLK_3.jpg")</f>
        <v/>
      </c>
      <c r="O3954">
        <f>HYPERLINK("imagenes/T_TAHARI_124005796_BLK_1.jpg","Ver imagen")</f>
        <v/>
      </c>
      <c r="P3954">
        <f>HYPERLINK("imagenes/T_TAHARI_124005796_BLK_2.jpg","Ver imagen")</f>
        <v/>
      </c>
      <c r="Q3954">
        <f>HYPERLINK("imagenes/T_TAHARI_124005796_BLK_3.jpg","Ver imagen")</f>
        <v/>
      </c>
    </row>
    <row r="3955">
      <c r="A3955" t="inlineStr">
        <is>
          <t>T TAHARI</t>
        </is>
      </c>
      <c r="B3955" t="inlineStr">
        <is>
          <t>124005796</t>
        </is>
      </c>
      <c r="C3955" t="inlineStr">
        <is>
          <t>99973 EMILY</t>
        </is>
      </c>
      <c r="D3955" t="inlineStr">
        <is>
          <t>BLK</t>
        </is>
      </c>
      <c r="E3955" t="inlineStr">
        <is>
          <t>(en blanco)</t>
        </is>
      </c>
      <c r="F3955" t="inlineStr">
        <is>
          <t>D2C</t>
        </is>
      </c>
      <c r="G3955" t="inlineStr">
        <is>
          <t>S</t>
        </is>
      </c>
      <c r="H3955" t="n">
        <v>31</v>
      </c>
      <c r="I3955" t="inlineStr">
        <is>
          <t>T_TAHARI_124005796_BLK_1.jpg</t>
        </is>
      </c>
      <c r="J3955" t="inlineStr">
        <is>
          <t>T_TAHARI_124005796_BLK_2.jpg</t>
        </is>
      </c>
      <c r="K3955" t="inlineStr">
        <is>
          <t>T_TAHARI_124005796_BLK_3.jpg</t>
        </is>
      </c>
      <c r="L3955">
        <f>IMAGE("file:///E:/Estudios%20y%20certificaciones/ESTUDIOS%20DE%20PROGRAMMING/PROGRAMMING/PERSONAL/PYTHON/Image_Generator_API/imagenes/T_TAHARI_124005796_BLK_1.jpg")</f>
        <v/>
      </c>
      <c r="M3955">
        <f>IMAGE("file:///E:/Estudios%20y%20certificaciones/ESTUDIOS%20DE%20PROGRAMMING/PROGRAMMING/PERSONAL/PYTHON/Image_Generator_API/imagenes/T_TAHARI_124005796_BLK_2.jpg")</f>
        <v/>
      </c>
      <c r="N3955">
        <f>IMAGE("file:///E:/Estudios%20y%20certificaciones/ESTUDIOS%20DE%20PROGRAMMING/PROGRAMMING/PERSONAL/PYTHON/Image_Generator_API/imagenes/T_TAHARI_124005796_BLK_3.jpg")</f>
        <v/>
      </c>
      <c r="O3955">
        <f>HYPERLINK("imagenes/T_TAHARI_124005796_BLK_1.jpg","Ver imagen")</f>
        <v/>
      </c>
      <c r="P3955">
        <f>HYPERLINK("imagenes/T_TAHARI_124005796_BLK_2.jpg","Ver imagen")</f>
        <v/>
      </c>
      <c r="Q3955">
        <f>HYPERLINK("imagenes/T_TAHARI_124005796_BLK_3.jpg","Ver imagen")</f>
        <v/>
      </c>
    </row>
    <row r="3956">
      <c r="A3956" t="inlineStr">
        <is>
          <t>T TAHARI</t>
        </is>
      </c>
      <c r="B3956" t="inlineStr">
        <is>
          <t>124005796</t>
        </is>
      </c>
      <c r="C3956" t="inlineStr">
        <is>
          <t>99973 EMILY</t>
        </is>
      </c>
      <c r="D3956" t="inlineStr">
        <is>
          <t>BLK</t>
        </is>
      </c>
      <c r="E3956" t="inlineStr">
        <is>
          <t>(en blanco)</t>
        </is>
      </c>
      <c r="F3956" t="inlineStr">
        <is>
          <t>D2C</t>
        </is>
      </c>
      <c r="G3956" t="inlineStr">
        <is>
          <t>M</t>
        </is>
      </c>
      <c r="H3956" t="n">
        <v>52</v>
      </c>
      <c r="I3956" t="inlineStr">
        <is>
          <t>T_TAHARI_124005796_BLK_1.jpg</t>
        </is>
      </c>
      <c r="J3956" t="inlineStr">
        <is>
          <t>T_TAHARI_124005796_BLK_2.jpg</t>
        </is>
      </c>
      <c r="K3956" t="inlineStr">
        <is>
          <t>T_TAHARI_124005796_BLK_3.jpg</t>
        </is>
      </c>
      <c r="L3956">
        <f>IMAGE("file:///E:/Estudios%20y%20certificaciones/ESTUDIOS%20DE%20PROGRAMMING/PROGRAMMING/PERSONAL/PYTHON/Image_Generator_API/imagenes/T_TAHARI_124005796_BLK_1.jpg")</f>
        <v/>
      </c>
      <c r="M3956">
        <f>IMAGE("file:///E:/Estudios%20y%20certificaciones/ESTUDIOS%20DE%20PROGRAMMING/PROGRAMMING/PERSONAL/PYTHON/Image_Generator_API/imagenes/T_TAHARI_124005796_BLK_2.jpg")</f>
        <v/>
      </c>
      <c r="N3956">
        <f>IMAGE("file:///E:/Estudios%20y%20certificaciones/ESTUDIOS%20DE%20PROGRAMMING/PROGRAMMING/PERSONAL/PYTHON/Image_Generator_API/imagenes/T_TAHARI_124005796_BLK_3.jpg")</f>
        <v/>
      </c>
      <c r="O3956">
        <f>HYPERLINK("imagenes/T_TAHARI_124005796_BLK_1.jpg","Ver imagen")</f>
        <v/>
      </c>
      <c r="P3956">
        <f>HYPERLINK("imagenes/T_TAHARI_124005796_BLK_2.jpg","Ver imagen")</f>
        <v/>
      </c>
      <c r="Q3956">
        <f>HYPERLINK("imagenes/T_TAHARI_124005796_BLK_3.jpg","Ver imagen")</f>
        <v/>
      </c>
    </row>
    <row r="3957">
      <c r="A3957" t="inlineStr">
        <is>
          <t>T TAHARI</t>
        </is>
      </c>
      <c r="B3957" t="inlineStr">
        <is>
          <t>124005796</t>
        </is>
      </c>
      <c r="C3957" t="inlineStr">
        <is>
          <t>99973 EMILY</t>
        </is>
      </c>
      <c r="D3957" t="inlineStr">
        <is>
          <t>BLK</t>
        </is>
      </c>
      <c r="E3957" t="inlineStr">
        <is>
          <t>(en blanco)</t>
        </is>
      </c>
      <c r="F3957" t="inlineStr">
        <is>
          <t>D2C</t>
        </is>
      </c>
      <c r="G3957" t="inlineStr">
        <is>
          <t>L</t>
        </is>
      </c>
      <c r="H3957" t="n">
        <v>43</v>
      </c>
      <c r="I3957" t="inlineStr">
        <is>
          <t>T_TAHARI_124005796_BLK_1.jpg</t>
        </is>
      </c>
      <c r="J3957" t="inlineStr">
        <is>
          <t>T_TAHARI_124005796_BLK_2.jpg</t>
        </is>
      </c>
      <c r="K3957" t="inlineStr">
        <is>
          <t>T_TAHARI_124005796_BLK_3.jpg</t>
        </is>
      </c>
      <c r="L3957">
        <f>IMAGE("file:///E:/Estudios%20y%20certificaciones/ESTUDIOS%20DE%20PROGRAMMING/PROGRAMMING/PERSONAL/PYTHON/Image_Generator_API/imagenes/T_TAHARI_124005796_BLK_1.jpg")</f>
        <v/>
      </c>
      <c r="M3957">
        <f>IMAGE("file:///E:/Estudios%20y%20certificaciones/ESTUDIOS%20DE%20PROGRAMMING/PROGRAMMING/PERSONAL/PYTHON/Image_Generator_API/imagenes/T_TAHARI_124005796_BLK_2.jpg")</f>
        <v/>
      </c>
      <c r="N3957">
        <f>IMAGE("file:///E:/Estudios%20y%20certificaciones/ESTUDIOS%20DE%20PROGRAMMING/PROGRAMMING/PERSONAL/PYTHON/Image_Generator_API/imagenes/T_TAHARI_124005796_BLK_3.jpg")</f>
        <v/>
      </c>
      <c r="O3957">
        <f>HYPERLINK("imagenes/T_TAHARI_124005796_BLK_1.jpg","Ver imagen")</f>
        <v/>
      </c>
      <c r="P3957">
        <f>HYPERLINK("imagenes/T_TAHARI_124005796_BLK_2.jpg","Ver imagen")</f>
        <v/>
      </c>
      <c r="Q3957">
        <f>HYPERLINK("imagenes/T_TAHARI_124005796_BLK_3.jpg","Ver imagen")</f>
        <v/>
      </c>
    </row>
    <row r="3958">
      <c r="A3958" t="inlineStr">
        <is>
          <t>T TAHARI</t>
        </is>
      </c>
      <c r="B3958" t="inlineStr">
        <is>
          <t>124005796</t>
        </is>
      </c>
      <c r="C3958" t="inlineStr">
        <is>
          <t>99973 EMILY</t>
        </is>
      </c>
      <c r="D3958" t="inlineStr">
        <is>
          <t>BLK</t>
        </is>
      </c>
      <c r="E3958" t="inlineStr">
        <is>
          <t>(en blanco)</t>
        </is>
      </c>
      <c r="F3958" t="inlineStr">
        <is>
          <t>D2C</t>
        </is>
      </c>
      <c r="G3958" t="inlineStr">
        <is>
          <t>XL</t>
        </is>
      </c>
      <c r="H3958" t="n">
        <v>4</v>
      </c>
      <c r="I3958" t="inlineStr">
        <is>
          <t>T_TAHARI_124005796_BLK_1.jpg</t>
        </is>
      </c>
      <c r="J3958" t="inlineStr">
        <is>
          <t>T_TAHARI_124005796_BLK_2.jpg</t>
        </is>
      </c>
      <c r="K3958" t="inlineStr">
        <is>
          <t>T_TAHARI_124005796_BLK_3.jpg</t>
        </is>
      </c>
      <c r="L3958">
        <f>IMAGE("file:///E:/Estudios%20y%20certificaciones/ESTUDIOS%20DE%20PROGRAMMING/PROGRAMMING/PERSONAL/PYTHON/Image_Generator_API/imagenes/T_TAHARI_124005796_BLK_1.jpg")</f>
        <v/>
      </c>
      <c r="M3958">
        <f>IMAGE("file:///E:/Estudios%20y%20certificaciones/ESTUDIOS%20DE%20PROGRAMMING/PROGRAMMING/PERSONAL/PYTHON/Image_Generator_API/imagenes/T_TAHARI_124005796_BLK_2.jpg")</f>
        <v/>
      </c>
      <c r="N3958">
        <f>IMAGE("file:///E:/Estudios%20y%20certificaciones/ESTUDIOS%20DE%20PROGRAMMING/PROGRAMMING/PERSONAL/PYTHON/Image_Generator_API/imagenes/T_TAHARI_124005796_BLK_3.jpg")</f>
        <v/>
      </c>
      <c r="O3958">
        <f>HYPERLINK("imagenes/T_TAHARI_124005796_BLK_1.jpg","Ver imagen")</f>
        <v/>
      </c>
      <c r="P3958">
        <f>HYPERLINK("imagenes/T_TAHARI_124005796_BLK_2.jpg","Ver imagen")</f>
        <v/>
      </c>
      <c r="Q3958">
        <f>HYPERLINK("imagenes/T_TAHARI_124005796_BLK_3.jpg","Ver imagen")</f>
        <v/>
      </c>
    </row>
    <row r="3959">
      <c r="A3959" t="inlineStr">
        <is>
          <t>T TAHARI</t>
        </is>
      </c>
      <c r="B3959" t="inlineStr">
        <is>
          <t>124005796</t>
        </is>
      </c>
      <c r="C3959" t="inlineStr">
        <is>
          <t>99973 EMILY</t>
        </is>
      </c>
      <c r="D3959" t="inlineStr">
        <is>
          <t>BLK</t>
        </is>
      </c>
      <c r="E3959" t="inlineStr">
        <is>
          <t>(en blanco)</t>
        </is>
      </c>
      <c r="F3959" t="inlineStr">
        <is>
          <t>(en blanco)</t>
        </is>
      </c>
      <c r="G3959" t="inlineStr">
        <is>
          <t>XS</t>
        </is>
      </c>
      <c r="H3959" t="n">
        <v>96</v>
      </c>
      <c r="I3959" t="inlineStr">
        <is>
          <t>T_TAHARI_124005796_BLK_1.jpg</t>
        </is>
      </c>
      <c r="J3959" t="inlineStr">
        <is>
          <t>T_TAHARI_124005796_BLK_2.jpg</t>
        </is>
      </c>
      <c r="K3959" t="inlineStr">
        <is>
          <t>T_TAHARI_124005796_BLK_3.jpg</t>
        </is>
      </c>
      <c r="L3959">
        <f>IMAGE("file:///E:/Estudios%20y%20certificaciones/ESTUDIOS%20DE%20PROGRAMMING/PROGRAMMING/PERSONAL/PYTHON/Image_Generator_API/imagenes/T_TAHARI_124005796_BLK_1.jpg")</f>
        <v/>
      </c>
      <c r="M3959">
        <f>IMAGE("file:///E:/Estudios%20y%20certificaciones/ESTUDIOS%20DE%20PROGRAMMING/PROGRAMMING/PERSONAL/PYTHON/Image_Generator_API/imagenes/T_TAHARI_124005796_BLK_2.jpg")</f>
        <v/>
      </c>
      <c r="N3959">
        <f>IMAGE("file:///E:/Estudios%20y%20certificaciones/ESTUDIOS%20DE%20PROGRAMMING/PROGRAMMING/PERSONAL/PYTHON/Image_Generator_API/imagenes/T_TAHARI_124005796_BLK_3.jpg")</f>
        <v/>
      </c>
      <c r="O3959">
        <f>HYPERLINK("imagenes/T_TAHARI_124005796_BLK_1.jpg","Ver imagen")</f>
        <v/>
      </c>
      <c r="P3959">
        <f>HYPERLINK("imagenes/T_TAHARI_124005796_BLK_2.jpg","Ver imagen")</f>
        <v/>
      </c>
      <c r="Q3959">
        <f>HYPERLINK("imagenes/T_TAHARI_124005796_BLK_3.jpg","Ver imagen")</f>
        <v/>
      </c>
    </row>
    <row r="3960">
      <c r="A3960" t="inlineStr">
        <is>
          <t>T TAHARI</t>
        </is>
      </c>
      <c r="B3960" t="inlineStr">
        <is>
          <t>124005796</t>
        </is>
      </c>
      <c r="C3960" t="inlineStr">
        <is>
          <t>99973 EMILY</t>
        </is>
      </c>
      <c r="D3960" t="inlineStr">
        <is>
          <t>BLK</t>
        </is>
      </c>
      <c r="E3960" t="inlineStr">
        <is>
          <t>(en blanco)</t>
        </is>
      </c>
      <c r="F3960" t="inlineStr">
        <is>
          <t>(en blanco)</t>
        </is>
      </c>
      <c r="G3960" t="inlineStr">
        <is>
          <t>S</t>
        </is>
      </c>
      <c r="H3960" t="n">
        <v>190</v>
      </c>
      <c r="I3960" t="inlineStr">
        <is>
          <t>T_TAHARI_124005796_BLK_1.jpg</t>
        </is>
      </c>
      <c r="J3960" t="inlineStr">
        <is>
          <t>T_TAHARI_124005796_BLK_2.jpg</t>
        </is>
      </c>
      <c r="K3960" t="inlineStr">
        <is>
          <t>T_TAHARI_124005796_BLK_3.jpg</t>
        </is>
      </c>
      <c r="L3960">
        <f>IMAGE("file:///E:/Estudios%20y%20certificaciones/ESTUDIOS%20DE%20PROGRAMMING/PROGRAMMING/PERSONAL/PYTHON/Image_Generator_API/imagenes/T_TAHARI_124005796_BLK_1.jpg")</f>
        <v/>
      </c>
      <c r="M3960">
        <f>IMAGE("file:///E:/Estudios%20y%20certificaciones/ESTUDIOS%20DE%20PROGRAMMING/PROGRAMMING/PERSONAL/PYTHON/Image_Generator_API/imagenes/T_TAHARI_124005796_BLK_2.jpg")</f>
        <v/>
      </c>
      <c r="N3960">
        <f>IMAGE("file:///E:/Estudios%20y%20certificaciones/ESTUDIOS%20DE%20PROGRAMMING/PROGRAMMING/PERSONAL/PYTHON/Image_Generator_API/imagenes/T_TAHARI_124005796_BLK_3.jpg")</f>
        <v/>
      </c>
      <c r="O3960">
        <f>HYPERLINK("imagenes/T_TAHARI_124005796_BLK_1.jpg","Ver imagen")</f>
        <v/>
      </c>
      <c r="P3960">
        <f>HYPERLINK("imagenes/T_TAHARI_124005796_BLK_2.jpg","Ver imagen")</f>
        <v/>
      </c>
      <c r="Q3960">
        <f>HYPERLINK("imagenes/T_TAHARI_124005796_BLK_3.jpg","Ver imagen")</f>
        <v/>
      </c>
    </row>
    <row r="3961">
      <c r="A3961" t="inlineStr">
        <is>
          <t>T TAHARI</t>
        </is>
      </c>
      <c r="B3961" t="inlineStr">
        <is>
          <t>124005796</t>
        </is>
      </c>
      <c r="C3961" t="inlineStr">
        <is>
          <t>99973 EMILY</t>
        </is>
      </c>
      <c r="D3961" t="inlineStr">
        <is>
          <t>BLK</t>
        </is>
      </c>
      <c r="E3961" t="inlineStr">
        <is>
          <t>(en blanco)</t>
        </is>
      </c>
      <c r="F3961" t="inlineStr">
        <is>
          <t>(en blanco)</t>
        </is>
      </c>
      <c r="G3961" t="inlineStr">
        <is>
          <t>M</t>
        </is>
      </c>
      <c r="H3961" t="n">
        <v>40</v>
      </c>
      <c r="I3961" t="inlineStr">
        <is>
          <t>T_TAHARI_124005796_BLK_1.jpg</t>
        </is>
      </c>
      <c r="J3961" t="inlineStr">
        <is>
          <t>T_TAHARI_124005796_BLK_2.jpg</t>
        </is>
      </c>
      <c r="K3961" t="inlineStr">
        <is>
          <t>T_TAHARI_124005796_BLK_3.jpg</t>
        </is>
      </c>
      <c r="L3961">
        <f>IMAGE("file:///E:/Estudios%20y%20certificaciones/ESTUDIOS%20DE%20PROGRAMMING/PROGRAMMING/PERSONAL/PYTHON/Image_Generator_API/imagenes/T_TAHARI_124005796_BLK_1.jpg")</f>
        <v/>
      </c>
      <c r="M3961">
        <f>IMAGE("file:///E:/Estudios%20y%20certificaciones/ESTUDIOS%20DE%20PROGRAMMING/PROGRAMMING/PERSONAL/PYTHON/Image_Generator_API/imagenes/T_TAHARI_124005796_BLK_2.jpg")</f>
        <v/>
      </c>
      <c r="N3961">
        <f>IMAGE("file:///E:/Estudios%20y%20certificaciones/ESTUDIOS%20DE%20PROGRAMMING/PROGRAMMING/PERSONAL/PYTHON/Image_Generator_API/imagenes/T_TAHARI_124005796_BLK_3.jpg")</f>
        <v/>
      </c>
      <c r="O3961">
        <f>HYPERLINK("imagenes/T_TAHARI_124005796_BLK_1.jpg","Ver imagen")</f>
        <v/>
      </c>
      <c r="P3961">
        <f>HYPERLINK("imagenes/T_TAHARI_124005796_BLK_2.jpg","Ver imagen")</f>
        <v/>
      </c>
      <c r="Q3961">
        <f>HYPERLINK("imagenes/T_TAHARI_124005796_BLK_3.jpg","Ver imagen")</f>
        <v/>
      </c>
    </row>
    <row r="3962">
      <c r="A3962" t="inlineStr">
        <is>
          <t>T TAHARI</t>
        </is>
      </c>
      <c r="B3962" t="inlineStr">
        <is>
          <t>124005796</t>
        </is>
      </c>
      <c r="C3962" t="inlineStr">
        <is>
          <t>99973 EMILY</t>
        </is>
      </c>
      <c r="D3962" t="inlineStr">
        <is>
          <t>BLK</t>
        </is>
      </c>
      <c r="E3962" t="inlineStr">
        <is>
          <t>(en blanco)</t>
        </is>
      </c>
      <c r="F3962" t="inlineStr">
        <is>
          <t>(en blanco)</t>
        </is>
      </c>
      <c r="G3962" t="inlineStr">
        <is>
          <t>L</t>
        </is>
      </c>
      <c r="H3962" t="n">
        <v>75</v>
      </c>
      <c r="I3962" t="inlineStr">
        <is>
          <t>T_TAHARI_124005796_BLK_1.jpg</t>
        </is>
      </c>
      <c r="J3962" t="inlineStr">
        <is>
          <t>T_TAHARI_124005796_BLK_2.jpg</t>
        </is>
      </c>
      <c r="K3962" t="inlineStr">
        <is>
          <t>T_TAHARI_124005796_BLK_3.jpg</t>
        </is>
      </c>
      <c r="L3962">
        <f>IMAGE("file:///E:/Estudios%20y%20certificaciones/ESTUDIOS%20DE%20PROGRAMMING/PROGRAMMING/PERSONAL/PYTHON/Image_Generator_API/imagenes/T_TAHARI_124005796_BLK_1.jpg")</f>
        <v/>
      </c>
      <c r="M3962">
        <f>IMAGE("file:///E:/Estudios%20y%20certificaciones/ESTUDIOS%20DE%20PROGRAMMING/PROGRAMMING/PERSONAL/PYTHON/Image_Generator_API/imagenes/T_TAHARI_124005796_BLK_2.jpg")</f>
        <v/>
      </c>
      <c r="N3962">
        <f>IMAGE("file:///E:/Estudios%20y%20certificaciones/ESTUDIOS%20DE%20PROGRAMMING/PROGRAMMING/PERSONAL/PYTHON/Image_Generator_API/imagenes/T_TAHARI_124005796_BLK_3.jpg")</f>
        <v/>
      </c>
      <c r="O3962">
        <f>HYPERLINK("imagenes/T_TAHARI_124005796_BLK_1.jpg","Ver imagen")</f>
        <v/>
      </c>
      <c r="P3962">
        <f>HYPERLINK("imagenes/T_TAHARI_124005796_BLK_2.jpg","Ver imagen")</f>
        <v/>
      </c>
      <c r="Q3962">
        <f>HYPERLINK("imagenes/T_TAHARI_124005796_BLK_3.jpg","Ver imagen")</f>
        <v/>
      </c>
    </row>
    <row r="3963">
      <c r="A3963" t="inlineStr">
        <is>
          <t>T TAHARI</t>
        </is>
      </c>
      <c r="B3963" t="inlineStr">
        <is>
          <t>124005796</t>
        </is>
      </c>
      <c r="C3963" t="inlineStr">
        <is>
          <t>99973 EMILY</t>
        </is>
      </c>
      <c r="D3963" t="inlineStr">
        <is>
          <t>BLK</t>
        </is>
      </c>
      <c r="E3963" t="inlineStr">
        <is>
          <t>(en blanco)</t>
        </is>
      </c>
      <c r="F3963" t="inlineStr">
        <is>
          <t>(en blanco)</t>
        </is>
      </c>
      <c r="G3963" t="inlineStr">
        <is>
          <t>XL</t>
        </is>
      </c>
      <c r="H3963" t="n">
        <v>4</v>
      </c>
      <c r="I3963" t="inlineStr">
        <is>
          <t>T_TAHARI_124005796_BLK_1.jpg</t>
        </is>
      </c>
      <c r="J3963" t="inlineStr">
        <is>
          <t>T_TAHARI_124005796_BLK_2.jpg</t>
        </is>
      </c>
      <c r="K3963" t="inlineStr">
        <is>
          <t>T_TAHARI_124005796_BLK_3.jpg</t>
        </is>
      </c>
      <c r="L3963">
        <f>IMAGE("file:///E:/Estudios%20y%20certificaciones/ESTUDIOS%20DE%20PROGRAMMING/PROGRAMMING/PERSONAL/PYTHON/Image_Generator_API/imagenes/T_TAHARI_124005796_BLK_1.jpg")</f>
        <v/>
      </c>
      <c r="M3963">
        <f>IMAGE("file:///E:/Estudios%20y%20certificaciones/ESTUDIOS%20DE%20PROGRAMMING/PROGRAMMING/PERSONAL/PYTHON/Image_Generator_API/imagenes/T_TAHARI_124005796_BLK_2.jpg")</f>
        <v/>
      </c>
      <c r="N3963">
        <f>IMAGE("file:///E:/Estudios%20y%20certificaciones/ESTUDIOS%20DE%20PROGRAMMING/PROGRAMMING/PERSONAL/PYTHON/Image_Generator_API/imagenes/T_TAHARI_124005796_BLK_3.jpg")</f>
        <v/>
      </c>
      <c r="O3963">
        <f>HYPERLINK("imagenes/T_TAHARI_124005796_BLK_1.jpg","Ver imagen")</f>
        <v/>
      </c>
      <c r="P3963">
        <f>HYPERLINK("imagenes/T_TAHARI_124005796_BLK_2.jpg","Ver imagen")</f>
        <v/>
      </c>
      <c r="Q3963">
        <f>HYPERLINK("imagenes/T_TAHARI_124005796_BLK_3.jpg","Ver imagen")</f>
        <v/>
      </c>
    </row>
    <row r="3964">
      <c r="A3964" t="inlineStr">
        <is>
          <t>T TAHARI</t>
        </is>
      </c>
      <c r="B3964" t="inlineStr">
        <is>
          <t>124005796</t>
        </is>
      </c>
      <c r="C3964" t="inlineStr">
        <is>
          <t>99973 EMILY</t>
        </is>
      </c>
      <c r="D3964" t="inlineStr">
        <is>
          <t>NVY</t>
        </is>
      </c>
      <c r="E3964" t="inlineStr">
        <is>
          <t>(en blanco)</t>
        </is>
      </c>
      <c r="F3964" t="inlineStr">
        <is>
          <t>D2C</t>
        </is>
      </c>
      <c r="G3964" t="inlineStr">
        <is>
          <t>XS</t>
        </is>
      </c>
      <c r="H3964" t="n">
        <v>25</v>
      </c>
      <c r="I3964" t="inlineStr">
        <is>
          <t>T_TAHARI_124005796_NVY_1.jpg</t>
        </is>
      </c>
      <c r="J3964" t="inlineStr">
        <is>
          <t>T_TAHARI_124005796_NVY_2.jpg</t>
        </is>
      </c>
      <c r="K3964" t="inlineStr">
        <is>
          <t>T_TAHARI_124005796_NVY_3.jpg</t>
        </is>
      </c>
      <c r="L3964">
        <f>IMAGE("file:///E:/Estudios%20y%20certificaciones/ESTUDIOS%20DE%20PROGRAMMING/PROGRAMMING/PERSONAL/PYTHON/Image_Generator_API/imagenes/T_TAHARI_124005796_NVY_1.jpg")</f>
        <v/>
      </c>
      <c r="M3964">
        <f>IMAGE("file:///E:/Estudios%20y%20certificaciones/ESTUDIOS%20DE%20PROGRAMMING/PROGRAMMING/PERSONAL/PYTHON/Image_Generator_API/imagenes/T_TAHARI_124005796_NVY_2.jpg")</f>
        <v/>
      </c>
      <c r="N3964">
        <f>IMAGE("file:///E:/Estudios%20y%20certificaciones/ESTUDIOS%20DE%20PROGRAMMING/PROGRAMMING/PERSONAL/PYTHON/Image_Generator_API/imagenes/T_TAHARI_124005796_NVY_3.jpg")</f>
        <v/>
      </c>
      <c r="O3964">
        <f>HYPERLINK("imagenes/T_TAHARI_124005796_NVY_1.jpg","Ver imagen")</f>
        <v/>
      </c>
      <c r="P3964">
        <f>HYPERLINK("imagenes/T_TAHARI_124005796_NVY_2.jpg","Ver imagen")</f>
        <v/>
      </c>
      <c r="Q3964">
        <f>HYPERLINK("imagenes/T_TAHARI_124005796_NVY_3.jpg","Ver imagen")</f>
        <v/>
      </c>
    </row>
    <row r="3965">
      <c r="A3965" t="inlineStr">
        <is>
          <t>T TAHARI</t>
        </is>
      </c>
      <c r="B3965" t="inlineStr">
        <is>
          <t>124005796</t>
        </is>
      </c>
      <c r="C3965" t="inlineStr">
        <is>
          <t>99973 EMILY</t>
        </is>
      </c>
      <c r="D3965" t="inlineStr">
        <is>
          <t>NVY</t>
        </is>
      </c>
      <c r="E3965" t="inlineStr">
        <is>
          <t>(en blanco)</t>
        </is>
      </c>
      <c r="F3965" t="inlineStr">
        <is>
          <t>D2C</t>
        </is>
      </c>
      <c r="G3965" t="inlineStr">
        <is>
          <t>S</t>
        </is>
      </c>
      <c r="H3965" t="n">
        <v>31</v>
      </c>
      <c r="I3965" t="inlineStr">
        <is>
          <t>T_TAHARI_124005796_NVY_1.jpg</t>
        </is>
      </c>
      <c r="J3965" t="inlineStr">
        <is>
          <t>T_TAHARI_124005796_NVY_2.jpg</t>
        </is>
      </c>
      <c r="K3965" t="inlineStr">
        <is>
          <t>T_TAHARI_124005796_NVY_3.jpg</t>
        </is>
      </c>
      <c r="L3965">
        <f>IMAGE("file:///E:/Estudios%20y%20certificaciones/ESTUDIOS%20DE%20PROGRAMMING/PROGRAMMING/PERSONAL/PYTHON/Image_Generator_API/imagenes/T_TAHARI_124005796_NVY_1.jpg")</f>
        <v/>
      </c>
      <c r="M3965">
        <f>IMAGE("file:///E:/Estudios%20y%20certificaciones/ESTUDIOS%20DE%20PROGRAMMING/PROGRAMMING/PERSONAL/PYTHON/Image_Generator_API/imagenes/T_TAHARI_124005796_NVY_2.jpg")</f>
        <v/>
      </c>
      <c r="N3965">
        <f>IMAGE("file:///E:/Estudios%20y%20certificaciones/ESTUDIOS%20DE%20PROGRAMMING/PROGRAMMING/PERSONAL/PYTHON/Image_Generator_API/imagenes/T_TAHARI_124005796_NVY_3.jpg")</f>
        <v/>
      </c>
      <c r="O3965">
        <f>HYPERLINK("imagenes/T_TAHARI_124005796_NVY_1.jpg","Ver imagen")</f>
        <v/>
      </c>
      <c r="P3965">
        <f>HYPERLINK("imagenes/T_TAHARI_124005796_NVY_2.jpg","Ver imagen")</f>
        <v/>
      </c>
      <c r="Q3965">
        <f>HYPERLINK("imagenes/T_TAHARI_124005796_NVY_3.jpg","Ver imagen")</f>
        <v/>
      </c>
    </row>
    <row r="3966">
      <c r="A3966" t="inlineStr">
        <is>
          <t>T TAHARI</t>
        </is>
      </c>
      <c r="B3966" t="inlineStr">
        <is>
          <t>124005796</t>
        </is>
      </c>
      <c r="C3966" t="inlineStr">
        <is>
          <t>99973 EMILY</t>
        </is>
      </c>
      <c r="D3966" t="inlineStr">
        <is>
          <t>NVY</t>
        </is>
      </c>
      <c r="E3966" t="inlineStr">
        <is>
          <t>(en blanco)</t>
        </is>
      </c>
      <c r="F3966" t="inlineStr">
        <is>
          <t>D2C</t>
        </is>
      </c>
      <c r="G3966" t="inlineStr">
        <is>
          <t>M</t>
        </is>
      </c>
      <c r="H3966" t="n">
        <v>30</v>
      </c>
      <c r="I3966" t="inlineStr">
        <is>
          <t>T_TAHARI_124005796_NVY_1.jpg</t>
        </is>
      </c>
      <c r="J3966" t="inlineStr">
        <is>
          <t>T_TAHARI_124005796_NVY_2.jpg</t>
        </is>
      </c>
      <c r="K3966" t="inlineStr">
        <is>
          <t>T_TAHARI_124005796_NVY_3.jpg</t>
        </is>
      </c>
      <c r="L3966">
        <f>IMAGE("file:///E:/Estudios%20y%20certificaciones/ESTUDIOS%20DE%20PROGRAMMING/PROGRAMMING/PERSONAL/PYTHON/Image_Generator_API/imagenes/T_TAHARI_124005796_NVY_1.jpg")</f>
        <v/>
      </c>
      <c r="M3966">
        <f>IMAGE("file:///E:/Estudios%20y%20certificaciones/ESTUDIOS%20DE%20PROGRAMMING/PROGRAMMING/PERSONAL/PYTHON/Image_Generator_API/imagenes/T_TAHARI_124005796_NVY_2.jpg")</f>
        <v/>
      </c>
      <c r="N3966">
        <f>IMAGE("file:///E:/Estudios%20y%20certificaciones/ESTUDIOS%20DE%20PROGRAMMING/PROGRAMMING/PERSONAL/PYTHON/Image_Generator_API/imagenes/T_TAHARI_124005796_NVY_3.jpg")</f>
        <v/>
      </c>
      <c r="O3966">
        <f>HYPERLINK("imagenes/T_TAHARI_124005796_NVY_1.jpg","Ver imagen")</f>
        <v/>
      </c>
      <c r="P3966">
        <f>HYPERLINK("imagenes/T_TAHARI_124005796_NVY_2.jpg","Ver imagen")</f>
        <v/>
      </c>
      <c r="Q3966">
        <f>HYPERLINK("imagenes/T_TAHARI_124005796_NVY_3.jpg","Ver imagen")</f>
        <v/>
      </c>
    </row>
    <row r="3967">
      <c r="A3967" t="inlineStr">
        <is>
          <t>T TAHARI</t>
        </is>
      </c>
      <c r="B3967" t="inlineStr">
        <is>
          <t>124005796</t>
        </is>
      </c>
      <c r="C3967" t="inlineStr">
        <is>
          <t>99973 EMILY</t>
        </is>
      </c>
      <c r="D3967" t="inlineStr">
        <is>
          <t>NVY</t>
        </is>
      </c>
      <c r="E3967" t="inlineStr">
        <is>
          <t>(en blanco)</t>
        </is>
      </c>
      <c r="F3967" t="inlineStr">
        <is>
          <t>D2C</t>
        </is>
      </c>
      <c r="G3967" t="inlineStr">
        <is>
          <t>L</t>
        </is>
      </c>
      <c r="H3967" t="n">
        <v>25</v>
      </c>
      <c r="I3967" t="inlineStr">
        <is>
          <t>T_TAHARI_124005796_NVY_1.jpg</t>
        </is>
      </c>
      <c r="J3967" t="inlineStr">
        <is>
          <t>T_TAHARI_124005796_NVY_2.jpg</t>
        </is>
      </c>
      <c r="K3967" t="inlineStr">
        <is>
          <t>T_TAHARI_124005796_NVY_3.jpg</t>
        </is>
      </c>
      <c r="L3967">
        <f>IMAGE("file:///E:/Estudios%20y%20certificaciones/ESTUDIOS%20DE%20PROGRAMMING/PROGRAMMING/PERSONAL/PYTHON/Image_Generator_API/imagenes/T_TAHARI_124005796_NVY_1.jpg")</f>
        <v/>
      </c>
      <c r="M3967">
        <f>IMAGE("file:///E:/Estudios%20y%20certificaciones/ESTUDIOS%20DE%20PROGRAMMING/PROGRAMMING/PERSONAL/PYTHON/Image_Generator_API/imagenes/T_TAHARI_124005796_NVY_2.jpg")</f>
        <v/>
      </c>
      <c r="N3967">
        <f>IMAGE("file:///E:/Estudios%20y%20certificaciones/ESTUDIOS%20DE%20PROGRAMMING/PROGRAMMING/PERSONAL/PYTHON/Image_Generator_API/imagenes/T_TAHARI_124005796_NVY_3.jpg")</f>
        <v/>
      </c>
      <c r="O3967">
        <f>HYPERLINK("imagenes/T_TAHARI_124005796_NVY_1.jpg","Ver imagen")</f>
        <v/>
      </c>
      <c r="P3967">
        <f>HYPERLINK("imagenes/T_TAHARI_124005796_NVY_2.jpg","Ver imagen")</f>
        <v/>
      </c>
      <c r="Q3967">
        <f>HYPERLINK("imagenes/T_TAHARI_124005796_NVY_3.jpg","Ver imagen")</f>
        <v/>
      </c>
    </row>
    <row r="3968">
      <c r="A3968" t="inlineStr">
        <is>
          <t>T TAHARI</t>
        </is>
      </c>
      <c r="B3968" t="inlineStr">
        <is>
          <t>124005796</t>
        </is>
      </c>
      <c r="C3968" t="inlineStr">
        <is>
          <t>99973 EMILY</t>
        </is>
      </c>
      <c r="D3968" t="inlineStr">
        <is>
          <t>NVY</t>
        </is>
      </c>
      <c r="E3968" t="inlineStr">
        <is>
          <t>(en blanco)</t>
        </is>
      </c>
      <c r="F3968" t="inlineStr">
        <is>
          <t>D2C</t>
        </is>
      </c>
      <c r="G3968" t="inlineStr">
        <is>
          <t>XL</t>
        </is>
      </c>
      <c r="H3968" t="n">
        <v>15</v>
      </c>
      <c r="I3968" t="inlineStr">
        <is>
          <t>T_TAHARI_124005796_NVY_1.jpg</t>
        </is>
      </c>
      <c r="J3968" t="inlineStr">
        <is>
          <t>T_TAHARI_124005796_NVY_2.jpg</t>
        </is>
      </c>
      <c r="K3968" t="inlineStr">
        <is>
          <t>T_TAHARI_124005796_NVY_3.jpg</t>
        </is>
      </c>
      <c r="L3968">
        <f>IMAGE("file:///E:/Estudios%20y%20certificaciones/ESTUDIOS%20DE%20PROGRAMMING/PROGRAMMING/PERSONAL/PYTHON/Image_Generator_API/imagenes/T_TAHARI_124005796_NVY_1.jpg")</f>
        <v/>
      </c>
      <c r="M3968">
        <f>IMAGE("file:///E:/Estudios%20y%20certificaciones/ESTUDIOS%20DE%20PROGRAMMING/PROGRAMMING/PERSONAL/PYTHON/Image_Generator_API/imagenes/T_TAHARI_124005796_NVY_2.jpg")</f>
        <v/>
      </c>
      <c r="N3968">
        <f>IMAGE("file:///E:/Estudios%20y%20certificaciones/ESTUDIOS%20DE%20PROGRAMMING/PROGRAMMING/PERSONAL/PYTHON/Image_Generator_API/imagenes/T_TAHARI_124005796_NVY_3.jpg")</f>
        <v/>
      </c>
      <c r="O3968">
        <f>HYPERLINK("imagenes/T_TAHARI_124005796_NVY_1.jpg","Ver imagen")</f>
        <v/>
      </c>
      <c r="P3968">
        <f>HYPERLINK("imagenes/T_TAHARI_124005796_NVY_2.jpg","Ver imagen")</f>
        <v/>
      </c>
      <c r="Q3968">
        <f>HYPERLINK("imagenes/T_TAHARI_124005796_NVY_3.jpg","Ver imagen")</f>
        <v/>
      </c>
    </row>
    <row r="3969">
      <c r="A3969" t="inlineStr">
        <is>
          <t>T TAHARI</t>
        </is>
      </c>
      <c r="B3969" t="inlineStr">
        <is>
          <t>124005796</t>
        </is>
      </c>
      <c r="C3969" t="inlineStr">
        <is>
          <t>99973 EMILY</t>
        </is>
      </c>
      <c r="D3969" t="inlineStr">
        <is>
          <t>NVY</t>
        </is>
      </c>
      <c r="E3969" t="inlineStr">
        <is>
          <t>(en blanco)</t>
        </is>
      </c>
      <c r="F3969" t="inlineStr">
        <is>
          <t>(en blanco)</t>
        </is>
      </c>
      <c r="G3969" t="inlineStr">
        <is>
          <t>XS</t>
        </is>
      </c>
      <c r="H3969" t="n">
        <v>77</v>
      </c>
      <c r="I3969" t="inlineStr">
        <is>
          <t>T_TAHARI_124005796_NVY_1.jpg</t>
        </is>
      </c>
      <c r="J3969" t="inlineStr">
        <is>
          <t>T_TAHARI_124005796_NVY_2.jpg</t>
        </is>
      </c>
      <c r="K3969" t="inlineStr">
        <is>
          <t>T_TAHARI_124005796_NVY_3.jpg</t>
        </is>
      </c>
      <c r="L3969">
        <f>IMAGE("file:///E:/Estudios%20y%20certificaciones/ESTUDIOS%20DE%20PROGRAMMING/PROGRAMMING/PERSONAL/PYTHON/Image_Generator_API/imagenes/T_TAHARI_124005796_NVY_1.jpg")</f>
        <v/>
      </c>
      <c r="M3969">
        <f>IMAGE("file:///E:/Estudios%20y%20certificaciones/ESTUDIOS%20DE%20PROGRAMMING/PROGRAMMING/PERSONAL/PYTHON/Image_Generator_API/imagenes/T_TAHARI_124005796_NVY_2.jpg")</f>
        <v/>
      </c>
      <c r="N3969">
        <f>IMAGE("file:///E:/Estudios%20y%20certificaciones/ESTUDIOS%20DE%20PROGRAMMING/PROGRAMMING/PERSONAL/PYTHON/Image_Generator_API/imagenes/T_TAHARI_124005796_NVY_3.jpg")</f>
        <v/>
      </c>
      <c r="O3969">
        <f>HYPERLINK("imagenes/T_TAHARI_124005796_NVY_1.jpg","Ver imagen")</f>
        <v/>
      </c>
      <c r="P3969">
        <f>HYPERLINK("imagenes/T_TAHARI_124005796_NVY_2.jpg","Ver imagen")</f>
        <v/>
      </c>
      <c r="Q3969">
        <f>HYPERLINK("imagenes/T_TAHARI_124005796_NVY_3.jpg","Ver imagen")</f>
        <v/>
      </c>
    </row>
    <row r="3970">
      <c r="A3970" t="inlineStr">
        <is>
          <t>T TAHARI</t>
        </is>
      </c>
      <c r="B3970" t="inlineStr">
        <is>
          <t>124005796</t>
        </is>
      </c>
      <c r="C3970" t="inlineStr">
        <is>
          <t>99973 EMILY</t>
        </is>
      </c>
      <c r="D3970" t="inlineStr">
        <is>
          <t>NVY</t>
        </is>
      </c>
      <c r="E3970" t="inlineStr">
        <is>
          <t>(en blanco)</t>
        </is>
      </c>
      <c r="F3970" t="inlineStr">
        <is>
          <t>(en blanco)</t>
        </is>
      </c>
      <c r="G3970" t="inlineStr">
        <is>
          <t>S</t>
        </is>
      </c>
      <c r="H3970" t="n">
        <v>188</v>
      </c>
      <c r="I3970" t="inlineStr">
        <is>
          <t>T_TAHARI_124005796_NVY_1.jpg</t>
        </is>
      </c>
      <c r="J3970" t="inlineStr">
        <is>
          <t>T_TAHARI_124005796_NVY_2.jpg</t>
        </is>
      </c>
      <c r="K3970" t="inlineStr">
        <is>
          <t>T_TAHARI_124005796_NVY_3.jpg</t>
        </is>
      </c>
      <c r="L3970">
        <f>IMAGE("file:///E:/Estudios%20y%20certificaciones/ESTUDIOS%20DE%20PROGRAMMING/PROGRAMMING/PERSONAL/PYTHON/Image_Generator_API/imagenes/T_TAHARI_124005796_NVY_1.jpg")</f>
        <v/>
      </c>
      <c r="M3970">
        <f>IMAGE("file:///E:/Estudios%20y%20certificaciones/ESTUDIOS%20DE%20PROGRAMMING/PROGRAMMING/PERSONAL/PYTHON/Image_Generator_API/imagenes/T_TAHARI_124005796_NVY_2.jpg")</f>
        <v/>
      </c>
      <c r="N3970">
        <f>IMAGE("file:///E:/Estudios%20y%20certificaciones/ESTUDIOS%20DE%20PROGRAMMING/PROGRAMMING/PERSONAL/PYTHON/Image_Generator_API/imagenes/T_TAHARI_124005796_NVY_3.jpg")</f>
        <v/>
      </c>
      <c r="O3970">
        <f>HYPERLINK("imagenes/T_TAHARI_124005796_NVY_1.jpg","Ver imagen")</f>
        <v/>
      </c>
      <c r="P3970">
        <f>HYPERLINK("imagenes/T_TAHARI_124005796_NVY_2.jpg","Ver imagen")</f>
        <v/>
      </c>
      <c r="Q3970">
        <f>HYPERLINK("imagenes/T_TAHARI_124005796_NVY_3.jpg","Ver imagen")</f>
        <v/>
      </c>
    </row>
    <row r="3971">
      <c r="A3971" t="inlineStr">
        <is>
          <t>T TAHARI</t>
        </is>
      </c>
      <c r="B3971" t="inlineStr">
        <is>
          <t>124005796</t>
        </is>
      </c>
      <c r="C3971" t="inlineStr">
        <is>
          <t>99973 EMILY</t>
        </is>
      </c>
      <c r="D3971" t="inlineStr">
        <is>
          <t>NVY</t>
        </is>
      </c>
      <c r="E3971" t="inlineStr">
        <is>
          <t>(en blanco)</t>
        </is>
      </c>
      <c r="F3971" t="inlineStr">
        <is>
          <t>(en blanco)</t>
        </is>
      </c>
      <c r="G3971" t="inlineStr">
        <is>
          <t>M</t>
        </is>
      </c>
      <c r="H3971" t="n">
        <v>184</v>
      </c>
      <c r="I3971" t="inlineStr">
        <is>
          <t>T_TAHARI_124005796_NVY_1.jpg</t>
        </is>
      </c>
      <c r="J3971" t="inlineStr">
        <is>
          <t>T_TAHARI_124005796_NVY_2.jpg</t>
        </is>
      </c>
      <c r="K3971" t="inlineStr">
        <is>
          <t>T_TAHARI_124005796_NVY_3.jpg</t>
        </is>
      </c>
      <c r="L3971">
        <f>IMAGE("file:///E:/Estudios%20y%20certificaciones/ESTUDIOS%20DE%20PROGRAMMING/PROGRAMMING/PERSONAL/PYTHON/Image_Generator_API/imagenes/T_TAHARI_124005796_NVY_1.jpg")</f>
        <v/>
      </c>
      <c r="M3971">
        <f>IMAGE("file:///E:/Estudios%20y%20certificaciones/ESTUDIOS%20DE%20PROGRAMMING/PROGRAMMING/PERSONAL/PYTHON/Image_Generator_API/imagenes/T_TAHARI_124005796_NVY_2.jpg")</f>
        <v/>
      </c>
      <c r="N3971">
        <f>IMAGE("file:///E:/Estudios%20y%20certificaciones/ESTUDIOS%20DE%20PROGRAMMING/PROGRAMMING/PERSONAL/PYTHON/Image_Generator_API/imagenes/T_TAHARI_124005796_NVY_3.jpg")</f>
        <v/>
      </c>
      <c r="O3971">
        <f>HYPERLINK("imagenes/T_TAHARI_124005796_NVY_1.jpg","Ver imagen")</f>
        <v/>
      </c>
      <c r="P3971">
        <f>HYPERLINK("imagenes/T_TAHARI_124005796_NVY_2.jpg","Ver imagen")</f>
        <v/>
      </c>
      <c r="Q3971">
        <f>HYPERLINK("imagenes/T_TAHARI_124005796_NVY_3.jpg","Ver imagen")</f>
        <v/>
      </c>
    </row>
    <row r="3972">
      <c r="A3972" t="inlineStr">
        <is>
          <t>T TAHARI</t>
        </is>
      </c>
      <c r="B3972" t="inlineStr">
        <is>
          <t>124005796</t>
        </is>
      </c>
      <c r="C3972" t="inlineStr">
        <is>
          <t>99973 EMILY</t>
        </is>
      </c>
      <c r="D3972" t="inlineStr">
        <is>
          <t>NVY</t>
        </is>
      </c>
      <c r="E3972" t="inlineStr">
        <is>
          <t>(en blanco)</t>
        </is>
      </c>
      <c r="F3972" t="inlineStr">
        <is>
          <t>(en blanco)</t>
        </is>
      </c>
      <c r="G3972" t="inlineStr">
        <is>
          <t>L</t>
        </is>
      </c>
      <c r="H3972" t="n">
        <v>115</v>
      </c>
      <c r="I3972" t="inlineStr">
        <is>
          <t>T_TAHARI_124005796_NVY_1.jpg</t>
        </is>
      </c>
      <c r="J3972" t="inlineStr">
        <is>
          <t>T_TAHARI_124005796_NVY_2.jpg</t>
        </is>
      </c>
      <c r="K3972" t="inlineStr">
        <is>
          <t>T_TAHARI_124005796_NVY_3.jpg</t>
        </is>
      </c>
      <c r="L3972">
        <f>IMAGE("file:///E:/Estudios%20y%20certificaciones/ESTUDIOS%20DE%20PROGRAMMING/PROGRAMMING/PERSONAL/PYTHON/Image_Generator_API/imagenes/T_TAHARI_124005796_NVY_1.jpg")</f>
        <v/>
      </c>
      <c r="M3972">
        <f>IMAGE("file:///E:/Estudios%20y%20certificaciones/ESTUDIOS%20DE%20PROGRAMMING/PROGRAMMING/PERSONAL/PYTHON/Image_Generator_API/imagenes/T_TAHARI_124005796_NVY_2.jpg")</f>
        <v/>
      </c>
      <c r="N3972">
        <f>IMAGE("file:///E:/Estudios%20y%20certificaciones/ESTUDIOS%20DE%20PROGRAMMING/PROGRAMMING/PERSONAL/PYTHON/Image_Generator_API/imagenes/T_TAHARI_124005796_NVY_3.jpg")</f>
        <v/>
      </c>
      <c r="O3972">
        <f>HYPERLINK("imagenes/T_TAHARI_124005796_NVY_1.jpg","Ver imagen")</f>
        <v/>
      </c>
      <c r="P3972">
        <f>HYPERLINK("imagenes/T_TAHARI_124005796_NVY_2.jpg","Ver imagen")</f>
        <v/>
      </c>
      <c r="Q3972">
        <f>HYPERLINK("imagenes/T_TAHARI_124005796_NVY_3.jpg","Ver imagen")</f>
        <v/>
      </c>
    </row>
    <row r="3973">
      <c r="A3973" t="inlineStr">
        <is>
          <t>T TAHARI</t>
        </is>
      </c>
      <c r="B3973" t="inlineStr">
        <is>
          <t>124005796</t>
        </is>
      </c>
      <c r="C3973" t="inlineStr">
        <is>
          <t>99973 EMILY</t>
        </is>
      </c>
      <c r="D3973" t="inlineStr">
        <is>
          <t>NVY</t>
        </is>
      </c>
      <c r="E3973" t="inlineStr">
        <is>
          <t>(en blanco)</t>
        </is>
      </c>
      <c r="F3973" t="inlineStr">
        <is>
          <t>(en blanco)</t>
        </is>
      </c>
      <c r="G3973" t="inlineStr">
        <is>
          <t>XL</t>
        </is>
      </c>
      <c r="H3973" t="n">
        <v>37</v>
      </c>
      <c r="I3973" t="inlineStr">
        <is>
          <t>T_TAHARI_124005796_NVY_1.jpg</t>
        </is>
      </c>
      <c r="J3973" t="inlineStr">
        <is>
          <t>T_TAHARI_124005796_NVY_2.jpg</t>
        </is>
      </c>
      <c r="K3973" t="inlineStr">
        <is>
          <t>T_TAHARI_124005796_NVY_3.jpg</t>
        </is>
      </c>
      <c r="L3973">
        <f>IMAGE("file:///E:/Estudios%20y%20certificaciones/ESTUDIOS%20DE%20PROGRAMMING/PROGRAMMING/PERSONAL/PYTHON/Image_Generator_API/imagenes/T_TAHARI_124005796_NVY_1.jpg")</f>
        <v/>
      </c>
      <c r="M3973">
        <f>IMAGE("file:///E:/Estudios%20y%20certificaciones/ESTUDIOS%20DE%20PROGRAMMING/PROGRAMMING/PERSONAL/PYTHON/Image_Generator_API/imagenes/T_TAHARI_124005796_NVY_2.jpg")</f>
        <v/>
      </c>
      <c r="N3973">
        <f>IMAGE("file:///E:/Estudios%20y%20certificaciones/ESTUDIOS%20DE%20PROGRAMMING/PROGRAMMING/PERSONAL/PYTHON/Image_Generator_API/imagenes/T_TAHARI_124005796_NVY_3.jpg")</f>
        <v/>
      </c>
      <c r="O3973">
        <f>HYPERLINK("imagenes/T_TAHARI_124005796_NVY_1.jpg","Ver imagen")</f>
        <v/>
      </c>
      <c r="P3973">
        <f>HYPERLINK("imagenes/T_TAHARI_124005796_NVY_2.jpg","Ver imagen")</f>
        <v/>
      </c>
      <c r="Q3973">
        <f>HYPERLINK("imagenes/T_TAHARI_124005796_NVY_3.jpg","Ver imagen")</f>
        <v/>
      </c>
    </row>
    <row r="3974">
      <c r="A3974" t="inlineStr">
        <is>
          <t>T TAHARI</t>
        </is>
      </c>
      <c r="B3974" t="inlineStr">
        <is>
          <t>124005796</t>
        </is>
      </c>
      <c r="C3974" t="inlineStr">
        <is>
          <t>99973 EMILY</t>
        </is>
      </c>
      <c r="D3974" t="inlineStr">
        <is>
          <t>NVY</t>
        </is>
      </c>
      <c r="E3974" t="inlineStr">
        <is>
          <t>(en blanco)</t>
        </is>
      </c>
      <c r="F3974" t="inlineStr">
        <is>
          <t>(en blanco)</t>
        </is>
      </c>
      <c r="G3974" t="inlineStr">
        <is>
          <t>XXL</t>
        </is>
      </c>
      <c r="H3974" t="n">
        <v>4</v>
      </c>
      <c r="I3974" t="inlineStr">
        <is>
          <t>T_TAHARI_124005796_NVY_1.jpg</t>
        </is>
      </c>
      <c r="J3974" t="inlineStr">
        <is>
          <t>T_TAHARI_124005796_NVY_2.jpg</t>
        </is>
      </c>
      <c r="K3974" t="inlineStr">
        <is>
          <t>T_TAHARI_124005796_NVY_3.jpg</t>
        </is>
      </c>
      <c r="L3974">
        <f>IMAGE("file:///E:/Estudios%20y%20certificaciones/ESTUDIOS%20DE%20PROGRAMMING/PROGRAMMING/PERSONAL/PYTHON/Image_Generator_API/imagenes/T_TAHARI_124005796_NVY_1.jpg")</f>
        <v/>
      </c>
      <c r="M3974">
        <f>IMAGE("file:///E:/Estudios%20y%20certificaciones/ESTUDIOS%20DE%20PROGRAMMING/PROGRAMMING/PERSONAL/PYTHON/Image_Generator_API/imagenes/T_TAHARI_124005796_NVY_2.jpg")</f>
        <v/>
      </c>
      <c r="N3974">
        <f>IMAGE("file:///E:/Estudios%20y%20certificaciones/ESTUDIOS%20DE%20PROGRAMMING/PROGRAMMING/PERSONAL/PYTHON/Image_Generator_API/imagenes/T_TAHARI_124005796_NVY_3.jpg")</f>
        <v/>
      </c>
      <c r="O3974">
        <f>HYPERLINK("imagenes/T_TAHARI_124005796_NVY_1.jpg","Ver imagen")</f>
        <v/>
      </c>
      <c r="P3974">
        <f>HYPERLINK("imagenes/T_TAHARI_124005796_NVY_2.jpg","Ver imagen")</f>
        <v/>
      </c>
      <c r="Q3974">
        <f>HYPERLINK("imagenes/T_TAHARI_124005796_NVY_3.jpg","Ver imagen")</f>
        <v/>
      </c>
    </row>
    <row r="3975">
      <c r="A3975" t="inlineStr">
        <is>
          <t>T TAHARI</t>
        </is>
      </c>
      <c r="B3975" t="inlineStr">
        <is>
          <t>124005796</t>
        </is>
      </c>
      <c r="C3975" t="inlineStr">
        <is>
          <t>99973 EMILY</t>
        </is>
      </c>
      <c r="D3975" t="inlineStr">
        <is>
          <t>NVY</t>
        </is>
      </c>
      <c r="E3975" t="inlineStr">
        <is>
          <t>(en blanco)</t>
        </is>
      </c>
      <c r="F3975" t="inlineStr">
        <is>
          <t>(en blanco)</t>
        </is>
      </c>
      <c r="G3975" t="inlineStr">
        <is>
          <t>XXS</t>
        </is>
      </c>
      <c r="H3975" t="n">
        <v>1</v>
      </c>
      <c r="I3975" t="inlineStr">
        <is>
          <t>T_TAHARI_124005796_NVY_1.jpg</t>
        </is>
      </c>
      <c r="J3975" t="inlineStr">
        <is>
          <t>T_TAHARI_124005796_NVY_2.jpg</t>
        </is>
      </c>
      <c r="K3975" t="inlineStr">
        <is>
          <t>T_TAHARI_124005796_NVY_3.jpg</t>
        </is>
      </c>
      <c r="L3975">
        <f>IMAGE("file:///E:/Estudios%20y%20certificaciones/ESTUDIOS%20DE%20PROGRAMMING/PROGRAMMING/PERSONAL/PYTHON/Image_Generator_API/imagenes/T_TAHARI_124005796_NVY_1.jpg")</f>
        <v/>
      </c>
      <c r="M3975">
        <f>IMAGE("file:///E:/Estudios%20y%20certificaciones/ESTUDIOS%20DE%20PROGRAMMING/PROGRAMMING/PERSONAL/PYTHON/Image_Generator_API/imagenes/T_TAHARI_124005796_NVY_2.jpg")</f>
        <v/>
      </c>
      <c r="N3975">
        <f>IMAGE("file:///E:/Estudios%20y%20certificaciones/ESTUDIOS%20DE%20PROGRAMMING/PROGRAMMING/PERSONAL/PYTHON/Image_Generator_API/imagenes/T_TAHARI_124005796_NVY_3.jpg")</f>
        <v/>
      </c>
      <c r="O3975">
        <f>HYPERLINK("imagenes/T_TAHARI_124005796_NVY_1.jpg","Ver imagen")</f>
        <v/>
      </c>
      <c r="P3975">
        <f>HYPERLINK("imagenes/T_TAHARI_124005796_NVY_2.jpg","Ver imagen")</f>
        <v/>
      </c>
      <c r="Q3975">
        <f>HYPERLINK("imagenes/T_TAHARI_124005796_NVY_3.jpg","Ver imagen")</f>
        <v/>
      </c>
    </row>
    <row r="3976">
      <c r="A3976" t="inlineStr">
        <is>
          <t>T TAHARI</t>
        </is>
      </c>
      <c r="B3976" t="inlineStr">
        <is>
          <t>124005798</t>
        </is>
      </c>
      <c r="C3976" t="inlineStr">
        <is>
          <t>98014 VIC</t>
        </is>
      </c>
      <c r="D3976" t="inlineStr">
        <is>
          <t>BLK</t>
        </is>
      </c>
      <c r="E3976" t="inlineStr">
        <is>
          <t>(en blanco)</t>
        </is>
      </c>
      <c r="F3976" t="inlineStr">
        <is>
          <t>(en blanco)</t>
        </is>
      </c>
      <c r="G3976" t="inlineStr">
        <is>
          <t>XS</t>
        </is>
      </c>
      <c r="H3976" t="n">
        <v>10</v>
      </c>
      <c r="I3976" t="inlineStr">
        <is>
          <t>T_TAHARI_124005798_BLK_1.jpg</t>
        </is>
      </c>
      <c r="J3976" t="inlineStr">
        <is>
          <t>T_TAHARI_124005798_BLK_2.jpg</t>
        </is>
      </c>
      <c r="K3976" t="inlineStr">
        <is>
          <t>T_TAHARI_124005798_BLK_3.jpg</t>
        </is>
      </c>
      <c r="L3976">
        <f>IMAGE("file:///E:/Estudios%20y%20certificaciones/ESTUDIOS%20DE%20PROGRAMMING/PROGRAMMING/PERSONAL/PYTHON/Image_Generator_API/imagenes/T_TAHARI_124005798_BLK_1.jpg")</f>
        <v/>
      </c>
      <c r="M3976">
        <f>IMAGE("file:///E:/Estudios%20y%20certificaciones/ESTUDIOS%20DE%20PROGRAMMING/PROGRAMMING/PERSONAL/PYTHON/Image_Generator_API/imagenes/T_TAHARI_124005798_BLK_2.jpg")</f>
        <v/>
      </c>
      <c r="N3976">
        <f>IMAGE("file:///E:/Estudios%20y%20certificaciones/ESTUDIOS%20DE%20PROGRAMMING/PROGRAMMING/PERSONAL/PYTHON/Image_Generator_API/imagenes/T_TAHARI_124005798_BLK_3.jpg")</f>
        <v/>
      </c>
      <c r="O3976">
        <f>HYPERLINK("imagenes/T_TAHARI_124005798_BLK_1.jpg","Ver imagen")</f>
        <v/>
      </c>
      <c r="P3976">
        <f>HYPERLINK("imagenes/T_TAHARI_124005798_BLK_2.jpg","Ver imagen")</f>
        <v/>
      </c>
      <c r="Q3976">
        <f>HYPERLINK("imagenes/T_TAHARI_124005798_BLK_3.jpg","Ver imagen")</f>
        <v/>
      </c>
    </row>
    <row r="3977">
      <c r="A3977" t="inlineStr">
        <is>
          <t>T TAHARI</t>
        </is>
      </c>
      <c r="B3977" t="inlineStr">
        <is>
          <t>124005798</t>
        </is>
      </c>
      <c r="C3977" t="inlineStr">
        <is>
          <t>98014 VIC</t>
        </is>
      </c>
      <c r="D3977" t="inlineStr">
        <is>
          <t>BLK</t>
        </is>
      </c>
      <c r="E3977" t="inlineStr">
        <is>
          <t>(en blanco)</t>
        </is>
      </c>
      <c r="F3977" t="inlineStr">
        <is>
          <t>(en blanco)</t>
        </is>
      </c>
      <c r="G3977" t="inlineStr">
        <is>
          <t>S</t>
        </is>
      </c>
      <c r="H3977" t="n">
        <v>7</v>
      </c>
      <c r="I3977" t="inlineStr">
        <is>
          <t>T_TAHARI_124005798_BLK_1.jpg</t>
        </is>
      </c>
      <c r="J3977" t="inlineStr">
        <is>
          <t>T_TAHARI_124005798_BLK_2.jpg</t>
        </is>
      </c>
      <c r="K3977" t="inlineStr">
        <is>
          <t>T_TAHARI_124005798_BLK_3.jpg</t>
        </is>
      </c>
      <c r="L3977">
        <f>IMAGE("file:///E:/Estudios%20y%20certificaciones/ESTUDIOS%20DE%20PROGRAMMING/PROGRAMMING/PERSONAL/PYTHON/Image_Generator_API/imagenes/T_TAHARI_124005798_BLK_1.jpg")</f>
        <v/>
      </c>
      <c r="M3977">
        <f>IMAGE("file:///E:/Estudios%20y%20certificaciones/ESTUDIOS%20DE%20PROGRAMMING/PROGRAMMING/PERSONAL/PYTHON/Image_Generator_API/imagenes/T_TAHARI_124005798_BLK_2.jpg")</f>
        <v/>
      </c>
      <c r="N3977">
        <f>IMAGE("file:///E:/Estudios%20y%20certificaciones/ESTUDIOS%20DE%20PROGRAMMING/PROGRAMMING/PERSONAL/PYTHON/Image_Generator_API/imagenes/T_TAHARI_124005798_BLK_3.jpg")</f>
        <v/>
      </c>
      <c r="O3977">
        <f>HYPERLINK("imagenes/T_TAHARI_124005798_BLK_1.jpg","Ver imagen")</f>
        <v/>
      </c>
      <c r="P3977">
        <f>HYPERLINK("imagenes/T_TAHARI_124005798_BLK_2.jpg","Ver imagen")</f>
        <v/>
      </c>
      <c r="Q3977">
        <f>HYPERLINK("imagenes/T_TAHARI_124005798_BLK_3.jpg","Ver imagen")</f>
        <v/>
      </c>
    </row>
    <row r="3978">
      <c r="A3978" t="inlineStr">
        <is>
          <t>T TAHARI</t>
        </is>
      </c>
      <c r="B3978" t="inlineStr">
        <is>
          <t>124005798</t>
        </is>
      </c>
      <c r="C3978" t="inlineStr">
        <is>
          <t>98014 VIC</t>
        </is>
      </c>
      <c r="D3978" t="inlineStr">
        <is>
          <t>BLK</t>
        </is>
      </c>
      <c r="E3978" t="inlineStr">
        <is>
          <t>(en blanco)</t>
        </is>
      </c>
      <c r="F3978" t="inlineStr">
        <is>
          <t>(en blanco)</t>
        </is>
      </c>
      <c r="G3978" t="inlineStr">
        <is>
          <t>M</t>
        </is>
      </c>
      <c r="H3978" t="n">
        <v>3</v>
      </c>
      <c r="I3978" t="inlineStr">
        <is>
          <t>T_TAHARI_124005798_BLK_1.jpg</t>
        </is>
      </c>
      <c r="J3978" t="inlineStr">
        <is>
          <t>T_TAHARI_124005798_BLK_2.jpg</t>
        </is>
      </c>
      <c r="K3978" t="inlineStr">
        <is>
          <t>T_TAHARI_124005798_BLK_3.jpg</t>
        </is>
      </c>
      <c r="L3978">
        <f>IMAGE("file:///E:/Estudios%20y%20certificaciones/ESTUDIOS%20DE%20PROGRAMMING/PROGRAMMING/PERSONAL/PYTHON/Image_Generator_API/imagenes/T_TAHARI_124005798_BLK_1.jpg")</f>
        <v/>
      </c>
      <c r="M3978">
        <f>IMAGE("file:///E:/Estudios%20y%20certificaciones/ESTUDIOS%20DE%20PROGRAMMING/PROGRAMMING/PERSONAL/PYTHON/Image_Generator_API/imagenes/T_TAHARI_124005798_BLK_2.jpg")</f>
        <v/>
      </c>
      <c r="N3978">
        <f>IMAGE("file:///E:/Estudios%20y%20certificaciones/ESTUDIOS%20DE%20PROGRAMMING/PROGRAMMING/PERSONAL/PYTHON/Image_Generator_API/imagenes/T_TAHARI_124005798_BLK_3.jpg")</f>
        <v/>
      </c>
      <c r="O3978">
        <f>HYPERLINK("imagenes/T_TAHARI_124005798_BLK_1.jpg","Ver imagen")</f>
        <v/>
      </c>
      <c r="P3978">
        <f>HYPERLINK("imagenes/T_TAHARI_124005798_BLK_2.jpg","Ver imagen")</f>
        <v/>
      </c>
      <c r="Q3978">
        <f>HYPERLINK("imagenes/T_TAHARI_124005798_BLK_3.jpg","Ver imagen")</f>
        <v/>
      </c>
    </row>
    <row r="3979">
      <c r="A3979" t="inlineStr">
        <is>
          <t>T TAHARI</t>
        </is>
      </c>
      <c r="B3979" t="inlineStr">
        <is>
          <t>124005798</t>
        </is>
      </c>
      <c r="C3979" t="inlineStr">
        <is>
          <t>98014 VIC</t>
        </is>
      </c>
      <c r="D3979" t="inlineStr">
        <is>
          <t>BLK</t>
        </is>
      </c>
      <c r="E3979" t="inlineStr">
        <is>
          <t>(en blanco)</t>
        </is>
      </c>
      <c r="F3979" t="inlineStr">
        <is>
          <t>(en blanco)</t>
        </is>
      </c>
      <c r="G3979" t="inlineStr">
        <is>
          <t>L</t>
        </is>
      </c>
      <c r="H3979" t="n">
        <v>5</v>
      </c>
      <c r="I3979" t="inlineStr">
        <is>
          <t>T_TAHARI_124005798_BLK_1.jpg</t>
        </is>
      </c>
      <c r="J3979" t="inlineStr">
        <is>
          <t>T_TAHARI_124005798_BLK_2.jpg</t>
        </is>
      </c>
      <c r="K3979" t="inlineStr">
        <is>
          <t>T_TAHARI_124005798_BLK_3.jpg</t>
        </is>
      </c>
      <c r="L3979">
        <f>IMAGE("file:///E:/Estudios%20y%20certificaciones/ESTUDIOS%20DE%20PROGRAMMING/PROGRAMMING/PERSONAL/PYTHON/Image_Generator_API/imagenes/T_TAHARI_124005798_BLK_1.jpg")</f>
        <v/>
      </c>
      <c r="M3979">
        <f>IMAGE("file:///E:/Estudios%20y%20certificaciones/ESTUDIOS%20DE%20PROGRAMMING/PROGRAMMING/PERSONAL/PYTHON/Image_Generator_API/imagenes/T_TAHARI_124005798_BLK_2.jpg")</f>
        <v/>
      </c>
      <c r="N3979">
        <f>IMAGE("file:///E:/Estudios%20y%20certificaciones/ESTUDIOS%20DE%20PROGRAMMING/PROGRAMMING/PERSONAL/PYTHON/Image_Generator_API/imagenes/T_TAHARI_124005798_BLK_3.jpg")</f>
        <v/>
      </c>
      <c r="O3979">
        <f>HYPERLINK("imagenes/T_TAHARI_124005798_BLK_1.jpg","Ver imagen")</f>
        <v/>
      </c>
      <c r="P3979">
        <f>HYPERLINK("imagenes/T_TAHARI_124005798_BLK_2.jpg","Ver imagen")</f>
        <v/>
      </c>
      <c r="Q3979">
        <f>HYPERLINK("imagenes/T_TAHARI_124005798_BLK_3.jpg","Ver imagen")</f>
        <v/>
      </c>
    </row>
    <row r="3980">
      <c r="A3980" t="inlineStr">
        <is>
          <t>T TAHARI</t>
        </is>
      </c>
      <c r="B3980" t="inlineStr">
        <is>
          <t>124005798</t>
        </is>
      </c>
      <c r="C3980" t="inlineStr">
        <is>
          <t>98014 VIC</t>
        </is>
      </c>
      <c r="D3980" t="inlineStr">
        <is>
          <t>BLK</t>
        </is>
      </c>
      <c r="E3980" t="inlineStr">
        <is>
          <t>(en blanco)</t>
        </is>
      </c>
      <c r="F3980" t="inlineStr">
        <is>
          <t>(en blanco)</t>
        </is>
      </c>
      <c r="G3980" t="inlineStr">
        <is>
          <t>XL</t>
        </is>
      </c>
      <c r="H3980" t="n">
        <v>0</v>
      </c>
      <c r="I3980" t="inlineStr">
        <is>
          <t>T_TAHARI_124005798_BLK_1.jpg</t>
        </is>
      </c>
      <c r="J3980" t="inlineStr">
        <is>
          <t>T_TAHARI_124005798_BLK_2.jpg</t>
        </is>
      </c>
      <c r="K3980" t="inlineStr">
        <is>
          <t>T_TAHARI_124005798_BLK_3.jpg</t>
        </is>
      </c>
      <c r="L3980">
        <f>IMAGE("file:///E:/Estudios%20y%20certificaciones/ESTUDIOS%20DE%20PROGRAMMING/PROGRAMMING/PERSONAL/PYTHON/Image_Generator_API/imagenes/T_TAHARI_124005798_BLK_1.jpg")</f>
        <v/>
      </c>
      <c r="M3980">
        <f>IMAGE("file:///E:/Estudios%20y%20certificaciones/ESTUDIOS%20DE%20PROGRAMMING/PROGRAMMING/PERSONAL/PYTHON/Image_Generator_API/imagenes/T_TAHARI_124005798_BLK_2.jpg")</f>
        <v/>
      </c>
      <c r="N3980">
        <f>IMAGE("file:///E:/Estudios%20y%20certificaciones/ESTUDIOS%20DE%20PROGRAMMING/PROGRAMMING/PERSONAL/PYTHON/Image_Generator_API/imagenes/T_TAHARI_124005798_BLK_3.jpg")</f>
        <v/>
      </c>
      <c r="O3980">
        <f>HYPERLINK("imagenes/T_TAHARI_124005798_BLK_1.jpg","Ver imagen")</f>
        <v/>
      </c>
      <c r="P3980">
        <f>HYPERLINK("imagenes/T_TAHARI_124005798_BLK_2.jpg","Ver imagen")</f>
        <v/>
      </c>
      <c r="Q3980">
        <f>HYPERLINK("imagenes/T_TAHARI_124005798_BLK_3.jpg","Ver imagen")</f>
        <v/>
      </c>
    </row>
    <row r="3981">
      <c r="A3981" t="inlineStr">
        <is>
          <t>T TAHARI</t>
        </is>
      </c>
      <c r="B3981" t="inlineStr">
        <is>
          <t>124005798</t>
        </is>
      </c>
      <c r="C3981" t="inlineStr">
        <is>
          <t>98014 VIC</t>
        </is>
      </c>
      <c r="D3981" t="inlineStr">
        <is>
          <t>BLK</t>
        </is>
      </c>
      <c r="E3981" t="inlineStr">
        <is>
          <t>(en blanco)</t>
        </is>
      </c>
      <c r="F3981" t="inlineStr">
        <is>
          <t>(en blanco)</t>
        </is>
      </c>
      <c r="G3981" t="inlineStr">
        <is>
          <t>XXL</t>
        </is>
      </c>
      <c r="H3981" t="n">
        <v>1</v>
      </c>
      <c r="I3981" t="inlineStr">
        <is>
          <t>T_TAHARI_124005798_BLK_1.jpg</t>
        </is>
      </c>
      <c r="J3981" t="inlineStr">
        <is>
          <t>T_TAHARI_124005798_BLK_2.jpg</t>
        </is>
      </c>
      <c r="K3981" t="inlineStr">
        <is>
          <t>T_TAHARI_124005798_BLK_3.jpg</t>
        </is>
      </c>
      <c r="L3981">
        <f>IMAGE("file:///E:/Estudios%20y%20certificaciones/ESTUDIOS%20DE%20PROGRAMMING/PROGRAMMING/PERSONAL/PYTHON/Image_Generator_API/imagenes/T_TAHARI_124005798_BLK_1.jpg")</f>
        <v/>
      </c>
      <c r="M3981">
        <f>IMAGE("file:///E:/Estudios%20y%20certificaciones/ESTUDIOS%20DE%20PROGRAMMING/PROGRAMMING/PERSONAL/PYTHON/Image_Generator_API/imagenes/T_TAHARI_124005798_BLK_2.jpg")</f>
        <v/>
      </c>
      <c r="N3981">
        <f>IMAGE("file:///E:/Estudios%20y%20certificaciones/ESTUDIOS%20DE%20PROGRAMMING/PROGRAMMING/PERSONAL/PYTHON/Image_Generator_API/imagenes/T_TAHARI_124005798_BLK_3.jpg")</f>
        <v/>
      </c>
      <c r="O3981">
        <f>HYPERLINK("imagenes/T_TAHARI_124005798_BLK_1.jpg","Ver imagen")</f>
        <v/>
      </c>
      <c r="P3981">
        <f>HYPERLINK("imagenes/T_TAHARI_124005798_BLK_2.jpg","Ver imagen")</f>
        <v/>
      </c>
      <c r="Q3981">
        <f>HYPERLINK("imagenes/T_TAHARI_124005798_BLK_3.jpg","Ver imagen")</f>
        <v/>
      </c>
    </row>
    <row r="3982">
      <c r="A3982" t="inlineStr">
        <is>
          <t>T TAHARI</t>
        </is>
      </c>
      <c r="B3982" t="inlineStr">
        <is>
          <t>124005798</t>
        </is>
      </c>
      <c r="C3982" t="inlineStr">
        <is>
          <t>98014 VIC</t>
        </is>
      </c>
      <c r="D3982" t="inlineStr">
        <is>
          <t>BLK</t>
        </is>
      </c>
      <c r="E3982" t="inlineStr">
        <is>
          <t>(en blanco)</t>
        </is>
      </c>
      <c r="F3982" t="inlineStr">
        <is>
          <t>(en blanco)</t>
        </is>
      </c>
      <c r="G3982" t="inlineStr">
        <is>
          <t>XXS</t>
        </is>
      </c>
      <c r="H3982" t="n">
        <v>5</v>
      </c>
      <c r="I3982" t="inlineStr">
        <is>
          <t>T_TAHARI_124005798_BLK_1.jpg</t>
        </is>
      </c>
      <c r="J3982" t="inlineStr">
        <is>
          <t>T_TAHARI_124005798_BLK_2.jpg</t>
        </is>
      </c>
      <c r="K3982" t="inlineStr">
        <is>
          <t>T_TAHARI_124005798_BLK_3.jpg</t>
        </is>
      </c>
      <c r="L3982">
        <f>IMAGE("file:///E:/Estudios%20y%20certificaciones/ESTUDIOS%20DE%20PROGRAMMING/PROGRAMMING/PERSONAL/PYTHON/Image_Generator_API/imagenes/T_TAHARI_124005798_BLK_1.jpg")</f>
        <v/>
      </c>
      <c r="M3982">
        <f>IMAGE("file:///E:/Estudios%20y%20certificaciones/ESTUDIOS%20DE%20PROGRAMMING/PROGRAMMING/PERSONAL/PYTHON/Image_Generator_API/imagenes/T_TAHARI_124005798_BLK_2.jpg")</f>
        <v/>
      </c>
      <c r="N3982">
        <f>IMAGE("file:///E:/Estudios%20y%20certificaciones/ESTUDIOS%20DE%20PROGRAMMING/PROGRAMMING/PERSONAL/PYTHON/Image_Generator_API/imagenes/T_TAHARI_124005798_BLK_3.jpg")</f>
        <v/>
      </c>
      <c r="O3982">
        <f>HYPERLINK("imagenes/T_TAHARI_124005798_BLK_1.jpg","Ver imagen")</f>
        <v/>
      </c>
      <c r="P3982">
        <f>HYPERLINK("imagenes/T_TAHARI_124005798_BLK_2.jpg","Ver imagen")</f>
        <v/>
      </c>
      <c r="Q3982">
        <f>HYPERLINK("imagenes/T_TAHARI_124005798_BLK_3.jpg","Ver imagen")</f>
        <v/>
      </c>
    </row>
    <row r="3983">
      <c r="A3983" t="inlineStr">
        <is>
          <t>T TAHARI</t>
        </is>
      </c>
      <c r="B3983" t="inlineStr">
        <is>
          <t>124005798</t>
        </is>
      </c>
      <c r="C3983" t="inlineStr">
        <is>
          <t>98014 VIC</t>
        </is>
      </c>
      <c r="D3983" t="inlineStr">
        <is>
          <t>CHOCO</t>
        </is>
      </c>
      <c r="E3983" t="inlineStr">
        <is>
          <t>(en blanco)</t>
        </is>
      </c>
      <c r="F3983" t="inlineStr">
        <is>
          <t>(en blanco)</t>
        </is>
      </c>
      <c r="G3983" t="inlineStr">
        <is>
          <t>XS</t>
        </is>
      </c>
      <c r="H3983" t="n">
        <v>8</v>
      </c>
      <c r="I3983" t="inlineStr">
        <is>
          <t>T_TAHARI_124005798_CHOCO_1.jpg</t>
        </is>
      </c>
      <c r="J3983" t="inlineStr">
        <is>
          <t>T_TAHARI_124005798_CHOCO_2.jpg</t>
        </is>
      </c>
      <c r="K3983" t="inlineStr">
        <is>
          <t>T_TAHARI_124005798_CHOCO_3.jpg</t>
        </is>
      </c>
      <c r="L3983">
        <f>IMAGE("file:///E:/Estudios%20y%20certificaciones/ESTUDIOS%20DE%20PROGRAMMING/PROGRAMMING/PERSONAL/PYTHON/Image_Generator_API/imagenes/T_TAHARI_124005798_CHOCO_1.jpg")</f>
        <v/>
      </c>
      <c r="M3983">
        <f>IMAGE("file:///E:/Estudios%20y%20certificaciones/ESTUDIOS%20DE%20PROGRAMMING/PROGRAMMING/PERSONAL/PYTHON/Image_Generator_API/imagenes/T_TAHARI_124005798_CHOCO_2.jpg")</f>
        <v/>
      </c>
      <c r="N3983">
        <f>IMAGE("file:///E:/Estudios%20y%20certificaciones/ESTUDIOS%20DE%20PROGRAMMING/PROGRAMMING/PERSONAL/PYTHON/Image_Generator_API/imagenes/T_TAHARI_124005798_CHOCO_3.jpg")</f>
        <v/>
      </c>
      <c r="O3983">
        <f>HYPERLINK("imagenes/T_TAHARI_124005798_CHOCO_1.jpg","Ver imagen")</f>
        <v/>
      </c>
      <c r="P3983">
        <f>HYPERLINK("imagenes/T_TAHARI_124005798_CHOCO_2.jpg","Ver imagen")</f>
        <v/>
      </c>
      <c r="Q3983">
        <f>HYPERLINK("imagenes/T_TAHARI_124005798_CHOCO_3.jpg","Ver imagen")</f>
        <v/>
      </c>
    </row>
    <row r="3984">
      <c r="A3984" t="inlineStr">
        <is>
          <t>T TAHARI</t>
        </is>
      </c>
      <c r="B3984" t="inlineStr">
        <is>
          <t>124005798</t>
        </is>
      </c>
      <c r="C3984" t="inlineStr">
        <is>
          <t>98014 VIC</t>
        </is>
      </c>
      <c r="D3984" t="inlineStr">
        <is>
          <t>CHOCO</t>
        </is>
      </c>
      <c r="E3984" t="inlineStr">
        <is>
          <t>(en blanco)</t>
        </is>
      </c>
      <c r="F3984" t="inlineStr">
        <is>
          <t>(en blanco)</t>
        </is>
      </c>
      <c r="G3984" t="inlineStr">
        <is>
          <t>S</t>
        </is>
      </c>
      <c r="H3984" t="n">
        <v>0</v>
      </c>
      <c r="I3984" t="inlineStr">
        <is>
          <t>T_TAHARI_124005798_CHOCO_1.jpg</t>
        </is>
      </c>
      <c r="J3984" t="inlineStr">
        <is>
          <t>T_TAHARI_124005798_CHOCO_2.jpg</t>
        </is>
      </c>
      <c r="K3984" t="inlineStr">
        <is>
          <t>T_TAHARI_124005798_CHOCO_3.jpg</t>
        </is>
      </c>
      <c r="L3984">
        <f>IMAGE("file:///E:/Estudios%20y%20certificaciones/ESTUDIOS%20DE%20PROGRAMMING/PROGRAMMING/PERSONAL/PYTHON/Image_Generator_API/imagenes/T_TAHARI_124005798_CHOCO_1.jpg")</f>
        <v/>
      </c>
      <c r="M3984">
        <f>IMAGE("file:///E:/Estudios%20y%20certificaciones/ESTUDIOS%20DE%20PROGRAMMING/PROGRAMMING/PERSONAL/PYTHON/Image_Generator_API/imagenes/T_TAHARI_124005798_CHOCO_2.jpg")</f>
        <v/>
      </c>
      <c r="N3984">
        <f>IMAGE("file:///E:/Estudios%20y%20certificaciones/ESTUDIOS%20DE%20PROGRAMMING/PROGRAMMING/PERSONAL/PYTHON/Image_Generator_API/imagenes/T_TAHARI_124005798_CHOCO_3.jpg")</f>
        <v/>
      </c>
      <c r="O3984">
        <f>HYPERLINK("imagenes/T_TAHARI_124005798_CHOCO_1.jpg","Ver imagen")</f>
        <v/>
      </c>
      <c r="P3984">
        <f>HYPERLINK("imagenes/T_TAHARI_124005798_CHOCO_2.jpg","Ver imagen")</f>
        <v/>
      </c>
      <c r="Q3984">
        <f>HYPERLINK("imagenes/T_TAHARI_124005798_CHOCO_3.jpg","Ver imagen")</f>
        <v/>
      </c>
    </row>
    <row r="3985">
      <c r="A3985" t="inlineStr">
        <is>
          <t>T TAHARI</t>
        </is>
      </c>
      <c r="B3985" t="inlineStr">
        <is>
          <t>124005798</t>
        </is>
      </c>
      <c r="C3985" t="inlineStr">
        <is>
          <t>98014 VIC</t>
        </is>
      </c>
      <c r="D3985" t="inlineStr">
        <is>
          <t>CHOCO</t>
        </is>
      </c>
      <c r="E3985" t="inlineStr">
        <is>
          <t>(en blanco)</t>
        </is>
      </c>
      <c r="F3985" t="inlineStr">
        <is>
          <t>(en blanco)</t>
        </is>
      </c>
      <c r="G3985" t="inlineStr">
        <is>
          <t>M</t>
        </is>
      </c>
      <c r="H3985" t="n">
        <v>5</v>
      </c>
      <c r="I3985" t="inlineStr">
        <is>
          <t>T_TAHARI_124005798_CHOCO_1.jpg</t>
        </is>
      </c>
      <c r="J3985" t="inlineStr">
        <is>
          <t>T_TAHARI_124005798_CHOCO_2.jpg</t>
        </is>
      </c>
      <c r="K3985" t="inlineStr">
        <is>
          <t>T_TAHARI_124005798_CHOCO_3.jpg</t>
        </is>
      </c>
      <c r="L3985">
        <f>IMAGE("file:///E:/Estudios%20y%20certificaciones/ESTUDIOS%20DE%20PROGRAMMING/PROGRAMMING/PERSONAL/PYTHON/Image_Generator_API/imagenes/T_TAHARI_124005798_CHOCO_1.jpg")</f>
        <v/>
      </c>
      <c r="M3985">
        <f>IMAGE("file:///E:/Estudios%20y%20certificaciones/ESTUDIOS%20DE%20PROGRAMMING/PROGRAMMING/PERSONAL/PYTHON/Image_Generator_API/imagenes/T_TAHARI_124005798_CHOCO_2.jpg")</f>
        <v/>
      </c>
      <c r="N3985">
        <f>IMAGE("file:///E:/Estudios%20y%20certificaciones/ESTUDIOS%20DE%20PROGRAMMING/PROGRAMMING/PERSONAL/PYTHON/Image_Generator_API/imagenes/T_TAHARI_124005798_CHOCO_3.jpg")</f>
        <v/>
      </c>
      <c r="O3985">
        <f>HYPERLINK("imagenes/T_TAHARI_124005798_CHOCO_1.jpg","Ver imagen")</f>
        <v/>
      </c>
      <c r="P3985">
        <f>HYPERLINK("imagenes/T_TAHARI_124005798_CHOCO_2.jpg","Ver imagen")</f>
        <v/>
      </c>
      <c r="Q3985">
        <f>HYPERLINK("imagenes/T_TAHARI_124005798_CHOCO_3.jpg","Ver imagen")</f>
        <v/>
      </c>
    </row>
    <row r="3986">
      <c r="A3986" t="inlineStr">
        <is>
          <t>T TAHARI</t>
        </is>
      </c>
      <c r="B3986" t="inlineStr">
        <is>
          <t>124005798</t>
        </is>
      </c>
      <c r="C3986" t="inlineStr">
        <is>
          <t>98014 VIC</t>
        </is>
      </c>
      <c r="D3986" t="inlineStr">
        <is>
          <t>CHOCO</t>
        </is>
      </c>
      <c r="E3986" t="inlineStr">
        <is>
          <t>(en blanco)</t>
        </is>
      </c>
      <c r="F3986" t="inlineStr">
        <is>
          <t>(en blanco)</t>
        </is>
      </c>
      <c r="G3986" t="inlineStr">
        <is>
          <t>L</t>
        </is>
      </c>
      <c r="H3986" t="n">
        <v>7</v>
      </c>
      <c r="I3986" t="inlineStr">
        <is>
          <t>T_TAHARI_124005798_CHOCO_1.jpg</t>
        </is>
      </c>
      <c r="J3986" t="inlineStr">
        <is>
          <t>T_TAHARI_124005798_CHOCO_2.jpg</t>
        </is>
      </c>
      <c r="K3986" t="inlineStr">
        <is>
          <t>T_TAHARI_124005798_CHOCO_3.jpg</t>
        </is>
      </c>
      <c r="L3986">
        <f>IMAGE("file:///E:/Estudios%20y%20certificaciones/ESTUDIOS%20DE%20PROGRAMMING/PROGRAMMING/PERSONAL/PYTHON/Image_Generator_API/imagenes/T_TAHARI_124005798_CHOCO_1.jpg")</f>
        <v/>
      </c>
      <c r="M3986">
        <f>IMAGE("file:///E:/Estudios%20y%20certificaciones/ESTUDIOS%20DE%20PROGRAMMING/PROGRAMMING/PERSONAL/PYTHON/Image_Generator_API/imagenes/T_TAHARI_124005798_CHOCO_2.jpg")</f>
        <v/>
      </c>
      <c r="N3986">
        <f>IMAGE("file:///E:/Estudios%20y%20certificaciones/ESTUDIOS%20DE%20PROGRAMMING/PROGRAMMING/PERSONAL/PYTHON/Image_Generator_API/imagenes/T_TAHARI_124005798_CHOCO_3.jpg")</f>
        <v/>
      </c>
      <c r="O3986">
        <f>HYPERLINK("imagenes/T_TAHARI_124005798_CHOCO_1.jpg","Ver imagen")</f>
        <v/>
      </c>
      <c r="P3986">
        <f>HYPERLINK("imagenes/T_TAHARI_124005798_CHOCO_2.jpg","Ver imagen")</f>
        <v/>
      </c>
      <c r="Q3986">
        <f>HYPERLINK("imagenes/T_TAHARI_124005798_CHOCO_3.jpg","Ver imagen")</f>
        <v/>
      </c>
    </row>
    <row r="3987">
      <c r="A3987" t="inlineStr">
        <is>
          <t>T TAHARI</t>
        </is>
      </c>
      <c r="B3987" t="inlineStr">
        <is>
          <t>124005798</t>
        </is>
      </c>
      <c r="C3987" t="inlineStr">
        <is>
          <t>98014 VIC</t>
        </is>
      </c>
      <c r="D3987" t="inlineStr">
        <is>
          <t>CHOCO</t>
        </is>
      </c>
      <c r="E3987" t="inlineStr">
        <is>
          <t>(en blanco)</t>
        </is>
      </c>
      <c r="F3987" t="inlineStr">
        <is>
          <t>(en blanco)</t>
        </is>
      </c>
      <c r="G3987" t="inlineStr">
        <is>
          <t>XL</t>
        </is>
      </c>
      <c r="H3987" t="n">
        <v>6</v>
      </c>
      <c r="I3987" t="inlineStr">
        <is>
          <t>T_TAHARI_124005798_CHOCO_1.jpg</t>
        </is>
      </c>
      <c r="J3987" t="inlineStr">
        <is>
          <t>T_TAHARI_124005798_CHOCO_2.jpg</t>
        </is>
      </c>
      <c r="K3987" t="inlineStr">
        <is>
          <t>T_TAHARI_124005798_CHOCO_3.jpg</t>
        </is>
      </c>
      <c r="L3987">
        <f>IMAGE("file:///E:/Estudios%20y%20certificaciones/ESTUDIOS%20DE%20PROGRAMMING/PROGRAMMING/PERSONAL/PYTHON/Image_Generator_API/imagenes/T_TAHARI_124005798_CHOCO_1.jpg")</f>
        <v/>
      </c>
      <c r="M3987">
        <f>IMAGE("file:///E:/Estudios%20y%20certificaciones/ESTUDIOS%20DE%20PROGRAMMING/PROGRAMMING/PERSONAL/PYTHON/Image_Generator_API/imagenes/T_TAHARI_124005798_CHOCO_2.jpg")</f>
        <v/>
      </c>
      <c r="N3987">
        <f>IMAGE("file:///E:/Estudios%20y%20certificaciones/ESTUDIOS%20DE%20PROGRAMMING/PROGRAMMING/PERSONAL/PYTHON/Image_Generator_API/imagenes/T_TAHARI_124005798_CHOCO_3.jpg")</f>
        <v/>
      </c>
      <c r="O3987">
        <f>HYPERLINK("imagenes/T_TAHARI_124005798_CHOCO_1.jpg","Ver imagen")</f>
        <v/>
      </c>
      <c r="P3987">
        <f>HYPERLINK("imagenes/T_TAHARI_124005798_CHOCO_2.jpg","Ver imagen")</f>
        <v/>
      </c>
      <c r="Q3987">
        <f>HYPERLINK("imagenes/T_TAHARI_124005798_CHOCO_3.jpg","Ver imagen")</f>
        <v/>
      </c>
    </row>
    <row r="3988">
      <c r="A3988" t="inlineStr">
        <is>
          <t>T TAHARI</t>
        </is>
      </c>
      <c r="B3988" t="inlineStr">
        <is>
          <t>124005798</t>
        </is>
      </c>
      <c r="C3988" t="inlineStr">
        <is>
          <t>98014 VIC</t>
        </is>
      </c>
      <c r="D3988" t="inlineStr">
        <is>
          <t>CHOCO</t>
        </is>
      </c>
      <c r="E3988" t="inlineStr">
        <is>
          <t>(en blanco)</t>
        </is>
      </c>
      <c r="F3988" t="inlineStr">
        <is>
          <t>(en blanco)</t>
        </is>
      </c>
      <c r="G3988" t="inlineStr">
        <is>
          <t>XXL</t>
        </is>
      </c>
      <c r="H3988" t="n">
        <v>3</v>
      </c>
      <c r="I3988" t="inlineStr">
        <is>
          <t>T_TAHARI_124005798_CHOCO_1.jpg</t>
        </is>
      </c>
      <c r="J3988" t="inlineStr">
        <is>
          <t>T_TAHARI_124005798_CHOCO_2.jpg</t>
        </is>
      </c>
      <c r="K3988" t="inlineStr">
        <is>
          <t>T_TAHARI_124005798_CHOCO_3.jpg</t>
        </is>
      </c>
      <c r="L3988">
        <f>IMAGE("file:///E:/Estudios%20y%20certificaciones/ESTUDIOS%20DE%20PROGRAMMING/PROGRAMMING/PERSONAL/PYTHON/Image_Generator_API/imagenes/T_TAHARI_124005798_CHOCO_1.jpg")</f>
        <v/>
      </c>
      <c r="M3988">
        <f>IMAGE("file:///E:/Estudios%20y%20certificaciones/ESTUDIOS%20DE%20PROGRAMMING/PROGRAMMING/PERSONAL/PYTHON/Image_Generator_API/imagenes/T_TAHARI_124005798_CHOCO_2.jpg")</f>
        <v/>
      </c>
      <c r="N3988">
        <f>IMAGE("file:///E:/Estudios%20y%20certificaciones/ESTUDIOS%20DE%20PROGRAMMING/PROGRAMMING/PERSONAL/PYTHON/Image_Generator_API/imagenes/T_TAHARI_124005798_CHOCO_3.jpg")</f>
        <v/>
      </c>
      <c r="O3988">
        <f>HYPERLINK("imagenes/T_TAHARI_124005798_CHOCO_1.jpg","Ver imagen")</f>
        <v/>
      </c>
      <c r="P3988">
        <f>HYPERLINK("imagenes/T_TAHARI_124005798_CHOCO_2.jpg","Ver imagen")</f>
        <v/>
      </c>
      <c r="Q3988">
        <f>HYPERLINK("imagenes/T_TAHARI_124005798_CHOCO_3.jpg","Ver imagen")</f>
        <v/>
      </c>
    </row>
    <row r="3989">
      <c r="A3989" t="inlineStr">
        <is>
          <t>T TAHARI</t>
        </is>
      </c>
      <c r="B3989" t="inlineStr">
        <is>
          <t>124005798</t>
        </is>
      </c>
      <c r="C3989" t="inlineStr">
        <is>
          <t>98014 VIC</t>
        </is>
      </c>
      <c r="D3989" t="inlineStr">
        <is>
          <t>CHOCO</t>
        </is>
      </c>
      <c r="E3989" t="inlineStr">
        <is>
          <t>(en blanco)</t>
        </is>
      </c>
      <c r="F3989" t="inlineStr">
        <is>
          <t>(en blanco)</t>
        </is>
      </c>
      <c r="G3989" t="inlineStr">
        <is>
          <t>XXS</t>
        </is>
      </c>
      <c r="H3989" t="n">
        <v>2</v>
      </c>
      <c r="I3989" t="inlineStr">
        <is>
          <t>T_TAHARI_124005798_CHOCO_1.jpg</t>
        </is>
      </c>
      <c r="J3989" t="inlineStr">
        <is>
          <t>T_TAHARI_124005798_CHOCO_2.jpg</t>
        </is>
      </c>
      <c r="K3989" t="inlineStr">
        <is>
          <t>T_TAHARI_124005798_CHOCO_3.jpg</t>
        </is>
      </c>
      <c r="L3989">
        <f>IMAGE("file:///E:/Estudios%20y%20certificaciones/ESTUDIOS%20DE%20PROGRAMMING/PROGRAMMING/PERSONAL/PYTHON/Image_Generator_API/imagenes/T_TAHARI_124005798_CHOCO_1.jpg")</f>
        <v/>
      </c>
      <c r="M3989">
        <f>IMAGE("file:///E:/Estudios%20y%20certificaciones/ESTUDIOS%20DE%20PROGRAMMING/PROGRAMMING/PERSONAL/PYTHON/Image_Generator_API/imagenes/T_TAHARI_124005798_CHOCO_2.jpg")</f>
        <v/>
      </c>
      <c r="N3989">
        <f>IMAGE("file:///E:/Estudios%20y%20certificaciones/ESTUDIOS%20DE%20PROGRAMMING/PROGRAMMING/PERSONAL/PYTHON/Image_Generator_API/imagenes/T_TAHARI_124005798_CHOCO_3.jpg")</f>
        <v/>
      </c>
      <c r="O3989">
        <f>HYPERLINK("imagenes/T_TAHARI_124005798_CHOCO_1.jpg","Ver imagen")</f>
        <v/>
      </c>
      <c r="P3989">
        <f>HYPERLINK("imagenes/T_TAHARI_124005798_CHOCO_2.jpg","Ver imagen")</f>
        <v/>
      </c>
      <c r="Q3989">
        <f>HYPERLINK("imagenes/T_TAHARI_124005798_CHOCO_3.jpg","Ver imagen")</f>
        <v/>
      </c>
    </row>
    <row r="3990">
      <c r="A3990" t="inlineStr">
        <is>
          <t>T TAHARI</t>
        </is>
      </c>
      <c r="B3990" t="inlineStr">
        <is>
          <t>124005802</t>
        </is>
      </c>
      <c r="C3990" t="inlineStr">
        <is>
          <t>KAI</t>
        </is>
      </c>
      <c r="D3990" t="inlineStr">
        <is>
          <t>CHO</t>
        </is>
      </c>
      <c r="E3990" t="inlineStr">
        <is>
          <t>(en blanco)</t>
        </is>
      </c>
      <c r="F3990" t="inlineStr">
        <is>
          <t>(en blanco)</t>
        </is>
      </c>
      <c r="G3990" t="inlineStr">
        <is>
          <t>XS</t>
        </is>
      </c>
      <c r="H3990" t="n">
        <v>36</v>
      </c>
      <c r="I3990" t="inlineStr">
        <is>
          <t>T_TAHARI_124005802_CHO_1.jpg</t>
        </is>
      </c>
      <c r="J3990" t="inlineStr">
        <is>
          <t>T_TAHARI_124005802_CHO_2.jpg</t>
        </is>
      </c>
      <c r="K3990" t="inlineStr">
        <is>
          <t>T_TAHARI_124005802_CHO_3.jpg</t>
        </is>
      </c>
      <c r="L3990">
        <f>IMAGE("file:///E:/Estudios%20y%20certificaciones/ESTUDIOS%20DE%20PROGRAMMING/PROGRAMMING/PERSONAL/PYTHON/Image_Generator_API/imagenes/T_TAHARI_124005802_CHO_1.jpg")</f>
        <v/>
      </c>
      <c r="M3990">
        <f>IMAGE("file:///E:/Estudios%20y%20certificaciones/ESTUDIOS%20DE%20PROGRAMMING/PROGRAMMING/PERSONAL/PYTHON/Image_Generator_API/imagenes/T_TAHARI_124005802_CHO_2.jpg")</f>
        <v/>
      </c>
      <c r="N3990">
        <f>IMAGE("file:///E:/Estudios%20y%20certificaciones/ESTUDIOS%20DE%20PROGRAMMING/PROGRAMMING/PERSONAL/PYTHON/Image_Generator_API/imagenes/T_TAHARI_124005802_CHO_3.jpg")</f>
        <v/>
      </c>
      <c r="O3990">
        <f>HYPERLINK("imagenes/T_TAHARI_124005802_CHO_1.jpg","Ver imagen")</f>
        <v/>
      </c>
      <c r="P3990">
        <f>HYPERLINK("imagenes/T_TAHARI_124005802_CHO_2.jpg","Ver imagen")</f>
        <v/>
      </c>
      <c r="Q3990">
        <f>HYPERLINK("imagenes/T_TAHARI_124005802_CHO_3.jpg","Ver imagen")</f>
        <v/>
      </c>
    </row>
    <row r="3991">
      <c r="A3991" t="inlineStr">
        <is>
          <t>T TAHARI</t>
        </is>
      </c>
      <c r="B3991" t="inlineStr">
        <is>
          <t>124005802</t>
        </is>
      </c>
      <c r="C3991" t="inlineStr">
        <is>
          <t>KAI</t>
        </is>
      </c>
      <c r="D3991" t="inlineStr">
        <is>
          <t>CHO</t>
        </is>
      </c>
      <c r="E3991" t="inlineStr">
        <is>
          <t>(en blanco)</t>
        </is>
      </c>
      <c r="F3991" t="inlineStr">
        <is>
          <t>(en blanco)</t>
        </is>
      </c>
      <c r="G3991" t="inlineStr">
        <is>
          <t>S</t>
        </is>
      </c>
      <c r="H3991" t="n">
        <v>92</v>
      </c>
      <c r="I3991" t="inlineStr">
        <is>
          <t>T_TAHARI_124005802_CHO_1.jpg</t>
        </is>
      </c>
      <c r="J3991" t="inlineStr">
        <is>
          <t>T_TAHARI_124005802_CHO_2.jpg</t>
        </is>
      </c>
      <c r="K3991" t="inlineStr">
        <is>
          <t>T_TAHARI_124005802_CHO_3.jpg</t>
        </is>
      </c>
      <c r="L3991">
        <f>IMAGE("file:///E:/Estudios%20y%20certificaciones/ESTUDIOS%20DE%20PROGRAMMING/PROGRAMMING/PERSONAL/PYTHON/Image_Generator_API/imagenes/T_TAHARI_124005802_CHO_1.jpg")</f>
        <v/>
      </c>
      <c r="M3991">
        <f>IMAGE("file:///E:/Estudios%20y%20certificaciones/ESTUDIOS%20DE%20PROGRAMMING/PROGRAMMING/PERSONAL/PYTHON/Image_Generator_API/imagenes/T_TAHARI_124005802_CHO_2.jpg")</f>
        <v/>
      </c>
      <c r="N3991">
        <f>IMAGE("file:///E:/Estudios%20y%20certificaciones/ESTUDIOS%20DE%20PROGRAMMING/PROGRAMMING/PERSONAL/PYTHON/Image_Generator_API/imagenes/T_TAHARI_124005802_CHO_3.jpg")</f>
        <v/>
      </c>
      <c r="O3991">
        <f>HYPERLINK("imagenes/T_TAHARI_124005802_CHO_1.jpg","Ver imagen")</f>
        <v/>
      </c>
      <c r="P3991">
        <f>HYPERLINK("imagenes/T_TAHARI_124005802_CHO_2.jpg","Ver imagen")</f>
        <v/>
      </c>
      <c r="Q3991">
        <f>HYPERLINK("imagenes/T_TAHARI_124005802_CHO_3.jpg","Ver imagen")</f>
        <v/>
      </c>
    </row>
    <row r="3992">
      <c r="A3992" t="inlineStr">
        <is>
          <t>T TAHARI</t>
        </is>
      </c>
      <c r="B3992" t="inlineStr">
        <is>
          <t>124005802</t>
        </is>
      </c>
      <c r="C3992" t="inlineStr">
        <is>
          <t>KAI</t>
        </is>
      </c>
      <c r="D3992" t="inlineStr">
        <is>
          <t>CHO</t>
        </is>
      </c>
      <c r="E3992" t="inlineStr">
        <is>
          <t>(en blanco)</t>
        </is>
      </c>
      <c r="F3992" t="inlineStr">
        <is>
          <t>(en blanco)</t>
        </is>
      </c>
      <c r="G3992" t="inlineStr">
        <is>
          <t>M</t>
        </is>
      </c>
      <c r="H3992" t="n">
        <v>97</v>
      </c>
      <c r="I3992" t="inlineStr">
        <is>
          <t>T_TAHARI_124005802_CHO_1.jpg</t>
        </is>
      </c>
      <c r="J3992" t="inlineStr">
        <is>
          <t>T_TAHARI_124005802_CHO_2.jpg</t>
        </is>
      </c>
      <c r="K3992" t="inlineStr">
        <is>
          <t>T_TAHARI_124005802_CHO_3.jpg</t>
        </is>
      </c>
      <c r="L3992">
        <f>IMAGE("file:///E:/Estudios%20y%20certificaciones/ESTUDIOS%20DE%20PROGRAMMING/PROGRAMMING/PERSONAL/PYTHON/Image_Generator_API/imagenes/T_TAHARI_124005802_CHO_1.jpg")</f>
        <v/>
      </c>
      <c r="M3992">
        <f>IMAGE("file:///E:/Estudios%20y%20certificaciones/ESTUDIOS%20DE%20PROGRAMMING/PROGRAMMING/PERSONAL/PYTHON/Image_Generator_API/imagenes/T_TAHARI_124005802_CHO_2.jpg")</f>
        <v/>
      </c>
      <c r="N3992">
        <f>IMAGE("file:///E:/Estudios%20y%20certificaciones/ESTUDIOS%20DE%20PROGRAMMING/PROGRAMMING/PERSONAL/PYTHON/Image_Generator_API/imagenes/T_TAHARI_124005802_CHO_3.jpg")</f>
        <v/>
      </c>
      <c r="O3992">
        <f>HYPERLINK("imagenes/T_TAHARI_124005802_CHO_1.jpg","Ver imagen")</f>
        <v/>
      </c>
      <c r="P3992">
        <f>HYPERLINK("imagenes/T_TAHARI_124005802_CHO_2.jpg","Ver imagen")</f>
        <v/>
      </c>
      <c r="Q3992">
        <f>HYPERLINK("imagenes/T_TAHARI_124005802_CHO_3.jpg","Ver imagen")</f>
        <v/>
      </c>
    </row>
    <row r="3993">
      <c r="A3993" t="inlineStr">
        <is>
          <t>T TAHARI</t>
        </is>
      </c>
      <c r="B3993" t="inlineStr">
        <is>
          <t>124005802</t>
        </is>
      </c>
      <c r="C3993" t="inlineStr">
        <is>
          <t>KAI</t>
        </is>
      </c>
      <c r="D3993" t="inlineStr">
        <is>
          <t>CHO</t>
        </is>
      </c>
      <c r="E3993" t="inlineStr">
        <is>
          <t>(en blanco)</t>
        </is>
      </c>
      <c r="F3993" t="inlineStr">
        <is>
          <t>(en blanco)</t>
        </is>
      </c>
      <c r="G3993" t="inlineStr">
        <is>
          <t>L</t>
        </is>
      </c>
      <c r="H3993" t="n">
        <v>86</v>
      </c>
      <c r="I3993" t="inlineStr">
        <is>
          <t>T_TAHARI_124005802_CHO_1.jpg</t>
        </is>
      </c>
      <c r="J3993" t="inlineStr">
        <is>
          <t>T_TAHARI_124005802_CHO_2.jpg</t>
        </is>
      </c>
      <c r="K3993" t="inlineStr">
        <is>
          <t>T_TAHARI_124005802_CHO_3.jpg</t>
        </is>
      </c>
      <c r="L3993">
        <f>IMAGE("file:///E:/Estudios%20y%20certificaciones/ESTUDIOS%20DE%20PROGRAMMING/PROGRAMMING/PERSONAL/PYTHON/Image_Generator_API/imagenes/T_TAHARI_124005802_CHO_1.jpg")</f>
        <v/>
      </c>
      <c r="M3993">
        <f>IMAGE("file:///E:/Estudios%20y%20certificaciones/ESTUDIOS%20DE%20PROGRAMMING/PROGRAMMING/PERSONAL/PYTHON/Image_Generator_API/imagenes/T_TAHARI_124005802_CHO_2.jpg")</f>
        <v/>
      </c>
      <c r="N3993">
        <f>IMAGE("file:///E:/Estudios%20y%20certificaciones/ESTUDIOS%20DE%20PROGRAMMING/PROGRAMMING/PERSONAL/PYTHON/Image_Generator_API/imagenes/T_TAHARI_124005802_CHO_3.jpg")</f>
        <v/>
      </c>
      <c r="O3993">
        <f>HYPERLINK("imagenes/T_TAHARI_124005802_CHO_1.jpg","Ver imagen")</f>
        <v/>
      </c>
      <c r="P3993">
        <f>HYPERLINK("imagenes/T_TAHARI_124005802_CHO_2.jpg","Ver imagen")</f>
        <v/>
      </c>
      <c r="Q3993">
        <f>HYPERLINK("imagenes/T_TAHARI_124005802_CHO_3.jpg","Ver imagen")</f>
        <v/>
      </c>
    </row>
    <row r="3994">
      <c r="A3994" t="inlineStr">
        <is>
          <t>T TAHARI</t>
        </is>
      </c>
      <c r="B3994" t="inlineStr">
        <is>
          <t>124005802</t>
        </is>
      </c>
      <c r="C3994" t="inlineStr">
        <is>
          <t>KAI</t>
        </is>
      </c>
      <c r="D3994" t="inlineStr">
        <is>
          <t>CHO</t>
        </is>
      </c>
      <c r="E3994" t="inlineStr">
        <is>
          <t>(en blanco)</t>
        </is>
      </c>
      <c r="F3994" t="inlineStr">
        <is>
          <t>(en blanco)</t>
        </is>
      </c>
      <c r="G3994" t="inlineStr">
        <is>
          <t>XL</t>
        </is>
      </c>
      <c r="H3994" t="n">
        <v>46</v>
      </c>
      <c r="I3994" t="inlineStr">
        <is>
          <t>T_TAHARI_124005802_CHO_1.jpg</t>
        </is>
      </c>
      <c r="J3994" t="inlineStr">
        <is>
          <t>T_TAHARI_124005802_CHO_2.jpg</t>
        </is>
      </c>
      <c r="K3994" t="inlineStr">
        <is>
          <t>T_TAHARI_124005802_CHO_3.jpg</t>
        </is>
      </c>
      <c r="L3994">
        <f>IMAGE("file:///E:/Estudios%20y%20certificaciones/ESTUDIOS%20DE%20PROGRAMMING/PROGRAMMING/PERSONAL/PYTHON/Image_Generator_API/imagenes/T_TAHARI_124005802_CHO_1.jpg")</f>
        <v/>
      </c>
      <c r="M3994">
        <f>IMAGE("file:///E:/Estudios%20y%20certificaciones/ESTUDIOS%20DE%20PROGRAMMING/PROGRAMMING/PERSONAL/PYTHON/Image_Generator_API/imagenes/T_TAHARI_124005802_CHO_2.jpg")</f>
        <v/>
      </c>
      <c r="N3994">
        <f>IMAGE("file:///E:/Estudios%20y%20certificaciones/ESTUDIOS%20DE%20PROGRAMMING/PROGRAMMING/PERSONAL/PYTHON/Image_Generator_API/imagenes/T_TAHARI_124005802_CHO_3.jpg")</f>
        <v/>
      </c>
      <c r="O3994">
        <f>HYPERLINK("imagenes/T_TAHARI_124005802_CHO_1.jpg","Ver imagen")</f>
        <v/>
      </c>
      <c r="P3994">
        <f>HYPERLINK("imagenes/T_TAHARI_124005802_CHO_2.jpg","Ver imagen")</f>
        <v/>
      </c>
      <c r="Q3994">
        <f>HYPERLINK("imagenes/T_TAHARI_124005802_CHO_3.jpg","Ver imagen")</f>
        <v/>
      </c>
    </row>
    <row r="3995">
      <c r="A3995" t="inlineStr">
        <is>
          <t>T TAHARI</t>
        </is>
      </c>
      <c r="B3995" t="inlineStr">
        <is>
          <t>124005802</t>
        </is>
      </c>
      <c r="C3995" t="inlineStr">
        <is>
          <t>KAI</t>
        </is>
      </c>
      <c r="D3995" t="inlineStr">
        <is>
          <t>LBE</t>
        </is>
      </c>
      <c r="E3995" t="inlineStr">
        <is>
          <t>08A05</t>
        </is>
      </c>
      <c r="F3995" t="inlineStr">
        <is>
          <t>M2360</t>
        </is>
      </c>
      <c r="G3995" t="inlineStr">
        <is>
          <t>PPK</t>
        </is>
      </c>
      <c r="H3995" t="n">
        <v>0</v>
      </c>
      <c r="I3995" t="inlineStr">
        <is>
          <t>T_TAHARI_124005802_LBE_1.jpg</t>
        </is>
      </c>
      <c r="J3995" t="inlineStr">
        <is>
          <t>T_TAHARI_124005802_LBE_2.jpg</t>
        </is>
      </c>
      <c r="K3995" t="inlineStr">
        <is>
          <t>T_TAHARI_124005802_LBE_3.jpg</t>
        </is>
      </c>
      <c r="L3995">
        <f>IMAGE("file:///E:/Estudios%20y%20certificaciones/ESTUDIOS%20DE%20PROGRAMMING/PROGRAMMING/PERSONAL/PYTHON/Image_Generator_API/imagenes/T_TAHARI_124005802_LBE_1.jpg")</f>
        <v/>
      </c>
      <c r="M3995">
        <f>IMAGE("file:///E:/Estudios%20y%20certificaciones/ESTUDIOS%20DE%20PROGRAMMING/PROGRAMMING/PERSONAL/PYTHON/Image_Generator_API/imagenes/T_TAHARI_124005802_LBE_2.jpg")</f>
        <v/>
      </c>
      <c r="N3995">
        <f>IMAGE("file:///E:/Estudios%20y%20certificaciones/ESTUDIOS%20DE%20PROGRAMMING/PROGRAMMING/PERSONAL/PYTHON/Image_Generator_API/imagenes/T_TAHARI_124005802_LBE_3.jpg")</f>
        <v/>
      </c>
      <c r="O3995">
        <f>HYPERLINK("imagenes/T_TAHARI_124005802_LBE_1.jpg","Ver imagen")</f>
        <v/>
      </c>
      <c r="P3995">
        <f>HYPERLINK("imagenes/T_TAHARI_124005802_LBE_2.jpg","Ver imagen")</f>
        <v/>
      </c>
      <c r="Q3995">
        <f>HYPERLINK("imagenes/T_TAHARI_124005802_LBE_3.jpg","Ver imagen")</f>
        <v/>
      </c>
    </row>
    <row r="3996">
      <c r="A3996" t="inlineStr">
        <is>
          <t>T TAHARI</t>
        </is>
      </c>
      <c r="B3996" t="inlineStr">
        <is>
          <t>124005802</t>
        </is>
      </c>
      <c r="C3996" t="inlineStr">
        <is>
          <t>KAI</t>
        </is>
      </c>
      <c r="D3996" t="inlineStr">
        <is>
          <t>LBE</t>
        </is>
      </c>
      <c r="E3996" t="inlineStr">
        <is>
          <t>(en blanco)</t>
        </is>
      </c>
      <c r="F3996" t="inlineStr">
        <is>
          <t>M1155</t>
        </is>
      </c>
      <c r="G3996" t="inlineStr">
        <is>
          <t>XS</t>
        </is>
      </c>
      <c r="H3996" t="n">
        <v>0</v>
      </c>
      <c r="I3996" t="inlineStr">
        <is>
          <t>T_TAHARI_124005802_LBE_1.jpg</t>
        </is>
      </c>
      <c r="J3996" t="inlineStr">
        <is>
          <t>T_TAHARI_124005802_LBE_2.jpg</t>
        </is>
      </c>
      <c r="K3996" t="inlineStr">
        <is>
          <t>T_TAHARI_124005802_LBE_3.jpg</t>
        </is>
      </c>
      <c r="L3996">
        <f>IMAGE("file:///E:/Estudios%20y%20certificaciones/ESTUDIOS%20DE%20PROGRAMMING/PROGRAMMING/PERSONAL/PYTHON/Image_Generator_API/imagenes/T_TAHARI_124005802_LBE_1.jpg")</f>
        <v/>
      </c>
      <c r="M3996">
        <f>IMAGE("file:///E:/Estudios%20y%20certificaciones/ESTUDIOS%20DE%20PROGRAMMING/PROGRAMMING/PERSONAL/PYTHON/Image_Generator_API/imagenes/T_TAHARI_124005802_LBE_2.jpg")</f>
        <v/>
      </c>
      <c r="N3996">
        <f>IMAGE("file:///E:/Estudios%20y%20certificaciones/ESTUDIOS%20DE%20PROGRAMMING/PROGRAMMING/PERSONAL/PYTHON/Image_Generator_API/imagenes/T_TAHARI_124005802_LBE_3.jpg")</f>
        <v/>
      </c>
      <c r="O3996">
        <f>HYPERLINK("imagenes/T_TAHARI_124005802_LBE_1.jpg","Ver imagen")</f>
        <v/>
      </c>
      <c r="P3996">
        <f>HYPERLINK("imagenes/T_TAHARI_124005802_LBE_2.jpg","Ver imagen")</f>
        <v/>
      </c>
      <c r="Q3996">
        <f>HYPERLINK("imagenes/T_TAHARI_124005802_LBE_3.jpg","Ver imagen")</f>
        <v/>
      </c>
    </row>
    <row r="3997">
      <c r="A3997" t="inlineStr">
        <is>
          <t>T TAHARI</t>
        </is>
      </c>
      <c r="B3997" t="inlineStr">
        <is>
          <t>124005802</t>
        </is>
      </c>
      <c r="C3997" t="inlineStr">
        <is>
          <t>KAI</t>
        </is>
      </c>
      <c r="D3997" t="inlineStr">
        <is>
          <t>LBE</t>
        </is>
      </c>
      <c r="E3997" t="inlineStr">
        <is>
          <t>(en blanco)</t>
        </is>
      </c>
      <c r="F3997" t="inlineStr">
        <is>
          <t>M1155</t>
        </is>
      </c>
      <c r="G3997" t="inlineStr">
        <is>
          <t>S</t>
        </is>
      </c>
      <c r="H3997" t="n">
        <v>0</v>
      </c>
      <c r="I3997" t="inlineStr">
        <is>
          <t>T_TAHARI_124005802_LBE_1.jpg</t>
        </is>
      </c>
      <c r="J3997" t="inlineStr">
        <is>
          <t>T_TAHARI_124005802_LBE_2.jpg</t>
        </is>
      </c>
      <c r="K3997" t="inlineStr">
        <is>
          <t>T_TAHARI_124005802_LBE_3.jpg</t>
        </is>
      </c>
      <c r="L3997">
        <f>IMAGE("file:///E:/Estudios%20y%20certificaciones/ESTUDIOS%20DE%20PROGRAMMING/PROGRAMMING/PERSONAL/PYTHON/Image_Generator_API/imagenes/T_TAHARI_124005802_LBE_1.jpg")</f>
        <v/>
      </c>
      <c r="M3997">
        <f>IMAGE("file:///E:/Estudios%20y%20certificaciones/ESTUDIOS%20DE%20PROGRAMMING/PROGRAMMING/PERSONAL/PYTHON/Image_Generator_API/imagenes/T_TAHARI_124005802_LBE_2.jpg")</f>
        <v/>
      </c>
      <c r="N3997">
        <f>IMAGE("file:///E:/Estudios%20y%20certificaciones/ESTUDIOS%20DE%20PROGRAMMING/PROGRAMMING/PERSONAL/PYTHON/Image_Generator_API/imagenes/T_TAHARI_124005802_LBE_3.jpg")</f>
        <v/>
      </c>
      <c r="O3997">
        <f>HYPERLINK("imagenes/T_TAHARI_124005802_LBE_1.jpg","Ver imagen")</f>
        <v/>
      </c>
      <c r="P3997">
        <f>HYPERLINK("imagenes/T_TAHARI_124005802_LBE_2.jpg","Ver imagen")</f>
        <v/>
      </c>
      <c r="Q3997">
        <f>HYPERLINK("imagenes/T_TAHARI_124005802_LBE_3.jpg","Ver imagen")</f>
        <v/>
      </c>
    </row>
    <row r="3998">
      <c r="A3998" t="inlineStr">
        <is>
          <t>T TAHARI</t>
        </is>
      </c>
      <c r="B3998" t="inlineStr">
        <is>
          <t>124005802</t>
        </is>
      </c>
      <c r="C3998" t="inlineStr">
        <is>
          <t>KAI</t>
        </is>
      </c>
      <c r="D3998" t="inlineStr">
        <is>
          <t>LBE</t>
        </is>
      </c>
      <c r="E3998" t="inlineStr">
        <is>
          <t>(en blanco)</t>
        </is>
      </c>
      <c r="F3998" t="inlineStr">
        <is>
          <t>M1155</t>
        </is>
      </c>
      <c r="G3998" t="inlineStr">
        <is>
          <t>M</t>
        </is>
      </c>
      <c r="H3998" t="n">
        <v>0</v>
      </c>
      <c r="I3998" t="inlineStr">
        <is>
          <t>T_TAHARI_124005802_LBE_1.jpg</t>
        </is>
      </c>
      <c r="J3998" t="inlineStr">
        <is>
          <t>T_TAHARI_124005802_LBE_2.jpg</t>
        </is>
      </c>
      <c r="K3998" t="inlineStr">
        <is>
          <t>T_TAHARI_124005802_LBE_3.jpg</t>
        </is>
      </c>
      <c r="L3998">
        <f>IMAGE("file:///E:/Estudios%20y%20certificaciones/ESTUDIOS%20DE%20PROGRAMMING/PROGRAMMING/PERSONAL/PYTHON/Image_Generator_API/imagenes/T_TAHARI_124005802_LBE_1.jpg")</f>
        <v/>
      </c>
      <c r="M3998">
        <f>IMAGE("file:///E:/Estudios%20y%20certificaciones/ESTUDIOS%20DE%20PROGRAMMING/PROGRAMMING/PERSONAL/PYTHON/Image_Generator_API/imagenes/T_TAHARI_124005802_LBE_2.jpg")</f>
        <v/>
      </c>
      <c r="N3998">
        <f>IMAGE("file:///E:/Estudios%20y%20certificaciones/ESTUDIOS%20DE%20PROGRAMMING/PROGRAMMING/PERSONAL/PYTHON/Image_Generator_API/imagenes/T_TAHARI_124005802_LBE_3.jpg")</f>
        <v/>
      </c>
      <c r="O3998">
        <f>HYPERLINK("imagenes/T_TAHARI_124005802_LBE_1.jpg","Ver imagen")</f>
        <v/>
      </c>
      <c r="P3998">
        <f>HYPERLINK("imagenes/T_TAHARI_124005802_LBE_2.jpg","Ver imagen")</f>
        <v/>
      </c>
      <c r="Q3998">
        <f>HYPERLINK("imagenes/T_TAHARI_124005802_LBE_3.jpg","Ver imagen")</f>
        <v/>
      </c>
    </row>
    <row r="3999">
      <c r="A3999" t="inlineStr">
        <is>
          <t>T TAHARI</t>
        </is>
      </c>
      <c r="B3999" t="inlineStr">
        <is>
          <t>124005802</t>
        </is>
      </c>
      <c r="C3999" t="inlineStr">
        <is>
          <t>KAI</t>
        </is>
      </c>
      <c r="D3999" t="inlineStr">
        <is>
          <t>LBE</t>
        </is>
      </c>
      <c r="E3999" t="inlineStr">
        <is>
          <t>(en blanco)</t>
        </is>
      </c>
      <c r="F3999" t="inlineStr">
        <is>
          <t>M1155</t>
        </is>
      </c>
      <c r="G3999" t="inlineStr">
        <is>
          <t>L</t>
        </is>
      </c>
      <c r="H3999" t="n">
        <v>0</v>
      </c>
      <c r="I3999" t="inlineStr">
        <is>
          <t>T_TAHARI_124005802_LBE_1.jpg</t>
        </is>
      </c>
      <c r="J3999" t="inlineStr">
        <is>
          <t>T_TAHARI_124005802_LBE_2.jpg</t>
        </is>
      </c>
      <c r="K3999" t="inlineStr">
        <is>
          <t>T_TAHARI_124005802_LBE_3.jpg</t>
        </is>
      </c>
      <c r="L3999">
        <f>IMAGE("file:///E:/Estudios%20y%20certificaciones/ESTUDIOS%20DE%20PROGRAMMING/PROGRAMMING/PERSONAL/PYTHON/Image_Generator_API/imagenes/T_TAHARI_124005802_LBE_1.jpg")</f>
        <v/>
      </c>
      <c r="M3999">
        <f>IMAGE("file:///E:/Estudios%20y%20certificaciones/ESTUDIOS%20DE%20PROGRAMMING/PROGRAMMING/PERSONAL/PYTHON/Image_Generator_API/imagenes/T_TAHARI_124005802_LBE_2.jpg")</f>
        <v/>
      </c>
      <c r="N3999">
        <f>IMAGE("file:///E:/Estudios%20y%20certificaciones/ESTUDIOS%20DE%20PROGRAMMING/PROGRAMMING/PERSONAL/PYTHON/Image_Generator_API/imagenes/T_TAHARI_124005802_LBE_3.jpg")</f>
        <v/>
      </c>
      <c r="O3999">
        <f>HYPERLINK("imagenes/T_TAHARI_124005802_LBE_1.jpg","Ver imagen")</f>
        <v/>
      </c>
      <c r="P3999">
        <f>HYPERLINK("imagenes/T_TAHARI_124005802_LBE_2.jpg","Ver imagen")</f>
        <v/>
      </c>
      <c r="Q3999">
        <f>HYPERLINK("imagenes/T_TAHARI_124005802_LBE_3.jpg","Ver imagen")</f>
        <v/>
      </c>
    </row>
    <row r="4000">
      <c r="A4000" t="inlineStr">
        <is>
          <t>T TAHARI</t>
        </is>
      </c>
      <c r="B4000" t="inlineStr">
        <is>
          <t>124005802</t>
        </is>
      </c>
      <c r="C4000" t="inlineStr">
        <is>
          <t>KAI</t>
        </is>
      </c>
      <c r="D4000" t="inlineStr">
        <is>
          <t>LBE</t>
        </is>
      </c>
      <c r="E4000" t="inlineStr">
        <is>
          <t>(en blanco)</t>
        </is>
      </c>
      <c r="F4000" t="inlineStr">
        <is>
          <t>M1155</t>
        </is>
      </c>
      <c r="G4000" t="inlineStr">
        <is>
          <t>XL</t>
        </is>
      </c>
      <c r="H4000" t="n">
        <v>0</v>
      </c>
      <c r="I4000" t="inlineStr">
        <is>
          <t>T_TAHARI_124005802_LBE_1.jpg</t>
        </is>
      </c>
      <c r="J4000" t="inlineStr">
        <is>
          <t>T_TAHARI_124005802_LBE_2.jpg</t>
        </is>
      </c>
      <c r="K4000" t="inlineStr">
        <is>
          <t>T_TAHARI_124005802_LBE_3.jpg</t>
        </is>
      </c>
      <c r="L4000">
        <f>IMAGE("file:///E:/Estudios%20y%20certificaciones/ESTUDIOS%20DE%20PROGRAMMING/PROGRAMMING/PERSONAL/PYTHON/Image_Generator_API/imagenes/T_TAHARI_124005802_LBE_1.jpg")</f>
        <v/>
      </c>
      <c r="M4000">
        <f>IMAGE("file:///E:/Estudios%20y%20certificaciones/ESTUDIOS%20DE%20PROGRAMMING/PROGRAMMING/PERSONAL/PYTHON/Image_Generator_API/imagenes/T_TAHARI_124005802_LBE_2.jpg")</f>
        <v/>
      </c>
      <c r="N4000">
        <f>IMAGE("file:///E:/Estudios%20y%20certificaciones/ESTUDIOS%20DE%20PROGRAMMING/PROGRAMMING/PERSONAL/PYTHON/Image_Generator_API/imagenes/T_TAHARI_124005802_LBE_3.jpg")</f>
        <v/>
      </c>
      <c r="O4000">
        <f>HYPERLINK("imagenes/T_TAHARI_124005802_LBE_1.jpg","Ver imagen")</f>
        <v/>
      </c>
      <c r="P4000">
        <f>HYPERLINK("imagenes/T_TAHARI_124005802_LBE_2.jpg","Ver imagen")</f>
        <v/>
      </c>
      <c r="Q4000">
        <f>HYPERLINK("imagenes/T_TAHARI_124005802_LBE_3.jpg","Ver imagen")</f>
        <v/>
      </c>
    </row>
    <row r="4001">
      <c r="A4001" t="inlineStr">
        <is>
          <t>T TAHARI</t>
        </is>
      </c>
      <c r="B4001" t="inlineStr">
        <is>
          <t>124005802</t>
        </is>
      </c>
      <c r="C4001" t="inlineStr">
        <is>
          <t>KAI</t>
        </is>
      </c>
      <c r="D4001" t="inlineStr">
        <is>
          <t>LBE</t>
        </is>
      </c>
      <c r="E4001" t="inlineStr">
        <is>
          <t>(en blanco)</t>
        </is>
      </c>
      <c r="F4001" t="inlineStr">
        <is>
          <t>M1155</t>
        </is>
      </c>
      <c r="G4001" t="inlineStr">
        <is>
          <t>XXL</t>
        </is>
      </c>
      <c r="H4001" t="n">
        <v>0</v>
      </c>
      <c r="I4001" t="inlineStr">
        <is>
          <t>T_TAHARI_124005802_LBE_1.jpg</t>
        </is>
      </c>
      <c r="J4001" t="inlineStr">
        <is>
          <t>T_TAHARI_124005802_LBE_2.jpg</t>
        </is>
      </c>
      <c r="K4001" t="inlineStr">
        <is>
          <t>T_TAHARI_124005802_LBE_3.jpg</t>
        </is>
      </c>
      <c r="L4001">
        <f>IMAGE("file:///E:/Estudios%20y%20certificaciones/ESTUDIOS%20DE%20PROGRAMMING/PROGRAMMING/PERSONAL/PYTHON/Image_Generator_API/imagenes/T_TAHARI_124005802_LBE_1.jpg")</f>
        <v/>
      </c>
      <c r="M4001">
        <f>IMAGE("file:///E:/Estudios%20y%20certificaciones/ESTUDIOS%20DE%20PROGRAMMING/PROGRAMMING/PERSONAL/PYTHON/Image_Generator_API/imagenes/T_TAHARI_124005802_LBE_2.jpg")</f>
        <v/>
      </c>
      <c r="N4001">
        <f>IMAGE("file:///E:/Estudios%20y%20certificaciones/ESTUDIOS%20DE%20PROGRAMMING/PROGRAMMING/PERSONAL/PYTHON/Image_Generator_API/imagenes/T_TAHARI_124005802_LBE_3.jpg")</f>
        <v/>
      </c>
      <c r="O4001">
        <f>HYPERLINK("imagenes/T_TAHARI_124005802_LBE_1.jpg","Ver imagen")</f>
        <v/>
      </c>
      <c r="P4001">
        <f>HYPERLINK("imagenes/T_TAHARI_124005802_LBE_2.jpg","Ver imagen")</f>
        <v/>
      </c>
      <c r="Q4001">
        <f>HYPERLINK("imagenes/T_TAHARI_124005802_LBE_3.jpg","Ver imagen")</f>
        <v/>
      </c>
    </row>
    <row r="4002">
      <c r="A4002" t="inlineStr">
        <is>
          <t>T TAHARI</t>
        </is>
      </c>
      <c r="B4002" t="inlineStr">
        <is>
          <t>124005802</t>
        </is>
      </c>
      <c r="C4002" t="inlineStr">
        <is>
          <t>KAI</t>
        </is>
      </c>
      <c r="D4002" t="inlineStr">
        <is>
          <t>LBE</t>
        </is>
      </c>
      <c r="E4002" t="inlineStr">
        <is>
          <t>(en blanco)</t>
        </is>
      </c>
      <c r="F4002" t="inlineStr">
        <is>
          <t>M1155</t>
        </is>
      </c>
      <c r="G4002" t="inlineStr">
        <is>
          <t>XXS</t>
        </is>
      </c>
      <c r="H4002" t="n">
        <v>0</v>
      </c>
      <c r="I4002" t="inlineStr">
        <is>
          <t>T_TAHARI_124005802_LBE_1.jpg</t>
        </is>
      </c>
      <c r="J4002" t="inlineStr">
        <is>
          <t>T_TAHARI_124005802_LBE_2.jpg</t>
        </is>
      </c>
      <c r="K4002" t="inlineStr">
        <is>
          <t>T_TAHARI_124005802_LBE_3.jpg</t>
        </is>
      </c>
      <c r="L4002">
        <f>IMAGE("file:///E:/Estudios%20y%20certificaciones/ESTUDIOS%20DE%20PROGRAMMING/PROGRAMMING/PERSONAL/PYTHON/Image_Generator_API/imagenes/T_TAHARI_124005802_LBE_1.jpg")</f>
        <v/>
      </c>
      <c r="M4002">
        <f>IMAGE("file:///E:/Estudios%20y%20certificaciones/ESTUDIOS%20DE%20PROGRAMMING/PROGRAMMING/PERSONAL/PYTHON/Image_Generator_API/imagenes/T_TAHARI_124005802_LBE_2.jpg")</f>
        <v/>
      </c>
      <c r="N4002">
        <f>IMAGE("file:///E:/Estudios%20y%20certificaciones/ESTUDIOS%20DE%20PROGRAMMING/PROGRAMMING/PERSONAL/PYTHON/Image_Generator_API/imagenes/T_TAHARI_124005802_LBE_3.jpg")</f>
        <v/>
      </c>
      <c r="O4002">
        <f>HYPERLINK("imagenes/T_TAHARI_124005802_LBE_1.jpg","Ver imagen")</f>
        <v/>
      </c>
      <c r="P4002">
        <f>HYPERLINK("imagenes/T_TAHARI_124005802_LBE_2.jpg","Ver imagen")</f>
        <v/>
      </c>
      <c r="Q4002">
        <f>HYPERLINK("imagenes/T_TAHARI_124005802_LBE_3.jpg","Ver imagen")</f>
        <v/>
      </c>
    </row>
    <row r="4003">
      <c r="A4003" t="inlineStr">
        <is>
          <t>T TAHARI</t>
        </is>
      </c>
      <c r="B4003" t="inlineStr">
        <is>
          <t>124005802</t>
        </is>
      </c>
      <c r="C4003" t="inlineStr">
        <is>
          <t>KAI</t>
        </is>
      </c>
      <c r="D4003" t="inlineStr">
        <is>
          <t>LBE</t>
        </is>
      </c>
      <c r="E4003" t="inlineStr">
        <is>
          <t>(en blanco)</t>
        </is>
      </c>
      <c r="F4003" t="inlineStr">
        <is>
          <t>MACYS ECOM</t>
        </is>
      </c>
      <c r="G4003" t="inlineStr">
        <is>
          <t>XS</t>
        </is>
      </c>
      <c r="H4003" t="n">
        <v>0</v>
      </c>
      <c r="I4003" t="inlineStr">
        <is>
          <t>T_TAHARI_124005802_LBE_1.jpg</t>
        </is>
      </c>
      <c r="J4003" t="inlineStr">
        <is>
          <t>T_TAHARI_124005802_LBE_2.jpg</t>
        </is>
      </c>
      <c r="K4003" t="inlineStr">
        <is>
          <t>T_TAHARI_124005802_LBE_3.jpg</t>
        </is>
      </c>
      <c r="L4003">
        <f>IMAGE("file:///E:/Estudios%20y%20certificaciones/ESTUDIOS%20DE%20PROGRAMMING/PROGRAMMING/PERSONAL/PYTHON/Image_Generator_API/imagenes/T_TAHARI_124005802_LBE_1.jpg")</f>
        <v/>
      </c>
      <c r="M4003">
        <f>IMAGE("file:///E:/Estudios%20y%20certificaciones/ESTUDIOS%20DE%20PROGRAMMING/PROGRAMMING/PERSONAL/PYTHON/Image_Generator_API/imagenes/T_TAHARI_124005802_LBE_2.jpg")</f>
        <v/>
      </c>
      <c r="N4003">
        <f>IMAGE("file:///E:/Estudios%20y%20certificaciones/ESTUDIOS%20DE%20PROGRAMMING/PROGRAMMING/PERSONAL/PYTHON/Image_Generator_API/imagenes/T_TAHARI_124005802_LBE_3.jpg")</f>
        <v/>
      </c>
      <c r="O4003">
        <f>HYPERLINK("imagenes/T_TAHARI_124005802_LBE_1.jpg","Ver imagen")</f>
        <v/>
      </c>
      <c r="P4003">
        <f>HYPERLINK("imagenes/T_TAHARI_124005802_LBE_2.jpg","Ver imagen")</f>
        <v/>
      </c>
      <c r="Q4003">
        <f>HYPERLINK("imagenes/T_TAHARI_124005802_LBE_3.jpg","Ver imagen")</f>
        <v/>
      </c>
    </row>
    <row r="4004">
      <c r="A4004" t="inlineStr">
        <is>
          <t>T TAHARI</t>
        </is>
      </c>
      <c r="B4004" t="inlineStr">
        <is>
          <t>124005802</t>
        </is>
      </c>
      <c r="C4004" t="inlineStr">
        <is>
          <t>KAI</t>
        </is>
      </c>
      <c r="D4004" t="inlineStr">
        <is>
          <t>LBE</t>
        </is>
      </c>
      <c r="E4004" t="inlineStr">
        <is>
          <t>(en blanco)</t>
        </is>
      </c>
      <c r="F4004" t="inlineStr">
        <is>
          <t>MACYS ECOM</t>
        </is>
      </c>
      <c r="G4004" t="inlineStr">
        <is>
          <t>S</t>
        </is>
      </c>
      <c r="H4004" t="n">
        <v>0</v>
      </c>
      <c r="I4004" t="inlineStr">
        <is>
          <t>T_TAHARI_124005802_LBE_1.jpg</t>
        </is>
      </c>
      <c r="J4004" t="inlineStr">
        <is>
          <t>T_TAHARI_124005802_LBE_2.jpg</t>
        </is>
      </c>
      <c r="K4004" t="inlineStr">
        <is>
          <t>T_TAHARI_124005802_LBE_3.jpg</t>
        </is>
      </c>
      <c r="L4004">
        <f>IMAGE("file:///E:/Estudios%20y%20certificaciones/ESTUDIOS%20DE%20PROGRAMMING/PROGRAMMING/PERSONAL/PYTHON/Image_Generator_API/imagenes/T_TAHARI_124005802_LBE_1.jpg")</f>
        <v/>
      </c>
      <c r="M4004">
        <f>IMAGE("file:///E:/Estudios%20y%20certificaciones/ESTUDIOS%20DE%20PROGRAMMING/PROGRAMMING/PERSONAL/PYTHON/Image_Generator_API/imagenes/T_TAHARI_124005802_LBE_2.jpg")</f>
        <v/>
      </c>
      <c r="N4004">
        <f>IMAGE("file:///E:/Estudios%20y%20certificaciones/ESTUDIOS%20DE%20PROGRAMMING/PROGRAMMING/PERSONAL/PYTHON/Image_Generator_API/imagenes/T_TAHARI_124005802_LBE_3.jpg")</f>
        <v/>
      </c>
      <c r="O4004">
        <f>HYPERLINK("imagenes/T_TAHARI_124005802_LBE_1.jpg","Ver imagen")</f>
        <v/>
      </c>
      <c r="P4004">
        <f>HYPERLINK("imagenes/T_TAHARI_124005802_LBE_2.jpg","Ver imagen")</f>
        <v/>
      </c>
      <c r="Q4004">
        <f>HYPERLINK("imagenes/T_TAHARI_124005802_LBE_3.jpg","Ver imagen")</f>
        <v/>
      </c>
    </row>
    <row r="4005">
      <c r="A4005" t="inlineStr">
        <is>
          <t>T TAHARI</t>
        </is>
      </c>
      <c r="B4005" t="inlineStr">
        <is>
          <t>124005802</t>
        </is>
      </c>
      <c r="C4005" t="inlineStr">
        <is>
          <t>KAI</t>
        </is>
      </c>
      <c r="D4005" t="inlineStr">
        <is>
          <t>LBE</t>
        </is>
      </c>
      <c r="E4005" t="inlineStr">
        <is>
          <t>(en blanco)</t>
        </is>
      </c>
      <c r="F4005" t="inlineStr">
        <is>
          <t>MACYS ECOM</t>
        </is>
      </c>
      <c r="G4005" t="inlineStr">
        <is>
          <t>M</t>
        </is>
      </c>
      <c r="H4005" t="n">
        <v>0</v>
      </c>
      <c r="I4005" t="inlineStr">
        <is>
          <t>T_TAHARI_124005802_LBE_1.jpg</t>
        </is>
      </c>
      <c r="J4005" t="inlineStr">
        <is>
          <t>T_TAHARI_124005802_LBE_2.jpg</t>
        </is>
      </c>
      <c r="K4005" t="inlineStr">
        <is>
          <t>T_TAHARI_124005802_LBE_3.jpg</t>
        </is>
      </c>
      <c r="L4005">
        <f>IMAGE("file:///E:/Estudios%20y%20certificaciones/ESTUDIOS%20DE%20PROGRAMMING/PROGRAMMING/PERSONAL/PYTHON/Image_Generator_API/imagenes/T_TAHARI_124005802_LBE_1.jpg")</f>
        <v/>
      </c>
      <c r="M4005">
        <f>IMAGE("file:///E:/Estudios%20y%20certificaciones/ESTUDIOS%20DE%20PROGRAMMING/PROGRAMMING/PERSONAL/PYTHON/Image_Generator_API/imagenes/T_TAHARI_124005802_LBE_2.jpg")</f>
        <v/>
      </c>
      <c r="N4005">
        <f>IMAGE("file:///E:/Estudios%20y%20certificaciones/ESTUDIOS%20DE%20PROGRAMMING/PROGRAMMING/PERSONAL/PYTHON/Image_Generator_API/imagenes/T_TAHARI_124005802_LBE_3.jpg")</f>
        <v/>
      </c>
      <c r="O4005">
        <f>HYPERLINK("imagenes/T_TAHARI_124005802_LBE_1.jpg","Ver imagen")</f>
        <v/>
      </c>
      <c r="P4005">
        <f>HYPERLINK("imagenes/T_TAHARI_124005802_LBE_2.jpg","Ver imagen")</f>
        <v/>
      </c>
      <c r="Q4005">
        <f>HYPERLINK("imagenes/T_TAHARI_124005802_LBE_3.jpg","Ver imagen")</f>
        <v/>
      </c>
    </row>
    <row r="4006">
      <c r="A4006" t="inlineStr">
        <is>
          <t>T TAHARI</t>
        </is>
      </c>
      <c r="B4006" t="inlineStr">
        <is>
          <t>124005802</t>
        </is>
      </c>
      <c r="C4006" t="inlineStr">
        <is>
          <t>KAI</t>
        </is>
      </c>
      <c r="D4006" t="inlineStr">
        <is>
          <t>LBE</t>
        </is>
      </c>
      <c r="E4006" t="inlineStr">
        <is>
          <t>(en blanco)</t>
        </is>
      </c>
      <c r="F4006" t="inlineStr">
        <is>
          <t>MACYS ECOM</t>
        </is>
      </c>
      <c r="G4006" t="inlineStr">
        <is>
          <t>L</t>
        </is>
      </c>
      <c r="H4006" t="n">
        <v>0</v>
      </c>
      <c r="I4006" t="inlineStr">
        <is>
          <t>T_TAHARI_124005802_LBE_1.jpg</t>
        </is>
      </c>
      <c r="J4006" t="inlineStr">
        <is>
          <t>T_TAHARI_124005802_LBE_2.jpg</t>
        </is>
      </c>
      <c r="K4006" t="inlineStr">
        <is>
          <t>T_TAHARI_124005802_LBE_3.jpg</t>
        </is>
      </c>
      <c r="L4006">
        <f>IMAGE("file:///E:/Estudios%20y%20certificaciones/ESTUDIOS%20DE%20PROGRAMMING/PROGRAMMING/PERSONAL/PYTHON/Image_Generator_API/imagenes/T_TAHARI_124005802_LBE_1.jpg")</f>
        <v/>
      </c>
      <c r="M4006">
        <f>IMAGE("file:///E:/Estudios%20y%20certificaciones/ESTUDIOS%20DE%20PROGRAMMING/PROGRAMMING/PERSONAL/PYTHON/Image_Generator_API/imagenes/T_TAHARI_124005802_LBE_2.jpg")</f>
        <v/>
      </c>
      <c r="N4006">
        <f>IMAGE("file:///E:/Estudios%20y%20certificaciones/ESTUDIOS%20DE%20PROGRAMMING/PROGRAMMING/PERSONAL/PYTHON/Image_Generator_API/imagenes/T_TAHARI_124005802_LBE_3.jpg")</f>
        <v/>
      </c>
      <c r="O4006">
        <f>HYPERLINK("imagenes/T_TAHARI_124005802_LBE_1.jpg","Ver imagen")</f>
        <v/>
      </c>
      <c r="P4006">
        <f>HYPERLINK("imagenes/T_TAHARI_124005802_LBE_2.jpg","Ver imagen")</f>
        <v/>
      </c>
      <c r="Q4006">
        <f>HYPERLINK("imagenes/T_TAHARI_124005802_LBE_3.jpg","Ver imagen")</f>
        <v/>
      </c>
    </row>
    <row r="4007">
      <c r="A4007" t="inlineStr">
        <is>
          <t>T TAHARI</t>
        </is>
      </c>
      <c r="B4007" t="inlineStr">
        <is>
          <t>124005802</t>
        </is>
      </c>
      <c r="C4007" t="inlineStr">
        <is>
          <t>KAI</t>
        </is>
      </c>
      <c r="D4007" t="inlineStr">
        <is>
          <t>LBE</t>
        </is>
      </c>
      <c r="E4007" t="inlineStr">
        <is>
          <t>(en blanco)</t>
        </is>
      </c>
      <c r="F4007" t="inlineStr">
        <is>
          <t>MACYS ECOM</t>
        </is>
      </c>
      <c r="G4007" t="inlineStr">
        <is>
          <t>XL</t>
        </is>
      </c>
      <c r="H4007" t="n">
        <v>0</v>
      </c>
      <c r="I4007" t="inlineStr">
        <is>
          <t>T_TAHARI_124005802_LBE_1.jpg</t>
        </is>
      </c>
      <c r="J4007" t="inlineStr">
        <is>
          <t>T_TAHARI_124005802_LBE_2.jpg</t>
        </is>
      </c>
      <c r="K4007" t="inlineStr">
        <is>
          <t>T_TAHARI_124005802_LBE_3.jpg</t>
        </is>
      </c>
      <c r="L4007">
        <f>IMAGE("file:///E:/Estudios%20y%20certificaciones/ESTUDIOS%20DE%20PROGRAMMING/PROGRAMMING/PERSONAL/PYTHON/Image_Generator_API/imagenes/T_TAHARI_124005802_LBE_1.jpg")</f>
        <v/>
      </c>
      <c r="M4007">
        <f>IMAGE("file:///E:/Estudios%20y%20certificaciones/ESTUDIOS%20DE%20PROGRAMMING/PROGRAMMING/PERSONAL/PYTHON/Image_Generator_API/imagenes/T_TAHARI_124005802_LBE_2.jpg")</f>
        <v/>
      </c>
      <c r="N4007">
        <f>IMAGE("file:///E:/Estudios%20y%20certificaciones/ESTUDIOS%20DE%20PROGRAMMING/PROGRAMMING/PERSONAL/PYTHON/Image_Generator_API/imagenes/T_TAHARI_124005802_LBE_3.jpg")</f>
        <v/>
      </c>
      <c r="O4007">
        <f>HYPERLINK("imagenes/T_TAHARI_124005802_LBE_1.jpg","Ver imagen")</f>
        <v/>
      </c>
      <c r="P4007">
        <f>HYPERLINK("imagenes/T_TAHARI_124005802_LBE_2.jpg","Ver imagen")</f>
        <v/>
      </c>
      <c r="Q4007">
        <f>HYPERLINK("imagenes/T_TAHARI_124005802_LBE_3.jpg","Ver imagen")</f>
        <v/>
      </c>
    </row>
    <row r="4008">
      <c r="A4008" t="inlineStr">
        <is>
          <t>T TAHARI</t>
        </is>
      </c>
      <c r="B4008" t="inlineStr">
        <is>
          <t>124005802</t>
        </is>
      </c>
      <c r="C4008" t="inlineStr">
        <is>
          <t>KAI</t>
        </is>
      </c>
      <c r="D4008" t="inlineStr">
        <is>
          <t>LBE</t>
        </is>
      </c>
      <c r="E4008" t="inlineStr">
        <is>
          <t>(en blanco)</t>
        </is>
      </c>
      <c r="F4008" t="inlineStr">
        <is>
          <t>MACYS ECOM</t>
        </is>
      </c>
      <c r="G4008" t="inlineStr">
        <is>
          <t>XXL</t>
        </is>
      </c>
      <c r="H4008" t="n">
        <v>0</v>
      </c>
      <c r="I4008" t="inlineStr">
        <is>
          <t>T_TAHARI_124005802_LBE_1.jpg</t>
        </is>
      </c>
      <c r="J4008" t="inlineStr">
        <is>
          <t>T_TAHARI_124005802_LBE_2.jpg</t>
        </is>
      </c>
      <c r="K4008" t="inlineStr">
        <is>
          <t>T_TAHARI_124005802_LBE_3.jpg</t>
        </is>
      </c>
      <c r="L4008">
        <f>IMAGE("file:///E:/Estudios%20y%20certificaciones/ESTUDIOS%20DE%20PROGRAMMING/PROGRAMMING/PERSONAL/PYTHON/Image_Generator_API/imagenes/T_TAHARI_124005802_LBE_1.jpg")</f>
        <v/>
      </c>
      <c r="M4008">
        <f>IMAGE("file:///E:/Estudios%20y%20certificaciones/ESTUDIOS%20DE%20PROGRAMMING/PROGRAMMING/PERSONAL/PYTHON/Image_Generator_API/imagenes/T_TAHARI_124005802_LBE_2.jpg")</f>
        <v/>
      </c>
      <c r="N4008">
        <f>IMAGE("file:///E:/Estudios%20y%20certificaciones/ESTUDIOS%20DE%20PROGRAMMING/PROGRAMMING/PERSONAL/PYTHON/Image_Generator_API/imagenes/T_TAHARI_124005802_LBE_3.jpg")</f>
        <v/>
      </c>
      <c r="O4008">
        <f>HYPERLINK("imagenes/T_TAHARI_124005802_LBE_1.jpg","Ver imagen")</f>
        <v/>
      </c>
      <c r="P4008">
        <f>HYPERLINK("imagenes/T_TAHARI_124005802_LBE_2.jpg","Ver imagen")</f>
        <v/>
      </c>
      <c r="Q4008">
        <f>HYPERLINK("imagenes/T_TAHARI_124005802_LBE_3.jpg","Ver imagen")</f>
        <v/>
      </c>
    </row>
    <row r="4009">
      <c r="A4009" t="inlineStr">
        <is>
          <t>T TAHARI</t>
        </is>
      </c>
      <c r="B4009" t="inlineStr">
        <is>
          <t>124005802</t>
        </is>
      </c>
      <c r="C4009" t="inlineStr">
        <is>
          <t>KAI</t>
        </is>
      </c>
      <c r="D4009" t="inlineStr">
        <is>
          <t>LBE</t>
        </is>
      </c>
      <c r="E4009" t="inlineStr">
        <is>
          <t>(en blanco)</t>
        </is>
      </c>
      <c r="F4009" t="inlineStr">
        <is>
          <t>(en blanco)</t>
        </is>
      </c>
      <c r="G4009" t="inlineStr">
        <is>
          <t>XS</t>
        </is>
      </c>
      <c r="H4009" t="n">
        <v>40</v>
      </c>
      <c r="I4009" t="inlineStr">
        <is>
          <t>T_TAHARI_124005802_LBE_1.jpg</t>
        </is>
      </c>
      <c r="J4009" t="inlineStr">
        <is>
          <t>T_TAHARI_124005802_LBE_2.jpg</t>
        </is>
      </c>
      <c r="K4009" t="inlineStr">
        <is>
          <t>T_TAHARI_124005802_LBE_3.jpg</t>
        </is>
      </c>
      <c r="L4009">
        <f>IMAGE("file:///E:/Estudios%20y%20certificaciones/ESTUDIOS%20DE%20PROGRAMMING/PROGRAMMING/PERSONAL/PYTHON/Image_Generator_API/imagenes/T_TAHARI_124005802_LBE_1.jpg")</f>
        <v/>
      </c>
      <c r="M4009">
        <f>IMAGE("file:///E:/Estudios%20y%20certificaciones/ESTUDIOS%20DE%20PROGRAMMING/PROGRAMMING/PERSONAL/PYTHON/Image_Generator_API/imagenes/T_TAHARI_124005802_LBE_2.jpg")</f>
        <v/>
      </c>
      <c r="N4009">
        <f>IMAGE("file:///E:/Estudios%20y%20certificaciones/ESTUDIOS%20DE%20PROGRAMMING/PROGRAMMING/PERSONAL/PYTHON/Image_Generator_API/imagenes/T_TAHARI_124005802_LBE_3.jpg")</f>
        <v/>
      </c>
      <c r="O4009">
        <f>HYPERLINK("imagenes/T_TAHARI_124005802_LBE_1.jpg","Ver imagen")</f>
        <v/>
      </c>
      <c r="P4009">
        <f>HYPERLINK("imagenes/T_TAHARI_124005802_LBE_2.jpg","Ver imagen")</f>
        <v/>
      </c>
      <c r="Q4009">
        <f>HYPERLINK("imagenes/T_TAHARI_124005802_LBE_3.jpg","Ver imagen")</f>
        <v/>
      </c>
    </row>
    <row r="4010">
      <c r="A4010" t="inlineStr">
        <is>
          <t>T TAHARI</t>
        </is>
      </c>
      <c r="B4010" t="inlineStr">
        <is>
          <t>124005802</t>
        </is>
      </c>
      <c r="C4010" t="inlineStr">
        <is>
          <t>KAI</t>
        </is>
      </c>
      <c r="D4010" t="inlineStr">
        <is>
          <t>LBE</t>
        </is>
      </c>
      <c r="E4010" t="inlineStr">
        <is>
          <t>(en blanco)</t>
        </is>
      </c>
      <c r="F4010" t="inlineStr">
        <is>
          <t>(en blanco)</t>
        </is>
      </c>
      <c r="G4010" t="inlineStr">
        <is>
          <t>S</t>
        </is>
      </c>
      <c r="H4010" t="n">
        <v>78</v>
      </c>
      <c r="I4010" t="inlineStr">
        <is>
          <t>T_TAHARI_124005802_LBE_1.jpg</t>
        </is>
      </c>
      <c r="J4010" t="inlineStr">
        <is>
          <t>T_TAHARI_124005802_LBE_2.jpg</t>
        </is>
      </c>
      <c r="K4010" t="inlineStr">
        <is>
          <t>T_TAHARI_124005802_LBE_3.jpg</t>
        </is>
      </c>
      <c r="L4010">
        <f>IMAGE("file:///E:/Estudios%20y%20certificaciones/ESTUDIOS%20DE%20PROGRAMMING/PROGRAMMING/PERSONAL/PYTHON/Image_Generator_API/imagenes/T_TAHARI_124005802_LBE_1.jpg")</f>
        <v/>
      </c>
      <c r="M4010">
        <f>IMAGE("file:///E:/Estudios%20y%20certificaciones/ESTUDIOS%20DE%20PROGRAMMING/PROGRAMMING/PERSONAL/PYTHON/Image_Generator_API/imagenes/T_TAHARI_124005802_LBE_2.jpg")</f>
        <v/>
      </c>
      <c r="N4010">
        <f>IMAGE("file:///E:/Estudios%20y%20certificaciones/ESTUDIOS%20DE%20PROGRAMMING/PROGRAMMING/PERSONAL/PYTHON/Image_Generator_API/imagenes/T_TAHARI_124005802_LBE_3.jpg")</f>
        <v/>
      </c>
      <c r="O4010">
        <f>HYPERLINK("imagenes/T_TAHARI_124005802_LBE_1.jpg","Ver imagen")</f>
        <v/>
      </c>
      <c r="P4010">
        <f>HYPERLINK("imagenes/T_TAHARI_124005802_LBE_2.jpg","Ver imagen")</f>
        <v/>
      </c>
      <c r="Q4010">
        <f>HYPERLINK("imagenes/T_TAHARI_124005802_LBE_3.jpg","Ver imagen")</f>
        <v/>
      </c>
    </row>
    <row r="4011">
      <c r="A4011" t="inlineStr">
        <is>
          <t>T TAHARI</t>
        </is>
      </c>
      <c r="B4011" t="inlineStr">
        <is>
          <t>124005802</t>
        </is>
      </c>
      <c r="C4011" t="inlineStr">
        <is>
          <t>KAI</t>
        </is>
      </c>
      <c r="D4011" t="inlineStr">
        <is>
          <t>LBE</t>
        </is>
      </c>
      <c r="E4011" t="inlineStr">
        <is>
          <t>(en blanco)</t>
        </is>
      </c>
      <c r="F4011" t="inlineStr">
        <is>
          <t>(en blanco)</t>
        </is>
      </c>
      <c r="G4011" t="inlineStr">
        <is>
          <t>M</t>
        </is>
      </c>
      <c r="H4011" t="n">
        <v>71</v>
      </c>
      <c r="I4011" t="inlineStr">
        <is>
          <t>T_TAHARI_124005802_LBE_1.jpg</t>
        </is>
      </c>
      <c r="J4011" t="inlineStr">
        <is>
          <t>T_TAHARI_124005802_LBE_2.jpg</t>
        </is>
      </c>
      <c r="K4011" t="inlineStr">
        <is>
          <t>T_TAHARI_124005802_LBE_3.jpg</t>
        </is>
      </c>
      <c r="L4011">
        <f>IMAGE("file:///E:/Estudios%20y%20certificaciones/ESTUDIOS%20DE%20PROGRAMMING/PROGRAMMING/PERSONAL/PYTHON/Image_Generator_API/imagenes/T_TAHARI_124005802_LBE_1.jpg")</f>
        <v/>
      </c>
      <c r="M4011">
        <f>IMAGE("file:///E:/Estudios%20y%20certificaciones/ESTUDIOS%20DE%20PROGRAMMING/PROGRAMMING/PERSONAL/PYTHON/Image_Generator_API/imagenes/T_TAHARI_124005802_LBE_2.jpg")</f>
        <v/>
      </c>
      <c r="N4011">
        <f>IMAGE("file:///E:/Estudios%20y%20certificaciones/ESTUDIOS%20DE%20PROGRAMMING/PROGRAMMING/PERSONAL/PYTHON/Image_Generator_API/imagenes/T_TAHARI_124005802_LBE_3.jpg")</f>
        <v/>
      </c>
      <c r="O4011">
        <f>HYPERLINK("imagenes/T_TAHARI_124005802_LBE_1.jpg","Ver imagen")</f>
        <v/>
      </c>
      <c r="P4011">
        <f>HYPERLINK("imagenes/T_TAHARI_124005802_LBE_2.jpg","Ver imagen")</f>
        <v/>
      </c>
      <c r="Q4011">
        <f>HYPERLINK("imagenes/T_TAHARI_124005802_LBE_3.jpg","Ver imagen")</f>
        <v/>
      </c>
    </row>
    <row r="4012">
      <c r="A4012" t="inlineStr">
        <is>
          <t>T TAHARI</t>
        </is>
      </c>
      <c r="B4012" t="inlineStr">
        <is>
          <t>124005802</t>
        </is>
      </c>
      <c r="C4012" t="inlineStr">
        <is>
          <t>KAI</t>
        </is>
      </c>
      <c r="D4012" t="inlineStr">
        <is>
          <t>LBE</t>
        </is>
      </c>
      <c r="E4012" t="inlineStr">
        <is>
          <t>(en blanco)</t>
        </is>
      </c>
      <c r="F4012" t="inlineStr">
        <is>
          <t>(en blanco)</t>
        </is>
      </c>
      <c r="G4012" t="inlineStr">
        <is>
          <t>L</t>
        </is>
      </c>
      <c r="H4012" t="n">
        <v>77</v>
      </c>
      <c r="I4012" t="inlineStr">
        <is>
          <t>T_TAHARI_124005802_LBE_1.jpg</t>
        </is>
      </c>
      <c r="J4012" t="inlineStr">
        <is>
          <t>T_TAHARI_124005802_LBE_2.jpg</t>
        </is>
      </c>
      <c r="K4012" t="inlineStr">
        <is>
          <t>T_TAHARI_124005802_LBE_3.jpg</t>
        </is>
      </c>
      <c r="L4012">
        <f>IMAGE("file:///E:/Estudios%20y%20certificaciones/ESTUDIOS%20DE%20PROGRAMMING/PROGRAMMING/PERSONAL/PYTHON/Image_Generator_API/imagenes/T_TAHARI_124005802_LBE_1.jpg")</f>
        <v/>
      </c>
      <c r="M4012">
        <f>IMAGE("file:///E:/Estudios%20y%20certificaciones/ESTUDIOS%20DE%20PROGRAMMING/PROGRAMMING/PERSONAL/PYTHON/Image_Generator_API/imagenes/T_TAHARI_124005802_LBE_2.jpg")</f>
        <v/>
      </c>
      <c r="N4012">
        <f>IMAGE("file:///E:/Estudios%20y%20certificaciones/ESTUDIOS%20DE%20PROGRAMMING/PROGRAMMING/PERSONAL/PYTHON/Image_Generator_API/imagenes/T_TAHARI_124005802_LBE_3.jpg")</f>
        <v/>
      </c>
      <c r="O4012">
        <f>HYPERLINK("imagenes/T_TAHARI_124005802_LBE_1.jpg","Ver imagen")</f>
        <v/>
      </c>
      <c r="P4012">
        <f>HYPERLINK("imagenes/T_TAHARI_124005802_LBE_2.jpg","Ver imagen")</f>
        <v/>
      </c>
      <c r="Q4012">
        <f>HYPERLINK("imagenes/T_TAHARI_124005802_LBE_3.jpg","Ver imagen")</f>
        <v/>
      </c>
    </row>
    <row r="4013">
      <c r="A4013" t="inlineStr">
        <is>
          <t>T TAHARI</t>
        </is>
      </c>
      <c r="B4013" t="inlineStr">
        <is>
          <t>124005802</t>
        </is>
      </c>
      <c r="C4013" t="inlineStr">
        <is>
          <t>KAI</t>
        </is>
      </c>
      <c r="D4013" t="inlineStr">
        <is>
          <t>LBE</t>
        </is>
      </c>
      <c r="E4013" t="inlineStr">
        <is>
          <t>(en blanco)</t>
        </is>
      </c>
      <c r="F4013" t="inlineStr">
        <is>
          <t>(en blanco)</t>
        </is>
      </c>
      <c r="G4013" t="inlineStr">
        <is>
          <t>XL</t>
        </is>
      </c>
      <c r="H4013" t="n">
        <v>41</v>
      </c>
      <c r="I4013" t="inlineStr">
        <is>
          <t>T_TAHARI_124005802_LBE_1.jpg</t>
        </is>
      </c>
      <c r="J4013" t="inlineStr">
        <is>
          <t>T_TAHARI_124005802_LBE_2.jpg</t>
        </is>
      </c>
      <c r="K4013" t="inlineStr">
        <is>
          <t>T_TAHARI_124005802_LBE_3.jpg</t>
        </is>
      </c>
      <c r="L4013">
        <f>IMAGE("file:///E:/Estudios%20y%20certificaciones/ESTUDIOS%20DE%20PROGRAMMING/PROGRAMMING/PERSONAL/PYTHON/Image_Generator_API/imagenes/T_TAHARI_124005802_LBE_1.jpg")</f>
        <v/>
      </c>
      <c r="M4013">
        <f>IMAGE("file:///E:/Estudios%20y%20certificaciones/ESTUDIOS%20DE%20PROGRAMMING/PROGRAMMING/PERSONAL/PYTHON/Image_Generator_API/imagenes/T_TAHARI_124005802_LBE_2.jpg")</f>
        <v/>
      </c>
      <c r="N4013">
        <f>IMAGE("file:///E:/Estudios%20y%20certificaciones/ESTUDIOS%20DE%20PROGRAMMING/PROGRAMMING/PERSONAL/PYTHON/Image_Generator_API/imagenes/T_TAHARI_124005802_LBE_3.jpg")</f>
        <v/>
      </c>
      <c r="O4013">
        <f>HYPERLINK("imagenes/T_TAHARI_124005802_LBE_1.jpg","Ver imagen")</f>
        <v/>
      </c>
      <c r="P4013">
        <f>HYPERLINK("imagenes/T_TAHARI_124005802_LBE_2.jpg","Ver imagen")</f>
        <v/>
      </c>
      <c r="Q4013">
        <f>HYPERLINK("imagenes/T_TAHARI_124005802_LBE_3.jpg","Ver imagen")</f>
        <v/>
      </c>
    </row>
    <row r="4014">
      <c r="A4014" t="inlineStr">
        <is>
          <t>T TAHARI</t>
        </is>
      </c>
      <c r="B4014" t="inlineStr">
        <is>
          <t>124005824</t>
        </is>
      </c>
      <c r="C4014" t="inlineStr">
        <is>
          <t>TAYLOR</t>
        </is>
      </c>
      <c r="D4014" t="inlineStr">
        <is>
          <t>BLK</t>
        </is>
      </c>
      <c r="E4014" t="inlineStr">
        <is>
          <t>(en blanco)</t>
        </is>
      </c>
      <c r="F4014" t="inlineStr">
        <is>
          <t>(en blanco)</t>
        </is>
      </c>
      <c r="G4014" t="inlineStr">
        <is>
          <t>XS</t>
        </is>
      </c>
      <c r="H4014" t="n">
        <v>2</v>
      </c>
      <c r="I4014" t="inlineStr">
        <is>
          <t>T_TAHARI_124005824_BLK_1.jpg</t>
        </is>
      </c>
      <c r="J4014" t="inlineStr">
        <is>
          <t>T_TAHARI_124005824_BLK_2.jpg</t>
        </is>
      </c>
      <c r="K4014" t="inlineStr">
        <is>
          <t>T_TAHARI_124005824_BLK_3.jpg</t>
        </is>
      </c>
      <c r="L4014">
        <f>IMAGE("file:///E:/Estudios%20y%20certificaciones/ESTUDIOS%20DE%20PROGRAMMING/PROGRAMMING/PERSONAL/PYTHON/Image_Generator_API/imagenes/T_TAHARI_124005824_BLK_1.jpg")</f>
        <v/>
      </c>
      <c r="M4014">
        <f>IMAGE("file:///E:/Estudios%20y%20certificaciones/ESTUDIOS%20DE%20PROGRAMMING/PROGRAMMING/PERSONAL/PYTHON/Image_Generator_API/imagenes/T_TAHARI_124005824_BLK_2.jpg")</f>
        <v/>
      </c>
      <c r="N4014">
        <f>IMAGE("file:///E:/Estudios%20y%20certificaciones/ESTUDIOS%20DE%20PROGRAMMING/PROGRAMMING/PERSONAL/PYTHON/Image_Generator_API/imagenes/T_TAHARI_124005824_BLK_3.jpg")</f>
        <v/>
      </c>
      <c r="O4014">
        <f>HYPERLINK("imagenes/T_TAHARI_124005824_BLK_1.jpg","Ver imagen")</f>
        <v/>
      </c>
      <c r="P4014">
        <f>HYPERLINK("imagenes/T_TAHARI_124005824_BLK_2.jpg","Ver imagen")</f>
        <v/>
      </c>
      <c r="Q4014">
        <f>HYPERLINK("imagenes/T_TAHARI_124005824_BLK_3.jpg","Ver imagen")</f>
        <v/>
      </c>
    </row>
    <row r="4015">
      <c r="A4015" t="inlineStr">
        <is>
          <t>T TAHARI</t>
        </is>
      </c>
      <c r="B4015" t="inlineStr">
        <is>
          <t>124005824</t>
        </is>
      </c>
      <c r="C4015" t="inlineStr">
        <is>
          <t>TAYLOR</t>
        </is>
      </c>
      <c r="D4015" t="inlineStr">
        <is>
          <t>BLK</t>
        </is>
      </c>
      <c r="E4015" t="inlineStr">
        <is>
          <t>(en blanco)</t>
        </is>
      </c>
      <c r="F4015" t="inlineStr">
        <is>
          <t>(en blanco)</t>
        </is>
      </c>
      <c r="G4015" t="inlineStr">
        <is>
          <t>S</t>
        </is>
      </c>
      <c r="H4015" t="n">
        <v>85</v>
      </c>
      <c r="I4015" t="inlineStr">
        <is>
          <t>T_TAHARI_124005824_BLK_1.jpg</t>
        </is>
      </c>
      <c r="J4015" t="inlineStr">
        <is>
          <t>T_TAHARI_124005824_BLK_2.jpg</t>
        </is>
      </c>
      <c r="K4015" t="inlineStr">
        <is>
          <t>T_TAHARI_124005824_BLK_3.jpg</t>
        </is>
      </c>
      <c r="L4015">
        <f>IMAGE("file:///E:/Estudios%20y%20certificaciones/ESTUDIOS%20DE%20PROGRAMMING/PROGRAMMING/PERSONAL/PYTHON/Image_Generator_API/imagenes/T_TAHARI_124005824_BLK_1.jpg")</f>
        <v/>
      </c>
      <c r="M4015">
        <f>IMAGE("file:///E:/Estudios%20y%20certificaciones/ESTUDIOS%20DE%20PROGRAMMING/PROGRAMMING/PERSONAL/PYTHON/Image_Generator_API/imagenes/T_TAHARI_124005824_BLK_2.jpg")</f>
        <v/>
      </c>
      <c r="N4015">
        <f>IMAGE("file:///E:/Estudios%20y%20certificaciones/ESTUDIOS%20DE%20PROGRAMMING/PROGRAMMING/PERSONAL/PYTHON/Image_Generator_API/imagenes/T_TAHARI_124005824_BLK_3.jpg")</f>
        <v/>
      </c>
      <c r="O4015">
        <f>HYPERLINK("imagenes/T_TAHARI_124005824_BLK_1.jpg","Ver imagen")</f>
        <v/>
      </c>
      <c r="P4015">
        <f>HYPERLINK("imagenes/T_TAHARI_124005824_BLK_2.jpg","Ver imagen")</f>
        <v/>
      </c>
      <c r="Q4015">
        <f>HYPERLINK("imagenes/T_TAHARI_124005824_BLK_3.jpg","Ver imagen")</f>
        <v/>
      </c>
    </row>
    <row r="4016">
      <c r="A4016" t="inlineStr">
        <is>
          <t>T TAHARI</t>
        </is>
      </c>
      <c r="B4016" t="inlineStr">
        <is>
          <t>124005824</t>
        </is>
      </c>
      <c r="C4016" t="inlineStr">
        <is>
          <t>TAYLOR</t>
        </is>
      </c>
      <c r="D4016" t="inlineStr">
        <is>
          <t>BLK</t>
        </is>
      </c>
      <c r="E4016" t="inlineStr">
        <is>
          <t>(en blanco)</t>
        </is>
      </c>
      <c r="F4016" t="inlineStr">
        <is>
          <t>(en blanco)</t>
        </is>
      </c>
      <c r="G4016" t="inlineStr">
        <is>
          <t>M</t>
        </is>
      </c>
      <c r="H4016" t="n">
        <v>186</v>
      </c>
      <c r="I4016" t="inlineStr">
        <is>
          <t>T_TAHARI_124005824_BLK_1.jpg</t>
        </is>
      </c>
      <c r="J4016" t="inlineStr">
        <is>
          <t>T_TAHARI_124005824_BLK_2.jpg</t>
        </is>
      </c>
      <c r="K4016" t="inlineStr">
        <is>
          <t>T_TAHARI_124005824_BLK_3.jpg</t>
        </is>
      </c>
      <c r="L4016">
        <f>IMAGE("file:///E:/Estudios%20y%20certificaciones/ESTUDIOS%20DE%20PROGRAMMING/PROGRAMMING/PERSONAL/PYTHON/Image_Generator_API/imagenes/T_TAHARI_124005824_BLK_1.jpg")</f>
        <v/>
      </c>
      <c r="M4016">
        <f>IMAGE("file:///E:/Estudios%20y%20certificaciones/ESTUDIOS%20DE%20PROGRAMMING/PROGRAMMING/PERSONAL/PYTHON/Image_Generator_API/imagenes/T_TAHARI_124005824_BLK_2.jpg")</f>
        <v/>
      </c>
      <c r="N4016">
        <f>IMAGE("file:///E:/Estudios%20y%20certificaciones/ESTUDIOS%20DE%20PROGRAMMING/PROGRAMMING/PERSONAL/PYTHON/Image_Generator_API/imagenes/T_TAHARI_124005824_BLK_3.jpg")</f>
        <v/>
      </c>
      <c r="O4016">
        <f>HYPERLINK("imagenes/T_TAHARI_124005824_BLK_1.jpg","Ver imagen")</f>
        <v/>
      </c>
      <c r="P4016">
        <f>HYPERLINK("imagenes/T_TAHARI_124005824_BLK_2.jpg","Ver imagen")</f>
        <v/>
      </c>
      <c r="Q4016">
        <f>HYPERLINK("imagenes/T_TAHARI_124005824_BLK_3.jpg","Ver imagen")</f>
        <v/>
      </c>
    </row>
    <row r="4017">
      <c r="A4017" t="inlineStr">
        <is>
          <t>T TAHARI</t>
        </is>
      </c>
      <c r="B4017" t="inlineStr">
        <is>
          <t>124005824</t>
        </is>
      </c>
      <c r="C4017" t="inlineStr">
        <is>
          <t>TAYLOR</t>
        </is>
      </c>
      <c r="D4017" t="inlineStr">
        <is>
          <t>BLK</t>
        </is>
      </c>
      <c r="E4017" t="inlineStr">
        <is>
          <t>(en blanco)</t>
        </is>
      </c>
      <c r="F4017" t="inlineStr">
        <is>
          <t>(en blanco)</t>
        </is>
      </c>
      <c r="G4017" t="inlineStr">
        <is>
          <t>L</t>
        </is>
      </c>
      <c r="H4017" t="n">
        <v>193</v>
      </c>
      <c r="I4017" t="inlineStr">
        <is>
          <t>T_TAHARI_124005824_BLK_1.jpg</t>
        </is>
      </c>
      <c r="J4017" t="inlineStr">
        <is>
          <t>T_TAHARI_124005824_BLK_2.jpg</t>
        </is>
      </c>
      <c r="K4017" t="inlineStr">
        <is>
          <t>T_TAHARI_124005824_BLK_3.jpg</t>
        </is>
      </c>
      <c r="L4017">
        <f>IMAGE("file:///E:/Estudios%20y%20certificaciones/ESTUDIOS%20DE%20PROGRAMMING/PROGRAMMING/PERSONAL/PYTHON/Image_Generator_API/imagenes/T_TAHARI_124005824_BLK_1.jpg")</f>
        <v/>
      </c>
      <c r="M4017">
        <f>IMAGE("file:///E:/Estudios%20y%20certificaciones/ESTUDIOS%20DE%20PROGRAMMING/PROGRAMMING/PERSONAL/PYTHON/Image_Generator_API/imagenes/T_TAHARI_124005824_BLK_2.jpg")</f>
        <v/>
      </c>
      <c r="N4017">
        <f>IMAGE("file:///E:/Estudios%20y%20certificaciones/ESTUDIOS%20DE%20PROGRAMMING/PROGRAMMING/PERSONAL/PYTHON/Image_Generator_API/imagenes/T_TAHARI_124005824_BLK_3.jpg")</f>
        <v/>
      </c>
      <c r="O4017">
        <f>HYPERLINK("imagenes/T_TAHARI_124005824_BLK_1.jpg","Ver imagen")</f>
        <v/>
      </c>
      <c r="P4017">
        <f>HYPERLINK("imagenes/T_TAHARI_124005824_BLK_2.jpg","Ver imagen")</f>
        <v/>
      </c>
      <c r="Q4017">
        <f>HYPERLINK("imagenes/T_TAHARI_124005824_BLK_3.jpg","Ver imagen")</f>
        <v/>
      </c>
    </row>
    <row r="4018">
      <c r="A4018" t="inlineStr">
        <is>
          <t>T TAHARI</t>
        </is>
      </c>
      <c r="B4018" t="inlineStr">
        <is>
          <t>124005824</t>
        </is>
      </c>
      <c r="C4018" t="inlineStr">
        <is>
          <t>TAYLOR</t>
        </is>
      </c>
      <c r="D4018" t="inlineStr">
        <is>
          <t>BLK</t>
        </is>
      </c>
      <c r="E4018" t="inlineStr">
        <is>
          <t>(en blanco)</t>
        </is>
      </c>
      <c r="F4018" t="inlineStr">
        <is>
          <t>(en blanco)</t>
        </is>
      </c>
      <c r="G4018" t="inlineStr">
        <is>
          <t>XL</t>
        </is>
      </c>
      <c r="H4018" t="n">
        <v>152</v>
      </c>
      <c r="I4018" t="inlineStr">
        <is>
          <t>T_TAHARI_124005824_BLK_1.jpg</t>
        </is>
      </c>
      <c r="J4018" t="inlineStr">
        <is>
          <t>T_TAHARI_124005824_BLK_2.jpg</t>
        </is>
      </c>
      <c r="K4018" t="inlineStr">
        <is>
          <t>T_TAHARI_124005824_BLK_3.jpg</t>
        </is>
      </c>
      <c r="L4018">
        <f>IMAGE("file:///E:/Estudios%20y%20certificaciones/ESTUDIOS%20DE%20PROGRAMMING/PROGRAMMING/PERSONAL/PYTHON/Image_Generator_API/imagenes/T_TAHARI_124005824_BLK_1.jpg")</f>
        <v/>
      </c>
      <c r="M4018">
        <f>IMAGE("file:///E:/Estudios%20y%20certificaciones/ESTUDIOS%20DE%20PROGRAMMING/PROGRAMMING/PERSONAL/PYTHON/Image_Generator_API/imagenes/T_TAHARI_124005824_BLK_2.jpg")</f>
        <v/>
      </c>
      <c r="N4018">
        <f>IMAGE("file:///E:/Estudios%20y%20certificaciones/ESTUDIOS%20DE%20PROGRAMMING/PROGRAMMING/PERSONAL/PYTHON/Image_Generator_API/imagenes/T_TAHARI_124005824_BLK_3.jpg")</f>
        <v/>
      </c>
      <c r="O4018">
        <f>HYPERLINK("imagenes/T_TAHARI_124005824_BLK_1.jpg","Ver imagen")</f>
        <v/>
      </c>
      <c r="P4018">
        <f>HYPERLINK("imagenes/T_TAHARI_124005824_BLK_2.jpg","Ver imagen")</f>
        <v/>
      </c>
      <c r="Q4018">
        <f>HYPERLINK("imagenes/T_TAHARI_124005824_BLK_3.jpg","Ver imagen")</f>
        <v/>
      </c>
    </row>
    <row r="4019">
      <c r="A4019" t="inlineStr">
        <is>
          <t>T TAHARI</t>
        </is>
      </c>
      <c r="B4019" t="inlineStr">
        <is>
          <t>124005824</t>
        </is>
      </c>
      <c r="C4019" t="inlineStr">
        <is>
          <t>TAYLOR</t>
        </is>
      </c>
      <c r="D4019" t="inlineStr">
        <is>
          <t>BLK</t>
        </is>
      </c>
      <c r="E4019" t="inlineStr">
        <is>
          <t>(en blanco)</t>
        </is>
      </c>
      <c r="F4019" t="inlineStr">
        <is>
          <t>(en blanco)</t>
        </is>
      </c>
      <c r="G4019" t="inlineStr">
        <is>
          <t>XXL</t>
        </is>
      </c>
      <c r="H4019" t="n">
        <v>47</v>
      </c>
      <c r="I4019" t="inlineStr">
        <is>
          <t>T_TAHARI_124005824_BLK_1.jpg</t>
        </is>
      </c>
      <c r="J4019" t="inlineStr">
        <is>
          <t>T_TAHARI_124005824_BLK_2.jpg</t>
        </is>
      </c>
      <c r="K4019" t="inlineStr">
        <is>
          <t>T_TAHARI_124005824_BLK_3.jpg</t>
        </is>
      </c>
      <c r="L4019">
        <f>IMAGE("file:///E:/Estudios%20y%20certificaciones/ESTUDIOS%20DE%20PROGRAMMING/PROGRAMMING/PERSONAL/PYTHON/Image_Generator_API/imagenes/T_TAHARI_124005824_BLK_1.jpg")</f>
        <v/>
      </c>
      <c r="M4019">
        <f>IMAGE("file:///E:/Estudios%20y%20certificaciones/ESTUDIOS%20DE%20PROGRAMMING/PROGRAMMING/PERSONAL/PYTHON/Image_Generator_API/imagenes/T_TAHARI_124005824_BLK_2.jpg")</f>
        <v/>
      </c>
      <c r="N4019">
        <f>IMAGE("file:///E:/Estudios%20y%20certificaciones/ESTUDIOS%20DE%20PROGRAMMING/PROGRAMMING/PERSONAL/PYTHON/Image_Generator_API/imagenes/T_TAHARI_124005824_BLK_3.jpg")</f>
        <v/>
      </c>
      <c r="O4019">
        <f>HYPERLINK("imagenes/T_TAHARI_124005824_BLK_1.jpg","Ver imagen")</f>
        <v/>
      </c>
      <c r="P4019">
        <f>HYPERLINK("imagenes/T_TAHARI_124005824_BLK_2.jpg","Ver imagen")</f>
        <v/>
      </c>
      <c r="Q4019">
        <f>HYPERLINK("imagenes/T_TAHARI_124005824_BLK_3.jpg","Ver imagen")</f>
        <v/>
      </c>
    </row>
    <row r="4020">
      <c r="A4020" t="inlineStr">
        <is>
          <t>T TAHARI</t>
        </is>
      </c>
      <c r="B4020" t="inlineStr">
        <is>
          <t>124005824</t>
        </is>
      </c>
      <c r="C4020" t="inlineStr">
        <is>
          <t>TAYLOR</t>
        </is>
      </c>
      <c r="D4020" t="inlineStr">
        <is>
          <t>OLI</t>
        </is>
      </c>
      <c r="E4020" t="inlineStr">
        <is>
          <t>(en blanco)</t>
        </is>
      </c>
      <c r="F4020" t="inlineStr">
        <is>
          <t>(en blanco)</t>
        </is>
      </c>
      <c r="G4020" t="inlineStr">
        <is>
          <t>M</t>
        </is>
      </c>
      <c r="H4020" t="n">
        <v>0</v>
      </c>
      <c r="I4020" t="inlineStr">
        <is>
          <t>T_TAHARI_124005824_OLI_1.jpg</t>
        </is>
      </c>
      <c r="J4020" t="inlineStr">
        <is>
          <t>T_TAHARI_124005824_OLI_2.jpg</t>
        </is>
      </c>
      <c r="K4020" t="inlineStr">
        <is>
          <t>T_TAHARI_124005824_OLI_3.jpg</t>
        </is>
      </c>
      <c r="L4020">
        <f>IMAGE("file:///E:/Estudios%20y%20certificaciones/ESTUDIOS%20DE%20PROGRAMMING/PROGRAMMING/PERSONAL/PYTHON/Image_Generator_API/imagenes/T_TAHARI_124005824_OLI_1.jpg")</f>
        <v/>
      </c>
      <c r="M4020">
        <f>IMAGE("file:///E:/Estudios%20y%20certificaciones/ESTUDIOS%20DE%20PROGRAMMING/PROGRAMMING/PERSONAL/PYTHON/Image_Generator_API/imagenes/T_TAHARI_124005824_OLI_2.jpg")</f>
        <v/>
      </c>
      <c r="N4020">
        <f>IMAGE("file:///E:/Estudios%20y%20certificaciones/ESTUDIOS%20DE%20PROGRAMMING/PROGRAMMING/PERSONAL/PYTHON/Image_Generator_API/imagenes/T_TAHARI_124005824_OLI_3.jpg")</f>
        <v/>
      </c>
      <c r="O4020">
        <f>HYPERLINK("imagenes/T_TAHARI_124005824_OLI_1.jpg","Ver imagen")</f>
        <v/>
      </c>
      <c r="P4020">
        <f>HYPERLINK("imagenes/T_TAHARI_124005824_OLI_2.jpg","Ver imagen")</f>
        <v/>
      </c>
      <c r="Q4020">
        <f>HYPERLINK("imagenes/T_TAHARI_124005824_OLI_3.jpg","Ver imagen")</f>
        <v/>
      </c>
    </row>
    <row r="4021">
      <c r="A4021" t="inlineStr">
        <is>
          <t>T TAHARI</t>
        </is>
      </c>
      <c r="B4021" t="inlineStr">
        <is>
          <t>124005824</t>
        </is>
      </c>
      <c r="C4021" t="inlineStr">
        <is>
          <t>TAYLOR</t>
        </is>
      </c>
      <c r="D4021" t="inlineStr">
        <is>
          <t>OLI</t>
        </is>
      </c>
      <c r="E4021" t="inlineStr">
        <is>
          <t>(en blanco)</t>
        </is>
      </c>
      <c r="F4021" t="inlineStr">
        <is>
          <t>(en blanco)</t>
        </is>
      </c>
      <c r="G4021" t="inlineStr">
        <is>
          <t>XL</t>
        </is>
      </c>
      <c r="H4021" t="n">
        <v>1</v>
      </c>
      <c r="I4021" t="inlineStr">
        <is>
          <t>T_TAHARI_124005824_OLI_1.jpg</t>
        </is>
      </c>
      <c r="J4021" t="inlineStr">
        <is>
          <t>T_TAHARI_124005824_OLI_2.jpg</t>
        </is>
      </c>
      <c r="K4021" t="inlineStr">
        <is>
          <t>T_TAHARI_124005824_OLI_3.jpg</t>
        </is>
      </c>
      <c r="L4021">
        <f>IMAGE("file:///E:/Estudios%20y%20certificaciones/ESTUDIOS%20DE%20PROGRAMMING/PROGRAMMING/PERSONAL/PYTHON/Image_Generator_API/imagenes/T_TAHARI_124005824_OLI_1.jpg")</f>
        <v/>
      </c>
      <c r="M4021">
        <f>IMAGE("file:///E:/Estudios%20y%20certificaciones/ESTUDIOS%20DE%20PROGRAMMING/PROGRAMMING/PERSONAL/PYTHON/Image_Generator_API/imagenes/T_TAHARI_124005824_OLI_2.jpg")</f>
        <v/>
      </c>
      <c r="N4021">
        <f>IMAGE("file:///E:/Estudios%20y%20certificaciones/ESTUDIOS%20DE%20PROGRAMMING/PROGRAMMING/PERSONAL/PYTHON/Image_Generator_API/imagenes/T_TAHARI_124005824_OLI_3.jpg")</f>
        <v/>
      </c>
      <c r="O4021">
        <f>HYPERLINK("imagenes/T_TAHARI_124005824_OLI_1.jpg","Ver imagen")</f>
        <v/>
      </c>
      <c r="P4021">
        <f>HYPERLINK("imagenes/T_TAHARI_124005824_OLI_2.jpg","Ver imagen")</f>
        <v/>
      </c>
      <c r="Q4021">
        <f>HYPERLINK("imagenes/T_TAHARI_124005824_OLI_3.jpg","Ver imagen")</f>
        <v/>
      </c>
    </row>
    <row r="4022">
      <c r="A4022" t="inlineStr">
        <is>
          <t>T TAHARI</t>
        </is>
      </c>
      <c r="B4022" t="inlineStr">
        <is>
          <t>124005824</t>
        </is>
      </c>
      <c r="C4022" t="inlineStr">
        <is>
          <t>TAYLOR</t>
        </is>
      </c>
      <c r="D4022" t="inlineStr">
        <is>
          <t>OLI</t>
        </is>
      </c>
      <c r="E4022" t="inlineStr">
        <is>
          <t>(en blanco)</t>
        </is>
      </c>
      <c r="F4022" t="inlineStr">
        <is>
          <t>(en blanco)</t>
        </is>
      </c>
      <c r="G4022" t="inlineStr">
        <is>
          <t>XXL</t>
        </is>
      </c>
      <c r="H4022" t="n">
        <v>3</v>
      </c>
      <c r="I4022" t="inlineStr">
        <is>
          <t>T_TAHARI_124005824_OLI_1.jpg</t>
        </is>
      </c>
      <c r="J4022" t="inlineStr">
        <is>
          <t>T_TAHARI_124005824_OLI_2.jpg</t>
        </is>
      </c>
      <c r="K4022" t="inlineStr">
        <is>
          <t>T_TAHARI_124005824_OLI_3.jpg</t>
        </is>
      </c>
      <c r="L4022">
        <f>IMAGE("file:///E:/Estudios%20y%20certificaciones/ESTUDIOS%20DE%20PROGRAMMING/PROGRAMMING/PERSONAL/PYTHON/Image_Generator_API/imagenes/T_TAHARI_124005824_OLI_1.jpg")</f>
        <v/>
      </c>
      <c r="M4022">
        <f>IMAGE("file:///E:/Estudios%20y%20certificaciones/ESTUDIOS%20DE%20PROGRAMMING/PROGRAMMING/PERSONAL/PYTHON/Image_Generator_API/imagenes/T_TAHARI_124005824_OLI_2.jpg")</f>
        <v/>
      </c>
      <c r="N4022">
        <f>IMAGE("file:///E:/Estudios%20y%20certificaciones/ESTUDIOS%20DE%20PROGRAMMING/PROGRAMMING/PERSONAL/PYTHON/Image_Generator_API/imagenes/T_TAHARI_124005824_OLI_3.jpg")</f>
        <v/>
      </c>
      <c r="O4022">
        <f>HYPERLINK("imagenes/T_TAHARI_124005824_OLI_1.jpg","Ver imagen")</f>
        <v/>
      </c>
      <c r="P4022">
        <f>HYPERLINK("imagenes/T_TAHARI_124005824_OLI_2.jpg","Ver imagen")</f>
        <v/>
      </c>
      <c r="Q4022">
        <f>HYPERLINK("imagenes/T_TAHARI_124005824_OLI_3.jpg","Ver imagen")</f>
        <v/>
      </c>
    </row>
    <row r="4023">
      <c r="A4023" t="inlineStr">
        <is>
          <t>T TAHARI</t>
        </is>
      </c>
      <c r="B4023" t="inlineStr">
        <is>
          <t>124005967</t>
        </is>
      </c>
      <c r="C4023" t="inlineStr">
        <is>
          <t>AUBREY</t>
        </is>
      </c>
      <c r="D4023" t="inlineStr">
        <is>
          <t>BLK</t>
        </is>
      </c>
      <c r="E4023" t="inlineStr">
        <is>
          <t>(en blanco)</t>
        </is>
      </c>
      <c r="F4023" t="inlineStr">
        <is>
          <t>(en blanco)</t>
        </is>
      </c>
      <c r="G4023" t="inlineStr">
        <is>
          <t>XL</t>
        </is>
      </c>
      <c r="H4023" t="n">
        <v>0</v>
      </c>
      <c r="I4023" t="inlineStr">
        <is>
          <t>T_TAHARI_124005967_BLK_1.jpg</t>
        </is>
      </c>
      <c r="J4023" t="inlineStr">
        <is>
          <t>T_TAHARI_124005967_BLK_2.jpg</t>
        </is>
      </c>
      <c r="K4023" t="inlineStr">
        <is>
          <t>T_TAHARI_124005967_BLK_3.jpg</t>
        </is>
      </c>
      <c r="L4023">
        <f>IMAGE("file:///E:/Estudios%20y%20certificaciones/ESTUDIOS%20DE%20PROGRAMMING/PROGRAMMING/PERSONAL/PYTHON/Image_Generator_API/imagenes/T_TAHARI_124005967_BLK_1.jpg")</f>
        <v/>
      </c>
      <c r="M4023">
        <f>IMAGE("file:///E:/Estudios%20y%20certificaciones/ESTUDIOS%20DE%20PROGRAMMING/PROGRAMMING/PERSONAL/PYTHON/Image_Generator_API/imagenes/T_TAHARI_124005967_BLK_2.jpg")</f>
        <v/>
      </c>
      <c r="N4023">
        <f>IMAGE("file:///E:/Estudios%20y%20certificaciones/ESTUDIOS%20DE%20PROGRAMMING/PROGRAMMING/PERSONAL/PYTHON/Image_Generator_API/imagenes/T_TAHARI_124005967_BLK_3.jpg")</f>
        <v/>
      </c>
      <c r="O4023">
        <f>HYPERLINK("imagenes/T_TAHARI_124005967_BLK_1.jpg","Ver imagen")</f>
        <v/>
      </c>
      <c r="P4023">
        <f>HYPERLINK("imagenes/T_TAHARI_124005967_BLK_2.jpg","Ver imagen")</f>
        <v/>
      </c>
      <c r="Q4023">
        <f>HYPERLINK("imagenes/T_TAHARI_124005967_BLK_3.jpg","Ver imagen")</f>
        <v/>
      </c>
    </row>
    <row r="4024">
      <c r="A4024" t="inlineStr">
        <is>
          <t>T TAHARI</t>
        </is>
      </c>
      <c r="B4024" t="inlineStr">
        <is>
          <t>124005971</t>
        </is>
      </c>
      <c r="C4024" t="inlineStr">
        <is>
          <t>VERA</t>
        </is>
      </c>
      <c r="D4024" t="inlineStr">
        <is>
          <t>BLK</t>
        </is>
      </c>
      <c r="E4024" t="inlineStr">
        <is>
          <t>(en blanco)</t>
        </is>
      </c>
      <c r="F4024" t="inlineStr">
        <is>
          <t>(en blanco)</t>
        </is>
      </c>
      <c r="G4024" t="inlineStr">
        <is>
          <t>XS</t>
        </is>
      </c>
      <c r="H4024" t="n">
        <v>86</v>
      </c>
      <c r="I4024" t="inlineStr">
        <is>
          <t>T_TAHARI_124005971_BLK_1.jpg</t>
        </is>
      </c>
      <c r="J4024" t="inlineStr">
        <is>
          <t>T_TAHARI_124005971_BLK_2.jpg</t>
        </is>
      </c>
      <c r="K4024" t="inlineStr">
        <is>
          <t>T_TAHARI_124005971_BLK_3.jpg</t>
        </is>
      </c>
      <c r="L4024">
        <f>IMAGE("file:///E:/Estudios%20y%20certificaciones/ESTUDIOS%20DE%20PROGRAMMING/PROGRAMMING/PERSONAL/PYTHON/Image_Generator_API/imagenes/T_TAHARI_124005971_BLK_1.jpg")</f>
        <v/>
      </c>
      <c r="M4024">
        <f>IMAGE("file:///E:/Estudios%20y%20certificaciones/ESTUDIOS%20DE%20PROGRAMMING/PROGRAMMING/PERSONAL/PYTHON/Image_Generator_API/imagenes/T_TAHARI_124005971_BLK_2.jpg")</f>
        <v/>
      </c>
      <c r="N4024">
        <f>IMAGE("file:///E:/Estudios%20y%20certificaciones/ESTUDIOS%20DE%20PROGRAMMING/PROGRAMMING/PERSONAL/PYTHON/Image_Generator_API/imagenes/T_TAHARI_124005971_BLK_3.jpg")</f>
        <v/>
      </c>
      <c r="O4024">
        <f>HYPERLINK("imagenes/T_TAHARI_124005971_BLK_1.jpg","Ver imagen")</f>
        <v/>
      </c>
      <c r="P4024">
        <f>HYPERLINK("imagenes/T_TAHARI_124005971_BLK_2.jpg","Ver imagen")</f>
        <v/>
      </c>
      <c r="Q4024">
        <f>HYPERLINK("imagenes/T_TAHARI_124005971_BLK_3.jpg","Ver imagen")</f>
        <v/>
      </c>
    </row>
    <row r="4025">
      <c r="A4025" t="inlineStr">
        <is>
          <t>T TAHARI</t>
        </is>
      </c>
      <c r="B4025" t="inlineStr">
        <is>
          <t>124005971</t>
        </is>
      </c>
      <c r="C4025" t="inlineStr">
        <is>
          <t>VERA</t>
        </is>
      </c>
      <c r="D4025" t="inlineStr">
        <is>
          <t>BLK</t>
        </is>
      </c>
      <c r="E4025" t="inlineStr">
        <is>
          <t>(en blanco)</t>
        </is>
      </c>
      <c r="F4025" t="inlineStr">
        <is>
          <t>(en blanco)</t>
        </is>
      </c>
      <c r="G4025" t="inlineStr">
        <is>
          <t>S</t>
        </is>
      </c>
      <c r="H4025" t="n">
        <v>154</v>
      </c>
      <c r="I4025" t="inlineStr">
        <is>
          <t>T_TAHARI_124005971_BLK_1.jpg</t>
        </is>
      </c>
      <c r="J4025" t="inlineStr">
        <is>
          <t>T_TAHARI_124005971_BLK_2.jpg</t>
        </is>
      </c>
      <c r="K4025" t="inlineStr">
        <is>
          <t>T_TAHARI_124005971_BLK_3.jpg</t>
        </is>
      </c>
      <c r="L4025">
        <f>IMAGE("file:///E:/Estudios%20y%20certificaciones/ESTUDIOS%20DE%20PROGRAMMING/PROGRAMMING/PERSONAL/PYTHON/Image_Generator_API/imagenes/T_TAHARI_124005971_BLK_1.jpg")</f>
        <v/>
      </c>
      <c r="M4025">
        <f>IMAGE("file:///E:/Estudios%20y%20certificaciones/ESTUDIOS%20DE%20PROGRAMMING/PROGRAMMING/PERSONAL/PYTHON/Image_Generator_API/imagenes/T_TAHARI_124005971_BLK_2.jpg")</f>
        <v/>
      </c>
      <c r="N4025">
        <f>IMAGE("file:///E:/Estudios%20y%20certificaciones/ESTUDIOS%20DE%20PROGRAMMING/PROGRAMMING/PERSONAL/PYTHON/Image_Generator_API/imagenes/T_TAHARI_124005971_BLK_3.jpg")</f>
        <v/>
      </c>
      <c r="O4025">
        <f>HYPERLINK("imagenes/T_TAHARI_124005971_BLK_1.jpg","Ver imagen")</f>
        <v/>
      </c>
      <c r="P4025">
        <f>HYPERLINK("imagenes/T_TAHARI_124005971_BLK_2.jpg","Ver imagen")</f>
        <v/>
      </c>
      <c r="Q4025">
        <f>HYPERLINK("imagenes/T_TAHARI_124005971_BLK_3.jpg","Ver imagen")</f>
        <v/>
      </c>
    </row>
    <row r="4026">
      <c r="A4026" t="inlineStr">
        <is>
          <t>T TAHARI</t>
        </is>
      </c>
      <c r="B4026" t="inlineStr">
        <is>
          <t>124005971</t>
        </is>
      </c>
      <c r="C4026" t="inlineStr">
        <is>
          <t>VERA</t>
        </is>
      </c>
      <c r="D4026" t="inlineStr">
        <is>
          <t>BLK</t>
        </is>
      </c>
      <c r="E4026" t="inlineStr">
        <is>
          <t>(en blanco)</t>
        </is>
      </c>
      <c r="F4026" t="inlineStr">
        <is>
          <t>(en blanco)</t>
        </is>
      </c>
      <c r="G4026" t="inlineStr">
        <is>
          <t>M</t>
        </is>
      </c>
      <c r="H4026" t="n">
        <v>158</v>
      </c>
      <c r="I4026" t="inlineStr">
        <is>
          <t>T_TAHARI_124005971_BLK_1.jpg</t>
        </is>
      </c>
      <c r="J4026" t="inlineStr">
        <is>
          <t>T_TAHARI_124005971_BLK_2.jpg</t>
        </is>
      </c>
      <c r="K4026" t="inlineStr">
        <is>
          <t>T_TAHARI_124005971_BLK_3.jpg</t>
        </is>
      </c>
      <c r="L4026">
        <f>IMAGE("file:///E:/Estudios%20y%20certificaciones/ESTUDIOS%20DE%20PROGRAMMING/PROGRAMMING/PERSONAL/PYTHON/Image_Generator_API/imagenes/T_TAHARI_124005971_BLK_1.jpg")</f>
        <v/>
      </c>
      <c r="M4026">
        <f>IMAGE("file:///E:/Estudios%20y%20certificaciones/ESTUDIOS%20DE%20PROGRAMMING/PROGRAMMING/PERSONAL/PYTHON/Image_Generator_API/imagenes/T_TAHARI_124005971_BLK_2.jpg")</f>
        <v/>
      </c>
      <c r="N4026">
        <f>IMAGE("file:///E:/Estudios%20y%20certificaciones/ESTUDIOS%20DE%20PROGRAMMING/PROGRAMMING/PERSONAL/PYTHON/Image_Generator_API/imagenes/T_TAHARI_124005971_BLK_3.jpg")</f>
        <v/>
      </c>
      <c r="O4026">
        <f>HYPERLINK("imagenes/T_TAHARI_124005971_BLK_1.jpg","Ver imagen")</f>
        <v/>
      </c>
      <c r="P4026">
        <f>HYPERLINK("imagenes/T_TAHARI_124005971_BLK_2.jpg","Ver imagen")</f>
        <v/>
      </c>
      <c r="Q4026">
        <f>HYPERLINK("imagenes/T_TAHARI_124005971_BLK_3.jpg","Ver imagen")</f>
        <v/>
      </c>
    </row>
    <row r="4027">
      <c r="A4027" t="inlineStr">
        <is>
          <t>T TAHARI</t>
        </is>
      </c>
      <c r="B4027" t="inlineStr">
        <is>
          <t>124005971</t>
        </is>
      </c>
      <c r="C4027" t="inlineStr">
        <is>
          <t>VERA</t>
        </is>
      </c>
      <c r="D4027" t="inlineStr">
        <is>
          <t>BLK</t>
        </is>
      </c>
      <c r="E4027" t="inlineStr">
        <is>
          <t>(en blanco)</t>
        </is>
      </c>
      <c r="F4027" t="inlineStr">
        <is>
          <t>(en blanco)</t>
        </is>
      </c>
      <c r="G4027" t="inlineStr">
        <is>
          <t>L</t>
        </is>
      </c>
      <c r="H4027" t="n">
        <v>153</v>
      </c>
      <c r="I4027" t="inlineStr">
        <is>
          <t>T_TAHARI_124005971_BLK_1.jpg</t>
        </is>
      </c>
      <c r="J4027" t="inlineStr">
        <is>
          <t>T_TAHARI_124005971_BLK_2.jpg</t>
        </is>
      </c>
      <c r="K4027" t="inlineStr">
        <is>
          <t>T_TAHARI_124005971_BLK_3.jpg</t>
        </is>
      </c>
      <c r="L4027">
        <f>IMAGE("file:///E:/Estudios%20y%20certificaciones/ESTUDIOS%20DE%20PROGRAMMING/PROGRAMMING/PERSONAL/PYTHON/Image_Generator_API/imagenes/T_TAHARI_124005971_BLK_1.jpg")</f>
        <v/>
      </c>
      <c r="M4027">
        <f>IMAGE("file:///E:/Estudios%20y%20certificaciones/ESTUDIOS%20DE%20PROGRAMMING/PROGRAMMING/PERSONAL/PYTHON/Image_Generator_API/imagenes/T_TAHARI_124005971_BLK_2.jpg")</f>
        <v/>
      </c>
      <c r="N4027">
        <f>IMAGE("file:///E:/Estudios%20y%20certificaciones/ESTUDIOS%20DE%20PROGRAMMING/PROGRAMMING/PERSONAL/PYTHON/Image_Generator_API/imagenes/T_TAHARI_124005971_BLK_3.jpg")</f>
        <v/>
      </c>
      <c r="O4027">
        <f>HYPERLINK("imagenes/T_TAHARI_124005971_BLK_1.jpg","Ver imagen")</f>
        <v/>
      </c>
      <c r="P4027">
        <f>HYPERLINK("imagenes/T_TAHARI_124005971_BLK_2.jpg","Ver imagen")</f>
        <v/>
      </c>
      <c r="Q4027">
        <f>HYPERLINK("imagenes/T_TAHARI_124005971_BLK_3.jpg","Ver imagen")</f>
        <v/>
      </c>
    </row>
    <row r="4028">
      <c r="A4028" t="inlineStr">
        <is>
          <t>T TAHARI</t>
        </is>
      </c>
      <c r="B4028" t="inlineStr">
        <is>
          <t>124005971</t>
        </is>
      </c>
      <c r="C4028" t="inlineStr">
        <is>
          <t>VERA</t>
        </is>
      </c>
      <c r="D4028" t="inlineStr">
        <is>
          <t>BLK</t>
        </is>
      </c>
      <c r="E4028" t="inlineStr">
        <is>
          <t>(en blanco)</t>
        </is>
      </c>
      <c r="F4028" t="inlineStr">
        <is>
          <t>(en blanco)</t>
        </is>
      </c>
      <c r="G4028" t="inlineStr">
        <is>
          <t>XL</t>
        </is>
      </c>
      <c r="H4028" t="n">
        <v>68</v>
      </c>
      <c r="I4028" t="inlineStr">
        <is>
          <t>T_TAHARI_124005971_BLK_1.jpg</t>
        </is>
      </c>
      <c r="J4028" t="inlineStr">
        <is>
          <t>T_TAHARI_124005971_BLK_2.jpg</t>
        </is>
      </c>
      <c r="K4028" t="inlineStr">
        <is>
          <t>T_TAHARI_124005971_BLK_3.jpg</t>
        </is>
      </c>
      <c r="L4028">
        <f>IMAGE("file:///E:/Estudios%20y%20certificaciones/ESTUDIOS%20DE%20PROGRAMMING/PROGRAMMING/PERSONAL/PYTHON/Image_Generator_API/imagenes/T_TAHARI_124005971_BLK_1.jpg")</f>
        <v/>
      </c>
      <c r="M4028">
        <f>IMAGE("file:///E:/Estudios%20y%20certificaciones/ESTUDIOS%20DE%20PROGRAMMING/PROGRAMMING/PERSONAL/PYTHON/Image_Generator_API/imagenes/T_TAHARI_124005971_BLK_2.jpg")</f>
        <v/>
      </c>
      <c r="N4028">
        <f>IMAGE("file:///E:/Estudios%20y%20certificaciones/ESTUDIOS%20DE%20PROGRAMMING/PROGRAMMING/PERSONAL/PYTHON/Image_Generator_API/imagenes/T_TAHARI_124005971_BLK_3.jpg")</f>
        <v/>
      </c>
      <c r="O4028">
        <f>HYPERLINK("imagenes/T_TAHARI_124005971_BLK_1.jpg","Ver imagen")</f>
        <v/>
      </c>
      <c r="P4028">
        <f>HYPERLINK("imagenes/T_TAHARI_124005971_BLK_2.jpg","Ver imagen")</f>
        <v/>
      </c>
      <c r="Q4028">
        <f>HYPERLINK("imagenes/T_TAHARI_124005971_BLK_3.jpg","Ver imagen")</f>
        <v/>
      </c>
    </row>
    <row r="4029">
      <c r="A4029" t="inlineStr">
        <is>
          <t>T TAHARI</t>
        </is>
      </c>
      <c r="B4029" t="inlineStr">
        <is>
          <t>124005971</t>
        </is>
      </c>
      <c r="C4029" t="inlineStr">
        <is>
          <t>VERA</t>
        </is>
      </c>
      <c r="D4029" t="inlineStr">
        <is>
          <t>FST</t>
        </is>
      </c>
      <c r="E4029" t="inlineStr">
        <is>
          <t>(en blanco)</t>
        </is>
      </c>
      <c r="F4029" t="inlineStr">
        <is>
          <t>(en blanco)</t>
        </is>
      </c>
      <c r="G4029" t="inlineStr">
        <is>
          <t>XS</t>
        </is>
      </c>
      <c r="H4029" t="n">
        <v>1</v>
      </c>
      <c r="I4029" t="inlineStr">
        <is>
          <t>T_TAHARI_124005971_FST_1.jpg</t>
        </is>
      </c>
      <c r="L4029">
        <f>IMAGE("file:///E:/Estudios%20y%20certificaciones/ESTUDIOS%20DE%20PROGRAMMING/PROGRAMMING/PERSONAL/PYTHON/Image_Generator_API/imagenes/T_TAHARI_124005971_FST_1.jpg")</f>
        <v/>
      </c>
      <c r="O4029">
        <f>HYPERLINK("imagenes/T_TAHARI_124005971_FST_1.jpg","Ver imagen")</f>
        <v/>
      </c>
    </row>
    <row r="4030">
      <c r="A4030" t="inlineStr">
        <is>
          <t>T TAHARI</t>
        </is>
      </c>
      <c r="B4030" t="inlineStr">
        <is>
          <t>124005971</t>
        </is>
      </c>
      <c r="C4030" t="inlineStr">
        <is>
          <t>VERA</t>
        </is>
      </c>
      <c r="D4030" t="inlineStr">
        <is>
          <t>FST</t>
        </is>
      </c>
      <c r="E4030" t="inlineStr">
        <is>
          <t>(en blanco)</t>
        </is>
      </c>
      <c r="F4030" t="inlineStr">
        <is>
          <t>(en blanco)</t>
        </is>
      </c>
      <c r="G4030" t="inlineStr">
        <is>
          <t>S</t>
        </is>
      </c>
      <c r="H4030" t="n">
        <v>2</v>
      </c>
      <c r="I4030" t="inlineStr">
        <is>
          <t>T_TAHARI_124005971_FST_1.jpg</t>
        </is>
      </c>
      <c r="L4030">
        <f>IMAGE("file:///E:/Estudios%20y%20certificaciones/ESTUDIOS%20DE%20PROGRAMMING/PROGRAMMING/PERSONAL/PYTHON/Image_Generator_API/imagenes/T_TAHARI_124005971_FST_1.jpg")</f>
        <v/>
      </c>
      <c r="O4030">
        <f>HYPERLINK("imagenes/T_TAHARI_124005971_FST_1.jpg","Ver imagen")</f>
        <v/>
      </c>
    </row>
    <row r="4031">
      <c r="A4031" t="inlineStr">
        <is>
          <t>T TAHARI</t>
        </is>
      </c>
      <c r="B4031" t="inlineStr">
        <is>
          <t>124005971</t>
        </is>
      </c>
      <c r="C4031" t="inlineStr">
        <is>
          <t>VERA</t>
        </is>
      </c>
      <c r="D4031" t="inlineStr">
        <is>
          <t>FST</t>
        </is>
      </c>
      <c r="E4031" t="inlineStr">
        <is>
          <t>(en blanco)</t>
        </is>
      </c>
      <c r="F4031" t="inlineStr">
        <is>
          <t>(en blanco)</t>
        </is>
      </c>
      <c r="G4031" t="inlineStr">
        <is>
          <t>M</t>
        </is>
      </c>
      <c r="H4031" t="n">
        <v>2</v>
      </c>
      <c r="I4031" t="inlineStr">
        <is>
          <t>T_TAHARI_124005971_FST_1.jpg</t>
        </is>
      </c>
      <c r="L4031">
        <f>IMAGE("file:///E:/Estudios%20y%20certificaciones/ESTUDIOS%20DE%20PROGRAMMING/PROGRAMMING/PERSONAL/PYTHON/Image_Generator_API/imagenes/T_TAHARI_124005971_FST_1.jpg")</f>
        <v/>
      </c>
      <c r="O4031">
        <f>HYPERLINK("imagenes/T_TAHARI_124005971_FST_1.jpg","Ver imagen")</f>
        <v/>
      </c>
    </row>
    <row r="4032">
      <c r="A4032" t="inlineStr">
        <is>
          <t>T TAHARI</t>
        </is>
      </c>
      <c r="B4032" t="inlineStr">
        <is>
          <t>124005971</t>
        </is>
      </c>
      <c r="C4032" t="inlineStr">
        <is>
          <t>VERA</t>
        </is>
      </c>
      <c r="D4032" t="inlineStr">
        <is>
          <t>FST</t>
        </is>
      </c>
      <c r="E4032" t="inlineStr">
        <is>
          <t>(en blanco)</t>
        </is>
      </c>
      <c r="F4032" t="inlineStr">
        <is>
          <t>(en blanco)</t>
        </is>
      </c>
      <c r="G4032" t="inlineStr">
        <is>
          <t>L</t>
        </is>
      </c>
      <c r="H4032" t="n">
        <v>5</v>
      </c>
      <c r="I4032" t="inlineStr">
        <is>
          <t>T_TAHARI_124005971_FST_1.jpg</t>
        </is>
      </c>
      <c r="L4032">
        <f>IMAGE("file:///E:/Estudios%20y%20certificaciones/ESTUDIOS%20DE%20PROGRAMMING/PROGRAMMING/PERSONAL/PYTHON/Image_Generator_API/imagenes/T_TAHARI_124005971_FST_1.jpg")</f>
        <v/>
      </c>
      <c r="O4032">
        <f>HYPERLINK("imagenes/T_TAHARI_124005971_FST_1.jpg","Ver imagen")</f>
        <v/>
      </c>
    </row>
    <row r="4033">
      <c r="A4033" t="inlineStr">
        <is>
          <t>T TAHARI</t>
        </is>
      </c>
      <c r="B4033" t="inlineStr">
        <is>
          <t>124005971</t>
        </is>
      </c>
      <c r="C4033" t="inlineStr">
        <is>
          <t>VERA</t>
        </is>
      </c>
      <c r="D4033" t="inlineStr">
        <is>
          <t>FST</t>
        </is>
      </c>
      <c r="E4033" t="inlineStr">
        <is>
          <t>(en blanco)</t>
        </is>
      </c>
      <c r="F4033" t="inlineStr">
        <is>
          <t>(en blanco)</t>
        </is>
      </c>
      <c r="G4033" t="inlineStr">
        <is>
          <t>XXS</t>
        </is>
      </c>
      <c r="H4033" t="n">
        <v>1</v>
      </c>
      <c r="I4033" t="inlineStr">
        <is>
          <t>T_TAHARI_124005971_FST_1.jpg</t>
        </is>
      </c>
      <c r="L4033">
        <f>IMAGE("file:///E:/Estudios%20y%20certificaciones/ESTUDIOS%20DE%20PROGRAMMING/PROGRAMMING/PERSONAL/PYTHON/Image_Generator_API/imagenes/T_TAHARI_124005971_FST_1.jpg")</f>
        <v/>
      </c>
      <c r="O4033">
        <f>HYPERLINK("imagenes/T_TAHARI_124005971_FST_1.jpg","Ver imagen")</f>
        <v/>
      </c>
    </row>
    <row r="4034">
      <c r="A4034" t="inlineStr">
        <is>
          <t>T TAHARI</t>
        </is>
      </c>
      <c r="B4034" t="inlineStr">
        <is>
          <t>124005971</t>
        </is>
      </c>
      <c r="C4034" t="inlineStr">
        <is>
          <t>VERA</t>
        </is>
      </c>
      <c r="D4034" t="inlineStr">
        <is>
          <t>GXY</t>
        </is>
      </c>
      <c r="E4034" t="inlineStr">
        <is>
          <t>(en blanco)</t>
        </is>
      </c>
      <c r="F4034" t="inlineStr">
        <is>
          <t>(en blanco)</t>
        </is>
      </c>
      <c r="G4034" t="inlineStr">
        <is>
          <t>XS</t>
        </is>
      </c>
      <c r="H4034" t="n">
        <v>29</v>
      </c>
      <c r="I4034" t="inlineStr">
        <is>
          <t>T_TAHARI_124005971_GXY_1.jpg</t>
        </is>
      </c>
      <c r="J4034" t="inlineStr">
        <is>
          <t>T_TAHARI_124005971_GXY_2.jpg</t>
        </is>
      </c>
      <c r="K4034" t="inlineStr">
        <is>
          <t>T_TAHARI_124005971_GXY_3.jpg</t>
        </is>
      </c>
      <c r="L4034">
        <f>IMAGE("file:///E:/Estudios%20y%20certificaciones/ESTUDIOS%20DE%20PROGRAMMING/PROGRAMMING/PERSONAL/PYTHON/Image_Generator_API/imagenes/T_TAHARI_124005971_GXY_1.jpg")</f>
        <v/>
      </c>
      <c r="M4034">
        <f>IMAGE("file:///E:/Estudios%20y%20certificaciones/ESTUDIOS%20DE%20PROGRAMMING/PROGRAMMING/PERSONAL/PYTHON/Image_Generator_API/imagenes/T_TAHARI_124005971_GXY_2.jpg")</f>
        <v/>
      </c>
      <c r="N4034">
        <f>IMAGE("file:///E:/Estudios%20y%20certificaciones/ESTUDIOS%20DE%20PROGRAMMING/PROGRAMMING/PERSONAL/PYTHON/Image_Generator_API/imagenes/T_TAHARI_124005971_GXY_3.jpg")</f>
        <v/>
      </c>
      <c r="O4034">
        <f>HYPERLINK("imagenes/T_TAHARI_124005971_GXY_1.jpg","Ver imagen")</f>
        <v/>
      </c>
      <c r="P4034">
        <f>HYPERLINK("imagenes/T_TAHARI_124005971_GXY_2.jpg","Ver imagen")</f>
        <v/>
      </c>
      <c r="Q4034">
        <f>HYPERLINK("imagenes/T_TAHARI_124005971_GXY_3.jpg","Ver imagen")</f>
        <v/>
      </c>
    </row>
    <row r="4035">
      <c r="A4035" t="inlineStr">
        <is>
          <t>T TAHARI</t>
        </is>
      </c>
      <c r="B4035" t="inlineStr">
        <is>
          <t>124005971</t>
        </is>
      </c>
      <c r="C4035" t="inlineStr">
        <is>
          <t>VERA</t>
        </is>
      </c>
      <c r="D4035" t="inlineStr">
        <is>
          <t>GXY</t>
        </is>
      </c>
      <c r="E4035" t="inlineStr">
        <is>
          <t>(en blanco)</t>
        </is>
      </c>
      <c r="F4035" t="inlineStr">
        <is>
          <t>(en blanco)</t>
        </is>
      </c>
      <c r="G4035" t="inlineStr">
        <is>
          <t>S</t>
        </is>
      </c>
      <c r="H4035" t="n">
        <v>52</v>
      </c>
      <c r="I4035" t="inlineStr">
        <is>
          <t>T_TAHARI_124005971_GXY_1.jpg</t>
        </is>
      </c>
      <c r="J4035" t="inlineStr">
        <is>
          <t>T_TAHARI_124005971_GXY_2.jpg</t>
        </is>
      </c>
      <c r="K4035" t="inlineStr">
        <is>
          <t>T_TAHARI_124005971_GXY_3.jpg</t>
        </is>
      </c>
      <c r="L4035">
        <f>IMAGE("file:///E:/Estudios%20y%20certificaciones/ESTUDIOS%20DE%20PROGRAMMING/PROGRAMMING/PERSONAL/PYTHON/Image_Generator_API/imagenes/T_TAHARI_124005971_GXY_1.jpg")</f>
        <v/>
      </c>
      <c r="M4035">
        <f>IMAGE("file:///E:/Estudios%20y%20certificaciones/ESTUDIOS%20DE%20PROGRAMMING/PROGRAMMING/PERSONAL/PYTHON/Image_Generator_API/imagenes/T_TAHARI_124005971_GXY_2.jpg")</f>
        <v/>
      </c>
      <c r="N4035">
        <f>IMAGE("file:///E:/Estudios%20y%20certificaciones/ESTUDIOS%20DE%20PROGRAMMING/PROGRAMMING/PERSONAL/PYTHON/Image_Generator_API/imagenes/T_TAHARI_124005971_GXY_3.jpg")</f>
        <v/>
      </c>
      <c r="O4035">
        <f>HYPERLINK("imagenes/T_TAHARI_124005971_GXY_1.jpg","Ver imagen")</f>
        <v/>
      </c>
      <c r="P4035">
        <f>HYPERLINK("imagenes/T_TAHARI_124005971_GXY_2.jpg","Ver imagen")</f>
        <v/>
      </c>
      <c r="Q4035">
        <f>HYPERLINK("imagenes/T_TAHARI_124005971_GXY_3.jpg","Ver imagen")</f>
        <v/>
      </c>
    </row>
    <row r="4036">
      <c r="A4036" t="inlineStr">
        <is>
          <t>T TAHARI</t>
        </is>
      </c>
      <c r="B4036" t="inlineStr">
        <is>
          <t>124005971</t>
        </is>
      </c>
      <c r="C4036" t="inlineStr">
        <is>
          <t>VERA</t>
        </is>
      </c>
      <c r="D4036" t="inlineStr">
        <is>
          <t>GXY</t>
        </is>
      </c>
      <c r="E4036" t="inlineStr">
        <is>
          <t>(en blanco)</t>
        </is>
      </c>
      <c r="F4036" t="inlineStr">
        <is>
          <t>(en blanco)</t>
        </is>
      </c>
      <c r="G4036" t="inlineStr">
        <is>
          <t>M</t>
        </is>
      </c>
      <c r="H4036" t="n">
        <v>45</v>
      </c>
      <c r="I4036" t="inlineStr">
        <is>
          <t>T_TAHARI_124005971_GXY_1.jpg</t>
        </is>
      </c>
      <c r="J4036" t="inlineStr">
        <is>
          <t>T_TAHARI_124005971_GXY_2.jpg</t>
        </is>
      </c>
      <c r="K4036" t="inlineStr">
        <is>
          <t>T_TAHARI_124005971_GXY_3.jpg</t>
        </is>
      </c>
      <c r="L4036">
        <f>IMAGE("file:///E:/Estudios%20y%20certificaciones/ESTUDIOS%20DE%20PROGRAMMING/PROGRAMMING/PERSONAL/PYTHON/Image_Generator_API/imagenes/T_TAHARI_124005971_GXY_1.jpg")</f>
        <v/>
      </c>
      <c r="M4036">
        <f>IMAGE("file:///E:/Estudios%20y%20certificaciones/ESTUDIOS%20DE%20PROGRAMMING/PROGRAMMING/PERSONAL/PYTHON/Image_Generator_API/imagenes/T_TAHARI_124005971_GXY_2.jpg")</f>
        <v/>
      </c>
      <c r="N4036">
        <f>IMAGE("file:///E:/Estudios%20y%20certificaciones/ESTUDIOS%20DE%20PROGRAMMING/PROGRAMMING/PERSONAL/PYTHON/Image_Generator_API/imagenes/T_TAHARI_124005971_GXY_3.jpg")</f>
        <v/>
      </c>
      <c r="O4036">
        <f>HYPERLINK("imagenes/T_TAHARI_124005971_GXY_1.jpg","Ver imagen")</f>
        <v/>
      </c>
      <c r="P4036">
        <f>HYPERLINK("imagenes/T_TAHARI_124005971_GXY_2.jpg","Ver imagen")</f>
        <v/>
      </c>
      <c r="Q4036">
        <f>HYPERLINK("imagenes/T_TAHARI_124005971_GXY_3.jpg","Ver imagen")</f>
        <v/>
      </c>
    </row>
    <row r="4037">
      <c r="A4037" t="inlineStr">
        <is>
          <t>T TAHARI</t>
        </is>
      </c>
      <c r="B4037" t="inlineStr">
        <is>
          <t>124005971</t>
        </is>
      </c>
      <c r="C4037" t="inlineStr">
        <is>
          <t>VERA</t>
        </is>
      </c>
      <c r="D4037" t="inlineStr">
        <is>
          <t>GXY</t>
        </is>
      </c>
      <c r="E4037" t="inlineStr">
        <is>
          <t>(en blanco)</t>
        </is>
      </c>
      <c r="F4037" t="inlineStr">
        <is>
          <t>(en blanco)</t>
        </is>
      </c>
      <c r="G4037" t="inlineStr">
        <is>
          <t>L</t>
        </is>
      </c>
      <c r="H4037" t="n">
        <v>51</v>
      </c>
      <c r="I4037" t="inlineStr">
        <is>
          <t>T_TAHARI_124005971_GXY_1.jpg</t>
        </is>
      </c>
      <c r="J4037" t="inlineStr">
        <is>
          <t>T_TAHARI_124005971_GXY_2.jpg</t>
        </is>
      </c>
      <c r="K4037" t="inlineStr">
        <is>
          <t>T_TAHARI_124005971_GXY_3.jpg</t>
        </is>
      </c>
      <c r="L4037">
        <f>IMAGE("file:///E:/Estudios%20y%20certificaciones/ESTUDIOS%20DE%20PROGRAMMING/PROGRAMMING/PERSONAL/PYTHON/Image_Generator_API/imagenes/T_TAHARI_124005971_GXY_1.jpg")</f>
        <v/>
      </c>
      <c r="M4037">
        <f>IMAGE("file:///E:/Estudios%20y%20certificaciones/ESTUDIOS%20DE%20PROGRAMMING/PROGRAMMING/PERSONAL/PYTHON/Image_Generator_API/imagenes/T_TAHARI_124005971_GXY_2.jpg")</f>
        <v/>
      </c>
      <c r="N4037">
        <f>IMAGE("file:///E:/Estudios%20y%20certificaciones/ESTUDIOS%20DE%20PROGRAMMING/PROGRAMMING/PERSONAL/PYTHON/Image_Generator_API/imagenes/T_TAHARI_124005971_GXY_3.jpg")</f>
        <v/>
      </c>
      <c r="O4037">
        <f>HYPERLINK("imagenes/T_TAHARI_124005971_GXY_1.jpg","Ver imagen")</f>
        <v/>
      </c>
      <c r="P4037">
        <f>HYPERLINK("imagenes/T_TAHARI_124005971_GXY_2.jpg","Ver imagen")</f>
        <v/>
      </c>
      <c r="Q4037">
        <f>HYPERLINK("imagenes/T_TAHARI_124005971_GXY_3.jpg","Ver imagen")</f>
        <v/>
      </c>
    </row>
    <row r="4038">
      <c r="A4038" t="inlineStr">
        <is>
          <t>T TAHARI</t>
        </is>
      </c>
      <c r="B4038" t="inlineStr">
        <is>
          <t>124005971</t>
        </is>
      </c>
      <c r="C4038" t="inlineStr">
        <is>
          <t>VERA</t>
        </is>
      </c>
      <c r="D4038" t="inlineStr">
        <is>
          <t>GXY</t>
        </is>
      </c>
      <c r="E4038" t="inlineStr">
        <is>
          <t>(en blanco)</t>
        </is>
      </c>
      <c r="F4038" t="inlineStr">
        <is>
          <t>(en blanco)</t>
        </is>
      </c>
      <c r="G4038" t="inlineStr">
        <is>
          <t>XL</t>
        </is>
      </c>
      <c r="H4038" t="n">
        <v>18</v>
      </c>
      <c r="I4038" t="inlineStr">
        <is>
          <t>T_TAHARI_124005971_GXY_1.jpg</t>
        </is>
      </c>
      <c r="J4038" t="inlineStr">
        <is>
          <t>T_TAHARI_124005971_GXY_2.jpg</t>
        </is>
      </c>
      <c r="K4038" t="inlineStr">
        <is>
          <t>T_TAHARI_124005971_GXY_3.jpg</t>
        </is>
      </c>
      <c r="L4038">
        <f>IMAGE("file:///E:/Estudios%20y%20certificaciones/ESTUDIOS%20DE%20PROGRAMMING/PROGRAMMING/PERSONAL/PYTHON/Image_Generator_API/imagenes/T_TAHARI_124005971_GXY_1.jpg")</f>
        <v/>
      </c>
      <c r="M4038">
        <f>IMAGE("file:///E:/Estudios%20y%20certificaciones/ESTUDIOS%20DE%20PROGRAMMING/PROGRAMMING/PERSONAL/PYTHON/Image_Generator_API/imagenes/T_TAHARI_124005971_GXY_2.jpg")</f>
        <v/>
      </c>
      <c r="N4038">
        <f>IMAGE("file:///E:/Estudios%20y%20certificaciones/ESTUDIOS%20DE%20PROGRAMMING/PROGRAMMING/PERSONAL/PYTHON/Image_Generator_API/imagenes/T_TAHARI_124005971_GXY_3.jpg")</f>
        <v/>
      </c>
      <c r="O4038">
        <f>HYPERLINK("imagenes/T_TAHARI_124005971_GXY_1.jpg","Ver imagen")</f>
        <v/>
      </c>
      <c r="P4038">
        <f>HYPERLINK("imagenes/T_TAHARI_124005971_GXY_2.jpg","Ver imagen")</f>
        <v/>
      </c>
      <c r="Q4038">
        <f>HYPERLINK("imagenes/T_TAHARI_124005971_GXY_3.jpg","Ver imagen")</f>
        <v/>
      </c>
    </row>
    <row r="4039">
      <c r="A4039" t="inlineStr">
        <is>
          <t>T TAHARI</t>
        </is>
      </c>
      <c r="B4039" t="inlineStr">
        <is>
          <t>124005971</t>
        </is>
      </c>
      <c r="C4039" t="inlineStr">
        <is>
          <t>VERA</t>
        </is>
      </c>
      <c r="D4039" t="inlineStr">
        <is>
          <t>MOT</t>
        </is>
      </c>
      <c r="E4039" t="inlineStr">
        <is>
          <t>(en blanco)</t>
        </is>
      </c>
      <c r="F4039" t="inlineStr">
        <is>
          <t>(en blanco)</t>
        </is>
      </c>
      <c r="G4039" t="inlineStr">
        <is>
          <t>XS</t>
        </is>
      </c>
      <c r="H4039" t="n">
        <v>3</v>
      </c>
      <c r="I4039" t="inlineStr">
        <is>
          <t>T_TAHARI_124005971_MOT_1.jpg</t>
        </is>
      </c>
      <c r="J4039" t="inlineStr">
        <is>
          <t>T_TAHARI_124005971_MOT_2.jpg</t>
        </is>
      </c>
      <c r="K4039" t="inlineStr">
        <is>
          <t>T_TAHARI_124005971_MOT_3.jpg</t>
        </is>
      </c>
      <c r="L4039">
        <f>IMAGE("file:///E:/Estudios%20y%20certificaciones/ESTUDIOS%20DE%20PROGRAMMING/PROGRAMMING/PERSONAL/PYTHON/Image_Generator_API/imagenes/T_TAHARI_124005971_MOT_1.jpg")</f>
        <v/>
      </c>
      <c r="M4039">
        <f>IMAGE("file:///E:/Estudios%20y%20certificaciones/ESTUDIOS%20DE%20PROGRAMMING/PROGRAMMING/PERSONAL/PYTHON/Image_Generator_API/imagenes/T_TAHARI_124005971_MOT_2.jpg")</f>
        <v/>
      </c>
      <c r="N4039">
        <f>IMAGE("file:///E:/Estudios%20y%20certificaciones/ESTUDIOS%20DE%20PROGRAMMING/PROGRAMMING/PERSONAL/PYTHON/Image_Generator_API/imagenes/T_TAHARI_124005971_MOT_3.jpg")</f>
        <v/>
      </c>
      <c r="O4039">
        <f>HYPERLINK("imagenes/T_TAHARI_124005971_MOT_1.jpg","Ver imagen")</f>
        <v/>
      </c>
      <c r="P4039">
        <f>HYPERLINK("imagenes/T_TAHARI_124005971_MOT_2.jpg","Ver imagen")</f>
        <v/>
      </c>
      <c r="Q4039">
        <f>HYPERLINK("imagenes/T_TAHARI_124005971_MOT_3.jpg","Ver imagen")</f>
        <v/>
      </c>
    </row>
    <row r="4040">
      <c r="A4040" t="inlineStr">
        <is>
          <t>T TAHARI</t>
        </is>
      </c>
      <c r="B4040" t="inlineStr">
        <is>
          <t>124005971</t>
        </is>
      </c>
      <c r="C4040" t="inlineStr">
        <is>
          <t>VERA</t>
        </is>
      </c>
      <c r="D4040" t="inlineStr">
        <is>
          <t>MOT</t>
        </is>
      </c>
      <c r="E4040" t="inlineStr">
        <is>
          <t>(en blanco)</t>
        </is>
      </c>
      <c r="F4040" t="inlineStr">
        <is>
          <t>(en blanco)</t>
        </is>
      </c>
      <c r="G4040" t="inlineStr">
        <is>
          <t>S</t>
        </is>
      </c>
      <c r="H4040" t="n">
        <v>21</v>
      </c>
      <c r="I4040" t="inlineStr">
        <is>
          <t>T_TAHARI_124005971_MOT_1.jpg</t>
        </is>
      </c>
      <c r="J4040" t="inlineStr">
        <is>
          <t>T_TAHARI_124005971_MOT_2.jpg</t>
        </is>
      </c>
      <c r="K4040" t="inlineStr">
        <is>
          <t>T_TAHARI_124005971_MOT_3.jpg</t>
        </is>
      </c>
      <c r="L4040">
        <f>IMAGE("file:///E:/Estudios%20y%20certificaciones/ESTUDIOS%20DE%20PROGRAMMING/PROGRAMMING/PERSONAL/PYTHON/Image_Generator_API/imagenes/T_TAHARI_124005971_MOT_1.jpg")</f>
        <v/>
      </c>
      <c r="M4040">
        <f>IMAGE("file:///E:/Estudios%20y%20certificaciones/ESTUDIOS%20DE%20PROGRAMMING/PROGRAMMING/PERSONAL/PYTHON/Image_Generator_API/imagenes/T_TAHARI_124005971_MOT_2.jpg")</f>
        <v/>
      </c>
      <c r="N4040">
        <f>IMAGE("file:///E:/Estudios%20y%20certificaciones/ESTUDIOS%20DE%20PROGRAMMING/PROGRAMMING/PERSONAL/PYTHON/Image_Generator_API/imagenes/T_TAHARI_124005971_MOT_3.jpg")</f>
        <v/>
      </c>
      <c r="O4040">
        <f>HYPERLINK("imagenes/T_TAHARI_124005971_MOT_1.jpg","Ver imagen")</f>
        <v/>
      </c>
      <c r="P4040">
        <f>HYPERLINK("imagenes/T_TAHARI_124005971_MOT_2.jpg","Ver imagen")</f>
        <v/>
      </c>
      <c r="Q4040">
        <f>HYPERLINK("imagenes/T_TAHARI_124005971_MOT_3.jpg","Ver imagen")</f>
        <v/>
      </c>
    </row>
    <row r="4041">
      <c r="A4041" t="inlineStr">
        <is>
          <t>T TAHARI</t>
        </is>
      </c>
      <c r="B4041" t="inlineStr">
        <is>
          <t>124005971</t>
        </is>
      </c>
      <c r="C4041" t="inlineStr">
        <is>
          <t>VERA</t>
        </is>
      </c>
      <c r="D4041" t="inlineStr">
        <is>
          <t>MOT</t>
        </is>
      </c>
      <c r="E4041" t="inlineStr">
        <is>
          <t>(en blanco)</t>
        </is>
      </c>
      <c r="F4041" t="inlineStr">
        <is>
          <t>(en blanco)</t>
        </is>
      </c>
      <c r="G4041" t="inlineStr">
        <is>
          <t>M</t>
        </is>
      </c>
      <c r="H4041" t="n">
        <v>23</v>
      </c>
      <c r="I4041" t="inlineStr">
        <is>
          <t>T_TAHARI_124005971_MOT_1.jpg</t>
        </is>
      </c>
      <c r="J4041" t="inlineStr">
        <is>
          <t>T_TAHARI_124005971_MOT_2.jpg</t>
        </is>
      </c>
      <c r="K4041" t="inlineStr">
        <is>
          <t>T_TAHARI_124005971_MOT_3.jpg</t>
        </is>
      </c>
      <c r="L4041">
        <f>IMAGE("file:///E:/Estudios%20y%20certificaciones/ESTUDIOS%20DE%20PROGRAMMING/PROGRAMMING/PERSONAL/PYTHON/Image_Generator_API/imagenes/T_TAHARI_124005971_MOT_1.jpg")</f>
        <v/>
      </c>
      <c r="M4041">
        <f>IMAGE("file:///E:/Estudios%20y%20certificaciones/ESTUDIOS%20DE%20PROGRAMMING/PROGRAMMING/PERSONAL/PYTHON/Image_Generator_API/imagenes/T_TAHARI_124005971_MOT_2.jpg")</f>
        <v/>
      </c>
      <c r="N4041">
        <f>IMAGE("file:///E:/Estudios%20y%20certificaciones/ESTUDIOS%20DE%20PROGRAMMING/PROGRAMMING/PERSONAL/PYTHON/Image_Generator_API/imagenes/T_TAHARI_124005971_MOT_3.jpg")</f>
        <v/>
      </c>
      <c r="O4041">
        <f>HYPERLINK("imagenes/T_TAHARI_124005971_MOT_1.jpg","Ver imagen")</f>
        <v/>
      </c>
      <c r="P4041">
        <f>HYPERLINK("imagenes/T_TAHARI_124005971_MOT_2.jpg","Ver imagen")</f>
        <v/>
      </c>
      <c r="Q4041">
        <f>HYPERLINK("imagenes/T_TAHARI_124005971_MOT_3.jpg","Ver imagen")</f>
        <v/>
      </c>
    </row>
    <row r="4042">
      <c r="A4042" t="inlineStr">
        <is>
          <t>T TAHARI</t>
        </is>
      </c>
      <c r="B4042" t="inlineStr">
        <is>
          <t>124005971</t>
        </is>
      </c>
      <c r="C4042" t="inlineStr">
        <is>
          <t>VERA</t>
        </is>
      </c>
      <c r="D4042" t="inlineStr">
        <is>
          <t>MOT</t>
        </is>
      </c>
      <c r="E4042" t="inlineStr">
        <is>
          <t>(en blanco)</t>
        </is>
      </c>
      <c r="F4042" t="inlineStr">
        <is>
          <t>(en blanco)</t>
        </is>
      </c>
      <c r="G4042" t="inlineStr">
        <is>
          <t>L</t>
        </is>
      </c>
      <c r="H4042" t="n">
        <v>15</v>
      </c>
      <c r="I4042" t="inlineStr">
        <is>
          <t>T_TAHARI_124005971_MOT_1.jpg</t>
        </is>
      </c>
      <c r="J4042" t="inlineStr">
        <is>
          <t>T_TAHARI_124005971_MOT_2.jpg</t>
        </is>
      </c>
      <c r="K4042" t="inlineStr">
        <is>
          <t>T_TAHARI_124005971_MOT_3.jpg</t>
        </is>
      </c>
      <c r="L4042">
        <f>IMAGE("file:///E:/Estudios%20y%20certificaciones/ESTUDIOS%20DE%20PROGRAMMING/PROGRAMMING/PERSONAL/PYTHON/Image_Generator_API/imagenes/T_TAHARI_124005971_MOT_1.jpg")</f>
        <v/>
      </c>
      <c r="M4042">
        <f>IMAGE("file:///E:/Estudios%20y%20certificaciones/ESTUDIOS%20DE%20PROGRAMMING/PROGRAMMING/PERSONAL/PYTHON/Image_Generator_API/imagenes/T_TAHARI_124005971_MOT_2.jpg")</f>
        <v/>
      </c>
      <c r="N4042">
        <f>IMAGE("file:///E:/Estudios%20y%20certificaciones/ESTUDIOS%20DE%20PROGRAMMING/PROGRAMMING/PERSONAL/PYTHON/Image_Generator_API/imagenes/T_TAHARI_124005971_MOT_3.jpg")</f>
        <v/>
      </c>
      <c r="O4042">
        <f>HYPERLINK("imagenes/T_TAHARI_124005971_MOT_1.jpg","Ver imagen")</f>
        <v/>
      </c>
      <c r="P4042">
        <f>HYPERLINK("imagenes/T_TAHARI_124005971_MOT_2.jpg","Ver imagen")</f>
        <v/>
      </c>
      <c r="Q4042">
        <f>HYPERLINK("imagenes/T_TAHARI_124005971_MOT_3.jpg","Ver imagen")</f>
        <v/>
      </c>
    </row>
    <row r="4043">
      <c r="A4043" t="inlineStr">
        <is>
          <t>T TAHARI</t>
        </is>
      </c>
      <c r="B4043" t="inlineStr">
        <is>
          <t>124005971</t>
        </is>
      </c>
      <c r="C4043" t="inlineStr">
        <is>
          <t>VERA</t>
        </is>
      </c>
      <c r="D4043" t="inlineStr">
        <is>
          <t>MOT</t>
        </is>
      </c>
      <c r="E4043" t="inlineStr">
        <is>
          <t>(en blanco)</t>
        </is>
      </c>
      <c r="F4043" t="inlineStr">
        <is>
          <t>(en blanco)</t>
        </is>
      </c>
      <c r="G4043" t="inlineStr">
        <is>
          <t>XL</t>
        </is>
      </c>
      <c r="H4043" t="n">
        <v>7</v>
      </c>
      <c r="I4043" t="inlineStr">
        <is>
          <t>T_TAHARI_124005971_MOT_1.jpg</t>
        </is>
      </c>
      <c r="J4043" t="inlineStr">
        <is>
          <t>T_TAHARI_124005971_MOT_2.jpg</t>
        </is>
      </c>
      <c r="K4043" t="inlineStr">
        <is>
          <t>T_TAHARI_124005971_MOT_3.jpg</t>
        </is>
      </c>
      <c r="L4043">
        <f>IMAGE("file:///E:/Estudios%20y%20certificaciones/ESTUDIOS%20DE%20PROGRAMMING/PROGRAMMING/PERSONAL/PYTHON/Image_Generator_API/imagenes/T_TAHARI_124005971_MOT_1.jpg")</f>
        <v/>
      </c>
      <c r="M4043">
        <f>IMAGE("file:///E:/Estudios%20y%20certificaciones/ESTUDIOS%20DE%20PROGRAMMING/PROGRAMMING/PERSONAL/PYTHON/Image_Generator_API/imagenes/T_TAHARI_124005971_MOT_2.jpg")</f>
        <v/>
      </c>
      <c r="N4043">
        <f>IMAGE("file:///E:/Estudios%20y%20certificaciones/ESTUDIOS%20DE%20PROGRAMMING/PROGRAMMING/PERSONAL/PYTHON/Image_Generator_API/imagenes/T_TAHARI_124005971_MOT_3.jpg")</f>
        <v/>
      </c>
      <c r="O4043">
        <f>HYPERLINK("imagenes/T_TAHARI_124005971_MOT_1.jpg","Ver imagen")</f>
        <v/>
      </c>
      <c r="P4043">
        <f>HYPERLINK("imagenes/T_TAHARI_124005971_MOT_2.jpg","Ver imagen")</f>
        <v/>
      </c>
      <c r="Q4043">
        <f>HYPERLINK("imagenes/T_TAHARI_124005971_MOT_3.jpg","Ver imagen")</f>
        <v/>
      </c>
    </row>
    <row r="4044">
      <c r="A4044" t="inlineStr">
        <is>
          <t>T TAHARI</t>
        </is>
      </c>
      <c r="B4044" t="inlineStr">
        <is>
          <t>124005971</t>
        </is>
      </c>
      <c r="C4044" t="inlineStr">
        <is>
          <t>VERA</t>
        </is>
      </c>
      <c r="D4044" t="inlineStr">
        <is>
          <t>MOT</t>
        </is>
      </c>
      <c r="E4044" t="inlineStr">
        <is>
          <t>(en blanco)</t>
        </is>
      </c>
      <c r="F4044" t="inlineStr">
        <is>
          <t>(en blanco)</t>
        </is>
      </c>
      <c r="G4044" t="inlineStr">
        <is>
          <t>XXL</t>
        </is>
      </c>
      <c r="H4044" t="n">
        <v>9</v>
      </c>
      <c r="I4044" t="inlineStr">
        <is>
          <t>T_TAHARI_124005971_MOT_1.jpg</t>
        </is>
      </c>
      <c r="J4044" t="inlineStr">
        <is>
          <t>T_TAHARI_124005971_MOT_2.jpg</t>
        </is>
      </c>
      <c r="K4044" t="inlineStr">
        <is>
          <t>T_TAHARI_124005971_MOT_3.jpg</t>
        </is>
      </c>
      <c r="L4044">
        <f>IMAGE("file:///E:/Estudios%20y%20certificaciones/ESTUDIOS%20DE%20PROGRAMMING/PROGRAMMING/PERSONAL/PYTHON/Image_Generator_API/imagenes/T_TAHARI_124005971_MOT_1.jpg")</f>
        <v/>
      </c>
      <c r="M4044">
        <f>IMAGE("file:///E:/Estudios%20y%20certificaciones/ESTUDIOS%20DE%20PROGRAMMING/PROGRAMMING/PERSONAL/PYTHON/Image_Generator_API/imagenes/T_TAHARI_124005971_MOT_2.jpg")</f>
        <v/>
      </c>
      <c r="N4044">
        <f>IMAGE("file:///E:/Estudios%20y%20certificaciones/ESTUDIOS%20DE%20PROGRAMMING/PROGRAMMING/PERSONAL/PYTHON/Image_Generator_API/imagenes/T_TAHARI_124005971_MOT_3.jpg")</f>
        <v/>
      </c>
      <c r="O4044">
        <f>HYPERLINK("imagenes/T_TAHARI_124005971_MOT_1.jpg","Ver imagen")</f>
        <v/>
      </c>
      <c r="P4044">
        <f>HYPERLINK("imagenes/T_TAHARI_124005971_MOT_2.jpg","Ver imagen")</f>
        <v/>
      </c>
      <c r="Q4044">
        <f>HYPERLINK("imagenes/T_TAHARI_124005971_MOT_3.jpg","Ver imagen")</f>
        <v/>
      </c>
    </row>
    <row r="4045">
      <c r="A4045" t="inlineStr">
        <is>
          <t>T TAHARI</t>
        </is>
      </c>
      <c r="B4045" t="inlineStr">
        <is>
          <t>124005971</t>
        </is>
      </c>
      <c r="C4045" t="inlineStr">
        <is>
          <t>VERA</t>
        </is>
      </c>
      <c r="D4045" t="inlineStr">
        <is>
          <t>MOT</t>
        </is>
      </c>
      <c r="E4045" t="inlineStr">
        <is>
          <t>(en blanco)</t>
        </is>
      </c>
      <c r="F4045" t="inlineStr">
        <is>
          <t>(en blanco)</t>
        </is>
      </c>
      <c r="G4045" t="inlineStr">
        <is>
          <t>XXS</t>
        </is>
      </c>
      <c r="H4045" t="n">
        <v>2</v>
      </c>
      <c r="I4045" t="inlineStr">
        <is>
          <t>T_TAHARI_124005971_MOT_1.jpg</t>
        </is>
      </c>
      <c r="J4045" t="inlineStr">
        <is>
          <t>T_TAHARI_124005971_MOT_2.jpg</t>
        </is>
      </c>
      <c r="K4045" t="inlineStr">
        <is>
          <t>T_TAHARI_124005971_MOT_3.jpg</t>
        </is>
      </c>
      <c r="L4045">
        <f>IMAGE("file:///E:/Estudios%20y%20certificaciones/ESTUDIOS%20DE%20PROGRAMMING/PROGRAMMING/PERSONAL/PYTHON/Image_Generator_API/imagenes/T_TAHARI_124005971_MOT_1.jpg")</f>
        <v/>
      </c>
      <c r="M4045">
        <f>IMAGE("file:///E:/Estudios%20y%20certificaciones/ESTUDIOS%20DE%20PROGRAMMING/PROGRAMMING/PERSONAL/PYTHON/Image_Generator_API/imagenes/T_TAHARI_124005971_MOT_2.jpg")</f>
        <v/>
      </c>
      <c r="N4045">
        <f>IMAGE("file:///E:/Estudios%20y%20certificaciones/ESTUDIOS%20DE%20PROGRAMMING/PROGRAMMING/PERSONAL/PYTHON/Image_Generator_API/imagenes/T_TAHARI_124005971_MOT_3.jpg")</f>
        <v/>
      </c>
      <c r="O4045">
        <f>HYPERLINK("imagenes/T_TAHARI_124005971_MOT_1.jpg","Ver imagen")</f>
        <v/>
      </c>
      <c r="P4045">
        <f>HYPERLINK("imagenes/T_TAHARI_124005971_MOT_2.jpg","Ver imagen")</f>
        <v/>
      </c>
      <c r="Q4045">
        <f>HYPERLINK("imagenes/T_TAHARI_124005971_MOT_3.jpg","Ver imagen")</f>
        <v/>
      </c>
    </row>
    <row r="4046">
      <c r="A4046" t="inlineStr">
        <is>
          <t>T TAHARI</t>
        </is>
      </c>
      <c r="B4046" t="inlineStr">
        <is>
          <t>124005971</t>
        </is>
      </c>
      <c r="C4046" t="inlineStr">
        <is>
          <t>VERA</t>
        </is>
      </c>
      <c r="D4046" t="inlineStr">
        <is>
          <t>PA4</t>
        </is>
      </c>
      <c r="E4046" t="inlineStr">
        <is>
          <t>(en blanco)</t>
        </is>
      </c>
      <c r="F4046" t="inlineStr">
        <is>
          <t>(en blanco)</t>
        </is>
      </c>
      <c r="G4046" t="inlineStr">
        <is>
          <t>XS</t>
        </is>
      </c>
      <c r="H4046" t="n">
        <v>54</v>
      </c>
      <c r="I4046" t="inlineStr">
        <is>
          <t>T_TAHARI_124005971_PA4_2.jpg</t>
        </is>
      </c>
      <c r="J4046" t="inlineStr">
        <is>
          <t>T_TAHARI_124005971_PA4_3.jpg</t>
        </is>
      </c>
      <c r="L4046">
        <f>IMAGE("file:///E:/Estudios%20y%20certificaciones/ESTUDIOS%20DE%20PROGRAMMING/PROGRAMMING/PERSONAL/PYTHON/Image_Generator_API/imagenes/T_TAHARI_124005971_PA4_2.jpg")</f>
        <v/>
      </c>
      <c r="M4046">
        <f>IMAGE("file:///E:/Estudios%20y%20certificaciones/ESTUDIOS%20DE%20PROGRAMMING/PROGRAMMING/PERSONAL/PYTHON/Image_Generator_API/imagenes/T_TAHARI_124005971_PA4_3.jpg")</f>
        <v/>
      </c>
      <c r="O4046">
        <f>HYPERLINK("imagenes/T_TAHARI_124005971_PA4_2.jpg","Ver imagen")</f>
        <v/>
      </c>
      <c r="P4046">
        <f>HYPERLINK("imagenes/T_TAHARI_124005971_PA4_3.jpg","Ver imagen")</f>
        <v/>
      </c>
    </row>
    <row r="4047">
      <c r="A4047" t="inlineStr">
        <is>
          <t>T TAHARI</t>
        </is>
      </c>
      <c r="B4047" t="inlineStr">
        <is>
          <t>124005971</t>
        </is>
      </c>
      <c r="C4047" t="inlineStr">
        <is>
          <t>VERA</t>
        </is>
      </c>
      <c r="D4047" t="inlineStr">
        <is>
          <t>PA4</t>
        </is>
      </c>
      <c r="E4047" t="inlineStr">
        <is>
          <t>(en blanco)</t>
        </is>
      </c>
      <c r="F4047" t="inlineStr">
        <is>
          <t>(en blanco)</t>
        </is>
      </c>
      <c r="G4047" t="inlineStr">
        <is>
          <t>S</t>
        </is>
      </c>
      <c r="H4047" t="n">
        <v>103</v>
      </c>
      <c r="I4047" t="inlineStr">
        <is>
          <t>T_TAHARI_124005971_PA4_2.jpg</t>
        </is>
      </c>
      <c r="J4047" t="inlineStr">
        <is>
          <t>T_TAHARI_124005971_PA4_3.jpg</t>
        </is>
      </c>
      <c r="L4047">
        <f>IMAGE("file:///E:/Estudios%20y%20certificaciones/ESTUDIOS%20DE%20PROGRAMMING/PROGRAMMING/PERSONAL/PYTHON/Image_Generator_API/imagenes/T_TAHARI_124005971_PA4_2.jpg")</f>
        <v/>
      </c>
      <c r="M4047">
        <f>IMAGE("file:///E:/Estudios%20y%20certificaciones/ESTUDIOS%20DE%20PROGRAMMING/PROGRAMMING/PERSONAL/PYTHON/Image_Generator_API/imagenes/T_TAHARI_124005971_PA4_3.jpg")</f>
        <v/>
      </c>
      <c r="O4047">
        <f>HYPERLINK("imagenes/T_TAHARI_124005971_PA4_2.jpg","Ver imagen")</f>
        <v/>
      </c>
      <c r="P4047">
        <f>HYPERLINK("imagenes/T_TAHARI_124005971_PA4_3.jpg","Ver imagen")</f>
        <v/>
      </c>
    </row>
    <row r="4048">
      <c r="A4048" t="inlineStr">
        <is>
          <t>T TAHARI</t>
        </is>
      </c>
      <c r="B4048" t="inlineStr">
        <is>
          <t>124005971</t>
        </is>
      </c>
      <c r="C4048" t="inlineStr">
        <is>
          <t>VERA</t>
        </is>
      </c>
      <c r="D4048" t="inlineStr">
        <is>
          <t>PA4</t>
        </is>
      </c>
      <c r="E4048" t="inlineStr">
        <is>
          <t>(en blanco)</t>
        </is>
      </c>
      <c r="F4048" t="inlineStr">
        <is>
          <t>(en blanco)</t>
        </is>
      </c>
      <c r="G4048" t="inlineStr">
        <is>
          <t>M</t>
        </is>
      </c>
      <c r="H4048" t="n">
        <v>94</v>
      </c>
      <c r="I4048" t="inlineStr">
        <is>
          <t>T_TAHARI_124005971_PA4_2.jpg</t>
        </is>
      </c>
      <c r="J4048" t="inlineStr">
        <is>
          <t>T_TAHARI_124005971_PA4_3.jpg</t>
        </is>
      </c>
      <c r="L4048">
        <f>IMAGE("file:///E:/Estudios%20y%20certificaciones/ESTUDIOS%20DE%20PROGRAMMING/PROGRAMMING/PERSONAL/PYTHON/Image_Generator_API/imagenes/T_TAHARI_124005971_PA4_2.jpg")</f>
        <v/>
      </c>
      <c r="M4048">
        <f>IMAGE("file:///E:/Estudios%20y%20certificaciones/ESTUDIOS%20DE%20PROGRAMMING/PROGRAMMING/PERSONAL/PYTHON/Image_Generator_API/imagenes/T_TAHARI_124005971_PA4_3.jpg")</f>
        <v/>
      </c>
      <c r="O4048">
        <f>HYPERLINK("imagenes/T_TAHARI_124005971_PA4_2.jpg","Ver imagen")</f>
        <v/>
      </c>
      <c r="P4048">
        <f>HYPERLINK("imagenes/T_TAHARI_124005971_PA4_3.jpg","Ver imagen")</f>
        <v/>
      </c>
    </row>
    <row r="4049">
      <c r="A4049" t="inlineStr">
        <is>
          <t>T TAHARI</t>
        </is>
      </c>
      <c r="B4049" t="inlineStr">
        <is>
          <t>124005971</t>
        </is>
      </c>
      <c r="C4049" t="inlineStr">
        <is>
          <t>VERA</t>
        </is>
      </c>
      <c r="D4049" t="inlineStr">
        <is>
          <t>PA4</t>
        </is>
      </c>
      <c r="E4049" t="inlineStr">
        <is>
          <t>(en blanco)</t>
        </is>
      </c>
      <c r="F4049" t="inlineStr">
        <is>
          <t>(en blanco)</t>
        </is>
      </c>
      <c r="G4049" t="inlineStr">
        <is>
          <t>L</t>
        </is>
      </c>
      <c r="H4049" t="n">
        <v>111</v>
      </c>
      <c r="I4049" t="inlineStr">
        <is>
          <t>T_TAHARI_124005971_PA4_2.jpg</t>
        </is>
      </c>
      <c r="J4049" t="inlineStr">
        <is>
          <t>T_TAHARI_124005971_PA4_3.jpg</t>
        </is>
      </c>
      <c r="L4049">
        <f>IMAGE("file:///E:/Estudios%20y%20certificaciones/ESTUDIOS%20DE%20PROGRAMMING/PROGRAMMING/PERSONAL/PYTHON/Image_Generator_API/imagenes/T_TAHARI_124005971_PA4_2.jpg")</f>
        <v/>
      </c>
      <c r="M4049">
        <f>IMAGE("file:///E:/Estudios%20y%20certificaciones/ESTUDIOS%20DE%20PROGRAMMING/PROGRAMMING/PERSONAL/PYTHON/Image_Generator_API/imagenes/T_TAHARI_124005971_PA4_3.jpg")</f>
        <v/>
      </c>
      <c r="O4049">
        <f>HYPERLINK("imagenes/T_TAHARI_124005971_PA4_2.jpg","Ver imagen")</f>
        <v/>
      </c>
      <c r="P4049">
        <f>HYPERLINK("imagenes/T_TAHARI_124005971_PA4_3.jpg","Ver imagen")</f>
        <v/>
      </c>
    </row>
    <row r="4050">
      <c r="A4050" t="inlineStr">
        <is>
          <t>T TAHARI</t>
        </is>
      </c>
      <c r="B4050" t="inlineStr">
        <is>
          <t>124005971</t>
        </is>
      </c>
      <c r="C4050" t="inlineStr">
        <is>
          <t>VERA</t>
        </is>
      </c>
      <c r="D4050" t="inlineStr">
        <is>
          <t>PA4</t>
        </is>
      </c>
      <c r="E4050" t="inlineStr">
        <is>
          <t>(en blanco)</t>
        </is>
      </c>
      <c r="F4050" t="inlineStr">
        <is>
          <t>(en blanco)</t>
        </is>
      </c>
      <c r="G4050" t="inlineStr">
        <is>
          <t>XL</t>
        </is>
      </c>
      <c r="H4050" t="n">
        <v>62</v>
      </c>
      <c r="I4050" t="inlineStr">
        <is>
          <t>T_TAHARI_124005971_PA4_2.jpg</t>
        </is>
      </c>
      <c r="J4050" t="inlineStr">
        <is>
          <t>T_TAHARI_124005971_PA4_3.jpg</t>
        </is>
      </c>
      <c r="L4050">
        <f>IMAGE("file:///E:/Estudios%20y%20certificaciones/ESTUDIOS%20DE%20PROGRAMMING/PROGRAMMING/PERSONAL/PYTHON/Image_Generator_API/imagenes/T_TAHARI_124005971_PA4_2.jpg")</f>
        <v/>
      </c>
      <c r="M4050">
        <f>IMAGE("file:///E:/Estudios%20y%20certificaciones/ESTUDIOS%20DE%20PROGRAMMING/PROGRAMMING/PERSONAL/PYTHON/Image_Generator_API/imagenes/T_TAHARI_124005971_PA4_3.jpg")</f>
        <v/>
      </c>
      <c r="O4050">
        <f>HYPERLINK("imagenes/T_TAHARI_124005971_PA4_2.jpg","Ver imagen")</f>
        <v/>
      </c>
      <c r="P4050">
        <f>HYPERLINK("imagenes/T_TAHARI_124005971_PA4_3.jpg","Ver imagen")</f>
        <v/>
      </c>
    </row>
    <row r="4051">
      <c r="A4051" t="inlineStr">
        <is>
          <t>T TAHARI</t>
        </is>
      </c>
      <c r="B4051" t="inlineStr">
        <is>
          <t>124005971</t>
        </is>
      </c>
      <c r="C4051" t="inlineStr">
        <is>
          <t>VERA</t>
        </is>
      </c>
      <c r="D4051" t="inlineStr">
        <is>
          <t>PLM</t>
        </is>
      </c>
      <c r="E4051" t="inlineStr">
        <is>
          <t>(en blanco)</t>
        </is>
      </c>
      <c r="F4051" t="inlineStr">
        <is>
          <t>(en blanco)</t>
        </is>
      </c>
      <c r="G4051" t="inlineStr">
        <is>
          <t>XS</t>
        </is>
      </c>
      <c r="H4051" t="n">
        <v>56</v>
      </c>
      <c r="I4051" t="inlineStr">
        <is>
          <t>T_TAHARI_124005971_PLM_1.jpg</t>
        </is>
      </c>
      <c r="J4051" t="inlineStr">
        <is>
          <t>T_TAHARI_124005971_PLM_2.jpg</t>
        </is>
      </c>
      <c r="K4051" t="inlineStr">
        <is>
          <t>T_TAHARI_124005971_PLM_3.jpg</t>
        </is>
      </c>
      <c r="L4051">
        <f>IMAGE("file:///E:/Estudios%20y%20certificaciones/ESTUDIOS%20DE%20PROGRAMMING/PROGRAMMING/PERSONAL/PYTHON/Image_Generator_API/imagenes/T_TAHARI_124005971_PLM_1.jpg")</f>
        <v/>
      </c>
      <c r="M4051">
        <f>IMAGE("file:///E:/Estudios%20y%20certificaciones/ESTUDIOS%20DE%20PROGRAMMING/PROGRAMMING/PERSONAL/PYTHON/Image_Generator_API/imagenes/T_TAHARI_124005971_PLM_2.jpg")</f>
        <v/>
      </c>
      <c r="N4051">
        <f>IMAGE("file:///E:/Estudios%20y%20certificaciones/ESTUDIOS%20DE%20PROGRAMMING/PROGRAMMING/PERSONAL/PYTHON/Image_Generator_API/imagenes/T_TAHARI_124005971_PLM_3.jpg")</f>
        <v/>
      </c>
      <c r="O4051">
        <f>HYPERLINK("imagenes/T_TAHARI_124005971_PLM_1.jpg","Ver imagen")</f>
        <v/>
      </c>
      <c r="P4051">
        <f>HYPERLINK("imagenes/T_TAHARI_124005971_PLM_2.jpg","Ver imagen")</f>
        <v/>
      </c>
      <c r="Q4051">
        <f>HYPERLINK("imagenes/T_TAHARI_124005971_PLM_3.jpg","Ver imagen")</f>
        <v/>
      </c>
    </row>
    <row r="4052">
      <c r="A4052" t="inlineStr">
        <is>
          <t>T TAHARI</t>
        </is>
      </c>
      <c r="B4052" t="inlineStr">
        <is>
          <t>124005971</t>
        </is>
      </c>
      <c r="C4052" t="inlineStr">
        <is>
          <t>VERA</t>
        </is>
      </c>
      <c r="D4052" t="inlineStr">
        <is>
          <t>PLM</t>
        </is>
      </c>
      <c r="E4052" t="inlineStr">
        <is>
          <t>(en blanco)</t>
        </is>
      </c>
      <c r="F4052" t="inlineStr">
        <is>
          <t>(en blanco)</t>
        </is>
      </c>
      <c r="G4052" t="inlineStr">
        <is>
          <t>S</t>
        </is>
      </c>
      <c r="H4052" t="n">
        <v>104</v>
      </c>
      <c r="I4052" t="inlineStr">
        <is>
          <t>T_TAHARI_124005971_PLM_1.jpg</t>
        </is>
      </c>
      <c r="J4052" t="inlineStr">
        <is>
          <t>T_TAHARI_124005971_PLM_2.jpg</t>
        </is>
      </c>
      <c r="K4052" t="inlineStr">
        <is>
          <t>T_TAHARI_124005971_PLM_3.jpg</t>
        </is>
      </c>
      <c r="L4052">
        <f>IMAGE("file:///E:/Estudios%20y%20certificaciones/ESTUDIOS%20DE%20PROGRAMMING/PROGRAMMING/PERSONAL/PYTHON/Image_Generator_API/imagenes/T_TAHARI_124005971_PLM_1.jpg")</f>
        <v/>
      </c>
      <c r="M4052">
        <f>IMAGE("file:///E:/Estudios%20y%20certificaciones/ESTUDIOS%20DE%20PROGRAMMING/PROGRAMMING/PERSONAL/PYTHON/Image_Generator_API/imagenes/T_TAHARI_124005971_PLM_2.jpg")</f>
        <v/>
      </c>
      <c r="N4052">
        <f>IMAGE("file:///E:/Estudios%20y%20certificaciones/ESTUDIOS%20DE%20PROGRAMMING/PROGRAMMING/PERSONAL/PYTHON/Image_Generator_API/imagenes/T_TAHARI_124005971_PLM_3.jpg")</f>
        <v/>
      </c>
      <c r="O4052">
        <f>HYPERLINK("imagenes/T_TAHARI_124005971_PLM_1.jpg","Ver imagen")</f>
        <v/>
      </c>
      <c r="P4052">
        <f>HYPERLINK("imagenes/T_TAHARI_124005971_PLM_2.jpg","Ver imagen")</f>
        <v/>
      </c>
      <c r="Q4052">
        <f>HYPERLINK("imagenes/T_TAHARI_124005971_PLM_3.jpg","Ver imagen")</f>
        <v/>
      </c>
    </row>
    <row r="4053">
      <c r="A4053" t="inlineStr">
        <is>
          <t>T TAHARI</t>
        </is>
      </c>
      <c r="B4053" t="inlineStr">
        <is>
          <t>124005971</t>
        </is>
      </c>
      <c r="C4053" t="inlineStr">
        <is>
          <t>VERA</t>
        </is>
      </c>
      <c r="D4053" t="inlineStr">
        <is>
          <t>PLM</t>
        </is>
      </c>
      <c r="E4053" t="inlineStr">
        <is>
          <t>(en blanco)</t>
        </is>
      </c>
      <c r="F4053" t="inlineStr">
        <is>
          <t>(en blanco)</t>
        </is>
      </c>
      <c r="G4053" t="inlineStr">
        <is>
          <t>M</t>
        </is>
      </c>
      <c r="H4053" t="n">
        <v>88</v>
      </c>
      <c r="I4053" t="inlineStr">
        <is>
          <t>T_TAHARI_124005971_PLM_1.jpg</t>
        </is>
      </c>
      <c r="J4053" t="inlineStr">
        <is>
          <t>T_TAHARI_124005971_PLM_2.jpg</t>
        </is>
      </c>
      <c r="K4053" t="inlineStr">
        <is>
          <t>T_TAHARI_124005971_PLM_3.jpg</t>
        </is>
      </c>
      <c r="L4053">
        <f>IMAGE("file:///E:/Estudios%20y%20certificaciones/ESTUDIOS%20DE%20PROGRAMMING/PROGRAMMING/PERSONAL/PYTHON/Image_Generator_API/imagenes/T_TAHARI_124005971_PLM_1.jpg")</f>
        <v/>
      </c>
      <c r="M4053">
        <f>IMAGE("file:///E:/Estudios%20y%20certificaciones/ESTUDIOS%20DE%20PROGRAMMING/PROGRAMMING/PERSONAL/PYTHON/Image_Generator_API/imagenes/T_TAHARI_124005971_PLM_2.jpg")</f>
        <v/>
      </c>
      <c r="N4053">
        <f>IMAGE("file:///E:/Estudios%20y%20certificaciones/ESTUDIOS%20DE%20PROGRAMMING/PROGRAMMING/PERSONAL/PYTHON/Image_Generator_API/imagenes/T_TAHARI_124005971_PLM_3.jpg")</f>
        <v/>
      </c>
      <c r="O4053">
        <f>HYPERLINK("imagenes/T_TAHARI_124005971_PLM_1.jpg","Ver imagen")</f>
        <v/>
      </c>
      <c r="P4053">
        <f>HYPERLINK("imagenes/T_TAHARI_124005971_PLM_2.jpg","Ver imagen")</f>
        <v/>
      </c>
      <c r="Q4053">
        <f>HYPERLINK("imagenes/T_TAHARI_124005971_PLM_3.jpg","Ver imagen")</f>
        <v/>
      </c>
    </row>
    <row r="4054">
      <c r="A4054" t="inlineStr">
        <is>
          <t>T TAHARI</t>
        </is>
      </c>
      <c r="B4054" t="inlineStr">
        <is>
          <t>124005971</t>
        </is>
      </c>
      <c r="C4054" t="inlineStr">
        <is>
          <t>VERA</t>
        </is>
      </c>
      <c r="D4054" t="inlineStr">
        <is>
          <t>PLM</t>
        </is>
      </c>
      <c r="E4054" t="inlineStr">
        <is>
          <t>(en blanco)</t>
        </is>
      </c>
      <c r="F4054" t="inlineStr">
        <is>
          <t>(en blanco)</t>
        </is>
      </c>
      <c r="G4054" t="inlineStr">
        <is>
          <t>L</t>
        </is>
      </c>
      <c r="H4054" t="n">
        <v>98</v>
      </c>
      <c r="I4054" t="inlineStr">
        <is>
          <t>T_TAHARI_124005971_PLM_1.jpg</t>
        </is>
      </c>
      <c r="J4054" t="inlineStr">
        <is>
          <t>T_TAHARI_124005971_PLM_2.jpg</t>
        </is>
      </c>
      <c r="K4054" t="inlineStr">
        <is>
          <t>T_TAHARI_124005971_PLM_3.jpg</t>
        </is>
      </c>
      <c r="L4054">
        <f>IMAGE("file:///E:/Estudios%20y%20certificaciones/ESTUDIOS%20DE%20PROGRAMMING/PROGRAMMING/PERSONAL/PYTHON/Image_Generator_API/imagenes/T_TAHARI_124005971_PLM_1.jpg")</f>
        <v/>
      </c>
      <c r="M4054">
        <f>IMAGE("file:///E:/Estudios%20y%20certificaciones/ESTUDIOS%20DE%20PROGRAMMING/PROGRAMMING/PERSONAL/PYTHON/Image_Generator_API/imagenes/T_TAHARI_124005971_PLM_2.jpg")</f>
        <v/>
      </c>
      <c r="N4054">
        <f>IMAGE("file:///E:/Estudios%20y%20certificaciones/ESTUDIOS%20DE%20PROGRAMMING/PROGRAMMING/PERSONAL/PYTHON/Image_Generator_API/imagenes/T_TAHARI_124005971_PLM_3.jpg")</f>
        <v/>
      </c>
      <c r="O4054">
        <f>HYPERLINK("imagenes/T_TAHARI_124005971_PLM_1.jpg","Ver imagen")</f>
        <v/>
      </c>
      <c r="P4054">
        <f>HYPERLINK("imagenes/T_TAHARI_124005971_PLM_2.jpg","Ver imagen")</f>
        <v/>
      </c>
      <c r="Q4054">
        <f>HYPERLINK("imagenes/T_TAHARI_124005971_PLM_3.jpg","Ver imagen")</f>
        <v/>
      </c>
    </row>
    <row r="4055">
      <c r="A4055" t="inlineStr">
        <is>
          <t>T TAHARI</t>
        </is>
      </c>
      <c r="B4055" t="inlineStr">
        <is>
          <t>124005971</t>
        </is>
      </c>
      <c r="C4055" t="inlineStr">
        <is>
          <t>VERA</t>
        </is>
      </c>
      <c r="D4055" t="inlineStr">
        <is>
          <t>PLM</t>
        </is>
      </c>
      <c r="E4055" t="inlineStr">
        <is>
          <t>(en blanco)</t>
        </is>
      </c>
      <c r="F4055" t="inlineStr">
        <is>
          <t>(en blanco)</t>
        </is>
      </c>
      <c r="G4055" t="inlineStr">
        <is>
          <t>XL</t>
        </is>
      </c>
      <c r="H4055" t="n">
        <v>43</v>
      </c>
      <c r="I4055" t="inlineStr">
        <is>
          <t>T_TAHARI_124005971_PLM_1.jpg</t>
        </is>
      </c>
      <c r="J4055" t="inlineStr">
        <is>
          <t>T_TAHARI_124005971_PLM_2.jpg</t>
        </is>
      </c>
      <c r="K4055" t="inlineStr">
        <is>
          <t>T_TAHARI_124005971_PLM_3.jpg</t>
        </is>
      </c>
      <c r="L4055">
        <f>IMAGE("file:///E:/Estudios%20y%20certificaciones/ESTUDIOS%20DE%20PROGRAMMING/PROGRAMMING/PERSONAL/PYTHON/Image_Generator_API/imagenes/T_TAHARI_124005971_PLM_1.jpg")</f>
        <v/>
      </c>
      <c r="M4055">
        <f>IMAGE("file:///E:/Estudios%20y%20certificaciones/ESTUDIOS%20DE%20PROGRAMMING/PROGRAMMING/PERSONAL/PYTHON/Image_Generator_API/imagenes/T_TAHARI_124005971_PLM_2.jpg")</f>
        <v/>
      </c>
      <c r="N4055">
        <f>IMAGE("file:///E:/Estudios%20y%20certificaciones/ESTUDIOS%20DE%20PROGRAMMING/PROGRAMMING/PERSONAL/PYTHON/Image_Generator_API/imagenes/T_TAHARI_124005971_PLM_3.jpg")</f>
        <v/>
      </c>
      <c r="O4055">
        <f>HYPERLINK("imagenes/T_TAHARI_124005971_PLM_1.jpg","Ver imagen")</f>
        <v/>
      </c>
      <c r="P4055">
        <f>HYPERLINK("imagenes/T_TAHARI_124005971_PLM_2.jpg","Ver imagen")</f>
        <v/>
      </c>
      <c r="Q4055">
        <f>HYPERLINK("imagenes/T_TAHARI_124005971_PLM_3.jpg","Ver imagen")</f>
        <v/>
      </c>
    </row>
    <row r="4056">
      <c r="A4056" t="inlineStr">
        <is>
          <t>T TAHARI</t>
        </is>
      </c>
      <c r="B4056" t="inlineStr">
        <is>
          <t>124005971</t>
        </is>
      </c>
      <c r="C4056" t="inlineStr">
        <is>
          <t>VERA</t>
        </is>
      </c>
      <c r="D4056" t="inlineStr">
        <is>
          <t>PWL</t>
        </is>
      </c>
      <c r="E4056" t="inlineStr">
        <is>
          <t>(en blanco)</t>
        </is>
      </c>
      <c r="F4056" t="inlineStr">
        <is>
          <t>(en blanco)</t>
        </is>
      </c>
      <c r="G4056" t="inlineStr">
        <is>
          <t>S</t>
        </is>
      </c>
      <c r="H4056" t="n">
        <v>5</v>
      </c>
      <c r="I4056" t="inlineStr">
        <is>
          <t>T_TAHARI_124005971_PWL_1.jpg</t>
        </is>
      </c>
      <c r="J4056" t="inlineStr">
        <is>
          <t>T_TAHARI_124005971_PWL_2.jpg</t>
        </is>
      </c>
      <c r="K4056" t="inlineStr">
        <is>
          <t>T_TAHARI_124005971_PWL_3.jpg</t>
        </is>
      </c>
      <c r="L4056">
        <f>IMAGE("file:///E:/Estudios%20y%20certificaciones/ESTUDIOS%20DE%20PROGRAMMING/PROGRAMMING/PERSONAL/PYTHON/Image_Generator_API/imagenes/T_TAHARI_124005971_PWL_1.jpg")</f>
        <v/>
      </c>
      <c r="M4056">
        <f>IMAGE("file:///E:/Estudios%20y%20certificaciones/ESTUDIOS%20DE%20PROGRAMMING/PROGRAMMING/PERSONAL/PYTHON/Image_Generator_API/imagenes/T_TAHARI_124005971_PWL_2.jpg")</f>
        <v/>
      </c>
      <c r="N4056">
        <f>IMAGE("file:///E:/Estudios%20y%20certificaciones/ESTUDIOS%20DE%20PROGRAMMING/PROGRAMMING/PERSONAL/PYTHON/Image_Generator_API/imagenes/T_TAHARI_124005971_PWL_3.jpg")</f>
        <v/>
      </c>
      <c r="O4056">
        <f>HYPERLINK("imagenes/T_TAHARI_124005971_PWL_1.jpg","Ver imagen")</f>
        <v/>
      </c>
      <c r="P4056">
        <f>HYPERLINK("imagenes/T_TAHARI_124005971_PWL_2.jpg","Ver imagen")</f>
        <v/>
      </c>
      <c r="Q4056">
        <f>HYPERLINK("imagenes/T_TAHARI_124005971_PWL_3.jpg","Ver imagen")</f>
        <v/>
      </c>
    </row>
    <row r="4057">
      <c r="A4057" t="inlineStr">
        <is>
          <t>T TAHARI</t>
        </is>
      </c>
      <c r="B4057" t="inlineStr">
        <is>
          <t>124005971</t>
        </is>
      </c>
      <c r="C4057" t="inlineStr">
        <is>
          <t>VERA</t>
        </is>
      </c>
      <c r="D4057" t="inlineStr">
        <is>
          <t>PWL</t>
        </is>
      </c>
      <c r="E4057" t="inlineStr">
        <is>
          <t>(en blanco)</t>
        </is>
      </c>
      <c r="F4057" t="inlineStr">
        <is>
          <t>(en blanco)</t>
        </is>
      </c>
      <c r="G4057" t="inlineStr">
        <is>
          <t>M</t>
        </is>
      </c>
      <c r="H4057" t="n">
        <v>4</v>
      </c>
      <c r="I4057" t="inlineStr">
        <is>
          <t>T_TAHARI_124005971_PWL_1.jpg</t>
        </is>
      </c>
      <c r="J4057" t="inlineStr">
        <is>
          <t>T_TAHARI_124005971_PWL_2.jpg</t>
        </is>
      </c>
      <c r="K4057" t="inlineStr">
        <is>
          <t>T_TAHARI_124005971_PWL_3.jpg</t>
        </is>
      </c>
      <c r="L4057">
        <f>IMAGE("file:///E:/Estudios%20y%20certificaciones/ESTUDIOS%20DE%20PROGRAMMING/PROGRAMMING/PERSONAL/PYTHON/Image_Generator_API/imagenes/T_TAHARI_124005971_PWL_1.jpg")</f>
        <v/>
      </c>
      <c r="M4057">
        <f>IMAGE("file:///E:/Estudios%20y%20certificaciones/ESTUDIOS%20DE%20PROGRAMMING/PROGRAMMING/PERSONAL/PYTHON/Image_Generator_API/imagenes/T_TAHARI_124005971_PWL_2.jpg")</f>
        <v/>
      </c>
      <c r="N4057">
        <f>IMAGE("file:///E:/Estudios%20y%20certificaciones/ESTUDIOS%20DE%20PROGRAMMING/PROGRAMMING/PERSONAL/PYTHON/Image_Generator_API/imagenes/T_TAHARI_124005971_PWL_3.jpg")</f>
        <v/>
      </c>
      <c r="O4057">
        <f>HYPERLINK("imagenes/T_TAHARI_124005971_PWL_1.jpg","Ver imagen")</f>
        <v/>
      </c>
      <c r="P4057">
        <f>HYPERLINK("imagenes/T_TAHARI_124005971_PWL_2.jpg","Ver imagen")</f>
        <v/>
      </c>
      <c r="Q4057">
        <f>HYPERLINK("imagenes/T_TAHARI_124005971_PWL_3.jpg","Ver imagen")</f>
        <v/>
      </c>
    </row>
    <row r="4058">
      <c r="A4058" t="inlineStr">
        <is>
          <t>T TAHARI</t>
        </is>
      </c>
      <c r="B4058" t="inlineStr">
        <is>
          <t>124005971</t>
        </is>
      </c>
      <c r="C4058" t="inlineStr">
        <is>
          <t>VERA</t>
        </is>
      </c>
      <c r="D4058" t="inlineStr">
        <is>
          <t>PWL</t>
        </is>
      </c>
      <c r="E4058" t="inlineStr">
        <is>
          <t>(en blanco)</t>
        </is>
      </c>
      <c r="F4058" t="inlineStr">
        <is>
          <t>(en blanco)</t>
        </is>
      </c>
      <c r="G4058" t="inlineStr">
        <is>
          <t>XL</t>
        </is>
      </c>
      <c r="H4058" t="n">
        <v>1</v>
      </c>
      <c r="I4058" t="inlineStr">
        <is>
          <t>T_TAHARI_124005971_PWL_1.jpg</t>
        </is>
      </c>
      <c r="J4058" t="inlineStr">
        <is>
          <t>T_TAHARI_124005971_PWL_2.jpg</t>
        </is>
      </c>
      <c r="K4058" t="inlineStr">
        <is>
          <t>T_TAHARI_124005971_PWL_3.jpg</t>
        </is>
      </c>
      <c r="L4058">
        <f>IMAGE("file:///E:/Estudios%20y%20certificaciones/ESTUDIOS%20DE%20PROGRAMMING/PROGRAMMING/PERSONAL/PYTHON/Image_Generator_API/imagenes/T_TAHARI_124005971_PWL_1.jpg")</f>
        <v/>
      </c>
      <c r="M4058">
        <f>IMAGE("file:///E:/Estudios%20y%20certificaciones/ESTUDIOS%20DE%20PROGRAMMING/PROGRAMMING/PERSONAL/PYTHON/Image_Generator_API/imagenes/T_TAHARI_124005971_PWL_2.jpg")</f>
        <v/>
      </c>
      <c r="N4058">
        <f>IMAGE("file:///E:/Estudios%20y%20certificaciones/ESTUDIOS%20DE%20PROGRAMMING/PROGRAMMING/PERSONAL/PYTHON/Image_Generator_API/imagenes/T_TAHARI_124005971_PWL_3.jpg")</f>
        <v/>
      </c>
      <c r="O4058">
        <f>HYPERLINK("imagenes/T_TAHARI_124005971_PWL_1.jpg","Ver imagen")</f>
        <v/>
      </c>
      <c r="P4058">
        <f>HYPERLINK("imagenes/T_TAHARI_124005971_PWL_2.jpg","Ver imagen")</f>
        <v/>
      </c>
      <c r="Q4058">
        <f>HYPERLINK("imagenes/T_TAHARI_124005971_PWL_3.jpg","Ver imagen")</f>
        <v/>
      </c>
    </row>
    <row r="4059">
      <c r="A4059" t="inlineStr">
        <is>
          <t>T TAHARI</t>
        </is>
      </c>
      <c r="B4059" t="inlineStr">
        <is>
          <t>124005972</t>
        </is>
      </c>
      <c r="C4059" t="inlineStr">
        <is>
          <t>GRETA</t>
        </is>
      </c>
      <c r="D4059" t="inlineStr">
        <is>
          <t>BLK</t>
        </is>
      </c>
      <c r="E4059" t="inlineStr">
        <is>
          <t>(en blanco)</t>
        </is>
      </c>
      <c r="F4059" t="inlineStr">
        <is>
          <t>D2C</t>
        </is>
      </c>
      <c r="G4059" t="inlineStr">
        <is>
          <t>XS</t>
        </is>
      </c>
      <c r="H4059" t="n">
        <v>10</v>
      </c>
      <c r="I4059" t="inlineStr">
        <is>
          <t>T_TAHARI_124005972_BLK_1.jpg</t>
        </is>
      </c>
      <c r="J4059" t="inlineStr">
        <is>
          <t>T_TAHARI_124005972_BLK_2.jpg</t>
        </is>
      </c>
      <c r="K4059" t="inlineStr">
        <is>
          <t>T_TAHARI_124005972_BLK_3.jpg</t>
        </is>
      </c>
      <c r="L4059">
        <f>IMAGE("file:///E:/Estudios%20y%20certificaciones/ESTUDIOS%20DE%20PROGRAMMING/PROGRAMMING/PERSONAL/PYTHON/Image_Generator_API/imagenes/T_TAHARI_124005972_BLK_1.jpg")</f>
        <v/>
      </c>
      <c r="M4059">
        <f>IMAGE("file:///E:/Estudios%20y%20certificaciones/ESTUDIOS%20DE%20PROGRAMMING/PROGRAMMING/PERSONAL/PYTHON/Image_Generator_API/imagenes/T_TAHARI_124005972_BLK_2.jpg")</f>
        <v/>
      </c>
      <c r="N4059">
        <f>IMAGE("file:///E:/Estudios%20y%20certificaciones/ESTUDIOS%20DE%20PROGRAMMING/PROGRAMMING/PERSONAL/PYTHON/Image_Generator_API/imagenes/T_TAHARI_124005972_BLK_3.jpg")</f>
        <v/>
      </c>
      <c r="O4059">
        <f>HYPERLINK("imagenes/T_TAHARI_124005972_BLK_1.jpg","Ver imagen")</f>
        <v/>
      </c>
      <c r="P4059">
        <f>HYPERLINK("imagenes/T_TAHARI_124005972_BLK_2.jpg","Ver imagen")</f>
        <v/>
      </c>
      <c r="Q4059">
        <f>HYPERLINK("imagenes/T_TAHARI_124005972_BLK_3.jpg","Ver imagen")</f>
        <v/>
      </c>
    </row>
    <row r="4060">
      <c r="A4060" t="inlineStr">
        <is>
          <t>T TAHARI</t>
        </is>
      </c>
      <c r="B4060" t="inlineStr">
        <is>
          <t>124005972</t>
        </is>
      </c>
      <c r="C4060" t="inlineStr">
        <is>
          <t>GRETA</t>
        </is>
      </c>
      <c r="D4060" t="inlineStr">
        <is>
          <t>BLK</t>
        </is>
      </c>
      <c r="E4060" t="inlineStr">
        <is>
          <t>(en blanco)</t>
        </is>
      </c>
      <c r="F4060" t="inlineStr">
        <is>
          <t>D2C</t>
        </is>
      </c>
      <c r="G4060" t="inlineStr">
        <is>
          <t>S</t>
        </is>
      </c>
      <c r="H4060" t="n">
        <v>14</v>
      </c>
      <c r="I4060" t="inlineStr">
        <is>
          <t>T_TAHARI_124005972_BLK_1.jpg</t>
        </is>
      </c>
      <c r="J4060" t="inlineStr">
        <is>
          <t>T_TAHARI_124005972_BLK_2.jpg</t>
        </is>
      </c>
      <c r="K4060" t="inlineStr">
        <is>
          <t>T_TAHARI_124005972_BLK_3.jpg</t>
        </is>
      </c>
      <c r="L4060">
        <f>IMAGE("file:///E:/Estudios%20y%20certificaciones/ESTUDIOS%20DE%20PROGRAMMING/PROGRAMMING/PERSONAL/PYTHON/Image_Generator_API/imagenes/T_TAHARI_124005972_BLK_1.jpg")</f>
        <v/>
      </c>
      <c r="M4060">
        <f>IMAGE("file:///E:/Estudios%20y%20certificaciones/ESTUDIOS%20DE%20PROGRAMMING/PROGRAMMING/PERSONAL/PYTHON/Image_Generator_API/imagenes/T_TAHARI_124005972_BLK_2.jpg")</f>
        <v/>
      </c>
      <c r="N4060">
        <f>IMAGE("file:///E:/Estudios%20y%20certificaciones/ESTUDIOS%20DE%20PROGRAMMING/PROGRAMMING/PERSONAL/PYTHON/Image_Generator_API/imagenes/T_TAHARI_124005972_BLK_3.jpg")</f>
        <v/>
      </c>
      <c r="O4060">
        <f>HYPERLINK("imagenes/T_TAHARI_124005972_BLK_1.jpg","Ver imagen")</f>
        <v/>
      </c>
      <c r="P4060">
        <f>HYPERLINK("imagenes/T_TAHARI_124005972_BLK_2.jpg","Ver imagen")</f>
        <v/>
      </c>
      <c r="Q4060">
        <f>HYPERLINK("imagenes/T_TAHARI_124005972_BLK_3.jpg","Ver imagen")</f>
        <v/>
      </c>
    </row>
    <row r="4061">
      <c r="A4061" t="inlineStr">
        <is>
          <t>T TAHARI</t>
        </is>
      </c>
      <c r="B4061" t="inlineStr">
        <is>
          <t>124005972</t>
        </is>
      </c>
      <c r="C4061" t="inlineStr">
        <is>
          <t>GRETA</t>
        </is>
      </c>
      <c r="D4061" t="inlineStr">
        <is>
          <t>BLK</t>
        </is>
      </c>
      <c r="E4061" t="inlineStr">
        <is>
          <t>(en blanco)</t>
        </is>
      </c>
      <c r="F4061" t="inlineStr">
        <is>
          <t>D2C</t>
        </is>
      </c>
      <c r="G4061" t="inlineStr">
        <is>
          <t>M</t>
        </is>
      </c>
      <c r="H4061" t="n">
        <v>1</v>
      </c>
      <c r="I4061" t="inlineStr">
        <is>
          <t>T_TAHARI_124005972_BLK_1.jpg</t>
        </is>
      </c>
      <c r="J4061" t="inlineStr">
        <is>
          <t>T_TAHARI_124005972_BLK_2.jpg</t>
        </is>
      </c>
      <c r="K4061" t="inlineStr">
        <is>
          <t>T_TAHARI_124005972_BLK_3.jpg</t>
        </is>
      </c>
      <c r="L4061">
        <f>IMAGE("file:///E:/Estudios%20y%20certificaciones/ESTUDIOS%20DE%20PROGRAMMING/PROGRAMMING/PERSONAL/PYTHON/Image_Generator_API/imagenes/T_TAHARI_124005972_BLK_1.jpg")</f>
        <v/>
      </c>
      <c r="M4061">
        <f>IMAGE("file:///E:/Estudios%20y%20certificaciones/ESTUDIOS%20DE%20PROGRAMMING/PROGRAMMING/PERSONAL/PYTHON/Image_Generator_API/imagenes/T_TAHARI_124005972_BLK_2.jpg")</f>
        <v/>
      </c>
      <c r="N4061">
        <f>IMAGE("file:///E:/Estudios%20y%20certificaciones/ESTUDIOS%20DE%20PROGRAMMING/PROGRAMMING/PERSONAL/PYTHON/Image_Generator_API/imagenes/T_TAHARI_124005972_BLK_3.jpg")</f>
        <v/>
      </c>
      <c r="O4061">
        <f>HYPERLINK("imagenes/T_TAHARI_124005972_BLK_1.jpg","Ver imagen")</f>
        <v/>
      </c>
      <c r="P4061">
        <f>HYPERLINK("imagenes/T_TAHARI_124005972_BLK_2.jpg","Ver imagen")</f>
        <v/>
      </c>
      <c r="Q4061">
        <f>HYPERLINK("imagenes/T_TAHARI_124005972_BLK_3.jpg","Ver imagen")</f>
        <v/>
      </c>
    </row>
    <row r="4062">
      <c r="A4062" t="inlineStr">
        <is>
          <t>T TAHARI</t>
        </is>
      </c>
      <c r="B4062" t="inlineStr">
        <is>
          <t>124005972</t>
        </is>
      </c>
      <c r="C4062" t="inlineStr">
        <is>
          <t>GRETA</t>
        </is>
      </c>
      <c r="D4062" t="inlineStr">
        <is>
          <t>BLK</t>
        </is>
      </c>
      <c r="E4062" t="inlineStr">
        <is>
          <t>(en blanco)</t>
        </is>
      </c>
      <c r="F4062" t="inlineStr">
        <is>
          <t>D2C</t>
        </is>
      </c>
      <c r="G4062" t="inlineStr">
        <is>
          <t>L</t>
        </is>
      </c>
      <c r="H4062" t="n">
        <v>1</v>
      </c>
      <c r="I4062" t="inlineStr">
        <is>
          <t>T_TAHARI_124005972_BLK_1.jpg</t>
        </is>
      </c>
      <c r="J4062" t="inlineStr">
        <is>
          <t>T_TAHARI_124005972_BLK_2.jpg</t>
        </is>
      </c>
      <c r="K4062" t="inlineStr">
        <is>
          <t>T_TAHARI_124005972_BLK_3.jpg</t>
        </is>
      </c>
      <c r="L4062">
        <f>IMAGE("file:///E:/Estudios%20y%20certificaciones/ESTUDIOS%20DE%20PROGRAMMING/PROGRAMMING/PERSONAL/PYTHON/Image_Generator_API/imagenes/T_TAHARI_124005972_BLK_1.jpg")</f>
        <v/>
      </c>
      <c r="M4062">
        <f>IMAGE("file:///E:/Estudios%20y%20certificaciones/ESTUDIOS%20DE%20PROGRAMMING/PROGRAMMING/PERSONAL/PYTHON/Image_Generator_API/imagenes/T_TAHARI_124005972_BLK_2.jpg")</f>
        <v/>
      </c>
      <c r="N4062">
        <f>IMAGE("file:///E:/Estudios%20y%20certificaciones/ESTUDIOS%20DE%20PROGRAMMING/PROGRAMMING/PERSONAL/PYTHON/Image_Generator_API/imagenes/T_TAHARI_124005972_BLK_3.jpg")</f>
        <v/>
      </c>
      <c r="O4062">
        <f>HYPERLINK("imagenes/T_TAHARI_124005972_BLK_1.jpg","Ver imagen")</f>
        <v/>
      </c>
      <c r="P4062">
        <f>HYPERLINK("imagenes/T_TAHARI_124005972_BLK_2.jpg","Ver imagen")</f>
        <v/>
      </c>
      <c r="Q4062">
        <f>HYPERLINK("imagenes/T_TAHARI_124005972_BLK_3.jpg","Ver imagen")</f>
        <v/>
      </c>
    </row>
    <row r="4063">
      <c r="A4063" t="inlineStr">
        <is>
          <t>T TAHARI</t>
        </is>
      </c>
      <c r="B4063" t="inlineStr">
        <is>
          <t>124005972</t>
        </is>
      </c>
      <c r="C4063" t="inlineStr">
        <is>
          <t>GRETA</t>
        </is>
      </c>
      <c r="D4063" t="inlineStr">
        <is>
          <t>BLK</t>
        </is>
      </c>
      <c r="E4063" t="inlineStr">
        <is>
          <t>(en blanco)</t>
        </is>
      </c>
      <c r="F4063" t="inlineStr">
        <is>
          <t>(en blanco)</t>
        </is>
      </c>
      <c r="G4063" t="inlineStr">
        <is>
          <t>XS</t>
        </is>
      </c>
      <c r="H4063" t="n">
        <v>25</v>
      </c>
      <c r="I4063" t="inlineStr">
        <is>
          <t>T_TAHARI_124005972_BLK_1.jpg</t>
        </is>
      </c>
      <c r="J4063" t="inlineStr">
        <is>
          <t>T_TAHARI_124005972_BLK_2.jpg</t>
        </is>
      </c>
      <c r="K4063" t="inlineStr">
        <is>
          <t>T_TAHARI_124005972_BLK_3.jpg</t>
        </is>
      </c>
      <c r="L4063">
        <f>IMAGE("file:///E:/Estudios%20y%20certificaciones/ESTUDIOS%20DE%20PROGRAMMING/PROGRAMMING/PERSONAL/PYTHON/Image_Generator_API/imagenes/T_TAHARI_124005972_BLK_1.jpg")</f>
        <v/>
      </c>
      <c r="M4063">
        <f>IMAGE("file:///E:/Estudios%20y%20certificaciones/ESTUDIOS%20DE%20PROGRAMMING/PROGRAMMING/PERSONAL/PYTHON/Image_Generator_API/imagenes/T_TAHARI_124005972_BLK_2.jpg")</f>
        <v/>
      </c>
      <c r="N4063">
        <f>IMAGE("file:///E:/Estudios%20y%20certificaciones/ESTUDIOS%20DE%20PROGRAMMING/PROGRAMMING/PERSONAL/PYTHON/Image_Generator_API/imagenes/T_TAHARI_124005972_BLK_3.jpg")</f>
        <v/>
      </c>
      <c r="O4063">
        <f>HYPERLINK("imagenes/T_TAHARI_124005972_BLK_1.jpg","Ver imagen")</f>
        <v/>
      </c>
      <c r="P4063">
        <f>HYPERLINK("imagenes/T_TAHARI_124005972_BLK_2.jpg","Ver imagen")</f>
        <v/>
      </c>
      <c r="Q4063">
        <f>HYPERLINK("imagenes/T_TAHARI_124005972_BLK_3.jpg","Ver imagen")</f>
        <v/>
      </c>
    </row>
    <row r="4064">
      <c r="A4064" t="inlineStr">
        <is>
          <t>T TAHARI</t>
        </is>
      </c>
      <c r="B4064" t="inlineStr">
        <is>
          <t>124005972</t>
        </is>
      </c>
      <c r="C4064" t="inlineStr">
        <is>
          <t>GRETA</t>
        </is>
      </c>
      <c r="D4064" t="inlineStr">
        <is>
          <t>BLK</t>
        </is>
      </c>
      <c r="E4064" t="inlineStr">
        <is>
          <t>(en blanco)</t>
        </is>
      </c>
      <c r="F4064" t="inlineStr">
        <is>
          <t>(en blanco)</t>
        </is>
      </c>
      <c r="G4064" t="inlineStr">
        <is>
          <t>S</t>
        </is>
      </c>
      <c r="H4064" t="n">
        <v>122</v>
      </c>
      <c r="I4064" t="inlineStr">
        <is>
          <t>T_TAHARI_124005972_BLK_1.jpg</t>
        </is>
      </c>
      <c r="J4064" t="inlineStr">
        <is>
          <t>T_TAHARI_124005972_BLK_2.jpg</t>
        </is>
      </c>
      <c r="K4064" t="inlineStr">
        <is>
          <t>T_TAHARI_124005972_BLK_3.jpg</t>
        </is>
      </c>
      <c r="L4064">
        <f>IMAGE("file:///E:/Estudios%20y%20certificaciones/ESTUDIOS%20DE%20PROGRAMMING/PROGRAMMING/PERSONAL/PYTHON/Image_Generator_API/imagenes/T_TAHARI_124005972_BLK_1.jpg")</f>
        <v/>
      </c>
      <c r="M4064">
        <f>IMAGE("file:///E:/Estudios%20y%20certificaciones/ESTUDIOS%20DE%20PROGRAMMING/PROGRAMMING/PERSONAL/PYTHON/Image_Generator_API/imagenes/T_TAHARI_124005972_BLK_2.jpg")</f>
        <v/>
      </c>
      <c r="N4064">
        <f>IMAGE("file:///E:/Estudios%20y%20certificaciones/ESTUDIOS%20DE%20PROGRAMMING/PROGRAMMING/PERSONAL/PYTHON/Image_Generator_API/imagenes/T_TAHARI_124005972_BLK_3.jpg")</f>
        <v/>
      </c>
      <c r="O4064">
        <f>HYPERLINK("imagenes/T_TAHARI_124005972_BLK_1.jpg","Ver imagen")</f>
        <v/>
      </c>
      <c r="P4064">
        <f>HYPERLINK("imagenes/T_TAHARI_124005972_BLK_2.jpg","Ver imagen")</f>
        <v/>
      </c>
      <c r="Q4064">
        <f>HYPERLINK("imagenes/T_TAHARI_124005972_BLK_3.jpg","Ver imagen")</f>
        <v/>
      </c>
    </row>
    <row r="4065">
      <c r="A4065" t="inlineStr">
        <is>
          <t>T TAHARI</t>
        </is>
      </c>
      <c r="B4065" t="inlineStr">
        <is>
          <t>124005972</t>
        </is>
      </c>
      <c r="C4065" t="inlineStr">
        <is>
          <t>GRETA</t>
        </is>
      </c>
      <c r="D4065" t="inlineStr">
        <is>
          <t>BLK</t>
        </is>
      </c>
      <c r="E4065" t="inlineStr">
        <is>
          <t>(en blanco)</t>
        </is>
      </c>
      <c r="F4065" t="inlineStr">
        <is>
          <t>(en blanco)</t>
        </is>
      </c>
      <c r="G4065" t="inlineStr">
        <is>
          <t>M</t>
        </is>
      </c>
      <c r="H4065" t="n">
        <v>123</v>
      </c>
      <c r="I4065" t="inlineStr">
        <is>
          <t>T_TAHARI_124005972_BLK_1.jpg</t>
        </is>
      </c>
      <c r="J4065" t="inlineStr">
        <is>
          <t>T_TAHARI_124005972_BLK_2.jpg</t>
        </is>
      </c>
      <c r="K4065" t="inlineStr">
        <is>
          <t>T_TAHARI_124005972_BLK_3.jpg</t>
        </is>
      </c>
      <c r="L4065">
        <f>IMAGE("file:///E:/Estudios%20y%20certificaciones/ESTUDIOS%20DE%20PROGRAMMING/PROGRAMMING/PERSONAL/PYTHON/Image_Generator_API/imagenes/T_TAHARI_124005972_BLK_1.jpg")</f>
        <v/>
      </c>
      <c r="M4065">
        <f>IMAGE("file:///E:/Estudios%20y%20certificaciones/ESTUDIOS%20DE%20PROGRAMMING/PROGRAMMING/PERSONAL/PYTHON/Image_Generator_API/imagenes/T_TAHARI_124005972_BLK_2.jpg")</f>
        <v/>
      </c>
      <c r="N4065">
        <f>IMAGE("file:///E:/Estudios%20y%20certificaciones/ESTUDIOS%20DE%20PROGRAMMING/PROGRAMMING/PERSONAL/PYTHON/Image_Generator_API/imagenes/T_TAHARI_124005972_BLK_3.jpg")</f>
        <v/>
      </c>
      <c r="O4065">
        <f>HYPERLINK("imagenes/T_TAHARI_124005972_BLK_1.jpg","Ver imagen")</f>
        <v/>
      </c>
      <c r="P4065">
        <f>HYPERLINK("imagenes/T_TAHARI_124005972_BLK_2.jpg","Ver imagen")</f>
        <v/>
      </c>
      <c r="Q4065">
        <f>HYPERLINK("imagenes/T_TAHARI_124005972_BLK_3.jpg","Ver imagen")</f>
        <v/>
      </c>
    </row>
    <row r="4066">
      <c r="A4066" t="inlineStr">
        <is>
          <t>T TAHARI</t>
        </is>
      </c>
      <c r="B4066" t="inlineStr">
        <is>
          <t>124005972</t>
        </is>
      </c>
      <c r="C4066" t="inlineStr">
        <is>
          <t>GRETA</t>
        </is>
      </c>
      <c r="D4066" t="inlineStr">
        <is>
          <t>BLK</t>
        </is>
      </c>
      <c r="E4066" t="inlineStr">
        <is>
          <t>(en blanco)</t>
        </is>
      </c>
      <c r="F4066" t="inlineStr">
        <is>
          <t>(en blanco)</t>
        </is>
      </c>
      <c r="G4066" t="inlineStr">
        <is>
          <t>L</t>
        </is>
      </c>
      <c r="H4066" t="n">
        <v>53</v>
      </c>
      <c r="I4066" t="inlineStr">
        <is>
          <t>T_TAHARI_124005972_BLK_1.jpg</t>
        </is>
      </c>
      <c r="J4066" t="inlineStr">
        <is>
          <t>T_TAHARI_124005972_BLK_2.jpg</t>
        </is>
      </c>
      <c r="K4066" t="inlineStr">
        <is>
          <t>T_TAHARI_124005972_BLK_3.jpg</t>
        </is>
      </c>
      <c r="L4066">
        <f>IMAGE("file:///E:/Estudios%20y%20certificaciones/ESTUDIOS%20DE%20PROGRAMMING/PROGRAMMING/PERSONAL/PYTHON/Image_Generator_API/imagenes/T_TAHARI_124005972_BLK_1.jpg")</f>
        <v/>
      </c>
      <c r="M4066">
        <f>IMAGE("file:///E:/Estudios%20y%20certificaciones/ESTUDIOS%20DE%20PROGRAMMING/PROGRAMMING/PERSONAL/PYTHON/Image_Generator_API/imagenes/T_TAHARI_124005972_BLK_2.jpg")</f>
        <v/>
      </c>
      <c r="N4066">
        <f>IMAGE("file:///E:/Estudios%20y%20certificaciones/ESTUDIOS%20DE%20PROGRAMMING/PROGRAMMING/PERSONAL/PYTHON/Image_Generator_API/imagenes/T_TAHARI_124005972_BLK_3.jpg")</f>
        <v/>
      </c>
      <c r="O4066">
        <f>HYPERLINK("imagenes/T_TAHARI_124005972_BLK_1.jpg","Ver imagen")</f>
        <v/>
      </c>
      <c r="P4066">
        <f>HYPERLINK("imagenes/T_TAHARI_124005972_BLK_2.jpg","Ver imagen")</f>
        <v/>
      </c>
      <c r="Q4066">
        <f>HYPERLINK("imagenes/T_TAHARI_124005972_BLK_3.jpg","Ver imagen")</f>
        <v/>
      </c>
    </row>
    <row r="4067">
      <c r="A4067" t="inlineStr">
        <is>
          <t>T TAHARI</t>
        </is>
      </c>
      <c r="B4067" t="inlineStr">
        <is>
          <t>124005972</t>
        </is>
      </c>
      <c r="C4067" t="inlineStr">
        <is>
          <t>GRETA</t>
        </is>
      </c>
      <c r="D4067" t="inlineStr">
        <is>
          <t>BLK</t>
        </is>
      </c>
      <c r="E4067" t="inlineStr">
        <is>
          <t>(en blanco)</t>
        </is>
      </c>
      <c r="F4067" t="inlineStr">
        <is>
          <t>(en blanco)</t>
        </is>
      </c>
      <c r="G4067" t="inlineStr">
        <is>
          <t>XXL</t>
        </is>
      </c>
      <c r="H4067" t="n">
        <v>3</v>
      </c>
      <c r="I4067" t="inlineStr">
        <is>
          <t>T_TAHARI_124005972_BLK_1.jpg</t>
        </is>
      </c>
      <c r="J4067" t="inlineStr">
        <is>
          <t>T_TAHARI_124005972_BLK_2.jpg</t>
        </is>
      </c>
      <c r="K4067" t="inlineStr">
        <is>
          <t>T_TAHARI_124005972_BLK_3.jpg</t>
        </is>
      </c>
      <c r="L4067">
        <f>IMAGE("file:///E:/Estudios%20y%20certificaciones/ESTUDIOS%20DE%20PROGRAMMING/PROGRAMMING/PERSONAL/PYTHON/Image_Generator_API/imagenes/T_TAHARI_124005972_BLK_1.jpg")</f>
        <v/>
      </c>
      <c r="M4067">
        <f>IMAGE("file:///E:/Estudios%20y%20certificaciones/ESTUDIOS%20DE%20PROGRAMMING/PROGRAMMING/PERSONAL/PYTHON/Image_Generator_API/imagenes/T_TAHARI_124005972_BLK_2.jpg")</f>
        <v/>
      </c>
      <c r="N4067">
        <f>IMAGE("file:///E:/Estudios%20y%20certificaciones/ESTUDIOS%20DE%20PROGRAMMING/PROGRAMMING/PERSONAL/PYTHON/Image_Generator_API/imagenes/T_TAHARI_124005972_BLK_3.jpg")</f>
        <v/>
      </c>
      <c r="O4067">
        <f>HYPERLINK("imagenes/T_TAHARI_124005972_BLK_1.jpg","Ver imagen")</f>
        <v/>
      </c>
      <c r="P4067">
        <f>HYPERLINK("imagenes/T_TAHARI_124005972_BLK_2.jpg","Ver imagen")</f>
        <v/>
      </c>
      <c r="Q4067">
        <f>HYPERLINK("imagenes/T_TAHARI_124005972_BLK_3.jpg","Ver imagen")</f>
        <v/>
      </c>
    </row>
    <row r="4068">
      <c r="A4068" t="inlineStr">
        <is>
          <t>T TAHARI</t>
        </is>
      </c>
      <c r="B4068" t="inlineStr">
        <is>
          <t>124005972</t>
        </is>
      </c>
      <c r="C4068" t="inlineStr">
        <is>
          <t>GRETA</t>
        </is>
      </c>
      <c r="D4068" t="inlineStr">
        <is>
          <t>BLK</t>
        </is>
      </c>
      <c r="E4068" t="inlineStr">
        <is>
          <t>(en blanco)</t>
        </is>
      </c>
      <c r="F4068" t="inlineStr">
        <is>
          <t>(en blanco)</t>
        </is>
      </c>
      <c r="G4068" t="inlineStr">
        <is>
          <t>XXS</t>
        </is>
      </c>
      <c r="H4068" t="n">
        <v>5</v>
      </c>
      <c r="I4068" t="inlineStr">
        <is>
          <t>T_TAHARI_124005972_BLK_1.jpg</t>
        </is>
      </c>
      <c r="J4068" t="inlineStr">
        <is>
          <t>T_TAHARI_124005972_BLK_2.jpg</t>
        </is>
      </c>
      <c r="K4068" t="inlineStr">
        <is>
          <t>T_TAHARI_124005972_BLK_3.jpg</t>
        </is>
      </c>
      <c r="L4068">
        <f>IMAGE("file:///E:/Estudios%20y%20certificaciones/ESTUDIOS%20DE%20PROGRAMMING/PROGRAMMING/PERSONAL/PYTHON/Image_Generator_API/imagenes/T_TAHARI_124005972_BLK_1.jpg")</f>
        <v/>
      </c>
      <c r="M4068">
        <f>IMAGE("file:///E:/Estudios%20y%20certificaciones/ESTUDIOS%20DE%20PROGRAMMING/PROGRAMMING/PERSONAL/PYTHON/Image_Generator_API/imagenes/T_TAHARI_124005972_BLK_2.jpg")</f>
        <v/>
      </c>
      <c r="N4068">
        <f>IMAGE("file:///E:/Estudios%20y%20certificaciones/ESTUDIOS%20DE%20PROGRAMMING/PROGRAMMING/PERSONAL/PYTHON/Image_Generator_API/imagenes/T_TAHARI_124005972_BLK_3.jpg")</f>
        <v/>
      </c>
      <c r="O4068">
        <f>HYPERLINK("imagenes/T_TAHARI_124005972_BLK_1.jpg","Ver imagen")</f>
        <v/>
      </c>
      <c r="P4068">
        <f>HYPERLINK("imagenes/T_TAHARI_124005972_BLK_2.jpg","Ver imagen")</f>
        <v/>
      </c>
      <c r="Q4068">
        <f>HYPERLINK("imagenes/T_TAHARI_124005972_BLK_3.jpg","Ver imagen")</f>
        <v/>
      </c>
    </row>
    <row r="4069">
      <c r="A4069" t="inlineStr">
        <is>
          <t>T TAHARI</t>
        </is>
      </c>
      <c r="B4069" t="inlineStr">
        <is>
          <t>124005972</t>
        </is>
      </c>
      <c r="C4069" t="inlineStr">
        <is>
          <t>GRETA</t>
        </is>
      </c>
      <c r="D4069" t="inlineStr">
        <is>
          <t>MOT</t>
        </is>
      </c>
      <c r="E4069" t="inlineStr">
        <is>
          <t>(en blanco)</t>
        </is>
      </c>
      <c r="F4069" t="inlineStr">
        <is>
          <t>D2C</t>
        </is>
      </c>
      <c r="G4069" t="inlineStr">
        <is>
          <t>XS</t>
        </is>
      </c>
      <c r="H4069" t="n">
        <v>13</v>
      </c>
      <c r="I4069" t="inlineStr">
        <is>
          <t>T_TAHARI_124005972_MOT_1.jpg</t>
        </is>
      </c>
      <c r="J4069" t="inlineStr">
        <is>
          <t>T_TAHARI_124005972_MOT_2.jpg</t>
        </is>
      </c>
      <c r="K4069" t="inlineStr">
        <is>
          <t>T_TAHARI_124005972_MOT_3.jpg</t>
        </is>
      </c>
      <c r="L4069">
        <f>IMAGE("file:///E:/Estudios%20y%20certificaciones/ESTUDIOS%20DE%20PROGRAMMING/PROGRAMMING/PERSONAL/PYTHON/Image_Generator_API/imagenes/T_TAHARI_124005972_MOT_1.jpg")</f>
        <v/>
      </c>
      <c r="M4069">
        <f>IMAGE("file:///E:/Estudios%20y%20certificaciones/ESTUDIOS%20DE%20PROGRAMMING/PROGRAMMING/PERSONAL/PYTHON/Image_Generator_API/imagenes/T_TAHARI_124005972_MOT_2.jpg")</f>
        <v/>
      </c>
      <c r="N4069">
        <f>IMAGE("file:///E:/Estudios%20y%20certificaciones/ESTUDIOS%20DE%20PROGRAMMING/PROGRAMMING/PERSONAL/PYTHON/Image_Generator_API/imagenes/T_TAHARI_124005972_MOT_3.jpg")</f>
        <v/>
      </c>
      <c r="O4069">
        <f>HYPERLINK("imagenes/T_TAHARI_124005972_MOT_1.jpg","Ver imagen")</f>
        <v/>
      </c>
      <c r="P4069">
        <f>HYPERLINK("imagenes/T_TAHARI_124005972_MOT_2.jpg","Ver imagen")</f>
        <v/>
      </c>
      <c r="Q4069">
        <f>HYPERLINK("imagenes/T_TAHARI_124005972_MOT_3.jpg","Ver imagen")</f>
        <v/>
      </c>
    </row>
    <row r="4070">
      <c r="A4070" t="inlineStr">
        <is>
          <t>T TAHARI</t>
        </is>
      </c>
      <c r="B4070" t="inlineStr">
        <is>
          <t>124005972</t>
        </is>
      </c>
      <c r="C4070" t="inlineStr">
        <is>
          <t>GRETA</t>
        </is>
      </c>
      <c r="D4070" t="inlineStr">
        <is>
          <t>MOT</t>
        </is>
      </c>
      <c r="E4070" t="inlineStr">
        <is>
          <t>(en blanco)</t>
        </is>
      </c>
      <c r="F4070" t="inlineStr">
        <is>
          <t>D2C</t>
        </is>
      </c>
      <c r="G4070" t="inlineStr">
        <is>
          <t>S</t>
        </is>
      </c>
      <c r="H4070" t="n">
        <v>24</v>
      </c>
      <c r="I4070" t="inlineStr">
        <is>
          <t>T_TAHARI_124005972_MOT_1.jpg</t>
        </is>
      </c>
      <c r="J4070" t="inlineStr">
        <is>
          <t>T_TAHARI_124005972_MOT_2.jpg</t>
        </is>
      </c>
      <c r="K4070" t="inlineStr">
        <is>
          <t>T_TAHARI_124005972_MOT_3.jpg</t>
        </is>
      </c>
      <c r="L4070">
        <f>IMAGE("file:///E:/Estudios%20y%20certificaciones/ESTUDIOS%20DE%20PROGRAMMING/PROGRAMMING/PERSONAL/PYTHON/Image_Generator_API/imagenes/T_TAHARI_124005972_MOT_1.jpg")</f>
        <v/>
      </c>
      <c r="M4070">
        <f>IMAGE("file:///E:/Estudios%20y%20certificaciones/ESTUDIOS%20DE%20PROGRAMMING/PROGRAMMING/PERSONAL/PYTHON/Image_Generator_API/imagenes/T_TAHARI_124005972_MOT_2.jpg")</f>
        <v/>
      </c>
      <c r="N4070">
        <f>IMAGE("file:///E:/Estudios%20y%20certificaciones/ESTUDIOS%20DE%20PROGRAMMING/PROGRAMMING/PERSONAL/PYTHON/Image_Generator_API/imagenes/T_TAHARI_124005972_MOT_3.jpg")</f>
        <v/>
      </c>
      <c r="O4070">
        <f>HYPERLINK("imagenes/T_TAHARI_124005972_MOT_1.jpg","Ver imagen")</f>
        <v/>
      </c>
      <c r="P4070">
        <f>HYPERLINK("imagenes/T_TAHARI_124005972_MOT_2.jpg","Ver imagen")</f>
        <v/>
      </c>
      <c r="Q4070">
        <f>HYPERLINK("imagenes/T_TAHARI_124005972_MOT_3.jpg","Ver imagen")</f>
        <v/>
      </c>
    </row>
    <row r="4071">
      <c r="A4071" t="inlineStr">
        <is>
          <t>T TAHARI</t>
        </is>
      </c>
      <c r="B4071" t="inlineStr">
        <is>
          <t>124005972</t>
        </is>
      </c>
      <c r="C4071" t="inlineStr">
        <is>
          <t>GRETA</t>
        </is>
      </c>
      <c r="D4071" t="inlineStr">
        <is>
          <t>MOT</t>
        </is>
      </c>
      <c r="E4071" t="inlineStr">
        <is>
          <t>(en blanco)</t>
        </is>
      </c>
      <c r="F4071" t="inlineStr">
        <is>
          <t>D2C</t>
        </is>
      </c>
      <c r="G4071" t="inlineStr">
        <is>
          <t>M</t>
        </is>
      </c>
      <c r="H4071" t="n">
        <v>28</v>
      </c>
      <c r="I4071" t="inlineStr">
        <is>
          <t>T_TAHARI_124005972_MOT_1.jpg</t>
        </is>
      </c>
      <c r="J4071" t="inlineStr">
        <is>
          <t>T_TAHARI_124005972_MOT_2.jpg</t>
        </is>
      </c>
      <c r="K4071" t="inlineStr">
        <is>
          <t>T_TAHARI_124005972_MOT_3.jpg</t>
        </is>
      </c>
      <c r="L4071">
        <f>IMAGE("file:///E:/Estudios%20y%20certificaciones/ESTUDIOS%20DE%20PROGRAMMING/PROGRAMMING/PERSONAL/PYTHON/Image_Generator_API/imagenes/T_TAHARI_124005972_MOT_1.jpg")</f>
        <v/>
      </c>
      <c r="M4071">
        <f>IMAGE("file:///E:/Estudios%20y%20certificaciones/ESTUDIOS%20DE%20PROGRAMMING/PROGRAMMING/PERSONAL/PYTHON/Image_Generator_API/imagenes/T_TAHARI_124005972_MOT_2.jpg")</f>
        <v/>
      </c>
      <c r="N4071">
        <f>IMAGE("file:///E:/Estudios%20y%20certificaciones/ESTUDIOS%20DE%20PROGRAMMING/PROGRAMMING/PERSONAL/PYTHON/Image_Generator_API/imagenes/T_TAHARI_124005972_MOT_3.jpg")</f>
        <v/>
      </c>
      <c r="O4071">
        <f>HYPERLINK("imagenes/T_TAHARI_124005972_MOT_1.jpg","Ver imagen")</f>
        <v/>
      </c>
      <c r="P4071">
        <f>HYPERLINK("imagenes/T_TAHARI_124005972_MOT_2.jpg","Ver imagen")</f>
        <v/>
      </c>
      <c r="Q4071">
        <f>HYPERLINK("imagenes/T_TAHARI_124005972_MOT_3.jpg","Ver imagen")</f>
        <v/>
      </c>
    </row>
    <row r="4072">
      <c r="A4072" t="inlineStr">
        <is>
          <t>T TAHARI</t>
        </is>
      </c>
      <c r="B4072" t="inlineStr">
        <is>
          <t>124005972</t>
        </is>
      </c>
      <c r="C4072" t="inlineStr">
        <is>
          <t>GRETA</t>
        </is>
      </c>
      <c r="D4072" t="inlineStr">
        <is>
          <t>MOT</t>
        </is>
      </c>
      <c r="E4072" t="inlineStr">
        <is>
          <t>(en blanco)</t>
        </is>
      </c>
      <c r="F4072" t="inlineStr">
        <is>
          <t>D2C</t>
        </is>
      </c>
      <c r="G4072" t="inlineStr">
        <is>
          <t>L</t>
        </is>
      </c>
      <c r="H4072" t="n">
        <v>17</v>
      </c>
      <c r="I4072" t="inlineStr">
        <is>
          <t>T_TAHARI_124005972_MOT_1.jpg</t>
        </is>
      </c>
      <c r="J4072" t="inlineStr">
        <is>
          <t>T_TAHARI_124005972_MOT_2.jpg</t>
        </is>
      </c>
      <c r="K4072" t="inlineStr">
        <is>
          <t>T_TAHARI_124005972_MOT_3.jpg</t>
        </is>
      </c>
      <c r="L4072">
        <f>IMAGE("file:///E:/Estudios%20y%20certificaciones/ESTUDIOS%20DE%20PROGRAMMING/PROGRAMMING/PERSONAL/PYTHON/Image_Generator_API/imagenes/T_TAHARI_124005972_MOT_1.jpg")</f>
        <v/>
      </c>
      <c r="M4072">
        <f>IMAGE("file:///E:/Estudios%20y%20certificaciones/ESTUDIOS%20DE%20PROGRAMMING/PROGRAMMING/PERSONAL/PYTHON/Image_Generator_API/imagenes/T_TAHARI_124005972_MOT_2.jpg")</f>
        <v/>
      </c>
      <c r="N4072">
        <f>IMAGE("file:///E:/Estudios%20y%20certificaciones/ESTUDIOS%20DE%20PROGRAMMING/PROGRAMMING/PERSONAL/PYTHON/Image_Generator_API/imagenes/T_TAHARI_124005972_MOT_3.jpg")</f>
        <v/>
      </c>
      <c r="O4072">
        <f>HYPERLINK("imagenes/T_TAHARI_124005972_MOT_1.jpg","Ver imagen")</f>
        <v/>
      </c>
      <c r="P4072">
        <f>HYPERLINK("imagenes/T_TAHARI_124005972_MOT_2.jpg","Ver imagen")</f>
        <v/>
      </c>
      <c r="Q4072">
        <f>HYPERLINK("imagenes/T_TAHARI_124005972_MOT_3.jpg","Ver imagen")</f>
        <v/>
      </c>
    </row>
    <row r="4073">
      <c r="A4073" t="inlineStr">
        <is>
          <t>T TAHARI</t>
        </is>
      </c>
      <c r="B4073" t="inlineStr">
        <is>
          <t>124005972</t>
        </is>
      </c>
      <c r="C4073" t="inlineStr">
        <is>
          <t>GRETA</t>
        </is>
      </c>
      <c r="D4073" t="inlineStr">
        <is>
          <t>MOT</t>
        </is>
      </c>
      <c r="E4073" t="inlineStr">
        <is>
          <t>(en blanco)</t>
        </is>
      </c>
      <c r="F4073" t="inlineStr">
        <is>
          <t>D2C</t>
        </is>
      </c>
      <c r="G4073" t="inlineStr">
        <is>
          <t>XL</t>
        </is>
      </c>
      <c r="H4073" t="n">
        <v>8</v>
      </c>
      <c r="I4073" t="inlineStr">
        <is>
          <t>T_TAHARI_124005972_MOT_1.jpg</t>
        </is>
      </c>
      <c r="J4073" t="inlineStr">
        <is>
          <t>T_TAHARI_124005972_MOT_2.jpg</t>
        </is>
      </c>
      <c r="K4073" t="inlineStr">
        <is>
          <t>T_TAHARI_124005972_MOT_3.jpg</t>
        </is>
      </c>
      <c r="L4073">
        <f>IMAGE("file:///E:/Estudios%20y%20certificaciones/ESTUDIOS%20DE%20PROGRAMMING/PROGRAMMING/PERSONAL/PYTHON/Image_Generator_API/imagenes/T_TAHARI_124005972_MOT_1.jpg")</f>
        <v/>
      </c>
      <c r="M4073">
        <f>IMAGE("file:///E:/Estudios%20y%20certificaciones/ESTUDIOS%20DE%20PROGRAMMING/PROGRAMMING/PERSONAL/PYTHON/Image_Generator_API/imagenes/T_TAHARI_124005972_MOT_2.jpg")</f>
        <v/>
      </c>
      <c r="N4073">
        <f>IMAGE("file:///E:/Estudios%20y%20certificaciones/ESTUDIOS%20DE%20PROGRAMMING/PROGRAMMING/PERSONAL/PYTHON/Image_Generator_API/imagenes/T_TAHARI_124005972_MOT_3.jpg")</f>
        <v/>
      </c>
      <c r="O4073">
        <f>HYPERLINK("imagenes/T_TAHARI_124005972_MOT_1.jpg","Ver imagen")</f>
        <v/>
      </c>
      <c r="P4073">
        <f>HYPERLINK("imagenes/T_TAHARI_124005972_MOT_2.jpg","Ver imagen")</f>
        <v/>
      </c>
      <c r="Q4073">
        <f>HYPERLINK("imagenes/T_TAHARI_124005972_MOT_3.jpg","Ver imagen")</f>
        <v/>
      </c>
    </row>
    <row r="4074">
      <c r="A4074" t="inlineStr">
        <is>
          <t>T TAHARI</t>
        </is>
      </c>
      <c r="B4074" t="inlineStr">
        <is>
          <t>124005972</t>
        </is>
      </c>
      <c r="C4074" t="inlineStr">
        <is>
          <t>GRETA</t>
        </is>
      </c>
      <c r="D4074" t="inlineStr">
        <is>
          <t>MOT</t>
        </is>
      </c>
      <c r="E4074" t="inlineStr">
        <is>
          <t>(en blanco)</t>
        </is>
      </c>
      <c r="F4074" t="inlineStr">
        <is>
          <t>(en blanco)</t>
        </is>
      </c>
      <c r="G4074" t="inlineStr">
        <is>
          <t>XS</t>
        </is>
      </c>
      <c r="H4074" t="n">
        <v>52</v>
      </c>
      <c r="I4074" t="inlineStr">
        <is>
          <t>T_TAHARI_124005972_MOT_1.jpg</t>
        </is>
      </c>
      <c r="J4074" t="inlineStr">
        <is>
          <t>T_TAHARI_124005972_MOT_2.jpg</t>
        </is>
      </c>
      <c r="K4074" t="inlineStr">
        <is>
          <t>T_TAHARI_124005972_MOT_3.jpg</t>
        </is>
      </c>
      <c r="L4074">
        <f>IMAGE("file:///E:/Estudios%20y%20certificaciones/ESTUDIOS%20DE%20PROGRAMMING/PROGRAMMING/PERSONAL/PYTHON/Image_Generator_API/imagenes/T_TAHARI_124005972_MOT_1.jpg")</f>
        <v/>
      </c>
      <c r="M4074">
        <f>IMAGE("file:///E:/Estudios%20y%20certificaciones/ESTUDIOS%20DE%20PROGRAMMING/PROGRAMMING/PERSONAL/PYTHON/Image_Generator_API/imagenes/T_TAHARI_124005972_MOT_2.jpg")</f>
        <v/>
      </c>
      <c r="N4074">
        <f>IMAGE("file:///E:/Estudios%20y%20certificaciones/ESTUDIOS%20DE%20PROGRAMMING/PROGRAMMING/PERSONAL/PYTHON/Image_Generator_API/imagenes/T_TAHARI_124005972_MOT_3.jpg")</f>
        <v/>
      </c>
      <c r="O4074">
        <f>HYPERLINK("imagenes/T_TAHARI_124005972_MOT_1.jpg","Ver imagen")</f>
        <v/>
      </c>
      <c r="P4074">
        <f>HYPERLINK("imagenes/T_TAHARI_124005972_MOT_2.jpg","Ver imagen")</f>
        <v/>
      </c>
      <c r="Q4074">
        <f>HYPERLINK("imagenes/T_TAHARI_124005972_MOT_3.jpg","Ver imagen")</f>
        <v/>
      </c>
    </row>
    <row r="4075">
      <c r="A4075" t="inlineStr">
        <is>
          <t>T TAHARI</t>
        </is>
      </c>
      <c r="B4075" t="inlineStr">
        <is>
          <t>124005972</t>
        </is>
      </c>
      <c r="C4075" t="inlineStr">
        <is>
          <t>GRETA</t>
        </is>
      </c>
      <c r="D4075" t="inlineStr">
        <is>
          <t>MOT</t>
        </is>
      </c>
      <c r="E4075" t="inlineStr">
        <is>
          <t>(en blanco)</t>
        </is>
      </c>
      <c r="F4075" t="inlineStr">
        <is>
          <t>(en blanco)</t>
        </is>
      </c>
      <c r="G4075" t="inlineStr">
        <is>
          <t>S</t>
        </is>
      </c>
      <c r="H4075" t="n">
        <v>139</v>
      </c>
      <c r="I4075" t="inlineStr">
        <is>
          <t>T_TAHARI_124005972_MOT_1.jpg</t>
        </is>
      </c>
      <c r="J4075" t="inlineStr">
        <is>
          <t>T_TAHARI_124005972_MOT_2.jpg</t>
        </is>
      </c>
      <c r="K4075" t="inlineStr">
        <is>
          <t>T_TAHARI_124005972_MOT_3.jpg</t>
        </is>
      </c>
      <c r="L4075">
        <f>IMAGE("file:///E:/Estudios%20y%20certificaciones/ESTUDIOS%20DE%20PROGRAMMING/PROGRAMMING/PERSONAL/PYTHON/Image_Generator_API/imagenes/T_TAHARI_124005972_MOT_1.jpg")</f>
        <v/>
      </c>
      <c r="M4075">
        <f>IMAGE("file:///E:/Estudios%20y%20certificaciones/ESTUDIOS%20DE%20PROGRAMMING/PROGRAMMING/PERSONAL/PYTHON/Image_Generator_API/imagenes/T_TAHARI_124005972_MOT_2.jpg")</f>
        <v/>
      </c>
      <c r="N4075">
        <f>IMAGE("file:///E:/Estudios%20y%20certificaciones/ESTUDIOS%20DE%20PROGRAMMING/PROGRAMMING/PERSONAL/PYTHON/Image_Generator_API/imagenes/T_TAHARI_124005972_MOT_3.jpg")</f>
        <v/>
      </c>
      <c r="O4075">
        <f>HYPERLINK("imagenes/T_TAHARI_124005972_MOT_1.jpg","Ver imagen")</f>
        <v/>
      </c>
      <c r="P4075">
        <f>HYPERLINK("imagenes/T_TAHARI_124005972_MOT_2.jpg","Ver imagen")</f>
        <v/>
      </c>
      <c r="Q4075">
        <f>HYPERLINK("imagenes/T_TAHARI_124005972_MOT_3.jpg","Ver imagen")</f>
        <v/>
      </c>
    </row>
    <row r="4076">
      <c r="A4076" t="inlineStr">
        <is>
          <t>T TAHARI</t>
        </is>
      </c>
      <c r="B4076" t="inlineStr">
        <is>
          <t>124005972</t>
        </is>
      </c>
      <c r="C4076" t="inlineStr">
        <is>
          <t>GRETA</t>
        </is>
      </c>
      <c r="D4076" t="inlineStr">
        <is>
          <t>MOT</t>
        </is>
      </c>
      <c r="E4076" t="inlineStr">
        <is>
          <t>(en blanco)</t>
        </is>
      </c>
      <c r="F4076" t="inlineStr">
        <is>
          <t>(en blanco)</t>
        </is>
      </c>
      <c r="G4076" t="inlineStr">
        <is>
          <t>M</t>
        </is>
      </c>
      <c r="H4076" t="n">
        <v>148</v>
      </c>
      <c r="I4076" t="inlineStr">
        <is>
          <t>T_TAHARI_124005972_MOT_1.jpg</t>
        </is>
      </c>
      <c r="J4076" t="inlineStr">
        <is>
          <t>T_TAHARI_124005972_MOT_2.jpg</t>
        </is>
      </c>
      <c r="K4076" t="inlineStr">
        <is>
          <t>T_TAHARI_124005972_MOT_3.jpg</t>
        </is>
      </c>
      <c r="L4076">
        <f>IMAGE("file:///E:/Estudios%20y%20certificaciones/ESTUDIOS%20DE%20PROGRAMMING/PROGRAMMING/PERSONAL/PYTHON/Image_Generator_API/imagenes/T_TAHARI_124005972_MOT_1.jpg")</f>
        <v/>
      </c>
      <c r="M4076">
        <f>IMAGE("file:///E:/Estudios%20y%20certificaciones/ESTUDIOS%20DE%20PROGRAMMING/PROGRAMMING/PERSONAL/PYTHON/Image_Generator_API/imagenes/T_TAHARI_124005972_MOT_2.jpg")</f>
        <v/>
      </c>
      <c r="N4076">
        <f>IMAGE("file:///E:/Estudios%20y%20certificaciones/ESTUDIOS%20DE%20PROGRAMMING/PROGRAMMING/PERSONAL/PYTHON/Image_Generator_API/imagenes/T_TAHARI_124005972_MOT_3.jpg")</f>
        <v/>
      </c>
      <c r="O4076">
        <f>HYPERLINK("imagenes/T_TAHARI_124005972_MOT_1.jpg","Ver imagen")</f>
        <v/>
      </c>
      <c r="P4076">
        <f>HYPERLINK("imagenes/T_TAHARI_124005972_MOT_2.jpg","Ver imagen")</f>
        <v/>
      </c>
      <c r="Q4076">
        <f>HYPERLINK("imagenes/T_TAHARI_124005972_MOT_3.jpg","Ver imagen")</f>
        <v/>
      </c>
    </row>
    <row r="4077">
      <c r="A4077" t="inlineStr">
        <is>
          <t>T TAHARI</t>
        </is>
      </c>
      <c r="B4077" t="inlineStr">
        <is>
          <t>124005972</t>
        </is>
      </c>
      <c r="C4077" t="inlineStr">
        <is>
          <t>GRETA</t>
        </is>
      </c>
      <c r="D4077" t="inlineStr">
        <is>
          <t>MOT</t>
        </is>
      </c>
      <c r="E4077" t="inlineStr">
        <is>
          <t>(en blanco)</t>
        </is>
      </c>
      <c r="F4077" t="inlineStr">
        <is>
          <t>(en blanco)</t>
        </is>
      </c>
      <c r="G4077" t="inlineStr">
        <is>
          <t>L</t>
        </is>
      </c>
      <c r="H4077" t="n">
        <v>109</v>
      </c>
      <c r="I4077" t="inlineStr">
        <is>
          <t>T_TAHARI_124005972_MOT_1.jpg</t>
        </is>
      </c>
      <c r="J4077" t="inlineStr">
        <is>
          <t>T_TAHARI_124005972_MOT_2.jpg</t>
        </is>
      </c>
      <c r="K4077" t="inlineStr">
        <is>
          <t>T_TAHARI_124005972_MOT_3.jpg</t>
        </is>
      </c>
      <c r="L4077">
        <f>IMAGE("file:///E:/Estudios%20y%20certificaciones/ESTUDIOS%20DE%20PROGRAMMING/PROGRAMMING/PERSONAL/PYTHON/Image_Generator_API/imagenes/T_TAHARI_124005972_MOT_1.jpg")</f>
        <v/>
      </c>
      <c r="M4077">
        <f>IMAGE("file:///E:/Estudios%20y%20certificaciones/ESTUDIOS%20DE%20PROGRAMMING/PROGRAMMING/PERSONAL/PYTHON/Image_Generator_API/imagenes/T_TAHARI_124005972_MOT_2.jpg")</f>
        <v/>
      </c>
      <c r="N4077">
        <f>IMAGE("file:///E:/Estudios%20y%20certificaciones/ESTUDIOS%20DE%20PROGRAMMING/PROGRAMMING/PERSONAL/PYTHON/Image_Generator_API/imagenes/T_TAHARI_124005972_MOT_3.jpg")</f>
        <v/>
      </c>
      <c r="O4077">
        <f>HYPERLINK("imagenes/T_TAHARI_124005972_MOT_1.jpg","Ver imagen")</f>
        <v/>
      </c>
      <c r="P4077">
        <f>HYPERLINK("imagenes/T_TAHARI_124005972_MOT_2.jpg","Ver imagen")</f>
        <v/>
      </c>
      <c r="Q4077">
        <f>HYPERLINK("imagenes/T_TAHARI_124005972_MOT_3.jpg","Ver imagen")</f>
        <v/>
      </c>
    </row>
    <row r="4078">
      <c r="A4078" t="inlineStr">
        <is>
          <t>T TAHARI</t>
        </is>
      </c>
      <c r="B4078" t="inlineStr">
        <is>
          <t>124005972</t>
        </is>
      </c>
      <c r="C4078" t="inlineStr">
        <is>
          <t>GRETA</t>
        </is>
      </c>
      <c r="D4078" t="inlineStr">
        <is>
          <t>MOT</t>
        </is>
      </c>
      <c r="E4078" t="inlineStr">
        <is>
          <t>(en blanco)</t>
        </is>
      </c>
      <c r="F4078" t="inlineStr">
        <is>
          <t>(en blanco)</t>
        </is>
      </c>
      <c r="G4078" t="inlineStr">
        <is>
          <t>XL</t>
        </is>
      </c>
      <c r="H4078" t="n">
        <v>53</v>
      </c>
      <c r="I4078" t="inlineStr">
        <is>
          <t>T_TAHARI_124005972_MOT_1.jpg</t>
        </is>
      </c>
      <c r="J4078" t="inlineStr">
        <is>
          <t>T_TAHARI_124005972_MOT_2.jpg</t>
        </is>
      </c>
      <c r="K4078" t="inlineStr">
        <is>
          <t>T_TAHARI_124005972_MOT_3.jpg</t>
        </is>
      </c>
      <c r="L4078">
        <f>IMAGE("file:///E:/Estudios%20y%20certificaciones/ESTUDIOS%20DE%20PROGRAMMING/PROGRAMMING/PERSONAL/PYTHON/Image_Generator_API/imagenes/T_TAHARI_124005972_MOT_1.jpg")</f>
        <v/>
      </c>
      <c r="M4078">
        <f>IMAGE("file:///E:/Estudios%20y%20certificaciones/ESTUDIOS%20DE%20PROGRAMMING/PROGRAMMING/PERSONAL/PYTHON/Image_Generator_API/imagenes/T_TAHARI_124005972_MOT_2.jpg")</f>
        <v/>
      </c>
      <c r="N4078">
        <f>IMAGE("file:///E:/Estudios%20y%20certificaciones/ESTUDIOS%20DE%20PROGRAMMING/PROGRAMMING/PERSONAL/PYTHON/Image_Generator_API/imagenes/T_TAHARI_124005972_MOT_3.jpg")</f>
        <v/>
      </c>
      <c r="O4078">
        <f>HYPERLINK("imagenes/T_TAHARI_124005972_MOT_1.jpg","Ver imagen")</f>
        <v/>
      </c>
      <c r="P4078">
        <f>HYPERLINK("imagenes/T_TAHARI_124005972_MOT_2.jpg","Ver imagen")</f>
        <v/>
      </c>
      <c r="Q4078">
        <f>HYPERLINK("imagenes/T_TAHARI_124005972_MOT_3.jpg","Ver imagen")</f>
        <v/>
      </c>
    </row>
    <row r="4079">
      <c r="A4079" t="inlineStr">
        <is>
          <t>T TAHARI</t>
        </is>
      </c>
      <c r="B4079" t="inlineStr">
        <is>
          <t>124005972</t>
        </is>
      </c>
      <c r="C4079" t="inlineStr">
        <is>
          <t>GRETA</t>
        </is>
      </c>
      <c r="D4079" t="inlineStr">
        <is>
          <t>NVY</t>
        </is>
      </c>
      <c r="E4079" t="inlineStr">
        <is>
          <t>(en blanco)</t>
        </is>
      </c>
      <c r="F4079" t="inlineStr">
        <is>
          <t>D2C</t>
        </is>
      </c>
      <c r="G4079" t="inlineStr">
        <is>
          <t>XS</t>
        </is>
      </c>
      <c r="H4079" t="n">
        <v>12</v>
      </c>
      <c r="I4079" t="inlineStr">
        <is>
          <t>T_TAHARI_124005972_NVY_1.jpg</t>
        </is>
      </c>
      <c r="J4079" t="inlineStr">
        <is>
          <t>T_TAHARI_124005972_NVY_2.jpg</t>
        </is>
      </c>
      <c r="K4079" t="inlineStr">
        <is>
          <t>T_TAHARI_124005972_NVY_3.jpg</t>
        </is>
      </c>
      <c r="L4079">
        <f>IMAGE("file:///E:/Estudios%20y%20certificaciones/ESTUDIOS%20DE%20PROGRAMMING/PROGRAMMING/PERSONAL/PYTHON/Image_Generator_API/imagenes/T_TAHARI_124005972_NVY_1.jpg")</f>
        <v/>
      </c>
      <c r="M4079">
        <f>IMAGE("file:///E:/Estudios%20y%20certificaciones/ESTUDIOS%20DE%20PROGRAMMING/PROGRAMMING/PERSONAL/PYTHON/Image_Generator_API/imagenes/T_TAHARI_124005972_NVY_2.jpg")</f>
        <v/>
      </c>
      <c r="N4079">
        <f>IMAGE("file:///E:/Estudios%20y%20certificaciones/ESTUDIOS%20DE%20PROGRAMMING/PROGRAMMING/PERSONAL/PYTHON/Image_Generator_API/imagenes/T_TAHARI_124005972_NVY_3.jpg")</f>
        <v/>
      </c>
      <c r="O4079">
        <f>HYPERLINK("imagenes/T_TAHARI_124005972_NVY_1.jpg","Ver imagen")</f>
        <v/>
      </c>
      <c r="P4079">
        <f>HYPERLINK("imagenes/T_TAHARI_124005972_NVY_2.jpg","Ver imagen")</f>
        <v/>
      </c>
      <c r="Q4079">
        <f>HYPERLINK("imagenes/T_TAHARI_124005972_NVY_3.jpg","Ver imagen")</f>
        <v/>
      </c>
    </row>
    <row r="4080">
      <c r="A4080" t="inlineStr">
        <is>
          <t>T TAHARI</t>
        </is>
      </c>
      <c r="B4080" t="inlineStr">
        <is>
          <t>124005972</t>
        </is>
      </c>
      <c r="C4080" t="inlineStr">
        <is>
          <t>GRETA</t>
        </is>
      </c>
      <c r="D4080" t="inlineStr">
        <is>
          <t>NVY</t>
        </is>
      </c>
      <c r="E4080" t="inlineStr">
        <is>
          <t>(en blanco)</t>
        </is>
      </c>
      <c r="F4080" t="inlineStr">
        <is>
          <t>D2C</t>
        </is>
      </c>
      <c r="G4080" t="inlineStr">
        <is>
          <t>S</t>
        </is>
      </c>
      <c r="H4080" t="n">
        <v>22</v>
      </c>
      <c r="I4080" t="inlineStr">
        <is>
          <t>T_TAHARI_124005972_NVY_1.jpg</t>
        </is>
      </c>
      <c r="J4080" t="inlineStr">
        <is>
          <t>T_TAHARI_124005972_NVY_2.jpg</t>
        </is>
      </c>
      <c r="K4080" t="inlineStr">
        <is>
          <t>T_TAHARI_124005972_NVY_3.jpg</t>
        </is>
      </c>
      <c r="L4080">
        <f>IMAGE("file:///E:/Estudios%20y%20certificaciones/ESTUDIOS%20DE%20PROGRAMMING/PROGRAMMING/PERSONAL/PYTHON/Image_Generator_API/imagenes/T_TAHARI_124005972_NVY_1.jpg")</f>
        <v/>
      </c>
      <c r="M4080">
        <f>IMAGE("file:///E:/Estudios%20y%20certificaciones/ESTUDIOS%20DE%20PROGRAMMING/PROGRAMMING/PERSONAL/PYTHON/Image_Generator_API/imagenes/T_TAHARI_124005972_NVY_2.jpg")</f>
        <v/>
      </c>
      <c r="N4080">
        <f>IMAGE("file:///E:/Estudios%20y%20certificaciones/ESTUDIOS%20DE%20PROGRAMMING/PROGRAMMING/PERSONAL/PYTHON/Image_Generator_API/imagenes/T_TAHARI_124005972_NVY_3.jpg")</f>
        <v/>
      </c>
      <c r="O4080">
        <f>HYPERLINK("imagenes/T_TAHARI_124005972_NVY_1.jpg","Ver imagen")</f>
        <v/>
      </c>
      <c r="P4080">
        <f>HYPERLINK("imagenes/T_TAHARI_124005972_NVY_2.jpg","Ver imagen")</f>
        <v/>
      </c>
      <c r="Q4080">
        <f>HYPERLINK("imagenes/T_TAHARI_124005972_NVY_3.jpg","Ver imagen")</f>
        <v/>
      </c>
    </row>
    <row r="4081">
      <c r="A4081" t="inlineStr">
        <is>
          <t>T TAHARI</t>
        </is>
      </c>
      <c r="B4081" t="inlineStr">
        <is>
          <t>124005972</t>
        </is>
      </c>
      <c r="C4081" t="inlineStr">
        <is>
          <t>GRETA</t>
        </is>
      </c>
      <c r="D4081" t="inlineStr">
        <is>
          <t>NVY</t>
        </is>
      </c>
      <c r="E4081" t="inlineStr">
        <is>
          <t>(en blanco)</t>
        </is>
      </c>
      <c r="F4081" t="inlineStr">
        <is>
          <t>D2C</t>
        </is>
      </c>
      <c r="G4081" t="inlineStr">
        <is>
          <t>L</t>
        </is>
      </c>
      <c r="H4081" t="n">
        <v>1</v>
      </c>
      <c r="I4081" t="inlineStr">
        <is>
          <t>T_TAHARI_124005972_NVY_1.jpg</t>
        </is>
      </c>
      <c r="J4081" t="inlineStr">
        <is>
          <t>T_TAHARI_124005972_NVY_2.jpg</t>
        </is>
      </c>
      <c r="K4081" t="inlineStr">
        <is>
          <t>T_TAHARI_124005972_NVY_3.jpg</t>
        </is>
      </c>
      <c r="L4081">
        <f>IMAGE("file:///E:/Estudios%20y%20certificaciones/ESTUDIOS%20DE%20PROGRAMMING/PROGRAMMING/PERSONAL/PYTHON/Image_Generator_API/imagenes/T_TAHARI_124005972_NVY_1.jpg")</f>
        <v/>
      </c>
      <c r="M4081">
        <f>IMAGE("file:///E:/Estudios%20y%20certificaciones/ESTUDIOS%20DE%20PROGRAMMING/PROGRAMMING/PERSONAL/PYTHON/Image_Generator_API/imagenes/T_TAHARI_124005972_NVY_2.jpg")</f>
        <v/>
      </c>
      <c r="N4081">
        <f>IMAGE("file:///E:/Estudios%20y%20certificaciones/ESTUDIOS%20DE%20PROGRAMMING/PROGRAMMING/PERSONAL/PYTHON/Image_Generator_API/imagenes/T_TAHARI_124005972_NVY_3.jpg")</f>
        <v/>
      </c>
      <c r="O4081">
        <f>HYPERLINK("imagenes/T_TAHARI_124005972_NVY_1.jpg","Ver imagen")</f>
        <v/>
      </c>
      <c r="P4081">
        <f>HYPERLINK("imagenes/T_TAHARI_124005972_NVY_2.jpg","Ver imagen")</f>
        <v/>
      </c>
      <c r="Q4081">
        <f>HYPERLINK("imagenes/T_TAHARI_124005972_NVY_3.jpg","Ver imagen")</f>
        <v/>
      </c>
    </row>
    <row r="4082">
      <c r="A4082" t="inlineStr">
        <is>
          <t>T TAHARI</t>
        </is>
      </c>
      <c r="B4082" t="inlineStr">
        <is>
          <t>124005972</t>
        </is>
      </c>
      <c r="C4082" t="inlineStr">
        <is>
          <t>GRETA</t>
        </is>
      </c>
      <c r="D4082" t="inlineStr">
        <is>
          <t>NVY</t>
        </is>
      </c>
      <c r="E4082" t="inlineStr">
        <is>
          <t>(en blanco)</t>
        </is>
      </c>
      <c r="F4082" t="inlineStr">
        <is>
          <t>D2C</t>
        </is>
      </c>
      <c r="G4082" t="inlineStr">
        <is>
          <t>XL</t>
        </is>
      </c>
      <c r="H4082" t="n">
        <v>1</v>
      </c>
      <c r="I4082" t="inlineStr">
        <is>
          <t>T_TAHARI_124005972_NVY_1.jpg</t>
        </is>
      </c>
      <c r="J4082" t="inlineStr">
        <is>
          <t>T_TAHARI_124005972_NVY_2.jpg</t>
        </is>
      </c>
      <c r="K4082" t="inlineStr">
        <is>
          <t>T_TAHARI_124005972_NVY_3.jpg</t>
        </is>
      </c>
      <c r="L4082">
        <f>IMAGE("file:///E:/Estudios%20y%20certificaciones/ESTUDIOS%20DE%20PROGRAMMING/PROGRAMMING/PERSONAL/PYTHON/Image_Generator_API/imagenes/T_TAHARI_124005972_NVY_1.jpg")</f>
        <v/>
      </c>
      <c r="M4082">
        <f>IMAGE("file:///E:/Estudios%20y%20certificaciones/ESTUDIOS%20DE%20PROGRAMMING/PROGRAMMING/PERSONAL/PYTHON/Image_Generator_API/imagenes/T_TAHARI_124005972_NVY_2.jpg")</f>
        <v/>
      </c>
      <c r="N4082">
        <f>IMAGE("file:///E:/Estudios%20y%20certificaciones/ESTUDIOS%20DE%20PROGRAMMING/PROGRAMMING/PERSONAL/PYTHON/Image_Generator_API/imagenes/T_TAHARI_124005972_NVY_3.jpg")</f>
        <v/>
      </c>
      <c r="O4082">
        <f>HYPERLINK("imagenes/T_TAHARI_124005972_NVY_1.jpg","Ver imagen")</f>
        <v/>
      </c>
      <c r="P4082">
        <f>HYPERLINK("imagenes/T_TAHARI_124005972_NVY_2.jpg","Ver imagen")</f>
        <v/>
      </c>
      <c r="Q4082">
        <f>HYPERLINK("imagenes/T_TAHARI_124005972_NVY_3.jpg","Ver imagen")</f>
        <v/>
      </c>
    </row>
    <row r="4083">
      <c r="A4083" t="inlineStr">
        <is>
          <t>T TAHARI</t>
        </is>
      </c>
      <c r="B4083" t="inlineStr">
        <is>
          <t>124005972</t>
        </is>
      </c>
      <c r="C4083" t="inlineStr">
        <is>
          <t>GRETA</t>
        </is>
      </c>
      <c r="D4083" t="inlineStr">
        <is>
          <t>NVY</t>
        </is>
      </c>
      <c r="E4083" t="inlineStr">
        <is>
          <t>(en blanco)</t>
        </is>
      </c>
      <c r="F4083" t="inlineStr">
        <is>
          <t>(en blanco)</t>
        </is>
      </c>
      <c r="G4083" t="inlineStr">
        <is>
          <t>XS</t>
        </is>
      </c>
      <c r="H4083" t="n">
        <v>51</v>
      </c>
      <c r="I4083" t="inlineStr">
        <is>
          <t>T_TAHARI_124005972_NVY_1.jpg</t>
        </is>
      </c>
      <c r="J4083" t="inlineStr">
        <is>
          <t>T_TAHARI_124005972_NVY_2.jpg</t>
        </is>
      </c>
      <c r="K4083" t="inlineStr">
        <is>
          <t>T_TAHARI_124005972_NVY_3.jpg</t>
        </is>
      </c>
      <c r="L4083">
        <f>IMAGE("file:///E:/Estudios%20y%20certificaciones/ESTUDIOS%20DE%20PROGRAMMING/PROGRAMMING/PERSONAL/PYTHON/Image_Generator_API/imagenes/T_TAHARI_124005972_NVY_1.jpg")</f>
        <v/>
      </c>
      <c r="M4083">
        <f>IMAGE("file:///E:/Estudios%20y%20certificaciones/ESTUDIOS%20DE%20PROGRAMMING/PROGRAMMING/PERSONAL/PYTHON/Image_Generator_API/imagenes/T_TAHARI_124005972_NVY_2.jpg")</f>
        <v/>
      </c>
      <c r="N4083">
        <f>IMAGE("file:///E:/Estudios%20y%20certificaciones/ESTUDIOS%20DE%20PROGRAMMING/PROGRAMMING/PERSONAL/PYTHON/Image_Generator_API/imagenes/T_TAHARI_124005972_NVY_3.jpg")</f>
        <v/>
      </c>
      <c r="O4083">
        <f>HYPERLINK("imagenes/T_TAHARI_124005972_NVY_1.jpg","Ver imagen")</f>
        <v/>
      </c>
      <c r="P4083">
        <f>HYPERLINK("imagenes/T_TAHARI_124005972_NVY_2.jpg","Ver imagen")</f>
        <v/>
      </c>
      <c r="Q4083">
        <f>HYPERLINK("imagenes/T_TAHARI_124005972_NVY_3.jpg","Ver imagen")</f>
        <v/>
      </c>
    </row>
    <row r="4084">
      <c r="A4084" t="inlineStr">
        <is>
          <t>T TAHARI</t>
        </is>
      </c>
      <c r="B4084" t="inlineStr">
        <is>
          <t>124005972</t>
        </is>
      </c>
      <c r="C4084" t="inlineStr">
        <is>
          <t>GRETA</t>
        </is>
      </c>
      <c r="D4084" t="inlineStr">
        <is>
          <t>NVY</t>
        </is>
      </c>
      <c r="E4084" t="inlineStr">
        <is>
          <t>(en blanco)</t>
        </is>
      </c>
      <c r="F4084" t="inlineStr">
        <is>
          <t>(en blanco)</t>
        </is>
      </c>
      <c r="G4084" t="inlineStr">
        <is>
          <t>S</t>
        </is>
      </c>
      <c r="H4084" t="n">
        <v>103</v>
      </c>
      <c r="I4084" t="inlineStr">
        <is>
          <t>T_TAHARI_124005972_NVY_1.jpg</t>
        </is>
      </c>
      <c r="J4084" t="inlineStr">
        <is>
          <t>T_TAHARI_124005972_NVY_2.jpg</t>
        </is>
      </c>
      <c r="K4084" t="inlineStr">
        <is>
          <t>T_TAHARI_124005972_NVY_3.jpg</t>
        </is>
      </c>
      <c r="L4084">
        <f>IMAGE("file:///E:/Estudios%20y%20certificaciones/ESTUDIOS%20DE%20PROGRAMMING/PROGRAMMING/PERSONAL/PYTHON/Image_Generator_API/imagenes/T_TAHARI_124005972_NVY_1.jpg")</f>
        <v/>
      </c>
      <c r="M4084">
        <f>IMAGE("file:///E:/Estudios%20y%20certificaciones/ESTUDIOS%20DE%20PROGRAMMING/PROGRAMMING/PERSONAL/PYTHON/Image_Generator_API/imagenes/T_TAHARI_124005972_NVY_2.jpg")</f>
        <v/>
      </c>
      <c r="N4084">
        <f>IMAGE("file:///E:/Estudios%20y%20certificaciones/ESTUDIOS%20DE%20PROGRAMMING/PROGRAMMING/PERSONAL/PYTHON/Image_Generator_API/imagenes/T_TAHARI_124005972_NVY_3.jpg")</f>
        <v/>
      </c>
      <c r="O4084">
        <f>HYPERLINK("imagenes/T_TAHARI_124005972_NVY_1.jpg","Ver imagen")</f>
        <v/>
      </c>
      <c r="P4084">
        <f>HYPERLINK("imagenes/T_TAHARI_124005972_NVY_2.jpg","Ver imagen")</f>
        <v/>
      </c>
      <c r="Q4084">
        <f>HYPERLINK("imagenes/T_TAHARI_124005972_NVY_3.jpg","Ver imagen")</f>
        <v/>
      </c>
    </row>
    <row r="4085">
      <c r="A4085" t="inlineStr">
        <is>
          <t>T TAHARI</t>
        </is>
      </c>
      <c r="B4085" t="inlineStr">
        <is>
          <t>124005972</t>
        </is>
      </c>
      <c r="C4085" t="inlineStr">
        <is>
          <t>GRETA</t>
        </is>
      </c>
      <c r="D4085" t="inlineStr">
        <is>
          <t>NVY</t>
        </is>
      </c>
      <c r="E4085" t="inlineStr">
        <is>
          <t>(en blanco)</t>
        </is>
      </c>
      <c r="F4085" t="inlineStr">
        <is>
          <t>(en blanco)</t>
        </is>
      </c>
      <c r="G4085" t="inlineStr">
        <is>
          <t>M</t>
        </is>
      </c>
      <c r="H4085" t="n">
        <v>120</v>
      </c>
      <c r="I4085" t="inlineStr">
        <is>
          <t>T_TAHARI_124005972_NVY_1.jpg</t>
        </is>
      </c>
      <c r="J4085" t="inlineStr">
        <is>
          <t>T_TAHARI_124005972_NVY_2.jpg</t>
        </is>
      </c>
      <c r="K4085" t="inlineStr">
        <is>
          <t>T_TAHARI_124005972_NVY_3.jpg</t>
        </is>
      </c>
      <c r="L4085">
        <f>IMAGE("file:///E:/Estudios%20y%20certificaciones/ESTUDIOS%20DE%20PROGRAMMING/PROGRAMMING/PERSONAL/PYTHON/Image_Generator_API/imagenes/T_TAHARI_124005972_NVY_1.jpg")</f>
        <v/>
      </c>
      <c r="M4085">
        <f>IMAGE("file:///E:/Estudios%20y%20certificaciones/ESTUDIOS%20DE%20PROGRAMMING/PROGRAMMING/PERSONAL/PYTHON/Image_Generator_API/imagenes/T_TAHARI_124005972_NVY_2.jpg")</f>
        <v/>
      </c>
      <c r="N4085">
        <f>IMAGE("file:///E:/Estudios%20y%20certificaciones/ESTUDIOS%20DE%20PROGRAMMING/PROGRAMMING/PERSONAL/PYTHON/Image_Generator_API/imagenes/T_TAHARI_124005972_NVY_3.jpg")</f>
        <v/>
      </c>
      <c r="O4085">
        <f>HYPERLINK("imagenes/T_TAHARI_124005972_NVY_1.jpg","Ver imagen")</f>
        <v/>
      </c>
      <c r="P4085">
        <f>HYPERLINK("imagenes/T_TAHARI_124005972_NVY_2.jpg","Ver imagen")</f>
        <v/>
      </c>
      <c r="Q4085">
        <f>HYPERLINK("imagenes/T_TAHARI_124005972_NVY_3.jpg","Ver imagen")</f>
        <v/>
      </c>
    </row>
    <row r="4086">
      <c r="A4086" t="inlineStr">
        <is>
          <t>T TAHARI</t>
        </is>
      </c>
      <c r="B4086" t="inlineStr">
        <is>
          <t>124005972</t>
        </is>
      </c>
      <c r="C4086" t="inlineStr">
        <is>
          <t>GRETA</t>
        </is>
      </c>
      <c r="D4086" t="inlineStr">
        <is>
          <t>NVY</t>
        </is>
      </c>
      <c r="E4086" t="inlineStr">
        <is>
          <t>(en blanco)</t>
        </is>
      </c>
      <c r="F4086" t="inlineStr">
        <is>
          <t>(en blanco)</t>
        </is>
      </c>
      <c r="G4086" t="inlineStr">
        <is>
          <t>L</t>
        </is>
      </c>
      <c r="H4086" t="n">
        <v>106</v>
      </c>
      <c r="I4086" t="inlineStr">
        <is>
          <t>T_TAHARI_124005972_NVY_1.jpg</t>
        </is>
      </c>
      <c r="J4086" t="inlineStr">
        <is>
          <t>T_TAHARI_124005972_NVY_2.jpg</t>
        </is>
      </c>
      <c r="K4086" t="inlineStr">
        <is>
          <t>T_TAHARI_124005972_NVY_3.jpg</t>
        </is>
      </c>
      <c r="L4086">
        <f>IMAGE("file:///E:/Estudios%20y%20certificaciones/ESTUDIOS%20DE%20PROGRAMMING/PROGRAMMING/PERSONAL/PYTHON/Image_Generator_API/imagenes/T_TAHARI_124005972_NVY_1.jpg")</f>
        <v/>
      </c>
      <c r="M4086">
        <f>IMAGE("file:///E:/Estudios%20y%20certificaciones/ESTUDIOS%20DE%20PROGRAMMING/PROGRAMMING/PERSONAL/PYTHON/Image_Generator_API/imagenes/T_TAHARI_124005972_NVY_2.jpg")</f>
        <v/>
      </c>
      <c r="N4086">
        <f>IMAGE("file:///E:/Estudios%20y%20certificaciones/ESTUDIOS%20DE%20PROGRAMMING/PROGRAMMING/PERSONAL/PYTHON/Image_Generator_API/imagenes/T_TAHARI_124005972_NVY_3.jpg")</f>
        <v/>
      </c>
      <c r="O4086">
        <f>HYPERLINK("imagenes/T_TAHARI_124005972_NVY_1.jpg","Ver imagen")</f>
        <v/>
      </c>
      <c r="P4086">
        <f>HYPERLINK("imagenes/T_TAHARI_124005972_NVY_2.jpg","Ver imagen")</f>
        <v/>
      </c>
      <c r="Q4086">
        <f>HYPERLINK("imagenes/T_TAHARI_124005972_NVY_3.jpg","Ver imagen")</f>
        <v/>
      </c>
    </row>
    <row r="4087">
      <c r="A4087" t="inlineStr">
        <is>
          <t>T TAHARI</t>
        </is>
      </c>
      <c r="B4087" t="inlineStr">
        <is>
          <t>124005972</t>
        </is>
      </c>
      <c r="C4087" t="inlineStr">
        <is>
          <t>GRETA</t>
        </is>
      </c>
      <c r="D4087" t="inlineStr">
        <is>
          <t>NVY</t>
        </is>
      </c>
      <c r="E4087" t="inlineStr">
        <is>
          <t>(en blanco)</t>
        </is>
      </c>
      <c r="F4087" t="inlineStr">
        <is>
          <t>(en blanco)</t>
        </is>
      </c>
      <c r="G4087" t="inlineStr">
        <is>
          <t>XL</t>
        </is>
      </c>
      <c r="H4087" t="n">
        <v>7</v>
      </c>
      <c r="I4087" t="inlineStr">
        <is>
          <t>T_TAHARI_124005972_NVY_1.jpg</t>
        </is>
      </c>
      <c r="J4087" t="inlineStr">
        <is>
          <t>T_TAHARI_124005972_NVY_2.jpg</t>
        </is>
      </c>
      <c r="K4087" t="inlineStr">
        <is>
          <t>T_TAHARI_124005972_NVY_3.jpg</t>
        </is>
      </c>
      <c r="L4087">
        <f>IMAGE("file:///E:/Estudios%20y%20certificaciones/ESTUDIOS%20DE%20PROGRAMMING/PROGRAMMING/PERSONAL/PYTHON/Image_Generator_API/imagenes/T_TAHARI_124005972_NVY_1.jpg")</f>
        <v/>
      </c>
      <c r="M4087">
        <f>IMAGE("file:///E:/Estudios%20y%20certificaciones/ESTUDIOS%20DE%20PROGRAMMING/PROGRAMMING/PERSONAL/PYTHON/Image_Generator_API/imagenes/T_TAHARI_124005972_NVY_2.jpg")</f>
        <v/>
      </c>
      <c r="N4087">
        <f>IMAGE("file:///E:/Estudios%20y%20certificaciones/ESTUDIOS%20DE%20PROGRAMMING/PROGRAMMING/PERSONAL/PYTHON/Image_Generator_API/imagenes/T_TAHARI_124005972_NVY_3.jpg")</f>
        <v/>
      </c>
      <c r="O4087">
        <f>HYPERLINK("imagenes/T_TAHARI_124005972_NVY_1.jpg","Ver imagen")</f>
        <v/>
      </c>
      <c r="P4087">
        <f>HYPERLINK("imagenes/T_TAHARI_124005972_NVY_2.jpg","Ver imagen")</f>
        <v/>
      </c>
      <c r="Q4087">
        <f>HYPERLINK("imagenes/T_TAHARI_124005972_NVY_3.jpg","Ver imagen")</f>
        <v/>
      </c>
    </row>
    <row r="4088">
      <c r="A4088" t="inlineStr">
        <is>
          <t>T TAHARI</t>
        </is>
      </c>
      <c r="B4088" t="inlineStr">
        <is>
          <t>124005972</t>
        </is>
      </c>
      <c r="C4088" t="inlineStr">
        <is>
          <t>GRETA</t>
        </is>
      </c>
      <c r="D4088" t="inlineStr">
        <is>
          <t>NVY</t>
        </is>
      </c>
      <c r="E4088" t="inlineStr">
        <is>
          <t>(en blanco)</t>
        </is>
      </c>
      <c r="F4088" t="inlineStr">
        <is>
          <t>(en blanco)</t>
        </is>
      </c>
      <c r="G4088" t="inlineStr">
        <is>
          <t>XXL</t>
        </is>
      </c>
      <c r="H4088" t="n">
        <v>2</v>
      </c>
      <c r="I4088" t="inlineStr">
        <is>
          <t>T_TAHARI_124005972_NVY_1.jpg</t>
        </is>
      </c>
      <c r="J4088" t="inlineStr">
        <is>
          <t>T_TAHARI_124005972_NVY_2.jpg</t>
        </is>
      </c>
      <c r="K4088" t="inlineStr">
        <is>
          <t>T_TAHARI_124005972_NVY_3.jpg</t>
        </is>
      </c>
      <c r="L4088">
        <f>IMAGE("file:///E:/Estudios%20y%20certificaciones/ESTUDIOS%20DE%20PROGRAMMING/PROGRAMMING/PERSONAL/PYTHON/Image_Generator_API/imagenes/T_TAHARI_124005972_NVY_1.jpg")</f>
        <v/>
      </c>
      <c r="M4088">
        <f>IMAGE("file:///E:/Estudios%20y%20certificaciones/ESTUDIOS%20DE%20PROGRAMMING/PROGRAMMING/PERSONAL/PYTHON/Image_Generator_API/imagenes/T_TAHARI_124005972_NVY_2.jpg")</f>
        <v/>
      </c>
      <c r="N4088">
        <f>IMAGE("file:///E:/Estudios%20y%20certificaciones/ESTUDIOS%20DE%20PROGRAMMING/PROGRAMMING/PERSONAL/PYTHON/Image_Generator_API/imagenes/T_TAHARI_124005972_NVY_3.jpg")</f>
        <v/>
      </c>
      <c r="O4088">
        <f>HYPERLINK("imagenes/T_TAHARI_124005972_NVY_1.jpg","Ver imagen")</f>
        <v/>
      </c>
      <c r="P4088">
        <f>HYPERLINK("imagenes/T_TAHARI_124005972_NVY_2.jpg","Ver imagen")</f>
        <v/>
      </c>
      <c r="Q4088">
        <f>HYPERLINK("imagenes/T_TAHARI_124005972_NVY_3.jpg","Ver imagen")</f>
        <v/>
      </c>
    </row>
    <row r="4089">
      <c r="A4089" t="inlineStr">
        <is>
          <t>T TAHARI</t>
        </is>
      </c>
      <c r="B4089" t="inlineStr">
        <is>
          <t>124005972</t>
        </is>
      </c>
      <c r="C4089" t="inlineStr">
        <is>
          <t>GRETA</t>
        </is>
      </c>
      <c r="D4089" t="inlineStr">
        <is>
          <t>NVY</t>
        </is>
      </c>
      <c r="E4089" t="inlineStr">
        <is>
          <t>(en blanco)</t>
        </is>
      </c>
      <c r="F4089" t="inlineStr">
        <is>
          <t>(en blanco)</t>
        </is>
      </c>
      <c r="G4089" t="inlineStr">
        <is>
          <t>XXS</t>
        </is>
      </c>
      <c r="H4089" t="n">
        <v>5</v>
      </c>
      <c r="I4089" t="inlineStr">
        <is>
          <t>T_TAHARI_124005972_NVY_1.jpg</t>
        </is>
      </c>
      <c r="J4089" t="inlineStr">
        <is>
          <t>T_TAHARI_124005972_NVY_2.jpg</t>
        </is>
      </c>
      <c r="K4089" t="inlineStr">
        <is>
          <t>T_TAHARI_124005972_NVY_3.jpg</t>
        </is>
      </c>
      <c r="L4089">
        <f>IMAGE("file:///E:/Estudios%20y%20certificaciones/ESTUDIOS%20DE%20PROGRAMMING/PROGRAMMING/PERSONAL/PYTHON/Image_Generator_API/imagenes/T_TAHARI_124005972_NVY_1.jpg")</f>
        <v/>
      </c>
      <c r="M4089">
        <f>IMAGE("file:///E:/Estudios%20y%20certificaciones/ESTUDIOS%20DE%20PROGRAMMING/PROGRAMMING/PERSONAL/PYTHON/Image_Generator_API/imagenes/T_TAHARI_124005972_NVY_2.jpg")</f>
        <v/>
      </c>
      <c r="N4089">
        <f>IMAGE("file:///E:/Estudios%20y%20certificaciones/ESTUDIOS%20DE%20PROGRAMMING/PROGRAMMING/PERSONAL/PYTHON/Image_Generator_API/imagenes/T_TAHARI_124005972_NVY_3.jpg")</f>
        <v/>
      </c>
      <c r="O4089">
        <f>HYPERLINK("imagenes/T_TAHARI_124005972_NVY_1.jpg","Ver imagen")</f>
        <v/>
      </c>
      <c r="P4089">
        <f>HYPERLINK("imagenes/T_TAHARI_124005972_NVY_2.jpg","Ver imagen")</f>
        <v/>
      </c>
      <c r="Q4089">
        <f>HYPERLINK("imagenes/T_TAHARI_124005972_NVY_3.jpg","Ver imagen")</f>
        <v/>
      </c>
    </row>
    <row r="4090">
      <c r="A4090" t="inlineStr">
        <is>
          <t>T TAHARI</t>
        </is>
      </c>
      <c r="B4090" t="inlineStr">
        <is>
          <t>124006019</t>
        </is>
      </c>
      <c r="C4090" t="inlineStr">
        <is>
          <t>BRISTOL</t>
        </is>
      </c>
      <c r="D4090" t="inlineStr">
        <is>
          <t>BLK</t>
        </is>
      </c>
      <c r="E4090" t="inlineStr">
        <is>
          <t>(en blanco)</t>
        </is>
      </c>
      <c r="F4090" t="inlineStr">
        <is>
          <t>D2C</t>
        </is>
      </c>
      <c r="G4090" t="inlineStr">
        <is>
          <t>XS</t>
        </is>
      </c>
      <c r="H4090" t="n">
        <v>2</v>
      </c>
      <c r="I4090" t="inlineStr">
        <is>
          <t>T_TAHARI_124006019_BLK_1.jpg</t>
        </is>
      </c>
      <c r="J4090" t="inlineStr">
        <is>
          <t>T_TAHARI_124006019_BLK_2.jpg</t>
        </is>
      </c>
      <c r="K4090" t="inlineStr">
        <is>
          <t>T_TAHARI_124006019_BLK_3.jpg</t>
        </is>
      </c>
      <c r="L4090">
        <f>IMAGE("file:///E:/Estudios%20y%20certificaciones/ESTUDIOS%20DE%20PROGRAMMING/PROGRAMMING/PERSONAL/PYTHON/Image_Generator_API/imagenes/T_TAHARI_124006019_BLK_1.jpg")</f>
        <v/>
      </c>
      <c r="M4090">
        <f>IMAGE("file:///E:/Estudios%20y%20certificaciones/ESTUDIOS%20DE%20PROGRAMMING/PROGRAMMING/PERSONAL/PYTHON/Image_Generator_API/imagenes/T_TAHARI_124006019_BLK_2.jpg")</f>
        <v/>
      </c>
      <c r="N4090">
        <f>IMAGE("file:///E:/Estudios%20y%20certificaciones/ESTUDIOS%20DE%20PROGRAMMING/PROGRAMMING/PERSONAL/PYTHON/Image_Generator_API/imagenes/T_TAHARI_124006019_BLK_3.jpg")</f>
        <v/>
      </c>
      <c r="O4090">
        <f>HYPERLINK("imagenes/T_TAHARI_124006019_BLK_1.jpg","Ver imagen")</f>
        <v/>
      </c>
      <c r="P4090">
        <f>HYPERLINK("imagenes/T_TAHARI_124006019_BLK_2.jpg","Ver imagen")</f>
        <v/>
      </c>
      <c r="Q4090">
        <f>HYPERLINK("imagenes/T_TAHARI_124006019_BLK_3.jpg","Ver imagen")</f>
        <v/>
      </c>
    </row>
    <row r="4091">
      <c r="A4091" t="inlineStr">
        <is>
          <t>T TAHARI</t>
        </is>
      </c>
      <c r="B4091" t="inlineStr">
        <is>
          <t>124006019</t>
        </is>
      </c>
      <c r="C4091" t="inlineStr">
        <is>
          <t>BRISTOL</t>
        </is>
      </c>
      <c r="D4091" t="inlineStr">
        <is>
          <t>BLK</t>
        </is>
      </c>
      <c r="E4091" t="inlineStr">
        <is>
          <t>(en blanco)</t>
        </is>
      </c>
      <c r="F4091" t="inlineStr">
        <is>
          <t>D2C</t>
        </is>
      </c>
      <c r="G4091" t="inlineStr">
        <is>
          <t>S</t>
        </is>
      </c>
      <c r="H4091" t="n">
        <v>16</v>
      </c>
      <c r="I4091" t="inlineStr">
        <is>
          <t>T_TAHARI_124006019_BLK_1.jpg</t>
        </is>
      </c>
      <c r="J4091" t="inlineStr">
        <is>
          <t>T_TAHARI_124006019_BLK_2.jpg</t>
        </is>
      </c>
      <c r="K4091" t="inlineStr">
        <is>
          <t>T_TAHARI_124006019_BLK_3.jpg</t>
        </is>
      </c>
      <c r="L4091">
        <f>IMAGE("file:///E:/Estudios%20y%20certificaciones/ESTUDIOS%20DE%20PROGRAMMING/PROGRAMMING/PERSONAL/PYTHON/Image_Generator_API/imagenes/T_TAHARI_124006019_BLK_1.jpg")</f>
        <v/>
      </c>
      <c r="M4091">
        <f>IMAGE("file:///E:/Estudios%20y%20certificaciones/ESTUDIOS%20DE%20PROGRAMMING/PROGRAMMING/PERSONAL/PYTHON/Image_Generator_API/imagenes/T_TAHARI_124006019_BLK_2.jpg")</f>
        <v/>
      </c>
      <c r="N4091">
        <f>IMAGE("file:///E:/Estudios%20y%20certificaciones/ESTUDIOS%20DE%20PROGRAMMING/PROGRAMMING/PERSONAL/PYTHON/Image_Generator_API/imagenes/T_TAHARI_124006019_BLK_3.jpg")</f>
        <v/>
      </c>
      <c r="O4091">
        <f>HYPERLINK("imagenes/T_TAHARI_124006019_BLK_1.jpg","Ver imagen")</f>
        <v/>
      </c>
      <c r="P4091">
        <f>HYPERLINK("imagenes/T_TAHARI_124006019_BLK_2.jpg","Ver imagen")</f>
        <v/>
      </c>
      <c r="Q4091">
        <f>HYPERLINK("imagenes/T_TAHARI_124006019_BLK_3.jpg","Ver imagen")</f>
        <v/>
      </c>
    </row>
    <row r="4092">
      <c r="A4092" t="inlineStr">
        <is>
          <t>T TAHARI</t>
        </is>
      </c>
      <c r="B4092" t="inlineStr">
        <is>
          <t>124006019</t>
        </is>
      </c>
      <c r="C4092" t="inlineStr">
        <is>
          <t>BRISTOL</t>
        </is>
      </c>
      <c r="D4092" t="inlineStr">
        <is>
          <t>BLK</t>
        </is>
      </c>
      <c r="E4092" t="inlineStr">
        <is>
          <t>(en blanco)</t>
        </is>
      </c>
      <c r="F4092" t="inlineStr">
        <is>
          <t>D2C</t>
        </is>
      </c>
      <c r="G4092" t="inlineStr">
        <is>
          <t>M</t>
        </is>
      </c>
      <c r="H4092" t="n">
        <v>10</v>
      </c>
      <c r="I4092" t="inlineStr">
        <is>
          <t>T_TAHARI_124006019_BLK_1.jpg</t>
        </is>
      </c>
      <c r="J4092" t="inlineStr">
        <is>
          <t>T_TAHARI_124006019_BLK_2.jpg</t>
        </is>
      </c>
      <c r="K4092" t="inlineStr">
        <is>
          <t>T_TAHARI_124006019_BLK_3.jpg</t>
        </is>
      </c>
      <c r="L4092">
        <f>IMAGE("file:///E:/Estudios%20y%20certificaciones/ESTUDIOS%20DE%20PROGRAMMING/PROGRAMMING/PERSONAL/PYTHON/Image_Generator_API/imagenes/T_TAHARI_124006019_BLK_1.jpg")</f>
        <v/>
      </c>
      <c r="M4092">
        <f>IMAGE("file:///E:/Estudios%20y%20certificaciones/ESTUDIOS%20DE%20PROGRAMMING/PROGRAMMING/PERSONAL/PYTHON/Image_Generator_API/imagenes/T_TAHARI_124006019_BLK_2.jpg")</f>
        <v/>
      </c>
      <c r="N4092">
        <f>IMAGE("file:///E:/Estudios%20y%20certificaciones/ESTUDIOS%20DE%20PROGRAMMING/PROGRAMMING/PERSONAL/PYTHON/Image_Generator_API/imagenes/T_TAHARI_124006019_BLK_3.jpg")</f>
        <v/>
      </c>
      <c r="O4092">
        <f>HYPERLINK("imagenes/T_TAHARI_124006019_BLK_1.jpg","Ver imagen")</f>
        <v/>
      </c>
      <c r="P4092">
        <f>HYPERLINK("imagenes/T_TAHARI_124006019_BLK_2.jpg","Ver imagen")</f>
        <v/>
      </c>
      <c r="Q4092">
        <f>HYPERLINK("imagenes/T_TAHARI_124006019_BLK_3.jpg","Ver imagen")</f>
        <v/>
      </c>
    </row>
    <row r="4093">
      <c r="A4093" t="inlineStr">
        <is>
          <t>T TAHARI</t>
        </is>
      </c>
      <c r="B4093" t="inlineStr">
        <is>
          <t>124006019</t>
        </is>
      </c>
      <c r="C4093" t="inlineStr">
        <is>
          <t>BRISTOL</t>
        </is>
      </c>
      <c r="D4093" t="inlineStr">
        <is>
          <t>BLK</t>
        </is>
      </c>
      <c r="E4093" t="inlineStr">
        <is>
          <t>(en blanco)</t>
        </is>
      </c>
      <c r="F4093" t="inlineStr">
        <is>
          <t>(en blanco)</t>
        </is>
      </c>
      <c r="G4093" t="inlineStr">
        <is>
          <t>XS</t>
        </is>
      </c>
      <c r="H4093" t="n">
        <v>24</v>
      </c>
      <c r="I4093" t="inlineStr">
        <is>
          <t>T_TAHARI_124006019_BLK_1.jpg</t>
        </is>
      </c>
      <c r="J4093" t="inlineStr">
        <is>
          <t>T_TAHARI_124006019_BLK_2.jpg</t>
        </is>
      </c>
      <c r="K4093" t="inlineStr">
        <is>
          <t>T_TAHARI_124006019_BLK_3.jpg</t>
        </is>
      </c>
      <c r="L4093">
        <f>IMAGE("file:///E:/Estudios%20y%20certificaciones/ESTUDIOS%20DE%20PROGRAMMING/PROGRAMMING/PERSONAL/PYTHON/Image_Generator_API/imagenes/T_TAHARI_124006019_BLK_1.jpg")</f>
        <v/>
      </c>
      <c r="M4093">
        <f>IMAGE("file:///E:/Estudios%20y%20certificaciones/ESTUDIOS%20DE%20PROGRAMMING/PROGRAMMING/PERSONAL/PYTHON/Image_Generator_API/imagenes/T_TAHARI_124006019_BLK_2.jpg")</f>
        <v/>
      </c>
      <c r="N4093">
        <f>IMAGE("file:///E:/Estudios%20y%20certificaciones/ESTUDIOS%20DE%20PROGRAMMING/PROGRAMMING/PERSONAL/PYTHON/Image_Generator_API/imagenes/T_TAHARI_124006019_BLK_3.jpg")</f>
        <v/>
      </c>
      <c r="O4093">
        <f>HYPERLINK("imagenes/T_TAHARI_124006019_BLK_1.jpg","Ver imagen")</f>
        <v/>
      </c>
      <c r="P4093">
        <f>HYPERLINK("imagenes/T_TAHARI_124006019_BLK_2.jpg","Ver imagen")</f>
        <v/>
      </c>
      <c r="Q4093">
        <f>HYPERLINK("imagenes/T_TAHARI_124006019_BLK_3.jpg","Ver imagen")</f>
        <v/>
      </c>
    </row>
    <row r="4094">
      <c r="A4094" t="inlineStr">
        <is>
          <t>T TAHARI</t>
        </is>
      </c>
      <c r="B4094" t="inlineStr">
        <is>
          <t>124006019</t>
        </is>
      </c>
      <c r="C4094" t="inlineStr">
        <is>
          <t>BRISTOL</t>
        </is>
      </c>
      <c r="D4094" t="inlineStr">
        <is>
          <t>BLK</t>
        </is>
      </c>
      <c r="E4094" t="inlineStr">
        <is>
          <t>(en blanco)</t>
        </is>
      </c>
      <c r="F4094" t="inlineStr">
        <is>
          <t>(en blanco)</t>
        </is>
      </c>
      <c r="G4094" t="inlineStr">
        <is>
          <t>S</t>
        </is>
      </c>
      <c r="H4094" t="n">
        <v>33</v>
      </c>
      <c r="I4094" t="inlineStr">
        <is>
          <t>T_TAHARI_124006019_BLK_1.jpg</t>
        </is>
      </c>
      <c r="J4094" t="inlineStr">
        <is>
          <t>T_TAHARI_124006019_BLK_2.jpg</t>
        </is>
      </c>
      <c r="K4094" t="inlineStr">
        <is>
          <t>T_TAHARI_124006019_BLK_3.jpg</t>
        </is>
      </c>
      <c r="L4094">
        <f>IMAGE("file:///E:/Estudios%20y%20certificaciones/ESTUDIOS%20DE%20PROGRAMMING/PROGRAMMING/PERSONAL/PYTHON/Image_Generator_API/imagenes/T_TAHARI_124006019_BLK_1.jpg")</f>
        <v/>
      </c>
      <c r="M4094">
        <f>IMAGE("file:///E:/Estudios%20y%20certificaciones/ESTUDIOS%20DE%20PROGRAMMING/PROGRAMMING/PERSONAL/PYTHON/Image_Generator_API/imagenes/T_TAHARI_124006019_BLK_2.jpg")</f>
        <v/>
      </c>
      <c r="N4094">
        <f>IMAGE("file:///E:/Estudios%20y%20certificaciones/ESTUDIOS%20DE%20PROGRAMMING/PROGRAMMING/PERSONAL/PYTHON/Image_Generator_API/imagenes/T_TAHARI_124006019_BLK_3.jpg")</f>
        <v/>
      </c>
      <c r="O4094">
        <f>HYPERLINK("imagenes/T_TAHARI_124006019_BLK_1.jpg","Ver imagen")</f>
        <v/>
      </c>
      <c r="P4094">
        <f>HYPERLINK("imagenes/T_TAHARI_124006019_BLK_2.jpg","Ver imagen")</f>
        <v/>
      </c>
      <c r="Q4094">
        <f>HYPERLINK("imagenes/T_TAHARI_124006019_BLK_3.jpg","Ver imagen")</f>
        <v/>
      </c>
    </row>
    <row r="4095">
      <c r="A4095" t="inlineStr">
        <is>
          <t>T TAHARI</t>
        </is>
      </c>
      <c r="B4095" t="inlineStr">
        <is>
          <t>124006019</t>
        </is>
      </c>
      <c r="C4095" t="inlineStr">
        <is>
          <t>BRISTOL</t>
        </is>
      </c>
      <c r="D4095" t="inlineStr">
        <is>
          <t>BLK</t>
        </is>
      </c>
      <c r="E4095" t="inlineStr">
        <is>
          <t>(en blanco)</t>
        </is>
      </c>
      <c r="F4095" t="inlineStr">
        <is>
          <t>(en blanco)</t>
        </is>
      </c>
      <c r="G4095" t="inlineStr">
        <is>
          <t>M</t>
        </is>
      </c>
      <c r="H4095" t="n">
        <v>16</v>
      </c>
      <c r="I4095" t="inlineStr">
        <is>
          <t>T_TAHARI_124006019_BLK_1.jpg</t>
        </is>
      </c>
      <c r="J4095" t="inlineStr">
        <is>
          <t>T_TAHARI_124006019_BLK_2.jpg</t>
        </is>
      </c>
      <c r="K4095" t="inlineStr">
        <is>
          <t>T_TAHARI_124006019_BLK_3.jpg</t>
        </is>
      </c>
      <c r="L4095">
        <f>IMAGE("file:///E:/Estudios%20y%20certificaciones/ESTUDIOS%20DE%20PROGRAMMING/PROGRAMMING/PERSONAL/PYTHON/Image_Generator_API/imagenes/T_TAHARI_124006019_BLK_1.jpg")</f>
        <v/>
      </c>
      <c r="M4095">
        <f>IMAGE("file:///E:/Estudios%20y%20certificaciones/ESTUDIOS%20DE%20PROGRAMMING/PROGRAMMING/PERSONAL/PYTHON/Image_Generator_API/imagenes/T_TAHARI_124006019_BLK_2.jpg")</f>
        <v/>
      </c>
      <c r="N4095">
        <f>IMAGE("file:///E:/Estudios%20y%20certificaciones/ESTUDIOS%20DE%20PROGRAMMING/PROGRAMMING/PERSONAL/PYTHON/Image_Generator_API/imagenes/T_TAHARI_124006019_BLK_3.jpg")</f>
        <v/>
      </c>
      <c r="O4095">
        <f>HYPERLINK("imagenes/T_TAHARI_124006019_BLK_1.jpg","Ver imagen")</f>
        <v/>
      </c>
      <c r="P4095">
        <f>HYPERLINK("imagenes/T_TAHARI_124006019_BLK_2.jpg","Ver imagen")</f>
        <v/>
      </c>
      <c r="Q4095">
        <f>HYPERLINK("imagenes/T_TAHARI_124006019_BLK_3.jpg","Ver imagen")</f>
        <v/>
      </c>
    </row>
    <row r="4096">
      <c r="A4096" t="inlineStr">
        <is>
          <t>T TAHARI</t>
        </is>
      </c>
      <c r="B4096" t="inlineStr">
        <is>
          <t>124006019</t>
        </is>
      </c>
      <c r="C4096" t="inlineStr">
        <is>
          <t>BRISTOL</t>
        </is>
      </c>
      <c r="D4096" t="inlineStr">
        <is>
          <t>BLK</t>
        </is>
      </c>
      <c r="E4096" t="inlineStr">
        <is>
          <t>(en blanco)</t>
        </is>
      </c>
      <c r="F4096" t="inlineStr">
        <is>
          <t>(en blanco)</t>
        </is>
      </c>
      <c r="G4096" t="inlineStr">
        <is>
          <t>L</t>
        </is>
      </c>
      <c r="H4096" t="n">
        <v>14</v>
      </c>
      <c r="I4096" t="inlineStr">
        <is>
          <t>T_TAHARI_124006019_BLK_1.jpg</t>
        </is>
      </c>
      <c r="J4096" t="inlineStr">
        <is>
          <t>T_TAHARI_124006019_BLK_2.jpg</t>
        </is>
      </c>
      <c r="K4096" t="inlineStr">
        <is>
          <t>T_TAHARI_124006019_BLK_3.jpg</t>
        </is>
      </c>
      <c r="L4096">
        <f>IMAGE("file:///E:/Estudios%20y%20certificaciones/ESTUDIOS%20DE%20PROGRAMMING/PROGRAMMING/PERSONAL/PYTHON/Image_Generator_API/imagenes/T_TAHARI_124006019_BLK_1.jpg")</f>
        <v/>
      </c>
      <c r="M4096">
        <f>IMAGE("file:///E:/Estudios%20y%20certificaciones/ESTUDIOS%20DE%20PROGRAMMING/PROGRAMMING/PERSONAL/PYTHON/Image_Generator_API/imagenes/T_TAHARI_124006019_BLK_2.jpg")</f>
        <v/>
      </c>
      <c r="N4096">
        <f>IMAGE("file:///E:/Estudios%20y%20certificaciones/ESTUDIOS%20DE%20PROGRAMMING/PROGRAMMING/PERSONAL/PYTHON/Image_Generator_API/imagenes/T_TAHARI_124006019_BLK_3.jpg")</f>
        <v/>
      </c>
      <c r="O4096">
        <f>HYPERLINK("imagenes/T_TAHARI_124006019_BLK_1.jpg","Ver imagen")</f>
        <v/>
      </c>
      <c r="P4096">
        <f>HYPERLINK("imagenes/T_TAHARI_124006019_BLK_2.jpg","Ver imagen")</f>
        <v/>
      </c>
      <c r="Q4096">
        <f>HYPERLINK("imagenes/T_TAHARI_124006019_BLK_3.jpg","Ver imagen")</f>
        <v/>
      </c>
    </row>
    <row r="4097">
      <c r="A4097" t="inlineStr">
        <is>
          <t>T TAHARI</t>
        </is>
      </c>
      <c r="B4097" t="inlineStr">
        <is>
          <t>124006019</t>
        </is>
      </c>
      <c r="C4097" t="inlineStr">
        <is>
          <t>BRISTOL</t>
        </is>
      </c>
      <c r="D4097" t="inlineStr">
        <is>
          <t>BLK</t>
        </is>
      </c>
      <c r="E4097" t="inlineStr">
        <is>
          <t>(en blanco)</t>
        </is>
      </c>
      <c r="F4097" t="inlineStr">
        <is>
          <t>(en blanco)</t>
        </is>
      </c>
      <c r="G4097" t="inlineStr">
        <is>
          <t>XL</t>
        </is>
      </c>
      <c r="H4097" t="n">
        <v>1</v>
      </c>
      <c r="I4097" t="inlineStr">
        <is>
          <t>T_TAHARI_124006019_BLK_1.jpg</t>
        </is>
      </c>
      <c r="J4097" t="inlineStr">
        <is>
          <t>T_TAHARI_124006019_BLK_2.jpg</t>
        </is>
      </c>
      <c r="K4097" t="inlineStr">
        <is>
          <t>T_TAHARI_124006019_BLK_3.jpg</t>
        </is>
      </c>
      <c r="L4097">
        <f>IMAGE("file:///E:/Estudios%20y%20certificaciones/ESTUDIOS%20DE%20PROGRAMMING/PROGRAMMING/PERSONAL/PYTHON/Image_Generator_API/imagenes/T_TAHARI_124006019_BLK_1.jpg")</f>
        <v/>
      </c>
      <c r="M4097">
        <f>IMAGE("file:///E:/Estudios%20y%20certificaciones/ESTUDIOS%20DE%20PROGRAMMING/PROGRAMMING/PERSONAL/PYTHON/Image_Generator_API/imagenes/T_TAHARI_124006019_BLK_2.jpg")</f>
        <v/>
      </c>
      <c r="N4097">
        <f>IMAGE("file:///E:/Estudios%20y%20certificaciones/ESTUDIOS%20DE%20PROGRAMMING/PROGRAMMING/PERSONAL/PYTHON/Image_Generator_API/imagenes/T_TAHARI_124006019_BLK_3.jpg")</f>
        <v/>
      </c>
      <c r="O4097">
        <f>HYPERLINK("imagenes/T_TAHARI_124006019_BLK_1.jpg","Ver imagen")</f>
        <v/>
      </c>
      <c r="P4097">
        <f>HYPERLINK("imagenes/T_TAHARI_124006019_BLK_2.jpg","Ver imagen")</f>
        <v/>
      </c>
      <c r="Q4097">
        <f>HYPERLINK("imagenes/T_TAHARI_124006019_BLK_3.jpg","Ver imagen")</f>
        <v/>
      </c>
    </row>
    <row r="4098">
      <c r="A4098" t="inlineStr">
        <is>
          <t>T TAHARI</t>
        </is>
      </c>
      <c r="B4098" t="inlineStr">
        <is>
          <t>124006019</t>
        </is>
      </c>
      <c r="C4098" t="inlineStr">
        <is>
          <t>BRISTOL</t>
        </is>
      </c>
      <c r="D4098" t="inlineStr">
        <is>
          <t>BLK</t>
        </is>
      </c>
      <c r="E4098" t="inlineStr">
        <is>
          <t>(en blanco)</t>
        </is>
      </c>
      <c r="F4098" t="inlineStr">
        <is>
          <t>(en blanco)</t>
        </is>
      </c>
      <c r="G4098" t="inlineStr">
        <is>
          <t>XXL</t>
        </is>
      </c>
      <c r="H4098" t="n">
        <v>6</v>
      </c>
      <c r="I4098" t="inlineStr">
        <is>
          <t>T_TAHARI_124006019_BLK_1.jpg</t>
        </is>
      </c>
      <c r="J4098" t="inlineStr">
        <is>
          <t>T_TAHARI_124006019_BLK_2.jpg</t>
        </is>
      </c>
      <c r="K4098" t="inlineStr">
        <is>
          <t>T_TAHARI_124006019_BLK_3.jpg</t>
        </is>
      </c>
      <c r="L4098">
        <f>IMAGE("file:///E:/Estudios%20y%20certificaciones/ESTUDIOS%20DE%20PROGRAMMING/PROGRAMMING/PERSONAL/PYTHON/Image_Generator_API/imagenes/T_TAHARI_124006019_BLK_1.jpg")</f>
        <v/>
      </c>
      <c r="M4098">
        <f>IMAGE("file:///E:/Estudios%20y%20certificaciones/ESTUDIOS%20DE%20PROGRAMMING/PROGRAMMING/PERSONAL/PYTHON/Image_Generator_API/imagenes/T_TAHARI_124006019_BLK_2.jpg")</f>
        <v/>
      </c>
      <c r="N4098">
        <f>IMAGE("file:///E:/Estudios%20y%20certificaciones/ESTUDIOS%20DE%20PROGRAMMING/PROGRAMMING/PERSONAL/PYTHON/Image_Generator_API/imagenes/T_TAHARI_124006019_BLK_3.jpg")</f>
        <v/>
      </c>
      <c r="O4098">
        <f>HYPERLINK("imagenes/T_TAHARI_124006019_BLK_1.jpg","Ver imagen")</f>
        <v/>
      </c>
      <c r="P4098">
        <f>HYPERLINK("imagenes/T_TAHARI_124006019_BLK_2.jpg","Ver imagen")</f>
        <v/>
      </c>
      <c r="Q4098">
        <f>HYPERLINK("imagenes/T_TAHARI_124006019_BLK_3.jpg","Ver imagen")</f>
        <v/>
      </c>
    </row>
    <row r="4099">
      <c r="A4099" t="inlineStr">
        <is>
          <t>T TAHARI</t>
        </is>
      </c>
      <c r="B4099" t="inlineStr">
        <is>
          <t>124006019</t>
        </is>
      </c>
      <c r="C4099" t="inlineStr">
        <is>
          <t>BRISTOL</t>
        </is>
      </c>
      <c r="D4099" t="inlineStr">
        <is>
          <t>BLK</t>
        </is>
      </c>
      <c r="E4099" t="inlineStr">
        <is>
          <t>(en blanco)</t>
        </is>
      </c>
      <c r="F4099" t="inlineStr">
        <is>
          <t>(en blanco)</t>
        </is>
      </c>
      <c r="G4099" t="inlineStr">
        <is>
          <t>XXS</t>
        </is>
      </c>
      <c r="H4099" t="n">
        <v>6</v>
      </c>
      <c r="I4099" t="inlineStr">
        <is>
          <t>T_TAHARI_124006019_BLK_1.jpg</t>
        </is>
      </c>
      <c r="J4099" t="inlineStr">
        <is>
          <t>T_TAHARI_124006019_BLK_2.jpg</t>
        </is>
      </c>
      <c r="K4099" t="inlineStr">
        <is>
          <t>T_TAHARI_124006019_BLK_3.jpg</t>
        </is>
      </c>
      <c r="L4099">
        <f>IMAGE("file:///E:/Estudios%20y%20certificaciones/ESTUDIOS%20DE%20PROGRAMMING/PROGRAMMING/PERSONAL/PYTHON/Image_Generator_API/imagenes/T_TAHARI_124006019_BLK_1.jpg")</f>
        <v/>
      </c>
      <c r="M4099">
        <f>IMAGE("file:///E:/Estudios%20y%20certificaciones/ESTUDIOS%20DE%20PROGRAMMING/PROGRAMMING/PERSONAL/PYTHON/Image_Generator_API/imagenes/T_TAHARI_124006019_BLK_2.jpg")</f>
        <v/>
      </c>
      <c r="N4099">
        <f>IMAGE("file:///E:/Estudios%20y%20certificaciones/ESTUDIOS%20DE%20PROGRAMMING/PROGRAMMING/PERSONAL/PYTHON/Image_Generator_API/imagenes/T_TAHARI_124006019_BLK_3.jpg")</f>
        <v/>
      </c>
      <c r="O4099">
        <f>HYPERLINK("imagenes/T_TAHARI_124006019_BLK_1.jpg","Ver imagen")</f>
        <v/>
      </c>
      <c r="P4099">
        <f>HYPERLINK("imagenes/T_TAHARI_124006019_BLK_2.jpg","Ver imagen")</f>
        <v/>
      </c>
      <c r="Q4099">
        <f>HYPERLINK("imagenes/T_TAHARI_124006019_BLK_3.jpg","Ver imagen")</f>
        <v/>
      </c>
    </row>
    <row r="4100">
      <c r="A4100" t="inlineStr">
        <is>
          <t>T TAHARI</t>
        </is>
      </c>
      <c r="B4100" t="inlineStr">
        <is>
          <t>124006019</t>
        </is>
      </c>
      <c r="C4100" t="inlineStr">
        <is>
          <t>BRISTOL</t>
        </is>
      </c>
      <c r="D4100" t="inlineStr">
        <is>
          <t>OTM</t>
        </is>
      </c>
      <c r="E4100" t="inlineStr">
        <is>
          <t>(en blanco)</t>
        </is>
      </c>
      <c r="F4100" t="inlineStr">
        <is>
          <t>D2C</t>
        </is>
      </c>
      <c r="G4100" t="inlineStr">
        <is>
          <t>L</t>
        </is>
      </c>
      <c r="H4100" t="n">
        <v>1</v>
      </c>
      <c r="I4100" t="inlineStr">
        <is>
          <t>T_TAHARI_124006019_OTM_1.jpg</t>
        </is>
      </c>
      <c r="J4100" t="inlineStr">
        <is>
          <t>T_TAHARI_124006019_OTM_2.jpg</t>
        </is>
      </c>
      <c r="K4100" t="inlineStr">
        <is>
          <t>T_TAHARI_124006019_OTM_3.jpg</t>
        </is>
      </c>
      <c r="L4100">
        <f>IMAGE("file:///E:/Estudios%20y%20certificaciones/ESTUDIOS%20DE%20PROGRAMMING/PROGRAMMING/PERSONAL/PYTHON/Image_Generator_API/imagenes/T_TAHARI_124006019_OTM_1.jpg")</f>
        <v/>
      </c>
      <c r="M4100">
        <f>IMAGE("file:///E:/Estudios%20y%20certificaciones/ESTUDIOS%20DE%20PROGRAMMING/PROGRAMMING/PERSONAL/PYTHON/Image_Generator_API/imagenes/T_TAHARI_124006019_OTM_2.jpg")</f>
        <v/>
      </c>
      <c r="N4100">
        <f>IMAGE("file:///E:/Estudios%20y%20certificaciones/ESTUDIOS%20DE%20PROGRAMMING/PROGRAMMING/PERSONAL/PYTHON/Image_Generator_API/imagenes/T_TAHARI_124006019_OTM_3.jpg")</f>
        <v/>
      </c>
      <c r="O4100">
        <f>HYPERLINK("imagenes/T_TAHARI_124006019_OTM_1.jpg","Ver imagen")</f>
        <v/>
      </c>
      <c r="P4100">
        <f>HYPERLINK("imagenes/T_TAHARI_124006019_OTM_2.jpg","Ver imagen")</f>
        <v/>
      </c>
      <c r="Q4100">
        <f>HYPERLINK("imagenes/T_TAHARI_124006019_OTM_3.jpg","Ver imagen")</f>
        <v/>
      </c>
    </row>
    <row r="4101">
      <c r="A4101" t="inlineStr">
        <is>
          <t>T TAHARI</t>
        </is>
      </c>
      <c r="B4101" t="inlineStr">
        <is>
          <t>124006019</t>
        </is>
      </c>
      <c r="C4101" t="inlineStr">
        <is>
          <t>BRISTOL</t>
        </is>
      </c>
      <c r="D4101" t="inlineStr">
        <is>
          <t>OTM</t>
        </is>
      </c>
      <c r="E4101" t="inlineStr">
        <is>
          <t>(en blanco)</t>
        </is>
      </c>
      <c r="F4101" t="inlineStr">
        <is>
          <t>(en blanco)</t>
        </is>
      </c>
      <c r="G4101" t="inlineStr">
        <is>
          <t>XS</t>
        </is>
      </c>
      <c r="H4101" t="n">
        <v>4</v>
      </c>
      <c r="I4101" t="inlineStr">
        <is>
          <t>T_TAHARI_124006019_OTM_1.jpg</t>
        </is>
      </c>
      <c r="J4101" t="inlineStr">
        <is>
          <t>T_TAHARI_124006019_OTM_2.jpg</t>
        </is>
      </c>
      <c r="K4101" t="inlineStr">
        <is>
          <t>T_TAHARI_124006019_OTM_3.jpg</t>
        </is>
      </c>
      <c r="L4101">
        <f>IMAGE("file:///E:/Estudios%20y%20certificaciones/ESTUDIOS%20DE%20PROGRAMMING/PROGRAMMING/PERSONAL/PYTHON/Image_Generator_API/imagenes/T_TAHARI_124006019_OTM_1.jpg")</f>
        <v/>
      </c>
      <c r="M4101">
        <f>IMAGE("file:///E:/Estudios%20y%20certificaciones/ESTUDIOS%20DE%20PROGRAMMING/PROGRAMMING/PERSONAL/PYTHON/Image_Generator_API/imagenes/T_TAHARI_124006019_OTM_2.jpg")</f>
        <v/>
      </c>
      <c r="N4101">
        <f>IMAGE("file:///E:/Estudios%20y%20certificaciones/ESTUDIOS%20DE%20PROGRAMMING/PROGRAMMING/PERSONAL/PYTHON/Image_Generator_API/imagenes/T_TAHARI_124006019_OTM_3.jpg")</f>
        <v/>
      </c>
      <c r="O4101">
        <f>HYPERLINK("imagenes/T_TAHARI_124006019_OTM_1.jpg","Ver imagen")</f>
        <v/>
      </c>
      <c r="P4101">
        <f>HYPERLINK("imagenes/T_TAHARI_124006019_OTM_2.jpg","Ver imagen")</f>
        <v/>
      </c>
      <c r="Q4101">
        <f>HYPERLINK("imagenes/T_TAHARI_124006019_OTM_3.jpg","Ver imagen")</f>
        <v/>
      </c>
    </row>
    <row r="4102">
      <c r="A4102" t="inlineStr">
        <is>
          <t>T TAHARI</t>
        </is>
      </c>
      <c r="B4102" t="inlineStr">
        <is>
          <t>124006019</t>
        </is>
      </c>
      <c r="C4102" t="inlineStr">
        <is>
          <t>BRISTOL</t>
        </is>
      </c>
      <c r="D4102" t="inlineStr">
        <is>
          <t>OTM</t>
        </is>
      </c>
      <c r="E4102" t="inlineStr">
        <is>
          <t>(en blanco)</t>
        </is>
      </c>
      <c r="F4102" t="inlineStr">
        <is>
          <t>(en blanco)</t>
        </is>
      </c>
      <c r="G4102" t="inlineStr">
        <is>
          <t>S</t>
        </is>
      </c>
      <c r="H4102" t="n">
        <v>0</v>
      </c>
      <c r="I4102" t="inlineStr">
        <is>
          <t>T_TAHARI_124006019_OTM_1.jpg</t>
        </is>
      </c>
      <c r="J4102" t="inlineStr">
        <is>
          <t>T_TAHARI_124006019_OTM_2.jpg</t>
        </is>
      </c>
      <c r="K4102" t="inlineStr">
        <is>
          <t>T_TAHARI_124006019_OTM_3.jpg</t>
        </is>
      </c>
      <c r="L4102">
        <f>IMAGE("file:///E:/Estudios%20y%20certificaciones/ESTUDIOS%20DE%20PROGRAMMING/PROGRAMMING/PERSONAL/PYTHON/Image_Generator_API/imagenes/T_TAHARI_124006019_OTM_1.jpg")</f>
        <v/>
      </c>
      <c r="M4102">
        <f>IMAGE("file:///E:/Estudios%20y%20certificaciones/ESTUDIOS%20DE%20PROGRAMMING/PROGRAMMING/PERSONAL/PYTHON/Image_Generator_API/imagenes/T_TAHARI_124006019_OTM_2.jpg")</f>
        <v/>
      </c>
      <c r="N4102">
        <f>IMAGE("file:///E:/Estudios%20y%20certificaciones/ESTUDIOS%20DE%20PROGRAMMING/PROGRAMMING/PERSONAL/PYTHON/Image_Generator_API/imagenes/T_TAHARI_124006019_OTM_3.jpg")</f>
        <v/>
      </c>
      <c r="O4102">
        <f>HYPERLINK("imagenes/T_TAHARI_124006019_OTM_1.jpg","Ver imagen")</f>
        <v/>
      </c>
      <c r="P4102">
        <f>HYPERLINK("imagenes/T_TAHARI_124006019_OTM_2.jpg","Ver imagen")</f>
        <v/>
      </c>
      <c r="Q4102">
        <f>HYPERLINK("imagenes/T_TAHARI_124006019_OTM_3.jpg","Ver imagen")</f>
        <v/>
      </c>
    </row>
    <row r="4103">
      <c r="A4103" t="inlineStr">
        <is>
          <t>T TAHARI</t>
        </is>
      </c>
      <c r="B4103" t="inlineStr">
        <is>
          <t>124006019</t>
        </is>
      </c>
      <c r="C4103" t="inlineStr">
        <is>
          <t>BRISTOL</t>
        </is>
      </c>
      <c r="D4103" t="inlineStr">
        <is>
          <t>OTM</t>
        </is>
      </c>
      <c r="E4103" t="inlineStr">
        <is>
          <t>(en blanco)</t>
        </is>
      </c>
      <c r="F4103" t="inlineStr">
        <is>
          <t>(en blanco)</t>
        </is>
      </c>
      <c r="G4103" t="inlineStr">
        <is>
          <t>M</t>
        </is>
      </c>
      <c r="H4103" t="n">
        <v>3</v>
      </c>
      <c r="I4103" t="inlineStr">
        <is>
          <t>T_TAHARI_124006019_OTM_1.jpg</t>
        </is>
      </c>
      <c r="J4103" t="inlineStr">
        <is>
          <t>T_TAHARI_124006019_OTM_2.jpg</t>
        </is>
      </c>
      <c r="K4103" t="inlineStr">
        <is>
          <t>T_TAHARI_124006019_OTM_3.jpg</t>
        </is>
      </c>
      <c r="L4103">
        <f>IMAGE("file:///E:/Estudios%20y%20certificaciones/ESTUDIOS%20DE%20PROGRAMMING/PROGRAMMING/PERSONAL/PYTHON/Image_Generator_API/imagenes/T_TAHARI_124006019_OTM_1.jpg")</f>
        <v/>
      </c>
      <c r="M4103">
        <f>IMAGE("file:///E:/Estudios%20y%20certificaciones/ESTUDIOS%20DE%20PROGRAMMING/PROGRAMMING/PERSONAL/PYTHON/Image_Generator_API/imagenes/T_TAHARI_124006019_OTM_2.jpg")</f>
        <v/>
      </c>
      <c r="N4103">
        <f>IMAGE("file:///E:/Estudios%20y%20certificaciones/ESTUDIOS%20DE%20PROGRAMMING/PROGRAMMING/PERSONAL/PYTHON/Image_Generator_API/imagenes/T_TAHARI_124006019_OTM_3.jpg")</f>
        <v/>
      </c>
      <c r="O4103">
        <f>HYPERLINK("imagenes/T_TAHARI_124006019_OTM_1.jpg","Ver imagen")</f>
        <v/>
      </c>
      <c r="P4103">
        <f>HYPERLINK("imagenes/T_TAHARI_124006019_OTM_2.jpg","Ver imagen")</f>
        <v/>
      </c>
      <c r="Q4103">
        <f>HYPERLINK("imagenes/T_TAHARI_124006019_OTM_3.jpg","Ver imagen")</f>
        <v/>
      </c>
    </row>
    <row r="4104">
      <c r="A4104" t="inlineStr">
        <is>
          <t>T TAHARI</t>
        </is>
      </c>
      <c r="B4104" t="inlineStr">
        <is>
          <t>124006019</t>
        </is>
      </c>
      <c r="C4104" t="inlineStr">
        <is>
          <t>BRISTOL</t>
        </is>
      </c>
      <c r="D4104" t="inlineStr">
        <is>
          <t>OTM</t>
        </is>
      </c>
      <c r="E4104" t="inlineStr">
        <is>
          <t>(en blanco)</t>
        </is>
      </c>
      <c r="F4104" t="inlineStr">
        <is>
          <t>(en blanco)</t>
        </is>
      </c>
      <c r="G4104" t="inlineStr">
        <is>
          <t>L</t>
        </is>
      </c>
      <c r="H4104" t="n">
        <v>8</v>
      </c>
      <c r="I4104" t="inlineStr">
        <is>
          <t>T_TAHARI_124006019_OTM_1.jpg</t>
        </is>
      </c>
      <c r="J4104" t="inlineStr">
        <is>
          <t>T_TAHARI_124006019_OTM_2.jpg</t>
        </is>
      </c>
      <c r="K4104" t="inlineStr">
        <is>
          <t>T_TAHARI_124006019_OTM_3.jpg</t>
        </is>
      </c>
      <c r="L4104">
        <f>IMAGE("file:///E:/Estudios%20y%20certificaciones/ESTUDIOS%20DE%20PROGRAMMING/PROGRAMMING/PERSONAL/PYTHON/Image_Generator_API/imagenes/T_TAHARI_124006019_OTM_1.jpg")</f>
        <v/>
      </c>
      <c r="M4104">
        <f>IMAGE("file:///E:/Estudios%20y%20certificaciones/ESTUDIOS%20DE%20PROGRAMMING/PROGRAMMING/PERSONAL/PYTHON/Image_Generator_API/imagenes/T_TAHARI_124006019_OTM_2.jpg")</f>
        <v/>
      </c>
      <c r="N4104">
        <f>IMAGE("file:///E:/Estudios%20y%20certificaciones/ESTUDIOS%20DE%20PROGRAMMING/PROGRAMMING/PERSONAL/PYTHON/Image_Generator_API/imagenes/T_TAHARI_124006019_OTM_3.jpg")</f>
        <v/>
      </c>
      <c r="O4104">
        <f>HYPERLINK("imagenes/T_TAHARI_124006019_OTM_1.jpg","Ver imagen")</f>
        <v/>
      </c>
      <c r="P4104">
        <f>HYPERLINK("imagenes/T_TAHARI_124006019_OTM_2.jpg","Ver imagen")</f>
        <v/>
      </c>
      <c r="Q4104">
        <f>HYPERLINK("imagenes/T_TAHARI_124006019_OTM_3.jpg","Ver imagen")</f>
        <v/>
      </c>
    </row>
    <row r="4105">
      <c r="A4105" t="inlineStr">
        <is>
          <t>T TAHARI</t>
        </is>
      </c>
      <c r="B4105" t="inlineStr">
        <is>
          <t>124006019</t>
        </is>
      </c>
      <c r="C4105" t="inlineStr">
        <is>
          <t>BRISTOL</t>
        </is>
      </c>
      <c r="D4105" t="inlineStr">
        <is>
          <t>OTM</t>
        </is>
      </c>
      <c r="E4105" t="inlineStr">
        <is>
          <t>(en blanco)</t>
        </is>
      </c>
      <c r="F4105" t="inlineStr">
        <is>
          <t>(en blanco)</t>
        </is>
      </c>
      <c r="G4105" t="inlineStr">
        <is>
          <t>XL</t>
        </is>
      </c>
      <c r="H4105" t="n">
        <v>5</v>
      </c>
      <c r="I4105" t="inlineStr">
        <is>
          <t>T_TAHARI_124006019_OTM_1.jpg</t>
        </is>
      </c>
      <c r="J4105" t="inlineStr">
        <is>
          <t>T_TAHARI_124006019_OTM_2.jpg</t>
        </is>
      </c>
      <c r="K4105" t="inlineStr">
        <is>
          <t>T_TAHARI_124006019_OTM_3.jpg</t>
        </is>
      </c>
      <c r="L4105">
        <f>IMAGE("file:///E:/Estudios%20y%20certificaciones/ESTUDIOS%20DE%20PROGRAMMING/PROGRAMMING/PERSONAL/PYTHON/Image_Generator_API/imagenes/T_TAHARI_124006019_OTM_1.jpg")</f>
        <v/>
      </c>
      <c r="M4105">
        <f>IMAGE("file:///E:/Estudios%20y%20certificaciones/ESTUDIOS%20DE%20PROGRAMMING/PROGRAMMING/PERSONAL/PYTHON/Image_Generator_API/imagenes/T_TAHARI_124006019_OTM_2.jpg")</f>
        <v/>
      </c>
      <c r="N4105">
        <f>IMAGE("file:///E:/Estudios%20y%20certificaciones/ESTUDIOS%20DE%20PROGRAMMING/PROGRAMMING/PERSONAL/PYTHON/Image_Generator_API/imagenes/T_TAHARI_124006019_OTM_3.jpg")</f>
        <v/>
      </c>
      <c r="O4105">
        <f>HYPERLINK("imagenes/T_TAHARI_124006019_OTM_1.jpg","Ver imagen")</f>
        <v/>
      </c>
      <c r="P4105">
        <f>HYPERLINK("imagenes/T_TAHARI_124006019_OTM_2.jpg","Ver imagen")</f>
        <v/>
      </c>
      <c r="Q4105">
        <f>HYPERLINK("imagenes/T_TAHARI_124006019_OTM_3.jpg","Ver imagen")</f>
        <v/>
      </c>
    </row>
    <row r="4106">
      <c r="A4106" t="inlineStr">
        <is>
          <t>T TAHARI</t>
        </is>
      </c>
      <c r="B4106" t="inlineStr">
        <is>
          <t>124006019</t>
        </is>
      </c>
      <c r="C4106" t="inlineStr">
        <is>
          <t>BRISTOL</t>
        </is>
      </c>
      <c r="D4106" t="inlineStr">
        <is>
          <t>OTM</t>
        </is>
      </c>
      <c r="E4106" t="inlineStr">
        <is>
          <t>(en blanco)</t>
        </is>
      </c>
      <c r="F4106" t="inlineStr">
        <is>
          <t>(en blanco)</t>
        </is>
      </c>
      <c r="G4106" t="inlineStr">
        <is>
          <t>XXL</t>
        </is>
      </c>
      <c r="H4106" t="n">
        <v>7</v>
      </c>
      <c r="I4106" t="inlineStr">
        <is>
          <t>T_TAHARI_124006019_OTM_1.jpg</t>
        </is>
      </c>
      <c r="J4106" t="inlineStr">
        <is>
          <t>T_TAHARI_124006019_OTM_2.jpg</t>
        </is>
      </c>
      <c r="K4106" t="inlineStr">
        <is>
          <t>T_TAHARI_124006019_OTM_3.jpg</t>
        </is>
      </c>
      <c r="L4106">
        <f>IMAGE("file:///E:/Estudios%20y%20certificaciones/ESTUDIOS%20DE%20PROGRAMMING/PROGRAMMING/PERSONAL/PYTHON/Image_Generator_API/imagenes/T_TAHARI_124006019_OTM_1.jpg")</f>
        <v/>
      </c>
      <c r="M4106">
        <f>IMAGE("file:///E:/Estudios%20y%20certificaciones/ESTUDIOS%20DE%20PROGRAMMING/PROGRAMMING/PERSONAL/PYTHON/Image_Generator_API/imagenes/T_TAHARI_124006019_OTM_2.jpg")</f>
        <v/>
      </c>
      <c r="N4106">
        <f>IMAGE("file:///E:/Estudios%20y%20certificaciones/ESTUDIOS%20DE%20PROGRAMMING/PROGRAMMING/PERSONAL/PYTHON/Image_Generator_API/imagenes/T_TAHARI_124006019_OTM_3.jpg")</f>
        <v/>
      </c>
      <c r="O4106">
        <f>HYPERLINK("imagenes/T_TAHARI_124006019_OTM_1.jpg","Ver imagen")</f>
        <v/>
      </c>
      <c r="P4106">
        <f>HYPERLINK("imagenes/T_TAHARI_124006019_OTM_2.jpg","Ver imagen")</f>
        <v/>
      </c>
      <c r="Q4106">
        <f>HYPERLINK("imagenes/T_TAHARI_124006019_OTM_3.jpg","Ver imagen")</f>
        <v/>
      </c>
    </row>
    <row r="4107">
      <c r="A4107" t="inlineStr">
        <is>
          <t>T TAHARI</t>
        </is>
      </c>
      <c r="B4107" t="inlineStr">
        <is>
          <t>124006019</t>
        </is>
      </c>
      <c r="C4107" t="inlineStr">
        <is>
          <t>BRISTOL</t>
        </is>
      </c>
      <c r="D4107" t="inlineStr">
        <is>
          <t>OTM</t>
        </is>
      </c>
      <c r="E4107" t="inlineStr">
        <is>
          <t>(en blanco)</t>
        </is>
      </c>
      <c r="F4107" t="inlineStr">
        <is>
          <t>(en blanco)</t>
        </is>
      </c>
      <c r="G4107" t="inlineStr">
        <is>
          <t>XXS</t>
        </is>
      </c>
      <c r="H4107" t="n">
        <v>4</v>
      </c>
      <c r="I4107" t="inlineStr">
        <is>
          <t>T_TAHARI_124006019_OTM_1.jpg</t>
        </is>
      </c>
      <c r="J4107" t="inlineStr">
        <is>
          <t>T_TAHARI_124006019_OTM_2.jpg</t>
        </is>
      </c>
      <c r="K4107" t="inlineStr">
        <is>
          <t>T_TAHARI_124006019_OTM_3.jpg</t>
        </is>
      </c>
      <c r="L4107">
        <f>IMAGE("file:///E:/Estudios%20y%20certificaciones/ESTUDIOS%20DE%20PROGRAMMING/PROGRAMMING/PERSONAL/PYTHON/Image_Generator_API/imagenes/T_TAHARI_124006019_OTM_1.jpg")</f>
        <v/>
      </c>
      <c r="M4107">
        <f>IMAGE("file:///E:/Estudios%20y%20certificaciones/ESTUDIOS%20DE%20PROGRAMMING/PROGRAMMING/PERSONAL/PYTHON/Image_Generator_API/imagenes/T_TAHARI_124006019_OTM_2.jpg")</f>
        <v/>
      </c>
      <c r="N4107">
        <f>IMAGE("file:///E:/Estudios%20y%20certificaciones/ESTUDIOS%20DE%20PROGRAMMING/PROGRAMMING/PERSONAL/PYTHON/Image_Generator_API/imagenes/T_TAHARI_124006019_OTM_3.jpg")</f>
        <v/>
      </c>
      <c r="O4107">
        <f>HYPERLINK("imagenes/T_TAHARI_124006019_OTM_1.jpg","Ver imagen")</f>
        <v/>
      </c>
      <c r="P4107">
        <f>HYPERLINK("imagenes/T_TAHARI_124006019_OTM_2.jpg","Ver imagen")</f>
        <v/>
      </c>
      <c r="Q4107">
        <f>HYPERLINK("imagenes/T_TAHARI_124006019_OTM_3.jpg","Ver imagen")</f>
        <v/>
      </c>
    </row>
    <row r="4108">
      <c r="A4108" t="inlineStr">
        <is>
          <t>T TAHARI</t>
        </is>
      </c>
      <c r="B4108" t="inlineStr">
        <is>
          <t>124008302</t>
        </is>
      </c>
      <c r="C4108" t="inlineStr">
        <is>
          <t>HALY</t>
        </is>
      </c>
      <c r="D4108" t="inlineStr">
        <is>
          <t>BLK</t>
        </is>
      </c>
      <c r="E4108" t="inlineStr">
        <is>
          <t>(en blanco)</t>
        </is>
      </c>
      <c r="F4108" t="inlineStr">
        <is>
          <t>(en blanco)</t>
        </is>
      </c>
      <c r="G4108" t="inlineStr">
        <is>
          <t>S</t>
        </is>
      </c>
      <c r="H4108" t="n">
        <v>2</v>
      </c>
      <c r="I4108" t="inlineStr">
        <is>
          <t>T_TAHARI_124008302_BLK_1.jpg</t>
        </is>
      </c>
      <c r="J4108" t="inlineStr">
        <is>
          <t>T_TAHARI_124008302_BLK_2.jpg</t>
        </is>
      </c>
      <c r="K4108" t="inlineStr">
        <is>
          <t>T_TAHARI_124008302_BLK_3.jpg</t>
        </is>
      </c>
      <c r="L4108">
        <f>IMAGE("file:///E:/Estudios%20y%20certificaciones/ESTUDIOS%20DE%20PROGRAMMING/PROGRAMMING/PERSONAL/PYTHON/Image_Generator_API/imagenes/T_TAHARI_124008302_BLK_1.jpg")</f>
        <v/>
      </c>
      <c r="M4108">
        <f>IMAGE("file:///E:/Estudios%20y%20certificaciones/ESTUDIOS%20DE%20PROGRAMMING/PROGRAMMING/PERSONAL/PYTHON/Image_Generator_API/imagenes/T_TAHARI_124008302_BLK_2.jpg")</f>
        <v/>
      </c>
      <c r="N4108">
        <f>IMAGE("file:///E:/Estudios%20y%20certificaciones/ESTUDIOS%20DE%20PROGRAMMING/PROGRAMMING/PERSONAL/PYTHON/Image_Generator_API/imagenes/T_TAHARI_124008302_BLK_3.jpg")</f>
        <v/>
      </c>
      <c r="O4108">
        <f>HYPERLINK("imagenes/T_TAHARI_124008302_BLK_1.jpg","Ver imagen")</f>
        <v/>
      </c>
      <c r="P4108">
        <f>HYPERLINK("imagenes/T_TAHARI_124008302_BLK_2.jpg","Ver imagen")</f>
        <v/>
      </c>
      <c r="Q4108">
        <f>HYPERLINK("imagenes/T_TAHARI_124008302_BLK_3.jpg","Ver imagen")</f>
        <v/>
      </c>
    </row>
    <row r="4109">
      <c r="A4109" t="inlineStr">
        <is>
          <t>T TAHARI</t>
        </is>
      </c>
      <c r="B4109" t="inlineStr">
        <is>
          <t>124008302</t>
        </is>
      </c>
      <c r="C4109" t="inlineStr">
        <is>
          <t>HALY</t>
        </is>
      </c>
      <c r="D4109" t="inlineStr">
        <is>
          <t>BLK</t>
        </is>
      </c>
      <c r="E4109" t="inlineStr">
        <is>
          <t>(en blanco)</t>
        </is>
      </c>
      <c r="F4109" t="inlineStr">
        <is>
          <t>(en blanco)</t>
        </is>
      </c>
      <c r="G4109" t="inlineStr">
        <is>
          <t>M</t>
        </is>
      </c>
      <c r="H4109" t="n">
        <v>6</v>
      </c>
      <c r="I4109" t="inlineStr">
        <is>
          <t>T_TAHARI_124008302_BLK_1.jpg</t>
        </is>
      </c>
      <c r="J4109" t="inlineStr">
        <is>
          <t>T_TAHARI_124008302_BLK_2.jpg</t>
        </is>
      </c>
      <c r="K4109" t="inlineStr">
        <is>
          <t>T_TAHARI_124008302_BLK_3.jpg</t>
        </is>
      </c>
      <c r="L4109">
        <f>IMAGE("file:///E:/Estudios%20y%20certificaciones/ESTUDIOS%20DE%20PROGRAMMING/PROGRAMMING/PERSONAL/PYTHON/Image_Generator_API/imagenes/T_TAHARI_124008302_BLK_1.jpg")</f>
        <v/>
      </c>
      <c r="M4109">
        <f>IMAGE("file:///E:/Estudios%20y%20certificaciones/ESTUDIOS%20DE%20PROGRAMMING/PROGRAMMING/PERSONAL/PYTHON/Image_Generator_API/imagenes/T_TAHARI_124008302_BLK_2.jpg")</f>
        <v/>
      </c>
      <c r="N4109">
        <f>IMAGE("file:///E:/Estudios%20y%20certificaciones/ESTUDIOS%20DE%20PROGRAMMING/PROGRAMMING/PERSONAL/PYTHON/Image_Generator_API/imagenes/T_TAHARI_124008302_BLK_3.jpg")</f>
        <v/>
      </c>
      <c r="O4109">
        <f>HYPERLINK("imagenes/T_TAHARI_124008302_BLK_1.jpg","Ver imagen")</f>
        <v/>
      </c>
      <c r="P4109">
        <f>HYPERLINK("imagenes/T_TAHARI_124008302_BLK_2.jpg","Ver imagen")</f>
        <v/>
      </c>
      <c r="Q4109">
        <f>HYPERLINK("imagenes/T_TAHARI_124008302_BLK_3.jpg","Ver imagen")</f>
        <v/>
      </c>
    </row>
    <row r="4110">
      <c r="A4110" t="inlineStr">
        <is>
          <t>T TAHARI</t>
        </is>
      </c>
      <c r="B4110" t="inlineStr">
        <is>
          <t>124008302</t>
        </is>
      </c>
      <c r="C4110" t="inlineStr">
        <is>
          <t>HALY</t>
        </is>
      </c>
      <c r="D4110" t="inlineStr">
        <is>
          <t>ESH</t>
        </is>
      </c>
      <c r="E4110" t="inlineStr">
        <is>
          <t>(en blanco)</t>
        </is>
      </c>
      <c r="F4110" t="inlineStr">
        <is>
          <t>(en blanco)</t>
        </is>
      </c>
      <c r="G4110" t="inlineStr">
        <is>
          <t>M</t>
        </is>
      </c>
      <c r="H4110" t="n">
        <v>2</v>
      </c>
      <c r="I4110" t="inlineStr">
        <is>
          <t>T_TAHARI_124008302_ESH_1.jpg</t>
        </is>
      </c>
      <c r="J4110" t="inlineStr">
        <is>
          <t>T_TAHARI_124008302_ESH_2.jpg</t>
        </is>
      </c>
      <c r="K4110" t="inlineStr">
        <is>
          <t>T_TAHARI_124008302_ESH_3.jpg</t>
        </is>
      </c>
      <c r="L4110">
        <f>IMAGE("file:///E:/Estudios%20y%20certificaciones/ESTUDIOS%20DE%20PROGRAMMING/PROGRAMMING/PERSONAL/PYTHON/Image_Generator_API/imagenes/T_TAHARI_124008302_ESH_1.jpg")</f>
        <v/>
      </c>
      <c r="M4110">
        <f>IMAGE("file:///E:/Estudios%20y%20certificaciones/ESTUDIOS%20DE%20PROGRAMMING/PROGRAMMING/PERSONAL/PYTHON/Image_Generator_API/imagenes/T_TAHARI_124008302_ESH_2.jpg")</f>
        <v/>
      </c>
      <c r="N4110">
        <f>IMAGE("file:///E:/Estudios%20y%20certificaciones/ESTUDIOS%20DE%20PROGRAMMING/PROGRAMMING/PERSONAL/PYTHON/Image_Generator_API/imagenes/T_TAHARI_124008302_ESH_3.jpg")</f>
        <v/>
      </c>
      <c r="O4110">
        <f>HYPERLINK("imagenes/T_TAHARI_124008302_ESH_1.jpg","Ver imagen")</f>
        <v/>
      </c>
      <c r="P4110">
        <f>HYPERLINK("imagenes/T_TAHARI_124008302_ESH_2.jpg","Ver imagen")</f>
        <v/>
      </c>
      <c r="Q4110">
        <f>HYPERLINK("imagenes/T_TAHARI_124008302_ESH_3.jpg","Ver imagen")</f>
        <v/>
      </c>
    </row>
    <row r="4111">
      <c r="A4111" t="inlineStr">
        <is>
          <t>T TAHARI</t>
        </is>
      </c>
      <c r="B4111" t="inlineStr">
        <is>
          <t>124008302</t>
        </is>
      </c>
      <c r="C4111" t="inlineStr">
        <is>
          <t>HALY</t>
        </is>
      </c>
      <c r="D4111" t="inlineStr">
        <is>
          <t>ESH</t>
        </is>
      </c>
      <c r="E4111" t="inlineStr">
        <is>
          <t>(en blanco)</t>
        </is>
      </c>
      <c r="F4111" t="inlineStr">
        <is>
          <t>(en blanco)</t>
        </is>
      </c>
      <c r="G4111" t="inlineStr">
        <is>
          <t>L</t>
        </is>
      </c>
      <c r="H4111" t="n">
        <v>1</v>
      </c>
      <c r="I4111" t="inlineStr">
        <is>
          <t>T_TAHARI_124008302_ESH_1.jpg</t>
        </is>
      </c>
      <c r="J4111" t="inlineStr">
        <is>
          <t>T_TAHARI_124008302_ESH_2.jpg</t>
        </is>
      </c>
      <c r="K4111" t="inlineStr">
        <is>
          <t>T_TAHARI_124008302_ESH_3.jpg</t>
        </is>
      </c>
      <c r="L4111">
        <f>IMAGE("file:///E:/Estudios%20y%20certificaciones/ESTUDIOS%20DE%20PROGRAMMING/PROGRAMMING/PERSONAL/PYTHON/Image_Generator_API/imagenes/T_TAHARI_124008302_ESH_1.jpg")</f>
        <v/>
      </c>
      <c r="M4111">
        <f>IMAGE("file:///E:/Estudios%20y%20certificaciones/ESTUDIOS%20DE%20PROGRAMMING/PROGRAMMING/PERSONAL/PYTHON/Image_Generator_API/imagenes/T_TAHARI_124008302_ESH_2.jpg")</f>
        <v/>
      </c>
      <c r="N4111">
        <f>IMAGE("file:///E:/Estudios%20y%20certificaciones/ESTUDIOS%20DE%20PROGRAMMING/PROGRAMMING/PERSONAL/PYTHON/Image_Generator_API/imagenes/T_TAHARI_124008302_ESH_3.jpg")</f>
        <v/>
      </c>
      <c r="O4111">
        <f>HYPERLINK("imagenes/T_TAHARI_124008302_ESH_1.jpg","Ver imagen")</f>
        <v/>
      </c>
      <c r="P4111">
        <f>HYPERLINK("imagenes/T_TAHARI_124008302_ESH_2.jpg","Ver imagen")</f>
        <v/>
      </c>
      <c r="Q4111">
        <f>HYPERLINK("imagenes/T_TAHARI_124008302_ESH_3.jpg","Ver imagen")</f>
        <v/>
      </c>
    </row>
    <row r="4112">
      <c r="A4112" t="inlineStr">
        <is>
          <t>T TAHARI</t>
        </is>
      </c>
      <c r="B4112" t="inlineStr">
        <is>
          <t>124008303</t>
        </is>
      </c>
      <c r="C4112" t="inlineStr">
        <is>
          <t>ROSIE</t>
        </is>
      </c>
      <c r="D4112" t="inlineStr">
        <is>
          <t>BLK</t>
        </is>
      </c>
      <c r="E4112" t="inlineStr">
        <is>
          <t>(en blanco)</t>
        </is>
      </c>
      <c r="F4112" t="inlineStr">
        <is>
          <t>(en blanco)</t>
        </is>
      </c>
      <c r="G4112" t="inlineStr">
        <is>
          <t>S</t>
        </is>
      </c>
      <c r="H4112" t="n">
        <v>1</v>
      </c>
      <c r="I4112" t="inlineStr">
        <is>
          <t>T_TAHARI_124008303_BLK_1.jpg</t>
        </is>
      </c>
      <c r="J4112" t="inlineStr">
        <is>
          <t>T_TAHARI_124008303_BLK_2.jpg</t>
        </is>
      </c>
      <c r="K4112" t="inlineStr">
        <is>
          <t>T_TAHARI_124008303_BLK_3.jpg</t>
        </is>
      </c>
      <c r="L4112">
        <f>IMAGE("file:///E:/Estudios%20y%20certificaciones/ESTUDIOS%20DE%20PROGRAMMING/PROGRAMMING/PERSONAL/PYTHON/Image_Generator_API/imagenes/T_TAHARI_124008303_BLK_1.jpg")</f>
        <v/>
      </c>
      <c r="M4112">
        <f>IMAGE("file:///E:/Estudios%20y%20certificaciones/ESTUDIOS%20DE%20PROGRAMMING/PROGRAMMING/PERSONAL/PYTHON/Image_Generator_API/imagenes/T_TAHARI_124008303_BLK_2.jpg")</f>
        <v/>
      </c>
      <c r="N4112">
        <f>IMAGE("file:///E:/Estudios%20y%20certificaciones/ESTUDIOS%20DE%20PROGRAMMING/PROGRAMMING/PERSONAL/PYTHON/Image_Generator_API/imagenes/T_TAHARI_124008303_BLK_3.jpg")</f>
        <v/>
      </c>
      <c r="O4112">
        <f>HYPERLINK("imagenes/T_TAHARI_124008303_BLK_1.jpg","Ver imagen")</f>
        <v/>
      </c>
      <c r="P4112">
        <f>HYPERLINK("imagenes/T_TAHARI_124008303_BLK_2.jpg","Ver imagen")</f>
        <v/>
      </c>
      <c r="Q4112">
        <f>HYPERLINK("imagenes/T_TAHARI_124008303_BLK_3.jpg","Ver imagen")</f>
        <v/>
      </c>
    </row>
    <row r="4113">
      <c r="A4113" t="inlineStr">
        <is>
          <t>T TAHARI</t>
        </is>
      </c>
      <c r="B4113" t="inlineStr">
        <is>
          <t>124008303</t>
        </is>
      </c>
      <c r="C4113" t="inlineStr">
        <is>
          <t>ROSIE</t>
        </is>
      </c>
      <c r="D4113" t="inlineStr">
        <is>
          <t>BLK</t>
        </is>
      </c>
      <c r="E4113" t="inlineStr">
        <is>
          <t>(en blanco)</t>
        </is>
      </c>
      <c r="F4113" t="inlineStr">
        <is>
          <t>(en blanco)</t>
        </is>
      </c>
      <c r="G4113" t="inlineStr">
        <is>
          <t>L</t>
        </is>
      </c>
      <c r="H4113" t="n">
        <v>0</v>
      </c>
      <c r="I4113" t="inlineStr">
        <is>
          <t>T_TAHARI_124008303_BLK_1.jpg</t>
        </is>
      </c>
      <c r="J4113" t="inlineStr">
        <is>
          <t>T_TAHARI_124008303_BLK_2.jpg</t>
        </is>
      </c>
      <c r="K4113" t="inlineStr">
        <is>
          <t>T_TAHARI_124008303_BLK_3.jpg</t>
        </is>
      </c>
      <c r="L4113">
        <f>IMAGE("file:///E:/Estudios%20y%20certificaciones/ESTUDIOS%20DE%20PROGRAMMING/PROGRAMMING/PERSONAL/PYTHON/Image_Generator_API/imagenes/T_TAHARI_124008303_BLK_1.jpg")</f>
        <v/>
      </c>
      <c r="M4113">
        <f>IMAGE("file:///E:/Estudios%20y%20certificaciones/ESTUDIOS%20DE%20PROGRAMMING/PROGRAMMING/PERSONAL/PYTHON/Image_Generator_API/imagenes/T_TAHARI_124008303_BLK_2.jpg")</f>
        <v/>
      </c>
      <c r="N4113">
        <f>IMAGE("file:///E:/Estudios%20y%20certificaciones/ESTUDIOS%20DE%20PROGRAMMING/PROGRAMMING/PERSONAL/PYTHON/Image_Generator_API/imagenes/T_TAHARI_124008303_BLK_3.jpg")</f>
        <v/>
      </c>
      <c r="O4113">
        <f>HYPERLINK("imagenes/T_TAHARI_124008303_BLK_1.jpg","Ver imagen")</f>
        <v/>
      </c>
      <c r="P4113">
        <f>HYPERLINK("imagenes/T_TAHARI_124008303_BLK_2.jpg","Ver imagen")</f>
        <v/>
      </c>
      <c r="Q4113">
        <f>HYPERLINK("imagenes/T_TAHARI_124008303_BLK_3.jpg","Ver imagen")</f>
        <v/>
      </c>
    </row>
    <row r="4114">
      <c r="A4114" t="inlineStr">
        <is>
          <t>T TAHARI</t>
        </is>
      </c>
      <c r="B4114" t="inlineStr">
        <is>
          <t>124008303</t>
        </is>
      </c>
      <c r="C4114" t="inlineStr">
        <is>
          <t>ROSIE</t>
        </is>
      </c>
      <c r="D4114" t="inlineStr">
        <is>
          <t>ESH</t>
        </is>
      </c>
      <c r="E4114" t="inlineStr">
        <is>
          <t>(en blanco)</t>
        </is>
      </c>
      <c r="F4114" t="inlineStr">
        <is>
          <t>(en blanco)</t>
        </is>
      </c>
      <c r="G4114" t="inlineStr">
        <is>
          <t>XS</t>
        </is>
      </c>
      <c r="H4114" t="n">
        <v>14</v>
      </c>
      <c r="I4114" t="inlineStr">
        <is>
          <t>T_TAHARI_124008303_ESH_1.jpg</t>
        </is>
      </c>
      <c r="J4114" t="inlineStr">
        <is>
          <t>T_TAHARI_124008303_ESH_2.jpg</t>
        </is>
      </c>
      <c r="K4114" t="inlineStr">
        <is>
          <t>T_TAHARI_124008303_ESH_3.jpg</t>
        </is>
      </c>
      <c r="L4114">
        <f>IMAGE("file:///E:/Estudios%20y%20certificaciones/ESTUDIOS%20DE%20PROGRAMMING/PROGRAMMING/PERSONAL/PYTHON/Image_Generator_API/imagenes/T_TAHARI_124008303_ESH_1.jpg")</f>
        <v/>
      </c>
      <c r="M4114">
        <f>IMAGE("file:///E:/Estudios%20y%20certificaciones/ESTUDIOS%20DE%20PROGRAMMING/PROGRAMMING/PERSONAL/PYTHON/Image_Generator_API/imagenes/T_TAHARI_124008303_ESH_2.jpg")</f>
        <v/>
      </c>
      <c r="N4114">
        <f>IMAGE("file:///E:/Estudios%20y%20certificaciones/ESTUDIOS%20DE%20PROGRAMMING/PROGRAMMING/PERSONAL/PYTHON/Image_Generator_API/imagenes/T_TAHARI_124008303_ESH_3.jpg")</f>
        <v/>
      </c>
      <c r="O4114">
        <f>HYPERLINK("imagenes/T_TAHARI_124008303_ESH_1.jpg","Ver imagen")</f>
        <v/>
      </c>
      <c r="P4114">
        <f>HYPERLINK("imagenes/T_TAHARI_124008303_ESH_2.jpg","Ver imagen")</f>
        <v/>
      </c>
      <c r="Q4114">
        <f>HYPERLINK("imagenes/T_TAHARI_124008303_ESH_3.jpg","Ver imagen")</f>
        <v/>
      </c>
    </row>
    <row r="4115">
      <c r="A4115" t="inlineStr">
        <is>
          <t>T TAHARI</t>
        </is>
      </c>
      <c r="B4115" t="inlineStr">
        <is>
          <t>124008303</t>
        </is>
      </c>
      <c r="C4115" t="inlineStr">
        <is>
          <t>ROSIE</t>
        </is>
      </c>
      <c r="D4115" t="inlineStr">
        <is>
          <t>ESH</t>
        </is>
      </c>
      <c r="E4115" t="inlineStr">
        <is>
          <t>(en blanco)</t>
        </is>
      </c>
      <c r="F4115" t="inlineStr">
        <is>
          <t>(en blanco)</t>
        </is>
      </c>
      <c r="G4115" t="inlineStr">
        <is>
          <t>S</t>
        </is>
      </c>
      <c r="H4115" t="n">
        <v>7</v>
      </c>
      <c r="I4115" t="inlineStr">
        <is>
          <t>T_TAHARI_124008303_ESH_1.jpg</t>
        </is>
      </c>
      <c r="J4115" t="inlineStr">
        <is>
          <t>T_TAHARI_124008303_ESH_2.jpg</t>
        </is>
      </c>
      <c r="K4115" t="inlineStr">
        <is>
          <t>T_TAHARI_124008303_ESH_3.jpg</t>
        </is>
      </c>
      <c r="L4115">
        <f>IMAGE("file:///E:/Estudios%20y%20certificaciones/ESTUDIOS%20DE%20PROGRAMMING/PROGRAMMING/PERSONAL/PYTHON/Image_Generator_API/imagenes/T_TAHARI_124008303_ESH_1.jpg")</f>
        <v/>
      </c>
      <c r="M4115">
        <f>IMAGE("file:///E:/Estudios%20y%20certificaciones/ESTUDIOS%20DE%20PROGRAMMING/PROGRAMMING/PERSONAL/PYTHON/Image_Generator_API/imagenes/T_TAHARI_124008303_ESH_2.jpg")</f>
        <v/>
      </c>
      <c r="N4115">
        <f>IMAGE("file:///E:/Estudios%20y%20certificaciones/ESTUDIOS%20DE%20PROGRAMMING/PROGRAMMING/PERSONAL/PYTHON/Image_Generator_API/imagenes/T_TAHARI_124008303_ESH_3.jpg")</f>
        <v/>
      </c>
      <c r="O4115">
        <f>HYPERLINK("imagenes/T_TAHARI_124008303_ESH_1.jpg","Ver imagen")</f>
        <v/>
      </c>
      <c r="P4115">
        <f>HYPERLINK("imagenes/T_TAHARI_124008303_ESH_2.jpg","Ver imagen")</f>
        <v/>
      </c>
      <c r="Q4115">
        <f>HYPERLINK("imagenes/T_TAHARI_124008303_ESH_3.jpg","Ver imagen")</f>
        <v/>
      </c>
    </row>
    <row r="4116">
      <c r="A4116" t="inlineStr">
        <is>
          <t>T TAHARI</t>
        </is>
      </c>
      <c r="B4116" t="inlineStr">
        <is>
          <t>124008304</t>
        </is>
      </c>
      <c r="C4116" t="inlineStr">
        <is>
          <t>LEONE</t>
        </is>
      </c>
      <c r="D4116" t="inlineStr">
        <is>
          <t>BLK</t>
        </is>
      </c>
      <c r="E4116" t="inlineStr">
        <is>
          <t>(en blanco)</t>
        </is>
      </c>
      <c r="F4116" t="inlineStr">
        <is>
          <t>(en blanco)</t>
        </is>
      </c>
      <c r="G4116" t="inlineStr">
        <is>
          <t>S</t>
        </is>
      </c>
      <c r="H4116" t="n">
        <v>0</v>
      </c>
      <c r="I4116" t="inlineStr">
        <is>
          <t>T_TAHARI_124008304_BLK_1.jpg</t>
        </is>
      </c>
      <c r="J4116" t="inlineStr">
        <is>
          <t>T_TAHARI_124008304_BLK_2.jpg</t>
        </is>
      </c>
      <c r="K4116" t="inlineStr">
        <is>
          <t>T_TAHARI_124008304_BLK_3.jpg</t>
        </is>
      </c>
      <c r="L4116">
        <f>IMAGE("file:///E:/Estudios%20y%20certificaciones/ESTUDIOS%20DE%20PROGRAMMING/PROGRAMMING/PERSONAL/PYTHON/Image_Generator_API/imagenes/T_TAHARI_124008304_BLK_1.jpg")</f>
        <v/>
      </c>
      <c r="M4116">
        <f>IMAGE("file:///E:/Estudios%20y%20certificaciones/ESTUDIOS%20DE%20PROGRAMMING/PROGRAMMING/PERSONAL/PYTHON/Image_Generator_API/imagenes/T_TAHARI_124008304_BLK_2.jpg")</f>
        <v/>
      </c>
      <c r="N4116">
        <f>IMAGE("file:///E:/Estudios%20y%20certificaciones/ESTUDIOS%20DE%20PROGRAMMING/PROGRAMMING/PERSONAL/PYTHON/Image_Generator_API/imagenes/T_TAHARI_124008304_BLK_3.jpg")</f>
        <v/>
      </c>
      <c r="O4116">
        <f>HYPERLINK("imagenes/T_TAHARI_124008304_BLK_1.jpg","Ver imagen")</f>
        <v/>
      </c>
      <c r="P4116">
        <f>HYPERLINK("imagenes/T_TAHARI_124008304_BLK_2.jpg","Ver imagen")</f>
        <v/>
      </c>
      <c r="Q4116">
        <f>HYPERLINK("imagenes/T_TAHARI_124008304_BLK_3.jpg","Ver imagen")</f>
        <v/>
      </c>
    </row>
    <row r="4117">
      <c r="A4117" t="inlineStr">
        <is>
          <t>T TAHARI</t>
        </is>
      </c>
      <c r="B4117" t="inlineStr">
        <is>
          <t>124008304</t>
        </is>
      </c>
      <c r="C4117" t="inlineStr">
        <is>
          <t>LEONE</t>
        </is>
      </c>
      <c r="D4117" t="inlineStr">
        <is>
          <t>BLK</t>
        </is>
      </c>
      <c r="E4117" t="inlineStr">
        <is>
          <t>(en blanco)</t>
        </is>
      </c>
      <c r="F4117" t="inlineStr">
        <is>
          <t>(en blanco)</t>
        </is>
      </c>
      <c r="G4117" t="inlineStr">
        <is>
          <t>M</t>
        </is>
      </c>
      <c r="H4117" t="n">
        <v>1</v>
      </c>
      <c r="I4117" t="inlineStr">
        <is>
          <t>T_TAHARI_124008304_BLK_1.jpg</t>
        </is>
      </c>
      <c r="J4117" t="inlineStr">
        <is>
          <t>T_TAHARI_124008304_BLK_2.jpg</t>
        </is>
      </c>
      <c r="K4117" t="inlineStr">
        <is>
          <t>T_TAHARI_124008304_BLK_3.jpg</t>
        </is>
      </c>
      <c r="L4117">
        <f>IMAGE("file:///E:/Estudios%20y%20certificaciones/ESTUDIOS%20DE%20PROGRAMMING/PROGRAMMING/PERSONAL/PYTHON/Image_Generator_API/imagenes/T_TAHARI_124008304_BLK_1.jpg")</f>
        <v/>
      </c>
      <c r="M4117">
        <f>IMAGE("file:///E:/Estudios%20y%20certificaciones/ESTUDIOS%20DE%20PROGRAMMING/PROGRAMMING/PERSONAL/PYTHON/Image_Generator_API/imagenes/T_TAHARI_124008304_BLK_2.jpg")</f>
        <v/>
      </c>
      <c r="N4117">
        <f>IMAGE("file:///E:/Estudios%20y%20certificaciones/ESTUDIOS%20DE%20PROGRAMMING/PROGRAMMING/PERSONAL/PYTHON/Image_Generator_API/imagenes/T_TAHARI_124008304_BLK_3.jpg")</f>
        <v/>
      </c>
      <c r="O4117">
        <f>HYPERLINK("imagenes/T_TAHARI_124008304_BLK_1.jpg","Ver imagen")</f>
        <v/>
      </c>
      <c r="P4117">
        <f>HYPERLINK("imagenes/T_TAHARI_124008304_BLK_2.jpg","Ver imagen")</f>
        <v/>
      </c>
      <c r="Q4117">
        <f>HYPERLINK("imagenes/T_TAHARI_124008304_BLK_3.jpg","Ver imagen")</f>
        <v/>
      </c>
    </row>
    <row r="4118">
      <c r="A4118" t="inlineStr">
        <is>
          <t>T TAHARI</t>
        </is>
      </c>
      <c r="B4118" t="inlineStr">
        <is>
          <t>124008304</t>
        </is>
      </c>
      <c r="C4118" t="inlineStr">
        <is>
          <t>LEONE</t>
        </is>
      </c>
      <c r="D4118" t="inlineStr">
        <is>
          <t>BLK</t>
        </is>
      </c>
      <c r="E4118" t="inlineStr">
        <is>
          <t>(en blanco)</t>
        </is>
      </c>
      <c r="F4118" t="inlineStr">
        <is>
          <t>(en blanco)</t>
        </is>
      </c>
      <c r="G4118" t="inlineStr">
        <is>
          <t>L</t>
        </is>
      </c>
      <c r="H4118" t="n">
        <v>0</v>
      </c>
      <c r="I4118" t="inlineStr">
        <is>
          <t>T_TAHARI_124008304_BLK_1.jpg</t>
        </is>
      </c>
      <c r="J4118" t="inlineStr">
        <is>
          <t>T_TAHARI_124008304_BLK_2.jpg</t>
        </is>
      </c>
      <c r="K4118" t="inlineStr">
        <is>
          <t>T_TAHARI_124008304_BLK_3.jpg</t>
        </is>
      </c>
      <c r="L4118">
        <f>IMAGE("file:///E:/Estudios%20y%20certificaciones/ESTUDIOS%20DE%20PROGRAMMING/PROGRAMMING/PERSONAL/PYTHON/Image_Generator_API/imagenes/T_TAHARI_124008304_BLK_1.jpg")</f>
        <v/>
      </c>
      <c r="M4118">
        <f>IMAGE("file:///E:/Estudios%20y%20certificaciones/ESTUDIOS%20DE%20PROGRAMMING/PROGRAMMING/PERSONAL/PYTHON/Image_Generator_API/imagenes/T_TAHARI_124008304_BLK_2.jpg")</f>
        <v/>
      </c>
      <c r="N4118">
        <f>IMAGE("file:///E:/Estudios%20y%20certificaciones/ESTUDIOS%20DE%20PROGRAMMING/PROGRAMMING/PERSONAL/PYTHON/Image_Generator_API/imagenes/T_TAHARI_124008304_BLK_3.jpg")</f>
        <v/>
      </c>
      <c r="O4118">
        <f>HYPERLINK("imagenes/T_TAHARI_124008304_BLK_1.jpg","Ver imagen")</f>
        <v/>
      </c>
      <c r="P4118">
        <f>HYPERLINK("imagenes/T_TAHARI_124008304_BLK_2.jpg","Ver imagen")</f>
        <v/>
      </c>
      <c r="Q4118">
        <f>HYPERLINK("imagenes/T_TAHARI_124008304_BLK_3.jpg","Ver imagen")</f>
        <v/>
      </c>
    </row>
    <row r="4119">
      <c r="A4119" t="inlineStr">
        <is>
          <t>T TAHARI</t>
        </is>
      </c>
      <c r="B4119" t="inlineStr">
        <is>
          <t>124008304</t>
        </is>
      </c>
      <c r="C4119" t="inlineStr">
        <is>
          <t>LEONE</t>
        </is>
      </c>
      <c r="D4119" t="inlineStr">
        <is>
          <t>BLK</t>
        </is>
      </c>
      <c r="E4119" t="inlineStr">
        <is>
          <t>(en blanco)</t>
        </is>
      </c>
      <c r="F4119" t="inlineStr">
        <is>
          <t>(en blanco)</t>
        </is>
      </c>
      <c r="G4119" t="inlineStr">
        <is>
          <t>XL</t>
        </is>
      </c>
      <c r="H4119" t="n">
        <v>0</v>
      </c>
      <c r="I4119" t="inlineStr">
        <is>
          <t>T_TAHARI_124008304_BLK_1.jpg</t>
        </is>
      </c>
      <c r="J4119" t="inlineStr">
        <is>
          <t>T_TAHARI_124008304_BLK_2.jpg</t>
        </is>
      </c>
      <c r="K4119" t="inlineStr">
        <is>
          <t>T_TAHARI_124008304_BLK_3.jpg</t>
        </is>
      </c>
      <c r="L4119">
        <f>IMAGE("file:///E:/Estudios%20y%20certificaciones/ESTUDIOS%20DE%20PROGRAMMING/PROGRAMMING/PERSONAL/PYTHON/Image_Generator_API/imagenes/T_TAHARI_124008304_BLK_1.jpg")</f>
        <v/>
      </c>
      <c r="M4119">
        <f>IMAGE("file:///E:/Estudios%20y%20certificaciones/ESTUDIOS%20DE%20PROGRAMMING/PROGRAMMING/PERSONAL/PYTHON/Image_Generator_API/imagenes/T_TAHARI_124008304_BLK_2.jpg")</f>
        <v/>
      </c>
      <c r="N4119">
        <f>IMAGE("file:///E:/Estudios%20y%20certificaciones/ESTUDIOS%20DE%20PROGRAMMING/PROGRAMMING/PERSONAL/PYTHON/Image_Generator_API/imagenes/T_TAHARI_124008304_BLK_3.jpg")</f>
        <v/>
      </c>
      <c r="O4119">
        <f>HYPERLINK("imagenes/T_TAHARI_124008304_BLK_1.jpg","Ver imagen")</f>
        <v/>
      </c>
      <c r="P4119">
        <f>HYPERLINK("imagenes/T_TAHARI_124008304_BLK_2.jpg","Ver imagen")</f>
        <v/>
      </c>
      <c r="Q4119">
        <f>HYPERLINK("imagenes/T_TAHARI_124008304_BLK_3.jpg","Ver imagen")</f>
        <v/>
      </c>
    </row>
    <row r="4120">
      <c r="A4120" t="inlineStr">
        <is>
          <t>T TAHARI</t>
        </is>
      </c>
      <c r="B4120" t="inlineStr">
        <is>
          <t>124008306</t>
        </is>
      </c>
      <c r="C4120" t="inlineStr">
        <is>
          <t>DIANA</t>
        </is>
      </c>
      <c r="D4120" t="inlineStr">
        <is>
          <t>BLK</t>
        </is>
      </c>
      <c r="E4120" t="inlineStr">
        <is>
          <t>(en blanco)</t>
        </is>
      </c>
      <c r="F4120" t="inlineStr">
        <is>
          <t>(en blanco)</t>
        </is>
      </c>
      <c r="G4120" t="inlineStr">
        <is>
          <t>M</t>
        </is>
      </c>
      <c r="H4120" t="n">
        <v>2</v>
      </c>
      <c r="I4120" t="inlineStr">
        <is>
          <t>T_TAHARI_124008306_BLK_1.jpg</t>
        </is>
      </c>
      <c r="J4120" t="inlineStr">
        <is>
          <t>T_TAHARI_124008306_BLK_2.jpg</t>
        </is>
      </c>
      <c r="K4120" t="inlineStr">
        <is>
          <t>T_TAHARI_124008306_BLK_3.jpg</t>
        </is>
      </c>
      <c r="L4120">
        <f>IMAGE("file:///E:/Estudios%20y%20certificaciones/ESTUDIOS%20DE%20PROGRAMMING/PROGRAMMING/PERSONAL/PYTHON/Image_Generator_API/imagenes/T_TAHARI_124008306_BLK_1.jpg")</f>
        <v/>
      </c>
      <c r="M4120">
        <f>IMAGE("file:///E:/Estudios%20y%20certificaciones/ESTUDIOS%20DE%20PROGRAMMING/PROGRAMMING/PERSONAL/PYTHON/Image_Generator_API/imagenes/T_TAHARI_124008306_BLK_2.jpg")</f>
        <v/>
      </c>
      <c r="N4120">
        <f>IMAGE("file:///E:/Estudios%20y%20certificaciones/ESTUDIOS%20DE%20PROGRAMMING/PROGRAMMING/PERSONAL/PYTHON/Image_Generator_API/imagenes/T_TAHARI_124008306_BLK_3.jpg")</f>
        <v/>
      </c>
      <c r="O4120">
        <f>HYPERLINK("imagenes/T_TAHARI_124008306_BLK_1.jpg","Ver imagen")</f>
        <v/>
      </c>
      <c r="P4120">
        <f>HYPERLINK("imagenes/T_TAHARI_124008306_BLK_2.jpg","Ver imagen")</f>
        <v/>
      </c>
      <c r="Q4120">
        <f>HYPERLINK("imagenes/T_TAHARI_124008306_BLK_3.jpg","Ver imagen")</f>
        <v/>
      </c>
    </row>
    <row r="4121">
      <c r="A4121" t="inlineStr">
        <is>
          <t>T TAHARI</t>
        </is>
      </c>
      <c r="B4121" t="inlineStr">
        <is>
          <t>124008306</t>
        </is>
      </c>
      <c r="C4121" t="inlineStr">
        <is>
          <t>DIANA</t>
        </is>
      </c>
      <c r="D4121" t="inlineStr">
        <is>
          <t>BLK</t>
        </is>
      </c>
      <c r="E4121" t="inlineStr">
        <is>
          <t>(en blanco)</t>
        </is>
      </c>
      <c r="F4121" t="inlineStr">
        <is>
          <t>(en blanco)</t>
        </is>
      </c>
      <c r="G4121" t="inlineStr">
        <is>
          <t>L</t>
        </is>
      </c>
      <c r="H4121" t="n">
        <v>2</v>
      </c>
      <c r="I4121" t="inlineStr">
        <is>
          <t>T_TAHARI_124008306_BLK_1.jpg</t>
        </is>
      </c>
      <c r="J4121" t="inlineStr">
        <is>
          <t>T_TAHARI_124008306_BLK_2.jpg</t>
        </is>
      </c>
      <c r="K4121" t="inlineStr">
        <is>
          <t>T_TAHARI_124008306_BLK_3.jpg</t>
        </is>
      </c>
      <c r="L4121">
        <f>IMAGE("file:///E:/Estudios%20y%20certificaciones/ESTUDIOS%20DE%20PROGRAMMING/PROGRAMMING/PERSONAL/PYTHON/Image_Generator_API/imagenes/T_TAHARI_124008306_BLK_1.jpg")</f>
        <v/>
      </c>
      <c r="M4121">
        <f>IMAGE("file:///E:/Estudios%20y%20certificaciones/ESTUDIOS%20DE%20PROGRAMMING/PROGRAMMING/PERSONAL/PYTHON/Image_Generator_API/imagenes/T_TAHARI_124008306_BLK_2.jpg")</f>
        <v/>
      </c>
      <c r="N4121">
        <f>IMAGE("file:///E:/Estudios%20y%20certificaciones/ESTUDIOS%20DE%20PROGRAMMING/PROGRAMMING/PERSONAL/PYTHON/Image_Generator_API/imagenes/T_TAHARI_124008306_BLK_3.jpg")</f>
        <v/>
      </c>
      <c r="O4121">
        <f>HYPERLINK("imagenes/T_TAHARI_124008306_BLK_1.jpg","Ver imagen")</f>
        <v/>
      </c>
      <c r="P4121">
        <f>HYPERLINK("imagenes/T_TAHARI_124008306_BLK_2.jpg","Ver imagen")</f>
        <v/>
      </c>
      <c r="Q4121">
        <f>HYPERLINK("imagenes/T_TAHARI_124008306_BLK_3.jpg","Ver imagen")</f>
        <v/>
      </c>
    </row>
    <row r="4122">
      <c r="A4122" t="inlineStr">
        <is>
          <t>T TAHARI</t>
        </is>
      </c>
      <c r="B4122" t="inlineStr">
        <is>
          <t>124008308</t>
        </is>
      </c>
      <c r="C4122" t="inlineStr">
        <is>
          <t>KORA</t>
        </is>
      </c>
      <c r="D4122" t="inlineStr">
        <is>
          <t>DUN</t>
        </is>
      </c>
      <c r="E4122" t="inlineStr">
        <is>
          <t>(en blanco)</t>
        </is>
      </c>
      <c r="F4122" t="inlineStr">
        <is>
          <t>D2C</t>
        </is>
      </c>
      <c r="G4122" t="inlineStr">
        <is>
          <t>S</t>
        </is>
      </c>
      <c r="H4122" t="n">
        <v>1</v>
      </c>
      <c r="I4122" t="inlineStr">
        <is>
          <t>T_TAHARI_124008308_DUN_1.jpg</t>
        </is>
      </c>
      <c r="J4122" t="inlineStr">
        <is>
          <t>T_TAHARI_124008308_DUN_2.jpg</t>
        </is>
      </c>
      <c r="K4122" t="inlineStr">
        <is>
          <t>T_TAHARI_124008308_DUN_3.jpg</t>
        </is>
      </c>
      <c r="L4122">
        <f>IMAGE("file:///E:/Estudios%20y%20certificaciones/ESTUDIOS%20DE%20PROGRAMMING/PROGRAMMING/PERSONAL/PYTHON/Image_Generator_API/imagenes/T_TAHARI_124008308_DUN_1.jpg")</f>
        <v/>
      </c>
      <c r="M4122">
        <f>IMAGE("file:///E:/Estudios%20y%20certificaciones/ESTUDIOS%20DE%20PROGRAMMING/PROGRAMMING/PERSONAL/PYTHON/Image_Generator_API/imagenes/T_TAHARI_124008308_DUN_2.jpg")</f>
        <v/>
      </c>
      <c r="N4122">
        <f>IMAGE("file:///E:/Estudios%20y%20certificaciones/ESTUDIOS%20DE%20PROGRAMMING/PROGRAMMING/PERSONAL/PYTHON/Image_Generator_API/imagenes/T_TAHARI_124008308_DUN_3.jpg")</f>
        <v/>
      </c>
      <c r="O4122">
        <f>HYPERLINK("imagenes/T_TAHARI_124008308_DUN_1.jpg","Ver imagen")</f>
        <v/>
      </c>
      <c r="P4122">
        <f>HYPERLINK("imagenes/T_TAHARI_124008308_DUN_2.jpg","Ver imagen")</f>
        <v/>
      </c>
      <c r="Q4122">
        <f>HYPERLINK("imagenes/T_TAHARI_124008308_DUN_3.jpg","Ver imagen")</f>
        <v/>
      </c>
    </row>
    <row r="4123">
      <c r="A4123" t="inlineStr">
        <is>
          <t>T TAHARI</t>
        </is>
      </c>
      <c r="B4123" t="inlineStr">
        <is>
          <t>124008308</t>
        </is>
      </c>
      <c r="C4123" t="inlineStr">
        <is>
          <t>KORA</t>
        </is>
      </c>
      <c r="D4123" t="inlineStr">
        <is>
          <t>DUN</t>
        </is>
      </c>
      <c r="E4123" t="inlineStr">
        <is>
          <t>(en blanco)</t>
        </is>
      </c>
      <c r="F4123" t="inlineStr">
        <is>
          <t>(en blanco)</t>
        </is>
      </c>
      <c r="G4123" t="inlineStr">
        <is>
          <t>S</t>
        </is>
      </c>
      <c r="H4123" t="n">
        <v>1</v>
      </c>
      <c r="I4123" t="inlineStr">
        <is>
          <t>T_TAHARI_124008308_DUN_1.jpg</t>
        </is>
      </c>
      <c r="J4123" t="inlineStr">
        <is>
          <t>T_TAHARI_124008308_DUN_2.jpg</t>
        </is>
      </c>
      <c r="K4123" t="inlineStr">
        <is>
          <t>T_TAHARI_124008308_DUN_3.jpg</t>
        </is>
      </c>
      <c r="L4123">
        <f>IMAGE("file:///E:/Estudios%20y%20certificaciones/ESTUDIOS%20DE%20PROGRAMMING/PROGRAMMING/PERSONAL/PYTHON/Image_Generator_API/imagenes/T_TAHARI_124008308_DUN_1.jpg")</f>
        <v/>
      </c>
      <c r="M4123">
        <f>IMAGE("file:///E:/Estudios%20y%20certificaciones/ESTUDIOS%20DE%20PROGRAMMING/PROGRAMMING/PERSONAL/PYTHON/Image_Generator_API/imagenes/T_TAHARI_124008308_DUN_2.jpg")</f>
        <v/>
      </c>
      <c r="N4123">
        <f>IMAGE("file:///E:/Estudios%20y%20certificaciones/ESTUDIOS%20DE%20PROGRAMMING/PROGRAMMING/PERSONAL/PYTHON/Image_Generator_API/imagenes/T_TAHARI_124008308_DUN_3.jpg")</f>
        <v/>
      </c>
      <c r="O4123">
        <f>HYPERLINK("imagenes/T_TAHARI_124008308_DUN_1.jpg","Ver imagen")</f>
        <v/>
      </c>
      <c r="P4123">
        <f>HYPERLINK("imagenes/T_TAHARI_124008308_DUN_2.jpg","Ver imagen")</f>
        <v/>
      </c>
      <c r="Q4123">
        <f>HYPERLINK("imagenes/T_TAHARI_124008308_DUN_3.jpg","Ver imagen")</f>
        <v/>
      </c>
    </row>
    <row r="4124">
      <c r="A4124" t="inlineStr">
        <is>
          <t>T TAHARI</t>
        </is>
      </c>
      <c r="B4124" t="inlineStr">
        <is>
          <t>124008308</t>
        </is>
      </c>
      <c r="C4124" t="inlineStr">
        <is>
          <t>KORA</t>
        </is>
      </c>
      <c r="D4124" t="inlineStr">
        <is>
          <t>DUN</t>
        </is>
      </c>
      <c r="E4124" t="inlineStr">
        <is>
          <t>(en blanco)</t>
        </is>
      </c>
      <c r="F4124" t="inlineStr">
        <is>
          <t>(en blanco)</t>
        </is>
      </c>
      <c r="G4124" t="inlineStr">
        <is>
          <t>M</t>
        </is>
      </c>
      <c r="H4124" t="n">
        <v>2</v>
      </c>
      <c r="I4124" t="inlineStr">
        <is>
          <t>T_TAHARI_124008308_DUN_1.jpg</t>
        </is>
      </c>
      <c r="J4124" t="inlineStr">
        <is>
          <t>T_TAHARI_124008308_DUN_2.jpg</t>
        </is>
      </c>
      <c r="K4124" t="inlineStr">
        <is>
          <t>T_TAHARI_124008308_DUN_3.jpg</t>
        </is>
      </c>
      <c r="L4124">
        <f>IMAGE("file:///E:/Estudios%20y%20certificaciones/ESTUDIOS%20DE%20PROGRAMMING/PROGRAMMING/PERSONAL/PYTHON/Image_Generator_API/imagenes/T_TAHARI_124008308_DUN_1.jpg")</f>
        <v/>
      </c>
      <c r="M4124">
        <f>IMAGE("file:///E:/Estudios%20y%20certificaciones/ESTUDIOS%20DE%20PROGRAMMING/PROGRAMMING/PERSONAL/PYTHON/Image_Generator_API/imagenes/T_TAHARI_124008308_DUN_2.jpg")</f>
        <v/>
      </c>
      <c r="N4124">
        <f>IMAGE("file:///E:/Estudios%20y%20certificaciones/ESTUDIOS%20DE%20PROGRAMMING/PROGRAMMING/PERSONAL/PYTHON/Image_Generator_API/imagenes/T_TAHARI_124008308_DUN_3.jpg")</f>
        <v/>
      </c>
      <c r="O4124">
        <f>HYPERLINK("imagenes/T_TAHARI_124008308_DUN_1.jpg","Ver imagen")</f>
        <v/>
      </c>
      <c r="P4124">
        <f>HYPERLINK("imagenes/T_TAHARI_124008308_DUN_2.jpg","Ver imagen")</f>
        <v/>
      </c>
      <c r="Q4124">
        <f>HYPERLINK("imagenes/T_TAHARI_124008308_DUN_3.jpg","Ver imagen")</f>
        <v/>
      </c>
    </row>
    <row r="4125">
      <c r="A4125" t="inlineStr">
        <is>
          <t>T TAHARI</t>
        </is>
      </c>
      <c r="B4125" t="inlineStr">
        <is>
          <t>124008308</t>
        </is>
      </c>
      <c r="C4125" t="inlineStr">
        <is>
          <t>KORA</t>
        </is>
      </c>
      <c r="D4125" t="inlineStr">
        <is>
          <t>DUN</t>
        </is>
      </c>
      <c r="E4125" t="inlineStr">
        <is>
          <t>(en blanco)</t>
        </is>
      </c>
      <c r="F4125" t="inlineStr">
        <is>
          <t>(en blanco)</t>
        </is>
      </c>
      <c r="G4125" t="inlineStr">
        <is>
          <t>L</t>
        </is>
      </c>
      <c r="H4125" t="n">
        <v>1</v>
      </c>
      <c r="I4125" t="inlineStr">
        <is>
          <t>T_TAHARI_124008308_DUN_1.jpg</t>
        </is>
      </c>
      <c r="J4125" t="inlineStr">
        <is>
          <t>T_TAHARI_124008308_DUN_2.jpg</t>
        </is>
      </c>
      <c r="K4125" t="inlineStr">
        <is>
          <t>T_TAHARI_124008308_DUN_3.jpg</t>
        </is>
      </c>
      <c r="L4125">
        <f>IMAGE("file:///E:/Estudios%20y%20certificaciones/ESTUDIOS%20DE%20PROGRAMMING/PROGRAMMING/PERSONAL/PYTHON/Image_Generator_API/imagenes/T_TAHARI_124008308_DUN_1.jpg")</f>
        <v/>
      </c>
      <c r="M4125">
        <f>IMAGE("file:///E:/Estudios%20y%20certificaciones/ESTUDIOS%20DE%20PROGRAMMING/PROGRAMMING/PERSONAL/PYTHON/Image_Generator_API/imagenes/T_TAHARI_124008308_DUN_2.jpg")</f>
        <v/>
      </c>
      <c r="N4125">
        <f>IMAGE("file:///E:/Estudios%20y%20certificaciones/ESTUDIOS%20DE%20PROGRAMMING/PROGRAMMING/PERSONAL/PYTHON/Image_Generator_API/imagenes/T_TAHARI_124008308_DUN_3.jpg")</f>
        <v/>
      </c>
      <c r="O4125">
        <f>HYPERLINK("imagenes/T_TAHARI_124008308_DUN_1.jpg","Ver imagen")</f>
        <v/>
      </c>
      <c r="P4125">
        <f>HYPERLINK("imagenes/T_TAHARI_124008308_DUN_2.jpg","Ver imagen")</f>
        <v/>
      </c>
      <c r="Q4125">
        <f>HYPERLINK("imagenes/T_TAHARI_124008308_DUN_3.jpg","Ver imagen")</f>
        <v/>
      </c>
    </row>
    <row r="4126">
      <c r="A4126" t="inlineStr">
        <is>
          <t>T TAHARI</t>
        </is>
      </c>
      <c r="B4126" t="inlineStr">
        <is>
          <t>124008308</t>
        </is>
      </c>
      <c r="C4126" t="inlineStr">
        <is>
          <t>KORA</t>
        </is>
      </c>
      <c r="D4126" t="inlineStr">
        <is>
          <t>KHA</t>
        </is>
      </c>
      <c r="E4126" t="inlineStr">
        <is>
          <t>(en blanco)</t>
        </is>
      </c>
      <c r="F4126" t="inlineStr">
        <is>
          <t>(en blanco)</t>
        </is>
      </c>
      <c r="G4126" t="inlineStr">
        <is>
          <t>L</t>
        </is>
      </c>
      <c r="H4126" t="n">
        <v>1</v>
      </c>
      <c r="I4126" t="inlineStr">
        <is>
          <t>T_TAHARI_124008308_KHA_1.jpg</t>
        </is>
      </c>
      <c r="J4126" t="inlineStr">
        <is>
          <t>T_TAHARI_124008308_KHA_2.jpg</t>
        </is>
      </c>
      <c r="K4126" t="inlineStr">
        <is>
          <t>T_TAHARI_124008308_KHA_3.jpg</t>
        </is>
      </c>
      <c r="L4126">
        <f>IMAGE("file:///E:/Estudios%20y%20certificaciones/ESTUDIOS%20DE%20PROGRAMMING/PROGRAMMING/PERSONAL/PYTHON/Image_Generator_API/imagenes/T_TAHARI_124008308_KHA_1.jpg")</f>
        <v/>
      </c>
      <c r="M4126">
        <f>IMAGE("file:///E:/Estudios%20y%20certificaciones/ESTUDIOS%20DE%20PROGRAMMING/PROGRAMMING/PERSONAL/PYTHON/Image_Generator_API/imagenes/T_TAHARI_124008308_KHA_2.jpg")</f>
        <v/>
      </c>
      <c r="N4126">
        <f>IMAGE("file:///E:/Estudios%20y%20certificaciones/ESTUDIOS%20DE%20PROGRAMMING/PROGRAMMING/PERSONAL/PYTHON/Image_Generator_API/imagenes/T_TAHARI_124008308_KHA_3.jpg")</f>
        <v/>
      </c>
      <c r="O4126">
        <f>HYPERLINK("imagenes/T_TAHARI_124008308_KHA_1.jpg","Ver imagen")</f>
        <v/>
      </c>
      <c r="P4126">
        <f>HYPERLINK("imagenes/T_TAHARI_124008308_KHA_2.jpg","Ver imagen")</f>
        <v/>
      </c>
      <c r="Q4126">
        <f>HYPERLINK("imagenes/T_TAHARI_124008308_KHA_3.jpg","Ver imagen")</f>
        <v/>
      </c>
    </row>
    <row r="4127">
      <c r="A4127" t="inlineStr">
        <is>
          <t>T TAHARI</t>
        </is>
      </c>
      <c r="B4127" t="inlineStr">
        <is>
          <t>124008308</t>
        </is>
      </c>
      <c r="C4127" t="inlineStr">
        <is>
          <t>KORA</t>
        </is>
      </c>
      <c r="D4127" t="inlineStr">
        <is>
          <t>KHA</t>
        </is>
      </c>
      <c r="E4127" t="inlineStr">
        <is>
          <t>(en blanco)</t>
        </is>
      </c>
      <c r="F4127" t="inlineStr">
        <is>
          <t>(en blanco)</t>
        </is>
      </c>
      <c r="G4127" t="inlineStr">
        <is>
          <t>XL</t>
        </is>
      </c>
      <c r="H4127" t="n">
        <v>1</v>
      </c>
      <c r="I4127" t="inlineStr">
        <is>
          <t>T_TAHARI_124008308_KHA_1.jpg</t>
        </is>
      </c>
      <c r="J4127" t="inlineStr">
        <is>
          <t>T_TAHARI_124008308_KHA_2.jpg</t>
        </is>
      </c>
      <c r="K4127" t="inlineStr">
        <is>
          <t>T_TAHARI_124008308_KHA_3.jpg</t>
        </is>
      </c>
      <c r="L4127">
        <f>IMAGE("file:///E:/Estudios%20y%20certificaciones/ESTUDIOS%20DE%20PROGRAMMING/PROGRAMMING/PERSONAL/PYTHON/Image_Generator_API/imagenes/T_TAHARI_124008308_KHA_1.jpg")</f>
        <v/>
      </c>
      <c r="M4127">
        <f>IMAGE("file:///E:/Estudios%20y%20certificaciones/ESTUDIOS%20DE%20PROGRAMMING/PROGRAMMING/PERSONAL/PYTHON/Image_Generator_API/imagenes/T_TAHARI_124008308_KHA_2.jpg")</f>
        <v/>
      </c>
      <c r="N4127">
        <f>IMAGE("file:///E:/Estudios%20y%20certificaciones/ESTUDIOS%20DE%20PROGRAMMING/PROGRAMMING/PERSONAL/PYTHON/Image_Generator_API/imagenes/T_TAHARI_124008308_KHA_3.jpg")</f>
        <v/>
      </c>
      <c r="O4127">
        <f>HYPERLINK("imagenes/T_TAHARI_124008308_KHA_1.jpg","Ver imagen")</f>
        <v/>
      </c>
      <c r="P4127">
        <f>HYPERLINK("imagenes/T_TAHARI_124008308_KHA_2.jpg","Ver imagen")</f>
        <v/>
      </c>
      <c r="Q4127">
        <f>HYPERLINK("imagenes/T_TAHARI_124008308_KHA_3.jpg","Ver imagen")</f>
        <v/>
      </c>
    </row>
    <row r="4128">
      <c r="A4128" t="inlineStr">
        <is>
          <t>T TAHARI</t>
        </is>
      </c>
      <c r="B4128" t="inlineStr">
        <is>
          <t>124009692</t>
        </is>
      </c>
      <c r="C4128" t="inlineStr">
        <is>
          <t>DAKOTA</t>
        </is>
      </c>
      <c r="D4128" t="inlineStr">
        <is>
          <t>BLK</t>
        </is>
      </c>
      <c r="E4128" t="inlineStr">
        <is>
          <t>(en blanco)</t>
        </is>
      </c>
      <c r="F4128" t="inlineStr">
        <is>
          <t>D2C</t>
        </is>
      </c>
      <c r="G4128" t="inlineStr">
        <is>
          <t>XS</t>
        </is>
      </c>
      <c r="H4128" t="n">
        <v>9</v>
      </c>
      <c r="I4128" t="inlineStr">
        <is>
          <t>T_TAHARI_124009692_BLK_1.jpg</t>
        </is>
      </c>
      <c r="J4128" t="inlineStr">
        <is>
          <t>T_TAHARI_124009692_BLK_2.jpg</t>
        </is>
      </c>
      <c r="K4128" t="inlineStr">
        <is>
          <t>T_TAHARI_124009692_BLK_3.jpg</t>
        </is>
      </c>
      <c r="L4128">
        <f>IMAGE("file:///E:/Estudios%20y%20certificaciones/ESTUDIOS%20DE%20PROGRAMMING/PROGRAMMING/PERSONAL/PYTHON/Image_Generator_API/imagenes/T_TAHARI_124009692_BLK_1.jpg")</f>
        <v/>
      </c>
      <c r="M4128">
        <f>IMAGE("file:///E:/Estudios%20y%20certificaciones/ESTUDIOS%20DE%20PROGRAMMING/PROGRAMMING/PERSONAL/PYTHON/Image_Generator_API/imagenes/T_TAHARI_124009692_BLK_2.jpg")</f>
        <v/>
      </c>
      <c r="N4128">
        <f>IMAGE("file:///E:/Estudios%20y%20certificaciones/ESTUDIOS%20DE%20PROGRAMMING/PROGRAMMING/PERSONAL/PYTHON/Image_Generator_API/imagenes/T_TAHARI_124009692_BLK_3.jpg")</f>
        <v/>
      </c>
      <c r="O4128">
        <f>HYPERLINK("imagenes/T_TAHARI_124009692_BLK_1.jpg","Ver imagen")</f>
        <v/>
      </c>
      <c r="P4128">
        <f>HYPERLINK("imagenes/T_TAHARI_124009692_BLK_2.jpg","Ver imagen")</f>
        <v/>
      </c>
      <c r="Q4128">
        <f>HYPERLINK("imagenes/T_TAHARI_124009692_BLK_3.jpg","Ver imagen")</f>
        <v/>
      </c>
    </row>
    <row r="4129">
      <c r="A4129" t="inlineStr">
        <is>
          <t>T TAHARI</t>
        </is>
      </c>
      <c r="B4129" t="inlineStr">
        <is>
          <t>124009692</t>
        </is>
      </c>
      <c r="C4129" t="inlineStr">
        <is>
          <t>DAKOTA</t>
        </is>
      </c>
      <c r="D4129" t="inlineStr">
        <is>
          <t>BLK</t>
        </is>
      </c>
      <c r="E4129" t="inlineStr">
        <is>
          <t>(en blanco)</t>
        </is>
      </c>
      <c r="F4129" t="inlineStr">
        <is>
          <t>D2C</t>
        </is>
      </c>
      <c r="G4129" t="inlineStr">
        <is>
          <t>S</t>
        </is>
      </c>
      <c r="H4129" t="n">
        <v>19</v>
      </c>
      <c r="I4129" t="inlineStr">
        <is>
          <t>T_TAHARI_124009692_BLK_1.jpg</t>
        </is>
      </c>
      <c r="J4129" t="inlineStr">
        <is>
          <t>T_TAHARI_124009692_BLK_2.jpg</t>
        </is>
      </c>
      <c r="K4129" t="inlineStr">
        <is>
          <t>T_TAHARI_124009692_BLK_3.jpg</t>
        </is>
      </c>
      <c r="L4129">
        <f>IMAGE("file:///E:/Estudios%20y%20certificaciones/ESTUDIOS%20DE%20PROGRAMMING/PROGRAMMING/PERSONAL/PYTHON/Image_Generator_API/imagenes/T_TAHARI_124009692_BLK_1.jpg")</f>
        <v/>
      </c>
      <c r="M4129">
        <f>IMAGE("file:///E:/Estudios%20y%20certificaciones/ESTUDIOS%20DE%20PROGRAMMING/PROGRAMMING/PERSONAL/PYTHON/Image_Generator_API/imagenes/T_TAHARI_124009692_BLK_2.jpg")</f>
        <v/>
      </c>
      <c r="N4129">
        <f>IMAGE("file:///E:/Estudios%20y%20certificaciones/ESTUDIOS%20DE%20PROGRAMMING/PROGRAMMING/PERSONAL/PYTHON/Image_Generator_API/imagenes/T_TAHARI_124009692_BLK_3.jpg")</f>
        <v/>
      </c>
      <c r="O4129">
        <f>HYPERLINK("imagenes/T_TAHARI_124009692_BLK_1.jpg","Ver imagen")</f>
        <v/>
      </c>
      <c r="P4129">
        <f>HYPERLINK("imagenes/T_TAHARI_124009692_BLK_2.jpg","Ver imagen")</f>
        <v/>
      </c>
      <c r="Q4129">
        <f>HYPERLINK("imagenes/T_TAHARI_124009692_BLK_3.jpg","Ver imagen")</f>
        <v/>
      </c>
    </row>
    <row r="4130">
      <c r="A4130" t="inlineStr">
        <is>
          <t>T TAHARI</t>
        </is>
      </c>
      <c r="B4130" t="inlineStr">
        <is>
          <t>124009692</t>
        </is>
      </c>
      <c r="C4130" t="inlineStr">
        <is>
          <t>DAKOTA</t>
        </is>
      </c>
      <c r="D4130" t="inlineStr">
        <is>
          <t>BLK</t>
        </is>
      </c>
      <c r="E4130" t="inlineStr">
        <is>
          <t>(en blanco)</t>
        </is>
      </c>
      <c r="F4130" t="inlineStr">
        <is>
          <t>D2C</t>
        </is>
      </c>
      <c r="G4130" t="inlineStr">
        <is>
          <t>M</t>
        </is>
      </c>
      <c r="H4130" t="n">
        <v>18</v>
      </c>
      <c r="I4130" t="inlineStr">
        <is>
          <t>T_TAHARI_124009692_BLK_1.jpg</t>
        </is>
      </c>
      <c r="J4130" t="inlineStr">
        <is>
          <t>T_TAHARI_124009692_BLK_2.jpg</t>
        </is>
      </c>
      <c r="K4130" t="inlineStr">
        <is>
          <t>T_TAHARI_124009692_BLK_3.jpg</t>
        </is>
      </c>
      <c r="L4130">
        <f>IMAGE("file:///E:/Estudios%20y%20certificaciones/ESTUDIOS%20DE%20PROGRAMMING/PROGRAMMING/PERSONAL/PYTHON/Image_Generator_API/imagenes/T_TAHARI_124009692_BLK_1.jpg")</f>
        <v/>
      </c>
      <c r="M4130">
        <f>IMAGE("file:///E:/Estudios%20y%20certificaciones/ESTUDIOS%20DE%20PROGRAMMING/PROGRAMMING/PERSONAL/PYTHON/Image_Generator_API/imagenes/T_TAHARI_124009692_BLK_2.jpg")</f>
        <v/>
      </c>
      <c r="N4130">
        <f>IMAGE("file:///E:/Estudios%20y%20certificaciones/ESTUDIOS%20DE%20PROGRAMMING/PROGRAMMING/PERSONAL/PYTHON/Image_Generator_API/imagenes/T_TAHARI_124009692_BLK_3.jpg")</f>
        <v/>
      </c>
      <c r="O4130">
        <f>HYPERLINK("imagenes/T_TAHARI_124009692_BLK_1.jpg","Ver imagen")</f>
        <v/>
      </c>
      <c r="P4130">
        <f>HYPERLINK("imagenes/T_TAHARI_124009692_BLK_2.jpg","Ver imagen")</f>
        <v/>
      </c>
      <c r="Q4130">
        <f>HYPERLINK("imagenes/T_TAHARI_124009692_BLK_3.jpg","Ver imagen")</f>
        <v/>
      </c>
    </row>
    <row r="4131">
      <c r="A4131" t="inlineStr">
        <is>
          <t>T TAHARI</t>
        </is>
      </c>
      <c r="B4131" t="inlineStr">
        <is>
          <t>124009692</t>
        </is>
      </c>
      <c r="C4131" t="inlineStr">
        <is>
          <t>DAKOTA</t>
        </is>
      </c>
      <c r="D4131" t="inlineStr">
        <is>
          <t>BLK</t>
        </is>
      </c>
      <c r="E4131" t="inlineStr">
        <is>
          <t>(en blanco)</t>
        </is>
      </c>
      <c r="F4131" t="inlineStr">
        <is>
          <t>D2C</t>
        </is>
      </c>
      <c r="G4131" t="inlineStr">
        <is>
          <t>L</t>
        </is>
      </c>
      <c r="H4131" t="n">
        <v>18</v>
      </c>
      <c r="I4131" t="inlineStr">
        <is>
          <t>T_TAHARI_124009692_BLK_1.jpg</t>
        </is>
      </c>
      <c r="J4131" t="inlineStr">
        <is>
          <t>T_TAHARI_124009692_BLK_2.jpg</t>
        </is>
      </c>
      <c r="K4131" t="inlineStr">
        <is>
          <t>T_TAHARI_124009692_BLK_3.jpg</t>
        </is>
      </c>
      <c r="L4131">
        <f>IMAGE("file:///E:/Estudios%20y%20certificaciones/ESTUDIOS%20DE%20PROGRAMMING/PROGRAMMING/PERSONAL/PYTHON/Image_Generator_API/imagenes/T_TAHARI_124009692_BLK_1.jpg")</f>
        <v/>
      </c>
      <c r="M4131">
        <f>IMAGE("file:///E:/Estudios%20y%20certificaciones/ESTUDIOS%20DE%20PROGRAMMING/PROGRAMMING/PERSONAL/PYTHON/Image_Generator_API/imagenes/T_TAHARI_124009692_BLK_2.jpg")</f>
        <v/>
      </c>
      <c r="N4131">
        <f>IMAGE("file:///E:/Estudios%20y%20certificaciones/ESTUDIOS%20DE%20PROGRAMMING/PROGRAMMING/PERSONAL/PYTHON/Image_Generator_API/imagenes/T_TAHARI_124009692_BLK_3.jpg")</f>
        <v/>
      </c>
      <c r="O4131">
        <f>HYPERLINK("imagenes/T_TAHARI_124009692_BLK_1.jpg","Ver imagen")</f>
        <v/>
      </c>
      <c r="P4131">
        <f>HYPERLINK("imagenes/T_TAHARI_124009692_BLK_2.jpg","Ver imagen")</f>
        <v/>
      </c>
      <c r="Q4131">
        <f>HYPERLINK("imagenes/T_TAHARI_124009692_BLK_3.jpg","Ver imagen")</f>
        <v/>
      </c>
    </row>
    <row r="4132">
      <c r="A4132" t="inlineStr">
        <is>
          <t>T TAHARI</t>
        </is>
      </c>
      <c r="B4132" t="inlineStr">
        <is>
          <t>124009692</t>
        </is>
      </c>
      <c r="C4132" t="inlineStr">
        <is>
          <t>DAKOTA</t>
        </is>
      </c>
      <c r="D4132" t="inlineStr">
        <is>
          <t>BLK</t>
        </is>
      </c>
      <c r="E4132" t="inlineStr">
        <is>
          <t>(en blanco)</t>
        </is>
      </c>
      <c r="F4132" t="inlineStr">
        <is>
          <t>D2C</t>
        </is>
      </c>
      <c r="G4132" t="inlineStr">
        <is>
          <t>XL</t>
        </is>
      </c>
      <c r="H4132" t="n">
        <v>10</v>
      </c>
      <c r="I4132" t="inlineStr">
        <is>
          <t>T_TAHARI_124009692_BLK_1.jpg</t>
        </is>
      </c>
      <c r="J4132" t="inlineStr">
        <is>
          <t>T_TAHARI_124009692_BLK_2.jpg</t>
        </is>
      </c>
      <c r="K4132" t="inlineStr">
        <is>
          <t>T_TAHARI_124009692_BLK_3.jpg</t>
        </is>
      </c>
      <c r="L4132">
        <f>IMAGE("file:///E:/Estudios%20y%20certificaciones/ESTUDIOS%20DE%20PROGRAMMING/PROGRAMMING/PERSONAL/PYTHON/Image_Generator_API/imagenes/T_TAHARI_124009692_BLK_1.jpg")</f>
        <v/>
      </c>
      <c r="M4132">
        <f>IMAGE("file:///E:/Estudios%20y%20certificaciones/ESTUDIOS%20DE%20PROGRAMMING/PROGRAMMING/PERSONAL/PYTHON/Image_Generator_API/imagenes/T_TAHARI_124009692_BLK_2.jpg")</f>
        <v/>
      </c>
      <c r="N4132">
        <f>IMAGE("file:///E:/Estudios%20y%20certificaciones/ESTUDIOS%20DE%20PROGRAMMING/PROGRAMMING/PERSONAL/PYTHON/Image_Generator_API/imagenes/T_TAHARI_124009692_BLK_3.jpg")</f>
        <v/>
      </c>
      <c r="O4132">
        <f>HYPERLINK("imagenes/T_TAHARI_124009692_BLK_1.jpg","Ver imagen")</f>
        <v/>
      </c>
      <c r="P4132">
        <f>HYPERLINK("imagenes/T_TAHARI_124009692_BLK_2.jpg","Ver imagen")</f>
        <v/>
      </c>
      <c r="Q4132">
        <f>HYPERLINK("imagenes/T_TAHARI_124009692_BLK_3.jpg","Ver imagen")</f>
        <v/>
      </c>
    </row>
    <row r="4133">
      <c r="A4133" t="inlineStr">
        <is>
          <t>T TAHARI</t>
        </is>
      </c>
      <c r="B4133" t="inlineStr">
        <is>
          <t>124009692</t>
        </is>
      </c>
      <c r="C4133" t="inlineStr">
        <is>
          <t>DAKOTA</t>
        </is>
      </c>
      <c r="D4133" t="inlineStr">
        <is>
          <t>BLK</t>
        </is>
      </c>
      <c r="E4133" t="inlineStr">
        <is>
          <t>(en blanco)</t>
        </is>
      </c>
      <c r="F4133" t="inlineStr">
        <is>
          <t>(en blanco)</t>
        </is>
      </c>
      <c r="G4133" t="inlineStr">
        <is>
          <t>XS</t>
        </is>
      </c>
      <c r="H4133" t="n">
        <v>65</v>
      </c>
      <c r="I4133" t="inlineStr">
        <is>
          <t>T_TAHARI_124009692_BLK_1.jpg</t>
        </is>
      </c>
      <c r="J4133" t="inlineStr">
        <is>
          <t>T_TAHARI_124009692_BLK_2.jpg</t>
        </is>
      </c>
      <c r="K4133" t="inlineStr">
        <is>
          <t>T_TAHARI_124009692_BLK_3.jpg</t>
        </is>
      </c>
      <c r="L4133">
        <f>IMAGE("file:///E:/Estudios%20y%20certificaciones/ESTUDIOS%20DE%20PROGRAMMING/PROGRAMMING/PERSONAL/PYTHON/Image_Generator_API/imagenes/T_TAHARI_124009692_BLK_1.jpg")</f>
        <v/>
      </c>
      <c r="M4133">
        <f>IMAGE("file:///E:/Estudios%20y%20certificaciones/ESTUDIOS%20DE%20PROGRAMMING/PROGRAMMING/PERSONAL/PYTHON/Image_Generator_API/imagenes/T_TAHARI_124009692_BLK_2.jpg")</f>
        <v/>
      </c>
      <c r="N4133">
        <f>IMAGE("file:///E:/Estudios%20y%20certificaciones/ESTUDIOS%20DE%20PROGRAMMING/PROGRAMMING/PERSONAL/PYTHON/Image_Generator_API/imagenes/T_TAHARI_124009692_BLK_3.jpg")</f>
        <v/>
      </c>
      <c r="O4133">
        <f>HYPERLINK("imagenes/T_TAHARI_124009692_BLK_1.jpg","Ver imagen")</f>
        <v/>
      </c>
      <c r="P4133">
        <f>HYPERLINK("imagenes/T_TAHARI_124009692_BLK_2.jpg","Ver imagen")</f>
        <v/>
      </c>
      <c r="Q4133">
        <f>HYPERLINK("imagenes/T_TAHARI_124009692_BLK_3.jpg","Ver imagen")</f>
        <v/>
      </c>
    </row>
    <row r="4134">
      <c r="A4134" t="inlineStr">
        <is>
          <t>T TAHARI</t>
        </is>
      </c>
      <c r="B4134" t="inlineStr">
        <is>
          <t>124009692</t>
        </is>
      </c>
      <c r="C4134" t="inlineStr">
        <is>
          <t>DAKOTA</t>
        </is>
      </c>
      <c r="D4134" t="inlineStr">
        <is>
          <t>BLK</t>
        </is>
      </c>
      <c r="E4134" t="inlineStr">
        <is>
          <t>(en blanco)</t>
        </is>
      </c>
      <c r="F4134" t="inlineStr">
        <is>
          <t>(en blanco)</t>
        </is>
      </c>
      <c r="G4134" t="inlineStr">
        <is>
          <t>S</t>
        </is>
      </c>
      <c r="H4134" t="n">
        <v>135</v>
      </c>
      <c r="I4134" t="inlineStr">
        <is>
          <t>T_TAHARI_124009692_BLK_1.jpg</t>
        </is>
      </c>
      <c r="J4134" t="inlineStr">
        <is>
          <t>T_TAHARI_124009692_BLK_2.jpg</t>
        </is>
      </c>
      <c r="K4134" t="inlineStr">
        <is>
          <t>T_TAHARI_124009692_BLK_3.jpg</t>
        </is>
      </c>
      <c r="L4134">
        <f>IMAGE("file:///E:/Estudios%20y%20certificaciones/ESTUDIOS%20DE%20PROGRAMMING/PROGRAMMING/PERSONAL/PYTHON/Image_Generator_API/imagenes/T_TAHARI_124009692_BLK_1.jpg")</f>
        <v/>
      </c>
      <c r="M4134">
        <f>IMAGE("file:///E:/Estudios%20y%20certificaciones/ESTUDIOS%20DE%20PROGRAMMING/PROGRAMMING/PERSONAL/PYTHON/Image_Generator_API/imagenes/T_TAHARI_124009692_BLK_2.jpg")</f>
        <v/>
      </c>
      <c r="N4134">
        <f>IMAGE("file:///E:/Estudios%20y%20certificaciones/ESTUDIOS%20DE%20PROGRAMMING/PROGRAMMING/PERSONAL/PYTHON/Image_Generator_API/imagenes/T_TAHARI_124009692_BLK_3.jpg")</f>
        <v/>
      </c>
      <c r="O4134">
        <f>HYPERLINK("imagenes/T_TAHARI_124009692_BLK_1.jpg","Ver imagen")</f>
        <v/>
      </c>
      <c r="P4134">
        <f>HYPERLINK("imagenes/T_TAHARI_124009692_BLK_2.jpg","Ver imagen")</f>
        <v/>
      </c>
      <c r="Q4134">
        <f>HYPERLINK("imagenes/T_TAHARI_124009692_BLK_3.jpg","Ver imagen")</f>
        <v/>
      </c>
    </row>
    <row r="4135">
      <c r="A4135" t="inlineStr">
        <is>
          <t>T TAHARI</t>
        </is>
      </c>
      <c r="B4135" t="inlineStr">
        <is>
          <t>124009692</t>
        </is>
      </c>
      <c r="C4135" t="inlineStr">
        <is>
          <t>DAKOTA</t>
        </is>
      </c>
      <c r="D4135" t="inlineStr">
        <is>
          <t>BLK</t>
        </is>
      </c>
      <c r="E4135" t="inlineStr">
        <is>
          <t>(en blanco)</t>
        </is>
      </c>
      <c r="F4135" t="inlineStr">
        <is>
          <t>(en blanco)</t>
        </is>
      </c>
      <c r="G4135" t="inlineStr">
        <is>
          <t>M</t>
        </is>
      </c>
      <c r="H4135" t="n">
        <v>136</v>
      </c>
      <c r="I4135" t="inlineStr">
        <is>
          <t>T_TAHARI_124009692_BLK_1.jpg</t>
        </is>
      </c>
      <c r="J4135" t="inlineStr">
        <is>
          <t>T_TAHARI_124009692_BLK_2.jpg</t>
        </is>
      </c>
      <c r="K4135" t="inlineStr">
        <is>
          <t>T_TAHARI_124009692_BLK_3.jpg</t>
        </is>
      </c>
      <c r="L4135">
        <f>IMAGE("file:///E:/Estudios%20y%20certificaciones/ESTUDIOS%20DE%20PROGRAMMING/PROGRAMMING/PERSONAL/PYTHON/Image_Generator_API/imagenes/T_TAHARI_124009692_BLK_1.jpg")</f>
        <v/>
      </c>
      <c r="M4135">
        <f>IMAGE("file:///E:/Estudios%20y%20certificaciones/ESTUDIOS%20DE%20PROGRAMMING/PROGRAMMING/PERSONAL/PYTHON/Image_Generator_API/imagenes/T_TAHARI_124009692_BLK_2.jpg")</f>
        <v/>
      </c>
      <c r="N4135">
        <f>IMAGE("file:///E:/Estudios%20y%20certificaciones/ESTUDIOS%20DE%20PROGRAMMING/PROGRAMMING/PERSONAL/PYTHON/Image_Generator_API/imagenes/T_TAHARI_124009692_BLK_3.jpg")</f>
        <v/>
      </c>
      <c r="O4135">
        <f>HYPERLINK("imagenes/T_TAHARI_124009692_BLK_1.jpg","Ver imagen")</f>
        <v/>
      </c>
      <c r="P4135">
        <f>HYPERLINK("imagenes/T_TAHARI_124009692_BLK_2.jpg","Ver imagen")</f>
        <v/>
      </c>
      <c r="Q4135">
        <f>HYPERLINK("imagenes/T_TAHARI_124009692_BLK_3.jpg","Ver imagen")</f>
        <v/>
      </c>
    </row>
    <row r="4136">
      <c r="A4136" t="inlineStr">
        <is>
          <t>T TAHARI</t>
        </is>
      </c>
      <c r="B4136" t="inlineStr">
        <is>
          <t>124009692</t>
        </is>
      </c>
      <c r="C4136" t="inlineStr">
        <is>
          <t>DAKOTA</t>
        </is>
      </c>
      <c r="D4136" t="inlineStr">
        <is>
          <t>BLK</t>
        </is>
      </c>
      <c r="E4136" t="inlineStr">
        <is>
          <t>(en blanco)</t>
        </is>
      </c>
      <c r="F4136" t="inlineStr">
        <is>
          <t>(en blanco)</t>
        </is>
      </c>
      <c r="G4136" t="inlineStr">
        <is>
          <t>L</t>
        </is>
      </c>
      <c r="H4136" t="n">
        <v>137</v>
      </c>
      <c r="I4136" t="inlineStr">
        <is>
          <t>T_TAHARI_124009692_BLK_1.jpg</t>
        </is>
      </c>
      <c r="J4136" t="inlineStr">
        <is>
          <t>T_TAHARI_124009692_BLK_2.jpg</t>
        </is>
      </c>
      <c r="K4136" t="inlineStr">
        <is>
          <t>T_TAHARI_124009692_BLK_3.jpg</t>
        </is>
      </c>
      <c r="L4136">
        <f>IMAGE("file:///E:/Estudios%20y%20certificaciones/ESTUDIOS%20DE%20PROGRAMMING/PROGRAMMING/PERSONAL/PYTHON/Image_Generator_API/imagenes/T_TAHARI_124009692_BLK_1.jpg")</f>
        <v/>
      </c>
      <c r="M4136">
        <f>IMAGE("file:///E:/Estudios%20y%20certificaciones/ESTUDIOS%20DE%20PROGRAMMING/PROGRAMMING/PERSONAL/PYTHON/Image_Generator_API/imagenes/T_TAHARI_124009692_BLK_2.jpg")</f>
        <v/>
      </c>
      <c r="N4136">
        <f>IMAGE("file:///E:/Estudios%20y%20certificaciones/ESTUDIOS%20DE%20PROGRAMMING/PROGRAMMING/PERSONAL/PYTHON/Image_Generator_API/imagenes/T_TAHARI_124009692_BLK_3.jpg")</f>
        <v/>
      </c>
      <c r="O4136">
        <f>HYPERLINK("imagenes/T_TAHARI_124009692_BLK_1.jpg","Ver imagen")</f>
        <v/>
      </c>
      <c r="P4136">
        <f>HYPERLINK("imagenes/T_TAHARI_124009692_BLK_2.jpg","Ver imagen")</f>
        <v/>
      </c>
      <c r="Q4136">
        <f>HYPERLINK("imagenes/T_TAHARI_124009692_BLK_3.jpg","Ver imagen")</f>
        <v/>
      </c>
    </row>
    <row r="4137">
      <c r="A4137" t="inlineStr">
        <is>
          <t>T TAHARI</t>
        </is>
      </c>
      <c r="B4137" t="inlineStr">
        <is>
          <t>124009692</t>
        </is>
      </c>
      <c r="C4137" t="inlineStr">
        <is>
          <t>DAKOTA</t>
        </is>
      </c>
      <c r="D4137" t="inlineStr">
        <is>
          <t>BLK</t>
        </is>
      </c>
      <c r="E4137" t="inlineStr">
        <is>
          <t>(en blanco)</t>
        </is>
      </c>
      <c r="F4137" t="inlineStr">
        <is>
          <t>(en blanco)</t>
        </is>
      </c>
      <c r="G4137" t="inlineStr">
        <is>
          <t>XL</t>
        </is>
      </c>
      <c r="H4137" t="n">
        <v>63</v>
      </c>
      <c r="I4137" t="inlineStr">
        <is>
          <t>T_TAHARI_124009692_BLK_1.jpg</t>
        </is>
      </c>
      <c r="J4137" t="inlineStr">
        <is>
          <t>T_TAHARI_124009692_BLK_2.jpg</t>
        </is>
      </c>
      <c r="K4137" t="inlineStr">
        <is>
          <t>T_TAHARI_124009692_BLK_3.jpg</t>
        </is>
      </c>
      <c r="L4137">
        <f>IMAGE("file:///E:/Estudios%20y%20certificaciones/ESTUDIOS%20DE%20PROGRAMMING/PROGRAMMING/PERSONAL/PYTHON/Image_Generator_API/imagenes/T_TAHARI_124009692_BLK_1.jpg")</f>
        <v/>
      </c>
      <c r="M4137">
        <f>IMAGE("file:///E:/Estudios%20y%20certificaciones/ESTUDIOS%20DE%20PROGRAMMING/PROGRAMMING/PERSONAL/PYTHON/Image_Generator_API/imagenes/T_TAHARI_124009692_BLK_2.jpg")</f>
        <v/>
      </c>
      <c r="N4137">
        <f>IMAGE("file:///E:/Estudios%20y%20certificaciones/ESTUDIOS%20DE%20PROGRAMMING/PROGRAMMING/PERSONAL/PYTHON/Image_Generator_API/imagenes/T_TAHARI_124009692_BLK_3.jpg")</f>
        <v/>
      </c>
      <c r="O4137">
        <f>HYPERLINK("imagenes/T_TAHARI_124009692_BLK_1.jpg","Ver imagen")</f>
        <v/>
      </c>
      <c r="P4137">
        <f>HYPERLINK("imagenes/T_TAHARI_124009692_BLK_2.jpg","Ver imagen")</f>
        <v/>
      </c>
      <c r="Q4137">
        <f>HYPERLINK("imagenes/T_TAHARI_124009692_BLK_3.jpg","Ver imagen")</f>
        <v/>
      </c>
    </row>
    <row r="4138">
      <c r="A4138" t="inlineStr">
        <is>
          <t>T TAHARI</t>
        </is>
      </c>
      <c r="B4138" t="inlineStr">
        <is>
          <t>124009692</t>
        </is>
      </c>
      <c r="C4138" t="inlineStr">
        <is>
          <t>DAKOTA</t>
        </is>
      </c>
      <c r="D4138" t="inlineStr">
        <is>
          <t>CHO</t>
        </is>
      </c>
      <c r="E4138" t="inlineStr">
        <is>
          <t>(en blanco)</t>
        </is>
      </c>
      <c r="F4138" t="inlineStr">
        <is>
          <t>D2C</t>
        </is>
      </c>
      <c r="G4138" t="inlineStr">
        <is>
          <t>XS</t>
        </is>
      </c>
      <c r="H4138" t="n">
        <v>10</v>
      </c>
      <c r="I4138" t="inlineStr">
        <is>
          <t>T_TAHARI_124009692_CHO_1.jpg</t>
        </is>
      </c>
      <c r="J4138" t="inlineStr">
        <is>
          <t>T_TAHARI_124009692_CHO_2.jpg</t>
        </is>
      </c>
      <c r="K4138" t="inlineStr">
        <is>
          <t>T_TAHARI_124009692_CHO_3.jpg</t>
        </is>
      </c>
      <c r="L4138">
        <f>IMAGE("file:///E:/Estudios%20y%20certificaciones/ESTUDIOS%20DE%20PROGRAMMING/PROGRAMMING/PERSONAL/PYTHON/Image_Generator_API/imagenes/T_TAHARI_124009692_CHO_1.jpg")</f>
        <v/>
      </c>
      <c r="M4138">
        <f>IMAGE("file:///E:/Estudios%20y%20certificaciones/ESTUDIOS%20DE%20PROGRAMMING/PROGRAMMING/PERSONAL/PYTHON/Image_Generator_API/imagenes/T_TAHARI_124009692_CHO_2.jpg")</f>
        <v/>
      </c>
      <c r="N4138">
        <f>IMAGE("file:///E:/Estudios%20y%20certificaciones/ESTUDIOS%20DE%20PROGRAMMING/PROGRAMMING/PERSONAL/PYTHON/Image_Generator_API/imagenes/T_TAHARI_124009692_CHO_3.jpg")</f>
        <v/>
      </c>
      <c r="O4138">
        <f>HYPERLINK("imagenes/T_TAHARI_124009692_CHO_1.jpg","Ver imagen")</f>
        <v/>
      </c>
      <c r="P4138">
        <f>HYPERLINK("imagenes/T_TAHARI_124009692_CHO_2.jpg","Ver imagen")</f>
        <v/>
      </c>
      <c r="Q4138">
        <f>HYPERLINK("imagenes/T_TAHARI_124009692_CHO_3.jpg","Ver imagen")</f>
        <v/>
      </c>
    </row>
    <row r="4139">
      <c r="A4139" t="inlineStr">
        <is>
          <t>T TAHARI</t>
        </is>
      </c>
      <c r="B4139" t="inlineStr">
        <is>
          <t>124009692</t>
        </is>
      </c>
      <c r="C4139" t="inlineStr">
        <is>
          <t>DAKOTA</t>
        </is>
      </c>
      <c r="D4139" t="inlineStr">
        <is>
          <t>CHO</t>
        </is>
      </c>
      <c r="E4139" t="inlineStr">
        <is>
          <t>(en blanco)</t>
        </is>
      </c>
      <c r="F4139" t="inlineStr">
        <is>
          <t>D2C</t>
        </is>
      </c>
      <c r="G4139" t="inlineStr">
        <is>
          <t>S</t>
        </is>
      </c>
      <c r="H4139" t="n">
        <v>16</v>
      </c>
      <c r="I4139" t="inlineStr">
        <is>
          <t>T_TAHARI_124009692_CHO_1.jpg</t>
        </is>
      </c>
      <c r="J4139" t="inlineStr">
        <is>
          <t>T_TAHARI_124009692_CHO_2.jpg</t>
        </is>
      </c>
      <c r="K4139" t="inlineStr">
        <is>
          <t>T_TAHARI_124009692_CHO_3.jpg</t>
        </is>
      </c>
      <c r="L4139">
        <f>IMAGE("file:///E:/Estudios%20y%20certificaciones/ESTUDIOS%20DE%20PROGRAMMING/PROGRAMMING/PERSONAL/PYTHON/Image_Generator_API/imagenes/T_TAHARI_124009692_CHO_1.jpg")</f>
        <v/>
      </c>
      <c r="M4139">
        <f>IMAGE("file:///E:/Estudios%20y%20certificaciones/ESTUDIOS%20DE%20PROGRAMMING/PROGRAMMING/PERSONAL/PYTHON/Image_Generator_API/imagenes/T_TAHARI_124009692_CHO_2.jpg")</f>
        <v/>
      </c>
      <c r="N4139">
        <f>IMAGE("file:///E:/Estudios%20y%20certificaciones/ESTUDIOS%20DE%20PROGRAMMING/PROGRAMMING/PERSONAL/PYTHON/Image_Generator_API/imagenes/T_TAHARI_124009692_CHO_3.jpg")</f>
        <v/>
      </c>
      <c r="O4139">
        <f>HYPERLINK("imagenes/T_TAHARI_124009692_CHO_1.jpg","Ver imagen")</f>
        <v/>
      </c>
      <c r="P4139">
        <f>HYPERLINK("imagenes/T_TAHARI_124009692_CHO_2.jpg","Ver imagen")</f>
        <v/>
      </c>
      <c r="Q4139">
        <f>HYPERLINK("imagenes/T_TAHARI_124009692_CHO_3.jpg","Ver imagen")</f>
        <v/>
      </c>
    </row>
    <row r="4140">
      <c r="A4140" t="inlineStr">
        <is>
          <t>T TAHARI</t>
        </is>
      </c>
      <c r="B4140" t="inlineStr">
        <is>
          <t>124009692</t>
        </is>
      </c>
      <c r="C4140" t="inlineStr">
        <is>
          <t>DAKOTA</t>
        </is>
      </c>
      <c r="D4140" t="inlineStr">
        <is>
          <t>CHO</t>
        </is>
      </c>
      <c r="E4140" t="inlineStr">
        <is>
          <t>(en blanco)</t>
        </is>
      </c>
      <c r="F4140" t="inlineStr">
        <is>
          <t>D2C</t>
        </is>
      </c>
      <c r="G4140" t="inlineStr">
        <is>
          <t>M</t>
        </is>
      </c>
      <c r="H4140" t="n">
        <v>17</v>
      </c>
      <c r="I4140" t="inlineStr">
        <is>
          <t>T_TAHARI_124009692_CHO_1.jpg</t>
        </is>
      </c>
      <c r="J4140" t="inlineStr">
        <is>
          <t>T_TAHARI_124009692_CHO_2.jpg</t>
        </is>
      </c>
      <c r="K4140" t="inlineStr">
        <is>
          <t>T_TAHARI_124009692_CHO_3.jpg</t>
        </is>
      </c>
      <c r="L4140">
        <f>IMAGE("file:///E:/Estudios%20y%20certificaciones/ESTUDIOS%20DE%20PROGRAMMING/PROGRAMMING/PERSONAL/PYTHON/Image_Generator_API/imagenes/T_TAHARI_124009692_CHO_1.jpg")</f>
        <v/>
      </c>
      <c r="M4140">
        <f>IMAGE("file:///E:/Estudios%20y%20certificaciones/ESTUDIOS%20DE%20PROGRAMMING/PROGRAMMING/PERSONAL/PYTHON/Image_Generator_API/imagenes/T_TAHARI_124009692_CHO_2.jpg")</f>
        <v/>
      </c>
      <c r="N4140">
        <f>IMAGE("file:///E:/Estudios%20y%20certificaciones/ESTUDIOS%20DE%20PROGRAMMING/PROGRAMMING/PERSONAL/PYTHON/Image_Generator_API/imagenes/T_TAHARI_124009692_CHO_3.jpg")</f>
        <v/>
      </c>
      <c r="O4140">
        <f>HYPERLINK("imagenes/T_TAHARI_124009692_CHO_1.jpg","Ver imagen")</f>
        <v/>
      </c>
      <c r="P4140">
        <f>HYPERLINK("imagenes/T_TAHARI_124009692_CHO_2.jpg","Ver imagen")</f>
        <v/>
      </c>
      <c r="Q4140">
        <f>HYPERLINK("imagenes/T_TAHARI_124009692_CHO_3.jpg","Ver imagen")</f>
        <v/>
      </c>
    </row>
    <row r="4141">
      <c r="A4141" t="inlineStr">
        <is>
          <t>T TAHARI</t>
        </is>
      </c>
      <c r="B4141" t="inlineStr">
        <is>
          <t>124009692</t>
        </is>
      </c>
      <c r="C4141" t="inlineStr">
        <is>
          <t>DAKOTA</t>
        </is>
      </c>
      <c r="D4141" t="inlineStr">
        <is>
          <t>CHO</t>
        </is>
      </c>
      <c r="E4141" t="inlineStr">
        <is>
          <t>(en blanco)</t>
        </is>
      </c>
      <c r="F4141" t="inlineStr">
        <is>
          <t>D2C</t>
        </is>
      </c>
      <c r="G4141" t="inlineStr">
        <is>
          <t>L</t>
        </is>
      </c>
      <c r="H4141" t="n">
        <v>19</v>
      </c>
      <c r="I4141" t="inlineStr">
        <is>
          <t>T_TAHARI_124009692_CHO_1.jpg</t>
        </is>
      </c>
      <c r="J4141" t="inlineStr">
        <is>
          <t>T_TAHARI_124009692_CHO_2.jpg</t>
        </is>
      </c>
      <c r="K4141" t="inlineStr">
        <is>
          <t>T_TAHARI_124009692_CHO_3.jpg</t>
        </is>
      </c>
      <c r="L4141">
        <f>IMAGE("file:///E:/Estudios%20y%20certificaciones/ESTUDIOS%20DE%20PROGRAMMING/PROGRAMMING/PERSONAL/PYTHON/Image_Generator_API/imagenes/T_TAHARI_124009692_CHO_1.jpg")</f>
        <v/>
      </c>
      <c r="M4141">
        <f>IMAGE("file:///E:/Estudios%20y%20certificaciones/ESTUDIOS%20DE%20PROGRAMMING/PROGRAMMING/PERSONAL/PYTHON/Image_Generator_API/imagenes/T_TAHARI_124009692_CHO_2.jpg")</f>
        <v/>
      </c>
      <c r="N4141">
        <f>IMAGE("file:///E:/Estudios%20y%20certificaciones/ESTUDIOS%20DE%20PROGRAMMING/PROGRAMMING/PERSONAL/PYTHON/Image_Generator_API/imagenes/T_TAHARI_124009692_CHO_3.jpg")</f>
        <v/>
      </c>
      <c r="O4141">
        <f>HYPERLINK("imagenes/T_TAHARI_124009692_CHO_1.jpg","Ver imagen")</f>
        <v/>
      </c>
      <c r="P4141">
        <f>HYPERLINK("imagenes/T_TAHARI_124009692_CHO_2.jpg","Ver imagen")</f>
        <v/>
      </c>
      <c r="Q4141">
        <f>HYPERLINK("imagenes/T_TAHARI_124009692_CHO_3.jpg","Ver imagen")</f>
        <v/>
      </c>
    </row>
    <row r="4142">
      <c r="A4142" t="inlineStr">
        <is>
          <t>T TAHARI</t>
        </is>
      </c>
      <c r="B4142" t="inlineStr">
        <is>
          <t>124009692</t>
        </is>
      </c>
      <c r="C4142" t="inlineStr">
        <is>
          <t>DAKOTA</t>
        </is>
      </c>
      <c r="D4142" t="inlineStr">
        <is>
          <t>CHO</t>
        </is>
      </c>
      <c r="E4142" t="inlineStr">
        <is>
          <t>(en blanco)</t>
        </is>
      </c>
      <c r="F4142" t="inlineStr">
        <is>
          <t>D2C</t>
        </is>
      </c>
      <c r="G4142" t="inlineStr">
        <is>
          <t>XL</t>
        </is>
      </c>
      <c r="H4142" t="n">
        <v>10</v>
      </c>
      <c r="I4142" t="inlineStr">
        <is>
          <t>T_TAHARI_124009692_CHO_1.jpg</t>
        </is>
      </c>
      <c r="J4142" t="inlineStr">
        <is>
          <t>T_TAHARI_124009692_CHO_2.jpg</t>
        </is>
      </c>
      <c r="K4142" t="inlineStr">
        <is>
          <t>T_TAHARI_124009692_CHO_3.jpg</t>
        </is>
      </c>
      <c r="L4142">
        <f>IMAGE("file:///E:/Estudios%20y%20certificaciones/ESTUDIOS%20DE%20PROGRAMMING/PROGRAMMING/PERSONAL/PYTHON/Image_Generator_API/imagenes/T_TAHARI_124009692_CHO_1.jpg")</f>
        <v/>
      </c>
      <c r="M4142">
        <f>IMAGE("file:///E:/Estudios%20y%20certificaciones/ESTUDIOS%20DE%20PROGRAMMING/PROGRAMMING/PERSONAL/PYTHON/Image_Generator_API/imagenes/T_TAHARI_124009692_CHO_2.jpg")</f>
        <v/>
      </c>
      <c r="N4142">
        <f>IMAGE("file:///E:/Estudios%20y%20certificaciones/ESTUDIOS%20DE%20PROGRAMMING/PROGRAMMING/PERSONAL/PYTHON/Image_Generator_API/imagenes/T_TAHARI_124009692_CHO_3.jpg")</f>
        <v/>
      </c>
      <c r="O4142">
        <f>HYPERLINK("imagenes/T_TAHARI_124009692_CHO_1.jpg","Ver imagen")</f>
        <v/>
      </c>
      <c r="P4142">
        <f>HYPERLINK("imagenes/T_TAHARI_124009692_CHO_2.jpg","Ver imagen")</f>
        <v/>
      </c>
      <c r="Q4142">
        <f>HYPERLINK("imagenes/T_TAHARI_124009692_CHO_3.jpg","Ver imagen")</f>
        <v/>
      </c>
    </row>
    <row r="4143">
      <c r="A4143" t="inlineStr">
        <is>
          <t>T TAHARI</t>
        </is>
      </c>
      <c r="B4143" t="inlineStr">
        <is>
          <t>124009692</t>
        </is>
      </c>
      <c r="C4143" t="inlineStr">
        <is>
          <t>DAKOTA</t>
        </is>
      </c>
      <c r="D4143" t="inlineStr">
        <is>
          <t>CHO</t>
        </is>
      </c>
      <c r="E4143" t="inlineStr">
        <is>
          <t>(en blanco)</t>
        </is>
      </c>
      <c r="F4143" t="inlineStr">
        <is>
          <t>(en blanco)</t>
        </is>
      </c>
      <c r="G4143" t="inlineStr">
        <is>
          <t>XS</t>
        </is>
      </c>
      <c r="H4143" t="n">
        <v>42</v>
      </c>
      <c r="I4143" t="inlineStr">
        <is>
          <t>T_TAHARI_124009692_CHO_1.jpg</t>
        </is>
      </c>
      <c r="J4143" t="inlineStr">
        <is>
          <t>T_TAHARI_124009692_CHO_2.jpg</t>
        </is>
      </c>
      <c r="K4143" t="inlineStr">
        <is>
          <t>T_TAHARI_124009692_CHO_3.jpg</t>
        </is>
      </c>
      <c r="L4143">
        <f>IMAGE("file:///E:/Estudios%20y%20certificaciones/ESTUDIOS%20DE%20PROGRAMMING/PROGRAMMING/PERSONAL/PYTHON/Image_Generator_API/imagenes/T_TAHARI_124009692_CHO_1.jpg")</f>
        <v/>
      </c>
      <c r="M4143">
        <f>IMAGE("file:///E:/Estudios%20y%20certificaciones/ESTUDIOS%20DE%20PROGRAMMING/PROGRAMMING/PERSONAL/PYTHON/Image_Generator_API/imagenes/T_TAHARI_124009692_CHO_2.jpg")</f>
        <v/>
      </c>
      <c r="N4143">
        <f>IMAGE("file:///E:/Estudios%20y%20certificaciones/ESTUDIOS%20DE%20PROGRAMMING/PROGRAMMING/PERSONAL/PYTHON/Image_Generator_API/imagenes/T_TAHARI_124009692_CHO_3.jpg")</f>
        <v/>
      </c>
      <c r="O4143">
        <f>HYPERLINK("imagenes/T_TAHARI_124009692_CHO_1.jpg","Ver imagen")</f>
        <v/>
      </c>
      <c r="P4143">
        <f>HYPERLINK("imagenes/T_TAHARI_124009692_CHO_2.jpg","Ver imagen")</f>
        <v/>
      </c>
      <c r="Q4143">
        <f>HYPERLINK("imagenes/T_TAHARI_124009692_CHO_3.jpg","Ver imagen")</f>
        <v/>
      </c>
    </row>
    <row r="4144">
      <c r="A4144" t="inlineStr">
        <is>
          <t>T TAHARI</t>
        </is>
      </c>
      <c r="B4144" t="inlineStr">
        <is>
          <t>124009692</t>
        </is>
      </c>
      <c r="C4144" t="inlineStr">
        <is>
          <t>DAKOTA</t>
        </is>
      </c>
      <c r="D4144" t="inlineStr">
        <is>
          <t>CHO</t>
        </is>
      </c>
      <c r="E4144" t="inlineStr">
        <is>
          <t>(en blanco)</t>
        </is>
      </c>
      <c r="F4144" t="inlineStr">
        <is>
          <t>(en blanco)</t>
        </is>
      </c>
      <c r="G4144" t="inlineStr">
        <is>
          <t>S</t>
        </is>
      </c>
      <c r="H4144" t="n">
        <v>78</v>
      </c>
      <c r="I4144" t="inlineStr">
        <is>
          <t>T_TAHARI_124009692_CHO_1.jpg</t>
        </is>
      </c>
      <c r="J4144" t="inlineStr">
        <is>
          <t>T_TAHARI_124009692_CHO_2.jpg</t>
        </is>
      </c>
      <c r="K4144" t="inlineStr">
        <is>
          <t>T_TAHARI_124009692_CHO_3.jpg</t>
        </is>
      </c>
      <c r="L4144">
        <f>IMAGE("file:///E:/Estudios%20y%20certificaciones/ESTUDIOS%20DE%20PROGRAMMING/PROGRAMMING/PERSONAL/PYTHON/Image_Generator_API/imagenes/T_TAHARI_124009692_CHO_1.jpg")</f>
        <v/>
      </c>
      <c r="M4144">
        <f>IMAGE("file:///E:/Estudios%20y%20certificaciones/ESTUDIOS%20DE%20PROGRAMMING/PROGRAMMING/PERSONAL/PYTHON/Image_Generator_API/imagenes/T_TAHARI_124009692_CHO_2.jpg")</f>
        <v/>
      </c>
      <c r="N4144">
        <f>IMAGE("file:///E:/Estudios%20y%20certificaciones/ESTUDIOS%20DE%20PROGRAMMING/PROGRAMMING/PERSONAL/PYTHON/Image_Generator_API/imagenes/T_TAHARI_124009692_CHO_3.jpg")</f>
        <v/>
      </c>
      <c r="O4144">
        <f>HYPERLINK("imagenes/T_TAHARI_124009692_CHO_1.jpg","Ver imagen")</f>
        <v/>
      </c>
      <c r="P4144">
        <f>HYPERLINK("imagenes/T_TAHARI_124009692_CHO_2.jpg","Ver imagen")</f>
        <v/>
      </c>
      <c r="Q4144">
        <f>HYPERLINK("imagenes/T_TAHARI_124009692_CHO_3.jpg","Ver imagen")</f>
        <v/>
      </c>
    </row>
    <row r="4145">
      <c r="A4145" t="inlineStr">
        <is>
          <t>T TAHARI</t>
        </is>
      </c>
      <c r="B4145" t="inlineStr">
        <is>
          <t>124009692</t>
        </is>
      </c>
      <c r="C4145" t="inlineStr">
        <is>
          <t>DAKOTA</t>
        </is>
      </c>
      <c r="D4145" t="inlineStr">
        <is>
          <t>CHO</t>
        </is>
      </c>
      <c r="E4145" t="inlineStr">
        <is>
          <t>(en blanco)</t>
        </is>
      </c>
      <c r="F4145" t="inlineStr">
        <is>
          <t>(en blanco)</t>
        </is>
      </c>
      <c r="G4145" t="inlineStr">
        <is>
          <t>M</t>
        </is>
      </c>
      <c r="H4145" t="n">
        <v>81</v>
      </c>
      <c r="I4145" t="inlineStr">
        <is>
          <t>T_TAHARI_124009692_CHO_1.jpg</t>
        </is>
      </c>
      <c r="J4145" t="inlineStr">
        <is>
          <t>T_TAHARI_124009692_CHO_2.jpg</t>
        </is>
      </c>
      <c r="K4145" t="inlineStr">
        <is>
          <t>T_TAHARI_124009692_CHO_3.jpg</t>
        </is>
      </c>
      <c r="L4145">
        <f>IMAGE("file:///E:/Estudios%20y%20certificaciones/ESTUDIOS%20DE%20PROGRAMMING/PROGRAMMING/PERSONAL/PYTHON/Image_Generator_API/imagenes/T_TAHARI_124009692_CHO_1.jpg")</f>
        <v/>
      </c>
      <c r="M4145">
        <f>IMAGE("file:///E:/Estudios%20y%20certificaciones/ESTUDIOS%20DE%20PROGRAMMING/PROGRAMMING/PERSONAL/PYTHON/Image_Generator_API/imagenes/T_TAHARI_124009692_CHO_2.jpg")</f>
        <v/>
      </c>
      <c r="N4145">
        <f>IMAGE("file:///E:/Estudios%20y%20certificaciones/ESTUDIOS%20DE%20PROGRAMMING/PROGRAMMING/PERSONAL/PYTHON/Image_Generator_API/imagenes/T_TAHARI_124009692_CHO_3.jpg")</f>
        <v/>
      </c>
      <c r="O4145">
        <f>HYPERLINK("imagenes/T_TAHARI_124009692_CHO_1.jpg","Ver imagen")</f>
        <v/>
      </c>
      <c r="P4145">
        <f>HYPERLINK("imagenes/T_TAHARI_124009692_CHO_2.jpg","Ver imagen")</f>
        <v/>
      </c>
      <c r="Q4145">
        <f>HYPERLINK("imagenes/T_TAHARI_124009692_CHO_3.jpg","Ver imagen")</f>
        <v/>
      </c>
    </row>
    <row r="4146">
      <c r="A4146" t="inlineStr">
        <is>
          <t>T TAHARI</t>
        </is>
      </c>
      <c r="B4146" t="inlineStr">
        <is>
          <t>124009692</t>
        </is>
      </c>
      <c r="C4146" t="inlineStr">
        <is>
          <t>DAKOTA</t>
        </is>
      </c>
      <c r="D4146" t="inlineStr">
        <is>
          <t>CHO</t>
        </is>
      </c>
      <c r="E4146" t="inlineStr">
        <is>
          <t>(en blanco)</t>
        </is>
      </c>
      <c r="F4146" t="inlineStr">
        <is>
          <t>(en blanco)</t>
        </is>
      </c>
      <c r="G4146" t="inlineStr">
        <is>
          <t>L</t>
        </is>
      </c>
      <c r="H4146" t="n">
        <v>89</v>
      </c>
      <c r="I4146" t="inlineStr">
        <is>
          <t>T_TAHARI_124009692_CHO_1.jpg</t>
        </is>
      </c>
      <c r="J4146" t="inlineStr">
        <is>
          <t>T_TAHARI_124009692_CHO_2.jpg</t>
        </is>
      </c>
      <c r="K4146" t="inlineStr">
        <is>
          <t>T_TAHARI_124009692_CHO_3.jpg</t>
        </is>
      </c>
      <c r="L4146">
        <f>IMAGE("file:///E:/Estudios%20y%20certificaciones/ESTUDIOS%20DE%20PROGRAMMING/PROGRAMMING/PERSONAL/PYTHON/Image_Generator_API/imagenes/T_TAHARI_124009692_CHO_1.jpg")</f>
        <v/>
      </c>
      <c r="M4146">
        <f>IMAGE("file:///E:/Estudios%20y%20certificaciones/ESTUDIOS%20DE%20PROGRAMMING/PROGRAMMING/PERSONAL/PYTHON/Image_Generator_API/imagenes/T_TAHARI_124009692_CHO_2.jpg")</f>
        <v/>
      </c>
      <c r="N4146">
        <f>IMAGE("file:///E:/Estudios%20y%20certificaciones/ESTUDIOS%20DE%20PROGRAMMING/PROGRAMMING/PERSONAL/PYTHON/Image_Generator_API/imagenes/T_TAHARI_124009692_CHO_3.jpg")</f>
        <v/>
      </c>
      <c r="O4146">
        <f>HYPERLINK("imagenes/T_TAHARI_124009692_CHO_1.jpg","Ver imagen")</f>
        <v/>
      </c>
      <c r="P4146">
        <f>HYPERLINK("imagenes/T_TAHARI_124009692_CHO_2.jpg","Ver imagen")</f>
        <v/>
      </c>
      <c r="Q4146">
        <f>HYPERLINK("imagenes/T_TAHARI_124009692_CHO_3.jpg","Ver imagen")</f>
        <v/>
      </c>
    </row>
    <row r="4147">
      <c r="A4147" t="inlineStr">
        <is>
          <t>T TAHARI</t>
        </is>
      </c>
      <c r="B4147" t="inlineStr">
        <is>
          <t>124009692</t>
        </is>
      </c>
      <c r="C4147" t="inlineStr">
        <is>
          <t>DAKOTA</t>
        </is>
      </c>
      <c r="D4147" t="inlineStr">
        <is>
          <t>CHO</t>
        </is>
      </c>
      <c r="E4147" t="inlineStr">
        <is>
          <t>(en blanco)</t>
        </is>
      </c>
      <c r="F4147" t="inlineStr">
        <is>
          <t>(en blanco)</t>
        </is>
      </c>
      <c r="G4147" t="inlineStr">
        <is>
          <t>XL</t>
        </is>
      </c>
      <c r="H4147" t="n">
        <v>41</v>
      </c>
      <c r="I4147" t="inlineStr">
        <is>
          <t>T_TAHARI_124009692_CHO_1.jpg</t>
        </is>
      </c>
      <c r="J4147" t="inlineStr">
        <is>
          <t>T_TAHARI_124009692_CHO_2.jpg</t>
        </is>
      </c>
      <c r="K4147" t="inlineStr">
        <is>
          <t>T_TAHARI_124009692_CHO_3.jpg</t>
        </is>
      </c>
      <c r="L4147">
        <f>IMAGE("file:///E:/Estudios%20y%20certificaciones/ESTUDIOS%20DE%20PROGRAMMING/PROGRAMMING/PERSONAL/PYTHON/Image_Generator_API/imagenes/T_TAHARI_124009692_CHO_1.jpg")</f>
        <v/>
      </c>
      <c r="M4147">
        <f>IMAGE("file:///E:/Estudios%20y%20certificaciones/ESTUDIOS%20DE%20PROGRAMMING/PROGRAMMING/PERSONAL/PYTHON/Image_Generator_API/imagenes/T_TAHARI_124009692_CHO_2.jpg")</f>
        <v/>
      </c>
      <c r="N4147">
        <f>IMAGE("file:///E:/Estudios%20y%20certificaciones/ESTUDIOS%20DE%20PROGRAMMING/PROGRAMMING/PERSONAL/PYTHON/Image_Generator_API/imagenes/T_TAHARI_124009692_CHO_3.jpg")</f>
        <v/>
      </c>
      <c r="O4147">
        <f>HYPERLINK("imagenes/T_TAHARI_124009692_CHO_1.jpg","Ver imagen")</f>
        <v/>
      </c>
      <c r="P4147">
        <f>HYPERLINK("imagenes/T_TAHARI_124009692_CHO_2.jpg","Ver imagen")</f>
        <v/>
      </c>
      <c r="Q4147">
        <f>HYPERLINK("imagenes/T_TAHARI_124009692_CHO_3.jpg","Ver imagen")</f>
        <v/>
      </c>
    </row>
    <row r="4148">
      <c r="A4148" t="inlineStr">
        <is>
          <t>T TAHARI</t>
        </is>
      </c>
      <c r="B4148" t="inlineStr">
        <is>
          <t>124009692</t>
        </is>
      </c>
      <c r="C4148" t="inlineStr">
        <is>
          <t>DAKOTA</t>
        </is>
      </c>
      <c r="D4148" t="inlineStr">
        <is>
          <t>DTE</t>
        </is>
      </c>
      <c r="E4148" t="inlineStr">
        <is>
          <t>(en blanco)</t>
        </is>
      </c>
      <c r="F4148" t="inlineStr">
        <is>
          <t>D2C</t>
        </is>
      </c>
      <c r="G4148" t="inlineStr">
        <is>
          <t>XS</t>
        </is>
      </c>
      <c r="H4148" t="n">
        <v>9</v>
      </c>
      <c r="I4148" t="inlineStr">
        <is>
          <t>T_TAHARI_124009692_DTE_1.jpg</t>
        </is>
      </c>
      <c r="J4148" t="inlineStr">
        <is>
          <t>T_TAHARI_124009692_DTE_2.jpg</t>
        </is>
      </c>
      <c r="K4148" t="inlineStr">
        <is>
          <t>T_TAHARI_124009692_DTE_3.jpg</t>
        </is>
      </c>
      <c r="L4148">
        <f>IMAGE("file:///E:/Estudios%20y%20certificaciones/ESTUDIOS%20DE%20PROGRAMMING/PROGRAMMING/PERSONAL/PYTHON/Image_Generator_API/imagenes/T_TAHARI_124009692_DTE_1.jpg")</f>
        <v/>
      </c>
      <c r="M4148">
        <f>IMAGE("file:///E:/Estudios%20y%20certificaciones/ESTUDIOS%20DE%20PROGRAMMING/PROGRAMMING/PERSONAL/PYTHON/Image_Generator_API/imagenes/T_TAHARI_124009692_DTE_2.jpg")</f>
        <v/>
      </c>
      <c r="N4148">
        <f>IMAGE("file:///E:/Estudios%20y%20certificaciones/ESTUDIOS%20DE%20PROGRAMMING/PROGRAMMING/PERSONAL/PYTHON/Image_Generator_API/imagenes/T_TAHARI_124009692_DTE_3.jpg")</f>
        <v/>
      </c>
      <c r="O4148">
        <f>HYPERLINK("imagenes/T_TAHARI_124009692_DTE_1.jpg","Ver imagen")</f>
        <v/>
      </c>
      <c r="P4148">
        <f>HYPERLINK("imagenes/T_TAHARI_124009692_DTE_2.jpg","Ver imagen")</f>
        <v/>
      </c>
      <c r="Q4148">
        <f>HYPERLINK("imagenes/T_TAHARI_124009692_DTE_3.jpg","Ver imagen")</f>
        <v/>
      </c>
    </row>
    <row r="4149">
      <c r="A4149" t="inlineStr">
        <is>
          <t>T TAHARI</t>
        </is>
      </c>
      <c r="B4149" t="inlineStr">
        <is>
          <t>124009692</t>
        </is>
      </c>
      <c r="C4149" t="inlineStr">
        <is>
          <t>DAKOTA</t>
        </is>
      </c>
      <c r="D4149" t="inlineStr">
        <is>
          <t>DTE</t>
        </is>
      </c>
      <c r="E4149" t="inlineStr">
        <is>
          <t>(en blanco)</t>
        </is>
      </c>
      <c r="F4149" t="inlineStr">
        <is>
          <t>D2C</t>
        </is>
      </c>
      <c r="G4149" t="inlineStr">
        <is>
          <t>S</t>
        </is>
      </c>
      <c r="H4149" t="n">
        <v>18</v>
      </c>
      <c r="I4149" t="inlineStr">
        <is>
          <t>T_TAHARI_124009692_DTE_1.jpg</t>
        </is>
      </c>
      <c r="J4149" t="inlineStr">
        <is>
          <t>T_TAHARI_124009692_DTE_2.jpg</t>
        </is>
      </c>
      <c r="K4149" t="inlineStr">
        <is>
          <t>T_TAHARI_124009692_DTE_3.jpg</t>
        </is>
      </c>
      <c r="L4149">
        <f>IMAGE("file:///E:/Estudios%20y%20certificaciones/ESTUDIOS%20DE%20PROGRAMMING/PROGRAMMING/PERSONAL/PYTHON/Image_Generator_API/imagenes/T_TAHARI_124009692_DTE_1.jpg")</f>
        <v/>
      </c>
      <c r="M4149">
        <f>IMAGE("file:///E:/Estudios%20y%20certificaciones/ESTUDIOS%20DE%20PROGRAMMING/PROGRAMMING/PERSONAL/PYTHON/Image_Generator_API/imagenes/T_TAHARI_124009692_DTE_2.jpg")</f>
        <v/>
      </c>
      <c r="N4149">
        <f>IMAGE("file:///E:/Estudios%20y%20certificaciones/ESTUDIOS%20DE%20PROGRAMMING/PROGRAMMING/PERSONAL/PYTHON/Image_Generator_API/imagenes/T_TAHARI_124009692_DTE_3.jpg")</f>
        <v/>
      </c>
      <c r="O4149">
        <f>HYPERLINK("imagenes/T_TAHARI_124009692_DTE_1.jpg","Ver imagen")</f>
        <v/>
      </c>
      <c r="P4149">
        <f>HYPERLINK("imagenes/T_TAHARI_124009692_DTE_2.jpg","Ver imagen")</f>
        <v/>
      </c>
      <c r="Q4149">
        <f>HYPERLINK("imagenes/T_TAHARI_124009692_DTE_3.jpg","Ver imagen")</f>
        <v/>
      </c>
    </row>
    <row r="4150">
      <c r="A4150" t="inlineStr">
        <is>
          <t>T TAHARI</t>
        </is>
      </c>
      <c r="B4150" t="inlineStr">
        <is>
          <t>124009692</t>
        </is>
      </c>
      <c r="C4150" t="inlineStr">
        <is>
          <t>DAKOTA</t>
        </is>
      </c>
      <c r="D4150" t="inlineStr">
        <is>
          <t>DTE</t>
        </is>
      </c>
      <c r="E4150" t="inlineStr">
        <is>
          <t>(en blanco)</t>
        </is>
      </c>
      <c r="F4150" t="inlineStr">
        <is>
          <t>D2C</t>
        </is>
      </c>
      <c r="G4150" t="inlineStr">
        <is>
          <t>M</t>
        </is>
      </c>
      <c r="H4150" t="n">
        <v>18</v>
      </c>
      <c r="I4150" t="inlineStr">
        <is>
          <t>T_TAHARI_124009692_DTE_1.jpg</t>
        </is>
      </c>
      <c r="J4150" t="inlineStr">
        <is>
          <t>T_TAHARI_124009692_DTE_2.jpg</t>
        </is>
      </c>
      <c r="K4150" t="inlineStr">
        <is>
          <t>T_TAHARI_124009692_DTE_3.jpg</t>
        </is>
      </c>
      <c r="L4150">
        <f>IMAGE("file:///E:/Estudios%20y%20certificaciones/ESTUDIOS%20DE%20PROGRAMMING/PROGRAMMING/PERSONAL/PYTHON/Image_Generator_API/imagenes/T_TAHARI_124009692_DTE_1.jpg")</f>
        <v/>
      </c>
      <c r="M4150">
        <f>IMAGE("file:///E:/Estudios%20y%20certificaciones/ESTUDIOS%20DE%20PROGRAMMING/PROGRAMMING/PERSONAL/PYTHON/Image_Generator_API/imagenes/T_TAHARI_124009692_DTE_2.jpg")</f>
        <v/>
      </c>
      <c r="N4150">
        <f>IMAGE("file:///E:/Estudios%20y%20certificaciones/ESTUDIOS%20DE%20PROGRAMMING/PROGRAMMING/PERSONAL/PYTHON/Image_Generator_API/imagenes/T_TAHARI_124009692_DTE_3.jpg")</f>
        <v/>
      </c>
      <c r="O4150">
        <f>HYPERLINK("imagenes/T_TAHARI_124009692_DTE_1.jpg","Ver imagen")</f>
        <v/>
      </c>
      <c r="P4150">
        <f>HYPERLINK("imagenes/T_TAHARI_124009692_DTE_2.jpg","Ver imagen")</f>
        <v/>
      </c>
      <c r="Q4150">
        <f>HYPERLINK("imagenes/T_TAHARI_124009692_DTE_3.jpg","Ver imagen")</f>
        <v/>
      </c>
    </row>
    <row r="4151">
      <c r="A4151" t="inlineStr">
        <is>
          <t>T TAHARI</t>
        </is>
      </c>
      <c r="B4151" t="inlineStr">
        <is>
          <t>124009692</t>
        </is>
      </c>
      <c r="C4151" t="inlineStr">
        <is>
          <t>DAKOTA</t>
        </is>
      </c>
      <c r="D4151" t="inlineStr">
        <is>
          <t>DTE</t>
        </is>
      </c>
      <c r="E4151" t="inlineStr">
        <is>
          <t>(en blanco)</t>
        </is>
      </c>
      <c r="F4151" t="inlineStr">
        <is>
          <t>D2C</t>
        </is>
      </c>
      <c r="G4151" t="inlineStr">
        <is>
          <t>L</t>
        </is>
      </c>
      <c r="H4151" t="n">
        <v>20</v>
      </c>
      <c r="I4151" t="inlineStr">
        <is>
          <t>T_TAHARI_124009692_DTE_1.jpg</t>
        </is>
      </c>
      <c r="J4151" t="inlineStr">
        <is>
          <t>T_TAHARI_124009692_DTE_2.jpg</t>
        </is>
      </c>
      <c r="K4151" t="inlineStr">
        <is>
          <t>T_TAHARI_124009692_DTE_3.jpg</t>
        </is>
      </c>
      <c r="L4151">
        <f>IMAGE("file:///E:/Estudios%20y%20certificaciones/ESTUDIOS%20DE%20PROGRAMMING/PROGRAMMING/PERSONAL/PYTHON/Image_Generator_API/imagenes/T_TAHARI_124009692_DTE_1.jpg")</f>
        <v/>
      </c>
      <c r="M4151">
        <f>IMAGE("file:///E:/Estudios%20y%20certificaciones/ESTUDIOS%20DE%20PROGRAMMING/PROGRAMMING/PERSONAL/PYTHON/Image_Generator_API/imagenes/T_TAHARI_124009692_DTE_2.jpg")</f>
        <v/>
      </c>
      <c r="N4151">
        <f>IMAGE("file:///E:/Estudios%20y%20certificaciones/ESTUDIOS%20DE%20PROGRAMMING/PROGRAMMING/PERSONAL/PYTHON/Image_Generator_API/imagenes/T_TAHARI_124009692_DTE_3.jpg")</f>
        <v/>
      </c>
      <c r="O4151">
        <f>HYPERLINK("imagenes/T_TAHARI_124009692_DTE_1.jpg","Ver imagen")</f>
        <v/>
      </c>
      <c r="P4151">
        <f>HYPERLINK("imagenes/T_TAHARI_124009692_DTE_2.jpg","Ver imagen")</f>
        <v/>
      </c>
      <c r="Q4151">
        <f>HYPERLINK("imagenes/T_TAHARI_124009692_DTE_3.jpg","Ver imagen")</f>
        <v/>
      </c>
    </row>
    <row r="4152">
      <c r="A4152" t="inlineStr">
        <is>
          <t>T TAHARI</t>
        </is>
      </c>
      <c r="B4152" t="inlineStr">
        <is>
          <t>124009692</t>
        </is>
      </c>
      <c r="C4152" t="inlineStr">
        <is>
          <t>DAKOTA</t>
        </is>
      </c>
      <c r="D4152" t="inlineStr">
        <is>
          <t>DTE</t>
        </is>
      </c>
      <c r="E4152" t="inlineStr">
        <is>
          <t>(en blanco)</t>
        </is>
      </c>
      <c r="F4152" t="inlineStr">
        <is>
          <t>D2C</t>
        </is>
      </c>
      <c r="G4152" t="inlineStr">
        <is>
          <t>XL</t>
        </is>
      </c>
      <c r="H4152" t="n">
        <v>10</v>
      </c>
      <c r="I4152" t="inlineStr">
        <is>
          <t>T_TAHARI_124009692_DTE_1.jpg</t>
        </is>
      </c>
      <c r="J4152" t="inlineStr">
        <is>
          <t>T_TAHARI_124009692_DTE_2.jpg</t>
        </is>
      </c>
      <c r="K4152" t="inlineStr">
        <is>
          <t>T_TAHARI_124009692_DTE_3.jpg</t>
        </is>
      </c>
      <c r="L4152">
        <f>IMAGE("file:///E:/Estudios%20y%20certificaciones/ESTUDIOS%20DE%20PROGRAMMING/PROGRAMMING/PERSONAL/PYTHON/Image_Generator_API/imagenes/T_TAHARI_124009692_DTE_1.jpg")</f>
        <v/>
      </c>
      <c r="M4152">
        <f>IMAGE("file:///E:/Estudios%20y%20certificaciones/ESTUDIOS%20DE%20PROGRAMMING/PROGRAMMING/PERSONAL/PYTHON/Image_Generator_API/imagenes/T_TAHARI_124009692_DTE_2.jpg")</f>
        <v/>
      </c>
      <c r="N4152">
        <f>IMAGE("file:///E:/Estudios%20y%20certificaciones/ESTUDIOS%20DE%20PROGRAMMING/PROGRAMMING/PERSONAL/PYTHON/Image_Generator_API/imagenes/T_TAHARI_124009692_DTE_3.jpg")</f>
        <v/>
      </c>
      <c r="O4152">
        <f>HYPERLINK("imagenes/T_TAHARI_124009692_DTE_1.jpg","Ver imagen")</f>
        <v/>
      </c>
      <c r="P4152">
        <f>HYPERLINK("imagenes/T_TAHARI_124009692_DTE_2.jpg","Ver imagen")</f>
        <v/>
      </c>
      <c r="Q4152">
        <f>HYPERLINK("imagenes/T_TAHARI_124009692_DTE_3.jpg","Ver imagen")</f>
        <v/>
      </c>
    </row>
    <row r="4153">
      <c r="A4153" t="inlineStr">
        <is>
          <t>T TAHARI</t>
        </is>
      </c>
      <c r="B4153" t="inlineStr">
        <is>
          <t>124009692</t>
        </is>
      </c>
      <c r="C4153" t="inlineStr">
        <is>
          <t>DAKOTA</t>
        </is>
      </c>
      <c r="D4153" t="inlineStr">
        <is>
          <t>DTE</t>
        </is>
      </c>
      <c r="E4153" t="inlineStr">
        <is>
          <t>(en blanco)</t>
        </is>
      </c>
      <c r="F4153" t="inlineStr">
        <is>
          <t>(en blanco)</t>
        </is>
      </c>
      <c r="G4153" t="inlineStr">
        <is>
          <t>XS</t>
        </is>
      </c>
      <c r="H4153" t="n">
        <v>40</v>
      </c>
      <c r="I4153" t="inlineStr">
        <is>
          <t>T_TAHARI_124009692_DTE_1.jpg</t>
        </is>
      </c>
      <c r="J4153" t="inlineStr">
        <is>
          <t>T_TAHARI_124009692_DTE_2.jpg</t>
        </is>
      </c>
      <c r="K4153" t="inlineStr">
        <is>
          <t>T_TAHARI_124009692_DTE_3.jpg</t>
        </is>
      </c>
      <c r="L4153">
        <f>IMAGE("file:///E:/Estudios%20y%20certificaciones/ESTUDIOS%20DE%20PROGRAMMING/PROGRAMMING/PERSONAL/PYTHON/Image_Generator_API/imagenes/T_TAHARI_124009692_DTE_1.jpg")</f>
        <v/>
      </c>
      <c r="M4153">
        <f>IMAGE("file:///E:/Estudios%20y%20certificaciones/ESTUDIOS%20DE%20PROGRAMMING/PROGRAMMING/PERSONAL/PYTHON/Image_Generator_API/imagenes/T_TAHARI_124009692_DTE_2.jpg")</f>
        <v/>
      </c>
      <c r="N4153">
        <f>IMAGE("file:///E:/Estudios%20y%20certificaciones/ESTUDIOS%20DE%20PROGRAMMING/PROGRAMMING/PERSONAL/PYTHON/Image_Generator_API/imagenes/T_TAHARI_124009692_DTE_3.jpg")</f>
        <v/>
      </c>
      <c r="O4153">
        <f>HYPERLINK("imagenes/T_TAHARI_124009692_DTE_1.jpg","Ver imagen")</f>
        <v/>
      </c>
      <c r="P4153">
        <f>HYPERLINK("imagenes/T_TAHARI_124009692_DTE_2.jpg","Ver imagen")</f>
        <v/>
      </c>
      <c r="Q4153">
        <f>HYPERLINK("imagenes/T_TAHARI_124009692_DTE_3.jpg","Ver imagen")</f>
        <v/>
      </c>
    </row>
    <row r="4154">
      <c r="A4154" t="inlineStr">
        <is>
          <t>T TAHARI</t>
        </is>
      </c>
      <c r="B4154" t="inlineStr">
        <is>
          <t>124009692</t>
        </is>
      </c>
      <c r="C4154" t="inlineStr">
        <is>
          <t>DAKOTA</t>
        </is>
      </c>
      <c r="D4154" t="inlineStr">
        <is>
          <t>DTE</t>
        </is>
      </c>
      <c r="E4154" t="inlineStr">
        <is>
          <t>(en blanco)</t>
        </is>
      </c>
      <c r="F4154" t="inlineStr">
        <is>
          <t>(en blanco)</t>
        </is>
      </c>
      <c r="G4154" t="inlineStr">
        <is>
          <t>S</t>
        </is>
      </c>
      <c r="H4154" t="n">
        <v>75</v>
      </c>
      <c r="I4154" t="inlineStr">
        <is>
          <t>T_TAHARI_124009692_DTE_1.jpg</t>
        </is>
      </c>
      <c r="J4154" t="inlineStr">
        <is>
          <t>T_TAHARI_124009692_DTE_2.jpg</t>
        </is>
      </c>
      <c r="K4154" t="inlineStr">
        <is>
          <t>T_TAHARI_124009692_DTE_3.jpg</t>
        </is>
      </c>
      <c r="L4154">
        <f>IMAGE("file:///E:/Estudios%20y%20certificaciones/ESTUDIOS%20DE%20PROGRAMMING/PROGRAMMING/PERSONAL/PYTHON/Image_Generator_API/imagenes/T_TAHARI_124009692_DTE_1.jpg")</f>
        <v/>
      </c>
      <c r="M4154">
        <f>IMAGE("file:///E:/Estudios%20y%20certificaciones/ESTUDIOS%20DE%20PROGRAMMING/PROGRAMMING/PERSONAL/PYTHON/Image_Generator_API/imagenes/T_TAHARI_124009692_DTE_2.jpg")</f>
        <v/>
      </c>
      <c r="N4154">
        <f>IMAGE("file:///E:/Estudios%20y%20certificaciones/ESTUDIOS%20DE%20PROGRAMMING/PROGRAMMING/PERSONAL/PYTHON/Image_Generator_API/imagenes/T_TAHARI_124009692_DTE_3.jpg")</f>
        <v/>
      </c>
      <c r="O4154">
        <f>HYPERLINK("imagenes/T_TAHARI_124009692_DTE_1.jpg","Ver imagen")</f>
        <v/>
      </c>
      <c r="P4154">
        <f>HYPERLINK("imagenes/T_TAHARI_124009692_DTE_2.jpg","Ver imagen")</f>
        <v/>
      </c>
      <c r="Q4154">
        <f>HYPERLINK("imagenes/T_TAHARI_124009692_DTE_3.jpg","Ver imagen")</f>
        <v/>
      </c>
    </row>
    <row r="4155">
      <c r="A4155" t="inlineStr">
        <is>
          <t>T TAHARI</t>
        </is>
      </c>
      <c r="B4155" t="inlineStr">
        <is>
          <t>124009692</t>
        </is>
      </c>
      <c r="C4155" t="inlineStr">
        <is>
          <t>DAKOTA</t>
        </is>
      </c>
      <c r="D4155" t="inlineStr">
        <is>
          <t>DTE</t>
        </is>
      </c>
      <c r="E4155" t="inlineStr">
        <is>
          <t>(en blanco)</t>
        </is>
      </c>
      <c r="F4155" t="inlineStr">
        <is>
          <t>(en blanco)</t>
        </is>
      </c>
      <c r="G4155" t="inlineStr">
        <is>
          <t>M</t>
        </is>
      </c>
      <c r="H4155" t="n">
        <v>79</v>
      </c>
      <c r="I4155" t="inlineStr">
        <is>
          <t>T_TAHARI_124009692_DTE_1.jpg</t>
        </is>
      </c>
      <c r="J4155" t="inlineStr">
        <is>
          <t>T_TAHARI_124009692_DTE_2.jpg</t>
        </is>
      </c>
      <c r="K4155" t="inlineStr">
        <is>
          <t>T_TAHARI_124009692_DTE_3.jpg</t>
        </is>
      </c>
      <c r="L4155">
        <f>IMAGE("file:///E:/Estudios%20y%20certificaciones/ESTUDIOS%20DE%20PROGRAMMING/PROGRAMMING/PERSONAL/PYTHON/Image_Generator_API/imagenes/T_TAHARI_124009692_DTE_1.jpg")</f>
        <v/>
      </c>
      <c r="M4155">
        <f>IMAGE("file:///E:/Estudios%20y%20certificaciones/ESTUDIOS%20DE%20PROGRAMMING/PROGRAMMING/PERSONAL/PYTHON/Image_Generator_API/imagenes/T_TAHARI_124009692_DTE_2.jpg")</f>
        <v/>
      </c>
      <c r="N4155">
        <f>IMAGE("file:///E:/Estudios%20y%20certificaciones/ESTUDIOS%20DE%20PROGRAMMING/PROGRAMMING/PERSONAL/PYTHON/Image_Generator_API/imagenes/T_TAHARI_124009692_DTE_3.jpg")</f>
        <v/>
      </c>
      <c r="O4155">
        <f>HYPERLINK("imagenes/T_TAHARI_124009692_DTE_1.jpg","Ver imagen")</f>
        <v/>
      </c>
      <c r="P4155">
        <f>HYPERLINK("imagenes/T_TAHARI_124009692_DTE_2.jpg","Ver imagen")</f>
        <v/>
      </c>
      <c r="Q4155">
        <f>HYPERLINK("imagenes/T_TAHARI_124009692_DTE_3.jpg","Ver imagen")</f>
        <v/>
      </c>
    </row>
    <row r="4156">
      <c r="A4156" t="inlineStr">
        <is>
          <t>T TAHARI</t>
        </is>
      </c>
      <c r="B4156" t="inlineStr">
        <is>
          <t>124009692</t>
        </is>
      </c>
      <c r="C4156" t="inlineStr">
        <is>
          <t>DAKOTA</t>
        </is>
      </c>
      <c r="D4156" t="inlineStr">
        <is>
          <t>DTE</t>
        </is>
      </c>
      <c r="E4156" t="inlineStr">
        <is>
          <t>(en blanco)</t>
        </is>
      </c>
      <c r="F4156" t="inlineStr">
        <is>
          <t>(en blanco)</t>
        </is>
      </c>
      <c r="G4156" t="inlineStr">
        <is>
          <t>L</t>
        </is>
      </c>
      <c r="H4156" t="n">
        <v>80</v>
      </c>
      <c r="I4156" t="inlineStr">
        <is>
          <t>T_TAHARI_124009692_DTE_1.jpg</t>
        </is>
      </c>
      <c r="J4156" t="inlineStr">
        <is>
          <t>T_TAHARI_124009692_DTE_2.jpg</t>
        </is>
      </c>
      <c r="K4156" t="inlineStr">
        <is>
          <t>T_TAHARI_124009692_DTE_3.jpg</t>
        </is>
      </c>
      <c r="L4156">
        <f>IMAGE("file:///E:/Estudios%20y%20certificaciones/ESTUDIOS%20DE%20PROGRAMMING/PROGRAMMING/PERSONAL/PYTHON/Image_Generator_API/imagenes/T_TAHARI_124009692_DTE_1.jpg")</f>
        <v/>
      </c>
      <c r="M4156">
        <f>IMAGE("file:///E:/Estudios%20y%20certificaciones/ESTUDIOS%20DE%20PROGRAMMING/PROGRAMMING/PERSONAL/PYTHON/Image_Generator_API/imagenes/T_TAHARI_124009692_DTE_2.jpg")</f>
        <v/>
      </c>
      <c r="N4156">
        <f>IMAGE("file:///E:/Estudios%20y%20certificaciones/ESTUDIOS%20DE%20PROGRAMMING/PROGRAMMING/PERSONAL/PYTHON/Image_Generator_API/imagenes/T_TAHARI_124009692_DTE_3.jpg")</f>
        <v/>
      </c>
      <c r="O4156">
        <f>HYPERLINK("imagenes/T_TAHARI_124009692_DTE_1.jpg","Ver imagen")</f>
        <v/>
      </c>
      <c r="P4156">
        <f>HYPERLINK("imagenes/T_TAHARI_124009692_DTE_2.jpg","Ver imagen")</f>
        <v/>
      </c>
      <c r="Q4156">
        <f>HYPERLINK("imagenes/T_TAHARI_124009692_DTE_3.jpg","Ver imagen")</f>
        <v/>
      </c>
    </row>
    <row r="4157">
      <c r="A4157" t="inlineStr">
        <is>
          <t>T TAHARI</t>
        </is>
      </c>
      <c r="B4157" t="inlineStr">
        <is>
          <t>124009692</t>
        </is>
      </c>
      <c r="C4157" t="inlineStr">
        <is>
          <t>DAKOTA</t>
        </is>
      </c>
      <c r="D4157" t="inlineStr">
        <is>
          <t>DTE</t>
        </is>
      </c>
      <c r="E4157" t="inlineStr">
        <is>
          <t>(en blanco)</t>
        </is>
      </c>
      <c r="F4157" t="inlineStr">
        <is>
          <t>(en blanco)</t>
        </is>
      </c>
      <c r="G4157" t="inlineStr">
        <is>
          <t>XL</t>
        </is>
      </c>
      <c r="H4157" t="n">
        <v>34</v>
      </c>
      <c r="I4157" t="inlineStr">
        <is>
          <t>T_TAHARI_124009692_DTE_1.jpg</t>
        </is>
      </c>
      <c r="J4157" t="inlineStr">
        <is>
          <t>T_TAHARI_124009692_DTE_2.jpg</t>
        </is>
      </c>
      <c r="K4157" t="inlineStr">
        <is>
          <t>T_TAHARI_124009692_DTE_3.jpg</t>
        </is>
      </c>
      <c r="L4157">
        <f>IMAGE("file:///E:/Estudios%20y%20certificaciones/ESTUDIOS%20DE%20PROGRAMMING/PROGRAMMING/PERSONAL/PYTHON/Image_Generator_API/imagenes/T_TAHARI_124009692_DTE_1.jpg")</f>
        <v/>
      </c>
      <c r="M4157">
        <f>IMAGE("file:///E:/Estudios%20y%20certificaciones/ESTUDIOS%20DE%20PROGRAMMING/PROGRAMMING/PERSONAL/PYTHON/Image_Generator_API/imagenes/T_TAHARI_124009692_DTE_2.jpg")</f>
        <v/>
      </c>
      <c r="N4157">
        <f>IMAGE("file:///E:/Estudios%20y%20certificaciones/ESTUDIOS%20DE%20PROGRAMMING/PROGRAMMING/PERSONAL/PYTHON/Image_Generator_API/imagenes/T_TAHARI_124009692_DTE_3.jpg")</f>
        <v/>
      </c>
      <c r="O4157">
        <f>HYPERLINK("imagenes/T_TAHARI_124009692_DTE_1.jpg","Ver imagen")</f>
        <v/>
      </c>
      <c r="P4157">
        <f>HYPERLINK("imagenes/T_TAHARI_124009692_DTE_2.jpg","Ver imagen")</f>
        <v/>
      </c>
      <c r="Q4157">
        <f>HYPERLINK("imagenes/T_TAHARI_124009692_DTE_3.jpg","Ver imagen")</f>
        <v/>
      </c>
    </row>
    <row r="4158">
      <c r="A4158" t="inlineStr">
        <is>
          <t>T TAHARI</t>
        </is>
      </c>
      <c r="B4158" t="inlineStr">
        <is>
          <t>124009693</t>
        </is>
      </c>
      <c r="C4158" t="inlineStr">
        <is>
          <t>REMI</t>
        </is>
      </c>
      <c r="D4158" t="inlineStr">
        <is>
          <t>CHO</t>
        </is>
      </c>
      <c r="E4158" t="inlineStr">
        <is>
          <t>(en blanco)</t>
        </is>
      </c>
      <c r="F4158" t="inlineStr">
        <is>
          <t>(en blanco)</t>
        </is>
      </c>
      <c r="G4158" t="inlineStr">
        <is>
          <t>XS</t>
        </is>
      </c>
      <c r="H4158" t="n">
        <v>51</v>
      </c>
      <c r="I4158" t="inlineStr">
        <is>
          <t>T_TAHARI_124009693_CHO_2.jpg</t>
        </is>
      </c>
      <c r="J4158" t="inlineStr">
        <is>
          <t>T_TAHARI_124009693_CHO_3.jpg</t>
        </is>
      </c>
      <c r="L4158">
        <f>IMAGE("file:///E:/Estudios%20y%20certificaciones/ESTUDIOS%20DE%20PROGRAMMING/PROGRAMMING/PERSONAL/PYTHON/Image_Generator_API/imagenes/T_TAHARI_124009693_CHO_2.jpg")</f>
        <v/>
      </c>
      <c r="M4158">
        <f>IMAGE("file:///E:/Estudios%20y%20certificaciones/ESTUDIOS%20DE%20PROGRAMMING/PROGRAMMING/PERSONAL/PYTHON/Image_Generator_API/imagenes/T_TAHARI_124009693_CHO_3.jpg")</f>
        <v/>
      </c>
      <c r="O4158">
        <f>HYPERLINK("imagenes/T_TAHARI_124009693_CHO_2.jpg","Ver imagen")</f>
        <v/>
      </c>
      <c r="P4158">
        <f>HYPERLINK("imagenes/T_TAHARI_124009693_CHO_3.jpg","Ver imagen")</f>
        <v/>
      </c>
    </row>
    <row r="4159">
      <c r="A4159" t="inlineStr">
        <is>
          <t>T TAHARI</t>
        </is>
      </c>
      <c r="B4159" t="inlineStr">
        <is>
          <t>124009693</t>
        </is>
      </c>
      <c r="C4159" t="inlineStr">
        <is>
          <t>REMI</t>
        </is>
      </c>
      <c r="D4159" t="inlineStr">
        <is>
          <t>CHO</t>
        </is>
      </c>
      <c r="E4159" t="inlineStr">
        <is>
          <t>(en blanco)</t>
        </is>
      </c>
      <c r="F4159" t="inlineStr">
        <is>
          <t>(en blanco)</t>
        </is>
      </c>
      <c r="G4159" t="inlineStr">
        <is>
          <t>S</t>
        </is>
      </c>
      <c r="H4159" t="n">
        <v>106</v>
      </c>
      <c r="I4159" t="inlineStr">
        <is>
          <t>T_TAHARI_124009693_CHO_2.jpg</t>
        </is>
      </c>
      <c r="J4159" t="inlineStr">
        <is>
          <t>T_TAHARI_124009693_CHO_3.jpg</t>
        </is>
      </c>
      <c r="L4159">
        <f>IMAGE("file:///E:/Estudios%20y%20certificaciones/ESTUDIOS%20DE%20PROGRAMMING/PROGRAMMING/PERSONAL/PYTHON/Image_Generator_API/imagenes/T_TAHARI_124009693_CHO_2.jpg")</f>
        <v/>
      </c>
      <c r="M4159">
        <f>IMAGE("file:///E:/Estudios%20y%20certificaciones/ESTUDIOS%20DE%20PROGRAMMING/PROGRAMMING/PERSONAL/PYTHON/Image_Generator_API/imagenes/T_TAHARI_124009693_CHO_3.jpg")</f>
        <v/>
      </c>
      <c r="O4159">
        <f>HYPERLINK("imagenes/T_TAHARI_124009693_CHO_2.jpg","Ver imagen")</f>
        <v/>
      </c>
      <c r="P4159">
        <f>HYPERLINK("imagenes/T_TAHARI_124009693_CHO_3.jpg","Ver imagen")</f>
        <v/>
      </c>
    </row>
    <row r="4160">
      <c r="A4160" t="inlineStr">
        <is>
          <t>T TAHARI</t>
        </is>
      </c>
      <c r="B4160" t="inlineStr">
        <is>
          <t>124009693</t>
        </is>
      </c>
      <c r="C4160" t="inlineStr">
        <is>
          <t>REMI</t>
        </is>
      </c>
      <c r="D4160" t="inlineStr">
        <is>
          <t>CHO</t>
        </is>
      </c>
      <c r="E4160" t="inlineStr">
        <is>
          <t>(en blanco)</t>
        </is>
      </c>
      <c r="F4160" t="inlineStr">
        <is>
          <t>(en blanco)</t>
        </is>
      </c>
      <c r="G4160" t="inlineStr">
        <is>
          <t>M</t>
        </is>
      </c>
      <c r="H4160" t="n">
        <v>104</v>
      </c>
      <c r="I4160" t="inlineStr">
        <is>
          <t>T_TAHARI_124009693_CHO_2.jpg</t>
        </is>
      </c>
      <c r="J4160" t="inlineStr">
        <is>
          <t>T_TAHARI_124009693_CHO_3.jpg</t>
        </is>
      </c>
      <c r="L4160">
        <f>IMAGE("file:///E:/Estudios%20y%20certificaciones/ESTUDIOS%20DE%20PROGRAMMING/PROGRAMMING/PERSONAL/PYTHON/Image_Generator_API/imagenes/T_TAHARI_124009693_CHO_2.jpg")</f>
        <v/>
      </c>
      <c r="M4160">
        <f>IMAGE("file:///E:/Estudios%20y%20certificaciones/ESTUDIOS%20DE%20PROGRAMMING/PROGRAMMING/PERSONAL/PYTHON/Image_Generator_API/imagenes/T_TAHARI_124009693_CHO_3.jpg")</f>
        <v/>
      </c>
      <c r="O4160">
        <f>HYPERLINK("imagenes/T_TAHARI_124009693_CHO_2.jpg","Ver imagen")</f>
        <v/>
      </c>
      <c r="P4160">
        <f>HYPERLINK("imagenes/T_TAHARI_124009693_CHO_3.jpg","Ver imagen")</f>
        <v/>
      </c>
    </row>
    <row r="4161">
      <c r="A4161" t="inlineStr">
        <is>
          <t>T TAHARI</t>
        </is>
      </c>
      <c r="B4161" t="inlineStr">
        <is>
          <t>124009693</t>
        </is>
      </c>
      <c r="C4161" t="inlineStr">
        <is>
          <t>REMI</t>
        </is>
      </c>
      <c r="D4161" t="inlineStr">
        <is>
          <t>CHO</t>
        </is>
      </c>
      <c r="E4161" t="inlineStr">
        <is>
          <t>(en blanco)</t>
        </is>
      </c>
      <c r="F4161" t="inlineStr">
        <is>
          <t>(en blanco)</t>
        </is>
      </c>
      <c r="G4161" t="inlineStr">
        <is>
          <t>L</t>
        </is>
      </c>
      <c r="H4161" t="n">
        <v>108</v>
      </c>
      <c r="I4161" t="inlineStr">
        <is>
          <t>T_TAHARI_124009693_CHO_2.jpg</t>
        </is>
      </c>
      <c r="J4161" t="inlineStr">
        <is>
          <t>T_TAHARI_124009693_CHO_3.jpg</t>
        </is>
      </c>
      <c r="L4161">
        <f>IMAGE("file:///E:/Estudios%20y%20certificaciones/ESTUDIOS%20DE%20PROGRAMMING/PROGRAMMING/PERSONAL/PYTHON/Image_Generator_API/imagenes/T_TAHARI_124009693_CHO_2.jpg")</f>
        <v/>
      </c>
      <c r="M4161">
        <f>IMAGE("file:///E:/Estudios%20y%20certificaciones/ESTUDIOS%20DE%20PROGRAMMING/PROGRAMMING/PERSONAL/PYTHON/Image_Generator_API/imagenes/T_TAHARI_124009693_CHO_3.jpg")</f>
        <v/>
      </c>
      <c r="O4161">
        <f>HYPERLINK("imagenes/T_TAHARI_124009693_CHO_2.jpg","Ver imagen")</f>
        <v/>
      </c>
      <c r="P4161">
        <f>HYPERLINK("imagenes/T_TAHARI_124009693_CHO_3.jpg","Ver imagen")</f>
        <v/>
      </c>
    </row>
    <row r="4162">
      <c r="A4162" t="inlineStr">
        <is>
          <t>T TAHARI</t>
        </is>
      </c>
      <c r="B4162" t="inlineStr">
        <is>
          <t>124009693</t>
        </is>
      </c>
      <c r="C4162" t="inlineStr">
        <is>
          <t>REMI</t>
        </is>
      </c>
      <c r="D4162" t="inlineStr">
        <is>
          <t>CHO</t>
        </is>
      </c>
      <c r="E4162" t="inlineStr">
        <is>
          <t>(en blanco)</t>
        </is>
      </c>
      <c r="F4162" t="inlineStr">
        <is>
          <t>(en blanco)</t>
        </is>
      </c>
      <c r="G4162" t="inlineStr">
        <is>
          <t>XL</t>
        </is>
      </c>
      <c r="H4162" t="n">
        <v>53</v>
      </c>
      <c r="I4162" t="inlineStr">
        <is>
          <t>T_TAHARI_124009693_CHO_2.jpg</t>
        </is>
      </c>
      <c r="J4162" t="inlineStr">
        <is>
          <t>T_TAHARI_124009693_CHO_3.jpg</t>
        </is>
      </c>
      <c r="L4162">
        <f>IMAGE("file:///E:/Estudios%20y%20certificaciones/ESTUDIOS%20DE%20PROGRAMMING/PROGRAMMING/PERSONAL/PYTHON/Image_Generator_API/imagenes/T_TAHARI_124009693_CHO_2.jpg")</f>
        <v/>
      </c>
      <c r="M4162">
        <f>IMAGE("file:///E:/Estudios%20y%20certificaciones/ESTUDIOS%20DE%20PROGRAMMING/PROGRAMMING/PERSONAL/PYTHON/Image_Generator_API/imagenes/T_TAHARI_124009693_CHO_3.jpg")</f>
        <v/>
      </c>
      <c r="O4162">
        <f>HYPERLINK("imagenes/T_TAHARI_124009693_CHO_2.jpg","Ver imagen")</f>
        <v/>
      </c>
      <c r="P4162">
        <f>HYPERLINK("imagenes/T_TAHARI_124009693_CHO_3.jpg","Ver imagen")</f>
        <v/>
      </c>
    </row>
    <row r="4163">
      <c r="A4163" t="inlineStr">
        <is>
          <t>T TAHARI</t>
        </is>
      </c>
      <c r="B4163" t="inlineStr">
        <is>
          <t>124009693</t>
        </is>
      </c>
      <c r="C4163" t="inlineStr">
        <is>
          <t>REMI</t>
        </is>
      </c>
      <c r="D4163" t="inlineStr">
        <is>
          <t>PLM</t>
        </is>
      </c>
      <c r="E4163" t="inlineStr">
        <is>
          <t>(en blanco)</t>
        </is>
      </c>
      <c r="F4163" t="inlineStr">
        <is>
          <t>(en blanco)</t>
        </is>
      </c>
      <c r="G4163" t="inlineStr">
        <is>
          <t>XL</t>
        </is>
      </c>
      <c r="H4163" t="n">
        <v>5</v>
      </c>
      <c r="I4163" t="inlineStr">
        <is>
          <t>T_TAHARI_124009693_PLM_2.jpg</t>
        </is>
      </c>
      <c r="J4163" t="inlineStr">
        <is>
          <t>T_TAHARI_124009693_PLM_3.jpg</t>
        </is>
      </c>
      <c r="L4163">
        <f>IMAGE("file:///E:/Estudios%20y%20certificaciones/ESTUDIOS%20DE%20PROGRAMMING/PROGRAMMING/PERSONAL/PYTHON/Image_Generator_API/imagenes/T_TAHARI_124009693_PLM_2.jpg")</f>
        <v/>
      </c>
      <c r="M4163">
        <f>IMAGE("file:///E:/Estudios%20y%20certificaciones/ESTUDIOS%20DE%20PROGRAMMING/PROGRAMMING/PERSONAL/PYTHON/Image_Generator_API/imagenes/T_TAHARI_124009693_PLM_3.jpg")</f>
        <v/>
      </c>
      <c r="O4163">
        <f>HYPERLINK("imagenes/T_TAHARI_124009693_PLM_2.jpg","Ver imagen")</f>
        <v/>
      </c>
      <c r="P4163">
        <f>HYPERLINK("imagenes/T_TAHARI_124009693_PLM_3.jpg","Ver imagen")</f>
        <v/>
      </c>
    </row>
    <row r="4164">
      <c r="A4164" t="inlineStr">
        <is>
          <t>T TAHARI</t>
        </is>
      </c>
      <c r="B4164" t="inlineStr">
        <is>
          <t>124009697</t>
        </is>
      </c>
      <c r="C4164" t="inlineStr">
        <is>
          <t>NICO</t>
        </is>
      </c>
      <c r="D4164" t="inlineStr">
        <is>
          <t>BLK</t>
        </is>
      </c>
      <c r="E4164" t="inlineStr">
        <is>
          <t>(en blanco)</t>
        </is>
      </c>
      <c r="F4164" t="inlineStr">
        <is>
          <t>(en blanco)</t>
        </is>
      </c>
      <c r="G4164" t="inlineStr">
        <is>
          <t>XS</t>
        </is>
      </c>
      <c r="H4164" t="n">
        <v>230</v>
      </c>
      <c r="I4164" t="inlineStr">
        <is>
          <t>T_TAHARI_124009697_BLK_1.jpg</t>
        </is>
      </c>
      <c r="J4164" t="inlineStr">
        <is>
          <t>T_TAHARI_124009697_BLK_2.jpg</t>
        </is>
      </c>
      <c r="K4164" t="inlineStr">
        <is>
          <t>T_TAHARI_124009697_BLK_3.jpg</t>
        </is>
      </c>
      <c r="L4164">
        <f>IMAGE("file:///E:/Estudios%20y%20certificaciones/ESTUDIOS%20DE%20PROGRAMMING/PROGRAMMING/PERSONAL/PYTHON/Image_Generator_API/imagenes/T_TAHARI_124009697_BLK_1.jpg")</f>
        <v/>
      </c>
      <c r="M4164">
        <f>IMAGE("file:///E:/Estudios%20y%20certificaciones/ESTUDIOS%20DE%20PROGRAMMING/PROGRAMMING/PERSONAL/PYTHON/Image_Generator_API/imagenes/T_TAHARI_124009697_BLK_2.jpg")</f>
        <v/>
      </c>
      <c r="N4164">
        <f>IMAGE("file:///E:/Estudios%20y%20certificaciones/ESTUDIOS%20DE%20PROGRAMMING/PROGRAMMING/PERSONAL/PYTHON/Image_Generator_API/imagenes/T_TAHARI_124009697_BLK_3.jpg")</f>
        <v/>
      </c>
      <c r="O4164">
        <f>HYPERLINK("imagenes/T_TAHARI_124009697_BLK_1.jpg","Ver imagen")</f>
        <v/>
      </c>
      <c r="P4164">
        <f>HYPERLINK("imagenes/T_TAHARI_124009697_BLK_2.jpg","Ver imagen")</f>
        <v/>
      </c>
      <c r="Q4164">
        <f>HYPERLINK("imagenes/T_TAHARI_124009697_BLK_3.jpg","Ver imagen")</f>
        <v/>
      </c>
    </row>
    <row r="4165">
      <c r="A4165" t="inlineStr">
        <is>
          <t>T TAHARI</t>
        </is>
      </c>
      <c r="B4165" t="inlineStr">
        <is>
          <t>124009697</t>
        </is>
      </c>
      <c r="C4165" t="inlineStr">
        <is>
          <t>NICO</t>
        </is>
      </c>
      <c r="D4165" t="inlineStr">
        <is>
          <t>BLK</t>
        </is>
      </c>
      <c r="E4165" t="inlineStr">
        <is>
          <t>(en blanco)</t>
        </is>
      </c>
      <c r="F4165" t="inlineStr">
        <is>
          <t>(en blanco)</t>
        </is>
      </c>
      <c r="G4165" t="inlineStr">
        <is>
          <t>S</t>
        </is>
      </c>
      <c r="H4165" t="n">
        <v>525</v>
      </c>
      <c r="I4165" t="inlineStr">
        <is>
          <t>T_TAHARI_124009697_BLK_1.jpg</t>
        </is>
      </c>
      <c r="J4165" t="inlineStr">
        <is>
          <t>T_TAHARI_124009697_BLK_2.jpg</t>
        </is>
      </c>
      <c r="K4165" t="inlineStr">
        <is>
          <t>T_TAHARI_124009697_BLK_3.jpg</t>
        </is>
      </c>
      <c r="L4165">
        <f>IMAGE("file:///E:/Estudios%20y%20certificaciones/ESTUDIOS%20DE%20PROGRAMMING/PROGRAMMING/PERSONAL/PYTHON/Image_Generator_API/imagenes/T_TAHARI_124009697_BLK_1.jpg")</f>
        <v/>
      </c>
      <c r="M4165">
        <f>IMAGE("file:///E:/Estudios%20y%20certificaciones/ESTUDIOS%20DE%20PROGRAMMING/PROGRAMMING/PERSONAL/PYTHON/Image_Generator_API/imagenes/T_TAHARI_124009697_BLK_2.jpg")</f>
        <v/>
      </c>
      <c r="N4165">
        <f>IMAGE("file:///E:/Estudios%20y%20certificaciones/ESTUDIOS%20DE%20PROGRAMMING/PROGRAMMING/PERSONAL/PYTHON/Image_Generator_API/imagenes/T_TAHARI_124009697_BLK_3.jpg")</f>
        <v/>
      </c>
      <c r="O4165">
        <f>HYPERLINK("imagenes/T_TAHARI_124009697_BLK_1.jpg","Ver imagen")</f>
        <v/>
      </c>
      <c r="P4165">
        <f>HYPERLINK("imagenes/T_TAHARI_124009697_BLK_2.jpg","Ver imagen")</f>
        <v/>
      </c>
      <c r="Q4165">
        <f>HYPERLINK("imagenes/T_TAHARI_124009697_BLK_3.jpg","Ver imagen")</f>
        <v/>
      </c>
    </row>
    <row r="4166">
      <c r="A4166" t="inlineStr">
        <is>
          <t>T TAHARI</t>
        </is>
      </c>
      <c r="B4166" t="inlineStr">
        <is>
          <t>124009697</t>
        </is>
      </c>
      <c r="C4166" t="inlineStr">
        <is>
          <t>NICO</t>
        </is>
      </c>
      <c r="D4166" t="inlineStr">
        <is>
          <t>BLK</t>
        </is>
      </c>
      <c r="E4166" t="inlineStr">
        <is>
          <t>(en blanco)</t>
        </is>
      </c>
      <c r="F4166" t="inlineStr">
        <is>
          <t>(en blanco)</t>
        </is>
      </c>
      <c r="G4166" t="inlineStr">
        <is>
          <t>M</t>
        </is>
      </c>
      <c r="H4166" t="n">
        <v>564</v>
      </c>
      <c r="I4166" t="inlineStr">
        <is>
          <t>T_TAHARI_124009697_BLK_1.jpg</t>
        </is>
      </c>
      <c r="J4166" t="inlineStr">
        <is>
          <t>T_TAHARI_124009697_BLK_2.jpg</t>
        </is>
      </c>
      <c r="K4166" t="inlineStr">
        <is>
          <t>T_TAHARI_124009697_BLK_3.jpg</t>
        </is>
      </c>
      <c r="L4166">
        <f>IMAGE("file:///E:/Estudios%20y%20certificaciones/ESTUDIOS%20DE%20PROGRAMMING/PROGRAMMING/PERSONAL/PYTHON/Image_Generator_API/imagenes/T_TAHARI_124009697_BLK_1.jpg")</f>
        <v/>
      </c>
      <c r="M4166">
        <f>IMAGE("file:///E:/Estudios%20y%20certificaciones/ESTUDIOS%20DE%20PROGRAMMING/PROGRAMMING/PERSONAL/PYTHON/Image_Generator_API/imagenes/T_TAHARI_124009697_BLK_2.jpg")</f>
        <v/>
      </c>
      <c r="N4166">
        <f>IMAGE("file:///E:/Estudios%20y%20certificaciones/ESTUDIOS%20DE%20PROGRAMMING/PROGRAMMING/PERSONAL/PYTHON/Image_Generator_API/imagenes/T_TAHARI_124009697_BLK_3.jpg")</f>
        <v/>
      </c>
      <c r="O4166">
        <f>HYPERLINK("imagenes/T_TAHARI_124009697_BLK_1.jpg","Ver imagen")</f>
        <v/>
      </c>
      <c r="P4166">
        <f>HYPERLINK("imagenes/T_TAHARI_124009697_BLK_2.jpg","Ver imagen")</f>
        <v/>
      </c>
      <c r="Q4166">
        <f>HYPERLINK("imagenes/T_TAHARI_124009697_BLK_3.jpg","Ver imagen")</f>
        <v/>
      </c>
    </row>
    <row r="4167">
      <c r="A4167" t="inlineStr">
        <is>
          <t>T TAHARI</t>
        </is>
      </c>
      <c r="B4167" t="inlineStr">
        <is>
          <t>124009697</t>
        </is>
      </c>
      <c r="C4167" t="inlineStr">
        <is>
          <t>NICO</t>
        </is>
      </c>
      <c r="D4167" t="inlineStr">
        <is>
          <t>BLK</t>
        </is>
      </c>
      <c r="E4167" t="inlineStr">
        <is>
          <t>(en blanco)</t>
        </is>
      </c>
      <c r="F4167" t="inlineStr">
        <is>
          <t>(en blanco)</t>
        </is>
      </c>
      <c r="G4167" t="inlineStr">
        <is>
          <t>L</t>
        </is>
      </c>
      <c r="H4167" t="n">
        <v>555</v>
      </c>
      <c r="I4167" t="inlineStr">
        <is>
          <t>T_TAHARI_124009697_BLK_1.jpg</t>
        </is>
      </c>
      <c r="J4167" t="inlineStr">
        <is>
          <t>T_TAHARI_124009697_BLK_2.jpg</t>
        </is>
      </c>
      <c r="K4167" t="inlineStr">
        <is>
          <t>T_TAHARI_124009697_BLK_3.jpg</t>
        </is>
      </c>
      <c r="L4167">
        <f>IMAGE("file:///E:/Estudios%20y%20certificaciones/ESTUDIOS%20DE%20PROGRAMMING/PROGRAMMING/PERSONAL/PYTHON/Image_Generator_API/imagenes/T_TAHARI_124009697_BLK_1.jpg")</f>
        <v/>
      </c>
      <c r="M4167">
        <f>IMAGE("file:///E:/Estudios%20y%20certificaciones/ESTUDIOS%20DE%20PROGRAMMING/PROGRAMMING/PERSONAL/PYTHON/Image_Generator_API/imagenes/T_TAHARI_124009697_BLK_2.jpg")</f>
        <v/>
      </c>
      <c r="N4167">
        <f>IMAGE("file:///E:/Estudios%20y%20certificaciones/ESTUDIOS%20DE%20PROGRAMMING/PROGRAMMING/PERSONAL/PYTHON/Image_Generator_API/imagenes/T_TAHARI_124009697_BLK_3.jpg")</f>
        <v/>
      </c>
      <c r="O4167">
        <f>HYPERLINK("imagenes/T_TAHARI_124009697_BLK_1.jpg","Ver imagen")</f>
        <v/>
      </c>
      <c r="P4167">
        <f>HYPERLINK("imagenes/T_TAHARI_124009697_BLK_2.jpg","Ver imagen")</f>
        <v/>
      </c>
      <c r="Q4167">
        <f>HYPERLINK("imagenes/T_TAHARI_124009697_BLK_3.jpg","Ver imagen")</f>
        <v/>
      </c>
    </row>
    <row r="4168">
      <c r="A4168" t="inlineStr">
        <is>
          <t>T TAHARI</t>
        </is>
      </c>
      <c r="B4168" t="inlineStr">
        <is>
          <t>124009697</t>
        </is>
      </c>
      <c r="C4168" t="inlineStr">
        <is>
          <t>NICO</t>
        </is>
      </c>
      <c r="D4168" t="inlineStr">
        <is>
          <t>BLK</t>
        </is>
      </c>
      <c r="E4168" t="inlineStr">
        <is>
          <t>(en blanco)</t>
        </is>
      </c>
      <c r="F4168" t="inlineStr">
        <is>
          <t>(en blanco)</t>
        </is>
      </c>
      <c r="G4168" t="inlineStr">
        <is>
          <t>XL</t>
        </is>
      </c>
      <c r="H4168" t="n">
        <v>286</v>
      </c>
      <c r="I4168" t="inlineStr">
        <is>
          <t>T_TAHARI_124009697_BLK_1.jpg</t>
        </is>
      </c>
      <c r="J4168" t="inlineStr">
        <is>
          <t>T_TAHARI_124009697_BLK_2.jpg</t>
        </is>
      </c>
      <c r="K4168" t="inlineStr">
        <is>
          <t>T_TAHARI_124009697_BLK_3.jpg</t>
        </is>
      </c>
      <c r="L4168">
        <f>IMAGE("file:///E:/Estudios%20y%20certificaciones/ESTUDIOS%20DE%20PROGRAMMING/PROGRAMMING/PERSONAL/PYTHON/Image_Generator_API/imagenes/T_TAHARI_124009697_BLK_1.jpg")</f>
        <v/>
      </c>
      <c r="M4168">
        <f>IMAGE("file:///E:/Estudios%20y%20certificaciones/ESTUDIOS%20DE%20PROGRAMMING/PROGRAMMING/PERSONAL/PYTHON/Image_Generator_API/imagenes/T_TAHARI_124009697_BLK_2.jpg")</f>
        <v/>
      </c>
      <c r="N4168">
        <f>IMAGE("file:///E:/Estudios%20y%20certificaciones/ESTUDIOS%20DE%20PROGRAMMING/PROGRAMMING/PERSONAL/PYTHON/Image_Generator_API/imagenes/T_TAHARI_124009697_BLK_3.jpg")</f>
        <v/>
      </c>
      <c r="O4168">
        <f>HYPERLINK("imagenes/T_TAHARI_124009697_BLK_1.jpg","Ver imagen")</f>
        <v/>
      </c>
      <c r="P4168">
        <f>HYPERLINK("imagenes/T_TAHARI_124009697_BLK_2.jpg","Ver imagen")</f>
        <v/>
      </c>
      <c r="Q4168">
        <f>HYPERLINK("imagenes/T_TAHARI_124009697_BLK_3.jpg","Ver imagen")</f>
        <v/>
      </c>
    </row>
    <row r="4169">
      <c r="A4169" t="inlineStr">
        <is>
          <t>T TAHARI</t>
        </is>
      </c>
      <c r="B4169" t="inlineStr">
        <is>
          <t>124009697</t>
        </is>
      </c>
      <c r="C4169" t="inlineStr">
        <is>
          <t>NICO</t>
        </is>
      </c>
      <c r="D4169" t="inlineStr">
        <is>
          <t>GXY</t>
        </is>
      </c>
      <c r="E4169" t="inlineStr">
        <is>
          <t>(en blanco)</t>
        </is>
      </c>
      <c r="F4169" t="inlineStr">
        <is>
          <t>(en blanco)</t>
        </is>
      </c>
      <c r="G4169" t="inlineStr">
        <is>
          <t>XS</t>
        </is>
      </c>
      <c r="H4169" t="n">
        <v>208</v>
      </c>
      <c r="I4169" t="inlineStr">
        <is>
          <t>T_TAHARI_124009697_GXY_1.jpg</t>
        </is>
      </c>
      <c r="J4169" t="inlineStr">
        <is>
          <t>T_TAHARI_124009697_GXY_2.jpg</t>
        </is>
      </c>
      <c r="K4169" t="inlineStr">
        <is>
          <t>T_TAHARI_124009697_GXY_3.jpg</t>
        </is>
      </c>
      <c r="L4169">
        <f>IMAGE("file:///E:/Estudios%20y%20certificaciones/ESTUDIOS%20DE%20PROGRAMMING/PROGRAMMING/PERSONAL/PYTHON/Image_Generator_API/imagenes/T_TAHARI_124009697_GXY_1.jpg")</f>
        <v/>
      </c>
      <c r="M4169">
        <f>IMAGE("file:///E:/Estudios%20y%20certificaciones/ESTUDIOS%20DE%20PROGRAMMING/PROGRAMMING/PERSONAL/PYTHON/Image_Generator_API/imagenes/T_TAHARI_124009697_GXY_2.jpg")</f>
        <v/>
      </c>
      <c r="N4169">
        <f>IMAGE("file:///E:/Estudios%20y%20certificaciones/ESTUDIOS%20DE%20PROGRAMMING/PROGRAMMING/PERSONAL/PYTHON/Image_Generator_API/imagenes/T_TAHARI_124009697_GXY_3.jpg")</f>
        <v/>
      </c>
      <c r="O4169">
        <f>HYPERLINK("imagenes/T_TAHARI_124009697_GXY_1.jpg","Ver imagen")</f>
        <v/>
      </c>
      <c r="P4169">
        <f>HYPERLINK("imagenes/T_TAHARI_124009697_GXY_2.jpg","Ver imagen")</f>
        <v/>
      </c>
      <c r="Q4169">
        <f>HYPERLINK("imagenes/T_TAHARI_124009697_GXY_3.jpg","Ver imagen")</f>
        <v/>
      </c>
    </row>
    <row r="4170">
      <c r="A4170" t="inlineStr">
        <is>
          <t>T TAHARI</t>
        </is>
      </c>
      <c r="B4170" t="inlineStr">
        <is>
          <t>124009697</t>
        </is>
      </c>
      <c r="C4170" t="inlineStr">
        <is>
          <t>NICO</t>
        </is>
      </c>
      <c r="D4170" t="inlineStr">
        <is>
          <t>GXY</t>
        </is>
      </c>
      <c r="E4170" t="inlineStr">
        <is>
          <t>(en blanco)</t>
        </is>
      </c>
      <c r="F4170" t="inlineStr">
        <is>
          <t>(en blanco)</t>
        </is>
      </c>
      <c r="G4170" t="inlineStr">
        <is>
          <t>S</t>
        </is>
      </c>
      <c r="H4170" t="n">
        <v>497</v>
      </c>
      <c r="I4170" t="inlineStr">
        <is>
          <t>T_TAHARI_124009697_GXY_1.jpg</t>
        </is>
      </c>
      <c r="J4170" t="inlineStr">
        <is>
          <t>T_TAHARI_124009697_GXY_2.jpg</t>
        </is>
      </c>
      <c r="K4170" t="inlineStr">
        <is>
          <t>T_TAHARI_124009697_GXY_3.jpg</t>
        </is>
      </c>
      <c r="L4170">
        <f>IMAGE("file:///E:/Estudios%20y%20certificaciones/ESTUDIOS%20DE%20PROGRAMMING/PROGRAMMING/PERSONAL/PYTHON/Image_Generator_API/imagenes/T_TAHARI_124009697_GXY_1.jpg")</f>
        <v/>
      </c>
      <c r="M4170">
        <f>IMAGE("file:///E:/Estudios%20y%20certificaciones/ESTUDIOS%20DE%20PROGRAMMING/PROGRAMMING/PERSONAL/PYTHON/Image_Generator_API/imagenes/T_TAHARI_124009697_GXY_2.jpg")</f>
        <v/>
      </c>
      <c r="N4170">
        <f>IMAGE("file:///E:/Estudios%20y%20certificaciones/ESTUDIOS%20DE%20PROGRAMMING/PROGRAMMING/PERSONAL/PYTHON/Image_Generator_API/imagenes/T_TAHARI_124009697_GXY_3.jpg")</f>
        <v/>
      </c>
      <c r="O4170">
        <f>HYPERLINK("imagenes/T_TAHARI_124009697_GXY_1.jpg","Ver imagen")</f>
        <v/>
      </c>
      <c r="P4170">
        <f>HYPERLINK("imagenes/T_TAHARI_124009697_GXY_2.jpg","Ver imagen")</f>
        <v/>
      </c>
      <c r="Q4170">
        <f>HYPERLINK("imagenes/T_TAHARI_124009697_GXY_3.jpg","Ver imagen")</f>
        <v/>
      </c>
    </row>
    <row r="4171">
      <c r="A4171" t="inlineStr">
        <is>
          <t>T TAHARI</t>
        </is>
      </c>
      <c r="B4171" t="inlineStr">
        <is>
          <t>124009697</t>
        </is>
      </c>
      <c r="C4171" t="inlineStr">
        <is>
          <t>NICO</t>
        </is>
      </c>
      <c r="D4171" t="inlineStr">
        <is>
          <t>GXY</t>
        </is>
      </c>
      <c r="E4171" t="inlineStr">
        <is>
          <t>(en blanco)</t>
        </is>
      </c>
      <c r="F4171" t="inlineStr">
        <is>
          <t>(en blanco)</t>
        </is>
      </c>
      <c r="G4171" t="inlineStr">
        <is>
          <t>M</t>
        </is>
      </c>
      <c r="H4171" t="n">
        <v>536</v>
      </c>
      <c r="I4171" t="inlineStr">
        <is>
          <t>T_TAHARI_124009697_GXY_1.jpg</t>
        </is>
      </c>
      <c r="J4171" t="inlineStr">
        <is>
          <t>T_TAHARI_124009697_GXY_2.jpg</t>
        </is>
      </c>
      <c r="K4171" t="inlineStr">
        <is>
          <t>T_TAHARI_124009697_GXY_3.jpg</t>
        </is>
      </c>
      <c r="L4171">
        <f>IMAGE("file:///E:/Estudios%20y%20certificaciones/ESTUDIOS%20DE%20PROGRAMMING/PROGRAMMING/PERSONAL/PYTHON/Image_Generator_API/imagenes/T_TAHARI_124009697_GXY_1.jpg")</f>
        <v/>
      </c>
      <c r="M4171">
        <f>IMAGE("file:///E:/Estudios%20y%20certificaciones/ESTUDIOS%20DE%20PROGRAMMING/PROGRAMMING/PERSONAL/PYTHON/Image_Generator_API/imagenes/T_TAHARI_124009697_GXY_2.jpg")</f>
        <v/>
      </c>
      <c r="N4171">
        <f>IMAGE("file:///E:/Estudios%20y%20certificaciones/ESTUDIOS%20DE%20PROGRAMMING/PROGRAMMING/PERSONAL/PYTHON/Image_Generator_API/imagenes/T_TAHARI_124009697_GXY_3.jpg")</f>
        <v/>
      </c>
      <c r="O4171">
        <f>HYPERLINK("imagenes/T_TAHARI_124009697_GXY_1.jpg","Ver imagen")</f>
        <v/>
      </c>
      <c r="P4171">
        <f>HYPERLINK("imagenes/T_TAHARI_124009697_GXY_2.jpg","Ver imagen")</f>
        <v/>
      </c>
      <c r="Q4171">
        <f>HYPERLINK("imagenes/T_TAHARI_124009697_GXY_3.jpg","Ver imagen")</f>
        <v/>
      </c>
    </row>
    <row r="4172">
      <c r="A4172" t="inlineStr">
        <is>
          <t>T TAHARI</t>
        </is>
      </c>
      <c r="B4172" t="inlineStr">
        <is>
          <t>124009697</t>
        </is>
      </c>
      <c r="C4172" t="inlineStr">
        <is>
          <t>NICO</t>
        </is>
      </c>
      <c r="D4172" t="inlineStr">
        <is>
          <t>GXY</t>
        </is>
      </c>
      <c r="E4172" t="inlineStr">
        <is>
          <t>(en blanco)</t>
        </is>
      </c>
      <c r="F4172" t="inlineStr">
        <is>
          <t>(en blanco)</t>
        </is>
      </c>
      <c r="G4172" t="inlineStr">
        <is>
          <t>L</t>
        </is>
      </c>
      <c r="H4172" t="n">
        <v>537</v>
      </c>
      <c r="I4172" t="inlineStr">
        <is>
          <t>T_TAHARI_124009697_GXY_1.jpg</t>
        </is>
      </c>
      <c r="J4172" t="inlineStr">
        <is>
          <t>T_TAHARI_124009697_GXY_2.jpg</t>
        </is>
      </c>
      <c r="K4172" t="inlineStr">
        <is>
          <t>T_TAHARI_124009697_GXY_3.jpg</t>
        </is>
      </c>
      <c r="L4172">
        <f>IMAGE("file:///E:/Estudios%20y%20certificaciones/ESTUDIOS%20DE%20PROGRAMMING/PROGRAMMING/PERSONAL/PYTHON/Image_Generator_API/imagenes/T_TAHARI_124009697_GXY_1.jpg")</f>
        <v/>
      </c>
      <c r="M4172">
        <f>IMAGE("file:///E:/Estudios%20y%20certificaciones/ESTUDIOS%20DE%20PROGRAMMING/PROGRAMMING/PERSONAL/PYTHON/Image_Generator_API/imagenes/T_TAHARI_124009697_GXY_2.jpg")</f>
        <v/>
      </c>
      <c r="N4172">
        <f>IMAGE("file:///E:/Estudios%20y%20certificaciones/ESTUDIOS%20DE%20PROGRAMMING/PROGRAMMING/PERSONAL/PYTHON/Image_Generator_API/imagenes/T_TAHARI_124009697_GXY_3.jpg")</f>
        <v/>
      </c>
      <c r="O4172">
        <f>HYPERLINK("imagenes/T_TAHARI_124009697_GXY_1.jpg","Ver imagen")</f>
        <v/>
      </c>
      <c r="P4172">
        <f>HYPERLINK("imagenes/T_TAHARI_124009697_GXY_2.jpg","Ver imagen")</f>
        <v/>
      </c>
      <c r="Q4172">
        <f>HYPERLINK("imagenes/T_TAHARI_124009697_GXY_3.jpg","Ver imagen")</f>
        <v/>
      </c>
    </row>
    <row r="4173">
      <c r="A4173" t="inlineStr">
        <is>
          <t>T TAHARI</t>
        </is>
      </c>
      <c r="B4173" t="inlineStr">
        <is>
          <t>124009697</t>
        </is>
      </c>
      <c r="C4173" t="inlineStr">
        <is>
          <t>NICO</t>
        </is>
      </c>
      <c r="D4173" t="inlineStr">
        <is>
          <t>GXY</t>
        </is>
      </c>
      <c r="E4173" t="inlineStr">
        <is>
          <t>(en blanco)</t>
        </is>
      </c>
      <c r="F4173" t="inlineStr">
        <is>
          <t>(en blanco)</t>
        </is>
      </c>
      <c r="G4173" t="inlineStr">
        <is>
          <t>XL</t>
        </is>
      </c>
      <c r="H4173" t="n">
        <v>208</v>
      </c>
      <c r="I4173" t="inlineStr">
        <is>
          <t>T_TAHARI_124009697_GXY_1.jpg</t>
        </is>
      </c>
      <c r="J4173" t="inlineStr">
        <is>
          <t>T_TAHARI_124009697_GXY_2.jpg</t>
        </is>
      </c>
      <c r="K4173" t="inlineStr">
        <is>
          <t>T_TAHARI_124009697_GXY_3.jpg</t>
        </is>
      </c>
      <c r="L4173">
        <f>IMAGE("file:///E:/Estudios%20y%20certificaciones/ESTUDIOS%20DE%20PROGRAMMING/PROGRAMMING/PERSONAL/PYTHON/Image_Generator_API/imagenes/T_TAHARI_124009697_GXY_1.jpg")</f>
        <v/>
      </c>
      <c r="M4173">
        <f>IMAGE("file:///E:/Estudios%20y%20certificaciones/ESTUDIOS%20DE%20PROGRAMMING/PROGRAMMING/PERSONAL/PYTHON/Image_Generator_API/imagenes/T_TAHARI_124009697_GXY_2.jpg")</f>
        <v/>
      </c>
      <c r="N4173">
        <f>IMAGE("file:///E:/Estudios%20y%20certificaciones/ESTUDIOS%20DE%20PROGRAMMING/PROGRAMMING/PERSONAL/PYTHON/Image_Generator_API/imagenes/T_TAHARI_124009697_GXY_3.jpg")</f>
        <v/>
      </c>
      <c r="O4173">
        <f>HYPERLINK("imagenes/T_TAHARI_124009697_GXY_1.jpg","Ver imagen")</f>
        <v/>
      </c>
      <c r="P4173">
        <f>HYPERLINK("imagenes/T_TAHARI_124009697_GXY_2.jpg","Ver imagen")</f>
        <v/>
      </c>
      <c r="Q4173">
        <f>HYPERLINK("imagenes/T_TAHARI_124009697_GXY_3.jpg","Ver imagen")</f>
        <v/>
      </c>
    </row>
    <row r="4174">
      <c r="A4174" t="inlineStr">
        <is>
          <t>T TAHARI</t>
        </is>
      </c>
      <c r="B4174" t="inlineStr">
        <is>
          <t>124009697</t>
        </is>
      </c>
      <c r="C4174" t="inlineStr">
        <is>
          <t>NICO</t>
        </is>
      </c>
      <c r="D4174" t="inlineStr">
        <is>
          <t>OLI</t>
        </is>
      </c>
      <c r="E4174" t="inlineStr">
        <is>
          <t>08A05</t>
        </is>
      </c>
      <c r="F4174" t="inlineStr">
        <is>
          <t>R2140</t>
        </is>
      </c>
      <c r="G4174" t="inlineStr">
        <is>
          <t>PPK</t>
        </is>
      </c>
      <c r="H4174" t="n">
        <v>0</v>
      </c>
      <c r="I4174" t="inlineStr">
        <is>
          <t>T_TAHARI_124009697_OLI_1.jpg</t>
        </is>
      </c>
      <c r="J4174" t="inlineStr">
        <is>
          <t>T_TAHARI_124009697_OLI_2.jpg</t>
        </is>
      </c>
      <c r="K4174" t="inlineStr">
        <is>
          <t>T_TAHARI_124009697_OLI_3.jpg</t>
        </is>
      </c>
      <c r="L4174">
        <f>IMAGE("file:///E:/Estudios%20y%20certificaciones/ESTUDIOS%20DE%20PROGRAMMING/PROGRAMMING/PERSONAL/PYTHON/Image_Generator_API/imagenes/T_TAHARI_124009697_OLI_1.jpg")</f>
        <v/>
      </c>
      <c r="M4174">
        <f>IMAGE("file:///E:/Estudios%20y%20certificaciones/ESTUDIOS%20DE%20PROGRAMMING/PROGRAMMING/PERSONAL/PYTHON/Image_Generator_API/imagenes/T_TAHARI_124009697_OLI_2.jpg")</f>
        <v/>
      </c>
      <c r="N4174">
        <f>IMAGE("file:///E:/Estudios%20y%20certificaciones/ESTUDIOS%20DE%20PROGRAMMING/PROGRAMMING/PERSONAL/PYTHON/Image_Generator_API/imagenes/T_TAHARI_124009697_OLI_3.jpg")</f>
        <v/>
      </c>
      <c r="O4174">
        <f>HYPERLINK("imagenes/T_TAHARI_124009697_OLI_1.jpg","Ver imagen")</f>
        <v/>
      </c>
      <c r="P4174">
        <f>HYPERLINK("imagenes/T_TAHARI_124009697_OLI_2.jpg","Ver imagen")</f>
        <v/>
      </c>
      <c r="Q4174">
        <f>HYPERLINK("imagenes/T_TAHARI_124009697_OLI_3.jpg","Ver imagen")</f>
        <v/>
      </c>
    </row>
    <row r="4175">
      <c r="A4175" t="inlineStr">
        <is>
          <t>T TAHARI</t>
        </is>
      </c>
      <c r="B4175" t="inlineStr">
        <is>
          <t>124009699</t>
        </is>
      </c>
      <c r="C4175" t="inlineStr">
        <is>
          <t>JUNE</t>
        </is>
      </c>
      <c r="D4175" t="inlineStr">
        <is>
          <t>BLK</t>
        </is>
      </c>
      <c r="E4175" t="inlineStr">
        <is>
          <t>(en blanco)</t>
        </is>
      </c>
      <c r="F4175" t="inlineStr">
        <is>
          <t>D2C</t>
        </is>
      </c>
      <c r="G4175" t="inlineStr">
        <is>
          <t>XS</t>
        </is>
      </c>
      <c r="H4175" t="n">
        <v>10</v>
      </c>
      <c r="I4175" t="inlineStr">
        <is>
          <t>T_TAHARI_124009699_BLK_1.jpg</t>
        </is>
      </c>
      <c r="J4175" t="inlineStr">
        <is>
          <t>T_TAHARI_124009699_BLK_2.jpg</t>
        </is>
      </c>
      <c r="K4175" t="inlineStr">
        <is>
          <t>T_TAHARI_124009699_BLK_3.jpg</t>
        </is>
      </c>
      <c r="L4175">
        <f>IMAGE("file:///E:/Estudios%20y%20certificaciones/ESTUDIOS%20DE%20PROGRAMMING/PROGRAMMING/PERSONAL/PYTHON/Image_Generator_API/imagenes/T_TAHARI_124009699_BLK_1.jpg")</f>
        <v/>
      </c>
      <c r="M4175">
        <f>IMAGE("file:///E:/Estudios%20y%20certificaciones/ESTUDIOS%20DE%20PROGRAMMING/PROGRAMMING/PERSONAL/PYTHON/Image_Generator_API/imagenes/T_TAHARI_124009699_BLK_2.jpg")</f>
        <v/>
      </c>
      <c r="N4175">
        <f>IMAGE("file:///E:/Estudios%20y%20certificaciones/ESTUDIOS%20DE%20PROGRAMMING/PROGRAMMING/PERSONAL/PYTHON/Image_Generator_API/imagenes/T_TAHARI_124009699_BLK_3.jpg")</f>
        <v/>
      </c>
      <c r="O4175">
        <f>HYPERLINK("imagenes/T_TAHARI_124009699_BLK_1.jpg","Ver imagen")</f>
        <v/>
      </c>
      <c r="P4175">
        <f>HYPERLINK("imagenes/T_TAHARI_124009699_BLK_2.jpg","Ver imagen")</f>
        <v/>
      </c>
      <c r="Q4175">
        <f>HYPERLINK("imagenes/T_TAHARI_124009699_BLK_3.jpg","Ver imagen")</f>
        <v/>
      </c>
    </row>
    <row r="4176">
      <c r="A4176" t="inlineStr">
        <is>
          <t>T TAHARI</t>
        </is>
      </c>
      <c r="B4176" t="inlineStr">
        <is>
          <t>124009699</t>
        </is>
      </c>
      <c r="C4176" t="inlineStr">
        <is>
          <t>JUNE</t>
        </is>
      </c>
      <c r="D4176" t="inlineStr">
        <is>
          <t>BLK</t>
        </is>
      </c>
      <c r="E4176" t="inlineStr">
        <is>
          <t>(en blanco)</t>
        </is>
      </c>
      <c r="F4176" t="inlineStr">
        <is>
          <t>D2C</t>
        </is>
      </c>
      <c r="G4176" t="inlineStr">
        <is>
          <t>S</t>
        </is>
      </c>
      <c r="H4176" t="n">
        <v>20</v>
      </c>
      <c r="I4176" t="inlineStr">
        <is>
          <t>T_TAHARI_124009699_BLK_1.jpg</t>
        </is>
      </c>
      <c r="J4176" t="inlineStr">
        <is>
          <t>T_TAHARI_124009699_BLK_2.jpg</t>
        </is>
      </c>
      <c r="K4176" t="inlineStr">
        <is>
          <t>T_TAHARI_124009699_BLK_3.jpg</t>
        </is>
      </c>
      <c r="L4176">
        <f>IMAGE("file:///E:/Estudios%20y%20certificaciones/ESTUDIOS%20DE%20PROGRAMMING/PROGRAMMING/PERSONAL/PYTHON/Image_Generator_API/imagenes/T_TAHARI_124009699_BLK_1.jpg")</f>
        <v/>
      </c>
      <c r="M4176">
        <f>IMAGE("file:///E:/Estudios%20y%20certificaciones/ESTUDIOS%20DE%20PROGRAMMING/PROGRAMMING/PERSONAL/PYTHON/Image_Generator_API/imagenes/T_TAHARI_124009699_BLK_2.jpg")</f>
        <v/>
      </c>
      <c r="N4176">
        <f>IMAGE("file:///E:/Estudios%20y%20certificaciones/ESTUDIOS%20DE%20PROGRAMMING/PROGRAMMING/PERSONAL/PYTHON/Image_Generator_API/imagenes/T_TAHARI_124009699_BLK_3.jpg")</f>
        <v/>
      </c>
      <c r="O4176">
        <f>HYPERLINK("imagenes/T_TAHARI_124009699_BLK_1.jpg","Ver imagen")</f>
        <v/>
      </c>
      <c r="P4176">
        <f>HYPERLINK("imagenes/T_TAHARI_124009699_BLK_2.jpg","Ver imagen")</f>
        <v/>
      </c>
      <c r="Q4176">
        <f>HYPERLINK("imagenes/T_TAHARI_124009699_BLK_3.jpg","Ver imagen")</f>
        <v/>
      </c>
    </row>
    <row r="4177">
      <c r="A4177" t="inlineStr">
        <is>
          <t>T TAHARI</t>
        </is>
      </c>
      <c r="B4177" t="inlineStr">
        <is>
          <t>124009699</t>
        </is>
      </c>
      <c r="C4177" t="inlineStr">
        <is>
          <t>JUNE</t>
        </is>
      </c>
      <c r="D4177" t="inlineStr">
        <is>
          <t>BLK</t>
        </is>
      </c>
      <c r="E4177" t="inlineStr">
        <is>
          <t>(en blanco)</t>
        </is>
      </c>
      <c r="F4177" t="inlineStr">
        <is>
          <t>D2C</t>
        </is>
      </c>
      <c r="G4177" t="inlineStr">
        <is>
          <t>M</t>
        </is>
      </c>
      <c r="H4177" t="n">
        <v>18</v>
      </c>
      <c r="I4177" t="inlineStr">
        <is>
          <t>T_TAHARI_124009699_BLK_1.jpg</t>
        </is>
      </c>
      <c r="J4177" t="inlineStr">
        <is>
          <t>T_TAHARI_124009699_BLK_2.jpg</t>
        </is>
      </c>
      <c r="K4177" t="inlineStr">
        <is>
          <t>T_TAHARI_124009699_BLK_3.jpg</t>
        </is>
      </c>
      <c r="L4177">
        <f>IMAGE("file:///E:/Estudios%20y%20certificaciones/ESTUDIOS%20DE%20PROGRAMMING/PROGRAMMING/PERSONAL/PYTHON/Image_Generator_API/imagenes/T_TAHARI_124009699_BLK_1.jpg")</f>
        <v/>
      </c>
      <c r="M4177">
        <f>IMAGE("file:///E:/Estudios%20y%20certificaciones/ESTUDIOS%20DE%20PROGRAMMING/PROGRAMMING/PERSONAL/PYTHON/Image_Generator_API/imagenes/T_TAHARI_124009699_BLK_2.jpg")</f>
        <v/>
      </c>
      <c r="N4177">
        <f>IMAGE("file:///E:/Estudios%20y%20certificaciones/ESTUDIOS%20DE%20PROGRAMMING/PROGRAMMING/PERSONAL/PYTHON/Image_Generator_API/imagenes/T_TAHARI_124009699_BLK_3.jpg")</f>
        <v/>
      </c>
      <c r="O4177">
        <f>HYPERLINK("imagenes/T_TAHARI_124009699_BLK_1.jpg","Ver imagen")</f>
        <v/>
      </c>
      <c r="P4177">
        <f>HYPERLINK("imagenes/T_TAHARI_124009699_BLK_2.jpg","Ver imagen")</f>
        <v/>
      </c>
      <c r="Q4177">
        <f>HYPERLINK("imagenes/T_TAHARI_124009699_BLK_3.jpg","Ver imagen")</f>
        <v/>
      </c>
    </row>
    <row r="4178">
      <c r="A4178" t="inlineStr">
        <is>
          <t>T TAHARI</t>
        </is>
      </c>
      <c r="B4178" t="inlineStr">
        <is>
          <t>124009699</t>
        </is>
      </c>
      <c r="C4178" t="inlineStr">
        <is>
          <t>JUNE</t>
        </is>
      </c>
      <c r="D4178" t="inlineStr">
        <is>
          <t>BLK</t>
        </is>
      </c>
      <c r="E4178" t="inlineStr">
        <is>
          <t>(en blanco)</t>
        </is>
      </c>
      <c r="F4178" t="inlineStr">
        <is>
          <t>D2C</t>
        </is>
      </c>
      <c r="G4178" t="inlineStr">
        <is>
          <t>L</t>
        </is>
      </c>
      <c r="H4178" t="n">
        <v>17</v>
      </c>
      <c r="I4178" t="inlineStr">
        <is>
          <t>T_TAHARI_124009699_BLK_1.jpg</t>
        </is>
      </c>
      <c r="J4178" t="inlineStr">
        <is>
          <t>T_TAHARI_124009699_BLK_2.jpg</t>
        </is>
      </c>
      <c r="K4178" t="inlineStr">
        <is>
          <t>T_TAHARI_124009699_BLK_3.jpg</t>
        </is>
      </c>
      <c r="L4178">
        <f>IMAGE("file:///E:/Estudios%20y%20certificaciones/ESTUDIOS%20DE%20PROGRAMMING/PROGRAMMING/PERSONAL/PYTHON/Image_Generator_API/imagenes/T_TAHARI_124009699_BLK_1.jpg")</f>
        <v/>
      </c>
      <c r="M4178">
        <f>IMAGE("file:///E:/Estudios%20y%20certificaciones/ESTUDIOS%20DE%20PROGRAMMING/PROGRAMMING/PERSONAL/PYTHON/Image_Generator_API/imagenes/T_TAHARI_124009699_BLK_2.jpg")</f>
        <v/>
      </c>
      <c r="N4178">
        <f>IMAGE("file:///E:/Estudios%20y%20certificaciones/ESTUDIOS%20DE%20PROGRAMMING/PROGRAMMING/PERSONAL/PYTHON/Image_Generator_API/imagenes/T_TAHARI_124009699_BLK_3.jpg")</f>
        <v/>
      </c>
      <c r="O4178">
        <f>HYPERLINK("imagenes/T_TAHARI_124009699_BLK_1.jpg","Ver imagen")</f>
        <v/>
      </c>
      <c r="P4178">
        <f>HYPERLINK("imagenes/T_TAHARI_124009699_BLK_2.jpg","Ver imagen")</f>
        <v/>
      </c>
      <c r="Q4178">
        <f>HYPERLINK("imagenes/T_TAHARI_124009699_BLK_3.jpg","Ver imagen")</f>
        <v/>
      </c>
    </row>
    <row r="4179">
      <c r="A4179" t="inlineStr">
        <is>
          <t>T TAHARI</t>
        </is>
      </c>
      <c r="B4179" t="inlineStr">
        <is>
          <t>124009699</t>
        </is>
      </c>
      <c r="C4179" t="inlineStr">
        <is>
          <t>JUNE</t>
        </is>
      </c>
      <c r="D4179" t="inlineStr">
        <is>
          <t>BLK</t>
        </is>
      </c>
      <c r="E4179" t="inlineStr">
        <is>
          <t>(en blanco)</t>
        </is>
      </c>
      <c r="F4179" t="inlineStr">
        <is>
          <t>D2C</t>
        </is>
      </c>
      <c r="G4179" t="inlineStr">
        <is>
          <t>XL</t>
        </is>
      </c>
      <c r="H4179" t="n">
        <v>7</v>
      </c>
      <c r="I4179" t="inlineStr">
        <is>
          <t>T_TAHARI_124009699_BLK_1.jpg</t>
        </is>
      </c>
      <c r="J4179" t="inlineStr">
        <is>
          <t>T_TAHARI_124009699_BLK_2.jpg</t>
        </is>
      </c>
      <c r="K4179" t="inlineStr">
        <is>
          <t>T_TAHARI_124009699_BLK_3.jpg</t>
        </is>
      </c>
      <c r="L4179">
        <f>IMAGE("file:///E:/Estudios%20y%20certificaciones/ESTUDIOS%20DE%20PROGRAMMING/PROGRAMMING/PERSONAL/PYTHON/Image_Generator_API/imagenes/T_TAHARI_124009699_BLK_1.jpg")</f>
        <v/>
      </c>
      <c r="M4179">
        <f>IMAGE("file:///E:/Estudios%20y%20certificaciones/ESTUDIOS%20DE%20PROGRAMMING/PROGRAMMING/PERSONAL/PYTHON/Image_Generator_API/imagenes/T_TAHARI_124009699_BLK_2.jpg")</f>
        <v/>
      </c>
      <c r="N4179">
        <f>IMAGE("file:///E:/Estudios%20y%20certificaciones/ESTUDIOS%20DE%20PROGRAMMING/PROGRAMMING/PERSONAL/PYTHON/Image_Generator_API/imagenes/T_TAHARI_124009699_BLK_3.jpg")</f>
        <v/>
      </c>
      <c r="O4179">
        <f>HYPERLINK("imagenes/T_TAHARI_124009699_BLK_1.jpg","Ver imagen")</f>
        <v/>
      </c>
      <c r="P4179">
        <f>HYPERLINK("imagenes/T_TAHARI_124009699_BLK_2.jpg","Ver imagen")</f>
        <v/>
      </c>
      <c r="Q4179">
        <f>HYPERLINK("imagenes/T_TAHARI_124009699_BLK_3.jpg","Ver imagen")</f>
        <v/>
      </c>
    </row>
    <row r="4180">
      <c r="A4180" t="inlineStr">
        <is>
          <t>T TAHARI</t>
        </is>
      </c>
      <c r="B4180" t="inlineStr">
        <is>
          <t>124009699</t>
        </is>
      </c>
      <c r="C4180" t="inlineStr">
        <is>
          <t>JUNE</t>
        </is>
      </c>
      <c r="D4180" t="inlineStr">
        <is>
          <t>BLK</t>
        </is>
      </c>
      <c r="E4180" t="inlineStr">
        <is>
          <t>(en blanco)</t>
        </is>
      </c>
      <c r="F4180" t="inlineStr">
        <is>
          <t>(en blanco)</t>
        </is>
      </c>
      <c r="G4180" t="inlineStr">
        <is>
          <t>XS</t>
        </is>
      </c>
      <c r="H4180" t="n">
        <v>527</v>
      </c>
      <c r="I4180" t="inlineStr">
        <is>
          <t>T_TAHARI_124009699_BLK_1.jpg</t>
        </is>
      </c>
      <c r="J4180" t="inlineStr">
        <is>
          <t>T_TAHARI_124009699_BLK_2.jpg</t>
        </is>
      </c>
      <c r="K4180" t="inlineStr">
        <is>
          <t>T_TAHARI_124009699_BLK_3.jpg</t>
        </is>
      </c>
      <c r="L4180">
        <f>IMAGE("file:///E:/Estudios%20y%20certificaciones/ESTUDIOS%20DE%20PROGRAMMING/PROGRAMMING/PERSONAL/PYTHON/Image_Generator_API/imagenes/T_TAHARI_124009699_BLK_1.jpg")</f>
        <v/>
      </c>
      <c r="M4180">
        <f>IMAGE("file:///E:/Estudios%20y%20certificaciones/ESTUDIOS%20DE%20PROGRAMMING/PROGRAMMING/PERSONAL/PYTHON/Image_Generator_API/imagenes/T_TAHARI_124009699_BLK_2.jpg")</f>
        <v/>
      </c>
      <c r="N4180">
        <f>IMAGE("file:///E:/Estudios%20y%20certificaciones/ESTUDIOS%20DE%20PROGRAMMING/PROGRAMMING/PERSONAL/PYTHON/Image_Generator_API/imagenes/T_TAHARI_124009699_BLK_3.jpg")</f>
        <v/>
      </c>
      <c r="O4180">
        <f>HYPERLINK("imagenes/T_TAHARI_124009699_BLK_1.jpg","Ver imagen")</f>
        <v/>
      </c>
      <c r="P4180">
        <f>HYPERLINK("imagenes/T_TAHARI_124009699_BLK_2.jpg","Ver imagen")</f>
        <v/>
      </c>
      <c r="Q4180">
        <f>HYPERLINK("imagenes/T_TAHARI_124009699_BLK_3.jpg","Ver imagen")</f>
        <v/>
      </c>
    </row>
    <row r="4181">
      <c r="A4181" t="inlineStr">
        <is>
          <t>T TAHARI</t>
        </is>
      </c>
      <c r="B4181" t="inlineStr">
        <is>
          <t>124009699</t>
        </is>
      </c>
      <c r="C4181" t="inlineStr">
        <is>
          <t>JUNE</t>
        </is>
      </c>
      <c r="D4181" t="inlineStr">
        <is>
          <t>BLK</t>
        </is>
      </c>
      <c r="E4181" t="inlineStr">
        <is>
          <t>(en blanco)</t>
        </is>
      </c>
      <c r="F4181" t="inlineStr">
        <is>
          <t>(en blanco)</t>
        </is>
      </c>
      <c r="G4181" t="inlineStr">
        <is>
          <t>S</t>
        </is>
      </c>
      <c r="H4181" t="n">
        <v>1072</v>
      </c>
      <c r="I4181" t="inlineStr">
        <is>
          <t>T_TAHARI_124009699_BLK_1.jpg</t>
        </is>
      </c>
      <c r="J4181" t="inlineStr">
        <is>
          <t>T_TAHARI_124009699_BLK_2.jpg</t>
        </is>
      </c>
      <c r="K4181" t="inlineStr">
        <is>
          <t>T_TAHARI_124009699_BLK_3.jpg</t>
        </is>
      </c>
      <c r="L4181">
        <f>IMAGE("file:///E:/Estudios%20y%20certificaciones/ESTUDIOS%20DE%20PROGRAMMING/PROGRAMMING/PERSONAL/PYTHON/Image_Generator_API/imagenes/T_TAHARI_124009699_BLK_1.jpg")</f>
        <v/>
      </c>
      <c r="M4181">
        <f>IMAGE("file:///E:/Estudios%20y%20certificaciones/ESTUDIOS%20DE%20PROGRAMMING/PROGRAMMING/PERSONAL/PYTHON/Image_Generator_API/imagenes/T_TAHARI_124009699_BLK_2.jpg")</f>
        <v/>
      </c>
      <c r="N4181">
        <f>IMAGE("file:///E:/Estudios%20y%20certificaciones/ESTUDIOS%20DE%20PROGRAMMING/PROGRAMMING/PERSONAL/PYTHON/Image_Generator_API/imagenes/T_TAHARI_124009699_BLK_3.jpg")</f>
        <v/>
      </c>
      <c r="O4181">
        <f>HYPERLINK("imagenes/T_TAHARI_124009699_BLK_1.jpg","Ver imagen")</f>
        <v/>
      </c>
      <c r="P4181">
        <f>HYPERLINK("imagenes/T_TAHARI_124009699_BLK_2.jpg","Ver imagen")</f>
        <v/>
      </c>
      <c r="Q4181">
        <f>HYPERLINK("imagenes/T_TAHARI_124009699_BLK_3.jpg","Ver imagen")</f>
        <v/>
      </c>
    </row>
    <row r="4182">
      <c r="A4182" t="inlineStr">
        <is>
          <t>T TAHARI</t>
        </is>
      </c>
      <c r="B4182" t="inlineStr">
        <is>
          <t>124009699</t>
        </is>
      </c>
      <c r="C4182" t="inlineStr">
        <is>
          <t>JUNE</t>
        </is>
      </c>
      <c r="D4182" t="inlineStr">
        <is>
          <t>BLK</t>
        </is>
      </c>
      <c r="E4182" t="inlineStr">
        <is>
          <t>(en blanco)</t>
        </is>
      </c>
      <c r="F4182" t="inlineStr">
        <is>
          <t>(en blanco)</t>
        </is>
      </c>
      <c r="G4182" t="inlineStr">
        <is>
          <t>M</t>
        </is>
      </c>
      <c r="H4182" t="n">
        <v>1073</v>
      </c>
      <c r="I4182" t="inlineStr">
        <is>
          <t>T_TAHARI_124009699_BLK_1.jpg</t>
        </is>
      </c>
      <c r="J4182" t="inlineStr">
        <is>
          <t>T_TAHARI_124009699_BLK_2.jpg</t>
        </is>
      </c>
      <c r="K4182" t="inlineStr">
        <is>
          <t>T_TAHARI_124009699_BLK_3.jpg</t>
        </is>
      </c>
      <c r="L4182">
        <f>IMAGE("file:///E:/Estudios%20y%20certificaciones/ESTUDIOS%20DE%20PROGRAMMING/PROGRAMMING/PERSONAL/PYTHON/Image_Generator_API/imagenes/T_TAHARI_124009699_BLK_1.jpg")</f>
        <v/>
      </c>
      <c r="M4182">
        <f>IMAGE("file:///E:/Estudios%20y%20certificaciones/ESTUDIOS%20DE%20PROGRAMMING/PROGRAMMING/PERSONAL/PYTHON/Image_Generator_API/imagenes/T_TAHARI_124009699_BLK_2.jpg")</f>
        <v/>
      </c>
      <c r="N4182">
        <f>IMAGE("file:///E:/Estudios%20y%20certificaciones/ESTUDIOS%20DE%20PROGRAMMING/PROGRAMMING/PERSONAL/PYTHON/Image_Generator_API/imagenes/T_TAHARI_124009699_BLK_3.jpg")</f>
        <v/>
      </c>
      <c r="O4182">
        <f>HYPERLINK("imagenes/T_TAHARI_124009699_BLK_1.jpg","Ver imagen")</f>
        <v/>
      </c>
      <c r="P4182">
        <f>HYPERLINK("imagenes/T_TAHARI_124009699_BLK_2.jpg","Ver imagen")</f>
        <v/>
      </c>
      <c r="Q4182">
        <f>HYPERLINK("imagenes/T_TAHARI_124009699_BLK_3.jpg","Ver imagen")</f>
        <v/>
      </c>
    </row>
    <row r="4183">
      <c r="A4183" t="inlineStr">
        <is>
          <t>T TAHARI</t>
        </is>
      </c>
      <c r="B4183" t="inlineStr">
        <is>
          <t>124009699</t>
        </is>
      </c>
      <c r="C4183" t="inlineStr">
        <is>
          <t>JUNE</t>
        </is>
      </c>
      <c r="D4183" t="inlineStr">
        <is>
          <t>BLK</t>
        </is>
      </c>
      <c r="E4183" t="inlineStr">
        <is>
          <t>(en blanco)</t>
        </is>
      </c>
      <c r="F4183" t="inlineStr">
        <is>
          <t>(en blanco)</t>
        </is>
      </c>
      <c r="G4183" t="inlineStr">
        <is>
          <t>L</t>
        </is>
      </c>
      <c r="H4183" t="n">
        <v>1034</v>
      </c>
      <c r="I4183" t="inlineStr">
        <is>
          <t>T_TAHARI_124009699_BLK_1.jpg</t>
        </is>
      </c>
      <c r="J4183" t="inlineStr">
        <is>
          <t>T_TAHARI_124009699_BLK_2.jpg</t>
        </is>
      </c>
      <c r="K4183" t="inlineStr">
        <is>
          <t>T_TAHARI_124009699_BLK_3.jpg</t>
        </is>
      </c>
      <c r="L4183">
        <f>IMAGE("file:///E:/Estudios%20y%20certificaciones/ESTUDIOS%20DE%20PROGRAMMING/PROGRAMMING/PERSONAL/PYTHON/Image_Generator_API/imagenes/T_TAHARI_124009699_BLK_1.jpg")</f>
        <v/>
      </c>
      <c r="M4183">
        <f>IMAGE("file:///E:/Estudios%20y%20certificaciones/ESTUDIOS%20DE%20PROGRAMMING/PROGRAMMING/PERSONAL/PYTHON/Image_Generator_API/imagenes/T_TAHARI_124009699_BLK_2.jpg")</f>
        <v/>
      </c>
      <c r="N4183">
        <f>IMAGE("file:///E:/Estudios%20y%20certificaciones/ESTUDIOS%20DE%20PROGRAMMING/PROGRAMMING/PERSONAL/PYTHON/Image_Generator_API/imagenes/T_TAHARI_124009699_BLK_3.jpg")</f>
        <v/>
      </c>
      <c r="O4183">
        <f>HYPERLINK("imagenes/T_TAHARI_124009699_BLK_1.jpg","Ver imagen")</f>
        <v/>
      </c>
      <c r="P4183">
        <f>HYPERLINK("imagenes/T_TAHARI_124009699_BLK_2.jpg","Ver imagen")</f>
        <v/>
      </c>
      <c r="Q4183">
        <f>HYPERLINK("imagenes/T_TAHARI_124009699_BLK_3.jpg","Ver imagen")</f>
        <v/>
      </c>
    </row>
    <row r="4184">
      <c r="A4184" t="inlineStr">
        <is>
          <t>T TAHARI</t>
        </is>
      </c>
      <c r="B4184" t="inlineStr">
        <is>
          <t>124009699</t>
        </is>
      </c>
      <c r="C4184" t="inlineStr">
        <is>
          <t>JUNE</t>
        </is>
      </c>
      <c r="D4184" t="inlineStr">
        <is>
          <t>BLK</t>
        </is>
      </c>
      <c r="E4184" t="inlineStr">
        <is>
          <t>(en blanco)</t>
        </is>
      </c>
      <c r="F4184" t="inlineStr">
        <is>
          <t>(en blanco)</t>
        </is>
      </c>
      <c r="G4184" t="inlineStr">
        <is>
          <t>XL</t>
        </is>
      </c>
      <c r="H4184" t="n">
        <v>476</v>
      </c>
      <c r="I4184" t="inlineStr">
        <is>
          <t>T_TAHARI_124009699_BLK_1.jpg</t>
        </is>
      </c>
      <c r="J4184" t="inlineStr">
        <is>
          <t>T_TAHARI_124009699_BLK_2.jpg</t>
        </is>
      </c>
      <c r="K4184" t="inlineStr">
        <is>
          <t>T_TAHARI_124009699_BLK_3.jpg</t>
        </is>
      </c>
      <c r="L4184">
        <f>IMAGE("file:///E:/Estudios%20y%20certificaciones/ESTUDIOS%20DE%20PROGRAMMING/PROGRAMMING/PERSONAL/PYTHON/Image_Generator_API/imagenes/T_TAHARI_124009699_BLK_1.jpg")</f>
        <v/>
      </c>
      <c r="M4184">
        <f>IMAGE("file:///E:/Estudios%20y%20certificaciones/ESTUDIOS%20DE%20PROGRAMMING/PROGRAMMING/PERSONAL/PYTHON/Image_Generator_API/imagenes/T_TAHARI_124009699_BLK_2.jpg")</f>
        <v/>
      </c>
      <c r="N4184">
        <f>IMAGE("file:///E:/Estudios%20y%20certificaciones/ESTUDIOS%20DE%20PROGRAMMING/PROGRAMMING/PERSONAL/PYTHON/Image_Generator_API/imagenes/T_TAHARI_124009699_BLK_3.jpg")</f>
        <v/>
      </c>
      <c r="O4184">
        <f>HYPERLINK("imagenes/T_TAHARI_124009699_BLK_1.jpg","Ver imagen")</f>
        <v/>
      </c>
      <c r="P4184">
        <f>HYPERLINK("imagenes/T_TAHARI_124009699_BLK_2.jpg","Ver imagen")</f>
        <v/>
      </c>
      <c r="Q4184">
        <f>HYPERLINK("imagenes/T_TAHARI_124009699_BLK_3.jpg","Ver imagen")</f>
        <v/>
      </c>
    </row>
    <row r="4185">
      <c r="A4185" t="inlineStr">
        <is>
          <t>T TAHARI</t>
        </is>
      </c>
      <c r="B4185" t="inlineStr">
        <is>
          <t>124009699</t>
        </is>
      </c>
      <c r="C4185" t="inlineStr">
        <is>
          <t>JUNE</t>
        </is>
      </c>
      <c r="D4185" t="inlineStr">
        <is>
          <t>IVY</t>
        </is>
      </c>
      <c r="E4185" t="inlineStr">
        <is>
          <t>(en blanco)</t>
        </is>
      </c>
      <c r="F4185" t="inlineStr">
        <is>
          <t>D2C</t>
        </is>
      </c>
      <c r="G4185" t="inlineStr">
        <is>
          <t>XS</t>
        </is>
      </c>
      <c r="H4185" t="n">
        <v>9</v>
      </c>
      <c r="I4185" t="inlineStr">
        <is>
          <t>T_TAHARI_124009699_IVY_1.jpg</t>
        </is>
      </c>
      <c r="J4185" t="inlineStr">
        <is>
          <t>T_TAHARI_124009699_IVY_2.jpg</t>
        </is>
      </c>
      <c r="K4185" t="inlineStr">
        <is>
          <t>T_TAHARI_124009699_IVY_3.jpg</t>
        </is>
      </c>
      <c r="L4185">
        <f>IMAGE("file:///E:/Estudios%20y%20certificaciones/ESTUDIOS%20DE%20PROGRAMMING/PROGRAMMING/PERSONAL/PYTHON/Image_Generator_API/imagenes/T_TAHARI_124009699_IVY_1.jpg")</f>
        <v/>
      </c>
      <c r="M4185">
        <f>IMAGE("file:///E:/Estudios%20y%20certificaciones/ESTUDIOS%20DE%20PROGRAMMING/PROGRAMMING/PERSONAL/PYTHON/Image_Generator_API/imagenes/T_TAHARI_124009699_IVY_2.jpg")</f>
        <v/>
      </c>
      <c r="N4185">
        <f>IMAGE("file:///E:/Estudios%20y%20certificaciones/ESTUDIOS%20DE%20PROGRAMMING/PROGRAMMING/PERSONAL/PYTHON/Image_Generator_API/imagenes/T_TAHARI_124009699_IVY_3.jpg")</f>
        <v/>
      </c>
      <c r="O4185">
        <f>HYPERLINK("imagenes/T_TAHARI_124009699_IVY_1.jpg","Ver imagen")</f>
        <v/>
      </c>
      <c r="P4185">
        <f>HYPERLINK("imagenes/T_TAHARI_124009699_IVY_2.jpg","Ver imagen")</f>
        <v/>
      </c>
      <c r="Q4185">
        <f>HYPERLINK("imagenes/T_TAHARI_124009699_IVY_3.jpg","Ver imagen")</f>
        <v/>
      </c>
    </row>
    <row r="4186">
      <c r="A4186" t="inlineStr">
        <is>
          <t>T TAHARI</t>
        </is>
      </c>
      <c r="B4186" t="inlineStr">
        <is>
          <t>124009699</t>
        </is>
      </c>
      <c r="C4186" t="inlineStr">
        <is>
          <t>JUNE</t>
        </is>
      </c>
      <c r="D4186" t="inlineStr">
        <is>
          <t>IVY</t>
        </is>
      </c>
      <c r="E4186" t="inlineStr">
        <is>
          <t>(en blanco)</t>
        </is>
      </c>
      <c r="F4186" t="inlineStr">
        <is>
          <t>D2C</t>
        </is>
      </c>
      <c r="G4186" t="inlineStr">
        <is>
          <t>S</t>
        </is>
      </c>
      <c r="H4186" t="n">
        <v>20</v>
      </c>
      <c r="I4186" t="inlineStr">
        <is>
          <t>T_TAHARI_124009699_IVY_1.jpg</t>
        </is>
      </c>
      <c r="J4186" t="inlineStr">
        <is>
          <t>T_TAHARI_124009699_IVY_2.jpg</t>
        </is>
      </c>
      <c r="K4186" t="inlineStr">
        <is>
          <t>T_TAHARI_124009699_IVY_3.jpg</t>
        </is>
      </c>
      <c r="L4186">
        <f>IMAGE("file:///E:/Estudios%20y%20certificaciones/ESTUDIOS%20DE%20PROGRAMMING/PROGRAMMING/PERSONAL/PYTHON/Image_Generator_API/imagenes/T_TAHARI_124009699_IVY_1.jpg")</f>
        <v/>
      </c>
      <c r="M4186">
        <f>IMAGE("file:///E:/Estudios%20y%20certificaciones/ESTUDIOS%20DE%20PROGRAMMING/PROGRAMMING/PERSONAL/PYTHON/Image_Generator_API/imagenes/T_TAHARI_124009699_IVY_2.jpg")</f>
        <v/>
      </c>
      <c r="N4186">
        <f>IMAGE("file:///E:/Estudios%20y%20certificaciones/ESTUDIOS%20DE%20PROGRAMMING/PROGRAMMING/PERSONAL/PYTHON/Image_Generator_API/imagenes/T_TAHARI_124009699_IVY_3.jpg")</f>
        <v/>
      </c>
      <c r="O4186">
        <f>HYPERLINK("imagenes/T_TAHARI_124009699_IVY_1.jpg","Ver imagen")</f>
        <v/>
      </c>
      <c r="P4186">
        <f>HYPERLINK("imagenes/T_TAHARI_124009699_IVY_2.jpg","Ver imagen")</f>
        <v/>
      </c>
      <c r="Q4186">
        <f>HYPERLINK("imagenes/T_TAHARI_124009699_IVY_3.jpg","Ver imagen")</f>
        <v/>
      </c>
    </row>
    <row r="4187">
      <c r="A4187" t="inlineStr">
        <is>
          <t>T TAHARI</t>
        </is>
      </c>
      <c r="B4187" t="inlineStr">
        <is>
          <t>124009699</t>
        </is>
      </c>
      <c r="C4187" t="inlineStr">
        <is>
          <t>JUNE</t>
        </is>
      </c>
      <c r="D4187" t="inlineStr">
        <is>
          <t>IVY</t>
        </is>
      </c>
      <c r="E4187" t="inlineStr">
        <is>
          <t>(en blanco)</t>
        </is>
      </c>
      <c r="F4187" t="inlineStr">
        <is>
          <t>D2C</t>
        </is>
      </c>
      <c r="G4187" t="inlineStr">
        <is>
          <t>M</t>
        </is>
      </c>
      <c r="H4187" t="n">
        <v>20</v>
      </c>
      <c r="I4187" t="inlineStr">
        <is>
          <t>T_TAHARI_124009699_IVY_1.jpg</t>
        </is>
      </c>
      <c r="J4187" t="inlineStr">
        <is>
          <t>T_TAHARI_124009699_IVY_2.jpg</t>
        </is>
      </c>
      <c r="K4187" t="inlineStr">
        <is>
          <t>T_TAHARI_124009699_IVY_3.jpg</t>
        </is>
      </c>
      <c r="L4187">
        <f>IMAGE("file:///E:/Estudios%20y%20certificaciones/ESTUDIOS%20DE%20PROGRAMMING/PROGRAMMING/PERSONAL/PYTHON/Image_Generator_API/imagenes/T_TAHARI_124009699_IVY_1.jpg")</f>
        <v/>
      </c>
      <c r="M4187">
        <f>IMAGE("file:///E:/Estudios%20y%20certificaciones/ESTUDIOS%20DE%20PROGRAMMING/PROGRAMMING/PERSONAL/PYTHON/Image_Generator_API/imagenes/T_TAHARI_124009699_IVY_2.jpg")</f>
        <v/>
      </c>
      <c r="N4187">
        <f>IMAGE("file:///E:/Estudios%20y%20certificaciones/ESTUDIOS%20DE%20PROGRAMMING/PROGRAMMING/PERSONAL/PYTHON/Image_Generator_API/imagenes/T_TAHARI_124009699_IVY_3.jpg")</f>
        <v/>
      </c>
      <c r="O4187">
        <f>HYPERLINK("imagenes/T_TAHARI_124009699_IVY_1.jpg","Ver imagen")</f>
        <v/>
      </c>
      <c r="P4187">
        <f>HYPERLINK("imagenes/T_TAHARI_124009699_IVY_2.jpg","Ver imagen")</f>
        <v/>
      </c>
      <c r="Q4187">
        <f>HYPERLINK("imagenes/T_TAHARI_124009699_IVY_3.jpg","Ver imagen")</f>
        <v/>
      </c>
    </row>
    <row r="4188">
      <c r="A4188" t="inlineStr">
        <is>
          <t>T TAHARI</t>
        </is>
      </c>
      <c r="B4188" t="inlineStr">
        <is>
          <t>124009699</t>
        </is>
      </c>
      <c r="C4188" t="inlineStr">
        <is>
          <t>JUNE</t>
        </is>
      </c>
      <c r="D4188" t="inlineStr">
        <is>
          <t>IVY</t>
        </is>
      </c>
      <c r="E4188" t="inlineStr">
        <is>
          <t>(en blanco)</t>
        </is>
      </c>
      <c r="F4188" t="inlineStr">
        <is>
          <t>D2C</t>
        </is>
      </c>
      <c r="G4188" t="inlineStr">
        <is>
          <t>L</t>
        </is>
      </c>
      <c r="H4188" t="n">
        <v>19</v>
      </c>
      <c r="I4188" t="inlineStr">
        <is>
          <t>T_TAHARI_124009699_IVY_1.jpg</t>
        </is>
      </c>
      <c r="J4188" t="inlineStr">
        <is>
          <t>T_TAHARI_124009699_IVY_2.jpg</t>
        </is>
      </c>
      <c r="K4188" t="inlineStr">
        <is>
          <t>T_TAHARI_124009699_IVY_3.jpg</t>
        </is>
      </c>
      <c r="L4188">
        <f>IMAGE("file:///E:/Estudios%20y%20certificaciones/ESTUDIOS%20DE%20PROGRAMMING/PROGRAMMING/PERSONAL/PYTHON/Image_Generator_API/imagenes/T_TAHARI_124009699_IVY_1.jpg")</f>
        <v/>
      </c>
      <c r="M4188">
        <f>IMAGE("file:///E:/Estudios%20y%20certificaciones/ESTUDIOS%20DE%20PROGRAMMING/PROGRAMMING/PERSONAL/PYTHON/Image_Generator_API/imagenes/T_TAHARI_124009699_IVY_2.jpg")</f>
        <v/>
      </c>
      <c r="N4188">
        <f>IMAGE("file:///E:/Estudios%20y%20certificaciones/ESTUDIOS%20DE%20PROGRAMMING/PROGRAMMING/PERSONAL/PYTHON/Image_Generator_API/imagenes/T_TAHARI_124009699_IVY_3.jpg")</f>
        <v/>
      </c>
      <c r="O4188">
        <f>HYPERLINK("imagenes/T_TAHARI_124009699_IVY_1.jpg","Ver imagen")</f>
        <v/>
      </c>
      <c r="P4188">
        <f>HYPERLINK("imagenes/T_TAHARI_124009699_IVY_2.jpg","Ver imagen")</f>
        <v/>
      </c>
      <c r="Q4188">
        <f>HYPERLINK("imagenes/T_TAHARI_124009699_IVY_3.jpg","Ver imagen")</f>
        <v/>
      </c>
    </row>
    <row r="4189">
      <c r="A4189" t="inlineStr">
        <is>
          <t>T TAHARI</t>
        </is>
      </c>
      <c r="B4189" t="inlineStr">
        <is>
          <t>124009699</t>
        </is>
      </c>
      <c r="C4189" t="inlineStr">
        <is>
          <t>JUNE</t>
        </is>
      </c>
      <c r="D4189" t="inlineStr">
        <is>
          <t>IVY</t>
        </is>
      </c>
      <c r="E4189" t="inlineStr">
        <is>
          <t>(en blanco)</t>
        </is>
      </c>
      <c r="F4189" t="inlineStr">
        <is>
          <t>D2C</t>
        </is>
      </c>
      <c r="G4189" t="inlineStr">
        <is>
          <t>XL</t>
        </is>
      </c>
      <c r="H4189" t="n">
        <v>10</v>
      </c>
      <c r="I4189" t="inlineStr">
        <is>
          <t>T_TAHARI_124009699_IVY_1.jpg</t>
        </is>
      </c>
      <c r="J4189" t="inlineStr">
        <is>
          <t>T_TAHARI_124009699_IVY_2.jpg</t>
        </is>
      </c>
      <c r="K4189" t="inlineStr">
        <is>
          <t>T_TAHARI_124009699_IVY_3.jpg</t>
        </is>
      </c>
      <c r="L4189">
        <f>IMAGE("file:///E:/Estudios%20y%20certificaciones/ESTUDIOS%20DE%20PROGRAMMING/PROGRAMMING/PERSONAL/PYTHON/Image_Generator_API/imagenes/T_TAHARI_124009699_IVY_1.jpg")</f>
        <v/>
      </c>
      <c r="M4189">
        <f>IMAGE("file:///E:/Estudios%20y%20certificaciones/ESTUDIOS%20DE%20PROGRAMMING/PROGRAMMING/PERSONAL/PYTHON/Image_Generator_API/imagenes/T_TAHARI_124009699_IVY_2.jpg")</f>
        <v/>
      </c>
      <c r="N4189">
        <f>IMAGE("file:///E:/Estudios%20y%20certificaciones/ESTUDIOS%20DE%20PROGRAMMING/PROGRAMMING/PERSONAL/PYTHON/Image_Generator_API/imagenes/T_TAHARI_124009699_IVY_3.jpg")</f>
        <v/>
      </c>
      <c r="O4189">
        <f>HYPERLINK("imagenes/T_TAHARI_124009699_IVY_1.jpg","Ver imagen")</f>
        <v/>
      </c>
      <c r="P4189">
        <f>HYPERLINK("imagenes/T_TAHARI_124009699_IVY_2.jpg","Ver imagen")</f>
        <v/>
      </c>
      <c r="Q4189">
        <f>HYPERLINK("imagenes/T_TAHARI_124009699_IVY_3.jpg","Ver imagen")</f>
        <v/>
      </c>
    </row>
    <row r="4190">
      <c r="A4190" t="inlineStr">
        <is>
          <t>T TAHARI</t>
        </is>
      </c>
      <c r="B4190" t="inlineStr">
        <is>
          <t>124009699</t>
        </is>
      </c>
      <c r="C4190" t="inlineStr">
        <is>
          <t>JUNE</t>
        </is>
      </c>
      <c r="D4190" t="inlineStr">
        <is>
          <t>IVY</t>
        </is>
      </c>
      <c r="E4190" t="inlineStr">
        <is>
          <t>(en blanco)</t>
        </is>
      </c>
      <c r="F4190" t="inlineStr">
        <is>
          <t>(en blanco)</t>
        </is>
      </c>
      <c r="G4190" t="inlineStr">
        <is>
          <t>XS</t>
        </is>
      </c>
      <c r="H4190" t="n">
        <v>118</v>
      </c>
      <c r="I4190" t="inlineStr">
        <is>
          <t>T_TAHARI_124009699_IVY_1.jpg</t>
        </is>
      </c>
      <c r="J4190" t="inlineStr">
        <is>
          <t>T_TAHARI_124009699_IVY_2.jpg</t>
        </is>
      </c>
      <c r="K4190" t="inlineStr">
        <is>
          <t>T_TAHARI_124009699_IVY_3.jpg</t>
        </is>
      </c>
      <c r="L4190">
        <f>IMAGE("file:///E:/Estudios%20y%20certificaciones/ESTUDIOS%20DE%20PROGRAMMING/PROGRAMMING/PERSONAL/PYTHON/Image_Generator_API/imagenes/T_TAHARI_124009699_IVY_1.jpg")</f>
        <v/>
      </c>
      <c r="M4190">
        <f>IMAGE("file:///E:/Estudios%20y%20certificaciones/ESTUDIOS%20DE%20PROGRAMMING/PROGRAMMING/PERSONAL/PYTHON/Image_Generator_API/imagenes/T_TAHARI_124009699_IVY_2.jpg")</f>
        <v/>
      </c>
      <c r="N4190">
        <f>IMAGE("file:///E:/Estudios%20y%20certificaciones/ESTUDIOS%20DE%20PROGRAMMING/PROGRAMMING/PERSONAL/PYTHON/Image_Generator_API/imagenes/T_TAHARI_124009699_IVY_3.jpg")</f>
        <v/>
      </c>
      <c r="O4190">
        <f>HYPERLINK("imagenes/T_TAHARI_124009699_IVY_1.jpg","Ver imagen")</f>
        <v/>
      </c>
      <c r="P4190">
        <f>HYPERLINK("imagenes/T_TAHARI_124009699_IVY_2.jpg","Ver imagen")</f>
        <v/>
      </c>
      <c r="Q4190">
        <f>HYPERLINK("imagenes/T_TAHARI_124009699_IVY_3.jpg","Ver imagen")</f>
        <v/>
      </c>
    </row>
    <row r="4191">
      <c r="A4191" t="inlineStr">
        <is>
          <t>T TAHARI</t>
        </is>
      </c>
      <c r="B4191" t="inlineStr">
        <is>
          <t>124009699</t>
        </is>
      </c>
      <c r="C4191" t="inlineStr">
        <is>
          <t>JUNE</t>
        </is>
      </c>
      <c r="D4191" t="inlineStr">
        <is>
          <t>IVY</t>
        </is>
      </c>
      <c r="E4191" t="inlineStr">
        <is>
          <t>(en blanco)</t>
        </is>
      </c>
      <c r="F4191" t="inlineStr">
        <is>
          <t>(en blanco)</t>
        </is>
      </c>
      <c r="G4191" t="inlineStr">
        <is>
          <t>S</t>
        </is>
      </c>
      <c r="H4191" t="n">
        <v>216</v>
      </c>
      <c r="I4191" t="inlineStr">
        <is>
          <t>T_TAHARI_124009699_IVY_1.jpg</t>
        </is>
      </c>
      <c r="J4191" t="inlineStr">
        <is>
          <t>T_TAHARI_124009699_IVY_2.jpg</t>
        </is>
      </c>
      <c r="K4191" t="inlineStr">
        <is>
          <t>T_TAHARI_124009699_IVY_3.jpg</t>
        </is>
      </c>
      <c r="L4191">
        <f>IMAGE("file:///E:/Estudios%20y%20certificaciones/ESTUDIOS%20DE%20PROGRAMMING/PROGRAMMING/PERSONAL/PYTHON/Image_Generator_API/imagenes/T_TAHARI_124009699_IVY_1.jpg")</f>
        <v/>
      </c>
      <c r="M4191">
        <f>IMAGE("file:///E:/Estudios%20y%20certificaciones/ESTUDIOS%20DE%20PROGRAMMING/PROGRAMMING/PERSONAL/PYTHON/Image_Generator_API/imagenes/T_TAHARI_124009699_IVY_2.jpg")</f>
        <v/>
      </c>
      <c r="N4191">
        <f>IMAGE("file:///E:/Estudios%20y%20certificaciones/ESTUDIOS%20DE%20PROGRAMMING/PROGRAMMING/PERSONAL/PYTHON/Image_Generator_API/imagenes/T_TAHARI_124009699_IVY_3.jpg")</f>
        <v/>
      </c>
      <c r="O4191">
        <f>HYPERLINK("imagenes/T_TAHARI_124009699_IVY_1.jpg","Ver imagen")</f>
        <v/>
      </c>
      <c r="P4191">
        <f>HYPERLINK("imagenes/T_TAHARI_124009699_IVY_2.jpg","Ver imagen")</f>
        <v/>
      </c>
      <c r="Q4191">
        <f>HYPERLINK("imagenes/T_TAHARI_124009699_IVY_3.jpg","Ver imagen")</f>
        <v/>
      </c>
    </row>
    <row r="4192">
      <c r="A4192" t="inlineStr">
        <is>
          <t>T TAHARI</t>
        </is>
      </c>
      <c r="B4192" t="inlineStr">
        <is>
          <t>124009699</t>
        </is>
      </c>
      <c r="C4192" t="inlineStr">
        <is>
          <t>JUNE</t>
        </is>
      </c>
      <c r="D4192" t="inlineStr">
        <is>
          <t>IVY</t>
        </is>
      </c>
      <c r="E4192" t="inlineStr">
        <is>
          <t>(en blanco)</t>
        </is>
      </c>
      <c r="F4192" t="inlineStr">
        <is>
          <t>(en blanco)</t>
        </is>
      </c>
      <c r="G4192" t="inlineStr">
        <is>
          <t>M</t>
        </is>
      </c>
      <c r="H4192" t="n">
        <v>196</v>
      </c>
      <c r="I4192" t="inlineStr">
        <is>
          <t>T_TAHARI_124009699_IVY_1.jpg</t>
        </is>
      </c>
      <c r="J4192" t="inlineStr">
        <is>
          <t>T_TAHARI_124009699_IVY_2.jpg</t>
        </is>
      </c>
      <c r="K4192" t="inlineStr">
        <is>
          <t>T_TAHARI_124009699_IVY_3.jpg</t>
        </is>
      </c>
      <c r="L4192">
        <f>IMAGE("file:///E:/Estudios%20y%20certificaciones/ESTUDIOS%20DE%20PROGRAMMING/PROGRAMMING/PERSONAL/PYTHON/Image_Generator_API/imagenes/T_TAHARI_124009699_IVY_1.jpg")</f>
        <v/>
      </c>
      <c r="M4192">
        <f>IMAGE("file:///E:/Estudios%20y%20certificaciones/ESTUDIOS%20DE%20PROGRAMMING/PROGRAMMING/PERSONAL/PYTHON/Image_Generator_API/imagenes/T_TAHARI_124009699_IVY_2.jpg")</f>
        <v/>
      </c>
      <c r="N4192">
        <f>IMAGE("file:///E:/Estudios%20y%20certificaciones/ESTUDIOS%20DE%20PROGRAMMING/PROGRAMMING/PERSONAL/PYTHON/Image_Generator_API/imagenes/T_TAHARI_124009699_IVY_3.jpg")</f>
        <v/>
      </c>
      <c r="O4192">
        <f>HYPERLINK("imagenes/T_TAHARI_124009699_IVY_1.jpg","Ver imagen")</f>
        <v/>
      </c>
      <c r="P4192">
        <f>HYPERLINK("imagenes/T_TAHARI_124009699_IVY_2.jpg","Ver imagen")</f>
        <v/>
      </c>
      <c r="Q4192">
        <f>HYPERLINK("imagenes/T_TAHARI_124009699_IVY_3.jpg","Ver imagen")</f>
        <v/>
      </c>
    </row>
    <row r="4193">
      <c r="A4193" t="inlineStr">
        <is>
          <t>T TAHARI</t>
        </is>
      </c>
      <c r="B4193" t="inlineStr">
        <is>
          <t>124009699</t>
        </is>
      </c>
      <c r="C4193" t="inlineStr">
        <is>
          <t>JUNE</t>
        </is>
      </c>
      <c r="D4193" t="inlineStr">
        <is>
          <t>IVY</t>
        </is>
      </c>
      <c r="E4193" t="inlineStr">
        <is>
          <t>(en blanco)</t>
        </is>
      </c>
      <c r="F4193" t="inlineStr">
        <is>
          <t>(en blanco)</t>
        </is>
      </c>
      <c r="G4193" t="inlineStr">
        <is>
          <t>L</t>
        </is>
      </c>
      <c r="H4193" t="n">
        <v>203</v>
      </c>
      <c r="I4193" t="inlineStr">
        <is>
          <t>T_TAHARI_124009699_IVY_1.jpg</t>
        </is>
      </c>
      <c r="J4193" t="inlineStr">
        <is>
          <t>T_TAHARI_124009699_IVY_2.jpg</t>
        </is>
      </c>
      <c r="K4193" t="inlineStr">
        <is>
          <t>T_TAHARI_124009699_IVY_3.jpg</t>
        </is>
      </c>
      <c r="L4193">
        <f>IMAGE("file:///E:/Estudios%20y%20certificaciones/ESTUDIOS%20DE%20PROGRAMMING/PROGRAMMING/PERSONAL/PYTHON/Image_Generator_API/imagenes/T_TAHARI_124009699_IVY_1.jpg")</f>
        <v/>
      </c>
      <c r="M4193">
        <f>IMAGE("file:///E:/Estudios%20y%20certificaciones/ESTUDIOS%20DE%20PROGRAMMING/PROGRAMMING/PERSONAL/PYTHON/Image_Generator_API/imagenes/T_TAHARI_124009699_IVY_2.jpg")</f>
        <v/>
      </c>
      <c r="N4193">
        <f>IMAGE("file:///E:/Estudios%20y%20certificaciones/ESTUDIOS%20DE%20PROGRAMMING/PROGRAMMING/PERSONAL/PYTHON/Image_Generator_API/imagenes/T_TAHARI_124009699_IVY_3.jpg")</f>
        <v/>
      </c>
      <c r="O4193">
        <f>HYPERLINK("imagenes/T_TAHARI_124009699_IVY_1.jpg","Ver imagen")</f>
        <v/>
      </c>
      <c r="P4193">
        <f>HYPERLINK("imagenes/T_TAHARI_124009699_IVY_2.jpg","Ver imagen")</f>
        <v/>
      </c>
      <c r="Q4193">
        <f>HYPERLINK("imagenes/T_TAHARI_124009699_IVY_3.jpg","Ver imagen")</f>
        <v/>
      </c>
    </row>
    <row r="4194">
      <c r="A4194" t="inlineStr">
        <is>
          <t>T TAHARI</t>
        </is>
      </c>
      <c r="B4194" t="inlineStr">
        <is>
          <t>124009699</t>
        </is>
      </c>
      <c r="C4194" t="inlineStr">
        <is>
          <t>JUNE</t>
        </is>
      </c>
      <c r="D4194" t="inlineStr">
        <is>
          <t>IVY</t>
        </is>
      </c>
      <c r="E4194" t="inlineStr">
        <is>
          <t>(en blanco)</t>
        </is>
      </c>
      <c r="F4194" t="inlineStr">
        <is>
          <t>(en blanco)</t>
        </is>
      </c>
      <c r="G4194" t="inlineStr">
        <is>
          <t>XL</t>
        </is>
      </c>
      <c r="H4194" t="n">
        <v>91</v>
      </c>
      <c r="I4194" t="inlineStr">
        <is>
          <t>T_TAHARI_124009699_IVY_1.jpg</t>
        </is>
      </c>
      <c r="J4194" t="inlineStr">
        <is>
          <t>T_TAHARI_124009699_IVY_2.jpg</t>
        </is>
      </c>
      <c r="K4194" t="inlineStr">
        <is>
          <t>T_TAHARI_124009699_IVY_3.jpg</t>
        </is>
      </c>
      <c r="L4194">
        <f>IMAGE("file:///E:/Estudios%20y%20certificaciones/ESTUDIOS%20DE%20PROGRAMMING/PROGRAMMING/PERSONAL/PYTHON/Image_Generator_API/imagenes/T_TAHARI_124009699_IVY_1.jpg")</f>
        <v/>
      </c>
      <c r="M4194">
        <f>IMAGE("file:///E:/Estudios%20y%20certificaciones/ESTUDIOS%20DE%20PROGRAMMING/PROGRAMMING/PERSONAL/PYTHON/Image_Generator_API/imagenes/T_TAHARI_124009699_IVY_2.jpg")</f>
        <v/>
      </c>
      <c r="N4194">
        <f>IMAGE("file:///E:/Estudios%20y%20certificaciones/ESTUDIOS%20DE%20PROGRAMMING/PROGRAMMING/PERSONAL/PYTHON/Image_Generator_API/imagenes/T_TAHARI_124009699_IVY_3.jpg")</f>
        <v/>
      </c>
      <c r="O4194">
        <f>HYPERLINK("imagenes/T_TAHARI_124009699_IVY_1.jpg","Ver imagen")</f>
        <v/>
      </c>
      <c r="P4194">
        <f>HYPERLINK("imagenes/T_TAHARI_124009699_IVY_2.jpg","Ver imagen")</f>
        <v/>
      </c>
      <c r="Q4194">
        <f>HYPERLINK("imagenes/T_TAHARI_124009699_IVY_3.jpg","Ver imagen")</f>
        <v/>
      </c>
    </row>
    <row r="4195">
      <c r="A4195" t="inlineStr">
        <is>
          <t>T TAHARI</t>
        </is>
      </c>
      <c r="B4195" t="inlineStr">
        <is>
          <t>124009699</t>
        </is>
      </c>
      <c r="C4195" t="inlineStr">
        <is>
          <t>JUNE</t>
        </is>
      </c>
      <c r="D4195" t="inlineStr">
        <is>
          <t>MOT</t>
        </is>
      </c>
      <c r="E4195" t="inlineStr">
        <is>
          <t>(en blanco)</t>
        </is>
      </c>
      <c r="F4195" t="inlineStr">
        <is>
          <t>D2C</t>
        </is>
      </c>
      <c r="G4195" t="inlineStr">
        <is>
          <t>XS</t>
        </is>
      </c>
      <c r="H4195" t="n">
        <v>10</v>
      </c>
      <c r="I4195" t="inlineStr">
        <is>
          <t>T_TAHARI_124009699_MOT_1.jpg</t>
        </is>
      </c>
      <c r="J4195" t="inlineStr">
        <is>
          <t>T_TAHARI_124009699_MOT_2.jpg</t>
        </is>
      </c>
      <c r="K4195" t="inlineStr">
        <is>
          <t>T_TAHARI_124009699_MOT_3.jpg</t>
        </is>
      </c>
      <c r="L4195">
        <f>IMAGE("file:///E:/Estudios%20y%20certificaciones/ESTUDIOS%20DE%20PROGRAMMING/PROGRAMMING/PERSONAL/PYTHON/Image_Generator_API/imagenes/T_TAHARI_124009699_MOT_1.jpg")</f>
        <v/>
      </c>
      <c r="M4195">
        <f>IMAGE("file:///E:/Estudios%20y%20certificaciones/ESTUDIOS%20DE%20PROGRAMMING/PROGRAMMING/PERSONAL/PYTHON/Image_Generator_API/imagenes/T_TAHARI_124009699_MOT_2.jpg")</f>
        <v/>
      </c>
      <c r="N4195">
        <f>IMAGE("file:///E:/Estudios%20y%20certificaciones/ESTUDIOS%20DE%20PROGRAMMING/PROGRAMMING/PERSONAL/PYTHON/Image_Generator_API/imagenes/T_TAHARI_124009699_MOT_3.jpg")</f>
        <v/>
      </c>
      <c r="O4195">
        <f>HYPERLINK("imagenes/T_TAHARI_124009699_MOT_1.jpg","Ver imagen")</f>
        <v/>
      </c>
      <c r="P4195">
        <f>HYPERLINK("imagenes/T_TAHARI_124009699_MOT_2.jpg","Ver imagen")</f>
        <v/>
      </c>
      <c r="Q4195">
        <f>HYPERLINK("imagenes/T_TAHARI_124009699_MOT_3.jpg","Ver imagen")</f>
        <v/>
      </c>
    </row>
    <row r="4196">
      <c r="A4196" t="inlineStr">
        <is>
          <t>T TAHARI</t>
        </is>
      </c>
      <c r="B4196" t="inlineStr">
        <is>
          <t>124009699</t>
        </is>
      </c>
      <c r="C4196" t="inlineStr">
        <is>
          <t>JUNE</t>
        </is>
      </c>
      <c r="D4196" t="inlineStr">
        <is>
          <t>MOT</t>
        </is>
      </c>
      <c r="E4196" t="inlineStr">
        <is>
          <t>(en blanco)</t>
        </is>
      </c>
      <c r="F4196" t="inlineStr">
        <is>
          <t>D2C</t>
        </is>
      </c>
      <c r="G4196" t="inlineStr">
        <is>
          <t>S</t>
        </is>
      </c>
      <c r="H4196" t="n">
        <v>19</v>
      </c>
      <c r="I4196" t="inlineStr">
        <is>
          <t>T_TAHARI_124009699_MOT_1.jpg</t>
        </is>
      </c>
      <c r="J4196" t="inlineStr">
        <is>
          <t>T_TAHARI_124009699_MOT_2.jpg</t>
        </is>
      </c>
      <c r="K4196" t="inlineStr">
        <is>
          <t>T_TAHARI_124009699_MOT_3.jpg</t>
        </is>
      </c>
      <c r="L4196">
        <f>IMAGE("file:///E:/Estudios%20y%20certificaciones/ESTUDIOS%20DE%20PROGRAMMING/PROGRAMMING/PERSONAL/PYTHON/Image_Generator_API/imagenes/T_TAHARI_124009699_MOT_1.jpg")</f>
        <v/>
      </c>
      <c r="M4196">
        <f>IMAGE("file:///E:/Estudios%20y%20certificaciones/ESTUDIOS%20DE%20PROGRAMMING/PROGRAMMING/PERSONAL/PYTHON/Image_Generator_API/imagenes/T_TAHARI_124009699_MOT_2.jpg")</f>
        <v/>
      </c>
      <c r="N4196">
        <f>IMAGE("file:///E:/Estudios%20y%20certificaciones/ESTUDIOS%20DE%20PROGRAMMING/PROGRAMMING/PERSONAL/PYTHON/Image_Generator_API/imagenes/T_TAHARI_124009699_MOT_3.jpg")</f>
        <v/>
      </c>
      <c r="O4196">
        <f>HYPERLINK("imagenes/T_TAHARI_124009699_MOT_1.jpg","Ver imagen")</f>
        <v/>
      </c>
      <c r="P4196">
        <f>HYPERLINK("imagenes/T_TAHARI_124009699_MOT_2.jpg","Ver imagen")</f>
        <v/>
      </c>
      <c r="Q4196">
        <f>HYPERLINK("imagenes/T_TAHARI_124009699_MOT_3.jpg","Ver imagen")</f>
        <v/>
      </c>
    </row>
    <row r="4197">
      <c r="A4197" t="inlineStr">
        <is>
          <t>T TAHARI</t>
        </is>
      </c>
      <c r="B4197" t="inlineStr">
        <is>
          <t>124009699</t>
        </is>
      </c>
      <c r="C4197" t="inlineStr">
        <is>
          <t>JUNE</t>
        </is>
      </c>
      <c r="D4197" t="inlineStr">
        <is>
          <t>MOT</t>
        </is>
      </c>
      <c r="E4197" t="inlineStr">
        <is>
          <t>(en blanco)</t>
        </is>
      </c>
      <c r="F4197" t="inlineStr">
        <is>
          <t>D2C</t>
        </is>
      </c>
      <c r="G4197" t="inlineStr">
        <is>
          <t>M</t>
        </is>
      </c>
      <c r="H4197" t="n">
        <v>19</v>
      </c>
      <c r="I4197" t="inlineStr">
        <is>
          <t>T_TAHARI_124009699_MOT_1.jpg</t>
        </is>
      </c>
      <c r="J4197" t="inlineStr">
        <is>
          <t>T_TAHARI_124009699_MOT_2.jpg</t>
        </is>
      </c>
      <c r="K4197" t="inlineStr">
        <is>
          <t>T_TAHARI_124009699_MOT_3.jpg</t>
        </is>
      </c>
      <c r="L4197">
        <f>IMAGE("file:///E:/Estudios%20y%20certificaciones/ESTUDIOS%20DE%20PROGRAMMING/PROGRAMMING/PERSONAL/PYTHON/Image_Generator_API/imagenes/T_TAHARI_124009699_MOT_1.jpg")</f>
        <v/>
      </c>
      <c r="M4197">
        <f>IMAGE("file:///E:/Estudios%20y%20certificaciones/ESTUDIOS%20DE%20PROGRAMMING/PROGRAMMING/PERSONAL/PYTHON/Image_Generator_API/imagenes/T_TAHARI_124009699_MOT_2.jpg")</f>
        <v/>
      </c>
      <c r="N4197">
        <f>IMAGE("file:///E:/Estudios%20y%20certificaciones/ESTUDIOS%20DE%20PROGRAMMING/PROGRAMMING/PERSONAL/PYTHON/Image_Generator_API/imagenes/T_TAHARI_124009699_MOT_3.jpg")</f>
        <v/>
      </c>
      <c r="O4197">
        <f>HYPERLINK("imagenes/T_TAHARI_124009699_MOT_1.jpg","Ver imagen")</f>
        <v/>
      </c>
      <c r="P4197">
        <f>HYPERLINK("imagenes/T_TAHARI_124009699_MOT_2.jpg","Ver imagen")</f>
        <v/>
      </c>
      <c r="Q4197">
        <f>HYPERLINK("imagenes/T_TAHARI_124009699_MOT_3.jpg","Ver imagen")</f>
        <v/>
      </c>
    </row>
    <row r="4198">
      <c r="A4198" t="inlineStr">
        <is>
          <t>T TAHARI</t>
        </is>
      </c>
      <c r="B4198" t="inlineStr">
        <is>
          <t>124009699</t>
        </is>
      </c>
      <c r="C4198" t="inlineStr">
        <is>
          <t>JUNE</t>
        </is>
      </c>
      <c r="D4198" t="inlineStr">
        <is>
          <t>MOT</t>
        </is>
      </c>
      <c r="E4198" t="inlineStr">
        <is>
          <t>(en blanco)</t>
        </is>
      </c>
      <c r="F4198" t="inlineStr">
        <is>
          <t>D2C</t>
        </is>
      </c>
      <c r="G4198" t="inlineStr">
        <is>
          <t>L</t>
        </is>
      </c>
      <c r="H4198" t="n">
        <v>20</v>
      </c>
      <c r="I4198" t="inlineStr">
        <is>
          <t>T_TAHARI_124009699_MOT_1.jpg</t>
        </is>
      </c>
      <c r="J4198" t="inlineStr">
        <is>
          <t>T_TAHARI_124009699_MOT_2.jpg</t>
        </is>
      </c>
      <c r="K4198" t="inlineStr">
        <is>
          <t>T_TAHARI_124009699_MOT_3.jpg</t>
        </is>
      </c>
      <c r="L4198">
        <f>IMAGE("file:///E:/Estudios%20y%20certificaciones/ESTUDIOS%20DE%20PROGRAMMING/PROGRAMMING/PERSONAL/PYTHON/Image_Generator_API/imagenes/T_TAHARI_124009699_MOT_1.jpg")</f>
        <v/>
      </c>
      <c r="M4198">
        <f>IMAGE("file:///E:/Estudios%20y%20certificaciones/ESTUDIOS%20DE%20PROGRAMMING/PROGRAMMING/PERSONAL/PYTHON/Image_Generator_API/imagenes/T_TAHARI_124009699_MOT_2.jpg")</f>
        <v/>
      </c>
      <c r="N4198">
        <f>IMAGE("file:///E:/Estudios%20y%20certificaciones/ESTUDIOS%20DE%20PROGRAMMING/PROGRAMMING/PERSONAL/PYTHON/Image_Generator_API/imagenes/T_TAHARI_124009699_MOT_3.jpg")</f>
        <v/>
      </c>
      <c r="O4198">
        <f>HYPERLINK("imagenes/T_TAHARI_124009699_MOT_1.jpg","Ver imagen")</f>
        <v/>
      </c>
      <c r="P4198">
        <f>HYPERLINK("imagenes/T_TAHARI_124009699_MOT_2.jpg","Ver imagen")</f>
        <v/>
      </c>
      <c r="Q4198">
        <f>HYPERLINK("imagenes/T_TAHARI_124009699_MOT_3.jpg","Ver imagen")</f>
        <v/>
      </c>
    </row>
    <row r="4199">
      <c r="A4199" t="inlineStr">
        <is>
          <t>T TAHARI</t>
        </is>
      </c>
      <c r="B4199" t="inlineStr">
        <is>
          <t>124009699</t>
        </is>
      </c>
      <c r="C4199" t="inlineStr">
        <is>
          <t>JUNE</t>
        </is>
      </c>
      <c r="D4199" t="inlineStr">
        <is>
          <t>MOT</t>
        </is>
      </c>
      <c r="E4199" t="inlineStr">
        <is>
          <t>(en blanco)</t>
        </is>
      </c>
      <c r="F4199" t="inlineStr">
        <is>
          <t>D2C</t>
        </is>
      </c>
      <c r="G4199" t="inlineStr">
        <is>
          <t>XL</t>
        </is>
      </c>
      <c r="H4199" t="n">
        <v>10</v>
      </c>
      <c r="I4199" t="inlineStr">
        <is>
          <t>T_TAHARI_124009699_MOT_1.jpg</t>
        </is>
      </c>
      <c r="J4199" t="inlineStr">
        <is>
          <t>T_TAHARI_124009699_MOT_2.jpg</t>
        </is>
      </c>
      <c r="K4199" t="inlineStr">
        <is>
          <t>T_TAHARI_124009699_MOT_3.jpg</t>
        </is>
      </c>
      <c r="L4199">
        <f>IMAGE("file:///E:/Estudios%20y%20certificaciones/ESTUDIOS%20DE%20PROGRAMMING/PROGRAMMING/PERSONAL/PYTHON/Image_Generator_API/imagenes/T_TAHARI_124009699_MOT_1.jpg")</f>
        <v/>
      </c>
      <c r="M4199">
        <f>IMAGE("file:///E:/Estudios%20y%20certificaciones/ESTUDIOS%20DE%20PROGRAMMING/PROGRAMMING/PERSONAL/PYTHON/Image_Generator_API/imagenes/T_TAHARI_124009699_MOT_2.jpg")</f>
        <v/>
      </c>
      <c r="N4199">
        <f>IMAGE("file:///E:/Estudios%20y%20certificaciones/ESTUDIOS%20DE%20PROGRAMMING/PROGRAMMING/PERSONAL/PYTHON/Image_Generator_API/imagenes/T_TAHARI_124009699_MOT_3.jpg")</f>
        <v/>
      </c>
      <c r="O4199">
        <f>HYPERLINK("imagenes/T_TAHARI_124009699_MOT_1.jpg","Ver imagen")</f>
        <v/>
      </c>
      <c r="P4199">
        <f>HYPERLINK("imagenes/T_TAHARI_124009699_MOT_2.jpg","Ver imagen")</f>
        <v/>
      </c>
      <c r="Q4199">
        <f>HYPERLINK("imagenes/T_TAHARI_124009699_MOT_3.jpg","Ver imagen")</f>
        <v/>
      </c>
    </row>
    <row r="4200">
      <c r="A4200" t="inlineStr">
        <is>
          <t>T TAHARI</t>
        </is>
      </c>
      <c r="B4200" t="inlineStr">
        <is>
          <t>124009699</t>
        </is>
      </c>
      <c r="C4200" t="inlineStr">
        <is>
          <t>JUNE</t>
        </is>
      </c>
      <c r="D4200" t="inlineStr">
        <is>
          <t>MOT</t>
        </is>
      </c>
      <c r="E4200" t="inlineStr">
        <is>
          <t>(en blanco)</t>
        </is>
      </c>
      <c r="F4200" t="inlineStr">
        <is>
          <t>(en blanco)</t>
        </is>
      </c>
      <c r="G4200" t="inlineStr">
        <is>
          <t>XS</t>
        </is>
      </c>
      <c r="H4200" t="n">
        <v>191</v>
      </c>
      <c r="I4200" t="inlineStr">
        <is>
          <t>T_TAHARI_124009699_MOT_1.jpg</t>
        </is>
      </c>
      <c r="J4200" t="inlineStr">
        <is>
          <t>T_TAHARI_124009699_MOT_2.jpg</t>
        </is>
      </c>
      <c r="K4200" t="inlineStr">
        <is>
          <t>T_TAHARI_124009699_MOT_3.jpg</t>
        </is>
      </c>
      <c r="L4200">
        <f>IMAGE("file:///E:/Estudios%20y%20certificaciones/ESTUDIOS%20DE%20PROGRAMMING/PROGRAMMING/PERSONAL/PYTHON/Image_Generator_API/imagenes/T_TAHARI_124009699_MOT_1.jpg")</f>
        <v/>
      </c>
      <c r="M4200">
        <f>IMAGE("file:///E:/Estudios%20y%20certificaciones/ESTUDIOS%20DE%20PROGRAMMING/PROGRAMMING/PERSONAL/PYTHON/Image_Generator_API/imagenes/T_TAHARI_124009699_MOT_2.jpg")</f>
        <v/>
      </c>
      <c r="N4200">
        <f>IMAGE("file:///E:/Estudios%20y%20certificaciones/ESTUDIOS%20DE%20PROGRAMMING/PROGRAMMING/PERSONAL/PYTHON/Image_Generator_API/imagenes/T_TAHARI_124009699_MOT_3.jpg")</f>
        <v/>
      </c>
      <c r="O4200">
        <f>HYPERLINK("imagenes/T_TAHARI_124009699_MOT_1.jpg","Ver imagen")</f>
        <v/>
      </c>
      <c r="P4200">
        <f>HYPERLINK("imagenes/T_TAHARI_124009699_MOT_2.jpg","Ver imagen")</f>
        <v/>
      </c>
      <c r="Q4200">
        <f>HYPERLINK("imagenes/T_TAHARI_124009699_MOT_3.jpg","Ver imagen")</f>
        <v/>
      </c>
    </row>
    <row r="4201">
      <c r="A4201" t="inlineStr">
        <is>
          <t>T TAHARI</t>
        </is>
      </c>
      <c r="B4201" t="inlineStr">
        <is>
          <t>124009699</t>
        </is>
      </c>
      <c r="C4201" t="inlineStr">
        <is>
          <t>JUNE</t>
        </is>
      </c>
      <c r="D4201" t="inlineStr">
        <is>
          <t>MOT</t>
        </is>
      </c>
      <c r="E4201" t="inlineStr">
        <is>
          <t>(en blanco)</t>
        </is>
      </c>
      <c r="F4201" t="inlineStr">
        <is>
          <t>(en blanco)</t>
        </is>
      </c>
      <c r="G4201" t="inlineStr">
        <is>
          <t>S</t>
        </is>
      </c>
      <c r="H4201" t="n">
        <v>440</v>
      </c>
      <c r="I4201" t="inlineStr">
        <is>
          <t>T_TAHARI_124009699_MOT_1.jpg</t>
        </is>
      </c>
      <c r="J4201" t="inlineStr">
        <is>
          <t>T_TAHARI_124009699_MOT_2.jpg</t>
        </is>
      </c>
      <c r="K4201" t="inlineStr">
        <is>
          <t>T_TAHARI_124009699_MOT_3.jpg</t>
        </is>
      </c>
      <c r="L4201">
        <f>IMAGE("file:///E:/Estudios%20y%20certificaciones/ESTUDIOS%20DE%20PROGRAMMING/PROGRAMMING/PERSONAL/PYTHON/Image_Generator_API/imagenes/T_TAHARI_124009699_MOT_1.jpg")</f>
        <v/>
      </c>
      <c r="M4201">
        <f>IMAGE("file:///E:/Estudios%20y%20certificaciones/ESTUDIOS%20DE%20PROGRAMMING/PROGRAMMING/PERSONAL/PYTHON/Image_Generator_API/imagenes/T_TAHARI_124009699_MOT_2.jpg")</f>
        <v/>
      </c>
      <c r="N4201">
        <f>IMAGE("file:///E:/Estudios%20y%20certificaciones/ESTUDIOS%20DE%20PROGRAMMING/PROGRAMMING/PERSONAL/PYTHON/Image_Generator_API/imagenes/T_TAHARI_124009699_MOT_3.jpg")</f>
        <v/>
      </c>
      <c r="O4201">
        <f>HYPERLINK("imagenes/T_TAHARI_124009699_MOT_1.jpg","Ver imagen")</f>
        <v/>
      </c>
      <c r="P4201">
        <f>HYPERLINK("imagenes/T_TAHARI_124009699_MOT_2.jpg","Ver imagen")</f>
        <v/>
      </c>
      <c r="Q4201">
        <f>HYPERLINK("imagenes/T_TAHARI_124009699_MOT_3.jpg","Ver imagen")</f>
        <v/>
      </c>
    </row>
    <row r="4202">
      <c r="A4202" t="inlineStr">
        <is>
          <t>T TAHARI</t>
        </is>
      </c>
      <c r="B4202" t="inlineStr">
        <is>
          <t>124009699</t>
        </is>
      </c>
      <c r="C4202" t="inlineStr">
        <is>
          <t>JUNE</t>
        </is>
      </c>
      <c r="D4202" t="inlineStr">
        <is>
          <t>MOT</t>
        </is>
      </c>
      <c r="E4202" t="inlineStr">
        <is>
          <t>(en blanco)</t>
        </is>
      </c>
      <c r="F4202" t="inlineStr">
        <is>
          <t>(en blanco)</t>
        </is>
      </c>
      <c r="G4202" t="inlineStr">
        <is>
          <t>M</t>
        </is>
      </c>
      <c r="H4202" t="n">
        <v>478</v>
      </c>
      <c r="I4202" t="inlineStr">
        <is>
          <t>T_TAHARI_124009699_MOT_1.jpg</t>
        </is>
      </c>
      <c r="J4202" t="inlineStr">
        <is>
          <t>T_TAHARI_124009699_MOT_2.jpg</t>
        </is>
      </c>
      <c r="K4202" t="inlineStr">
        <is>
          <t>T_TAHARI_124009699_MOT_3.jpg</t>
        </is>
      </c>
      <c r="L4202">
        <f>IMAGE("file:///E:/Estudios%20y%20certificaciones/ESTUDIOS%20DE%20PROGRAMMING/PROGRAMMING/PERSONAL/PYTHON/Image_Generator_API/imagenes/T_TAHARI_124009699_MOT_1.jpg")</f>
        <v/>
      </c>
      <c r="M4202">
        <f>IMAGE("file:///E:/Estudios%20y%20certificaciones/ESTUDIOS%20DE%20PROGRAMMING/PROGRAMMING/PERSONAL/PYTHON/Image_Generator_API/imagenes/T_TAHARI_124009699_MOT_2.jpg")</f>
        <v/>
      </c>
      <c r="N4202">
        <f>IMAGE("file:///E:/Estudios%20y%20certificaciones/ESTUDIOS%20DE%20PROGRAMMING/PROGRAMMING/PERSONAL/PYTHON/Image_Generator_API/imagenes/T_TAHARI_124009699_MOT_3.jpg")</f>
        <v/>
      </c>
      <c r="O4202">
        <f>HYPERLINK("imagenes/T_TAHARI_124009699_MOT_1.jpg","Ver imagen")</f>
        <v/>
      </c>
      <c r="P4202">
        <f>HYPERLINK("imagenes/T_TAHARI_124009699_MOT_2.jpg","Ver imagen")</f>
        <v/>
      </c>
      <c r="Q4202">
        <f>HYPERLINK("imagenes/T_TAHARI_124009699_MOT_3.jpg","Ver imagen")</f>
        <v/>
      </c>
    </row>
    <row r="4203">
      <c r="A4203" t="inlineStr">
        <is>
          <t>T TAHARI</t>
        </is>
      </c>
      <c r="B4203" t="inlineStr">
        <is>
          <t>124009699</t>
        </is>
      </c>
      <c r="C4203" t="inlineStr">
        <is>
          <t>JUNE</t>
        </is>
      </c>
      <c r="D4203" t="inlineStr">
        <is>
          <t>MOT</t>
        </is>
      </c>
      <c r="E4203" t="inlineStr">
        <is>
          <t>(en blanco)</t>
        </is>
      </c>
      <c r="F4203" t="inlineStr">
        <is>
          <t>(en blanco)</t>
        </is>
      </c>
      <c r="G4203" t="inlineStr">
        <is>
          <t>L</t>
        </is>
      </c>
      <c r="H4203" t="n">
        <v>421</v>
      </c>
      <c r="I4203" t="inlineStr">
        <is>
          <t>T_TAHARI_124009699_MOT_1.jpg</t>
        </is>
      </c>
      <c r="J4203" t="inlineStr">
        <is>
          <t>T_TAHARI_124009699_MOT_2.jpg</t>
        </is>
      </c>
      <c r="K4203" t="inlineStr">
        <is>
          <t>T_TAHARI_124009699_MOT_3.jpg</t>
        </is>
      </c>
      <c r="L4203">
        <f>IMAGE("file:///E:/Estudios%20y%20certificaciones/ESTUDIOS%20DE%20PROGRAMMING/PROGRAMMING/PERSONAL/PYTHON/Image_Generator_API/imagenes/T_TAHARI_124009699_MOT_1.jpg")</f>
        <v/>
      </c>
      <c r="M4203">
        <f>IMAGE("file:///E:/Estudios%20y%20certificaciones/ESTUDIOS%20DE%20PROGRAMMING/PROGRAMMING/PERSONAL/PYTHON/Image_Generator_API/imagenes/T_TAHARI_124009699_MOT_2.jpg")</f>
        <v/>
      </c>
      <c r="N4203">
        <f>IMAGE("file:///E:/Estudios%20y%20certificaciones/ESTUDIOS%20DE%20PROGRAMMING/PROGRAMMING/PERSONAL/PYTHON/Image_Generator_API/imagenes/T_TAHARI_124009699_MOT_3.jpg")</f>
        <v/>
      </c>
      <c r="O4203">
        <f>HYPERLINK("imagenes/T_TAHARI_124009699_MOT_1.jpg","Ver imagen")</f>
        <v/>
      </c>
      <c r="P4203">
        <f>HYPERLINK("imagenes/T_TAHARI_124009699_MOT_2.jpg","Ver imagen")</f>
        <v/>
      </c>
      <c r="Q4203">
        <f>HYPERLINK("imagenes/T_TAHARI_124009699_MOT_3.jpg","Ver imagen")</f>
        <v/>
      </c>
    </row>
    <row r="4204">
      <c r="A4204" t="inlineStr">
        <is>
          <t>T TAHARI</t>
        </is>
      </c>
      <c r="B4204" t="inlineStr">
        <is>
          <t>124009699</t>
        </is>
      </c>
      <c r="C4204" t="inlineStr">
        <is>
          <t>JUNE</t>
        </is>
      </c>
      <c r="D4204" t="inlineStr">
        <is>
          <t>MOT</t>
        </is>
      </c>
      <c r="E4204" t="inlineStr">
        <is>
          <t>(en blanco)</t>
        </is>
      </c>
      <c r="F4204" t="inlineStr">
        <is>
          <t>(en blanco)</t>
        </is>
      </c>
      <c r="G4204" t="inlineStr">
        <is>
          <t>XL</t>
        </is>
      </c>
      <c r="H4204" t="n">
        <v>172</v>
      </c>
      <c r="I4204" t="inlineStr">
        <is>
          <t>T_TAHARI_124009699_MOT_1.jpg</t>
        </is>
      </c>
      <c r="J4204" t="inlineStr">
        <is>
          <t>T_TAHARI_124009699_MOT_2.jpg</t>
        </is>
      </c>
      <c r="K4204" t="inlineStr">
        <is>
          <t>T_TAHARI_124009699_MOT_3.jpg</t>
        </is>
      </c>
      <c r="L4204">
        <f>IMAGE("file:///E:/Estudios%20y%20certificaciones/ESTUDIOS%20DE%20PROGRAMMING/PROGRAMMING/PERSONAL/PYTHON/Image_Generator_API/imagenes/T_TAHARI_124009699_MOT_1.jpg")</f>
        <v/>
      </c>
      <c r="M4204">
        <f>IMAGE("file:///E:/Estudios%20y%20certificaciones/ESTUDIOS%20DE%20PROGRAMMING/PROGRAMMING/PERSONAL/PYTHON/Image_Generator_API/imagenes/T_TAHARI_124009699_MOT_2.jpg")</f>
        <v/>
      </c>
      <c r="N4204">
        <f>IMAGE("file:///E:/Estudios%20y%20certificaciones/ESTUDIOS%20DE%20PROGRAMMING/PROGRAMMING/PERSONAL/PYTHON/Image_Generator_API/imagenes/T_TAHARI_124009699_MOT_3.jpg")</f>
        <v/>
      </c>
      <c r="O4204">
        <f>HYPERLINK("imagenes/T_TAHARI_124009699_MOT_1.jpg","Ver imagen")</f>
        <v/>
      </c>
      <c r="P4204">
        <f>HYPERLINK("imagenes/T_TAHARI_124009699_MOT_2.jpg","Ver imagen")</f>
        <v/>
      </c>
      <c r="Q4204">
        <f>HYPERLINK("imagenes/T_TAHARI_124009699_MOT_3.jpg","Ver imagen")</f>
        <v/>
      </c>
    </row>
    <row r="4205">
      <c r="A4205" t="inlineStr">
        <is>
          <t>T TAHARI</t>
        </is>
      </c>
      <c r="B4205" t="inlineStr">
        <is>
          <t>124010143</t>
        </is>
      </c>
      <c r="C4205" t="inlineStr">
        <is>
          <t>MONTANA</t>
        </is>
      </c>
      <c r="D4205" t="inlineStr">
        <is>
          <t>BLK</t>
        </is>
      </c>
      <c r="E4205" t="inlineStr">
        <is>
          <t>(en blanco)</t>
        </is>
      </c>
      <c r="F4205" t="inlineStr">
        <is>
          <t>D2C</t>
        </is>
      </c>
      <c r="G4205" t="inlineStr">
        <is>
          <t>XS</t>
        </is>
      </c>
      <c r="H4205" t="n">
        <v>19</v>
      </c>
      <c r="I4205" t="inlineStr">
        <is>
          <t>T_TAHARI_124010143_BLK_1.jpg</t>
        </is>
      </c>
      <c r="J4205" t="inlineStr">
        <is>
          <t>T_TAHARI_124010143_BLK_2.jpg</t>
        </is>
      </c>
      <c r="K4205" t="inlineStr">
        <is>
          <t>T_TAHARI_124010143_BLK_3.jpg</t>
        </is>
      </c>
      <c r="L4205">
        <f>IMAGE("file:///E:/Estudios%20y%20certificaciones/ESTUDIOS%20DE%20PROGRAMMING/PROGRAMMING/PERSONAL/PYTHON/Image_Generator_API/imagenes/T_TAHARI_124010143_BLK_1.jpg")</f>
        <v/>
      </c>
      <c r="M4205">
        <f>IMAGE("file:///E:/Estudios%20y%20certificaciones/ESTUDIOS%20DE%20PROGRAMMING/PROGRAMMING/PERSONAL/PYTHON/Image_Generator_API/imagenes/T_TAHARI_124010143_BLK_2.jpg")</f>
        <v/>
      </c>
      <c r="N4205">
        <f>IMAGE("file:///E:/Estudios%20y%20certificaciones/ESTUDIOS%20DE%20PROGRAMMING/PROGRAMMING/PERSONAL/PYTHON/Image_Generator_API/imagenes/T_TAHARI_124010143_BLK_3.jpg")</f>
        <v/>
      </c>
      <c r="O4205">
        <f>HYPERLINK("imagenes/T_TAHARI_124010143_BLK_1.jpg","Ver imagen")</f>
        <v/>
      </c>
      <c r="P4205">
        <f>HYPERLINK("imagenes/T_TAHARI_124010143_BLK_2.jpg","Ver imagen")</f>
        <v/>
      </c>
      <c r="Q4205">
        <f>HYPERLINK("imagenes/T_TAHARI_124010143_BLK_3.jpg","Ver imagen")</f>
        <v/>
      </c>
    </row>
    <row r="4206">
      <c r="A4206" t="inlineStr">
        <is>
          <t>T TAHARI</t>
        </is>
      </c>
      <c r="B4206" t="inlineStr">
        <is>
          <t>124010143</t>
        </is>
      </c>
      <c r="C4206" t="inlineStr">
        <is>
          <t>MONTANA</t>
        </is>
      </c>
      <c r="D4206" t="inlineStr">
        <is>
          <t>BLK</t>
        </is>
      </c>
      <c r="E4206" t="inlineStr">
        <is>
          <t>(en blanco)</t>
        </is>
      </c>
      <c r="F4206" t="inlineStr">
        <is>
          <t>D2C</t>
        </is>
      </c>
      <c r="G4206" t="inlineStr">
        <is>
          <t>S</t>
        </is>
      </c>
      <c r="H4206" t="n">
        <v>36</v>
      </c>
      <c r="I4206" t="inlineStr">
        <is>
          <t>T_TAHARI_124010143_BLK_1.jpg</t>
        </is>
      </c>
      <c r="J4206" t="inlineStr">
        <is>
          <t>T_TAHARI_124010143_BLK_2.jpg</t>
        </is>
      </c>
      <c r="K4206" t="inlineStr">
        <is>
          <t>T_TAHARI_124010143_BLK_3.jpg</t>
        </is>
      </c>
      <c r="L4206">
        <f>IMAGE("file:///E:/Estudios%20y%20certificaciones/ESTUDIOS%20DE%20PROGRAMMING/PROGRAMMING/PERSONAL/PYTHON/Image_Generator_API/imagenes/T_TAHARI_124010143_BLK_1.jpg")</f>
        <v/>
      </c>
      <c r="M4206">
        <f>IMAGE("file:///E:/Estudios%20y%20certificaciones/ESTUDIOS%20DE%20PROGRAMMING/PROGRAMMING/PERSONAL/PYTHON/Image_Generator_API/imagenes/T_TAHARI_124010143_BLK_2.jpg")</f>
        <v/>
      </c>
      <c r="N4206">
        <f>IMAGE("file:///E:/Estudios%20y%20certificaciones/ESTUDIOS%20DE%20PROGRAMMING/PROGRAMMING/PERSONAL/PYTHON/Image_Generator_API/imagenes/T_TAHARI_124010143_BLK_3.jpg")</f>
        <v/>
      </c>
      <c r="O4206">
        <f>HYPERLINK("imagenes/T_TAHARI_124010143_BLK_1.jpg","Ver imagen")</f>
        <v/>
      </c>
      <c r="P4206">
        <f>HYPERLINK("imagenes/T_TAHARI_124010143_BLK_2.jpg","Ver imagen")</f>
        <v/>
      </c>
      <c r="Q4206">
        <f>HYPERLINK("imagenes/T_TAHARI_124010143_BLK_3.jpg","Ver imagen")</f>
        <v/>
      </c>
    </row>
    <row r="4207">
      <c r="A4207" t="inlineStr">
        <is>
          <t>T TAHARI</t>
        </is>
      </c>
      <c r="B4207" t="inlineStr">
        <is>
          <t>124010143</t>
        </is>
      </c>
      <c r="C4207" t="inlineStr">
        <is>
          <t>MONTANA</t>
        </is>
      </c>
      <c r="D4207" t="inlineStr">
        <is>
          <t>BLK</t>
        </is>
      </c>
      <c r="E4207" t="inlineStr">
        <is>
          <t>(en blanco)</t>
        </is>
      </c>
      <c r="F4207" t="inlineStr">
        <is>
          <t>D2C</t>
        </is>
      </c>
      <c r="G4207" t="inlineStr">
        <is>
          <t>M</t>
        </is>
      </c>
      <c r="H4207" t="n">
        <v>40</v>
      </c>
      <c r="I4207" t="inlineStr">
        <is>
          <t>T_TAHARI_124010143_BLK_1.jpg</t>
        </is>
      </c>
      <c r="J4207" t="inlineStr">
        <is>
          <t>T_TAHARI_124010143_BLK_2.jpg</t>
        </is>
      </c>
      <c r="K4207" t="inlineStr">
        <is>
          <t>T_TAHARI_124010143_BLK_3.jpg</t>
        </is>
      </c>
      <c r="L4207">
        <f>IMAGE("file:///E:/Estudios%20y%20certificaciones/ESTUDIOS%20DE%20PROGRAMMING/PROGRAMMING/PERSONAL/PYTHON/Image_Generator_API/imagenes/T_TAHARI_124010143_BLK_1.jpg")</f>
        <v/>
      </c>
      <c r="M4207">
        <f>IMAGE("file:///E:/Estudios%20y%20certificaciones/ESTUDIOS%20DE%20PROGRAMMING/PROGRAMMING/PERSONAL/PYTHON/Image_Generator_API/imagenes/T_TAHARI_124010143_BLK_2.jpg")</f>
        <v/>
      </c>
      <c r="N4207">
        <f>IMAGE("file:///E:/Estudios%20y%20certificaciones/ESTUDIOS%20DE%20PROGRAMMING/PROGRAMMING/PERSONAL/PYTHON/Image_Generator_API/imagenes/T_TAHARI_124010143_BLK_3.jpg")</f>
        <v/>
      </c>
      <c r="O4207">
        <f>HYPERLINK("imagenes/T_TAHARI_124010143_BLK_1.jpg","Ver imagen")</f>
        <v/>
      </c>
      <c r="P4207">
        <f>HYPERLINK("imagenes/T_TAHARI_124010143_BLK_2.jpg","Ver imagen")</f>
        <v/>
      </c>
      <c r="Q4207">
        <f>HYPERLINK("imagenes/T_TAHARI_124010143_BLK_3.jpg","Ver imagen")</f>
        <v/>
      </c>
    </row>
    <row r="4208">
      <c r="A4208" t="inlineStr">
        <is>
          <t>T TAHARI</t>
        </is>
      </c>
      <c r="B4208" t="inlineStr">
        <is>
          <t>124010143</t>
        </is>
      </c>
      <c r="C4208" t="inlineStr">
        <is>
          <t>MONTANA</t>
        </is>
      </c>
      <c r="D4208" t="inlineStr">
        <is>
          <t>BLK</t>
        </is>
      </c>
      <c r="E4208" t="inlineStr">
        <is>
          <t>(en blanco)</t>
        </is>
      </c>
      <c r="F4208" t="inlineStr">
        <is>
          <t>D2C</t>
        </is>
      </c>
      <c r="G4208" t="inlineStr">
        <is>
          <t>L</t>
        </is>
      </c>
      <c r="H4208" t="n">
        <v>32</v>
      </c>
      <c r="I4208" t="inlineStr">
        <is>
          <t>T_TAHARI_124010143_BLK_1.jpg</t>
        </is>
      </c>
      <c r="J4208" t="inlineStr">
        <is>
          <t>T_TAHARI_124010143_BLK_2.jpg</t>
        </is>
      </c>
      <c r="K4208" t="inlineStr">
        <is>
          <t>T_TAHARI_124010143_BLK_3.jpg</t>
        </is>
      </c>
      <c r="L4208">
        <f>IMAGE("file:///E:/Estudios%20y%20certificaciones/ESTUDIOS%20DE%20PROGRAMMING/PROGRAMMING/PERSONAL/PYTHON/Image_Generator_API/imagenes/T_TAHARI_124010143_BLK_1.jpg")</f>
        <v/>
      </c>
      <c r="M4208">
        <f>IMAGE("file:///E:/Estudios%20y%20certificaciones/ESTUDIOS%20DE%20PROGRAMMING/PROGRAMMING/PERSONAL/PYTHON/Image_Generator_API/imagenes/T_TAHARI_124010143_BLK_2.jpg")</f>
        <v/>
      </c>
      <c r="N4208">
        <f>IMAGE("file:///E:/Estudios%20y%20certificaciones/ESTUDIOS%20DE%20PROGRAMMING/PROGRAMMING/PERSONAL/PYTHON/Image_Generator_API/imagenes/T_TAHARI_124010143_BLK_3.jpg")</f>
        <v/>
      </c>
      <c r="O4208">
        <f>HYPERLINK("imagenes/T_TAHARI_124010143_BLK_1.jpg","Ver imagen")</f>
        <v/>
      </c>
      <c r="P4208">
        <f>HYPERLINK("imagenes/T_TAHARI_124010143_BLK_2.jpg","Ver imagen")</f>
        <v/>
      </c>
      <c r="Q4208">
        <f>HYPERLINK("imagenes/T_TAHARI_124010143_BLK_3.jpg","Ver imagen")</f>
        <v/>
      </c>
    </row>
    <row r="4209">
      <c r="A4209" t="inlineStr">
        <is>
          <t>T TAHARI</t>
        </is>
      </c>
      <c r="B4209" t="inlineStr">
        <is>
          <t>124010143</t>
        </is>
      </c>
      <c r="C4209" t="inlineStr">
        <is>
          <t>MONTANA</t>
        </is>
      </c>
      <c r="D4209" t="inlineStr">
        <is>
          <t>BLK</t>
        </is>
      </c>
      <c r="E4209" t="inlineStr">
        <is>
          <t>(en blanco)</t>
        </is>
      </c>
      <c r="F4209" t="inlineStr">
        <is>
          <t>D2C</t>
        </is>
      </c>
      <c r="G4209" t="inlineStr">
        <is>
          <t>XL</t>
        </is>
      </c>
      <c r="H4209" t="n">
        <v>21</v>
      </c>
      <c r="I4209" t="inlineStr">
        <is>
          <t>T_TAHARI_124010143_BLK_1.jpg</t>
        </is>
      </c>
      <c r="J4209" t="inlineStr">
        <is>
          <t>T_TAHARI_124010143_BLK_2.jpg</t>
        </is>
      </c>
      <c r="K4209" t="inlineStr">
        <is>
          <t>T_TAHARI_124010143_BLK_3.jpg</t>
        </is>
      </c>
      <c r="L4209">
        <f>IMAGE("file:///E:/Estudios%20y%20certificaciones/ESTUDIOS%20DE%20PROGRAMMING/PROGRAMMING/PERSONAL/PYTHON/Image_Generator_API/imagenes/T_TAHARI_124010143_BLK_1.jpg")</f>
        <v/>
      </c>
      <c r="M4209">
        <f>IMAGE("file:///E:/Estudios%20y%20certificaciones/ESTUDIOS%20DE%20PROGRAMMING/PROGRAMMING/PERSONAL/PYTHON/Image_Generator_API/imagenes/T_TAHARI_124010143_BLK_2.jpg")</f>
        <v/>
      </c>
      <c r="N4209">
        <f>IMAGE("file:///E:/Estudios%20y%20certificaciones/ESTUDIOS%20DE%20PROGRAMMING/PROGRAMMING/PERSONAL/PYTHON/Image_Generator_API/imagenes/T_TAHARI_124010143_BLK_3.jpg")</f>
        <v/>
      </c>
      <c r="O4209">
        <f>HYPERLINK("imagenes/T_TAHARI_124010143_BLK_1.jpg","Ver imagen")</f>
        <v/>
      </c>
      <c r="P4209">
        <f>HYPERLINK("imagenes/T_TAHARI_124010143_BLK_2.jpg","Ver imagen")</f>
        <v/>
      </c>
      <c r="Q4209">
        <f>HYPERLINK("imagenes/T_TAHARI_124010143_BLK_3.jpg","Ver imagen")</f>
        <v/>
      </c>
    </row>
    <row r="4210">
      <c r="A4210" t="inlineStr">
        <is>
          <t>T TAHARI</t>
        </is>
      </c>
      <c r="B4210" t="inlineStr">
        <is>
          <t>124010143</t>
        </is>
      </c>
      <c r="C4210" t="inlineStr">
        <is>
          <t>MONTANA</t>
        </is>
      </c>
      <c r="D4210" t="inlineStr">
        <is>
          <t>BLK</t>
        </is>
      </c>
      <c r="E4210" t="inlineStr">
        <is>
          <t>(en blanco)</t>
        </is>
      </c>
      <c r="F4210" t="inlineStr">
        <is>
          <t>M1155</t>
        </is>
      </c>
      <c r="G4210" t="inlineStr">
        <is>
          <t>XS</t>
        </is>
      </c>
      <c r="H4210" t="n">
        <v>3</v>
      </c>
      <c r="I4210" t="inlineStr">
        <is>
          <t>T_TAHARI_124010143_BLK_1.jpg</t>
        </is>
      </c>
      <c r="J4210" t="inlineStr">
        <is>
          <t>T_TAHARI_124010143_BLK_2.jpg</t>
        </is>
      </c>
      <c r="K4210" t="inlineStr">
        <is>
          <t>T_TAHARI_124010143_BLK_3.jpg</t>
        </is>
      </c>
      <c r="L4210">
        <f>IMAGE("file:///E:/Estudios%20y%20certificaciones/ESTUDIOS%20DE%20PROGRAMMING/PROGRAMMING/PERSONAL/PYTHON/Image_Generator_API/imagenes/T_TAHARI_124010143_BLK_1.jpg")</f>
        <v/>
      </c>
      <c r="M4210">
        <f>IMAGE("file:///E:/Estudios%20y%20certificaciones/ESTUDIOS%20DE%20PROGRAMMING/PROGRAMMING/PERSONAL/PYTHON/Image_Generator_API/imagenes/T_TAHARI_124010143_BLK_2.jpg")</f>
        <v/>
      </c>
      <c r="N4210">
        <f>IMAGE("file:///E:/Estudios%20y%20certificaciones/ESTUDIOS%20DE%20PROGRAMMING/PROGRAMMING/PERSONAL/PYTHON/Image_Generator_API/imagenes/T_TAHARI_124010143_BLK_3.jpg")</f>
        <v/>
      </c>
      <c r="O4210">
        <f>HYPERLINK("imagenes/T_TAHARI_124010143_BLK_1.jpg","Ver imagen")</f>
        <v/>
      </c>
      <c r="P4210">
        <f>HYPERLINK("imagenes/T_TAHARI_124010143_BLK_2.jpg","Ver imagen")</f>
        <v/>
      </c>
      <c r="Q4210">
        <f>HYPERLINK("imagenes/T_TAHARI_124010143_BLK_3.jpg","Ver imagen")</f>
        <v/>
      </c>
    </row>
    <row r="4211">
      <c r="A4211" t="inlineStr">
        <is>
          <t>T TAHARI</t>
        </is>
      </c>
      <c r="B4211" t="inlineStr">
        <is>
          <t>124010143</t>
        </is>
      </c>
      <c r="C4211" t="inlineStr">
        <is>
          <t>MONTANA</t>
        </is>
      </c>
      <c r="D4211" t="inlineStr">
        <is>
          <t>BLK</t>
        </is>
      </c>
      <c r="E4211" t="inlineStr">
        <is>
          <t>(en blanco)</t>
        </is>
      </c>
      <c r="F4211" t="inlineStr">
        <is>
          <t>M1155</t>
        </is>
      </c>
      <c r="G4211" t="inlineStr">
        <is>
          <t>S</t>
        </is>
      </c>
      <c r="H4211" t="n">
        <v>7</v>
      </c>
      <c r="I4211" t="inlineStr">
        <is>
          <t>T_TAHARI_124010143_BLK_1.jpg</t>
        </is>
      </c>
      <c r="J4211" t="inlineStr">
        <is>
          <t>T_TAHARI_124010143_BLK_2.jpg</t>
        </is>
      </c>
      <c r="K4211" t="inlineStr">
        <is>
          <t>T_TAHARI_124010143_BLK_3.jpg</t>
        </is>
      </c>
      <c r="L4211">
        <f>IMAGE("file:///E:/Estudios%20y%20certificaciones/ESTUDIOS%20DE%20PROGRAMMING/PROGRAMMING/PERSONAL/PYTHON/Image_Generator_API/imagenes/T_TAHARI_124010143_BLK_1.jpg")</f>
        <v/>
      </c>
      <c r="M4211">
        <f>IMAGE("file:///E:/Estudios%20y%20certificaciones/ESTUDIOS%20DE%20PROGRAMMING/PROGRAMMING/PERSONAL/PYTHON/Image_Generator_API/imagenes/T_TAHARI_124010143_BLK_2.jpg")</f>
        <v/>
      </c>
      <c r="N4211">
        <f>IMAGE("file:///E:/Estudios%20y%20certificaciones/ESTUDIOS%20DE%20PROGRAMMING/PROGRAMMING/PERSONAL/PYTHON/Image_Generator_API/imagenes/T_TAHARI_124010143_BLK_3.jpg")</f>
        <v/>
      </c>
      <c r="O4211">
        <f>HYPERLINK("imagenes/T_TAHARI_124010143_BLK_1.jpg","Ver imagen")</f>
        <v/>
      </c>
      <c r="P4211">
        <f>HYPERLINK("imagenes/T_TAHARI_124010143_BLK_2.jpg","Ver imagen")</f>
        <v/>
      </c>
      <c r="Q4211">
        <f>HYPERLINK("imagenes/T_TAHARI_124010143_BLK_3.jpg","Ver imagen")</f>
        <v/>
      </c>
    </row>
    <row r="4212">
      <c r="A4212" t="inlineStr">
        <is>
          <t>T TAHARI</t>
        </is>
      </c>
      <c r="B4212" t="inlineStr">
        <is>
          <t>124010143</t>
        </is>
      </c>
      <c r="C4212" t="inlineStr">
        <is>
          <t>MONTANA</t>
        </is>
      </c>
      <c r="D4212" t="inlineStr">
        <is>
          <t>BLK</t>
        </is>
      </c>
      <c r="E4212" t="inlineStr">
        <is>
          <t>(en blanco)</t>
        </is>
      </c>
      <c r="F4212" t="inlineStr">
        <is>
          <t>M1155</t>
        </is>
      </c>
      <c r="G4212" t="inlineStr">
        <is>
          <t>M</t>
        </is>
      </c>
      <c r="H4212" t="n">
        <v>10</v>
      </c>
      <c r="I4212" t="inlineStr">
        <is>
          <t>T_TAHARI_124010143_BLK_1.jpg</t>
        </is>
      </c>
      <c r="J4212" t="inlineStr">
        <is>
          <t>T_TAHARI_124010143_BLK_2.jpg</t>
        </is>
      </c>
      <c r="K4212" t="inlineStr">
        <is>
          <t>T_TAHARI_124010143_BLK_3.jpg</t>
        </is>
      </c>
      <c r="L4212">
        <f>IMAGE("file:///E:/Estudios%20y%20certificaciones/ESTUDIOS%20DE%20PROGRAMMING/PROGRAMMING/PERSONAL/PYTHON/Image_Generator_API/imagenes/T_TAHARI_124010143_BLK_1.jpg")</f>
        <v/>
      </c>
      <c r="M4212">
        <f>IMAGE("file:///E:/Estudios%20y%20certificaciones/ESTUDIOS%20DE%20PROGRAMMING/PROGRAMMING/PERSONAL/PYTHON/Image_Generator_API/imagenes/T_TAHARI_124010143_BLK_2.jpg")</f>
        <v/>
      </c>
      <c r="N4212">
        <f>IMAGE("file:///E:/Estudios%20y%20certificaciones/ESTUDIOS%20DE%20PROGRAMMING/PROGRAMMING/PERSONAL/PYTHON/Image_Generator_API/imagenes/T_TAHARI_124010143_BLK_3.jpg")</f>
        <v/>
      </c>
      <c r="O4212">
        <f>HYPERLINK("imagenes/T_TAHARI_124010143_BLK_1.jpg","Ver imagen")</f>
        <v/>
      </c>
      <c r="P4212">
        <f>HYPERLINK("imagenes/T_TAHARI_124010143_BLK_2.jpg","Ver imagen")</f>
        <v/>
      </c>
      <c r="Q4212">
        <f>HYPERLINK("imagenes/T_TAHARI_124010143_BLK_3.jpg","Ver imagen")</f>
        <v/>
      </c>
    </row>
    <row r="4213">
      <c r="A4213" t="inlineStr">
        <is>
          <t>T TAHARI</t>
        </is>
      </c>
      <c r="B4213" t="inlineStr">
        <is>
          <t>124010143</t>
        </is>
      </c>
      <c r="C4213" t="inlineStr">
        <is>
          <t>MONTANA</t>
        </is>
      </c>
      <c r="D4213" t="inlineStr">
        <is>
          <t>BLK</t>
        </is>
      </c>
      <c r="E4213" t="inlineStr">
        <is>
          <t>(en blanco)</t>
        </is>
      </c>
      <c r="F4213" t="inlineStr">
        <is>
          <t>M1155</t>
        </is>
      </c>
      <c r="G4213" t="inlineStr">
        <is>
          <t>L</t>
        </is>
      </c>
      <c r="H4213" t="n">
        <v>10</v>
      </c>
      <c r="I4213" t="inlineStr">
        <is>
          <t>T_TAHARI_124010143_BLK_1.jpg</t>
        </is>
      </c>
      <c r="J4213" t="inlineStr">
        <is>
          <t>T_TAHARI_124010143_BLK_2.jpg</t>
        </is>
      </c>
      <c r="K4213" t="inlineStr">
        <is>
          <t>T_TAHARI_124010143_BLK_3.jpg</t>
        </is>
      </c>
      <c r="L4213">
        <f>IMAGE("file:///E:/Estudios%20y%20certificaciones/ESTUDIOS%20DE%20PROGRAMMING/PROGRAMMING/PERSONAL/PYTHON/Image_Generator_API/imagenes/T_TAHARI_124010143_BLK_1.jpg")</f>
        <v/>
      </c>
      <c r="M4213">
        <f>IMAGE("file:///E:/Estudios%20y%20certificaciones/ESTUDIOS%20DE%20PROGRAMMING/PROGRAMMING/PERSONAL/PYTHON/Image_Generator_API/imagenes/T_TAHARI_124010143_BLK_2.jpg")</f>
        <v/>
      </c>
      <c r="N4213">
        <f>IMAGE("file:///E:/Estudios%20y%20certificaciones/ESTUDIOS%20DE%20PROGRAMMING/PROGRAMMING/PERSONAL/PYTHON/Image_Generator_API/imagenes/T_TAHARI_124010143_BLK_3.jpg")</f>
        <v/>
      </c>
      <c r="O4213">
        <f>HYPERLINK("imagenes/T_TAHARI_124010143_BLK_1.jpg","Ver imagen")</f>
        <v/>
      </c>
      <c r="P4213">
        <f>HYPERLINK("imagenes/T_TAHARI_124010143_BLK_2.jpg","Ver imagen")</f>
        <v/>
      </c>
      <c r="Q4213">
        <f>HYPERLINK("imagenes/T_TAHARI_124010143_BLK_3.jpg","Ver imagen")</f>
        <v/>
      </c>
    </row>
    <row r="4214">
      <c r="A4214" t="inlineStr">
        <is>
          <t>T TAHARI</t>
        </is>
      </c>
      <c r="B4214" t="inlineStr">
        <is>
          <t>124010143</t>
        </is>
      </c>
      <c r="C4214" t="inlineStr">
        <is>
          <t>MONTANA</t>
        </is>
      </c>
      <c r="D4214" t="inlineStr">
        <is>
          <t>BLK</t>
        </is>
      </c>
      <c r="E4214" t="inlineStr">
        <is>
          <t>(en blanco)</t>
        </is>
      </c>
      <c r="F4214" t="inlineStr">
        <is>
          <t>M1155</t>
        </is>
      </c>
      <c r="G4214" t="inlineStr">
        <is>
          <t>XL</t>
        </is>
      </c>
      <c r="H4214" t="n">
        <v>6</v>
      </c>
      <c r="I4214" t="inlineStr">
        <is>
          <t>T_TAHARI_124010143_BLK_1.jpg</t>
        </is>
      </c>
      <c r="J4214" t="inlineStr">
        <is>
          <t>T_TAHARI_124010143_BLK_2.jpg</t>
        </is>
      </c>
      <c r="K4214" t="inlineStr">
        <is>
          <t>T_TAHARI_124010143_BLK_3.jpg</t>
        </is>
      </c>
      <c r="L4214">
        <f>IMAGE("file:///E:/Estudios%20y%20certificaciones/ESTUDIOS%20DE%20PROGRAMMING/PROGRAMMING/PERSONAL/PYTHON/Image_Generator_API/imagenes/T_TAHARI_124010143_BLK_1.jpg")</f>
        <v/>
      </c>
      <c r="M4214">
        <f>IMAGE("file:///E:/Estudios%20y%20certificaciones/ESTUDIOS%20DE%20PROGRAMMING/PROGRAMMING/PERSONAL/PYTHON/Image_Generator_API/imagenes/T_TAHARI_124010143_BLK_2.jpg")</f>
        <v/>
      </c>
      <c r="N4214">
        <f>IMAGE("file:///E:/Estudios%20y%20certificaciones/ESTUDIOS%20DE%20PROGRAMMING/PROGRAMMING/PERSONAL/PYTHON/Image_Generator_API/imagenes/T_TAHARI_124010143_BLK_3.jpg")</f>
        <v/>
      </c>
      <c r="O4214">
        <f>HYPERLINK("imagenes/T_TAHARI_124010143_BLK_1.jpg","Ver imagen")</f>
        <v/>
      </c>
      <c r="P4214">
        <f>HYPERLINK("imagenes/T_TAHARI_124010143_BLK_2.jpg","Ver imagen")</f>
        <v/>
      </c>
      <c r="Q4214">
        <f>HYPERLINK("imagenes/T_TAHARI_124010143_BLK_3.jpg","Ver imagen")</f>
        <v/>
      </c>
    </row>
    <row r="4215">
      <c r="A4215" t="inlineStr">
        <is>
          <t>T TAHARI</t>
        </is>
      </c>
      <c r="B4215" t="inlineStr">
        <is>
          <t>124010143</t>
        </is>
      </c>
      <c r="C4215" t="inlineStr">
        <is>
          <t>MONTANA</t>
        </is>
      </c>
      <c r="D4215" t="inlineStr">
        <is>
          <t>BLK</t>
        </is>
      </c>
      <c r="E4215" t="inlineStr">
        <is>
          <t>(en blanco)</t>
        </is>
      </c>
      <c r="F4215" t="inlineStr">
        <is>
          <t>M1155</t>
        </is>
      </c>
      <c r="G4215" t="inlineStr">
        <is>
          <t>XXL</t>
        </is>
      </c>
      <c r="H4215" t="n">
        <v>3</v>
      </c>
      <c r="I4215" t="inlineStr">
        <is>
          <t>T_TAHARI_124010143_BLK_1.jpg</t>
        </is>
      </c>
      <c r="J4215" t="inlineStr">
        <is>
          <t>T_TAHARI_124010143_BLK_2.jpg</t>
        </is>
      </c>
      <c r="K4215" t="inlineStr">
        <is>
          <t>T_TAHARI_124010143_BLK_3.jpg</t>
        </is>
      </c>
      <c r="L4215">
        <f>IMAGE("file:///E:/Estudios%20y%20certificaciones/ESTUDIOS%20DE%20PROGRAMMING/PROGRAMMING/PERSONAL/PYTHON/Image_Generator_API/imagenes/T_TAHARI_124010143_BLK_1.jpg")</f>
        <v/>
      </c>
      <c r="M4215">
        <f>IMAGE("file:///E:/Estudios%20y%20certificaciones/ESTUDIOS%20DE%20PROGRAMMING/PROGRAMMING/PERSONAL/PYTHON/Image_Generator_API/imagenes/T_TAHARI_124010143_BLK_2.jpg")</f>
        <v/>
      </c>
      <c r="N4215">
        <f>IMAGE("file:///E:/Estudios%20y%20certificaciones/ESTUDIOS%20DE%20PROGRAMMING/PROGRAMMING/PERSONAL/PYTHON/Image_Generator_API/imagenes/T_TAHARI_124010143_BLK_3.jpg")</f>
        <v/>
      </c>
      <c r="O4215">
        <f>HYPERLINK("imagenes/T_TAHARI_124010143_BLK_1.jpg","Ver imagen")</f>
        <v/>
      </c>
      <c r="P4215">
        <f>HYPERLINK("imagenes/T_TAHARI_124010143_BLK_2.jpg","Ver imagen")</f>
        <v/>
      </c>
      <c r="Q4215">
        <f>HYPERLINK("imagenes/T_TAHARI_124010143_BLK_3.jpg","Ver imagen")</f>
        <v/>
      </c>
    </row>
    <row r="4216">
      <c r="A4216" t="inlineStr">
        <is>
          <t>T TAHARI</t>
        </is>
      </c>
      <c r="B4216" t="inlineStr">
        <is>
          <t>124010143</t>
        </is>
      </c>
      <c r="C4216" t="inlineStr">
        <is>
          <t>MONTANA</t>
        </is>
      </c>
      <c r="D4216" t="inlineStr">
        <is>
          <t>BLK</t>
        </is>
      </c>
      <c r="E4216" t="inlineStr">
        <is>
          <t>(en blanco)</t>
        </is>
      </c>
      <c r="F4216" t="inlineStr">
        <is>
          <t>M1155</t>
        </is>
      </c>
      <c r="G4216" t="inlineStr">
        <is>
          <t>XXS</t>
        </is>
      </c>
      <c r="H4216" t="n">
        <v>1</v>
      </c>
      <c r="I4216" t="inlineStr">
        <is>
          <t>T_TAHARI_124010143_BLK_1.jpg</t>
        </is>
      </c>
      <c r="J4216" t="inlineStr">
        <is>
          <t>T_TAHARI_124010143_BLK_2.jpg</t>
        </is>
      </c>
      <c r="K4216" t="inlineStr">
        <is>
          <t>T_TAHARI_124010143_BLK_3.jpg</t>
        </is>
      </c>
      <c r="L4216">
        <f>IMAGE("file:///E:/Estudios%20y%20certificaciones/ESTUDIOS%20DE%20PROGRAMMING/PROGRAMMING/PERSONAL/PYTHON/Image_Generator_API/imagenes/T_TAHARI_124010143_BLK_1.jpg")</f>
        <v/>
      </c>
      <c r="M4216">
        <f>IMAGE("file:///E:/Estudios%20y%20certificaciones/ESTUDIOS%20DE%20PROGRAMMING/PROGRAMMING/PERSONAL/PYTHON/Image_Generator_API/imagenes/T_TAHARI_124010143_BLK_2.jpg")</f>
        <v/>
      </c>
      <c r="N4216">
        <f>IMAGE("file:///E:/Estudios%20y%20certificaciones/ESTUDIOS%20DE%20PROGRAMMING/PROGRAMMING/PERSONAL/PYTHON/Image_Generator_API/imagenes/T_TAHARI_124010143_BLK_3.jpg")</f>
        <v/>
      </c>
      <c r="O4216">
        <f>HYPERLINK("imagenes/T_TAHARI_124010143_BLK_1.jpg","Ver imagen")</f>
        <v/>
      </c>
      <c r="P4216">
        <f>HYPERLINK("imagenes/T_TAHARI_124010143_BLK_2.jpg","Ver imagen")</f>
        <v/>
      </c>
      <c r="Q4216">
        <f>HYPERLINK("imagenes/T_TAHARI_124010143_BLK_3.jpg","Ver imagen")</f>
        <v/>
      </c>
    </row>
    <row r="4217">
      <c r="A4217" t="inlineStr">
        <is>
          <t>T TAHARI</t>
        </is>
      </c>
      <c r="B4217" t="inlineStr">
        <is>
          <t>124010143</t>
        </is>
      </c>
      <c r="C4217" t="inlineStr">
        <is>
          <t>MONTANA</t>
        </is>
      </c>
      <c r="D4217" t="inlineStr">
        <is>
          <t>BLK</t>
        </is>
      </c>
      <c r="E4217" t="inlineStr">
        <is>
          <t>(en blanco)</t>
        </is>
      </c>
      <c r="F4217" t="inlineStr">
        <is>
          <t>(en blanco)</t>
        </is>
      </c>
      <c r="G4217" t="inlineStr">
        <is>
          <t>XS</t>
        </is>
      </c>
      <c r="H4217" t="n">
        <v>0</v>
      </c>
      <c r="I4217" t="inlineStr">
        <is>
          <t>T_TAHARI_124010143_BLK_1.jpg</t>
        </is>
      </c>
      <c r="J4217" t="inlineStr">
        <is>
          <t>T_TAHARI_124010143_BLK_2.jpg</t>
        </is>
      </c>
      <c r="K4217" t="inlineStr">
        <is>
          <t>T_TAHARI_124010143_BLK_3.jpg</t>
        </is>
      </c>
      <c r="L4217">
        <f>IMAGE("file:///E:/Estudios%20y%20certificaciones/ESTUDIOS%20DE%20PROGRAMMING/PROGRAMMING/PERSONAL/PYTHON/Image_Generator_API/imagenes/T_TAHARI_124010143_BLK_1.jpg")</f>
        <v/>
      </c>
      <c r="M4217">
        <f>IMAGE("file:///E:/Estudios%20y%20certificaciones/ESTUDIOS%20DE%20PROGRAMMING/PROGRAMMING/PERSONAL/PYTHON/Image_Generator_API/imagenes/T_TAHARI_124010143_BLK_2.jpg")</f>
        <v/>
      </c>
      <c r="N4217">
        <f>IMAGE("file:///E:/Estudios%20y%20certificaciones/ESTUDIOS%20DE%20PROGRAMMING/PROGRAMMING/PERSONAL/PYTHON/Image_Generator_API/imagenes/T_TAHARI_124010143_BLK_3.jpg")</f>
        <v/>
      </c>
      <c r="O4217">
        <f>HYPERLINK("imagenes/T_TAHARI_124010143_BLK_1.jpg","Ver imagen")</f>
        <v/>
      </c>
      <c r="P4217">
        <f>HYPERLINK("imagenes/T_TAHARI_124010143_BLK_2.jpg","Ver imagen")</f>
        <v/>
      </c>
      <c r="Q4217">
        <f>HYPERLINK("imagenes/T_TAHARI_124010143_BLK_3.jpg","Ver imagen")</f>
        <v/>
      </c>
    </row>
    <row r="4218">
      <c r="A4218" t="inlineStr">
        <is>
          <t>T TAHARI</t>
        </is>
      </c>
      <c r="B4218" t="inlineStr">
        <is>
          <t>124010143</t>
        </is>
      </c>
      <c r="C4218" t="inlineStr">
        <is>
          <t>MONTANA</t>
        </is>
      </c>
      <c r="D4218" t="inlineStr">
        <is>
          <t>BLK</t>
        </is>
      </c>
      <c r="E4218" t="inlineStr">
        <is>
          <t>(en blanco)</t>
        </is>
      </c>
      <c r="F4218" t="inlineStr">
        <is>
          <t>(en blanco)</t>
        </is>
      </c>
      <c r="G4218" t="inlineStr">
        <is>
          <t>S</t>
        </is>
      </c>
      <c r="H4218" t="n">
        <v>0</v>
      </c>
      <c r="I4218" t="inlineStr">
        <is>
          <t>T_TAHARI_124010143_BLK_1.jpg</t>
        </is>
      </c>
      <c r="J4218" t="inlineStr">
        <is>
          <t>T_TAHARI_124010143_BLK_2.jpg</t>
        </is>
      </c>
      <c r="K4218" t="inlineStr">
        <is>
          <t>T_TAHARI_124010143_BLK_3.jpg</t>
        </is>
      </c>
      <c r="L4218">
        <f>IMAGE("file:///E:/Estudios%20y%20certificaciones/ESTUDIOS%20DE%20PROGRAMMING/PROGRAMMING/PERSONAL/PYTHON/Image_Generator_API/imagenes/T_TAHARI_124010143_BLK_1.jpg")</f>
        <v/>
      </c>
      <c r="M4218">
        <f>IMAGE("file:///E:/Estudios%20y%20certificaciones/ESTUDIOS%20DE%20PROGRAMMING/PROGRAMMING/PERSONAL/PYTHON/Image_Generator_API/imagenes/T_TAHARI_124010143_BLK_2.jpg")</f>
        <v/>
      </c>
      <c r="N4218">
        <f>IMAGE("file:///E:/Estudios%20y%20certificaciones/ESTUDIOS%20DE%20PROGRAMMING/PROGRAMMING/PERSONAL/PYTHON/Image_Generator_API/imagenes/T_TAHARI_124010143_BLK_3.jpg")</f>
        <v/>
      </c>
      <c r="O4218">
        <f>HYPERLINK("imagenes/T_TAHARI_124010143_BLK_1.jpg","Ver imagen")</f>
        <v/>
      </c>
      <c r="P4218">
        <f>HYPERLINK("imagenes/T_TAHARI_124010143_BLK_2.jpg","Ver imagen")</f>
        <v/>
      </c>
      <c r="Q4218">
        <f>HYPERLINK("imagenes/T_TAHARI_124010143_BLK_3.jpg","Ver imagen")</f>
        <v/>
      </c>
    </row>
    <row r="4219">
      <c r="A4219" t="inlineStr">
        <is>
          <t>T TAHARI</t>
        </is>
      </c>
      <c r="B4219" t="inlineStr">
        <is>
          <t>124010143</t>
        </is>
      </c>
      <c r="C4219" t="inlineStr">
        <is>
          <t>MONTANA</t>
        </is>
      </c>
      <c r="D4219" t="inlineStr">
        <is>
          <t>BLK</t>
        </is>
      </c>
      <c r="E4219" t="inlineStr">
        <is>
          <t>(en blanco)</t>
        </is>
      </c>
      <c r="F4219" t="inlineStr">
        <is>
          <t>(en blanco)</t>
        </is>
      </c>
      <c r="G4219" t="inlineStr">
        <is>
          <t>M</t>
        </is>
      </c>
      <c r="H4219" t="n">
        <v>0</v>
      </c>
      <c r="I4219" t="inlineStr">
        <is>
          <t>T_TAHARI_124010143_BLK_1.jpg</t>
        </is>
      </c>
      <c r="J4219" t="inlineStr">
        <is>
          <t>T_TAHARI_124010143_BLK_2.jpg</t>
        </is>
      </c>
      <c r="K4219" t="inlineStr">
        <is>
          <t>T_TAHARI_124010143_BLK_3.jpg</t>
        </is>
      </c>
      <c r="L4219">
        <f>IMAGE("file:///E:/Estudios%20y%20certificaciones/ESTUDIOS%20DE%20PROGRAMMING/PROGRAMMING/PERSONAL/PYTHON/Image_Generator_API/imagenes/T_TAHARI_124010143_BLK_1.jpg")</f>
        <v/>
      </c>
      <c r="M4219">
        <f>IMAGE("file:///E:/Estudios%20y%20certificaciones/ESTUDIOS%20DE%20PROGRAMMING/PROGRAMMING/PERSONAL/PYTHON/Image_Generator_API/imagenes/T_TAHARI_124010143_BLK_2.jpg")</f>
        <v/>
      </c>
      <c r="N4219">
        <f>IMAGE("file:///E:/Estudios%20y%20certificaciones/ESTUDIOS%20DE%20PROGRAMMING/PROGRAMMING/PERSONAL/PYTHON/Image_Generator_API/imagenes/T_TAHARI_124010143_BLK_3.jpg")</f>
        <v/>
      </c>
      <c r="O4219">
        <f>HYPERLINK("imagenes/T_TAHARI_124010143_BLK_1.jpg","Ver imagen")</f>
        <v/>
      </c>
      <c r="P4219">
        <f>HYPERLINK("imagenes/T_TAHARI_124010143_BLK_2.jpg","Ver imagen")</f>
        <v/>
      </c>
      <c r="Q4219">
        <f>HYPERLINK("imagenes/T_TAHARI_124010143_BLK_3.jpg","Ver imagen")</f>
        <v/>
      </c>
    </row>
    <row r="4220">
      <c r="A4220" t="inlineStr">
        <is>
          <t>T TAHARI</t>
        </is>
      </c>
      <c r="B4220" t="inlineStr">
        <is>
          <t>124010143</t>
        </is>
      </c>
      <c r="C4220" t="inlineStr">
        <is>
          <t>MONTANA</t>
        </is>
      </c>
      <c r="D4220" t="inlineStr">
        <is>
          <t>BLK</t>
        </is>
      </c>
      <c r="E4220" t="inlineStr">
        <is>
          <t>(en blanco)</t>
        </is>
      </c>
      <c r="F4220" t="inlineStr">
        <is>
          <t>(en blanco)</t>
        </is>
      </c>
      <c r="G4220" t="inlineStr">
        <is>
          <t>L</t>
        </is>
      </c>
      <c r="H4220" t="n">
        <v>0</v>
      </c>
      <c r="I4220" t="inlineStr">
        <is>
          <t>T_TAHARI_124010143_BLK_1.jpg</t>
        </is>
      </c>
      <c r="J4220" t="inlineStr">
        <is>
          <t>T_TAHARI_124010143_BLK_2.jpg</t>
        </is>
      </c>
      <c r="K4220" t="inlineStr">
        <is>
          <t>T_TAHARI_124010143_BLK_3.jpg</t>
        </is>
      </c>
      <c r="L4220">
        <f>IMAGE("file:///E:/Estudios%20y%20certificaciones/ESTUDIOS%20DE%20PROGRAMMING/PROGRAMMING/PERSONAL/PYTHON/Image_Generator_API/imagenes/T_TAHARI_124010143_BLK_1.jpg")</f>
        <v/>
      </c>
      <c r="M4220">
        <f>IMAGE("file:///E:/Estudios%20y%20certificaciones/ESTUDIOS%20DE%20PROGRAMMING/PROGRAMMING/PERSONAL/PYTHON/Image_Generator_API/imagenes/T_TAHARI_124010143_BLK_2.jpg")</f>
        <v/>
      </c>
      <c r="N4220">
        <f>IMAGE("file:///E:/Estudios%20y%20certificaciones/ESTUDIOS%20DE%20PROGRAMMING/PROGRAMMING/PERSONAL/PYTHON/Image_Generator_API/imagenes/T_TAHARI_124010143_BLK_3.jpg")</f>
        <v/>
      </c>
      <c r="O4220">
        <f>HYPERLINK("imagenes/T_TAHARI_124010143_BLK_1.jpg","Ver imagen")</f>
        <v/>
      </c>
      <c r="P4220">
        <f>HYPERLINK("imagenes/T_TAHARI_124010143_BLK_2.jpg","Ver imagen")</f>
        <v/>
      </c>
      <c r="Q4220">
        <f>HYPERLINK("imagenes/T_TAHARI_124010143_BLK_3.jpg","Ver imagen")</f>
        <v/>
      </c>
    </row>
    <row r="4221">
      <c r="A4221" t="inlineStr">
        <is>
          <t>T TAHARI</t>
        </is>
      </c>
      <c r="B4221" t="inlineStr">
        <is>
          <t>124010143</t>
        </is>
      </c>
      <c r="C4221" t="inlineStr">
        <is>
          <t>MONTANA</t>
        </is>
      </c>
      <c r="D4221" t="inlineStr">
        <is>
          <t>BLK</t>
        </is>
      </c>
      <c r="E4221" t="inlineStr">
        <is>
          <t>(en blanco)</t>
        </is>
      </c>
      <c r="F4221" t="inlineStr">
        <is>
          <t>(en blanco)</t>
        </is>
      </c>
      <c r="G4221" t="inlineStr">
        <is>
          <t>XL</t>
        </is>
      </c>
      <c r="H4221" t="n">
        <v>0</v>
      </c>
      <c r="I4221" t="inlineStr">
        <is>
          <t>T_TAHARI_124010143_BLK_1.jpg</t>
        </is>
      </c>
      <c r="J4221" t="inlineStr">
        <is>
          <t>T_TAHARI_124010143_BLK_2.jpg</t>
        </is>
      </c>
      <c r="K4221" t="inlineStr">
        <is>
          <t>T_TAHARI_124010143_BLK_3.jpg</t>
        </is>
      </c>
      <c r="L4221">
        <f>IMAGE("file:///E:/Estudios%20y%20certificaciones/ESTUDIOS%20DE%20PROGRAMMING/PROGRAMMING/PERSONAL/PYTHON/Image_Generator_API/imagenes/T_TAHARI_124010143_BLK_1.jpg")</f>
        <v/>
      </c>
      <c r="M4221">
        <f>IMAGE("file:///E:/Estudios%20y%20certificaciones/ESTUDIOS%20DE%20PROGRAMMING/PROGRAMMING/PERSONAL/PYTHON/Image_Generator_API/imagenes/T_TAHARI_124010143_BLK_2.jpg")</f>
        <v/>
      </c>
      <c r="N4221">
        <f>IMAGE("file:///E:/Estudios%20y%20certificaciones/ESTUDIOS%20DE%20PROGRAMMING/PROGRAMMING/PERSONAL/PYTHON/Image_Generator_API/imagenes/T_TAHARI_124010143_BLK_3.jpg")</f>
        <v/>
      </c>
      <c r="O4221">
        <f>HYPERLINK("imagenes/T_TAHARI_124010143_BLK_1.jpg","Ver imagen")</f>
        <v/>
      </c>
      <c r="P4221">
        <f>HYPERLINK("imagenes/T_TAHARI_124010143_BLK_2.jpg","Ver imagen")</f>
        <v/>
      </c>
      <c r="Q4221">
        <f>HYPERLINK("imagenes/T_TAHARI_124010143_BLK_3.jpg","Ver imagen")</f>
        <v/>
      </c>
    </row>
    <row r="4222">
      <c r="A4222" t="inlineStr">
        <is>
          <t>T TAHARI</t>
        </is>
      </c>
      <c r="B4222" t="inlineStr">
        <is>
          <t>124010143</t>
        </is>
      </c>
      <c r="C4222" t="inlineStr">
        <is>
          <t>MONTANA</t>
        </is>
      </c>
      <c r="D4222" t="inlineStr">
        <is>
          <t>CHO</t>
        </is>
      </c>
      <c r="E4222" t="inlineStr">
        <is>
          <t>08A05</t>
        </is>
      </c>
      <c r="F4222" t="inlineStr">
        <is>
          <t>R2140</t>
        </is>
      </c>
      <c r="G4222" t="inlineStr">
        <is>
          <t>PPK</t>
        </is>
      </c>
      <c r="H4222" t="n">
        <v>504</v>
      </c>
      <c r="I4222" t="inlineStr">
        <is>
          <t>T_TAHARI_124010143_CHO_1.jpg</t>
        </is>
      </c>
      <c r="J4222" t="inlineStr">
        <is>
          <t>T_TAHARI_124010143_CHO_2.jpg</t>
        </is>
      </c>
      <c r="K4222" t="inlineStr">
        <is>
          <t>T_TAHARI_124010143_CHO_3.jpg</t>
        </is>
      </c>
      <c r="L4222">
        <f>IMAGE("file:///E:/Estudios%20y%20certificaciones/ESTUDIOS%20DE%20PROGRAMMING/PROGRAMMING/PERSONAL/PYTHON/Image_Generator_API/imagenes/T_TAHARI_124010143_CHO_1.jpg")</f>
        <v/>
      </c>
      <c r="M4222">
        <f>IMAGE("file:///E:/Estudios%20y%20certificaciones/ESTUDIOS%20DE%20PROGRAMMING/PROGRAMMING/PERSONAL/PYTHON/Image_Generator_API/imagenes/T_TAHARI_124010143_CHO_2.jpg")</f>
        <v/>
      </c>
      <c r="N4222">
        <f>IMAGE("file:///E:/Estudios%20y%20certificaciones/ESTUDIOS%20DE%20PROGRAMMING/PROGRAMMING/PERSONAL/PYTHON/Image_Generator_API/imagenes/T_TAHARI_124010143_CHO_3.jpg")</f>
        <v/>
      </c>
      <c r="O4222">
        <f>HYPERLINK("imagenes/T_TAHARI_124010143_CHO_1.jpg","Ver imagen")</f>
        <v/>
      </c>
      <c r="P4222">
        <f>HYPERLINK("imagenes/T_TAHARI_124010143_CHO_2.jpg","Ver imagen")</f>
        <v/>
      </c>
      <c r="Q4222">
        <f>HYPERLINK("imagenes/T_TAHARI_124010143_CHO_3.jpg","Ver imagen")</f>
        <v/>
      </c>
    </row>
    <row r="4223">
      <c r="A4223" t="inlineStr">
        <is>
          <t>T TAHARI</t>
        </is>
      </c>
      <c r="B4223" t="inlineStr">
        <is>
          <t>124010143</t>
        </is>
      </c>
      <c r="C4223" t="inlineStr">
        <is>
          <t>MONTANA</t>
        </is>
      </c>
      <c r="D4223" t="inlineStr">
        <is>
          <t>CHO</t>
        </is>
      </c>
      <c r="E4223" t="inlineStr">
        <is>
          <t>(en blanco)</t>
        </is>
      </c>
      <c r="F4223" t="inlineStr">
        <is>
          <t>D2C</t>
        </is>
      </c>
      <c r="G4223" t="inlineStr">
        <is>
          <t>XS</t>
        </is>
      </c>
      <c r="H4223" t="n">
        <v>7</v>
      </c>
      <c r="I4223" t="inlineStr">
        <is>
          <t>T_TAHARI_124010143_CHO_1.jpg</t>
        </is>
      </c>
      <c r="J4223" t="inlineStr">
        <is>
          <t>T_TAHARI_124010143_CHO_2.jpg</t>
        </is>
      </c>
      <c r="K4223" t="inlineStr">
        <is>
          <t>T_TAHARI_124010143_CHO_3.jpg</t>
        </is>
      </c>
      <c r="L4223">
        <f>IMAGE("file:///E:/Estudios%20y%20certificaciones/ESTUDIOS%20DE%20PROGRAMMING/PROGRAMMING/PERSONAL/PYTHON/Image_Generator_API/imagenes/T_TAHARI_124010143_CHO_1.jpg")</f>
        <v/>
      </c>
      <c r="M4223">
        <f>IMAGE("file:///E:/Estudios%20y%20certificaciones/ESTUDIOS%20DE%20PROGRAMMING/PROGRAMMING/PERSONAL/PYTHON/Image_Generator_API/imagenes/T_TAHARI_124010143_CHO_2.jpg")</f>
        <v/>
      </c>
      <c r="N4223">
        <f>IMAGE("file:///E:/Estudios%20y%20certificaciones/ESTUDIOS%20DE%20PROGRAMMING/PROGRAMMING/PERSONAL/PYTHON/Image_Generator_API/imagenes/T_TAHARI_124010143_CHO_3.jpg")</f>
        <v/>
      </c>
      <c r="O4223">
        <f>HYPERLINK("imagenes/T_TAHARI_124010143_CHO_1.jpg","Ver imagen")</f>
        <v/>
      </c>
      <c r="P4223">
        <f>HYPERLINK("imagenes/T_TAHARI_124010143_CHO_2.jpg","Ver imagen")</f>
        <v/>
      </c>
      <c r="Q4223">
        <f>HYPERLINK("imagenes/T_TAHARI_124010143_CHO_3.jpg","Ver imagen")</f>
        <v/>
      </c>
    </row>
    <row r="4224">
      <c r="A4224" t="inlineStr">
        <is>
          <t>T TAHARI</t>
        </is>
      </c>
      <c r="B4224" t="inlineStr">
        <is>
          <t>124010143</t>
        </is>
      </c>
      <c r="C4224" t="inlineStr">
        <is>
          <t>MONTANA</t>
        </is>
      </c>
      <c r="D4224" t="inlineStr">
        <is>
          <t>CHO</t>
        </is>
      </c>
      <c r="E4224" t="inlineStr">
        <is>
          <t>(en blanco)</t>
        </is>
      </c>
      <c r="F4224" t="inlineStr">
        <is>
          <t>D2C</t>
        </is>
      </c>
      <c r="G4224" t="inlineStr">
        <is>
          <t>S</t>
        </is>
      </c>
      <c r="H4224" t="n">
        <v>23</v>
      </c>
      <c r="I4224" t="inlineStr">
        <is>
          <t>T_TAHARI_124010143_CHO_1.jpg</t>
        </is>
      </c>
      <c r="J4224" t="inlineStr">
        <is>
          <t>T_TAHARI_124010143_CHO_2.jpg</t>
        </is>
      </c>
      <c r="K4224" t="inlineStr">
        <is>
          <t>T_TAHARI_124010143_CHO_3.jpg</t>
        </is>
      </c>
      <c r="L4224">
        <f>IMAGE("file:///E:/Estudios%20y%20certificaciones/ESTUDIOS%20DE%20PROGRAMMING/PROGRAMMING/PERSONAL/PYTHON/Image_Generator_API/imagenes/T_TAHARI_124010143_CHO_1.jpg")</f>
        <v/>
      </c>
      <c r="M4224">
        <f>IMAGE("file:///E:/Estudios%20y%20certificaciones/ESTUDIOS%20DE%20PROGRAMMING/PROGRAMMING/PERSONAL/PYTHON/Image_Generator_API/imagenes/T_TAHARI_124010143_CHO_2.jpg")</f>
        <v/>
      </c>
      <c r="N4224">
        <f>IMAGE("file:///E:/Estudios%20y%20certificaciones/ESTUDIOS%20DE%20PROGRAMMING/PROGRAMMING/PERSONAL/PYTHON/Image_Generator_API/imagenes/T_TAHARI_124010143_CHO_3.jpg")</f>
        <v/>
      </c>
      <c r="O4224">
        <f>HYPERLINK("imagenes/T_TAHARI_124010143_CHO_1.jpg","Ver imagen")</f>
        <v/>
      </c>
      <c r="P4224">
        <f>HYPERLINK("imagenes/T_TAHARI_124010143_CHO_2.jpg","Ver imagen")</f>
        <v/>
      </c>
      <c r="Q4224">
        <f>HYPERLINK("imagenes/T_TAHARI_124010143_CHO_3.jpg","Ver imagen")</f>
        <v/>
      </c>
    </row>
    <row r="4225">
      <c r="A4225" t="inlineStr">
        <is>
          <t>T TAHARI</t>
        </is>
      </c>
      <c r="B4225" t="inlineStr">
        <is>
          <t>124010143</t>
        </is>
      </c>
      <c r="C4225" t="inlineStr">
        <is>
          <t>MONTANA</t>
        </is>
      </c>
      <c r="D4225" t="inlineStr">
        <is>
          <t>CHO</t>
        </is>
      </c>
      <c r="E4225" t="inlineStr">
        <is>
          <t>(en blanco)</t>
        </is>
      </c>
      <c r="F4225" t="inlineStr">
        <is>
          <t>D2C</t>
        </is>
      </c>
      <c r="G4225" t="inlineStr">
        <is>
          <t>M</t>
        </is>
      </c>
      <c r="H4225" t="n">
        <v>22</v>
      </c>
      <c r="I4225" t="inlineStr">
        <is>
          <t>T_TAHARI_124010143_CHO_1.jpg</t>
        </is>
      </c>
      <c r="J4225" t="inlineStr">
        <is>
          <t>T_TAHARI_124010143_CHO_2.jpg</t>
        </is>
      </c>
      <c r="K4225" t="inlineStr">
        <is>
          <t>T_TAHARI_124010143_CHO_3.jpg</t>
        </is>
      </c>
      <c r="L4225">
        <f>IMAGE("file:///E:/Estudios%20y%20certificaciones/ESTUDIOS%20DE%20PROGRAMMING/PROGRAMMING/PERSONAL/PYTHON/Image_Generator_API/imagenes/T_TAHARI_124010143_CHO_1.jpg")</f>
        <v/>
      </c>
      <c r="M4225">
        <f>IMAGE("file:///E:/Estudios%20y%20certificaciones/ESTUDIOS%20DE%20PROGRAMMING/PROGRAMMING/PERSONAL/PYTHON/Image_Generator_API/imagenes/T_TAHARI_124010143_CHO_2.jpg")</f>
        <v/>
      </c>
      <c r="N4225">
        <f>IMAGE("file:///E:/Estudios%20y%20certificaciones/ESTUDIOS%20DE%20PROGRAMMING/PROGRAMMING/PERSONAL/PYTHON/Image_Generator_API/imagenes/T_TAHARI_124010143_CHO_3.jpg")</f>
        <v/>
      </c>
      <c r="O4225">
        <f>HYPERLINK("imagenes/T_TAHARI_124010143_CHO_1.jpg","Ver imagen")</f>
        <v/>
      </c>
      <c r="P4225">
        <f>HYPERLINK("imagenes/T_TAHARI_124010143_CHO_2.jpg","Ver imagen")</f>
        <v/>
      </c>
      <c r="Q4225">
        <f>HYPERLINK("imagenes/T_TAHARI_124010143_CHO_3.jpg","Ver imagen")</f>
        <v/>
      </c>
    </row>
    <row r="4226">
      <c r="A4226" t="inlineStr">
        <is>
          <t>T TAHARI</t>
        </is>
      </c>
      <c r="B4226" t="inlineStr">
        <is>
          <t>124010143</t>
        </is>
      </c>
      <c r="C4226" t="inlineStr">
        <is>
          <t>MONTANA</t>
        </is>
      </c>
      <c r="D4226" t="inlineStr">
        <is>
          <t>CHO</t>
        </is>
      </c>
      <c r="E4226" t="inlineStr">
        <is>
          <t>(en blanco)</t>
        </is>
      </c>
      <c r="F4226" t="inlineStr">
        <is>
          <t>D2C</t>
        </is>
      </c>
      <c r="G4226" t="inlineStr">
        <is>
          <t>L</t>
        </is>
      </c>
      <c r="H4226" t="n">
        <v>29</v>
      </c>
      <c r="I4226" t="inlineStr">
        <is>
          <t>T_TAHARI_124010143_CHO_1.jpg</t>
        </is>
      </c>
      <c r="J4226" t="inlineStr">
        <is>
          <t>T_TAHARI_124010143_CHO_2.jpg</t>
        </is>
      </c>
      <c r="K4226" t="inlineStr">
        <is>
          <t>T_TAHARI_124010143_CHO_3.jpg</t>
        </is>
      </c>
      <c r="L4226">
        <f>IMAGE("file:///E:/Estudios%20y%20certificaciones/ESTUDIOS%20DE%20PROGRAMMING/PROGRAMMING/PERSONAL/PYTHON/Image_Generator_API/imagenes/T_TAHARI_124010143_CHO_1.jpg")</f>
        <v/>
      </c>
      <c r="M4226">
        <f>IMAGE("file:///E:/Estudios%20y%20certificaciones/ESTUDIOS%20DE%20PROGRAMMING/PROGRAMMING/PERSONAL/PYTHON/Image_Generator_API/imagenes/T_TAHARI_124010143_CHO_2.jpg")</f>
        <v/>
      </c>
      <c r="N4226">
        <f>IMAGE("file:///E:/Estudios%20y%20certificaciones/ESTUDIOS%20DE%20PROGRAMMING/PROGRAMMING/PERSONAL/PYTHON/Image_Generator_API/imagenes/T_TAHARI_124010143_CHO_3.jpg")</f>
        <v/>
      </c>
      <c r="O4226">
        <f>HYPERLINK("imagenes/T_TAHARI_124010143_CHO_1.jpg","Ver imagen")</f>
        <v/>
      </c>
      <c r="P4226">
        <f>HYPERLINK("imagenes/T_TAHARI_124010143_CHO_2.jpg","Ver imagen")</f>
        <v/>
      </c>
      <c r="Q4226">
        <f>HYPERLINK("imagenes/T_TAHARI_124010143_CHO_3.jpg","Ver imagen")</f>
        <v/>
      </c>
    </row>
    <row r="4227">
      <c r="A4227" t="inlineStr">
        <is>
          <t>T TAHARI</t>
        </is>
      </c>
      <c r="B4227" t="inlineStr">
        <is>
          <t>124010143</t>
        </is>
      </c>
      <c r="C4227" t="inlineStr">
        <is>
          <t>MONTANA</t>
        </is>
      </c>
      <c r="D4227" t="inlineStr">
        <is>
          <t>CHO</t>
        </is>
      </c>
      <c r="E4227" t="inlineStr">
        <is>
          <t>(en blanco)</t>
        </is>
      </c>
      <c r="F4227" t="inlineStr">
        <is>
          <t>D2C</t>
        </is>
      </c>
      <c r="G4227" t="inlineStr">
        <is>
          <t>XL</t>
        </is>
      </c>
      <c r="H4227" t="n">
        <v>15</v>
      </c>
      <c r="I4227" t="inlineStr">
        <is>
          <t>T_TAHARI_124010143_CHO_1.jpg</t>
        </is>
      </c>
      <c r="J4227" t="inlineStr">
        <is>
          <t>T_TAHARI_124010143_CHO_2.jpg</t>
        </is>
      </c>
      <c r="K4227" t="inlineStr">
        <is>
          <t>T_TAHARI_124010143_CHO_3.jpg</t>
        </is>
      </c>
      <c r="L4227">
        <f>IMAGE("file:///E:/Estudios%20y%20certificaciones/ESTUDIOS%20DE%20PROGRAMMING/PROGRAMMING/PERSONAL/PYTHON/Image_Generator_API/imagenes/T_TAHARI_124010143_CHO_1.jpg")</f>
        <v/>
      </c>
      <c r="M4227">
        <f>IMAGE("file:///E:/Estudios%20y%20certificaciones/ESTUDIOS%20DE%20PROGRAMMING/PROGRAMMING/PERSONAL/PYTHON/Image_Generator_API/imagenes/T_TAHARI_124010143_CHO_2.jpg")</f>
        <v/>
      </c>
      <c r="N4227">
        <f>IMAGE("file:///E:/Estudios%20y%20certificaciones/ESTUDIOS%20DE%20PROGRAMMING/PROGRAMMING/PERSONAL/PYTHON/Image_Generator_API/imagenes/T_TAHARI_124010143_CHO_3.jpg")</f>
        <v/>
      </c>
      <c r="O4227">
        <f>HYPERLINK("imagenes/T_TAHARI_124010143_CHO_1.jpg","Ver imagen")</f>
        <v/>
      </c>
      <c r="P4227">
        <f>HYPERLINK("imagenes/T_TAHARI_124010143_CHO_2.jpg","Ver imagen")</f>
        <v/>
      </c>
      <c r="Q4227">
        <f>HYPERLINK("imagenes/T_TAHARI_124010143_CHO_3.jpg","Ver imagen")</f>
        <v/>
      </c>
    </row>
    <row r="4228">
      <c r="A4228" t="inlineStr">
        <is>
          <t>T TAHARI</t>
        </is>
      </c>
      <c r="B4228" t="inlineStr">
        <is>
          <t>124010143</t>
        </is>
      </c>
      <c r="C4228" t="inlineStr">
        <is>
          <t>MONTANA</t>
        </is>
      </c>
      <c r="D4228" t="inlineStr">
        <is>
          <t>CHO</t>
        </is>
      </c>
      <c r="E4228" t="inlineStr">
        <is>
          <t>(en blanco)</t>
        </is>
      </c>
      <c r="F4228" t="inlineStr">
        <is>
          <t>M1155</t>
        </is>
      </c>
      <c r="G4228" t="inlineStr">
        <is>
          <t>XS</t>
        </is>
      </c>
      <c r="H4228" t="n">
        <v>3</v>
      </c>
      <c r="I4228" t="inlineStr">
        <is>
          <t>T_TAHARI_124010143_CHO_1.jpg</t>
        </is>
      </c>
      <c r="J4228" t="inlineStr">
        <is>
          <t>T_TAHARI_124010143_CHO_2.jpg</t>
        </is>
      </c>
      <c r="K4228" t="inlineStr">
        <is>
          <t>T_TAHARI_124010143_CHO_3.jpg</t>
        </is>
      </c>
      <c r="L4228">
        <f>IMAGE("file:///E:/Estudios%20y%20certificaciones/ESTUDIOS%20DE%20PROGRAMMING/PROGRAMMING/PERSONAL/PYTHON/Image_Generator_API/imagenes/T_TAHARI_124010143_CHO_1.jpg")</f>
        <v/>
      </c>
      <c r="M4228">
        <f>IMAGE("file:///E:/Estudios%20y%20certificaciones/ESTUDIOS%20DE%20PROGRAMMING/PROGRAMMING/PERSONAL/PYTHON/Image_Generator_API/imagenes/T_TAHARI_124010143_CHO_2.jpg")</f>
        <v/>
      </c>
      <c r="N4228">
        <f>IMAGE("file:///E:/Estudios%20y%20certificaciones/ESTUDIOS%20DE%20PROGRAMMING/PROGRAMMING/PERSONAL/PYTHON/Image_Generator_API/imagenes/T_TAHARI_124010143_CHO_3.jpg")</f>
        <v/>
      </c>
      <c r="O4228">
        <f>HYPERLINK("imagenes/T_TAHARI_124010143_CHO_1.jpg","Ver imagen")</f>
        <v/>
      </c>
      <c r="P4228">
        <f>HYPERLINK("imagenes/T_TAHARI_124010143_CHO_2.jpg","Ver imagen")</f>
        <v/>
      </c>
      <c r="Q4228">
        <f>HYPERLINK("imagenes/T_TAHARI_124010143_CHO_3.jpg","Ver imagen")</f>
        <v/>
      </c>
    </row>
    <row r="4229">
      <c r="A4229" t="inlineStr">
        <is>
          <t>T TAHARI</t>
        </is>
      </c>
      <c r="B4229" t="inlineStr">
        <is>
          <t>124010143</t>
        </is>
      </c>
      <c r="C4229" t="inlineStr">
        <is>
          <t>MONTANA</t>
        </is>
      </c>
      <c r="D4229" t="inlineStr">
        <is>
          <t>CHO</t>
        </is>
      </c>
      <c r="E4229" t="inlineStr">
        <is>
          <t>(en blanco)</t>
        </is>
      </c>
      <c r="F4229" t="inlineStr">
        <is>
          <t>M1155</t>
        </is>
      </c>
      <c r="G4229" t="inlineStr">
        <is>
          <t>S</t>
        </is>
      </c>
      <c r="H4229" t="n">
        <v>7</v>
      </c>
      <c r="I4229" t="inlineStr">
        <is>
          <t>T_TAHARI_124010143_CHO_1.jpg</t>
        </is>
      </c>
      <c r="J4229" t="inlineStr">
        <is>
          <t>T_TAHARI_124010143_CHO_2.jpg</t>
        </is>
      </c>
      <c r="K4229" t="inlineStr">
        <is>
          <t>T_TAHARI_124010143_CHO_3.jpg</t>
        </is>
      </c>
      <c r="L4229">
        <f>IMAGE("file:///E:/Estudios%20y%20certificaciones/ESTUDIOS%20DE%20PROGRAMMING/PROGRAMMING/PERSONAL/PYTHON/Image_Generator_API/imagenes/T_TAHARI_124010143_CHO_1.jpg")</f>
        <v/>
      </c>
      <c r="M4229">
        <f>IMAGE("file:///E:/Estudios%20y%20certificaciones/ESTUDIOS%20DE%20PROGRAMMING/PROGRAMMING/PERSONAL/PYTHON/Image_Generator_API/imagenes/T_TAHARI_124010143_CHO_2.jpg")</f>
        <v/>
      </c>
      <c r="N4229">
        <f>IMAGE("file:///E:/Estudios%20y%20certificaciones/ESTUDIOS%20DE%20PROGRAMMING/PROGRAMMING/PERSONAL/PYTHON/Image_Generator_API/imagenes/T_TAHARI_124010143_CHO_3.jpg")</f>
        <v/>
      </c>
      <c r="O4229">
        <f>HYPERLINK("imagenes/T_TAHARI_124010143_CHO_1.jpg","Ver imagen")</f>
        <v/>
      </c>
      <c r="P4229">
        <f>HYPERLINK("imagenes/T_TAHARI_124010143_CHO_2.jpg","Ver imagen")</f>
        <v/>
      </c>
      <c r="Q4229">
        <f>HYPERLINK("imagenes/T_TAHARI_124010143_CHO_3.jpg","Ver imagen")</f>
        <v/>
      </c>
    </row>
    <row r="4230">
      <c r="A4230" t="inlineStr">
        <is>
          <t>T TAHARI</t>
        </is>
      </c>
      <c r="B4230" t="inlineStr">
        <is>
          <t>124010143</t>
        </is>
      </c>
      <c r="C4230" t="inlineStr">
        <is>
          <t>MONTANA</t>
        </is>
      </c>
      <c r="D4230" t="inlineStr">
        <is>
          <t>CHO</t>
        </is>
      </c>
      <c r="E4230" t="inlineStr">
        <is>
          <t>(en blanco)</t>
        </is>
      </c>
      <c r="F4230" t="inlineStr">
        <is>
          <t>M1155</t>
        </is>
      </c>
      <c r="G4230" t="inlineStr">
        <is>
          <t>M</t>
        </is>
      </c>
      <c r="H4230" t="n">
        <v>10</v>
      </c>
      <c r="I4230" t="inlineStr">
        <is>
          <t>T_TAHARI_124010143_CHO_1.jpg</t>
        </is>
      </c>
      <c r="J4230" t="inlineStr">
        <is>
          <t>T_TAHARI_124010143_CHO_2.jpg</t>
        </is>
      </c>
      <c r="K4230" t="inlineStr">
        <is>
          <t>T_TAHARI_124010143_CHO_3.jpg</t>
        </is>
      </c>
      <c r="L4230">
        <f>IMAGE("file:///E:/Estudios%20y%20certificaciones/ESTUDIOS%20DE%20PROGRAMMING/PROGRAMMING/PERSONAL/PYTHON/Image_Generator_API/imagenes/T_TAHARI_124010143_CHO_1.jpg")</f>
        <v/>
      </c>
      <c r="M4230">
        <f>IMAGE("file:///E:/Estudios%20y%20certificaciones/ESTUDIOS%20DE%20PROGRAMMING/PROGRAMMING/PERSONAL/PYTHON/Image_Generator_API/imagenes/T_TAHARI_124010143_CHO_2.jpg")</f>
        <v/>
      </c>
      <c r="N4230">
        <f>IMAGE("file:///E:/Estudios%20y%20certificaciones/ESTUDIOS%20DE%20PROGRAMMING/PROGRAMMING/PERSONAL/PYTHON/Image_Generator_API/imagenes/T_TAHARI_124010143_CHO_3.jpg")</f>
        <v/>
      </c>
      <c r="O4230">
        <f>HYPERLINK("imagenes/T_TAHARI_124010143_CHO_1.jpg","Ver imagen")</f>
        <v/>
      </c>
      <c r="P4230">
        <f>HYPERLINK("imagenes/T_TAHARI_124010143_CHO_2.jpg","Ver imagen")</f>
        <v/>
      </c>
      <c r="Q4230">
        <f>HYPERLINK("imagenes/T_TAHARI_124010143_CHO_3.jpg","Ver imagen")</f>
        <v/>
      </c>
    </row>
    <row r="4231">
      <c r="A4231" t="inlineStr">
        <is>
          <t>T TAHARI</t>
        </is>
      </c>
      <c r="B4231" t="inlineStr">
        <is>
          <t>124010143</t>
        </is>
      </c>
      <c r="C4231" t="inlineStr">
        <is>
          <t>MONTANA</t>
        </is>
      </c>
      <c r="D4231" t="inlineStr">
        <is>
          <t>CHO</t>
        </is>
      </c>
      <c r="E4231" t="inlineStr">
        <is>
          <t>(en blanco)</t>
        </is>
      </c>
      <c r="F4231" t="inlineStr">
        <is>
          <t>M1155</t>
        </is>
      </c>
      <c r="G4231" t="inlineStr">
        <is>
          <t>L</t>
        </is>
      </c>
      <c r="H4231" t="n">
        <v>10</v>
      </c>
      <c r="I4231" t="inlineStr">
        <is>
          <t>T_TAHARI_124010143_CHO_1.jpg</t>
        </is>
      </c>
      <c r="J4231" t="inlineStr">
        <is>
          <t>T_TAHARI_124010143_CHO_2.jpg</t>
        </is>
      </c>
      <c r="K4231" t="inlineStr">
        <is>
          <t>T_TAHARI_124010143_CHO_3.jpg</t>
        </is>
      </c>
      <c r="L4231">
        <f>IMAGE("file:///E:/Estudios%20y%20certificaciones/ESTUDIOS%20DE%20PROGRAMMING/PROGRAMMING/PERSONAL/PYTHON/Image_Generator_API/imagenes/T_TAHARI_124010143_CHO_1.jpg")</f>
        <v/>
      </c>
      <c r="M4231">
        <f>IMAGE("file:///E:/Estudios%20y%20certificaciones/ESTUDIOS%20DE%20PROGRAMMING/PROGRAMMING/PERSONAL/PYTHON/Image_Generator_API/imagenes/T_TAHARI_124010143_CHO_2.jpg")</f>
        <v/>
      </c>
      <c r="N4231">
        <f>IMAGE("file:///E:/Estudios%20y%20certificaciones/ESTUDIOS%20DE%20PROGRAMMING/PROGRAMMING/PERSONAL/PYTHON/Image_Generator_API/imagenes/T_TAHARI_124010143_CHO_3.jpg")</f>
        <v/>
      </c>
      <c r="O4231">
        <f>HYPERLINK("imagenes/T_TAHARI_124010143_CHO_1.jpg","Ver imagen")</f>
        <v/>
      </c>
      <c r="P4231">
        <f>HYPERLINK("imagenes/T_TAHARI_124010143_CHO_2.jpg","Ver imagen")</f>
        <v/>
      </c>
      <c r="Q4231">
        <f>HYPERLINK("imagenes/T_TAHARI_124010143_CHO_3.jpg","Ver imagen")</f>
        <v/>
      </c>
    </row>
    <row r="4232">
      <c r="A4232" t="inlineStr">
        <is>
          <t>T TAHARI</t>
        </is>
      </c>
      <c r="B4232" t="inlineStr">
        <is>
          <t>124010143</t>
        </is>
      </c>
      <c r="C4232" t="inlineStr">
        <is>
          <t>MONTANA</t>
        </is>
      </c>
      <c r="D4232" t="inlineStr">
        <is>
          <t>CHO</t>
        </is>
      </c>
      <c r="E4232" t="inlineStr">
        <is>
          <t>(en blanco)</t>
        </is>
      </c>
      <c r="F4232" t="inlineStr">
        <is>
          <t>M1155</t>
        </is>
      </c>
      <c r="G4232" t="inlineStr">
        <is>
          <t>XL</t>
        </is>
      </c>
      <c r="H4232" t="n">
        <v>6</v>
      </c>
      <c r="I4232" t="inlineStr">
        <is>
          <t>T_TAHARI_124010143_CHO_1.jpg</t>
        </is>
      </c>
      <c r="J4232" t="inlineStr">
        <is>
          <t>T_TAHARI_124010143_CHO_2.jpg</t>
        </is>
      </c>
      <c r="K4232" t="inlineStr">
        <is>
          <t>T_TAHARI_124010143_CHO_3.jpg</t>
        </is>
      </c>
      <c r="L4232">
        <f>IMAGE("file:///E:/Estudios%20y%20certificaciones/ESTUDIOS%20DE%20PROGRAMMING/PROGRAMMING/PERSONAL/PYTHON/Image_Generator_API/imagenes/T_TAHARI_124010143_CHO_1.jpg")</f>
        <v/>
      </c>
      <c r="M4232">
        <f>IMAGE("file:///E:/Estudios%20y%20certificaciones/ESTUDIOS%20DE%20PROGRAMMING/PROGRAMMING/PERSONAL/PYTHON/Image_Generator_API/imagenes/T_TAHARI_124010143_CHO_2.jpg")</f>
        <v/>
      </c>
      <c r="N4232">
        <f>IMAGE("file:///E:/Estudios%20y%20certificaciones/ESTUDIOS%20DE%20PROGRAMMING/PROGRAMMING/PERSONAL/PYTHON/Image_Generator_API/imagenes/T_TAHARI_124010143_CHO_3.jpg")</f>
        <v/>
      </c>
      <c r="O4232">
        <f>HYPERLINK("imagenes/T_TAHARI_124010143_CHO_1.jpg","Ver imagen")</f>
        <v/>
      </c>
      <c r="P4232">
        <f>HYPERLINK("imagenes/T_TAHARI_124010143_CHO_2.jpg","Ver imagen")</f>
        <v/>
      </c>
      <c r="Q4232">
        <f>HYPERLINK("imagenes/T_TAHARI_124010143_CHO_3.jpg","Ver imagen")</f>
        <v/>
      </c>
    </row>
    <row r="4233">
      <c r="A4233" t="inlineStr">
        <is>
          <t>T TAHARI</t>
        </is>
      </c>
      <c r="B4233" t="inlineStr">
        <is>
          <t>124010143</t>
        </is>
      </c>
      <c r="C4233" t="inlineStr">
        <is>
          <t>MONTANA</t>
        </is>
      </c>
      <c r="D4233" t="inlineStr">
        <is>
          <t>CHO</t>
        </is>
      </c>
      <c r="E4233" t="inlineStr">
        <is>
          <t>(en blanco)</t>
        </is>
      </c>
      <c r="F4233" t="inlineStr">
        <is>
          <t>M1155</t>
        </is>
      </c>
      <c r="G4233" t="inlineStr">
        <is>
          <t>XXL</t>
        </is>
      </c>
      <c r="H4233" t="n">
        <v>3</v>
      </c>
      <c r="I4233" t="inlineStr">
        <is>
          <t>T_TAHARI_124010143_CHO_1.jpg</t>
        </is>
      </c>
      <c r="J4233" t="inlineStr">
        <is>
          <t>T_TAHARI_124010143_CHO_2.jpg</t>
        </is>
      </c>
      <c r="K4233" t="inlineStr">
        <is>
          <t>T_TAHARI_124010143_CHO_3.jpg</t>
        </is>
      </c>
      <c r="L4233">
        <f>IMAGE("file:///E:/Estudios%20y%20certificaciones/ESTUDIOS%20DE%20PROGRAMMING/PROGRAMMING/PERSONAL/PYTHON/Image_Generator_API/imagenes/T_TAHARI_124010143_CHO_1.jpg")</f>
        <v/>
      </c>
      <c r="M4233">
        <f>IMAGE("file:///E:/Estudios%20y%20certificaciones/ESTUDIOS%20DE%20PROGRAMMING/PROGRAMMING/PERSONAL/PYTHON/Image_Generator_API/imagenes/T_TAHARI_124010143_CHO_2.jpg")</f>
        <v/>
      </c>
      <c r="N4233">
        <f>IMAGE("file:///E:/Estudios%20y%20certificaciones/ESTUDIOS%20DE%20PROGRAMMING/PROGRAMMING/PERSONAL/PYTHON/Image_Generator_API/imagenes/T_TAHARI_124010143_CHO_3.jpg")</f>
        <v/>
      </c>
      <c r="O4233">
        <f>HYPERLINK("imagenes/T_TAHARI_124010143_CHO_1.jpg","Ver imagen")</f>
        <v/>
      </c>
      <c r="P4233">
        <f>HYPERLINK("imagenes/T_TAHARI_124010143_CHO_2.jpg","Ver imagen")</f>
        <v/>
      </c>
      <c r="Q4233">
        <f>HYPERLINK("imagenes/T_TAHARI_124010143_CHO_3.jpg","Ver imagen")</f>
        <v/>
      </c>
    </row>
    <row r="4234">
      <c r="A4234" t="inlineStr">
        <is>
          <t>T TAHARI</t>
        </is>
      </c>
      <c r="B4234" t="inlineStr">
        <is>
          <t>124010143</t>
        </is>
      </c>
      <c r="C4234" t="inlineStr">
        <is>
          <t>MONTANA</t>
        </is>
      </c>
      <c r="D4234" t="inlineStr">
        <is>
          <t>CHO</t>
        </is>
      </c>
      <c r="E4234" t="inlineStr">
        <is>
          <t>(en blanco)</t>
        </is>
      </c>
      <c r="F4234" t="inlineStr">
        <is>
          <t>M1155</t>
        </is>
      </c>
      <c r="G4234" t="inlineStr">
        <is>
          <t>XXS</t>
        </is>
      </c>
      <c r="H4234" t="n">
        <v>1</v>
      </c>
      <c r="I4234" t="inlineStr">
        <is>
          <t>T_TAHARI_124010143_CHO_1.jpg</t>
        </is>
      </c>
      <c r="J4234" t="inlineStr">
        <is>
          <t>T_TAHARI_124010143_CHO_2.jpg</t>
        </is>
      </c>
      <c r="K4234" t="inlineStr">
        <is>
          <t>T_TAHARI_124010143_CHO_3.jpg</t>
        </is>
      </c>
      <c r="L4234">
        <f>IMAGE("file:///E:/Estudios%20y%20certificaciones/ESTUDIOS%20DE%20PROGRAMMING/PROGRAMMING/PERSONAL/PYTHON/Image_Generator_API/imagenes/T_TAHARI_124010143_CHO_1.jpg")</f>
        <v/>
      </c>
      <c r="M4234">
        <f>IMAGE("file:///E:/Estudios%20y%20certificaciones/ESTUDIOS%20DE%20PROGRAMMING/PROGRAMMING/PERSONAL/PYTHON/Image_Generator_API/imagenes/T_TAHARI_124010143_CHO_2.jpg")</f>
        <v/>
      </c>
      <c r="N4234">
        <f>IMAGE("file:///E:/Estudios%20y%20certificaciones/ESTUDIOS%20DE%20PROGRAMMING/PROGRAMMING/PERSONAL/PYTHON/Image_Generator_API/imagenes/T_TAHARI_124010143_CHO_3.jpg")</f>
        <v/>
      </c>
      <c r="O4234">
        <f>HYPERLINK("imagenes/T_TAHARI_124010143_CHO_1.jpg","Ver imagen")</f>
        <v/>
      </c>
      <c r="P4234">
        <f>HYPERLINK("imagenes/T_TAHARI_124010143_CHO_2.jpg","Ver imagen")</f>
        <v/>
      </c>
      <c r="Q4234">
        <f>HYPERLINK("imagenes/T_TAHARI_124010143_CHO_3.jpg","Ver imagen")</f>
        <v/>
      </c>
    </row>
    <row r="4235">
      <c r="A4235" t="inlineStr">
        <is>
          <t>T TAHARI</t>
        </is>
      </c>
      <c r="B4235" t="inlineStr">
        <is>
          <t>124010143</t>
        </is>
      </c>
      <c r="C4235" t="inlineStr">
        <is>
          <t>MONTANA</t>
        </is>
      </c>
      <c r="D4235" t="inlineStr">
        <is>
          <t>CHO</t>
        </is>
      </c>
      <c r="E4235" t="inlineStr">
        <is>
          <t>(en blanco)</t>
        </is>
      </c>
      <c r="F4235" t="inlineStr">
        <is>
          <t>(en blanco)</t>
        </is>
      </c>
      <c r="G4235" t="inlineStr">
        <is>
          <t>XS</t>
        </is>
      </c>
      <c r="H4235" t="n">
        <v>1</v>
      </c>
      <c r="I4235" t="inlineStr">
        <is>
          <t>T_TAHARI_124010143_CHO_1.jpg</t>
        </is>
      </c>
      <c r="J4235" t="inlineStr">
        <is>
          <t>T_TAHARI_124010143_CHO_2.jpg</t>
        </is>
      </c>
      <c r="K4235" t="inlineStr">
        <is>
          <t>T_TAHARI_124010143_CHO_3.jpg</t>
        </is>
      </c>
      <c r="L4235">
        <f>IMAGE("file:///E:/Estudios%20y%20certificaciones/ESTUDIOS%20DE%20PROGRAMMING/PROGRAMMING/PERSONAL/PYTHON/Image_Generator_API/imagenes/T_TAHARI_124010143_CHO_1.jpg")</f>
        <v/>
      </c>
      <c r="M4235">
        <f>IMAGE("file:///E:/Estudios%20y%20certificaciones/ESTUDIOS%20DE%20PROGRAMMING/PROGRAMMING/PERSONAL/PYTHON/Image_Generator_API/imagenes/T_TAHARI_124010143_CHO_2.jpg")</f>
        <v/>
      </c>
      <c r="N4235">
        <f>IMAGE("file:///E:/Estudios%20y%20certificaciones/ESTUDIOS%20DE%20PROGRAMMING/PROGRAMMING/PERSONAL/PYTHON/Image_Generator_API/imagenes/T_TAHARI_124010143_CHO_3.jpg")</f>
        <v/>
      </c>
      <c r="O4235">
        <f>HYPERLINK("imagenes/T_TAHARI_124010143_CHO_1.jpg","Ver imagen")</f>
        <v/>
      </c>
      <c r="P4235">
        <f>HYPERLINK("imagenes/T_TAHARI_124010143_CHO_2.jpg","Ver imagen")</f>
        <v/>
      </c>
      <c r="Q4235">
        <f>HYPERLINK("imagenes/T_TAHARI_124010143_CHO_3.jpg","Ver imagen")</f>
        <v/>
      </c>
    </row>
    <row r="4236">
      <c r="A4236" t="inlineStr">
        <is>
          <t>T TAHARI</t>
        </is>
      </c>
      <c r="B4236" t="inlineStr">
        <is>
          <t>124010143</t>
        </is>
      </c>
      <c r="C4236" t="inlineStr">
        <is>
          <t>MONTANA</t>
        </is>
      </c>
      <c r="D4236" t="inlineStr">
        <is>
          <t>CHO</t>
        </is>
      </c>
      <c r="E4236" t="inlineStr">
        <is>
          <t>(en blanco)</t>
        </is>
      </c>
      <c r="F4236" t="inlineStr">
        <is>
          <t>(en blanco)</t>
        </is>
      </c>
      <c r="G4236" t="inlineStr">
        <is>
          <t>S</t>
        </is>
      </c>
      <c r="H4236" t="n">
        <v>5</v>
      </c>
      <c r="I4236" t="inlineStr">
        <is>
          <t>T_TAHARI_124010143_CHO_1.jpg</t>
        </is>
      </c>
      <c r="J4236" t="inlineStr">
        <is>
          <t>T_TAHARI_124010143_CHO_2.jpg</t>
        </is>
      </c>
      <c r="K4236" t="inlineStr">
        <is>
          <t>T_TAHARI_124010143_CHO_3.jpg</t>
        </is>
      </c>
      <c r="L4236">
        <f>IMAGE("file:///E:/Estudios%20y%20certificaciones/ESTUDIOS%20DE%20PROGRAMMING/PROGRAMMING/PERSONAL/PYTHON/Image_Generator_API/imagenes/T_TAHARI_124010143_CHO_1.jpg")</f>
        <v/>
      </c>
      <c r="M4236">
        <f>IMAGE("file:///E:/Estudios%20y%20certificaciones/ESTUDIOS%20DE%20PROGRAMMING/PROGRAMMING/PERSONAL/PYTHON/Image_Generator_API/imagenes/T_TAHARI_124010143_CHO_2.jpg")</f>
        <v/>
      </c>
      <c r="N4236">
        <f>IMAGE("file:///E:/Estudios%20y%20certificaciones/ESTUDIOS%20DE%20PROGRAMMING/PROGRAMMING/PERSONAL/PYTHON/Image_Generator_API/imagenes/T_TAHARI_124010143_CHO_3.jpg")</f>
        <v/>
      </c>
      <c r="O4236">
        <f>HYPERLINK("imagenes/T_TAHARI_124010143_CHO_1.jpg","Ver imagen")</f>
        <v/>
      </c>
      <c r="P4236">
        <f>HYPERLINK("imagenes/T_TAHARI_124010143_CHO_2.jpg","Ver imagen")</f>
        <v/>
      </c>
      <c r="Q4236">
        <f>HYPERLINK("imagenes/T_TAHARI_124010143_CHO_3.jpg","Ver imagen")</f>
        <v/>
      </c>
    </row>
    <row r="4237">
      <c r="A4237" t="inlineStr">
        <is>
          <t>T TAHARI</t>
        </is>
      </c>
      <c r="B4237" t="inlineStr">
        <is>
          <t>124010143</t>
        </is>
      </c>
      <c r="C4237" t="inlineStr">
        <is>
          <t>MONTANA</t>
        </is>
      </c>
      <c r="D4237" t="inlineStr">
        <is>
          <t>CHO</t>
        </is>
      </c>
      <c r="E4237" t="inlineStr">
        <is>
          <t>(en blanco)</t>
        </is>
      </c>
      <c r="F4237" t="inlineStr">
        <is>
          <t>(en blanco)</t>
        </is>
      </c>
      <c r="G4237" t="inlineStr">
        <is>
          <t>M</t>
        </is>
      </c>
      <c r="H4237" t="n">
        <v>7</v>
      </c>
      <c r="I4237" t="inlineStr">
        <is>
          <t>T_TAHARI_124010143_CHO_1.jpg</t>
        </is>
      </c>
      <c r="J4237" t="inlineStr">
        <is>
          <t>T_TAHARI_124010143_CHO_2.jpg</t>
        </is>
      </c>
      <c r="K4237" t="inlineStr">
        <is>
          <t>T_TAHARI_124010143_CHO_3.jpg</t>
        </is>
      </c>
      <c r="L4237">
        <f>IMAGE("file:///E:/Estudios%20y%20certificaciones/ESTUDIOS%20DE%20PROGRAMMING/PROGRAMMING/PERSONAL/PYTHON/Image_Generator_API/imagenes/T_TAHARI_124010143_CHO_1.jpg")</f>
        <v/>
      </c>
      <c r="M4237">
        <f>IMAGE("file:///E:/Estudios%20y%20certificaciones/ESTUDIOS%20DE%20PROGRAMMING/PROGRAMMING/PERSONAL/PYTHON/Image_Generator_API/imagenes/T_TAHARI_124010143_CHO_2.jpg")</f>
        <v/>
      </c>
      <c r="N4237">
        <f>IMAGE("file:///E:/Estudios%20y%20certificaciones/ESTUDIOS%20DE%20PROGRAMMING/PROGRAMMING/PERSONAL/PYTHON/Image_Generator_API/imagenes/T_TAHARI_124010143_CHO_3.jpg")</f>
        <v/>
      </c>
      <c r="O4237">
        <f>HYPERLINK("imagenes/T_TAHARI_124010143_CHO_1.jpg","Ver imagen")</f>
        <v/>
      </c>
      <c r="P4237">
        <f>HYPERLINK("imagenes/T_TAHARI_124010143_CHO_2.jpg","Ver imagen")</f>
        <v/>
      </c>
      <c r="Q4237">
        <f>HYPERLINK("imagenes/T_TAHARI_124010143_CHO_3.jpg","Ver imagen")</f>
        <v/>
      </c>
    </row>
    <row r="4238">
      <c r="A4238" t="inlineStr">
        <is>
          <t>T TAHARI</t>
        </is>
      </c>
      <c r="B4238" t="inlineStr">
        <is>
          <t>124010143</t>
        </is>
      </c>
      <c r="C4238" t="inlineStr">
        <is>
          <t>MONTANA</t>
        </is>
      </c>
      <c r="D4238" t="inlineStr">
        <is>
          <t>CHO</t>
        </is>
      </c>
      <c r="E4238" t="inlineStr">
        <is>
          <t>(en blanco)</t>
        </is>
      </c>
      <c r="F4238" t="inlineStr">
        <is>
          <t>(en blanco)</t>
        </is>
      </c>
      <c r="G4238" t="inlineStr">
        <is>
          <t>L</t>
        </is>
      </c>
      <c r="H4238" t="n">
        <v>3</v>
      </c>
      <c r="I4238" t="inlineStr">
        <is>
          <t>T_TAHARI_124010143_CHO_1.jpg</t>
        </is>
      </c>
      <c r="J4238" t="inlineStr">
        <is>
          <t>T_TAHARI_124010143_CHO_2.jpg</t>
        </is>
      </c>
      <c r="K4238" t="inlineStr">
        <is>
          <t>T_TAHARI_124010143_CHO_3.jpg</t>
        </is>
      </c>
      <c r="L4238">
        <f>IMAGE("file:///E:/Estudios%20y%20certificaciones/ESTUDIOS%20DE%20PROGRAMMING/PROGRAMMING/PERSONAL/PYTHON/Image_Generator_API/imagenes/T_TAHARI_124010143_CHO_1.jpg")</f>
        <v/>
      </c>
      <c r="M4238">
        <f>IMAGE("file:///E:/Estudios%20y%20certificaciones/ESTUDIOS%20DE%20PROGRAMMING/PROGRAMMING/PERSONAL/PYTHON/Image_Generator_API/imagenes/T_TAHARI_124010143_CHO_2.jpg")</f>
        <v/>
      </c>
      <c r="N4238">
        <f>IMAGE("file:///E:/Estudios%20y%20certificaciones/ESTUDIOS%20DE%20PROGRAMMING/PROGRAMMING/PERSONAL/PYTHON/Image_Generator_API/imagenes/T_TAHARI_124010143_CHO_3.jpg")</f>
        <v/>
      </c>
      <c r="O4238">
        <f>HYPERLINK("imagenes/T_TAHARI_124010143_CHO_1.jpg","Ver imagen")</f>
        <v/>
      </c>
      <c r="P4238">
        <f>HYPERLINK("imagenes/T_TAHARI_124010143_CHO_2.jpg","Ver imagen")</f>
        <v/>
      </c>
      <c r="Q4238">
        <f>HYPERLINK("imagenes/T_TAHARI_124010143_CHO_3.jpg","Ver imagen")</f>
        <v/>
      </c>
    </row>
    <row r="4239">
      <c r="A4239" t="inlineStr">
        <is>
          <t>T TAHARI</t>
        </is>
      </c>
      <c r="B4239" t="inlineStr">
        <is>
          <t>124010143</t>
        </is>
      </c>
      <c r="C4239" t="inlineStr">
        <is>
          <t>MONTANA</t>
        </is>
      </c>
      <c r="D4239" t="inlineStr">
        <is>
          <t>CHO</t>
        </is>
      </c>
      <c r="E4239" t="inlineStr">
        <is>
          <t>(en blanco)</t>
        </is>
      </c>
      <c r="F4239" t="inlineStr">
        <is>
          <t>(en blanco)</t>
        </is>
      </c>
      <c r="G4239" t="inlineStr">
        <is>
          <t>XL</t>
        </is>
      </c>
      <c r="H4239" t="n">
        <v>0</v>
      </c>
      <c r="I4239" t="inlineStr">
        <is>
          <t>T_TAHARI_124010143_CHO_1.jpg</t>
        </is>
      </c>
      <c r="J4239" t="inlineStr">
        <is>
          <t>T_TAHARI_124010143_CHO_2.jpg</t>
        </is>
      </c>
      <c r="K4239" t="inlineStr">
        <is>
          <t>T_TAHARI_124010143_CHO_3.jpg</t>
        </is>
      </c>
      <c r="L4239">
        <f>IMAGE("file:///E:/Estudios%20y%20certificaciones/ESTUDIOS%20DE%20PROGRAMMING/PROGRAMMING/PERSONAL/PYTHON/Image_Generator_API/imagenes/T_TAHARI_124010143_CHO_1.jpg")</f>
        <v/>
      </c>
      <c r="M4239">
        <f>IMAGE("file:///E:/Estudios%20y%20certificaciones/ESTUDIOS%20DE%20PROGRAMMING/PROGRAMMING/PERSONAL/PYTHON/Image_Generator_API/imagenes/T_TAHARI_124010143_CHO_2.jpg")</f>
        <v/>
      </c>
      <c r="N4239">
        <f>IMAGE("file:///E:/Estudios%20y%20certificaciones/ESTUDIOS%20DE%20PROGRAMMING/PROGRAMMING/PERSONAL/PYTHON/Image_Generator_API/imagenes/T_TAHARI_124010143_CHO_3.jpg")</f>
        <v/>
      </c>
      <c r="O4239">
        <f>HYPERLINK("imagenes/T_TAHARI_124010143_CHO_1.jpg","Ver imagen")</f>
        <v/>
      </c>
      <c r="P4239">
        <f>HYPERLINK("imagenes/T_TAHARI_124010143_CHO_2.jpg","Ver imagen")</f>
        <v/>
      </c>
      <c r="Q4239">
        <f>HYPERLINK("imagenes/T_TAHARI_124010143_CHO_3.jpg","Ver imagen")</f>
        <v/>
      </c>
    </row>
    <row r="4240">
      <c r="A4240" t="inlineStr">
        <is>
          <t>T TAHARI</t>
        </is>
      </c>
      <c r="B4240" t="inlineStr">
        <is>
          <t>124010143</t>
        </is>
      </c>
      <c r="C4240" t="inlineStr">
        <is>
          <t>MONTANA</t>
        </is>
      </c>
      <c r="D4240" t="inlineStr">
        <is>
          <t>IVY</t>
        </is>
      </c>
      <c r="E4240" t="inlineStr">
        <is>
          <t>(en blanco)</t>
        </is>
      </c>
      <c r="F4240" t="inlineStr">
        <is>
          <t>D2C</t>
        </is>
      </c>
      <c r="G4240" t="inlineStr">
        <is>
          <t>XS</t>
        </is>
      </c>
      <c r="H4240" t="n">
        <v>9</v>
      </c>
      <c r="I4240" t="inlineStr">
        <is>
          <t>T_TAHARI_124010143_IVY_1.jpg</t>
        </is>
      </c>
      <c r="J4240" t="inlineStr">
        <is>
          <t>T_TAHARI_124010143_IVY_2.jpg</t>
        </is>
      </c>
      <c r="K4240" t="inlineStr">
        <is>
          <t>T_TAHARI_124010143_IVY_3.jpg</t>
        </is>
      </c>
      <c r="L4240">
        <f>IMAGE("file:///E:/Estudios%20y%20certificaciones/ESTUDIOS%20DE%20PROGRAMMING/PROGRAMMING/PERSONAL/PYTHON/Image_Generator_API/imagenes/T_TAHARI_124010143_IVY_1.jpg")</f>
        <v/>
      </c>
      <c r="M4240">
        <f>IMAGE("file:///E:/Estudios%20y%20certificaciones/ESTUDIOS%20DE%20PROGRAMMING/PROGRAMMING/PERSONAL/PYTHON/Image_Generator_API/imagenes/T_TAHARI_124010143_IVY_2.jpg")</f>
        <v/>
      </c>
      <c r="N4240">
        <f>IMAGE("file:///E:/Estudios%20y%20certificaciones/ESTUDIOS%20DE%20PROGRAMMING/PROGRAMMING/PERSONAL/PYTHON/Image_Generator_API/imagenes/T_TAHARI_124010143_IVY_3.jpg")</f>
        <v/>
      </c>
      <c r="O4240">
        <f>HYPERLINK("imagenes/T_TAHARI_124010143_IVY_1.jpg","Ver imagen")</f>
        <v/>
      </c>
      <c r="P4240">
        <f>HYPERLINK("imagenes/T_TAHARI_124010143_IVY_2.jpg","Ver imagen")</f>
        <v/>
      </c>
      <c r="Q4240">
        <f>HYPERLINK("imagenes/T_TAHARI_124010143_IVY_3.jpg","Ver imagen")</f>
        <v/>
      </c>
    </row>
    <row r="4241">
      <c r="A4241" t="inlineStr">
        <is>
          <t>T TAHARI</t>
        </is>
      </c>
      <c r="B4241" t="inlineStr">
        <is>
          <t>124010143</t>
        </is>
      </c>
      <c r="C4241" t="inlineStr">
        <is>
          <t>MONTANA</t>
        </is>
      </c>
      <c r="D4241" t="inlineStr">
        <is>
          <t>IVY</t>
        </is>
      </c>
      <c r="E4241" t="inlineStr">
        <is>
          <t>(en blanco)</t>
        </is>
      </c>
      <c r="F4241" t="inlineStr">
        <is>
          <t>D2C</t>
        </is>
      </c>
      <c r="G4241" t="inlineStr">
        <is>
          <t>S</t>
        </is>
      </c>
      <c r="H4241" t="n">
        <v>10</v>
      </c>
      <c r="I4241" t="inlineStr">
        <is>
          <t>T_TAHARI_124010143_IVY_1.jpg</t>
        </is>
      </c>
      <c r="J4241" t="inlineStr">
        <is>
          <t>T_TAHARI_124010143_IVY_2.jpg</t>
        </is>
      </c>
      <c r="K4241" t="inlineStr">
        <is>
          <t>T_TAHARI_124010143_IVY_3.jpg</t>
        </is>
      </c>
      <c r="L4241">
        <f>IMAGE("file:///E:/Estudios%20y%20certificaciones/ESTUDIOS%20DE%20PROGRAMMING/PROGRAMMING/PERSONAL/PYTHON/Image_Generator_API/imagenes/T_TAHARI_124010143_IVY_1.jpg")</f>
        <v/>
      </c>
      <c r="M4241">
        <f>IMAGE("file:///E:/Estudios%20y%20certificaciones/ESTUDIOS%20DE%20PROGRAMMING/PROGRAMMING/PERSONAL/PYTHON/Image_Generator_API/imagenes/T_TAHARI_124010143_IVY_2.jpg")</f>
        <v/>
      </c>
      <c r="N4241">
        <f>IMAGE("file:///E:/Estudios%20y%20certificaciones/ESTUDIOS%20DE%20PROGRAMMING/PROGRAMMING/PERSONAL/PYTHON/Image_Generator_API/imagenes/T_TAHARI_124010143_IVY_3.jpg")</f>
        <v/>
      </c>
      <c r="O4241">
        <f>HYPERLINK("imagenes/T_TAHARI_124010143_IVY_1.jpg","Ver imagen")</f>
        <v/>
      </c>
      <c r="P4241">
        <f>HYPERLINK("imagenes/T_TAHARI_124010143_IVY_2.jpg","Ver imagen")</f>
        <v/>
      </c>
      <c r="Q4241">
        <f>HYPERLINK("imagenes/T_TAHARI_124010143_IVY_3.jpg","Ver imagen")</f>
        <v/>
      </c>
    </row>
    <row r="4242">
      <c r="A4242" t="inlineStr">
        <is>
          <t>T TAHARI</t>
        </is>
      </c>
      <c r="B4242" t="inlineStr">
        <is>
          <t>124010143</t>
        </is>
      </c>
      <c r="C4242" t="inlineStr">
        <is>
          <t>MONTANA</t>
        </is>
      </c>
      <c r="D4242" t="inlineStr">
        <is>
          <t>IVY</t>
        </is>
      </c>
      <c r="E4242" t="inlineStr">
        <is>
          <t>(en blanco)</t>
        </is>
      </c>
      <c r="F4242" t="inlineStr">
        <is>
          <t>D2C</t>
        </is>
      </c>
      <c r="G4242" t="inlineStr">
        <is>
          <t>M</t>
        </is>
      </c>
      <c r="H4242" t="n">
        <v>14</v>
      </c>
      <c r="I4242" t="inlineStr">
        <is>
          <t>T_TAHARI_124010143_IVY_1.jpg</t>
        </is>
      </c>
      <c r="J4242" t="inlineStr">
        <is>
          <t>T_TAHARI_124010143_IVY_2.jpg</t>
        </is>
      </c>
      <c r="K4242" t="inlineStr">
        <is>
          <t>T_TAHARI_124010143_IVY_3.jpg</t>
        </is>
      </c>
      <c r="L4242">
        <f>IMAGE("file:///E:/Estudios%20y%20certificaciones/ESTUDIOS%20DE%20PROGRAMMING/PROGRAMMING/PERSONAL/PYTHON/Image_Generator_API/imagenes/T_TAHARI_124010143_IVY_1.jpg")</f>
        <v/>
      </c>
      <c r="M4242">
        <f>IMAGE("file:///E:/Estudios%20y%20certificaciones/ESTUDIOS%20DE%20PROGRAMMING/PROGRAMMING/PERSONAL/PYTHON/Image_Generator_API/imagenes/T_TAHARI_124010143_IVY_2.jpg")</f>
        <v/>
      </c>
      <c r="N4242">
        <f>IMAGE("file:///E:/Estudios%20y%20certificaciones/ESTUDIOS%20DE%20PROGRAMMING/PROGRAMMING/PERSONAL/PYTHON/Image_Generator_API/imagenes/T_TAHARI_124010143_IVY_3.jpg")</f>
        <v/>
      </c>
      <c r="O4242">
        <f>HYPERLINK("imagenes/T_TAHARI_124010143_IVY_1.jpg","Ver imagen")</f>
        <v/>
      </c>
      <c r="P4242">
        <f>HYPERLINK("imagenes/T_TAHARI_124010143_IVY_2.jpg","Ver imagen")</f>
        <v/>
      </c>
      <c r="Q4242">
        <f>HYPERLINK("imagenes/T_TAHARI_124010143_IVY_3.jpg","Ver imagen")</f>
        <v/>
      </c>
    </row>
    <row r="4243">
      <c r="A4243" t="inlineStr">
        <is>
          <t>T TAHARI</t>
        </is>
      </c>
      <c r="B4243" t="inlineStr">
        <is>
          <t>124010143</t>
        </is>
      </c>
      <c r="C4243" t="inlineStr">
        <is>
          <t>MONTANA</t>
        </is>
      </c>
      <c r="D4243" t="inlineStr">
        <is>
          <t>IVY</t>
        </is>
      </c>
      <c r="E4243" t="inlineStr">
        <is>
          <t>(en blanco)</t>
        </is>
      </c>
      <c r="F4243" t="inlineStr">
        <is>
          <t>D2C</t>
        </is>
      </c>
      <c r="G4243" t="inlineStr">
        <is>
          <t>L</t>
        </is>
      </c>
      <c r="H4243" t="n">
        <v>8</v>
      </c>
      <c r="I4243" t="inlineStr">
        <is>
          <t>T_TAHARI_124010143_IVY_1.jpg</t>
        </is>
      </c>
      <c r="J4243" t="inlineStr">
        <is>
          <t>T_TAHARI_124010143_IVY_2.jpg</t>
        </is>
      </c>
      <c r="K4243" t="inlineStr">
        <is>
          <t>T_TAHARI_124010143_IVY_3.jpg</t>
        </is>
      </c>
      <c r="L4243">
        <f>IMAGE("file:///E:/Estudios%20y%20certificaciones/ESTUDIOS%20DE%20PROGRAMMING/PROGRAMMING/PERSONAL/PYTHON/Image_Generator_API/imagenes/T_TAHARI_124010143_IVY_1.jpg")</f>
        <v/>
      </c>
      <c r="M4243">
        <f>IMAGE("file:///E:/Estudios%20y%20certificaciones/ESTUDIOS%20DE%20PROGRAMMING/PROGRAMMING/PERSONAL/PYTHON/Image_Generator_API/imagenes/T_TAHARI_124010143_IVY_2.jpg")</f>
        <v/>
      </c>
      <c r="N4243">
        <f>IMAGE("file:///E:/Estudios%20y%20certificaciones/ESTUDIOS%20DE%20PROGRAMMING/PROGRAMMING/PERSONAL/PYTHON/Image_Generator_API/imagenes/T_TAHARI_124010143_IVY_3.jpg")</f>
        <v/>
      </c>
      <c r="O4243">
        <f>HYPERLINK("imagenes/T_TAHARI_124010143_IVY_1.jpg","Ver imagen")</f>
        <v/>
      </c>
      <c r="P4243">
        <f>HYPERLINK("imagenes/T_TAHARI_124010143_IVY_2.jpg","Ver imagen")</f>
        <v/>
      </c>
      <c r="Q4243">
        <f>HYPERLINK("imagenes/T_TAHARI_124010143_IVY_3.jpg","Ver imagen")</f>
        <v/>
      </c>
    </row>
    <row r="4244">
      <c r="A4244" t="inlineStr">
        <is>
          <t>T TAHARI</t>
        </is>
      </c>
      <c r="B4244" t="inlineStr">
        <is>
          <t>124010143</t>
        </is>
      </c>
      <c r="C4244" t="inlineStr">
        <is>
          <t>MONTANA</t>
        </is>
      </c>
      <c r="D4244" t="inlineStr">
        <is>
          <t>IVY</t>
        </is>
      </c>
      <c r="E4244" t="inlineStr">
        <is>
          <t>(en blanco)</t>
        </is>
      </c>
      <c r="F4244" t="inlineStr">
        <is>
          <t>D2C</t>
        </is>
      </c>
      <c r="G4244" t="inlineStr">
        <is>
          <t>XL</t>
        </is>
      </c>
      <c r="H4244" t="n">
        <v>9</v>
      </c>
      <c r="I4244" t="inlineStr">
        <is>
          <t>T_TAHARI_124010143_IVY_1.jpg</t>
        </is>
      </c>
      <c r="J4244" t="inlineStr">
        <is>
          <t>T_TAHARI_124010143_IVY_2.jpg</t>
        </is>
      </c>
      <c r="K4244" t="inlineStr">
        <is>
          <t>T_TAHARI_124010143_IVY_3.jpg</t>
        </is>
      </c>
      <c r="L4244">
        <f>IMAGE("file:///E:/Estudios%20y%20certificaciones/ESTUDIOS%20DE%20PROGRAMMING/PROGRAMMING/PERSONAL/PYTHON/Image_Generator_API/imagenes/T_TAHARI_124010143_IVY_1.jpg")</f>
        <v/>
      </c>
      <c r="M4244">
        <f>IMAGE("file:///E:/Estudios%20y%20certificaciones/ESTUDIOS%20DE%20PROGRAMMING/PROGRAMMING/PERSONAL/PYTHON/Image_Generator_API/imagenes/T_TAHARI_124010143_IVY_2.jpg")</f>
        <v/>
      </c>
      <c r="N4244">
        <f>IMAGE("file:///E:/Estudios%20y%20certificaciones/ESTUDIOS%20DE%20PROGRAMMING/PROGRAMMING/PERSONAL/PYTHON/Image_Generator_API/imagenes/T_TAHARI_124010143_IVY_3.jpg")</f>
        <v/>
      </c>
      <c r="O4244">
        <f>HYPERLINK("imagenes/T_TAHARI_124010143_IVY_1.jpg","Ver imagen")</f>
        <v/>
      </c>
      <c r="P4244">
        <f>HYPERLINK("imagenes/T_TAHARI_124010143_IVY_2.jpg","Ver imagen")</f>
        <v/>
      </c>
      <c r="Q4244">
        <f>HYPERLINK("imagenes/T_TAHARI_124010143_IVY_3.jpg","Ver imagen")</f>
        <v/>
      </c>
    </row>
    <row r="4245">
      <c r="A4245" t="inlineStr">
        <is>
          <t>T TAHARI</t>
        </is>
      </c>
      <c r="B4245" t="inlineStr">
        <is>
          <t>124010143</t>
        </is>
      </c>
      <c r="C4245" t="inlineStr">
        <is>
          <t>MONTANA</t>
        </is>
      </c>
      <c r="D4245" t="inlineStr">
        <is>
          <t>IVY</t>
        </is>
      </c>
      <c r="E4245" t="inlineStr">
        <is>
          <t>(en blanco)</t>
        </is>
      </c>
      <c r="F4245" t="inlineStr">
        <is>
          <t>(en blanco)</t>
        </is>
      </c>
      <c r="G4245" t="inlineStr">
        <is>
          <t>XS</t>
        </is>
      </c>
      <c r="H4245" t="n">
        <v>1</v>
      </c>
      <c r="I4245" t="inlineStr">
        <is>
          <t>T_TAHARI_124010143_IVY_1.jpg</t>
        </is>
      </c>
      <c r="J4245" t="inlineStr">
        <is>
          <t>T_TAHARI_124010143_IVY_2.jpg</t>
        </is>
      </c>
      <c r="K4245" t="inlineStr">
        <is>
          <t>T_TAHARI_124010143_IVY_3.jpg</t>
        </is>
      </c>
      <c r="L4245">
        <f>IMAGE("file:///E:/Estudios%20y%20certificaciones/ESTUDIOS%20DE%20PROGRAMMING/PROGRAMMING/PERSONAL/PYTHON/Image_Generator_API/imagenes/T_TAHARI_124010143_IVY_1.jpg")</f>
        <v/>
      </c>
      <c r="M4245">
        <f>IMAGE("file:///E:/Estudios%20y%20certificaciones/ESTUDIOS%20DE%20PROGRAMMING/PROGRAMMING/PERSONAL/PYTHON/Image_Generator_API/imagenes/T_TAHARI_124010143_IVY_2.jpg")</f>
        <v/>
      </c>
      <c r="N4245">
        <f>IMAGE("file:///E:/Estudios%20y%20certificaciones/ESTUDIOS%20DE%20PROGRAMMING/PROGRAMMING/PERSONAL/PYTHON/Image_Generator_API/imagenes/T_TAHARI_124010143_IVY_3.jpg")</f>
        <v/>
      </c>
      <c r="O4245">
        <f>HYPERLINK("imagenes/T_TAHARI_124010143_IVY_1.jpg","Ver imagen")</f>
        <v/>
      </c>
      <c r="P4245">
        <f>HYPERLINK("imagenes/T_TAHARI_124010143_IVY_2.jpg","Ver imagen")</f>
        <v/>
      </c>
      <c r="Q4245">
        <f>HYPERLINK("imagenes/T_TAHARI_124010143_IVY_3.jpg","Ver imagen")</f>
        <v/>
      </c>
    </row>
    <row r="4246">
      <c r="A4246" t="inlineStr">
        <is>
          <t>T TAHARI</t>
        </is>
      </c>
      <c r="B4246" t="inlineStr">
        <is>
          <t>124010143</t>
        </is>
      </c>
      <c r="C4246" t="inlineStr">
        <is>
          <t>MONTANA</t>
        </is>
      </c>
      <c r="D4246" t="inlineStr">
        <is>
          <t>IVY</t>
        </is>
      </c>
      <c r="E4246" t="inlineStr">
        <is>
          <t>(en blanco)</t>
        </is>
      </c>
      <c r="F4246" t="inlineStr">
        <is>
          <t>(en blanco)</t>
        </is>
      </c>
      <c r="G4246" t="inlineStr">
        <is>
          <t>S</t>
        </is>
      </c>
      <c r="H4246" t="n">
        <v>0</v>
      </c>
      <c r="I4246" t="inlineStr">
        <is>
          <t>T_TAHARI_124010143_IVY_1.jpg</t>
        </is>
      </c>
      <c r="J4246" t="inlineStr">
        <is>
          <t>T_TAHARI_124010143_IVY_2.jpg</t>
        </is>
      </c>
      <c r="K4246" t="inlineStr">
        <is>
          <t>T_TAHARI_124010143_IVY_3.jpg</t>
        </is>
      </c>
      <c r="L4246">
        <f>IMAGE("file:///E:/Estudios%20y%20certificaciones/ESTUDIOS%20DE%20PROGRAMMING/PROGRAMMING/PERSONAL/PYTHON/Image_Generator_API/imagenes/T_TAHARI_124010143_IVY_1.jpg")</f>
        <v/>
      </c>
      <c r="M4246">
        <f>IMAGE("file:///E:/Estudios%20y%20certificaciones/ESTUDIOS%20DE%20PROGRAMMING/PROGRAMMING/PERSONAL/PYTHON/Image_Generator_API/imagenes/T_TAHARI_124010143_IVY_2.jpg")</f>
        <v/>
      </c>
      <c r="N4246">
        <f>IMAGE("file:///E:/Estudios%20y%20certificaciones/ESTUDIOS%20DE%20PROGRAMMING/PROGRAMMING/PERSONAL/PYTHON/Image_Generator_API/imagenes/T_TAHARI_124010143_IVY_3.jpg")</f>
        <v/>
      </c>
      <c r="O4246">
        <f>HYPERLINK("imagenes/T_TAHARI_124010143_IVY_1.jpg","Ver imagen")</f>
        <v/>
      </c>
      <c r="P4246">
        <f>HYPERLINK("imagenes/T_TAHARI_124010143_IVY_2.jpg","Ver imagen")</f>
        <v/>
      </c>
      <c r="Q4246">
        <f>HYPERLINK("imagenes/T_TAHARI_124010143_IVY_3.jpg","Ver imagen")</f>
        <v/>
      </c>
    </row>
    <row r="4247">
      <c r="A4247" t="inlineStr">
        <is>
          <t>T TAHARI</t>
        </is>
      </c>
      <c r="B4247" t="inlineStr">
        <is>
          <t>124010143</t>
        </is>
      </c>
      <c r="C4247" t="inlineStr">
        <is>
          <t>MONTANA</t>
        </is>
      </c>
      <c r="D4247" t="inlineStr">
        <is>
          <t>IVY</t>
        </is>
      </c>
      <c r="E4247" t="inlineStr">
        <is>
          <t>(en blanco)</t>
        </is>
      </c>
      <c r="F4247" t="inlineStr">
        <is>
          <t>(en blanco)</t>
        </is>
      </c>
      <c r="G4247" t="inlineStr">
        <is>
          <t>M</t>
        </is>
      </c>
      <c r="H4247" t="n">
        <v>0</v>
      </c>
      <c r="I4247" t="inlineStr">
        <is>
          <t>T_TAHARI_124010143_IVY_1.jpg</t>
        </is>
      </c>
      <c r="J4247" t="inlineStr">
        <is>
          <t>T_TAHARI_124010143_IVY_2.jpg</t>
        </is>
      </c>
      <c r="K4247" t="inlineStr">
        <is>
          <t>T_TAHARI_124010143_IVY_3.jpg</t>
        </is>
      </c>
      <c r="L4247">
        <f>IMAGE("file:///E:/Estudios%20y%20certificaciones/ESTUDIOS%20DE%20PROGRAMMING/PROGRAMMING/PERSONAL/PYTHON/Image_Generator_API/imagenes/T_TAHARI_124010143_IVY_1.jpg")</f>
        <v/>
      </c>
      <c r="M4247">
        <f>IMAGE("file:///E:/Estudios%20y%20certificaciones/ESTUDIOS%20DE%20PROGRAMMING/PROGRAMMING/PERSONAL/PYTHON/Image_Generator_API/imagenes/T_TAHARI_124010143_IVY_2.jpg")</f>
        <v/>
      </c>
      <c r="N4247">
        <f>IMAGE("file:///E:/Estudios%20y%20certificaciones/ESTUDIOS%20DE%20PROGRAMMING/PROGRAMMING/PERSONAL/PYTHON/Image_Generator_API/imagenes/T_TAHARI_124010143_IVY_3.jpg")</f>
        <v/>
      </c>
      <c r="O4247">
        <f>HYPERLINK("imagenes/T_TAHARI_124010143_IVY_1.jpg","Ver imagen")</f>
        <v/>
      </c>
      <c r="P4247">
        <f>HYPERLINK("imagenes/T_TAHARI_124010143_IVY_2.jpg","Ver imagen")</f>
        <v/>
      </c>
      <c r="Q4247">
        <f>HYPERLINK("imagenes/T_TAHARI_124010143_IVY_3.jpg","Ver imagen")</f>
        <v/>
      </c>
    </row>
    <row r="4248">
      <c r="A4248" t="inlineStr">
        <is>
          <t>T TAHARI</t>
        </is>
      </c>
      <c r="B4248" t="inlineStr">
        <is>
          <t>124010143</t>
        </is>
      </c>
      <c r="C4248" t="inlineStr">
        <is>
          <t>MONTANA</t>
        </is>
      </c>
      <c r="D4248" t="inlineStr">
        <is>
          <t>IVY</t>
        </is>
      </c>
      <c r="E4248" t="inlineStr">
        <is>
          <t>(en blanco)</t>
        </is>
      </c>
      <c r="F4248" t="inlineStr">
        <is>
          <t>(en blanco)</t>
        </is>
      </c>
      <c r="G4248" t="inlineStr">
        <is>
          <t>L</t>
        </is>
      </c>
      <c r="H4248" t="n">
        <v>0</v>
      </c>
      <c r="I4248" t="inlineStr">
        <is>
          <t>T_TAHARI_124010143_IVY_1.jpg</t>
        </is>
      </c>
      <c r="J4248" t="inlineStr">
        <is>
          <t>T_TAHARI_124010143_IVY_2.jpg</t>
        </is>
      </c>
      <c r="K4248" t="inlineStr">
        <is>
          <t>T_TAHARI_124010143_IVY_3.jpg</t>
        </is>
      </c>
      <c r="L4248">
        <f>IMAGE("file:///E:/Estudios%20y%20certificaciones/ESTUDIOS%20DE%20PROGRAMMING/PROGRAMMING/PERSONAL/PYTHON/Image_Generator_API/imagenes/T_TAHARI_124010143_IVY_1.jpg")</f>
        <v/>
      </c>
      <c r="M4248">
        <f>IMAGE("file:///E:/Estudios%20y%20certificaciones/ESTUDIOS%20DE%20PROGRAMMING/PROGRAMMING/PERSONAL/PYTHON/Image_Generator_API/imagenes/T_TAHARI_124010143_IVY_2.jpg")</f>
        <v/>
      </c>
      <c r="N4248">
        <f>IMAGE("file:///E:/Estudios%20y%20certificaciones/ESTUDIOS%20DE%20PROGRAMMING/PROGRAMMING/PERSONAL/PYTHON/Image_Generator_API/imagenes/T_TAHARI_124010143_IVY_3.jpg")</f>
        <v/>
      </c>
      <c r="O4248">
        <f>HYPERLINK("imagenes/T_TAHARI_124010143_IVY_1.jpg","Ver imagen")</f>
        <v/>
      </c>
      <c r="P4248">
        <f>HYPERLINK("imagenes/T_TAHARI_124010143_IVY_2.jpg","Ver imagen")</f>
        <v/>
      </c>
      <c r="Q4248">
        <f>HYPERLINK("imagenes/T_TAHARI_124010143_IVY_3.jpg","Ver imagen")</f>
        <v/>
      </c>
    </row>
    <row r="4249">
      <c r="A4249" t="inlineStr">
        <is>
          <t>T TAHARI</t>
        </is>
      </c>
      <c r="B4249" t="inlineStr">
        <is>
          <t>124010143</t>
        </is>
      </c>
      <c r="C4249" t="inlineStr">
        <is>
          <t>MONTANA</t>
        </is>
      </c>
      <c r="D4249" t="inlineStr">
        <is>
          <t>IVY</t>
        </is>
      </c>
      <c r="E4249" t="inlineStr">
        <is>
          <t>(en blanco)</t>
        </is>
      </c>
      <c r="F4249" t="inlineStr">
        <is>
          <t>(en blanco)</t>
        </is>
      </c>
      <c r="G4249" t="inlineStr">
        <is>
          <t>XL</t>
        </is>
      </c>
      <c r="H4249" t="n">
        <v>1</v>
      </c>
      <c r="I4249" t="inlineStr">
        <is>
          <t>T_TAHARI_124010143_IVY_1.jpg</t>
        </is>
      </c>
      <c r="J4249" t="inlineStr">
        <is>
          <t>T_TAHARI_124010143_IVY_2.jpg</t>
        </is>
      </c>
      <c r="K4249" t="inlineStr">
        <is>
          <t>T_TAHARI_124010143_IVY_3.jpg</t>
        </is>
      </c>
      <c r="L4249">
        <f>IMAGE("file:///E:/Estudios%20y%20certificaciones/ESTUDIOS%20DE%20PROGRAMMING/PROGRAMMING/PERSONAL/PYTHON/Image_Generator_API/imagenes/T_TAHARI_124010143_IVY_1.jpg")</f>
        <v/>
      </c>
      <c r="M4249">
        <f>IMAGE("file:///E:/Estudios%20y%20certificaciones/ESTUDIOS%20DE%20PROGRAMMING/PROGRAMMING/PERSONAL/PYTHON/Image_Generator_API/imagenes/T_TAHARI_124010143_IVY_2.jpg")</f>
        <v/>
      </c>
      <c r="N4249">
        <f>IMAGE("file:///E:/Estudios%20y%20certificaciones/ESTUDIOS%20DE%20PROGRAMMING/PROGRAMMING/PERSONAL/PYTHON/Image_Generator_API/imagenes/T_TAHARI_124010143_IVY_3.jpg")</f>
        <v/>
      </c>
      <c r="O4249">
        <f>HYPERLINK("imagenes/T_TAHARI_124010143_IVY_1.jpg","Ver imagen")</f>
        <v/>
      </c>
      <c r="P4249">
        <f>HYPERLINK("imagenes/T_TAHARI_124010143_IVY_2.jpg","Ver imagen")</f>
        <v/>
      </c>
      <c r="Q4249">
        <f>HYPERLINK("imagenes/T_TAHARI_124010143_IVY_3.jpg","Ver imagen")</f>
        <v/>
      </c>
    </row>
    <row r="4250">
      <c r="A4250" t="inlineStr">
        <is>
          <t>T TAHARI</t>
        </is>
      </c>
      <c r="B4250" t="inlineStr">
        <is>
          <t>124010270</t>
        </is>
      </c>
      <c r="C4250" t="inlineStr">
        <is>
          <t>HARPER</t>
        </is>
      </c>
      <c r="D4250" t="inlineStr">
        <is>
          <t>BLK</t>
        </is>
      </c>
      <c r="E4250" t="inlineStr">
        <is>
          <t>(en blanco)</t>
        </is>
      </c>
      <c r="F4250" t="inlineStr">
        <is>
          <t>D2C</t>
        </is>
      </c>
      <c r="G4250" t="inlineStr">
        <is>
          <t>XS</t>
        </is>
      </c>
      <c r="H4250" t="n">
        <v>7</v>
      </c>
      <c r="I4250" t="inlineStr">
        <is>
          <t>T_TAHARI_124010270_BLK_1.jpg</t>
        </is>
      </c>
      <c r="J4250" t="inlineStr">
        <is>
          <t>T_TAHARI_124010270_BLK_2.jpg</t>
        </is>
      </c>
      <c r="K4250" t="inlineStr">
        <is>
          <t>T_TAHARI_124010270_BLK_3.jpg</t>
        </is>
      </c>
      <c r="L4250">
        <f>IMAGE("file:///E:/Estudios%20y%20certificaciones/ESTUDIOS%20DE%20PROGRAMMING/PROGRAMMING/PERSONAL/PYTHON/Image_Generator_API/imagenes/T_TAHARI_124010270_BLK_1.jpg")</f>
        <v/>
      </c>
      <c r="M4250">
        <f>IMAGE("file:///E:/Estudios%20y%20certificaciones/ESTUDIOS%20DE%20PROGRAMMING/PROGRAMMING/PERSONAL/PYTHON/Image_Generator_API/imagenes/T_TAHARI_124010270_BLK_2.jpg")</f>
        <v/>
      </c>
      <c r="N4250">
        <f>IMAGE("file:///E:/Estudios%20y%20certificaciones/ESTUDIOS%20DE%20PROGRAMMING/PROGRAMMING/PERSONAL/PYTHON/Image_Generator_API/imagenes/T_TAHARI_124010270_BLK_3.jpg")</f>
        <v/>
      </c>
      <c r="O4250">
        <f>HYPERLINK("imagenes/T_TAHARI_124010270_BLK_1.jpg","Ver imagen")</f>
        <v/>
      </c>
      <c r="P4250">
        <f>HYPERLINK("imagenes/T_TAHARI_124010270_BLK_2.jpg","Ver imagen")</f>
        <v/>
      </c>
      <c r="Q4250">
        <f>HYPERLINK("imagenes/T_TAHARI_124010270_BLK_3.jpg","Ver imagen")</f>
        <v/>
      </c>
    </row>
    <row r="4251">
      <c r="A4251" t="inlineStr">
        <is>
          <t>T TAHARI</t>
        </is>
      </c>
      <c r="B4251" t="inlineStr">
        <is>
          <t>124010270</t>
        </is>
      </c>
      <c r="C4251" t="inlineStr">
        <is>
          <t>HARPER</t>
        </is>
      </c>
      <c r="D4251" t="inlineStr">
        <is>
          <t>BLK</t>
        </is>
      </c>
      <c r="E4251" t="inlineStr">
        <is>
          <t>(en blanco)</t>
        </is>
      </c>
      <c r="F4251" t="inlineStr">
        <is>
          <t>D2C</t>
        </is>
      </c>
      <c r="G4251" t="inlineStr">
        <is>
          <t>S</t>
        </is>
      </c>
      <c r="H4251" t="n">
        <v>12</v>
      </c>
      <c r="I4251" t="inlineStr">
        <is>
          <t>T_TAHARI_124010270_BLK_1.jpg</t>
        </is>
      </c>
      <c r="J4251" t="inlineStr">
        <is>
          <t>T_TAHARI_124010270_BLK_2.jpg</t>
        </is>
      </c>
      <c r="K4251" t="inlineStr">
        <is>
          <t>T_TAHARI_124010270_BLK_3.jpg</t>
        </is>
      </c>
      <c r="L4251">
        <f>IMAGE("file:///E:/Estudios%20y%20certificaciones/ESTUDIOS%20DE%20PROGRAMMING/PROGRAMMING/PERSONAL/PYTHON/Image_Generator_API/imagenes/T_TAHARI_124010270_BLK_1.jpg")</f>
        <v/>
      </c>
      <c r="M4251">
        <f>IMAGE("file:///E:/Estudios%20y%20certificaciones/ESTUDIOS%20DE%20PROGRAMMING/PROGRAMMING/PERSONAL/PYTHON/Image_Generator_API/imagenes/T_TAHARI_124010270_BLK_2.jpg")</f>
        <v/>
      </c>
      <c r="N4251">
        <f>IMAGE("file:///E:/Estudios%20y%20certificaciones/ESTUDIOS%20DE%20PROGRAMMING/PROGRAMMING/PERSONAL/PYTHON/Image_Generator_API/imagenes/T_TAHARI_124010270_BLK_3.jpg")</f>
        <v/>
      </c>
      <c r="O4251">
        <f>HYPERLINK("imagenes/T_TAHARI_124010270_BLK_1.jpg","Ver imagen")</f>
        <v/>
      </c>
      <c r="P4251">
        <f>HYPERLINK("imagenes/T_TAHARI_124010270_BLK_2.jpg","Ver imagen")</f>
        <v/>
      </c>
      <c r="Q4251">
        <f>HYPERLINK("imagenes/T_TAHARI_124010270_BLK_3.jpg","Ver imagen")</f>
        <v/>
      </c>
    </row>
    <row r="4252">
      <c r="A4252" t="inlineStr">
        <is>
          <t>T TAHARI</t>
        </is>
      </c>
      <c r="B4252" t="inlineStr">
        <is>
          <t>124010270</t>
        </is>
      </c>
      <c r="C4252" t="inlineStr">
        <is>
          <t>HARPER</t>
        </is>
      </c>
      <c r="D4252" t="inlineStr">
        <is>
          <t>BLK</t>
        </is>
      </c>
      <c r="E4252" t="inlineStr">
        <is>
          <t>(en blanco)</t>
        </is>
      </c>
      <c r="F4252" t="inlineStr">
        <is>
          <t>D2C</t>
        </is>
      </c>
      <c r="G4252" t="inlineStr">
        <is>
          <t>M</t>
        </is>
      </c>
      <c r="H4252" t="n">
        <v>16</v>
      </c>
      <c r="I4252" t="inlineStr">
        <is>
          <t>T_TAHARI_124010270_BLK_1.jpg</t>
        </is>
      </c>
      <c r="J4252" t="inlineStr">
        <is>
          <t>T_TAHARI_124010270_BLK_2.jpg</t>
        </is>
      </c>
      <c r="K4252" t="inlineStr">
        <is>
          <t>T_TAHARI_124010270_BLK_3.jpg</t>
        </is>
      </c>
      <c r="L4252">
        <f>IMAGE("file:///E:/Estudios%20y%20certificaciones/ESTUDIOS%20DE%20PROGRAMMING/PROGRAMMING/PERSONAL/PYTHON/Image_Generator_API/imagenes/T_TAHARI_124010270_BLK_1.jpg")</f>
        <v/>
      </c>
      <c r="M4252">
        <f>IMAGE("file:///E:/Estudios%20y%20certificaciones/ESTUDIOS%20DE%20PROGRAMMING/PROGRAMMING/PERSONAL/PYTHON/Image_Generator_API/imagenes/T_TAHARI_124010270_BLK_2.jpg")</f>
        <v/>
      </c>
      <c r="N4252">
        <f>IMAGE("file:///E:/Estudios%20y%20certificaciones/ESTUDIOS%20DE%20PROGRAMMING/PROGRAMMING/PERSONAL/PYTHON/Image_Generator_API/imagenes/T_TAHARI_124010270_BLK_3.jpg")</f>
        <v/>
      </c>
      <c r="O4252">
        <f>HYPERLINK("imagenes/T_TAHARI_124010270_BLK_1.jpg","Ver imagen")</f>
        <v/>
      </c>
      <c r="P4252">
        <f>HYPERLINK("imagenes/T_TAHARI_124010270_BLK_2.jpg","Ver imagen")</f>
        <v/>
      </c>
      <c r="Q4252">
        <f>HYPERLINK("imagenes/T_TAHARI_124010270_BLK_3.jpg","Ver imagen")</f>
        <v/>
      </c>
    </row>
    <row r="4253">
      <c r="A4253" t="inlineStr">
        <is>
          <t>T TAHARI</t>
        </is>
      </c>
      <c r="B4253" t="inlineStr">
        <is>
          <t>124010270</t>
        </is>
      </c>
      <c r="C4253" t="inlineStr">
        <is>
          <t>HARPER</t>
        </is>
      </c>
      <c r="D4253" t="inlineStr">
        <is>
          <t>BLK</t>
        </is>
      </c>
      <c r="E4253" t="inlineStr">
        <is>
          <t>(en blanco)</t>
        </is>
      </c>
      <c r="F4253" t="inlineStr">
        <is>
          <t>D2C</t>
        </is>
      </c>
      <c r="G4253" t="inlineStr">
        <is>
          <t>L</t>
        </is>
      </c>
      <c r="H4253" t="n">
        <v>15</v>
      </c>
      <c r="I4253" t="inlineStr">
        <is>
          <t>T_TAHARI_124010270_BLK_1.jpg</t>
        </is>
      </c>
      <c r="J4253" t="inlineStr">
        <is>
          <t>T_TAHARI_124010270_BLK_2.jpg</t>
        </is>
      </c>
      <c r="K4253" t="inlineStr">
        <is>
          <t>T_TAHARI_124010270_BLK_3.jpg</t>
        </is>
      </c>
      <c r="L4253">
        <f>IMAGE("file:///E:/Estudios%20y%20certificaciones/ESTUDIOS%20DE%20PROGRAMMING/PROGRAMMING/PERSONAL/PYTHON/Image_Generator_API/imagenes/T_TAHARI_124010270_BLK_1.jpg")</f>
        <v/>
      </c>
      <c r="M4253">
        <f>IMAGE("file:///E:/Estudios%20y%20certificaciones/ESTUDIOS%20DE%20PROGRAMMING/PROGRAMMING/PERSONAL/PYTHON/Image_Generator_API/imagenes/T_TAHARI_124010270_BLK_2.jpg")</f>
        <v/>
      </c>
      <c r="N4253">
        <f>IMAGE("file:///E:/Estudios%20y%20certificaciones/ESTUDIOS%20DE%20PROGRAMMING/PROGRAMMING/PERSONAL/PYTHON/Image_Generator_API/imagenes/T_TAHARI_124010270_BLK_3.jpg")</f>
        <v/>
      </c>
      <c r="O4253">
        <f>HYPERLINK("imagenes/T_TAHARI_124010270_BLK_1.jpg","Ver imagen")</f>
        <v/>
      </c>
      <c r="P4253">
        <f>HYPERLINK("imagenes/T_TAHARI_124010270_BLK_2.jpg","Ver imagen")</f>
        <v/>
      </c>
      <c r="Q4253">
        <f>HYPERLINK("imagenes/T_TAHARI_124010270_BLK_3.jpg","Ver imagen")</f>
        <v/>
      </c>
    </row>
    <row r="4254">
      <c r="A4254" t="inlineStr">
        <is>
          <t>T TAHARI</t>
        </is>
      </c>
      <c r="B4254" t="inlineStr">
        <is>
          <t>124010270</t>
        </is>
      </c>
      <c r="C4254" t="inlineStr">
        <is>
          <t>HARPER</t>
        </is>
      </c>
      <c r="D4254" t="inlineStr">
        <is>
          <t>BLK</t>
        </is>
      </c>
      <c r="E4254" t="inlineStr">
        <is>
          <t>(en blanco)</t>
        </is>
      </c>
      <c r="F4254" t="inlineStr">
        <is>
          <t>D2C</t>
        </is>
      </c>
      <c r="G4254" t="inlineStr">
        <is>
          <t>XL</t>
        </is>
      </c>
      <c r="H4254" t="n">
        <v>10</v>
      </c>
      <c r="I4254" t="inlineStr">
        <is>
          <t>T_TAHARI_124010270_BLK_1.jpg</t>
        </is>
      </c>
      <c r="J4254" t="inlineStr">
        <is>
          <t>T_TAHARI_124010270_BLK_2.jpg</t>
        </is>
      </c>
      <c r="K4254" t="inlineStr">
        <is>
          <t>T_TAHARI_124010270_BLK_3.jpg</t>
        </is>
      </c>
      <c r="L4254">
        <f>IMAGE("file:///E:/Estudios%20y%20certificaciones/ESTUDIOS%20DE%20PROGRAMMING/PROGRAMMING/PERSONAL/PYTHON/Image_Generator_API/imagenes/T_TAHARI_124010270_BLK_1.jpg")</f>
        <v/>
      </c>
      <c r="M4254">
        <f>IMAGE("file:///E:/Estudios%20y%20certificaciones/ESTUDIOS%20DE%20PROGRAMMING/PROGRAMMING/PERSONAL/PYTHON/Image_Generator_API/imagenes/T_TAHARI_124010270_BLK_2.jpg")</f>
        <v/>
      </c>
      <c r="N4254">
        <f>IMAGE("file:///E:/Estudios%20y%20certificaciones/ESTUDIOS%20DE%20PROGRAMMING/PROGRAMMING/PERSONAL/PYTHON/Image_Generator_API/imagenes/T_TAHARI_124010270_BLK_3.jpg")</f>
        <v/>
      </c>
      <c r="O4254">
        <f>HYPERLINK("imagenes/T_TAHARI_124010270_BLK_1.jpg","Ver imagen")</f>
        <v/>
      </c>
      <c r="P4254">
        <f>HYPERLINK("imagenes/T_TAHARI_124010270_BLK_2.jpg","Ver imagen")</f>
        <v/>
      </c>
      <c r="Q4254">
        <f>HYPERLINK("imagenes/T_TAHARI_124010270_BLK_3.jpg","Ver imagen")</f>
        <v/>
      </c>
    </row>
    <row r="4255">
      <c r="A4255" t="inlineStr">
        <is>
          <t>T TAHARI</t>
        </is>
      </c>
      <c r="B4255" t="inlineStr">
        <is>
          <t>124010270</t>
        </is>
      </c>
      <c r="C4255" t="inlineStr">
        <is>
          <t>HARPER</t>
        </is>
      </c>
      <c r="D4255" t="inlineStr">
        <is>
          <t>BLK</t>
        </is>
      </c>
      <c r="E4255" t="inlineStr">
        <is>
          <t>(en blanco)</t>
        </is>
      </c>
      <c r="F4255" t="inlineStr">
        <is>
          <t>MACYS ECOM</t>
        </is>
      </c>
      <c r="G4255" t="inlineStr">
        <is>
          <t>XS</t>
        </is>
      </c>
      <c r="H4255" t="n">
        <v>0</v>
      </c>
      <c r="I4255" t="inlineStr">
        <is>
          <t>T_TAHARI_124010270_BLK_1.jpg</t>
        </is>
      </c>
      <c r="J4255" t="inlineStr">
        <is>
          <t>T_TAHARI_124010270_BLK_2.jpg</t>
        </is>
      </c>
      <c r="K4255" t="inlineStr">
        <is>
          <t>T_TAHARI_124010270_BLK_3.jpg</t>
        </is>
      </c>
      <c r="L4255">
        <f>IMAGE("file:///E:/Estudios%20y%20certificaciones/ESTUDIOS%20DE%20PROGRAMMING/PROGRAMMING/PERSONAL/PYTHON/Image_Generator_API/imagenes/T_TAHARI_124010270_BLK_1.jpg")</f>
        <v/>
      </c>
      <c r="M4255">
        <f>IMAGE("file:///E:/Estudios%20y%20certificaciones/ESTUDIOS%20DE%20PROGRAMMING/PROGRAMMING/PERSONAL/PYTHON/Image_Generator_API/imagenes/T_TAHARI_124010270_BLK_2.jpg")</f>
        <v/>
      </c>
      <c r="N4255">
        <f>IMAGE("file:///E:/Estudios%20y%20certificaciones/ESTUDIOS%20DE%20PROGRAMMING/PROGRAMMING/PERSONAL/PYTHON/Image_Generator_API/imagenes/T_TAHARI_124010270_BLK_3.jpg")</f>
        <v/>
      </c>
      <c r="O4255">
        <f>HYPERLINK("imagenes/T_TAHARI_124010270_BLK_1.jpg","Ver imagen")</f>
        <v/>
      </c>
      <c r="P4255">
        <f>HYPERLINK("imagenes/T_TAHARI_124010270_BLK_2.jpg","Ver imagen")</f>
        <v/>
      </c>
      <c r="Q4255">
        <f>HYPERLINK("imagenes/T_TAHARI_124010270_BLK_3.jpg","Ver imagen")</f>
        <v/>
      </c>
    </row>
    <row r="4256">
      <c r="A4256" t="inlineStr">
        <is>
          <t>T TAHARI</t>
        </is>
      </c>
      <c r="B4256" t="inlineStr">
        <is>
          <t>124010270</t>
        </is>
      </c>
      <c r="C4256" t="inlineStr">
        <is>
          <t>HARPER</t>
        </is>
      </c>
      <c r="D4256" t="inlineStr">
        <is>
          <t>BLK</t>
        </is>
      </c>
      <c r="E4256" t="inlineStr">
        <is>
          <t>(en blanco)</t>
        </is>
      </c>
      <c r="F4256" t="inlineStr">
        <is>
          <t>MACYS ECOM</t>
        </is>
      </c>
      <c r="G4256" t="inlineStr">
        <is>
          <t>S</t>
        </is>
      </c>
      <c r="H4256" t="n">
        <v>0</v>
      </c>
      <c r="I4256" t="inlineStr">
        <is>
          <t>T_TAHARI_124010270_BLK_1.jpg</t>
        </is>
      </c>
      <c r="J4256" t="inlineStr">
        <is>
          <t>T_TAHARI_124010270_BLK_2.jpg</t>
        </is>
      </c>
      <c r="K4256" t="inlineStr">
        <is>
          <t>T_TAHARI_124010270_BLK_3.jpg</t>
        </is>
      </c>
      <c r="L4256">
        <f>IMAGE("file:///E:/Estudios%20y%20certificaciones/ESTUDIOS%20DE%20PROGRAMMING/PROGRAMMING/PERSONAL/PYTHON/Image_Generator_API/imagenes/T_TAHARI_124010270_BLK_1.jpg")</f>
        <v/>
      </c>
      <c r="M4256">
        <f>IMAGE("file:///E:/Estudios%20y%20certificaciones/ESTUDIOS%20DE%20PROGRAMMING/PROGRAMMING/PERSONAL/PYTHON/Image_Generator_API/imagenes/T_TAHARI_124010270_BLK_2.jpg")</f>
        <v/>
      </c>
      <c r="N4256">
        <f>IMAGE("file:///E:/Estudios%20y%20certificaciones/ESTUDIOS%20DE%20PROGRAMMING/PROGRAMMING/PERSONAL/PYTHON/Image_Generator_API/imagenes/T_TAHARI_124010270_BLK_3.jpg")</f>
        <v/>
      </c>
      <c r="O4256">
        <f>HYPERLINK("imagenes/T_TAHARI_124010270_BLK_1.jpg","Ver imagen")</f>
        <v/>
      </c>
      <c r="P4256">
        <f>HYPERLINK("imagenes/T_TAHARI_124010270_BLK_2.jpg","Ver imagen")</f>
        <v/>
      </c>
      <c r="Q4256">
        <f>HYPERLINK("imagenes/T_TAHARI_124010270_BLK_3.jpg","Ver imagen")</f>
        <v/>
      </c>
    </row>
    <row r="4257">
      <c r="A4257" t="inlineStr">
        <is>
          <t>T TAHARI</t>
        </is>
      </c>
      <c r="B4257" t="inlineStr">
        <is>
          <t>124010270</t>
        </is>
      </c>
      <c r="C4257" t="inlineStr">
        <is>
          <t>HARPER</t>
        </is>
      </c>
      <c r="D4257" t="inlineStr">
        <is>
          <t>BLK</t>
        </is>
      </c>
      <c r="E4257" t="inlineStr">
        <is>
          <t>(en blanco)</t>
        </is>
      </c>
      <c r="F4257" t="inlineStr">
        <is>
          <t>MACYS ECOM</t>
        </is>
      </c>
      <c r="G4257" t="inlineStr">
        <is>
          <t>M</t>
        </is>
      </c>
      <c r="H4257" t="n">
        <v>0</v>
      </c>
      <c r="I4257" t="inlineStr">
        <is>
          <t>T_TAHARI_124010270_BLK_1.jpg</t>
        </is>
      </c>
      <c r="J4257" t="inlineStr">
        <is>
          <t>T_TAHARI_124010270_BLK_2.jpg</t>
        </is>
      </c>
      <c r="K4257" t="inlineStr">
        <is>
          <t>T_TAHARI_124010270_BLK_3.jpg</t>
        </is>
      </c>
      <c r="L4257">
        <f>IMAGE("file:///E:/Estudios%20y%20certificaciones/ESTUDIOS%20DE%20PROGRAMMING/PROGRAMMING/PERSONAL/PYTHON/Image_Generator_API/imagenes/T_TAHARI_124010270_BLK_1.jpg")</f>
        <v/>
      </c>
      <c r="M4257">
        <f>IMAGE("file:///E:/Estudios%20y%20certificaciones/ESTUDIOS%20DE%20PROGRAMMING/PROGRAMMING/PERSONAL/PYTHON/Image_Generator_API/imagenes/T_TAHARI_124010270_BLK_2.jpg")</f>
        <v/>
      </c>
      <c r="N4257">
        <f>IMAGE("file:///E:/Estudios%20y%20certificaciones/ESTUDIOS%20DE%20PROGRAMMING/PROGRAMMING/PERSONAL/PYTHON/Image_Generator_API/imagenes/T_TAHARI_124010270_BLK_3.jpg")</f>
        <v/>
      </c>
      <c r="O4257">
        <f>HYPERLINK("imagenes/T_TAHARI_124010270_BLK_1.jpg","Ver imagen")</f>
        <v/>
      </c>
      <c r="P4257">
        <f>HYPERLINK("imagenes/T_TAHARI_124010270_BLK_2.jpg","Ver imagen")</f>
        <v/>
      </c>
      <c r="Q4257">
        <f>HYPERLINK("imagenes/T_TAHARI_124010270_BLK_3.jpg","Ver imagen")</f>
        <v/>
      </c>
    </row>
    <row r="4258">
      <c r="A4258" t="inlineStr">
        <is>
          <t>T TAHARI</t>
        </is>
      </c>
      <c r="B4258" t="inlineStr">
        <is>
          <t>124010270</t>
        </is>
      </c>
      <c r="C4258" t="inlineStr">
        <is>
          <t>HARPER</t>
        </is>
      </c>
      <c r="D4258" t="inlineStr">
        <is>
          <t>BLK</t>
        </is>
      </c>
      <c r="E4258" t="inlineStr">
        <is>
          <t>(en blanco)</t>
        </is>
      </c>
      <c r="F4258" t="inlineStr">
        <is>
          <t>MACYS ECOM</t>
        </is>
      </c>
      <c r="G4258" t="inlineStr">
        <is>
          <t>L</t>
        </is>
      </c>
      <c r="H4258" t="n">
        <v>0</v>
      </c>
      <c r="I4258" t="inlineStr">
        <is>
          <t>T_TAHARI_124010270_BLK_1.jpg</t>
        </is>
      </c>
      <c r="J4258" t="inlineStr">
        <is>
          <t>T_TAHARI_124010270_BLK_2.jpg</t>
        </is>
      </c>
      <c r="K4258" t="inlineStr">
        <is>
          <t>T_TAHARI_124010270_BLK_3.jpg</t>
        </is>
      </c>
      <c r="L4258">
        <f>IMAGE("file:///E:/Estudios%20y%20certificaciones/ESTUDIOS%20DE%20PROGRAMMING/PROGRAMMING/PERSONAL/PYTHON/Image_Generator_API/imagenes/T_TAHARI_124010270_BLK_1.jpg")</f>
        <v/>
      </c>
      <c r="M4258">
        <f>IMAGE("file:///E:/Estudios%20y%20certificaciones/ESTUDIOS%20DE%20PROGRAMMING/PROGRAMMING/PERSONAL/PYTHON/Image_Generator_API/imagenes/T_TAHARI_124010270_BLK_2.jpg")</f>
        <v/>
      </c>
      <c r="N4258">
        <f>IMAGE("file:///E:/Estudios%20y%20certificaciones/ESTUDIOS%20DE%20PROGRAMMING/PROGRAMMING/PERSONAL/PYTHON/Image_Generator_API/imagenes/T_TAHARI_124010270_BLK_3.jpg")</f>
        <v/>
      </c>
      <c r="O4258">
        <f>HYPERLINK("imagenes/T_TAHARI_124010270_BLK_1.jpg","Ver imagen")</f>
        <v/>
      </c>
      <c r="P4258">
        <f>HYPERLINK("imagenes/T_TAHARI_124010270_BLK_2.jpg","Ver imagen")</f>
        <v/>
      </c>
      <c r="Q4258">
        <f>HYPERLINK("imagenes/T_TAHARI_124010270_BLK_3.jpg","Ver imagen")</f>
        <v/>
      </c>
    </row>
    <row r="4259">
      <c r="A4259" t="inlineStr">
        <is>
          <t>T TAHARI</t>
        </is>
      </c>
      <c r="B4259" t="inlineStr">
        <is>
          <t>124010270</t>
        </is>
      </c>
      <c r="C4259" t="inlineStr">
        <is>
          <t>HARPER</t>
        </is>
      </c>
      <c r="D4259" t="inlineStr">
        <is>
          <t>BLK</t>
        </is>
      </c>
      <c r="E4259" t="inlineStr">
        <is>
          <t>(en blanco)</t>
        </is>
      </c>
      <c r="F4259" t="inlineStr">
        <is>
          <t>MACYS ECOM</t>
        </is>
      </c>
      <c r="G4259" t="inlineStr">
        <is>
          <t>XL</t>
        </is>
      </c>
      <c r="H4259" t="n">
        <v>0</v>
      </c>
      <c r="I4259" t="inlineStr">
        <is>
          <t>T_TAHARI_124010270_BLK_1.jpg</t>
        </is>
      </c>
      <c r="J4259" t="inlineStr">
        <is>
          <t>T_TAHARI_124010270_BLK_2.jpg</t>
        </is>
      </c>
      <c r="K4259" t="inlineStr">
        <is>
          <t>T_TAHARI_124010270_BLK_3.jpg</t>
        </is>
      </c>
      <c r="L4259">
        <f>IMAGE("file:///E:/Estudios%20y%20certificaciones/ESTUDIOS%20DE%20PROGRAMMING/PROGRAMMING/PERSONAL/PYTHON/Image_Generator_API/imagenes/T_TAHARI_124010270_BLK_1.jpg")</f>
        <v/>
      </c>
      <c r="M4259">
        <f>IMAGE("file:///E:/Estudios%20y%20certificaciones/ESTUDIOS%20DE%20PROGRAMMING/PROGRAMMING/PERSONAL/PYTHON/Image_Generator_API/imagenes/T_TAHARI_124010270_BLK_2.jpg")</f>
        <v/>
      </c>
      <c r="N4259">
        <f>IMAGE("file:///E:/Estudios%20y%20certificaciones/ESTUDIOS%20DE%20PROGRAMMING/PROGRAMMING/PERSONAL/PYTHON/Image_Generator_API/imagenes/T_TAHARI_124010270_BLK_3.jpg")</f>
        <v/>
      </c>
      <c r="O4259">
        <f>HYPERLINK("imagenes/T_TAHARI_124010270_BLK_1.jpg","Ver imagen")</f>
        <v/>
      </c>
      <c r="P4259">
        <f>HYPERLINK("imagenes/T_TAHARI_124010270_BLK_2.jpg","Ver imagen")</f>
        <v/>
      </c>
      <c r="Q4259">
        <f>HYPERLINK("imagenes/T_TAHARI_124010270_BLK_3.jpg","Ver imagen")</f>
        <v/>
      </c>
    </row>
    <row r="4260">
      <c r="A4260" t="inlineStr">
        <is>
          <t>T TAHARI</t>
        </is>
      </c>
      <c r="B4260" t="inlineStr">
        <is>
          <t>124010270</t>
        </is>
      </c>
      <c r="C4260" t="inlineStr">
        <is>
          <t>HARPER</t>
        </is>
      </c>
      <c r="D4260" t="inlineStr">
        <is>
          <t>BLK</t>
        </is>
      </c>
      <c r="E4260" t="inlineStr">
        <is>
          <t>(en blanco)</t>
        </is>
      </c>
      <c r="F4260" t="inlineStr">
        <is>
          <t>MACYS ECOM</t>
        </is>
      </c>
      <c r="G4260" t="inlineStr">
        <is>
          <t>XXL</t>
        </is>
      </c>
      <c r="H4260" t="n">
        <v>0</v>
      </c>
      <c r="I4260" t="inlineStr">
        <is>
          <t>T_TAHARI_124010270_BLK_1.jpg</t>
        </is>
      </c>
      <c r="J4260" t="inlineStr">
        <is>
          <t>T_TAHARI_124010270_BLK_2.jpg</t>
        </is>
      </c>
      <c r="K4260" t="inlineStr">
        <is>
          <t>T_TAHARI_124010270_BLK_3.jpg</t>
        </is>
      </c>
      <c r="L4260">
        <f>IMAGE("file:///E:/Estudios%20y%20certificaciones/ESTUDIOS%20DE%20PROGRAMMING/PROGRAMMING/PERSONAL/PYTHON/Image_Generator_API/imagenes/T_TAHARI_124010270_BLK_1.jpg")</f>
        <v/>
      </c>
      <c r="M4260">
        <f>IMAGE("file:///E:/Estudios%20y%20certificaciones/ESTUDIOS%20DE%20PROGRAMMING/PROGRAMMING/PERSONAL/PYTHON/Image_Generator_API/imagenes/T_TAHARI_124010270_BLK_2.jpg")</f>
        <v/>
      </c>
      <c r="N4260">
        <f>IMAGE("file:///E:/Estudios%20y%20certificaciones/ESTUDIOS%20DE%20PROGRAMMING/PROGRAMMING/PERSONAL/PYTHON/Image_Generator_API/imagenes/T_TAHARI_124010270_BLK_3.jpg")</f>
        <v/>
      </c>
      <c r="O4260">
        <f>HYPERLINK("imagenes/T_TAHARI_124010270_BLK_1.jpg","Ver imagen")</f>
        <v/>
      </c>
      <c r="P4260">
        <f>HYPERLINK("imagenes/T_TAHARI_124010270_BLK_2.jpg","Ver imagen")</f>
        <v/>
      </c>
      <c r="Q4260">
        <f>HYPERLINK("imagenes/T_TAHARI_124010270_BLK_3.jpg","Ver imagen")</f>
        <v/>
      </c>
    </row>
    <row r="4261">
      <c r="A4261" t="inlineStr">
        <is>
          <t>T TAHARI</t>
        </is>
      </c>
      <c r="B4261" t="inlineStr">
        <is>
          <t>124010270</t>
        </is>
      </c>
      <c r="C4261" t="inlineStr">
        <is>
          <t>HARPER</t>
        </is>
      </c>
      <c r="D4261" t="inlineStr">
        <is>
          <t>BLK</t>
        </is>
      </c>
      <c r="E4261" t="inlineStr">
        <is>
          <t>(en blanco)</t>
        </is>
      </c>
      <c r="F4261" t="inlineStr">
        <is>
          <t>MACYS ECOM</t>
        </is>
      </c>
      <c r="G4261" t="inlineStr">
        <is>
          <t>XXS</t>
        </is>
      </c>
      <c r="H4261" t="n">
        <v>0</v>
      </c>
      <c r="I4261" t="inlineStr">
        <is>
          <t>T_TAHARI_124010270_BLK_1.jpg</t>
        </is>
      </c>
      <c r="J4261" t="inlineStr">
        <is>
          <t>T_TAHARI_124010270_BLK_2.jpg</t>
        </is>
      </c>
      <c r="K4261" t="inlineStr">
        <is>
          <t>T_TAHARI_124010270_BLK_3.jpg</t>
        </is>
      </c>
      <c r="L4261">
        <f>IMAGE("file:///E:/Estudios%20y%20certificaciones/ESTUDIOS%20DE%20PROGRAMMING/PROGRAMMING/PERSONAL/PYTHON/Image_Generator_API/imagenes/T_TAHARI_124010270_BLK_1.jpg")</f>
        <v/>
      </c>
      <c r="M4261">
        <f>IMAGE("file:///E:/Estudios%20y%20certificaciones/ESTUDIOS%20DE%20PROGRAMMING/PROGRAMMING/PERSONAL/PYTHON/Image_Generator_API/imagenes/T_TAHARI_124010270_BLK_2.jpg")</f>
        <v/>
      </c>
      <c r="N4261">
        <f>IMAGE("file:///E:/Estudios%20y%20certificaciones/ESTUDIOS%20DE%20PROGRAMMING/PROGRAMMING/PERSONAL/PYTHON/Image_Generator_API/imagenes/T_TAHARI_124010270_BLK_3.jpg")</f>
        <v/>
      </c>
      <c r="O4261">
        <f>HYPERLINK("imagenes/T_TAHARI_124010270_BLK_1.jpg","Ver imagen")</f>
        <v/>
      </c>
      <c r="P4261">
        <f>HYPERLINK("imagenes/T_TAHARI_124010270_BLK_2.jpg","Ver imagen")</f>
        <v/>
      </c>
      <c r="Q4261">
        <f>HYPERLINK("imagenes/T_TAHARI_124010270_BLK_3.jpg","Ver imagen")</f>
        <v/>
      </c>
    </row>
    <row r="4262">
      <c r="A4262" t="inlineStr">
        <is>
          <t>T TAHARI</t>
        </is>
      </c>
      <c r="B4262" t="inlineStr">
        <is>
          <t>124010270</t>
        </is>
      </c>
      <c r="C4262" t="inlineStr">
        <is>
          <t>HARPER</t>
        </is>
      </c>
      <c r="D4262" t="inlineStr">
        <is>
          <t>BLK</t>
        </is>
      </c>
      <c r="E4262" t="inlineStr">
        <is>
          <t>(en blanco)</t>
        </is>
      </c>
      <c r="F4262" t="inlineStr">
        <is>
          <t>(en blanco)</t>
        </is>
      </c>
      <c r="G4262" t="inlineStr">
        <is>
          <t>XS</t>
        </is>
      </c>
      <c r="H4262" t="n">
        <v>35</v>
      </c>
      <c r="I4262" t="inlineStr">
        <is>
          <t>T_TAHARI_124010270_BLK_1.jpg</t>
        </is>
      </c>
      <c r="J4262" t="inlineStr">
        <is>
          <t>T_TAHARI_124010270_BLK_2.jpg</t>
        </is>
      </c>
      <c r="K4262" t="inlineStr">
        <is>
          <t>T_TAHARI_124010270_BLK_3.jpg</t>
        </is>
      </c>
      <c r="L4262">
        <f>IMAGE("file:///E:/Estudios%20y%20certificaciones/ESTUDIOS%20DE%20PROGRAMMING/PROGRAMMING/PERSONAL/PYTHON/Image_Generator_API/imagenes/T_TAHARI_124010270_BLK_1.jpg")</f>
        <v/>
      </c>
      <c r="M4262">
        <f>IMAGE("file:///E:/Estudios%20y%20certificaciones/ESTUDIOS%20DE%20PROGRAMMING/PROGRAMMING/PERSONAL/PYTHON/Image_Generator_API/imagenes/T_TAHARI_124010270_BLK_2.jpg")</f>
        <v/>
      </c>
      <c r="N4262">
        <f>IMAGE("file:///E:/Estudios%20y%20certificaciones/ESTUDIOS%20DE%20PROGRAMMING/PROGRAMMING/PERSONAL/PYTHON/Image_Generator_API/imagenes/T_TAHARI_124010270_BLK_3.jpg")</f>
        <v/>
      </c>
      <c r="O4262">
        <f>HYPERLINK("imagenes/T_TAHARI_124010270_BLK_1.jpg","Ver imagen")</f>
        <v/>
      </c>
      <c r="P4262">
        <f>HYPERLINK("imagenes/T_TAHARI_124010270_BLK_2.jpg","Ver imagen")</f>
        <v/>
      </c>
      <c r="Q4262">
        <f>HYPERLINK("imagenes/T_TAHARI_124010270_BLK_3.jpg","Ver imagen")</f>
        <v/>
      </c>
    </row>
    <row r="4263">
      <c r="A4263" t="inlineStr">
        <is>
          <t>T TAHARI</t>
        </is>
      </c>
      <c r="B4263" t="inlineStr">
        <is>
          <t>124010270</t>
        </is>
      </c>
      <c r="C4263" t="inlineStr">
        <is>
          <t>HARPER</t>
        </is>
      </c>
      <c r="D4263" t="inlineStr">
        <is>
          <t>BLK</t>
        </is>
      </c>
      <c r="E4263" t="inlineStr">
        <is>
          <t>(en blanco)</t>
        </is>
      </c>
      <c r="F4263" t="inlineStr">
        <is>
          <t>(en blanco)</t>
        </is>
      </c>
      <c r="G4263" t="inlineStr">
        <is>
          <t>S</t>
        </is>
      </c>
      <c r="H4263" t="n">
        <v>84</v>
      </c>
      <c r="I4263" t="inlineStr">
        <is>
          <t>T_TAHARI_124010270_BLK_1.jpg</t>
        </is>
      </c>
      <c r="J4263" t="inlineStr">
        <is>
          <t>T_TAHARI_124010270_BLK_2.jpg</t>
        </is>
      </c>
      <c r="K4263" t="inlineStr">
        <is>
          <t>T_TAHARI_124010270_BLK_3.jpg</t>
        </is>
      </c>
      <c r="L4263">
        <f>IMAGE("file:///E:/Estudios%20y%20certificaciones/ESTUDIOS%20DE%20PROGRAMMING/PROGRAMMING/PERSONAL/PYTHON/Image_Generator_API/imagenes/T_TAHARI_124010270_BLK_1.jpg")</f>
        <v/>
      </c>
      <c r="M4263">
        <f>IMAGE("file:///E:/Estudios%20y%20certificaciones/ESTUDIOS%20DE%20PROGRAMMING/PROGRAMMING/PERSONAL/PYTHON/Image_Generator_API/imagenes/T_TAHARI_124010270_BLK_2.jpg")</f>
        <v/>
      </c>
      <c r="N4263">
        <f>IMAGE("file:///E:/Estudios%20y%20certificaciones/ESTUDIOS%20DE%20PROGRAMMING/PROGRAMMING/PERSONAL/PYTHON/Image_Generator_API/imagenes/T_TAHARI_124010270_BLK_3.jpg")</f>
        <v/>
      </c>
      <c r="O4263">
        <f>HYPERLINK("imagenes/T_TAHARI_124010270_BLK_1.jpg","Ver imagen")</f>
        <v/>
      </c>
      <c r="P4263">
        <f>HYPERLINK("imagenes/T_TAHARI_124010270_BLK_2.jpg","Ver imagen")</f>
        <v/>
      </c>
      <c r="Q4263">
        <f>HYPERLINK("imagenes/T_TAHARI_124010270_BLK_3.jpg","Ver imagen")</f>
        <v/>
      </c>
    </row>
    <row r="4264">
      <c r="A4264" t="inlineStr">
        <is>
          <t>T TAHARI</t>
        </is>
      </c>
      <c r="B4264" t="inlineStr">
        <is>
          <t>124010270</t>
        </is>
      </c>
      <c r="C4264" t="inlineStr">
        <is>
          <t>HARPER</t>
        </is>
      </c>
      <c r="D4264" t="inlineStr">
        <is>
          <t>BLK</t>
        </is>
      </c>
      <c r="E4264" t="inlineStr">
        <is>
          <t>(en blanco)</t>
        </is>
      </c>
      <c r="F4264" t="inlineStr">
        <is>
          <t>(en blanco)</t>
        </is>
      </c>
      <c r="G4264" t="inlineStr">
        <is>
          <t>M</t>
        </is>
      </c>
      <c r="H4264" t="n">
        <v>86</v>
      </c>
      <c r="I4264" t="inlineStr">
        <is>
          <t>T_TAHARI_124010270_BLK_1.jpg</t>
        </is>
      </c>
      <c r="J4264" t="inlineStr">
        <is>
          <t>T_TAHARI_124010270_BLK_2.jpg</t>
        </is>
      </c>
      <c r="K4264" t="inlineStr">
        <is>
          <t>T_TAHARI_124010270_BLK_3.jpg</t>
        </is>
      </c>
      <c r="L4264">
        <f>IMAGE("file:///E:/Estudios%20y%20certificaciones/ESTUDIOS%20DE%20PROGRAMMING/PROGRAMMING/PERSONAL/PYTHON/Image_Generator_API/imagenes/T_TAHARI_124010270_BLK_1.jpg")</f>
        <v/>
      </c>
      <c r="M4264">
        <f>IMAGE("file:///E:/Estudios%20y%20certificaciones/ESTUDIOS%20DE%20PROGRAMMING/PROGRAMMING/PERSONAL/PYTHON/Image_Generator_API/imagenes/T_TAHARI_124010270_BLK_2.jpg")</f>
        <v/>
      </c>
      <c r="N4264">
        <f>IMAGE("file:///E:/Estudios%20y%20certificaciones/ESTUDIOS%20DE%20PROGRAMMING/PROGRAMMING/PERSONAL/PYTHON/Image_Generator_API/imagenes/T_TAHARI_124010270_BLK_3.jpg")</f>
        <v/>
      </c>
      <c r="O4264">
        <f>HYPERLINK("imagenes/T_TAHARI_124010270_BLK_1.jpg","Ver imagen")</f>
        <v/>
      </c>
      <c r="P4264">
        <f>HYPERLINK("imagenes/T_TAHARI_124010270_BLK_2.jpg","Ver imagen")</f>
        <v/>
      </c>
      <c r="Q4264">
        <f>HYPERLINK("imagenes/T_TAHARI_124010270_BLK_3.jpg","Ver imagen")</f>
        <v/>
      </c>
    </row>
    <row r="4265">
      <c r="A4265" t="inlineStr">
        <is>
          <t>T TAHARI</t>
        </is>
      </c>
      <c r="B4265" t="inlineStr">
        <is>
          <t>124010270</t>
        </is>
      </c>
      <c r="C4265" t="inlineStr">
        <is>
          <t>HARPER</t>
        </is>
      </c>
      <c r="D4265" t="inlineStr">
        <is>
          <t>BLK</t>
        </is>
      </c>
      <c r="E4265" t="inlineStr">
        <is>
          <t>(en blanco)</t>
        </is>
      </c>
      <c r="F4265" t="inlineStr">
        <is>
          <t>(en blanco)</t>
        </is>
      </c>
      <c r="G4265" t="inlineStr">
        <is>
          <t>L</t>
        </is>
      </c>
      <c r="H4265" t="n">
        <v>88</v>
      </c>
      <c r="I4265" t="inlineStr">
        <is>
          <t>T_TAHARI_124010270_BLK_1.jpg</t>
        </is>
      </c>
      <c r="J4265" t="inlineStr">
        <is>
          <t>T_TAHARI_124010270_BLK_2.jpg</t>
        </is>
      </c>
      <c r="K4265" t="inlineStr">
        <is>
          <t>T_TAHARI_124010270_BLK_3.jpg</t>
        </is>
      </c>
      <c r="L4265">
        <f>IMAGE("file:///E:/Estudios%20y%20certificaciones/ESTUDIOS%20DE%20PROGRAMMING/PROGRAMMING/PERSONAL/PYTHON/Image_Generator_API/imagenes/T_TAHARI_124010270_BLK_1.jpg")</f>
        <v/>
      </c>
      <c r="M4265">
        <f>IMAGE("file:///E:/Estudios%20y%20certificaciones/ESTUDIOS%20DE%20PROGRAMMING/PROGRAMMING/PERSONAL/PYTHON/Image_Generator_API/imagenes/T_TAHARI_124010270_BLK_2.jpg")</f>
        <v/>
      </c>
      <c r="N4265">
        <f>IMAGE("file:///E:/Estudios%20y%20certificaciones/ESTUDIOS%20DE%20PROGRAMMING/PROGRAMMING/PERSONAL/PYTHON/Image_Generator_API/imagenes/T_TAHARI_124010270_BLK_3.jpg")</f>
        <v/>
      </c>
      <c r="O4265">
        <f>HYPERLINK("imagenes/T_TAHARI_124010270_BLK_1.jpg","Ver imagen")</f>
        <v/>
      </c>
      <c r="P4265">
        <f>HYPERLINK("imagenes/T_TAHARI_124010270_BLK_2.jpg","Ver imagen")</f>
        <v/>
      </c>
      <c r="Q4265">
        <f>HYPERLINK("imagenes/T_TAHARI_124010270_BLK_3.jpg","Ver imagen")</f>
        <v/>
      </c>
    </row>
    <row r="4266">
      <c r="A4266" t="inlineStr">
        <is>
          <t>T TAHARI</t>
        </is>
      </c>
      <c r="B4266" t="inlineStr">
        <is>
          <t>124010270</t>
        </is>
      </c>
      <c r="C4266" t="inlineStr">
        <is>
          <t>HARPER</t>
        </is>
      </c>
      <c r="D4266" t="inlineStr">
        <is>
          <t>BLK</t>
        </is>
      </c>
      <c r="E4266" t="inlineStr">
        <is>
          <t>(en blanco)</t>
        </is>
      </c>
      <c r="F4266" t="inlineStr">
        <is>
          <t>(en blanco)</t>
        </is>
      </c>
      <c r="G4266" t="inlineStr">
        <is>
          <t>XL</t>
        </is>
      </c>
      <c r="H4266" t="n">
        <v>38</v>
      </c>
      <c r="I4266" t="inlineStr">
        <is>
          <t>T_TAHARI_124010270_BLK_1.jpg</t>
        </is>
      </c>
      <c r="J4266" t="inlineStr">
        <is>
          <t>T_TAHARI_124010270_BLK_2.jpg</t>
        </is>
      </c>
      <c r="K4266" t="inlineStr">
        <is>
          <t>T_TAHARI_124010270_BLK_3.jpg</t>
        </is>
      </c>
      <c r="L4266">
        <f>IMAGE("file:///E:/Estudios%20y%20certificaciones/ESTUDIOS%20DE%20PROGRAMMING/PROGRAMMING/PERSONAL/PYTHON/Image_Generator_API/imagenes/T_TAHARI_124010270_BLK_1.jpg")</f>
        <v/>
      </c>
      <c r="M4266">
        <f>IMAGE("file:///E:/Estudios%20y%20certificaciones/ESTUDIOS%20DE%20PROGRAMMING/PROGRAMMING/PERSONAL/PYTHON/Image_Generator_API/imagenes/T_TAHARI_124010270_BLK_2.jpg")</f>
        <v/>
      </c>
      <c r="N4266">
        <f>IMAGE("file:///E:/Estudios%20y%20certificaciones/ESTUDIOS%20DE%20PROGRAMMING/PROGRAMMING/PERSONAL/PYTHON/Image_Generator_API/imagenes/T_TAHARI_124010270_BLK_3.jpg")</f>
        <v/>
      </c>
      <c r="O4266">
        <f>HYPERLINK("imagenes/T_TAHARI_124010270_BLK_1.jpg","Ver imagen")</f>
        <v/>
      </c>
      <c r="P4266">
        <f>HYPERLINK("imagenes/T_TAHARI_124010270_BLK_2.jpg","Ver imagen")</f>
        <v/>
      </c>
      <c r="Q4266">
        <f>HYPERLINK("imagenes/T_TAHARI_124010270_BLK_3.jpg","Ver imagen")</f>
        <v/>
      </c>
    </row>
    <row r="4267">
      <c r="A4267" t="inlineStr">
        <is>
          <t>T TAHARI</t>
        </is>
      </c>
      <c r="B4267" t="inlineStr">
        <is>
          <t>124010270</t>
        </is>
      </c>
      <c r="C4267" t="inlineStr">
        <is>
          <t>HARPER</t>
        </is>
      </c>
      <c r="D4267" t="inlineStr">
        <is>
          <t>BLK</t>
        </is>
      </c>
      <c r="E4267" t="inlineStr">
        <is>
          <t>(en blanco)</t>
        </is>
      </c>
      <c r="F4267" t="inlineStr">
        <is>
          <t>(en blanco)</t>
        </is>
      </c>
      <c r="G4267" t="inlineStr">
        <is>
          <t>XXL</t>
        </is>
      </c>
      <c r="H4267" t="n">
        <v>3</v>
      </c>
      <c r="I4267" t="inlineStr">
        <is>
          <t>T_TAHARI_124010270_BLK_1.jpg</t>
        </is>
      </c>
      <c r="J4267" t="inlineStr">
        <is>
          <t>T_TAHARI_124010270_BLK_2.jpg</t>
        </is>
      </c>
      <c r="K4267" t="inlineStr">
        <is>
          <t>T_TAHARI_124010270_BLK_3.jpg</t>
        </is>
      </c>
      <c r="L4267">
        <f>IMAGE("file:///E:/Estudios%20y%20certificaciones/ESTUDIOS%20DE%20PROGRAMMING/PROGRAMMING/PERSONAL/PYTHON/Image_Generator_API/imagenes/T_TAHARI_124010270_BLK_1.jpg")</f>
        <v/>
      </c>
      <c r="M4267">
        <f>IMAGE("file:///E:/Estudios%20y%20certificaciones/ESTUDIOS%20DE%20PROGRAMMING/PROGRAMMING/PERSONAL/PYTHON/Image_Generator_API/imagenes/T_TAHARI_124010270_BLK_2.jpg")</f>
        <v/>
      </c>
      <c r="N4267">
        <f>IMAGE("file:///E:/Estudios%20y%20certificaciones/ESTUDIOS%20DE%20PROGRAMMING/PROGRAMMING/PERSONAL/PYTHON/Image_Generator_API/imagenes/T_TAHARI_124010270_BLK_3.jpg")</f>
        <v/>
      </c>
      <c r="O4267">
        <f>HYPERLINK("imagenes/T_TAHARI_124010270_BLK_1.jpg","Ver imagen")</f>
        <v/>
      </c>
      <c r="P4267">
        <f>HYPERLINK("imagenes/T_TAHARI_124010270_BLK_2.jpg","Ver imagen")</f>
        <v/>
      </c>
      <c r="Q4267">
        <f>HYPERLINK("imagenes/T_TAHARI_124010270_BLK_3.jpg","Ver imagen")</f>
        <v/>
      </c>
    </row>
    <row r="4268">
      <c r="A4268" t="inlineStr">
        <is>
          <t>T TAHARI</t>
        </is>
      </c>
      <c r="B4268" t="inlineStr">
        <is>
          <t>124010270</t>
        </is>
      </c>
      <c r="C4268" t="inlineStr">
        <is>
          <t>HARPER</t>
        </is>
      </c>
      <c r="D4268" t="inlineStr">
        <is>
          <t>BLK</t>
        </is>
      </c>
      <c r="E4268" t="inlineStr">
        <is>
          <t>(en blanco)</t>
        </is>
      </c>
      <c r="F4268" t="inlineStr">
        <is>
          <t>(en blanco)</t>
        </is>
      </c>
      <c r="G4268" t="inlineStr">
        <is>
          <t>XXS</t>
        </is>
      </c>
      <c r="H4268" t="n">
        <v>2</v>
      </c>
      <c r="I4268" t="inlineStr">
        <is>
          <t>T_TAHARI_124010270_BLK_1.jpg</t>
        </is>
      </c>
      <c r="J4268" t="inlineStr">
        <is>
          <t>T_TAHARI_124010270_BLK_2.jpg</t>
        </is>
      </c>
      <c r="K4268" t="inlineStr">
        <is>
          <t>T_TAHARI_124010270_BLK_3.jpg</t>
        </is>
      </c>
      <c r="L4268">
        <f>IMAGE("file:///E:/Estudios%20y%20certificaciones/ESTUDIOS%20DE%20PROGRAMMING/PROGRAMMING/PERSONAL/PYTHON/Image_Generator_API/imagenes/T_TAHARI_124010270_BLK_1.jpg")</f>
        <v/>
      </c>
      <c r="M4268">
        <f>IMAGE("file:///E:/Estudios%20y%20certificaciones/ESTUDIOS%20DE%20PROGRAMMING/PROGRAMMING/PERSONAL/PYTHON/Image_Generator_API/imagenes/T_TAHARI_124010270_BLK_2.jpg")</f>
        <v/>
      </c>
      <c r="N4268">
        <f>IMAGE("file:///E:/Estudios%20y%20certificaciones/ESTUDIOS%20DE%20PROGRAMMING/PROGRAMMING/PERSONAL/PYTHON/Image_Generator_API/imagenes/T_TAHARI_124010270_BLK_3.jpg")</f>
        <v/>
      </c>
      <c r="O4268">
        <f>HYPERLINK("imagenes/T_TAHARI_124010270_BLK_1.jpg","Ver imagen")</f>
        <v/>
      </c>
      <c r="P4268">
        <f>HYPERLINK("imagenes/T_TAHARI_124010270_BLK_2.jpg","Ver imagen")</f>
        <v/>
      </c>
      <c r="Q4268">
        <f>HYPERLINK("imagenes/T_TAHARI_124010270_BLK_3.jpg","Ver imagen")</f>
        <v/>
      </c>
    </row>
    <row r="4269">
      <c r="A4269" t="inlineStr">
        <is>
          <t>T TAHARI</t>
        </is>
      </c>
      <c r="B4269" t="inlineStr">
        <is>
          <t>124010270</t>
        </is>
      </c>
      <c r="C4269" t="inlineStr">
        <is>
          <t>HARPER</t>
        </is>
      </c>
      <c r="D4269" t="inlineStr">
        <is>
          <t>CHO</t>
        </is>
      </c>
      <c r="E4269" t="inlineStr">
        <is>
          <t>(en blanco)</t>
        </is>
      </c>
      <c r="F4269" t="inlineStr">
        <is>
          <t>D2C</t>
        </is>
      </c>
      <c r="G4269" t="inlineStr">
        <is>
          <t>XS</t>
        </is>
      </c>
      <c r="H4269" t="n">
        <v>7</v>
      </c>
      <c r="I4269" t="inlineStr">
        <is>
          <t>T_TAHARI_124010270_CHO_1.jpg</t>
        </is>
      </c>
      <c r="J4269" t="inlineStr">
        <is>
          <t>T_TAHARI_124010270_CHO_2.jpg</t>
        </is>
      </c>
      <c r="K4269" t="inlineStr">
        <is>
          <t>T_TAHARI_124010270_CHO_3.jpg</t>
        </is>
      </c>
      <c r="L4269">
        <f>IMAGE("file:///E:/Estudios%20y%20certificaciones/ESTUDIOS%20DE%20PROGRAMMING/PROGRAMMING/PERSONAL/PYTHON/Image_Generator_API/imagenes/T_TAHARI_124010270_CHO_1.jpg")</f>
        <v/>
      </c>
      <c r="M4269">
        <f>IMAGE("file:///E:/Estudios%20y%20certificaciones/ESTUDIOS%20DE%20PROGRAMMING/PROGRAMMING/PERSONAL/PYTHON/Image_Generator_API/imagenes/T_TAHARI_124010270_CHO_2.jpg")</f>
        <v/>
      </c>
      <c r="N4269">
        <f>IMAGE("file:///E:/Estudios%20y%20certificaciones/ESTUDIOS%20DE%20PROGRAMMING/PROGRAMMING/PERSONAL/PYTHON/Image_Generator_API/imagenes/T_TAHARI_124010270_CHO_3.jpg")</f>
        <v/>
      </c>
      <c r="O4269">
        <f>HYPERLINK("imagenes/T_TAHARI_124010270_CHO_1.jpg","Ver imagen")</f>
        <v/>
      </c>
      <c r="P4269">
        <f>HYPERLINK("imagenes/T_TAHARI_124010270_CHO_2.jpg","Ver imagen")</f>
        <v/>
      </c>
      <c r="Q4269">
        <f>HYPERLINK("imagenes/T_TAHARI_124010270_CHO_3.jpg","Ver imagen")</f>
        <v/>
      </c>
    </row>
    <row r="4270">
      <c r="A4270" t="inlineStr">
        <is>
          <t>T TAHARI</t>
        </is>
      </c>
      <c r="B4270" t="inlineStr">
        <is>
          <t>124010270</t>
        </is>
      </c>
      <c r="C4270" t="inlineStr">
        <is>
          <t>HARPER</t>
        </is>
      </c>
      <c r="D4270" t="inlineStr">
        <is>
          <t>CHO</t>
        </is>
      </c>
      <c r="E4270" t="inlineStr">
        <is>
          <t>(en blanco)</t>
        </is>
      </c>
      <c r="F4270" t="inlineStr">
        <is>
          <t>D2C</t>
        </is>
      </c>
      <c r="G4270" t="inlineStr">
        <is>
          <t>S</t>
        </is>
      </c>
      <c r="H4270" t="n">
        <v>17</v>
      </c>
      <c r="I4270" t="inlineStr">
        <is>
          <t>T_TAHARI_124010270_CHO_1.jpg</t>
        </is>
      </c>
      <c r="J4270" t="inlineStr">
        <is>
          <t>T_TAHARI_124010270_CHO_2.jpg</t>
        </is>
      </c>
      <c r="K4270" t="inlineStr">
        <is>
          <t>T_TAHARI_124010270_CHO_3.jpg</t>
        </is>
      </c>
      <c r="L4270">
        <f>IMAGE("file:///E:/Estudios%20y%20certificaciones/ESTUDIOS%20DE%20PROGRAMMING/PROGRAMMING/PERSONAL/PYTHON/Image_Generator_API/imagenes/T_TAHARI_124010270_CHO_1.jpg")</f>
        <v/>
      </c>
      <c r="M4270">
        <f>IMAGE("file:///E:/Estudios%20y%20certificaciones/ESTUDIOS%20DE%20PROGRAMMING/PROGRAMMING/PERSONAL/PYTHON/Image_Generator_API/imagenes/T_TAHARI_124010270_CHO_2.jpg")</f>
        <v/>
      </c>
      <c r="N4270">
        <f>IMAGE("file:///E:/Estudios%20y%20certificaciones/ESTUDIOS%20DE%20PROGRAMMING/PROGRAMMING/PERSONAL/PYTHON/Image_Generator_API/imagenes/T_TAHARI_124010270_CHO_3.jpg")</f>
        <v/>
      </c>
      <c r="O4270">
        <f>HYPERLINK("imagenes/T_TAHARI_124010270_CHO_1.jpg","Ver imagen")</f>
        <v/>
      </c>
      <c r="P4270">
        <f>HYPERLINK("imagenes/T_TAHARI_124010270_CHO_2.jpg","Ver imagen")</f>
        <v/>
      </c>
      <c r="Q4270">
        <f>HYPERLINK("imagenes/T_TAHARI_124010270_CHO_3.jpg","Ver imagen")</f>
        <v/>
      </c>
    </row>
    <row r="4271">
      <c r="A4271" t="inlineStr">
        <is>
          <t>T TAHARI</t>
        </is>
      </c>
      <c r="B4271" t="inlineStr">
        <is>
          <t>124010270</t>
        </is>
      </c>
      <c r="C4271" t="inlineStr">
        <is>
          <t>HARPER</t>
        </is>
      </c>
      <c r="D4271" t="inlineStr">
        <is>
          <t>CHO</t>
        </is>
      </c>
      <c r="E4271" t="inlineStr">
        <is>
          <t>(en blanco)</t>
        </is>
      </c>
      <c r="F4271" t="inlineStr">
        <is>
          <t>D2C</t>
        </is>
      </c>
      <c r="G4271" t="inlineStr">
        <is>
          <t>M</t>
        </is>
      </c>
      <c r="H4271" t="n">
        <v>15</v>
      </c>
      <c r="I4271" t="inlineStr">
        <is>
          <t>T_TAHARI_124010270_CHO_1.jpg</t>
        </is>
      </c>
      <c r="J4271" t="inlineStr">
        <is>
          <t>T_TAHARI_124010270_CHO_2.jpg</t>
        </is>
      </c>
      <c r="K4271" t="inlineStr">
        <is>
          <t>T_TAHARI_124010270_CHO_3.jpg</t>
        </is>
      </c>
      <c r="L4271">
        <f>IMAGE("file:///E:/Estudios%20y%20certificaciones/ESTUDIOS%20DE%20PROGRAMMING/PROGRAMMING/PERSONAL/PYTHON/Image_Generator_API/imagenes/T_TAHARI_124010270_CHO_1.jpg")</f>
        <v/>
      </c>
      <c r="M4271">
        <f>IMAGE("file:///E:/Estudios%20y%20certificaciones/ESTUDIOS%20DE%20PROGRAMMING/PROGRAMMING/PERSONAL/PYTHON/Image_Generator_API/imagenes/T_TAHARI_124010270_CHO_2.jpg")</f>
        <v/>
      </c>
      <c r="N4271">
        <f>IMAGE("file:///E:/Estudios%20y%20certificaciones/ESTUDIOS%20DE%20PROGRAMMING/PROGRAMMING/PERSONAL/PYTHON/Image_Generator_API/imagenes/T_TAHARI_124010270_CHO_3.jpg")</f>
        <v/>
      </c>
      <c r="O4271">
        <f>HYPERLINK("imagenes/T_TAHARI_124010270_CHO_1.jpg","Ver imagen")</f>
        <v/>
      </c>
      <c r="P4271">
        <f>HYPERLINK("imagenes/T_TAHARI_124010270_CHO_2.jpg","Ver imagen")</f>
        <v/>
      </c>
      <c r="Q4271">
        <f>HYPERLINK("imagenes/T_TAHARI_124010270_CHO_3.jpg","Ver imagen")</f>
        <v/>
      </c>
    </row>
    <row r="4272">
      <c r="A4272" t="inlineStr">
        <is>
          <t>T TAHARI</t>
        </is>
      </c>
      <c r="B4272" t="inlineStr">
        <is>
          <t>124010270</t>
        </is>
      </c>
      <c r="C4272" t="inlineStr">
        <is>
          <t>HARPER</t>
        </is>
      </c>
      <c r="D4272" t="inlineStr">
        <is>
          <t>CHO</t>
        </is>
      </c>
      <c r="E4272" t="inlineStr">
        <is>
          <t>(en blanco)</t>
        </is>
      </c>
      <c r="F4272" t="inlineStr">
        <is>
          <t>D2C</t>
        </is>
      </c>
      <c r="G4272" t="inlineStr">
        <is>
          <t>L</t>
        </is>
      </c>
      <c r="H4272" t="n">
        <v>16</v>
      </c>
      <c r="I4272" t="inlineStr">
        <is>
          <t>T_TAHARI_124010270_CHO_1.jpg</t>
        </is>
      </c>
      <c r="J4272" t="inlineStr">
        <is>
          <t>T_TAHARI_124010270_CHO_2.jpg</t>
        </is>
      </c>
      <c r="K4272" t="inlineStr">
        <is>
          <t>T_TAHARI_124010270_CHO_3.jpg</t>
        </is>
      </c>
      <c r="L4272">
        <f>IMAGE("file:///E:/Estudios%20y%20certificaciones/ESTUDIOS%20DE%20PROGRAMMING/PROGRAMMING/PERSONAL/PYTHON/Image_Generator_API/imagenes/T_TAHARI_124010270_CHO_1.jpg")</f>
        <v/>
      </c>
      <c r="M4272">
        <f>IMAGE("file:///E:/Estudios%20y%20certificaciones/ESTUDIOS%20DE%20PROGRAMMING/PROGRAMMING/PERSONAL/PYTHON/Image_Generator_API/imagenes/T_TAHARI_124010270_CHO_2.jpg")</f>
        <v/>
      </c>
      <c r="N4272">
        <f>IMAGE("file:///E:/Estudios%20y%20certificaciones/ESTUDIOS%20DE%20PROGRAMMING/PROGRAMMING/PERSONAL/PYTHON/Image_Generator_API/imagenes/T_TAHARI_124010270_CHO_3.jpg")</f>
        <v/>
      </c>
      <c r="O4272">
        <f>HYPERLINK("imagenes/T_TAHARI_124010270_CHO_1.jpg","Ver imagen")</f>
        <v/>
      </c>
      <c r="P4272">
        <f>HYPERLINK("imagenes/T_TAHARI_124010270_CHO_2.jpg","Ver imagen")</f>
        <v/>
      </c>
      <c r="Q4272">
        <f>HYPERLINK("imagenes/T_TAHARI_124010270_CHO_3.jpg","Ver imagen")</f>
        <v/>
      </c>
    </row>
    <row r="4273">
      <c r="A4273" t="inlineStr">
        <is>
          <t>T TAHARI</t>
        </is>
      </c>
      <c r="B4273" t="inlineStr">
        <is>
          <t>124010270</t>
        </is>
      </c>
      <c r="C4273" t="inlineStr">
        <is>
          <t>HARPER</t>
        </is>
      </c>
      <c r="D4273" t="inlineStr">
        <is>
          <t>CHO</t>
        </is>
      </c>
      <c r="E4273" t="inlineStr">
        <is>
          <t>(en blanco)</t>
        </is>
      </c>
      <c r="F4273" t="inlineStr">
        <is>
          <t>D2C</t>
        </is>
      </c>
      <c r="G4273" t="inlineStr">
        <is>
          <t>XL</t>
        </is>
      </c>
      <c r="H4273" t="n">
        <v>8</v>
      </c>
      <c r="I4273" t="inlineStr">
        <is>
          <t>T_TAHARI_124010270_CHO_1.jpg</t>
        </is>
      </c>
      <c r="J4273" t="inlineStr">
        <is>
          <t>T_TAHARI_124010270_CHO_2.jpg</t>
        </is>
      </c>
      <c r="K4273" t="inlineStr">
        <is>
          <t>T_TAHARI_124010270_CHO_3.jpg</t>
        </is>
      </c>
      <c r="L4273">
        <f>IMAGE("file:///E:/Estudios%20y%20certificaciones/ESTUDIOS%20DE%20PROGRAMMING/PROGRAMMING/PERSONAL/PYTHON/Image_Generator_API/imagenes/T_TAHARI_124010270_CHO_1.jpg")</f>
        <v/>
      </c>
      <c r="M4273">
        <f>IMAGE("file:///E:/Estudios%20y%20certificaciones/ESTUDIOS%20DE%20PROGRAMMING/PROGRAMMING/PERSONAL/PYTHON/Image_Generator_API/imagenes/T_TAHARI_124010270_CHO_2.jpg")</f>
        <v/>
      </c>
      <c r="N4273">
        <f>IMAGE("file:///E:/Estudios%20y%20certificaciones/ESTUDIOS%20DE%20PROGRAMMING/PROGRAMMING/PERSONAL/PYTHON/Image_Generator_API/imagenes/T_TAHARI_124010270_CHO_3.jpg")</f>
        <v/>
      </c>
      <c r="O4273">
        <f>HYPERLINK("imagenes/T_TAHARI_124010270_CHO_1.jpg","Ver imagen")</f>
        <v/>
      </c>
      <c r="P4273">
        <f>HYPERLINK("imagenes/T_TAHARI_124010270_CHO_2.jpg","Ver imagen")</f>
        <v/>
      </c>
      <c r="Q4273">
        <f>HYPERLINK("imagenes/T_TAHARI_124010270_CHO_3.jpg","Ver imagen")</f>
        <v/>
      </c>
    </row>
    <row r="4274">
      <c r="A4274" t="inlineStr">
        <is>
          <t>T TAHARI</t>
        </is>
      </c>
      <c r="B4274" t="inlineStr">
        <is>
          <t>124010270</t>
        </is>
      </c>
      <c r="C4274" t="inlineStr">
        <is>
          <t>HARPER</t>
        </is>
      </c>
      <c r="D4274" t="inlineStr">
        <is>
          <t>CHO</t>
        </is>
      </c>
      <c r="E4274" t="inlineStr">
        <is>
          <t>(en blanco)</t>
        </is>
      </c>
      <c r="F4274" t="inlineStr">
        <is>
          <t>MACYS ECOM</t>
        </is>
      </c>
      <c r="G4274" t="inlineStr">
        <is>
          <t>XS</t>
        </is>
      </c>
      <c r="H4274" t="n">
        <v>0</v>
      </c>
      <c r="I4274" t="inlineStr">
        <is>
          <t>T_TAHARI_124010270_CHO_1.jpg</t>
        </is>
      </c>
      <c r="J4274" t="inlineStr">
        <is>
          <t>T_TAHARI_124010270_CHO_2.jpg</t>
        </is>
      </c>
      <c r="K4274" t="inlineStr">
        <is>
          <t>T_TAHARI_124010270_CHO_3.jpg</t>
        </is>
      </c>
      <c r="L4274">
        <f>IMAGE("file:///E:/Estudios%20y%20certificaciones/ESTUDIOS%20DE%20PROGRAMMING/PROGRAMMING/PERSONAL/PYTHON/Image_Generator_API/imagenes/T_TAHARI_124010270_CHO_1.jpg")</f>
        <v/>
      </c>
      <c r="M4274">
        <f>IMAGE("file:///E:/Estudios%20y%20certificaciones/ESTUDIOS%20DE%20PROGRAMMING/PROGRAMMING/PERSONAL/PYTHON/Image_Generator_API/imagenes/T_TAHARI_124010270_CHO_2.jpg")</f>
        <v/>
      </c>
      <c r="N4274">
        <f>IMAGE("file:///E:/Estudios%20y%20certificaciones/ESTUDIOS%20DE%20PROGRAMMING/PROGRAMMING/PERSONAL/PYTHON/Image_Generator_API/imagenes/T_TAHARI_124010270_CHO_3.jpg")</f>
        <v/>
      </c>
      <c r="O4274">
        <f>HYPERLINK("imagenes/T_TAHARI_124010270_CHO_1.jpg","Ver imagen")</f>
        <v/>
      </c>
      <c r="P4274">
        <f>HYPERLINK("imagenes/T_TAHARI_124010270_CHO_2.jpg","Ver imagen")</f>
        <v/>
      </c>
      <c r="Q4274">
        <f>HYPERLINK("imagenes/T_TAHARI_124010270_CHO_3.jpg","Ver imagen")</f>
        <v/>
      </c>
    </row>
    <row r="4275">
      <c r="A4275" t="inlineStr">
        <is>
          <t>T TAHARI</t>
        </is>
      </c>
      <c r="B4275" t="inlineStr">
        <is>
          <t>124010270</t>
        </is>
      </c>
      <c r="C4275" t="inlineStr">
        <is>
          <t>HARPER</t>
        </is>
      </c>
      <c r="D4275" t="inlineStr">
        <is>
          <t>CHO</t>
        </is>
      </c>
      <c r="E4275" t="inlineStr">
        <is>
          <t>(en blanco)</t>
        </is>
      </c>
      <c r="F4275" t="inlineStr">
        <is>
          <t>MACYS ECOM</t>
        </is>
      </c>
      <c r="G4275" t="inlineStr">
        <is>
          <t>S</t>
        </is>
      </c>
      <c r="H4275" t="n">
        <v>0</v>
      </c>
      <c r="I4275" t="inlineStr">
        <is>
          <t>T_TAHARI_124010270_CHO_1.jpg</t>
        </is>
      </c>
      <c r="J4275" t="inlineStr">
        <is>
          <t>T_TAHARI_124010270_CHO_2.jpg</t>
        </is>
      </c>
      <c r="K4275" t="inlineStr">
        <is>
          <t>T_TAHARI_124010270_CHO_3.jpg</t>
        </is>
      </c>
      <c r="L4275">
        <f>IMAGE("file:///E:/Estudios%20y%20certificaciones/ESTUDIOS%20DE%20PROGRAMMING/PROGRAMMING/PERSONAL/PYTHON/Image_Generator_API/imagenes/T_TAHARI_124010270_CHO_1.jpg")</f>
        <v/>
      </c>
      <c r="M4275">
        <f>IMAGE("file:///E:/Estudios%20y%20certificaciones/ESTUDIOS%20DE%20PROGRAMMING/PROGRAMMING/PERSONAL/PYTHON/Image_Generator_API/imagenes/T_TAHARI_124010270_CHO_2.jpg")</f>
        <v/>
      </c>
      <c r="N4275">
        <f>IMAGE("file:///E:/Estudios%20y%20certificaciones/ESTUDIOS%20DE%20PROGRAMMING/PROGRAMMING/PERSONAL/PYTHON/Image_Generator_API/imagenes/T_TAHARI_124010270_CHO_3.jpg")</f>
        <v/>
      </c>
      <c r="O4275">
        <f>HYPERLINK("imagenes/T_TAHARI_124010270_CHO_1.jpg","Ver imagen")</f>
        <v/>
      </c>
      <c r="P4275">
        <f>HYPERLINK("imagenes/T_TAHARI_124010270_CHO_2.jpg","Ver imagen")</f>
        <v/>
      </c>
      <c r="Q4275">
        <f>HYPERLINK("imagenes/T_TAHARI_124010270_CHO_3.jpg","Ver imagen")</f>
        <v/>
      </c>
    </row>
    <row r="4276">
      <c r="A4276" t="inlineStr">
        <is>
          <t>T TAHARI</t>
        </is>
      </c>
      <c r="B4276" t="inlineStr">
        <is>
          <t>124010270</t>
        </is>
      </c>
      <c r="C4276" t="inlineStr">
        <is>
          <t>HARPER</t>
        </is>
      </c>
      <c r="D4276" t="inlineStr">
        <is>
          <t>CHO</t>
        </is>
      </c>
      <c r="E4276" t="inlineStr">
        <is>
          <t>(en blanco)</t>
        </is>
      </c>
      <c r="F4276" t="inlineStr">
        <is>
          <t>MACYS ECOM</t>
        </is>
      </c>
      <c r="G4276" t="inlineStr">
        <is>
          <t>M</t>
        </is>
      </c>
      <c r="H4276" t="n">
        <v>0</v>
      </c>
      <c r="I4276" t="inlineStr">
        <is>
          <t>T_TAHARI_124010270_CHO_1.jpg</t>
        </is>
      </c>
      <c r="J4276" t="inlineStr">
        <is>
          <t>T_TAHARI_124010270_CHO_2.jpg</t>
        </is>
      </c>
      <c r="K4276" t="inlineStr">
        <is>
          <t>T_TAHARI_124010270_CHO_3.jpg</t>
        </is>
      </c>
      <c r="L4276">
        <f>IMAGE("file:///E:/Estudios%20y%20certificaciones/ESTUDIOS%20DE%20PROGRAMMING/PROGRAMMING/PERSONAL/PYTHON/Image_Generator_API/imagenes/T_TAHARI_124010270_CHO_1.jpg")</f>
        <v/>
      </c>
      <c r="M4276">
        <f>IMAGE("file:///E:/Estudios%20y%20certificaciones/ESTUDIOS%20DE%20PROGRAMMING/PROGRAMMING/PERSONAL/PYTHON/Image_Generator_API/imagenes/T_TAHARI_124010270_CHO_2.jpg")</f>
        <v/>
      </c>
      <c r="N4276">
        <f>IMAGE("file:///E:/Estudios%20y%20certificaciones/ESTUDIOS%20DE%20PROGRAMMING/PROGRAMMING/PERSONAL/PYTHON/Image_Generator_API/imagenes/T_TAHARI_124010270_CHO_3.jpg")</f>
        <v/>
      </c>
      <c r="O4276">
        <f>HYPERLINK("imagenes/T_TAHARI_124010270_CHO_1.jpg","Ver imagen")</f>
        <v/>
      </c>
      <c r="P4276">
        <f>HYPERLINK("imagenes/T_TAHARI_124010270_CHO_2.jpg","Ver imagen")</f>
        <v/>
      </c>
      <c r="Q4276">
        <f>HYPERLINK("imagenes/T_TAHARI_124010270_CHO_3.jpg","Ver imagen")</f>
        <v/>
      </c>
    </row>
    <row r="4277">
      <c r="A4277" t="inlineStr">
        <is>
          <t>T TAHARI</t>
        </is>
      </c>
      <c r="B4277" t="inlineStr">
        <is>
          <t>124010270</t>
        </is>
      </c>
      <c r="C4277" t="inlineStr">
        <is>
          <t>HARPER</t>
        </is>
      </c>
      <c r="D4277" t="inlineStr">
        <is>
          <t>CHO</t>
        </is>
      </c>
      <c r="E4277" t="inlineStr">
        <is>
          <t>(en blanco)</t>
        </is>
      </c>
      <c r="F4277" t="inlineStr">
        <is>
          <t>MACYS ECOM</t>
        </is>
      </c>
      <c r="G4277" t="inlineStr">
        <is>
          <t>L</t>
        </is>
      </c>
      <c r="H4277" t="n">
        <v>0</v>
      </c>
      <c r="I4277" t="inlineStr">
        <is>
          <t>T_TAHARI_124010270_CHO_1.jpg</t>
        </is>
      </c>
      <c r="J4277" t="inlineStr">
        <is>
          <t>T_TAHARI_124010270_CHO_2.jpg</t>
        </is>
      </c>
      <c r="K4277" t="inlineStr">
        <is>
          <t>T_TAHARI_124010270_CHO_3.jpg</t>
        </is>
      </c>
      <c r="L4277">
        <f>IMAGE("file:///E:/Estudios%20y%20certificaciones/ESTUDIOS%20DE%20PROGRAMMING/PROGRAMMING/PERSONAL/PYTHON/Image_Generator_API/imagenes/T_TAHARI_124010270_CHO_1.jpg")</f>
        <v/>
      </c>
      <c r="M4277">
        <f>IMAGE("file:///E:/Estudios%20y%20certificaciones/ESTUDIOS%20DE%20PROGRAMMING/PROGRAMMING/PERSONAL/PYTHON/Image_Generator_API/imagenes/T_TAHARI_124010270_CHO_2.jpg")</f>
        <v/>
      </c>
      <c r="N4277">
        <f>IMAGE("file:///E:/Estudios%20y%20certificaciones/ESTUDIOS%20DE%20PROGRAMMING/PROGRAMMING/PERSONAL/PYTHON/Image_Generator_API/imagenes/T_TAHARI_124010270_CHO_3.jpg")</f>
        <v/>
      </c>
      <c r="O4277">
        <f>HYPERLINK("imagenes/T_TAHARI_124010270_CHO_1.jpg","Ver imagen")</f>
        <v/>
      </c>
      <c r="P4277">
        <f>HYPERLINK("imagenes/T_TAHARI_124010270_CHO_2.jpg","Ver imagen")</f>
        <v/>
      </c>
      <c r="Q4277">
        <f>HYPERLINK("imagenes/T_TAHARI_124010270_CHO_3.jpg","Ver imagen")</f>
        <v/>
      </c>
    </row>
    <row r="4278">
      <c r="A4278" t="inlineStr">
        <is>
          <t>T TAHARI</t>
        </is>
      </c>
      <c r="B4278" t="inlineStr">
        <is>
          <t>124010270</t>
        </is>
      </c>
      <c r="C4278" t="inlineStr">
        <is>
          <t>HARPER</t>
        </is>
      </c>
      <c r="D4278" t="inlineStr">
        <is>
          <t>CHO</t>
        </is>
      </c>
      <c r="E4278" t="inlineStr">
        <is>
          <t>(en blanco)</t>
        </is>
      </c>
      <c r="F4278" t="inlineStr">
        <is>
          <t>MACYS ECOM</t>
        </is>
      </c>
      <c r="G4278" t="inlineStr">
        <is>
          <t>XL</t>
        </is>
      </c>
      <c r="H4278" t="n">
        <v>0</v>
      </c>
      <c r="I4278" t="inlineStr">
        <is>
          <t>T_TAHARI_124010270_CHO_1.jpg</t>
        </is>
      </c>
      <c r="J4278" t="inlineStr">
        <is>
          <t>T_TAHARI_124010270_CHO_2.jpg</t>
        </is>
      </c>
      <c r="K4278" t="inlineStr">
        <is>
          <t>T_TAHARI_124010270_CHO_3.jpg</t>
        </is>
      </c>
      <c r="L4278">
        <f>IMAGE("file:///E:/Estudios%20y%20certificaciones/ESTUDIOS%20DE%20PROGRAMMING/PROGRAMMING/PERSONAL/PYTHON/Image_Generator_API/imagenes/T_TAHARI_124010270_CHO_1.jpg")</f>
        <v/>
      </c>
      <c r="M4278">
        <f>IMAGE("file:///E:/Estudios%20y%20certificaciones/ESTUDIOS%20DE%20PROGRAMMING/PROGRAMMING/PERSONAL/PYTHON/Image_Generator_API/imagenes/T_TAHARI_124010270_CHO_2.jpg")</f>
        <v/>
      </c>
      <c r="N4278">
        <f>IMAGE("file:///E:/Estudios%20y%20certificaciones/ESTUDIOS%20DE%20PROGRAMMING/PROGRAMMING/PERSONAL/PYTHON/Image_Generator_API/imagenes/T_TAHARI_124010270_CHO_3.jpg")</f>
        <v/>
      </c>
      <c r="O4278">
        <f>HYPERLINK("imagenes/T_TAHARI_124010270_CHO_1.jpg","Ver imagen")</f>
        <v/>
      </c>
      <c r="P4278">
        <f>HYPERLINK("imagenes/T_TAHARI_124010270_CHO_2.jpg","Ver imagen")</f>
        <v/>
      </c>
      <c r="Q4278">
        <f>HYPERLINK("imagenes/T_TAHARI_124010270_CHO_3.jpg","Ver imagen")</f>
        <v/>
      </c>
    </row>
    <row r="4279">
      <c r="A4279" t="inlineStr">
        <is>
          <t>T TAHARI</t>
        </is>
      </c>
      <c r="B4279" t="inlineStr">
        <is>
          <t>124010270</t>
        </is>
      </c>
      <c r="C4279" t="inlineStr">
        <is>
          <t>HARPER</t>
        </is>
      </c>
      <c r="D4279" t="inlineStr">
        <is>
          <t>CHO</t>
        </is>
      </c>
      <c r="E4279" t="inlineStr">
        <is>
          <t>(en blanco)</t>
        </is>
      </c>
      <c r="F4279" t="inlineStr">
        <is>
          <t>MACYS ECOM</t>
        </is>
      </c>
      <c r="G4279" t="inlineStr">
        <is>
          <t>XXL</t>
        </is>
      </c>
      <c r="H4279" t="n">
        <v>0</v>
      </c>
      <c r="I4279" t="inlineStr">
        <is>
          <t>T_TAHARI_124010270_CHO_1.jpg</t>
        </is>
      </c>
      <c r="J4279" t="inlineStr">
        <is>
          <t>T_TAHARI_124010270_CHO_2.jpg</t>
        </is>
      </c>
      <c r="K4279" t="inlineStr">
        <is>
          <t>T_TAHARI_124010270_CHO_3.jpg</t>
        </is>
      </c>
      <c r="L4279">
        <f>IMAGE("file:///E:/Estudios%20y%20certificaciones/ESTUDIOS%20DE%20PROGRAMMING/PROGRAMMING/PERSONAL/PYTHON/Image_Generator_API/imagenes/T_TAHARI_124010270_CHO_1.jpg")</f>
        <v/>
      </c>
      <c r="M4279">
        <f>IMAGE("file:///E:/Estudios%20y%20certificaciones/ESTUDIOS%20DE%20PROGRAMMING/PROGRAMMING/PERSONAL/PYTHON/Image_Generator_API/imagenes/T_TAHARI_124010270_CHO_2.jpg")</f>
        <v/>
      </c>
      <c r="N4279">
        <f>IMAGE("file:///E:/Estudios%20y%20certificaciones/ESTUDIOS%20DE%20PROGRAMMING/PROGRAMMING/PERSONAL/PYTHON/Image_Generator_API/imagenes/T_TAHARI_124010270_CHO_3.jpg")</f>
        <v/>
      </c>
      <c r="O4279">
        <f>HYPERLINK("imagenes/T_TAHARI_124010270_CHO_1.jpg","Ver imagen")</f>
        <v/>
      </c>
      <c r="P4279">
        <f>HYPERLINK("imagenes/T_TAHARI_124010270_CHO_2.jpg","Ver imagen")</f>
        <v/>
      </c>
      <c r="Q4279">
        <f>HYPERLINK("imagenes/T_TAHARI_124010270_CHO_3.jpg","Ver imagen")</f>
        <v/>
      </c>
    </row>
    <row r="4280">
      <c r="A4280" t="inlineStr">
        <is>
          <t>T TAHARI</t>
        </is>
      </c>
      <c r="B4280" t="inlineStr">
        <is>
          <t>124010270</t>
        </is>
      </c>
      <c r="C4280" t="inlineStr">
        <is>
          <t>HARPER</t>
        </is>
      </c>
      <c r="D4280" t="inlineStr">
        <is>
          <t>CHO</t>
        </is>
      </c>
      <c r="E4280" t="inlineStr">
        <is>
          <t>(en blanco)</t>
        </is>
      </c>
      <c r="F4280" t="inlineStr">
        <is>
          <t>MACYS ECOM</t>
        </is>
      </c>
      <c r="G4280" t="inlineStr">
        <is>
          <t>XXS</t>
        </is>
      </c>
      <c r="H4280" t="n">
        <v>0</v>
      </c>
      <c r="I4280" t="inlineStr">
        <is>
          <t>T_TAHARI_124010270_CHO_1.jpg</t>
        </is>
      </c>
      <c r="J4280" t="inlineStr">
        <is>
          <t>T_TAHARI_124010270_CHO_2.jpg</t>
        </is>
      </c>
      <c r="K4280" t="inlineStr">
        <is>
          <t>T_TAHARI_124010270_CHO_3.jpg</t>
        </is>
      </c>
      <c r="L4280">
        <f>IMAGE("file:///E:/Estudios%20y%20certificaciones/ESTUDIOS%20DE%20PROGRAMMING/PROGRAMMING/PERSONAL/PYTHON/Image_Generator_API/imagenes/T_TAHARI_124010270_CHO_1.jpg")</f>
        <v/>
      </c>
      <c r="M4280">
        <f>IMAGE("file:///E:/Estudios%20y%20certificaciones/ESTUDIOS%20DE%20PROGRAMMING/PROGRAMMING/PERSONAL/PYTHON/Image_Generator_API/imagenes/T_TAHARI_124010270_CHO_2.jpg")</f>
        <v/>
      </c>
      <c r="N4280">
        <f>IMAGE("file:///E:/Estudios%20y%20certificaciones/ESTUDIOS%20DE%20PROGRAMMING/PROGRAMMING/PERSONAL/PYTHON/Image_Generator_API/imagenes/T_TAHARI_124010270_CHO_3.jpg")</f>
        <v/>
      </c>
      <c r="O4280">
        <f>HYPERLINK("imagenes/T_TAHARI_124010270_CHO_1.jpg","Ver imagen")</f>
        <v/>
      </c>
      <c r="P4280">
        <f>HYPERLINK("imagenes/T_TAHARI_124010270_CHO_2.jpg","Ver imagen")</f>
        <v/>
      </c>
      <c r="Q4280">
        <f>HYPERLINK("imagenes/T_TAHARI_124010270_CHO_3.jpg","Ver imagen")</f>
        <v/>
      </c>
    </row>
    <row r="4281">
      <c r="A4281" t="inlineStr">
        <is>
          <t>T TAHARI</t>
        </is>
      </c>
      <c r="B4281" t="inlineStr">
        <is>
          <t>124010270</t>
        </is>
      </c>
      <c r="C4281" t="inlineStr">
        <is>
          <t>HARPER</t>
        </is>
      </c>
      <c r="D4281" t="inlineStr">
        <is>
          <t>CHO</t>
        </is>
      </c>
      <c r="E4281" t="inlineStr">
        <is>
          <t>(en blanco)</t>
        </is>
      </c>
      <c r="F4281" t="inlineStr">
        <is>
          <t>(en blanco)</t>
        </is>
      </c>
      <c r="G4281" t="inlineStr">
        <is>
          <t>XS</t>
        </is>
      </c>
      <c r="H4281" t="n">
        <v>33</v>
      </c>
      <c r="I4281" t="inlineStr">
        <is>
          <t>T_TAHARI_124010270_CHO_1.jpg</t>
        </is>
      </c>
      <c r="J4281" t="inlineStr">
        <is>
          <t>T_TAHARI_124010270_CHO_2.jpg</t>
        </is>
      </c>
      <c r="K4281" t="inlineStr">
        <is>
          <t>T_TAHARI_124010270_CHO_3.jpg</t>
        </is>
      </c>
      <c r="L4281">
        <f>IMAGE("file:///E:/Estudios%20y%20certificaciones/ESTUDIOS%20DE%20PROGRAMMING/PROGRAMMING/PERSONAL/PYTHON/Image_Generator_API/imagenes/T_TAHARI_124010270_CHO_1.jpg")</f>
        <v/>
      </c>
      <c r="M4281">
        <f>IMAGE("file:///E:/Estudios%20y%20certificaciones/ESTUDIOS%20DE%20PROGRAMMING/PROGRAMMING/PERSONAL/PYTHON/Image_Generator_API/imagenes/T_TAHARI_124010270_CHO_2.jpg")</f>
        <v/>
      </c>
      <c r="N4281">
        <f>IMAGE("file:///E:/Estudios%20y%20certificaciones/ESTUDIOS%20DE%20PROGRAMMING/PROGRAMMING/PERSONAL/PYTHON/Image_Generator_API/imagenes/T_TAHARI_124010270_CHO_3.jpg")</f>
        <v/>
      </c>
      <c r="O4281">
        <f>HYPERLINK("imagenes/T_TAHARI_124010270_CHO_1.jpg","Ver imagen")</f>
        <v/>
      </c>
      <c r="P4281">
        <f>HYPERLINK("imagenes/T_TAHARI_124010270_CHO_2.jpg","Ver imagen")</f>
        <v/>
      </c>
      <c r="Q4281">
        <f>HYPERLINK("imagenes/T_TAHARI_124010270_CHO_3.jpg","Ver imagen")</f>
        <v/>
      </c>
    </row>
    <row r="4282">
      <c r="A4282" t="inlineStr">
        <is>
          <t>T TAHARI</t>
        </is>
      </c>
      <c r="B4282" t="inlineStr">
        <is>
          <t>124010270</t>
        </is>
      </c>
      <c r="C4282" t="inlineStr">
        <is>
          <t>HARPER</t>
        </is>
      </c>
      <c r="D4282" t="inlineStr">
        <is>
          <t>CHO</t>
        </is>
      </c>
      <c r="E4282" t="inlineStr">
        <is>
          <t>(en blanco)</t>
        </is>
      </c>
      <c r="F4282" t="inlineStr">
        <is>
          <t>(en blanco)</t>
        </is>
      </c>
      <c r="G4282" t="inlineStr">
        <is>
          <t>S</t>
        </is>
      </c>
      <c r="H4282" t="n">
        <v>82</v>
      </c>
      <c r="I4282" t="inlineStr">
        <is>
          <t>T_TAHARI_124010270_CHO_1.jpg</t>
        </is>
      </c>
      <c r="J4282" t="inlineStr">
        <is>
          <t>T_TAHARI_124010270_CHO_2.jpg</t>
        </is>
      </c>
      <c r="K4282" t="inlineStr">
        <is>
          <t>T_TAHARI_124010270_CHO_3.jpg</t>
        </is>
      </c>
      <c r="L4282">
        <f>IMAGE("file:///E:/Estudios%20y%20certificaciones/ESTUDIOS%20DE%20PROGRAMMING/PROGRAMMING/PERSONAL/PYTHON/Image_Generator_API/imagenes/T_TAHARI_124010270_CHO_1.jpg")</f>
        <v/>
      </c>
      <c r="M4282">
        <f>IMAGE("file:///E:/Estudios%20y%20certificaciones/ESTUDIOS%20DE%20PROGRAMMING/PROGRAMMING/PERSONAL/PYTHON/Image_Generator_API/imagenes/T_TAHARI_124010270_CHO_2.jpg")</f>
        <v/>
      </c>
      <c r="N4282">
        <f>IMAGE("file:///E:/Estudios%20y%20certificaciones/ESTUDIOS%20DE%20PROGRAMMING/PROGRAMMING/PERSONAL/PYTHON/Image_Generator_API/imagenes/T_TAHARI_124010270_CHO_3.jpg")</f>
        <v/>
      </c>
      <c r="O4282">
        <f>HYPERLINK("imagenes/T_TAHARI_124010270_CHO_1.jpg","Ver imagen")</f>
        <v/>
      </c>
      <c r="P4282">
        <f>HYPERLINK("imagenes/T_TAHARI_124010270_CHO_2.jpg","Ver imagen")</f>
        <v/>
      </c>
      <c r="Q4282">
        <f>HYPERLINK("imagenes/T_TAHARI_124010270_CHO_3.jpg","Ver imagen")</f>
        <v/>
      </c>
    </row>
    <row r="4283">
      <c r="A4283" t="inlineStr">
        <is>
          <t>T TAHARI</t>
        </is>
      </c>
      <c r="B4283" t="inlineStr">
        <is>
          <t>124010270</t>
        </is>
      </c>
      <c r="C4283" t="inlineStr">
        <is>
          <t>HARPER</t>
        </is>
      </c>
      <c r="D4283" t="inlineStr">
        <is>
          <t>CHO</t>
        </is>
      </c>
      <c r="E4283" t="inlineStr">
        <is>
          <t>(en blanco)</t>
        </is>
      </c>
      <c r="F4283" t="inlineStr">
        <is>
          <t>(en blanco)</t>
        </is>
      </c>
      <c r="G4283" t="inlineStr">
        <is>
          <t>M</t>
        </is>
      </c>
      <c r="H4283" t="n">
        <v>86</v>
      </c>
      <c r="I4283" t="inlineStr">
        <is>
          <t>T_TAHARI_124010270_CHO_1.jpg</t>
        </is>
      </c>
      <c r="J4283" t="inlineStr">
        <is>
          <t>T_TAHARI_124010270_CHO_2.jpg</t>
        </is>
      </c>
      <c r="K4283" t="inlineStr">
        <is>
          <t>T_TAHARI_124010270_CHO_3.jpg</t>
        </is>
      </c>
      <c r="L4283">
        <f>IMAGE("file:///E:/Estudios%20y%20certificaciones/ESTUDIOS%20DE%20PROGRAMMING/PROGRAMMING/PERSONAL/PYTHON/Image_Generator_API/imagenes/T_TAHARI_124010270_CHO_1.jpg")</f>
        <v/>
      </c>
      <c r="M4283">
        <f>IMAGE("file:///E:/Estudios%20y%20certificaciones/ESTUDIOS%20DE%20PROGRAMMING/PROGRAMMING/PERSONAL/PYTHON/Image_Generator_API/imagenes/T_TAHARI_124010270_CHO_2.jpg")</f>
        <v/>
      </c>
      <c r="N4283">
        <f>IMAGE("file:///E:/Estudios%20y%20certificaciones/ESTUDIOS%20DE%20PROGRAMMING/PROGRAMMING/PERSONAL/PYTHON/Image_Generator_API/imagenes/T_TAHARI_124010270_CHO_3.jpg")</f>
        <v/>
      </c>
      <c r="O4283">
        <f>HYPERLINK("imagenes/T_TAHARI_124010270_CHO_1.jpg","Ver imagen")</f>
        <v/>
      </c>
      <c r="P4283">
        <f>HYPERLINK("imagenes/T_TAHARI_124010270_CHO_2.jpg","Ver imagen")</f>
        <v/>
      </c>
      <c r="Q4283">
        <f>HYPERLINK("imagenes/T_TAHARI_124010270_CHO_3.jpg","Ver imagen")</f>
        <v/>
      </c>
    </row>
    <row r="4284">
      <c r="A4284" t="inlineStr">
        <is>
          <t>T TAHARI</t>
        </is>
      </c>
      <c r="B4284" t="inlineStr">
        <is>
          <t>124010270</t>
        </is>
      </c>
      <c r="C4284" t="inlineStr">
        <is>
          <t>HARPER</t>
        </is>
      </c>
      <c r="D4284" t="inlineStr">
        <is>
          <t>CHO</t>
        </is>
      </c>
      <c r="E4284" t="inlineStr">
        <is>
          <t>(en blanco)</t>
        </is>
      </c>
      <c r="F4284" t="inlineStr">
        <is>
          <t>(en blanco)</t>
        </is>
      </c>
      <c r="G4284" t="inlineStr">
        <is>
          <t>L</t>
        </is>
      </c>
      <c r="H4284" t="n">
        <v>82</v>
      </c>
      <c r="I4284" t="inlineStr">
        <is>
          <t>T_TAHARI_124010270_CHO_1.jpg</t>
        </is>
      </c>
      <c r="J4284" t="inlineStr">
        <is>
          <t>T_TAHARI_124010270_CHO_2.jpg</t>
        </is>
      </c>
      <c r="K4284" t="inlineStr">
        <is>
          <t>T_TAHARI_124010270_CHO_3.jpg</t>
        </is>
      </c>
      <c r="L4284">
        <f>IMAGE("file:///E:/Estudios%20y%20certificaciones/ESTUDIOS%20DE%20PROGRAMMING/PROGRAMMING/PERSONAL/PYTHON/Image_Generator_API/imagenes/T_TAHARI_124010270_CHO_1.jpg")</f>
        <v/>
      </c>
      <c r="M4284">
        <f>IMAGE("file:///E:/Estudios%20y%20certificaciones/ESTUDIOS%20DE%20PROGRAMMING/PROGRAMMING/PERSONAL/PYTHON/Image_Generator_API/imagenes/T_TAHARI_124010270_CHO_2.jpg")</f>
        <v/>
      </c>
      <c r="N4284">
        <f>IMAGE("file:///E:/Estudios%20y%20certificaciones/ESTUDIOS%20DE%20PROGRAMMING/PROGRAMMING/PERSONAL/PYTHON/Image_Generator_API/imagenes/T_TAHARI_124010270_CHO_3.jpg")</f>
        <v/>
      </c>
      <c r="O4284">
        <f>HYPERLINK("imagenes/T_TAHARI_124010270_CHO_1.jpg","Ver imagen")</f>
        <v/>
      </c>
      <c r="P4284">
        <f>HYPERLINK("imagenes/T_TAHARI_124010270_CHO_2.jpg","Ver imagen")</f>
        <v/>
      </c>
      <c r="Q4284">
        <f>HYPERLINK("imagenes/T_TAHARI_124010270_CHO_3.jpg","Ver imagen")</f>
        <v/>
      </c>
    </row>
    <row r="4285">
      <c r="A4285" t="inlineStr">
        <is>
          <t>T TAHARI</t>
        </is>
      </c>
      <c r="B4285" t="inlineStr">
        <is>
          <t>124010270</t>
        </is>
      </c>
      <c r="C4285" t="inlineStr">
        <is>
          <t>HARPER</t>
        </is>
      </c>
      <c r="D4285" t="inlineStr">
        <is>
          <t>CHO</t>
        </is>
      </c>
      <c r="E4285" t="inlineStr">
        <is>
          <t>(en blanco)</t>
        </is>
      </c>
      <c r="F4285" t="inlineStr">
        <is>
          <t>(en blanco)</t>
        </is>
      </c>
      <c r="G4285" t="inlineStr">
        <is>
          <t>XL</t>
        </is>
      </c>
      <c r="H4285" t="n">
        <v>36</v>
      </c>
      <c r="I4285" t="inlineStr">
        <is>
          <t>T_TAHARI_124010270_CHO_1.jpg</t>
        </is>
      </c>
      <c r="J4285" t="inlineStr">
        <is>
          <t>T_TAHARI_124010270_CHO_2.jpg</t>
        </is>
      </c>
      <c r="K4285" t="inlineStr">
        <is>
          <t>T_TAHARI_124010270_CHO_3.jpg</t>
        </is>
      </c>
      <c r="L4285">
        <f>IMAGE("file:///E:/Estudios%20y%20certificaciones/ESTUDIOS%20DE%20PROGRAMMING/PROGRAMMING/PERSONAL/PYTHON/Image_Generator_API/imagenes/T_TAHARI_124010270_CHO_1.jpg")</f>
        <v/>
      </c>
      <c r="M4285">
        <f>IMAGE("file:///E:/Estudios%20y%20certificaciones/ESTUDIOS%20DE%20PROGRAMMING/PROGRAMMING/PERSONAL/PYTHON/Image_Generator_API/imagenes/T_TAHARI_124010270_CHO_2.jpg")</f>
        <v/>
      </c>
      <c r="N4285">
        <f>IMAGE("file:///E:/Estudios%20y%20certificaciones/ESTUDIOS%20DE%20PROGRAMMING/PROGRAMMING/PERSONAL/PYTHON/Image_Generator_API/imagenes/T_TAHARI_124010270_CHO_3.jpg")</f>
        <v/>
      </c>
      <c r="O4285">
        <f>HYPERLINK("imagenes/T_TAHARI_124010270_CHO_1.jpg","Ver imagen")</f>
        <v/>
      </c>
      <c r="P4285">
        <f>HYPERLINK("imagenes/T_TAHARI_124010270_CHO_2.jpg","Ver imagen")</f>
        <v/>
      </c>
      <c r="Q4285">
        <f>HYPERLINK("imagenes/T_TAHARI_124010270_CHO_3.jpg","Ver imagen")</f>
        <v/>
      </c>
    </row>
    <row r="4286">
      <c r="A4286" t="inlineStr">
        <is>
          <t>T TAHARI</t>
        </is>
      </c>
      <c r="B4286" t="inlineStr">
        <is>
          <t>124010270</t>
        </is>
      </c>
      <c r="C4286" t="inlineStr">
        <is>
          <t>HARPER</t>
        </is>
      </c>
      <c r="D4286" t="inlineStr">
        <is>
          <t>CHO</t>
        </is>
      </c>
      <c r="E4286" t="inlineStr">
        <is>
          <t>(en blanco)</t>
        </is>
      </c>
      <c r="F4286" t="inlineStr">
        <is>
          <t>(en blanco)</t>
        </is>
      </c>
      <c r="G4286" t="inlineStr">
        <is>
          <t>XXL</t>
        </is>
      </c>
      <c r="H4286" t="n">
        <v>3</v>
      </c>
      <c r="I4286" t="inlineStr">
        <is>
          <t>T_TAHARI_124010270_CHO_1.jpg</t>
        </is>
      </c>
      <c r="J4286" t="inlineStr">
        <is>
          <t>T_TAHARI_124010270_CHO_2.jpg</t>
        </is>
      </c>
      <c r="K4286" t="inlineStr">
        <is>
          <t>T_TAHARI_124010270_CHO_3.jpg</t>
        </is>
      </c>
      <c r="L4286">
        <f>IMAGE("file:///E:/Estudios%20y%20certificaciones/ESTUDIOS%20DE%20PROGRAMMING/PROGRAMMING/PERSONAL/PYTHON/Image_Generator_API/imagenes/T_TAHARI_124010270_CHO_1.jpg")</f>
        <v/>
      </c>
      <c r="M4286">
        <f>IMAGE("file:///E:/Estudios%20y%20certificaciones/ESTUDIOS%20DE%20PROGRAMMING/PROGRAMMING/PERSONAL/PYTHON/Image_Generator_API/imagenes/T_TAHARI_124010270_CHO_2.jpg")</f>
        <v/>
      </c>
      <c r="N4286">
        <f>IMAGE("file:///E:/Estudios%20y%20certificaciones/ESTUDIOS%20DE%20PROGRAMMING/PROGRAMMING/PERSONAL/PYTHON/Image_Generator_API/imagenes/T_TAHARI_124010270_CHO_3.jpg")</f>
        <v/>
      </c>
      <c r="O4286">
        <f>HYPERLINK("imagenes/T_TAHARI_124010270_CHO_1.jpg","Ver imagen")</f>
        <v/>
      </c>
      <c r="P4286">
        <f>HYPERLINK("imagenes/T_TAHARI_124010270_CHO_2.jpg","Ver imagen")</f>
        <v/>
      </c>
      <c r="Q4286">
        <f>HYPERLINK("imagenes/T_TAHARI_124010270_CHO_3.jpg","Ver imagen")</f>
        <v/>
      </c>
    </row>
    <row r="4287">
      <c r="A4287" t="inlineStr">
        <is>
          <t>T TAHARI</t>
        </is>
      </c>
      <c r="B4287" t="inlineStr">
        <is>
          <t>124010270</t>
        </is>
      </c>
      <c r="C4287" t="inlineStr">
        <is>
          <t>HARPER</t>
        </is>
      </c>
      <c r="D4287" t="inlineStr">
        <is>
          <t>CHO</t>
        </is>
      </c>
      <c r="E4287" t="inlineStr">
        <is>
          <t>(en blanco)</t>
        </is>
      </c>
      <c r="F4287" t="inlineStr">
        <is>
          <t>(en blanco)</t>
        </is>
      </c>
      <c r="G4287" t="inlineStr">
        <is>
          <t>XXS</t>
        </is>
      </c>
      <c r="H4287" t="n">
        <v>1</v>
      </c>
      <c r="I4287" t="inlineStr">
        <is>
          <t>T_TAHARI_124010270_CHO_1.jpg</t>
        </is>
      </c>
      <c r="J4287" t="inlineStr">
        <is>
          <t>T_TAHARI_124010270_CHO_2.jpg</t>
        </is>
      </c>
      <c r="K4287" t="inlineStr">
        <is>
          <t>T_TAHARI_124010270_CHO_3.jpg</t>
        </is>
      </c>
      <c r="L4287">
        <f>IMAGE("file:///E:/Estudios%20y%20certificaciones/ESTUDIOS%20DE%20PROGRAMMING/PROGRAMMING/PERSONAL/PYTHON/Image_Generator_API/imagenes/T_TAHARI_124010270_CHO_1.jpg")</f>
        <v/>
      </c>
      <c r="M4287">
        <f>IMAGE("file:///E:/Estudios%20y%20certificaciones/ESTUDIOS%20DE%20PROGRAMMING/PROGRAMMING/PERSONAL/PYTHON/Image_Generator_API/imagenes/T_TAHARI_124010270_CHO_2.jpg")</f>
        <v/>
      </c>
      <c r="N4287">
        <f>IMAGE("file:///E:/Estudios%20y%20certificaciones/ESTUDIOS%20DE%20PROGRAMMING/PROGRAMMING/PERSONAL/PYTHON/Image_Generator_API/imagenes/T_TAHARI_124010270_CHO_3.jpg")</f>
        <v/>
      </c>
      <c r="O4287">
        <f>HYPERLINK("imagenes/T_TAHARI_124010270_CHO_1.jpg","Ver imagen")</f>
        <v/>
      </c>
      <c r="P4287">
        <f>HYPERLINK("imagenes/T_TAHARI_124010270_CHO_2.jpg","Ver imagen")</f>
        <v/>
      </c>
      <c r="Q4287">
        <f>HYPERLINK("imagenes/T_TAHARI_124010270_CHO_3.jpg","Ver imagen")</f>
        <v/>
      </c>
    </row>
    <row r="4288">
      <c r="A4288" t="inlineStr">
        <is>
          <t>T TAHARI</t>
        </is>
      </c>
      <c r="B4288" t="inlineStr">
        <is>
          <t>124010271</t>
        </is>
      </c>
      <c r="C4288" t="inlineStr">
        <is>
          <t>PIA</t>
        </is>
      </c>
      <c r="D4288" t="inlineStr">
        <is>
          <t>BLK</t>
        </is>
      </c>
      <c r="E4288" t="inlineStr">
        <is>
          <t>(en blanco)</t>
        </is>
      </c>
      <c r="F4288" t="inlineStr">
        <is>
          <t>D2C</t>
        </is>
      </c>
      <c r="G4288" t="inlineStr">
        <is>
          <t>XS</t>
        </is>
      </c>
      <c r="H4288" t="n">
        <v>5</v>
      </c>
      <c r="I4288" t="inlineStr">
        <is>
          <t>T_TAHARI_124010271_BLK_1.jpg</t>
        </is>
      </c>
      <c r="J4288" t="inlineStr">
        <is>
          <t>T_TAHARI_124010271_BLK_2.jpg</t>
        </is>
      </c>
      <c r="K4288" t="inlineStr">
        <is>
          <t>T_TAHARI_124010271_BLK_3.jpg</t>
        </is>
      </c>
      <c r="L4288">
        <f>IMAGE("file:///E:/Estudios%20y%20certificaciones/ESTUDIOS%20DE%20PROGRAMMING/PROGRAMMING/PERSONAL/PYTHON/Image_Generator_API/imagenes/T_TAHARI_124010271_BLK_1.jpg")</f>
        <v/>
      </c>
      <c r="M4288">
        <f>IMAGE("file:///E:/Estudios%20y%20certificaciones/ESTUDIOS%20DE%20PROGRAMMING/PROGRAMMING/PERSONAL/PYTHON/Image_Generator_API/imagenes/T_TAHARI_124010271_BLK_2.jpg")</f>
        <v/>
      </c>
      <c r="N4288">
        <f>IMAGE("file:///E:/Estudios%20y%20certificaciones/ESTUDIOS%20DE%20PROGRAMMING/PROGRAMMING/PERSONAL/PYTHON/Image_Generator_API/imagenes/T_TAHARI_124010271_BLK_3.jpg")</f>
        <v/>
      </c>
      <c r="O4288">
        <f>HYPERLINK("imagenes/T_TAHARI_124010271_BLK_1.jpg","Ver imagen")</f>
        <v/>
      </c>
      <c r="P4288">
        <f>HYPERLINK("imagenes/T_TAHARI_124010271_BLK_2.jpg","Ver imagen")</f>
        <v/>
      </c>
      <c r="Q4288">
        <f>HYPERLINK("imagenes/T_TAHARI_124010271_BLK_3.jpg","Ver imagen")</f>
        <v/>
      </c>
    </row>
    <row r="4289">
      <c r="A4289" t="inlineStr">
        <is>
          <t>T TAHARI</t>
        </is>
      </c>
      <c r="B4289" t="inlineStr">
        <is>
          <t>124010271</t>
        </is>
      </c>
      <c r="C4289" t="inlineStr">
        <is>
          <t>PIA</t>
        </is>
      </c>
      <c r="D4289" t="inlineStr">
        <is>
          <t>BLK</t>
        </is>
      </c>
      <c r="E4289" t="inlineStr">
        <is>
          <t>(en blanco)</t>
        </is>
      </c>
      <c r="F4289" t="inlineStr">
        <is>
          <t>D2C</t>
        </is>
      </c>
      <c r="G4289" t="inlineStr">
        <is>
          <t>S</t>
        </is>
      </c>
      <c r="H4289" t="n">
        <v>10</v>
      </c>
      <c r="I4289" t="inlineStr">
        <is>
          <t>T_TAHARI_124010271_BLK_1.jpg</t>
        </is>
      </c>
      <c r="J4289" t="inlineStr">
        <is>
          <t>T_TAHARI_124010271_BLK_2.jpg</t>
        </is>
      </c>
      <c r="K4289" t="inlineStr">
        <is>
          <t>T_TAHARI_124010271_BLK_3.jpg</t>
        </is>
      </c>
      <c r="L4289">
        <f>IMAGE("file:///E:/Estudios%20y%20certificaciones/ESTUDIOS%20DE%20PROGRAMMING/PROGRAMMING/PERSONAL/PYTHON/Image_Generator_API/imagenes/T_TAHARI_124010271_BLK_1.jpg")</f>
        <v/>
      </c>
      <c r="M4289">
        <f>IMAGE("file:///E:/Estudios%20y%20certificaciones/ESTUDIOS%20DE%20PROGRAMMING/PROGRAMMING/PERSONAL/PYTHON/Image_Generator_API/imagenes/T_TAHARI_124010271_BLK_2.jpg")</f>
        <v/>
      </c>
      <c r="N4289">
        <f>IMAGE("file:///E:/Estudios%20y%20certificaciones/ESTUDIOS%20DE%20PROGRAMMING/PROGRAMMING/PERSONAL/PYTHON/Image_Generator_API/imagenes/T_TAHARI_124010271_BLK_3.jpg")</f>
        <v/>
      </c>
      <c r="O4289">
        <f>HYPERLINK("imagenes/T_TAHARI_124010271_BLK_1.jpg","Ver imagen")</f>
        <v/>
      </c>
      <c r="P4289">
        <f>HYPERLINK("imagenes/T_TAHARI_124010271_BLK_2.jpg","Ver imagen")</f>
        <v/>
      </c>
      <c r="Q4289">
        <f>HYPERLINK("imagenes/T_TAHARI_124010271_BLK_3.jpg","Ver imagen")</f>
        <v/>
      </c>
    </row>
    <row r="4290">
      <c r="A4290" t="inlineStr">
        <is>
          <t>T TAHARI</t>
        </is>
      </c>
      <c r="B4290" t="inlineStr">
        <is>
          <t>124010271</t>
        </is>
      </c>
      <c r="C4290" t="inlineStr">
        <is>
          <t>PIA</t>
        </is>
      </c>
      <c r="D4290" t="inlineStr">
        <is>
          <t>BLK</t>
        </is>
      </c>
      <c r="E4290" t="inlineStr">
        <is>
          <t>(en blanco)</t>
        </is>
      </c>
      <c r="F4290" t="inlineStr">
        <is>
          <t>D2C</t>
        </is>
      </c>
      <c r="G4290" t="inlineStr">
        <is>
          <t>M</t>
        </is>
      </c>
      <c r="H4290" t="n">
        <v>10</v>
      </c>
      <c r="I4290" t="inlineStr">
        <is>
          <t>T_TAHARI_124010271_BLK_1.jpg</t>
        </is>
      </c>
      <c r="J4290" t="inlineStr">
        <is>
          <t>T_TAHARI_124010271_BLK_2.jpg</t>
        </is>
      </c>
      <c r="K4290" t="inlineStr">
        <is>
          <t>T_TAHARI_124010271_BLK_3.jpg</t>
        </is>
      </c>
      <c r="L4290">
        <f>IMAGE("file:///E:/Estudios%20y%20certificaciones/ESTUDIOS%20DE%20PROGRAMMING/PROGRAMMING/PERSONAL/PYTHON/Image_Generator_API/imagenes/T_TAHARI_124010271_BLK_1.jpg")</f>
        <v/>
      </c>
      <c r="M4290">
        <f>IMAGE("file:///E:/Estudios%20y%20certificaciones/ESTUDIOS%20DE%20PROGRAMMING/PROGRAMMING/PERSONAL/PYTHON/Image_Generator_API/imagenes/T_TAHARI_124010271_BLK_2.jpg")</f>
        <v/>
      </c>
      <c r="N4290">
        <f>IMAGE("file:///E:/Estudios%20y%20certificaciones/ESTUDIOS%20DE%20PROGRAMMING/PROGRAMMING/PERSONAL/PYTHON/Image_Generator_API/imagenes/T_TAHARI_124010271_BLK_3.jpg")</f>
        <v/>
      </c>
      <c r="O4290">
        <f>HYPERLINK("imagenes/T_TAHARI_124010271_BLK_1.jpg","Ver imagen")</f>
        <v/>
      </c>
      <c r="P4290">
        <f>HYPERLINK("imagenes/T_TAHARI_124010271_BLK_2.jpg","Ver imagen")</f>
        <v/>
      </c>
      <c r="Q4290">
        <f>HYPERLINK("imagenes/T_TAHARI_124010271_BLK_3.jpg","Ver imagen")</f>
        <v/>
      </c>
    </row>
    <row r="4291">
      <c r="A4291" t="inlineStr">
        <is>
          <t>T TAHARI</t>
        </is>
      </c>
      <c r="B4291" t="inlineStr">
        <is>
          <t>124010271</t>
        </is>
      </c>
      <c r="C4291" t="inlineStr">
        <is>
          <t>PIA</t>
        </is>
      </c>
      <c r="D4291" t="inlineStr">
        <is>
          <t>BLK</t>
        </is>
      </c>
      <c r="E4291" t="inlineStr">
        <is>
          <t>(en blanco)</t>
        </is>
      </c>
      <c r="F4291" t="inlineStr">
        <is>
          <t>D2C</t>
        </is>
      </c>
      <c r="G4291" t="inlineStr">
        <is>
          <t>L</t>
        </is>
      </c>
      <c r="H4291" t="n">
        <v>10</v>
      </c>
      <c r="I4291" t="inlineStr">
        <is>
          <t>T_TAHARI_124010271_BLK_1.jpg</t>
        </is>
      </c>
      <c r="J4291" t="inlineStr">
        <is>
          <t>T_TAHARI_124010271_BLK_2.jpg</t>
        </is>
      </c>
      <c r="K4291" t="inlineStr">
        <is>
          <t>T_TAHARI_124010271_BLK_3.jpg</t>
        </is>
      </c>
      <c r="L4291">
        <f>IMAGE("file:///E:/Estudios%20y%20certificaciones/ESTUDIOS%20DE%20PROGRAMMING/PROGRAMMING/PERSONAL/PYTHON/Image_Generator_API/imagenes/T_TAHARI_124010271_BLK_1.jpg")</f>
        <v/>
      </c>
      <c r="M4291">
        <f>IMAGE("file:///E:/Estudios%20y%20certificaciones/ESTUDIOS%20DE%20PROGRAMMING/PROGRAMMING/PERSONAL/PYTHON/Image_Generator_API/imagenes/T_TAHARI_124010271_BLK_2.jpg")</f>
        <v/>
      </c>
      <c r="N4291">
        <f>IMAGE("file:///E:/Estudios%20y%20certificaciones/ESTUDIOS%20DE%20PROGRAMMING/PROGRAMMING/PERSONAL/PYTHON/Image_Generator_API/imagenes/T_TAHARI_124010271_BLK_3.jpg")</f>
        <v/>
      </c>
      <c r="O4291">
        <f>HYPERLINK("imagenes/T_TAHARI_124010271_BLK_1.jpg","Ver imagen")</f>
        <v/>
      </c>
      <c r="P4291">
        <f>HYPERLINK("imagenes/T_TAHARI_124010271_BLK_2.jpg","Ver imagen")</f>
        <v/>
      </c>
      <c r="Q4291">
        <f>HYPERLINK("imagenes/T_TAHARI_124010271_BLK_3.jpg","Ver imagen")</f>
        <v/>
      </c>
    </row>
    <row r="4292">
      <c r="A4292" t="inlineStr">
        <is>
          <t>T TAHARI</t>
        </is>
      </c>
      <c r="B4292" t="inlineStr">
        <is>
          <t>124010271</t>
        </is>
      </c>
      <c r="C4292" t="inlineStr">
        <is>
          <t>PIA</t>
        </is>
      </c>
      <c r="D4292" t="inlineStr">
        <is>
          <t>BLK</t>
        </is>
      </c>
      <c r="E4292" t="inlineStr">
        <is>
          <t>(en blanco)</t>
        </is>
      </c>
      <c r="F4292" t="inlineStr">
        <is>
          <t>D2C</t>
        </is>
      </c>
      <c r="G4292" t="inlineStr">
        <is>
          <t>XL</t>
        </is>
      </c>
      <c r="H4292" t="n">
        <v>5</v>
      </c>
      <c r="I4292" t="inlineStr">
        <is>
          <t>T_TAHARI_124010271_BLK_1.jpg</t>
        </is>
      </c>
      <c r="J4292" t="inlineStr">
        <is>
          <t>T_TAHARI_124010271_BLK_2.jpg</t>
        </is>
      </c>
      <c r="K4292" t="inlineStr">
        <is>
          <t>T_TAHARI_124010271_BLK_3.jpg</t>
        </is>
      </c>
      <c r="L4292">
        <f>IMAGE("file:///E:/Estudios%20y%20certificaciones/ESTUDIOS%20DE%20PROGRAMMING/PROGRAMMING/PERSONAL/PYTHON/Image_Generator_API/imagenes/T_TAHARI_124010271_BLK_1.jpg")</f>
        <v/>
      </c>
      <c r="M4292">
        <f>IMAGE("file:///E:/Estudios%20y%20certificaciones/ESTUDIOS%20DE%20PROGRAMMING/PROGRAMMING/PERSONAL/PYTHON/Image_Generator_API/imagenes/T_TAHARI_124010271_BLK_2.jpg")</f>
        <v/>
      </c>
      <c r="N4292">
        <f>IMAGE("file:///E:/Estudios%20y%20certificaciones/ESTUDIOS%20DE%20PROGRAMMING/PROGRAMMING/PERSONAL/PYTHON/Image_Generator_API/imagenes/T_TAHARI_124010271_BLK_3.jpg")</f>
        <v/>
      </c>
      <c r="O4292">
        <f>HYPERLINK("imagenes/T_TAHARI_124010271_BLK_1.jpg","Ver imagen")</f>
        <v/>
      </c>
      <c r="P4292">
        <f>HYPERLINK("imagenes/T_TAHARI_124010271_BLK_2.jpg","Ver imagen")</f>
        <v/>
      </c>
      <c r="Q4292">
        <f>HYPERLINK("imagenes/T_TAHARI_124010271_BLK_3.jpg","Ver imagen")</f>
        <v/>
      </c>
    </row>
    <row r="4293">
      <c r="A4293" t="inlineStr">
        <is>
          <t>T TAHARI</t>
        </is>
      </c>
      <c r="B4293" t="inlineStr">
        <is>
          <t>124010271</t>
        </is>
      </c>
      <c r="C4293" t="inlineStr">
        <is>
          <t>PIA</t>
        </is>
      </c>
      <c r="D4293" t="inlineStr">
        <is>
          <t>BLK</t>
        </is>
      </c>
      <c r="E4293" t="inlineStr">
        <is>
          <t>(en blanco)</t>
        </is>
      </c>
      <c r="F4293" t="inlineStr">
        <is>
          <t>MACYS ECOM</t>
        </is>
      </c>
      <c r="G4293" t="inlineStr">
        <is>
          <t>XS</t>
        </is>
      </c>
      <c r="H4293" t="n">
        <v>2</v>
      </c>
      <c r="I4293" t="inlineStr">
        <is>
          <t>T_TAHARI_124010271_BLK_1.jpg</t>
        </is>
      </c>
      <c r="J4293" t="inlineStr">
        <is>
          <t>T_TAHARI_124010271_BLK_2.jpg</t>
        </is>
      </c>
      <c r="K4293" t="inlineStr">
        <is>
          <t>T_TAHARI_124010271_BLK_3.jpg</t>
        </is>
      </c>
      <c r="L4293">
        <f>IMAGE("file:///E:/Estudios%20y%20certificaciones/ESTUDIOS%20DE%20PROGRAMMING/PROGRAMMING/PERSONAL/PYTHON/Image_Generator_API/imagenes/T_TAHARI_124010271_BLK_1.jpg")</f>
        <v/>
      </c>
      <c r="M4293">
        <f>IMAGE("file:///E:/Estudios%20y%20certificaciones/ESTUDIOS%20DE%20PROGRAMMING/PROGRAMMING/PERSONAL/PYTHON/Image_Generator_API/imagenes/T_TAHARI_124010271_BLK_2.jpg")</f>
        <v/>
      </c>
      <c r="N4293">
        <f>IMAGE("file:///E:/Estudios%20y%20certificaciones/ESTUDIOS%20DE%20PROGRAMMING/PROGRAMMING/PERSONAL/PYTHON/Image_Generator_API/imagenes/T_TAHARI_124010271_BLK_3.jpg")</f>
        <v/>
      </c>
      <c r="O4293">
        <f>HYPERLINK("imagenes/T_TAHARI_124010271_BLK_1.jpg","Ver imagen")</f>
        <v/>
      </c>
      <c r="P4293">
        <f>HYPERLINK("imagenes/T_TAHARI_124010271_BLK_2.jpg","Ver imagen")</f>
        <v/>
      </c>
      <c r="Q4293">
        <f>HYPERLINK("imagenes/T_TAHARI_124010271_BLK_3.jpg","Ver imagen")</f>
        <v/>
      </c>
    </row>
    <row r="4294">
      <c r="A4294" t="inlineStr">
        <is>
          <t>T TAHARI</t>
        </is>
      </c>
      <c r="B4294" t="inlineStr">
        <is>
          <t>124010271</t>
        </is>
      </c>
      <c r="C4294" t="inlineStr">
        <is>
          <t>PIA</t>
        </is>
      </c>
      <c r="D4294" t="inlineStr">
        <is>
          <t>BLK</t>
        </is>
      </c>
      <c r="E4294" t="inlineStr">
        <is>
          <t>(en blanco)</t>
        </is>
      </c>
      <c r="F4294" t="inlineStr">
        <is>
          <t>MACYS ECOM</t>
        </is>
      </c>
      <c r="G4294" t="inlineStr">
        <is>
          <t>S</t>
        </is>
      </c>
      <c r="H4294" t="n">
        <v>4</v>
      </c>
      <c r="I4294" t="inlineStr">
        <is>
          <t>T_TAHARI_124010271_BLK_1.jpg</t>
        </is>
      </c>
      <c r="J4294" t="inlineStr">
        <is>
          <t>T_TAHARI_124010271_BLK_2.jpg</t>
        </is>
      </c>
      <c r="K4294" t="inlineStr">
        <is>
          <t>T_TAHARI_124010271_BLK_3.jpg</t>
        </is>
      </c>
      <c r="L4294">
        <f>IMAGE("file:///E:/Estudios%20y%20certificaciones/ESTUDIOS%20DE%20PROGRAMMING/PROGRAMMING/PERSONAL/PYTHON/Image_Generator_API/imagenes/T_TAHARI_124010271_BLK_1.jpg")</f>
        <v/>
      </c>
      <c r="M4294">
        <f>IMAGE("file:///E:/Estudios%20y%20certificaciones/ESTUDIOS%20DE%20PROGRAMMING/PROGRAMMING/PERSONAL/PYTHON/Image_Generator_API/imagenes/T_TAHARI_124010271_BLK_2.jpg")</f>
        <v/>
      </c>
      <c r="N4294">
        <f>IMAGE("file:///E:/Estudios%20y%20certificaciones/ESTUDIOS%20DE%20PROGRAMMING/PROGRAMMING/PERSONAL/PYTHON/Image_Generator_API/imagenes/T_TAHARI_124010271_BLK_3.jpg")</f>
        <v/>
      </c>
      <c r="O4294">
        <f>HYPERLINK("imagenes/T_TAHARI_124010271_BLK_1.jpg","Ver imagen")</f>
        <v/>
      </c>
      <c r="P4294">
        <f>HYPERLINK("imagenes/T_TAHARI_124010271_BLK_2.jpg","Ver imagen")</f>
        <v/>
      </c>
      <c r="Q4294">
        <f>HYPERLINK("imagenes/T_TAHARI_124010271_BLK_3.jpg","Ver imagen")</f>
        <v/>
      </c>
    </row>
    <row r="4295">
      <c r="A4295" t="inlineStr">
        <is>
          <t>T TAHARI</t>
        </is>
      </c>
      <c r="B4295" t="inlineStr">
        <is>
          <t>124010271</t>
        </is>
      </c>
      <c r="C4295" t="inlineStr">
        <is>
          <t>PIA</t>
        </is>
      </c>
      <c r="D4295" t="inlineStr">
        <is>
          <t>BLK</t>
        </is>
      </c>
      <c r="E4295" t="inlineStr">
        <is>
          <t>(en blanco)</t>
        </is>
      </c>
      <c r="F4295" t="inlineStr">
        <is>
          <t>MACYS ECOM</t>
        </is>
      </c>
      <c r="G4295" t="inlineStr">
        <is>
          <t>M</t>
        </is>
      </c>
      <c r="H4295" t="n">
        <v>5</v>
      </c>
      <c r="I4295" t="inlineStr">
        <is>
          <t>T_TAHARI_124010271_BLK_1.jpg</t>
        </is>
      </c>
      <c r="J4295" t="inlineStr">
        <is>
          <t>T_TAHARI_124010271_BLK_2.jpg</t>
        </is>
      </c>
      <c r="K4295" t="inlineStr">
        <is>
          <t>T_TAHARI_124010271_BLK_3.jpg</t>
        </is>
      </c>
      <c r="L4295">
        <f>IMAGE("file:///E:/Estudios%20y%20certificaciones/ESTUDIOS%20DE%20PROGRAMMING/PROGRAMMING/PERSONAL/PYTHON/Image_Generator_API/imagenes/T_TAHARI_124010271_BLK_1.jpg")</f>
        <v/>
      </c>
      <c r="M4295">
        <f>IMAGE("file:///E:/Estudios%20y%20certificaciones/ESTUDIOS%20DE%20PROGRAMMING/PROGRAMMING/PERSONAL/PYTHON/Image_Generator_API/imagenes/T_TAHARI_124010271_BLK_2.jpg")</f>
        <v/>
      </c>
      <c r="N4295">
        <f>IMAGE("file:///E:/Estudios%20y%20certificaciones/ESTUDIOS%20DE%20PROGRAMMING/PROGRAMMING/PERSONAL/PYTHON/Image_Generator_API/imagenes/T_TAHARI_124010271_BLK_3.jpg")</f>
        <v/>
      </c>
      <c r="O4295">
        <f>HYPERLINK("imagenes/T_TAHARI_124010271_BLK_1.jpg","Ver imagen")</f>
        <v/>
      </c>
      <c r="P4295">
        <f>HYPERLINK("imagenes/T_TAHARI_124010271_BLK_2.jpg","Ver imagen")</f>
        <v/>
      </c>
      <c r="Q4295">
        <f>HYPERLINK("imagenes/T_TAHARI_124010271_BLK_3.jpg","Ver imagen")</f>
        <v/>
      </c>
    </row>
    <row r="4296">
      <c r="A4296" t="inlineStr">
        <is>
          <t>T TAHARI</t>
        </is>
      </c>
      <c r="B4296" t="inlineStr">
        <is>
          <t>124010271</t>
        </is>
      </c>
      <c r="C4296" t="inlineStr">
        <is>
          <t>PIA</t>
        </is>
      </c>
      <c r="D4296" t="inlineStr">
        <is>
          <t>BLK</t>
        </is>
      </c>
      <c r="E4296" t="inlineStr">
        <is>
          <t>(en blanco)</t>
        </is>
      </c>
      <c r="F4296" t="inlineStr">
        <is>
          <t>MACYS ECOM</t>
        </is>
      </c>
      <c r="G4296" t="inlineStr">
        <is>
          <t>L</t>
        </is>
      </c>
      <c r="H4296" t="n">
        <v>5</v>
      </c>
      <c r="I4296" t="inlineStr">
        <is>
          <t>T_TAHARI_124010271_BLK_1.jpg</t>
        </is>
      </c>
      <c r="J4296" t="inlineStr">
        <is>
          <t>T_TAHARI_124010271_BLK_2.jpg</t>
        </is>
      </c>
      <c r="K4296" t="inlineStr">
        <is>
          <t>T_TAHARI_124010271_BLK_3.jpg</t>
        </is>
      </c>
      <c r="L4296">
        <f>IMAGE("file:///E:/Estudios%20y%20certificaciones/ESTUDIOS%20DE%20PROGRAMMING/PROGRAMMING/PERSONAL/PYTHON/Image_Generator_API/imagenes/T_TAHARI_124010271_BLK_1.jpg")</f>
        <v/>
      </c>
      <c r="M4296">
        <f>IMAGE("file:///E:/Estudios%20y%20certificaciones/ESTUDIOS%20DE%20PROGRAMMING/PROGRAMMING/PERSONAL/PYTHON/Image_Generator_API/imagenes/T_TAHARI_124010271_BLK_2.jpg")</f>
        <v/>
      </c>
      <c r="N4296">
        <f>IMAGE("file:///E:/Estudios%20y%20certificaciones/ESTUDIOS%20DE%20PROGRAMMING/PROGRAMMING/PERSONAL/PYTHON/Image_Generator_API/imagenes/T_TAHARI_124010271_BLK_3.jpg")</f>
        <v/>
      </c>
      <c r="O4296">
        <f>HYPERLINK("imagenes/T_TAHARI_124010271_BLK_1.jpg","Ver imagen")</f>
        <v/>
      </c>
      <c r="P4296">
        <f>HYPERLINK("imagenes/T_TAHARI_124010271_BLK_2.jpg","Ver imagen")</f>
        <v/>
      </c>
      <c r="Q4296">
        <f>HYPERLINK("imagenes/T_TAHARI_124010271_BLK_3.jpg","Ver imagen")</f>
        <v/>
      </c>
    </row>
    <row r="4297">
      <c r="A4297" t="inlineStr">
        <is>
          <t>T TAHARI</t>
        </is>
      </c>
      <c r="B4297" t="inlineStr">
        <is>
          <t>124010271</t>
        </is>
      </c>
      <c r="C4297" t="inlineStr">
        <is>
          <t>PIA</t>
        </is>
      </c>
      <c r="D4297" t="inlineStr">
        <is>
          <t>BLK</t>
        </is>
      </c>
      <c r="E4297" t="inlineStr">
        <is>
          <t>(en blanco)</t>
        </is>
      </c>
      <c r="F4297" t="inlineStr">
        <is>
          <t>MACYS ECOM</t>
        </is>
      </c>
      <c r="G4297" t="inlineStr">
        <is>
          <t>XL</t>
        </is>
      </c>
      <c r="H4297" t="n">
        <v>3</v>
      </c>
      <c r="I4297" t="inlineStr">
        <is>
          <t>T_TAHARI_124010271_BLK_1.jpg</t>
        </is>
      </c>
      <c r="J4297" t="inlineStr">
        <is>
          <t>T_TAHARI_124010271_BLK_2.jpg</t>
        </is>
      </c>
      <c r="K4297" t="inlineStr">
        <is>
          <t>T_TAHARI_124010271_BLK_3.jpg</t>
        </is>
      </c>
      <c r="L4297">
        <f>IMAGE("file:///E:/Estudios%20y%20certificaciones/ESTUDIOS%20DE%20PROGRAMMING/PROGRAMMING/PERSONAL/PYTHON/Image_Generator_API/imagenes/T_TAHARI_124010271_BLK_1.jpg")</f>
        <v/>
      </c>
      <c r="M4297">
        <f>IMAGE("file:///E:/Estudios%20y%20certificaciones/ESTUDIOS%20DE%20PROGRAMMING/PROGRAMMING/PERSONAL/PYTHON/Image_Generator_API/imagenes/T_TAHARI_124010271_BLK_2.jpg")</f>
        <v/>
      </c>
      <c r="N4297">
        <f>IMAGE("file:///E:/Estudios%20y%20certificaciones/ESTUDIOS%20DE%20PROGRAMMING/PROGRAMMING/PERSONAL/PYTHON/Image_Generator_API/imagenes/T_TAHARI_124010271_BLK_3.jpg")</f>
        <v/>
      </c>
      <c r="O4297">
        <f>HYPERLINK("imagenes/T_TAHARI_124010271_BLK_1.jpg","Ver imagen")</f>
        <v/>
      </c>
      <c r="P4297">
        <f>HYPERLINK("imagenes/T_TAHARI_124010271_BLK_2.jpg","Ver imagen")</f>
        <v/>
      </c>
      <c r="Q4297">
        <f>HYPERLINK("imagenes/T_TAHARI_124010271_BLK_3.jpg","Ver imagen")</f>
        <v/>
      </c>
    </row>
    <row r="4298">
      <c r="A4298" t="inlineStr">
        <is>
          <t>T TAHARI</t>
        </is>
      </c>
      <c r="B4298" t="inlineStr">
        <is>
          <t>124010271</t>
        </is>
      </c>
      <c r="C4298" t="inlineStr">
        <is>
          <t>PIA</t>
        </is>
      </c>
      <c r="D4298" t="inlineStr">
        <is>
          <t>BLK</t>
        </is>
      </c>
      <c r="E4298" t="inlineStr">
        <is>
          <t>(en blanco)</t>
        </is>
      </c>
      <c r="F4298" t="inlineStr">
        <is>
          <t>MACYS ECOM</t>
        </is>
      </c>
      <c r="G4298" t="inlineStr">
        <is>
          <t>XXL</t>
        </is>
      </c>
      <c r="H4298" t="n">
        <v>1</v>
      </c>
      <c r="I4298" t="inlineStr">
        <is>
          <t>T_TAHARI_124010271_BLK_1.jpg</t>
        </is>
      </c>
      <c r="J4298" t="inlineStr">
        <is>
          <t>T_TAHARI_124010271_BLK_2.jpg</t>
        </is>
      </c>
      <c r="K4298" t="inlineStr">
        <is>
          <t>T_TAHARI_124010271_BLK_3.jpg</t>
        </is>
      </c>
      <c r="L4298">
        <f>IMAGE("file:///E:/Estudios%20y%20certificaciones/ESTUDIOS%20DE%20PROGRAMMING/PROGRAMMING/PERSONAL/PYTHON/Image_Generator_API/imagenes/T_TAHARI_124010271_BLK_1.jpg")</f>
        <v/>
      </c>
      <c r="M4298">
        <f>IMAGE("file:///E:/Estudios%20y%20certificaciones/ESTUDIOS%20DE%20PROGRAMMING/PROGRAMMING/PERSONAL/PYTHON/Image_Generator_API/imagenes/T_TAHARI_124010271_BLK_2.jpg")</f>
        <v/>
      </c>
      <c r="N4298">
        <f>IMAGE("file:///E:/Estudios%20y%20certificaciones/ESTUDIOS%20DE%20PROGRAMMING/PROGRAMMING/PERSONAL/PYTHON/Image_Generator_API/imagenes/T_TAHARI_124010271_BLK_3.jpg")</f>
        <v/>
      </c>
      <c r="O4298">
        <f>HYPERLINK("imagenes/T_TAHARI_124010271_BLK_1.jpg","Ver imagen")</f>
        <v/>
      </c>
      <c r="P4298">
        <f>HYPERLINK("imagenes/T_TAHARI_124010271_BLK_2.jpg","Ver imagen")</f>
        <v/>
      </c>
      <c r="Q4298">
        <f>HYPERLINK("imagenes/T_TAHARI_124010271_BLK_3.jpg","Ver imagen")</f>
        <v/>
      </c>
    </row>
    <row r="4299">
      <c r="A4299" t="inlineStr">
        <is>
          <t>T TAHARI</t>
        </is>
      </c>
      <c r="B4299" t="inlineStr">
        <is>
          <t>124010271</t>
        </is>
      </c>
      <c r="C4299" t="inlineStr">
        <is>
          <t>PIA</t>
        </is>
      </c>
      <c r="D4299" t="inlineStr">
        <is>
          <t>BLK</t>
        </is>
      </c>
      <c r="E4299" t="inlineStr">
        <is>
          <t>(en blanco)</t>
        </is>
      </c>
      <c r="F4299" t="inlineStr">
        <is>
          <t>MACYS ECOM</t>
        </is>
      </c>
      <c r="G4299" t="inlineStr">
        <is>
          <t>XXS</t>
        </is>
      </c>
      <c r="H4299" t="n">
        <v>0</v>
      </c>
      <c r="I4299" t="inlineStr">
        <is>
          <t>T_TAHARI_124010271_BLK_1.jpg</t>
        </is>
      </c>
      <c r="J4299" t="inlineStr">
        <is>
          <t>T_TAHARI_124010271_BLK_2.jpg</t>
        </is>
      </c>
      <c r="K4299" t="inlineStr">
        <is>
          <t>T_TAHARI_124010271_BLK_3.jpg</t>
        </is>
      </c>
      <c r="L4299">
        <f>IMAGE("file:///E:/Estudios%20y%20certificaciones/ESTUDIOS%20DE%20PROGRAMMING/PROGRAMMING/PERSONAL/PYTHON/Image_Generator_API/imagenes/T_TAHARI_124010271_BLK_1.jpg")</f>
        <v/>
      </c>
      <c r="M4299">
        <f>IMAGE("file:///E:/Estudios%20y%20certificaciones/ESTUDIOS%20DE%20PROGRAMMING/PROGRAMMING/PERSONAL/PYTHON/Image_Generator_API/imagenes/T_TAHARI_124010271_BLK_2.jpg")</f>
        <v/>
      </c>
      <c r="N4299">
        <f>IMAGE("file:///E:/Estudios%20y%20certificaciones/ESTUDIOS%20DE%20PROGRAMMING/PROGRAMMING/PERSONAL/PYTHON/Image_Generator_API/imagenes/T_TAHARI_124010271_BLK_3.jpg")</f>
        <v/>
      </c>
      <c r="O4299">
        <f>HYPERLINK("imagenes/T_TAHARI_124010271_BLK_1.jpg","Ver imagen")</f>
        <v/>
      </c>
      <c r="P4299">
        <f>HYPERLINK("imagenes/T_TAHARI_124010271_BLK_2.jpg","Ver imagen")</f>
        <v/>
      </c>
      <c r="Q4299">
        <f>HYPERLINK("imagenes/T_TAHARI_124010271_BLK_3.jpg","Ver imagen")</f>
        <v/>
      </c>
    </row>
    <row r="4300">
      <c r="A4300" t="inlineStr">
        <is>
          <t>T TAHARI</t>
        </is>
      </c>
      <c r="B4300" t="inlineStr">
        <is>
          <t>124010271</t>
        </is>
      </c>
      <c r="C4300" t="inlineStr">
        <is>
          <t>PIA</t>
        </is>
      </c>
      <c r="D4300" t="inlineStr">
        <is>
          <t>BLK</t>
        </is>
      </c>
      <c r="E4300" t="inlineStr">
        <is>
          <t>(en blanco)</t>
        </is>
      </c>
      <c r="F4300" t="inlineStr">
        <is>
          <t>(en blanco)</t>
        </is>
      </c>
      <c r="G4300" t="inlineStr">
        <is>
          <t>XS</t>
        </is>
      </c>
      <c r="H4300" t="n">
        <v>40</v>
      </c>
      <c r="I4300" t="inlineStr">
        <is>
          <t>T_TAHARI_124010271_BLK_1.jpg</t>
        </is>
      </c>
      <c r="J4300" t="inlineStr">
        <is>
          <t>T_TAHARI_124010271_BLK_2.jpg</t>
        </is>
      </c>
      <c r="K4300" t="inlineStr">
        <is>
          <t>T_TAHARI_124010271_BLK_3.jpg</t>
        </is>
      </c>
      <c r="L4300">
        <f>IMAGE("file:///E:/Estudios%20y%20certificaciones/ESTUDIOS%20DE%20PROGRAMMING/PROGRAMMING/PERSONAL/PYTHON/Image_Generator_API/imagenes/T_TAHARI_124010271_BLK_1.jpg")</f>
        <v/>
      </c>
      <c r="M4300">
        <f>IMAGE("file:///E:/Estudios%20y%20certificaciones/ESTUDIOS%20DE%20PROGRAMMING/PROGRAMMING/PERSONAL/PYTHON/Image_Generator_API/imagenes/T_TAHARI_124010271_BLK_2.jpg")</f>
        <v/>
      </c>
      <c r="N4300">
        <f>IMAGE("file:///E:/Estudios%20y%20certificaciones/ESTUDIOS%20DE%20PROGRAMMING/PROGRAMMING/PERSONAL/PYTHON/Image_Generator_API/imagenes/T_TAHARI_124010271_BLK_3.jpg")</f>
        <v/>
      </c>
      <c r="O4300">
        <f>HYPERLINK("imagenes/T_TAHARI_124010271_BLK_1.jpg","Ver imagen")</f>
        <v/>
      </c>
      <c r="P4300">
        <f>HYPERLINK("imagenes/T_TAHARI_124010271_BLK_2.jpg","Ver imagen")</f>
        <v/>
      </c>
      <c r="Q4300">
        <f>HYPERLINK("imagenes/T_TAHARI_124010271_BLK_3.jpg","Ver imagen")</f>
        <v/>
      </c>
    </row>
    <row r="4301">
      <c r="A4301" t="inlineStr">
        <is>
          <t>T TAHARI</t>
        </is>
      </c>
      <c r="B4301" t="inlineStr">
        <is>
          <t>124010271</t>
        </is>
      </c>
      <c r="C4301" t="inlineStr">
        <is>
          <t>PIA</t>
        </is>
      </c>
      <c r="D4301" t="inlineStr">
        <is>
          <t>BLK</t>
        </is>
      </c>
      <c r="E4301" t="inlineStr">
        <is>
          <t>(en blanco)</t>
        </is>
      </c>
      <c r="F4301" t="inlineStr">
        <is>
          <t>(en blanco)</t>
        </is>
      </c>
      <c r="G4301" t="inlineStr">
        <is>
          <t>S</t>
        </is>
      </c>
      <c r="H4301" t="n">
        <v>30</v>
      </c>
      <c r="I4301" t="inlineStr">
        <is>
          <t>T_TAHARI_124010271_BLK_1.jpg</t>
        </is>
      </c>
      <c r="J4301" t="inlineStr">
        <is>
          <t>T_TAHARI_124010271_BLK_2.jpg</t>
        </is>
      </c>
      <c r="K4301" t="inlineStr">
        <is>
          <t>T_TAHARI_124010271_BLK_3.jpg</t>
        </is>
      </c>
      <c r="L4301">
        <f>IMAGE("file:///E:/Estudios%20y%20certificaciones/ESTUDIOS%20DE%20PROGRAMMING/PROGRAMMING/PERSONAL/PYTHON/Image_Generator_API/imagenes/T_TAHARI_124010271_BLK_1.jpg")</f>
        <v/>
      </c>
      <c r="M4301">
        <f>IMAGE("file:///E:/Estudios%20y%20certificaciones/ESTUDIOS%20DE%20PROGRAMMING/PROGRAMMING/PERSONAL/PYTHON/Image_Generator_API/imagenes/T_TAHARI_124010271_BLK_2.jpg")</f>
        <v/>
      </c>
      <c r="N4301">
        <f>IMAGE("file:///E:/Estudios%20y%20certificaciones/ESTUDIOS%20DE%20PROGRAMMING/PROGRAMMING/PERSONAL/PYTHON/Image_Generator_API/imagenes/T_TAHARI_124010271_BLK_3.jpg")</f>
        <v/>
      </c>
      <c r="O4301">
        <f>HYPERLINK("imagenes/T_TAHARI_124010271_BLK_1.jpg","Ver imagen")</f>
        <v/>
      </c>
      <c r="P4301">
        <f>HYPERLINK("imagenes/T_TAHARI_124010271_BLK_2.jpg","Ver imagen")</f>
        <v/>
      </c>
      <c r="Q4301">
        <f>HYPERLINK("imagenes/T_TAHARI_124010271_BLK_3.jpg","Ver imagen")</f>
        <v/>
      </c>
    </row>
    <row r="4302">
      <c r="A4302" t="inlineStr">
        <is>
          <t>T TAHARI</t>
        </is>
      </c>
      <c r="B4302" t="inlineStr">
        <is>
          <t>124010271</t>
        </is>
      </c>
      <c r="C4302" t="inlineStr">
        <is>
          <t>PIA</t>
        </is>
      </c>
      <c r="D4302" t="inlineStr">
        <is>
          <t>BLK</t>
        </is>
      </c>
      <c r="E4302" t="inlineStr">
        <is>
          <t>(en blanco)</t>
        </is>
      </c>
      <c r="F4302" t="inlineStr">
        <is>
          <t>(en blanco)</t>
        </is>
      </c>
      <c r="G4302" t="inlineStr">
        <is>
          <t>M</t>
        </is>
      </c>
      <c r="H4302" t="n">
        <v>33</v>
      </c>
      <c r="I4302" t="inlineStr">
        <is>
          <t>T_TAHARI_124010271_BLK_1.jpg</t>
        </is>
      </c>
      <c r="J4302" t="inlineStr">
        <is>
          <t>T_TAHARI_124010271_BLK_2.jpg</t>
        </is>
      </c>
      <c r="K4302" t="inlineStr">
        <is>
          <t>T_TAHARI_124010271_BLK_3.jpg</t>
        </is>
      </c>
      <c r="L4302">
        <f>IMAGE("file:///E:/Estudios%20y%20certificaciones/ESTUDIOS%20DE%20PROGRAMMING/PROGRAMMING/PERSONAL/PYTHON/Image_Generator_API/imagenes/T_TAHARI_124010271_BLK_1.jpg")</f>
        <v/>
      </c>
      <c r="M4302">
        <f>IMAGE("file:///E:/Estudios%20y%20certificaciones/ESTUDIOS%20DE%20PROGRAMMING/PROGRAMMING/PERSONAL/PYTHON/Image_Generator_API/imagenes/T_TAHARI_124010271_BLK_2.jpg")</f>
        <v/>
      </c>
      <c r="N4302">
        <f>IMAGE("file:///E:/Estudios%20y%20certificaciones/ESTUDIOS%20DE%20PROGRAMMING/PROGRAMMING/PERSONAL/PYTHON/Image_Generator_API/imagenes/T_TAHARI_124010271_BLK_3.jpg")</f>
        <v/>
      </c>
      <c r="O4302">
        <f>HYPERLINK("imagenes/T_TAHARI_124010271_BLK_1.jpg","Ver imagen")</f>
        <v/>
      </c>
      <c r="P4302">
        <f>HYPERLINK("imagenes/T_TAHARI_124010271_BLK_2.jpg","Ver imagen")</f>
        <v/>
      </c>
      <c r="Q4302">
        <f>HYPERLINK("imagenes/T_TAHARI_124010271_BLK_3.jpg","Ver imagen")</f>
        <v/>
      </c>
    </row>
    <row r="4303">
      <c r="A4303" t="inlineStr">
        <is>
          <t>T TAHARI</t>
        </is>
      </c>
      <c r="B4303" t="inlineStr">
        <is>
          <t>124010271</t>
        </is>
      </c>
      <c r="C4303" t="inlineStr">
        <is>
          <t>PIA</t>
        </is>
      </c>
      <c r="D4303" t="inlineStr">
        <is>
          <t>BLK</t>
        </is>
      </c>
      <c r="E4303" t="inlineStr">
        <is>
          <t>(en blanco)</t>
        </is>
      </c>
      <c r="F4303" t="inlineStr">
        <is>
          <t>(en blanco)</t>
        </is>
      </c>
      <c r="G4303" t="inlineStr">
        <is>
          <t>L</t>
        </is>
      </c>
      <c r="H4303" t="n">
        <v>48</v>
      </c>
      <c r="I4303" t="inlineStr">
        <is>
          <t>T_TAHARI_124010271_BLK_1.jpg</t>
        </is>
      </c>
      <c r="J4303" t="inlineStr">
        <is>
          <t>T_TAHARI_124010271_BLK_2.jpg</t>
        </is>
      </c>
      <c r="K4303" t="inlineStr">
        <is>
          <t>T_TAHARI_124010271_BLK_3.jpg</t>
        </is>
      </c>
      <c r="L4303">
        <f>IMAGE("file:///E:/Estudios%20y%20certificaciones/ESTUDIOS%20DE%20PROGRAMMING/PROGRAMMING/PERSONAL/PYTHON/Image_Generator_API/imagenes/T_TAHARI_124010271_BLK_1.jpg")</f>
        <v/>
      </c>
      <c r="M4303">
        <f>IMAGE("file:///E:/Estudios%20y%20certificaciones/ESTUDIOS%20DE%20PROGRAMMING/PROGRAMMING/PERSONAL/PYTHON/Image_Generator_API/imagenes/T_TAHARI_124010271_BLK_2.jpg")</f>
        <v/>
      </c>
      <c r="N4303">
        <f>IMAGE("file:///E:/Estudios%20y%20certificaciones/ESTUDIOS%20DE%20PROGRAMMING/PROGRAMMING/PERSONAL/PYTHON/Image_Generator_API/imagenes/T_TAHARI_124010271_BLK_3.jpg")</f>
        <v/>
      </c>
      <c r="O4303">
        <f>HYPERLINK("imagenes/T_TAHARI_124010271_BLK_1.jpg","Ver imagen")</f>
        <v/>
      </c>
      <c r="P4303">
        <f>HYPERLINK("imagenes/T_TAHARI_124010271_BLK_2.jpg","Ver imagen")</f>
        <v/>
      </c>
      <c r="Q4303">
        <f>HYPERLINK("imagenes/T_TAHARI_124010271_BLK_3.jpg","Ver imagen")</f>
        <v/>
      </c>
    </row>
    <row r="4304">
      <c r="A4304" t="inlineStr">
        <is>
          <t>T TAHARI</t>
        </is>
      </c>
      <c r="B4304" t="inlineStr">
        <is>
          <t>124010271</t>
        </is>
      </c>
      <c r="C4304" t="inlineStr">
        <is>
          <t>PIA</t>
        </is>
      </c>
      <c r="D4304" t="inlineStr">
        <is>
          <t>BLK</t>
        </is>
      </c>
      <c r="E4304" t="inlineStr">
        <is>
          <t>(en blanco)</t>
        </is>
      </c>
      <c r="F4304" t="inlineStr">
        <is>
          <t>(en blanco)</t>
        </is>
      </c>
      <c r="G4304" t="inlineStr">
        <is>
          <t>XL</t>
        </is>
      </c>
      <c r="H4304" t="n">
        <v>9</v>
      </c>
      <c r="I4304" t="inlineStr">
        <is>
          <t>T_TAHARI_124010271_BLK_1.jpg</t>
        </is>
      </c>
      <c r="J4304" t="inlineStr">
        <is>
          <t>T_TAHARI_124010271_BLK_2.jpg</t>
        </is>
      </c>
      <c r="K4304" t="inlineStr">
        <is>
          <t>T_TAHARI_124010271_BLK_3.jpg</t>
        </is>
      </c>
      <c r="L4304">
        <f>IMAGE("file:///E:/Estudios%20y%20certificaciones/ESTUDIOS%20DE%20PROGRAMMING/PROGRAMMING/PERSONAL/PYTHON/Image_Generator_API/imagenes/T_TAHARI_124010271_BLK_1.jpg")</f>
        <v/>
      </c>
      <c r="M4304">
        <f>IMAGE("file:///E:/Estudios%20y%20certificaciones/ESTUDIOS%20DE%20PROGRAMMING/PROGRAMMING/PERSONAL/PYTHON/Image_Generator_API/imagenes/T_TAHARI_124010271_BLK_2.jpg")</f>
        <v/>
      </c>
      <c r="N4304">
        <f>IMAGE("file:///E:/Estudios%20y%20certificaciones/ESTUDIOS%20DE%20PROGRAMMING/PROGRAMMING/PERSONAL/PYTHON/Image_Generator_API/imagenes/T_TAHARI_124010271_BLK_3.jpg")</f>
        <v/>
      </c>
      <c r="O4304">
        <f>HYPERLINK("imagenes/T_TAHARI_124010271_BLK_1.jpg","Ver imagen")</f>
        <v/>
      </c>
      <c r="P4304">
        <f>HYPERLINK("imagenes/T_TAHARI_124010271_BLK_2.jpg","Ver imagen")</f>
        <v/>
      </c>
      <c r="Q4304">
        <f>HYPERLINK("imagenes/T_TAHARI_124010271_BLK_3.jpg","Ver imagen")</f>
        <v/>
      </c>
    </row>
    <row r="4305">
      <c r="A4305" t="inlineStr">
        <is>
          <t>T TAHARI</t>
        </is>
      </c>
      <c r="B4305" t="inlineStr">
        <is>
          <t>124010271</t>
        </is>
      </c>
      <c r="C4305" t="inlineStr">
        <is>
          <t>PIA</t>
        </is>
      </c>
      <c r="D4305" t="inlineStr">
        <is>
          <t>CML</t>
        </is>
      </c>
      <c r="E4305" t="inlineStr">
        <is>
          <t>(en blanco)</t>
        </is>
      </c>
      <c r="F4305" t="inlineStr">
        <is>
          <t>D2C</t>
        </is>
      </c>
      <c r="G4305" t="inlineStr">
        <is>
          <t>XS</t>
        </is>
      </c>
      <c r="H4305" t="n">
        <v>5</v>
      </c>
      <c r="I4305" t="inlineStr">
        <is>
          <t>T_TAHARI_124010271_CML_1.jpg</t>
        </is>
      </c>
      <c r="J4305" t="inlineStr">
        <is>
          <t>T_TAHARI_124010271_CML_2.jpg</t>
        </is>
      </c>
      <c r="K4305" t="inlineStr">
        <is>
          <t>T_TAHARI_124010271_CML_3.jpg</t>
        </is>
      </c>
      <c r="L4305">
        <f>IMAGE("file:///E:/Estudios%20y%20certificaciones/ESTUDIOS%20DE%20PROGRAMMING/PROGRAMMING/PERSONAL/PYTHON/Image_Generator_API/imagenes/T_TAHARI_124010271_CML_1.jpg")</f>
        <v/>
      </c>
      <c r="M4305">
        <f>IMAGE("file:///E:/Estudios%20y%20certificaciones/ESTUDIOS%20DE%20PROGRAMMING/PROGRAMMING/PERSONAL/PYTHON/Image_Generator_API/imagenes/T_TAHARI_124010271_CML_2.jpg")</f>
        <v/>
      </c>
      <c r="N4305">
        <f>IMAGE("file:///E:/Estudios%20y%20certificaciones/ESTUDIOS%20DE%20PROGRAMMING/PROGRAMMING/PERSONAL/PYTHON/Image_Generator_API/imagenes/T_TAHARI_124010271_CML_3.jpg")</f>
        <v/>
      </c>
      <c r="O4305">
        <f>HYPERLINK("imagenes/T_TAHARI_124010271_CML_1.jpg","Ver imagen")</f>
        <v/>
      </c>
      <c r="P4305">
        <f>HYPERLINK("imagenes/T_TAHARI_124010271_CML_2.jpg","Ver imagen")</f>
        <v/>
      </c>
      <c r="Q4305">
        <f>HYPERLINK("imagenes/T_TAHARI_124010271_CML_3.jpg","Ver imagen")</f>
        <v/>
      </c>
    </row>
    <row r="4306">
      <c r="A4306" t="inlineStr">
        <is>
          <t>T TAHARI</t>
        </is>
      </c>
      <c r="B4306" t="inlineStr">
        <is>
          <t>124010271</t>
        </is>
      </c>
      <c r="C4306" t="inlineStr">
        <is>
          <t>PIA</t>
        </is>
      </c>
      <c r="D4306" t="inlineStr">
        <is>
          <t>CML</t>
        </is>
      </c>
      <c r="E4306" t="inlineStr">
        <is>
          <t>(en blanco)</t>
        </is>
      </c>
      <c r="F4306" t="inlineStr">
        <is>
          <t>D2C</t>
        </is>
      </c>
      <c r="G4306" t="inlineStr">
        <is>
          <t>S</t>
        </is>
      </c>
      <c r="H4306" t="n">
        <v>9</v>
      </c>
      <c r="I4306" t="inlineStr">
        <is>
          <t>T_TAHARI_124010271_CML_1.jpg</t>
        </is>
      </c>
      <c r="J4306" t="inlineStr">
        <is>
          <t>T_TAHARI_124010271_CML_2.jpg</t>
        </is>
      </c>
      <c r="K4306" t="inlineStr">
        <is>
          <t>T_TAHARI_124010271_CML_3.jpg</t>
        </is>
      </c>
      <c r="L4306">
        <f>IMAGE("file:///E:/Estudios%20y%20certificaciones/ESTUDIOS%20DE%20PROGRAMMING/PROGRAMMING/PERSONAL/PYTHON/Image_Generator_API/imagenes/T_TAHARI_124010271_CML_1.jpg")</f>
        <v/>
      </c>
      <c r="M4306">
        <f>IMAGE("file:///E:/Estudios%20y%20certificaciones/ESTUDIOS%20DE%20PROGRAMMING/PROGRAMMING/PERSONAL/PYTHON/Image_Generator_API/imagenes/T_TAHARI_124010271_CML_2.jpg")</f>
        <v/>
      </c>
      <c r="N4306">
        <f>IMAGE("file:///E:/Estudios%20y%20certificaciones/ESTUDIOS%20DE%20PROGRAMMING/PROGRAMMING/PERSONAL/PYTHON/Image_Generator_API/imagenes/T_TAHARI_124010271_CML_3.jpg")</f>
        <v/>
      </c>
      <c r="O4306">
        <f>HYPERLINK("imagenes/T_TAHARI_124010271_CML_1.jpg","Ver imagen")</f>
        <v/>
      </c>
      <c r="P4306">
        <f>HYPERLINK("imagenes/T_TAHARI_124010271_CML_2.jpg","Ver imagen")</f>
        <v/>
      </c>
      <c r="Q4306">
        <f>HYPERLINK("imagenes/T_TAHARI_124010271_CML_3.jpg","Ver imagen")</f>
        <v/>
      </c>
    </row>
    <row r="4307">
      <c r="A4307" t="inlineStr">
        <is>
          <t>T TAHARI</t>
        </is>
      </c>
      <c r="B4307" t="inlineStr">
        <is>
          <t>124010271</t>
        </is>
      </c>
      <c r="C4307" t="inlineStr">
        <is>
          <t>PIA</t>
        </is>
      </c>
      <c r="D4307" t="inlineStr">
        <is>
          <t>CML</t>
        </is>
      </c>
      <c r="E4307" t="inlineStr">
        <is>
          <t>(en blanco)</t>
        </is>
      </c>
      <c r="F4307" t="inlineStr">
        <is>
          <t>D2C</t>
        </is>
      </c>
      <c r="G4307" t="inlineStr">
        <is>
          <t>M</t>
        </is>
      </c>
      <c r="H4307" t="n">
        <v>7</v>
      </c>
      <c r="I4307" t="inlineStr">
        <is>
          <t>T_TAHARI_124010271_CML_1.jpg</t>
        </is>
      </c>
      <c r="J4307" t="inlineStr">
        <is>
          <t>T_TAHARI_124010271_CML_2.jpg</t>
        </is>
      </c>
      <c r="K4307" t="inlineStr">
        <is>
          <t>T_TAHARI_124010271_CML_3.jpg</t>
        </is>
      </c>
      <c r="L4307">
        <f>IMAGE("file:///E:/Estudios%20y%20certificaciones/ESTUDIOS%20DE%20PROGRAMMING/PROGRAMMING/PERSONAL/PYTHON/Image_Generator_API/imagenes/T_TAHARI_124010271_CML_1.jpg")</f>
        <v/>
      </c>
      <c r="M4307">
        <f>IMAGE("file:///E:/Estudios%20y%20certificaciones/ESTUDIOS%20DE%20PROGRAMMING/PROGRAMMING/PERSONAL/PYTHON/Image_Generator_API/imagenes/T_TAHARI_124010271_CML_2.jpg")</f>
        <v/>
      </c>
      <c r="N4307">
        <f>IMAGE("file:///E:/Estudios%20y%20certificaciones/ESTUDIOS%20DE%20PROGRAMMING/PROGRAMMING/PERSONAL/PYTHON/Image_Generator_API/imagenes/T_TAHARI_124010271_CML_3.jpg")</f>
        <v/>
      </c>
      <c r="O4307">
        <f>HYPERLINK("imagenes/T_TAHARI_124010271_CML_1.jpg","Ver imagen")</f>
        <v/>
      </c>
      <c r="P4307">
        <f>HYPERLINK("imagenes/T_TAHARI_124010271_CML_2.jpg","Ver imagen")</f>
        <v/>
      </c>
      <c r="Q4307">
        <f>HYPERLINK("imagenes/T_TAHARI_124010271_CML_3.jpg","Ver imagen")</f>
        <v/>
      </c>
    </row>
    <row r="4308">
      <c r="A4308" t="inlineStr">
        <is>
          <t>T TAHARI</t>
        </is>
      </c>
      <c r="B4308" t="inlineStr">
        <is>
          <t>124010271</t>
        </is>
      </c>
      <c r="C4308" t="inlineStr">
        <is>
          <t>PIA</t>
        </is>
      </c>
      <c r="D4308" t="inlineStr">
        <is>
          <t>CML</t>
        </is>
      </c>
      <c r="E4308" t="inlineStr">
        <is>
          <t>(en blanco)</t>
        </is>
      </c>
      <c r="F4308" t="inlineStr">
        <is>
          <t>D2C</t>
        </is>
      </c>
      <c r="G4308" t="inlineStr">
        <is>
          <t>L</t>
        </is>
      </c>
      <c r="H4308" t="n">
        <v>10</v>
      </c>
      <c r="I4308" t="inlineStr">
        <is>
          <t>T_TAHARI_124010271_CML_1.jpg</t>
        </is>
      </c>
      <c r="J4308" t="inlineStr">
        <is>
          <t>T_TAHARI_124010271_CML_2.jpg</t>
        </is>
      </c>
      <c r="K4308" t="inlineStr">
        <is>
          <t>T_TAHARI_124010271_CML_3.jpg</t>
        </is>
      </c>
      <c r="L4308">
        <f>IMAGE("file:///E:/Estudios%20y%20certificaciones/ESTUDIOS%20DE%20PROGRAMMING/PROGRAMMING/PERSONAL/PYTHON/Image_Generator_API/imagenes/T_TAHARI_124010271_CML_1.jpg")</f>
        <v/>
      </c>
      <c r="M4308">
        <f>IMAGE("file:///E:/Estudios%20y%20certificaciones/ESTUDIOS%20DE%20PROGRAMMING/PROGRAMMING/PERSONAL/PYTHON/Image_Generator_API/imagenes/T_TAHARI_124010271_CML_2.jpg")</f>
        <v/>
      </c>
      <c r="N4308">
        <f>IMAGE("file:///E:/Estudios%20y%20certificaciones/ESTUDIOS%20DE%20PROGRAMMING/PROGRAMMING/PERSONAL/PYTHON/Image_Generator_API/imagenes/T_TAHARI_124010271_CML_3.jpg")</f>
        <v/>
      </c>
      <c r="O4308">
        <f>HYPERLINK("imagenes/T_TAHARI_124010271_CML_1.jpg","Ver imagen")</f>
        <v/>
      </c>
      <c r="P4308">
        <f>HYPERLINK("imagenes/T_TAHARI_124010271_CML_2.jpg","Ver imagen")</f>
        <v/>
      </c>
      <c r="Q4308">
        <f>HYPERLINK("imagenes/T_TAHARI_124010271_CML_3.jpg","Ver imagen")</f>
        <v/>
      </c>
    </row>
    <row r="4309">
      <c r="A4309" t="inlineStr">
        <is>
          <t>T TAHARI</t>
        </is>
      </c>
      <c r="B4309" t="inlineStr">
        <is>
          <t>124010271</t>
        </is>
      </c>
      <c r="C4309" t="inlineStr">
        <is>
          <t>PIA</t>
        </is>
      </c>
      <c r="D4309" t="inlineStr">
        <is>
          <t>CML</t>
        </is>
      </c>
      <c r="E4309" t="inlineStr">
        <is>
          <t>(en blanco)</t>
        </is>
      </c>
      <c r="F4309" t="inlineStr">
        <is>
          <t>MACYS ECOM</t>
        </is>
      </c>
      <c r="G4309" t="inlineStr">
        <is>
          <t>XS</t>
        </is>
      </c>
      <c r="H4309" t="n">
        <v>6</v>
      </c>
      <c r="I4309" t="inlineStr">
        <is>
          <t>T_TAHARI_124010271_CML_1.jpg</t>
        </is>
      </c>
      <c r="J4309" t="inlineStr">
        <is>
          <t>T_TAHARI_124010271_CML_2.jpg</t>
        </is>
      </c>
      <c r="K4309" t="inlineStr">
        <is>
          <t>T_TAHARI_124010271_CML_3.jpg</t>
        </is>
      </c>
      <c r="L4309">
        <f>IMAGE("file:///E:/Estudios%20y%20certificaciones/ESTUDIOS%20DE%20PROGRAMMING/PROGRAMMING/PERSONAL/PYTHON/Image_Generator_API/imagenes/T_TAHARI_124010271_CML_1.jpg")</f>
        <v/>
      </c>
      <c r="M4309">
        <f>IMAGE("file:///E:/Estudios%20y%20certificaciones/ESTUDIOS%20DE%20PROGRAMMING/PROGRAMMING/PERSONAL/PYTHON/Image_Generator_API/imagenes/T_TAHARI_124010271_CML_2.jpg")</f>
        <v/>
      </c>
      <c r="N4309">
        <f>IMAGE("file:///E:/Estudios%20y%20certificaciones/ESTUDIOS%20DE%20PROGRAMMING/PROGRAMMING/PERSONAL/PYTHON/Image_Generator_API/imagenes/T_TAHARI_124010271_CML_3.jpg")</f>
        <v/>
      </c>
      <c r="O4309">
        <f>HYPERLINK("imagenes/T_TAHARI_124010271_CML_1.jpg","Ver imagen")</f>
        <v/>
      </c>
      <c r="P4309">
        <f>HYPERLINK("imagenes/T_TAHARI_124010271_CML_2.jpg","Ver imagen")</f>
        <v/>
      </c>
      <c r="Q4309">
        <f>HYPERLINK("imagenes/T_TAHARI_124010271_CML_3.jpg","Ver imagen")</f>
        <v/>
      </c>
    </row>
    <row r="4310">
      <c r="A4310" t="inlineStr">
        <is>
          <t>T TAHARI</t>
        </is>
      </c>
      <c r="B4310" t="inlineStr">
        <is>
          <t>124010271</t>
        </is>
      </c>
      <c r="C4310" t="inlineStr">
        <is>
          <t>PIA</t>
        </is>
      </c>
      <c r="D4310" t="inlineStr">
        <is>
          <t>CML</t>
        </is>
      </c>
      <c r="E4310" t="inlineStr">
        <is>
          <t>(en blanco)</t>
        </is>
      </c>
      <c r="F4310" t="inlineStr">
        <is>
          <t>MACYS ECOM</t>
        </is>
      </c>
      <c r="G4310" t="inlineStr">
        <is>
          <t>S</t>
        </is>
      </c>
      <c r="H4310" t="n">
        <v>15</v>
      </c>
      <c r="I4310" t="inlineStr">
        <is>
          <t>T_TAHARI_124010271_CML_1.jpg</t>
        </is>
      </c>
      <c r="J4310" t="inlineStr">
        <is>
          <t>T_TAHARI_124010271_CML_2.jpg</t>
        </is>
      </c>
      <c r="K4310" t="inlineStr">
        <is>
          <t>T_TAHARI_124010271_CML_3.jpg</t>
        </is>
      </c>
      <c r="L4310">
        <f>IMAGE("file:///E:/Estudios%20y%20certificaciones/ESTUDIOS%20DE%20PROGRAMMING/PROGRAMMING/PERSONAL/PYTHON/Image_Generator_API/imagenes/T_TAHARI_124010271_CML_1.jpg")</f>
        <v/>
      </c>
      <c r="M4310">
        <f>IMAGE("file:///E:/Estudios%20y%20certificaciones/ESTUDIOS%20DE%20PROGRAMMING/PROGRAMMING/PERSONAL/PYTHON/Image_Generator_API/imagenes/T_TAHARI_124010271_CML_2.jpg")</f>
        <v/>
      </c>
      <c r="N4310">
        <f>IMAGE("file:///E:/Estudios%20y%20certificaciones/ESTUDIOS%20DE%20PROGRAMMING/PROGRAMMING/PERSONAL/PYTHON/Image_Generator_API/imagenes/T_TAHARI_124010271_CML_3.jpg")</f>
        <v/>
      </c>
      <c r="O4310">
        <f>HYPERLINK("imagenes/T_TAHARI_124010271_CML_1.jpg","Ver imagen")</f>
        <v/>
      </c>
      <c r="P4310">
        <f>HYPERLINK("imagenes/T_TAHARI_124010271_CML_2.jpg","Ver imagen")</f>
        <v/>
      </c>
      <c r="Q4310">
        <f>HYPERLINK("imagenes/T_TAHARI_124010271_CML_3.jpg","Ver imagen")</f>
        <v/>
      </c>
    </row>
    <row r="4311">
      <c r="A4311" t="inlineStr">
        <is>
          <t>T TAHARI</t>
        </is>
      </c>
      <c r="B4311" t="inlineStr">
        <is>
          <t>124010271</t>
        </is>
      </c>
      <c r="C4311" t="inlineStr">
        <is>
          <t>PIA</t>
        </is>
      </c>
      <c r="D4311" t="inlineStr">
        <is>
          <t>CML</t>
        </is>
      </c>
      <c r="E4311" t="inlineStr">
        <is>
          <t>(en blanco)</t>
        </is>
      </c>
      <c r="F4311" t="inlineStr">
        <is>
          <t>MACYS ECOM</t>
        </is>
      </c>
      <c r="G4311" t="inlineStr">
        <is>
          <t>M</t>
        </is>
      </c>
      <c r="H4311" t="n">
        <v>21</v>
      </c>
      <c r="I4311" t="inlineStr">
        <is>
          <t>T_TAHARI_124010271_CML_1.jpg</t>
        </is>
      </c>
      <c r="J4311" t="inlineStr">
        <is>
          <t>T_TAHARI_124010271_CML_2.jpg</t>
        </is>
      </c>
      <c r="K4311" t="inlineStr">
        <is>
          <t>T_TAHARI_124010271_CML_3.jpg</t>
        </is>
      </c>
      <c r="L4311">
        <f>IMAGE("file:///E:/Estudios%20y%20certificaciones/ESTUDIOS%20DE%20PROGRAMMING/PROGRAMMING/PERSONAL/PYTHON/Image_Generator_API/imagenes/T_TAHARI_124010271_CML_1.jpg")</f>
        <v/>
      </c>
      <c r="M4311">
        <f>IMAGE("file:///E:/Estudios%20y%20certificaciones/ESTUDIOS%20DE%20PROGRAMMING/PROGRAMMING/PERSONAL/PYTHON/Image_Generator_API/imagenes/T_TAHARI_124010271_CML_2.jpg")</f>
        <v/>
      </c>
      <c r="N4311">
        <f>IMAGE("file:///E:/Estudios%20y%20certificaciones/ESTUDIOS%20DE%20PROGRAMMING/PROGRAMMING/PERSONAL/PYTHON/Image_Generator_API/imagenes/T_TAHARI_124010271_CML_3.jpg")</f>
        <v/>
      </c>
      <c r="O4311">
        <f>HYPERLINK("imagenes/T_TAHARI_124010271_CML_1.jpg","Ver imagen")</f>
        <v/>
      </c>
      <c r="P4311">
        <f>HYPERLINK("imagenes/T_TAHARI_124010271_CML_2.jpg","Ver imagen")</f>
        <v/>
      </c>
      <c r="Q4311">
        <f>HYPERLINK("imagenes/T_TAHARI_124010271_CML_3.jpg","Ver imagen")</f>
        <v/>
      </c>
    </row>
    <row r="4312">
      <c r="A4312" t="inlineStr">
        <is>
          <t>T TAHARI</t>
        </is>
      </c>
      <c r="B4312" t="inlineStr">
        <is>
          <t>124010271</t>
        </is>
      </c>
      <c r="C4312" t="inlineStr">
        <is>
          <t>PIA</t>
        </is>
      </c>
      <c r="D4312" t="inlineStr">
        <is>
          <t>CML</t>
        </is>
      </c>
      <c r="E4312" t="inlineStr">
        <is>
          <t>(en blanco)</t>
        </is>
      </c>
      <c r="F4312" t="inlineStr">
        <is>
          <t>MACYS ECOM</t>
        </is>
      </c>
      <c r="G4312" t="inlineStr">
        <is>
          <t>L</t>
        </is>
      </c>
      <c r="H4312" t="n">
        <v>18</v>
      </c>
      <c r="I4312" t="inlineStr">
        <is>
          <t>T_TAHARI_124010271_CML_1.jpg</t>
        </is>
      </c>
      <c r="J4312" t="inlineStr">
        <is>
          <t>T_TAHARI_124010271_CML_2.jpg</t>
        </is>
      </c>
      <c r="K4312" t="inlineStr">
        <is>
          <t>T_TAHARI_124010271_CML_3.jpg</t>
        </is>
      </c>
      <c r="L4312">
        <f>IMAGE("file:///E:/Estudios%20y%20certificaciones/ESTUDIOS%20DE%20PROGRAMMING/PROGRAMMING/PERSONAL/PYTHON/Image_Generator_API/imagenes/T_TAHARI_124010271_CML_1.jpg")</f>
        <v/>
      </c>
      <c r="M4312">
        <f>IMAGE("file:///E:/Estudios%20y%20certificaciones/ESTUDIOS%20DE%20PROGRAMMING/PROGRAMMING/PERSONAL/PYTHON/Image_Generator_API/imagenes/T_TAHARI_124010271_CML_2.jpg")</f>
        <v/>
      </c>
      <c r="N4312">
        <f>IMAGE("file:///E:/Estudios%20y%20certificaciones/ESTUDIOS%20DE%20PROGRAMMING/PROGRAMMING/PERSONAL/PYTHON/Image_Generator_API/imagenes/T_TAHARI_124010271_CML_3.jpg")</f>
        <v/>
      </c>
      <c r="O4312">
        <f>HYPERLINK("imagenes/T_TAHARI_124010271_CML_1.jpg","Ver imagen")</f>
        <v/>
      </c>
      <c r="P4312">
        <f>HYPERLINK("imagenes/T_TAHARI_124010271_CML_2.jpg","Ver imagen")</f>
        <v/>
      </c>
      <c r="Q4312">
        <f>HYPERLINK("imagenes/T_TAHARI_124010271_CML_3.jpg","Ver imagen")</f>
        <v/>
      </c>
    </row>
    <row r="4313">
      <c r="A4313" t="inlineStr">
        <is>
          <t>T TAHARI</t>
        </is>
      </c>
      <c r="B4313" t="inlineStr">
        <is>
          <t>124010271</t>
        </is>
      </c>
      <c r="C4313" t="inlineStr">
        <is>
          <t>PIA</t>
        </is>
      </c>
      <c r="D4313" t="inlineStr">
        <is>
          <t>CML</t>
        </is>
      </c>
      <c r="E4313" t="inlineStr">
        <is>
          <t>(en blanco)</t>
        </is>
      </c>
      <c r="F4313" t="inlineStr">
        <is>
          <t>MACYS ECOM</t>
        </is>
      </c>
      <c r="G4313" t="inlineStr">
        <is>
          <t>XL</t>
        </is>
      </c>
      <c r="H4313" t="n">
        <v>12</v>
      </c>
      <c r="I4313" t="inlineStr">
        <is>
          <t>T_TAHARI_124010271_CML_1.jpg</t>
        </is>
      </c>
      <c r="J4313" t="inlineStr">
        <is>
          <t>T_TAHARI_124010271_CML_2.jpg</t>
        </is>
      </c>
      <c r="K4313" t="inlineStr">
        <is>
          <t>T_TAHARI_124010271_CML_3.jpg</t>
        </is>
      </c>
      <c r="L4313">
        <f>IMAGE("file:///E:/Estudios%20y%20certificaciones/ESTUDIOS%20DE%20PROGRAMMING/PROGRAMMING/PERSONAL/PYTHON/Image_Generator_API/imagenes/T_TAHARI_124010271_CML_1.jpg")</f>
        <v/>
      </c>
      <c r="M4313">
        <f>IMAGE("file:///E:/Estudios%20y%20certificaciones/ESTUDIOS%20DE%20PROGRAMMING/PROGRAMMING/PERSONAL/PYTHON/Image_Generator_API/imagenes/T_TAHARI_124010271_CML_2.jpg")</f>
        <v/>
      </c>
      <c r="N4313">
        <f>IMAGE("file:///E:/Estudios%20y%20certificaciones/ESTUDIOS%20DE%20PROGRAMMING/PROGRAMMING/PERSONAL/PYTHON/Image_Generator_API/imagenes/T_TAHARI_124010271_CML_3.jpg")</f>
        <v/>
      </c>
      <c r="O4313">
        <f>HYPERLINK("imagenes/T_TAHARI_124010271_CML_1.jpg","Ver imagen")</f>
        <v/>
      </c>
      <c r="P4313">
        <f>HYPERLINK("imagenes/T_TAHARI_124010271_CML_2.jpg","Ver imagen")</f>
        <v/>
      </c>
      <c r="Q4313">
        <f>HYPERLINK("imagenes/T_TAHARI_124010271_CML_3.jpg","Ver imagen")</f>
        <v/>
      </c>
    </row>
    <row r="4314">
      <c r="A4314" t="inlineStr">
        <is>
          <t>T TAHARI</t>
        </is>
      </c>
      <c r="B4314" t="inlineStr">
        <is>
          <t>124010271</t>
        </is>
      </c>
      <c r="C4314" t="inlineStr">
        <is>
          <t>PIA</t>
        </is>
      </c>
      <c r="D4314" t="inlineStr">
        <is>
          <t>CML</t>
        </is>
      </c>
      <c r="E4314" t="inlineStr">
        <is>
          <t>(en blanco)</t>
        </is>
      </c>
      <c r="F4314" t="inlineStr">
        <is>
          <t>MACYS ECOM</t>
        </is>
      </c>
      <c r="G4314" t="inlineStr">
        <is>
          <t>XXL</t>
        </is>
      </c>
      <c r="H4314" t="n">
        <v>6</v>
      </c>
      <c r="I4314" t="inlineStr">
        <is>
          <t>T_TAHARI_124010271_CML_1.jpg</t>
        </is>
      </c>
      <c r="J4314" t="inlineStr">
        <is>
          <t>T_TAHARI_124010271_CML_2.jpg</t>
        </is>
      </c>
      <c r="K4314" t="inlineStr">
        <is>
          <t>T_TAHARI_124010271_CML_3.jpg</t>
        </is>
      </c>
      <c r="L4314">
        <f>IMAGE("file:///E:/Estudios%20y%20certificaciones/ESTUDIOS%20DE%20PROGRAMMING/PROGRAMMING/PERSONAL/PYTHON/Image_Generator_API/imagenes/T_TAHARI_124010271_CML_1.jpg")</f>
        <v/>
      </c>
      <c r="M4314">
        <f>IMAGE("file:///E:/Estudios%20y%20certificaciones/ESTUDIOS%20DE%20PROGRAMMING/PROGRAMMING/PERSONAL/PYTHON/Image_Generator_API/imagenes/T_TAHARI_124010271_CML_2.jpg")</f>
        <v/>
      </c>
      <c r="N4314">
        <f>IMAGE("file:///E:/Estudios%20y%20certificaciones/ESTUDIOS%20DE%20PROGRAMMING/PROGRAMMING/PERSONAL/PYTHON/Image_Generator_API/imagenes/T_TAHARI_124010271_CML_3.jpg")</f>
        <v/>
      </c>
      <c r="O4314">
        <f>HYPERLINK("imagenes/T_TAHARI_124010271_CML_1.jpg","Ver imagen")</f>
        <v/>
      </c>
      <c r="P4314">
        <f>HYPERLINK("imagenes/T_TAHARI_124010271_CML_2.jpg","Ver imagen")</f>
        <v/>
      </c>
      <c r="Q4314">
        <f>HYPERLINK("imagenes/T_TAHARI_124010271_CML_3.jpg","Ver imagen")</f>
        <v/>
      </c>
    </row>
    <row r="4315">
      <c r="A4315" t="inlineStr">
        <is>
          <t>T TAHARI</t>
        </is>
      </c>
      <c r="B4315" t="inlineStr">
        <is>
          <t>124010271</t>
        </is>
      </c>
      <c r="C4315" t="inlineStr">
        <is>
          <t>PIA</t>
        </is>
      </c>
      <c r="D4315" t="inlineStr">
        <is>
          <t>CML</t>
        </is>
      </c>
      <c r="E4315" t="inlineStr">
        <is>
          <t>(en blanco)</t>
        </is>
      </c>
      <c r="F4315" t="inlineStr">
        <is>
          <t>MACYS ECOM</t>
        </is>
      </c>
      <c r="G4315" t="inlineStr">
        <is>
          <t>XXS</t>
        </is>
      </c>
      <c r="H4315" t="n">
        <v>2</v>
      </c>
      <c r="I4315" t="inlineStr">
        <is>
          <t>T_TAHARI_124010271_CML_1.jpg</t>
        </is>
      </c>
      <c r="J4315" t="inlineStr">
        <is>
          <t>T_TAHARI_124010271_CML_2.jpg</t>
        </is>
      </c>
      <c r="K4315" t="inlineStr">
        <is>
          <t>T_TAHARI_124010271_CML_3.jpg</t>
        </is>
      </c>
      <c r="L4315">
        <f>IMAGE("file:///E:/Estudios%20y%20certificaciones/ESTUDIOS%20DE%20PROGRAMMING/PROGRAMMING/PERSONAL/PYTHON/Image_Generator_API/imagenes/T_TAHARI_124010271_CML_1.jpg")</f>
        <v/>
      </c>
      <c r="M4315">
        <f>IMAGE("file:///E:/Estudios%20y%20certificaciones/ESTUDIOS%20DE%20PROGRAMMING/PROGRAMMING/PERSONAL/PYTHON/Image_Generator_API/imagenes/T_TAHARI_124010271_CML_2.jpg")</f>
        <v/>
      </c>
      <c r="N4315">
        <f>IMAGE("file:///E:/Estudios%20y%20certificaciones/ESTUDIOS%20DE%20PROGRAMMING/PROGRAMMING/PERSONAL/PYTHON/Image_Generator_API/imagenes/T_TAHARI_124010271_CML_3.jpg")</f>
        <v/>
      </c>
      <c r="O4315">
        <f>HYPERLINK("imagenes/T_TAHARI_124010271_CML_1.jpg","Ver imagen")</f>
        <v/>
      </c>
      <c r="P4315">
        <f>HYPERLINK("imagenes/T_TAHARI_124010271_CML_2.jpg","Ver imagen")</f>
        <v/>
      </c>
      <c r="Q4315">
        <f>HYPERLINK("imagenes/T_TAHARI_124010271_CML_3.jpg","Ver imagen")</f>
        <v/>
      </c>
    </row>
    <row r="4316">
      <c r="A4316" t="inlineStr">
        <is>
          <t>T TAHARI</t>
        </is>
      </c>
      <c r="B4316" t="inlineStr">
        <is>
          <t>124010271</t>
        </is>
      </c>
      <c r="C4316" t="inlineStr">
        <is>
          <t>PIA</t>
        </is>
      </c>
      <c r="D4316" t="inlineStr">
        <is>
          <t>CML</t>
        </is>
      </c>
      <c r="E4316" t="inlineStr">
        <is>
          <t>(en blanco)</t>
        </is>
      </c>
      <c r="F4316" t="inlineStr">
        <is>
          <t>(en blanco)</t>
        </is>
      </c>
      <c r="G4316" t="inlineStr">
        <is>
          <t>XS</t>
        </is>
      </c>
      <c r="H4316" t="n">
        <v>21</v>
      </c>
      <c r="I4316" t="inlineStr">
        <is>
          <t>T_TAHARI_124010271_CML_1.jpg</t>
        </is>
      </c>
      <c r="J4316" t="inlineStr">
        <is>
          <t>T_TAHARI_124010271_CML_2.jpg</t>
        </is>
      </c>
      <c r="K4316" t="inlineStr">
        <is>
          <t>T_TAHARI_124010271_CML_3.jpg</t>
        </is>
      </c>
      <c r="L4316">
        <f>IMAGE("file:///E:/Estudios%20y%20certificaciones/ESTUDIOS%20DE%20PROGRAMMING/PROGRAMMING/PERSONAL/PYTHON/Image_Generator_API/imagenes/T_TAHARI_124010271_CML_1.jpg")</f>
        <v/>
      </c>
      <c r="M4316">
        <f>IMAGE("file:///E:/Estudios%20y%20certificaciones/ESTUDIOS%20DE%20PROGRAMMING/PROGRAMMING/PERSONAL/PYTHON/Image_Generator_API/imagenes/T_TAHARI_124010271_CML_2.jpg")</f>
        <v/>
      </c>
      <c r="N4316">
        <f>IMAGE("file:///E:/Estudios%20y%20certificaciones/ESTUDIOS%20DE%20PROGRAMMING/PROGRAMMING/PERSONAL/PYTHON/Image_Generator_API/imagenes/T_TAHARI_124010271_CML_3.jpg")</f>
        <v/>
      </c>
      <c r="O4316">
        <f>HYPERLINK("imagenes/T_TAHARI_124010271_CML_1.jpg","Ver imagen")</f>
        <v/>
      </c>
      <c r="P4316">
        <f>HYPERLINK("imagenes/T_TAHARI_124010271_CML_2.jpg","Ver imagen")</f>
        <v/>
      </c>
      <c r="Q4316">
        <f>HYPERLINK("imagenes/T_TAHARI_124010271_CML_3.jpg","Ver imagen")</f>
        <v/>
      </c>
    </row>
    <row r="4317">
      <c r="A4317" t="inlineStr">
        <is>
          <t>T TAHARI</t>
        </is>
      </c>
      <c r="B4317" t="inlineStr">
        <is>
          <t>124010271</t>
        </is>
      </c>
      <c r="C4317" t="inlineStr">
        <is>
          <t>PIA</t>
        </is>
      </c>
      <c r="D4317" t="inlineStr">
        <is>
          <t>CML</t>
        </is>
      </c>
      <c r="E4317" t="inlineStr">
        <is>
          <t>(en blanco)</t>
        </is>
      </c>
      <c r="F4317" t="inlineStr">
        <is>
          <t>(en blanco)</t>
        </is>
      </c>
      <c r="G4317" t="inlineStr">
        <is>
          <t>S</t>
        </is>
      </c>
      <c r="H4317" t="n">
        <v>32</v>
      </c>
      <c r="I4317" t="inlineStr">
        <is>
          <t>T_TAHARI_124010271_CML_1.jpg</t>
        </is>
      </c>
      <c r="J4317" t="inlineStr">
        <is>
          <t>T_TAHARI_124010271_CML_2.jpg</t>
        </is>
      </c>
      <c r="K4317" t="inlineStr">
        <is>
          <t>T_TAHARI_124010271_CML_3.jpg</t>
        </is>
      </c>
      <c r="L4317">
        <f>IMAGE("file:///E:/Estudios%20y%20certificaciones/ESTUDIOS%20DE%20PROGRAMMING/PROGRAMMING/PERSONAL/PYTHON/Image_Generator_API/imagenes/T_TAHARI_124010271_CML_1.jpg")</f>
        <v/>
      </c>
      <c r="M4317">
        <f>IMAGE("file:///E:/Estudios%20y%20certificaciones/ESTUDIOS%20DE%20PROGRAMMING/PROGRAMMING/PERSONAL/PYTHON/Image_Generator_API/imagenes/T_TAHARI_124010271_CML_2.jpg")</f>
        <v/>
      </c>
      <c r="N4317">
        <f>IMAGE("file:///E:/Estudios%20y%20certificaciones/ESTUDIOS%20DE%20PROGRAMMING/PROGRAMMING/PERSONAL/PYTHON/Image_Generator_API/imagenes/T_TAHARI_124010271_CML_3.jpg")</f>
        <v/>
      </c>
      <c r="O4317">
        <f>HYPERLINK("imagenes/T_TAHARI_124010271_CML_1.jpg","Ver imagen")</f>
        <v/>
      </c>
      <c r="P4317">
        <f>HYPERLINK("imagenes/T_TAHARI_124010271_CML_2.jpg","Ver imagen")</f>
        <v/>
      </c>
      <c r="Q4317">
        <f>HYPERLINK("imagenes/T_TAHARI_124010271_CML_3.jpg","Ver imagen")</f>
        <v/>
      </c>
    </row>
    <row r="4318">
      <c r="A4318" t="inlineStr">
        <is>
          <t>T TAHARI</t>
        </is>
      </c>
      <c r="B4318" t="inlineStr">
        <is>
          <t>124010271</t>
        </is>
      </c>
      <c r="C4318" t="inlineStr">
        <is>
          <t>PIA</t>
        </is>
      </c>
      <c r="D4318" t="inlineStr">
        <is>
          <t>CML</t>
        </is>
      </c>
      <c r="E4318" t="inlineStr">
        <is>
          <t>(en blanco)</t>
        </is>
      </c>
      <c r="F4318" t="inlineStr">
        <is>
          <t>(en blanco)</t>
        </is>
      </c>
      <c r="G4318" t="inlineStr">
        <is>
          <t>M</t>
        </is>
      </c>
      <c r="H4318" t="n">
        <v>30</v>
      </c>
      <c r="I4318" t="inlineStr">
        <is>
          <t>T_TAHARI_124010271_CML_1.jpg</t>
        </is>
      </c>
      <c r="J4318" t="inlineStr">
        <is>
          <t>T_TAHARI_124010271_CML_2.jpg</t>
        </is>
      </c>
      <c r="K4318" t="inlineStr">
        <is>
          <t>T_TAHARI_124010271_CML_3.jpg</t>
        </is>
      </c>
      <c r="L4318">
        <f>IMAGE("file:///E:/Estudios%20y%20certificaciones/ESTUDIOS%20DE%20PROGRAMMING/PROGRAMMING/PERSONAL/PYTHON/Image_Generator_API/imagenes/T_TAHARI_124010271_CML_1.jpg")</f>
        <v/>
      </c>
      <c r="M4318">
        <f>IMAGE("file:///E:/Estudios%20y%20certificaciones/ESTUDIOS%20DE%20PROGRAMMING/PROGRAMMING/PERSONAL/PYTHON/Image_Generator_API/imagenes/T_TAHARI_124010271_CML_2.jpg")</f>
        <v/>
      </c>
      <c r="N4318">
        <f>IMAGE("file:///E:/Estudios%20y%20certificaciones/ESTUDIOS%20DE%20PROGRAMMING/PROGRAMMING/PERSONAL/PYTHON/Image_Generator_API/imagenes/T_TAHARI_124010271_CML_3.jpg")</f>
        <v/>
      </c>
      <c r="O4318">
        <f>HYPERLINK("imagenes/T_TAHARI_124010271_CML_1.jpg","Ver imagen")</f>
        <v/>
      </c>
      <c r="P4318">
        <f>HYPERLINK("imagenes/T_TAHARI_124010271_CML_2.jpg","Ver imagen")</f>
        <v/>
      </c>
      <c r="Q4318">
        <f>HYPERLINK("imagenes/T_TAHARI_124010271_CML_3.jpg","Ver imagen")</f>
        <v/>
      </c>
    </row>
    <row r="4319">
      <c r="A4319" t="inlineStr">
        <is>
          <t>T TAHARI</t>
        </is>
      </c>
      <c r="B4319" t="inlineStr">
        <is>
          <t>124010271</t>
        </is>
      </c>
      <c r="C4319" t="inlineStr">
        <is>
          <t>PIA</t>
        </is>
      </c>
      <c r="D4319" t="inlineStr">
        <is>
          <t>CML</t>
        </is>
      </c>
      <c r="E4319" t="inlineStr">
        <is>
          <t>(en blanco)</t>
        </is>
      </c>
      <c r="F4319" t="inlineStr">
        <is>
          <t>(en blanco)</t>
        </is>
      </c>
      <c r="G4319" t="inlineStr">
        <is>
          <t>L</t>
        </is>
      </c>
      <c r="H4319" t="n">
        <v>39</v>
      </c>
      <c r="I4319" t="inlineStr">
        <is>
          <t>T_TAHARI_124010271_CML_1.jpg</t>
        </is>
      </c>
      <c r="J4319" t="inlineStr">
        <is>
          <t>T_TAHARI_124010271_CML_2.jpg</t>
        </is>
      </c>
      <c r="K4319" t="inlineStr">
        <is>
          <t>T_TAHARI_124010271_CML_3.jpg</t>
        </is>
      </c>
      <c r="L4319">
        <f>IMAGE("file:///E:/Estudios%20y%20certificaciones/ESTUDIOS%20DE%20PROGRAMMING/PROGRAMMING/PERSONAL/PYTHON/Image_Generator_API/imagenes/T_TAHARI_124010271_CML_1.jpg")</f>
        <v/>
      </c>
      <c r="M4319">
        <f>IMAGE("file:///E:/Estudios%20y%20certificaciones/ESTUDIOS%20DE%20PROGRAMMING/PROGRAMMING/PERSONAL/PYTHON/Image_Generator_API/imagenes/T_TAHARI_124010271_CML_2.jpg")</f>
        <v/>
      </c>
      <c r="N4319">
        <f>IMAGE("file:///E:/Estudios%20y%20certificaciones/ESTUDIOS%20DE%20PROGRAMMING/PROGRAMMING/PERSONAL/PYTHON/Image_Generator_API/imagenes/T_TAHARI_124010271_CML_3.jpg")</f>
        <v/>
      </c>
      <c r="O4319">
        <f>HYPERLINK("imagenes/T_TAHARI_124010271_CML_1.jpg","Ver imagen")</f>
        <v/>
      </c>
      <c r="P4319">
        <f>HYPERLINK("imagenes/T_TAHARI_124010271_CML_2.jpg","Ver imagen")</f>
        <v/>
      </c>
      <c r="Q4319">
        <f>HYPERLINK("imagenes/T_TAHARI_124010271_CML_3.jpg","Ver imagen")</f>
        <v/>
      </c>
    </row>
    <row r="4320">
      <c r="A4320" t="inlineStr">
        <is>
          <t>T TAHARI</t>
        </is>
      </c>
      <c r="B4320" t="inlineStr">
        <is>
          <t>124010271</t>
        </is>
      </c>
      <c r="C4320" t="inlineStr">
        <is>
          <t>PIA</t>
        </is>
      </c>
      <c r="D4320" t="inlineStr">
        <is>
          <t>CML</t>
        </is>
      </c>
      <c r="E4320" t="inlineStr">
        <is>
          <t>(en blanco)</t>
        </is>
      </c>
      <c r="F4320" t="inlineStr">
        <is>
          <t>(en blanco)</t>
        </is>
      </c>
      <c r="G4320" t="inlineStr">
        <is>
          <t>XL</t>
        </is>
      </c>
      <c r="H4320" t="n">
        <v>2</v>
      </c>
      <c r="I4320" t="inlineStr">
        <is>
          <t>T_TAHARI_124010271_CML_1.jpg</t>
        </is>
      </c>
      <c r="J4320" t="inlineStr">
        <is>
          <t>T_TAHARI_124010271_CML_2.jpg</t>
        </is>
      </c>
      <c r="K4320" t="inlineStr">
        <is>
          <t>T_TAHARI_124010271_CML_3.jpg</t>
        </is>
      </c>
      <c r="L4320">
        <f>IMAGE("file:///E:/Estudios%20y%20certificaciones/ESTUDIOS%20DE%20PROGRAMMING/PROGRAMMING/PERSONAL/PYTHON/Image_Generator_API/imagenes/T_TAHARI_124010271_CML_1.jpg")</f>
        <v/>
      </c>
      <c r="M4320">
        <f>IMAGE("file:///E:/Estudios%20y%20certificaciones/ESTUDIOS%20DE%20PROGRAMMING/PROGRAMMING/PERSONAL/PYTHON/Image_Generator_API/imagenes/T_TAHARI_124010271_CML_2.jpg")</f>
        <v/>
      </c>
      <c r="N4320">
        <f>IMAGE("file:///E:/Estudios%20y%20certificaciones/ESTUDIOS%20DE%20PROGRAMMING/PROGRAMMING/PERSONAL/PYTHON/Image_Generator_API/imagenes/T_TAHARI_124010271_CML_3.jpg")</f>
        <v/>
      </c>
      <c r="O4320">
        <f>HYPERLINK("imagenes/T_TAHARI_124010271_CML_1.jpg","Ver imagen")</f>
        <v/>
      </c>
      <c r="P4320">
        <f>HYPERLINK("imagenes/T_TAHARI_124010271_CML_2.jpg","Ver imagen")</f>
        <v/>
      </c>
      <c r="Q4320">
        <f>HYPERLINK("imagenes/T_TAHARI_124010271_CML_3.jpg","Ver imagen")</f>
        <v/>
      </c>
    </row>
    <row r="4321">
      <c r="A4321" t="inlineStr">
        <is>
          <t>T TAHARI</t>
        </is>
      </c>
      <c r="B4321" t="inlineStr">
        <is>
          <t>124010272</t>
        </is>
      </c>
      <c r="C4321" t="inlineStr">
        <is>
          <t>ALEX</t>
        </is>
      </c>
      <c r="D4321" t="inlineStr">
        <is>
          <t>BLK</t>
        </is>
      </c>
      <c r="E4321" t="inlineStr">
        <is>
          <t>(en blanco)</t>
        </is>
      </c>
      <c r="F4321" t="inlineStr">
        <is>
          <t>D2C</t>
        </is>
      </c>
      <c r="G4321" t="inlineStr">
        <is>
          <t>XS</t>
        </is>
      </c>
      <c r="H4321" t="n">
        <v>10</v>
      </c>
      <c r="I4321" t="inlineStr">
        <is>
          <t>T_TAHARI_124010272_BLK_1.jpg</t>
        </is>
      </c>
      <c r="J4321" t="inlineStr">
        <is>
          <t>T_TAHARI_124010272_BLK_2.jpg</t>
        </is>
      </c>
      <c r="K4321" t="inlineStr">
        <is>
          <t>T_TAHARI_124010272_BLK_3.jpg</t>
        </is>
      </c>
      <c r="L4321">
        <f>IMAGE("file:///E:/Estudios%20y%20certificaciones/ESTUDIOS%20DE%20PROGRAMMING/PROGRAMMING/PERSONAL/PYTHON/Image_Generator_API/imagenes/T_TAHARI_124010272_BLK_1.jpg")</f>
        <v/>
      </c>
      <c r="M4321">
        <f>IMAGE("file:///E:/Estudios%20y%20certificaciones/ESTUDIOS%20DE%20PROGRAMMING/PROGRAMMING/PERSONAL/PYTHON/Image_Generator_API/imagenes/T_TAHARI_124010272_BLK_2.jpg")</f>
        <v/>
      </c>
      <c r="N4321">
        <f>IMAGE("file:///E:/Estudios%20y%20certificaciones/ESTUDIOS%20DE%20PROGRAMMING/PROGRAMMING/PERSONAL/PYTHON/Image_Generator_API/imagenes/T_TAHARI_124010272_BLK_3.jpg")</f>
        <v/>
      </c>
      <c r="O4321">
        <f>HYPERLINK("imagenes/T_TAHARI_124010272_BLK_1.jpg","Ver imagen")</f>
        <v/>
      </c>
      <c r="P4321">
        <f>HYPERLINK("imagenes/T_TAHARI_124010272_BLK_2.jpg","Ver imagen")</f>
        <v/>
      </c>
      <c r="Q4321">
        <f>HYPERLINK("imagenes/T_TAHARI_124010272_BLK_3.jpg","Ver imagen")</f>
        <v/>
      </c>
    </row>
    <row r="4322">
      <c r="A4322" t="inlineStr">
        <is>
          <t>T TAHARI</t>
        </is>
      </c>
      <c r="B4322" t="inlineStr">
        <is>
          <t>124010272</t>
        </is>
      </c>
      <c r="C4322" t="inlineStr">
        <is>
          <t>ALEX</t>
        </is>
      </c>
      <c r="D4322" t="inlineStr">
        <is>
          <t>BLK</t>
        </is>
      </c>
      <c r="E4322" t="inlineStr">
        <is>
          <t>(en blanco)</t>
        </is>
      </c>
      <c r="F4322" t="inlineStr">
        <is>
          <t>D2C</t>
        </is>
      </c>
      <c r="G4322" t="inlineStr">
        <is>
          <t>S</t>
        </is>
      </c>
      <c r="H4322" t="n">
        <v>19</v>
      </c>
      <c r="I4322" t="inlineStr">
        <is>
          <t>T_TAHARI_124010272_BLK_1.jpg</t>
        </is>
      </c>
      <c r="J4322" t="inlineStr">
        <is>
          <t>T_TAHARI_124010272_BLK_2.jpg</t>
        </is>
      </c>
      <c r="K4322" t="inlineStr">
        <is>
          <t>T_TAHARI_124010272_BLK_3.jpg</t>
        </is>
      </c>
      <c r="L4322">
        <f>IMAGE("file:///E:/Estudios%20y%20certificaciones/ESTUDIOS%20DE%20PROGRAMMING/PROGRAMMING/PERSONAL/PYTHON/Image_Generator_API/imagenes/T_TAHARI_124010272_BLK_1.jpg")</f>
        <v/>
      </c>
      <c r="M4322">
        <f>IMAGE("file:///E:/Estudios%20y%20certificaciones/ESTUDIOS%20DE%20PROGRAMMING/PROGRAMMING/PERSONAL/PYTHON/Image_Generator_API/imagenes/T_TAHARI_124010272_BLK_2.jpg")</f>
        <v/>
      </c>
      <c r="N4322">
        <f>IMAGE("file:///E:/Estudios%20y%20certificaciones/ESTUDIOS%20DE%20PROGRAMMING/PROGRAMMING/PERSONAL/PYTHON/Image_Generator_API/imagenes/T_TAHARI_124010272_BLK_3.jpg")</f>
        <v/>
      </c>
      <c r="O4322">
        <f>HYPERLINK("imagenes/T_TAHARI_124010272_BLK_1.jpg","Ver imagen")</f>
        <v/>
      </c>
      <c r="P4322">
        <f>HYPERLINK("imagenes/T_TAHARI_124010272_BLK_2.jpg","Ver imagen")</f>
        <v/>
      </c>
      <c r="Q4322">
        <f>HYPERLINK("imagenes/T_TAHARI_124010272_BLK_3.jpg","Ver imagen")</f>
        <v/>
      </c>
    </row>
    <row r="4323">
      <c r="A4323" t="inlineStr">
        <is>
          <t>T TAHARI</t>
        </is>
      </c>
      <c r="B4323" t="inlineStr">
        <is>
          <t>124010272</t>
        </is>
      </c>
      <c r="C4323" t="inlineStr">
        <is>
          <t>ALEX</t>
        </is>
      </c>
      <c r="D4323" t="inlineStr">
        <is>
          <t>BLK</t>
        </is>
      </c>
      <c r="E4323" t="inlineStr">
        <is>
          <t>(en blanco)</t>
        </is>
      </c>
      <c r="F4323" t="inlineStr">
        <is>
          <t>D2C</t>
        </is>
      </c>
      <c r="G4323" t="inlineStr">
        <is>
          <t>M</t>
        </is>
      </c>
      <c r="H4323" t="n">
        <v>20</v>
      </c>
      <c r="I4323" t="inlineStr">
        <is>
          <t>T_TAHARI_124010272_BLK_1.jpg</t>
        </is>
      </c>
      <c r="J4323" t="inlineStr">
        <is>
          <t>T_TAHARI_124010272_BLK_2.jpg</t>
        </is>
      </c>
      <c r="K4323" t="inlineStr">
        <is>
          <t>T_TAHARI_124010272_BLK_3.jpg</t>
        </is>
      </c>
      <c r="L4323">
        <f>IMAGE("file:///E:/Estudios%20y%20certificaciones/ESTUDIOS%20DE%20PROGRAMMING/PROGRAMMING/PERSONAL/PYTHON/Image_Generator_API/imagenes/T_TAHARI_124010272_BLK_1.jpg")</f>
        <v/>
      </c>
      <c r="M4323">
        <f>IMAGE("file:///E:/Estudios%20y%20certificaciones/ESTUDIOS%20DE%20PROGRAMMING/PROGRAMMING/PERSONAL/PYTHON/Image_Generator_API/imagenes/T_TAHARI_124010272_BLK_2.jpg")</f>
        <v/>
      </c>
      <c r="N4323">
        <f>IMAGE("file:///E:/Estudios%20y%20certificaciones/ESTUDIOS%20DE%20PROGRAMMING/PROGRAMMING/PERSONAL/PYTHON/Image_Generator_API/imagenes/T_TAHARI_124010272_BLK_3.jpg")</f>
        <v/>
      </c>
      <c r="O4323">
        <f>HYPERLINK("imagenes/T_TAHARI_124010272_BLK_1.jpg","Ver imagen")</f>
        <v/>
      </c>
      <c r="P4323">
        <f>HYPERLINK("imagenes/T_TAHARI_124010272_BLK_2.jpg","Ver imagen")</f>
        <v/>
      </c>
      <c r="Q4323">
        <f>HYPERLINK("imagenes/T_TAHARI_124010272_BLK_3.jpg","Ver imagen")</f>
        <v/>
      </c>
    </row>
    <row r="4324">
      <c r="A4324" t="inlineStr">
        <is>
          <t>T TAHARI</t>
        </is>
      </c>
      <c r="B4324" t="inlineStr">
        <is>
          <t>124010272</t>
        </is>
      </c>
      <c r="C4324" t="inlineStr">
        <is>
          <t>ALEX</t>
        </is>
      </c>
      <c r="D4324" t="inlineStr">
        <is>
          <t>BLK</t>
        </is>
      </c>
      <c r="E4324" t="inlineStr">
        <is>
          <t>(en blanco)</t>
        </is>
      </c>
      <c r="F4324" t="inlineStr">
        <is>
          <t>D2C</t>
        </is>
      </c>
      <c r="G4324" t="inlineStr">
        <is>
          <t>L</t>
        </is>
      </c>
      <c r="H4324" t="n">
        <v>20</v>
      </c>
      <c r="I4324" t="inlineStr">
        <is>
          <t>T_TAHARI_124010272_BLK_1.jpg</t>
        </is>
      </c>
      <c r="J4324" t="inlineStr">
        <is>
          <t>T_TAHARI_124010272_BLK_2.jpg</t>
        </is>
      </c>
      <c r="K4324" t="inlineStr">
        <is>
          <t>T_TAHARI_124010272_BLK_3.jpg</t>
        </is>
      </c>
      <c r="L4324">
        <f>IMAGE("file:///E:/Estudios%20y%20certificaciones/ESTUDIOS%20DE%20PROGRAMMING/PROGRAMMING/PERSONAL/PYTHON/Image_Generator_API/imagenes/T_TAHARI_124010272_BLK_1.jpg")</f>
        <v/>
      </c>
      <c r="M4324">
        <f>IMAGE("file:///E:/Estudios%20y%20certificaciones/ESTUDIOS%20DE%20PROGRAMMING/PROGRAMMING/PERSONAL/PYTHON/Image_Generator_API/imagenes/T_TAHARI_124010272_BLK_2.jpg")</f>
        <v/>
      </c>
      <c r="N4324">
        <f>IMAGE("file:///E:/Estudios%20y%20certificaciones/ESTUDIOS%20DE%20PROGRAMMING/PROGRAMMING/PERSONAL/PYTHON/Image_Generator_API/imagenes/T_TAHARI_124010272_BLK_3.jpg")</f>
        <v/>
      </c>
      <c r="O4324">
        <f>HYPERLINK("imagenes/T_TAHARI_124010272_BLK_1.jpg","Ver imagen")</f>
        <v/>
      </c>
      <c r="P4324">
        <f>HYPERLINK("imagenes/T_TAHARI_124010272_BLK_2.jpg","Ver imagen")</f>
        <v/>
      </c>
      <c r="Q4324">
        <f>HYPERLINK("imagenes/T_TAHARI_124010272_BLK_3.jpg","Ver imagen")</f>
        <v/>
      </c>
    </row>
    <row r="4325">
      <c r="A4325" t="inlineStr">
        <is>
          <t>T TAHARI</t>
        </is>
      </c>
      <c r="B4325" t="inlineStr">
        <is>
          <t>124010272</t>
        </is>
      </c>
      <c r="C4325" t="inlineStr">
        <is>
          <t>ALEX</t>
        </is>
      </c>
      <c r="D4325" t="inlineStr">
        <is>
          <t>BLK</t>
        </is>
      </c>
      <c r="E4325" t="inlineStr">
        <is>
          <t>(en blanco)</t>
        </is>
      </c>
      <c r="F4325" t="inlineStr">
        <is>
          <t>D2C</t>
        </is>
      </c>
      <c r="G4325" t="inlineStr">
        <is>
          <t>XL</t>
        </is>
      </c>
      <c r="H4325" t="n">
        <v>10</v>
      </c>
      <c r="I4325" t="inlineStr">
        <is>
          <t>T_TAHARI_124010272_BLK_1.jpg</t>
        </is>
      </c>
      <c r="J4325" t="inlineStr">
        <is>
          <t>T_TAHARI_124010272_BLK_2.jpg</t>
        </is>
      </c>
      <c r="K4325" t="inlineStr">
        <is>
          <t>T_TAHARI_124010272_BLK_3.jpg</t>
        </is>
      </c>
      <c r="L4325">
        <f>IMAGE("file:///E:/Estudios%20y%20certificaciones/ESTUDIOS%20DE%20PROGRAMMING/PROGRAMMING/PERSONAL/PYTHON/Image_Generator_API/imagenes/T_TAHARI_124010272_BLK_1.jpg")</f>
        <v/>
      </c>
      <c r="M4325">
        <f>IMAGE("file:///E:/Estudios%20y%20certificaciones/ESTUDIOS%20DE%20PROGRAMMING/PROGRAMMING/PERSONAL/PYTHON/Image_Generator_API/imagenes/T_TAHARI_124010272_BLK_2.jpg")</f>
        <v/>
      </c>
      <c r="N4325">
        <f>IMAGE("file:///E:/Estudios%20y%20certificaciones/ESTUDIOS%20DE%20PROGRAMMING/PROGRAMMING/PERSONAL/PYTHON/Image_Generator_API/imagenes/T_TAHARI_124010272_BLK_3.jpg")</f>
        <v/>
      </c>
      <c r="O4325">
        <f>HYPERLINK("imagenes/T_TAHARI_124010272_BLK_1.jpg","Ver imagen")</f>
        <v/>
      </c>
      <c r="P4325">
        <f>HYPERLINK("imagenes/T_TAHARI_124010272_BLK_2.jpg","Ver imagen")</f>
        <v/>
      </c>
      <c r="Q4325">
        <f>HYPERLINK("imagenes/T_TAHARI_124010272_BLK_3.jpg","Ver imagen")</f>
        <v/>
      </c>
    </row>
    <row r="4326">
      <c r="A4326" t="inlineStr">
        <is>
          <t>T TAHARI</t>
        </is>
      </c>
      <c r="B4326" t="inlineStr">
        <is>
          <t>124010272</t>
        </is>
      </c>
      <c r="C4326" t="inlineStr">
        <is>
          <t>ALEX</t>
        </is>
      </c>
      <c r="D4326" t="inlineStr">
        <is>
          <t>BLK</t>
        </is>
      </c>
      <c r="E4326" t="inlineStr">
        <is>
          <t>(en blanco)</t>
        </is>
      </c>
      <c r="F4326" t="inlineStr">
        <is>
          <t>MACYS ECOM</t>
        </is>
      </c>
      <c r="G4326" t="inlineStr">
        <is>
          <t>XS</t>
        </is>
      </c>
      <c r="H4326" t="n">
        <v>1</v>
      </c>
      <c r="I4326" t="inlineStr">
        <is>
          <t>T_TAHARI_124010272_BLK_1.jpg</t>
        </is>
      </c>
      <c r="J4326" t="inlineStr">
        <is>
          <t>T_TAHARI_124010272_BLK_2.jpg</t>
        </is>
      </c>
      <c r="K4326" t="inlineStr">
        <is>
          <t>T_TAHARI_124010272_BLK_3.jpg</t>
        </is>
      </c>
      <c r="L4326">
        <f>IMAGE("file:///E:/Estudios%20y%20certificaciones/ESTUDIOS%20DE%20PROGRAMMING/PROGRAMMING/PERSONAL/PYTHON/Image_Generator_API/imagenes/T_TAHARI_124010272_BLK_1.jpg")</f>
        <v/>
      </c>
      <c r="M4326">
        <f>IMAGE("file:///E:/Estudios%20y%20certificaciones/ESTUDIOS%20DE%20PROGRAMMING/PROGRAMMING/PERSONAL/PYTHON/Image_Generator_API/imagenes/T_TAHARI_124010272_BLK_2.jpg")</f>
        <v/>
      </c>
      <c r="N4326">
        <f>IMAGE("file:///E:/Estudios%20y%20certificaciones/ESTUDIOS%20DE%20PROGRAMMING/PROGRAMMING/PERSONAL/PYTHON/Image_Generator_API/imagenes/T_TAHARI_124010272_BLK_3.jpg")</f>
        <v/>
      </c>
      <c r="O4326">
        <f>HYPERLINK("imagenes/T_TAHARI_124010272_BLK_1.jpg","Ver imagen")</f>
        <v/>
      </c>
      <c r="P4326">
        <f>HYPERLINK("imagenes/T_TAHARI_124010272_BLK_2.jpg","Ver imagen")</f>
        <v/>
      </c>
      <c r="Q4326">
        <f>HYPERLINK("imagenes/T_TAHARI_124010272_BLK_3.jpg","Ver imagen")</f>
        <v/>
      </c>
    </row>
    <row r="4327">
      <c r="A4327" t="inlineStr">
        <is>
          <t>T TAHARI</t>
        </is>
      </c>
      <c r="B4327" t="inlineStr">
        <is>
          <t>124010272</t>
        </is>
      </c>
      <c r="C4327" t="inlineStr">
        <is>
          <t>ALEX</t>
        </is>
      </c>
      <c r="D4327" t="inlineStr">
        <is>
          <t>BLK</t>
        </is>
      </c>
      <c r="E4327" t="inlineStr">
        <is>
          <t>(en blanco)</t>
        </is>
      </c>
      <c r="F4327" t="inlineStr">
        <is>
          <t>MACYS ECOM</t>
        </is>
      </c>
      <c r="G4327" t="inlineStr">
        <is>
          <t>S</t>
        </is>
      </c>
      <c r="H4327" t="n">
        <v>9</v>
      </c>
      <c r="I4327" t="inlineStr">
        <is>
          <t>T_TAHARI_124010272_BLK_1.jpg</t>
        </is>
      </c>
      <c r="J4327" t="inlineStr">
        <is>
          <t>T_TAHARI_124010272_BLK_2.jpg</t>
        </is>
      </c>
      <c r="K4327" t="inlineStr">
        <is>
          <t>T_TAHARI_124010272_BLK_3.jpg</t>
        </is>
      </c>
      <c r="L4327">
        <f>IMAGE("file:///E:/Estudios%20y%20certificaciones/ESTUDIOS%20DE%20PROGRAMMING/PROGRAMMING/PERSONAL/PYTHON/Image_Generator_API/imagenes/T_TAHARI_124010272_BLK_1.jpg")</f>
        <v/>
      </c>
      <c r="M4327">
        <f>IMAGE("file:///E:/Estudios%20y%20certificaciones/ESTUDIOS%20DE%20PROGRAMMING/PROGRAMMING/PERSONAL/PYTHON/Image_Generator_API/imagenes/T_TAHARI_124010272_BLK_2.jpg")</f>
        <v/>
      </c>
      <c r="N4327">
        <f>IMAGE("file:///E:/Estudios%20y%20certificaciones/ESTUDIOS%20DE%20PROGRAMMING/PROGRAMMING/PERSONAL/PYTHON/Image_Generator_API/imagenes/T_TAHARI_124010272_BLK_3.jpg")</f>
        <v/>
      </c>
      <c r="O4327">
        <f>HYPERLINK("imagenes/T_TAHARI_124010272_BLK_1.jpg","Ver imagen")</f>
        <v/>
      </c>
      <c r="P4327">
        <f>HYPERLINK("imagenes/T_TAHARI_124010272_BLK_2.jpg","Ver imagen")</f>
        <v/>
      </c>
      <c r="Q4327">
        <f>HYPERLINK("imagenes/T_TAHARI_124010272_BLK_3.jpg","Ver imagen")</f>
        <v/>
      </c>
    </row>
    <row r="4328">
      <c r="A4328" t="inlineStr">
        <is>
          <t>T TAHARI</t>
        </is>
      </c>
      <c r="B4328" t="inlineStr">
        <is>
          <t>124010272</t>
        </is>
      </c>
      <c r="C4328" t="inlineStr">
        <is>
          <t>ALEX</t>
        </is>
      </c>
      <c r="D4328" t="inlineStr">
        <is>
          <t>BLK</t>
        </is>
      </c>
      <c r="E4328" t="inlineStr">
        <is>
          <t>(en blanco)</t>
        </is>
      </c>
      <c r="F4328" t="inlineStr">
        <is>
          <t>MACYS ECOM</t>
        </is>
      </c>
      <c r="G4328" t="inlineStr">
        <is>
          <t>M</t>
        </is>
      </c>
      <c r="H4328" t="n">
        <v>1</v>
      </c>
      <c r="I4328" t="inlineStr">
        <is>
          <t>T_TAHARI_124010272_BLK_1.jpg</t>
        </is>
      </c>
      <c r="J4328" t="inlineStr">
        <is>
          <t>T_TAHARI_124010272_BLK_2.jpg</t>
        </is>
      </c>
      <c r="K4328" t="inlineStr">
        <is>
          <t>T_TAHARI_124010272_BLK_3.jpg</t>
        </is>
      </c>
      <c r="L4328">
        <f>IMAGE("file:///E:/Estudios%20y%20certificaciones/ESTUDIOS%20DE%20PROGRAMMING/PROGRAMMING/PERSONAL/PYTHON/Image_Generator_API/imagenes/T_TAHARI_124010272_BLK_1.jpg")</f>
        <v/>
      </c>
      <c r="M4328">
        <f>IMAGE("file:///E:/Estudios%20y%20certificaciones/ESTUDIOS%20DE%20PROGRAMMING/PROGRAMMING/PERSONAL/PYTHON/Image_Generator_API/imagenes/T_TAHARI_124010272_BLK_2.jpg")</f>
        <v/>
      </c>
      <c r="N4328">
        <f>IMAGE("file:///E:/Estudios%20y%20certificaciones/ESTUDIOS%20DE%20PROGRAMMING/PROGRAMMING/PERSONAL/PYTHON/Image_Generator_API/imagenes/T_TAHARI_124010272_BLK_3.jpg")</f>
        <v/>
      </c>
      <c r="O4328">
        <f>HYPERLINK("imagenes/T_TAHARI_124010272_BLK_1.jpg","Ver imagen")</f>
        <v/>
      </c>
      <c r="P4328">
        <f>HYPERLINK("imagenes/T_TAHARI_124010272_BLK_2.jpg","Ver imagen")</f>
        <v/>
      </c>
      <c r="Q4328">
        <f>HYPERLINK("imagenes/T_TAHARI_124010272_BLK_3.jpg","Ver imagen")</f>
        <v/>
      </c>
    </row>
    <row r="4329">
      <c r="A4329" t="inlineStr">
        <is>
          <t>T TAHARI</t>
        </is>
      </c>
      <c r="B4329" t="inlineStr">
        <is>
          <t>124010272</t>
        </is>
      </c>
      <c r="C4329" t="inlineStr">
        <is>
          <t>ALEX</t>
        </is>
      </c>
      <c r="D4329" t="inlineStr">
        <is>
          <t>BLK</t>
        </is>
      </c>
      <c r="E4329" t="inlineStr">
        <is>
          <t>(en blanco)</t>
        </is>
      </c>
      <c r="F4329" t="inlineStr">
        <is>
          <t>MACYS ECOM</t>
        </is>
      </c>
      <c r="G4329" t="inlineStr">
        <is>
          <t>L</t>
        </is>
      </c>
      <c r="H4329" t="n">
        <v>0</v>
      </c>
      <c r="I4329" t="inlineStr">
        <is>
          <t>T_TAHARI_124010272_BLK_1.jpg</t>
        </is>
      </c>
      <c r="J4329" t="inlineStr">
        <is>
          <t>T_TAHARI_124010272_BLK_2.jpg</t>
        </is>
      </c>
      <c r="K4329" t="inlineStr">
        <is>
          <t>T_TAHARI_124010272_BLK_3.jpg</t>
        </is>
      </c>
      <c r="L4329">
        <f>IMAGE("file:///E:/Estudios%20y%20certificaciones/ESTUDIOS%20DE%20PROGRAMMING/PROGRAMMING/PERSONAL/PYTHON/Image_Generator_API/imagenes/T_TAHARI_124010272_BLK_1.jpg")</f>
        <v/>
      </c>
      <c r="M4329">
        <f>IMAGE("file:///E:/Estudios%20y%20certificaciones/ESTUDIOS%20DE%20PROGRAMMING/PROGRAMMING/PERSONAL/PYTHON/Image_Generator_API/imagenes/T_TAHARI_124010272_BLK_2.jpg")</f>
        <v/>
      </c>
      <c r="N4329">
        <f>IMAGE("file:///E:/Estudios%20y%20certificaciones/ESTUDIOS%20DE%20PROGRAMMING/PROGRAMMING/PERSONAL/PYTHON/Image_Generator_API/imagenes/T_TAHARI_124010272_BLK_3.jpg")</f>
        <v/>
      </c>
      <c r="O4329">
        <f>HYPERLINK("imagenes/T_TAHARI_124010272_BLK_1.jpg","Ver imagen")</f>
        <v/>
      </c>
      <c r="P4329">
        <f>HYPERLINK("imagenes/T_TAHARI_124010272_BLK_2.jpg","Ver imagen")</f>
        <v/>
      </c>
      <c r="Q4329">
        <f>HYPERLINK("imagenes/T_TAHARI_124010272_BLK_3.jpg","Ver imagen")</f>
        <v/>
      </c>
    </row>
    <row r="4330">
      <c r="A4330" t="inlineStr">
        <is>
          <t>T TAHARI</t>
        </is>
      </c>
      <c r="B4330" t="inlineStr">
        <is>
          <t>124010272</t>
        </is>
      </c>
      <c r="C4330" t="inlineStr">
        <is>
          <t>ALEX</t>
        </is>
      </c>
      <c r="D4330" t="inlineStr">
        <is>
          <t>BLK</t>
        </is>
      </c>
      <c r="E4330" t="inlineStr">
        <is>
          <t>(en blanco)</t>
        </is>
      </c>
      <c r="F4330" t="inlineStr">
        <is>
          <t>MACYS ECOM</t>
        </is>
      </c>
      <c r="G4330" t="inlineStr">
        <is>
          <t>XL</t>
        </is>
      </c>
      <c r="H4330" t="n">
        <v>2</v>
      </c>
      <c r="I4330" t="inlineStr">
        <is>
          <t>T_TAHARI_124010272_BLK_1.jpg</t>
        </is>
      </c>
      <c r="J4330" t="inlineStr">
        <is>
          <t>T_TAHARI_124010272_BLK_2.jpg</t>
        </is>
      </c>
      <c r="K4330" t="inlineStr">
        <is>
          <t>T_TAHARI_124010272_BLK_3.jpg</t>
        </is>
      </c>
      <c r="L4330">
        <f>IMAGE("file:///E:/Estudios%20y%20certificaciones/ESTUDIOS%20DE%20PROGRAMMING/PROGRAMMING/PERSONAL/PYTHON/Image_Generator_API/imagenes/T_TAHARI_124010272_BLK_1.jpg")</f>
        <v/>
      </c>
      <c r="M4330">
        <f>IMAGE("file:///E:/Estudios%20y%20certificaciones/ESTUDIOS%20DE%20PROGRAMMING/PROGRAMMING/PERSONAL/PYTHON/Image_Generator_API/imagenes/T_TAHARI_124010272_BLK_2.jpg")</f>
        <v/>
      </c>
      <c r="N4330">
        <f>IMAGE("file:///E:/Estudios%20y%20certificaciones/ESTUDIOS%20DE%20PROGRAMMING/PROGRAMMING/PERSONAL/PYTHON/Image_Generator_API/imagenes/T_TAHARI_124010272_BLK_3.jpg")</f>
        <v/>
      </c>
      <c r="O4330">
        <f>HYPERLINK("imagenes/T_TAHARI_124010272_BLK_1.jpg","Ver imagen")</f>
        <v/>
      </c>
      <c r="P4330">
        <f>HYPERLINK("imagenes/T_TAHARI_124010272_BLK_2.jpg","Ver imagen")</f>
        <v/>
      </c>
      <c r="Q4330">
        <f>HYPERLINK("imagenes/T_TAHARI_124010272_BLK_3.jpg","Ver imagen")</f>
        <v/>
      </c>
    </row>
    <row r="4331">
      <c r="A4331" t="inlineStr">
        <is>
          <t>T TAHARI</t>
        </is>
      </c>
      <c r="B4331" t="inlineStr">
        <is>
          <t>124010272</t>
        </is>
      </c>
      <c r="C4331" t="inlineStr">
        <is>
          <t>ALEX</t>
        </is>
      </c>
      <c r="D4331" t="inlineStr">
        <is>
          <t>BLK</t>
        </is>
      </c>
      <c r="E4331" t="inlineStr">
        <is>
          <t>(en blanco)</t>
        </is>
      </c>
      <c r="F4331" t="inlineStr">
        <is>
          <t>MACYS ECOM</t>
        </is>
      </c>
      <c r="G4331" t="inlineStr">
        <is>
          <t>XXL</t>
        </is>
      </c>
      <c r="H4331" t="n">
        <v>0</v>
      </c>
      <c r="I4331" t="inlineStr">
        <is>
          <t>T_TAHARI_124010272_BLK_1.jpg</t>
        </is>
      </c>
      <c r="J4331" t="inlineStr">
        <is>
          <t>T_TAHARI_124010272_BLK_2.jpg</t>
        </is>
      </c>
      <c r="K4331" t="inlineStr">
        <is>
          <t>T_TAHARI_124010272_BLK_3.jpg</t>
        </is>
      </c>
      <c r="L4331">
        <f>IMAGE("file:///E:/Estudios%20y%20certificaciones/ESTUDIOS%20DE%20PROGRAMMING/PROGRAMMING/PERSONAL/PYTHON/Image_Generator_API/imagenes/T_TAHARI_124010272_BLK_1.jpg")</f>
        <v/>
      </c>
      <c r="M4331">
        <f>IMAGE("file:///E:/Estudios%20y%20certificaciones/ESTUDIOS%20DE%20PROGRAMMING/PROGRAMMING/PERSONAL/PYTHON/Image_Generator_API/imagenes/T_TAHARI_124010272_BLK_2.jpg")</f>
        <v/>
      </c>
      <c r="N4331">
        <f>IMAGE("file:///E:/Estudios%20y%20certificaciones/ESTUDIOS%20DE%20PROGRAMMING/PROGRAMMING/PERSONAL/PYTHON/Image_Generator_API/imagenes/T_TAHARI_124010272_BLK_3.jpg")</f>
        <v/>
      </c>
      <c r="O4331">
        <f>HYPERLINK("imagenes/T_TAHARI_124010272_BLK_1.jpg","Ver imagen")</f>
        <v/>
      </c>
      <c r="P4331">
        <f>HYPERLINK("imagenes/T_TAHARI_124010272_BLK_2.jpg","Ver imagen")</f>
        <v/>
      </c>
      <c r="Q4331">
        <f>HYPERLINK("imagenes/T_TAHARI_124010272_BLK_3.jpg","Ver imagen")</f>
        <v/>
      </c>
    </row>
    <row r="4332">
      <c r="A4332" t="inlineStr">
        <is>
          <t>T TAHARI</t>
        </is>
      </c>
      <c r="B4332" t="inlineStr">
        <is>
          <t>124010272</t>
        </is>
      </c>
      <c r="C4332" t="inlineStr">
        <is>
          <t>ALEX</t>
        </is>
      </c>
      <c r="D4332" t="inlineStr">
        <is>
          <t>BLK</t>
        </is>
      </c>
      <c r="E4332" t="inlineStr">
        <is>
          <t>(en blanco)</t>
        </is>
      </c>
      <c r="F4332" t="inlineStr">
        <is>
          <t>MACYS ECOM</t>
        </is>
      </c>
      <c r="G4332" t="inlineStr">
        <is>
          <t>XXS</t>
        </is>
      </c>
      <c r="H4332" t="n">
        <v>0</v>
      </c>
      <c r="I4332" t="inlineStr">
        <is>
          <t>T_TAHARI_124010272_BLK_1.jpg</t>
        </is>
      </c>
      <c r="J4332" t="inlineStr">
        <is>
          <t>T_TAHARI_124010272_BLK_2.jpg</t>
        </is>
      </c>
      <c r="K4332" t="inlineStr">
        <is>
          <t>T_TAHARI_124010272_BLK_3.jpg</t>
        </is>
      </c>
      <c r="L4332">
        <f>IMAGE("file:///E:/Estudios%20y%20certificaciones/ESTUDIOS%20DE%20PROGRAMMING/PROGRAMMING/PERSONAL/PYTHON/Image_Generator_API/imagenes/T_TAHARI_124010272_BLK_1.jpg")</f>
        <v/>
      </c>
      <c r="M4332">
        <f>IMAGE("file:///E:/Estudios%20y%20certificaciones/ESTUDIOS%20DE%20PROGRAMMING/PROGRAMMING/PERSONAL/PYTHON/Image_Generator_API/imagenes/T_TAHARI_124010272_BLK_2.jpg")</f>
        <v/>
      </c>
      <c r="N4332">
        <f>IMAGE("file:///E:/Estudios%20y%20certificaciones/ESTUDIOS%20DE%20PROGRAMMING/PROGRAMMING/PERSONAL/PYTHON/Image_Generator_API/imagenes/T_TAHARI_124010272_BLK_3.jpg")</f>
        <v/>
      </c>
      <c r="O4332">
        <f>HYPERLINK("imagenes/T_TAHARI_124010272_BLK_1.jpg","Ver imagen")</f>
        <v/>
      </c>
      <c r="P4332">
        <f>HYPERLINK("imagenes/T_TAHARI_124010272_BLK_2.jpg","Ver imagen")</f>
        <v/>
      </c>
      <c r="Q4332">
        <f>HYPERLINK("imagenes/T_TAHARI_124010272_BLK_3.jpg","Ver imagen")</f>
        <v/>
      </c>
    </row>
    <row r="4333">
      <c r="A4333" t="inlineStr">
        <is>
          <t>T TAHARI</t>
        </is>
      </c>
      <c r="B4333" t="inlineStr">
        <is>
          <t>124010272</t>
        </is>
      </c>
      <c r="C4333" t="inlineStr">
        <is>
          <t>ALEX</t>
        </is>
      </c>
      <c r="D4333" t="inlineStr">
        <is>
          <t>BLK</t>
        </is>
      </c>
      <c r="E4333" t="inlineStr">
        <is>
          <t>(en blanco)</t>
        </is>
      </c>
      <c r="F4333" t="inlineStr">
        <is>
          <t>(en blanco)</t>
        </is>
      </c>
      <c r="G4333" t="inlineStr">
        <is>
          <t>XS</t>
        </is>
      </c>
      <c r="H4333" t="n">
        <v>27</v>
      </c>
      <c r="I4333" t="inlineStr">
        <is>
          <t>T_TAHARI_124010272_BLK_1.jpg</t>
        </is>
      </c>
      <c r="J4333" t="inlineStr">
        <is>
          <t>T_TAHARI_124010272_BLK_2.jpg</t>
        </is>
      </c>
      <c r="K4333" t="inlineStr">
        <is>
          <t>T_TAHARI_124010272_BLK_3.jpg</t>
        </is>
      </c>
      <c r="L4333">
        <f>IMAGE("file:///E:/Estudios%20y%20certificaciones/ESTUDIOS%20DE%20PROGRAMMING/PROGRAMMING/PERSONAL/PYTHON/Image_Generator_API/imagenes/T_TAHARI_124010272_BLK_1.jpg")</f>
        <v/>
      </c>
      <c r="M4333">
        <f>IMAGE("file:///E:/Estudios%20y%20certificaciones/ESTUDIOS%20DE%20PROGRAMMING/PROGRAMMING/PERSONAL/PYTHON/Image_Generator_API/imagenes/T_TAHARI_124010272_BLK_2.jpg")</f>
        <v/>
      </c>
      <c r="N4333">
        <f>IMAGE("file:///E:/Estudios%20y%20certificaciones/ESTUDIOS%20DE%20PROGRAMMING/PROGRAMMING/PERSONAL/PYTHON/Image_Generator_API/imagenes/T_TAHARI_124010272_BLK_3.jpg")</f>
        <v/>
      </c>
      <c r="O4333">
        <f>HYPERLINK("imagenes/T_TAHARI_124010272_BLK_1.jpg","Ver imagen")</f>
        <v/>
      </c>
      <c r="P4333">
        <f>HYPERLINK("imagenes/T_TAHARI_124010272_BLK_2.jpg","Ver imagen")</f>
        <v/>
      </c>
      <c r="Q4333">
        <f>HYPERLINK("imagenes/T_TAHARI_124010272_BLK_3.jpg","Ver imagen")</f>
        <v/>
      </c>
    </row>
    <row r="4334">
      <c r="A4334" t="inlineStr">
        <is>
          <t>T TAHARI</t>
        </is>
      </c>
      <c r="B4334" t="inlineStr">
        <is>
          <t>124010272</t>
        </is>
      </c>
      <c r="C4334" t="inlineStr">
        <is>
          <t>ALEX</t>
        </is>
      </c>
      <c r="D4334" t="inlineStr">
        <is>
          <t>BLK</t>
        </is>
      </c>
      <c r="E4334" t="inlineStr">
        <is>
          <t>(en blanco)</t>
        </is>
      </c>
      <c r="F4334" t="inlineStr">
        <is>
          <t>(en blanco)</t>
        </is>
      </c>
      <c r="G4334" t="inlineStr">
        <is>
          <t>S</t>
        </is>
      </c>
      <c r="H4334" t="n">
        <v>69</v>
      </c>
      <c r="I4334" t="inlineStr">
        <is>
          <t>T_TAHARI_124010272_BLK_1.jpg</t>
        </is>
      </c>
      <c r="J4334" t="inlineStr">
        <is>
          <t>T_TAHARI_124010272_BLK_2.jpg</t>
        </is>
      </c>
      <c r="K4334" t="inlineStr">
        <is>
          <t>T_TAHARI_124010272_BLK_3.jpg</t>
        </is>
      </c>
      <c r="L4334">
        <f>IMAGE("file:///E:/Estudios%20y%20certificaciones/ESTUDIOS%20DE%20PROGRAMMING/PROGRAMMING/PERSONAL/PYTHON/Image_Generator_API/imagenes/T_TAHARI_124010272_BLK_1.jpg")</f>
        <v/>
      </c>
      <c r="M4334">
        <f>IMAGE("file:///E:/Estudios%20y%20certificaciones/ESTUDIOS%20DE%20PROGRAMMING/PROGRAMMING/PERSONAL/PYTHON/Image_Generator_API/imagenes/T_TAHARI_124010272_BLK_2.jpg")</f>
        <v/>
      </c>
      <c r="N4334">
        <f>IMAGE("file:///E:/Estudios%20y%20certificaciones/ESTUDIOS%20DE%20PROGRAMMING/PROGRAMMING/PERSONAL/PYTHON/Image_Generator_API/imagenes/T_TAHARI_124010272_BLK_3.jpg")</f>
        <v/>
      </c>
      <c r="O4334">
        <f>HYPERLINK("imagenes/T_TAHARI_124010272_BLK_1.jpg","Ver imagen")</f>
        <v/>
      </c>
      <c r="P4334">
        <f>HYPERLINK("imagenes/T_TAHARI_124010272_BLK_2.jpg","Ver imagen")</f>
        <v/>
      </c>
      <c r="Q4334">
        <f>HYPERLINK("imagenes/T_TAHARI_124010272_BLK_3.jpg","Ver imagen")</f>
        <v/>
      </c>
    </row>
    <row r="4335">
      <c r="A4335" t="inlineStr">
        <is>
          <t>T TAHARI</t>
        </is>
      </c>
      <c r="B4335" t="inlineStr">
        <is>
          <t>124010272</t>
        </is>
      </c>
      <c r="C4335" t="inlineStr">
        <is>
          <t>ALEX</t>
        </is>
      </c>
      <c r="D4335" t="inlineStr">
        <is>
          <t>BLK</t>
        </is>
      </c>
      <c r="E4335" t="inlineStr">
        <is>
          <t>(en blanco)</t>
        </is>
      </c>
      <c r="F4335" t="inlineStr">
        <is>
          <t>(en blanco)</t>
        </is>
      </c>
      <c r="G4335" t="inlineStr">
        <is>
          <t>M</t>
        </is>
      </c>
      <c r="H4335" t="n">
        <v>68</v>
      </c>
      <c r="I4335" t="inlineStr">
        <is>
          <t>T_TAHARI_124010272_BLK_1.jpg</t>
        </is>
      </c>
      <c r="J4335" t="inlineStr">
        <is>
          <t>T_TAHARI_124010272_BLK_2.jpg</t>
        </is>
      </c>
      <c r="K4335" t="inlineStr">
        <is>
          <t>T_TAHARI_124010272_BLK_3.jpg</t>
        </is>
      </c>
      <c r="L4335">
        <f>IMAGE("file:///E:/Estudios%20y%20certificaciones/ESTUDIOS%20DE%20PROGRAMMING/PROGRAMMING/PERSONAL/PYTHON/Image_Generator_API/imagenes/T_TAHARI_124010272_BLK_1.jpg")</f>
        <v/>
      </c>
      <c r="M4335">
        <f>IMAGE("file:///E:/Estudios%20y%20certificaciones/ESTUDIOS%20DE%20PROGRAMMING/PROGRAMMING/PERSONAL/PYTHON/Image_Generator_API/imagenes/T_TAHARI_124010272_BLK_2.jpg")</f>
        <v/>
      </c>
      <c r="N4335">
        <f>IMAGE("file:///E:/Estudios%20y%20certificaciones/ESTUDIOS%20DE%20PROGRAMMING/PROGRAMMING/PERSONAL/PYTHON/Image_Generator_API/imagenes/T_TAHARI_124010272_BLK_3.jpg")</f>
        <v/>
      </c>
      <c r="O4335">
        <f>HYPERLINK("imagenes/T_TAHARI_124010272_BLK_1.jpg","Ver imagen")</f>
        <v/>
      </c>
      <c r="P4335">
        <f>HYPERLINK("imagenes/T_TAHARI_124010272_BLK_2.jpg","Ver imagen")</f>
        <v/>
      </c>
      <c r="Q4335">
        <f>HYPERLINK("imagenes/T_TAHARI_124010272_BLK_3.jpg","Ver imagen")</f>
        <v/>
      </c>
    </row>
    <row r="4336">
      <c r="A4336" t="inlineStr">
        <is>
          <t>T TAHARI</t>
        </is>
      </c>
      <c r="B4336" t="inlineStr">
        <is>
          <t>124010272</t>
        </is>
      </c>
      <c r="C4336" t="inlineStr">
        <is>
          <t>ALEX</t>
        </is>
      </c>
      <c r="D4336" t="inlineStr">
        <is>
          <t>BLK</t>
        </is>
      </c>
      <c r="E4336" t="inlineStr">
        <is>
          <t>(en blanco)</t>
        </is>
      </c>
      <c r="F4336" t="inlineStr">
        <is>
          <t>(en blanco)</t>
        </is>
      </c>
      <c r="G4336" t="inlineStr">
        <is>
          <t>L</t>
        </is>
      </c>
      <c r="H4336" t="n">
        <v>56</v>
      </c>
      <c r="I4336" t="inlineStr">
        <is>
          <t>T_TAHARI_124010272_BLK_1.jpg</t>
        </is>
      </c>
      <c r="J4336" t="inlineStr">
        <is>
          <t>T_TAHARI_124010272_BLK_2.jpg</t>
        </is>
      </c>
      <c r="K4336" t="inlineStr">
        <is>
          <t>T_TAHARI_124010272_BLK_3.jpg</t>
        </is>
      </c>
      <c r="L4336">
        <f>IMAGE("file:///E:/Estudios%20y%20certificaciones/ESTUDIOS%20DE%20PROGRAMMING/PROGRAMMING/PERSONAL/PYTHON/Image_Generator_API/imagenes/T_TAHARI_124010272_BLK_1.jpg")</f>
        <v/>
      </c>
      <c r="M4336">
        <f>IMAGE("file:///E:/Estudios%20y%20certificaciones/ESTUDIOS%20DE%20PROGRAMMING/PROGRAMMING/PERSONAL/PYTHON/Image_Generator_API/imagenes/T_TAHARI_124010272_BLK_2.jpg")</f>
        <v/>
      </c>
      <c r="N4336">
        <f>IMAGE("file:///E:/Estudios%20y%20certificaciones/ESTUDIOS%20DE%20PROGRAMMING/PROGRAMMING/PERSONAL/PYTHON/Image_Generator_API/imagenes/T_TAHARI_124010272_BLK_3.jpg")</f>
        <v/>
      </c>
      <c r="O4336">
        <f>HYPERLINK("imagenes/T_TAHARI_124010272_BLK_1.jpg","Ver imagen")</f>
        <v/>
      </c>
      <c r="P4336">
        <f>HYPERLINK("imagenes/T_TAHARI_124010272_BLK_2.jpg","Ver imagen")</f>
        <v/>
      </c>
      <c r="Q4336">
        <f>HYPERLINK("imagenes/T_TAHARI_124010272_BLK_3.jpg","Ver imagen")</f>
        <v/>
      </c>
    </row>
    <row r="4337">
      <c r="A4337" t="inlineStr">
        <is>
          <t>T TAHARI</t>
        </is>
      </c>
      <c r="B4337" t="inlineStr">
        <is>
          <t>124010272</t>
        </is>
      </c>
      <c r="C4337" t="inlineStr">
        <is>
          <t>ALEX</t>
        </is>
      </c>
      <c r="D4337" t="inlineStr">
        <is>
          <t>BLK</t>
        </is>
      </c>
      <c r="E4337" t="inlineStr">
        <is>
          <t>(en blanco)</t>
        </is>
      </c>
      <c r="F4337" t="inlineStr">
        <is>
          <t>(en blanco)</t>
        </is>
      </c>
      <c r="G4337" t="inlineStr">
        <is>
          <t>XL</t>
        </is>
      </c>
      <c r="H4337" t="n">
        <v>28</v>
      </c>
      <c r="I4337" t="inlineStr">
        <is>
          <t>T_TAHARI_124010272_BLK_1.jpg</t>
        </is>
      </c>
      <c r="J4337" t="inlineStr">
        <is>
          <t>T_TAHARI_124010272_BLK_2.jpg</t>
        </is>
      </c>
      <c r="K4337" t="inlineStr">
        <is>
          <t>T_TAHARI_124010272_BLK_3.jpg</t>
        </is>
      </c>
      <c r="L4337">
        <f>IMAGE("file:///E:/Estudios%20y%20certificaciones/ESTUDIOS%20DE%20PROGRAMMING/PROGRAMMING/PERSONAL/PYTHON/Image_Generator_API/imagenes/T_TAHARI_124010272_BLK_1.jpg")</f>
        <v/>
      </c>
      <c r="M4337">
        <f>IMAGE("file:///E:/Estudios%20y%20certificaciones/ESTUDIOS%20DE%20PROGRAMMING/PROGRAMMING/PERSONAL/PYTHON/Image_Generator_API/imagenes/T_TAHARI_124010272_BLK_2.jpg")</f>
        <v/>
      </c>
      <c r="N4337">
        <f>IMAGE("file:///E:/Estudios%20y%20certificaciones/ESTUDIOS%20DE%20PROGRAMMING/PROGRAMMING/PERSONAL/PYTHON/Image_Generator_API/imagenes/T_TAHARI_124010272_BLK_3.jpg")</f>
        <v/>
      </c>
      <c r="O4337">
        <f>HYPERLINK("imagenes/T_TAHARI_124010272_BLK_1.jpg","Ver imagen")</f>
        <v/>
      </c>
      <c r="P4337">
        <f>HYPERLINK("imagenes/T_TAHARI_124010272_BLK_2.jpg","Ver imagen")</f>
        <v/>
      </c>
      <c r="Q4337">
        <f>HYPERLINK("imagenes/T_TAHARI_124010272_BLK_3.jpg","Ver imagen")</f>
        <v/>
      </c>
    </row>
    <row r="4338">
      <c r="A4338" t="inlineStr">
        <is>
          <t>T TAHARI</t>
        </is>
      </c>
      <c r="B4338" t="inlineStr">
        <is>
          <t>124010272</t>
        </is>
      </c>
      <c r="C4338" t="inlineStr">
        <is>
          <t>ALEX</t>
        </is>
      </c>
      <c r="D4338" t="inlineStr">
        <is>
          <t>CML</t>
        </is>
      </c>
      <c r="E4338" t="inlineStr">
        <is>
          <t>(en blanco)</t>
        </is>
      </c>
      <c r="F4338" t="inlineStr">
        <is>
          <t>D2C</t>
        </is>
      </c>
      <c r="G4338" t="inlineStr">
        <is>
          <t>XS</t>
        </is>
      </c>
      <c r="H4338" t="n">
        <v>7</v>
      </c>
      <c r="I4338" t="inlineStr">
        <is>
          <t>T_TAHARI_124010272_CML_1.jpg</t>
        </is>
      </c>
      <c r="J4338" t="inlineStr">
        <is>
          <t>T_TAHARI_124010272_CML_2.jpg</t>
        </is>
      </c>
      <c r="K4338" t="inlineStr">
        <is>
          <t>T_TAHARI_124010272_CML_3.jpg</t>
        </is>
      </c>
      <c r="L4338">
        <f>IMAGE("file:///E:/Estudios%20y%20certificaciones/ESTUDIOS%20DE%20PROGRAMMING/PROGRAMMING/PERSONAL/PYTHON/Image_Generator_API/imagenes/T_TAHARI_124010272_CML_1.jpg")</f>
        <v/>
      </c>
      <c r="M4338">
        <f>IMAGE("file:///E:/Estudios%20y%20certificaciones/ESTUDIOS%20DE%20PROGRAMMING/PROGRAMMING/PERSONAL/PYTHON/Image_Generator_API/imagenes/T_TAHARI_124010272_CML_2.jpg")</f>
        <v/>
      </c>
      <c r="N4338">
        <f>IMAGE("file:///E:/Estudios%20y%20certificaciones/ESTUDIOS%20DE%20PROGRAMMING/PROGRAMMING/PERSONAL/PYTHON/Image_Generator_API/imagenes/T_TAHARI_124010272_CML_3.jpg")</f>
        <v/>
      </c>
      <c r="O4338">
        <f>HYPERLINK("imagenes/T_TAHARI_124010272_CML_1.jpg","Ver imagen")</f>
        <v/>
      </c>
      <c r="P4338">
        <f>HYPERLINK("imagenes/T_TAHARI_124010272_CML_2.jpg","Ver imagen")</f>
        <v/>
      </c>
      <c r="Q4338">
        <f>HYPERLINK("imagenes/T_TAHARI_124010272_CML_3.jpg","Ver imagen")</f>
        <v/>
      </c>
    </row>
    <row r="4339">
      <c r="A4339" t="inlineStr">
        <is>
          <t>T TAHARI</t>
        </is>
      </c>
      <c r="B4339" t="inlineStr">
        <is>
          <t>124010272</t>
        </is>
      </c>
      <c r="C4339" t="inlineStr">
        <is>
          <t>ALEX</t>
        </is>
      </c>
      <c r="D4339" t="inlineStr">
        <is>
          <t>CML</t>
        </is>
      </c>
      <c r="E4339" t="inlineStr">
        <is>
          <t>(en blanco)</t>
        </is>
      </c>
      <c r="F4339" t="inlineStr">
        <is>
          <t>D2C</t>
        </is>
      </c>
      <c r="G4339" t="inlineStr">
        <is>
          <t>S</t>
        </is>
      </c>
      <c r="H4339" t="n">
        <v>14</v>
      </c>
      <c r="I4339" t="inlineStr">
        <is>
          <t>T_TAHARI_124010272_CML_1.jpg</t>
        </is>
      </c>
      <c r="J4339" t="inlineStr">
        <is>
          <t>T_TAHARI_124010272_CML_2.jpg</t>
        </is>
      </c>
      <c r="K4339" t="inlineStr">
        <is>
          <t>T_TAHARI_124010272_CML_3.jpg</t>
        </is>
      </c>
      <c r="L4339">
        <f>IMAGE("file:///E:/Estudios%20y%20certificaciones/ESTUDIOS%20DE%20PROGRAMMING/PROGRAMMING/PERSONAL/PYTHON/Image_Generator_API/imagenes/T_TAHARI_124010272_CML_1.jpg")</f>
        <v/>
      </c>
      <c r="M4339">
        <f>IMAGE("file:///E:/Estudios%20y%20certificaciones/ESTUDIOS%20DE%20PROGRAMMING/PROGRAMMING/PERSONAL/PYTHON/Image_Generator_API/imagenes/T_TAHARI_124010272_CML_2.jpg")</f>
        <v/>
      </c>
      <c r="N4339">
        <f>IMAGE("file:///E:/Estudios%20y%20certificaciones/ESTUDIOS%20DE%20PROGRAMMING/PROGRAMMING/PERSONAL/PYTHON/Image_Generator_API/imagenes/T_TAHARI_124010272_CML_3.jpg")</f>
        <v/>
      </c>
      <c r="O4339">
        <f>HYPERLINK("imagenes/T_TAHARI_124010272_CML_1.jpg","Ver imagen")</f>
        <v/>
      </c>
      <c r="P4339">
        <f>HYPERLINK("imagenes/T_TAHARI_124010272_CML_2.jpg","Ver imagen")</f>
        <v/>
      </c>
      <c r="Q4339">
        <f>HYPERLINK("imagenes/T_TAHARI_124010272_CML_3.jpg","Ver imagen")</f>
        <v/>
      </c>
    </row>
    <row r="4340">
      <c r="A4340" t="inlineStr">
        <is>
          <t>T TAHARI</t>
        </is>
      </c>
      <c r="B4340" t="inlineStr">
        <is>
          <t>124010272</t>
        </is>
      </c>
      <c r="C4340" t="inlineStr">
        <is>
          <t>ALEX</t>
        </is>
      </c>
      <c r="D4340" t="inlineStr">
        <is>
          <t>CML</t>
        </is>
      </c>
      <c r="E4340" t="inlineStr">
        <is>
          <t>(en blanco)</t>
        </is>
      </c>
      <c r="F4340" t="inlineStr">
        <is>
          <t>D2C</t>
        </is>
      </c>
      <c r="G4340" t="inlineStr">
        <is>
          <t>M</t>
        </is>
      </c>
      <c r="H4340" t="n">
        <v>14</v>
      </c>
      <c r="I4340" t="inlineStr">
        <is>
          <t>T_TAHARI_124010272_CML_1.jpg</t>
        </is>
      </c>
      <c r="J4340" t="inlineStr">
        <is>
          <t>T_TAHARI_124010272_CML_2.jpg</t>
        </is>
      </c>
      <c r="K4340" t="inlineStr">
        <is>
          <t>T_TAHARI_124010272_CML_3.jpg</t>
        </is>
      </c>
      <c r="L4340">
        <f>IMAGE("file:///E:/Estudios%20y%20certificaciones/ESTUDIOS%20DE%20PROGRAMMING/PROGRAMMING/PERSONAL/PYTHON/Image_Generator_API/imagenes/T_TAHARI_124010272_CML_1.jpg")</f>
        <v/>
      </c>
      <c r="M4340">
        <f>IMAGE("file:///E:/Estudios%20y%20certificaciones/ESTUDIOS%20DE%20PROGRAMMING/PROGRAMMING/PERSONAL/PYTHON/Image_Generator_API/imagenes/T_TAHARI_124010272_CML_2.jpg")</f>
        <v/>
      </c>
      <c r="N4340">
        <f>IMAGE("file:///E:/Estudios%20y%20certificaciones/ESTUDIOS%20DE%20PROGRAMMING/PROGRAMMING/PERSONAL/PYTHON/Image_Generator_API/imagenes/T_TAHARI_124010272_CML_3.jpg")</f>
        <v/>
      </c>
      <c r="O4340">
        <f>HYPERLINK("imagenes/T_TAHARI_124010272_CML_1.jpg","Ver imagen")</f>
        <v/>
      </c>
      <c r="P4340">
        <f>HYPERLINK("imagenes/T_TAHARI_124010272_CML_2.jpg","Ver imagen")</f>
        <v/>
      </c>
      <c r="Q4340">
        <f>HYPERLINK("imagenes/T_TAHARI_124010272_CML_3.jpg","Ver imagen")</f>
        <v/>
      </c>
    </row>
    <row r="4341">
      <c r="A4341" t="inlineStr">
        <is>
          <t>T TAHARI</t>
        </is>
      </c>
      <c r="B4341" t="inlineStr">
        <is>
          <t>124010272</t>
        </is>
      </c>
      <c r="C4341" t="inlineStr">
        <is>
          <t>ALEX</t>
        </is>
      </c>
      <c r="D4341" t="inlineStr">
        <is>
          <t>CML</t>
        </is>
      </c>
      <c r="E4341" t="inlineStr">
        <is>
          <t>(en blanco)</t>
        </is>
      </c>
      <c r="F4341" t="inlineStr">
        <is>
          <t>D2C</t>
        </is>
      </c>
      <c r="G4341" t="inlineStr">
        <is>
          <t>L</t>
        </is>
      </c>
      <c r="H4341" t="n">
        <v>15</v>
      </c>
      <c r="I4341" t="inlineStr">
        <is>
          <t>T_TAHARI_124010272_CML_1.jpg</t>
        </is>
      </c>
      <c r="J4341" t="inlineStr">
        <is>
          <t>T_TAHARI_124010272_CML_2.jpg</t>
        </is>
      </c>
      <c r="K4341" t="inlineStr">
        <is>
          <t>T_TAHARI_124010272_CML_3.jpg</t>
        </is>
      </c>
      <c r="L4341">
        <f>IMAGE("file:///E:/Estudios%20y%20certificaciones/ESTUDIOS%20DE%20PROGRAMMING/PROGRAMMING/PERSONAL/PYTHON/Image_Generator_API/imagenes/T_TAHARI_124010272_CML_1.jpg")</f>
        <v/>
      </c>
      <c r="M4341">
        <f>IMAGE("file:///E:/Estudios%20y%20certificaciones/ESTUDIOS%20DE%20PROGRAMMING/PROGRAMMING/PERSONAL/PYTHON/Image_Generator_API/imagenes/T_TAHARI_124010272_CML_2.jpg")</f>
        <v/>
      </c>
      <c r="N4341">
        <f>IMAGE("file:///E:/Estudios%20y%20certificaciones/ESTUDIOS%20DE%20PROGRAMMING/PROGRAMMING/PERSONAL/PYTHON/Image_Generator_API/imagenes/T_TAHARI_124010272_CML_3.jpg")</f>
        <v/>
      </c>
      <c r="O4341">
        <f>HYPERLINK("imagenes/T_TAHARI_124010272_CML_1.jpg","Ver imagen")</f>
        <v/>
      </c>
      <c r="P4341">
        <f>HYPERLINK("imagenes/T_TAHARI_124010272_CML_2.jpg","Ver imagen")</f>
        <v/>
      </c>
      <c r="Q4341">
        <f>HYPERLINK("imagenes/T_TAHARI_124010272_CML_3.jpg","Ver imagen")</f>
        <v/>
      </c>
    </row>
    <row r="4342">
      <c r="A4342" t="inlineStr">
        <is>
          <t>T TAHARI</t>
        </is>
      </c>
      <c r="B4342" t="inlineStr">
        <is>
          <t>124010272</t>
        </is>
      </c>
      <c r="C4342" t="inlineStr">
        <is>
          <t>ALEX</t>
        </is>
      </c>
      <c r="D4342" t="inlineStr">
        <is>
          <t>CML</t>
        </is>
      </c>
      <c r="E4342" t="inlineStr">
        <is>
          <t>(en blanco)</t>
        </is>
      </c>
      <c r="F4342" t="inlineStr">
        <is>
          <t>D2C</t>
        </is>
      </c>
      <c r="G4342" t="inlineStr">
        <is>
          <t>XL</t>
        </is>
      </c>
      <c r="H4342" t="n">
        <v>8</v>
      </c>
      <c r="I4342" t="inlineStr">
        <is>
          <t>T_TAHARI_124010272_CML_1.jpg</t>
        </is>
      </c>
      <c r="J4342" t="inlineStr">
        <is>
          <t>T_TAHARI_124010272_CML_2.jpg</t>
        </is>
      </c>
      <c r="K4342" t="inlineStr">
        <is>
          <t>T_TAHARI_124010272_CML_3.jpg</t>
        </is>
      </c>
      <c r="L4342">
        <f>IMAGE("file:///E:/Estudios%20y%20certificaciones/ESTUDIOS%20DE%20PROGRAMMING/PROGRAMMING/PERSONAL/PYTHON/Image_Generator_API/imagenes/T_TAHARI_124010272_CML_1.jpg")</f>
        <v/>
      </c>
      <c r="M4342">
        <f>IMAGE("file:///E:/Estudios%20y%20certificaciones/ESTUDIOS%20DE%20PROGRAMMING/PROGRAMMING/PERSONAL/PYTHON/Image_Generator_API/imagenes/T_TAHARI_124010272_CML_2.jpg")</f>
        <v/>
      </c>
      <c r="N4342">
        <f>IMAGE("file:///E:/Estudios%20y%20certificaciones/ESTUDIOS%20DE%20PROGRAMMING/PROGRAMMING/PERSONAL/PYTHON/Image_Generator_API/imagenes/T_TAHARI_124010272_CML_3.jpg")</f>
        <v/>
      </c>
      <c r="O4342">
        <f>HYPERLINK("imagenes/T_TAHARI_124010272_CML_1.jpg","Ver imagen")</f>
        <v/>
      </c>
      <c r="P4342">
        <f>HYPERLINK("imagenes/T_TAHARI_124010272_CML_2.jpg","Ver imagen")</f>
        <v/>
      </c>
      <c r="Q4342">
        <f>HYPERLINK("imagenes/T_TAHARI_124010272_CML_3.jpg","Ver imagen")</f>
        <v/>
      </c>
    </row>
    <row r="4343">
      <c r="A4343" t="inlineStr">
        <is>
          <t>T TAHARI</t>
        </is>
      </c>
      <c r="B4343" t="inlineStr">
        <is>
          <t>124010272</t>
        </is>
      </c>
      <c r="C4343" t="inlineStr">
        <is>
          <t>ALEX</t>
        </is>
      </c>
      <c r="D4343" t="inlineStr">
        <is>
          <t>CML</t>
        </is>
      </c>
      <c r="E4343" t="inlineStr">
        <is>
          <t>(en blanco)</t>
        </is>
      </c>
      <c r="F4343" t="inlineStr">
        <is>
          <t>MACYS ECOM</t>
        </is>
      </c>
      <c r="G4343" t="inlineStr">
        <is>
          <t>S</t>
        </is>
      </c>
      <c r="H4343" t="n">
        <v>0</v>
      </c>
      <c r="I4343" t="inlineStr">
        <is>
          <t>T_TAHARI_124010272_CML_1.jpg</t>
        </is>
      </c>
      <c r="J4343" t="inlineStr">
        <is>
          <t>T_TAHARI_124010272_CML_2.jpg</t>
        </is>
      </c>
      <c r="K4343" t="inlineStr">
        <is>
          <t>T_TAHARI_124010272_CML_3.jpg</t>
        </is>
      </c>
      <c r="L4343">
        <f>IMAGE("file:///E:/Estudios%20y%20certificaciones/ESTUDIOS%20DE%20PROGRAMMING/PROGRAMMING/PERSONAL/PYTHON/Image_Generator_API/imagenes/T_TAHARI_124010272_CML_1.jpg")</f>
        <v/>
      </c>
      <c r="M4343">
        <f>IMAGE("file:///E:/Estudios%20y%20certificaciones/ESTUDIOS%20DE%20PROGRAMMING/PROGRAMMING/PERSONAL/PYTHON/Image_Generator_API/imagenes/T_TAHARI_124010272_CML_2.jpg")</f>
        <v/>
      </c>
      <c r="N4343">
        <f>IMAGE("file:///E:/Estudios%20y%20certificaciones/ESTUDIOS%20DE%20PROGRAMMING/PROGRAMMING/PERSONAL/PYTHON/Image_Generator_API/imagenes/T_TAHARI_124010272_CML_3.jpg")</f>
        <v/>
      </c>
      <c r="O4343">
        <f>HYPERLINK("imagenes/T_TAHARI_124010272_CML_1.jpg","Ver imagen")</f>
        <v/>
      </c>
      <c r="P4343">
        <f>HYPERLINK("imagenes/T_TAHARI_124010272_CML_2.jpg","Ver imagen")</f>
        <v/>
      </c>
      <c r="Q4343">
        <f>HYPERLINK("imagenes/T_TAHARI_124010272_CML_3.jpg","Ver imagen")</f>
        <v/>
      </c>
    </row>
    <row r="4344">
      <c r="A4344" t="inlineStr">
        <is>
          <t>T TAHARI</t>
        </is>
      </c>
      <c r="B4344" t="inlineStr">
        <is>
          <t>124010272</t>
        </is>
      </c>
      <c r="C4344" t="inlineStr">
        <is>
          <t>ALEX</t>
        </is>
      </c>
      <c r="D4344" t="inlineStr">
        <is>
          <t>CML</t>
        </is>
      </c>
      <c r="E4344" t="inlineStr">
        <is>
          <t>(en blanco)</t>
        </is>
      </c>
      <c r="F4344" t="inlineStr">
        <is>
          <t>MACYS ECOM</t>
        </is>
      </c>
      <c r="G4344" t="inlineStr">
        <is>
          <t>M</t>
        </is>
      </c>
      <c r="H4344" t="n">
        <v>0</v>
      </c>
      <c r="I4344" t="inlineStr">
        <is>
          <t>T_TAHARI_124010272_CML_1.jpg</t>
        </is>
      </c>
      <c r="J4344" t="inlineStr">
        <is>
          <t>T_TAHARI_124010272_CML_2.jpg</t>
        </is>
      </c>
      <c r="K4344" t="inlineStr">
        <is>
          <t>T_TAHARI_124010272_CML_3.jpg</t>
        </is>
      </c>
      <c r="L4344">
        <f>IMAGE("file:///E:/Estudios%20y%20certificaciones/ESTUDIOS%20DE%20PROGRAMMING/PROGRAMMING/PERSONAL/PYTHON/Image_Generator_API/imagenes/T_TAHARI_124010272_CML_1.jpg")</f>
        <v/>
      </c>
      <c r="M4344">
        <f>IMAGE("file:///E:/Estudios%20y%20certificaciones/ESTUDIOS%20DE%20PROGRAMMING/PROGRAMMING/PERSONAL/PYTHON/Image_Generator_API/imagenes/T_TAHARI_124010272_CML_2.jpg")</f>
        <v/>
      </c>
      <c r="N4344">
        <f>IMAGE("file:///E:/Estudios%20y%20certificaciones/ESTUDIOS%20DE%20PROGRAMMING/PROGRAMMING/PERSONAL/PYTHON/Image_Generator_API/imagenes/T_TAHARI_124010272_CML_3.jpg")</f>
        <v/>
      </c>
      <c r="O4344">
        <f>HYPERLINK("imagenes/T_TAHARI_124010272_CML_1.jpg","Ver imagen")</f>
        <v/>
      </c>
      <c r="P4344">
        <f>HYPERLINK("imagenes/T_TAHARI_124010272_CML_2.jpg","Ver imagen")</f>
        <v/>
      </c>
      <c r="Q4344">
        <f>HYPERLINK("imagenes/T_TAHARI_124010272_CML_3.jpg","Ver imagen")</f>
        <v/>
      </c>
    </row>
    <row r="4345">
      <c r="A4345" t="inlineStr">
        <is>
          <t>T TAHARI</t>
        </is>
      </c>
      <c r="B4345" t="inlineStr">
        <is>
          <t>124010272</t>
        </is>
      </c>
      <c r="C4345" t="inlineStr">
        <is>
          <t>ALEX</t>
        </is>
      </c>
      <c r="D4345" t="inlineStr">
        <is>
          <t>CML</t>
        </is>
      </c>
      <c r="E4345" t="inlineStr">
        <is>
          <t>(en blanco)</t>
        </is>
      </c>
      <c r="F4345" t="inlineStr">
        <is>
          <t>MACYS ECOM</t>
        </is>
      </c>
      <c r="G4345" t="inlineStr">
        <is>
          <t>L</t>
        </is>
      </c>
      <c r="H4345" t="n">
        <v>4</v>
      </c>
      <c r="I4345" t="inlineStr">
        <is>
          <t>T_TAHARI_124010272_CML_1.jpg</t>
        </is>
      </c>
      <c r="J4345" t="inlineStr">
        <is>
          <t>T_TAHARI_124010272_CML_2.jpg</t>
        </is>
      </c>
      <c r="K4345" t="inlineStr">
        <is>
          <t>T_TAHARI_124010272_CML_3.jpg</t>
        </is>
      </c>
      <c r="L4345">
        <f>IMAGE("file:///E:/Estudios%20y%20certificaciones/ESTUDIOS%20DE%20PROGRAMMING/PROGRAMMING/PERSONAL/PYTHON/Image_Generator_API/imagenes/T_TAHARI_124010272_CML_1.jpg")</f>
        <v/>
      </c>
      <c r="M4345">
        <f>IMAGE("file:///E:/Estudios%20y%20certificaciones/ESTUDIOS%20DE%20PROGRAMMING/PROGRAMMING/PERSONAL/PYTHON/Image_Generator_API/imagenes/T_TAHARI_124010272_CML_2.jpg")</f>
        <v/>
      </c>
      <c r="N4345">
        <f>IMAGE("file:///E:/Estudios%20y%20certificaciones/ESTUDIOS%20DE%20PROGRAMMING/PROGRAMMING/PERSONAL/PYTHON/Image_Generator_API/imagenes/T_TAHARI_124010272_CML_3.jpg")</f>
        <v/>
      </c>
      <c r="O4345">
        <f>HYPERLINK("imagenes/T_TAHARI_124010272_CML_1.jpg","Ver imagen")</f>
        <v/>
      </c>
      <c r="P4345">
        <f>HYPERLINK("imagenes/T_TAHARI_124010272_CML_2.jpg","Ver imagen")</f>
        <v/>
      </c>
      <c r="Q4345">
        <f>HYPERLINK("imagenes/T_TAHARI_124010272_CML_3.jpg","Ver imagen")</f>
        <v/>
      </c>
    </row>
    <row r="4346">
      <c r="A4346" t="inlineStr">
        <is>
          <t>T TAHARI</t>
        </is>
      </c>
      <c r="B4346" t="inlineStr">
        <is>
          <t>124010272</t>
        </is>
      </c>
      <c r="C4346" t="inlineStr">
        <is>
          <t>ALEX</t>
        </is>
      </c>
      <c r="D4346" t="inlineStr">
        <is>
          <t>CML</t>
        </is>
      </c>
      <c r="E4346" t="inlineStr">
        <is>
          <t>(en blanco)</t>
        </is>
      </c>
      <c r="F4346" t="inlineStr">
        <is>
          <t>MACYS ECOM</t>
        </is>
      </c>
      <c r="G4346" t="inlineStr">
        <is>
          <t>XL</t>
        </is>
      </c>
      <c r="H4346" t="n">
        <v>0</v>
      </c>
      <c r="I4346" t="inlineStr">
        <is>
          <t>T_TAHARI_124010272_CML_1.jpg</t>
        </is>
      </c>
      <c r="J4346" t="inlineStr">
        <is>
          <t>T_TAHARI_124010272_CML_2.jpg</t>
        </is>
      </c>
      <c r="K4346" t="inlineStr">
        <is>
          <t>T_TAHARI_124010272_CML_3.jpg</t>
        </is>
      </c>
      <c r="L4346">
        <f>IMAGE("file:///E:/Estudios%20y%20certificaciones/ESTUDIOS%20DE%20PROGRAMMING/PROGRAMMING/PERSONAL/PYTHON/Image_Generator_API/imagenes/T_TAHARI_124010272_CML_1.jpg")</f>
        <v/>
      </c>
      <c r="M4346">
        <f>IMAGE("file:///E:/Estudios%20y%20certificaciones/ESTUDIOS%20DE%20PROGRAMMING/PROGRAMMING/PERSONAL/PYTHON/Image_Generator_API/imagenes/T_TAHARI_124010272_CML_2.jpg")</f>
        <v/>
      </c>
      <c r="N4346">
        <f>IMAGE("file:///E:/Estudios%20y%20certificaciones/ESTUDIOS%20DE%20PROGRAMMING/PROGRAMMING/PERSONAL/PYTHON/Image_Generator_API/imagenes/T_TAHARI_124010272_CML_3.jpg")</f>
        <v/>
      </c>
      <c r="O4346">
        <f>HYPERLINK("imagenes/T_TAHARI_124010272_CML_1.jpg","Ver imagen")</f>
        <v/>
      </c>
      <c r="P4346">
        <f>HYPERLINK("imagenes/T_TAHARI_124010272_CML_2.jpg","Ver imagen")</f>
        <v/>
      </c>
      <c r="Q4346">
        <f>HYPERLINK("imagenes/T_TAHARI_124010272_CML_3.jpg","Ver imagen")</f>
        <v/>
      </c>
    </row>
    <row r="4347">
      <c r="A4347" t="inlineStr">
        <is>
          <t>T TAHARI</t>
        </is>
      </c>
      <c r="B4347" t="inlineStr">
        <is>
          <t>124010272</t>
        </is>
      </c>
      <c r="C4347" t="inlineStr">
        <is>
          <t>ALEX</t>
        </is>
      </c>
      <c r="D4347" t="inlineStr">
        <is>
          <t>CML</t>
        </is>
      </c>
      <c r="E4347" t="inlineStr">
        <is>
          <t>(en blanco)</t>
        </is>
      </c>
      <c r="F4347" t="inlineStr">
        <is>
          <t>MACYS ECOM</t>
        </is>
      </c>
      <c r="G4347" t="inlineStr">
        <is>
          <t>XXL</t>
        </is>
      </c>
      <c r="H4347" t="n">
        <v>0</v>
      </c>
      <c r="I4347" t="inlineStr">
        <is>
          <t>T_TAHARI_124010272_CML_1.jpg</t>
        </is>
      </c>
      <c r="J4347" t="inlineStr">
        <is>
          <t>T_TAHARI_124010272_CML_2.jpg</t>
        </is>
      </c>
      <c r="K4347" t="inlineStr">
        <is>
          <t>T_TAHARI_124010272_CML_3.jpg</t>
        </is>
      </c>
      <c r="L4347">
        <f>IMAGE("file:///E:/Estudios%20y%20certificaciones/ESTUDIOS%20DE%20PROGRAMMING/PROGRAMMING/PERSONAL/PYTHON/Image_Generator_API/imagenes/T_TAHARI_124010272_CML_1.jpg")</f>
        <v/>
      </c>
      <c r="M4347">
        <f>IMAGE("file:///E:/Estudios%20y%20certificaciones/ESTUDIOS%20DE%20PROGRAMMING/PROGRAMMING/PERSONAL/PYTHON/Image_Generator_API/imagenes/T_TAHARI_124010272_CML_2.jpg")</f>
        <v/>
      </c>
      <c r="N4347">
        <f>IMAGE("file:///E:/Estudios%20y%20certificaciones/ESTUDIOS%20DE%20PROGRAMMING/PROGRAMMING/PERSONAL/PYTHON/Image_Generator_API/imagenes/T_TAHARI_124010272_CML_3.jpg")</f>
        <v/>
      </c>
      <c r="O4347">
        <f>HYPERLINK("imagenes/T_TAHARI_124010272_CML_1.jpg","Ver imagen")</f>
        <v/>
      </c>
      <c r="P4347">
        <f>HYPERLINK("imagenes/T_TAHARI_124010272_CML_2.jpg","Ver imagen")</f>
        <v/>
      </c>
      <c r="Q4347">
        <f>HYPERLINK("imagenes/T_TAHARI_124010272_CML_3.jpg","Ver imagen")</f>
        <v/>
      </c>
    </row>
    <row r="4348">
      <c r="A4348" t="inlineStr">
        <is>
          <t>T TAHARI</t>
        </is>
      </c>
      <c r="B4348" t="inlineStr">
        <is>
          <t>124010272</t>
        </is>
      </c>
      <c r="C4348" t="inlineStr">
        <is>
          <t>ALEX</t>
        </is>
      </c>
      <c r="D4348" t="inlineStr">
        <is>
          <t>CML</t>
        </is>
      </c>
      <c r="E4348" t="inlineStr">
        <is>
          <t>(en blanco)</t>
        </is>
      </c>
      <c r="F4348" t="inlineStr">
        <is>
          <t>MACYS ECOM</t>
        </is>
      </c>
      <c r="G4348" t="inlineStr">
        <is>
          <t>XXS</t>
        </is>
      </c>
      <c r="H4348" t="n">
        <v>0</v>
      </c>
      <c r="I4348" t="inlineStr">
        <is>
          <t>T_TAHARI_124010272_CML_1.jpg</t>
        </is>
      </c>
      <c r="J4348" t="inlineStr">
        <is>
          <t>T_TAHARI_124010272_CML_2.jpg</t>
        </is>
      </c>
      <c r="K4348" t="inlineStr">
        <is>
          <t>T_TAHARI_124010272_CML_3.jpg</t>
        </is>
      </c>
      <c r="L4348">
        <f>IMAGE("file:///E:/Estudios%20y%20certificaciones/ESTUDIOS%20DE%20PROGRAMMING/PROGRAMMING/PERSONAL/PYTHON/Image_Generator_API/imagenes/T_TAHARI_124010272_CML_1.jpg")</f>
        <v/>
      </c>
      <c r="M4348">
        <f>IMAGE("file:///E:/Estudios%20y%20certificaciones/ESTUDIOS%20DE%20PROGRAMMING/PROGRAMMING/PERSONAL/PYTHON/Image_Generator_API/imagenes/T_TAHARI_124010272_CML_2.jpg")</f>
        <v/>
      </c>
      <c r="N4348">
        <f>IMAGE("file:///E:/Estudios%20y%20certificaciones/ESTUDIOS%20DE%20PROGRAMMING/PROGRAMMING/PERSONAL/PYTHON/Image_Generator_API/imagenes/T_TAHARI_124010272_CML_3.jpg")</f>
        <v/>
      </c>
      <c r="O4348">
        <f>HYPERLINK("imagenes/T_TAHARI_124010272_CML_1.jpg","Ver imagen")</f>
        <v/>
      </c>
      <c r="P4348">
        <f>HYPERLINK("imagenes/T_TAHARI_124010272_CML_2.jpg","Ver imagen")</f>
        <v/>
      </c>
      <c r="Q4348">
        <f>HYPERLINK("imagenes/T_TAHARI_124010272_CML_3.jpg","Ver imagen")</f>
        <v/>
      </c>
    </row>
    <row r="4349">
      <c r="A4349" t="inlineStr">
        <is>
          <t>T TAHARI</t>
        </is>
      </c>
      <c r="B4349" t="inlineStr">
        <is>
          <t>124010272</t>
        </is>
      </c>
      <c r="C4349" t="inlineStr">
        <is>
          <t>ALEX</t>
        </is>
      </c>
      <c r="D4349" t="inlineStr">
        <is>
          <t>CML</t>
        </is>
      </c>
      <c r="E4349" t="inlineStr">
        <is>
          <t>(en blanco)</t>
        </is>
      </c>
      <c r="F4349" t="inlineStr">
        <is>
          <t>(en blanco)</t>
        </is>
      </c>
      <c r="G4349" t="inlineStr">
        <is>
          <t>XS</t>
        </is>
      </c>
      <c r="H4349" t="n">
        <v>23</v>
      </c>
      <c r="I4349" t="inlineStr">
        <is>
          <t>T_TAHARI_124010272_CML_1.jpg</t>
        </is>
      </c>
      <c r="J4349" t="inlineStr">
        <is>
          <t>T_TAHARI_124010272_CML_2.jpg</t>
        </is>
      </c>
      <c r="K4349" t="inlineStr">
        <is>
          <t>T_TAHARI_124010272_CML_3.jpg</t>
        </is>
      </c>
      <c r="L4349">
        <f>IMAGE("file:///E:/Estudios%20y%20certificaciones/ESTUDIOS%20DE%20PROGRAMMING/PROGRAMMING/PERSONAL/PYTHON/Image_Generator_API/imagenes/T_TAHARI_124010272_CML_1.jpg")</f>
        <v/>
      </c>
      <c r="M4349">
        <f>IMAGE("file:///E:/Estudios%20y%20certificaciones/ESTUDIOS%20DE%20PROGRAMMING/PROGRAMMING/PERSONAL/PYTHON/Image_Generator_API/imagenes/T_TAHARI_124010272_CML_2.jpg")</f>
        <v/>
      </c>
      <c r="N4349">
        <f>IMAGE("file:///E:/Estudios%20y%20certificaciones/ESTUDIOS%20DE%20PROGRAMMING/PROGRAMMING/PERSONAL/PYTHON/Image_Generator_API/imagenes/T_TAHARI_124010272_CML_3.jpg")</f>
        <v/>
      </c>
      <c r="O4349">
        <f>HYPERLINK("imagenes/T_TAHARI_124010272_CML_1.jpg","Ver imagen")</f>
        <v/>
      </c>
      <c r="P4349">
        <f>HYPERLINK("imagenes/T_TAHARI_124010272_CML_2.jpg","Ver imagen")</f>
        <v/>
      </c>
      <c r="Q4349">
        <f>HYPERLINK("imagenes/T_TAHARI_124010272_CML_3.jpg","Ver imagen")</f>
        <v/>
      </c>
    </row>
    <row r="4350">
      <c r="A4350" t="inlineStr">
        <is>
          <t>T TAHARI</t>
        </is>
      </c>
      <c r="B4350" t="inlineStr">
        <is>
          <t>124010272</t>
        </is>
      </c>
      <c r="C4350" t="inlineStr">
        <is>
          <t>ALEX</t>
        </is>
      </c>
      <c r="D4350" t="inlineStr">
        <is>
          <t>CML</t>
        </is>
      </c>
      <c r="E4350" t="inlineStr">
        <is>
          <t>(en blanco)</t>
        </is>
      </c>
      <c r="F4350" t="inlineStr">
        <is>
          <t>(en blanco)</t>
        </is>
      </c>
      <c r="G4350" t="inlineStr">
        <is>
          <t>S</t>
        </is>
      </c>
      <c r="H4350" t="n">
        <v>35</v>
      </c>
      <c r="I4350" t="inlineStr">
        <is>
          <t>T_TAHARI_124010272_CML_1.jpg</t>
        </is>
      </c>
      <c r="J4350" t="inlineStr">
        <is>
          <t>T_TAHARI_124010272_CML_2.jpg</t>
        </is>
      </c>
      <c r="K4350" t="inlineStr">
        <is>
          <t>T_TAHARI_124010272_CML_3.jpg</t>
        </is>
      </c>
      <c r="L4350">
        <f>IMAGE("file:///E:/Estudios%20y%20certificaciones/ESTUDIOS%20DE%20PROGRAMMING/PROGRAMMING/PERSONAL/PYTHON/Image_Generator_API/imagenes/T_TAHARI_124010272_CML_1.jpg")</f>
        <v/>
      </c>
      <c r="M4350">
        <f>IMAGE("file:///E:/Estudios%20y%20certificaciones/ESTUDIOS%20DE%20PROGRAMMING/PROGRAMMING/PERSONAL/PYTHON/Image_Generator_API/imagenes/T_TAHARI_124010272_CML_2.jpg")</f>
        <v/>
      </c>
      <c r="N4350">
        <f>IMAGE("file:///E:/Estudios%20y%20certificaciones/ESTUDIOS%20DE%20PROGRAMMING/PROGRAMMING/PERSONAL/PYTHON/Image_Generator_API/imagenes/T_TAHARI_124010272_CML_3.jpg")</f>
        <v/>
      </c>
      <c r="O4350">
        <f>HYPERLINK("imagenes/T_TAHARI_124010272_CML_1.jpg","Ver imagen")</f>
        <v/>
      </c>
      <c r="P4350">
        <f>HYPERLINK("imagenes/T_TAHARI_124010272_CML_2.jpg","Ver imagen")</f>
        <v/>
      </c>
      <c r="Q4350">
        <f>HYPERLINK("imagenes/T_TAHARI_124010272_CML_3.jpg","Ver imagen")</f>
        <v/>
      </c>
    </row>
    <row r="4351">
      <c r="A4351" t="inlineStr">
        <is>
          <t>T TAHARI</t>
        </is>
      </c>
      <c r="B4351" t="inlineStr">
        <is>
          <t>124010272</t>
        </is>
      </c>
      <c r="C4351" t="inlineStr">
        <is>
          <t>ALEX</t>
        </is>
      </c>
      <c r="D4351" t="inlineStr">
        <is>
          <t>CML</t>
        </is>
      </c>
      <c r="E4351" t="inlineStr">
        <is>
          <t>(en blanco)</t>
        </is>
      </c>
      <c r="F4351" t="inlineStr">
        <is>
          <t>(en blanco)</t>
        </is>
      </c>
      <c r="G4351" t="inlineStr">
        <is>
          <t>M</t>
        </is>
      </c>
      <c r="H4351" t="n">
        <v>38</v>
      </c>
      <c r="I4351" t="inlineStr">
        <is>
          <t>T_TAHARI_124010272_CML_1.jpg</t>
        </is>
      </c>
      <c r="J4351" t="inlineStr">
        <is>
          <t>T_TAHARI_124010272_CML_2.jpg</t>
        </is>
      </c>
      <c r="K4351" t="inlineStr">
        <is>
          <t>T_TAHARI_124010272_CML_3.jpg</t>
        </is>
      </c>
      <c r="L4351">
        <f>IMAGE("file:///E:/Estudios%20y%20certificaciones/ESTUDIOS%20DE%20PROGRAMMING/PROGRAMMING/PERSONAL/PYTHON/Image_Generator_API/imagenes/T_TAHARI_124010272_CML_1.jpg")</f>
        <v/>
      </c>
      <c r="M4351">
        <f>IMAGE("file:///E:/Estudios%20y%20certificaciones/ESTUDIOS%20DE%20PROGRAMMING/PROGRAMMING/PERSONAL/PYTHON/Image_Generator_API/imagenes/T_TAHARI_124010272_CML_2.jpg")</f>
        <v/>
      </c>
      <c r="N4351">
        <f>IMAGE("file:///E:/Estudios%20y%20certificaciones/ESTUDIOS%20DE%20PROGRAMMING/PROGRAMMING/PERSONAL/PYTHON/Image_Generator_API/imagenes/T_TAHARI_124010272_CML_3.jpg")</f>
        <v/>
      </c>
      <c r="O4351">
        <f>HYPERLINK("imagenes/T_TAHARI_124010272_CML_1.jpg","Ver imagen")</f>
        <v/>
      </c>
      <c r="P4351">
        <f>HYPERLINK("imagenes/T_TAHARI_124010272_CML_2.jpg","Ver imagen")</f>
        <v/>
      </c>
      <c r="Q4351">
        <f>HYPERLINK("imagenes/T_TAHARI_124010272_CML_3.jpg","Ver imagen")</f>
        <v/>
      </c>
    </row>
    <row r="4352">
      <c r="A4352" t="inlineStr">
        <is>
          <t>T TAHARI</t>
        </is>
      </c>
      <c r="B4352" t="inlineStr">
        <is>
          <t>124010272</t>
        </is>
      </c>
      <c r="C4352" t="inlineStr">
        <is>
          <t>ALEX</t>
        </is>
      </c>
      <c r="D4352" t="inlineStr">
        <is>
          <t>CML</t>
        </is>
      </c>
      <c r="E4352" t="inlineStr">
        <is>
          <t>(en blanco)</t>
        </is>
      </c>
      <c r="F4352" t="inlineStr">
        <is>
          <t>(en blanco)</t>
        </is>
      </c>
      <c r="G4352" t="inlineStr">
        <is>
          <t>L</t>
        </is>
      </c>
      <c r="H4352" t="n">
        <v>15</v>
      </c>
      <c r="I4352" t="inlineStr">
        <is>
          <t>T_TAHARI_124010272_CML_1.jpg</t>
        </is>
      </c>
      <c r="J4352" t="inlineStr">
        <is>
          <t>T_TAHARI_124010272_CML_2.jpg</t>
        </is>
      </c>
      <c r="K4352" t="inlineStr">
        <is>
          <t>T_TAHARI_124010272_CML_3.jpg</t>
        </is>
      </c>
      <c r="L4352">
        <f>IMAGE("file:///E:/Estudios%20y%20certificaciones/ESTUDIOS%20DE%20PROGRAMMING/PROGRAMMING/PERSONAL/PYTHON/Image_Generator_API/imagenes/T_TAHARI_124010272_CML_1.jpg")</f>
        <v/>
      </c>
      <c r="M4352">
        <f>IMAGE("file:///E:/Estudios%20y%20certificaciones/ESTUDIOS%20DE%20PROGRAMMING/PROGRAMMING/PERSONAL/PYTHON/Image_Generator_API/imagenes/T_TAHARI_124010272_CML_2.jpg")</f>
        <v/>
      </c>
      <c r="N4352">
        <f>IMAGE("file:///E:/Estudios%20y%20certificaciones/ESTUDIOS%20DE%20PROGRAMMING/PROGRAMMING/PERSONAL/PYTHON/Image_Generator_API/imagenes/T_TAHARI_124010272_CML_3.jpg")</f>
        <v/>
      </c>
      <c r="O4352">
        <f>HYPERLINK("imagenes/T_TAHARI_124010272_CML_1.jpg","Ver imagen")</f>
        <v/>
      </c>
      <c r="P4352">
        <f>HYPERLINK("imagenes/T_TAHARI_124010272_CML_2.jpg","Ver imagen")</f>
        <v/>
      </c>
      <c r="Q4352">
        <f>HYPERLINK("imagenes/T_TAHARI_124010272_CML_3.jpg","Ver imagen")</f>
        <v/>
      </c>
    </row>
    <row r="4353">
      <c r="A4353" t="inlineStr">
        <is>
          <t>T TAHARI</t>
        </is>
      </c>
      <c r="B4353" t="inlineStr">
        <is>
          <t>124010272</t>
        </is>
      </c>
      <c r="C4353" t="inlineStr">
        <is>
          <t>ALEX</t>
        </is>
      </c>
      <c r="D4353" t="inlineStr">
        <is>
          <t>CML</t>
        </is>
      </c>
      <c r="E4353" t="inlineStr">
        <is>
          <t>(en blanco)</t>
        </is>
      </c>
      <c r="F4353" t="inlineStr">
        <is>
          <t>(en blanco)</t>
        </is>
      </c>
      <c r="G4353" t="inlineStr">
        <is>
          <t>XL</t>
        </is>
      </c>
      <c r="H4353" t="n">
        <v>17</v>
      </c>
      <c r="I4353" t="inlineStr">
        <is>
          <t>T_TAHARI_124010272_CML_1.jpg</t>
        </is>
      </c>
      <c r="J4353" t="inlineStr">
        <is>
          <t>T_TAHARI_124010272_CML_2.jpg</t>
        </is>
      </c>
      <c r="K4353" t="inlineStr">
        <is>
          <t>T_TAHARI_124010272_CML_3.jpg</t>
        </is>
      </c>
      <c r="L4353">
        <f>IMAGE("file:///E:/Estudios%20y%20certificaciones/ESTUDIOS%20DE%20PROGRAMMING/PROGRAMMING/PERSONAL/PYTHON/Image_Generator_API/imagenes/T_TAHARI_124010272_CML_1.jpg")</f>
        <v/>
      </c>
      <c r="M4353">
        <f>IMAGE("file:///E:/Estudios%20y%20certificaciones/ESTUDIOS%20DE%20PROGRAMMING/PROGRAMMING/PERSONAL/PYTHON/Image_Generator_API/imagenes/T_TAHARI_124010272_CML_2.jpg")</f>
        <v/>
      </c>
      <c r="N4353">
        <f>IMAGE("file:///E:/Estudios%20y%20certificaciones/ESTUDIOS%20DE%20PROGRAMMING/PROGRAMMING/PERSONAL/PYTHON/Image_Generator_API/imagenes/T_TAHARI_124010272_CML_3.jpg")</f>
        <v/>
      </c>
      <c r="O4353">
        <f>HYPERLINK("imagenes/T_TAHARI_124010272_CML_1.jpg","Ver imagen")</f>
        <v/>
      </c>
      <c r="P4353">
        <f>HYPERLINK("imagenes/T_TAHARI_124010272_CML_2.jpg","Ver imagen")</f>
        <v/>
      </c>
      <c r="Q4353">
        <f>HYPERLINK("imagenes/T_TAHARI_124010272_CML_3.jpg","Ver imagen")</f>
        <v/>
      </c>
    </row>
    <row r="4354">
      <c r="A4354" t="inlineStr">
        <is>
          <t>T TAHARI</t>
        </is>
      </c>
      <c r="B4354" t="inlineStr">
        <is>
          <t>124010283</t>
        </is>
      </c>
      <c r="C4354" t="inlineStr">
        <is>
          <t>INGRID</t>
        </is>
      </c>
      <c r="D4354" t="inlineStr">
        <is>
          <t>BLK</t>
        </is>
      </c>
      <c r="E4354" t="inlineStr">
        <is>
          <t>(en blanco)</t>
        </is>
      </c>
      <c r="F4354" t="inlineStr">
        <is>
          <t>D2C</t>
        </is>
      </c>
      <c r="G4354" t="inlineStr">
        <is>
          <t>XS</t>
        </is>
      </c>
      <c r="H4354" t="n">
        <v>8</v>
      </c>
      <c r="I4354" t="inlineStr">
        <is>
          <t>T_TAHARI_124010283_BLK_1.jpg</t>
        </is>
      </c>
      <c r="J4354" t="inlineStr">
        <is>
          <t>T_TAHARI_124010283_BLK_2.jpg</t>
        </is>
      </c>
      <c r="K4354" t="inlineStr">
        <is>
          <t>T_TAHARI_124010283_BLK_3.jpg</t>
        </is>
      </c>
      <c r="L4354">
        <f>IMAGE("file:///E:/Estudios%20y%20certificaciones/ESTUDIOS%20DE%20PROGRAMMING/PROGRAMMING/PERSONAL/PYTHON/Image_Generator_API/imagenes/T_TAHARI_124010283_BLK_1.jpg")</f>
        <v/>
      </c>
      <c r="M4354">
        <f>IMAGE("file:///E:/Estudios%20y%20certificaciones/ESTUDIOS%20DE%20PROGRAMMING/PROGRAMMING/PERSONAL/PYTHON/Image_Generator_API/imagenes/T_TAHARI_124010283_BLK_2.jpg")</f>
        <v/>
      </c>
      <c r="N4354">
        <f>IMAGE("file:///E:/Estudios%20y%20certificaciones/ESTUDIOS%20DE%20PROGRAMMING/PROGRAMMING/PERSONAL/PYTHON/Image_Generator_API/imagenes/T_TAHARI_124010283_BLK_3.jpg")</f>
        <v/>
      </c>
      <c r="O4354">
        <f>HYPERLINK("imagenes/T_TAHARI_124010283_BLK_1.jpg","Ver imagen")</f>
        <v/>
      </c>
      <c r="P4354">
        <f>HYPERLINK("imagenes/T_TAHARI_124010283_BLK_2.jpg","Ver imagen")</f>
        <v/>
      </c>
      <c r="Q4354">
        <f>HYPERLINK("imagenes/T_TAHARI_124010283_BLK_3.jpg","Ver imagen")</f>
        <v/>
      </c>
    </row>
    <row r="4355">
      <c r="A4355" t="inlineStr">
        <is>
          <t>T TAHARI</t>
        </is>
      </c>
      <c r="B4355" t="inlineStr">
        <is>
          <t>124010283</t>
        </is>
      </c>
      <c r="C4355" t="inlineStr">
        <is>
          <t>INGRID</t>
        </is>
      </c>
      <c r="D4355" t="inlineStr">
        <is>
          <t>BLK</t>
        </is>
      </c>
      <c r="E4355" t="inlineStr">
        <is>
          <t>(en blanco)</t>
        </is>
      </c>
      <c r="F4355" t="inlineStr">
        <is>
          <t>D2C</t>
        </is>
      </c>
      <c r="G4355" t="inlineStr">
        <is>
          <t>S</t>
        </is>
      </c>
      <c r="H4355" t="n">
        <v>17</v>
      </c>
      <c r="I4355" t="inlineStr">
        <is>
          <t>T_TAHARI_124010283_BLK_1.jpg</t>
        </is>
      </c>
      <c r="J4355" t="inlineStr">
        <is>
          <t>T_TAHARI_124010283_BLK_2.jpg</t>
        </is>
      </c>
      <c r="K4355" t="inlineStr">
        <is>
          <t>T_TAHARI_124010283_BLK_3.jpg</t>
        </is>
      </c>
      <c r="L4355">
        <f>IMAGE("file:///E:/Estudios%20y%20certificaciones/ESTUDIOS%20DE%20PROGRAMMING/PROGRAMMING/PERSONAL/PYTHON/Image_Generator_API/imagenes/T_TAHARI_124010283_BLK_1.jpg")</f>
        <v/>
      </c>
      <c r="M4355">
        <f>IMAGE("file:///E:/Estudios%20y%20certificaciones/ESTUDIOS%20DE%20PROGRAMMING/PROGRAMMING/PERSONAL/PYTHON/Image_Generator_API/imagenes/T_TAHARI_124010283_BLK_2.jpg")</f>
        <v/>
      </c>
      <c r="N4355">
        <f>IMAGE("file:///E:/Estudios%20y%20certificaciones/ESTUDIOS%20DE%20PROGRAMMING/PROGRAMMING/PERSONAL/PYTHON/Image_Generator_API/imagenes/T_TAHARI_124010283_BLK_3.jpg")</f>
        <v/>
      </c>
      <c r="O4355">
        <f>HYPERLINK("imagenes/T_TAHARI_124010283_BLK_1.jpg","Ver imagen")</f>
        <v/>
      </c>
      <c r="P4355">
        <f>HYPERLINK("imagenes/T_TAHARI_124010283_BLK_2.jpg","Ver imagen")</f>
        <v/>
      </c>
      <c r="Q4355">
        <f>HYPERLINK("imagenes/T_TAHARI_124010283_BLK_3.jpg","Ver imagen")</f>
        <v/>
      </c>
    </row>
    <row r="4356">
      <c r="A4356" t="inlineStr">
        <is>
          <t>T TAHARI</t>
        </is>
      </c>
      <c r="B4356" t="inlineStr">
        <is>
          <t>124010283</t>
        </is>
      </c>
      <c r="C4356" t="inlineStr">
        <is>
          <t>INGRID</t>
        </is>
      </c>
      <c r="D4356" t="inlineStr">
        <is>
          <t>BLK</t>
        </is>
      </c>
      <c r="E4356" t="inlineStr">
        <is>
          <t>(en blanco)</t>
        </is>
      </c>
      <c r="F4356" t="inlineStr">
        <is>
          <t>D2C</t>
        </is>
      </c>
      <c r="G4356" t="inlineStr">
        <is>
          <t>M</t>
        </is>
      </c>
      <c r="H4356" t="n">
        <v>14</v>
      </c>
      <c r="I4356" t="inlineStr">
        <is>
          <t>T_TAHARI_124010283_BLK_1.jpg</t>
        </is>
      </c>
      <c r="J4356" t="inlineStr">
        <is>
          <t>T_TAHARI_124010283_BLK_2.jpg</t>
        </is>
      </c>
      <c r="K4356" t="inlineStr">
        <is>
          <t>T_TAHARI_124010283_BLK_3.jpg</t>
        </is>
      </c>
      <c r="L4356">
        <f>IMAGE("file:///E:/Estudios%20y%20certificaciones/ESTUDIOS%20DE%20PROGRAMMING/PROGRAMMING/PERSONAL/PYTHON/Image_Generator_API/imagenes/T_TAHARI_124010283_BLK_1.jpg")</f>
        <v/>
      </c>
      <c r="M4356">
        <f>IMAGE("file:///E:/Estudios%20y%20certificaciones/ESTUDIOS%20DE%20PROGRAMMING/PROGRAMMING/PERSONAL/PYTHON/Image_Generator_API/imagenes/T_TAHARI_124010283_BLK_2.jpg")</f>
        <v/>
      </c>
      <c r="N4356">
        <f>IMAGE("file:///E:/Estudios%20y%20certificaciones/ESTUDIOS%20DE%20PROGRAMMING/PROGRAMMING/PERSONAL/PYTHON/Image_Generator_API/imagenes/T_TAHARI_124010283_BLK_3.jpg")</f>
        <v/>
      </c>
      <c r="O4356">
        <f>HYPERLINK("imagenes/T_TAHARI_124010283_BLK_1.jpg","Ver imagen")</f>
        <v/>
      </c>
      <c r="P4356">
        <f>HYPERLINK("imagenes/T_TAHARI_124010283_BLK_2.jpg","Ver imagen")</f>
        <v/>
      </c>
      <c r="Q4356">
        <f>HYPERLINK("imagenes/T_TAHARI_124010283_BLK_3.jpg","Ver imagen")</f>
        <v/>
      </c>
    </row>
    <row r="4357">
      <c r="A4357" t="inlineStr">
        <is>
          <t>T TAHARI</t>
        </is>
      </c>
      <c r="B4357" t="inlineStr">
        <is>
          <t>124010283</t>
        </is>
      </c>
      <c r="C4357" t="inlineStr">
        <is>
          <t>INGRID</t>
        </is>
      </c>
      <c r="D4357" t="inlineStr">
        <is>
          <t>BLK</t>
        </is>
      </c>
      <c r="E4357" t="inlineStr">
        <is>
          <t>(en blanco)</t>
        </is>
      </c>
      <c r="F4357" t="inlineStr">
        <is>
          <t>D2C</t>
        </is>
      </c>
      <c r="G4357" t="inlineStr">
        <is>
          <t>L</t>
        </is>
      </c>
      <c r="H4357" t="n">
        <v>18</v>
      </c>
      <c r="I4357" t="inlineStr">
        <is>
          <t>T_TAHARI_124010283_BLK_1.jpg</t>
        </is>
      </c>
      <c r="J4357" t="inlineStr">
        <is>
          <t>T_TAHARI_124010283_BLK_2.jpg</t>
        </is>
      </c>
      <c r="K4357" t="inlineStr">
        <is>
          <t>T_TAHARI_124010283_BLK_3.jpg</t>
        </is>
      </c>
      <c r="L4357">
        <f>IMAGE("file:///E:/Estudios%20y%20certificaciones/ESTUDIOS%20DE%20PROGRAMMING/PROGRAMMING/PERSONAL/PYTHON/Image_Generator_API/imagenes/T_TAHARI_124010283_BLK_1.jpg")</f>
        <v/>
      </c>
      <c r="M4357">
        <f>IMAGE("file:///E:/Estudios%20y%20certificaciones/ESTUDIOS%20DE%20PROGRAMMING/PROGRAMMING/PERSONAL/PYTHON/Image_Generator_API/imagenes/T_TAHARI_124010283_BLK_2.jpg")</f>
        <v/>
      </c>
      <c r="N4357">
        <f>IMAGE("file:///E:/Estudios%20y%20certificaciones/ESTUDIOS%20DE%20PROGRAMMING/PROGRAMMING/PERSONAL/PYTHON/Image_Generator_API/imagenes/T_TAHARI_124010283_BLK_3.jpg")</f>
        <v/>
      </c>
      <c r="O4357">
        <f>HYPERLINK("imagenes/T_TAHARI_124010283_BLK_1.jpg","Ver imagen")</f>
        <v/>
      </c>
      <c r="P4357">
        <f>HYPERLINK("imagenes/T_TAHARI_124010283_BLK_2.jpg","Ver imagen")</f>
        <v/>
      </c>
      <c r="Q4357">
        <f>HYPERLINK("imagenes/T_TAHARI_124010283_BLK_3.jpg","Ver imagen")</f>
        <v/>
      </c>
    </row>
    <row r="4358">
      <c r="A4358" t="inlineStr">
        <is>
          <t>T TAHARI</t>
        </is>
      </c>
      <c r="B4358" t="inlineStr">
        <is>
          <t>124010283</t>
        </is>
      </c>
      <c r="C4358" t="inlineStr">
        <is>
          <t>INGRID</t>
        </is>
      </c>
      <c r="D4358" t="inlineStr">
        <is>
          <t>BLK</t>
        </is>
      </c>
      <c r="E4358" t="inlineStr">
        <is>
          <t>(en blanco)</t>
        </is>
      </c>
      <c r="F4358" t="inlineStr">
        <is>
          <t>D2C</t>
        </is>
      </c>
      <c r="G4358" t="inlineStr">
        <is>
          <t>XL</t>
        </is>
      </c>
      <c r="H4358" t="n">
        <v>9</v>
      </c>
      <c r="I4358" t="inlineStr">
        <is>
          <t>T_TAHARI_124010283_BLK_1.jpg</t>
        </is>
      </c>
      <c r="J4358" t="inlineStr">
        <is>
          <t>T_TAHARI_124010283_BLK_2.jpg</t>
        </is>
      </c>
      <c r="K4358" t="inlineStr">
        <is>
          <t>T_TAHARI_124010283_BLK_3.jpg</t>
        </is>
      </c>
      <c r="L4358">
        <f>IMAGE("file:///E:/Estudios%20y%20certificaciones/ESTUDIOS%20DE%20PROGRAMMING/PROGRAMMING/PERSONAL/PYTHON/Image_Generator_API/imagenes/T_TAHARI_124010283_BLK_1.jpg")</f>
        <v/>
      </c>
      <c r="M4358">
        <f>IMAGE("file:///E:/Estudios%20y%20certificaciones/ESTUDIOS%20DE%20PROGRAMMING/PROGRAMMING/PERSONAL/PYTHON/Image_Generator_API/imagenes/T_TAHARI_124010283_BLK_2.jpg")</f>
        <v/>
      </c>
      <c r="N4358">
        <f>IMAGE("file:///E:/Estudios%20y%20certificaciones/ESTUDIOS%20DE%20PROGRAMMING/PROGRAMMING/PERSONAL/PYTHON/Image_Generator_API/imagenes/T_TAHARI_124010283_BLK_3.jpg")</f>
        <v/>
      </c>
      <c r="O4358">
        <f>HYPERLINK("imagenes/T_TAHARI_124010283_BLK_1.jpg","Ver imagen")</f>
        <v/>
      </c>
      <c r="P4358">
        <f>HYPERLINK("imagenes/T_TAHARI_124010283_BLK_2.jpg","Ver imagen")</f>
        <v/>
      </c>
      <c r="Q4358">
        <f>HYPERLINK("imagenes/T_TAHARI_124010283_BLK_3.jpg","Ver imagen")</f>
        <v/>
      </c>
    </row>
    <row r="4359">
      <c r="A4359" t="inlineStr">
        <is>
          <t>T TAHARI</t>
        </is>
      </c>
      <c r="B4359" t="inlineStr">
        <is>
          <t>124010283</t>
        </is>
      </c>
      <c r="C4359" t="inlineStr">
        <is>
          <t>INGRID</t>
        </is>
      </c>
      <c r="D4359" t="inlineStr">
        <is>
          <t>BLK</t>
        </is>
      </c>
      <c r="E4359" t="inlineStr">
        <is>
          <t>(en blanco)</t>
        </is>
      </c>
      <c r="F4359" t="inlineStr">
        <is>
          <t>(en blanco)</t>
        </is>
      </c>
      <c r="G4359" t="inlineStr">
        <is>
          <t>XS</t>
        </is>
      </c>
      <c r="H4359" t="n">
        <v>52</v>
      </c>
      <c r="I4359" t="inlineStr">
        <is>
          <t>T_TAHARI_124010283_BLK_1.jpg</t>
        </is>
      </c>
      <c r="J4359" t="inlineStr">
        <is>
          <t>T_TAHARI_124010283_BLK_2.jpg</t>
        </is>
      </c>
      <c r="K4359" t="inlineStr">
        <is>
          <t>T_TAHARI_124010283_BLK_3.jpg</t>
        </is>
      </c>
      <c r="L4359">
        <f>IMAGE("file:///E:/Estudios%20y%20certificaciones/ESTUDIOS%20DE%20PROGRAMMING/PROGRAMMING/PERSONAL/PYTHON/Image_Generator_API/imagenes/T_TAHARI_124010283_BLK_1.jpg")</f>
        <v/>
      </c>
      <c r="M4359">
        <f>IMAGE("file:///E:/Estudios%20y%20certificaciones/ESTUDIOS%20DE%20PROGRAMMING/PROGRAMMING/PERSONAL/PYTHON/Image_Generator_API/imagenes/T_TAHARI_124010283_BLK_2.jpg")</f>
        <v/>
      </c>
      <c r="N4359">
        <f>IMAGE("file:///E:/Estudios%20y%20certificaciones/ESTUDIOS%20DE%20PROGRAMMING/PROGRAMMING/PERSONAL/PYTHON/Image_Generator_API/imagenes/T_TAHARI_124010283_BLK_3.jpg")</f>
        <v/>
      </c>
      <c r="O4359">
        <f>HYPERLINK("imagenes/T_TAHARI_124010283_BLK_1.jpg","Ver imagen")</f>
        <v/>
      </c>
      <c r="P4359">
        <f>HYPERLINK("imagenes/T_TAHARI_124010283_BLK_2.jpg","Ver imagen")</f>
        <v/>
      </c>
      <c r="Q4359">
        <f>HYPERLINK("imagenes/T_TAHARI_124010283_BLK_3.jpg","Ver imagen")</f>
        <v/>
      </c>
    </row>
    <row r="4360">
      <c r="A4360" t="inlineStr">
        <is>
          <t>T TAHARI</t>
        </is>
      </c>
      <c r="B4360" t="inlineStr">
        <is>
          <t>124010283</t>
        </is>
      </c>
      <c r="C4360" t="inlineStr">
        <is>
          <t>INGRID</t>
        </is>
      </c>
      <c r="D4360" t="inlineStr">
        <is>
          <t>BLK</t>
        </is>
      </c>
      <c r="E4360" t="inlineStr">
        <is>
          <t>(en blanco)</t>
        </is>
      </c>
      <c r="F4360" t="inlineStr">
        <is>
          <t>(en blanco)</t>
        </is>
      </c>
      <c r="G4360" t="inlineStr">
        <is>
          <t>S</t>
        </is>
      </c>
      <c r="H4360" t="n">
        <v>114</v>
      </c>
      <c r="I4360" t="inlineStr">
        <is>
          <t>T_TAHARI_124010283_BLK_1.jpg</t>
        </is>
      </c>
      <c r="J4360" t="inlineStr">
        <is>
          <t>T_TAHARI_124010283_BLK_2.jpg</t>
        </is>
      </c>
      <c r="K4360" t="inlineStr">
        <is>
          <t>T_TAHARI_124010283_BLK_3.jpg</t>
        </is>
      </c>
      <c r="L4360">
        <f>IMAGE("file:///E:/Estudios%20y%20certificaciones/ESTUDIOS%20DE%20PROGRAMMING/PROGRAMMING/PERSONAL/PYTHON/Image_Generator_API/imagenes/T_TAHARI_124010283_BLK_1.jpg")</f>
        <v/>
      </c>
      <c r="M4360">
        <f>IMAGE("file:///E:/Estudios%20y%20certificaciones/ESTUDIOS%20DE%20PROGRAMMING/PROGRAMMING/PERSONAL/PYTHON/Image_Generator_API/imagenes/T_TAHARI_124010283_BLK_2.jpg")</f>
        <v/>
      </c>
      <c r="N4360">
        <f>IMAGE("file:///E:/Estudios%20y%20certificaciones/ESTUDIOS%20DE%20PROGRAMMING/PROGRAMMING/PERSONAL/PYTHON/Image_Generator_API/imagenes/T_TAHARI_124010283_BLK_3.jpg")</f>
        <v/>
      </c>
      <c r="O4360">
        <f>HYPERLINK("imagenes/T_TAHARI_124010283_BLK_1.jpg","Ver imagen")</f>
        <v/>
      </c>
      <c r="P4360">
        <f>HYPERLINK("imagenes/T_TAHARI_124010283_BLK_2.jpg","Ver imagen")</f>
        <v/>
      </c>
      <c r="Q4360">
        <f>HYPERLINK("imagenes/T_TAHARI_124010283_BLK_3.jpg","Ver imagen")</f>
        <v/>
      </c>
    </row>
    <row r="4361">
      <c r="A4361" t="inlineStr">
        <is>
          <t>T TAHARI</t>
        </is>
      </c>
      <c r="B4361" t="inlineStr">
        <is>
          <t>124010283</t>
        </is>
      </c>
      <c r="C4361" t="inlineStr">
        <is>
          <t>INGRID</t>
        </is>
      </c>
      <c r="D4361" t="inlineStr">
        <is>
          <t>BLK</t>
        </is>
      </c>
      <c r="E4361" t="inlineStr">
        <is>
          <t>(en blanco)</t>
        </is>
      </c>
      <c r="F4361" t="inlineStr">
        <is>
          <t>(en blanco)</t>
        </is>
      </c>
      <c r="G4361" t="inlineStr">
        <is>
          <t>M</t>
        </is>
      </c>
      <c r="H4361" t="n">
        <v>128</v>
      </c>
      <c r="I4361" t="inlineStr">
        <is>
          <t>T_TAHARI_124010283_BLK_1.jpg</t>
        </is>
      </c>
      <c r="J4361" t="inlineStr">
        <is>
          <t>T_TAHARI_124010283_BLK_2.jpg</t>
        </is>
      </c>
      <c r="K4361" t="inlineStr">
        <is>
          <t>T_TAHARI_124010283_BLK_3.jpg</t>
        </is>
      </c>
      <c r="L4361">
        <f>IMAGE("file:///E:/Estudios%20y%20certificaciones/ESTUDIOS%20DE%20PROGRAMMING/PROGRAMMING/PERSONAL/PYTHON/Image_Generator_API/imagenes/T_TAHARI_124010283_BLK_1.jpg")</f>
        <v/>
      </c>
      <c r="M4361">
        <f>IMAGE("file:///E:/Estudios%20y%20certificaciones/ESTUDIOS%20DE%20PROGRAMMING/PROGRAMMING/PERSONAL/PYTHON/Image_Generator_API/imagenes/T_TAHARI_124010283_BLK_2.jpg")</f>
        <v/>
      </c>
      <c r="N4361">
        <f>IMAGE("file:///E:/Estudios%20y%20certificaciones/ESTUDIOS%20DE%20PROGRAMMING/PROGRAMMING/PERSONAL/PYTHON/Image_Generator_API/imagenes/T_TAHARI_124010283_BLK_3.jpg")</f>
        <v/>
      </c>
      <c r="O4361">
        <f>HYPERLINK("imagenes/T_TAHARI_124010283_BLK_1.jpg","Ver imagen")</f>
        <v/>
      </c>
      <c r="P4361">
        <f>HYPERLINK("imagenes/T_TAHARI_124010283_BLK_2.jpg","Ver imagen")</f>
        <v/>
      </c>
      <c r="Q4361">
        <f>HYPERLINK("imagenes/T_TAHARI_124010283_BLK_3.jpg","Ver imagen")</f>
        <v/>
      </c>
    </row>
    <row r="4362">
      <c r="A4362" t="inlineStr">
        <is>
          <t>T TAHARI</t>
        </is>
      </c>
      <c r="B4362" t="inlineStr">
        <is>
          <t>124010283</t>
        </is>
      </c>
      <c r="C4362" t="inlineStr">
        <is>
          <t>INGRID</t>
        </is>
      </c>
      <c r="D4362" t="inlineStr">
        <is>
          <t>BLK</t>
        </is>
      </c>
      <c r="E4362" t="inlineStr">
        <is>
          <t>(en blanco)</t>
        </is>
      </c>
      <c r="F4362" t="inlineStr">
        <is>
          <t>(en blanco)</t>
        </is>
      </c>
      <c r="G4362" t="inlineStr">
        <is>
          <t>L</t>
        </is>
      </c>
      <c r="H4362" t="n">
        <v>111</v>
      </c>
      <c r="I4362" t="inlineStr">
        <is>
          <t>T_TAHARI_124010283_BLK_1.jpg</t>
        </is>
      </c>
      <c r="J4362" t="inlineStr">
        <is>
          <t>T_TAHARI_124010283_BLK_2.jpg</t>
        </is>
      </c>
      <c r="K4362" t="inlineStr">
        <is>
          <t>T_TAHARI_124010283_BLK_3.jpg</t>
        </is>
      </c>
      <c r="L4362">
        <f>IMAGE("file:///E:/Estudios%20y%20certificaciones/ESTUDIOS%20DE%20PROGRAMMING/PROGRAMMING/PERSONAL/PYTHON/Image_Generator_API/imagenes/T_TAHARI_124010283_BLK_1.jpg")</f>
        <v/>
      </c>
      <c r="M4362">
        <f>IMAGE("file:///E:/Estudios%20y%20certificaciones/ESTUDIOS%20DE%20PROGRAMMING/PROGRAMMING/PERSONAL/PYTHON/Image_Generator_API/imagenes/T_TAHARI_124010283_BLK_2.jpg")</f>
        <v/>
      </c>
      <c r="N4362">
        <f>IMAGE("file:///E:/Estudios%20y%20certificaciones/ESTUDIOS%20DE%20PROGRAMMING/PROGRAMMING/PERSONAL/PYTHON/Image_Generator_API/imagenes/T_TAHARI_124010283_BLK_3.jpg")</f>
        <v/>
      </c>
      <c r="O4362">
        <f>HYPERLINK("imagenes/T_TAHARI_124010283_BLK_1.jpg","Ver imagen")</f>
        <v/>
      </c>
      <c r="P4362">
        <f>HYPERLINK("imagenes/T_TAHARI_124010283_BLK_2.jpg","Ver imagen")</f>
        <v/>
      </c>
      <c r="Q4362">
        <f>HYPERLINK("imagenes/T_TAHARI_124010283_BLK_3.jpg","Ver imagen")</f>
        <v/>
      </c>
    </row>
    <row r="4363">
      <c r="A4363" t="inlineStr">
        <is>
          <t>T TAHARI</t>
        </is>
      </c>
      <c r="B4363" t="inlineStr">
        <is>
          <t>124010283</t>
        </is>
      </c>
      <c r="C4363" t="inlineStr">
        <is>
          <t>INGRID</t>
        </is>
      </c>
      <c r="D4363" t="inlineStr">
        <is>
          <t>BLK</t>
        </is>
      </c>
      <c r="E4363" t="inlineStr">
        <is>
          <t>(en blanco)</t>
        </is>
      </c>
      <c r="F4363" t="inlineStr">
        <is>
          <t>(en blanco)</t>
        </is>
      </c>
      <c r="G4363" t="inlineStr">
        <is>
          <t>XL</t>
        </is>
      </c>
      <c r="H4363" t="n">
        <v>44</v>
      </c>
      <c r="I4363" t="inlineStr">
        <is>
          <t>T_TAHARI_124010283_BLK_1.jpg</t>
        </is>
      </c>
      <c r="J4363" t="inlineStr">
        <is>
          <t>T_TAHARI_124010283_BLK_2.jpg</t>
        </is>
      </c>
      <c r="K4363" t="inlineStr">
        <is>
          <t>T_TAHARI_124010283_BLK_3.jpg</t>
        </is>
      </c>
      <c r="L4363">
        <f>IMAGE("file:///E:/Estudios%20y%20certificaciones/ESTUDIOS%20DE%20PROGRAMMING/PROGRAMMING/PERSONAL/PYTHON/Image_Generator_API/imagenes/T_TAHARI_124010283_BLK_1.jpg")</f>
        <v/>
      </c>
      <c r="M4363">
        <f>IMAGE("file:///E:/Estudios%20y%20certificaciones/ESTUDIOS%20DE%20PROGRAMMING/PROGRAMMING/PERSONAL/PYTHON/Image_Generator_API/imagenes/T_TAHARI_124010283_BLK_2.jpg")</f>
        <v/>
      </c>
      <c r="N4363">
        <f>IMAGE("file:///E:/Estudios%20y%20certificaciones/ESTUDIOS%20DE%20PROGRAMMING/PROGRAMMING/PERSONAL/PYTHON/Image_Generator_API/imagenes/T_TAHARI_124010283_BLK_3.jpg")</f>
        <v/>
      </c>
      <c r="O4363">
        <f>HYPERLINK("imagenes/T_TAHARI_124010283_BLK_1.jpg","Ver imagen")</f>
        <v/>
      </c>
      <c r="P4363">
        <f>HYPERLINK("imagenes/T_TAHARI_124010283_BLK_2.jpg","Ver imagen")</f>
        <v/>
      </c>
      <c r="Q4363">
        <f>HYPERLINK("imagenes/T_TAHARI_124010283_BLK_3.jpg","Ver imagen")</f>
        <v/>
      </c>
    </row>
    <row r="4364">
      <c r="A4364" t="inlineStr">
        <is>
          <t>T TAHARI</t>
        </is>
      </c>
      <c r="B4364" t="inlineStr">
        <is>
          <t>124010283</t>
        </is>
      </c>
      <c r="C4364" t="inlineStr">
        <is>
          <t>INGRID</t>
        </is>
      </c>
      <c r="D4364" t="inlineStr">
        <is>
          <t>OLI</t>
        </is>
      </c>
      <c r="E4364" t="inlineStr">
        <is>
          <t>(en blanco)</t>
        </is>
      </c>
      <c r="F4364" t="inlineStr">
        <is>
          <t>D2C</t>
        </is>
      </c>
      <c r="G4364" t="inlineStr">
        <is>
          <t>XS</t>
        </is>
      </c>
      <c r="H4364" t="n">
        <v>9</v>
      </c>
      <c r="I4364" t="inlineStr">
        <is>
          <t>T_TAHARI_124010283_OLI_1.jpg</t>
        </is>
      </c>
      <c r="J4364" t="inlineStr">
        <is>
          <t>T_TAHARI_124010283_OLI_2.jpg</t>
        </is>
      </c>
      <c r="K4364" t="inlineStr">
        <is>
          <t>T_TAHARI_124010283_OLI_3.jpg</t>
        </is>
      </c>
      <c r="L4364">
        <f>IMAGE("file:///E:/Estudios%20y%20certificaciones/ESTUDIOS%20DE%20PROGRAMMING/PROGRAMMING/PERSONAL/PYTHON/Image_Generator_API/imagenes/T_TAHARI_124010283_OLI_1.jpg")</f>
        <v/>
      </c>
      <c r="M4364">
        <f>IMAGE("file:///E:/Estudios%20y%20certificaciones/ESTUDIOS%20DE%20PROGRAMMING/PROGRAMMING/PERSONAL/PYTHON/Image_Generator_API/imagenes/T_TAHARI_124010283_OLI_2.jpg")</f>
        <v/>
      </c>
      <c r="N4364">
        <f>IMAGE("file:///E:/Estudios%20y%20certificaciones/ESTUDIOS%20DE%20PROGRAMMING/PROGRAMMING/PERSONAL/PYTHON/Image_Generator_API/imagenes/T_TAHARI_124010283_OLI_3.jpg")</f>
        <v/>
      </c>
      <c r="O4364">
        <f>HYPERLINK("imagenes/T_TAHARI_124010283_OLI_1.jpg","Ver imagen")</f>
        <v/>
      </c>
      <c r="P4364">
        <f>HYPERLINK("imagenes/T_TAHARI_124010283_OLI_2.jpg","Ver imagen")</f>
        <v/>
      </c>
      <c r="Q4364">
        <f>HYPERLINK("imagenes/T_TAHARI_124010283_OLI_3.jpg","Ver imagen")</f>
        <v/>
      </c>
    </row>
    <row r="4365">
      <c r="A4365" t="inlineStr">
        <is>
          <t>T TAHARI</t>
        </is>
      </c>
      <c r="B4365" t="inlineStr">
        <is>
          <t>124010283</t>
        </is>
      </c>
      <c r="C4365" t="inlineStr">
        <is>
          <t>INGRID</t>
        </is>
      </c>
      <c r="D4365" t="inlineStr">
        <is>
          <t>OLI</t>
        </is>
      </c>
      <c r="E4365" t="inlineStr">
        <is>
          <t>(en blanco)</t>
        </is>
      </c>
      <c r="F4365" t="inlineStr">
        <is>
          <t>D2C</t>
        </is>
      </c>
      <c r="G4365" t="inlineStr">
        <is>
          <t>S</t>
        </is>
      </c>
      <c r="H4365" t="n">
        <v>17</v>
      </c>
      <c r="I4365" t="inlineStr">
        <is>
          <t>T_TAHARI_124010283_OLI_1.jpg</t>
        </is>
      </c>
      <c r="J4365" t="inlineStr">
        <is>
          <t>T_TAHARI_124010283_OLI_2.jpg</t>
        </is>
      </c>
      <c r="K4365" t="inlineStr">
        <is>
          <t>T_TAHARI_124010283_OLI_3.jpg</t>
        </is>
      </c>
      <c r="L4365">
        <f>IMAGE("file:///E:/Estudios%20y%20certificaciones/ESTUDIOS%20DE%20PROGRAMMING/PROGRAMMING/PERSONAL/PYTHON/Image_Generator_API/imagenes/T_TAHARI_124010283_OLI_1.jpg")</f>
        <v/>
      </c>
      <c r="M4365">
        <f>IMAGE("file:///E:/Estudios%20y%20certificaciones/ESTUDIOS%20DE%20PROGRAMMING/PROGRAMMING/PERSONAL/PYTHON/Image_Generator_API/imagenes/T_TAHARI_124010283_OLI_2.jpg")</f>
        <v/>
      </c>
      <c r="N4365">
        <f>IMAGE("file:///E:/Estudios%20y%20certificaciones/ESTUDIOS%20DE%20PROGRAMMING/PROGRAMMING/PERSONAL/PYTHON/Image_Generator_API/imagenes/T_TAHARI_124010283_OLI_3.jpg")</f>
        <v/>
      </c>
      <c r="O4365">
        <f>HYPERLINK("imagenes/T_TAHARI_124010283_OLI_1.jpg","Ver imagen")</f>
        <v/>
      </c>
      <c r="P4365">
        <f>HYPERLINK("imagenes/T_TAHARI_124010283_OLI_2.jpg","Ver imagen")</f>
        <v/>
      </c>
      <c r="Q4365">
        <f>HYPERLINK("imagenes/T_TAHARI_124010283_OLI_3.jpg","Ver imagen")</f>
        <v/>
      </c>
    </row>
    <row r="4366">
      <c r="A4366" t="inlineStr">
        <is>
          <t>T TAHARI</t>
        </is>
      </c>
      <c r="B4366" t="inlineStr">
        <is>
          <t>124010283</t>
        </is>
      </c>
      <c r="C4366" t="inlineStr">
        <is>
          <t>INGRID</t>
        </is>
      </c>
      <c r="D4366" t="inlineStr">
        <is>
          <t>OLI</t>
        </is>
      </c>
      <c r="E4366" t="inlineStr">
        <is>
          <t>(en blanco)</t>
        </is>
      </c>
      <c r="F4366" t="inlineStr">
        <is>
          <t>D2C</t>
        </is>
      </c>
      <c r="G4366" t="inlineStr">
        <is>
          <t>M</t>
        </is>
      </c>
      <c r="H4366" t="n">
        <v>17</v>
      </c>
      <c r="I4366" t="inlineStr">
        <is>
          <t>T_TAHARI_124010283_OLI_1.jpg</t>
        </is>
      </c>
      <c r="J4366" t="inlineStr">
        <is>
          <t>T_TAHARI_124010283_OLI_2.jpg</t>
        </is>
      </c>
      <c r="K4366" t="inlineStr">
        <is>
          <t>T_TAHARI_124010283_OLI_3.jpg</t>
        </is>
      </c>
      <c r="L4366">
        <f>IMAGE("file:///E:/Estudios%20y%20certificaciones/ESTUDIOS%20DE%20PROGRAMMING/PROGRAMMING/PERSONAL/PYTHON/Image_Generator_API/imagenes/T_TAHARI_124010283_OLI_1.jpg")</f>
        <v/>
      </c>
      <c r="M4366">
        <f>IMAGE("file:///E:/Estudios%20y%20certificaciones/ESTUDIOS%20DE%20PROGRAMMING/PROGRAMMING/PERSONAL/PYTHON/Image_Generator_API/imagenes/T_TAHARI_124010283_OLI_2.jpg")</f>
        <v/>
      </c>
      <c r="N4366">
        <f>IMAGE("file:///E:/Estudios%20y%20certificaciones/ESTUDIOS%20DE%20PROGRAMMING/PROGRAMMING/PERSONAL/PYTHON/Image_Generator_API/imagenes/T_TAHARI_124010283_OLI_3.jpg")</f>
        <v/>
      </c>
      <c r="O4366">
        <f>HYPERLINK("imagenes/T_TAHARI_124010283_OLI_1.jpg","Ver imagen")</f>
        <v/>
      </c>
      <c r="P4366">
        <f>HYPERLINK("imagenes/T_TAHARI_124010283_OLI_2.jpg","Ver imagen")</f>
        <v/>
      </c>
      <c r="Q4366">
        <f>HYPERLINK("imagenes/T_TAHARI_124010283_OLI_3.jpg","Ver imagen")</f>
        <v/>
      </c>
    </row>
    <row r="4367">
      <c r="A4367" t="inlineStr">
        <is>
          <t>T TAHARI</t>
        </is>
      </c>
      <c r="B4367" t="inlineStr">
        <is>
          <t>124010283</t>
        </is>
      </c>
      <c r="C4367" t="inlineStr">
        <is>
          <t>INGRID</t>
        </is>
      </c>
      <c r="D4367" t="inlineStr">
        <is>
          <t>OLI</t>
        </is>
      </c>
      <c r="E4367" t="inlineStr">
        <is>
          <t>(en blanco)</t>
        </is>
      </c>
      <c r="F4367" t="inlineStr">
        <is>
          <t>D2C</t>
        </is>
      </c>
      <c r="G4367" t="inlineStr">
        <is>
          <t>L</t>
        </is>
      </c>
      <c r="H4367" t="n">
        <v>18</v>
      </c>
      <c r="I4367" t="inlineStr">
        <is>
          <t>T_TAHARI_124010283_OLI_1.jpg</t>
        </is>
      </c>
      <c r="J4367" t="inlineStr">
        <is>
          <t>T_TAHARI_124010283_OLI_2.jpg</t>
        </is>
      </c>
      <c r="K4367" t="inlineStr">
        <is>
          <t>T_TAHARI_124010283_OLI_3.jpg</t>
        </is>
      </c>
      <c r="L4367">
        <f>IMAGE("file:///E:/Estudios%20y%20certificaciones/ESTUDIOS%20DE%20PROGRAMMING/PROGRAMMING/PERSONAL/PYTHON/Image_Generator_API/imagenes/T_TAHARI_124010283_OLI_1.jpg")</f>
        <v/>
      </c>
      <c r="M4367">
        <f>IMAGE("file:///E:/Estudios%20y%20certificaciones/ESTUDIOS%20DE%20PROGRAMMING/PROGRAMMING/PERSONAL/PYTHON/Image_Generator_API/imagenes/T_TAHARI_124010283_OLI_2.jpg")</f>
        <v/>
      </c>
      <c r="N4367">
        <f>IMAGE("file:///E:/Estudios%20y%20certificaciones/ESTUDIOS%20DE%20PROGRAMMING/PROGRAMMING/PERSONAL/PYTHON/Image_Generator_API/imagenes/T_TAHARI_124010283_OLI_3.jpg")</f>
        <v/>
      </c>
      <c r="O4367">
        <f>HYPERLINK("imagenes/T_TAHARI_124010283_OLI_1.jpg","Ver imagen")</f>
        <v/>
      </c>
      <c r="P4367">
        <f>HYPERLINK("imagenes/T_TAHARI_124010283_OLI_2.jpg","Ver imagen")</f>
        <v/>
      </c>
      <c r="Q4367">
        <f>HYPERLINK("imagenes/T_TAHARI_124010283_OLI_3.jpg","Ver imagen")</f>
        <v/>
      </c>
    </row>
    <row r="4368">
      <c r="A4368" t="inlineStr">
        <is>
          <t>T TAHARI</t>
        </is>
      </c>
      <c r="B4368" t="inlineStr">
        <is>
          <t>124010283</t>
        </is>
      </c>
      <c r="C4368" t="inlineStr">
        <is>
          <t>INGRID</t>
        </is>
      </c>
      <c r="D4368" t="inlineStr">
        <is>
          <t>OLI</t>
        </is>
      </c>
      <c r="E4368" t="inlineStr">
        <is>
          <t>(en blanco)</t>
        </is>
      </c>
      <c r="F4368" t="inlineStr">
        <is>
          <t>D2C</t>
        </is>
      </c>
      <c r="G4368" t="inlineStr">
        <is>
          <t>XL</t>
        </is>
      </c>
      <c r="H4368" t="n">
        <v>9</v>
      </c>
      <c r="I4368" t="inlineStr">
        <is>
          <t>T_TAHARI_124010283_OLI_1.jpg</t>
        </is>
      </c>
      <c r="J4368" t="inlineStr">
        <is>
          <t>T_TAHARI_124010283_OLI_2.jpg</t>
        </is>
      </c>
      <c r="K4368" t="inlineStr">
        <is>
          <t>T_TAHARI_124010283_OLI_3.jpg</t>
        </is>
      </c>
      <c r="L4368">
        <f>IMAGE("file:///E:/Estudios%20y%20certificaciones/ESTUDIOS%20DE%20PROGRAMMING/PROGRAMMING/PERSONAL/PYTHON/Image_Generator_API/imagenes/T_TAHARI_124010283_OLI_1.jpg")</f>
        <v/>
      </c>
      <c r="M4368">
        <f>IMAGE("file:///E:/Estudios%20y%20certificaciones/ESTUDIOS%20DE%20PROGRAMMING/PROGRAMMING/PERSONAL/PYTHON/Image_Generator_API/imagenes/T_TAHARI_124010283_OLI_2.jpg")</f>
        <v/>
      </c>
      <c r="N4368">
        <f>IMAGE("file:///E:/Estudios%20y%20certificaciones/ESTUDIOS%20DE%20PROGRAMMING/PROGRAMMING/PERSONAL/PYTHON/Image_Generator_API/imagenes/T_TAHARI_124010283_OLI_3.jpg")</f>
        <v/>
      </c>
      <c r="O4368">
        <f>HYPERLINK("imagenes/T_TAHARI_124010283_OLI_1.jpg","Ver imagen")</f>
        <v/>
      </c>
      <c r="P4368">
        <f>HYPERLINK("imagenes/T_TAHARI_124010283_OLI_2.jpg","Ver imagen")</f>
        <v/>
      </c>
      <c r="Q4368">
        <f>HYPERLINK("imagenes/T_TAHARI_124010283_OLI_3.jpg","Ver imagen")</f>
        <v/>
      </c>
    </row>
    <row r="4369">
      <c r="A4369" t="inlineStr">
        <is>
          <t>T TAHARI</t>
        </is>
      </c>
      <c r="B4369" t="inlineStr">
        <is>
          <t>124010283</t>
        </is>
      </c>
      <c r="C4369" t="inlineStr">
        <is>
          <t>INGRID</t>
        </is>
      </c>
      <c r="D4369" t="inlineStr">
        <is>
          <t>OLI</t>
        </is>
      </c>
      <c r="E4369" t="inlineStr">
        <is>
          <t>(en blanco)</t>
        </is>
      </c>
      <c r="F4369" t="inlineStr">
        <is>
          <t>(en blanco)</t>
        </is>
      </c>
      <c r="G4369" t="inlineStr">
        <is>
          <t>XS</t>
        </is>
      </c>
      <c r="H4369" t="n">
        <v>51</v>
      </c>
      <c r="I4369" t="inlineStr">
        <is>
          <t>T_TAHARI_124010283_OLI_1.jpg</t>
        </is>
      </c>
      <c r="J4369" t="inlineStr">
        <is>
          <t>T_TAHARI_124010283_OLI_2.jpg</t>
        </is>
      </c>
      <c r="K4369" t="inlineStr">
        <is>
          <t>T_TAHARI_124010283_OLI_3.jpg</t>
        </is>
      </c>
      <c r="L4369">
        <f>IMAGE("file:///E:/Estudios%20y%20certificaciones/ESTUDIOS%20DE%20PROGRAMMING/PROGRAMMING/PERSONAL/PYTHON/Image_Generator_API/imagenes/T_TAHARI_124010283_OLI_1.jpg")</f>
        <v/>
      </c>
      <c r="M4369">
        <f>IMAGE("file:///E:/Estudios%20y%20certificaciones/ESTUDIOS%20DE%20PROGRAMMING/PROGRAMMING/PERSONAL/PYTHON/Image_Generator_API/imagenes/T_TAHARI_124010283_OLI_2.jpg")</f>
        <v/>
      </c>
      <c r="N4369">
        <f>IMAGE("file:///E:/Estudios%20y%20certificaciones/ESTUDIOS%20DE%20PROGRAMMING/PROGRAMMING/PERSONAL/PYTHON/Image_Generator_API/imagenes/T_TAHARI_124010283_OLI_3.jpg")</f>
        <v/>
      </c>
      <c r="O4369">
        <f>HYPERLINK("imagenes/T_TAHARI_124010283_OLI_1.jpg","Ver imagen")</f>
        <v/>
      </c>
      <c r="P4369">
        <f>HYPERLINK("imagenes/T_TAHARI_124010283_OLI_2.jpg","Ver imagen")</f>
        <v/>
      </c>
      <c r="Q4369">
        <f>HYPERLINK("imagenes/T_TAHARI_124010283_OLI_3.jpg","Ver imagen")</f>
        <v/>
      </c>
    </row>
    <row r="4370">
      <c r="A4370" t="inlineStr">
        <is>
          <t>T TAHARI</t>
        </is>
      </c>
      <c r="B4370" t="inlineStr">
        <is>
          <t>124010283</t>
        </is>
      </c>
      <c r="C4370" t="inlineStr">
        <is>
          <t>INGRID</t>
        </is>
      </c>
      <c r="D4370" t="inlineStr">
        <is>
          <t>OLI</t>
        </is>
      </c>
      <c r="E4370" t="inlineStr">
        <is>
          <t>(en blanco)</t>
        </is>
      </c>
      <c r="F4370" t="inlineStr">
        <is>
          <t>(en blanco)</t>
        </is>
      </c>
      <c r="G4370" t="inlineStr">
        <is>
          <t>S</t>
        </is>
      </c>
      <c r="H4370" t="n">
        <v>99</v>
      </c>
      <c r="I4370" t="inlineStr">
        <is>
          <t>T_TAHARI_124010283_OLI_1.jpg</t>
        </is>
      </c>
      <c r="J4370" t="inlineStr">
        <is>
          <t>T_TAHARI_124010283_OLI_2.jpg</t>
        </is>
      </c>
      <c r="K4370" t="inlineStr">
        <is>
          <t>T_TAHARI_124010283_OLI_3.jpg</t>
        </is>
      </c>
      <c r="L4370">
        <f>IMAGE("file:///E:/Estudios%20y%20certificaciones/ESTUDIOS%20DE%20PROGRAMMING/PROGRAMMING/PERSONAL/PYTHON/Image_Generator_API/imagenes/T_TAHARI_124010283_OLI_1.jpg")</f>
        <v/>
      </c>
      <c r="M4370">
        <f>IMAGE("file:///E:/Estudios%20y%20certificaciones/ESTUDIOS%20DE%20PROGRAMMING/PROGRAMMING/PERSONAL/PYTHON/Image_Generator_API/imagenes/T_TAHARI_124010283_OLI_2.jpg")</f>
        <v/>
      </c>
      <c r="N4370">
        <f>IMAGE("file:///E:/Estudios%20y%20certificaciones/ESTUDIOS%20DE%20PROGRAMMING/PROGRAMMING/PERSONAL/PYTHON/Image_Generator_API/imagenes/T_TAHARI_124010283_OLI_3.jpg")</f>
        <v/>
      </c>
      <c r="O4370">
        <f>HYPERLINK("imagenes/T_TAHARI_124010283_OLI_1.jpg","Ver imagen")</f>
        <v/>
      </c>
      <c r="P4370">
        <f>HYPERLINK("imagenes/T_TAHARI_124010283_OLI_2.jpg","Ver imagen")</f>
        <v/>
      </c>
      <c r="Q4370">
        <f>HYPERLINK("imagenes/T_TAHARI_124010283_OLI_3.jpg","Ver imagen")</f>
        <v/>
      </c>
    </row>
    <row r="4371">
      <c r="A4371" t="inlineStr">
        <is>
          <t>T TAHARI</t>
        </is>
      </c>
      <c r="B4371" t="inlineStr">
        <is>
          <t>124010283</t>
        </is>
      </c>
      <c r="C4371" t="inlineStr">
        <is>
          <t>INGRID</t>
        </is>
      </c>
      <c r="D4371" t="inlineStr">
        <is>
          <t>OLI</t>
        </is>
      </c>
      <c r="E4371" t="inlineStr">
        <is>
          <t>(en blanco)</t>
        </is>
      </c>
      <c r="F4371" t="inlineStr">
        <is>
          <t>(en blanco)</t>
        </is>
      </c>
      <c r="G4371" t="inlineStr">
        <is>
          <t>M</t>
        </is>
      </c>
      <c r="H4371" t="n">
        <v>117</v>
      </c>
      <c r="I4371" t="inlineStr">
        <is>
          <t>T_TAHARI_124010283_OLI_1.jpg</t>
        </is>
      </c>
      <c r="J4371" t="inlineStr">
        <is>
          <t>T_TAHARI_124010283_OLI_2.jpg</t>
        </is>
      </c>
      <c r="K4371" t="inlineStr">
        <is>
          <t>T_TAHARI_124010283_OLI_3.jpg</t>
        </is>
      </c>
      <c r="L4371">
        <f>IMAGE("file:///E:/Estudios%20y%20certificaciones/ESTUDIOS%20DE%20PROGRAMMING/PROGRAMMING/PERSONAL/PYTHON/Image_Generator_API/imagenes/T_TAHARI_124010283_OLI_1.jpg")</f>
        <v/>
      </c>
      <c r="M4371">
        <f>IMAGE("file:///E:/Estudios%20y%20certificaciones/ESTUDIOS%20DE%20PROGRAMMING/PROGRAMMING/PERSONAL/PYTHON/Image_Generator_API/imagenes/T_TAHARI_124010283_OLI_2.jpg")</f>
        <v/>
      </c>
      <c r="N4371">
        <f>IMAGE("file:///E:/Estudios%20y%20certificaciones/ESTUDIOS%20DE%20PROGRAMMING/PROGRAMMING/PERSONAL/PYTHON/Image_Generator_API/imagenes/T_TAHARI_124010283_OLI_3.jpg")</f>
        <v/>
      </c>
      <c r="O4371">
        <f>HYPERLINK("imagenes/T_TAHARI_124010283_OLI_1.jpg","Ver imagen")</f>
        <v/>
      </c>
      <c r="P4371">
        <f>HYPERLINK("imagenes/T_TAHARI_124010283_OLI_2.jpg","Ver imagen")</f>
        <v/>
      </c>
      <c r="Q4371">
        <f>HYPERLINK("imagenes/T_TAHARI_124010283_OLI_3.jpg","Ver imagen")</f>
        <v/>
      </c>
    </row>
    <row r="4372">
      <c r="A4372" t="inlineStr">
        <is>
          <t>T TAHARI</t>
        </is>
      </c>
      <c r="B4372" t="inlineStr">
        <is>
          <t>124010283</t>
        </is>
      </c>
      <c r="C4372" t="inlineStr">
        <is>
          <t>INGRID</t>
        </is>
      </c>
      <c r="D4372" t="inlineStr">
        <is>
          <t>OLI</t>
        </is>
      </c>
      <c r="E4372" t="inlineStr">
        <is>
          <t>(en blanco)</t>
        </is>
      </c>
      <c r="F4372" t="inlineStr">
        <is>
          <t>(en blanco)</t>
        </is>
      </c>
      <c r="G4372" t="inlineStr">
        <is>
          <t>L</t>
        </is>
      </c>
      <c r="H4372" t="n">
        <v>104</v>
      </c>
      <c r="I4372" t="inlineStr">
        <is>
          <t>T_TAHARI_124010283_OLI_1.jpg</t>
        </is>
      </c>
      <c r="J4372" t="inlineStr">
        <is>
          <t>T_TAHARI_124010283_OLI_2.jpg</t>
        </is>
      </c>
      <c r="K4372" t="inlineStr">
        <is>
          <t>T_TAHARI_124010283_OLI_3.jpg</t>
        </is>
      </c>
      <c r="L4372">
        <f>IMAGE("file:///E:/Estudios%20y%20certificaciones/ESTUDIOS%20DE%20PROGRAMMING/PROGRAMMING/PERSONAL/PYTHON/Image_Generator_API/imagenes/T_TAHARI_124010283_OLI_1.jpg")</f>
        <v/>
      </c>
      <c r="M4372">
        <f>IMAGE("file:///E:/Estudios%20y%20certificaciones/ESTUDIOS%20DE%20PROGRAMMING/PROGRAMMING/PERSONAL/PYTHON/Image_Generator_API/imagenes/T_TAHARI_124010283_OLI_2.jpg")</f>
        <v/>
      </c>
      <c r="N4372">
        <f>IMAGE("file:///E:/Estudios%20y%20certificaciones/ESTUDIOS%20DE%20PROGRAMMING/PROGRAMMING/PERSONAL/PYTHON/Image_Generator_API/imagenes/T_TAHARI_124010283_OLI_3.jpg")</f>
        <v/>
      </c>
      <c r="O4372">
        <f>HYPERLINK("imagenes/T_TAHARI_124010283_OLI_1.jpg","Ver imagen")</f>
        <v/>
      </c>
      <c r="P4372">
        <f>HYPERLINK("imagenes/T_TAHARI_124010283_OLI_2.jpg","Ver imagen")</f>
        <v/>
      </c>
      <c r="Q4372">
        <f>HYPERLINK("imagenes/T_TAHARI_124010283_OLI_3.jpg","Ver imagen")</f>
        <v/>
      </c>
    </row>
    <row r="4373">
      <c r="A4373" t="inlineStr">
        <is>
          <t>T TAHARI</t>
        </is>
      </c>
      <c r="B4373" t="inlineStr">
        <is>
          <t>124010283</t>
        </is>
      </c>
      <c r="C4373" t="inlineStr">
        <is>
          <t>INGRID</t>
        </is>
      </c>
      <c r="D4373" t="inlineStr">
        <is>
          <t>OLI</t>
        </is>
      </c>
      <c r="E4373" t="inlineStr">
        <is>
          <t>(en blanco)</t>
        </is>
      </c>
      <c r="F4373" t="inlineStr">
        <is>
          <t>(en blanco)</t>
        </is>
      </c>
      <c r="G4373" t="inlineStr">
        <is>
          <t>XL</t>
        </is>
      </c>
      <c r="H4373" t="n">
        <v>51</v>
      </c>
      <c r="I4373" t="inlineStr">
        <is>
          <t>T_TAHARI_124010283_OLI_1.jpg</t>
        </is>
      </c>
      <c r="J4373" t="inlineStr">
        <is>
          <t>T_TAHARI_124010283_OLI_2.jpg</t>
        </is>
      </c>
      <c r="K4373" t="inlineStr">
        <is>
          <t>T_TAHARI_124010283_OLI_3.jpg</t>
        </is>
      </c>
      <c r="L4373">
        <f>IMAGE("file:///E:/Estudios%20y%20certificaciones/ESTUDIOS%20DE%20PROGRAMMING/PROGRAMMING/PERSONAL/PYTHON/Image_Generator_API/imagenes/T_TAHARI_124010283_OLI_1.jpg")</f>
        <v/>
      </c>
      <c r="M4373">
        <f>IMAGE("file:///E:/Estudios%20y%20certificaciones/ESTUDIOS%20DE%20PROGRAMMING/PROGRAMMING/PERSONAL/PYTHON/Image_Generator_API/imagenes/T_TAHARI_124010283_OLI_2.jpg")</f>
        <v/>
      </c>
      <c r="N4373">
        <f>IMAGE("file:///E:/Estudios%20y%20certificaciones/ESTUDIOS%20DE%20PROGRAMMING/PROGRAMMING/PERSONAL/PYTHON/Image_Generator_API/imagenes/T_TAHARI_124010283_OLI_3.jpg")</f>
        <v/>
      </c>
      <c r="O4373">
        <f>HYPERLINK("imagenes/T_TAHARI_124010283_OLI_1.jpg","Ver imagen")</f>
        <v/>
      </c>
      <c r="P4373">
        <f>HYPERLINK("imagenes/T_TAHARI_124010283_OLI_2.jpg","Ver imagen")</f>
        <v/>
      </c>
      <c r="Q4373">
        <f>HYPERLINK("imagenes/T_TAHARI_124010283_OLI_3.jpg","Ver imagen")</f>
        <v/>
      </c>
    </row>
    <row r="4374">
      <c r="A4374" t="inlineStr">
        <is>
          <t>T TAHARI</t>
        </is>
      </c>
      <c r="B4374" t="inlineStr">
        <is>
          <t>124010284</t>
        </is>
      </c>
      <c r="C4374" t="inlineStr">
        <is>
          <t>KINGSLY</t>
        </is>
      </c>
      <c r="D4374" t="inlineStr">
        <is>
          <t>BLK</t>
        </is>
      </c>
      <c r="E4374" t="inlineStr">
        <is>
          <t>(en blanco)</t>
        </is>
      </c>
      <c r="F4374" t="inlineStr">
        <is>
          <t>D2C</t>
        </is>
      </c>
      <c r="G4374" t="inlineStr">
        <is>
          <t>XS</t>
        </is>
      </c>
      <c r="H4374" t="n">
        <v>9</v>
      </c>
      <c r="I4374" t="inlineStr">
        <is>
          <t>T_TAHARI_124010284_BLK_1.jpg</t>
        </is>
      </c>
      <c r="J4374" t="inlineStr">
        <is>
          <t>T_TAHARI_124010284_BLK_2.jpg</t>
        </is>
      </c>
      <c r="K4374" t="inlineStr">
        <is>
          <t>T_TAHARI_124010284_BLK_3.jpg</t>
        </is>
      </c>
      <c r="L4374">
        <f>IMAGE("file:///E:/Estudios%20y%20certificaciones/ESTUDIOS%20DE%20PROGRAMMING/PROGRAMMING/PERSONAL/PYTHON/Image_Generator_API/imagenes/T_TAHARI_124010284_BLK_1.jpg")</f>
        <v/>
      </c>
      <c r="M4374">
        <f>IMAGE("file:///E:/Estudios%20y%20certificaciones/ESTUDIOS%20DE%20PROGRAMMING/PROGRAMMING/PERSONAL/PYTHON/Image_Generator_API/imagenes/T_TAHARI_124010284_BLK_2.jpg")</f>
        <v/>
      </c>
      <c r="N4374">
        <f>IMAGE("file:///E:/Estudios%20y%20certificaciones/ESTUDIOS%20DE%20PROGRAMMING/PROGRAMMING/PERSONAL/PYTHON/Image_Generator_API/imagenes/T_TAHARI_124010284_BLK_3.jpg")</f>
        <v/>
      </c>
      <c r="O4374">
        <f>HYPERLINK("imagenes/T_TAHARI_124010284_BLK_1.jpg","Ver imagen")</f>
        <v/>
      </c>
      <c r="P4374">
        <f>HYPERLINK("imagenes/T_TAHARI_124010284_BLK_2.jpg","Ver imagen")</f>
        <v/>
      </c>
      <c r="Q4374">
        <f>HYPERLINK("imagenes/T_TAHARI_124010284_BLK_3.jpg","Ver imagen")</f>
        <v/>
      </c>
    </row>
    <row r="4375">
      <c r="A4375" t="inlineStr">
        <is>
          <t>T TAHARI</t>
        </is>
      </c>
      <c r="B4375" t="inlineStr">
        <is>
          <t>124010284</t>
        </is>
      </c>
      <c r="C4375" t="inlineStr">
        <is>
          <t>KINGSLY</t>
        </is>
      </c>
      <c r="D4375" t="inlineStr">
        <is>
          <t>BLK</t>
        </is>
      </c>
      <c r="E4375" t="inlineStr">
        <is>
          <t>(en blanco)</t>
        </is>
      </c>
      <c r="F4375" t="inlineStr">
        <is>
          <t>D2C</t>
        </is>
      </c>
      <c r="G4375" t="inlineStr">
        <is>
          <t>S</t>
        </is>
      </c>
      <c r="H4375" t="n">
        <v>15</v>
      </c>
      <c r="I4375" t="inlineStr">
        <is>
          <t>T_TAHARI_124010284_BLK_1.jpg</t>
        </is>
      </c>
      <c r="J4375" t="inlineStr">
        <is>
          <t>T_TAHARI_124010284_BLK_2.jpg</t>
        </is>
      </c>
      <c r="K4375" t="inlineStr">
        <is>
          <t>T_TAHARI_124010284_BLK_3.jpg</t>
        </is>
      </c>
      <c r="L4375">
        <f>IMAGE("file:///E:/Estudios%20y%20certificaciones/ESTUDIOS%20DE%20PROGRAMMING/PROGRAMMING/PERSONAL/PYTHON/Image_Generator_API/imagenes/T_TAHARI_124010284_BLK_1.jpg")</f>
        <v/>
      </c>
      <c r="M4375">
        <f>IMAGE("file:///E:/Estudios%20y%20certificaciones/ESTUDIOS%20DE%20PROGRAMMING/PROGRAMMING/PERSONAL/PYTHON/Image_Generator_API/imagenes/T_TAHARI_124010284_BLK_2.jpg")</f>
        <v/>
      </c>
      <c r="N4375">
        <f>IMAGE("file:///E:/Estudios%20y%20certificaciones/ESTUDIOS%20DE%20PROGRAMMING/PROGRAMMING/PERSONAL/PYTHON/Image_Generator_API/imagenes/T_TAHARI_124010284_BLK_3.jpg")</f>
        <v/>
      </c>
      <c r="O4375">
        <f>HYPERLINK("imagenes/T_TAHARI_124010284_BLK_1.jpg","Ver imagen")</f>
        <v/>
      </c>
      <c r="P4375">
        <f>HYPERLINK("imagenes/T_TAHARI_124010284_BLK_2.jpg","Ver imagen")</f>
        <v/>
      </c>
      <c r="Q4375">
        <f>HYPERLINK("imagenes/T_TAHARI_124010284_BLK_3.jpg","Ver imagen")</f>
        <v/>
      </c>
    </row>
    <row r="4376">
      <c r="A4376" t="inlineStr">
        <is>
          <t>T TAHARI</t>
        </is>
      </c>
      <c r="B4376" t="inlineStr">
        <is>
          <t>124010284</t>
        </is>
      </c>
      <c r="C4376" t="inlineStr">
        <is>
          <t>KINGSLY</t>
        </is>
      </c>
      <c r="D4376" t="inlineStr">
        <is>
          <t>BLK</t>
        </is>
      </c>
      <c r="E4376" t="inlineStr">
        <is>
          <t>(en blanco)</t>
        </is>
      </c>
      <c r="F4376" t="inlineStr">
        <is>
          <t>D2C</t>
        </is>
      </c>
      <c r="G4376" t="inlineStr">
        <is>
          <t>M</t>
        </is>
      </c>
      <c r="H4376" t="n">
        <v>14</v>
      </c>
      <c r="I4376" t="inlineStr">
        <is>
          <t>T_TAHARI_124010284_BLK_1.jpg</t>
        </is>
      </c>
      <c r="J4376" t="inlineStr">
        <is>
          <t>T_TAHARI_124010284_BLK_2.jpg</t>
        </is>
      </c>
      <c r="K4376" t="inlineStr">
        <is>
          <t>T_TAHARI_124010284_BLK_3.jpg</t>
        </is>
      </c>
      <c r="L4376">
        <f>IMAGE("file:///E:/Estudios%20y%20certificaciones/ESTUDIOS%20DE%20PROGRAMMING/PROGRAMMING/PERSONAL/PYTHON/Image_Generator_API/imagenes/T_TAHARI_124010284_BLK_1.jpg")</f>
        <v/>
      </c>
      <c r="M4376">
        <f>IMAGE("file:///E:/Estudios%20y%20certificaciones/ESTUDIOS%20DE%20PROGRAMMING/PROGRAMMING/PERSONAL/PYTHON/Image_Generator_API/imagenes/T_TAHARI_124010284_BLK_2.jpg")</f>
        <v/>
      </c>
      <c r="N4376">
        <f>IMAGE("file:///E:/Estudios%20y%20certificaciones/ESTUDIOS%20DE%20PROGRAMMING/PROGRAMMING/PERSONAL/PYTHON/Image_Generator_API/imagenes/T_TAHARI_124010284_BLK_3.jpg")</f>
        <v/>
      </c>
      <c r="O4376">
        <f>HYPERLINK("imagenes/T_TAHARI_124010284_BLK_1.jpg","Ver imagen")</f>
        <v/>
      </c>
      <c r="P4376">
        <f>HYPERLINK("imagenes/T_TAHARI_124010284_BLK_2.jpg","Ver imagen")</f>
        <v/>
      </c>
      <c r="Q4376">
        <f>HYPERLINK("imagenes/T_TAHARI_124010284_BLK_3.jpg","Ver imagen")</f>
        <v/>
      </c>
    </row>
    <row r="4377">
      <c r="A4377" t="inlineStr">
        <is>
          <t>T TAHARI</t>
        </is>
      </c>
      <c r="B4377" t="inlineStr">
        <is>
          <t>124010284</t>
        </is>
      </c>
      <c r="C4377" t="inlineStr">
        <is>
          <t>KINGSLY</t>
        </is>
      </c>
      <c r="D4377" t="inlineStr">
        <is>
          <t>BLK</t>
        </is>
      </c>
      <c r="E4377" t="inlineStr">
        <is>
          <t>(en blanco)</t>
        </is>
      </c>
      <c r="F4377" t="inlineStr">
        <is>
          <t>D2C</t>
        </is>
      </c>
      <c r="G4377" t="inlineStr">
        <is>
          <t>L</t>
        </is>
      </c>
      <c r="H4377" t="n">
        <v>14</v>
      </c>
      <c r="I4377" t="inlineStr">
        <is>
          <t>T_TAHARI_124010284_BLK_1.jpg</t>
        </is>
      </c>
      <c r="J4377" t="inlineStr">
        <is>
          <t>T_TAHARI_124010284_BLK_2.jpg</t>
        </is>
      </c>
      <c r="K4377" t="inlineStr">
        <is>
          <t>T_TAHARI_124010284_BLK_3.jpg</t>
        </is>
      </c>
      <c r="L4377">
        <f>IMAGE("file:///E:/Estudios%20y%20certificaciones/ESTUDIOS%20DE%20PROGRAMMING/PROGRAMMING/PERSONAL/PYTHON/Image_Generator_API/imagenes/T_TAHARI_124010284_BLK_1.jpg")</f>
        <v/>
      </c>
      <c r="M4377">
        <f>IMAGE("file:///E:/Estudios%20y%20certificaciones/ESTUDIOS%20DE%20PROGRAMMING/PROGRAMMING/PERSONAL/PYTHON/Image_Generator_API/imagenes/T_TAHARI_124010284_BLK_2.jpg")</f>
        <v/>
      </c>
      <c r="N4377">
        <f>IMAGE("file:///E:/Estudios%20y%20certificaciones/ESTUDIOS%20DE%20PROGRAMMING/PROGRAMMING/PERSONAL/PYTHON/Image_Generator_API/imagenes/T_TAHARI_124010284_BLK_3.jpg")</f>
        <v/>
      </c>
      <c r="O4377">
        <f>HYPERLINK("imagenes/T_TAHARI_124010284_BLK_1.jpg","Ver imagen")</f>
        <v/>
      </c>
      <c r="P4377">
        <f>HYPERLINK("imagenes/T_TAHARI_124010284_BLK_2.jpg","Ver imagen")</f>
        <v/>
      </c>
      <c r="Q4377">
        <f>HYPERLINK("imagenes/T_TAHARI_124010284_BLK_3.jpg","Ver imagen")</f>
        <v/>
      </c>
    </row>
    <row r="4378">
      <c r="A4378" t="inlineStr">
        <is>
          <t>T TAHARI</t>
        </is>
      </c>
      <c r="B4378" t="inlineStr">
        <is>
          <t>124010284</t>
        </is>
      </c>
      <c r="C4378" t="inlineStr">
        <is>
          <t>KINGSLY</t>
        </is>
      </c>
      <c r="D4378" t="inlineStr">
        <is>
          <t>BLK</t>
        </is>
      </c>
      <c r="E4378" t="inlineStr">
        <is>
          <t>(en blanco)</t>
        </is>
      </c>
      <c r="F4378" t="inlineStr">
        <is>
          <t>D2C</t>
        </is>
      </c>
      <c r="G4378" t="inlineStr">
        <is>
          <t>XL</t>
        </is>
      </c>
      <c r="H4378" t="n">
        <v>10</v>
      </c>
      <c r="I4378" t="inlineStr">
        <is>
          <t>T_TAHARI_124010284_BLK_1.jpg</t>
        </is>
      </c>
      <c r="J4378" t="inlineStr">
        <is>
          <t>T_TAHARI_124010284_BLK_2.jpg</t>
        </is>
      </c>
      <c r="K4378" t="inlineStr">
        <is>
          <t>T_TAHARI_124010284_BLK_3.jpg</t>
        </is>
      </c>
      <c r="L4378">
        <f>IMAGE("file:///E:/Estudios%20y%20certificaciones/ESTUDIOS%20DE%20PROGRAMMING/PROGRAMMING/PERSONAL/PYTHON/Image_Generator_API/imagenes/T_TAHARI_124010284_BLK_1.jpg")</f>
        <v/>
      </c>
      <c r="M4378">
        <f>IMAGE("file:///E:/Estudios%20y%20certificaciones/ESTUDIOS%20DE%20PROGRAMMING/PROGRAMMING/PERSONAL/PYTHON/Image_Generator_API/imagenes/T_TAHARI_124010284_BLK_2.jpg")</f>
        <v/>
      </c>
      <c r="N4378">
        <f>IMAGE("file:///E:/Estudios%20y%20certificaciones/ESTUDIOS%20DE%20PROGRAMMING/PROGRAMMING/PERSONAL/PYTHON/Image_Generator_API/imagenes/T_TAHARI_124010284_BLK_3.jpg")</f>
        <v/>
      </c>
      <c r="O4378">
        <f>HYPERLINK("imagenes/T_TAHARI_124010284_BLK_1.jpg","Ver imagen")</f>
        <v/>
      </c>
      <c r="P4378">
        <f>HYPERLINK("imagenes/T_TAHARI_124010284_BLK_2.jpg","Ver imagen")</f>
        <v/>
      </c>
      <c r="Q4378">
        <f>HYPERLINK("imagenes/T_TAHARI_124010284_BLK_3.jpg","Ver imagen")</f>
        <v/>
      </c>
    </row>
    <row r="4379">
      <c r="A4379" t="inlineStr">
        <is>
          <t>T TAHARI</t>
        </is>
      </c>
      <c r="B4379" t="inlineStr">
        <is>
          <t>124010284</t>
        </is>
      </c>
      <c r="C4379" t="inlineStr">
        <is>
          <t>KINGSLY</t>
        </is>
      </c>
      <c r="D4379" t="inlineStr">
        <is>
          <t>BLK</t>
        </is>
      </c>
      <c r="E4379" t="inlineStr">
        <is>
          <t>(en blanco)</t>
        </is>
      </c>
      <c r="F4379" t="inlineStr">
        <is>
          <t>M1155</t>
        </is>
      </c>
      <c r="G4379" t="inlineStr">
        <is>
          <t>XS</t>
        </is>
      </c>
      <c r="H4379" t="n">
        <v>7</v>
      </c>
      <c r="I4379" t="inlineStr">
        <is>
          <t>T_TAHARI_124010284_BLK_1.jpg</t>
        </is>
      </c>
      <c r="J4379" t="inlineStr">
        <is>
          <t>T_TAHARI_124010284_BLK_2.jpg</t>
        </is>
      </c>
      <c r="K4379" t="inlineStr">
        <is>
          <t>T_TAHARI_124010284_BLK_3.jpg</t>
        </is>
      </c>
      <c r="L4379">
        <f>IMAGE("file:///E:/Estudios%20y%20certificaciones/ESTUDIOS%20DE%20PROGRAMMING/PROGRAMMING/PERSONAL/PYTHON/Image_Generator_API/imagenes/T_TAHARI_124010284_BLK_1.jpg")</f>
        <v/>
      </c>
      <c r="M4379">
        <f>IMAGE("file:///E:/Estudios%20y%20certificaciones/ESTUDIOS%20DE%20PROGRAMMING/PROGRAMMING/PERSONAL/PYTHON/Image_Generator_API/imagenes/T_TAHARI_124010284_BLK_2.jpg")</f>
        <v/>
      </c>
      <c r="N4379">
        <f>IMAGE("file:///E:/Estudios%20y%20certificaciones/ESTUDIOS%20DE%20PROGRAMMING/PROGRAMMING/PERSONAL/PYTHON/Image_Generator_API/imagenes/T_TAHARI_124010284_BLK_3.jpg")</f>
        <v/>
      </c>
      <c r="O4379">
        <f>HYPERLINK("imagenes/T_TAHARI_124010284_BLK_1.jpg","Ver imagen")</f>
        <v/>
      </c>
      <c r="P4379">
        <f>HYPERLINK("imagenes/T_TAHARI_124010284_BLK_2.jpg","Ver imagen")</f>
        <v/>
      </c>
      <c r="Q4379">
        <f>HYPERLINK("imagenes/T_TAHARI_124010284_BLK_3.jpg","Ver imagen")</f>
        <v/>
      </c>
    </row>
    <row r="4380">
      <c r="A4380" t="inlineStr">
        <is>
          <t>T TAHARI</t>
        </is>
      </c>
      <c r="B4380" t="inlineStr">
        <is>
          <t>124010284</t>
        </is>
      </c>
      <c r="C4380" t="inlineStr">
        <is>
          <t>KINGSLY</t>
        </is>
      </c>
      <c r="D4380" t="inlineStr">
        <is>
          <t>BLK</t>
        </is>
      </c>
      <c r="E4380" t="inlineStr">
        <is>
          <t>(en blanco)</t>
        </is>
      </c>
      <c r="F4380" t="inlineStr">
        <is>
          <t>M1155</t>
        </is>
      </c>
      <c r="G4380" t="inlineStr">
        <is>
          <t>S</t>
        </is>
      </c>
      <c r="H4380" t="n">
        <v>13</v>
      </c>
      <c r="I4380" t="inlineStr">
        <is>
          <t>T_TAHARI_124010284_BLK_1.jpg</t>
        </is>
      </c>
      <c r="J4380" t="inlineStr">
        <is>
          <t>T_TAHARI_124010284_BLK_2.jpg</t>
        </is>
      </c>
      <c r="K4380" t="inlineStr">
        <is>
          <t>T_TAHARI_124010284_BLK_3.jpg</t>
        </is>
      </c>
      <c r="L4380">
        <f>IMAGE("file:///E:/Estudios%20y%20certificaciones/ESTUDIOS%20DE%20PROGRAMMING/PROGRAMMING/PERSONAL/PYTHON/Image_Generator_API/imagenes/T_TAHARI_124010284_BLK_1.jpg")</f>
        <v/>
      </c>
      <c r="M4380">
        <f>IMAGE("file:///E:/Estudios%20y%20certificaciones/ESTUDIOS%20DE%20PROGRAMMING/PROGRAMMING/PERSONAL/PYTHON/Image_Generator_API/imagenes/T_TAHARI_124010284_BLK_2.jpg")</f>
        <v/>
      </c>
      <c r="N4380">
        <f>IMAGE("file:///E:/Estudios%20y%20certificaciones/ESTUDIOS%20DE%20PROGRAMMING/PROGRAMMING/PERSONAL/PYTHON/Image_Generator_API/imagenes/T_TAHARI_124010284_BLK_3.jpg")</f>
        <v/>
      </c>
      <c r="O4380">
        <f>HYPERLINK("imagenes/T_TAHARI_124010284_BLK_1.jpg","Ver imagen")</f>
        <v/>
      </c>
      <c r="P4380">
        <f>HYPERLINK("imagenes/T_TAHARI_124010284_BLK_2.jpg","Ver imagen")</f>
        <v/>
      </c>
      <c r="Q4380">
        <f>HYPERLINK("imagenes/T_TAHARI_124010284_BLK_3.jpg","Ver imagen")</f>
        <v/>
      </c>
    </row>
    <row r="4381">
      <c r="A4381" t="inlineStr">
        <is>
          <t>T TAHARI</t>
        </is>
      </c>
      <c r="B4381" t="inlineStr">
        <is>
          <t>124010284</t>
        </is>
      </c>
      <c r="C4381" t="inlineStr">
        <is>
          <t>KINGSLY</t>
        </is>
      </c>
      <c r="D4381" t="inlineStr">
        <is>
          <t>BLK</t>
        </is>
      </c>
      <c r="E4381" t="inlineStr">
        <is>
          <t>(en blanco)</t>
        </is>
      </c>
      <c r="F4381" t="inlineStr">
        <is>
          <t>M1155</t>
        </is>
      </c>
      <c r="G4381" t="inlineStr">
        <is>
          <t>M</t>
        </is>
      </c>
      <c r="H4381" t="n">
        <v>21</v>
      </c>
      <c r="I4381" t="inlineStr">
        <is>
          <t>T_TAHARI_124010284_BLK_1.jpg</t>
        </is>
      </c>
      <c r="J4381" t="inlineStr">
        <is>
          <t>T_TAHARI_124010284_BLK_2.jpg</t>
        </is>
      </c>
      <c r="K4381" t="inlineStr">
        <is>
          <t>T_TAHARI_124010284_BLK_3.jpg</t>
        </is>
      </c>
      <c r="L4381">
        <f>IMAGE("file:///E:/Estudios%20y%20certificaciones/ESTUDIOS%20DE%20PROGRAMMING/PROGRAMMING/PERSONAL/PYTHON/Image_Generator_API/imagenes/T_TAHARI_124010284_BLK_1.jpg")</f>
        <v/>
      </c>
      <c r="M4381">
        <f>IMAGE("file:///E:/Estudios%20y%20certificaciones/ESTUDIOS%20DE%20PROGRAMMING/PROGRAMMING/PERSONAL/PYTHON/Image_Generator_API/imagenes/T_TAHARI_124010284_BLK_2.jpg")</f>
        <v/>
      </c>
      <c r="N4381">
        <f>IMAGE("file:///E:/Estudios%20y%20certificaciones/ESTUDIOS%20DE%20PROGRAMMING/PROGRAMMING/PERSONAL/PYTHON/Image_Generator_API/imagenes/T_TAHARI_124010284_BLK_3.jpg")</f>
        <v/>
      </c>
      <c r="O4381">
        <f>HYPERLINK("imagenes/T_TAHARI_124010284_BLK_1.jpg","Ver imagen")</f>
        <v/>
      </c>
      <c r="P4381">
        <f>HYPERLINK("imagenes/T_TAHARI_124010284_BLK_2.jpg","Ver imagen")</f>
        <v/>
      </c>
      <c r="Q4381">
        <f>HYPERLINK("imagenes/T_TAHARI_124010284_BLK_3.jpg","Ver imagen")</f>
        <v/>
      </c>
    </row>
    <row r="4382">
      <c r="A4382" t="inlineStr">
        <is>
          <t>T TAHARI</t>
        </is>
      </c>
      <c r="B4382" t="inlineStr">
        <is>
          <t>124010284</t>
        </is>
      </c>
      <c r="C4382" t="inlineStr">
        <is>
          <t>KINGSLY</t>
        </is>
      </c>
      <c r="D4382" t="inlineStr">
        <is>
          <t>BLK</t>
        </is>
      </c>
      <c r="E4382" t="inlineStr">
        <is>
          <t>(en blanco)</t>
        </is>
      </c>
      <c r="F4382" t="inlineStr">
        <is>
          <t>M1155</t>
        </is>
      </c>
      <c r="G4382" t="inlineStr">
        <is>
          <t>L</t>
        </is>
      </c>
      <c r="H4382" t="n">
        <v>29</v>
      </c>
      <c r="I4382" t="inlineStr">
        <is>
          <t>T_TAHARI_124010284_BLK_1.jpg</t>
        </is>
      </c>
      <c r="J4382" t="inlineStr">
        <is>
          <t>T_TAHARI_124010284_BLK_2.jpg</t>
        </is>
      </c>
      <c r="K4382" t="inlineStr">
        <is>
          <t>T_TAHARI_124010284_BLK_3.jpg</t>
        </is>
      </c>
      <c r="L4382">
        <f>IMAGE("file:///E:/Estudios%20y%20certificaciones/ESTUDIOS%20DE%20PROGRAMMING/PROGRAMMING/PERSONAL/PYTHON/Image_Generator_API/imagenes/T_TAHARI_124010284_BLK_1.jpg")</f>
        <v/>
      </c>
      <c r="M4382">
        <f>IMAGE("file:///E:/Estudios%20y%20certificaciones/ESTUDIOS%20DE%20PROGRAMMING/PROGRAMMING/PERSONAL/PYTHON/Image_Generator_API/imagenes/T_TAHARI_124010284_BLK_2.jpg")</f>
        <v/>
      </c>
      <c r="N4382">
        <f>IMAGE("file:///E:/Estudios%20y%20certificaciones/ESTUDIOS%20DE%20PROGRAMMING/PROGRAMMING/PERSONAL/PYTHON/Image_Generator_API/imagenes/T_TAHARI_124010284_BLK_3.jpg")</f>
        <v/>
      </c>
      <c r="O4382">
        <f>HYPERLINK("imagenes/T_TAHARI_124010284_BLK_1.jpg","Ver imagen")</f>
        <v/>
      </c>
      <c r="P4382">
        <f>HYPERLINK("imagenes/T_TAHARI_124010284_BLK_2.jpg","Ver imagen")</f>
        <v/>
      </c>
      <c r="Q4382">
        <f>HYPERLINK("imagenes/T_TAHARI_124010284_BLK_3.jpg","Ver imagen")</f>
        <v/>
      </c>
    </row>
    <row r="4383">
      <c r="A4383" t="inlineStr">
        <is>
          <t>T TAHARI</t>
        </is>
      </c>
      <c r="B4383" t="inlineStr">
        <is>
          <t>124010284</t>
        </is>
      </c>
      <c r="C4383" t="inlineStr">
        <is>
          <t>KINGSLY</t>
        </is>
      </c>
      <c r="D4383" t="inlineStr">
        <is>
          <t>BLK</t>
        </is>
      </c>
      <c r="E4383" t="inlineStr">
        <is>
          <t>(en blanco)</t>
        </is>
      </c>
      <c r="F4383" t="inlineStr">
        <is>
          <t>M1155</t>
        </is>
      </c>
      <c r="G4383" t="inlineStr">
        <is>
          <t>XL</t>
        </is>
      </c>
      <c r="H4383" t="n">
        <v>5</v>
      </c>
      <c r="I4383" t="inlineStr">
        <is>
          <t>T_TAHARI_124010284_BLK_1.jpg</t>
        </is>
      </c>
      <c r="J4383" t="inlineStr">
        <is>
          <t>T_TAHARI_124010284_BLK_2.jpg</t>
        </is>
      </c>
      <c r="K4383" t="inlineStr">
        <is>
          <t>T_TAHARI_124010284_BLK_3.jpg</t>
        </is>
      </c>
      <c r="L4383">
        <f>IMAGE("file:///E:/Estudios%20y%20certificaciones/ESTUDIOS%20DE%20PROGRAMMING/PROGRAMMING/PERSONAL/PYTHON/Image_Generator_API/imagenes/T_TAHARI_124010284_BLK_1.jpg")</f>
        <v/>
      </c>
      <c r="M4383">
        <f>IMAGE("file:///E:/Estudios%20y%20certificaciones/ESTUDIOS%20DE%20PROGRAMMING/PROGRAMMING/PERSONAL/PYTHON/Image_Generator_API/imagenes/T_TAHARI_124010284_BLK_2.jpg")</f>
        <v/>
      </c>
      <c r="N4383">
        <f>IMAGE("file:///E:/Estudios%20y%20certificaciones/ESTUDIOS%20DE%20PROGRAMMING/PROGRAMMING/PERSONAL/PYTHON/Image_Generator_API/imagenes/T_TAHARI_124010284_BLK_3.jpg")</f>
        <v/>
      </c>
      <c r="O4383">
        <f>HYPERLINK("imagenes/T_TAHARI_124010284_BLK_1.jpg","Ver imagen")</f>
        <v/>
      </c>
      <c r="P4383">
        <f>HYPERLINK("imagenes/T_TAHARI_124010284_BLK_2.jpg","Ver imagen")</f>
        <v/>
      </c>
      <c r="Q4383">
        <f>HYPERLINK("imagenes/T_TAHARI_124010284_BLK_3.jpg","Ver imagen")</f>
        <v/>
      </c>
    </row>
    <row r="4384">
      <c r="A4384" t="inlineStr">
        <is>
          <t>T TAHARI</t>
        </is>
      </c>
      <c r="B4384" t="inlineStr">
        <is>
          <t>124010284</t>
        </is>
      </c>
      <c r="C4384" t="inlineStr">
        <is>
          <t>KINGSLY</t>
        </is>
      </c>
      <c r="D4384" t="inlineStr">
        <is>
          <t>BLK</t>
        </is>
      </c>
      <c r="E4384" t="inlineStr">
        <is>
          <t>(en blanco)</t>
        </is>
      </c>
      <c r="F4384" t="inlineStr">
        <is>
          <t>M1155</t>
        </is>
      </c>
      <c r="G4384" t="inlineStr">
        <is>
          <t>XXL</t>
        </is>
      </c>
      <c r="H4384" t="n">
        <v>10</v>
      </c>
      <c r="I4384" t="inlineStr">
        <is>
          <t>T_TAHARI_124010284_BLK_1.jpg</t>
        </is>
      </c>
      <c r="J4384" t="inlineStr">
        <is>
          <t>T_TAHARI_124010284_BLK_2.jpg</t>
        </is>
      </c>
      <c r="K4384" t="inlineStr">
        <is>
          <t>T_TAHARI_124010284_BLK_3.jpg</t>
        </is>
      </c>
      <c r="L4384">
        <f>IMAGE("file:///E:/Estudios%20y%20certificaciones/ESTUDIOS%20DE%20PROGRAMMING/PROGRAMMING/PERSONAL/PYTHON/Image_Generator_API/imagenes/T_TAHARI_124010284_BLK_1.jpg")</f>
        <v/>
      </c>
      <c r="M4384">
        <f>IMAGE("file:///E:/Estudios%20y%20certificaciones/ESTUDIOS%20DE%20PROGRAMMING/PROGRAMMING/PERSONAL/PYTHON/Image_Generator_API/imagenes/T_TAHARI_124010284_BLK_2.jpg")</f>
        <v/>
      </c>
      <c r="N4384">
        <f>IMAGE("file:///E:/Estudios%20y%20certificaciones/ESTUDIOS%20DE%20PROGRAMMING/PROGRAMMING/PERSONAL/PYTHON/Image_Generator_API/imagenes/T_TAHARI_124010284_BLK_3.jpg")</f>
        <v/>
      </c>
      <c r="O4384">
        <f>HYPERLINK("imagenes/T_TAHARI_124010284_BLK_1.jpg","Ver imagen")</f>
        <v/>
      </c>
      <c r="P4384">
        <f>HYPERLINK("imagenes/T_TAHARI_124010284_BLK_2.jpg","Ver imagen")</f>
        <v/>
      </c>
      <c r="Q4384">
        <f>HYPERLINK("imagenes/T_TAHARI_124010284_BLK_3.jpg","Ver imagen")</f>
        <v/>
      </c>
    </row>
    <row r="4385">
      <c r="A4385" t="inlineStr">
        <is>
          <t>T TAHARI</t>
        </is>
      </c>
      <c r="B4385" t="inlineStr">
        <is>
          <t>124010284</t>
        </is>
      </c>
      <c r="C4385" t="inlineStr">
        <is>
          <t>KINGSLY</t>
        </is>
      </c>
      <c r="D4385" t="inlineStr">
        <is>
          <t>BLK</t>
        </is>
      </c>
      <c r="E4385" t="inlineStr">
        <is>
          <t>(en blanco)</t>
        </is>
      </c>
      <c r="F4385" t="inlineStr">
        <is>
          <t>M1155</t>
        </is>
      </c>
      <c r="G4385" t="inlineStr">
        <is>
          <t>XXS</t>
        </is>
      </c>
      <c r="H4385" t="n">
        <v>2</v>
      </c>
      <c r="I4385" t="inlineStr">
        <is>
          <t>T_TAHARI_124010284_BLK_1.jpg</t>
        </is>
      </c>
      <c r="J4385" t="inlineStr">
        <is>
          <t>T_TAHARI_124010284_BLK_2.jpg</t>
        </is>
      </c>
      <c r="K4385" t="inlineStr">
        <is>
          <t>T_TAHARI_124010284_BLK_3.jpg</t>
        </is>
      </c>
      <c r="L4385">
        <f>IMAGE("file:///E:/Estudios%20y%20certificaciones/ESTUDIOS%20DE%20PROGRAMMING/PROGRAMMING/PERSONAL/PYTHON/Image_Generator_API/imagenes/T_TAHARI_124010284_BLK_1.jpg")</f>
        <v/>
      </c>
      <c r="M4385">
        <f>IMAGE("file:///E:/Estudios%20y%20certificaciones/ESTUDIOS%20DE%20PROGRAMMING/PROGRAMMING/PERSONAL/PYTHON/Image_Generator_API/imagenes/T_TAHARI_124010284_BLK_2.jpg")</f>
        <v/>
      </c>
      <c r="N4385">
        <f>IMAGE("file:///E:/Estudios%20y%20certificaciones/ESTUDIOS%20DE%20PROGRAMMING/PROGRAMMING/PERSONAL/PYTHON/Image_Generator_API/imagenes/T_TAHARI_124010284_BLK_3.jpg")</f>
        <v/>
      </c>
      <c r="O4385">
        <f>HYPERLINK("imagenes/T_TAHARI_124010284_BLK_1.jpg","Ver imagen")</f>
        <v/>
      </c>
      <c r="P4385">
        <f>HYPERLINK("imagenes/T_TAHARI_124010284_BLK_2.jpg","Ver imagen")</f>
        <v/>
      </c>
      <c r="Q4385">
        <f>HYPERLINK("imagenes/T_TAHARI_124010284_BLK_3.jpg","Ver imagen")</f>
        <v/>
      </c>
    </row>
    <row r="4386">
      <c r="A4386" t="inlineStr">
        <is>
          <t>T TAHARI</t>
        </is>
      </c>
      <c r="B4386" t="inlineStr">
        <is>
          <t>124010284</t>
        </is>
      </c>
      <c r="C4386" t="inlineStr">
        <is>
          <t>KINGSLY</t>
        </is>
      </c>
      <c r="D4386" t="inlineStr">
        <is>
          <t>BLK</t>
        </is>
      </c>
      <c r="E4386" t="inlineStr">
        <is>
          <t>(en blanco)</t>
        </is>
      </c>
      <c r="F4386" t="inlineStr">
        <is>
          <t>(en blanco)</t>
        </is>
      </c>
      <c r="G4386" t="inlineStr">
        <is>
          <t>XS</t>
        </is>
      </c>
      <c r="H4386" t="n">
        <v>15</v>
      </c>
      <c r="I4386" t="inlineStr">
        <is>
          <t>T_TAHARI_124010284_BLK_1.jpg</t>
        </is>
      </c>
      <c r="J4386" t="inlineStr">
        <is>
          <t>T_TAHARI_124010284_BLK_2.jpg</t>
        </is>
      </c>
      <c r="K4386" t="inlineStr">
        <is>
          <t>T_TAHARI_124010284_BLK_3.jpg</t>
        </is>
      </c>
      <c r="L4386">
        <f>IMAGE("file:///E:/Estudios%20y%20certificaciones/ESTUDIOS%20DE%20PROGRAMMING/PROGRAMMING/PERSONAL/PYTHON/Image_Generator_API/imagenes/T_TAHARI_124010284_BLK_1.jpg")</f>
        <v/>
      </c>
      <c r="M4386">
        <f>IMAGE("file:///E:/Estudios%20y%20certificaciones/ESTUDIOS%20DE%20PROGRAMMING/PROGRAMMING/PERSONAL/PYTHON/Image_Generator_API/imagenes/T_TAHARI_124010284_BLK_2.jpg")</f>
        <v/>
      </c>
      <c r="N4386">
        <f>IMAGE("file:///E:/Estudios%20y%20certificaciones/ESTUDIOS%20DE%20PROGRAMMING/PROGRAMMING/PERSONAL/PYTHON/Image_Generator_API/imagenes/T_TAHARI_124010284_BLK_3.jpg")</f>
        <v/>
      </c>
      <c r="O4386">
        <f>HYPERLINK("imagenes/T_TAHARI_124010284_BLK_1.jpg","Ver imagen")</f>
        <v/>
      </c>
      <c r="P4386">
        <f>HYPERLINK("imagenes/T_TAHARI_124010284_BLK_2.jpg","Ver imagen")</f>
        <v/>
      </c>
      <c r="Q4386">
        <f>HYPERLINK("imagenes/T_TAHARI_124010284_BLK_3.jpg","Ver imagen")</f>
        <v/>
      </c>
    </row>
    <row r="4387">
      <c r="A4387" t="inlineStr">
        <is>
          <t>T TAHARI</t>
        </is>
      </c>
      <c r="B4387" t="inlineStr">
        <is>
          <t>124010284</t>
        </is>
      </c>
      <c r="C4387" t="inlineStr">
        <is>
          <t>KINGSLY</t>
        </is>
      </c>
      <c r="D4387" t="inlineStr">
        <is>
          <t>BLK</t>
        </is>
      </c>
      <c r="E4387" t="inlineStr">
        <is>
          <t>(en blanco)</t>
        </is>
      </c>
      <c r="F4387" t="inlineStr">
        <is>
          <t>(en blanco)</t>
        </is>
      </c>
      <c r="G4387" t="inlineStr">
        <is>
          <t>S</t>
        </is>
      </c>
      <c r="H4387" t="n">
        <v>46</v>
      </c>
      <c r="I4387" t="inlineStr">
        <is>
          <t>T_TAHARI_124010284_BLK_1.jpg</t>
        </is>
      </c>
      <c r="J4387" t="inlineStr">
        <is>
          <t>T_TAHARI_124010284_BLK_2.jpg</t>
        </is>
      </c>
      <c r="K4387" t="inlineStr">
        <is>
          <t>T_TAHARI_124010284_BLK_3.jpg</t>
        </is>
      </c>
      <c r="L4387">
        <f>IMAGE("file:///E:/Estudios%20y%20certificaciones/ESTUDIOS%20DE%20PROGRAMMING/PROGRAMMING/PERSONAL/PYTHON/Image_Generator_API/imagenes/T_TAHARI_124010284_BLK_1.jpg")</f>
        <v/>
      </c>
      <c r="M4387">
        <f>IMAGE("file:///E:/Estudios%20y%20certificaciones/ESTUDIOS%20DE%20PROGRAMMING/PROGRAMMING/PERSONAL/PYTHON/Image_Generator_API/imagenes/T_TAHARI_124010284_BLK_2.jpg")</f>
        <v/>
      </c>
      <c r="N4387">
        <f>IMAGE("file:///E:/Estudios%20y%20certificaciones/ESTUDIOS%20DE%20PROGRAMMING/PROGRAMMING/PERSONAL/PYTHON/Image_Generator_API/imagenes/T_TAHARI_124010284_BLK_3.jpg")</f>
        <v/>
      </c>
      <c r="O4387">
        <f>HYPERLINK("imagenes/T_TAHARI_124010284_BLK_1.jpg","Ver imagen")</f>
        <v/>
      </c>
      <c r="P4387">
        <f>HYPERLINK("imagenes/T_TAHARI_124010284_BLK_2.jpg","Ver imagen")</f>
        <v/>
      </c>
      <c r="Q4387">
        <f>HYPERLINK("imagenes/T_TAHARI_124010284_BLK_3.jpg","Ver imagen")</f>
        <v/>
      </c>
    </row>
    <row r="4388">
      <c r="A4388" t="inlineStr">
        <is>
          <t>T TAHARI</t>
        </is>
      </c>
      <c r="B4388" t="inlineStr">
        <is>
          <t>124010284</t>
        </is>
      </c>
      <c r="C4388" t="inlineStr">
        <is>
          <t>KINGSLY</t>
        </is>
      </c>
      <c r="D4388" t="inlineStr">
        <is>
          <t>BLK</t>
        </is>
      </c>
      <c r="E4388" t="inlineStr">
        <is>
          <t>(en blanco)</t>
        </is>
      </c>
      <c r="F4388" t="inlineStr">
        <is>
          <t>(en blanco)</t>
        </is>
      </c>
      <c r="G4388" t="inlineStr">
        <is>
          <t>M</t>
        </is>
      </c>
      <c r="H4388" t="n">
        <v>59</v>
      </c>
      <c r="I4388" t="inlineStr">
        <is>
          <t>T_TAHARI_124010284_BLK_1.jpg</t>
        </is>
      </c>
      <c r="J4388" t="inlineStr">
        <is>
          <t>T_TAHARI_124010284_BLK_2.jpg</t>
        </is>
      </c>
      <c r="K4388" t="inlineStr">
        <is>
          <t>T_TAHARI_124010284_BLK_3.jpg</t>
        </is>
      </c>
      <c r="L4388">
        <f>IMAGE("file:///E:/Estudios%20y%20certificaciones/ESTUDIOS%20DE%20PROGRAMMING/PROGRAMMING/PERSONAL/PYTHON/Image_Generator_API/imagenes/T_TAHARI_124010284_BLK_1.jpg")</f>
        <v/>
      </c>
      <c r="M4388">
        <f>IMAGE("file:///E:/Estudios%20y%20certificaciones/ESTUDIOS%20DE%20PROGRAMMING/PROGRAMMING/PERSONAL/PYTHON/Image_Generator_API/imagenes/T_TAHARI_124010284_BLK_2.jpg")</f>
        <v/>
      </c>
      <c r="N4388">
        <f>IMAGE("file:///E:/Estudios%20y%20certificaciones/ESTUDIOS%20DE%20PROGRAMMING/PROGRAMMING/PERSONAL/PYTHON/Image_Generator_API/imagenes/T_TAHARI_124010284_BLK_3.jpg")</f>
        <v/>
      </c>
      <c r="O4388">
        <f>HYPERLINK("imagenes/T_TAHARI_124010284_BLK_1.jpg","Ver imagen")</f>
        <v/>
      </c>
      <c r="P4388">
        <f>HYPERLINK("imagenes/T_TAHARI_124010284_BLK_2.jpg","Ver imagen")</f>
        <v/>
      </c>
      <c r="Q4388">
        <f>HYPERLINK("imagenes/T_TAHARI_124010284_BLK_3.jpg","Ver imagen")</f>
        <v/>
      </c>
    </row>
    <row r="4389">
      <c r="A4389" t="inlineStr">
        <is>
          <t>T TAHARI</t>
        </is>
      </c>
      <c r="B4389" t="inlineStr">
        <is>
          <t>124010284</t>
        </is>
      </c>
      <c r="C4389" t="inlineStr">
        <is>
          <t>KINGSLY</t>
        </is>
      </c>
      <c r="D4389" t="inlineStr">
        <is>
          <t>BLK</t>
        </is>
      </c>
      <c r="E4389" t="inlineStr">
        <is>
          <t>(en blanco)</t>
        </is>
      </c>
      <c r="F4389" t="inlineStr">
        <is>
          <t>(en blanco)</t>
        </is>
      </c>
      <c r="G4389" t="inlineStr">
        <is>
          <t>L</t>
        </is>
      </c>
      <c r="H4389" t="n">
        <v>78</v>
      </c>
      <c r="I4389" t="inlineStr">
        <is>
          <t>T_TAHARI_124010284_BLK_1.jpg</t>
        </is>
      </c>
      <c r="J4389" t="inlineStr">
        <is>
          <t>T_TAHARI_124010284_BLK_2.jpg</t>
        </is>
      </c>
      <c r="K4389" t="inlineStr">
        <is>
          <t>T_TAHARI_124010284_BLK_3.jpg</t>
        </is>
      </c>
      <c r="L4389">
        <f>IMAGE("file:///E:/Estudios%20y%20certificaciones/ESTUDIOS%20DE%20PROGRAMMING/PROGRAMMING/PERSONAL/PYTHON/Image_Generator_API/imagenes/T_TAHARI_124010284_BLK_1.jpg")</f>
        <v/>
      </c>
      <c r="M4389">
        <f>IMAGE("file:///E:/Estudios%20y%20certificaciones/ESTUDIOS%20DE%20PROGRAMMING/PROGRAMMING/PERSONAL/PYTHON/Image_Generator_API/imagenes/T_TAHARI_124010284_BLK_2.jpg")</f>
        <v/>
      </c>
      <c r="N4389">
        <f>IMAGE("file:///E:/Estudios%20y%20certificaciones/ESTUDIOS%20DE%20PROGRAMMING/PROGRAMMING/PERSONAL/PYTHON/Image_Generator_API/imagenes/T_TAHARI_124010284_BLK_3.jpg")</f>
        <v/>
      </c>
      <c r="O4389">
        <f>HYPERLINK("imagenes/T_TAHARI_124010284_BLK_1.jpg","Ver imagen")</f>
        <v/>
      </c>
      <c r="P4389">
        <f>HYPERLINK("imagenes/T_TAHARI_124010284_BLK_2.jpg","Ver imagen")</f>
        <v/>
      </c>
      <c r="Q4389">
        <f>HYPERLINK("imagenes/T_TAHARI_124010284_BLK_3.jpg","Ver imagen")</f>
        <v/>
      </c>
    </row>
    <row r="4390">
      <c r="A4390" t="inlineStr">
        <is>
          <t>T TAHARI</t>
        </is>
      </c>
      <c r="B4390" t="inlineStr">
        <is>
          <t>124010284</t>
        </is>
      </c>
      <c r="C4390" t="inlineStr">
        <is>
          <t>KINGSLY</t>
        </is>
      </c>
      <c r="D4390" t="inlineStr">
        <is>
          <t>BLK</t>
        </is>
      </c>
      <c r="E4390" t="inlineStr">
        <is>
          <t>(en blanco)</t>
        </is>
      </c>
      <c r="F4390" t="inlineStr">
        <is>
          <t>(en blanco)</t>
        </is>
      </c>
      <c r="G4390" t="inlineStr">
        <is>
          <t>XL</t>
        </is>
      </c>
      <c r="H4390" t="n">
        <v>39</v>
      </c>
      <c r="I4390" t="inlineStr">
        <is>
          <t>T_TAHARI_124010284_BLK_1.jpg</t>
        </is>
      </c>
      <c r="J4390" t="inlineStr">
        <is>
          <t>T_TAHARI_124010284_BLK_2.jpg</t>
        </is>
      </c>
      <c r="K4390" t="inlineStr">
        <is>
          <t>T_TAHARI_124010284_BLK_3.jpg</t>
        </is>
      </c>
      <c r="L4390">
        <f>IMAGE("file:///E:/Estudios%20y%20certificaciones/ESTUDIOS%20DE%20PROGRAMMING/PROGRAMMING/PERSONAL/PYTHON/Image_Generator_API/imagenes/T_TAHARI_124010284_BLK_1.jpg")</f>
        <v/>
      </c>
      <c r="M4390">
        <f>IMAGE("file:///E:/Estudios%20y%20certificaciones/ESTUDIOS%20DE%20PROGRAMMING/PROGRAMMING/PERSONAL/PYTHON/Image_Generator_API/imagenes/T_TAHARI_124010284_BLK_2.jpg")</f>
        <v/>
      </c>
      <c r="N4390">
        <f>IMAGE("file:///E:/Estudios%20y%20certificaciones/ESTUDIOS%20DE%20PROGRAMMING/PROGRAMMING/PERSONAL/PYTHON/Image_Generator_API/imagenes/T_TAHARI_124010284_BLK_3.jpg")</f>
        <v/>
      </c>
      <c r="O4390">
        <f>HYPERLINK("imagenes/T_TAHARI_124010284_BLK_1.jpg","Ver imagen")</f>
        <v/>
      </c>
      <c r="P4390">
        <f>HYPERLINK("imagenes/T_TAHARI_124010284_BLK_2.jpg","Ver imagen")</f>
        <v/>
      </c>
      <c r="Q4390">
        <f>HYPERLINK("imagenes/T_TAHARI_124010284_BLK_3.jpg","Ver imagen")</f>
        <v/>
      </c>
    </row>
    <row r="4391">
      <c r="A4391" t="inlineStr">
        <is>
          <t>T TAHARI</t>
        </is>
      </c>
      <c r="B4391" t="inlineStr">
        <is>
          <t>124010284</t>
        </is>
      </c>
      <c r="C4391" t="inlineStr">
        <is>
          <t>KINGSLY</t>
        </is>
      </c>
      <c r="D4391" t="inlineStr">
        <is>
          <t>OLI</t>
        </is>
      </c>
      <c r="E4391" t="inlineStr">
        <is>
          <t>(en blanco)</t>
        </is>
      </c>
      <c r="F4391" t="inlineStr">
        <is>
          <t>D2C</t>
        </is>
      </c>
      <c r="G4391" t="inlineStr">
        <is>
          <t>XS</t>
        </is>
      </c>
      <c r="H4391" t="n">
        <v>4</v>
      </c>
      <c r="I4391" t="inlineStr">
        <is>
          <t>T_TAHARI_124010284_OLI_1.jpg</t>
        </is>
      </c>
      <c r="J4391" t="inlineStr">
        <is>
          <t>T_TAHARI_124010284_OLI_2.jpg</t>
        </is>
      </c>
      <c r="K4391" t="inlineStr">
        <is>
          <t>T_TAHARI_124010284_OLI_3.jpg</t>
        </is>
      </c>
      <c r="L4391">
        <f>IMAGE("file:///E:/Estudios%20y%20certificaciones/ESTUDIOS%20DE%20PROGRAMMING/PROGRAMMING/PERSONAL/PYTHON/Image_Generator_API/imagenes/T_TAHARI_124010284_OLI_1.jpg")</f>
        <v/>
      </c>
      <c r="M4391">
        <f>IMAGE("file:///E:/Estudios%20y%20certificaciones/ESTUDIOS%20DE%20PROGRAMMING/PROGRAMMING/PERSONAL/PYTHON/Image_Generator_API/imagenes/T_TAHARI_124010284_OLI_2.jpg")</f>
        <v/>
      </c>
      <c r="N4391">
        <f>IMAGE("file:///E:/Estudios%20y%20certificaciones/ESTUDIOS%20DE%20PROGRAMMING/PROGRAMMING/PERSONAL/PYTHON/Image_Generator_API/imagenes/T_TAHARI_124010284_OLI_3.jpg")</f>
        <v/>
      </c>
      <c r="O4391">
        <f>HYPERLINK("imagenes/T_TAHARI_124010284_OLI_1.jpg","Ver imagen")</f>
        <v/>
      </c>
      <c r="P4391">
        <f>HYPERLINK("imagenes/T_TAHARI_124010284_OLI_2.jpg","Ver imagen")</f>
        <v/>
      </c>
      <c r="Q4391">
        <f>HYPERLINK("imagenes/T_TAHARI_124010284_OLI_3.jpg","Ver imagen")</f>
        <v/>
      </c>
    </row>
    <row r="4392">
      <c r="A4392" t="inlineStr">
        <is>
          <t>T TAHARI</t>
        </is>
      </c>
      <c r="B4392" t="inlineStr">
        <is>
          <t>124010284</t>
        </is>
      </c>
      <c r="C4392" t="inlineStr">
        <is>
          <t>KINGSLY</t>
        </is>
      </c>
      <c r="D4392" t="inlineStr">
        <is>
          <t>OLI</t>
        </is>
      </c>
      <c r="E4392" t="inlineStr">
        <is>
          <t>(en blanco)</t>
        </is>
      </c>
      <c r="F4392" t="inlineStr">
        <is>
          <t>D2C</t>
        </is>
      </c>
      <c r="G4392" t="inlineStr">
        <is>
          <t>S</t>
        </is>
      </c>
      <c r="H4392" t="n">
        <v>10</v>
      </c>
      <c r="I4392" t="inlineStr">
        <is>
          <t>T_TAHARI_124010284_OLI_1.jpg</t>
        </is>
      </c>
      <c r="J4392" t="inlineStr">
        <is>
          <t>T_TAHARI_124010284_OLI_2.jpg</t>
        </is>
      </c>
      <c r="K4392" t="inlineStr">
        <is>
          <t>T_TAHARI_124010284_OLI_3.jpg</t>
        </is>
      </c>
      <c r="L4392">
        <f>IMAGE("file:///E:/Estudios%20y%20certificaciones/ESTUDIOS%20DE%20PROGRAMMING/PROGRAMMING/PERSONAL/PYTHON/Image_Generator_API/imagenes/T_TAHARI_124010284_OLI_1.jpg")</f>
        <v/>
      </c>
      <c r="M4392">
        <f>IMAGE("file:///E:/Estudios%20y%20certificaciones/ESTUDIOS%20DE%20PROGRAMMING/PROGRAMMING/PERSONAL/PYTHON/Image_Generator_API/imagenes/T_TAHARI_124010284_OLI_2.jpg")</f>
        <v/>
      </c>
      <c r="N4392">
        <f>IMAGE("file:///E:/Estudios%20y%20certificaciones/ESTUDIOS%20DE%20PROGRAMMING/PROGRAMMING/PERSONAL/PYTHON/Image_Generator_API/imagenes/T_TAHARI_124010284_OLI_3.jpg")</f>
        <v/>
      </c>
      <c r="O4392">
        <f>HYPERLINK("imagenes/T_TAHARI_124010284_OLI_1.jpg","Ver imagen")</f>
        <v/>
      </c>
      <c r="P4392">
        <f>HYPERLINK("imagenes/T_TAHARI_124010284_OLI_2.jpg","Ver imagen")</f>
        <v/>
      </c>
      <c r="Q4392">
        <f>HYPERLINK("imagenes/T_TAHARI_124010284_OLI_3.jpg","Ver imagen")</f>
        <v/>
      </c>
    </row>
    <row r="4393">
      <c r="A4393" t="inlineStr">
        <is>
          <t>T TAHARI</t>
        </is>
      </c>
      <c r="B4393" t="inlineStr">
        <is>
          <t>124010284</t>
        </is>
      </c>
      <c r="C4393" t="inlineStr">
        <is>
          <t>KINGSLY</t>
        </is>
      </c>
      <c r="D4393" t="inlineStr">
        <is>
          <t>OLI</t>
        </is>
      </c>
      <c r="E4393" t="inlineStr">
        <is>
          <t>(en blanco)</t>
        </is>
      </c>
      <c r="F4393" t="inlineStr">
        <is>
          <t>D2C</t>
        </is>
      </c>
      <c r="G4393" t="inlineStr">
        <is>
          <t>M</t>
        </is>
      </c>
      <c r="H4393" t="n">
        <v>10</v>
      </c>
      <c r="I4393" t="inlineStr">
        <is>
          <t>T_TAHARI_124010284_OLI_1.jpg</t>
        </is>
      </c>
      <c r="J4393" t="inlineStr">
        <is>
          <t>T_TAHARI_124010284_OLI_2.jpg</t>
        </is>
      </c>
      <c r="K4393" t="inlineStr">
        <is>
          <t>T_TAHARI_124010284_OLI_3.jpg</t>
        </is>
      </c>
      <c r="L4393">
        <f>IMAGE("file:///E:/Estudios%20y%20certificaciones/ESTUDIOS%20DE%20PROGRAMMING/PROGRAMMING/PERSONAL/PYTHON/Image_Generator_API/imagenes/T_TAHARI_124010284_OLI_1.jpg")</f>
        <v/>
      </c>
      <c r="M4393">
        <f>IMAGE("file:///E:/Estudios%20y%20certificaciones/ESTUDIOS%20DE%20PROGRAMMING/PROGRAMMING/PERSONAL/PYTHON/Image_Generator_API/imagenes/T_TAHARI_124010284_OLI_2.jpg")</f>
        <v/>
      </c>
      <c r="N4393">
        <f>IMAGE("file:///E:/Estudios%20y%20certificaciones/ESTUDIOS%20DE%20PROGRAMMING/PROGRAMMING/PERSONAL/PYTHON/Image_Generator_API/imagenes/T_TAHARI_124010284_OLI_3.jpg")</f>
        <v/>
      </c>
      <c r="O4393">
        <f>HYPERLINK("imagenes/T_TAHARI_124010284_OLI_1.jpg","Ver imagen")</f>
        <v/>
      </c>
      <c r="P4393">
        <f>HYPERLINK("imagenes/T_TAHARI_124010284_OLI_2.jpg","Ver imagen")</f>
        <v/>
      </c>
      <c r="Q4393">
        <f>HYPERLINK("imagenes/T_TAHARI_124010284_OLI_3.jpg","Ver imagen")</f>
        <v/>
      </c>
    </row>
    <row r="4394">
      <c r="A4394" t="inlineStr">
        <is>
          <t>T TAHARI</t>
        </is>
      </c>
      <c r="B4394" t="inlineStr">
        <is>
          <t>124010284</t>
        </is>
      </c>
      <c r="C4394" t="inlineStr">
        <is>
          <t>KINGSLY</t>
        </is>
      </c>
      <c r="D4394" t="inlineStr">
        <is>
          <t>OLI</t>
        </is>
      </c>
      <c r="E4394" t="inlineStr">
        <is>
          <t>(en blanco)</t>
        </is>
      </c>
      <c r="F4394" t="inlineStr">
        <is>
          <t>D2C</t>
        </is>
      </c>
      <c r="G4394" t="inlineStr">
        <is>
          <t>L</t>
        </is>
      </c>
      <c r="H4394" t="n">
        <v>10</v>
      </c>
      <c r="I4394" t="inlineStr">
        <is>
          <t>T_TAHARI_124010284_OLI_1.jpg</t>
        </is>
      </c>
      <c r="J4394" t="inlineStr">
        <is>
          <t>T_TAHARI_124010284_OLI_2.jpg</t>
        </is>
      </c>
      <c r="K4394" t="inlineStr">
        <is>
          <t>T_TAHARI_124010284_OLI_3.jpg</t>
        </is>
      </c>
      <c r="L4394">
        <f>IMAGE("file:///E:/Estudios%20y%20certificaciones/ESTUDIOS%20DE%20PROGRAMMING/PROGRAMMING/PERSONAL/PYTHON/Image_Generator_API/imagenes/T_TAHARI_124010284_OLI_1.jpg")</f>
        <v/>
      </c>
      <c r="M4394">
        <f>IMAGE("file:///E:/Estudios%20y%20certificaciones/ESTUDIOS%20DE%20PROGRAMMING/PROGRAMMING/PERSONAL/PYTHON/Image_Generator_API/imagenes/T_TAHARI_124010284_OLI_2.jpg")</f>
        <v/>
      </c>
      <c r="N4394">
        <f>IMAGE("file:///E:/Estudios%20y%20certificaciones/ESTUDIOS%20DE%20PROGRAMMING/PROGRAMMING/PERSONAL/PYTHON/Image_Generator_API/imagenes/T_TAHARI_124010284_OLI_3.jpg")</f>
        <v/>
      </c>
      <c r="O4394">
        <f>HYPERLINK("imagenes/T_TAHARI_124010284_OLI_1.jpg","Ver imagen")</f>
        <v/>
      </c>
      <c r="P4394">
        <f>HYPERLINK("imagenes/T_TAHARI_124010284_OLI_2.jpg","Ver imagen")</f>
        <v/>
      </c>
      <c r="Q4394">
        <f>HYPERLINK("imagenes/T_TAHARI_124010284_OLI_3.jpg","Ver imagen")</f>
        <v/>
      </c>
    </row>
    <row r="4395">
      <c r="A4395" t="inlineStr">
        <is>
          <t>T TAHARI</t>
        </is>
      </c>
      <c r="B4395" t="inlineStr">
        <is>
          <t>124010284</t>
        </is>
      </c>
      <c r="C4395" t="inlineStr">
        <is>
          <t>KINGSLY</t>
        </is>
      </c>
      <c r="D4395" t="inlineStr">
        <is>
          <t>OLI</t>
        </is>
      </c>
      <c r="E4395" t="inlineStr">
        <is>
          <t>(en blanco)</t>
        </is>
      </c>
      <c r="F4395" t="inlineStr">
        <is>
          <t>D2C</t>
        </is>
      </c>
      <c r="G4395" t="inlineStr">
        <is>
          <t>XL</t>
        </is>
      </c>
      <c r="H4395" t="n">
        <v>5</v>
      </c>
      <c r="I4395" t="inlineStr">
        <is>
          <t>T_TAHARI_124010284_OLI_1.jpg</t>
        </is>
      </c>
      <c r="J4395" t="inlineStr">
        <is>
          <t>T_TAHARI_124010284_OLI_2.jpg</t>
        </is>
      </c>
      <c r="K4395" t="inlineStr">
        <is>
          <t>T_TAHARI_124010284_OLI_3.jpg</t>
        </is>
      </c>
      <c r="L4395">
        <f>IMAGE("file:///E:/Estudios%20y%20certificaciones/ESTUDIOS%20DE%20PROGRAMMING/PROGRAMMING/PERSONAL/PYTHON/Image_Generator_API/imagenes/T_TAHARI_124010284_OLI_1.jpg")</f>
        <v/>
      </c>
      <c r="M4395">
        <f>IMAGE("file:///E:/Estudios%20y%20certificaciones/ESTUDIOS%20DE%20PROGRAMMING/PROGRAMMING/PERSONAL/PYTHON/Image_Generator_API/imagenes/T_TAHARI_124010284_OLI_2.jpg")</f>
        <v/>
      </c>
      <c r="N4395">
        <f>IMAGE("file:///E:/Estudios%20y%20certificaciones/ESTUDIOS%20DE%20PROGRAMMING/PROGRAMMING/PERSONAL/PYTHON/Image_Generator_API/imagenes/T_TAHARI_124010284_OLI_3.jpg")</f>
        <v/>
      </c>
      <c r="O4395">
        <f>HYPERLINK("imagenes/T_TAHARI_124010284_OLI_1.jpg","Ver imagen")</f>
        <v/>
      </c>
      <c r="P4395">
        <f>HYPERLINK("imagenes/T_TAHARI_124010284_OLI_2.jpg","Ver imagen")</f>
        <v/>
      </c>
      <c r="Q4395">
        <f>HYPERLINK("imagenes/T_TAHARI_124010284_OLI_3.jpg","Ver imagen")</f>
        <v/>
      </c>
    </row>
    <row r="4396">
      <c r="A4396" t="inlineStr">
        <is>
          <t>T TAHARI</t>
        </is>
      </c>
      <c r="B4396" t="inlineStr">
        <is>
          <t>124010284</t>
        </is>
      </c>
      <c r="C4396" t="inlineStr">
        <is>
          <t>KINGSLY</t>
        </is>
      </c>
      <c r="D4396" t="inlineStr">
        <is>
          <t>OLI</t>
        </is>
      </c>
      <c r="E4396" t="inlineStr">
        <is>
          <t>(en blanco)</t>
        </is>
      </c>
      <c r="F4396" t="inlineStr">
        <is>
          <t>M1155</t>
        </is>
      </c>
      <c r="G4396" t="inlineStr">
        <is>
          <t>XS</t>
        </is>
      </c>
      <c r="H4396" t="n">
        <v>0</v>
      </c>
      <c r="I4396" t="inlineStr">
        <is>
          <t>T_TAHARI_124010284_OLI_1.jpg</t>
        </is>
      </c>
      <c r="J4396" t="inlineStr">
        <is>
          <t>T_TAHARI_124010284_OLI_2.jpg</t>
        </is>
      </c>
      <c r="K4396" t="inlineStr">
        <is>
          <t>T_TAHARI_124010284_OLI_3.jpg</t>
        </is>
      </c>
      <c r="L4396">
        <f>IMAGE("file:///E:/Estudios%20y%20certificaciones/ESTUDIOS%20DE%20PROGRAMMING/PROGRAMMING/PERSONAL/PYTHON/Image_Generator_API/imagenes/T_TAHARI_124010284_OLI_1.jpg")</f>
        <v/>
      </c>
      <c r="M4396">
        <f>IMAGE("file:///E:/Estudios%20y%20certificaciones/ESTUDIOS%20DE%20PROGRAMMING/PROGRAMMING/PERSONAL/PYTHON/Image_Generator_API/imagenes/T_TAHARI_124010284_OLI_2.jpg")</f>
        <v/>
      </c>
      <c r="N4396">
        <f>IMAGE("file:///E:/Estudios%20y%20certificaciones/ESTUDIOS%20DE%20PROGRAMMING/PROGRAMMING/PERSONAL/PYTHON/Image_Generator_API/imagenes/T_TAHARI_124010284_OLI_3.jpg")</f>
        <v/>
      </c>
      <c r="O4396">
        <f>HYPERLINK("imagenes/T_TAHARI_124010284_OLI_1.jpg","Ver imagen")</f>
        <v/>
      </c>
      <c r="P4396">
        <f>HYPERLINK("imagenes/T_TAHARI_124010284_OLI_2.jpg","Ver imagen")</f>
        <v/>
      </c>
      <c r="Q4396">
        <f>HYPERLINK("imagenes/T_TAHARI_124010284_OLI_3.jpg","Ver imagen")</f>
        <v/>
      </c>
    </row>
    <row r="4397">
      <c r="A4397" t="inlineStr">
        <is>
          <t>T TAHARI</t>
        </is>
      </c>
      <c r="B4397" t="inlineStr">
        <is>
          <t>124010284</t>
        </is>
      </c>
      <c r="C4397" t="inlineStr">
        <is>
          <t>KINGSLY</t>
        </is>
      </c>
      <c r="D4397" t="inlineStr">
        <is>
          <t>OLI</t>
        </is>
      </c>
      <c r="E4397" t="inlineStr">
        <is>
          <t>(en blanco)</t>
        </is>
      </c>
      <c r="F4397" t="inlineStr">
        <is>
          <t>M1155</t>
        </is>
      </c>
      <c r="G4397" t="inlineStr">
        <is>
          <t>S</t>
        </is>
      </c>
      <c r="H4397" t="n">
        <v>2</v>
      </c>
      <c r="I4397" t="inlineStr">
        <is>
          <t>T_TAHARI_124010284_OLI_1.jpg</t>
        </is>
      </c>
      <c r="J4397" t="inlineStr">
        <is>
          <t>T_TAHARI_124010284_OLI_2.jpg</t>
        </is>
      </c>
      <c r="K4397" t="inlineStr">
        <is>
          <t>T_TAHARI_124010284_OLI_3.jpg</t>
        </is>
      </c>
      <c r="L4397">
        <f>IMAGE("file:///E:/Estudios%20y%20certificaciones/ESTUDIOS%20DE%20PROGRAMMING/PROGRAMMING/PERSONAL/PYTHON/Image_Generator_API/imagenes/T_TAHARI_124010284_OLI_1.jpg")</f>
        <v/>
      </c>
      <c r="M4397">
        <f>IMAGE("file:///E:/Estudios%20y%20certificaciones/ESTUDIOS%20DE%20PROGRAMMING/PROGRAMMING/PERSONAL/PYTHON/Image_Generator_API/imagenes/T_TAHARI_124010284_OLI_2.jpg")</f>
        <v/>
      </c>
      <c r="N4397">
        <f>IMAGE("file:///E:/Estudios%20y%20certificaciones/ESTUDIOS%20DE%20PROGRAMMING/PROGRAMMING/PERSONAL/PYTHON/Image_Generator_API/imagenes/T_TAHARI_124010284_OLI_3.jpg")</f>
        <v/>
      </c>
      <c r="O4397">
        <f>HYPERLINK("imagenes/T_TAHARI_124010284_OLI_1.jpg","Ver imagen")</f>
        <v/>
      </c>
      <c r="P4397">
        <f>HYPERLINK("imagenes/T_TAHARI_124010284_OLI_2.jpg","Ver imagen")</f>
        <v/>
      </c>
      <c r="Q4397">
        <f>HYPERLINK("imagenes/T_TAHARI_124010284_OLI_3.jpg","Ver imagen")</f>
        <v/>
      </c>
    </row>
    <row r="4398">
      <c r="A4398" t="inlineStr">
        <is>
          <t>T TAHARI</t>
        </is>
      </c>
      <c r="B4398" t="inlineStr">
        <is>
          <t>124010284</t>
        </is>
      </c>
      <c r="C4398" t="inlineStr">
        <is>
          <t>KINGSLY</t>
        </is>
      </c>
      <c r="D4398" t="inlineStr">
        <is>
          <t>OLI</t>
        </is>
      </c>
      <c r="E4398" t="inlineStr">
        <is>
          <t>(en blanco)</t>
        </is>
      </c>
      <c r="F4398" t="inlineStr">
        <is>
          <t>M1155</t>
        </is>
      </c>
      <c r="G4398" t="inlineStr">
        <is>
          <t>M</t>
        </is>
      </c>
      <c r="H4398" t="n">
        <v>13</v>
      </c>
      <c r="I4398" t="inlineStr">
        <is>
          <t>T_TAHARI_124010284_OLI_1.jpg</t>
        </is>
      </c>
      <c r="J4398" t="inlineStr">
        <is>
          <t>T_TAHARI_124010284_OLI_2.jpg</t>
        </is>
      </c>
      <c r="K4398" t="inlineStr">
        <is>
          <t>T_TAHARI_124010284_OLI_3.jpg</t>
        </is>
      </c>
      <c r="L4398">
        <f>IMAGE("file:///E:/Estudios%20y%20certificaciones/ESTUDIOS%20DE%20PROGRAMMING/PROGRAMMING/PERSONAL/PYTHON/Image_Generator_API/imagenes/T_TAHARI_124010284_OLI_1.jpg")</f>
        <v/>
      </c>
      <c r="M4398">
        <f>IMAGE("file:///E:/Estudios%20y%20certificaciones/ESTUDIOS%20DE%20PROGRAMMING/PROGRAMMING/PERSONAL/PYTHON/Image_Generator_API/imagenes/T_TAHARI_124010284_OLI_2.jpg")</f>
        <v/>
      </c>
      <c r="N4398">
        <f>IMAGE("file:///E:/Estudios%20y%20certificaciones/ESTUDIOS%20DE%20PROGRAMMING/PROGRAMMING/PERSONAL/PYTHON/Image_Generator_API/imagenes/T_TAHARI_124010284_OLI_3.jpg")</f>
        <v/>
      </c>
      <c r="O4398">
        <f>HYPERLINK("imagenes/T_TAHARI_124010284_OLI_1.jpg","Ver imagen")</f>
        <v/>
      </c>
      <c r="P4398">
        <f>HYPERLINK("imagenes/T_TAHARI_124010284_OLI_2.jpg","Ver imagen")</f>
        <v/>
      </c>
      <c r="Q4398">
        <f>HYPERLINK("imagenes/T_TAHARI_124010284_OLI_3.jpg","Ver imagen")</f>
        <v/>
      </c>
    </row>
    <row r="4399">
      <c r="A4399" t="inlineStr">
        <is>
          <t>T TAHARI</t>
        </is>
      </c>
      <c r="B4399" t="inlineStr">
        <is>
          <t>124010284</t>
        </is>
      </c>
      <c r="C4399" t="inlineStr">
        <is>
          <t>KINGSLY</t>
        </is>
      </c>
      <c r="D4399" t="inlineStr">
        <is>
          <t>OLI</t>
        </is>
      </c>
      <c r="E4399" t="inlineStr">
        <is>
          <t>(en blanco)</t>
        </is>
      </c>
      <c r="F4399" t="inlineStr">
        <is>
          <t>M1155</t>
        </is>
      </c>
      <c r="G4399" t="inlineStr">
        <is>
          <t>L</t>
        </is>
      </c>
      <c r="H4399" t="n">
        <v>18</v>
      </c>
      <c r="I4399" t="inlineStr">
        <is>
          <t>T_TAHARI_124010284_OLI_1.jpg</t>
        </is>
      </c>
      <c r="J4399" t="inlineStr">
        <is>
          <t>T_TAHARI_124010284_OLI_2.jpg</t>
        </is>
      </c>
      <c r="K4399" t="inlineStr">
        <is>
          <t>T_TAHARI_124010284_OLI_3.jpg</t>
        </is>
      </c>
      <c r="L4399">
        <f>IMAGE("file:///E:/Estudios%20y%20certificaciones/ESTUDIOS%20DE%20PROGRAMMING/PROGRAMMING/PERSONAL/PYTHON/Image_Generator_API/imagenes/T_TAHARI_124010284_OLI_1.jpg")</f>
        <v/>
      </c>
      <c r="M4399">
        <f>IMAGE("file:///E:/Estudios%20y%20certificaciones/ESTUDIOS%20DE%20PROGRAMMING/PROGRAMMING/PERSONAL/PYTHON/Image_Generator_API/imagenes/T_TAHARI_124010284_OLI_2.jpg")</f>
        <v/>
      </c>
      <c r="N4399">
        <f>IMAGE("file:///E:/Estudios%20y%20certificaciones/ESTUDIOS%20DE%20PROGRAMMING/PROGRAMMING/PERSONAL/PYTHON/Image_Generator_API/imagenes/T_TAHARI_124010284_OLI_3.jpg")</f>
        <v/>
      </c>
      <c r="O4399">
        <f>HYPERLINK("imagenes/T_TAHARI_124010284_OLI_1.jpg","Ver imagen")</f>
        <v/>
      </c>
      <c r="P4399">
        <f>HYPERLINK("imagenes/T_TAHARI_124010284_OLI_2.jpg","Ver imagen")</f>
        <v/>
      </c>
      <c r="Q4399">
        <f>HYPERLINK("imagenes/T_TAHARI_124010284_OLI_3.jpg","Ver imagen")</f>
        <v/>
      </c>
    </row>
    <row r="4400">
      <c r="A4400" t="inlineStr">
        <is>
          <t>T TAHARI</t>
        </is>
      </c>
      <c r="B4400" t="inlineStr">
        <is>
          <t>124010284</t>
        </is>
      </c>
      <c r="C4400" t="inlineStr">
        <is>
          <t>KINGSLY</t>
        </is>
      </c>
      <c r="D4400" t="inlineStr">
        <is>
          <t>OLI</t>
        </is>
      </c>
      <c r="E4400" t="inlineStr">
        <is>
          <t>(en blanco)</t>
        </is>
      </c>
      <c r="F4400" t="inlineStr">
        <is>
          <t>M1155</t>
        </is>
      </c>
      <c r="G4400" t="inlineStr">
        <is>
          <t>XL</t>
        </is>
      </c>
      <c r="H4400" t="n">
        <v>16</v>
      </c>
      <c r="I4400" t="inlineStr">
        <is>
          <t>T_TAHARI_124010284_OLI_1.jpg</t>
        </is>
      </c>
      <c r="J4400" t="inlineStr">
        <is>
          <t>T_TAHARI_124010284_OLI_2.jpg</t>
        </is>
      </c>
      <c r="K4400" t="inlineStr">
        <is>
          <t>T_TAHARI_124010284_OLI_3.jpg</t>
        </is>
      </c>
      <c r="L4400">
        <f>IMAGE("file:///E:/Estudios%20y%20certificaciones/ESTUDIOS%20DE%20PROGRAMMING/PROGRAMMING/PERSONAL/PYTHON/Image_Generator_API/imagenes/T_TAHARI_124010284_OLI_1.jpg")</f>
        <v/>
      </c>
      <c r="M4400">
        <f>IMAGE("file:///E:/Estudios%20y%20certificaciones/ESTUDIOS%20DE%20PROGRAMMING/PROGRAMMING/PERSONAL/PYTHON/Image_Generator_API/imagenes/T_TAHARI_124010284_OLI_2.jpg")</f>
        <v/>
      </c>
      <c r="N4400">
        <f>IMAGE("file:///E:/Estudios%20y%20certificaciones/ESTUDIOS%20DE%20PROGRAMMING/PROGRAMMING/PERSONAL/PYTHON/Image_Generator_API/imagenes/T_TAHARI_124010284_OLI_3.jpg")</f>
        <v/>
      </c>
      <c r="O4400">
        <f>HYPERLINK("imagenes/T_TAHARI_124010284_OLI_1.jpg","Ver imagen")</f>
        <v/>
      </c>
      <c r="P4400">
        <f>HYPERLINK("imagenes/T_TAHARI_124010284_OLI_2.jpg","Ver imagen")</f>
        <v/>
      </c>
      <c r="Q4400">
        <f>HYPERLINK("imagenes/T_TAHARI_124010284_OLI_3.jpg","Ver imagen")</f>
        <v/>
      </c>
    </row>
    <row r="4401">
      <c r="A4401" t="inlineStr">
        <is>
          <t>T TAHARI</t>
        </is>
      </c>
      <c r="B4401" t="inlineStr">
        <is>
          <t>124010284</t>
        </is>
      </c>
      <c r="C4401" t="inlineStr">
        <is>
          <t>KINGSLY</t>
        </is>
      </c>
      <c r="D4401" t="inlineStr">
        <is>
          <t>OLI</t>
        </is>
      </c>
      <c r="E4401" t="inlineStr">
        <is>
          <t>(en blanco)</t>
        </is>
      </c>
      <c r="F4401" t="inlineStr">
        <is>
          <t>M1155</t>
        </is>
      </c>
      <c r="G4401" t="inlineStr">
        <is>
          <t>XXL</t>
        </is>
      </c>
      <c r="H4401" t="n">
        <v>10</v>
      </c>
      <c r="I4401" t="inlineStr">
        <is>
          <t>T_TAHARI_124010284_OLI_1.jpg</t>
        </is>
      </c>
      <c r="J4401" t="inlineStr">
        <is>
          <t>T_TAHARI_124010284_OLI_2.jpg</t>
        </is>
      </c>
      <c r="K4401" t="inlineStr">
        <is>
          <t>T_TAHARI_124010284_OLI_3.jpg</t>
        </is>
      </c>
      <c r="L4401">
        <f>IMAGE("file:///E:/Estudios%20y%20certificaciones/ESTUDIOS%20DE%20PROGRAMMING/PROGRAMMING/PERSONAL/PYTHON/Image_Generator_API/imagenes/T_TAHARI_124010284_OLI_1.jpg")</f>
        <v/>
      </c>
      <c r="M4401">
        <f>IMAGE("file:///E:/Estudios%20y%20certificaciones/ESTUDIOS%20DE%20PROGRAMMING/PROGRAMMING/PERSONAL/PYTHON/Image_Generator_API/imagenes/T_TAHARI_124010284_OLI_2.jpg")</f>
        <v/>
      </c>
      <c r="N4401">
        <f>IMAGE("file:///E:/Estudios%20y%20certificaciones/ESTUDIOS%20DE%20PROGRAMMING/PROGRAMMING/PERSONAL/PYTHON/Image_Generator_API/imagenes/T_TAHARI_124010284_OLI_3.jpg")</f>
        <v/>
      </c>
      <c r="O4401">
        <f>HYPERLINK("imagenes/T_TAHARI_124010284_OLI_1.jpg","Ver imagen")</f>
        <v/>
      </c>
      <c r="P4401">
        <f>HYPERLINK("imagenes/T_TAHARI_124010284_OLI_2.jpg","Ver imagen")</f>
        <v/>
      </c>
      <c r="Q4401">
        <f>HYPERLINK("imagenes/T_TAHARI_124010284_OLI_3.jpg","Ver imagen")</f>
        <v/>
      </c>
    </row>
    <row r="4402">
      <c r="A4402" t="inlineStr">
        <is>
          <t>T TAHARI</t>
        </is>
      </c>
      <c r="B4402" t="inlineStr">
        <is>
          <t>124010284</t>
        </is>
      </c>
      <c r="C4402" t="inlineStr">
        <is>
          <t>KINGSLY</t>
        </is>
      </c>
      <c r="D4402" t="inlineStr">
        <is>
          <t>OLI</t>
        </is>
      </c>
      <c r="E4402" t="inlineStr">
        <is>
          <t>(en blanco)</t>
        </is>
      </c>
      <c r="F4402" t="inlineStr">
        <is>
          <t>M1155</t>
        </is>
      </c>
      <c r="G4402" t="inlineStr">
        <is>
          <t>XXS</t>
        </is>
      </c>
      <c r="H4402" t="n">
        <v>3</v>
      </c>
      <c r="I4402" t="inlineStr">
        <is>
          <t>T_TAHARI_124010284_OLI_1.jpg</t>
        </is>
      </c>
      <c r="J4402" t="inlineStr">
        <is>
          <t>T_TAHARI_124010284_OLI_2.jpg</t>
        </is>
      </c>
      <c r="K4402" t="inlineStr">
        <is>
          <t>T_TAHARI_124010284_OLI_3.jpg</t>
        </is>
      </c>
      <c r="L4402">
        <f>IMAGE("file:///E:/Estudios%20y%20certificaciones/ESTUDIOS%20DE%20PROGRAMMING/PROGRAMMING/PERSONAL/PYTHON/Image_Generator_API/imagenes/T_TAHARI_124010284_OLI_1.jpg")</f>
        <v/>
      </c>
      <c r="M4402">
        <f>IMAGE("file:///E:/Estudios%20y%20certificaciones/ESTUDIOS%20DE%20PROGRAMMING/PROGRAMMING/PERSONAL/PYTHON/Image_Generator_API/imagenes/T_TAHARI_124010284_OLI_2.jpg")</f>
        <v/>
      </c>
      <c r="N4402">
        <f>IMAGE("file:///E:/Estudios%20y%20certificaciones/ESTUDIOS%20DE%20PROGRAMMING/PROGRAMMING/PERSONAL/PYTHON/Image_Generator_API/imagenes/T_TAHARI_124010284_OLI_3.jpg")</f>
        <v/>
      </c>
      <c r="O4402">
        <f>HYPERLINK("imagenes/T_TAHARI_124010284_OLI_1.jpg","Ver imagen")</f>
        <v/>
      </c>
      <c r="P4402">
        <f>HYPERLINK("imagenes/T_TAHARI_124010284_OLI_2.jpg","Ver imagen")</f>
        <v/>
      </c>
      <c r="Q4402">
        <f>HYPERLINK("imagenes/T_TAHARI_124010284_OLI_3.jpg","Ver imagen")</f>
        <v/>
      </c>
    </row>
    <row r="4403">
      <c r="A4403" t="inlineStr">
        <is>
          <t>T TAHARI</t>
        </is>
      </c>
      <c r="B4403" t="inlineStr">
        <is>
          <t>124010285</t>
        </is>
      </c>
      <c r="C4403" t="inlineStr">
        <is>
          <t>GLENN</t>
        </is>
      </c>
      <c r="D4403" t="inlineStr">
        <is>
          <t>BLK</t>
        </is>
      </c>
      <c r="E4403" t="inlineStr">
        <is>
          <t>(en blanco)</t>
        </is>
      </c>
      <c r="F4403" t="inlineStr">
        <is>
          <t>D2C</t>
        </is>
      </c>
      <c r="G4403" t="inlineStr">
        <is>
          <t>XS</t>
        </is>
      </c>
      <c r="H4403" t="n">
        <v>10</v>
      </c>
      <c r="I4403" t="inlineStr">
        <is>
          <t>T_TAHARI_124010285_BLK_1.jpg</t>
        </is>
      </c>
      <c r="J4403" t="inlineStr">
        <is>
          <t>T_TAHARI_124010285_BLK_2.jpg</t>
        </is>
      </c>
      <c r="K4403" t="inlineStr">
        <is>
          <t>T_TAHARI_124010285_BLK_3.jpg</t>
        </is>
      </c>
      <c r="L4403">
        <f>IMAGE("file:///E:/Estudios%20y%20certificaciones/ESTUDIOS%20DE%20PROGRAMMING/PROGRAMMING/PERSONAL/PYTHON/Image_Generator_API/imagenes/T_TAHARI_124010285_BLK_1.jpg")</f>
        <v/>
      </c>
      <c r="M4403">
        <f>IMAGE("file:///E:/Estudios%20y%20certificaciones/ESTUDIOS%20DE%20PROGRAMMING/PROGRAMMING/PERSONAL/PYTHON/Image_Generator_API/imagenes/T_TAHARI_124010285_BLK_2.jpg")</f>
        <v/>
      </c>
      <c r="N4403">
        <f>IMAGE("file:///E:/Estudios%20y%20certificaciones/ESTUDIOS%20DE%20PROGRAMMING/PROGRAMMING/PERSONAL/PYTHON/Image_Generator_API/imagenes/T_TAHARI_124010285_BLK_3.jpg")</f>
        <v/>
      </c>
      <c r="O4403">
        <f>HYPERLINK("imagenes/T_TAHARI_124010285_BLK_1.jpg","Ver imagen")</f>
        <v/>
      </c>
      <c r="P4403">
        <f>HYPERLINK("imagenes/T_TAHARI_124010285_BLK_2.jpg","Ver imagen")</f>
        <v/>
      </c>
      <c r="Q4403">
        <f>HYPERLINK("imagenes/T_TAHARI_124010285_BLK_3.jpg","Ver imagen")</f>
        <v/>
      </c>
    </row>
    <row r="4404">
      <c r="A4404" t="inlineStr">
        <is>
          <t>T TAHARI</t>
        </is>
      </c>
      <c r="B4404" t="inlineStr">
        <is>
          <t>124010285</t>
        </is>
      </c>
      <c r="C4404" t="inlineStr">
        <is>
          <t>GLENN</t>
        </is>
      </c>
      <c r="D4404" t="inlineStr">
        <is>
          <t>BLK</t>
        </is>
      </c>
      <c r="E4404" t="inlineStr">
        <is>
          <t>(en blanco)</t>
        </is>
      </c>
      <c r="F4404" t="inlineStr">
        <is>
          <t>D2C</t>
        </is>
      </c>
      <c r="G4404" t="inlineStr">
        <is>
          <t>S</t>
        </is>
      </c>
      <c r="H4404" t="n">
        <v>15</v>
      </c>
      <c r="I4404" t="inlineStr">
        <is>
          <t>T_TAHARI_124010285_BLK_1.jpg</t>
        </is>
      </c>
      <c r="J4404" t="inlineStr">
        <is>
          <t>T_TAHARI_124010285_BLK_2.jpg</t>
        </is>
      </c>
      <c r="K4404" t="inlineStr">
        <is>
          <t>T_TAHARI_124010285_BLK_3.jpg</t>
        </is>
      </c>
      <c r="L4404">
        <f>IMAGE("file:///E:/Estudios%20y%20certificaciones/ESTUDIOS%20DE%20PROGRAMMING/PROGRAMMING/PERSONAL/PYTHON/Image_Generator_API/imagenes/T_TAHARI_124010285_BLK_1.jpg")</f>
        <v/>
      </c>
      <c r="M4404">
        <f>IMAGE("file:///E:/Estudios%20y%20certificaciones/ESTUDIOS%20DE%20PROGRAMMING/PROGRAMMING/PERSONAL/PYTHON/Image_Generator_API/imagenes/T_TAHARI_124010285_BLK_2.jpg")</f>
        <v/>
      </c>
      <c r="N4404">
        <f>IMAGE("file:///E:/Estudios%20y%20certificaciones/ESTUDIOS%20DE%20PROGRAMMING/PROGRAMMING/PERSONAL/PYTHON/Image_Generator_API/imagenes/T_TAHARI_124010285_BLK_3.jpg")</f>
        <v/>
      </c>
      <c r="O4404">
        <f>HYPERLINK("imagenes/T_TAHARI_124010285_BLK_1.jpg","Ver imagen")</f>
        <v/>
      </c>
      <c r="P4404">
        <f>HYPERLINK("imagenes/T_TAHARI_124010285_BLK_2.jpg","Ver imagen")</f>
        <v/>
      </c>
      <c r="Q4404">
        <f>HYPERLINK("imagenes/T_TAHARI_124010285_BLK_3.jpg","Ver imagen")</f>
        <v/>
      </c>
    </row>
    <row r="4405">
      <c r="A4405" t="inlineStr">
        <is>
          <t>T TAHARI</t>
        </is>
      </c>
      <c r="B4405" t="inlineStr">
        <is>
          <t>124010285</t>
        </is>
      </c>
      <c r="C4405" t="inlineStr">
        <is>
          <t>GLENN</t>
        </is>
      </c>
      <c r="D4405" t="inlineStr">
        <is>
          <t>BLK</t>
        </is>
      </c>
      <c r="E4405" t="inlineStr">
        <is>
          <t>(en blanco)</t>
        </is>
      </c>
      <c r="F4405" t="inlineStr">
        <is>
          <t>D2C</t>
        </is>
      </c>
      <c r="G4405" t="inlineStr">
        <is>
          <t>M</t>
        </is>
      </c>
      <c r="H4405" t="n">
        <v>15</v>
      </c>
      <c r="I4405" t="inlineStr">
        <is>
          <t>T_TAHARI_124010285_BLK_1.jpg</t>
        </is>
      </c>
      <c r="J4405" t="inlineStr">
        <is>
          <t>T_TAHARI_124010285_BLK_2.jpg</t>
        </is>
      </c>
      <c r="K4405" t="inlineStr">
        <is>
          <t>T_TAHARI_124010285_BLK_3.jpg</t>
        </is>
      </c>
      <c r="L4405">
        <f>IMAGE("file:///E:/Estudios%20y%20certificaciones/ESTUDIOS%20DE%20PROGRAMMING/PROGRAMMING/PERSONAL/PYTHON/Image_Generator_API/imagenes/T_TAHARI_124010285_BLK_1.jpg")</f>
        <v/>
      </c>
      <c r="M4405">
        <f>IMAGE("file:///E:/Estudios%20y%20certificaciones/ESTUDIOS%20DE%20PROGRAMMING/PROGRAMMING/PERSONAL/PYTHON/Image_Generator_API/imagenes/T_TAHARI_124010285_BLK_2.jpg")</f>
        <v/>
      </c>
      <c r="N4405">
        <f>IMAGE("file:///E:/Estudios%20y%20certificaciones/ESTUDIOS%20DE%20PROGRAMMING/PROGRAMMING/PERSONAL/PYTHON/Image_Generator_API/imagenes/T_TAHARI_124010285_BLK_3.jpg")</f>
        <v/>
      </c>
      <c r="O4405">
        <f>HYPERLINK("imagenes/T_TAHARI_124010285_BLK_1.jpg","Ver imagen")</f>
        <v/>
      </c>
      <c r="P4405">
        <f>HYPERLINK("imagenes/T_TAHARI_124010285_BLK_2.jpg","Ver imagen")</f>
        <v/>
      </c>
      <c r="Q4405">
        <f>HYPERLINK("imagenes/T_TAHARI_124010285_BLK_3.jpg","Ver imagen")</f>
        <v/>
      </c>
    </row>
    <row r="4406">
      <c r="A4406" t="inlineStr">
        <is>
          <t>T TAHARI</t>
        </is>
      </c>
      <c r="B4406" t="inlineStr">
        <is>
          <t>124010285</t>
        </is>
      </c>
      <c r="C4406" t="inlineStr">
        <is>
          <t>GLENN</t>
        </is>
      </c>
      <c r="D4406" t="inlineStr">
        <is>
          <t>BLK</t>
        </is>
      </c>
      <c r="E4406" t="inlineStr">
        <is>
          <t>(en blanco)</t>
        </is>
      </c>
      <c r="F4406" t="inlineStr">
        <is>
          <t>D2C</t>
        </is>
      </c>
      <c r="G4406" t="inlineStr">
        <is>
          <t>L</t>
        </is>
      </c>
      <c r="H4406" t="n">
        <v>14</v>
      </c>
      <c r="I4406" t="inlineStr">
        <is>
          <t>T_TAHARI_124010285_BLK_1.jpg</t>
        </is>
      </c>
      <c r="J4406" t="inlineStr">
        <is>
          <t>T_TAHARI_124010285_BLK_2.jpg</t>
        </is>
      </c>
      <c r="K4406" t="inlineStr">
        <is>
          <t>T_TAHARI_124010285_BLK_3.jpg</t>
        </is>
      </c>
      <c r="L4406">
        <f>IMAGE("file:///E:/Estudios%20y%20certificaciones/ESTUDIOS%20DE%20PROGRAMMING/PROGRAMMING/PERSONAL/PYTHON/Image_Generator_API/imagenes/T_TAHARI_124010285_BLK_1.jpg")</f>
        <v/>
      </c>
      <c r="M4406">
        <f>IMAGE("file:///E:/Estudios%20y%20certificaciones/ESTUDIOS%20DE%20PROGRAMMING/PROGRAMMING/PERSONAL/PYTHON/Image_Generator_API/imagenes/T_TAHARI_124010285_BLK_2.jpg")</f>
        <v/>
      </c>
      <c r="N4406">
        <f>IMAGE("file:///E:/Estudios%20y%20certificaciones/ESTUDIOS%20DE%20PROGRAMMING/PROGRAMMING/PERSONAL/PYTHON/Image_Generator_API/imagenes/T_TAHARI_124010285_BLK_3.jpg")</f>
        <v/>
      </c>
      <c r="O4406">
        <f>HYPERLINK("imagenes/T_TAHARI_124010285_BLK_1.jpg","Ver imagen")</f>
        <v/>
      </c>
      <c r="P4406">
        <f>HYPERLINK("imagenes/T_TAHARI_124010285_BLK_2.jpg","Ver imagen")</f>
        <v/>
      </c>
      <c r="Q4406">
        <f>HYPERLINK("imagenes/T_TAHARI_124010285_BLK_3.jpg","Ver imagen")</f>
        <v/>
      </c>
    </row>
    <row r="4407">
      <c r="A4407" t="inlineStr">
        <is>
          <t>T TAHARI</t>
        </is>
      </c>
      <c r="B4407" t="inlineStr">
        <is>
          <t>124010285</t>
        </is>
      </c>
      <c r="C4407" t="inlineStr">
        <is>
          <t>GLENN</t>
        </is>
      </c>
      <c r="D4407" t="inlineStr">
        <is>
          <t>BLK</t>
        </is>
      </c>
      <c r="E4407" t="inlineStr">
        <is>
          <t>(en blanco)</t>
        </is>
      </c>
      <c r="F4407" t="inlineStr">
        <is>
          <t>D2C</t>
        </is>
      </c>
      <c r="G4407" t="inlineStr">
        <is>
          <t>XL</t>
        </is>
      </c>
      <c r="H4407" t="n">
        <v>9</v>
      </c>
      <c r="I4407" t="inlineStr">
        <is>
          <t>T_TAHARI_124010285_BLK_1.jpg</t>
        </is>
      </c>
      <c r="J4407" t="inlineStr">
        <is>
          <t>T_TAHARI_124010285_BLK_2.jpg</t>
        </is>
      </c>
      <c r="K4407" t="inlineStr">
        <is>
          <t>T_TAHARI_124010285_BLK_3.jpg</t>
        </is>
      </c>
      <c r="L4407">
        <f>IMAGE("file:///E:/Estudios%20y%20certificaciones/ESTUDIOS%20DE%20PROGRAMMING/PROGRAMMING/PERSONAL/PYTHON/Image_Generator_API/imagenes/T_TAHARI_124010285_BLK_1.jpg")</f>
        <v/>
      </c>
      <c r="M4407">
        <f>IMAGE("file:///E:/Estudios%20y%20certificaciones/ESTUDIOS%20DE%20PROGRAMMING/PROGRAMMING/PERSONAL/PYTHON/Image_Generator_API/imagenes/T_TAHARI_124010285_BLK_2.jpg")</f>
        <v/>
      </c>
      <c r="N4407">
        <f>IMAGE("file:///E:/Estudios%20y%20certificaciones/ESTUDIOS%20DE%20PROGRAMMING/PROGRAMMING/PERSONAL/PYTHON/Image_Generator_API/imagenes/T_TAHARI_124010285_BLK_3.jpg")</f>
        <v/>
      </c>
      <c r="O4407">
        <f>HYPERLINK("imagenes/T_TAHARI_124010285_BLK_1.jpg","Ver imagen")</f>
        <v/>
      </c>
      <c r="P4407">
        <f>HYPERLINK("imagenes/T_TAHARI_124010285_BLK_2.jpg","Ver imagen")</f>
        <v/>
      </c>
      <c r="Q4407">
        <f>HYPERLINK("imagenes/T_TAHARI_124010285_BLK_3.jpg","Ver imagen")</f>
        <v/>
      </c>
    </row>
    <row r="4408">
      <c r="A4408" t="inlineStr">
        <is>
          <t>T TAHARI</t>
        </is>
      </c>
      <c r="B4408" t="inlineStr">
        <is>
          <t>124010285</t>
        </is>
      </c>
      <c r="C4408" t="inlineStr">
        <is>
          <t>GLENN</t>
        </is>
      </c>
      <c r="D4408" t="inlineStr">
        <is>
          <t>BLK</t>
        </is>
      </c>
      <c r="E4408" t="inlineStr">
        <is>
          <t>(en blanco)</t>
        </is>
      </c>
      <c r="F4408" t="inlineStr">
        <is>
          <t>M1155</t>
        </is>
      </c>
      <c r="G4408" t="inlineStr">
        <is>
          <t>XS</t>
        </is>
      </c>
      <c r="H4408" t="n">
        <v>4</v>
      </c>
      <c r="I4408" t="inlineStr">
        <is>
          <t>T_TAHARI_124010285_BLK_1.jpg</t>
        </is>
      </c>
      <c r="J4408" t="inlineStr">
        <is>
          <t>T_TAHARI_124010285_BLK_2.jpg</t>
        </is>
      </c>
      <c r="K4408" t="inlineStr">
        <is>
          <t>T_TAHARI_124010285_BLK_3.jpg</t>
        </is>
      </c>
      <c r="L4408">
        <f>IMAGE("file:///E:/Estudios%20y%20certificaciones/ESTUDIOS%20DE%20PROGRAMMING/PROGRAMMING/PERSONAL/PYTHON/Image_Generator_API/imagenes/T_TAHARI_124010285_BLK_1.jpg")</f>
        <v/>
      </c>
      <c r="M4408">
        <f>IMAGE("file:///E:/Estudios%20y%20certificaciones/ESTUDIOS%20DE%20PROGRAMMING/PROGRAMMING/PERSONAL/PYTHON/Image_Generator_API/imagenes/T_TAHARI_124010285_BLK_2.jpg")</f>
        <v/>
      </c>
      <c r="N4408">
        <f>IMAGE("file:///E:/Estudios%20y%20certificaciones/ESTUDIOS%20DE%20PROGRAMMING/PROGRAMMING/PERSONAL/PYTHON/Image_Generator_API/imagenes/T_TAHARI_124010285_BLK_3.jpg")</f>
        <v/>
      </c>
      <c r="O4408">
        <f>HYPERLINK("imagenes/T_TAHARI_124010285_BLK_1.jpg","Ver imagen")</f>
        <v/>
      </c>
      <c r="P4408">
        <f>HYPERLINK("imagenes/T_TAHARI_124010285_BLK_2.jpg","Ver imagen")</f>
        <v/>
      </c>
      <c r="Q4408">
        <f>HYPERLINK("imagenes/T_TAHARI_124010285_BLK_3.jpg","Ver imagen")</f>
        <v/>
      </c>
    </row>
    <row r="4409">
      <c r="A4409" t="inlineStr">
        <is>
          <t>T TAHARI</t>
        </is>
      </c>
      <c r="B4409" t="inlineStr">
        <is>
          <t>124010285</t>
        </is>
      </c>
      <c r="C4409" t="inlineStr">
        <is>
          <t>GLENN</t>
        </is>
      </c>
      <c r="D4409" t="inlineStr">
        <is>
          <t>BLK</t>
        </is>
      </c>
      <c r="E4409" t="inlineStr">
        <is>
          <t>(en blanco)</t>
        </is>
      </c>
      <c r="F4409" t="inlineStr">
        <is>
          <t>M1155</t>
        </is>
      </c>
      <c r="G4409" t="inlineStr">
        <is>
          <t>S</t>
        </is>
      </c>
      <c r="H4409" t="n">
        <v>6</v>
      </c>
      <c r="I4409" t="inlineStr">
        <is>
          <t>T_TAHARI_124010285_BLK_1.jpg</t>
        </is>
      </c>
      <c r="J4409" t="inlineStr">
        <is>
          <t>T_TAHARI_124010285_BLK_2.jpg</t>
        </is>
      </c>
      <c r="K4409" t="inlineStr">
        <is>
          <t>T_TAHARI_124010285_BLK_3.jpg</t>
        </is>
      </c>
      <c r="L4409">
        <f>IMAGE("file:///E:/Estudios%20y%20certificaciones/ESTUDIOS%20DE%20PROGRAMMING/PROGRAMMING/PERSONAL/PYTHON/Image_Generator_API/imagenes/T_TAHARI_124010285_BLK_1.jpg")</f>
        <v/>
      </c>
      <c r="M4409">
        <f>IMAGE("file:///E:/Estudios%20y%20certificaciones/ESTUDIOS%20DE%20PROGRAMMING/PROGRAMMING/PERSONAL/PYTHON/Image_Generator_API/imagenes/T_TAHARI_124010285_BLK_2.jpg")</f>
        <v/>
      </c>
      <c r="N4409">
        <f>IMAGE("file:///E:/Estudios%20y%20certificaciones/ESTUDIOS%20DE%20PROGRAMMING/PROGRAMMING/PERSONAL/PYTHON/Image_Generator_API/imagenes/T_TAHARI_124010285_BLK_3.jpg")</f>
        <v/>
      </c>
      <c r="O4409">
        <f>HYPERLINK("imagenes/T_TAHARI_124010285_BLK_1.jpg","Ver imagen")</f>
        <v/>
      </c>
      <c r="P4409">
        <f>HYPERLINK("imagenes/T_TAHARI_124010285_BLK_2.jpg","Ver imagen")</f>
        <v/>
      </c>
      <c r="Q4409">
        <f>HYPERLINK("imagenes/T_TAHARI_124010285_BLK_3.jpg","Ver imagen")</f>
        <v/>
      </c>
    </row>
    <row r="4410">
      <c r="A4410" t="inlineStr">
        <is>
          <t>T TAHARI</t>
        </is>
      </c>
      <c r="B4410" t="inlineStr">
        <is>
          <t>124010285</t>
        </is>
      </c>
      <c r="C4410" t="inlineStr">
        <is>
          <t>GLENN</t>
        </is>
      </c>
      <c r="D4410" t="inlineStr">
        <is>
          <t>BLK</t>
        </is>
      </c>
      <c r="E4410" t="inlineStr">
        <is>
          <t>(en blanco)</t>
        </is>
      </c>
      <c r="F4410" t="inlineStr">
        <is>
          <t>M1155</t>
        </is>
      </c>
      <c r="G4410" t="inlineStr">
        <is>
          <t>M</t>
        </is>
      </c>
      <c r="H4410" t="n">
        <v>9</v>
      </c>
      <c r="I4410" t="inlineStr">
        <is>
          <t>T_TAHARI_124010285_BLK_1.jpg</t>
        </is>
      </c>
      <c r="J4410" t="inlineStr">
        <is>
          <t>T_TAHARI_124010285_BLK_2.jpg</t>
        </is>
      </c>
      <c r="K4410" t="inlineStr">
        <is>
          <t>T_TAHARI_124010285_BLK_3.jpg</t>
        </is>
      </c>
      <c r="L4410">
        <f>IMAGE("file:///E:/Estudios%20y%20certificaciones/ESTUDIOS%20DE%20PROGRAMMING/PROGRAMMING/PERSONAL/PYTHON/Image_Generator_API/imagenes/T_TAHARI_124010285_BLK_1.jpg")</f>
        <v/>
      </c>
      <c r="M4410">
        <f>IMAGE("file:///E:/Estudios%20y%20certificaciones/ESTUDIOS%20DE%20PROGRAMMING/PROGRAMMING/PERSONAL/PYTHON/Image_Generator_API/imagenes/T_TAHARI_124010285_BLK_2.jpg")</f>
        <v/>
      </c>
      <c r="N4410">
        <f>IMAGE("file:///E:/Estudios%20y%20certificaciones/ESTUDIOS%20DE%20PROGRAMMING/PROGRAMMING/PERSONAL/PYTHON/Image_Generator_API/imagenes/T_TAHARI_124010285_BLK_3.jpg")</f>
        <v/>
      </c>
      <c r="O4410">
        <f>HYPERLINK("imagenes/T_TAHARI_124010285_BLK_1.jpg","Ver imagen")</f>
        <v/>
      </c>
      <c r="P4410">
        <f>HYPERLINK("imagenes/T_TAHARI_124010285_BLK_2.jpg","Ver imagen")</f>
        <v/>
      </c>
      <c r="Q4410">
        <f>HYPERLINK("imagenes/T_TAHARI_124010285_BLK_3.jpg","Ver imagen")</f>
        <v/>
      </c>
    </row>
    <row r="4411">
      <c r="A4411" t="inlineStr">
        <is>
          <t>T TAHARI</t>
        </is>
      </c>
      <c r="B4411" t="inlineStr">
        <is>
          <t>124010285</t>
        </is>
      </c>
      <c r="C4411" t="inlineStr">
        <is>
          <t>GLENN</t>
        </is>
      </c>
      <c r="D4411" t="inlineStr">
        <is>
          <t>BLK</t>
        </is>
      </c>
      <c r="E4411" t="inlineStr">
        <is>
          <t>(en blanco)</t>
        </is>
      </c>
      <c r="F4411" t="inlineStr">
        <is>
          <t>M1155</t>
        </is>
      </c>
      <c r="G4411" t="inlineStr">
        <is>
          <t>L</t>
        </is>
      </c>
      <c r="H4411" t="n">
        <v>9</v>
      </c>
      <c r="I4411" t="inlineStr">
        <is>
          <t>T_TAHARI_124010285_BLK_1.jpg</t>
        </is>
      </c>
      <c r="J4411" t="inlineStr">
        <is>
          <t>T_TAHARI_124010285_BLK_2.jpg</t>
        </is>
      </c>
      <c r="K4411" t="inlineStr">
        <is>
          <t>T_TAHARI_124010285_BLK_3.jpg</t>
        </is>
      </c>
      <c r="L4411">
        <f>IMAGE("file:///E:/Estudios%20y%20certificaciones/ESTUDIOS%20DE%20PROGRAMMING/PROGRAMMING/PERSONAL/PYTHON/Image_Generator_API/imagenes/T_TAHARI_124010285_BLK_1.jpg")</f>
        <v/>
      </c>
      <c r="M4411">
        <f>IMAGE("file:///E:/Estudios%20y%20certificaciones/ESTUDIOS%20DE%20PROGRAMMING/PROGRAMMING/PERSONAL/PYTHON/Image_Generator_API/imagenes/T_TAHARI_124010285_BLK_2.jpg")</f>
        <v/>
      </c>
      <c r="N4411">
        <f>IMAGE("file:///E:/Estudios%20y%20certificaciones/ESTUDIOS%20DE%20PROGRAMMING/PROGRAMMING/PERSONAL/PYTHON/Image_Generator_API/imagenes/T_TAHARI_124010285_BLK_3.jpg")</f>
        <v/>
      </c>
      <c r="O4411">
        <f>HYPERLINK("imagenes/T_TAHARI_124010285_BLK_1.jpg","Ver imagen")</f>
        <v/>
      </c>
      <c r="P4411">
        <f>HYPERLINK("imagenes/T_TAHARI_124010285_BLK_2.jpg","Ver imagen")</f>
        <v/>
      </c>
      <c r="Q4411">
        <f>HYPERLINK("imagenes/T_TAHARI_124010285_BLK_3.jpg","Ver imagen")</f>
        <v/>
      </c>
    </row>
    <row r="4412">
      <c r="A4412" t="inlineStr">
        <is>
          <t>T TAHARI</t>
        </is>
      </c>
      <c r="B4412" t="inlineStr">
        <is>
          <t>124010285</t>
        </is>
      </c>
      <c r="C4412" t="inlineStr">
        <is>
          <t>GLENN</t>
        </is>
      </c>
      <c r="D4412" t="inlineStr">
        <is>
          <t>BLK</t>
        </is>
      </c>
      <c r="E4412" t="inlineStr">
        <is>
          <t>(en blanco)</t>
        </is>
      </c>
      <c r="F4412" t="inlineStr">
        <is>
          <t>M1155</t>
        </is>
      </c>
      <c r="G4412" t="inlineStr">
        <is>
          <t>XL</t>
        </is>
      </c>
      <c r="H4412" t="n">
        <v>7</v>
      </c>
      <c r="I4412" t="inlineStr">
        <is>
          <t>T_TAHARI_124010285_BLK_1.jpg</t>
        </is>
      </c>
      <c r="J4412" t="inlineStr">
        <is>
          <t>T_TAHARI_124010285_BLK_2.jpg</t>
        </is>
      </c>
      <c r="K4412" t="inlineStr">
        <is>
          <t>T_TAHARI_124010285_BLK_3.jpg</t>
        </is>
      </c>
      <c r="L4412">
        <f>IMAGE("file:///E:/Estudios%20y%20certificaciones/ESTUDIOS%20DE%20PROGRAMMING/PROGRAMMING/PERSONAL/PYTHON/Image_Generator_API/imagenes/T_TAHARI_124010285_BLK_1.jpg")</f>
        <v/>
      </c>
      <c r="M4412">
        <f>IMAGE("file:///E:/Estudios%20y%20certificaciones/ESTUDIOS%20DE%20PROGRAMMING/PROGRAMMING/PERSONAL/PYTHON/Image_Generator_API/imagenes/T_TAHARI_124010285_BLK_2.jpg")</f>
        <v/>
      </c>
      <c r="N4412">
        <f>IMAGE("file:///E:/Estudios%20y%20certificaciones/ESTUDIOS%20DE%20PROGRAMMING/PROGRAMMING/PERSONAL/PYTHON/Image_Generator_API/imagenes/T_TAHARI_124010285_BLK_3.jpg")</f>
        <v/>
      </c>
      <c r="O4412">
        <f>HYPERLINK("imagenes/T_TAHARI_124010285_BLK_1.jpg","Ver imagen")</f>
        <v/>
      </c>
      <c r="P4412">
        <f>HYPERLINK("imagenes/T_TAHARI_124010285_BLK_2.jpg","Ver imagen")</f>
        <v/>
      </c>
      <c r="Q4412">
        <f>HYPERLINK("imagenes/T_TAHARI_124010285_BLK_3.jpg","Ver imagen")</f>
        <v/>
      </c>
    </row>
    <row r="4413">
      <c r="A4413" t="inlineStr">
        <is>
          <t>T TAHARI</t>
        </is>
      </c>
      <c r="B4413" t="inlineStr">
        <is>
          <t>124010285</t>
        </is>
      </c>
      <c r="C4413" t="inlineStr">
        <is>
          <t>GLENN</t>
        </is>
      </c>
      <c r="D4413" t="inlineStr">
        <is>
          <t>BLK</t>
        </is>
      </c>
      <c r="E4413" t="inlineStr">
        <is>
          <t>(en blanco)</t>
        </is>
      </c>
      <c r="F4413" t="inlineStr">
        <is>
          <t>M1155</t>
        </is>
      </c>
      <c r="G4413" t="inlineStr">
        <is>
          <t>XXL</t>
        </is>
      </c>
      <c r="H4413" t="n">
        <v>6</v>
      </c>
      <c r="I4413" t="inlineStr">
        <is>
          <t>T_TAHARI_124010285_BLK_1.jpg</t>
        </is>
      </c>
      <c r="J4413" t="inlineStr">
        <is>
          <t>T_TAHARI_124010285_BLK_2.jpg</t>
        </is>
      </c>
      <c r="K4413" t="inlineStr">
        <is>
          <t>T_TAHARI_124010285_BLK_3.jpg</t>
        </is>
      </c>
      <c r="L4413">
        <f>IMAGE("file:///E:/Estudios%20y%20certificaciones/ESTUDIOS%20DE%20PROGRAMMING/PROGRAMMING/PERSONAL/PYTHON/Image_Generator_API/imagenes/T_TAHARI_124010285_BLK_1.jpg")</f>
        <v/>
      </c>
      <c r="M4413">
        <f>IMAGE("file:///E:/Estudios%20y%20certificaciones/ESTUDIOS%20DE%20PROGRAMMING/PROGRAMMING/PERSONAL/PYTHON/Image_Generator_API/imagenes/T_TAHARI_124010285_BLK_2.jpg")</f>
        <v/>
      </c>
      <c r="N4413">
        <f>IMAGE("file:///E:/Estudios%20y%20certificaciones/ESTUDIOS%20DE%20PROGRAMMING/PROGRAMMING/PERSONAL/PYTHON/Image_Generator_API/imagenes/T_TAHARI_124010285_BLK_3.jpg")</f>
        <v/>
      </c>
      <c r="O4413">
        <f>HYPERLINK("imagenes/T_TAHARI_124010285_BLK_1.jpg","Ver imagen")</f>
        <v/>
      </c>
      <c r="P4413">
        <f>HYPERLINK("imagenes/T_TAHARI_124010285_BLK_2.jpg","Ver imagen")</f>
        <v/>
      </c>
      <c r="Q4413">
        <f>HYPERLINK("imagenes/T_TAHARI_124010285_BLK_3.jpg","Ver imagen")</f>
        <v/>
      </c>
    </row>
    <row r="4414">
      <c r="A4414" t="inlineStr">
        <is>
          <t>T TAHARI</t>
        </is>
      </c>
      <c r="B4414" t="inlineStr">
        <is>
          <t>124010285</t>
        </is>
      </c>
      <c r="C4414" t="inlineStr">
        <is>
          <t>GLENN</t>
        </is>
      </c>
      <c r="D4414" t="inlineStr">
        <is>
          <t>BLK</t>
        </is>
      </c>
      <c r="E4414" t="inlineStr">
        <is>
          <t>(en blanco)</t>
        </is>
      </c>
      <c r="F4414" t="inlineStr">
        <is>
          <t>M1155</t>
        </is>
      </c>
      <c r="G4414" t="inlineStr">
        <is>
          <t>XXS</t>
        </is>
      </c>
      <c r="H4414" t="n">
        <v>1</v>
      </c>
      <c r="I4414" t="inlineStr">
        <is>
          <t>T_TAHARI_124010285_BLK_1.jpg</t>
        </is>
      </c>
      <c r="J4414" t="inlineStr">
        <is>
          <t>T_TAHARI_124010285_BLK_2.jpg</t>
        </is>
      </c>
      <c r="K4414" t="inlineStr">
        <is>
          <t>T_TAHARI_124010285_BLK_3.jpg</t>
        </is>
      </c>
      <c r="L4414">
        <f>IMAGE("file:///E:/Estudios%20y%20certificaciones/ESTUDIOS%20DE%20PROGRAMMING/PROGRAMMING/PERSONAL/PYTHON/Image_Generator_API/imagenes/T_TAHARI_124010285_BLK_1.jpg")</f>
        <v/>
      </c>
      <c r="M4414">
        <f>IMAGE("file:///E:/Estudios%20y%20certificaciones/ESTUDIOS%20DE%20PROGRAMMING/PROGRAMMING/PERSONAL/PYTHON/Image_Generator_API/imagenes/T_TAHARI_124010285_BLK_2.jpg")</f>
        <v/>
      </c>
      <c r="N4414">
        <f>IMAGE("file:///E:/Estudios%20y%20certificaciones/ESTUDIOS%20DE%20PROGRAMMING/PROGRAMMING/PERSONAL/PYTHON/Image_Generator_API/imagenes/T_TAHARI_124010285_BLK_3.jpg")</f>
        <v/>
      </c>
      <c r="O4414">
        <f>HYPERLINK("imagenes/T_TAHARI_124010285_BLK_1.jpg","Ver imagen")</f>
        <v/>
      </c>
      <c r="P4414">
        <f>HYPERLINK("imagenes/T_TAHARI_124010285_BLK_2.jpg","Ver imagen")</f>
        <v/>
      </c>
      <c r="Q4414">
        <f>HYPERLINK("imagenes/T_TAHARI_124010285_BLK_3.jpg","Ver imagen")</f>
        <v/>
      </c>
    </row>
    <row r="4415">
      <c r="A4415" t="inlineStr">
        <is>
          <t>T TAHARI</t>
        </is>
      </c>
      <c r="B4415" t="inlineStr">
        <is>
          <t>124010285</t>
        </is>
      </c>
      <c r="C4415" t="inlineStr">
        <is>
          <t>GLENN</t>
        </is>
      </c>
      <c r="D4415" t="inlineStr">
        <is>
          <t>BLK</t>
        </is>
      </c>
      <c r="E4415" t="inlineStr">
        <is>
          <t>(en blanco)</t>
        </is>
      </c>
      <c r="F4415" t="inlineStr">
        <is>
          <t>(en blanco)</t>
        </is>
      </c>
      <c r="G4415" t="inlineStr">
        <is>
          <t>XS</t>
        </is>
      </c>
      <c r="H4415" t="n">
        <v>98</v>
      </c>
      <c r="I4415" t="inlineStr">
        <is>
          <t>T_TAHARI_124010285_BLK_1.jpg</t>
        </is>
      </c>
      <c r="J4415" t="inlineStr">
        <is>
          <t>T_TAHARI_124010285_BLK_2.jpg</t>
        </is>
      </c>
      <c r="K4415" t="inlineStr">
        <is>
          <t>T_TAHARI_124010285_BLK_3.jpg</t>
        </is>
      </c>
      <c r="L4415">
        <f>IMAGE("file:///E:/Estudios%20y%20certificaciones/ESTUDIOS%20DE%20PROGRAMMING/PROGRAMMING/PERSONAL/PYTHON/Image_Generator_API/imagenes/T_TAHARI_124010285_BLK_1.jpg")</f>
        <v/>
      </c>
      <c r="M4415">
        <f>IMAGE("file:///E:/Estudios%20y%20certificaciones/ESTUDIOS%20DE%20PROGRAMMING/PROGRAMMING/PERSONAL/PYTHON/Image_Generator_API/imagenes/T_TAHARI_124010285_BLK_2.jpg")</f>
        <v/>
      </c>
      <c r="N4415">
        <f>IMAGE("file:///E:/Estudios%20y%20certificaciones/ESTUDIOS%20DE%20PROGRAMMING/PROGRAMMING/PERSONAL/PYTHON/Image_Generator_API/imagenes/T_TAHARI_124010285_BLK_3.jpg")</f>
        <v/>
      </c>
      <c r="O4415">
        <f>HYPERLINK("imagenes/T_TAHARI_124010285_BLK_1.jpg","Ver imagen")</f>
        <v/>
      </c>
      <c r="P4415">
        <f>HYPERLINK("imagenes/T_TAHARI_124010285_BLK_2.jpg","Ver imagen")</f>
        <v/>
      </c>
      <c r="Q4415">
        <f>HYPERLINK("imagenes/T_TAHARI_124010285_BLK_3.jpg","Ver imagen")</f>
        <v/>
      </c>
    </row>
    <row r="4416">
      <c r="A4416" t="inlineStr">
        <is>
          <t>T TAHARI</t>
        </is>
      </c>
      <c r="B4416" t="inlineStr">
        <is>
          <t>124010285</t>
        </is>
      </c>
      <c r="C4416" t="inlineStr">
        <is>
          <t>GLENN</t>
        </is>
      </c>
      <c r="D4416" t="inlineStr">
        <is>
          <t>BLK</t>
        </is>
      </c>
      <c r="E4416" t="inlineStr">
        <is>
          <t>(en blanco)</t>
        </is>
      </c>
      <c r="F4416" t="inlineStr">
        <is>
          <t>(en blanco)</t>
        </is>
      </c>
      <c r="G4416" t="inlineStr">
        <is>
          <t>S</t>
        </is>
      </c>
      <c r="H4416" t="n">
        <v>217</v>
      </c>
      <c r="I4416" t="inlineStr">
        <is>
          <t>T_TAHARI_124010285_BLK_1.jpg</t>
        </is>
      </c>
      <c r="J4416" t="inlineStr">
        <is>
          <t>T_TAHARI_124010285_BLK_2.jpg</t>
        </is>
      </c>
      <c r="K4416" t="inlineStr">
        <is>
          <t>T_TAHARI_124010285_BLK_3.jpg</t>
        </is>
      </c>
      <c r="L4416">
        <f>IMAGE("file:///E:/Estudios%20y%20certificaciones/ESTUDIOS%20DE%20PROGRAMMING/PROGRAMMING/PERSONAL/PYTHON/Image_Generator_API/imagenes/T_TAHARI_124010285_BLK_1.jpg")</f>
        <v/>
      </c>
      <c r="M4416">
        <f>IMAGE("file:///E:/Estudios%20y%20certificaciones/ESTUDIOS%20DE%20PROGRAMMING/PROGRAMMING/PERSONAL/PYTHON/Image_Generator_API/imagenes/T_TAHARI_124010285_BLK_2.jpg")</f>
        <v/>
      </c>
      <c r="N4416">
        <f>IMAGE("file:///E:/Estudios%20y%20certificaciones/ESTUDIOS%20DE%20PROGRAMMING/PROGRAMMING/PERSONAL/PYTHON/Image_Generator_API/imagenes/T_TAHARI_124010285_BLK_3.jpg")</f>
        <v/>
      </c>
      <c r="O4416">
        <f>HYPERLINK("imagenes/T_TAHARI_124010285_BLK_1.jpg","Ver imagen")</f>
        <v/>
      </c>
      <c r="P4416">
        <f>HYPERLINK("imagenes/T_TAHARI_124010285_BLK_2.jpg","Ver imagen")</f>
        <v/>
      </c>
      <c r="Q4416">
        <f>HYPERLINK("imagenes/T_TAHARI_124010285_BLK_3.jpg","Ver imagen")</f>
        <v/>
      </c>
    </row>
    <row r="4417">
      <c r="A4417" t="inlineStr">
        <is>
          <t>T TAHARI</t>
        </is>
      </c>
      <c r="B4417" t="inlineStr">
        <is>
          <t>124010285</t>
        </is>
      </c>
      <c r="C4417" t="inlineStr">
        <is>
          <t>GLENN</t>
        </is>
      </c>
      <c r="D4417" t="inlineStr">
        <is>
          <t>BLK</t>
        </is>
      </c>
      <c r="E4417" t="inlineStr">
        <is>
          <t>(en blanco)</t>
        </is>
      </c>
      <c r="F4417" t="inlineStr">
        <is>
          <t>(en blanco)</t>
        </is>
      </c>
      <c r="G4417" t="inlineStr">
        <is>
          <t>M</t>
        </is>
      </c>
      <c r="H4417" t="n">
        <v>223</v>
      </c>
      <c r="I4417" t="inlineStr">
        <is>
          <t>T_TAHARI_124010285_BLK_1.jpg</t>
        </is>
      </c>
      <c r="J4417" t="inlineStr">
        <is>
          <t>T_TAHARI_124010285_BLK_2.jpg</t>
        </is>
      </c>
      <c r="K4417" t="inlineStr">
        <is>
          <t>T_TAHARI_124010285_BLK_3.jpg</t>
        </is>
      </c>
      <c r="L4417">
        <f>IMAGE("file:///E:/Estudios%20y%20certificaciones/ESTUDIOS%20DE%20PROGRAMMING/PROGRAMMING/PERSONAL/PYTHON/Image_Generator_API/imagenes/T_TAHARI_124010285_BLK_1.jpg")</f>
        <v/>
      </c>
      <c r="M4417">
        <f>IMAGE("file:///E:/Estudios%20y%20certificaciones/ESTUDIOS%20DE%20PROGRAMMING/PROGRAMMING/PERSONAL/PYTHON/Image_Generator_API/imagenes/T_TAHARI_124010285_BLK_2.jpg")</f>
        <v/>
      </c>
      <c r="N4417">
        <f>IMAGE("file:///E:/Estudios%20y%20certificaciones/ESTUDIOS%20DE%20PROGRAMMING/PROGRAMMING/PERSONAL/PYTHON/Image_Generator_API/imagenes/T_TAHARI_124010285_BLK_3.jpg")</f>
        <v/>
      </c>
      <c r="O4417">
        <f>HYPERLINK("imagenes/T_TAHARI_124010285_BLK_1.jpg","Ver imagen")</f>
        <v/>
      </c>
      <c r="P4417">
        <f>HYPERLINK("imagenes/T_TAHARI_124010285_BLK_2.jpg","Ver imagen")</f>
        <v/>
      </c>
      <c r="Q4417">
        <f>HYPERLINK("imagenes/T_TAHARI_124010285_BLK_3.jpg","Ver imagen")</f>
        <v/>
      </c>
    </row>
    <row r="4418">
      <c r="A4418" t="inlineStr">
        <is>
          <t>T TAHARI</t>
        </is>
      </c>
      <c r="B4418" t="inlineStr">
        <is>
          <t>124010285</t>
        </is>
      </c>
      <c r="C4418" t="inlineStr">
        <is>
          <t>GLENN</t>
        </is>
      </c>
      <c r="D4418" t="inlineStr">
        <is>
          <t>BLK</t>
        </is>
      </c>
      <c r="E4418" t="inlineStr">
        <is>
          <t>(en blanco)</t>
        </is>
      </c>
      <c r="F4418" t="inlineStr">
        <is>
          <t>(en blanco)</t>
        </is>
      </c>
      <c r="G4418" t="inlineStr">
        <is>
          <t>L</t>
        </is>
      </c>
      <c r="H4418" t="n">
        <v>220</v>
      </c>
      <c r="I4418" t="inlineStr">
        <is>
          <t>T_TAHARI_124010285_BLK_1.jpg</t>
        </is>
      </c>
      <c r="J4418" t="inlineStr">
        <is>
          <t>T_TAHARI_124010285_BLK_2.jpg</t>
        </is>
      </c>
      <c r="K4418" t="inlineStr">
        <is>
          <t>T_TAHARI_124010285_BLK_3.jpg</t>
        </is>
      </c>
      <c r="L4418">
        <f>IMAGE("file:///E:/Estudios%20y%20certificaciones/ESTUDIOS%20DE%20PROGRAMMING/PROGRAMMING/PERSONAL/PYTHON/Image_Generator_API/imagenes/T_TAHARI_124010285_BLK_1.jpg")</f>
        <v/>
      </c>
      <c r="M4418">
        <f>IMAGE("file:///E:/Estudios%20y%20certificaciones/ESTUDIOS%20DE%20PROGRAMMING/PROGRAMMING/PERSONAL/PYTHON/Image_Generator_API/imagenes/T_TAHARI_124010285_BLK_2.jpg")</f>
        <v/>
      </c>
      <c r="N4418">
        <f>IMAGE("file:///E:/Estudios%20y%20certificaciones/ESTUDIOS%20DE%20PROGRAMMING/PROGRAMMING/PERSONAL/PYTHON/Image_Generator_API/imagenes/T_TAHARI_124010285_BLK_3.jpg")</f>
        <v/>
      </c>
      <c r="O4418">
        <f>HYPERLINK("imagenes/T_TAHARI_124010285_BLK_1.jpg","Ver imagen")</f>
        <v/>
      </c>
      <c r="P4418">
        <f>HYPERLINK("imagenes/T_TAHARI_124010285_BLK_2.jpg","Ver imagen")</f>
        <v/>
      </c>
      <c r="Q4418">
        <f>HYPERLINK("imagenes/T_TAHARI_124010285_BLK_3.jpg","Ver imagen")</f>
        <v/>
      </c>
    </row>
    <row r="4419">
      <c r="A4419" t="inlineStr">
        <is>
          <t>T TAHARI</t>
        </is>
      </c>
      <c r="B4419" t="inlineStr">
        <is>
          <t>124010285</t>
        </is>
      </c>
      <c r="C4419" t="inlineStr">
        <is>
          <t>GLENN</t>
        </is>
      </c>
      <c r="D4419" t="inlineStr">
        <is>
          <t>BLK</t>
        </is>
      </c>
      <c r="E4419" t="inlineStr">
        <is>
          <t>(en blanco)</t>
        </is>
      </c>
      <c r="F4419" t="inlineStr">
        <is>
          <t>(en blanco)</t>
        </is>
      </c>
      <c r="G4419" t="inlineStr">
        <is>
          <t>XL</t>
        </is>
      </c>
      <c r="H4419" t="n">
        <v>96</v>
      </c>
      <c r="I4419" t="inlineStr">
        <is>
          <t>T_TAHARI_124010285_BLK_1.jpg</t>
        </is>
      </c>
      <c r="J4419" t="inlineStr">
        <is>
          <t>T_TAHARI_124010285_BLK_2.jpg</t>
        </is>
      </c>
      <c r="K4419" t="inlineStr">
        <is>
          <t>T_TAHARI_124010285_BLK_3.jpg</t>
        </is>
      </c>
      <c r="L4419">
        <f>IMAGE("file:///E:/Estudios%20y%20certificaciones/ESTUDIOS%20DE%20PROGRAMMING/PROGRAMMING/PERSONAL/PYTHON/Image_Generator_API/imagenes/T_TAHARI_124010285_BLK_1.jpg")</f>
        <v/>
      </c>
      <c r="M4419">
        <f>IMAGE("file:///E:/Estudios%20y%20certificaciones/ESTUDIOS%20DE%20PROGRAMMING/PROGRAMMING/PERSONAL/PYTHON/Image_Generator_API/imagenes/T_TAHARI_124010285_BLK_2.jpg")</f>
        <v/>
      </c>
      <c r="N4419">
        <f>IMAGE("file:///E:/Estudios%20y%20certificaciones/ESTUDIOS%20DE%20PROGRAMMING/PROGRAMMING/PERSONAL/PYTHON/Image_Generator_API/imagenes/T_TAHARI_124010285_BLK_3.jpg")</f>
        <v/>
      </c>
      <c r="O4419">
        <f>HYPERLINK("imagenes/T_TAHARI_124010285_BLK_1.jpg","Ver imagen")</f>
        <v/>
      </c>
      <c r="P4419">
        <f>HYPERLINK("imagenes/T_TAHARI_124010285_BLK_2.jpg","Ver imagen")</f>
        <v/>
      </c>
      <c r="Q4419">
        <f>HYPERLINK("imagenes/T_TAHARI_124010285_BLK_3.jpg","Ver imagen")</f>
        <v/>
      </c>
    </row>
    <row r="4420">
      <c r="A4420" t="inlineStr">
        <is>
          <t>T TAHARI</t>
        </is>
      </c>
      <c r="B4420" t="inlineStr">
        <is>
          <t>124010285</t>
        </is>
      </c>
      <c r="C4420" t="inlineStr">
        <is>
          <t>GLENN</t>
        </is>
      </c>
      <c r="D4420" t="inlineStr">
        <is>
          <t>GXY</t>
        </is>
      </c>
      <c r="E4420" t="inlineStr">
        <is>
          <t>(en blanco)</t>
        </is>
      </c>
      <c r="F4420" t="inlineStr">
        <is>
          <t>D2C</t>
        </is>
      </c>
      <c r="G4420" t="inlineStr">
        <is>
          <t>XS</t>
        </is>
      </c>
      <c r="H4420" t="n">
        <v>10</v>
      </c>
      <c r="I4420" t="inlineStr">
        <is>
          <t>T_TAHARI_124010285_GXY_2.jpg</t>
        </is>
      </c>
      <c r="J4420" t="inlineStr">
        <is>
          <t>T_TAHARI_124010285_GXY_3.jpg</t>
        </is>
      </c>
      <c r="L4420">
        <f>IMAGE("file:///E:/Estudios%20y%20certificaciones/ESTUDIOS%20DE%20PROGRAMMING/PROGRAMMING/PERSONAL/PYTHON/Image_Generator_API/imagenes/T_TAHARI_124010285_GXY_2.jpg")</f>
        <v/>
      </c>
      <c r="M4420">
        <f>IMAGE("file:///E:/Estudios%20y%20certificaciones/ESTUDIOS%20DE%20PROGRAMMING/PROGRAMMING/PERSONAL/PYTHON/Image_Generator_API/imagenes/T_TAHARI_124010285_GXY_3.jpg")</f>
        <v/>
      </c>
      <c r="O4420">
        <f>HYPERLINK("imagenes/T_TAHARI_124010285_GXY_2.jpg","Ver imagen")</f>
        <v/>
      </c>
      <c r="P4420">
        <f>HYPERLINK("imagenes/T_TAHARI_124010285_GXY_3.jpg","Ver imagen")</f>
        <v/>
      </c>
    </row>
    <row r="4421">
      <c r="A4421" t="inlineStr">
        <is>
          <t>T TAHARI</t>
        </is>
      </c>
      <c r="B4421" t="inlineStr">
        <is>
          <t>124010285</t>
        </is>
      </c>
      <c r="C4421" t="inlineStr">
        <is>
          <t>GLENN</t>
        </is>
      </c>
      <c r="D4421" t="inlineStr">
        <is>
          <t>GXY</t>
        </is>
      </c>
      <c r="E4421" t="inlineStr">
        <is>
          <t>(en blanco)</t>
        </is>
      </c>
      <c r="F4421" t="inlineStr">
        <is>
          <t>D2C</t>
        </is>
      </c>
      <c r="G4421" t="inlineStr">
        <is>
          <t>S</t>
        </is>
      </c>
      <c r="H4421" t="n">
        <v>15</v>
      </c>
      <c r="I4421" t="inlineStr">
        <is>
          <t>T_TAHARI_124010285_GXY_2.jpg</t>
        </is>
      </c>
      <c r="J4421" t="inlineStr">
        <is>
          <t>T_TAHARI_124010285_GXY_3.jpg</t>
        </is>
      </c>
      <c r="L4421">
        <f>IMAGE("file:///E:/Estudios%20y%20certificaciones/ESTUDIOS%20DE%20PROGRAMMING/PROGRAMMING/PERSONAL/PYTHON/Image_Generator_API/imagenes/T_TAHARI_124010285_GXY_2.jpg")</f>
        <v/>
      </c>
      <c r="M4421">
        <f>IMAGE("file:///E:/Estudios%20y%20certificaciones/ESTUDIOS%20DE%20PROGRAMMING/PROGRAMMING/PERSONAL/PYTHON/Image_Generator_API/imagenes/T_TAHARI_124010285_GXY_3.jpg")</f>
        <v/>
      </c>
      <c r="O4421">
        <f>HYPERLINK("imagenes/T_TAHARI_124010285_GXY_2.jpg","Ver imagen")</f>
        <v/>
      </c>
      <c r="P4421">
        <f>HYPERLINK("imagenes/T_TAHARI_124010285_GXY_3.jpg","Ver imagen")</f>
        <v/>
      </c>
    </row>
    <row r="4422">
      <c r="A4422" t="inlineStr">
        <is>
          <t>T TAHARI</t>
        </is>
      </c>
      <c r="B4422" t="inlineStr">
        <is>
          <t>124010285</t>
        </is>
      </c>
      <c r="C4422" t="inlineStr">
        <is>
          <t>GLENN</t>
        </is>
      </c>
      <c r="D4422" t="inlineStr">
        <is>
          <t>GXY</t>
        </is>
      </c>
      <c r="E4422" t="inlineStr">
        <is>
          <t>(en blanco)</t>
        </is>
      </c>
      <c r="F4422" t="inlineStr">
        <is>
          <t>D2C</t>
        </is>
      </c>
      <c r="G4422" t="inlineStr">
        <is>
          <t>M</t>
        </is>
      </c>
      <c r="H4422" t="n">
        <v>15</v>
      </c>
      <c r="I4422" t="inlineStr">
        <is>
          <t>T_TAHARI_124010285_GXY_2.jpg</t>
        </is>
      </c>
      <c r="J4422" t="inlineStr">
        <is>
          <t>T_TAHARI_124010285_GXY_3.jpg</t>
        </is>
      </c>
      <c r="L4422">
        <f>IMAGE("file:///E:/Estudios%20y%20certificaciones/ESTUDIOS%20DE%20PROGRAMMING/PROGRAMMING/PERSONAL/PYTHON/Image_Generator_API/imagenes/T_TAHARI_124010285_GXY_2.jpg")</f>
        <v/>
      </c>
      <c r="M4422">
        <f>IMAGE("file:///E:/Estudios%20y%20certificaciones/ESTUDIOS%20DE%20PROGRAMMING/PROGRAMMING/PERSONAL/PYTHON/Image_Generator_API/imagenes/T_TAHARI_124010285_GXY_3.jpg")</f>
        <v/>
      </c>
      <c r="O4422">
        <f>HYPERLINK("imagenes/T_TAHARI_124010285_GXY_2.jpg","Ver imagen")</f>
        <v/>
      </c>
      <c r="P4422">
        <f>HYPERLINK("imagenes/T_TAHARI_124010285_GXY_3.jpg","Ver imagen")</f>
        <v/>
      </c>
    </row>
    <row r="4423">
      <c r="A4423" t="inlineStr">
        <is>
          <t>T TAHARI</t>
        </is>
      </c>
      <c r="B4423" t="inlineStr">
        <is>
          <t>124010285</t>
        </is>
      </c>
      <c r="C4423" t="inlineStr">
        <is>
          <t>GLENN</t>
        </is>
      </c>
      <c r="D4423" t="inlineStr">
        <is>
          <t>GXY</t>
        </is>
      </c>
      <c r="E4423" t="inlineStr">
        <is>
          <t>(en blanco)</t>
        </is>
      </c>
      <c r="F4423" t="inlineStr">
        <is>
          <t>D2C</t>
        </is>
      </c>
      <c r="G4423" t="inlineStr">
        <is>
          <t>L</t>
        </is>
      </c>
      <c r="H4423" t="n">
        <v>15</v>
      </c>
      <c r="I4423" t="inlineStr">
        <is>
          <t>T_TAHARI_124010285_GXY_2.jpg</t>
        </is>
      </c>
      <c r="J4423" t="inlineStr">
        <is>
          <t>T_TAHARI_124010285_GXY_3.jpg</t>
        </is>
      </c>
      <c r="L4423">
        <f>IMAGE("file:///E:/Estudios%20y%20certificaciones/ESTUDIOS%20DE%20PROGRAMMING/PROGRAMMING/PERSONAL/PYTHON/Image_Generator_API/imagenes/T_TAHARI_124010285_GXY_2.jpg")</f>
        <v/>
      </c>
      <c r="M4423">
        <f>IMAGE("file:///E:/Estudios%20y%20certificaciones/ESTUDIOS%20DE%20PROGRAMMING/PROGRAMMING/PERSONAL/PYTHON/Image_Generator_API/imagenes/T_TAHARI_124010285_GXY_3.jpg")</f>
        <v/>
      </c>
      <c r="O4423">
        <f>HYPERLINK("imagenes/T_TAHARI_124010285_GXY_2.jpg","Ver imagen")</f>
        <v/>
      </c>
      <c r="P4423">
        <f>HYPERLINK("imagenes/T_TAHARI_124010285_GXY_3.jpg","Ver imagen")</f>
        <v/>
      </c>
    </row>
    <row r="4424">
      <c r="A4424" t="inlineStr">
        <is>
          <t>T TAHARI</t>
        </is>
      </c>
      <c r="B4424" t="inlineStr">
        <is>
          <t>124010285</t>
        </is>
      </c>
      <c r="C4424" t="inlineStr">
        <is>
          <t>GLENN</t>
        </is>
      </c>
      <c r="D4424" t="inlineStr">
        <is>
          <t>GXY</t>
        </is>
      </c>
      <c r="E4424" t="inlineStr">
        <is>
          <t>(en blanco)</t>
        </is>
      </c>
      <c r="F4424" t="inlineStr">
        <is>
          <t>D2C</t>
        </is>
      </c>
      <c r="G4424" t="inlineStr">
        <is>
          <t>XL</t>
        </is>
      </c>
      <c r="H4424" t="n">
        <v>10</v>
      </c>
      <c r="I4424" t="inlineStr">
        <is>
          <t>T_TAHARI_124010285_GXY_2.jpg</t>
        </is>
      </c>
      <c r="J4424" t="inlineStr">
        <is>
          <t>T_TAHARI_124010285_GXY_3.jpg</t>
        </is>
      </c>
      <c r="L4424">
        <f>IMAGE("file:///E:/Estudios%20y%20certificaciones/ESTUDIOS%20DE%20PROGRAMMING/PROGRAMMING/PERSONAL/PYTHON/Image_Generator_API/imagenes/T_TAHARI_124010285_GXY_2.jpg")</f>
        <v/>
      </c>
      <c r="M4424">
        <f>IMAGE("file:///E:/Estudios%20y%20certificaciones/ESTUDIOS%20DE%20PROGRAMMING/PROGRAMMING/PERSONAL/PYTHON/Image_Generator_API/imagenes/T_TAHARI_124010285_GXY_3.jpg")</f>
        <v/>
      </c>
      <c r="O4424">
        <f>HYPERLINK("imagenes/T_TAHARI_124010285_GXY_2.jpg","Ver imagen")</f>
        <v/>
      </c>
      <c r="P4424">
        <f>HYPERLINK("imagenes/T_TAHARI_124010285_GXY_3.jpg","Ver imagen")</f>
        <v/>
      </c>
    </row>
    <row r="4425">
      <c r="A4425" t="inlineStr">
        <is>
          <t>T TAHARI</t>
        </is>
      </c>
      <c r="B4425" t="inlineStr">
        <is>
          <t>124010285</t>
        </is>
      </c>
      <c r="C4425" t="inlineStr">
        <is>
          <t>GLENN</t>
        </is>
      </c>
      <c r="D4425" t="inlineStr">
        <is>
          <t>GXY</t>
        </is>
      </c>
      <c r="E4425" t="inlineStr">
        <is>
          <t>(en blanco)</t>
        </is>
      </c>
      <c r="F4425" t="inlineStr">
        <is>
          <t>(en blanco)</t>
        </is>
      </c>
      <c r="G4425" t="inlineStr">
        <is>
          <t>XS</t>
        </is>
      </c>
      <c r="H4425" t="n">
        <v>48</v>
      </c>
      <c r="I4425" t="inlineStr">
        <is>
          <t>T_TAHARI_124010285_GXY_2.jpg</t>
        </is>
      </c>
      <c r="J4425" t="inlineStr">
        <is>
          <t>T_TAHARI_124010285_GXY_3.jpg</t>
        </is>
      </c>
      <c r="L4425">
        <f>IMAGE("file:///E:/Estudios%20y%20certificaciones/ESTUDIOS%20DE%20PROGRAMMING/PROGRAMMING/PERSONAL/PYTHON/Image_Generator_API/imagenes/T_TAHARI_124010285_GXY_2.jpg")</f>
        <v/>
      </c>
      <c r="M4425">
        <f>IMAGE("file:///E:/Estudios%20y%20certificaciones/ESTUDIOS%20DE%20PROGRAMMING/PROGRAMMING/PERSONAL/PYTHON/Image_Generator_API/imagenes/T_TAHARI_124010285_GXY_3.jpg")</f>
        <v/>
      </c>
      <c r="O4425">
        <f>HYPERLINK("imagenes/T_TAHARI_124010285_GXY_2.jpg","Ver imagen")</f>
        <v/>
      </c>
      <c r="P4425">
        <f>HYPERLINK("imagenes/T_TAHARI_124010285_GXY_3.jpg","Ver imagen")</f>
        <v/>
      </c>
    </row>
    <row r="4426">
      <c r="A4426" t="inlineStr">
        <is>
          <t>T TAHARI</t>
        </is>
      </c>
      <c r="B4426" t="inlineStr">
        <is>
          <t>124010285</t>
        </is>
      </c>
      <c r="C4426" t="inlineStr">
        <is>
          <t>GLENN</t>
        </is>
      </c>
      <c r="D4426" t="inlineStr">
        <is>
          <t>GXY</t>
        </is>
      </c>
      <c r="E4426" t="inlineStr">
        <is>
          <t>(en blanco)</t>
        </is>
      </c>
      <c r="F4426" t="inlineStr">
        <is>
          <t>(en blanco)</t>
        </is>
      </c>
      <c r="G4426" t="inlineStr">
        <is>
          <t>S</t>
        </is>
      </c>
      <c r="H4426" t="n">
        <v>125</v>
      </c>
      <c r="I4426" t="inlineStr">
        <is>
          <t>T_TAHARI_124010285_GXY_2.jpg</t>
        </is>
      </c>
      <c r="J4426" t="inlineStr">
        <is>
          <t>T_TAHARI_124010285_GXY_3.jpg</t>
        </is>
      </c>
      <c r="L4426">
        <f>IMAGE("file:///E:/Estudios%20y%20certificaciones/ESTUDIOS%20DE%20PROGRAMMING/PROGRAMMING/PERSONAL/PYTHON/Image_Generator_API/imagenes/T_TAHARI_124010285_GXY_2.jpg")</f>
        <v/>
      </c>
      <c r="M4426">
        <f>IMAGE("file:///E:/Estudios%20y%20certificaciones/ESTUDIOS%20DE%20PROGRAMMING/PROGRAMMING/PERSONAL/PYTHON/Image_Generator_API/imagenes/T_TAHARI_124010285_GXY_3.jpg")</f>
        <v/>
      </c>
      <c r="O4426">
        <f>HYPERLINK("imagenes/T_TAHARI_124010285_GXY_2.jpg","Ver imagen")</f>
        <v/>
      </c>
      <c r="P4426">
        <f>HYPERLINK("imagenes/T_TAHARI_124010285_GXY_3.jpg","Ver imagen")</f>
        <v/>
      </c>
    </row>
    <row r="4427">
      <c r="A4427" t="inlineStr">
        <is>
          <t>T TAHARI</t>
        </is>
      </c>
      <c r="B4427" t="inlineStr">
        <is>
          <t>124010285</t>
        </is>
      </c>
      <c r="C4427" t="inlineStr">
        <is>
          <t>GLENN</t>
        </is>
      </c>
      <c r="D4427" t="inlineStr">
        <is>
          <t>GXY</t>
        </is>
      </c>
      <c r="E4427" t="inlineStr">
        <is>
          <t>(en blanco)</t>
        </is>
      </c>
      <c r="F4427" t="inlineStr">
        <is>
          <t>(en blanco)</t>
        </is>
      </c>
      <c r="G4427" t="inlineStr">
        <is>
          <t>M</t>
        </is>
      </c>
      <c r="H4427" t="n">
        <v>135</v>
      </c>
      <c r="I4427" t="inlineStr">
        <is>
          <t>T_TAHARI_124010285_GXY_2.jpg</t>
        </is>
      </c>
      <c r="J4427" t="inlineStr">
        <is>
          <t>T_TAHARI_124010285_GXY_3.jpg</t>
        </is>
      </c>
      <c r="L4427">
        <f>IMAGE("file:///E:/Estudios%20y%20certificaciones/ESTUDIOS%20DE%20PROGRAMMING/PROGRAMMING/PERSONAL/PYTHON/Image_Generator_API/imagenes/T_TAHARI_124010285_GXY_2.jpg")</f>
        <v/>
      </c>
      <c r="M4427">
        <f>IMAGE("file:///E:/Estudios%20y%20certificaciones/ESTUDIOS%20DE%20PROGRAMMING/PROGRAMMING/PERSONAL/PYTHON/Image_Generator_API/imagenes/T_TAHARI_124010285_GXY_3.jpg")</f>
        <v/>
      </c>
      <c r="O4427">
        <f>HYPERLINK("imagenes/T_TAHARI_124010285_GXY_2.jpg","Ver imagen")</f>
        <v/>
      </c>
      <c r="P4427">
        <f>HYPERLINK("imagenes/T_TAHARI_124010285_GXY_3.jpg","Ver imagen")</f>
        <v/>
      </c>
    </row>
    <row r="4428">
      <c r="A4428" t="inlineStr">
        <is>
          <t>T TAHARI</t>
        </is>
      </c>
      <c r="B4428" t="inlineStr">
        <is>
          <t>124010285</t>
        </is>
      </c>
      <c r="C4428" t="inlineStr">
        <is>
          <t>GLENN</t>
        </is>
      </c>
      <c r="D4428" t="inlineStr">
        <is>
          <t>GXY</t>
        </is>
      </c>
      <c r="E4428" t="inlineStr">
        <is>
          <t>(en blanco)</t>
        </is>
      </c>
      <c r="F4428" t="inlineStr">
        <is>
          <t>(en blanco)</t>
        </is>
      </c>
      <c r="G4428" t="inlineStr">
        <is>
          <t>L</t>
        </is>
      </c>
      <c r="H4428" t="n">
        <v>116</v>
      </c>
      <c r="I4428" t="inlineStr">
        <is>
          <t>T_TAHARI_124010285_GXY_2.jpg</t>
        </is>
      </c>
      <c r="J4428" t="inlineStr">
        <is>
          <t>T_TAHARI_124010285_GXY_3.jpg</t>
        </is>
      </c>
      <c r="L4428">
        <f>IMAGE("file:///E:/Estudios%20y%20certificaciones/ESTUDIOS%20DE%20PROGRAMMING/PROGRAMMING/PERSONAL/PYTHON/Image_Generator_API/imagenes/T_TAHARI_124010285_GXY_2.jpg")</f>
        <v/>
      </c>
      <c r="M4428">
        <f>IMAGE("file:///E:/Estudios%20y%20certificaciones/ESTUDIOS%20DE%20PROGRAMMING/PROGRAMMING/PERSONAL/PYTHON/Image_Generator_API/imagenes/T_TAHARI_124010285_GXY_3.jpg")</f>
        <v/>
      </c>
      <c r="O4428">
        <f>HYPERLINK("imagenes/T_TAHARI_124010285_GXY_2.jpg","Ver imagen")</f>
        <v/>
      </c>
      <c r="P4428">
        <f>HYPERLINK("imagenes/T_TAHARI_124010285_GXY_3.jpg","Ver imagen")</f>
        <v/>
      </c>
    </row>
    <row r="4429">
      <c r="A4429" t="inlineStr">
        <is>
          <t>T TAHARI</t>
        </is>
      </c>
      <c r="B4429" t="inlineStr">
        <is>
          <t>124010285</t>
        </is>
      </c>
      <c r="C4429" t="inlineStr">
        <is>
          <t>GLENN</t>
        </is>
      </c>
      <c r="D4429" t="inlineStr">
        <is>
          <t>GXY</t>
        </is>
      </c>
      <c r="E4429" t="inlineStr">
        <is>
          <t>(en blanco)</t>
        </is>
      </c>
      <c r="F4429" t="inlineStr">
        <is>
          <t>(en blanco)</t>
        </is>
      </c>
      <c r="G4429" t="inlineStr">
        <is>
          <t>XL</t>
        </is>
      </c>
      <c r="H4429" t="n">
        <v>45</v>
      </c>
      <c r="I4429" t="inlineStr">
        <is>
          <t>T_TAHARI_124010285_GXY_2.jpg</t>
        </is>
      </c>
      <c r="J4429" t="inlineStr">
        <is>
          <t>T_TAHARI_124010285_GXY_3.jpg</t>
        </is>
      </c>
      <c r="L4429">
        <f>IMAGE("file:///E:/Estudios%20y%20certificaciones/ESTUDIOS%20DE%20PROGRAMMING/PROGRAMMING/PERSONAL/PYTHON/Image_Generator_API/imagenes/T_TAHARI_124010285_GXY_2.jpg")</f>
        <v/>
      </c>
      <c r="M4429">
        <f>IMAGE("file:///E:/Estudios%20y%20certificaciones/ESTUDIOS%20DE%20PROGRAMMING/PROGRAMMING/PERSONAL/PYTHON/Image_Generator_API/imagenes/T_TAHARI_124010285_GXY_3.jpg")</f>
        <v/>
      </c>
      <c r="O4429">
        <f>HYPERLINK("imagenes/T_TAHARI_124010285_GXY_2.jpg","Ver imagen")</f>
        <v/>
      </c>
      <c r="P4429">
        <f>HYPERLINK("imagenes/T_TAHARI_124010285_GXY_3.jpg","Ver imagen")</f>
        <v/>
      </c>
    </row>
    <row r="4430">
      <c r="A4430" t="inlineStr">
        <is>
          <t>T TAHARI</t>
        </is>
      </c>
      <c r="B4430" t="inlineStr">
        <is>
          <t>124010286</t>
        </is>
      </c>
      <c r="C4430" t="inlineStr">
        <is>
          <t>RUBY</t>
        </is>
      </c>
      <c r="D4430" t="inlineStr">
        <is>
          <t>CHO</t>
        </is>
      </c>
      <c r="E4430" t="inlineStr">
        <is>
          <t>(en blanco)</t>
        </is>
      </c>
      <c r="F4430" t="inlineStr">
        <is>
          <t>D2C</t>
        </is>
      </c>
      <c r="G4430" t="inlineStr">
        <is>
          <t>XS</t>
        </is>
      </c>
      <c r="H4430" t="n">
        <v>8</v>
      </c>
      <c r="I4430" t="inlineStr">
        <is>
          <t>T_TAHARI_124010286_CHO_1.jpg</t>
        </is>
      </c>
      <c r="J4430" t="inlineStr">
        <is>
          <t>T_TAHARI_124010286_CHO_2.jpg</t>
        </is>
      </c>
      <c r="K4430" t="inlineStr">
        <is>
          <t>T_TAHARI_124010286_CHO_3.jpg</t>
        </is>
      </c>
      <c r="L4430">
        <f>IMAGE("file:///E:/Estudios%20y%20certificaciones/ESTUDIOS%20DE%20PROGRAMMING/PROGRAMMING/PERSONAL/PYTHON/Image_Generator_API/imagenes/T_TAHARI_124010286_CHO_1.jpg")</f>
        <v/>
      </c>
      <c r="M4430">
        <f>IMAGE("file:///E:/Estudios%20y%20certificaciones/ESTUDIOS%20DE%20PROGRAMMING/PROGRAMMING/PERSONAL/PYTHON/Image_Generator_API/imagenes/T_TAHARI_124010286_CHO_2.jpg")</f>
        <v/>
      </c>
      <c r="N4430">
        <f>IMAGE("file:///E:/Estudios%20y%20certificaciones/ESTUDIOS%20DE%20PROGRAMMING/PROGRAMMING/PERSONAL/PYTHON/Image_Generator_API/imagenes/T_TAHARI_124010286_CHO_3.jpg")</f>
        <v/>
      </c>
      <c r="O4430">
        <f>HYPERLINK("imagenes/T_TAHARI_124010286_CHO_1.jpg","Ver imagen")</f>
        <v/>
      </c>
      <c r="P4430">
        <f>HYPERLINK("imagenes/T_TAHARI_124010286_CHO_2.jpg","Ver imagen")</f>
        <v/>
      </c>
      <c r="Q4430">
        <f>HYPERLINK("imagenes/T_TAHARI_124010286_CHO_3.jpg","Ver imagen")</f>
        <v/>
      </c>
    </row>
    <row r="4431">
      <c r="A4431" t="inlineStr">
        <is>
          <t>T TAHARI</t>
        </is>
      </c>
      <c r="B4431" t="inlineStr">
        <is>
          <t>124010286</t>
        </is>
      </c>
      <c r="C4431" t="inlineStr">
        <is>
          <t>RUBY</t>
        </is>
      </c>
      <c r="D4431" t="inlineStr">
        <is>
          <t>CHO</t>
        </is>
      </c>
      <c r="E4431" t="inlineStr">
        <is>
          <t>(en blanco)</t>
        </is>
      </c>
      <c r="F4431" t="inlineStr">
        <is>
          <t>D2C</t>
        </is>
      </c>
      <c r="G4431" t="inlineStr">
        <is>
          <t>S</t>
        </is>
      </c>
      <c r="H4431" t="n">
        <v>18</v>
      </c>
      <c r="I4431" t="inlineStr">
        <is>
          <t>T_TAHARI_124010286_CHO_1.jpg</t>
        </is>
      </c>
      <c r="J4431" t="inlineStr">
        <is>
          <t>T_TAHARI_124010286_CHO_2.jpg</t>
        </is>
      </c>
      <c r="K4431" t="inlineStr">
        <is>
          <t>T_TAHARI_124010286_CHO_3.jpg</t>
        </is>
      </c>
      <c r="L4431">
        <f>IMAGE("file:///E:/Estudios%20y%20certificaciones/ESTUDIOS%20DE%20PROGRAMMING/PROGRAMMING/PERSONAL/PYTHON/Image_Generator_API/imagenes/T_TAHARI_124010286_CHO_1.jpg")</f>
        <v/>
      </c>
      <c r="M4431">
        <f>IMAGE("file:///E:/Estudios%20y%20certificaciones/ESTUDIOS%20DE%20PROGRAMMING/PROGRAMMING/PERSONAL/PYTHON/Image_Generator_API/imagenes/T_TAHARI_124010286_CHO_2.jpg")</f>
        <v/>
      </c>
      <c r="N4431">
        <f>IMAGE("file:///E:/Estudios%20y%20certificaciones/ESTUDIOS%20DE%20PROGRAMMING/PROGRAMMING/PERSONAL/PYTHON/Image_Generator_API/imagenes/T_TAHARI_124010286_CHO_3.jpg")</f>
        <v/>
      </c>
      <c r="O4431">
        <f>HYPERLINK("imagenes/T_TAHARI_124010286_CHO_1.jpg","Ver imagen")</f>
        <v/>
      </c>
      <c r="P4431">
        <f>HYPERLINK("imagenes/T_TAHARI_124010286_CHO_2.jpg","Ver imagen")</f>
        <v/>
      </c>
      <c r="Q4431">
        <f>HYPERLINK("imagenes/T_TAHARI_124010286_CHO_3.jpg","Ver imagen")</f>
        <v/>
      </c>
    </row>
    <row r="4432">
      <c r="A4432" t="inlineStr">
        <is>
          <t>T TAHARI</t>
        </is>
      </c>
      <c r="B4432" t="inlineStr">
        <is>
          <t>124010286</t>
        </is>
      </c>
      <c r="C4432" t="inlineStr">
        <is>
          <t>RUBY</t>
        </is>
      </c>
      <c r="D4432" t="inlineStr">
        <is>
          <t>CHO</t>
        </is>
      </c>
      <c r="E4432" t="inlineStr">
        <is>
          <t>(en blanco)</t>
        </is>
      </c>
      <c r="F4432" t="inlineStr">
        <is>
          <t>D2C</t>
        </is>
      </c>
      <c r="G4432" t="inlineStr">
        <is>
          <t>M</t>
        </is>
      </c>
      <c r="H4432" t="n">
        <v>18</v>
      </c>
      <c r="I4432" t="inlineStr">
        <is>
          <t>T_TAHARI_124010286_CHO_1.jpg</t>
        </is>
      </c>
      <c r="J4432" t="inlineStr">
        <is>
          <t>T_TAHARI_124010286_CHO_2.jpg</t>
        </is>
      </c>
      <c r="K4432" t="inlineStr">
        <is>
          <t>T_TAHARI_124010286_CHO_3.jpg</t>
        </is>
      </c>
      <c r="L4432">
        <f>IMAGE("file:///E:/Estudios%20y%20certificaciones/ESTUDIOS%20DE%20PROGRAMMING/PROGRAMMING/PERSONAL/PYTHON/Image_Generator_API/imagenes/T_TAHARI_124010286_CHO_1.jpg")</f>
        <v/>
      </c>
      <c r="M4432">
        <f>IMAGE("file:///E:/Estudios%20y%20certificaciones/ESTUDIOS%20DE%20PROGRAMMING/PROGRAMMING/PERSONAL/PYTHON/Image_Generator_API/imagenes/T_TAHARI_124010286_CHO_2.jpg")</f>
        <v/>
      </c>
      <c r="N4432">
        <f>IMAGE("file:///E:/Estudios%20y%20certificaciones/ESTUDIOS%20DE%20PROGRAMMING/PROGRAMMING/PERSONAL/PYTHON/Image_Generator_API/imagenes/T_TAHARI_124010286_CHO_3.jpg")</f>
        <v/>
      </c>
      <c r="O4432">
        <f>HYPERLINK("imagenes/T_TAHARI_124010286_CHO_1.jpg","Ver imagen")</f>
        <v/>
      </c>
      <c r="P4432">
        <f>HYPERLINK("imagenes/T_TAHARI_124010286_CHO_2.jpg","Ver imagen")</f>
        <v/>
      </c>
      <c r="Q4432">
        <f>HYPERLINK("imagenes/T_TAHARI_124010286_CHO_3.jpg","Ver imagen")</f>
        <v/>
      </c>
    </row>
    <row r="4433">
      <c r="A4433" t="inlineStr">
        <is>
          <t>T TAHARI</t>
        </is>
      </c>
      <c r="B4433" t="inlineStr">
        <is>
          <t>124010286</t>
        </is>
      </c>
      <c r="C4433" t="inlineStr">
        <is>
          <t>RUBY</t>
        </is>
      </c>
      <c r="D4433" t="inlineStr">
        <is>
          <t>CHO</t>
        </is>
      </c>
      <c r="E4433" t="inlineStr">
        <is>
          <t>(en blanco)</t>
        </is>
      </c>
      <c r="F4433" t="inlineStr">
        <is>
          <t>D2C</t>
        </is>
      </c>
      <c r="G4433" t="inlineStr">
        <is>
          <t>L</t>
        </is>
      </c>
      <c r="H4433" t="n">
        <v>17</v>
      </c>
      <c r="I4433" t="inlineStr">
        <is>
          <t>T_TAHARI_124010286_CHO_1.jpg</t>
        </is>
      </c>
      <c r="J4433" t="inlineStr">
        <is>
          <t>T_TAHARI_124010286_CHO_2.jpg</t>
        </is>
      </c>
      <c r="K4433" t="inlineStr">
        <is>
          <t>T_TAHARI_124010286_CHO_3.jpg</t>
        </is>
      </c>
      <c r="L4433">
        <f>IMAGE("file:///E:/Estudios%20y%20certificaciones/ESTUDIOS%20DE%20PROGRAMMING/PROGRAMMING/PERSONAL/PYTHON/Image_Generator_API/imagenes/T_TAHARI_124010286_CHO_1.jpg")</f>
        <v/>
      </c>
      <c r="M4433">
        <f>IMAGE("file:///E:/Estudios%20y%20certificaciones/ESTUDIOS%20DE%20PROGRAMMING/PROGRAMMING/PERSONAL/PYTHON/Image_Generator_API/imagenes/T_TAHARI_124010286_CHO_2.jpg")</f>
        <v/>
      </c>
      <c r="N4433">
        <f>IMAGE("file:///E:/Estudios%20y%20certificaciones/ESTUDIOS%20DE%20PROGRAMMING/PROGRAMMING/PERSONAL/PYTHON/Image_Generator_API/imagenes/T_TAHARI_124010286_CHO_3.jpg")</f>
        <v/>
      </c>
      <c r="O4433">
        <f>HYPERLINK("imagenes/T_TAHARI_124010286_CHO_1.jpg","Ver imagen")</f>
        <v/>
      </c>
      <c r="P4433">
        <f>HYPERLINK("imagenes/T_TAHARI_124010286_CHO_2.jpg","Ver imagen")</f>
        <v/>
      </c>
      <c r="Q4433">
        <f>HYPERLINK("imagenes/T_TAHARI_124010286_CHO_3.jpg","Ver imagen")</f>
        <v/>
      </c>
    </row>
    <row r="4434">
      <c r="A4434" t="inlineStr">
        <is>
          <t>T TAHARI</t>
        </is>
      </c>
      <c r="B4434" t="inlineStr">
        <is>
          <t>124010286</t>
        </is>
      </c>
      <c r="C4434" t="inlineStr">
        <is>
          <t>RUBY</t>
        </is>
      </c>
      <c r="D4434" t="inlineStr">
        <is>
          <t>CHO</t>
        </is>
      </c>
      <c r="E4434" t="inlineStr">
        <is>
          <t>(en blanco)</t>
        </is>
      </c>
      <c r="F4434" t="inlineStr">
        <is>
          <t>D2C</t>
        </is>
      </c>
      <c r="G4434" t="inlineStr">
        <is>
          <t>XL</t>
        </is>
      </c>
      <c r="H4434" t="n">
        <v>9</v>
      </c>
      <c r="I4434" t="inlineStr">
        <is>
          <t>T_TAHARI_124010286_CHO_1.jpg</t>
        </is>
      </c>
      <c r="J4434" t="inlineStr">
        <is>
          <t>T_TAHARI_124010286_CHO_2.jpg</t>
        </is>
      </c>
      <c r="K4434" t="inlineStr">
        <is>
          <t>T_TAHARI_124010286_CHO_3.jpg</t>
        </is>
      </c>
      <c r="L4434">
        <f>IMAGE("file:///E:/Estudios%20y%20certificaciones/ESTUDIOS%20DE%20PROGRAMMING/PROGRAMMING/PERSONAL/PYTHON/Image_Generator_API/imagenes/T_TAHARI_124010286_CHO_1.jpg")</f>
        <v/>
      </c>
      <c r="M4434">
        <f>IMAGE("file:///E:/Estudios%20y%20certificaciones/ESTUDIOS%20DE%20PROGRAMMING/PROGRAMMING/PERSONAL/PYTHON/Image_Generator_API/imagenes/T_TAHARI_124010286_CHO_2.jpg")</f>
        <v/>
      </c>
      <c r="N4434">
        <f>IMAGE("file:///E:/Estudios%20y%20certificaciones/ESTUDIOS%20DE%20PROGRAMMING/PROGRAMMING/PERSONAL/PYTHON/Image_Generator_API/imagenes/T_TAHARI_124010286_CHO_3.jpg")</f>
        <v/>
      </c>
      <c r="O4434">
        <f>HYPERLINK("imagenes/T_TAHARI_124010286_CHO_1.jpg","Ver imagen")</f>
        <v/>
      </c>
      <c r="P4434">
        <f>HYPERLINK("imagenes/T_TAHARI_124010286_CHO_2.jpg","Ver imagen")</f>
        <v/>
      </c>
      <c r="Q4434">
        <f>HYPERLINK("imagenes/T_TAHARI_124010286_CHO_3.jpg","Ver imagen")</f>
        <v/>
      </c>
    </row>
    <row r="4435">
      <c r="A4435" t="inlineStr">
        <is>
          <t>T TAHARI</t>
        </is>
      </c>
      <c r="B4435" t="inlineStr">
        <is>
          <t>124010286</t>
        </is>
      </c>
      <c r="C4435" t="inlineStr">
        <is>
          <t>RUBY</t>
        </is>
      </c>
      <c r="D4435" t="inlineStr">
        <is>
          <t>CHO</t>
        </is>
      </c>
      <c r="E4435" t="inlineStr">
        <is>
          <t>(en blanco)</t>
        </is>
      </c>
      <c r="F4435" t="inlineStr">
        <is>
          <t>MACYS ECOM</t>
        </is>
      </c>
      <c r="G4435" t="inlineStr">
        <is>
          <t>S</t>
        </is>
      </c>
      <c r="H4435" t="n">
        <v>3</v>
      </c>
      <c r="I4435" t="inlineStr">
        <is>
          <t>T_TAHARI_124010286_CHO_1.jpg</t>
        </is>
      </c>
      <c r="J4435" t="inlineStr">
        <is>
          <t>T_TAHARI_124010286_CHO_2.jpg</t>
        </is>
      </c>
      <c r="K4435" t="inlineStr">
        <is>
          <t>T_TAHARI_124010286_CHO_3.jpg</t>
        </is>
      </c>
      <c r="L4435">
        <f>IMAGE("file:///E:/Estudios%20y%20certificaciones/ESTUDIOS%20DE%20PROGRAMMING/PROGRAMMING/PERSONAL/PYTHON/Image_Generator_API/imagenes/T_TAHARI_124010286_CHO_1.jpg")</f>
        <v/>
      </c>
      <c r="M4435">
        <f>IMAGE("file:///E:/Estudios%20y%20certificaciones/ESTUDIOS%20DE%20PROGRAMMING/PROGRAMMING/PERSONAL/PYTHON/Image_Generator_API/imagenes/T_TAHARI_124010286_CHO_2.jpg")</f>
        <v/>
      </c>
      <c r="N4435">
        <f>IMAGE("file:///E:/Estudios%20y%20certificaciones/ESTUDIOS%20DE%20PROGRAMMING/PROGRAMMING/PERSONAL/PYTHON/Image_Generator_API/imagenes/T_TAHARI_124010286_CHO_3.jpg")</f>
        <v/>
      </c>
      <c r="O4435">
        <f>HYPERLINK("imagenes/T_TAHARI_124010286_CHO_1.jpg","Ver imagen")</f>
        <v/>
      </c>
      <c r="P4435">
        <f>HYPERLINK("imagenes/T_TAHARI_124010286_CHO_2.jpg","Ver imagen")</f>
        <v/>
      </c>
      <c r="Q4435">
        <f>HYPERLINK("imagenes/T_TAHARI_124010286_CHO_3.jpg","Ver imagen")</f>
        <v/>
      </c>
    </row>
    <row r="4436">
      <c r="A4436" t="inlineStr">
        <is>
          <t>T TAHARI</t>
        </is>
      </c>
      <c r="B4436" t="inlineStr">
        <is>
          <t>124010286</t>
        </is>
      </c>
      <c r="C4436" t="inlineStr">
        <is>
          <t>RUBY</t>
        </is>
      </c>
      <c r="D4436" t="inlineStr">
        <is>
          <t>CHO</t>
        </is>
      </c>
      <c r="E4436" t="inlineStr">
        <is>
          <t>(en blanco)</t>
        </is>
      </c>
      <c r="F4436" t="inlineStr">
        <is>
          <t>MACYS ECOM</t>
        </is>
      </c>
      <c r="G4436" t="inlineStr">
        <is>
          <t>XL</t>
        </is>
      </c>
      <c r="H4436" t="n">
        <v>2</v>
      </c>
      <c r="I4436" t="inlineStr">
        <is>
          <t>T_TAHARI_124010286_CHO_1.jpg</t>
        </is>
      </c>
      <c r="J4436" t="inlineStr">
        <is>
          <t>T_TAHARI_124010286_CHO_2.jpg</t>
        </is>
      </c>
      <c r="K4436" t="inlineStr">
        <is>
          <t>T_TAHARI_124010286_CHO_3.jpg</t>
        </is>
      </c>
      <c r="L4436">
        <f>IMAGE("file:///E:/Estudios%20y%20certificaciones/ESTUDIOS%20DE%20PROGRAMMING/PROGRAMMING/PERSONAL/PYTHON/Image_Generator_API/imagenes/T_TAHARI_124010286_CHO_1.jpg")</f>
        <v/>
      </c>
      <c r="M4436">
        <f>IMAGE("file:///E:/Estudios%20y%20certificaciones/ESTUDIOS%20DE%20PROGRAMMING/PROGRAMMING/PERSONAL/PYTHON/Image_Generator_API/imagenes/T_TAHARI_124010286_CHO_2.jpg")</f>
        <v/>
      </c>
      <c r="N4436">
        <f>IMAGE("file:///E:/Estudios%20y%20certificaciones/ESTUDIOS%20DE%20PROGRAMMING/PROGRAMMING/PERSONAL/PYTHON/Image_Generator_API/imagenes/T_TAHARI_124010286_CHO_3.jpg")</f>
        <v/>
      </c>
      <c r="O4436">
        <f>HYPERLINK("imagenes/T_TAHARI_124010286_CHO_1.jpg","Ver imagen")</f>
        <v/>
      </c>
      <c r="P4436">
        <f>HYPERLINK("imagenes/T_TAHARI_124010286_CHO_2.jpg","Ver imagen")</f>
        <v/>
      </c>
      <c r="Q4436">
        <f>HYPERLINK("imagenes/T_TAHARI_124010286_CHO_3.jpg","Ver imagen")</f>
        <v/>
      </c>
    </row>
    <row r="4437">
      <c r="A4437" t="inlineStr">
        <is>
          <t>T TAHARI</t>
        </is>
      </c>
      <c r="B4437" t="inlineStr">
        <is>
          <t>124010286</t>
        </is>
      </c>
      <c r="C4437" t="inlineStr">
        <is>
          <t>RUBY</t>
        </is>
      </c>
      <c r="D4437" t="inlineStr">
        <is>
          <t>CHO</t>
        </is>
      </c>
      <c r="E4437" t="inlineStr">
        <is>
          <t>(en blanco)</t>
        </is>
      </c>
      <c r="F4437" t="inlineStr">
        <is>
          <t>(en blanco)</t>
        </is>
      </c>
      <c r="G4437" t="inlineStr">
        <is>
          <t>XS</t>
        </is>
      </c>
      <c r="H4437" t="n">
        <v>47</v>
      </c>
      <c r="I4437" t="inlineStr">
        <is>
          <t>T_TAHARI_124010286_CHO_1.jpg</t>
        </is>
      </c>
      <c r="J4437" t="inlineStr">
        <is>
          <t>T_TAHARI_124010286_CHO_2.jpg</t>
        </is>
      </c>
      <c r="K4437" t="inlineStr">
        <is>
          <t>T_TAHARI_124010286_CHO_3.jpg</t>
        </is>
      </c>
      <c r="L4437">
        <f>IMAGE("file:///E:/Estudios%20y%20certificaciones/ESTUDIOS%20DE%20PROGRAMMING/PROGRAMMING/PERSONAL/PYTHON/Image_Generator_API/imagenes/T_TAHARI_124010286_CHO_1.jpg")</f>
        <v/>
      </c>
      <c r="M4437">
        <f>IMAGE("file:///E:/Estudios%20y%20certificaciones/ESTUDIOS%20DE%20PROGRAMMING/PROGRAMMING/PERSONAL/PYTHON/Image_Generator_API/imagenes/T_TAHARI_124010286_CHO_2.jpg")</f>
        <v/>
      </c>
      <c r="N4437">
        <f>IMAGE("file:///E:/Estudios%20y%20certificaciones/ESTUDIOS%20DE%20PROGRAMMING/PROGRAMMING/PERSONAL/PYTHON/Image_Generator_API/imagenes/T_TAHARI_124010286_CHO_3.jpg")</f>
        <v/>
      </c>
      <c r="O4437">
        <f>HYPERLINK("imagenes/T_TAHARI_124010286_CHO_1.jpg","Ver imagen")</f>
        <v/>
      </c>
      <c r="P4437">
        <f>HYPERLINK("imagenes/T_TAHARI_124010286_CHO_2.jpg","Ver imagen")</f>
        <v/>
      </c>
      <c r="Q4437">
        <f>HYPERLINK("imagenes/T_TAHARI_124010286_CHO_3.jpg","Ver imagen")</f>
        <v/>
      </c>
    </row>
    <row r="4438">
      <c r="A4438" t="inlineStr">
        <is>
          <t>T TAHARI</t>
        </is>
      </c>
      <c r="B4438" t="inlineStr">
        <is>
          <t>124010286</t>
        </is>
      </c>
      <c r="C4438" t="inlineStr">
        <is>
          <t>RUBY</t>
        </is>
      </c>
      <c r="D4438" t="inlineStr">
        <is>
          <t>CHO</t>
        </is>
      </c>
      <c r="E4438" t="inlineStr">
        <is>
          <t>(en blanco)</t>
        </is>
      </c>
      <c r="F4438" t="inlineStr">
        <is>
          <t>(en blanco)</t>
        </is>
      </c>
      <c r="G4438" t="inlineStr">
        <is>
          <t>S</t>
        </is>
      </c>
      <c r="H4438" t="n">
        <v>118</v>
      </c>
      <c r="I4438" t="inlineStr">
        <is>
          <t>T_TAHARI_124010286_CHO_1.jpg</t>
        </is>
      </c>
      <c r="J4438" t="inlineStr">
        <is>
          <t>T_TAHARI_124010286_CHO_2.jpg</t>
        </is>
      </c>
      <c r="K4438" t="inlineStr">
        <is>
          <t>T_TAHARI_124010286_CHO_3.jpg</t>
        </is>
      </c>
      <c r="L4438">
        <f>IMAGE("file:///E:/Estudios%20y%20certificaciones/ESTUDIOS%20DE%20PROGRAMMING/PROGRAMMING/PERSONAL/PYTHON/Image_Generator_API/imagenes/T_TAHARI_124010286_CHO_1.jpg")</f>
        <v/>
      </c>
      <c r="M4438">
        <f>IMAGE("file:///E:/Estudios%20y%20certificaciones/ESTUDIOS%20DE%20PROGRAMMING/PROGRAMMING/PERSONAL/PYTHON/Image_Generator_API/imagenes/T_TAHARI_124010286_CHO_2.jpg")</f>
        <v/>
      </c>
      <c r="N4438">
        <f>IMAGE("file:///E:/Estudios%20y%20certificaciones/ESTUDIOS%20DE%20PROGRAMMING/PROGRAMMING/PERSONAL/PYTHON/Image_Generator_API/imagenes/T_TAHARI_124010286_CHO_3.jpg")</f>
        <v/>
      </c>
      <c r="O4438">
        <f>HYPERLINK("imagenes/T_TAHARI_124010286_CHO_1.jpg","Ver imagen")</f>
        <v/>
      </c>
      <c r="P4438">
        <f>HYPERLINK("imagenes/T_TAHARI_124010286_CHO_2.jpg","Ver imagen")</f>
        <v/>
      </c>
      <c r="Q4438">
        <f>HYPERLINK("imagenes/T_TAHARI_124010286_CHO_3.jpg","Ver imagen")</f>
        <v/>
      </c>
    </row>
    <row r="4439">
      <c r="A4439" t="inlineStr">
        <is>
          <t>T TAHARI</t>
        </is>
      </c>
      <c r="B4439" t="inlineStr">
        <is>
          <t>124010286</t>
        </is>
      </c>
      <c r="C4439" t="inlineStr">
        <is>
          <t>RUBY</t>
        </is>
      </c>
      <c r="D4439" t="inlineStr">
        <is>
          <t>CHO</t>
        </is>
      </c>
      <c r="E4439" t="inlineStr">
        <is>
          <t>(en blanco)</t>
        </is>
      </c>
      <c r="F4439" t="inlineStr">
        <is>
          <t>(en blanco)</t>
        </is>
      </c>
      <c r="G4439" t="inlineStr">
        <is>
          <t>M</t>
        </is>
      </c>
      <c r="H4439" t="n">
        <v>120</v>
      </c>
      <c r="I4439" t="inlineStr">
        <is>
          <t>T_TAHARI_124010286_CHO_1.jpg</t>
        </is>
      </c>
      <c r="J4439" t="inlineStr">
        <is>
          <t>T_TAHARI_124010286_CHO_2.jpg</t>
        </is>
      </c>
      <c r="K4439" t="inlineStr">
        <is>
          <t>T_TAHARI_124010286_CHO_3.jpg</t>
        </is>
      </c>
      <c r="L4439">
        <f>IMAGE("file:///E:/Estudios%20y%20certificaciones/ESTUDIOS%20DE%20PROGRAMMING/PROGRAMMING/PERSONAL/PYTHON/Image_Generator_API/imagenes/T_TAHARI_124010286_CHO_1.jpg")</f>
        <v/>
      </c>
      <c r="M4439">
        <f>IMAGE("file:///E:/Estudios%20y%20certificaciones/ESTUDIOS%20DE%20PROGRAMMING/PROGRAMMING/PERSONAL/PYTHON/Image_Generator_API/imagenes/T_TAHARI_124010286_CHO_2.jpg")</f>
        <v/>
      </c>
      <c r="N4439">
        <f>IMAGE("file:///E:/Estudios%20y%20certificaciones/ESTUDIOS%20DE%20PROGRAMMING/PROGRAMMING/PERSONAL/PYTHON/Image_Generator_API/imagenes/T_TAHARI_124010286_CHO_3.jpg")</f>
        <v/>
      </c>
      <c r="O4439">
        <f>HYPERLINK("imagenes/T_TAHARI_124010286_CHO_1.jpg","Ver imagen")</f>
        <v/>
      </c>
      <c r="P4439">
        <f>HYPERLINK("imagenes/T_TAHARI_124010286_CHO_2.jpg","Ver imagen")</f>
        <v/>
      </c>
      <c r="Q4439">
        <f>HYPERLINK("imagenes/T_TAHARI_124010286_CHO_3.jpg","Ver imagen")</f>
        <v/>
      </c>
    </row>
    <row r="4440">
      <c r="A4440" t="inlineStr">
        <is>
          <t>T TAHARI</t>
        </is>
      </c>
      <c r="B4440" t="inlineStr">
        <is>
          <t>124010286</t>
        </is>
      </c>
      <c r="C4440" t="inlineStr">
        <is>
          <t>RUBY</t>
        </is>
      </c>
      <c r="D4440" t="inlineStr">
        <is>
          <t>CHO</t>
        </is>
      </c>
      <c r="E4440" t="inlineStr">
        <is>
          <t>(en blanco)</t>
        </is>
      </c>
      <c r="F4440" t="inlineStr">
        <is>
          <t>(en blanco)</t>
        </is>
      </c>
      <c r="G4440" t="inlineStr">
        <is>
          <t>L</t>
        </is>
      </c>
      <c r="H4440" t="n">
        <v>122</v>
      </c>
      <c r="I4440" t="inlineStr">
        <is>
          <t>T_TAHARI_124010286_CHO_1.jpg</t>
        </is>
      </c>
      <c r="J4440" t="inlineStr">
        <is>
          <t>T_TAHARI_124010286_CHO_2.jpg</t>
        </is>
      </c>
      <c r="K4440" t="inlineStr">
        <is>
          <t>T_TAHARI_124010286_CHO_3.jpg</t>
        </is>
      </c>
      <c r="L4440">
        <f>IMAGE("file:///E:/Estudios%20y%20certificaciones/ESTUDIOS%20DE%20PROGRAMMING/PROGRAMMING/PERSONAL/PYTHON/Image_Generator_API/imagenes/T_TAHARI_124010286_CHO_1.jpg")</f>
        <v/>
      </c>
      <c r="M4440">
        <f>IMAGE("file:///E:/Estudios%20y%20certificaciones/ESTUDIOS%20DE%20PROGRAMMING/PROGRAMMING/PERSONAL/PYTHON/Image_Generator_API/imagenes/T_TAHARI_124010286_CHO_2.jpg")</f>
        <v/>
      </c>
      <c r="N4440">
        <f>IMAGE("file:///E:/Estudios%20y%20certificaciones/ESTUDIOS%20DE%20PROGRAMMING/PROGRAMMING/PERSONAL/PYTHON/Image_Generator_API/imagenes/T_TAHARI_124010286_CHO_3.jpg")</f>
        <v/>
      </c>
      <c r="O4440">
        <f>HYPERLINK("imagenes/T_TAHARI_124010286_CHO_1.jpg","Ver imagen")</f>
        <v/>
      </c>
      <c r="P4440">
        <f>HYPERLINK("imagenes/T_TAHARI_124010286_CHO_2.jpg","Ver imagen")</f>
        <v/>
      </c>
      <c r="Q4440">
        <f>HYPERLINK("imagenes/T_TAHARI_124010286_CHO_3.jpg","Ver imagen")</f>
        <v/>
      </c>
    </row>
    <row r="4441">
      <c r="A4441" t="inlineStr">
        <is>
          <t>T TAHARI</t>
        </is>
      </c>
      <c r="B4441" t="inlineStr">
        <is>
          <t>124010286</t>
        </is>
      </c>
      <c r="C4441" t="inlineStr">
        <is>
          <t>RUBY</t>
        </is>
      </c>
      <c r="D4441" t="inlineStr">
        <is>
          <t>CHO</t>
        </is>
      </c>
      <c r="E4441" t="inlineStr">
        <is>
          <t>(en blanco)</t>
        </is>
      </c>
      <c r="F4441" t="inlineStr">
        <is>
          <t>(en blanco)</t>
        </is>
      </c>
      <c r="G4441" t="inlineStr">
        <is>
          <t>XL</t>
        </is>
      </c>
      <c r="H4441" t="n">
        <v>52</v>
      </c>
      <c r="I4441" t="inlineStr">
        <is>
          <t>T_TAHARI_124010286_CHO_1.jpg</t>
        </is>
      </c>
      <c r="J4441" t="inlineStr">
        <is>
          <t>T_TAHARI_124010286_CHO_2.jpg</t>
        </is>
      </c>
      <c r="K4441" t="inlineStr">
        <is>
          <t>T_TAHARI_124010286_CHO_3.jpg</t>
        </is>
      </c>
      <c r="L4441">
        <f>IMAGE("file:///E:/Estudios%20y%20certificaciones/ESTUDIOS%20DE%20PROGRAMMING/PROGRAMMING/PERSONAL/PYTHON/Image_Generator_API/imagenes/T_TAHARI_124010286_CHO_1.jpg")</f>
        <v/>
      </c>
      <c r="M4441">
        <f>IMAGE("file:///E:/Estudios%20y%20certificaciones/ESTUDIOS%20DE%20PROGRAMMING/PROGRAMMING/PERSONAL/PYTHON/Image_Generator_API/imagenes/T_TAHARI_124010286_CHO_2.jpg")</f>
        <v/>
      </c>
      <c r="N4441">
        <f>IMAGE("file:///E:/Estudios%20y%20certificaciones/ESTUDIOS%20DE%20PROGRAMMING/PROGRAMMING/PERSONAL/PYTHON/Image_Generator_API/imagenes/T_TAHARI_124010286_CHO_3.jpg")</f>
        <v/>
      </c>
      <c r="O4441">
        <f>HYPERLINK("imagenes/T_TAHARI_124010286_CHO_1.jpg","Ver imagen")</f>
        <v/>
      </c>
      <c r="P4441">
        <f>HYPERLINK("imagenes/T_TAHARI_124010286_CHO_2.jpg","Ver imagen")</f>
        <v/>
      </c>
      <c r="Q4441">
        <f>HYPERLINK("imagenes/T_TAHARI_124010286_CHO_3.jpg","Ver imagen")</f>
        <v/>
      </c>
    </row>
    <row r="4442">
      <c r="A4442" t="inlineStr">
        <is>
          <t>T TAHARI</t>
        </is>
      </c>
      <c r="B4442" t="inlineStr">
        <is>
          <t>124010287</t>
        </is>
      </c>
      <c r="C4442" t="inlineStr">
        <is>
          <t>HANA</t>
        </is>
      </c>
      <c r="D4442" t="inlineStr">
        <is>
          <t>BLK</t>
        </is>
      </c>
      <c r="E4442" t="inlineStr">
        <is>
          <t>(en blanco)</t>
        </is>
      </c>
      <c r="F4442" t="inlineStr">
        <is>
          <t>MACYS ECOM</t>
        </is>
      </c>
      <c r="G4442" t="inlineStr">
        <is>
          <t>S</t>
        </is>
      </c>
      <c r="H4442" t="n">
        <v>0</v>
      </c>
      <c r="I4442" t="inlineStr">
        <is>
          <t>T_TAHARI_124010287_BLK_1.jpg</t>
        </is>
      </c>
      <c r="J4442" t="inlineStr">
        <is>
          <t>T_TAHARI_124010287_BLK_2.jpg</t>
        </is>
      </c>
      <c r="K4442" t="inlineStr">
        <is>
          <t>T_TAHARI_124010287_BLK_3.jpg</t>
        </is>
      </c>
      <c r="L4442">
        <f>IMAGE("file:///E:/Estudios%20y%20certificaciones/ESTUDIOS%20DE%20PROGRAMMING/PROGRAMMING/PERSONAL/PYTHON/Image_Generator_API/imagenes/T_TAHARI_124010287_BLK_1.jpg")</f>
        <v/>
      </c>
      <c r="M4442">
        <f>IMAGE("file:///E:/Estudios%20y%20certificaciones/ESTUDIOS%20DE%20PROGRAMMING/PROGRAMMING/PERSONAL/PYTHON/Image_Generator_API/imagenes/T_TAHARI_124010287_BLK_2.jpg")</f>
        <v/>
      </c>
      <c r="N4442">
        <f>IMAGE("file:///E:/Estudios%20y%20certificaciones/ESTUDIOS%20DE%20PROGRAMMING/PROGRAMMING/PERSONAL/PYTHON/Image_Generator_API/imagenes/T_TAHARI_124010287_BLK_3.jpg")</f>
        <v/>
      </c>
      <c r="O4442">
        <f>HYPERLINK("imagenes/T_TAHARI_124010287_BLK_1.jpg","Ver imagen")</f>
        <v/>
      </c>
      <c r="P4442">
        <f>HYPERLINK("imagenes/T_TAHARI_124010287_BLK_2.jpg","Ver imagen")</f>
        <v/>
      </c>
      <c r="Q4442">
        <f>HYPERLINK("imagenes/T_TAHARI_124010287_BLK_3.jpg","Ver imagen")</f>
        <v/>
      </c>
    </row>
    <row r="4443">
      <c r="A4443" t="inlineStr">
        <is>
          <t>T TAHARI</t>
        </is>
      </c>
      <c r="B4443" t="inlineStr">
        <is>
          <t>124010287</t>
        </is>
      </c>
      <c r="C4443" t="inlineStr">
        <is>
          <t>HANA</t>
        </is>
      </c>
      <c r="D4443" t="inlineStr">
        <is>
          <t>BLK</t>
        </is>
      </c>
      <c r="E4443" t="inlineStr">
        <is>
          <t>(en blanco)</t>
        </is>
      </c>
      <c r="F4443" t="inlineStr">
        <is>
          <t>MACYS ECOM</t>
        </is>
      </c>
      <c r="G4443" t="inlineStr">
        <is>
          <t>L</t>
        </is>
      </c>
      <c r="H4443" t="n">
        <v>0</v>
      </c>
      <c r="I4443" t="inlineStr">
        <is>
          <t>T_TAHARI_124010287_BLK_1.jpg</t>
        </is>
      </c>
      <c r="J4443" t="inlineStr">
        <is>
          <t>T_TAHARI_124010287_BLK_2.jpg</t>
        </is>
      </c>
      <c r="K4443" t="inlineStr">
        <is>
          <t>T_TAHARI_124010287_BLK_3.jpg</t>
        </is>
      </c>
      <c r="L4443">
        <f>IMAGE("file:///E:/Estudios%20y%20certificaciones/ESTUDIOS%20DE%20PROGRAMMING/PROGRAMMING/PERSONAL/PYTHON/Image_Generator_API/imagenes/T_TAHARI_124010287_BLK_1.jpg")</f>
        <v/>
      </c>
      <c r="M4443">
        <f>IMAGE("file:///E:/Estudios%20y%20certificaciones/ESTUDIOS%20DE%20PROGRAMMING/PROGRAMMING/PERSONAL/PYTHON/Image_Generator_API/imagenes/T_TAHARI_124010287_BLK_2.jpg")</f>
        <v/>
      </c>
      <c r="N4443">
        <f>IMAGE("file:///E:/Estudios%20y%20certificaciones/ESTUDIOS%20DE%20PROGRAMMING/PROGRAMMING/PERSONAL/PYTHON/Image_Generator_API/imagenes/T_TAHARI_124010287_BLK_3.jpg")</f>
        <v/>
      </c>
      <c r="O4443">
        <f>HYPERLINK("imagenes/T_TAHARI_124010287_BLK_1.jpg","Ver imagen")</f>
        <v/>
      </c>
      <c r="P4443">
        <f>HYPERLINK("imagenes/T_TAHARI_124010287_BLK_2.jpg","Ver imagen")</f>
        <v/>
      </c>
      <c r="Q4443">
        <f>HYPERLINK("imagenes/T_TAHARI_124010287_BLK_3.jpg","Ver imagen")</f>
        <v/>
      </c>
    </row>
    <row r="4444">
      <c r="A4444" t="inlineStr">
        <is>
          <t>T TAHARI</t>
        </is>
      </c>
      <c r="B4444" t="inlineStr">
        <is>
          <t>124010287</t>
        </is>
      </c>
      <c r="C4444" t="inlineStr">
        <is>
          <t>HANA</t>
        </is>
      </c>
      <c r="D4444" t="inlineStr">
        <is>
          <t>BLK</t>
        </is>
      </c>
      <c r="E4444" t="inlineStr">
        <is>
          <t>(en blanco)</t>
        </is>
      </c>
      <c r="F4444" t="inlineStr">
        <is>
          <t>MACYS ECOM</t>
        </is>
      </c>
      <c r="G4444" t="inlineStr">
        <is>
          <t>XL</t>
        </is>
      </c>
      <c r="H4444" t="n">
        <v>0</v>
      </c>
      <c r="I4444" t="inlineStr">
        <is>
          <t>T_TAHARI_124010287_BLK_1.jpg</t>
        </is>
      </c>
      <c r="J4444" t="inlineStr">
        <is>
          <t>T_TAHARI_124010287_BLK_2.jpg</t>
        </is>
      </c>
      <c r="K4444" t="inlineStr">
        <is>
          <t>T_TAHARI_124010287_BLK_3.jpg</t>
        </is>
      </c>
      <c r="L4444">
        <f>IMAGE("file:///E:/Estudios%20y%20certificaciones/ESTUDIOS%20DE%20PROGRAMMING/PROGRAMMING/PERSONAL/PYTHON/Image_Generator_API/imagenes/T_TAHARI_124010287_BLK_1.jpg")</f>
        <v/>
      </c>
      <c r="M4444">
        <f>IMAGE("file:///E:/Estudios%20y%20certificaciones/ESTUDIOS%20DE%20PROGRAMMING/PROGRAMMING/PERSONAL/PYTHON/Image_Generator_API/imagenes/T_TAHARI_124010287_BLK_2.jpg")</f>
        <v/>
      </c>
      <c r="N4444">
        <f>IMAGE("file:///E:/Estudios%20y%20certificaciones/ESTUDIOS%20DE%20PROGRAMMING/PROGRAMMING/PERSONAL/PYTHON/Image_Generator_API/imagenes/T_TAHARI_124010287_BLK_3.jpg")</f>
        <v/>
      </c>
      <c r="O4444">
        <f>HYPERLINK("imagenes/T_TAHARI_124010287_BLK_1.jpg","Ver imagen")</f>
        <v/>
      </c>
      <c r="P4444">
        <f>HYPERLINK("imagenes/T_TAHARI_124010287_BLK_2.jpg","Ver imagen")</f>
        <v/>
      </c>
      <c r="Q4444">
        <f>HYPERLINK("imagenes/T_TAHARI_124010287_BLK_3.jpg","Ver imagen")</f>
        <v/>
      </c>
    </row>
    <row r="4445">
      <c r="A4445" t="inlineStr">
        <is>
          <t>T TAHARI</t>
        </is>
      </c>
      <c r="B4445" t="inlineStr">
        <is>
          <t>124010287</t>
        </is>
      </c>
      <c r="C4445" t="inlineStr">
        <is>
          <t>HANA</t>
        </is>
      </c>
      <c r="D4445" t="inlineStr">
        <is>
          <t>BLK</t>
        </is>
      </c>
      <c r="E4445" t="inlineStr">
        <is>
          <t>(en blanco)</t>
        </is>
      </c>
      <c r="F4445" t="inlineStr">
        <is>
          <t>MACYS ECOM</t>
        </is>
      </c>
      <c r="G4445" t="inlineStr">
        <is>
          <t>XXL</t>
        </is>
      </c>
      <c r="H4445" t="n">
        <v>0</v>
      </c>
      <c r="I4445" t="inlineStr">
        <is>
          <t>T_TAHARI_124010287_BLK_1.jpg</t>
        </is>
      </c>
      <c r="J4445" t="inlineStr">
        <is>
          <t>T_TAHARI_124010287_BLK_2.jpg</t>
        </is>
      </c>
      <c r="K4445" t="inlineStr">
        <is>
          <t>T_TAHARI_124010287_BLK_3.jpg</t>
        </is>
      </c>
      <c r="L4445">
        <f>IMAGE("file:///E:/Estudios%20y%20certificaciones/ESTUDIOS%20DE%20PROGRAMMING/PROGRAMMING/PERSONAL/PYTHON/Image_Generator_API/imagenes/T_TAHARI_124010287_BLK_1.jpg")</f>
        <v/>
      </c>
      <c r="M4445">
        <f>IMAGE("file:///E:/Estudios%20y%20certificaciones/ESTUDIOS%20DE%20PROGRAMMING/PROGRAMMING/PERSONAL/PYTHON/Image_Generator_API/imagenes/T_TAHARI_124010287_BLK_2.jpg")</f>
        <v/>
      </c>
      <c r="N4445">
        <f>IMAGE("file:///E:/Estudios%20y%20certificaciones/ESTUDIOS%20DE%20PROGRAMMING/PROGRAMMING/PERSONAL/PYTHON/Image_Generator_API/imagenes/T_TAHARI_124010287_BLK_3.jpg")</f>
        <v/>
      </c>
      <c r="O4445">
        <f>HYPERLINK("imagenes/T_TAHARI_124010287_BLK_1.jpg","Ver imagen")</f>
        <v/>
      </c>
      <c r="P4445">
        <f>HYPERLINK("imagenes/T_TAHARI_124010287_BLK_2.jpg","Ver imagen")</f>
        <v/>
      </c>
      <c r="Q4445">
        <f>HYPERLINK("imagenes/T_TAHARI_124010287_BLK_3.jpg","Ver imagen")</f>
        <v/>
      </c>
    </row>
    <row r="4446">
      <c r="A4446" t="inlineStr">
        <is>
          <t>T TAHARI</t>
        </is>
      </c>
      <c r="B4446" t="inlineStr">
        <is>
          <t>124010287</t>
        </is>
      </c>
      <c r="C4446" t="inlineStr">
        <is>
          <t>HANA</t>
        </is>
      </c>
      <c r="D4446" t="inlineStr">
        <is>
          <t>BLK</t>
        </is>
      </c>
      <c r="E4446" t="inlineStr">
        <is>
          <t>(en blanco)</t>
        </is>
      </c>
      <c r="F4446" t="inlineStr">
        <is>
          <t>(en blanco)</t>
        </is>
      </c>
      <c r="G4446" t="inlineStr">
        <is>
          <t>M</t>
        </is>
      </c>
      <c r="H4446" t="n">
        <v>3</v>
      </c>
      <c r="I4446" t="inlineStr">
        <is>
          <t>T_TAHARI_124010287_BLK_1.jpg</t>
        </is>
      </c>
      <c r="J4446" t="inlineStr">
        <is>
          <t>T_TAHARI_124010287_BLK_2.jpg</t>
        </is>
      </c>
      <c r="K4446" t="inlineStr">
        <is>
          <t>T_TAHARI_124010287_BLK_3.jpg</t>
        </is>
      </c>
      <c r="L4446">
        <f>IMAGE("file:///E:/Estudios%20y%20certificaciones/ESTUDIOS%20DE%20PROGRAMMING/PROGRAMMING/PERSONAL/PYTHON/Image_Generator_API/imagenes/T_TAHARI_124010287_BLK_1.jpg")</f>
        <v/>
      </c>
      <c r="M4446">
        <f>IMAGE("file:///E:/Estudios%20y%20certificaciones/ESTUDIOS%20DE%20PROGRAMMING/PROGRAMMING/PERSONAL/PYTHON/Image_Generator_API/imagenes/T_TAHARI_124010287_BLK_2.jpg")</f>
        <v/>
      </c>
      <c r="N4446">
        <f>IMAGE("file:///E:/Estudios%20y%20certificaciones/ESTUDIOS%20DE%20PROGRAMMING/PROGRAMMING/PERSONAL/PYTHON/Image_Generator_API/imagenes/T_TAHARI_124010287_BLK_3.jpg")</f>
        <v/>
      </c>
      <c r="O4446">
        <f>HYPERLINK("imagenes/T_TAHARI_124010287_BLK_1.jpg","Ver imagen")</f>
        <v/>
      </c>
      <c r="P4446">
        <f>HYPERLINK("imagenes/T_TAHARI_124010287_BLK_2.jpg","Ver imagen")</f>
        <v/>
      </c>
      <c r="Q4446">
        <f>HYPERLINK("imagenes/T_TAHARI_124010287_BLK_3.jpg","Ver imagen")</f>
        <v/>
      </c>
    </row>
    <row r="4447">
      <c r="A4447" t="inlineStr">
        <is>
          <t>T TAHARI</t>
        </is>
      </c>
      <c r="B4447" t="inlineStr">
        <is>
          <t>124010287</t>
        </is>
      </c>
      <c r="C4447" t="inlineStr">
        <is>
          <t>HANA</t>
        </is>
      </c>
      <c r="D4447" t="inlineStr">
        <is>
          <t>CHO</t>
        </is>
      </c>
      <c r="E4447" t="inlineStr">
        <is>
          <t>(en blanco)</t>
        </is>
      </c>
      <c r="F4447" t="inlineStr">
        <is>
          <t>MACYS ECOM</t>
        </is>
      </c>
      <c r="G4447" t="inlineStr">
        <is>
          <t>M</t>
        </is>
      </c>
      <c r="H4447" t="n">
        <v>0</v>
      </c>
      <c r="I4447" t="inlineStr">
        <is>
          <t>T_TAHARI_124010287_CHO_1.jpg</t>
        </is>
      </c>
      <c r="J4447" t="inlineStr">
        <is>
          <t>T_TAHARI_124010287_CHO_2.jpg</t>
        </is>
      </c>
      <c r="K4447" t="inlineStr">
        <is>
          <t>T_TAHARI_124010287_CHO_3.jpg</t>
        </is>
      </c>
      <c r="L4447">
        <f>IMAGE("file:///E:/Estudios%20y%20certificaciones/ESTUDIOS%20DE%20PROGRAMMING/PROGRAMMING/PERSONAL/PYTHON/Image_Generator_API/imagenes/T_TAHARI_124010287_CHO_1.jpg")</f>
        <v/>
      </c>
      <c r="M4447">
        <f>IMAGE("file:///E:/Estudios%20y%20certificaciones/ESTUDIOS%20DE%20PROGRAMMING/PROGRAMMING/PERSONAL/PYTHON/Image_Generator_API/imagenes/T_TAHARI_124010287_CHO_2.jpg")</f>
        <v/>
      </c>
      <c r="N4447">
        <f>IMAGE("file:///E:/Estudios%20y%20certificaciones/ESTUDIOS%20DE%20PROGRAMMING/PROGRAMMING/PERSONAL/PYTHON/Image_Generator_API/imagenes/T_TAHARI_124010287_CHO_3.jpg")</f>
        <v/>
      </c>
      <c r="O4447">
        <f>HYPERLINK("imagenes/T_TAHARI_124010287_CHO_1.jpg","Ver imagen")</f>
        <v/>
      </c>
      <c r="P4447">
        <f>HYPERLINK("imagenes/T_TAHARI_124010287_CHO_2.jpg","Ver imagen")</f>
        <v/>
      </c>
      <c r="Q4447">
        <f>HYPERLINK("imagenes/T_TAHARI_124010287_CHO_3.jpg","Ver imagen")</f>
        <v/>
      </c>
    </row>
    <row r="4448">
      <c r="A4448" t="inlineStr">
        <is>
          <t>T TAHARI</t>
        </is>
      </c>
      <c r="B4448" t="inlineStr">
        <is>
          <t>124010287</t>
        </is>
      </c>
      <c r="C4448" t="inlineStr">
        <is>
          <t>HANA</t>
        </is>
      </c>
      <c r="D4448" t="inlineStr">
        <is>
          <t>CHO</t>
        </is>
      </c>
      <c r="E4448" t="inlineStr">
        <is>
          <t>(en blanco)</t>
        </is>
      </c>
      <c r="F4448" t="inlineStr">
        <is>
          <t>(en blanco)</t>
        </is>
      </c>
      <c r="G4448" t="inlineStr">
        <is>
          <t>S</t>
        </is>
      </c>
      <c r="H4448" t="n">
        <v>0</v>
      </c>
      <c r="I4448" t="inlineStr">
        <is>
          <t>T_TAHARI_124010287_CHO_1.jpg</t>
        </is>
      </c>
      <c r="J4448" t="inlineStr">
        <is>
          <t>T_TAHARI_124010287_CHO_2.jpg</t>
        </is>
      </c>
      <c r="K4448" t="inlineStr">
        <is>
          <t>T_TAHARI_124010287_CHO_3.jpg</t>
        </is>
      </c>
      <c r="L4448">
        <f>IMAGE("file:///E:/Estudios%20y%20certificaciones/ESTUDIOS%20DE%20PROGRAMMING/PROGRAMMING/PERSONAL/PYTHON/Image_Generator_API/imagenes/T_TAHARI_124010287_CHO_1.jpg")</f>
        <v/>
      </c>
      <c r="M4448">
        <f>IMAGE("file:///E:/Estudios%20y%20certificaciones/ESTUDIOS%20DE%20PROGRAMMING/PROGRAMMING/PERSONAL/PYTHON/Image_Generator_API/imagenes/T_TAHARI_124010287_CHO_2.jpg")</f>
        <v/>
      </c>
      <c r="N4448">
        <f>IMAGE("file:///E:/Estudios%20y%20certificaciones/ESTUDIOS%20DE%20PROGRAMMING/PROGRAMMING/PERSONAL/PYTHON/Image_Generator_API/imagenes/T_TAHARI_124010287_CHO_3.jpg")</f>
        <v/>
      </c>
      <c r="O4448">
        <f>HYPERLINK("imagenes/T_TAHARI_124010287_CHO_1.jpg","Ver imagen")</f>
        <v/>
      </c>
      <c r="P4448">
        <f>HYPERLINK("imagenes/T_TAHARI_124010287_CHO_2.jpg","Ver imagen")</f>
        <v/>
      </c>
      <c r="Q4448">
        <f>HYPERLINK("imagenes/T_TAHARI_124010287_CHO_3.jpg","Ver imagen")</f>
        <v/>
      </c>
    </row>
    <row r="4449">
      <c r="A4449" t="inlineStr">
        <is>
          <t>T TAHARI</t>
        </is>
      </c>
      <c r="B4449" t="inlineStr">
        <is>
          <t>124010287</t>
        </is>
      </c>
      <c r="C4449" t="inlineStr">
        <is>
          <t>HANA</t>
        </is>
      </c>
      <c r="D4449" t="inlineStr">
        <is>
          <t>CHO</t>
        </is>
      </c>
      <c r="E4449" t="inlineStr">
        <is>
          <t>(en blanco)</t>
        </is>
      </c>
      <c r="F4449" t="inlineStr">
        <is>
          <t>(en blanco)</t>
        </is>
      </c>
      <c r="G4449" t="inlineStr">
        <is>
          <t>L</t>
        </is>
      </c>
      <c r="H4449" t="n">
        <v>2</v>
      </c>
      <c r="I4449" t="inlineStr">
        <is>
          <t>T_TAHARI_124010287_CHO_1.jpg</t>
        </is>
      </c>
      <c r="J4449" t="inlineStr">
        <is>
          <t>T_TAHARI_124010287_CHO_2.jpg</t>
        </is>
      </c>
      <c r="K4449" t="inlineStr">
        <is>
          <t>T_TAHARI_124010287_CHO_3.jpg</t>
        </is>
      </c>
      <c r="L4449">
        <f>IMAGE("file:///E:/Estudios%20y%20certificaciones/ESTUDIOS%20DE%20PROGRAMMING/PROGRAMMING/PERSONAL/PYTHON/Image_Generator_API/imagenes/T_TAHARI_124010287_CHO_1.jpg")</f>
        <v/>
      </c>
      <c r="M4449">
        <f>IMAGE("file:///E:/Estudios%20y%20certificaciones/ESTUDIOS%20DE%20PROGRAMMING/PROGRAMMING/PERSONAL/PYTHON/Image_Generator_API/imagenes/T_TAHARI_124010287_CHO_2.jpg")</f>
        <v/>
      </c>
      <c r="N4449">
        <f>IMAGE("file:///E:/Estudios%20y%20certificaciones/ESTUDIOS%20DE%20PROGRAMMING/PROGRAMMING/PERSONAL/PYTHON/Image_Generator_API/imagenes/T_TAHARI_124010287_CHO_3.jpg")</f>
        <v/>
      </c>
      <c r="O4449">
        <f>HYPERLINK("imagenes/T_TAHARI_124010287_CHO_1.jpg","Ver imagen")</f>
        <v/>
      </c>
      <c r="P4449">
        <f>HYPERLINK("imagenes/T_TAHARI_124010287_CHO_2.jpg","Ver imagen")</f>
        <v/>
      </c>
      <c r="Q4449">
        <f>HYPERLINK("imagenes/T_TAHARI_124010287_CHO_3.jpg","Ver imagen")</f>
        <v/>
      </c>
    </row>
    <row r="4450">
      <c r="A4450" t="inlineStr">
        <is>
          <t>T TAHARI</t>
        </is>
      </c>
      <c r="B4450" t="inlineStr">
        <is>
          <t>124010287</t>
        </is>
      </c>
      <c r="C4450" t="inlineStr">
        <is>
          <t>HANA</t>
        </is>
      </c>
      <c r="D4450" t="inlineStr">
        <is>
          <t>CHO</t>
        </is>
      </c>
      <c r="E4450" t="inlineStr">
        <is>
          <t>(en blanco)</t>
        </is>
      </c>
      <c r="F4450" t="inlineStr">
        <is>
          <t>(en blanco)</t>
        </is>
      </c>
      <c r="G4450" t="inlineStr">
        <is>
          <t>XL</t>
        </is>
      </c>
      <c r="H4450" t="n">
        <v>2</v>
      </c>
      <c r="I4450" t="inlineStr">
        <is>
          <t>T_TAHARI_124010287_CHO_1.jpg</t>
        </is>
      </c>
      <c r="J4450" t="inlineStr">
        <is>
          <t>T_TAHARI_124010287_CHO_2.jpg</t>
        </is>
      </c>
      <c r="K4450" t="inlineStr">
        <is>
          <t>T_TAHARI_124010287_CHO_3.jpg</t>
        </is>
      </c>
      <c r="L4450">
        <f>IMAGE("file:///E:/Estudios%20y%20certificaciones/ESTUDIOS%20DE%20PROGRAMMING/PROGRAMMING/PERSONAL/PYTHON/Image_Generator_API/imagenes/T_TAHARI_124010287_CHO_1.jpg")</f>
        <v/>
      </c>
      <c r="M4450">
        <f>IMAGE("file:///E:/Estudios%20y%20certificaciones/ESTUDIOS%20DE%20PROGRAMMING/PROGRAMMING/PERSONAL/PYTHON/Image_Generator_API/imagenes/T_TAHARI_124010287_CHO_2.jpg")</f>
        <v/>
      </c>
      <c r="N4450">
        <f>IMAGE("file:///E:/Estudios%20y%20certificaciones/ESTUDIOS%20DE%20PROGRAMMING/PROGRAMMING/PERSONAL/PYTHON/Image_Generator_API/imagenes/T_TAHARI_124010287_CHO_3.jpg")</f>
        <v/>
      </c>
      <c r="O4450">
        <f>HYPERLINK("imagenes/T_TAHARI_124010287_CHO_1.jpg","Ver imagen")</f>
        <v/>
      </c>
      <c r="P4450">
        <f>HYPERLINK("imagenes/T_TAHARI_124010287_CHO_2.jpg","Ver imagen")</f>
        <v/>
      </c>
      <c r="Q4450">
        <f>HYPERLINK("imagenes/T_TAHARI_124010287_CHO_3.jpg","Ver imagen")</f>
        <v/>
      </c>
    </row>
    <row r="4451">
      <c r="A4451" t="inlineStr">
        <is>
          <t>T TAHARI</t>
        </is>
      </c>
      <c r="B4451" t="inlineStr">
        <is>
          <t>124010287</t>
        </is>
      </c>
      <c r="C4451" t="inlineStr">
        <is>
          <t>HANA</t>
        </is>
      </c>
      <c r="D4451" t="inlineStr">
        <is>
          <t>CHO</t>
        </is>
      </c>
      <c r="E4451" t="inlineStr">
        <is>
          <t>(en blanco)</t>
        </is>
      </c>
      <c r="F4451" t="inlineStr">
        <is>
          <t>(en blanco)</t>
        </is>
      </c>
      <c r="G4451" t="inlineStr">
        <is>
          <t>XXL</t>
        </is>
      </c>
      <c r="H4451" t="n">
        <v>1</v>
      </c>
      <c r="I4451" t="inlineStr">
        <is>
          <t>T_TAHARI_124010287_CHO_1.jpg</t>
        </is>
      </c>
      <c r="J4451" t="inlineStr">
        <is>
          <t>T_TAHARI_124010287_CHO_2.jpg</t>
        </is>
      </c>
      <c r="K4451" t="inlineStr">
        <is>
          <t>T_TAHARI_124010287_CHO_3.jpg</t>
        </is>
      </c>
      <c r="L4451">
        <f>IMAGE("file:///E:/Estudios%20y%20certificaciones/ESTUDIOS%20DE%20PROGRAMMING/PROGRAMMING/PERSONAL/PYTHON/Image_Generator_API/imagenes/T_TAHARI_124010287_CHO_1.jpg")</f>
        <v/>
      </c>
      <c r="M4451">
        <f>IMAGE("file:///E:/Estudios%20y%20certificaciones/ESTUDIOS%20DE%20PROGRAMMING/PROGRAMMING/PERSONAL/PYTHON/Image_Generator_API/imagenes/T_TAHARI_124010287_CHO_2.jpg")</f>
        <v/>
      </c>
      <c r="N4451">
        <f>IMAGE("file:///E:/Estudios%20y%20certificaciones/ESTUDIOS%20DE%20PROGRAMMING/PROGRAMMING/PERSONAL/PYTHON/Image_Generator_API/imagenes/T_TAHARI_124010287_CHO_3.jpg")</f>
        <v/>
      </c>
      <c r="O4451">
        <f>HYPERLINK("imagenes/T_TAHARI_124010287_CHO_1.jpg","Ver imagen")</f>
        <v/>
      </c>
      <c r="P4451">
        <f>HYPERLINK("imagenes/T_TAHARI_124010287_CHO_2.jpg","Ver imagen")</f>
        <v/>
      </c>
      <c r="Q4451">
        <f>HYPERLINK("imagenes/T_TAHARI_124010287_CHO_3.jpg","Ver imagen")</f>
        <v/>
      </c>
    </row>
    <row r="4452">
      <c r="A4452" t="inlineStr">
        <is>
          <t>T TAHARI</t>
        </is>
      </c>
      <c r="B4452" t="inlineStr">
        <is>
          <t>124010306</t>
        </is>
      </c>
      <c r="C4452" t="inlineStr">
        <is>
          <t>SCARLETT MACYS</t>
        </is>
      </c>
      <c r="D4452" t="inlineStr">
        <is>
          <t>BLK</t>
        </is>
      </c>
      <c r="E4452" t="inlineStr">
        <is>
          <t>(en blanco)</t>
        </is>
      </c>
      <c r="F4452" t="inlineStr">
        <is>
          <t>M1155</t>
        </is>
      </c>
      <c r="G4452" t="inlineStr">
        <is>
          <t>XS</t>
        </is>
      </c>
      <c r="H4452" t="n">
        <v>0</v>
      </c>
      <c r="I4452" t="inlineStr">
        <is>
          <t>T_TAHARI_124010306_BLK_1.jpg</t>
        </is>
      </c>
      <c r="J4452" t="inlineStr">
        <is>
          <t>T_TAHARI_124010306_BLK_2.jpg</t>
        </is>
      </c>
      <c r="K4452" t="inlineStr">
        <is>
          <t>T_TAHARI_124010306_BLK_3.jpg</t>
        </is>
      </c>
      <c r="L4452">
        <f>IMAGE("file:///E:/Estudios%20y%20certificaciones/ESTUDIOS%20DE%20PROGRAMMING/PROGRAMMING/PERSONAL/PYTHON/Image_Generator_API/imagenes/T_TAHARI_124010306_BLK_1.jpg")</f>
        <v/>
      </c>
      <c r="M4452">
        <f>IMAGE("file:///E:/Estudios%20y%20certificaciones/ESTUDIOS%20DE%20PROGRAMMING/PROGRAMMING/PERSONAL/PYTHON/Image_Generator_API/imagenes/T_TAHARI_124010306_BLK_2.jpg")</f>
        <v/>
      </c>
      <c r="N4452">
        <f>IMAGE("file:///E:/Estudios%20y%20certificaciones/ESTUDIOS%20DE%20PROGRAMMING/PROGRAMMING/PERSONAL/PYTHON/Image_Generator_API/imagenes/T_TAHARI_124010306_BLK_3.jpg")</f>
        <v/>
      </c>
      <c r="O4452">
        <f>HYPERLINK("imagenes/T_TAHARI_124010306_BLK_1.jpg","Ver imagen")</f>
        <v/>
      </c>
      <c r="P4452">
        <f>HYPERLINK("imagenes/T_TAHARI_124010306_BLK_2.jpg","Ver imagen")</f>
        <v/>
      </c>
      <c r="Q4452">
        <f>HYPERLINK("imagenes/T_TAHARI_124010306_BLK_3.jpg","Ver imagen")</f>
        <v/>
      </c>
    </row>
    <row r="4453">
      <c r="A4453" t="inlineStr">
        <is>
          <t>T TAHARI</t>
        </is>
      </c>
      <c r="B4453" t="inlineStr">
        <is>
          <t>124010306</t>
        </is>
      </c>
      <c r="C4453" t="inlineStr">
        <is>
          <t>SCARLETT MACYS</t>
        </is>
      </c>
      <c r="D4453" t="inlineStr">
        <is>
          <t>BLK</t>
        </is>
      </c>
      <c r="E4453" t="inlineStr">
        <is>
          <t>(en blanco)</t>
        </is>
      </c>
      <c r="F4453" t="inlineStr">
        <is>
          <t>M1155</t>
        </is>
      </c>
      <c r="G4453" t="inlineStr">
        <is>
          <t>S</t>
        </is>
      </c>
      <c r="H4453" t="n">
        <v>0</v>
      </c>
      <c r="I4453" t="inlineStr">
        <is>
          <t>T_TAHARI_124010306_BLK_1.jpg</t>
        </is>
      </c>
      <c r="J4453" t="inlineStr">
        <is>
          <t>T_TAHARI_124010306_BLK_2.jpg</t>
        </is>
      </c>
      <c r="K4453" t="inlineStr">
        <is>
          <t>T_TAHARI_124010306_BLK_3.jpg</t>
        </is>
      </c>
      <c r="L4453">
        <f>IMAGE("file:///E:/Estudios%20y%20certificaciones/ESTUDIOS%20DE%20PROGRAMMING/PROGRAMMING/PERSONAL/PYTHON/Image_Generator_API/imagenes/T_TAHARI_124010306_BLK_1.jpg")</f>
        <v/>
      </c>
      <c r="M4453">
        <f>IMAGE("file:///E:/Estudios%20y%20certificaciones/ESTUDIOS%20DE%20PROGRAMMING/PROGRAMMING/PERSONAL/PYTHON/Image_Generator_API/imagenes/T_TAHARI_124010306_BLK_2.jpg")</f>
        <v/>
      </c>
      <c r="N4453">
        <f>IMAGE("file:///E:/Estudios%20y%20certificaciones/ESTUDIOS%20DE%20PROGRAMMING/PROGRAMMING/PERSONAL/PYTHON/Image_Generator_API/imagenes/T_TAHARI_124010306_BLK_3.jpg")</f>
        <v/>
      </c>
      <c r="O4453">
        <f>HYPERLINK("imagenes/T_TAHARI_124010306_BLK_1.jpg","Ver imagen")</f>
        <v/>
      </c>
      <c r="P4453">
        <f>HYPERLINK("imagenes/T_TAHARI_124010306_BLK_2.jpg","Ver imagen")</f>
        <v/>
      </c>
      <c r="Q4453">
        <f>HYPERLINK("imagenes/T_TAHARI_124010306_BLK_3.jpg","Ver imagen")</f>
        <v/>
      </c>
    </row>
    <row r="4454">
      <c r="A4454" t="inlineStr">
        <is>
          <t>T TAHARI</t>
        </is>
      </c>
      <c r="B4454" t="inlineStr">
        <is>
          <t>124010306</t>
        </is>
      </c>
      <c r="C4454" t="inlineStr">
        <is>
          <t>SCARLETT MACYS</t>
        </is>
      </c>
      <c r="D4454" t="inlineStr">
        <is>
          <t>BLK</t>
        </is>
      </c>
      <c r="E4454" t="inlineStr">
        <is>
          <t>(en blanco)</t>
        </is>
      </c>
      <c r="F4454" t="inlineStr">
        <is>
          <t>M1155</t>
        </is>
      </c>
      <c r="G4454" t="inlineStr">
        <is>
          <t>M</t>
        </is>
      </c>
      <c r="H4454" t="n">
        <v>0</v>
      </c>
      <c r="I4454" t="inlineStr">
        <is>
          <t>T_TAHARI_124010306_BLK_1.jpg</t>
        </is>
      </c>
      <c r="J4454" t="inlineStr">
        <is>
          <t>T_TAHARI_124010306_BLK_2.jpg</t>
        </is>
      </c>
      <c r="K4454" t="inlineStr">
        <is>
          <t>T_TAHARI_124010306_BLK_3.jpg</t>
        </is>
      </c>
      <c r="L4454">
        <f>IMAGE("file:///E:/Estudios%20y%20certificaciones/ESTUDIOS%20DE%20PROGRAMMING/PROGRAMMING/PERSONAL/PYTHON/Image_Generator_API/imagenes/T_TAHARI_124010306_BLK_1.jpg")</f>
        <v/>
      </c>
      <c r="M4454">
        <f>IMAGE("file:///E:/Estudios%20y%20certificaciones/ESTUDIOS%20DE%20PROGRAMMING/PROGRAMMING/PERSONAL/PYTHON/Image_Generator_API/imagenes/T_TAHARI_124010306_BLK_2.jpg")</f>
        <v/>
      </c>
      <c r="N4454">
        <f>IMAGE("file:///E:/Estudios%20y%20certificaciones/ESTUDIOS%20DE%20PROGRAMMING/PROGRAMMING/PERSONAL/PYTHON/Image_Generator_API/imagenes/T_TAHARI_124010306_BLK_3.jpg")</f>
        <v/>
      </c>
      <c r="O4454">
        <f>HYPERLINK("imagenes/T_TAHARI_124010306_BLK_1.jpg","Ver imagen")</f>
        <v/>
      </c>
      <c r="P4454">
        <f>HYPERLINK("imagenes/T_TAHARI_124010306_BLK_2.jpg","Ver imagen")</f>
        <v/>
      </c>
      <c r="Q4454">
        <f>HYPERLINK("imagenes/T_TAHARI_124010306_BLK_3.jpg","Ver imagen")</f>
        <v/>
      </c>
    </row>
    <row r="4455">
      <c r="A4455" t="inlineStr">
        <is>
          <t>T TAHARI</t>
        </is>
      </c>
      <c r="B4455" t="inlineStr">
        <is>
          <t>124010306</t>
        </is>
      </c>
      <c r="C4455" t="inlineStr">
        <is>
          <t>SCARLETT MACYS</t>
        </is>
      </c>
      <c r="D4455" t="inlineStr">
        <is>
          <t>BLK</t>
        </is>
      </c>
      <c r="E4455" t="inlineStr">
        <is>
          <t>(en blanco)</t>
        </is>
      </c>
      <c r="F4455" t="inlineStr">
        <is>
          <t>M1155</t>
        </is>
      </c>
      <c r="G4455" t="inlineStr">
        <is>
          <t>L</t>
        </is>
      </c>
      <c r="H4455" t="n">
        <v>0</v>
      </c>
      <c r="I4455" t="inlineStr">
        <is>
          <t>T_TAHARI_124010306_BLK_1.jpg</t>
        </is>
      </c>
      <c r="J4455" t="inlineStr">
        <is>
          <t>T_TAHARI_124010306_BLK_2.jpg</t>
        </is>
      </c>
      <c r="K4455" t="inlineStr">
        <is>
          <t>T_TAHARI_124010306_BLK_3.jpg</t>
        </is>
      </c>
      <c r="L4455">
        <f>IMAGE("file:///E:/Estudios%20y%20certificaciones/ESTUDIOS%20DE%20PROGRAMMING/PROGRAMMING/PERSONAL/PYTHON/Image_Generator_API/imagenes/T_TAHARI_124010306_BLK_1.jpg")</f>
        <v/>
      </c>
      <c r="M4455">
        <f>IMAGE("file:///E:/Estudios%20y%20certificaciones/ESTUDIOS%20DE%20PROGRAMMING/PROGRAMMING/PERSONAL/PYTHON/Image_Generator_API/imagenes/T_TAHARI_124010306_BLK_2.jpg")</f>
        <v/>
      </c>
      <c r="N4455">
        <f>IMAGE("file:///E:/Estudios%20y%20certificaciones/ESTUDIOS%20DE%20PROGRAMMING/PROGRAMMING/PERSONAL/PYTHON/Image_Generator_API/imagenes/T_TAHARI_124010306_BLK_3.jpg")</f>
        <v/>
      </c>
      <c r="O4455">
        <f>HYPERLINK("imagenes/T_TAHARI_124010306_BLK_1.jpg","Ver imagen")</f>
        <v/>
      </c>
      <c r="P4455">
        <f>HYPERLINK("imagenes/T_TAHARI_124010306_BLK_2.jpg","Ver imagen")</f>
        <v/>
      </c>
      <c r="Q4455">
        <f>HYPERLINK("imagenes/T_TAHARI_124010306_BLK_3.jpg","Ver imagen")</f>
        <v/>
      </c>
    </row>
    <row r="4456">
      <c r="A4456" t="inlineStr">
        <is>
          <t>T TAHARI</t>
        </is>
      </c>
      <c r="B4456" t="inlineStr">
        <is>
          <t>124010306</t>
        </is>
      </c>
      <c r="C4456" t="inlineStr">
        <is>
          <t>SCARLETT MACYS</t>
        </is>
      </c>
      <c r="D4456" t="inlineStr">
        <is>
          <t>BLK</t>
        </is>
      </c>
      <c r="E4456" t="inlineStr">
        <is>
          <t>(en blanco)</t>
        </is>
      </c>
      <c r="F4456" t="inlineStr">
        <is>
          <t>M1155</t>
        </is>
      </c>
      <c r="G4456" t="inlineStr">
        <is>
          <t>XL</t>
        </is>
      </c>
      <c r="H4456" t="n">
        <v>5</v>
      </c>
      <c r="I4456" t="inlineStr">
        <is>
          <t>T_TAHARI_124010306_BLK_1.jpg</t>
        </is>
      </c>
      <c r="J4456" t="inlineStr">
        <is>
          <t>T_TAHARI_124010306_BLK_2.jpg</t>
        </is>
      </c>
      <c r="K4456" t="inlineStr">
        <is>
          <t>T_TAHARI_124010306_BLK_3.jpg</t>
        </is>
      </c>
      <c r="L4456">
        <f>IMAGE("file:///E:/Estudios%20y%20certificaciones/ESTUDIOS%20DE%20PROGRAMMING/PROGRAMMING/PERSONAL/PYTHON/Image_Generator_API/imagenes/T_TAHARI_124010306_BLK_1.jpg")</f>
        <v/>
      </c>
      <c r="M4456">
        <f>IMAGE("file:///E:/Estudios%20y%20certificaciones/ESTUDIOS%20DE%20PROGRAMMING/PROGRAMMING/PERSONAL/PYTHON/Image_Generator_API/imagenes/T_TAHARI_124010306_BLK_2.jpg")</f>
        <v/>
      </c>
      <c r="N4456">
        <f>IMAGE("file:///E:/Estudios%20y%20certificaciones/ESTUDIOS%20DE%20PROGRAMMING/PROGRAMMING/PERSONAL/PYTHON/Image_Generator_API/imagenes/T_TAHARI_124010306_BLK_3.jpg")</f>
        <v/>
      </c>
      <c r="O4456">
        <f>HYPERLINK("imagenes/T_TAHARI_124010306_BLK_1.jpg","Ver imagen")</f>
        <v/>
      </c>
      <c r="P4456">
        <f>HYPERLINK("imagenes/T_TAHARI_124010306_BLK_2.jpg","Ver imagen")</f>
        <v/>
      </c>
      <c r="Q4456">
        <f>HYPERLINK("imagenes/T_TAHARI_124010306_BLK_3.jpg","Ver imagen")</f>
        <v/>
      </c>
    </row>
    <row r="4457">
      <c r="A4457" t="inlineStr">
        <is>
          <t>T TAHARI</t>
        </is>
      </c>
      <c r="B4457" t="inlineStr">
        <is>
          <t>124010306</t>
        </is>
      </c>
      <c r="C4457" t="inlineStr">
        <is>
          <t>SCARLETT MACYS</t>
        </is>
      </c>
      <c r="D4457" t="inlineStr">
        <is>
          <t>BLK</t>
        </is>
      </c>
      <c r="E4457" t="inlineStr">
        <is>
          <t>(en blanco)</t>
        </is>
      </c>
      <c r="F4457" t="inlineStr">
        <is>
          <t>M1155</t>
        </is>
      </c>
      <c r="G4457" t="inlineStr">
        <is>
          <t>XXL</t>
        </is>
      </c>
      <c r="H4457" t="n">
        <v>0</v>
      </c>
      <c r="I4457" t="inlineStr">
        <is>
          <t>T_TAHARI_124010306_BLK_1.jpg</t>
        </is>
      </c>
      <c r="J4457" t="inlineStr">
        <is>
          <t>T_TAHARI_124010306_BLK_2.jpg</t>
        </is>
      </c>
      <c r="K4457" t="inlineStr">
        <is>
          <t>T_TAHARI_124010306_BLK_3.jpg</t>
        </is>
      </c>
      <c r="L4457">
        <f>IMAGE("file:///E:/Estudios%20y%20certificaciones/ESTUDIOS%20DE%20PROGRAMMING/PROGRAMMING/PERSONAL/PYTHON/Image_Generator_API/imagenes/T_TAHARI_124010306_BLK_1.jpg")</f>
        <v/>
      </c>
      <c r="M4457">
        <f>IMAGE("file:///E:/Estudios%20y%20certificaciones/ESTUDIOS%20DE%20PROGRAMMING/PROGRAMMING/PERSONAL/PYTHON/Image_Generator_API/imagenes/T_TAHARI_124010306_BLK_2.jpg")</f>
        <v/>
      </c>
      <c r="N4457">
        <f>IMAGE("file:///E:/Estudios%20y%20certificaciones/ESTUDIOS%20DE%20PROGRAMMING/PROGRAMMING/PERSONAL/PYTHON/Image_Generator_API/imagenes/T_TAHARI_124010306_BLK_3.jpg")</f>
        <v/>
      </c>
      <c r="O4457">
        <f>HYPERLINK("imagenes/T_TAHARI_124010306_BLK_1.jpg","Ver imagen")</f>
        <v/>
      </c>
      <c r="P4457">
        <f>HYPERLINK("imagenes/T_TAHARI_124010306_BLK_2.jpg","Ver imagen")</f>
        <v/>
      </c>
      <c r="Q4457">
        <f>HYPERLINK("imagenes/T_TAHARI_124010306_BLK_3.jpg","Ver imagen")</f>
        <v/>
      </c>
    </row>
    <row r="4458">
      <c r="A4458" t="inlineStr">
        <is>
          <t>T TAHARI</t>
        </is>
      </c>
      <c r="B4458" t="inlineStr">
        <is>
          <t>124010306</t>
        </is>
      </c>
      <c r="C4458" t="inlineStr">
        <is>
          <t>SCARLETT MACYS</t>
        </is>
      </c>
      <c r="D4458" t="inlineStr">
        <is>
          <t>BLK</t>
        </is>
      </c>
      <c r="E4458" t="inlineStr">
        <is>
          <t>(en blanco)</t>
        </is>
      </c>
      <c r="F4458" t="inlineStr">
        <is>
          <t>M1155</t>
        </is>
      </c>
      <c r="G4458" t="inlineStr">
        <is>
          <t>XXS</t>
        </is>
      </c>
      <c r="H4458" t="n">
        <v>0</v>
      </c>
      <c r="I4458" t="inlineStr">
        <is>
          <t>T_TAHARI_124010306_BLK_1.jpg</t>
        </is>
      </c>
      <c r="J4458" t="inlineStr">
        <is>
          <t>T_TAHARI_124010306_BLK_2.jpg</t>
        </is>
      </c>
      <c r="K4458" t="inlineStr">
        <is>
          <t>T_TAHARI_124010306_BLK_3.jpg</t>
        </is>
      </c>
      <c r="L4458">
        <f>IMAGE("file:///E:/Estudios%20y%20certificaciones/ESTUDIOS%20DE%20PROGRAMMING/PROGRAMMING/PERSONAL/PYTHON/Image_Generator_API/imagenes/T_TAHARI_124010306_BLK_1.jpg")</f>
        <v/>
      </c>
      <c r="M4458">
        <f>IMAGE("file:///E:/Estudios%20y%20certificaciones/ESTUDIOS%20DE%20PROGRAMMING/PROGRAMMING/PERSONAL/PYTHON/Image_Generator_API/imagenes/T_TAHARI_124010306_BLK_2.jpg")</f>
        <v/>
      </c>
      <c r="N4458">
        <f>IMAGE("file:///E:/Estudios%20y%20certificaciones/ESTUDIOS%20DE%20PROGRAMMING/PROGRAMMING/PERSONAL/PYTHON/Image_Generator_API/imagenes/T_TAHARI_124010306_BLK_3.jpg")</f>
        <v/>
      </c>
      <c r="O4458">
        <f>HYPERLINK("imagenes/T_TAHARI_124010306_BLK_1.jpg","Ver imagen")</f>
        <v/>
      </c>
      <c r="P4458">
        <f>HYPERLINK("imagenes/T_TAHARI_124010306_BLK_2.jpg","Ver imagen")</f>
        <v/>
      </c>
      <c r="Q4458">
        <f>HYPERLINK("imagenes/T_TAHARI_124010306_BLK_3.jpg","Ver imagen")</f>
        <v/>
      </c>
    </row>
    <row r="4459">
      <c r="A4459" t="inlineStr">
        <is>
          <t>T TAHARI</t>
        </is>
      </c>
      <c r="B4459" t="inlineStr">
        <is>
          <t>124010306</t>
        </is>
      </c>
      <c r="C4459" t="inlineStr">
        <is>
          <t>SCARLETT MACYS</t>
        </is>
      </c>
      <c r="D4459" t="inlineStr">
        <is>
          <t>BLK</t>
        </is>
      </c>
      <c r="E4459" t="inlineStr">
        <is>
          <t>(en blanco)</t>
        </is>
      </c>
      <c r="F4459" t="inlineStr">
        <is>
          <t>MACYS ECOM</t>
        </is>
      </c>
      <c r="G4459" t="inlineStr">
        <is>
          <t>XS</t>
        </is>
      </c>
      <c r="H4459" t="n">
        <v>1</v>
      </c>
      <c r="I4459" t="inlineStr">
        <is>
          <t>T_TAHARI_124010306_BLK_1.jpg</t>
        </is>
      </c>
      <c r="J4459" t="inlineStr">
        <is>
          <t>T_TAHARI_124010306_BLK_2.jpg</t>
        </is>
      </c>
      <c r="K4459" t="inlineStr">
        <is>
          <t>T_TAHARI_124010306_BLK_3.jpg</t>
        </is>
      </c>
      <c r="L4459">
        <f>IMAGE("file:///E:/Estudios%20y%20certificaciones/ESTUDIOS%20DE%20PROGRAMMING/PROGRAMMING/PERSONAL/PYTHON/Image_Generator_API/imagenes/T_TAHARI_124010306_BLK_1.jpg")</f>
        <v/>
      </c>
      <c r="M4459">
        <f>IMAGE("file:///E:/Estudios%20y%20certificaciones/ESTUDIOS%20DE%20PROGRAMMING/PROGRAMMING/PERSONAL/PYTHON/Image_Generator_API/imagenes/T_TAHARI_124010306_BLK_2.jpg")</f>
        <v/>
      </c>
      <c r="N4459">
        <f>IMAGE("file:///E:/Estudios%20y%20certificaciones/ESTUDIOS%20DE%20PROGRAMMING/PROGRAMMING/PERSONAL/PYTHON/Image_Generator_API/imagenes/T_TAHARI_124010306_BLK_3.jpg")</f>
        <v/>
      </c>
      <c r="O4459">
        <f>HYPERLINK("imagenes/T_TAHARI_124010306_BLK_1.jpg","Ver imagen")</f>
        <v/>
      </c>
      <c r="P4459">
        <f>HYPERLINK("imagenes/T_TAHARI_124010306_BLK_2.jpg","Ver imagen")</f>
        <v/>
      </c>
      <c r="Q4459">
        <f>HYPERLINK("imagenes/T_TAHARI_124010306_BLK_3.jpg","Ver imagen")</f>
        <v/>
      </c>
    </row>
    <row r="4460">
      <c r="A4460" t="inlineStr">
        <is>
          <t>T TAHARI</t>
        </is>
      </c>
      <c r="B4460" t="inlineStr">
        <is>
          <t>124010306</t>
        </is>
      </c>
      <c r="C4460" t="inlineStr">
        <is>
          <t>SCARLETT MACYS</t>
        </is>
      </c>
      <c r="D4460" t="inlineStr">
        <is>
          <t>BLK</t>
        </is>
      </c>
      <c r="E4460" t="inlineStr">
        <is>
          <t>(en blanco)</t>
        </is>
      </c>
      <c r="F4460" t="inlineStr">
        <is>
          <t>MACYS ECOM</t>
        </is>
      </c>
      <c r="G4460" t="inlineStr">
        <is>
          <t>S</t>
        </is>
      </c>
      <c r="H4460" t="n">
        <v>5</v>
      </c>
      <c r="I4460" t="inlineStr">
        <is>
          <t>T_TAHARI_124010306_BLK_1.jpg</t>
        </is>
      </c>
      <c r="J4460" t="inlineStr">
        <is>
          <t>T_TAHARI_124010306_BLK_2.jpg</t>
        </is>
      </c>
      <c r="K4460" t="inlineStr">
        <is>
          <t>T_TAHARI_124010306_BLK_3.jpg</t>
        </is>
      </c>
      <c r="L4460">
        <f>IMAGE("file:///E:/Estudios%20y%20certificaciones/ESTUDIOS%20DE%20PROGRAMMING/PROGRAMMING/PERSONAL/PYTHON/Image_Generator_API/imagenes/T_TAHARI_124010306_BLK_1.jpg")</f>
        <v/>
      </c>
      <c r="M4460">
        <f>IMAGE("file:///E:/Estudios%20y%20certificaciones/ESTUDIOS%20DE%20PROGRAMMING/PROGRAMMING/PERSONAL/PYTHON/Image_Generator_API/imagenes/T_TAHARI_124010306_BLK_2.jpg")</f>
        <v/>
      </c>
      <c r="N4460">
        <f>IMAGE("file:///E:/Estudios%20y%20certificaciones/ESTUDIOS%20DE%20PROGRAMMING/PROGRAMMING/PERSONAL/PYTHON/Image_Generator_API/imagenes/T_TAHARI_124010306_BLK_3.jpg")</f>
        <v/>
      </c>
      <c r="O4460">
        <f>HYPERLINK("imagenes/T_TAHARI_124010306_BLK_1.jpg","Ver imagen")</f>
        <v/>
      </c>
      <c r="P4460">
        <f>HYPERLINK("imagenes/T_TAHARI_124010306_BLK_2.jpg","Ver imagen")</f>
        <v/>
      </c>
      <c r="Q4460">
        <f>HYPERLINK("imagenes/T_TAHARI_124010306_BLK_3.jpg","Ver imagen")</f>
        <v/>
      </c>
    </row>
    <row r="4461">
      <c r="A4461" t="inlineStr">
        <is>
          <t>T TAHARI</t>
        </is>
      </c>
      <c r="B4461" t="inlineStr">
        <is>
          <t>124010306</t>
        </is>
      </c>
      <c r="C4461" t="inlineStr">
        <is>
          <t>SCARLETT MACYS</t>
        </is>
      </c>
      <c r="D4461" t="inlineStr">
        <is>
          <t>BLK</t>
        </is>
      </c>
      <c r="E4461" t="inlineStr">
        <is>
          <t>(en blanco)</t>
        </is>
      </c>
      <c r="F4461" t="inlineStr">
        <is>
          <t>MACYS ECOM</t>
        </is>
      </c>
      <c r="G4461" t="inlineStr">
        <is>
          <t>M</t>
        </is>
      </c>
      <c r="H4461" t="n">
        <v>7</v>
      </c>
      <c r="I4461" t="inlineStr">
        <is>
          <t>T_TAHARI_124010306_BLK_1.jpg</t>
        </is>
      </c>
      <c r="J4461" t="inlineStr">
        <is>
          <t>T_TAHARI_124010306_BLK_2.jpg</t>
        </is>
      </c>
      <c r="K4461" t="inlineStr">
        <is>
          <t>T_TAHARI_124010306_BLK_3.jpg</t>
        </is>
      </c>
      <c r="L4461">
        <f>IMAGE("file:///E:/Estudios%20y%20certificaciones/ESTUDIOS%20DE%20PROGRAMMING/PROGRAMMING/PERSONAL/PYTHON/Image_Generator_API/imagenes/T_TAHARI_124010306_BLK_1.jpg")</f>
        <v/>
      </c>
      <c r="M4461">
        <f>IMAGE("file:///E:/Estudios%20y%20certificaciones/ESTUDIOS%20DE%20PROGRAMMING/PROGRAMMING/PERSONAL/PYTHON/Image_Generator_API/imagenes/T_TAHARI_124010306_BLK_2.jpg")</f>
        <v/>
      </c>
      <c r="N4461">
        <f>IMAGE("file:///E:/Estudios%20y%20certificaciones/ESTUDIOS%20DE%20PROGRAMMING/PROGRAMMING/PERSONAL/PYTHON/Image_Generator_API/imagenes/T_TAHARI_124010306_BLK_3.jpg")</f>
        <v/>
      </c>
      <c r="O4461">
        <f>HYPERLINK("imagenes/T_TAHARI_124010306_BLK_1.jpg","Ver imagen")</f>
        <v/>
      </c>
      <c r="P4461">
        <f>HYPERLINK("imagenes/T_TAHARI_124010306_BLK_2.jpg","Ver imagen")</f>
        <v/>
      </c>
      <c r="Q4461">
        <f>HYPERLINK("imagenes/T_TAHARI_124010306_BLK_3.jpg","Ver imagen")</f>
        <v/>
      </c>
    </row>
    <row r="4462">
      <c r="A4462" t="inlineStr">
        <is>
          <t>T TAHARI</t>
        </is>
      </c>
      <c r="B4462" t="inlineStr">
        <is>
          <t>124010306</t>
        </is>
      </c>
      <c r="C4462" t="inlineStr">
        <is>
          <t>SCARLETT MACYS</t>
        </is>
      </c>
      <c r="D4462" t="inlineStr">
        <is>
          <t>BLK</t>
        </is>
      </c>
      <c r="E4462" t="inlineStr">
        <is>
          <t>(en blanco)</t>
        </is>
      </c>
      <c r="F4462" t="inlineStr">
        <is>
          <t>MACYS ECOM</t>
        </is>
      </c>
      <c r="G4462" t="inlineStr">
        <is>
          <t>L</t>
        </is>
      </c>
      <c r="H4462" t="n">
        <v>8</v>
      </c>
      <c r="I4462" t="inlineStr">
        <is>
          <t>T_TAHARI_124010306_BLK_1.jpg</t>
        </is>
      </c>
      <c r="J4462" t="inlineStr">
        <is>
          <t>T_TAHARI_124010306_BLK_2.jpg</t>
        </is>
      </c>
      <c r="K4462" t="inlineStr">
        <is>
          <t>T_TAHARI_124010306_BLK_3.jpg</t>
        </is>
      </c>
      <c r="L4462">
        <f>IMAGE("file:///E:/Estudios%20y%20certificaciones/ESTUDIOS%20DE%20PROGRAMMING/PROGRAMMING/PERSONAL/PYTHON/Image_Generator_API/imagenes/T_TAHARI_124010306_BLK_1.jpg")</f>
        <v/>
      </c>
      <c r="M4462">
        <f>IMAGE("file:///E:/Estudios%20y%20certificaciones/ESTUDIOS%20DE%20PROGRAMMING/PROGRAMMING/PERSONAL/PYTHON/Image_Generator_API/imagenes/T_TAHARI_124010306_BLK_2.jpg")</f>
        <v/>
      </c>
      <c r="N4462">
        <f>IMAGE("file:///E:/Estudios%20y%20certificaciones/ESTUDIOS%20DE%20PROGRAMMING/PROGRAMMING/PERSONAL/PYTHON/Image_Generator_API/imagenes/T_TAHARI_124010306_BLK_3.jpg")</f>
        <v/>
      </c>
      <c r="O4462">
        <f>HYPERLINK("imagenes/T_TAHARI_124010306_BLK_1.jpg","Ver imagen")</f>
        <v/>
      </c>
      <c r="P4462">
        <f>HYPERLINK("imagenes/T_TAHARI_124010306_BLK_2.jpg","Ver imagen")</f>
        <v/>
      </c>
      <c r="Q4462">
        <f>HYPERLINK("imagenes/T_TAHARI_124010306_BLK_3.jpg","Ver imagen")</f>
        <v/>
      </c>
    </row>
    <row r="4463">
      <c r="A4463" t="inlineStr">
        <is>
          <t>T TAHARI</t>
        </is>
      </c>
      <c r="B4463" t="inlineStr">
        <is>
          <t>124010306</t>
        </is>
      </c>
      <c r="C4463" t="inlineStr">
        <is>
          <t>SCARLETT MACYS</t>
        </is>
      </c>
      <c r="D4463" t="inlineStr">
        <is>
          <t>BLK</t>
        </is>
      </c>
      <c r="E4463" t="inlineStr">
        <is>
          <t>(en blanco)</t>
        </is>
      </c>
      <c r="F4463" t="inlineStr">
        <is>
          <t>MACYS ECOM</t>
        </is>
      </c>
      <c r="G4463" t="inlineStr">
        <is>
          <t>XL</t>
        </is>
      </c>
      <c r="H4463" t="n">
        <v>5</v>
      </c>
      <c r="I4463" t="inlineStr">
        <is>
          <t>T_TAHARI_124010306_BLK_1.jpg</t>
        </is>
      </c>
      <c r="J4463" t="inlineStr">
        <is>
          <t>T_TAHARI_124010306_BLK_2.jpg</t>
        </is>
      </c>
      <c r="K4463" t="inlineStr">
        <is>
          <t>T_TAHARI_124010306_BLK_3.jpg</t>
        </is>
      </c>
      <c r="L4463">
        <f>IMAGE("file:///E:/Estudios%20y%20certificaciones/ESTUDIOS%20DE%20PROGRAMMING/PROGRAMMING/PERSONAL/PYTHON/Image_Generator_API/imagenes/T_TAHARI_124010306_BLK_1.jpg")</f>
        <v/>
      </c>
      <c r="M4463">
        <f>IMAGE("file:///E:/Estudios%20y%20certificaciones/ESTUDIOS%20DE%20PROGRAMMING/PROGRAMMING/PERSONAL/PYTHON/Image_Generator_API/imagenes/T_TAHARI_124010306_BLK_2.jpg")</f>
        <v/>
      </c>
      <c r="N4463">
        <f>IMAGE("file:///E:/Estudios%20y%20certificaciones/ESTUDIOS%20DE%20PROGRAMMING/PROGRAMMING/PERSONAL/PYTHON/Image_Generator_API/imagenes/T_TAHARI_124010306_BLK_3.jpg")</f>
        <v/>
      </c>
      <c r="O4463">
        <f>HYPERLINK("imagenes/T_TAHARI_124010306_BLK_1.jpg","Ver imagen")</f>
        <v/>
      </c>
      <c r="P4463">
        <f>HYPERLINK("imagenes/T_TAHARI_124010306_BLK_2.jpg","Ver imagen")</f>
        <v/>
      </c>
      <c r="Q4463">
        <f>HYPERLINK("imagenes/T_TAHARI_124010306_BLK_3.jpg","Ver imagen")</f>
        <v/>
      </c>
    </row>
    <row r="4464">
      <c r="A4464" t="inlineStr">
        <is>
          <t>T TAHARI</t>
        </is>
      </c>
      <c r="B4464" t="inlineStr">
        <is>
          <t>124010306</t>
        </is>
      </c>
      <c r="C4464" t="inlineStr">
        <is>
          <t>SCARLETT MACYS</t>
        </is>
      </c>
      <c r="D4464" t="inlineStr">
        <is>
          <t>BLK</t>
        </is>
      </c>
      <c r="E4464" t="inlineStr">
        <is>
          <t>(en blanco)</t>
        </is>
      </c>
      <c r="F4464" t="inlineStr">
        <is>
          <t>MACYS ECOM</t>
        </is>
      </c>
      <c r="G4464" t="inlineStr">
        <is>
          <t>XXL</t>
        </is>
      </c>
      <c r="H4464" t="n">
        <v>4</v>
      </c>
      <c r="I4464" t="inlineStr">
        <is>
          <t>T_TAHARI_124010306_BLK_1.jpg</t>
        </is>
      </c>
      <c r="J4464" t="inlineStr">
        <is>
          <t>T_TAHARI_124010306_BLK_2.jpg</t>
        </is>
      </c>
      <c r="K4464" t="inlineStr">
        <is>
          <t>T_TAHARI_124010306_BLK_3.jpg</t>
        </is>
      </c>
      <c r="L4464">
        <f>IMAGE("file:///E:/Estudios%20y%20certificaciones/ESTUDIOS%20DE%20PROGRAMMING/PROGRAMMING/PERSONAL/PYTHON/Image_Generator_API/imagenes/T_TAHARI_124010306_BLK_1.jpg")</f>
        <v/>
      </c>
      <c r="M4464">
        <f>IMAGE("file:///E:/Estudios%20y%20certificaciones/ESTUDIOS%20DE%20PROGRAMMING/PROGRAMMING/PERSONAL/PYTHON/Image_Generator_API/imagenes/T_TAHARI_124010306_BLK_2.jpg")</f>
        <v/>
      </c>
      <c r="N4464">
        <f>IMAGE("file:///E:/Estudios%20y%20certificaciones/ESTUDIOS%20DE%20PROGRAMMING/PROGRAMMING/PERSONAL/PYTHON/Image_Generator_API/imagenes/T_TAHARI_124010306_BLK_3.jpg")</f>
        <v/>
      </c>
      <c r="O4464">
        <f>HYPERLINK("imagenes/T_TAHARI_124010306_BLK_1.jpg","Ver imagen")</f>
        <v/>
      </c>
      <c r="P4464">
        <f>HYPERLINK("imagenes/T_TAHARI_124010306_BLK_2.jpg","Ver imagen")</f>
        <v/>
      </c>
      <c r="Q4464">
        <f>HYPERLINK("imagenes/T_TAHARI_124010306_BLK_3.jpg","Ver imagen")</f>
        <v/>
      </c>
    </row>
    <row r="4465">
      <c r="A4465" t="inlineStr">
        <is>
          <t>T TAHARI</t>
        </is>
      </c>
      <c r="B4465" t="inlineStr">
        <is>
          <t>124010306</t>
        </is>
      </c>
      <c r="C4465" t="inlineStr">
        <is>
          <t>SCARLETT MACYS</t>
        </is>
      </c>
      <c r="D4465" t="inlineStr">
        <is>
          <t>BLK</t>
        </is>
      </c>
      <c r="E4465" t="inlineStr">
        <is>
          <t>(en blanco)</t>
        </is>
      </c>
      <c r="F4465" t="inlineStr">
        <is>
          <t>MACYS ECOM</t>
        </is>
      </c>
      <c r="G4465" t="inlineStr">
        <is>
          <t>XXS</t>
        </is>
      </c>
      <c r="H4465" t="n">
        <v>0</v>
      </c>
      <c r="I4465" t="inlineStr">
        <is>
          <t>T_TAHARI_124010306_BLK_1.jpg</t>
        </is>
      </c>
      <c r="J4465" t="inlineStr">
        <is>
          <t>T_TAHARI_124010306_BLK_2.jpg</t>
        </is>
      </c>
      <c r="K4465" t="inlineStr">
        <is>
          <t>T_TAHARI_124010306_BLK_3.jpg</t>
        </is>
      </c>
      <c r="L4465">
        <f>IMAGE("file:///E:/Estudios%20y%20certificaciones/ESTUDIOS%20DE%20PROGRAMMING/PROGRAMMING/PERSONAL/PYTHON/Image_Generator_API/imagenes/T_TAHARI_124010306_BLK_1.jpg")</f>
        <v/>
      </c>
      <c r="M4465">
        <f>IMAGE("file:///E:/Estudios%20y%20certificaciones/ESTUDIOS%20DE%20PROGRAMMING/PROGRAMMING/PERSONAL/PYTHON/Image_Generator_API/imagenes/T_TAHARI_124010306_BLK_2.jpg")</f>
        <v/>
      </c>
      <c r="N4465">
        <f>IMAGE("file:///E:/Estudios%20y%20certificaciones/ESTUDIOS%20DE%20PROGRAMMING/PROGRAMMING/PERSONAL/PYTHON/Image_Generator_API/imagenes/T_TAHARI_124010306_BLK_3.jpg")</f>
        <v/>
      </c>
      <c r="O4465">
        <f>HYPERLINK("imagenes/T_TAHARI_124010306_BLK_1.jpg","Ver imagen")</f>
        <v/>
      </c>
      <c r="P4465">
        <f>HYPERLINK("imagenes/T_TAHARI_124010306_BLK_2.jpg","Ver imagen")</f>
        <v/>
      </c>
      <c r="Q4465">
        <f>HYPERLINK("imagenes/T_TAHARI_124010306_BLK_3.jpg","Ver imagen")</f>
        <v/>
      </c>
    </row>
    <row r="4466">
      <c r="A4466" t="inlineStr">
        <is>
          <t>T TAHARI</t>
        </is>
      </c>
      <c r="B4466" t="inlineStr">
        <is>
          <t>124010306</t>
        </is>
      </c>
      <c r="C4466" t="inlineStr">
        <is>
          <t>SCARLETT MACYS</t>
        </is>
      </c>
      <c r="D4466" t="inlineStr">
        <is>
          <t>OFW</t>
        </is>
      </c>
      <c r="E4466" t="inlineStr">
        <is>
          <t>(en blanco)</t>
        </is>
      </c>
      <c r="F4466" t="inlineStr">
        <is>
          <t>D2C</t>
        </is>
      </c>
      <c r="G4466" t="inlineStr">
        <is>
          <t>XS</t>
        </is>
      </c>
      <c r="H4466" t="n">
        <v>7</v>
      </c>
      <c r="I4466" t="inlineStr">
        <is>
          <t>T_TAHARI_124010306_OFW_1.jpg</t>
        </is>
      </c>
      <c r="J4466" t="inlineStr">
        <is>
          <t>T_TAHARI_124010306_OFW_2.jpg</t>
        </is>
      </c>
      <c r="K4466" t="inlineStr">
        <is>
          <t>T_TAHARI_124010306_OFW_3.jpg</t>
        </is>
      </c>
      <c r="L4466">
        <f>IMAGE("file:///E:/Estudios%20y%20certificaciones/ESTUDIOS%20DE%20PROGRAMMING/PROGRAMMING/PERSONAL/PYTHON/Image_Generator_API/imagenes/T_TAHARI_124010306_OFW_1.jpg")</f>
        <v/>
      </c>
      <c r="M4466">
        <f>IMAGE("file:///E:/Estudios%20y%20certificaciones/ESTUDIOS%20DE%20PROGRAMMING/PROGRAMMING/PERSONAL/PYTHON/Image_Generator_API/imagenes/T_TAHARI_124010306_OFW_2.jpg")</f>
        <v/>
      </c>
      <c r="N4466">
        <f>IMAGE("file:///E:/Estudios%20y%20certificaciones/ESTUDIOS%20DE%20PROGRAMMING/PROGRAMMING/PERSONAL/PYTHON/Image_Generator_API/imagenes/T_TAHARI_124010306_OFW_3.jpg")</f>
        <v/>
      </c>
      <c r="O4466">
        <f>HYPERLINK("imagenes/T_TAHARI_124010306_OFW_1.jpg","Ver imagen")</f>
        <v/>
      </c>
      <c r="P4466">
        <f>HYPERLINK("imagenes/T_TAHARI_124010306_OFW_2.jpg","Ver imagen")</f>
        <v/>
      </c>
      <c r="Q4466">
        <f>HYPERLINK("imagenes/T_TAHARI_124010306_OFW_3.jpg","Ver imagen")</f>
        <v/>
      </c>
    </row>
    <row r="4467">
      <c r="A4467" t="inlineStr">
        <is>
          <t>T TAHARI</t>
        </is>
      </c>
      <c r="B4467" t="inlineStr">
        <is>
          <t>124010306</t>
        </is>
      </c>
      <c r="C4467" t="inlineStr">
        <is>
          <t>SCARLETT MACYS</t>
        </is>
      </c>
      <c r="D4467" t="inlineStr">
        <is>
          <t>OFW</t>
        </is>
      </c>
      <c r="E4467" t="inlineStr">
        <is>
          <t>(en blanco)</t>
        </is>
      </c>
      <c r="F4467" t="inlineStr">
        <is>
          <t>D2C</t>
        </is>
      </c>
      <c r="G4467" t="inlineStr">
        <is>
          <t>S</t>
        </is>
      </c>
      <c r="H4467" t="n">
        <v>14</v>
      </c>
      <c r="I4467" t="inlineStr">
        <is>
          <t>T_TAHARI_124010306_OFW_1.jpg</t>
        </is>
      </c>
      <c r="J4467" t="inlineStr">
        <is>
          <t>T_TAHARI_124010306_OFW_2.jpg</t>
        </is>
      </c>
      <c r="K4467" t="inlineStr">
        <is>
          <t>T_TAHARI_124010306_OFW_3.jpg</t>
        </is>
      </c>
      <c r="L4467">
        <f>IMAGE("file:///E:/Estudios%20y%20certificaciones/ESTUDIOS%20DE%20PROGRAMMING/PROGRAMMING/PERSONAL/PYTHON/Image_Generator_API/imagenes/T_TAHARI_124010306_OFW_1.jpg")</f>
        <v/>
      </c>
      <c r="M4467">
        <f>IMAGE("file:///E:/Estudios%20y%20certificaciones/ESTUDIOS%20DE%20PROGRAMMING/PROGRAMMING/PERSONAL/PYTHON/Image_Generator_API/imagenes/T_TAHARI_124010306_OFW_2.jpg")</f>
        <v/>
      </c>
      <c r="N4467">
        <f>IMAGE("file:///E:/Estudios%20y%20certificaciones/ESTUDIOS%20DE%20PROGRAMMING/PROGRAMMING/PERSONAL/PYTHON/Image_Generator_API/imagenes/T_TAHARI_124010306_OFW_3.jpg")</f>
        <v/>
      </c>
      <c r="O4467">
        <f>HYPERLINK("imagenes/T_TAHARI_124010306_OFW_1.jpg","Ver imagen")</f>
        <v/>
      </c>
      <c r="P4467">
        <f>HYPERLINK("imagenes/T_TAHARI_124010306_OFW_2.jpg","Ver imagen")</f>
        <v/>
      </c>
      <c r="Q4467">
        <f>HYPERLINK("imagenes/T_TAHARI_124010306_OFW_3.jpg","Ver imagen")</f>
        <v/>
      </c>
    </row>
    <row r="4468">
      <c r="A4468" t="inlineStr">
        <is>
          <t>T TAHARI</t>
        </is>
      </c>
      <c r="B4468" t="inlineStr">
        <is>
          <t>124010306</t>
        </is>
      </c>
      <c r="C4468" t="inlineStr">
        <is>
          <t>SCARLETT MACYS</t>
        </is>
      </c>
      <c r="D4468" t="inlineStr">
        <is>
          <t>OFW</t>
        </is>
      </c>
      <c r="E4468" t="inlineStr">
        <is>
          <t>(en blanco)</t>
        </is>
      </c>
      <c r="F4468" t="inlineStr">
        <is>
          <t>D2C</t>
        </is>
      </c>
      <c r="G4468" t="inlineStr">
        <is>
          <t>M</t>
        </is>
      </c>
      <c r="H4468" t="n">
        <v>14</v>
      </c>
      <c r="I4468" t="inlineStr">
        <is>
          <t>T_TAHARI_124010306_OFW_1.jpg</t>
        </is>
      </c>
      <c r="J4468" t="inlineStr">
        <is>
          <t>T_TAHARI_124010306_OFW_2.jpg</t>
        </is>
      </c>
      <c r="K4468" t="inlineStr">
        <is>
          <t>T_TAHARI_124010306_OFW_3.jpg</t>
        </is>
      </c>
      <c r="L4468">
        <f>IMAGE("file:///E:/Estudios%20y%20certificaciones/ESTUDIOS%20DE%20PROGRAMMING/PROGRAMMING/PERSONAL/PYTHON/Image_Generator_API/imagenes/T_TAHARI_124010306_OFW_1.jpg")</f>
        <v/>
      </c>
      <c r="M4468">
        <f>IMAGE("file:///E:/Estudios%20y%20certificaciones/ESTUDIOS%20DE%20PROGRAMMING/PROGRAMMING/PERSONAL/PYTHON/Image_Generator_API/imagenes/T_TAHARI_124010306_OFW_2.jpg")</f>
        <v/>
      </c>
      <c r="N4468">
        <f>IMAGE("file:///E:/Estudios%20y%20certificaciones/ESTUDIOS%20DE%20PROGRAMMING/PROGRAMMING/PERSONAL/PYTHON/Image_Generator_API/imagenes/T_TAHARI_124010306_OFW_3.jpg")</f>
        <v/>
      </c>
      <c r="O4468">
        <f>HYPERLINK("imagenes/T_TAHARI_124010306_OFW_1.jpg","Ver imagen")</f>
        <v/>
      </c>
      <c r="P4468">
        <f>HYPERLINK("imagenes/T_TAHARI_124010306_OFW_2.jpg","Ver imagen")</f>
        <v/>
      </c>
      <c r="Q4468">
        <f>HYPERLINK("imagenes/T_TAHARI_124010306_OFW_3.jpg","Ver imagen")</f>
        <v/>
      </c>
    </row>
    <row r="4469">
      <c r="A4469" t="inlineStr">
        <is>
          <t>T TAHARI</t>
        </is>
      </c>
      <c r="B4469" t="inlineStr">
        <is>
          <t>124010306</t>
        </is>
      </c>
      <c r="C4469" t="inlineStr">
        <is>
          <t>SCARLETT MACYS</t>
        </is>
      </c>
      <c r="D4469" t="inlineStr">
        <is>
          <t>OFW</t>
        </is>
      </c>
      <c r="E4469" t="inlineStr">
        <is>
          <t>(en blanco)</t>
        </is>
      </c>
      <c r="F4469" t="inlineStr">
        <is>
          <t>D2C</t>
        </is>
      </c>
      <c r="G4469" t="inlineStr">
        <is>
          <t>L</t>
        </is>
      </c>
      <c r="H4469" t="n">
        <v>13</v>
      </c>
      <c r="I4469" t="inlineStr">
        <is>
          <t>T_TAHARI_124010306_OFW_1.jpg</t>
        </is>
      </c>
      <c r="J4469" t="inlineStr">
        <is>
          <t>T_TAHARI_124010306_OFW_2.jpg</t>
        </is>
      </c>
      <c r="K4469" t="inlineStr">
        <is>
          <t>T_TAHARI_124010306_OFW_3.jpg</t>
        </is>
      </c>
      <c r="L4469">
        <f>IMAGE("file:///E:/Estudios%20y%20certificaciones/ESTUDIOS%20DE%20PROGRAMMING/PROGRAMMING/PERSONAL/PYTHON/Image_Generator_API/imagenes/T_TAHARI_124010306_OFW_1.jpg")</f>
        <v/>
      </c>
      <c r="M4469">
        <f>IMAGE("file:///E:/Estudios%20y%20certificaciones/ESTUDIOS%20DE%20PROGRAMMING/PROGRAMMING/PERSONAL/PYTHON/Image_Generator_API/imagenes/T_TAHARI_124010306_OFW_2.jpg")</f>
        <v/>
      </c>
      <c r="N4469">
        <f>IMAGE("file:///E:/Estudios%20y%20certificaciones/ESTUDIOS%20DE%20PROGRAMMING/PROGRAMMING/PERSONAL/PYTHON/Image_Generator_API/imagenes/T_TAHARI_124010306_OFW_3.jpg")</f>
        <v/>
      </c>
      <c r="O4469">
        <f>HYPERLINK("imagenes/T_TAHARI_124010306_OFW_1.jpg","Ver imagen")</f>
        <v/>
      </c>
      <c r="P4469">
        <f>HYPERLINK("imagenes/T_TAHARI_124010306_OFW_2.jpg","Ver imagen")</f>
        <v/>
      </c>
      <c r="Q4469">
        <f>HYPERLINK("imagenes/T_TAHARI_124010306_OFW_3.jpg","Ver imagen")</f>
        <v/>
      </c>
    </row>
    <row r="4470">
      <c r="A4470" t="inlineStr">
        <is>
          <t>T TAHARI</t>
        </is>
      </c>
      <c r="B4470" t="inlineStr">
        <is>
          <t>124010306</t>
        </is>
      </c>
      <c r="C4470" t="inlineStr">
        <is>
          <t>SCARLETT MACYS</t>
        </is>
      </c>
      <c r="D4470" t="inlineStr">
        <is>
          <t>OFW</t>
        </is>
      </c>
      <c r="E4470" t="inlineStr">
        <is>
          <t>(en blanco)</t>
        </is>
      </c>
      <c r="F4470" t="inlineStr">
        <is>
          <t>D2C</t>
        </is>
      </c>
      <c r="G4470" t="inlineStr">
        <is>
          <t>XL</t>
        </is>
      </c>
      <c r="H4470" t="n">
        <v>7</v>
      </c>
      <c r="I4470" t="inlineStr">
        <is>
          <t>T_TAHARI_124010306_OFW_1.jpg</t>
        </is>
      </c>
      <c r="J4470" t="inlineStr">
        <is>
          <t>T_TAHARI_124010306_OFW_2.jpg</t>
        </is>
      </c>
      <c r="K4470" t="inlineStr">
        <is>
          <t>T_TAHARI_124010306_OFW_3.jpg</t>
        </is>
      </c>
      <c r="L4470">
        <f>IMAGE("file:///E:/Estudios%20y%20certificaciones/ESTUDIOS%20DE%20PROGRAMMING/PROGRAMMING/PERSONAL/PYTHON/Image_Generator_API/imagenes/T_TAHARI_124010306_OFW_1.jpg")</f>
        <v/>
      </c>
      <c r="M4470">
        <f>IMAGE("file:///E:/Estudios%20y%20certificaciones/ESTUDIOS%20DE%20PROGRAMMING/PROGRAMMING/PERSONAL/PYTHON/Image_Generator_API/imagenes/T_TAHARI_124010306_OFW_2.jpg")</f>
        <v/>
      </c>
      <c r="N4470">
        <f>IMAGE("file:///E:/Estudios%20y%20certificaciones/ESTUDIOS%20DE%20PROGRAMMING/PROGRAMMING/PERSONAL/PYTHON/Image_Generator_API/imagenes/T_TAHARI_124010306_OFW_3.jpg")</f>
        <v/>
      </c>
      <c r="O4470">
        <f>HYPERLINK("imagenes/T_TAHARI_124010306_OFW_1.jpg","Ver imagen")</f>
        <v/>
      </c>
      <c r="P4470">
        <f>HYPERLINK("imagenes/T_TAHARI_124010306_OFW_2.jpg","Ver imagen")</f>
        <v/>
      </c>
      <c r="Q4470">
        <f>HYPERLINK("imagenes/T_TAHARI_124010306_OFW_3.jpg","Ver imagen")</f>
        <v/>
      </c>
    </row>
    <row r="4471">
      <c r="A4471" t="inlineStr">
        <is>
          <t>T TAHARI</t>
        </is>
      </c>
      <c r="B4471" t="inlineStr">
        <is>
          <t>124010306</t>
        </is>
      </c>
      <c r="C4471" t="inlineStr">
        <is>
          <t>SCARLETT MACYS</t>
        </is>
      </c>
      <c r="D4471" t="inlineStr">
        <is>
          <t>OFW</t>
        </is>
      </c>
      <c r="E4471" t="inlineStr">
        <is>
          <t>(en blanco)</t>
        </is>
      </c>
      <c r="F4471" t="inlineStr">
        <is>
          <t>M1155</t>
        </is>
      </c>
      <c r="G4471" t="inlineStr">
        <is>
          <t>XS</t>
        </is>
      </c>
      <c r="H4471" t="n">
        <v>0</v>
      </c>
      <c r="I4471" t="inlineStr">
        <is>
          <t>T_TAHARI_124010306_OFW_1.jpg</t>
        </is>
      </c>
      <c r="J4471" t="inlineStr">
        <is>
          <t>T_TAHARI_124010306_OFW_2.jpg</t>
        </is>
      </c>
      <c r="K4471" t="inlineStr">
        <is>
          <t>T_TAHARI_124010306_OFW_3.jpg</t>
        </is>
      </c>
      <c r="L4471">
        <f>IMAGE("file:///E:/Estudios%20y%20certificaciones/ESTUDIOS%20DE%20PROGRAMMING/PROGRAMMING/PERSONAL/PYTHON/Image_Generator_API/imagenes/T_TAHARI_124010306_OFW_1.jpg")</f>
        <v/>
      </c>
      <c r="M4471">
        <f>IMAGE("file:///E:/Estudios%20y%20certificaciones/ESTUDIOS%20DE%20PROGRAMMING/PROGRAMMING/PERSONAL/PYTHON/Image_Generator_API/imagenes/T_TAHARI_124010306_OFW_2.jpg")</f>
        <v/>
      </c>
      <c r="N4471">
        <f>IMAGE("file:///E:/Estudios%20y%20certificaciones/ESTUDIOS%20DE%20PROGRAMMING/PROGRAMMING/PERSONAL/PYTHON/Image_Generator_API/imagenes/T_TAHARI_124010306_OFW_3.jpg")</f>
        <v/>
      </c>
      <c r="O4471">
        <f>HYPERLINK("imagenes/T_TAHARI_124010306_OFW_1.jpg","Ver imagen")</f>
        <v/>
      </c>
      <c r="P4471">
        <f>HYPERLINK("imagenes/T_TAHARI_124010306_OFW_2.jpg","Ver imagen")</f>
        <v/>
      </c>
      <c r="Q4471">
        <f>HYPERLINK("imagenes/T_TAHARI_124010306_OFW_3.jpg","Ver imagen")</f>
        <v/>
      </c>
    </row>
    <row r="4472">
      <c r="A4472" t="inlineStr">
        <is>
          <t>T TAHARI</t>
        </is>
      </c>
      <c r="B4472" t="inlineStr">
        <is>
          <t>124010306</t>
        </is>
      </c>
      <c r="C4472" t="inlineStr">
        <is>
          <t>SCARLETT MACYS</t>
        </is>
      </c>
      <c r="D4472" t="inlineStr">
        <is>
          <t>OFW</t>
        </is>
      </c>
      <c r="E4472" t="inlineStr">
        <is>
          <t>(en blanco)</t>
        </is>
      </c>
      <c r="F4472" t="inlineStr">
        <is>
          <t>M1155</t>
        </is>
      </c>
      <c r="G4472" t="inlineStr">
        <is>
          <t>S</t>
        </is>
      </c>
      <c r="H4472" t="n">
        <v>0</v>
      </c>
      <c r="I4472" t="inlineStr">
        <is>
          <t>T_TAHARI_124010306_OFW_1.jpg</t>
        </is>
      </c>
      <c r="J4472" t="inlineStr">
        <is>
          <t>T_TAHARI_124010306_OFW_2.jpg</t>
        </is>
      </c>
      <c r="K4472" t="inlineStr">
        <is>
          <t>T_TAHARI_124010306_OFW_3.jpg</t>
        </is>
      </c>
      <c r="L4472">
        <f>IMAGE("file:///E:/Estudios%20y%20certificaciones/ESTUDIOS%20DE%20PROGRAMMING/PROGRAMMING/PERSONAL/PYTHON/Image_Generator_API/imagenes/T_TAHARI_124010306_OFW_1.jpg")</f>
        <v/>
      </c>
      <c r="M4472">
        <f>IMAGE("file:///E:/Estudios%20y%20certificaciones/ESTUDIOS%20DE%20PROGRAMMING/PROGRAMMING/PERSONAL/PYTHON/Image_Generator_API/imagenes/T_TAHARI_124010306_OFW_2.jpg")</f>
        <v/>
      </c>
      <c r="N4472">
        <f>IMAGE("file:///E:/Estudios%20y%20certificaciones/ESTUDIOS%20DE%20PROGRAMMING/PROGRAMMING/PERSONAL/PYTHON/Image_Generator_API/imagenes/T_TAHARI_124010306_OFW_3.jpg")</f>
        <v/>
      </c>
      <c r="O4472">
        <f>HYPERLINK("imagenes/T_TAHARI_124010306_OFW_1.jpg","Ver imagen")</f>
        <v/>
      </c>
      <c r="P4472">
        <f>HYPERLINK("imagenes/T_TAHARI_124010306_OFW_2.jpg","Ver imagen")</f>
        <v/>
      </c>
      <c r="Q4472">
        <f>HYPERLINK("imagenes/T_TAHARI_124010306_OFW_3.jpg","Ver imagen")</f>
        <v/>
      </c>
    </row>
    <row r="4473">
      <c r="A4473" t="inlineStr">
        <is>
          <t>T TAHARI</t>
        </is>
      </c>
      <c r="B4473" t="inlineStr">
        <is>
          <t>124010306</t>
        </is>
      </c>
      <c r="C4473" t="inlineStr">
        <is>
          <t>SCARLETT MACYS</t>
        </is>
      </c>
      <c r="D4473" t="inlineStr">
        <is>
          <t>OFW</t>
        </is>
      </c>
      <c r="E4473" t="inlineStr">
        <is>
          <t>(en blanco)</t>
        </is>
      </c>
      <c r="F4473" t="inlineStr">
        <is>
          <t>M1155</t>
        </is>
      </c>
      <c r="G4473" t="inlineStr">
        <is>
          <t>M</t>
        </is>
      </c>
      <c r="H4473" t="n">
        <v>0</v>
      </c>
      <c r="I4473" t="inlineStr">
        <is>
          <t>T_TAHARI_124010306_OFW_1.jpg</t>
        </is>
      </c>
      <c r="J4473" t="inlineStr">
        <is>
          <t>T_TAHARI_124010306_OFW_2.jpg</t>
        </is>
      </c>
      <c r="K4473" t="inlineStr">
        <is>
          <t>T_TAHARI_124010306_OFW_3.jpg</t>
        </is>
      </c>
      <c r="L4473">
        <f>IMAGE("file:///E:/Estudios%20y%20certificaciones/ESTUDIOS%20DE%20PROGRAMMING/PROGRAMMING/PERSONAL/PYTHON/Image_Generator_API/imagenes/T_TAHARI_124010306_OFW_1.jpg")</f>
        <v/>
      </c>
      <c r="M4473">
        <f>IMAGE("file:///E:/Estudios%20y%20certificaciones/ESTUDIOS%20DE%20PROGRAMMING/PROGRAMMING/PERSONAL/PYTHON/Image_Generator_API/imagenes/T_TAHARI_124010306_OFW_2.jpg")</f>
        <v/>
      </c>
      <c r="N4473">
        <f>IMAGE("file:///E:/Estudios%20y%20certificaciones/ESTUDIOS%20DE%20PROGRAMMING/PROGRAMMING/PERSONAL/PYTHON/Image_Generator_API/imagenes/T_TAHARI_124010306_OFW_3.jpg")</f>
        <v/>
      </c>
      <c r="O4473">
        <f>HYPERLINK("imagenes/T_TAHARI_124010306_OFW_1.jpg","Ver imagen")</f>
        <v/>
      </c>
      <c r="P4473">
        <f>HYPERLINK("imagenes/T_TAHARI_124010306_OFW_2.jpg","Ver imagen")</f>
        <v/>
      </c>
      <c r="Q4473">
        <f>HYPERLINK("imagenes/T_TAHARI_124010306_OFW_3.jpg","Ver imagen")</f>
        <v/>
      </c>
    </row>
    <row r="4474">
      <c r="A4474" t="inlineStr">
        <is>
          <t>T TAHARI</t>
        </is>
      </c>
      <c r="B4474" t="inlineStr">
        <is>
          <t>124010306</t>
        </is>
      </c>
      <c r="C4474" t="inlineStr">
        <is>
          <t>SCARLETT MACYS</t>
        </is>
      </c>
      <c r="D4474" t="inlineStr">
        <is>
          <t>OFW</t>
        </is>
      </c>
      <c r="E4474" t="inlineStr">
        <is>
          <t>(en blanco)</t>
        </is>
      </c>
      <c r="F4474" t="inlineStr">
        <is>
          <t>M1155</t>
        </is>
      </c>
      <c r="G4474" t="inlineStr">
        <is>
          <t>L</t>
        </is>
      </c>
      <c r="H4474" t="n">
        <v>0</v>
      </c>
      <c r="I4474" t="inlineStr">
        <is>
          <t>T_TAHARI_124010306_OFW_1.jpg</t>
        </is>
      </c>
      <c r="J4474" t="inlineStr">
        <is>
          <t>T_TAHARI_124010306_OFW_2.jpg</t>
        </is>
      </c>
      <c r="K4474" t="inlineStr">
        <is>
          <t>T_TAHARI_124010306_OFW_3.jpg</t>
        </is>
      </c>
      <c r="L4474">
        <f>IMAGE("file:///E:/Estudios%20y%20certificaciones/ESTUDIOS%20DE%20PROGRAMMING/PROGRAMMING/PERSONAL/PYTHON/Image_Generator_API/imagenes/T_TAHARI_124010306_OFW_1.jpg")</f>
        <v/>
      </c>
      <c r="M4474">
        <f>IMAGE("file:///E:/Estudios%20y%20certificaciones/ESTUDIOS%20DE%20PROGRAMMING/PROGRAMMING/PERSONAL/PYTHON/Image_Generator_API/imagenes/T_TAHARI_124010306_OFW_2.jpg")</f>
        <v/>
      </c>
      <c r="N4474">
        <f>IMAGE("file:///E:/Estudios%20y%20certificaciones/ESTUDIOS%20DE%20PROGRAMMING/PROGRAMMING/PERSONAL/PYTHON/Image_Generator_API/imagenes/T_TAHARI_124010306_OFW_3.jpg")</f>
        <v/>
      </c>
      <c r="O4474">
        <f>HYPERLINK("imagenes/T_TAHARI_124010306_OFW_1.jpg","Ver imagen")</f>
        <v/>
      </c>
      <c r="P4474">
        <f>HYPERLINK("imagenes/T_TAHARI_124010306_OFW_2.jpg","Ver imagen")</f>
        <v/>
      </c>
      <c r="Q4474">
        <f>HYPERLINK("imagenes/T_TAHARI_124010306_OFW_3.jpg","Ver imagen")</f>
        <v/>
      </c>
    </row>
    <row r="4475">
      <c r="A4475" t="inlineStr">
        <is>
          <t>T TAHARI</t>
        </is>
      </c>
      <c r="B4475" t="inlineStr">
        <is>
          <t>124010306</t>
        </is>
      </c>
      <c r="C4475" t="inlineStr">
        <is>
          <t>SCARLETT MACYS</t>
        </is>
      </c>
      <c r="D4475" t="inlineStr">
        <is>
          <t>OFW</t>
        </is>
      </c>
      <c r="E4475" t="inlineStr">
        <is>
          <t>(en blanco)</t>
        </is>
      </c>
      <c r="F4475" t="inlineStr">
        <is>
          <t>M1155</t>
        </is>
      </c>
      <c r="G4475" t="inlineStr">
        <is>
          <t>XL</t>
        </is>
      </c>
      <c r="H4475" t="n">
        <v>0</v>
      </c>
      <c r="I4475" t="inlineStr">
        <is>
          <t>T_TAHARI_124010306_OFW_1.jpg</t>
        </is>
      </c>
      <c r="J4475" t="inlineStr">
        <is>
          <t>T_TAHARI_124010306_OFW_2.jpg</t>
        </is>
      </c>
      <c r="K4475" t="inlineStr">
        <is>
          <t>T_TAHARI_124010306_OFW_3.jpg</t>
        </is>
      </c>
      <c r="L4475">
        <f>IMAGE("file:///E:/Estudios%20y%20certificaciones/ESTUDIOS%20DE%20PROGRAMMING/PROGRAMMING/PERSONAL/PYTHON/Image_Generator_API/imagenes/T_TAHARI_124010306_OFW_1.jpg")</f>
        <v/>
      </c>
      <c r="M4475">
        <f>IMAGE("file:///E:/Estudios%20y%20certificaciones/ESTUDIOS%20DE%20PROGRAMMING/PROGRAMMING/PERSONAL/PYTHON/Image_Generator_API/imagenes/T_TAHARI_124010306_OFW_2.jpg")</f>
        <v/>
      </c>
      <c r="N4475">
        <f>IMAGE("file:///E:/Estudios%20y%20certificaciones/ESTUDIOS%20DE%20PROGRAMMING/PROGRAMMING/PERSONAL/PYTHON/Image_Generator_API/imagenes/T_TAHARI_124010306_OFW_3.jpg")</f>
        <v/>
      </c>
      <c r="O4475">
        <f>HYPERLINK("imagenes/T_TAHARI_124010306_OFW_1.jpg","Ver imagen")</f>
        <v/>
      </c>
      <c r="P4475">
        <f>HYPERLINK("imagenes/T_TAHARI_124010306_OFW_2.jpg","Ver imagen")</f>
        <v/>
      </c>
      <c r="Q4475">
        <f>HYPERLINK("imagenes/T_TAHARI_124010306_OFW_3.jpg","Ver imagen")</f>
        <v/>
      </c>
    </row>
    <row r="4476">
      <c r="A4476" t="inlineStr">
        <is>
          <t>T TAHARI</t>
        </is>
      </c>
      <c r="B4476" t="inlineStr">
        <is>
          <t>124010306</t>
        </is>
      </c>
      <c r="C4476" t="inlineStr">
        <is>
          <t>SCARLETT MACYS</t>
        </is>
      </c>
      <c r="D4476" t="inlineStr">
        <is>
          <t>OFW</t>
        </is>
      </c>
      <c r="E4476" t="inlineStr">
        <is>
          <t>(en blanco)</t>
        </is>
      </c>
      <c r="F4476" t="inlineStr">
        <is>
          <t>M1155</t>
        </is>
      </c>
      <c r="G4476" t="inlineStr">
        <is>
          <t>XXL</t>
        </is>
      </c>
      <c r="H4476" t="n">
        <v>0</v>
      </c>
      <c r="I4476" t="inlineStr">
        <is>
          <t>T_TAHARI_124010306_OFW_1.jpg</t>
        </is>
      </c>
      <c r="J4476" t="inlineStr">
        <is>
          <t>T_TAHARI_124010306_OFW_2.jpg</t>
        </is>
      </c>
      <c r="K4476" t="inlineStr">
        <is>
          <t>T_TAHARI_124010306_OFW_3.jpg</t>
        </is>
      </c>
      <c r="L4476">
        <f>IMAGE("file:///E:/Estudios%20y%20certificaciones/ESTUDIOS%20DE%20PROGRAMMING/PROGRAMMING/PERSONAL/PYTHON/Image_Generator_API/imagenes/T_TAHARI_124010306_OFW_1.jpg")</f>
        <v/>
      </c>
      <c r="M4476">
        <f>IMAGE("file:///E:/Estudios%20y%20certificaciones/ESTUDIOS%20DE%20PROGRAMMING/PROGRAMMING/PERSONAL/PYTHON/Image_Generator_API/imagenes/T_TAHARI_124010306_OFW_2.jpg")</f>
        <v/>
      </c>
      <c r="N4476">
        <f>IMAGE("file:///E:/Estudios%20y%20certificaciones/ESTUDIOS%20DE%20PROGRAMMING/PROGRAMMING/PERSONAL/PYTHON/Image_Generator_API/imagenes/T_TAHARI_124010306_OFW_3.jpg")</f>
        <v/>
      </c>
      <c r="O4476">
        <f>HYPERLINK("imagenes/T_TAHARI_124010306_OFW_1.jpg","Ver imagen")</f>
        <v/>
      </c>
      <c r="P4476">
        <f>HYPERLINK("imagenes/T_TAHARI_124010306_OFW_2.jpg","Ver imagen")</f>
        <v/>
      </c>
      <c r="Q4476">
        <f>HYPERLINK("imagenes/T_TAHARI_124010306_OFW_3.jpg","Ver imagen")</f>
        <v/>
      </c>
    </row>
    <row r="4477">
      <c r="A4477" t="inlineStr">
        <is>
          <t>T TAHARI</t>
        </is>
      </c>
      <c r="B4477" t="inlineStr">
        <is>
          <t>124010306</t>
        </is>
      </c>
      <c r="C4477" t="inlineStr">
        <is>
          <t>SCARLETT MACYS</t>
        </is>
      </c>
      <c r="D4477" t="inlineStr">
        <is>
          <t>OFW</t>
        </is>
      </c>
      <c r="E4477" t="inlineStr">
        <is>
          <t>(en blanco)</t>
        </is>
      </c>
      <c r="F4477" t="inlineStr">
        <is>
          <t>M1155</t>
        </is>
      </c>
      <c r="G4477" t="inlineStr">
        <is>
          <t>XXS</t>
        </is>
      </c>
      <c r="H4477" t="n">
        <v>0</v>
      </c>
      <c r="I4477" t="inlineStr">
        <is>
          <t>T_TAHARI_124010306_OFW_1.jpg</t>
        </is>
      </c>
      <c r="J4477" t="inlineStr">
        <is>
          <t>T_TAHARI_124010306_OFW_2.jpg</t>
        </is>
      </c>
      <c r="K4477" t="inlineStr">
        <is>
          <t>T_TAHARI_124010306_OFW_3.jpg</t>
        </is>
      </c>
      <c r="L4477">
        <f>IMAGE("file:///E:/Estudios%20y%20certificaciones/ESTUDIOS%20DE%20PROGRAMMING/PROGRAMMING/PERSONAL/PYTHON/Image_Generator_API/imagenes/T_TAHARI_124010306_OFW_1.jpg")</f>
        <v/>
      </c>
      <c r="M4477">
        <f>IMAGE("file:///E:/Estudios%20y%20certificaciones/ESTUDIOS%20DE%20PROGRAMMING/PROGRAMMING/PERSONAL/PYTHON/Image_Generator_API/imagenes/T_TAHARI_124010306_OFW_2.jpg")</f>
        <v/>
      </c>
      <c r="N4477">
        <f>IMAGE("file:///E:/Estudios%20y%20certificaciones/ESTUDIOS%20DE%20PROGRAMMING/PROGRAMMING/PERSONAL/PYTHON/Image_Generator_API/imagenes/T_TAHARI_124010306_OFW_3.jpg")</f>
        <v/>
      </c>
      <c r="O4477">
        <f>HYPERLINK("imagenes/T_TAHARI_124010306_OFW_1.jpg","Ver imagen")</f>
        <v/>
      </c>
      <c r="P4477">
        <f>HYPERLINK("imagenes/T_TAHARI_124010306_OFW_2.jpg","Ver imagen")</f>
        <v/>
      </c>
      <c r="Q4477">
        <f>HYPERLINK("imagenes/T_TAHARI_124010306_OFW_3.jpg","Ver imagen")</f>
        <v/>
      </c>
    </row>
    <row r="4478">
      <c r="A4478" t="inlineStr">
        <is>
          <t>T TAHARI</t>
        </is>
      </c>
      <c r="B4478" t="inlineStr">
        <is>
          <t>124010306</t>
        </is>
      </c>
      <c r="C4478" t="inlineStr">
        <is>
          <t>SCARLETT MACYS</t>
        </is>
      </c>
      <c r="D4478" t="inlineStr">
        <is>
          <t>OFW</t>
        </is>
      </c>
      <c r="E4478" t="inlineStr">
        <is>
          <t>(en blanco)</t>
        </is>
      </c>
      <c r="F4478" t="inlineStr">
        <is>
          <t>MACYS ECOM</t>
        </is>
      </c>
      <c r="G4478" t="inlineStr">
        <is>
          <t>XS</t>
        </is>
      </c>
      <c r="H4478" t="n">
        <v>0</v>
      </c>
      <c r="I4478" t="inlineStr">
        <is>
          <t>T_TAHARI_124010306_OFW_1.jpg</t>
        </is>
      </c>
      <c r="J4478" t="inlineStr">
        <is>
          <t>T_TAHARI_124010306_OFW_2.jpg</t>
        </is>
      </c>
      <c r="K4478" t="inlineStr">
        <is>
          <t>T_TAHARI_124010306_OFW_3.jpg</t>
        </is>
      </c>
      <c r="L4478">
        <f>IMAGE("file:///E:/Estudios%20y%20certificaciones/ESTUDIOS%20DE%20PROGRAMMING/PROGRAMMING/PERSONAL/PYTHON/Image_Generator_API/imagenes/T_TAHARI_124010306_OFW_1.jpg")</f>
        <v/>
      </c>
      <c r="M4478">
        <f>IMAGE("file:///E:/Estudios%20y%20certificaciones/ESTUDIOS%20DE%20PROGRAMMING/PROGRAMMING/PERSONAL/PYTHON/Image_Generator_API/imagenes/T_TAHARI_124010306_OFW_2.jpg")</f>
        <v/>
      </c>
      <c r="N4478">
        <f>IMAGE("file:///E:/Estudios%20y%20certificaciones/ESTUDIOS%20DE%20PROGRAMMING/PROGRAMMING/PERSONAL/PYTHON/Image_Generator_API/imagenes/T_TAHARI_124010306_OFW_3.jpg")</f>
        <v/>
      </c>
      <c r="O4478">
        <f>HYPERLINK("imagenes/T_TAHARI_124010306_OFW_1.jpg","Ver imagen")</f>
        <v/>
      </c>
      <c r="P4478">
        <f>HYPERLINK("imagenes/T_TAHARI_124010306_OFW_2.jpg","Ver imagen")</f>
        <v/>
      </c>
      <c r="Q4478">
        <f>HYPERLINK("imagenes/T_TAHARI_124010306_OFW_3.jpg","Ver imagen")</f>
        <v/>
      </c>
    </row>
    <row r="4479">
      <c r="A4479" t="inlineStr">
        <is>
          <t>T TAHARI</t>
        </is>
      </c>
      <c r="B4479" t="inlineStr">
        <is>
          <t>124010306</t>
        </is>
      </c>
      <c r="C4479" t="inlineStr">
        <is>
          <t>SCARLETT MACYS</t>
        </is>
      </c>
      <c r="D4479" t="inlineStr">
        <is>
          <t>OFW</t>
        </is>
      </c>
      <c r="E4479" t="inlineStr">
        <is>
          <t>(en blanco)</t>
        </is>
      </c>
      <c r="F4479" t="inlineStr">
        <is>
          <t>MACYS ECOM</t>
        </is>
      </c>
      <c r="G4479" t="inlineStr">
        <is>
          <t>S</t>
        </is>
      </c>
      <c r="H4479" t="n">
        <v>0</v>
      </c>
      <c r="I4479" t="inlineStr">
        <is>
          <t>T_TAHARI_124010306_OFW_1.jpg</t>
        </is>
      </c>
      <c r="J4479" t="inlineStr">
        <is>
          <t>T_TAHARI_124010306_OFW_2.jpg</t>
        </is>
      </c>
      <c r="K4479" t="inlineStr">
        <is>
          <t>T_TAHARI_124010306_OFW_3.jpg</t>
        </is>
      </c>
      <c r="L4479">
        <f>IMAGE("file:///E:/Estudios%20y%20certificaciones/ESTUDIOS%20DE%20PROGRAMMING/PROGRAMMING/PERSONAL/PYTHON/Image_Generator_API/imagenes/T_TAHARI_124010306_OFW_1.jpg")</f>
        <v/>
      </c>
      <c r="M4479">
        <f>IMAGE("file:///E:/Estudios%20y%20certificaciones/ESTUDIOS%20DE%20PROGRAMMING/PROGRAMMING/PERSONAL/PYTHON/Image_Generator_API/imagenes/T_TAHARI_124010306_OFW_2.jpg")</f>
        <v/>
      </c>
      <c r="N4479">
        <f>IMAGE("file:///E:/Estudios%20y%20certificaciones/ESTUDIOS%20DE%20PROGRAMMING/PROGRAMMING/PERSONAL/PYTHON/Image_Generator_API/imagenes/T_TAHARI_124010306_OFW_3.jpg")</f>
        <v/>
      </c>
      <c r="O4479">
        <f>HYPERLINK("imagenes/T_TAHARI_124010306_OFW_1.jpg","Ver imagen")</f>
        <v/>
      </c>
      <c r="P4479">
        <f>HYPERLINK("imagenes/T_TAHARI_124010306_OFW_2.jpg","Ver imagen")</f>
        <v/>
      </c>
      <c r="Q4479">
        <f>HYPERLINK("imagenes/T_TAHARI_124010306_OFW_3.jpg","Ver imagen")</f>
        <v/>
      </c>
    </row>
    <row r="4480">
      <c r="A4480" t="inlineStr">
        <is>
          <t>T TAHARI</t>
        </is>
      </c>
      <c r="B4480" t="inlineStr">
        <is>
          <t>124010306</t>
        </is>
      </c>
      <c r="C4480" t="inlineStr">
        <is>
          <t>SCARLETT MACYS</t>
        </is>
      </c>
      <c r="D4480" t="inlineStr">
        <is>
          <t>OFW</t>
        </is>
      </c>
      <c r="E4480" t="inlineStr">
        <is>
          <t>(en blanco)</t>
        </is>
      </c>
      <c r="F4480" t="inlineStr">
        <is>
          <t>MACYS ECOM</t>
        </is>
      </c>
      <c r="G4480" t="inlineStr">
        <is>
          <t>M</t>
        </is>
      </c>
      <c r="H4480" t="n">
        <v>0</v>
      </c>
      <c r="I4480" t="inlineStr">
        <is>
          <t>T_TAHARI_124010306_OFW_1.jpg</t>
        </is>
      </c>
      <c r="J4480" t="inlineStr">
        <is>
          <t>T_TAHARI_124010306_OFW_2.jpg</t>
        </is>
      </c>
      <c r="K4480" t="inlineStr">
        <is>
          <t>T_TAHARI_124010306_OFW_3.jpg</t>
        </is>
      </c>
      <c r="L4480">
        <f>IMAGE("file:///E:/Estudios%20y%20certificaciones/ESTUDIOS%20DE%20PROGRAMMING/PROGRAMMING/PERSONAL/PYTHON/Image_Generator_API/imagenes/T_TAHARI_124010306_OFW_1.jpg")</f>
        <v/>
      </c>
      <c r="M4480">
        <f>IMAGE("file:///E:/Estudios%20y%20certificaciones/ESTUDIOS%20DE%20PROGRAMMING/PROGRAMMING/PERSONAL/PYTHON/Image_Generator_API/imagenes/T_TAHARI_124010306_OFW_2.jpg")</f>
        <v/>
      </c>
      <c r="N4480">
        <f>IMAGE("file:///E:/Estudios%20y%20certificaciones/ESTUDIOS%20DE%20PROGRAMMING/PROGRAMMING/PERSONAL/PYTHON/Image_Generator_API/imagenes/T_TAHARI_124010306_OFW_3.jpg")</f>
        <v/>
      </c>
      <c r="O4480">
        <f>HYPERLINK("imagenes/T_TAHARI_124010306_OFW_1.jpg","Ver imagen")</f>
        <v/>
      </c>
      <c r="P4480">
        <f>HYPERLINK("imagenes/T_TAHARI_124010306_OFW_2.jpg","Ver imagen")</f>
        <v/>
      </c>
      <c r="Q4480">
        <f>HYPERLINK("imagenes/T_TAHARI_124010306_OFW_3.jpg","Ver imagen")</f>
        <v/>
      </c>
    </row>
    <row r="4481">
      <c r="A4481" t="inlineStr">
        <is>
          <t>T TAHARI</t>
        </is>
      </c>
      <c r="B4481" t="inlineStr">
        <is>
          <t>124010306</t>
        </is>
      </c>
      <c r="C4481" t="inlineStr">
        <is>
          <t>SCARLETT MACYS</t>
        </is>
      </c>
      <c r="D4481" t="inlineStr">
        <is>
          <t>OFW</t>
        </is>
      </c>
      <c r="E4481" t="inlineStr">
        <is>
          <t>(en blanco)</t>
        </is>
      </c>
      <c r="F4481" t="inlineStr">
        <is>
          <t>MACYS ECOM</t>
        </is>
      </c>
      <c r="G4481" t="inlineStr">
        <is>
          <t>L</t>
        </is>
      </c>
      <c r="H4481" t="n">
        <v>0</v>
      </c>
      <c r="I4481" t="inlineStr">
        <is>
          <t>T_TAHARI_124010306_OFW_1.jpg</t>
        </is>
      </c>
      <c r="J4481" t="inlineStr">
        <is>
          <t>T_TAHARI_124010306_OFW_2.jpg</t>
        </is>
      </c>
      <c r="K4481" t="inlineStr">
        <is>
          <t>T_TAHARI_124010306_OFW_3.jpg</t>
        </is>
      </c>
      <c r="L4481">
        <f>IMAGE("file:///E:/Estudios%20y%20certificaciones/ESTUDIOS%20DE%20PROGRAMMING/PROGRAMMING/PERSONAL/PYTHON/Image_Generator_API/imagenes/T_TAHARI_124010306_OFW_1.jpg")</f>
        <v/>
      </c>
      <c r="M4481">
        <f>IMAGE("file:///E:/Estudios%20y%20certificaciones/ESTUDIOS%20DE%20PROGRAMMING/PROGRAMMING/PERSONAL/PYTHON/Image_Generator_API/imagenes/T_TAHARI_124010306_OFW_2.jpg")</f>
        <v/>
      </c>
      <c r="N4481">
        <f>IMAGE("file:///E:/Estudios%20y%20certificaciones/ESTUDIOS%20DE%20PROGRAMMING/PROGRAMMING/PERSONAL/PYTHON/Image_Generator_API/imagenes/T_TAHARI_124010306_OFW_3.jpg")</f>
        <v/>
      </c>
      <c r="O4481">
        <f>HYPERLINK("imagenes/T_TAHARI_124010306_OFW_1.jpg","Ver imagen")</f>
        <v/>
      </c>
      <c r="P4481">
        <f>HYPERLINK("imagenes/T_TAHARI_124010306_OFW_2.jpg","Ver imagen")</f>
        <v/>
      </c>
      <c r="Q4481">
        <f>HYPERLINK("imagenes/T_TAHARI_124010306_OFW_3.jpg","Ver imagen")</f>
        <v/>
      </c>
    </row>
    <row r="4482">
      <c r="A4482" t="inlineStr">
        <is>
          <t>T TAHARI</t>
        </is>
      </c>
      <c r="B4482" t="inlineStr">
        <is>
          <t>124010306</t>
        </is>
      </c>
      <c r="C4482" t="inlineStr">
        <is>
          <t>SCARLETT MACYS</t>
        </is>
      </c>
      <c r="D4482" t="inlineStr">
        <is>
          <t>OFW</t>
        </is>
      </c>
      <c r="E4482" t="inlineStr">
        <is>
          <t>(en blanco)</t>
        </is>
      </c>
      <c r="F4482" t="inlineStr">
        <is>
          <t>MACYS ECOM</t>
        </is>
      </c>
      <c r="G4482" t="inlineStr">
        <is>
          <t>XL</t>
        </is>
      </c>
      <c r="H4482" t="n">
        <v>0</v>
      </c>
      <c r="I4482" t="inlineStr">
        <is>
          <t>T_TAHARI_124010306_OFW_1.jpg</t>
        </is>
      </c>
      <c r="J4482" t="inlineStr">
        <is>
          <t>T_TAHARI_124010306_OFW_2.jpg</t>
        </is>
      </c>
      <c r="K4482" t="inlineStr">
        <is>
          <t>T_TAHARI_124010306_OFW_3.jpg</t>
        </is>
      </c>
      <c r="L4482">
        <f>IMAGE("file:///E:/Estudios%20y%20certificaciones/ESTUDIOS%20DE%20PROGRAMMING/PROGRAMMING/PERSONAL/PYTHON/Image_Generator_API/imagenes/T_TAHARI_124010306_OFW_1.jpg")</f>
        <v/>
      </c>
      <c r="M4482">
        <f>IMAGE("file:///E:/Estudios%20y%20certificaciones/ESTUDIOS%20DE%20PROGRAMMING/PROGRAMMING/PERSONAL/PYTHON/Image_Generator_API/imagenes/T_TAHARI_124010306_OFW_2.jpg")</f>
        <v/>
      </c>
      <c r="N4482">
        <f>IMAGE("file:///E:/Estudios%20y%20certificaciones/ESTUDIOS%20DE%20PROGRAMMING/PROGRAMMING/PERSONAL/PYTHON/Image_Generator_API/imagenes/T_TAHARI_124010306_OFW_3.jpg")</f>
        <v/>
      </c>
      <c r="O4482">
        <f>HYPERLINK("imagenes/T_TAHARI_124010306_OFW_1.jpg","Ver imagen")</f>
        <v/>
      </c>
      <c r="P4482">
        <f>HYPERLINK("imagenes/T_TAHARI_124010306_OFW_2.jpg","Ver imagen")</f>
        <v/>
      </c>
      <c r="Q4482">
        <f>HYPERLINK("imagenes/T_TAHARI_124010306_OFW_3.jpg","Ver imagen")</f>
        <v/>
      </c>
    </row>
    <row r="4483">
      <c r="A4483" t="inlineStr">
        <is>
          <t>T TAHARI</t>
        </is>
      </c>
      <c r="B4483" t="inlineStr">
        <is>
          <t>124010306</t>
        </is>
      </c>
      <c r="C4483" t="inlineStr">
        <is>
          <t>SCARLETT MACYS</t>
        </is>
      </c>
      <c r="D4483" t="inlineStr">
        <is>
          <t>OFW</t>
        </is>
      </c>
      <c r="E4483" t="inlineStr">
        <is>
          <t>(en blanco)</t>
        </is>
      </c>
      <c r="F4483" t="inlineStr">
        <is>
          <t>MACYS ECOM</t>
        </is>
      </c>
      <c r="G4483" t="inlineStr">
        <is>
          <t>XXL</t>
        </is>
      </c>
      <c r="H4483" t="n">
        <v>0</v>
      </c>
      <c r="I4483" t="inlineStr">
        <is>
          <t>T_TAHARI_124010306_OFW_1.jpg</t>
        </is>
      </c>
      <c r="J4483" t="inlineStr">
        <is>
          <t>T_TAHARI_124010306_OFW_2.jpg</t>
        </is>
      </c>
      <c r="K4483" t="inlineStr">
        <is>
          <t>T_TAHARI_124010306_OFW_3.jpg</t>
        </is>
      </c>
      <c r="L4483">
        <f>IMAGE("file:///E:/Estudios%20y%20certificaciones/ESTUDIOS%20DE%20PROGRAMMING/PROGRAMMING/PERSONAL/PYTHON/Image_Generator_API/imagenes/T_TAHARI_124010306_OFW_1.jpg")</f>
        <v/>
      </c>
      <c r="M4483">
        <f>IMAGE("file:///E:/Estudios%20y%20certificaciones/ESTUDIOS%20DE%20PROGRAMMING/PROGRAMMING/PERSONAL/PYTHON/Image_Generator_API/imagenes/T_TAHARI_124010306_OFW_2.jpg")</f>
        <v/>
      </c>
      <c r="N4483">
        <f>IMAGE("file:///E:/Estudios%20y%20certificaciones/ESTUDIOS%20DE%20PROGRAMMING/PROGRAMMING/PERSONAL/PYTHON/Image_Generator_API/imagenes/T_TAHARI_124010306_OFW_3.jpg")</f>
        <v/>
      </c>
      <c r="O4483">
        <f>HYPERLINK("imagenes/T_TAHARI_124010306_OFW_1.jpg","Ver imagen")</f>
        <v/>
      </c>
      <c r="P4483">
        <f>HYPERLINK("imagenes/T_TAHARI_124010306_OFW_2.jpg","Ver imagen")</f>
        <v/>
      </c>
      <c r="Q4483">
        <f>HYPERLINK("imagenes/T_TAHARI_124010306_OFW_3.jpg","Ver imagen")</f>
        <v/>
      </c>
    </row>
    <row r="4484">
      <c r="A4484" t="inlineStr">
        <is>
          <t>T TAHARI</t>
        </is>
      </c>
      <c r="B4484" t="inlineStr">
        <is>
          <t>124010306</t>
        </is>
      </c>
      <c r="C4484" t="inlineStr">
        <is>
          <t>SCARLETT MACYS</t>
        </is>
      </c>
      <c r="D4484" t="inlineStr">
        <is>
          <t>OFW</t>
        </is>
      </c>
      <c r="E4484" t="inlineStr">
        <is>
          <t>(en blanco)</t>
        </is>
      </c>
      <c r="F4484" t="inlineStr">
        <is>
          <t>MACYS ECOM</t>
        </is>
      </c>
      <c r="G4484" t="inlineStr">
        <is>
          <t>XXS</t>
        </is>
      </c>
      <c r="H4484" t="n">
        <v>0</v>
      </c>
      <c r="I4484" t="inlineStr">
        <is>
          <t>T_TAHARI_124010306_OFW_1.jpg</t>
        </is>
      </c>
      <c r="J4484" t="inlineStr">
        <is>
          <t>T_TAHARI_124010306_OFW_2.jpg</t>
        </is>
      </c>
      <c r="K4484" t="inlineStr">
        <is>
          <t>T_TAHARI_124010306_OFW_3.jpg</t>
        </is>
      </c>
      <c r="L4484">
        <f>IMAGE("file:///E:/Estudios%20y%20certificaciones/ESTUDIOS%20DE%20PROGRAMMING/PROGRAMMING/PERSONAL/PYTHON/Image_Generator_API/imagenes/T_TAHARI_124010306_OFW_1.jpg")</f>
        <v/>
      </c>
      <c r="M4484">
        <f>IMAGE("file:///E:/Estudios%20y%20certificaciones/ESTUDIOS%20DE%20PROGRAMMING/PROGRAMMING/PERSONAL/PYTHON/Image_Generator_API/imagenes/T_TAHARI_124010306_OFW_2.jpg")</f>
        <v/>
      </c>
      <c r="N4484">
        <f>IMAGE("file:///E:/Estudios%20y%20certificaciones/ESTUDIOS%20DE%20PROGRAMMING/PROGRAMMING/PERSONAL/PYTHON/Image_Generator_API/imagenes/T_TAHARI_124010306_OFW_3.jpg")</f>
        <v/>
      </c>
      <c r="O4484">
        <f>HYPERLINK("imagenes/T_TAHARI_124010306_OFW_1.jpg","Ver imagen")</f>
        <v/>
      </c>
      <c r="P4484">
        <f>HYPERLINK("imagenes/T_TAHARI_124010306_OFW_2.jpg","Ver imagen")</f>
        <v/>
      </c>
      <c r="Q4484">
        <f>HYPERLINK("imagenes/T_TAHARI_124010306_OFW_3.jpg","Ver imagen")</f>
        <v/>
      </c>
    </row>
    <row r="4485">
      <c r="A4485" t="inlineStr">
        <is>
          <t>T TAHARI</t>
        </is>
      </c>
      <c r="B4485" t="inlineStr">
        <is>
          <t>124010306</t>
        </is>
      </c>
      <c r="C4485" t="inlineStr">
        <is>
          <t>SCARLETT MACYS</t>
        </is>
      </c>
      <c r="D4485" t="inlineStr">
        <is>
          <t>OFW</t>
        </is>
      </c>
      <c r="E4485" t="inlineStr">
        <is>
          <t>(en blanco)</t>
        </is>
      </c>
      <c r="F4485" t="inlineStr">
        <is>
          <t>(en blanco)</t>
        </is>
      </c>
      <c r="G4485" t="inlineStr">
        <is>
          <t>XS</t>
        </is>
      </c>
      <c r="H4485" t="n">
        <v>3</v>
      </c>
      <c r="I4485" t="inlineStr">
        <is>
          <t>T_TAHARI_124010306_OFW_1.jpg</t>
        </is>
      </c>
      <c r="J4485" t="inlineStr">
        <is>
          <t>T_TAHARI_124010306_OFW_2.jpg</t>
        </is>
      </c>
      <c r="K4485" t="inlineStr">
        <is>
          <t>T_TAHARI_124010306_OFW_3.jpg</t>
        </is>
      </c>
      <c r="L4485">
        <f>IMAGE("file:///E:/Estudios%20y%20certificaciones/ESTUDIOS%20DE%20PROGRAMMING/PROGRAMMING/PERSONAL/PYTHON/Image_Generator_API/imagenes/T_TAHARI_124010306_OFW_1.jpg")</f>
        <v/>
      </c>
      <c r="M4485">
        <f>IMAGE("file:///E:/Estudios%20y%20certificaciones/ESTUDIOS%20DE%20PROGRAMMING/PROGRAMMING/PERSONAL/PYTHON/Image_Generator_API/imagenes/T_TAHARI_124010306_OFW_2.jpg")</f>
        <v/>
      </c>
      <c r="N4485">
        <f>IMAGE("file:///E:/Estudios%20y%20certificaciones/ESTUDIOS%20DE%20PROGRAMMING/PROGRAMMING/PERSONAL/PYTHON/Image_Generator_API/imagenes/T_TAHARI_124010306_OFW_3.jpg")</f>
        <v/>
      </c>
      <c r="O4485">
        <f>HYPERLINK("imagenes/T_TAHARI_124010306_OFW_1.jpg","Ver imagen")</f>
        <v/>
      </c>
      <c r="P4485">
        <f>HYPERLINK("imagenes/T_TAHARI_124010306_OFW_2.jpg","Ver imagen")</f>
        <v/>
      </c>
      <c r="Q4485">
        <f>HYPERLINK("imagenes/T_TAHARI_124010306_OFW_3.jpg","Ver imagen")</f>
        <v/>
      </c>
    </row>
    <row r="4486">
      <c r="A4486" t="inlineStr">
        <is>
          <t>T TAHARI</t>
        </is>
      </c>
      <c r="B4486" t="inlineStr">
        <is>
          <t>124010306</t>
        </is>
      </c>
      <c r="C4486" t="inlineStr">
        <is>
          <t>SCARLETT MACYS</t>
        </is>
      </c>
      <c r="D4486" t="inlineStr">
        <is>
          <t>OFW</t>
        </is>
      </c>
      <c r="E4486" t="inlineStr">
        <is>
          <t>(en blanco)</t>
        </is>
      </c>
      <c r="F4486" t="inlineStr">
        <is>
          <t>(en blanco)</t>
        </is>
      </c>
      <c r="G4486" t="inlineStr">
        <is>
          <t>S</t>
        </is>
      </c>
      <c r="H4486" t="n">
        <v>11</v>
      </c>
      <c r="I4486" t="inlineStr">
        <is>
          <t>T_TAHARI_124010306_OFW_1.jpg</t>
        </is>
      </c>
      <c r="J4486" t="inlineStr">
        <is>
          <t>T_TAHARI_124010306_OFW_2.jpg</t>
        </is>
      </c>
      <c r="K4486" t="inlineStr">
        <is>
          <t>T_TAHARI_124010306_OFW_3.jpg</t>
        </is>
      </c>
      <c r="L4486">
        <f>IMAGE("file:///E:/Estudios%20y%20certificaciones/ESTUDIOS%20DE%20PROGRAMMING/PROGRAMMING/PERSONAL/PYTHON/Image_Generator_API/imagenes/T_TAHARI_124010306_OFW_1.jpg")</f>
        <v/>
      </c>
      <c r="M4486">
        <f>IMAGE("file:///E:/Estudios%20y%20certificaciones/ESTUDIOS%20DE%20PROGRAMMING/PROGRAMMING/PERSONAL/PYTHON/Image_Generator_API/imagenes/T_TAHARI_124010306_OFW_2.jpg")</f>
        <v/>
      </c>
      <c r="N4486">
        <f>IMAGE("file:///E:/Estudios%20y%20certificaciones/ESTUDIOS%20DE%20PROGRAMMING/PROGRAMMING/PERSONAL/PYTHON/Image_Generator_API/imagenes/T_TAHARI_124010306_OFW_3.jpg")</f>
        <v/>
      </c>
      <c r="O4486">
        <f>HYPERLINK("imagenes/T_TAHARI_124010306_OFW_1.jpg","Ver imagen")</f>
        <v/>
      </c>
      <c r="P4486">
        <f>HYPERLINK("imagenes/T_TAHARI_124010306_OFW_2.jpg","Ver imagen")</f>
        <v/>
      </c>
      <c r="Q4486">
        <f>HYPERLINK("imagenes/T_TAHARI_124010306_OFW_3.jpg","Ver imagen")</f>
        <v/>
      </c>
    </row>
    <row r="4487">
      <c r="A4487" t="inlineStr">
        <is>
          <t>T TAHARI</t>
        </is>
      </c>
      <c r="B4487" t="inlineStr">
        <is>
          <t>124010306</t>
        </is>
      </c>
      <c r="C4487" t="inlineStr">
        <is>
          <t>SCARLETT MACYS</t>
        </is>
      </c>
      <c r="D4487" t="inlineStr">
        <is>
          <t>OFW</t>
        </is>
      </c>
      <c r="E4487" t="inlineStr">
        <is>
          <t>(en blanco)</t>
        </is>
      </c>
      <c r="F4487" t="inlineStr">
        <is>
          <t>(en blanco)</t>
        </is>
      </c>
      <c r="G4487" t="inlineStr">
        <is>
          <t>M</t>
        </is>
      </c>
      <c r="H4487" t="n">
        <v>22</v>
      </c>
      <c r="I4487" t="inlineStr">
        <is>
          <t>T_TAHARI_124010306_OFW_1.jpg</t>
        </is>
      </c>
      <c r="J4487" t="inlineStr">
        <is>
          <t>T_TAHARI_124010306_OFW_2.jpg</t>
        </is>
      </c>
      <c r="K4487" t="inlineStr">
        <is>
          <t>T_TAHARI_124010306_OFW_3.jpg</t>
        </is>
      </c>
      <c r="L4487">
        <f>IMAGE("file:///E:/Estudios%20y%20certificaciones/ESTUDIOS%20DE%20PROGRAMMING/PROGRAMMING/PERSONAL/PYTHON/Image_Generator_API/imagenes/T_TAHARI_124010306_OFW_1.jpg")</f>
        <v/>
      </c>
      <c r="M4487">
        <f>IMAGE("file:///E:/Estudios%20y%20certificaciones/ESTUDIOS%20DE%20PROGRAMMING/PROGRAMMING/PERSONAL/PYTHON/Image_Generator_API/imagenes/T_TAHARI_124010306_OFW_2.jpg")</f>
        <v/>
      </c>
      <c r="N4487">
        <f>IMAGE("file:///E:/Estudios%20y%20certificaciones/ESTUDIOS%20DE%20PROGRAMMING/PROGRAMMING/PERSONAL/PYTHON/Image_Generator_API/imagenes/T_TAHARI_124010306_OFW_3.jpg")</f>
        <v/>
      </c>
      <c r="O4487">
        <f>HYPERLINK("imagenes/T_TAHARI_124010306_OFW_1.jpg","Ver imagen")</f>
        <v/>
      </c>
      <c r="P4487">
        <f>HYPERLINK("imagenes/T_TAHARI_124010306_OFW_2.jpg","Ver imagen")</f>
        <v/>
      </c>
      <c r="Q4487">
        <f>HYPERLINK("imagenes/T_TAHARI_124010306_OFW_3.jpg","Ver imagen")</f>
        <v/>
      </c>
    </row>
    <row r="4488">
      <c r="A4488" t="inlineStr">
        <is>
          <t>T TAHARI</t>
        </is>
      </c>
      <c r="B4488" t="inlineStr">
        <is>
          <t>124010306</t>
        </is>
      </c>
      <c r="C4488" t="inlineStr">
        <is>
          <t>SCARLETT MACYS</t>
        </is>
      </c>
      <c r="D4488" t="inlineStr">
        <is>
          <t>OFW</t>
        </is>
      </c>
      <c r="E4488" t="inlineStr">
        <is>
          <t>(en blanco)</t>
        </is>
      </c>
      <c r="F4488" t="inlineStr">
        <is>
          <t>(en blanco)</t>
        </is>
      </c>
      <c r="G4488" t="inlineStr">
        <is>
          <t>L</t>
        </is>
      </c>
      <c r="H4488" t="n">
        <v>18</v>
      </c>
      <c r="I4488" t="inlineStr">
        <is>
          <t>T_TAHARI_124010306_OFW_1.jpg</t>
        </is>
      </c>
      <c r="J4488" t="inlineStr">
        <is>
          <t>T_TAHARI_124010306_OFW_2.jpg</t>
        </is>
      </c>
      <c r="K4488" t="inlineStr">
        <is>
          <t>T_TAHARI_124010306_OFW_3.jpg</t>
        </is>
      </c>
      <c r="L4488">
        <f>IMAGE("file:///E:/Estudios%20y%20certificaciones/ESTUDIOS%20DE%20PROGRAMMING/PROGRAMMING/PERSONAL/PYTHON/Image_Generator_API/imagenes/T_TAHARI_124010306_OFW_1.jpg")</f>
        <v/>
      </c>
      <c r="M4488">
        <f>IMAGE("file:///E:/Estudios%20y%20certificaciones/ESTUDIOS%20DE%20PROGRAMMING/PROGRAMMING/PERSONAL/PYTHON/Image_Generator_API/imagenes/T_TAHARI_124010306_OFW_2.jpg")</f>
        <v/>
      </c>
      <c r="N4488">
        <f>IMAGE("file:///E:/Estudios%20y%20certificaciones/ESTUDIOS%20DE%20PROGRAMMING/PROGRAMMING/PERSONAL/PYTHON/Image_Generator_API/imagenes/T_TAHARI_124010306_OFW_3.jpg")</f>
        <v/>
      </c>
      <c r="O4488">
        <f>HYPERLINK("imagenes/T_TAHARI_124010306_OFW_1.jpg","Ver imagen")</f>
        <v/>
      </c>
      <c r="P4488">
        <f>HYPERLINK("imagenes/T_TAHARI_124010306_OFW_2.jpg","Ver imagen")</f>
        <v/>
      </c>
      <c r="Q4488">
        <f>HYPERLINK("imagenes/T_TAHARI_124010306_OFW_3.jpg","Ver imagen")</f>
        <v/>
      </c>
    </row>
    <row r="4489">
      <c r="A4489" t="inlineStr">
        <is>
          <t>T TAHARI</t>
        </is>
      </c>
      <c r="B4489" t="inlineStr">
        <is>
          <t>124010306</t>
        </is>
      </c>
      <c r="C4489" t="inlineStr">
        <is>
          <t>SCARLETT MACYS</t>
        </is>
      </c>
      <c r="D4489" t="inlineStr">
        <is>
          <t>OFW</t>
        </is>
      </c>
      <c r="E4489" t="inlineStr">
        <is>
          <t>(en blanco)</t>
        </is>
      </c>
      <c r="F4489" t="inlineStr">
        <is>
          <t>(en blanco)</t>
        </is>
      </c>
      <c r="G4489" t="inlineStr">
        <is>
          <t>XL</t>
        </is>
      </c>
      <c r="H4489" t="n">
        <v>4</v>
      </c>
      <c r="I4489" t="inlineStr">
        <is>
          <t>T_TAHARI_124010306_OFW_1.jpg</t>
        </is>
      </c>
      <c r="J4489" t="inlineStr">
        <is>
          <t>T_TAHARI_124010306_OFW_2.jpg</t>
        </is>
      </c>
      <c r="K4489" t="inlineStr">
        <is>
          <t>T_TAHARI_124010306_OFW_3.jpg</t>
        </is>
      </c>
      <c r="L4489">
        <f>IMAGE("file:///E:/Estudios%20y%20certificaciones/ESTUDIOS%20DE%20PROGRAMMING/PROGRAMMING/PERSONAL/PYTHON/Image_Generator_API/imagenes/T_TAHARI_124010306_OFW_1.jpg")</f>
        <v/>
      </c>
      <c r="M4489">
        <f>IMAGE("file:///E:/Estudios%20y%20certificaciones/ESTUDIOS%20DE%20PROGRAMMING/PROGRAMMING/PERSONAL/PYTHON/Image_Generator_API/imagenes/T_TAHARI_124010306_OFW_2.jpg")</f>
        <v/>
      </c>
      <c r="N4489">
        <f>IMAGE("file:///E:/Estudios%20y%20certificaciones/ESTUDIOS%20DE%20PROGRAMMING/PROGRAMMING/PERSONAL/PYTHON/Image_Generator_API/imagenes/T_TAHARI_124010306_OFW_3.jpg")</f>
        <v/>
      </c>
      <c r="O4489">
        <f>HYPERLINK("imagenes/T_TAHARI_124010306_OFW_1.jpg","Ver imagen")</f>
        <v/>
      </c>
      <c r="P4489">
        <f>HYPERLINK("imagenes/T_TAHARI_124010306_OFW_2.jpg","Ver imagen")</f>
        <v/>
      </c>
      <c r="Q4489">
        <f>HYPERLINK("imagenes/T_TAHARI_124010306_OFW_3.jpg","Ver imagen")</f>
        <v/>
      </c>
    </row>
    <row r="4490">
      <c r="A4490" t="inlineStr">
        <is>
          <t>T TAHARI</t>
        </is>
      </c>
      <c r="B4490" t="inlineStr">
        <is>
          <t>124010373</t>
        </is>
      </c>
      <c r="C4490" t="inlineStr">
        <is>
          <t>FEDERICA</t>
        </is>
      </c>
      <c r="D4490" t="inlineStr">
        <is>
          <t>BLK</t>
        </is>
      </c>
      <c r="E4490" t="inlineStr">
        <is>
          <t>06A01</t>
        </is>
      </c>
      <c r="F4490" t="inlineStr">
        <is>
          <t>R2140</t>
        </is>
      </c>
      <c r="G4490" t="inlineStr">
        <is>
          <t>PPK</t>
        </is>
      </c>
      <c r="H4490" t="n">
        <v>0</v>
      </c>
      <c r="I4490" t="inlineStr">
        <is>
          <t>T_TAHARI_124010373_BLK_1.jpg</t>
        </is>
      </c>
      <c r="J4490" t="inlineStr">
        <is>
          <t>T_TAHARI_124010373_BLK_2.jpg</t>
        </is>
      </c>
      <c r="K4490" t="inlineStr">
        <is>
          <t>T_TAHARI_124010373_BLK_3.jpg</t>
        </is>
      </c>
      <c r="L4490">
        <f>IMAGE("file:///E:/Estudios%20y%20certificaciones/ESTUDIOS%20DE%20PROGRAMMING/PROGRAMMING/PERSONAL/PYTHON/Image_Generator_API/imagenes/T_TAHARI_124010373_BLK_1.jpg")</f>
        <v/>
      </c>
      <c r="M4490">
        <f>IMAGE("file:///E:/Estudios%20y%20certificaciones/ESTUDIOS%20DE%20PROGRAMMING/PROGRAMMING/PERSONAL/PYTHON/Image_Generator_API/imagenes/T_TAHARI_124010373_BLK_2.jpg")</f>
        <v/>
      </c>
      <c r="N4490">
        <f>IMAGE("file:///E:/Estudios%20y%20certificaciones/ESTUDIOS%20DE%20PROGRAMMING/PROGRAMMING/PERSONAL/PYTHON/Image_Generator_API/imagenes/T_TAHARI_124010373_BLK_3.jpg")</f>
        <v/>
      </c>
      <c r="O4490">
        <f>HYPERLINK("imagenes/T_TAHARI_124010373_BLK_1.jpg","Ver imagen")</f>
        <v/>
      </c>
      <c r="P4490">
        <f>HYPERLINK("imagenes/T_TAHARI_124010373_BLK_2.jpg","Ver imagen")</f>
        <v/>
      </c>
      <c r="Q4490">
        <f>HYPERLINK("imagenes/T_TAHARI_124010373_BLK_3.jpg","Ver imagen")</f>
        <v/>
      </c>
    </row>
    <row r="4491">
      <c r="A4491" t="inlineStr">
        <is>
          <t>T TAHARI</t>
        </is>
      </c>
      <c r="B4491" t="inlineStr">
        <is>
          <t>124010373</t>
        </is>
      </c>
      <c r="C4491" t="inlineStr">
        <is>
          <t>FEDERICA</t>
        </is>
      </c>
      <c r="D4491" t="inlineStr">
        <is>
          <t>BLK</t>
        </is>
      </c>
      <c r="E4491" t="inlineStr">
        <is>
          <t>08A05</t>
        </is>
      </c>
      <c r="F4491" t="inlineStr">
        <is>
          <t>M2360</t>
        </is>
      </c>
      <c r="G4491" t="inlineStr">
        <is>
          <t>PPK</t>
        </is>
      </c>
      <c r="H4491" t="n">
        <v>0</v>
      </c>
      <c r="I4491" t="inlineStr">
        <is>
          <t>T_TAHARI_124010373_BLK_1.jpg</t>
        </is>
      </c>
      <c r="J4491" t="inlineStr">
        <is>
          <t>T_TAHARI_124010373_BLK_2.jpg</t>
        </is>
      </c>
      <c r="K4491" t="inlineStr">
        <is>
          <t>T_TAHARI_124010373_BLK_3.jpg</t>
        </is>
      </c>
      <c r="L4491">
        <f>IMAGE("file:///E:/Estudios%20y%20certificaciones/ESTUDIOS%20DE%20PROGRAMMING/PROGRAMMING/PERSONAL/PYTHON/Image_Generator_API/imagenes/T_TAHARI_124010373_BLK_1.jpg")</f>
        <v/>
      </c>
      <c r="M4491">
        <f>IMAGE("file:///E:/Estudios%20y%20certificaciones/ESTUDIOS%20DE%20PROGRAMMING/PROGRAMMING/PERSONAL/PYTHON/Image_Generator_API/imagenes/T_TAHARI_124010373_BLK_2.jpg")</f>
        <v/>
      </c>
      <c r="N4491">
        <f>IMAGE("file:///E:/Estudios%20y%20certificaciones/ESTUDIOS%20DE%20PROGRAMMING/PROGRAMMING/PERSONAL/PYTHON/Image_Generator_API/imagenes/T_TAHARI_124010373_BLK_3.jpg")</f>
        <v/>
      </c>
      <c r="O4491">
        <f>HYPERLINK("imagenes/T_TAHARI_124010373_BLK_1.jpg","Ver imagen")</f>
        <v/>
      </c>
      <c r="P4491">
        <f>HYPERLINK("imagenes/T_TAHARI_124010373_BLK_2.jpg","Ver imagen")</f>
        <v/>
      </c>
      <c r="Q4491">
        <f>HYPERLINK("imagenes/T_TAHARI_124010373_BLK_3.jpg","Ver imagen")</f>
        <v/>
      </c>
    </row>
    <row r="4492">
      <c r="A4492" t="inlineStr">
        <is>
          <t>T TAHARI</t>
        </is>
      </c>
      <c r="B4492" t="inlineStr">
        <is>
          <t>124010373</t>
        </is>
      </c>
      <c r="C4492" t="inlineStr">
        <is>
          <t>FEDERICA</t>
        </is>
      </c>
      <c r="D4492" t="inlineStr">
        <is>
          <t>GXY</t>
        </is>
      </c>
      <c r="E4492" t="inlineStr">
        <is>
          <t>(en blanco)</t>
        </is>
      </c>
      <c r="F4492" t="inlineStr">
        <is>
          <t>(en blanco)</t>
        </is>
      </c>
      <c r="G4492" t="inlineStr">
        <is>
          <t>XS</t>
        </is>
      </c>
      <c r="H4492" t="n">
        <v>119</v>
      </c>
      <c r="I4492" t="inlineStr">
        <is>
          <t>T_TAHARI_124010373_GXY_1.jpg</t>
        </is>
      </c>
      <c r="J4492" t="inlineStr">
        <is>
          <t>T_TAHARI_124010373_GXY_2.jpg</t>
        </is>
      </c>
      <c r="K4492" t="inlineStr">
        <is>
          <t>T_TAHARI_124010373_GXY_3.jpg</t>
        </is>
      </c>
      <c r="L4492">
        <f>IMAGE("file:///E:/Estudios%20y%20certificaciones/ESTUDIOS%20DE%20PROGRAMMING/PROGRAMMING/PERSONAL/PYTHON/Image_Generator_API/imagenes/T_TAHARI_124010373_GXY_1.jpg")</f>
        <v/>
      </c>
      <c r="M4492">
        <f>IMAGE("file:///E:/Estudios%20y%20certificaciones/ESTUDIOS%20DE%20PROGRAMMING/PROGRAMMING/PERSONAL/PYTHON/Image_Generator_API/imagenes/T_TAHARI_124010373_GXY_2.jpg")</f>
        <v/>
      </c>
      <c r="N4492">
        <f>IMAGE("file:///E:/Estudios%20y%20certificaciones/ESTUDIOS%20DE%20PROGRAMMING/PROGRAMMING/PERSONAL/PYTHON/Image_Generator_API/imagenes/T_TAHARI_124010373_GXY_3.jpg")</f>
        <v/>
      </c>
      <c r="O4492">
        <f>HYPERLINK("imagenes/T_TAHARI_124010373_GXY_1.jpg","Ver imagen")</f>
        <v/>
      </c>
      <c r="P4492">
        <f>HYPERLINK("imagenes/T_TAHARI_124010373_GXY_2.jpg","Ver imagen")</f>
        <v/>
      </c>
      <c r="Q4492">
        <f>HYPERLINK("imagenes/T_TAHARI_124010373_GXY_3.jpg","Ver imagen")</f>
        <v/>
      </c>
    </row>
    <row r="4493">
      <c r="A4493" t="inlineStr">
        <is>
          <t>T TAHARI</t>
        </is>
      </c>
      <c r="B4493" t="inlineStr">
        <is>
          <t>124010373</t>
        </is>
      </c>
      <c r="C4493" t="inlineStr">
        <is>
          <t>FEDERICA</t>
        </is>
      </c>
      <c r="D4493" t="inlineStr">
        <is>
          <t>GXY</t>
        </is>
      </c>
      <c r="E4493" t="inlineStr">
        <is>
          <t>(en blanco)</t>
        </is>
      </c>
      <c r="F4493" t="inlineStr">
        <is>
          <t>(en blanco)</t>
        </is>
      </c>
      <c r="G4493" t="inlineStr">
        <is>
          <t>S</t>
        </is>
      </c>
      <c r="H4493" t="n">
        <v>244</v>
      </c>
      <c r="I4493" t="inlineStr">
        <is>
          <t>T_TAHARI_124010373_GXY_1.jpg</t>
        </is>
      </c>
      <c r="J4493" t="inlineStr">
        <is>
          <t>T_TAHARI_124010373_GXY_2.jpg</t>
        </is>
      </c>
      <c r="K4493" t="inlineStr">
        <is>
          <t>T_TAHARI_124010373_GXY_3.jpg</t>
        </is>
      </c>
      <c r="L4493">
        <f>IMAGE("file:///E:/Estudios%20y%20certificaciones/ESTUDIOS%20DE%20PROGRAMMING/PROGRAMMING/PERSONAL/PYTHON/Image_Generator_API/imagenes/T_TAHARI_124010373_GXY_1.jpg")</f>
        <v/>
      </c>
      <c r="M4493">
        <f>IMAGE("file:///E:/Estudios%20y%20certificaciones/ESTUDIOS%20DE%20PROGRAMMING/PROGRAMMING/PERSONAL/PYTHON/Image_Generator_API/imagenes/T_TAHARI_124010373_GXY_2.jpg")</f>
        <v/>
      </c>
      <c r="N4493">
        <f>IMAGE("file:///E:/Estudios%20y%20certificaciones/ESTUDIOS%20DE%20PROGRAMMING/PROGRAMMING/PERSONAL/PYTHON/Image_Generator_API/imagenes/T_TAHARI_124010373_GXY_3.jpg")</f>
        <v/>
      </c>
      <c r="O4493">
        <f>HYPERLINK("imagenes/T_TAHARI_124010373_GXY_1.jpg","Ver imagen")</f>
        <v/>
      </c>
      <c r="P4493">
        <f>HYPERLINK("imagenes/T_TAHARI_124010373_GXY_2.jpg","Ver imagen")</f>
        <v/>
      </c>
      <c r="Q4493">
        <f>HYPERLINK("imagenes/T_TAHARI_124010373_GXY_3.jpg","Ver imagen")</f>
        <v/>
      </c>
    </row>
    <row r="4494">
      <c r="A4494" t="inlineStr">
        <is>
          <t>T TAHARI</t>
        </is>
      </c>
      <c r="B4494" t="inlineStr">
        <is>
          <t>124010373</t>
        </is>
      </c>
      <c r="C4494" t="inlineStr">
        <is>
          <t>FEDERICA</t>
        </is>
      </c>
      <c r="D4494" t="inlineStr">
        <is>
          <t>GXY</t>
        </is>
      </c>
      <c r="E4494" t="inlineStr">
        <is>
          <t>(en blanco)</t>
        </is>
      </c>
      <c r="F4494" t="inlineStr">
        <is>
          <t>(en blanco)</t>
        </is>
      </c>
      <c r="G4494" t="inlineStr">
        <is>
          <t>M</t>
        </is>
      </c>
      <c r="H4494" t="n">
        <v>244</v>
      </c>
      <c r="I4494" t="inlineStr">
        <is>
          <t>T_TAHARI_124010373_GXY_1.jpg</t>
        </is>
      </c>
      <c r="J4494" t="inlineStr">
        <is>
          <t>T_TAHARI_124010373_GXY_2.jpg</t>
        </is>
      </c>
      <c r="K4494" t="inlineStr">
        <is>
          <t>T_TAHARI_124010373_GXY_3.jpg</t>
        </is>
      </c>
      <c r="L4494">
        <f>IMAGE("file:///E:/Estudios%20y%20certificaciones/ESTUDIOS%20DE%20PROGRAMMING/PROGRAMMING/PERSONAL/PYTHON/Image_Generator_API/imagenes/T_TAHARI_124010373_GXY_1.jpg")</f>
        <v/>
      </c>
      <c r="M4494">
        <f>IMAGE("file:///E:/Estudios%20y%20certificaciones/ESTUDIOS%20DE%20PROGRAMMING/PROGRAMMING/PERSONAL/PYTHON/Image_Generator_API/imagenes/T_TAHARI_124010373_GXY_2.jpg")</f>
        <v/>
      </c>
      <c r="N4494">
        <f>IMAGE("file:///E:/Estudios%20y%20certificaciones/ESTUDIOS%20DE%20PROGRAMMING/PROGRAMMING/PERSONAL/PYTHON/Image_Generator_API/imagenes/T_TAHARI_124010373_GXY_3.jpg")</f>
        <v/>
      </c>
      <c r="O4494">
        <f>HYPERLINK("imagenes/T_TAHARI_124010373_GXY_1.jpg","Ver imagen")</f>
        <v/>
      </c>
      <c r="P4494">
        <f>HYPERLINK("imagenes/T_TAHARI_124010373_GXY_2.jpg","Ver imagen")</f>
        <v/>
      </c>
      <c r="Q4494">
        <f>HYPERLINK("imagenes/T_TAHARI_124010373_GXY_3.jpg","Ver imagen")</f>
        <v/>
      </c>
    </row>
    <row r="4495">
      <c r="A4495" t="inlineStr">
        <is>
          <t>T TAHARI</t>
        </is>
      </c>
      <c r="B4495" t="inlineStr">
        <is>
          <t>124010373</t>
        </is>
      </c>
      <c r="C4495" t="inlineStr">
        <is>
          <t>FEDERICA</t>
        </is>
      </c>
      <c r="D4495" t="inlineStr">
        <is>
          <t>GXY</t>
        </is>
      </c>
      <c r="E4495" t="inlineStr">
        <is>
          <t>(en blanco)</t>
        </is>
      </c>
      <c r="F4495" t="inlineStr">
        <is>
          <t>(en blanco)</t>
        </is>
      </c>
      <c r="G4495" t="inlineStr">
        <is>
          <t>L</t>
        </is>
      </c>
      <c r="H4495" t="n">
        <v>244</v>
      </c>
      <c r="I4495" t="inlineStr">
        <is>
          <t>T_TAHARI_124010373_GXY_1.jpg</t>
        </is>
      </c>
      <c r="J4495" t="inlineStr">
        <is>
          <t>T_TAHARI_124010373_GXY_2.jpg</t>
        </is>
      </c>
      <c r="K4495" t="inlineStr">
        <is>
          <t>T_TAHARI_124010373_GXY_3.jpg</t>
        </is>
      </c>
      <c r="L4495">
        <f>IMAGE("file:///E:/Estudios%20y%20certificaciones/ESTUDIOS%20DE%20PROGRAMMING/PROGRAMMING/PERSONAL/PYTHON/Image_Generator_API/imagenes/T_TAHARI_124010373_GXY_1.jpg")</f>
        <v/>
      </c>
      <c r="M4495">
        <f>IMAGE("file:///E:/Estudios%20y%20certificaciones/ESTUDIOS%20DE%20PROGRAMMING/PROGRAMMING/PERSONAL/PYTHON/Image_Generator_API/imagenes/T_TAHARI_124010373_GXY_2.jpg")</f>
        <v/>
      </c>
      <c r="N4495">
        <f>IMAGE("file:///E:/Estudios%20y%20certificaciones/ESTUDIOS%20DE%20PROGRAMMING/PROGRAMMING/PERSONAL/PYTHON/Image_Generator_API/imagenes/T_TAHARI_124010373_GXY_3.jpg")</f>
        <v/>
      </c>
      <c r="O4495">
        <f>HYPERLINK("imagenes/T_TAHARI_124010373_GXY_1.jpg","Ver imagen")</f>
        <v/>
      </c>
      <c r="P4495">
        <f>HYPERLINK("imagenes/T_TAHARI_124010373_GXY_2.jpg","Ver imagen")</f>
        <v/>
      </c>
      <c r="Q4495">
        <f>HYPERLINK("imagenes/T_TAHARI_124010373_GXY_3.jpg","Ver imagen")</f>
        <v/>
      </c>
    </row>
    <row r="4496">
      <c r="A4496" t="inlineStr">
        <is>
          <t>T TAHARI</t>
        </is>
      </c>
      <c r="B4496" t="inlineStr">
        <is>
          <t>124010373</t>
        </is>
      </c>
      <c r="C4496" t="inlineStr">
        <is>
          <t>FEDERICA</t>
        </is>
      </c>
      <c r="D4496" t="inlineStr">
        <is>
          <t>GXY</t>
        </is>
      </c>
      <c r="E4496" t="inlineStr">
        <is>
          <t>(en blanco)</t>
        </is>
      </c>
      <c r="F4496" t="inlineStr">
        <is>
          <t>(en blanco)</t>
        </is>
      </c>
      <c r="G4496" t="inlineStr">
        <is>
          <t>XL</t>
        </is>
      </c>
      <c r="H4496" t="n">
        <v>119</v>
      </c>
      <c r="I4496" t="inlineStr">
        <is>
          <t>T_TAHARI_124010373_GXY_1.jpg</t>
        </is>
      </c>
      <c r="J4496" t="inlineStr">
        <is>
          <t>T_TAHARI_124010373_GXY_2.jpg</t>
        </is>
      </c>
      <c r="K4496" t="inlineStr">
        <is>
          <t>T_TAHARI_124010373_GXY_3.jpg</t>
        </is>
      </c>
      <c r="L4496">
        <f>IMAGE("file:///E:/Estudios%20y%20certificaciones/ESTUDIOS%20DE%20PROGRAMMING/PROGRAMMING/PERSONAL/PYTHON/Image_Generator_API/imagenes/T_TAHARI_124010373_GXY_1.jpg")</f>
        <v/>
      </c>
      <c r="M4496">
        <f>IMAGE("file:///E:/Estudios%20y%20certificaciones/ESTUDIOS%20DE%20PROGRAMMING/PROGRAMMING/PERSONAL/PYTHON/Image_Generator_API/imagenes/T_TAHARI_124010373_GXY_2.jpg")</f>
        <v/>
      </c>
      <c r="N4496">
        <f>IMAGE("file:///E:/Estudios%20y%20certificaciones/ESTUDIOS%20DE%20PROGRAMMING/PROGRAMMING/PERSONAL/PYTHON/Image_Generator_API/imagenes/T_TAHARI_124010373_GXY_3.jpg")</f>
        <v/>
      </c>
      <c r="O4496">
        <f>HYPERLINK("imagenes/T_TAHARI_124010373_GXY_1.jpg","Ver imagen")</f>
        <v/>
      </c>
      <c r="P4496">
        <f>HYPERLINK("imagenes/T_TAHARI_124010373_GXY_2.jpg","Ver imagen")</f>
        <v/>
      </c>
      <c r="Q4496">
        <f>HYPERLINK("imagenes/T_TAHARI_124010373_GXY_3.jpg","Ver imagen")</f>
        <v/>
      </c>
    </row>
    <row r="4497">
      <c r="A4497" t="inlineStr">
        <is>
          <t>T TAHARI</t>
        </is>
      </c>
      <c r="B4497" t="inlineStr">
        <is>
          <t>124010374</t>
        </is>
      </c>
      <c r="C4497" t="inlineStr">
        <is>
          <t>DREW</t>
        </is>
      </c>
      <c r="D4497" t="inlineStr">
        <is>
          <t>GRX</t>
        </is>
      </c>
      <c r="E4497" t="inlineStr">
        <is>
          <t>(en blanco)</t>
        </is>
      </c>
      <c r="F4497" t="inlineStr">
        <is>
          <t>(en blanco)</t>
        </is>
      </c>
      <c r="G4497" t="inlineStr">
        <is>
          <t>XS</t>
        </is>
      </c>
      <c r="H4497" t="n">
        <v>0</v>
      </c>
      <c r="I4497" t="inlineStr">
        <is>
          <t>T_TAHARI_124010374_GRX_1.jpg</t>
        </is>
      </c>
      <c r="J4497" t="inlineStr">
        <is>
          <t>T_TAHARI_124010374_GRX_3.jpg</t>
        </is>
      </c>
      <c r="L4497">
        <f>IMAGE("file:///E:/Estudios%20y%20certificaciones/ESTUDIOS%20DE%20PROGRAMMING/PROGRAMMING/PERSONAL/PYTHON/Image_Generator_API/imagenes/T_TAHARI_124010374_GRX_1.jpg")</f>
        <v/>
      </c>
      <c r="M4497">
        <f>IMAGE("file:///E:/Estudios%20y%20certificaciones/ESTUDIOS%20DE%20PROGRAMMING/PROGRAMMING/PERSONAL/PYTHON/Image_Generator_API/imagenes/T_TAHARI_124010374_GRX_3.jpg")</f>
        <v/>
      </c>
      <c r="O4497">
        <f>HYPERLINK("imagenes/T_TAHARI_124010374_GRX_1.jpg","Ver imagen")</f>
        <v/>
      </c>
      <c r="P4497">
        <f>HYPERLINK("imagenes/T_TAHARI_124010374_GRX_3.jpg","Ver imagen")</f>
        <v/>
      </c>
    </row>
    <row r="4498">
      <c r="A4498" t="inlineStr">
        <is>
          <t>T TAHARI</t>
        </is>
      </c>
      <c r="B4498" t="inlineStr">
        <is>
          <t>124010374</t>
        </is>
      </c>
      <c r="C4498" t="inlineStr">
        <is>
          <t>DREW</t>
        </is>
      </c>
      <c r="D4498" t="inlineStr">
        <is>
          <t>GRX</t>
        </is>
      </c>
      <c r="E4498" t="inlineStr">
        <is>
          <t>(en blanco)</t>
        </is>
      </c>
      <c r="F4498" t="inlineStr">
        <is>
          <t>(en blanco)</t>
        </is>
      </c>
      <c r="G4498" t="inlineStr">
        <is>
          <t>S</t>
        </is>
      </c>
      <c r="H4498" t="n">
        <v>18</v>
      </c>
      <c r="I4498" t="inlineStr">
        <is>
          <t>T_TAHARI_124010374_GRX_1.jpg</t>
        </is>
      </c>
      <c r="J4498" t="inlineStr">
        <is>
          <t>T_TAHARI_124010374_GRX_3.jpg</t>
        </is>
      </c>
      <c r="L4498">
        <f>IMAGE("file:///E:/Estudios%20y%20certificaciones/ESTUDIOS%20DE%20PROGRAMMING/PROGRAMMING/PERSONAL/PYTHON/Image_Generator_API/imagenes/T_TAHARI_124010374_GRX_1.jpg")</f>
        <v/>
      </c>
      <c r="M4498">
        <f>IMAGE("file:///E:/Estudios%20y%20certificaciones/ESTUDIOS%20DE%20PROGRAMMING/PROGRAMMING/PERSONAL/PYTHON/Image_Generator_API/imagenes/T_TAHARI_124010374_GRX_3.jpg")</f>
        <v/>
      </c>
      <c r="O4498">
        <f>HYPERLINK("imagenes/T_TAHARI_124010374_GRX_1.jpg","Ver imagen")</f>
        <v/>
      </c>
      <c r="P4498">
        <f>HYPERLINK("imagenes/T_TAHARI_124010374_GRX_3.jpg","Ver imagen")</f>
        <v/>
      </c>
    </row>
    <row r="4499">
      <c r="A4499" t="inlineStr">
        <is>
          <t>T TAHARI</t>
        </is>
      </c>
      <c r="B4499" t="inlineStr">
        <is>
          <t>124010374</t>
        </is>
      </c>
      <c r="C4499" t="inlineStr">
        <is>
          <t>DREW</t>
        </is>
      </c>
      <c r="D4499" t="inlineStr">
        <is>
          <t>GRX</t>
        </is>
      </c>
      <c r="E4499" t="inlineStr">
        <is>
          <t>(en blanco)</t>
        </is>
      </c>
      <c r="F4499" t="inlineStr">
        <is>
          <t>(en blanco)</t>
        </is>
      </c>
      <c r="G4499" t="inlineStr">
        <is>
          <t>M</t>
        </is>
      </c>
      <c r="H4499" t="n">
        <v>18</v>
      </c>
      <c r="I4499" t="inlineStr">
        <is>
          <t>T_TAHARI_124010374_GRX_1.jpg</t>
        </is>
      </c>
      <c r="J4499" t="inlineStr">
        <is>
          <t>T_TAHARI_124010374_GRX_3.jpg</t>
        </is>
      </c>
      <c r="L4499">
        <f>IMAGE("file:///E:/Estudios%20y%20certificaciones/ESTUDIOS%20DE%20PROGRAMMING/PROGRAMMING/PERSONAL/PYTHON/Image_Generator_API/imagenes/T_TAHARI_124010374_GRX_1.jpg")</f>
        <v/>
      </c>
      <c r="M4499">
        <f>IMAGE("file:///E:/Estudios%20y%20certificaciones/ESTUDIOS%20DE%20PROGRAMMING/PROGRAMMING/PERSONAL/PYTHON/Image_Generator_API/imagenes/T_TAHARI_124010374_GRX_3.jpg")</f>
        <v/>
      </c>
      <c r="O4499">
        <f>HYPERLINK("imagenes/T_TAHARI_124010374_GRX_1.jpg","Ver imagen")</f>
        <v/>
      </c>
      <c r="P4499">
        <f>HYPERLINK("imagenes/T_TAHARI_124010374_GRX_3.jpg","Ver imagen")</f>
        <v/>
      </c>
    </row>
    <row r="4500">
      <c r="A4500" t="inlineStr">
        <is>
          <t>T TAHARI</t>
        </is>
      </c>
      <c r="B4500" t="inlineStr">
        <is>
          <t>124010374</t>
        </is>
      </c>
      <c r="C4500" t="inlineStr">
        <is>
          <t>DREW</t>
        </is>
      </c>
      <c r="D4500" t="inlineStr">
        <is>
          <t>GRX</t>
        </is>
      </c>
      <c r="E4500" t="inlineStr">
        <is>
          <t>(en blanco)</t>
        </is>
      </c>
      <c r="F4500" t="inlineStr">
        <is>
          <t>(en blanco)</t>
        </is>
      </c>
      <c r="G4500" t="inlineStr">
        <is>
          <t>L</t>
        </is>
      </c>
      <c r="H4500" t="n">
        <v>10</v>
      </c>
      <c r="I4500" t="inlineStr">
        <is>
          <t>T_TAHARI_124010374_GRX_1.jpg</t>
        </is>
      </c>
      <c r="J4500" t="inlineStr">
        <is>
          <t>T_TAHARI_124010374_GRX_3.jpg</t>
        </is>
      </c>
      <c r="L4500">
        <f>IMAGE("file:///E:/Estudios%20y%20certificaciones/ESTUDIOS%20DE%20PROGRAMMING/PROGRAMMING/PERSONAL/PYTHON/Image_Generator_API/imagenes/T_TAHARI_124010374_GRX_1.jpg")</f>
        <v/>
      </c>
      <c r="M4500">
        <f>IMAGE("file:///E:/Estudios%20y%20certificaciones/ESTUDIOS%20DE%20PROGRAMMING/PROGRAMMING/PERSONAL/PYTHON/Image_Generator_API/imagenes/T_TAHARI_124010374_GRX_3.jpg")</f>
        <v/>
      </c>
      <c r="O4500">
        <f>HYPERLINK("imagenes/T_TAHARI_124010374_GRX_1.jpg","Ver imagen")</f>
        <v/>
      </c>
      <c r="P4500">
        <f>HYPERLINK("imagenes/T_TAHARI_124010374_GRX_3.jpg","Ver imagen")</f>
        <v/>
      </c>
    </row>
    <row r="4501">
      <c r="A4501" t="inlineStr">
        <is>
          <t>T TAHARI</t>
        </is>
      </c>
      <c r="B4501" t="inlineStr">
        <is>
          <t>124010374</t>
        </is>
      </c>
      <c r="C4501" t="inlineStr">
        <is>
          <t>DREW</t>
        </is>
      </c>
      <c r="D4501" t="inlineStr">
        <is>
          <t>GRX</t>
        </is>
      </c>
      <c r="E4501" t="inlineStr">
        <is>
          <t>(en blanco)</t>
        </is>
      </c>
      <c r="F4501" t="inlineStr">
        <is>
          <t>(en blanco)</t>
        </is>
      </c>
      <c r="G4501" t="inlineStr">
        <is>
          <t>XL</t>
        </is>
      </c>
      <c r="H4501" t="n">
        <v>8</v>
      </c>
      <c r="I4501" t="inlineStr">
        <is>
          <t>T_TAHARI_124010374_GRX_1.jpg</t>
        </is>
      </c>
      <c r="J4501" t="inlineStr">
        <is>
          <t>T_TAHARI_124010374_GRX_3.jpg</t>
        </is>
      </c>
      <c r="L4501">
        <f>IMAGE("file:///E:/Estudios%20y%20certificaciones/ESTUDIOS%20DE%20PROGRAMMING/PROGRAMMING/PERSONAL/PYTHON/Image_Generator_API/imagenes/T_TAHARI_124010374_GRX_1.jpg")</f>
        <v/>
      </c>
      <c r="M4501">
        <f>IMAGE("file:///E:/Estudios%20y%20certificaciones/ESTUDIOS%20DE%20PROGRAMMING/PROGRAMMING/PERSONAL/PYTHON/Image_Generator_API/imagenes/T_TAHARI_124010374_GRX_3.jpg")</f>
        <v/>
      </c>
      <c r="O4501">
        <f>HYPERLINK("imagenes/T_TAHARI_124010374_GRX_1.jpg","Ver imagen")</f>
        <v/>
      </c>
      <c r="P4501">
        <f>HYPERLINK("imagenes/T_TAHARI_124010374_GRX_3.jpg","Ver imagen")</f>
        <v/>
      </c>
    </row>
    <row r="4502">
      <c r="A4502" t="inlineStr">
        <is>
          <t>T TAHARI</t>
        </is>
      </c>
      <c r="B4502" t="inlineStr">
        <is>
          <t>124010376</t>
        </is>
      </c>
      <c r="C4502" t="inlineStr">
        <is>
          <t>KELLY</t>
        </is>
      </c>
      <c r="D4502" t="inlineStr">
        <is>
          <t>BLK</t>
        </is>
      </c>
      <c r="E4502" t="inlineStr">
        <is>
          <t>06A01</t>
        </is>
      </c>
      <c r="F4502" t="inlineStr">
        <is>
          <t>R2140</t>
        </is>
      </c>
      <c r="G4502" t="inlineStr">
        <is>
          <t>PPK</t>
        </is>
      </c>
      <c r="H4502" t="n">
        <v>0</v>
      </c>
      <c r="I4502" t="inlineStr">
        <is>
          <t>T_TAHARI_124010376_BLK_1.jpg</t>
        </is>
      </c>
      <c r="J4502" t="inlineStr">
        <is>
          <t>T_TAHARI_124010376_BLK_2.jpg</t>
        </is>
      </c>
      <c r="K4502" t="inlineStr">
        <is>
          <t>T_TAHARI_124010376_BLK_3.jpg</t>
        </is>
      </c>
      <c r="L4502">
        <f>IMAGE("file:///E:/Estudios%20y%20certificaciones/ESTUDIOS%20DE%20PROGRAMMING/PROGRAMMING/PERSONAL/PYTHON/Image_Generator_API/imagenes/T_TAHARI_124010376_BLK_1.jpg")</f>
        <v/>
      </c>
      <c r="M4502">
        <f>IMAGE("file:///E:/Estudios%20y%20certificaciones/ESTUDIOS%20DE%20PROGRAMMING/PROGRAMMING/PERSONAL/PYTHON/Image_Generator_API/imagenes/T_TAHARI_124010376_BLK_2.jpg")</f>
        <v/>
      </c>
      <c r="N4502">
        <f>IMAGE("file:///E:/Estudios%20y%20certificaciones/ESTUDIOS%20DE%20PROGRAMMING/PROGRAMMING/PERSONAL/PYTHON/Image_Generator_API/imagenes/T_TAHARI_124010376_BLK_3.jpg")</f>
        <v/>
      </c>
      <c r="O4502">
        <f>HYPERLINK("imagenes/T_TAHARI_124010376_BLK_1.jpg","Ver imagen")</f>
        <v/>
      </c>
      <c r="P4502">
        <f>HYPERLINK("imagenes/T_TAHARI_124010376_BLK_2.jpg","Ver imagen")</f>
        <v/>
      </c>
      <c r="Q4502">
        <f>HYPERLINK("imagenes/T_TAHARI_124010376_BLK_3.jpg","Ver imagen")</f>
        <v/>
      </c>
    </row>
    <row r="4503">
      <c r="A4503" t="inlineStr">
        <is>
          <t>T TAHARI</t>
        </is>
      </c>
      <c r="B4503" t="inlineStr">
        <is>
          <t>124010376</t>
        </is>
      </c>
      <c r="C4503" t="inlineStr">
        <is>
          <t>KELLY</t>
        </is>
      </c>
      <c r="D4503" t="inlineStr">
        <is>
          <t>IVY</t>
        </is>
      </c>
      <c r="E4503" t="inlineStr">
        <is>
          <t>08A05</t>
        </is>
      </c>
      <c r="F4503" t="inlineStr">
        <is>
          <t>M2360</t>
        </is>
      </c>
      <c r="G4503" t="inlineStr">
        <is>
          <t>PPK</t>
        </is>
      </c>
      <c r="H4503" t="n">
        <v>0</v>
      </c>
      <c r="I4503" t="inlineStr">
        <is>
          <t>T_TAHARI_124010376_IVY_1.jpg</t>
        </is>
      </c>
      <c r="J4503" t="inlineStr">
        <is>
          <t>T_TAHARI_124010376_IVY_2.jpg</t>
        </is>
      </c>
      <c r="L4503">
        <f>IMAGE("file:///E:/Estudios%20y%20certificaciones/ESTUDIOS%20DE%20PROGRAMMING/PROGRAMMING/PERSONAL/PYTHON/Image_Generator_API/imagenes/T_TAHARI_124010376_IVY_1.jpg")</f>
        <v/>
      </c>
      <c r="M4503">
        <f>IMAGE("file:///E:/Estudios%20y%20certificaciones/ESTUDIOS%20DE%20PROGRAMMING/PROGRAMMING/PERSONAL/PYTHON/Image_Generator_API/imagenes/T_TAHARI_124010376_IVY_2.jpg")</f>
        <v/>
      </c>
      <c r="O4503">
        <f>HYPERLINK("imagenes/T_TAHARI_124010376_IVY_1.jpg","Ver imagen")</f>
        <v/>
      </c>
      <c r="P4503">
        <f>HYPERLINK("imagenes/T_TAHARI_124010376_IVY_2.jpg","Ver imagen")</f>
        <v/>
      </c>
    </row>
    <row r="4504">
      <c r="A4504" t="inlineStr">
        <is>
          <t>T TAHARI</t>
        </is>
      </c>
      <c r="B4504" t="inlineStr">
        <is>
          <t>124010377</t>
        </is>
      </c>
      <c r="C4504" t="inlineStr">
        <is>
          <t>BIANCA</t>
        </is>
      </c>
      <c r="D4504" t="inlineStr">
        <is>
          <t>BLK</t>
        </is>
      </c>
      <c r="E4504" t="inlineStr">
        <is>
          <t>06A01</t>
        </is>
      </c>
      <c r="F4504" t="inlineStr">
        <is>
          <t>R2140</t>
        </is>
      </c>
      <c r="G4504" t="inlineStr">
        <is>
          <t>PPK</t>
        </is>
      </c>
      <c r="H4504" t="n">
        <v>0</v>
      </c>
      <c r="I4504" t="inlineStr">
        <is>
          <t>T_TAHARI_124010377_BLK_1.jpg</t>
        </is>
      </c>
      <c r="J4504" t="inlineStr">
        <is>
          <t>T_TAHARI_124010377_BLK_2.jpg</t>
        </is>
      </c>
      <c r="K4504" t="inlineStr">
        <is>
          <t>T_TAHARI_124010377_BLK_3.jpg</t>
        </is>
      </c>
      <c r="L4504">
        <f>IMAGE("file:///E:/Estudios%20y%20certificaciones/ESTUDIOS%20DE%20PROGRAMMING/PROGRAMMING/PERSONAL/PYTHON/Image_Generator_API/imagenes/T_TAHARI_124010377_BLK_1.jpg")</f>
        <v/>
      </c>
      <c r="M4504">
        <f>IMAGE("file:///E:/Estudios%20y%20certificaciones/ESTUDIOS%20DE%20PROGRAMMING/PROGRAMMING/PERSONAL/PYTHON/Image_Generator_API/imagenes/T_TAHARI_124010377_BLK_2.jpg")</f>
        <v/>
      </c>
      <c r="N4504">
        <f>IMAGE("file:///E:/Estudios%20y%20certificaciones/ESTUDIOS%20DE%20PROGRAMMING/PROGRAMMING/PERSONAL/PYTHON/Image_Generator_API/imagenes/T_TAHARI_124010377_BLK_3.jpg")</f>
        <v/>
      </c>
      <c r="O4504">
        <f>HYPERLINK("imagenes/T_TAHARI_124010377_BLK_1.jpg","Ver imagen")</f>
        <v/>
      </c>
      <c r="P4504">
        <f>HYPERLINK("imagenes/T_TAHARI_124010377_BLK_2.jpg","Ver imagen")</f>
        <v/>
      </c>
      <c r="Q4504">
        <f>HYPERLINK("imagenes/T_TAHARI_124010377_BLK_3.jpg","Ver imagen")</f>
        <v/>
      </c>
    </row>
    <row r="4505">
      <c r="A4505" t="inlineStr">
        <is>
          <t>T TAHARI</t>
        </is>
      </c>
      <c r="B4505" t="inlineStr">
        <is>
          <t>124010377</t>
        </is>
      </c>
      <c r="C4505" t="inlineStr">
        <is>
          <t>BIANCA</t>
        </is>
      </c>
      <c r="D4505" t="inlineStr">
        <is>
          <t>BLK</t>
        </is>
      </c>
      <c r="E4505" t="inlineStr">
        <is>
          <t>08A05</t>
        </is>
      </c>
      <c r="F4505" t="inlineStr">
        <is>
          <t>M2360</t>
        </is>
      </c>
      <c r="G4505" t="inlineStr">
        <is>
          <t>PPK</t>
        </is>
      </c>
      <c r="H4505" t="n">
        <v>0</v>
      </c>
      <c r="I4505" t="inlineStr">
        <is>
          <t>T_TAHARI_124010377_BLK_1.jpg</t>
        </is>
      </c>
      <c r="J4505" t="inlineStr">
        <is>
          <t>T_TAHARI_124010377_BLK_2.jpg</t>
        </is>
      </c>
      <c r="K4505" t="inlineStr">
        <is>
          <t>T_TAHARI_124010377_BLK_3.jpg</t>
        </is>
      </c>
      <c r="L4505">
        <f>IMAGE("file:///E:/Estudios%20y%20certificaciones/ESTUDIOS%20DE%20PROGRAMMING/PROGRAMMING/PERSONAL/PYTHON/Image_Generator_API/imagenes/T_TAHARI_124010377_BLK_1.jpg")</f>
        <v/>
      </c>
      <c r="M4505">
        <f>IMAGE("file:///E:/Estudios%20y%20certificaciones/ESTUDIOS%20DE%20PROGRAMMING/PROGRAMMING/PERSONAL/PYTHON/Image_Generator_API/imagenes/T_TAHARI_124010377_BLK_2.jpg")</f>
        <v/>
      </c>
      <c r="N4505">
        <f>IMAGE("file:///E:/Estudios%20y%20certificaciones/ESTUDIOS%20DE%20PROGRAMMING/PROGRAMMING/PERSONAL/PYTHON/Image_Generator_API/imagenes/T_TAHARI_124010377_BLK_3.jpg")</f>
        <v/>
      </c>
      <c r="O4505">
        <f>HYPERLINK("imagenes/T_TAHARI_124010377_BLK_1.jpg","Ver imagen")</f>
        <v/>
      </c>
      <c r="P4505">
        <f>HYPERLINK("imagenes/T_TAHARI_124010377_BLK_2.jpg","Ver imagen")</f>
        <v/>
      </c>
      <c r="Q4505">
        <f>HYPERLINK("imagenes/T_TAHARI_124010377_BLK_3.jpg","Ver imagen")</f>
        <v/>
      </c>
    </row>
    <row r="4506">
      <c r="A4506" t="inlineStr">
        <is>
          <t>T TAHARI</t>
        </is>
      </c>
      <c r="B4506" t="inlineStr">
        <is>
          <t>124010377</t>
        </is>
      </c>
      <c r="C4506" t="inlineStr">
        <is>
          <t>BIANCA</t>
        </is>
      </c>
      <c r="D4506" t="inlineStr">
        <is>
          <t>BLK</t>
        </is>
      </c>
      <c r="E4506" t="inlineStr">
        <is>
          <t>(en blanco)</t>
        </is>
      </c>
      <c r="F4506" t="inlineStr">
        <is>
          <t>(en blanco)</t>
        </is>
      </c>
      <c r="G4506" t="inlineStr">
        <is>
          <t>XS</t>
        </is>
      </c>
      <c r="H4506" t="n">
        <v>291</v>
      </c>
      <c r="I4506" t="inlineStr">
        <is>
          <t>T_TAHARI_124010377_BLK_1.jpg</t>
        </is>
      </c>
      <c r="J4506" t="inlineStr">
        <is>
          <t>T_TAHARI_124010377_BLK_2.jpg</t>
        </is>
      </c>
      <c r="K4506" t="inlineStr">
        <is>
          <t>T_TAHARI_124010377_BLK_3.jpg</t>
        </is>
      </c>
      <c r="L4506">
        <f>IMAGE("file:///E:/Estudios%20y%20certificaciones/ESTUDIOS%20DE%20PROGRAMMING/PROGRAMMING/PERSONAL/PYTHON/Image_Generator_API/imagenes/T_TAHARI_124010377_BLK_1.jpg")</f>
        <v/>
      </c>
      <c r="M4506">
        <f>IMAGE("file:///E:/Estudios%20y%20certificaciones/ESTUDIOS%20DE%20PROGRAMMING/PROGRAMMING/PERSONAL/PYTHON/Image_Generator_API/imagenes/T_TAHARI_124010377_BLK_2.jpg")</f>
        <v/>
      </c>
      <c r="N4506">
        <f>IMAGE("file:///E:/Estudios%20y%20certificaciones/ESTUDIOS%20DE%20PROGRAMMING/PROGRAMMING/PERSONAL/PYTHON/Image_Generator_API/imagenes/T_TAHARI_124010377_BLK_3.jpg")</f>
        <v/>
      </c>
      <c r="O4506">
        <f>HYPERLINK("imagenes/T_TAHARI_124010377_BLK_1.jpg","Ver imagen")</f>
        <v/>
      </c>
      <c r="P4506">
        <f>HYPERLINK("imagenes/T_TAHARI_124010377_BLK_2.jpg","Ver imagen")</f>
        <v/>
      </c>
      <c r="Q4506">
        <f>HYPERLINK("imagenes/T_TAHARI_124010377_BLK_3.jpg","Ver imagen")</f>
        <v/>
      </c>
    </row>
    <row r="4507">
      <c r="A4507" t="inlineStr">
        <is>
          <t>T TAHARI</t>
        </is>
      </c>
      <c r="B4507" t="inlineStr">
        <is>
          <t>124010377</t>
        </is>
      </c>
      <c r="C4507" t="inlineStr">
        <is>
          <t>BIANCA</t>
        </is>
      </c>
      <c r="D4507" t="inlineStr">
        <is>
          <t>BLK</t>
        </is>
      </c>
      <c r="E4507" t="inlineStr">
        <is>
          <t>(en blanco)</t>
        </is>
      </c>
      <c r="F4507" t="inlineStr">
        <is>
          <t>(en blanco)</t>
        </is>
      </c>
      <c r="G4507" t="inlineStr">
        <is>
          <t>S</t>
        </is>
      </c>
      <c r="H4507" t="n">
        <v>584</v>
      </c>
      <c r="I4507" t="inlineStr">
        <is>
          <t>T_TAHARI_124010377_BLK_1.jpg</t>
        </is>
      </c>
      <c r="J4507" t="inlineStr">
        <is>
          <t>T_TAHARI_124010377_BLK_2.jpg</t>
        </is>
      </c>
      <c r="K4507" t="inlineStr">
        <is>
          <t>T_TAHARI_124010377_BLK_3.jpg</t>
        </is>
      </c>
      <c r="L4507">
        <f>IMAGE("file:///E:/Estudios%20y%20certificaciones/ESTUDIOS%20DE%20PROGRAMMING/PROGRAMMING/PERSONAL/PYTHON/Image_Generator_API/imagenes/T_TAHARI_124010377_BLK_1.jpg")</f>
        <v/>
      </c>
      <c r="M4507">
        <f>IMAGE("file:///E:/Estudios%20y%20certificaciones/ESTUDIOS%20DE%20PROGRAMMING/PROGRAMMING/PERSONAL/PYTHON/Image_Generator_API/imagenes/T_TAHARI_124010377_BLK_2.jpg")</f>
        <v/>
      </c>
      <c r="N4507">
        <f>IMAGE("file:///E:/Estudios%20y%20certificaciones/ESTUDIOS%20DE%20PROGRAMMING/PROGRAMMING/PERSONAL/PYTHON/Image_Generator_API/imagenes/T_TAHARI_124010377_BLK_3.jpg")</f>
        <v/>
      </c>
      <c r="O4507">
        <f>HYPERLINK("imagenes/T_TAHARI_124010377_BLK_1.jpg","Ver imagen")</f>
        <v/>
      </c>
      <c r="P4507">
        <f>HYPERLINK("imagenes/T_TAHARI_124010377_BLK_2.jpg","Ver imagen")</f>
        <v/>
      </c>
      <c r="Q4507">
        <f>HYPERLINK("imagenes/T_TAHARI_124010377_BLK_3.jpg","Ver imagen")</f>
        <v/>
      </c>
    </row>
    <row r="4508">
      <c r="A4508" t="inlineStr">
        <is>
          <t>T TAHARI</t>
        </is>
      </c>
      <c r="B4508" t="inlineStr">
        <is>
          <t>124010377</t>
        </is>
      </c>
      <c r="C4508" t="inlineStr">
        <is>
          <t>BIANCA</t>
        </is>
      </c>
      <c r="D4508" t="inlineStr">
        <is>
          <t>BLK</t>
        </is>
      </c>
      <c r="E4508" t="inlineStr">
        <is>
          <t>(en blanco)</t>
        </is>
      </c>
      <c r="F4508" t="inlineStr">
        <is>
          <t>(en blanco)</t>
        </is>
      </c>
      <c r="G4508" t="inlineStr">
        <is>
          <t>M</t>
        </is>
      </c>
      <c r="H4508" t="n">
        <v>599</v>
      </c>
      <c r="I4508" t="inlineStr">
        <is>
          <t>T_TAHARI_124010377_BLK_1.jpg</t>
        </is>
      </c>
      <c r="J4508" t="inlineStr">
        <is>
          <t>T_TAHARI_124010377_BLK_2.jpg</t>
        </is>
      </c>
      <c r="K4508" t="inlineStr">
        <is>
          <t>T_TAHARI_124010377_BLK_3.jpg</t>
        </is>
      </c>
      <c r="L4508">
        <f>IMAGE("file:///E:/Estudios%20y%20certificaciones/ESTUDIOS%20DE%20PROGRAMMING/PROGRAMMING/PERSONAL/PYTHON/Image_Generator_API/imagenes/T_TAHARI_124010377_BLK_1.jpg")</f>
        <v/>
      </c>
      <c r="M4508">
        <f>IMAGE("file:///E:/Estudios%20y%20certificaciones/ESTUDIOS%20DE%20PROGRAMMING/PROGRAMMING/PERSONAL/PYTHON/Image_Generator_API/imagenes/T_TAHARI_124010377_BLK_2.jpg")</f>
        <v/>
      </c>
      <c r="N4508">
        <f>IMAGE("file:///E:/Estudios%20y%20certificaciones/ESTUDIOS%20DE%20PROGRAMMING/PROGRAMMING/PERSONAL/PYTHON/Image_Generator_API/imagenes/T_TAHARI_124010377_BLK_3.jpg")</f>
        <v/>
      </c>
      <c r="O4508">
        <f>HYPERLINK("imagenes/T_TAHARI_124010377_BLK_1.jpg","Ver imagen")</f>
        <v/>
      </c>
      <c r="P4508">
        <f>HYPERLINK("imagenes/T_TAHARI_124010377_BLK_2.jpg","Ver imagen")</f>
        <v/>
      </c>
      <c r="Q4508">
        <f>HYPERLINK("imagenes/T_TAHARI_124010377_BLK_3.jpg","Ver imagen")</f>
        <v/>
      </c>
    </row>
    <row r="4509">
      <c r="A4509" t="inlineStr">
        <is>
          <t>T TAHARI</t>
        </is>
      </c>
      <c r="B4509" t="inlineStr">
        <is>
          <t>124010377</t>
        </is>
      </c>
      <c r="C4509" t="inlineStr">
        <is>
          <t>BIANCA</t>
        </is>
      </c>
      <c r="D4509" t="inlineStr">
        <is>
          <t>BLK</t>
        </is>
      </c>
      <c r="E4509" t="inlineStr">
        <is>
          <t>(en blanco)</t>
        </is>
      </c>
      <c r="F4509" t="inlineStr">
        <is>
          <t>(en blanco)</t>
        </is>
      </c>
      <c r="G4509" t="inlineStr">
        <is>
          <t>L</t>
        </is>
      </c>
      <c r="H4509" t="n">
        <v>593</v>
      </c>
      <c r="I4509" t="inlineStr">
        <is>
          <t>T_TAHARI_124010377_BLK_1.jpg</t>
        </is>
      </c>
      <c r="J4509" t="inlineStr">
        <is>
          <t>T_TAHARI_124010377_BLK_2.jpg</t>
        </is>
      </c>
      <c r="K4509" t="inlineStr">
        <is>
          <t>T_TAHARI_124010377_BLK_3.jpg</t>
        </is>
      </c>
      <c r="L4509">
        <f>IMAGE("file:///E:/Estudios%20y%20certificaciones/ESTUDIOS%20DE%20PROGRAMMING/PROGRAMMING/PERSONAL/PYTHON/Image_Generator_API/imagenes/T_TAHARI_124010377_BLK_1.jpg")</f>
        <v/>
      </c>
      <c r="M4509">
        <f>IMAGE("file:///E:/Estudios%20y%20certificaciones/ESTUDIOS%20DE%20PROGRAMMING/PROGRAMMING/PERSONAL/PYTHON/Image_Generator_API/imagenes/T_TAHARI_124010377_BLK_2.jpg")</f>
        <v/>
      </c>
      <c r="N4509">
        <f>IMAGE("file:///E:/Estudios%20y%20certificaciones/ESTUDIOS%20DE%20PROGRAMMING/PROGRAMMING/PERSONAL/PYTHON/Image_Generator_API/imagenes/T_TAHARI_124010377_BLK_3.jpg")</f>
        <v/>
      </c>
      <c r="O4509">
        <f>HYPERLINK("imagenes/T_TAHARI_124010377_BLK_1.jpg","Ver imagen")</f>
        <v/>
      </c>
      <c r="P4509">
        <f>HYPERLINK("imagenes/T_TAHARI_124010377_BLK_2.jpg","Ver imagen")</f>
        <v/>
      </c>
      <c r="Q4509">
        <f>HYPERLINK("imagenes/T_TAHARI_124010377_BLK_3.jpg","Ver imagen")</f>
        <v/>
      </c>
    </row>
    <row r="4510">
      <c r="A4510" t="inlineStr">
        <is>
          <t>T TAHARI</t>
        </is>
      </c>
      <c r="B4510" t="inlineStr">
        <is>
          <t>124010377</t>
        </is>
      </c>
      <c r="C4510" t="inlineStr">
        <is>
          <t>BIANCA</t>
        </is>
      </c>
      <c r="D4510" t="inlineStr">
        <is>
          <t>BLK</t>
        </is>
      </c>
      <c r="E4510" t="inlineStr">
        <is>
          <t>(en blanco)</t>
        </is>
      </c>
      <c r="F4510" t="inlineStr">
        <is>
          <t>(en blanco)</t>
        </is>
      </c>
      <c r="G4510" t="inlineStr">
        <is>
          <t>XL</t>
        </is>
      </c>
      <c r="H4510" t="n">
        <v>294</v>
      </c>
      <c r="I4510" t="inlineStr">
        <is>
          <t>T_TAHARI_124010377_BLK_1.jpg</t>
        </is>
      </c>
      <c r="J4510" t="inlineStr">
        <is>
          <t>T_TAHARI_124010377_BLK_2.jpg</t>
        </is>
      </c>
      <c r="K4510" t="inlineStr">
        <is>
          <t>T_TAHARI_124010377_BLK_3.jpg</t>
        </is>
      </c>
      <c r="L4510">
        <f>IMAGE("file:///E:/Estudios%20y%20certificaciones/ESTUDIOS%20DE%20PROGRAMMING/PROGRAMMING/PERSONAL/PYTHON/Image_Generator_API/imagenes/T_TAHARI_124010377_BLK_1.jpg")</f>
        <v/>
      </c>
      <c r="M4510">
        <f>IMAGE("file:///E:/Estudios%20y%20certificaciones/ESTUDIOS%20DE%20PROGRAMMING/PROGRAMMING/PERSONAL/PYTHON/Image_Generator_API/imagenes/T_TAHARI_124010377_BLK_2.jpg")</f>
        <v/>
      </c>
      <c r="N4510">
        <f>IMAGE("file:///E:/Estudios%20y%20certificaciones/ESTUDIOS%20DE%20PROGRAMMING/PROGRAMMING/PERSONAL/PYTHON/Image_Generator_API/imagenes/T_TAHARI_124010377_BLK_3.jpg")</f>
        <v/>
      </c>
      <c r="O4510">
        <f>HYPERLINK("imagenes/T_TAHARI_124010377_BLK_1.jpg","Ver imagen")</f>
        <v/>
      </c>
      <c r="P4510">
        <f>HYPERLINK("imagenes/T_TAHARI_124010377_BLK_2.jpg","Ver imagen")</f>
        <v/>
      </c>
      <c r="Q4510">
        <f>HYPERLINK("imagenes/T_TAHARI_124010377_BLK_3.jpg","Ver imagen")</f>
        <v/>
      </c>
    </row>
    <row r="4511">
      <c r="A4511" t="inlineStr">
        <is>
          <t>T TAHARI</t>
        </is>
      </c>
      <c r="B4511" t="inlineStr">
        <is>
          <t>124010377</t>
        </is>
      </c>
      <c r="C4511" t="inlineStr">
        <is>
          <t>BIANCA</t>
        </is>
      </c>
      <c r="D4511" t="inlineStr">
        <is>
          <t>PLM</t>
        </is>
      </c>
      <c r="E4511" t="inlineStr">
        <is>
          <t>08A05</t>
        </is>
      </c>
      <c r="F4511" t="inlineStr">
        <is>
          <t>M2360</t>
        </is>
      </c>
      <c r="G4511" t="inlineStr">
        <is>
          <t>PPK</t>
        </is>
      </c>
      <c r="H4511" t="n">
        <v>16</v>
      </c>
      <c r="I4511" t="inlineStr">
        <is>
          <t>T_TAHARI_124010377_PLM_1.jpg</t>
        </is>
      </c>
      <c r="J4511" t="inlineStr">
        <is>
          <t>T_TAHARI_124010377_PLM_2.jpg</t>
        </is>
      </c>
      <c r="L4511">
        <f>IMAGE("file:///E:/Estudios%20y%20certificaciones/ESTUDIOS%20DE%20PROGRAMMING/PROGRAMMING/PERSONAL/PYTHON/Image_Generator_API/imagenes/T_TAHARI_124010377_PLM_1.jpg")</f>
        <v/>
      </c>
      <c r="M4511">
        <f>IMAGE("file:///E:/Estudios%20y%20certificaciones/ESTUDIOS%20DE%20PROGRAMMING/PROGRAMMING/PERSONAL/PYTHON/Image_Generator_API/imagenes/T_TAHARI_124010377_PLM_2.jpg")</f>
        <v/>
      </c>
      <c r="O4511">
        <f>HYPERLINK("imagenes/T_TAHARI_124010377_PLM_1.jpg","Ver imagen")</f>
        <v/>
      </c>
      <c r="P4511">
        <f>HYPERLINK("imagenes/T_TAHARI_124010377_PLM_2.jpg","Ver imagen")</f>
        <v/>
      </c>
    </row>
    <row r="4512">
      <c r="A4512" t="inlineStr">
        <is>
          <t>T TAHARI</t>
        </is>
      </c>
      <c r="B4512" t="inlineStr">
        <is>
          <t>124010377</t>
        </is>
      </c>
      <c r="C4512" t="inlineStr">
        <is>
          <t>BIANCA</t>
        </is>
      </c>
      <c r="D4512" t="inlineStr">
        <is>
          <t>PLM</t>
        </is>
      </c>
      <c r="E4512" t="inlineStr">
        <is>
          <t>(en blanco)</t>
        </is>
      </c>
      <c r="F4512" t="inlineStr">
        <is>
          <t>(en blanco)</t>
        </is>
      </c>
      <c r="G4512" t="inlineStr">
        <is>
          <t>XS</t>
        </is>
      </c>
      <c r="H4512" t="n">
        <v>74</v>
      </c>
      <c r="I4512" t="inlineStr">
        <is>
          <t>T_TAHARI_124010377_PLM_1.jpg</t>
        </is>
      </c>
      <c r="J4512" t="inlineStr">
        <is>
          <t>T_TAHARI_124010377_PLM_2.jpg</t>
        </is>
      </c>
      <c r="L4512">
        <f>IMAGE("file:///E:/Estudios%20y%20certificaciones/ESTUDIOS%20DE%20PROGRAMMING/PROGRAMMING/PERSONAL/PYTHON/Image_Generator_API/imagenes/T_TAHARI_124010377_PLM_1.jpg")</f>
        <v/>
      </c>
      <c r="M4512">
        <f>IMAGE("file:///E:/Estudios%20y%20certificaciones/ESTUDIOS%20DE%20PROGRAMMING/PROGRAMMING/PERSONAL/PYTHON/Image_Generator_API/imagenes/T_TAHARI_124010377_PLM_2.jpg")</f>
        <v/>
      </c>
      <c r="O4512">
        <f>HYPERLINK("imagenes/T_TAHARI_124010377_PLM_1.jpg","Ver imagen")</f>
        <v/>
      </c>
      <c r="P4512">
        <f>HYPERLINK("imagenes/T_TAHARI_124010377_PLM_2.jpg","Ver imagen")</f>
        <v/>
      </c>
    </row>
    <row r="4513">
      <c r="A4513" t="inlineStr">
        <is>
          <t>T TAHARI</t>
        </is>
      </c>
      <c r="B4513" t="inlineStr">
        <is>
          <t>124010377</t>
        </is>
      </c>
      <c r="C4513" t="inlineStr">
        <is>
          <t>BIANCA</t>
        </is>
      </c>
      <c r="D4513" t="inlineStr">
        <is>
          <t>PLM</t>
        </is>
      </c>
      <c r="E4513" t="inlineStr">
        <is>
          <t>(en blanco)</t>
        </is>
      </c>
      <c r="F4513" t="inlineStr">
        <is>
          <t>(en blanco)</t>
        </is>
      </c>
      <c r="G4513" t="inlineStr">
        <is>
          <t>S</t>
        </is>
      </c>
      <c r="H4513" t="n">
        <v>153</v>
      </c>
      <c r="I4513" t="inlineStr">
        <is>
          <t>T_TAHARI_124010377_PLM_1.jpg</t>
        </is>
      </c>
      <c r="J4513" t="inlineStr">
        <is>
          <t>T_TAHARI_124010377_PLM_2.jpg</t>
        </is>
      </c>
      <c r="L4513">
        <f>IMAGE("file:///E:/Estudios%20y%20certificaciones/ESTUDIOS%20DE%20PROGRAMMING/PROGRAMMING/PERSONAL/PYTHON/Image_Generator_API/imagenes/T_TAHARI_124010377_PLM_1.jpg")</f>
        <v/>
      </c>
      <c r="M4513">
        <f>IMAGE("file:///E:/Estudios%20y%20certificaciones/ESTUDIOS%20DE%20PROGRAMMING/PROGRAMMING/PERSONAL/PYTHON/Image_Generator_API/imagenes/T_TAHARI_124010377_PLM_2.jpg")</f>
        <v/>
      </c>
      <c r="O4513">
        <f>HYPERLINK("imagenes/T_TAHARI_124010377_PLM_1.jpg","Ver imagen")</f>
        <v/>
      </c>
      <c r="P4513">
        <f>HYPERLINK("imagenes/T_TAHARI_124010377_PLM_2.jpg","Ver imagen")</f>
        <v/>
      </c>
    </row>
    <row r="4514">
      <c r="A4514" t="inlineStr">
        <is>
          <t>T TAHARI</t>
        </is>
      </c>
      <c r="B4514" t="inlineStr">
        <is>
          <t>124010377</t>
        </is>
      </c>
      <c r="C4514" t="inlineStr">
        <is>
          <t>BIANCA</t>
        </is>
      </c>
      <c r="D4514" t="inlineStr">
        <is>
          <t>PLM</t>
        </is>
      </c>
      <c r="E4514" t="inlineStr">
        <is>
          <t>(en blanco)</t>
        </is>
      </c>
      <c r="F4514" t="inlineStr">
        <is>
          <t>(en blanco)</t>
        </is>
      </c>
      <c r="G4514" t="inlineStr">
        <is>
          <t>M</t>
        </is>
      </c>
      <c r="H4514" t="n">
        <v>154</v>
      </c>
      <c r="I4514" t="inlineStr">
        <is>
          <t>T_TAHARI_124010377_PLM_1.jpg</t>
        </is>
      </c>
      <c r="J4514" t="inlineStr">
        <is>
          <t>T_TAHARI_124010377_PLM_2.jpg</t>
        </is>
      </c>
      <c r="L4514">
        <f>IMAGE("file:///E:/Estudios%20y%20certificaciones/ESTUDIOS%20DE%20PROGRAMMING/PROGRAMMING/PERSONAL/PYTHON/Image_Generator_API/imagenes/T_TAHARI_124010377_PLM_1.jpg")</f>
        <v/>
      </c>
      <c r="M4514">
        <f>IMAGE("file:///E:/Estudios%20y%20certificaciones/ESTUDIOS%20DE%20PROGRAMMING/PROGRAMMING/PERSONAL/PYTHON/Image_Generator_API/imagenes/T_TAHARI_124010377_PLM_2.jpg")</f>
        <v/>
      </c>
      <c r="O4514">
        <f>HYPERLINK("imagenes/T_TAHARI_124010377_PLM_1.jpg","Ver imagen")</f>
        <v/>
      </c>
      <c r="P4514">
        <f>HYPERLINK("imagenes/T_TAHARI_124010377_PLM_2.jpg","Ver imagen")</f>
        <v/>
      </c>
    </row>
    <row r="4515">
      <c r="A4515" t="inlineStr">
        <is>
          <t>T TAHARI</t>
        </is>
      </c>
      <c r="B4515" t="inlineStr">
        <is>
          <t>124010377</t>
        </is>
      </c>
      <c r="C4515" t="inlineStr">
        <is>
          <t>BIANCA</t>
        </is>
      </c>
      <c r="D4515" t="inlineStr">
        <is>
          <t>PLM</t>
        </is>
      </c>
      <c r="E4515" t="inlineStr">
        <is>
          <t>(en blanco)</t>
        </is>
      </c>
      <c r="F4515" t="inlineStr">
        <is>
          <t>(en blanco)</t>
        </is>
      </c>
      <c r="G4515" t="inlineStr">
        <is>
          <t>L</t>
        </is>
      </c>
      <c r="H4515" t="n">
        <v>154</v>
      </c>
      <c r="I4515" t="inlineStr">
        <is>
          <t>T_TAHARI_124010377_PLM_1.jpg</t>
        </is>
      </c>
      <c r="J4515" t="inlineStr">
        <is>
          <t>T_TAHARI_124010377_PLM_2.jpg</t>
        </is>
      </c>
      <c r="L4515">
        <f>IMAGE("file:///E:/Estudios%20y%20certificaciones/ESTUDIOS%20DE%20PROGRAMMING/PROGRAMMING/PERSONAL/PYTHON/Image_Generator_API/imagenes/T_TAHARI_124010377_PLM_1.jpg")</f>
        <v/>
      </c>
      <c r="M4515">
        <f>IMAGE("file:///E:/Estudios%20y%20certificaciones/ESTUDIOS%20DE%20PROGRAMMING/PROGRAMMING/PERSONAL/PYTHON/Image_Generator_API/imagenes/T_TAHARI_124010377_PLM_2.jpg")</f>
        <v/>
      </c>
      <c r="O4515">
        <f>HYPERLINK("imagenes/T_TAHARI_124010377_PLM_1.jpg","Ver imagen")</f>
        <v/>
      </c>
      <c r="P4515">
        <f>HYPERLINK("imagenes/T_TAHARI_124010377_PLM_2.jpg","Ver imagen")</f>
        <v/>
      </c>
    </row>
    <row r="4516">
      <c r="A4516" t="inlineStr">
        <is>
          <t>T TAHARI</t>
        </is>
      </c>
      <c r="B4516" t="inlineStr">
        <is>
          <t>124010377</t>
        </is>
      </c>
      <c r="C4516" t="inlineStr">
        <is>
          <t>BIANCA</t>
        </is>
      </c>
      <c r="D4516" t="inlineStr">
        <is>
          <t>PLM</t>
        </is>
      </c>
      <c r="E4516" t="inlineStr">
        <is>
          <t>(en blanco)</t>
        </is>
      </c>
      <c r="F4516" t="inlineStr">
        <is>
          <t>(en blanco)</t>
        </is>
      </c>
      <c r="G4516" t="inlineStr">
        <is>
          <t>XL</t>
        </is>
      </c>
      <c r="H4516" t="n">
        <v>73</v>
      </c>
      <c r="I4516" t="inlineStr">
        <is>
          <t>T_TAHARI_124010377_PLM_1.jpg</t>
        </is>
      </c>
      <c r="J4516" t="inlineStr">
        <is>
          <t>T_TAHARI_124010377_PLM_2.jpg</t>
        </is>
      </c>
      <c r="L4516">
        <f>IMAGE("file:///E:/Estudios%20y%20certificaciones/ESTUDIOS%20DE%20PROGRAMMING/PROGRAMMING/PERSONAL/PYTHON/Image_Generator_API/imagenes/T_TAHARI_124010377_PLM_1.jpg")</f>
        <v/>
      </c>
      <c r="M4516">
        <f>IMAGE("file:///E:/Estudios%20y%20certificaciones/ESTUDIOS%20DE%20PROGRAMMING/PROGRAMMING/PERSONAL/PYTHON/Image_Generator_API/imagenes/T_TAHARI_124010377_PLM_2.jpg")</f>
        <v/>
      </c>
      <c r="O4516">
        <f>HYPERLINK("imagenes/T_TAHARI_124010377_PLM_1.jpg","Ver imagen")</f>
        <v/>
      </c>
      <c r="P4516">
        <f>HYPERLINK("imagenes/T_TAHARI_124010377_PLM_2.jpg","Ver imagen")</f>
        <v/>
      </c>
    </row>
    <row r="4517">
      <c r="A4517" t="inlineStr">
        <is>
          <t>T TAHARI</t>
        </is>
      </c>
      <c r="B4517" t="inlineStr">
        <is>
          <t>124010377</t>
        </is>
      </c>
      <c r="C4517" t="inlineStr">
        <is>
          <t>BIANCA</t>
        </is>
      </c>
      <c r="D4517" t="inlineStr">
        <is>
          <t>STZ</t>
        </is>
      </c>
      <c r="E4517" t="inlineStr">
        <is>
          <t>06A01</t>
        </is>
      </c>
      <c r="F4517" t="inlineStr">
        <is>
          <t>R2140</t>
        </is>
      </c>
      <c r="G4517" t="inlineStr">
        <is>
          <t>PPK</t>
        </is>
      </c>
      <c r="H4517" t="n">
        <v>0</v>
      </c>
      <c r="I4517" t="inlineStr">
        <is>
          <t>T_TAHARI_124010377_STZ_2.jpg</t>
        </is>
      </c>
      <c r="L4517">
        <f>IMAGE("file:///E:/Estudios%20y%20certificaciones/ESTUDIOS%20DE%20PROGRAMMING/PROGRAMMING/PERSONAL/PYTHON/Image_Generator_API/imagenes/T_TAHARI_124010377_STZ_2.jpg")</f>
        <v/>
      </c>
      <c r="O4517">
        <f>HYPERLINK("imagenes/T_TAHARI_124010377_STZ_2.jpg","Ver imagen")</f>
        <v/>
      </c>
    </row>
    <row r="4518">
      <c r="A4518" t="inlineStr">
        <is>
          <t>T TAHARI</t>
        </is>
      </c>
      <c r="B4518" t="inlineStr">
        <is>
          <t>124010377</t>
        </is>
      </c>
      <c r="C4518" t="inlineStr">
        <is>
          <t>BIANCA</t>
        </is>
      </c>
      <c r="D4518" t="inlineStr">
        <is>
          <t>STZ</t>
        </is>
      </c>
      <c r="E4518" t="inlineStr">
        <is>
          <t>(en blanco)</t>
        </is>
      </c>
      <c r="F4518" t="inlineStr">
        <is>
          <t>(en blanco)</t>
        </is>
      </c>
      <c r="G4518" t="inlineStr">
        <is>
          <t>XS</t>
        </is>
      </c>
      <c r="H4518" t="n">
        <v>122</v>
      </c>
      <c r="I4518" t="inlineStr">
        <is>
          <t>T_TAHARI_124010377_STZ_2.jpg</t>
        </is>
      </c>
      <c r="L4518">
        <f>IMAGE("file:///E:/Estudios%20y%20certificaciones/ESTUDIOS%20DE%20PROGRAMMING/PROGRAMMING/PERSONAL/PYTHON/Image_Generator_API/imagenes/T_TAHARI_124010377_STZ_2.jpg")</f>
        <v/>
      </c>
      <c r="O4518">
        <f>HYPERLINK("imagenes/T_TAHARI_124010377_STZ_2.jpg","Ver imagen")</f>
        <v/>
      </c>
    </row>
    <row r="4519">
      <c r="A4519" t="inlineStr">
        <is>
          <t>T TAHARI</t>
        </is>
      </c>
      <c r="B4519" t="inlineStr">
        <is>
          <t>124010377</t>
        </is>
      </c>
      <c r="C4519" t="inlineStr">
        <is>
          <t>BIANCA</t>
        </is>
      </c>
      <c r="D4519" t="inlineStr">
        <is>
          <t>STZ</t>
        </is>
      </c>
      <c r="E4519" t="inlineStr">
        <is>
          <t>(en blanco)</t>
        </is>
      </c>
      <c r="F4519" t="inlineStr">
        <is>
          <t>(en blanco)</t>
        </is>
      </c>
      <c r="G4519" t="inlineStr">
        <is>
          <t>S</t>
        </is>
      </c>
      <c r="H4519" t="n">
        <v>251</v>
      </c>
      <c r="I4519" t="inlineStr">
        <is>
          <t>T_TAHARI_124010377_STZ_2.jpg</t>
        </is>
      </c>
      <c r="L4519">
        <f>IMAGE("file:///E:/Estudios%20y%20certificaciones/ESTUDIOS%20DE%20PROGRAMMING/PROGRAMMING/PERSONAL/PYTHON/Image_Generator_API/imagenes/T_TAHARI_124010377_STZ_2.jpg")</f>
        <v/>
      </c>
      <c r="O4519">
        <f>HYPERLINK("imagenes/T_TAHARI_124010377_STZ_2.jpg","Ver imagen")</f>
        <v/>
      </c>
    </row>
    <row r="4520">
      <c r="A4520" t="inlineStr">
        <is>
          <t>T TAHARI</t>
        </is>
      </c>
      <c r="B4520" t="inlineStr">
        <is>
          <t>124010377</t>
        </is>
      </c>
      <c r="C4520" t="inlineStr">
        <is>
          <t>BIANCA</t>
        </is>
      </c>
      <c r="D4520" t="inlineStr">
        <is>
          <t>STZ</t>
        </is>
      </c>
      <c r="E4520" t="inlineStr">
        <is>
          <t>(en blanco)</t>
        </is>
      </c>
      <c r="F4520" t="inlineStr">
        <is>
          <t>(en blanco)</t>
        </is>
      </c>
      <c r="G4520" t="inlineStr">
        <is>
          <t>M</t>
        </is>
      </c>
      <c r="H4520" t="n">
        <v>236</v>
      </c>
      <c r="I4520" t="inlineStr">
        <is>
          <t>T_TAHARI_124010377_STZ_2.jpg</t>
        </is>
      </c>
      <c r="L4520">
        <f>IMAGE("file:///E:/Estudios%20y%20certificaciones/ESTUDIOS%20DE%20PROGRAMMING/PROGRAMMING/PERSONAL/PYTHON/Image_Generator_API/imagenes/T_TAHARI_124010377_STZ_2.jpg")</f>
        <v/>
      </c>
      <c r="O4520">
        <f>HYPERLINK("imagenes/T_TAHARI_124010377_STZ_2.jpg","Ver imagen")</f>
        <v/>
      </c>
    </row>
    <row r="4521">
      <c r="A4521" t="inlineStr">
        <is>
          <t>T TAHARI</t>
        </is>
      </c>
      <c r="B4521" t="inlineStr">
        <is>
          <t>124010377</t>
        </is>
      </c>
      <c r="C4521" t="inlineStr">
        <is>
          <t>BIANCA</t>
        </is>
      </c>
      <c r="D4521" t="inlineStr">
        <is>
          <t>STZ</t>
        </is>
      </c>
      <c r="E4521" t="inlineStr">
        <is>
          <t>(en blanco)</t>
        </is>
      </c>
      <c r="F4521" t="inlineStr">
        <is>
          <t>(en blanco)</t>
        </is>
      </c>
      <c r="G4521" t="inlineStr">
        <is>
          <t>L</t>
        </is>
      </c>
      <c r="H4521" t="n">
        <v>235</v>
      </c>
      <c r="I4521" t="inlineStr">
        <is>
          <t>T_TAHARI_124010377_STZ_2.jpg</t>
        </is>
      </c>
      <c r="L4521">
        <f>IMAGE("file:///E:/Estudios%20y%20certificaciones/ESTUDIOS%20DE%20PROGRAMMING/PROGRAMMING/PERSONAL/PYTHON/Image_Generator_API/imagenes/T_TAHARI_124010377_STZ_2.jpg")</f>
        <v/>
      </c>
      <c r="O4521">
        <f>HYPERLINK("imagenes/T_TAHARI_124010377_STZ_2.jpg","Ver imagen")</f>
        <v/>
      </c>
    </row>
    <row r="4522">
      <c r="A4522" t="inlineStr">
        <is>
          <t>T TAHARI</t>
        </is>
      </c>
      <c r="B4522" t="inlineStr">
        <is>
          <t>124010377</t>
        </is>
      </c>
      <c r="C4522" t="inlineStr">
        <is>
          <t>BIANCA</t>
        </is>
      </c>
      <c r="D4522" t="inlineStr">
        <is>
          <t>STZ</t>
        </is>
      </c>
      <c r="E4522" t="inlineStr">
        <is>
          <t>(en blanco)</t>
        </is>
      </c>
      <c r="F4522" t="inlineStr">
        <is>
          <t>(en blanco)</t>
        </is>
      </c>
      <c r="G4522" t="inlineStr">
        <is>
          <t>XL</t>
        </is>
      </c>
      <c r="H4522" t="n">
        <v>125</v>
      </c>
      <c r="I4522" t="inlineStr">
        <is>
          <t>T_TAHARI_124010377_STZ_2.jpg</t>
        </is>
      </c>
      <c r="L4522">
        <f>IMAGE("file:///E:/Estudios%20y%20certificaciones/ESTUDIOS%20DE%20PROGRAMMING/PROGRAMMING/PERSONAL/PYTHON/Image_Generator_API/imagenes/T_TAHARI_124010377_STZ_2.jpg")</f>
        <v/>
      </c>
      <c r="O4522">
        <f>HYPERLINK("imagenes/T_TAHARI_124010377_STZ_2.jpg","Ver imagen")</f>
        <v/>
      </c>
    </row>
    <row r="4523">
      <c r="A4523" t="inlineStr">
        <is>
          <t>T TAHARI</t>
        </is>
      </c>
      <c r="B4523" t="inlineStr">
        <is>
          <t>124DAMAGE</t>
        </is>
      </c>
      <c r="C4523" t="inlineStr">
        <is>
          <t>DAMAGED STYLES</t>
        </is>
      </c>
      <c r="D4523" t="inlineStr">
        <is>
          <t>ASD</t>
        </is>
      </c>
      <c r="E4523" t="inlineStr">
        <is>
          <t>(en blanco)</t>
        </is>
      </c>
      <c r="F4523" t="inlineStr">
        <is>
          <t>(en blanco)</t>
        </is>
      </c>
      <c r="G4523" t="inlineStr">
        <is>
          <t>OS</t>
        </is>
      </c>
      <c r="H4523" t="n">
        <v>834</v>
      </c>
      <c r="I4523" t="inlineStr">
        <is>
          <t>T_TAHARI_124DAMAGE_ASD_1.jpg</t>
        </is>
      </c>
      <c r="J4523" t="inlineStr">
        <is>
          <t>T_TAHARI_124DAMAGE_ASD_3.jpg</t>
        </is>
      </c>
      <c r="L4523">
        <f>IMAGE("file:///E:/Estudios%20y%20certificaciones/ESTUDIOS%20DE%20PROGRAMMING/PROGRAMMING/PERSONAL/PYTHON/Image_Generator_API/imagenes/T_TAHARI_124DAMAGE_ASD_1.jpg")</f>
        <v/>
      </c>
      <c r="M4523">
        <f>IMAGE("file:///E:/Estudios%20y%20certificaciones/ESTUDIOS%20DE%20PROGRAMMING/PROGRAMMING/PERSONAL/PYTHON/Image_Generator_API/imagenes/T_TAHARI_124DAMAGE_ASD_3.jpg")</f>
        <v/>
      </c>
      <c r="O4523">
        <f>HYPERLINK("imagenes/T_TAHARI_124DAMAGE_ASD_1.jpg","Ver imagen")</f>
        <v/>
      </c>
      <c r="P4523">
        <f>HYPERLINK("imagenes/T_TAHARI_124DAMAGE_ASD_3.jpg","Ver imagen")</f>
        <v/>
      </c>
    </row>
    <row r="4524">
      <c r="A4524" t="inlineStr">
        <is>
          <t>T TAHARI</t>
        </is>
      </c>
      <c r="B4524" t="inlineStr">
        <is>
          <t>6020640</t>
        </is>
      </c>
      <c r="C4524" t="inlineStr">
        <is>
          <t>MARILYN DBL FACE WL</t>
        </is>
      </c>
      <c r="D4524" t="inlineStr">
        <is>
          <t>BC5</t>
        </is>
      </c>
      <c r="E4524" t="inlineStr">
        <is>
          <t>(en blanco)</t>
        </is>
      </c>
      <c r="F4524" t="inlineStr">
        <is>
          <t>(en blanco)</t>
        </is>
      </c>
      <c r="G4524" t="inlineStr">
        <is>
          <t>XS</t>
        </is>
      </c>
      <c r="H4524" t="n">
        <v>2</v>
      </c>
      <c r="I4524" t="inlineStr">
        <is>
          <t>T_TAHARI_6020640_BC5_2.jpg</t>
        </is>
      </c>
      <c r="J4524" t="inlineStr">
        <is>
          <t>T_TAHARI_6020640_BC5_3.jpg</t>
        </is>
      </c>
      <c r="L4524">
        <f>IMAGE("file:///E:/Estudios%20y%20certificaciones/ESTUDIOS%20DE%20PROGRAMMING/PROGRAMMING/PERSONAL/PYTHON/Image_Generator_API/imagenes/T_TAHARI_6020640_BC5_2.jpg")</f>
        <v/>
      </c>
      <c r="M4524">
        <f>IMAGE("file:///E:/Estudios%20y%20certificaciones/ESTUDIOS%20DE%20PROGRAMMING/PROGRAMMING/PERSONAL/PYTHON/Image_Generator_API/imagenes/T_TAHARI_6020640_BC5_3.jpg")</f>
        <v/>
      </c>
      <c r="O4524">
        <f>HYPERLINK("imagenes/T_TAHARI_6020640_BC5_2.jpg","Ver imagen")</f>
        <v/>
      </c>
      <c r="P4524">
        <f>HYPERLINK("imagenes/T_TAHARI_6020640_BC5_3.jpg","Ver imagen")</f>
        <v/>
      </c>
    </row>
    <row r="4525">
      <c r="A4525" t="inlineStr">
        <is>
          <t>T TAHARI</t>
        </is>
      </c>
      <c r="B4525" t="inlineStr">
        <is>
          <t>6020640</t>
        </is>
      </c>
      <c r="C4525" t="inlineStr">
        <is>
          <t>MARILYN DBL FACE WL</t>
        </is>
      </c>
      <c r="D4525" t="inlineStr">
        <is>
          <t>BC5</t>
        </is>
      </c>
      <c r="E4525" t="inlineStr">
        <is>
          <t>(en blanco)</t>
        </is>
      </c>
      <c r="F4525" t="inlineStr">
        <is>
          <t>(en blanco)</t>
        </is>
      </c>
      <c r="G4525" t="inlineStr">
        <is>
          <t>S</t>
        </is>
      </c>
      <c r="H4525" t="n">
        <v>1</v>
      </c>
      <c r="I4525" t="inlineStr">
        <is>
          <t>T_TAHARI_6020640_BC5_2.jpg</t>
        </is>
      </c>
      <c r="J4525" t="inlineStr">
        <is>
          <t>T_TAHARI_6020640_BC5_3.jpg</t>
        </is>
      </c>
      <c r="L4525">
        <f>IMAGE("file:///E:/Estudios%20y%20certificaciones/ESTUDIOS%20DE%20PROGRAMMING/PROGRAMMING/PERSONAL/PYTHON/Image_Generator_API/imagenes/T_TAHARI_6020640_BC5_2.jpg")</f>
        <v/>
      </c>
      <c r="M4525">
        <f>IMAGE("file:///E:/Estudios%20y%20certificaciones/ESTUDIOS%20DE%20PROGRAMMING/PROGRAMMING/PERSONAL/PYTHON/Image_Generator_API/imagenes/T_TAHARI_6020640_BC5_3.jpg")</f>
        <v/>
      </c>
      <c r="O4525">
        <f>HYPERLINK("imagenes/T_TAHARI_6020640_BC5_2.jpg","Ver imagen")</f>
        <v/>
      </c>
      <c r="P4525">
        <f>HYPERLINK("imagenes/T_TAHARI_6020640_BC5_3.jpg","Ver imagen")</f>
        <v/>
      </c>
    </row>
    <row r="4526">
      <c r="A4526" t="inlineStr">
        <is>
          <t>T TAHARI</t>
        </is>
      </c>
      <c r="B4526" t="inlineStr">
        <is>
          <t>6020640</t>
        </is>
      </c>
      <c r="C4526" t="inlineStr">
        <is>
          <t>MARILYN DBL FACE WL</t>
        </is>
      </c>
      <c r="D4526" t="inlineStr">
        <is>
          <t>BC5</t>
        </is>
      </c>
      <c r="E4526" t="inlineStr">
        <is>
          <t>(en blanco)</t>
        </is>
      </c>
      <c r="F4526" t="inlineStr">
        <is>
          <t>(en blanco)</t>
        </is>
      </c>
      <c r="G4526" t="inlineStr">
        <is>
          <t>M</t>
        </is>
      </c>
      <c r="H4526" t="n">
        <v>4</v>
      </c>
      <c r="I4526" t="inlineStr">
        <is>
          <t>T_TAHARI_6020640_BC5_2.jpg</t>
        </is>
      </c>
      <c r="J4526" t="inlineStr">
        <is>
          <t>T_TAHARI_6020640_BC5_3.jpg</t>
        </is>
      </c>
      <c r="L4526">
        <f>IMAGE("file:///E:/Estudios%20y%20certificaciones/ESTUDIOS%20DE%20PROGRAMMING/PROGRAMMING/PERSONAL/PYTHON/Image_Generator_API/imagenes/T_TAHARI_6020640_BC5_2.jpg")</f>
        <v/>
      </c>
      <c r="M4526">
        <f>IMAGE("file:///E:/Estudios%20y%20certificaciones/ESTUDIOS%20DE%20PROGRAMMING/PROGRAMMING/PERSONAL/PYTHON/Image_Generator_API/imagenes/T_TAHARI_6020640_BC5_3.jpg")</f>
        <v/>
      </c>
      <c r="O4526">
        <f>HYPERLINK("imagenes/T_TAHARI_6020640_BC5_2.jpg","Ver imagen")</f>
        <v/>
      </c>
      <c r="P4526">
        <f>HYPERLINK("imagenes/T_TAHARI_6020640_BC5_3.jpg","Ver imagen")</f>
        <v/>
      </c>
    </row>
    <row r="4527">
      <c r="A4527" t="inlineStr">
        <is>
          <t>T TAHARI</t>
        </is>
      </c>
      <c r="B4527" t="inlineStr">
        <is>
          <t>6020640</t>
        </is>
      </c>
      <c r="C4527" t="inlineStr">
        <is>
          <t>MARILYN DBL FACE WL</t>
        </is>
      </c>
      <c r="D4527" t="inlineStr">
        <is>
          <t>BLK</t>
        </is>
      </c>
      <c r="E4527" t="inlineStr">
        <is>
          <t>(en blanco)</t>
        </is>
      </c>
      <c r="F4527" t="inlineStr">
        <is>
          <t>(en blanco)</t>
        </is>
      </c>
      <c r="G4527" t="inlineStr">
        <is>
          <t>XS</t>
        </is>
      </c>
      <c r="H4527" t="n">
        <v>50</v>
      </c>
      <c r="I4527" t="inlineStr">
        <is>
          <t>T_TAHARI_6020640_BLK_1.jpg</t>
        </is>
      </c>
      <c r="J4527" t="inlineStr">
        <is>
          <t>T_TAHARI_6020640_BLK_2.jpg</t>
        </is>
      </c>
      <c r="K4527" t="inlineStr">
        <is>
          <t>T_TAHARI_6020640_BLK_3.jpg</t>
        </is>
      </c>
      <c r="L4527">
        <f>IMAGE("file:///E:/Estudios%20y%20certificaciones/ESTUDIOS%20DE%20PROGRAMMING/PROGRAMMING/PERSONAL/PYTHON/Image_Generator_API/imagenes/T_TAHARI_6020640_BLK_1.jpg")</f>
        <v/>
      </c>
      <c r="M4527">
        <f>IMAGE("file:///E:/Estudios%20y%20certificaciones/ESTUDIOS%20DE%20PROGRAMMING/PROGRAMMING/PERSONAL/PYTHON/Image_Generator_API/imagenes/T_TAHARI_6020640_BLK_2.jpg")</f>
        <v/>
      </c>
      <c r="N4527">
        <f>IMAGE("file:///E:/Estudios%20y%20certificaciones/ESTUDIOS%20DE%20PROGRAMMING/PROGRAMMING/PERSONAL/PYTHON/Image_Generator_API/imagenes/T_TAHARI_6020640_BLK_3.jpg")</f>
        <v/>
      </c>
      <c r="O4527">
        <f>HYPERLINK("imagenes/T_TAHARI_6020640_BLK_1.jpg","Ver imagen")</f>
        <v/>
      </c>
      <c r="P4527">
        <f>HYPERLINK("imagenes/T_TAHARI_6020640_BLK_2.jpg","Ver imagen")</f>
        <v/>
      </c>
      <c r="Q4527">
        <f>HYPERLINK("imagenes/T_TAHARI_6020640_BLK_3.jpg","Ver imagen")</f>
        <v/>
      </c>
    </row>
    <row r="4528">
      <c r="A4528" t="inlineStr">
        <is>
          <t>T TAHARI</t>
        </is>
      </c>
      <c r="B4528" t="inlineStr">
        <is>
          <t>6020640</t>
        </is>
      </c>
      <c r="C4528" t="inlineStr">
        <is>
          <t>MARILYN DBL FACE WL</t>
        </is>
      </c>
      <c r="D4528" t="inlineStr">
        <is>
          <t>BLK</t>
        </is>
      </c>
      <c r="E4528" t="inlineStr">
        <is>
          <t>(en blanco)</t>
        </is>
      </c>
      <c r="F4528" t="inlineStr">
        <is>
          <t>(en blanco)</t>
        </is>
      </c>
      <c r="G4528" t="inlineStr">
        <is>
          <t>S</t>
        </is>
      </c>
      <c r="H4528" t="n">
        <v>87</v>
      </c>
      <c r="I4528" t="inlineStr">
        <is>
          <t>T_TAHARI_6020640_BLK_1.jpg</t>
        </is>
      </c>
      <c r="J4528" t="inlineStr">
        <is>
          <t>T_TAHARI_6020640_BLK_2.jpg</t>
        </is>
      </c>
      <c r="K4528" t="inlineStr">
        <is>
          <t>T_TAHARI_6020640_BLK_3.jpg</t>
        </is>
      </c>
      <c r="L4528">
        <f>IMAGE("file:///E:/Estudios%20y%20certificaciones/ESTUDIOS%20DE%20PROGRAMMING/PROGRAMMING/PERSONAL/PYTHON/Image_Generator_API/imagenes/T_TAHARI_6020640_BLK_1.jpg")</f>
        <v/>
      </c>
      <c r="M4528">
        <f>IMAGE("file:///E:/Estudios%20y%20certificaciones/ESTUDIOS%20DE%20PROGRAMMING/PROGRAMMING/PERSONAL/PYTHON/Image_Generator_API/imagenes/T_TAHARI_6020640_BLK_2.jpg")</f>
        <v/>
      </c>
      <c r="N4528">
        <f>IMAGE("file:///E:/Estudios%20y%20certificaciones/ESTUDIOS%20DE%20PROGRAMMING/PROGRAMMING/PERSONAL/PYTHON/Image_Generator_API/imagenes/T_TAHARI_6020640_BLK_3.jpg")</f>
        <v/>
      </c>
      <c r="O4528">
        <f>HYPERLINK("imagenes/T_TAHARI_6020640_BLK_1.jpg","Ver imagen")</f>
        <v/>
      </c>
      <c r="P4528">
        <f>HYPERLINK("imagenes/T_TAHARI_6020640_BLK_2.jpg","Ver imagen")</f>
        <v/>
      </c>
      <c r="Q4528">
        <f>HYPERLINK("imagenes/T_TAHARI_6020640_BLK_3.jpg","Ver imagen")</f>
        <v/>
      </c>
    </row>
    <row r="4529">
      <c r="A4529" t="inlineStr">
        <is>
          <t>T TAHARI</t>
        </is>
      </c>
      <c r="B4529" t="inlineStr">
        <is>
          <t>6020640</t>
        </is>
      </c>
      <c r="C4529" t="inlineStr">
        <is>
          <t>MARILYN DBL FACE WL</t>
        </is>
      </c>
      <c r="D4529" t="inlineStr">
        <is>
          <t>BLK</t>
        </is>
      </c>
      <c r="E4529" t="inlineStr">
        <is>
          <t>(en blanco)</t>
        </is>
      </c>
      <c r="F4529" t="inlineStr">
        <is>
          <t>(en blanco)</t>
        </is>
      </c>
      <c r="G4529" t="inlineStr">
        <is>
          <t>M</t>
        </is>
      </c>
      <c r="H4529" t="n">
        <v>23</v>
      </c>
      <c r="I4529" t="inlineStr">
        <is>
          <t>T_TAHARI_6020640_BLK_1.jpg</t>
        </is>
      </c>
      <c r="J4529" t="inlineStr">
        <is>
          <t>T_TAHARI_6020640_BLK_2.jpg</t>
        </is>
      </c>
      <c r="K4529" t="inlineStr">
        <is>
          <t>T_TAHARI_6020640_BLK_3.jpg</t>
        </is>
      </c>
      <c r="L4529">
        <f>IMAGE("file:///E:/Estudios%20y%20certificaciones/ESTUDIOS%20DE%20PROGRAMMING/PROGRAMMING/PERSONAL/PYTHON/Image_Generator_API/imagenes/T_TAHARI_6020640_BLK_1.jpg")</f>
        <v/>
      </c>
      <c r="M4529">
        <f>IMAGE("file:///E:/Estudios%20y%20certificaciones/ESTUDIOS%20DE%20PROGRAMMING/PROGRAMMING/PERSONAL/PYTHON/Image_Generator_API/imagenes/T_TAHARI_6020640_BLK_2.jpg")</f>
        <v/>
      </c>
      <c r="N4529">
        <f>IMAGE("file:///E:/Estudios%20y%20certificaciones/ESTUDIOS%20DE%20PROGRAMMING/PROGRAMMING/PERSONAL/PYTHON/Image_Generator_API/imagenes/T_TAHARI_6020640_BLK_3.jpg")</f>
        <v/>
      </c>
      <c r="O4529">
        <f>HYPERLINK("imagenes/T_TAHARI_6020640_BLK_1.jpg","Ver imagen")</f>
        <v/>
      </c>
      <c r="P4529">
        <f>HYPERLINK("imagenes/T_TAHARI_6020640_BLK_2.jpg","Ver imagen")</f>
        <v/>
      </c>
      <c r="Q4529">
        <f>HYPERLINK("imagenes/T_TAHARI_6020640_BLK_3.jpg","Ver imagen")</f>
        <v/>
      </c>
    </row>
    <row r="4530">
      <c r="A4530" t="inlineStr">
        <is>
          <t>T TAHARI</t>
        </is>
      </c>
      <c r="B4530" t="inlineStr">
        <is>
          <t>6020640</t>
        </is>
      </c>
      <c r="C4530" t="inlineStr">
        <is>
          <t>MARILYN DBL FACE WL</t>
        </is>
      </c>
      <c r="D4530" t="inlineStr">
        <is>
          <t>BLK</t>
        </is>
      </c>
      <c r="E4530" t="inlineStr">
        <is>
          <t>(en blanco)</t>
        </is>
      </c>
      <c r="F4530" t="inlineStr">
        <is>
          <t>(en blanco)</t>
        </is>
      </c>
      <c r="G4530" t="inlineStr">
        <is>
          <t>L</t>
        </is>
      </c>
      <c r="H4530" t="n">
        <v>4</v>
      </c>
      <c r="I4530" t="inlineStr">
        <is>
          <t>T_TAHARI_6020640_BLK_1.jpg</t>
        </is>
      </c>
      <c r="J4530" t="inlineStr">
        <is>
          <t>T_TAHARI_6020640_BLK_2.jpg</t>
        </is>
      </c>
      <c r="K4530" t="inlineStr">
        <is>
          <t>T_TAHARI_6020640_BLK_3.jpg</t>
        </is>
      </c>
      <c r="L4530">
        <f>IMAGE("file:///E:/Estudios%20y%20certificaciones/ESTUDIOS%20DE%20PROGRAMMING/PROGRAMMING/PERSONAL/PYTHON/Image_Generator_API/imagenes/T_TAHARI_6020640_BLK_1.jpg")</f>
        <v/>
      </c>
      <c r="M4530">
        <f>IMAGE("file:///E:/Estudios%20y%20certificaciones/ESTUDIOS%20DE%20PROGRAMMING/PROGRAMMING/PERSONAL/PYTHON/Image_Generator_API/imagenes/T_TAHARI_6020640_BLK_2.jpg")</f>
        <v/>
      </c>
      <c r="N4530">
        <f>IMAGE("file:///E:/Estudios%20y%20certificaciones/ESTUDIOS%20DE%20PROGRAMMING/PROGRAMMING/PERSONAL/PYTHON/Image_Generator_API/imagenes/T_TAHARI_6020640_BLK_3.jpg")</f>
        <v/>
      </c>
      <c r="O4530">
        <f>HYPERLINK("imagenes/T_TAHARI_6020640_BLK_1.jpg","Ver imagen")</f>
        <v/>
      </c>
      <c r="P4530">
        <f>HYPERLINK("imagenes/T_TAHARI_6020640_BLK_2.jpg","Ver imagen")</f>
        <v/>
      </c>
      <c r="Q4530">
        <f>HYPERLINK("imagenes/T_TAHARI_6020640_BLK_3.jpg","Ver imagen")</f>
        <v/>
      </c>
    </row>
    <row r="4531">
      <c r="A4531" t="inlineStr">
        <is>
          <t>T TAHARI</t>
        </is>
      </c>
      <c r="B4531" t="inlineStr">
        <is>
          <t>6020640</t>
        </is>
      </c>
      <c r="C4531" t="inlineStr">
        <is>
          <t>MARILYN DBL FACE WL</t>
        </is>
      </c>
      <c r="D4531" t="inlineStr">
        <is>
          <t>BLK</t>
        </is>
      </c>
      <c r="E4531" t="inlineStr">
        <is>
          <t>(en blanco)</t>
        </is>
      </c>
      <c r="F4531" t="inlineStr">
        <is>
          <t>(en blanco)</t>
        </is>
      </c>
      <c r="G4531" t="inlineStr">
        <is>
          <t>XL</t>
        </is>
      </c>
      <c r="H4531" t="n">
        <v>12</v>
      </c>
      <c r="I4531" t="inlineStr">
        <is>
          <t>T_TAHARI_6020640_BLK_1.jpg</t>
        </is>
      </c>
      <c r="J4531" t="inlineStr">
        <is>
          <t>T_TAHARI_6020640_BLK_2.jpg</t>
        </is>
      </c>
      <c r="K4531" t="inlineStr">
        <is>
          <t>T_TAHARI_6020640_BLK_3.jpg</t>
        </is>
      </c>
      <c r="L4531">
        <f>IMAGE("file:///E:/Estudios%20y%20certificaciones/ESTUDIOS%20DE%20PROGRAMMING/PROGRAMMING/PERSONAL/PYTHON/Image_Generator_API/imagenes/T_TAHARI_6020640_BLK_1.jpg")</f>
        <v/>
      </c>
      <c r="M4531">
        <f>IMAGE("file:///E:/Estudios%20y%20certificaciones/ESTUDIOS%20DE%20PROGRAMMING/PROGRAMMING/PERSONAL/PYTHON/Image_Generator_API/imagenes/T_TAHARI_6020640_BLK_2.jpg")</f>
        <v/>
      </c>
      <c r="N4531">
        <f>IMAGE("file:///E:/Estudios%20y%20certificaciones/ESTUDIOS%20DE%20PROGRAMMING/PROGRAMMING/PERSONAL/PYTHON/Image_Generator_API/imagenes/T_TAHARI_6020640_BLK_3.jpg")</f>
        <v/>
      </c>
      <c r="O4531">
        <f>HYPERLINK("imagenes/T_TAHARI_6020640_BLK_1.jpg","Ver imagen")</f>
        <v/>
      </c>
      <c r="P4531">
        <f>HYPERLINK("imagenes/T_TAHARI_6020640_BLK_2.jpg","Ver imagen")</f>
        <v/>
      </c>
      <c r="Q4531">
        <f>HYPERLINK("imagenes/T_TAHARI_6020640_BLK_3.jpg","Ver imagen")</f>
        <v/>
      </c>
    </row>
    <row r="4532">
      <c r="A4532" t="inlineStr">
        <is>
          <t>T TAHARI</t>
        </is>
      </c>
      <c r="B4532" t="inlineStr">
        <is>
          <t>6020640</t>
        </is>
      </c>
      <c r="C4532" t="inlineStr">
        <is>
          <t>MARILYN DBL FACE WL</t>
        </is>
      </c>
      <c r="D4532" t="inlineStr">
        <is>
          <t>CAM</t>
        </is>
      </c>
      <c r="E4532" t="inlineStr">
        <is>
          <t>(en blanco)</t>
        </is>
      </c>
      <c r="F4532" t="inlineStr">
        <is>
          <t>(en blanco)</t>
        </is>
      </c>
      <c r="G4532" t="inlineStr">
        <is>
          <t>M</t>
        </is>
      </c>
      <c r="H4532" t="n">
        <v>4</v>
      </c>
      <c r="I4532" t="inlineStr">
        <is>
          <t>T_TAHARI_6020640_CAM_1.jpg</t>
        </is>
      </c>
      <c r="J4532" t="inlineStr">
        <is>
          <t>T_TAHARI_6020640_CAM_2.jpg</t>
        </is>
      </c>
      <c r="K4532" t="inlineStr">
        <is>
          <t>T_TAHARI_6020640_CAM_3.jpg</t>
        </is>
      </c>
      <c r="L4532">
        <f>IMAGE("file:///E:/Estudios%20y%20certificaciones/ESTUDIOS%20DE%20PROGRAMMING/PROGRAMMING/PERSONAL/PYTHON/Image_Generator_API/imagenes/T_TAHARI_6020640_CAM_1.jpg")</f>
        <v/>
      </c>
      <c r="M4532">
        <f>IMAGE("file:///E:/Estudios%20y%20certificaciones/ESTUDIOS%20DE%20PROGRAMMING/PROGRAMMING/PERSONAL/PYTHON/Image_Generator_API/imagenes/T_TAHARI_6020640_CAM_2.jpg")</f>
        <v/>
      </c>
      <c r="N4532">
        <f>IMAGE("file:///E:/Estudios%20y%20certificaciones/ESTUDIOS%20DE%20PROGRAMMING/PROGRAMMING/PERSONAL/PYTHON/Image_Generator_API/imagenes/T_TAHARI_6020640_CAM_3.jpg")</f>
        <v/>
      </c>
      <c r="O4532">
        <f>HYPERLINK("imagenes/T_TAHARI_6020640_CAM_1.jpg","Ver imagen")</f>
        <v/>
      </c>
      <c r="P4532">
        <f>HYPERLINK("imagenes/T_TAHARI_6020640_CAM_2.jpg","Ver imagen")</f>
        <v/>
      </c>
      <c r="Q4532">
        <f>HYPERLINK("imagenes/T_TAHARI_6020640_CAM_3.jpg","Ver imagen")</f>
        <v/>
      </c>
    </row>
    <row r="4533">
      <c r="A4533" t="inlineStr">
        <is>
          <t>T TAHARI</t>
        </is>
      </c>
      <c r="B4533" t="inlineStr">
        <is>
          <t>6020640</t>
        </is>
      </c>
      <c r="C4533" t="inlineStr">
        <is>
          <t>MARILYN DBL FACE WL</t>
        </is>
      </c>
      <c r="D4533" t="inlineStr">
        <is>
          <t>CHR</t>
        </is>
      </c>
      <c r="E4533" t="inlineStr">
        <is>
          <t>(en blanco)</t>
        </is>
      </c>
      <c r="F4533" t="inlineStr">
        <is>
          <t>(en blanco)</t>
        </is>
      </c>
      <c r="G4533" t="inlineStr">
        <is>
          <t>L</t>
        </is>
      </c>
      <c r="H4533" t="n">
        <v>1</v>
      </c>
      <c r="I4533" t="inlineStr">
        <is>
          <t>T_TAHARI_6020640_CHR_1.jpg</t>
        </is>
      </c>
      <c r="J4533" t="inlineStr">
        <is>
          <t>T_TAHARI_6020640_CHR_2.jpg</t>
        </is>
      </c>
      <c r="K4533" t="inlineStr">
        <is>
          <t>T_TAHARI_6020640_CHR_3.jpg</t>
        </is>
      </c>
      <c r="L4533">
        <f>IMAGE("file:///E:/Estudios%20y%20certificaciones/ESTUDIOS%20DE%20PROGRAMMING/PROGRAMMING/PERSONAL/PYTHON/Image_Generator_API/imagenes/T_TAHARI_6020640_CHR_1.jpg")</f>
        <v/>
      </c>
      <c r="M4533">
        <f>IMAGE("file:///E:/Estudios%20y%20certificaciones/ESTUDIOS%20DE%20PROGRAMMING/PROGRAMMING/PERSONAL/PYTHON/Image_Generator_API/imagenes/T_TAHARI_6020640_CHR_2.jpg")</f>
        <v/>
      </c>
      <c r="N4533">
        <f>IMAGE("file:///E:/Estudios%20y%20certificaciones/ESTUDIOS%20DE%20PROGRAMMING/PROGRAMMING/PERSONAL/PYTHON/Image_Generator_API/imagenes/T_TAHARI_6020640_CHR_3.jpg")</f>
        <v/>
      </c>
      <c r="O4533">
        <f>HYPERLINK("imagenes/T_TAHARI_6020640_CHR_1.jpg","Ver imagen")</f>
        <v/>
      </c>
      <c r="P4533">
        <f>HYPERLINK("imagenes/T_TAHARI_6020640_CHR_2.jpg","Ver imagen")</f>
        <v/>
      </c>
      <c r="Q4533">
        <f>HYPERLINK("imagenes/T_TAHARI_6020640_CHR_3.jpg","Ver imagen")</f>
        <v/>
      </c>
    </row>
    <row r="4534">
      <c r="A4534" t="inlineStr">
        <is>
          <t>T TAHARI</t>
        </is>
      </c>
      <c r="B4534" t="inlineStr">
        <is>
          <t>6020696</t>
        </is>
      </c>
      <c r="C4534" t="inlineStr">
        <is>
          <t>EVANA DF WOOL</t>
        </is>
      </c>
      <c r="D4534" t="inlineStr">
        <is>
          <t>BLK</t>
        </is>
      </c>
      <c r="E4534" t="inlineStr">
        <is>
          <t>(en blanco)</t>
        </is>
      </c>
      <c r="F4534" t="inlineStr">
        <is>
          <t>(en blanco)</t>
        </is>
      </c>
      <c r="G4534" t="inlineStr">
        <is>
          <t>XS</t>
        </is>
      </c>
      <c r="H4534" t="n">
        <v>1</v>
      </c>
      <c r="I4534" t="inlineStr">
        <is>
          <t>T_TAHARI_6020696_BLK_1.jpg</t>
        </is>
      </c>
      <c r="J4534" t="inlineStr">
        <is>
          <t>T_TAHARI_6020696_BLK_2.jpg</t>
        </is>
      </c>
      <c r="K4534" t="inlineStr">
        <is>
          <t>T_TAHARI_6020696_BLK_3.jpg</t>
        </is>
      </c>
      <c r="L4534">
        <f>IMAGE("file:///E:/Estudios%20y%20certificaciones/ESTUDIOS%20DE%20PROGRAMMING/PROGRAMMING/PERSONAL/PYTHON/Image_Generator_API/imagenes/T_TAHARI_6020696_BLK_1.jpg")</f>
        <v/>
      </c>
      <c r="M4534">
        <f>IMAGE("file:///E:/Estudios%20y%20certificaciones/ESTUDIOS%20DE%20PROGRAMMING/PROGRAMMING/PERSONAL/PYTHON/Image_Generator_API/imagenes/T_TAHARI_6020696_BLK_2.jpg")</f>
        <v/>
      </c>
      <c r="N4534">
        <f>IMAGE("file:///E:/Estudios%20y%20certificaciones/ESTUDIOS%20DE%20PROGRAMMING/PROGRAMMING/PERSONAL/PYTHON/Image_Generator_API/imagenes/T_TAHARI_6020696_BLK_3.jpg")</f>
        <v/>
      </c>
      <c r="O4534">
        <f>HYPERLINK("imagenes/T_TAHARI_6020696_BLK_1.jpg","Ver imagen")</f>
        <v/>
      </c>
      <c r="P4534">
        <f>HYPERLINK("imagenes/T_TAHARI_6020696_BLK_2.jpg","Ver imagen")</f>
        <v/>
      </c>
      <c r="Q4534">
        <f>HYPERLINK("imagenes/T_TAHARI_6020696_BLK_3.jpg","Ver imagen")</f>
        <v/>
      </c>
    </row>
    <row r="4535">
      <c r="A4535" t="inlineStr">
        <is>
          <t>T TAHARI</t>
        </is>
      </c>
      <c r="B4535" t="inlineStr">
        <is>
          <t>6020696</t>
        </is>
      </c>
      <c r="C4535" t="inlineStr">
        <is>
          <t>EVANA DF WOOL</t>
        </is>
      </c>
      <c r="D4535" t="inlineStr">
        <is>
          <t>BLK</t>
        </is>
      </c>
      <c r="E4535" t="inlineStr">
        <is>
          <t>(en blanco)</t>
        </is>
      </c>
      <c r="F4535" t="inlineStr">
        <is>
          <t>(en blanco)</t>
        </is>
      </c>
      <c r="G4535" t="inlineStr">
        <is>
          <t>S</t>
        </is>
      </c>
      <c r="H4535" t="n">
        <v>1</v>
      </c>
      <c r="I4535" t="inlineStr">
        <is>
          <t>T_TAHARI_6020696_BLK_1.jpg</t>
        </is>
      </c>
      <c r="J4535" t="inlineStr">
        <is>
          <t>T_TAHARI_6020696_BLK_2.jpg</t>
        </is>
      </c>
      <c r="K4535" t="inlineStr">
        <is>
          <t>T_TAHARI_6020696_BLK_3.jpg</t>
        </is>
      </c>
      <c r="L4535">
        <f>IMAGE("file:///E:/Estudios%20y%20certificaciones/ESTUDIOS%20DE%20PROGRAMMING/PROGRAMMING/PERSONAL/PYTHON/Image_Generator_API/imagenes/T_TAHARI_6020696_BLK_1.jpg")</f>
        <v/>
      </c>
      <c r="M4535">
        <f>IMAGE("file:///E:/Estudios%20y%20certificaciones/ESTUDIOS%20DE%20PROGRAMMING/PROGRAMMING/PERSONAL/PYTHON/Image_Generator_API/imagenes/T_TAHARI_6020696_BLK_2.jpg")</f>
        <v/>
      </c>
      <c r="N4535">
        <f>IMAGE("file:///E:/Estudios%20y%20certificaciones/ESTUDIOS%20DE%20PROGRAMMING/PROGRAMMING/PERSONAL/PYTHON/Image_Generator_API/imagenes/T_TAHARI_6020696_BLK_3.jpg")</f>
        <v/>
      </c>
      <c r="O4535">
        <f>HYPERLINK("imagenes/T_TAHARI_6020696_BLK_1.jpg","Ver imagen")</f>
        <v/>
      </c>
      <c r="P4535">
        <f>HYPERLINK("imagenes/T_TAHARI_6020696_BLK_2.jpg","Ver imagen")</f>
        <v/>
      </c>
      <c r="Q4535">
        <f>HYPERLINK("imagenes/T_TAHARI_6020696_BLK_3.jpg","Ver imagen")</f>
        <v/>
      </c>
    </row>
    <row r="4536">
      <c r="A4536" t="inlineStr">
        <is>
          <t>T TAHARI</t>
        </is>
      </c>
      <c r="B4536" t="inlineStr">
        <is>
          <t>6023951</t>
        </is>
      </c>
      <c r="C4536" t="inlineStr">
        <is>
          <t>WOOL TOPPER</t>
        </is>
      </c>
      <c r="D4536" t="inlineStr">
        <is>
          <t>DLE</t>
        </is>
      </c>
      <c r="E4536" t="inlineStr">
        <is>
          <t>(en blanco)</t>
        </is>
      </c>
      <c r="F4536" t="inlineStr">
        <is>
          <t>(en blanco)</t>
        </is>
      </c>
      <c r="G4536" t="inlineStr">
        <is>
          <t>M</t>
        </is>
      </c>
      <c r="H4536" t="n">
        <v>2</v>
      </c>
      <c r="I4536" t="inlineStr">
        <is>
          <t>T_TAHARI_6023951_DLE_1.jpg</t>
        </is>
      </c>
      <c r="J4536" t="inlineStr">
        <is>
          <t>T_TAHARI_6023951_DLE_2.jpg</t>
        </is>
      </c>
      <c r="K4536" t="inlineStr">
        <is>
          <t>T_TAHARI_6023951_DLE_3.jpg</t>
        </is>
      </c>
      <c r="L4536">
        <f>IMAGE("file:///E:/Estudios%20y%20certificaciones/ESTUDIOS%20DE%20PROGRAMMING/PROGRAMMING/PERSONAL/PYTHON/Image_Generator_API/imagenes/T_TAHARI_6023951_DLE_1.jpg")</f>
        <v/>
      </c>
      <c r="M4536">
        <f>IMAGE("file:///E:/Estudios%20y%20certificaciones/ESTUDIOS%20DE%20PROGRAMMING/PROGRAMMING/PERSONAL/PYTHON/Image_Generator_API/imagenes/T_TAHARI_6023951_DLE_2.jpg")</f>
        <v/>
      </c>
      <c r="N4536">
        <f>IMAGE("file:///E:/Estudios%20y%20certificaciones/ESTUDIOS%20DE%20PROGRAMMING/PROGRAMMING/PERSONAL/PYTHON/Image_Generator_API/imagenes/T_TAHARI_6023951_DLE_3.jpg")</f>
        <v/>
      </c>
      <c r="O4536">
        <f>HYPERLINK("imagenes/T_TAHARI_6023951_DLE_1.jpg","Ver imagen")</f>
        <v/>
      </c>
      <c r="P4536">
        <f>HYPERLINK("imagenes/T_TAHARI_6023951_DLE_2.jpg","Ver imagen")</f>
        <v/>
      </c>
      <c r="Q4536">
        <f>HYPERLINK("imagenes/T_TAHARI_6023951_DLE_3.jpg","Ver imagen")</f>
        <v/>
      </c>
    </row>
    <row r="4537">
      <c r="A4537" t="inlineStr">
        <is>
          <t>T TAHARI</t>
        </is>
      </c>
      <c r="B4537" t="inlineStr">
        <is>
          <t>6030635</t>
        </is>
      </c>
      <c r="C4537" t="inlineStr">
        <is>
          <t>ELLA WRAP COAT</t>
        </is>
      </c>
      <c r="D4537" t="inlineStr">
        <is>
          <t>BLK</t>
        </is>
      </c>
      <c r="E4537" t="inlineStr">
        <is>
          <t>(en blanco)</t>
        </is>
      </c>
      <c r="F4537" t="inlineStr">
        <is>
          <t>(en blanco)</t>
        </is>
      </c>
      <c r="G4537" t="inlineStr">
        <is>
          <t>2X</t>
        </is>
      </c>
      <c r="H4537" t="n">
        <v>2</v>
      </c>
      <c r="I4537" t="inlineStr">
        <is>
          <t>T_TAHARI_6030635_BLK_2.jpg</t>
        </is>
      </c>
      <c r="J4537" t="inlineStr">
        <is>
          <t>T_TAHARI_6030635_BLK_3.jpg</t>
        </is>
      </c>
      <c r="L4537">
        <f>IMAGE("file:///E:/Estudios%20y%20certificaciones/ESTUDIOS%20DE%20PROGRAMMING/PROGRAMMING/PERSONAL/PYTHON/Image_Generator_API/imagenes/T_TAHARI_6030635_BLK_2.jpg")</f>
        <v/>
      </c>
      <c r="M4537">
        <f>IMAGE("file:///E:/Estudios%20y%20certificaciones/ESTUDIOS%20DE%20PROGRAMMING/PROGRAMMING/PERSONAL/PYTHON/Image_Generator_API/imagenes/T_TAHARI_6030635_BLK_3.jpg")</f>
        <v/>
      </c>
      <c r="O4537">
        <f>HYPERLINK("imagenes/T_TAHARI_6030635_BLK_2.jpg","Ver imagen")</f>
        <v/>
      </c>
      <c r="P4537">
        <f>HYPERLINK("imagenes/T_TAHARI_6030635_BLK_3.jpg","Ver imagen")</f>
        <v/>
      </c>
    </row>
    <row r="4538">
      <c r="A4538" t="inlineStr">
        <is>
          <t>T TAHARI</t>
        </is>
      </c>
      <c r="B4538" t="inlineStr">
        <is>
          <t>6030635</t>
        </is>
      </c>
      <c r="C4538" t="inlineStr">
        <is>
          <t>ELLA WRAP COAT</t>
        </is>
      </c>
      <c r="D4538" t="inlineStr">
        <is>
          <t>RWD</t>
        </is>
      </c>
      <c r="E4538" t="inlineStr">
        <is>
          <t>(en blanco)</t>
        </is>
      </c>
      <c r="F4538" t="inlineStr">
        <is>
          <t>(en blanco)</t>
        </is>
      </c>
      <c r="G4538" t="inlineStr">
        <is>
          <t>1X</t>
        </is>
      </c>
      <c r="H4538" t="n">
        <v>4</v>
      </c>
      <c r="I4538" t="inlineStr">
        <is>
          <t>T_TAHARI_6030635_RWD_1.jpg</t>
        </is>
      </c>
      <c r="J4538" t="inlineStr">
        <is>
          <t>T_TAHARI_6030635_RWD_2.jpg</t>
        </is>
      </c>
      <c r="K4538" t="inlineStr">
        <is>
          <t>T_TAHARI_6030635_RWD_3.jpg</t>
        </is>
      </c>
      <c r="L4538">
        <f>IMAGE("file:///E:/Estudios%20y%20certificaciones/ESTUDIOS%20DE%20PROGRAMMING/PROGRAMMING/PERSONAL/PYTHON/Image_Generator_API/imagenes/T_TAHARI_6030635_RWD_1.jpg")</f>
        <v/>
      </c>
      <c r="M4538">
        <f>IMAGE("file:///E:/Estudios%20y%20certificaciones/ESTUDIOS%20DE%20PROGRAMMING/PROGRAMMING/PERSONAL/PYTHON/Image_Generator_API/imagenes/T_TAHARI_6030635_RWD_2.jpg")</f>
        <v/>
      </c>
      <c r="N4538">
        <f>IMAGE("file:///E:/Estudios%20y%20certificaciones/ESTUDIOS%20DE%20PROGRAMMING/PROGRAMMING/PERSONAL/PYTHON/Image_Generator_API/imagenes/T_TAHARI_6030635_RWD_3.jpg")</f>
        <v/>
      </c>
      <c r="O4538">
        <f>HYPERLINK("imagenes/T_TAHARI_6030635_RWD_1.jpg","Ver imagen")</f>
        <v/>
      </c>
      <c r="P4538">
        <f>HYPERLINK("imagenes/T_TAHARI_6030635_RWD_2.jpg","Ver imagen")</f>
        <v/>
      </c>
      <c r="Q4538">
        <f>HYPERLINK("imagenes/T_TAHARI_6030635_RWD_3.jpg","Ver imagen")</f>
        <v/>
      </c>
    </row>
    <row r="4539">
      <c r="A4539" t="inlineStr">
        <is>
          <t>T TAHARI</t>
        </is>
      </c>
      <c r="B4539" t="inlineStr">
        <is>
          <t>6030635</t>
        </is>
      </c>
      <c r="C4539" t="inlineStr">
        <is>
          <t>ELLA WRAP COAT</t>
        </is>
      </c>
      <c r="D4539" t="inlineStr">
        <is>
          <t>RWD</t>
        </is>
      </c>
      <c r="E4539" t="inlineStr">
        <is>
          <t>(en blanco)</t>
        </is>
      </c>
      <c r="F4539" t="inlineStr">
        <is>
          <t>(en blanco)</t>
        </is>
      </c>
      <c r="G4539" t="inlineStr">
        <is>
          <t>2X</t>
        </is>
      </c>
      <c r="H4539" t="n">
        <v>1</v>
      </c>
      <c r="I4539" t="inlineStr">
        <is>
          <t>T_TAHARI_6030635_RWD_1.jpg</t>
        </is>
      </c>
      <c r="J4539" t="inlineStr">
        <is>
          <t>T_TAHARI_6030635_RWD_2.jpg</t>
        </is>
      </c>
      <c r="K4539" t="inlineStr">
        <is>
          <t>T_TAHARI_6030635_RWD_3.jpg</t>
        </is>
      </c>
      <c r="L4539">
        <f>IMAGE("file:///E:/Estudios%20y%20certificaciones/ESTUDIOS%20DE%20PROGRAMMING/PROGRAMMING/PERSONAL/PYTHON/Image_Generator_API/imagenes/T_TAHARI_6030635_RWD_1.jpg")</f>
        <v/>
      </c>
      <c r="M4539">
        <f>IMAGE("file:///E:/Estudios%20y%20certificaciones/ESTUDIOS%20DE%20PROGRAMMING/PROGRAMMING/PERSONAL/PYTHON/Image_Generator_API/imagenes/T_TAHARI_6030635_RWD_2.jpg")</f>
        <v/>
      </c>
      <c r="N4539">
        <f>IMAGE("file:///E:/Estudios%20y%20certificaciones/ESTUDIOS%20DE%20PROGRAMMING/PROGRAMMING/PERSONAL/PYTHON/Image_Generator_API/imagenes/T_TAHARI_6030635_RWD_3.jpg")</f>
        <v/>
      </c>
      <c r="O4539">
        <f>HYPERLINK("imagenes/T_TAHARI_6030635_RWD_1.jpg","Ver imagen")</f>
        <v/>
      </c>
      <c r="P4539">
        <f>HYPERLINK("imagenes/T_TAHARI_6030635_RWD_2.jpg","Ver imagen")</f>
        <v/>
      </c>
      <c r="Q4539">
        <f>HYPERLINK("imagenes/T_TAHARI_6030635_RWD_3.jpg","Ver imagen")</f>
        <v/>
      </c>
    </row>
    <row r="4540">
      <c r="A4540" t="inlineStr">
        <is>
          <t>T TAHARI</t>
        </is>
      </c>
      <c r="B4540" t="inlineStr">
        <is>
          <t>6033851</t>
        </is>
      </c>
      <c r="C4540" t="inlineStr">
        <is>
          <t>RAVEN ZEBRA TOPPER</t>
        </is>
      </c>
      <c r="D4540" t="inlineStr">
        <is>
          <t>DBZ</t>
        </is>
      </c>
      <c r="E4540" t="inlineStr">
        <is>
          <t>(en blanco)</t>
        </is>
      </c>
      <c r="F4540" t="inlineStr">
        <is>
          <t>(en blanco)</t>
        </is>
      </c>
      <c r="G4540" t="inlineStr">
        <is>
          <t>1X</t>
        </is>
      </c>
      <c r="H4540" t="n">
        <v>5</v>
      </c>
      <c r="I4540" t="inlineStr">
        <is>
          <t>T_TAHARI_6033851_DBZ_1.jpg</t>
        </is>
      </c>
      <c r="J4540" t="inlineStr">
        <is>
          <t>T_TAHARI_6033851_DBZ_2.jpg</t>
        </is>
      </c>
      <c r="K4540" t="inlineStr">
        <is>
          <t>T_TAHARI_6033851_DBZ_3.jpg</t>
        </is>
      </c>
      <c r="L4540">
        <f>IMAGE("file:///E:/Estudios%20y%20certificaciones/ESTUDIOS%20DE%20PROGRAMMING/PROGRAMMING/PERSONAL/PYTHON/Image_Generator_API/imagenes/T_TAHARI_6033851_DBZ_1.jpg")</f>
        <v/>
      </c>
      <c r="M4540">
        <f>IMAGE("file:///E:/Estudios%20y%20certificaciones/ESTUDIOS%20DE%20PROGRAMMING/PROGRAMMING/PERSONAL/PYTHON/Image_Generator_API/imagenes/T_TAHARI_6033851_DBZ_2.jpg")</f>
        <v/>
      </c>
      <c r="N4540">
        <f>IMAGE("file:///E:/Estudios%20y%20certificaciones/ESTUDIOS%20DE%20PROGRAMMING/PROGRAMMING/PERSONAL/PYTHON/Image_Generator_API/imagenes/T_TAHARI_6033851_DBZ_3.jpg")</f>
        <v/>
      </c>
      <c r="O4540">
        <f>HYPERLINK("imagenes/T_TAHARI_6033851_DBZ_1.jpg","Ver imagen")</f>
        <v/>
      </c>
      <c r="P4540">
        <f>HYPERLINK("imagenes/T_TAHARI_6033851_DBZ_2.jpg","Ver imagen")</f>
        <v/>
      </c>
      <c r="Q4540">
        <f>HYPERLINK("imagenes/T_TAHARI_6033851_DBZ_3.jpg","Ver imagen")</f>
        <v/>
      </c>
    </row>
    <row r="4541">
      <c r="A4541" t="inlineStr">
        <is>
          <t>T TAHARI</t>
        </is>
      </c>
      <c r="B4541" t="inlineStr">
        <is>
          <t>6033851</t>
        </is>
      </c>
      <c r="C4541" t="inlineStr">
        <is>
          <t>RAVEN ZEBRA TOPPER</t>
        </is>
      </c>
      <c r="D4541" t="inlineStr">
        <is>
          <t>DBZ</t>
        </is>
      </c>
      <c r="E4541" t="inlineStr">
        <is>
          <t>(en blanco)</t>
        </is>
      </c>
      <c r="F4541" t="inlineStr">
        <is>
          <t>(en blanco)</t>
        </is>
      </c>
      <c r="G4541" t="inlineStr">
        <is>
          <t>2X</t>
        </is>
      </c>
      <c r="H4541" t="n">
        <v>18</v>
      </c>
      <c r="I4541" t="inlineStr">
        <is>
          <t>T_TAHARI_6033851_DBZ_1.jpg</t>
        </is>
      </c>
      <c r="J4541" t="inlineStr">
        <is>
          <t>T_TAHARI_6033851_DBZ_2.jpg</t>
        </is>
      </c>
      <c r="K4541" t="inlineStr">
        <is>
          <t>T_TAHARI_6033851_DBZ_3.jpg</t>
        </is>
      </c>
      <c r="L4541">
        <f>IMAGE("file:///E:/Estudios%20y%20certificaciones/ESTUDIOS%20DE%20PROGRAMMING/PROGRAMMING/PERSONAL/PYTHON/Image_Generator_API/imagenes/T_TAHARI_6033851_DBZ_1.jpg")</f>
        <v/>
      </c>
      <c r="M4541">
        <f>IMAGE("file:///E:/Estudios%20y%20certificaciones/ESTUDIOS%20DE%20PROGRAMMING/PROGRAMMING/PERSONAL/PYTHON/Image_Generator_API/imagenes/T_TAHARI_6033851_DBZ_2.jpg")</f>
        <v/>
      </c>
      <c r="N4541">
        <f>IMAGE("file:///E:/Estudios%20y%20certificaciones/ESTUDIOS%20DE%20PROGRAMMING/PROGRAMMING/PERSONAL/PYTHON/Image_Generator_API/imagenes/T_TAHARI_6033851_DBZ_3.jpg")</f>
        <v/>
      </c>
      <c r="O4541">
        <f>HYPERLINK("imagenes/T_TAHARI_6033851_DBZ_1.jpg","Ver imagen")</f>
        <v/>
      </c>
      <c r="P4541">
        <f>HYPERLINK("imagenes/T_TAHARI_6033851_DBZ_2.jpg","Ver imagen")</f>
        <v/>
      </c>
      <c r="Q4541">
        <f>HYPERLINK("imagenes/T_TAHARI_6033851_DBZ_3.jpg","Ver imagen")</f>
        <v/>
      </c>
    </row>
    <row r="4542">
      <c r="A4542" t="inlineStr">
        <is>
          <t>T TAHARI</t>
        </is>
      </c>
      <c r="B4542" t="inlineStr">
        <is>
          <t>6033851</t>
        </is>
      </c>
      <c r="C4542" t="inlineStr">
        <is>
          <t>RAVEN ZEBRA TOPPER</t>
        </is>
      </c>
      <c r="D4542" t="inlineStr">
        <is>
          <t>DBZ</t>
        </is>
      </c>
      <c r="E4542" t="inlineStr">
        <is>
          <t>(en blanco)</t>
        </is>
      </c>
      <c r="F4542" t="inlineStr">
        <is>
          <t>(en blanco)</t>
        </is>
      </c>
      <c r="G4542" t="inlineStr">
        <is>
          <t>3X</t>
        </is>
      </c>
      <c r="H4542" t="n">
        <v>12</v>
      </c>
      <c r="I4542" t="inlineStr">
        <is>
          <t>T_TAHARI_6033851_DBZ_1.jpg</t>
        </is>
      </c>
      <c r="J4542" t="inlineStr">
        <is>
          <t>T_TAHARI_6033851_DBZ_2.jpg</t>
        </is>
      </c>
      <c r="K4542" t="inlineStr">
        <is>
          <t>T_TAHARI_6033851_DBZ_3.jpg</t>
        </is>
      </c>
      <c r="L4542">
        <f>IMAGE("file:///E:/Estudios%20y%20certificaciones/ESTUDIOS%20DE%20PROGRAMMING/PROGRAMMING/PERSONAL/PYTHON/Image_Generator_API/imagenes/T_TAHARI_6033851_DBZ_1.jpg")</f>
        <v/>
      </c>
      <c r="M4542">
        <f>IMAGE("file:///E:/Estudios%20y%20certificaciones/ESTUDIOS%20DE%20PROGRAMMING/PROGRAMMING/PERSONAL/PYTHON/Image_Generator_API/imagenes/T_TAHARI_6033851_DBZ_2.jpg")</f>
        <v/>
      </c>
      <c r="N4542">
        <f>IMAGE("file:///E:/Estudios%20y%20certificaciones/ESTUDIOS%20DE%20PROGRAMMING/PROGRAMMING/PERSONAL/PYTHON/Image_Generator_API/imagenes/T_TAHARI_6033851_DBZ_3.jpg")</f>
        <v/>
      </c>
      <c r="O4542">
        <f>HYPERLINK("imagenes/T_TAHARI_6033851_DBZ_1.jpg","Ver imagen")</f>
        <v/>
      </c>
      <c r="P4542">
        <f>HYPERLINK("imagenes/T_TAHARI_6033851_DBZ_2.jpg","Ver imagen")</f>
        <v/>
      </c>
      <c r="Q4542">
        <f>HYPERLINK("imagenes/T_TAHARI_6033851_DBZ_3.jpg","Ver imagen")</f>
        <v/>
      </c>
    </row>
    <row r="4543">
      <c r="A4543" t="inlineStr">
        <is>
          <t>T TAHARI</t>
        </is>
      </c>
      <c r="B4543" t="inlineStr">
        <is>
          <t>6033951</t>
        </is>
      </c>
      <c r="C4543" t="inlineStr">
        <is>
          <t>RAVEN LEOPARD TOPPR</t>
        </is>
      </c>
      <c r="D4543" t="inlineStr">
        <is>
          <t>DLE</t>
        </is>
      </c>
      <c r="E4543" t="inlineStr">
        <is>
          <t>(en blanco)</t>
        </is>
      </c>
      <c r="F4543" t="inlineStr">
        <is>
          <t>(en blanco)</t>
        </is>
      </c>
      <c r="G4543" t="inlineStr">
        <is>
          <t>0X</t>
        </is>
      </c>
      <c r="H4543" t="n">
        <v>2</v>
      </c>
      <c r="I4543" t="inlineStr">
        <is>
          <t>T_TAHARI_6033951_DLE_1.jpg</t>
        </is>
      </c>
      <c r="J4543" t="inlineStr">
        <is>
          <t>T_TAHARI_6033951_DLE_2.jpg</t>
        </is>
      </c>
      <c r="K4543" t="inlineStr">
        <is>
          <t>T_TAHARI_6033951_DLE_3.jpg</t>
        </is>
      </c>
      <c r="L4543">
        <f>IMAGE("file:///E:/Estudios%20y%20certificaciones/ESTUDIOS%20DE%20PROGRAMMING/PROGRAMMING/PERSONAL/PYTHON/Image_Generator_API/imagenes/T_TAHARI_6033951_DLE_1.jpg")</f>
        <v/>
      </c>
      <c r="M4543">
        <f>IMAGE("file:///E:/Estudios%20y%20certificaciones/ESTUDIOS%20DE%20PROGRAMMING/PROGRAMMING/PERSONAL/PYTHON/Image_Generator_API/imagenes/T_TAHARI_6033951_DLE_2.jpg")</f>
        <v/>
      </c>
      <c r="N4543">
        <f>IMAGE("file:///E:/Estudios%20y%20certificaciones/ESTUDIOS%20DE%20PROGRAMMING/PROGRAMMING/PERSONAL/PYTHON/Image_Generator_API/imagenes/T_TAHARI_6033951_DLE_3.jpg")</f>
        <v/>
      </c>
      <c r="O4543">
        <f>HYPERLINK("imagenes/T_TAHARI_6033951_DLE_1.jpg","Ver imagen")</f>
        <v/>
      </c>
      <c r="P4543">
        <f>HYPERLINK("imagenes/T_TAHARI_6033951_DLE_2.jpg","Ver imagen")</f>
        <v/>
      </c>
      <c r="Q4543">
        <f>HYPERLINK("imagenes/T_TAHARI_6033951_DLE_3.jpg","Ver imagen")</f>
        <v/>
      </c>
    </row>
    <row r="4544">
      <c r="A4544" t="inlineStr">
        <is>
          <t>T TAHARI</t>
        </is>
      </c>
      <c r="B4544" t="inlineStr">
        <is>
          <t>6033951</t>
        </is>
      </c>
      <c r="C4544" t="inlineStr">
        <is>
          <t>RAVEN LEOPARD TOPPR</t>
        </is>
      </c>
      <c r="D4544" t="inlineStr">
        <is>
          <t>DLE</t>
        </is>
      </c>
      <c r="E4544" t="inlineStr">
        <is>
          <t>(en blanco)</t>
        </is>
      </c>
      <c r="F4544" t="inlineStr">
        <is>
          <t>(en blanco)</t>
        </is>
      </c>
      <c r="G4544" t="inlineStr">
        <is>
          <t>1X</t>
        </is>
      </c>
      <c r="H4544" t="n">
        <v>18</v>
      </c>
      <c r="I4544" t="inlineStr">
        <is>
          <t>T_TAHARI_6033951_DLE_1.jpg</t>
        </is>
      </c>
      <c r="J4544" t="inlineStr">
        <is>
          <t>T_TAHARI_6033951_DLE_2.jpg</t>
        </is>
      </c>
      <c r="K4544" t="inlineStr">
        <is>
          <t>T_TAHARI_6033951_DLE_3.jpg</t>
        </is>
      </c>
      <c r="L4544">
        <f>IMAGE("file:///E:/Estudios%20y%20certificaciones/ESTUDIOS%20DE%20PROGRAMMING/PROGRAMMING/PERSONAL/PYTHON/Image_Generator_API/imagenes/T_TAHARI_6033951_DLE_1.jpg")</f>
        <v/>
      </c>
      <c r="M4544">
        <f>IMAGE("file:///E:/Estudios%20y%20certificaciones/ESTUDIOS%20DE%20PROGRAMMING/PROGRAMMING/PERSONAL/PYTHON/Image_Generator_API/imagenes/T_TAHARI_6033951_DLE_2.jpg")</f>
        <v/>
      </c>
      <c r="N4544">
        <f>IMAGE("file:///E:/Estudios%20y%20certificaciones/ESTUDIOS%20DE%20PROGRAMMING/PROGRAMMING/PERSONAL/PYTHON/Image_Generator_API/imagenes/T_TAHARI_6033951_DLE_3.jpg")</f>
        <v/>
      </c>
      <c r="O4544">
        <f>HYPERLINK("imagenes/T_TAHARI_6033951_DLE_1.jpg","Ver imagen")</f>
        <v/>
      </c>
      <c r="P4544">
        <f>HYPERLINK("imagenes/T_TAHARI_6033951_DLE_2.jpg","Ver imagen")</f>
        <v/>
      </c>
      <c r="Q4544">
        <f>HYPERLINK("imagenes/T_TAHARI_6033951_DLE_3.jpg","Ver imagen")</f>
        <v/>
      </c>
    </row>
    <row r="4545">
      <c r="A4545" t="inlineStr">
        <is>
          <t>T TAHARI</t>
        </is>
      </c>
      <c r="B4545" t="inlineStr">
        <is>
          <t>6033951</t>
        </is>
      </c>
      <c r="C4545" t="inlineStr">
        <is>
          <t>RAVEN LEOPARD TOPPR</t>
        </is>
      </c>
      <c r="D4545" t="inlineStr">
        <is>
          <t>DLE</t>
        </is>
      </c>
      <c r="E4545" t="inlineStr">
        <is>
          <t>(en blanco)</t>
        </is>
      </c>
      <c r="F4545" t="inlineStr">
        <is>
          <t>(en blanco)</t>
        </is>
      </c>
      <c r="G4545" t="inlineStr">
        <is>
          <t>2X</t>
        </is>
      </c>
      <c r="H4545" t="n">
        <v>35</v>
      </c>
      <c r="I4545" t="inlineStr">
        <is>
          <t>T_TAHARI_6033951_DLE_1.jpg</t>
        </is>
      </c>
      <c r="J4545" t="inlineStr">
        <is>
          <t>T_TAHARI_6033951_DLE_2.jpg</t>
        </is>
      </c>
      <c r="K4545" t="inlineStr">
        <is>
          <t>T_TAHARI_6033951_DLE_3.jpg</t>
        </is>
      </c>
      <c r="L4545">
        <f>IMAGE("file:///E:/Estudios%20y%20certificaciones/ESTUDIOS%20DE%20PROGRAMMING/PROGRAMMING/PERSONAL/PYTHON/Image_Generator_API/imagenes/T_TAHARI_6033951_DLE_1.jpg")</f>
        <v/>
      </c>
      <c r="M4545">
        <f>IMAGE("file:///E:/Estudios%20y%20certificaciones/ESTUDIOS%20DE%20PROGRAMMING/PROGRAMMING/PERSONAL/PYTHON/Image_Generator_API/imagenes/T_TAHARI_6033951_DLE_2.jpg")</f>
        <v/>
      </c>
      <c r="N4545">
        <f>IMAGE("file:///E:/Estudios%20y%20certificaciones/ESTUDIOS%20DE%20PROGRAMMING/PROGRAMMING/PERSONAL/PYTHON/Image_Generator_API/imagenes/T_TAHARI_6033951_DLE_3.jpg")</f>
        <v/>
      </c>
      <c r="O4545">
        <f>HYPERLINK("imagenes/T_TAHARI_6033951_DLE_1.jpg","Ver imagen")</f>
        <v/>
      </c>
      <c r="P4545">
        <f>HYPERLINK("imagenes/T_TAHARI_6033951_DLE_2.jpg","Ver imagen")</f>
        <v/>
      </c>
      <c r="Q4545">
        <f>HYPERLINK("imagenes/T_TAHARI_6033951_DLE_3.jpg","Ver imagen")</f>
        <v/>
      </c>
    </row>
    <row r="4546">
      <c r="A4546" t="inlineStr">
        <is>
          <t>T TAHARI</t>
        </is>
      </c>
      <c r="B4546" t="inlineStr">
        <is>
          <t>6033951</t>
        </is>
      </c>
      <c r="C4546" t="inlineStr">
        <is>
          <t>RAVEN LEOPARD TOPPR</t>
        </is>
      </c>
      <c r="D4546" t="inlineStr">
        <is>
          <t>DLE</t>
        </is>
      </c>
      <c r="E4546" t="inlineStr">
        <is>
          <t>(en blanco)</t>
        </is>
      </c>
      <c r="F4546" t="inlineStr">
        <is>
          <t>(en blanco)</t>
        </is>
      </c>
      <c r="G4546" t="inlineStr">
        <is>
          <t>3X</t>
        </is>
      </c>
      <c r="H4546" t="n">
        <v>7</v>
      </c>
      <c r="I4546" t="inlineStr">
        <is>
          <t>T_TAHARI_6033951_DLE_1.jpg</t>
        </is>
      </c>
      <c r="J4546" t="inlineStr">
        <is>
          <t>T_TAHARI_6033951_DLE_2.jpg</t>
        </is>
      </c>
      <c r="K4546" t="inlineStr">
        <is>
          <t>T_TAHARI_6033951_DLE_3.jpg</t>
        </is>
      </c>
      <c r="L4546">
        <f>IMAGE("file:///E:/Estudios%20y%20certificaciones/ESTUDIOS%20DE%20PROGRAMMING/PROGRAMMING/PERSONAL/PYTHON/Image_Generator_API/imagenes/T_TAHARI_6033951_DLE_1.jpg")</f>
        <v/>
      </c>
      <c r="M4546">
        <f>IMAGE("file:///E:/Estudios%20y%20certificaciones/ESTUDIOS%20DE%20PROGRAMMING/PROGRAMMING/PERSONAL/PYTHON/Image_Generator_API/imagenes/T_TAHARI_6033951_DLE_2.jpg")</f>
        <v/>
      </c>
      <c r="N4546">
        <f>IMAGE("file:///E:/Estudios%20y%20certificaciones/ESTUDIOS%20DE%20PROGRAMMING/PROGRAMMING/PERSONAL/PYTHON/Image_Generator_API/imagenes/T_TAHARI_6033951_DLE_3.jpg")</f>
        <v/>
      </c>
      <c r="O4546">
        <f>HYPERLINK("imagenes/T_TAHARI_6033951_DLE_1.jpg","Ver imagen")</f>
        <v/>
      </c>
      <c r="P4546">
        <f>HYPERLINK("imagenes/T_TAHARI_6033951_DLE_2.jpg","Ver imagen")</f>
        <v/>
      </c>
      <c r="Q4546">
        <f>HYPERLINK("imagenes/T_TAHARI_6033951_DLE_3.jpg","Ver imagen")</f>
        <v/>
      </c>
    </row>
    <row r="4547">
      <c r="A4547" t="inlineStr">
        <is>
          <t>T TAHARI</t>
        </is>
      </c>
      <c r="B4547" t="inlineStr">
        <is>
          <t>6034880</t>
        </is>
      </c>
      <c r="C4547" t="inlineStr">
        <is>
          <t>LONDON WRAP COAT</t>
        </is>
      </c>
      <c r="D4547" t="inlineStr">
        <is>
          <t>B3G</t>
        </is>
      </c>
      <c r="E4547" t="inlineStr">
        <is>
          <t>(en blanco)</t>
        </is>
      </c>
      <c r="F4547" t="inlineStr">
        <is>
          <t>(en blanco)</t>
        </is>
      </c>
      <c r="G4547" t="inlineStr">
        <is>
          <t>2X</t>
        </is>
      </c>
      <c r="H4547" t="n">
        <v>1</v>
      </c>
      <c r="I4547" t="inlineStr">
        <is>
          <t>T_TAHARI_6034880_B3G_1.jpg</t>
        </is>
      </c>
      <c r="J4547" t="inlineStr">
        <is>
          <t>T_TAHARI_6034880_B3G_2.jpg</t>
        </is>
      </c>
      <c r="K4547" t="inlineStr">
        <is>
          <t>T_TAHARI_6034880_B3G_3.jpg</t>
        </is>
      </c>
      <c r="L4547">
        <f>IMAGE("file:///E:/Estudios%20y%20certificaciones/ESTUDIOS%20DE%20PROGRAMMING/PROGRAMMING/PERSONAL/PYTHON/Image_Generator_API/imagenes/T_TAHARI_6034880_B3G_1.jpg")</f>
        <v/>
      </c>
      <c r="M4547">
        <f>IMAGE("file:///E:/Estudios%20y%20certificaciones/ESTUDIOS%20DE%20PROGRAMMING/PROGRAMMING/PERSONAL/PYTHON/Image_Generator_API/imagenes/T_TAHARI_6034880_B3G_2.jpg")</f>
        <v/>
      </c>
      <c r="N4547">
        <f>IMAGE("file:///E:/Estudios%20y%20certificaciones/ESTUDIOS%20DE%20PROGRAMMING/PROGRAMMING/PERSONAL/PYTHON/Image_Generator_API/imagenes/T_TAHARI_6034880_B3G_3.jpg")</f>
        <v/>
      </c>
      <c r="O4547">
        <f>HYPERLINK("imagenes/T_TAHARI_6034880_B3G_1.jpg","Ver imagen")</f>
        <v/>
      </c>
      <c r="P4547">
        <f>HYPERLINK("imagenes/T_TAHARI_6034880_B3G_2.jpg","Ver imagen")</f>
        <v/>
      </c>
      <c r="Q4547">
        <f>HYPERLINK("imagenes/T_TAHARI_6034880_B3G_3.jpg","Ver imagen")</f>
        <v/>
      </c>
    </row>
    <row r="4548">
      <c r="A4548" t="inlineStr">
        <is>
          <t>T TAHARI</t>
        </is>
      </c>
      <c r="B4548" t="inlineStr">
        <is>
          <t>6210685</t>
        </is>
      </c>
      <c r="C4548" t="inlineStr">
        <is>
          <t>JULIETTE DF PETITE</t>
        </is>
      </c>
      <c r="D4548" t="inlineStr">
        <is>
          <t>OLI</t>
        </is>
      </c>
      <c r="E4548" t="inlineStr">
        <is>
          <t>(en blanco)</t>
        </is>
      </c>
      <c r="F4548" t="inlineStr">
        <is>
          <t>(en blanco)</t>
        </is>
      </c>
      <c r="G4548" t="inlineStr">
        <is>
          <t>2XP</t>
        </is>
      </c>
      <c r="H4548" t="n">
        <v>1</v>
      </c>
      <c r="I4548" t="inlineStr">
        <is>
          <t>T_TAHARI_6210685_OLI_1.jpg</t>
        </is>
      </c>
      <c r="J4548" t="inlineStr">
        <is>
          <t>T_TAHARI_6210685_OLI_2.jpg</t>
        </is>
      </c>
      <c r="K4548" t="inlineStr">
        <is>
          <t>T_TAHARI_6210685_OLI_3.jpg</t>
        </is>
      </c>
      <c r="L4548">
        <f>IMAGE("file:///E:/Estudios%20y%20certificaciones/ESTUDIOS%20DE%20PROGRAMMING/PROGRAMMING/PERSONAL/PYTHON/Image_Generator_API/imagenes/T_TAHARI_6210685_OLI_1.jpg")</f>
        <v/>
      </c>
      <c r="M4548">
        <f>IMAGE("file:///E:/Estudios%20y%20certificaciones/ESTUDIOS%20DE%20PROGRAMMING/PROGRAMMING/PERSONAL/PYTHON/Image_Generator_API/imagenes/T_TAHARI_6210685_OLI_2.jpg")</f>
        <v/>
      </c>
      <c r="N4548">
        <f>IMAGE("file:///E:/Estudios%20y%20certificaciones/ESTUDIOS%20DE%20PROGRAMMING/PROGRAMMING/PERSONAL/PYTHON/Image_Generator_API/imagenes/T_TAHARI_6210685_OLI_3.jpg")</f>
        <v/>
      </c>
      <c r="O4548">
        <f>HYPERLINK("imagenes/T_TAHARI_6210685_OLI_1.jpg","Ver imagen")</f>
        <v/>
      </c>
      <c r="P4548">
        <f>HYPERLINK("imagenes/T_TAHARI_6210685_OLI_2.jpg","Ver imagen")</f>
        <v/>
      </c>
      <c r="Q4548">
        <f>HYPERLINK("imagenes/T_TAHARI_6210685_OLI_3.jpg","Ver imagen")</f>
        <v/>
      </c>
    </row>
    <row r="4549">
      <c r="A4549" t="inlineStr">
        <is>
          <t>T TAHARI</t>
        </is>
      </c>
      <c r="B4549" t="inlineStr">
        <is>
          <t>6218508</t>
        </is>
      </c>
      <c r="C4549" t="inlineStr">
        <is>
          <t>LIV PETITE</t>
        </is>
      </c>
      <c r="D4549" t="inlineStr">
        <is>
          <t>BLK</t>
        </is>
      </c>
      <c r="E4549" t="inlineStr">
        <is>
          <t>(en blanco)</t>
        </is>
      </c>
      <c r="F4549" t="inlineStr">
        <is>
          <t>(en blanco)</t>
        </is>
      </c>
      <c r="G4549" t="inlineStr">
        <is>
          <t>2XP</t>
        </is>
      </c>
      <c r="H4549" t="n">
        <v>4</v>
      </c>
      <c r="I4549" t="inlineStr">
        <is>
          <t>T_TAHARI_6218508_BLK_1.jpg</t>
        </is>
      </c>
      <c r="J4549" t="inlineStr">
        <is>
          <t>T_TAHARI_6218508_BLK_2.jpg</t>
        </is>
      </c>
      <c r="K4549" t="inlineStr">
        <is>
          <t>T_TAHARI_6218508_BLK_3.jpg</t>
        </is>
      </c>
      <c r="L4549">
        <f>IMAGE("file:///E:/Estudios%20y%20certificaciones/ESTUDIOS%20DE%20PROGRAMMING/PROGRAMMING/PERSONAL/PYTHON/Image_Generator_API/imagenes/T_TAHARI_6218508_BLK_1.jpg")</f>
        <v/>
      </c>
      <c r="M4549">
        <f>IMAGE("file:///E:/Estudios%20y%20certificaciones/ESTUDIOS%20DE%20PROGRAMMING/PROGRAMMING/PERSONAL/PYTHON/Image_Generator_API/imagenes/T_TAHARI_6218508_BLK_2.jpg")</f>
        <v/>
      </c>
      <c r="N4549">
        <f>IMAGE("file:///E:/Estudios%20y%20certificaciones/ESTUDIOS%20DE%20PROGRAMMING/PROGRAMMING/PERSONAL/PYTHON/Image_Generator_API/imagenes/T_TAHARI_6218508_BLK_3.jpg")</f>
        <v/>
      </c>
      <c r="O4549">
        <f>HYPERLINK("imagenes/T_TAHARI_6218508_BLK_1.jpg","Ver imagen")</f>
        <v/>
      </c>
      <c r="P4549">
        <f>HYPERLINK("imagenes/T_TAHARI_6218508_BLK_2.jpg","Ver imagen")</f>
        <v/>
      </c>
      <c r="Q4549">
        <f>HYPERLINK("imagenes/T_TAHARI_6218508_BLK_3.jpg","Ver imagen")</f>
        <v/>
      </c>
    </row>
    <row r="4550">
      <c r="A4550" t="inlineStr">
        <is>
          <t>T TAHARI</t>
        </is>
      </c>
      <c r="B4550" t="inlineStr">
        <is>
          <t>6218508</t>
        </is>
      </c>
      <c r="C4550" t="inlineStr">
        <is>
          <t>LIV PETITE</t>
        </is>
      </c>
      <c r="D4550" t="inlineStr">
        <is>
          <t>BLK</t>
        </is>
      </c>
      <c r="E4550" t="inlineStr">
        <is>
          <t>(en blanco)</t>
        </is>
      </c>
      <c r="F4550" t="inlineStr">
        <is>
          <t>(en blanco)</t>
        </is>
      </c>
      <c r="G4550" t="inlineStr">
        <is>
          <t>LP</t>
        </is>
      </c>
      <c r="H4550" t="n">
        <v>4</v>
      </c>
      <c r="I4550" t="inlineStr">
        <is>
          <t>T_TAHARI_6218508_BLK_1.jpg</t>
        </is>
      </c>
      <c r="J4550" t="inlineStr">
        <is>
          <t>T_TAHARI_6218508_BLK_2.jpg</t>
        </is>
      </c>
      <c r="K4550" t="inlineStr">
        <is>
          <t>T_TAHARI_6218508_BLK_3.jpg</t>
        </is>
      </c>
      <c r="L4550">
        <f>IMAGE("file:///E:/Estudios%20y%20certificaciones/ESTUDIOS%20DE%20PROGRAMMING/PROGRAMMING/PERSONAL/PYTHON/Image_Generator_API/imagenes/T_TAHARI_6218508_BLK_1.jpg")</f>
        <v/>
      </c>
      <c r="M4550">
        <f>IMAGE("file:///E:/Estudios%20y%20certificaciones/ESTUDIOS%20DE%20PROGRAMMING/PROGRAMMING/PERSONAL/PYTHON/Image_Generator_API/imagenes/T_TAHARI_6218508_BLK_2.jpg")</f>
        <v/>
      </c>
      <c r="N4550">
        <f>IMAGE("file:///E:/Estudios%20y%20certificaciones/ESTUDIOS%20DE%20PROGRAMMING/PROGRAMMING/PERSONAL/PYTHON/Image_Generator_API/imagenes/T_TAHARI_6218508_BLK_3.jpg")</f>
        <v/>
      </c>
      <c r="O4550">
        <f>HYPERLINK("imagenes/T_TAHARI_6218508_BLK_1.jpg","Ver imagen")</f>
        <v/>
      </c>
      <c r="P4550">
        <f>HYPERLINK("imagenes/T_TAHARI_6218508_BLK_2.jpg","Ver imagen")</f>
        <v/>
      </c>
      <c r="Q4550">
        <f>HYPERLINK("imagenes/T_TAHARI_6218508_BLK_3.jpg","Ver imagen")</f>
        <v/>
      </c>
    </row>
    <row r="4551">
      <c r="A4551" t="inlineStr">
        <is>
          <t>T TAHARI</t>
        </is>
      </c>
      <c r="B4551" t="inlineStr">
        <is>
          <t>6218508</t>
        </is>
      </c>
      <c r="C4551" t="inlineStr">
        <is>
          <t>LIV PETITE</t>
        </is>
      </c>
      <c r="D4551" t="inlineStr">
        <is>
          <t>BLK</t>
        </is>
      </c>
      <c r="E4551" t="inlineStr">
        <is>
          <t>(en blanco)</t>
        </is>
      </c>
      <c r="F4551" t="inlineStr">
        <is>
          <t>(en blanco)</t>
        </is>
      </c>
      <c r="G4551" t="inlineStr">
        <is>
          <t>MP</t>
        </is>
      </c>
      <c r="H4551" t="n">
        <v>3</v>
      </c>
      <c r="I4551" t="inlineStr">
        <is>
          <t>T_TAHARI_6218508_BLK_1.jpg</t>
        </is>
      </c>
      <c r="J4551" t="inlineStr">
        <is>
          <t>T_TAHARI_6218508_BLK_2.jpg</t>
        </is>
      </c>
      <c r="K4551" t="inlineStr">
        <is>
          <t>T_TAHARI_6218508_BLK_3.jpg</t>
        </is>
      </c>
      <c r="L4551">
        <f>IMAGE("file:///E:/Estudios%20y%20certificaciones/ESTUDIOS%20DE%20PROGRAMMING/PROGRAMMING/PERSONAL/PYTHON/Image_Generator_API/imagenes/T_TAHARI_6218508_BLK_1.jpg")</f>
        <v/>
      </c>
      <c r="M4551">
        <f>IMAGE("file:///E:/Estudios%20y%20certificaciones/ESTUDIOS%20DE%20PROGRAMMING/PROGRAMMING/PERSONAL/PYTHON/Image_Generator_API/imagenes/T_TAHARI_6218508_BLK_2.jpg")</f>
        <v/>
      </c>
      <c r="N4551">
        <f>IMAGE("file:///E:/Estudios%20y%20certificaciones/ESTUDIOS%20DE%20PROGRAMMING/PROGRAMMING/PERSONAL/PYTHON/Image_Generator_API/imagenes/T_TAHARI_6218508_BLK_3.jpg")</f>
        <v/>
      </c>
      <c r="O4551">
        <f>HYPERLINK("imagenes/T_TAHARI_6218508_BLK_1.jpg","Ver imagen")</f>
        <v/>
      </c>
      <c r="P4551">
        <f>HYPERLINK("imagenes/T_TAHARI_6218508_BLK_2.jpg","Ver imagen")</f>
        <v/>
      </c>
      <c r="Q4551">
        <f>HYPERLINK("imagenes/T_TAHARI_6218508_BLK_3.jpg","Ver imagen")</f>
        <v/>
      </c>
    </row>
    <row r="4552">
      <c r="A4552" t="inlineStr">
        <is>
          <t>T TAHARI</t>
        </is>
      </c>
      <c r="B4552" t="inlineStr">
        <is>
          <t>6218508</t>
        </is>
      </c>
      <c r="C4552" t="inlineStr">
        <is>
          <t>LIV PETITE</t>
        </is>
      </c>
      <c r="D4552" t="inlineStr">
        <is>
          <t>BLK</t>
        </is>
      </c>
      <c r="E4552" t="inlineStr">
        <is>
          <t>(en blanco)</t>
        </is>
      </c>
      <c r="F4552" t="inlineStr">
        <is>
          <t>(en blanco)</t>
        </is>
      </c>
      <c r="G4552" t="inlineStr">
        <is>
          <t>SP</t>
        </is>
      </c>
      <c r="H4552" t="n">
        <v>12</v>
      </c>
      <c r="I4552" t="inlineStr">
        <is>
          <t>T_TAHARI_6218508_BLK_1.jpg</t>
        </is>
      </c>
      <c r="J4552" t="inlineStr">
        <is>
          <t>T_TAHARI_6218508_BLK_2.jpg</t>
        </is>
      </c>
      <c r="K4552" t="inlineStr">
        <is>
          <t>T_TAHARI_6218508_BLK_3.jpg</t>
        </is>
      </c>
      <c r="L4552">
        <f>IMAGE("file:///E:/Estudios%20y%20certificaciones/ESTUDIOS%20DE%20PROGRAMMING/PROGRAMMING/PERSONAL/PYTHON/Image_Generator_API/imagenes/T_TAHARI_6218508_BLK_1.jpg")</f>
        <v/>
      </c>
      <c r="M4552">
        <f>IMAGE("file:///E:/Estudios%20y%20certificaciones/ESTUDIOS%20DE%20PROGRAMMING/PROGRAMMING/PERSONAL/PYTHON/Image_Generator_API/imagenes/T_TAHARI_6218508_BLK_2.jpg")</f>
        <v/>
      </c>
      <c r="N4552">
        <f>IMAGE("file:///E:/Estudios%20y%20certificaciones/ESTUDIOS%20DE%20PROGRAMMING/PROGRAMMING/PERSONAL/PYTHON/Image_Generator_API/imagenes/T_TAHARI_6218508_BLK_3.jpg")</f>
        <v/>
      </c>
      <c r="O4552">
        <f>HYPERLINK("imagenes/T_TAHARI_6218508_BLK_1.jpg","Ver imagen")</f>
        <v/>
      </c>
      <c r="P4552">
        <f>HYPERLINK("imagenes/T_TAHARI_6218508_BLK_2.jpg","Ver imagen")</f>
        <v/>
      </c>
      <c r="Q4552">
        <f>HYPERLINK("imagenes/T_TAHARI_6218508_BLK_3.jpg","Ver imagen")</f>
        <v/>
      </c>
    </row>
    <row r="4553">
      <c r="A4553" t="inlineStr">
        <is>
          <t>T TAHARI</t>
        </is>
      </c>
      <c r="B4553" t="inlineStr">
        <is>
          <t>6218508</t>
        </is>
      </c>
      <c r="C4553" t="inlineStr">
        <is>
          <t>LIV PETITE</t>
        </is>
      </c>
      <c r="D4553" t="inlineStr">
        <is>
          <t>BLK</t>
        </is>
      </c>
      <c r="E4553" t="inlineStr">
        <is>
          <t>(en blanco)</t>
        </is>
      </c>
      <c r="F4553" t="inlineStr">
        <is>
          <t>(en blanco)</t>
        </is>
      </c>
      <c r="G4553" t="inlineStr">
        <is>
          <t>XLP</t>
        </is>
      </c>
      <c r="H4553" t="n">
        <v>3</v>
      </c>
      <c r="I4553" t="inlineStr">
        <is>
          <t>T_TAHARI_6218508_BLK_1.jpg</t>
        </is>
      </c>
      <c r="J4553" t="inlineStr">
        <is>
          <t>T_TAHARI_6218508_BLK_2.jpg</t>
        </is>
      </c>
      <c r="K4553" t="inlineStr">
        <is>
          <t>T_TAHARI_6218508_BLK_3.jpg</t>
        </is>
      </c>
      <c r="L4553">
        <f>IMAGE("file:///E:/Estudios%20y%20certificaciones/ESTUDIOS%20DE%20PROGRAMMING/PROGRAMMING/PERSONAL/PYTHON/Image_Generator_API/imagenes/T_TAHARI_6218508_BLK_1.jpg")</f>
        <v/>
      </c>
      <c r="M4553">
        <f>IMAGE("file:///E:/Estudios%20y%20certificaciones/ESTUDIOS%20DE%20PROGRAMMING/PROGRAMMING/PERSONAL/PYTHON/Image_Generator_API/imagenes/T_TAHARI_6218508_BLK_2.jpg")</f>
        <v/>
      </c>
      <c r="N4553">
        <f>IMAGE("file:///E:/Estudios%20y%20certificaciones/ESTUDIOS%20DE%20PROGRAMMING/PROGRAMMING/PERSONAL/PYTHON/Image_Generator_API/imagenes/T_TAHARI_6218508_BLK_3.jpg")</f>
        <v/>
      </c>
      <c r="O4553">
        <f>HYPERLINK("imagenes/T_TAHARI_6218508_BLK_1.jpg","Ver imagen")</f>
        <v/>
      </c>
      <c r="P4553">
        <f>HYPERLINK("imagenes/T_TAHARI_6218508_BLK_2.jpg","Ver imagen")</f>
        <v/>
      </c>
      <c r="Q4553">
        <f>HYPERLINK("imagenes/T_TAHARI_6218508_BLK_3.jpg","Ver imagen")</f>
        <v/>
      </c>
    </row>
    <row r="4554">
      <c r="A4554" t="inlineStr">
        <is>
          <t>T TAHARI</t>
        </is>
      </c>
      <c r="B4554" t="inlineStr">
        <is>
          <t>6218508</t>
        </is>
      </c>
      <c r="C4554" t="inlineStr">
        <is>
          <t>LIV PETITE</t>
        </is>
      </c>
      <c r="D4554" t="inlineStr">
        <is>
          <t>BLK</t>
        </is>
      </c>
      <c r="E4554" t="inlineStr">
        <is>
          <t>(en blanco)</t>
        </is>
      </c>
      <c r="F4554" t="inlineStr">
        <is>
          <t>(en blanco)</t>
        </is>
      </c>
      <c r="G4554" t="inlineStr">
        <is>
          <t>XSP</t>
        </is>
      </c>
      <c r="H4554" t="n">
        <v>8</v>
      </c>
      <c r="I4554" t="inlineStr">
        <is>
          <t>T_TAHARI_6218508_BLK_1.jpg</t>
        </is>
      </c>
      <c r="J4554" t="inlineStr">
        <is>
          <t>T_TAHARI_6218508_BLK_2.jpg</t>
        </is>
      </c>
      <c r="K4554" t="inlineStr">
        <is>
          <t>T_TAHARI_6218508_BLK_3.jpg</t>
        </is>
      </c>
      <c r="L4554">
        <f>IMAGE("file:///E:/Estudios%20y%20certificaciones/ESTUDIOS%20DE%20PROGRAMMING/PROGRAMMING/PERSONAL/PYTHON/Image_Generator_API/imagenes/T_TAHARI_6218508_BLK_1.jpg")</f>
        <v/>
      </c>
      <c r="M4554">
        <f>IMAGE("file:///E:/Estudios%20y%20certificaciones/ESTUDIOS%20DE%20PROGRAMMING/PROGRAMMING/PERSONAL/PYTHON/Image_Generator_API/imagenes/T_TAHARI_6218508_BLK_2.jpg")</f>
        <v/>
      </c>
      <c r="N4554">
        <f>IMAGE("file:///E:/Estudios%20y%20certificaciones/ESTUDIOS%20DE%20PROGRAMMING/PROGRAMMING/PERSONAL/PYTHON/Image_Generator_API/imagenes/T_TAHARI_6218508_BLK_3.jpg")</f>
        <v/>
      </c>
      <c r="O4554">
        <f>HYPERLINK("imagenes/T_TAHARI_6218508_BLK_1.jpg","Ver imagen")</f>
        <v/>
      </c>
      <c r="P4554">
        <f>HYPERLINK("imagenes/T_TAHARI_6218508_BLK_2.jpg","Ver imagen")</f>
        <v/>
      </c>
      <c r="Q4554">
        <f>HYPERLINK("imagenes/T_TAHARI_6218508_BLK_3.jpg","Ver imagen")</f>
        <v/>
      </c>
    </row>
    <row r="4555">
      <c r="A4555" t="inlineStr">
        <is>
          <t>T TAHARI</t>
        </is>
      </c>
      <c r="B4555" t="inlineStr">
        <is>
          <t>6218508</t>
        </is>
      </c>
      <c r="C4555" t="inlineStr">
        <is>
          <t>LIV PETITE</t>
        </is>
      </c>
      <c r="D4555" t="inlineStr">
        <is>
          <t>CHO</t>
        </is>
      </c>
      <c r="E4555" t="inlineStr">
        <is>
          <t>(en blanco)</t>
        </is>
      </c>
      <c r="F4555" t="inlineStr">
        <is>
          <t>(en blanco)</t>
        </is>
      </c>
      <c r="G4555" t="inlineStr">
        <is>
          <t>2XP</t>
        </is>
      </c>
      <c r="H4555" t="n">
        <v>6</v>
      </c>
      <c r="I4555" t="inlineStr">
        <is>
          <t>T_TAHARI_6218508_CHO_1.jpg</t>
        </is>
      </c>
      <c r="J4555" t="inlineStr">
        <is>
          <t>T_TAHARI_6218508_CHO_2.jpg</t>
        </is>
      </c>
      <c r="K4555" t="inlineStr">
        <is>
          <t>T_TAHARI_6218508_CHO_3.jpg</t>
        </is>
      </c>
      <c r="L4555">
        <f>IMAGE("file:///E:/Estudios%20y%20certificaciones/ESTUDIOS%20DE%20PROGRAMMING/PROGRAMMING/PERSONAL/PYTHON/Image_Generator_API/imagenes/T_TAHARI_6218508_CHO_1.jpg")</f>
        <v/>
      </c>
      <c r="M4555">
        <f>IMAGE("file:///E:/Estudios%20y%20certificaciones/ESTUDIOS%20DE%20PROGRAMMING/PROGRAMMING/PERSONAL/PYTHON/Image_Generator_API/imagenes/T_TAHARI_6218508_CHO_2.jpg")</f>
        <v/>
      </c>
      <c r="N4555">
        <f>IMAGE("file:///E:/Estudios%20y%20certificaciones/ESTUDIOS%20DE%20PROGRAMMING/PROGRAMMING/PERSONAL/PYTHON/Image_Generator_API/imagenes/T_TAHARI_6218508_CHO_3.jpg")</f>
        <v/>
      </c>
      <c r="O4555">
        <f>HYPERLINK("imagenes/T_TAHARI_6218508_CHO_1.jpg","Ver imagen")</f>
        <v/>
      </c>
      <c r="P4555">
        <f>HYPERLINK("imagenes/T_TAHARI_6218508_CHO_2.jpg","Ver imagen")</f>
        <v/>
      </c>
      <c r="Q4555">
        <f>HYPERLINK("imagenes/T_TAHARI_6218508_CHO_3.jpg","Ver imagen")</f>
        <v/>
      </c>
    </row>
    <row r="4556">
      <c r="A4556" t="inlineStr">
        <is>
          <t>T TAHARI</t>
        </is>
      </c>
      <c r="B4556" t="inlineStr">
        <is>
          <t>6218508</t>
        </is>
      </c>
      <c r="C4556" t="inlineStr">
        <is>
          <t>LIV PETITE</t>
        </is>
      </c>
      <c r="D4556" t="inlineStr">
        <is>
          <t>CHO</t>
        </is>
      </c>
      <c r="E4556" t="inlineStr">
        <is>
          <t>(en blanco)</t>
        </is>
      </c>
      <c r="F4556" t="inlineStr">
        <is>
          <t>(en blanco)</t>
        </is>
      </c>
      <c r="G4556" t="inlineStr">
        <is>
          <t>LP</t>
        </is>
      </c>
      <c r="H4556" t="n">
        <v>8</v>
      </c>
      <c r="I4556" t="inlineStr">
        <is>
          <t>T_TAHARI_6218508_CHO_1.jpg</t>
        </is>
      </c>
      <c r="J4556" t="inlineStr">
        <is>
          <t>T_TAHARI_6218508_CHO_2.jpg</t>
        </is>
      </c>
      <c r="K4556" t="inlineStr">
        <is>
          <t>T_TAHARI_6218508_CHO_3.jpg</t>
        </is>
      </c>
      <c r="L4556">
        <f>IMAGE("file:///E:/Estudios%20y%20certificaciones/ESTUDIOS%20DE%20PROGRAMMING/PROGRAMMING/PERSONAL/PYTHON/Image_Generator_API/imagenes/T_TAHARI_6218508_CHO_1.jpg")</f>
        <v/>
      </c>
      <c r="M4556">
        <f>IMAGE("file:///E:/Estudios%20y%20certificaciones/ESTUDIOS%20DE%20PROGRAMMING/PROGRAMMING/PERSONAL/PYTHON/Image_Generator_API/imagenes/T_TAHARI_6218508_CHO_2.jpg")</f>
        <v/>
      </c>
      <c r="N4556">
        <f>IMAGE("file:///E:/Estudios%20y%20certificaciones/ESTUDIOS%20DE%20PROGRAMMING/PROGRAMMING/PERSONAL/PYTHON/Image_Generator_API/imagenes/T_TAHARI_6218508_CHO_3.jpg")</f>
        <v/>
      </c>
      <c r="O4556">
        <f>HYPERLINK("imagenes/T_TAHARI_6218508_CHO_1.jpg","Ver imagen")</f>
        <v/>
      </c>
      <c r="P4556">
        <f>HYPERLINK("imagenes/T_TAHARI_6218508_CHO_2.jpg","Ver imagen")</f>
        <v/>
      </c>
      <c r="Q4556">
        <f>HYPERLINK("imagenes/T_TAHARI_6218508_CHO_3.jpg","Ver imagen")</f>
        <v/>
      </c>
    </row>
    <row r="4557">
      <c r="A4557" t="inlineStr">
        <is>
          <t>T TAHARI</t>
        </is>
      </c>
      <c r="B4557" t="inlineStr">
        <is>
          <t>6218508</t>
        </is>
      </c>
      <c r="C4557" t="inlineStr">
        <is>
          <t>LIV PETITE</t>
        </is>
      </c>
      <c r="D4557" t="inlineStr">
        <is>
          <t>CHO</t>
        </is>
      </c>
      <c r="E4557" t="inlineStr">
        <is>
          <t>(en blanco)</t>
        </is>
      </c>
      <c r="F4557" t="inlineStr">
        <is>
          <t>(en blanco)</t>
        </is>
      </c>
      <c r="G4557" t="inlineStr">
        <is>
          <t>MP</t>
        </is>
      </c>
      <c r="H4557" t="n">
        <v>13</v>
      </c>
      <c r="I4557" t="inlineStr">
        <is>
          <t>T_TAHARI_6218508_CHO_1.jpg</t>
        </is>
      </c>
      <c r="J4557" t="inlineStr">
        <is>
          <t>T_TAHARI_6218508_CHO_2.jpg</t>
        </is>
      </c>
      <c r="K4557" t="inlineStr">
        <is>
          <t>T_TAHARI_6218508_CHO_3.jpg</t>
        </is>
      </c>
      <c r="L4557">
        <f>IMAGE("file:///E:/Estudios%20y%20certificaciones/ESTUDIOS%20DE%20PROGRAMMING/PROGRAMMING/PERSONAL/PYTHON/Image_Generator_API/imagenes/T_TAHARI_6218508_CHO_1.jpg")</f>
        <v/>
      </c>
      <c r="M4557">
        <f>IMAGE("file:///E:/Estudios%20y%20certificaciones/ESTUDIOS%20DE%20PROGRAMMING/PROGRAMMING/PERSONAL/PYTHON/Image_Generator_API/imagenes/T_TAHARI_6218508_CHO_2.jpg")</f>
        <v/>
      </c>
      <c r="N4557">
        <f>IMAGE("file:///E:/Estudios%20y%20certificaciones/ESTUDIOS%20DE%20PROGRAMMING/PROGRAMMING/PERSONAL/PYTHON/Image_Generator_API/imagenes/T_TAHARI_6218508_CHO_3.jpg")</f>
        <v/>
      </c>
      <c r="O4557">
        <f>HYPERLINK("imagenes/T_TAHARI_6218508_CHO_1.jpg","Ver imagen")</f>
        <v/>
      </c>
      <c r="P4557">
        <f>HYPERLINK("imagenes/T_TAHARI_6218508_CHO_2.jpg","Ver imagen")</f>
        <v/>
      </c>
      <c r="Q4557">
        <f>HYPERLINK("imagenes/T_TAHARI_6218508_CHO_3.jpg","Ver imagen")</f>
        <v/>
      </c>
    </row>
    <row r="4558">
      <c r="A4558" t="inlineStr">
        <is>
          <t>T TAHARI</t>
        </is>
      </c>
      <c r="B4558" t="inlineStr">
        <is>
          <t>6218508</t>
        </is>
      </c>
      <c r="C4558" t="inlineStr">
        <is>
          <t>LIV PETITE</t>
        </is>
      </c>
      <c r="D4558" t="inlineStr">
        <is>
          <t>CHO</t>
        </is>
      </c>
      <c r="E4558" t="inlineStr">
        <is>
          <t>(en blanco)</t>
        </is>
      </c>
      <c r="F4558" t="inlineStr">
        <is>
          <t>(en blanco)</t>
        </is>
      </c>
      <c r="G4558" t="inlineStr">
        <is>
          <t>SP</t>
        </is>
      </c>
      <c r="H4558" t="n">
        <v>16</v>
      </c>
      <c r="I4558" t="inlineStr">
        <is>
          <t>T_TAHARI_6218508_CHO_1.jpg</t>
        </is>
      </c>
      <c r="J4558" t="inlineStr">
        <is>
          <t>T_TAHARI_6218508_CHO_2.jpg</t>
        </is>
      </c>
      <c r="K4558" t="inlineStr">
        <is>
          <t>T_TAHARI_6218508_CHO_3.jpg</t>
        </is>
      </c>
      <c r="L4558">
        <f>IMAGE("file:///E:/Estudios%20y%20certificaciones/ESTUDIOS%20DE%20PROGRAMMING/PROGRAMMING/PERSONAL/PYTHON/Image_Generator_API/imagenes/T_TAHARI_6218508_CHO_1.jpg")</f>
        <v/>
      </c>
      <c r="M4558">
        <f>IMAGE("file:///E:/Estudios%20y%20certificaciones/ESTUDIOS%20DE%20PROGRAMMING/PROGRAMMING/PERSONAL/PYTHON/Image_Generator_API/imagenes/T_TAHARI_6218508_CHO_2.jpg")</f>
        <v/>
      </c>
      <c r="N4558">
        <f>IMAGE("file:///E:/Estudios%20y%20certificaciones/ESTUDIOS%20DE%20PROGRAMMING/PROGRAMMING/PERSONAL/PYTHON/Image_Generator_API/imagenes/T_TAHARI_6218508_CHO_3.jpg")</f>
        <v/>
      </c>
      <c r="O4558">
        <f>HYPERLINK("imagenes/T_TAHARI_6218508_CHO_1.jpg","Ver imagen")</f>
        <v/>
      </c>
      <c r="P4558">
        <f>HYPERLINK("imagenes/T_TAHARI_6218508_CHO_2.jpg","Ver imagen")</f>
        <v/>
      </c>
      <c r="Q4558">
        <f>HYPERLINK("imagenes/T_TAHARI_6218508_CHO_3.jpg","Ver imagen")</f>
        <v/>
      </c>
    </row>
    <row r="4559">
      <c r="A4559" t="inlineStr">
        <is>
          <t>T TAHARI</t>
        </is>
      </c>
      <c r="B4559" t="inlineStr">
        <is>
          <t>6218508</t>
        </is>
      </c>
      <c r="C4559" t="inlineStr">
        <is>
          <t>LIV PETITE</t>
        </is>
      </c>
      <c r="D4559" t="inlineStr">
        <is>
          <t>CHO</t>
        </is>
      </c>
      <c r="E4559" t="inlineStr">
        <is>
          <t>(en blanco)</t>
        </is>
      </c>
      <c r="F4559" t="inlineStr">
        <is>
          <t>(en blanco)</t>
        </is>
      </c>
      <c r="G4559" t="inlineStr">
        <is>
          <t>XLP</t>
        </is>
      </c>
      <c r="H4559" t="n">
        <v>4</v>
      </c>
      <c r="I4559" t="inlineStr">
        <is>
          <t>T_TAHARI_6218508_CHO_1.jpg</t>
        </is>
      </c>
      <c r="J4559" t="inlineStr">
        <is>
          <t>T_TAHARI_6218508_CHO_2.jpg</t>
        </is>
      </c>
      <c r="K4559" t="inlineStr">
        <is>
          <t>T_TAHARI_6218508_CHO_3.jpg</t>
        </is>
      </c>
      <c r="L4559">
        <f>IMAGE("file:///E:/Estudios%20y%20certificaciones/ESTUDIOS%20DE%20PROGRAMMING/PROGRAMMING/PERSONAL/PYTHON/Image_Generator_API/imagenes/T_TAHARI_6218508_CHO_1.jpg")</f>
        <v/>
      </c>
      <c r="M4559">
        <f>IMAGE("file:///E:/Estudios%20y%20certificaciones/ESTUDIOS%20DE%20PROGRAMMING/PROGRAMMING/PERSONAL/PYTHON/Image_Generator_API/imagenes/T_TAHARI_6218508_CHO_2.jpg")</f>
        <v/>
      </c>
      <c r="N4559">
        <f>IMAGE("file:///E:/Estudios%20y%20certificaciones/ESTUDIOS%20DE%20PROGRAMMING/PROGRAMMING/PERSONAL/PYTHON/Image_Generator_API/imagenes/T_TAHARI_6218508_CHO_3.jpg")</f>
        <v/>
      </c>
      <c r="O4559">
        <f>HYPERLINK("imagenes/T_TAHARI_6218508_CHO_1.jpg","Ver imagen")</f>
        <v/>
      </c>
      <c r="P4559">
        <f>HYPERLINK("imagenes/T_TAHARI_6218508_CHO_2.jpg","Ver imagen")</f>
        <v/>
      </c>
      <c r="Q4559">
        <f>HYPERLINK("imagenes/T_TAHARI_6218508_CHO_3.jpg","Ver imagen")</f>
        <v/>
      </c>
    </row>
    <row r="4560">
      <c r="A4560" t="inlineStr">
        <is>
          <t>T TAHARI</t>
        </is>
      </c>
      <c r="B4560" t="inlineStr">
        <is>
          <t>6218508</t>
        </is>
      </c>
      <c r="C4560" t="inlineStr">
        <is>
          <t>LIV PETITE</t>
        </is>
      </c>
      <c r="D4560" t="inlineStr">
        <is>
          <t>CHO</t>
        </is>
      </c>
      <c r="E4560" t="inlineStr">
        <is>
          <t>(en blanco)</t>
        </is>
      </c>
      <c r="F4560" t="inlineStr">
        <is>
          <t>(en blanco)</t>
        </is>
      </c>
      <c r="G4560" t="inlineStr">
        <is>
          <t>XSP</t>
        </is>
      </c>
      <c r="H4560" t="n">
        <v>7</v>
      </c>
      <c r="I4560" t="inlineStr">
        <is>
          <t>T_TAHARI_6218508_CHO_1.jpg</t>
        </is>
      </c>
      <c r="J4560" t="inlineStr">
        <is>
          <t>T_TAHARI_6218508_CHO_2.jpg</t>
        </is>
      </c>
      <c r="K4560" t="inlineStr">
        <is>
          <t>T_TAHARI_6218508_CHO_3.jpg</t>
        </is>
      </c>
      <c r="L4560">
        <f>IMAGE("file:///E:/Estudios%20y%20certificaciones/ESTUDIOS%20DE%20PROGRAMMING/PROGRAMMING/PERSONAL/PYTHON/Image_Generator_API/imagenes/T_TAHARI_6218508_CHO_1.jpg")</f>
        <v/>
      </c>
      <c r="M4560">
        <f>IMAGE("file:///E:/Estudios%20y%20certificaciones/ESTUDIOS%20DE%20PROGRAMMING/PROGRAMMING/PERSONAL/PYTHON/Image_Generator_API/imagenes/T_TAHARI_6218508_CHO_2.jpg")</f>
        <v/>
      </c>
      <c r="N4560">
        <f>IMAGE("file:///E:/Estudios%20y%20certificaciones/ESTUDIOS%20DE%20PROGRAMMING/PROGRAMMING/PERSONAL/PYTHON/Image_Generator_API/imagenes/T_TAHARI_6218508_CHO_3.jpg")</f>
        <v/>
      </c>
      <c r="O4560">
        <f>HYPERLINK("imagenes/T_TAHARI_6218508_CHO_1.jpg","Ver imagen")</f>
        <v/>
      </c>
      <c r="P4560">
        <f>HYPERLINK("imagenes/T_TAHARI_6218508_CHO_2.jpg","Ver imagen")</f>
        <v/>
      </c>
      <c r="Q4560">
        <f>HYPERLINK("imagenes/T_TAHARI_6218508_CHO_3.jpg","Ver imagen")</f>
        <v/>
      </c>
    </row>
    <row r="4561">
      <c r="A4561" t="inlineStr">
        <is>
          <t>T TAHARI</t>
        </is>
      </c>
      <c r="B4561" t="inlineStr">
        <is>
          <t>6220635</t>
        </is>
      </c>
      <c r="C4561" t="inlineStr">
        <is>
          <t>ELLA DE WOOL</t>
        </is>
      </c>
      <c r="D4561" t="inlineStr">
        <is>
          <t>BLK</t>
        </is>
      </c>
      <c r="E4561" t="inlineStr">
        <is>
          <t>(en blanco)</t>
        </is>
      </c>
      <c r="F4561" t="inlineStr">
        <is>
          <t>(en blanco)</t>
        </is>
      </c>
      <c r="G4561" t="inlineStr">
        <is>
          <t>XL</t>
        </is>
      </c>
      <c r="H4561" t="n">
        <v>1</v>
      </c>
      <c r="I4561" t="inlineStr">
        <is>
          <t>T_TAHARI_6220635_BLK_2.jpg</t>
        </is>
      </c>
      <c r="J4561" t="inlineStr">
        <is>
          <t>T_TAHARI_6220635_BLK_3.jpg</t>
        </is>
      </c>
      <c r="L4561">
        <f>IMAGE("file:///E:/Estudios%20y%20certificaciones/ESTUDIOS%20DE%20PROGRAMMING/PROGRAMMING/PERSONAL/PYTHON/Image_Generator_API/imagenes/T_TAHARI_6220635_BLK_2.jpg")</f>
        <v/>
      </c>
      <c r="M4561">
        <f>IMAGE("file:///E:/Estudios%20y%20certificaciones/ESTUDIOS%20DE%20PROGRAMMING/PROGRAMMING/PERSONAL/PYTHON/Image_Generator_API/imagenes/T_TAHARI_6220635_BLK_3.jpg")</f>
        <v/>
      </c>
      <c r="O4561">
        <f>HYPERLINK("imagenes/T_TAHARI_6220635_BLK_2.jpg","Ver imagen")</f>
        <v/>
      </c>
      <c r="P4561">
        <f>HYPERLINK("imagenes/T_TAHARI_6220635_BLK_3.jpg","Ver imagen")</f>
        <v/>
      </c>
    </row>
    <row r="4562">
      <c r="A4562" t="inlineStr">
        <is>
          <t>T TAHARI</t>
        </is>
      </c>
      <c r="B4562" t="inlineStr">
        <is>
          <t>6220635</t>
        </is>
      </c>
      <c r="C4562" t="inlineStr">
        <is>
          <t>ELLA DE WOOL</t>
        </is>
      </c>
      <c r="D4562" t="inlineStr">
        <is>
          <t>PPW</t>
        </is>
      </c>
      <c r="E4562" t="inlineStr">
        <is>
          <t>(en blanco)</t>
        </is>
      </c>
      <c r="F4562" t="inlineStr">
        <is>
          <t>(en blanco)</t>
        </is>
      </c>
      <c r="G4562" t="inlineStr">
        <is>
          <t>XXL</t>
        </is>
      </c>
      <c r="H4562" t="n">
        <v>10</v>
      </c>
      <c r="I4562" t="inlineStr">
        <is>
          <t>T_TAHARI_6220635_PPW_1.jpg</t>
        </is>
      </c>
      <c r="J4562" t="inlineStr">
        <is>
          <t>T_TAHARI_6220635_PPW_2.jpg</t>
        </is>
      </c>
      <c r="K4562" t="inlineStr">
        <is>
          <t>T_TAHARI_6220635_PPW_3.jpg</t>
        </is>
      </c>
      <c r="L4562">
        <f>IMAGE("file:///E:/Estudios%20y%20certificaciones/ESTUDIOS%20DE%20PROGRAMMING/PROGRAMMING/PERSONAL/PYTHON/Image_Generator_API/imagenes/T_TAHARI_6220635_PPW_1.jpg")</f>
        <v/>
      </c>
      <c r="M4562">
        <f>IMAGE("file:///E:/Estudios%20y%20certificaciones/ESTUDIOS%20DE%20PROGRAMMING/PROGRAMMING/PERSONAL/PYTHON/Image_Generator_API/imagenes/T_TAHARI_6220635_PPW_2.jpg")</f>
        <v/>
      </c>
      <c r="N4562">
        <f>IMAGE("file:///E:/Estudios%20y%20certificaciones/ESTUDIOS%20DE%20PROGRAMMING/PROGRAMMING/PERSONAL/PYTHON/Image_Generator_API/imagenes/T_TAHARI_6220635_PPW_3.jpg")</f>
        <v/>
      </c>
      <c r="O4562">
        <f>HYPERLINK("imagenes/T_TAHARI_6220635_PPW_1.jpg","Ver imagen")</f>
        <v/>
      </c>
      <c r="P4562">
        <f>HYPERLINK("imagenes/T_TAHARI_6220635_PPW_2.jpg","Ver imagen")</f>
        <v/>
      </c>
      <c r="Q4562">
        <f>HYPERLINK("imagenes/T_TAHARI_6220635_PPW_3.jpg","Ver imagen")</f>
        <v/>
      </c>
    </row>
    <row r="4563">
      <c r="A4563" t="inlineStr">
        <is>
          <t>T TAHARI</t>
        </is>
      </c>
      <c r="B4563" t="inlineStr">
        <is>
          <t>6220635</t>
        </is>
      </c>
      <c r="C4563" t="inlineStr">
        <is>
          <t>ELLA DE WOOL</t>
        </is>
      </c>
      <c r="D4563" t="inlineStr">
        <is>
          <t>SAG</t>
        </is>
      </c>
      <c r="E4563" t="inlineStr">
        <is>
          <t>(en blanco)</t>
        </is>
      </c>
      <c r="F4563" t="inlineStr">
        <is>
          <t>(en blanco)</t>
        </is>
      </c>
      <c r="G4563" t="inlineStr">
        <is>
          <t>XXL</t>
        </is>
      </c>
      <c r="H4563" t="n">
        <v>1</v>
      </c>
      <c r="I4563" t="inlineStr">
        <is>
          <t>T_TAHARI_6220635_SAG_1.jpg</t>
        </is>
      </c>
      <c r="J4563" t="inlineStr">
        <is>
          <t>T_TAHARI_6220635_SAG_2.jpg</t>
        </is>
      </c>
      <c r="K4563" t="inlineStr">
        <is>
          <t>T_TAHARI_6220635_SAG_3.jpg</t>
        </is>
      </c>
      <c r="L4563">
        <f>IMAGE("file:///E:/Estudios%20y%20certificaciones/ESTUDIOS%20DE%20PROGRAMMING/PROGRAMMING/PERSONAL/PYTHON/Image_Generator_API/imagenes/T_TAHARI_6220635_SAG_1.jpg")</f>
        <v/>
      </c>
      <c r="M4563">
        <f>IMAGE("file:///E:/Estudios%20y%20certificaciones/ESTUDIOS%20DE%20PROGRAMMING/PROGRAMMING/PERSONAL/PYTHON/Image_Generator_API/imagenes/T_TAHARI_6220635_SAG_2.jpg")</f>
        <v/>
      </c>
      <c r="N4563">
        <f>IMAGE("file:///E:/Estudios%20y%20certificaciones/ESTUDIOS%20DE%20PROGRAMMING/PROGRAMMING/PERSONAL/PYTHON/Image_Generator_API/imagenes/T_TAHARI_6220635_SAG_3.jpg")</f>
        <v/>
      </c>
      <c r="O4563">
        <f>HYPERLINK("imagenes/T_TAHARI_6220635_SAG_1.jpg","Ver imagen")</f>
        <v/>
      </c>
      <c r="P4563">
        <f>HYPERLINK("imagenes/T_TAHARI_6220635_SAG_2.jpg","Ver imagen")</f>
        <v/>
      </c>
      <c r="Q4563">
        <f>HYPERLINK("imagenes/T_TAHARI_6220635_SAG_3.jpg","Ver imagen")</f>
        <v/>
      </c>
    </row>
    <row r="4564">
      <c r="A4564" t="inlineStr">
        <is>
          <t>T TAHARI</t>
        </is>
      </c>
      <c r="B4564" t="inlineStr">
        <is>
          <t>6220670</t>
        </is>
      </c>
      <c r="C4564" t="inlineStr">
        <is>
          <t>LIZA DF W/FRINGE</t>
        </is>
      </c>
      <c r="D4564" t="inlineStr">
        <is>
          <t>BLK</t>
        </is>
      </c>
      <c r="E4564" t="inlineStr">
        <is>
          <t>(en blanco)</t>
        </is>
      </c>
      <c r="F4564" t="inlineStr">
        <is>
          <t>(en blanco)</t>
        </is>
      </c>
      <c r="G4564" t="inlineStr">
        <is>
          <t>M</t>
        </is>
      </c>
      <c r="H4564" t="n">
        <v>1</v>
      </c>
      <c r="I4564" t="inlineStr">
        <is>
          <t>T_TAHARI_6220670_BLK_1.jpg</t>
        </is>
      </c>
      <c r="J4564" t="inlineStr">
        <is>
          <t>T_TAHARI_6220670_BLK_2.jpg</t>
        </is>
      </c>
      <c r="K4564" t="inlineStr">
        <is>
          <t>T_TAHARI_6220670_BLK_3.jpg</t>
        </is>
      </c>
      <c r="L4564">
        <f>IMAGE("file:///E:/Estudios%20y%20certificaciones/ESTUDIOS%20DE%20PROGRAMMING/PROGRAMMING/PERSONAL/PYTHON/Image_Generator_API/imagenes/T_TAHARI_6220670_BLK_1.jpg")</f>
        <v/>
      </c>
      <c r="M4564">
        <f>IMAGE("file:///E:/Estudios%20y%20certificaciones/ESTUDIOS%20DE%20PROGRAMMING/PROGRAMMING/PERSONAL/PYTHON/Image_Generator_API/imagenes/T_TAHARI_6220670_BLK_2.jpg")</f>
        <v/>
      </c>
      <c r="N4564">
        <f>IMAGE("file:///E:/Estudios%20y%20certificaciones/ESTUDIOS%20DE%20PROGRAMMING/PROGRAMMING/PERSONAL/PYTHON/Image_Generator_API/imagenes/T_TAHARI_6220670_BLK_3.jpg")</f>
        <v/>
      </c>
      <c r="O4564">
        <f>HYPERLINK("imagenes/T_TAHARI_6220670_BLK_1.jpg","Ver imagen")</f>
        <v/>
      </c>
      <c r="P4564">
        <f>HYPERLINK("imagenes/T_TAHARI_6220670_BLK_2.jpg","Ver imagen")</f>
        <v/>
      </c>
      <c r="Q4564">
        <f>HYPERLINK("imagenes/T_TAHARI_6220670_BLK_3.jpg","Ver imagen")</f>
        <v/>
      </c>
    </row>
    <row r="4565">
      <c r="A4565" t="inlineStr">
        <is>
          <t>T TAHARI</t>
        </is>
      </c>
      <c r="B4565" t="inlineStr">
        <is>
          <t>6220670</t>
        </is>
      </c>
      <c r="C4565" t="inlineStr">
        <is>
          <t>LIZA DF W/FRINGE</t>
        </is>
      </c>
      <c r="D4565" t="inlineStr">
        <is>
          <t>BLK</t>
        </is>
      </c>
      <c r="E4565" t="inlineStr">
        <is>
          <t>(en blanco)</t>
        </is>
      </c>
      <c r="F4565" t="inlineStr">
        <is>
          <t>(en blanco)</t>
        </is>
      </c>
      <c r="G4565" t="inlineStr">
        <is>
          <t>L</t>
        </is>
      </c>
      <c r="H4565" t="n">
        <v>1</v>
      </c>
      <c r="I4565" t="inlineStr">
        <is>
          <t>T_TAHARI_6220670_BLK_1.jpg</t>
        </is>
      </c>
      <c r="J4565" t="inlineStr">
        <is>
          <t>T_TAHARI_6220670_BLK_2.jpg</t>
        </is>
      </c>
      <c r="K4565" t="inlineStr">
        <is>
          <t>T_TAHARI_6220670_BLK_3.jpg</t>
        </is>
      </c>
      <c r="L4565">
        <f>IMAGE("file:///E:/Estudios%20y%20certificaciones/ESTUDIOS%20DE%20PROGRAMMING/PROGRAMMING/PERSONAL/PYTHON/Image_Generator_API/imagenes/T_TAHARI_6220670_BLK_1.jpg")</f>
        <v/>
      </c>
      <c r="M4565">
        <f>IMAGE("file:///E:/Estudios%20y%20certificaciones/ESTUDIOS%20DE%20PROGRAMMING/PROGRAMMING/PERSONAL/PYTHON/Image_Generator_API/imagenes/T_TAHARI_6220670_BLK_2.jpg")</f>
        <v/>
      </c>
      <c r="N4565">
        <f>IMAGE("file:///E:/Estudios%20y%20certificaciones/ESTUDIOS%20DE%20PROGRAMMING/PROGRAMMING/PERSONAL/PYTHON/Image_Generator_API/imagenes/T_TAHARI_6220670_BLK_3.jpg")</f>
        <v/>
      </c>
      <c r="O4565">
        <f>HYPERLINK("imagenes/T_TAHARI_6220670_BLK_1.jpg","Ver imagen")</f>
        <v/>
      </c>
      <c r="P4565">
        <f>HYPERLINK("imagenes/T_TAHARI_6220670_BLK_2.jpg","Ver imagen")</f>
        <v/>
      </c>
      <c r="Q4565">
        <f>HYPERLINK("imagenes/T_TAHARI_6220670_BLK_3.jpg","Ver imagen")</f>
        <v/>
      </c>
    </row>
    <row r="4566">
      <c r="A4566" t="inlineStr">
        <is>
          <t>T TAHARI</t>
        </is>
      </c>
      <c r="B4566" t="inlineStr">
        <is>
          <t>6220670</t>
        </is>
      </c>
      <c r="C4566" t="inlineStr">
        <is>
          <t>LIZA DF W/FRINGE</t>
        </is>
      </c>
      <c r="D4566" t="inlineStr">
        <is>
          <t>HGY</t>
        </is>
      </c>
      <c r="E4566" t="inlineStr">
        <is>
          <t>(en blanco)</t>
        </is>
      </c>
      <c r="F4566" t="inlineStr">
        <is>
          <t>(en blanco)</t>
        </is>
      </c>
      <c r="G4566" t="inlineStr">
        <is>
          <t>XXS</t>
        </is>
      </c>
      <c r="H4566" t="n">
        <v>1</v>
      </c>
      <c r="I4566" t="inlineStr">
        <is>
          <t>T_TAHARI_6220670_HGY_1.jpg</t>
        </is>
      </c>
      <c r="J4566" t="inlineStr">
        <is>
          <t>T_TAHARI_6220670_HGY_2.jpg</t>
        </is>
      </c>
      <c r="K4566" t="inlineStr">
        <is>
          <t>T_TAHARI_6220670_HGY_3.jpg</t>
        </is>
      </c>
      <c r="L4566">
        <f>IMAGE("file:///E:/Estudios%20y%20certificaciones/ESTUDIOS%20DE%20PROGRAMMING/PROGRAMMING/PERSONAL/PYTHON/Image_Generator_API/imagenes/T_TAHARI_6220670_HGY_1.jpg")</f>
        <v/>
      </c>
      <c r="M4566">
        <f>IMAGE("file:///E:/Estudios%20y%20certificaciones/ESTUDIOS%20DE%20PROGRAMMING/PROGRAMMING/PERSONAL/PYTHON/Image_Generator_API/imagenes/T_TAHARI_6220670_HGY_2.jpg")</f>
        <v/>
      </c>
      <c r="N4566">
        <f>IMAGE("file:///E:/Estudios%20y%20certificaciones/ESTUDIOS%20DE%20PROGRAMMING/PROGRAMMING/PERSONAL/PYTHON/Image_Generator_API/imagenes/T_TAHARI_6220670_HGY_3.jpg")</f>
        <v/>
      </c>
      <c r="O4566">
        <f>HYPERLINK("imagenes/T_TAHARI_6220670_HGY_1.jpg","Ver imagen")</f>
        <v/>
      </c>
      <c r="P4566">
        <f>HYPERLINK("imagenes/T_TAHARI_6220670_HGY_2.jpg","Ver imagen")</f>
        <v/>
      </c>
      <c r="Q4566">
        <f>HYPERLINK("imagenes/T_TAHARI_6220670_HGY_3.jpg","Ver imagen")</f>
        <v/>
      </c>
    </row>
    <row r="4567">
      <c r="A4567" t="inlineStr">
        <is>
          <t>T TAHARI</t>
        </is>
      </c>
      <c r="B4567" t="inlineStr">
        <is>
          <t>6220685</t>
        </is>
      </c>
      <c r="C4567" t="inlineStr">
        <is>
          <t>JULIETTE DF WOOL</t>
        </is>
      </c>
      <c r="D4567" t="inlineStr">
        <is>
          <t>OLI</t>
        </is>
      </c>
      <c r="E4567" t="inlineStr">
        <is>
          <t>(en blanco)</t>
        </is>
      </c>
      <c r="F4567" t="inlineStr">
        <is>
          <t>(en blanco)</t>
        </is>
      </c>
      <c r="G4567" t="inlineStr">
        <is>
          <t>XXL</t>
        </is>
      </c>
      <c r="H4567" t="n">
        <v>1</v>
      </c>
      <c r="I4567" t="inlineStr">
        <is>
          <t>T_TAHARI_6220685_OLI_1.jpg</t>
        </is>
      </c>
      <c r="J4567" t="inlineStr">
        <is>
          <t>T_TAHARI_6220685_OLI_2.jpg</t>
        </is>
      </c>
      <c r="K4567" t="inlineStr">
        <is>
          <t>T_TAHARI_6220685_OLI_3.jpg</t>
        </is>
      </c>
      <c r="L4567">
        <f>IMAGE("file:///E:/Estudios%20y%20certificaciones/ESTUDIOS%20DE%20PROGRAMMING/PROGRAMMING/PERSONAL/PYTHON/Image_Generator_API/imagenes/T_TAHARI_6220685_OLI_1.jpg")</f>
        <v/>
      </c>
      <c r="M4567">
        <f>IMAGE("file:///E:/Estudios%20y%20certificaciones/ESTUDIOS%20DE%20PROGRAMMING/PROGRAMMING/PERSONAL/PYTHON/Image_Generator_API/imagenes/T_TAHARI_6220685_OLI_2.jpg")</f>
        <v/>
      </c>
      <c r="N4567">
        <f>IMAGE("file:///E:/Estudios%20y%20certificaciones/ESTUDIOS%20DE%20PROGRAMMING/PROGRAMMING/PERSONAL/PYTHON/Image_Generator_API/imagenes/T_TAHARI_6220685_OLI_3.jpg")</f>
        <v/>
      </c>
      <c r="O4567">
        <f>HYPERLINK("imagenes/T_TAHARI_6220685_OLI_1.jpg","Ver imagen")</f>
        <v/>
      </c>
      <c r="P4567">
        <f>HYPERLINK("imagenes/T_TAHARI_6220685_OLI_2.jpg","Ver imagen")</f>
        <v/>
      </c>
      <c r="Q4567">
        <f>HYPERLINK("imagenes/T_TAHARI_6220685_OLI_3.jpg","Ver imagen")</f>
        <v/>
      </c>
    </row>
    <row r="4568">
      <c r="A4568" t="inlineStr">
        <is>
          <t>T TAHARI</t>
        </is>
      </c>
      <c r="B4568" t="inlineStr">
        <is>
          <t>6220691</t>
        </is>
      </c>
      <c r="C4568" t="inlineStr">
        <is>
          <t>BROOKE DF SHACKET</t>
        </is>
      </c>
      <c r="D4568" t="inlineStr">
        <is>
          <t>BLK</t>
        </is>
      </c>
      <c r="E4568" t="inlineStr">
        <is>
          <t>(en blanco)</t>
        </is>
      </c>
      <c r="F4568" t="inlineStr">
        <is>
          <t>(en blanco)</t>
        </is>
      </c>
      <c r="G4568" t="inlineStr">
        <is>
          <t>XS</t>
        </is>
      </c>
      <c r="H4568" t="n">
        <v>14</v>
      </c>
      <c r="I4568" t="inlineStr">
        <is>
          <t>T_TAHARI_6220691_BLK_1.jpg</t>
        </is>
      </c>
      <c r="J4568" t="inlineStr">
        <is>
          <t>T_TAHARI_6220691_BLK_2.jpg</t>
        </is>
      </c>
      <c r="K4568" t="inlineStr">
        <is>
          <t>T_TAHARI_6220691_BLK_3.jpg</t>
        </is>
      </c>
      <c r="L4568">
        <f>IMAGE("file:///E:/Estudios%20y%20certificaciones/ESTUDIOS%20DE%20PROGRAMMING/PROGRAMMING/PERSONAL/PYTHON/Image_Generator_API/imagenes/T_TAHARI_6220691_BLK_1.jpg")</f>
        <v/>
      </c>
      <c r="M4568">
        <f>IMAGE("file:///E:/Estudios%20y%20certificaciones/ESTUDIOS%20DE%20PROGRAMMING/PROGRAMMING/PERSONAL/PYTHON/Image_Generator_API/imagenes/T_TAHARI_6220691_BLK_2.jpg")</f>
        <v/>
      </c>
      <c r="N4568">
        <f>IMAGE("file:///E:/Estudios%20y%20certificaciones/ESTUDIOS%20DE%20PROGRAMMING/PROGRAMMING/PERSONAL/PYTHON/Image_Generator_API/imagenes/T_TAHARI_6220691_BLK_3.jpg")</f>
        <v/>
      </c>
      <c r="O4568">
        <f>HYPERLINK("imagenes/T_TAHARI_6220691_BLK_1.jpg","Ver imagen")</f>
        <v/>
      </c>
      <c r="P4568">
        <f>HYPERLINK("imagenes/T_TAHARI_6220691_BLK_2.jpg","Ver imagen")</f>
        <v/>
      </c>
      <c r="Q4568">
        <f>HYPERLINK("imagenes/T_TAHARI_6220691_BLK_3.jpg","Ver imagen")</f>
        <v/>
      </c>
    </row>
    <row r="4569">
      <c r="A4569" t="inlineStr">
        <is>
          <t>T TAHARI</t>
        </is>
      </c>
      <c r="B4569" t="inlineStr">
        <is>
          <t>6220691</t>
        </is>
      </c>
      <c r="C4569" t="inlineStr">
        <is>
          <t>BROOKE DF SHACKET</t>
        </is>
      </c>
      <c r="D4569" t="inlineStr">
        <is>
          <t>BLK</t>
        </is>
      </c>
      <c r="E4569" t="inlineStr">
        <is>
          <t>(en blanco)</t>
        </is>
      </c>
      <c r="F4569" t="inlineStr">
        <is>
          <t>(en blanco)</t>
        </is>
      </c>
      <c r="G4569" t="inlineStr">
        <is>
          <t>S</t>
        </is>
      </c>
      <c r="H4569" t="n">
        <v>4</v>
      </c>
      <c r="I4569" t="inlineStr">
        <is>
          <t>T_TAHARI_6220691_BLK_1.jpg</t>
        </is>
      </c>
      <c r="J4569" t="inlineStr">
        <is>
          <t>T_TAHARI_6220691_BLK_2.jpg</t>
        </is>
      </c>
      <c r="K4569" t="inlineStr">
        <is>
          <t>T_TAHARI_6220691_BLK_3.jpg</t>
        </is>
      </c>
      <c r="L4569">
        <f>IMAGE("file:///E:/Estudios%20y%20certificaciones/ESTUDIOS%20DE%20PROGRAMMING/PROGRAMMING/PERSONAL/PYTHON/Image_Generator_API/imagenes/T_TAHARI_6220691_BLK_1.jpg")</f>
        <v/>
      </c>
      <c r="M4569">
        <f>IMAGE("file:///E:/Estudios%20y%20certificaciones/ESTUDIOS%20DE%20PROGRAMMING/PROGRAMMING/PERSONAL/PYTHON/Image_Generator_API/imagenes/T_TAHARI_6220691_BLK_2.jpg")</f>
        <v/>
      </c>
      <c r="N4569">
        <f>IMAGE("file:///E:/Estudios%20y%20certificaciones/ESTUDIOS%20DE%20PROGRAMMING/PROGRAMMING/PERSONAL/PYTHON/Image_Generator_API/imagenes/T_TAHARI_6220691_BLK_3.jpg")</f>
        <v/>
      </c>
      <c r="O4569">
        <f>HYPERLINK("imagenes/T_TAHARI_6220691_BLK_1.jpg","Ver imagen")</f>
        <v/>
      </c>
      <c r="P4569">
        <f>HYPERLINK("imagenes/T_TAHARI_6220691_BLK_2.jpg","Ver imagen")</f>
        <v/>
      </c>
      <c r="Q4569">
        <f>HYPERLINK("imagenes/T_TAHARI_6220691_BLK_3.jpg","Ver imagen")</f>
        <v/>
      </c>
    </row>
    <row r="4570">
      <c r="A4570" t="inlineStr">
        <is>
          <t>T TAHARI</t>
        </is>
      </c>
      <c r="B4570" t="inlineStr">
        <is>
          <t>6220691</t>
        </is>
      </c>
      <c r="C4570" t="inlineStr">
        <is>
          <t>BROOKE DF SHACKET</t>
        </is>
      </c>
      <c r="D4570" t="inlineStr">
        <is>
          <t>BLK</t>
        </is>
      </c>
      <c r="E4570" t="inlineStr">
        <is>
          <t>(en blanco)</t>
        </is>
      </c>
      <c r="F4570" t="inlineStr">
        <is>
          <t>(en blanco)</t>
        </is>
      </c>
      <c r="G4570" t="inlineStr">
        <is>
          <t>M</t>
        </is>
      </c>
      <c r="H4570" t="n">
        <v>10</v>
      </c>
      <c r="I4570" t="inlineStr">
        <is>
          <t>T_TAHARI_6220691_BLK_1.jpg</t>
        </is>
      </c>
      <c r="J4570" t="inlineStr">
        <is>
          <t>T_TAHARI_6220691_BLK_2.jpg</t>
        </is>
      </c>
      <c r="K4570" t="inlineStr">
        <is>
          <t>T_TAHARI_6220691_BLK_3.jpg</t>
        </is>
      </c>
      <c r="L4570">
        <f>IMAGE("file:///E:/Estudios%20y%20certificaciones/ESTUDIOS%20DE%20PROGRAMMING/PROGRAMMING/PERSONAL/PYTHON/Image_Generator_API/imagenes/T_TAHARI_6220691_BLK_1.jpg")</f>
        <v/>
      </c>
      <c r="M4570">
        <f>IMAGE("file:///E:/Estudios%20y%20certificaciones/ESTUDIOS%20DE%20PROGRAMMING/PROGRAMMING/PERSONAL/PYTHON/Image_Generator_API/imagenes/T_TAHARI_6220691_BLK_2.jpg")</f>
        <v/>
      </c>
      <c r="N4570">
        <f>IMAGE("file:///E:/Estudios%20y%20certificaciones/ESTUDIOS%20DE%20PROGRAMMING/PROGRAMMING/PERSONAL/PYTHON/Image_Generator_API/imagenes/T_TAHARI_6220691_BLK_3.jpg")</f>
        <v/>
      </c>
      <c r="O4570">
        <f>HYPERLINK("imagenes/T_TAHARI_6220691_BLK_1.jpg","Ver imagen")</f>
        <v/>
      </c>
      <c r="P4570">
        <f>HYPERLINK("imagenes/T_TAHARI_6220691_BLK_2.jpg","Ver imagen")</f>
        <v/>
      </c>
      <c r="Q4570">
        <f>HYPERLINK("imagenes/T_TAHARI_6220691_BLK_3.jpg","Ver imagen")</f>
        <v/>
      </c>
    </row>
    <row r="4571">
      <c r="A4571" t="inlineStr">
        <is>
          <t>T TAHARI</t>
        </is>
      </c>
      <c r="B4571" t="inlineStr">
        <is>
          <t>6220691</t>
        </is>
      </c>
      <c r="C4571" t="inlineStr">
        <is>
          <t>BROOKE DF SHACKET</t>
        </is>
      </c>
      <c r="D4571" t="inlineStr">
        <is>
          <t>BLK</t>
        </is>
      </c>
      <c r="E4571" t="inlineStr">
        <is>
          <t>(en blanco)</t>
        </is>
      </c>
      <c r="F4571" t="inlineStr">
        <is>
          <t>(en blanco)</t>
        </is>
      </c>
      <c r="G4571" t="inlineStr">
        <is>
          <t>L</t>
        </is>
      </c>
      <c r="H4571" t="n">
        <v>3</v>
      </c>
      <c r="I4571" t="inlineStr">
        <is>
          <t>T_TAHARI_6220691_BLK_1.jpg</t>
        </is>
      </c>
      <c r="J4571" t="inlineStr">
        <is>
          <t>T_TAHARI_6220691_BLK_2.jpg</t>
        </is>
      </c>
      <c r="K4571" t="inlineStr">
        <is>
          <t>T_TAHARI_6220691_BLK_3.jpg</t>
        </is>
      </c>
      <c r="L4571">
        <f>IMAGE("file:///E:/Estudios%20y%20certificaciones/ESTUDIOS%20DE%20PROGRAMMING/PROGRAMMING/PERSONAL/PYTHON/Image_Generator_API/imagenes/T_TAHARI_6220691_BLK_1.jpg")</f>
        <v/>
      </c>
      <c r="M4571">
        <f>IMAGE("file:///E:/Estudios%20y%20certificaciones/ESTUDIOS%20DE%20PROGRAMMING/PROGRAMMING/PERSONAL/PYTHON/Image_Generator_API/imagenes/T_TAHARI_6220691_BLK_2.jpg")</f>
        <v/>
      </c>
      <c r="N4571">
        <f>IMAGE("file:///E:/Estudios%20y%20certificaciones/ESTUDIOS%20DE%20PROGRAMMING/PROGRAMMING/PERSONAL/PYTHON/Image_Generator_API/imagenes/T_TAHARI_6220691_BLK_3.jpg")</f>
        <v/>
      </c>
      <c r="O4571">
        <f>HYPERLINK("imagenes/T_TAHARI_6220691_BLK_1.jpg","Ver imagen")</f>
        <v/>
      </c>
      <c r="P4571">
        <f>HYPERLINK("imagenes/T_TAHARI_6220691_BLK_2.jpg","Ver imagen")</f>
        <v/>
      </c>
      <c r="Q4571">
        <f>HYPERLINK("imagenes/T_TAHARI_6220691_BLK_3.jpg","Ver imagen")</f>
        <v/>
      </c>
    </row>
    <row r="4572">
      <c r="A4572" t="inlineStr">
        <is>
          <t>T TAHARI</t>
        </is>
      </c>
      <c r="B4572" t="inlineStr">
        <is>
          <t>6220691</t>
        </is>
      </c>
      <c r="C4572" t="inlineStr">
        <is>
          <t>BROOKE DF SHACKET</t>
        </is>
      </c>
      <c r="D4572" t="inlineStr">
        <is>
          <t>RWD</t>
        </is>
      </c>
      <c r="E4572" t="inlineStr">
        <is>
          <t>(en blanco)</t>
        </is>
      </c>
      <c r="F4572" t="inlineStr">
        <is>
          <t>(en blanco)</t>
        </is>
      </c>
      <c r="G4572" t="inlineStr">
        <is>
          <t>L</t>
        </is>
      </c>
      <c r="H4572" t="n">
        <v>1</v>
      </c>
      <c r="I4572" t="inlineStr">
        <is>
          <t>T_TAHARI_6220691_RWD_1.jpg</t>
        </is>
      </c>
      <c r="J4572" t="inlineStr">
        <is>
          <t>T_TAHARI_6220691_RWD_2.jpg</t>
        </is>
      </c>
      <c r="K4572" t="inlineStr">
        <is>
          <t>T_TAHARI_6220691_RWD_3.jpg</t>
        </is>
      </c>
      <c r="L4572">
        <f>IMAGE("file:///E:/Estudios%20y%20certificaciones/ESTUDIOS%20DE%20PROGRAMMING/PROGRAMMING/PERSONAL/PYTHON/Image_Generator_API/imagenes/T_TAHARI_6220691_RWD_1.jpg")</f>
        <v/>
      </c>
      <c r="M4572">
        <f>IMAGE("file:///E:/Estudios%20y%20certificaciones/ESTUDIOS%20DE%20PROGRAMMING/PROGRAMMING/PERSONAL/PYTHON/Image_Generator_API/imagenes/T_TAHARI_6220691_RWD_2.jpg")</f>
        <v/>
      </c>
      <c r="N4572">
        <f>IMAGE("file:///E:/Estudios%20y%20certificaciones/ESTUDIOS%20DE%20PROGRAMMING/PROGRAMMING/PERSONAL/PYTHON/Image_Generator_API/imagenes/T_TAHARI_6220691_RWD_3.jpg")</f>
        <v/>
      </c>
      <c r="O4572">
        <f>HYPERLINK("imagenes/T_TAHARI_6220691_RWD_1.jpg","Ver imagen")</f>
        <v/>
      </c>
      <c r="P4572">
        <f>HYPERLINK("imagenes/T_TAHARI_6220691_RWD_2.jpg","Ver imagen")</f>
        <v/>
      </c>
      <c r="Q4572">
        <f>HYPERLINK("imagenes/T_TAHARI_6220691_RWD_3.jpg","Ver imagen")</f>
        <v/>
      </c>
    </row>
    <row r="4573">
      <c r="A4573" t="inlineStr">
        <is>
          <t>T TAHARI</t>
        </is>
      </c>
      <c r="B4573" t="inlineStr">
        <is>
          <t>6220691</t>
        </is>
      </c>
      <c r="C4573" t="inlineStr">
        <is>
          <t>BROOKE DF SHACKET</t>
        </is>
      </c>
      <c r="D4573" t="inlineStr">
        <is>
          <t>RWD</t>
        </is>
      </c>
      <c r="E4573" t="inlineStr">
        <is>
          <t>(en blanco)</t>
        </is>
      </c>
      <c r="F4573" t="inlineStr">
        <is>
          <t>(en blanco)</t>
        </is>
      </c>
      <c r="G4573" t="inlineStr">
        <is>
          <t>XXL</t>
        </is>
      </c>
      <c r="H4573" t="n">
        <v>5</v>
      </c>
      <c r="I4573" t="inlineStr">
        <is>
          <t>T_TAHARI_6220691_RWD_1.jpg</t>
        </is>
      </c>
      <c r="J4573" t="inlineStr">
        <is>
          <t>T_TAHARI_6220691_RWD_2.jpg</t>
        </is>
      </c>
      <c r="K4573" t="inlineStr">
        <is>
          <t>T_TAHARI_6220691_RWD_3.jpg</t>
        </is>
      </c>
      <c r="L4573">
        <f>IMAGE("file:///E:/Estudios%20y%20certificaciones/ESTUDIOS%20DE%20PROGRAMMING/PROGRAMMING/PERSONAL/PYTHON/Image_Generator_API/imagenes/T_TAHARI_6220691_RWD_1.jpg")</f>
        <v/>
      </c>
      <c r="M4573">
        <f>IMAGE("file:///E:/Estudios%20y%20certificaciones/ESTUDIOS%20DE%20PROGRAMMING/PROGRAMMING/PERSONAL/PYTHON/Image_Generator_API/imagenes/T_TAHARI_6220691_RWD_2.jpg")</f>
        <v/>
      </c>
      <c r="N4573">
        <f>IMAGE("file:///E:/Estudios%20y%20certificaciones/ESTUDIOS%20DE%20PROGRAMMING/PROGRAMMING/PERSONAL/PYTHON/Image_Generator_API/imagenes/T_TAHARI_6220691_RWD_3.jpg")</f>
        <v/>
      </c>
      <c r="O4573">
        <f>HYPERLINK("imagenes/T_TAHARI_6220691_RWD_1.jpg","Ver imagen")</f>
        <v/>
      </c>
      <c r="P4573">
        <f>HYPERLINK("imagenes/T_TAHARI_6220691_RWD_2.jpg","Ver imagen")</f>
        <v/>
      </c>
      <c r="Q4573">
        <f>HYPERLINK("imagenes/T_TAHARI_6220691_RWD_3.jpg","Ver imagen")</f>
        <v/>
      </c>
    </row>
    <row r="4574">
      <c r="A4574" t="inlineStr">
        <is>
          <t>T TAHARI</t>
        </is>
      </c>
      <c r="B4574" t="inlineStr">
        <is>
          <t>6220691</t>
        </is>
      </c>
      <c r="C4574" t="inlineStr">
        <is>
          <t>BROOKE DF SHACKET</t>
        </is>
      </c>
      <c r="D4574" t="inlineStr">
        <is>
          <t>SAG</t>
        </is>
      </c>
      <c r="E4574" t="inlineStr">
        <is>
          <t>(en blanco)</t>
        </is>
      </c>
      <c r="F4574" t="inlineStr">
        <is>
          <t>(en blanco)</t>
        </is>
      </c>
      <c r="G4574" t="inlineStr">
        <is>
          <t>XS</t>
        </is>
      </c>
      <c r="H4574" t="n">
        <v>13</v>
      </c>
      <c r="I4574" t="inlineStr">
        <is>
          <t>T_TAHARI_6220691_SAG_1.jpg</t>
        </is>
      </c>
      <c r="J4574" t="inlineStr">
        <is>
          <t>T_TAHARI_6220691_SAG_3.jpg</t>
        </is>
      </c>
      <c r="L4574">
        <f>IMAGE("file:///E:/Estudios%20y%20certificaciones/ESTUDIOS%20DE%20PROGRAMMING/PROGRAMMING/PERSONAL/PYTHON/Image_Generator_API/imagenes/T_TAHARI_6220691_SAG_1.jpg")</f>
        <v/>
      </c>
      <c r="M4574">
        <f>IMAGE("file:///E:/Estudios%20y%20certificaciones/ESTUDIOS%20DE%20PROGRAMMING/PROGRAMMING/PERSONAL/PYTHON/Image_Generator_API/imagenes/T_TAHARI_6220691_SAG_3.jpg")</f>
        <v/>
      </c>
      <c r="O4574">
        <f>HYPERLINK("imagenes/T_TAHARI_6220691_SAG_1.jpg","Ver imagen")</f>
        <v/>
      </c>
      <c r="P4574">
        <f>HYPERLINK("imagenes/T_TAHARI_6220691_SAG_3.jpg","Ver imagen")</f>
        <v/>
      </c>
    </row>
    <row r="4575">
      <c r="A4575" t="inlineStr">
        <is>
          <t>T TAHARI</t>
        </is>
      </c>
      <c r="B4575" t="inlineStr">
        <is>
          <t>6220691</t>
        </is>
      </c>
      <c r="C4575" t="inlineStr">
        <is>
          <t>BROOKE DF SHACKET</t>
        </is>
      </c>
      <c r="D4575" t="inlineStr">
        <is>
          <t>SAG</t>
        </is>
      </c>
      <c r="E4575" t="inlineStr">
        <is>
          <t>(en blanco)</t>
        </is>
      </c>
      <c r="F4575" t="inlineStr">
        <is>
          <t>(en blanco)</t>
        </is>
      </c>
      <c r="G4575" t="inlineStr">
        <is>
          <t>S</t>
        </is>
      </c>
      <c r="H4575" t="n">
        <v>16</v>
      </c>
      <c r="I4575" t="inlineStr">
        <is>
          <t>T_TAHARI_6220691_SAG_1.jpg</t>
        </is>
      </c>
      <c r="J4575" t="inlineStr">
        <is>
          <t>T_TAHARI_6220691_SAG_3.jpg</t>
        </is>
      </c>
      <c r="L4575">
        <f>IMAGE("file:///E:/Estudios%20y%20certificaciones/ESTUDIOS%20DE%20PROGRAMMING/PROGRAMMING/PERSONAL/PYTHON/Image_Generator_API/imagenes/T_TAHARI_6220691_SAG_1.jpg")</f>
        <v/>
      </c>
      <c r="M4575">
        <f>IMAGE("file:///E:/Estudios%20y%20certificaciones/ESTUDIOS%20DE%20PROGRAMMING/PROGRAMMING/PERSONAL/PYTHON/Image_Generator_API/imagenes/T_TAHARI_6220691_SAG_3.jpg")</f>
        <v/>
      </c>
      <c r="O4575">
        <f>HYPERLINK("imagenes/T_TAHARI_6220691_SAG_1.jpg","Ver imagen")</f>
        <v/>
      </c>
      <c r="P4575">
        <f>HYPERLINK("imagenes/T_TAHARI_6220691_SAG_3.jpg","Ver imagen")</f>
        <v/>
      </c>
    </row>
    <row r="4576">
      <c r="A4576" t="inlineStr">
        <is>
          <t>T TAHARI</t>
        </is>
      </c>
      <c r="B4576" t="inlineStr">
        <is>
          <t>6220691</t>
        </is>
      </c>
      <c r="C4576" t="inlineStr">
        <is>
          <t>BROOKE DF SHACKET</t>
        </is>
      </c>
      <c r="D4576" t="inlineStr">
        <is>
          <t>SAG</t>
        </is>
      </c>
      <c r="E4576" t="inlineStr">
        <is>
          <t>(en blanco)</t>
        </is>
      </c>
      <c r="F4576" t="inlineStr">
        <is>
          <t>(en blanco)</t>
        </is>
      </c>
      <c r="G4576" t="inlineStr">
        <is>
          <t>M</t>
        </is>
      </c>
      <c r="H4576" t="n">
        <v>15</v>
      </c>
      <c r="I4576" t="inlineStr">
        <is>
          <t>T_TAHARI_6220691_SAG_1.jpg</t>
        </is>
      </c>
      <c r="J4576" t="inlineStr">
        <is>
          <t>T_TAHARI_6220691_SAG_3.jpg</t>
        </is>
      </c>
      <c r="L4576">
        <f>IMAGE("file:///E:/Estudios%20y%20certificaciones/ESTUDIOS%20DE%20PROGRAMMING/PROGRAMMING/PERSONAL/PYTHON/Image_Generator_API/imagenes/T_TAHARI_6220691_SAG_1.jpg")</f>
        <v/>
      </c>
      <c r="M4576">
        <f>IMAGE("file:///E:/Estudios%20y%20certificaciones/ESTUDIOS%20DE%20PROGRAMMING/PROGRAMMING/PERSONAL/PYTHON/Image_Generator_API/imagenes/T_TAHARI_6220691_SAG_3.jpg")</f>
        <v/>
      </c>
      <c r="O4576">
        <f>HYPERLINK("imagenes/T_TAHARI_6220691_SAG_1.jpg","Ver imagen")</f>
        <v/>
      </c>
      <c r="P4576">
        <f>HYPERLINK("imagenes/T_TAHARI_6220691_SAG_3.jpg","Ver imagen")</f>
        <v/>
      </c>
    </row>
    <row r="4577">
      <c r="A4577" t="inlineStr">
        <is>
          <t>T TAHARI</t>
        </is>
      </c>
      <c r="B4577" t="inlineStr">
        <is>
          <t>6220691</t>
        </is>
      </c>
      <c r="C4577" t="inlineStr">
        <is>
          <t>BROOKE DF SHACKET</t>
        </is>
      </c>
      <c r="D4577" t="inlineStr">
        <is>
          <t>SAG</t>
        </is>
      </c>
      <c r="E4577" t="inlineStr">
        <is>
          <t>(en blanco)</t>
        </is>
      </c>
      <c r="F4577" t="inlineStr">
        <is>
          <t>(en blanco)</t>
        </is>
      </c>
      <c r="G4577" t="inlineStr">
        <is>
          <t>L</t>
        </is>
      </c>
      <c r="H4577" t="n">
        <v>15</v>
      </c>
      <c r="I4577" t="inlineStr">
        <is>
          <t>T_TAHARI_6220691_SAG_1.jpg</t>
        </is>
      </c>
      <c r="J4577" t="inlineStr">
        <is>
          <t>T_TAHARI_6220691_SAG_3.jpg</t>
        </is>
      </c>
      <c r="L4577">
        <f>IMAGE("file:///E:/Estudios%20y%20certificaciones/ESTUDIOS%20DE%20PROGRAMMING/PROGRAMMING/PERSONAL/PYTHON/Image_Generator_API/imagenes/T_TAHARI_6220691_SAG_1.jpg")</f>
        <v/>
      </c>
      <c r="M4577">
        <f>IMAGE("file:///E:/Estudios%20y%20certificaciones/ESTUDIOS%20DE%20PROGRAMMING/PROGRAMMING/PERSONAL/PYTHON/Image_Generator_API/imagenes/T_TAHARI_6220691_SAG_3.jpg")</f>
        <v/>
      </c>
      <c r="O4577">
        <f>HYPERLINK("imagenes/T_TAHARI_6220691_SAG_1.jpg","Ver imagen")</f>
        <v/>
      </c>
      <c r="P4577">
        <f>HYPERLINK("imagenes/T_TAHARI_6220691_SAG_3.jpg","Ver imagen")</f>
        <v/>
      </c>
    </row>
    <row r="4578">
      <c r="A4578" t="inlineStr">
        <is>
          <t>T TAHARI</t>
        </is>
      </c>
      <c r="B4578" t="inlineStr">
        <is>
          <t>6220691</t>
        </is>
      </c>
      <c r="C4578" t="inlineStr">
        <is>
          <t>BROOKE DF SHACKET</t>
        </is>
      </c>
      <c r="D4578" t="inlineStr">
        <is>
          <t>SAG</t>
        </is>
      </c>
      <c r="E4578" t="inlineStr">
        <is>
          <t>(en blanco)</t>
        </is>
      </c>
      <c r="F4578" t="inlineStr">
        <is>
          <t>(en blanco)</t>
        </is>
      </c>
      <c r="G4578" t="inlineStr">
        <is>
          <t>XL</t>
        </is>
      </c>
      <c r="H4578" t="n">
        <v>8</v>
      </c>
      <c r="I4578" t="inlineStr">
        <is>
          <t>T_TAHARI_6220691_SAG_1.jpg</t>
        </is>
      </c>
      <c r="J4578" t="inlineStr">
        <is>
          <t>T_TAHARI_6220691_SAG_3.jpg</t>
        </is>
      </c>
      <c r="L4578">
        <f>IMAGE("file:///E:/Estudios%20y%20certificaciones/ESTUDIOS%20DE%20PROGRAMMING/PROGRAMMING/PERSONAL/PYTHON/Image_Generator_API/imagenes/T_TAHARI_6220691_SAG_1.jpg")</f>
        <v/>
      </c>
      <c r="M4578">
        <f>IMAGE("file:///E:/Estudios%20y%20certificaciones/ESTUDIOS%20DE%20PROGRAMMING/PROGRAMMING/PERSONAL/PYTHON/Image_Generator_API/imagenes/T_TAHARI_6220691_SAG_3.jpg")</f>
        <v/>
      </c>
      <c r="O4578">
        <f>HYPERLINK("imagenes/T_TAHARI_6220691_SAG_1.jpg","Ver imagen")</f>
        <v/>
      </c>
      <c r="P4578">
        <f>HYPERLINK("imagenes/T_TAHARI_6220691_SAG_3.jpg","Ver imagen")</f>
        <v/>
      </c>
    </row>
    <row r="4579">
      <c r="A4579" t="inlineStr">
        <is>
          <t>T TAHARI</t>
        </is>
      </c>
      <c r="B4579" t="inlineStr">
        <is>
          <t>6220691</t>
        </is>
      </c>
      <c r="C4579" t="inlineStr">
        <is>
          <t>BROOKE DF SHACKET</t>
        </is>
      </c>
      <c r="D4579" t="inlineStr">
        <is>
          <t>SAG</t>
        </is>
      </c>
      <c r="E4579" t="inlineStr">
        <is>
          <t>(en blanco)</t>
        </is>
      </c>
      <c r="F4579" t="inlineStr">
        <is>
          <t>(en blanco)</t>
        </is>
      </c>
      <c r="G4579" t="inlineStr">
        <is>
          <t>XXL</t>
        </is>
      </c>
      <c r="H4579" t="n">
        <v>8</v>
      </c>
      <c r="I4579" t="inlineStr">
        <is>
          <t>T_TAHARI_6220691_SAG_1.jpg</t>
        </is>
      </c>
      <c r="J4579" t="inlineStr">
        <is>
          <t>T_TAHARI_6220691_SAG_3.jpg</t>
        </is>
      </c>
      <c r="L4579">
        <f>IMAGE("file:///E:/Estudios%20y%20certificaciones/ESTUDIOS%20DE%20PROGRAMMING/PROGRAMMING/PERSONAL/PYTHON/Image_Generator_API/imagenes/T_TAHARI_6220691_SAG_1.jpg")</f>
        <v/>
      </c>
      <c r="M4579">
        <f>IMAGE("file:///E:/Estudios%20y%20certificaciones/ESTUDIOS%20DE%20PROGRAMMING/PROGRAMMING/PERSONAL/PYTHON/Image_Generator_API/imagenes/T_TAHARI_6220691_SAG_3.jpg")</f>
        <v/>
      </c>
      <c r="O4579">
        <f>HYPERLINK("imagenes/T_TAHARI_6220691_SAG_1.jpg","Ver imagen")</f>
        <v/>
      </c>
      <c r="P4579">
        <f>HYPERLINK("imagenes/T_TAHARI_6220691_SAG_3.jpg","Ver imagen")</f>
        <v/>
      </c>
    </row>
    <row r="4580">
      <c r="A4580" t="inlineStr">
        <is>
          <t>T TAHARI</t>
        </is>
      </c>
      <c r="B4580" t="inlineStr">
        <is>
          <t>6223606</t>
        </is>
      </c>
      <c r="C4580" t="inlineStr">
        <is>
          <t>NELLY MAXI PUFFER</t>
        </is>
      </c>
      <c r="D4580" t="inlineStr">
        <is>
          <t>BLK</t>
        </is>
      </c>
      <c r="E4580" t="inlineStr">
        <is>
          <t>(en blanco)</t>
        </is>
      </c>
      <c r="F4580" t="inlineStr">
        <is>
          <t>(en blanco)</t>
        </is>
      </c>
      <c r="G4580" t="inlineStr">
        <is>
          <t>XXS</t>
        </is>
      </c>
      <c r="H4580" t="n">
        <v>1</v>
      </c>
      <c r="I4580" t="inlineStr">
        <is>
          <t>T_TAHARI_6223606_BLK_1.jpg</t>
        </is>
      </c>
      <c r="J4580" t="inlineStr">
        <is>
          <t>T_TAHARI_6223606_BLK_2.jpg</t>
        </is>
      </c>
      <c r="K4580" t="inlineStr">
        <is>
          <t>T_TAHARI_6223606_BLK_3.jpg</t>
        </is>
      </c>
      <c r="L4580">
        <f>IMAGE("file:///E:/Estudios%20y%20certificaciones/ESTUDIOS%20DE%20PROGRAMMING/PROGRAMMING/PERSONAL/PYTHON/Image_Generator_API/imagenes/T_TAHARI_6223606_BLK_1.jpg")</f>
        <v/>
      </c>
      <c r="M4580">
        <f>IMAGE("file:///E:/Estudios%20y%20certificaciones/ESTUDIOS%20DE%20PROGRAMMING/PROGRAMMING/PERSONAL/PYTHON/Image_Generator_API/imagenes/T_TAHARI_6223606_BLK_2.jpg")</f>
        <v/>
      </c>
      <c r="N4580">
        <f>IMAGE("file:///E:/Estudios%20y%20certificaciones/ESTUDIOS%20DE%20PROGRAMMING/PROGRAMMING/PERSONAL/PYTHON/Image_Generator_API/imagenes/T_TAHARI_6223606_BLK_3.jpg")</f>
        <v/>
      </c>
      <c r="O4580">
        <f>HYPERLINK("imagenes/T_TAHARI_6223606_BLK_1.jpg","Ver imagen")</f>
        <v/>
      </c>
      <c r="P4580">
        <f>HYPERLINK("imagenes/T_TAHARI_6223606_BLK_2.jpg","Ver imagen")</f>
        <v/>
      </c>
      <c r="Q4580">
        <f>HYPERLINK("imagenes/T_TAHARI_6223606_BLK_3.jpg","Ver imagen")</f>
        <v/>
      </c>
    </row>
    <row r="4581">
      <c r="A4581" t="inlineStr">
        <is>
          <t>T TAHARI</t>
        </is>
      </c>
      <c r="B4581" t="inlineStr">
        <is>
          <t>6228508</t>
        </is>
      </c>
      <c r="C4581" t="inlineStr">
        <is>
          <t>LIV</t>
        </is>
      </c>
      <c r="D4581" t="inlineStr">
        <is>
          <t>BLK</t>
        </is>
      </c>
      <c r="E4581" t="inlineStr">
        <is>
          <t>(en blanco)</t>
        </is>
      </c>
      <c r="F4581" t="inlineStr">
        <is>
          <t>(en blanco)</t>
        </is>
      </c>
      <c r="G4581" t="inlineStr">
        <is>
          <t>S</t>
        </is>
      </c>
      <c r="H4581" t="n">
        <v>3</v>
      </c>
      <c r="I4581" t="inlineStr">
        <is>
          <t>T_TAHARI_6228508_BLK_1.jpg</t>
        </is>
      </c>
      <c r="J4581" t="inlineStr">
        <is>
          <t>T_TAHARI_6228508_BLK_2.jpg</t>
        </is>
      </c>
      <c r="K4581" t="inlineStr">
        <is>
          <t>T_TAHARI_6228508_BLK_3.jpg</t>
        </is>
      </c>
      <c r="L4581">
        <f>IMAGE("file:///E:/Estudios%20y%20certificaciones/ESTUDIOS%20DE%20PROGRAMMING/PROGRAMMING/PERSONAL/PYTHON/Image_Generator_API/imagenes/T_TAHARI_6228508_BLK_1.jpg")</f>
        <v/>
      </c>
      <c r="M4581">
        <f>IMAGE("file:///E:/Estudios%20y%20certificaciones/ESTUDIOS%20DE%20PROGRAMMING/PROGRAMMING/PERSONAL/PYTHON/Image_Generator_API/imagenes/T_TAHARI_6228508_BLK_2.jpg")</f>
        <v/>
      </c>
      <c r="N4581">
        <f>IMAGE("file:///E:/Estudios%20y%20certificaciones/ESTUDIOS%20DE%20PROGRAMMING/PROGRAMMING/PERSONAL/PYTHON/Image_Generator_API/imagenes/T_TAHARI_6228508_BLK_3.jpg")</f>
        <v/>
      </c>
      <c r="O4581">
        <f>HYPERLINK("imagenes/T_TAHARI_6228508_BLK_1.jpg","Ver imagen")</f>
        <v/>
      </c>
      <c r="P4581">
        <f>HYPERLINK("imagenes/T_TAHARI_6228508_BLK_2.jpg","Ver imagen")</f>
        <v/>
      </c>
      <c r="Q4581">
        <f>HYPERLINK("imagenes/T_TAHARI_6228508_BLK_3.jpg","Ver imagen")</f>
        <v/>
      </c>
    </row>
    <row r="4582">
      <c r="A4582" t="inlineStr">
        <is>
          <t>T TAHARI</t>
        </is>
      </c>
      <c r="B4582" t="inlineStr">
        <is>
          <t>6228508</t>
        </is>
      </c>
      <c r="C4582" t="inlineStr">
        <is>
          <t>LIV</t>
        </is>
      </c>
      <c r="D4582" t="inlineStr">
        <is>
          <t>BLK</t>
        </is>
      </c>
      <c r="E4582" t="inlineStr">
        <is>
          <t>(en blanco)</t>
        </is>
      </c>
      <c r="F4582" t="inlineStr">
        <is>
          <t>(en blanco)</t>
        </is>
      </c>
      <c r="G4582" t="inlineStr">
        <is>
          <t>M</t>
        </is>
      </c>
      <c r="H4582" t="n">
        <v>2</v>
      </c>
      <c r="I4582" t="inlineStr">
        <is>
          <t>T_TAHARI_6228508_BLK_1.jpg</t>
        </is>
      </c>
      <c r="J4582" t="inlineStr">
        <is>
          <t>T_TAHARI_6228508_BLK_2.jpg</t>
        </is>
      </c>
      <c r="K4582" t="inlineStr">
        <is>
          <t>T_TAHARI_6228508_BLK_3.jpg</t>
        </is>
      </c>
      <c r="L4582">
        <f>IMAGE("file:///E:/Estudios%20y%20certificaciones/ESTUDIOS%20DE%20PROGRAMMING/PROGRAMMING/PERSONAL/PYTHON/Image_Generator_API/imagenes/T_TAHARI_6228508_BLK_1.jpg")</f>
        <v/>
      </c>
      <c r="M4582">
        <f>IMAGE("file:///E:/Estudios%20y%20certificaciones/ESTUDIOS%20DE%20PROGRAMMING/PROGRAMMING/PERSONAL/PYTHON/Image_Generator_API/imagenes/T_TAHARI_6228508_BLK_2.jpg")</f>
        <v/>
      </c>
      <c r="N4582">
        <f>IMAGE("file:///E:/Estudios%20y%20certificaciones/ESTUDIOS%20DE%20PROGRAMMING/PROGRAMMING/PERSONAL/PYTHON/Image_Generator_API/imagenes/T_TAHARI_6228508_BLK_3.jpg")</f>
        <v/>
      </c>
      <c r="O4582">
        <f>HYPERLINK("imagenes/T_TAHARI_6228508_BLK_1.jpg","Ver imagen")</f>
        <v/>
      </c>
      <c r="P4582">
        <f>HYPERLINK("imagenes/T_TAHARI_6228508_BLK_2.jpg","Ver imagen")</f>
        <v/>
      </c>
      <c r="Q4582">
        <f>HYPERLINK("imagenes/T_TAHARI_6228508_BLK_3.jpg","Ver imagen")</f>
        <v/>
      </c>
    </row>
    <row r="4583">
      <c r="A4583" t="inlineStr">
        <is>
          <t>T TAHARI</t>
        </is>
      </c>
      <c r="B4583" t="inlineStr">
        <is>
          <t>6228508</t>
        </is>
      </c>
      <c r="C4583" t="inlineStr">
        <is>
          <t>LIV</t>
        </is>
      </c>
      <c r="D4583" t="inlineStr">
        <is>
          <t>BLK</t>
        </is>
      </c>
      <c r="E4583" t="inlineStr">
        <is>
          <t>(en blanco)</t>
        </is>
      </c>
      <c r="F4583" t="inlineStr">
        <is>
          <t>(en blanco)</t>
        </is>
      </c>
      <c r="G4583" t="inlineStr">
        <is>
          <t>XXL</t>
        </is>
      </c>
      <c r="H4583" t="n">
        <v>4</v>
      </c>
      <c r="I4583" t="inlineStr">
        <is>
          <t>T_TAHARI_6228508_BLK_1.jpg</t>
        </is>
      </c>
      <c r="J4583" t="inlineStr">
        <is>
          <t>T_TAHARI_6228508_BLK_2.jpg</t>
        </is>
      </c>
      <c r="K4583" t="inlineStr">
        <is>
          <t>T_TAHARI_6228508_BLK_3.jpg</t>
        </is>
      </c>
      <c r="L4583">
        <f>IMAGE("file:///E:/Estudios%20y%20certificaciones/ESTUDIOS%20DE%20PROGRAMMING/PROGRAMMING/PERSONAL/PYTHON/Image_Generator_API/imagenes/T_TAHARI_6228508_BLK_1.jpg")</f>
        <v/>
      </c>
      <c r="M4583">
        <f>IMAGE("file:///E:/Estudios%20y%20certificaciones/ESTUDIOS%20DE%20PROGRAMMING/PROGRAMMING/PERSONAL/PYTHON/Image_Generator_API/imagenes/T_TAHARI_6228508_BLK_2.jpg")</f>
        <v/>
      </c>
      <c r="N4583">
        <f>IMAGE("file:///E:/Estudios%20y%20certificaciones/ESTUDIOS%20DE%20PROGRAMMING/PROGRAMMING/PERSONAL/PYTHON/Image_Generator_API/imagenes/T_TAHARI_6228508_BLK_3.jpg")</f>
        <v/>
      </c>
      <c r="O4583">
        <f>HYPERLINK("imagenes/T_TAHARI_6228508_BLK_1.jpg","Ver imagen")</f>
        <v/>
      </c>
      <c r="P4583">
        <f>HYPERLINK("imagenes/T_TAHARI_6228508_BLK_2.jpg","Ver imagen")</f>
        <v/>
      </c>
      <c r="Q4583">
        <f>HYPERLINK("imagenes/T_TAHARI_6228508_BLK_3.jpg","Ver imagen")</f>
        <v/>
      </c>
    </row>
    <row r="4584">
      <c r="A4584" t="inlineStr">
        <is>
          <t>T TAHARI</t>
        </is>
      </c>
      <c r="B4584" t="inlineStr">
        <is>
          <t>6228508</t>
        </is>
      </c>
      <c r="C4584" t="inlineStr">
        <is>
          <t>LIV</t>
        </is>
      </c>
      <c r="D4584" t="inlineStr">
        <is>
          <t>CHO</t>
        </is>
      </c>
      <c r="E4584" t="inlineStr">
        <is>
          <t>(en blanco)</t>
        </is>
      </c>
      <c r="F4584" t="inlineStr">
        <is>
          <t>(en blanco)</t>
        </is>
      </c>
      <c r="G4584" t="inlineStr">
        <is>
          <t>M</t>
        </is>
      </c>
      <c r="H4584" t="n">
        <v>4</v>
      </c>
      <c r="I4584" t="inlineStr">
        <is>
          <t>T_TAHARI_6228508_CHO_1.jpg</t>
        </is>
      </c>
      <c r="J4584" t="inlineStr">
        <is>
          <t>T_TAHARI_6228508_CHO_2.jpg</t>
        </is>
      </c>
      <c r="K4584" t="inlineStr">
        <is>
          <t>T_TAHARI_6228508_CHO_3.jpg</t>
        </is>
      </c>
      <c r="L4584">
        <f>IMAGE("file:///E:/Estudios%20y%20certificaciones/ESTUDIOS%20DE%20PROGRAMMING/PROGRAMMING/PERSONAL/PYTHON/Image_Generator_API/imagenes/T_TAHARI_6228508_CHO_1.jpg")</f>
        <v/>
      </c>
      <c r="M4584">
        <f>IMAGE("file:///E:/Estudios%20y%20certificaciones/ESTUDIOS%20DE%20PROGRAMMING/PROGRAMMING/PERSONAL/PYTHON/Image_Generator_API/imagenes/T_TAHARI_6228508_CHO_2.jpg")</f>
        <v/>
      </c>
      <c r="N4584">
        <f>IMAGE("file:///E:/Estudios%20y%20certificaciones/ESTUDIOS%20DE%20PROGRAMMING/PROGRAMMING/PERSONAL/PYTHON/Image_Generator_API/imagenes/T_TAHARI_6228508_CHO_3.jpg")</f>
        <v/>
      </c>
      <c r="O4584">
        <f>HYPERLINK("imagenes/T_TAHARI_6228508_CHO_1.jpg","Ver imagen")</f>
        <v/>
      </c>
      <c r="P4584">
        <f>HYPERLINK("imagenes/T_TAHARI_6228508_CHO_2.jpg","Ver imagen")</f>
        <v/>
      </c>
      <c r="Q4584">
        <f>HYPERLINK("imagenes/T_TAHARI_6228508_CHO_3.jpg","Ver imagen")</f>
        <v/>
      </c>
    </row>
    <row r="4585">
      <c r="A4585" t="inlineStr">
        <is>
          <t>T TAHARI</t>
        </is>
      </c>
      <c r="B4585" t="inlineStr">
        <is>
          <t>6228508</t>
        </is>
      </c>
      <c r="C4585" t="inlineStr">
        <is>
          <t>LIV</t>
        </is>
      </c>
      <c r="D4585" t="inlineStr">
        <is>
          <t>CHO</t>
        </is>
      </c>
      <c r="E4585" t="inlineStr">
        <is>
          <t>(en blanco)</t>
        </is>
      </c>
      <c r="F4585" t="inlineStr">
        <is>
          <t>(en blanco)</t>
        </is>
      </c>
      <c r="G4585" t="inlineStr">
        <is>
          <t>L</t>
        </is>
      </c>
      <c r="H4585" t="n">
        <v>17</v>
      </c>
      <c r="I4585" t="inlineStr">
        <is>
          <t>T_TAHARI_6228508_CHO_1.jpg</t>
        </is>
      </c>
      <c r="J4585" t="inlineStr">
        <is>
          <t>T_TAHARI_6228508_CHO_2.jpg</t>
        </is>
      </c>
      <c r="K4585" t="inlineStr">
        <is>
          <t>T_TAHARI_6228508_CHO_3.jpg</t>
        </is>
      </c>
      <c r="L4585">
        <f>IMAGE("file:///E:/Estudios%20y%20certificaciones/ESTUDIOS%20DE%20PROGRAMMING/PROGRAMMING/PERSONAL/PYTHON/Image_Generator_API/imagenes/T_TAHARI_6228508_CHO_1.jpg")</f>
        <v/>
      </c>
      <c r="M4585">
        <f>IMAGE("file:///E:/Estudios%20y%20certificaciones/ESTUDIOS%20DE%20PROGRAMMING/PROGRAMMING/PERSONAL/PYTHON/Image_Generator_API/imagenes/T_TAHARI_6228508_CHO_2.jpg")</f>
        <v/>
      </c>
      <c r="N4585">
        <f>IMAGE("file:///E:/Estudios%20y%20certificaciones/ESTUDIOS%20DE%20PROGRAMMING/PROGRAMMING/PERSONAL/PYTHON/Image_Generator_API/imagenes/T_TAHARI_6228508_CHO_3.jpg")</f>
        <v/>
      </c>
      <c r="O4585">
        <f>HYPERLINK("imagenes/T_TAHARI_6228508_CHO_1.jpg","Ver imagen")</f>
        <v/>
      </c>
      <c r="P4585">
        <f>HYPERLINK("imagenes/T_TAHARI_6228508_CHO_2.jpg","Ver imagen")</f>
        <v/>
      </c>
      <c r="Q4585">
        <f>HYPERLINK("imagenes/T_TAHARI_6228508_CHO_3.jpg","Ver imagen")</f>
        <v/>
      </c>
    </row>
    <row r="4586">
      <c r="A4586" t="inlineStr">
        <is>
          <t>T TAHARI</t>
        </is>
      </c>
      <c r="B4586" t="inlineStr">
        <is>
          <t>6228508</t>
        </is>
      </c>
      <c r="C4586" t="inlineStr">
        <is>
          <t>LIV</t>
        </is>
      </c>
      <c r="D4586" t="inlineStr">
        <is>
          <t>CHO</t>
        </is>
      </c>
      <c r="E4586" t="inlineStr">
        <is>
          <t>(en blanco)</t>
        </is>
      </c>
      <c r="F4586" t="inlineStr">
        <is>
          <t>(en blanco)</t>
        </is>
      </c>
      <c r="G4586" t="inlineStr">
        <is>
          <t>XL</t>
        </is>
      </c>
      <c r="H4586" t="n">
        <v>46</v>
      </c>
      <c r="I4586" t="inlineStr">
        <is>
          <t>T_TAHARI_6228508_CHO_1.jpg</t>
        </is>
      </c>
      <c r="J4586" t="inlineStr">
        <is>
          <t>T_TAHARI_6228508_CHO_2.jpg</t>
        </is>
      </c>
      <c r="K4586" t="inlineStr">
        <is>
          <t>T_TAHARI_6228508_CHO_3.jpg</t>
        </is>
      </c>
      <c r="L4586">
        <f>IMAGE("file:///E:/Estudios%20y%20certificaciones/ESTUDIOS%20DE%20PROGRAMMING/PROGRAMMING/PERSONAL/PYTHON/Image_Generator_API/imagenes/T_TAHARI_6228508_CHO_1.jpg")</f>
        <v/>
      </c>
      <c r="M4586">
        <f>IMAGE("file:///E:/Estudios%20y%20certificaciones/ESTUDIOS%20DE%20PROGRAMMING/PROGRAMMING/PERSONAL/PYTHON/Image_Generator_API/imagenes/T_TAHARI_6228508_CHO_2.jpg")</f>
        <v/>
      </c>
      <c r="N4586">
        <f>IMAGE("file:///E:/Estudios%20y%20certificaciones/ESTUDIOS%20DE%20PROGRAMMING/PROGRAMMING/PERSONAL/PYTHON/Image_Generator_API/imagenes/T_TAHARI_6228508_CHO_3.jpg")</f>
        <v/>
      </c>
      <c r="O4586">
        <f>HYPERLINK("imagenes/T_TAHARI_6228508_CHO_1.jpg","Ver imagen")</f>
        <v/>
      </c>
      <c r="P4586">
        <f>HYPERLINK("imagenes/T_TAHARI_6228508_CHO_2.jpg","Ver imagen")</f>
        <v/>
      </c>
      <c r="Q4586">
        <f>HYPERLINK("imagenes/T_TAHARI_6228508_CHO_3.jpg","Ver imagen")</f>
        <v/>
      </c>
    </row>
    <row r="4587">
      <c r="A4587" t="inlineStr">
        <is>
          <t>T TAHARI</t>
        </is>
      </c>
      <c r="B4587" t="inlineStr">
        <is>
          <t>6228508</t>
        </is>
      </c>
      <c r="C4587" t="inlineStr">
        <is>
          <t>LIV</t>
        </is>
      </c>
      <c r="D4587" t="inlineStr">
        <is>
          <t>CHO</t>
        </is>
      </c>
      <c r="E4587" t="inlineStr">
        <is>
          <t>(en blanco)</t>
        </is>
      </c>
      <c r="F4587" t="inlineStr">
        <is>
          <t>(en blanco)</t>
        </is>
      </c>
      <c r="G4587" t="inlineStr">
        <is>
          <t>XXL</t>
        </is>
      </c>
      <c r="H4587" t="n">
        <v>52</v>
      </c>
      <c r="I4587" t="inlineStr">
        <is>
          <t>T_TAHARI_6228508_CHO_1.jpg</t>
        </is>
      </c>
      <c r="J4587" t="inlineStr">
        <is>
          <t>T_TAHARI_6228508_CHO_2.jpg</t>
        </is>
      </c>
      <c r="K4587" t="inlineStr">
        <is>
          <t>T_TAHARI_6228508_CHO_3.jpg</t>
        </is>
      </c>
      <c r="L4587">
        <f>IMAGE("file:///E:/Estudios%20y%20certificaciones/ESTUDIOS%20DE%20PROGRAMMING/PROGRAMMING/PERSONAL/PYTHON/Image_Generator_API/imagenes/T_TAHARI_6228508_CHO_1.jpg")</f>
        <v/>
      </c>
      <c r="M4587">
        <f>IMAGE("file:///E:/Estudios%20y%20certificaciones/ESTUDIOS%20DE%20PROGRAMMING/PROGRAMMING/PERSONAL/PYTHON/Image_Generator_API/imagenes/T_TAHARI_6228508_CHO_2.jpg")</f>
        <v/>
      </c>
      <c r="N4587">
        <f>IMAGE("file:///E:/Estudios%20y%20certificaciones/ESTUDIOS%20DE%20PROGRAMMING/PROGRAMMING/PERSONAL/PYTHON/Image_Generator_API/imagenes/T_TAHARI_6228508_CHO_3.jpg")</f>
        <v/>
      </c>
      <c r="O4587">
        <f>HYPERLINK("imagenes/T_TAHARI_6228508_CHO_1.jpg","Ver imagen")</f>
        <v/>
      </c>
      <c r="P4587">
        <f>HYPERLINK("imagenes/T_TAHARI_6228508_CHO_2.jpg","Ver imagen")</f>
        <v/>
      </c>
      <c r="Q4587">
        <f>HYPERLINK("imagenes/T_TAHARI_6228508_CHO_3.jpg","Ver imagen")</f>
        <v/>
      </c>
    </row>
    <row r="4588">
      <c r="A4588" t="inlineStr">
        <is>
          <t>T TAHARI</t>
        </is>
      </c>
      <c r="B4588" t="inlineStr">
        <is>
          <t>6230635</t>
        </is>
      </c>
      <c r="C4588" t="inlineStr">
        <is>
          <t>ELLA PLUS</t>
        </is>
      </c>
      <c r="D4588" t="inlineStr">
        <is>
          <t>BLK</t>
        </is>
      </c>
      <c r="E4588" t="inlineStr">
        <is>
          <t>(en blanco)</t>
        </is>
      </c>
      <c r="F4588" t="inlineStr">
        <is>
          <t>(en blanco)</t>
        </is>
      </c>
      <c r="G4588" t="inlineStr">
        <is>
          <t>1X</t>
        </is>
      </c>
      <c r="H4588" t="n">
        <v>1</v>
      </c>
      <c r="I4588" t="inlineStr">
        <is>
          <t>T_TAHARI_6230635_BLK_1.jpg</t>
        </is>
      </c>
      <c r="J4588" t="inlineStr">
        <is>
          <t>T_TAHARI_6230635_BLK_2.jpg</t>
        </is>
      </c>
      <c r="K4588" t="inlineStr">
        <is>
          <t>T_TAHARI_6230635_BLK_3.jpg</t>
        </is>
      </c>
      <c r="L4588">
        <f>IMAGE("file:///E:/Estudios%20y%20certificaciones/ESTUDIOS%20DE%20PROGRAMMING/PROGRAMMING/PERSONAL/PYTHON/Image_Generator_API/imagenes/T_TAHARI_6230635_BLK_1.jpg")</f>
        <v/>
      </c>
      <c r="M4588">
        <f>IMAGE("file:///E:/Estudios%20y%20certificaciones/ESTUDIOS%20DE%20PROGRAMMING/PROGRAMMING/PERSONAL/PYTHON/Image_Generator_API/imagenes/T_TAHARI_6230635_BLK_2.jpg")</f>
        <v/>
      </c>
      <c r="N4588">
        <f>IMAGE("file:///E:/Estudios%20y%20certificaciones/ESTUDIOS%20DE%20PROGRAMMING/PROGRAMMING/PERSONAL/PYTHON/Image_Generator_API/imagenes/T_TAHARI_6230635_BLK_3.jpg")</f>
        <v/>
      </c>
      <c r="O4588">
        <f>HYPERLINK("imagenes/T_TAHARI_6230635_BLK_1.jpg","Ver imagen")</f>
        <v/>
      </c>
      <c r="P4588">
        <f>HYPERLINK("imagenes/T_TAHARI_6230635_BLK_2.jpg","Ver imagen")</f>
        <v/>
      </c>
      <c r="Q4588">
        <f>HYPERLINK("imagenes/T_TAHARI_6230635_BLK_3.jpg","Ver imagen")</f>
        <v/>
      </c>
    </row>
    <row r="4589">
      <c r="A4589" t="inlineStr">
        <is>
          <t>T TAHARI</t>
        </is>
      </c>
      <c r="B4589" t="inlineStr">
        <is>
          <t>6230635</t>
        </is>
      </c>
      <c r="C4589" t="inlineStr">
        <is>
          <t>ELLA PLUS</t>
        </is>
      </c>
      <c r="D4589" t="inlineStr">
        <is>
          <t>BLK</t>
        </is>
      </c>
      <c r="E4589" t="inlineStr">
        <is>
          <t>(en blanco)</t>
        </is>
      </c>
      <c r="F4589" t="inlineStr">
        <is>
          <t>(en blanco)</t>
        </is>
      </c>
      <c r="G4589" t="inlineStr">
        <is>
          <t>2X</t>
        </is>
      </c>
      <c r="H4589" t="n">
        <v>1</v>
      </c>
      <c r="I4589" t="inlineStr">
        <is>
          <t>T_TAHARI_6230635_BLK_1.jpg</t>
        </is>
      </c>
      <c r="J4589" t="inlineStr">
        <is>
          <t>T_TAHARI_6230635_BLK_2.jpg</t>
        </is>
      </c>
      <c r="K4589" t="inlineStr">
        <is>
          <t>T_TAHARI_6230635_BLK_3.jpg</t>
        </is>
      </c>
      <c r="L4589">
        <f>IMAGE("file:///E:/Estudios%20y%20certificaciones/ESTUDIOS%20DE%20PROGRAMMING/PROGRAMMING/PERSONAL/PYTHON/Image_Generator_API/imagenes/T_TAHARI_6230635_BLK_1.jpg")</f>
        <v/>
      </c>
      <c r="M4589">
        <f>IMAGE("file:///E:/Estudios%20y%20certificaciones/ESTUDIOS%20DE%20PROGRAMMING/PROGRAMMING/PERSONAL/PYTHON/Image_Generator_API/imagenes/T_TAHARI_6230635_BLK_2.jpg")</f>
        <v/>
      </c>
      <c r="N4589">
        <f>IMAGE("file:///E:/Estudios%20y%20certificaciones/ESTUDIOS%20DE%20PROGRAMMING/PROGRAMMING/PERSONAL/PYTHON/Image_Generator_API/imagenes/T_TAHARI_6230635_BLK_3.jpg")</f>
        <v/>
      </c>
      <c r="O4589">
        <f>HYPERLINK("imagenes/T_TAHARI_6230635_BLK_1.jpg","Ver imagen")</f>
        <v/>
      </c>
      <c r="P4589">
        <f>HYPERLINK("imagenes/T_TAHARI_6230635_BLK_2.jpg","Ver imagen")</f>
        <v/>
      </c>
      <c r="Q4589">
        <f>HYPERLINK("imagenes/T_TAHARI_6230635_BLK_3.jpg","Ver imagen")</f>
        <v/>
      </c>
    </row>
    <row r="4590">
      <c r="A4590" t="inlineStr">
        <is>
          <t>T TAHARI</t>
        </is>
      </c>
      <c r="B4590" t="inlineStr">
        <is>
          <t>6230635</t>
        </is>
      </c>
      <c r="C4590" t="inlineStr">
        <is>
          <t>ELLA PLUS</t>
        </is>
      </c>
      <c r="D4590" t="inlineStr">
        <is>
          <t>BLK</t>
        </is>
      </c>
      <c r="E4590" t="inlineStr">
        <is>
          <t>(en blanco)</t>
        </is>
      </c>
      <c r="F4590" t="inlineStr">
        <is>
          <t>(en blanco)</t>
        </is>
      </c>
      <c r="G4590" t="inlineStr">
        <is>
          <t>3X</t>
        </is>
      </c>
      <c r="H4590" t="n">
        <v>3</v>
      </c>
      <c r="I4590" t="inlineStr">
        <is>
          <t>T_TAHARI_6230635_BLK_1.jpg</t>
        </is>
      </c>
      <c r="J4590" t="inlineStr">
        <is>
          <t>T_TAHARI_6230635_BLK_2.jpg</t>
        </is>
      </c>
      <c r="K4590" t="inlineStr">
        <is>
          <t>T_TAHARI_6230635_BLK_3.jpg</t>
        </is>
      </c>
      <c r="L4590">
        <f>IMAGE("file:///E:/Estudios%20y%20certificaciones/ESTUDIOS%20DE%20PROGRAMMING/PROGRAMMING/PERSONAL/PYTHON/Image_Generator_API/imagenes/T_TAHARI_6230635_BLK_1.jpg")</f>
        <v/>
      </c>
      <c r="M4590">
        <f>IMAGE("file:///E:/Estudios%20y%20certificaciones/ESTUDIOS%20DE%20PROGRAMMING/PROGRAMMING/PERSONAL/PYTHON/Image_Generator_API/imagenes/T_TAHARI_6230635_BLK_2.jpg")</f>
        <v/>
      </c>
      <c r="N4590">
        <f>IMAGE("file:///E:/Estudios%20y%20certificaciones/ESTUDIOS%20DE%20PROGRAMMING/PROGRAMMING/PERSONAL/PYTHON/Image_Generator_API/imagenes/T_TAHARI_6230635_BLK_3.jpg")</f>
        <v/>
      </c>
      <c r="O4590">
        <f>HYPERLINK("imagenes/T_TAHARI_6230635_BLK_1.jpg","Ver imagen")</f>
        <v/>
      </c>
      <c r="P4590">
        <f>HYPERLINK("imagenes/T_TAHARI_6230635_BLK_2.jpg","Ver imagen")</f>
        <v/>
      </c>
      <c r="Q4590">
        <f>HYPERLINK("imagenes/T_TAHARI_6230635_BLK_3.jpg","Ver imagen")</f>
        <v/>
      </c>
    </row>
    <row r="4591">
      <c r="A4591" t="inlineStr">
        <is>
          <t>T TAHARI</t>
        </is>
      </c>
      <c r="B4591" t="inlineStr">
        <is>
          <t>6230635</t>
        </is>
      </c>
      <c r="C4591" t="inlineStr">
        <is>
          <t>ELLA PLUS</t>
        </is>
      </c>
      <c r="D4591" t="inlineStr">
        <is>
          <t>CAM</t>
        </is>
      </c>
      <c r="E4591" t="inlineStr">
        <is>
          <t>(en blanco)</t>
        </is>
      </c>
      <c r="F4591" t="inlineStr">
        <is>
          <t>(en blanco)</t>
        </is>
      </c>
      <c r="G4591" t="inlineStr">
        <is>
          <t>1X</t>
        </is>
      </c>
      <c r="H4591" t="n">
        <v>4</v>
      </c>
      <c r="I4591" t="inlineStr">
        <is>
          <t>T_TAHARI_6230635_CAM_1.jpg</t>
        </is>
      </c>
      <c r="J4591" t="inlineStr">
        <is>
          <t>T_TAHARI_6230635_CAM_2.jpg</t>
        </is>
      </c>
      <c r="K4591" t="inlineStr">
        <is>
          <t>T_TAHARI_6230635_CAM_3.jpg</t>
        </is>
      </c>
      <c r="L4591">
        <f>IMAGE("file:///E:/Estudios%20y%20certificaciones/ESTUDIOS%20DE%20PROGRAMMING/PROGRAMMING/PERSONAL/PYTHON/Image_Generator_API/imagenes/T_TAHARI_6230635_CAM_1.jpg")</f>
        <v/>
      </c>
      <c r="M4591">
        <f>IMAGE("file:///E:/Estudios%20y%20certificaciones/ESTUDIOS%20DE%20PROGRAMMING/PROGRAMMING/PERSONAL/PYTHON/Image_Generator_API/imagenes/T_TAHARI_6230635_CAM_2.jpg")</f>
        <v/>
      </c>
      <c r="N4591">
        <f>IMAGE("file:///E:/Estudios%20y%20certificaciones/ESTUDIOS%20DE%20PROGRAMMING/PROGRAMMING/PERSONAL/PYTHON/Image_Generator_API/imagenes/T_TAHARI_6230635_CAM_3.jpg")</f>
        <v/>
      </c>
      <c r="O4591">
        <f>HYPERLINK("imagenes/T_TAHARI_6230635_CAM_1.jpg","Ver imagen")</f>
        <v/>
      </c>
      <c r="P4591">
        <f>HYPERLINK("imagenes/T_TAHARI_6230635_CAM_2.jpg","Ver imagen")</f>
        <v/>
      </c>
      <c r="Q4591">
        <f>HYPERLINK("imagenes/T_TAHARI_6230635_CAM_3.jpg","Ver imagen")</f>
        <v/>
      </c>
    </row>
    <row r="4592">
      <c r="A4592" t="inlineStr">
        <is>
          <t>T TAHARI</t>
        </is>
      </c>
      <c r="B4592" t="inlineStr">
        <is>
          <t>6230635</t>
        </is>
      </c>
      <c r="C4592" t="inlineStr">
        <is>
          <t>ELLA PLUS</t>
        </is>
      </c>
      <c r="D4592" t="inlineStr">
        <is>
          <t>CAM</t>
        </is>
      </c>
      <c r="E4592" t="inlineStr">
        <is>
          <t>(en blanco)</t>
        </is>
      </c>
      <c r="F4592" t="inlineStr">
        <is>
          <t>(en blanco)</t>
        </is>
      </c>
      <c r="G4592" t="inlineStr">
        <is>
          <t>2X</t>
        </is>
      </c>
      <c r="H4592" t="n">
        <v>5</v>
      </c>
      <c r="I4592" t="inlineStr">
        <is>
          <t>T_TAHARI_6230635_CAM_1.jpg</t>
        </is>
      </c>
      <c r="J4592" t="inlineStr">
        <is>
          <t>T_TAHARI_6230635_CAM_2.jpg</t>
        </is>
      </c>
      <c r="K4592" t="inlineStr">
        <is>
          <t>T_TAHARI_6230635_CAM_3.jpg</t>
        </is>
      </c>
      <c r="L4592">
        <f>IMAGE("file:///E:/Estudios%20y%20certificaciones/ESTUDIOS%20DE%20PROGRAMMING/PROGRAMMING/PERSONAL/PYTHON/Image_Generator_API/imagenes/T_TAHARI_6230635_CAM_1.jpg")</f>
        <v/>
      </c>
      <c r="M4592">
        <f>IMAGE("file:///E:/Estudios%20y%20certificaciones/ESTUDIOS%20DE%20PROGRAMMING/PROGRAMMING/PERSONAL/PYTHON/Image_Generator_API/imagenes/T_TAHARI_6230635_CAM_2.jpg")</f>
        <v/>
      </c>
      <c r="N4592">
        <f>IMAGE("file:///E:/Estudios%20y%20certificaciones/ESTUDIOS%20DE%20PROGRAMMING/PROGRAMMING/PERSONAL/PYTHON/Image_Generator_API/imagenes/T_TAHARI_6230635_CAM_3.jpg")</f>
        <v/>
      </c>
      <c r="O4592">
        <f>HYPERLINK("imagenes/T_TAHARI_6230635_CAM_1.jpg","Ver imagen")</f>
        <v/>
      </c>
      <c r="P4592">
        <f>HYPERLINK("imagenes/T_TAHARI_6230635_CAM_2.jpg","Ver imagen")</f>
        <v/>
      </c>
      <c r="Q4592">
        <f>HYPERLINK("imagenes/T_TAHARI_6230635_CAM_3.jpg","Ver imagen")</f>
        <v/>
      </c>
    </row>
    <row r="4593">
      <c r="A4593" t="inlineStr">
        <is>
          <t>T TAHARI</t>
        </is>
      </c>
      <c r="B4593" t="inlineStr">
        <is>
          <t>6230635</t>
        </is>
      </c>
      <c r="C4593" t="inlineStr">
        <is>
          <t>ELLA PLUS</t>
        </is>
      </c>
      <c r="D4593" t="inlineStr">
        <is>
          <t>CAM</t>
        </is>
      </c>
      <c r="E4593" t="inlineStr">
        <is>
          <t>(en blanco)</t>
        </is>
      </c>
      <c r="F4593" t="inlineStr">
        <is>
          <t>(en blanco)</t>
        </is>
      </c>
      <c r="G4593" t="inlineStr">
        <is>
          <t>3X</t>
        </is>
      </c>
      <c r="H4593" t="n">
        <v>5</v>
      </c>
      <c r="I4593" t="inlineStr">
        <is>
          <t>T_TAHARI_6230635_CAM_1.jpg</t>
        </is>
      </c>
      <c r="J4593" t="inlineStr">
        <is>
          <t>T_TAHARI_6230635_CAM_2.jpg</t>
        </is>
      </c>
      <c r="K4593" t="inlineStr">
        <is>
          <t>T_TAHARI_6230635_CAM_3.jpg</t>
        </is>
      </c>
      <c r="L4593">
        <f>IMAGE("file:///E:/Estudios%20y%20certificaciones/ESTUDIOS%20DE%20PROGRAMMING/PROGRAMMING/PERSONAL/PYTHON/Image_Generator_API/imagenes/T_TAHARI_6230635_CAM_1.jpg")</f>
        <v/>
      </c>
      <c r="M4593">
        <f>IMAGE("file:///E:/Estudios%20y%20certificaciones/ESTUDIOS%20DE%20PROGRAMMING/PROGRAMMING/PERSONAL/PYTHON/Image_Generator_API/imagenes/T_TAHARI_6230635_CAM_2.jpg")</f>
        <v/>
      </c>
      <c r="N4593">
        <f>IMAGE("file:///E:/Estudios%20y%20certificaciones/ESTUDIOS%20DE%20PROGRAMMING/PROGRAMMING/PERSONAL/PYTHON/Image_Generator_API/imagenes/T_TAHARI_6230635_CAM_3.jpg")</f>
        <v/>
      </c>
      <c r="O4593">
        <f>HYPERLINK("imagenes/T_TAHARI_6230635_CAM_1.jpg","Ver imagen")</f>
        <v/>
      </c>
      <c r="P4593">
        <f>HYPERLINK("imagenes/T_TAHARI_6230635_CAM_2.jpg","Ver imagen")</f>
        <v/>
      </c>
      <c r="Q4593">
        <f>HYPERLINK("imagenes/T_TAHARI_6230635_CAM_3.jpg","Ver imagen")</f>
        <v/>
      </c>
    </row>
    <row r="4594">
      <c r="A4594" t="inlineStr">
        <is>
          <t>T TAHARI</t>
        </is>
      </c>
      <c r="B4594" t="inlineStr">
        <is>
          <t>6238508</t>
        </is>
      </c>
      <c r="C4594" t="inlineStr">
        <is>
          <t>LIV PLUS</t>
        </is>
      </c>
      <c r="D4594" t="inlineStr">
        <is>
          <t>BLK</t>
        </is>
      </c>
      <c r="E4594" t="inlineStr">
        <is>
          <t>(en blanco)</t>
        </is>
      </c>
      <c r="F4594" t="inlineStr">
        <is>
          <t>(en blanco)</t>
        </is>
      </c>
      <c r="G4594" t="inlineStr">
        <is>
          <t>0X</t>
        </is>
      </c>
      <c r="H4594" t="n">
        <v>2</v>
      </c>
      <c r="I4594" t="inlineStr">
        <is>
          <t>T_TAHARI_6238508_BLK_1.jpg</t>
        </is>
      </c>
      <c r="J4594" t="inlineStr">
        <is>
          <t>T_TAHARI_6238508_BLK_2.jpg</t>
        </is>
      </c>
      <c r="K4594" t="inlineStr">
        <is>
          <t>T_TAHARI_6238508_BLK_3.jpg</t>
        </is>
      </c>
      <c r="L4594">
        <f>IMAGE("file:///E:/Estudios%20y%20certificaciones/ESTUDIOS%20DE%20PROGRAMMING/PROGRAMMING/PERSONAL/PYTHON/Image_Generator_API/imagenes/T_TAHARI_6238508_BLK_1.jpg")</f>
        <v/>
      </c>
      <c r="M4594">
        <f>IMAGE("file:///E:/Estudios%20y%20certificaciones/ESTUDIOS%20DE%20PROGRAMMING/PROGRAMMING/PERSONAL/PYTHON/Image_Generator_API/imagenes/T_TAHARI_6238508_BLK_2.jpg")</f>
        <v/>
      </c>
      <c r="N4594">
        <f>IMAGE("file:///E:/Estudios%20y%20certificaciones/ESTUDIOS%20DE%20PROGRAMMING/PROGRAMMING/PERSONAL/PYTHON/Image_Generator_API/imagenes/T_TAHARI_6238508_BLK_3.jpg")</f>
        <v/>
      </c>
      <c r="O4594">
        <f>HYPERLINK("imagenes/T_TAHARI_6238508_BLK_1.jpg","Ver imagen")</f>
        <v/>
      </c>
      <c r="P4594">
        <f>HYPERLINK("imagenes/T_TAHARI_6238508_BLK_2.jpg","Ver imagen")</f>
        <v/>
      </c>
      <c r="Q4594">
        <f>HYPERLINK("imagenes/T_TAHARI_6238508_BLK_3.jpg","Ver imagen")</f>
        <v/>
      </c>
    </row>
    <row r="4595">
      <c r="A4595" t="inlineStr">
        <is>
          <t>T TAHARI</t>
        </is>
      </c>
      <c r="B4595" t="inlineStr">
        <is>
          <t>6238508</t>
        </is>
      </c>
      <c r="C4595" t="inlineStr">
        <is>
          <t>LIV PLUS</t>
        </is>
      </c>
      <c r="D4595" t="inlineStr">
        <is>
          <t>BLK</t>
        </is>
      </c>
      <c r="E4595" t="inlineStr">
        <is>
          <t>(en blanco)</t>
        </is>
      </c>
      <c r="F4595" t="inlineStr">
        <is>
          <t>(en blanco)</t>
        </is>
      </c>
      <c r="G4595" t="inlineStr">
        <is>
          <t>3X</t>
        </is>
      </c>
      <c r="H4595" t="n">
        <v>1</v>
      </c>
      <c r="I4595" t="inlineStr">
        <is>
          <t>T_TAHARI_6238508_BLK_1.jpg</t>
        </is>
      </c>
      <c r="J4595" t="inlineStr">
        <is>
          <t>T_TAHARI_6238508_BLK_2.jpg</t>
        </is>
      </c>
      <c r="K4595" t="inlineStr">
        <is>
          <t>T_TAHARI_6238508_BLK_3.jpg</t>
        </is>
      </c>
      <c r="L4595">
        <f>IMAGE("file:///E:/Estudios%20y%20certificaciones/ESTUDIOS%20DE%20PROGRAMMING/PROGRAMMING/PERSONAL/PYTHON/Image_Generator_API/imagenes/T_TAHARI_6238508_BLK_1.jpg")</f>
        <v/>
      </c>
      <c r="M4595">
        <f>IMAGE("file:///E:/Estudios%20y%20certificaciones/ESTUDIOS%20DE%20PROGRAMMING/PROGRAMMING/PERSONAL/PYTHON/Image_Generator_API/imagenes/T_TAHARI_6238508_BLK_2.jpg")</f>
        <v/>
      </c>
      <c r="N4595">
        <f>IMAGE("file:///E:/Estudios%20y%20certificaciones/ESTUDIOS%20DE%20PROGRAMMING/PROGRAMMING/PERSONAL/PYTHON/Image_Generator_API/imagenes/T_TAHARI_6238508_BLK_3.jpg")</f>
        <v/>
      </c>
      <c r="O4595">
        <f>HYPERLINK("imagenes/T_TAHARI_6238508_BLK_1.jpg","Ver imagen")</f>
        <v/>
      </c>
      <c r="P4595">
        <f>HYPERLINK("imagenes/T_TAHARI_6238508_BLK_2.jpg","Ver imagen")</f>
        <v/>
      </c>
      <c r="Q4595">
        <f>HYPERLINK("imagenes/T_TAHARI_6238508_BLK_3.jpg","Ver imagen")</f>
        <v/>
      </c>
    </row>
    <row r="4596">
      <c r="A4596" t="inlineStr">
        <is>
          <t>T TAHARI</t>
        </is>
      </c>
      <c r="B4596" t="inlineStr">
        <is>
          <t>6410685</t>
        </is>
      </c>
      <c r="C4596" t="inlineStr">
        <is>
          <t>JULIETTE</t>
        </is>
      </c>
      <c r="D4596" t="inlineStr">
        <is>
          <t>BLK</t>
        </is>
      </c>
      <c r="E4596" t="inlineStr">
        <is>
          <t>(en blanco)</t>
        </is>
      </c>
      <c r="F4596" t="inlineStr">
        <is>
          <t>(en blanco)</t>
        </is>
      </c>
      <c r="G4596" t="inlineStr">
        <is>
          <t>2XP</t>
        </is>
      </c>
      <c r="H4596" t="n">
        <v>4</v>
      </c>
      <c r="I4596" t="inlineStr">
        <is>
          <t>T_TAHARI_6410685_BLK_1.jpg</t>
        </is>
      </c>
      <c r="J4596" t="inlineStr">
        <is>
          <t>T_TAHARI_6410685_BLK_2.jpg</t>
        </is>
      </c>
      <c r="K4596" t="inlineStr">
        <is>
          <t>T_TAHARI_6410685_BLK_3.jpg</t>
        </is>
      </c>
      <c r="L4596">
        <f>IMAGE("file:///E:/Estudios%20y%20certificaciones/ESTUDIOS%20DE%20PROGRAMMING/PROGRAMMING/PERSONAL/PYTHON/Image_Generator_API/imagenes/T_TAHARI_6410685_BLK_1.jpg")</f>
        <v/>
      </c>
      <c r="M4596">
        <f>IMAGE("file:///E:/Estudios%20y%20certificaciones/ESTUDIOS%20DE%20PROGRAMMING/PROGRAMMING/PERSONAL/PYTHON/Image_Generator_API/imagenes/T_TAHARI_6410685_BLK_2.jpg")</f>
        <v/>
      </c>
      <c r="N4596">
        <f>IMAGE("file:///E:/Estudios%20y%20certificaciones/ESTUDIOS%20DE%20PROGRAMMING/PROGRAMMING/PERSONAL/PYTHON/Image_Generator_API/imagenes/T_TAHARI_6410685_BLK_3.jpg")</f>
        <v/>
      </c>
      <c r="O4596">
        <f>HYPERLINK("imagenes/T_TAHARI_6410685_BLK_1.jpg","Ver imagen")</f>
        <v/>
      </c>
      <c r="P4596">
        <f>HYPERLINK("imagenes/T_TAHARI_6410685_BLK_2.jpg","Ver imagen")</f>
        <v/>
      </c>
      <c r="Q4596">
        <f>HYPERLINK("imagenes/T_TAHARI_6410685_BLK_3.jpg","Ver imagen")</f>
        <v/>
      </c>
    </row>
    <row r="4597">
      <c r="A4597" t="inlineStr">
        <is>
          <t>T TAHARI</t>
        </is>
      </c>
      <c r="B4597" t="inlineStr">
        <is>
          <t>6410685</t>
        </is>
      </c>
      <c r="C4597" t="inlineStr">
        <is>
          <t>JULIETTE</t>
        </is>
      </c>
      <c r="D4597" t="inlineStr">
        <is>
          <t>BLK</t>
        </is>
      </c>
      <c r="E4597" t="inlineStr">
        <is>
          <t>(en blanco)</t>
        </is>
      </c>
      <c r="F4597" t="inlineStr">
        <is>
          <t>(en blanco)</t>
        </is>
      </c>
      <c r="G4597" t="inlineStr">
        <is>
          <t>2XS</t>
        </is>
      </c>
      <c r="H4597" t="n">
        <v>8</v>
      </c>
      <c r="I4597" t="inlineStr">
        <is>
          <t>T_TAHARI_6410685_BLK_1.jpg</t>
        </is>
      </c>
      <c r="J4597" t="inlineStr">
        <is>
          <t>T_TAHARI_6410685_BLK_2.jpg</t>
        </is>
      </c>
      <c r="K4597" t="inlineStr">
        <is>
          <t>T_TAHARI_6410685_BLK_3.jpg</t>
        </is>
      </c>
      <c r="L4597">
        <f>IMAGE("file:///E:/Estudios%20y%20certificaciones/ESTUDIOS%20DE%20PROGRAMMING/PROGRAMMING/PERSONAL/PYTHON/Image_Generator_API/imagenes/T_TAHARI_6410685_BLK_1.jpg")</f>
        <v/>
      </c>
      <c r="M4597">
        <f>IMAGE("file:///E:/Estudios%20y%20certificaciones/ESTUDIOS%20DE%20PROGRAMMING/PROGRAMMING/PERSONAL/PYTHON/Image_Generator_API/imagenes/T_TAHARI_6410685_BLK_2.jpg")</f>
        <v/>
      </c>
      <c r="N4597">
        <f>IMAGE("file:///E:/Estudios%20y%20certificaciones/ESTUDIOS%20DE%20PROGRAMMING/PROGRAMMING/PERSONAL/PYTHON/Image_Generator_API/imagenes/T_TAHARI_6410685_BLK_3.jpg")</f>
        <v/>
      </c>
      <c r="O4597">
        <f>HYPERLINK("imagenes/T_TAHARI_6410685_BLK_1.jpg","Ver imagen")</f>
        <v/>
      </c>
      <c r="P4597">
        <f>HYPERLINK("imagenes/T_TAHARI_6410685_BLK_2.jpg","Ver imagen")</f>
        <v/>
      </c>
      <c r="Q4597">
        <f>HYPERLINK("imagenes/T_TAHARI_6410685_BLK_3.jpg","Ver imagen")</f>
        <v/>
      </c>
    </row>
    <row r="4598">
      <c r="A4598" t="inlineStr">
        <is>
          <t>T TAHARI</t>
        </is>
      </c>
      <c r="B4598" t="inlineStr">
        <is>
          <t>6410685</t>
        </is>
      </c>
      <c r="C4598" t="inlineStr">
        <is>
          <t>JULIETTE</t>
        </is>
      </c>
      <c r="D4598" t="inlineStr">
        <is>
          <t>BLK</t>
        </is>
      </c>
      <c r="E4598" t="inlineStr">
        <is>
          <t>(en blanco)</t>
        </is>
      </c>
      <c r="F4598" t="inlineStr">
        <is>
          <t>(en blanco)</t>
        </is>
      </c>
      <c r="G4598" t="inlineStr">
        <is>
          <t>LP</t>
        </is>
      </c>
      <c r="H4598" t="n">
        <v>11</v>
      </c>
      <c r="I4598" t="inlineStr">
        <is>
          <t>T_TAHARI_6410685_BLK_1.jpg</t>
        </is>
      </c>
      <c r="J4598" t="inlineStr">
        <is>
          <t>T_TAHARI_6410685_BLK_2.jpg</t>
        </is>
      </c>
      <c r="K4598" t="inlineStr">
        <is>
          <t>T_TAHARI_6410685_BLK_3.jpg</t>
        </is>
      </c>
      <c r="L4598">
        <f>IMAGE("file:///E:/Estudios%20y%20certificaciones/ESTUDIOS%20DE%20PROGRAMMING/PROGRAMMING/PERSONAL/PYTHON/Image_Generator_API/imagenes/T_TAHARI_6410685_BLK_1.jpg")</f>
        <v/>
      </c>
      <c r="M4598">
        <f>IMAGE("file:///E:/Estudios%20y%20certificaciones/ESTUDIOS%20DE%20PROGRAMMING/PROGRAMMING/PERSONAL/PYTHON/Image_Generator_API/imagenes/T_TAHARI_6410685_BLK_2.jpg")</f>
        <v/>
      </c>
      <c r="N4598">
        <f>IMAGE("file:///E:/Estudios%20y%20certificaciones/ESTUDIOS%20DE%20PROGRAMMING/PROGRAMMING/PERSONAL/PYTHON/Image_Generator_API/imagenes/T_TAHARI_6410685_BLK_3.jpg")</f>
        <v/>
      </c>
      <c r="O4598">
        <f>HYPERLINK("imagenes/T_TAHARI_6410685_BLK_1.jpg","Ver imagen")</f>
        <v/>
      </c>
      <c r="P4598">
        <f>HYPERLINK("imagenes/T_TAHARI_6410685_BLK_2.jpg","Ver imagen")</f>
        <v/>
      </c>
      <c r="Q4598">
        <f>HYPERLINK("imagenes/T_TAHARI_6410685_BLK_3.jpg","Ver imagen")</f>
        <v/>
      </c>
    </row>
    <row r="4599">
      <c r="A4599" t="inlineStr">
        <is>
          <t>T TAHARI</t>
        </is>
      </c>
      <c r="B4599" t="inlineStr">
        <is>
          <t>6410685</t>
        </is>
      </c>
      <c r="C4599" t="inlineStr">
        <is>
          <t>JULIETTE</t>
        </is>
      </c>
      <c r="D4599" t="inlineStr">
        <is>
          <t>BLK</t>
        </is>
      </c>
      <c r="E4599" t="inlineStr">
        <is>
          <t>(en blanco)</t>
        </is>
      </c>
      <c r="F4599" t="inlineStr">
        <is>
          <t>(en blanco)</t>
        </is>
      </c>
      <c r="G4599" t="inlineStr">
        <is>
          <t>MP</t>
        </is>
      </c>
      <c r="H4599" t="n">
        <v>15</v>
      </c>
      <c r="I4599" t="inlineStr">
        <is>
          <t>T_TAHARI_6410685_BLK_1.jpg</t>
        </is>
      </c>
      <c r="J4599" t="inlineStr">
        <is>
          <t>T_TAHARI_6410685_BLK_2.jpg</t>
        </is>
      </c>
      <c r="K4599" t="inlineStr">
        <is>
          <t>T_TAHARI_6410685_BLK_3.jpg</t>
        </is>
      </c>
      <c r="L4599">
        <f>IMAGE("file:///E:/Estudios%20y%20certificaciones/ESTUDIOS%20DE%20PROGRAMMING/PROGRAMMING/PERSONAL/PYTHON/Image_Generator_API/imagenes/T_TAHARI_6410685_BLK_1.jpg")</f>
        <v/>
      </c>
      <c r="M4599">
        <f>IMAGE("file:///E:/Estudios%20y%20certificaciones/ESTUDIOS%20DE%20PROGRAMMING/PROGRAMMING/PERSONAL/PYTHON/Image_Generator_API/imagenes/T_TAHARI_6410685_BLK_2.jpg")</f>
        <v/>
      </c>
      <c r="N4599">
        <f>IMAGE("file:///E:/Estudios%20y%20certificaciones/ESTUDIOS%20DE%20PROGRAMMING/PROGRAMMING/PERSONAL/PYTHON/Image_Generator_API/imagenes/T_TAHARI_6410685_BLK_3.jpg")</f>
        <v/>
      </c>
      <c r="O4599">
        <f>HYPERLINK("imagenes/T_TAHARI_6410685_BLK_1.jpg","Ver imagen")</f>
        <v/>
      </c>
      <c r="P4599">
        <f>HYPERLINK("imagenes/T_TAHARI_6410685_BLK_2.jpg","Ver imagen")</f>
        <v/>
      </c>
      <c r="Q4599">
        <f>HYPERLINK("imagenes/T_TAHARI_6410685_BLK_3.jpg","Ver imagen")</f>
        <v/>
      </c>
    </row>
    <row r="4600">
      <c r="A4600" t="inlineStr">
        <is>
          <t>T TAHARI</t>
        </is>
      </c>
      <c r="B4600" t="inlineStr">
        <is>
          <t>6410685</t>
        </is>
      </c>
      <c r="C4600" t="inlineStr">
        <is>
          <t>JULIETTE</t>
        </is>
      </c>
      <c r="D4600" t="inlineStr">
        <is>
          <t>BLK</t>
        </is>
      </c>
      <c r="E4600" t="inlineStr">
        <is>
          <t>(en blanco)</t>
        </is>
      </c>
      <c r="F4600" t="inlineStr">
        <is>
          <t>(en blanco)</t>
        </is>
      </c>
      <c r="G4600" t="inlineStr">
        <is>
          <t>SP</t>
        </is>
      </c>
      <c r="H4600" t="n">
        <v>5</v>
      </c>
      <c r="I4600" t="inlineStr">
        <is>
          <t>T_TAHARI_6410685_BLK_1.jpg</t>
        </is>
      </c>
      <c r="J4600" t="inlineStr">
        <is>
          <t>T_TAHARI_6410685_BLK_2.jpg</t>
        </is>
      </c>
      <c r="K4600" t="inlineStr">
        <is>
          <t>T_TAHARI_6410685_BLK_3.jpg</t>
        </is>
      </c>
      <c r="L4600">
        <f>IMAGE("file:///E:/Estudios%20y%20certificaciones/ESTUDIOS%20DE%20PROGRAMMING/PROGRAMMING/PERSONAL/PYTHON/Image_Generator_API/imagenes/T_TAHARI_6410685_BLK_1.jpg")</f>
        <v/>
      </c>
      <c r="M4600">
        <f>IMAGE("file:///E:/Estudios%20y%20certificaciones/ESTUDIOS%20DE%20PROGRAMMING/PROGRAMMING/PERSONAL/PYTHON/Image_Generator_API/imagenes/T_TAHARI_6410685_BLK_2.jpg")</f>
        <v/>
      </c>
      <c r="N4600">
        <f>IMAGE("file:///E:/Estudios%20y%20certificaciones/ESTUDIOS%20DE%20PROGRAMMING/PROGRAMMING/PERSONAL/PYTHON/Image_Generator_API/imagenes/T_TAHARI_6410685_BLK_3.jpg")</f>
        <v/>
      </c>
      <c r="O4600">
        <f>HYPERLINK("imagenes/T_TAHARI_6410685_BLK_1.jpg","Ver imagen")</f>
        <v/>
      </c>
      <c r="P4600">
        <f>HYPERLINK("imagenes/T_TAHARI_6410685_BLK_2.jpg","Ver imagen")</f>
        <v/>
      </c>
      <c r="Q4600">
        <f>HYPERLINK("imagenes/T_TAHARI_6410685_BLK_3.jpg","Ver imagen")</f>
        <v/>
      </c>
    </row>
    <row r="4601">
      <c r="A4601" t="inlineStr">
        <is>
          <t>T TAHARI</t>
        </is>
      </c>
      <c r="B4601" t="inlineStr">
        <is>
          <t>6410685</t>
        </is>
      </c>
      <c r="C4601" t="inlineStr">
        <is>
          <t>JULIETTE</t>
        </is>
      </c>
      <c r="D4601" t="inlineStr">
        <is>
          <t>BLK</t>
        </is>
      </c>
      <c r="E4601" t="inlineStr">
        <is>
          <t>(en blanco)</t>
        </is>
      </c>
      <c r="F4601" t="inlineStr">
        <is>
          <t>(en blanco)</t>
        </is>
      </c>
      <c r="G4601" t="inlineStr">
        <is>
          <t>XLP</t>
        </is>
      </c>
      <c r="H4601" t="n">
        <v>8</v>
      </c>
      <c r="I4601" t="inlineStr">
        <is>
          <t>T_TAHARI_6410685_BLK_1.jpg</t>
        </is>
      </c>
      <c r="J4601" t="inlineStr">
        <is>
          <t>T_TAHARI_6410685_BLK_2.jpg</t>
        </is>
      </c>
      <c r="K4601" t="inlineStr">
        <is>
          <t>T_TAHARI_6410685_BLK_3.jpg</t>
        </is>
      </c>
      <c r="L4601">
        <f>IMAGE("file:///E:/Estudios%20y%20certificaciones/ESTUDIOS%20DE%20PROGRAMMING/PROGRAMMING/PERSONAL/PYTHON/Image_Generator_API/imagenes/T_TAHARI_6410685_BLK_1.jpg")</f>
        <v/>
      </c>
      <c r="M4601">
        <f>IMAGE("file:///E:/Estudios%20y%20certificaciones/ESTUDIOS%20DE%20PROGRAMMING/PROGRAMMING/PERSONAL/PYTHON/Image_Generator_API/imagenes/T_TAHARI_6410685_BLK_2.jpg")</f>
        <v/>
      </c>
      <c r="N4601">
        <f>IMAGE("file:///E:/Estudios%20y%20certificaciones/ESTUDIOS%20DE%20PROGRAMMING/PROGRAMMING/PERSONAL/PYTHON/Image_Generator_API/imagenes/T_TAHARI_6410685_BLK_3.jpg")</f>
        <v/>
      </c>
      <c r="O4601">
        <f>HYPERLINK("imagenes/T_TAHARI_6410685_BLK_1.jpg","Ver imagen")</f>
        <v/>
      </c>
      <c r="P4601">
        <f>HYPERLINK("imagenes/T_TAHARI_6410685_BLK_2.jpg","Ver imagen")</f>
        <v/>
      </c>
      <c r="Q4601">
        <f>HYPERLINK("imagenes/T_TAHARI_6410685_BLK_3.jpg","Ver imagen")</f>
        <v/>
      </c>
    </row>
    <row r="4602">
      <c r="A4602" t="inlineStr">
        <is>
          <t>T TAHARI</t>
        </is>
      </c>
      <c r="B4602" t="inlineStr">
        <is>
          <t>6410685</t>
        </is>
      </c>
      <c r="C4602" t="inlineStr">
        <is>
          <t>JULIETTE</t>
        </is>
      </c>
      <c r="D4602" t="inlineStr">
        <is>
          <t>OLI</t>
        </is>
      </c>
      <c r="E4602" t="inlineStr">
        <is>
          <t>(en blanco)</t>
        </is>
      </c>
      <c r="F4602" t="inlineStr">
        <is>
          <t>(en blanco)</t>
        </is>
      </c>
      <c r="G4602" t="inlineStr">
        <is>
          <t>2XS</t>
        </is>
      </c>
      <c r="H4602" t="n">
        <v>1</v>
      </c>
      <c r="I4602" t="inlineStr">
        <is>
          <t>T_TAHARI_6410685_OLI_1.jpg</t>
        </is>
      </c>
      <c r="J4602" t="inlineStr">
        <is>
          <t>T_TAHARI_6410685_OLI_2.jpg</t>
        </is>
      </c>
      <c r="K4602" t="inlineStr">
        <is>
          <t>T_TAHARI_6410685_OLI_3.jpg</t>
        </is>
      </c>
      <c r="L4602">
        <f>IMAGE("file:///E:/Estudios%20y%20certificaciones/ESTUDIOS%20DE%20PROGRAMMING/PROGRAMMING/PERSONAL/PYTHON/Image_Generator_API/imagenes/T_TAHARI_6410685_OLI_1.jpg")</f>
        <v/>
      </c>
      <c r="M4602">
        <f>IMAGE("file:///E:/Estudios%20y%20certificaciones/ESTUDIOS%20DE%20PROGRAMMING/PROGRAMMING/PERSONAL/PYTHON/Image_Generator_API/imagenes/T_TAHARI_6410685_OLI_2.jpg")</f>
        <v/>
      </c>
      <c r="N4602">
        <f>IMAGE("file:///E:/Estudios%20y%20certificaciones/ESTUDIOS%20DE%20PROGRAMMING/PROGRAMMING/PERSONAL/PYTHON/Image_Generator_API/imagenes/T_TAHARI_6410685_OLI_3.jpg")</f>
        <v/>
      </c>
      <c r="O4602">
        <f>HYPERLINK("imagenes/T_TAHARI_6410685_OLI_1.jpg","Ver imagen")</f>
        <v/>
      </c>
      <c r="P4602">
        <f>HYPERLINK("imagenes/T_TAHARI_6410685_OLI_2.jpg","Ver imagen")</f>
        <v/>
      </c>
      <c r="Q4602">
        <f>HYPERLINK("imagenes/T_TAHARI_6410685_OLI_3.jpg","Ver imagen")</f>
        <v/>
      </c>
    </row>
    <row r="4603">
      <c r="A4603" t="inlineStr">
        <is>
          <t>T TAHARI</t>
        </is>
      </c>
      <c r="B4603" t="inlineStr">
        <is>
          <t>6410685</t>
        </is>
      </c>
      <c r="C4603" t="inlineStr">
        <is>
          <t>JULIETTE</t>
        </is>
      </c>
      <c r="D4603" t="inlineStr">
        <is>
          <t>OLI</t>
        </is>
      </c>
      <c r="E4603" t="inlineStr">
        <is>
          <t>(en blanco)</t>
        </is>
      </c>
      <c r="F4603" t="inlineStr">
        <is>
          <t>(en blanco)</t>
        </is>
      </c>
      <c r="G4603" t="inlineStr">
        <is>
          <t>LP</t>
        </is>
      </c>
      <c r="H4603" t="n">
        <v>7</v>
      </c>
      <c r="I4603" t="inlineStr">
        <is>
          <t>T_TAHARI_6410685_OLI_1.jpg</t>
        </is>
      </c>
      <c r="J4603" t="inlineStr">
        <is>
          <t>T_TAHARI_6410685_OLI_2.jpg</t>
        </is>
      </c>
      <c r="K4603" t="inlineStr">
        <is>
          <t>T_TAHARI_6410685_OLI_3.jpg</t>
        </is>
      </c>
      <c r="L4603">
        <f>IMAGE("file:///E:/Estudios%20y%20certificaciones/ESTUDIOS%20DE%20PROGRAMMING/PROGRAMMING/PERSONAL/PYTHON/Image_Generator_API/imagenes/T_TAHARI_6410685_OLI_1.jpg")</f>
        <v/>
      </c>
      <c r="M4603">
        <f>IMAGE("file:///E:/Estudios%20y%20certificaciones/ESTUDIOS%20DE%20PROGRAMMING/PROGRAMMING/PERSONAL/PYTHON/Image_Generator_API/imagenes/T_TAHARI_6410685_OLI_2.jpg")</f>
        <v/>
      </c>
      <c r="N4603">
        <f>IMAGE("file:///E:/Estudios%20y%20certificaciones/ESTUDIOS%20DE%20PROGRAMMING/PROGRAMMING/PERSONAL/PYTHON/Image_Generator_API/imagenes/T_TAHARI_6410685_OLI_3.jpg")</f>
        <v/>
      </c>
      <c r="O4603">
        <f>HYPERLINK("imagenes/T_TAHARI_6410685_OLI_1.jpg","Ver imagen")</f>
        <v/>
      </c>
      <c r="P4603">
        <f>HYPERLINK("imagenes/T_TAHARI_6410685_OLI_2.jpg","Ver imagen")</f>
        <v/>
      </c>
      <c r="Q4603">
        <f>HYPERLINK("imagenes/T_TAHARI_6410685_OLI_3.jpg","Ver imagen")</f>
        <v/>
      </c>
    </row>
    <row r="4604">
      <c r="A4604" t="inlineStr">
        <is>
          <t>T TAHARI</t>
        </is>
      </c>
      <c r="B4604" t="inlineStr">
        <is>
          <t>6410685</t>
        </is>
      </c>
      <c r="C4604" t="inlineStr">
        <is>
          <t>JULIETTE</t>
        </is>
      </c>
      <c r="D4604" t="inlineStr">
        <is>
          <t>OLI</t>
        </is>
      </c>
      <c r="E4604" t="inlineStr">
        <is>
          <t>(en blanco)</t>
        </is>
      </c>
      <c r="F4604" t="inlineStr">
        <is>
          <t>(en blanco)</t>
        </is>
      </c>
      <c r="G4604" t="inlineStr">
        <is>
          <t>MP</t>
        </is>
      </c>
      <c r="H4604" t="n">
        <v>9</v>
      </c>
      <c r="I4604" t="inlineStr">
        <is>
          <t>T_TAHARI_6410685_OLI_1.jpg</t>
        </is>
      </c>
      <c r="J4604" t="inlineStr">
        <is>
          <t>T_TAHARI_6410685_OLI_2.jpg</t>
        </is>
      </c>
      <c r="K4604" t="inlineStr">
        <is>
          <t>T_TAHARI_6410685_OLI_3.jpg</t>
        </is>
      </c>
      <c r="L4604">
        <f>IMAGE("file:///E:/Estudios%20y%20certificaciones/ESTUDIOS%20DE%20PROGRAMMING/PROGRAMMING/PERSONAL/PYTHON/Image_Generator_API/imagenes/T_TAHARI_6410685_OLI_1.jpg")</f>
        <v/>
      </c>
      <c r="M4604">
        <f>IMAGE("file:///E:/Estudios%20y%20certificaciones/ESTUDIOS%20DE%20PROGRAMMING/PROGRAMMING/PERSONAL/PYTHON/Image_Generator_API/imagenes/T_TAHARI_6410685_OLI_2.jpg")</f>
        <v/>
      </c>
      <c r="N4604">
        <f>IMAGE("file:///E:/Estudios%20y%20certificaciones/ESTUDIOS%20DE%20PROGRAMMING/PROGRAMMING/PERSONAL/PYTHON/Image_Generator_API/imagenes/T_TAHARI_6410685_OLI_3.jpg")</f>
        <v/>
      </c>
      <c r="O4604">
        <f>HYPERLINK("imagenes/T_TAHARI_6410685_OLI_1.jpg","Ver imagen")</f>
        <v/>
      </c>
      <c r="P4604">
        <f>HYPERLINK("imagenes/T_TAHARI_6410685_OLI_2.jpg","Ver imagen")</f>
        <v/>
      </c>
      <c r="Q4604">
        <f>HYPERLINK("imagenes/T_TAHARI_6410685_OLI_3.jpg","Ver imagen")</f>
        <v/>
      </c>
    </row>
    <row r="4605">
      <c r="A4605" t="inlineStr">
        <is>
          <t>T TAHARI</t>
        </is>
      </c>
      <c r="B4605" t="inlineStr">
        <is>
          <t>6410685</t>
        </is>
      </c>
      <c r="C4605" t="inlineStr">
        <is>
          <t>JULIETTE</t>
        </is>
      </c>
      <c r="D4605" t="inlineStr">
        <is>
          <t>OLI</t>
        </is>
      </c>
      <c r="E4605" t="inlineStr">
        <is>
          <t>(en blanco)</t>
        </is>
      </c>
      <c r="F4605" t="inlineStr">
        <is>
          <t>(en blanco)</t>
        </is>
      </c>
      <c r="G4605" t="inlineStr">
        <is>
          <t>SP</t>
        </is>
      </c>
      <c r="H4605" t="n">
        <v>2</v>
      </c>
      <c r="I4605" t="inlineStr">
        <is>
          <t>T_TAHARI_6410685_OLI_1.jpg</t>
        </is>
      </c>
      <c r="J4605" t="inlineStr">
        <is>
          <t>T_TAHARI_6410685_OLI_2.jpg</t>
        </is>
      </c>
      <c r="K4605" t="inlineStr">
        <is>
          <t>T_TAHARI_6410685_OLI_3.jpg</t>
        </is>
      </c>
      <c r="L4605">
        <f>IMAGE("file:///E:/Estudios%20y%20certificaciones/ESTUDIOS%20DE%20PROGRAMMING/PROGRAMMING/PERSONAL/PYTHON/Image_Generator_API/imagenes/T_TAHARI_6410685_OLI_1.jpg")</f>
        <v/>
      </c>
      <c r="M4605">
        <f>IMAGE("file:///E:/Estudios%20y%20certificaciones/ESTUDIOS%20DE%20PROGRAMMING/PROGRAMMING/PERSONAL/PYTHON/Image_Generator_API/imagenes/T_TAHARI_6410685_OLI_2.jpg")</f>
        <v/>
      </c>
      <c r="N4605">
        <f>IMAGE("file:///E:/Estudios%20y%20certificaciones/ESTUDIOS%20DE%20PROGRAMMING/PROGRAMMING/PERSONAL/PYTHON/Image_Generator_API/imagenes/T_TAHARI_6410685_OLI_3.jpg")</f>
        <v/>
      </c>
      <c r="O4605">
        <f>HYPERLINK("imagenes/T_TAHARI_6410685_OLI_1.jpg","Ver imagen")</f>
        <v/>
      </c>
      <c r="P4605">
        <f>HYPERLINK("imagenes/T_TAHARI_6410685_OLI_2.jpg","Ver imagen")</f>
        <v/>
      </c>
      <c r="Q4605">
        <f>HYPERLINK("imagenes/T_TAHARI_6410685_OLI_3.jpg","Ver imagen")</f>
        <v/>
      </c>
    </row>
    <row r="4606">
      <c r="A4606" t="inlineStr">
        <is>
          <t>T TAHARI</t>
        </is>
      </c>
      <c r="B4606" t="inlineStr">
        <is>
          <t>6410685</t>
        </is>
      </c>
      <c r="C4606" t="inlineStr">
        <is>
          <t>JULIETTE</t>
        </is>
      </c>
      <c r="D4606" t="inlineStr">
        <is>
          <t>OLI</t>
        </is>
      </c>
      <c r="E4606" t="inlineStr">
        <is>
          <t>(en blanco)</t>
        </is>
      </c>
      <c r="F4606" t="inlineStr">
        <is>
          <t>(en blanco)</t>
        </is>
      </c>
      <c r="G4606" t="inlineStr">
        <is>
          <t>XLP</t>
        </is>
      </c>
      <c r="H4606" t="n">
        <v>9</v>
      </c>
      <c r="I4606" t="inlineStr">
        <is>
          <t>T_TAHARI_6410685_OLI_1.jpg</t>
        </is>
      </c>
      <c r="J4606" t="inlineStr">
        <is>
          <t>T_TAHARI_6410685_OLI_2.jpg</t>
        </is>
      </c>
      <c r="K4606" t="inlineStr">
        <is>
          <t>T_TAHARI_6410685_OLI_3.jpg</t>
        </is>
      </c>
      <c r="L4606">
        <f>IMAGE("file:///E:/Estudios%20y%20certificaciones/ESTUDIOS%20DE%20PROGRAMMING/PROGRAMMING/PERSONAL/PYTHON/Image_Generator_API/imagenes/T_TAHARI_6410685_OLI_1.jpg")</f>
        <v/>
      </c>
      <c r="M4606">
        <f>IMAGE("file:///E:/Estudios%20y%20certificaciones/ESTUDIOS%20DE%20PROGRAMMING/PROGRAMMING/PERSONAL/PYTHON/Image_Generator_API/imagenes/T_TAHARI_6410685_OLI_2.jpg")</f>
        <v/>
      </c>
      <c r="N4606">
        <f>IMAGE("file:///E:/Estudios%20y%20certificaciones/ESTUDIOS%20DE%20PROGRAMMING/PROGRAMMING/PERSONAL/PYTHON/Image_Generator_API/imagenes/T_TAHARI_6410685_OLI_3.jpg")</f>
        <v/>
      </c>
      <c r="O4606">
        <f>HYPERLINK("imagenes/T_TAHARI_6410685_OLI_1.jpg","Ver imagen")</f>
        <v/>
      </c>
      <c r="P4606">
        <f>HYPERLINK("imagenes/T_TAHARI_6410685_OLI_2.jpg","Ver imagen")</f>
        <v/>
      </c>
      <c r="Q4606">
        <f>HYPERLINK("imagenes/T_TAHARI_6410685_OLI_3.jpg","Ver imagen")</f>
        <v/>
      </c>
    </row>
    <row r="4607">
      <c r="A4607" t="inlineStr">
        <is>
          <t>T TAHARI</t>
        </is>
      </c>
      <c r="B4607" t="inlineStr">
        <is>
          <t>6416089</t>
        </is>
      </c>
      <c r="C4607" t="inlineStr">
        <is>
          <t>LEILA</t>
        </is>
      </c>
      <c r="D4607" t="inlineStr">
        <is>
          <t>BWH</t>
        </is>
      </c>
      <c r="E4607" t="inlineStr">
        <is>
          <t>(en blanco)</t>
        </is>
      </c>
      <c r="F4607" t="inlineStr">
        <is>
          <t>(en blanco)</t>
        </is>
      </c>
      <c r="G4607" t="inlineStr">
        <is>
          <t>2XS</t>
        </is>
      </c>
      <c r="H4607" t="n">
        <v>16</v>
      </c>
      <c r="I4607" t="inlineStr">
        <is>
          <t>T_TAHARI_6416089_BWH_1.jpg</t>
        </is>
      </c>
      <c r="J4607" t="inlineStr">
        <is>
          <t>T_TAHARI_6416089_BWH_2.jpg</t>
        </is>
      </c>
      <c r="K4607" t="inlineStr">
        <is>
          <t>T_TAHARI_6416089_BWH_3.jpg</t>
        </is>
      </c>
      <c r="L4607">
        <f>IMAGE("file:///E:/Estudios%20y%20certificaciones/ESTUDIOS%20DE%20PROGRAMMING/PROGRAMMING/PERSONAL/PYTHON/Image_Generator_API/imagenes/T_TAHARI_6416089_BWH_1.jpg")</f>
        <v/>
      </c>
      <c r="M4607">
        <f>IMAGE("file:///E:/Estudios%20y%20certificaciones/ESTUDIOS%20DE%20PROGRAMMING/PROGRAMMING/PERSONAL/PYTHON/Image_Generator_API/imagenes/T_TAHARI_6416089_BWH_2.jpg")</f>
        <v/>
      </c>
      <c r="N4607">
        <f>IMAGE("file:///E:/Estudios%20y%20certificaciones/ESTUDIOS%20DE%20PROGRAMMING/PROGRAMMING/PERSONAL/PYTHON/Image_Generator_API/imagenes/T_TAHARI_6416089_BWH_3.jpg")</f>
        <v/>
      </c>
      <c r="O4607">
        <f>HYPERLINK("imagenes/T_TAHARI_6416089_BWH_1.jpg","Ver imagen")</f>
        <v/>
      </c>
      <c r="P4607">
        <f>HYPERLINK("imagenes/T_TAHARI_6416089_BWH_2.jpg","Ver imagen")</f>
        <v/>
      </c>
      <c r="Q4607">
        <f>HYPERLINK("imagenes/T_TAHARI_6416089_BWH_3.jpg","Ver imagen")</f>
        <v/>
      </c>
    </row>
    <row r="4608">
      <c r="A4608" t="inlineStr">
        <is>
          <t>T TAHARI</t>
        </is>
      </c>
      <c r="B4608" t="inlineStr">
        <is>
          <t>6416089</t>
        </is>
      </c>
      <c r="C4608" t="inlineStr">
        <is>
          <t>LEILA</t>
        </is>
      </c>
      <c r="D4608" t="inlineStr">
        <is>
          <t>BWH</t>
        </is>
      </c>
      <c r="E4608" t="inlineStr">
        <is>
          <t>(en blanco)</t>
        </is>
      </c>
      <c r="F4608" t="inlineStr">
        <is>
          <t>(en blanco)</t>
        </is>
      </c>
      <c r="G4608" t="inlineStr">
        <is>
          <t>SP</t>
        </is>
      </c>
      <c r="H4608" t="n">
        <v>16</v>
      </c>
      <c r="I4608" t="inlineStr">
        <is>
          <t>T_TAHARI_6416089_BWH_1.jpg</t>
        </is>
      </c>
      <c r="J4608" t="inlineStr">
        <is>
          <t>T_TAHARI_6416089_BWH_2.jpg</t>
        </is>
      </c>
      <c r="K4608" t="inlineStr">
        <is>
          <t>T_TAHARI_6416089_BWH_3.jpg</t>
        </is>
      </c>
      <c r="L4608">
        <f>IMAGE("file:///E:/Estudios%20y%20certificaciones/ESTUDIOS%20DE%20PROGRAMMING/PROGRAMMING/PERSONAL/PYTHON/Image_Generator_API/imagenes/T_TAHARI_6416089_BWH_1.jpg")</f>
        <v/>
      </c>
      <c r="M4608">
        <f>IMAGE("file:///E:/Estudios%20y%20certificaciones/ESTUDIOS%20DE%20PROGRAMMING/PROGRAMMING/PERSONAL/PYTHON/Image_Generator_API/imagenes/T_TAHARI_6416089_BWH_2.jpg")</f>
        <v/>
      </c>
      <c r="N4608">
        <f>IMAGE("file:///E:/Estudios%20y%20certificaciones/ESTUDIOS%20DE%20PROGRAMMING/PROGRAMMING/PERSONAL/PYTHON/Image_Generator_API/imagenes/T_TAHARI_6416089_BWH_3.jpg")</f>
        <v/>
      </c>
      <c r="O4608">
        <f>HYPERLINK("imagenes/T_TAHARI_6416089_BWH_1.jpg","Ver imagen")</f>
        <v/>
      </c>
      <c r="P4608">
        <f>HYPERLINK("imagenes/T_TAHARI_6416089_BWH_2.jpg","Ver imagen")</f>
        <v/>
      </c>
      <c r="Q4608">
        <f>HYPERLINK("imagenes/T_TAHARI_6416089_BWH_3.jpg","Ver imagen")</f>
        <v/>
      </c>
    </row>
    <row r="4609">
      <c r="A4609" t="inlineStr">
        <is>
          <t>T TAHARI</t>
        </is>
      </c>
      <c r="B4609" t="inlineStr">
        <is>
          <t>6416089</t>
        </is>
      </c>
      <c r="C4609" t="inlineStr">
        <is>
          <t>LEILA</t>
        </is>
      </c>
      <c r="D4609" t="inlineStr">
        <is>
          <t>BWH</t>
        </is>
      </c>
      <c r="E4609" t="inlineStr">
        <is>
          <t>(en blanco)</t>
        </is>
      </c>
      <c r="F4609" t="inlineStr">
        <is>
          <t>(en blanco)</t>
        </is>
      </c>
      <c r="G4609" t="inlineStr">
        <is>
          <t>XSP</t>
        </is>
      </c>
      <c r="H4609" t="n">
        <v>20</v>
      </c>
      <c r="I4609" t="inlineStr">
        <is>
          <t>T_TAHARI_6416089_BWH_1.jpg</t>
        </is>
      </c>
      <c r="J4609" t="inlineStr">
        <is>
          <t>T_TAHARI_6416089_BWH_2.jpg</t>
        </is>
      </c>
      <c r="K4609" t="inlineStr">
        <is>
          <t>T_TAHARI_6416089_BWH_3.jpg</t>
        </is>
      </c>
      <c r="L4609">
        <f>IMAGE("file:///E:/Estudios%20y%20certificaciones/ESTUDIOS%20DE%20PROGRAMMING/PROGRAMMING/PERSONAL/PYTHON/Image_Generator_API/imagenes/T_TAHARI_6416089_BWH_1.jpg")</f>
        <v/>
      </c>
      <c r="M4609">
        <f>IMAGE("file:///E:/Estudios%20y%20certificaciones/ESTUDIOS%20DE%20PROGRAMMING/PROGRAMMING/PERSONAL/PYTHON/Image_Generator_API/imagenes/T_TAHARI_6416089_BWH_2.jpg")</f>
        <v/>
      </c>
      <c r="N4609">
        <f>IMAGE("file:///E:/Estudios%20y%20certificaciones/ESTUDIOS%20DE%20PROGRAMMING/PROGRAMMING/PERSONAL/PYTHON/Image_Generator_API/imagenes/T_TAHARI_6416089_BWH_3.jpg")</f>
        <v/>
      </c>
      <c r="O4609">
        <f>HYPERLINK("imagenes/T_TAHARI_6416089_BWH_1.jpg","Ver imagen")</f>
        <v/>
      </c>
      <c r="P4609">
        <f>HYPERLINK("imagenes/T_TAHARI_6416089_BWH_2.jpg","Ver imagen")</f>
        <v/>
      </c>
      <c r="Q4609">
        <f>HYPERLINK("imagenes/T_TAHARI_6416089_BWH_3.jpg","Ver imagen")</f>
        <v/>
      </c>
    </row>
    <row r="4610">
      <c r="A4610" t="inlineStr">
        <is>
          <t>T TAHARI</t>
        </is>
      </c>
      <c r="B4610" t="inlineStr">
        <is>
          <t>6420125</t>
        </is>
      </c>
      <c r="C4610" t="inlineStr">
        <is>
          <t>MARLA</t>
        </is>
      </c>
      <c r="D4610" t="inlineStr">
        <is>
          <t>MOT</t>
        </is>
      </c>
      <c r="E4610" t="inlineStr">
        <is>
          <t>(en blanco)</t>
        </is>
      </c>
      <c r="F4610" t="inlineStr">
        <is>
          <t>(en blanco)</t>
        </is>
      </c>
      <c r="G4610" t="inlineStr">
        <is>
          <t>XS</t>
        </is>
      </c>
      <c r="H4610" t="n">
        <v>3</v>
      </c>
      <c r="I4610" t="inlineStr">
        <is>
          <t>T_TAHARI_6420125_MOT_1.jpg</t>
        </is>
      </c>
      <c r="J4610" t="inlineStr">
        <is>
          <t>T_TAHARI_6420125_MOT_2.jpg</t>
        </is>
      </c>
      <c r="K4610" t="inlineStr">
        <is>
          <t>T_TAHARI_6420125_MOT_3.jpg</t>
        </is>
      </c>
      <c r="L4610">
        <f>IMAGE("file:///E:/Estudios%20y%20certificaciones/ESTUDIOS%20DE%20PROGRAMMING/PROGRAMMING/PERSONAL/PYTHON/Image_Generator_API/imagenes/T_TAHARI_6420125_MOT_1.jpg")</f>
        <v/>
      </c>
      <c r="M4610">
        <f>IMAGE("file:///E:/Estudios%20y%20certificaciones/ESTUDIOS%20DE%20PROGRAMMING/PROGRAMMING/PERSONAL/PYTHON/Image_Generator_API/imagenes/T_TAHARI_6420125_MOT_2.jpg")</f>
        <v/>
      </c>
      <c r="N4610">
        <f>IMAGE("file:///E:/Estudios%20y%20certificaciones/ESTUDIOS%20DE%20PROGRAMMING/PROGRAMMING/PERSONAL/PYTHON/Image_Generator_API/imagenes/T_TAHARI_6420125_MOT_3.jpg")</f>
        <v/>
      </c>
      <c r="O4610">
        <f>HYPERLINK("imagenes/T_TAHARI_6420125_MOT_1.jpg","Ver imagen")</f>
        <v/>
      </c>
      <c r="P4610">
        <f>HYPERLINK("imagenes/T_TAHARI_6420125_MOT_2.jpg","Ver imagen")</f>
        <v/>
      </c>
      <c r="Q4610">
        <f>HYPERLINK("imagenes/T_TAHARI_6420125_MOT_3.jpg","Ver imagen")</f>
        <v/>
      </c>
    </row>
    <row r="4611">
      <c r="A4611" t="inlineStr">
        <is>
          <t>T TAHARI</t>
        </is>
      </c>
      <c r="B4611" t="inlineStr">
        <is>
          <t>6420125</t>
        </is>
      </c>
      <c r="C4611" t="inlineStr">
        <is>
          <t>MARLA</t>
        </is>
      </c>
      <c r="D4611" t="inlineStr">
        <is>
          <t>MOT</t>
        </is>
      </c>
      <c r="E4611" t="inlineStr">
        <is>
          <t>(en blanco)</t>
        </is>
      </c>
      <c r="F4611" t="inlineStr">
        <is>
          <t>(en blanco)</t>
        </is>
      </c>
      <c r="G4611" t="inlineStr">
        <is>
          <t>S</t>
        </is>
      </c>
      <c r="H4611" t="n">
        <v>15</v>
      </c>
      <c r="I4611" t="inlineStr">
        <is>
          <t>T_TAHARI_6420125_MOT_1.jpg</t>
        </is>
      </c>
      <c r="J4611" t="inlineStr">
        <is>
          <t>T_TAHARI_6420125_MOT_2.jpg</t>
        </is>
      </c>
      <c r="K4611" t="inlineStr">
        <is>
          <t>T_TAHARI_6420125_MOT_3.jpg</t>
        </is>
      </c>
      <c r="L4611">
        <f>IMAGE("file:///E:/Estudios%20y%20certificaciones/ESTUDIOS%20DE%20PROGRAMMING/PROGRAMMING/PERSONAL/PYTHON/Image_Generator_API/imagenes/T_TAHARI_6420125_MOT_1.jpg")</f>
        <v/>
      </c>
      <c r="M4611">
        <f>IMAGE("file:///E:/Estudios%20y%20certificaciones/ESTUDIOS%20DE%20PROGRAMMING/PROGRAMMING/PERSONAL/PYTHON/Image_Generator_API/imagenes/T_TAHARI_6420125_MOT_2.jpg")</f>
        <v/>
      </c>
      <c r="N4611">
        <f>IMAGE("file:///E:/Estudios%20y%20certificaciones/ESTUDIOS%20DE%20PROGRAMMING/PROGRAMMING/PERSONAL/PYTHON/Image_Generator_API/imagenes/T_TAHARI_6420125_MOT_3.jpg")</f>
        <v/>
      </c>
      <c r="O4611">
        <f>HYPERLINK("imagenes/T_TAHARI_6420125_MOT_1.jpg","Ver imagen")</f>
        <v/>
      </c>
      <c r="P4611">
        <f>HYPERLINK("imagenes/T_TAHARI_6420125_MOT_2.jpg","Ver imagen")</f>
        <v/>
      </c>
      <c r="Q4611">
        <f>HYPERLINK("imagenes/T_TAHARI_6420125_MOT_3.jpg","Ver imagen")</f>
        <v/>
      </c>
    </row>
    <row r="4612">
      <c r="A4612" t="inlineStr">
        <is>
          <t>T TAHARI</t>
        </is>
      </c>
      <c r="B4612" t="inlineStr">
        <is>
          <t>6420125</t>
        </is>
      </c>
      <c r="C4612" t="inlineStr">
        <is>
          <t>MARLA</t>
        </is>
      </c>
      <c r="D4612" t="inlineStr">
        <is>
          <t>MOT</t>
        </is>
      </c>
      <c r="E4612" t="inlineStr">
        <is>
          <t>(en blanco)</t>
        </is>
      </c>
      <c r="F4612" t="inlineStr">
        <is>
          <t>(en blanco)</t>
        </is>
      </c>
      <c r="G4612" t="inlineStr">
        <is>
          <t>XL</t>
        </is>
      </c>
      <c r="H4612" t="n">
        <v>6</v>
      </c>
      <c r="I4612" t="inlineStr">
        <is>
          <t>T_TAHARI_6420125_MOT_1.jpg</t>
        </is>
      </c>
      <c r="J4612" t="inlineStr">
        <is>
          <t>T_TAHARI_6420125_MOT_2.jpg</t>
        </is>
      </c>
      <c r="K4612" t="inlineStr">
        <is>
          <t>T_TAHARI_6420125_MOT_3.jpg</t>
        </is>
      </c>
      <c r="L4612">
        <f>IMAGE("file:///E:/Estudios%20y%20certificaciones/ESTUDIOS%20DE%20PROGRAMMING/PROGRAMMING/PERSONAL/PYTHON/Image_Generator_API/imagenes/T_TAHARI_6420125_MOT_1.jpg")</f>
        <v/>
      </c>
      <c r="M4612">
        <f>IMAGE("file:///E:/Estudios%20y%20certificaciones/ESTUDIOS%20DE%20PROGRAMMING/PROGRAMMING/PERSONAL/PYTHON/Image_Generator_API/imagenes/T_TAHARI_6420125_MOT_2.jpg")</f>
        <v/>
      </c>
      <c r="N4612">
        <f>IMAGE("file:///E:/Estudios%20y%20certificaciones/ESTUDIOS%20DE%20PROGRAMMING/PROGRAMMING/PERSONAL/PYTHON/Image_Generator_API/imagenes/T_TAHARI_6420125_MOT_3.jpg")</f>
        <v/>
      </c>
      <c r="O4612">
        <f>HYPERLINK("imagenes/T_TAHARI_6420125_MOT_1.jpg","Ver imagen")</f>
        <v/>
      </c>
      <c r="P4612">
        <f>HYPERLINK("imagenes/T_TAHARI_6420125_MOT_2.jpg","Ver imagen")</f>
        <v/>
      </c>
      <c r="Q4612">
        <f>HYPERLINK("imagenes/T_TAHARI_6420125_MOT_3.jpg","Ver imagen")</f>
        <v/>
      </c>
    </row>
    <row r="4613">
      <c r="A4613" t="inlineStr">
        <is>
          <t>T TAHARI</t>
        </is>
      </c>
      <c r="B4613" t="inlineStr">
        <is>
          <t>6420606</t>
        </is>
      </c>
      <c r="C4613" t="inlineStr">
        <is>
          <t>ELLIOT DF WOOL</t>
        </is>
      </c>
      <c r="D4613" t="inlineStr">
        <is>
          <t>CHR</t>
        </is>
      </c>
      <c r="E4613" t="inlineStr">
        <is>
          <t>(en blanco)</t>
        </is>
      </c>
      <c r="F4613" t="inlineStr">
        <is>
          <t>(en blanco)</t>
        </is>
      </c>
      <c r="G4613" t="inlineStr">
        <is>
          <t>L</t>
        </is>
      </c>
      <c r="H4613" t="n">
        <v>3</v>
      </c>
      <c r="I4613" t="inlineStr">
        <is>
          <t>T_TAHARI_6420606_CHR_1.jpg</t>
        </is>
      </c>
      <c r="J4613" t="inlineStr">
        <is>
          <t>T_TAHARI_6420606_CHR_2.jpg</t>
        </is>
      </c>
      <c r="K4613" t="inlineStr">
        <is>
          <t>T_TAHARI_6420606_CHR_3.jpg</t>
        </is>
      </c>
      <c r="L4613">
        <f>IMAGE("file:///E:/Estudios%20y%20certificaciones/ESTUDIOS%20DE%20PROGRAMMING/PROGRAMMING/PERSONAL/PYTHON/Image_Generator_API/imagenes/T_TAHARI_6420606_CHR_1.jpg")</f>
        <v/>
      </c>
      <c r="M4613">
        <f>IMAGE("file:///E:/Estudios%20y%20certificaciones/ESTUDIOS%20DE%20PROGRAMMING/PROGRAMMING/PERSONAL/PYTHON/Image_Generator_API/imagenes/T_TAHARI_6420606_CHR_2.jpg")</f>
        <v/>
      </c>
      <c r="N4613">
        <f>IMAGE("file:///E:/Estudios%20y%20certificaciones/ESTUDIOS%20DE%20PROGRAMMING/PROGRAMMING/PERSONAL/PYTHON/Image_Generator_API/imagenes/T_TAHARI_6420606_CHR_3.jpg")</f>
        <v/>
      </c>
      <c r="O4613">
        <f>HYPERLINK("imagenes/T_TAHARI_6420606_CHR_1.jpg","Ver imagen")</f>
        <v/>
      </c>
      <c r="P4613">
        <f>HYPERLINK("imagenes/T_TAHARI_6420606_CHR_2.jpg","Ver imagen")</f>
        <v/>
      </c>
      <c r="Q4613">
        <f>HYPERLINK("imagenes/T_TAHARI_6420606_CHR_3.jpg","Ver imagen")</f>
        <v/>
      </c>
    </row>
    <row r="4614">
      <c r="A4614" t="inlineStr">
        <is>
          <t>T TAHARI</t>
        </is>
      </c>
      <c r="B4614" t="inlineStr">
        <is>
          <t>6420612</t>
        </is>
      </c>
      <c r="C4614" t="inlineStr">
        <is>
          <t>LONG DF WOOL WRAP</t>
        </is>
      </c>
      <c r="D4614" t="inlineStr">
        <is>
          <t>NVY</t>
        </is>
      </c>
      <c r="E4614" t="inlineStr">
        <is>
          <t>(en blanco)</t>
        </is>
      </c>
      <c r="F4614" t="inlineStr">
        <is>
          <t>(en blanco)</t>
        </is>
      </c>
      <c r="G4614" t="inlineStr">
        <is>
          <t>M</t>
        </is>
      </c>
      <c r="H4614" t="n">
        <v>1</v>
      </c>
      <c r="I4614" t="inlineStr">
        <is>
          <t>T_TAHARI_6420612_NVY_1.jpg</t>
        </is>
      </c>
      <c r="J4614" t="inlineStr">
        <is>
          <t>T_TAHARI_6420612_NVY_2.jpg</t>
        </is>
      </c>
      <c r="K4614" t="inlineStr">
        <is>
          <t>T_TAHARI_6420612_NVY_3.jpg</t>
        </is>
      </c>
      <c r="L4614">
        <f>IMAGE("file:///E:/Estudios%20y%20certificaciones/ESTUDIOS%20DE%20PROGRAMMING/PROGRAMMING/PERSONAL/PYTHON/Image_Generator_API/imagenes/T_TAHARI_6420612_NVY_1.jpg")</f>
        <v/>
      </c>
      <c r="M4614">
        <f>IMAGE("file:///E:/Estudios%20y%20certificaciones/ESTUDIOS%20DE%20PROGRAMMING/PROGRAMMING/PERSONAL/PYTHON/Image_Generator_API/imagenes/T_TAHARI_6420612_NVY_2.jpg")</f>
        <v/>
      </c>
      <c r="N4614">
        <f>IMAGE("file:///E:/Estudios%20y%20certificaciones/ESTUDIOS%20DE%20PROGRAMMING/PROGRAMMING/PERSONAL/PYTHON/Image_Generator_API/imagenes/T_TAHARI_6420612_NVY_3.jpg")</f>
        <v/>
      </c>
      <c r="O4614">
        <f>HYPERLINK("imagenes/T_TAHARI_6420612_NVY_1.jpg","Ver imagen")</f>
        <v/>
      </c>
      <c r="P4614">
        <f>HYPERLINK("imagenes/T_TAHARI_6420612_NVY_2.jpg","Ver imagen")</f>
        <v/>
      </c>
      <c r="Q4614">
        <f>HYPERLINK("imagenes/T_TAHARI_6420612_NVY_3.jpg","Ver imagen")</f>
        <v/>
      </c>
    </row>
    <row r="4615">
      <c r="A4615" t="inlineStr">
        <is>
          <t>T TAHARI</t>
        </is>
      </c>
      <c r="B4615" t="inlineStr">
        <is>
          <t>6420635</t>
        </is>
      </c>
      <c r="C4615" t="inlineStr">
        <is>
          <t>ELLA D/F WOOL</t>
        </is>
      </c>
      <c r="D4615" t="inlineStr">
        <is>
          <t>ASH</t>
        </is>
      </c>
      <c r="E4615" t="inlineStr">
        <is>
          <t>(en blanco)</t>
        </is>
      </c>
      <c r="F4615" t="inlineStr">
        <is>
          <t>(en blanco)</t>
        </is>
      </c>
      <c r="G4615" t="inlineStr">
        <is>
          <t>XS</t>
        </is>
      </c>
      <c r="H4615" t="n">
        <v>0</v>
      </c>
      <c r="I4615" t="inlineStr">
        <is>
          <t>T_TAHARI_6420635_ASH_1.jpg</t>
        </is>
      </c>
      <c r="J4615" t="inlineStr">
        <is>
          <t>T_TAHARI_6420635_ASH_2.jpg</t>
        </is>
      </c>
      <c r="K4615" t="inlineStr">
        <is>
          <t>T_TAHARI_6420635_ASH_3.jpg</t>
        </is>
      </c>
      <c r="L4615">
        <f>IMAGE("file:///E:/Estudios%20y%20certificaciones/ESTUDIOS%20DE%20PROGRAMMING/PROGRAMMING/PERSONAL/PYTHON/Image_Generator_API/imagenes/T_TAHARI_6420635_ASH_1.jpg")</f>
        <v/>
      </c>
      <c r="M4615">
        <f>IMAGE("file:///E:/Estudios%20y%20certificaciones/ESTUDIOS%20DE%20PROGRAMMING/PROGRAMMING/PERSONAL/PYTHON/Image_Generator_API/imagenes/T_TAHARI_6420635_ASH_2.jpg")</f>
        <v/>
      </c>
      <c r="N4615">
        <f>IMAGE("file:///E:/Estudios%20y%20certificaciones/ESTUDIOS%20DE%20PROGRAMMING/PROGRAMMING/PERSONAL/PYTHON/Image_Generator_API/imagenes/T_TAHARI_6420635_ASH_3.jpg")</f>
        <v/>
      </c>
      <c r="O4615">
        <f>HYPERLINK("imagenes/T_TAHARI_6420635_ASH_1.jpg","Ver imagen")</f>
        <v/>
      </c>
      <c r="P4615">
        <f>HYPERLINK("imagenes/T_TAHARI_6420635_ASH_2.jpg","Ver imagen")</f>
        <v/>
      </c>
      <c r="Q4615">
        <f>HYPERLINK("imagenes/T_TAHARI_6420635_ASH_3.jpg","Ver imagen")</f>
        <v/>
      </c>
    </row>
    <row r="4616">
      <c r="A4616" t="inlineStr">
        <is>
          <t>T TAHARI</t>
        </is>
      </c>
      <c r="B4616" t="inlineStr">
        <is>
          <t>6420635</t>
        </is>
      </c>
      <c r="C4616" t="inlineStr">
        <is>
          <t>ELLA D/F WOOL</t>
        </is>
      </c>
      <c r="D4616" t="inlineStr">
        <is>
          <t>ASH</t>
        </is>
      </c>
      <c r="E4616" t="inlineStr">
        <is>
          <t>(en blanco)</t>
        </is>
      </c>
      <c r="F4616" t="inlineStr">
        <is>
          <t>(en blanco)</t>
        </is>
      </c>
      <c r="G4616" t="inlineStr">
        <is>
          <t>S</t>
        </is>
      </c>
      <c r="H4616" t="n">
        <v>0</v>
      </c>
      <c r="I4616" t="inlineStr">
        <is>
          <t>T_TAHARI_6420635_ASH_1.jpg</t>
        </is>
      </c>
      <c r="J4616" t="inlineStr">
        <is>
          <t>T_TAHARI_6420635_ASH_2.jpg</t>
        </is>
      </c>
      <c r="K4616" t="inlineStr">
        <is>
          <t>T_TAHARI_6420635_ASH_3.jpg</t>
        </is>
      </c>
      <c r="L4616">
        <f>IMAGE("file:///E:/Estudios%20y%20certificaciones/ESTUDIOS%20DE%20PROGRAMMING/PROGRAMMING/PERSONAL/PYTHON/Image_Generator_API/imagenes/T_TAHARI_6420635_ASH_1.jpg")</f>
        <v/>
      </c>
      <c r="M4616">
        <f>IMAGE("file:///E:/Estudios%20y%20certificaciones/ESTUDIOS%20DE%20PROGRAMMING/PROGRAMMING/PERSONAL/PYTHON/Image_Generator_API/imagenes/T_TAHARI_6420635_ASH_2.jpg")</f>
        <v/>
      </c>
      <c r="N4616">
        <f>IMAGE("file:///E:/Estudios%20y%20certificaciones/ESTUDIOS%20DE%20PROGRAMMING/PROGRAMMING/PERSONAL/PYTHON/Image_Generator_API/imagenes/T_TAHARI_6420635_ASH_3.jpg")</f>
        <v/>
      </c>
      <c r="O4616">
        <f>HYPERLINK("imagenes/T_TAHARI_6420635_ASH_1.jpg","Ver imagen")</f>
        <v/>
      </c>
      <c r="P4616">
        <f>HYPERLINK("imagenes/T_TAHARI_6420635_ASH_2.jpg","Ver imagen")</f>
        <v/>
      </c>
      <c r="Q4616">
        <f>HYPERLINK("imagenes/T_TAHARI_6420635_ASH_3.jpg","Ver imagen")</f>
        <v/>
      </c>
    </row>
    <row r="4617">
      <c r="A4617" t="inlineStr">
        <is>
          <t>T TAHARI</t>
        </is>
      </c>
      <c r="B4617" t="inlineStr">
        <is>
          <t>6420635</t>
        </is>
      </c>
      <c r="C4617" t="inlineStr">
        <is>
          <t>ELLA D/F WOOL</t>
        </is>
      </c>
      <c r="D4617" t="inlineStr">
        <is>
          <t>PBU</t>
        </is>
      </c>
      <c r="E4617" t="inlineStr">
        <is>
          <t>(en blanco)</t>
        </is>
      </c>
      <c r="F4617" t="inlineStr">
        <is>
          <t>(en blanco)</t>
        </is>
      </c>
      <c r="G4617" t="inlineStr">
        <is>
          <t>L</t>
        </is>
      </c>
      <c r="H4617" t="n">
        <v>0</v>
      </c>
      <c r="I4617" t="inlineStr">
        <is>
          <t>T_TAHARI_6420635_PBU_1.jpg</t>
        </is>
      </c>
      <c r="J4617" t="inlineStr">
        <is>
          <t>T_TAHARI_6420635_PBU_2.jpg</t>
        </is>
      </c>
      <c r="K4617" t="inlineStr">
        <is>
          <t>T_TAHARI_6420635_PBU_3.jpg</t>
        </is>
      </c>
      <c r="L4617">
        <f>IMAGE("file:///E:/Estudios%20y%20certificaciones/ESTUDIOS%20DE%20PROGRAMMING/PROGRAMMING/PERSONAL/PYTHON/Image_Generator_API/imagenes/T_TAHARI_6420635_PBU_1.jpg")</f>
        <v/>
      </c>
      <c r="M4617">
        <f>IMAGE("file:///E:/Estudios%20y%20certificaciones/ESTUDIOS%20DE%20PROGRAMMING/PROGRAMMING/PERSONAL/PYTHON/Image_Generator_API/imagenes/T_TAHARI_6420635_PBU_2.jpg")</f>
        <v/>
      </c>
      <c r="N4617">
        <f>IMAGE("file:///E:/Estudios%20y%20certificaciones/ESTUDIOS%20DE%20PROGRAMMING/PROGRAMMING/PERSONAL/PYTHON/Image_Generator_API/imagenes/T_TAHARI_6420635_PBU_3.jpg")</f>
        <v/>
      </c>
      <c r="O4617">
        <f>HYPERLINK("imagenes/T_TAHARI_6420635_PBU_1.jpg","Ver imagen")</f>
        <v/>
      </c>
      <c r="P4617">
        <f>HYPERLINK("imagenes/T_TAHARI_6420635_PBU_2.jpg","Ver imagen")</f>
        <v/>
      </c>
      <c r="Q4617">
        <f>HYPERLINK("imagenes/T_TAHARI_6420635_PBU_3.jpg","Ver imagen")</f>
        <v/>
      </c>
    </row>
    <row r="4618">
      <c r="A4618" t="inlineStr">
        <is>
          <t>T TAHARI</t>
        </is>
      </c>
      <c r="B4618" t="inlineStr">
        <is>
          <t>6420640</t>
        </is>
      </c>
      <c r="C4618" t="inlineStr">
        <is>
          <t>MARILYN DF WOOL</t>
        </is>
      </c>
      <c r="D4618" t="inlineStr">
        <is>
          <t>CAM</t>
        </is>
      </c>
      <c r="E4618" t="inlineStr">
        <is>
          <t>(en blanco)</t>
        </is>
      </c>
      <c r="F4618" t="inlineStr">
        <is>
          <t>(en blanco)</t>
        </is>
      </c>
      <c r="G4618" t="inlineStr">
        <is>
          <t>XS</t>
        </is>
      </c>
      <c r="H4618" t="n">
        <v>19</v>
      </c>
      <c r="I4618" t="inlineStr">
        <is>
          <t>T_TAHARI_6420640_CAM_1.jpg</t>
        </is>
      </c>
      <c r="J4618" t="inlineStr">
        <is>
          <t>T_TAHARI_6420640_CAM_2.jpg</t>
        </is>
      </c>
      <c r="K4618" t="inlineStr">
        <is>
          <t>T_TAHARI_6420640_CAM_3.jpg</t>
        </is>
      </c>
      <c r="L4618">
        <f>IMAGE("file:///E:/Estudios%20y%20certificaciones/ESTUDIOS%20DE%20PROGRAMMING/PROGRAMMING/PERSONAL/PYTHON/Image_Generator_API/imagenes/T_TAHARI_6420640_CAM_1.jpg")</f>
        <v/>
      </c>
      <c r="M4618">
        <f>IMAGE("file:///E:/Estudios%20y%20certificaciones/ESTUDIOS%20DE%20PROGRAMMING/PROGRAMMING/PERSONAL/PYTHON/Image_Generator_API/imagenes/T_TAHARI_6420640_CAM_2.jpg")</f>
        <v/>
      </c>
      <c r="N4618">
        <f>IMAGE("file:///E:/Estudios%20y%20certificaciones/ESTUDIOS%20DE%20PROGRAMMING/PROGRAMMING/PERSONAL/PYTHON/Image_Generator_API/imagenes/T_TAHARI_6420640_CAM_3.jpg")</f>
        <v/>
      </c>
      <c r="O4618">
        <f>HYPERLINK("imagenes/T_TAHARI_6420640_CAM_1.jpg","Ver imagen")</f>
        <v/>
      </c>
      <c r="P4618">
        <f>HYPERLINK("imagenes/T_TAHARI_6420640_CAM_2.jpg","Ver imagen")</f>
        <v/>
      </c>
      <c r="Q4618">
        <f>HYPERLINK("imagenes/T_TAHARI_6420640_CAM_3.jpg","Ver imagen")</f>
        <v/>
      </c>
    </row>
    <row r="4619">
      <c r="A4619" t="inlineStr">
        <is>
          <t>T TAHARI</t>
        </is>
      </c>
      <c r="B4619" t="inlineStr">
        <is>
          <t>6420640</t>
        </is>
      </c>
      <c r="C4619" t="inlineStr">
        <is>
          <t>MARILYN DF WOOL</t>
        </is>
      </c>
      <c r="D4619" t="inlineStr">
        <is>
          <t>CAM</t>
        </is>
      </c>
      <c r="E4619" t="inlineStr">
        <is>
          <t>(en blanco)</t>
        </is>
      </c>
      <c r="F4619" t="inlineStr">
        <is>
          <t>(en blanco)</t>
        </is>
      </c>
      <c r="G4619" t="inlineStr">
        <is>
          <t>XXS</t>
        </is>
      </c>
      <c r="H4619" t="n">
        <v>1</v>
      </c>
      <c r="I4619" t="inlineStr">
        <is>
          <t>T_TAHARI_6420640_CAM_1.jpg</t>
        </is>
      </c>
      <c r="J4619" t="inlineStr">
        <is>
          <t>T_TAHARI_6420640_CAM_2.jpg</t>
        </is>
      </c>
      <c r="K4619" t="inlineStr">
        <is>
          <t>T_TAHARI_6420640_CAM_3.jpg</t>
        </is>
      </c>
      <c r="L4619">
        <f>IMAGE("file:///E:/Estudios%20y%20certificaciones/ESTUDIOS%20DE%20PROGRAMMING/PROGRAMMING/PERSONAL/PYTHON/Image_Generator_API/imagenes/T_TAHARI_6420640_CAM_1.jpg")</f>
        <v/>
      </c>
      <c r="M4619">
        <f>IMAGE("file:///E:/Estudios%20y%20certificaciones/ESTUDIOS%20DE%20PROGRAMMING/PROGRAMMING/PERSONAL/PYTHON/Image_Generator_API/imagenes/T_TAHARI_6420640_CAM_2.jpg")</f>
        <v/>
      </c>
      <c r="N4619">
        <f>IMAGE("file:///E:/Estudios%20y%20certificaciones/ESTUDIOS%20DE%20PROGRAMMING/PROGRAMMING/PERSONAL/PYTHON/Image_Generator_API/imagenes/T_TAHARI_6420640_CAM_3.jpg")</f>
        <v/>
      </c>
      <c r="O4619">
        <f>HYPERLINK("imagenes/T_TAHARI_6420640_CAM_1.jpg","Ver imagen")</f>
        <v/>
      </c>
      <c r="P4619">
        <f>HYPERLINK("imagenes/T_TAHARI_6420640_CAM_2.jpg","Ver imagen")</f>
        <v/>
      </c>
      <c r="Q4619">
        <f>HYPERLINK("imagenes/T_TAHARI_6420640_CAM_3.jpg","Ver imagen")</f>
        <v/>
      </c>
    </row>
    <row r="4620">
      <c r="A4620" t="inlineStr">
        <is>
          <t>T TAHARI</t>
        </is>
      </c>
      <c r="B4620" t="inlineStr">
        <is>
          <t>6420640</t>
        </is>
      </c>
      <c r="C4620" t="inlineStr">
        <is>
          <t>MARILYN DF WOOL</t>
        </is>
      </c>
      <c r="D4620" t="inlineStr">
        <is>
          <t>MNK</t>
        </is>
      </c>
      <c r="E4620" t="inlineStr">
        <is>
          <t>(en blanco)</t>
        </is>
      </c>
      <c r="F4620" t="inlineStr">
        <is>
          <t>D2C</t>
        </is>
      </c>
      <c r="G4620" t="inlineStr">
        <is>
          <t>XS</t>
        </is>
      </c>
      <c r="H4620" t="n">
        <v>3</v>
      </c>
      <c r="I4620" t="inlineStr">
        <is>
          <t>T_TAHARI_6420640_MNK_1.jpg</t>
        </is>
      </c>
      <c r="J4620" t="inlineStr">
        <is>
          <t>T_TAHARI_6420640_MNK_2.jpg</t>
        </is>
      </c>
      <c r="K4620" t="inlineStr">
        <is>
          <t>T_TAHARI_6420640_MNK_3.jpg</t>
        </is>
      </c>
      <c r="L4620">
        <f>IMAGE("file:///E:/Estudios%20y%20certificaciones/ESTUDIOS%20DE%20PROGRAMMING/PROGRAMMING/PERSONAL/PYTHON/Image_Generator_API/imagenes/T_TAHARI_6420640_MNK_1.jpg")</f>
        <v/>
      </c>
      <c r="M4620">
        <f>IMAGE("file:///E:/Estudios%20y%20certificaciones/ESTUDIOS%20DE%20PROGRAMMING/PROGRAMMING/PERSONAL/PYTHON/Image_Generator_API/imagenes/T_TAHARI_6420640_MNK_2.jpg")</f>
        <v/>
      </c>
      <c r="N4620">
        <f>IMAGE("file:///E:/Estudios%20y%20certificaciones/ESTUDIOS%20DE%20PROGRAMMING/PROGRAMMING/PERSONAL/PYTHON/Image_Generator_API/imagenes/T_TAHARI_6420640_MNK_3.jpg")</f>
        <v/>
      </c>
      <c r="O4620">
        <f>HYPERLINK("imagenes/T_TAHARI_6420640_MNK_1.jpg","Ver imagen")</f>
        <v/>
      </c>
      <c r="P4620">
        <f>HYPERLINK("imagenes/T_TAHARI_6420640_MNK_2.jpg","Ver imagen")</f>
        <v/>
      </c>
      <c r="Q4620">
        <f>HYPERLINK("imagenes/T_TAHARI_6420640_MNK_3.jpg","Ver imagen")</f>
        <v/>
      </c>
    </row>
    <row r="4621">
      <c r="A4621" t="inlineStr">
        <is>
          <t>T TAHARI</t>
        </is>
      </c>
      <c r="B4621" t="inlineStr">
        <is>
          <t>6420640</t>
        </is>
      </c>
      <c r="C4621" t="inlineStr">
        <is>
          <t>MARILYN DF WOOL</t>
        </is>
      </c>
      <c r="D4621" t="inlineStr">
        <is>
          <t>MNK</t>
        </is>
      </c>
      <c r="E4621" t="inlineStr">
        <is>
          <t>(en blanco)</t>
        </is>
      </c>
      <c r="F4621" t="inlineStr">
        <is>
          <t>D2C</t>
        </is>
      </c>
      <c r="G4621" t="inlineStr">
        <is>
          <t>S</t>
        </is>
      </c>
      <c r="H4621" t="n">
        <v>1</v>
      </c>
      <c r="I4621" t="inlineStr">
        <is>
          <t>T_TAHARI_6420640_MNK_1.jpg</t>
        </is>
      </c>
      <c r="J4621" t="inlineStr">
        <is>
          <t>T_TAHARI_6420640_MNK_2.jpg</t>
        </is>
      </c>
      <c r="K4621" t="inlineStr">
        <is>
          <t>T_TAHARI_6420640_MNK_3.jpg</t>
        </is>
      </c>
      <c r="L4621">
        <f>IMAGE("file:///E:/Estudios%20y%20certificaciones/ESTUDIOS%20DE%20PROGRAMMING/PROGRAMMING/PERSONAL/PYTHON/Image_Generator_API/imagenes/T_TAHARI_6420640_MNK_1.jpg")</f>
        <v/>
      </c>
      <c r="M4621">
        <f>IMAGE("file:///E:/Estudios%20y%20certificaciones/ESTUDIOS%20DE%20PROGRAMMING/PROGRAMMING/PERSONAL/PYTHON/Image_Generator_API/imagenes/T_TAHARI_6420640_MNK_2.jpg")</f>
        <v/>
      </c>
      <c r="N4621">
        <f>IMAGE("file:///E:/Estudios%20y%20certificaciones/ESTUDIOS%20DE%20PROGRAMMING/PROGRAMMING/PERSONAL/PYTHON/Image_Generator_API/imagenes/T_TAHARI_6420640_MNK_3.jpg")</f>
        <v/>
      </c>
      <c r="O4621">
        <f>HYPERLINK("imagenes/T_TAHARI_6420640_MNK_1.jpg","Ver imagen")</f>
        <v/>
      </c>
      <c r="P4621">
        <f>HYPERLINK("imagenes/T_TAHARI_6420640_MNK_2.jpg","Ver imagen")</f>
        <v/>
      </c>
      <c r="Q4621">
        <f>HYPERLINK("imagenes/T_TAHARI_6420640_MNK_3.jpg","Ver imagen")</f>
        <v/>
      </c>
    </row>
    <row r="4622">
      <c r="A4622" t="inlineStr">
        <is>
          <t>T TAHARI</t>
        </is>
      </c>
      <c r="B4622" t="inlineStr">
        <is>
          <t>6420640</t>
        </is>
      </c>
      <c r="C4622" t="inlineStr">
        <is>
          <t>MARILYN DF WOOL</t>
        </is>
      </c>
      <c r="D4622" t="inlineStr">
        <is>
          <t>MNK</t>
        </is>
      </c>
      <c r="E4622" t="inlineStr">
        <is>
          <t>(en blanco)</t>
        </is>
      </c>
      <c r="F4622" t="inlineStr">
        <is>
          <t>D2C</t>
        </is>
      </c>
      <c r="G4622" t="inlineStr">
        <is>
          <t>L</t>
        </is>
      </c>
      <c r="H4622" t="n">
        <v>4</v>
      </c>
      <c r="I4622" t="inlineStr">
        <is>
          <t>T_TAHARI_6420640_MNK_1.jpg</t>
        </is>
      </c>
      <c r="J4622" t="inlineStr">
        <is>
          <t>T_TAHARI_6420640_MNK_2.jpg</t>
        </is>
      </c>
      <c r="K4622" t="inlineStr">
        <is>
          <t>T_TAHARI_6420640_MNK_3.jpg</t>
        </is>
      </c>
      <c r="L4622">
        <f>IMAGE("file:///E:/Estudios%20y%20certificaciones/ESTUDIOS%20DE%20PROGRAMMING/PROGRAMMING/PERSONAL/PYTHON/Image_Generator_API/imagenes/T_TAHARI_6420640_MNK_1.jpg")</f>
        <v/>
      </c>
      <c r="M4622">
        <f>IMAGE("file:///E:/Estudios%20y%20certificaciones/ESTUDIOS%20DE%20PROGRAMMING/PROGRAMMING/PERSONAL/PYTHON/Image_Generator_API/imagenes/T_TAHARI_6420640_MNK_2.jpg")</f>
        <v/>
      </c>
      <c r="N4622">
        <f>IMAGE("file:///E:/Estudios%20y%20certificaciones/ESTUDIOS%20DE%20PROGRAMMING/PROGRAMMING/PERSONAL/PYTHON/Image_Generator_API/imagenes/T_TAHARI_6420640_MNK_3.jpg")</f>
        <v/>
      </c>
      <c r="O4622">
        <f>HYPERLINK("imagenes/T_TAHARI_6420640_MNK_1.jpg","Ver imagen")</f>
        <v/>
      </c>
      <c r="P4622">
        <f>HYPERLINK("imagenes/T_TAHARI_6420640_MNK_2.jpg","Ver imagen")</f>
        <v/>
      </c>
      <c r="Q4622">
        <f>HYPERLINK("imagenes/T_TAHARI_6420640_MNK_3.jpg","Ver imagen")</f>
        <v/>
      </c>
    </row>
    <row r="4623">
      <c r="A4623" t="inlineStr">
        <is>
          <t>T TAHARI</t>
        </is>
      </c>
      <c r="B4623" t="inlineStr">
        <is>
          <t>6420640</t>
        </is>
      </c>
      <c r="C4623" t="inlineStr">
        <is>
          <t>MARILYN DF WOOL</t>
        </is>
      </c>
      <c r="D4623" t="inlineStr">
        <is>
          <t>MNK</t>
        </is>
      </c>
      <c r="E4623" t="inlineStr">
        <is>
          <t>(en blanco)</t>
        </is>
      </c>
      <c r="F4623" t="inlineStr">
        <is>
          <t>D2C</t>
        </is>
      </c>
      <c r="G4623" t="inlineStr">
        <is>
          <t>XL</t>
        </is>
      </c>
      <c r="H4623" t="n">
        <v>3</v>
      </c>
      <c r="I4623" t="inlineStr">
        <is>
          <t>T_TAHARI_6420640_MNK_1.jpg</t>
        </is>
      </c>
      <c r="J4623" t="inlineStr">
        <is>
          <t>T_TAHARI_6420640_MNK_2.jpg</t>
        </is>
      </c>
      <c r="K4623" t="inlineStr">
        <is>
          <t>T_TAHARI_6420640_MNK_3.jpg</t>
        </is>
      </c>
      <c r="L4623">
        <f>IMAGE("file:///E:/Estudios%20y%20certificaciones/ESTUDIOS%20DE%20PROGRAMMING/PROGRAMMING/PERSONAL/PYTHON/Image_Generator_API/imagenes/T_TAHARI_6420640_MNK_1.jpg")</f>
        <v/>
      </c>
      <c r="M4623">
        <f>IMAGE("file:///E:/Estudios%20y%20certificaciones/ESTUDIOS%20DE%20PROGRAMMING/PROGRAMMING/PERSONAL/PYTHON/Image_Generator_API/imagenes/T_TAHARI_6420640_MNK_2.jpg")</f>
        <v/>
      </c>
      <c r="N4623">
        <f>IMAGE("file:///E:/Estudios%20y%20certificaciones/ESTUDIOS%20DE%20PROGRAMMING/PROGRAMMING/PERSONAL/PYTHON/Image_Generator_API/imagenes/T_TAHARI_6420640_MNK_3.jpg")</f>
        <v/>
      </c>
      <c r="O4623">
        <f>HYPERLINK("imagenes/T_TAHARI_6420640_MNK_1.jpg","Ver imagen")</f>
        <v/>
      </c>
      <c r="P4623">
        <f>HYPERLINK("imagenes/T_TAHARI_6420640_MNK_2.jpg","Ver imagen")</f>
        <v/>
      </c>
      <c r="Q4623">
        <f>HYPERLINK("imagenes/T_TAHARI_6420640_MNK_3.jpg","Ver imagen")</f>
        <v/>
      </c>
    </row>
    <row r="4624">
      <c r="A4624" t="inlineStr">
        <is>
          <t>T TAHARI</t>
        </is>
      </c>
      <c r="B4624" t="inlineStr">
        <is>
          <t>6420640</t>
        </is>
      </c>
      <c r="C4624" t="inlineStr">
        <is>
          <t>MARILYN DF WOOL</t>
        </is>
      </c>
      <c r="D4624" t="inlineStr">
        <is>
          <t>MNK</t>
        </is>
      </c>
      <c r="E4624" t="inlineStr">
        <is>
          <t>(en blanco)</t>
        </is>
      </c>
      <c r="F4624" t="inlineStr">
        <is>
          <t>(en blanco)</t>
        </is>
      </c>
      <c r="G4624" t="inlineStr">
        <is>
          <t>XS</t>
        </is>
      </c>
      <c r="H4624" t="n">
        <v>9</v>
      </c>
      <c r="I4624" t="inlineStr">
        <is>
          <t>T_TAHARI_6420640_MNK_1.jpg</t>
        </is>
      </c>
      <c r="J4624" t="inlineStr">
        <is>
          <t>T_TAHARI_6420640_MNK_2.jpg</t>
        </is>
      </c>
      <c r="K4624" t="inlineStr">
        <is>
          <t>T_TAHARI_6420640_MNK_3.jpg</t>
        </is>
      </c>
      <c r="L4624">
        <f>IMAGE("file:///E:/Estudios%20y%20certificaciones/ESTUDIOS%20DE%20PROGRAMMING/PROGRAMMING/PERSONAL/PYTHON/Image_Generator_API/imagenes/T_TAHARI_6420640_MNK_1.jpg")</f>
        <v/>
      </c>
      <c r="M4624">
        <f>IMAGE("file:///E:/Estudios%20y%20certificaciones/ESTUDIOS%20DE%20PROGRAMMING/PROGRAMMING/PERSONAL/PYTHON/Image_Generator_API/imagenes/T_TAHARI_6420640_MNK_2.jpg")</f>
        <v/>
      </c>
      <c r="N4624">
        <f>IMAGE("file:///E:/Estudios%20y%20certificaciones/ESTUDIOS%20DE%20PROGRAMMING/PROGRAMMING/PERSONAL/PYTHON/Image_Generator_API/imagenes/T_TAHARI_6420640_MNK_3.jpg")</f>
        <v/>
      </c>
      <c r="O4624">
        <f>HYPERLINK("imagenes/T_TAHARI_6420640_MNK_1.jpg","Ver imagen")</f>
        <v/>
      </c>
      <c r="P4624">
        <f>HYPERLINK("imagenes/T_TAHARI_6420640_MNK_2.jpg","Ver imagen")</f>
        <v/>
      </c>
      <c r="Q4624">
        <f>HYPERLINK("imagenes/T_TAHARI_6420640_MNK_3.jpg","Ver imagen")</f>
        <v/>
      </c>
    </row>
    <row r="4625">
      <c r="A4625" t="inlineStr">
        <is>
          <t>T TAHARI</t>
        </is>
      </c>
      <c r="B4625" t="inlineStr">
        <is>
          <t>6420640</t>
        </is>
      </c>
      <c r="C4625" t="inlineStr">
        <is>
          <t>MARILYN DF WOOL</t>
        </is>
      </c>
      <c r="D4625" t="inlineStr">
        <is>
          <t>MNK</t>
        </is>
      </c>
      <c r="E4625" t="inlineStr">
        <is>
          <t>(en blanco)</t>
        </is>
      </c>
      <c r="F4625" t="inlineStr">
        <is>
          <t>(en blanco)</t>
        </is>
      </c>
      <c r="G4625" t="inlineStr">
        <is>
          <t>S</t>
        </is>
      </c>
      <c r="H4625" t="n">
        <v>3</v>
      </c>
      <c r="I4625" t="inlineStr">
        <is>
          <t>T_TAHARI_6420640_MNK_1.jpg</t>
        </is>
      </c>
      <c r="J4625" t="inlineStr">
        <is>
          <t>T_TAHARI_6420640_MNK_2.jpg</t>
        </is>
      </c>
      <c r="K4625" t="inlineStr">
        <is>
          <t>T_TAHARI_6420640_MNK_3.jpg</t>
        </is>
      </c>
      <c r="L4625">
        <f>IMAGE("file:///E:/Estudios%20y%20certificaciones/ESTUDIOS%20DE%20PROGRAMMING/PROGRAMMING/PERSONAL/PYTHON/Image_Generator_API/imagenes/T_TAHARI_6420640_MNK_1.jpg")</f>
        <v/>
      </c>
      <c r="M4625">
        <f>IMAGE("file:///E:/Estudios%20y%20certificaciones/ESTUDIOS%20DE%20PROGRAMMING/PROGRAMMING/PERSONAL/PYTHON/Image_Generator_API/imagenes/T_TAHARI_6420640_MNK_2.jpg")</f>
        <v/>
      </c>
      <c r="N4625">
        <f>IMAGE("file:///E:/Estudios%20y%20certificaciones/ESTUDIOS%20DE%20PROGRAMMING/PROGRAMMING/PERSONAL/PYTHON/Image_Generator_API/imagenes/T_TAHARI_6420640_MNK_3.jpg")</f>
        <v/>
      </c>
      <c r="O4625">
        <f>HYPERLINK("imagenes/T_TAHARI_6420640_MNK_1.jpg","Ver imagen")</f>
        <v/>
      </c>
      <c r="P4625">
        <f>HYPERLINK("imagenes/T_TAHARI_6420640_MNK_2.jpg","Ver imagen")</f>
        <v/>
      </c>
      <c r="Q4625">
        <f>HYPERLINK("imagenes/T_TAHARI_6420640_MNK_3.jpg","Ver imagen")</f>
        <v/>
      </c>
    </row>
    <row r="4626">
      <c r="A4626" t="inlineStr">
        <is>
          <t>T TAHARI</t>
        </is>
      </c>
      <c r="B4626" t="inlineStr">
        <is>
          <t>6420640</t>
        </is>
      </c>
      <c r="C4626" t="inlineStr">
        <is>
          <t>MARILYN DF WOOL</t>
        </is>
      </c>
      <c r="D4626" t="inlineStr">
        <is>
          <t>MNK</t>
        </is>
      </c>
      <c r="E4626" t="inlineStr">
        <is>
          <t>(en blanco)</t>
        </is>
      </c>
      <c r="F4626" t="inlineStr">
        <is>
          <t>(en blanco)</t>
        </is>
      </c>
      <c r="G4626" t="inlineStr">
        <is>
          <t>L</t>
        </is>
      </c>
      <c r="H4626" t="n">
        <v>19</v>
      </c>
      <c r="I4626" t="inlineStr">
        <is>
          <t>T_TAHARI_6420640_MNK_1.jpg</t>
        </is>
      </c>
      <c r="J4626" t="inlineStr">
        <is>
          <t>T_TAHARI_6420640_MNK_2.jpg</t>
        </is>
      </c>
      <c r="K4626" t="inlineStr">
        <is>
          <t>T_TAHARI_6420640_MNK_3.jpg</t>
        </is>
      </c>
      <c r="L4626">
        <f>IMAGE("file:///E:/Estudios%20y%20certificaciones/ESTUDIOS%20DE%20PROGRAMMING/PROGRAMMING/PERSONAL/PYTHON/Image_Generator_API/imagenes/T_TAHARI_6420640_MNK_1.jpg")</f>
        <v/>
      </c>
      <c r="M4626">
        <f>IMAGE("file:///E:/Estudios%20y%20certificaciones/ESTUDIOS%20DE%20PROGRAMMING/PROGRAMMING/PERSONAL/PYTHON/Image_Generator_API/imagenes/T_TAHARI_6420640_MNK_2.jpg")</f>
        <v/>
      </c>
      <c r="N4626">
        <f>IMAGE("file:///E:/Estudios%20y%20certificaciones/ESTUDIOS%20DE%20PROGRAMMING/PROGRAMMING/PERSONAL/PYTHON/Image_Generator_API/imagenes/T_TAHARI_6420640_MNK_3.jpg")</f>
        <v/>
      </c>
      <c r="O4626">
        <f>HYPERLINK("imagenes/T_TAHARI_6420640_MNK_1.jpg","Ver imagen")</f>
        <v/>
      </c>
      <c r="P4626">
        <f>HYPERLINK("imagenes/T_TAHARI_6420640_MNK_2.jpg","Ver imagen")</f>
        <v/>
      </c>
      <c r="Q4626">
        <f>HYPERLINK("imagenes/T_TAHARI_6420640_MNK_3.jpg","Ver imagen")</f>
        <v/>
      </c>
    </row>
    <row r="4627">
      <c r="A4627" t="inlineStr">
        <is>
          <t>T TAHARI</t>
        </is>
      </c>
      <c r="B4627" t="inlineStr">
        <is>
          <t>6420640</t>
        </is>
      </c>
      <c r="C4627" t="inlineStr">
        <is>
          <t>MARILYN DF WOOL</t>
        </is>
      </c>
      <c r="D4627" t="inlineStr">
        <is>
          <t>MNK</t>
        </is>
      </c>
      <c r="E4627" t="inlineStr">
        <is>
          <t>(en blanco)</t>
        </is>
      </c>
      <c r="F4627" t="inlineStr">
        <is>
          <t>(en blanco)</t>
        </is>
      </c>
      <c r="G4627" t="inlineStr">
        <is>
          <t>XL</t>
        </is>
      </c>
      <c r="H4627" t="n">
        <v>15</v>
      </c>
      <c r="I4627" t="inlineStr">
        <is>
          <t>T_TAHARI_6420640_MNK_1.jpg</t>
        </is>
      </c>
      <c r="J4627" t="inlineStr">
        <is>
          <t>T_TAHARI_6420640_MNK_2.jpg</t>
        </is>
      </c>
      <c r="K4627" t="inlineStr">
        <is>
          <t>T_TAHARI_6420640_MNK_3.jpg</t>
        </is>
      </c>
      <c r="L4627">
        <f>IMAGE("file:///E:/Estudios%20y%20certificaciones/ESTUDIOS%20DE%20PROGRAMMING/PROGRAMMING/PERSONAL/PYTHON/Image_Generator_API/imagenes/T_TAHARI_6420640_MNK_1.jpg")</f>
        <v/>
      </c>
      <c r="M4627">
        <f>IMAGE("file:///E:/Estudios%20y%20certificaciones/ESTUDIOS%20DE%20PROGRAMMING/PROGRAMMING/PERSONAL/PYTHON/Image_Generator_API/imagenes/T_TAHARI_6420640_MNK_2.jpg")</f>
        <v/>
      </c>
      <c r="N4627">
        <f>IMAGE("file:///E:/Estudios%20y%20certificaciones/ESTUDIOS%20DE%20PROGRAMMING/PROGRAMMING/PERSONAL/PYTHON/Image_Generator_API/imagenes/T_TAHARI_6420640_MNK_3.jpg")</f>
        <v/>
      </c>
      <c r="O4627">
        <f>HYPERLINK("imagenes/T_TAHARI_6420640_MNK_1.jpg","Ver imagen")</f>
        <v/>
      </c>
      <c r="P4627">
        <f>HYPERLINK("imagenes/T_TAHARI_6420640_MNK_2.jpg","Ver imagen")</f>
        <v/>
      </c>
      <c r="Q4627">
        <f>HYPERLINK("imagenes/T_TAHARI_6420640_MNK_3.jpg","Ver imagen")</f>
        <v/>
      </c>
    </row>
    <row r="4628">
      <c r="A4628" t="inlineStr">
        <is>
          <t>T TAHARI</t>
        </is>
      </c>
      <c r="B4628" t="inlineStr">
        <is>
          <t>6420640</t>
        </is>
      </c>
      <c r="C4628" t="inlineStr">
        <is>
          <t>MARILYN DF WOOL</t>
        </is>
      </c>
      <c r="D4628" t="inlineStr">
        <is>
          <t>MNK</t>
        </is>
      </c>
      <c r="E4628" t="inlineStr">
        <is>
          <t>(en blanco)</t>
        </is>
      </c>
      <c r="F4628" t="inlineStr">
        <is>
          <t>(en blanco)</t>
        </is>
      </c>
      <c r="G4628" t="inlineStr">
        <is>
          <t>XXL</t>
        </is>
      </c>
      <c r="H4628" t="n">
        <v>0</v>
      </c>
      <c r="I4628" t="inlineStr">
        <is>
          <t>T_TAHARI_6420640_MNK_1.jpg</t>
        </is>
      </c>
      <c r="J4628" t="inlineStr">
        <is>
          <t>T_TAHARI_6420640_MNK_2.jpg</t>
        </is>
      </c>
      <c r="K4628" t="inlineStr">
        <is>
          <t>T_TAHARI_6420640_MNK_3.jpg</t>
        </is>
      </c>
      <c r="L4628">
        <f>IMAGE("file:///E:/Estudios%20y%20certificaciones/ESTUDIOS%20DE%20PROGRAMMING/PROGRAMMING/PERSONAL/PYTHON/Image_Generator_API/imagenes/T_TAHARI_6420640_MNK_1.jpg")</f>
        <v/>
      </c>
      <c r="M4628">
        <f>IMAGE("file:///E:/Estudios%20y%20certificaciones/ESTUDIOS%20DE%20PROGRAMMING/PROGRAMMING/PERSONAL/PYTHON/Image_Generator_API/imagenes/T_TAHARI_6420640_MNK_2.jpg")</f>
        <v/>
      </c>
      <c r="N4628">
        <f>IMAGE("file:///E:/Estudios%20y%20certificaciones/ESTUDIOS%20DE%20PROGRAMMING/PROGRAMMING/PERSONAL/PYTHON/Image_Generator_API/imagenes/T_TAHARI_6420640_MNK_3.jpg")</f>
        <v/>
      </c>
      <c r="O4628">
        <f>HYPERLINK("imagenes/T_TAHARI_6420640_MNK_1.jpg","Ver imagen")</f>
        <v/>
      </c>
      <c r="P4628">
        <f>HYPERLINK("imagenes/T_TAHARI_6420640_MNK_2.jpg","Ver imagen")</f>
        <v/>
      </c>
      <c r="Q4628">
        <f>HYPERLINK("imagenes/T_TAHARI_6420640_MNK_3.jpg","Ver imagen")</f>
        <v/>
      </c>
    </row>
    <row r="4629">
      <c r="A4629" t="inlineStr">
        <is>
          <t>T TAHARI</t>
        </is>
      </c>
      <c r="B4629" t="inlineStr">
        <is>
          <t>6420640</t>
        </is>
      </c>
      <c r="C4629" t="inlineStr">
        <is>
          <t>MARILYN DF WOOL</t>
        </is>
      </c>
      <c r="D4629" t="inlineStr">
        <is>
          <t>PBU</t>
        </is>
      </c>
      <c r="E4629" t="inlineStr">
        <is>
          <t>(en blanco)</t>
        </is>
      </c>
      <c r="F4629" t="inlineStr">
        <is>
          <t>(en blanco)</t>
        </is>
      </c>
      <c r="G4629" t="inlineStr">
        <is>
          <t>XS</t>
        </is>
      </c>
      <c r="H4629" t="n">
        <v>9</v>
      </c>
      <c r="I4629" t="inlineStr">
        <is>
          <t>T_TAHARI_6420640_PBU_1.jpg</t>
        </is>
      </c>
      <c r="J4629" t="inlineStr">
        <is>
          <t>T_TAHARI_6420640_PBU_2.jpg</t>
        </is>
      </c>
      <c r="K4629" t="inlineStr">
        <is>
          <t>T_TAHARI_6420640_PBU_3.jpg</t>
        </is>
      </c>
      <c r="L4629">
        <f>IMAGE("file:///E:/Estudios%20y%20certificaciones/ESTUDIOS%20DE%20PROGRAMMING/PROGRAMMING/PERSONAL/PYTHON/Image_Generator_API/imagenes/T_TAHARI_6420640_PBU_1.jpg")</f>
        <v/>
      </c>
      <c r="M4629">
        <f>IMAGE("file:///E:/Estudios%20y%20certificaciones/ESTUDIOS%20DE%20PROGRAMMING/PROGRAMMING/PERSONAL/PYTHON/Image_Generator_API/imagenes/T_TAHARI_6420640_PBU_2.jpg")</f>
        <v/>
      </c>
      <c r="N4629">
        <f>IMAGE("file:///E:/Estudios%20y%20certificaciones/ESTUDIOS%20DE%20PROGRAMMING/PROGRAMMING/PERSONAL/PYTHON/Image_Generator_API/imagenes/T_TAHARI_6420640_PBU_3.jpg")</f>
        <v/>
      </c>
      <c r="O4629">
        <f>HYPERLINK("imagenes/T_TAHARI_6420640_PBU_1.jpg","Ver imagen")</f>
        <v/>
      </c>
      <c r="P4629">
        <f>HYPERLINK("imagenes/T_TAHARI_6420640_PBU_2.jpg","Ver imagen")</f>
        <v/>
      </c>
      <c r="Q4629">
        <f>HYPERLINK("imagenes/T_TAHARI_6420640_PBU_3.jpg","Ver imagen")</f>
        <v/>
      </c>
    </row>
    <row r="4630">
      <c r="A4630" t="inlineStr">
        <is>
          <t>T TAHARI</t>
        </is>
      </c>
      <c r="B4630" t="inlineStr">
        <is>
          <t>6420640</t>
        </is>
      </c>
      <c r="C4630" t="inlineStr">
        <is>
          <t>MARILYN DF WOOL</t>
        </is>
      </c>
      <c r="D4630" t="inlineStr">
        <is>
          <t>PBU</t>
        </is>
      </c>
      <c r="E4630" t="inlineStr">
        <is>
          <t>(en blanco)</t>
        </is>
      </c>
      <c r="F4630" t="inlineStr">
        <is>
          <t>(en blanco)</t>
        </is>
      </c>
      <c r="G4630" t="inlineStr">
        <is>
          <t>S</t>
        </is>
      </c>
      <c r="H4630" t="n">
        <v>3</v>
      </c>
      <c r="I4630" t="inlineStr">
        <is>
          <t>T_TAHARI_6420640_PBU_1.jpg</t>
        </is>
      </c>
      <c r="J4630" t="inlineStr">
        <is>
          <t>T_TAHARI_6420640_PBU_2.jpg</t>
        </is>
      </c>
      <c r="K4630" t="inlineStr">
        <is>
          <t>T_TAHARI_6420640_PBU_3.jpg</t>
        </is>
      </c>
      <c r="L4630">
        <f>IMAGE("file:///E:/Estudios%20y%20certificaciones/ESTUDIOS%20DE%20PROGRAMMING/PROGRAMMING/PERSONAL/PYTHON/Image_Generator_API/imagenes/T_TAHARI_6420640_PBU_1.jpg")</f>
        <v/>
      </c>
      <c r="M4630">
        <f>IMAGE("file:///E:/Estudios%20y%20certificaciones/ESTUDIOS%20DE%20PROGRAMMING/PROGRAMMING/PERSONAL/PYTHON/Image_Generator_API/imagenes/T_TAHARI_6420640_PBU_2.jpg")</f>
        <v/>
      </c>
      <c r="N4630">
        <f>IMAGE("file:///E:/Estudios%20y%20certificaciones/ESTUDIOS%20DE%20PROGRAMMING/PROGRAMMING/PERSONAL/PYTHON/Image_Generator_API/imagenes/T_TAHARI_6420640_PBU_3.jpg")</f>
        <v/>
      </c>
      <c r="O4630">
        <f>HYPERLINK("imagenes/T_TAHARI_6420640_PBU_1.jpg","Ver imagen")</f>
        <v/>
      </c>
      <c r="P4630">
        <f>HYPERLINK("imagenes/T_TAHARI_6420640_PBU_2.jpg","Ver imagen")</f>
        <v/>
      </c>
      <c r="Q4630">
        <f>HYPERLINK("imagenes/T_TAHARI_6420640_PBU_3.jpg","Ver imagen")</f>
        <v/>
      </c>
    </row>
    <row r="4631">
      <c r="A4631" t="inlineStr">
        <is>
          <t>T TAHARI</t>
        </is>
      </c>
      <c r="B4631" t="inlineStr">
        <is>
          <t>6420640</t>
        </is>
      </c>
      <c r="C4631" t="inlineStr">
        <is>
          <t>MARILYN DF WOOL</t>
        </is>
      </c>
      <c r="D4631" t="inlineStr">
        <is>
          <t>PBU</t>
        </is>
      </c>
      <c r="E4631" t="inlineStr">
        <is>
          <t>(en blanco)</t>
        </is>
      </c>
      <c r="F4631" t="inlineStr">
        <is>
          <t>(en blanco)</t>
        </is>
      </c>
      <c r="G4631" t="inlineStr">
        <is>
          <t>M</t>
        </is>
      </c>
      <c r="H4631" t="n">
        <v>15</v>
      </c>
      <c r="I4631" t="inlineStr">
        <is>
          <t>T_TAHARI_6420640_PBU_1.jpg</t>
        </is>
      </c>
      <c r="J4631" t="inlineStr">
        <is>
          <t>T_TAHARI_6420640_PBU_2.jpg</t>
        </is>
      </c>
      <c r="K4631" t="inlineStr">
        <is>
          <t>T_TAHARI_6420640_PBU_3.jpg</t>
        </is>
      </c>
      <c r="L4631">
        <f>IMAGE("file:///E:/Estudios%20y%20certificaciones/ESTUDIOS%20DE%20PROGRAMMING/PROGRAMMING/PERSONAL/PYTHON/Image_Generator_API/imagenes/T_TAHARI_6420640_PBU_1.jpg")</f>
        <v/>
      </c>
      <c r="M4631">
        <f>IMAGE("file:///E:/Estudios%20y%20certificaciones/ESTUDIOS%20DE%20PROGRAMMING/PROGRAMMING/PERSONAL/PYTHON/Image_Generator_API/imagenes/T_TAHARI_6420640_PBU_2.jpg")</f>
        <v/>
      </c>
      <c r="N4631">
        <f>IMAGE("file:///E:/Estudios%20y%20certificaciones/ESTUDIOS%20DE%20PROGRAMMING/PROGRAMMING/PERSONAL/PYTHON/Image_Generator_API/imagenes/T_TAHARI_6420640_PBU_3.jpg")</f>
        <v/>
      </c>
      <c r="O4631">
        <f>HYPERLINK("imagenes/T_TAHARI_6420640_PBU_1.jpg","Ver imagen")</f>
        <v/>
      </c>
      <c r="P4631">
        <f>HYPERLINK("imagenes/T_TAHARI_6420640_PBU_2.jpg","Ver imagen")</f>
        <v/>
      </c>
      <c r="Q4631">
        <f>HYPERLINK("imagenes/T_TAHARI_6420640_PBU_3.jpg","Ver imagen")</f>
        <v/>
      </c>
    </row>
    <row r="4632">
      <c r="A4632" t="inlineStr">
        <is>
          <t>T TAHARI</t>
        </is>
      </c>
      <c r="B4632" t="inlineStr">
        <is>
          <t>6420640</t>
        </is>
      </c>
      <c r="C4632" t="inlineStr">
        <is>
          <t>MARILYN DF WOOL</t>
        </is>
      </c>
      <c r="D4632" t="inlineStr">
        <is>
          <t>PBU</t>
        </is>
      </c>
      <c r="E4632" t="inlineStr">
        <is>
          <t>(en blanco)</t>
        </is>
      </c>
      <c r="F4632" t="inlineStr">
        <is>
          <t>(en blanco)</t>
        </is>
      </c>
      <c r="G4632" t="inlineStr">
        <is>
          <t>XXS</t>
        </is>
      </c>
      <c r="H4632" t="n">
        <v>3</v>
      </c>
      <c r="I4632" t="inlineStr">
        <is>
          <t>T_TAHARI_6420640_PBU_1.jpg</t>
        </is>
      </c>
      <c r="J4632" t="inlineStr">
        <is>
          <t>T_TAHARI_6420640_PBU_2.jpg</t>
        </is>
      </c>
      <c r="K4632" t="inlineStr">
        <is>
          <t>T_TAHARI_6420640_PBU_3.jpg</t>
        </is>
      </c>
      <c r="L4632">
        <f>IMAGE("file:///E:/Estudios%20y%20certificaciones/ESTUDIOS%20DE%20PROGRAMMING/PROGRAMMING/PERSONAL/PYTHON/Image_Generator_API/imagenes/T_TAHARI_6420640_PBU_1.jpg")</f>
        <v/>
      </c>
      <c r="M4632">
        <f>IMAGE("file:///E:/Estudios%20y%20certificaciones/ESTUDIOS%20DE%20PROGRAMMING/PROGRAMMING/PERSONAL/PYTHON/Image_Generator_API/imagenes/T_TAHARI_6420640_PBU_2.jpg")</f>
        <v/>
      </c>
      <c r="N4632">
        <f>IMAGE("file:///E:/Estudios%20y%20certificaciones/ESTUDIOS%20DE%20PROGRAMMING/PROGRAMMING/PERSONAL/PYTHON/Image_Generator_API/imagenes/T_TAHARI_6420640_PBU_3.jpg")</f>
        <v/>
      </c>
      <c r="O4632">
        <f>HYPERLINK("imagenes/T_TAHARI_6420640_PBU_1.jpg","Ver imagen")</f>
        <v/>
      </c>
      <c r="P4632">
        <f>HYPERLINK("imagenes/T_TAHARI_6420640_PBU_2.jpg","Ver imagen")</f>
        <v/>
      </c>
      <c r="Q4632">
        <f>HYPERLINK("imagenes/T_TAHARI_6420640_PBU_3.jpg","Ver imagen")</f>
        <v/>
      </c>
    </row>
    <row r="4633">
      <c r="A4633" t="inlineStr">
        <is>
          <t>T TAHARI</t>
        </is>
      </c>
      <c r="B4633" t="inlineStr">
        <is>
          <t>6420658</t>
        </is>
      </c>
      <c r="C4633" t="inlineStr">
        <is>
          <t>FRANKIE DF WOOL</t>
        </is>
      </c>
      <c r="D4633" t="inlineStr">
        <is>
          <t>BLK</t>
        </is>
      </c>
      <c r="E4633" t="inlineStr">
        <is>
          <t>(en blanco)</t>
        </is>
      </c>
      <c r="F4633" t="inlineStr">
        <is>
          <t>(en blanco)</t>
        </is>
      </c>
      <c r="G4633" t="inlineStr">
        <is>
          <t>XL</t>
        </is>
      </c>
      <c r="H4633" t="n">
        <v>40</v>
      </c>
      <c r="I4633" t="inlineStr">
        <is>
          <t>T_TAHARI_6420658_BLK_1.jpg</t>
        </is>
      </c>
      <c r="J4633" t="inlineStr">
        <is>
          <t>T_TAHARI_6420658_BLK_2.jpg</t>
        </is>
      </c>
      <c r="K4633" t="inlineStr">
        <is>
          <t>T_TAHARI_6420658_BLK_3.jpg</t>
        </is>
      </c>
      <c r="L4633">
        <f>IMAGE("file:///E:/Estudios%20y%20certificaciones/ESTUDIOS%20DE%20PROGRAMMING/PROGRAMMING/PERSONAL/PYTHON/Image_Generator_API/imagenes/T_TAHARI_6420658_BLK_1.jpg")</f>
        <v/>
      </c>
      <c r="M4633">
        <f>IMAGE("file:///E:/Estudios%20y%20certificaciones/ESTUDIOS%20DE%20PROGRAMMING/PROGRAMMING/PERSONAL/PYTHON/Image_Generator_API/imagenes/T_TAHARI_6420658_BLK_2.jpg")</f>
        <v/>
      </c>
      <c r="N4633">
        <f>IMAGE("file:///E:/Estudios%20y%20certificaciones/ESTUDIOS%20DE%20PROGRAMMING/PROGRAMMING/PERSONAL/PYTHON/Image_Generator_API/imagenes/T_TAHARI_6420658_BLK_3.jpg")</f>
        <v/>
      </c>
      <c r="O4633">
        <f>HYPERLINK("imagenes/T_TAHARI_6420658_BLK_1.jpg","Ver imagen")</f>
        <v/>
      </c>
      <c r="P4633">
        <f>HYPERLINK("imagenes/T_TAHARI_6420658_BLK_2.jpg","Ver imagen")</f>
        <v/>
      </c>
      <c r="Q4633">
        <f>HYPERLINK("imagenes/T_TAHARI_6420658_BLK_3.jpg","Ver imagen")</f>
        <v/>
      </c>
    </row>
    <row r="4634">
      <c r="A4634" t="inlineStr">
        <is>
          <t>T TAHARI</t>
        </is>
      </c>
      <c r="B4634" t="inlineStr">
        <is>
          <t>6420658</t>
        </is>
      </c>
      <c r="C4634" t="inlineStr">
        <is>
          <t>FRANKIE DF WOOL</t>
        </is>
      </c>
      <c r="D4634" t="inlineStr">
        <is>
          <t>BLK</t>
        </is>
      </c>
      <c r="E4634" t="inlineStr">
        <is>
          <t>(en blanco)</t>
        </is>
      </c>
      <c r="F4634" t="inlineStr">
        <is>
          <t>(en blanco)</t>
        </is>
      </c>
      <c r="G4634" t="inlineStr">
        <is>
          <t>XXL</t>
        </is>
      </c>
      <c r="H4634" t="n">
        <v>9</v>
      </c>
      <c r="I4634" t="inlineStr">
        <is>
          <t>T_TAHARI_6420658_BLK_1.jpg</t>
        </is>
      </c>
      <c r="J4634" t="inlineStr">
        <is>
          <t>T_TAHARI_6420658_BLK_2.jpg</t>
        </is>
      </c>
      <c r="K4634" t="inlineStr">
        <is>
          <t>T_TAHARI_6420658_BLK_3.jpg</t>
        </is>
      </c>
      <c r="L4634">
        <f>IMAGE("file:///E:/Estudios%20y%20certificaciones/ESTUDIOS%20DE%20PROGRAMMING/PROGRAMMING/PERSONAL/PYTHON/Image_Generator_API/imagenes/T_TAHARI_6420658_BLK_1.jpg")</f>
        <v/>
      </c>
      <c r="M4634">
        <f>IMAGE("file:///E:/Estudios%20y%20certificaciones/ESTUDIOS%20DE%20PROGRAMMING/PROGRAMMING/PERSONAL/PYTHON/Image_Generator_API/imagenes/T_TAHARI_6420658_BLK_2.jpg")</f>
        <v/>
      </c>
      <c r="N4634">
        <f>IMAGE("file:///E:/Estudios%20y%20certificaciones/ESTUDIOS%20DE%20PROGRAMMING/PROGRAMMING/PERSONAL/PYTHON/Image_Generator_API/imagenes/T_TAHARI_6420658_BLK_3.jpg")</f>
        <v/>
      </c>
      <c r="O4634">
        <f>HYPERLINK("imagenes/T_TAHARI_6420658_BLK_1.jpg","Ver imagen")</f>
        <v/>
      </c>
      <c r="P4634">
        <f>HYPERLINK("imagenes/T_TAHARI_6420658_BLK_2.jpg","Ver imagen")</f>
        <v/>
      </c>
      <c r="Q4634">
        <f>HYPERLINK("imagenes/T_TAHARI_6420658_BLK_3.jpg","Ver imagen")</f>
        <v/>
      </c>
    </row>
    <row r="4635">
      <c r="A4635" t="inlineStr">
        <is>
          <t>T TAHARI</t>
        </is>
      </c>
      <c r="B4635" t="inlineStr">
        <is>
          <t>6420685</t>
        </is>
      </c>
      <c r="C4635" t="inlineStr">
        <is>
          <t>JULIETTE DF WOOL</t>
        </is>
      </c>
      <c r="D4635" t="inlineStr">
        <is>
          <t>LBE</t>
        </is>
      </c>
      <c r="E4635" t="inlineStr">
        <is>
          <t>(en blanco)</t>
        </is>
      </c>
      <c r="F4635" t="inlineStr">
        <is>
          <t>(en blanco)</t>
        </is>
      </c>
      <c r="G4635" t="inlineStr">
        <is>
          <t>XXL</t>
        </is>
      </c>
      <c r="H4635" t="n">
        <v>1</v>
      </c>
      <c r="I4635" t="inlineStr">
        <is>
          <t>T_TAHARI_6420685_LBE_1.jpg</t>
        </is>
      </c>
      <c r="J4635" t="inlineStr">
        <is>
          <t>T_TAHARI_6420685_LBE_2.jpg</t>
        </is>
      </c>
      <c r="K4635" t="inlineStr">
        <is>
          <t>T_TAHARI_6420685_LBE_3.jpg</t>
        </is>
      </c>
      <c r="L4635">
        <f>IMAGE("file:///E:/Estudios%20y%20certificaciones/ESTUDIOS%20DE%20PROGRAMMING/PROGRAMMING/PERSONAL/PYTHON/Image_Generator_API/imagenes/T_TAHARI_6420685_LBE_1.jpg")</f>
        <v/>
      </c>
      <c r="M4635">
        <f>IMAGE("file:///E:/Estudios%20y%20certificaciones/ESTUDIOS%20DE%20PROGRAMMING/PROGRAMMING/PERSONAL/PYTHON/Image_Generator_API/imagenes/T_TAHARI_6420685_LBE_2.jpg")</f>
        <v/>
      </c>
      <c r="N4635">
        <f>IMAGE("file:///E:/Estudios%20y%20certificaciones/ESTUDIOS%20DE%20PROGRAMMING/PROGRAMMING/PERSONAL/PYTHON/Image_Generator_API/imagenes/T_TAHARI_6420685_LBE_3.jpg")</f>
        <v/>
      </c>
      <c r="O4635">
        <f>HYPERLINK("imagenes/T_TAHARI_6420685_LBE_1.jpg","Ver imagen")</f>
        <v/>
      </c>
      <c r="P4635">
        <f>HYPERLINK("imagenes/T_TAHARI_6420685_LBE_2.jpg","Ver imagen")</f>
        <v/>
      </c>
      <c r="Q4635">
        <f>HYPERLINK("imagenes/T_TAHARI_6420685_LBE_3.jpg","Ver imagen")</f>
        <v/>
      </c>
    </row>
    <row r="4636">
      <c r="A4636" t="inlineStr">
        <is>
          <t>T TAHARI</t>
        </is>
      </c>
      <c r="B4636" t="inlineStr">
        <is>
          <t>6420685</t>
        </is>
      </c>
      <c r="C4636" t="inlineStr">
        <is>
          <t>JULIETTE DF WOOL</t>
        </is>
      </c>
      <c r="D4636" t="inlineStr">
        <is>
          <t>LBE</t>
        </is>
      </c>
      <c r="E4636" t="inlineStr">
        <is>
          <t>(en blanco)</t>
        </is>
      </c>
      <c r="F4636" t="inlineStr">
        <is>
          <t>(en blanco)</t>
        </is>
      </c>
      <c r="G4636" t="inlineStr">
        <is>
          <t>XXS</t>
        </is>
      </c>
      <c r="H4636" t="n">
        <v>1</v>
      </c>
      <c r="I4636" t="inlineStr">
        <is>
          <t>T_TAHARI_6420685_LBE_1.jpg</t>
        </is>
      </c>
      <c r="J4636" t="inlineStr">
        <is>
          <t>T_TAHARI_6420685_LBE_2.jpg</t>
        </is>
      </c>
      <c r="K4636" t="inlineStr">
        <is>
          <t>T_TAHARI_6420685_LBE_3.jpg</t>
        </is>
      </c>
      <c r="L4636">
        <f>IMAGE("file:///E:/Estudios%20y%20certificaciones/ESTUDIOS%20DE%20PROGRAMMING/PROGRAMMING/PERSONAL/PYTHON/Image_Generator_API/imagenes/T_TAHARI_6420685_LBE_1.jpg")</f>
        <v/>
      </c>
      <c r="M4636">
        <f>IMAGE("file:///E:/Estudios%20y%20certificaciones/ESTUDIOS%20DE%20PROGRAMMING/PROGRAMMING/PERSONAL/PYTHON/Image_Generator_API/imagenes/T_TAHARI_6420685_LBE_2.jpg")</f>
        <v/>
      </c>
      <c r="N4636">
        <f>IMAGE("file:///E:/Estudios%20y%20certificaciones/ESTUDIOS%20DE%20PROGRAMMING/PROGRAMMING/PERSONAL/PYTHON/Image_Generator_API/imagenes/T_TAHARI_6420685_LBE_3.jpg")</f>
        <v/>
      </c>
      <c r="O4636">
        <f>HYPERLINK("imagenes/T_TAHARI_6420685_LBE_1.jpg","Ver imagen")</f>
        <v/>
      </c>
      <c r="P4636">
        <f>HYPERLINK("imagenes/T_TAHARI_6420685_LBE_2.jpg","Ver imagen")</f>
        <v/>
      </c>
      <c r="Q4636">
        <f>HYPERLINK("imagenes/T_TAHARI_6420685_LBE_3.jpg","Ver imagen")</f>
        <v/>
      </c>
    </row>
    <row r="4637">
      <c r="A4637" t="inlineStr">
        <is>
          <t>T TAHARI</t>
        </is>
      </c>
      <c r="B4637" t="inlineStr">
        <is>
          <t>6421006</t>
        </is>
      </c>
      <c r="C4637" t="inlineStr">
        <is>
          <t>NELLIE MAXI PUFFER</t>
        </is>
      </c>
      <c r="D4637" t="inlineStr">
        <is>
          <t>BLK</t>
        </is>
      </c>
      <c r="E4637" t="inlineStr">
        <is>
          <t>(en blanco)</t>
        </is>
      </c>
      <c r="F4637" t="inlineStr">
        <is>
          <t>(en blanco)</t>
        </is>
      </c>
      <c r="G4637" t="inlineStr">
        <is>
          <t>XS</t>
        </is>
      </c>
      <c r="H4637" t="n">
        <v>1</v>
      </c>
      <c r="I4637" t="inlineStr">
        <is>
          <t>T_TAHARI_6421006_BLK_1.jpg</t>
        </is>
      </c>
      <c r="J4637" t="inlineStr">
        <is>
          <t>T_TAHARI_6421006_BLK_2.jpg</t>
        </is>
      </c>
      <c r="K4637" t="inlineStr">
        <is>
          <t>T_TAHARI_6421006_BLK_3.jpg</t>
        </is>
      </c>
      <c r="L4637">
        <f>IMAGE("file:///E:/Estudios%20y%20certificaciones/ESTUDIOS%20DE%20PROGRAMMING/PROGRAMMING/PERSONAL/PYTHON/Image_Generator_API/imagenes/T_TAHARI_6421006_BLK_1.jpg")</f>
        <v/>
      </c>
      <c r="M4637">
        <f>IMAGE("file:///E:/Estudios%20y%20certificaciones/ESTUDIOS%20DE%20PROGRAMMING/PROGRAMMING/PERSONAL/PYTHON/Image_Generator_API/imagenes/T_TAHARI_6421006_BLK_2.jpg")</f>
        <v/>
      </c>
      <c r="N4637">
        <f>IMAGE("file:///E:/Estudios%20y%20certificaciones/ESTUDIOS%20DE%20PROGRAMMING/PROGRAMMING/PERSONAL/PYTHON/Image_Generator_API/imagenes/T_TAHARI_6421006_BLK_3.jpg")</f>
        <v/>
      </c>
      <c r="O4637">
        <f>HYPERLINK("imagenes/T_TAHARI_6421006_BLK_1.jpg","Ver imagen")</f>
        <v/>
      </c>
      <c r="P4637">
        <f>HYPERLINK("imagenes/T_TAHARI_6421006_BLK_2.jpg","Ver imagen")</f>
        <v/>
      </c>
      <c r="Q4637">
        <f>HYPERLINK("imagenes/T_TAHARI_6421006_BLK_3.jpg","Ver imagen")</f>
        <v/>
      </c>
    </row>
    <row r="4638">
      <c r="A4638" t="inlineStr">
        <is>
          <t>T TAHARI</t>
        </is>
      </c>
      <c r="B4638" t="inlineStr">
        <is>
          <t>6421006</t>
        </is>
      </c>
      <c r="C4638" t="inlineStr">
        <is>
          <t>NELLIE MAXI PUFFER</t>
        </is>
      </c>
      <c r="D4638" t="inlineStr">
        <is>
          <t>BLK</t>
        </is>
      </c>
      <c r="E4638" t="inlineStr">
        <is>
          <t>(en blanco)</t>
        </is>
      </c>
      <c r="F4638" t="inlineStr">
        <is>
          <t>(en blanco)</t>
        </is>
      </c>
      <c r="G4638" t="inlineStr">
        <is>
          <t>XXS</t>
        </is>
      </c>
      <c r="H4638" t="n">
        <v>1</v>
      </c>
      <c r="I4638" t="inlineStr">
        <is>
          <t>T_TAHARI_6421006_BLK_1.jpg</t>
        </is>
      </c>
      <c r="J4638" t="inlineStr">
        <is>
          <t>T_TAHARI_6421006_BLK_2.jpg</t>
        </is>
      </c>
      <c r="K4638" t="inlineStr">
        <is>
          <t>T_TAHARI_6421006_BLK_3.jpg</t>
        </is>
      </c>
      <c r="L4638">
        <f>IMAGE("file:///E:/Estudios%20y%20certificaciones/ESTUDIOS%20DE%20PROGRAMMING/PROGRAMMING/PERSONAL/PYTHON/Image_Generator_API/imagenes/T_TAHARI_6421006_BLK_1.jpg")</f>
        <v/>
      </c>
      <c r="M4638">
        <f>IMAGE("file:///E:/Estudios%20y%20certificaciones/ESTUDIOS%20DE%20PROGRAMMING/PROGRAMMING/PERSONAL/PYTHON/Image_Generator_API/imagenes/T_TAHARI_6421006_BLK_2.jpg")</f>
        <v/>
      </c>
      <c r="N4638">
        <f>IMAGE("file:///E:/Estudios%20y%20certificaciones/ESTUDIOS%20DE%20PROGRAMMING/PROGRAMMING/PERSONAL/PYTHON/Image_Generator_API/imagenes/T_TAHARI_6421006_BLK_3.jpg")</f>
        <v/>
      </c>
      <c r="O4638">
        <f>HYPERLINK("imagenes/T_TAHARI_6421006_BLK_1.jpg","Ver imagen")</f>
        <v/>
      </c>
      <c r="P4638">
        <f>HYPERLINK("imagenes/T_TAHARI_6421006_BLK_2.jpg","Ver imagen")</f>
        <v/>
      </c>
      <c r="Q4638">
        <f>HYPERLINK("imagenes/T_TAHARI_6421006_BLK_3.jpg","Ver imagen")</f>
        <v/>
      </c>
    </row>
    <row r="4639">
      <c r="A4639" t="inlineStr">
        <is>
          <t>T TAHARI</t>
        </is>
      </c>
      <c r="B4639" t="inlineStr">
        <is>
          <t>6421006</t>
        </is>
      </c>
      <c r="C4639" t="inlineStr">
        <is>
          <t>NELLIE MAXI PUFFER</t>
        </is>
      </c>
      <c r="D4639" t="inlineStr">
        <is>
          <t>GXY</t>
        </is>
      </c>
      <c r="E4639" t="inlineStr">
        <is>
          <t>(en blanco)</t>
        </is>
      </c>
      <c r="F4639" t="inlineStr">
        <is>
          <t>(en blanco)</t>
        </is>
      </c>
      <c r="G4639" t="inlineStr">
        <is>
          <t>XS</t>
        </is>
      </c>
      <c r="H4639" t="n">
        <v>16</v>
      </c>
      <c r="I4639" t="inlineStr">
        <is>
          <t>T_TAHARI_6421006_GXY_1.jpg</t>
        </is>
      </c>
      <c r="J4639" t="inlineStr">
        <is>
          <t>T_TAHARI_6421006_GXY_2.jpg</t>
        </is>
      </c>
      <c r="K4639" t="inlineStr">
        <is>
          <t>T_TAHARI_6421006_GXY_3.jpg</t>
        </is>
      </c>
      <c r="L4639">
        <f>IMAGE("file:///E:/Estudios%20y%20certificaciones/ESTUDIOS%20DE%20PROGRAMMING/PROGRAMMING/PERSONAL/PYTHON/Image_Generator_API/imagenes/T_TAHARI_6421006_GXY_1.jpg")</f>
        <v/>
      </c>
      <c r="M4639">
        <f>IMAGE("file:///E:/Estudios%20y%20certificaciones/ESTUDIOS%20DE%20PROGRAMMING/PROGRAMMING/PERSONAL/PYTHON/Image_Generator_API/imagenes/T_TAHARI_6421006_GXY_2.jpg")</f>
        <v/>
      </c>
      <c r="N4639">
        <f>IMAGE("file:///E:/Estudios%20y%20certificaciones/ESTUDIOS%20DE%20PROGRAMMING/PROGRAMMING/PERSONAL/PYTHON/Image_Generator_API/imagenes/T_TAHARI_6421006_GXY_3.jpg")</f>
        <v/>
      </c>
      <c r="O4639">
        <f>HYPERLINK("imagenes/T_TAHARI_6421006_GXY_1.jpg","Ver imagen")</f>
        <v/>
      </c>
      <c r="P4639">
        <f>HYPERLINK("imagenes/T_TAHARI_6421006_GXY_2.jpg","Ver imagen")</f>
        <v/>
      </c>
      <c r="Q4639">
        <f>HYPERLINK("imagenes/T_TAHARI_6421006_GXY_3.jpg","Ver imagen")</f>
        <v/>
      </c>
    </row>
    <row r="4640">
      <c r="A4640" t="inlineStr">
        <is>
          <t>T TAHARI</t>
        </is>
      </c>
      <c r="B4640" t="inlineStr">
        <is>
          <t>6421006</t>
        </is>
      </c>
      <c r="C4640" t="inlineStr">
        <is>
          <t>NELLIE MAXI PUFFER</t>
        </is>
      </c>
      <c r="D4640" t="inlineStr">
        <is>
          <t>GXY</t>
        </is>
      </c>
      <c r="E4640" t="inlineStr">
        <is>
          <t>(en blanco)</t>
        </is>
      </c>
      <c r="F4640" t="inlineStr">
        <is>
          <t>(en blanco)</t>
        </is>
      </c>
      <c r="G4640" t="inlineStr">
        <is>
          <t>S</t>
        </is>
      </c>
      <c r="H4640" t="n">
        <v>19</v>
      </c>
      <c r="I4640" t="inlineStr">
        <is>
          <t>T_TAHARI_6421006_GXY_1.jpg</t>
        </is>
      </c>
      <c r="J4640" t="inlineStr">
        <is>
          <t>T_TAHARI_6421006_GXY_2.jpg</t>
        </is>
      </c>
      <c r="K4640" t="inlineStr">
        <is>
          <t>T_TAHARI_6421006_GXY_3.jpg</t>
        </is>
      </c>
      <c r="L4640">
        <f>IMAGE("file:///E:/Estudios%20y%20certificaciones/ESTUDIOS%20DE%20PROGRAMMING/PROGRAMMING/PERSONAL/PYTHON/Image_Generator_API/imagenes/T_TAHARI_6421006_GXY_1.jpg")</f>
        <v/>
      </c>
      <c r="M4640">
        <f>IMAGE("file:///E:/Estudios%20y%20certificaciones/ESTUDIOS%20DE%20PROGRAMMING/PROGRAMMING/PERSONAL/PYTHON/Image_Generator_API/imagenes/T_TAHARI_6421006_GXY_2.jpg")</f>
        <v/>
      </c>
      <c r="N4640">
        <f>IMAGE("file:///E:/Estudios%20y%20certificaciones/ESTUDIOS%20DE%20PROGRAMMING/PROGRAMMING/PERSONAL/PYTHON/Image_Generator_API/imagenes/T_TAHARI_6421006_GXY_3.jpg")</f>
        <v/>
      </c>
      <c r="O4640">
        <f>HYPERLINK("imagenes/T_TAHARI_6421006_GXY_1.jpg","Ver imagen")</f>
        <v/>
      </c>
      <c r="P4640">
        <f>HYPERLINK("imagenes/T_TAHARI_6421006_GXY_2.jpg","Ver imagen")</f>
        <v/>
      </c>
      <c r="Q4640">
        <f>HYPERLINK("imagenes/T_TAHARI_6421006_GXY_3.jpg","Ver imagen")</f>
        <v/>
      </c>
    </row>
    <row r="4641">
      <c r="A4641" t="inlineStr">
        <is>
          <t>T TAHARI</t>
        </is>
      </c>
      <c r="B4641" t="inlineStr">
        <is>
          <t>6421006</t>
        </is>
      </c>
      <c r="C4641" t="inlineStr">
        <is>
          <t>NELLIE MAXI PUFFER</t>
        </is>
      </c>
      <c r="D4641" t="inlineStr">
        <is>
          <t>GXY</t>
        </is>
      </c>
      <c r="E4641" t="inlineStr">
        <is>
          <t>(en blanco)</t>
        </is>
      </c>
      <c r="F4641" t="inlineStr">
        <is>
          <t>(en blanco)</t>
        </is>
      </c>
      <c r="G4641" t="inlineStr">
        <is>
          <t>XXS</t>
        </is>
      </c>
      <c r="H4641" t="n">
        <v>1</v>
      </c>
      <c r="I4641" t="inlineStr">
        <is>
          <t>T_TAHARI_6421006_GXY_1.jpg</t>
        </is>
      </c>
      <c r="J4641" t="inlineStr">
        <is>
          <t>T_TAHARI_6421006_GXY_2.jpg</t>
        </is>
      </c>
      <c r="K4641" t="inlineStr">
        <is>
          <t>T_TAHARI_6421006_GXY_3.jpg</t>
        </is>
      </c>
      <c r="L4641">
        <f>IMAGE("file:///E:/Estudios%20y%20certificaciones/ESTUDIOS%20DE%20PROGRAMMING/PROGRAMMING/PERSONAL/PYTHON/Image_Generator_API/imagenes/T_TAHARI_6421006_GXY_1.jpg")</f>
        <v/>
      </c>
      <c r="M4641">
        <f>IMAGE("file:///E:/Estudios%20y%20certificaciones/ESTUDIOS%20DE%20PROGRAMMING/PROGRAMMING/PERSONAL/PYTHON/Image_Generator_API/imagenes/T_TAHARI_6421006_GXY_2.jpg")</f>
        <v/>
      </c>
      <c r="N4641">
        <f>IMAGE("file:///E:/Estudios%20y%20certificaciones/ESTUDIOS%20DE%20PROGRAMMING/PROGRAMMING/PERSONAL/PYTHON/Image_Generator_API/imagenes/T_TAHARI_6421006_GXY_3.jpg")</f>
        <v/>
      </c>
      <c r="O4641">
        <f>HYPERLINK("imagenes/T_TAHARI_6421006_GXY_1.jpg","Ver imagen")</f>
        <v/>
      </c>
      <c r="P4641">
        <f>HYPERLINK("imagenes/T_TAHARI_6421006_GXY_2.jpg","Ver imagen")</f>
        <v/>
      </c>
      <c r="Q4641">
        <f>HYPERLINK("imagenes/T_TAHARI_6421006_GXY_3.jpg","Ver imagen")</f>
        <v/>
      </c>
    </row>
    <row r="4642">
      <c r="A4642" t="inlineStr">
        <is>
          <t>T TAHARI</t>
        </is>
      </c>
      <c r="B4642" t="inlineStr">
        <is>
          <t>6421006</t>
        </is>
      </c>
      <c r="C4642" t="inlineStr">
        <is>
          <t>NELLIE MAXI PUFFER</t>
        </is>
      </c>
      <c r="D4642" t="inlineStr">
        <is>
          <t>PA4</t>
        </is>
      </c>
      <c r="E4642" t="inlineStr">
        <is>
          <t>(en blanco)</t>
        </is>
      </c>
      <c r="F4642" t="inlineStr">
        <is>
          <t>(en blanco)</t>
        </is>
      </c>
      <c r="G4642" t="inlineStr">
        <is>
          <t>XS</t>
        </is>
      </c>
      <c r="H4642" t="n">
        <v>1</v>
      </c>
      <c r="I4642" t="inlineStr">
        <is>
          <t>T_TAHARI_6421006_PA4_1.jpg</t>
        </is>
      </c>
      <c r="J4642" t="inlineStr">
        <is>
          <t>T_TAHARI_6421006_PA4_2.jpg</t>
        </is>
      </c>
      <c r="K4642" t="inlineStr">
        <is>
          <t>T_TAHARI_6421006_PA4_3.jpg</t>
        </is>
      </c>
      <c r="L4642">
        <f>IMAGE("file:///E:/Estudios%20y%20certificaciones/ESTUDIOS%20DE%20PROGRAMMING/PROGRAMMING/PERSONAL/PYTHON/Image_Generator_API/imagenes/T_TAHARI_6421006_PA4_1.jpg")</f>
        <v/>
      </c>
      <c r="M4642">
        <f>IMAGE("file:///E:/Estudios%20y%20certificaciones/ESTUDIOS%20DE%20PROGRAMMING/PROGRAMMING/PERSONAL/PYTHON/Image_Generator_API/imagenes/T_TAHARI_6421006_PA4_2.jpg")</f>
        <v/>
      </c>
      <c r="N4642">
        <f>IMAGE("file:///E:/Estudios%20y%20certificaciones/ESTUDIOS%20DE%20PROGRAMMING/PROGRAMMING/PERSONAL/PYTHON/Image_Generator_API/imagenes/T_TAHARI_6421006_PA4_3.jpg")</f>
        <v/>
      </c>
      <c r="O4642">
        <f>HYPERLINK("imagenes/T_TAHARI_6421006_PA4_1.jpg","Ver imagen")</f>
        <v/>
      </c>
      <c r="P4642">
        <f>HYPERLINK("imagenes/T_TAHARI_6421006_PA4_2.jpg","Ver imagen")</f>
        <v/>
      </c>
      <c r="Q4642">
        <f>HYPERLINK("imagenes/T_TAHARI_6421006_PA4_3.jpg","Ver imagen")</f>
        <v/>
      </c>
    </row>
    <row r="4643">
      <c r="A4643" t="inlineStr">
        <is>
          <t>T TAHARI</t>
        </is>
      </c>
      <c r="B4643" t="inlineStr">
        <is>
          <t>6428514</t>
        </is>
      </c>
      <c r="C4643" t="inlineStr">
        <is>
          <t>NICOLE</t>
        </is>
      </c>
      <c r="D4643" t="inlineStr">
        <is>
          <t>BLK</t>
        </is>
      </c>
      <c r="E4643" t="inlineStr">
        <is>
          <t>(en blanco)</t>
        </is>
      </c>
      <c r="F4643" t="inlineStr">
        <is>
          <t>D2C</t>
        </is>
      </c>
      <c r="G4643" t="inlineStr">
        <is>
          <t>M</t>
        </is>
      </c>
      <c r="H4643" t="n">
        <v>8</v>
      </c>
      <c r="I4643" t="inlineStr">
        <is>
          <t>T_TAHARI_6428514_BLK_1.jpg</t>
        </is>
      </c>
      <c r="J4643" t="inlineStr">
        <is>
          <t>T_TAHARI_6428514_BLK_2.jpg</t>
        </is>
      </c>
      <c r="K4643" t="inlineStr">
        <is>
          <t>T_TAHARI_6428514_BLK_3.jpg</t>
        </is>
      </c>
      <c r="L4643">
        <f>IMAGE("file:///E:/Estudios%20y%20certificaciones/ESTUDIOS%20DE%20PROGRAMMING/PROGRAMMING/PERSONAL/PYTHON/Image_Generator_API/imagenes/T_TAHARI_6428514_BLK_1.jpg")</f>
        <v/>
      </c>
      <c r="M4643">
        <f>IMAGE("file:///E:/Estudios%20y%20certificaciones/ESTUDIOS%20DE%20PROGRAMMING/PROGRAMMING/PERSONAL/PYTHON/Image_Generator_API/imagenes/T_TAHARI_6428514_BLK_2.jpg")</f>
        <v/>
      </c>
      <c r="N4643">
        <f>IMAGE("file:///E:/Estudios%20y%20certificaciones/ESTUDIOS%20DE%20PROGRAMMING/PROGRAMMING/PERSONAL/PYTHON/Image_Generator_API/imagenes/T_TAHARI_6428514_BLK_3.jpg")</f>
        <v/>
      </c>
      <c r="O4643">
        <f>HYPERLINK("imagenes/T_TAHARI_6428514_BLK_1.jpg","Ver imagen")</f>
        <v/>
      </c>
      <c r="P4643">
        <f>HYPERLINK("imagenes/T_TAHARI_6428514_BLK_2.jpg","Ver imagen")</f>
        <v/>
      </c>
      <c r="Q4643">
        <f>HYPERLINK("imagenes/T_TAHARI_6428514_BLK_3.jpg","Ver imagen")</f>
        <v/>
      </c>
    </row>
    <row r="4644">
      <c r="A4644" t="inlineStr">
        <is>
          <t>T TAHARI</t>
        </is>
      </c>
      <c r="B4644" t="inlineStr">
        <is>
          <t>6428514</t>
        </is>
      </c>
      <c r="C4644" t="inlineStr">
        <is>
          <t>NICOLE</t>
        </is>
      </c>
      <c r="D4644" t="inlineStr">
        <is>
          <t>BLK</t>
        </is>
      </c>
      <c r="E4644" t="inlineStr">
        <is>
          <t>(en blanco)</t>
        </is>
      </c>
      <c r="F4644" t="inlineStr">
        <is>
          <t>D2C</t>
        </is>
      </c>
      <c r="G4644" t="inlineStr">
        <is>
          <t>L</t>
        </is>
      </c>
      <c r="H4644" t="n">
        <v>9</v>
      </c>
      <c r="I4644" t="inlineStr">
        <is>
          <t>T_TAHARI_6428514_BLK_1.jpg</t>
        </is>
      </c>
      <c r="J4644" t="inlineStr">
        <is>
          <t>T_TAHARI_6428514_BLK_2.jpg</t>
        </is>
      </c>
      <c r="K4644" t="inlineStr">
        <is>
          <t>T_TAHARI_6428514_BLK_3.jpg</t>
        </is>
      </c>
      <c r="L4644">
        <f>IMAGE("file:///E:/Estudios%20y%20certificaciones/ESTUDIOS%20DE%20PROGRAMMING/PROGRAMMING/PERSONAL/PYTHON/Image_Generator_API/imagenes/T_TAHARI_6428514_BLK_1.jpg")</f>
        <v/>
      </c>
      <c r="M4644">
        <f>IMAGE("file:///E:/Estudios%20y%20certificaciones/ESTUDIOS%20DE%20PROGRAMMING/PROGRAMMING/PERSONAL/PYTHON/Image_Generator_API/imagenes/T_TAHARI_6428514_BLK_2.jpg")</f>
        <v/>
      </c>
      <c r="N4644">
        <f>IMAGE("file:///E:/Estudios%20y%20certificaciones/ESTUDIOS%20DE%20PROGRAMMING/PROGRAMMING/PERSONAL/PYTHON/Image_Generator_API/imagenes/T_TAHARI_6428514_BLK_3.jpg")</f>
        <v/>
      </c>
      <c r="O4644">
        <f>HYPERLINK("imagenes/T_TAHARI_6428514_BLK_1.jpg","Ver imagen")</f>
        <v/>
      </c>
      <c r="P4644">
        <f>HYPERLINK("imagenes/T_TAHARI_6428514_BLK_2.jpg","Ver imagen")</f>
        <v/>
      </c>
      <c r="Q4644">
        <f>HYPERLINK("imagenes/T_TAHARI_6428514_BLK_3.jpg","Ver imagen")</f>
        <v/>
      </c>
    </row>
    <row r="4645">
      <c r="A4645" t="inlineStr">
        <is>
          <t>T TAHARI</t>
        </is>
      </c>
      <c r="B4645" t="inlineStr">
        <is>
          <t>6428514</t>
        </is>
      </c>
      <c r="C4645" t="inlineStr">
        <is>
          <t>NICOLE</t>
        </is>
      </c>
      <c r="D4645" t="inlineStr">
        <is>
          <t>BLK</t>
        </is>
      </c>
      <c r="E4645" t="inlineStr">
        <is>
          <t>(en blanco)</t>
        </is>
      </c>
      <c r="F4645" t="inlineStr">
        <is>
          <t>D2C</t>
        </is>
      </c>
      <c r="G4645" t="inlineStr">
        <is>
          <t>XL</t>
        </is>
      </c>
      <c r="H4645" t="n">
        <v>9</v>
      </c>
      <c r="I4645" t="inlineStr">
        <is>
          <t>T_TAHARI_6428514_BLK_1.jpg</t>
        </is>
      </c>
      <c r="J4645" t="inlineStr">
        <is>
          <t>T_TAHARI_6428514_BLK_2.jpg</t>
        </is>
      </c>
      <c r="K4645" t="inlineStr">
        <is>
          <t>T_TAHARI_6428514_BLK_3.jpg</t>
        </is>
      </c>
      <c r="L4645">
        <f>IMAGE("file:///E:/Estudios%20y%20certificaciones/ESTUDIOS%20DE%20PROGRAMMING/PROGRAMMING/PERSONAL/PYTHON/Image_Generator_API/imagenes/T_TAHARI_6428514_BLK_1.jpg")</f>
        <v/>
      </c>
      <c r="M4645">
        <f>IMAGE("file:///E:/Estudios%20y%20certificaciones/ESTUDIOS%20DE%20PROGRAMMING/PROGRAMMING/PERSONAL/PYTHON/Image_Generator_API/imagenes/T_TAHARI_6428514_BLK_2.jpg")</f>
        <v/>
      </c>
      <c r="N4645">
        <f>IMAGE("file:///E:/Estudios%20y%20certificaciones/ESTUDIOS%20DE%20PROGRAMMING/PROGRAMMING/PERSONAL/PYTHON/Image_Generator_API/imagenes/T_TAHARI_6428514_BLK_3.jpg")</f>
        <v/>
      </c>
      <c r="O4645">
        <f>HYPERLINK("imagenes/T_TAHARI_6428514_BLK_1.jpg","Ver imagen")</f>
        <v/>
      </c>
      <c r="P4645">
        <f>HYPERLINK("imagenes/T_TAHARI_6428514_BLK_2.jpg","Ver imagen")</f>
        <v/>
      </c>
      <c r="Q4645">
        <f>HYPERLINK("imagenes/T_TAHARI_6428514_BLK_3.jpg","Ver imagen")</f>
        <v/>
      </c>
    </row>
    <row r="4646">
      <c r="A4646" t="inlineStr">
        <is>
          <t>T TAHARI</t>
        </is>
      </c>
      <c r="B4646" t="inlineStr">
        <is>
          <t>6428514</t>
        </is>
      </c>
      <c r="C4646" t="inlineStr">
        <is>
          <t>NICOLE</t>
        </is>
      </c>
      <c r="D4646" t="inlineStr">
        <is>
          <t>BLK</t>
        </is>
      </c>
      <c r="E4646" t="inlineStr">
        <is>
          <t>(en blanco)</t>
        </is>
      </c>
      <c r="F4646" t="inlineStr">
        <is>
          <t>D2C</t>
        </is>
      </c>
      <c r="G4646" t="inlineStr">
        <is>
          <t>XXL</t>
        </is>
      </c>
      <c r="H4646" t="n">
        <v>10</v>
      </c>
      <c r="I4646" t="inlineStr">
        <is>
          <t>T_TAHARI_6428514_BLK_1.jpg</t>
        </is>
      </c>
      <c r="J4646" t="inlineStr">
        <is>
          <t>T_TAHARI_6428514_BLK_2.jpg</t>
        </is>
      </c>
      <c r="K4646" t="inlineStr">
        <is>
          <t>T_TAHARI_6428514_BLK_3.jpg</t>
        </is>
      </c>
      <c r="L4646">
        <f>IMAGE("file:///E:/Estudios%20y%20certificaciones/ESTUDIOS%20DE%20PROGRAMMING/PROGRAMMING/PERSONAL/PYTHON/Image_Generator_API/imagenes/T_TAHARI_6428514_BLK_1.jpg")</f>
        <v/>
      </c>
      <c r="M4646">
        <f>IMAGE("file:///E:/Estudios%20y%20certificaciones/ESTUDIOS%20DE%20PROGRAMMING/PROGRAMMING/PERSONAL/PYTHON/Image_Generator_API/imagenes/T_TAHARI_6428514_BLK_2.jpg")</f>
        <v/>
      </c>
      <c r="N4646">
        <f>IMAGE("file:///E:/Estudios%20y%20certificaciones/ESTUDIOS%20DE%20PROGRAMMING/PROGRAMMING/PERSONAL/PYTHON/Image_Generator_API/imagenes/T_TAHARI_6428514_BLK_3.jpg")</f>
        <v/>
      </c>
      <c r="O4646">
        <f>HYPERLINK("imagenes/T_TAHARI_6428514_BLK_1.jpg","Ver imagen")</f>
        <v/>
      </c>
      <c r="P4646">
        <f>HYPERLINK("imagenes/T_TAHARI_6428514_BLK_2.jpg","Ver imagen")</f>
        <v/>
      </c>
      <c r="Q4646">
        <f>HYPERLINK("imagenes/T_TAHARI_6428514_BLK_3.jpg","Ver imagen")</f>
        <v/>
      </c>
    </row>
    <row r="4647">
      <c r="A4647" t="inlineStr">
        <is>
          <t>T TAHARI</t>
        </is>
      </c>
      <c r="B4647" t="inlineStr">
        <is>
          <t>6428514</t>
        </is>
      </c>
      <c r="C4647" t="inlineStr">
        <is>
          <t>NICOLE</t>
        </is>
      </c>
      <c r="D4647" t="inlineStr">
        <is>
          <t>BLK</t>
        </is>
      </c>
      <c r="E4647" t="inlineStr">
        <is>
          <t>(en blanco)</t>
        </is>
      </c>
      <c r="F4647" t="inlineStr">
        <is>
          <t>(en blanco)</t>
        </is>
      </c>
      <c r="G4647" t="inlineStr">
        <is>
          <t>M</t>
        </is>
      </c>
      <c r="H4647" t="n">
        <v>35</v>
      </c>
      <c r="I4647" t="inlineStr">
        <is>
          <t>T_TAHARI_6428514_BLK_1.jpg</t>
        </is>
      </c>
      <c r="J4647" t="inlineStr">
        <is>
          <t>T_TAHARI_6428514_BLK_2.jpg</t>
        </is>
      </c>
      <c r="K4647" t="inlineStr">
        <is>
          <t>T_TAHARI_6428514_BLK_3.jpg</t>
        </is>
      </c>
      <c r="L4647">
        <f>IMAGE("file:///E:/Estudios%20y%20certificaciones/ESTUDIOS%20DE%20PROGRAMMING/PROGRAMMING/PERSONAL/PYTHON/Image_Generator_API/imagenes/T_TAHARI_6428514_BLK_1.jpg")</f>
        <v/>
      </c>
      <c r="M4647">
        <f>IMAGE("file:///E:/Estudios%20y%20certificaciones/ESTUDIOS%20DE%20PROGRAMMING/PROGRAMMING/PERSONAL/PYTHON/Image_Generator_API/imagenes/T_TAHARI_6428514_BLK_2.jpg")</f>
        <v/>
      </c>
      <c r="N4647">
        <f>IMAGE("file:///E:/Estudios%20y%20certificaciones/ESTUDIOS%20DE%20PROGRAMMING/PROGRAMMING/PERSONAL/PYTHON/Image_Generator_API/imagenes/T_TAHARI_6428514_BLK_3.jpg")</f>
        <v/>
      </c>
      <c r="O4647">
        <f>HYPERLINK("imagenes/T_TAHARI_6428514_BLK_1.jpg","Ver imagen")</f>
        <v/>
      </c>
      <c r="P4647">
        <f>HYPERLINK("imagenes/T_TAHARI_6428514_BLK_2.jpg","Ver imagen")</f>
        <v/>
      </c>
      <c r="Q4647">
        <f>HYPERLINK("imagenes/T_TAHARI_6428514_BLK_3.jpg","Ver imagen")</f>
        <v/>
      </c>
    </row>
    <row r="4648">
      <c r="A4648" t="inlineStr">
        <is>
          <t>T TAHARI</t>
        </is>
      </c>
      <c r="B4648" t="inlineStr">
        <is>
          <t>6428514</t>
        </is>
      </c>
      <c r="C4648" t="inlineStr">
        <is>
          <t>NICOLE</t>
        </is>
      </c>
      <c r="D4648" t="inlineStr">
        <is>
          <t>BLK</t>
        </is>
      </c>
      <c r="E4648" t="inlineStr">
        <is>
          <t>(en blanco)</t>
        </is>
      </c>
      <c r="F4648" t="inlineStr">
        <is>
          <t>(en blanco)</t>
        </is>
      </c>
      <c r="G4648" t="inlineStr">
        <is>
          <t>XL</t>
        </is>
      </c>
      <c r="H4648" t="n">
        <v>32</v>
      </c>
      <c r="I4648" t="inlineStr">
        <is>
          <t>T_TAHARI_6428514_BLK_1.jpg</t>
        </is>
      </c>
      <c r="J4648" t="inlineStr">
        <is>
          <t>T_TAHARI_6428514_BLK_2.jpg</t>
        </is>
      </c>
      <c r="K4648" t="inlineStr">
        <is>
          <t>T_TAHARI_6428514_BLK_3.jpg</t>
        </is>
      </c>
      <c r="L4648">
        <f>IMAGE("file:///E:/Estudios%20y%20certificaciones/ESTUDIOS%20DE%20PROGRAMMING/PROGRAMMING/PERSONAL/PYTHON/Image_Generator_API/imagenes/T_TAHARI_6428514_BLK_1.jpg")</f>
        <v/>
      </c>
      <c r="M4648">
        <f>IMAGE("file:///E:/Estudios%20y%20certificaciones/ESTUDIOS%20DE%20PROGRAMMING/PROGRAMMING/PERSONAL/PYTHON/Image_Generator_API/imagenes/T_TAHARI_6428514_BLK_2.jpg")</f>
        <v/>
      </c>
      <c r="N4648">
        <f>IMAGE("file:///E:/Estudios%20y%20certificaciones/ESTUDIOS%20DE%20PROGRAMMING/PROGRAMMING/PERSONAL/PYTHON/Image_Generator_API/imagenes/T_TAHARI_6428514_BLK_3.jpg")</f>
        <v/>
      </c>
      <c r="O4648">
        <f>HYPERLINK("imagenes/T_TAHARI_6428514_BLK_1.jpg","Ver imagen")</f>
        <v/>
      </c>
      <c r="P4648">
        <f>HYPERLINK("imagenes/T_TAHARI_6428514_BLK_2.jpg","Ver imagen")</f>
        <v/>
      </c>
      <c r="Q4648">
        <f>HYPERLINK("imagenes/T_TAHARI_6428514_BLK_3.jpg","Ver imagen")</f>
        <v/>
      </c>
    </row>
    <row r="4649">
      <c r="A4649" t="inlineStr">
        <is>
          <t>T TAHARI</t>
        </is>
      </c>
      <c r="B4649" t="inlineStr">
        <is>
          <t>6428514</t>
        </is>
      </c>
      <c r="C4649" t="inlineStr">
        <is>
          <t>NICOLE</t>
        </is>
      </c>
      <c r="D4649" t="inlineStr">
        <is>
          <t>BLK</t>
        </is>
      </c>
      <c r="E4649" t="inlineStr">
        <is>
          <t>(en blanco)</t>
        </is>
      </c>
      <c r="F4649" t="inlineStr">
        <is>
          <t>(en blanco)</t>
        </is>
      </c>
      <c r="G4649" t="inlineStr">
        <is>
          <t>XXL</t>
        </is>
      </c>
      <c r="H4649" t="n">
        <v>83</v>
      </c>
      <c r="I4649" t="inlineStr">
        <is>
          <t>T_TAHARI_6428514_BLK_1.jpg</t>
        </is>
      </c>
      <c r="J4649" t="inlineStr">
        <is>
          <t>T_TAHARI_6428514_BLK_2.jpg</t>
        </is>
      </c>
      <c r="K4649" t="inlineStr">
        <is>
          <t>T_TAHARI_6428514_BLK_3.jpg</t>
        </is>
      </c>
      <c r="L4649">
        <f>IMAGE("file:///E:/Estudios%20y%20certificaciones/ESTUDIOS%20DE%20PROGRAMMING/PROGRAMMING/PERSONAL/PYTHON/Image_Generator_API/imagenes/T_TAHARI_6428514_BLK_1.jpg")</f>
        <v/>
      </c>
      <c r="M4649">
        <f>IMAGE("file:///E:/Estudios%20y%20certificaciones/ESTUDIOS%20DE%20PROGRAMMING/PROGRAMMING/PERSONAL/PYTHON/Image_Generator_API/imagenes/T_TAHARI_6428514_BLK_2.jpg")</f>
        <v/>
      </c>
      <c r="N4649">
        <f>IMAGE("file:///E:/Estudios%20y%20certificaciones/ESTUDIOS%20DE%20PROGRAMMING/PROGRAMMING/PERSONAL/PYTHON/Image_Generator_API/imagenes/T_TAHARI_6428514_BLK_3.jpg")</f>
        <v/>
      </c>
      <c r="O4649">
        <f>HYPERLINK("imagenes/T_TAHARI_6428514_BLK_1.jpg","Ver imagen")</f>
        <v/>
      </c>
      <c r="P4649">
        <f>HYPERLINK("imagenes/T_TAHARI_6428514_BLK_2.jpg","Ver imagen")</f>
        <v/>
      </c>
      <c r="Q4649">
        <f>HYPERLINK("imagenes/T_TAHARI_6428514_BLK_3.jpg","Ver imagen")</f>
        <v/>
      </c>
    </row>
    <row r="4650">
      <c r="A4650" t="inlineStr">
        <is>
          <t>T TAHARI</t>
        </is>
      </c>
      <c r="B4650" t="inlineStr">
        <is>
          <t>6430635</t>
        </is>
      </c>
      <c r="C4650" t="inlineStr">
        <is>
          <t>DF WOOL WRAP  ELLA</t>
        </is>
      </c>
      <c r="D4650" t="inlineStr">
        <is>
          <t>BLK</t>
        </is>
      </c>
      <c r="E4650" t="inlineStr">
        <is>
          <t>(en blanco)</t>
        </is>
      </c>
      <c r="F4650" t="inlineStr">
        <is>
          <t>(en blanco)</t>
        </is>
      </c>
      <c r="G4650" t="inlineStr">
        <is>
          <t>2X</t>
        </is>
      </c>
      <c r="H4650" t="n">
        <v>1</v>
      </c>
      <c r="I4650" t="inlineStr">
        <is>
          <t>T_TAHARI_6430635_BLK_2.jpg</t>
        </is>
      </c>
      <c r="J4650" t="inlineStr">
        <is>
          <t>T_TAHARI_6430635_BLK_3.jpg</t>
        </is>
      </c>
      <c r="L4650">
        <f>IMAGE("file:///E:/Estudios%20y%20certificaciones/ESTUDIOS%20DE%20PROGRAMMING/PROGRAMMING/PERSONAL/PYTHON/Image_Generator_API/imagenes/T_TAHARI_6430635_BLK_2.jpg")</f>
        <v/>
      </c>
      <c r="M4650">
        <f>IMAGE("file:///E:/Estudios%20y%20certificaciones/ESTUDIOS%20DE%20PROGRAMMING/PROGRAMMING/PERSONAL/PYTHON/Image_Generator_API/imagenes/T_TAHARI_6430635_BLK_3.jpg")</f>
        <v/>
      </c>
      <c r="O4650">
        <f>HYPERLINK("imagenes/T_TAHARI_6430635_BLK_2.jpg","Ver imagen")</f>
        <v/>
      </c>
      <c r="P4650">
        <f>HYPERLINK("imagenes/T_TAHARI_6430635_BLK_3.jpg","Ver imagen")</f>
        <v/>
      </c>
    </row>
    <row r="4651">
      <c r="A4651" t="inlineStr">
        <is>
          <t>T TAHARI</t>
        </is>
      </c>
      <c r="B4651" t="inlineStr">
        <is>
          <t>6430635</t>
        </is>
      </c>
      <c r="C4651" t="inlineStr">
        <is>
          <t>DF WOOL WRAP  ELLA</t>
        </is>
      </c>
      <c r="D4651" t="inlineStr">
        <is>
          <t>SAG</t>
        </is>
      </c>
      <c r="E4651" t="inlineStr">
        <is>
          <t>(en blanco)</t>
        </is>
      </c>
      <c r="F4651" t="inlineStr">
        <is>
          <t>(en blanco)</t>
        </is>
      </c>
      <c r="G4651" t="inlineStr">
        <is>
          <t>2X</t>
        </is>
      </c>
      <c r="H4651" t="n">
        <v>0</v>
      </c>
      <c r="I4651" t="inlineStr">
        <is>
          <t>T_TAHARI_6430635_SAG_1.jpg</t>
        </is>
      </c>
      <c r="J4651" t="inlineStr">
        <is>
          <t>T_TAHARI_6430635_SAG_2.jpg</t>
        </is>
      </c>
      <c r="K4651" t="inlineStr">
        <is>
          <t>T_TAHARI_6430635_SAG_3.jpg</t>
        </is>
      </c>
      <c r="L4651">
        <f>IMAGE("file:///E:/Estudios%20y%20certificaciones/ESTUDIOS%20DE%20PROGRAMMING/PROGRAMMING/PERSONAL/PYTHON/Image_Generator_API/imagenes/T_TAHARI_6430635_SAG_1.jpg")</f>
        <v/>
      </c>
      <c r="M4651">
        <f>IMAGE("file:///E:/Estudios%20y%20certificaciones/ESTUDIOS%20DE%20PROGRAMMING/PROGRAMMING/PERSONAL/PYTHON/Image_Generator_API/imagenes/T_TAHARI_6430635_SAG_2.jpg")</f>
        <v/>
      </c>
      <c r="N4651">
        <f>IMAGE("file:///E:/Estudios%20y%20certificaciones/ESTUDIOS%20DE%20PROGRAMMING/PROGRAMMING/PERSONAL/PYTHON/Image_Generator_API/imagenes/T_TAHARI_6430635_SAG_3.jpg")</f>
        <v/>
      </c>
      <c r="O4651">
        <f>HYPERLINK("imagenes/T_TAHARI_6430635_SAG_1.jpg","Ver imagen")</f>
        <v/>
      </c>
      <c r="P4651">
        <f>HYPERLINK("imagenes/T_TAHARI_6430635_SAG_2.jpg","Ver imagen")</f>
        <v/>
      </c>
      <c r="Q4651">
        <f>HYPERLINK("imagenes/T_TAHARI_6430635_SAG_3.jpg","Ver imagen")</f>
        <v/>
      </c>
    </row>
    <row r="4652">
      <c r="A4652" t="inlineStr">
        <is>
          <t>T TAHARI</t>
        </is>
      </c>
      <c r="B4652" t="inlineStr">
        <is>
          <t>6430635</t>
        </is>
      </c>
      <c r="C4652" t="inlineStr">
        <is>
          <t>DF WOOL WRAP  ELLA</t>
        </is>
      </c>
      <c r="D4652" t="inlineStr">
        <is>
          <t>SAG</t>
        </is>
      </c>
      <c r="E4652" t="inlineStr">
        <is>
          <t>(en blanco)</t>
        </is>
      </c>
      <c r="F4652" t="inlineStr">
        <is>
          <t>(en blanco)</t>
        </is>
      </c>
      <c r="G4652" t="inlineStr">
        <is>
          <t>3X</t>
        </is>
      </c>
      <c r="H4652" t="n">
        <v>0</v>
      </c>
      <c r="I4652" t="inlineStr">
        <is>
          <t>T_TAHARI_6430635_SAG_1.jpg</t>
        </is>
      </c>
      <c r="J4652" t="inlineStr">
        <is>
          <t>T_TAHARI_6430635_SAG_2.jpg</t>
        </is>
      </c>
      <c r="K4652" t="inlineStr">
        <is>
          <t>T_TAHARI_6430635_SAG_3.jpg</t>
        </is>
      </c>
      <c r="L4652">
        <f>IMAGE("file:///E:/Estudios%20y%20certificaciones/ESTUDIOS%20DE%20PROGRAMMING/PROGRAMMING/PERSONAL/PYTHON/Image_Generator_API/imagenes/T_TAHARI_6430635_SAG_1.jpg")</f>
        <v/>
      </c>
      <c r="M4652">
        <f>IMAGE("file:///E:/Estudios%20y%20certificaciones/ESTUDIOS%20DE%20PROGRAMMING/PROGRAMMING/PERSONAL/PYTHON/Image_Generator_API/imagenes/T_TAHARI_6430635_SAG_2.jpg")</f>
        <v/>
      </c>
      <c r="N4652">
        <f>IMAGE("file:///E:/Estudios%20y%20certificaciones/ESTUDIOS%20DE%20PROGRAMMING/PROGRAMMING/PERSONAL/PYTHON/Image_Generator_API/imagenes/T_TAHARI_6430635_SAG_3.jpg")</f>
        <v/>
      </c>
      <c r="O4652">
        <f>HYPERLINK("imagenes/T_TAHARI_6430635_SAG_1.jpg","Ver imagen")</f>
        <v/>
      </c>
      <c r="P4652">
        <f>HYPERLINK("imagenes/T_TAHARI_6430635_SAG_2.jpg","Ver imagen")</f>
        <v/>
      </c>
      <c r="Q4652">
        <f>HYPERLINK("imagenes/T_TAHARI_6430635_SAG_3.jpg","Ver imagen")</f>
        <v/>
      </c>
    </row>
    <row r="4653">
      <c r="A4653" t="inlineStr">
        <is>
          <t>T TAHARI</t>
        </is>
      </c>
      <c r="B4653" t="inlineStr">
        <is>
          <t>6430685</t>
        </is>
      </c>
      <c r="C4653" t="inlineStr">
        <is>
          <t>JULIETTE</t>
        </is>
      </c>
      <c r="D4653" t="inlineStr">
        <is>
          <t>BLK</t>
        </is>
      </c>
      <c r="E4653" t="inlineStr">
        <is>
          <t>(en blanco)</t>
        </is>
      </c>
      <c r="F4653" t="inlineStr">
        <is>
          <t>(en blanco)</t>
        </is>
      </c>
      <c r="G4653" t="inlineStr">
        <is>
          <t>1X</t>
        </is>
      </c>
      <c r="H4653" t="n">
        <v>53</v>
      </c>
      <c r="I4653" t="inlineStr">
        <is>
          <t>T_TAHARI_6430685_BLK_2.jpg</t>
        </is>
      </c>
      <c r="J4653" t="inlineStr">
        <is>
          <t>T_TAHARI_6430685_BLK_3.jpg</t>
        </is>
      </c>
      <c r="L4653">
        <f>IMAGE("file:///E:/Estudios%20y%20certificaciones/ESTUDIOS%20DE%20PROGRAMMING/PROGRAMMING/PERSONAL/PYTHON/Image_Generator_API/imagenes/T_TAHARI_6430685_BLK_2.jpg")</f>
        <v/>
      </c>
      <c r="M4653">
        <f>IMAGE("file:///E:/Estudios%20y%20certificaciones/ESTUDIOS%20DE%20PROGRAMMING/PROGRAMMING/PERSONAL/PYTHON/Image_Generator_API/imagenes/T_TAHARI_6430685_BLK_3.jpg")</f>
        <v/>
      </c>
      <c r="O4653">
        <f>HYPERLINK("imagenes/T_TAHARI_6430685_BLK_2.jpg","Ver imagen")</f>
        <v/>
      </c>
      <c r="P4653">
        <f>HYPERLINK("imagenes/T_TAHARI_6430685_BLK_3.jpg","Ver imagen")</f>
        <v/>
      </c>
    </row>
    <row r="4654">
      <c r="A4654" t="inlineStr">
        <is>
          <t>T TAHARI</t>
        </is>
      </c>
      <c r="B4654" t="inlineStr">
        <is>
          <t>6430685</t>
        </is>
      </c>
      <c r="C4654" t="inlineStr">
        <is>
          <t>JULIETTE</t>
        </is>
      </c>
      <c r="D4654" t="inlineStr">
        <is>
          <t>BLK</t>
        </is>
      </c>
      <c r="E4654" t="inlineStr">
        <is>
          <t>(en blanco)</t>
        </is>
      </c>
      <c r="F4654" t="inlineStr">
        <is>
          <t>(en blanco)</t>
        </is>
      </c>
      <c r="G4654" t="inlineStr">
        <is>
          <t>3X</t>
        </is>
      </c>
      <c r="H4654" t="n">
        <v>3</v>
      </c>
      <c r="I4654" t="inlineStr">
        <is>
          <t>T_TAHARI_6430685_BLK_2.jpg</t>
        </is>
      </c>
      <c r="J4654" t="inlineStr">
        <is>
          <t>T_TAHARI_6430685_BLK_3.jpg</t>
        </is>
      </c>
      <c r="L4654">
        <f>IMAGE("file:///E:/Estudios%20y%20certificaciones/ESTUDIOS%20DE%20PROGRAMMING/PROGRAMMING/PERSONAL/PYTHON/Image_Generator_API/imagenes/T_TAHARI_6430685_BLK_2.jpg")</f>
        <v/>
      </c>
      <c r="M4654">
        <f>IMAGE("file:///E:/Estudios%20y%20certificaciones/ESTUDIOS%20DE%20PROGRAMMING/PROGRAMMING/PERSONAL/PYTHON/Image_Generator_API/imagenes/T_TAHARI_6430685_BLK_3.jpg")</f>
        <v/>
      </c>
      <c r="O4654">
        <f>HYPERLINK("imagenes/T_TAHARI_6430685_BLK_2.jpg","Ver imagen")</f>
        <v/>
      </c>
      <c r="P4654">
        <f>HYPERLINK("imagenes/T_TAHARI_6430685_BLK_3.jpg","Ver imagen")</f>
        <v/>
      </c>
    </row>
    <row r="4655">
      <c r="A4655" t="inlineStr">
        <is>
          <t>T TAHARI</t>
        </is>
      </c>
      <c r="B4655" t="inlineStr">
        <is>
          <t>6430685</t>
        </is>
      </c>
      <c r="C4655" t="inlineStr">
        <is>
          <t>JULIETTE</t>
        </is>
      </c>
      <c r="D4655" t="inlineStr">
        <is>
          <t>CAR</t>
        </is>
      </c>
      <c r="E4655" t="inlineStr">
        <is>
          <t>(en blanco)</t>
        </is>
      </c>
      <c r="F4655" t="inlineStr">
        <is>
          <t>(en blanco)</t>
        </is>
      </c>
      <c r="G4655" t="inlineStr">
        <is>
          <t>0X</t>
        </is>
      </c>
      <c r="H4655" t="n">
        <v>39</v>
      </c>
      <c r="I4655" t="inlineStr">
        <is>
          <t>T_TAHARI_6430685_CAR_2.jpg</t>
        </is>
      </c>
      <c r="J4655" t="inlineStr">
        <is>
          <t>T_TAHARI_6430685_CAR_3.jpg</t>
        </is>
      </c>
      <c r="L4655">
        <f>IMAGE("file:///E:/Estudios%20y%20certificaciones/ESTUDIOS%20DE%20PROGRAMMING/PROGRAMMING/PERSONAL/PYTHON/Image_Generator_API/imagenes/T_TAHARI_6430685_CAR_2.jpg")</f>
        <v/>
      </c>
      <c r="M4655">
        <f>IMAGE("file:///E:/Estudios%20y%20certificaciones/ESTUDIOS%20DE%20PROGRAMMING/PROGRAMMING/PERSONAL/PYTHON/Image_Generator_API/imagenes/T_TAHARI_6430685_CAR_3.jpg")</f>
        <v/>
      </c>
      <c r="O4655">
        <f>HYPERLINK("imagenes/T_TAHARI_6430685_CAR_2.jpg","Ver imagen")</f>
        <v/>
      </c>
      <c r="P4655">
        <f>HYPERLINK("imagenes/T_TAHARI_6430685_CAR_3.jpg","Ver imagen")</f>
        <v/>
      </c>
    </row>
    <row r="4656">
      <c r="A4656" t="inlineStr">
        <is>
          <t>T TAHARI</t>
        </is>
      </c>
      <c r="B4656" t="inlineStr">
        <is>
          <t>6430685</t>
        </is>
      </c>
      <c r="C4656" t="inlineStr">
        <is>
          <t>JULIETTE</t>
        </is>
      </c>
      <c r="D4656" t="inlineStr">
        <is>
          <t>CAR</t>
        </is>
      </c>
      <c r="E4656" t="inlineStr">
        <is>
          <t>(en blanco)</t>
        </is>
      </c>
      <c r="F4656" t="inlineStr">
        <is>
          <t>(en blanco)</t>
        </is>
      </c>
      <c r="G4656" t="inlineStr">
        <is>
          <t>3X</t>
        </is>
      </c>
      <c r="H4656" t="n">
        <v>44</v>
      </c>
      <c r="I4656" t="inlineStr">
        <is>
          <t>T_TAHARI_6430685_CAR_2.jpg</t>
        </is>
      </c>
      <c r="J4656" t="inlineStr">
        <is>
          <t>T_TAHARI_6430685_CAR_3.jpg</t>
        </is>
      </c>
      <c r="L4656">
        <f>IMAGE("file:///E:/Estudios%20y%20certificaciones/ESTUDIOS%20DE%20PROGRAMMING/PROGRAMMING/PERSONAL/PYTHON/Image_Generator_API/imagenes/T_TAHARI_6430685_CAR_2.jpg")</f>
        <v/>
      </c>
      <c r="M4656">
        <f>IMAGE("file:///E:/Estudios%20y%20certificaciones/ESTUDIOS%20DE%20PROGRAMMING/PROGRAMMING/PERSONAL/PYTHON/Image_Generator_API/imagenes/T_TAHARI_6430685_CAR_3.jpg")</f>
        <v/>
      </c>
      <c r="O4656">
        <f>HYPERLINK("imagenes/T_TAHARI_6430685_CAR_2.jpg","Ver imagen")</f>
        <v/>
      </c>
      <c r="P4656">
        <f>HYPERLINK("imagenes/T_TAHARI_6430685_CAR_3.jpg","Ver imagen")</f>
        <v/>
      </c>
    </row>
    <row r="4657">
      <c r="A4657" t="inlineStr">
        <is>
          <t>T TAHARI</t>
        </is>
      </c>
      <c r="B4657" t="inlineStr">
        <is>
          <t>6438514</t>
        </is>
      </c>
      <c r="C4657" t="inlineStr">
        <is>
          <t>NICOLE</t>
        </is>
      </c>
      <c r="D4657" t="inlineStr">
        <is>
          <t>BLK</t>
        </is>
      </c>
      <c r="E4657" t="inlineStr">
        <is>
          <t>(en blanco)</t>
        </is>
      </c>
      <c r="F4657" t="inlineStr">
        <is>
          <t>(en blanco)</t>
        </is>
      </c>
      <c r="G4657" t="inlineStr">
        <is>
          <t>0X</t>
        </is>
      </c>
      <c r="H4657" t="n">
        <v>3</v>
      </c>
      <c r="I4657" t="inlineStr">
        <is>
          <t>T_TAHARI_6438514_BLK_1.jpg</t>
        </is>
      </c>
      <c r="J4657" t="inlineStr">
        <is>
          <t>T_TAHARI_6438514_BLK_2.jpg</t>
        </is>
      </c>
      <c r="K4657" t="inlineStr">
        <is>
          <t>T_TAHARI_6438514_BLK_3.jpg</t>
        </is>
      </c>
      <c r="L4657">
        <f>IMAGE("file:///E:/Estudios%20y%20certificaciones/ESTUDIOS%20DE%20PROGRAMMING/PROGRAMMING/PERSONAL/PYTHON/Image_Generator_API/imagenes/T_TAHARI_6438514_BLK_1.jpg")</f>
        <v/>
      </c>
      <c r="M4657">
        <f>IMAGE("file:///E:/Estudios%20y%20certificaciones/ESTUDIOS%20DE%20PROGRAMMING/PROGRAMMING/PERSONAL/PYTHON/Image_Generator_API/imagenes/T_TAHARI_6438514_BLK_2.jpg")</f>
        <v/>
      </c>
      <c r="N4657">
        <f>IMAGE("file:///E:/Estudios%20y%20certificaciones/ESTUDIOS%20DE%20PROGRAMMING/PROGRAMMING/PERSONAL/PYTHON/Image_Generator_API/imagenes/T_TAHARI_6438514_BLK_3.jpg")</f>
        <v/>
      </c>
      <c r="O4657">
        <f>HYPERLINK("imagenes/T_TAHARI_6438514_BLK_1.jpg","Ver imagen")</f>
        <v/>
      </c>
      <c r="P4657">
        <f>HYPERLINK("imagenes/T_TAHARI_6438514_BLK_2.jpg","Ver imagen")</f>
        <v/>
      </c>
      <c r="Q4657">
        <f>HYPERLINK("imagenes/T_TAHARI_6438514_BLK_3.jpg","Ver imagen")</f>
        <v/>
      </c>
    </row>
    <row r="4658">
      <c r="A4658" t="inlineStr">
        <is>
          <t>T TAHARI</t>
        </is>
      </c>
      <c r="B4658" t="inlineStr">
        <is>
          <t>6438514</t>
        </is>
      </c>
      <c r="C4658" t="inlineStr">
        <is>
          <t>NICOLE</t>
        </is>
      </c>
      <c r="D4658" t="inlineStr">
        <is>
          <t>BLK</t>
        </is>
      </c>
      <c r="E4658" t="inlineStr">
        <is>
          <t>(en blanco)</t>
        </is>
      </c>
      <c r="F4658" t="inlineStr">
        <is>
          <t>(en blanco)</t>
        </is>
      </c>
      <c r="G4658" t="inlineStr">
        <is>
          <t>1X</t>
        </is>
      </c>
      <c r="H4658" t="n">
        <v>2</v>
      </c>
      <c r="I4658" t="inlineStr">
        <is>
          <t>T_TAHARI_6438514_BLK_1.jpg</t>
        </is>
      </c>
      <c r="J4658" t="inlineStr">
        <is>
          <t>T_TAHARI_6438514_BLK_2.jpg</t>
        </is>
      </c>
      <c r="K4658" t="inlineStr">
        <is>
          <t>T_TAHARI_6438514_BLK_3.jpg</t>
        </is>
      </c>
      <c r="L4658">
        <f>IMAGE("file:///E:/Estudios%20y%20certificaciones/ESTUDIOS%20DE%20PROGRAMMING/PROGRAMMING/PERSONAL/PYTHON/Image_Generator_API/imagenes/T_TAHARI_6438514_BLK_1.jpg")</f>
        <v/>
      </c>
      <c r="M4658">
        <f>IMAGE("file:///E:/Estudios%20y%20certificaciones/ESTUDIOS%20DE%20PROGRAMMING/PROGRAMMING/PERSONAL/PYTHON/Image_Generator_API/imagenes/T_TAHARI_6438514_BLK_2.jpg")</f>
        <v/>
      </c>
      <c r="N4658">
        <f>IMAGE("file:///E:/Estudios%20y%20certificaciones/ESTUDIOS%20DE%20PROGRAMMING/PROGRAMMING/PERSONAL/PYTHON/Image_Generator_API/imagenes/T_TAHARI_6438514_BLK_3.jpg")</f>
        <v/>
      </c>
      <c r="O4658">
        <f>HYPERLINK("imagenes/T_TAHARI_6438514_BLK_1.jpg","Ver imagen")</f>
        <v/>
      </c>
      <c r="P4658">
        <f>HYPERLINK("imagenes/T_TAHARI_6438514_BLK_2.jpg","Ver imagen")</f>
        <v/>
      </c>
      <c r="Q4658">
        <f>HYPERLINK("imagenes/T_TAHARI_6438514_BLK_3.jpg","Ver imagen")</f>
        <v/>
      </c>
    </row>
    <row r="4659">
      <c r="A4659" t="inlineStr">
        <is>
          <t>T TAHARI</t>
        </is>
      </c>
      <c r="B4659" t="inlineStr">
        <is>
          <t>6438514</t>
        </is>
      </c>
      <c r="C4659" t="inlineStr">
        <is>
          <t>NICOLE</t>
        </is>
      </c>
      <c r="D4659" t="inlineStr">
        <is>
          <t>BLK</t>
        </is>
      </c>
      <c r="E4659" t="inlineStr">
        <is>
          <t>(en blanco)</t>
        </is>
      </c>
      <c r="F4659" t="inlineStr">
        <is>
          <t>(en blanco)</t>
        </is>
      </c>
      <c r="G4659" t="inlineStr">
        <is>
          <t>2X</t>
        </is>
      </c>
      <c r="H4659" t="n">
        <v>9</v>
      </c>
      <c r="I4659" t="inlineStr">
        <is>
          <t>T_TAHARI_6438514_BLK_1.jpg</t>
        </is>
      </c>
      <c r="J4659" t="inlineStr">
        <is>
          <t>T_TAHARI_6438514_BLK_2.jpg</t>
        </is>
      </c>
      <c r="K4659" t="inlineStr">
        <is>
          <t>T_TAHARI_6438514_BLK_3.jpg</t>
        </is>
      </c>
      <c r="L4659">
        <f>IMAGE("file:///E:/Estudios%20y%20certificaciones/ESTUDIOS%20DE%20PROGRAMMING/PROGRAMMING/PERSONAL/PYTHON/Image_Generator_API/imagenes/T_TAHARI_6438514_BLK_1.jpg")</f>
        <v/>
      </c>
      <c r="M4659">
        <f>IMAGE("file:///E:/Estudios%20y%20certificaciones/ESTUDIOS%20DE%20PROGRAMMING/PROGRAMMING/PERSONAL/PYTHON/Image_Generator_API/imagenes/T_TAHARI_6438514_BLK_2.jpg")</f>
        <v/>
      </c>
      <c r="N4659">
        <f>IMAGE("file:///E:/Estudios%20y%20certificaciones/ESTUDIOS%20DE%20PROGRAMMING/PROGRAMMING/PERSONAL/PYTHON/Image_Generator_API/imagenes/T_TAHARI_6438514_BLK_3.jpg")</f>
        <v/>
      </c>
      <c r="O4659">
        <f>HYPERLINK("imagenes/T_TAHARI_6438514_BLK_1.jpg","Ver imagen")</f>
        <v/>
      </c>
      <c r="P4659">
        <f>HYPERLINK("imagenes/T_TAHARI_6438514_BLK_2.jpg","Ver imagen")</f>
        <v/>
      </c>
      <c r="Q4659">
        <f>HYPERLINK("imagenes/T_TAHARI_6438514_BLK_3.jpg","Ver imagen")</f>
        <v/>
      </c>
    </row>
    <row r="4660">
      <c r="A4660" t="inlineStr">
        <is>
          <t>T TAHARI</t>
        </is>
      </c>
      <c r="B4660" t="inlineStr">
        <is>
          <t>6438514</t>
        </is>
      </c>
      <c r="C4660" t="inlineStr">
        <is>
          <t>NICOLE</t>
        </is>
      </c>
      <c r="D4660" t="inlineStr">
        <is>
          <t>BLK</t>
        </is>
      </c>
      <c r="E4660" t="inlineStr">
        <is>
          <t>(en blanco)</t>
        </is>
      </c>
      <c r="F4660" t="inlineStr">
        <is>
          <t>(en blanco)</t>
        </is>
      </c>
      <c r="G4660" t="inlineStr">
        <is>
          <t>3X</t>
        </is>
      </c>
      <c r="H4660" t="n">
        <v>4</v>
      </c>
      <c r="I4660" t="inlineStr">
        <is>
          <t>T_TAHARI_6438514_BLK_1.jpg</t>
        </is>
      </c>
      <c r="J4660" t="inlineStr">
        <is>
          <t>T_TAHARI_6438514_BLK_2.jpg</t>
        </is>
      </c>
      <c r="K4660" t="inlineStr">
        <is>
          <t>T_TAHARI_6438514_BLK_3.jpg</t>
        </is>
      </c>
      <c r="L4660">
        <f>IMAGE("file:///E:/Estudios%20y%20certificaciones/ESTUDIOS%20DE%20PROGRAMMING/PROGRAMMING/PERSONAL/PYTHON/Image_Generator_API/imagenes/T_TAHARI_6438514_BLK_1.jpg")</f>
        <v/>
      </c>
      <c r="M4660">
        <f>IMAGE("file:///E:/Estudios%20y%20certificaciones/ESTUDIOS%20DE%20PROGRAMMING/PROGRAMMING/PERSONAL/PYTHON/Image_Generator_API/imagenes/T_TAHARI_6438514_BLK_2.jpg")</f>
        <v/>
      </c>
      <c r="N4660">
        <f>IMAGE("file:///E:/Estudios%20y%20certificaciones/ESTUDIOS%20DE%20PROGRAMMING/PROGRAMMING/PERSONAL/PYTHON/Image_Generator_API/imagenes/T_TAHARI_6438514_BLK_3.jpg")</f>
        <v/>
      </c>
      <c r="O4660">
        <f>HYPERLINK("imagenes/T_TAHARI_6438514_BLK_1.jpg","Ver imagen")</f>
        <v/>
      </c>
      <c r="P4660">
        <f>HYPERLINK("imagenes/T_TAHARI_6438514_BLK_2.jpg","Ver imagen")</f>
        <v/>
      </c>
      <c r="Q4660">
        <f>HYPERLINK("imagenes/T_TAHARI_6438514_BLK_3.jpg","Ver imagen")</f>
        <v/>
      </c>
    </row>
    <row r="4661">
      <c r="A4661" t="inlineStr">
        <is>
          <t>T TAHARI</t>
        </is>
      </c>
      <c r="B4661" t="inlineStr">
        <is>
          <t>6617123</t>
        </is>
      </c>
      <c r="C4661" t="inlineStr">
        <is>
          <t>NATALIE</t>
        </is>
      </c>
      <c r="D4661" t="inlineStr">
        <is>
          <t>COG</t>
        </is>
      </c>
      <c r="E4661" t="inlineStr">
        <is>
          <t>(en blanco)</t>
        </is>
      </c>
      <c r="F4661" t="inlineStr">
        <is>
          <t>(en blanco)</t>
        </is>
      </c>
      <c r="G4661" t="inlineStr">
        <is>
          <t>2XP</t>
        </is>
      </c>
      <c r="H4661" t="n">
        <v>1</v>
      </c>
      <c r="I4661" t="inlineStr">
        <is>
          <t>T_TAHARI_6617123_COG_1.jpg</t>
        </is>
      </c>
      <c r="J4661" t="inlineStr">
        <is>
          <t>T_TAHARI_6617123_COG_2.jpg</t>
        </is>
      </c>
      <c r="K4661" t="inlineStr">
        <is>
          <t>T_TAHARI_6617123_COG_3.jpg</t>
        </is>
      </c>
      <c r="L4661">
        <f>IMAGE("file:///E:/Estudios%20y%20certificaciones/ESTUDIOS%20DE%20PROGRAMMING/PROGRAMMING/PERSONAL/PYTHON/Image_Generator_API/imagenes/T_TAHARI_6617123_COG_1.jpg")</f>
        <v/>
      </c>
      <c r="M4661">
        <f>IMAGE("file:///E:/Estudios%20y%20certificaciones/ESTUDIOS%20DE%20PROGRAMMING/PROGRAMMING/PERSONAL/PYTHON/Image_Generator_API/imagenes/T_TAHARI_6617123_COG_2.jpg")</f>
        <v/>
      </c>
      <c r="N4661">
        <f>IMAGE("file:///E:/Estudios%20y%20certificaciones/ESTUDIOS%20DE%20PROGRAMMING/PROGRAMMING/PERSONAL/PYTHON/Image_Generator_API/imagenes/T_TAHARI_6617123_COG_3.jpg")</f>
        <v/>
      </c>
      <c r="O4661">
        <f>HYPERLINK("imagenes/T_TAHARI_6617123_COG_1.jpg","Ver imagen")</f>
        <v/>
      </c>
      <c r="P4661">
        <f>HYPERLINK("imagenes/T_TAHARI_6617123_COG_2.jpg","Ver imagen")</f>
        <v/>
      </c>
      <c r="Q4661">
        <f>HYPERLINK("imagenes/T_TAHARI_6617123_COG_3.jpg","Ver imagen")</f>
        <v/>
      </c>
    </row>
    <row r="4662">
      <c r="A4662" t="inlineStr">
        <is>
          <t>T TAHARI</t>
        </is>
      </c>
      <c r="B4662" t="inlineStr">
        <is>
          <t>6617227</t>
        </is>
      </c>
      <c r="C4662" t="inlineStr">
        <is>
          <t>JANELLE</t>
        </is>
      </c>
      <c r="D4662" t="inlineStr">
        <is>
          <t>BLK</t>
        </is>
      </c>
      <c r="E4662" t="inlineStr">
        <is>
          <t>(en blanco)</t>
        </is>
      </c>
      <c r="F4662" t="inlineStr">
        <is>
          <t>(en blanco)</t>
        </is>
      </c>
      <c r="G4662" t="inlineStr">
        <is>
          <t>2XP</t>
        </is>
      </c>
      <c r="H4662" t="n">
        <v>7</v>
      </c>
      <c r="I4662" t="inlineStr">
        <is>
          <t>T_TAHARI_6617227_BLK_2.jpg</t>
        </is>
      </c>
      <c r="J4662" t="inlineStr">
        <is>
          <t>T_TAHARI_6617227_BLK_3.jpg</t>
        </is>
      </c>
      <c r="L4662">
        <f>IMAGE("file:///E:/Estudios%20y%20certificaciones/ESTUDIOS%20DE%20PROGRAMMING/PROGRAMMING/PERSONAL/PYTHON/Image_Generator_API/imagenes/T_TAHARI_6617227_BLK_2.jpg")</f>
        <v/>
      </c>
      <c r="M4662">
        <f>IMAGE("file:///E:/Estudios%20y%20certificaciones/ESTUDIOS%20DE%20PROGRAMMING/PROGRAMMING/PERSONAL/PYTHON/Image_Generator_API/imagenes/T_TAHARI_6617227_BLK_3.jpg")</f>
        <v/>
      </c>
      <c r="O4662">
        <f>HYPERLINK("imagenes/T_TAHARI_6617227_BLK_2.jpg","Ver imagen")</f>
        <v/>
      </c>
      <c r="P4662">
        <f>HYPERLINK("imagenes/T_TAHARI_6617227_BLK_3.jpg","Ver imagen")</f>
        <v/>
      </c>
    </row>
    <row r="4663">
      <c r="A4663" t="inlineStr">
        <is>
          <t>T TAHARI</t>
        </is>
      </c>
      <c r="B4663" t="inlineStr">
        <is>
          <t>6617227</t>
        </is>
      </c>
      <c r="C4663" t="inlineStr">
        <is>
          <t>JANELLE</t>
        </is>
      </c>
      <c r="D4663" t="inlineStr">
        <is>
          <t>BLK</t>
        </is>
      </c>
      <c r="E4663" t="inlineStr">
        <is>
          <t>(en blanco)</t>
        </is>
      </c>
      <c r="F4663" t="inlineStr">
        <is>
          <t>(en blanco)</t>
        </is>
      </c>
      <c r="G4663" t="inlineStr">
        <is>
          <t>LP</t>
        </is>
      </c>
      <c r="H4663" t="n">
        <v>8</v>
      </c>
      <c r="I4663" t="inlineStr">
        <is>
          <t>T_TAHARI_6617227_BLK_2.jpg</t>
        </is>
      </c>
      <c r="J4663" t="inlineStr">
        <is>
          <t>T_TAHARI_6617227_BLK_3.jpg</t>
        </is>
      </c>
      <c r="L4663">
        <f>IMAGE("file:///E:/Estudios%20y%20certificaciones/ESTUDIOS%20DE%20PROGRAMMING/PROGRAMMING/PERSONAL/PYTHON/Image_Generator_API/imagenes/T_TAHARI_6617227_BLK_2.jpg")</f>
        <v/>
      </c>
      <c r="M4663">
        <f>IMAGE("file:///E:/Estudios%20y%20certificaciones/ESTUDIOS%20DE%20PROGRAMMING/PROGRAMMING/PERSONAL/PYTHON/Image_Generator_API/imagenes/T_TAHARI_6617227_BLK_3.jpg")</f>
        <v/>
      </c>
      <c r="O4663">
        <f>HYPERLINK("imagenes/T_TAHARI_6617227_BLK_2.jpg","Ver imagen")</f>
        <v/>
      </c>
      <c r="P4663">
        <f>HYPERLINK("imagenes/T_TAHARI_6617227_BLK_3.jpg","Ver imagen")</f>
        <v/>
      </c>
    </row>
    <row r="4664">
      <c r="A4664" t="inlineStr">
        <is>
          <t>T TAHARI</t>
        </is>
      </c>
      <c r="B4664" t="inlineStr">
        <is>
          <t>6617227</t>
        </is>
      </c>
      <c r="C4664" t="inlineStr">
        <is>
          <t>JANELLE</t>
        </is>
      </c>
      <c r="D4664" t="inlineStr">
        <is>
          <t>BLK</t>
        </is>
      </c>
      <c r="E4664" t="inlineStr">
        <is>
          <t>(en blanco)</t>
        </is>
      </c>
      <c r="F4664" t="inlineStr">
        <is>
          <t>(en blanco)</t>
        </is>
      </c>
      <c r="G4664" t="inlineStr">
        <is>
          <t>MP</t>
        </is>
      </c>
      <c r="H4664" t="n">
        <v>10</v>
      </c>
      <c r="I4664" t="inlineStr">
        <is>
          <t>T_TAHARI_6617227_BLK_2.jpg</t>
        </is>
      </c>
      <c r="J4664" t="inlineStr">
        <is>
          <t>T_TAHARI_6617227_BLK_3.jpg</t>
        </is>
      </c>
      <c r="L4664">
        <f>IMAGE("file:///E:/Estudios%20y%20certificaciones/ESTUDIOS%20DE%20PROGRAMMING/PROGRAMMING/PERSONAL/PYTHON/Image_Generator_API/imagenes/T_TAHARI_6617227_BLK_2.jpg")</f>
        <v/>
      </c>
      <c r="M4664">
        <f>IMAGE("file:///E:/Estudios%20y%20certificaciones/ESTUDIOS%20DE%20PROGRAMMING/PROGRAMMING/PERSONAL/PYTHON/Image_Generator_API/imagenes/T_TAHARI_6617227_BLK_3.jpg")</f>
        <v/>
      </c>
      <c r="O4664">
        <f>HYPERLINK("imagenes/T_TAHARI_6617227_BLK_2.jpg","Ver imagen")</f>
        <v/>
      </c>
      <c r="P4664">
        <f>HYPERLINK("imagenes/T_TAHARI_6617227_BLK_3.jpg","Ver imagen")</f>
        <v/>
      </c>
    </row>
    <row r="4665">
      <c r="A4665" t="inlineStr">
        <is>
          <t>T TAHARI</t>
        </is>
      </c>
      <c r="B4665" t="inlineStr">
        <is>
          <t>6617227</t>
        </is>
      </c>
      <c r="C4665" t="inlineStr">
        <is>
          <t>JANELLE</t>
        </is>
      </c>
      <c r="D4665" t="inlineStr">
        <is>
          <t>BLK</t>
        </is>
      </c>
      <c r="E4665" t="inlineStr">
        <is>
          <t>(en blanco)</t>
        </is>
      </c>
      <c r="F4665" t="inlineStr">
        <is>
          <t>(en blanco)</t>
        </is>
      </c>
      <c r="G4665" t="inlineStr">
        <is>
          <t>SP</t>
        </is>
      </c>
      <c r="H4665" t="n">
        <v>8</v>
      </c>
      <c r="I4665" t="inlineStr">
        <is>
          <t>T_TAHARI_6617227_BLK_2.jpg</t>
        </is>
      </c>
      <c r="J4665" t="inlineStr">
        <is>
          <t>T_TAHARI_6617227_BLK_3.jpg</t>
        </is>
      </c>
      <c r="L4665">
        <f>IMAGE("file:///E:/Estudios%20y%20certificaciones/ESTUDIOS%20DE%20PROGRAMMING/PROGRAMMING/PERSONAL/PYTHON/Image_Generator_API/imagenes/T_TAHARI_6617227_BLK_2.jpg")</f>
        <v/>
      </c>
      <c r="M4665">
        <f>IMAGE("file:///E:/Estudios%20y%20certificaciones/ESTUDIOS%20DE%20PROGRAMMING/PROGRAMMING/PERSONAL/PYTHON/Image_Generator_API/imagenes/T_TAHARI_6617227_BLK_3.jpg")</f>
        <v/>
      </c>
      <c r="O4665">
        <f>HYPERLINK("imagenes/T_TAHARI_6617227_BLK_2.jpg","Ver imagen")</f>
        <v/>
      </c>
      <c r="P4665">
        <f>HYPERLINK("imagenes/T_TAHARI_6617227_BLK_3.jpg","Ver imagen")</f>
        <v/>
      </c>
    </row>
    <row r="4666">
      <c r="A4666" t="inlineStr">
        <is>
          <t>T TAHARI</t>
        </is>
      </c>
      <c r="B4666" t="inlineStr">
        <is>
          <t>6617227</t>
        </is>
      </c>
      <c r="C4666" t="inlineStr">
        <is>
          <t>JANELLE</t>
        </is>
      </c>
      <c r="D4666" t="inlineStr">
        <is>
          <t>BLK</t>
        </is>
      </c>
      <c r="E4666" t="inlineStr">
        <is>
          <t>(en blanco)</t>
        </is>
      </c>
      <c r="F4666" t="inlineStr">
        <is>
          <t>(en blanco)</t>
        </is>
      </c>
      <c r="G4666" t="inlineStr">
        <is>
          <t>XLP</t>
        </is>
      </c>
      <c r="H4666" t="n">
        <v>7</v>
      </c>
      <c r="I4666" t="inlineStr">
        <is>
          <t>T_TAHARI_6617227_BLK_2.jpg</t>
        </is>
      </c>
      <c r="J4666" t="inlineStr">
        <is>
          <t>T_TAHARI_6617227_BLK_3.jpg</t>
        </is>
      </c>
      <c r="L4666">
        <f>IMAGE("file:///E:/Estudios%20y%20certificaciones/ESTUDIOS%20DE%20PROGRAMMING/PROGRAMMING/PERSONAL/PYTHON/Image_Generator_API/imagenes/T_TAHARI_6617227_BLK_2.jpg")</f>
        <v/>
      </c>
      <c r="M4666">
        <f>IMAGE("file:///E:/Estudios%20y%20certificaciones/ESTUDIOS%20DE%20PROGRAMMING/PROGRAMMING/PERSONAL/PYTHON/Image_Generator_API/imagenes/T_TAHARI_6617227_BLK_3.jpg")</f>
        <v/>
      </c>
      <c r="O4666">
        <f>HYPERLINK("imagenes/T_TAHARI_6617227_BLK_2.jpg","Ver imagen")</f>
        <v/>
      </c>
      <c r="P4666">
        <f>HYPERLINK("imagenes/T_TAHARI_6617227_BLK_3.jpg","Ver imagen")</f>
        <v/>
      </c>
    </row>
    <row r="4667">
      <c r="A4667" t="inlineStr">
        <is>
          <t>T TAHARI</t>
        </is>
      </c>
      <c r="B4667" t="inlineStr">
        <is>
          <t>6617227</t>
        </is>
      </c>
      <c r="C4667" t="inlineStr">
        <is>
          <t>JANELLE</t>
        </is>
      </c>
      <c r="D4667" t="inlineStr">
        <is>
          <t>BLK</t>
        </is>
      </c>
      <c r="E4667" t="inlineStr">
        <is>
          <t>(en blanco)</t>
        </is>
      </c>
      <c r="F4667" t="inlineStr">
        <is>
          <t>(en blanco)</t>
        </is>
      </c>
      <c r="G4667" t="inlineStr">
        <is>
          <t>XSP</t>
        </is>
      </c>
      <c r="H4667" t="n">
        <v>9</v>
      </c>
      <c r="I4667" t="inlineStr">
        <is>
          <t>T_TAHARI_6617227_BLK_2.jpg</t>
        </is>
      </c>
      <c r="J4667" t="inlineStr">
        <is>
          <t>T_TAHARI_6617227_BLK_3.jpg</t>
        </is>
      </c>
      <c r="L4667">
        <f>IMAGE("file:///E:/Estudios%20y%20certificaciones/ESTUDIOS%20DE%20PROGRAMMING/PROGRAMMING/PERSONAL/PYTHON/Image_Generator_API/imagenes/T_TAHARI_6617227_BLK_2.jpg")</f>
        <v/>
      </c>
      <c r="M4667">
        <f>IMAGE("file:///E:/Estudios%20y%20certificaciones/ESTUDIOS%20DE%20PROGRAMMING/PROGRAMMING/PERSONAL/PYTHON/Image_Generator_API/imagenes/T_TAHARI_6617227_BLK_3.jpg")</f>
        <v/>
      </c>
      <c r="O4667">
        <f>HYPERLINK("imagenes/T_TAHARI_6617227_BLK_2.jpg","Ver imagen")</f>
        <v/>
      </c>
      <c r="P4667">
        <f>HYPERLINK("imagenes/T_TAHARI_6617227_BLK_3.jpg","Ver imagen")</f>
        <v/>
      </c>
    </row>
    <row r="4668">
      <c r="A4668" t="inlineStr">
        <is>
          <t>T TAHARI</t>
        </is>
      </c>
      <c r="B4668" t="inlineStr">
        <is>
          <t>6617227</t>
        </is>
      </c>
      <c r="C4668" t="inlineStr">
        <is>
          <t>JANELLE</t>
        </is>
      </c>
      <c r="D4668" t="inlineStr">
        <is>
          <t>NVY</t>
        </is>
      </c>
      <c r="E4668" t="inlineStr">
        <is>
          <t>(en blanco)</t>
        </is>
      </c>
      <c r="F4668" t="inlineStr">
        <is>
          <t>(en blanco)</t>
        </is>
      </c>
      <c r="G4668" t="inlineStr">
        <is>
          <t>2XP</t>
        </is>
      </c>
      <c r="H4668" t="n">
        <v>5</v>
      </c>
      <c r="I4668" t="inlineStr">
        <is>
          <t>T_TAHARI_6617227_NVY_1.jpg</t>
        </is>
      </c>
      <c r="J4668" t="inlineStr">
        <is>
          <t>T_TAHARI_6617227_NVY_2.jpg</t>
        </is>
      </c>
      <c r="K4668" t="inlineStr">
        <is>
          <t>T_TAHARI_6617227_NVY_3.jpg</t>
        </is>
      </c>
      <c r="L4668">
        <f>IMAGE("file:///E:/Estudios%20y%20certificaciones/ESTUDIOS%20DE%20PROGRAMMING/PROGRAMMING/PERSONAL/PYTHON/Image_Generator_API/imagenes/T_TAHARI_6617227_NVY_1.jpg")</f>
        <v/>
      </c>
      <c r="M4668">
        <f>IMAGE("file:///E:/Estudios%20y%20certificaciones/ESTUDIOS%20DE%20PROGRAMMING/PROGRAMMING/PERSONAL/PYTHON/Image_Generator_API/imagenes/T_TAHARI_6617227_NVY_2.jpg")</f>
        <v/>
      </c>
      <c r="N4668">
        <f>IMAGE("file:///E:/Estudios%20y%20certificaciones/ESTUDIOS%20DE%20PROGRAMMING/PROGRAMMING/PERSONAL/PYTHON/Image_Generator_API/imagenes/T_TAHARI_6617227_NVY_3.jpg")</f>
        <v/>
      </c>
      <c r="O4668">
        <f>HYPERLINK("imagenes/T_TAHARI_6617227_NVY_1.jpg","Ver imagen")</f>
        <v/>
      </c>
      <c r="P4668">
        <f>HYPERLINK("imagenes/T_TAHARI_6617227_NVY_2.jpg","Ver imagen")</f>
        <v/>
      </c>
      <c r="Q4668">
        <f>HYPERLINK("imagenes/T_TAHARI_6617227_NVY_3.jpg","Ver imagen")</f>
        <v/>
      </c>
    </row>
    <row r="4669">
      <c r="A4669" t="inlineStr">
        <is>
          <t>T TAHARI</t>
        </is>
      </c>
      <c r="B4669" t="inlineStr">
        <is>
          <t>6617227</t>
        </is>
      </c>
      <c r="C4669" t="inlineStr">
        <is>
          <t>JANELLE</t>
        </is>
      </c>
      <c r="D4669" t="inlineStr">
        <is>
          <t>NVY</t>
        </is>
      </c>
      <c r="E4669" t="inlineStr">
        <is>
          <t>(en blanco)</t>
        </is>
      </c>
      <c r="F4669" t="inlineStr">
        <is>
          <t>(en blanco)</t>
        </is>
      </c>
      <c r="G4669" t="inlineStr">
        <is>
          <t>LP</t>
        </is>
      </c>
      <c r="H4669" t="n">
        <v>1</v>
      </c>
      <c r="I4669" t="inlineStr">
        <is>
          <t>T_TAHARI_6617227_NVY_1.jpg</t>
        </is>
      </c>
      <c r="J4669" t="inlineStr">
        <is>
          <t>T_TAHARI_6617227_NVY_2.jpg</t>
        </is>
      </c>
      <c r="K4669" t="inlineStr">
        <is>
          <t>T_TAHARI_6617227_NVY_3.jpg</t>
        </is>
      </c>
      <c r="L4669">
        <f>IMAGE("file:///E:/Estudios%20y%20certificaciones/ESTUDIOS%20DE%20PROGRAMMING/PROGRAMMING/PERSONAL/PYTHON/Image_Generator_API/imagenes/T_TAHARI_6617227_NVY_1.jpg")</f>
        <v/>
      </c>
      <c r="M4669">
        <f>IMAGE("file:///E:/Estudios%20y%20certificaciones/ESTUDIOS%20DE%20PROGRAMMING/PROGRAMMING/PERSONAL/PYTHON/Image_Generator_API/imagenes/T_TAHARI_6617227_NVY_2.jpg")</f>
        <v/>
      </c>
      <c r="N4669">
        <f>IMAGE("file:///E:/Estudios%20y%20certificaciones/ESTUDIOS%20DE%20PROGRAMMING/PROGRAMMING/PERSONAL/PYTHON/Image_Generator_API/imagenes/T_TAHARI_6617227_NVY_3.jpg")</f>
        <v/>
      </c>
      <c r="O4669">
        <f>HYPERLINK("imagenes/T_TAHARI_6617227_NVY_1.jpg","Ver imagen")</f>
        <v/>
      </c>
      <c r="P4669">
        <f>HYPERLINK("imagenes/T_TAHARI_6617227_NVY_2.jpg","Ver imagen")</f>
        <v/>
      </c>
      <c r="Q4669">
        <f>HYPERLINK("imagenes/T_TAHARI_6617227_NVY_3.jpg","Ver imagen")</f>
        <v/>
      </c>
    </row>
    <row r="4670">
      <c r="A4670" t="inlineStr">
        <is>
          <t>T TAHARI</t>
        </is>
      </c>
      <c r="B4670" t="inlineStr">
        <is>
          <t>6617227</t>
        </is>
      </c>
      <c r="C4670" t="inlineStr">
        <is>
          <t>JANELLE</t>
        </is>
      </c>
      <c r="D4670" t="inlineStr">
        <is>
          <t>NVY</t>
        </is>
      </c>
      <c r="E4670" t="inlineStr">
        <is>
          <t>(en blanco)</t>
        </is>
      </c>
      <c r="F4670" t="inlineStr">
        <is>
          <t>(en blanco)</t>
        </is>
      </c>
      <c r="G4670" t="inlineStr">
        <is>
          <t>MP</t>
        </is>
      </c>
      <c r="H4670" t="n">
        <v>5</v>
      </c>
      <c r="I4670" t="inlineStr">
        <is>
          <t>T_TAHARI_6617227_NVY_1.jpg</t>
        </is>
      </c>
      <c r="J4670" t="inlineStr">
        <is>
          <t>T_TAHARI_6617227_NVY_2.jpg</t>
        </is>
      </c>
      <c r="K4670" t="inlineStr">
        <is>
          <t>T_TAHARI_6617227_NVY_3.jpg</t>
        </is>
      </c>
      <c r="L4670">
        <f>IMAGE("file:///E:/Estudios%20y%20certificaciones/ESTUDIOS%20DE%20PROGRAMMING/PROGRAMMING/PERSONAL/PYTHON/Image_Generator_API/imagenes/T_TAHARI_6617227_NVY_1.jpg")</f>
        <v/>
      </c>
      <c r="M4670">
        <f>IMAGE("file:///E:/Estudios%20y%20certificaciones/ESTUDIOS%20DE%20PROGRAMMING/PROGRAMMING/PERSONAL/PYTHON/Image_Generator_API/imagenes/T_TAHARI_6617227_NVY_2.jpg")</f>
        <v/>
      </c>
      <c r="N4670">
        <f>IMAGE("file:///E:/Estudios%20y%20certificaciones/ESTUDIOS%20DE%20PROGRAMMING/PROGRAMMING/PERSONAL/PYTHON/Image_Generator_API/imagenes/T_TAHARI_6617227_NVY_3.jpg")</f>
        <v/>
      </c>
      <c r="O4670">
        <f>HYPERLINK("imagenes/T_TAHARI_6617227_NVY_1.jpg","Ver imagen")</f>
        <v/>
      </c>
      <c r="P4670">
        <f>HYPERLINK("imagenes/T_TAHARI_6617227_NVY_2.jpg","Ver imagen")</f>
        <v/>
      </c>
      <c r="Q4670">
        <f>HYPERLINK("imagenes/T_TAHARI_6617227_NVY_3.jpg","Ver imagen")</f>
        <v/>
      </c>
    </row>
    <row r="4671">
      <c r="A4671" t="inlineStr">
        <is>
          <t>T TAHARI</t>
        </is>
      </c>
      <c r="B4671" t="inlineStr">
        <is>
          <t>6617227</t>
        </is>
      </c>
      <c r="C4671" t="inlineStr">
        <is>
          <t>JANELLE</t>
        </is>
      </c>
      <c r="D4671" t="inlineStr">
        <is>
          <t>NVY</t>
        </is>
      </c>
      <c r="E4671" t="inlineStr">
        <is>
          <t>(en blanco)</t>
        </is>
      </c>
      <c r="F4671" t="inlineStr">
        <is>
          <t>(en blanco)</t>
        </is>
      </c>
      <c r="G4671" t="inlineStr">
        <is>
          <t>SP</t>
        </is>
      </c>
      <c r="H4671" t="n">
        <v>3</v>
      </c>
      <c r="I4671" t="inlineStr">
        <is>
          <t>T_TAHARI_6617227_NVY_1.jpg</t>
        </is>
      </c>
      <c r="J4671" t="inlineStr">
        <is>
          <t>T_TAHARI_6617227_NVY_2.jpg</t>
        </is>
      </c>
      <c r="K4671" t="inlineStr">
        <is>
          <t>T_TAHARI_6617227_NVY_3.jpg</t>
        </is>
      </c>
      <c r="L4671">
        <f>IMAGE("file:///E:/Estudios%20y%20certificaciones/ESTUDIOS%20DE%20PROGRAMMING/PROGRAMMING/PERSONAL/PYTHON/Image_Generator_API/imagenes/T_TAHARI_6617227_NVY_1.jpg")</f>
        <v/>
      </c>
      <c r="M4671">
        <f>IMAGE("file:///E:/Estudios%20y%20certificaciones/ESTUDIOS%20DE%20PROGRAMMING/PROGRAMMING/PERSONAL/PYTHON/Image_Generator_API/imagenes/T_TAHARI_6617227_NVY_2.jpg")</f>
        <v/>
      </c>
      <c r="N4671">
        <f>IMAGE("file:///E:/Estudios%20y%20certificaciones/ESTUDIOS%20DE%20PROGRAMMING/PROGRAMMING/PERSONAL/PYTHON/Image_Generator_API/imagenes/T_TAHARI_6617227_NVY_3.jpg")</f>
        <v/>
      </c>
      <c r="O4671">
        <f>HYPERLINK("imagenes/T_TAHARI_6617227_NVY_1.jpg","Ver imagen")</f>
        <v/>
      </c>
      <c r="P4671">
        <f>HYPERLINK("imagenes/T_TAHARI_6617227_NVY_2.jpg","Ver imagen")</f>
        <v/>
      </c>
      <c r="Q4671">
        <f>HYPERLINK("imagenes/T_TAHARI_6617227_NVY_3.jpg","Ver imagen")</f>
        <v/>
      </c>
    </row>
    <row r="4672">
      <c r="A4672" t="inlineStr">
        <is>
          <t>T TAHARI</t>
        </is>
      </c>
      <c r="B4672" t="inlineStr">
        <is>
          <t>6617227</t>
        </is>
      </c>
      <c r="C4672" t="inlineStr">
        <is>
          <t>JANELLE</t>
        </is>
      </c>
      <c r="D4672" t="inlineStr">
        <is>
          <t>NVY</t>
        </is>
      </c>
      <c r="E4672" t="inlineStr">
        <is>
          <t>(en blanco)</t>
        </is>
      </c>
      <c r="F4672" t="inlineStr">
        <is>
          <t>(en blanco)</t>
        </is>
      </c>
      <c r="G4672" t="inlineStr">
        <is>
          <t>XLP</t>
        </is>
      </c>
      <c r="H4672" t="n">
        <v>6</v>
      </c>
      <c r="I4672" t="inlineStr">
        <is>
          <t>T_TAHARI_6617227_NVY_1.jpg</t>
        </is>
      </c>
      <c r="J4672" t="inlineStr">
        <is>
          <t>T_TAHARI_6617227_NVY_2.jpg</t>
        </is>
      </c>
      <c r="K4672" t="inlineStr">
        <is>
          <t>T_TAHARI_6617227_NVY_3.jpg</t>
        </is>
      </c>
      <c r="L4672">
        <f>IMAGE("file:///E:/Estudios%20y%20certificaciones/ESTUDIOS%20DE%20PROGRAMMING/PROGRAMMING/PERSONAL/PYTHON/Image_Generator_API/imagenes/T_TAHARI_6617227_NVY_1.jpg")</f>
        <v/>
      </c>
      <c r="M4672">
        <f>IMAGE("file:///E:/Estudios%20y%20certificaciones/ESTUDIOS%20DE%20PROGRAMMING/PROGRAMMING/PERSONAL/PYTHON/Image_Generator_API/imagenes/T_TAHARI_6617227_NVY_2.jpg")</f>
        <v/>
      </c>
      <c r="N4672">
        <f>IMAGE("file:///E:/Estudios%20y%20certificaciones/ESTUDIOS%20DE%20PROGRAMMING/PROGRAMMING/PERSONAL/PYTHON/Image_Generator_API/imagenes/T_TAHARI_6617227_NVY_3.jpg")</f>
        <v/>
      </c>
      <c r="O4672">
        <f>HYPERLINK("imagenes/T_TAHARI_6617227_NVY_1.jpg","Ver imagen")</f>
        <v/>
      </c>
      <c r="P4672">
        <f>HYPERLINK("imagenes/T_TAHARI_6617227_NVY_2.jpg","Ver imagen")</f>
        <v/>
      </c>
      <c r="Q4672">
        <f>HYPERLINK("imagenes/T_TAHARI_6617227_NVY_3.jpg","Ver imagen")</f>
        <v/>
      </c>
    </row>
    <row r="4673">
      <c r="A4673" t="inlineStr">
        <is>
          <t>T TAHARI</t>
        </is>
      </c>
      <c r="B4673" t="inlineStr">
        <is>
          <t>6617227</t>
        </is>
      </c>
      <c r="C4673" t="inlineStr">
        <is>
          <t>JANELLE</t>
        </is>
      </c>
      <c r="D4673" t="inlineStr">
        <is>
          <t>NVY</t>
        </is>
      </c>
      <c r="E4673" t="inlineStr">
        <is>
          <t>(en blanco)</t>
        </is>
      </c>
      <c r="F4673" t="inlineStr">
        <is>
          <t>(en blanco)</t>
        </is>
      </c>
      <c r="G4673" t="inlineStr">
        <is>
          <t>XSP</t>
        </is>
      </c>
      <c r="H4673" t="n">
        <v>6</v>
      </c>
      <c r="I4673" t="inlineStr">
        <is>
          <t>T_TAHARI_6617227_NVY_1.jpg</t>
        </is>
      </c>
      <c r="J4673" t="inlineStr">
        <is>
          <t>T_TAHARI_6617227_NVY_2.jpg</t>
        </is>
      </c>
      <c r="K4673" t="inlineStr">
        <is>
          <t>T_TAHARI_6617227_NVY_3.jpg</t>
        </is>
      </c>
      <c r="L4673">
        <f>IMAGE("file:///E:/Estudios%20y%20certificaciones/ESTUDIOS%20DE%20PROGRAMMING/PROGRAMMING/PERSONAL/PYTHON/Image_Generator_API/imagenes/T_TAHARI_6617227_NVY_1.jpg")</f>
        <v/>
      </c>
      <c r="M4673">
        <f>IMAGE("file:///E:/Estudios%20y%20certificaciones/ESTUDIOS%20DE%20PROGRAMMING/PROGRAMMING/PERSONAL/PYTHON/Image_Generator_API/imagenes/T_TAHARI_6617227_NVY_2.jpg")</f>
        <v/>
      </c>
      <c r="N4673">
        <f>IMAGE("file:///E:/Estudios%20y%20certificaciones/ESTUDIOS%20DE%20PROGRAMMING/PROGRAMMING/PERSONAL/PYTHON/Image_Generator_API/imagenes/T_TAHARI_6617227_NVY_3.jpg")</f>
        <v/>
      </c>
      <c r="O4673">
        <f>HYPERLINK("imagenes/T_TAHARI_6617227_NVY_1.jpg","Ver imagen")</f>
        <v/>
      </c>
      <c r="P4673">
        <f>HYPERLINK("imagenes/T_TAHARI_6617227_NVY_2.jpg","Ver imagen")</f>
        <v/>
      </c>
      <c r="Q4673">
        <f>HYPERLINK("imagenes/T_TAHARI_6617227_NVY_3.jpg","Ver imagen")</f>
        <v/>
      </c>
    </row>
    <row r="4674">
      <c r="A4674" t="inlineStr">
        <is>
          <t>T TAHARI</t>
        </is>
      </c>
      <c r="B4674" t="inlineStr">
        <is>
          <t>6620168</t>
        </is>
      </c>
      <c r="C4674" t="inlineStr">
        <is>
          <t>SOPHIE A LINE WOOL</t>
        </is>
      </c>
      <c r="D4674" t="inlineStr">
        <is>
          <t>PBU</t>
        </is>
      </c>
      <c r="E4674" t="inlineStr">
        <is>
          <t>(en blanco)</t>
        </is>
      </c>
      <c r="F4674" t="inlineStr">
        <is>
          <t>(en blanco)</t>
        </is>
      </c>
      <c r="G4674" t="inlineStr">
        <is>
          <t>XS</t>
        </is>
      </c>
      <c r="H4674" t="n">
        <v>4</v>
      </c>
      <c r="I4674" t="inlineStr">
        <is>
          <t>T_TAHARI_6620168_PBU_1.jpg</t>
        </is>
      </c>
      <c r="J4674" t="inlineStr">
        <is>
          <t>T_TAHARI_6620168_PBU_2.jpg</t>
        </is>
      </c>
      <c r="K4674" t="inlineStr">
        <is>
          <t>T_TAHARI_6620168_PBU_3.jpg</t>
        </is>
      </c>
      <c r="L4674">
        <f>IMAGE("file:///E:/Estudios%20y%20certificaciones/ESTUDIOS%20DE%20PROGRAMMING/PROGRAMMING/PERSONAL/PYTHON/Image_Generator_API/imagenes/T_TAHARI_6620168_PBU_1.jpg")</f>
        <v/>
      </c>
      <c r="M4674">
        <f>IMAGE("file:///E:/Estudios%20y%20certificaciones/ESTUDIOS%20DE%20PROGRAMMING/PROGRAMMING/PERSONAL/PYTHON/Image_Generator_API/imagenes/T_TAHARI_6620168_PBU_2.jpg")</f>
        <v/>
      </c>
      <c r="N4674">
        <f>IMAGE("file:///E:/Estudios%20y%20certificaciones/ESTUDIOS%20DE%20PROGRAMMING/PROGRAMMING/PERSONAL/PYTHON/Image_Generator_API/imagenes/T_TAHARI_6620168_PBU_3.jpg")</f>
        <v/>
      </c>
      <c r="O4674">
        <f>HYPERLINK("imagenes/T_TAHARI_6620168_PBU_1.jpg","Ver imagen")</f>
        <v/>
      </c>
      <c r="P4674">
        <f>HYPERLINK("imagenes/T_TAHARI_6620168_PBU_2.jpg","Ver imagen")</f>
        <v/>
      </c>
      <c r="Q4674">
        <f>HYPERLINK("imagenes/T_TAHARI_6620168_PBU_3.jpg","Ver imagen")</f>
        <v/>
      </c>
    </row>
    <row r="4675">
      <c r="A4675" t="inlineStr">
        <is>
          <t>T TAHARI</t>
        </is>
      </c>
      <c r="B4675" t="inlineStr">
        <is>
          <t>6620168</t>
        </is>
      </c>
      <c r="C4675" t="inlineStr">
        <is>
          <t>SOPHIE A LINE WOOL</t>
        </is>
      </c>
      <c r="D4675" t="inlineStr">
        <is>
          <t>PBU</t>
        </is>
      </c>
      <c r="E4675" t="inlineStr">
        <is>
          <t>(en blanco)</t>
        </is>
      </c>
      <c r="F4675" t="inlineStr">
        <is>
          <t>(en blanco)</t>
        </is>
      </c>
      <c r="G4675" t="inlineStr">
        <is>
          <t>S</t>
        </is>
      </c>
      <c r="H4675" t="n">
        <v>7</v>
      </c>
      <c r="I4675" t="inlineStr">
        <is>
          <t>T_TAHARI_6620168_PBU_1.jpg</t>
        </is>
      </c>
      <c r="J4675" t="inlineStr">
        <is>
          <t>T_TAHARI_6620168_PBU_2.jpg</t>
        </is>
      </c>
      <c r="K4675" t="inlineStr">
        <is>
          <t>T_TAHARI_6620168_PBU_3.jpg</t>
        </is>
      </c>
      <c r="L4675">
        <f>IMAGE("file:///E:/Estudios%20y%20certificaciones/ESTUDIOS%20DE%20PROGRAMMING/PROGRAMMING/PERSONAL/PYTHON/Image_Generator_API/imagenes/T_TAHARI_6620168_PBU_1.jpg")</f>
        <v/>
      </c>
      <c r="M4675">
        <f>IMAGE("file:///E:/Estudios%20y%20certificaciones/ESTUDIOS%20DE%20PROGRAMMING/PROGRAMMING/PERSONAL/PYTHON/Image_Generator_API/imagenes/T_TAHARI_6620168_PBU_2.jpg")</f>
        <v/>
      </c>
      <c r="N4675">
        <f>IMAGE("file:///E:/Estudios%20y%20certificaciones/ESTUDIOS%20DE%20PROGRAMMING/PROGRAMMING/PERSONAL/PYTHON/Image_Generator_API/imagenes/T_TAHARI_6620168_PBU_3.jpg")</f>
        <v/>
      </c>
      <c r="O4675">
        <f>HYPERLINK("imagenes/T_TAHARI_6620168_PBU_1.jpg","Ver imagen")</f>
        <v/>
      </c>
      <c r="P4675">
        <f>HYPERLINK("imagenes/T_TAHARI_6620168_PBU_2.jpg","Ver imagen")</f>
        <v/>
      </c>
      <c r="Q4675">
        <f>HYPERLINK("imagenes/T_TAHARI_6620168_PBU_3.jpg","Ver imagen")</f>
        <v/>
      </c>
    </row>
    <row r="4676">
      <c r="A4676" t="inlineStr">
        <is>
          <t>T TAHARI</t>
        </is>
      </c>
      <c r="B4676" t="inlineStr">
        <is>
          <t>6620168</t>
        </is>
      </c>
      <c r="C4676" t="inlineStr">
        <is>
          <t>SOPHIE A LINE WOOL</t>
        </is>
      </c>
      <c r="D4676" t="inlineStr">
        <is>
          <t>PBU</t>
        </is>
      </c>
      <c r="E4676" t="inlineStr">
        <is>
          <t>(en blanco)</t>
        </is>
      </c>
      <c r="F4676" t="inlineStr">
        <is>
          <t>(en blanco)</t>
        </is>
      </c>
      <c r="G4676" t="inlineStr">
        <is>
          <t>L</t>
        </is>
      </c>
      <c r="H4676" t="n">
        <v>4</v>
      </c>
      <c r="I4676" t="inlineStr">
        <is>
          <t>T_TAHARI_6620168_PBU_1.jpg</t>
        </is>
      </c>
      <c r="J4676" t="inlineStr">
        <is>
          <t>T_TAHARI_6620168_PBU_2.jpg</t>
        </is>
      </c>
      <c r="K4676" t="inlineStr">
        <is>
          <t>T_TAHARI_6620168_PBU_3.jpg</t>
        </is>
      </c>
      <c r="L4676">
        <f>IMAGE("file:///E:/Estudios%20y%20certificaciones/ESTUDIOS%20DE%20PROGRAMMING/PROGRAMMING/PERSONAL/PYTHON/Image_Generator_API/imagenes/T_TAHARI_6620168_PBU_1.jpg")</f>
        <v/>
      </c>
      <c r="M4676">
        <f>IMAGE("file:///E:/Estudios%20y%20certificaciones/ESTUDIOS%20DE%20PROGRAMMING/PROGRAMMING/PERSONAL/PYTHON/Image_Generator_API/imagenes/T_TAHARI_6620168_PBU_2.jpg")</f>
        <v/>
      </c>
      <c r="N4676">
        <f>IMAGE("file:///E:/Estudios%20y%20certificaciones/ESTUDIOS%20DE%20PROGRAMMING/PROGRAMMING/PERSONAL/PYTHON/Image_Generator_API/imagenes/T_TAHARI_6620168_PBU_3.jpg")</f>
        <v/>
      </c>
      <c r="O4676">
        <f>HYPERLINK("imagenes/T_TAHARI_6620168_PBU_1.jpg","Ver imagen")</f>
        <v/>
      </c>
      <c r="P4676">
        <f>HYPERLINK("imagenes/T_TAHARI_6620168_PBU_2.jpg","Ver imagen")</f>
        <v/>
      </c>
      <c r="Q4676">
        <f>HYPERLINK("imagenes/T_TAHARI_6620168_PBU_3.jpg","Ver imagen")</f>
        <v/>
      </c>
    </row>
    <row r="4677">
      <c r="A4677" t="inlineStr">
        <is>
          <t>T TAHARI</t>
        </is>
      </c>
      <c r="B4677" t="inlineStr">
        <is>
          <t>6620606</t>
        </is>
      </c>
      <c r="C4677" t="inlineStr">
        <is>
          <t>ELLIOT</t>
        </is>
      </c>
      <c r="D4677" t="inlineStr">
        <is>
          <t>ASH</t>
        </is>
      </c>
      <c r="E4677" t="inlineStr">
        <is>
          <t>(en blanco)</t>
        </is>
      </c>
      <c r="F4677" t="inlineStr">
        <is>
          <t>(en blanco)</t>
        </is>
      </c>
      <c r="G4677" t="inlineStr">
        <is>
          <t>XS</t>
        </is>
      </c>
      <c r="H4677" t="n">
        <v>19</v>
      </c>
      <c r="I4677" t="inlineStr">
        <is>
          <t>T_TAHARI_6620606_ASH_1.jpg</t>
        </is>
      </c>
      <c r="J4677" t="inlineStr">
        <is>
          <t>T_TAHARI_6620606_ASH_2.jpg</t>
        </is>
      </c>
      <c r="K4677" t="inlineStr">
        <is>
          <t>T_TAHARI_6620606_ASH_3.jpg</t>
        </is>
      </c>
      <c r="L4677">
        <f>IMAGE("file:///E:/Estudios%20y%20certificaciones/ESTUDIOS%20DE%20PROGRAMMING/PROGRAMMING/PERSONAL/PYTHON/Image_Generator_API/imagenes/T_TAHARI_6620606_ASH_1.jpg")</f>
        <v/>
      </c>
      <c r="M4677">
        <f>IMAGE("file:///E:/Estudios%20y%20certificaciones/ESTUDIOS%20DE%20PROGRAMMING/PROGRAMMING/PERSONAL/PYTHON/Image_Generator_API/imagenes/T_TAHARI_6620606_ASH_2.jpg")</f>
        <v/>
      </c>
      <c r="N4677">
        <f>IMAGE("file:///E:/Estudios%20y%20certificaciones/ESTUDIOS%20DE%20PROGRAMMING/PROGRAMMING/PERSONAL/PYTHON/Image_Generator_API/imagenes/T_TAHARI_6620606_ASH_3.jpg")</f>
        <v/>
      </c>
      <c r="O4677">
        <f>HYPERLINK("imagenes/T_TAHARI_6620606_ASH_1.jpg","Ver imagen")</f>
        <v/>
      </c>
      <c r="P4677">
        <f>HYPERLINK("imagenes/T_TAHARI_6620606_ASH_2.jpg","Ver imagen")</f>
        <v/>
      </c>
      <c r="Q4677">
        <f>HYPERLINK("imagenes/T_TAHARI_6620606_ASH_3.jpg","Ver imagen")</f>
        <v/>
      </c>
    </row>
    <row r="4678">
      <c r="A4678" t="inlineStr">
        <is>
          <t>T TAHARI</t>
        </is>
      </c>
      <c r="B4678" t="inlineStr">
        <is>
          <t>6620606</t>
        </is>
      </c>
      <c r="C4678" t="inlineStr">
        <is>
          <t>ELLIOT</t>
        </is>
      </c>
      <c r="D4678" t="inlineStr">
        <is>
          <t>ASH</t>
        </is>
      </c>
      <c r="E4678" t="inlineStr">
        <is>
          <t>(en blanco)</t>
        </is>
      </c>
      <c r="F4678" t="inlineStr">
        <is>
          <t>(en blanco)</t>
        </is>
      </c>
      <c r="G4678" t="inlineStr">
        <is>
          <t>XL</t>
        </is>
      </c>
      <c r="H4678" t="n">
        <v>4</v>
      </c>
      <c r="I4678" t="inlineStr">
        <is>
          <t>T_TAHARI_6620606_ASH_1.jpg</t>
        </is>
      </c>
      <c r="J4678" t="inlineStr">
        <is>
          <t>T_TAHARI_6620606_ASH_2.jpg</t>
        </is>
      </c>
      <c r="K4678" t="inlineStr">
        <is>
          <t>T_TAHARI_6620606_ASH_3.jpg</t>
        </is>
      </c>
      <c r="L4678">
        <f>IMAGE("file:///E:/Estudios%20y%20certificaciones/ESTUDIOS%20DE%20PROGRAMMING/PROGRAMMING/PERSONAL/PYTHON/Image_Generator_API/imagenes/T_TAHARI_6620606_ASH_1.jpg")</f>
        <v/>
      </c>
      <c r="M4678">
        <f>IMAGE("file:///E:/Estudios%20y%20certificaciones/ESTUDIOS%20DE%20PROGRAMMING/PROGRAMMING/PERSONAL/PYTHON/Image_Generator_API/imagenes/T_TAHARI_6620606_ASH_2.jpg")</f>
        <v/>
      </c>
      <c r="N4678">
        <f>IMAGE("file:///E:/Estudios%20y%20certificaciones/ESTUDIOS%20DE%20PROGRAMMING/PROGRAMMING/PERSONAL/PYTHON/Image_Generator_API/imagenes/T_TAHARI_6620606_ASH_3.jpg")</f>
        <v/>
      </c>
      <c r="O4678">
        <f>HYPERLINK("imagenes/T_TAHARI_6620606_ASH_1.jpg","Ver imagen")</f>
        <v/>
      </c>
      <c r="P4678">
        <f>HYPERLINK("imagenes/T_TAHARI_6620606_ASH_2.jpg","Ver imagen")</f>
        <v/>
      </c>
      <c r="Q4678">
        <f>HYPERLINK("imagenes/T_TAHARI_6620606_ASH_3.jpg","Ver imagen")</f>
        <v/>
      </c>
    </row>
    <row r="4679">
      <c r="A4679" t="inlineStr">
        <is>
          <t>T TAHARI</t>
        </is>
      </c>
      <c r="B4679" t="inlineStr">
        <is>
          <t>6620606</t>
        </is>
      </c>
      <c r="C4679" t="inlineStr">
        <is>
          <t>ELLIOT</t>
        </is>
      </c>
      <c r="D4679" t="inlineStr">
        <is>
          <t>ASH</t>
        </is>
      </c>
      <c r="E4679" t="inlineStr">
        <is>
          <t>(en blanco)</t>
        </is>
      </c>
      <c r="F4679" t="inlineStr">
        <is>
          <t>(en blanco)</t>
        </is>
      </c>
      <c r="G4679" t="inlineStr">
        <is>
          <t>XXL</t>
        </is>
      </c>
      <c r="H4679" t="n">
        <v>35</v>
      </c>
      <c r="I4679" t="inlineStr">
        <is>
          <t>T_TAHARI_6620606_ASH_1.jpg</t>
        </is>
      </c>
      <c r="J4679" t="inlineStr">
        <is>
          <t>T_TAHARI_6620606_ASH_2.jpg</t>
        </is>
      </c>
      <c r="K4679" t="inlineStr">
        <is>
          <t>T_TAHARI_6620606_ASH_3.jpg</t>
        </is>
      </c>
      <c r="L4679">
        <f>IMAGE("file:///E:/Estudios%20y%20certificaciones/ESTUDIOS%20DE%20PROGRAMMING/PROGRAMMING/PERSONAL/PYTHON/Image_Generator_API/imagenes/T_TAHARI_6620606_ASH_1.jpg")</f>
        <v/>
      </c>
      <c r="M4679">
        <f>IMAGE("file:///E:/Estudios%20y%20certificaciones/ESTUDIOS%20DE%20PROGRAMMING/PROGRAMMING/PERSONAL/PYTHON/Image_Generator_API/imagenes/T_TAHARI_6620606_ASH_2.jpg")</f>
        <v/>
      </c>
      <c r="N4679">
        <f>IMAGE("file:///E:/Estudios%20y%20certificaciones/ESTUDIOS%20DE%20PROGRAMMING/PROGRAMMING/PERSONAL/PYTHON/Image_Generator_API/imagenes/T_TAHARI_6620606_ASH_3.jpg")</f>
        <v/>
      </c>
      <c r="O4679">
        <f>HYPERLINK("imagenes/T_TAHARI_6620606_ASH_1.jpg","Ver imagen")</f>
        <v/>
      </c>
      <c r="P4679">
        <f>HYPERLINK("imagenes/T_TAHARI_6620606_ASH_2.jpg","Ver imagen")</f>
        <v/>
      </c>
      <c r="Q4679">
        <f>HYPERLINK("imagenes/T_TAHARI_6620606_ASH_3.jpg","Ver imagen")</f>
        <v/>
      </c>
    </row>
    <row r="4680">
      <c r="A4680" t="inlineStr">
        <is>
          <t>T TAHARI</t>
        </is>
      </c>
      <c r="B4680" t="inlineStr">
        <is>
          <t>6620606</t>
        </is>
      </c>
      <c r="C4680" t="inlineStr">
        <is>
          <t>ELLIOT</t>
        </is>
      </c>
      <c r="D4680" t="inlineStr">
        <is>
          <t>ASH</t>
        </is>
      </c>
      <c r="E4680" t="inlineStr">
        <is>
          <t>(en blanco)</t>
        </is>
      </c>
      <c r="F4680" t="inlineStr">
        <is>
          <t>(en blanco)</t>
        </is>
      </c>
      <c r="G4680" t="inlineStr">
        <is>
          <t>XXS</t>
        </is>
      </c>
      <c r="H4680" t="n">
        <v>20</v>
      </c>
      <c r="I4680" t="inlineStr">
        <is>
          <t>T_TAHARI_6620606_ASH_1.jpg</t>
        </is>
      </c>
      <c r="J4680" t="inlineStr">
        <is>
          <t>T_TAHARI_6620606_ASH_2.jpg</t>
        </is>
      </c>
      <c r="K4680" t="inlineStr">
        <is>
          <t>T_TAHARI_6620606_ASH_3.jpg</t>
        </is>
      </c>
      <c r="L4680">
        <f>IMAGE("file:///E:/Estudios%20y%20certificaciones/ESTUDIOS%20DE%20PROGRAMMING/PROGRAMMING/PERSONAL/PYTHON/Image_Generator_API/imagenes/T_TAHARI_6620606_ASH_1.jpg")</f>
        <v/>
      </c>
      <c r="M4680">
        <f>IMAGE("file:///E:/Estudios%20y%20certificaciones/ESTUDIOS%20DE%20PROGRAMMING/PROGRAMMING/PERSONAL/PYTHON/Image_Generator_API/imagenes/T_TAHARI_6620606_ASH_2.jpg")</f>
        <v/>
      </c>
      <c r="N4680">
        <f>IMAGE("file:///E:/Estudios%20y%20certificaciones/ESTUDIOS%20DE%20PROGRAMMING/PROGRAMMING/PERSONAL/PYTHON/Image_Generator_API/imagenes/T_TAHARI_6620606_ASH_3.jpg")</f>
        <v/>
      </c>
      <c r="O4680">
        <f>HYPERLINK("imagenes/T_TAHARI_6620606_ASH_1.jpg","Ver imagen")</f>
        <v/>
      </c>
      <c r="P4680">
        <f>HYPERLINK("imagenes/T_TAHARI_6620606_ASH_2.jpg","Ver imagen")</f>
        <v/>
      </c>
      <c r="Q4680">
        <f>HYPERLINK("imagenes/T_TAHARI_6620606_ASH_3.jpg","Ver imagen")</f>
        <v/>
      </c>
    </row>
    <row r="4681">
      <c r="A4681" t="inlineStr">
        <is>
          <t>T TAHARI</t>
        </is>
      </c>
      <c r="B4681" t="inlineStr">
        <is>
          <t>6620606</t>
        </is>
      </c>
      <c r="C4681" t="inlineStr">
        <is>
          <t>ELLIOT</t>
        </is>
      </c>
      <c r="D4681" t="inlineStr">
        <is>
          <t>BLK</t>
        </is>
      </c>
      <c r="E4681" t="inlineStr">
        <is>
          <t>(en blanco)</t>
        </is>
      </c>
      <c r="F4681" t="inlineStr">
        <is>
          <t>(en blanco)</t>
        </is>
      </c>
      <c r="G4681" t="inlineStr">
        <is>
          <t>XS</t>
        </is>
      </c>
      <c r="H4681" t="n">
        <v>50</v>
      </c>
      <c r="I4681" t="inlineStr">
        <is>
          <t>T_TAHARI_6620606_BLK_1.jpg</t>
        </is>
      </c>
      <c r="J4681" t="inlineStr">
        <is>
          <t>T_TAHARI_6620606_BLK_2.jpg</t>
        </is>
      </c>
      <c r="K4681" t="inlineStr">
        <is>
          <t>T_TAHARI_6620606_BLK_3.jpg</t>
        </is>
      </c>
      <c r="L4681">
        <f>IMAGE("file:///E:/Estudios%20y%20certificaciones/ESTUDIOS%20DE%20PROGRAMMING/PROGRAMMING/PERSONAL/PYTHON/Image_Generator_API/imagenes/T_TAHARI_6620606_BLK_1.jpg")</f>
        <v/>
      </c>
      <c r="M4681">
        <f>IMAGE("file:///E:/Estudios%20y%20certificaciones/ESTUDIOS%20DE%20PROGRAMMING/PROGRAMMING/PERSONAL/PYTHON/Image_Generator_API/imagenes/T_TAHARI_6620606_BLK_2.jpg")</f>
        <v/>
      </c>
      <c r="N4681">
        <f>IMAGE("file:///E:/Estudios%20y%20certificaciones/ESTUDIOS%20DE%20PROGRAMMING/PROGRAMMING/PERSONAL/PYTHON/Image_Generator_API/imagenes/T_TAHARI_6620606_BLK_3.jpg")</f>
        <v/>
      </c>
      <c r="O4681">
        <f>HYPERLINK("imagenes/T_TAHARI_6620606_BLK_1.jpg","Ver imagen")</f>
        <v/>
      </c>
      <c r="P4681">
        <f>HYPERLINK("imagenes/T_TAHARI_6620606_BLK_2.jpg","Ver imagen")</f>
        <v/>
      </c>
      <c r="Q4681">
        <f>HYPERLINK("imagenes/T_TAHARI_6620606_BLK_3.jpg","Ver imagen")</f>
        <v/>
      </c>
    </row>
    <row r="4682">
      <c r="A4682" t="inlineStr">
        <is>
          <t>T TAHARI</t>
        </is>
      </c>
      <c r="B4682" t="inlineStr">
        <is>
          <t>6620606</t>
        </is>
      </c>
      <c r="C4682" t="inlineStr">
        <is>
          <t>ELLIOT</t>
        </is>
      </c>
      <c r="D4682" t="inlineStr">
        <is>
          <t>BLK</t>
        </is>
      </c>
      <c r="E4682" t="inlineStr">
        <is>
          <t>(en blanco)</t>
        </is>
      </c>
      <c r="F4682" t="inlineStr">
        <is>
          <t>(en blanco)</t>
        </is>
      </c>
      <c r="G4682" t="inlineStr">
        <is>
          <t>S</t>
        </is>
      </c>
      <c r="H4682" t="n">
        <v>147</v>
      </c>
      <c r="I4682" t="inlineStr">
        <is>
          <t>T_TAHARI_6620606_BLK_1.jpg</t>
        </is>
      </c>
      <c r="J4682" t="inlineStr">
        <is>
          <t>T_TAHARI_6620606_BLK_2.jpg</t>
        </is>
      </c>
      <c r="K4682" t="inlineStr">
        <is>
          <t>T_TAHARI_6620606_BLK_3.jpg</t>
        </is>
      </c>
      <c r="L4682">
        <f>IMAGE("file:///E:/Estudios%20y%20certificaciones/ESTUDIOS%20DE%20PROGRAMMING/PROGRAMMING/PERSONAL/PYTHON/Image_Generator_API/imagenes/T_TAHARI_6620606_BLK_1.jpg")</f>
        <v/>
      </c>
      <c r="M4682">
        <f>IMAGE("file:///E:/Estudios%20y%20certificaciones/ESTUDIOS%20DE%20PROGRAMMING/PROGRAMMING/PERSONAL/PYTHON/Image_Generator_API/imagenes/T_TAHARI_6620606_BLK_2.jpg")</f>
        <v/>
      </c>
      <c r="N4682">
        <f>IMAGE("file:///E:/Estudios%20y%20certificaciones/ESTUDIOS%20DE%20PROGRAMMING/PROGRAMMING/PERSONAL/PYTHON/Image_Generator_API/imagenes/T_TAHARI_6620606_BLK_3.jpg")</f>
        <v/>
      </c>
      <c r="O4682">
        <f>HYPERLINK("imagenes/T_TAHARI_6620606_BLK_1.jpg","Ver imagen")</f>
        <v/>
      </c>
      <c r="P4682">
        <f>HYPERLINK("imagenes/T_TAHARI_6620606_BLK_2.jpg","Ver imagen")</f>
        <v/>
      </c>
      <c r="Q4682">
        <f>HYPERLINK("imagenes/T_TAHARI_6620606_BLK_3.jpg","Ver imagen")</f>
        <v/>
      </c>
    </row>
    <row r="4683">
      <c r="A4683" t="inlineStr">
        <is>
          <t>T TAHARI</t>
        </is>
      </c>
      <c r="B4683" t="inlineStr">
        <is>
          <t>6620606</t>
        </is>
      </c>
      <c r="C4683" t="inlineStr">
        <is>
          <t>ELLIOT</t>
        </is>
      </c>
      <c r="D4683" t="inlineStr">
        <is>
          <t>BLK</t>
        </is>
      </c>
      <c r="E4683" t="inlineStr">
        <is>
          <t>(en blanco)</t>
        </is>
      </c>
      <c r="F4683" t="inlineStr">
        <is>
          <t>(en blanco)</t>
        </is>
      </c>
      <c r="G4683" t="inlineStr">
        <is>
          <t>M</t>
        </is>
      </c>
      <c r="H4683" t="n">
        <v>95</v>
      </c>
      <c r="I4683" t="inlineStr">
        <is>
          <t>T_TAHARI_6620606_BLK_1.jpg</t>
        </is>
      </c>
      <c r="J4683" t="inlineStr">
        <is>
          <t>T_TAHARI_6620606_BLK_2.jpg</t>
        </is>
      </c>
      <c r="K4683" t="inlineStr">
        <is>
          <t>T_TAHARI_6620606_BLK_3.jpg</t>
        </is>
      </c>
      <c r="L4683">
        <f>IMAGE("file:///E:/Estudios%20y%20certificaciones/ESTUDIOS%20DE%20PROGRAMMING/PROGRAMMING/PERSONAL/PYTHON/Image_Generator_API/imagenes/T_TAHARI_6620606_BLK_1.jpg")</f>
        <v/>
      </c>
      <c r="M4683">
        <f>IMAGE("file:///E:/Estudios%20y%20certificaciones/ESTUDIOS%20DE%20PROGRAMMING/PROGRAMMING/PERSONAL/PYTHON/Image_Generator_API/imagenes/T_TAHARI_6620606_BLK_2.jpg")</f>
        <v/>
      </c>
      <c r="N4683">
        <f>IMAGE("file:///E:/Estudios%20y%20certificaciones/ESTUDIOS%20DE%20PROGRAMMING/PROGRAMMING/PERSONAL/PYTHON/Image_Generator_API/imagenes/T_TAHARI_6620606_BLK_3.jpg")</f>
        <v/>
      </c>
      <c r="O4683">
        <f>HYPERLINK("imagenes/T_TAHARI_6620606_BLK_1.jpg","Ver imagen")</f>
        <v/>
      </c>
      <c r="P4683">
        <f>HYPERLINK("imagenes/T_TAHARI_6620606_BLK_2.jpg","Ver imagen")</f>
        <v/>
      </c>
      <c r="Q4683">
        <f>HYPERLINK("imagenes/T_TAHARI_6620606_BLK_3.jpg","Ver imagen")</f>
        <v/>
      </c>
    </row>
    <row r="4684">
      <c r="A4684" t="inlineStr">
        <is>
          <t>T TAHARI</t>
        </is>
      </c>
      <c r="B4684" t="inlineStr">
        <is>
          <t>6620606</t>
        </is>
      </c>
      <c r="C4684" t="inlineStr">
        <is>
          <t>ELLIOT</t>
        </is>
      </c>
      <c r="D4684" t="inlineStr">
        <is>
          <t>BLK</t>
        </is>
      </c>
      <c r="E4684" t="inlineStr">
        <is>
          <t>(en blanco)</t>
        </is>
      </c>
      <c r="F4684" t="inlineStr">
        <is>
          <t>(en blanco)</t>
        </is>
      </c>
      <c r="G4684" t="inlineStr">
        <is>
          <t>L</t>
        </is>
      </c>
      <c r="H4684" t="n">
        <v>139</v>
      </c>
      <c r="I4684" t="inlineStr">
        <is>
          <t>T_TAHARI_6620606_BLK_1.jpg</t>
        </is>
      </c>
      <c r="J4684" t="inlineStr">
        <is>
          <t>T_TAHARI_6620606_BLK_2.jpg</t>
        </is>
      </c>
      <c r="K4684" t="inlineStr">
        <is>
          <t>T_TAHARI_6620606_BLK_3.jpg</t>
        </is>
      </c>
      <c r="L4684">
        <f>IMAGE("file:///E:/Estudios%20y%20certificaciones/ESTUDIOS%20DE%20PROGRAMMING/PROGRAMMING/PERSONAL/PYTHON/Image_Generator_API/imagenes/T_TAHARI_6620606_BLK_1.jpg")</f>
        <v/>
      </c>
      <c r="M4684">
        <f>IMAGE("file:///E:/Estudios%20y%20certificaciones/ESTUDIOS%20DE%20PROGRAMMING/PROGRAMMING/PERSONAL/PYTHON/Image_Generator_API/imagenes/T_TAHARI_6620606_BLK_2.jpg")</f>
        <v/>
      </c>
      <c r="N4684">
        <f>IMAGE("file:///E:/Estudios%20y%20certificaciones/ESTUDIOS%20DE%20PROGRAMMING/PROGRAMMING/PERSONAL/PYTHON/Image_Generator_API/imagenes/T_TAHARI_6620606_BLK_3.jpg")</f>
        <v/>
      </c>
      <c r="O4684">
        <f>HYPERLINK("imagenes/T_TAHARI_6620606_BLK_1.jpg","Ver imagen")</f>
        <v/>
      </c>
      <c r="P4684">
        <f>HYPERLINK("imagenes/T_TAHARI_6620606_BLK_2.jpg","Ver imagen")</f>
        <v/>
      </c>
      <c r="Q4684">
        <f>HYPERLINK("imagenes/T_TAHARI_6620606_BLK_3.jpg","Ver imagen")</f>
        <v/>
      </c>
    </row>
    <row r="4685">
      <c r="A4685" t="inlineStr">
        <is>
          <t>T TAHARI</t>
        </is>
      </c>
      <c r="B4685" t="inlineStr">
        <is>
          <t>6620606</t>
        </is>
      </c>
      <c r="C4685" t="inlineStr">
        <is>
          <t>ELLIOT</t>
        </is>
      </c>
      <c r="D4685" t="inlineStr">
        <is>
          <t>BLK</t>
        </is>
      </c>
      <c r="E4685" t="inlineStr">
        <is>
          <t>(en blanco)</t>
        </is>
      </c>
      <c r="F4685" t="inlineStr">
        <is>
          <t>(en blanco)</t>
        </is>
      </c>
      <c r="G4685" t="inlineStr">
        <is>
          <t>XL</t>
        </is>
      </c>
      <c r="H4685" t="n">
        <v>44</v>
      </c>
      <c r="I4685" t="inlineStr">
        <is>
          <t>T_TAHARI_6620606_BLK_1.jpg</t>
        </is>
      </c>
      <c r="J4685" t="inlineStr">
        <is>
          <t>T_TAHARI_6620606_BLK_2.jpg</t>
        </is>
      </c>
      <c r="K4685" t="inlineStr">
        <is>
          <t>T_TAHARI_6620606_BLK_3.jpg</t>
        </is>
      </c>
      <c r="L4685">
        <f>IMAGE("file:///E:/Estudios%20y%20certificaciones/ESTUDIOS%20DE%20PROGRAMMING/PROGRAMMING/PERSONAL/PYTHON/Image_Generator_API/imagenes/T_TAHARI_6620606_BLK_1.jpg")</f>
        <v/>
      </c>
      <c r="M4685">
        <f>IMAGE("file:///E:/Estudios%20y%20certificaciones/ESTUDIOS%20DE%20PROGRAMMING/PROGRAMMING/PERSONAL/PYTHON/Image_Generator_API/imagenes/T_TAHARI_6620606_BLK_2.jpg")</f>
        <v/>
      </c>
      <c r="N4685">
        <f>IMAGE("file:///E:/Estudios%20y%20certificaciones/ESTUDIOS%20DE%20PROGRAMMING/PROGRAMMING/PERSONAL/PYTHON/Image_Generator_API/imagenes/T_TAHARI_6620606_BLK_3.jpg")</f>
        <v/>
      </c>
      <c r="O4685">
        <f>HYPERLINK("imagenes/T_TAHARI_6620606_BLK_1.jpg","Ver imagen")</f>
        <v/>
      </c>
      <c r="P4685">
        <f>HYPERLINK("imagenes/T_TAHARI_6620606_BLK_2.jpg","Ver imagen")</f>
        <v/>
      </c>
      <c r="Q4685">
        <f>HYPERLINK("imagenes/T_TAHARI_6620606_BLK_3.jpg","Ver imagen")</f>
        <v/>
      </c>
    </row>
    <row r="4686">
      <c r="A4686" t="inlineStr">
        <is>
          <t>T TAHARI</t>
        </is>
      </c>
      <c r="B4686" t="inlineStr">
        <is>
          <t>6620606</t>
        </is>
      </c>
      <c r="C4686" t="inlineStr">
        <is>
          <t>ELLIOT</t>
        </is>
      </c>
      <c r="D4686" t="inlineStr">
        <is>
          <t>BLK</t>
        </is>
      </c>
      <c r="E4686" t="inlineStr">
        <is>
          <t>(en blanco)</t>
        </is>
      </c>
      <c r="F4686" t="inlineStr">
        <is>
          <t>(en blanco)</t>
        </is>
      </c>
      <c r="G4686" t="inlineStr">
        <is>
          <t>XXL</t>
        </is>
      </c>
      <c r="H4686" t="n">
        <v>5</v>
      </c>
      <c r="I4686" t="inlineStr">
        <is>
          <t>T_TAHARI_6620606_BLK_1.jpg</t>
        </is>
      </c>
      <c r="J4686" t="inlineStr">
        <is>
          <t>T_TAHARI_6620606_BLK_2.jpg</t>
        </is>
      </c>
      <c r="K4686" t="inlineStr">
        <is>
          <t>T_TAHARI_6620606_BLK_3.jpg</t>
        </is>
      </c>
      <c r="L4686">
        <f>IMAGE("file:///E:/Estudios%20y%20certificaciones/ESTUDIOS%20DE%20PROGRAMMING/PROGRAMMING/PERSONAL/PYTHON/Image_Generator_API/imagenes/T_TAHARI_6620606_BLK_1.jpg")</f>
        <v/>
      </c>
      <c r="M4686">
        <f>IMAGE("file:///E:/Estudios%20y%20certificaciones/ESTUDIOS%20DE%20PROGRAMMING/PROGRAMMING/PERSONAL/PYTHON/Image_Generator_API/imagenes/T_TAHARI_6620606_BLK_2.jpg")</f>
        <v/>
      </c>
      <c r="N4686">
        <f>IMAGE("file:///E:/Estudios%20y%20certificaciones/ESTUDIOS%20DE%20PROGRAMMING/PROGRAMMING/PERSONAL/PYTHON/Image_Generator_API/imagenes/T_TAHARI_6620606_BLK_3.jpg")</f>
        <v/>
      </c>
      <c r="O4686">
        <f>HYPERLINK("imagenes/T_TAHARI_6620606_BLK_1.jpg","Ver imagen")</f>
        <v/>
      </c>
      <c r="P4686">
        <f>HYPERLINK("imagenes/T_TAHARI_6620606_BLK_2.jpg","Ver imagen")</f>
        <v/>
      </c>
      <c r="Q4686">
        <f>HYPERLINK("imagenes/T_TAHARI_6620606_BLK_3.jpg","Ver imagen")</f>
        <v/>
      </c>
    </row>
    <row r="4687">
      <c r="A4687" t="inlineStr">
        <is>
          <t>T TAHARI</t>
        </is>
      </c>
      <c r="B4687" t="inlineStr">
        <is>
          <t>6620606</t>
        </is>
      </c>
      <c r="C4687" t="inlineStr">
        <is>
          <t>ELLIOT</t>
        </is>
      </c>
      <c r="D4687" t="inlineStr">
        <is>
          <t>BLK</t>
        </is>
      </c>
      <c r="E4687" t="inlineStr">
        <is>
          <t>(en blanco)</t>
        </is>
      </c>
      <c r="F4687" t="inlineStr">
        <is>
          <t>(en blanco)</t>
        </is>
      </c>
      <c r="G4687" t="inlineStr">
        <is>
          <t>XXS</t>
        </is>
      </c>
      <c r="H4687" t="n">
        <v>12</v>
      </c>
      <c r="I4687" t="inlineStr">
        <is>
          <t>T_TAHARI_6620606_BLK_1.jpg</t>
        </is>
      </c>
      <c r="J4687" t="inlineStr">
        <is>
          <t>T_TAHARI_6620606_BLK_2.jpg</t>
        </is>
      </c>
      <c r="K4687" t="inlineStr">
        <is>
          <t>T_TAHARI_6620606_BLK_3.jpg</t>
        </is>
      </c>
      <c r="L4687">
        <f>IMAGE("file:///E:/Estudios%20y%20certificaciones/ESTUDIOS%20DE%20PROGRAMMING/PROGRAMMING/PERSONAL/PYTHON/Image_Generator_API/imagenes/T_TAHARI_6620606_BLK_1.jpg")</f>
        <v/>
      </c>
      <c r="M4687">
        <f>IMAGE("file:///E:/Estudios%20y%20certificaciones/ESTUDIOS%20DE%20PROGRAMMING/PROGRAMMING/PERSONAL/PYTHON/Image_Generator_API/imagenes/T_TAHARI_6620606_BLK_2.jpg")</f>
        <v/>
      </c>
      <c r="N4687">
        <f>IMAGE("file:///E:/Estudios%20y%20certificaciones/ESTUDIOS%20DE%20PROGRAMMING/PROGRAMMING/PERSONAL/PYTHON/Image_Generator_API/imagenes/T_TAHARI_6620606_BLK_3.jpg")</f>
        <v/>
      </c>
      <c r="O4687">
        <f>HYPERLINK("imagenes/T_TAHARI_6620606_BLK_1.jpg","Ver imagen")</f>
        <v/>
      </c>
      <c r="P4687">
        <f>HYPERLINK("imagenes/T_TAHARI_6620606_BLK_2.jpg","Ver imagen")</f>
        <v/>
      </c>
      <c r="Q4687">
        <f>HYPERLINK("imagenes/T_TAHARI_6620606_BLK_3.jpg","Ver imagen")</f>
        <v/>
      </c>
    </row>
    <row r="4688">
      <c r="A4688" t="inlineStr">
        <is>
          <t>T TAHARI</t>
        </is>
      </c>
      <c r="B4688" t="inlineStr">
        <is>
          <t>6620606</t>
        </is>
      </c>
      <c r="C4688" t="inlineStr">
        <is>
          <t>ELLIOT</t>
        </is>
      </c>
      <c r="D4688" t="inlineStr">
        <is>
          <t>CAM</t>
        </is>
      </c>
      <c r="E4688" t="inlineStr">
        <is>
          <t>(en blanco)</t>
        </is>
      </c>
      <c r="F4688" t="inlineStr">
        <is>
          <t>(en blanco)</t>
        </is>
      </c>
      <c r="G4688" t="inlineStr">
        <is>
          <t>XS</t>
        </is>
      </c>
      <c r="H4688" t="n">
        <v>1</v>
      </c>
      <c r="I4688" t="inlineStr">
        <is>
          <t>T_TAHARI_6620606_CAM_1.jpg</t>
        </is>
      </c>
      <c r="J4688" t="inlineStr">
        <is>
          <t>T_TAHARI_6620606_CAM_2.jpg</t>
        </is>
      </c>
      <c r="K4688" t="inlineStr">
        <is>
          <t>T_TAHARI_6620606_CAM_3.jpg</t>
        </is>
      </c>
      <c r="L4688">
        <f>IMAGE("file:///E:/Estudios%20y%20certificaciones/ESTUDIOS%20DE%20PROGRAMMING/PROGRAMMING/PERSONAL/PYTHON/Image_Generator_API/imagenes/T_TAHARI_6620606_CAM_1.jpg")</f>
        <v/>
      </c>
      <c r="M4688">
        <f>IMAGE("file:///E:/Estudios%20y%20certificaciones/ESTUDIOS%20DE%20PROGRAMMING/PROGRAMMING/PERSONAL/PYTHON/Image_Generator_API/imagenes/T_TAHARI_6620606_CAM_2.jpg")</f>
        <v/>
      </c>
      <c r="N4688">
        <f>IMAGE("file:///E:/Estudios%20y%20certificaciones/ESTUDIOS%20DE%20PROGRAMMING/PROGRAMMING/PERSONAL/PYTHON/Image_Generator_API/imagenes/T_TAHARI_6620606_CAM_3.jpg")</f>
        <v/>
      </c>
      <c r="O4688">
        <f>HYPERLINK("imagenes/T_TAHARI_6620606_CAM_1.jpg","Ver imagen")</f>
        <v/>
      </c>
      <c r="P4688">
        <f>HYPERLINK("imagenes/T_TAHARI_6620606_CAM_2.jpg","Ver imagen")</f>
        <v/>
      </c>
      <c r="Q4688">
        <f>HYPERLINK("imagenes/T_TAHARI_6620606_CAM_3.jpg","Ver imagen")</f>
        <v/>
      </c>
    </row>
    <row r="4689">
      <c r="A4689" t="inlineStr">
        <is>
          <t>T TAHARI</t>
        </is>
      </c>
      <c r="B4689" t="inlineStr">
        <is>
          <t>6620606</t>
        </is>
      </c>
      <c r="C4689" t="inlineStr">
        <is>
          <t>ELLIOT</t>
        </is>
      </c>
      <c r="D4689" t="inlineStr">
        <is>
          <t>CAM</t>
        </is>
      </c>
      <c r="E4689" t="inlineStr">
        <is>
          <t>(en blanco)</t>
        </is>
      </c>
      <c r="F4689" t="inlineStr">
        <is>
          <t>(en blanco)</t>
        </is>
      </c>
      <c r="G4689" t="inlineStr">
        <is>
          <t>S</t>
        </is>
      </c>
      <c r="H4689" t="n">
        <v>25</v>
      </c>
      <c r="I4689" t="inlineStr">
        <is>
          <t>T_TAHARI_6620606_CAM_1.jpg</t>
        </is>
      </c>
      <c r="J4689" t="inlineStr">
        <is>
          <t>T_TAHARI_6620606_CAM_2.jpg</t>
        </is>
      </c>
      <c r="K4689" t="inlineStr">
        <is>
          <t>T_TAHARI_6620606_CAM_3.jpg</t>
        </is>
      </c>
      <c r="L4689">
        <f>IMAGE("file:///E:/Estudios%20y%20certificaciones/ESTUDIOS%20DE%20PROGRAMMING/PROGRAMMING/PERSONAL/PYTHON/Image_Generator_API/imagenes/T_TAHARI_6620606_CAM_1.jpg")</f>
        <v/>
      </c>
      <c r="M4689">
        <f>IMAGE("file:///E:/Estudios%20y%20certificaciones/ESTUDIOS%20DE%20PROGRAMMING/PROGRAMMING/PERSONAL/PYTHON/Image_Generator_API/imagenes/T_TAHARI_6620606_CAM_2.jpg")</f>
        <v/>
      </c>
      <c r="N4689">
        <f>IMAGE("file:///E:/Estudios%20y%20certificaciones/ESTUDIOS%20DE%20PROGRAMMING/PROGRAMMING/PERSONAL/PYTHON/Image_Generator_API/imagenes/T_TAHARI_6620606_CAM_3.jpg")</f>
        <v/>
      </c>
      <c r="O4689">
        <f>HYPERLINK("imagenes/T_TAHARI_6620606_CAM_1.jpg","Ver imagen")</f>
        <v/>
      </c>
      <c r="P4689">
        <f>HYPERLINK("imagenes/T_TAHARI_6620606_CAM_2.jpg","Ver imagen")</f>
        <v/>
      </c>
      <c r="Q4689">
        <f>HYPERLINK("imagenes/T_TAHARI_6620606_CAM_3.jpg","Ver imagen")</f>
        <v/>
      </c>
    </row>
    <row r="4690">
      <c r="A4690" t="inlineStr">
        <is>
          <t>T TAHARI</t>
        </is>
      </c>
      <c r="B4690" t="inlineStr">
        <is>
          <t>6620606</t>
        </is>
      </c>
      <c r="C4690" t="inlineStr">
        <is>
          <t>ELLIOT</t>
        </is>
      </c>
      <c r="D4690" t="inlineStr">
        <is>
          <t>CAM</t>
        </is>
      </c>
      <c r="E4690" t="inlineStr">
        <is>
          <t>(en blanco)</t>
        </is>
      </c>
      <c r="F4690" t="inlineStr">
        <is>
          <t>(en blanco)</t>
        </is>
      </c>
      <c r="G4690" t="inlineStr">
        <is>
          <t>M</t>
        </is>
      </c>
      <c r="H4690" t="n">
        <v>50</v>
      </c>
      <c r="I4690" t="inlineStr">
        <is>
          <t>T_TAHARI_6620606_CAM_1.jpg</t>
        </is>
      </c>
      <c r="J4690" t="inlineStr">
        <is>
          <t>T_TAHARI_6620606_CAM_2.jpg</t>
        </is>
      </c>
      <c r="K4690" t="inlineStr">
        <is>
          <t>T_TAHARI_6620606_CAM_3.jpg</t>
        </is>
      </c>
      <c r="L4690">
        <f>IMAGE("file:///E:/Estudios%20y%20certificaciones/ESTUDIOS%20DE%20PROGRAMMING/PROGRAMMING/PERSONAL/PYTHON/Image_Generator_API/imagenes/T_TAHARI_6620606_CAM_1.jpg")</f>
        <v/>
      </c>
      <c r="M4690">
        <f>IMAGE("file:///E:/Estudios%20y%20certificaciones/ESTUDIOS%20DE%20PROGRAMMING/PROGRAMMING/PERSONAL/PYTHON/Image_Generator_API/imagenes/T_TAHARI_6620606_CAM_2.jpg")</f>
        <v/>
      </c>
      <c r="N4690">
        <f>IMAGE("file:///E:/Estudios%20y%20certificaciones/ESTUDIOS%20DE%20PROGRAMMING/PROGRAMMING/PERSONAL/PYTHON/Image_Generator_API/imagenes/T_TAHARI_6620606_CAM_3.jpg")</f>
        <v/>
      </c>
      <c r="O4690">
        <f>HYPERLINK("imagenes/T_TAHARI_6620606_CAM_1.jpg","Ver imagen")</f>
        <v/>
      </c>
      <c r="P4690">
        <f>HYPERLINK("imagenes/T_TAHARI_6620606_CAM_2.jpg","Ver imagen")</f>
        <v/>
      </c>
      <c r="Q4690">
        <f>HYPERLINK("imagenes/T_TAHARI_6620606_CAM_3.jpg","Ver imagen")</f>
        <v/>
      </c>
    </row>
    <row r="4691">
      <c r="A4691" t="inlineStr">
        <is>
          <t>T TAHARI</t>
        </is>
      </c>
      <c r="B4691" t="inlineStr">
        <is>
          <t>6620606</t>
        </is>
      </c>
      <c r="C4691" t="inlineStr">
        <is>
          <t>ELLIOT</t>
        </is>
      </c>
      <c r="D4691" t="inlineStr">
        <is>
          <t>CAM</t>
        </is>
      </c>
      <c r="E4691" t="inlineStr">
        <is>
          <t>(en blanco)</t>
        </is>
      </c>
      <c r="F4691" t="inlineStr">
        <is>
          <t>(en blanco)</t>
        </is>
      </c>
      <c r="G4691" t="inlineStr">
        <is>
          <t>L</t>
        </is>
      </c>
      <c r="H4691" t="n">
        <v>39</v>
      </c>
      <c r="I4691" t="inlineStr">
        <is>
          <t>T_TAHARI_6620606_CAM_1.jpg</t>
        </is>
      </c>
      <c r="J4691" t="inlineStr">
        <is>
          <t>T_TAHARI_6620606_CAM_2.jpg</t>
        </is>
      </c>
      <c r="K4691" t="inlineStr">
        <is>
          <t>T_TAHARI_6620606_CAM_3.jpg</t>
        </is>
      </c>
      <c r="L4691">
        <f>IMAGE("file:///E:/Estudios%20y%20certificaciones/ESTUDIOS%20DE%20PROGRAMMING/PROGRAMMING/PERSONAL/PYTHON/Image_Generator_API/imagenes/T_TAHARI_6620606_CAM_1.jpg")</f>
        <v/>
      </c>
      <c r="M4691">
        <f>IMAGE("file:///E:/Estudios%20y%20certificaciones/ESTUDIOS%20DE%20PROGRAMMING/PROGRAMMING/PERSONAL/PYTHON/Image_Generator_API/imagenes/T_TAHARI_6620606_CAM_2.jpg")</f>
        <v/>
      </c>
      <c r="N4691">
        <f>IMAGE("file:///E:/Estudios%20y%20certificaciones/ESTUDIOS%20DE%20PROGRAMMING/PROGRAMMING/PERSONAL/PYTHON/Image_Generator_API/imagenes/T_TAHARI_6620606_CAM_3.jpg")</f>
        <v/>
      </c>
      <c r="O4691">
        <f>HYPERLINK("imagenes/T_TAHARI_6620606_CAM_1.jpg","Ver imagen")</f>
        <v/>
      </c>
      <c r="P4691">
        <f>HYPERLINK("imagenes/T_TAHARI_6620606_CAM_2.jpg","Ver imagen")</f>
        <v/>
      </c>
      <c r="Q4691">
        <f>HYPERLINK("imagenes/T_TAHARI_6620606_CAM_3.jpg","Ver imagen")</f>
        <v/>
      </c>
    </row>
    <row r="4692">
      <c r="A4692" t="inlineStr">
        <is>
          <t>T TAHARI</t>
        </is>
      </c>
      <c r="B4692" t="inlineStr">
        <is>
          <t>6620606</t>
        </is>
      </c>
      <c r="C4692" t="inlineStr">
        <is>
          <t>ELLIOT</t>
        </is>
      </c>
      <c r="D4692" t="inlineStr">
        <is>
          <t>CAM</t>
        </is>
      </c>
      <c r="E4692" t="inlineStr">
        <is>
          <t>(en blanco)</t>
        </is>
      </c>
      <c r="F4692" t="inlineStr">
        <is>
          <t>(en blanco)</t>
        </is>
      </c>
      <c r="G4692" t="inlineStr">
        <is>
          <t>XL</t>
        </is>
      </c>
      <c r="H4692" t="n">
        <v>33</v>
      </c>
      <c r="I4692" t="inlineStr">
        <is>
          <t>T_TAHARI_6620606_CAM_1.jpg</t>
        </is>
      </c>
      <c r="J4692" t="inlineStr">
        <is>
          <t>T_TAHARI_6620606_CAM_2.jpg</t>
        </is>
      </c>
      <c r="K4692" t="inlineStr">
        <is>
          <t>T_TAHARI_6620606_CAM_3.jpg</t>
        </is>
      </c>
      <c r="L4692">
        <f>IMAGE("file:///E:/Estudios%20y%20certificaciones/ESTUDIOS%20DE%20PROGRAMMING/PROGRAMMING/PERSONAL/PYTHON/Image_Generator_API/imagenes/T_TAHARI_6620606_CAM_1.jpg")</f>
        <v/>
      </c>
      <c r="M4692">
        <f>IMAGE("file:///E:/Estudios%20y%20certificaciones/ESTUDIOS%20DE%20PROGRAMMING/PROGRAMMING/PERSONAL/PYTHON/Image_Generator_API/imagenes/T_TAHARI_6620606_CAM_2.jpg")</f>
        <v/>
      </c>
      <c r="N4692">
        <f>IMAGE("file:///E:/Estudios%20y%20certificaciones/ESTUDIOS%20DE%20PROGRAMMING/PROGRAMMING/PERSONAL/PYTHON/Image_Generator_API/imagenes/T_TAHARI_6620606_CAM_3.jpg")</f>
        <v/>
      </c>
      <c r="O4692">
        <f>HYPERLINK("imagenes/T_TAHARI_6620606_CAM_1.jpg","Ver imagen")</f>
        <v/>
      </c>
      <c r="P4692">
        <f>HYPERLINK("imagenes/T_TAHARI_6620606_CAM_2.jpg","Ver imagen")</f>
        <v/>
      </c>
      <c r="Q4692">
        <f>HYPERLINK("imagenes/T_TAHARI_6620606_CAM_3.jpg","Ver imagen")</f>
        <v/>
      </c>
    </row>
    <row r="4693">
      <c r="A4693" t="inlineStr">
        <is>
          <t>T TAHARI</t>
        </is>
      </c>
      <c r="B4693" t="inlineStr">
        <is>
          <t>6620635</t>
        </is>
      </c>
      <c r="C4693" t="inlineStr">
        <is>
          <t>ELLA</t>
        </is>
      </c>
      <c r="D4693" t="inlineStr">
        <is>
          <t>BLK</t>
        </is>
      </c>
      <c r="E4693" t="inlineStr">
        <is>
          <t>(en blanco)</t>
        </is>
      </c>
      <c r="F4693" t="inlineStr">
        <is>
          <t>(en blanco)</t>
        </is>
      </c>
      <c r="G4693" t="inlineStr">
        <is>
          <t>XS</t>
        </is>
      </c>
      <c r="H4693" t="n">
        <v>2</v>
      </c>
      <c r="I4693" t="inlineStr">
        <is>
          <t>T_TAHARI_6620635_BLK_1.jpg</t>
        </is>
      </c>
      <c r="L4693">
        <f>IMAGE("file:///E:/Estudios%20y%20certificaciones/ESTUDIOS%20DE%20PROGRAMMING/PROGRAMMING/PERSONAL/PYTHON/Image_Generator_API/imagenes/T_TAHARI_6620635_BLK_1.jpg")</f>
        <v/>
      </c>
      <c r="O4693">
        <f>HYPERLINK("imagenes/T_TAHARI_6620635_BLK_1.jpg","Ver imagen")</f>
        <v/>
      </c>
    </row>
    <row r="4694">
      <c r="A4694" t="inlineStr">
        <is>
          <t>T TAHARI</t>
        </is>
      </c>
      <c r="B4694" t="inlineStr">
        <is>
          <t>6620635</t>
        </is>
      </c>
      <c r="C4694" t="inlineStr">
        <is>
          <t>ELLA</t>
        </is>
      </c>
      <c r="D4694" t="inlineStr">
        <is>
          <t>BLK</t>
        </is>
      </c>
      <c r="E4694" t="inlineStr">
        <is>
          <t>(en blanco)</t>
        </is>
      </c>
      <c r="F4694" t="inlineStr">
        <is>
          <t>(en blanco)</t>
        </is>
      </c>
      <c r="G4694" t="inlineStr">
        <is>
          <t>S</t>
        </is>
      </c>
      <c r="H4694" t="n">
        <v>13</v>
      </c>
      <c r="I4694" t="inlineStr">
        <is>
          <t>T_TAHARI_6620635_BLK_1.jpg</t>
        </is>
      </c>
      <c r="L4694">
        <f>IMAGE("file:///E:/Estudios%20y%20certificaciones/ESTUDIOS%20DE%20PROGRAMMING/PROGRAMMING/PERSONAL/PYTHON/Image_Generator_API/imagenes/T_TAHARI_6620635_BLK_1.jpg")</f>
        <v/>
      </c>
      <c r="O4694">
        <f>HYPERLINK("imagenes/T_TAHARI_6620635_BLK_1.jpg","Ver imagen")</f>
        <v/>
      </c>
    </row>
    <row r="4695">
      <c r="A4695" t="inlineStr">
        <is>
          <t>T TAHARI</t>
        </is>
      </c>
      <c r="B4695" t="inlineStr">
        <is>
          <t>6620635</t>
        </is>
      </c>
      <c r="C4695" t="inlineStr">
        <is>
          <t>ELLA</t>
        </is>
      </c>
      <c r="D4695" t="inlineStr">
        <is>
          <t>BLK</t>
        </is>
      </c>
      <c r="E4695" t="inlineStr">
        <is>
          <t>(en blanco)</t>
        </is>
      </c>
      <c r="F4695" t="inlineStr">
        <is>
          <t>(en blanco)</t>
        </is>
      </c>
      <c r="G4695" t="inlineStr">
        <is>
          <t>M</t>
        </is>
      </c>
      <c r="H4695" t="n">
        <v>92</v>
      </c>
      <c r="I4695" t="inlineStr">
        <is>
          <t>T_TAHARI_6620635_BLK_1.jpg</t>
        </is>
      </c>
      <c r="L4695">
        <f>IMAGE("file:///E:/Estudios%20y%20certificaciones/ESTUDIOS%20DE%20PROGRAMMING/PROGRAMMING/PERSONAL/PYTHON/Image_Generator_API/imagenes/T_TAHARI_6620635_BLK_1.jpg")</f>
        <v/>
      </c>
      <c r="O4695">
        <f>HYPERLINK("imagenes/T_TAHARI_6620635_BLK_1.jpg","Ver imagen")</f>
        <v/>
      </c>
    </row>
    <row r="4696">
      <c r="A4696" t="inlineStr">
        <is>
          <t>T TAHARI</t>
        </is>
      </c>
      <c r="B4696" t="inlineStr">
        <is>
          <t>6620635</t>
        </is>
      </c>
      <c r="C4696" t="inlineStr">
        <is>
          <t>ELLA</t>
        </is>
      </c>
      <c r="D4696" t="inlineStr">
        <is>
          <t>BLK</t>
        </is>
      </c>
      <c r="E4696" t="inlineStr">
        <is>
          <t>(en blanco)</t>
        </is>
      </c>
      <c r="F4696" t="inlineStr">
        <is>
          <t>(en blanco)</t>
        </is>
      </c>
      <c r="G4696" t="inlineStr">
        <is>
          <t>L</t>
        </is>
      </c>
      <c r="H4696" t="n">
        <v>50</v>
      </c>
      <c r="I4696" t="inlineStr">
        <is>
          <t>T_TAHARI_6620635_BLK_1.jpg</t>
        </is>
      </c>
      <c r="L4696">
        <f>IMAGE("file:///E:/Estudios%20y%20certificaciones/ESTUDIOS%20DE%20PROGRAMMING/PROGRAMMING/PERSONAL/PYTHON/Image_Generator_API/imagenes/T_TAHARI_6620635_BLK_1.jpg")</f>
        <v/>
      </c>
      <c r="O4696">
        <f>HYPERLINK("imagenes/T_TAHARI_6620635_BLK_1.jpg","Ver imagen")</f>
        <v/>
      </c>
    </row>
    <row r="4697">
      <c r="A4697" t="inlineStr">
        <is>
          <t>T TAHARI</t>
        </is>
      </c>
      <c r="B4697" t="inlineStr">
        <is>
          <t>6620635</t>
        </is>
      </c>
      <c r="C4697" t="inlineStr">
        <is>
          <t>ELLA</t>
        </is>
      </c>
      <c r="D4697" t="inlineStr">
        <is>
          <t>CHR</t>
        </is>
      </c>
      <c r="E4697" t="inlineStr">
        <is>
          <t>(en blanco)</t>
        </is>
      </c>
      <c r="F4697" t="inlineStr">
        <is>
          <t>(en blanco)</t>
        </is>
      </c>
      <c r="G4697" t="inlineStr">
        <is>
          <t>XS</t>
        </is>
      </c>
      <c r="H4697" t="n">
        <v>0</v>
      </c>
      <c r="I4697" t="inlineStr">
        <is>
          <t>T_TAHARI_6620635_CHR_1.jpg</t>
        </is>
      </c>
      <c r="J4697" t="inlineStr">
        <is>
          <t>T_TAHARI_6620635_CHR_2.jpg</t>
        </is>
      </c>
      <c r="K4697" t="inlineStr">
        <is>
          <t>T_TAHARI_6620635_CHR_3.jpg</t>
        </is>
      </c>
      <c r="L4697">
        <f>IMAGE("file:///E:/Estudios%20y%20certificaciones/ESTUDIOS%20DE%20PROGRAMMING/PROGRAMMING/PERSONAL/PYTHON/Image_Generator_API/imagenes/T_TAHARI_6620635_CHR_1.jpg")</f>
        <v/>
      </c>
      <c r="M4697">
        <f>IMAGE("file:///E:/Estudios%20y%20certificaciones/ESTUDIOS%20DE%20PROGRAMMING/PROGRAMMING/PERSONAL/PYTHON/Image_Generator_API/imagenes/T_TAHARI_6620635_CHR_2.jpg")</f>
        <v/>
      </c>
      <c r="N4697">
        <f>IMAGE("file:///E:/Estudios%20y%20certificaciones/ESTUDIOS%20DE%20PROGRAMMING/PROGRAMMING/PERSONAL/PYTHON/Image_Generator_API/imagenes/T_TAHARI_6620635_CHR_3.jpg")</f>
        <v/>
      </c>
      <c r="O4697">
        <f>HYPERLINK("imagenes/T_TAHARI_6620635_CHR_1.jpg","Ver imagen")</f>
        <v/>
      </c>
      <c r="P4697">
        <f>HYPERLINK("imagenes/T_TAHARI_6620635_CHR_2.jpg","Ver imagen")</f>
        <v/>
      </c>
      <c r="Q4697">
        <f>HYPERLINK("imagenes/T_TAHARI_6620635_CHR_3.jpg","Ver imagen")</f>
        <v/>
      </c>
    </row>
    <row r="4698">
      <c r="A4698" t="inlineStr">
        <is>
          <t>T TAHARI</t>
        </is>
      </c>
      <c r="B4698" t="inlineStr">
        <is>
          <t>6620635</t>
        </is>
      </c>
      <c r="C4698" t="inlineStr">
        <is>
          <t>ELLA</t>
        </is>
      </c>
      <c r="D4698" t="inlineStr">
        <is>
          <t>CHR</t>
        </is>
      </c>
      <c r="E4698" t="inlineStr">
        <is>
          <t>(en blanco)</t>
        </is>
      </c>
      <c r="F4698" t="inlineStr">
        <is>
          <t>(en blanco)</t>
        </is>
      </c>
      <c r="G4698" t="inlineStr">
        <is>
          <t>XXL</t>
        </is>
      </c>
      <c r="H4698" t="n">
        <v>0</v>
      </c>
      <c r="I4698" t="inlineStr">
        <is>
          <t>T_TAHARI_6620635_CHR_1.jpg</t>
        </is>
      </c>
      <c r="J4698" t="inlineStr">
        <is>
          <t>T_TAHARI_6620635_CHR_2.jpg</t>
        </is>
      </c>
      <c r="K4698" t="inlineStr">
        <is>
          <t>T_TAHARI_6620635_CHR_3.jpg</t>
        </is>
      </c>
      <c r="L4698">
        <f>IMAGE("file:///E:/Estudios%20y%20certificaciones/ESTUDIOS%20DE%20PROGRAMMING/PROGRAMMING/PERSONAL/PYTHON/Image_Generator_API/imagenes/T_TAHARI_6620635_CHR_1.jpg")</f>
        <v/>
      </c>
      <c r="M4698">
        <f>IMAGE("file:///E:/Estudios%20y%20certificaciones/ESTUDIOS%20DE%20PROGRAMMING/PROGRAMMING/PERSONAL/PYTHON/Image_Generator_API/imagenes/T_TAHARI_6620635_CHR_2.jpg")</f>
        <v/>
      </c>
      <c r="N4698">
        <f>IMAGE("file:///E:/Estudios%20y%20certificaciones/ESTUDIOS%20DE%20PROGRAMMING/PROGRAMMING/PERSONAL/PYTHON/Image_Generator_API/imagenes/T_TAHARI_6620635_CHR_3.jpg")</f>
        <v/>
      </c>
      <c r="O4698">
        <f>HYPERLINK("imagenes/T_TAHARI_6620635_CHR_1.jpg","Ver imagen")</f>
        <v/>
      </c>
      <c r="P4698">
        <f>HYPERLINK("imagenes/T_TAHARI_6620635_CHR_2.jpg","Ver imagen")</f>
        <v/>
      </c>
      <c r="Q4698">
        <f>HYPERLINK("imagenes/T_TAHARI_6620635_CHR_3.jpg","Ver imagen")</f>
        <v/>
      </c>
    </row>
    <row r="4699">
      <c r="A4699" t="inlineStr">
        <is>
          <t>T TAHARI</t>
        </is>
      </c>
      <c r="B4699" t="inlineStr">
        <is>
          <t>6620635</t>
        </is>
      </c>
      <c r="C4699" t="inlineStr">
        <is>
          <t>ELLA</t>
        </is>
      </c>
      <c r="D4699" t="inlineStr">
        <is>
          <t>PRP</t>
        </is>
      </c>
      <c r="E4699" t="inlineStr">
        <is>
          <t>(en blanco)</t>
        </is>
      </c>
      <c r="F4699" t="inlineStr">
        <is>
          <t>(en blanco)</t>
        </is>
      </c>
      <c r="G4699" t="inlineStr">
        <is>
          <t>L</t>
        </is>
      </c>
      <c r="H4699" t="n">
        <v>1</v>
      </c>
      <c r="I4699" t="inlineStr">
        <is>
          <t>T_TAHARI_6620635_PRP_1.jpg</t>
        </is>
      </c>
      <c r="J4699" t="inlineStr">
        <is>
          <t>T_TAHARI_6620635_PRP_2.jpg</t>
        </is>
      </c>
      <c r="K4699" t="inlineStr">
        <is>
          <t>T_TAHARI_6620635_PRP_3.jpg</t>
        </is>
      </c>
      <c r="L4699">
        <f>IMAGE("file:///E:/Estudios%20y%20certificaciones/ESTUDIOS%20DE%20PROGRAMMING/PROGRAMMING/PERSONAL/PYTHON/Image_Generator_API/imagenes/T_TAHARI_6620635_PRP_1.jpg")</f>
        <v/>
      </c>
      <c r="M4699">
        <f>IMAGE("file:///E:/Estudios%20y%20certificaciones/ESTUDIOS%20DE%20PROGRAMMING/PROGRAMMING/PERSONAL/PYTHON/Image_Generator_API/imagenes/T_TAHARI_6620635_PRP_2.jpg")</f>
        <v/>
      </c>
      <c r="N4699">
        <f>IMAGE("file:///E:/Estudios%20y%20certificaciones/ESTUDIOS%20DE%20PROGRAMMING/PROGRAMMING/PERSONAL/PYTHON/Image_Generator_API/imagenes/T_TAHARI_6620635_PRP_3.jpg")</f>
        <v/>
      </c>
      <c r="O4699">
        <f>HYPERLINK("imagenes/T_TAHARI_6620635_PRP_1.jpg","Ver imagen")</f>
        <v/>
      </c>
      <c r="P4699">
        <f>HYPERLINK("imagenes/T_TAHARI_6620635_PRP_2.jpg","Ver imagen")</f>
        <v/>
      </c>
      <c r="Q4699">
        <f>HYPERLINK("imagenes/T_TAHARI_6620635_PRP_3.jpg","Ver imagen")</f>
        <v/>
      </c>
    </row>
    <row r="4700">
      <c r="A4700" t="inlineStr">
        <is>
          <t>T TAHARI</t>
        </is>
      </c>
      <c r="B4700" t="inlineStr">
        <is>
          <t>6620635</t>
        </is>
      </c>
      <c r="C4700" t="inlineStr">
        <is>
          <t>ELLA</t>
        </is>
      </c>
      <c r="D4700" t="inlineStr">
        <is>
          <t>SFA</t>
        </is>
      </c>
      <c r="E4700" t="inlineStr">
        <is>
          <t>(en blanco)</t>
        </is>
      </c>
      <c r="F4700" t="inlineStr">
        <is>
          <t>(en blanco)</t>
        </is>
      </c>
      <c r="G4700" t="inlineStr">
        <is>
          <t>S</t>
        </is>
      </c>
      <c r="H4700" t="n">
        <v>25</v>
      </c>
      <c r="I4700" t="inlineStr">
        <is>
          <t>T_TAHARI_6620635_SFA_1.jpg</t>
        </is>
      </c>
      <c r="J4700" t="inlineStr">
        <is>
          <t>T_TAHARI_6620635_SFA_2.jpg</t>
        </is>
      </c>
      <c r="K4700" t="inlineStr">
        <is>
          <t>T_TAHARI_6620635_SFA_3.jpg</t>
        </is>
      </c>
      <c r="L4700">
        <f>IMAGE("file:///E:/Estudios%20y%20certificaciones/ESTUDIOS%20DE%20PROGRAMMING/PROGRAMMING/PERSONAL/PYTHON/Image_Generator_API/imagenes/T_TAHARI_6620635_SFA_1.jpg")</f>
        <v/>
      </c>
      <c r="M4700">
        <f>IMAGE("file:///E:/Estudios%20y%20certificaciones/ESTUDIOS%20DE%20PROGRAMMING/PROGRAMMING/PERSONAL/PYTHON/Image_Generator_API/imagenes/T_TAHARI_6620635_SFA_2.jpg")</f>
        <v/>
      </c>
      <c r="N4700">
        <f>IMAGE("file:///E:/Estudios%20y%20certificaciones/ESTUDIOS%20DE%20PROGRAMMING/PROGRAMMING/PERSONAL/PYTHON/Image_Generator_API/imagenes/T_TAHARI_6620635_SFA_3.jpg")</f>
        <v/>
      </c>
      <c r="O4700">
        <f>HYPERLINK("imagenes/T_TAHARI_6620635_SFA_1.jpg","Ver imagen")</f>
        <v/>
      </c>
      <c r="P4700">
        <f>HYPERLINK("imagenes/T_TAHARI_6620635_SFA_2.jpg","Ver imagen")</f>
        <v/>
      </c>
      <c r="Q4700">
        <f>HYPERLINK("imagenes/T_TAHARI_6620635_SFA_3.jpg","Ver imagen")</f>
        <v/>
      </c>
    </row>
    <row r="4701">
      <c r="A4701" t="inlineStr">
        <is>
          <t>T TAHARI</t>
        </is>
      </c>
      <c r="B4701" t="inlineStr">
        <is>
          <t>6620635</t>
        </is>
      </c>
      <c r="C4701" t="inlineStr">
        <is>
          <t>ELLA</t>
        </is>
      </c>
      <c r="D4701" t="inlineStr">
        <is>
          <t>SFA</t>
        </is>
      </c>
      <c r="E4701" t="inlineStr">
        <is>
          <t>(en blanco)</t>
        </is>
      </c>
      <c r="F4701" t="inlineStr">
        <is>
          <t>(en blanco)</t>
        </is>
      </c>
      <c r="G4701" t="inlineStr">
        <is>
          <t>L</t>
        </is>
      </c>
      <c r="H4701" t="n">
        <v>8</v>
      </c>
      <c r="I4701" t="inlineStr">
        <is>
          <t>T_TAHARI_6620635_SFA_1.jpg</t>
        </is>
      </c>
      <c r="J4701" t="inlineStr">
        <is>
          <t>T_TAHARI_6620635_SFA_2.jpg</t>
        </is>
      </c>
      <c r="K4701" t="inlineStr">
        <is>
          <t>T_TAHARI_6620635_SFA_3.jpg</t>
        </is>
      </c>
      <c r="L4701">
        <f>IMAGE("file:///E:/Estudios%20y%20certificaciones/ESTUDIOS%20DE%20PROGRAMMING/PROGRAMMING/PERSONAL/PYTHON/Image_Generator_API/imagenes/T_TAHARI_6620635_SFA_1.jpg")</f>
        <v/>
      </c>
      <c r="M4701">
        <f>IMAGE("file:///E:/Estudios%20y%20certificaciones/ESTUDIOS%20DE%20PROGRAMMING/PROGRAMMING/PERSONAL/PYTHON/Image_Generator_API/imagenes/T_TAHARI_6620635_SFA_2.jpg")</f>
        <v/>
      </c>
      <c r="N4701">
        <f>IMAGE("file:///E:/Estudios%20y%20certificaciones/ESTUDIOS%20DE%20PROGRAMMING/PROGRAMMING/PERSONAL/PYTHON/Image_Generator_API/imagenes/T_TAHARI_6620635_SFA_3.jpg")</f>
        <v/>
      </c>
      <c r="O4701">
        <f>HYPERLINK("imagenes/T_TAHARI_6620635_SFA_1.jpg","Ver imagen")</f>
        <v/>
      </c>
      <c r="P4701">
        <f>HYPERLINK("imagenes/T_TAHARI_6620635_SFA_2.jpg","Ver imagen")</f>
        <v/>
      </c>
      <c r="Q4701">
        <f>HYPERLINK("imagenes/T_TAHARI_6620635_SFA_3.jpg","Ver imagen")</f>
        <v/>
      </c>
    </row>
    <row r="4702">
      <c r="A4702" t="inlineStr">
        <is>
          <t>T TAHARI</t>
        </is>
      </c>
      <c r="B4702" t="inlineStr">
        <is>
          <t>6620635</t>
        </is>
      </c>
      <c r="C4702" t="inlineStr">
        <is>
          <t>ELLA</t>
        </is>
      </c>
      <c r="D4702" t="inlineStr">
        <is>
          <t>SFA</t>
        </is>
      </c>
      <c r="E4702" t="inlineStr">
        <is>
          <t>(en blanco)</t>
        </is>
      </c>
      <c r="F4702" t="inlineStr">
        <is>
          <t>(en blanco)</t>
        </is>
      </c>
      <c r="G4702" t="inlineStr">
        <is>
          <t>XL</t>
        </is>
      </c>
      <c r="H4702" t="n">
        <v>1</v>
      </c>
      <c r="I4702" t="inlineStr">
        <is>
          <t>T_TAHARI_6620635_SFA_1.jpg</t>
        </is>
      </c>
      <c r="J4702" t="inlineStr">
        <is>
          <t>T_TAHARI_6620635_SFA_2.jpg</t>
        </is>
      </c>
      <c r="K4702" t="inlineStr">
        <is>
          <t>T_TAHARI_6620635_SFA_3.jpg</t>
        </is>
      </c>
      <c r="L4702">
        <f>IMAGE("file:///E:/Estudios%20y%20certificaciones/ESTUDIOS%20DE%20PROGRAMMING/PROGRAMMING/PERSONAL/PYTHON/Image_Generator_API/imagenes/T_TAHARI_6620635_SFA_1.jpg")</f>
        <v/>
      </c>
      <c r="M4702">
        <f>IMAGE("file:///E:/Estudios%20y%20certificaciones/ESTUDIOS%20DE%20PROGRAMMING/PROGRAMMING/PERSONAL/PYTHON/Image_Generator_API/imagenes/T_TAHARI_6620635_SFA_2.jpg")</f>
        <v/>
      </c>
      <c r="N4702">
        <f>IMAGE("file:///E:/Estudios%20y%20certificaciones/ESTUDIOS%20DE%20PROGRAMMING/PROGRAMMING/PERSONAL/PYTHON/Image_Generator_API/imagenes/T_TAHARI_6620635_SFA_3.jpg")</f>
        <v/>
      </c>
      <c r="O4702">
        <f>HYPERLINK("imagenes/T_TAHARI_6620635_SFA_1.jpg","Ver imagen")</f>
        <v/>
      </c>
      <c r="P4702">
        <f>HYPERLINK("imagenes/T_TAHARI_6620635_SFA_2.jpg","Ver imagen")</f>
        <v/>
      </c>
      <c r="Q4702">
        <f>HYPERLINK("imagenes/T_TAHARI_6620635_SFA_3.jpg","Ver imagen")</f>
        <v/>
      </c>
    </row>
    <row r="4703">
      <c r="A4703" t="inlineStr">
        <is>
          <t>T TAHARI</t>
        </is>
      </c>
      <c r="B4703" t="inlineStr">
        <is>
          <t>6620640</t>
        </is>
      </c>
      <c r="C4703" t="inlineStr">
        <is>
          <t>MARILYN</t>
        </is>
      </c>
      <c r="D4703" t="inlineStr">
        <is>
          <t>ASH</t>
        </is>
      </c>
      <c r="E4703" t="inlineStr">
        <is>
          <t>(en blanco)</t>
        </is>
      </c>
      <c r="F4703" t="inlineStr">
        <is>
          <t>(en blanco)</t>
        </is>
      </c>
      <c r="G4703" t="inlineStr">
        <is>
          <t>XS</t>
        </is>
      </c>
      <c r="H4703" t="n">
        <v>28</v>
      </c>
      <c r="I4703" t="inlineStr">
        <is>
          <t>T_TAHARI_6620640_ASH_1.jpg</t>
        </is>
      </c>
      <c r="J4703" t="inlineStr">
        <is>
          <t>T_TAHARI_6620640_ASH_2.jpg</t>
        </is>
      </c>
      <c r="K4703" t="inlineStr">
        <is>
          <t>T_TAHARI_6620640_ASH_3.jpg</t>
        </is>
      </c>
      <c r="L4703">
        <f>IMAGE("file:///E:/Estudios%20y%20certificaciones/ESTUDIOS%20DE%20PROGRAMMING/PROGRAMMING/PERSONAL/PYTHON/Image_Generator_API/imagenes/T_TAHARI_6620640_ASH_1.jpg")</f>
        <v/>
      </c>
      <c r="M4703">
        <f>IMAGE("file:///E:/Estudios%20y%20certificaciones/ESTUDIOS%20DE%20PROGRAMMING/PROGRAMMING/PERSONAL/PYTHON/Image_Generator_API/imagenes/T_TAHARI_6620640_ASH_2.jpg")</f>
        <v/>
      </c>
      <c r="N4703">
        <f>IMAGE("file:///E:/Estudios%20y%20certificaciones/ESTUDIOS%20DE%20PROGRAMMING/PROGRAMMING/PERSONAL/PYTHON/Image_Generator_API/imagenes/T_TAHARI_6620640_ASH_3.jpg")</f>
        <v/>
      </c>
      <c r="O4703">
        <f>HYPERLINK("imagenes/T_TAHARI_6620640_ASH_1.jpg","Ver imagen")</f>
        <v/>
      </c>
      <c r="P4703">
        <f>HYPERLINK("imagenes/T_TAHARI_6620640_ASH_2.jpg","Ver imagen")</f>
        <v/>
      </c>
      <c r="Q4703">
        <f>HYPERLINK("imagenes/T_TAHARI_6620640_ASH_3.jpg","Ver imagen")</f>
        <v/>
      </c>
    </row>
    <row r="4704">
      <c r="A4704" t="inlineStr">
        <is>
          <t>T TAHARI</t>
        </is>
      </c>
      <c r="B4704" t="inlineStr">
        <is>
          <t>6620640</t>
        </is>
      </c>
      <c r="C4704" t="inlineStr">
        <is>
          <t>MARILYN</t>
        </is>
      </c>
      <c r="D4704" t="inlineStr">
        <is>
          <t>ASH</t>
        </is>
      </c>
      <c r="E4704" t="inlineStr">
        <is>
          <t>(en blanco)</t>
        </is>
      </c>
      <c r="F4704" t="inlineStr">
        <is>
          <t>(en blanco)</t>
        </is>
      </c>
      <c r="G4704" t="inlineStr">
        <is>
          <t>S</t>
        </is>
      </c>
      <c r="H4704" t="n">
        <v>68</v>
      </c>
      <c r="I4704" t="inlineStr">
        <is>
          <t>T_TAHARI_6620640_ASH_1.jpg</t>
        </is>
      </c>
      <c r="J4704" t="inlineStr">
        <is>
          <t>T_TAHARI_6620640_ASH_2.jpg</t>
        </is>
      </c>
      <c r="K4704" t="inlineStr">
        <is>
          <t>T_TAHARI_6620640_ASH_3.jpg</t>
        </is>
      </c>
      <c r="L4704">
        <f>IMAGE("file:///E:/Estudios%20y%20certificaciones/ESTUDIOS%20DE%20PROGRAMMING/PROGRAMMING/PERSONAL/PYTHON/Image_Generator_API/imagenes/T_TAHARI_6620640_ASH_1.jpg")</f>
        <v/>
      </c>
      <c r="M4704">
        <f>IMAGE("file:///E:/Estudios%20y%20certificaciones/ESTUDIOS%20DE%20PROGRAMMING/PROGRAMMING/PERSONAL/PYTHON/Image_Generator_API/imagenes/T_TAHARI_6620640_ASH_2.jpg")</f>
        <v/>
      </c>
      <c r="N4704">
        <f>IMAGE("file:///E:/Estudios%20y%20certificaciones/ESTUDIOS%20DE%20PROGRAMMING/PROGRAMMING/PERSONAL/PYTHON/Image_Generator_API/imagenes/T_TAHARI_6620640_ASH_3.jpg")</f>
        <v/>
      </c>
      <c r="O4704">
        <f>HYPERLINK("imagenes/T_TAHARI_6620640_ASH_1.jpg","Ver imagen")</f>
        <v/>
      </c>
      <c r="P4704">
        <f>HYPERLINK("imagenes/T_TAHARI_6620640_ASH_2.jpg","Ver imagen")</f>
        <v/>
      </c>
      <c r="Q4704">
        <f>HYPERLINK("imagenes/T_TAHARI_6620640_ASH_3.jpg","Ver imagen")</f>
        <v/>
      </c>
    </row>
    <row r="4705">
      <c r="A4705" t="inlineStr">
        <is>
          <t>T TAHARI</t>
        </is>
      </c>
      <c r="B4705" t="inlineStr">
        <is>
          <t>6620640</t>
        </is>
      </c>
      <c r="C4705" t="inlineStr">
        <is>
          <t>MARILYN</t>
        </is>
      </c>
      <c r="D4705" t="inlineStr">
        <is>
          <t>ASH</t>
        </is>
      </c>
      <c r="E4705" t="inlineStr">
        <is>
          <t>(en blanco)</t>
        </is>
      </c>
      <c r="F4705" t="inlineStr">
        <is>
          <t>(en blanco)</t>
        </is>
      </c>
      <c r="G4705" t="inlineStr">
        <is>
          <t>M</t>
        </is>
      </c>
      <c r="H4705" t="n">
        <v>5</v>
      </c>
      <c r="I4705" t="inlineStr">
        <is>
          <t>T_TAHARI_6620640_ASH_1.jpg</t>
        </is>
      </c>
      <c r="J4705" t="inlineStr">
        <is>
          <t>T_TAHARI_6620640_ASH_2.jpg</t>
        </is>
      </c>
      <c r="K4705" t="inlineStr">
        <is>
          <t>T_TAHARI_6620640_ASH_3.jpg</t>
        </is>
      </c>
      <c r="L4705">
        <f>IMAGE("file:///E:/Estudios%20y%20certificaciones/ESTUDIOS%20DE%20PROGRAMMING/PROGRAMMING/PERSONAL/PYTHON/Image_Generator_API/imagenes/T_TAHARI_6620640_ASH_1.jpg")</f>
        <v/>
      </c>
      <c r="M4705">
        <f>IMAGE("file:///E:/Estudios%20y%20certificaciones/ESTUDIOS%20DE%20PROGRAMMING/PROGRAMMING/PERSONAL/PYTHON/Image_Generator_API/imagenes/T_TAHARI_6620640_ASH_2.jpg")</f>
        <v/>
      </c>
      <c r="N4705">
        <f>IMAGE("file:///E:/Estudios%20y%20certificaciones/ESTUDIOS%20DE%20PROGRAMMING/PROGRAMMING/PERSONAL/PYTHON/Image_Generator_API/imagenes/T_TAHARI_6620640_ASH_3.jpg")</f>
        <v/>
      </c>
      <c r="O4705">
        <f>HYPERLINK("imagenes/T_TAHARI_6620640_ASH_1.jpg","Ver imagen")</f>
        <v/>
      </c>
      <c r="P4705">
        <f>HYPERLINK("imagenes/T_TAHARI_6620640_ASH_2.jpg","Ver imagen")</f>
        <v/>
      </c>
      <c r="Q4705">
        <f>HYPERLINK("imagenes/T_TAHARI_6620640_ASH_3.jpg","Ver imagen")</f>
        <v/>
      </c>
    </row>
    <row r="4706">
      <c r="A4706" t="inlineStr">
        <is>
          <t>T TAHARI</t>
        </is>
      </c>
      <c r="B4706" t="inlineStr">
        <is>
          <t>6620640</t>
        </is>
      </c>
      <c r="C4706" t="inlineStr">
        <is>
          <t>MARILYN</t>
        </is>
      </c>
      <c r="D4706" t="inlineStr">
        <is>
          <t>ASH</t>
        </is>
      </c>
      <c r="E4706" t="inlineStr">
        <is>
          <t>(en blanco)</t>
        </is>
      </c>
      <c r="F4706" t="inlineStr">
        <is>
          <t>(en blanco)</t>
        </is>
      </c>
      <c r="G4706" t="inlineStr">
        <is>
          <t>L</t>
        </is>
      </c>
      <c r="H4706" t="n">
        <v>3</v>
      </c>
      <c r="I4706" t="inlineStr">
        <is>
          <t>T_TAHARI_6620640_ASH_1.jpg</t>
        </is>
      </c>
      <c r="J4706" t="inlineStr">
        <is>
          <t>T_TAHARI_6620640_ASH_2.jpg</t>
        </is>
      </c>
      <c r="K4706" t="inlineStr">
        <is>
          <t>T_TAHARI_6620640_ASH_3.jpg</t>
        </is>
      </c>
      <c r="L4706">
        <f>IMAGE("file:///E:/Estudios%20y%20certificaciones/ESTUDIOS%20DE%20PROGRAMMING/PROGRAMMING/PERSONAL/PYTHON/Image_Generator_API/imagenes/T_TAHARI_6620640_ASH_1.jpg")</f>
        <v/>
      </c>
      <c r="M4706">
        <f>IMAGE("file:///E:/Estudios%20y%20certificaciones/ESTUDIOS%20DE%20PROGRAMMING/PROGRAMMING/PERSONAL/PYTHON/Image_Generator_API/imagenes/T_TAHARI_6620640_ASH_2.jpg")</f>
        <v/>
      </c>
      <c r="N4706">
        <f>IMAGE("file:///E:/Estudios%20y%20certificaciones/ESTUDIOS%20DE%20PROGRAMMING/PROGRAMMING/PERSONAL/PYTHON/Image_Generator_API/imagenes/T_TAHARI_6620640_ASH_3.jpg")</f>
        <v/>
      </c>
      <c r="O4706">
        <f>HYPERLINK("imagenes/T_TAHARI_6620640_ASH_1.jpg","Ver imagen")</f>
        <v/>
      </c>
      <c r="P4706">
        <f>HYPERLINK("imagenes/T_TAHARI_6620640_ASH_2.jpg","Ver imagen")</f>
        <v/>
      </c>
      <c r="Q4706">
        <f>HYPERLINK("imagenes/T_TAHARI_6620640_ASH_3.jpg","Ver imagen")</f>
        <v/>
      </c>
    </row>
    <row r="4707">
      <c r="A4707" t="inlineStr">
        <is>
          <t>T TAHARI</t>
        </is>
      </c>
      <c r="B4707" t="inlineStr">
        <is>
          <t>6620640</t>
        </is>
      </c>
      <c r="C4707" t="inlineStr">
        <is>
          <t>MARILYN</t>
        </is>
      </c>
      <c r="D4707" t="inlineStr">
        <is>
          <t>BLK</t>
        </is>
      </c>
      <c r="E4707" t="inlineStr">
        <is>
          <t>(en blanco)</t>
        </is>
      </c>
      <c r="F4707" t="inlineStr">
        <is>
          <t>(en blanco)</t>
        </is>
      </c>
      <c r="G4707" t="inlineStr">
        <is>
          <t>XS</t>
        </is>
      </c>
      <c r="H4707" t="n">
        <v>26</v>
      </c>
      <c r="I4707" t="inlineStr">
        <is>
          <t>T_TAHARI_6620640_BLK_1.jpg</t>
        </is>
      </c>
      <c r="J4707" t="inlineStr">
        <is>
          <t>T_TAHARI_6620640_BLK_2.jpg</t>
        </is>
      </c>
      <c r="K4707" t="inlineStr">
        <is>
          <t>T_TAHARI_6620640_BLK_3.jpg</t>
        </is>
      </c>
      <c r="L4707">
        <f>IMAGE("file:///E:/Estudios%20y%20certificaciones/ESTUDIOS%20DE%20PROGRAMMING/PROGRAMMING/PERSONAL/PYTHON/Image_Generator_API/imagenes/T_TAHARI_6620640_BLK_1.jpg")</f>
        <v/>
      </c>
      <c r="M4707">
        <f>IMAGE("file:///E:/Estudios%20y%20certificaciones/ESTUDIOS%20DE%20PROGRAMMING/PROGRAMMING/PERSONAL/PYTHON/Image_Generator_API/imagenes/T_TAHARI_6620640_BLK_2.jpg")</f>
        <v/>
      </c>
      <c r="N4707">
        <f>IMAGE("file:///E:/Estudios%20y%20certificaciones/ESTUDIOS%20DE%20PROGRAMMING/PROGRAMMING/PERSONAL/PYTHON/Image_Generator_API/imagenes/T_TAHARI_6620640_BLK_3.jpg")</f>
        <v/>
      </c>
      <c r="O4707">
        <f>HYPERLINK("imagenes/T_TAHARI_6620640_BLK_1.jpg","Ver imagen")</f>
        <v/>
      </c>
      <c r="P4707">
        <f>HYPERLINK("imagenes/T_TAHARI_6620640_BLK_2.jpg","Ver imagen")</f>
        <v/>
      </c>
      <c r="Q4707">
        <f>HYPERLINK("imagenes/T_TAHARI_6620640_BLK_3.jpg","Ver imagen")</f>
        <v/>
      </c>
    </row>
    <row r="4708">
      <c r="A4708" t="inlineStr">
        <is>
          <t>T TAHARI</t>
        </is>
      </c>
      <c r="B4708" t="inlineStr">
        <is>
          <t>6620640</t>
        </is>
      </c>
      <c r="C4708" t="inlineStr">
        <is>
          <t>MARILYN</t>
        </is>
      </c>
      <c r="D4708" t="inlineStr">
        <is>
          <t>BLK</t>
        </is>
      </c>
      <c r="E4708" t="inlineStr">
        <is>
          <t>(en blanco)</t>
        </is>
      </c>
      <c r="F4708" t="inlineStr">
        <is>
          <t>(en blanco)</t>
        </is>
      </c>
      <c r="G4708" t="inlineStr">
        <is>
          <t>S</t>
        </is>
      </c>
      <c r="H4708" t="n">
        <v>1</v>
      </c>
      <c r="I4708" t="inlineStr">
        <is>
          <t>T_TAHARI_6620640_BLK_1.jpg</t>
        </is>
      </c>
      <c r="J4708" t="inlineStr">
        <is>
          <t>T_TAHARI_6620640_BLK_2.jpg</t>
        </is>
      </c>
      <c r="K4708" t="inlineStr">
        <is>
          <t>T_TAHARI_6620640_BLK_3.jpg</t>
        </is>
      </c>
      <c r="L4708">
        <f>IMAGE("file:///E:/Estudios%20y%20certificaciones/ESTUDIOS%20DE%20PROGRAMMING/PROGRAMMING/PERSONAL/PYTHON/Image_Generator_API/imagenes/T_TAHARI_6620640_BLK_1.jpg")</f>
        <v/>
      </c>
      <c r="M4708">
        <f>IMAGE("file:///E:/Estudios%20y%20certificaciones/ESTUDIOS%20DE%20PROGRAMMING/PROGRAMMING/PERSONAL/PYTHON/Image_Generator_API/imagenes/T_TAHARI_6620640_BLK_2.jpg")</f>
        <v/>
      </c>
      <c r="N4708">
        <f>IMAGE("file:///E:/Estudios%20y%20certificaciones/ESTUDIOS%20DE%20PROGRAMMING/PROGRAMMING/PERSONAL/PYTHON/Image_Generator_API/imagenes/T_TAHARI_6620640_BLK_3.jpg")</f>
        <v/>
      </c>
      <c r="O4708">
        <f>HYPERLINK("imagenes/T_TAHARI_6620640_BLK_1.jpg","Ver imagen")</f>
        <v/>
      </c>
      <c r="P4708">
        <f>HYPERLINK("imagenes/T_TAHARI_6620640_BLK_2.jpg","Ver imagen")</f>
        <v/>
      </c>
      <c r="Q4708">
        <f>HYPERLINK("imagenes/T_TAHARI_6620640_BLK_3.jpg","Ver imagen")</f>
        <v/>
      </c>
    </row>
    <row r="4709">
      <c r="A4709" t="inlineStr">
        <is>
          <t>T TAHARI</t>
        </is>
      </c>
      <c r="B4709" t="inlineStr">
        <is>
          <t>6620640</t>
        </is>
      </c>
      <c r="C4709" t="inlineStr">
        <is>
          <t>MARILYN</t>
        </is>
      </c>
      <c r="D4709" t="inlineStr">
        <is>
          <t>BLK</t>
        </is>
      </c>
      <c r="E4709" t="inlineStr">
        <is>
          <t>(en blanco)</t>
        </is>
      </c>
      <c r="F4709" t="inlineStr">
        <is>
          <t>(en blanco)</t>
        </is>
      </c>
      <c r="G4709" t="inlineStr">
        <is>
          <t>M</t>
        </is>
      </c>
      <c r="H4709" t="n">
        <v>31</v>
      </c>
      <c r="I4709" t="inlineStr">
        <is>
          <t>T_TAHARI_6620640_BLK_1.jpg</t>
        </is>
      </c>
      <c r="J4709" t="inlineStr">
        <is>
          <t>T_TAHARI_6620640_BLK_2.jpg</t>
        </is>
      </c>
      <c r="K4709" t="inlineStr">
        <is>
          <t>T_TAHARI_6620640_BLK_3.jpg</t>
        </is>
      </c>
      <c r="L4709">
        <f>IMAGE("file:///E:/Estudios%20y%20certificaciones/ESTUDIOS%20DE%20PROGRAMMING/PROGRAMMING/PERSONAL/PYTHON/Image_Generator_API/imagenes/T_TAHARI_6620640_BLK_1.jpg")</f>
        <v/>
      </c>
      <c r="M4709">
        <f>IMAGE("file:///E:/Estudios%20y%20certificaciones/ESTUDIOS%20DE%20PROGRAMMING/PROGRAMMING/PERSONAL/PYTHON/Image_Generator_API/imagenes/T_TAHARI_6620640_BLK_2.jpg")</f>
        <v/>
      </c>
      <c r="N4709">
        <f>IMAGE("file:///E:/Estudios%20y%20certificaciones/ESTUDIOS%20DE%20PROGRAMMING/PROGRAMMING/PERSONAL/PYTHON/Image_Generator_API/imagenes/T_TAHARI_6620640_BLK_3.jpg")</f>
        <v/>
      </c>
      <c r="O4709">
        <f>HYPERLINK("imagenes/T_TAHARI_6620640_BLK_1.jpg","Ver imagen")</f>
        <v/>
      </c>
      <c r="P4709">
        <f>HYPERLINK("imagenes/T_TAHARI_6620640_BLK_2.jpg","Ver imagen")</f>
        <v/>
      </c>
      <c r="Q4709">
        <f>HYPERLINK("imagenes/T_TAHARI_6620640_BLK_3.jpg","Ver imagen")</f>
        <v/>
      </c>
    </row>
    <row r="4710">
      <c r="A4710" t="inlineStr">
        <is>
          <t>T TAHARI</t>
        </is>
      </c>
      <c r="B4710" t="inlineStr">
        <is>
          <t>6620640</t>
        </is>
      </c>
      <c r="C4710" t="inlineStr">
        <is>
          <t>MARILYN</t>
        </is>
      </c>
      <c r="D4710" t="inlineStr">
        <is>
          <t>BLK</t>
        </is>
      </c>
      <c r="E4710" t="inlineStr">
        <is>
          <t>(en blanco)</t>
        </is>
      </c>
      <c r="F4710" t="inlineStr">
        <is>
          <t>(en blanco)</t>
        </is>
      </c>
      <c r="G4710" t="inlineStr">
        <is>
          <t>L</t>
        </is>
      </c>
      <c r="H4710" t="n">
        <v>39</v>
      </c>
      <c r="I4710" t="inlineStr">
        <is>
          <t>T_TAHARI_6620640_BLK_1.jpg</t>
        </is>
      </c>
      <c r="J4710" t="inlineStr">
        <is>
          <t>T_TAHARI_6620640_BLK_2.jpg</t>
        </is>
      </c>
      <c r="K4710" t="inlineStr">
        <is>
          <t>T_TAHARI_6620640_BLK_3.jpg</t>
        </is>
      </c>
      <c r="L4710">
        <f>IMAGE("file:///E:/Estudios%20y%20certificaciones/ESTUDIOS%20DE%20PROGRAMMING/PROGRAMMING/PERSONAL/PYTHON/Image_Generator_API/imagenes/T_TAHARI_6620640_BLK_1.jpg")</f>
        <v/>
      </c>
      <c r="M4710">
        <f>IMAGE("file:///E:/Estudios%20y%20certificaciones/ESTUDIOS%20DE%20PROGRAMMING/PROGRAMMING/PERSONAL/PYTHON/Image_Generator_API/imagenes/T_TAHARI_6620640_BLK_2.jpg")</f>
        <v/>
      </c>
      <c r="N4710">
        <f>IMAGE("file:///E:/Estudios%20y%20certificaciones/ESTUDIOS%20DE%20PROGRAMMING/PROGRAMMING/PERSONAL/PYTHON/Image_Generator_API/imagenes/T_TAHARI_6620640_BLK_3.jpg")</f>
        <v/>
      </c>
      <c r="O4710">
        <f>HYPERLINK("imagenes/T_TAHARI_6620640_BLK_1.jpg","Ver imagen")</f>
        <v/>
      </c>
      <c r="P4710">
        <f>HYPERLINK("imagenes/T_TAHARI_6620640_BLK_2.jpg","Ver imagen")</f>
        <v/>
      </c>
      <c r="Q4710">
        <f>HYPERLINK("imagenes/T_TAHARI_6620640_BLK_3.jpg","Ver imagen")</f>
        <v/>
      </c>
    </row>
    <row r="4711">
      <c r="A4711" t="inlineStr">
        <is>
          <t>T TAHARI</t>
        </is>
      </c>
      <c r="B4711" t="inlineStr">
        <is>
          <t>6620640</t>
        </is>
      </c>
      <c r="C4711" t="inlineStr">
        <is>
          <t>MARILYN</t>
        </is>
      </c>
      <c r="D4711" t="inlineStr">
        <is>
          <t>BLK</t>
        </is>
      </c>
      <c r="E4711" t="inlineStr">
        <is>
          <t>(en blanco)</t>
        </is>
      </c>
      <c r="F4711" t="inlineStr">
        <is>
          <t>(en blanco)</t>
        </is>
      </c>
      <c r="G4711" t="inlineStr">
        <is>
          <t>XL</t>
        </is>
      </c>
      <c r="H4711" t="n">
        <v>0</v>
      </c>
      <c r="I4711" t="inlineStr">
        <is>
          <t>T_TAHARI_6620640_BLK_1.jpg</t>
        </is>
      </c>
      <c r="J4711" t="inlineStr">
        <is>
          <t>T_TAHARI_6620640_BLK_2.jpg</t>
        </is>
      </c>
      <c r="K4711" t="inlineStr">
        <is>
          <t>T_TAHARI_6620640_BLK_3.jpg</t>
        </is>
      </c>
      <c r="L4711">
        <f>IMAGE("file:///E:/Estudios%20y%20certificaciones/ESTUDIOS%20DE%20PROGRAMMING/PROGRAMMING/PERSONAL/PYTHON/Image_Generator_API/imagenes/T_TAHARI_6620640_BLK_1.jpg")</f>
        <v/>
      </c>
      <c r="M4711">
        <f>IMAGE("file:///E:/Estudios%20y%20certificaciones/ESTUDIOS%20DE%20PROGRAMMING/PROGRAMMING/PERSONAL/PYTHON/Image_Generator_API/imagenes/T_TAHARI_6620640_BLK_2.jpg")</f>
        <v/>
      </c>
      <c r="N4711">
        <f>IMAGE("file:///E:/Estudios%20y%20certificaciones/ESTUDIOS%20DE%20PROGRAMMING/PROGRAMMING/PERSONAL/PYTHON/Image_Generator_API/imagenes/T_TAHARI_6620640_BLK_3.jpg")</f>
        <v/>
      </c>
      <c r="O4711">
        <f>HYPERLINK("imagenes/T_TAHARI_6620640_BLK_1.jpg","Ver imagen")</f>
        <v/>
      </c>
      <c r="P4711">
        <f>HYPERLINK("imagenes/T_TAHARI_6620640_BLK_2.jpg","Ver imagen")</f>
        <v/>
      </c>
      <c r="Q4711">
        <f>HYPERLINK("imagenes/T_TAHARI_6620640_BLK_3.jpg","Ver imagen")</f>
        <v/>
      </c>
    </row>
    <row r="4712">
      <c r="A4712" t="inlineStr">
        <is>
          <t>T TAHARI</t>
        </is>
      </c>
      <c r="B4712" t="inlineStr">
        <is>
          <t>6620640</t>
        </is>
      </c>
      <c r="C4712" t="inlineStr">
        <is>
          <t>MARILYN</t>
        </is>
      </c>
      <c r="D4712" t="inlineStr">
        <is>
          <t>CAM</t>
        </is>
      </c>
      <c r="E4712" t="inlineStr">
        <is>
          <t>(en blanco)</t>
        </is>
      </c>
      <c r="F4712" t="inlineStr">
        <is>
          <t>(en blanco)</t>
        </is>
      </c>
      <c r="G4712" t="inlineStr">
        <is>
          <t>S</t>
        </is>
      </c>
      <c r="H4712" t="n">
        <v>5</v>
      </c>
      <c r="I4712" t="inlineStr">
        <is>
          <t>T_TAHARI_6620640_CAM_1.jpg</t>
        </is>
      </c>
      <c r="J4712" t="inlineStr">
        <is>
          <t>T_TAHARI_6620640_CAM_2.jpg</t>
        </is>
      </c>
      <c r="K4712" t="inlineStr">
        <is>
          <t>T_TAHARI_6620640_CAM_3.jpg</t>
        </is>
      </c>
      <c r="L4712">
        <f>IMAGE("file:///E:/Estudios%20y%20certificaciones/ESTUDIOS%20DE%20PROGRAMMING/PROGRAMMING/PERSONAL/PYTHON/Image_Generator_API/imagenes/T_TAHARI_6620640_CAM_1.jpg")</f>
        <v/>
      </c>
      <c r="M4712">
        <f>IMAGE("file:///E:/Estudios%20y%20certificaciones/ESTUDIOS%20DE%20PROGRAMMING/PROGRAMMING/PERSONAL/PYTHON/Image_Generator_API/imagenes/T_TAHARI_6620640_CAM_2.jpg")</f>
        <v/>
      </c>
      <c r="N4712">
        <f>IMAGE("file:///E:/Estudios%20y%20certificaciones/ESTUDIOS%20DE%20PROGRAMMING/PROGRAMMING/PERSONAL/PYTHON/Image_Generator_API/imagenes/T_TAHARI_6620640_CAM_3.jpg")</f>
        <v/>
      </c>
      <c r="O4712">
        <f>HYPERLINK("imagenes/T_TAHARI_6620640_CAM_1.jpg","Ver imagen")</f>
        <v/>
      </c>
      <c r="P4712">
        <f>HYPERLINK("imagenes/T_TAHARI_6620640_CAM_2.jpg","Ver imagen")</f>
        <v/>
      </c>
      <c r="Q4712">
        <f>HYPERLINK("imagenes/T_TAHARI_6620640_CAM_3.jpg","Ver imagen")</f>
        <v/>
      </c>
    </row>
    <row r="4713">
      <c r="A4713" t="inlineStr">
        <is>
          <t>T TAHARI</t>
        </is>
      </c>
      <c r="B4713" t="inlineStr">
        <is>
          <t>6620640</t>
        </is>
      </c>
      <c r="C4713" t="inlineStr">
        <is>
          <t>MARILYN</t>
        </is>
      </c>
      <c r="D4713" t="inlineStr">
        <is>
          <t>CAM</t>
        </is>
      </c>
      <c r="E4713" t="inlineStr">
        <is>
          <t>(en blanco)</t>
        </is>
      </c>
      <c r="F4713" t="inlineStr">
        <is>
          <t>(en blanco)</t>
        </is>
      </c>
      <c r="G4713" t="inlineStr">
        <is>
          <t>L</t>
        </is>
      </c>
      <c r="H4713" t="n">
        <v>8</v>
      </c>
      <c r="I4713" t="inlineStr">
        <is>
          <t>T_TAHARI_6620640_CAM_1.jpg</t>
        </is>
      </c>
      <c r="J4713" t="inlineStr">
        <is>
          <t>T_TAHARI_6620640_CAM_2.jpg</t>
        </is>
      </c>
      <c r="K4713" t="inlineStr">
        <is>
          <t>T_TAHARI_6620640_CAM_3.jpg</t>
        </is>
      </c>
      <c r="L4713">
        <f>IMAGE("file:///E:/Estudios%20y%20certificaciones/ESTUDIOS%20DE%20PROGRAMMING/PROGRAMMING/PERSONAL/PYTHON/Image_Generator_API/imagenes/T_TAHARI_6620640_CAM_1.jpg")</f>
        <v/>
      </c>
      <c r="M4713">
        <f>IMAGE("file:///E:/Estudios%20y%20certificaciones/ESTUDIOS%20DE%20PROGRAMMING/PROGRAMMING/PERSONAL/PYTHON/Image_Generator_API/imagenes/T_TAHARI_6620640_CAM_2.jpg")</f>
        <v/>
      </c>
      <c r="N4713">
        <f>IMAGE("file:///E:/Estudios%20y%20certificaciones/ESTUDIOS%20DE%20PROGRAMMING/PROGRAMMING/PERSONAL/PYTHON/Image_Generator_API/imagenes/T_TAHARI_6620640_CAM_3.jpg")</f>
        <v/>
      </c>
      <c r="O4713">
        <f>HYPERLINK("imagenes/T_TAHARI_6620640_CAM_1.jpg","Ver imagen")</f>
        <v/>
      </c>
      <c r="P4713">
        <f>HYPERLINK("imagenes/T_TAHARI_6620640_CAM_2.jpg","Ver imagen")</f>
        <v/>
      </c>
      <c r="Q4713">
        <f>HYPERLINK("imagenes/T_TAHARI_6620640_CAM_3.jpg","Ver imagen")</f>
        <v/>
      </c>
    </row>
    <row r="4714">
      <c r="A4714" t="inlineStr">
        <is>
          <t>T TAHARI</t>
        </is>
      </c>
      <c r="B4714" t="inlineStr">
        <is>
          <t>6620640</t>
        </is>
      </c>
      <c r="C4714" t="inlineStr">
        <is>
          <t>MARILYN</t>
        </is>
      </c>
      <c r="D4714" t="inlineStr">
        <is>
          <t>CAM</t>
        </is>
      </c>
      <c r="E4714" t="inlineStr">
        <is>
          <t>(en blanco)</t>
        </is>
      </c>
      <c r="F4714" t="inlineStr">
        <is>
          <t>(en blanco)</t>
        </is>
      </c>
      <c r="G4714" t="inlineStr">
        <is>
          <t>XL</t>
        </is>
      </c>
      <c r="H4714" t="n">
        <v>0</v>
      </c>
      <c r="I4714" t="inlineStr">
        <is>
          <t>T_TAHARI_6620640_CAM_1.jpg</t>
        </is>
      </c>
      <c r="J4714" t="inlineStr">
        <is>
          <t>T_TAHARI_6620640_CAM_2.jpg</t>
        </is>
      </c>
      <c r="K4714" t="inlineStr">
        <is>
          <t>T_TAHARI_6620640_CAM_3.jpg</t>
        </is>
      </c>
      <c r="L4714">
        <f>IMAGE("file:///E:/Estudios%20y%20certificaciones/ESTUDIOS%20DE%20PROGRAMMING/PROGRAMMING/PERSONAL/PYTHON/Image_Generator_API/imagenes/T_TAHARI_6620640_CAM_1.jpg")</f>
        <v/>
      </c>
      <c r="M4714">
        <f>IMAGE("file:///E:/Estudios%20y%20certificaciones/ESTUDIOS%20DE%20PROGRAMMING/PROGRAMMING/PERSONAL/PYTHON/Image_Generator_API/imagenes/T_TAHARI_6620640_CAM_2.jpg")</f>
        <v/>
      </c>
      <c r="N4714">
        <f>IMAGE("file:///E:/Estudios%20y%20certificaciones/ESTUDIOS%20DE%20PROGRAMMING/PROGRAMMING/PERSONAL/PYTHON/Image_Generator_API/imagenes/T_TAHARI_6620640_CAM_3.jpg")</f>
        <v/>
      </c>
      <c r="O4714">
        <f>HYPERLINK("imagenes/T_TAHARI_6620640_CAM_1.jpg","Ver imagen")</f>
        <v/>
      </c>
      <c r="P4714">
        <f>HYPERLINK("imagenes/T_TAHARI_6620640_CAM_2.jpg","Ver imagen")</f>
        <v/>
      </c>
      <c r="Q4714">
        <f>HYPERLINK("imagenes/T_TAHARI_6620640_CAM_3.jpg","Ver imagen")</f>
        <v/>
      </c>
    </row>
    <row r="4715">
      <c r="A4715" t="inlineStr">
        <is>
          <t>T TAHARI</t>
        </is>
      </c>
      <c r="B4715" t="inlineStr">
        <is>
          <t>6620644</t>
        </is>
      </c>
      <c r="C4715" t="inlineStr">
        <is>
          <t>SANDRA</t>
        </is>
      </c>
      <c r="D4715" t="inlineStr">
        <is>
          <t>BLK</t>
        </is>
      </c>
      <c r="E4715" t="inlineStr">
        <is>
          <t>(en blanco)</t>
        </is>
      </c>
      <c r="F4715" t="inlineStr">
        <is>
          <t>(en blanco)</t>
        </is>
      </c>
      <c r="G4715" t="inlineStr">
        <is>
          <t>XS</t>
        </is>
      </c>
      <c r="H4715" t="n">
        <v>131</v>
      </c>
      <c r="I4715" t="inlineStr">
        <is>
          <t>T_TAHARI_6620644_BLK_1.jpg</t>
        </is>
      </c>
      <c r="J4715" t="inlineStr">
        <is>
          <t>T_TAHARI_6620644_BLK_2.jpg</t>
        </is>
      </c>
      <c r="K4715" t="inlineStr">
        <is>
          <t>T_TAHARI_6620644_BLK_3.jpg</t>
        </is>
      </c>
      <c r="L4715">
        <f>IMAGE("file:///E:/Estudios%20y%20certificaciones/ESTUDIOS%20DE%20PROGRAMMING/PROGRAMMING/PERSONAL/PYTHON/Image_Generator_API/imagenes/T_TAHARI_6620644_BLK_1.jpg")</f>
        <v/>
      </c>
      <c r="M4715">
        <f>IMAGE("file:///E:/Estudios%20y%20certificaciones/ESTUDIOS%20DE%20PROGRAMMING/PROGRAMMING/PERSONAL/PYTHON/Image_Generator_API/imagenes/T_TAHARI_6620644_BLK_2.jpg")</f>
        <v/>
      </c>
      <c r="N4715">
        <f>IMAGE("file:///E:/Estudios%20y%20certificaciones/ESTUDIOS%20DE%20PROGRAMMING/PROGRAMMING/PERSONAL/PYTHON/Image_Generator_API/imagenes/T_TAHARI_6620644_BLK_3.jpg")</f>
        <v/>
      </c>
      <c r="O4715">
        <f>HYPERLINK("imagenes/T_TAHARI_6620644_BLK_1.jpg","Ver imagen")</f>
        <v/>
      </c>
      <c r="P4715">
        <f>HYPERLINK("imagenes/T_TAHARI_6620644_BLK_2.jpg","Ver imagen")</f>
        <v/>
      </c>
      <c r="Q4715">
        <f>HYPERLINK("imagenes/T_TAHARI_6620644_BLK_3.jpg","Ver imagen")</f>
        <v/>
      </c>
    </row>
    <row r="4716">
      <c r="A4716" t="inlineStr">
        <is>
          <t>T TAHARI</t>
        </is>
      </c>
      <c r="B4716" t="inlineStr">
        <is>
          <t>6620644</t>
        </is>
      </c>
      <c r="C4716" t="inlineStr">
        <is>
          <t>SANDRA</t>
        </is>
      </c>
      <c r="D4716" t="inlineStr">
        <is>
          <t>BLK</t>
        </is>
      </c>
      <c r="E4716" t="inlineStr">
        <is>
          <t>(en blanco)</t>
        </is>
      </c>
      <c r="F4716" t="inlineStr">
        <is>
          <t>(en blanco)</t>
        </is>
      </c>
      <c r="G4716" t="inlineStr">
        <is>
          <t>S</t>
        </is>
      </c>
      <c r="H4716" t="n">
        <v>152</v>
      </c>
      <c r="I4716" t="inlineStr">
        <is>
          <t>T_TAHARI_6620644_BLK_1.jpg</t>
        </is>
      </c>
      <c r="J4716" t="inlineStr">
        <is>
          <t>T_TAHARI_6620644_BLK_2.jpg</t>
        </is>
      </c>
      <c r="K4716" t="inlineStr">
        <is>
          <t>T_TAHARI_6620644_BLK_3.jpg</t>
        </is>
      </c>
      <c r="L4716">
        <f>IMAGE("file:///E:/Estudios%20y%20certificaciones/ESTUDIOS%20DE%20PROGRAMMING/PROGRAMMING/PERSONAL/PYTHON/Image_Generator_API/imagenes/T_TAHARI_6620644_BLK_1.jpg")</f>
        <v/>
      </c>
      <c r="M4716">
        <f>IMAGE("file:///E:/Estudios%20y%20certificaciones/ESTUDIOS%20DE%20PROGRAMMING/PROGRAMMING/PERSONAL/PYTHON/Image_Generator_API/imagenes/T_TAHARI_6620644_BLK_2.jpg")</f>
        <v/>
      </c>
      <c r="N4716">
        <f>IMAGE("file:///E:/Estudios%20y%20certificaciones/ESTUDIOS%20DE%20PROGRAMMING/PROGRAMMING/PERSONAL/PYTHON/Image_Generator_API/imagenes/T_TAHARI_6620644_BLK_3.jpg")</f>
        <v/>
      </c>
      <c r="O4716">
        <f>HYPERLINK("imagenes/T_TAHARI_6620644_BLK_1.jpg","Ver imagen")</f>
        <v/>
      </c>
      <c r="P4716">
        <f>HYPERLINK("imagenes/T_TAHARI_6620644_BLK_2.jpg","Ver imagen")</f>
        <v/>
      </c>
      <c r="Q4716">
        <f>HYPERLINK("imagenes/T_TAHARI_6620644_BLK_3.jpg","Ver imagen")</f>
        <v/>
      </c>
    </row>
    <row r="4717">
      <c r="A4717" t="inlineStr">
        <is>
          <t>T TAHARI</t>
        </is>
      </c>
      <c r="B4717" t="inlineStr">
        <is>
          <t>6620644</t>
        </is>
      </c>
      <c r="C4717" t="inlineStr">
        <is>
          <t>SANDRA</t>
        </is>
      </c>
      <c r="D4717" t="inlineStr">
        <is>
          <t>BLK</t>
        </is>
      </c>
      <c r="E4717" t="inlineStr">
        <is>
          <t>(en blanco)</t>
        </is>
      </c>
      <c r="F4717" t="inlineStr">
        <is>
          <t>(en blanco)</t>
        </is>
      </c>
      <c r="G4717" t="inlineStr">
        <is>
          <t>M</t>
        </is>
      </c>
      <c r="H4717" t="n">
        <v>163</v>
      </c>
      <c r="I4717" t="inlineStr">
        <is>
          <t>T_TAHARI_6620644_BLK_1.jpg</t>
        </is>
      </c>
      <c r="J4717" t="inlineStr">
        <is>
          <t>T_TAHARI_6620644_BLK_2.jpg</t>
        </is>
      </c>
      <c r="K4717" t="inlineStr">
        <is>
          <t>T_TAHARI_6620644_BLK_3.jpg</t>
        </is>
      </c>
      <c r="L4717">
        <f>IMAGE("file:///E:/Estudios%20y%20certificaciones/ESTUDIOS%20DE%20PROGRAMMING/PROGRAMMING/PERSONAL/PYTHON/Image_Generator_API/imagenes/T_TAHARI_6620644_BLK_1.jpg")</f>
        <v/>
      </c>
      <c r="M4717">
        <f>IMAGE("file:///E:/Estudios%20y%20certificaciones/ESTUDIOS%20DE%20PROGRAMMING/PROGRAMMING/PERSONAL/PYTHON/Image_Generator_API/imagenes/T_TAHARI_6620644_BLK_2.jpg")</f>
        <v/>
      </c>
      <c r="N4717">
        <f>IMAGE("file:///E:/Estudios%20y%20certificaciones/ESTUDIOS%20DE%20PROGRAMMING/PROGRAMMING/PERSONAL/PYTHON/Image_Generator_API/imagenes/T_TAHARI_6620644_BLK_3.jpg")</f>
        <v/>
      </c>
      <c r="O4717">
        <f>HYPERLINK("imagenes/T_TAHARI_6620644_BLK_1.jpg","Ver imagen")</f>
        <v/>
      </c>
      <c r="P4717">
        <f>HYPERLINK("imagenes/T_TAHARI_6620644_BLK_2.jpg","Ver imagen")</f>
        <v/>
      </c>
      <c r="Q4717">
        <f>HYPERLINK("imagenes/T_TAHARI_6620644_BLK_3.jpg","Ver imagen")</f>
        <v/>
      </c>
    </row>
    <row r="4718">
      <c r="A4718" t="inlineStr">
        <is>
          <t>T TAHARI</t>
        </is>
      </c>
      <c r="B4718" t="inlineStr">
        <is>
          <t>6620644</t>
        </is>
      </c>
      <c r="C4718" t="inlineStr">
        <is>
          <t>SANDRA</t>
        </is>
      </c>
      <c r="D4718" t="inlineStr">
        <is>
          <t>BLK</t>
        </is>
      </c>
      <c r="E4718" t="inlineStr">
        <is>
          <t>(en blanco)</t>
        </is>
      </c>
      <c r="F4718" t="inlineStr">
        <is>
          <t>(en blanco)</t>
        </is>
      </c>
      <c r="G4718" t="inlineStr">
        <is>
          <t>L</t>
        </is>
      </c>
      <c r="H4718" t="n">
        <v>145</v>
      </c>
      <c r="I4718" t="inlineStr">
        <is>
          <t>T_TAHARI_6620644_BLK_1.jpg</t>
        </is>
      </c>
      <c r="J4718" t="inlineStr">
        <is>
          <t>T_TAHARI_6620644_BLK_2.jpg</t>
        </is>
      </c>
      <c r="K4718" t="inlineStr">
        <is>
          <t>T_TAHARI_6620644_BLK_3.jpg</t>
        </is>
      </c>
      <c r="L4718">
        <f>IMAGE("file:///E:/Estudios%20y%20certificaciones/ESTUDIOS%20DE%20PROGRAMMING/PROGRAMMING/PERSONAL/PYTHON/Image_Generator_API/imagenes/T_TAHARI_6620644_BLK_1.jpg")</f>
        <v/>
      </c>
      <c r="M4718">
        <f>IMAGE("file:///E:/Estudios%20y%20certificaciones/ESTUDIOS%20DE%20PROGRAMMING/PROGRAMMING/PERSONAL/PYTHON/Image_Generator_API/imagenes/T_TAHARI_6620644_BLK_2.jpg")</f>
        <v/>
      </c>
      <c r="N4718">
        <f>IMAGE("file:///E:/Estudios%20y%20certificaciones/ESTUDIOS%20DE%20PROGRAMMING/PROGRAMMING/PERSONAL/PYTHON/Image_Generator_API/imagenes/T_TAHARI_6620644_BLK_3.jpg")</f>
        <v/>
      </c>
      <c r="O4718">
        <f>HYPERLINK("imagenes/T_TAHARI_6620644_BLK_1.jpg","Ver imagen")</f>
        <v/>
      </c>
      <c r="P4718">
        <f>HYPERLINK("imagenes/T_TAHARI_6620644_BLK_2.jpg","Ver imagen")</f>
        <v/>
      </c>
      <c r="Q4718">
        <f>HYPERLINK("imagenes/T_TAHARI_6620644_BLK_3.jpg","Ver imagen")</f>
        <v/>
      </c>
    </row>
    <row r="4719">
      <c r="A4719" t="inlineStr">
        <is>
          <t>T TAHARI</t>
        </is>
      </c>
      <c r="B4719" t="inlineStr">
        <is>
          <t>6620644</t>
        </is>
      </c>
      <c r="C4719" t="inlineStr">
        <is>
          <t>SANDRA</t>
        </is>
      </c>
      <c r="D4719" t="inlineStr">
        <is>
          <t>BLK</t>
        </is>
      </c>
      <c r="E4719" t="inlineStr">
        <is>
          <t>(en blanco)</t>
        </is>
      </c>
      <c r="F4719" t="inlineStr">
        <is>
          <t>(en blanco)</t>
        </is>
      </c>
      <c r="G4719" t="inlineStr">
        <is>
          <t>XL</t>
        </is>
      </c>
      <c r="H4719" t="n">
        <v>51</v>
      </c>
      <c r="I4719" t="inlineStr">
        <is>
          <t>T_TAHARI_6620644_BLK_1.jpg</t>
        </is>
      </c>
      <c r="J4719" t="inlineStr">
        <is>
          <t>T_TAHARI_6620644_BLK_2.jpg</t>
        </is>
      </c>
      <c r="K4719" t="inlineStr">
        <is>
          <t>T_TAHARI_6620644_BLK_3.jpg</t>
        </is>
      </c>
      <c r="L4719">
        <f>IMAGE("file:///E:/Estudios%20y%20certificaciones/ESTUDIOS%20DE%20PROGRAMMING/PROGRAMMING/PERSONAL/PYTHON/Image_Generator_API/imagenes/T_TAHARI_6620644_BLK_1.jpg")</f>
        <v/>
      </c>
      <c r="M4719">
        <f>IMAGE("file:///E:/Estudios%20y%20certificaciones/ESTUDIOS%20DE%20PROGRAMMING/PROGRAMMING/PERSONAL/PYTHON/Image_Generator_API/imagenes/T_TAHARI_6620644_BLK_2.jpg")</f>
        <v/>
      </c>
      <c r="N4719">
        <f>IMAGE("file:///E:/Estudios%20y%20certificaciones/ESTUDIOS%20DE%20PROGRAMMING/PROGRAMMING/PERSONAL/PYTHON/Image_Generator_API/imagenes/T_TAHARI_6620644_BLK_3.jpg")</f>
        <v/>
      </c>
      <c r="O4719">
        <f>HYPERLINK("imagenes/T_TAHARI_6620644_BLK_1.jpg","Ver imagen")</f>
        <v/>
      </c>
      <c r="P4719">
        <f>HYPERLINK("imagenes/T_TAHARI_6620644_BLK_2.jpg","Ver imagen")</f>
        <v/>
      </c>
      <c r="Q4719">
        <f>HYPERLINK("imagenes/T_TAHARI_6620644_BLK_3.jpg","Ver imagen")</f>
        <v/>
      </c>
    </row>
    <row r="4720">
      <c r="A4720" t="inlineStr">
        <is>
          <t>T TAHARI</t>
        </is>
      </c>
      <c r="B4720" t="inlineStr">
        <is>
          <t>6620644</t>
        </is>
      </c>
      <c r="C4720" t="inlineStr">
        <is>
          <t>SANDRA</t>
        </is>
      </c>
      <c r="D4720" t="inlineStr">
        <is>
          <t>BUV</t>
        </is>
      </c>
      <c r="E4720" t="inlineStr">
        <is>
          <t>(en blanco)</t>
        </is>
      </c>
      <c r="F4720" t="inlineStr">
        <is>
          <t>(en blanco)</t>
        </is>
      </c>
      <c r="G4720" t="inlineStr">
        <is>
          <t>XS</t>
        </is>
      </c>
      <c r="H4720" t="n">
        <v>3</v>
      </c>
      <c r="I4720" t="inlineStr">
        <is>
          <t>T_TAHARI_6620644_BUV_1.jpg</t>
        </is>
      </c>
      <c r="J4720" t="inlineStr">
        <is>
          <t>T_TAHARI_6620644_BUV_2.jpg</t>
        </is>
      </c>
      <c r="K4720" t="inlineStr">
        <is>
          <t>T_TAHARI_6620644_BUV_3.jpg</t>
        </is>
      </c>
      <c r="L4720">
        <f>IMAGE("file:///E:/Estudios%20y%20certificaciones/ESTUDIOS%20DE%20PROGRAMMING/PROGRAMMING/PERSONAL/PYTHON/Image_Generator_API/imagenes/T_TAHARI_6620644_BUV_1.jpg")</f>
        <v/>
      </c>
      <c r="M4720">
        <f>IMAGE("file:///E:/Estudios%20y%20certificaciones/ESTUDIOS%20DE%20PROGRAMMING/PROGRAMMING/PERSONAL/PYTHON/Image_Generator_API/imagenes/T_TAHARI_6620644_BUV_2.jpg")</f>
        <v/>
      </c>
      <c r="N4720">
        <f>IMAGE("file:///E:/Estudios%20y%20certificaciones/ESTUDIOS%20DE%20PROGRAMMING/PROGRAMMING/PERSONAL/PYTHON/Image_Generator_API/imagenes/T_TAHARI_6620644_BUV_3.jpg")</f>
        <v/>
      </c>
      <c r="O4720">
        <f>HYPERLINK("imagenes/T_TAHARI_6620644_BUV_1.jpg","Ver imagen")</f>
        <v/>
      </c>
      <c r="P4720">
        <f>HYPERLINK("imagenes/T_TAHARI_6620644_BUV_2.jpg","Ver imagen")</f>
        <v/>
      </c>
      <c r="Q4720">
        <f>HYPERLINK("imagenes/T_TAHARI_6620644_BUV_3.jpg","Ver imagen")</f>
        <v/>
      </c>
    </row>
    <row r="4721">
      <c r="A4721" t="inlineStr">
        <is>
          <t>T TAHARI</t>
        </is>
      </c>
      <c r="B4721" t="inlineStr">
        <is>
          <t>6620644</t>
        </is>
      </c>
      <c r="C4721" t="inlineStr">
        <is>
          <t>SANDRA</t>
        </is>
      </c>
      <c r="D4721" t="inlineStr">
        <is>
          <t>BUV</t>
        </is>
      </c>
      <c r="E4721" t="inlineStr">
        <is>
          <t>(en blanco)</t>
        </is>
      </c>
      <c r="F4721" t="inlineStr">
        <is>
          <t>(en blanco)</t>
        </is>
      </c>
      <c r="G4721" t="inlineStr">
        <is>
          <t>S</t>
        </is>
      </c>
      <c r="H4721" t="n">
        <v>18</v>
      </c>
      <c r="I4721" t="inlineStr">
        <is>
          <t>T_TAHARI_6620644_BUV_1.jpg</t>
        </is>
      </c>
      <c r="J4721" t="inlineStr">
        <is>
          <t>T_TAHARI_6620644_BUV_2.jpg</t>
        </is>
      </c>
      <c r="K4721" t="inlineStr">
        <is>
          <t>T_TAHARI_6620644_BUV_3.jpg</t>
        </is>
      </c>
      <c r="L4721">
        <f>IMAGE("file:///E:/Estudios%20y%20certificaciones/ESTUDIOS%20DE%20PROGRAMMING/PROGRAMMING/PERSONAL/PYTHON/Image_Generator_API/imagenes/T_TAHARI_6620644_BUV_1.jpg")</f>
        <v/>
      </c>
      <c r="M4721">
        <f>IMAGE("file:///E:/Estudios%20y%20certificaciones/ESTUDIOS%20DE%20PROGRAMMING/PROGRAMMING/PERSONAL/PYTHON/Image_Generator_API/imagenes/T_TAHARI_6620644_BUV_2.jpg")</f>
        <v/>
      </c>
      <c r="N4721">
        <f>IMAGE("file:///E:/Estudios%20y%20certificaciones/ESTUDIOS%20DE%20PROGRAMMING/PROGRAMMING/PERSONAL/PYTHON/Image_Generator_API/imagenes/T_TAHARI_6620644_BUV_3.jpg")</f>
        <v/>
      </c>
      <c r="O4721">
        <f>HYPERLINK("imagenes/T_TAHARI_6620644_BUV_1.jpg","Ver imagen")</f>
        <v/>
      </c>
      <c r="P4721">
        <f>HYPERLINK("imagenes/T_TAHARI_6620644_BUV_2.jpg","Ver imagen")</f>
        <v/>
      </c>
      <c r="Q4721">
        <f>HYPERLINK("imagenes/T_TAHARI_6620644_BUV_3.jpg","Ver imagen")</f>
        <v/>
      </c>
    </row>
    <row r="4722">
      <c r="A4722" t="inlineStr">
        <is>
          <t>T TAHARI</t>
        </is>
      </c>
      <c r="B4722" t="inlineStr">
        <is>
          <t>6620644</t>
        </is>
      </c>
      <c r="C4722" t="inlineStr">
        <is>
          <t>SANDRA</t>
        </is>
      </c>
      <c r="D4722" t="inlineStr">
        <is>
          <t>BUV</t>
        </is>
      </c>
      <c r="E4722" t="inlineStr">
        <is>
          <t>(en blanco)</t>
        </is>
      </c>
      <c r="F4722" t="inlineStr">
        <is>
          <t>(en blanco)</t>
        </is>
      </c>
      <c r="G4722" t="inlineStr">
        <is>
          <t>M</t>
        </is>
      </c>
      <c r="H4722" t="n">
        <v>8</v>
      </c>
      <c r="I4722" t="inlineStr">
        <is>
          <t>T_TAHARI_6620644_BUV_1.jpg</t>
        </is>
      </c>
      <c r="J4722" t="inlineStr">
        <is>
          <t>T_TAHARI_6620644_BUV_2.jpg</t>
        </is>
      </c>
      <c r="K4722" t="inlineStr">
        <is>
          <t>T_TAHARI_6620644_BUV_3.jpg</t>
        </is>
      </c>
      <c r="L4722">
        <f>IMAGE("file:///E:/Estudios%20y%20certificaciones/ESTUDIOS%20DE%20PROGRAMMING/PROGRAMMING/PERSONAL/PYTHON/Image_Generator_API/imagenes/T_TAHARI_6620644_BUV_1.jpg")</f>
        <v/>
      </c>
      <c r="M4722">
        <f>IMAGE("file:///E:/Estudios%20y%20certificaciones/ESTUDIOS%20DE%20PROGRAMMING/PROGRAMMING/PERSONAL/PYTHON/Image_Generator_API/imagenes/T_TAHARI_6620644_BUV_2.jpg")</f>
        <v/>
      </c>
      <c r="N4722">
        <f>IMAGE("file:///E:/Estudios%20y%20certificaciones/ESTUDIOS%20DE%20PROGRAMMING/PROGRAMMING/PERSONAL/PYTHON/Image_Generator_API/imagenes/T_TAHARI_6620644_BUV_3.jpg")</f>
        <v/>
      </c>
      <c r="O4722">
        <f>HYPERLINK("imagenes/T_TAHARI_6620644_BUV_1.jpg","Ver imagen")</f>
        <v/>
      </c>
      <c r="P4722">
        <f>HYPERLINK("imagenes/T_TAHARI_6620644_BUV_2.jpg","Ver imagen")</f>
        <v/>
      </c>
      <c r="Q4722">
        <f>HYPERLINK("imagenes/T_TAHARI_6620644_BUV_3.jpg","Ver imagen")</f>
        <v/>
      </c>
    </row>
    <row r="4723">
      <c r="A4723" t="inlineStr">
        <is>
          <t>T TAHARI</t>
        </is>
      </c>
      <c r="B4723" t="inlineStr">
        <is>
          <t>6620644</t>
        </is>
      </c>
      <c r="C4723" t="inlineStr">
        <is>
          <t>SANDRA</t>
        </is>
      </c>
      <c r="D4723" t="inlineStr">
        <is>
          <t>BUV</t>
        </is>
      </c>
      <c r="E4723" t="inlineStr">
        <is>
          <t>(en blanco)</t>
        </is>
      </c>
      <c r="F4723" t="inlineStr">
        <is>
          <t>(en blanco)</t>
        </is>
      </c>
      <c r="G4723" t="inlineStr">
        <is>
          <t>L</t>
        </is>
      </c>
      <c r="H4723" t="n">
        <v>10</v>
      </c>
      <c r="I4723" t="inlineStr">
        <is>
          <t>T_TAHARI_6620644_BUV_1.jpg</t>
        </is>
      </c>
      <c r="J4723" t="inlineStr">
        <is>
          <t>T_TAHARI_6620644_BUV_2.jpg</t>
        </is>
      </c>
      <c r="K4723" t="inlineStr">
        <is>
          <t>T_TAHARI_6620644_BUV_3.jpg</t>
        </is>
      </c>
      <c r="L4723">
        <f>IMAGE("file:///E:/Estudios%20y%20certificaciones/ESTUDIOS%20DE%20PROGRAMMING/PROGRAMMING/PERSONAL/PYTHON/Image_Generator_API/imagenes/T_TAHARI_6620644_BUV_1.jpg")</f>
        <v/>
      </c>
      <c r="M4723">
        <f>IMAGE("file:///E:/Estudios%20y%20certificaciones/ESTUDIOS%20DE%20PROGRAMMING/PROGRAMMING/PERSONAL/PYTHON/Image_Generator_API/imagenes/T_TAHARI_6620644_BUV_2.jpg")</f>
        <v/>
      </c>
      <c r="N4723">
        <f>IMAGE("file:///E:/Estudios%20y%20certificaciones/ESTUDIOS%20DE%20PROGRAMMING/PROGRAMMING/PERSONAL/PYTHON/Image_Generator_API/imagenes/T_TAHARI_6620644_BUV_3.jpg")</f>
        <v/>
      </c>
      <c r="O4723">
        <f>HYPERLINK("imagenes/T_TAHARI_6620644_BUV_1.jpg","Ver imagen")</f>
        <v/>
      </c>
      <c r="P4723">
        <f>HYPERLINK("imagenes/T_TAHARI_6620644_BUV_2.jpg","Ver imagen")</f>
        <v/>
      </c>
      <c r="Q4723">
        <f>HYPERLINK("imagenes/T_TAHARI_6620644_BUV_3.jpg","Ver imagen")</f>
        <v/>
      </c>
    </row>
    <row r="4724">
      <c r="A4724" t="inlineStr">
        <is>
          <t>T TAHARI</t>
        </is>
      </c>
      <c r="B4724" t="inlineStr">
        <is>
          <t>6620644</t>
        </is>
      </c>
      <c r="C4724" t="inlineStr">
        <is>
          <t>SANDRA</t>
        </is>
      </c>
      <c r="D4724" t="inlineStr">
        <is>
          <t>BUV</t>
        </is>
      </c>
      <c r="E4724" t="inlineStr">
        <is>
          <t>(en blanco)</t>
        </is>
      </c>
      <c r="F4724" t="inlineStr">
        <is>
          <t>(en blanco)</t>
        </is>
      </c>
      <c r="G4724" t="inlineStr">
        <is>
          <t>XL</t>
        </is>
      </c>
      <c r="H4724" t="n">
        <v>2</v>
      </c>
      <c r="I4724" t="inlineStr">
        <is>
          <t>T_TAHARI_6620644_BUV_1.jpg</t>
        </is>
      </c>
      <c r="J4724" t="inlineStr">
        <is>
          <t>T_TAHARI_6620644_BUV_2.jpg</t>
        </is>
      </c>
      <c r="K4724" t="inlineStr">
        <is>
          <t>T_TAHARI_6620644_BUV_3.jpg</t>
        </is>
      </c>
      <c r="L4724">
        <f>IMAGE("file:///E:/Estudios%20y%20certificaciones/ESTUDIOS%20DE%20PROGRAMMING/PROGRAMMING/PERSONAL/PYTHON/Image_Generator_API/imagenes/T_TAHARI_6620644_BUV_1.jpg")</f>
        <v/>
      </c>
      <c r="M4724">
        <f>IMAGE("file:///E:/Estudios%20y%20certificaciones/ESTUDIOS%20DE%20PROGRAMMING/PROGRAMMING/PERSONAL/PYTHON/Image_Generator_API/imagenes/T_TAHARI_6620644_BUV_2.jpg")</f>
        <v/>
      </c>
      <c r="N4724">
        <f>IMAGE("file:///E:/Estudios%20y%20certificaciones/ESTUDIOS%20DE%20PROGRAMMING/PROGRAMMING/PERSONAL/PYTHON/Image_Generator_API/imagenes/T_TAHARI_6620644_BUV_3.jpg")</f>
        <v/>
      </c>
      <c r="O4724">
        <f>HYPERLINK("imagenes/T_TAHARI_6620644_BUV_1.jpg","Ver imagen")</f>
        <v/>
      </c>
      <c r="P4724">
        <f>HYPERLINK("imagenes/T_TAHARI_6620644_BUV_2.jpg","Ver imagen")</f>
        <v/>
      </c>
      <c r="Q4724">
        <f>HYPERLINK("imagenes/T_TAHARI_6620644_BUV_3.jpg","Ver imagen")</f>
        <v/>
      </c>
    </row>
    <row r="4725">
      <c r="A4725" t="inlineStr">
        <is>
          <t>T TAHARI</t>
        </is>
      </c>
      <c r="B4725" t="inlineStr">
        <is>
          <t>6620644</t>
        </is>
      </c>
      <c r="C4725" t="inlineStr">
        <is>
          <t>SANDRA</t>
        </is>
      </c>
      <c r="D4725" t="inlineStr">
        <is>
          <t>MNK</t>
        </is>
      </c>
      <c r="E4725" t="inlineStr">
        <is>
          <t>(en blanco)</t>
        </is>
      </c>
      <c r="F4725" t="inlineStr">
        <is>
          <t>(en blanco)</t>
        </is>
      </c>
      <c r="G4725" t="inlineStr">
        <is>
          <t>S</t>
        </is>
      </c>
      <c r="H4725" t="n">
        <v>1</v>
      </c>
      <c r="I4725" t="inlineStr">
        <is>
          <t>T_TAHARI_6620644_MNK_2.jpg</t>
        </is>
      </c>
      <c r="J4725" t="inlineStr">
        <is>
          <t>T_TAHARI_6620644_MNK_3.jpg</t>
        </is>
      </c>
      <c r="L4725">
        <f>IMAGE("file:///E:/Estudios%20y%20certificaciones/ESTUDIOS%20DE%20PROGRAMMING/PROGRAMMING/PERSONAL/PYTHON/Image_Generator_API/imagenes/T_TAHARI_6620644_MNK_2.jpg")</f>
        <v/>
      </c>
      <c r="M4725">
        <f>IMAGE("file:///E:/Estudios%20y%20certificaciones/ESTUDIOS%20DE%20PROGRAMMING/PROGRAMMING/PERSONAL/PYTHON/Image_Generator_API/imagenes/T_TAHARI_6620644_MNK_3.jpg")</f>
        <v/>
      </c>
      <c r="O4725">
        <f>HYPERLINK("imagenes/T_TAHARI_6620644_MNK_2.jpg","Ver imagen")</f>
        <v/>
      </c>
      <c r="P4725">
        <f>HYPERLINK("imagenes/T_TAHARI_6620644_MNK_3.jpg","Ver imagen")</f>
        <v/>
      </c>
    </row>
    <row r="4726">
      <c r="A4726" t="inlineStr">
        <is>
          <t>T TAHARI</t>
        </is>
      </c>
      <c r="B4726" t="inlineStr">
        <is>
          <t>6620644</t>
        </is>
      </c>
      <c r="C4726" t="inlineStr">
        <is>
          <t>SANDRA</t>
        </is>
      </c>
      <c r="D4726" t="inlineStr">
        <is>
          <t>MNK</t>
        </is>
      </c>
      <c r="E4726" t="inlineStr">
        <is>
          <t>(en blanco)</t>
        </is>
      </c>
      <c r="F4726" t="inlineStr">
        <is>
          <t>(en blanco)</t>
        </is>
      </c>
      <c r="G4726" t="inlineStr">
        <is>
          <t>M</t>
        </is>
      </c>
      <c r="H4726" t="n">
        <v>13</v>
      </c>
      <c r="I4726" t="inlineStr">
        <is>
          <t>T_TAHARI_6620644_MNK_2.jpg</t>
        </is>
      </c>
      <c r="J4726" t="inlineStr">
        <is>
          <t>T_TAHARI_6620644_MNK_3.jpg</t>
        </is>
      </c>
      <c r="L4726">
        <f>IMAGE("file:///E:/Estudios%20y%20certificaciones/ESTUDIOS%20DE%20PROGRAMMING/PROGRAMMING/PERSONAL/PYTHON/Image_Generator_API/imagenes/T_TAHARI_6620644_MNK_2.jpg")</f>
        <v/>
      </c>
      <c r="M4726">
        <f>IMAGE("file:///E:/Estudios%20y%20certificaciones/ESTUDIOS%20DE%20PROGRAMMING/PROGRAMMING/PERSONAL/PYTHON/Image_Generator_API/imagenes/T_TAHARI_6620644_MNK_3.jpg")</f>
        <v/>
      </c>
      <c r="O4726">
        <f>HYPERLINK("imagenes/T_TAHARI_6620644_MNK_2.jpg","Ver imagen")</f>
        <v/>
      </c>
      <c r="P4726">
        <f>HYPERLINK("imagenes/T_TAHARI_6620644_MNK_3.jpg","Ver imagen")</f>
        <v/>
      </c>
    </row>
    <row r="4727">
      <c r="A4727" t="inlineStr">
        <is>
          <t>T TAHARI</t>
        </is>
      </c>
      <c r="B4727" t="inlineStr">
        <is>
          <t>6620645</t>
        </is>
      </c>
      <c r="C4727" t="inlineStr">
        <is>
          <t>RACHEL</t>
        </is>
      </c>
      <c r="D4727" t="inlineStr">
        <is>
          <t>ASH</t>
        </is>
      </c>
      <c r="E4727" t="inlineStr">
        <is>
          <t>(en blanco)</t>
        </is>
      </c>
      <c r="F4727" t="inlineStr">
        <is>
          <t>(en blanco)</t>
        </is>
      </c>
      <c r="G4727" t="inlineStr">
        <is>
          <t>L</t>
        </is>
      </c>
      <c r="H4727" t="n">
        <v>1</v>
      </c>
      <c r="I4727" t="inlineStr">
        <is>
          <t>T_TAHARI_6620645_ASH_1.jpg</t>
        </is>
      </c>
      <c r="J4727" t="inlineStr">
        <is>
          <t>T_TAHARI_6620645_ASH_2.jpg</t>
        </is>
      </c>
      <c r="K4727" t="inlineStr">
        <is>
          <t>T_TAHARI_6620645_ASH_3.jpg</t>
        </is>
      </c>
      <c r="L4727">
        <f>IMAGE("file:///E:/Estudios%20y%20certificaciones/ESTUDIOS%20DE%20PROGRAMMING/PROGRAMMING/PERSONAL/PYTHON/Image_Generator_API/imagenes/T_TAHARI_6620645_ASH_1.jpg")</f>
        <v/>
      </c>
      <c r="M4727">
        <f>IMAGE("file:///E:/Estudios%20y%20certificaciones/ESTUDIOS%20DE%20PROGRAMMING/PROGRAMMING/PERSONAL/PYTHON/Image_Generator_API/imagenes/T_TAHARI_6620645_ASH_2.jpg")</f>
        <v/>
      </c>
      <c r="N4727">
        <f>IMAGE("file:///E:/Estudios%20y%20certificaciones/ESTUDIOS%20DE%20PROGRAMMING/PROGRAMMING/PERSONAL/PYTHON/Image_Generator_API/imagenes/T_TAHARI_6620645_ASH_3.jpg")</f>
        <v/>
      </c>
      <c r="O4727">
        <f>HYPERLINK("imagenes/T_TAHARI_6620645_ASH_1.jpg","Ver imagen")</f>
        <v/>
      </c>
      <c r="P4727">
        <f>HYPERLINK("imagenes/T_TAHARI_6620645_ASH_2.jpg","Ver imagen")</f>
        <v/>
      </c>
      <c r="Q4727">
        <f>HYPERLINK("imagenes/T_TAHARI_6620645_ASH_3.jpg","Ver imagen")</f>
        <v/>
      </c>
    </row>
    <row r="4728">
      <c r="A4728" t="inlineStr">
        <is>
          <t>T TAHARI</t>
        </is>
      </c>
      <c r="B4728" t="inlineStr">
        <is>
          <t>6620645</t>
        </is>
      </c>
      <c r="C4728" t="inlineStr">
        <is>
          <t>RACHEL</t>
        </is>
      </c>
      <c r="D4728" t="inlineStr">
        <is>
          <t>ASH</t>
        </is>
      </c>
      <c r="E4728" t="inlineStr">
        <is>
          <t>(en blanco)</t>
        </is>
      </c>
      <c r="F4728" t="inlineStr">
        <is>
          <t>(en blanco)</t>
        </is>
      </c>
      <c r="G4728" t="inlineStr">
        <is>
          <t>XXL</t>
        </is>
      </c>
      <c r="H4728" t="n">
        <v>1</v>
      </c>
      <c r="I4728" t="inlineStr">
        <is>
          <t>T_TAHARI_6620645_ASH_1.jpg</t>
        </is>
      </c>
      <c r="J4728" t="inlineStr">
        <is>
          <t>T_TAHARI_6620645_ASH_2.jpg</t>
        </is>
      </c>
      <c r="K4728" t="inlineStr">
        <is>
          <t>T_TAHARI_6620645_ASH_3.jpg</t>
        </is>
      </c>
      <c r="L4728">
        <f>IMAGE("file:///E:/Estudios%20y%20certificaciones/ESTUDIOS%20DE%20PROGRAMMING/PROGRAMMING/PERSONAL/PYTHON/Image_Generator_API/imagenes/T_TAHARI_6620645_ASH_1.jpg")</f>
        <v/>
      </c>
      <c r="M4728">
        <f>IMAGE("file:///E:/Estudios%20y%20certificaciones/ESTUDIOS%20DE%20PROGRAMMING/PROGRAMMING/PERSONAL/PYTHON/Image_Generator_API/imagenes/T_TAHARI_6620645_ASH_2.jpg")</f>
        <v/>
      </c>
      <c r="N4728">
        <f>IMAGE("file:///E:/Estudios%20y%20certificaciones/ESTUDIOS%20DE%20PROGRAMMING/PROGRAMMING/PERSONAL/PYTHON/Image_Generator_API/imagenes/T_TAHARI_6620645_ASH_3.jpg")</f>
        <v/>
      </c>
      <c r="O4728">
        <f>HYPERLINK("imagenes/T_TAHARI_6620645_ASH_1.jpg","Ver imagen")</f>
        <v/>
      </c>
      <c r="P4728">
        <f>HYPERLINK("imagenes/T_TAHARI_6620645_ASH_2.jpg","Ver imagen")</f>
        <v/>
      </c>
      <c r="Q4728">
        <f>HYPERLINK("imagenes/T_TAHARI_6620645_ASH_3.jpg","Ver imagen")</f>
        <v/>
      </c>
    </row>
    <row r="4729">
      <c r="A4729" t="inlineStr">
        <is>
          <t>T TAHARI</t>
        </is>
      </c>
      <c r="B4729" t="inlineStr">
        <is>
          <t>6620645</t>
        </is>
      </c>
      <c r="C4729" t="inlineStr">
        <is>
          <t>RACHEL</t>
        </is>
      </c>
      <c r="D4729" t="inlineStr">
        <is>
          <t>BLK</t>
        </is>
      </c>
      <c r="E4729" t="inlineStr">
        <is>
          <t>(en blanco)</t>
        </is>
      </c>
      <c r="F4729" t="inlineStr">
        <is>
          <t>(en blanco)</t>
        </is>
      </c>
      <c r="G4729" t="inlineStr">
        <is>
          <t>XL</t>
        </is>
      </c>
      <c r="H4729" t="n">
        <v>1</v>
      </c>
      <c r="I4729" t="inlineStr">
        <is>
          <t>T_TAHARI_6620645_BLK_1.jpg</t>
        </is>
      </c>
      <c r="J4729" t="inlineStr">
        <is>
          <t>T_TAHARI_6620645_BLK_2.jpg</t>
        </is>
      </c>
      <c r="K4729" t="inlineStr">
        <is>
          <t>T_TAHARI_6620645_BLK_3.jpg</t>
        </is>
      </c>
      <c r="L4729">
        <f>IMAGE("file:///E:/Estudios%20y%20certificaciones/ESTUDIOS%20DE%20PROGRAMMING/PROGRAMMING/PERSONAL/PYTHON/Image_Generator_API/imagenes/T_TAHARI_6620645_BLK_1.jpg")</f>
        <v/>
      </c>
      <c r="M4729">
        <f>IMAGE("file:///E:/Estudios%20y%20certificaciones/ESTUDIOS%20DE%20PROGRAMMING/PROGRAMMING/PERSONAL/PYTHON/Image_Generator_API/imagenes/T_TAHARI_6620645_BLK_2.jpg")</f>
        <v/>
      </c>
      <c r="N4729">
        <f>IMAGE("file:///E:/Estudios%20y%20certificaciones/ESTUDIOS%20DE%20PROGRAMMING/PROGRAMMING/PERSONAL/PYTHON/Image_Generator_API/imagenes/T_TAHARI_6620645_BLK_3.jpg")</f>
        <v/>
      </c>
      <c r="O4729">
        <f>HYPERLINK("imagenes/T_TAHARI_6620645_BLK_1.jpg","Ver imagen")</f>
        <v/>
      </c>
      <c r="P4729">
        <f>HYPERLINK("imagenes/T_TAHARI_6620645_BLK_2.jpg","Ver imagen")</f>
        <v/>
      </c>
      <c r="Q4729">
        <f>HYPERLINK("imagenes/T_TAHARI_6620645_BLK_3.jpg","Ver imagen")</f>
        <v/>
      </c>
    </row>
    <row r="4730">
      <c r="A4730" t="inlineStr">
        <is>
          <t>T TAHARI</t>
        </is>
      </c>
      <c r="B4730" t="inlineStr">
        <is>
          <t>6620645</t>
        </is>
      </c>
      <c r="C4730" t="inlineStr">
        <is>
          <t>RACHEL</t>
        </is>
      </c>
      <c r="D4730" t="inlineStr">
        <is>
          <t>BLK</t>
        </is>
      </c>
      <c r="E4730" t="inlineStr">
        <is>
          <t>(en blanco)</t>
        </is>
      </c>
      <c r="F4730" t="inlineStr">
        <is>
          <t>(en blanco)</t>
        </is>
      </c>
      <c r="G4730" t="inlineStr">
        <is>
          <t>XXL</t>
        </is>
      </c>
      <c r="H4730" t="n">
        <v>1</v>
      </c>
      <c r="I4730" t="inlineStr">
        <is>
          <t>T_TAHARI_6620645_BLK_1.jpg</t>
        </is>
      </c>
      <c r="J4730" t="inlineStr">
        <is>
          <t>T_TAHARI_6620645_BLK_2.jpg</t>
        </is>
      </c>
      <c r="K4730" t="inlineStr">
        <is>
          <t>T_TAHARI_6620645_BLK_3.jpg</t>
        </is>
      </c>
      <c r="L4730">
        <f>IMAGE("file:///E:/Estudios%20y%20certificaciones/ESTUDIOS%20DE%20PROGRAMMING/PROGRAMMING/PERSONAL/PYTHON/Image_Generator_API/imagenes/T_TAHARI_6620645_BLK_1.jpg")</f>
        <v/>
      </c>
      <c r="M4730">
        <f>IMAGE("file:///E:/Estudios%20y%20certificaciones/ESTUDIOS%20DE%20PROGRAMMING/PROGRAMMING/PERSONAL/PYTHON/Image_Generator_API/imagenes/T_TAHARI_6620645_BLK_2.jpg")</f>
        <v/>
      </c>
      <c r="N4730">
        <f>IMAGE("file:///E:/Estudios%20y%20certificaciones/ESTUDIOS%20DE%20PROGRAMMING/PROGRAMMING/PERSONAL/PYTHON/Image_Generator_API/imagenes/T_TAHARI_6620645_BLK_3.jpg")</f>
        <v/>
      </c>
      <c r="O4730">
        <f>HYPERLINK("imagenes/T_TAHARI_6620645_BLK_1.jpg","Ver imagen")</f>
        <v/>
      </c>
      <c r="P4730">
        <f>HYPERLINK("imagenes/T_TAHARI_6620645_BLK_2.jpg","Ver imagen")</f>
        <v/>
      </c>
      <c r="Q4730">
        <f>HYPERLINK("imagenes/T_TAHARI_6620645_BLK_3.jpg","Ver imagen")</f>
        <v/>
      </c>
    </row>
    <row r="4731">
      <c r="A4731" t="inlineStr">
        <is>
          <t>T TAHARI</t>
        </is>
      </c>
      <c r="B4731" t="inlineStr">
        <is>
          <t>6620645</t>
        </is>
      </c>
      <c r="C4731" t="inlineStr">
        <is>
          <t>RACHEL</t>
        </is>
      </c>
      <c r="D4731" t="inlineStr">
        <is>
          <t>CAR</t>
        </is>
      </c>
      <c r="E4731" t="inlineStr">
        <is>
          <t>(en blanco)</t>
        </is>
      </c>
      <c r="F4731" t="inlineStr">
        <is>
          <t>(en blanco)</t>
        </is>
      </c>
      <c r="G4731" t="inlineStr">
        <is>
          <t>XXL</t>
        </is>
      </c>
      <c r="H4731" t="n">
        <v>2</v>
      </c>
      <c r="I4731" t="inlineStr">
        <is>
          <t>T_TAHARI_6620645_CAR_1.jpg</t>
        </is>
      </c>
      <c r="J4731" t="inlineStr">
        <is>
          <t>T_TAHARI_6620645_CAR_2.jpg</t>
        </is>
      </c>
      <c r="K4731" t="inlineStr">
        <is>
          <t>T_TAHARI_6620645_CAR_3.jpg</t>
        </is>
      </c>
      <c r="L4731">
        <f>IMAGE("file:///E:/Estudios%20y%20certificaciones/ESTUDIOS%20DE%20PROGRAMMING/PROGRAMMING/PERSONAL/PYTHON/Image_Generator_API/imagenes/T_TAHARI_6620645_CAR_1.jpg")</f>
        <v/>
      </c>
      <c r="M4731">
        <f>IMAGE("file:///E:/Estudios%20y%20certificaciones/ESTUDIOS%20DE%20PROGRAMMING/PROGRAMMING/PERSONAL/PYTHON/Image_Generator_API/imagenes/T_TAHARI_6620645_CAR_2.jpg")</f>
        <v/>
      </c>
      <c r="N4731">
        <f>IMAGE("file:///E:/Estudios%20y%20certificaciones/ESTUDIOS%20DE%20PROGRAMMING/PROGRAMMING/PERSONAL/PYTHON/Image_Generator_API/imagenes/T_TAHARI_6620645_CAR_3.jpg")</f>
        <v/>
      </c>
      <c r="O4731">
        <f>HYPERLINK("imagenes/T_TAHARI_6620645_CAR_1.jpg","Ver imagen")</f>
        <v/>
      </c>
      <c r="P4731">
        <f>HYPERLINK("imagenes/T_TAHARI_6620645_CAR_2.jpg","Ver imagen")</f>
        <v/>
      </c>
      <c r="Q4731">
        <f>HYPERLINK("imagenes/T_TAHARI_6620645_CAR_3.jpg","Ver imagen")</f>
        <v/>
      </c>
    </row>
    <row r="4732">
      <c r="A4732" t="inlineStr">
        <is>
          <t>T TAHARI</t>
        </is>
      </c>
      <c r="B4732" t="inlineStr">
        <is>
          <t>6620645</t>
        </is>
      </c>
      <c r="C4732" t="inlineStr">
        <is>
          <t>RACHEL</t>
        </is>
      </c>
      <c r="D4732" t="inlineStr">
        <is>
          <t>SFA</t>
        </is>
      </c>
      <c r="E4732" t="inlineStr">
        <is>
          <t>(en blanco)</t>
        </is>
      </c>
      <c r="F4732" t="inlineStr">
        <is>
          <t>(en blanco)</t>
        </is>
      </c>
      <c r="G4732" t="inlineStr">
        <is>
          <t>XL</t>
        </is>
      </c>
      <c r="H4732" t="n">
        <v>1</v>
      </c>
      <c r="I4732" t="inlineStr">
        <is>
          <t>T_TAHARI_6620645_SFA_1.jpg</t>
        </is>
      </c>
      <c r="J4732" t="inlineStr">
        <is>
          <t>T_TAHARI_6620645_SFA_2.jpg</t>
        </is>
      </c>
      <c r="K4732" t="inlineStr">
        <is>
          <t>T_TAHARI_6620645_SFA_3.jpg</t>
        </is>
      </c>
      <c r="L4732">
        <f>IMAGE("file:///E:/Estudios%20y%20certificaciones/ESTUDIOS%20DE%20PROGRAMMING/PROGRAMMING/PERSONAL/PYTHON/Image_Generator_API/imagenes/T_TAHARI_6620645_SFA_1.jpg")</f>
        <v/>
      </c>
      <c r="M4732">
        <f>IMAGE("file:///E:/Estudios%20y%20certificaciones/ESTUDIOS%20DE%20PROGRAMMING/PROGRAMMING/PERSONAL/PYTHON/Image_Generator_API/imagenes/T_TAHARI_6620645_SFA_2.jpg")</f>
        <v/>
      </c>
      <c r="N4732">
        <f>IMAGE("file:///E:/Estudios%20y%20certificaciones/ESTUDIOS%20DE%20PROGRAMMING/PROGRAMMING/PERSONAL/PYTHON/Image_Generator_API/imagenes/T_TAHARI_6620645_SFA_3.jpg")</f>
        <v/>
      </c>
      <c r="O4732">
        <f>HYPERLINK("imagenes/T_TAHARI_6620645_SFA_1.jpg","Ver imagen")</f>
        <v/>
      </c>
      <c r="P4732">
        <f>HYPERLINK("imagenes/T_TAHARI_6620645_SFA_2.jpg","Ver imagen")</f>
        <v/>
      </c>
      <c r="Q4732">
        <f>HYPERLINK("imagenes/T_TAHARI_6620645_SFA_3.jpg","Ver imagen")</f>
        <v/>
      </c>
    </row>
    <row r="4733">
      <c r="A4733" t="inlineStr">
        <is>
          <t>T TAHARI</t>
        </is>
      </c>
      <c r="B4733" t="inlineStr">
        <is>
          <t>6620685</t>
        </is>
      </c>
      <c r="C4733" t="inlineStr">
        <is>
          <t>JULIETTE</t>
        </is>
      </c>
      <c r="D4733" t="inlineStr">
        <is>
          <t>BLK</t>
        </is>
      </c>
      <c r="E4733" t="inlineStr">
        <is>
          <t>(en blanco)</t>
        </is>
      </c>
      <c r="F4733" t="inlineStr">
        <is>
          <t>(en blanco)</t>
        </is>
      </c>
      <c r="G4733" t="inlineStr">
        <is>
          <t>XS</t>
        </is>
      </c>
      <c r="H4733" t="n">
        <v>104</v>
      </c>
      <c r="I4733" t="inlineStr">
        <is>
          <t>T_TAHARI_6620685_BLK_2.jpg</t>
        </is>
      </c>
      <c r="J4733" t="inlineStr">
        <is>
          <t>T_TAHARI_6620685_BLK_3.jpg</t>
        </is>
      </c>
      <c r="L4733">
        <f>IMAGE("file:///E:/Estudios%20y%20certificaciones/ESTUDIOS%20DE%20PROGRAMMING/PROGRAMMING/PERSONAL/PYTHON/Image_Generator_API/imagenes/T_TAHARI_6620685_BLK_2.jpg")</f>
        <v/>
      </c>
      <c r="M4733">
        <f>IMAGE("file:///E:/Estudios%20y%20certificaciones/ESTUDIOS%20DE%20PROGRAMMING/PROGRAMMING/PERSONAL/PYTHON/Image_Generator_API/imagenes/T_TAHARI_6620685_BLK_3.jpg")</f>
        <v/>
      </c>
      <c r="O4733">
        <f>HYPERLINK("imagenes/T_TAHARI_6620685_BLK_2.jpg","Ver imagen")</f>
        <v/>
      </c>
      <c r="P4733">
        <f>HYPERLINK("imagenes/T_TAHARI_6620685_BLK_3.jpg","Ver imagen")</f>
        <v/>
      </c>
    </row>
    <row r="4734">
      <c r="A4734" t="inlineStr">
        <is>
          <t>T TAHARI</t>
        </is>
      </c>
      <c r="B4734" t="inlineStr">
        <is>
          <t>6620685</t>
        </is>
      </c>
      <c r="C4734" t="inlineStr">
        <is>
          <t>JULIETTE</t>
        </is>
      </c>
      <c r="D4734" t="inlineStr">
        <is>
          <t>BLK</t>
        </is>
      </c>
      <c r="E4734" t="inlineStr">
        <is>
          <t>(en blanco)</t>
        </is>
      </c>
      <c r="F4734" t="inlineStr">
        <is>
          <t>(en blanco)</t>
        </is>
      </c>
      <c r="G4734" t="inlineStr">
        <is>
          <t>S</t>
        </is>
      </c>
      <c r="H4734" t="n">
        <v>170</v>
      </c>
      <c r="I4734" t="inlineStr">
        <is>
          <t>T_TAHARI_6620685_BLK_2.jpg</t>
        </is>
      </c>
      <c r="J4734" t="inlineStr">
        <is>
          <t>T_TAHARI_6620685_BLK_3.jpg</t>
        </is>
      </c>
      <c r="L4734">
        <f>IMAGE("file:///E:/Estudios%20y%20certificaciones/ESTUDIOS%20DE%20PROGRAMMING/PROGRAMMING/PERSONAL/PYTHON/Image_Generator_API/imagenes/T_TAHARI_6620685_BLK_2.jpg")</f>
        <v/>
      </c>
      <c r="M4734">
        <f>IMAGE("file:///E:/Estudios%20y%20certificaciones/ESTUDIOS%20DE%20PROGRAMMING/PROGRAMMING/PERSONAL/PYTHON/Image_Generator_API/imagenes/T_TAHARI_6620685_BLK_3.jpg")</f>
        <v/>
      </c>
      <c r="O4734">
        <f>HYPERLINK("imagenes/T_TAHARI_6620685_BLK_2.jpg","Ver imagen")</f>
        <v/>
      </c>
      <c r="P4734">
        <f>HYPERLINK("imagenes/T_TAHARI_6620685_BLK_3.jpg","Ver imagen")</f>
        <v/>
      </c>
    </row>
    <row r="4735">
      <c r="A4735" t="inlineStr">
        <is>
          <t>T TAHARI</t>
        </is>
      </c>
      <c r="B4735" t="inlineStr">
        <is>
          <t>6620685</t>
        </is>
      </c>
      <c r="C4735" t="inlineStr">
        <is>
          <t>JULIETTE</t>
        </is>
      </c>
      <c r="D4735" t="inlineStr">
        <is>
          <t>BLK</t>
        </is>
      </c>
      <c r="E4735" t="inlineStr">
        <is>
          <t>(en blanco)</t>
        </is>
      </c>
      <c r="F4735" t="inlineStr">
        <is>
          <t>(en blanco)</t>
        </is>
      </c>
      <c r="G4735" t="inlineStr">
        <is>
          <t>M</t>
        </is>
      </c>
      <c r="H4735" t="n">
        <v>99</v>
      </c>
      <c r="I4735" t="inlineStr">
        <is>
          <t>T_TAHARI_6620685_BLK_2.jpg</t>
        </is>
      </c>
      <c r="J4735" t="inlineStr">
        <is>
          <t>T_TAHARI_6620685_BLK_3.jpg</t>
        </is>
      </c>
      <c r="L4735">
        <f>IMAGE("file:///E:/Estudios%20y%20certificaciones/ESTUDIOS%20DE%20PROGRAMMING/PROGRAMMING/PERSONAL/PYTHON/Image_Generator_API/imagenes/T_TAHARI_6620685_BLK_2.jpg")</f>
        <v/>
      </c>
      <c r="M4735">
        <f>IMAGE("file:///E:/Estudios%20y%20certificaciones/ESTUDIOS%20DE%20PROGRAMMING/PROGRAMMING/PERSONAL/PYTHON/Image_Generator_API/imagenes/T_TAHARI_6620685_BLK_3.jpg")</f>
        <v/>
      </c>
      <c r="O4735">
        <f>HYPERLINK("imagenes/T_TAHARI_6620685_BLK_2.jpg","Ver imagen")</f>
        <v/>
      </c>
      <c r="P4735">
        <f>HYPERLINK("imagenes/T_TAHARI_6620685_BLK_3.jpg","Ver imagen")</f>
        <v/>
      </c>
    </row>
    <row r="4736">
      <c r="A4736" t="inlineStr">
        <is>
          <t>T TAHARI</t>
        </is>
      </c>
      <c r="B4736" t="inlineStr">
        <is>
          <t>6620685</t>
        </is>
      </c>
      <c r="C4736" t="inlineStr">
        <is>
          <t>JULIETTE</t>
        </is>
      </c>
      <c r="D4736" t="inlineStr">
        <is>
          <t>BLK</t>
        </is>
      </c>
      <c r="E4736" t="inlineStr">
        <is>
          <t>(en blanco)</t>
        </is>
      </c>
      <c r="F4736" t="inlineStr">
        <is>
          <t>(en blanco)</t>
        </is>
      </c>
      <c r="G4736" t="inlineStr">
        <is>
          <t>L</t>
        </is>
      </c>
      <c r="H4736" t="n">
        <v>36</v>
      </c>
      <c r="I4736" t="inlineStr">
        <is>
          <t>T_TAHARI_6620685_BLK_2.jpg</t>
        </is>
      </c>
      <c r="J4736" t="inlineStr">
        <is>
          <t>T_TAHARI_6620685_BLK_3.jpg</t>
        </is>
      </c>
      <c r="L4736">
        <f>IMAGE("file:///E:/Estudios%20y%20certificaciones/ESTUDIOS%20DE%20PROGRAMMING/PROGRAMMING/PERSONAL/PYTHON/Image_Generator_API/imagenes/T_TAHARI_6620685_BLK_2.jpg")</f>
        <v/>
      </c>
      <c r="M4736">
        <f>IMAGE("file:///E:/Estudios%20y%20certificaciones/ESTUDIOS%20DE%20PROGRAMMING/PROGRAMMING/PERSONAL/PYTHON/Image_Generator_API/imagenes/T_TAHARI_6620685_BLK_3.jpg")</f>
        <v/>
      </c>
      <c r="O4736">
        <f>HYPERLINK("imagenes/T_TAHARI_6620685_BLK_2.jpg","Ver imagen")</f>
        <v/>
      </c>
      <c r="P4736">
        <f>HYPERLINK("imagenes/T_TAHARI_6620685_BLK_3.jpg","Ver imagen")</f>
        <v/>
      </c>
    </row>
    <row r="4737">
      <c r="A4737" t="inlineStr">
        <is>
          <t>T TAHARI</t>
        </is>
      </c>
      <c r="B4737" t="inlineStr">
        <is>
          <t>6620685</t>
        </is>
      </c>
      <c r="C4737" t="inlineStr">
        <is>
          <t>JULIETTE</t>
        </is>
      </c>
      <c r="D4737" t="inlineStr">
        <is>
          <t>BLK</t>
        </is>
      </c>
      <c r="E4737" t="inlineStr">
        <is>
          <t>(en blanco)</t>
        </is>
      </c>
      <c r="F4737" t="inlineStr">
        <is>
          <t>(en blanco)</t>
        </is>
      </c>
      <c r="G4737" t="inlineStr">
        <is>
          <t>XL</t>
        </is>
      </c>
      <c r="H4737" t="n">
        <v>1</v>
      </c>
      <c r="I4737" t="inlineStr">
        <is>
          <t>T_TAHARI_6620685_BLK_2.jpg</t>
        </is>
      </c>
      <c r="J4737" t="inlineStr">
        <is>
          <t>T_TAHARI_6620685_BLK_3.jpg</t>
        </is>
      </c>
      <c r="L4737">
        <f>IMAGE("file:///E:/Estudios%20y%20certificaciones/ESTUDIOS%20DE%20PROGRAMMING/PROGRAMMING/PERSONAL/PYTHON/Image_Generator_API/imagenes/T_TAHARI_6620685_BLK_2.jpg")</f>
        <v/>
      </c>
      <c r="M4737">
        <f>IMAGE("file:///E:/Estudios%20y%20certificaciones/ESTUDIOS%20DE%20PROGRAMMING/PROGRAMMING/PERSONAL/PYTHON/Image_Generator_API/imagenes/T_TAHARI_6620685_BLK_3.jpg")</f>
        <v/>
      </c>
      <c r="O4737">
        <f>HYPERLINK("imagenes/T_TAHARI_6620685_BLK_2.jpg","Ver imagen")</f>
        <v/>
      </c>
      <c r="P4737">
        <f>HYPERLINK("imagenes/T_TAHARI_6620685_BLK_3.jpg","Ver imagen")</f>
        <v/>
      </c>
    </row>
    <row r="4738">
      <c r="A4738" t="inlineStr">
        <is>
          <t>T TAHARI</t>
        </is>
      </c>
      <c r="B4738" t="inlineStr">
        <is>
          <t>6620685</t>
        </is>
      </c>
      <c r="C4738" t="inlineStr">
        <is>
          <t>JULIETTE</t>
        </is>
      </c>
      <c r="D4738" t="inlineStr">
        <is>
          <t>BLK</t>
        </is>
      </c>
      <c r="E4738" t="inlineStr">
        <is>
          <t>(en blanco)</t>
        </is>
      </c>
      <c r="F4738" t="inlineStr">
        <is>
          <t>(en blanco)</t>
        </is>
      </c>
      <c r="G4738" t="inlineStr">
        <is>
          <t>XXS</t>
        </is>
      </c>
      <c r="H4738" t="n">
        <v>18</v>
      </c>
      <c r="I4738" t="inlineStr">
        <is>
          <t>T_TAHARI_6620685_BLK_2.jpg</t>
        </is>
      </c>
      <c r="J4738" t="inlineStr">
        <is>
          <t>T_TAHARI_6620685_BLK_3.jpg</t>
        </is>
      </c>
      <c r="L4738">
        <f>IMAGE("file:///E:/Estudios%20y%20certificaciones/ESTUDIOS%20DE%20PROGRAMMING/PROGRAMMING/PERSONAL/PYTHON/Image_Generator_API/imagenes/T_TAHARI_6620685_BLK_2.jpg")</f>
        <v/>
      </c>
      <c r="M4738">
        <f>IMAGE("file:///E:/Estudios%20y%20certificaciones/ESTUDIOS%20DE%20PROGRAMMING/PROGRAMMING/PERSONAL/PYTHON/Image_Generator_API/imagenes/T_TAHARI_6620685_BLK_3.jpg")</f>
        <v/>
      </c>
      <c r="O4738">
        <f>HYPERLINK("imagenes/T_TAHARI_6620685_BLK_2.jpg","Ver imagen")</f>
        <v/>
      </c>
      <c r="P4738">
        <f>HYPERLINK("imagenes/T_TAHARI_6620685_BLK_3.jpg","Ver imagen")</f>
        <v/>
      </c>
    </row>
    <row r="4739">
      <c r="A4739" t="inlineStr">
        <is>
          <t>T TAHARI</t>
        </is>
      </c>
      <c r="B4739" t="inlineStr">
        <is>
          <t>6620685</t>
        </is>
      </c>
      <c r="C4739" t="inlineStr">
        <is>
          <t>JULIETTE</t>
        </is>
      </c>
      <c r="D4739" t="inlineStr">
        <is>
          <t>CAR</t>
        </is>
      </c>
      <c r="E4739" t="inlineStr">
        <is>
          <t>(en blanco)</t>
        </is>
      </c>
      <c r="F4739" t="inlineStr">
        <is>
          <t>(en blanco)</t>
        </is>
      </c>
      <c r="G4739" t="inlineStr">
        <is>
          <t>XS</t>
        </is>
      </c>
      <c r="H4739" t="n">
        <v>88</v>
      </c>
      <c r="I4739" t="inlineStr">
        <is>
          <t>T_TAHARI_6620685_CAR_2.jpg</t>
        </is>
      </c>
      <c r="J4739" t="inlineStr">
        <is>
          <t>T_TAHARI_6620685_CAR_3.jpg</t>
        </is>
      </c>
      <c r="L4739">
        <f>IMAGE("file:///E:/Estudios%20y%20certificaciones/ESTUDIOS%20DE%20PROGRAMMING/PROGRAMMING/PERSONAL/PYTHON/Image_Generator_API/imagenes/T_TAHARI_6620685_CAR_2.jpg")</f>
        <v/>
      </c>
      <c r="M4739">
        <f>IMAGE("file:///E:/Estudios%20y%20certificaciones/ESTUDIOS%20DE%20PROGRAMMING/PROGRAMMING/PERSONAL/PYTHON/Image_Generator_API/imagenes/T_TAHARI_6620685_CAR_3.jpg")</f>
        <v/>
      </c>
      <c r="O4739">
        <f>HYPERLINK("imagenes/T_TAHARI_6620685_CAR_2.jpg","Ver imagen")</f>
        <v/>
      </c>
      <c r="P4739">
        <f>HYPERLINK("imagenes/T_TAHARI_6620685_CAR_3.jpg","Ver imagen")</f>
        <v/>
      </c>
    </row>
    <row r="4740">
      <c r="A4740" t="inlineStr">
        <is>
          <t>T TAHARI</t>
        </is>
      </c>
      <c r="B4740" t="inlineStr">
        <is>
          <t>6620685</t>
        </is>
      </c>
      <c r="C4740" t="inlineStr">
        <is>
          <t>JULIETTE</t>
        </is>
      </c>
      <c r="D4740" t="inlineStr">
        <is>
          <t>CAR</t>
        </is>
      </c>
      <c r="E4740" t="inlineStr">
        <is>
          <t>(en blanco)</t>
        </is>
      </c>
      <c r="F4740" t="inlineStr">
        <is>
          <t>(en blanco)</t>
        </is>
      </c>
      <c r="G4740" t="inlineStr">
        <is>
          <t>S</t>
        </is>
      </c>
      <c r="H4740" t="n">
        <v>76</v>
      </c>
      <c r="I4740" t="inlineStr">
        <is>
          <t>T_TAHARI_6620685_CAR_2.jpg</t>
        </is>
      </c>
      <c r="J4740" t="inlineStr">
        <is>
          <t>T_TAHARI_6620685_CAR_3.jpg</t>
        </is>
      </c>
      <c r="L4740">
        <f>IMAGE("file:///E:/Estudios%20y%20certificaciones/ESTUDIOS%20DE%20PROGRAMMING/PROGRAMMING/PERSONAL/PYTHON/Image_Generator_API/imagenes/T_TAHARI_6620685_CAR_2.jpg")</f>
        <v/>
      </c>
      <c r="M4740">
        <f>IMAGE("file:///E:/Estudios%20y%20certificaciones/ESTUDIOS%20DE%20PROGRAMMING/PROGRAMMING/PERSONAL/PYTHON/Image_Generator_API/imagenes/T_TAHARI_6620685_CAR_3.jpg")</f>
        <v/>
      </c>
      <c r="O4740">
        <f>HYPERLINK("imagenes/T_TAHARI_6620685_CAR_2.jpg","Ver imagen")</f>
        <v/>
      </c>
      <c r="P4740">
        <f>HYPERLINK("imagenes/T_TAHARI_6620685_CAR_3.jpg","Ver imagen")</f>
        <v/>
      </c>
    </row>
    <row r="4741">
      <c r="A4741" t="inlineStr">
        <is>
          <t>T TAHARI</t>
        </is>
      </c>
      <c r="B4741" t="inlineStr">
        <is>
          <t>6620685</t>
        </is>
      </c>
      <c r="C4741" t="inlineStr">
        <is>
          <t>JULIETTE</t>
        </is>
      </c>
      <c r="D4741" t="inlineStr">
        <is>
          <t>CAR</t>
        </is>
      </c>
      <c r="E4741" t="inlineStr">
        <is>
          <t>(en blanco)</t>
        </is>
      </c>
      <c r="F4741" t="inlineStr">
        <is>
          <t>(en blanco)</t>
        </is>
      </c>
      <c r="G4741" t="inlineStr">
        <is>
          <t>M</t>
        </is>
      </c>
      <c r="H4741" t="n">
        <v>45</v>
      </c>
      <c r="I4741" t="inlineStr">
        <is>
          <t>T_TAHARI_6620685_CAR_2.jpg</t>
        </is>
      </c>
      <c r="J4741" t="inlineStr">
        <is>
          <t>T_TAHARI_6620685_CAR_3.jpg</t>
        </is>
      </c>
      <c r="L4741">
        <f>IMAGE("file:///E:/Estudios%20y%20certificaciones/ESTUDIOS%20DE%20PROGRAMMING/PROGRAMMING/PERSONAL/PYTHON/Image_Generator_API/imagenes/T_TAHARI_6620685_CAR_2.jpg")</f>
        <v/>
      </c>
      <c r="M4741">
        <f>IMAGE("file:///E:/Estudios%20y%20certificaciones/ESTUDIOS%20DE%20PROGRAMMING/PROGRAMMING/PERSONAL/PYTHON/Image_Generator_API/imagenes/T_TAHARI_6620685_CAR_3.jpg")</f>
        <v/>
      </c>
      <c r="O4741">
        <f>HYPERLINK("imagenes/T_TAHARI_6620685_CAR_2.jpg","Ver imagen")</f>
        <v/>
      </c>
      <c r="P4741">
        <f>HYPERLINK("imagenes/T_TAHARI_6620685_CAR_3.jpg","Ver imagen")</f>
        <v/>
      </c>
    </row>
    <row r="4742">
      <c r="A4742" t="inlineStr">
        <is>
          <t>T TAHARI</t>
        </is>
      </c>
      <c r="B4742" t="inlineStr">
        <is>
          <t>6620685</t>
        </is>
      </c>
      <c r="C4742" t="inlineStr">
        <is>
          <t>JULIETTE</t>
        </is>
      </c>
      <c r="D4742" t="inlineStr">
        <is>
          <t>CAR</t>
        </is>
      </c>
      <c r="E4742" t="inlineStr">
        <is>
          <t>(en blanco)</t>
        </is>
      </c>
      <c r="F4742" t="inlineStr">
        <is>
          <t>(en blanco)</t>
        </is>
      </c>
      <c r="G4742" t="inlineStr">
        <is>
          <t>L</t>
        </is>
      </c>
      <c r="H4742" t="n">
        <v>35</v>
      </c>
      <c r="I4742" t="inlineStr">
        <is>
          <t>T_TAHARI_6620685_CAR_2.jpg</t>
        </is>
      </c>
      <c r="J4742" t="inlineStr">
        <is>
          <t>T_TAHARI_6620685_CAR_3.jpg</t>
        </is>
      </c>
      <c r="L4742">
        <f>IMAGE("file:///E:/Estudios%20y%20certificaciones/ESTUDIOS%20DE%20PROGRAMMING/PROGRAMMING/PERSONAL/PYTHON/Image_Generator_API/imagenes/T_TAHARI_6620685_CAR_2.jpg")</f>
        <v/>
      </c>
      <c r="M4742">
        <f>IMAGE("file:///E:/Estudios%20y%20certificaciones/ESTUDIOS%20DE%20PROGRAMMING/PROGRAMMING/PERSONAL/PYTHON/Image_Generator_API/imagenes/T_TAHARI_6620685_CAR_3.jpg")</f>
        <v/>
      </c>
      <c r="O4742">
        <f>HYPERLINK("imagenes/T_TAHARI_6620685_CAR_2.jpg","Ver imagen")</f>
        <v/>
      </c>
      <c r="P4742">
        <f>HYPERLINK("imagenes/T_TAHARI_6620685_CAR_3.jpg","Ver imagen")</f>
        <v/>
      </c>
    </row>
    <row r="4743">
      <c r="A4743" t="inlineStr">
        <is>
          <t>T TAHARI</t>
        </is>
      </c>
      <c r="B4743" t="inlineStr">
        <is>
          <t>6620685</t>
        </is>
      </c>
      <c r="C4743" t="inlineStr">
        <is>
          <t>JULIETTE</t>
        </is>
      </c>
      <c r="D4743" t="inlineStr">
        <is>
          <t>CAR</t>
        </is>
      </c>
      <c r="E4743" t="inlineStr">
        <is>
          <t>(en blanco)</t>
        </is>
      </c>
      <c r="F4743" t="inlineStr">
        <is>
          <t>(en blanco)</t>
        </is>
      </c>
      <c r="G4743" t="inlineStr">
        <is>
          <t>XL</t>
        </is>
      </c>
      <c r="H4743" t="n">
        <v>25</v>
      </c>
      <c r="I4743" t="inlineStr">
        <is>
          <t>T_TAHARI_6620685_CAR_2.jpg</t>
        </is>
      </c>
      <c r="J4743" t="inlineStr">
        <is>
          <t>T_TAHARI_6620685_CAR_3.jpg</t>
        </is>
      </c>
      <c r="L4743">
        <f>IMAGE("file:///E:/Estudios%20y%20certificaciones/ESTUDIOS%20DE%20PROGRAMMING/PROGRAMMING/PERSONAL/PYTHON/Image_Generator_API/imagenes/T_TAHARI_6620685_CAR_2.jpg")</f>
        <v/>
      </c>
      <c r="M4743">
        <f>IMAGE("file:///E:/Estudios%20y%20certificaciones/ESTUDIOS%20DE%20PROGRAMMING/PROGRAMMING/PERSONAL/PYTHON/Image_Generator_API/imagenes/T_TAHARI_6620685_CAR_3.jpg")</f>
        <v/>
      </c>
      <c r="O4743">
        <f>HYPERLINK("imagenes/T_TAHARI_6620685_CAR_2.jpg","Ver imagen")</f>
        <v/>
      </c>
      <c r="P4743">
        <f>HYPERLINK("imagenes/T_TAHARI_6620685_CAR_3.jpg","Ver imagen")</f>
        <v/>
      </c>
    </row>
    <row r="4744">
      <c r="A4744" t="inlineStr">
        <is>
          <t>T TAHARI</t>
        </is>
      </c>
      <c r="B4744" t="inlineStr">
        <is>
          <t>6620685</t>
        </is>
      </c>
      <c r="C4744" t="inlineStr">
        <is>
          <t>JULIETTE</t>
        </is>
      </c>
      <c r="D4744" t="inlineStr">
        <is>
          <t>CAR</t>
        </is>
      </c>
      <c r="E4744" t="inlineStr">
        <is>
          <t>(en blanco)</t>
        </is>
      </c>
      <c r="F4744" t="inlineStr">
        <is>
          <t>(en blanco)</t>
        </is>
      </c>
      <c r="G4744" t="inlineStr">
        <is>
          <t>XXL</t>
        </is>
      </c>
      <c r="H4744" t="n">
        <v>34</v>
      </c>
      <c r="I4744" t="inlineStr">
        <is>
          <t>T_TAHARI_6620685_CAR_2.jpg</t>
        </is>
      </c>
      <c r="J4744" t="inlineStr">
        <is>
          <t>T_TAHARI_6620685_CAR_3.jpg</t>
        </is>
      </c>
      <c r="L4744">
        <f>IMAGE("file:///E:/Estudios%20y%20certificaciones/ESTUDIOS%20DE%20PROGRAMMING/PROGRAMMING/PERSONAL/PYTHON/Image_Generator_API/imagenes/T_TAHARI_6620685_CAR_2.jpg")</f>
        <v/>
      </c>
      <c r="M4744">
        <f>IMAGE("file:///E:/Estudios%20y%20certificaciones/ESTUDIOS%20DE%20PROGRAMMING/PROGRAMMING/PERSONAL/PYTHON/Image_Generator_API/imagenes/T_TAHARI_6620685_CAR_3.jpg")</f>
        <v/>
      </c>
      <c r="O4744">
        <f>HYPERLINK("imagenes/T_TAHARI_6620685_CAR_2.jpg","Ver imagen")</f>
        <v/>
      </c>
      <c r="P4744">
        <f>HYPERLINK("imagenes/T_TAHARI_6620685_CAR_3.jpg","Ver imagen")</f>
        <v/>
      </c>
    </row>
    <row r="4745">
      <c r="A4745" t="inlineStr">
        <is>
          <t>T TAHARI</t>
        </is>
      </c>
      <c r="B4745" t="inlineStr">
        <is>
          <t>6620685</t>
        </is>
      </c>
      <c r="C4745" t="inlineStr">
        <is>
          <t>JULIETTE</t>
        </is>
      </c>
      <c r="D4745" t="inlineStr">
        <is>
          <t>CAR</t>
        </is>
      </c>
      <c r="E4745" t="inlineStr">
        <is>
          <t>(en blanco)</t>
        </is>
      </c>
      <c r="F4745" t="inlineStr">
        <is>
          <t>(en blanco)</t>
        </is>
      </c>
      <c r="G4745" t="inlineStr">
        <is>
          <t>XXS</t>
        </is>
      </c>
      <c r="H4745" t="n">
        <v>33</v>
      </c>
      <c r="I4745" t="inlineStr">
        <is>
          <t>T_TAHARI_6620685_CAR_2.jpg</t>
        </is>
      </c>
      <c r="J4745" t="inlineStr">
        <is>
          <t>T_TAHARI_6620685_CAR_3.jpg</t>
        </is>
      </c>
      <c r="L4745">
        <f>IMAGE("file:///E:/Estudios%20y%20certificaciones/ESTUDIOS%20DE%20PROGRAMMING/PROGRAMMING/PERSONAL/PYTHON/Image_Generator_API/imagenes/T_TAHARI_6620685_CAR_2.jpg")</f>
        <v/>
      </c>
      <c r="M4745">
        <f>IMAGE("file:///E:/Estudios%20y%20certificaciones/ESTUDIOS%20DE%20PROGRAMMING/PROGRAMMING/PERSONAL/PYTHON/Image_Generator_API/imagenes/T_TAHARI_6620685_CAR_3.jpg")</f>
        <v/>
      </c>
      <c r="O4745">
        <f>HYPERLINK("imagenes/T_TAHARI_6620685_CAR_2.jpg","Ver imagen")</f>
        <v/>
      </c>
      <c r="P4745">
        <f>HYPERLINK("imagenes/T_TAHARI_6620685_CAR_3.jpg","Ver imagen")</f>
        <v/>
      </c>
    </row>
    <row r="4746">
      <c r="A4746" t="inlineStr">
        <is>
          <t>T TAHARI</t>
        </is>
      </c>
      <c r="B4746" t="inlineStr">
        <is>
          <t>6620685</t>
        </is>
      </c>
      <c r="C4746" t="inlineStr">
        <is>
          <t>JULIETTE</t>
        </is>
      </c>
      <c r="D4746" t="inlineStr">
        <is>
          <t>CHR</t>
        </is>
      </c>
      <c r="E4746" t="inlineStr">
        <is>
          <t>(en blanco)</t>
        </is>
      </c>
      <c r="F4746" t="inlineStr">
        <is>
          <t>(en blanco)</t>
        </is>
      </c>
      <c r="G4746" t="inlineStr">
        <is>
          <t>XS</t>
        </is>
      </c>
      <c r="H4746" t="n">
        <v>70</v>
      </c>
      <c r="I4746" t="inlineStr">
        <is>
          <t>T_TAHARI_6620685_CHR_1.jpg</t>
        </is>
      </c>
      <c r="J4746" t="inlineStr">
        <is>
          <t>T_TAHARI_6620685_CHR_2.jpg</t>
        </is>
      </c>
      <c r="K4746" t="inlineStr">
        <is>
          <t>T_TAHARI_6620685_CHR_3.jpg</t>
        </is>
      </c>
      <c r="L4746">
        <f>IMAGE("file:///E:/Estudios%20y%20certificaciones/ESTUDIOS%20DE%20PROGRAMMING/PROGRAMMING/PERSONAL/PYTHON/Image_Generator_API/imagenes/T_TAHARI_6620685_CHR_1.jpg")</f>
        <v/>
      </c>
      <c r="M4746">
        <f>IMAGE("file:///E:/Estudios%20y%20certificaciones/ESTUDIOS%20DE%20PROGRAMMING/PROGRAMMING/PERSONAL/PYTHON/Image_Generator_API/imagenes/T_TAHARI_6620685_CHR_2.jpg")</f>
        <v/>
      </c>
      <c r="N4746">
        <f>IMAGE("file:///E:/Estudios%20y%20certificaciones/ESTUDIOS%20DE%20PROGRAMMING/PROGRAMMING/PERSONAL/PYTHON/Image_Generator_API/imagenes/T_TAHARI_6620685_CHR_3.jpg")</f>
        <v/>
      </c>
      <c r="O4746">
        <f>HYPERLINK("imagenes/T_TAHARI_6620685_CHR_1.jpg","Ver imagen")</f>
        <v/>
      </c>
      <c r="P4746">
        <f>HYPERLINK("imagenes/T_TAHARI_6620685_CHR_2.jpg","Ver imagen")</f>
        <v/>
      </c>
      <c r="Q4746">
        <f>HYPERLINK("imagenes/T_TAHARI_6620685_CHR_3.jpg","Ver imagen")</f>
        <v/>
      </c>
    </row>
    <row r="4747">
      <c r="A4747" t="inlineStr">
        <is>
          <t>T TAHARI</t>
        </is>
      </c>
      <c r="B4747" t="inlineStr">
        <is>
          <t>6620685</t>
        </is>
      </c>
      <c r="C4747" t="inlineStr">
        <is>
          <t>JULIETTE</t>
        </is>
      </c>
      <c r="D4747" t="inlineStr">
        <is>
          <t>CHR</t>
        </is>
      </c>
      <c r="E4747" t="inlineStr">
        <is>
          <t>(en blanco)</t>
        </is>
      </c>
      <c r="F4747" t="inlineStr">
        <is>
          <t>(en blanco)</t>
        </is>
      </c>
      <c r="G4747" t="inlineStr">
        <is>
          <t>S</t>
        </is>
      </c>
      <c r="H4747" t="n">
        <v>143</v>
      </c>
      <c r="I4747" t="inlineStr">
        <is>
          <t>T_TAHARI_6620685_CHR_1.jpg</t>
        </is>
      </c>
      <c r="J4747" t="inlineStr">
        <is>
          <t>T_TAHARI_6620685_CHR_2.jpg</t>
        </is>
      </c>
      <c r="K4747" t="inlineStr">
        <is>
          <t>T_TAHARI_6620685_CHR_3.jpg</t>
        </is>
      </c>
      <c r="L4747">
        <f>IMAGE("file:///E:/Estudios%20y%20certificaciones/ESTUDIOS%20DE%20PROGRAMMING/PROGRAMMING/PERSONAL/PYTHON/Image_Generator_API/imagenes/T_TAHARI_6620685_CHR_1.jpg")</f>
        <v/>
      </c>
      <c r="M4747">
        <f>IMAGE("file:///E:/Estudios%20y%20certificaciones/ESTUDIOS%20DE%20PROGRAMMING/PROGRAMMING/PERSONAL/PYTHON/Image_Generator_API/imagenes/T_TAHARI_6620685_CHR_2.jpg")</f>
        <v/>
      </c>
      <c r="N4747">
        <f>IMAGE("file:///E:/Estudios%20y%20certificaciones/ESTUDIOS%20DE%20PROGRAMMING/PROGRAMMING/PERSONAL/PYTHON/Image_Generator_API/imagenes/T_TAHARI_6620685_CHR_3.jpg")</f>
        <v/>
      </c>
      <c r="O4747">
        <f>HYPERLINK("imagenes/T_TAHARI_6620685_CHR_1.jpg","Ver imagen")</f>
        <v/>
      </c>
      <c r="P4747">
        <f>HYPERLINK("imagenes/T_TAHARI_6620685_CHR_2.jpg","Ver imagen")</f>
        <v/>
      </c>
      <c r="Q4747">
        <f>HYPERLINK("imagenes/T_TAHARI_6620685_CHR_3.jpg","Ver imagen")</f>
        <v/>
      </c>
    </row>
    <row r="4748">
      <c r="A4748" t="inlineStr">
        <is>
          <t>T TAHARI</t>
        </is>
      </c>
      <c r="B4748" t="inlineStr">
        <is>
          <t>6620685</t>
        </is>
      </c>
      <c r="C4748" t="inlineStr">
        <is>
          <t>JULIETTE</t>
        </is>
      </c>
      <c r="D4748" t="inlineStr">
        <is>
          <t>CHR</t>
        </is>
      </c>
      <c r="E4748" t="inlineStr">
        <is>
          <t>(en blanco)</t>
        </is>
      </c>
      <c r="F4748" t="inlineStr">
        <is>
          <t>(en blanco)</t>
        </is>
      </c>
      <c r="G4748" t="inlineStr">
        <is>
          <t>M</t>
        </is>
      </c>
      <c r="H4748" t="n">
        <v>136</v>
      </c>
      <c r="I4748" t="inlineStr">
        <is>
          <t>T_TAHARI_6620685_CHR_1.jpg</t>
        </is>
      </c>
      <c r="J4748" t="inlineStr">
        <is>
          <t>T_TAHARI_6620685_CHR_2.jpg</t>
        </is>
      </c>
      <c r="K4748" t="inlineStr">
        <is>
          <t>T_TAHARI_6620685_CHR_3.jpg</t>
        </is>
      </c>
      <c r="L4748">
        <f>IMAGE("file:///E:/Estudios%20y%20certificaciones/ESTUDIOS%20DE%20PROGRAMMING/PROGRAMMING/PERSONAL/PYTHON/Image_Generator_API/imagenes/T_TAHARI_6620685_CHR_1.jpg")</f>
        <v/>
      </c>
      <c r="M4748">
        <f>IMAGE("file:///E:/Estudios%20y%20certificaciones/ESTUDIOS%20DE%20PROGRAMMING/PROGRAMMING/PERSONAL/PYTHON/Image_Generator_API/imagenes/T_TAHARI_6620685_CHR_2.jpg")</f>
        <v/>
      </c>
      <c r="N4748">
        <f>IMAGE("file:///E:/Estudios%20y%20certificaciones/ESTUDIOS%20DE%20PROGRAMMING/PROGRAMMING/PERSONAL/PYTHON/Image_Generator_API/imagenes/T_TAHARI_6620685_CHR_3.jpg")</f>
        <v/>
      </c>
      <c r="O4748">
        <f>HYPERLINK("imagenes/T_TAHARI_6620685_CHR_1.jpg","Ver imagen")</f>
        <v/>
      </c>
      <c r="P4748">
        <f>HYPERLINK("imagenes/T_TAHARI_6620685_CHR_2.jpg","Ver imagen")</f>
        <v/>
      </c>
      <c r="Q4748">
        <f>HYPERLINK("imagenes/T_TAHARI_6620685_CHR_3.jpg","Ver imagen")</f>
        <v/>
      </c>
    </row>
    <row r="4749">
      <c r="A4749" t="inlineStr">
        <is>
          <t>T TAHARI</t>
        </is>
      </c>
      <c r="B4749" t="inlineStr">
        <is>
          <t>6620685</t>
        </is>
      </c>
      <c r="C4749" t="inlineStr">
        <is>
          <t>JULIETTE</t>
        </is>
      </c>
      <c r="D4749" t="inlineStr">
        <is>
          <t>CHR</t>
        </is>
      </c>
      <c r="E4749" t="inlineStr">
        <is>
          <t>(en blanco)</t>
        </is>
      </c>
      <c r="F4749" t="inlineStr">
        <is>
          <t>(en blanco)</t>
        </is>
      </c>
      <c r="G4749" t="inlineStr">
        <is>
          <t>L</t>
        </is>
      </c>
      <c r="H4749" t="n">
        <v>137</v>
      </c>
      <c r="I4749" t="inlineStr">
        <is>
          <t>T_TAHARI_6620685_CHR_1.jpg</t>
        </is>
      </c>
      <c r="J4749" t="inlineStr">
        <is>
          <t>T_TAHARI_6620685_CHR_2.jpg</t>
        </is>
      </c>
      <c r="K4749" t="inlineStr">
        <is>
          <t>T_TAHARI_6620685_CHR_3.jpg</t>
        </is>
      </c>
      <c r="L4749">
        <f>IMAGE("file:///E:/Estudios%20y%20certificaciones/ESTUDIOS%20DE%20PROGRAMMING/PROGRAMMING/PERSONAL/PYTHON/Image_Generator_API/imagenes/T_TAHARI_6620685_CHR_1.jpg")</f>
        <v/>
      </c>
      <c r="M4749">
        <f>IMAGE("file:///E:/Estudios%20y%20certificaciones/ESTUDIOS%20DE%20PROGRAMMING/PROGRAMMING/PERSONAL/PYTHON/Image_Generator_API/imagenes/T_TAHARI_6620685_CHR_2.jpg")</f>
        <v/>
      </c>
      <c r="N4749">
        <f>IMAGE("file:///E:/Estudios%20y%20certificaciones/ESTUDIOS%20DE%20PROGRAMMING/PROGRAMMING/PERSONAL/PYTHON/Image_Generator_API/imagenes/T_TAHARI_6620685_CHR_3.jpg")</f>
        <v/>
      </c>
      <c r="O4749">
        <f>HYPERLINK("imagenes/T_TAHARI_6620685_CHR_1.jpg","Ver imagen")</f>
        <v/>
      </c>
      <c r="P4749">
        <f>HYPERLINK("imagenes/T_TAHARI_6620685_CHR_2.jpg","Ver imagen")</f>
        <v/>
      </c>
      <c r="Q4749">
        <f>HYPERLINK("imagenes/T_TAHARI_6620685_CHR_3.jpg","Ver imagen")</f>
        <v/>
      </c>
    </row>
    <row r="4750">
      <c r="A4750" t="inlineStr">
        <is>
          <t>T TAHARI</t>
        </is>
      </c>
      <c r="B4750" t="inlineStr">
        <is>
          <t>6620685</t>
        </is>
      </c>
      <c r="C4750" t="inlineStr">
        <is>
          <t>JULIETTE</t>
        </is>
      </c>
      <c r="D4750" t="inlineStr">
        <is>
          <t>CHR</t>
        </is>
      </c>
      <c r="E4750" t="inlineStr">
        <is>
          <t>(en blanco)</t>
        </is>
      </c>
      <c r="F4750" t="inlineStr">
        <is>
          <t>(en blanco)</t>
        </is>
      </c>
      <c r="G4750" t="inlineStr">
        <is>
          <t>XL</t>
        </is>
      </c>
      <c r="H4750" t="n">
        <v>63</v>
      </c>
      <c r="I4750" t="inlineStr">
        <is>
          <t>T_TAHARI_6620685_CHR_1.jpg</t>
        </is>
      </c>
      <c r="J4750" t="inlineStr">
        <is>
          <t>T_TAHARI_6620685_CHR_2.jpg</t>
        </is>
      </c>
      <c r="K4750" t="inlineStr">
        <is>
          <t>T_TAHARI_6620685_CHR_3.jpg</t>
        </is>
      </c>
      <c r="L4750">
        <f>IMAGE("file:///E:/Estudios%20y%20certificaciones/ESTUDIOS%20DE%20PROGRAMMING/PROGRAMMING/PERSONAL/PYTHON/Image_Generator_API/imagenes/T_TAHARI_6620685_CHR_1.jpg")</f>
        <v/>
      </c>
      <c r="M4750">
        <f>IMAGE("file:///E:/Estudios%20y%20certificaciones/ESTUDIOS%20DE%20PROGRAMMING/PROGRAMMING/PERSONAL/PYTHON/Image_Generator_API/imagenes/T_TAHARI_6620685_CHR_2.jpg")</f>
        <v/>
      </c>
      <c r="N4750">
        <f>IMAGE("file:///E:/Estudios%20y%20certificaciones/ESTUDIOS%20DE%20PROGRAMMING/PROGRAMMING/PERSONAL/PYTHON/Image_Generator_API/imagenes/T_TAHARI_6620685_CHR_3.jpg")</f>
        <v/>
      </c>
      <c r="O4750">
        <f>HYPERLINK("imagenes/T_TAHARI_6620685_CHR_1.jpg","Ver imagen")</f>
        <v/>
      </c>
      <c r="P4750">
        <f>HYPERLINK("imagenes/T_TAHARI_6620685_CHR_2.jpg","Ver imagen")</f>
        <v/>
      </c>
      <c r="Q4750">
        <f>HYPERLINK("imagenes/T_TAHARI_6620685_CHR_3.jpg","Ver imagen")</f>
        <v/>
      </c>
    </row>
    <row r="4751">
      <c r="A4751" t="inlineStr">
        <is>
          <t>T TAHARI</t>
        </is>
      </c>
      <c r="B4751" t="inlineStr">
        <is>
          <t>6620685</t>
        </is>
      </c>
      <c r="C4751" t="inlineStr">
        <is>
          <t>JULIETTE</t>
        </is>
      </c>
      <c r="D4751" t="inlineStr">
        <is>
          <t>CHR</t>
        </is>
      </c>
      <c r="E4751" t="inlineStr">
        <is>
          <t>(en blanco)</t>
        </is>
      </c>
      <c r="F4751" t="inlineStr">
        <is>
          <t>(en blanco)</t>
        </is>
      </c>
      <c r="G4751" t="inlineStr">
        <is>
          <t>XXL</t>
        </is>
      </c>
      <c r="H4751" t="n">
        <v>8</v>
      </c>
      <c r="I4751" t="inlineStr">
        <is>
          <t>T_TAHARI_6620685_CHR_1.jpg</t>
        </is>
      </c>
      <c r="J4751" t="inlineStr">
        <is>
          <t>T_TAHARI_6620685_CHR_2.jpg</t>
        </is>
      </c>
      <c r="K4751" t="inlineStr">
        <is>
          <t>T_TAHARI_6620685_CHR_3.jpg</t>
        </is>
      </c>
      <c r="L4751">
        <f>IMAGE("file:///E:/Estudios%20y%20certificaciones/ESTUDIOS%20DE%20PROGRAMMING/PROGRAMMING/PERSONAL/PYTHON/Image_Generator_API/imagenes/T_TAHARI_6620685_CHR_1.jpg")</f>
        <v/>
      </c>
      <c r="M4751">
        <f>IMAGE("file:///E:/Estudios%20y%20certificaciones/ESTUDIOS%20DE%20PROGRAMMING/PROGRAMMING/PERSONAL/PYTHON/Image_Generator_API/imagenes/T_TAHARI_6620685_CHR_2.jpg")</f>
        <v/>
      </c>
      <c r="N4751">
        <f>IMAGE("file:///E:/Estudios%20y%20certificaciones/ESTUDIOS%20DE%20PROGRAMMING/PROGRAMMING/PERSONAL/PYTHON/Image_Generator_API/imagenes/T_TAHARI_6620685_CHR_3.jpg")</f>
        <v/>
      </c>
      <c r="O4751">
        <f>HYPERLINK("imagenes/T_TAHARI_6620685_CHR_1.jpg","Ver imagen")</f>
        <v/>
      </c>
      <c r="P4751">
        <f>HYPERLINK("imagenes/T_TAHARI_6620685_CHR_2.jpg","Ver imagen")</f>
        <v/>
      </c>
      <c r="Q4751">
        <f>HYPERLINK("imagenes/T_TAHARI_6620685_CHR_3.jpg","Ver imagen")</f>
        <v/>
      </c>
    </row>
    <row r="4752">
      <c r="A4752" t="inlineStr">
        <is>
          <t>T TAHARI</t>
        </is>
      </c>
      <c r="B4752" t="inlineStr">
        <is>
          <t>6620685</t>
        </is>
      </c>
      <c r="C4752" t="inlineStr">
        <is>
          <t>JULIETTE</t>
        </is>
      </c>
      <c r="D4752" t="inlineStr">
        <is>
          <t>CHR</t>
        </is>
      </c>
      <c r="E4752" t="inlineStr">
        <is>
          <t>(en blanco)</t>
        </is>
      </c>
      <c r="F4752" t="inlineStr">
        <is>
          <t>(en blanco)</t>
        </is>
      </c>
      <c r="G4752" t="inlineStr">
        <is>
          <t>XXS</t>
        </is>
      </c>
      <c r="H4752" t="n">
        <v>3</v>
      </c>
      <c r="I4752" t="inlineStr">
        <is>
          <t>T_TAHARI_6620685_CHR_1.jpg</t>
        </is>
      </c>
      <c r="J4752" t="inlineStr">
        <is>
          <t>T_TAHARI_6620685_CHR_2.jpg</t>
        </is>
      </c>
      <c r="K4752" t="inlineStr">
        <is>
          <t>T_TAHARI_6620685_CHR_3.jpg</t>
        </is>
      </c>
      <c r="L4752">
        <f>IMAGE("file:///E:/Estudios%20y%20certificaciones/ESTUDIOS%20DE%20PROGRAMMING/PROGRAMMING/PERSONAL/PYTHON/Image_Generator_API/imagenes/T_TAHARI_6620685_CHR_1.jpg")</f>
        <v/>
      </c>
      <c r="M4752">
        <f>IMAGE("file:///E:/Estudios%20y%20certificaciones/ESTUDIOS%20DE%20PROGRAMMING/PROGRAMMING/PERSONAL/PYTHON/Image_Generator_API/imagenes/T_TAHARI_6620685_CHR_2.jpg")</f>
        <v/>
      </c>
      <c r="N4752">
        <f>IMAGE("file:///E:/Estudios%20y%20certificaciones/ESTUDIOS%20DE%20PROGRAMMING/PROGRAMMING/PERSONAL/PYTHON/Image_Generator_API/imagenes/T_TAHARI_6620685_CHR_3.jpg")</f>
        <v/>
      </c>
      <c r="O4752">
        <f>HYPERLINK("imagenes/T_TAHARI_6620685_CHR_1.jpg","Ver imagen")</f>
        <v/>
      </c>
      <c r="P4752">
        <f>HYPERLINK("imagenes/T_TAHARI_6620685_CHR_2.jpg","Ver imagen")</f>
        <v/>
      </c>
      <c r="Q4752">
        <f>HYPERLINK("imagenes/T_TAHARI_6620685_CHR_3.jpg","Ver imagen")</f>
        <v/>
      </c>
    </row>
    <row r="4753">
      <c r="A4753" t="inlineStr">
        <is>
          <t>T TAHARI</t>
        </is>
      </c>
      <c r="B4753" t="inlineStr">
        <is>
          <t>6620685</t>
        </is>
      </c>
      <c r="C4753" t="inlineStr">
        <is>
          <t>JULIETTE</t>
        </is>
      </c>
      <c r="D4753" t="inlineStr">
        <is>
          <t>OLI</t>
        </is>
      </c>
      <c r="E4753" t="inlineStr">
        <is>
          <t>(en blanco)</t>
        </is>
      </c>
      <c r="F4753" t="inlineStr">
        <is>
          <t>(en blanco)</t>
        </is>
      </c>
      <c r="G4753" t="inlineStr">
        <is>
          <t>M</t>
        </is>
      </c>
      <c r="H4753" t="n">
        <v>1</v>
      </c>
      <c r="I4753" t="inlineStr">
        <is>
          <t>T_TAHARI_6620685_OLI_1.jpg</t>
        </is>
      </c>
      <c r="J4753" t="inlineStr">
        <is>
          <t>T_TAHARI_6620685_OLI_2.jpg</t>
        </is>
      </c>
      <c r="K4753" t="inlineStr">
        <is>
          <t>T_TAHARI_6620685_OLI_3.jpg</t>
        </is>
      </c>
      <c r="L4753">
        <f>IMAGE("file:///E:/Estudios%20y%20certificaciones/ESTUDIOS%20DE%20PROGRAMMING/PROGRAMMING/PERSONAL/PYTHON/Image_Generator_API/imagenes/T_TAHARI_6620685_OLI_1.jpg")</f>
        <v/>
      </c>
      <c r="M4753">
        <f>IMAGE("file:///E:/Estudios%20y%20certificaciones/ESTUDIOS%20DE%20PROGRAMMING/PROGRAMMING/PERSONAL/PYTHON/Image_Generator_API/imagenes/T_TAHARI_6620685_OLI_2.jpg")</f>
        <v/>
      </c>
      <c r="N4753">
        <f>IMAGE("file:///E:/Estudios%20y%20certificaciones/ESTUDIOS%20DE%20PROGRAMMING/PROGRAMMING/PERSONAL/PYTHON/Image_Generator_API/imagenes/T_TAHARI_6620685_OLI_3.jpg")</f>
        <v/>
      </c>
      <c r="O4753">
        <f>HYPERLINK("imagenes/T_TAHARI_6620685_OLI_1.jpg","Ver imagen")</f>
        <v/>
      </c>
      <c r="P4753">
        <f>HYPERLINK("imagenes/T_TAHARI_6620685_OLI_2.jpg","Ver imagen")</f>
        <v/>
      </c>
      <c r="Q4753">
        <f>HYPERLINK("imagenes/T_TAHARI_6620685_OLI_3.jpg","Ver imagen")</f>
        <v/>
      </c>
    </row>
    <row r="4754">
      <c r="A4754" t="inlineStr">
        <is>
          <t>T TAHARI</t>
        </is>
      </c>
      <c r="B4754" t="inlineStr">
        <is>
          <t>6620685</t>
        </is>
      </c>
      <c r="C4754" t="inlineStr">
        <is>
          <t>JULIETTE</t>
        </is>
      </c>
      <c r="D4754" t="inlineStr">
        <is>
          <t>OLI</t>
        </is>
      </c>
      <c r="E4754" t="inlineStr">
        <is>
          <t>(en blanco)</t>
        </is>
      </c>
      <c r="F4754" t="inlineStr">
        <is>
          <t>(en blanco)</t>
        </is>
      </c>
      <c r="G4754" t="inlineStr">
        <is>
          <t>L</t>
        </is>
      </c>
      <c r="H4754" t="n">
        <v>1</v>
      </c>
      <c r="I4754" t="inlineStr">
        <is>
          <t>T_TAHARI_6620685_OLI_1.jpg</t>
        </is>
      </c>
      <c r="J4754" t="inlineStr">
        <is>
          <t>T_TAHARI_6620685_OLI_2.jpg</t>
        </is>
      </c>
      <c r="K4754" t="inlineStr">
        <is>
          <t>T_TAHARI_6620685_OLI_3.jpg</t>
        </is>
      </c>
      <c r="L4754">
        <f>IMAGE("file:///E:/Estudios%20y%20certificaciones/ESTUDIOS%20DE%20PROGRAMMING/PROGRAMMING/PERSONAL/PYTHON/Image_Generator_API/imagenes/T_TAHARI_6620685_OLI_1.jpg")</f>
        <v/>
      </c>
      <c r="M4754">
        <f>IMAGE("file:///E:/Estudios%20y%20certificaciones/ESTUDIOS%20DE%20PROGRAMMING/PROGRAMMING/PERSONAL/PYTHON/Image_Generator_API/imagenes/T_TAHARI_6620685_OLI_2.jpg")</f>
        <v/>
      </c>
      <c r="N4754">
        <f>IMAGE("file:///E:/Estudios%20y%20certificaciones/ESTUDIOS%20DE%20PROGRAMMING/PROGRAMMING/PERSONAL/PYTHON/Image_Generator_API/imagenes/T_TAHARI_6620685_OLI_3.jpg")</f>
        <v/>
      </c>
      <c r="O4754">
        <f>HYPERLINK("imagenes/T_TAHARI_6620685_OLI_1.jpg","Ver imagen")</f>
        <v/>
      </c>
      <c r="P4754">
        <f>HYPERLINK("imagenes/T_TAHARI_6620685_OLI_2.jpg","Ver imagen")</f>
        <v/>
      </c>
      <c r="Q4754">
        <f>HYPERLINK("imagenes/T_TAHARI_6620685_OLI_3.jpg","Ver imagen")</f>
        <v/>
      </c>
    </row>
    <row r="4755">
      <c r="A4755" t="inlineStr">
        <is>
          <t>T TAHARI</t>
        </is>
      </c>
      <c r="B4755" t="inlineStr">
        <is>
          <t>6620685</t>
        </is>
      </c>
      <c r="C4755" t="inlineStr">
        <is>
          <t>JULIETTE</t>
        </is>
      </c>
      <c r="D4755" t="inlineStr">
        <is>
          <t>OLI</t>
        </is>
      </c>
      <c r="E4755" t="inlineStr">
        <is>
          <t>(en blanco)</t>
        </is>
      </c>
      <c r="F4755" t="inlineStr">
        <is>
          <t>(en blanco)</t>
        </is>
      </c>
      <c r="G4755" t="inlineStr">
        <is>
          <t>XXL</t>
        </is>
      </c>
      <c r="H4755" t="n">
        <v>1</v>
      </c>
      <c r="I4755" t="inlineStr">
        <is>
          <t>T_TAHARI_6620685_OLI_1.jpg</t>
        </is>
      </c>
      <c r="J4755" t="inlineStr">
        <is>
          <t>T_TAHARI_6620685_OLI_2.jpg</t>
        </is>
      </c>
      <c r="K4755" t="inlineStr">
        <is>
          <t>T_TAHARI_6620685_OLI_3.jpg</t>
        </is>
      </c>
      <c r="L4755">
        <f>IMAGE("file:///E:/Estudios%20y%20certificaciones/ESTUDIOS%20DE%20PROGRAMMING/PROGRAMMING/PERSONAL/PYTHON/Image_Generator_API/imagenes/T_TAHARI_6620685_OLI_1.jpg")</f>
        <v/>
      </c>
      <c r="M4755">
        <f>IMAGE("file:///E:/Estudios%20y%20certificaciones/ESTUDIOS%20DE%20PROGRAMMING/PROGRAMMING/PERSONAL/PYTHON/Image_Generator_API/imagenes/T_TAHARI_6620685_OLI_2.jpg")</f>
        <v/>
      </c>
      <c r="N4755">
        <f>IMAGE("file:///E:/Estudios%20y%20certificaciones/ESTUDIOS%20DE%20PROGRAMMING/PROGRAMMING/PERSONAL/PYTHON/Image_Generator_API/imagenes/T_TAHARI_6620685_OLI_3.jpg")</f>
        <v/>
      </c>
      <c r="O4755">
        <f>HYPERLINK("imagenes/T_TAHARI_6620685_OLI_1.jpg","Ver imagen")</f>
        <v/>
      </c>
      <c r="P4755">
        <f>HYPERLINK("imagenes/T_TAHARI_6620685_OLI_2.jpg","Ver imagen")</f>
        <v/>
      </c>
      <c r="Q4755">
        <f>HYPERLINK("imagenes/T_TAHARI_6620685_OLI_3.jpg","Ver imagen")</f>
        <v/>
      </c>
    </row>
    <row r="4756">
      <c r="A4756" t="inlineStr">
        <is>
          <t>T TAHARI</t>
        </is>
      </c>
      <c r="B4756" t="inlineStr">
        <is>
          <t>6620685</t>
        </is>
      </c>
      <c r="C4756" t="inlineStr">
        <is>
          <t>JULIETTE</t>
        </is>
      </c>
      <c r="D4756" t="inlineStr">
        <is>
          <t>OLI</t>
        </is>
      </c>
      <c r="E4756" t="inlineStr">
        <is>
          <t>(en blanco)</t>
        </is>
      </c>
      <c r="F4756" t="inlineStr">
        <is>
          <t>(en blanco)</t>
        </is>
      </c>
      <c r="G4756" t="inlineStr">
        <is>
          <t>XXS</t>
        </is>
      </c>
      <c r="H4756" t="n">
        <v>1</v>
      </c>
      <c r="I4756" t="inlineStr">
        <is>
          <t>T_TAHARI_6620685_OLI_1.jpg</t>
        </is>
      </c>
      <c r="J4756" t="inlineStr">
        <is>
          <t>T_TAHARI_6620685_OLI_2.jpg</t>
        </is>
      </c>
      <c r="K4756" t="inlineStr">
        <is>
          <t>T_TAHARI_6620685_OLI_3.jpg</t>
        </is>
      </c>
      <c r="L4756">
        <f>IMAGE("file:///E:/Estudios%20y%20certificaciones/ESTUDIOS%20DE%20PROGRAMMING/PROGRAMMING/PERSONAL/PYTHON/Image_Generator_API/imagenes/T_TAHARI_6620685_OLI_1.jpg")</f>
        <v/>
      </c>
      <c r="M4756">
        <f>IMAGE("file:///E:/Estudios%20y%20certificaciones/ESTUDIOS%20DE%20PROGRAMMING/PROGRAMMING/PERSONAL/PYTHON/Image_Generator_API/imagenes/T_TAHARI_6620685_OLI_2.jpg")</f>
        <v/>
      </c>
      <c r="N4756">
        <f>IMAGE("file:///E:/Estudios%20y%20certificaciones/ESTUDIOS%20DE%20PROGRAMMING/PROGRAMMING/PERSONAL/PYTHON/Image_Generator_API/imagenes/T_TAHARI_6620685_OLI_3.jpg")</f>
        <v/>
      </c>
      <c r="O4756">
        <f>HYPERLINK("imagenes/T_TAHARI_6620685_OLI_1.jpg","Ver imagen")</f>
        <v/>
      </c>
      <c r="P4756">
        <f>HYPERLINK("imagenes/T_TAHARI_6620685_OLI_2.jpg","Ver imagen")</f>
        <v/>
      </c>
      <c r="Q4756">
        <f>HYPERLINK("imagenes/T_TAHARI_6620685_OLI_3.jpg","Ver imagen")</f>
        <v/>
      </c>
    </row>
    <row r="4757">
      <c r="A4757" t="inlineStr">
        <is>
          <t>T TAHARI</t>
        </is>
      </c>
      <c r="B4757" t="inlineStr">
        <is>
          <t>6621006</t>
        </is>
      </c>
      <c r="C4757" t="inlineStr">
        <is>
          <t>NELLIE</t>
        </is>
      </c>
      <c r="D4757" t="inlineStr">
        <is>
          <t>BLK</t>
        </is>
      </c>
      <c r="E4757" t="inlineStr">
        <is>
          <t>(en blanco)</t>
        </is>
      </c>
      <c r="F4757" t="inlineStr">
        <is>
          <t>D2C</t>
        </is>
      </c>
      <c r="G4757" t="inlineStr">
        <is>
          <t>XS</t>
        </is>
      </c>
      <c r="H4757" t="n">
        <v>27</v>
      </c>
      <c r="I4757" t="inlineStr">
        <is>
          <t>T_TAHARI_6621006_BLK_1.jpg</t>
        </is>
      </c>
      <c r="J4757" t="inlineStr">
        <is>
          <t>T_TAHARI_6621006_BLK_2.jpg</t>
        </is>
      </c>
      <c r="K4757" t="inlineStr">
        <is>
          <t>T_TAHARI_6621006_BLK_3.jpg</t>
        </is>
      </c>
      <c r="L4757">
        <f>IMAGE("file:///E:/Estudios%20y%20certificaciones/ESTUDIOS%20DE%20PROGRAMMING/PROGRAMMING/PERSONAL/PYTHON/Image_Generator_API/imagenes/T_TAHARI_6621006_BLK_1.jpg")</f>
        <v/>
      </c>
      <c r="M4757">
        <f>IMAGE("file:///E:/Estudios%20y%20certificaciones/ESTUDIOS%20DE%20PROGRAMMING/PROGRAMMING/PERSONAL/PYTHON/Image_Generator_API/imagenes/T_TAHARI_6621006_BLK_2.jpg")</f>
        <v/>
      </c>
      <c r="N4757">
        <f>IMAGE("file:///E:/Estudios%20y%20certificaciones/ESTUDIOS%20DE%20PROGRAMMING/PROGRAMMING/PERSONAL/PYTHON/Image_Generator_API/imagenes/T_TAHARI_6621006_BLK_3.jpg")</f>
        <v/>
      </c>
      <c r="O4757">
        <f>HYPERLINK("imagenes/T_TAHARI_6621006_BLK_1.jpg","Ver imagen")</f>
        <v/>
      </c>
      <c r="P4757">
        <f>HYPERLINK("imagenes/T_TAHARI_6621006_BLK_2.jpg","Ver imagen")</f>
        <v/>
      </c>
      <c r="Q4757">
        <f>HYPERLINK("imagenes/T_TAHARI_6621006_BLK_3.jpg","Ver imagen")</f>
        <v/>
      </c>
    </row>
    <row r="4758">
      <c r="A4758" t="inlineStr">
        <is>
          <t>T TAHARI</t>
        </is>
      </c>
      <c r="B4758" t="inlineStr">
        <is>
          <t>6621006</t>
        </is>
      </c>
      <c r="C4758" t="inlineStr">
        <is>
          <t>NELLIE</t>
        </is>
      </c>
      <c r="D4758" t="inlineStr">
        <is>
          <t>BLK</t>
        </is>
      </c>
      <c r="E4758" t="inlineStr">
        <is>
          <t>(en blanco)</t>
        </is>
      </c>
      <c r="F4758" t="inlineStr">
        <is>
          <t>D2C</t>
        </is>
      </c>
      <c r="G4758" t="inlineStr">
        <is>
          <t>S</t>
        </is>
      </c>
      <c r="H4758" t="n">
        <v>8</v>
      </c>
      <c r="I4758" t="inlineStr">
        <is>
          <t>T_TAHARI_6621006_BLK_1.jpg</t>
        </is>
      </c>
      <c r="J4758" t="inlineStr">
        <is>
          <t>T_TAHARI_6621006_BLK_2.jpg</t>
        </is>
      </c>
      <c r="K4758" t="inlineStr">
        <is>
          <t>T_TAHARI_6621006_BLK_3.jpg</t>
        </is>
      </c>
      <c r="L4758">
        <f>IMAGE("file:///E:/Estudios%20y%20certificaciones/ESTUDIOS%20DE%20PROGRAMMING/PROGRAMMING/PERSONAL/PYTHON/Image_Generator_API/imagenes/T_TAHARI_6621006_BLK_1.jpg")</f>
        <v/>
      </c>
      <c r="M4758">
        <f>IMAGE("file:///E:/Estudios%20y%20certificaciones/ESTUDIOS%20DE%20PROGRAMMING/PROGRAMMING/PERSONAL/PYTHON/Image_Generator_API/imagenes/T_TAHARI_6621006_BLK_2.jpg")</f>
        <v/>
      </c>
      <c r="N4758">
        <f>IMAGE("file:///E:/Estudios%20y%20certificaciones/ESTUDIOS%20DE%20PROGRAMMING/PROGRAMMING/PERSONAL/PYTHON/Image_Generator_API/imagenes/T_TAHARI_6621006_BLK_3.jpg")</f>
        <v/>
      </c>
      <c r="O4758">
        <f>HYPERLINK("imagenes/T_TAHARI_6621006_BLK_1.jpg","Ver imagen")</f>
        <v/>
      </c>
      <c r="P4758">
        <f>HYPERLINK("imagenes/T_TAHARI_6621006_BLK_2.jpg","Ver imagen")</f>
        <v/>
      </c>
      <c r="Q4758">
        <f>HYPERLINK("imagenes/T_TAHARI_6621006_BLK_3.jpg","Ver imagen")</f>
        <v/>
      </c>
    </row>
    <row r="4759">
      <c r="A4759" t="inlineStr">
        <is>
          <t>T TAHARI</t>
        </is>
      </c>
      <c r="B4759" t="inlineStr">
        <is>
          <t>6621006</t>
        </is>
      </c>
      <c r="C4759" t="inlineStr">
        <is>
          <t>NELLIE</t>
        </is>
      </c>
      <c r="D4759" t="inlineStr">
        <is>
          <t>BLK</t>
        </is>
      </c>
      <c r="E4759" t="inlineStr">
        <is>
          <t>(en blanco)</t>
        </is>
      </c>
      <c r="F4759" t="inlineStr">
        <is>
          <t>D2C</t>
        </is>
      </c>
      <c r="G4759" t="inlineStr">
        <is>
          <t>M</t>
        </is>
      </c>
      <c r="H4759" t="n">
        <v>0</v>
      </c>
      <c r="I4759" t="inlineStr">
        <is>
          <t>T_TAHARI_6621006_BLK_1.jpg</t>
        </is>
      </c>
      <c r="J4759" t="inlineStr">
        <is>
          <t>T_TAHARI_6621006_BLK_2.jpg</t>
        </is>
      </c>
      <c r="K4759" t="inlineStr">
        <is>
          <t>T_TAHARI_6621006_BLK_3.jpg</t>
        </is>
      </c>
      <c r="L4759">
        <f>IMAGE("file:///E:/Estudios%20y%20certificaciones/ESTUDIOS%20DE%20PROGRAMMING/PROGRAMMING/PERSONAL/PYTHON/Image_Generator_API/imagenes/T_TAHARI_6621006_BLK_1.jpg")</f>
        <v/>
      </c>
      <c r="M4759">
        <f>IMAGE("file:///E:/Estudios%20y%20certificaciones/ESTUDIOS%20DE%20PROGRAMMING/PROGRAMMING/PERSONAL/PYTHON/Image_Generator_API/imagenes/T_TAHARI_6621006_BLK_2.jpg")</f>
        <v/>
      </c>
      <c r="N4759">
        <f>IMAGE("file:///E:/Estudios%20y%20certificaciones/ESTUDIOS%20DE%20PROGRAMMING/PROGRAMMING/PERSONAL/PYTHON/Image_Generator_API/imagenes/T_TAHARI_6621006_BLK_3.jpg")</f>
        <v/>
      </c>
      <c r="O4759">
        <f>HYPERLINK("imagenes/T_TAHARI_6621006_BLK_1.jpg","Ver imagen")</f>
        <v/>
      </c>
      <c r="P4759">
        <f>HYPERLINK("imagenes/T_TAHARI_6621006_BLK_2.jpg","Ver imagen")</f>
        <v/>
      </c>
      <c r="Q4759">
        <f>HYPERLINK("imagenes/T_TAHARI_6621006_BLK_3.jpg","Ver imagen")</f>
        <v/>
      </c>
    </row>
    <row r="4760">
      <c r="A4760" t="inlineStr">
        <is>
          <t>T TAHARI</t>
        </is>
      </c>
      <c r="B4760" t="inlineStr">
        <is>
          <t>6621006</t>
        </is>
      </c>
      <c r="C4760" t="inlineStr">
        <is>
          <t>NELLIE</t>
        </is>
      </c>
      <c r="D4760" t="inlineStr">
        <is>
          <t>BLK</t>
        </is>
      </c>
      <c r="E4760" t="inlineStr">
        <is>
          <t>(en blanco)</t>
        </is>
      </c>
      <c r="F4760" t="inlineStr">
        <is>
          <t>D2C</t>
        </is>
      </c>
      <c r="G4760" t="inlineStr">
        <is>
          <t>L</t>
        </is>
      </c>
      <c r="H4760" t="n">
        <v>9</v>
      </c>
      <c r="I4760" t="inlineStr">
        <is>
          <t>T_TAHARI_6621006_BLK_1.jpg</t>
        </is>
      </c>
      <c r="J4760" t="inlineStr">
        <is>
          <t>T_TAHARI_6621006_BLK_2.jpg</t>
        </is>
      </c>
      <c r="K4760" t="inlineStr">
        <is>
          <t>T_TAHARI_6621006_BLK_3.jpg</t>
        </is>
      </c>
      <c r="L4760">
        <f>IMAGE("file:///E:/Estudios%20y%20certificaciones/ESTUDIOS%20DE%20PROGRAMMING/PROGRAMMING/PERSONAL/PYTHON/Image_Generator_API/imagenes/T_TAHARI_6621006_BLK_1.jpg")</f>
        <v/>
      </c>
      <c r="M4760">
        <f>IMAGE("file:///E:/Estudios%20y%20certificaciones/ESTUDIOS%20DE%20PROGRAMMING/PROGRAMMING/PERSONAL/PYTHON/Image_Generator_API/imagenes/T_TAHARI_6621006_BLK_2.jpg")</f>
        <v/>
      </c>
      <c r="N4760">
        <f>IMAGE("file:///E:/Estudios%20y%20certificaciones/ESTUDIOS%20DE%20PROGRAMMING/PROGRAMMING/PERSONAL/PYTHON/Image_Generator_API/imagenes/T_TAHARI_6621006_BLK_3.jpg")</f>
        <v/>
      </c>
      <c r="O4760">
        <f>HYPERLINK("imagenes/T_TAHARI_6621006_BLK_1.jpg","Ver imagen")</f>
        <v/>
      </c>
      <c r="P4760">
        <f>HYPERLINK("imagenes/T_TAHARI_6621006_BLK_2.jpg","Ver imagen")</f>
        <v/>
      </c>
      <c r="Q4760">
        <f>HYPERLINK("imagenes/T_TAHARI_6621006_BLK_3.jpg","Ver imagen")</f>
        <v/>
      </c>
    </row>
    <row r="4761">
      <c r="A4761" t="inlineStr">
        <is>
          <t>T TAHARI</t>
        </is>
      </c>
      <c r="B4761" t="inlineStr">
        <is>
          <t>6621006</t>
        </is>
      </c>
      <c r="C4761" t="inlineStr">
        <is>
          <t>NELLIE</t>
        </is>
      </c>
      <c r="D4761" t="inlineStr">
        <is>
          <t>BLK</t>
        </is>
      </c>
      <c r="E4761" t="inlineStr">
        <is>
          <t>(en blanco)</t>
        </is>
      </c>
      <c r="F4761" t="inlineStr">
        <is>
          <t>D2C</t>
        </is>
      </c>
      <c r="G4761" t="inlineStr">
        <is>
          <t>XL</t>
        </is>
      </c>
      <c r="H4761" t="n">
        <v>0</v>
      </c>
      <c r="I4761" t="inlineStr">
        <is>
          <t>T_TAHARI_6621006_BLK_1.jpg</t>
        </is>
      </c>
      <c r="J4761" t="inlineStr">
        <is>
          <t>T_TAHARI_6621006_BLK_2.jpg</t>
        </is>
      </c>
      <c r="K4761" t="inlineStr">
        <is>
          <t>T_TAHARI_6621006_BLK_3.jpg</t>
        </is>
      </c>
      <c r="L4761">
        <f>IMAGE("file:///E:/Estudios%20y%20certificaciones/ESTUDIOS%20DE%20PROGRAMMING/PROGRAMMING/PERSONAL/PYTHON/Image_Generator_API/imagenes/T_TAHARI_6621006_BLK_1.jpg")</f>
        <v/>
      </c>
      <c r="M4761">
        <f>IMAGE("file:///E:/Estudios%20y%20certificaciones/ESTUDIOS%20DE%20PROGRAMMING/PROGRAMMING/PERSONAL/PYTHON/Image_Generator_API/imagenes/T_TAHARI_6621006_BLK_2.jpg")</f>
        <v/>
      </c>
      <c r="N4761">
        <f>IMAGE("file:///E:/Estudios%20y%20certificaciones/ESTUDIOS%20DE%20PROGRAMMING/PROGRAMMING/PERSONAL/PYTHON/Image_Generator_API/imagenes/T_TAHARI_6621006_BLK_3.jpg")</f>
        <v/>
      </c>
      <c r="O4761">
        <f>HYPERLINK("imagenes/T_TAHARI_6621006_BLK_1.jpg","Ver imagen")</f>
        <v/>
      </c>
      <c r="P4761">
        <f>HYPERLINK("imagenes/T_TAHARI_6621006_BLK_2.jpg","Ver imagen")</f>
        <v/>
      </c>
      <c r="Q4761">
        <f>HYPERLINK("imagenes/T_TAHARI_6621006_BLK_3.jpg","Ver imagen")</f>
        <v/>
      </c>
    </row>
    <row r="4762">
      <c r="A4762" t="inlineStr">
        <is>
          <t>T TAHARI</t>
        </is>
      </c>
      <c r="B4762" t="inlineStr">
        <is>
          <t>6621006</t>
        </is>
      </c>
      <c r="C4762" t="inlineStr">
        <is>
          <t>NELLIE</t>
        </is>
      </c>
      <c r="D4762" t="inlineStr">
        <is>
          <t>BLK</t>
        </is>
      </c>
      <c r="E4762" t="inlineStr">
        <is>
          <t>(en blanco)</t>
        </is>
      </c>
      <c r="F4762" t="inlineStr">
        <is>
          <t>D2C</t>
        </is>
      </c>
      <c r="G4762" t="inlineStr">
        <is>
          <t>XXS</t>
        </is>
      </c>
      <c r="H4762" t="n">
        <v>20</v>
      </c>
      <c r="I4762" t="inlineStr">
        <is>
          <t>T_TAHARI_6621006_BLK_1.jpg</t>
        </is>
      </c>
      <c r="J4762" t="inlineStr">
        <is>
          <t>T_TAHARI_6621006_BLK_2.jpg</t>
        </is>
      </c>
      <c r="K4762" t="inlineStr">
        <is>
          <t>T_TAHARI_6621006_BLK_3.jpg</t>
        </is>
      </c>
      <c r="L4762">
        <f>IMAGE("file:///E:/Estudios%20y%20certificaciones/ESTUDIOS%20DE%20PROGRAMMING/PROGRAMMING/PERSONAL/PYTHON/Image_Generator_API/imagenes/T_TAHARI_6621006_BLK_1.jpg")</f>
        <v/>
      </c>
      <c r="M4762">
        <f>IMAGE("file:///E:/Estudios%20y%20certificaciones/ESTUDIOS%20DE%20PROGRAMMING/PROGRAMMING/PERSONAL/PYTHON/Image_Generator_API/imagenes/T_TAHARI_6621006_BLK_2.jpg")</f>
        <v/>
      </c>
      <c r="N4762">
        <f>IMAGE("file:///E:/Estudios%20y%20certificaciones/ESTUDIOS%20DE%20PROGRAMMING/PROGRAMMING/PERSONAL/PYTHON/Image_Generator_API/imagenes/T_TAHARI_6621006_BLK_3.jpg")</f>
        <v/>
      </c>
      <c r="O4762">
        <f>HYPERLINK("imagenes/T_TAHARI_6621006_BLK_1.jpg","Ver imagen")</f>
        <v/>
      </c>
      <c r="P4762">
        <f>HYPERLINK("imagenes/T_TAHARI_6621006_BLK_2.jpg","Ver imagen")</f>
        <v/>
      </c>
      <c r="Q4762">
        <f>HYPERLINK("imagenes/T_TAHARI_6621006_BLK_3.jpg","Ver imagen")</f>
        <v/>
      </c>
    </row>
    <row r="4763">
      <c r="A4763" t="inlineStr">
        <is>
          <t>T TAHARI</t>
        </is>
      </c>
      <c r="B4763" t="inlineStr">
        <is>
          <t>6621006</t>
        </is>
      </c>
      <c r="C4763" t="inlineStr">
        <is>
          <t>NELLIE</t>
        </is>
      </c>
      <c r="D4763" t="inlineStr">
        <is>
          <t>BLK</t>
        </is>
      </c>
      <c r="E4763" t="inlineStr">
        <is>
          <t>(en blanco)</t>
        </is>
      </c>
      <c r="F4763" t="inlineStr">
        <is>
          <t>MACYS ECOM</t>
        </is>
      </c>
      <c r="G4763" t="inlineStr">
        <is>
          <t>XS</t>
        </is>
      </c>
      <c r="H4763" t="n">
        <v>16</v>
      </c>
      <c r="I4763" t="inlineStr">
        <is>
          <t>T_TAHARI_6621006_BLK_1.jpg</t>
        </is>
      </c>
      <c r="J4763" t="inlineStr">
        <is>
          <t>T_TAHARI_6621006_BLK_2.jpg</t>
        </is>
      </c>
      <c r="K4763" t="inlineStr">
        <is>
          <t>T_TAHARI_6621006_BLK_3.jpg</t>
        </is>
      </c>
      <c r="L4763">
        <f>IMAGE("file:///E:/Estudios%20y%20certificaciones/ESTUDIOS%20DE%20PROGRAMMING/PROGRAMMING/PERSONAL/PYTHON/Image_Generator_API/imagenes/T_TAHARI_6621006_BLK_1.jpg")</f>
        <v/>
      </c>
      <c r="M4763">
        <f>IMAGE("file:///E:/Estudios%20y%20certificaciones/ESTUDIOS%20DE%20PROGRAMMING/PROGRAMMING/PERSONAL/PYTHON/Image_Generator_API/imagenes/T_TAHARI_6621006_BLK_2.jpg")</f>
        <v/>
      </c>
      <c r="N4763">
        <f>IMAGE("file:///E:/Estudios%20y%20certificaciones/ESTUDIOS%20DE%20PROGRAMMING/PROGRAMMING/PERSONAL/PYTHON/Image_Generator_API/imagenes/T_TAHARI_6621006_BLK_3.jpg")</f>
        <v/>
      </c>
      <c r="O4763">
        <f>HYPERLINK("imagenes/T_TAHARI_6621006_BLK_1.jpg","Ver imagen")</f>
        <v/>
      </c>
      <c r="P4763">
        <f>HYPERLINK("imagenes/T_TAHARI_6621006_BLK_2.jpg","Ver imagen")</f>
        <v/>
      </c>
      <c r="Q4763">
        <f>HYPERLINK("imagenes/T_TAHARI_6621006_BLK_3.jpg","Ver imagen")</f>
        <v/>
      </c>
    </row>
    <row r="4764">
      <c r="A4764" t="inlineStr">
        <is>
          <t>T TAHARI</t>
        </is>
      </c>
      <c r="B4764" t="inlineStr">
        <is>
          <t>6621006</t>
        </is>
      </c>
      <c r="C4764" t="inlineStr">
        <is>
          <t>NELLIE</t>
        </is>
      </c>
      <c r="D4764" t="inlineStr">
        <is>
          <t>BLK</t>
        </is>
      </c>
      <c r="E4764" t="inlineStr">
        <is>
          <t>(en blanco)</t>
        </is>
      </c>
      <c r="F4764" t="inlineStr">
        <is>
          <t>MACYS ECOM</t>
        </is>
      </c>
      <c r="G4764" t="inlineStr">
        <is>
          <t>S</t>
        </is>
      </c>
      <c r="H4764" t="n">
        <v>92</v>
      </c>
      <c r="I4764" t="inlineStr">
        <is>
          <t>T_TAHARI_6621006_BLK_1.jpg</t>
        </is>
      </c>
      <c r="J4764" t="inlineStr">
        <is>
          <t>T_TAHARI_6621006_BLK_2.jpg</t>
        </is>
      </c>
      <c r="K4764" t="inlineStr">
        <is>
          <t>T_TAHARI_6621006_BLK_3.jpg</t>
        </is>
      </c>
      <c r="L4764">
        <f>IMAGE("file:///E:/Estudios%20y%20certificaciones/ESTUDIOS%20DE%20PROGRAMMING/PROGRAMMING/PERSONAL/PYTHON/Image_Generator_API/imagenes/T_TAHARI_6621006_BLK_1.jpg")</f>
        <v/>
      </c>
      <c r="M4764">
        <f>IMAGE("file:///E:/Estudios%20y%20certificaciones/ESTUDIOS%20DE%20PROGRAMMING/PROGRAMMING/PERSONAL/PYTHON/Image_Generator_API/imagenes/T_TAHARI_6621006_BLK_2.jpg")</f>
        <v/>
      </c>
      <c r="N4764">
        <f>IMAGE("file:///E:/Estudios%20y%20certificaciones/ESTUDIOS%20DE%20PROGRAMMING/PROGRAMMING/PERSONAL/PYTHON/Image_Generator_API/imagenes/T_TAHARI_6621006_BLK_3.jpg")</f>
        <v/>
      </c>
      <c r="O4764">
        <f>HYPERLINK("imagenes/T_TAHARI_6621006_BLK_1.jpg","Ver imagen")</f>
        <v/>
      </c>
      <c r="P4764">
        <f>HYPERLINK("imagenes/T_TAHARI_6621006_BLK_2.jpg","Ver imagen")</f>
        <v/>
      </c>
      <c r="Q4764">
        <f>HYPERLINK("imagenes/T_TAHARI_6621006_BLK_3.jpg","Ver imagen")</f>
        <v/>
      </c>
    </row>
    <row r="4765">
      <c r="A4765" t="inlineStr">
        <is>
          <t>T TAHARI</t>
        </is>
      </c>
      <c r="B4765" t="inlineStr">
        <is>
          <t>6621006</t>
        </is>
      </c>
      <c r="C4765" t="inlineStr">
        <is>
          <t>NELLIE</t>
        </is>
      </c>
      <c r="D4765" t="inlineStr">
        <is>
          <t>BLK</t>
        </is>
      </c>
      <c r="E4765" t="inlineStr">
        <is>
          <t>(en blanco)</t>
        </is>
      </c>
      <c r="F4765" t="inlineStr">
        <is>
          <t>MACYS ECOM</t>
        </is>
      </c>
      <c r="G4765" t="inlineStr">
        <is>
          <t>M</t>
        </is>
      </c>
      <c r="H4765" t="n">
        <v>134</v>
      </c>
      <c r="I4765" t="inlineStr">
        <is>
          <t>T_TAHARI_6621006_BLK_1.jpg</t>
        </is>
      </c>
      <c r="J4765" t="inlineStr">
        <is>
          <t>T_TAHARI_6621006_BLK_2.jpg</t>
        </is>
      </c>
      <c r="K4765" t="inlineStr">
        <is>
          <t>T_TAHARI_6621006_BLK_3.jpg</t>
        </is>
      </c>
      <c r="L4765">
        <f>IMAGE("file:///E:/Estudios%20y%20certificaciones/ESTUDIOS%20DE%20PROGRAMMING/PROGRAMMING/PERSONAL/PYTHON/Image_Generator_API/imagenes/T_TAHARI_6621006_BLK_1.jpg")</f>
        <v/>
      </c>
      <c r="M4765">
        <f>IMAGE("file:///E:/Estudios%20y%20certificaciones/ESTUDIOS%20DE%20PROGRAMMING/PROGRAMMING/PERSONAL/PYTHON/Image_Generator_API/imagenes/T_TAHARI_6621006_BLK_2.jpg")</f>
        <v/>
      </c>
      <c r="N4765">
        <f>IMAGE("file:///E:/Estudios%20y%20certificaciones/ESTUDIOS%20DE%20PROGRAMMING/PROGRAMMING/PERSONAL/PYTHON/Image_Generator_API/imagenes/T_TAHARI_6621006_BLK_3.jpg")</f>
        <v/>
      </c>
      <c r="O4765">
        <f>HYPERLINK("imagenes/T_TAHARI_6621006_BLK_1.jpg","Ver imagen")</f>
        <v/>
      </c>
      <c r="P4765">
        <f>HYPERLINK("imagenes/T_TAHARI_6621006_BLK_2.jpg","Ver imagen")</f>
        <v/>
      </c>
      <c r="Q4765">
        <f>HYPERLINK("imagenes/T_TAHARI_6621006_BLK_3.jpg","Ver imagen")</f>
        <v/>
      </c>
    </row>
    <row r="4766">
      <c r="A4766" t="inlineStr">
        <is>
          <t>T TAHARI</t>
        </is>
      </c>
      <c r="B4766" t="inlineStr">
        <is>
          <t>6621006</t>
        </is>
      </c>
      <c r="C4766" t="inlineStr">
        <is>
          <t>NELLIE</t>
        </is>
      </c>
      <c r="D4766" t="inlineStr">
        <is>
          <t>BLK</t>
        </is>
      </c>
      <c r="E4766" t="inlineStr">
        <is>
          <t>(en blanco)</t>
        </is>
      </c>
      <c r="F4766" t="inlineStr">
        <is>
          <t>MACYS ECOM</t>
        </is>
      </c>
      <c r="G4766" t="inlineStr">
        <is>
          <t>L</t>
        </is>
      </c>
      <c r="H4766" t="n">
        <v>117</v>
      </c>
      <c r="I4766" t="inlineStr">
        <is>
          <t>T_TAHARI_6621006_BLK_1.jpg</t>
        </is>
      </c>
      <c r="J4766" t="inlineStr">
        <is>
          <t>T_TAHARI_6621006_BLK_2.jpg</t>
        </is>
      </c>
      <c r="K4766" t="inlineStr">
        <is>
          <t>T_TAHARI_6621006_BLK_3.jpg</t>
        </is>
      </c>
      <c r="L4766">
        <f>IMAGE("file:///E:/Estudios%20y%20certificaciones/ESTUDIOS%20DE%20PROGRAMMING/PROGRAMMING/PERSONAL/PYTHON/Image_Generator_API/imagenes/T_TAHARI_6621006_BLK_1.jpg")</f>
        <v/>
      </c>
      <c r="M4766">
        <f>IMAGE("file:///E:/Estudios%20y%20certificaciones/ESTUDIOS%20DE%20PROGRAMMING/PROGRAMMING/PERSONAL/PYTHON/Image_Generator_API/imagenes/T_TAHARI_6621006_BLK_2.jpg")</f>
        <v/>
      </c>
      <c r="N4766">
        <f>IMAGE("file:///E:/Estudios%20y%20certificaciones/ESTUDIOS%20DE%20PROGRAMMING/PROGRAMMING/PERSONAL/PYTHON/Image_Generator_API/imagenes/T_TAHARI_6621006_BLK_3.jpg")</f>
        <v/>
      </c>
      <c r="O4766">
        <f>HYPERLINK("imagenes/T_TAHARI_6621006_BLK_1.jpg","Ver imagen")</f>
        <v/>
      </c>
      <c r="P4766">
        <f>HYPERLINK("imagenes/T_TAHARI_6621006_BLK_2.jpg","Ver imagen")</f>
        <v/>
      </c>
      <c r="Q4766">
        <f>HYPERLINK("imagenes/T_TAHARI_6621006_BLK_3.jpg","Ver imagen")</f>
        <v/>
      </c>
    </row>
    <row r="4767">
      <c r="A4767" t="inlineStr">
        <is>
          <t>T TAHARI</t>
        </is>
      </c>
      <c r="B4767" t="inlineStr">
        <is>
          <t>6621006</t>
        </is>
      </c>
      <c r="C4767" t="inlineStr">
        <is>
          <t>NELLIE</t>
        </is>
      </c>
      <c r="D4767" t="inlineStr">
        <is>
          <t>BLK</t>
        </is>
      </c>
      <c r="E4767" t="inlineStr">
        <is>
          <t>(en blanco)</t>
        </is>
      </c>
      <c r="F4767" t="inlineStr">
        <is>
          <t>MACYS ECOM</t>
        </is>
      </c>
      <c r="G4767" t="inlineStr">
        <is>
          <t>XL</t>
        </is>
      </c>
      <c r="H4767" t="n">
        <v>91</v>
      </c>
      <c r="I4767" t="inlineStr">
        <is>
          <t>T_TAHARI_6621006_BLK_1.jpg</t>
        </is>
      </c>
      <c r="J4767" t="inlineStr">
        <is>
          <t>T_TAHARI_6621006_BLK_2.jpg</t>
        </is>
      </c>
      <c r="K4767" t="inlineStr">
        <is>
          <t>T_TAHARI_6621006_BLK_3.jpg</t>
        </is>
      </c>
      <c r="L4767">
        <f>IMAGE("file:///E:/Estudios%20y%20certificaciones/ESTUDIOS%20DE%20PROGRAMMING/PROGRAMMING/PERSONAL/PYTHON/Image_Generator_API/imagenes/T_TAHARI_6621006_BLK_1.jpg")</f>
        <v/>
      </c>
      <c r="M4767">
        <f>IMAGE("file:///E:/Estudios%20y%20certificaciones/ESTUDIOS%20DE%20PROGRAMMING/PROGRAMMING/PERSONAL/PYTHON/Image_Generator_API/imagenes/T_TAHARI_6621006_BLK_2.jpg")</f>
        <v/>
      </c>
      <c r="N4767">
        <f>IMAGE("file:///E:/Estudios%20y%20certificaciones/ESTUDIOS%20DE%20PROGRAMMING/PROGRAMMING/PERSONAL/PYTHON/Image_Generator_API/imagenes/T_TAHARI_6621006_BLK_3.jpg")</f>
        <v/>
      </c>
      <c r="O4767">
        <f>HYPERLINK("imagenes/T_TAHARI_6621006_BLK_1.jpg","Ver imagen")</f>
        <v/>
      </c>
      <c r="P4767">
        <f>HYPERLINK("imagenes/T_TAHARI_6621006_BLK_2.jpg","Ver imagen")</f>
        <v/>
      </c>
      <c r="Q4767">
        <f>HYPERLINK("imagenes/T_TAHARI_6621006_BLK_3.jpg","Ver imagen")</f>
        <v/>
      </c>
    </row>
    <row r="4768">
      <c r="A4768" t="inlineStr">
        <is>
          <t>T TAHARI</t>
        </is>
      </c>
      <c r="B4768" t="inlineStr">
        <is>
          <t>6621006</t>
        </is>
      </c>
      <c r="C4768" t="inlineStr">
        <is>
          <t>NELLIE</t>
        </is>
      </c>
      <c r="D4768" t="inlineStr">
        <is>
          <t>BLK</t>
        </is>
      </c>
      <c r="E4768" t="inlineStr">
        <is>
          <t>(en blanco)</t>
        </is>
      </c>
      <c r="F4768" t="inlineStr">
        <is>
          <t>MACYS ECOM</t>
        </is>
      </c>
      <c r="G4768" t="inlineStr">
        <is>
          <t>XXL</t>
        </is>
      </c>
      <c r="H4768" t="n">
        <v>32</v>
      </c>
      <c r="I4768" t="inlineStr">
        <is>
          <t>T_TAHARI_6621006_BLK_1.jpg</t>
        </is>
      </c>
      <c r="J4768" t="inlineStr">
        <is>
          <t>T_TAHARI_6621006_BLK_2.jpg</t>
        </is>
      </c>
      <c r="K4768" t="inlineStr">
        <is>
          <t>T_TAHARI_6621006_BLK_3.jpg</t>
        </is>
      </c>
      <c r="L4768">
        <f>IMAGE("file:///E:/Estudios%20y%20certificaciones/ESTUDIOS%20DE%20PROGRAMMING/PROGRAMMING/PERSONAL/PYTHON/Image_Generator_API/imagenes/T_TAHARI_6621006_BLK_1.jpg")</f>
        <v/>
      </c>
      <c r="M4768">
        <f>IMAGE("file:///E:/Estudios%20y%20certificaciones/ESTUDIOS%20DE%20PROGRAMMING/PROGRAMMING/PERSONAL/PYTHON/Image_Generator_API/imagenes/T_TAHARI_6621006_BLK_2.jpg")</f>
        <v/>
      </c>
      <c r="N4768">
        <f>IMAGE("file:///E:/Estudios%20y%20certificaciones/ESTUDIOS%20DE%20PROGRAMMING/PROGRAMMING/PERSONAL/PYTHON/Image_Generator_API/imagenes/T_TAHARI_6621006_BLK_3.jpg")</f>
        <v/>
      </c>
      <c r="O4768">
        <f>HYPERLINK("imagenes/T_TAHARI_6621006_BLK_1.jpg","Ver imagen")</f>
        <v/>
      </c>
      <c r="P4768">
        <f>HYPERLINK("imagenes/T_TAHARI_6621006_BLK_2.jpg","Ver imagen")</f>
        <v/>
      </c>
      <c r="Q4768">
        <f>HYPERLINK("imagenes/T_TAHARI_6621006_BLK_3.jpg","Ver imagen")</f>
        <v/>
      </c>
    </row>
    <row r="4769">
      <c r="A4769" t="inlineStr">
        <is>
          <t>T TAHARI</t>
        </is>
      </c>
      <c r="B4769" t="inlineStr">
        <is>
          <t>6621006</t>
        </is>
      </c>
      <c r="C4769" t="inlineStr">
        <is>
          <t>NELLIE</t>
        </is>
      </c>
      <c r="D4769" t="inlineStr">
        <is>
          <t>BLK</t>
        </is>
      </c>
      <c r="E4769" t="inlineStr">
        <is>
          <t>(en blanco)</t>
        </is>
      </c>
      <c r="F4769" t="inlineStr">
        <is>
          <t>(en blanco)</t>
        </is>
      </c>
      <c r="G4769" t="inlineStr">
        <is>
          <t>XS</t>
        </is>
      </c>
      <c r="H4769" t="n">
        <v>150</v>
      </c>
      <c r="I4769" t="inlineStr">
        <is>
          <t>T_TAHARI_6621006_BLK_1.jpg</t>
        </is>
      </c>
      <c r="J4769" t="inlineStr">
        <is>
          <t>T_TAHARI_6621006_BLK_2.jpg</t>
        </is>
      </c>
      <c r="K4769" t="inlineStr">
        <is>
          <t>T_TAHARI_6621006_BLK_3.jpg</t>
        </is>
      </c>
      <c r="L4769">
        <f>IMAGE("file:///E:/Estudios%20y%20certificaciones/ESTUDIOS%20DE%20PROGRAMMING/PROGRAMMING/PERSONAL/PYTHON/Image_Generator_API/imagenes/T_TAHARI_6621006_BLK_1.jpg")</f>
        <v/>
      </c>
      <c r="M4769">
        <f>IMAGE("file:///E:/Estudios%20y%20certificaciones/ESTUDIOS%20DE%20PROGRAMMING/PROGRAMMING/PERSONAL/PYTHON/Image_Generator_API/imagenes/T_TAHARI_6621006_BLK_2.jpg")</f>
        <v/>
      </c>
      <c r="N4769">
        <f>IMAGE("file:///E:/Estudios%20y%20certificaciones/ESTUDIOS%20DE%20PROGRAMMING/PROGRAMMING/PERSONAL/PYTHON/Image_Generator_API/imagenes/T_TAHARI_6621006_BLK_3.jpg")</f>
        <v/>
      </c>
      <c r="O4769">
        <f>HYPERLINK("imagenes/T_TAHARI_6621006_BLK_1.jpg","Ver imagen")</f>
        <v/>
      </c>
      <c r="P4769">
        <f>HYPERLINK("imagenes/T_TAHARI_6621006_BLK_2.jpg","Ver imagen")</f>
        <v/>
      </c>
      <c r="Q4769">
        <f>HYPERLINK("imagenes/T_TAHARI_6621006_BLK_3.jpg","Ver imagen")</f>
        <v/>
      </c>
    </row>
    <row r="4770">
      <c r="A4770" t="inlineStr">
        <is>
          <t>T TAHARI</t>
        </is>
      </c>
      <c r="B4770" t="inlineStr">
        <is>
          <t>6621006</t>
        </is>
      </c>
      <c r="C4770" t="inlineStr">
        <is>
          <t>NELLIE</t>
        </is>
      </c>
      <c r="D4770" t="inlineStr">
        <is>
          <t>BLK</t>
        </is>
      </c>
      <c r="E4770" t="inlineStr">
        <is>
          <t>(en blanco)</t>
        </is>
      </c>
      <c r="F4770" t="inlineStr">
        <is>
          <t>(en blanco)</t>
        </is>
      </c>
      <c r="G4770" t="inlineStr">
        <is>
          <t>S</t>
        </is>
      </c>
      <c r="H4770" t="n">
        <v>246</v>
      </c>
      <c r="I4770" t="inlineStr">
        <is>
          <t>T_TAHARI_6621006_BLK_1.jpg</t>
        </is>
      </c>
      <c r="J4770" t="inlineStr">
        <is>
          <t>T_TAHARI_6621006_BLK_2.jpg</t>
        </is>
      </c>
      <c r="K4770" t="inlineStr">
        <is>
          <t>T_TAHARI_6621006_BLK_3.jpg</t>
        </is>
      </c>
      <c r="L4770">
        <f>IMAGE("file:///E:/Estudios%20y%20certificaciones/ESTUDIOS%20DE%20PROGRAMMING/PROGRAMMING/PERSONAL/PYTHON/Image_Generator_API/imagenes/T_TAHARI_6621006_BLK_1.jpg")</f>
        <v/>
      </c>
      <c r="M4770">
        <f>IMAGE("file:///E:/Estudios%20y%20certificaciones/ESTUDIOS%20DE%20PROGRAMMING/PROGRAMMING/PERSONAL/PYTHON/Image_Generator_API/imagenes/T_TAHARI_6621006_BLK_2.jpg")</f>
        <v/>
      </c>
      <c r="N4770">
        <f>IMAGE("file:///E:/Estudios%20y%20certificaciones/ESTUDIOS%20DE%20PROGRAMMING/PROGRAMMING/PERSONAL/PYTHON/Image_Generator_API/imagenes/T_TAHARI_6621006_BLK_3.jpg")</f>
        <v/>
      </c>
      <c r="O4770">
        <f>HYPERLINK("imagenes/T_TAHARI_6621006_BLK_1.jpg","Ver imagen")</f>
        <v/>
      </c>
      <c r="P4770">
        <f>HYPERLINK("imagenes/T_TAHARI_6621006_BLK_2.jpg","Ver imagen")</f>
        <v/>
      </c>
      <c r="Q4770">
        <f>HYPERLINK("imagenes/T_TAHARI_6621006_BLK_3.jpg","Ver imagen")</f>
        <v/>
      </c>
    </row>
    <row r="4771">
      <c r="A4771" t="inlineStr">
        <is>
          <t>T TAHARI</t>
        </is>
      </c>
      <c r="B4771" t="inlineStr">
        <is>
          <t>6621006</t>
        </is>
      </c>
      <c r="C4771" t="inlineStr">
        <is>
          <t>NELLIE</t>
        </is>
      </c>
      <c r="D4771" t="inlineStr">
        <is>
          <t>BLK</t>
        </is>
      </c>
      <c r="E4771" t="inlineStr">
        <is>
          <t>(en blanco)</t>
        </is>
      </c>
      <c r="F4771" t="inlineStr">
        <is>
          <t>(en blanco)</t>
        </is>
      </c>
      <c r="G4771" t="inlineStr">
        <is>
          <t>M</t>
        </is>
      </c>
      <c r="H4771" t="n">
        <v>203</v>
      </c>
      <c r="I4771" t="inlineStr">
        <is>
          <t>T_TAHARI_6621006_BLK_1.jpg</t>
        </is>
      </c>
      <c r="J4771" t="inlineStr">
        <is>
          <t>T_TAHARI_6621006_BLK_2.jpg</t>
        </is>
      </c>
      <c r="K4771" t="inlineStr">
        <is>
          <t>T_TAHARI_6621006_BLK_3.jpg</t>
        </is>
      </c>
      <c r="L4771">
        <f>IMAGE("file:///E:/Estudios%20y%20certificaciones/ESTUDIOS%20DE%20PROGRAMMING/PROGRAMMING/PERSONAL/PYTHON/Image_Generator_API/imagenes/T_TAHARI_6621006_BLK_1.jpg")</f>
        <v/>
      </c>
      <c r="M4771">
        <f>IMAGE("file:///E:/Estudios%20y%20certificaciones/ESTUDIOS%20DE%20PROGRAMMING/PROGRAMMING/PERSONAL/PYTHON/Image_Generator_API/imagenes/T_TAHARI_6621006_BLK_2.jpg")</f>
        <v/>
      </c>
      <c r="N4771">
        <f>IMAGE("file:///E:/Estudios%20y%20certificaciones/ESTUDIOS%20DE%20PROGRAMMING/PROGRAMMING/PERSONAL/PYTHON/Image_Generator_API/imagenes/T_TAHARI_6621006_BLK_3.jpg")</f>
        <v/>
      </c>
      <c r="O4771">
        <f>HYPERLINK("imagenes/T_TAHARI_6621006_BLK_1.jpg","Ver imagen")</f>
        <v/>
      </c>
      <c r="P4771">
        <f>HYPERLINK("imagenes/T_TAHARI_6621006_BLK_2.jpg","Ver imagen")</f>
        <v/>
      </c>
      <c r="Q4771">
        <f>HYPERLINK("imagenes/T_TAHARI_6621006_BLK_3.jpg","Ver imagen")</f>
        <v/>
      </c>
    </row>
    <row r="4772">
      <c r="A4772" t="inlineStr">
        <is>
          <t>T TAHARI</t>
        </is>
      </c>
      <c r="B4772" t="inlineStr">
        <is>
          <t>6621006</t>
        </is>
      </c>
      <c r="C4772" t="inlineStr">
        <is>
          <t>NELLIE</t>
        </is>
      </c>
      <c r="D4772" t="inlineStr">
        <is>
          <t>BLK</t>
        </is>
      </c>
      <c r="E4772" t="inlineStr">
        <is>
          <t>(en blanco)</t>
        </is>
      </c>
      <c r="F4772" t="inlineStr">
        <is>
          <t>(en blanco)</t>
        </is>
      </c>
      <c r="G4772" t="inlineStr">
        <is>
          <t>L</t>
        </is>
      </c>
      <c r="H4772" t="n">
        <v>244</v>
      </c>
      <c r="I4772" t="inlineStr">
        <is>
          <t>T_TAHARI_6621006_BLK_1.jpg</t>
        </is>
      </c>
      <c r="J4772" t="inlineStr">
        <is>
          <t>T_TAHARI_6621006_BLK_2.jpg</t>
        </is>
      </c>
      <c r="K4772" t="inlineStr">
        <is>
          <t>T_TAHARI_6621006_BLK_3.jpg</t>
        </is>
      </c>
      <c r="L4772">
        <f>IMAGE("file:///E:/Estudios%20y%20certificaciones/ESTUDIOS%20DE%20PROGRAMMING/PROGRAMMING/PERSONAL/PYTHON/Image_Generator_API/imagenes/T_TAHARI_6621006_BLK_1.jpg")</f>
        <v/>
      </c>
      <c r="M4772">
        <f>IMAGE("file:///E:/Estudios%20y%20certificaciones/ESTUDIOS%20DE%20PROGRAMMING/PROGRAMMING/PERSONAL/PYTHON/Image_Generator_API/imagenes/T_TAHARI_6621006_BLK_2.jpg")</f>
        <v/>
      </c>
      <c r="N4772">
        <f>IMAGE("file:///E:/Estudios%20y%20certificaciones/ESTUDIOS%20DE%20PROGRAMMING/PROGRAMMING/PERSONAL/PYTHON/Image_Generator_API/imagenes/T_TAHARI_6621006_BLK_3.jpg")</f>
        <v/>
      </c>
      <c r="O4772">
        <f>HYPERLINK("imagenes/T_TAHARI_6621006_BLK_1.jpg","Ver imagen")</f>
        <v/>
      </c>
      <c r="P4772">
        <f>HYPERLINK("imagenes/T_TAHARI_6621006_BLK_2.jpg","Ver imagen")</f>
        <v/>
      </c>
      <c r="Q4772">
        <f>HYPERLINK("imagenes/T_TAHARI_6621006_BLK_3.jpg","Ver imagen")</f>
        <v/>
      </c>
    </row>
    <row r="4773">
      <c r="A4773" t="inlineStr">
        <is>
          <t>T TAHARI</t>
        </is>
      </c>
      <c r="B4773" t="inlineStr">
        <is>
          <t>6621006</t>
        </is>
      </c>
      <c r="C4773" t="inlineStr">
        <is>
          <t>NELLIE</t>
        </is>
      </c>
      <c r="D4773" t="inlineStr">
        <is>
          <t>BLK</t>
        </is>
      </c>
      <c r="E4773" t="inlineStr">
        <is>
          <t>(en blanco)</t>
        </is>
      </c>
      <c r="F4773" t="inlineStr">
        <is>
          <t>(en blanco)</t>
        </is>
      </c>
      <c r="G4773" t="inlineStr">
        <is>
          <t>XL</t>
        </is>
      </c>
      <c r="H4773" t="n">
        <v>77</v>
      </c>
      <c r="I4773" t="inlineStr">
        <is>
          <t>T_TAHARI_6621006_BLK_1.jpg</t>
        </is>
      </c>
      <c r="J4773" t="inlineStr">
        <is>
          <t>T_TAHARI_6621006_BLK_2.jpg</t>
        </is>
      </c>
      <c r="K4773" t="inlineStr">
        <is>
          <t>T_TAHARI_6621006_BLK_3.jpg</t>
        </is>
      </c>
      <c r="L4773">
        <f>IMAGE("file:///E:/Estudios%20y%20certificaciones/ESTUDIOS%20DE%20PROGRAMMING/PROGRAMMING/PERSONAL/PYTHON/Image_Generator_API/imagenes/T_TAHARI_6621006_BLK_1.jpg")</f>
        <v/>
      </c>
      <c r="M4773">
        <f>IMAGE("file:///E:/Estudios%20y%20certificaciones/ESTUDIOS%20DE%20PROGRAMMING/PROGRAMMING/PERSONAL/PYTHON/Image_Generator_API/imagenes/T_TAHARI_6621006_BLK_2.jpg")</f>
        <v/>
      </c>
      <c r="N4773">
        <f>IMAGE("file:///E:/Estudios%20y%20certificaciones/ESTUDIOS%20DE%20PROGRAMMING/PROGRAMMING/PERSONAL/PYTHON/Image_Generator_API/imagenes/T_TAHARI_6621006_BLK_3.jpg")</f>
        <v/>
      </c>
      <c r="O4773">
        <f>HYPERLINK("imagenes/T_TAHARI_6621006_BLK_1.jpg","Ver imagen")</f>
        <v/>
      </c>
      <c r="P4773">
        <f>HYPERLINK("imagenes/T_TAHARI_6621006_BLK_2.jpg","Ver imagen")</f>
        <v/>
      </c>
      <c r="Q4773">
        <f>HYPERLINK("imagenes/T_TAHARI_6621006_BLK_3.jpg","Ver imagen")</f>
        <v/>
      </c>
    </row>
    <row r="4774">
      <c r="A4774" t="inlineStr">
        <is>
          <t>T TAHARI</t>
        </is>
      </c>
      <c r="B4774" t="inlineStr">
        <is>
          <t>6621006</t>
        </is>
      </c>
      <c r="C4774" t="inlineStr">
        <is>
          <t>NELLIE</t>
        </is>
      </c>
      <c r="D4774" t="inlineStr">
        <is>
          <t>BLK</t>
        </is>
      </c>
      <c r="E4774" t="inlineStr">
        <is>
          <t>(en blanco)</t>
        </is>
      </c>
      <c r="F4774" t="inlineStr">
        <is>
          <t>(en blanco)</t>
        </is>
      </c>
      <c r="G4774" t="inlineStr">
        <is>
          <t>XXS</t>
        </is>
      </c>
      <c r="H4774" t="n">
        <v>228</v>
      </c>
      <c r="I4774" t="inlineStr">
        <is>
          <t>T_TAHARI_6621006_BLK_1.jpg</t>
        </is>
      </c>
      <c r="J4774" t="inlineStr">
        <is>
          <t>T_TAHARI_6621006_BLK_2.jpg</t>
        </is>
      </c>
      <c r="K4774" t="inlineStr">
        <is>
          <t>T_TAHARI_6621006_BLK_3.jpg</t>
        </is>
      </c>
      <c r="L4774">
        <f>IMAGE("file:///E:/Estudios%20y%20certificaciones/ESTUDIOS%20DE%20PROGRAMMING/PROGRAMMING/PERSONAL/PYTHON/Image_Generator_API/imagenes/T_TAHARI_6621006_BLK_1.jpg")</f>
        <v/>
      </c>
      <c r="M4774">
        <f>IMAGE("file:///E:/Estudios%20y%20certificaciones/ESTUDIOS%20DE%20PROGRAMMING/PROGRAMMING/PERSONAL/PYTHON/Image_Generator_API/imagenes/T_TAHARI_6621006_BLK_2.jpg")</f>
        <v/>
      </c>
      <c r="N4774">
        <f>IMAGE("file:///E:/Estudios%20y%20certificaciones/ESTUDIOS%20DE%20PROGRAMMING/PROGRAMMING/PERSONAL/PYTHON/Image_Generator_API/imagenes/T_TAHARI_6621006_BLK_3.jpg")</f>
        <v/>
      </c>
      <c r="O4774">
        <f>HYPERLINK("imagenes/T_TAHARI_6621006_BLK_1.jpg","Ver imagen")</f>
        <v/>
      </c>
      <c r="P4774">
        <f>HYPERLINK("imagenes/T_TAHARI_6621006_BLK_2.jpg","Ver imagen")</f>
        <v/>
      </c>
      <c r="Q4774">
        <f>HYPERLINK("imagenes/T_TAHARI_6621006_BLK_3.jpg","Ver imagen")</f>
        <v/>
      </c>
    </row>
    <row r="4775">
      <c r="A4775" t="inlineStr">
        <is>
          <t>T TAHARI</t>
        </is>
      </c>
      <c r="B4775" t="inlineStr">
        <is>
          <t>6621006</t>
        </is>
      </c>
      <c r="C4775" t="inlineStr">
        <is>
          <t>NELLIE</t>
        </is>
      </c>
      <c r="D4775" t="inlineStr">
        <is>
          <t>GXY</t>
        </is>
      </c>
      <c r="E4775" t="inlineStr">
        <is>
          <t>(en blanco)</t>
        </is>
      </c>
      <c r="F4775" t="inlineStr">
        <is>
          <t>D2C</t>
        </is>
      </c>
      <c r="G4775" t="inlineStr">
        <is>
          <t>XS</t>
        </is>
      </c>
      <c r="H4775" t="n">
        <v>42</v>
      </c>
      <c r="I4775" t="inlineStr">
        <is>
          <t>T_TAHARI_6621006_GXY_1.jpg</t>
        </is>
      </c>
      <c r="J4775" t="inlineStr">
        <is>
          <t>T_TAHARI_6621006_GXY_2.jpg</t>
        </is>
      </c>
      <c r="K4775" t="inlineStr">
        <is>
          <t>T_TAHARI_6621006_GXY_3.jpg</t>
        </is>
      </c>
      <c r="L4775">
        <f>IMAGE("file:///E:/Estudios%20y%20certificaciones/ESTUDIOS%20DE%20PROGRAMMING/PROGRAMMING/PERSONAL/PYTHON/Image_Generator_API/imagenes/T_TAHARI_6621006_GXY_1.jpg")</f>
        <v/>
      </c>
      <c r="M4775">
        <f>IMAGE("file:///E:/Estudios%20y%20certificaciones/ESTUDIOS%20DE%20PROGRAMMING/PROGRAMMING/PERSONAL/PYTHON/Image_Generator_API/imagenes/T_TAHARI_6621006_GXY_2.jpg")</f>
        <v/>
      </c>
      <c r="N4775">
        <f>IMAGE("file:///E:/Estudios%20y%20certificaciones/ESTUDIOS%20DE%20PROGRAMMING/PROGRAMMING/PERSONAL/PYTHON/Image_Generator_API/imagenes/T_TAHARI_6621006_GXY_3.jpg")</f>
        <v/>
      </c>
      <c r="O4775">
        <f>HYPERLINK("imagenes/T_TAHARI_6621006_GXY_1.jpg","Ver imagen")</f>
        <v/>
      </c>
      <c r="P4775">
        <f>HYPERLINK("imagenes/T_TAHARI_6621006_GXY_2.jpg","Ver imagen")</f>
        <v/>
      </c>
      <c r="Q4775">
        <f>HYPERLINK("imagenes/T_TAHARI_6621006_GXY_3.jpg","Ver imagen")</f>
        <v/>
      </c>
    </row>
    <row r="4776">
      <c r="A4776" t="inlineStr">
        <is>
          <t>T TAHARI</t>
        </is>
      </c>
      <c r="B4776" t="inlineStr">
        <is>
          <t>6621006</t>
        </is>
      </c>
      <c r="C4776" t="inlineStr">
        <is>
          <t>NELLIE</t>
        </is>
      </c>
      <c r="D4776" t="inlineStr">
        <is>
          <t>GXY</t>
        </is>
      </c>
      <c r="E4776" t="inlineStr">
        <is>
          <t>(en blanco)</t>
        </is>
      </c>
      <c r="F4776" t="inlineStr">
        <is>
          <t>D2C</t>
        </is>
      </c>
      <c r="G4776" t="inlineStr">
        <is>
          <t>S</t>
        </is>
      </c>
      <c r="H4776" t="n">
        <v>20</v>
      </c>
      <c r="I4776" t="inlineStr">
        <is>
          <t>T_TAHARI_6621006_GXY_1.jpg</t>
        </is>
      </c>
      <c r="J4776" t="inlineStr">
        <is>
          <t>T_TAHARI_6621006_GXY_2.jpg</t>
        </is>
      </c>
      <c r="K4776" t="inlineStr">
        <is>
          <t>T_TAHARI_6621006_GXY_3.jpg</t>
        </is>
      </c>
      <c r="L4776">
        <f>IMAGE("file:///E:/Estudios%20y%20certificaciones/ESTUDIOS%20DE%20PROGRAMMING/PROGRAMMING/PERSONAL/PYTHON/Image_Generator_API/imagenes/T_TAHARI_6621006_GXY_1.jpg")</f>
        <v/>
      </c>
      <c r="M4776">
        <f>IMAGE("file:///E:/Estudios%20y%20certificaciones/ESTUDIOS%20DE%20PROGRAMMING/PROGRAMMING/PERSONAL/PYTHON/Image_Generator_API/imagenes/T_TAHARI_6621006_GXY_2.jpg")</f>
        <v/>
      </c>
      <c r="N4776">
        <f>IMAGE("file:///E:/Estudios%20y%20certificaciones/ESTUDIOS%20DE%20PROGRAMMING/PROGRAMMING/PERSONAL/PYTHON/Image_Generator_API/imagenes/T_TAHARI_6621006_GXY_3.jpg")</f>
        <v/>
      </c>
      <c r="O4776">
        <f>HYPERLINK("imagenes/T_TAHARI_6621006_GXY_1.jpg","Ver imagen")</f>
        <v/>
      </c>
      <c r="P4776">
        <f>HYPERLINK("imagenes/T_TAHARI_6621006_GXY_2.jpg","Ver imagen")</f>
        <v/>
      </c>
      <c r="Q4776">
        <f>HYPERLINK("imagenes/T_TAHARI_6621006_GXY_3.jpg","Ver imagen")</f>
        <v/>
      </c>
    </row>
    <row r="4777">
      <c r="A4777" t="inlineStr">
        <is>
          <t>T TAHARI</t>
        </is>
      </c>
      <c r="B4777" t="inlineStr">
        <is>
          <t>6621006</t>
        </is>
      </c>
      <c r="C4777" t="inlineStr">
        <is>
          <t>NELLIE</t>
        </is>
      </c>
      <c r="D4777" t="inlineStr">
        <is>
          <t>GXY</t>
        </is>
      </c>
      <c r="E4777" t="inlineStr">
        <is>
          <t>(en blanco)</t>
        </is>
      </c>
      <c r="F4777" t="inlineStr">
        <is>
          <t>D2C</t>
        </is>
      </c>
      <c r="G4777" t="inlineStr">
        <is>
          <t>M</t>
        </is>
      </c>
      <c r="H4777" t="n">
        <v>20</v>
      </c>
      <c r="I4777" t="inlineStr">
        <is>
          <t>T_TAHARI_6621006_GXY_1.jpg</t>
        </is>
      </c>
      <c r="J4777" t="inlineStr">
        <is>
          <t>T_TAHARI_6621006_GXY_2.jpg</t>
        </is>
      </c>
      <c r="K4777" t="inlineStr">
        <is>
          <t>T_TAHARI_6621006_GXY_3.jpg</t>
        </is>
      </c>
      <c r="L4777">
        <f>IMAGE("file:///E:/Estudios%20y%20certificaciones/ESTUDIOS%20DE%20PROGRAMMING/PROGRAMMING/PERSONAL/PYTHON/Image_Generator_API/imagenes/T_TAHARI_6621006_GXY_1.jpg")</f>
        <v/>
      </c>
      <c r="M4777">
        <f>IMAGE("file:///E:/Estudios%20y%20certificaciones/ESTUDIOS%20DE%20PROGRAMMING/PROGRAMMING/PERSONAL/PYTHON/Image_Generator_API/imagenes/T_TAHARI_6621006_GXY_2.jpg")</f>
        <v/>
      </c>
      <c r="N4777">
        <f>IMAGE("file:///E:/Estudios%20y%20certificaciones/ESTUDIOS%20DE%20PROGRAMMING/PROGRAMMING/PERSONAL/PYTHON/Image_Generator_API/imagenes/T_TAHARI_6621006_GXY_3.jpg")</f>
        <v/>
      </c>
      <c r="O4777">
        <f>HYPERLINK("imagenes/T_TAHARI_6621006_GXY_1.jpg","Ver imagen")</f>
        <v/>
      </c>
      <c r="P4777">
        <f>HYPERLINK("imagenes/T_TAHARI_6621006_GXY_2.jpg","Ver imagen")</f>
        <v/>
      </c>
      <c r="Q4777">
        <f>HYPERLINK("imagenes/T_TAHARI_6621006_GXY_3.jpg","Ver imagen")</f>
        <v/>
      </c>
    </row>
    <row r="4778">
      <c r="A4778" t="inlineStr">
        <is>
          <t>T TAHARI</t>
        </is>
      </c>
      <c r="B4778" t="inlineStr">
        <is>
          <t>6621006</t>
        </is>
      </c>
      <c r="C4778" t="inlineStr">
        <is>
          <t>NELLIE</t>
        </is>
      </c>
      <c r="D4778" t="inlineStr">
        <is>
          <t>GXY</t>
        </is>
      </c>
      <c r="E4778" t="inlineStr">
        <is>
          <t>(en blanco)</t>
        </is>
      </c>
      <c r="F4778" t="inlineStr">
        <is>
          <t>D2C</t>
        </is>
      </c>
      <c r="G4778" t="inlineStr">
        <is>
          <t>L</t>
        </is>
      </c>
      <c r="H4778" t="n">
        <v>20</v>
      </c>
      <c r="I4778" t="inlineStr">
        <is>
          <t>T_TAHARI_6621006_GXY_1.jpg</t>
        </is>
      </c>
      <c r="J4778" t="inlineStr">
        <is>
          <t>T_TAHARI_6621006_GXY_2.jpg</t>
        </is>
      </c>
      <c r="K4778" t="inlineStr">
        <is>
          <t>T_TAHARI_6621006_GXY_3.jpg</t>
        </is>
      </c>
      <c r="L4778">
        <f>IMAGE("file:///E:/Estudios%20y%20certificaciones/ESTUDIOS%20DE%20PROGRAMMING/PROGRAMMING/PERSONAL/PYTHON/Image_Generator_API/imagenes/T_TAHARI_6621006_GXY_1.jpg")</f>
        <v/>
      </c>
      <c r="M4778">
        <f>IMAGE("file:///E:/Estudios%20y%20certificaciones/ESTUDIOS%20DE%20PROGRAMMING/PROGRAMMING/PERSONAL/PYTHON/Image_Generator_API/imagenes/T_TAHARI_6621006_GXY_2.jpg")</f>
        <v/>
      </c>
      <c r="N4778">
        <f>IMAGE("file:///E:/Estudios%20y%20certificaciones/ESTUDIOS%20DE%20PROGRAMMING/PROGRAMMING/PERSONAL/PYTHON/Image_Generator_API/imagenes/T_TAHARI_6621006_GXY_3.jpg")</f>
        <v/>
      </c>
      <c r="O4778">
        <f>HYPERLINK("imagenes/T_TAHARI_6621006_GXY_1.jpg","Ver imagen")</f>
        <v/>
      </c>
      <c r="P4778">
        <f>HYPERLINK("imagenes/T_TAHARI_6621006_GXY_2.jpg","Ver imagen")</f>
        <v/>
      </c>
      <c r="Q4778">
        <f>HYPERLINK("imagenes/T_TAHARI_6621006_GXY_3.jpg","Ver imagen")</f>
        <v/>
      </c>
    </row>
    <row r="4779">
      <c r="A4779" t="inlineStr">
        <is>
          <t>T TAHARI</t>
        </is>
      </c>
      <c r="B4779" t="inlineStr">
        <is>
          <t>6621006</t>
        </is>
      </c>
      <c r="C4779" t="inlineStr">
        <is>
          <t>NELLIE</t>
        </is>
      </c>
      <c r="D4779" t="inlineStr">
        <is>
          <t>GXY</t>
        </is>
      </c>
      <c r="E4779" t="inlineStr">
        <is>
          <t>(en blanco)</t>
        </is>
      </c>
      <c r="F4779" t="inlineStr">
        <is>
          <t>D2C</t>
        </is>
      </c>
      <c r="G4779" t="inlineStr">
        <is>
          <t>XL</t>
        </is>
      </c>
      <c r="H4779" t="n">
        <v>21</v>
      </c>
      <c r="I4779" t="inlineStr">
        <is>
          <t>T_TAHARI_6621006_GXY_1.jpg</t>
        </is>
      </c>
      <c r="J4779" t="inlineStr">
        <is>
          <t>T_TAHARI_6621006_GXY_2.jpg</t>
        </is>
      </c>
      <c r="K4779" t="inlineStr">
        <is>
          <t>T_TAHARI_6621006_GXY_3.jpg</t>
        </is>
      </c>
      <c r="L4779">
        <f>IMAGE("file:///E:/Estudios%20y%20certificaciones/ESTUDIOS%20DE%20PROGRAMMING/PROGRAMMING/PERSONAL/PYTHON/Image_Generator_API/imagenes/T_TAHARI_6621006_GXY_1.jpg")</f>
        <v/>
      </c>
      <c r="M4779">
        <f>IMAGE("file:///E:/Estudios%20y%20certificaciones/ESTUDIOS%20DE%20PROGRAMMING/PROGRAMMING/PERSONAL/PYTHON/Image_Generator_API/imagenes/T_TAHARI_6621006_GXY_2.jpg")</f>
        <v/>
      </c>
      <c r="N4779">
        <f>IMAGE("file:///E:/Estudios%20y%20certificaciones/ESTUDIOS%20DE%20PROGRAMMING/PROGRAMMING/PERSONAL/PYTHON/Image_Generator_API/imagenes/T_TAHARI_6621006_GXY_3.jpg")</f>
        <v/>
      </c>
      <c r="O4779">
        <f>HYPERLINK("imagenes/T_TAHARI_6621006_GXY_1.jpg","Ver imagen")</f>
        <v/>
      </c>
      <c r="P4779">
        <f>HYPERLINK("imagenes/T_TAHARI_6621006_GXY_2.jpg","Ver imagen")</f>
        <v/>
      </c>
      <c r="Q4779">
        <f>HYPERLINK("imagenes/T_TAHARI_6621006_GXY_3.jpg","Ver imagen")</f>
        <v/>
      </c>
    </row>
    <row r="4780">
      <c r="A4780" t="inlineStr">
        <is>
          <t>T TAHARI</t>
        </is>
      </c>
      <c r="B4780" t="inlineStr">
        <is>
          <t>6621006</t>
        </is>
      </c>
      <c r="C4780" t="inlineStr">
        <is>
          <t>NELLIE</t>
        </is>
      </c>
      <c r="D4780" t="inlineStr">
        <is>
          <t>GXY</t>
        </is>
      </c>
      <c r="E4780" t="inlineStr">
        <is>
          <t>(en blanco)</t>
        </is>
      </c>
      <c r="F4780" t="inlineStr">
        <is>
          <t>D2C</t>
        </is>
      </c>
      <c r="G4780" t="inlineStr">
        <is>
          <t>XXS</t>
        </is>
      </c>
      <c r="H4780" t="n">
        <v>49</v>
      </c>
      <c r="I4780" t="inlineStr">
        <is>
          <t>T_TAHARI_6621006_GXY_1.jpg</t>
        </is>
      </c>
      <c r="J4780" t="inlineStr">
        <is>
          <t>T_TAHARI_6621006_GXY_2.jpg</t>
        </is>
      </c>
      <c r="K4780" t="inlineStr">
        <is>
          <t>T_TAHARI_6621006_GXY_3.jpg</t>
        </is>
      </c>
      <c r="L4780">
        <f>IMAGE("file:///E:/Estudios%20y%20certificaciones/ESTUDIOS%20DE%20PROGRAMMING/PROGRAMMING/PERSONAL/PYTHON/Image_Generator_API/imagenes/T_TAHARI_6621006_GXY_1.jpg")</f>
        <v/>
      </c>
      <c r="M4780">
        <f>IMAGE("file:///E:/Estudios%20y%20certificaciones/ESTUDIOS%20DE%20PROGRAMMING/PROGRAMMING/PERSONAL/PYTHON/Image_Generator_API/imagenes/T_TAHARI_6621006_GXY_2.jpg")</f>
        <v/>
      </c>
      <c r="N4780">
        <f>IMAGE("file:///E:/Estudios%20y%20certificaciones/ESTUDIOS%20DE%20PROGRAMMING/PROGRAMMING/PERSONAL/PYTHON/Image_Generator_API/imagenes/T_TAHARI_6621006_GXY_3.jpg")</f>
        <v/>
      </c>
      <c r="O4780">
        <f>HYPERLINK("imagenes/T_TAHARI_6621006_GXY_1.jpg","Ver imagen")</f>
        <v/>
      </c>
      <c r="P4780">
        <f>HYPERLINK("imagenes/T_TAHARI_6621006_GXY_2.jpg","Ver imagen")</f>
        <v/>
      </c>
      <c r="Q4780">
        <f>HYPERLINK("imagenes/T_TAHARI_6621006_GXY_3.jpg","Ver imagen")</f>
        <v/>
      </c>
    </row>
    <row r="4781">
      <c r="A4781" t="inlineStr">
        <is>
          <t>T TAHARI</t>
        </is>
      </c>
      <c r="B4781" t="inlineStr">
        <is>
          <t>6621006</t>
        </is>
      </c>
      <c r="C4781" t="inlineStr">
        <is>
          <t>NELLIE</t>
        </is>
      </c>
      <c r="D4781" t="inlineStr">
        <is>
          <t>GXY</t>
        </is>
      </c>
      <c r="E4781" t="inlineStr">
        <is>
          <t>(en blanco)</t>
        </is>
      </c>
      <c r="F4781" t="inlineStr">
        <is>
          <t>(en blanco)</t>
        </is>
      </c>
      <c r="G4781" t="inlineStr">
        <is>
          <t>XS</t>
        </is>
      </c>
      <c r="H4781" t="n">
        <v>159</v>
      </c>
      <c r="I4781" t="inlineStr">
        <is>
          <t>T_TAHARI_6621006_GXY_1.jpg</t>
        </is>
      </c>
      <c r="J4781" t="inlineStr">
        <is>
          <t>T_TAHARI_6621006_GXY_2.jpg</t>
        </is>
      </c>
      <c r="K4781" t="inlineStr">
        <is>
          <t>T_TAHARI_6621006_GXY_3.jpg</t>
        </is>
      </c>
      <c r="L4781">
        <f>IMAGE("file:///E:/Estudios%20y%20certificaciones/ESTUDIOS%20DE%20PROGRAMMING/PROGRAMMING/PERSONAL/PYTHON/Image_Generator_API/imagenes/T_TAHARI_6621006_GXY_1.jpg")</f>
        <v/>
      </c>
      <c r="M4781">
        <f>IMAGE("file:///E:/Estudios%20y%20certificaciones/ESTUDIOS%20DE%20PROGRAMMING/PROGRAMMING/PERSONAL/PYTHON/Image_Generator_API/imagenes/T_TAHARI_6621006_GXY_2.jpg")</f>
        <v/>
      </c>
      <c r="N4781">
        <f>IMAGE("file:///E:/Estudios%20y%20certificaciones/ESTUDIOS%20DE%20PROGRAMMING/PROGRAMMING/PERSONAL/PYTHON/Image_Generator_API/imagenes/T_TAHARI_6621006_GXY_3.jpg")</f>
        <v/>
      </c>
      <c r="O4781">
        <f>HYPERLINK("imagenes/T_TAHARI_6621006_GXY_1.jpg","Ver imagen")</f>
        <v/>
      </c>
      <c r="P4781">
        <f>HYPERLINK("imagenes/T_TAHARI_6621006_GXY_2.jpg","Ver imagen")</f>
        <v/>
      </c>
      <c r="Q4781">
        <f>HYPERLINK("imagenes/T_TAHARI_6621006_GXY_3.jpg","Ver imagen")</f>
        <v/>
      </c>
    </row>
    <row r="4782">
      <c r="A4782" t="inlineStr">
        <is>
          <t>T TAHARI</t>
        </is>
      </c>
      <c r="B4782" t="inlineStr">
        <is>
          <t>6621006</t>
        </is>
      </c>
      <c r="C4782" t="inlineStr">
        <is>
          <t>NELLIE</t>
        </is>
      </c>
      <c r="D4782" t="inlineStr">
        <is>
          <t>GXY</t>
        </is>
      </c>
      <c r="E4782" t="inlineStr">
        <is>
          <t>(en blanco)</t>
        </is>
      </c>
      <c r="F4782" t="inlineStr">
        <is>
          <t>(en blanco)</t>
        </is>
      </c>
      <c r="G4782" t="inlineStr">
        <is>
          <t>S</t>
        </is>
      </c>
      <c r="H4782" t="n">
        <v>195</v>
      </c>
      <c r="I4782" t="inlineStr">
        <is>
          <t>T_TAHARI_6621006_GXY_1.jpg</t>
        </is>
      </c>
      <c r="J4782" t="inlineStr">
        <is>
          <t>T_TAHARI_6621006_GXY_2.jpg</t>
        </is>
      </c>
      <c r="K4782" t="inlineStr">
        <is>
          <t>T_TAHARI_6621006_GXY_3.jpg</t>
        </is>
      </c>
      <c r="L4782">
        <f>IMAGE("file:///E:/Estudios%20y%20certificaciones/ESTUDIOS%20DE%20PROGRAMMING/PROGRAMMING/PERSONAL/PYTHON/Image_Generator_API/imagenes/T_TAHARI_6621006_GXY_1.jpg")</f>
        <v/>
      </c>
      <c r="M4782">
        <f>IMAGE("file:///E:/Estudios%20y%20certificaciones/ESTUDIOS%20DE%20PROGRAMMING/PROGRAMMING/PERSONAL/PYTHON/Image_Generator_API/imagenes/T_TAHARI_6621006_GXY_2.jpg")</f>
        <v/>
      </c>
      <c r="N4782">
        <f>IMAGE("file:///E:/Estudios%20y%20certificaciones/ESTUDIOS%20DE%20PROGRAMMING/PROGRAMMING/PERSONAL/PYTHON/Image_Generator_API/imagenes/T_TAHARI_6621006_GXY_3.jpg")</f>
        <v/>
      </c>
      <c r="O4782">
        <f>HYPERLINK("imagenes/T_TAHARI_6621006_GXY_1.jpg","Ver imagen")</f>
        <v/>
      </c>
      <c r="P4782">
        <f>HYPERLINK("imagenes/T_TAHARI_6621006_GXY_2.jpg","Ver imagen")</f>
        <v/>
      </c>
      <c r="Q4782">
        <f>HYPERLINK("imagenes/T_TAHARI_6621006_GXY_3.jpg","Ver imagen")</f>
        <v/>
      </c>
    </row>
    <row r="4783">
      <c r="A4783" t="inlineStr">
        <is>
          <t>T TAHARI</t>
        </is>
      </c>
      <c r="B4783" t="inlineStr">
        <is>
          <t>6621006</t>
        </is>
      </c>
      <c r="C4783" t="inlineStr">
        <is>
          <t>NELLIE</t>
        </is>
      </c>
      <c r="D4783" t="inlineStr">
        <is>
          <t>GXY</t>
        </is>
      </c>
      <c r="E4783" t="inlineStr">
        <is>
          <t>(en blanco)</t>
        </is>
      </c>
      <c r="F4783" t="inlineStr">
        <is>
          <t>(en blanco)</t>
        </is>
      </c>
      <c r="G4783" t="inlineStr">
        <is>
          <t>M</t>
        </is>
      </c>
      <c r="H4783" t="n">
        <v>198</v>
      </c>
      <c r="I4783" t="inlineStr">
        <is>
          <t>T_TAHARI_6621006_GXY_1.jpg</t>
        </is>
      </c>
      <c r="J4783" t="inlineStr">
        <is>
          <t>T_TAHARI_6621006_GXY_2.jpg</t>
        </is>
      </c>
      <c r="K4783" t="inlineStr">
        <is>
          <t>T_TAHARI_6621006_GXY_3.jpg</t>
        </is>
      </c>
      <c r="L4783">
        <f>IMAGE("file:///E:/Estudios%20y%20certificaciones/ESTUDIOS%20DE%20PROGRAMMING/PROGRAMMING/PERSONAL/PYTHON/Image_Generator_API/imagenes/T_TAHARI_6621006_GXY_1.jpg")</f>
        <v/>
      </c>
      <c r="M4783">
        <f>IMAGE("file:///E:/Estudios%20y%20certificaciones/ESTUDIOS%20DE%20PROGRAMMING/PROGRAMMING/PERSONAL/PYTHON/Image_Generator_API/imagenes/T_TAHARI_6621006_GXY_2.jpg")</f>
        <v/>
      </c>
      <c r="N4783">
        <f>IMAGE("file:///E:/Estudios%20y%20certificaciones/ESTUDIOS%20DE%20PROGRAMMING/PROGRAMMING/PERSONAL/PYTHON/Image_Generator_API/imagenes/T_TAHARI_6621006_GXY_3.jpg")</f>
        <v/>
      </c>
      <c r="O4783">
        <f>HYPERLINK("imagenes/T_TAHARI_6621006_GXY_1.jpg","Ver imagen")</f>
        <v/>
      </c>
      <c r="P4783">
        <f>HYPERLINK("imagenes/T_TAHARI_6621006_GXY_2.jpg","Ver imagen")</f>
        <v/>
      </c>
      <c r="Q4783">
        <f>HYPERLINK("imagenes/T_TAHARI_6621006_GXY_3.jpg","Ver imagen")</f>
        <v/>
      </c>
    </row>
    <row r="4784">
      <c r="A4784" t="inlineStr">
        <is>
          <t>T TAHARI</t>
        </is>
      </c>
      <c r="B4784" t="inlineStr">
        <is>
          <t>6621006</t>
        </is>
      </c>
      <c r="C4784" t="inlineStr">
        <is>
          <t>NELLIE</t>
        </is>
      </c>
      <c r="D4784" t="inlineStr">
        <is>
          <t>GXY</t>
        </is>
      </c>
      <c r="E4784" t="inlineStr">
        <is>
          <t>(en blanco)</t>
        </is>
      </c>
      <c r="F4784" t="inlineStr">
        <is>
          <t>(en blanco)</t>
        </is>
      </c>
      <c r="G4784" t="inlineStr">
        <is>
          <t>L</t>
        </is>
      </c>
      <c r="H4784" t="n">
        <v>172</v>
      </c>
      <c r="I4784" t="inlineStr">
        <is>
          <t>T_TAHARI_6621006_GXY_1.jpg</t>
        </is>
      </c>
      <c r="J4784" t="inlineStr">
        <is>
          <t>T_TAHARI_6621006_GXY_2.jpg</t>
        </is>
      </c>
      <c r="K4784" t="inlineStr">
        <is>
          <t>T_TAHARI_6621006_GXY_3.jpg</t>
        </is>
      </c>
      <c r="L4784">
        <f>IMAGE("file:///E:/Estudios%20y%20certificaciones/ESTUDIOS%20DE%20PROGRAMMING/PROGRAMMING/PERSONAL/PYTHON/Image_Generator_API/imagenes/T_TAHARI_6621006_GXY_1.jpg")</f>
        <v/>
      </c>
      <c r="M4784">
        <f>IMAGE("file:///E:/Estudios%20y%20certificaciones/ESTUDIOS%20DE%20PROGRAMMING/PROGRAMMING/PERSONAL/PYTHON/Image_Generator_API/imagenes/T_TAHARI_6621006_GXY_2.jpg")</f>
        <v/>
      </c>
      <c r="N4784">
        <f>IMAGE("file:///E:/Estudios%20y%20certificaciones/ESTUDIOS%20DE%20PROGRAMMING/PROGRAMMING/PERSONAL/PYTHON/Image_Generator_API/imagenes/T_TAHARI_6621006_GXY_3.jpg")</f>
        <v/>
      </c>
      <c r="O4784">
        <f>HYPERLINK("imagenes/T_TAHARI_6621006_GXY_1.jpg","Ver imagen")</f>
        <v/>
      </c>
      <c r="P4784">
        <f>HYPERLINK("imagenes/T_TAHARI_6621006_GXY_2.jpg","Ver imagen")</f>
        <v/>
      </c>
      <c r="Q4784">
        <f>HYPERLINK("imagenes/T_TAHARI_6621006_GXY_3.jpg","Ver imagen")</f>
        <v/>
      </c>
    </row>
    <row r="4785">
      <c r="A4785" t="inlineStr">
        <is>
          <t>T TAHARI</t>
        </is>
      </c>
      <c r="B4785" t="inlineStr">
        <is>
          <t>6621006</t>
        </is>
      </c>
      <c r="C4785" t="inlineStr">
        <is>
          <t>NELLIE</t>
        </is>
      </c>
      <c r="D4785" t="inlineStr">
        <is>
          <t>GXY</t>
        </is>
      </c>
      <c r="E4785" t="inlineStr">
        <is>
          <t>(en blanco)</t>
        </is>
      </c>
      <c r="F4785" t="inlineStr">
        <is>
          <t>(en blanco)</t>
        </is>
      </c>
      <c r="G4785" t="inlineStr">
        <is>
          <t>XL</t>
        </is>
      </c>
      <c r="H4785" t="n">
        <v>91</v>
      </c>
      <c r="I4785" t="inlineStr">
        <is>
          <t>T_TAHARI_6621006_GXY_1.jpg</t>
        </is>
      </c>
      <c r="J4785" t="inlineStr">
        <is>
          <t>T_TAHARI_6621006_GXY_2.jpg</t>
        </is>
      </c>
      <c r="K4785" t="inlineStr">
        <is>
          <t>T_TAHARI_6621006_GXY_3.jpg</t>
        </is>
      </c>
      <c r="L4785">
        <f>IMAGE("file:///E:/Estudios%20y%20certificaciones/ESTUDIOS%20DE%20PROGRAMMING/PROGRAMMING/PERSONAL/PYTHON/Image_Generator_API/imagenes/T_TAHARI_6621006_GXY_1.jpg")</f>
        <v/>
      </c>
      <c r="M4785">
        <f>IMAGE("file:///E:/Estudios%20y%20certificaciones/ESTUDIOS%20DE%20PROGRAMMING/PROGRAMMING/PERSONAL/PYTHON/Image_Generator_API/imagenes/T_TAHARI_6621006_GXY_2.jpg")</f>
        <v/>
      </c>
      <c r="N4785">
        <f>IMAGE("file:///E:/Estudios%20y%20certificaciones/ESTUDIOS%20DE%20PROGRAMMING/PROGRAMMING/PERSONAL/PYTHON/Image_Generator_API/imagenes/T_TAHARI_6621006_GXY_3.jpg")</f>
        <v/>
      </c>
      <c r="O4785">
        <f>HYPERLINK("imagenes/T_TAHARI_6621006_GXY_1.jpg","Ver imagen")</f>
        <v/>
      </c>
      <c r="P4785">
        <f>HYPERLINK("imagenes/T_TAHARI_6621006_GXY_2.jpg","Ver imagen")</f>
        <v/>
      </c>
      <c r="Q4785">
        <f>HYPERLINK("imagenes/T_TAHARI_6621006_GXY_3.jpg","Ver imagen")</f>
        <v/>
      </c>
    </row>
    <row r="4786">
      <c r="A4786" t="inlineStr">
        <is>
          <t>T TAHARI</t>
        </is>
      </c>
      <c r="B4786" t="inlineStr">
        <is>
          <t>6621006</t>
        </is>
      </c>
      <c r="C4786" t="inlineStr">
        <is>
          <t>NELLIE</t>
        </is>
      </c>
      <c r="D4786" t="inlineStr">
        <is>
          <t>GXY</t>
        </is>
      </c>
      <c r="E4786" t="inlineStr">
        <is>
          <t>(en blanco)</t>
        </is>
      </c>
      <c r="F4786" t="inlineStr">
        <is>
          <t>(en blanco)</t>
        </is>
      </c>
      <c r="G4786" t="inlineStr">
        <is>
          <t>XXS</t>
        </is>
      </c>
      <c r="H4786" t="n">
        <v>34</v>
      </c>
      <c r="I4786" t="inlineStr">
        <is>
          <t>T_TAHARI_6621006_GXY_1.jpg</t>
        </is>
      </c>
      <c r="J4786" t="inlineStr">
        <is>
          <t>T_TAHARI_6621006_GXY_2.jpg</t>
        </is>
      </c>
      <c r="K4786" t="inlineStr">
        <is>
          <t>T_TAHARI_6621006_GXY_3.jpg</t>
        </is>
      </c>
      <c r="L4786">
        <f>IMAGE("file:///E:/Estudios%20y%20certificaciones/ESTUDIOS%20DE%20PROGRAMMING/PROGRAMMING/PERSONAL/PYTHON/Image_Generator_API/imagenes/T_TAHARI_6621006_GXY_1.jpg")</f>
        <v/>
      </c>
      <c r="M4786">
        <f>IMAGE("file:///E:/Estudios%20y%20certificaciones/ESTUDIOS%20DE%20PROGRAMMING/PROGRAMMING/PERSONAL/PYTHON/Image_Generator_API/imagenes/T_TAHARI_6621006_GXY_2.jpg")</f>
        <v/>
      </c>
      <c r="N4786">
        <f>IMAGE("file:///E:/Estudios%20y%20certificaciones/ESTUDIOS%20DE%20PROGRAMMING/PROGRAMMING/PERSONAL/PYTHON/Image_Generator_API/imagenes/T_TAHARI_6621006_GXY_3.jpg")</f>
        <v/>
      </c>
      <c r="O4786">
        <f>HYPERLINK("imagenes/T_TAHARI_6621006_GXY_1.jpg","Ver imagen")</f>
        <v/>
      </c>
      <c r="P4786">
        <f>HYPERLINK("imagenes/T_TAHARI_6621006_GXY_2.jpg","Ver imagen")</f>
        <v/>
      </c>
      <c r="Q4786">
        <f>HYPERLINK("imagenes/T_TAHARI_6621006_GXY_3.jpg","Ver imagen")</f>
        <v/>
      </c>
    </row>
    <row r="4787">
      <c r="A4787" t="inlineStr">
        <is>
          <t>T TAHARI</t>
        </is>
      </c>
      <c r="B4787" t="inlineStr">
        <is>
          <t>6621006</t>
        </is>
      </c>
      <c r="C4787" t="inlineStr">
        <is>
          <t>NELLIE</t>
        </is>
      </c>
      <c r="D4787" t="inlineStr">
        <is>
          <t>PA4</t>
        </is>
      </c>
      <c r="E4787" t="inlineStr">
        <is>
          <t>(en blanco)</t>
        </is>
      </c>
      <c r="F4787" t="inlineStr">
        <is>
          <t>M1155</t>
        </is>
      </c>
      <c r="G4787" t="inlineStr">
        <is>
          <t>XS</t>
        </is>
      </c>
      <c r="H4787" t="n">
        <v>2</v>
      </c>
      <c r="I4787" t="inlineStr">
        <is>
          <t>T_TAHARI_6621006_PA4_1.jpg</t>
        </is>
      </c>
      <c r="J4787" t="inlineStr">
        <is>
          <t>T_TAHARI_6621006_PA4_2.jpg</t>
        </is>
      </c>
      <c r="K4787" t="inlineStr">
        <is>
          <t>T_TAHARI_6621006_PA4_3.jpg</t>
        </is>
      </c>
      <c r="L4787">
        <f>IMAGE("file:///E:/Estudios%20y%20certificaciones/ESTUDIOS%20DE%20PROGRAMMING/PROGRAMMING/PERSONAL/PYTHON/Image_Generator_API/imagenes/T_TAHARI_6621006_PA4_1.jpg")</f>
        <v/>
      </c>
      <c r="M4787">
        <f>IMAGE("file:///E:/Estudios%20y%20certificaciones/ESTUDIOS%20DE%20PROGRAMMING/PROGRAMMING/PERSONAL/PYTHON/Image_Generator_API/imagenes/T_TAHARI_6621006_PA4_2.jpg")</f>
        <v/>
      </c>
      <c r="N4787">
        <f>IMAGE("file:///E:/Estudios%20y%20certificaciones/ESTUDIOS%20DE%20PROGRAMMING/PROGRAMMING/PERSONAL/PYTHON/Image_Generator_API/imagenes/T_TAHARI_6621006_PA4_3.jpg")</f>
        <v/>
      </c>
      <c r="O4787">
        <f>HYPERLINK("imagenes/T_TAHARI_6621006_PA4_1.jpg","Ver imagen")</f>
        <v/>
      </c>
      <c r="P4787">
        <f>HYPERLINK("imagenes/T_TAHARI_6621006_PA4_2.jpg","Ver imagen")</f>
        <v/>
      </c>
      <c r="Q4787">
        <f>HYPERLINK("imagenes/T_TAHARI_6621006_PA4_3.jpg","Ver imagen")</f>
        <v/>
      </c>
    </row>
    <row r="4788">
      <c r="A4788" t="inlineStr">
        <is>
          <t>T TAHARI</t>
        </is>
      </c>
      <c r="B4788" t="inlineStr">
        <is>
          <t>6621006</t>
        </is>
      </c>
      <c r="C4788" t="inlineStr">
        <is>
          <t>NELLIE</t>
        </is>
      </c>
      <c r="D4788" t="inlineStr">
        <is>
          <t>PA4</t>
        </is>
      </c>
      <c r="E4788" t="inlineStr">
        <is>
          <t>(en blanco)</t>
        </is>
      </c>
      <c r="F4788" t="inlineStr">
        <is>
          <t>M1155</t>
        </is>
      </c>
      <c r="G4788" t="inlineStr">
        <is>
          <t>S</t>
        </is>
      </c>
      <c r="H4788" t="n">
        <v>0</v>
      </c>
      <c r="I4788" t="inlineStr">
        <is>
          <t>T_TAHARI_6621006_PA4_1.jpg</t>
        </is>
      </c>
      <c r="J4788" t="inlineStr">
        <is>
          <t>T_TAHARI_6621006_PA4_2.jpg</t>
        </is>
      </c>
      <c r="K4788" t="inlineStr">
        <is>
          <t>T_TAHARI_6621006_PA4_3.jpg</t>
        </is>
      </c>
      <c r="L4788">
        <f>IMAGE("file:///E:/Estudios%20y%20certificaciones/ESTUDIOS%20DE%20PROGRAMMING/PROGRAMMING/PERSONAL/PYTHON/Image_Generator_API/imagenes/T_TAHARI_6621006_PA4_1.jpg")</f>
        <v/>
      </c>
      <c r="M4788">
        <f>IMAGE("file:///E:/Estudios%20y%20certificaciones/ESTUDIOS%20DE%20PROGRAMMING/PROGRAMMING/PERSONAL/PYTHON/Image_Generator_API/imagenes/T_TAHARI_6621006_PA4_2.jpg")</f>
        <v/>
      </c>
      <c r="N4788">
        <f>IMAGE("file:///E:/Estudios%20y%20certificaciones/ESTUDIOS%20DE%20PROGRAMMING/PROGRAMMING/PERSONAL/PYTHON/Image_Generator_API/imagenes/T_TAHARI_6621006_PA4_3.jpg")</f>
        <v/>
      </c>
      <c r="O4788">
        <f>HYPERLINK("imagenes/T_TAHARI_6621006_PA4_1.jpg","Ver imagen")</f>
        <v/>
      </c>
      <c r="P4788">
        <f>HYPERLINK("imagenes/T_TAHARI_6621006_PA4_2.jpg","Ver imagen")</f>
        <v/>
      </c>
      <c r="Q4788">
        <f>HYPERLINK("imagenes/T_TAHARI_6621006_PA4_3.jpg","Ver imagen")</f>
        <v/>
      </c>
    </row>
    <row r="4789">
      <c r="A4789" t="inlineStr">
        <is>
          <t>T TAHARI</t>
        </is>
      </c>
      <c r="B4789" t="inlineStr">
        <is>
          <t>6621006</t>
        </is>
      </c>
      <c r="C4789" t="inlineStr">
        <is>
          <t>NELLIE</t>
        </is>
      </c>
      <c r="D4789" t="inlineStr">
        <is>
          <t>PA4</t>
        </is>
      </c>
      <c r="E4789" t="inlineStr">
        <is>
          <t>(en blanco)</t>
        </is>
      </c>
      <c r="F4789" t="inlineStr">
        <is>
          <t>M1155</t>
        </is>
      </c>
      <c r="G4789" t="inlineStr">
        <is>
          <t>M</t>
        </is>
      </c>
      <c r="H4789" t="n">
        <v>0</v>
      </c>
      <c r="I4789" t="inlineStr">
        <is>
          <t>T_TAHARI_6621006_PA4_1.jpg</t>
        </is>
      </c>
      <c r="J4789" t="inlineStr">
        <is>
          <t>T_TAHARI_6621006_PA4_2.jpg</t>
        </is>
      </c>
      <c r="K4789" t="inlineStr">
        <is>
          <t>T_TAHARI_6621006_PA4_3.jpg</t>
        </is>
      </c>
      <c r="L4789">
        <f>IMAGE("file:///E:/Estudios%20y%20certificaciones/ESTUDIOS%20DE%20PROGRAMMING/PROGRAMMING/PERSONAL/PYTHON/Image_Generator_API/imagenes/T_TAHARI_6621006_PA4_1.jpg")</f>
        <v/>
      </c>
      <c r="M4789">
        <f>IMAGE("file:///E:/Estudios%20y%20certificaciones/ESTUDIOS%20DE%20PROGRAMMING/PROGRAMMING/PERSONAL/PYTHON/Image_Generator_API/imagenes/T_TAHARI_6621006_PA4_2.jpg")</f>
        <v/>
      </c>
      <c r="N4789">
        <f>IMAGE("file:///E:/Estudios%20y%20certificaciones/ESTUDIOS%20DE%20PROGRAMMING/PROGRAMMING/PERSONAL/PYTHON/Image_Generator_API/imagenes/T_TAHARI_6621006_PA4_3.jpg")</f>
        <v/>
      </c>
      <c r="O4789">
        <f>HYPERLINK("imagenes/T_TAHARI_6621006_PA4_1.jpg","Ver imagen")</f>
        <v/>
      </c>
      <c r="P4789">
        <f>HYPERLINK("imagenes/T_TAHARI_6621006_PA4_2.jpg","Ver imagen")</f>
        <v/>
      </c>
      <c r="Q4789">
        <f>HYPERLINK("imagenes/T_TAHARI_6621006_PA4_3.jpg","Ver imagen")</f>
        <v/>
      </c>
    </row>
    <row r="4790">
      <c r="A4790" t="inlineStr">
        <is>
          <t>T TAHARI</t>
        </is>
      </c>
      <c r="B4790" t="inlineStr">
        <is>
          <t>6621006</t>
        </is>
      </c>
      <c r="C4790" t="inlineStr">
        <is>
          <t>NELLIE</t>
        </is>
      </c>
      <c r="D4790" t="inlineStr">
        <is>
          <t>PA4</t>
        </is>
      </c>
      <c r="E4790" t="inlineStr">
        <is>
          <t>(en blanco)</t>
        </is>
      </c>
      <c r="F4790" t="inlineStr">
        <is>
          <t>M1155</t>
        </is>
      </c>
      <c r="G4790" t="inlineStr">
        <is>
          <t>L</t>
        </is>
      </c>
      <c r="H4790" t="n">
        <v>0</v>
      </c>
      <c r="I4790" t="inlineStr">
        <is>
          <t>T_TAHARI_6621006_PA4_1.jpg</t>
        </is>
      </c>
      <c r="J4790" t="inlineStr">
        <is>
          <t>T_TAHARI_6621006_PA4_2.jpg</t>
        </is>
      </c>
      <c r="K4790" t="inlineStr">
        <is>
          <t>T_TAHARI_6621006_PA4_3.jpg</t>
        </is>
      </c>
      <c r="L4790">
        <f>IMAGE("file:///E:/Estudios%20y%20certificaciones/ESTUDIOS%20DE%20PROGRAMMING/PROGRAMMING/PERSONAL/PYTHON/Image_Generator_API/imagenes/T_TAHARI_6621006_PA4_1.jpg")</f>
        <v/>
      </c>
      <c r="M4790">
        <f>IMAGE("file:///E:/Estudios%20y%20certificaciones/ESTUDIOS%20DE%20PROGRAMMING/PROGRAMMING/PERSONAL/PYTHON/Image_Generator_API/imagenes/T_TAHARI_6621006_PA4_2.jpg")</f>
        <v/>
      </c>
      <c r="N4790">
        <f>IMAGE("file:///E:/Estudios%20y%20certificaciones/ESTUDIOS%20DE%20PROGRAMMING/PROGRAMMING/PERSONAL/PYTHON/Image_Generator_API/imagenes/T_TAHARI_6621006_PA4_3.jpg")</f>
        <v/>
      </c>
      <c r="O4790">
        <f>HYPERLINK("imagenes/T_TAHARI_6621006_PA4_1.jpg","Ver imagen")</f>
        <v/>
      </c>
      <c r="P4790">
        <f>HYPERLINK("imagenes/T_TAHARI_6621006_PA4_2.jpg","Ver imagen")</f>
        <v/>
      </c>
      <c r="Q4790">
        <f>HYPERLINK("imagenes/T_TAHARI_6621006_PA4_3.jpg","Ver imagen")</f>
        <v/>
      </c>
    </row>
    <row r="4791">
      <c r="A4791" t="inlineStr">
        <is>
          <t>T TAHARI</t>
        </is>
      </c>
      <c r="B4791" t="inlineStr">
        <is>
          <t>6621006</t>
        </is>
      </c>
      <c r="C4791" t="inlineStr">
        <is>
          <t>NELLIE</t>
        </is>
      </c>
      <c r="D4791" t="inlineStr">
        <is>
          <t>PA4</t>
        </is>
      </c>
      <c r="E4791" t="inlineStr">
        <is>
          <t>(en blanco)</t>
        </is>
      </c>
      <c r="F4791" t="inlineStr">
        <is>
          <t>M1155</t>
        </is>
      </c>
      <c r="G4791" t="inlineStr">
        <is>
          <t>XL</t>
        </is>
      </c>
      <c r="H4791" t="n">
        <v>0</v>
      </c>
      <c r="I4791" t="inlineStr">
        <is>
          <t>T_TAHARI_6621006_PA4_1.jpg</t>
        </is>
      </c>
      <c r="J4791" t="inlineStr">
        <is>
          <t>T_TAHARI_6621006_PA4_2.jpg</t>
        </is>
      </c>
      <c r="K4791" t="inlineStr">
        <is>
          <t>T_TAHARI_6621006_PA4_3.jpg</t>
        </is>
      </c>
      <c r="L4791">
        <f>IMAGE("file:///E:/Estudios%20y%20certificaciones/ESTUDIOS%20DE%20PROGRAMMING/PROGRAMMING/PERSONAL/PYTHON/Image_Generator_API/imagenes/T_TAHARI_6621006_PA4_1.jpg")</f>
        <v/>
      </c>
      <c r="M4791">
        <f>IMAGE("file:///E:/Estudios%20y%20certificaciones/ESTUDIOS%20DE%20PROGRAMMING/PROGRAMMING/PERSONAL/PYTHON/Image_Generator_API/imagenes/T_TAHARI_6621006_PA4_2.jpg")</f>
        <v/>
      </c>
      <c r="N4791">
        <f>IMAGE("file:///E:/Estudios%20y%20certificaciones/ESTUDIOS%20DE%20PROGRAMMING/PROGRAMMING/PERSONAL/PYTHON/Image_Generator_API/imagenes/T_TAHARI_6621006_PA4_3.jpg")</f>
        <v/>
      </c>
      <c r="O4791">
        <f>HYPERLINK("imagenes/T_TAHARI_6621006_PA4_1.jpg","Ver imagen")</f>
        <v/>
      </c>
      <c r="P4791">
        <f>HYPERLINK("imagenes/T_TAHARI_6621006_PA4_2.jpg","Ver imagen")</f>
        <v/>
      </c>
      <c r="Q4791">
        <f>HYPERLINK("imagenes/T_TAHARI_6621006_PA4_3.jpg","Ver imagen")</f>
        <v/>
      </c>
    </row>
    <row r="4792">
      <c r="A4792" t="inlineStr">
        <is>
          <t>T TAHARI</t>
        </is>
      </c>
      <c r="B4792" t="inlineStr">
        <is>
          <t>6621006</t>
        </is>
      </c>
      <c r="C4792" t="inlineStr">
        <is>
          <t>NELLIE</t>
        </is>
      </c>
      <c r="D4792" t="inlineStr">
        <is>
          <t>PA4</t>
        </is>
      </c>
      <c r="E4792" t="inlineStr">
        <is>
          <t>(en blanco)</t>
        </is>
      </c>
      <c r="F4792" t="inlineStr">
        <is>
          <t>M1155</t>
        </is>
      </c>
      <c r="G4792" t="inlineStr">
        <is>
          <t>XXL</t>
        </is>
      </c>
      <c r="H4792" t="n">
        <v>0</v>
      </c>
      <c r="I4792" t="inlineStr">
        <is>
          <t>T_TAHARI_6621006_PA4_1.jpg</t>
        </is>
      </c>
      <c r="J4792" t="inlineStr">
        <is>
          <t>T_TAHARI_6621006_PA4_2.jpg</t>
        </is>
      </c>
      <c r="K4792" t="inlineStr">
        <is>
          <t>T_TAHARI_6621006_PA4_3.jpg</t>
        </is>
      </c>
      <c r="L4792">
        <f>IMAGE("file:///E:/Estudios%20y%20certificaciones/ESTUDIOS%20DE%20PROGRAMMING/PROGRAMMING/PERSONAL/PYTHON/Image_Generator_API/imagenes/T_TAHARI_6621006_PA4_1.jpg")</f>
        <v/>
      </c>
      <c r="M4792">
        <f>IMAGE("file:///E:/Estudios%20y%20certificaciones/ESTUDIOS%20DE%20PROGRAMMING/PROGRAMMING/PERSONAL/PYTHON/Image_Generator_API/imagenes/T_TAHARI_6621006_PA4_2.jpg")</f>
        <v/>
      </c>
      <c r="N4792">
        <f>IMAGE("file:///E:/Estudios%20y%20certificaciones/ESTUDIOS%20DE%20PROGRAMMING/PROGRAMMING/PERSONAL/PYTHON/Image_Generator_API/imagenes/T_TAHARI_6621006_PA4_3.jpg")</f>
        <v/>
      </c>
      <c r="O4792">
        <f>HYPERLINK("imagenes/T_TAHARI_6621006_PA4_1.jpg","Ver imagen")</f>
        <v/>
      </c>
      <c r="P4792">
        <f>HYPERLINK("imagenes/T_TAHARI_6621006_PA4_2.jpg","Ver imagen")</f>
        <v/>
      </c>
      <c r="Q4792">
        <f>HYPERLINK("imagenes/T_TAHARI_6621006_PA4_3.jpg","Ver imagen")</f>
        <v/>
      </c>
    </row>
    <row r="4793">
      <c r="A4793" t="inlineStr">
        <is>
          <t>T TAHARI</t>
        </is>
      </c>
      <c r="B4793" t="inlineStr">
        <is>
          <t>6621006</t>
        </is>
      </c>
      <c r="C4793" t="inlineStr">
        <is>
          <t>NELLIE</t>
        </is>
      </c>
      <c r="D4793" t="inlineStr">
        <is>
          <t>PA4</t>
        </is>
      </c>
      <c r="E4793" t="inlineStr">
        <is>
          <t>(en blanco)</t>
        </is>
      </c>
      <c r="F4793" t="inlineStr">
        <is>
          <t>MACYS ECOM</t>
        </is>
      </c>
      <c r="G4793" t="inlineStr">
        <is>
          <t>XS</t>
        </is>
      </c>
      <c r="H4793" t="n">
        <v>9</v>
      </c>
      <c r="I4793" t="inlineStr">
        <is>
          <t>T_TAHARI_6621006_PA4_1.jpg</t>
        </is>
      </c>
      <c r="J4793" t="inlineStr">
        <is>
          <t>T_TAHARI_6621006_PA4_2.jpg</t>
        </is>
      </c>
      <c r="K4793" t="inlineStr">
        <is>
          <t>T_TAHARI_6621006_PA4_3.jpg</t>
        </is>
      </c>
      <c r="L4793">
        <f>IMAGE("file:///E:/Estudios%20y%20certificaciones/ESTUDIOS%20DE%20PROGRAMMING/PROGRAMMING/PERSONAL/PYTHON/Image_Generator_API/imagenes/T_TAHARI_6621006_PA4_1.jpg")</f>
        <v/>
      </c>
      <c r="M4793">
        <f>IMAGE("file:///E:/Estudios%20y%20certificaciones/ESTUDIOS%20DE%20PROGRAMMING/PROGRAMMING/PERSONAL/PYTHON/Image_Generator_API/imagenes/T_TAHARI_6621006_PA4_2.jpg")</f>
        <v/>
      </c>
      <c r="N4793">
        <f>IMAGE("file:///E:/Estudios%20y%20certificaciones/ESTUDIOS%20DE%20PROGRAMMING/PROGRAMMING/PERSONAL/PYTHON/Image_Generator_API/imagenes/T_TAHARI_6621006_PA4_3.jpg")</f>
        <v/>
      </c>
      <c r="O4793">
        <f>HYPERLINK("imagenes/T_TAHARI_6621006_PA4_1.jpg","Ver imagen")</f>
        <v/>
      </c>
      <c r="P4793">
        <f>HYPERLINK("imagenes/T_TAHARI_6621006_PA4_2.jpg","Ver imagen")</f>
        <v/>
      </c>
      <c r="Q4793">
        <f>HYPERLINK("imagenes/T_TAHARI_6621006_PA4_3.jpg","Ver imagen")</f>
        <v/>
      </c>
    </row>
    <row r="4794">
      <c r="A4794" t="inlineStr">
        <is>
          <t>T TAHARI</t>
        </is>
      </c>
      <c r="B4794" t="inlineStr">
        <is>
          <t>6621006</t>
        </is>
      </c>
      <c r="C4794" t="inlineStr">
        <is>
          <t>NELLIE</t>
        </is>
      </c>
      <c r="D4794" t="inlineStr">
        <is>
          <t>PA4</t>
        </is>
      </c>
      <c r="E4794" t="inlineStr">
        <is>
          <t>(en blanco)</t>
        </is>
      </c>
      <c r="F4794" t="inlineStr">
        <is>
          <t>MACYS ECOM</t>
        </is>
      </c>
      <c r="G4794" t="inlineStr">
        <is>
          <t>S</t>
        </is>
      </c>
      <c r="H4794" t="n">
        <v>31</v>
      </c>
      <c r="I4794" t="inlineStr">
        <is>
          <t>T_TAHARI_6621006_PA4_1.jpg</t>
        </is>
      </c>
      <c r="J4794" t="inlineStr">
        <is>
          <t>T_TAHARI_6621006_PA4_2.jpg</t>
        </is>
      </c>
      <c r="K4794" t="inlineStr">
        <is>
          <t>T_TAHARI_6621006_PA4_3.jpg</t>
        </is>
      </c>
      <c r="L4794">
        <f>IMAGE("file:///E:/Estudios%20y%20certificaciones/ESTUDIOS%20DE%20PROGRAMMING/PROGRAMMING/PERSONAL/PYTHON/Image_Generator_API/imagenes/T_TAHARI_6621006_PA4_1.jpg")</f>
        <v/>
      </c>
      <c r="M4794">
        <f>IMAGE("file:///E:/Estudios%20y%20certificaciones/ESTUDIOS%20DE%20PROGRAMMING/PROGRAMMING/PERSONAL/PYTHON/Image_Generator_API/imagenes/T_TAHARI_6621006_PA4_2.jpg")</f>
        <v/>
      </c>
      <c r="N4794">
        <f>IMAGE("file:///E:/Estudios%20y%20certificaciones/ESTUDIOS%20DE%20PROGRAMMING/PROGRAMMING/PERSONAL/PYTHON/Image_Generator_API/imagenes/T_TAHARI_6621006_PA4_3.jpg")</f>
        <v/>
      </c>
      <c r="O4794">
        <f>HYPERLINK("imagenes/T_TAHARI_6621006_PA4_1.jpg","Ver imagen")</f>
        <v/>
      </c>
      <c r="P4794">
        <f>HYPERLINK("imagenes/T_TAHARI_6621006_PA4_2.jpg","Ver imagen")</f>
        <v/>
      </c>
      <c r="Q4794">
        <f>HYPERLINK("imagenes/T_TAHARI_6621006_PA4_3.jpg","Ver imagen")</f>
        <v/>
      </c>
    </row>
    <row r="4795">
      <c r="A4795" t="inlineStr">
        <is>
          <t>T TAHARI</t>
        </is>
      </c>
      <c r="B4795" t="inlineStr">
        <is>
          <t>6621006</t>
        </is>
      </c>
      <c r="C4795" t="inlineStr">
        <is>
          <t>NELLIE</t>
        </is>
      </c>
      <c r="D4795" t="inlineStr">
        <is>
          <t>PA4</t>
        </is>
      </c>
      <c r="E4795" t="inlineStr">
        <is>
          <t>(en blanco)</t>
        </is>
      </c>
      <c r="F4795" t="inlineStr">
        <is>
          <t>MACYS ECOM</t>
        </is>
      </c>
      <c r="G4795" t="inlineStr">
        <is>
          <t>M</t>
        </is>
      </c>
      <c r="H4795" t="n">
        <v>45</v>
      </c>
      <c r="I4795" t="inlineStr">
        <is>
          <t>T_TAHARI_6621006_PA4_1.jpg</t>
        </is>
      </c>
      <c r="J4795" t="inlineStr">
        <is>
          <t>T_TAHARI_6621006_PA4_2.jpg</t>
        </is>
      </c>
      <c r="K4795" t="inlineStr">
        <is>
          <t>T_TAHARI_6621006_PA4_3.jpg</t>
        </is>
      </c>
      <c r="L4795">
        <f>IMAGE("file:///E:/Estudios%20y%20certificaciones/ESTUDIOS%20DE%20PROGRAMMING/PROGRAMMING/PERSONAL/PYTHON/Image_Generator_API/imagenes/T_TAHARI_6621006_PA4_1.jpg")</f>
        <v/>
      </c>
      <c r="M4795">
        <f>IMAGE("file:///E:/Estudios%20y%20certificaciones/ESTUDIOS%20DE%20PROGRAMMING/PROGRAMMING/PERSONAL/PYTHON/Image_Generator_API/imagenes/T_TAHARI_6621006_PA4_2.jpg")</f>
        <v/>
      </c>
      <c r="N4795">
        <f>IMAGE("file:///E:/Estudios%20y%20certificaciones/ESTUDIOS%20DE%20PROGRAMMING/PROGRAMMING/PERSONAL/PYTHON/Image_Generator_API/imagenes/T_TAHARI_6621006_PA4_3.jpg")</f>
        <v/>
      </c>
      <c r="O4795">
        <f>HYPERLINK("imagenes/T_TAHARI_6621006_PA4_1.jpg","Ver imagen")</f>
        <v/>
      </c>
      <c r="P4795">
        <f>HYPERLINK("imagenes/T_TAHARI_6621006_PA4_2.jpg","Ver imagen")</f>
        <v/>
      </c>
      <c r="Q4795">
        <f>HYPERLINK("imagenes/T_TAHARI_6621006_PA4_3.jpg","Ver imagen")</f>
        <v/>
      </c>
    </row>
    <row r="4796">
      <c r="A4796" t="inlineStr">
        <is>
          <t>T TAHARI</t>
        </is>
      </c>
      <c r="B4796" t="inlineStr">
        <is>
          <t>6621006</t>
        </is>
      </c>
      <c r="C4796" t="inlineStr">
        <is>
          <t>NELLIE</t>
        </is>
      </c>
      <c r="D4796" t="inlineStr">
        <is>
          <t>PA4</t>
        </is>
      </c>
      <c r="E4796" t="inlineStr">
        <is>
          <t>(en blanco)</t>
        </is>
      </c>
      <c r="F4796" t="inlineStr">
        <is>
          <t>MACYS ECOM</t>
        </is>
      </c>
      <c r="G4796" t="inlineStr">
        <is>
          <t>L</t>
        </is>
      </c>
      <c r="H4796" t="n">
        <v>40</v>
      </c>
      <c r="I4796" t="inlineStr">
        <is>
          <t>T_TAHARI_6621006_PA4_1.jpg</t>
        </is>
      </c>
      <c r="J4796" t="inlineStr">
        <is>
          <t>T_TAHARI_6621006_PA4_2.jpg</t>
        </is>
      </c>
      <c r="K4796" t="inlineStr">
        <is>
          <t>T_TAHARI_6621006_PA4_3.jpg</t>
        </is>
      </c>
      <c r="L4796">
        <f>IMAGE("file:///E:/Estudios%20y%20certificaciones/ESTUDIOS%20DE%20PROGRAMMING/PROGRAMMING/PERSONAL/PYTHON/Image_Generator_API/imagenes/T_TAHARI_6621006_PA4_1.jpg")</f>
        <v/>
      </c>
      <c r="M4796">
        <f>IMAGE("file:///E:/Estudios%20y%20certificaciones/ESTUDIOS%20DE%20PROGRAMMING/PROGRAMMING/PERSONAL/PYTHON/Image_Generator_API/imagenes/T_TAHARI_6621006_PA4_2.jpg")</f>
        <v/>
      </c>
      <c r="N4796">
        <f>IMAGE("file:///E:/Estudios%20y%20certificaciones/ESTUDIOS%20DE%20PROGRAMMING/PROGRAMMING/PERSONAL/PYTHON/Image_Generator_API/imagenes/T_TAHARI_6621006_PA4_3.jpg")</f>
        <v/>
      </c>
      <c r="O4796">
        <f>HYPERLINK("imagenes/T_TAHARI_6621006_PA4_1.jpg","Ver imagen")</f>
        <v/>
      </c>
      <c r="P4796">
        <f>HYPERLINK("imagenes/T_TAHARI_6621006_PA4_2.jpg","Ver imagen")</f>
        <v/>
      </c>
      <c r="Q4796">
        <f>HYPERLINK("imagenes/T_TAHARI_6621006_PA4_3.jpg","Ver imagen")</f>
        <v/>
      </c>
    </row>
    <row r="4797">
      <c r="A4797" t="inlineStr">
        <is>
          <t>T TAHARI</t>
        </is>
      </c>
      <c r="B4797" t="inlineStr">
        <is>
          <t>6621006</t>
        </is>
      </c>
      <c r="C4797" t="inlineStr">
        <is>
          <t>NELLIE</t>
        </is>
      </c>
      <c r="D4797" t="inlineStr">
        <is>
          <t>PA4</t>
        </is>
      </c>
      <c r="E4797" t="inlineStr">
        <is>
          <t>(en blanco)</t>
        </is>
      </c>
      <c r="F4797" t="inlineStr">
        <is>
          <t>MACYS ECOM</t>
        </is>
      </c>
      <c r="G4797" t="inlineStr">
        <is>
          <t>XL</t>
        </is>
      </c>
      <c r="H4797" t="n">
        <v>31</v>
      </c>
      <c r="I4797" t="inlineStr">
        <is>
          <t>T_TAHARI_6621006_PA4_1.jpg</t>
        </is>
      </c>
      <c r="J4797" t="inlineStr">
        <is>
          <t>T_TAHARI_6621006_PA4_2.jpg</t>
        </is>
      </c>
      <c r="K4797" t="inlineStr">
        <is>
          <t>T_TAHARI_6621006_PA4_3.jpg</t>
        </is>
      </c>
      <c r="L4797">
        <f>IMAGE("file:///E:/Estudios%20y%20certificaciones/ESTUDIOS%20DE%20PROGRAMMING/PROGRAMMING/PERSONAL/PYTHON/Image_Generator_API/imagenes/T_TAHARI_6621006_PA4_1.jpg")</f>
        <v/>
      </c>
      <c r="M4797">
        <f>IMAGE("file:///E:/Estudios%20y%20certificaciones/ESTUDIOS%20DE%20PROGRAMMING/PROGRAMMING/PERSONAL/PYTHON/Image_Generator_API/imagenes/T_TAHARI_6621006_PA4_2.jpg")</f>
        <v/>
      </c>
      <c r="N4797">
        <f>IMAGE("file:///E:/Estudios%20y%20certificaciones/ESTUDIOS%20DE%20PROGRAMMING/PROGRAMMING/PERSONAL/PYTHON/Image_Generator_API/imagenes/T_TAHARI_6621006_PA4_3.jpg")</f>
        <v/>
      </c>
      <c r="O4797">
        <f>HYPERLINK("imagenes/T_TAHARI_6621006_PA4_1.jpg","Ver imagen")</f>
        <v/>
      </c>
      <c r="P4797">
        <f>HYPERLINK("imagenes/T_TAHARI_6621006_PA4_2.jpg","Ver imagen")</f>
        <v/>
      </c>
      <c r="Q4797">
        <f>HYPERLINK("imagenes/T_TAHARI_6621006_PA4_3.jpg","Ver imagen")</f>
        <v/>
      </c>
    </row>
    <row r="4798">
      <c r="A4798" t="inlineStr">
        <is>
          <t>T TAHARI</t>
        </is>
      </c>
      <c r="B4798" t="inlineStr">
        <is>
          <t>6621006</t>
        </is>
      </c>
      <c r="C4798" t="inlineStr">
        <is>
          <t>NELLIE</t>
        </is>
      </c>
      <c r="D4798" t="inlineStr">
        <is>
          <t>PA4</t>
        </is>
      </c>
      <c r="E4798" t="inlineStr">
        <is>
          <t>(en blanco)</t>
        </is>
      </c>
      <c r="F4798" t="inlineStr">
        <is>
          <t>MACYS ECOM</t>
        </is>
      </c>
      <c r="G4798" t="inlineStr">
        <is>
          <t>XXL</t>
        </is>
      </c>
      <c r="H4798" t="n">
        <v>15</v>
      </c>
      <c r="I4798" t="inlineStr">
        <is>
          <t>T_TAHARI_6621006_PA4_1.jpg</t>
        </is>
      </c>
      <c r="J4798" t="inlineStr">
        <is>
          <t>T_TAHARI_6621006_PA4_2.jpg</t>
        </is>
      </c>
      <c r="K4798" t="inlineStr">
        <is>
          <t>T_TAHARI_6621006_PA4_3.jpg</t>
        </is>
      </c>
      <c r="L4798">
        <f>IMAGE("file:///E:/Estudios%20y%20certificaciones/ESTUDIOS%20DE%20PROGRAMMING/PROGRAMMING/PERSONAL/PYTHON/Image_Generator_API/imagenes/T_TAHARI_6621006_PA4_1.jpg")</f>
        <v/>
      </c>
      <c r="M4798">
        <f>IMAGE("file:///E:/Estudios%20y%20certificaciones/ESTUDIOS%20DE%20PROGRAMMING/PROGRAMMING/PERSONAL/PYTHON/Image_Generator_API/imagenes/T_TAHARI_6621006_PA4_2.jpg")</f>
        <v/>
      </c>
      <c r="N4798">
        <f>IMAGE("file:///E:/Estudios%20y%20certificaciones/ESTUDIOS%20DE%20PROGRAMMING/PROGRAMMING/PERSONAL/PYTHON/Image_Generator_API/imagenes/T_TAHARI_6621006_PA4_3.jpg")</f>
        <v/>
      </c>
      <c r="O4798">
        <f>HYPERLINK("imagenes/T_TAHARI_6621006_PA4_1.jpg","Ver imagen")</f>
        <v/>
      </c>
      <c r="P4798">
        <f>HYPERLINK("imagenes/T_TAHARI_6621006_PA4_2.jpg","Ver imagen")</f>
        <v/>
      </c>
      <c r="Q4798">
        <f>HYPERLINK("imagenes/T_TAHARI_6621006_PA4_3.jpg","Ver imagen")</f>
        <v/>
      </c>
    </row>
    <row r="4799">
      <c r="A4799" t="inlineStr">
        <is>
          <t>T TAHARI</t>
        </is>
      </c>
      <c r="B4799" t="inlineStr">
        <is>
          <t>6621006</t>
        </is>
      </c>
      <c r="C4799" t="inlineStr">
        <is>
          <t>NELLIE</t>
        </is>
      </c>
      <c r="D4799" t="inlineStr">
        <is>
          <t>PA4</t>
        </is>
      </c>
      <c r="E4799" t="inlineStr">
        <is>
          <t>(en blanco)</t>
        </is>
      </c>
      <c r="F4799" t="inlineStr">
        <is>
          <t>MACYS ECOM</t>
        </is>
      </c>
      <c r="G4799" t="inlineStr">
        <is>
          <t>XXS</t>
        </is>
      </c>
      <c r="H4799" t="n">
        <v>3</v>
      </c>
      <c r="I4799" t="inlineStr">
        <is>
          <t>T_TAHARI_6621006_PA4_1.jpg</t>
        </is>
      </c>
      <c r="J4799" t="inlineStr">
        <is>
          <t>T_TAHARI_6621006_PA4_2.jpg</t>
        </is>
      </c>
      <c r="K4799" t="inlineStr">
        <is>
          <t>T_TAHARI_6621006_PA4_3.jpg</t>
        </is>
      </c>
      <c r="L4799">
        <f>IMAGE("file:///E:/Estudios%20y%20certificaciones/ESTUDIOS%20DE%20PROGRAMMING/PROGRAMMING/PERSONAL/PYTHON/Image_Generator_API/imagenes/T_TAHARI_6621006_PA4_1.jpg")</f>
        <v/>
      </c>
      <c r="M4799">
        <f>IMAGE("file:///E:/Estudios%20y%20certificaciones/ESTUDIOS%20DE%20PROGRAMMING/PROGRAMMING/PERSONAL/PYTHON/Image_Generator_API/imagenes/T_TAHARI_6621006_PA4_2.jpg")</f>
        <v/>
      </c>
      <c r="N4799">
        <f>IMAGE("file:///E:/Estudios%20y%20certificaciones/ESTUDIOS%20DE%20PROGRAMMING/PROGRAMMING/PERSONAL/PYTHON/Image_Generator_API/imagenes/T_TAHARI_6621006_PA4_3.jpg")</f>
        <v/>
      </c>
      <c r="O4799">
        <f>HYPERLINK("imagenes/T_TAHARI_6621006_PA4_1.jpg","Ver imagen")</f>
        <v/>
      </c>
      <c r="P4799">
        <f>HYPERLINK("imagenes/T_TAHARI_6621006_PA4_2.jpg","Ver imagen")</f>
        <v/>
      </c>
      <c r="Q4799">
        <f>HYPERLINK("imagenes/T_TAHARI_6621006_PA4_3.jpg","Ver imagen")</f>
        <v/>
      </c>
    </row>
    <row r="4800">
      <c r="A4800" t="inlineStr">
        <is>
          <t>T TAHARI</t>
        </is>
      </c>
      <c r="B4800" t="inlineStr">
        <is>
          <t>6621006</t>
        </is>
      </c>
      <c r="C4800" t="inlineStr">
        <is>
          <t>NELLIE</t>
        </is>
      </c>
      <c r="D4800" t="inlineStr">
        <is>
          <t>PA4</t>
        </is>
      </c>
      <c r="E4800" t="inlineStr">
        <is>
          <t>(en blanco)</t>
        </is>
      </c>
      <c r="F4800" t="inlineStr">
        <is>
          <t>(en blanco)</t>
        </is>
      </c>
      <c r="G4800" t="inlineStr">
        <is>
          <t>XS</t>
        </is>
      </c>
      <c r="H4800" t="n">
        <v>163</v>
      </c>
      <c r="I4800" t="inlineStr">
        <is>
          <t>T_TAHARI_6621006_PA4_1.jpg</t>
        </is>
      </c>
      <c r="J4800" t="inlineStr">
        <is>
          <t>T_TAHARI_6621006_PA4_2.jpg</t>
        </is>
      </c>
      <c r="K4800" t="inlineStr">
        <is>
          <t>T_TAHARI_6621006_PA4_3.jpg</t>
        </is>
      </c>
      <c r="L4800">
        <f>IMAGE("file:///E:/Estudios%20y%20certificaciones/ESTUDIOS%20DE%20PROGRAMMING/PROGRAMMING/PERSONAL/PYTHON/Image_Generator_API/imagenes/T_TAHARI_6621006_PA4_1.jpg")</f>
        <v/>
      </c>
      <c r="M4800">
        <f>IMAGE("file:///E:/Estudios%20y%20certificaciones/ESTUDIOS%20DE%20PROGRAMMING/PROGRAMMING/PERSONAL/PYTHON/Image_Generator_API/imagenes/T_TAHARI_6621006_PA4_2.jpg")</f>
        <v/>
      </c>
      <c r="N4800">
        <f>IMAGE("file:///E:/Estudios%20y%20certificaciones/ESTUDIOS%20DE%20PROGRAMMING/PROGRAMMING/PERSONAL/PYTHON/Image_Generator_API/imagenes/T_TAHARI_6621006_PA4_3.jpg")</f>
        <v/>
      </c>
      <c r="O4800">
        <f>HYPERLINK("imagenes/T_TAHARI_6621006_PA4_1.jpg","Ver imagen")</f>
        <v/>
      </c>
      <c r="P4800">
        <f>HYPERLINK("imagenes/T_TAHARI_6621006_PA4_2.jpg","Ver imagen")</f>
        <v/>
      </c>
      <c r="Q4800">
        <f>HYPERLINK("imagenes/T_TAHARI_6621006_PA4_3.jpg","Ver imagen")</f>
        <v/>
      </c>
    </row>
    <row r="4801">
      <c r="A4801" t="inlineStr">
        <is>
          <t>T TAHARI</t>
        </is>
      </c>
      <c r="B4801" t="inlineStr">
        <is>
          <t>6621006</t>
        </is>
      </c>
      <c r="C4801" t="inlineStr">
        <is>
          <t>NELLIE</t>
        </is>
      </c>
      <c r="D4801" t="inlineStr">
        <is>
          <t>PA4</t>
        </is>
      </c>
      <c r="E4801" t="inlineStr">
        <is>
          <t>(en blanco)</t>
        </is>
      </c>
      <c r="F4801" t="inlineStr">
        <is>
          <t>(en blanco)</t>
        </is>
      </c>
      <c r="G4801" t="inlineStr">
        <is>
          <t>S</t>
        </is>
      </c>
      <c r="H4801" t="n">
        <v>205</v>
      </c>
      <c r="I4801" t="inlineStr">
        <is>
          <t>T_TAHARI_6621006_PA4_1.jpg</t>
        </is>
      </c>
      <c r="J4801" t="inlineStr">
        <is>
          <t>T_TAHARI_6621006_PA4_2.jpg</t>
        </is>
      </c>
      <c r="K4801" t="inlineStr">
        <is>
          <t>T_TAHARI_6621006_PA4_3.jpg</t>
        </is>
      </c>
      <c r="L4801">
        <f>IMAGE("file:///E:/Estudios%20y%20certificaciones/ESTUDIOS%20DE%20PROGRAMMING/PROGRAMMING/PERSONAL/PYTHON/Image_Generator_API/imagenes/T_TAHARI_6621006_PA4_1.jpg")</f>
        <v/>
      </c>
      <c r="M4801">
        <f>IMAGE("file:///E:/Estudios%20y%20certificaciones/ESTUDIOS%20DE%20PROGRAMMING/PROGRAMMING/PERSONAL/PYTHON/Image_Generator_API/imagenes/T_TAHARI_6621006_PA4_2.jpg")</f>
        <v/>
      </c>
      <c r="N4801">
        <f>IMAGE("file:///E:/Estudios%20y%20certificaciones/ESTUDIOS%20DE%20PROGRAMMING/PROGRAMMING/PERSONAL/PYTHON/Image_Generator_API/imagenes/T_TAHARI_6621006_PA4_3.jpg")</f>
        <v/>
      </c>
      <c r="O4801">
        <f>HYPERLINK("imagenes/T_TAHARI_6621006_PA4_1.jpg","Ver imagen")</f>
        <v/>
      </c>
      <c r="P4801">
        <f>HYPERLINK("imagenes/T_TAHARI_6621006_PA4_2.jpg","Ver imagen")</f>
        <v/>
      </c>
      <c r="Q4801">
        <f>HYPERLINK("imagenes/T_TAHARI_6621006_PA4_3.jpg","Ver imagen")</f>
        <v/>
      </c>
    </row>
    <row r="4802">
      <c r="A4802" t="inlineStr">
        <is>
          <t>T TAHARI</t>
        </is>
      </c>
      <c r="B4802" t="inlineStr">
        <is>
          <t>6621006</t>
        </is>
      </c>
      <c r="C4802" t="inlineStr">
        <is>
          <t>NELLIE</t>
        </is>
      </c>
      <c r="D4802" t="inlineStr">
        <is>
          <t>PA4</t>
        </is>
      </c>
      <c r="E4802" t="inlineStr">
        <is>
          <t>(en blanco)</t>
        </is>
      </c>
      <c r="F4802" t="inlineStr">
        <is>
          <t>(en blanco)</t>
        </is>
      </c>
      <c r="G4802" t="inlineStr">
        <is>
          <t>M</t>
        </is>
      </c>
      <c r="H4802" t="n">
        <v>194</v>
      </c>
      <c r="I4802" t="inlineStr">
        <is>
          <t>T_TAHARI_6621006_PA4_1.jpg</t>
        </is>
      </c>
      <c r="J4802" t="inlineStr">
        <is>
          <t>T_TAHARI_6621006_PA4_2.jpg</t>
        </is>
      </c>
      <c r="K4802" t="inlineStr">
        <is>
          <t>T_TAHARI_6621006_PA4_3.jpg</t>
        </is>
      </c>
      <c r="L4802">
        <f>IMAGE("file:///E:/Estudios%20y%20certificaciones/ESTUDIOS%20DE%20PROGRAMMING/PROGRAMMING/PERSONAL/PYTHON/Image_Generator_API/imagenes/T_TAHARI_6621006_PA4_1.jpg")</f>
        <v/>
      </c>
      <c r="M4802">
        <f>IMAGE("file:///E:/Estudios%20y%20certificaciones/ESTUDIOS%20DE%20PROGRAMMING/PROGRAMMING/PERSONAL/PYTHON/Image_Generator_API/imagenes/T_TAHARI_6621006_PA4_2.jpg")</f>
        <v/>
      </c>
      <c r="N4802">
        <f>IMAGE("file:///E:/Estudios%20y%20certificaciones/ESTUDIOS%20DE%20PROGRAMMING/PROGRAMMING/PERSONAL/PYTHON/Image_Generator_API/imagenes/T_TAHARI_6621006_PA4_3.jpg")</f>
        <v/>
      </c>
      <c r="O4802">
        <f>HYPERLINK("imagenes/T_TAHARI_6621006_PA4_1.jpg","Ver imagen")</f>
        <v/>
      </c>
      <c r="P4802">
        <f>HYPERLINK("imagenes/T_TAHARI_6621006_PA4_2.jpg","Ver imagen")</f>
        <v/>
      </c>
      <c r="Q4802">
        <f>HYPERLINK("imagenes/T_TAHARI_6621006_PA4_3.jpg","Ver imagen")</f>
        <v/>
      </c>
    </row>
    <row r="4803">
      <c r="A4803" t="inlineStr">
        <is>
          <t>T TAHARI</t>
        </is>
      </c>
      <c r="B4803" t="inlineStr">
        <is>
          <t>6621006</t>
        </is>
      </c>
      <c r="C4803" t="inlineStr">
        <is>
          <t>NELLIE</t>
        </is>
      </c>
      <c r="D4803" t="inlineStr">
        <is>
          <t>PA4</t>
        </is>
      </c>
      <c r="E4803" t="inlineStr">
        <is>
          <t>(en blanco)</t>
        </is>
      </c>
      <c r="F4803" t="inlineStr">
        <is>
          <t>(en blanco)</t>
        </is>
      </c>
      <c r="G4803" t="inlineStr">
        <is>
          <t>L</t>
        </is>
      </c>
      <c r="H4803" t="n">
        <v>199</v>
      </c>
      <c r="I4803" t="inlineStr">
        <is>
          <t>T_TAHARI_6621006_PA4_1.jpg</t>
        </is>
      </c>
      <c r="J4803" t="inlineStr">
        <is>
          <t>T_TAHARI_6621006_PA4_2.jpg</t>
        </is>
      </c>
      <c r="K4803" t="inlineStr">
        <is>
          <t>T_TAHARI_6621006_PA4_3.jpg</t>
        </is>
      </c>
      <c r="L4803">
        <f>IMAGE("file:///E:/Estudios%20y%20certificaciones/ESTUDIOS%20DE%20PROGRAMMING/PROGRAMMING/PERSONAL/PYTHON/Image_Generator_API/imagenes/T_TAHARI_6621006_PA4_1.jpg")</f>
        <v/>
      </c>
      <c r="M4803">
        <f>IMAGE("file:///E:/Estudios%20y%20certificaciones/ESTUDIOS%20DE%20PROGRAMMING/PROGRAMMING/PERSONAL/PYTHON/Image_Generator_API/imagenes/T_TAHARI_6621006_PA4_2.jpg")</f>
        <v/>
      </c>
      <c r="N4803">
        <f>IMAGE("file:///E:/Estudios%20y%20certificaciones/ESTUDIOS%20DE%20PROGRAMMING/PROGRAMMING/PERSONAL/PYTHON/Image_Generator_API/imagenes/T_TAHARI_6621006_PA4_3.jpg")</f>
        <v/>
      </c>
      <c r="O4803">
        <f>HYPERLINK("imagenes/T_TAHARI_6621006_PA4_1.jpg","Ver imagen")</f>
        <v/>
      </c>
      <c r="P4803">
        <f>HYPERLINK("imagenes/T_TAHARI_6621006_PA4_2.jpg","Ver imagen")</f>
        <v/>
      </c>
      <c r="Q4803">
        <f>HYPERLINK("imagenes/T_TAHARI_6621006_PA4_3.jpg","Ver imagen")</f>
        <v/>
      </c>
    </row>
    <row r="4804">
      <c r="A4804" t="inlineStr">
        <is>
          <t>T TAHARI</t>
        </is>
      </c>
      <c r="B4804" t="inlineStr">
        <is>
          <t>6621006</t>
        </is>
      </c>
      <c r="C4804" t="inlineStr">
        <is>
          <t>NELLIE</t>
        </is>
      </c>
      <c r="D4804" t="inlineStr">
        <is>
          <t>PA4</t>
        </is>
      </c>
      <c r="E4804" t="inlineStr">
        <is>
          <t>(en blanco)</t>
        </is>
      </c>
      <c r="F4804" t="inlineStr">
        <is>
          <t>(en blanco)</t>
        </is>
      </c>
      <c r="G4804" t="inlineStr">
        <is>
          <t>XL</t>
        </is>
      </c>
      <c r="H4804" t="n">
        <v>95</v>
      </c>
      <c r="I4804" t="inlineStr">
        <is>
          <t>T_TAHARI_6621006_PA4_1.jpg</t>
        </is>
      </c>
      <c r="J4804" t="inlineStr">
        <is>
          <t>T_TAHARI_6621006_PA4_2.jpg</t>
        </is>
      </c>
      <c r="K4804" t="inlineStr">
        <is>
          <t>T_TAHARI_6621006_PA4_3.jpg</t>
        </is>
      </c>
      <c r="L4804">
        <f>IMAGE("file:///E:/Estudios%20y%20certificaciones/ESTUDIOS%20DE%20PROGRAMMING/PROGRAMMING/PERSONAL/PYTHON/Image_Generator_API/imagenes/T_TAHARI_6621006_PA4_1.jpg")</f>
        <v/>
      </c>
      <c r="M4804">
        <f>IMAGE("file:///E:/Estudios%20y%20certificaciones/ESTUDIOS%20DE%20PROGRAMMING/PROGRAMMING/PERSONAL/PYTHON/Image_Generator_API/imagenes/T_TAHARI_6621006_PA4_2.jpg")</f>
        <v/>
      </c>
      <c r="N4804">
        <f>IMAGE("file:///E:/Estudios%20y%20certificaciones/ESTUDIOS%20DE%20PROGRAMMING/PROGRAMMING/PERSONAL/PYTHON/Image_Generator_API/imagenes/T_TAHARI_6621006_PA4_3.jpg")</f>
        <v/>
      </c>
      <c r="O4804">
        <f>HYPERLINK("imagenes/T_TAHARI_6621006_PA4_1.jpg","Ver imagen")</f>
        <v/>
      </c>
      <c r="P4804">
        <f>HYPERLINK("imagenes/T_TAHARI_6621006_PA4_2.jpg","Ver imagen")</f>
        <v/>
      </c>
      <c r="Q4804">
        <f>HYPERLINK("imagenes/T_TAHARI_6621006_PA4_3.jpg","Ver imagen")</f>
        <v/>
      </c>
    </row>
    <row r="4805">
      <c r="A4805" t="inlineStr">
        <is>
          <t>T TAHARI</t>
        </is>
      </c>
      <c r="B4805" t="inlineStr">
        <is>
          <t>6621006</t>
        </is>
      </c>
      <c r="C4805" t="inlineStr">
        <is>
          <t>NELLIE</t>
        </is>
      </c>
      <c r="D4805" t="inlineStr">
        <is>
          <t>PA4</t>
        </is>
      </c>
      <c r="E4805" t="inlineStr">
        <is>
          <t>(en blanco)</t>
        </is>
      </c>
      <c r="F4805" t="inlineStr">
        <is>
          <t>(en blanco)</t>
        </is>
      </c>
      <c r="G4805" t="inlineStr">
        <is>
          <t>XXL</t>
        </is>
      </c>
      <c r="H4805" t="n">
        <v>6</v>
      </c>
      <c r="I4805" t="inlineStr">
        <is>
          <t>T_TAHARI_6621006_PA4_1.jpg</t>
        </is>
      </c>
      <c r="J4805" t="inlineStr">
        <is>
          <t>T_TAHARI_6621006_PA4_2.jpg</t>
        </is>
      </c>
      <c r="K4805" t="inlineStr">
        <is>
          <t>T_TAHARI_6621006_PA4_3.jpg</t>
        </is>
      </c>
      <c r="L4805">
        <f>IMAGE("file:///E:/Estudios%20y%20certificaciones/ESTUDIOS%20DE%20PROGRAMMING/PROGRAMMING/PERSONAL/PYTHON/Image_Generator_API/imagenes/T_TAHARI_6621006_PA4_1.jpg")</f>
        <v/>
      </c>
      <c r="M4805">
        <f>IMAGE("file:///E:/Estudios%20y%20certificaciones/ESTUDIOS%20DE%20PROGRAMMING/PROGRAMMING/PERSONAL/PYTHON/Image_Generator_API/imagenes/T_TAHARI_6621006_PA4_2.jpg")</f>
        <v/>
      </c>
      <c r="N4805">
        <f>IMAGE("file:///E:/Estudios%20y%20certificaciones/ESTUDIOS%20DE%20PROGRAMMING/PROGRAMMING/PERSONAL/PYTHON/Image_Generator_API/imagenes/T_TAHARI_6621006_PA4_3.jpg")</f>
        <v/>
      </c>
      <c r="O4805">
        <f>HYPERLINK("imagenes/T_TAHARI_6621006_PA4_1.jpg","Ver imagen")</f>
        <v/>
      </c>
      <c r="P4805">
        <f>HYPERLINK("imagenes/T_TAHARI_6621006_PA4_2.jpg","Ver imagen")</f>
        <v/>
      </c>
      <c r="Q4805">
        <f>HYPERLINK("imagenes/T_TAHARI_6621006_PA4_3.jpg","Ver imagen")</f>
        <v/>
      </c>
    </row>
    <row r="4806">
      <c r="A4806" t="inlineStr">
        <is>
          <t>T TAHARI</t>
        </is>
      </c>
      <c r="B4806" t="inlineStr">
        <is>
          <t>6621006</t>
        </is>
      </c>
      <c r="C4806" t="inlineStr">
        <is>
          <t>NELLIE</t>
        </is>
      </c>
      <c r="D4806" t="inlineStr">
        <is>
          <t>PA4</t>
        </is>
      </c>
      <c r="E4806" t="inlineStr">
        <is>
          <t>(en blanco)</t>
        </is>
      </c>
      <c r="F4806" t="inlineStr">
        <is>
          <t>(en blanco)</t>
        </is>
      </c>
      <c r="G4806" t="inlineStr">
        <is>
          <t>XXS</t>
        </is>
      </c>
      <c r="H4806" t="n">
        <v>3</v>
      </c>
      <c r="I4806" t="inlineStr">
        <is>
          <t>T_TAHARI_6621006_PA4_1.jpg</t>
        </is>
      </c>
      <c r="J4806" t="inlineStr">
        <is>
          <t>T_TAHARI_6621006_PA4_2.jpg</t>
        </is>
      </c>
      <c r="K4806" t="inlineStr">
        <is>
          <t>T_TAHARI_6621006_PA4_3.jpg</t>
        </is>
      </c>
      <c r="L4806">
        <f>IMAGE("file:///E:/Estudios%20y%20certificaciones/ESTUDIOS%20DE%20PROGRAMMING/PROGRAMMING/PERSONAL/PYTHON/Image_Generator_API/imagenes/T_TAHARI_6621006_PA4_1.jpg")</f>
        <v/>
      </c>
      <c r="M4806">
        <f>IMAGE("file:///E:/Estudios%20y%20certificaciones/ESTUDIOS%20DE%20PROGRAMMING/PROGRAMMING/PERSONAL/PYTHON/Image_Generator_API/imagenes/T_TAHARI_6621006_PA4_2.jpg")</f>
        <v/>
      </c>
      <c r="N4806">
        <f>IMAGE("file:///E:/Estudios%20y%20certificaciones/ESTUDIOS%20DE%20PROGRAMMING/PROGRAMMING/PERSONAL/PYTHON/Image_Generator_API/imagenes/T_TAHARI_6621006_PA4_3.jpg")</f>
        <v/>
      </c>
      <c r="O4806">
        <f>HYPERLINK("imagenes/T_TAHARI_6621006_PA4_1.jpg","Ver imagen")</f>
        <v/>
      </c>
      <c r="P4806">
        <f>HYPERLINK("imagenes/T_TAHARI_6621006_PA4_2.jpg","Ver imagen")</f>
        <v/>
      </c>
      <c r="Q4806">
        <f>HYPERLINK("imagenes/T_TAHARI_6621006_PA4_3.jpg","Ver imagen")</f>
        <v/>
      </c>
    </row>
    <row r="4807">
      <c r="A4807" t="inlineStr">
        <is>
          <t>T TAHARI</t>
        </is>
      </c>
      <c r="B4807" t="inlineStr">
        <is>
          <t>6621069</t>
        </is>
      </c>
      <c r="C4807" t="inlineStr">
        <is>
          <t>DANA</t>
        </is>
      </c>
      <c r="D4807" t="inlineStr">
        <is>
          <t>BLK</t>
        </is>
      </c>
      <c r="E4807" t="inlineStr">
        <is>
          <t>07S02</t>
        </is>
      </c>
      <c r="F4807" t="inlineStr">
        <is>
          <t>B2230</t>
        </is>
      </c>
      <c r="G4807" t="inlineStr">
        <is>
          <t>AST</t>
        </is>
      </c>
      <c r="H4807" t="n">
        <v>0</v>
      </c>
      <c r="I4807" t="inlineStr">
        <is>
          <t>T_TAHARI_6621069_BLK_1.jpg</t>
        </is>
      </c>
      <c r="J4807" t="inlineStr">
        <is>
          <t>T_TAHARI_6621069_BLK_2.jpg</t>
        </is>
      </c>
      <c r="K4807" t="inlineStr">
        <is>
          <t>T_TAHARI_6621069_BLK_3.jpg</t>
        </is>
      </c>
      <c r="L4807">
        <f>IMAGE("file:///E:/Estudios%20y%20certificaciones/ESTUDIOS%20DE%20PROGRAMMING/PROGRAMMING/PERSONAL/PYTHON/Image_Generator_API/imagenes/T_TAHARI_6621069_BLK_1.jpg")</f>
        <v/>
      </c>
      <c r="M4807">
        <f>IMAGE("file:///E:/Estudios%20y%20certificaciones/ESTUDIOS%20DE%20PROGRAMMING/PROGRAMMING/PERSONAL/PYTHON/Image_Generator_API/imagenes/T_TAHARI_6621069_BLK_2.jpg")</f>
        <v/>
      </c>
      <c r="N4807">
        <f>IMAGE("file:///E:/Estudios%20y%20certificaciones/ESTUDIOS%20DE%20PROGRAMMING/PROGRAMMING/PERSONAL/PYTHON/Image_Generator_API/imagenes/T_TAHARI_6621069_BLK_3.jpg")</f>
        <v/>
      </c>
      <c r="O4807">
        <f>HYPERLINK("imagenes/T_TAHARI_6621069_BLK_1.jpg","Ver imagen")</f>
        <v/>
      </c>
      <c r="P4807">
        <f>HYPERLINK("imagenes/T_TAHARI_6621069_BLK_2.jpg","Ver imagen")</f>
        <v/>
      </c>
      <c r="Q4807">
        <f>HYPERLINK("imagenes/T_TAHARI_6621069_BLK_3.jpg","Ver imagen")</f>
        <v/>
      </c>
    </row>
    <row r="4808">
      <c r="A4808" t="inlineStr">
        <is>
          <t>T TAHARI</t>
        </is>
      </c>
      <c r="B4808" t="inlineStr">
        <is>
          <t>6621069</t>
        </is>
      </c>
      <c r="C4808" t="inlineStr">
        <is>
          <t>DANA</t>
        </is>
      </c>
      <c r="D4808" t="inlineStr">
        <is>
          <t>BLK</t>
        </is>
      </c>
      <c r="E4808" t="inlineStr">
        <is>
          <t>(en blanco)</t>
        </is>
      </c>
      <c r="F4808" t="inlineStr">
        <is>
          <t>D2C</t>
        </is>
      </c>
      <c r="G4808" t="inlineStr">
        <is>
          <t>XS</t>
        </is>
      </c>
      <c r="H4808" t="n">
        <v>41</v>
      </c>
      <c r="I4808" t="inlineStr">
        <is>
          <t>T_TAHARI_6621069_BLK_1.jpg</t>
        </is>
      </c>
      <c r="J4808" t="inlineStr">
        <is>
          <t>T_TAHARI_6621069_BLK_2.jpg</t>
        </is>
      </c>
      <c r="K4808" t="inlineStr">
        <is>
          <t>T_TAHARI_6621069_BLK_3.jpg</t>
        </is>
      </c>
      <c r="L4808">
        <f>IMAGE("file:///E:/Estudios%20y%20certificaciones/ESTUDIOS%20DE%20PROGRAMMING/PROGRAMMING/PERSONAL/PYTHON/Image_Generator_API/imagenes/T_TAHARI_6621069_BLK_1.jpg")</f>
        <v/>
      </c>
      <c r="M4808">
        <f>IMAGE("file:///E:/Estudios%20y%20certificaciones/ESTUDIOS%20DE%20PROGRAMMING/PROGRAMMING/PERSONAL/PYTHON/Image_Generator_API/imagenes/T_TAHARI_6621069_BLK_2.jpg")</f>
        <v/>
      </c>
      <c r="N4808">
        <f>IMAGE("file:///E:/Estudios%20y%20certificaciones/ESTUDIOS%20DE%20PROGRAMMING/PROGRAMMING/PERSONAL/PYTHON/Image_Generator_API/imagenes/T_TAHARI_6621069_BLK_3.jpg")</f>
        <v/>
      </c>
      <c r="O4808">
        <f>HYPERLINK("imagenes/T_TAHARI_6621069_BLK_1.jpg","Ver imagen")</f>
        <v/>
      </c>
      <c r="P4808">
        <f>HYPERLINK("imagenes/T_TAHARI_6621069_BLK_2.jpg","Ver imagen")</f>
        <v/>
      </c>
      <c r="Q4808">
        <f>HYPERLINK("imagenes/T_TAHARI_6621069_BLK_3.jpg","Ver imagen")</f>
        <v/>
      </c>
    </row>
    <row r="4809">
      <c r="A4809" t="inlineStr">
        <is>
          <t>T TAHARI</t>
        </is>
      </c>
      <c r="B4809" t="inlineStr">
        <is>
          <t>6621069</t>
        </is>
      </c>
      <c r="C4809" t="inlineStr">
        <is>
          <t>DANA</t>
        </is>
      </c>
      <c r="D4809" t="inlineStr">
        <is>
          <t>BLK</t>
        </is>
      </c>
      <c r="E4809" t="inlineStr">
        <is>
          <t>(en blanco)</t>
        </is>
      </c>
      <c r="F4809" t="inlineStr">
        <is>
          <t>M1155</t>
        </is>
      </c>
      <c r="G4809" t="inlineStr">
        <is>
          <t>XS</t>
        </is>
      </c>
      <c r="H4809" t="n">
        <v>25</v>
      </c>
      <c r="I4809" t="inlineStr">
        <is>
          <t>T_TAHARI_6621069_BLK_1.jpg</t>
        </is>
      </c>
      <c r="J4809" t="inlineStr">
        <is>
          <t>T_TAHARI_6621069_BLK_2.jpg</t>
        </is>
      </c>
      <c r="K4809" t="inlineStr">
        <is>
          <t>T_TAHARI_6621069_BLK_3.jpg</t>
        </is>
      </c>
      <c r="L4809">
        <f>IMAGE("file:///E:/Estudios%20y%20certificaciones/ESTUDIOS%20DE%20PROGRAMMING/PROGRAMMING/PERSONAL/PYTHON/Image_Generator_API/imagenes/T_TAHARI_6621069_BLK_1.jpg")</f>
        <v/>
      </c>
      <c r="M4809">
        <f>IMAGE("file:///E:/Estudios%20y%20certificaciones/ESTUDIOS%20DE%20PROGRAMMING/PROGRAMMING/PERSONAL/PYTHON/Image_Generator_API/imagenes/T_TAHARI_6621069_BLK_2.jpg")</f>
        <v/>
      </c>
      <c r="N4809">
        <f>IMAGE("file:///E:/Estudios%20y%20certificaciones/ESTUDIOS%20DE%20PROGRAMMING/PROGRAMMING/PERSONAL/PYTHON/Image_Generator_API/imagenes/T_TAHARI_6621069_BLK_3.jpg")</f>
        <v/>
      </c>
      <c r="O4809">
        <f>HYPERLINK("imagenes/T_TAHARI_6621069_BLK_1.jpg","Ver imagen")</f>
        <v/>
      </c>
      <c r="P4809">
        <f>HYPERLINK("imagenes/T_TAHARI_6621069_BLK_2.jpg","Ver imagen")</f>
        <v/>
      </c>
      <c r="Q4809">
        <f>HYPERLINK("imagenes/T_TAHARI_6621069_BLK_3.jpg","Ver imagen")</f>
        <v/>
      </c>
    </row>
    <row r="4810">
      <c r="A4810" t="inlineStr">
        <is>
          <t>T TAHARI</t>
        </is>
      </c>
      <c r="B4810" t="inlineStr">
        <is>
          <t>6621069</t>
        </is>
      </c>
      <c r="C4810" t="inlineStr">
        <is>
          <t>DANA</t>
        </is>
      </c>
      <c r="D4810" t="inlineStr">
        <is>
          <t>BLK</t>
        </is>
      </c>
      <c r="E4810" t="inlineStr">
        <is>
          <t>(en blanco)</t>
        </is>
      </c>
      <c r="F4810" t="inlineStr">
        <is>
          <t>M1155</t>
        </is>
      </c>
      <c r="G4810" t="inlineStr">
        <is>
          <t>S</t>
        </is>
      </c>
      <c r="H4810" t="n">
        <v>65</v>
      </c>
      <c r="I4810" t="inlineStr">
        <is>
          <t>T_TAHARI_6621069_BLK_1.jpg</t>
        </is>
      </c>
      <c r="J4810" t="inlineStr">
        <is>
          <t>T_TAHARI_6621069_BLK_2.jpg</t>
        </is>
      </c>
      <c r="K4810" t="inlineStr">
        <is>
          <t>T_TAHARI_6621069_BLK_3.jpg</t>
        </is>
      </c>
      <c r="L4810">
        <f>IMAGE("file:///E:/Estudios%20y%20certificaciones/ESTUDIOS%20DE%20PROGRAMMING/PROGRAMMING/PERSONAL/PYTHON/Image_Generator_API/imagenes/T_TAHARI_6621069_BLK_1.jpg")</f>
        <v/>
      </c>
      <c r="M4810">
        <f>IMAGE("file:///E:/Estudios%20y%20certificaciones/ESTUDIOS%20DE%20PROGRAMMING/PROGRAMMING/PERSONAL/PYTHON/Image_Generator_API/imagenes/T_TAHARI_6621069_BLK_2.jpg")</f>
        <v/>
      </c>
      <c r="N4810">
        <f>IMAGE("file:///E:/Estudios%20y%20certificaciones/ESTUDIOS%20DE%20PROGRAMMING/PROGRAMMING/PERSONAL/PYTHON/Image_Generator_API/imagenes/T_TAHARI_6621069_BLK_3.jpg")</f>
        <v/>
      </c>
      <c r="O4810">
        <f>HYPERLINK("imagenes/T_TAHARI_6621069_BLK_1.jpg","Ver imagen")</f>
        <v/>
      </c>
      <c r="P4810">
        <f>HYPERLINK("imagenes/T_TAHARI_6621069_BLK_2.jpg","Ver imagen")</f>
        <v/>
      </c>
      <c r="Q4810">
        <f>HYPERLINK("imagenes/T_TAHARI_6621069_BLK_3.jpg","Ver imagen")</f>
        <v/>
      </c>
    </row>
    <row r="4811">
      <c r="A4811" t="inlineStr">
        <is>
          <t>T TAHARI</t>
        </is>
      </c>
      <c r="B4811" t="inlineStr">
        <is>
          <t>6621069</t>
        </is>
      </c>
      <c r="C4811" t="inlineStr">
        <is>
          <t>DANA</t>
        </is>
      </c>
      <c r="D4811" t="inlineStr">
        <is>
          <t>BLK</t>
        </is>
      </c>
      <c r="E4811" t="inlineStr">
        <is>
          <t>(en blanco)</t>
        </is>
      </c>
      <c r="F4811" t="inlineStr">
        <is>
          <t>M1155</t>
        </is>
      </c>
      <c r="G4811" t="inlineStr">
        <is>
          <t>M</t>
        </is>
      </c>
      <c r="H4811" t="n">
        <v>97</v>
      </c>
      <c r="I4811" t="inlineStr">
        <is>
          <t>T_TAHARI_6621069_BLK_1.jpg</t>
        </is>
      </c>
      <c r="J4811" t="inlineStr">
        <is>
          <t>T_TAHARI_6621069_BLK_2.jpg</t>
        </is>
      </c>
      <c r="K4811" t="inlineStr">
        <is>
          <t>T_TAHARI_6621069_BLK_3.jpg</t>
        </is>
      </c>
      <c r="L4811">
        <f>IMAGE("file:///E:/Estudios%20y%20certificaciones/ESTUDIOS%20DE%20PROGRAMMING/PROGRAMMING/PERSONAL/PYTHON/Image_Generator_API/imagenes/T_TAHARI_6621069_BLK_1.jpg")</f>
        <v/>
      </c>
      <c r="M4811">
        <f>IMAGE("file:///E:/Estudios%20y%20certificaciones/ESTUDIOS%20DE%20PROGRAMMING/PROGRAMMING/PERSONAL/PYTHON/Image_Generator_API/imagenes/T_TAHARI_6621069_BLK_2.jpg")</f>
        <v/>
      </c>
      <c r="N4811">
        <f>IMAGE("file:///E:/Estudios%20y%20certificaciones/ESTUDIOS%20DE%20PROGRAMMING/PROGRAMMING/PERSONAL/PYTHON/Image_Generator_API/imagenes/T_TAHARI_6621069_BLK_3.jpg")</f>
        <v/>
      </c>
      <c r="O4811">
        <f>HYPERLINK("imagenes/T_TAHARI_6621069_BLK_1.jpg","Ver imagen")</f>
        <v/>
      </c>
      <c r="P4811">
        <f>HYPERLINK("imagenes/T_TAHARI_6621069_BLK_2.jpg","Ver imagen")</f>
        <v/>
      </c>
      <c r="Q4811">
        <f>HYPERLINK("imagenes/T_TAHARI_6621069_BLK_3.jpg","Ver imagen")</f>
        <v/>
      </c>
    </row>
    <row r="4812">
      <c r="A4812" t="inlineStr">
        <is>
          <t>T TAHARI</t>
        </is>
      </c>
      <c r="B4812" t="inlineStr">
        <is>
          <t>6621069</t>
        </is>
      </c>
      <c r="C4812" t="inlineStr">
        <is>
          <t>DANA</t>
        </is>
      </c>
      <c r="D4812" t="inlineStr">
        <is>
          <t>BLK</t>
        </is>
      </c>
      <c r="E4812" t="inlineStr">
        <is>
          <t>(en blanco)</t>
        </is>
      </c>
      <c r="F4812" t="inlineStr">
        <is>
          <t>M1155</t>
        </is>
      </c>
      <c r="G4812" t="inlineStr">
        <is>
          <t>L</t>
        </is>
      </c>
      <c r="H4812" t="n">
        <v>115</v>
      </c>
      <c r="I4812" t="inlineStr">
        <is>
          <t>T_TAHARI_6621069_BLK_1.jpg</t>
        </is>
      </c>
      <c r="J4812" t="inlineStr">
        <is>
          <t>T_TAHARI_6621069_BLK_2.jpg</t>
        </is>
      </c>
      <c r="K4812" t="inlineStr">
        <is>
          <t>T_TAHARI_6621069_BLK_3.jpg</t>
        </is>
      </c>
      <c r="L4812">
        <f>IMAGE("file:///E:/Estudios%20y%20certificaciones/ESTUDIOS%20DE%20PROGRAMMING/PROGRAMMING/PERSONAL/PYTHON/Image_Generator_API/imagenes/T_TAHARI_6621069_BLK_1.jpg")</f>
        <v/>
      </c>
      <c r="M4812">
        <f>IMAGE("file:///E:/Estudios%20y%20certificaciones/ESTUDIOS%20DE%20PROGRAMMING/PROGRAMMING/PERSONAL/PYTHON/Image_Generator_API/imagenes/T_TAHARI_6621069_BLK_2.jpg")</f>
        <v/>
      </c>
      <c r="N4812">
        <f>IMAGE("file:///E:/Estudios%20y%20certificaciones/ESTUDIOS%20DE%20PROGRAMMING/PROGRAMMING/PERSONAL/PYTHON/Image_Generator_API/imagenes/T_TAHARI_6621069_BLK_3.jpg")</f>
        <v/>
      </c>
      <c r="O4812">
        <f>HYPERLINK("imagenes/T_TAHARI_6621069_BLK_1.jpg","Ver imagen")</f>
        <v/>
      </c>
      <c r="P4812">
        <f>HYPERLINK("imagenes/T_TAHARI_6621069_BLK_2.jpg","Ver imagen")</f>
        <v/>
      </c>
      <c r="Q4812">
        <f>HYPERLINK("imagenes/T_TAHARI_6621069_BLK_3.jpg","Ver imagen")</f>
        <v/>
      </c>
    </row>
    <row r="4813">
      <c r="A4813" t="inlineStr">
        <is>
          <t>T TAHARI</t>
        </is>
      </c>
      <c r="B4813" t="inlineStr">
        <is>
          <t>6621069</t>
        </is>
      </c>
      <c r="C4813" t="inlineStr">
        <is>
          <t>DANA</t>
        </is>
      </c>
      <c r="D4813" t="inlineStr">
        <is>
          <t>BLK</t>
        </is>
      </c>
      <c r="E4813" t="inlineStr">
        <is>
          <t>(en blanco)</t>
        </is>
      </c>
      <c r="F4813" t="inlineStr">
        <is>
          <t>M1155</t>
        </is>
      </c>
      <c r="G4813" t="inlineStr">
        <is>
          <t>XL</t>
        </is>
      </c>
      <c r="H4813" t="n">
        <v>76</v>
      </c>
      <c r="I4813" t="inlineStr">
        <is>
          <t>T_TAHARI_6621069_BLK_1.jpg</t>
        </is>
      </c>
      <c r="J4813" t="inlineStr">
        <is>
          <t>T_TAHARI_6621069_BLK_2.jpg</t>
        </is>
      </c>
      <c r="K4813" t="inlineStr">
        <is>
          <t>T_TAHARI_6621069_BLK_3.jpg</t>
        </is>
      </c>
      <c r="L4813">
        <f>IMAGE("file:///E:/Estudios%20y%20certificaciones/ESTUDIOS%20DE%20PROGRAMMING/PROGRAMMING/PERSONAL/PYTHON/Image_Generator_API/imagenes/T_TAHARI_6621069_BLK_1.jpg")</f>
        <v/>
      </c>
      <c r="M4813">
        <f>IMAGE("file:///E:/Estudios%20y%20certificaciones/ESTUDIOS%20DE%20PROGRAMMING/PROGRAMMING/PERSONAL/PYTHON/Image_Generator_API/imagenes/T_TAHARI_6621069_BLK_2.jpg")</f>
        <v/>
      </c>
      <c r="N4813">
        <f>IMAGE("file:///E:/Estudios%20y%20certificaciones/ESTUDIOS%20DE%20PROGRAMMING/PROGRAMMING/PERSONAL/PYTHON/Image_Generator_API/imagenes/T_TAHARI_6621069_BLK_3.jpg")</f>
        <v/>
      </c>
      <c r="O4813">
        <f>HYPERLINK("imagenes/T_TAHARI_6621069_BLK_1.jpg","Ver imagen")</f>
        <v/>
      </c>
      <c r="P4813">
        <f>HYPERLINK("imagenes/T_TAHARI_6621069_BLK_2.jpg","Ver imagen")</f>
        <v/>
      </c>
      <c r="Q4813">
        <f>HYPERLINK("imagenes/T_TAHARI_6621069_BLK_3.jpg","Ver imagen")</f>
        <v/>
      </c>
    </row>
    <row r="4814">
      <c r="A4814" t="inlineStr">
        <is>
          <t>T TAHARI</t>
        </is>
      </c>
      <c r="B4814" t="inlineStr">
        <is>
          <t>6621069</t>
        </is>
      </c>
      <c r="C4814" t="inlineStr">
        <is>
          <t>DANA</t>
        </is>
      </c>
      <c r="D4814" t="inlineStr">
        <is>
          <t>BLK</t>
        </is>
      </c>
      <c r="E4814" t="inlineStr">
        <is>
          <t>(en blanco)</t>
        </is>
      </c>
      <c r="F4814" t="inlineStr">
        <is>
          <t>M1155</t>
        </is>
      </c>
      <c r="G4814" t="inlineStr">
        <is>
          <t>XXL</t>
        </is>
      </c>
      <c r="H4814" t="n">
        <v>32</v>
      </c>
      <c r="I4814" t="inlineStr">
        <is>
          <t>T_TAHARI_6621069_BLK_1.jpg</t>
        </is>
      </c>
      <c r="J4814" t="inlineStr">
        <is>
          <t>T_TAHARI_6621069_BLK_2.jpg</t>
        </is>
      </c>
      <c r="K4814" t="inlineStr">
        <is>
          <t>T_TAHARI_6621069_BLK_3.jpg</t>
        </is>
      </c>
      <c r="L4814">
        <f>IMAGE("file:///E:/Estudios%20y%20certificaciones/ESTUDIOS%20DE%20PROGRAMMING/PROGRAMMING/PERSONAL/PYTHON/Image_Generator_API/imagenes/T_TAHARI_6621069_BLK_1.jpg")</f>
        <v/>
      </c>
      <c r="M4814">
        <f>IMAGE("file:///E:/Estudios%20y%20certificaciones/ESTUDIOS%20DE%20PROGRAMMING/PROGRAMMING/PERSONAL/PYTHON/Image_Generator_API/imagenes/T_TAHARI_6621069_BLK_2.jpg")</f>
        <v/>
      </c>
      <c r="N4814">
        <f>IMAGE("file:///E:/Estudios%20y%20certificaciones/ESTUDIOS%20DE%20PROGRAMMING/PROGRAMMING/PERSONAL/PYTHON/Image_Generator_API/imagenes/T_TAHARI_6621069_BLK_3.jpg")</f>
        <v/>
      </c>
      <c r="O4814">
        <f>HYPERLINK("imagenes/T_TAHARI_6621069_BLK_1.jpg","Ver imagen")</f>
        <v/>
      </c>
      <c r="P4814">
        <f>HYPERLINK("imagenes/T_TAHARI_6621069_BLK_2.jpg","Ver imagen")</f>
        <v/>
      </c>
      <c r="Q4814">
        <f>HYPERLINK("imagenes/T_TAHARI_6621069_BLK_3.jpg","Ver imagen")</f>
        <v/>
      </c>
    </row>
    <row r="4815">
      <c r="A4815" t="inlineStr">
        <is>
          <t>T TAHARI</t>
        </is>
      </c>
      <c r="B4815" t="inlineStr">
        <is>
          <t>6621069</t>
        </is>
      </c>
      <c r="C4815" t="inlineStr">
        <is>
          <t>DANA</t>
        </is>
      </c>
      <c r="D4815" t="inlineStr">
        <is>
          <t>BLK</t>
        </is>
      </c>
      <c r="E4815" t="inlineStr">
        <is>
          <t>(en blanco)</t>
        </is>
      </c>
      <c r="F4815" t="inlineStr">
        <is>
          <t>M1155</t>
        </is>
      </c>
      <c r="G4815" t="inlineStr">
        <is>
          <t>XXS</t>
        </is>
      </c>
      <c r="H4815" t="n">
        <v>10</v>
      </c>
      <c r="I4815" t="inlineStr">
        <is>
          <t>T_TAHARI_6621069_BLK_1.jpg</t>
        </is>
      </c>
      <c r="J4815" t="inlineStr">
        <is>
          <t>T_TAHARI_6621069_BLK_2.jpg</t>
        </is>
      </c>
      <c r="K4815" t="inlineStr">
        <is>
          <t>T_TAHARI_6621069_BLK_3.jpg</t>
        </is>
      </c>
      <c r="L4815">
        <f>IMAGE("file:///E:/Estudios%20y%20certificaciones/ESTUDIOS%20DE%20PROGRAMMING/PROGRAMMING/PERSONAL/PYTHON/Image_Generator_API/imagenes/T_TAHARI_6621069_BLK_1.jpg")</f>
        <v/>
      </c>
      <c r="M4815">
        <f>IMAGE("file:///E:/Estudios%20y%20certificaciones/ESTUDIOS%20DE%20PROGRAMMING/PROGRAMMING/PERSONAL/PYTHON/Image_Generator_API/imagenes/T_TAHARI_6621069_BLK_2.jpg")</f>
        <v/>
      </c>
      <c r="N4815">
        <f>IMAGE("file:///E:/Estudios%20y%20certificaciones/ESTUDIOS%20DE%20PROGRAMMING/PROGRAMMING/PERSONAL/PYTHON/Image_Generator_API/imagenes/T_TAHARI_6621069_BLK_3.jpg")</f>
        <v/>
      </c>
      <c r="O4815">
        <f>HYPERLINK("imagenes/T_TAHARI_6621069_BLK_1.jpg","Ver imagen")</f>
        <v/>
      </c>
      <c r="P4815">
        <f>HYPERLINK("imagenes/T_TAHARI_6621069_BLK_2.jpg","Ver imagen")</f>
        <v/>
      </c>
      <c r="Q4815">
        <f>HYPERLINK("imagenes/T_TAHARI_6621069_BLK_3.jpg","Ver imagen")</f>
        <v/>
      </c>
    </row>
    <row r="4816">
      <c r="A4816" t="inlineStr">
        <is>
          <t>T TAHARI</t>
        </is>
      </c>
      <c r="B4816" t="inlineStr">
        <is>
          <t>6621069</t>
        </is>
      </c>
      <c r="C4816" t="inlineStr">
        <is>
          <t>DANA</t>
        </is>
      </c>
      <c r="D4816" t="inlineStr">
        <is>
          <t>BLK</t>
        </is>
      </c>
      <c r="E4816" t="inlineStr">
        <is>
          <t>(en blanco)</t>
        </is>
      </c>
      <c r="F4816" t="inlineStr">
        <is>
          <t>(en blanco)</t>
        </is>
      </c>
      <c r="G4816" t="inlineStr">
        <is>
          <t>XS</t>
        </is>
      </c>
      <c r="H4816" t="n">
        <v>258</v>
      </c>
      <c r="I4816" t="inlineStr">
        <is>
          <t>T_TAHARI_6621069_BLK_1.jpg</t>
        </is>
      </c>
      <c r="J4816" t="inlineStr">
        <is>
          <t>T_TAHARI_6621069_BLK_2.jpg</t>
        </is>
      </c>
      <c r="K4816" t="inlineStr">
        <is>
          <t>T_TAHARI_6621069_BLK_3.jpg</t>
        </is>
      </c>
      <c r="L4816">
        <f>IMAGE("file:///E:/Estudios%20y%20certificaciones/ESTUDIOS%20DE%20PROGRAMMING/PROGRAMMING/PERSONAL/PYTHON/Image_Generator_API/imagenes/T_TAHARI_6621069_BLK_1.jpg")</f>
        <v/>
      </c>
      <c r="M4816">
        <f>IMAGE("file:///E:/Estudios%20y%20certificaciones/ESTUDIOS%20DE%20PROGRAMMING/PROGRAMMING/PERSONAL/PYTHON/Image_Generator_API/imagenes/T_TAHARI_6621069_BLK_2.jpg")</f>
        <v/>
      </c>
      <c r="N4816">
        <f>IMAGE("file:///E:/Estudios%20y%20certificaciones/ESTUDIOS%20DE%20PROGRAMMING/PROGRAMMING/PERSONAL/PYTHON/Image_Generator_API/imagenes/T_TAHARI_6621069_BLK_3.jpg")</f>
        <v/>
      </c>
      <c r="O4816">
        <f>HYPERLINK("imagenes/T_TAHARI_6621069_BLK_1.jpg","Ver imagen")</f>
        <v/>
      </c>
      <c r="P4816">
        <f>HYPERLINK("imagenes/T_TAHARI_6621069_BLK_2.jpg","Ver imagen")</f>
        <v/>
      </c>
      <c r="Q4816">
        <f>HYPERLINK("imagenes/T_TAHARI_6621069_BLK_3.jpg","Ver imagen")</f>
        <v/>
      </c>
    </row>
    <row r="4817">
      <c r="A4817" t="inlineStr">
        <is>
          <t>T TAHARI</t>
        </is>
      </c>
      <c r="B4817" t="inlineStr">
        <is>
          <t>6621069</t>
        </is>
      </c>
      <c r="C4817" t="inlineStr">
        <is>
          <t>DANA</t>
        </is>
      </c>
      <c r="D4817" t="inlineStr">
        <is>
          <t>BLK</t>
        </is>
      </c>
      <c r="E4817" t="inlineStr">
        <is>
          <t>(en blanco)</t>
        </is>
      </c>
      <c r="F4817" t="inlineStr">
        <is>
          <t>(en blanco)</t>
        </is>
      </c>
      <c r="G4817" t="inlineStr">
        <is>
          <t>S</t>
        </is>
      </c>
      <c r="H4817" t="n">
        <v>367</v>
      </c>
      <c r="I4817" t="inlineStr">
        <is>
          <t>T_TAHARI_6621069_BLK_1.jpg</t>
        </is>
      </c>
      <c r="J4817" t="inlineStr">
        <is>
          <t>T_TAHARI_6621069_BLK_2.jpg</t>
        </is>
      </c>
      <c r="K4817" t="inlineStr">
        <is>
          <t>T_TAHARI_6621069_BLK_3.jpg</t>
        </is>
      </c>
      <c r="L4817">
        <f>IMAGE("file:///E:/Estudios%20y%20certificaciones/ESTUDIOS%20DE%20PROGRAMMING/PROGRAMMING/PERSONAL/PYTHON/Image_Generator_API/imagenes/T_TAHARI_6621069_BLK_1.jpg")</f>
        <v/>
      </c>
      <c r="M4817">
        <f>IMAGE("file:///E:/Estudios%20y%20certificaciones/ESTUDIOS%20DE%20PROGRAMMING/PROGRAMMING/PERSONAL/PYTHON/Image_Generator_API/imagenes/T_TAHARI_6621069_BLK_2.jpg")</f>
        <v/>
      </c>
      <c r="N4817">
        <f>IMAGE("file:///E:/Estudios%20y%20certificaciones/ESTUDIOS%20DE%20PROGRAMMING/PROGRAMMING/PERSONAL/PYTHON/Image_Generator_API/imagenes/T_TAHARI_6621069_BLK_3.jpg")</f>
        <v/>
      </c>
      <c r="O4817">
        <f>HYPERLINK("imagenes/T_TAHARI_6621069_BLK_1.jpg","Ver imagen")</f>
        <v/>
      </c>
      <c r="P4817">
        <f>HYPERLINK("imagenes/T_TAHARI_6621069_BLK_2.jpg","Ver imagen")</f>
        <v/>
      </c>
      <c r="Q4817">
        <f>HYPERLINK("imagenes/T_TAHARI_6621069_BLK_3.jpg","Ver imagen")</f>
        <v/>
      </c>
    </row>
    <row r="4818">
      <c r="A4818" t="inlineStr">
        <is>
          <t>T TAHARI</t>
        </is>
      </c>
      <c r="B4818" t="inlineStr">
        <is>
          <t>6621069</t>
        </is>
      </c>
      <c r="C4818" t="inlineStr">
        <is>
          <t>DANA</t>
        </is>
      </c>
      <c r="D4818" t="inlineStr">
        <is>
          <t>BLK</t>
        </is>
      </c>
      <c r="E4818" t="inlineStr">
        <is>
          <t>(en blanco)</t>
        </is>
      </c>
      <c r="F4818" t="inlineStr">
        <is>
          <t>(en blanco)</t>
        </is>
      </c>
      <c r="G4818" t="inlineStr">
        <is>
          <t>M</t>
        </is>
      </c>
      <c r="H4818" t="n">
        <v>367</v>
      </c>
      <c r="I4818" t="inlineStr">
        <is>
          <t>T_TAHARI_6621069_BLK_1.jpg</t>
        </is>
      </c>
      <c r="J4818" t="inlineStr">
        <is>
          <t>T_TAHARI_6621069_BLK_2.jpg</t>
        </is>
      </c>
      <c r="K4818" t="inlineStr">
        <is>
          <t>T_TAHARI_6621069_BLK_3.jpg</t>
        </is>
      </c>
      <c r="L4818">
        <f>IMAGE("file:///E:/Estudios%20y%20certificaciones/ESTUDIOS%20DE%20PROGRAMMING/PROGRAMMING/PERSONAL/PYTHON/Image_Generator_API/imagenes/T_TAHARI_6621069_BLK_1.jpg")</f>
        <v/>
      </c>
      <c r="M4818">
        <f>IMAGE("file:///E:/Estudios%20y%20certificaciones/ESTUDIOS%20DE%20PROGRAMMING/PROGRAMMING/PERSONAL/PYTHON/Image_Generator_API/imagenes/T_TAHARI_6621069_BLK_2.jpg")</f>
        <v/>
      </c>
      <c r="N4818">
        <f>IMAGE("file:///E:/Estudios%20y%20certificaciones/ESTUDIOS%20DE%20PROGRAMMING/PROGRAMMING/PERSONAL/PYTHON/Image_Generator_API/imagenes/T_TAHARI_6621069_BLK_3.jpg")</f>
        <v/>
      </c>
      <c r="O4818">
        <f>HYPERLINK("imagenes/T_TAHARI_6621069_BLK_1.jpg","Ver imagen")</f>
        <v/>
      </c>
      <c r="P4818">
        <f>HYPERLINK("imagenes/T_TAHARI_6621069_BLK_2.jpg","Ver imagen")</f>
        <v/>
      </c>
      <c r="Q4818">
        <f>HYPERLINK("imagenes/T_TAHARI_6621069_BLK_3.jpg","Ver imagen")</f>
        <v/>
      </c>
    </row>
    <row r="4819">
      <c r="A4819" t="inlineStr">
        <is>
          <t>T TAHARI</t>
        </is>
      </c>
      <c r="B4819" t="inlineStr">
        <is>
          <t>6621069</t>
        </is>
      </c>
      <c r="C4819" t="inlineStr">
        <is>
          <t>DANA</t>
        </is>
      </c>
      <c r="D4819" t="inlineStr">
        <is>
          <t>BLK</t>
        </is>
      </c>
      <c r="E4819" t="inlineStr">
        <is>
          <t>(en blanco)</t>
        </is>
      </c>
      <c r="F4819" t="inlineStr">
        <is>
          <t>(en blanco)</t>
        </is>
      </c>
      <c r="G4819" t="inlineStr">
        <is>
          <t>L</t>
        </is>
      </c>
      <c r="H4819" t="n">
        <v>414</v>
      </c>
      <c r="I4819" t="inlineStr">
        <is>
          <t>T_TAHARI_6621069_BLK_1.jpg</t>
        </is>
      </c>
      <c r="J4819" t="inlineStr">
        <is>
          <t>T_TAHARI_6621069_BLK_2.jpg</t>
        </is>
      </c>
      <c r="K4819" t="inlineStr">
        <is>
          <t>T_TAHARI_6621069_BLK_3.jpg</t>
        </is>
      </c>
      <c r="L4819">
        <f>IMAGE("file:///E:/Estudios%20y%20certificaciones/ESTUDIOS%20DE%20PROGRAMMING/PROGRAMMING/PERSONAL/PYTHON/Image_Generator_API/imagenes/T_TAHARI_6621069_BLK_1.jpg")</f>
        <v/>
      </c>
      <c r="M4819">
        <f>IMAGE("file:///E:/Estudios%20y%20certificaciones/ESTUDIOS%20DE%20PROGRAMMING/PROGRAMMING/PERSONAL/PYTHON/Image_Generator_API/imagenes/T_TAHARI_6621069_BLK_2.jpg")</f>
        <v/>
      </c>
      <c r="N4819">
        <f>IMAGE("file:///E:/Estudios%20y%20certificaciones/ESTUDIOS%20DE%20PROGRAMMING/PROGRAMMING/PERSONAL/PYTHON/Image_Generator_API/imagenes/T_TAHARI_6621069_BLK_3.jpg")</f>
        <v/>
      </c>
      <c r="O4819">
        <f>HYPERLINK("imagenes/T_TAHARI_6621069_BLK_1.jpg","Ver imagen")</f>
        <v/>
      </c>
      <c r="P4819">
        <f>HYPERLINK("imagenes/T_TAHARI_6621069_BLK_2.jpg","Ver imagen")</f>
        <v/>
      </c>
      <c r="Q4819">
        <f>HYPERLINK("imagenes/T_TAHARI_6621069_BLK_3.jpg","Ver imagen")</f>
        <v/>
      </c>
    </row>
    <row r="4820">
      <c r="A4820" t="inlineStr">
        <is>
          <t>T TAHARI</t>
        </is>
      </c>
      <c r="B4820" t="inlineStr">
        <is>
          <t>6621069</t>
        </is>
      </c>
      <c r="C4820" t="inlineStr">
        <is>
          <t>DANA</t>
        </is>
      </c>
      <c r="D4820" t="inlineStr">
        <is>
          <t>BLK</t>
        </is>
      </c>
      <c r="E4820" t="inlineStr">
        <is>
          <t>(en blanco)</t>
        </is>
      </c>
      <c r="F4820" t="inlineStr">
        <is>
          <t>(en blanco)</t>
        </is>
      </c>
      <c r="G4820" t="inlineStr">
        <is>
          <t>XL</t>
        </is>
      </c>
      <c r="H4820" t="n">
        <v>157</v>
      </c>
      <c r="I4820" t="inlineStr">
        <is>
          <t>T_TAHARI_6621069_BLK_1.jpg</t>
        </is>
      </c>
      <c r="J4820" t="inlineStr">
        <is>
          <t>T_TAHARI_6621069_BLK_2.jpg</t>
        </is>
      </c>
      <c r="K4820" t="inlineStr">
        <is>
          <t>T_TAHARI_6621069_BLK_3.jpg</t>
        </is>
      </c>
      <c r="L4820">
        <f>IMAGE("file:///E:/Estudios%20y%20certificaciones/ESTUDIOS%20DE%20PROGRAMMING/PROGRAMMING/PERSONAL/PYTHON/Image_Generator_API/imagenes/T_TAHARI_6621069_BLK_1.jpg")</f>
        <v/>
      </c>
      <c r="M4820">
        <f>IMAGE("file:///E:/Estudios%20y%20certificaciones/ESTUDIOS%20DE%20PROGRAMMING/PROGRAMMING/PERSONAL/PYTHON/Image_Generator_API/imagenes/T_TAHARI_6621069_BLK_2.jpg")</f>
        <v/>
      </c>
      <c r="N4820">
        <f>IMAGE("file:///E:/Estudios%20y%20certificaciones/ESTUDIOS%20DE%20PROGRAMMING/PROGRAMMING/PERSONAL/PYTHON/Image_Generator_API/imagenes/T_TAHARI_6621069_BLK_3.jpg")</f>
        <v/>
      </c>
      <c r="O4820">
        <f>HYPERLINK("imagenes/T_TAHARI_6621069_BLK_1.jpg","Ver imagen")</f>
        <v/>
      </c>
      <c r="P4820">
        <f>HYPERLINK("imagenes/T_TAHARI_6621069_BLK_2.jpg","Ver imagen")</f>
        <v/>
      </c>
      <c r="Q4820">
        <f>HYPERLINK("imagenes/T_TAHARI_6621069_BLK_3.jpg","Ver imagen")</f>
        <v/>
      </c>
    </row>
    <row r="4821">
      <c r="A4821" t="inlineStr">
        <is>
          <t>T TAHARI</t>
        </is>
      </c>
      <c r="B4821" t="inlineStr">
        <is>
          <t>6621069</t>
        </is>
      </c>
      <c r="C4821" t="inlineStr">
        <is>
          <t>DANA</t>
        </is>
      </c>
      <c r="D4821" t="inlineStr">
        <is>
          <t>BLK</t>
        </is>
      </c>
      <c r="E4821" t="inlineStr">
        <is>
          <t>(en blanco)</t>
        </is>
      </c>
      <c r="F4821" t="inlineStr">
        <is>
          <t>(en blanco)</t>
        </is>
      </c>
      <c r="G4821" t="inlineStr">
        <is>
          <t>XXS</t>
        </is>
      </c>
      <c r="H4821" t="n">
        <v>5</v>
      </c>
      <c r="I4821" t="inlineStr">
        <is>
          <t>T_TAHARI_6621069_BLK_1.jpg</t>
        </is>
      </c>
      <c r="J4821" t="inlineStr">
        <is>
          <t>T_TAHARI_6621069_BLK_2.jpg</t>
        </is>
      </c>
      <c r="K4821" t="inlineStr">
        <is>
          <t>T_TAHARI_6621069_BLK_3.jpg</t>
        </is>
      </c>
      <c r="L4821">
        <f>IMAGE("file:///E:/Estudios%20y%20certificaciones/ESTUDIOS%20DE%20PROGRAMMING/PROGRAMMING/PERSONAL/PYTHON/Image_Generator_API/imagenes/T_TAHARI_6621069_BLK_1.jpg")</f>
        <v/>
      </c>
      <c r="M4821">
        <f>IMAGE("file:///E:/Estudios%20y%20certificaciones/ESTUDIOS%20DE%20PROGRAMMING/PROGRAMMING/PERSONAL/PYTHON/Image_Generator_API/imagenes/T_TAHARI_6621069_BLK_2.jpg")</f>
        <v/>
      </c>
      <c r="N4821">
        <f>IMAGE("file:///E:/Estudios%20y%20certificaciones/ESTUDIOS%20DE%20PROGRAMMING/PROGRAMMING/PERSONAL/PYTHON/Image_Generator_API/imagenes/T_TAHARI_6621069_BLK_3.jpg")</f>
        <v/>
      </c>
      <c r="O4821">
        <f>HYPERLINK("imagenes/T_TAHARI_6621069_BLK_1.jpg","Ver imagen")</f>
        <v/>
      </c>
      <c r="P4821">
        <f>HYPERLINK("imagenes/T_TAHARI_6621069_BLK_2.jpg","Ver imagen")</f>
        <v/>
      </c>
      <c r="Q4821">
        <f>HYPERLINK("imagenes/T_TAHARI_6621069_BLK_3.jpg","Ver imagen")</f>
        <v/>
      </c>
    </row>
    <row r="4822">
      <c r="A4822" t="inlineStr">
        <is>
          <t>T TAHARI</t>
        </is>
      </c>
      <c r="B4822" t="inlineStr">
        <is>
          <t>6621069</t>
        </is>
      </c>
      <c r="C4822" t="inlineStr">
        <is>
          <t>DANA</t>
        </is>
      </c>
      <c r="D4822" t="inlineStr">
        <is>
          <t>CHO</t>
        </is>
      </c>
      <c r="E4822" t="inlineStr">
        <is>
          <t>07S02</t>
        </is>
      </c>
      <c r="F4822" t="inlineStr">
        <is>
          <t>B2230</t>
        </is>
      </c>
      <c r="G4822" t="inlineStr">
        <is>
          <t>AST</t>
        </is>
      </c>
      <c r="H4822" t="n">
        <v>0</v>
      </c>
      <c r="I4822" t="inlineStr">
        <is>
          <t>T_TAHARI_6621069_CHO_2.jpg</t>
        </is>
      </c>
      <c r="J4822" t="inlineStr">
        <is>
          <t>T_TAHARI_6621069_CHO_3.jpg</t>
        </is>
      </c>
      <c r="L4822">
        <f>IMAGE("file:///E:/Estudios%20y%20certificaciones/ESTUDIOS%20DE%20PROGRAMMING/PROGRAMMING/PERSONAL/PYTHON/Image_Generator_API/imagenes/T_TAHARI_6621069_CHO_2.jpg")</f>
        <v/>
      </c>
      <c r="M4822">
        <f>IMAGE("file:///E:/Estudios%20y%20certificaciones/ESTUDIOS%20DE%20PROGRAMMING/PROGRAMMING/PERSONAL/PYTHON/Image_Generator_API/imagenes/T_TAHARI_6621069_CHO_3.jpg")</f>
        <v/>
      </c>
      <c r="O4822">
        <f>HYPERLINK("imagenes/T_TAHARI_6621069_CHO_2.jpg","Ver imagen")</f>
        <v/>
      </c>
      <c r="P4822">
        <f>HYPERLINK("imagenes/T_TAHARI_6621069_CHO_3.jpg","Ver imagen")</f>
        <v/>
      </c>
    </row>
    <row r="4823">
      <c r="A4823" t="inlineStr">
        <is>
          <t>T TAHARI</t>
        </is>
      </c>
      <c r="B4823" t="inlineStr">
        <is>
          <t>6621069</t>
        </is>
      </c>
      <c r="C4823" t="inlineStr">
        <is>
          <t>DANA</t>
        </is>
      </c>
      <c r="D4823" t="inlineStr">
        <is>
          <t>CHO</t>
        </is>
      </c>
      <c r="E4823" t="inlineStr">
        <is>
          <t>(en blanco)</t>
        </is>
      </c>
      <c r="F4823" t="inlineStr">
        <is>
          <t>D2C</t>
        </is>
      </c>
      <c r="G4823" t="inlineStr">
        <is>
          <t>XS</t>
        </is>
      </c>
      <c r="H4823" t="n">
        <v>22</v>
      </c>
      <c r="I4823" t="inlineStr">
        <is>
          <t>T_TAHARI_6621069_CHO_2.jpg</t>
        </is>
      </c>
      <c r="J4823" t="inlineStr">
        <is>
          <t>T_TAHARI_6621069_CHO_3.jpg</t>
        </is>
      </c>
      <c r="L4823">
        <f>IMAGE("file:///E:/Estudios%20y%20certificaciones/ESTUDIOS%20DE%20PROGRAMMING/PROGRAMMING/PERSONAL/PYTHON/Image_Generator_API/imagenes/T_TAHARI_6621069_CHO_2.jpg")</f>
        <v/>
      </c>
      <c r="M4823">
        <f>IMAGE("file:///E:/Estudios%20y%20certificaciones/ESTUDIOS%20DE%20PROGRAMMING/PROGRAMMING/PERSONAL/PYTHON/Image_Generator_API/imagenes/T_TAHARI_6621069_CHO_3.jpg")</f>
        <v/>
      </c>
      <c r="O4823">
        <f>HYPERLINK("imagenes/T_TAHARI_6621069_CHO_2.jpg","Ver imagen")</f>
        <v/>
      </c>
      <c r="P4823">
        <f>HYPERLINK("imagenes/T_TAHARI_6621069_CHO_3.jpg","Ver imagen")</f>
        <v/>
      </c>
    </row>
    <row r="4824">
      <c r="A4824" t="inlineStr">
        <is>
          <t>T TAHARI</t>
        </is>
      </c>
      <c r="B4824" t="inlineStr">
        <is>
          <t>6621069</t>
        </is>
      </c>
      <c r="C4824" t="inlineStr">
        <is>
          <t>DANA</t>
        </is>
      </c>
      <c r="D4824" t="inlineStr">
        <is>
          <t>CHO</t>
        </is>
      </c>
      <c r="E4824" t="inlineStr">
        <is>
          <t>(en blanco)</t>
        </is>
      </c>
      <c r="F4824" t="inlineStr">
        <is>
          <t>M1155</t>
        </is>
      </c>
      <c r="G4824" t="inlineStr">
        <is>
          <t>XS</t>
        </is>
      </c>
      <c r="H4824" t="n">
        <v>7</v>
      </c>
      <c r="I4824" t="inlineStr">
        <is>
          <t>T_TAHARI_6621069_CHO_2.jpg</t>
        </is>
      </c>
      <c r="J4824" t="inlineStr">
        <is>
          <t>T_TAHARI_6621069_CHO_3.jpg</t>
        </is>
      </c>
      <c r="L4824">
        <f>IMAGE("file:///E:/Estudios%20y%20certificaciones/ESTUDIOS%20DE%20PROGRAMMING/PROGRAMMING/PERSONAL/PYTHON/Image_Generator_API/imagenes/T_TAHARI_6621069_CHO_2.jpg")</f>
        <v/>
      </c>
      <c r="M4824">
        <f>IMAGE("file:///E:/Estudios%20y%20certificaciones/ESTUDIOS%20DE%20PROGRAMMING/PROGRAMMING/PERSONAL/PYTHON/Image_Generator_API/imagenes/T_TAHARI_6621069_CHO_3.jpg")</f>
        <v/>
      </c>
      <c r="O4824">
        <f>HYPERLINK("imagenes/T_TAHARI_6621069_CHO_2.jpg","Ver imagen")</f>
        <v/>
      </c>
      <c r="P4824">
        <f>HYPERLINK("imagenes/T_TAHARI_6621069_CHO_3.jpg","Ver imagen")</f>
        <v/>
      </c>
    </row>
    <row r="4825">
      <c r="A4825" t="inlineStr">
        <is>
          <t>T TAHARI</t>
        </is>
      </c>
      <c r="B4825" t="inlineStr">
        <is>
          <t>6621069</t>
        </is>
      </c>
      <c r="C4825" t="inlineStr">
        <is>
          <t>DANA</t>
        </is>
      </c>
      <c r="D4825" t="inlineStr">
        <is>
          <t>CHO</t>
        </is>
      </c>
      <c r="E4825" t="inlineStr">
        <is>
          <t>(en blanco)</t>
        </is>
      </c>
      <c r="F4825" t="inlineStr">
        <is>
          <t>M1155</t>
        </is>
      </c>
      <c r="G4825" t="inlineStr">
        <is>
          <t>S</t>
        </is>
      </c>
      <c r="H4825" t="n">
        <v>12</v>
      </c>
      <c r="I4825" t="inlineStr">
        <is>
          <t>T_TAHARI_6621069_CHO_2.jpg</t>
        </is>
      </c>
      <c r="J4825" t="inlineStr">
        <is>
          <t>T_TAHARI_6621069_CHO_3.jpg</t>
        </is>
      </c>
      <c r="L4825">
        <f>IMAGE("file:///E:/Estudios%20y%20certificaciones/ESTUDIOS%20DE%20PROGRAMMING/PROGRAMMING/PERSONAL/PYTHON/Image_Generator_API/imagenes/T_TAHARI_6621069_CHO_2.jpg")</f>
        <v/>
      </c>
      <c r="M4825">
        <f>IMAGE("file:///E:/Estudios%20y%20certificaciones/ESTUDIOS%20DE%20PROGRAMMING/PROGRAMMING/PERSONAL/PYTHON/Image_Generator_API/imagenes/T_TAHARI_6621069_CHO_3.jpg")</f>
        <v/>
      </c>
      <c r="O4825">
        <f>HYPERLINK("imagenes/T_TAHARI_6621069_CHO_2.jpg","Ver imagen")</f>
        <v/>
      </c>
      <c r="P4825">
        <f>HYPERLINK("imagenes/T_TAHARI_6621069_CHO_3.jpg","Ver imagen")</f>
        <v/>
      </c>
    </row>
    <row r="4826">
      <c r="A4826" t="inlineStr">
        <is>
          <t>T TAHARI</t>
        </is>
      </c>
      <c r="B4826" t="inlineStr">
        <is>
          <t>6621069</t>
        </is>
      </c>
      <c r="C4826" t="inlineStr">
        <is>
          <t>DANA</t>
        </is>
      </c>
      <c r="D4826" t="inlineStr">
        <is>
          <t>CHO</t>
        </is>
      </c>
      <c r="E4826" t="inlineStr">
        <is>
          <t>(en blanco)</t>
        </is>
      </c>
      <c r="F4826" t="inlineStr">
        <is>
          <t>M1155</t>
        </is>
      </c>
      <c r="G4826" t="inlineStr">
        <is>
          <t>M</t>
        </is>
      </c>
      <c r="H4826" t="n">
        <v>42</v>
      </c>
      <c r="I4826" t="inlineStr">
        <is>
          <t>T_TAHARI_6621069_CHO_2.jpg</t>
        </is>
      </c>
      <c r="J4826" t="inlineStr">
        <is>
          <t>T_TAHARI_6621069_CHO_3.jpg</t>
        </is>
      </c>
      <c r="L4826">
        <f>IMAGE("file:///E:/Estudios%20y%20certificaciones/ESTUDIOS%20DE%20PROGRAMMING/PROGRAMMING/PERSONAL/PYTHON/Image_Generator_API/imagenes/T_TAHARI_6621069_CHO_2.jpg")</f>
        <v/>
      </c>
      <c r="M4826">
        <f>IMAGE("file:///E:/Estudios%20y%20certificaciones/ESTUDIOS%20DE%20PROGRAMMING/PROGRAMMING/PERSONAL/PYTHON/Image_Generator_API/imagenes/T_TAHARI_6621069_CHO_3.jpg")</f>
        <v/>
      </c>
      <c r="O4826">
        <f>HYPERLINK("imagenes/T_TAHARI_6621069_CHO_2.jpg","Ver imagen")</f>
        <v/>
      </c>
      <c r="P4826">
        <f>HYPERLINK("imagenes/T_TAHARI_6621069_CHO_3.jpg","Ver imagen")</f>
        <v/>
      </c>
    </row>
    <row r="4827">
      <c r="A4827" t="inlineStr">
        <is>
          <t>T TAHARI</t>
        </is>
      </c>
      <c r="B4827" t="inlineStr">
        <is>
          <t>6621069</t>
        </is>
      </c>
      <c r="C4827" t="inlineStr">
        <is>
          <t>DANA</t>
        </is>
      </c>
      <c r="D4827" t="inlineStr">
        <is>
          <t>CHO</t>
        </is>
      </c>
      <c r="E4827" t="inlineStr">
        <is>
          <t>(en blanco)</t>
        </is>
      </c>
      <c r="F4827" t="inlineStr">
        <is>
          <t>M1155</t>
        </is>
      </c>
      <c r="G4827" t="inlineStr">
        <is>
          <t>L</t>
        </is>
      </c>
      <c r="H4827" t="n">
        <v>36</v>
      </c>
      <c r="I4827" t="inlineStr">
        <is>
          <t>T_TAHARI_6621069_CHO_2.jpg</t>
        </is>
      </c>
      <c r="J4827" t="inlineStr">
        <is>
          <t>T_TAHARI_6621069_CHO_3.jpg</t>
        </is>
      </c>
      <c r="L4827">
        <f>IMAGE("file:///E:/Estudios%20y%20certificaciones/ESTUDIOS%20DE%20PROGRAMMING/PROGRAMMING/PERSONAL/PYTHON/Image_Generator_API/imagenes/T_TAHARI_6621069_CHO_2.jpg")</f>
        <v/>
      </c>
      <c r="M4827">
        <f>IMAGE("file:///E:/Estudios%20y%20certificaciones/ESTUDIOS%20DE%20PROGRAMMING/PROGRAMMING/PERSONAL/PYTHON/Image_Generator_API/imagenes/T_TAHARI_6621069_CHO_3.jpg")</f>
        <v/>
      </c>
      <c r="O4827">
        <f>HYPERLINK("imagenes/T_TAHARI_6621069_CHO_2.jpg","Ver imagen")</f>
        <v/>
      </c>
      <c r="P4827">
        <f>HYPERLINK("imagenes/T_TAHARI_6621069_CHO_3.jpg","Ver imagen")</f>
        <v/>
      </c>
    </row>
    <row r="4828">
      <c r="A4828" t="inlineStr">
        <is>
          <t>T TAHARI</t>
        </is>
      </c>
      <c r="B4828" t="inlineStr">
        <is>
          <t>6621069</t>
        </is>
      </c>
      <c r="C4828" t="inlineStr">
        <is>
          <t>DANA</t>
        </is>
      </c>
      <c r="D4828" t="inlineStr">
        <is>
          <t>CHO</t>
        </is>
      </c>
      <c r="E4828" t="inlineStr">
        <is>
          <t>(en blanco)</t>
        </is>
      </c>
      <c r="F4828" t="inlineStr">
        <is>
          <t>M1155</t>
        </is>
      </c>
      <c r="G4828" t="inlineStr">
        <is>
          <t>XL</t>
        </is>
      </c>
      <c r="H4828" t="n">
        <v>29</v>
      </c>
      <c r="I4828" t="inlineStr">
        <is>
          <t>T_TAHARI_6621069_CHO_2.jpg</t>
        </is>
      </c>
      <c r="J4828" t="inlineStr">
        <is>
          <t>T_TAHARI_6621069_CHO_3.jpg</t>
        </is>
      </c>
      <c r="L4828">
        <f>IMAGE("file:///E:/Estudios%20y%20certificaciones/ESTUDIOS%20DE%20PROGRAMMING/PROGRAMMING/PERSONAL/PYTHON/Image_Generator_API/imagenes/T_TAHARI_6621069_CHO_2.jpg")</f>
        <v/>
      </c>
      <c r="M4828">
        <f>IMAGE("file:///E:/Estudios%20y%20certificaciones/ESTUDIOS%20DE%20PROGRAMMING/PROGRAMMING/PERSONAL/PYTHON/Image_Generator_API/imagenes/T_TAHARI_6621069_CHO_3.jpg")</f>
        <v/>
      </c>
      <c r="O4828">
        <f>HYPERLINK("imagenes/T_TAHARI_6621069_CHO_2.jpg","Ver imagen")</f>
        <v/>
      </c>
      <c r="P4828">
        <f>HYPERLINK("imagenes/T_TAHARI_6621069_CHO_3.jpg","Ver imagen")</f>
        <v/>
      </c>
    </row>
    <row r="4829">
      <c r="A4829" t="inlineStr">
        <is>
          <t>T TAHARI</t>
        </is>
      </c>
      <c r="B4829" t="inlineStr">
        <is>
          <t>6621069</t>
        </is>
      </c>
      <c r="C4829" t="inlineStr">
        <is>
          <t>DANA</t>
        </is>
      </c>
      <c r="D4829" t="inlineStr">
        <is>
          <t>CHO</t>
        </is>
      </c>
      <c r="E4829" t="inlineStr">
        <is>
          <t>(en blanco)</t>
        </is>
      </c>
      <c r="F4829" t="inlineStr">
        <is>
          <t>M1155</t>
        </is>
      </c>
      <c r="G4829" t="inlineStr">
        <is>
          <t>XXL</t>
        </is>
      </c>
      <c r="H4829" t="n">
        <v>15</v>
      </c>
      <c r="I4829" t="inlineStr">
        <is>
          <t>T_TAHARI_6621069_CHO_2.jpg</t>
        </is>
      </c>
      <c r="J4829" t="inlineStr">
        <is>
          <t>T_TAHARI_6621069_CHO_3.jpg</t>
        </is>
      </c>
      <c r="L4829">
        <f>IMAGE("file:///E:/Estudios%20y%20certificaciones/ESTUDIOS%20DE%20PROGRAMMING/PROGRAMMING/PERSONAL/PYTHON/Image_Generator_API/imagenes/T_TAHARI_6621069_CHO_2.jpg")</f>
        <v/>
      </c>
      <c r="M4829">
        <f>IMAGE("file:///E:/Estudios%20y%20certificaciones/ESTUDIOS%20DE%20PROGRAMMING/PROGRAMMING/PERSONAL/PYTHON/Image_Generator_API/imagenes/T_TAHARI_6621069_CHO_3.jpg")</f>
        <v/>
      </c>
      <c r="O4829">
        <f>HYPERLINK("imagenes/T_TAHARI_6621069_CHO_2.jpg","Ver imagen")</f>
        <v/>
      </c>
      <c r="P4829">
        <f>HYPERLINK("imagenes/T_TAHARI_6621069_CHO_3.jpg","Ver imagen")</f>
        <v/>
      </c>
    </row>
    <row r="4830">
      <c r="A4830" t="inlineStr">
        <is>
          <t>T TAHARI</t>
        </is>
      </c>
      <c r="B4830" t="inlineStr">
        <is>
          <t>6621069</t>
        </is>
      </c>
      <c r="C4830" t="inlineStr">
        <is>
          <t>DANA</t>
        </is>
      </c>
      <c r="D4830" t="inlineStr">
        <is>
          <t>CHO</t>
        </is>
      </c>
      <c r="E4830" t="inlineStr">
        <is>
          <t>(en blanco)</t>
        </is>
      </c>
      <c r="F4830" t="inlineStr">
        <is>
          <t>M1155</t>
        </is>
      </c>
      <c r="G4830" t="inlineStr">
        <is>
          <t>XXS</t>
        </is>
      </c>
      <c r="H4830" t="n">
        <v>1</v>
      </c>
      <c r="I4830" t="inlineStr">
        <is>
          <t>T_TAHARI_6621069_CHO_2.jpg</t>
        </is>
      </c>
      <c r="J4830" t="inlineStr">
        <is>
          <t>T_TAHARI_6621069_CHO_3.jpg</t>
        </is>
      </c>
      <c r="L4830">
        <f>IMAGE("file:///E:/Estudios%20y%20certificaciones/ESTUDIOS%20DE%20PROGRAMMING/PROGRAMMING/PERSONAL/PYTHON/Image_Generator_API/imagenes/T_TAHARI_6621069_CHO_2.jpg")</f>
        <v/>
      </c>
      <c r="M4830">
        <f>IMAGE("file:///E:/Estudios%20y%20certificaciones/ESTUDIOS%20DE%20PROGRAMMING/PROGRAMMING/PERSONAL/PYTHON/Image_Generator_API/imagenes/T_TAHARI_6621069_CHO_3.jpg")</f>
        <v/>
      </c>
      <c r="O4830">
        <f>HYPERLINK("imagenes/T_TAHARI_6621069_CHO_2.jpg","Ver imagen")</f>
        <v/>
      </c>
      <c r="P4830">
        <f>HYPERLINK("imagenes/T_TAHARI_6621069_CHO_3.jpg","Ver imagen")</f>
        <v/>
      </c>
    </row>
    <row r="4831">
      <c r="A4831" t="inlineStr">
        <is>
          <t>T TAHARI</t>
        </is>
      </c>
      <c r="B4831" t="inlineStr">
        <is>
          <t>6621069</t>
        </is>
      </c>
      <c r="C4831" t="inlineStr">
        <is>
          <t>DANA</t>
        </is>
      </c>
      <c r="D4831" t="inlineStr">
        <is>
          <t>CHO</t>
        </is>
      </c>
      <c r="E4831" t="inlineStr">
        <is>
          <t>(en blanco)</t>
        </is>
      </c>
      <c r="F4831" t="inlineStr">
        <is>
          <t>(en blanco)</t>
        </is>
      </c>
      <c r="G4831" t="inlineStr">
        <is>
          <t>XS</t>
        </is>
      </c>
      <c r="H4831" t="n">
        <v>229</v>
      </c>
      <c r="I4831" t="inlineStr">
        <is>
          <t>T_TAHARI_6621069_CHO_2.jpg</t>
        </is>
      </c>
      <c r="J4831" t="inlineStr">
        <is>
          <t>T_TAHARI_6621069_CHO_3.jpg</t>
        </is>
      </c>
      <c r="L4831">
        <f>IMAGE("file:///E:/Estudios%20y%20certificaciones/ESTUDIOS%20DE%20PROGRAMMING/PROGRAMMING/PERSONAL/PYTHON/Image_Generator_API/imagenes/T_TAHARI_6621069_CHO_2.jpg")</f>
        <v/>
      </c>
      <c r="M4831">
        <f>IMAGE("file:///E:/Estudios%20y%20certificaciones/ESTUDIOS%20DE%20PROGRAMMING/PROGRAMMING/PERSONAL/PYTHON/Image_Generator_API/imagenes/T_TAHARI_6621069_CHO_3.jpg")</f>
        <v/>
      </c>
      <c r="O4831">
        <f>HYPERLINK("imagenes/T_TAHARI_6621069_CHO_2.jpg","Ver imagen")</f>
        <v/>
      </c>
      <c r="P4831">
        <f>HYPERLINK("imagenes/T_TAHARI_6621069_CHO_3.jpg","Ver imagen")</f>
        <v/>
      </c>
    </row>
    <row r="4832">
      <c r="A4832" t="inlineStr">
        <is>
          <t>T TAHARI</t>
        </is>
      </c>
      <c r="B4832" t="inlineStr">
        <is>
          <t>6621069</t>
        </is>
      </c>
      <c r="C4832" t="inlineStr">
        <is>
          <t>DANA</t>
        </is>
      </c>
      <c r="D4832" t="inlineStr">
        <is>
          <t>CHO</t>
        </is>
      </c>
      <c r="E4832" t="inlineStr">
        <is>
          <t>(en blanco)</t>
        </is>
      </c>
      <c r="F4832" t="inlineStr">
        <is>
          <t>(en blanco)</t>
        </is>
      </c>
      <c r="G4832" t="inlineStr">
        <is>
          <t>S</t>
        </is>
      </c>
      <c r="H4832" t="n">
        <v>364</v>
      </c>
      <c r="I4832" t="inlineStr">
        <is>
          <t>T_TAHARI_6621069_CHO_2.jpg</t>
        </is>
      </c>
      <c r="J4832" t="inlineStr">
        <is>
          <t>T_TAHARI_6621069_CHO_3.jpg</t>
        </is>
      </c>
      <c r="L4832">
        <f>IMAGE("file:///E:/Estudios%20y%20certificaciones/ESTUDIOS%20DE%20PROGRAMMING/PROGRAMMING/PERSONAL/PYTHON/Image_Generator_API/imagenes/T_TAHARI_6621069_CHO_2.jpg")</f>
        <v/>
      </c>
      <c r="M4832">
        <f>IMAGE("file:///E:/Estudios%20y%20certificaciones/ESTUDIOS%20DE%20PROGRAMMING/PROGRAMMING/PERSONAL/PYTHON/Image_Generator_API/imagenes/T_TAHARI_6621069_CHO_3.jpg")</f>
        <v/>
      </c>
      <c r="O4832">
        <f>HYPERLINK("imagenes/T_TAHARI_6621069_CHO_2.jpg","Ver imagen")</f>
        <v/>
      </c>
      <c r="P4832">
        <f>HYPERLINK("imagenes/T_TAHARI_6621069_CHO_3.jpg","Ver imagen")</f>
        <v/>
      </c>
    </row>
    <row r="4833">
      <c r="A4833" t="inlineStr">
        <is>
          <t>T TAHARI</t>
        </is>
      </c>
      <c r="B4833" t="inlineStr">
        <is>
          <t>6621069</t>
        </is>
      </c>
      <c r="C4833" t="inlineStr">
        <is>
          <t>DANA</t>
        </is>
      </c>
      <c r="D4833" t="inlineStr">
        <is>
          <t>CHO</t>
        </is>
      </c>
      <c r="E4833" t="inlineStr">
        <is>
          <t>(en blanco)</t>
        </is>
      </c>
      <c r="F4833" t="inlineStr">
        <is>
          <t>(en blanco)</t>
        </is>
      </c>
      <c r="G4833" t="inlineStr">
        <is>
          <t>M</t>
        </is>
      </c>
      <c r="H4833" t="n">
        <v>366</v>
      </c>
      <c r="I4833" t="inlineStr">
        <is>
          <t>T_TAHARI_6621069_CHO_2.jpg</t>
        </is>
      </c>
      <c r="J4833" t="inlineStr">
        <is>
          <t>T_TAHARI_6621069_CHO_3.jpg</t>
        </is>
      </c>
      <c r="L4833">
        <f>IMAGE("file:///E:/Estudios%20y%20certificaciones/ESTUDIOS%20DE%20PROGRAMMING/PROGRAMMING/PERSONAL/PYTHON/Image_Generator_API/imagenes/T_TAHARI_6621069_CHO_2.jpg")</f>
        <v/>
      </c>
      <c r="M4833">
        <f>IMAGE("file:///E:/Estudios%20y%20certificaciones/ESTUDIOS%20DE%20PROGRAMMING/PROGRAMMING/PERSONAL/PYTHON/Image_Generator_API/imagenes/T_TAHARI_6621069_CHO_3.jpg")</f>
        <v/>
      </c>
      <c r="O4833">
        <f>HYPERLINK("imagenes/T_TAHARI_6621069_CHO_2.jpg","Ver imagen")</f>
        <v/>
      </c>
      <c r="P4833">
        <f>HYPERLINK("imagenes/T_TAHARI_6621069_CHO_3.jpg","Ver imagen")</f>
        <v/>
      </c>
    </row>
    <row r="4834">
      <c r="A4834" t="inlineStr">
        <is>
          <t>T TAHARI</t>
        </is>
      </c>
      <c r="B4834" t="inlineStr">
        <is>
          <t>6621069</t>
        </is>
      </c>
      <c r="C4834" t="inlineStr">
        <is>
          <t>DANA</t>
        </is>
      </c>
      <c r="D4834" t="inlineStr">
        <is>
          <t>CHO</t>
        </is>
      </c>
      <c r="E4834" t="inlineStr">
        <is>
          <t>(en blanco)</t>
        </is>
      </c>
      <c r="F4834" t="inlineStr">
        <is>
          <t>(en blanco)</t>
        </is>
      </c>
      <c r="G4834" t="inlineStr">
        <is>
          <t>L</t>
        </is>
      </c>
      <c r="H4834" t="n">
        <v>407</v>
      </c>
      <c r="I4834" t="inlineStr">
        <is>
          <t>T_TAHARI_6621069_CHO_2.jpg</t>
        </is>
      </c>
      <c r="J4834" t="inlineStr">
        <is>
          <t>T_TAHARI_6621069_CHO_3.jpg</t>
        </is>
      </c>
      <c r="L4834">
        <f>IMAGE("file:///E:/Estudios%20y%20certificaciones/ESTUDIOS%20DE%20PROGRAMMING/PROGRAMMING/PERSONAL/PYTHON/Image_Generator_API/imagenes/T_TAHARI_6621069_CHO_2.jpg")</f>
        <v/>
      </c>
      <c r="M4834">
        <f>IMAGE("file:///E:/Estudios%20y%20certificaciones/ESTUDIOS%20DE%20PROGRAMMING/PROGRAMMING/PERSONAL/PYTHON/Image_Generator_API/imagenes/T_TAHARI_6621069_CHO_3.jpg")</f>
        <v/>
      </c>
      <c r="O4834">
        <f>HYPERLINK("imagenes/T_TAHARI_6621069_CHO_2.jpg","Ver imagen")</f>
        <v/>
      </c>
      <c r="P4834">
        <f>HYPERLINK("imagenes/T_TAHARI_6621069_CHO_3.jpg","Ver imagen")</f>
        <v/>
      </c>
    </row>
    <row r="4835">
      <c r="A4835" t="inlineStr">
        <is>
          <t>T TAHARI</t>
        </is>
      </c>
      <c r="B4835" t="inlineStr">
        <is>
          <t>6621069</t>
        </is>
      </c>
      <c r="C4835" t="inlineStr">
        <is>
          <t>DANA</t>
        </is>
      </c>
      <c r="D4835" t="inlineStr">
        <is>
          <t>CHO</t>
        </is>
      </c>
      <c r="E4835" t="inlineStr">
        <is>
          <t>(en blanco)</t>
        </is>
      </c>
      <c r="F4835" t="inlineStr">
        <is>
          <t>(en blanco)</t>
        </is>
      </c>
      <c r="G4835" t="inlineStr">
        <is>
          <t>XL</t>
        </is>
      </c>
      <c r="H4835" t="n">
        <v>177</v>
      </c>
      <c r="I4835" t="inlineStr">
        <is>
          <t>T_TAHARI_6621069_CHO_2.jpg</t>
        </is>
      </c>
      <c r="J4835" t="inlineStr">
        <is>
          <t>T_TAHARI_6621069_CHO_3.jpg</t>
        </is>
      </c>
      <c r="L4835">
        <f>IMAGE("file:///E:/Estudios%20y%20certificaciones/ESTUDIOS%20DE%20PROGRAMMING/PROGRAMMING/PERSONAL/PYTHON/Image_Generator_API/imagenes/T_TAHARI_6621069_CHO_2.jpg")</f>
        <v/>
      </c>
      <c r="M4835">
        <f>IMAGE("file:///E:/Estudios%20y%20certificaciones/ESTUDIOS%20DE%20PROGRAMMING/PROGRAMMING/PERSONAL/PYTHON/Image_Generator_API/imagenes/T_TAHARI_6621069_CHO_3.jpg")</f>
        <v/>
      </c>
      <c r="O4835">
        <f>HYPERLINK("imagenes/T_TAHARI_6621069_CHO_2.jpg","Ver imagen")</f>
        <v/>
      </c>
      <c r="P4835">
        <f>HYPERLINK("imagenes/T_TAHARI_6621069_CHO_3.jpg","Ver imagen")</f>
        <v/>
      </c>
    </row>
    <row r="4836">
      <c r="A4836" t="inlineStr">
        <is>
          <t>T TAHARI</t>
        </is>
      </c>
      <c r="B4836" t="inlineStr">
        <is>
          <t>6621069</t>
        </is>
      </c>
      <c r="C4836" t="inlineStr">
        <is>
          <t>DANA</t>
        </is>
      </c>
      <c r="D4836" t="inlineStr">
        <is>
          <t>CHO</t>
        </is>
      </c>
      <c r="E4836" t="inlineStr">
        <is>
          <t>(en blanco)</t>
        </is>
      </c>
      <c r="F4836" t="inlineStr">
        <is>
          <t>(en blanco)</t>
        </is>
      </c>
      <c r="G4836" t="inlineStr">
        <is>
          <t>XXL</t>
        </is>
      </c>
      <c r="H4836" t="n">
        <v>4</v>
      </c>
      <c r="I4836" t="inlineStr">
        <is>
          <t>T_TAHARI_6621069_CHO_2.jpg</t>
        </is>
      </c>
      <c r="J4836" t="inlineStr">
        <is>
          <t>T_TAHARI_6621069_CHO_3.jpg</t>
        </is>
      </c>
      <c r="L4836">
        <f>IMAGE("file:///E:/Estudios%20y%20certificaciones/ESTUDIOS%20DE%20PROGRAMMING/PROGRAMMING/PERSONAL/PYTHON/Image_Generator_API/imagenes/T_TAHARI_6621069_CHO_2.jpg")</f>
        <v/>
      </c>
      <c r="M4836">
        <f>IMAGE("file:///E:/Estudios%20y%20certificaciones/ESTUDIOS%20DE%20PROGRAMMING/PROGRAMMING/PERSONAL/PYTHON/Image_Generator_API/imagenes/T_TAHARI_6621069_CHO_3.jpg")</f>
        <v/>
      </c>
      <c r="O4836">
        <f>HYPERLINK("imagenes/T_TAHARI_6621069_CHO_2.jpg","Ver imagen")</f>
        <v/>
      </c>
      <c r="P4836">
        <f>HYPERLINK("imagenes/T_TAHARI_6621069_CHO_3.jpg","Ver imagen")</f>
        <v/>
      </c>
    </row>
    <row r="4837">
      <c r="A4837" t="inlineStr">
        <is>
          <t>T TAHARI</t>
        </is>
      </c>
      <c r="B4837" t="inlineStr">
        <is>
          <t>6621069</t>
        </is>
      </c>
      <c r="C4837" t="inlineStr">
        <is>
          <t>DANA</t>
        </is>
      </c>
      <c r="D4837" t="inlineStr">
        <is>
          <t>CHO</t>
        </is>
      </c>
      <c r="E4837" t="inlineStr">
        <is>
          <t>(en blanco)</t>
        </is>
      </c>
      <c r="F4837" t="inlineStr">
        <is>
          <t>(en blanco)</t>
        </is>
      </c>
      <c r="G4837" t="inlineStr">
        <is>
          <t>XXS</t>
        </is>
      </c>
      <c r="H4837" t="n">
        <v>5</v>
      </c>
      <c r="I4837" t="inlineStr">
        <is>
          <t>T_TAHARI_6621069_CHO_2.jpg</t>
        </is>
      </c>
      <c r="J4837" t="inlineStr">
        <is>
          <t>T_TAHARI_6621069_CHO_3.jpg</t>
        </is>
      </c>
      <c r="L4837">
        <f>IMAGE("file:///E:/Estudios%20y%20certificaciones/ESTUDIOS%20DE%20PROGRAMMING/PROGRAMMING/PERSONAL/PYTHON/Image_Generator_API/imagenes/T_TAHARI_6621069_CHO_2.jpg")</f>
        <v/>
      </c>
      <c r="M4837">
        <f>IMAGE("file:///E:/Estudios%20y%20certificaciones/ESTUDIOS%20DE%20PROGRAMMING/PROGRAMMING/PERSONAL/PYTHON/Image_Generator_API/imagenes/T_TAHARI_6621069_CHO_3.jpg")</f>
        <v/>
      </c>
      <c r="O4837">
        <f>HYPERLINK("imagenes/T_TAHARI_6621069_CHO_2.jpg","Ver imagen")</f>
        <v/>
      </c>
      <c r="P4837">
        <f>HYPERLINK("imagenes/T_TAHARI_6621069_CHO_3.jpg","Ver imagen")</f>
        <v/>
      </c>
    </row>
    <row r="4838">
      <c r="A4838" t="inlineStr">
        <is>
          <t>T TAHARI</t>
        </is>
      </c>
      <c r="B4838" t="inlineStr">
        <is>
          <t>6621069</t>
        </is>
      </c>
      <c r="C4838" t="inlineStr">
        <is>
          <t>DANA</t>
        </is>
      </c>
      <c r="D4838" t="inlineStr">
        <is>
          <t>GXY</t>
        </is>
      </c>
      <c r="E4838" t="inlineStr">
        <is>
          <t>(en blanco)</t>
        </is>
      </c>
      <c r="F4838" t="inlineStr">
        <is>
          <t>D2C</t>
        </is>
      </c>
      <c r="G4838" t="inlineStr">
        <is>
          <t>XS</t>
        </is>
      </c>
      <c r="H4838" t="n">
        <v>106</v>
      </c>
      <c r="I4838" t="inlineStr">
        <is>
          <t>T_TAHARI_6621069_GXY_1.jpg</t>
        </is>
      </c>
      <c r="J4838" t="inlineStr">
        <is>
          <t>T_TAHARI_6621069_GXY_2.jpg</t>
        </is>
      </c>
      <c r="K4838" t="inlineStr">
        <is>
          <t>T_TAHARI_6621069_GXY_3.jpg</t>
        </is>
      </c>
      <c r="L4838">
        <f>IMAGE("file:///E:/Estudios%20y%20certificaciones/ESTUDIOS%20DE%20PROGRAMMING/PROGRAMMING/PERSONAL/PYTHON/Image_Generator_API/imagenes/T_TAHARI_6621069_GXY_1.jpg")</f>
        <v/>
      </c>
      <c r="M4838">
        <f>IMAGE("file:///E:/Estudios%20y%20certificaciones/ESTUDIOS%20DE%20PROGRAMMING/PROGRAMMING/PERSONAL/PYTHON/Image_Generator_API/imagenes/T_TAHARI_6621069_GXY_2.jpg")</f>
        <v/>
      </c>
      <c r="N4838">
        <f>IMAGE("file:///E:/Estudios%20y%20certificaciones/ESTUDIOS%20DE%20PROGRAMMING/PROGRAMMING/PERSONAL/PYTHON/Image_Generator_API/imagenes/T_TAHARI_6621069_GXY_3.jpg")</f>
        <v/>
      </c>
      <c r="O4838">
        <f>HYPERLINK("imagenes/T_TAHARI_6621069_GXY_1.jpg","Ver imagen")</f>
        <v/>
      </c>
      <c r="P4838">
        <f>HYPERLINK("imagenes/T_TAHARI_6621069_GXY_2.jpg","Ver imagen")</f>
        <v/>
      </c>
      <c r="Q4838">
        <f>HYPERLINK("imagenes/T_TAHARI_6621069_GXY_3.jpg","Ver imagen")</f>
        <v/>
      </c>
    </row>
    <row r="4839">
      <c r="A4839" t="inlineStr">
        <is>
          <t>T TAHARI</t>
        </is>
      </c>
      <c r="B4839" t="inlineStr">
        <is>
          <t>6621069</t>
        </is>
      </c>
      <c r="C4839" t="inlineStr">
        <is>
          <t>DANA</t>
        </is>
      </c>
      <c r="D4839" t="inlineStr">
        <is>
          <t>GXY</t>
        </is>
      </c>
      <c r="E4839" t="inlineStr">
        <is>
          <t>(en blanco)</t>
        </is>
      </c>
      <c r="F4839" t="inlineStr">
        <is>
          <t>D2C</t>
        </is>
      </c>
      <c r="G4839" t="inlineStr">
        <is>
          <t>S</t>
        </is>
      </c>
      <c r="H4839" t="n">
        <v>159</v>
      </c>
      <c r="I4839" t="inlineStr">
        <is>
          <t>T_TAHARI_6621069_GXY_1.jpg</t>
        </is>
      </c>
      <c r="J4839" t="inlineStr">
        <is>
          <t>T_TAHARI_6621069_GXY_2.jpg</t>
        </is>
      </c>
      <c r="K4839" t="inlineStr">
        <is>
          <t>T_TAHARI_6621069_GXY_3.jpg</t>
        </is>
      </c>
      <c r="L4839">
        <f>IMAGE("file:///E:/Estudios%20y%20certificaciones/ESTUDIOS%20DE%20PROGRAMMING/PROGRAMMING/PERSONAL/PYTHON/Image_Generator_API/imagenes/T_TAHARI_6621069_GXY_1.jpg")</f>
        <v/>
      </c>
      <c r="M4839">
        <f>IMAGE("file:///E:/Estudios%20y%20certificaciones/ESTUDIOS%20DE%20PROGRAMMING/PROGRAMMING/PERSONAL/PYTHON/Image_Generator_API/imagenes/T_TAHARI_6621069_GXY_2.jpg")</f>
        <v/>
      </c>
      <c r="N4839">
        <f>IMAGE("file:///E:/Estudios%20y%20certificaciones/ESTUDIOS%20DE%20PROGRAMMING/PROGRAMMING/PERSONAL/PYTHON/Image_Generator_API/imagenes/T_TAHARI_6621069_GXY_3.jpg")</f>
        <v/>
      </c>
      <c r="O4839">
        <f>HYPERLINK("imagenes/T_TAHARI_6621069_GXY_1.jpg","Ver imagen")</f>
        <v/>
      </c>
      <c r="P4839">
        <f>HYPERLINK("imagenes/T_TAHARI_6621069_GXY_2.jpg","Ver imagen")</f>
        <v/>
      </c>
      <c r="Q4839">
        <f>HYPERLINK("imagenes/T_TAHARI_6621069_GXY_3.jpg","Ver imagen")</f>
        <v/>
      </c>
    </row>
    <row r="4840">
      <c r="A4840" t="inlineStr">
        <is>
          <t>T TAHARI</t>
        </is>
      </c>
      <c r="B4840" t="inlineStr">
        <is>
          <t>6621069</t>
        </is>
      </c>
      <c r="C4840" t="inlineStr">
        <is>
          <t>DANA</t>
        </is>
      </c>
      <c r="D4840" t="inlineStr">
        <is>
          <t>GXY</t>
        </is>
      </c>
      <c r="E4840" t="inlineStr">
        <is>
          <t>(en blanco)</t>
        </is>
      </c>
      <c r="F4840" t="inlineStr">
        <is>
          <t>D2C</t>
        </is>
      </c>
      <c r="G4840" t="inlineStr">
        <is>
          <t>M</t>
        </is>
      </c>
      <c r="H4840" t="n">
        <v>88</v>
      </c>
      <c r="I4840" t="inlineStr">
        <is>
          <t>T_TAHARI_6621069_GXY_1.jpg</t>
        </is>
      </c>
      <c r="J4840" t="inlineStr">
        <is>
          <t>T_TAHARI_6621069_GXY_2.jpg</t>
        </is>
      </c>
      <c r="K4840" t="inlineStr">
        <is>
          <t>T_TAHARI_6621069_GXY_3.jpg</t>
        </is>
      </c>
      <c r="L4840">
        <f>IMAGE("file:///E:/Estudios%20y%20certificaciones/ESTUDIOS%20DE%20PROGRAMMING/PROGRAMMING/PERSONAL/PYTHON/Image_Generator_API/imagenes/T_TAHARI_6621069_GXY_1.jpg")</f>
        <v/>
      </c>
      <c r="M4840">
        <f>IMAGE("file:///E:/Estudios%20y%20certificaciones/ESTUDIOS%20DE%20PROGRAMMING/PROGRAMMING/PERSONAL/PYTHON/Image_Generator_API/imagenes/T_TAHARI_6621069_GXY_2.jpg")</f>
        <v/>
      </c>
      <c r="N4840">
        <f>IMAGE("file:///E:/Estudios%20y%20certificaciones/ESTUDIOS%20DE%20PROGRAMMING/PROGRAMMING/PERSONAL/PYTHON/Image_Generator_API/imagenes/T_TAHARI_6621069_GXY_3.jpg")</f>
        <v/>
      </c>
      <c r="O4840">
        <f>HYPERLINK("imagenes/T_TAHARI_6621069_GXY_1.jpg","Ver imagen")</f>
        <v/>
      </c>
      <c r="P4840">
        <f>HYPERLINK("imagenes/T_TAHARI_6621069_GXY_2.jpg","Ver imagen")</f>
        <v/>
      </c>
      <c r="Q4840">
        <f>HYPERLINK("imagenes/T_TAHARI_6621069_GXY_3.jpg","Ver imagen")</f>
        <v/>
      </c>
    </row>
    <row r="4841">
      <c r="A4841" t="inlineStr">
        <is>
          <t>T TAHARI</t>
        </is>
      </c>
      <c r="B4841" t="inlineStr">
        <is>
          <t>6621069</t>
        </is>
      </c>
      <c r="C4841" t="inlineStr">
        <is>
          <t>DANA</t>
        </is>
      </c>
      <c r="D4841" t="inlineStr">
        <is>
          <t>GXY</t>
        </is>
      </c>
      <c r="E4841" t="inlineStr">
        <is>
          <t>(en blanco)</t>
        </is>
      </c>
      <c r="F4841" t="inlineStr">
        <is>
          <t>D2C</t>
        </is>
      </c>
      <c r="G4841" t="inlineStr">
        <is>
          <t>L</t>
        </is>
      </c>
      <c r="H4841" t="n">
        <v>93</v>
      </c>
      <c r="I4841" t="inlineStr">
        <is>
          <t>T_TAHARI_6621069_GXY_1.jpg</t>
        </is>
      </c>
      <c r="J4841" t="inlineStr">
        <is>
          <t>T_TAHARI_6621069_GXY_2.jpg</t>
        </is>
      </c>
      <c r="K4841" t="inlineStr">
        <is>
          <t>T_TAHARI_6621069_GXY_3.jpg</t>
        </is>
      </c>
      <c r="L4841">
        <f>IMAGE("file:///E:/Estudios%20y%20certificaciones/ESTUDIOS%20DE%20PROGRAMMING/PROGRAMMING/PERSONAL/PYTHON/Image_Generator_API/imagenes/T_TAHARI_6621069_GXY_1.jpg")</f>
        <v/>
      </c>
      <c r="M4841">
        <f>IMAGE("file:///E:/Estudios%20y%20certificaciones/ESTUDIOS%20DE%20PROGRAMMING/PROGRAMMING/PERSONAL/PYTHON/Image_Generator_API/imagenes/T_TAHARI_6621069_GXY_2.jpg")</f>
        <v/>
      </c>
      <c r="N4841">
        <f>IMAGE("file:///E:/Estudios%20y%20certificaciones/ESTUDIOS%20DE%20PROGRAMMING/PROGRAMMING/PERSONAL/PYTHON/Image_Generator_API/imagenes/T_TAHARI_6621069_GXY_3.jpg")</f>
        <v/>
      </c>
      <c r="O4841">
        <f>HYPERLINK("imagenes/T_TAHARI_6621069_GXY_1.jpg","Ver imagen")</f>
        <v/>
      </c>
      <c r="P4841">
        <f>HYPERLINK("imagenes/T_TAHARI_6621069_GXY_2.jpg","Ver imagen")</f>
        <v/>
      </c>
      <c r="Q4841">
        <f>HYPERLINK("imagenes/T_TAHARI_6621069_GXY_3.jpg","Ver imagen")</f>
        <v/>
      </c>
    </row>
    <row r="4842">
      <c r="A4842" t="inlineStr">
        <is>
          <t>T TAHARI</t>
        </is>
      </c>
      <c r="B4842" t="inlineStr">
        <is>
          <t>6621069</t>
        </is>
      </c>
      <c r="C4842" t="inlineStr">
        <is>
          <t>DANA</t>
        </is>
      </c>
      <c r="D4842" t="inlineStr">
        <is>
          <t>GXY</t>
        </is>
      </c>
      <c r="E4842" t="inlineStr">
        <is>
          <t>(en blanco)</t>
        </is>
      </c>
      <c r="F4842" t="inlineStr">
        <is>
          <t>D2C</t>
        </is>
      </c>
      <c r="G4842" t="inlineStr">
        <is>
          <t>XL</t>
        </is>
      </c>
      <c r="H4842" t="n">
        <v>37</v>
      </c>
      <c r="I4842" t="inlineStr">
        <is>
          <t>T_TAHARI_6621069_GXY_1.jpg</t>
        </is>
      </c>
      <c r="J4842" t="inlineStr">
        <is>
          <t>T_TAHARI_6621069_GXY_2.jpg</t>
        </is>
      </c>
      <c r="K4842" t="inlineStr">
        <is>
          <t>T_TAHARI_6621069_GXY_3.jpg</t>
        </is>
      </c>
      <c r="L4842">
        <f>IMAGE("file:///E:/Estudios%20y%20certificaciones/ESTUDIOS%20DE%20PROGRAMMING/PROGRAMMING/PERSONAL/PYTHON/Image_Generator_API/imagenes/T_TAHARI_6621069_GXY_1.jpg")</f>
        <v/>
      </c>
      <c r="M4842">
        <f>IMAGE("file:///E:/Estudios%20y%20certificaciones/ESTUDIOS%20DE%20PROGRAMMING/PROGRAMMING/PERSONAL/PYTHON/Image_Generator_API/imagenes/T_TAHARI_6621069_GXY_2.jpg")</f>
        <v/>
      </c>
      <c r="N4842">
        <f>IMAGE("file:///E:/Estudios%20y%20certificaciones/ESTUDIOS%20DE%20PROGRAMMING/PROGRAMMING/PERSONAL/PYTHON/Image_Generator_API/imagenes/T_TAHARI_6621069_GXY_3.jpg")</f>
        <v/>
      </c>
      <c r="O4842">
        <f>HYPERLINK("imagenes/T_TAHARI_6621069_GXY_1.jpg","Ver imagen")</f>
        <v/>
      </c>
      <c r="P4842">
        <f>HYPERLINK("imagenes/T_TAHARI_6621069_GXY_2.jpg","Ver imagen")</f>
        <v/>
      </c>
      <c r="Q4842">
        <f>HYPERLINK("imagenes/T_TAHARI_6621069_GXY_3.jpg","Ver imagen")</f>
        <v/>
      </c>
    </row>
    <row r="4843">
      <c r="A4843" t="inlineStr">
        <is>
          <t>T TAHARI</t>
        </is>
      </c>
      <c r="B4843" t="inlineStr">
        <is>
          <t>6621069</t>
        </is>
      </c>
      <c r="C4843" t="inlineStr">
        <is>
          <t>DANA</t>
        </is>
      </c>
      <c r="D4843" t="inlineStr">
        <is>
          <t>GXY</t>
        </is>
      </c>
      <c r="E4843" t="inlineStr">
        <is>
          <t>(en blanco)</t>
        </is>
      </c>
      <c r="F4843" t="inlineStr">
        <is>
          <t>D2C</t>
        </is>
      </c>
      <c r="G4843" t="inlineStr">
        <is>
          <t>XXS</t>
        </is>
      </c>
      <c r="H4843" t="n">
        <v>2</v>
      </c>
      <c r="I4843" t="inlineStr">
        <is>
          <t>T_TAHARI_6621069_GXY_1.jpg</t>
        </is>
      </c>
      <c r="J4843" t="inlineStr">
        <is>
          <t>T_TAHARI_6621069_GXY_2.jpg</t>
        </is>
      </c>
      <c r="K4843" t="inlineStr">
        <is>
          <t>T_TAHARI_6621069_GXY_3.jpg</t>
        </is>
      </c>
      <c r="L4843">
        <f>IMAGE("file:///E:/Estudios%20y%20certificaciones/ESTUDIOS%20DE%20PROGRAMMING/PROGRAMMING/PERSONAL/PYTHON/Image_Generator_API/imagenes/T_TAHARI_6621069_GXY_1.jpg")</f>
        <v/>
      </c>
      <c r="M4843">
        <f>IMAGE("file:///E:/Estudios%20y%20certificaciones/ESTUDIOS%20DE%20PROGRAMMING/PROGRAMMING/PERSONAL/PYTHON/Image_Generator_API/imagenes/T_TAHARI_6621069_GXY_2.jpg")</f>
        <v/>
      </c>
      <c r="N4843">
        <f>IMAGE("file:///E:/Estudios%20y%20certificaciones/ESTUDIOS%20DE%20PROGRAMMING/PROGRAMMING/PERSONAL/PYTHON/Image_Generator_API/imagenes/T_TAHARI_6621069_GXY_3.jpg")</f>
        <v/>
      </c>
      <c r="O4843">
        <f>HYPERLINK("imagenes/T_TAHARI_6621069_GXY_1.jpg","Ver imagen")</f>
        <v/>
      </c>
      <c r="P4843">
        <f>HYPERLINK("imagenes/T_TAHARI_6621069_GXY_2.jpg","Ver imagen")</f>
        <v/>
      </c>
      <c r="Q4843">
        <f>HYPERLINK("imagenes/T_TAHARI_6621069_GXY_3.jpg","Ver imagen")</f>
        <v/>
      </c>
    </row>
    <row r="4844">
      <c r="A4844" t="inlineStr">
        <is>
          <t>T TAHARI</t>
        </is>
      </c>
      <c r="B4844" t="inlineStr">
        <is>
          <t>6621069</t>
        </is>
      </c>
      <c r="C4844" t="inlineStr">
        <is>
          <t>DANA</t>
        </is>
      </c>
      <c r="D4844" t="inlineStr">
        <is>
          <t>GXY</t>
        </is>
      </c>
      <c r="E4844" t="inlineStr">
        <is>
          <t>(en blanco)</t>
        </is>
      </c>
      <c r="F4844" t="inlineStr">
        <is>
          <t>(en blanco)</t>
        </is>
      </c>
      <c r="G4844" t="inlineStr">
        <is>
          <t>XS</t>
        </is>
      </c>
      <c r="H4844" t="n">
        <v>601</v>
      </c>
      <c r="I4844" t="inlineStr">
        <is>
          <t>T_TAHARI_6621069_GXY_1.jpg</t>
        </is>
      </c>
      <c r="J4844" t="inlineStr">
        <is>
          <t>T_TAHARI_6621069_GXY_2.jpg</t>
        </is>
      </c>
      <c r="K4844" t="inlineStr">
        <is>
          <t>T_TAHARI_6621069_GXY_3.jpg</t>
        </is>
      </c>
      <c r="L4844">
        <f>IMAGE("file:///E:/Estudios%20y%20certificaciones/ESTUDIOS%20DE%20PROGRAMMING/PROGRAMMING/PERSONAL/PYTHON/Image_Generator_API/imagenes/T_TAHARI_6621069_GXY_1.jpg")</f>
        <v/>
      </c>
      <c r="M4844">
        <f>IMAGE("file:///E:/Estudios%20y%20certificaciones/ESTUDIOS%20DE%20PROGRAMMING/PROGRAMMING/PERSONAL/PYTHON/Image_Generator_API/imagenes/T_TAHARI_6621069_GXY_2.jpg")</f>
        <v/>
      </c>
      <c r="N4844">
        <f>IMAGE("file:///E:/Estudios%20y%20certificaciones/ESTUDIOS%20DE%20PROGRAMMING/PROGRAMMING/PERSONAL/PYTHON/Image_Generator_API/imagenes/T_TAHARI_6621069_GXY_3.jpg")</f>
        <v/>
      </c>
      <c r="O4844">
        <f>HYPERLINK("imagenes/T_TAHARI_6621069_GXY_1.jpg","Ver imagen")</f>
        <v/>
      </c>
      <c r="P4844">
        <f>HYPERLINK("imagenes/T_TAHARI_6621069_GXY_2.jpg","Ver imagen")</f>
        <v/>
      </c>
      <c r="Q4844">
        <f>HYPERLINK("imagenes/T_TAHARI_6621069_GXY_3.jpg","Ver imagen")</f>
        <v/>
      </c>
    </row>
    <row r="4845">
      <c r="A4845" t="inlineStr">
        <is>
          <t>T TAHARI</t>
        </is>
      </c>
      <c r="B4845" t="inlineStr">
        <is>
          <t>6621069</t>
        </is>
      </c>
      <c r="C4845" t="inlineStr">
        <is>
          <t>DANA</t>
        </is>
      </c>
      <c r="D4845" t="inlineStr">
        <is>
          <t>GXY</t>
        </is>
      </c>
      <c r="E4845" t="inlineStr">
        <is>
          <t>(en blanco)</t>
        </is>
      </c>
      <c r="F4845" t="inlineStr">
        <is>
          <t>(en blanco)</t>
        </is>
      </c>
      <c r="G4845" t="inlineStr">
        <is>
          <t>S</t>
        </is>
      </c>
      <c r="H4845" t="n">
        <v>698</v>
      </c>
      <c r="I4845" t="inlineStr">
        <is>
          <t>T_TAHARI_6621069_GXY_1.jpg</t>
        </is>
      </c>
      <c r="J4845" t="inlineStr">
        <is>
          <t>T_TAHARI_6621069_GXY_2.jpg</t>
        </is>
      </c>
      <c r="K4845" t="inlineStr">
        <is>
          <t>T_TAHARI_6621069_GXY_3.jpg</t>
        </is>
      </c>
      <c r="L4845">
        <f>IMAGE("file:///E:/Estudios%20y%20certificaciones/ESTUDIOS%20DE%20PROGRAMMING/PROGRAMMING/PERSONAL/PYTHON/Image_Generator_API/imagenes/T_TAHARI_6621069_GXY_1.jpg")</f>
        <v/>
      </c>
      <c r="M4845">
        <f>IMAGE("file:///E:/Estudios%20y%20certificaciones/ESTUDIOS%20DE%20PROGRAMMING/PROGRAMMING/PERSONAL/PYTHON/Image_Generator_API/imagenes/T_TAHARI_6621069_GXY_2.jpg")</f>
        <v/>
      </c>
      <c r="N4845">
        <f>IMAGE("file:///E:/Estudios%20y%20certificaciones/ESTUDIOS%20DE%20PROGRAMMING/PROGRAMMING/PERSONAL/PYTHON/Image_Generator_API/imagenes/T_TAHARI_6621069_GXY_3.jpg")</f>
        <v/>
      </c>
      <c r="O4845">
        <f>HYPERLINK("imagenes/T_TAHARI_6621069_GXY_1.jpg","Ver imagen")</f>
        <v/>
      </c>
      <c r="P4845">
        <f>HYPERLINK("imagenes/T_TAHARI_6621069_GXY_2.jpg","Ver imagen")</f>
        <v/>
      </c>
      <c r="Q4845">
        <f>HYPERLINK("imagenes/T_TAHARI_6621069_GXY_3.jpg","Ver imagen")</f>
        <v/>
      </c>
    </row>
    <row r="4846">
      <c r="A4846" t="inlineStr">
        <is>
          <t>T TAHARI</t>
        </is>
      </c>
      <c r="B4846" t="inlineStr">
        <is>
          <t>6621069</t>
        </is>
      </c>
      <c r="C4846" t="inlineStr">
        <is>
          <t>DANA</t>
        </is>
      </c>
      <c r="D4846" t="inlineStr">
        <is>
          <t>GXY</t>
        </is>
      </c>
      <c r="E4846" t="inlineStr">
        <is>
          <t>(en blanco)</t>
        </is>
      </c>
      <c r="F4846" t="inlineStr">
        <is>
          <t>(en blanco)</t>
        </is>
      </c>
      <c r="G4846" t="inlineStr">
        <is>
          <t>M</t>
        </is>
      </c>
      <c r="H4846" t="n">
        <v>716</v>
      </c>
      <c r="I4846" t="inlineStr">
        <is>
          <t>T_TAHARI_6621069_GXY_1.jpg</t>
        </is>
      </c>
      <c r="J4846" t="inlineStr">
        <is>
          <t>T_TAHARI_6621069_GXY_2.jpg</t>
        </is>
      </c>
      <c r="K4846" t="inlineStr">
        <is>
          <t>T_TAHARI_6621069_GXY_3.jpg</t>
        </is>
      </c>
      <c r="L4846">
        <f>IMAGE("file:///E:/Estudios%20y%20certificaciones/ESTUDIOS%20DE%20PROGRAMMING/PROGRAMMING/PERSONAL/PYTHON/Image_Generator_API/imagenes/T_TAHARI_6621069_GXY_1.jpg")</f>
        <v/>
      </c>
      <c r="M4846">
        <f>IMAGE("file:///E:/Estudios%20y%20certificaciones/ESTUDIOS%20DE%20PROGRAMMING/PROGRAMMING/PERSONAL/PYTHON/Image_Generator_API/imagenes/T_TAHARI_6621069_GXY_2.jpg")</f>
        <v/>
      </c>
      <c r="N4846">
        <f>IMAGE("file:///E:/Estudios%20y%20certificaciones/ESTUDIOS%20DE%20PROGRAMMING/PROGRAMMING/PERSONAL/PYTHON/Image_Generator_API/imagenes/T_TAHARI_6621069_GXY_3.jpg")</f>
        <v/>
      </c>
      <c r="O4846">
        <f>HYPERLINK("imagenes/T_TAHARI_6621069_GXY_1.jpg","Ver imagen")</f>
        <v/>
      </c>
      <c r="P4846">
        <f>HYPERLINK("imagenes/T_TAHARI_6621069_GXY_2.jpg","Ver imagen")</f>
        <v/>
      </c>
      <c r="Q4846">
        <f>HYPERLINK("imagenes/T_TAHARI_6621069_GXY_3.jpg","Ver imagen")</f>
        <v/>
      </c>
    </row>
    <row r="4847">
      <c r="A4847" t="inlineStr">
        <is>
          <t>T TAHARI</t>
        </is>
      </c>
      <c r="B4847" t="inlineStr">
        <is>
          <t>6621069</t>
        </is>
      </c>
      <c r="C4847" t="inlineStr">
        <is>
          <t>DANA</t>
        </is>
      </c>
      <c r="D4847" t="inlineStr">
        <is>
          <t>GXY</t>
        </is>
      </c>
      <c r="E4847" t="inlineStr">
        <is>
          <t>(en blanco)</t>
        </is>
      </c>
      <c r="F4847" t="inlineStr">
        <is>
          <t>(en blanco)</t>
        </is>
      </c>
      <c r="G4847" t="inlineStr">
        <is>
          <t>L</t>
        </is>
      </c>
      <c r="H4847" t="n">
        <v>556</v>
      </c>
      <c r="I4847" t="inlineStr">
        <is>
          <t>T_TAHARI_6621069_GXY_1.jpg</t>
        </is>
      </c>
      <c r="J4847" t="inlineStr">
        <is>
          <t>T_TAHARI_6621069_GXY_2.jpg</t>
        </is>
      </c>
      <c r="K4847" t="inlineStr">
        <is>
          <t>T_TAHARI_6621069_GXY_3.jpg</t>
        </is>
      </c>
      <c r="L4847">
        <f>IMAGE("file:///E:/Estudios%20y%20certificaciones/ESTUDIOS%20DE%20PROGRAMMING/PROGRAMMING/PERSONAL/PYTHON/Image_Generator_API/imagenes/T_TAHARI_6621069_GXY_1.jpg")</f>
        <v/>
      </c>
      <c r="M4847">
        <f>IMAGE("file:///E:/Estudios%20y%20certificaciones/ESTUDIOS%20DE%20PROGRAMMING/PROGRAMMING/PERSONAL/PYTHON/Image_Generator_API/imagenes/T_TAHARI_6621069_GXY_2.jpg")</f>
        <v/>
      </c>
      <c r="N4847">
        <f>IMAGE("file:///E:/Estudios%20y%20certificaciones/ESTUDIOS%20DE%20PROGRAMMING/PROGRAMMING/PERSONAL/PYTHON/Image_Generator_API/imagenes/T_TAHARI_6621069_GXY_3.jpg")</f>
        <v/>
      </c>
      <c r="O4847">
        <f>HYPERLINK("imagenes/T_TAHARI_6621069_GXY_1.jpg","Ver imagen")</f>
        <v/>
      </c>
      <c r="P4847">
        <f>HYPERLINK("imagenes/T_TAHARI_6621069_GXY_2.jpg","Ver imagen")</f>
        <v/>
      </c>
      <c r="Q4847">
        <f>HYPERLINK("imagenes/T_TAHARI_6621069_GXY_3.jpg","Ver imagen")</f>
        <v/>
      </c>
    </row>
    <row r="4848">
      <c r="A4848" t="inlineStr">
        <is>
          <t>T TAHARI</t>
        </is>
      </c>
      <c r="B4848" t="inlineStr">
        <is>
          <t>6621069</t>
        </is>
      </c>
      <c r="C4848" t="inlineStr">
        <is>
          <t>DANA</t>
        </is>
      </c>
      <c r="D4848" t="inlineStr">
        <is>
          <t>GXY</t>
        </is>
      </c>
      <c r="E4848" t="inlineStr">
        <is>
          <t>(en blanco)</t>
        </is>
      </c>
      <c r="F4848" t="inlineStr">
        <is>
          <t>(en blanco)</t>
        </is>
      </c>
      <c r="G4848" t="inlineStr">
        <is>
          <t>XL</t>
        </is>
      </c>
      <c r="H4848" t="n">
        <v>236</v>
      </c>
      <c r="I4848" t="inlineStr">
        <is>
          <t>T_TAHARI_6621069_GXY_1.jpg</t>
        </is>
      </c>
      <c r="J4848" t="inlineStr">
        <is>
          <t>T_TAHARI_6621069_GXY_2.jpg</t>
        </is>
      </c>
      <c r="K4848" t="inlineStr">
        <is>
          <t>T_TAHARI_6621069_GXY_3.jpg</t>
        </is>
      </c>
      <c r="L4848">
        <f>IMAGE("file:///E:/Estudios%20y%20certificaciones/ESTUDIOS%20DE%20PROGRAMMING/PROGRAMMING/PERSONAL/PYTHON/Image_Generator_API/imagenes/T_TAHARI_6621069_GXY_1.jpg")</f>
        <v/>
      </c>
      <c r="M4848">
        <f>IMAGE("file:///E:/Estudios%20y%20certificaciones/ESTUDIOS%20DE%20PROGRAMMING/PROGRAMMING/PERSONAL/PYTHON/Image_Generator_API/imagenes/T_TAHARI_6621069_GXY_2.jpg")</f>
        <v/>
      </c>
      <c r="N4848">
        <f>IMAGE("file:///E:/Estudios%20y%20certificaciones/ESTUDIOS%20DE%20PROGRAMMING/PROGRAMMING/PERSONAL/PYTHON/Image_Generator_API/imagenes/T_TAHARI_6621069_GXY_3.jpg")</f>
        <v/>
      </c>
      <c r="O4848">
        <f>HYPERLINK("imagenes/T_TAHARI_6621069_GXY_1.jpg","Ver imagen")</f>
        <v/>
      </c>
      <c r="P4848">
        <f>HYPERLINK("imagenes/T_TAHARI_6621069_GXY_2.jpg","Ver imagen")</f>
        <v/>
      </c>
      <c r="Q4848">
        <f>HYPERLINK("imagenes/T_TAHARI_6621069_GXY_3.jpg","Ver imagen")</f>
        <v/>
      </c>
    </row>
    <row r="4849">
      <c r="A4849" t="inlineStr">
        <is>
          <t>T TAHARI</t>
        </is>
      </c>
      <c r="B4849" t="inlineStr">
        <is>
          <t>6621069</t>
        </is>
      </c>
      <c r="C4849" t="inlineStr">
        <is>
          <t>DANA</t>
        </is>
      </c>
      <c r="D4849" t="inlineStr">
        <is>
          <t>GXY</t>
        </is>
      </c>
      <c r="E4849" t="inlineStr">
        <is>
          <t>(en blanco)</t>
        </is>
      </c>
      <c r="F4849" t="inlineStr">
        <is>
          <t>(en blanco)</t>
        </is>
      </c>
      <c r="G4849" t="inlineStr">
        <is>
          <t>XXS</t>
        </is>
      </c>
      <c r="H4849" t="n">
        <v>1</v>
      </c>
      <c r="I4849" t="inlineStr">
        <is>
          <t>T_TAHARI_6621069_GXY_1.jpg</t>
        </is>
      </c>
      <c r="J4849" t="inlineStr">
        <is>
          <t>T_TAHARI_6621069_GXY_2.jpg</t>
        </is>
      </c>
      <c r="K4849" t="inlineStr">
        <is>
          <t>T_TAHARI_6621069_GXY_3.jpg</t>
        </is>
      </c>
      <c r="L4849">
        <f>IMAGE("file:///E:/Estudios%20y%20certificaciones/ESTUDIOS%20DE%20PROGRAMMING/PROGRAMMING/PERSONAL/PYTHON/Image_Generator_API/imagenes/T_TAHARI_6621069_GXY_1.jpg")</f>
        <v/>
      </c>
      <c r="M4849">
        <f>IMAGE("file:///E:/Estudios%20y%20certificaciones/ESTUDIOS%20DE%20PROGRAMMING/PROGRAMMING/PERSONAL/PYTHON/Image_Generator_API/imagenes/T_TAHARI_6621069_GXY_2.jpg")</f>
        <v/>
      </c>
      <c r="N4849">
        <f>IMAGE("file:///E:/Estudios%20y%20certificaciones/ESTUDIOS%20DE%20PROGRAMMING/PROGRAMMING/PERSONAL/PYTHON/Image_Generator_API/imagenes/T_TAHARI_6621069_GXY_3.jpg")</f>
        <v/>
      </c>
      <c r="O4849">
        <f>HYPERLINK("imagenes/T_TAHARI_6621069_GXY_1.jpg","Ver imagen")</f>
        <v/>
      </c>
      <c r="P4849">
        <f>HYPERLINK("imagenes/T_TAHARI_6621069_GXY_2.jpg","Ver imagen")</f>
        <v/>
      </c>
      <c r="Q4849">
        <f>HYPERLINK("imagenes/T_TAHARI_6621069_GXY_3.jpg","Ver imagen")</f>
        <v/>
      </c>
    </row>
    <row r="4850">
      <c r="A4850" t="inlineStr">
        <is>
          <t>T TAHARI</t>
        </is>
      </c>
      <c r="B4850" t="inlineStr">
        <is>
          <t>6621069</t>
        </is>
      </c>
      <c r="C4850" t="inlineStr">
        <is>
          <t>DANA</t>
        </is>
      </c>
      <c r="D4850" t="inlineStr">
        <is>
          <t>STL</t>
        </is>
      </c>
      <c r="E4850" t="inlineStr">
        <is>
          <t>(en blanco)</t>
        </is>
      </c>
      <c r="F4850" t="inlineStr">
        <is>
          <t>(en blanco)</t>
        </is>
      </c>
      <c r="G4850" t="inlineStr">
        <is>
          <t>XS</t>
        </is>
      </c>
      <c r="H4850" t="n">
        <v>23</v>
      </c>
      <c r="I4850" t="inlineStr">
        <is>
          <t>T_TAHARI_6621069_STL_1.jpg</t>
        </is>
      </c>
      <c r="J4850" t="inlineStr">
        <is>
          <t>T_TAHARI_6621069_STL_2.jpg</t>
        </is>
      </c>
      <c r="K4850" t="inlineStr">
        <is>
          <t>T_TAHARI_6621069_STL_3.jpg</t>
        </is>
      </c>
      <c r="L4850">
        <f>IMAGE("file:///E:/Estudios%20y%20certificaciones/ESTUDIOS%20DE%20PROGRAMMING/PROGRAMMING/PERSONAL/PYTHON/Image_Generator_API/imagenes/T_TAHARI_6621069_STL_1.jpg")</f>
        <v/>
      </c>
      <c r="M4850">
        <f>IMAGE("file:///E:/Estudios%20y%20certificaciones/ESTUDIOS%20DE%20PROGRAMMING/PROGRAMMING/PERSONAL/PYTHON/Image_Generator_API/imagenes/T_TAHARI_6621069_STL_2.jpg")</f>
        <v/>
      </c>
      <c r="N4850">
        <f>IMAGE("file:///E:/Estudios%20y%20certificaciones/ESTUDIOS%20DE%20PROGRAMMING/PROGRAMMING/PERSONAL/PYTHON/Image_Generator_API/imagenes/T_TAHARI_6621069_STL_3.jpg")</f>
        <v/>
      </c>
      <c r="O4850">
        <f>HYPERLINK("imagenes/T_TAHARI_6621069_STL_1.jpg","Ver imagen")</f>
        <v/>
      </c>
      <c r="P4850">
        <f>HYPERLINK("imagenes/T_TAHARI_6621069_STL_2.jpg","Ver imagen")</f>
        <v/>
      </c>
      <c r="Q4850">
        <f>HYPERLINK("imagenes/T_TAHARI_6621069_STL_3.jpg","Ver imagen")</f>
        <v/>
      </c>
    </row>
    <row r="4851">
      <c r="A4851" t="inlineStr">
        <is>
          <t>T TAHARI</t>
        </is>
      </c>
      <c r="B4851" t="inlineStr">
        <is>
          <t>6621069</t>
        </is>
      </c>
      <c r="C4851" t="inlineStr">
        <is>
          <t>DANA</t>
        </is>
      </c>
      <c r="D4851" t="inlineStr">
        <is>
          <t>STL</t>
        </is>
      </c>
      <c r="E4851" t="inlineStr">
        <is>
          <t>(en blanco)</t>
        </is>
      </c>
      <c r="F4851" t="inlineStr">
        <is>
          <t>(en blanco)</t>
        </is>
      </c>
      <c r="G4851" t="inlineStr">
        <is>
          <t>S</t>
        </is>
      </c>
      <c r="H4851" t="n">
        <v>4</v>
      </c>
      <c r="I4851" t="inlineStr">
        <is>
          <t>T_TAHARI_6621069_STL_1.jpg</t>
        </is>
      </c>
      <c r="J4851" t="inlineStr">
        <is>
          <t>T_TAHARI_6621069_STL_2.jpg</t>
        </is>
      </c>
      <c r="K4851" t="inlineStr">
        <is>
          <t>T_TAHARI_6621069_STL_3.jpg</t>
        </is>
      </c>
      <c r="L4851">
        <f>IMAGE("file:///E:/Estudios%20y%20certificaciones/ESTUDIOS%20DE%20PROGRAMMING/PROGRAMMING/PERSONAL/PYTHON/Image_Generator_API/imagenes/T_TAHARI_6621069_STL_1.jpg")</f>
        <v/>
      </c>
      <c r="M4851">
        <f>IMAGE("file:///E:/Estudios%20y%20certificaciones/ESTUDIOS%20DE%20PROGRAMMING/PROGRAMMING/PERSONAL/PYTHON/Image_Generator_API/imagenes/T_TAHARI_6621069_STL_2.jpg")</f>
        <v/>
      </c>
      <c r="N4851">
        <f>IMAGE("file:///E:/Estudios%20y%20certificaciones/ESTUDIOS%20DE%20PROGRAMMING/PROGRAMMING/PERSONAL/PYTHON/Image_Generator_API/imagenes/T_TAHARI_6621069_STL_3.jpg")</f>
        <v/>
      </c>
      <c r="O4851">
        <f>HYPERLINK("imagenes/T_TAHARI_6621069_STL_1.jpg","Ver imagen")</f>
        <v/>
      </c>
      <c r="P4851">
        <f>HYPERLINK("imagenes/T_TAHARI_6621069_STL_2.jpg","Ver imagen")</f>
        <v/>
      </c>
      <c r="Q4851">
        <f>HYPERLINK("imagenes/T_TAHARI_6621069_STL_3.jpg","Ver imagen")</f>
        <v/>
      </c>
    </row>
    <row r="4852">
      <c r="A4852" t="inlineStr">
        <is>
          <t>T TAHARI</t>
        </is>
      </c>
      <c r="B4852" t="inlineStr">
        <is>
          <t>6621096</t>
        </is>
      </c>
      <c r="C4852" t="inlineStr">
        <is>
          <t>CASEY</t>
        </is>
      </c>
      <c r="D4852" t="inlineStr">
        <is>
          <t>BLK</t>
        </is>
      </c>
      <c r="E4852" t="inlineStr">
        <is>
          <t>(en blanco)</t>
        </is>
      </c>
      <c r="F4852" t="inlineStr">
        <is>
          <t>(en blanco)</t>
        </is>
      </c>
      <c r="G4852" t="inlineStr">
        <is>
          <t>XS</t>
        </is>
      </c>
      <c r="H4852" t="n">
        <v>28</v>
      </c>
      <c r="I4852" t="inlineStr">
        <is>
          <t>T_TAHARI_6621096_BLK_1.jpg</t>
        </is>
      </c>
      <c r="J4852" t="inlineStr">
        <is>
          <t>T_TAHARI_6621096_BLK_2.jpg</t>
        </is>
      </c>
      <c r="K4852" t="inlineStr">
        <is>
          <t>T_TAHARI_6621096_BLK_3.jpg</t>
        </is>
      </c>
      <c r="L4852">
        <f>IMAGE("file:///E:/Estudios%20y%20certificaciones/ESTUDIOS%20DE%20PROGRAMMING/PROGRAMMING/PERSONAL/PYTHON/Image_Generator_API/imagenes/T_TAHARI_6621096_BLK_1.jpg")</f>
        <v/>
      </c>
      <c r="M4852">
        <f>IMAGE("file:///E:/Estudios%20y%20certificaciones/ESTUDIOS%20DE%20PROGRAMMING/PROGRAMMING/PERSONAL/PYTHON/Image_Generator_API/imagenes/T_TAHARI_6621096_BLK_2.jpg")</f>
        <v/>
      </c>
      <c r="N4852">
        <f>IMAGE("file:///E:/Estudios%20y%20certificaciones/ESTUDIOS%20DE%20PROGRAMMING/PROGRAMMING/PERSONAL/PYTHON/Image_Generator_API/imagenes/T_TAHARI_6621096_BLK_3.jpg")</f>
        <v/>
      </c>
      <c r="O4852">
        <f>HYPERLINK("imagenes/T_TAHARI_6621096_BLK_1.jpg","Ver imagen")</f>
        <v/>
      </c>
      <c r="P4852">
        <f>HYPERLINK("imagenes/T_TAHARI_6621096_BLK_2.jpg","Ver imagen")</f>
        <v/>
      </c>
      <c r="Q4852">
        <f>HYPERLINK("imagenes/T_TAHARI_6621096_BLK_3.jpg","Ver imagen")</f>
        <v/>
      </c>
    </row>
    <row r="4853">
      <c r="A4853" t="inlineStr">
        <is>
          <t>T TAHARI</t>
        </is>
      </c>
      <c r="B4853" t="inlineStr">
        <is>
          <t>6621096</t>
        </is>
      </c>
      <c r="C4853" t="inlineStr">
        <is>
          <t>CASEY</t>
        </is>
      </c>
      <c r="D4853" t="inlineStr">
        <is>
          <t>BLK</t>
        </is>
      </c>
      <c r="E4853" t="inlineStr">
        <is>
          <t>(en blanco)</t>
        </is>
      </c>
      <c r="F4853" t="inlineStr">
        <is>
          <t>(en blanco)</t>
        </is>
      </c>
      <c r="G4853" t="inlineStr">
        <is>
          <t>S</t>
        </is>
      </c>
      <c r="H4853" t="n">
        <v>3</v>
      </c>
      <c r="I4853" t="inlineStr">
        <is>
          <t>T_TAHARI_6621096_BLK_1.jpg</t>
        </is>
      </c>
      <c r="J4853" t="inlineStr">
        <is>
          <t>T_TAHARI_6621096_BLK_2.jpg</t>
        </is>
      </c>
      <c r="K4853" t="inlineStr">
        <is>
          <t>T_TAHARI_6621096_BLK_3.jpg</t>
        </is>
      </c>
      <c r="L4853">
        <f>IMAGE("file:///E:/Estudios%20y%20certificaciones/ESTUDIOS%20DE%20PROGRAMMING/PROGRAMMING/PERSONAL/PYTHON/Image_Generator_API/imagenes/T_TAHARI_6621096_BLK_1.jpg")</f>
        <v/>
      </c>
      <c r="M4853">
        <f>IMAGE("file:///E:/Estudios%20y%20certificaciones/ESTUDIOS%20DE%20PROGRAMMING/PROGRAMMING/PERSONAL/PYTHON/Image_Generator_API/imagenes/T_TAHARI_6621096_BLK_2.jpg")</f>
        <v/>
      </c>
      <c r="N4853">
        <f>IMAGE("file:///E:/Estudios%20y%20certificaciones/ESTUDIOS%20DE%20PROGRAMMING/PROGRAMMING/PERSONAL/PYTHON/Image_Generator_API/imagenes/T_TAHARI_6621096_BLK_3.jpg")</f>
        <v/>
      </c>
      <c r="O4853">
        <f>HYPERLINK("imagenes/T_TAHARI_6621096_BLK_1.jpg","Ver imagen")</f>
        <v/>
      </c>
      <c r="P4853">
        <f>HYPERLINK("imagenes/T_TAHARI_6621096_BLK_2.jpg","Ver imagen")</f>
        <v/>
      </c>
      <c r="Q4853">
        <f>HYPERLINK("imagenes/T_TAHARI_6621096_BLK_3.jpg","Ver imagen")</f>
        <v/>
      </c>
    </row>
    <row r="4854">
      <c r="A4854" t="inlineStr">
        <is>
          <t>T TAHARI</t>
        </is>
      </c>
      <c r="B4854" t="inlineStr">
        <is>
          <t>6621096</t>
        </is>
      </c>
      <c r="C4854" t="inlineStr">
        <is>
          <t>CASEY</t>
        </is>
      </c>
      <c r="D4854" t="inlineStr">
        <is>
          <t>BLK</t>
        </is>
      </c>
      <c r="E4854" t="inlineStr">
        <is>
          <t>(en blanco)</t>
        </is>
      </c>
      <c r="F4854" t="inlineStr">
        <is>
          <t>(en blanco)</t>
        </is>
      </c>
      <c r="G4854" t="inlineStr">
        <is>
          <t>XL</t>
        </is>
      </c>
      <c r="H4854" t="n">
        <v>2</v>
      </c>
      <c r="I4854" t="inlineStr">
        <is>
          <t>T_TAHARI_6621096_BLK_1.jpg</t>
        </is>
      </c>
      <c r="J4854" t="inlineStr">
        <is>
          <t>T_TAHARI_6621096_BLK_2.jpg</t>
        </is>
      </c>
      <c r="K4854" t="inlineStr">
        <is>
          <t>T_TAHARI_6621096_BLK_3.jpg</t>
        </is>
      </c>
      <c r="L4854">
        <f>IMAGE("file:///E:/Estudios%20y%20certificaciones/ESTUDIOS%20DE%20PROGRAMMING/PROGRAMMING/PERSONAL/PYTHON/Image_Generator_API/imagenes/T_TAHARI_6621096_BLK_1.jpg")</f>
        <v/>
      </c>
      <c r="M4854">
        <f>IMAGE("file:///E:/Estudios%20y%20certificaciones/ESTUDIOS%20DE%20PROGRAMMING/PROGRAMMING/PERSONAL/PYTHON/Image_Generator_API/imagenes/T_TAHARI_6621096_BLK_2.jpg")</f>
        <v/>
      </c>
      <c r="N4854">
        <f>IMAGE("file:///E:/Estudios%20y%20certificaciones/ESTUDIOS%20DE%20PROGRAMMING/PROGRAMMING/PERSONAL/PYTHON/Image_Generator_API/imagenes/T_TAHARI_6621096_BLK_3.jpg")</f>
        <v/>
      </c>
      <c r="O4854">
        <f>HYPERLINK("imagenes/T_TAHARI_6621096_BLK_1.jpg","Ver imagen")</f>
        <v/>
      </c>
      <c r="P4854">
        <f>HYPERLINK("imagenes/T_TAHARI_6621096_BLK_2.jpg","Ver imagen")</f>
        <v/>
      </c>
      <c r="Q4854">
        <f>HYPERLINK("imagenes/T_TAHARI_6621096_BLK_3.jpg","Ver imagen")</f>
        <v/>
      </c>
    </row>
    <row r="4855">
      <c r="A4855" t="inlineStr">
        <is>
          <t>T TAHARI</t>
        </is>
      </c>
      <c r="B4855" t="inlineStr">
        <is>
          <t>6621096</t>
        </is>
      </c>
      <c r="C4855" t="inlineStr">
        <is>
          <t>CASEY</t>
        </is>
      </c>
      <c r="D4855" t="inlineStr">
        <is>
          <t>GXY</t>
        </is>
      </c>
      <c r="E4855" t="inlineStr">
        <is>
          <t>(en blanco)</t>
        </is>
      </c>
      <c r="F4855" t="inlineStr">
        <is>
          <t>(en blanco)</t>
        </is>
      </c>
      <c r="G4855" t="inlineStr">
        <is>
          <t>XS</t>
        </is>
      </c>
      <c r="H4855" t="n">
        <v>8</v>
      </c>
      <c r="I4855" t="inlineStr">
        <is>
          <t>T_TAHARI_6621096_GXY_1.jpg</t>
        </is>
      </c>
      <c r="J4855" t="inlineStr">
        <is>
          <t>T_TAHARI_6621096_GXY_2.jpg</t>
        </is>
      </c>
      <c r="K4855" t="inlineStr">
        <is>
          <t>T_TAHARI_6621096_GXY_3.jpg</t>
        </is>
      </c>
      <c r="L4855">
        <f>IMAGE("file:///E:/Estudios%20y%20certificaciones/ESTUDIOS%20DE%20PROGRAMMING/PROGRAMMING/PERSONAL/PYTHON/Image_Generator_API/imagenes/T_TAHARI_6621096_GXY_1.jpg")</f>
        <v/>
      </c>
      <c r="M4855">
        <f>IMAGE("file:///E:/Estudios%20y%20certificaciones/ESTUDIOS%20DE%20PROGRAMMING/PROGRAMMING/PERSONAL/PYTHON/Image_Generator_API/imagenes/T_TAHARI_6621096_GXY_2.jpg")</f>
        <v/>
      </c>
      <c r="N4855">
        <f>IMAGE("file:///E:/Estudios%20y%20certificaciones/ESTUDIOS%20DE%20PROGRAMMING/PROGRAMMING/PERSONAL/PYTHON/Image_Generator_API/imagenes/T_TAHARI_6621096_GXY_3.jpg")</f>
        <v/>
      </c>
      <c r="O4855">
        <f>HYPERLINK("imagenes/T_TAHARI_6621096_GXY_1.jpg","Ver imagen")</f>
        <v/>
      </c>
      <c r="P4855">
        <f>HYPERLINK("imagenes/T_TAHARI_6621096_GXY_2.jpg","Ver imagen")</f>
        <v/>
      </c>
      <c r="Q4855">
        <f>HYPERLINK("imagenes/T_TAHARI_6621096_GXY_3.jpg","Ver imagen")</f>
        <v/>
      </c>
    </row>
    <row r="4856">
      <c r="A4856" t="inlineStr">
        <is>
          <t>T TAHARI</t>
        </is>
      </c>
      <c r="B4856" t="inlineStr">
        <is>
          <t>6621096</t>
        </is>
      </c>
      <c r="C4856" t="inlineStr">
        <is>
          <t>CASEY</t>
        </is>
      </c>
      <c r="D4856" t="inlineStr">
        <is>
          <t>GXY</t>
        </is>
      </c>
      <c r="E4856" t="inlineStr">
        <is>
          <t>(en blanco)</t>
        </is>
      </c>
      <c r="F4856" t="inlineStr">
        <is>
          <t>(en blanco)</t>
        </is>
      </c>
      <c r="G4856" t="inlineStr">
        <is>
          <t>S</t>
        </is>
      </c>
      <c r="H4856" t="n">
        <v>3</v>
      </c>
      <c r="I4856" t="inlineStr">
        <is>
          <t>T_TAHARI_6621096_GXY_1.jpg</t>
        </is>
      </c>
      <c r="J4856" t="inlineStr">
        <is>
          <t>T_TAHARI_6621096_GXY_2.jpg</t>
        </is>
      </c>
      <c r="K4856" t="inlineStr">
        <is>
          <t>T_TAHARI_6621096_GXY_3.jpg</t>
        </is>
      </c>
      <c r="L4856">
        <f>IMAGE("file:///E:/Estudios%20y%20certificaciones/ESTUDIOS%20DE%20PROGRAMMING/PROGRAMMING/PERSONAL/PYTHON/Image_Generator_API/imagenes/T_TAHARI_6621096_GXY_1.jpg")</f>
        <v/>
      </c>
      <c r="M4856">
        <f>IMAGE("file:///E:/Estudios%20y%20certificaciones/ESTUDIOS%20DE%20PROGRAMMING/PROGRAMMING/PERSONAL/PYTHON/Image_Generator_API/imagenes/T_TAHARI_6621096_GXY_2.jpg")</f>
        <v/>
      </c>
      <c r="N4856">
        <f>IMAGE("file:///E:/Estudios%20y%20certificaciones/ESTUDIOS%20DE%20PROGRAMMING/PROGRAMMING/PERSONAL/PYTHON/Image_Generator_API/imagenes/T_TAHARI_6621096_GXY_3.jpg")</f>
        <v/>
      </c>
      <c r="O4856">
        <f>HYPERLINK("imagenes/T_TAHARI_6621096_GXY_1.jpg","Ver imagen")</f>
        <v/>
      </c>
      <c r="P4856">
        <f>HYPERLINK("imagenes/T_TAHARI_6621096_GXY_2.jpg","Ver imagen")</f>
        <v/>
      </c>
      <c r="Q4856">
        <f>HYPERLINK("imagenes/T_TAHARI_6621096_GXY_3.jpg","Ver imagen")</f>
        <v/>
      </c>
    </row>
    <row r="4857">
      <c r="A4857" t="inlineStr">
        <is>
          <t>T TAHARI</t>
        </is>
      </c>
      <c r="B4857" t="inlineStr">
        <is>
          <t>6623718</t>
        </is>
      </c>
      <c r="C4857" t="inlineStr">
        <is>
          <t>SHEILA BOUCLE KNIT</t>
        </is>
      </c>
      <c r="D4857" t="inlineStr">
        <is>
          <t>FRG</t>
        </is>
      </c>
      <c r="E4857" t="inlineStr">
        <is>
          <t>(en blanco)</t>
        </is>
      </c>
      <c r="F4857" t="inlineStr">
        <is>
          <t>(en blanco)</t>
        </is>
      </c>
      <c r="G4857" t="inlineStr">
        <is>
          <t>XS</t>
        </is>
      </c>
      <c r="H4857" t="n">
        <v>2</v>
      </c>
      <c r="I4857" t="inlineStr">
        <is>
          <t>T_TAHARI_6623718_FRG_1.jpg</t>
        </is>
      </c>
      <c r="J4857" t="inlineStr">
        <is>
          <t>T_TAHARI_6623718_FRG_2.jpg</t>
        </is>
      </c>
      <c r="K4857" t="inlineStr">
        <is>
          <t>T_TAHARI_6623718_FRG_3.jpg</t>
        </is>
      </c>
      <c r="L4857">
        <f>IMAGE("file:///E:/Estudios%20y%20certificaciones/ESTUDIOS%20DE%20PROGRAMMING/PROGRAMMING/PERSONAL/PYTHON/Image_Generator_API/imagenes/T_TAHARI_6623718_FRG_1.jpg")</f>
        <v/>
      </c>
      <c r="M4857">
        <f>IMAGE("file:///E:/Estudios%20y%20certificaciones/ESTUDIOS%20DE%20PROGRAMMING/PROGRAMMING/PERSONAL/PYTHON/Image_Generator_API/imagenes/T_TAHARI_6623718_FRG_2.jpg")</f>
        <v/>
      </c>
      <c r="N4857">
        <f>IMAGE("file:///E:/Estudios%20y%20certificaciones/ESTUDIOS%20DE%20PROGRAMMING/PROGRAMMING/PERSONAL/PYTHON/Image_Generator_API/imagenes/T_TAHARI_6623718_FRG_3.jpg")</f>
        <v/>
      </c>
      <c r="O4857">
        <f>HYPERLINK("imagenes/T_TAHARI_6623718_FRG_1.jpg","Ver imagen")</f>
        <v/>
      </c>
      <c r="P4857">
        <f>HYPERLINK("imagenes/T_TAHARI_6623718_FRG_2.jpg","Ver imagen")</f>
        <v/>
      </c>
      <c r="Q4857">
        <f>HYPERLINK("imagenes/T_TAHARI_6623718_FRG_3.jpg","Ver imagen")</f>
        <v/>
      </c>
    </row>
    <row r="4858">
      <c r="A4858" t="inlineStr">
        <is>
          <t>T TAHARI</t>
        </is>
      </c>
      <c r="B4858" t="inlineStr">
        <is>
          <t>6624223</t>
        </is>
      </c>
      <c r="C4858" t="inlineStr">
        <is>
          <t>TALIA</t>
        </is>
      </c>
      <c r="D4858" t="inlineStr">
        <is>
          <t>BLK</t>
        </is>
      </c>
      <c r="E4858" t="inlineStr">
        <is>
          <t>(en blanco)</t>
        </is>
      </c>
      <c r="F4858" t="inlineStr">
        <is>
          <t>(en blanco)</t>
        </is>
      </c>
      <c r="G4858" t="inlineStr">
        <is>
          <t>L</t>
        </is>
      </c>
      <c r="H4858" t="n">
        <v>0</v>
      </c>
      <c r="I4858" t="inlineStr">
        <is>
          <t>T_TAHARI_6624223_BLK_1.jpg</t>
        </is>
      </c>
      <c r="J4858" t="inlineStr">
        <is>
          <t>T_TAHARI_6624223_BLK_2.jpg</t>
        </is>
      </c>
      <c r="K4858" t="inlineStr">
        <is>
          <t>T_TAHARI_6624223_BLK_3.jpg</t>
        </is>
      </c>
      <c r="L4858">
        <f>IMAGE("file:///E:/Estudios%20y%20certificaciones/ESTUDIOS%20DE%20PROGRAMMING/PROGRAMMING/PERSONAL/PYTHON/Image_Generator_API/imagenes/T_TAHARI_6624223_BLK_1.jpg")</f>
        <v/>
      </c>
      <c r="M4858">
        <f>IMAGE("file:///E:/Estudios%20y%20certificaciones/ESTUDIOS%20DE%20PROGRAMMING/PROGRAMMING/PERSONAL/PYTHON/Image_Generator_API/imagenes/T_TAHARI_6624223_BLK_2.jpg")</f>
        <v/>
      </c>
      <c r="N4858">
        <f>IMAGE("file:///E:/Estudios%20y%20certificaciones/ESTUDIOS%20DE%20PROGRAMMING/PROGRAMMING/PERSONAL/PYTHON/Image_Generator_API/imagenes/T_TAHARI_6624223_BLK_3.jpg")</f>
        <v/>
      </c>
      <c r="O4858">
        <f>HYPERLINK("imagenes/T_TAHARI_6624223_BLK_1.jpg","Ver imagen")</f>
        <v/>
      </c>
      <c r="P4858">
        <f>HYPERLINK("imagenes/T_TAHARI_6624223_BLK_2.jpg","Ver imagen")</f>
        <v/>
      </c>
      <c r="Q4858">
        <f>HYPERLINK("imagenes/T_TAHARI_6624223_BLK_3.jpg","Ver imagen")</f>
        <v/>
      </c>
    </row>
    <row r="4859">
      <c r="A4859" t="inlineStr">
        <is>
          <t>T TAHARI</t>
        </is>
      </c>
      <c r="B4859" t="inlineStr">
        <is>
          <t>6625156</t>
        </is>
      </c>
      <c r="C4859" t="inlineStr">
        <is>
          <t>JOLENE REAL FUR DOWN</t>
        </is>
      </c>
      <c r="D4859" t="inlineStr">
        <is>
          <t>MOT</t>
        </is>
      </c>
      <c r="E4859" t="inlineStr">
        <is>
          <t>(en blanco)</t>
        </is>
      </c>
      <c r="F4859" t="inlineStr">
        <is>
          <t>(en blanco)</t>
        </is>
      </c>
      <c r="G4859" t="inlineStr">
        <is>
          <t>XS</t>
        </is>
      </c>
      <c r="H4859" t="n">
        <v>15</v>
      </c>
      <c r="I4859" t="inlineStr">
        <is>
          <t>T_TAHARI_6625156_MOT_1.jpg</t>
        </is>
      </c>
      <c r="J4859" t="inlineStr">
        <is>
          <t>T_TAHARI_6625156_MOT_2.jpg</t>
        </is>
      </c>
      <c r="K4859" t="inlineStr">
        <is>
          <t>T_TAHARI_6625156_MOT_3.jpg</t>
        </is>
      </c>
      <c r="L4859">
        <f>IMAGE("file:///E:/Estudios%20y%20certificaciones/ESTUDIOS%20DE%20PROGRAMMING/PROGRAMMING/PERSONAL/PYTHON/Image_Generator_API/imagenes/T_TAHARI_6625156_MOT_1.jpg")</f>
        <v/>
      </c>
      <c r="M4859">
        <f>IMAGE("file:///E:/Estudios%20y%20certificaciones/ESTUDIOS%20DE%20PROGRAMMING/PROGRAMMING/PERSONAL/PYTHON/Image_Generator_API/imagenes/T_TAHARI_6625156_MOT_2.jpg")</f>
        <v/>
      </c>
      <c r="N4859">
        <f>IMAGE("file:///E:/Estudios%20y%20certificaciones/ESTUDIOS%20DE%20PROGRAMMING/PROGRAMMING/PERSONAL/PYTHON/Image_Generator_API/imagenes/T_TAHARI_6625156_MOT_3.jpg")</f>
        <v/>
      </c>
      <c r="O4859">
        <f>HYPERLINK("imagenes/T_TAHARI_6625156_MOT_1.jpg","Ver imagen")</f>
        <v/>
      </c>
      <c r="P4859">
        <f>HYPERLINK("imagenes/T_TAHARI_6625156_MOT_2.jpg","Ver imagen")</f>
        <v/>
      </c>
      <c r="Q4859">
        <f>HYPERLINK("imagenes/T_TAHARI_6625156_MOT_3.jpg","Ver imagen")</f>
        <v/>
      </c>
    </row>
    <row r="4860">
      <c r="A4860" t="inlineStr">
        <is>
          <t>T TAHARI</t>
        </is>
      </c>
      <c r="B4860" t="inlineStr">
        <is>
          <t>6625156</t>
        </is>
      </c>
      <c r="C4860" t="inlineStr">
        <is>
          <t>JOLENE REAL FUR DOWN</t>
        </is>
      </c>
      <c r="D4860" t="inlineStr">
        <is>
          <t>MOT</t>
        </is>
      </c>
      <c r="E4860" t="inlineStr">
        <is>
          <t>(en blanco)</t>
        </is>
      </c>
      <c r="F4860" t="inlineStr">
        <is>
          <t>(en blanco)</t>
        </is>
      </c>
      <c r="G4860" t="inlineStr">
        <is>
          <t>S</t>
        </is>
      </c>
      <c r="H4860" t="n">
        <v>1</v>
      </c>
      <c r="I4860" t="inlineStr">
        <is>
          <t>T_TAHARI_6625156_MOT_1.jpg</t>
        </is>
      </c>
      <c r="J4860" t="inlineStr">
        <is>
          <t>T_TAHARI_6625156_MOT_2.jpg</t>
        </is>
      </c>
      <c r="K4860" t="inlineStr">
        <is>
          <t>T_TAHARI_6625156_MOT_3.jpg</t>
        </is>
      </c>
      <c r="L4860">
        <f>IMAGE("file:///E:/Estudios%20y%20certificaciones/ESTUDIOS%20DE%20PROGRAMMING/PROGRAMMING/PERSONAL/PYTHON/Image_Generator_API/imagenes/T_TAHARI_6625156_MOT_1.jpg")</f>
        <v/>
      </c>
      <c r="M4860">
        <f>IMAGE("file:///E:/Estudios%20y%20certificaciones/ESTUDIOS%20DE%20PROGRAMMING/PROGRAMMING/PERSONAL/PYTHON/Image_Generator_API/imagenes/T_TAHARI_6625156_MOT_2.jpg")</f>
        <v/>
      </c>
      <c r="N4860">
        <f>IMAGE("file:///E:/Estudios%20y%20certificaciones/ESTUDIOS%20DE%20PROGRAMMING/PROGRAMMING/PERSONAL/PYTHON/Image_Generator_API/imagenes/T_TAHARI_6625156_MOT_3.jpg")</f>
        <v/>
      </c>
      <c r="O4860">
        <f>HYPERLINK("imagenes/T_TAHARI_6625156_MOT_1.jpg","Ver imagen")</f>
        <v/>
      </c>
      <c r="P4860">
        <f>HYPERLINK("imagenes/T_TAHARI_6625156_MOT_2.jpg","Ver imagen")</f>
        <v/>
      </c>
      <c r="Q4860">
        <f>HYPERLINK("imagenes/T_TAHARI_6625156_MOT_3.jpg","Ver imagen")</f>
        <v/>
      </c>
    </row>
    <row r="4861">
      <c r="A4861" t="inlineStr">
        <is>
          <t>T TAHARI</t>
        </is>
      </c>
      <c r="B4861" t="inlineStr">
        <is>
          <t>6627123</t>
        </is>
      </c>
      <c r="C4861" t="inlineStr">
        <is>
          <t>NATALIE</t>
        </is>
      </c>
      <c r="D4861" t="inlineStr">
        <is>
          <t>BLK</t>
        </is>
      </c>
      <c r="E4861" t="inlineStr">
        <is>
          <t>(en blanco)</t>
        </is>
      </c>
      <c r="F4861" t="inlineStr">
        <is>
          <t>D2C</t>
        </is>
      </c>
      <c r="G4861" t="inlineStr">
        <is>
          <t>XS</t>
        </is>
      </c>
      <c r="H4861" t="n">
        <v>4</v>
      </c>
      <c r="I4861" t="inlineStr">
        <is>
          <t>T_TAHARI_6627123_BLK_1.jpg</t>
        </is>
      </c>
      <c r="J4861" t="inlineStr">
        <is>
          <t>T_TAHARI_6627123_BLK_2.jpg</t>
        </is>
      </c>
      <c r="K4861" t="inlineStr">
        <is>
          <t>T_TAHARI_6627123_BLK_3.jpg</t>
        </is>
      </c>
      <c r="L4861">
        <f>IMAGE("file:///E:/Estudios%20y%20certificaciones/ESTUDIOS%20DE%20PROGRAMMING/PROGRAMMING/PERSONAL/PYTHON/Image_Generator_API/imagenes/T_TAHARI_6627123_BLK_1.jpg")</f>
        <v/>
      </c>
      <c r="M4861">
        <f>IMAGE("file:///E:/Estudios%20y%20certificaciones/ESTUDIOS%20DE%20PROGRAMMING/PROGRAMMING/PERSONAL/PYTHON/Image_Generator_API/imagenes/T_TAHARI_6627123_BLK_2.jpg")</f>
        <v/>
      </c>
      <c r="N4861">
        <f>IMAGE("file:///E:/Estudios%20y%20certificaciones/ESTUDIOS%20DE%20PROGRAMMING/PROGRAMMING/PERSONAL/PYTHON/Image_Generator_API/imagenes/T_TAHARI_6627123_BLK_3.jpg")</f>
        <v/>
      </c>
      <c r="O4861">
        <f>HYPERLINK("imagenes/T_TAHARI_6627123_BLK_1.jpg","Ver imagen")</f>
        <v/>
      </c>
      <c r="P4861">
        <f>HYPERLINK("imagenes/T_TAHARI_6627123_BLK_2.jpg","Ver imagen")</f>
        <v/>
      </c>
      <c r="Q4861">
        <f>HYPERLINK("imagenes/T_TAHARI_6627123_BLK_3.jpg","Ver imagen")</f>
        <v/>
      </c>
    </row>
    <row r="4862">
      <c r="A4862" t="inlineStr">
        <is>
          <t>T TAHARI</t>
        </is>
      </c>
      <c r="B4862" t="inlineStr">
        <is>
          <t>6627123</t>
        </is>
      </c>
      <c r="C4862" t="inlineStr">
        <is>
          <t>NATALIE</t>
        </is>
      </c>
      <c r="D4862" t="inlineStr">
        <is>
          <t>BLK</t>
        </is>
      </c>
      <c r="E4862" t="inlineStr">
        <is>
          <t>(en blanco)</t>
        </is>
      </c>
      <c r="F4862" t="inlineStr">
        <is>
          <t>D2C</t>
        </is>
      </c>
      <c r="G4862" t="inlineStr">
        <is>
          <t>S</t>
        </is>
      </c>
      <c r="H4862" t="n">
        <v>12</v>
      </c>
      <c r="I4862" t="inlineStr">
        <is>
          <t>T_TAHARI_6627123_BLK_1.jpg</t>
        </is>
      </c>
      <c r="J4862" t="inlineStr">
        <is>
          <t>T_TAHARI_6627123_BLK_2.jpg</t>
        </is>
      </c>
      <c r="K4862" t="inlineStr">
        <is>
          <t>T_TAHARI_6627123_BLK_3.jpg</t>
        </is>
      </c>
      <c r="L4862">
        <f>IMAGE("file:///E:/Estudios%20y%20certificaciones/ESTUDIOS%20DE%20PROGRAMMING/PROGRAMMING/PERSONAL/PYTHON/Image_Generator_API/imagenes/T_TAHARI_6627123_BLK_1.jpg")</f>
        <v/>
      </c>
      <c r="M4862">
        <f>IMAGE("file:///E:/Estudios%20y%20certificaciones/ESTUDIOS%20DE%20PROGRAMMING/PROGRAMMING/PERSONAL/PYTHON/Image_Generator_API/imagenes/T_TAHARI_6627123_BLK_2.jpg")</f>
        <v/>
      </c>
      <c r="N4862">
        <f>IMAGE("file:///E:/Estudios%20y%20certificaciones/ESTUDIOS%20DE%20PROGRAMMING/PROGRAMMING/PERSONAL/PYTHON/Image_Generator_API/imagenes/T_TAHARI_6627123_BLK_3.jpg")</f>
        <v/>
      </c>
      <c r="O4862">
        <f>HYPERLINK("imagenes/T_TAHARI_6627123_BLK_1.jpg","Ver imagen")</f>
        <v/>
      </c>
      <c r="P4862">
        <f>HYPERLINK("imagenes/T_TAHARI_6627123_BLK_2.jpg","Ver imagen")</f>
        <v/>
      </c>
      <c r="Q4862">
        <f>HYPERLINK("imagenes/T_TAHARI_6627123_BLK_3.jpg","Ver imagen")</f>
        <v/>
      </c>
    </row>
    <row r="4863">
      <c r="A4863" t="inlineStr">
        <is>
          <t>T TAHARI</t>
        </is>
      </c>
      <c r="B4863" t="inlineStr">
        <is>
          <t>6627123</t>
        </is>
      </c>
      <c r="C4863" t="inlineStr">
        <is>
          <t>NATALIE</t>
        </is>
      </c>
      <c r="D4863" t="inlineStr">
        <is>
          <t>BLK</t>
        </is>
      </c>
      <c r="E4863" t="inlineStr">
        <is>
          <t>(en blanco)</t>
        </is>
      </c>
      <c r="F4863" t="inlineStr">
        <is>
          <t>D2C</t>
        </is>
      </c>
      <c r="G4863" t="inlineStr">
        <is>
          <t>M</t>
        </is>
      </c>
      <c r="H4863" t="n">
        <v>2</v>
      </c>
      <c r="I4863" t="inlineStr">
        <is>
          <t>T_TAHARI_6627123_BLK_1.jpg</t>
        </is>
      </c>
      <c r="J4863" t="inlineStr">
        <is>
          <t>T_TAHARI_6627123_BLK_2.jpg</t>
        </is>
      </c>
      <c r="K4863" t="inlineStr">
        <is>
          <t>T_TAHARI_6627123_BLK_3.jpg</t>
        </is>
      </c>
      <c r="L4863">
        <f>IMAGE("file:///E:/Estudios%20y%20certificaciones/ESTUDIOS%20DE%20PROGRAMMING/PROGRAMMING/PERSONAL/PYTHON/Image_Generator_API/imagenes/T_TAHARI_6627123_BLK_1.jpg")</f>
        <v/>
      </c>
      <c r="M4863">
        <f>IMAGE("file:///E:/Estudios%20y%20certificaciones/ESTUDIOS%20DE%20PROGRAMMING/PROGRAMMING/PERSONAL/PYTHON/Image_Generator_API/imagenes/T_TAHARI_6627123_BLK_2.jpg")</f>
        <v/>
      </c>
      <c r="N4863">
        <f>IMAGE("file:///E:/Estudios%20y%20certificaciones/ESTUDIOS%20DE%20PROGRAMMING/PROGRAMMING/PERSONAL/PYTHON/Image_Generator_API/imagenes/T_TAHARI_6627123_BLK_3.jpg")</f>
        <v/>
      </c>
      <c r="O4863">
        <f>HYPERLINK("imagenes/T_TAHARI_6627123_BLK_1.jpg","Ver imagen")</f>
        <v/>
      </c>
      <c r="P4863">
        <f>HYPERLINK("imagenes/T_TAHARI_6627123_BLK_2.jpg","Ver imagen")</f>
        <v/>
      </c>
      <c r="Q4863">
        <f>HYPERLINK("imagenes/T_TAHARI_6627123_BLK_3.jpg","Ver imagen")</f>
        <v/>
      </c>
    </row>
    <row r="4864">
      <c r="A4864" t="inlineStr">
        <is>
          <t>T TAHARI</t>
        </is>
      </c>
      <c r="B4864" t="inlineStr">
        <is>
          <t>6627123</t>
        </is>
      </c>
      <c r="C4864" t="inlineStr">
        <is>
          <t>NATALIE</t>
        </is>
      </c>
      <c r="D4864" t="inlineStr">
        <is>
          <t>BLK</t>
        </is>
      </c>
      <c r="E4864" t="inlineStr">
        <is>
          <t>(en blanco)</t>
        </is>
      </c>
      <c r="F4864" t="inlineStr">
        <is>
          <t>D2C</t>
        </is>
      </c>
      <c r="G4864" t="inlineStr">
        <is>
          <t>L</t>
        </is>
      </c>
      <c r="H4864" t="n">
        <v>25</v>
      </c>
      <c r="I4864" t="inlineStr">
        <is>
          <t>T_TAHARI_6627123_BLK_1.jpg</t>
        </is>
      </c>
      <c r="J4864" t="inlineStr">
        <is>
          <t>T_TAHARI_6627123_BLK_2.jpg</t>
        </is>
      </c>
      <c r="K4864" t="inlineStr">
        <is>
          <t>T_TAHARI_6627123_BLK_3.jpg</t>
        </is>
      </c>
      <c r="L4864">
        <f>IMAGE("file:///E:/Estudios%20y%20certificaciones/ESTUDIOS%20DE%20PROGRAMMING/PROGRAMMING/PERSONAL/PYTHON/Image_Generator_API/imagenes/T_TAHARI_6627123_BLK_1.jpg")</f>
        <v/>
      </c>
      <c r="M4864">
        <f>IMAGE("file:///E:/Estudios%20y%20certificaciones/ESTUDIOS%20DE%20PROGRAMMING/PROGRAMMING/PERSONAL/PYTHON/Image_Generator_API/imagenes/T_TAHARI_6627123_BLK_2.jpg")</f>
        <v/>
      </c>
      <c r="N4864">
        <f>IMAGE("file:///E:/Estudios%20y%20certificaciones/ESTUDIOS%20DE%20PROGRAMMING/PROGRAMMING/PERSONAL/PYTHON/Image_Generator_API/imagenes/T_TAHARI_6627123_BLK_3.jpg")</f>
        <v/>
      </c>
      <c r="O4864">
        <f>HYPERLINK("imagenes/T_TAHARI_6627123_BLK_1.jpg","Ver imagen")</f>
        <v/>
      </c>
      <c r="P4864">
        <f>HYPERLINK("imagenes/T_TAHARI_6627123_BLK_2.jpg","Ver imagen")</f>
        <v/>
      </c>
      <c r="Q4864">
        <f>HYPERLINK("imagenes/T_TAHARI_6627123_BLK_3.jpg","Ver imagen")</f>
        <v/>
      </c>
    </row>
    <row r="4865">
      <c r="A4865" t="inlineStr">
        <is>
          <t>T TAHARI</t>
        </is>
      </c>
      <c r="B4865" t="inlineStr">
        <is>
          <t>6627123</t>
        </is>
      </c>
      <c r="C4865" t="inlineStr">
        <is>
          <t>NATALIE</t>
        </is>
      </c>
      <c r="D4865" t="inlineStr">
        <is>
          <t>BLK</t>
        </is>
      </c>
      <c r="E4865" t="inlineStr">
        <is>
          <t>(en blanco)</t>
        </is>
      </c>
      <c r="F4865" t="inlineStr">
        <is>
          <t>D2C</t>
        </is>
      </c>
      <c r="G4865" t="inlineStr">
        <is>
          <t>XL</t>
        </is>
      </c>
      <c r="H4865" t="n">
        <v>16</v>
      </c>
      <c r="I4865" t="inlineStr">
        <is>
          <t>T_TAHARI_6627123_BLK_1.jpg</t>
        </is>
      </c>
      <c r="J4865" t="inlineStr">
        <is>
          <t>T_TAHARI_6627123_BLK_2.jpg</t>
        </is>
      </c>
      <c r="K4865" t="inlineStr">
        <is>
          <t>T_TAHARI_6627123_BLK_3.jpg</t>
        </is>
      </c>
      <c r="L4865">
        <f>IMAGE("file:///E:/Estudios%20y%20certificaciones/ESTUDIOS%20DE%20PROGRAMMING/PROGRAMMING/PERSONAL/PYTHON/Image_Generator_API/imagenes/T_TAHARI_6627123_BLK_1.jpg")</f>
        <v/>
      </c>
      <c r="M4865">
        <f>IMAGE("file:///E:/Estudios%20y%20certificaciones/ESTUDIOS%20DE%20PROGRAMMING/PROGRAMMING/PERSONAL/PYTHON/Image_Generator_API/imagenes/T_TAHARI_6627123_BLK_2.jpg")</f>
        <v/>
      </c>
      <c r="N4865">
        <f>IMAGE("file:///E:/Estudios%20y%20certificaciones/ESTUDIOS%20DE%20PROGRAMMING/PROGRAMMING/PERSONAL/PYTHON/Image_Generator_API/imagenes/T_TAHARI_6627123_BLK_3.jpg")</f>
        <v/>
      </c>
      <c r="O4865">
        <f>HYPERLINK("imagenes/T_TAHARI_6627123_BLK_1.jpg","Ver imagen")</f>
        <v/>
      </c>
      <c r="P4865">
        <f>HYPERLINK("imagenes/T_TAHARI_6627123_BLK_2.jpg","Ver imagen")</f>
        <v/>
      </c>
      <c r="Q4865">
        <f>HYPERLINK("imagenes/T_TAHARI_6627123_BLK_3.jpg","Ver imagen")</f>
        <v/>
      </c>
    </row>
    <row r="4866">
      <c r="A4866" t="inlineStr">
        <is>
          <t>T TAHARI</t>
        </is>
      </c>
      <c r="B4866" t="inlineStr">
        <is>
          <t>6627123</t>
        </is>
      </c>
      <c r="C4866" t="inlineStr">
        <is>
          <t>NATALIE</t>
        </is>
      </c>
      <c r="D4866" t="inlineStr">
        <is>
          <t>BLK</t>
        </is>
      </c>
      <c r="E4866" t="inlineStr">
        <is>
          <t>(en blanco)</t>
        </is>
      </c>
      <c r="F4866" t="inlineStr">
        <is>
          <t>D2C</t>
        </is>
      </c>
      <c r="G4866" t="inlineStr">
        <is>
          <t>XXL</t>
        </is>
      </c>
      <c r="H4866" t="n">
        <v>28</v>
      </c>
      <c r="I4866" t="inlineStr">
        <is>
          <t>T_TAHARI_6627123_BLK_1.jpg</t>
        </is>
      </c>
      <c r="J4866" t="inlineStr">
        <is>
          <t>T_TAHARI_6627123_BLK_2.jpg</t>
        </is>
      </c>
      <c r="K4866" t="inlineStr">
        <is>
          <t>T_TAHARI_6627123_BLK_3.jpg</t>
        </is>
      </c>
      <c r="L4866">
        <f>IMAGE("file:///E:/Estudios%20y%20certificaciones/ESTUDIOS%20DE%20PROGRAMMING/PROGRAMMING/PERSONAL/PYTHON/Image_Generator_API/imagenes/T_TAHARI_6627123_BLK_1.jpg")</f>
        <v/>
      </c>
      <c r="M4866">
        <f>IMAGE("file:///E:/Estudios%20y%20certificaciones/ESTUDIOS%20DE%20PROGRAMMING/PROGRAMMING/PERSONAL/PYTHON/Image_Generator_API/imagenes/T_TAHARI_6627123_BLK_2.jpg")</f>
        <v/>
      </c>
      <c r="N4866">
        <f>IMAGE("file:///E:/Estudios%20y%20certificaciones/ESTUDIOS%20DE%20PROGRAMMING/PROGRAMMING/PERSONAL/PYTHON/Image_Generator_API/imagenes/T_TAHARI_6627123_BLK_3.jpg")</f>
        <v/>
      </c>
      <c r="O4866">
        <f>HYPERLINK("imagenes/T_TAHARI_6627123_BLK_1.jpg","Ver imagen")</f>
        <v/>
      </c>
      <c r="P4866">
        <f>HYPERLINK("imagenes/T_TAHARI_6627123_BLK_2.jpg","Ver imagen")</f>
        <v/>
      </c>
      <c r="Q4866">
        <f>HYPERLINK("imagenes/T_TAHARI_6627123_BLK_3.jpg","Ver imagen")</f>
        <v/>
      </c>
    </row>
    <row r="4867">
      <c r="A4867" t="inlineStr">
        <is>
          <t>T TAHARI</t>
        </is>
      </c>
      <c r="B4867" t="inlineStr">
        <is>
          <t>6627123</t>
        </is>
      </c>
      <c r="C4867" t="inlineStr">
        <is>
          <t>NATALIE</t>
        </is>
      </c>
      <c r="D4867" t="inlineStr">
        <is>
          <t>BLK</t>
        </is>
      </c>
      <c r="E4867" t="inlineStr">
        <is>
          <t>(en blanco)</t>
        </is>
      </c>
      <c r="F4867" t="inlineStr">
        <is>
          <t>(en blanco)</t>
        </is>
      </c>
      <c r="G4867" t="inlineStr">
        <is>
          <t>XS</t>
        </is>
      </c>
      <c r="H4867" t="n">
        <v>3</v>
      </c>
      <c r="I4867" t="inlineStr">
        <is>
          <t>T_TAHARI_6627123_BLK_1.jpg</t>
        </is>
      </c>
      <c r="J4867" t="inlineStr">
        <is>
          <t>T_TAHARI_6627123_BLK_2.jpg</t>
        </is>
      </c>
      <c r="K4867" t="inlineStr">
        <is>
          <t>T_TAHARI_6627123_BLK_3.jpg</t>
        </is>
      </c>
      <c r="L4867">
        <f>IMAGE("file:///E:/Estudios%20y%20certificaciones/ESTUDIOS%20DE%20PROGRAMMING/PROGRAMMING/PERSONAL/PYTHON/Image_Generator_API/imagenes/T_TAHARI_6627123_BLK_1.jpg")</f>
        <v/>
      </c>
      <c r="M4867">
        <f>IMAGE("file:///E:/Estudios%20y%20certificaciones/ESTUDIOS%20DE%20PROGRAMMING/PROGRAMMING/PERSONAL/PYTHON/Image_Generator_API/imagenes/T_TAHARI_6627123_BLK_2.jpg")</f>
        <v/>
      </c>
      <c r="N4867">
        <f>IMAGE("file:///E:/Estudios%20y%20certificaciones/ESTUDIOS%20DE%20PROGRAMMING/PROGRAMMING/PERSONAL/PYTHON/Image_Generator_API/imagenes/T_TAHARI_6627123_BLK_3.jpg")</f>
        <v/>
      </c>
      <c r="O4867">
        <f>HYPERLINK("imagenes/T_TAHARI_6627123_BLK_1.jpg","Ver imagen")</f>
        <v/>
      </c>
      <c r="P4867">
        <f>HYPERLINK("imagenes/T_TAHARI_6627123_BLK_2.jpg","Ver imagen")</f>
        <v/>
      </c>
      <c r="Q4867">
        <f>HYPERLINK("imagenes/T_TAHARI_6627123_BLK_3.jpg","Ver imagen")</f>
        <v/>
      </c>
    </row>
    <row r="4868">
      <c r="A4868" t="inlineStr">
        <is>
          <t>T TAHARI</t>
        </is>
      </c>
      <c r="B4868" t="inlineStr">
        <is>
          <t>6627123</t>
        </is>
      </c>
      <c r="C4868" t="inlineStr">
        <is>
          <t>NATALIE</t>
        </is>
      </c>
      <c r="D4868" t="inlineStr">
        <is>
          <t>BLK</t>
        </is>
      </c>
      <c r="E4868" t="inlineStr">
        <is>
          <t>(en blanco)</t>
        </is>
      </c>
      <c r="F4868" t="inlineStr">
        <is>
          <t>(en blanco)</t>
        </is>
      </c>
      <c r="G4868" t="inlineStr">
        <is>
          <t>S</t>
        </is>
      </c>
      <c r="H4868" t="n">
        <v>9</v>
      </c>
      <c r="I4868" t="inlineStr">
        <is>
          <t>T_TAHARI_6627123_BLK_1.jpg</t>
        </is>
      </c>
      <c r="J4868" t="inlineStr">
        <is>
          <t>T_TAHARI_6627123_BLK_2.jpg</t>
        </is>
      </c>
      <c r="K4868" t="inlineStr">
        <is>
          <t>T_TAHARI_6627123_BLK_3.jpg</t>
        </is>
      </c>
      <c r="L4868">
        <f>IMAGE("file:///E:/Estudios%20y%20certificaciones/ESTUDIOS%20DE%20PROGRAMMING/PROGRAMMING/PERSONAL/PYTHON/Image_Generator_API/imagenes/T_TAHARI_6627123_BLK_1.jpg")</f>
        <v/>
      </c>
      <c r="M4868">
        <f>IMAGE("file:///E:/Estudios%20y%20certificaciones/ESTUDIOS%20DE%20PROGRAMMING/PROGRAMMING/PERSONAL/PYTHON/Image_Generator_API/imagenes/T_TAHARI_6627123_BLK_2.jpg")</f>
        <v/>
      </c>
      <c r="N4868">
        <f>IMAGE("file:///E:/Estudios%20y%20certificaciones/ESTUDIOS%20DE%20PROGRAMMING/PROGRAMMING/PERSONAL/PYTHON/Image_Generator_API/imagenes/T_TAHARI_6627123_BLK_3.jpg")</f>
        <v/>
      </c>
      <c r="O4868">
        <f>HYPERLINK("imagenes/T_TAHARI_6627123_BLK_1.jpg","Ver imagen")</f>
        <v/>
      </c>
      <c r="P4868">
        <f>HYPERLINK("imagenes/T_TAHARI_6627123_BLK_2.jpg","Ver imagen")</f>
        <v/>
      </c>
      <c r="Q4868">
        <f>HYPERLINK("imagenes/T_TAHARI_6627123_BLK_3.jpg","Ver imagen")</f>
        <v/>
      </c>
    </row>
    <row r="4869">
      <c r="A4869" t="inlineStr">
        <is>
          <t>T TAHARI</t>
        </is>
      </c>
      <c r="B4869" t="inlineStr">
        <is>
          <t>6627123</t>
        </is>
      </c>
      <c r="C4869" t="inlineStr">
        <is>
          <t>NATALIE</t>
        </is>
      </c>
      <c r="D4869" t="inlineStr">
        <is>
          <t>BLK</t>
        </is>
      </c>
      <c r="E4869" t="inlineStr">
        <is>
          <t>(en blanco)</t>
        </is>
      </c>
      <c r="F4869" t="inlineStr">
        <is>
          <t>(en blanco)</t>
        </is>
      </c>
      <c r="G4869" t="inlineStr">
        <is>
          <t>M</t>
        </is>
      </c>
      <c r="H4869" t="n">
        <v>24</v>
      </c>
      <c r="I4869" t="inlineStr">
        <is>
          <t>T_TAHARI_6627123_BLK_1.jpg</t>
        </is>
      </c>
      <c r="J4869" t="inlineStr">
        <is>
          <t>T_TAHARI_6627123_BLK_2.jpg</t>
        </is>
      </c>
      <c r="K4869" t="inlineStr">
        <is>
          <t>T_TAHARI_6627123_BLK_3.jpg</t>
        </is>
      </c>
      <c r="L4869">
        <f>IMAGE("file:///E:/Estudios%20y%20certificaciones/ESTUDIOS%20DE%20PROGRAMMING/PROGRAMMING/PERSONAL/PYTHON/Image_Generator_API/imagenes/T_TAHARI_6627123_BLK_1.jpg")</f>
        <v/>
      </c>
      <c r="M4869">
        <f>IMAGE("file:///E:/Estudios%20y%20certificaciones/ESTUDIOS%20DE%20PROGRAMMING/PROGRAMMING/PERSONAL/PYTHON/Image_Generator_API/imagenes/T_TAHARI_6627123_BLK_2.jpg")</f>
        <v/>
      </c>
      <c r="N4869">
        <f>IMAGE("file:///E:/Estudios%20y%20certificaciones/ESTUDIOS%20DE%20PROGRAMMING/PROGRAMMING/PERSONAL/PYTHON/Image_Generator_API/imagenes/T_TAHARI_6627123_BLK_3.jpg")</f>
        <v/>
      </c>
      <c r="O4869">
        <f>HYPERLINK("imagenes/T_TAHARI_6627123_BLK_1.jpg","Ver imagen")</f>
        <v/>
      </c>
      <c r="P4869">
        <f>HYPERLINK("imagenes/T_TAHARI_6627123_BLK_2.jpg","Ver imagen")</f>
        <v/>
      </c>
      <c r="Q4869">
        <f>HYPERLINK("imagenes/T_TAHARI_6627123_BLK_3.jpg","Ver imagen")</f>
        <v/>
      </c>
    </row>
    <row r="4870">
      <c r="A4870" t="inlineStr">
        <is>
          <t>T TAHARI</t>
        </is>
      </c>
      <c r="B4870" t="inlineStr">
        <is>
          <t>6627123</t>
        </is>
      </c>
      <c r="C4870" t="inlineStr">
        <is>
          <t>NATALIE</t>
        </is>
      </c>
      <c r="D4870" t="inlineStr">
        <is>
          <t>BLK</t>
        </is>
      </c>
      <c r="E4870" t="inlineStr">
        <is>
          <t>(en blanco)</t>
        </is>
      </c>
      <c r="F4870" t="inlineStr">
        <is>
          <t>(en blanco)</t>
        </is>
      </c>
      <c r="G4870" t="inlineStr">
        <is>
          <t>L</t>
        </is>
      </c>
      <c r="H4870" t="n">
        <v>47</v>
      </c>
      <c r="I4870" t="inlineStr">
        <is>
          <t>T_TAHARI_6627123_BLK_1.jpg</t>
        </is>
      </c>
      <c r="J4870" t="inlineStr">
        <is>
          <t>T_TAHARI_6627123_BLK_2.jpg</t>
        </is>
      </c>
      <c r="K4870" t="inlineStr">
        <is>
          <t>T_TAHARI_6627123_BLK_3.jpg</t>
        </is>
      </c>
      <c r="L4870">
        <f>IMAGE("file:///E:/Estudios%20y%20certificaciones/ESTUDIOS%20DE%20PROGRAMMING/PROGRAMMING/PERSONAL/PYTHON/Image_Generator_API/imagenes/T_TAHARI_6627123_BLK_1.jpg")</f>
        <v/>
      </c>
      <c r="M4870">
        <f>IMAGE("file:///E:/Estudios%20y%20certificaciones/ESTUDIOS%20DE%20PROGRAMMING/PROGRAMMING/PERSONAL/PYTHON/Image_Generator_API/imagenes/T_TAHARI_6627123_BLK_2.jpg")</f>
        <v/>
      </c>
      <c r="N4870">
        <f>IMAGE("file:///E:/Estudios%20y%20certificaciones/ESTUDIOS%20DE%20PROGRAMMING/PROGRAMMING/PERSONAL/PYTHON/Image_Generator_API/imagenes/T_TAHARI_6627123_BLK_3.jpg")</f>
        <v/>
      </c>
      <c r="O4870">
        <f>HYPERLINK("imagenes/T_TAHARI_6627123_BLK_1.jpg","Ver imagen")</f>
        <v/>
      </c>
      <c r="P4870">
        <f>HYPERLINK("imagenes/T_TAHARI_6627123_BLK_2.jpg","Ver imagen")</f>
        <v/>
      </c>
      <c r="Q4870">
        <f>HYPERLINK("imagenes/T_TAHARI_6627123_BLK_3.jpg","Ver imagen")</f>
        <v/>
      </c>
    </row>
    <row r="4871">
      <c r="A4871" t="inlineStr">
        <is>
          <t>T TAHARI</t>
        </is>
      </c>
      <c r="B4871" t="inlineStr">
        <is>
          <t>6627123</t>
        </is>
      </c>
      <c r="C4871" t="inlineStr">
        <is>
          <t>NATALIE</t>
        </is>
      </c>
      <c r="D4871" t="inlineStr">
        <is>
          <t>BLK</t>
        </is>
      </c>
      <c r="E4871" t="inlineStr">
        <is>
          <t>(en blanco)</t>
        </is>
      </c>
      <c r="F4871" t="inlineStr">
        <is>
          <t>(en blanco)</t>
        </is>
      </c>
      <c r="G4871" t="inlineStr">
        <is>
          <t>XL</t>
        </is>
      </c>
      <c r="H4871" t="n">
        <v>2</v>
      </c>
      <c r="I4871" t="inlineStr">
        <is>
          <t>T_TAHARI_6627123_BLK_1.jpg</t>
        </is>
      </c>
      <c r="J4871" t="inlineStr">
        <is>
          <t>T_TAHARI_6627123_BLK_2.jpg</t>
        </is>
      </c>
      <c r="K4871" t="inlineStr">
        <is>
          <t>T_TAHARI_6627123_BLK_3.jpg</t>
        </is>
      </c>
      <c r="L4871">
        <f>IMAGE("file:///E:/Estudios%20y%20certificaciones/ESTUDIOS%20DE%20PROGRAMMING/PROGRAMMING/PERSONAL/PYTHON/Image_Generator_API/imagenes/T_TAHARI_6627123_BLK_1.jpg")</f>
        <v/>
      </c>
      <c r="M4871">
        <f>IMAGE("file:///E:/Estudios%20y%20certificaciones/ESTUDIOS%20DE%20PROGRAMMING/PROGRAMMING/PERSONAL/PYTHON/Image_Generator_API/imagenes/T_TAHARI_6627123_BLK_2.jpg")</f>
        <v/>
      </c>
      <c r="N4871">
        <f>IMAGE("file:///E:/Estudios%20y%20certificaciones/ESTUDIOS%20DE%20PROGRAMMING/PROGRAMMING/PERSONAL/PYTHON/Image_Generator_API/imagenes/T_TAHARI_6627123_BLK_3.jpg")</f>
        <v/>
      </c>
      <c r="O4871">
        <f>HYPERLINK("imagenes/T_TAHARI_6627123_BLK_1.jpg","Ver imagen")</f>
        <v/>
      </c>
      <c r="P4871">
        <f>HYPERLINK("imagenes/T_TAHARI_6627123_BLK_2.jpg","Ver imagen")</f>
        <v/>
      </c>
      <c r="Q4871">
        <f>HYPERLINK("imagenes/T_TAHARI_6627123_BLK_3.jpg","Ver imagen")</f>
        <v/>
      </c>
    </row>
    <row r="4872">
      <c r="A4872" t="inlineStr">
        <is>
          <t>T TAHARI</t>
        </is>
      </c>
      <c r="B4872" t="inlineStr">
        <is>
          <t>6627123</t>
        </is>
      </c>
      <c r="C4872" t="inlineStr">
        <is>
          <t>NATALIE</t>
        </is>
      </c>
      <c r="D4872" t="inlineStr">
        <is>
          <t>BLK</t>
        </is>
      </c>
      <c r="E4872" t="inlineStr">
        <is>
          <t>(en blanco)</t>
        </is>
      </c>
      <c r="F4872" t="inlineStr">
        <is>
          <t>(en blanco)</t>
        </is>
      </c>
      <c r="G4872" t="inlineStr">
        <is>
          <t>XXL</t>
        </is>
      </c>
      <c r="H4872" t="n">
        <v>18</v>
      </c>
      <c r="I4872" t="inlineStr">
        <is>
          <t>T_TAHARI_6627123_BLK_1.jpg</t>
        </is>
      </c>
      <c r="J4872" t="inlineStr">
        <is>
          <t>T_TAHARI_6627123_BLK_2.jpg</t>
        </is>
      </c>
      <c r="K4872" t="inlineStr">
        <is>
          <t>T_TAHARI_6627123_BLK_3.jpg</t>
        </is>
      </c>
      <c r="L4872">
        <f>IMAGE("file:///E:/Estudios%20y%20certificaciones/ESTUDIOS%20DE%20PROGRAMMING/PROGRAMMING/PERSONAL/PYTHON/Image_Generator_API/imagenes/T_TAHARI_6627123_BLK_1.jpg")</f>
        <v/>
      </c>
      <c r="M4872">
        <f>IMAGE("file:///E:/Estudios%20y%20certificaciones/ESTUDIOS%20DE%20PROGRAMMING/PROGRAMMING/PERSONAL/PYTHON/Image_Generator_API/imagenes/T_TAHARI_6627123_BLK_2.jpg")</f>
        <v/>
      </c>
      <c r="N4872">
        <f>IMAGE("file:///E:/Estudios%20y%20certificaciones/ESTUDIOS%20DE%20PROGRAMMING/PROGRAMMING/PERSONAL/PYTHON/Image_Generator_API/imagenes/T_TAHARI_6627123_BLK_3.jpg")</f>
        <v/>
      </c>
      <c r="O4872">
        <f>HYPERLINK("imagenes/T_TAHARI_6627123_BLK_1.jpg","Ver imagen")</f>
        <v/>
      </c>
      <c r="P4872">
        <f>HYPERLINK("imagenes/T_TAHARI_6627123_BLK_2.jpg","Ver imagen")</f>
        <v/>
      </c>
      <c r="Q4872">
        <f>HYPERLINK("imagenes/T_TAHARI_6627123_BLK_3.jpg","Ver imagen")</f>
        <v/>
      </c>
    </row>
    <row r="4873">
      <c r="A4873" t="inlineStr">
        <is>
          <t>T TAHARI</t>
        </is>
      </c>
      <c r="B4873" t="inlineStr">
        <is>
          <t>6627123</t>
        </is>
      </c>
      <c r="C4873" t="inlineStr">
        <is>
          <t>NATALIE</t>
        </is>
      </c>
      <c r="D4873" t="inlineStr">
        <is>
          <t>COG</t>
        </is>
      </c>
      <c r="E4873" t="inlineStr">
        <is>
          <t>(en blanco)</t>
        </is>
      </c>
      <c r="F4873" t="inlineStr">
        <is>
          <t>D2C</t>
        </is>
      </c>
      <c r="G4873" t="inlineStr">
        <is>
          <t>S</t>
        </is>
      </c>
      <c r="H4873" t="n">
        <v>1</v>
      </c>
      <c r="I4873" t="inlineStr">
        <is>
          <t>T_TAHARI_6627123_COG_2.jpg</t>
        </is>
      </c>
      <c r="J4873" t="inlineStr">
        <is>
          <t>T_TAHARI_6627123_COG_3.jpg</t>
        </is>
      </c>
      <c r="L4873">
        <f>IMAGE("file:///E:/Estudios%20y%20certificaciones/ESTUDIOS%20DE%20PROGRAMMING/PROGRAMMING/PERSONAL/PYTHON/Image_Generator_API/imagenes/T_TAHARI_6627123_COG_2.jpg")</f>
        <v/>
      </c>
      <c r="M4873">
        <f>IMAGE("file:///E:/Estudios%20y%20certificaciones/ESTUDIOS%20DE%20PROGRAMMING/PROGRAMMING/PERSONAL/PYTHON/Image_Generator_API/imagenes/T_TAHARI_6627123_COG_3.jpg")</f>
        <v/>
      </c>
      <c r="O4873">
        <f>HYPERLINK("imagenes/T_TAHARI_6627123_COG_2.jpg","Ver imagen")</f>
        <v/>
      </c>
      <c r="P4873">
        <f>HYPERLINK("imagenes/T_TAHARI_6627123_COG_3.jpg","Ver imagen")</f>
        <v/>
      </c>
    </row>
    <row r="4874">
      <c r="A4874" t="inlineStr">
        <is>
          <t>T TAHARI</t>
        </is>
      </c>
      <c r="B4874" t="inlineStr">
        <is>
          <t>6627123</t>
        </is>
      </c>
      <c r="C4874" t="inlineStr">
        <is>
          <t>NATALIE</t>
        </is>
      </c>
      <c r="D4874" t="inlineStr">
        <is>
          <t>COG</t>
        </is>
      </c>
      <c r="E4874" t="inlineStr">
        <is>
          <t>(en blanco)</t>
        </is>
      </c>
      <c r="F4874" t="inlineStr">
        <is>
          <t>D2C</t>
        </is>
      </c>
      <c r="G4874" t="inlineStr">
        <is>
          <t>L</t>
        </is>
      </c>
      <c r="H4874" t="n">
        <v>1</v>
      </c>
      <c r="I4874" t="inlineStr">
        <is>
          <t>T_TAHARI_6627123_COG_2.jpg</t>
        </is>
      </c>
      <c r="J4874" t="inlineStr">
        <is>
          <t>T_TAHARI_6627123_COG_3.jpg</t>
        </is>
      </c>
      <c r="L4874">
        <f>IMAGE("file:///E:/Estudios%20y%20certificaciones/ESTUDIOS%20DE%20PROGRAMMING/PROGRAMMING/PERSONAL/PYTHON/Image_Generator_API/imagenes/T_TAHARI_6627123_COG_2.jpg")</f>
        <v/>
      </c>
      <c r="M4874">
        <f>IMAGE("file:///E:/Estudios%20y%20certificaciones/ESTUDIOS%20DE%20PROGRAMMING/PROGRAMMING/PERSONAL/PYTHON/Image_Generator_API/imagenes/T_TAHARI_6627123_COG_3.jpg")</f>
        <v/>
      </c>
      <c r="O4874">
        <f>HYPERLINK("imagenes/T_TAHARI_6627123_COG_2.jpg","Ver imagen")</f>
        <v/>
      </c>
      <c r="P4874">
        <f>HYPERLINK("imagenes/T_TAHARI_6627123_COG_3.jpg","Ver imagen")</f>
        <v/>
      </c>
    </row>
    <row r="4875">
      <c r="A4875" t="inlineStr">
        <is>
          <t>T TAHARI</t>
        </is>
      </c>
      <c r="B4875" t="inlineStr">
        <is>
          <t>6627123</t>
        </is>
      </c>
      <c r="C4875" t="inlineStr">
        <is>
          <t>NATALIE</t>
        </is>
      </c>
      <c r="D4875" t="inlineStr">
        <is>
          <t>COG</t>
        </is>
      </c>
      <c r="E4875" t="inlineStr">
        <is>
          <t>(en blanco)</t>
        </is>
      </c>
      <c r="F4875" t="inlineStr">
        <is>
          <t>D2C</t>
        </is>
      </c>
      <c r="G4875" t="inlineStr">
        <is>
          <t>XL</t>
        </is>
      </c>
      <c r="H4875" t="n">
        <v>1</v>
      </c>
      <c r="I4875" t="inlineStr">
        <is>
          <t>T_TAHARI_6627123_COG_2.jpg</t>
        </is>
      </c>
      <c r="J4875" t="inlineStr">
        <is>
          <t>T_TAHARI_6627123_COG_3.jpg</t>
        </is>
      </c>
      <c r="L4875">
        <f>IMAGE("file:///E:/Estudios%20y%20certificaciones/ESTUDIOS%20DE%20PROGRAMMING/PROGRAMMING/PERSONAL/PYTHON/Image_Generator_API/imagenes/T_TAHARI_6627123_COG_2.jpg")</f>
        <v/>
      </c>
      <c r="M4875">
        <f>IMAGE("file:///E:/Estudios%20y%20certificaciones/ESTUDIOS%20DE%20PROGRAMMING/PROGRAMMING/PERSONAL/PYTHON/Image_Generator_API/imagenes/T_TAHARI_6627123_COG_3.jpg")</f>
        <v/>
      </c>
      <c r="O4875">
        <f>HYPERLINK("imagenes/T_TAHARI_6627123_COG_2.jpg","Ver imagen")</f>
        <v/>
      </c>
      <c r="P4875">
        <f>HYPERLINK("imagenes/T_TAHARI_6627123_COG_3.jpg","Ver imagen")</f>
        <v/>
      </c>
    </row>
    <row r="4876">
      <c r="A4876" t="inlineStr">
        <is>
          <t>T TAHARI</t>
        </is>
      </c>
      <c r="B4876" t="inlineStr">
        <is>
          <t>6627123</t>
        </is>
      </c>
      <c r="C4876" t="inlineStr">
        <is>
          <t>NATALIE</t>
        </is>
      </c>
      <c r="D4876" t="inlineStr">
        <is>
          <t>COG</t>
        </is>
      </c>
      <c r="E4876" t="inlineStr">
        <is>
          <t>(en blanco)</t>
        </is>
      </c>
      <c r="F4876" t="inlineStr">
        <is>
          <t>D2C</t>
        </is>
      </c>
      <c r="G4876" t="inlineStr">
        <is>
          <t>XXL</t>
        </is>
      </c>
      <c r="H4876" t="n">
        <v>5</v>
      </c>
      <c r="I4876" t="inlineStr">
        <is>
          <t>T_TAHARI_6627123_COG_2.jpg</t>
        </is>
      </c>
      <c r="J4876" t="inlineStr">
        <is>
          <t>T_TAHARI_6627123_COG_3.jpg</t>
        </is>
      </c>
      <c r="L4876">
        <f>IMAGE("file:///E:/Estudios%20y%20certificaciones/ESTUDIOS%20DE%20PROGRAMMING/PROGRAMMING/PERSONAL/PYTHON/Image_Generator_API/imagenes/T_TAHARI_6627123_COG_2.jpg")</f>
        <v/>
      </c>
      <c r="M4876">
        <f>IMAGE("file:///E:/Estudios%20y%20certificaciones/ESTUDIOS%20DE%20PROGRAMMING/PROGRAMMING/PERSONAL/PYTHON/Image_Generator_API/imagenes/T_TAHARI_6627123_COG_3.jpg")</f>
        <v/>
      </c>
      <c r="O4876">
        <f>HYPERLINK("imagenes/T_TAHARI_6627123_COG_2.jpg","Ver imagen")</f>
        <v/>
      </c>
      <c r="P4876">
        <f>HYPERLINK("imagenes/T_TAHARI_6627123_COG_3.jpg","Ver imagen")</f>
        <v/>
      </c>
    </row>
    <row r="4877">
      <c r="A4877" t="inlineStr">
        <is>
          <t>T TAHARI</t>
        </is>
      </c>
      <c r="B4877" t="inlineStr">
        <is>
          <t>6627123</t>
        </is>
      </c>
      <c r="C4877" t="inlineStr">
        <is>
          <t>NATALIE</t>
        </is>
      </c>
      <c r="D4877" t="inlineStr">
        <is>
          <t>COG</t>
        </is>
      </c>
      <c r="E4877" t="inlineStr">
        <is>
          <t>(en blanco)</t>
        </is>
      </c>
      <c r="F4877" t="inlineStr">
        <is>
          <t>(en blanco)</t>
        </is>
      </c>
      <c r="G4877" t="inlineStr">
        <is>
          <t>M</t>
        </is>
      </c>
      <c r="H4877" t="n">
        <v>1</v>
      </c>
      <c r="I4877" t="inlineStr">
        <is>
          <t>T_TAHARI_6627123_COG_2.jpg</t>
        </is>
      </c>
      <c r="J4877" t="inlineStr">
        <is>
          <t>T_TAHARI_6627123_COG_3.jpg</t>
        </is>
      </c>
      <c r="L4877">
        <f>IMAGE("file:///E:/Estudios%20y%20certificaciones/ESTUDIOS%20DE%20PROGRAMMING/PROGRAMMING/PERSONAL/PYTHON/Image_Generator_API/imagenes/T_TAHARI_6627123_COG_2.jpg")</f>
        <v/>
      </c>
      <c r="M4877">
        <f>IMAGE("file:///E:/Estudios%20y%20certificaciones/ESTUDIOS%20DE%20PROGRAMMING/PROGRAMMING/PERSONAL/PYTHON/Image_Generator_API/imagenes/T_TAHARI_6627123_COG_3.jpg")</f>
        <v/>
      </c>
      <c r="O4877">
        <f>HYPERLINK("imagenes/T_TAHARI_6627123_COG_2.jpg","Ver imagen")</f>
        <v/>
      </c>
      <c r="P4877">
        <f>HYPERLINK("imagenes/T_TAHARI_6627123_COG_3.jpg","Ver imagen")</f>
        <v/>
      </c>
    </row>
    <row r="4878">
      <c r="A4878" t="inlineStr">
        <is>
          <t>T TAHARI</t>
        </is>
      </c>
      <c r="B4878" t="inlineStr">
        <is>
          <t>6627123</t>
        </is>
      </c>
      <c r="C4878" t="inlineStr">
        <is>
          <t>NATALIE</t>
        </is>
      </c>
      <c r="D4878" t="inlineStr">
        <is>
          <t>COG</t>
        </is>
      </c>
      <c r="E4878" t="inlineStr">
        <is>
          <t>(en blanco)</t>
        </is>
      </c>
      <c r="F4878" t="inlineStr">
        <is>
          <t>(en blanco)</t>
        </is>
      </c>
      <c r="G4878" t="inlineStr">
        <is>
          <t>XL</t>
        </is>
      </c>
      <c r="H4878" t="n">
        <v>3</v>
      </c>
      <c r="I4878" t="inlineStr">
        <is>
          <t>T_TAHARI_6627123_COG_2.jpg</t>
        </is>
      </c>
      <c r="J4878" t="inlineStr">
        <is>
          <t>T_TAHARI_6627123_COG_3.jpg</t>
        </is>
      </c>
      <c r="L4878">
        <f>IMAGE("file:///E:/Estudios%20y%20certificaciones/ESTUDIOS%20DE%20PROGRAMMING/PROGRAMMING/PERSONAL/PYTHON/Image_Generator_API/imagenes/T_TAHARI_6627123_COG_2.jpg")</f>
        <v/>
      </c>
      <c r="M4878">
        <f>IMAGE("file:///E:/Estudios%20y%20certificaciones/ESTUDIOS%20DE%20PROGRAMMING/PROGRAMMING/PERSONAL/PYTHON/Image_Generator_API/imagenes/T_TAHARI_6627123_COG_3.jpg")</f>
        <v/>
      </c>
      <c r="O4878">
        <f>HYPERLINK("imagenes/T_TAHARI_6627123_COG_2.jpg","Ver imagen")</f>
        <v/>
      </c>
      <c r="P4878">
        <f>HYPERLINK("imagenes/T_TAHARI_6627123_COG_3.jpg","Ver imagen")</f>
        <v/>
      </c>
    </row>
    <row r="4879">
      <c r="A4879" t="inlineStr">
        <is>
          <t>T TAHARI</t>
        </is>
      </c>
      <c r="B4879" t="inlineStr">
        <is>
          <t>6627123</t>
        </is>
      </c>
      <c r="C4879" t="inlineStr">
        <is>
          <t>NATALIE</t>
        </is>
      </c>
      <c r="D4879" t="inlineStr">
        <is>
          <t>COG</t>
        </is>
      </c>
      <c r="E4879" t="inlineStr">
        <is>
          <t>(en blanco)</t>
        </is>
      </c>
      <c r="F4879" t="inlineStr">
        <is>
          <t>(en blanco)</t>
        </is>
      </c>
      <c r="G4879" t="inlineStr">
        <is>
          <t>XXL</t>
        </is>
      </c>
      <c r="H4879" t="n">
        <v>9</v>
      </c>
      <c r="I4879" t="inlineStr">
        <is>
          <t>T_TAHARI_6627123_COG_2.jpg</t>
        </is>
      </c>
      <c r="J4879" t="inlineStr">
        <is>
          <t>T_TAHARI_6627123_COG_3.jpg</t>
        </is>
      </c>
      <c r="L4879">
        <f>IMAGE("file:///E:/Estudios%20y%20certificaciones/ESTUDIOS%20DE%20PROGRAMMING/PROGRAMMING/PERSONAL/PYTHON/Image_Generator_API/imagenes/T_TAHARI_6627123_COG_2.jpg")</f>
        <v/>
      </c>
      <c r="M4879">
        <f>IMAGE("file:///E:/Estudios%20y%20certificaciones/ESTUDIOS%20DE%20PROGRAMMING/PROGRAMMING/PERSONAL/PYTHON/Image_Generator_API/imagenes/T_TAHARI_6627123_COG_3.jpg")</f>
        <v/>
      </c>
      <c r="O4879">
        <f>HYPERLINK("imagenes/T_TAHARI_6627123_COG_2.jpg","Ver imagen")</f>
        <v/>
      </c>
      <c r="P4879">
        <f>HYPERLINK("imagenes/T_TAHARI_6627123_COG_3.jpg","Ver imagen")</f>
        <v/>
      </c>
    </row>
    <row r="4880">
      <c r="A4880" t="inlineStr">
        <is>
          <t>T TAHARI</t>
        </is>
      </c>
      <c r="B4880" t="inlineStr">
        <is>
          <t>6627227</t>
        </is>
      </c>
      <c r="C4880" t="inlineStr">
        <is>
          <t>JANELLE</t>
        </is>
      </c>
      <c r="D4880" t="inlineStr">
        <is>
          <t>BLK</t>
        </is>
      </c>
      <c r="E4880" t="inlineStr">
        <is>
          <t>(en blanco)</t>
        </is>
      </c>
      <c r="F4880" t="inlineStr">
        <is>
          <t>(en blanco)</t>
        </is>
      </c>
      <c r="G4880" t="inlineStr">
        <is>
          <t>S</t>
        </is>
      </c>
      <c r="H4880" t="n">
        <v>1</v>
      </c>
      <c r="I4880" t="inlineStr">
        <is>
          <t>T_TAHARI_6627227_BLK_1.jpg</t>
        </is>
      </c>
      <c r="J4880" t="inlineStr">
        <is>
          <t>T_TAHARI_6627227_BLK_2.jpg</t>
        </is>
      </c>
      <c r="K4880" t="inlineStr">
        <is>
          <t>T_TAHARI_6627227_BLK_3.jpg</t>
        </is>
      </c>
      <c r="L4880">
        <f>IMAGE("file:///E:/Estudios%20y%20certificaciones/ESTUDIOS%20DE%20PROGRAMMING/PROGRAMMING/PERSONAL/PYTHON/Image_Generator_API/imagenes/T_TAHARI_6627227_BLK_1.jpg")</f>
        <v/>
      </c>
      <c r="M4880">
        <f>IMAGE("file:///E:/Estudios%20y%20certificaciones/ESTUDIOS%20DE%20PROGRAMMING/PROGRAMMING/PERSONAL/PYTHON/Image_Generator_API/imagenes/T_TAHARI_6627227_BLK_2.jpg")</f>
        <v/>
      </c>
      <c r="N4880">
        <f>IMAGE("file:///E:/Estudios%20y%20certificaciones/ESTUDIOS%20DE%20PROGRAMMING/PROGRAMMING/PERSONAL/PYTHON/Image_Generator_API/imagenes/T_TAHARI_6627227_BLK_3.jpg")</f>
        <v/>
      </c>
      <c r="O4880">
        <f>HYPERLINK("imagenes/T_TAHARI_6627227_BLK_1.jpg","Ver imagen")</f>
        <v/>
      </c>
      <c r="P4880">
        <f>HYPERLINK("imagenes/T_TAHARI_6627227_BLK_2.jpg","Ver imagen")</f>
        <v/>
      </c>
      <c r="Q4880">
        <f>HYPERLINK("imagenes/T_TAHARI_6627227_BLK_3.jpg","Ver imagen")</f>
        <v/>
      </c>
    </row>
    <row r="4881">
      <c r="A4881" t="inlineStr">
        <is>
          <t>T TAHARI</t>
        </is>
      </c>
      <c r="B4881" t="inlineStr">
        <is>
          <t>6627227</t>
        </is>
      </c>
      <c r="C4881" t="inlineStr">
        <is>
          <t>JANELLE</t>
        </is>
      </c>
      <c r="D4881" t="inlineStr">
        <is>
          <t>NVY</t>
        </is>
      </c>
      <c r="E4881" t="inlineStr">
        <is>
          <t>(en blanco)</t>
        </is>
      </c>
      <c r="F4881" t="inlineStr">
        <is>
          <t>(en blanco)</t>
        </is>
      </c>
      <c r="G4881" t="inlineStr">
        <is>
          <t>M</t>
        </is>
      </c>
      <c r="H4881" t="n">
        <v>1</v>
      </c>
      <c r="I4881" t="inlineStr">
        <is>
          <t>T_TAHARI_6627227_NVY_1.jpg</t>
        </is>
      </c>
      <c r="J4881" t="inlineStr">
        <is>
          <t>T_TAHARI_6627227_NVY_2.jpg</t>
        </is>
      </c>
      <c r="K4881" t="inlineStr">
        <is>
          <t>T_TAHARI_6627227_NVY_3.jpg</t>
        </is>
      </c>
      <c r="L4881">
        <f>IMAGE("file:///E:/Estudios%20y%20certificaciones/ESTUDIOS%20DE%20PROGRAMMING/PROGRAMMING/PERSONAL/PYTHON/Image_Generator_API/imagenes/T_TAHARI_6627227_NVY_1.jpg")</f>
        <v/>
      </c>
      <c r="M4881">
        <f>IMAGE("file:///E:/Estudios%20y%20certificaciones/ESTUDIOS%20DE%20PROGRAMMING/PROGRAMMING/PERSONAL/PYTHON/Image_Generator_API/imagenes/T_TAHARI_6627227_NVY_2.jpg")</f>
        <v/>
      </c>
      <c r="N4881">
        <f>IMAGE("file:///E:/Estudios%20y%20certificaciones/ESTUDIOS%20DE%20PROGRAMMING/PROGRAMMING/PERSONAL/PYTHON/Image_Generator_API/imagenes/T_TAHARI_6627227_NVY_3.jpg")</f>
        <v/>
      </c>
      <c r="O4881">
        <f>HYPERLINK("imagenes/T_TAHARI_6627227_NVY_1.jpg","Ver imagen")</f>
        <v/>
      </c>
      <c r="P4881">
        <f>HYPERLINK("imagenes/T_TAHARI_6627227_NVY_2.jpg","Ver imagen")</f>
        <v/>
      </c>
      <c r="Q4881">
        <f>HYPERLINK("imagenes/T_TAHARI_6627227_NVY_3.jpg","Ver imagen")</f>
        <v/>
      </c>
    </row>
    <row r="4882">
      <c r="A4882" t="inlineStr">
        <is>
          <t>T TAHARI</t>
        </is>
      </c>
      <c r="B4882" t="inlineStr">
        <is>
          <t>6627707</t>
        </is>
      </c>
      <c r="C4882" t="inlineStr">
        <is>
          <t>GEMMA</t>
        </is>
      </c>
      <c r="D4882" t="inlineStr">
        <is>
          <t>BLK</t>
        </is>
      </c>
      <c r="E4882" t="inlineStr">
        <is>
          <t>(en blanco)</t>
        </is>
      </c>
      <c r="F4882" t="inlineStr">
        <is>
          <t>(en blanco)</t>
        </is>
      </c>
      <c r="G4882" t="inlineStr">
        <is>
          <t>XS</t>
        </is>
      </c>
      <c r="H4882" t="n">
        <v>2</v>
      </c>
      <c r="I4882" t="inlineStr">
        <is>
          <t>T_TAHARI_6627707_BLK_1.jpg</t>
        </is>
      </c>
      <c r="J4882" t="inlineStr">
        <is>
          <t>T_TAHARI_6627707_BLK_2.jpg</t>
        </is>
      </c>
      <c r="K4882" t="inlineStr">
        <is>
          <t>T_TAHARI_6627707_BLK_3.jpg</t>
        </is>
      </c>
      <c r="L4882">
        <f>IMAGE("file:///E:/Estudios%20y%20certificaciones/ESTUDIOS%20DE%20PROGRAMMING/PROGRAMMING/PERSONAL/PYTHON/Image_Generator_API/imagenes/T_TAHARI_6627707_BLK_1.jpg")</f>
        <v/>
      </c>
      <c r="M4882">
        <f>IMAGE("file:///E:/Estudios%20y%20certificaciones/ESTUDIOS%20DE%20PROGRAMMING/PROGRAMMING/PERSONAL/PYTHON/Image_Generator_API/imagenes/T_TAHARI_6627707_BLK_2.jpg")</f>
        <v/>
      </c>
      <c r="N4882">
        <f>IMAGE("file:///E:/Estudios%20y%20certificaciones/ESTUDIOS%20DE%20PROGRAMMING/PROGRAMMING/PERSONAL/PYTHON/Image_Generator_API/imagenes/T_TAHARI_6627707_BLK_3.jpg")</f>
        <v/>
      </c>
      <c r="O4882">
        <f>HYPERLINK("imagenes/T_TAHARI_6627707_BLK_1.jpg","Ver imagen")</f>
        <v/>
      </c>
      <c r="P4882">
        <f>HYPERLINK("imagenes/T_TAHARI_6627707_BLK_2.jpg","Ver imagen")</f>
        <v/>
      </c>
      <c r="Q4882">
        <f>HYPERLINK("imagenes/T_TAHARI_6627707_BLK_3.jpg","Ver imagen")</f>
        <v/>
      </c>
    </row>
    <row r="4883">
      <c r="A4883" t="inlineStr">
        <is>
          <t>T TAHARI</t>
        </is>
      </c>
      <c r="B4883" t="inlineStr">
        <is>
          <t>6629242</t>
        </is>
      </c>
      <c r="C4883" t="inlineStr">
        <is>
          <t>ANDREAS ASYMME TRICL</t>
        </is>
      </c>
      <c r="D4883" t="inlineStr">
        <is>
          <t>BLK</t>
        </is>
      </c>
      <c r="E4883" t="inlineStr">
        <is>
          <t>(en blanco)</t>
        </is>
      </c>
      <c r="F4883" t="inlineStr">
        <is>
          <t>(en blanco)</t>
        </is>
      </c>
      <c r="G4883" t="inlineStr">
        <is>
          <t>XS</t>
        </is>
      </c>
      <c r="H4883" t="n">
        <v>2</v>
      </c>
      <c r="I4883" t="inlineStr">
        <is>
          <t>T_TAHARI_6629242_BLK_1.jpg</t>
        </is>
      </c>
      <c r="J4883" t="inlineStr">
        <is>
          <t>T_TAHARI_6629242_BLK_2.jpg</t>
        </is>
      </c>
      <c r="K4883" t="inlineStr">
        <is>
          <t>T_TAHARI_6629242_BLK_3.jpg</t>
        </is>
      </c>
      <c r="L4883">
        <f>IMAGE("file:///E:/Estudios%20y%20certificaciones/ESTUDIOS%20DE%20PROGRAMMING/PROGRAMMING/PERSONAL/PYTHON/Image_Generator_API/imagenes/T_TAHARI_6629242_BLK_1.jpg")</f>
        <v/>
      </c>
      <c r="M4883">
        <f>IMAGE("file:///E:/Estudios%20y%20certificaciones/ESTUDIOS%20DE%20PROGRAMMING/PROGRAMMING/PERSONAL/PYTHON/Image_Generator_API/imagenes/T_TAHARI_6629242_BLK_2.jpg")</f>
        <v/>
      </c>
      <c r="N4883">
        <f>IMAGE("file:///E:/Estudios%20y%20certificaciones/ESTUDIOS%20DE%20PROGRAMMING/PROGRAMMING/PERSONAL/PYTHON/Image_Generator_API/imagenes/T_TAHARI_6629242_BLK_3.jpg")</f>
        <v/>
      </c>
      <c r="O4883">
        <f>HYPERLINK("imagenes/T_TAHARI_6629242_BLK_1.jpg","Ver imagen")</f>
        <v/>
      </c>
      <c r="P4883">
        <f>HYPERLINK("imagenes/T_TAHARI_6629242_BLK_2.jpg","Ver imagen")</f>
        <v/>
      </c>
      <c r="Q4883">
        <f>HYPERLINK("imagenes/T_TAHARI_6629242_BLK_3.jpg","Ver imagen")</f>
        <v/>
      </c>
    </row>
    <row r="4884">
      <c r="A4884" t="inlineStr">
        <is>
          <t>T TAHARI</t>
        </is>
      </c>
      <c r="B4884" t="inlineStr">
        <is>
          <t>6630125</t>
        </is>
      </c>
      <c r="C4884" t="inlineStr">
        <is>
          <t>MARLA WOOL OVERSIZED</t>
        </is>
      </c>
      <c r="D4884" t="inlineStr">
        <is>
          <t>BNG</t>
        </is>
      </c>
      <c r="E4884" t="inlineStr">
        <is>
          <t>(en blanco)</t>
        </is>
      </c>
      <c r="F4884" t="inlineStr">
        <is>
          <t>(en blanco)</t>
        </is>
      </c>
      <c r="G4884" t="inlineStr">
        <is>
          <t>1X</t>
        </is>
      </c>
      <c r="H4884" t="n">
        <v>2</v>
      </c>
      <c r="I4884" t="inlineStr">
        <is>
          <t>T_TAHARI_6630125_BNG_1.jpg</t>
        </is>
      </c>
      <c r="J4884" t="inlineStr">
        <is>
          <t>T_TAHARI_6630125_BNG_2.jpg</t>
        </is>
      </c>
      <c r="K4884" t="inlineStr">
        <is>
          <t>T_TAHARI_6630125_BNG_3.jpg</t>
        </is>
      </c>
      <c r="L4884">
        <f>IMAGE("file:///E:/Estudios%20y%20certificaciones/ESTUDIOS%20DE%20PROGRAMMING/PROGRAMMING/PERSONAL/PYTHON/Image_Generator_API/imagenes/T_TAHARI_6630125_BNG_1.jpg")</f>
        <v/>
      </c>
      <c r="M4884">
        <f>IMAGE("file:///E:/Estudios%20y%20certificaciones/ESTUDIOS%20DE%20PROGRAMMING/PROGRAMMING/PERSONAL/PYTHON/Image_Generator_API/imagenes/T_TAHARI_6630125_BNG_2.jpg")</f>
        <v/>
      </c>
      <c r="N4884">
        <f>IMAGE("file:///E:/Estudios%20y%20certificaciones/ESTUDIOS%20DE%20PROGRAMMING/PROGRAMMING/PERSONAL/PYTHON/Image_Generator_API/imagenes/T_TAHARI_6630125_BNG_3.jpg")</f>
        <v/>
      </c>
      <c r="O4884">
        <f>HYPERLINK("imagenes/T_TAHARI_6630125_BNG_1.jpg","Ver imagen")</f>
        <v/>
      </c>
      <c r="P4884">
        <f>HYPERLINK("imagenes/T_TAHARI_6630125_BNG_2.jpg","Ver imagen")</f>
        <v/>
      </c>
      <c r="Q4884">
        <f>HYPERLINK("imagenes/T_TAHARI_6630125_BNG_3.jpg","Ver imagen")</f>
        <v/>
      </c>
    </row>
    <row r="4885">
      <c r="A4885" t="inlineStr">
        <is>
          <t>T TAHARI</t>
        </is>
      </c>
      <c r="B4885" t="inlineStr">
        <is>
          <t>6630125</t>
        </is>
      </c>
      <c r="C4885" t="inlineStr">
        <is>
          <t>MARLA WOOL OVERSIZED</t>
        </is>
      </c>
      <c r="D4885" t="inlineStr">
        <is>
          <t>BNG</t>
        </is>
      </c>
      <c r="E4885" t="inlineStr">
        <is>
          <t>(en blanco)</t>
        </is>
      </c>
      <c r="F4885" t="inlineStr">
        <is>
          <t>(en blanco)</t>
        </is>
      </c>
      <c r="G4885" t="inlineStr">
        <is>
          <t>2X</t>
        </is>
      </c>
      <c r="H4885" t="n">
        <v>6</v>
      </c>
      <c r="I4885" t="inlineStr">
        <is>
          <t>T_TAHARI_6630125_BNG_1.jpg</t>
        </is>
      </c>
      <c r="J4885" t="inlineStr">
        <is>
          <t>T_TAHARI_6630125_BNG_2.jpg</t>
        </is>
      </c>
      <c r="K4885" t="inlineStr">
        <is>
          <t>T_TAHARI_6630125_BNG_3.jpg</t>
        </is>
      </c>
      <c r="L4885">
        <f>IMAGE("file:///E:/Estudios%20y%20certificaciones/ESTUDIOS%20DE%20PROGRAMMING/PROGRAMMING/PERSONAL/PYTHON/Image_Generator_API/imagenes/T_TAHARI_6630125_BNG_1.jpg")</f>
        <v/>
      </c>
      <c r="M4885">
        <f>IMAGE("file:///E:/Estudios%20y%20certificaciones/ESTUDIOS%20DE%20PROGRAMMING/PROGRAMMING/PERSONAL/PYTHON/Image_Generator_API/imagenes/T_TAHARI_6630125_BNG_2.jpg")</f>
        <v/>
      </c>
      <c r="N4885">
        <f>IMAGE("file:///E:/Estudios%20y%20certificaciones/ESTUDIOS%20DE%20PROGRAMMING/PROGRAMMING/PERSONAL/PYTHON/Image_Generator_API/imagenes/T_TAHARI_6630125_BNG_3.jpg")</f>
        <v/>
      </c>
      <c r="O4885">
        <f>HYPERLINK("imagenes/T_TAHARI_6630125_BNG_1.jpg","Ver imagen")</f>
        <v/>
      </c>
      <c r="P4885">
        <f>HYPERLINK("imagenes/T_TAHARI_6630125_BNG_2.jpg","Ver imagen")</f>
        <v/>
      </c>
      <c r="Q4885">
        <f>HYPERLINK("imagenes/T_TAHARI_6630125_BNG_3.jpg","Ver imagen")</f>
        <v/>
      </c>
    </row>
    <row r="4886">
      <c r="A4886" t="inlineStr">
        <is>
          <t>T TAHARI</t>
        </is>
      </c>
      <c r="B4886" t="inlineStr">
        <is>
          <t>6630125</t>
        </is>
      </c>
      <c r="C4886" t="inlineStr">
        <is>
          <t>MARLA WOOL OVERSIZED</t>
        </is>
      </c>
      <c r="D4886" t="inlineStr">
        <is>
          <t>BNG</t>
        </is>
      </c>
      <c r="E4886" t="inlineStr">
        <is>
          <t>(en blanco)</t>
        </is>
      </c>
      <c r="F4886" t="inlineStr">
        <is>
          <t>(en blanco)</t>
        </is>
      </c>
      <c r="G4886" t="inlineStr">
        <is>
          <t>3X</t>
        </is>
      </c>
      <c r="H4886" t="n">
        <v>4</v>
      </c>
      <c r="I4886" t="inlineStr">
        <is>
          <t>T_TAHARI_6630125_BNG_1.jpg</t>
        </is>
      </c>
      <c r="J4886" t="inlineStr">
        <is>
          <t>T_TAHARI_6630125_BNG_2.jpg</t>
        </is>
      </c>
      <c r="K4886" t="inlineStr">
        <is>
          <t>T_TAHARI_6630125_BNG_3.jpg</t>
        </is>
      </c>
      <c r="L4886">
        <f>IMAGE("file:///E:/Estudios%20y%20certificaciones/ESTUDIOS%20DE%20PROGRAMMING/PROGRAMMING/PERSONAL/PYTHON/Image_Generator_API/imagenes/T_TAHARI_6630125_BNG_1.jpg")</f>
        <v/>
      </c>
      <c r="M4886">
        <f>IMAGE("file:///E:/Estudios%20y%20certificaciones/ESTUDIOS%20DE%20PROGRAMMING/PROGRAMMING/PERSONAL/PYTHON/Image_Generator_API/imagenes/T_TAHARI_6630125_BNG_2.jpg")</f>
        <v/>
      </c>
      <c r="N4886">
        <f>IMAGE("file:///E:/Estudios%20y%20certificaciones/ESTUDIOS%20DE%20PROGRAMMING/PROGRAMMING/PERSONAL/PYTHON/Image_Generator_API/imagenes/T_TAHARI_6630125_BNG_3.jpg")</f>
        <v/>
      </c>
      <c r="O4886">
        <f>HYPERLINK("imagenes/T_TAHARI_6630125_BNG_1.jpg","Ver imagen")</f>
        <v/>
      </c>
      <c r="P4886">
        <f>HYPERLINK("imagenes/T_TAHARI_6630125_BNG_2.jpg","Ver imagen")</f>
        <v/>
      </c>
      <c r="Q4886">
        <f>HYPERLINK("imagenes/T_TAHARI_6630125_BNG_3.jpg","Ver imagen")</f>
        <v/>
      </c>
    </row>
    <row r="4887">
      <c r="A4887" t="inlineStr">
        <is>
          <t>T TAHARI</t>
        </is>
      </c>
      <c r="B4887" t="inlineStr">
        <is>
          <t>6630125</t>
        </is>
      </c>
      <c r="C4887" t="inlineStr">
        <is>
          <t>MARLA WOOL OVERSIZED</t>
        </is>
      </c>
      <c r="D4887" t="inlineStr">
        <is>
          <t>PBU</t>
        </is>
      </c>
      <c r="E4887" t="inlineStr">
        <is>
          <t>(en blanco)</t>
        </is>
      </c>
      <c r="F4887" t="inlineStr">
        <is>
          <t>(en blanco)</t>
        </is>
      </c>
      <c r="G4887" t="inlineStr">
        <is>
          <t>1X</t>
        </is>
      </c>
      <c r="H4887" t="n">
        <v>43</v>
      </c>
      <c r="I4887" t="inlineStr">
        <is>
          <t>T_TAHARI_6630125_PBU_1.jpg</t>
        </is>
      </c>
      <c r="J4887" t="inlineStr">
        <is>
          <t>T_TAHARI_6630125_PBU_2.jpg</t>
        </is>
      </c>
      <c r="K4887" t="inlineStr">
        <is>
          <t>T_TAHARI_6630125_PBU_3.jpg</t>
        </is>
      </c>
      <c r="L4887">
        <f>IMAGE("file:///E:/Estudios%20y%20certificaciones/ESTUDIOS%20DE%20PROGRAMMING/PROGRAMMING/PERSONAL/PYTHON/Image_Generator_API/imagenes/T_TAHARI_6630125_PBU_1.jpg")</f>
        <v/>
      </c>
      <c r="M4887">
        <f>IMAGE("file:///E:/Estudios%20y%20certificaciones/ESTUDIOS%20DE%20PROGRAMMING/PROGRAMMING/PERSONAL/PYTHON/Image_Generator_API/imagenes/T_TAHARI_6630125_PBU_2.jpg")</f>
        <v/>
      </c>
      <c r="N4887">
        <f>IMAGE("file:///E:/Estudios%20y%20certificaciones/ESTUDIOS%20DE%20PROGRAMMING/PROGRAMMING/PERSONAL/PYTHON/Image_Generator_API/imagenes/T_TAHARI_6630125_PBU_3.jpg")</f>
        <v/>
      </c>
      <c r="O4887">
        <f>HYPERLINK("imagenes/T_TAHARI_6630125_PBU_1.jpg","Ver imagen")</f>
        <v/>
      </c>
      <c r="P4887">
        <f>HYPERLINK("imagenes/T_TAHARI_6630125_PBU_2.jpg","Ver imagen")</f>
        <v/>
      </c>
      <c r="Q4887">
        <f>HYPERLINK("imagenes/T_TAHARI_6630125_PBU_3.jpg","Ver imagen")</f>
        <v/>
      </c>
    </row>
    <row r="4888">
      <c r="A4888" t="inlineStr">
        <is>
          <t>T TAHARI</t>
        </is>
      </c>
      <c r="B4888" t="inlineStr">
        <is>
          <t>6630125</t>
        </is>
      </c>
      <c r="C4888" t="inlineStr">
        <is>
          <t>MARLA WOOL OVERSIZED</t>
        </is>
      </c>
      <c r="D4888" t="inlineStr">
        <is>
          <t>PBU</t>
        </is>
      </c>
      <c r="E4888" t="inlineStr">
        <is>
          <t>(en blanco)</t>
        </is>
      </c>
      <c r="F4888" t="inlineStr">
        <is>
          <t>(en blanco)</t>
        </is>
      </c>
      <c r="G4888" t="inlineStr">
        <is>
          <t>2X</t>
        </is>
      </c>
      <c r="H4888" t="n">
        <v>47</v>
      </c>
      <c r="I4888" t="inlineStr">
        <is>
          <t>T_TAHARI_6630125_PBU_1.jpg</t>
        </is>
      </c>
      <c r="J4888" t="inlineStr">
        <is>
          <t>T_TAHARI_6630125_PBU_2.jpg</t>
        </is>
      </c>
      <c r="K4888" t="inlineStr">
        <is>
          <t>T_TAHARI_6630125_PBU_3.jpg</t>
        </is>
      </c>
      <c r="L4888">
        <f>IMAGE("file:///E:/Estudios%20y%20certificaciones/ESTUDIOS%20DE%20PROGRAMMING/PROGRAMMING/PERSONAL/PYTHON/Image_Generator_API/imagenes/T_TAHARI_6630125_PBU_1.jpg")</f>
        <v/>
      </c>
      <c r="M4888">
        <f>IMAGE("file:///E:/Estudios%20y%20certificaciones/ESTUDIOS%20DE%20PROGRAMMING/PROGRAMMING/PERSONAL/PYTHON/Image_Generator_API/imagenes/T_TAHARI_6630125_PBU_2.jpg")</f>
        <v/>
      </c>
      <c r="N4888">
        <f>IMAGE("file:///E:/Estudios%20y%20certificaciones/ESTUDIOS%20DE%20PROGRAMMING/PROGRAMMING/PERSONAL/PYTHON/Image_Generator_API/imagenes/T_TAHARI_6630125_PBU_3.jpg")</f>
        <v/>
      </c>
      <c r="O4888">
        <f>HYPERLINK("imagenes/T_TAHARI_6630125_PBU_1.jpg","Ver imagen")</f>
        <v/>
      </c>
      <c r="P4888">
        <f>HYPERLINK("imagenes/T_TAHARI_6630125_PBU_2.jpg","Ver imagen")</f>
        <v/>
      </c>
      <c r="Q4888">
        <f>HYPERLINK("imagenes/T_TAHARI_6630125_PBU_3.jpg","Ver imagen")</f>
        <v/>
      </c>
    </row>
    <row r="4889">
      <c r="A4889" t="inlineStr">
        <is>
          <t>T TAHARI</t>
        </is>
      </c>
      <c r="B4889" t="inlineStr">
        <is>
          <t>6630125</t>
        </is>
      </c>
      <c r="C4889" t="inlineStr">
        <is>
          <t>MARLA WOOL OVERSIZED</t>
        </is>
      </c>
      <c r="D4889" t="inlineStr">
        <is>
          <t>PBU</t>
        </is>
      </c>
      <c r="E4889" t="inlineStr">
        <is>
          <t>(en blanco)</t>
        </is>
      </c>
      <c r="F4889" t="inlineStr">
        <is>
          <t>(en blanco)</t>
        </is>
      </c>
      <c r="G4889" t="inlineStr">
        <is>
          <t>3X</t>
        </is>
      </c>
      <c r="H4889" t="n">
        <v>23</v>
      </c>
      <c r="I4889" t="inlineStr">
        <is>
          <t>T_TAHARI_6630125_PBU_1.jpg</t>
        </is>
      </c>
      <c r="J4889" t="inlineStr">
        <is>
          <t>T_TAHARI_6630125_PBU_2.jpg</t>
        </is>
      </c>
      <c r="K4889" t="inlineStr">
        <is>
          <t>T_TAHARI_6630125_PBU_3.jpg</t>
        </is>
      </c>
      <c r="L4889">
        <f>IMAGE("file:///E:/Estudios%20y%20certificaciones/ESTUDIOS%20DE%20PROGRAMMING/PROGRAMMING/PERSONAL/PYTHON/Image_Generator_API/imagenes/T_TAHARI_6630125_PBU_1.jpg")</f>
        <v/>
      </c>
      <c r="M4889">
        <f>IMAGE("file:///E:/Estudios%20y%20certificaciones/ESTUDIOS%20DE%20PROGRAMMING/PROGRAMMING/PERSONAL/PYTHON/Image_Generator_API/imagenes/T_TAHARI_6630125_PBU_2.jpg")</f>
        <v/>
      </c>
      <c r="N4889">
        <f>IMAGE("file:///E:/Estudios%20y%20certificaciones/ESTUDIOS%20DE%20PROGRAMMING/PROGRAMMING/PERSONAL/PYTHON/Image_Generator_API/imagenes/T_TAHARI_6630125_PBU_3.jpg")</f>
        <v/>
      </c>
      <c r="O4889">
        <f>HYPERLINK("imagenes/T_TAHARI_6630125_PBU_1.jpg","Ver imagen")</f>
        <v/>
      </c>
      <c r="P4889">
        <f>HYPERLINK("imagenes/T_TAHARI_6630125_PBU_2.jpg","Ver imagen")</f>
        <v/>
      </c>
      <c r="Q4889">
        <f>HYPERLINK("imagenes/T_TAHARI_6630125_PBU_3.jpg","Ver imagen")</f>
        <v/>
      </c>
    </row>
    <row r="4890">
      <c r="A4890" t="inlineStr">
        <is>
          <t>T TAHARI</t>
        </is>
      </c>
      <c r="B4890" t="inlineStr">
        <is>
          <t>6637123</t>
        </is>
      </c>
      <c r="C4890" t="inlineStr">
        <is>
          <t>NATALIE</t>
        </is>
      </c>
      <c r="D4890" t="inlineStr">
        <is>
          <t>BLK</t>
        </is>
      </c>
      <c r="E4890" t="inlineStr">
        <is>
          <t>(en blanco)</t>
        </is>
      </c>
      <c r="F4890" t="inlineStr">
        <is>
          <t>(en blanco)</t>
        </is>
      </c>
      <c r="G4890" t="inlineStr">
        <is>
          <t>0X</t>
        </is>
      </c>
      <c r="H4890" t="n">
        <v>20</v>
      </c>
      <c r="I4890" t="inlineStr">
        <is>
          <t>T_TAHARI_6637123_BLK_1.jpg</t>
        </is>
      </c>
      <c r="J4890" t="inlineStr">
        <is>
          <t>T_TAHARI_6637123_BLK_2.jpg</t>
        </is>
      </c>
      <c r="K4890" t="inlineStr">
        <is>
          <t>T_TAHARI_6637123_BLK_3.jpg</t>
        </is>
      </c>
      <c r="L4890">
        <f>IMAGE("file:///E:/Estudios%20y%20certificaciones/ESTUDIOS%20DE%20PROGRAMMING/PROGRAMMING/PERSONAL/PYTHON/Image_Generator_API/imagenes/T_TAHARI_6637123_BLK_1.jpg")</f>
        <v/>
      </c>
      <c r="M4890">
        <f>IMAGE("file:///E:/Estudios%20y%20certificaciones/ESTUDIOS%20DE%20PROGRAMMING/PROGRAMMING/PERSONAL/PYTHON/Image_Generator_API/imagenes/T_TAHARI_6637123_BLK_2.jpg")</f>
        <v/>
      </c>
      <c r="N4890">
        <f>IMAGE("file:///E:/Estudios%20y%20certificaciones/ESTUDIOS%20DE%20PROGRAMMING/PROGRAMMING/PERSONAL/PYTHON/Image_Generator_API/imagenes/T_TAHARI_6637123_BLK_3.jpg")</f>
        <v/>
      </c>
      <c r="O4890">
        <f>HYPERLINK("imagenes/T_TAHARI_6637123_BLK_1.jpg","Ver imagen")</f>
        <v/>
      </c>
      <c r="P4890">
        <f>HYPERLINK("imagenes/T_TAHARI_6637123_BLK_2.jpg","Ver imagen")</f>
        <v/>
      </c>
      <c r="Q4890">
        <f>HYPERLINK("imagenes/T_TAHARI_6637123_BLK_3.jpg","Ver imagen")</f>
        <v/>
      </c>
    </row>
    <row r="4891">
      <c r="A4891" t="inlineStr">
        <is>
          <t>T TAHARI</t>
        </is>
      </c>
      <c r="B4891" t="inlineStr">
        <is>
          <t>6637123</t>
        </is>
      </c>
      <c r="C4891" t="inlineStr">
        <is>
          <t>NATALIE</t>
        </is>
      </c>
      <c r="D4891" t="inlineStr">
        <is>
          <t>BLK</t>
        </is>
      </c>
      <c r="E4891" t="inlineStr">
        <is>
          <t>(en blanco)</t>
        </is>
      </c>
      <c r="F4891" t="inlineStr">
        <is>
          <t>(en blanco)</t>
        </is>
      </c>
      <c r="G4891" t="inlineStr">
        <is>
          <t>1X</t>
        </is>
      </c>
      <c r="H4891" t="n">
        <v>19</v>
      </c>
      <c r="I4891" t="inlineStr">
        <is>
          <t>T_TAHARI_6637123_BLK_1.jpg</t>
        </is>
      </c>
      <c r="J4891" t="inlineStr">
        <is>
          <t>T_TAHARI_6637123_BLK_2.jpg</t>
        </is>
      </c>
      <c r="K4891" t="inlineStr">
        <is>
          <t>T_TAHARI_6637123_BLK_3.jpg</t>
        </is>
      </c>
      <c r="L4891">
        <f>IMAGE("file:///E:/Estudios%20y%20certificaciones/ESTUDIOS%20DE%20PROGRAMMING/PROGRAMMING/PERSONAL/PYTHON/Image_Generator_API/imagenes/T_TAHARI_6637123_BLK_1.jpg")</f>
        <v/>
      </c>
      <c r="M4891">
        <f>IMAGE("file:///E:/Estudios%20y%20certificaciones/ESTUDIOS%20DE%20PROGRAMMING/PROGRAMMING/PERSONAL/PYTHON/Image_Generator_API/imagenes/T_TAHARI_6637123_BLK_2.jpg")</f>
        <v/>
      </c>
      <c r="N4891">
        <f>IMAGE("file:///E:/Estudios%20y%20certificaciones/ESTUDIOS%20DE%20PROGRAMMING/PROGRAMMING/PERSONAL/PYTHON/Image_Generator_API/imagenes/T_TAHARI_6637123_BLK_3.jpg")</f>
        <v/>
      </c>
      <c r="O4891">
        <f>HYPERLINK("imagenes/T_TAHARI_6637123_BLK_1.jpg","Ver imagen")</f>
        <v/>
      </c>
      <c r="P4891">
        <f>HYPERLINK("imagenes/T_TAHARI_6637123_BLK_2.jpg","Ver imagen")</f>
        <v/>
      </c>
      <c r="Q4891">
        <f>HYPERLINK("imagenes/T_TAHARI_6637123_BLK_3.jpg","Ver imagen")</f>
        <v/>
      </c>
    </row>
    <row r="4892">
      <c r="A4892" t="inlineStr">
        <is>
          <t>T TAHARI</t>
        </is>
      </c>
      <c r="B4892" t="inlineStr">
        <is>
          <t>6637123</t>
        </is>
      </c>
      <c r="C4892" t="inlineStr">
        <is>
          <t>NATALIE</t>
        </is>
      </c>
      <c r="D4892" t="inlineStr">
        <is>
          <t>BLK</t>
        </is>
      </c>
      <c r="E4892" t="inlineStr">
        <is>
          <t>(en blanco)</t>
        </is>
      </c>
      <c r="F4892" t="inlineStr">
        <is>
          <t>(en blanco)</t>
        </is>
      </c>
      <c r="G4892" t="inlineStr">
        <is>
          <t>2X</t>
        </is>
      </c>
      <c r="H4892" t="n">
        <v>44</v>
      </c>
      <c r="I4892" t="inlineStr">
        <is>
          <t>T_TAHARI_6637123_BLK_1.jpg</t>
        </is>
      </c>
      <c r="J4892" t="inlineStr">
        <is>
          <t>T_TAHARI_6637123_BLK_2.jpg</t>
        </is>
      </c>
      <c r="K4892" t="inlineStr">
        <is>
          <t>T_TAHARI_6637123_BLK_3.jpg</t>
        </is>
      </c>
      <c r="L4892">
        <f>IMAGE("file:///E:/Estudios%20y%20certificaciones/ESTUDIOS%20DE%20PROGRAMMING/PROGRAMMING/PERSONAL/PYTHON/Image_Generator_API/imagenes/T_TAHARI_6637123_BLK_1.jpg")</f>
        <v/>
      </c>
      <c r="M4892">
        <f>IMAGE("file:///E:/Estudios%20y%20certificaciones/ESTUDIOS%20DE%20PROGRAMMING/PROGRAMMING/PERSONAL/PYTHON/Image_Generator_API/imagenes/T_TAHARI_6637123_BLK_2.jpg")</f>
        <v/>
      </c>
      <c r="N4892">
        <f>IMAGE("file:///E:/Estudios%20y%20certificaciones/ESTUDIOS%20DE%20PROGRAMMING/PROGRAMMING/PERSONAL/PYTHON/Image_Generator_API/imagenes/T_TAHARI_6637123_BLK_3.jpg")</f>
        <v/>
      </c>
      <c r="O4892">
        <f>HYPERLINK("imagenes/T_TAHARI_6637123_BLK_1.jpg","Ver imagen")</f>
        <v/>
      </c>
      <c r="P4892">
        <f>HYPERLINK("imagenes/T_TAHARI_6637123_BLK_2.jpg","Ver imagen")</f>
        <v/>
      </c>
      <c r="Q4892">
        <f>HYPERLINK("imagenes/T_TAHARI_6637123_BLK_3.jpg","Ver imagen")</f>
        <v/>
      </c>
    </row>
    <row r="4893">
      <c r="A4893" t="inlineStr">
        <is>
          <t>T TAHARI</t>
        </is>
      </c>
      <c r="B4893" t="inlineStr">
        <is>
          <t>6637123</t>
        </is>
      </c>
      <c r="C4893" t="inlineStr">
        <is>
          <t>NATALIE</t>
        </is>
      </c>
      <c r="D4893" t="inlineStr">
        <is>
          <t>BLK</t>
        </is>
      </c>
      <c r="E4893" t="inlineStr">
        <is>
          <t>(en blanco)</t>
        </is>
      </c>
      <c r="F4893" t="inlineStr">
        <is>
          <t>(en blanco)</t>
        </is>
      </c>
      <c r="G4893" t="inlineStr">
        <is>
          <t>3X</t>
        </is>
      </c>
      <c r="H4893" t="n">
        <v>28</v>
      </c>
      <c r="I4893" t="inlineStr">
        <is>
          <t>T_TAHARI_6637123_BLK_1.jpg</t>
        </is>
      </c>
      <c r="J4893" t="inlineStr">
        <is>
          <t>T_TAHARI_6637123_BLK_2.jpg</t>
        </is>
      </c>
      <c r="K4893" t="inlineStr">
        <is>
          <t>T_TAHARI_6637123_BLK_3.jpg</t>
        </is>
      </c>
      <c r="L4893">
        <f>IMAGE("file:///E:/Estudios%20y%20certificaciones/ESTUDIOS%20DE%20PROGRAMMING/PROGRAMMING/PERSONAL/PYTHON/Image_Generator_API/imagenes/T_TAHARI_6637123_BLK_1.jpg")</f>
        <v/>
      </c>
      <c r="M4893">
        <f>IMAGE("file:///E:/Estudios%20y%20certificaciones/ESTUDIOS%20DE%20PROGRAMMING/PROGRAMMING/PERSONAL/PYTHON/Image_Generator_API/imagenes/T_TAHARI_6637123_BLK_2.jpg")</f>
        <v/>
      </c>
      <c r="N4893">
        <f>IMAGE("file:///E:/Estudios%20y%20certificaciones/ESTUDIOS%20DE%20PROGRAMMING/PROGRAMMING/PERSONAL/PYTHON/Image_Generator_API/imagenes/T_TAHARI_6637123_BLK_3.jpg")</f>
        <v/>
      </c>
      <c r="O4893">
        <f>HYPERLINK("imagenes/T_TAHARI_6637123_BLK_1.jpg","Ver imagen")</f>
        <v/>
      </c>
      <c r="P4893">
        <f>HYPERLINK("imagenes/T_TAHARI_6637123_BLK_2.jpg","Ver imagen")</f>
        <v/>
      </c>
      <c r="Q4893">
        <f>HYPERLINK("imagenes/T_TAHARI_6637123_BLK_3.jpg","Ver imagen")</f>
        <v/>
      </c>
    </row>
    <row r="4894">
      <c r="A4894" t="inlineStr">
        <is>
          <t>T TAHARI</t>
        </is>
      </c>
      <c r="B4894" t="inlineStr">
        <is>
          <t>6637123</t>
        </is>
      </c>
      <c r="C4894" t="inlineStr">
        <is>
          <t>NATALIE</t>
        </is>
      </c>
      <c r="D4894" t="inlineStr">
        <is>
          <t>COG</t>
        </is>
      </c>
      <c r="E4894" t="inlineStr">
        <is>
          <t>(en blanco)</t>
        </is>
      </c>
      <c r="F4894" t="inlineStr">
        <is>
          <t>(en blanco)</t>
        </is>
      </c>
      <c r="G4894" t="inlineStr">
        <is>
          <t>0X</t>
        </is>
      </c>
      <c r="H4894" t="n">
        <v>1</v>
      </c>
      <c r="I4894" t="inlineStr">
        <is>
          <t>T_TAHARI_6637123_COG_3.jpg</t>
        </is>
      </c>
      <c r="L4894">
        <f>IMAGE("file:///E:/Estudios%20y%20certificaciones/ESTUDIOS%20DE%20PROGRAMMING/PROGRAMMING/PERSONAL/PYTHON/Image_Generator_API/imagenes/T_TAHARI_6637123_COG_3.jpg")</f>
        <v/>
      </c>
      <c r="O4894">
        <f>HYPERLINK("imagenes/T_TAHARI_6637123_COG_3.jpg","Ver imagen")</f>
        <v/>
      </c>
    </row>
    <row r="4895">
      <c r="A4895" t="inlineStr">
        <is>
          <t>T TAHARI</t>
        </is>
      </c>
      <c r="B4895" t="inlineStr">
        <is>
          <t>6637123</t>
        </is>
      </c>
      <c r="C4895" t="inlineStr">
        <is>
          <t>NATALIE</t>
        </is>
      </c>
      <c r="D4895" t="inlineStr">
        <is>
          <t>COG</t>
        </is>
      </c>
      <c r="E4895" t="inlineStr">
        <is>
          <t>(en blanco)</t>
        </is>
      </c>
      <c r="F4895" t="inlineStr">
        <is>
          <t>(en blanco)</t>
        </is>
      </c>
      <c r="G4895" t="inlineStr">
        <is>
          <t>1X</t>
        </is>
      </c>
      <c r="H4895" t="n">
        <v>3</v>
      </c>
      <c r="I4895" t="inlineStr">
        <is>
          <t>T_TAHARI_6637123_COG_3.jpg</t>
        </is>
      </c>
      <c r="L4895">
        <f>IMAGE("file:///E:/Estudios%20y%20certificaciones/ESTUDIOS%20DE%20PROGRAMMING/PROGRAMMING/PERSONAL/PYTHON/Image_Generator_API/imagenes/T_TAHARI_6637123_COG_3.jpg")</f>
        <v/>
      </c>
      <c r="O4895">
        <f>HYPERLINK("imagenes/T_TAHARI_6637123_COG_3.jpg","Ver imagen")</f>
        <v/>
      </c>
    </row>
    <row r="4896">
      <c r="A4896" t="inlineStr">
        <is>
          <t>T TAHARI</t>
        </is>
      </c>
      <c r="B4896" t="inlineStr">
        <is>
          <t>6637123</t>
        </is>
      </c>
      <c r="C4896" t="inlineStr">
        <is>
          <t>NATALIE</t>
        </is>
      </c>
      <c r="D4896" t="inlineStr">
        <is>
          <t>COG</t>
        </is>
      </c>
      <c r="E4896" t="inlineStr">
        <is>
          <t>(en blanco)</t>
        </is>
      </c>
      <c r="F4896" t="inlineStr">
        <is>
          <t>(en blanco)</t>
        </is>
      </c>
      <c r="G4896" t="inlineStr">
        <is>
          <t>2X</t>
        </is>
      </c>
      <c r="H4896" t="n">
        <v>11</v>
      </c>
      <c r="I4896" t="inlineStr">
        <is>
          <t>T_TAHARI_6637123_COG_3.jpg</t>
        </is>
      </c>
      <c r="L4896">
        <f>IMAGE("file:///E:/Estudios%20y%20certificaciones/ESTUDIOS%20DE%20PROGRAMMING/PROGRAMMING/PERSONAL/PYTHON/Image_Generator_API/imagenes/T_TAHARI_6637123_COG_3.jpg")</f>
        <v/>
      </c>
      <c r="O4896">
        <f>HYPERLINK("imagenes/T_TAHARI_6637123_COG_3.jpg","Ver imagen")</f>
        <v/>
      </c>
    </row>
    <row r="4897">
      <c r="A4897" t="inlineStr">
        <is>
          <t>T TAHARI</t>
        </is>
      </c>
      <c r="B4897" t="inlineStr">
        <is>
          <t>6637123</t>
        </is>
      </c>
      <c r="C4897" t="inlineStr">
        <is>
          <t>NATALIE</t>
        </is>
      </c>
      <c r="D4897" t="inlineStr">
        <is>
          <t>COG</t>
        </is>
      </c>
      <c r="E4897" t="inlineStr">
        <is>
          <t>(en blanco)</t>
        </is>
      </c>
      <c r="F4897" t="inlineStr">
        <is>
          <t>(en blanco)</t>
        </is>
      </c>
      <c r="G4897" t="inlineStr">
        <is>
          <t>3X</t>
        </is>
      </c>
      <c r="H4897" t="n">
        <v>9</v>
      </c>
      <c r="I4897" t="inlineStr">
        <is>
          <t>T_TAHARI_6637123_COG_3.jpg</t>
        </is>
      </c>
      <c r="L4897">
        <f>IMAGE("file:///E:/Estudios%20y%20certificaciones/ESTUDIOS%20DE%20PROGRAMMING/PROGRAMMING/PERSONAL/PYTHON/Image_Generator_API/imagenes/T_TAHARI_6637123_COG_3.jpg")</f>
        <v/>
      </c>
      <c r="O4897">
        <f>HYPERLINK("imagenes/T_TAHARI_6637123_COG_3.jpg","Ver imagen")</f>
        <v/>
      </c>
    </row>
    <row r="4898">
      <c r="A4898" t="inlineStr">
        <is>
          <t>T TAHARI</t>
        </is>
      </c>
      <c r="B4898" t="inlineStr">
        <is>
          <t>6721806</t>
        </is>
      </c>
      <c r="C4898" t="inlineStr">
        <is>
          <t>JAYDEN CREPE TOPPER</t>
        </is>
      </c>
      <c r="D4898" t="inlineStr">
        <is>
          <t>LEM</t>
        </is>
      </c>
      <c r="E4898" t="inlineStr">
        <is>
          <t>(en blanco)</t>
        </is>
      </c>
      <c r="F4898" t="inlineStr">
        <is>
          <t>(en blanco)</t>
        </is>
      </c>
      <c r="G4898" t="inlineStr">
        <is>
          <t>XL</t>
        </is>
      </c>
      <c r="H4898" t="n">
        <v>1</v>
      </c>
      <c r="I4898" t="inlineStr">
        <is>
          <t>T_TAHARI_6721806_LEM_1.jpg</t>
        </is>
      </c>
      <c r="J4898" t="inlineStr">
        <is>
          <t>T_TAHARI_6721806_LEM_2.jpg</t>
        </is>
      </c>
      <c r="K4898" t="inlineStr">
        <is>
          <t>T_TAHARI_6721806_LEM_3.jpg</t>
        </is>
      </c>
      <c r="L4898">
        <f>IMAGE("file:///E:/Estudios%20y%20certificaciones/ESTUDIOS%20DE%20PROGRAMMING/PROGRAMMING/PERSONAL/PYTHON/Image_Generator_API/imagenes/T_TAHARI_6721806_LEM_1.jpg")</f>
        <v/>
      </c>
      <c r="M4898">
        <f>IMAGE("file:///E:/Estudios%20y%20certificaciones/ESTUDIOS%20DE%20PROGRAMMING/PROGRAMMING/PERSONAL/PYTHON/Image_Generator_API/imagenes/T_TAHARI_6721806_LEM_2.jpg")</f>
        <v/>
      </c>
      <c r="N4898">
        <f>IMAGE("file:///E:/Estudios%20y%20certificaciones/ESTUDIOS%20DE%20PROGRAMMING/PROGRAMMING/PERSONAL/PYTHON/Image_Generator_API/imagenes/T_TAHARI_6721806_LEM_3.jpg")</f>
        <v/>
      </c>
      <c r="O4898">
        <f>HYPERLINK("imagenes/T_TAHARI_6721806_LEM_1.jpg","Ver imagen")</f>
        <v/>
      </c>
      <c r="P4898">
        <f>HYPERLINK("imagenes/T_TAHARI_6721806_LEM_2.jpg","Ver imagen")</f>
        <v/>
      </c>
      <c r="Q4898">
        <f>HYPERLINK("imagenes/T_TAHARI_6721806_LEM_3.jpg","Ver imagen")</f>
        <v/>
      </c>
    </row>
    <row r="4899">
      <c r="A4899" t="inlineStr">
        <is>
          <t>T TAHARI</t>
        </is>
      </c>
      <c r="B4899" t="inlineStr">
        <is>
          <t>6724257</t>
        </is>
      </c>
      <c r="C4899" t="inlineStr">
        <is>
          <t>EMILY LW PUFFER</t>
        </is>
      </c>
      <c r="D4899" t="inlineStr">
        <is>
          <t>LIL</t>
        </is>
      </c>
      <c r="E4899" t="inlineStr">
        <is>
          <t>(en blanco)</t>
        </is>
      </c>
      <c r="F4899" t="inlineStr">
        <is>
          <t>(en blanco)</t>
        </is>
      </c>
      <c r="G4899" t="inlineStr">
        <is>
          <t>XS</t>
        </is>
      </c>
      <c r="H4899" t="n">
        <v>48</v>
      </c>
      <c r="I4899" t="inlineStr">
        <is>
          <t>T_TAHARI_6724257_LIL_1.jpg</t>
        </is>
      </c>
      <c r="J4899" t="inlineStr">
        <is>
          <t>T_TAHARI_6724257_LIL_2.jpg</t>
        </is>
      </c>
      <c r="K4899" t="inlineStr">
        <is>
          <t>T_TAHARI_6724257_LIL_3.jpg</t>
        </is>
      </c>
      <c r="L4899">
        <f>IMAGE("file:///E:/Estudios%20y%20certificaciones/ESTUDIOS%20DE%20PROGRAMMING/PROGRAMMING/PERSONAL/PYTHON/Image_Generator_API/imagenes/T_TAHARI_6724257_LIL_1.jpg")</f>
        <v/>
      </c>
      <c r="M4899">
        <f>IMAGE("file:///E:/Estudios%20y%20certificaciones/ESTUDIOS%20DE%20PROGRAMMING/PROGRAMMING/PERSONAL/PYTHON/Image_Generator_API/imagenes/T_TAHARI_6724257_LIL_2.jpg")</f>
        <v/>
      </c>
      <c r="N4899">
        <f>IMAGE("file:///E:/Estudios%20y%20certificaciones/ESTUDIOS%20DE%20PROGRAMMING/PROGRAMMING/PERSONAL/PYTHON/Image_Generator_API/imagenes/T_TAHARI_6724257_LIL_3.jpg")</f>
        <v/>
      </c>
      <c r="O4899">
        <f>HYPERLINK("imagenes/T_TAHARI_6724257_LIL_1.jpg","Ver imagen")</f>
        <v/>
      </c>
      <c r="P4899">
        <f>HYPERLINK("imagenes/T_TAHARI_6724257_LIL_2.jpg","Ver imagen")</f>
        <v/>
      </c>
      <c r="Q4899">
        <f>HYPERLINK("imagenes/T_TAHARI_6724257_LIL_3.jpg","Ver imagen")</f>
        <v/>
      </c>
    </row>
    <row r="4900">
      <c r="A4900" t="inlineStr">
        <is>
          <t>T TAHARI</t>
        </is>
      </c>
      <c r="B4900" t="inlineStr">
        <is>
          <t>6724257</t>
        </is>
      </c>
      <c r="C4900" t="inlineStr">
        <is>
          <t>EMILY LW PUFFER</t>
        </is>
      </c>
      <c r="D4900" t="inlineStr">
        <is>
          <t>LIL</t>
        </is>
      </c>
      <c r="E4900" t="inlineStr">
        <is>
          <t>(en blanco)</t>
        </is>
      </c>
      <c r="F4900" t="inlineStr">
        <is>
          <t>(en blanco)</t>
        </is>
      </c>
      <c r="G4900" t="inlineStr">
        <is>
          <t>S</t>
        </is>
      </c>
      <c r="H4900" t="n">
        <v>60</v>
      </c>
      <c r="I4900" t="inlineStr">
        <is>
          <t>T_TAHARI_6724257_LIL_1.jpg</t>
        </is>
      </c>
      <c r="J4900" t="inlineStr">
        <is>
          <t>T_TAHARI_6724257_LIL_2.jpg</t>
        </is>
      </c>
      <c r="K4900" t="inlineStr">
        <is>
          <t>T_TAHARI_6724257_LIL_3.jpg</t>
        </is>
      </c>
      <c r="L4900">
        <f>IMAGE("file:///E:/Estudios%20y%20certificaciones/ESTUDIOS%20DE%20PROGRAMMING/PROGRAMMING/PERSONAL/PYTHON/Image_Generator_API/imagenes/T_TAHARI_6724257_LIL_1.jpg")</f>
        <v/>
      </c>
      <c r="M4900">
        <f>IMAGE("file:///E:/Estudios%20y%20certificaciones/ESTUDIOS%20DE%20PROGRAMMING/PROGRAMMING/PERSONAL/PYTHON/Image_Generator_API/imagenes/T_TAHARI_6724257_LIL_2.jpg")</f>
        <v/>
      </c>
      <c r="N4900">
        <f>IMAGE("file:///E:/Estudios%20y%20certificaciones/ESTUDIOS%20DE%20PROGRAMMING/PROGRAMMING/PERSONAL/PYTHON/Image_Generator_API/imagenes/T_TAHARI_6724257_LIL_3.jpg")</f>
        <v/>
      </c>
      <c r="O4900">
        <f>HYPERLINK("imagenes/T_TAHARI_6724257_LIL_1.jpg","Ver imagen")</f>
        <v/>
      </c>
      <c r="P4900">
        <f>HYPERLINK("imagenes/T_TAHARI_6724257_LIL_2.jpg","Ver imagen")</f>
        <v/>
      </c>
      <c r="Q4900">
        <f>HYPERLINK("imagenes/T_TAHARI_6724257_LIL_3.jpg","Ver imagen")</f>
        <v/>
      </c>
    </row>
    <row r="4901">
      <c r="A4901" t="inlineStr">
        <is>
          <t>T TAHARI</t>
        </is>
      </c>
      <c r="B4901" t="inlineStr">
        <is>
          <t>6724257</t>
        </is>
      </c>
      <c r="C4901" t="inlineStr">
        <is>
          <t>EMILY LW PUFFER</t>
        </is>
      </c>
      <c r="D4901" t="inlineStr">
        <is>
          <t>LIL</t>
        </is>
      </c>
      <c r="E4901" t="inlineStr">
        <is>
          <t>(en blanco)</t>
        </is>
      </c>
      <c r="F4901" t="inlineStr">
        <is>
          <t>(en blanco)</t>
        </is>
      </c>
      <c r="G4901" t="inlineStr">
        <is>
          <t>M</t>
        </is>
      </c>
      <c r="H4901" t="n">
        <v>58</v>
      </c>
      <c r="I4901" t="inlineStr">
        <is>
          <t>T_TAHARI_6724257_LIL_1.jpg</t>
        </is>
      </c>
      <c r="J4901" t="inlineStr">
        <is>
          <t>T_TAHARI_6724257_LIL_2.jpg</t>
        </is>
      </c>
      <c r="K4901" t="inlineStr">
        <is>
          <t>T_TAHARI_6724257_LIL_3.jpg</t>
        </is>
      </c>
      <c r="L4901">
        <f>IMAGE("file:///E:/Estudios%20y%20certificaciones/ESTUDIOS%20DE%20PROGRAMMING/PROGRAMMING/PERSONAL/PYTHON/Image_Generator_API/imagenes/T_TAHARI_6724257_LIL_1.jpg")</f>
        <v/>
      </c>
      <c r="M4901">
        <f>IMAGE("file:///E:/Estudios%20y%20certificaciones/ESTUDIOS%20DE%20PROGRAMMING/PROGRAMMING/PERSONAL/PYTHON/Image_Generator_API/imagenes/T_TAHARI_6724257_LIL_2.jpg")</f>
        <v/>
      </c>
      <c r="N4901">
        <f>IMAGE("file:///E:/Estudios%20y%20certificaciones/ESTUDIOS%20DE%20PROGRAMMING/PROGRAMMING/PERSONAL/PYTHON/Image_Generator_API/imagenes/T_TAHARI_6724257_LIL_3.jpg")</f>
        <v/>
      </c>
      <c r="O4901">
        <f>HYPERLINK("imagenes/T_TAHARI_6724257_LIL_1.jpg","Ver imagen")</f>
        <v/>
      </c>
      <c r="P4901">
        <f>HYPERLINK("imagenes/T_TAHARI_6724257_LIL_2.jpg","Ver imagen")</f>
        <v/>
      </c>
      <c r="Q4901">
        <f>HYPERLINK("imagenes/T_TAHARI_6724257_LIL_3.jpg","Ver imagen")</f>
        <v/>
      </c>
    </row>
    <row r="4902">
      <c r="A4902" t="inlineStr">
        <is>
          <t>T TAHARI</t>
        </is>
      </c>
      <c r="B4902" t="inlineStr">
        <is>
          <t>6724257</t>
        </is>
      </c>
      <c r="C4902" t="inlineStr">
        <is>
          <t>EMILY LW PUFFER</t>
        </is>
      </c>
      <c r="D4902" t="inlineStr">
        <is>
          <t>LIL</t>
        </is>
      </c>
      <c r="E4902" t="inlineStr">
        <is>
          <t>(en blanco)</t>
        </is>
      </c>
      <c r="F4902" t="inlineStr">
        <is>
          <t>(en blanco)</t>
        </is>
      </c>
      <c r="G4902" t="inlineStr">
        <is>
          <t>L</t>
        </is>
      </c>
      <c r="H4902" t="n">
        <v>62</v>
      </c>
      <c r="I4902" t="inlineStr">
        <is>
          <t>T_TAHARI_6724257_LIL_1.jpg</t>
        </is>
      </c>
      <c r="J4902" t="inlineStr">
        <is>
          <t>T_TAHARI_6724257_LIL_2.jpg</t>
        </is>
      </c>
      <c r="K4902" t="inlineStr">
        <is>
          <t>T_TAHARI_6724257_LIL_3.jpg</t>
        </is>
      </c>
      <c r="L4902">
        <f>IMAGE("file:///E:/Estudios%20y%20certificaciones/ESTUDIOS%20DE%20PROGRAMMING/PROGRAMMING/PERSONAL/PYTHON/Image_Generator_API/imagenes/T_TAHARI_6724257_LIL_1.jpg")</f>
        <v/>
      </c>
      <c r="M4902">
        <f>IMAGE("file:///E:/Estudios%20y%20certificaciones/ESTUDIOS%20DE%20PROGRAMMING/PROGRAMMING/PERSONAL/PYTHON/Image_Generator_API/imagenes/T_TAHARI_6724257_LIL_2.jpg")</f>
        <v/>
      </c>
      <c r="N4902">
        <f>IMAGE("file:///E:/Estudios%20y%20certificaciones/ESTUDIOS%20DE%20PROGRAMMING/PROGRAMMING/PERSONAL/PYTHON/Image_Generator_API/imagenes/T_TAHARI_6724257_LIL_3.jpg")</f>
        <v/>
      </c>
      <c r="O4902">
        <f>HYPERLINK("imagenes/T_TAHARI_6724257_LIL_1.jpg","Ver imagen")</f>
        <v/>
      </c>
      <c r="P4902">
        <f>HYPERLINK("imagenes/T_TAHARI_6724257_LIL_2.jpg","Ver imagen")</f>
        <v/>
      </c>
      <c r="Q4902">
        <f>HYPERLINK("imagenes/T_TAHARI_6724257_LIL_3.jpg","Ver imagen")</f>
        <v/>
      </c>
    </row>
    <row r="4903">
      <c r="A4903" t="inlineStr">
        <is>
          <t>T TAHARI</t>
        </is>
      </c>
      <c r="B4903" t="inlineStr">
        <is>
          <t>6724257</t>
        </is>
      </c>
      <c r="C4903" t="inlineStr">
        <is>
          <t>EMILY LW PUFFER</t>
        </is>
      </c>
      <c r="D4903" t="inlineStr">
        <is>
          <t>LIL</t>
        </is>
      </c>
      <c r="E4903" t="inlineStr">
        <is>
          <t>(en blanco)</t>
        </is>
      </c>
      <c r="F4903" t="inlineStr">
        <is>
          <t>(en blanco)</t>
        </is>
      </c>
      <c r="G4903" t="inlineStr">
        <is>
          <t>XL</t>
        </is>
      </c>
      <c r="H4903" t="n">
        <v>35</v>
      </c>
      <c r="I4903" t="inlineStr">
        <is>
          <t>T_TAHARI_6724257_LIL_1.jpg</t>
        </is>
      </c>
      <c r="J4903" t="inlineStr">
        <is>
          <t>T_TAHARI_6724257_LIL_2.jpg</t>
        </is>
      </c>
      <c r="K4903" t="inlineStr">
        <is>
          <t>T_TAHARI_6724257_LIL_3.jpg</t>
        </is>
      </c>
      <c r="L4903">
        <f>IMAGE("file:///E:/Estudios%20y%20certificaciones/ESTUDIOS%20DE%20PROGRAMMING/PROGRAMMING/PERSONAL/PYTHON/Image_Generator_API/imagenes/T_TAHARI_6724257_LIL_1.jpg")</f>
        <v/>
      </c>
      <c r="M4903">
        <f>IMAGE("file:///E:/Estudios%20y%20certificaciones/ESTUDIOS%20DE%20PROGRAMMING/PROGRAMMING/PERSONAL/PYTHON/Image_Generator_API/imagenes/T_TAHARI_6724257_LIL_2.jpg")</f>
        <v/>
      </c>
      <c r="N4903">
        <f>IMAGE("file:///E:/Estudios%20y%20certificaciones/ESTUDIOS%20DE%20PROGRAMMING/PROGRAMMING/PERSONAL/PYTHON/Image_Generator_API/imagenes/T_TAHARI_6724257_LIL_3.jpg")</f>
        <v/>
      </c>
      <c r="O4903">
        <f>HYPERLINK("imagenes/T_TAHARI_6724257_LIL_1.jpg","Ver imagen")</f>
        <v/>
      </c>
      <c r="P4903">
        <f>HYPERLINK("imagenes/T_TAHARI_6724257_LIL_2.jpg","Ver imagen")</f>
        <v/>
      </c>
      <c r="Q4903">
        <f>HYPERLINK("imagenes/T_TAHARI_6724257_LIL_3.jpg","Ver imagen")</f>
        <v/>
      </c>
    </row>
    <row r="4904">
      <c r="A4904" t="inlineStr">
        <is>
          <t>T TAHARI</t>
        </is>
      </c>
      <c r="B4904" t="inlineStr">
        <is>
          <t>6820125</t>
        </is>
      </c>
      <c r="C4904" t="inlineStr">
        <is>
          <t>MARLA WOOL COAT WITH</t>
        </is>
      </c>
      <c r="D4904" t="inlineStr">
        <is>
          <t>BLK</t>
        </is>
      </c>
      <c r="E4904" t="inlineStr">
        <is>
          <t>(en blanco)</t>
        </is>
      </c>
      <c r="F4904" t="inlineStr">
        <is>
          <t>(en blanco)</t>
        </is>
      </c>
      <c r="G4904" t="inlineStr">
        <is>
          <t>XS</t>
        </is>
      </c>
      <c r="H4904" t="n">
        <v>1</v>
      </c>
      <c r="I4904" t="inlineStr">
        <is>
          <t>T_TAHARI_6820125_BLK_1.jpg</t>
        </is>
      </c>
      <c r="J4904" t="inlineStr">
        <is>
          <t>T_TAHARI_6820125_BLK_2.jpg</t>
        </is>
      </c>
      <c r="K4904" t="inlineStr">
        <is>
          <t>T_TAHARI_6820125_BLK_3.jpg</t>
        </is>
      </c>
      <c r="L4904">
        <f>IMAGE("file:///E:/Estudios%20y%20certificaciones/ESTUDIOS%20DE%20PROGRAMMING/PROGRAMMING/PERSONAL/PYTHON/Image_Generator_API/imagenes/T_TAHARI_6820125_BLK_1.jpg")</f>
        <v/>
      </c>
      <c r="M4904">
        <f>IMAGE("file:///E:/Estudios%20y%20certificaciones/ESTUDIOS%20DE%20PROGRAMMING/PROGRAMMING/PERSONAL/PYTHON/Image_Generator_API/imagenes/T_TAHARI_6820125_BLK_2.jpg")</f>
        <v/>
      </c>
      <c r="N4904">
        <f>IMAGE("file:///E:/Estudios%20y%20certificaciones/ESTUDIOS%20DE%20PROGRAMMING/PROGRAMMING/PERSONAL/PYTHON/Image_Generator_API/imagenes/T_TAHARI_6820125_BLK_3.jpg")</f>
        <v/>
      </c>
      <c r="O4904">
        <f>HYPERLINK("imagenes/T_TAHARI_6820125_BLK_1.jpg","Ver imagen")</f>
        <v/>
      </c>
      <c r="P4904">
        <f>HYPERLINK("imagenes/T_TAHARI_6820125_BLK_2.jpg","Ver imagen")</f>
        <v/>
      </c>
      <c r="Q4904">
        <f>HYPERLINK("imagenes/T_TAHARI_6820125_BLK_3.jpg","Ver imagen")</f>
        <v/>
      </c>
    </row>
    <row r="4905">
      <c r="A4905" t="inlineStr">
        <is>
          <t>T TAHARI</t>
        </is>
      </c>
      <c r="B4905" t="inlineStr">
        <is>
          <t>6820125</t>
        </is>
      </c>
      <c r="C4905" t="inlineStr">
        <is>
          <t>MARLA WOOL COAT WITH</t>
        </is>
      </c>
      <c r="D4905" t="inlineStr">
        <is>
          <t>BNG</t>
        </is>
      </c>
      <c r="E4905" t="inlineStr">
        <is>
          <t>(en blanco)</t>
        </is>
      </c>
      <c r="F4905" t="inlineStr">
        <is>
          <t>(en blanco)</t>
        </is>
      </c>
      <c r="G4905" t="inlineStr">
        <is>
          <t>M</t>
        </is>
      </c>
      <c r="H4905" t="n">
        <v>1</v>
      </c>
      <c r="I4905" t="inlineStr">
        <is>
          <t>T_TAHARI_6820125_BNG_1.jpg</t>
        </is>
      </c>
      <c r="J4905" t="inlineStr">
        <is>
          <t>T_TAHARI_6820125_BNG_2.jpg</t>
        </is>
      </c>
      <c r="K4905" t="inlineStr">
        <is>
          <t>T_TAHARI_6820125_BNG_3.jpg</t>
        </is>
      </c>
      <c r="L4905">
        <f>IMAGE("file:///E:/Estudios%20y%20certificaciones/ESTUDIOS%20DE%20PROGRAMMING/PROGRAMMING/PERSONAL/PYTHON/Image_Generator_API/imagenes/T_TAHARI_6820125_BNG_1.jpg")</f>
        <v/>
      </c>
      <c r="M4905">
        <f>IMAGE("file:///E:/Estudios%20y%20certificaciones/ESTUDIOS%20DE%20PROGRAMMING/PROGRAMMING/PERSONAL/PYTHON/Image_Generator_API/imagenes/T_TAHARI_6820125_BNG_2.jpg")</f>
        <v/>
      </c>
      <c r="N4905">
        <f>IMAGE("file:///E:/Estudios%20y%20certificaciones/ESTUDIOS%20DE%20PROGRAMMING/PROGRAMMING/PERSONAL/PYTHON/Image_Generator_API/imagenes/T_TAHARI_6820125_BNG_3.jpg")</f>
        <v/>
      </c>
      <c r="O4905">
        <f>HYPERLINK("imagenes/T_TAHARI_6820125_BNG_1.jpg","Ver imagen")</f>
        <v/>
      </c>
      <c r="P4905">
        <f>HYPERLINK("imagenes/T_TAHARI_6820125_BNG_2.jpg","Ver imagen")</f>
        <v/>
      </c>
      <c r="Q4905">
        <f>HYPERLINK("imagenes/T_TAHARI_6820125_BNG_3.jpg","Ver imagen")</f>
        <v/>
      </c>
    </row>
    <row r="4906">
      <c r="A4906" t="inlineStr">
        <is>
          <t>T TAHARI</t>
        </is>
      </c>
      <c r="B4906" t="inlineStr">
        <is>
          <t>6820125</t>
        </is>
      </c>
      <c r="C4906" t="inlineStr">
        <is>
          <t>MARLA WOOL COAT WITH</t>
        </is>
      </c>
      <c r="D4906" t="inlineStr">
        <is>
          <t>MBU</t>
        </is>
      </c>
      <c r="E4906" t="inlineStr">
        <is>
          <t>(en blanco)</t>
        </is>
      </c>
      <c r="F4906" t="inlineStr">
        <is>
          <t>(en blanco)</t>
        </is>
      </c>
      <c r="G4906" t="inlineStr">
        <is>
          <t>XS</t>
        </is>
      </c>
      <c r="H4906" t="n">
        <v>1</v>
      </c>
      <c r="I4906" t="inlineStr">
        <is>
          <t>T_TAHARI_6820125_MBU_1.jpg</t>
        </is>
      </c>
      <c r="J4906" t="inlineStr">
        <is>
          <t>T_TAHARI_6820125_MBU_2.jpg</t>
        </is>
      </c>
      <c r="K4906" t="inlineStr">
        <is>
          <t>T_TAHARI_6820125_MBU_3.jpg</t>
        </is>
      </c>
      <c r="L4906">
        <f>IMAGE("file:///E:/Estudios%20y%20certificaciones/ESTUDIOS%20DE%20PROGRAMMING/PROGRAMMING/PERSONAL/PYTHON/Image_Generator_API/imagenes/T_TAHARI_6820125_MBU_1.jpg")</f>
        <v/>
      </c>
      <c r="M4906">
        <f>IMAGE("file:///E:/Estudios%20y%20certificaciones/ESTUDIOS%20DE%20PROGRAMMING/PROGRAMMING/PERSONAL/PYTHON/Image_Generator_API/imagenes/T_TAHARI_6820125_MBU_2.jpg")</f>
        <v/>
      </c>
      <c r="N4906">
        <f>IMAGE("file:///E:/Estudios%20y%20certificaciones/ESTUDIOS%20DE%20PROGRAMMING/PROGRAMMING/PERSONAL/PYTHON/Image_Generator_API/imagenes/T_TAHARI_6820125_MBU_3.jpg")</f>
        <v/>
      </c>
      <c r="O4906">
        <f>HYPERLINK("imagenes/T_TAHARI_6820125_MBU_1.jpg","Ver imagen")</f>
        <v/>
      </c>
      <c r="P4906">
        <f>HYPERLINK("imagenes/T_TAHARI_6820125_MBU_2.jpg","Ver imagen")</f>
        <v/>
      </c>
      <c r="Q4906">
        <f>HYPERLINK("imagenes/T_TAHARI_6820125_MBU_3.jpg","Ver imagen")</f>
        <v/>
      </c>
    </row>
    <row r="4907">
      <c r="A4907" t="inlineStr">
        <is>
          <t>T TAHARI</t>
        </is>
      </c>
      <c r="B4907" t="inlineStr">
        <is>
          <t>6820125</t>
        </is>
      </c>
      <c r="C4907" t="inlineStr">
        <is>
          <t>MARLA WOOL COAT WITH</t>
        </is>
      </c>
      <c r="D4907" t="inlineStr">
        <is>
          <t>MBU</t>
        </is>
      </c>
      <c r="E4907" t="inlineStr">
        <is>
          <t>(en blanco)</t>
        </is>
      </c>
      <c r="F4907" t="inlineStr">
        <is>
          <t>(en blanco)</t>
        </is>
      </c>
      <c r="G4907" t="inlineStr">
        <is>
          <t>L</t>
        </is>
      </c>
      <c r="H4907" t="n">
        <v>1</v>
      </c>
      <c r="I4907" t="inlineStr">
        <is>
          <t>T_TAHARI_6820125_MBU_1.jpg</t>
        </is>
      </c>
      <c r="J4907" t="inlineStr">
        <is>
          <t>T_TAHARI_6820125_MBU_2.jpg</t>
        </is>
      </c>
      <c r="K4907" t="inlineStr">
        <is>
          <t>T_TAHARI_6820125_MBU_3.jpg</t>
        </is>
      </c>
      <c r="L4907">
        <f>IMAGE("file:///E:/Estudios%20y%20certificaciones/ESTUDIOS%20DE%20PROGRAMMING/PROGRAMMING/PERSONAL/PYTHON/Image_Generator_API/imagenes/T_TAHARI_6820125_MBU_1.jpg")</f>
        <v/>
      </c>
      <c r="M4907">
        <f>IMAGE("file:///E:/Estudios%20y%20certificaciones/ESTUDIOS%20DE%20PROGRAMMING/PROGRAMMING/PERSONAL/PYTHON/Image_Generator_API/imagenes/T_TAHARI_6820125_MBU_2.jpg")</f>
        <v/>
      </c>
      <c r="N4907">
        <f>IMAGE("file:///E:/Estudios%20y%20certificaciones/ESTUDIOS%20DE%20PROGRAMMING/PROGRAMMING/PERSONAL/PYTHON/Image_Generator_API/imagenes/T_TAHARI_6820125_MBU_3.jpg")</f>
        <v/>
      </c>
      <c r="O4907">
        <f>HYPERLINK("imagenes/T_TAHARI_6820125_MBU_1.jpg","Ver imagen")</f>
        <v/>
      </c>
      <c r="P4907">
        <f>HYPERLINK("imagenes/T_TAHARI_6820125_MBU_2.jpg","Ver imagen")</f>
        <v/>
      </c>
      <c r="Q4907">
        <f>HYPERLINK("imagenes/T_TAHARI_6820125_MBU_3.jpg","Ver imagen")</f>
        <v/>
      </c>
    </row>
    <row r="4908">
      <c r="A4908" t="inlineStr">
        <is>
          <t>T TAHARI</t>
        </is>
      </c>
      <c r="B4908" t="inlineStr">
        <is>
          <t>6820125</t>
        </is>
      </c>
      <c r="C4908" t="inlineStr">
        <is>
          <t>MARLA WOOL COAT WITH</t>
        </is>
      </c>
      <c r="D4908" t="inlineStr">
        <is>
          <t>MBU</t>
        </is>
      </c>
      <c r="E4908" t="inlineStr">
        <is>
          <t>(en blanco)</t>
        </is>
      </c>
      <c r="F4908" t="inlineStr">
        <is>
          <t>(en blanco)</t>
        </is>
      </c>
      <c r="G4908" t="inlineStr">
        <is>
          <t>XL</t>
        </is>
      </c>
      <c r="H4908" t="n">
        <v>1</v>
      </c>
      <c r="I4908" t="inlineStr">
        <is>
          <t>T_TAHARI_6820125_MBU_1.jpg</t>
        </is>
      </c>
      <c r="J4908" t="inlineStr">
        <is>
          <t>T_TAHARI_6820125_MBU_2.jpg</t>
        </is>
      </c>
      <c r="K4908" t="inlineStr">
        <is>
          <t>T_TAHARI_6820125_MBU_3.jpg</t>
        </is>
      </c>
      <c r="L4908">
        <f>IMAGE("file:///E:/Estudios%20y%20certificaciones/ESTUDIOS%20DE%20PROGRAMMING/PROGRAMMING/PERSONAL/PYTHON/Image_Generator_API/imagenes/T_TAHARI_6820125_MBU_1.jpg")</f>
        <v/>
      </c>
      <c r="M4908">
        <f>IMAGE("file:///E:/Estudios%20y%20certificaciones/ESTUDIOS%20DE%20PROGRAMMING/PROGRAMMING/PERSONAL/PYTHON/Image_Generator_API/imagenes/T_TAHARI_6820125_MBU_2.jpg")</f>
        <v/>
      </c>
      <c r="N4908">
        <f>IMAGE("file:///E:/Estudios%20y%20certificaciones/ESTUDIOS%20DE%20PROGRAMMING/PROGRAMMING/PERSONAL/PYTHON/Image_Generator_API/imagenes/T_TAHARI_6820125_MBU_3.jpg")</f>
        <v/>
      </c>
      <c r="O4908">
        <f>HYPERLINK("imagenes/T_TAHARI_6820125_MBU_1.jpg","Ver imagen")</f>
        <v/>
      </c>
      <c r="P4908">
        <f>HYPERLINK("imagenes/T_TAHARI_6820125_MBU_2.jpg","Ver imagen")</f>
        <v/>
      </c>
      <c r="Q4908">
        <f>HYPERLINK("imagenes/T_TAHARI_6820125_MBU_3.jpg","Ver imagen")</f>
        <v/>
      </c>
    </row>
    <row r="4909">
      <c r="A4909" t="inlineStr">
        <is>
          <t>T TAHARI</t>
        </is>
      </c>
      <c r="B4909" t="inlineStr">
        <is>
          <t>6820125</t>
        </is>
      </c>
      <c r="C4909" t="inlineStr">
        <is>
          <t>MARLA WOOL COAT WITH</t>
        </is>
      </c>
      <c r="D4909" t="inlineStr">
        <is>
          <t>PBU</t>
        </is>
      </c>
      <c r="E4909" t="inlineStr">
        <is>
          <t>(en blanco)</t>
        </is>
      </c>
      <c r="F4909" t="inlineStr">
        <is>
          <t>(en blanco)</t>
        </is>
      </c>
      <c r="G4909" t="inlineStr">
        <is>
          <t>XS</t>
        </is>
      </c>
      <c r="H4909" t="n">
        <v>2</v>
      </c>
      <c r="I4909" t="inlineStr">
        <is>
          <t>T_TAHARI_6820125_PBU_1.jpg</t>
        </is>
      </c>
      <c r="J4909" t="inlineStr">
        <is>
          <t>T_TAHARI_6820125_PBU_2.jpg</t>
        </is>
      </c>
      <c r="K4909" t="inlineStr">
        <is>
          <t>T_TAHARI_6820125_PBU_3.jpg</t>
        </is>
      </c>
      <c r="L4909">
        <f>IMAGE("file:///E:/Estudios%20y%20certificaciones/ESTUDIOS%20DE%20PROGRAMMING/PROGRAMMING/PERSONAL/PYTHON/Image_Generator_API/imagenes/T_TAHARI_6820125_PBU_1.jpg")</f>
        <v/>
      </c>
      <c r="M4909">
        <f>IMAGE("file:///E:/Estudios%20y%20certificaciones/ESTUDIOS%20DE%20PROGRAMMING/PROGRAMMING/PERSONAL/PYTHON/Image_Generator_API/imagenes/T_TAHARI_6820125_PBU_2.jpg")</f>
        <v/>
      </c>
      <c r="N4909">
        <f>IMAGE("file:///E:/Estudios%20y%20certificaciones/ESTUDIOS%20DE%20PROGRAMMING/PROGRAMMING/PERSONAL/PYTHON/Image_Generator_API/imagenes/T_TAHARI_6820125_PBU_3.jpg")</f>
        <v/>
      </c>
      <c r="O4909">
        <f>HYPERLINK("imagenes/T_TAHARI_6820125_PBU_1.jpg","Ver imagen")</f>
        <v/>
      </c>
      <c r="P4909">
        <f>HYPERLINK("imagenes/T_TAHARI_6820125_PBU_2.jpg","Ver imagen")</f>
        <v/>
      </c>
      <c r="Q4909">
        <f>HYPERLINK("imagenes/T_TAHARI_6820125_PBU_3.jpg","Ver imagen")</f>
        <v/>
      </c>
    </row>
    <row r="4910">
      <c r="A4910" t="inlineStr">
        <is>
          <t>T TAHARI</t>
        </is>
      </c>
      <c r="B4910" t="inlineStr">
        <is>
          <t>6820125</t>
        </is>
      </c>
      <c r="C4910" t="inlineStr">
        <is>
          <t>MARLA WOOL COAT WITH</t>
        </is>
      </c>
      <c r="D4910" t="inlineStr">
        <is>
          <t>PBU</t>
        </is>
      </c>
      <c r="E4910" t="inlineStr">
        <is>
          <t>(en blanco)</t>
        </is>
      </c>
      <c r="F4910" t="inlineStr">
        <is>
          <t>(en blanco)</t>
        </is>
      </c>
      <c r="G4910" t="inlineStr">
        <is>
          <t>L</t>
        </is>
      </c>
      <c r="H4910" t="n">
        <v>2</v>
      </c>
      <c r="I4910" t="inlineStr">
        <is>
          <t>T_TAHARI_6820125_PBU_1.jpg</t>
        </is>
      </c>
      <c r="J4910" t="inlineStr">
        <is>
          <t>T_TAHARI_6820125_PBU_2.jpg</t>
        </is>
      </c>
      <c r="K4910" t="inlineStr">
        <is>
          <t>T_TAHARI_6820125_PBU_3.jpg</t>
        </is>
      </c>
      <c r="L4910">
        <f>IMAGE("file:///E:/Estudios%20y%20certificaciones/ESTUDIOS%20DE%20PROGRAMMING/PROGRAMMING/PERSONAL/PYTHON/Image_Generator_API/imagenes/T_TAHARI_6820125_PBU_1.jpg")</f>
        <v/>
      </c>
      <c r="M4910">
        <f>IMAGE("file:///E:/Estudios%20y%20certificaciones/ESTUDIOS%20DE%20PROGRAMMING/PROGRAMMING/PERSONAL/PYTHON/Image_Generator_API/imagenes/T_TAHARI_6820125_PBU_2.jpg")</f>
        <v/>
      </c>
      <c r="N4910">
        <f>IMAGE("file:///E:/Estudios%20y%20certificaciones/ESTUDIOS%20DE%20PROGRAMMING/PROGRAMMING/PERSONAL/PYTHON/Image_Generator_API/imagenes/T_TAHARI_6820125_PBU_3.jpg")</f>
        <v/>
      </c>
      <c r="O4910">
        <f>HYPERLINK("imagenes/T_TAHARI_6820125_PBU_1.jpg","Ver imagen")</f>
        <v/>
      </c>
      <c r="P4910">
        <f>HYPERLINK("imagenes/T_TAHARI_6820125_PBU_2.jpg","Ver imagen")</f>
        <v/>
      </c>
      <c r="Q4910">
        <f>HYPERLINK("imagenes/T_TAHARI_6820125_PBU_3.jpg","Ver imagen")</f>
        <v/>
      </c>
    </row>
    <row r="4911">
      <c r="A4911" t="inlineStr">
        <is>
          <t>T TAHARI</t>
        </is>
      </c>
      <c r="B4911" t="inlineStr">
        <is>
          <t>6820125</t>
        </is>
      </c>
      <c r="C4911" t="inlineStr">
        <is>
          <t>MARLA WOOL COAT WITH</t>
        </is>
      </c>
      <c r="D4911" t="inlineStr">
        <is>
          <t>PBU</t>
        </is>
      </c>
      <c r="E4911" t="inlineStr">
        <is>
          <t>(en blanco)</t>
        </is>
      </c>
      <c r="F4911" t="inlineStr">
        <is>
          <t>(en blanco)</t>
        </is>
      </c>
      <c r="G4911" t="inlineStr">
        <is>
          <t>XL</t>
        </is>
      </c>
      <c r="H4911" t="n">
        <v>1</v>
      </c>
      <c r="I4911" t="inlineStr">
        <is>
          <t>T_TAHARI_6820125_PBU_1.jpg</t>
        </is>
      </c>
      <c r="J4911" t="inlineStr">
        <is>
          <t>T_TAHARI_6820125_PBU_2.jpg</t>
        </is>
      </c>
      <c r="K4911" t="inlineStr">
        <is>
          <t>T_TAHARI_6820125_PBU_3.jpg</t>
        </is>
      </c>
      <c r="L4911">
        <f>IMAGE("file:///E:/Estudios%20y%20certificaciones/ESTUDIOS%20DE%20PROGRAMMING/PROGRAMMING/PERSONAL/PYTHON/Image_Generator_API/imagenes/T_TAHARI_6820125_PBU_1.jpg")</f>
        <v/>
      </c>
      <c r="M4911">
        <f>IMAGE("file:///E:/Estudios%20y%20certificaciones/ESTUDIOS%20DE%20PROGRAMMING/PROGRAMMING/PERSONAL/PYTHON/Image_Generator_API/imagenes/T_TAHARI_6820125_PBU_2.jpg")</f>
        <v/>
      </c>
      <c r="N4911">
        <f>IMAGE("file:///E:/Estudios%20y%20certificaciones/ESTUDIOS%20DE%20PROGRAMMING/PROGRAMMING/PERSONAL/PYTHON/Image_Generator_API/imagenes/T_TAHARI_6820125_PBU_3.jpg")</f>
        <v/>
      </c>
      <c r="O4911">
        <f>HYPERLINK("imagenes/T_TAHARI_6820125_PBU_1.jpg","Ver imagen")</f>
        <v/>
      </c>
      <c r="P4911">
        <f>HYPERLINK("imagenes/T_TAHARI_6820125_PBU_2.jpg","Ver imagen")</f>
        <v/>
      </c>
      <c r="Q4911">
        <f>HYPERLINK("imagenes/T_TAHARI_6820125_PBU_3.jpg","Ver imagen")</f>
        <v/>
      </c>
    </row>
    <row r="4912">
      <c r="A4912" t="inlineStr">
        <is>
          <t>T TAHARI</t>
        </is>
      </c>
      <c r="B4912" t="inlineStr">
        <is>
          <t>6820165</t>
        </is>
      </c>
      <c r="C4912" t="inlineStr">
        <is>
          <t>MACI DB WOOL COAT W/</t>
        </is>
      </c>
      <c r="D4912" t="inlineStr">
        <is>
          <t>BLK</t>
        </is>
      </c>
      <c r="E4912" t="inlineStr">
        <is>
          <t>(en blanco)</t>
        </is>
      </c>
      <c r="F4912" t="inlineStr">
        <is>
          <t>(en blanco)</t>
        </is>
      </c>
      <c r="G4912" t="inlineStr">
        <is>
          <t>XL</t>
        </is>
      </c>
      <c r="H4912" t="n">
        <v>1</v>
      </c>
      <c r="I4912" t="inlineStr">
        <is>
          <t>T_TAHARI_6820165_BLK_1.jpg</t>
        </is>
      </c>
      <c r="J4912" t="inlineStr">
        <is>
          <t>T_TAHARI_6820165_BLK_2.jpg</t>
        </is>
      </c>
      <c r="K4912" t="inlineStr">
        <is>
          <t>T_TAHARI_6820165_BLK_3.jpg</t>
        </is>
      </c>
      <c r="L4912">
        <f>IMAGE("file:///E:/Estudios%20y%20certificaciones/ESTUDIOS%20DE%20PROGRAMMING/PROGRAMMING/PERSONAL/PYTHON/Image_Generator_API/imagenes/T_TAHARI_6820165_BLK_1.jpg")</f>
        <v/>
      </c>
      <c r="M4912">
        <f>IMAGE("file:///E:/Estudios%20y%20certificaciones/ESTUDIOS%20DE%20PROGRAMMING/PROGRAMMING/PERSONAL/PYTHON/Image_Generator_API/imagenes/T_TAHARI_6820165_BLK_2.jpg")</f>
        <v/>
      </c>
      <c r="N4912">
        <f>IMAGE("file:///E:/Estudios%20y%20certificaciones/ESTUDIOS%20DE%20PROGRAMMING/PROGRAMMING/PERSONAL/PYTHON/Image_Generator_API/imagenes/T_TAHARI_6820165_BLK_3.jpg")</f>
        <v/>
      </c>
      <c r="O4912">
        <f>HYPERLINK("imagenes/T_TAHARI_6820165_BLK_1.jpg","Ver imagen")</f>
        <v/>
      </c>
      <c r="P4912">
        <f>HYPERLINK("imagenes/T_TAHARI_6820165_BLK_2.jpg","Ver imagen")</f>
        <v/>
      </c>
      <c r="Q4912">
        <f>HYPERLINK("imagenes/T_TAHARI_6820165_BLK_3.jpg","Ver imagen")</f>
        <v/>
      </c>
    </row>
    <row r="4913">
      <c r="A4913" t="inlineStr">
        <is>
          <t>T TAHARI</t>
        </is>
      </c>
      <c r="B4913" t="inlineStr">
        <is>
          <t>6820612</t>
        </is>
      </c>
      <c r="C4913" t="inlineStr">
        <is>
          <t>ELLIE DF WRAPCOAT</t>
        </is>
      </c>
      <c r="D4913" t="inlineStr">
        <is>
          <t>BNG</t>
        </is>
      </c>
      <c r="E4913" t="inlineStr">
        <is>
          <t>(en blanco)</t>
        </is>
      </c>
      <c r="F4913" t="inlineStr">
        <is>
          <t>(en blanco)</t>
        </is>
      </c>
      <c r="G4913" t="inlineStr">
        <is>
          <t>XL</t>
        </is>
      </c>
      <c r="H4913" t="n">
        <v>3</v>
      </c>
      <c r="I4913" t="inlineStr">
        <is>
          <t>T_TAHARI_6820612_BNG_1.jpg</t>
        </is>
      </c>
      <c r="J4913" t="inlineStr">
        <is>
          <t>T_TAHARI_6820612_BNG_2.jpg</t>
        </is>
      </c>
      <c r="K4913" t="inlineStr">
        <is>
          <t>T_TAHARI_6820612_BNG_3.jpg</t>
        </is>
      </c>
      <c r="L4913">
        <f>IMAGE("file:///E:/Estudios%20y%20certificaciones/ESTUDIOS%20DE%20PROGRAMMING/PROGRAMMING/PERSONAL/PYTHON/Image_Generator_API/imagenes/T_TAHARI_6820612_BNG_1.jpg")</f>
        <v/>
      </c>
      <c r="M4913">
        <f>IMAGE("file:///E:/Estudios%20y%20certificaciones/ESTUDIOS%20DE%20PROGRAMMING/PROGRAMMING/PERSONAL/PYTHON/Image_Generator_API/imagenes/T_TAHARI_6820612_BNG_2.jpg")</f>
        <v/>
      </c>
      <c r="N4913">
        <f>IMAGE("file:///E:/Estudios%20y%20certificaciones/ESTUDIOS%20DE%20PROGRAMMING/PROGRAMMING/PERSONAL/PYTHON/Image_Generator_API/imagenes/T_TAHARI_6820612_BNG_3.jpg")</f>
        <v/>
      </c>
      <c r="O4913">
        <f>HYPERLINK("imagenes/T_TAHARI_6820612_BNG_1.jpg","Ver imagen")</f>
        <v/>
      </c>
      <c r="P4913">
        <f>HYPERLINK("imagenes/T_TAHARI_6820612_BNG_2.jpg","Ver imagen")</f>
        <v/>
      </c>
      <c r="Q4913">
        <f>HYPERLINK("imagenes/T_TAHARI_6820612_BNG_3.jpg","Ver imagen")</f>
        <v/>
      </c>
    </row>
    <row r="4914">
      <c r="A4914" t="inlineStr">
        <is>
          <t>T TAHARI</t>
        </is>
      </c>
      <c r="B4914" t="inlineStr">
        <is>
          <t>6820612</t>
        </is>
      </c>
      <c r="C4914" t="inlineStr">
        <is>
          <t>ELLIE DF WRAPCOAT</t>
        </is>
      </c>
      <c r="D4914" t="inlineStr">
        <is>
          <t>HGY</t>
        </is>
      </c>
      <c r="E4914" t="inlineStr">
        <is>
          <t>(en blanco)</t>
        </is>
      </c>
      <c r="F4914" t="inlineStr">
        <is>
          <t>(en blanco)</t>
        </is>
      </c>
      <c r="G4914" t="inlineStr">
        <is>
          <t>L</t>
        </is>
      </c>
      <c r="H4914" t="n">
        <v>1</v>
      </c>
      <c r="I4914" t="inlineStr">
        <is>
          <t>T_TAHARI_6820612_HGY_1.jpg</t>
        </is>
      </c>
      <c r="J4914" t="inlineStr">
        <is>
          <t>T_TAHARI_6820612_HGY_2.jpg</t>
        </is>
      </c>
      <c r="K4914" t="inlineStr">
        <is>
          <t>T_TAHARI_6820612_HGY_3.jpg</t>
        </is>
      </c>
      <c r="L4914">
        <f>IMAGE("file:///E:/Estudios%20y%20certificaciones/ESTUDIOS%20DE%20PROGRAMMING/PROGRAMMING/PERSONAL/PYTHON/Image_Generator_API/imagenes/T_TAHARI_6820612_HGY_1.jpg")</f>
        <v/>
      </c>
      <c r="M4914">
        <f>IMAGE("file:///E:/Estudios%20y%20certificaciones/ESTUDIOS%20DE%20PROGRAMMING/PROGRAMMING/PERSONAL/PYTHON/Image_Generator_API/imagenes/T_TAHARI_6820612_HGY_2.jpg")</f>
        <v/>
      </c>
      <c r="N4914">
        <f>IMAGE("file:///E:/Estudios%20y%20certificaciones/ESTUDIOS%20DE%20PROGRAMMING/PROGRAMMING/PERSONAL/PYTHON/Image_Generator_API/imagenes/T_TAHARI_6820612_HGY_3.jpg")</f>
        <v/>
      </c>
      <c r="O4914">
        <f>HYPERLINK("imagenes/T_TAHARI_6820612_HGY_1.jpg","Ver imagen")</f>
        <v/>
      </c>
      <c r="P4914">
        <f>HYPERLINK("imagenes/T_TAHARI_6820612_HGY_2.jpg","Ver imagen")</f>
        <v/>
      </c>
      <c r="Q4914">
        <f>HYPERLINK("imagenes/T_TAHARI_6820612_HGY_3.jpg","Ver imagen")</f>
        <v/>
      </c>
    </row>
    <row r="4915">
      <c r="A4915" t="inlineStr">
        <is>
          <t>T TAHARI</t>
        </is>
      </c>
      <c r="B4915" t="inlineStr">
        <is>
          <t>6820612</t>
        </is>
      </c>
      <c r="C4915" t="inlineStr">
        <is>
          <t>ELLIE DF WRAPCOAT</t>
        </is>
      </c>
      <c r="D4915" t="inlineStr">
        <is>
          <t>P59</t>
        </is>
      </c>
      <c r="E4915" t="inlineStr">
        <is>
          <t>(en blanco)</t>
        </is>
      </c>
      <c r="F4915" t="inlineStr">
        <is>
          <t>(en blanco)</t>
        </is>
      </c>
      <c r="G4915" t="inlineStr">
        <is>
          <t>S</t>
        </is>
      </c>
      <c r="H4915" t="n">
        <v>1</v>
      </c>
      <c r="I4915" t="inlineStr">
        <is>
          <t>T_TAHARI_6820612_P59_1.jpg</t>
        </is>
      </c>
      <c r="J4915" t="inlineStr">
        <is>
          <t>T_TAHARI_6820612_P59_2.jpg</t>
        </is>
      </c>
      <c r="K4915" t="inlineStr">
        <is>
          <t>T_TAHARI_6820612_P59_3.jpg</t>
        </is>
      </c>
      <c r="L4915">
        <f>IMAGE("file:///E:/Estudios%20y%20certificaciones/ESTUDIOS%20DE%20PROGRAMMING/PROGRAMMING/PERSONAL/PYTHON/Image_Generator_API/imagenes/T_TAHARI_6820612_P59_1.jpg")</f>
        <v/>
      </c>
      <c r="M4915">
        <f>IMAGE("file:///E:/Estudios%20y%20certificaciones/ESTUDIOS%20DE%20PROGRAMMING/PROGRAMMING/PERSONAL/PYTHON/Image_Generator_API/imagenes/T_TAHARI_6820612_P59_2.jpg")</f>
        <v/>
      </c>
      <c r="N4915">
        <f>IMAGE("file:///E:/Estudios%20y%20certificaciones/ESTUDIOS%20DE%20PROGRAMMING/PROGRAMMING/PERSONAL/PYTHON/Image_Generator_API/imagenes/T_TAHARI_6820612_P59_3.jpg")</f>
        <v/>
      </c>
      <c r="O4915">
        <f>HYPERLINK("imagenes/T_TAHARI_6820612_P59_1.jpg","Ver imagen")</f>
        <v/>
      </c>
      <c r="P4915">
        <f>HYPERLINK("imagenes/T_TAHARI_6820612_P59_2.jpg","Ver imagen")</f>
        <v/>
      </c>
      <c r="Q4915">
        <f>HYPERLINK("imagenes/T_TAHARI_6820612_P59_3.jpg","Ver imagen")</f>
        <v/>
      </c>
    </row>
    <row r="4916">
      <c r="A4916" t="inlineStr">
        <is>
          <t>T TAHARI</t>
        </is>
      </c>
      <c r="B4916" t="inlineStr">
        <is>
          <t>6823951</t>
        </is>
      </c>
      <c r="C4916" t="inlineStr">
        <is>
          <t>RAVEN LEOPARD WOOL</t>
        </is>
      </c>
      <c r="D4916" t="inlineStr">
        <is>
          <t>DLE</t>
        </is>
      </c>
      <c r="E4916" t="inlineStr">
        <is>
          <t>(en blanco)</t>
        </is>
      </c>
      <c r="F4916" t="inlineStr">
        <is>
          <t>(en blanco)</t>
        </is>
      </c>
      <c r="G4916" t="inlineStr">
        <is>
          <t>M</t>
        </is>
      </c>
      <c r="H4916" t="n">
        <v>10</v>
      </c>
      <c r="I4916" t="inlineStr">
        <is>
          <t>T_TAHARI_6823951_DLE_1.jpg</t>
        </is>
      </c>
      <c r="J4916" t="inlineStr">
        <is>
          <t>T_TAHARI_6823951_DLE_2.jpg</t>
        </is>
      </c>
      <c r="K4916" t="inlineStr">
        <is>
          <t>T_TAHARI_6823951_DLE_3.jpg</t>
        </is>
      </c>
      <c r="L4916">
        <f>IMAGE("file:///E:/Estudios%20y%20certificaciones/ESTUDIOS%20DE%20PROGRAMMING/PROGRAMMING/PERSONAL/PYTHON/Image_Generator_API/imagenes/T_TAHARI_6823951_DLE_1.jpg")</f>
        <v/>
      </c>
      <c r="M4916">
        <f>IMAGE("file:///E:/Estudios%20y%20certificaciones/ESTUDIOS%20DE%20PROGRAMMING/PROGRAMMING/PERSONAL/PYTHON/Image_Generator_API/imagenes/T_TAHARI_6823951_DLE_2.jpg")</f>
        <v/>
      </c>
      <c r="N4916">
        <f>IMAGE("file:///E:/Estudios%20y%20certificaciones/ESTUDIOS%20DE%20PROGRAMMING/PROGRAMMING/PERSONAL/PYTHON/Image_Generator_API/imagenes/T_TAHARI_6823951_DLE_3.jpg")</f>
        <v/>
      </c>
      <c r="O4916">
        <f>HYPERLINK("imagenes/T_TAHARI_6823951_DLE_1.jpg","Ver imagen")</f>
        <v/>
      </c>
      <c r="P4916">
        <f>HYPERLINK("imagenes/T_TAHARI_6823951_DLE_2.jpg","Ver imagen")</f>
        <v/>
      </c>
      <c r="Q4916">
        <f>HYPERLINK("imagenes/T_TAHARI_6823951_DLE_3.jpg","Ver imagen")</f>
        <v/>
      </c>
    </row>
    <row r="4917">
      <c r="A4917" t="inlineStr">
        <is>
          <t>T TAHARI</t>
        </is>
      </c>
      <c r="B4917" t="inlineStr">
        <is>
          <t>6825555</t>
        </is>
      </c>
      <c r="C4917" t="inlineStr">
        <is>
          <t>KIM LW STRETCH PUFFR</t>
        </is>
      </c>
      <c r="D4917" t="inlineStr">
        <is>
          <t>BLK</t>
        </is>
      </c>
      <c r="E4917" t="inlineStr">
        <is>
          <t>(en blanco)</t>
        </is>
      </c>
      <c r="F4917" t="inlineStr">
        <is>
          <t>(en blanco)</t>
        </is>
      </c>
      <c r="G4917" t="inlineStr">
        <is>
          <t>XS</t>
        </is>
      </c>
      <c r="H4917" t="n">
        <v>1</v>
      </c>
      <c r="I4917" t="inlineStr">
        <is>
          <t>T_TAHARI_6825555_BLK_1.jpg</t>
        </is>
      </c>
      <c r="J4917" t="inlineStr">
        <is>
          <t>T_TAHARI_6825555_BLK_2.jpg</t>
        </is>
      </c>
      <c r="K4917" t="inlineStr">
        <is>
          <t>T_TAHARI_6825555_BLK_3.jpg</t>
        </is>
      </c>
      <c r="L4917">
        <f>IMAGE("file:///E:/Estudios%20y%20certificaciones/ESTUDIOS%20DE%20PROGRAMMING/PROGRAMMING/PERSONAL/PYTHON/Image_Generator_API/imagenes/T_TAHARI_6825555_BLK_1.jpg")</f>
        <v/>
      </c>
      <c r="M4917">
        <f>IMAGE("file:///E:/Estudios%20y%20certificaciones/ESTUDIOS%20DE%20PROGRAMMING/PROGRAMMING/PERSONAL/PYTHON/Image_Generator_API/imagenes/T_TAHARI_6825555_BLK_2.jpg")</f>
        <v/>
      </c>
      <c r="N4917">
        <f>IMAGE("file:///E:/Estudios%20y%20certificaciones/ESTUDIOS%20DE%20PROGRAMMING/PROGRAMMING/PERSONAL/PYTHON/Image_Generator_API/imagenes/T_TAHARI_6825555_BLK_3.jpg")</f>
        <v/>
      </c>
      <c r="O4917">
        <f>HYPERLINK("imagenes/T_TAHARI_6825555_BLK_1.jpg","Ver imagen")</f>
        <v/>
      </c>
      <c r="P4917">
        <f>HYPERLINK("imagenes/T_TAHARI_6825555_BLK_2.jpg","Ver imagen")</f>
        <v/>
      </c>
      <c r="Q4917">
        <f>HYPERLINK("imagenes/T_TAHARI_6825555_BLK_3.jpg","Ver imagen")</f>
        <v/>
      </c>
    </row>
    <row r="4918">
      <c r="A4918" t="inlineStr">
        <is>
          <t>T TAHARI</t>
        </is>
      </c>
      <c r="B4918" t="inlineStr">
        <is>
          <t>6826535</t>
        </is>
      </c>
      <c r="C4918" t="inlineStr">
        <is>
          <t>ELLA NOVELTY PLAID</t>
        </is>
      </c>
      <c r="D4918" t="inlineStr">
        <is>
          <t>HGY</t>
        </is>
      </c>
      <c r="E4918" t="inlineStr">
        <is>
          <t>(en blanco)</t>
        </is>
      </c>
      <c r="F4918" t="inlineStr">
        <is>
          <t>(en blanco)</t>
        </is>
      </c>
      <c r="G4918" t="inlineStr">
        <is>
          <t>M</t>
        </is>
      </c>
      <c r="H4918" t="n">
        <v>0</v>
      </c>
      <c r="I4918" t="inlineStr">
        <is>
          <t>T_TAHARI_6826535_HGY_1.jpg</t>
        </is>
      </c>
      <c r="J4918" t="inlineStr">
        <is>
          <t>T_TAHARI_6826535_HGY_2.jpg</t>
        </is>
      </c>
      <c r="K4918" t="inlineStr">
        <is>
          <t>T_TAHARI_6826535_HGY_3.jpg</t>
        </is>
      </c>
      <c r="L4918">
        <f>IMAGE("file:///E:/Estudios%20y%20certificaciones/ESTUDIOS%20DE%20PROGRAMMING/PROGRAMMING/PERSONAL/PYTHON/Image_Generator_API/imagenes/T_TAHARI_6826535_HGY_1.jpg")</f>
        <v/>
      </c>
      <c r="M4918">
        <f>IMAGE("file:///E:/Estudios%20y%20certificaciones/ESTUDIOS%20DE%20PROGRAMMING/PROGRAMMING/PERSONAL/PYTHON/Image_Generator_API/imagenes/T_TAHARI_6826535_HGY_2.jpg")</f>
        <v/>
      </c>
      <c r="N4918">
        <f>IMAGE("file:///E:/Estudios%20y%20certificaciones/ESTUDIOS%20DE%20PROGRAMMING/PROGRAMMING/PERSONAL/PYTHON/Image_Generator_API/imagenes/T_TAHARI_6826535_HGY_3.jpg")</f>
        <v/>
      </c>
      <c r="O4918">
        <f>HYPERLINK("imagenes/T_TAHARI_6826535_HGY_1.jpg","Ver imagen")</f>
        <v/>
      </c>
      <c r="P4918">
        <f>HYPERLINK("imagenes/T_TAHARI_6826535_HGY_2.jpg","Ver imagen")</f>
        <v/>
      </c>
      <c r="Q4918">
        <f>HYPERLINK("imagenes/T_TAHARI_6826535_HGY_3.jpg","Ver imagen")</f>
        <v/>
      </c>
    </row>
    <row r="4919">
      <c r="A4919" t="inlineStr">
        <is>
          <t>T TAHARI</t>
        </is>
      </c>
      <c r="B4919" t="inlineStr">
        <is>
          <t>6833951</t>
        </is>
      </c>
      <c r="C4919" t="inlineStr">
        <is>
          <t>RAVEN LEOPARD WOOL</t>
        </is>
      </c>
      <c r="D4919" t="inlineStr">
        <is>
          <t>DLE</t>
        </is>
      </c>
      <c r="E4919" t="inlineStr">
        <is>
          <t>(en blanco)</t>
        </is>
      </c>
      <c r="F4919" t="inlineStr">
        <is>
          <t>(en blanco)</t>
        </is>
      </c>
      <c r="G4919" t="inlineStr">
        <is>
          <t>0X</t>
        </is>
      </c>
      <c r="H4919" t="n">
        <v>1</v>
      </c>
      <c r="I4919" t="inlineStr">
        <is>
          <t>T_TAHARI_6833951_DLE_1.jpg</t>
        </is>
      </c>
      <c r="J4919" t="inlineStr">
        <is>
          <t>T_TAHARI_6833951_DLE_2.jpg</t>
        </is>
      </c>
      <c r="K4919" t="inlineStr">
        <is>
          <t>T_TAHARI_6833951_DLE_3.jpg</t>
        </is>
      </c>
      <c r="L4919">
        <f>IMAGE("file:///E:/Estudios%20y%20certificaciones/ESTUDIOS%20DE%20PROGRAMMING/PROGRAMMING/PERSONAL/PYTHON/Image_Generator_API/imagenes/T_TAHARI_6833951_DLE_1.jpg")</f>
        <v/>
      </c>
      <c r="M4919">
        <f>IMAGE("file:///E:/Estudios%20y%20certificaciones/ESTUDIOS%20DE%20PROGRAMMING/PROGRAMMING/PERSONAL/PYTHON/Image_Generator_API/imagenes/T_TAHARI_6833951_DLE_2.jpg")</f>
        <v/>
      </c>
      <c r="N4919">
        <f>IMAGE("file:///E:/Estudios%20y%20certificaciones/ESTUDIOS%20DE%20PROGRAMMING/PROGRAMMING/PERSONAL/PYTHON/Image_Generator_API/imagenes/T_TAHARI_6833951_DLE_3.jpg")</f>
        <v/>
      </c>
      <c r="O4919">
        <f>HYPERLINK("imagenes/T_TAHARI_6833951_DLE_1.jpg","Ver imagen")</f>
        <v/>
      </c>
      <c r="P4919">
        <f>HYPERLINK("imagenes/T_TAHARI_6833951_DLE_2.jpg","Ver imagen")</f>
        <v/>
      </c>
      <c r="Q4919">
        <f>HYPERLINK("imagenes/T_TAHARI_6833951_DLE_3.jpg","Ver imagen")</f>
        <v/>
      </c>
    </row>
    <row r="4920">
      <c r="A4920" t="inlineStr">
        <is>
          <t>T TAHARI</t>
        </is>
      </c>
      <c r="B4920" t="inlineStr">
        <is>
          <t>6833951</t>
        </is>
      </c>
      <c r="C4920" t="inlineStr">
        <is>
          <t>RAVEN LEOPARD WOOL</t>
        </is>
      </c>
      <c r="D4920" t="inlineStr">
        <is>
          <t>DLE</t>
        </is>
      </c>
      <c r="E4920" t="inlineStr">
        <is>
          <t>(en blanco)</t>
        </is>
      </c>
      <c r="F4920" t="inlineStr">
        <is>
          <t>(en blanco)</t>
        </is>
      </c>
      <c r="G4920" t="inlineStr">
        <is>
          <t>1X</t>
        </is>
      </c>
      <c r="H4920" t="n">
        <v>13</v>
      </c>
      <c r="I4920" t="inlineStr">
        <is>
          <t>T_TAHARI_6833951_DLE_1.jpg</t>
        </is>
      </c>
      <c r="J4920" t="inlineStr">
        <is>
          <t>T_TAHARI_6833951_DLE_2.jpg</t>
        </is>
      </c>
      <c r="K4920" t="inlineStr">
        <is>
          <t>T_TAHARI_6833951_DLE_3.jpg</t>
        </is>
      </c>
      <c r="L4920">
        <f>IMAGE("file:///E:/Estudios%20y%20certificaciones/ESTUDIOS%20DE%20PROGRAMMING/PROGRAMMING/PERSONAL/PYTHON/Image_Generator_API/imagenes/T_TAHARI_6833951_DLE_1.jpg")</f>
        <v/>
      </c>
      <c r="M4920">
        <f>IMAGE("file:///E:/Estudios%20y%20certificaciones/ESTUDIOS%20DE%20PROGRAMMING/PROGRAMMING/PERSONAL/PYTHON/Image_Generator_API/imagenes/T_TAHARI_6833951_DLE_2.jpg")</f>
        <v/>
      </c>
      <c r="N4920">
        <f>IMAGE("file:///E:/Estudios%20y%20certificaciones/ESTUDIOS%20DE%20PROGRAMMING/PROGRAMMING/PERSONAL/PYTHON/Image_Generator_API/imagenes/T_TAHARI_6833951_DLE_3.jpg")</f>
        <v/>
      </c>
      <c r="O4920">
        <f>HYPERLINK("imagenes/T_TAHARI_6833951_DLE_1.jpg","Ver imagen")</f>
        <v/>
      </c>
      <c r="P4920">
        <f>HYPERLINK("imagenes/T_TAHARI_6833951_DLE_2.jpg","Ver imagen")</f>
        <v/>
      </c>
      <c r="Q4920">
        <f>HYPERLINK("imagenes/T_TAHARI_6833951_DLE_3.jpg","Ver imagen")</f>
        <v/>
      </c>
    </row>
    <row r="4921">
      <c r="A4921" t="inlineStr">
        <is>
          <t>T TAHARI</t>
        </is>
      </c>
      <c r="B4921" t="inlineStr">
        <is>
          <t>6833951</t>
        </is>
      </c>
      <c r="C4921" t="inlineStr">
        <is>
          <t>RAVEN LEOPARD WOOL</t>
        </is>
      </c>
      <c r="D4921" t="inlineStr">
        <is>
          <t>DLE</t>
        </is>
      </c>
      <c r="E4921" t="inlineStr">
        <is>
          <t>(en blanco)</t>
        </is>
      </c>
      <c r="F4921" t="inlineStr">
        <is>
          <t>(en blanco)</t>
        </is>
      </c>
      <c r="G4921" t="inlineStr">
        <is>
          <t>2X</t>
        </is>
      </c>
      <c r="H4921" t="n">
        <v>14</v>
      </c>
      <c r="I4921" t="inlineStr">
        <is>
          <t>T_TAHARI_6833951_DLE_1.jpg</t>
        </is>
      </c>
      <c r="J4921" t="inlineStr">
        <is>
          <t>T_TAHARI_6833951_DLE_2.jpg</t>
        </is>
      </c>
      <c r="K4921" t="inlineStr">
        <is>
          <t>T_TAHARI_6833951_DLE_3.jpg</t>
        </is>
      </c>
      <c r="L4921">
        <f>IMAGE("file:///E:/Estudios%20y%20certificaciones/ESTUDIOS%20DE%20PROGRAMMING/PROGRAMMING/PERSONAL/PYTHON/Image_Generator_API/imagenes/T_TAHARI_6833951_DLE_1.jpg")</f>
        <v/>
      </c>
      <c r="M4921">
        <f>IMAGE("file:///E:/Estudios%20y%20certificaciones/ESTUDIOS%20DE%20PROGRAMMING/PROGRAMMING/PERSONAL/PYTHON/Image_Generator_API/imagenes/T_TAHARI_6833951_DLE_2.jpg")</f>
        <v/>
      </c>
      <c r="N4921">
        <f>IMAGE("file:///E:/Estudios%20y%20certificaciones/ESTUDIOS%20DE%20PROGRAMMING/PROGRAMMING/PERSONAL/PYTHON/Image_Generator_API/imagenes/T_TAHARI_6833951_DLE_3.jpg")</f>
        <v/>
      </c>
      <c r="O4921">
        <f>HYPERLINK("imagenes/T_TAHARI_6833951_DLE_1.jpg","Ver imagen")</f>
        <v/>
      </c>
      <c r="P4921">
        <f>HYPERLINK("imagenes/T_TAHARI_6833951_DLE_2.jpg","Ver imagen")</f>
        <v/>
      </c>
      <c r="Q4921">
        <f>HYPERLINK("imagenes/T_TAHARI_6833951_DLE_3.jpg","Ver imagen")</f>
        <v/>
      </c>
    </row>
    <row r="4922">
      <c r="A4922" t="inlineStr">
        <is>
          <t>T TAHARI</t>
        </is>
      </c>
      <c r="B4922" t="inlineStr">
        <is>
          <t>6833951</t>
        </is>
      </c>
      <c r="C4922" t="inlineStr">
        <is>
          <t>RAVEN LEOPARD WOOL</t>
        </is>
      </c>
      <c r="D4922" t="inlineStr">
        <is>
          <t>DLE</t>
        </is>
      </c>
      <c r="E4922" t="inlineStr">
        <is>
          <t>(en blanco)</t>
        </is>
      </c>
      <c r="F4922" t="inlineStr">
        <is>
          <t>(en blanco)</t>
        </is>
      </c>
      <c r="G4922" t="inlineStr">
        <is>
          <t>3X</t>
        </is>
      </c>
      <c r="H4922" t="n">
        <v>24</v>
      </c>
      <c r="I4922" t="inlineStr">
        <is>
          <t>T_TAHARI_6833951_DLE_1.jpg</t>
        </is>
      </c>
      <c r="J4922" t="inlineStr">
        <is>
          <t>T_TAHARI_6833951_DLE_2.jpg</t>
        </is>
      </c>
      <c r="K4922" t="inlineStr">
        <is>
          <t>T_TAHARI_6833951_DLE_3.jpg</t>
        </is>
      </c>
      <c r="L4922">
        <f>IMAGE("file:///E:/Estudios%20y%20certificaciones/ESTUDIOS%20DE%20PROGRAMMING/PROGRAMMING/PERSONAL/PYTHON/Image_Generator_API/imagenes/T_TAHARI_6833951_DLE_1.jpg")</f>
        <v/>
      </c>
      <c r="M4922">
        <f>IMAGE("file:///E:/Estudios%20y%20certificaciones/ESTUDIOS%20DE%20PROGRAMMING/PROGRAMMING/PERSONAL/PYTHON/Image_Generator_API/imagenes/T_TAHARI_6833951_DLE_2.jpg")</f>
        <v/>
      </c>
      <c r="N4922">
        <f>IMAGE("file:///E:/Estudios%20y%20certificaciones/ESTUDIOS%20DE%20PROGRAMMING/PROGRAMMING/PERSONAL/PYTHON/Image_Generator_API/imagenes/T_TAHARI_6833951_DLE_3.jpg")</f>
        <v/>
      </c>
      <c r="O4922">
        <f>HYPERLINK("imagenes/T_TAHARI_6833951_DLE_1.jpg","Ver imagen")</f>
        <v/>
      </c>
      <c r="P4922">
        <f>HYPERLINK("imagenes/T_TAHARI_6833951_DLE_2.jpg","Ver imagen")</f>
        <v/>
      </c>
      <c r="Q4922">
        <f>HYPERLINK("imagenes/T_TAHARI_6833951_DLE_3.jpg","Ver imagen")</f>
        <v/>
      </c>
    </row>
    <row r="4923">
      <c r="A4923" t="inlineStr">
        <is>
          <t>T TAHARI</t>
        </is>
      </c>
      <c r="B4923" t="inlineStr">
        <is>
          <t>6928048</t>
        </is>
      </c>
      <c r="C4923" t="inlineStr">
        <is>
          <t>EMMYSNAKE FAUX SUEDE</t>
        </is>
      </c>
      <c r="D4923" t="inlineStr">
        <is>
          <t>SKE</t>
        </is>
      </c>
      <c r="E4923" t="inlineStr">
        <is>
          <t>(en blanco)</t>
        </is>
      </c>
      <c r="F4923" t="inlineStr">
        <is>
          <t>(en blanco)</t>
        </is>
      </c>
      <c r="G4923" t="inlineStr">
        <is>
          <t>XL</t>
        </is>
      </c>
      <c r="H4923" t="n">
        <v>1</v>
      </c>
      <c r="I4923" t="inlineStr">
        <is>
          <t>T_TAHARI_6928048_SKE_1.jpg</t>
        </is>
      </c>
      <c r="J4923" t="inlineStr">
        <is>
          <t>T_TAHARI_6928048_SKE_2.jpg</t>
        </is>
      </c>
      <c r="K4923" t="inlineStr">
        <is>
          <t>T_TAHARI_6928048_SKE_3.jpg</t>
        </is>
      </c>
      <c r="L4923">
        <f>IMAGE("file:///E:/Estudios%20y%20certificaciones/ESTUDIOS%20DE%20PROGRAMMING/PROGRAMMING/PERSONAL/PYTHON/Image_Generator_API/imagenes/T_TAHARI_6928048_SKE_1.jpg")</f>
        <v/>
      </c>
      <c r="M4923">
        <f>IMAGE("file:///E:/Estudios%20y%20certificaciones/ESTUDIOS%20DE%20PROGRAMMING/PROGRAMMING/PERSONAL/PYTHON/Image_Generator_API/imagenes/T_TAHARI_6928048_SKE_2.jpg")</f>
        <v/>
      </c>
      <c r="N4923">
        <f>IMAGE("file:///E:/Estudios%20y%20certificaciones/ESTUDIOS%20DE%20PROGRAMMING/PROGRAMMING/PERSONAL/PYTHON/Image_Generator_API/imagenes/T_TAHARI_6928048_SKE_3.jpg")</f>
        <v/>
      </c>
      <c r="O4923">
        <f>HYPERLINK("imagenes/T_TAHARI_6928048_SKE_1.jpg","Ver imagen")</f>
        <v/>
      </c>
      <c r="P4923">
        <f>HYPERLINK("imagenes/T_TAHARI_6928048_SKE_2.jpg","Ver imagen")</f>
        <v/>
      </c>
      <c r="Q4923">
        <f>HYPERLINK("imagenes/T_TAHARI_6928048_SKE_3.jpg","Ver imagen")</f>
        <v/>
      </c>
    </row>
    <row r="4924">
      <c r="A4924" t="inlineStr">
        <is>
          <t>(en blanco)</t>
        </is>
      </c>
      <c r="B4924" t="inlineStr">
        <is>
          <t>(en blanco)</t>
        </is>
      </c>
      <c r="C4924" t="inlineStr">
        <is>
          <t>(en blanco)</t>
        </is>
      </c>
      <c r="D4924" t="inlineStr">
        <is>
          <t>(en blanco)</t>
        </is>
      </c>
      <c r="E4924" t="inlineStr">
        <is>
          <t>(en blanco)</t>
        </is>
      </c>
      <c r="F4924" t="inlineStr">
        <is>
          <t>(en blanco)</t>
        </is>
      </c>
      <c r="G4924" t="inlineStr">
        <is>
          <t>(en blanco)</t>
        </is>
      </c>
      <c r="I4924" t="inlineStr">
        <is>
          <t>(en_blanco)_(en_blanco)_(en_blanco)_1.jpg</t>
        </is>
      </c>
      <c r="J4924" t="inlineStr">
        <is>
          <t>(en_blanco)_(en_blanco)_(en_blanco)_2.jpg</t>
        </is>
      </c>
      <c r="K4924" t="inlineStr">
        <is>
          <t>(en_blanco)_(en_blanco)_(en_blanco)_3.jpg</t>
        </is>
      </c>
      <c r="L4924">
        <f>IMAGE("file:///E:/Estudios%20y%20certificaciones/ESTUDIOS%20DE%20PROGRAMMING/PROGRAMMING/PERSONAL/PYTHON/Image_Generator_API/imagenes/%28en_blanco%29_%28en_blanco%29_%28en_blanco%29_1.jpg")</f>
        <v/>
      </c>
      <c r="M4924">
        <f>IMAGE("file:///E:/Estudios%20y%20certificaciones/ESTUDIOS%20DE%20PROGRAMMING/PROGRAMMING/PERSONAL/PYTHON/Image_Generator_API/imagenes/%28en_blanco%29_%28en_blanco%29_%28en_blanco%29_2.jpg")</f>
        <v/>
      </c>
      <c r="N4924">
        <f>IMAGE("file:///E:/Estudios%20y%20certificaciones/ESTUDIOS%20DE%20PROGRAMMING/PROGRAMMING/PERSONAL/PYTHON/Image_Generator_API/imagenes/%28en_blanco%29_%28en_blanco%29_%28en_blanco%29_3.jpg")</f>
        <v/>
      </c>
      <c r="O4924">
        <f>HYPERLINK("imagenes/(en_blanco)_(en_blanco)_(en_blanco)_1.jpg","Ver imagen")</f>
        <v/>
      </c>
      <c r="P4924">
        <f>HYPERLINK("imagenes/(en_blanco)_(en_blanco)_(en_blanco)_2.jpg","Ver imagen")</f>
        <v/>
      </c>
      <c r="Q4924">
        <f>HYPERLINK("imagenes/(en_blanco)_(en_blanco)_(en_blanco)_3.jpg","Ver imagen")</f>
        <v/>
      </c>
    </row>
    <row r="4925">
      <c r="A4925" s="1" t="inlineStr">
        <is>
          <t>Total general</t>
        </is>
      </c>
      <c r="B4925" s="1" t="inlineStr"/>
      <c r="C4925" s="1" t="inlineStr"/>
      <c r="D4925" s="1" t="inlineStr"/>
      <c r="E4925" s="1" t="inlineStr"/>
      <c r="F4925" s="1" t="inlineStr"/>
      <c r="G4925" s="1" t="inlineStr"/>
      <c r="H4925" s="1" t="n">
        <v>475507</v>
      </c>
      <c r="I4925" s="1" t="inlineStr"/>
      <c r="J4925" s="1" t="inlineStr"/>
      <c r="K4925" s="1" t="inlineStr"/>
      <c r="L4925" s="1" t="inlineStr"/>
      <c r="M4925" s="1" t="inlineStr"/>
      <c r="N4925" s="1" t="inlineStr"/>
      <c r="O4925" s="1" t="inlineStr"/>
      <c r="P4925" s="1" t="inlineStr"/>
      <c r="Q4925" s="1" t="inlineStr"/>
    </row>
  </sheetData>
  <hyperlinks>
    <hyperlink xmlns:r="http://schemas.openxmlformats.org/officeDocument/2006/relationships" ref="I2" r:id="rId1"/>
    <hyperlink xmlns:r="http://schemas.openxmlformats.org/officeDocument/2006/relationships" ref="J2" r:id="rId2"/>
    <hyperlink xmlns:r="http://schemas.openxmlformats.org/officeDocument/2006/relationships" ref="K2" r:id="rId3"/>
    <hyperlink xmlns:r="http://schemas.openxmlformats.org/officeDocument/2006/relationships" ref="I3" r:id="rId4"/>
    <hyperlink xmlns:r="http://schemas.openxmlformats.org/officeDocument/2006/relationships" ref="J3" r:id="rId5"/>
    <hyperlink xmlns:r="http://schemas.openxmlformats.org/officeDocument/2006/relationships" ref="K3" r:id="rId6"/>
    <hyperlink xmlns:r="http://schemas.openxmlformats.org/officeDocument/2006/relationships" ref="I4" r:id="rId7"/>
    <hyperlink xmlns:r="http://schemas.openxmlformats.org/officeDocument/2006/relationships" ref="J4" r:id="rId8"/>
    <hyperlink xmlns:r="http://schemas.openxmlformats.org/officeDocument/2006/relationships" ref="K4" r:id="rId9"/>
    <hyperlink xmlns:r="http://schemas.openxmlformats.org/officeDocument/2006/relationships" ref="I5" r:id="rId10"/>
    <hyperlink xmlns:r="http://schemas.openxmlformats.org/officeDocument/2006/relationships" ref="J5" r:id="rId11"/>
    <hyperlink xmlns:r="http://schemas.openxmlformats.org/officeDocument/2006/relationships" ref="K5" r:id="rId12"/>
    <hyperlink xmlns:r="http://schemas.openxmlformats.org/officeDocument/2006/relationships" ref="I6" r:id="rId13"/>
    <hyperlink xmlns:r="http://schemas.openxmlformats.org/officeDocument/2006/relationships" ref="J6" r:id="rId14"/>
    <hyperlink xmlns:r="http://schemas.openxmlformats.org/officeDocument/2006/relationships" ref="K6" r:id="rId15"/>
    <hyperlink xmlns:r="http://schemas.openxmlformats.org/officeDocument/2006/relationships" ref="I7" r:id="rId16"/>
    <hyperlink xmlns:r="http://schemas.openxmlformats.org/officeDocument/2006/relationships" ref="J7" r:id="rId17"/>
    <hyperlink xmlns:r="http://schemas.openxmlformats.org/officeDocument/2006/relationships" ref="K7" r:id="rId18"/>
    <hyperlink xmlns:r="http://schemas.openxmlformats.org/officeDocument/2006/relationships" ref="I8" r:id="rId19"/>
    <hyperlink xmlns:r="http://schemas.openxmlformats.org/officeDocument/2006/relationships" ref="J8" r:id="rId20"/>
    <hyperlink xmlns:r="http://schemas.openxmlformats.org/officeDocument/2006/relationships" ref="K8" r:id="rId21"/>
    <hyperlink xmlns:r="http://schemas.openxmlformats.org/officeDocument/2006/relationships" ref="I9" r:id="rId22"/>
    <hyperlink xmlns:r="http://schemas.openxmlformats.org/officeDocument/2006/relationships" ref="J9" r:id="rId23"/>
    <hyperlink xmlns:r="http://schemas.openxmlformats.org/officeDocument/2006/relationships" ref="K9" r:id="rId24"/>
    <hyperlink xmlns:r="http://schemas.openxmlformats.org/officeDocument/2006/relationships" ref="I10" r:id="rId25"/>
    <hyperlink xmlns:r="http://schemas.openxmlformats.org/officeDocument/2006/relationships" ref="J10" r:id="rId26"/>
    <hyperlink xmlns:r="http://schemas.openxmlformats.org/officeDocument/2006/relationships" ref="K10" r:id="rId27"/>
    <hyperlink xmlns:r="http://schemas.openxmlformats.org/officeDocument/2006/relationships" ref="I11" r:id="rId28"/>
    <hyperlink xmlns:r="http://schemas.openxmlformats.org/officeDocument/2006/relationships" ref="J11" r:id="rId29"/>
    <hyperlink xmlns:r="http://schemas.openxmlformats.org/officeDocument/2006/relationships" ref="K11" r:id="rId30"/>
    <hyperlink xmlns:r="http://schemas.openxmlformats.org/officeDocument/2006/relationships" ref="I12" r:id="rId31"/>
    <hyperlink xmlns:r="http://schemas.openxmlformats.org/officeDocument/2006/relationships" ref="J12" r:id="rId32"/>
    <hyperlink xmlns:r="http://schemas.openxmlformats.org/officeDocument/2006/relationships" ref="K12" r:id="rId33"/>
    <hyperlink xmlns:r="http://schemas.openxmlformats.org/officeDocument/2006/relationships" ref="I13" r:id="rId34"/>
    <hyperlink xmlns:r="http://schemas.openxmlformats.org/officeDocument/2006/relationships" ref="J13" r:id="rId35"/>
    <hyperlink xmlns:r="http://schemas.openxmlformats.org/officeDocument/2006/relationships" ref="K13" r:id="rId36"/>
    <hyperlink xmlns:r="http://schemas.openxmlformats.org/officeDocument/2006/relationships" ref="I14" r:id="rId37"/>
    <hyperlink xmlns:r="http://schemas.openxmlformats.org/officeDocument/2006/relationships" ref="J14" r:id="rId38"/>
    <hyperlink xmlns:r="http://schemas.openxmlformats.org/officeDocument/2006/relationships" ref="K14" r:id="rId39"/>
    <hyperlink xmlns:r="http://schemas.openxmlformats.org/officeDocument/2006/relationships" ref="I15" r:id="rId40"/>
    <hyperlink xmlns:r="http://schemas.openxmlformats.org/officeDocument/2006/relationships" ref="J15" r:id="rId41"/>
    <hyperlink xmlns:r="http://schemas.openxmlformats.org/officeDocument/2006/relationships" ref="K15" r:id="rId42"/>
    <hyperlink xmlns:r="http://schemas.openxmlformats.org/officeDocument/2006/relationships" ref="I16" r:id="rId43"/>
    <hyperlink xmlns:r="http://schemas.openxmlformats.org/officeDocument/2006/relationships" ref="J16" r:id="rId44"/>
    <hyperlink xmlns:r="http://schemas.openxmlformats.org/officeDocument/2006/relationships" ref="K16" r:id="rId45"/>
    <hyperlink xmlns:r="http://schemas.openxmlformats.org/officeDocument/2006/relationships" ref="I17" r:id="rId46"/>
    <hyperlink xmlns:r="http://schemas.openxmlformats.org/officeDocument/2006/relationships" ref="J17" r:id="rId47"/>
    <hyperlink xmlns:r="http://schemas.openxmlformats.org/officeDocument/2006/relationships" ref="K17" r:id="rId48"/>
    <hyperlink xmlns:r="http://schemas.openxmlformats.org/officeDocument/2006/relationships" ref="I18" r:id="rId49"/>
    <hyperlink xmlns:r="http://schemas.openxmlformats.org/officeDocument/2006/relationships" ref="J18" r:id="rId50"/>
    <hyperlink xmlns:r="http://schemas.openxmlformats.org/officeDocument/2006/relationships" ref="K18" r:id="rId51"/>
    <hyperlink xmlns:r="http://schemas.openxmlformats.org/officeDocument/2006/relationships" ref="I19" r:id="rId52"/>
    <hyperlink xmlns:r="http://schemas.openxmlformats.org/officeDocument/2006/relationships" ref="J19" r:id="rId53"/>
    <hyperlink xmlns:r="http://schemas.openxmlformats.org/officeDocument/2006/relationships" ref="K19" r:id="rId54"/>
    <hyperlink xmlns:r="http://schemas.openxmlformats.org/officeDocument/2006/relationships" ref="I20" r:id="rId55"/>
    <hyperlink xmlns:r="http://schemas.openxmlformats.org/officeDocument/2006/relationships" ref="J20" r:id="rId56"/>
    <hyperlink xmlns:r="http://schemas.openxmlformats.org/officeDocument/2006/relationships" ref="K20" r:id="rId57"/>
    <hyperlink xmlns:r="http://schemas.openxmlformats.org/officeDocument/2006/relationships" ref="I21" r:id="rId58"/>
    <hyperlink xmlns:r="http://schemas.openxmlformats.org/officeDocument/2006/relationships" ref="J21" r:id="rId59"/>
    <hyperlink xmlns:r="http://schemas.openxmlformats.org/officeDocument/2006/relationships" ref="K21" r:id="rId60"/>
    <hyperlink xmlns:r="http://schemas.openxmlformats.org/officeDocument/2006/relationships" ref="I22" r:id="rId61"/>
    <hyperlink xmlns:r="http://schemas.openxmlformats.org/officeDocument/2006/relationships" ref="J22" r:id="rId62"/>
    <hyperlink xmlns:r="http://schemas.openxmlformats.org/officeDocument/2006/relationships" ref="K22" r:id="rId63"/>
    <hyperlink xmlns:r="http://schemas.openxmlformats.org/officeDocument/2006/relationships" ref="I23" r:id="rId64"/>
    <hyperlink xmlns:r="http://schemas.openxmlformats.org/officeDocument/2006/relationships" ref="J23" r:id="rId65"/>
    <hyperlink xmlns:r="http://schemas.openxmlformats.org/officeDocument/2006/relationships" ref="K23" r:id="rId66"/>
    <hyperlink xmlns:r="http://schemas.openxmlformats.org/officeDocument/2006/relationships" ref="I24" r:id="rId67"/>
    <hyperlink xmlns:r="http://schemas.openxmlformats.org/officeDocument/2006/relationships" ref="J24" r:id="rId68"/>
    <hyperlink xmlns:r="http://schemas.openxmlformats.org/officeDocument/2006/relationships" ref="K24" r:id="rId69"/>
    <hyperlink xmlns:r="http://schemas.openxmlformats.org/officeDocument/2006/relationships" ref="I25" r:id="rId70"/>
    <hyperlink xmlns:r="http://schemas.openxmlformats.org/officeDocument/2006/relationships" ref="J25" r:id="rId71"/>
    <hyperlink xmlns:r="http://schemas.openxmlformats.org/officeDocument/2006/relationships" ref="K25" r:id="rId72"/>
    <hyperlink xmlns:r="http://schemas.openxmlformats.org/officeDocument/2006/relationships" ref="I26" r:id="rId73"/>
    <hyperlink xmlns:r="http://schemas.openxmlformats.org/officeDocument/2006/relationships" ref="J26" r:id="rId74"/>
    <hyperlink xmlns:r="http://schemas.openxmlformats.org/officeDocument/2006/relationships" ref="K26" r:id="rId75"/>
    <hyperlink xmlns:r="http://schemas.openxmlformats.org/officeDocument/2006/relationships" ref="I27" r:id="rId76"/>
    <hyperlink xmlns:r="http://schemas.openxmlformats.org/officeDocument/2006/relationships" ref="J27" r:id="rId77"/>
    <hyperlink xmlns:r="http://schemas.openxmlformats.org/officeDocument/2006/relationships" ref="K27" r:id="rId78"/>
    <hyperlink xmlns:r="http://schemas.openxmlformats.org/officeDocument/2006/relationships" ref="I28" r:id="rId79"/>
    <hyperlink xmlns:r="http://schemas.openxmlformats.org/officeDocument/2006/relationships" ref="J28" r:id="rId80"/>
    <hyperlink xmlns:r="http://schemas.openxmlformats.org/officeDocument/2006/relationships" ref="K28" r:id="rId81"/>
    <hyperlink xmlns:r="http://schemas.openxmlformats.org/officeDocument/2006/relationships" ref="I29" r:id="rId82"/>
    <hyperlink xmlns:r="http://schemas.openxmlformats.org/officeDocument/2006/relationships" ref="J29" r:id="rId83"/>
    <hyperlink xmlns:r="http://schemas.openxmlformats.org/officeDocument/2006/relationships" ref="K29" r:id="rId84"/>
    <hyperlink xmlns:r="http://schemas.openxmlformats.org/officeDocument/2006/relationships" ref="I30" r:id="rId85"/>
    <hyperlink xmlns:r="http://schemas.openxmlformats.org/officeDocument/2006/relationships" ref="J30" r:id="rId86"/>
    <hyperlink xmlns:r="http://schemas.openxmlformats.org/officeDocument/2006/relationships" ref="K30" r:id="rId87"/>
    <hyperlink xmlns:r="http://schemas.openxmlformats.org/officeDocument/2006/relationships" ref="I31" r:id="rId88"/>
    <hyperlink xmlns:r="http://schemas.openxmlformats.org/officeDocument/2006/relationships" ref="J31" r:id="rId89"/>
    <hyperlink xmlns:r="http://schemas.openxmlformats.org/officeDocument/2006/relationships" ref="K31" r:id="rId90"/>
    <hyperlink xmlns:r="http://schemas.openxmlformats.org/officeDocument/2006/relationships" ref="I32" r:id="rId91"/>
    <hyperlink xmlns:r="http://schemas.openxmlformats.org/officeDocument/2006/relationships" ref="J32" r:id="rId92"/>
    <hyperlink xmlns:r="http://schemas.openxmlformats.org/officeDocument/2006/relationships" ref="K32" r:id="rId93"/>
    <hyperlink xmlns:r="http://schemas.openxmlformats.org/officeDocument/2006/relationships" ref="I33" r:id="rId94"/>
    <hyperlink xmlns:r="http://schemas.openxmlformats.org/officeDocument/2006/relationships" ref="J33" r:id="rId95"/>
    <hyperlink xmlns:r="http://schemas.openxmlformats.org/officeDocument/2006/relationships" ref="K33" r:id="rId96"/>
    <hyperlink xmlns:r="http://schemas.openxmlformats.org/officeDocument/2006/relationships" ref="I34" r:id="rId97"/>
    <hyperlink xmlns:r="http://schemas.openxmlformats.org/officeDocument/2006/relationships" ref="J34" r:id="rId98"/>
    <hyperlink xmlns:r="http://schemas.openxmlformats.org/officeDocument/2006/relationships" ref="K34" r:id="rId99"/>
    <hyperlink xmlns:r="http://schemas.openxmlformats.org/officeDocument/2006/relationships" ref="I35" r:id="rId100"/>
    <hyperlink xmlns:r="http://schemas.openxmlformats.org/officeDocument/2006/relationships" ref="J35" r:id="rId101"/>
    <hyperlink xmlns:r="http://schemas.openxmlformats.org/officeDocument/2006/relationships" ref="K35" r:id="rId102"/>
    <hyperlink xmlns:r="http://schemas.openxmlformats.org/officeDocument/2006/relationships" ref="I36" r:id="rId103"/>
    <hyperlink xmlns:r="http://schemas.openxmlformats.org/officeDocument/2006/relationships" ref="J36" r:id="rId104"/>
    <hyperlink xmlns:r="http://schemas.openxmlformats.org/officeDocument/2006/relationships" ref="K36" r:id="rId105"/>
    <hyperlink xmlns:r="http://schemas.openxmlformats.org/officeDocument/2006/relationships" ref="I37" r:id="rId106"/>
    <hyperlink xmlns:r="http://schemas.openxmlformats.org/officeDocument/2006/relationships" ref="J37" r:id="rId107"/>
    <hyperlink xmlns:r="http://schemas.openxmlformats.org/officeDocument/2006/relationships" ref="K37" r:id="rId108"/>
    <hyperlink xmlns:r="http://schemas.openxmlformats.org/officeDocument/2006/relationships" ref="I38" r:id="rId109"/>
    <hyperlink xmlns:r="http://schemas.openxmlformats.org/officeDocument/2006/relationships" ref="J38" r:id="rId110"/>
    <hyperlink xmlns:r="http://schemas.openxmlformats.org/officeDocument/2006/relationships" ref="K38" r:id="rId111"/>
    <hyperlink xmlns:r="http://schemas.openxmlformats.org/officeDocument/2006/relationships" ref="I39" r:id="rId112"/>
    <hyperlink xmlns:r="http://schemas.openxmlformats.org/officeDocument/2006/relationships" ref="J39" r:id="rId113"/>
    <hyperlink xmlns:r="http://schemas.openxmlformats.org/officeDocument/2006/relationships" ref="K39" r:id="rId114"/>
    <hyperlink xmlns:r="http://schemas.openxmlformats.org/officeDocument/2006/relationships" ref="I40" r:id="rId115"/>
    <hyperlink xmlns:r="http://schemas.openxmlformats.org/officeDocument/2006/relationships" ref="J40" r:id="rId116"/>
    <hyperlink xmlns:r="http://schemas.openxmlformats.org/officeDocument/2006/relationships" ref="K40" r:id="rId117"/>
    <hyperlink xmlns:r="http://schemas.openxmlformats.org/officeDocument/2006/relationships" ref="I41" r:id="rId118"/>
    <hyperlink xmlns:r="http://schemas.openxmlformats.org/officeDocument/2006/relationships" ref="J41" r:id="rId119"/>
    <hyperlink xmlns:r="http://schemas.openxmlformats.org/officeDocument/2006/relationships" ref="K41" r:id="rId120"/>
    <hyperlink xmlns:r="http://schemas.openxmlformats.org/officeDocument/2006/relationships" ref="I42" r:id="rId121"/>
    <hyperlink xmlns:r="http://schemas.openxmlformats.org/officeDocument/2006/relationships" ref="J42" r:id="rId122"/>
    <hyperlink xmlns:r="http://schemas.openxmlformats.org/officeDocument/2006/relationships" ref="K42" r:id="rId123"/>
    <hyperlink xmlns:r="http://schemas.openxmlformats.org/officeDocument/2006/relationships" ref="I43" r:id="rId124"/>
    <hyperlink xmlns:r="http://schemas.openxmlformats.org/officeDocument/2006/relationships" ref="J43" r:id="rId125"/>
    <hyperlink xmlns:r="http://schemas.openxmlformats.org/officeDocument/2006/relationships" ref="K43" r:id="rId126"/>
    <hyperlink xmlns:r="http://schemas.openxmlformats.org/officeDocument/2006/relationships" ref="I44" r:id="rId127"/>
    <hyperlink xmlns:r="http://schemas.openxmlformats.org/officeDocument/2006/relationships" ref="J44" r:id="rId128"/>
    <hyperlink xmlns:r="http://schemas.openxmlformats.org/officeDocument/2006/relationships" ref="K44" r:id="rId129"/>
    <hyperlink xmlns:r="http://schemas.openxmlformats.org/officeDocument/2006/relationships" ref="I45" r:id="rId130"/>
    <hyperlink xmlns:r="http://schemas.openxmlformats.org/officeDocument/2006/relationships" ref="J45" r:id="rId131"/>
    <hyperlink xmlns:r="http://schemas.openxmlformats.org/officeDocument/2006/relationships" ref="K45" r:id="rId132"/>
    <hyperlink xmlns:r="http://schemas.openxmlformats.org/officeDocument/2006/relationships" ref="I46" r:id="rId133"/>
    <hyperlink xmlns:r="http://schemas.openxmlformats.org/officeDocument/2006/relationships" ref="J46" r:id="rId134"/>
    <hyperlink xmlns:r="http://schemas.openxmlformats.org/officeDocument/2006/relationships" ref="K46" r:id="rId135"/>
    <hyperlink xmlns:r="http://schemas.openxmlformats.org/officeDocument/2006/relationships" ref="I47" r:id="rId136"/>
    <hyperlink xmlns:r="http://schemas.openxmlformats.org/officeDocument/2006/relationships" ref="J47" r:id="rId137"/>
    <hyperlink xmlns:r="http://schemas.openxmlformats.org/officeDocument/2006/relationships" ref="K47" r:id="rId138"/>
    <hyperlink xmlns:r="http://schemas.openxmlformats.org/officeDocument/2006/relationships" ref="I48" r:id="rId139"/>
    <hyperlink xmlns:r="http://schemas.openxmlformats.org/officeDocument/2006/relationships" ref="J48" r:id="rId140"/>
    <hyperlink xmlns:r="http://schemas.openxmlformats.org/officeDocument/2006/relationships" ref="K48" r:id="rId141"/>
    <hyperlink xmlns:r="http://schemas.openxmlformats.org/officeDocument/2006/relationships" ref="I49" r:id="rId142"/>
    <hyperlink xmlns:r="http://schemas.openxmlformats.org/officeDocument/2006/relationships" ref="J49" r:id="rId143"/>
    <hyperlink xmlns:r="http://schemas.openxmlformats.org/officeDocument/2006/relationships" ref="K49" r:id="rId144"/>
    <hyperlink xmlns:r="http://schemas.openxmlformats.org/officeDocument/2006/relationships" ref="I50" r:id="rId145"/>
    <hyperlink xmlns:r="http://schemas.openxmlformats.org/officeDocument/2006/relationships" ref="J50" r:id="rId146"/>
    <hyperlink xmlns:r="http://schemas.openxmlformats.org/officeDocument/2006/relationships" ref="K50" r:id="rId147"/>
    <hyperlink xmlns:r="http://schemas.openxmlformats.org/officeDocument/2006/relationships" ref="I51" r:id="rId148"/>
    <hyperlink xmlns:r="http://schemas.openxmlformats.org/officeDocument/2006/relationships" ref="J51" r:id="rId149"/>
    <hyperlink xmlns:r="http://schemas.openxmlformats.org/officeDocument/2006/relationships" ref="K51" r:id="rId150"/>
    <hyperlink xmlns:r="http://schemas.openxmlformats.org/officeDocument/2006/relationships" ref="I52" r:id="rId151"/>
    <hyperlink xmlns:r="http://schemas.openxmlformats.org/officeDocument/2006/relationships" ref="J52" r:id="rId152"/>
    <hyperlink xmlns:r="http://schemas.openxmlformats.org/officeDocument/2006/relationships" ref="K52" r:id="rId153"/>
    <hyperlink xmlns:r="http://schemas.openxmlformats.org/officeDocument/2006/relationships" ref="I53" r:id="rId154"/>
    <hyperlink xmlns:r="http://schemas.openxmlformats.org/officeDocument/2006/relationships" ref="J53" r:id="rId155"/>
    <hyperlink xmlns:r="http://schemas.openxmlformats.org/officeDocument/2006/relationships" ref="K53" r:id="rId156"/>
    <hyperlink xmlns:r="http://schemas.openxmlformats.org/officeDocument/2006/relationships" ref="I54" r:id="rId157"/>
    <hyperlink xmlns:r="http://schemas.openxmlformats.org/officeDocument/2006/relationships" ref="J54" r:id="rId158"/>
    <hyperlink xmlns:r="http://schemas.openxmlformats.org/officeDocument/2006/relationships" ref="K54" r:id="rId159"/>
    <hyperlink xmlns:r="http://schemas.openxmlformats.org/officeDocument/2006/relationships" ref="I55" r:id="rId160"/>
    <hyperlink xmlns:r="http://schemas.openxmlformats.org/officeDocument/2006/relationships" ref="J55" r:id="rId161"/>
    <hyperlink xmlns:r="http://schemas.openxmlformats.org/officeDocument/2006/relationships" ref="K55" r:id="rId162"/>
    <hyperlink xmlns:r="http://schemas.openxmlformats.org/officeDocument/2006/relationships" ref="I56" r:id="rId163"/>
    <hyperlink xmlns:r="http://schemas.openxmlformats.org/officeDocument/2006/relationships" ref="J56" r:id="rId164"/>
    <hyperlink xmlns:r="http://schemas.openxmlformats.org/officeDocument/2006/relationships" ref="K56" r:id="rId165"/>
    <hyperlink xmlns:r="http://schemas.openxmlformats.org/officeDocument/2006/relationships" ref="I57" r:id="rId166"/>
    <hyperlink xmlns:r="http://schemas.openxmlformats.org/officeDocument/2006/relationships" ref="J57" r:id="rId167"/>
    <hyperlink xmlns:r="http://schemas.openxmlformats.org/officeDocument/2006/relationships" ref="K57" r:id="rId168"/>
    <hyperlink xmlns:r="http://schemas.openxmlformats.org/officeDocument/2006/relationships" ref="I58" r:id="rId169"/>
    <hyperlink xmlns:r="http://schemas.openxmlformats.org/officeDocument/2006/relationships" ref="J58" r:id="rId170"/>
    <hyperlink xmlns:r="http://schemas.openxmlformats.org/officeDocument/2006/relationships" ref="K58" r:id="rId171"/>
    <hyperlink xmlns:r="http://schemas.openxmlformats.org/officeDocument/2006/relationships" ref="I59" r:id="rId172"/>
    <hyperlink xmlns:r="http://schemas.openxmlformats.org/officeDocument/2006/relationships" ref="J59" r:id="rId173"/>
    <hyperlink xmlns:r="http://schemas.openxmlformats.org/officeDocument/2006/relationships" ref="K59" r:id="rId174"/>
    <hyperlink xmlns:r="http://schemas.openxmlformats.org/officeDocument/2006/relationships" ref="I60" r:id="rId175"/>
    <hyperlink xmlns:r="http://schemas.openxmlformats.org/officeDocument/2006/relationships" ref="J60" r:id="rId176"/>
    <hyperlink xmlns:r="http://schemas.openxmlformats.org/officeDocument/2006/relationships" ref="K60" r:id="rId177"/>
    <hyperlink xmlns:r="http://schemas.openxmlformats.org/officeDocument/2006/relationships" ref="I61" r:id="rId178"/>
    <hyperlink xmlns:r="http://schemas.openxmlformats.org/officeDocument/2006/relationships" ref="J61" r:id="rId179"/>
    <hyperlink xmlns:r="http://schemas.openxmlformats.org/officeDocument/2006/relationships" ref="K61" r:id="rId180"/>
    <hyperlink xmlns:r="http://schemas.openxmlformats.org/officeDocument/2006/relationships" ref="I62" r:id="rId181"/>
    <hyperlink xmlns:r="http://schemas.openxmlformats.org/officeDocument/2006/relationships" ref="J62" r:id="rId182"/>
    <hyperlink xmlns:r="http://schemas.openxmlformats.org/officeDocument/2006/relationships" ref="K62" r:id="rId183"/>
    <hyperlink xmlns:r="http://schemas.openxmlformats.org/officeDocument/2006/relationships" ref="I63" r:id="rId184"/>
    <hyperlink xmlns:r="http://schemas.openxmlformats.org/officeDocument/2006/relationships" ref="J63" r:id="rId185"/>
    <hyperlink xmlns:r="http://schemas.openxmlformats.org/officeDocument/2006/relationships" ref="K63" r:id="rId186"/>
    <hyperlink xmlns:r="http://schemas.openxmlformats.org/officeDocument/2006/relationships" ref="I64" r:id="rId187"/>
    <hyperlink xmlns:r="http://schemas.openxmlformats.org/officeDocument/2006/relationships" ref="J64" r:id="rId188"/>
    <hyperlink xmlns:r="http://schemas.openxmlformats.org/officeDocument/2006/relationships" ref="K64" r:id="rId189"/>
    <hyperlink xmlns:r="http://schemas.openxmlformats.org/officeDocument/2006/relationships" ref="I65" r:id="rId190"/>
    <hyperlink xmlns:r="http://schemas.openxmlformats.org/officeDocument/2006/relationships" ref="J65" r:id="rId191"/>
    <hyperlink xmlns:r="http://schemas.openxmlformats.org/officeDocument/2006/relationships" ref="K65" r:id="rId192"/>
    <hyperlink xmlns:r="http://schemas.openxmlformats.org/officeDocument/2006/relationships" ref="I66" r:id="rId193"/>
    <hyperlink xmlns:r="http://schemas.openxmlformats.org/officeDocument/2006/relationships" ref="J66" r:id="rId194"/>
    <hyperlink xmlns:r="http://schemas.openxmlformats.org/officeDocument/2006/relationships" ref="K66" r:id="rId195"/>
    <hyperlink xmlns:r="http://schemas.openxmlformats.org/officeDocument/2006/relationships" ref="I67" r:id="rId196"/>
    <hyperlink xmlns:r="http://schemas.openxmlformats.org/officeDocument/2006/relationships" ref="J67" r:id="rId197"/>
    <hyperlink xmlns:r="http://schemas.openxmlformats.org/officeDocument/2006/relationships" ref="K67" r:id="rId198"/>
    <hyperlink xmlns:r="http://schemas.openxmlformats.org/officeDocument/2006/relationships" ref="I68" r:id="rId199"/>
    <hyperlink xmlns:r="http://schemas.openxmlformats.org/officeDocument/2006/relationships" ref="J68" r:id="rId200"/>
    <hyperlink xmlns:r="http://schemas.openxmlformats.org/officeDocument/2006/relationships" ref="K68" r:id="rId201"/>
    <hyperlink xmlns:r="http://schemas.openxmlformats.org/officeDocument/2006/relationships" ref="I69" r:id="rId202"/>
    <hyperlink xmlns:r="http://schemas.openxmlformats.org/officeDocument/2006/relationships" ref="J69" r:id="rId203"/>
    <hyperlink xmlns:r="http://schemas.openxmlformats.org/officeDocument/2006/relationships" ref="K69" r:id="rId204"/>
    <hyperlink xmlns:r="http://schemas.openxmlformats.org/officeDocument/2006/relationships" ref="I70" r:id="rId205"/>
    <hyperlink xmlns:r="http://schemas.openxmlformats.org/officeDocument/2006/relationships" ref="J70" r:id="rId206"/>
    <hyperlink xmlns:r="http://schemas.openxmlformats.org/officeDocument/2006/relationships" ref="K70" r:id="rId207"/>
    <hyperlink xmlns:r="http://schemas.openxmlformats.org/officeDocument/2006/relationships" ref="I71" r:id="rId208"/>
    <hyperlink xmlns:r="http://schemas.openxmlformats.org/officeDocument/2006/relationships" ref="J71" r:id="rId209"/>
    <hyperlink xmlns:r="http://schemas.openxmlformats.org/officeDocument/2006/relationships" ref="K71" r:id="rId210"/>
    <hyperlink xmlns:r="http://schemas.openxmlformats.org/officeDocument/2006/relationships" ref="I72" r:id="rId211"/>
    <hyperlink xmlns:r="http://schemas.openxmlformats.org/officeDocument/2006/relationships" ref="J72" r:id="rId212"/>
    <hyperlink xmlns:r="http://schemas.openxmlformats.org/officeDocument/2006/relationships" ref="K72" r:id="rId213"/>
    <hyperlink xmlns:r="http://schemas.openxmlformats.org/officeDocument/2006/relationships" ref="I73" r:id="rId214"/>
    <hyperlink xmlns:r="http://schemas.openxmlformats.org/officeDocument/2006/relationships" ref="J73" r:id="rId215"/>
    <hyperlink xmlns:r="http://schemas.openxmlformats.org/officeDocument/2006/relationships" ref="K73" r:id="rId216"/>
    <hyperlink xmlns:r="http://schemas.openxmlformats.org/officeDocument/2006/relationships" ref="I74" r:id="rId217"/>
    <hyperlink xmlns:r="http://schemas.openxmlformats.org/officeDocument/2006/relationships" ref="J74" r:id="rId218"/>
    <hyperlink xmlns:r="http://schemas.openxmlformats.org/officeDocument/2006/relationships" ref="K74" r:id="rId219"/>
    <hyperlink xmlns:r="http://schemas.openxmlformats.org/officeDocument/2006/relationships" ref="I75" r:id="rId220"/>
    <hyperlink xmlns:r="http://schemas.openxmlformats.org/officeDocument/2006/relationships" ref="J75" r:id="rId221"/>
    <hyperlink xmlns:r="http://schemas.openxmlformats.org/officeDocument/2006/relationships" ref="K75" r:id="rId222"/>
    <hyperlink xmlns:r="http://schemas.openxmlformats.org/officeDocument/2006/relationships" ref="I76" r:id="rId223"/>
    <hyperlink xmlns:r="http://schemas.openxmlformats.org/officeDocument/2006/relationships" ref="J76" r:id="rId224"/>
    <hyperlink xmlns:r="http://schemas.openxmlformats.org/officeDocument/2006/relationships" ref="K76" r:id="rId225"/>
    <hyperlink xmlns:r="http://schemas.openxmlformats.org/officeDocument/2006/relationships" ref="I77" r:id="rId226"/>
    <hyperlink xmlns:r="http://schemas.openxmlformats.org/officeDocument/2006/relationships" ref="J77" r:id="rId227"/>
    <hyperlink xmlns:r="http://schemas.openxmlformats.org/officeDocument/2006/relationships" ref="K77" r:id="rId228"/>
    <hyperlink xmlns:r="http://schemas.openxmlformats.org/officeDocument/2006/relationships" ref="I78" r:id="rId229"/>
    <hyperlink xmlns:r="http://schemas.openxmlformats.org/officeDocument/2006/relationships" ref="J78" r:id="rId230"/>
    <hyperlink xmlns:r="http://schemas.openxmlformats.org/officeDocument/2006/relationships" ref="I79" r:id="rId231"/>
    <hyperlink xmlns:r="http://schemas.openxmlformats.org/officeDocument/2006/relationships" ref="J79" r:id="rId232"/>
    <hyperlink xmlns:r="http://schemas.openxmlformats.org/officeDocument/2006/relationships" ref="I80" r:id="rId233"/>
    <hyperlink xmlns:r="http://schemas.openxmlformats.org/officeDocument/2006/relationships" ref="J80" r:id="rId234"/>
    <hyperlink xmlns:r="http://schemas.openxmlformats.org/officeDocument/2006/relationships" ref="I81" r:id="rId235"/>
    <hyperlink xmlns:r="http://schemas.openxmlformats.org/officeDocument/2006/relationships" ref="J81" r:id="rId236"/>
    <hyperlink xmlns:r="http://schemas.openxmlformats.org/officeDocument/2006/relationships" ref="I82" r:id="rId237"/>
    <hyperlink xmlns:r="http://schemas.openxmlformats.org/officeDocument/2006/relationships" ref="J82" r:id="rId238"/>
    <hyperlink xmlns:r="http://schemas.openxmlformats.org/officeDocument/2006/relationships" ref="I83" r:id="rId239"/>
    <hyperlink xmlns:r="http://schemas.openxmlformats.org/officeDocument/2006/relationships" ref="J83" r:id="rId240"/>
    <hyperlink xmlns:r="http://schemas.openxmlformats.org/officeDocument/2006/relationships" ref="I84" r:id="rId241"/>
    <hyperlink xmlns:r="http://schemas.openxmlformats.org/officeDocument/2006/relationships" ref="J84" r:id="rId242"/>
    <hyperlink xmlns:r="http://schemas.openxmlformats.org/officeDocument/2006/relationships" ref="I85" r:id="rId243"/>
    <hyperlink xmlns:r="http://schemas.openxmlformats.org/officeDocument/2006/relationships" ref="J85" r:id="rId244"/>
    <hyperlink xmlns:r="http://schemas.openxmlformats.org/officeDocument/2006/relationships" ref="I86" r:id="rId245"/>
    <hyperlink xmlns:r="http://schemas.openxmlformats.org/officeDocument/2006/relationships" ref="J86" r:id="rId246"/>
    <hyperlink xmlns:r="http://schemas.openxmlformats.org/officeDocument/2006/relationships" ref="I87" r:id="rId247"/>
    <hyperlink xmlns:r="http://schemas.openxmlformats.org/officeDocument/2006/relationships" ref="J87" r:id="rId248"/>
    <hyperlink xmlns:r="http://schemas.openxmlformats.org/officeDocument/2006/relationships" ref="I88" r:id="rId249"/>
    <hyperlink xmlns:r="http://schemas.openxmlformats.org/officeDocument/2006/relationships" ref="J88" r:id="rId250"/>
    <hyperlink xmlns:r="http://schemas.openxmlformats.org/officeDocument/2006/relationships" ref="I89" r:id="rId251"/>
    <hyperlink xmlns:r="http://schemas.openxmlformats.org/officeDocument/2006/relationships" ref="J89" r:id="rId252"/>
    <hyperlink xmlns:r="http://schemas.openxmlformats.org/officeDocument/2006/relationships" ref="I90" r:id="rId253"/>
    <hyperlink xmlns:r="http://schemas.openxmlformats.org/officeDocument/2006/relationships" ref="J90" r:id="rId254"/>
    <hyperlink xmlns:r="http://schemas.openxmlformats.org/officeDocument/2006/relationships" ref="I91" r:id="rId255"/>
    <hyperlink xmlns:r="http://schemas.openxmlformats.org/officeDocument/2006/relationships" ref="J91" r:id="rId256"/>
    <hyperlink xmlns:r="http://schemas.openxmlformats.org/officeDocument/2006/relationships" ref="I92" r:id="rId257"/>
    <hyperlink xmlns:r="http://schemas.openxmlformats.org/officeDocument/2006/relationships" ref="J92" r:id="rId258"/>
    <hyperlink xmlns:r="http://schemas.openxmlformats.org/officeDocument/2006/relationships" ref="I93" r:id="rId259"/>
    <hyperlink xmlns:r="http://schemas.openxmlformats.org/officeDocument/2006/relationships" ref="J93" r:id="rId260"/>
    <hyperlink xmlns:r="http://schemas.openxmlformats.org/officeDocument/2006/relationships" ref="I94" r:id="rId261"/>
    <hyperlink xmlns:r="http://schemas.openxmlformats.org/officeDocument/2006/relationships" ref="J94" r:id="rId262"/>
    <hyperlink xmlns:r="http://schemas.openxmlformats.org/officeDocument/2006/relationships" ref="I95" r:id="rId263"/>
    <hyperlink xmlns:r="http://schemas.openxmlformats.org/officeDocument/2006/relationships" ref="J95" r:id="rId264"/>
    <hyperlink xmlns:r="http://schemas.openxmlformats.org/officeDocument/2006/relationships" ref="I96" r:id="rId265"/>
    <hyperlink xmlns:r="http://schemas.openxmlformats.org/officeDocument/2006/relationships" ref="J96" r:id="rId266"/>
    <hyperlink xmlns:r="http://schemas.openxmlformats.org/officeDocument/2006/relationships" ref="I97" r:id="rId267"/>
    <hyperlink xmlns:r="http://schemas.openxmlformats.org/officeDocument/2006/relationships" ref="J97" r:id="rId268"/>
    <hyperlink xmlns:r="http://schemas.openxmlformats.org/officeDocument/2006/relationships" ref="I98" r:id="rId269"/>
    <hyperlink xmlns:r="http://schemas.openxmlformats.org/officeDocument/2006/relationships" ref="J98" r:id="rId270"/>
    <hyperlink xmlns:r="http://schemas.openxmlformats.org/officeDocument/2006/relationships" ref="I99" r:id="rId271"/>
    <hyperlink xmlns:r="http://schemas.openxmlformats.org/officeDocument/2006/relationships" ref="J99" r:id="rId272"/>
    <hyperlink xmlns:r="http://schemas.openxmlformats.org/officeDocument/2006/relationships" ref="I100" r:id="rId273"/>
    <hyperlink xmlns:r="http://schemas.openxmlformats.org/officeDocument/2006/relationships" ref="J100" r:id="rId274"/>
    <hyperlink xmlns:r="http://schemas.openxmlformats.org/officeDocument/2006/relationships" ref="I101" r:id="rId275"/>
    <hyperlink xmlns:r="http://schemas.openxmlformats.org/officeDocument/2006/relationships" ref="J101" r:id="rId276"/>
    <hyperlink xmlns:r="http://schemas.openxmlformats.org/officeDocument/2006/relationships" ref="I102" r:id="rId277"/>
    <hyperlink xmlns:r="http://schemas.openxmlformats.org/officeDocument/2006/relationships" ref="J102" r:id="rId278"/>
    <hyperlink xmlns:r="http://schemas.openxmlformats.org/officeDocument/2006/relationships" ref="I103" r:id="rId279"/>
    <hyperlink xmlns:r="http://schemas.openxmlformats.org/officeDocument/2006/relationships" ref="J103" r:id="rId280"/>
    <hyperlink xmlns:r="http://schemas.openxmlformats.org/officeDocument/2006/relationships" ref="I104" r:id="rId281"/>
    <hyperlink xmlns:r="http://schemas.openxmlformats.org/officeDocument/2006/relationships" ref="J104" r:id="rId282"/>
    <hyperlink xmlns:r="http://schemas.openxmlformats.org/officeDocument/2006/relationships" ref="I105" r:id="rId283"/>
    <hyperlink xmlns:r="http://schemas.openxmlformats.org/officeDocument/2006/relationships" ref="I106" r:id="rId284"/>
    <hyperlink xmlns:r="http://schemas.openxmlformats.org/officeDocument/2006/relationships" ref="I107" r:id="rId285"/>
    <hyperlink xmlns:r="http://schemas.openxmlformats.org/officeDocument/2006/relationships" ref="I108" r:id="rId286"/>
    <hyperlink xmlns:r="http://schemas.openxmlformats.org/officeDocument/2006/relationships" ref="I109" r:id="rId287"/>
    <hyperlink xmlns:r="http://schemas.openxmlformats.org/officeDocument/2006/relationships" ref="I110" r:id="rId288"/>
    <hyperlink xmlns:r="http://schemas.openxmlformats.org/officeDocument/2006/relationships" ref="I111" r:id="rId289"/>
    <hyperlink xmlns:r="http://schemas.openxmlformats.org/officeDocument/2006/relationships" ref="J111" r:id="rId290"/>
    <hyperlink xmlns:r="http://schemas.openxmlformats.org/officeDocument/2006/relationships" ref="K111" r:id="rId291"/>
    <hyperlink xmlns:r="http://schemas.openxmlformats.org/officeDocument/2006/relationships" ref="I112" r:id="rId292"/>
    <hyperlink xmlns:r="http://schemas.openxmlformats.org/officeDocument/2006/relationships" ref="J112" r:id="rId293"/>
    <hyperlink xmlns:r="http://schemas.openxmlformats.org/officeDocument/2006/relationships" ref="K112" r:id="rId294"/>
    <hyperlink xmlns:r="http://schemas.openxmlformats.org/officeDocument/2006/relationships" ref="I113" r:id="rId295"/>
    <hyperlink xmlns:r="http://schemas.openxmlformats.org/officeDocument/2006/relationships" ref="J113" r:id="rId296"/>
    <hyperlink xmlns:r="http://schemas.openxmlformats.org/officeDocument/2006/relationships" ref="K113" r:id="rId297"/>
    <hyperlink xmlns:r="http://schemas.openxmlformats.org/officeDocument/2006/relationships" ref="I114" r:id="rId298"/>
    <hyperlink xmlns:r="http://schemas.openxmlformats.org/officeDocument/2006/relationships" ref="J114" r:id="rId299"/>
    <hyperlink xmlns:r="http://schemas.openxmlformats.org/officeDocument/2006/relationships" ref="K114" r:id="rId300"/>
    <hyperlink xmlns:r="http://schemas.openxmlformats.org/officeDocument/2006/relationships" ref="I115" r:id="rId301"/>
    <hyperlink xmlns:r="http://schemas.openxmlformats.org/officeDocument/2006/relationships" ref="J115" r:id="rId302"/>
    <hyperlink xmlns:r="http://schemas.openxmlformats.org/officeDocument/2006/relationships" ref="K115" r:id="rId303"/>
    <hyperlink xmlns:r="http://schemas.openxmlformats.org/officeDocument/2006/relationships" ref="I116" r:id="rId304"/>
    <hyperlink xmlns:r="http://schemas.openxmlformats.org/officeDocument/2006/relationships" ref="J116" r:id="rId305"/>
    <hyperlink xmlns:r="http://schemas.openxmlformats.org/officeDocument/2006/relationships" ref="K116" r:id="rId306"/>
    <hyperlink xmlns:r="http://schemas.openxmlformats.org/officeDocument/2006/relationships" ref="I117" r:id="rId307"/>
    <hyperlink xmlns:r="http://schemas.openxmlformats.org/officeDocument/2006/relationships" ref="J117" r:id="rId308"/>
    <hyperlink xmlns:r="http://schemas.openxmlformats.org/officeDocument/2006/relationships" ref="K117" r:id="rId309"/>
    <hyperlink xmlns:r="http://schemas.openxmlformats.org/officeDocument/2006/relationships" ref="I118" r:id="rId310"/>
    <hyperlink xmlns:r="http://schemas.openxmlformats.org/officeDocument/2006/relationships" ref="J118" r:id="rId311"/>
    <hyperlink xmlns:r="http://schemas.openxmlformats.org/officeDocument/2006/relationships" ref="K118" r:id="rId312"/>
    <hyperlink xmlns:r="http://schemas.openxmlformats.org/officeDocument/2006/relationships" ref="I119" r:id="rId313"/>
    <hyperlink xmlns:r="http://schemas.openxmlformats.org/officeDocument/2006/relationships" ref="J119" r:id="rId314"/>
    <hyperlink xmlns:r="http://schemas.openxmlformats.org/officeDocument/2006/relationships" ref="K119" r:id="rId315"/>
    <hyperlink xmlns:r="http://schemas.openxmlformats.org/officeDocument/2006/relationships" ref="I120" r:id="rId316"/>
    <hyperlink xmlns:r="http://schemas.openxmlformats.org/officeDocument/2006/relationships" ref="J120" r:id="rId317"/>
    <hyperlink xmlns:r="http://schemas.openxmlformats.org/officeDocument/2006/relationships" ref="K120" r:id="rId318"/>
    <hyperlink xmlns:r="http://schemas.openxmlformats.org/officeDocument/2006/relationships" ref="I121" r:id="rId319"/>
    <hyperlink xmlns:r="http://schemas.openxmlformats.org/officeDocument/2006/relationships" ref="J121" r:id="rId320"/>
    <hyperlink xmlns:r="http://schemas.openxmlformats.org/officeDocument/2006/relationships" ref="K121" r:id="rId321"/>
    <hyperlink xmlns:r="http://schemas.openxmlformats.org/officeDocument/2006/relationships" ref="I122" r:id="rId322"/>
    <hyperlink xmlns:r="http://schemas.openxmlformats.org/officeDocument/2006/relationships" ref="J122" r:id="rId323"/>
    <hyperlink xmlns:r="http://schemas.openxmlformats.org/officeDocument/2006/relationships" ref="K122" r:id="rId324"/>
    <hyperlink xmlns:r="http://schemas.openxmlformats.org/officeDocument/2006/relationships" ref="I123" r:id="rId325"/>
    <hyperlink xmlns:r="http://schemas.openxmlformats.org/officeDocument/2006/relationships" ref="J123" r:id="rId326"/>
    <hyperlink xmlns:r="http://schemas.openxmlformats.org/officeDocument/2006/relationships" ref="K123" r:id="rId327"/>
    <hyperlink xmlns:r="http://schemas.openxmlformats.org/officeDocument/2006/relationships" ref="I124" r:id="rId328"/>
    <hyperlink xmlns:r="http://schemas.openxmlformats.org/officeDocument/2006/relationships" ref="J124" r:id="rId329"/>
    <hyperlink xmlns:r="http://schemas.openxmlformats.org/officeDocument/2006/relationships" ref="K124" r:id="rId330"/>
    <hyperlink xmlns:r="http://schemas.openxmlformats.org/officeDocument/2006/relationships" ref="I125" r:id="rId331"/>
    <hyperlink xmlns:r="http://schemas.openxmlformats.org/officeDocument/2006/relationships" ref="J125" r:id="rId332"/>
    <hyperlink xmlns:r="http://schemas.openxmlformats.org/officeDocument/2006/relationships" ref="K125" r:id="rId333"/>
    <hyperlink xmlns:r="http://schemas.openxmlformats.org/officeDocument/2006/relationships" ref="I126" r:id="rId334"/>
    <hyperlink xmlns:r="http://schemas.openxmlformats.org/officeDocument/2006/relationships" ref="J126" r:id="rId335"/>
    <hyperlink xmlns:r="http://schemas.openxmlformats.org/officeDocument/2006/relationships" ref="K126" r:id="rId336"/>
    <hyperlink xmlns:r="http://schemas.openxmlformats.org/officeDocument/2006/relationships" ref="I127" r:id="rId337"/>
    <hyperlink xmlns:r="http://schemas.openxmlformats.org/officeDocument/2006/relationships" ref="J127" r:id="rId338"/>
    <hyperlink xmlns:r="http://schemas.openxmlformats.org/officeDocument/2006/relationships" ref="K127" r:id="rId339"/>
    <hyperlink xmlns:r="http://schemas.openxmlformats.org/officeDocument/2006/relationships" ref="I128" r:id="rId340"/>
    <hyperlink xmlns:r="http://schemas.openxmlformats.org/officeDocument/2006/relationships" ref="J128" r:id="rId341"/>
    <hyperlink xmlns:r="http://schemas.openxmlformats.org/officeDocument/2006/relationships" ref="K128" r:id="rId342"/>
    <hyperlink xmlns:r="http://schemas.openxmlformats.org/officeDocument/2006/relationships" ref="I129" r:id="rId343"/>
    <hyperlink xmlns:r="http://schemas.openxmlformats.org/officeDocument/2006/relationships" ref="J129" r:id="rId344"/>
    <hyperlink xmlns:r="http://schemas.openxmlformats.org/officeDocument/2006/relationships" ref="K129" r:id="rId345"/>
    <hyperlink xmlns:r="http://schemas.openxmlformats.org/officeDocument/2006/relationships" ref="I130" r:id="rId346"/>
    <hyperlink xmlns:r="http://schemas.openxmlformats.org/officeDocument/2006/relationships" ref="J130" r:id="rId347"/>
    <hyperlink xmlns:r="http://schemas.openxmlformats.org/officeDocument/2006/relationships" ref="K130" r:id="rId348"/>
    <hyperlink xmlns:r="http://schemas.openxmlformats.org/officeDocument/2006/relationships" ref="I131" r:id="rId349"/>
    <hyperlink xmlns:r="http://schemas.openxmlformats.org/officeDocument/2006/relationships" ref="J131" r:id="rId350"/>
    <hyperlink xmlns:r="http://schemas.openxmlformats.org/officeDocument/2006/relationships" ref="K131" r:id="rId351"/>
    <hyperlink xmlns:r="http://schemas.openxmlformats.org/officeDocument/2006/relationships" ref="I132" r:id="rId352"/>
    <hyperlink xmlns:r="http://schemas.openxmlformats.org/officeDocument/2006/relationships" ref="J132" r:id="rId353"/>
    <hyperlink xmlns:r="http://schemas.openxmlformats.org/officeDocument/2006/relationships" ref="K132" r:id="rId354"/>
    <hyperlink xmlns:r="http://schemas.openxmlformats.org/officeDocument/2006/relationships" ref="I133" r:id="rId355"/>
    <hyperlink xmlns:r="http://schemas.openxmlformats.org/officeDocument/2006/relationships" ref="J133" r:id="rId356"/>
    <hyperlink xmlns:r="http://schemas.openxmlformats.org/officeDocument/2006/relationships" ref="K133" r:id="rId357"/>
    <hyperlink xmlns:r="http://schemas.openxmlformats.org/officeDocument/2006/relationships" ref="I134" r:id="rId358"/>
    <hyperlink xmlns:r="http://schemas.openxmlformats.org/officeDocument/2006/relationships" ref="J134" r:id="rId359"/>
    <hyperlink xmlns:r="http://schemas.openxmlformats.org/officeDocument/2006/relationships" ref="K134" r:id="rId360"/>
    <hyperlink xmlns:r="http://schemas.openxmlformats.org/officeDocument/2006/relationships" ref="I135" r:id="rId361"/>
    <hyperlink xmlns:r="http://schemas.openxmlformats.org/officeDocument/2006/relationships" ref="J135" r:id="rId362"/>
    <hyperlink xmlns:r="http://schemas.openxmlformats.org/officeDocument/2006/relationships" ref="K135" r:id="rId363"/>
    <hyperlink xmlns:r="http://schemas.openxmlformats.org/officeDocument/2006/relationships" ref="I136" r:id="rId364"/>
    <hyperlink xmlns:r="http://schemas.openxmlformats.org/officeDocument/2006/relationships" ref="J136" r:id="rId365"/>
    <hyperlink xmlns:r="http://schemas.openxmlformats.org/officeDocument/2006/relationships" ref="K136" r:id="rId366"/>
    <hyperlink xmlns:r="http://schemas.openxmlformats.org/officeDocument/2006/relationships" ref="I137" r:id="rId367"/>
    <hyperlink xmlns:r="http://schemas.openxmlformats.org/officeDocument/2006/relationships" ref="J137" r:id="rId368"/>
    <hyperlink xmlns:r="http://schemas.openxmlformats.org/officeDocument/2006/relationships" ref="K137" r:id="rId369"/>
    <hyperlink xmlns:r="http://schemas.openxmlformats.org/officeDocument/2006/relationships" ref="I138" r:id="rId370"/>
    <hyperlink xmlns:r="http://schemas.openxmlformats.org/officeDocument/2006/relationships" ref="J138" r:id="rId371"/>
    <hyperlink xmlns:r="http://schemas.openxmlformats.org/officeDocument/2006/relationships" ref="K138" r:id="rId372"/>
    <hyperlink xmlns:r="http://schemas.openxmlformats.org/officeDocument/2006/relationships" ref="I139" r:id="rId373"/>
    <hyperlink xmlns:r="http://schemas.openxmlformats.org/officeDocument/2006/relationships" ref="J139" r:id="rId374"/>
    <hyperlink xmlns:r="http://schemas.openxmlformats.org/officeDocument/2006/relationships" ref="K139" r:id="rId375"/>
    <hyperlink xmlns:r="http://schemas.openxmlformats.org/officeDocument/2006/relationships" ref="I140" r:id="rId376"/>
    <hyperlink xmlns:r="http://schemas.openxmlformats.org/officeDocument/2006/relationships" ref="J140" r:id="rId377"/>
    <hyperlink xmlns:r="http://schemas.openxmlformats.org/officeDocument/2006/relationships" ref="K140" r:id="rId378"/>
    <hyperlink xmlns:r="http://schemas.openxmlformats.org/officeDocument/2006/relationships" ref="I141" r:id="rId379"/>
    <hyperlink xmlns:r="http://schemas.openxmlformats.org/officeDocument/2006/relationships" ref="J141" r:id="rId380"/>
    <hyperlink xmlns:r="http://schemas.openxmlformats.org/officeDocument/2006/relationships" ref="K141" r:id="rId381"/>
    <hyperlink xmlns:r="http://schemas.openxmlformats.org/officeDocument/2006/relationships" ref="I142" r:id="rId382"/>
    <hyperlink xmlns:r="http://schemas.openxmlformats.org/officeDocument/2006/relationships" ref="J142" r:id="rId383"/>
    <hyperlink xmlns:r="http://schemas.openxmlformats.org/officeDocument/2006/relationships" ref="K142" r:id="rId384"/>
    <hyperlink xmlns:r="http://schemas.openxmlformats.org/officeDocument/2006/relationships" ref="I143" r:id="rId385"/>
    <hyperlink xmlns:r="http://schemas.openxmlformats.org/officeDocument/2006/relationships" ref="J143" r:id="rId386"/>
    <hyperlink xmlns:r="http://schemas.openxmlformats.org/officeDocument/2006/relationships" ref="K143" r:id="rId387"/>
    <hyperlink xmlns:r="http://schemas.openxmlformats.org/officeDocument/2006/relationships" ref="I144" r:id="rId388"/>
    <hyperlink xmlns:r="http://schemas.openxmlformats.org/officeDocument/2006/relationships" ref="J144" r:id="rId389"/>
    <hyperlink xmlns:r="http://schemas.openxmlformats.org/officeDocument/2006/relationships" ref="I145" r:id="rId390"/>
    <hyperlink xmlns:r="http://schemas.openxmlformats.org/officeDocument/2006/relationships" ref="J145" r:id="rId391"/>
    <hyperlink xmlns:r="http://schemas.openxmlformats.org/officeDocument/2006/relationships" ref="I146" r:id="rId392"/>
    <hyperlink xmlns:r="http://schemas.openxmlformats.org/officeDocument/2006/relationships" ref="J146" r:id="rId393"/>
    <hyperlink xmlns:r="http://schemas.openxmlformats.org/officeDocument/2006/relationships" ref="K146" r:id="rId394"/>
    <hyperlink xmlns:r="http://schemas.openxmlformats.org/officeDocument/2006/relationships" ref="I147" r:id="rId395"/>
    <hyperlink xmlns:r="http://schemas.openxmlformats.org/officeDocument/2006/relationships" ref="J147" r:id="rId396"/>
    <hyperlink xmlns:r="http://schemas.openxmlformats.org/officeDocument/2006/relationships" ref="K147" r:id="rId397"/>
    <hyperlink xmlns:r="http://schemas.openxmlformats.org/officeDocument/2006/relationships" ref="I148" r:id="rId398"/>
    <hyperlink xmlns:r="http://schemas.openxmlformats.org/officeDocument/2006/relationships" ref="J148" r:id="rId399"/>
    <hyperlink xmlns:r="http://schemas.openxmlformats.org/officeDocument/2006/relationships" ref="K148" r:id="rId400"/>
    <hyperlink xmlns:r="http://schemas.openxmlformats.org/officeDocument/2006/relationships" ref="I149" r:id="rId401"/>
    <hyperlink xmlns:r="http://schemas.openxmlformats.org/officeDocument/2006/relationships" ref="J149" r:id="rId402"/>
    <hyperlink xmlns:r="http://schemas.openxmlformats.org/officeDocument/2006/relationships" ref="K149" r:id="rId403"/>
    <hyperlink xmlns:r="http://schemas.openxmlformats.org/officeDocument/2006/relationships" ref="I150" r:id="rId404"/>
    <hyperlink xmlns:r="http://schemas.openxmlformats.org/officeDocument/2006/relationships" ref="J150" r:id="rId405"/>
    <hyperlink xmlns:r="http://schemas.openxmlformats.org/officeDocument/2006/relationships" ref="K150" r:id="rId406"/>
    <hyperlink xmlns:r="http://schemas.openxmlformats.org/officeDocument/2006/relationships" ref="I151" r:id="rId407"/>
    <hyperlink xmlns:r="http://schemas.openxmlformats.org/officeDocument/2006/relationships" ref="J151" r:id="rId408"/>
    <hyperlink xmlns:r="http://schemas.openxmlformats.org/officeDocument/2006/relationships" ref="K151" r:id="rId409"/>
    <hyperlink xmlns:r="http://schemas.openxmlformats.org/officeDocument/2006/relationships" ref="I152" r:id="rId410"/>
    <hyperlink xmlns:r="http://schemas.openxmlformats.org/officeDocument/2006/relationships" ref="J152" r:id="rId411"/>
    <hyperlink xmlns:r="http://schemas.openxmlformats.org/officeDocument/2006/relationships" ref="K152" r:id="rId412"/>
    <hyperlink xmlns:r="http://schemas.openxmlformats.org/officeDocument/2006/relationships" ref="I153" r:id="rId413"/>
    <hyperlink xmlns:r="http://schemas.openxmlformats.org/officeDocument/2006/relationships" ref="J153" r:id="rId414"/>
    <hyperlink xmlns:r="http://schemas.openxmlformats.org/officeDocument/2006/relationships" ref="K153" r:id="rId415"/>
    <hyperlink xmlns:r="http://schemas.openxmlformats.org/officeDocument/2006/relationships" ref="I154" r:id="rId416"/>
    <hyperlink xmlns:r="http://schemas.openxmlformats.org/officeDocument/2006/relationships" ref="J154" r:id="rId417"/>
    <hyperlink xmlns:r="http://schemas.openxmlformats.org/officeDocument/2006/relationships" ref="K154" r:id="rId418"/>
    <hyperlink xmlns:r="http://schemas.openxmlformats.org/officeDocument/2006/relationships" ref="I155" r:id="rId419"/>
    <hyperlink xmlns:r="http://schemas.openxmlformats.org/officeDocument/2006/relationships" ref="J155" r:id="rId420"/>
    <hyperlink xmlns:r="http://schemas.openxmlformats.org/officeDocument/2006/relationships" ref="K155" r:id="rId421"/>
    <hyperlink xmlns:r="http://schemas.openxmlformats.org/officeDocument/2006/relationships" ref="I156" r:id="rId422"/>
    <hyperlink xmlns:r="http://schemas.openxmlformats.org/officeDocument/2006/relationships" ref="J156" r:id="rId423"/>
    <hyperlink xmlns:r="http://schemas.openxmlformats.org/officeDocument/2006/relationships" ref="K156" r:id="rId424"/>
    <hyperlink xmlns:r="http://schemas.openxmlformats.org/officeDocument/2006/relationships" ref="I157" r:id="rId425"/>
    <hyperlink xmlns:r="http://schemas.openxmlformats.org/officeDocument/2006/relationships" ref="J157" r:id="rId426"/>
    <hyperlink xmlns:r="http://schemas.openxmlformats.org/officeDocument/2006/relationships" ref="K157" r:id="rId427"/>
    <hyperlink xmlns:r="http://schemas.openxmlformats.org/officeDocument/2006/relationships" ref="I158" r:id="rId428"/>
    <hyperlink xmlns:r="http://schemas.openxmlformats.org/officeDocument/2006/relationships" ref="J158" r:id="rId429"/>
    <hyperlink xmlns:r="http://schemas.openxmlformats.org/officeDocument/2006/relationships" ref="K158" r:id="rId430"/>
    <hyperlink xmlns:r="http://schemas.openxmlformats.org/officeDocument/2006/relationships" ref="I159" r:id="rId431"/>
    <hyperlink xmlns:r="http://schemas.openxmlformats.org/officeDocument/2006/relationships" ref="J159" r:id="rId432"/>
    <hyperlink xmlns:r="http://schemas.openxmlformats.org/officeDocument/2006/relationships" ref="K159" r:id="rId433"/>
    <hyperlink xmlns:r="http://schemas.openxmlformats.org/officeDocument/2006/relationships" ref="I160" r:id="rId434"/>
    <hyperlink xmlns:r="http://schemas.openxmlformats.org/officeDocument/2006/relationships" ref="J160" r:id="rId435"/>
    <hyperlink xmlns:r="http://schemas.openxmlformats.org/officeDocument/2006/relationships" ref="K160" r:id="rId436"/>
    <hyperlink xmlns:r="http://schemas.openxmlformats.org/officeDocument/2006/relationships" ref="I161" r:id="rId437"/>
    <hyperlink xmlns:r="http://schemas.openxmlformats.org/officeDocument/2006/relationships" ref="J161" r:id="rId438"/>
    <hyperlink xmlns:r="http://schemas.openxmlformats.org/officeDocument/2006/relationships" ref="K161" r:id="rId439"/>
    <hyperlink xmlns:r="http://schemas.openxmlformats.org/officeDocument/2006/relationships" ref="I162" r:id="rId440"/>
    <hyperlink xmlns:r="http://schemas.openxmlformats.org/officeDocument/2006/relationships" ref="J162" r:id="rId441"/>
    <hyperlink xmlns:r="http://schemas.openxmlformats.org/officeDocument/2006/relationships" ref="K162" r:id="rId442"/>
    <hyperlink xmlns:r="http://schemas.openxmlformats.org/officeDocument/2006/relationships" ref="I163" r:id="rId443"/>
    <hyperlink xmlns:r="http://schemas.openxmlformats.org/officeDocument/2006/relationships" ref="J163" r:id="rId444"/>
    <hyperlink xmlns:r="http://schemas.openxmlformats.org/officeDocument/2006/relationships" ref="K163" r:id="rId445"/>
    <hyperlink xmlns:r="http://schemas.openxmlformats.org/officeDocument/2006/relationships" ref="I164" r:id="rId446"/>
    <hyperlink xmlns:r="http://schemas.openxmlformats.org/officeDocument/2006/relationships" ref="J164" r:id="rId447"/>
    <hyperlink xmlns:r="http://schemas.openxmlformats.org/officeDocument/2006/relationships" ref="K164" r:id="rId448"/>
    <hyperlink xmlns:r="http://schemas.openxmlformats.org/officeDocument/2006/relationships" ref="I165" r:id="rId449"/>
    <hyperlink xmlns:r="http://schemas.openxmlformats.org/officeDocument/2006/relationships" ref="J165" r:id="rId450"/>
    <hyperlink xmlns:r="http://schemas.openxmlformats.org/officeDocument/2006/relationships" ref="K165" r:id="rId451"/>
    <hyperlink xmlns:r="http://schemas.openxmlformats.org/officeDocument/2006/relationships" ref="I166" r:id="rId452"/>
    <hyperlink xmlns:r="http://schemas.openxmlformats.org/officeDocument/2006/relationships" ref="J166" r:id="rId453"/>
    <hyperlink xmlns:r="http://schemas.openxmlformats.org/officeDocument/2006/relationships" ref="K166" r:id="rId454"/>
    <hyperlink xmlns:r="http://schemas.openxmlformats.org/officeDocument/2006/relationships" ref="I167" r:id="rId455"/>
    <hyperlink xmlns:r="http://schemas.openxmlformats.org/officeDocument/2006/relationships" ref="J167" r:id="rId456"/>
    <hyperlink xmlns:r="http://schemas.openxmlformats.org/officeDocument/2006/relationships" ref="K167" r:id="rId457"/>
    <hyperlink xmlns:r="http://schemas.openxmlformats.org/officeDocument/2006/relationships" ref="I168" r:id="rId458"/>
    <hyperlink xmlns:r="http://schemas.openxmlformats.org/officeDocument/2006/relationships" ref="J168" r:id="rId459"/>
    <hyperlink xmlns:r="http://schemas.openxmlformats.org/officeDocument/2006/relationships" ref="K168" r:id="rId460"/>
    <hyperlink xmlns:r="http://schemas.openxmlformats.org/officeDocument/2006/relationships" ref="I169" r:id="rId461"/>
    <hyperlink xmlns:r="http://schemas.openxmlformats.org/officeDocument/2006/relationships" ref="J169" r:id="rId462"/>
    <hyperlink xmlns:r="http://schemas.openxmlformats.org/officeDocument/2006/relationships" ref="K169" r:id="rId463"/>
    <hyperlink xmlns:r="http://schemas.openxmlformats.org/officeDocument/2006/relationships" ref="I170" r:id="rId464"/>
    <hyperlink xmlns:r="http://schemas.openxmlformats.org/officeDocument/2006/relationships" ref="J170" r:id="rId465"/>
    <hyperlink xmlns:r="http://schemas.openxmlformats.org/officeDocument/2006/relationships" ref="K170" r:id="rId466"/>
    <hyperlink xmlns:r="http://schemas.openxmlformats.org/officeDocument/2006/relationships" ref="I171" r:id="rId467"/>
    <hyperlink xmlns:r="http://schemas.openxmlformats.org/officeDocument/2006/relationships" ref="J171" r:id="rId468"/>
    <hyperlink xmlns:r="http://schemas.openxmlformats.org/officeDocument/2006/relationships" ref="K171" r:id="rId469"/>
    <hyperlink xmlns:r="http://schemas.openxmlformats.org/officeDocument/2006/relationships" ref="I172" r:id="rId470"/>
    <hyperlink xmlns:r="http://schemas.openxmlformats.org/officeDocument/2006/relationships" ref="J172" r:id="rId471"/>
    <hyperlink xmlns:r="http://schemas.openxmlformats.org/officeDocument/2006/relationships" ref="K172" r:id="rId472"/>
    <hyperlink xmlns:r="http://schemas.openxmlformats.org/officeDocument/2006/relationships" ref="I173" r:id="rId473"/>
    <hyperlink xmlns:r="http://schemas.openxmlformats.org/officeDocument/2006/relationships" ref="J173" r:id="rId474"/>
    <hyperlink xmlns:r="http://schemas.openxmlformats.org/officeDocument/2006/relationships" ref="K173" r:id="rId475"/>
    <hyperlink xmlns:r="http://schemas.openxmlformats.org/officeDocument/2006/relationships" ref="I174" r:id="rId476"/>
    <hyperlink xmlns:r="http://schemas.openxmlformats.org/officeDocument/2006/relationships" ref="J174" r:id="rId477"/>
    <hyperlink xmlns:r="http://schemas.openxmlformats.org/officeDocument/2006/relationships" ref="K174" r:id="rId478"/>
    <hyperlink xmlns:r="http://schemas.openxmlformats.org/officeDocument/2006/relationships" ref="I175" r:id="rId479"/>
    <hyperlink xmlns:r="http://schemas.openxmlformats.org/officeDocument/2006/relationships" ref="J175" r:id="rId480"/>
    <hyperlink xmlns:r="http://schemas.openxmlformats.org/officeDocument/2006/relationships" ref="K175" r:id="rId481"/>
    <hyperlink xmlns:r="http://schemas.openxmlformats.org/officeDocument/2006/relationships" ref="I176" r:id="rId482"/>
    <hyperlink xmlns:r="http://schemas.openxmlformats.org/officeDocument/2006/relationships" ref="J176" r:id="rId483"/>
    <hyperlink xmlns:r="http://schemas.openxmlformats.org/officeDocument/2006/relationships" ref="K176" r:id="rId484"/>
    <hyperlink xmlns:r="http://schemas.openxmlformats.org/officeDocument/2006/relationships" ref="I177" r:id="rId485"/>
    <hyperlink xmlns:r="http://schemas.openxmlformats.org/officeDocument/2006/relationships" ref="J177" r:id="rId486"/>
    <hyperlink xmlns:r="http://schemas.openxmlformats.org/officeDocument/2006/relationships" ref="K177" r:id="rId487"/>
    <hyperlink xmlns:r="http://schemas.openxmlformats.org/officeDocument/2006/relationships" ref="I178" r:id="rId488"/>
    <hyperlink xmlns:r="http://schemas.openxmlformats.org/officeDocument/2006/relationships" ref="J178" r:id="rId489"/>
    <hyperlink xmlns:r="http://schemas.openxmlformats.org/officeDocument/2006/relationships" ref="K178" r:id="rId490"/>
    <hyperlink xmlns:r="http://schemas.openxmlformats.org/officeDocument/2006/relationships" ref="I179" r:id="rId491"/>
    <hyperlink xmlns:r="http://schemas.openxmlformats.org/officeDocument/2006/relationships" ref="J179" r:id="rId492"/>
    <hyperlink xmlns:r="http://schemas.openxmlformats.org/officeDocument/2006/relationships" ref="K179" r:id="rId493"/>
    <hyperlink xmlns:r="http://schemas.openxmlformats.org/officeDocument/2006/relationships" ref="I180" r:id="rId494"/>
    <hyperlink xmlns:r="http://schemas.openxmlformats.org/officeDocument/2006/relationships" ref="J180" r:id="rId495"/>
    <hyperlink xmlns:r="http://schemas.openxmlformats.org/officeDocument/2006/relationships" ref="K180" r:id="rId496"/>
    <hyperlink xmlns:r="http://schemas.openxmlformats.org/officeDocument/2006/relationships" ref="I181" r:id="rId497"/>
    <hyperlink xmlns:r="http://schemas.openxmlformats.org/officeDocument/2006/relationships" ref="J181" r:id="rId498"/>
    <hyperlink xmlns:r="http://schemas.openxmlformats.org/officeDocument/2006/relationships" ref="K181" r:id="rId499"/>
    <hyperlink xmlns:r="http://schemas.openxmlformats.org/officeDocument/2006/relationships" ref="I182" r:id="rId500"/>
    <hyperlink xmlns:r="http://schemas.openxmlformats.org/officeDocument/2006/relationships" ref="J182" r:id="rId501"/>
    <hyperlink xmlns:r="http://schemas.openxmlformats.org/officeDocument/2006/relationships" ref="K182" r:id="rId502"/>
    <hyperlink xmlns:r="http://schemas.openxmlformats.org/officeDocument/2006/relationships" ref="I183" r:id="rId503"/>
    <hyperlink xmlns:r="http://schemas.openxmlformats.org/officeDocument/2006/relationships" ref="J183" r:id="rId504"/>
    <hyperlink xmlns:r="http://schemas.openxmlformats.org/officeDocument/2006/relationships" ref="K183" r:id="rId505"/>
    <hyperlink xmlns:r="http://schemas.openxmlformats.org/officeDocument/2006/relationships" ref="I184" r:id="rId506"/>
    <hyperlink xmlns:r="http://schemas.openxmlformats.org/officeDocument/2006/relationships" ref="J184" r:id="rId507"/>
    <hyperlink xmlns:r="http://schemas.openxmlformats.org/officeDocument/2006/relationships" ref="K184" r:id="rId508"/>
    <hyperlink xmlns:r="http://schemas.openxmlformats.org/officeDocument/2006/relationships" ref="I185" r:id="rId509"/>
    <hyperlink xmlns:r="http://schemas.openxmlformats.org/officeDocument/2006/relationships" ref="J185" r:id="rId510"/>
    <hyperlink xmlns:r="http://schemas.openxmlformats.org/officeDocument/2006/relationships" ref="K185" r:id="rId511"/>
    <hyperlink xmlns:r="http://schemas.openxmlformats.org/officeDocument/2006/relationships" ref="I186" r:id="rId512"/>
    <hyperlink xmlns:r="http://schemas.openxmlformats.org/officeDocument/2006/relationships" ref="J186" r:id="rId513"/>
    <hyperlink xmlns:r="http://schemas.openxmlformats.org/officeDocument/2006/relationships" ref="K186" r:id="rId514"/>
    <hyperlink xmlns:r="http://schemas.openxmlformats.org/officeDocument/2006/relationships" ref="I187" r:id="rId515"/>
    <hyperlink xmlns:r="http://schemas.openxmlformats.org/officeDocument/2006/relationships" ref="J187" r:id="rId516"/>
    <hyperlink xmlns:r="http://schemas.openxmlformats.org/officeDocument/2006/relationships" ref="K187" r:id="rId517"/>
    <hyperlink xmlns:r="http://schemas.openxmlformats.org/officeDocument/2006/relationships" ref="I188" r:id="rId518"/>
    <hyperlink xmlns:r="http://schemas.openxmlformats.org/officeDocument/2006/relationships" ref="J188" r:id="rId519"/>
    <hyperlink xmlns:r="http://schemas.openxmlformats.org/officeDocument/2006/relationships" ref="K188" r:id="rId520"/>
    <hyperlink xmlns:r="http://schemas.openxmlformats.org/officeDocument/2006/relationships" ref="I189" r:id="rId521"/>
    <hyperlink xmlns:r="http://schemas.openxmlformats.org/officeDocument/2006/relationships" ref="J189" r:id="rId522"/>
    <hyperlink xmlns:r="http://schemas.openxmlformats.org/officeDocument/2006/relationships" ref="K189" r:id="rId523"/>
    <hyperlink xmlns:r="http://schemas.openxmlformats.org/officeDocument/2006/relationships" ref="I190" r:id="rId524"/>
    <hyperlink xmlns:r="http://schemas.openxmlformats.org/officeDocument/2006/relationships" ref="J190" r:id="rId525"/>
    <hyperlink xmlns:r="http://schemas.openxmlformats.org/officeDocument/2006/relationships" ref="K190" r:id="rId526"/>
    <hyperlink xmlns:r="http://schemas.openxmlformats.org/officeDocument/2006/relationships" ref="I191" r:id="rId527"/>
    <hyperlink xmlns:r="http://schemas.openxmlformats.org/officeDocument/2006/relationships" ref="J191" r:id="rId528"/>
    <hyperlink xmlns:r="http://schemas.openxmlformats.org/officeDocument/2006/relationships" ref="K191" r:id="rId529"/>
    <hyperlink xmlns:r="http://schemas.openxmlformats.org/officeDocument/2006/relationships" ref="I192" r:id="rId530"/>
    <hyperlink xmlns:r="http://schemas.openxmlformats.org/officeDocument/2006/relationships" ref="J192" r:id="rId531"/>
    <hyperlink xmlns:r="http://schemas.openxmlformats.org/officeDocument/2006/relationships" ref="K192" r:id="rId532"/>
    <hyperlink xmlns:r="http://schemas.openxmlformats.org/officeDocument/2006/relationships" ref="I193" r:id="rId533"/>
    <hyperlink xmlns:r="http://schemas.openxmlformats.org/officeDocument/2006/relationships" ref="J193" r:id="rId534"/>
    <hyperlink xmlns:r="http://schemas.openxmlformats.org/officeDocument/2006/relationships" ref="K193" r:id="rId535"/>
    <hyperlink xmlns:r="http://schemas.openxmlformats.org/officeDocument/2006/relationships" ref="I194" r:id="rId536"/>
    <hyperlink xmlns:r="http://schemas.openxmlformats.org/officeDocument/2006/relationships" ref="J194" r:id="rId537"/>
    <hyperlink xmlns:r="http://schemas.openxmlformats.org/officeDocument/2006/relationships" ref="K194" r:id="rId538"/>
    <hyperlink xmlns:r="http://schemas.openxmlformats.org/officeDocument/2006/relationships" ref="I195" r:id="rId539"/>
    <hyperlink xmlns:r="http://schemas.openxmlformats.org/officeDocument/2006/relationships" ref="J195" r:id="rId540"/>
    <hyperlink xmlns:r="http://schemas.openxmlformats.org/officeDocument/2006/relationships" ref="K195" r:id="rId541"/>
    <hyperlink xmlns:r="http://schemas.openxmlformats.org/officeDocument/2006/relationships" ref="I196" r:id="rId542"/>
    <hyperlink xmlns:r="http://schemas.openxmlformats.org/officeDocument/2006/relationships" ref="J196" r:id="rId543"/>
    <hyperlink xmlns:r="http://schemas.openxmlformats.org/officeDocument/2006/relationships" ref="K196" r:id="rId544"/>
    <hyperlink xmlns:r="http://schemas.openxmlformats.org/officeDocument/2006/relationships" ref="I197" r:id="rId545"/>
    <hyperlink xmlns:r="http://schemas.openxmlformats.org/officeDocument/2006/relationships" ref="J197" r:id="rId546"/>
    <hyperlink xmlns:r="http://schemas.openxmlformats.org/officeDocument/2006/relationships" ref="K197" r:id="rId547"/>
    <hyperlink xmlns:r="http://schemas.openxmlformats.org/officeDocument/2006/relationships" ref="I198" r:id="rId548"/>
    <hyperlink xmlns:r="http://schemas.openxmlformats.org/officeDocument/2006/relationships" ref="J198" r:id="rId549"/>
    <hyperlink xmlns:r="http://schemas.openxmlformats.org/officeDocument/2006/relationships" ref="K198" r:id="rId550"/>
    <hyperlink xmlns:r="http://schemas.openxmlformats.org/officeDocument/2006/relationships" ref="I199" r:id="rId551"/>
    <hyperlink xmlns:r="http://schemas.openxmlformats.org/officeDocument/2006/relationships" ref="J199" r:id="rId552"/>
    <hyperlink xmlns:r="http://schemas.openxmlformats.org/officeDocument/2006/relationships" ref="K199" r:id="rId553"/>
    <hyperlink xmlns:r="http://schemas.openxmlformats.org/officeDocument/2006/relationships" ref="I200" r:id="rId554"/>
    <hyperlink xmlns:r="http://schemas.openxmlformats.org/officeDocument/2006/relationships" ref="J200" r:id="rId555"/>
    <hyperlink xmlns:r="http://schemas.openxmlformats.org/officeDocument/2006/relationships" ref="K200" r:id="rId556"/>
    <hyperlink xmlns:r="http://schemas.openxmlformats.org/officeDocument/2006/relationships" ref="I201" r:id="rId557"/>
    <hyperlink xmlns:r="http://schemas.openxmlformats.org/officeDocument/2006/relationships" ref="J201" r:id="rId558"/>
    <hyperlink xmlns:r="http://schemas.openxmlformats.org/officeDocument/2006/relationships" ref="K201" r:id="rId559"/>
    <hyperlink xmlns:r="http://schemas.openxmlformats.org/officeDocument/2006/relationships" ref="I202" r:id="rId560"/>
    <hyperlink xmlns:r="http://schemas.openxmlformats.org/officeDocument/2006/relationships" ref="J202" r:id="rId561"/>
    <hyperlink xmlns:r="http://schemas.openxmlformats.org/officeDocument/2006/relationships" ref="K202" r:id="rId562"/>
    <hyperlink xmlns:r="http://schemas.openxmlformats.org/officeDocument/2006/relationships" ref="I203" r:id="rId563"/>
    <hyperlink xmlns:r="http://schemas.openxmlformats.org/officeDocument/2006/relationships" ref="J203" r:id="rId564"/>
    <hyperlink xmlns:r="http://schemas.openxmlformats.org/officeDocument/2006/relationships" ref="K203" r:id="rId565"/>
    <hyperlink xmlns:r="http://schemas.openxmlformats.org/officeDocument/2006/relationships" ref="I204" r:id="rId566"/>
    <hyperlink xmlns:r="http://schemas.openxmlformats.org/officeDocument/2006/relationships" ref="J204" r:id="rId567"/>
    <hyperlink xmlns:r="http://schemas.openxmlformats.org/officeDocument/2006/relationships" ref="K204" r:id="rId568"/>
    <hyperlink xmlns:r="http://schemas.openxmlformats.org/officeDocument/2006/relationships" ref="I205" r:id="rId569"/>
    <hyperlink xmlns:r="http://schemas.openxmlformats.org/officeDocument/2006/relationships" ref="J205" r:id="rId570"/>
    <hyperlink xmlns:r="http://schemas.openxmlformats.org/officeDocument/2006/relationships" ref="K205" r:id="rId571"/>
    <hyperlink xmlns:r="http://schemas.openxmlformats.org/officeDocument/2006/relationships" ref="I206" r:id="rId572"/>
    <hyperlink xmlns:r="http://schemas.openxmlformats.org/officeDocument/2006/relationships" ref="J206" r:id="rId573"/>
    <hyperlink xmlns:r="http://schemas.openxmlformats.org/officeDocument/2006/relationships" ref="K206" r:id="rId574"/>
    <hyperlink xmlns:r="http://schemas.openxmlformats.org/officeDocument/2006/relationships" ref="I207" r:id="rId575"/>
    <hyperlink xmlns:r="http://schemas.openxmlformats.org/officeDocument/2006/relationships" ref="J207" r:id="rId576"/>
    <hyperlink xmlns:r="http://schemas.openxmlformats.org/officeDocument/2006/relationships" ref="K207" r:id="rId577"/>
    <hyperlink xmlns:r="http://schemas.openxmlformats.org/officeDocument/2006/relationships" ref="I208" r:id="rId578"/>
    <hyperlink xmlns:r="http://schemas.openxmlformats.org/officeDocument/2006/relationships" ref="J208" r:id="rId579"/>
    <hyperlink xmlns:r="http://schemas.openxmlformats.org/officeDocument/2006/relationships" ref="K208" r:id="rId580"/>
    <hyperlink xmlns:r="http://schemas.openxmlformats.org/officeDocument/2006/relationships" ref="I209" r:id="rId581"/>
    <hyperlink xmlns:r="http://schemas.openxmlformats.org/officeDocument/2006/relationships" ref="J209" r:id="rId582"/>
    <hyperlink xmlns:r="http://schemas.openxmlformats.org/officeDocument/2006/relationships" ref="K209" r:id="rId583"/>
    <hyperlink xmlns:r="http://schemas.openxmlformats.org/officeDocument/2006/relationships" ref="I210" r:id="rId584"/>
    <hyperlink xmlns:r="http://schemas.openxmlformats.org/officeDocument/2006/relationships" ref="J210" r:id="rId585"/>
    <hyperlink xmlns:r="http://schemas.openxmlformats.org/officeDocument/2006/relationships" ref="K210" r:id="rId586"/>
    <hyperlink xmlns:r="http://schemas.openxmlformats.org/officeDocument/2006/relationships" ref="I211" r:id="rId587"/>
    <hyperlink xmlns:r="http://schemas.openxmlformats.org/officeDocument/2006/relationships" ref="J211" r:id="rId588"/>
    <hyperlink xmlns:r="http://schemas.openxmlformats.org/officeDocument/2006/relationships" ref="K211" r:id="rId589"/>
    <hyperlink xmlns:r="http://schemas.openxmlformats.org/officeDocument/2006/relationships" ref="I212" r:id="rId590"/>
    <hyperlink xmlns:r="http://schemas.openxmlformats.org/officeDocument/2006/relationships" ref="J212" r:id="rId591"/>
    <hyperlink xmlns:r="http://schemas.openxmlformats.org/officeDocument/2006/relationships" ref="K212" r:id="rId592"/>
    <hyperlink xmlns:r="http://schemas.openxmlformats.org/officeDocument/2006/relationships" ref="I213" r:id="rId593"/>
    <hyperlink xmlns:r="http://schemas.openxmlformats.org/officeDocument/2006/relationships" ref="J213" r:id="rId594"/>
    <hyperlink xmlns:r="http://schemas.openxmlformats.org/officeDocument/2006/relationships" ref="K213" r:id="rId595"/>
    <hyperlink xmlns:r="http://schemas.openxmlformats.org/officeDocument/2006/relationships" ref="I214" r:id="rId596"/>
    <hyperlink xmlns:r="http://schemas.openxmlformats.org/officeDocument/2006/relationships" ref="J214" r:id="rId597"/>
    <hyperlink xmlns:r="http://schemas.openxmlformats.org/officeDocument/2006/relationships" ref="K214" r:id="rId598"/>
    <hyperlink xmlns:r="http://schemas.openxmlformats.org/officeDocument/2006/relationships" ref="I215" r:id="rId599"/>
    <hyperlink xmlns:r="http://schemas.openxmlformats.org/officeDocument/2006/relationships" ref="J215" r:id="rId600"/>
    <hyperlink xmlns:r="http://schemas.openxmlformats.org/officeDocument/2006/relationships" ref="K215" r:id="rId601"/>
    <hyperlink xmlns:r="http://schemas.openxmlformats.org/officeDocument/2006/relationships" ref="I216" r:id="rId602"/>
    <hyperlink xmlns:r="http://schemas.openxmlformats.org/officeDocument/2006/relationships" ref="J216" r:id="rId603"/>
    <hyperlink xmlns:r="http://schemas.openxmlformats.org/officeDocument/2006/relationships" ref="K216" r:id="rId604"/>
    <hyperlink xmlns:r="http://schemas.openxmlformats.org/officeDocument/2006/relationships" ref="I217" r:id="rId605"/>
    <hyperlink xmlns:r="http://schemas.openxmlformats.org/officeDocument/2006/relationships" ref="J217" r:id="rId606"/>
    <hyperlink xmlns:r="http://schemas.openxmlformats.org/officeDocument/2006/relationships" ref="K217" r:id="rId607"/>
    <hyperlink xmlns:r="http://schemas.openxmlformats.org/officeDocument/2006/relationships" ref="I218" r:id="rId608"/>
    <hyperlink xmlns:r="http://schemas.openxmlformats.org/officeDocument/2006/relationships" ref="J218" r:id="rId609"/>
    <hyperlink xmlns:r="http://schemas.openxmlformats.org/officeDocument/2006/relationships" ref="K218" r:id="rId610"/>
    <hyperlink xmlns:r="http://schemas.openxmlformats.org/officeDocument/2006/relationships" ref="I219" r:id="rId611"/>
    <hyperlink xmlns:r="http://schemas.openxmlformats.org/officeDocument/2006/relationships" ref="J219" r:id="rId612"/>
    <hyperlink xmlns:r="http://schemas.openxmlformats.org/officeDocument/2006/relationships" ref="K219" r:id="rId613"/>
    <hyperlink xmlns:r="http://schemas.openxmlformats.org/officeDocument/2006/relationships" ref="I220" r:id="rId614"/>
    <hyperlink xmlns:r="http://schemas.openxmlformats.org/officeDocument/2006/relationships" ref="J220" r:id="rId615"/>
    <hyperlink xmlns:r="http://schemas.openxmlformats.org/officeDocument/2006/relationships" ref="K220" r:id="rId616"/>
    <hyperlink xmlns:r="http://schemas.openxmlformats.org/officeDocument/2006/relationships" ref="I221" r:id="rId617"/>
    <hyperlink xmlns:r="http://schemas.openxmlformats.org/officeDocument/2006/relationships" ref="J221" r:id="rId618"/>
    <hyperlink xmlns:r="http://schemas.openxmlformats.org/officeDocument/2006/relationships" ref="K221" r:id="rId619"/>
    <hyperlink xmlns:r="http://schemas.openxmlformats.org/officeDocument/2006/relationships" ref="I222" r:id="rId620"/>
    <hyperlink xmlns:r="http://schemas.openxmlformats.org/officeDocument/2006/relationships" ref="J222" r:id="rId621"/>
    <hyperlink xmlns:r="http://schemas.openxmlformats.org/officeDocument/2006/relationships" ref="K222" r:id="rId622"/>
    <hyperlink xmlns:r="http://schemas.openxmlformats.org/officeDocument/2006/relationships" ref="I223" r:id="rId623"/>
    <hyperlink xmlns:r="http://schemas.openxmlformats.org/officeDocument/2006/relationships" ref="J223" r:id="rId624"/>
    <hyperlink xmlns:r="http://schemas.openxmlformats.org/officeDocument/2006/relationships" ref="K223" r:id="rId625"/>
    <hyperlink xmlns:r="http://schemas.openxmlformats.org/officeDocument/2006/relationships" ref="I224" r:id="rId626"/>
    <hyperlink xmlns:r="http://schemas.openxmlformats.org/officeDocument/2006/relationships" ref="J224" r:id="rId627"/>
    <hyperlink xmlns:r="http://schemas.openxmlformats.org/officeDocument/2006/relationships" ref="K224" r:id="rId628"/>
    <hyperlink xmlns:r="http://schemas.openxmlformats.org/officeDocument/2006/relationships" ref="I225" r:id="rId629"/>
    <hyperlink xmlns:r="http://schemas.openxmlformats.org/officeDocument/2006/relationships" ref="J225" r:id="rId630"/>
    <hyperlink xmlns:r="http://schemas.openxmlformats.org/officeDocument/2006/relationships" ref="K225" r:id="rId631"/>
    <hyperlink xmlns:r="http://schemas.openxmlformats.org/officeDocument/2006/relationships" ref="I226" r:id="rId632"/>
    <hyperlink xmlns:r="http://schemas.openxmlformats.org/officeDocument/2006/relationships" ref="J226" r:id="rId633"/>
    <hyperlink xmlns:r="http://schemas.openxmlformats.org/officeDocument/2006/relationships" ref="K226" r:id="rId634"/>
    <hyperlink xmlns:r="http://schemas.openxmlformats.org/officeDocument/2006/relationships" ref="I227" r:id="rId635"/>
    <hyperlink xmlns:r="http://schemas.openxmlformats.org/officeDocument/2006/relationships" ref="J227" r:id="rId636"/>
    <hyperlink xmlns:r="http://schemas.openxmlformats.org/officeDocument/2006/relationships" ref="K227" r:id="rId637"/>
    <hyperlink xmlns:r="http://schemas.openxmlformats.org/officeDocument/2006/relationships" ref="I228" r:id="rId638"/>
    <hyperlink xmlns:r="http://schemas.openxmlformats.org/officeDocument/2006/relationships" ref="J228" r:id="rId639"/>
    <hyperlink xmlns:r="http://schemas.openxmlformats.org/officeDocument/2006/relationships" ref="K228" r:id="rId640"/>
    <hyperlink xmlns:r="http://schemas.openxmlformats.org/officeDocument/2006/relationships" ref="I229" r:id="rId641"/>
    <hyperlink xmlns:r="http://schemas.openxmlformats.org/officeDocument/2006/relationships" ref="J229" r:id="rId642"/>
    <hyperlink xmlns:r="http://schemas.openxmlformats.org/officeDocument/2006/relationships" ref="K229" r:id="rId643"/>
    <hyperlink xmlns:r="http://schemas.openxmlformats.org/officeDocument/2006/relationships" ref="I230" r:id="rId644"/>
    <hyperlink xmlns:r="http://schemas.openxmlformats.org/officeDocument/2006/relationships" ref="J230" r:id="rId645"/>
    <hyperlink xmlns:r="http://schemas.openxmlformats.org/officeDocument/2006/relationships" ref="K230" r:id="rId646"/>
    <hyperlink xmlns:r="http://schemas.openxmlformats.org/officeDocument/2006/relationships" ref="I231" r:id="rId647"/>
    <hyperlink xmlns:r="http://schemas.openxmlformats.org/officeDocument/2006/relationships" ref="J231" r:id="rId648"/>
    <hyperlink xmlns:r="http://schemas.openxmlformats.org/officeDocument/2006/relationships" ref="K231" r:id="rId649"/>
    <hyperlink xmlns:r="http://schemas.openxmlformats.org/officeDocument/2006/relationships" ref="I232" r:id="rId650"/>
    <hyperlink xmlns:r="http://schemas.openxmlformats.org/officeDocument/2006/relationships" ref="J232" r:id="rId651"/>
    <hyperlink xmlns:r="http://schemas.openxmlformats.org/officeDocument/2006/relationships" ref="K232" r:id="rId652"/>
    <hyperlink xmlns:r="http://schemas.openxmlformats.org/officeDocument/2006/relationships" ref="I233" r:id="rId653"/>
    <hyperlink xmlns:r="http://schemas.openxmlformats.org/officeDocument/2006/relationships" ref="J233" r:id="rId654"/>
    <hyperlink xmlns:r="http://schemas.openxmlformats.org/officeDocument/2006/relationships" ref="K233" r:id="rId655"/>
    <hyperlink xmlns:r="http://schemas.openxmlformats.org/officeDocument/2006/relationships" ref="I234" r:id="rId656"/>
    <hyperlink xmlns:r="http://schemas.openxmlformats.org/officeDocument/2006/relationships" ref="J234" r:id="rId657"/>
    <hyperlink xmlns:r="http://schemas.openxmlformats.org/officeDocument/2006/relationships" ref="I235" r:id="rId658"/>
    <hyperlink xmlns:r="http://schemas.openxmlformats.org/officeDocument/2006/relationships" ref="J235" r:id="rId659"/>
    <hyperlink xmlns:r="http://schemas.openxmlformats.org/officeDocument/2006/relationships" ref="I236" r:id="rId660"/>
    <hyperlink xmlns:r="http://schemas.openxmlformats.org/officeDocument/2006/relationships" ref="J236" r:id="rId661"/>
    <hyperlink xmlns:r="http://schemas.openxmlformats.org/officeDocument/2006/relationships" ref="I237" r:id="rId662"/>
    <hyperlink xmlns:r="http://schemas.openxmlformats.org/officeDocument/2006/relationships" ref="J237" r:id="rId663"/>
    <hyperlink xmlns:r="http://schemas.openxmlformats.org/officeDocument/2006/relationships" ref="I238" r:id="rId664"/>
    <hyperlink xmlns:r="http://schemas.openxmlformats.org/officeDocument/2006/relationships" ref="J238" r:id="rId665"/>
    <hyperlink xmlns:r="http://schemas.openxmlformats.org/officeDocument/2006/relationships" ref="I239" r:id="rId666"/>
    <hyperlink xmlns:r="http://schemas.openxmlformats.org/officeDocument/2006/relationships" ref="J239" r:id="rId667"/>
    <hyperlink xmlns:r="http://schemas.openxmlformats.org/officeDocument/2006/relationships" ref="I240" r:id="rId668"/>
    <hyperlink xmlns:r="http://schemas.openxmlformats.org/officeDocument/2006/relationships" ref="J240" r:id="rId669"/>
    <hyperlink xmlns:r="http://schemas.openxmlformats.org/officeDocument/2006/relationships" ref="I241" r:id="rId670"/>
    <hyperlink xmlns:r="http://schemas.openxmlformats.org/officeDocument/2006/relationships" ref="J241" r:id="rId671"/>
    <hyperlink xmlns:r="http://schemas.openxmlformats.org/officeDocument/2006/relationships" ref="I242" r:id="rId672"/>
    <hyperlink xmlns:r="http://schemas.openxmlformats.org/officeDocument/2006/relationships" ref="J242" r:id="rId673"/>
    <hyperlink xmlns:r="http://schemas.openxmlformats.org/officeDocument/2006/relationships" ref="I243" r:id="rId674"/>
    <hyperlink xmlns:r="http://schemas.openxmlformats.org/officeDocument/2006/relationships" ref="J243" r:id="rId675"/>
    <hyperlink xmlns:r="http://schemas.openxmlformats.org/officeDocument/2006/relationships" ref="K243" r:id="rId676"/>
    <hyperlink xmlns:r="http://schemas.openxmlformats.org/officeDocument/2006/relationships" ref="I244" r:id="rId677"/>
    <hyperlink xmlns:r="http://schemas.openxmlformats.org/officeDocument/2006/relationships" ref="J244" r:id="rId678"/>
    <hyperlink xmlns:r="http://schemas.openxmlformats.org/officeDocument/2006/relationships" ref="K244" r:id="rId679"/>
    <hyperlink xmlns:r="http://schemas.openxmlformats.org/officeDocument/2006/relationships" ref="I245" r:id="rId680"/>
    <hyperlink xmlns:r="http://schemas.openxmlformats.org/officeDocument/2006/relationships" ref="J245" r:id="rId681"/>
    <hyperlink xmlns:r="http://schemas.openxmlformats.org/officeDocument/2006/relationships" ref="K245" r:id="rId682"/>
    <hyperlink xmlns:r="http://schemas.openxmlformats.org/officeDocument/2006/relationships" ref="I246" r:id="rId683"/>
    <hyperlink xmlns:r="http://schemas.openxmlformats.org/officeDocument/2006/relationships" ref="J246" r:id="rId684"/>
    <hyperlink xmlns:r="http://schemas.openxmlformats.org/officeDocument/2006/relationships" ref="K246" r:id="rId685"/>
    <hyperlink xmlns:r="http://schemas.openxmlformats.org/officeDocument/2006/relationships" ref="I247" r:id="rId686"/>
    <hyperlink xmlns:r="http://schemas.openxmlformats.org/officeDocument/2006/relationships" ref="J247" r:id="rId687"/>
    <hyperlink xmlns:r="http://schemas.openxmlformats.org/officeDocument/2006/relationships" ref="K247" r:id="rId688"/>
    <hyperlink xmlns:r="http://schemas.openxmlformats.org/officeDocument/2006/relationships" ref="I248" r:id="rId689"/>
    <hyperlink xmlns:r="http://schemas.openxmlformats.org/officeDocument/2006/relationships" ref="J248" r:id="rId690"/>
    <hyperlink xmlns:r="http://schemas.openxmlformats.org/officeDocument/2006/relationships" ref="K248" r:id="rId691"/>
    <hyperlink xmlns:r="http://schemas.openxmlformats.org/officeDocument/2006/relationships" ref="I249" r:id="rId692"/>
    <hyperlink xmlns:r="http://schemas.openxmlformats.org/officeDocument/2006/relationships" ref="J249" r:id="rId693"/>
    <hyperlink xmlns:r="http://schemas.openxmlformats.org/officeDocument/2006/relationships" ref="K249" r:id="rId694"/>
    <hyperlink xmlns:r="http://schemas.openxmlformats.org/officeDocument/2006/relationships" ref="I250" r:id="rId695"/>
    <hyperlink xmlns:r="http://schemas.openxmlformats.org/officeDocument/2006/relationships" ref="J250" r:id="rId696"/>
    <hyperlink xmlns:r="http://schemas.openxmlformats.org/officeDocument/2006/relationships" ref="K250" r:id="rId697"/>
    <hyperlink xmlns:r="http://schemas.openxmlformats.org/officeDocument/2006/relationships" ref="I251" r:id="rId698"/>
    <hyperlink xmlns:r="http://schemas.openxmlformats.org/officeDocument/2006/relationships" ref="J251" r:id="rId699"/>
    <hyperlink xmlns:r="http://schemas.openxmlformats.org/officeDocument/2006/relationships" ref="K251" r:id="rId700"/>
    <hyperlink xmlns:r="http://schemas.openxmlformats.org/officeDocument/2006/relationships" ref="I252" r:id="rId701"/>
    <hyperlink xmlns:r="http://schemas.openxmlformats.org/officeDocument/2006/relationships" ref="J252" r:id="rId702"/>
    <hyperlink xmlns:r="http://schemas.openxmlformats.org/officeDocument/2006/relationships" ref="K252" r:id="rId703"/>
    <hyperlink xmlns:r="http://schemas.openxmlformats.org/officeDocument/2006/relationships" ref="I253" r:id="rId704"/>
    <hyperlink xmlns:r="http://schemas.openxmlformats.org/officeDocument/2006/relationships" ref="J253" r:id="rId705"/>
    <hyperlink xmlns:r="http://schemas.openxmlformats.org/officeDocument/2006/relationships" ref="I254" r:id="rId706"/>
    <hyperlink xmlns:r="http://schemas.openxmlformats.org/officeDocument/2006/relationships" ref="J254" r:id="rId707"/>
    <hyperlink xmlns:r="http://schemas.openxmlformats.org/officeDocument/2006/relationships" ref="I255" r:id="rId708"/>
    <hyperlink xmlns:r="http://schemas.openxmlformats.org/officeDocument/2006/relationships" ref="J255" r:id="rId709"/>
    <hyperlink xmlns:r="http://schemas.openxmlformats.org/officeDocument/2006/relationships" ref="I256" r:id="rId710"/>
    <hyperlink xmlns:r="http://schemas.openxmlformats.org/officeDocument/2006/relationships" ref="J256" r:id="rId711"/>
    <hyperlink xmlns:r="http://schemas.openxmlformats.org/officeDocument/2006/relationships" ref="I257" r:id="rId712"/>
    <hyperlink xmlns:r="http://schemas.openxmlformats.org/officeDocument/2006/relationships" ref="J257" r:id="rId713"/>
    <hyperlink xmlns:r="http://schemas.openxmlformats.org/officeDocument/2006/relationships" ref="I258" r:id="rId714"/>
    <hyperlink xmlns:r="http://schemas.openxmlformats.org/officeDocument/2006/relationships" ref="J258" r:id="rId715"/>
    <hyperlink xmlns:r="http://schemas.openxmlformats.org/officeDocument/2006/relationships" ref="K258" r:id="rId716"/>
    <hyperlink xmlns:r="http://schemas.openxmlformats.org/officeDocument/2006/relationships" ref="I259" r:id="rId717"/>
    <hyperlink xmlns:r="http://schemas.openxmlformats.org/officeDocument/2006/relationships" ref="J259" r:id="rId718"/>
    <hyperlink xmlns:r="http://schemas.openxmlformats.org/officeDocument/2006/relationships" ref="K259" r:id="rId719"/>
    <hyperlink xmlns:r="http://schemas.openxmlformats.org/officeDocument/2006/relationships" ref="I260" r:id="rId720"/>
    <hyperlink xmlns:r="http://schemas.openxmlformats.org/officeDocument/2006/relationships" ref="J260" r:id="rId721"/>
    <hyperlink xmlns:r="http://schemas.openxmlformats.org/officeDocument/2006/relationships" ref="K260" r:id="rId722"/>
    <hyperlink xmlns:r="http://schemas.openxmlformats.org/officeDocument/2006/relationships" ref="I261" r:id="rId723"/>
    <hyperlink xmlns:r="http://schemas.openxmlformats.org/officeDocument/2006/relationships" ref="J261" r:id="rId724"/>
    <hyperlink xmlns:r="http://schemas.openxmlformats.org/officeDocument/2006/relationships" ref="K261" r:id="rId725"/>
    <hyperlink xmlns:r="http://schemas.openxmlformats.org/officeDocument/2006/relationships" ref="I262" r:id="rId726"/>
    <hyperlink xmlns:r="http://schemas.openxmlformats.org/officeDocument/2006/relationships" ref="J262" r:id="rId727"/>
    <hyperlink xmlns:r="http://schemas.openxmlformats.org/officeDocument/2006/relationships" ref="K262" r:id="rId728"/>
    <hyperlink xmlns:r="http://schemas.openxmlformats.org/officeDocument/2006/relationships" ref="I263" r:id="rId729"/>
    <hyperlink xmlns:r="http://schemas.openxmlformats.org/officeDocument/2006/relationships" ref="J263" r:id="rId730"/>
    <hyperlink xmlns:r="http://schemas.openxmlformats.org/officeDocument/2006/relationships" ref="K263" r:id="rId731"/>
    <hyperlink xmlns:r="http://schemas.openxmlformats.org/officeDocument/2006/relationships" ref="I264" r:id="rId732"/>
    <hyperlink xmlns:r="http://schemas.openxmlformats.org/officeDocument/2006/relationships" ref="J264" r:id="rId733"/>
    <hyperlink xmlns:r="http://schemas.openxmlformats.org/officeDocument/2006/relationships" ref="K264" r:id="rId734"/>
    <hyperlink xmlns:r="http://schemas.openxmlformats.org/officeDocument/2006/relationships" ref="I265" r:id="rId735"/>
    <hyperlink xmlns:r="http://schemas.openxmlformats.org/officeDocument/2006/relationships" ref="J265" r:id="rId736"/>
    <hyperlink xmlns:r="http://schemas.openxmlformats.org/officeDocument/2006/relationships" ref="K265" r:id="rId737"/>
    <hyperlink xmlns:r="http://schemas.openxmlformats.org/officeDocument/2006/relationships" ref="I266" r:id="rId738"/>
    <hyperlink xmlns:r="http://schemas.openxmlformats.org/officeDocument/2006/relationships" ref="J266" r:id="rId739"/>
    <hyperlink xmlns:r="http://schemas.openxmlformats.org/officeDocument/2006/relationships" ref="K266" r:id="rId740"/>
    <hyperlink xmlns:r="http://schemas.openxmlformats.org/officeDocument/2006/relationships" ref="I267" r:id="rId741"/>
    <hyperlink xmlns:r="http://schemas.openxmlformats.org/officeDocument/2006/relationships" ref="J267" r:id="rId742"/>
    <hyperlink xmlns:r="http://schemas.openxmlformats.org/officeDocument/2006/relationships" ref="K267" r:id="rId743"/>
    <hyperlink xmlns:r="http://schemas.openxmlformats.org/officeDocument/2006/relationships" ref="I268" r:id="rId744"/>
    <hyperlink xmlns:r="http://schemas.openxmlformats.org/officeDocument/2006/relationships" ref="J268" r:id="rId745"/>
    <hyperlink xmlns:r="http://schemas.openxmlformats.org/officeDocument/2006/relationships" ref="K268" r:id="rId746"/>
    <hyperlink xmlns:r="http://schemas.openxmlformats.org/officeDocument/2006/relationships" ref="I269" r:id="rId747"/>
    <hyperlink xmlns:r="http://schemas.openxmlformats.org/officeDocument/2006/relationships" ref="J269" r:id="rId748"/>
    <hyperlink xmlns:r="http://schemas.openxmlformats.org/officeDocument/2006/relationships" ref="K269" r:id="rId749"/>
    <hyperlink xmlns:r="http://schemas.openxmlformats.org/officeDocument/2006/relationships" ref="I270" r:id="rId750"/>
    <hyperlink xmlns:r="http://schemas.openxmlformats.org/officeDocument/2006/relationships" ref="J270" r:id="rId751"/>
    <hyperlink xmlns:r="http://schemas.openxmlformats.org/officeDocument/2006/relationships" ref="K270" r:id="rId752"/>
    <hyperlink xmlns:r="http://schemas.openxmlformats.org/officeDocument/2006/relationships" ref="I271" r:id="rId753"/>
    <hyperlink xmlns:r="http://schemas.openxmlformats.org/officeDocument/2006/relationships" ref="J271" r:id="rId754"/>
    <hyperlink xmlns:r="http://schemas.openxmlformats.org/officeDocument/2006/relationships" ref="K271" r:id="rId755"/>
    <hyperlink xmlns:r="http://schemas.openxmlformats.org/officeDocument/2006/relationships" ref="I272" r:id="rId756"/>
    <hyperlink xmlns:r="http://schemas.openxmlformats.org/officeDocument/2006/relationships" ref="J272" r:id="rId757"/>
    <hyperlink xmlns:r="http://schemas.openxmlformats.org/officeDocument/2006/relationships" ref="K272" r:id="rId758"/>
    <hyperlink xmlns:r="http://schemas.openxmlformats.org/officeDocument/2006/relationships" ref="I273" r:id="rId759"/>
    <hyperlink xmlns:r="http://schemas.openxmlformats.org/officeDocument/2006/relationships" ref="J273" r:id="rId760"/>
    <hyperlink xmlns:r="http://schemas.openxmlformats.org/officeDocument/2006/relationships" ref="K273" r:id="rId761"/>
    <hyperlink xmlns:r="http://schemas.openxmlformats.org/officeDocument/2006/relationships" ref="I274" r:id="rId762"/>
    <hyperlink xmlns:r="http://schemas.openxmlformats.org/officeDocument/2006/relationships" ref="J274" r:id="rId763"/>
    <hyperlink xmlns:r="http://schemas.openxmlformats.org/officeDocument/2006/relationships" ref="K274" r:id="rId764"/>
    <hyperlink xmlns:r="http://schemas.openxmlformats.org/officeDocument/2006/relationships" ref="I275" r:id="rId765"/>
    <hyperlink xmlns:r="http://schemas.openxmlformats.org/officeDocument/2006/relationships" ref="J275" r:id="rId766"/>
    <hyperlink xmlns:r="http://schemas.openxmlformats.org/officeDocument/2006/relationships" ref="K275" r:id="rId767"/>
    <hyperlink xmlns:r="http://schemas.openxmlformats.org/officeDocument/2006/relationships" ref="I276" r:id="rId768"/>
    <hyperlink xmlns:r="http://schemas.openxmlformats.org/officeDocument/2006/relationships" ref="J276" r:id="rId769"/>
    <hyperlink xmlns:r="http://schemas.openxmlformats.org/officeDocument/2006/relationships" ref="K276" r:id="rId770"/>
    <hyperlink xmlns:r="http://schemas.openxmlformats.org/officeDocument/2006/relationships" ref="I277" r:id="rId771"/>
    <hyperlink xmlns:r="http://schemas.openxmlformats.org/officeDocument/2006/relationships" ref="J277" r:id="rId772"/>
    <hyperlink xmlns:r="http://schemas.openxmlformats.org/officeDocument/2006/relationships" ref="K277" r:id="rId773"/>
    <hyperlink xmlns:r="http://schemas.openxmlformats.org/officeDocument/2006/relationships" ref="I278" r:id="rId774"/>
    <hyperlink xmlns:r="http://schemas.openxmlformats.org/officeDocument/2006/relationships" ref="J278" r:id="rId775"/>
    <hyperlink xmlns:r="http://schemas.openxmlformats.org/officeDocument/2006/relationships" ref="K278" r:id="rId776"/>
    <hyperlink xmlns:r="http://schemas.openxmlformats.org/officeDocument/2006/relationships" ref="I279" r:id="rId777"/>
    <hyperlink xmlns:r="http://schemas.openxmlformats.org/officeDocument/2006/relationships" ref="J279" r:id="rId778"/>
    <hyperlink xmlns:r="http://schemas.openxmlformats.org/officeDocument/2006/relationships" ref="K279" r:id="rId779"/>
    <hyperlink xmlns:r="http://schemas.openxmlformats.org/officeDocument/2006/relationships" ref="I280" r:id="rId780"/>
    <hyperlink xmlns:r="http://schemas.openxmlformats.org/officeDocument/2006/relationships" ref="J280" r:id="rId781"/>
    <hyperlink xmlns:r="http://schemas.openxmlformats.org/officeDocument/2006/relationships" ref="K280" r:id="rId782"/>
    <hyperlink xmlns:r="http://schemas.openxmlformats.org/officeDocument/2006/relationships" ref="I281" r:id="rId783"/>
    <hyperlink xmlns:r="http://schemas.openxmlformats.org/officeDocument/2006/relationships" ref="J281" r:id="rId784"/>
    <hyperlink xmlns:r="http://schemas.openxmlformats.org/officeDocument/2006/relationships" ref="K281" r:id="rId785"/>
    <hyperlink xmlns:r="http://schemas.openxmlformats.org/officeDocument/2006/relationships" ref="I282" r:id="rId786"/>
    <hyperlink xmlns:r="http://schemas.openxmlformats.org/officeDocument/2006/relationships" ref="J282" r:id="rId787"/>
    <hyperlink xmlns:r="http://schemas.openxmlformats.org/officeDocument/2006/relationships" ref="K282" r:id="rId788"/>
    <hyperlink xmlns:r="http://schemas.openxmlformats.org/officeDocument/2006/relationships" ref="I283" r:id="rId789"/>
    <hyperlink xmlns:r="http://schemas.openxmlformats.org/officeDocument/2006/relationships" ref="J283" r:id="rId790"/>
    <hyperlink xmlns:r="http://schemas.openxmlformats.org/officeDocument/2006/relationships" ref="K283" r:id="rId791"/>
    <hyperlink xmlns:r="http://schemas.openxmlformats.org/officeDocument/2006/relationships" ref="I284" r:id="rId792"/>
    <hyperlink xmlns:r="http://schemas.openxmlformats.org/officeDocument/2006/relationships" ref="J284" r:id="rId793"/>
    <hyperlink xmlns:r="http://schemas.openxmlformats.org/officeDocument/2006/relationships" ref="K284" r:id="rId794"/>
    <hyperlink xmlns:r="http://schemas.openxmlformats.org/officeDocument/2006/relationships" ref="I285" r:id="rId795"/>
    <hyperlink xmlns:r="http://schemas.openxmlformats.org/officeDocument/2006/relationships" ref="J285" r:id="rId796"/>
    <hyperlink xmlns:r="http://schemas.openxmlformats.org/officeDocument/2006/relationships" ref="K285" r:id="rId797"/>
    <hyperlink xmlns:r="http://schemas.openxmlformats.org/officeDocument/2006/relationships" ref="I286" r:id="rId798"/>
    <hyperlink xmlns:r="http://schemas.openxmlformats.org/officeDocument/2006/relationships" ref="J286" r:id="rId799"/>
    <hyperlink xmlns:r="http://schemas.openxmlformats.org/officeDocument/2006/relationships" ref="K286" r:id="rId800"/>
    <hyperlink xmlns:r="http://schemas.openxmlformats.org/officeDocument/2006/relationships" ref="I287" r:id="rId801"/>
    <hyperlink xmlns:r="http://schemas.openxmlformats.org/officeDocument/2006/relationships" ref="J287" r:id="rId802"/>
    <hyperlink xmlns:r="http://schemas.openxmlformats.org/officeDocument/2006/relationships" ref="K287" r:id="rId803"/>
    <hyperlink xmlns:r="http://schemas.openxmlformats.org/officeDocument/2006/relationships" ref="I288" r:id="rId804"/>
    <hyperlink xmlns:r="http://schemas.openxmlformats.org/officeDocument/2006/relationships" ref="J288" r:id="rId805"/>
    <hyperlink xmlns:r="http://schemas.openxmlformats.org/officeDocument/2006/relationships" ref="K288" r:id="rId806"/>
    <hyperlink xmlns:r="http://schemas.openxmlformats.org/officeDocument/2006/relationships" ref="I289" r:id="rId807"/>
    <hyperlink xmlns:r="http://schemas.openxmlformats.org/officeDocument/2006/relationships" ref="J289" r:id="rId808"/>
    <hyperlink xmlns:r="http://schemas.openxmlformats.org/officeDocument/2006/relationships" ref="K289" r:id="rId809"/>
    <hyperlink xmlns:r="http://schemas.openxmlformats.org/officeDocument/2006/relationships" ref="I290" r:id="rId810"/>
    <hyperlink xmlns:r="http://schemas.openxmlformats.org/officeDocument/2006/relationships" ref="J290" r:id="rId811"/>
    <hyperlink xmlns:r="http://schemas.openxmlformats.org/officeDocument/2006/relationships" ref="K290" r:id="rId812"/>
    <hyperlink xmlns:r="http://schemas.openxmlformats.org/officeDocument/2006/relationships" ref="I291" r:id="rId813"/>
    <hyperlink xmlns:r="http://schemas.openxmlformats.org/officeDocument/2006/relationships" ref="J291" r:id="rId814"/>
    <hyperlink xmlns:r="http://schemas.openxmlformats.org/officeDocument/2006/relationships" ref="K291" r:id="rId815"/>
    <hyperlink xmlns:r="http://schemas.openxmlformats.org/officeDocument/2006/relationships" ref="I292" r:id="rId816"/>
    <hyperlink xmlns:r="http://schemas.openxmlformats.org/officeDocument/2006/relationships" ref="J292" r:id="rId817"/>
    <hyperlink xmlns:r="http://schemas.openxmlformats.org/officeDocument/2006/relationships" ref="K292" r:id="rId818"/>
    <hyperlink xmlns:r="http://schemas.openxmlformats.org/officeDocument/2006/relationships" ref="I293" r:id="rId819"/>
    <hyperlink xmlns:r="http://schemas.openxmlformats.org/officeDocument/2006/relationships" ref="J293" r:id="rId820"/>
    <hyperlink xmlns:r="http://schemas.openxmlformats.org/officeDocument/2006/relationships" ref="K293" r:id="rId821"/>
    <hyperlink xmlns:r="http://schemas.openxmlformats.org/officeDocument/2006/relationships" ref="I294" r:id="rId822"/>
    <hyperlink xmlns:r="http://schemas.openxmlformats.org/officeDocument/2006/relationships" ref="J294" r:id="rId823"/>
    <hyperlink xmlns:r="http://schemas.openxmlformats.org/officeDocument/2006/relationships" ref="K294" r:id="rId824"/>
    <hyperlink xmlns:r="http://schemas.openxmlformats.org/officeDocument/2006/relationships" ref="I295" r:id="rId825"/>
    <hyperlink xmlns:r="http://schemas.openxmlformats.org/officeDocument/2006/relationships" ref="J295" r:id="rId826"/>
    <hyperlink xmlns:r="http://schemas.openxmlformats.org/officeDocument/2006/relationships" ref="K295" r:id="rId827"/>
    <hyperlink xmlns:r="http://schemas.openxmlformats.org/officeDocument/2006/relationships" ref="I296" r:id="rId828"/>
    <hyperlink xmlns:r="http://schemas.openxmlformats.org/officeDocument/2006/relationships" ref="J296" r:id="rId829"/>
    <hyperlink xmlns:r="http://schemas.openxmlformats.org/officeDocument/2006/relationships" ref="K296" r:id="rId830"/>
    <hyperlink xmlns:r="http://schemas.openxmlformats.org/officeDocument/2006/relationships" ref="I297" r:id="rId831"/>
    <hyperlink xmlns:r="http://schemas.openxmlformats.org/officeDocument/2006/relationships" ref="J297" r:id="rId832"/>
    <hyperlink xmlns:r="http://schemas.openxmlformats.org/officeDocument/2006/relationships" ref="K297" r:id="rId833"/>
    <hyperlink xmlns:r="http://schemas.openxmlformats.org/officeDocument/2006/relationships" ref="I298" r:id="rId834"/>
    <hyperlink xmlns:r="http://schemas.openxmlformats.org/officeDocument/2006/relationships" ref="J298" r:id="rId835"/>
    <hyperlink xmlns:r="http://schemas.openxmlformats.org/officeDocument/2006/relationships" ref="K298" r:id="rId836"/>
    <hyperlink xmlns:r="http://schemas.openxmlformats.org/officeDocument/2006/relationships" ref="I299" r:id="rId837"/>
    <hyperlink xmlns:r="http://schemas.openxmlformats.org/officeDocument/2006/relationships" ref="J299" r:id="rId838"/>
    <hyperlink xmlns:r="http://schemas.openxmlformats.org/officeDocument/2006/relationships" ref="K299" r:id="rId839"/>
    <hyperlink xmlns:r="http://schemas.openxmlformats.org/officeDocument/2006/relationships" ref="I300" r:id="rId840"/>
    <hyperlink xmlns:r="http://schemas.openxmlformats.org/officeDocument/2006/relationships" ref="J300" r:id="rId841"/>
    <hyperlink xmlns:r="http://schemas.openxmlformats.org/officeDocument/2006/relationships" ref="K300" r:id="rId842"/>
    <hyperlink xmlns:r="http://schemas.openxmlformats.org/officeDocument/2006/relationships" ref="I301" r:id="rId843"/>
    <hyperlink xmlns:r="http://schemas.openxmlformats.org/officeDocument/2006/relationships" ref="J301" r:id="rId844"/>
    <hyperlink xmlns:r="http://schemas.openxmlformats.org/officeDocument/2006/relationships" ref="K301" r:id="rId845"/>
    <hyperlink xmlns:r="http://schemas.openxmlformats.org/officeDocument/2006/relationships" ref="I302" r:id="rId846"/>
    <hyperlink xmlns:r="http://schemas.openxmlformats.org/officeDocument/2006/relationships" ref="J302" r:id="rId847"/>
    <hyperlink xmlns:r="http://schemas.openxmlformats.org/officeDocument/2006/relationships" ref="K302" r:id="rId848"/>
    <hyperlink xmlns:r="http://schemas.openxmlformats.org/officeDocument/2006/relationships" ref="I303" r:id="rId849"/>
    <hyperlink xmlns:r="http://schemas.openxmlformats.org/officeDocument/2006/relationships" ref="J303" r:id="rId850"/>
    <hyperlink xmlns:r="http://schemas.openxmlformats.org/officeDocument/2006/relationships" ref="K303" r:id="rId851"/>
    <hyperlink xmlns:r="http://schemas.openxmlformats.org/officeDocument/2006/relationships" ref="I304" r:id="rId852"/>
    <hyperlink xmlns:r="http://schemas.openxmlformats.org/officeDocument/2006/relationships" ref="J304" r:id="rId853"/>
    <hyperlink xmlns:r="http://schemas.openxmlformats.org/officeDocument/2006/relationships" ref="K304" r:id="rId854"/>
    <hyperlink xmlns:r="http://schemas.openxmlformats.org/officeDocument/2006/relationships" ref="I305" r:id="rId855"/>
    <hyperlink xmlns:r="http://schemas.openxmlformats.org/officeDocument/2006/relationships" ref="J305" r:id="rId856"/>
    <hyperlink xmlns:r="http://schemas.openxmlformats.org/officeDocument/2006/relationships" ref="K305" r:id="rId857"/>
    <hyperlink xmlns:r="http://schemas.openxmlformats.org/officeDocument/2006/relationships" ref="I306" r:id="rId858"/>
    <hyperlink xmlns:r="http://schemas.openxmlformats.org/officeDocument/2006/relationships" ref="J306" r:id="rId859"/>
    <hyperlink xmlns:r="http://schemas.openxmlformats.org/officeDocument/2006/relationships" ref="K306" r:id="rId860"/>
    <hyperlink xmlns:r="http://schemas.openxmlformats.org/officeDocument/2006/relationships" ref="I307" r:id="rId861"/>
    <hyperlink xmlns:r="http://schemas.openxmlformats.org/officeDocument/2006/relationships" ref="J307" r:id="rId862"/>
    <hyperlink xmlns:r="http://schemas.openxmlformats.org/officeDocument/2006/relationships" ref="K307" r:id="rId863"/>
    <hyperlink xmlns:r="http://schemas.openxmlformats.org/officeDocument/2006/relationships" ref="I308" r:id="rId864"/>
    <hyperlink xmlns:r="http://schemas.openxmlformats.org/officeDocument/2006/relationships" ref="J308" r:id="rId865"/>
    <hyperlink xmlns:r="http://schemas.openxmlformats.org/officeDocument/2006/relationships" ref="K308" r:id="rId866"/>
    <hyperlink xmlns:r="http://schemas.openxmlformats.org/officeDocument/2006/relationships" ref="I309" r:id="rId867"/>
    <hyperlink xmlns:r="http://schemas.openxmlformats.org/officeDocument/2006/relationships" ref="J309" r:id="rId868"/>
    <hyperlink xmlns:r="http://schemas.openxmlformats.org/officeDocument/2006/relationships" ref="K309" r:id="rId869"/>
    <hyperlink xmlns:r="http://schemas.openxmlformats.org/officeDocument/2006/relationships" ref="I310" r:id="rId870"/>
    <hyperlink xmlns:r="http://schemas.openxmlformats.org/officeDocument/2006/relationships" ref="J310" r:id="rId871"/>
    <hyperlink xmlns:r="http://schemas.openxmlformats.org/officeDocument/2006/relationships" ref="K310" r:id="rId872"/>
    <hyperlink xmlns:r="http://schemas.openxmlformats.org/officeDocument/2006/relationships" ref="I311" r:id="rId873"/>
    <hyperlink xmlns:r="http://schemas.openxmlformats.org/officeDocument/2006/relationships" ref="J311" r:id="rId874"/>
    <hyperlink xmlns:r="http://schemas.openxmlformats.org/officeDocument/2006/relationships" ref="K311" r:id="rId875"/>
    <hyperlink xmlns:r="http://schemas.openxmlformats.org/officeDocument/2006/relationships" ref="I312" r:id="rId876"/>
    <hyperlink xmlns:r="http://schemas.openxmlformats.org/officeDocument/2006/relationships" ref="J312" r:id="rId877"/>
    <hyperlink xmlns:r="http://schemas.openxmlformats.org/officeDocument/2006/relationships" ref="K312" r:id="rId878"/>
    <hyperlink xmlns:r="http://schemas.openxmlformats.org/officeDocument/2006/relationships" ref="I313" r:id="rId879"/>
    <hyperlink xmlns:r="http://schemas.openxmlformats.org/officeDocument/2006/relationships" ref="J313" r:id="rId880"/>
    <hyperlink xmlns:r="http://schemas.openxmlformats.org/officeDocument/2006/relationships" ref="K313" r:id="rId881"/>
    <hyperlink xmlns:r="http://schemas.openxmlformats.org/officeDocument/2006/relationships" ref="I314" r:id="rId882"/>
    <hyperlink xmlns:r="http://schemas.openxmlformats.org/officeDocument/2006/relationships" ref="J314" r:id="rId883"/>
    <hyperlink xmlns:r="http://schemas.openxmlformats.org/officeDocument/2006/relationships" ref="K314" r:id="rId884"/>
    <hyperlink xmlns:r="http://schemas.openxmlformats.org/officeDocument/2006/relationships" ref="I315" r:id="rId885"/>
    <hyperlink xmlns:r="http://schemas.openxmlformats.org/officeDocument/2006/relationships" ref="J315" r:id="rId886"/>
    <hyperlink xmlns:r="http://schemas.openxmlformats.org/officeDocument/2006/relationships" ref="K315" r:id="rId887"/>
    <hyperlink xmlns:r="http://schemas.openxmlformats.org/officeDocument/2006/relationships" ref="I316" r:id="rId888"/>
    <hyperlink xmlns:r="http://schemas.openxmlformats.org/officeDocument/2006/relationships" ref="J316" r:id="rId889"/>
    <hyperlink xmlns:r="http://schemas.openxmlformats.org/officeDocument/2006/relationships" ref="K316" r:id="rId890"/>
    <hyperlink xmlns:r="http://schemas.openxmlformats.org/officeDocument/2006/relationships" ref="I317" r:id="rId891"/>
    <hyperlink xmlns:r="http://schemas.openxmlformats.org/officeDocument/2006/relationships" ref="J317" r:id="rId892"/>
    <hyperlink xmlns:r="http://schemas.openxmlformats.org/officeDocument/2006/relationships" ref="K317" r:id="rId893"/>
    <hyperlink xmlns:r="http://schemas.openxmlformats.org/officeDocument/2006/relationships" ref="I318" r:id="rId894"/>
    <hyperlink xmlns:r="http://schemas.openxmlformats.org/officeDocument/2006/relationships" ref="J318" r:id="rId895"/>
    <hyperlink xmlns:r="http://schemas.openxmlformats.org/officeDocument/2006/relationships" ref="K318" r:id="rId896"/>
    <hyperlink xmlns:r="http://schemas.openxmlformats.org/officeDocument/2006/relationships" ref="I319" r:id="rId897"/>
    <hyperlink xmlns:r="http://schemas.openxmlformats.org/officeDocument/2006/relationships" ref="J319" r:id="rId898"/>
    <hyperlink xmlns:r="http://schemas.openxmlformats.org/officeDocument/2006/relationships" ref="K319" r:id="rId899"/>
    <hyperlink xmlns:r="http://schemas.openxmlformats.org/officeDocument/2006/relationships" ref="I320" r:id="rId900"/>
    <hyperlink xmlns:r="http://schemas.openxmlformats.org/officeDocument/2006/relationships" ref="J320" r:id="rId901"/>
    <hyperlink xmlns:r="http://schemas.openxmlformats.org/officeDocument/2006/relationships" ref="K320" r:id="rId902"/>
    <hyperlink xmlns:r="http://schemas.openxmlformats.org/officeDocument/2006/relationships" ref="I321" r:id="rId903"/>
    <hyperlink xmlns:r="http://schemas.openxmlformats.org/officeDocument/2006/relationships" ref="J321" r:id="rId904"/>
    <hyperlink xmlns:r="http://schemas.openxmlformats.org/officeDocument/2006/relationships" ref="K321" r:id="rId905"/>
    <hyperlink xmlns:r="http://schemas.openxmlformats.org/officeDocument/2006/relationships" ref="I322" r:id="rId906"/>
    <hyperlink xmlns:r="http://schemas.openxmlformats.org/officeDocument/2006/relationships" ref="J322" r:id="rId907"/>
    <hyperlink xmlns:r="http://schemas.openxmlformats.org/officeDocument/2006/relationships" ref="K322" r:id="rId908"/>
    <hyperlink xmlns:r="http://schemas.openxmlformats.org/officeDocument/2006/relationships" ref="I323" r:id="rId909"/>
    <hyperlink xmlns:r="http://schemas.openxmlformats.org/officeDocument/2006/relationships" ref="J323" r:id="rId910"/>
    <hyperlink xmlns:r="http://schemas.openxmlformats.org/officeDocument/2006/relationships" ref="K323" r:id="rId911"/>
    <hyperlink xmlns:r="http://schemas.openxmlformats.org/officeDocument/2006/relationships" ref="I324" r:id="rId912"/>
    <hyperlink xmlns:r="http://schemas.openxmlformats.org/officeDocument/2006/relationships" ref="J324" r:id="rId913"/>
    <hyperlink xmlns:r="http://schemas.openxmlformats.org/officeDocument/2006/relationships" ref="K324" r:id="rId914"/>
    <hyperlink xmlns:r="http://schemas.openxmlformats.org/officeDocument/2006/relationships" ref="I325" r:id="rId915"/>
    <hyperlink xmlns:r="http://schemas.openxmlformats.org/officeDocument/2006/relationships" ref="J325" r:id="rId916"/>
    <hyperlink xmlns:r="http://schemas.openxmlformats.org/officeDocument/2006/relationships" ref="K325" r:id="rId917"/>
    <hyperlink xmlns:r="http://schemas.openxmlformats.org/officeDocument/2006/relationships" ref="I326" r:id="rId918"/>
    <hyperlink xmlns:r="http://schemas.openxmlformats.org/officeDocument/2006/relationships" ref="J326" r:id="rId919"/>
    <hyperlink xmlns:r="http://schemas.openxmlformats.org/officeDocument/2006/relationships" ref="K326" r:id="rId920"/>
    <hyperlink xmlns:r="http://schemas.openxmlformats.org/officeDocument/2006/relationships" ref="I327" r:id="rId921"/>
    <hyperlink xmlns:r="http://schemas.openxmlformats.org/officeDocument/2006/relationships" ref="J327" r:id="rId922"/>
    <hyperlink xmlns:r="http://schemas.openxmlformats.org/officeDocument/2006/relationships" ref="K327" r:id="rId923"/>
    <hyperlink xmlns:r="http://schemas.openxmlformats.org/officeDocument/2006/relationships" ref="I328" r:id="rId924"/>
    <hyperlink xmlns:r="http://schemas.openxmlformats.org/officeDocument/2006/relationships" ref="J328" r:id="rId925"/>
    <hyperlink xmlns:r="http://schemas.openxmlformats.org/officeDocument/2006/relationships" ref="K328" r:id="rId926"/>
    <hyperlink xmlns:r="http://schemas.openxmlformats.org/officeDocument/2006/relationships" ref="I329" r:id="rId927"/>
    <hyperlink xmlns:r="http://schemas.openxmlformats.org/officeDocument/2006/relationships" ref="J329" r:id="rId928"/>
    <hyperlink xmlns:r="http://schemas.openxmlformats.org/officeDocument/2006/relationships" ref="K329" r:id="rId929"/>
    <hyperlink xmlns:r="http://schemas.openxmlformats.org/officeDocument/2006/relationships" ref="I330" r:id="rId930"/>
    <hyperlink xmlns:r="http://schemas.openxmlformats.org/officeDocument/2006/relationships" ref="J330" r:id="rId931"/>
    <hyperlink xmlns:r="http://schemas.openxmlformats.org/officeDocument/2006/relationships" ref="K330" r:id="rId932"/>
    <hyperlink xmlns:r="http://schemas.openxmlformats.org/officeDocument/2006/relationships" ref="I331" r:id="rId933"/>
    <hyperlink xmlns:r="http://schemas.openxmlformats.org/officeDocument/2006/relationships" ref="J331" r:id="rId934"/>
    <hyperlink xmlns:r="http://schemas.openxmlformats.org/officeDocument/2006/relationships" ref="K331" r:id="rId935"/>
    <hyperlink xmlns:r="http://schemas.openxmlformats.org/officeDocument/2006/relationships" ref="I332" r:id="rId936"/>
    <hyperlink xmlns:r="http://schemas.openxmlformats.org/officeDocument/2006/relationships" ref="J332" r:id="rId937"/>
    <hyperlink xmlns:r="http://schemas.openxmlformats.org/officeDocument/2006/relationships" ref="K332" r:id="rId938"/>
    <hyperlink xmlns:r="http://schemas.openxmlformats.org/officeDocument/2006/relationships" ref="I333" r:id="rId939"/>
    <hyperlink xmlns:r="http://schemas.openxmlformats.org/officeDocument/2006/relationships" ref="J333" r:id="rId940"/>
    <hyperlink xmlns:r="http://schemas.openxmlformats.org/officeDocument/2006/relationships" ref="K333" r:id="rId941"/>
    <hyperlink xmlns:r="http://schemas.openxmlformats.org/officeDocument/2006/relationships" ref="I334" r:id="rId942"/>
    <hyperlink xmlns:r="http://schemas.openxmlformats.org/officeDocument/2006/relationships" ref="J334" r:id="rId943"/>
    <hyperlink xmlns:r="http://schemas.openxmlformats.org/officeDocument/2006/relationships" ref="K334" r:id="rId944"/>
    <hyperlink xmlns:r="http://schemas.openxmlformats.org/officeDocument/2006/relationships" ref="I335" r:id="rId945"/>
    <hyperlink xmlns:r="http://schemas.openxmlformats.org/officeDocument/2006/relationships" ref="J335" r:id="rId946"/>
    <hyperlink xmlns:r="http://schemas.openxmlformats.org/officeDocument/2006/relationships" ref="K335" r:id="rId947"/>
    <hyperlink xmlns:r="http://schemas.openxmlformats.org/officeDocument/2006/relationships" ref="I336" r:id="rId948"/>
    <hyperlink xmlns:r="http://schemas.openxmlformats.org/officeDocument/2006/relationships" ref="J336" r:id="rId949"/>
    <hyperlink xmlns:r="http://schemas.openxmlformats.org/officeDocument/2006/relationships" ref="K336" r:id="rId950"/>
    <hyperlink xmlns:r="http://schemas.openxmlformats.org/officeDocument/2006/relationships" ref="I337" r:id="rId951"/>
    <hyperlink xmlns:r="http://schemas.openxmlformats.org/officeDocument/2006/relationships" ref="J337" r:id="rId952"/>
    <hyperlink xmlns:r="http://schemas.openxmlformats.org/officeDocument/2006/relationships" ref="K337" r:id="rId953"/>
    <hyperlink xmlns:r="http://schemas.openxmlformats.org/officeDocument/2006/relationships" ref="I338" r:id="rId954"/>
    <hyperlink xmlns:r="http://schemas.openxmlformats.org/officeDocument/2006/relationships" ref="J338" r:id="rId955"/>
    <hyperlink xmlns:r="http://schemas.openxmlformats.org/officeDocument/2006/relationships" ref="K338" r:id="rId956"/>
    <hyperlink xmlns:r="http://schemas.openxmlformats.org/officeDocument/2006/relationships" ref="I339" r:id="rId957"/>
    <hyperlink xmlns:r="http://schemas.openxmlformats.org/officeDocument/2006/relationships" ref="J339" r:id="rId958"/>
    <hyperlink xmlns:r="http://schemas.openxmlformats.org/officeDocument/2006/relationships" ref="K339" r:id="rId959"/>
    <hyperlink xmlns:r="http://schemas.openxmlformats.org/officeDocument/2006/relationships" ref="I340" r:id="rId960"/>
    <hyperlink xmlns:r="http://schemas.openxmlformats.org/officeDocument/2006/relationships" ref="J340" r:id="rId961"/>
    <hyperlink xmlns:r="http://schemas.openxmlformats.org/officeDocument/2006/relationships" ref="K340" r:id="rId962"/>
    <hyperlink xmlns:r="http://schemas.openxmlformats.org/officeDocument/2006/relationships" ref="I341" r:id="rId963"/>
    <hyperlink xmlns:r="http://schemas.openxmlformats.org/officeDocument/2006/relationships" ref="J341" r:id="rId964"/>
    <hyperlink xmlns:r="http://schemas.openxmlformats.org/officeDocument/2006/relationships" ref="K341" r:id="rId965"/>
    <hyperlink xmlns:r="http://schemas.openxmlformats.org/officeDocument/2006/relationships" ref="I342" r:id="rId966"/>
    <hyperlink xmlns:r="http://schemas.openxmlformats.org/officeDocument/2006/relationships" ref="J342" r:id="rId967"/>
    <hyperlink xmlns:r="http://schemas.openxmlformats.org/officeDocument/2006/relationships" ref="K342" r:id="rId968"/>
    <hyperlink xmlns:r="http://schemas.openxmlformats.org/officeDocument/2006/relationships" ref="I343" r:id="rId969"/>
    <hyperlink xmlns:r="http://schemas.openxmlformats.org/officeDocument/2006/relationships" ref="J343" r:id="rId970"/>
    <hyperlink xmlns:r="http://schemas.openxmlformats.org/officeDocument/2006/relationships" ref="K343" r:id="rId971"/>
    <hyperlink xmlns:r="http://schemas.openxmlformats.org/officeDocument/2006/relationships" ref="I344" r:id="rId972"/>
    <hyperlink xmlns:r="http://schemas.openxmlformats.org/officeDocument/2006/relationships" ref="J344" r:id="rId973"/>
    <hyperlink xmlns:r="http://schemas.openxmlformats.org/officeDocument/2006/relationships" ref="K344" r:id="rId974"/>
    <hyperlink xmlns:r="http://schemas.openxmlformats.org/officeDocument/2006/relationships" ref="I345" r:id="rId975"/>
    <hyperlink xmlns:r="http://schemas.openxmlformats.org/officeDocument/2006/relationships" ref="J345" r:id="rId976"/>
    <hyperlink xmlns:r="http://schemas.openxmlformats.org/officeDocument/2006/relationships" ref="K345" r:id="rId977"/>
    <hyperlink xmlns:r="http://schemas.openxmlformats.org/officeDocument/2006/relationships" ref="I346" r:id="rId978"/>
    <hyperlink xmlns:r="http://schemas.openxmlformats.org/officeDocument/2006/relationships" ref="J346" r:id="rId979"/>
    <hyperlink xmlns:r="http://schemas.openxmlformats.org/officeDocument/2006/relationships" ref="K346" r:id="rId980"/>
    <hyperlink xmlns:r="http://schemas.openxmlformats.org/officeDocument/2006/relationships" ref="I347" r:id="rId981"/>
    <hyperlink xmlns:r="http://schemas.openxmlformats.org/officeDocument/2006/relationships" ref="J347" r:id="rId982"/>
    <hyperlink xmlns:r="http://schemas.openxmlformats.org/officeDocument/2006/relationships" ref="I348" r:id="rId983"/>
    <hyperlink xmlns:r="http://schemas.openxmlformats.org/officeDocument/2006/relationships" ref="J348" r:id="rId984"/>
    <hyperlink xmlns:r="http://schemas.openxmlformats.org/officeDocument/2006/relationships" ref="I349" r:id="rId985"/>
    <hyperlink xmlns:r="http://schemas.openxmlformats.org/officeDocument/2006/relationships" ref="J349" r:id="rId986"/>
    <hyperlink xmlns:r="http://schemas.openxmlformats.org/officeDocument/2006/relationships" ref="I350" r:id="rId987"/>
    <hyperlink xmlns:r="http://schemas.openxmlformats.org/officeDocument/2006/relationships" ref="J350" r:id="rId988"/>
    <hyperlink xmlns:r="http://schemas.openxmlformats.org/officeDocument/2006/relationships" ref="I351" r:id="rId989"/>
    <hyperlink xmlns:r="http://schemas.openxmlformats.org/officeDocument/2006/relationships" ref="J351" r:id="rId990"/>
    <hyperlink xmlns:r="http://schemas.openxmlformats.org/officeDocument/2006/relationships" ref="I352" r:id="rId991"/>
    <hyperlink xmlns:r="http://schemas.openxmlformats.org/officeDocument/2006/relationships" ref="J352" r:id="rId992"/>
    <hyperlink xmlns:r="http://schemas.openxmlformats.org/officeDocument/2006/relationships" ref="I353" r:id="rId993"/>
    <hyperlink xmlns:r="http://schemas.openxmlformats.org/officeDocument/2006/relationships" ref="J353" r:id="rId994"/>
    <hyperlink xmlns:r="http://schemas.openxmlformats.org/officeDocument/2006/relationships" ref="I354" r:id="rId995"/>
    <hyperlink xmlns:r="http://schemas.openxmlformats.org/officeDocument/2006/relationships" ref="J354" r:id="rId996"/>
    <hyperlink xmlns:r="http://schemas.openxmlformats.org/officeDocument/2006/relationships" ref="I355" r:id="rId997"/>
    <hyperlink xmlns:r="http://schemas.openxmlformats.org/officeDocument/2006/relationships" ref="J355" r:id="rId998"/>
    <hyperlink xmlns:r="http://schemas.openxmlformats.org/officeDocument/2006/relationships" ref="I356" r:id="rId999"/>
    <hyperlink xmlns:r="http://schemas.openxmlformats.org/officeDocument/2006/relationships" ref="J356" r:id="rId1000"/>
    <hyperlink xmlns:r="http://schemas.openxmlformats.org/officeDocument/2006/relationships" ref="I357" r:id="rId1001"/>
    <hyperlink xmlns:r="http://schemas.openxmlformats.org/officeDocument/2006/relationships" ref="J357" r:id="rId1002"/>
    <hyperlink xmlns:r="http://schemas.openxmlformats.org/officeDocument/2006/relationships" ref="I358" r:id="rId1003"/>
    <hyperlink xmlns:r="http://schemas.openxmlformats.org/officeDocument/2006/relationships" ref="J358" r:id="rId1004"/>
    <hyperlink xmlns:r="http://schemas.openxmlformats.org/officeDocument/2006/relationships" ref="I359" r:id="rId1005"/>
    <hyperlink xmlns:r="http://schemas.openxmlformats.org/officeDocument/2006/relationships" ref="J359" r:id="rId1006"/>
    <hyperlink xmlns:r="http://schemas.openxmlformats.org/officeDocument/2006/relationships" ref="I360" r:id="rId1007"/>
    <hyperlink xmlns:r="http://schemas.openxmlformats.org/officeDocument/2006/relationships" ref="J360" r:id="rId1008"/>
    <hyperlink xmlns:r="http://schemas.openxmlformats.org/officeDocument/2006/relationships" ref="I361" r:id="rId1009"/>
    <hyperlink xmlns:r="http://schemas.openxmlformats.org/officeDocument/2006/relationships" ref="J361" r:id="rId1010"/>
    <hyperlink xmlns:r="http://schemas.openxmlformats.org/officeDocument/2006/relationships" ref="I362" r:id="rId1011"/>
    <hyperlink xmlns:r="http://schemas.openxmlformats.org/officeDocument/2006/relationships" ref="J362" r:id="rId1012"/>
    <hyperlink xmlns:r="http://schemas.openxmlformats.org/officeDocument/2006/relationships" ref="K362" r:id="rId1013"/>
    <hyperlink xmlns:r="http://schemas.openxmlformats.org/officeDocument/2006/relationships" ref="I363" r:id="rId1014"/>
    <hyperlink xmlns:r="http://schemas.openxmlformats.org/officeDocument/2006/relationships" ref="J363" r:id="rId1015"/>
    <hyperlink xmlns:r="http://schemas.openxmlformats.org/officeDocument/2006/relationships" ref="K363" r:id="rId1016"/>
    <hyperlink xmlns:r="http://schemas.openxmlformats.org/officeDocument/2006/relationships" ref="I364" r:id="rId1017"/>
    <hyperlink xmlns:r="http://schemas.openxmlformats.org/officeDocument/2006/relationships" ref="J364" r:id="rId1018"/>
    <hyperlink xmlns:r="http://schemas.openxmlformats.org/officeDocument/2006/relationships" ref="K364" r:id="rId1019"/>
    <hyperlink xmlns:r="http://schemas.openxmlformats.org/officeDocument/2006/relationships" ref="I365" r:id="rId1020"/>
    <hyperlink xmlns:r="http://schemas.openxmlformats.org/officeDocument/2006/relationships" ref="J365" r:id="rId1021"/>
    <hyperlink xmlns:r="http://schemas.openxmlformats.org/officeDocument/2006/relationships" ref="K365" r:id="rId1022"/>
    <hyperlink xmlns:r="http://schemas.openxmlformats.org/officeDocument/2006/relationships" ref="I366" r:id="rId1023"/>
    <hyperlink xmlns:r="http://schemas.openxmlformats.org/officeDocument/2006/relationships" ref="J366" r:id="rId1024"/>
    <hyperlink xmlns:r="http://schemas.openxmlformats.org/officeDocument/2006/relationships" ref="K366" r:id="rId1025"/>
    <hyperlink xmlns:r="http://schemas.openxmlformats.org/officeDocument/2006/relationships" ref="I367" r:id="rId1026"/>
    <hyperlink xmlns:r="http://schemas.openxmlformats.org/officeDocument/2006/relationships" ref="J367" r:id="rId1027"/>
    <hyperlink xmlns:r="http://schemas.openxmlformats.org/officeDocument/2006/relationships" ref="K367" r:id="rId1028"/>
    <hyperlink xmlns:r="http://schemas.openxmlformats.org/officeDocument/2006/relationships" ref="I368" r:id="rId1029"/>
    <hyperlink xmlns:r="http://schemas.openxmlformats.org/officeDocument/2006/relationships" ref="J368" r:id="rId1030"/>
    <hyperlink xmlns:r="http://schemas.openxmlformats.org/officeDocument/2006/relationships" ref="K368" r:id="rId1031"/>
    <hyperlink xmlns:r="http://schemas.openxmlformats.org/officeDocument/2006/relationships" ref="I369" r:id="rId1032"/>
    <hyperlink xmlns:r="http://schemas.openxmlformats.org/officeDocument/2006/relationships" ref="J369" r:id="rId1033"/>
    <hyperlink xmlns:r="http://schemas.openxmlformats.org/officeDocument/2006/relationships" ref="K369" r:id="rId1034"/>
    <hyperlink xmlns:r="http://schemas.openxmlformats.org/officeDocument/2006/relationships" ref="I370" r:id="rId1035"/>
    <hyperlink xmlns:r="http://schemas.openxmlformats.org/officeDocument/2006/relationships" ref="J370" r:id="rId1036"/>
    <hyperlink xmlns:r="http://schemas.openxmlformats.org/officeDocument/2006/relationships" ref="K370" r:id="rId1037"/>
    <hyperlink xmlns:r="http://schemas.openxmlformats.org/officeDocument/2006/relationships" ref="I371" r:id="rId1038"/>
    <hyperlink xmlns:r="http://schemas.openxmlformats.org/officeDocument/2006/relationships" ref="J371" r:id="rId1039"/>
    <hyperlink xmlns:r="http://schemas.openxmlformats.org/officeDocument/2006/relationships" ref="K371" r:id="rId1040"/>
    <hyperlink xmlns:r="http://schemas.openxmlformats.org/officeDocument/2006/relationships" ref="I372" r:id="rId1041"/>
    <hyperlink xmlns:r="http://schemas.openxmlformats.org/officeDocument/2006/relationships" ref="J372" r:id="rId1042"/>
    <hyperlink xmlns:r="http://schemas.openxmlformats.org/officeDocument/2006/relationships" ref="K372" r:id="rId1043"/>
    <hyperlink xmlns:r="http://schemas.openxmlformats.org/officeDocument/2006/relationships" ref="I373" r:id="rId1044"/>
    <hyperlink xmlns:r="http://schemas.openxmlformats.org/officeDocument/2006/relationships" ref="J373" r:id="rId1045"/>
    <hyperlink xmlns:r="http://schemas.openxmlformats.org/officeDocument/2006/relationships" ref="K373" r:id="rId1046"/>
    <hyperlink xmlns:r="http://schemas.openxmlformats.org/officeDocument/2006/relationships" ref="I374" r:id="rId1047"/>
    <hyperlink xmlns:r="http://schemas.openxmlformats.org/officeDocument/2006/relationships" ref="J374" r:id="rId1048"/>
    <hyperlink xmlns:r="http://schemas.openxmlformats.org/officeDocument/2006/relationships" ref="K374" r:id="rId1049"/>
    <hyperlink xmlns:r="http://schemas.openxmlformats.org/officeDocument/2006/relationships" ref="I375" r:id="rId1050"/>
    <hyperlink xmlns:r="http://schemas.openxmlformats.org/officeDocument/2006/relationships" ref="J375" r:id="rId1051"/>
    <hyperlink xmlns:r="http://schemas.openxmlformats.org/officeDocument/2006/relationships" ref="K375" r:id="rId1052"/>
    <hyperlink xmlns:r="http://schemas.openxmlformats.org/officeDocument/2006/relationships" ref="I376" r:id="rId1053"/>
    <hyperlink xmlns:r="http://schemas.openxmlformats.org/officeDocument/2006/relationships" ref="J376" r:id="rId1054"/>
    <hyperlink xmlns:r="http://schemas.openxmlformats.org/officeDocument/2006/relationships" ref="K376" r:id="rId1055"/>
    <hyperlink xmlns:r="http://schemas.openxmlformats.org/officeDocument/2006/relationships" ref="I377" r:id="rId1056"/>
    <hyperlink xmlns:r="http://schemas.openxmlformats.org/officeDocument/2006/relationships" ref="J377" r:id="rId1057"/>
    <hyperlink xmlns:r="http://schemas.openxmlformats.org/officeDocument/2006/relationships" ref="K377" r:id="rId1058"/>
    <hyperlink xmlns:r="http://schemas.openxmlformats.org/officeDocument/2006/relationships" ref="I378" r:id="rId1059"/>
    <hyperlink xmlns:r="http://schemas.openxmlformats.org/officeDocument/2006/relationships" ref="J378" r:id="rId1060"/>
    <hyperlink xmlns:r="http://schemas.openxmlformats.org/officeDocument/2006/relationships" ref="K378" r:id="rId1061"/>
    <hyperlink xmlns:r="http://schemas.openxmlformats.org/officeDocument/2006/relationships" ref="I379" r:id="rId1062"/>
    <hyperlink xmlns:r="http://schemas.openxmlformats.org/officeDocument/2006/relationships" ref="J379" r:id="rId1063"/>
    <hyperlink xmlns:r="http://schemas.openxmlformats.org/officeDocument/2006/relationships" ref="K379" r:id="rId1064"/>
    <hyperlink xmlns:r="http://schemas.openxmlformats.org/officeDocument/2006/relationships" ref="I380" r:id="rId1065"/>
    <hyperlink xmlns:r="http://schemas.openxmlformats.org/officeDocument/2006/relationships" ref="J380" r:id="rId1066"/>
    <hyperlink xmlns:r="http://schemas.openxmlformats.org/officeDocument/2006/relationships" ref="K380" r:id="rId1067"/>
    <hyperlink xmlns:r="http://schemas.openxmlformats.org/officeDocument/2006/relationships" ref="I381" r:id="rId1068"/>
    <hyperlink xmlns:r="http://schemas.openxmlformats.org/officeDocument/2006/relationships" ref="J381" r:id="rId1069"/>
    <hyperlink xmlns:r="http://schemas.openxmlformats.org/officeDocument/2006/relationships" ref="K381" r:id="rId1070"/>
    <hyperlink xmlns:r="http://schemas.openxmlformats.org/officeDocument/2006/relationships" ref="I382" r:id="rId1071"/>
    <hyperlink xmlns:r="http://schemas.openxmlformats.org/officeDocument/2006/relationships" ref="J382" r:id="rId1072"/>
    <hyperlink xmlns:r="http://schemas.openxmlformats.org/officeDocument/2006/relationships" ref="K382" r:id="rId1073"/>
    <hyperlink xmlns:r="http://schemas.openxmlformats.org/officeDocument/2006/relationships" ref="I383" r:id="rId1074"/>
    <hyperlink xmlns:r="http://schemas.openxmlformats.org/officeDocument/2006/relationships" ref="J383" r:id="rId1075"/>
    <hyperlink xmlns:r="http://schemas.openxmlformats.org/officeDocument/2006/relationships" ref="K383" r:id="rId1076"/>
    <hyperlink xmlns:r="http://schemas.openxmlformats.org/officeDocument/2006/relationships" ref="I384" r:id="rId1077"/>
    <hyperlink xmlns:r="http://schemas.openxmlformats.org/officeDocument/2006/relationships" ref="J384" r:id="rId1078"/>
    <hyperlink xmlns:r="http://schemas.openxmlformats.org/officeDocument/2006/relationships" ref="K384" r:id="rId1079"/>
    <hyperlink xmlns:r="http://schemas.openxmlformats.org/officeDocument/2006/relationships" ref="I385" r:id="rId1080"/>
    <hyperlink xmlns:r="http://schemas.openxmlformats.org/officeDocument/2006/relationships" ref="J385" r:id="rId1081"/>
    <hyperlink xmlns:r="http://schemas.openxmlformats.org/officeDocument/2006/relationships" ref="K385" r:id="rId1082"/>
    <hyperlink xmlns:r="http://schemas.openxmlformats.org/officeDocument/2006/relationships" ref="I386" r:id="rId1083"/>
    <hyperlink xmlns:r="http://schemas.openxmlformats.org/officeDocument/2006/relationships" ref="J386" r:id="rId1084"/>
    <hyperlink xmlns:r="http://schemas.openxmlformats.org/officeDocument/2006/relationships" ref="K386" r:id="rId1085"/>
    <hyperlink xmlns:r="http://schemas.openxmlformats.org/officeDocument/2006/relationships" ref="I387" r:id="rId1086"/>
    <hyperlink xmlns:r="http://schemas.openxmlformats.org/officeDocument/2006/relationships" ref="J387" r:id="rId1087"/>
    <hyperlink xmlns:r="http://schemas.openxmlformats.org/officeDocument/2006/relationships" ref="K387" r:id="rId1088"/>
    <hyperlink xmlns:r="http://schemas.openxmlformats.org/officeDocument/2006/relationships" ref="I388" r:id="rId1089"/>
    <hyperlink xmlns:r="http://schemas.openxmlformats.org/officeDocument/2006/relationships" ref="J388" r:id="rId1090"/>
    <hyperlink xmlns:r="http://schemas.openxmlformats.org/officeDocument/2006/relationships" ref="K388" r:id="rId1091"/>
    <hyperlink xmlns:r="http://schemas.openxmlformats.org/officeDocument/2006/relationships" ref="I389" r:id="rId1092"/>
    <hyperlink xmlns:r="http://schemas.openxmlformats.org/officeDocument/2006/relationships" ref="J389" r:id="rId1093"/>
    <hyperlink xmlns:r="http://schemas.openxmlformats.org/officeDocument/2006/relationships" ref="K389" r:id="rId1094"/>
    <hyperlink xmlns:r="http://schemas.openxmlformats.org/officeDocument/2006/relationships" ref="I390" r:id="rId1095"/>
    <hyperlink xmlns:r="http://schemas.openxmlformats.org/officeDocument/2006/relationships" ref="J390" r:id="rId1096"/>
    <hyperlink xmlns:r="http://schemas.openxmlformats.org/officeDocument/2006/relationships" ref="K390" r:id="rId1097"/>
    <hyperlink xmlns:r="http://schemas.openxmlformats.org/officeDocument/2006/relationships" ref="I391" r:id="rId1098"/>
    <hyperlink xmlns:r="http://schemas.openxmlformats.org/officeDocument/2006/relationships" ref="J391" r:id="rId1099"/>
    <hyperlink xmlns:r="http://schemas.openxmlformats.org/officeDocument/2006/relationships" ref="K391" r:id="rId1100"/>
    <hyperlink xmlns:r="http://schemas.openxmlformats.org/officeDocument/2006/relationships" ref="I392" r:id="rId1101"/>
    <hyperlink xmlns:r="http://schemas.openxmlformats.org/officeDocument/2006/relationships" ref="J392" r:id="rId1102"/>
    <hyperlink xmlns:r="http://schemas.openxmlformats.org/officeDocument/2006/relationships" ref="K392" r:id="rId1103"/>
    <hyperlink xmlns:r="http://schemas.openxmlformats.org/officeDocument/2006/relationships" ref="I393" r:id="rId1104"/>
    <hyperlink xmlns:r="http://schemas.openxmlformats.org/officeDocument/2006/relationships" ref="J393" r:id="rId1105"/>
    <hyperlink xmlns:r="http://schemas.openxmlformats.org/officeDocument/2006/relationships" ref="K393" r:id="rId1106"/>
    <hyperlink xmlns:r="http://schemas.openxmlformats.org/officeDocument/2006/relationships" ref="I394" r:id="rId1107"/>
    <hyperlink xmlns:r="http://schemas.openxmlformats.org/officeDocument/2006/relationships" ref="J394" r:id="rId1108"/>
    <hyperlink xmlns:r="http://schemas.openxmlformats.org/officeDocument/2006/relationships" ref="I395" r:id="rId1109"/>
    <hyperlink xmlns:r="http://schemas.openxmlformats.org/officeDocument/2006/relationships" ref="J395" r:id="rId1110"/>
    <hyperlink xmlns:r="http://schemas.openxmlformats.org/officeDocument/2006/relationships" ref="I396" r:id="rId1111"/>
    <hyperlink xmlns:r="http://schemas.openxmlformats.org/officeDocument/2006/relationships" ref="J396" r:id="rId1112"/>
    <hyperlink xmlns:r="http://schemas.openxmlformats.org/officeDocument/2006/relationships" ref="I397" r:id="rId1113"/>
    <hyperlink xmlns:r="http://schemas.openxmlformats.org/officeDocument/2006/relationships" ref="J397" r:id="rId1114"/>
    <hyperlink xmlns:r="http://schemas.openxmlformats.org/officeDocument/2006/relationships" ref="I398" r:id="rId1115"/>
    <hyperlink xmlns:r="http://schemas.openxmlformats.org/officeDocument/2006/relationships" ref="J398" r:id="rId1116"/>
    <hyperlink xmlns:r="http://schemas.openxmlformats.org/officeDocument/2006/relationships" ref="I399" r:id="rId1117"/>
    <hyperlink xmlns:r="http://schemas.openxmlformats.org/officeDocument/2006/relationships" ref="J399" r:id="rId1118"/>
    <hyperlink xmlns:r="http://schemas.openxmlformats.org/officeDocument/2006/relationships" ref="I400" r:id="rId1119"/>
    <hyperlink xmlns:r="http://schemas.openxmlformats.org/officeDocument/2006/relationships" ref="J400" r:id="rId1120"/>
    <hyperlink xmlns:r="http://schemas.openxmlformats.org/officeDocument/2006/relationships" ref="I401" r:id="rId1121"/>
    <hyperlink xmlns:r="http://schemas.openxmlformats.org/officeDocument/2006/relationships" ref="J401" r:id="rId1122"/>
    <hyperlink xmlns:r="http://schemas.openxmlformats.org/officeDocument/2006/relationships" ref="I402" r:id="rId1123"/>
    <hyperlink xmlns:r="http://schemas.openxmlformats.org/officeDocument/2006/relationships" ref="J402" r:id="rId1124"/>
    <hyperlink xmlns:r="http://schemas.openxmlformats.org/officeDocument/2006/relationships" ref="K402" r:id="rId1125"/>
    <hyperlink xmlns:r="http://schemas.openxmlformats.org/officeDocument/2006/relationships" ref="I403" r:id="rId1126"/>
    <hyperlink xmlns:r="http://schemas.openxmlformats.org/officeDocument/2006/relationships" ref="J403" r:id="rId1127"/>
    <hyperlink xmlns:r="http://schemas.openxmlformats.org/officeDocument/2006/relationships" ref="K403" r:id="rId1128"/>
    <hyperlink xmlns:r="http://schemas.openxmlformats.org/officeDocument/2006/relationships" ref="I404" r:id="rId1129"/>
    <hyperlink xmlns:r="http://schemas.openxmlformats.org/officeDocument/2006/relationships" ref="J404" r:id="rId1130"/>
    <hyperlink xmlns:r="http://schemas.openxmlformats.org/officeDocument/2006/relationships" ref="K404" r:id="rId1131"/>
    <hyperlink xmlns:r="http://schemas.openxmlformats.org/officeDocument/2006/relationships" ref="I405" r:id="rId1132"/>
    <hyperlink xmlns:r="http://schemas.openxmlformats.org/officeDocument/2006/relationships" ref="J405" r:id="rId1133"/>
    <hyperlink xmlns:r="http://schemas.openxmlformats.org/officeDocument/2006/relationships" ref="K405" r:id="rId1134"/>
    <hyperlink xmlns:r="http://schemas.openxmlformats.org/officeDocument/2006/relationships" ref="I406" r:id="rId1135"/>
    <hyperlink xmlns:r="http://schemas.openxmlformats.org/officeDocument/2006/relationships" ref="J406" r:id="rId1136"/>
    <hyperlink xmlns:r="http://schemas.openxmlformats.org/officeDocument/2006/relationships" ref="K406" r:id="rId1137"/>
    <hyperlink xmlns:r="http://schemas.openxmlformats.org/officeDocument/2006/relationships" ref="I407" r:id="rId1138"/>
    <hyperlink xmlns:r="http://schemas.openxmlformats.org/officeDocument/2006/relationships" ref="J407" r:id="rId1139"/>
    <hyperlink xmlns:r="http://schemas.openxmlformats.org/officeDocument/2006/relationships" ref="K407" r:id="rId1140"/>
    <hyperlink xmlns:r="http://schemas.openxmlformats.org/officeDocument/2006/relationships" ref="I408" r:id="rId1141"/>
    <hyperlink xmlns:r="http://schemas.openxmlformats.org/officeDocument/2006/relationships" ref="J408" r:id="rId1142"/>
    <hyperlink xmlns:r="http://schemas.openxmlformats.org/officeDocument/2006/relationships" ref="K408" r:id="rId1143"/>
    <hyperlink xmlns:r="http://schemas.openxmlformats.org/officeDocument/2006/relationships" ref="I409" r:id="rId1144"/>
    <hyperlink xmlns:r="http://schemas.openxmlformats.org/officeDocument/2006/relationships" ref="J409" r:id="rId1145"/>
    <hyperlink xmlns:r="http://schemas.openxmlformats.org/officeDocument/2006/relationships" ref="K409" r:id="rId1146"/>
    <hyperlink xmlns:r="http://schemas.openxmlformats.org/officeDocument/2006/relationships" ref="I410" r:id="rId1147"/>
    <hyperlink xmlns:r="http://schemas.openxmlformats.org/officeDocument/2006/relationships" ref="J410" r:id="rId1148"/>
    <hyperlink xmlns:r="http://schemas.openxmlformats.org/officeDocument/2006/relationships" ref="K410" r:id="rId1149"/>
    <hyperlink xmlns:r="http://schemas.openxmlformats.org/officeDocument/2006/relationships" ref="I411" r:id="rId1150"/>
    <hyperlink xmlns:r="http://schemas.openxmlformats.org/officeDocument/2006/relationships" ref="J411" r:id="rId1151"/>
    <hyperlink xmlns:r="http://schemas.openxmlformats.org/officeDocument/2006/relationships" ref="K411" r:id="rId1152"/>
    <hyperlink xmlns:r="http://schemas.openxmlformats.org/officeDocument/2006/relationships" ref="I412" r:id="rId1153"/>
    <hyperlink xmlns:r="http://schemas.openxmlformats.org/officeDocument/2006/relationships" ref="J412" r:id="rId1154"/>
    <hyperlink xmlns:r="http://schemas.openxmlformats.org/officeDocument/2006/relationships" ref="K412" r:id="rId1155"/>
    <hyperlink xmlns:r="http://schemas.openxmlformats.org/officeDocument/2006/relationships" ref="I413" r:id="rId1156"/>
    <hyperlink xmlns:r="http://schemas.openxmlformats.org/officeDocument/2006/relationships" ref="J413" r:id="rId1157"/>
    <hyperlink xmlns:r="http://schemas.openxmlformats.org/officeDocument/2006/relationships" ref="K413" r:id="rId1158"/>
    <hyperlink xmlns:r="http://schemas.openxmlformats.org/officeDocument/2006/relationships" ref="I414" r:id="rId1159"/>
    <hyperlink xmlns:r="http://schemas.openxmlformats.org/officeDocument/2006/relationships" ref="J414" r:id="rId1160"/>
    <hyperlink xmlns:r="http://schemas.openxmlformats.org/officeDocument/2006/relationships" ref="K414" r:id="rId1161"/>
    <hyperlink xmlns:r="http://schemas.openxmlformats.org/officeDocument/2006/relationships" ref="I415" r:id="rId1162"/>
    <hyperlink xmlns:r="http://schemas.openxmlformats.org/officeDocument/2006/relationships" ref="J415" r:id="rId1163"/>
    <hyperlink xmlns:r="http://schemas.openxmlformats.org/officeDocument/2006/relationships" ref="K415" r:id="rId1164"/>
    <hyperlink xmlns:r="http://schemas.openxmlformats.org/officeDocument/2006/relationships" ref="I416" r:id="rId1165"/>
    <hyperlink xmlns:r="http://schemas.openxmlformats.org/officeDocument/2006/relationships" ref="J416" r:id="rId1166"/>
    <hyperlink xmlns:r="http://schemas.openxmlformats.org/officeDocument/2006/relationships" ref="K416" r:id="rId1167"/>
    <hyperlink xmlns:r="http://schemas.openxmlformats.org/officeDocument/2006/relationships" ref="I417" r:id="rId1168"/>
    <hyperlink xmlns:r="http://schemas.openxmlformats.org/officeDocument/2006/relationships" ref="J417" r:id="rId1169"/>
    <hyperlink xmlns:r="http://schemas.openxmlformats.org/officeDocument/2006/relationships" ref="K417" r:id="rId1170"/>
    <hyperlink xmlns:r="http://schemas.openxmlformats.org/officeDocument/2006/relationships" ref="I418" r:id="rId1171"/>
    <hyperlink xmlns:r="http://schemas.openxmlformats.org/officeDocument/2006/relationships" ref="J418" r:id="rId1172"/>
    <hyperlink xmlns:r="http://schemas.openxmlformats.org/officeDocument/2006/relationships" ref="K418" r:id="rId1173"/>
    <hyperlink xmlns:r="http://schemas.openxmlformats.org/officeDocument/2006/relationships" ref="I419" r:id="rId1174"/>
    <hyperlink xmlns:r="http://schemas.openxmlformats.org/officeDocument/2006/relationships" ref="J419" r:id="rId1175"/>
    <hyperlink xmlns:r="http://schemas.openxmlformats.org/officeDocument/2006/relationships" ref="K419" r:id="rId1176"/>
    <hyperlink xmlns:r="http://schemas.openxmlformats.org/officeDocument/2006/relationships" ref="I420" r:id="rId1177"/>
    <hyperlink xmlns:r="http://schemas.openxmlformats.org/officeDocument/2006/relationships" ref="J420" r:id="rId1178"/>
    <hyperlink xmlns:r="http://schemas.openxmlformats.org/officeDocument/2006/relationships" ref="K420" r:id="rId1179"/>
    <hyperlink xmlns:r="http://schemas.openxmlformats.org/officeDocument/2006/relationships" ref="I421" r:id="rId1180"/>
    <hyperlink xmlns:r="http://schemas.openxmlformats.org/officeDocument/2006/relationships" ref="J421" r:id="rId1181"/>
    <hyperlink xmlns:r="http://schemas.openxmlformats.org/officeDocument/2006/relationships" ref="K421" r:id="rId1182"/>
    <hyperlink xmlns:r="http://schemas.openxmlformats.org/officeDocument/2006/relationships" ref="I422" r:id="rId1183"/>
    <hyperlink xmlns:r="http://schemas.openxmlformats.org/officeDocument/2006/relationships" ref="J422" r:id="rId1184"/>
    <hyperlink xmlns:r="http://schemas.openxmlformats.org/officeDocument/2006/relationships" ref="K422" r:id="rId1185"/>
    <hyperlink xmlns:r="http://schemas.openxmlformats.org/officeDocument/2006/relationships" ref="I423" r:id="rId1186"/>
    <hyperlink xmlns:r="http://schemas.openxmlformats.org/officeDocument/2006/relationships" ref="J423" r:id="rId1187"/>
    <hyperlink xmlns:r="http://schemas.openxmlformats.org/officeDocument/2006/relationships" ref="I424" r:id="rId1188"/>
    <hyperlink xmlns:r="http://schemas.openxmlformats.org/officeDocument/2006/relationships" ref="J424" r:id="rId1189"/>
    <hyperlink xmlns:r="http://schemas.openxmlformats.org/officeDocument/2006/relationships" ref="K424" r:id="rId1190"/>
    <hyperlink xmlns:r="http://schemas.openxmlformats.org/officeDocument/2006/relationships" ref="I425" r:id="rId1191"/>
    <hyperlink xmlns:r="http://schemas.openxmlformats.org/officeDocument/2006/relationships" ref="J425" r:id="rId1192"/>
    <hyperlink xmlns:r="http://schemas.openxmlformats.org/officeDocument/2006/relationships" ref="K425" r:id="rId1193"/>
    <hyperlink xmlns:r="http://schemas.openxmlformats.org/officeDocument/2006/relationships" ref="I426" r:id="rId1194"/>
    <hyperlink xmlns:r="http://schemas.openxmlformats.org/officeDocument/2006/relationships" ref="J426" r:id="rId1195"/>
    <hyperlink xmlns:r="http://schemas.openxmlformats.org/officeDocument/2006/relationships" ref="K426" r:id="rId1196"/>
    <hyperlink xmlns:r="http://schemas.openxmlformats.org/officeDocument/2006/relationships" ref="I427" r:id="rId1197"/>
    <hyperlink xmlns:r="http://schemas.openxmlformats.org/officeDocument/2006/relationships" ref="J427" r:id="rId1198"/>
    <hyperlink xmlns:r="http://schemas.openxmlformats.org/officeDocument/2006/relationships" ref="K427" r:id="rId1199"/>
    <hyperlink xmlns:r="http://schemas.openxmlformats.org/officeDocument/2006/relationships" ref="I428" r:id="rId1200"/>
    <hyperlink xmlns:r="http://schemas.openxmlformats.org/officeDocument/2006/relationships" ref="J428" r:id="rId1201"/>
    <hyperlink xmlns:r="http://schemas.openxmlformats.org/officeDocument/2006/relationships" ref="K428" r:id="rId1202"/>
    <hyperlink xmlns:r="http://schemas.openxmlformats.org/officeDocument/2006/relationships" ref="I429" r:id="rId1203"/>
    <hyperlink xmlns:r="http://schemas.openxmlformats.org/officeDocument/2006/relationships" ref="J429" r:id="rId1204"/>
    <hyperlink xmlns:r="http://schemas.openxmlformats.org/officeDocument/2006/relationships" ref="K429" r:id="rId1205"/>
    <hyperlink xmlns:r="http://schemas.openxmlformats.org/officeDocument/2006/relationships" ref="I430" r:id="rId1206"/>
    <hyperlink xmlns:r="http://schemas.openxmlformats.org/officeDocument/2006/relationships" ref="J430" r:id="rId1207"/>
    <hyperlink xmlns:r="http://schemas.openxmlformats.org/officeDocument/2006/relationships" ref="K430" r:id="rId1208"/>
    <hyperlink xmlns:r="http://schemas.openxmlformats.org/officeDocument/2006/relationships" ref="I431" r:id="rId1209"/>
    <hyperlink xmlns:r="http://schemas.openxmlformats.org/officeDocument/2006/relationships" ref="J431" r:id="rId1210"/>
    <hyperlink xmlns:r="http://schemas.openxmlformats.org/officeDocument/2006/relationships" ref="K431" r:id="rId1211"/>
    <hyperlink xmlns:r="http://schemas.openxmlformats.org/officeDocument/2006/relationships" ref="I432" r:id="rId1212"/>
    <hyperlink xmlns:r="http://schemas.openxmlformats.org/officeDocument/2006/relationships" ref="J432" r:id="rId1213"/>
    <hyperlink xmlns:r="http://schemas.openxmlformats.org/officeDocument/2006/relationships" ref="K432" r:id="rId1214"/>
    <hyperlink xmlns:r="http://schemas.openxmlformats.org/officeDocument/2006/relationships" ref="I433" r:id="rId1215"/>
    <hyperlink xmlns:r="http://schemas.openxmlformats.org/officeDocument/2006/relationships" ref="J433" r:id="rId1216"/>
    <hyperlink xmlns:r="http://schemas.openxmlformats.org/officeDocument/2006/relationships" ref="K433" r:id="rId1217"/>
    <hyperlink xmlns:r="http://schemas.openxmlformats.org/officeDocument/2006/relationships" ref="I434" r:id="rId1218"/>
    <hyperlink xmlns:r="http://schemas.openxmlformats.org/officeDocument/2006/relationships" ref="J434" r:id="rId1219"/>
    <hyperlink xmlns:r="http://schemas.openxmlformats.org/officeDocument/2006/relationships" ref="K434" r:id="rId1220"/>
    <hyperlink xmlns:r="http://schemas.openxmlformats.org/officeDocument/2006/relationships" ref="I435" r:id="rId1221"/>
    <hyperlink xmlns:r="http://schemas.openxmlformats.org/officeDocument/2006/relationships" ref="J435" r:id="rId1222"/>
    <hyperlink xmlns:r="http://schemas.openxmlformats.org/officeDocument/2006/relationships" ref="K435" r:id="rId1223"/>
    <hyperlink xmlns:r="http://schemas.openxmlformats.org/officeDocument/2006/relationships" ref="I436" r:id="rId1224"/>
    <hyperlink xmlns:r="http://schemas.openxmlformats.org/officeDocument/2006/relationships" ref="J436" r:id="rId1225"/>
    <hyperlink xmlns:r="http://schemas.openxmlformats.org/officeDocument/2006/relationships" ref="K436" r:id="rId1226"/>
    <hyperlink xmlns:r="http://schemas.openxmlformats.org/officeDocument/2006/relationships" ref="I437" r:id="rId1227"/>
    <hyperlink xmlns:r="http://schemas.openxmlformats.org/officeDocument/2006/relationships" ref="J437" r:id="rId1228"/>
    <hyperlink xmlns:r="http://schemas.openxmlformats.org/officeDocument/2006/relationships" ref="K437" r:id="rId1229"/>
    <hyperlink xmlns:r="http://schemas.openxmlformats.org/officeDocument/2006/relationships" ref="I438" r:id="rId1230"/>
    <hyperlink xmlns:r="http://schemas.openxmlformats.org/officeDocument/2006/relationships" ref="J438" r:id="rId1231"/>
    <hyperlink xmlns:r="http://schemas.openxmlformats.org/officeDocument/2006/relationships" ref="K438" r:id="rId1232"/>
    <hyperlink xmlns:r="http://schemas.openxmlformats.org/officeDocument/2006/relationships" ref="I439" r:id="rId1233"/>
    <hyperlink xmlns:r="http://schemas.openxmlformats.org/officeDocument/2006/relationships" ref="J439" r:id="rId1234"/>
    <hyperlink xmlns:r="http://schemas.openxmlformats.org/officeDocument/2006/relationships" ref="K439" r:id="rId1235"/>
    <hyperlink xmlns:r="http://schemas.openxmlformats.org/officeDocument/2006/relationships" ref="I440" r:id="rId1236"/>
    <hyperlink xmlns:r="http://schemas.openxmlformats.org/officeDocument/2006/relationships" ref="J440" r:id="rId1237"/>
    <hyperlink xmlns:r="http://schemas.openxmlformats.org/officeDocument/2006/relationships" ref="K440" r:id="rId1238"/>
    <hyperlink xmlns:r="http://schemas.openxmlformats.org/officeDocument/2006/relationships" ref="I441" r:id="rId1239"/>
    <hyperlink xmlns:r="http://schemas.openxmlformats.org/officeDocument/2006/relationships" ref="J441" r:id="rId1240"/>
    <hyperlink xmlns:r="http://schemas.openxmlformats.org/officeDocument/2006/relationships" ref="K441" r:id="rId1241"/>
    <hyperlink xmlns:r="http://schemas.openxmlformats.org/officeDocument/2006/relationships" ref="I442" r:id="rId1242"/>
    <hyperlink xmlns:r="http://schemas.openxmlformats.org/officeDocument/2006/relationships" ref="I443" r:id="rId1243"/>
    <hyperlink xmlns:r="http://schemas.openxmlformats.org/officeDocument/2006/relationships" ref="I444" r:id="rId1244"/>
    <hyperlink xmlns:r="http://schemas.openxmlformats.org/officeDocument/2006/relationships" ref="I445" r:id="rId1245"/>
    <hyperlink xmlns:r="http://schemas.openxmlformats.org/officeDocument/2006/relationships" ref="J445" r:id="rId1246"/>
    <hyperlink xmlns:r="http://schemas.openxmlformats.org/officeDocument/2006/relationships" ref="K445" r:id="rId1247"/>
    <hyperlink xmlns:r="http://schemas.openxmlformats.org/officeDocument/2006/relationships" ref="I446" r:id="rId1248"/>
    <hyperlink xmlns:r="http://schemas.openxmlformats.org/officeDocument/2006/relationships" ref="J446" r:id="rId1249"/>
    <hyperlink xmlns:r="http://schemas.openxmlformats.org/officeDocument/2006/relationships" ref="K446" r:id="rId1250"/>
    <hyperlink xmlns:r="http://schemas.openxmlformats.org/officeDocument/2006/relationships" ref="I447" r:id="rId1251"/>
    <hyperlink xmlns:r="http://schemas.openxmlformats.org/officeDocument/2006/relationships" ref="J447" r:id="rId1252"/>
    <hyperlink xmlns:r="http://schemas.openxmlformats.org/officeDocument/2006/relationships" ref="K447" r:id="rId1253"/>
    <hyperlink xmlns:r="http://schemas.openxmlformats.org/officeDocument/2006/relationships" ref="I448" r:id="rId1254"/>
    <hyperlink xmlns:r="http://schemas.openxmlformats.org/officeDocument/2006/relationships" ref="J448" r:id="rId1255"/>
    <hyperlink xmlns:r="http://schemas.openxmlformats.org/officeDocument/2006/relationships" ref="K448" r:id="rId1256"/>
    <hyperlink xmlns:r="http://schemas.openxmlformats.org/officeDocument/2006/relationships" ref="I449" r:id="rId1257"/>
    <hyperlink xmlns:r="http://schemas.openxmlformats.org/officeDocument/2006/relationships" ref="J449" r:id="rId1258"/>
    <hyperlink xmlns:r="http://schemas.openxmlformats.org/officeDocument/2006/relationships" ref="K449" r:id="rId1259"/>
    <hyperlink xmlns:r="http://schemas.openxmlformats.org/officeDocument/2006/relationships" ref="I450" r:id="rId1260"/>
    <hyperlink xmlns:r="http://schemas.openxmlformats.org/officeDocument/2006/relationships" ref="J450" r:id="rId1261"/>
    <hyperlink xmlns:r="http://schemas.openxmlformats.org/officeDocument/2006/relationships" ref="K450" r:id="rId1262"/>
    <hyperlink xmlns:r="http://schemas.openxmlformats.org/officeDocument/2006/relationships" ref="I451" r:id="rId1263"/>
    <hyperlink xmlns:r="http://schemas.openxmlformats.org/officeDocument/2006/relationships" ref="J451" r:id="rId1264"/>
    <hyperlink xmlns:r="http://schemas.openxmlformats.org/officeDocument/2006/relationships" ref="K451" r:id="rId1265"/>
    <hyperlink xmlns:r="http://schemas.openxmlformats.org/officeDocument/2006/relationships" ref="I452" r:id="rId1266"/>
    <hyperlink xmlns:r="http://schemas.openxmlformats.org/officeDocument/2006/relationships" ref="J452" r:id="rId1267"/>
    <hyperlink xmlns:r="http://schemas.openxmlformats.org/officeDocument/2006/relationships" ref="K452" r:id="rId1268"/>
    <hyperlink xmlns:r="http://schemas.openxmlformats.org/officeDocument/2006/relationships" ref="I453" r:id="rId1269"/>
    <hyperlink xmlns:r="http://schemas.openxmlformats.org/officeDocument/2006/relationships" ref="J453" r:id="rId1270"/>
    <hyperlink xmlns:r="http://schemas.openxmlformats.org/officeDocument/2006/relationships" ref="K453" r:id="rId1271"/>
    <hyperlink xmlns:r="http://schemas.openxmlformats.org/officeDocument/2006/relationships" ref="I454" r:id="rId1272"/>
    <hyperlink xmlns:r="http://schemas.openxmlformats.org/officeDocument/2006/relationships" ref="J454" r:id="rId1273"/>
    <hyperlink xmlns:r="http://schemas.openxmlformats.org/officeDocument/2006/relationships" ref="K454" r:id="rId1274"/>
    <hyperlink xmlns:r="http://schemas.openxmlformats.org/officeDocument/2006/relationships" ref="I455" r:id="rId1275"/>
    <hyperlink xmlns:r="http://schemas.openxmlformats.org/officeDocument/2006/relationships" ref="J455" r:id="rId1276"/>
    <hyperlink xmlns:r="http://schemas.openxmlformats.org/officeDocument/2006/relationships" ref="K455" r:id="rId1277"/>
    <hyperlink xmlns:r="http://schemas.openxmlformats.org/officeDocument/2006/relationships" ref="I456" r:id="rId1278"/>
    <hyperlink xmlns:r="http://schemas.openxmlformats.org/officeDocument/2006/relationships" ref="J456" r:id="rId1279"/>
    <hyperlink xmlns:r="http://schemas.openxmlformats.org/officeDocument/2006/relationships" ref="K456" r:id="rId1280"/>
    <hyperlink xmlns:r="http://schemas.openxmlformats.org/officeDocument/2006/relationships" ref="I457" r:id="rId1281"/>
    <hyperlink xmlns:r="http://schemas.openxmlformats.org/officeDocument/2006/relationships" ref="J457" r:id="rId1282"/>
    <hyperlink xmlns:r="http://schemas.openxmlformats.org/officeDocument/2006/relationships" ref="K457" r:id="rId1283"/>
    <hyperlink xmlns:r="http://schemas.openxmlformats.org/officeDocument/2006/relationships" ref="I458" r:id="rId1284"/>
    <hyperlink xmlns:r="http://schemas.openxmlformats.org/officeDocument/2006/relationships" ref="J458" r:id="rId1285"/>
    <hyperlink xmlns:r="http://schemas.openxmlformats.org/officeDocument/2006/relationships" ref="K458" r:id="rId1286"/>
    <hyperlink xmlns:r="http://schemas.openxmlformats.org/officeDocument/2006/relationships" ref="I459" r:id="rId1287"/>
    <hyperlink xmlns:r="http://schemas.openxmlformats.org/officeDocument/2006/relationships" ref="J459" r:id="rId1288"/>
    <hyperlink xmlns:r="http://schemas.openxmlformats.org/officeDocument/2006/relationships" ref="K459" r:id="rId1289"/>
    <hyperlink xmlns:r="http://schemas.openxmlformats.org/officeDocument/2006/relationships" ref="I460" r:id="rId1290"/>
    <hyperlink xmlns:r="http://schemas.openxmlformats.org/officeDocument/2006/relationships" ref="J460" r:id="rId1291"/>
    <hyperlink xmlns:r="http://schemas.openxmlformats.org/officeDocument/2006/relationships" ref="K460" r:id="rId1292"/>
    <hyperlink xmlns:r="http://schemas.openxmlformats.org/officeDocument/2006/relationships" ref="I461" r:id="rId1293"/>
    <hyperlink xmlns:r="http://schemas.openxmlformats.org/officeDocument/2006/relationships" ref="J461" r:id="rId1294"/>
    <hyperlink xmlns:r="http://schemas.openxmlformats.org/officeDocument/2006/relationships" ref="K461" r:id="rId1295"/>
    <hyperlink xmlns:r="http://schemas.openxmlformats.org/officeDocument/2006/relationships" ref="I462" r:id="rId1296"/>
    <hyperlink xmlns:r="http://schemas.openxmlformats.org/officeDocument/2006/relationships" ref="J462" r:id="rId1297"/>
    <hyperlink xmlns:r="http://schemas.openxmlformats.org/officeDocument/2006/relationships" ref="K462" r:id="rId1298"/>
    <hyperlink xmlns:r="http://schemas.openxmlformats.org/officeDocument/2006/relationships" ref="I463" r:id="rId1299"/>
    <hyperlink xmlns:r="http://schemas.openxmlformats.org/officeDocument/2006/relationships" ref="J463" r:id="rId1300"/>
    <hyperlink xmlns:r="http://schemas.openxmlformats.org/officeDocument/2006/relationships" ref="K463" r:id="rId1301"/>
    <hyperlink xmlns:r="http://schemas.openxmlformats.org/officeDocument/2006/relationships" ref="I464" r:id="rId1302"/>
    <hyperlink xmlns:r="http://schemas.openxmlformats.org/officeDocument/2006/relationships" ref="J464" r:id="rId1303"/>
    <hyperlink xmlns:r="http://schemas.openxmlformats.org/officeDocument/2006/relationships" ref="K464" r:id="rId1304"/>
    <hyperlink xmlns:r="http://schemas.openxmlformats.org/officeDocument/2006/relationships" ref="I465" r:id="rId1305"/>
    <hyperlink xmlns:r="http://schemas.openxmlformats.org/officeDocument/2006/relationships" ref="J465" r:id="rId1306"/>
    <hyperlink xmlns:r="http://schemas.openxmlformats.org/officeDocument/2006/relationships" ref="K465" r:id="rId1307"/>
    <hyperlink xmlns:r="http://schemas.openxmlformats.org/officeDocument/2006/relationships" ref="I466" r:id="rId1308"/>
    <hyperlink xmlns:r="http://schemas.openxmlformats.org/officeDocument/2006/relationships" ref="J466" r:id="rId1309"/>
    <hyperlink xmlns:r="http://schemas.openxmlformats.org/officeDocument/2006/relationships" ref="K466" r:id="rId1310"/>
    <hyperlink xmlns:r="http://schemas.openxmlformats.org/officeDocument/2006/relationships" ref="I467" r:id="rId1311"/>
    <hyperlink xmlns:r="http://schemas.openxmlformats.org/officeDocument/2006/relationships" ref="J467" r:id="rId1312"/>
    <hyperlink xmlns:r="http://schemas.openxmlformats.org/officeDocument/2006/relationships" ref="K467" r:id="rId1313"/>
    <hyperlink xmlns:r="http://schemas.openxmlformats.org/officeDocument/2006/relationships" ref="I468" r:id="rId1314"/>
    <hyperlink xmlns:r="http://schemas.openxmlformats.org/officeDocument/2006/relationships" ref="J468" r:id="rId1315"/>
    <hyperlink xmlns:r="http://schemas.openxmlformats.org/officeDocument/2006/relationships" ref="K468" r:id="rId1316"/>
    <hyperlink xmlns:r="http://schemas.openxmlformats.org/officeDocument/2006/relationships" ref="I469" r:id="rId1317"/>
    <hyperlink xmlns:r="http://schemas.openxmlformats.org/officeDocument/2006/relationships" ref="J469" r:id="rId1318"/>
    <hyperlink xmlns:r="http://schemas.openxmlformats.org/officeDocument/2006/relationships" ref="K469" r:id="rId1319"/>
    <hyperlink xmlns:r="http://schemas.openxmlformats.org/officeDocument/2006/relationships" ref="I470" r:id="rId1320"/>
    <hyperlink xmlns:r="http://schemas.openxmlformats.org/officeDocument/2006/relationships" ref="J470" r:id="rId1321"/>
    <hyperlink xmlns:r="http://schemas.openxmlformats.org/officeDocument/2006/relationships" ref="K470" r:id="rId1322"/>
    <hyperlink xmlns:r="http://schemas.openxmlformats.org/officeDocument/2006/relationships" ref="I471" r:id="rId1323"/>
    <hyperlink xmlns:r="http://schemas.openxmlformats.org/officeDocument/2006/relationships" ref="J471" r:id="rId1324"/>
    <hyperlink xmlns:r="http://schemas.openxmlformats.org/officeDocument/2006/relationships" ref="K471" r:id="rId1325"/>
    <hyperlink xmlns:r="http://schemas.openxmlformats.org/officeDocument/2006/relationships" ref="I472" r:id="rId1326"/>
    <hyperlink xmlns:r="http://schemas.openxmlformats.org/officeDocument/2006/relationships" ref="J472" r:id="rId1327"/>
    <hyperlink xmlns:r="http://schemas.openxmlformats.org/officeDocument/2006/relationships" ref="K472" r:id="rId1328"/>
    <hyperlink xmlns:r="http://schemas.openxmlformats.org/officeDocument/2006/relationships" ref="I473" r:id="rId1329"/>
    <hyperlink xmlns:r="http://schemas.openxmlformats.org/officeDocument/2006/relationships" ref="J473" r:id="rId1330"/>
    <hyperlink xmlns:r="http://schemas.openxmlformats.org/officeDocument/2006/relationships" ref="K473" r:id="rId1331"/>
    <hyperlink xmlns:r="http://schemas.openxmlformats.org/officeDocument/2006/relationships" ref="I474" r:id="rId1332"/>
    <hyperlink xmlns:r="http://schemas.openxmlformats.org/officeDocument/2006/relationships" ref="J474" r:id="rId1333"/>
    <hyperlink xmlns:r="http://schemas.openxmlformats.org/officeDocument/2006/relationships" ref="K474" r:id="rId1334"/>
    <hyperlink xmlns:r="http://schemas.openxmlformats.org/officeDocument/2006/relationships" ref="I475" r:id="rId1335"/>
    <hyperlink xmlns:r="http://schemas.openxmlformats.org/officeDocument/2006/relationships" ref="J475" r:id="rId1336"/>
    <hyperlink xmlns:r="http://schemas.openxmlformats.org/officeDocument/2006/relationships" ref="K475" r:id="rId1337"/>
    <hyperlink xmlns:r="http://schemas.openxmlformats.org/officeDocument/2006/relationships" ref="I476" r:id="rId1338"/>
    <hyperlink xmlns:r="http://schemas.openxmlformats.org/officeDocument/2006/relationships" ref="J476" r:id="rId1339"/>
    <hyperlink xmlns:r="http://schemas.openxmlformats.org/officeDocument/2006/relationships" ref="K476" r:id="rId1340"/>
    <hyperlink xmlns:r="http://schemas.openxmlformats.org/officeDocument/2006/relationships" ref="I477" r:id="rId1341"/>
    <hyperlink xmlns:r="http://schemas.openxmlformats.org/officeDocument/2006/relationships" ref="J477" r:id="rId1342"/>
    <hyperlink xmlns:r="http://schemas.openxmlformats.org/officeDocument/2006/relationships" ref="K477" r:id="rId1343"/>
    <hyperlink xmlns:r="http://schemas.openxmlformats.org/officeDocument/2006/relationships" ref="I478" r:id="rId1344"/>
    <hyperlink xmlns:r="http://schemas.openxmlformats.org/officeDocument/2006/relationships" ref="J478" r:id="rId1345"/>
    <hyperlink xmlns:r="http://schemas.openxmlformats.org/officeDocument/2006/relationships" ref="K478" r:id="rId1346"/>
    <hyperlink xmlns:r="http://schemas.openxmlformats.org/officeDocument/2006/relationships" ref="I479" r:id="rId1347"/>
    <hyperlink xmlns:r="http://schemas.openxmlformats.org/officeDocument/2006/relationships" ref="J479" r:id="rId1348"/>
    <hyperlink xmlns:r="http://schemas.openxmlformats.org/officeDocument/2006/relationships" ref="K479" r:id="rId1349"/>
    <hyperlink xmlns:r="http://schemas.openxmlformats.org/officeDocument/2006/relationships" ref="I480" r:id="rId1350"/>
    <hyperlink xmlns:r="http://schemas.openxmlformats.org/officeDocument/2006/relationships" ref="J480" r:id="rId1351"/>
    <hyperlink xmlns:r="http://schemas.openxmlformats.org/officeDocument/2006/relationships" ref="K480" r:id="rId1352"/>
    <hyperlink xmlns:r="http://schemas.openxmlformats.org/officeDocument/2006/relationships" ref="I481" r:id="rId1353"/>
    <hyperlink xmlns:r="http://schemas.openxmlformats.org/officeDocument/2006/relationships" ref="J481" r:id="rId1354"/>
    <hyperlink xmlns:r="http://schemas.openxmlformats.org/officeDocument/2006/relationships" ref="K481" r:id="rId1355"/>
    <hyperlink xmlns:r="http://schemas.openxmlformats.org/officeDocument/2006/relationships" ref="I482" r:id="rId1356"/>
    <hyperlink xmlns:r="http://schemas.openxmlformats.org/officeDocument/2006/relationships" ref="J482" r:id="rId1357"/>
    <hyperlink xmlns:r="http://schemas.openxmlformats.org/officeDocument/2006/relationships" ref="K482" r:id="rId1358"/>
    <hyperlink xmlns:r="http://schemas.openxmlformats.org/officeDocument/2006/relationships" ref="I483" r:id="rId1359"/>
    <hyperlink xmlns:r="http://schemas.openxmlformats.org/officeDocument/2006/relationships" ref="J483" r:id="rId1360"/>
    <hyperlink xmlns:r="http://schemas.openxmlformats.org/officeDocument/2006/relationships" ref="K483" r:id="rId1361"/>
    <hyperlink xmlns:r="http://schemas.openxmlformats.org/officeDocument/2006/relationships" ref="I484" r:id="rId1362"/>
    <hyperlink xmlns:r="http://schemas.openxmlformats.org/officeDocument/2006/relationships" ref="J484" r:id="rId1363"/>
    <hyperlink xmlns:r="http://schemas.openxmlformats.org/officeDocument/2006/relationships" ref="K484" r:id="rId1364"/>
    <hyperlink xmlns:r="http://schemas.openxmlformats.org/officeDocument/2006/relationships" ref="I485" r:id="rId1365"/>
    <hyperlink xmlns:r="http://schemas.openxmlformats.org/officeDocument/2006/relationships" ref="J485" r:id="rId1366"/>
    <hyperlink xmlns:r="http://schemas.openxmlformats.org/officeDocument/2006/relationships" ref="K485" r:id="rId1367"/>
    <hyperlink xmlns:r="http://schemas.openxmlformats.org/officeDocument/2006/relationships" ref="I486" r:id="rId1368"/>
    <hyperlink xmlns:r="http://schemas.openxmlformats.org/officeDocument/2006/relationships" ref="J486" r:id="rId1369"/>
    <hyperlink xmlns:r="http://schemas.openxmlformats.org/officeDocument/2006/relationships" ref="K486" r:id="rId1370"/>
    <hyperlink xmlns:r="http://schemas.openxmlformats.org/officeDocument/2006/relationships" ref="I487" r:id="rId1371"/>
    <hyperlink xmlns:r="http://schemas.openxmlformats.org/officeDocument/2006/relationships" ref="J487" r:id="rId1372"/>
    <hyperlink xmlns:r="http://schemas.openxmlformats.org/officeDocument/2006/relationships" ref="K487" r:id="rId1373"/>
    <hyperlink xmlns:r="http://schemas.openxmlformats.org/officeDocument/2006/relationships" ref="I488" r:id="rId1374"/>
    <hyperlink xmlns:r="http://schemas.openxmlformats.org/officeDocument/2006/relationships" ref="J488" r:id="rId1375"/>
    <hyperlink xmlns:r="http://schemas.openxmlformats.org/officeDocument/2006/relationships" ref="K488" r:id="rId1376"/>
    <hyperlink xmlns:r="http://schemas.openxmlformats.org/officeDocument/2006/relationships" ref="I489" r:id="rId1377"/>
    <hyperlink xmlns:r="http://schemas.openxmlformats.org/officeDocument/2006/relationships" ref="J489" r:id="rId1378"/>
    <hyperlink xmlns:r="http://schemas.openxmlformats.org/officeDocument/2006/relationships" ref="K489" r:id="rId1379"/>
    <hyperlink xmlns:r="http://schemas.openxmlformats.org/officeDocument/2006/relationships" ref="I490" r:id="rId1380"/>
    <hyperlink xmlns:r="http://schemas.openxmlformats.org/officeDocument/2006/relationships" ref="J490" r:id="rId1381"/>
    <hyperlink xmlns:r="http://schemas.openxmlformats.org/officeDocument/2006/relationships" ref="K490" r:id="rId1382"/>
    <hyperlink xmlns:r="http://schemas.openxmlformats.org/officeDocument/2006/relationships" ref="I491" r:id="rId1383"/>
    <hyperlink xmlns:r="http://schemas.openxmlformats.org/officeDocument/2006/relationships" ref="J491" r:id="rId1384"/>
    <hyperlink xmlns:r="http://schemas.openxmlformats.org/officeDocument/2006/relationships" ref="K491" r:id="rId1385"/>
    <hyperlink xmlns:r="http://schemas.openxmlformats.org/officeDocument/2006/relationships" ref="I492" r:id="rId1386"/>
    <hyperlink xmlns:r="http://schemas.openxmlformats.org/officeDocument/2006/relationships" ref="J492" r:id="rId1387"/>
    <hyperlink xmlns:r="http://schemas.openxmlformats.org/officeDocument/2006/relationships" ref="K492" r:id="rId1388"/>
    <hyperlink xmlns:r="http://schemas.openxmlformats.org/officeDocument/2006/relationships" ref="I493" r:id="rId1389"/>
    <hyperlink xmlns:r="http://schemas.openxmlformats.org/officeDocument/2006/relationships" ref="J493" r:id="rId1390"/>
    <hyperlink xmlns:r="http://schemas.openxmlformats.org/officeDocument/2006/relationships" ref="K493" r:id="rId1391"/>
    <hyperlink xmlns:r="http://schemas.openxmlformats.org/officeDocument/2006/relationships" ref="I494" r:id="rId1392"/>
    <hyperlink xmlns:r="http://schemas.openxmlformats.org/officeDocument/2006/relationships" ref="J494" r:id="rId1393"/>
    <hyperlink xmlns:r="http://schemas.openxmlformats.org/officeDocument/2006/relationships" ref="K494" r:id="rId1394"/>
    <hyperlink xmlns:r="http://schemas.openxmlformats.org/officeDocument/2006/relationships" ref="I495" r:id="rId1395"/>
    <hyperlink xmlns:r="http://schemas.openxmlformats.org/officeDocument/2006/relationships" ref="J495" r:id="rId1396"/>
    <hyperlink xmlns:r="http://schemas.openxmlformats.org/officeDocument/2006/relationships" ref="K495" r:id="rId1397"/>
    <hyperlink xmlns:r="http://schemas.openxmlformats.org/officeDocument/2006/relationships" ref="I496" r:id="rId1398"/>
    <hyperlink xmlns:r="http://schemas.openxmlformats.org/officeDocument/2006/relationships" ref="J496" r:id="rId1399"/>
    <hyperlink xmlns:r="http://schemas.openxmlformats.org/officeDocument/2006/relationships" ref="K496" r:id="rId1400"/>
    <hyperlink xmlns:r="http://schemas.openxmlformats.org/officeDocument/2006/relationships" ref="I497" r:id="rId1401"/>
    <hyperlink xmlns:r="http://schemas.openxmlformats.org/officeDocument/2006/relationships" ref="J497" r:id="rId1402"/>
    <hyperlink xmlns:r="http://schemas.openxmlformats.org/officeDocument/2006/relationships" ref="K497" r:id="rId1403"/>
    <hyperlink xmlns:r="http://schemas.openxmlformats.org/officeDocument/2006/relationships" ref="I498" r:id="rId1404"/>
    <hyperlink xmlns:r="http://schemas.openxmlformats.org/officeDocument/2006/relationships" ref="J498" r:id="rId1405"/>
    <hyperlink xmlns:r="http://schemas.openxmlformats.org/officeDocument/2006/relationships" ref="K498" r:id="rId1406"/>
    <hyperlink xmlns:r="http://schemas.openxmlformats.org/officeDocument/2006/relationships" ref="I499" r:id="rId1407"/>
    <hyperlink xmlns:r="http://schemas.openxmlformats.org/officeDocument/2006/relationships" ref="J499" r:id="rId1408"/>
    <hyperlink xmlns:r="http://schemas.openxmlformats.org/officeDocument/2006/relationships" ref="K499" r:id="rId1409"/>
    <hyperlink xmlns:r="http://schemas.openxmlformats.org/officeDocument/2006/relationships" ref="I500" r:id="rId1410"/>
    <hyperlink xmlns:r="http://schemas.openxmlformats.org/officeDocument/2006/relationships" ref="J500" r:id="rId1411"/>
    <hyperlink xmlns:r="http://schemas.openxmlformats.org/officeDocument/2006/relationships" ref="K500" r:id="rId1412"/>
    <hyperlink xmlns:r="http://schemas.openxmlformats.org/officeDocument/2006/relationships" ref="I501" r:id="rId1413"/>
    <hyperlink xmlns:r="http://schemas.openxmlformats.org/officeDocument/2006/relationships" ref="J501" r:id="rId1414"/>
    <hyperlink xmlns:r="http://schemas.openxmlformats.org/officeDocument/2006/relationships" ref="K501" r:id="rId1415"/>
    <hyperlink xmlns:r="http://schemas.openxmlformats.org/officeDocument/2006/relationships" ref="I502" r:id="rId1416"/>
    <hyperlink xmlns:r="http://schemas.openxmlformats.org/officeDocument/2006/relationships" ref="J502" r:id="rId1417"/>
    <hyperlink xmlns:r="http://schemas.openxmlformats.org/officeDocument/2006/relationships" ref="K502" r:id="rId1418"/>
    <hyperlink xmlns:r="http://schemas.openxmlformats.org/officeDocument/2006/relationships" ref="I503" r:id="rId1419"/>
    <hyperlink xmlns:r="http://schemas.openxmlformats.org/officeDocument/2006/relationships" ref="J503" r:id="rId1420"/>
    <hyperlink xmlns:r="http://schemas.openxmlformats.org/officeDocument/2006/relationships" ref="K503" r:id="rId1421"/>
    <hyperlink xmlns:r="http://schemas.openxmlformats.org/officeDocument/2006/relationships" ref="I504" r:id="rId1422"/>
    <hyperlink xmlns:r="http://schemas.openxmlformats.org/officeDocument/2006/relationships" ref="J504" r:id="rId1423"/>
    <hyperlink xmlns:r="http://schemas.openxmlformats.org/officeDocument/2006/relationships" ref="K504" r:id="rId1424"/>
    <hyperlink xmlns:r="http://schemas.openxmlformats.org/officeDocument/2006/relationships" ref="I505" r:id="rId1425"/>
    <hyperlink xmlns:r="http://schemas.openxmlformats.org/officeDocument/2006/relationships" ref="J505" r:id="rId1426"/>
    <hyperlink xmlns:r="http://schemas.openxmlformats.org/officeDocument/2006/relationships" ref="K505" r:id="rId1427"/>
    <hyperlink xmlns:r="http://schemas.openxmlformats.org/officeDocument/2006/relationships" ref="I506" r:id="rId1428"/>
    <hyperlink xmlns:r="http://schemas.openxmlformats.org/officeDocument/2006/relationships" ref="J506" r:id="rId1429"/>
    <hyperlink xmlns:r="http://schemas.openxmlformats.org/officeDocument/2006/relationships" ref="K506" r:id="rId1430"/>
    <hyperlink xmlns:r="http://schemas.openxmlformats.org/officeDocument/2006/relationships" ref="I507" r:id="rId1431"/>
    <hyperlink xmlns:r="http://schemas.openxmlformats.org/officeDocument/2006/relationships" ref="J507" r:id="rId1432"/>
    <hyperlink xmlns:r="http://schemas.openxmlformats.org/officeDocument/2006/relationships" ref="K507" r:id="rId1433"/>
    <hyperlink xmlns:r="http://schemas.openxmlformats.org/officeDocument/2006/relationships" ref="I508" r:id="rId1434"/>
    <hyperlink xmlns:r="http://schemas.openxmlformats.org/officeDocument/2006/relationships" ref="J508" r:id="rId1435"/>
    <hyperlink xmlns:r="http://schemas.openxmlformats.org/officeDocument/2006/relationships" ref="K508" r:id="rId1436"/>
    <hyperlink xmlns:r="http://schemas.openxmlformats.org/officeDocument/2006/relationships" ref="I509" r:id="rId1437"/>
    <hyperlink xmlns:r="http://schemas.openxmlformats.org/officeDocument/2006/relationships" ref="J509" r:id="rId1438"/>
    <hyperlink xmlns:r="http://schemas.openxmlformats.org/officeDocument/2006/relationships" ref="K509" r:id="rId1439"/>
    <hyperlink xmlns:r="http://schemas.openxmlformats.org/officeDocument/2006/relationships" ref="I510" r:id="rId1440"/>
    <hyperlink xmlns:r="http://schemas.openxmlformats.org/officeDocument/2006/relationships" ref="J510" r:id="rId1441"/>
    <hyperlink xmlns:r="http://schemas.openxmlformats.org/officeDocument/2006/relationships" ref="K510" r:id="rId1442"/>
    <hyperlink xmlns:r="http://schemas.openxmlformats.org/officeDocument/2006/relationships" ref="I511" r:id="rId1443"/>
    <hyperlink xmlns:r="http://schemas.openxmlformats.org/officeDocument/2006/relationships" ref="J511" r:id="rId1444"/>
    <hyperlink xmlns:r="http://schemas.openxmlformats.org/officeDocument/2006/relationships" ref="K511" r:id="rId1445"/>
    <hyperlink xmlns:r="http://schemas.openxmlformats.org/officeDocument/2006/relationships" ref="I512" r:id="rId1446"/>
    <hyperlink xmlns:r="http://schemas.openxmlformats.org/officeDocument/2006/relationships" ref="J512" r:id="rId1447"/>
    <hyperlink xmlns:r="http://schemas.openxmlformats.org/officeDocument/2006/relationships" ref="K512" r:id="rId1448"/>
    <hyperlink xmlns:r="http://schemas.openxmlformats.org/officeDocument/2006/relationships" ref="I513" r:id="rId1449"/>
    <hyperlink xmlns:r="http://schemas.openxmlformats.org/officeDocument/2006/relationships" ref="J513" r:id="rId1450"/>
    <hyperlink xmlns:r="http://schemas.openxmlformats.org/officeDocument/2006/relationships" ref="K513" r:id="rId1451"/>
    <hyperlink xmlns:r="http://schemas.openxmlformats.org/officeDocument/2006/relationships" ref="I514" r:id="rId1452"/>
    <hyperlink xmlns:r="http://schemas.openxmlformats.org/officeDocument/2006/relationships" ref="J514" r:id="rId1453"/>
    <hyperlink xmlns:r="http://schemas.openxmlformats.org/officeDocument/2006/relationships" ref="K514" r:id="rId1454"/>
    <hyperlink xmlns:r="http://schemas.openxmlformats.org/officeDocument/2006/relationships" ref="I515" r:id="rId1455"/>
    <hyperlink xmlns:r="http://schemas.openxmlformats.org/officeDocument/2006/relationships" ref="J515" r:id="rId1456"/>
    <hyperlink xmlns:r="http://schemas.openxmlformats.org/officeDocument/2006/relationships" ref="K515" r:id="rId1457"/>
    <hyperlink xmlns:r="http://schemas.openxmlformats.org/officeDocument/2006/relationships" ref="I516" r:id="rId1458"/>
    <hyperlink xmlns:r="http://schemas.openxmlformats.org/officeDocument/2006/relationships" ref="J516" r:id="rId1459"/>
    <hyperlink xmlns:r="http://schemas.openxmlformats.org/officeDocument/2006/relationships" ref="K516" r:id="rId1460"/>
    <hyperlink xmlns:r="http://schemas.openxmlformats.org/officeDocument/2006/relationships" ref="I517" r:id="rId1461"/>
    <hyperlink xmlns:r="http://schemas.openxmlformats.org/officeDocument/2006/relationships" ref="J517" r:id="rId1462"/>
    <hyperlink xmlns:r="http://schemas.openxmlformats.org/officeDocument/2006/relationships" ref="K517" r:id="rId1463"/>
    <hyperlink xmlns:r="http://schemas.openxmlformats.org/officeDocument/2006/relationships" ref="I518" r:id="rId1464"/>
    <hyperlink xmlns:r="http://schemas.openxmlformats.org/officeDocument/2006/relationships" ref="J518" r:id="rId1465"/>
    <hyperlink xmlns:r="http://schemas.openxmlformats.org/officeDocument/2006/relationships" ref="K518" r:id="rId1466"/>
    <hyperlink xmlns:r="http://schemas.openxmlformats.org/officeDocument/2006/relationships" ref="I519" r:id="rId1467"/>
    <hyperlink xmlns:r="http://schemas.openxmlformats.org/officeDocument/2006/relationships" ref="J519" r:id="rId1468"/>
    <hyperlink xmlns:r="http://schemas.openxmlformats.org/officeDocument/2006/relationships" ref="K519" r:id="rId1469"/>
    <hyperlink xmlns:r="http://schemas.openxmlformats.org/officeDocument/2006/relationships" ref="I520" r:id="rId1470"/>
    <hyperlink xmlns:r="http://schemas.openxmlformats.org/officeDocument/2006/relationships" ref="J520" r:id="rId1471"/>
    <hyperlink xmlns:r="http://schemas.openxmlformats.org/officeDocument/2006/relationships" ref="K520" r:id="rId1472"/>
    <hyperlink xmlns:r="http://schemas.openxmlformats.org/officeDocument/2006/relationships" ref="I521" r:id="rId1473"/>
    <hyperlink xmlns:r="http://schemas.openxmlformats.org/officeDocument/2006/relationships" ref="J521" r:id="rId1474"/>
    <hyperlink xmlns:r="http://schemas.openxmlformats.org/officeDocument/2006/relationships" ref="K521" r:id="rId1475"/>
    <hyperlink xmlns:r="http://schemas.openxmlformats.org/officeDocument/2006/relationships" ref="I522" r:id="rId1476"/>
    <hyperlink xmlns:r="http://schemas.openxmlformats.org/officeDocument/2006/relationships" ref="J522" r:id="rId1477"/>
    <hyperlink xmlns:r="http://schemas.openxmlformats.org/officeDocument/2006/relationships" ref="K522" r:id="rId1478"/>
    <hyperlink xmlns:r="http://schemas.openxmlformats.org/officeDocument/2006/relationships" ref="I523" r:id="rId1479"/>
    <hyperlink xmlns:r="http://schemas.openxmlformats.org/officeDocument/2006/relationships" ref="J523" r:id="rId1480"/>
    <hyperlink xmlns:r="http://schemas.openxmlformats.org/officeDocument/2006/relationships" ref="K523" r:id="rId1481"/>
    <hyperlink xmlns:r="http://schemas.openxmlformats.org/officeDocument/2006/relationships" ref="I524" r:id="rId1482"/>
    <hyperlink xmlns:r="http://schemas.openxmlformats.org/officeDocument/2006/relationships" ref="J524" r:id="rId1483"/>
    <hyperlink xmlns:r="http://schemas.openxmlformats.org/officeDocument/2006/relationships" ref="K524" r:id="rId1484"/>
    <hyperlink xmlns:r="http://schemas.openxmlformats.org/officeDocument/2006/relationships" ref="I525" r:id="rId1485"/>
    <hyperlink xmlns:r="http://schemas.openxmlformats.org/officeDocument/2006/relationships" ref="J525" r:id="rId1486"/>
    <hyperlink xmlns:r="http://schemas.openxmlformats.org/officeDocument/2006/relationships" ref="K525" r:id="rId1487"/>
    <hyperlink xmlns:r="http://schemas.openxmlformats.org/officeDocument/2006/relationships" ref="I526" r:id="rId1488"/>
    <hyperlink xmlns:r="http://schemas.openxmlformats.org/officeDocument/2006/relationships" ref="J526" r:id="rId1489"/>
    <hyperlink xmlns:r="http://schemas.openxmlformats.org/officeDocument/2006/relationships" ref="K526" r:id="rId1490"/>
    <hyperlink xmlns:r="http://schemas.openxmlformats.org/officeDocument/2006/relationships" ref="I527" r:id="rId1491"/>
    <hyperlink xmlns:r="http://schemas.openxmlformats.org/officeDocument/2006/relationships" ref="J527" r:id="rId1492"/>
    <hyperlink xmlns:r="http://schemas.openxmlformats.org/officeDocument/2006/relationships" ref="K527" r:id="rId1493"/>
    <hyperlink xmlns:r="http://schemas.openxmlformats.org/officeDocument/2006/relationships" ref="I528" r:id="rId1494"/>
    <hyperlink xmlns:r="http://schemas.openxmlformats.org/officeDocument/2006/relationships" ref="J528" r:id="rId1495"/>
    <hyperlink xmlns:r="http://schemas.openxmlformats.org/officeDocument/2006/relationships" ref="K528" r:id="rId1496"/>
    <hyperlink xmlns:r="http://schemas.openxmlformats.org/officeDocument/2006/relationships" ref="I529" r:id="rId1497"/>
    <hyperlink xmlns:r="http://schemas.openxmlformats.org/officeDocument/2006/relationships" ref="J529" r:id="rId1498"/>
    <hyperlink xmlns:r="http://schemas.openxmlformats.org/officeDocument/2006/relationships" ref="K529" r:id="rId1499"/>
    <hyperlink xmlns:r="http://schemas.openxmlformats.org/officeDocument/2006/relationships" ref="I530" r:id="rId1500"/>
    <hyperlink xmlns:r="http://schemas.openxmlformats.org/officeDocument/2006/relationships" ref="J530" r:id="rId1501"/>
    <hyperlink xmlns:r="http://schemas.openxmlformats.org/officeDocument/2006/relationships" ref="K530" r:id="rId1502"/>
    <hyperlink xmlns:r="http://schemas.openxmlformats.org/officeDocument/2006/relationships" ref="I531" r:id="rId1503"/>
    <hyperlink xmlns:r="http://schemas.openxmlformats.org/officeDocument/2006/relationships" ref="J531" r:id="rId1504"/>
    <hyperlink xmlns:r="http://schemas.openxmlformats.org/officeDocument/2006/relationships" ref="K531" r:id="rId1505"/>
    <hyperlink xmlns:r="http://schemas.openxmlformats.org/officeDocument/2006/relationships" ref="I532" r:id="rId1506"/>
    <hyperlink xmlns:r="http://schemas.openxmlformats.org/officeDocument/2006/relationships" ref="J532" r:id="rId1507"/>
    <hyperlink xmlns:r="http://schemas.openxmlformats.org/officeDocument/2006/relationships" ref="K532" r:id="rId1508"/>
    <hyperlink xmlns:r="http://schemas.openxmlformats.org/officeDocument/2006/relationships" ref="I533" r:id="rId1509"/>
    <hyperlink xmlns:r="http://schemas.openxmlformats.org/officeDocument/2006/relationships" ref="J533" r:id="rId1510"/>
    <hyperlink xmlns:r="http://schemas.openxmlformats.org/officeDocument/2006/relationships" ref="K533" r:id="rId1511"/>
    <hyperlink xmlns:r="http://schemas.openxmlformats.org/officeDocument/2006/relationships" ref="I534" r:id="rId1512"/>
    <hyperlink xmlns:r="http://schemas.openxmlformats.org/officeDocument/2006/relationships" ref="J534" r:id="rId1513"/>
    <hyperlink xmlns:r="http://schemas.openxmlformats.org/officeDocument/2006/relationships" ref="K534" r:id="rId1514"/>
    <hyperlink xmlns:r="http://schemas.openxmlformats.org/officeDocument/2006/relationships" ref="I535" r:id="rId1515"/>
    <hyperlink xmlns:r="http://schemas.openxmlformats.org/officeDocument/2006/relationships" ref="J535" r:id="rId1516"/>
    <hyperlink xmlns:r="http://schemas.openxmlformats.org/officeDocument/2006/relationships" ref="K535" r:id="rId1517"/>
    <hyperlink xmlns:r="http://schemas.openxmlformats.org/officeDocument/2006/relationships" ref="I536" r:id="rId1518"/>
    <hyperlink xmlns:r="http://schemas.openxmlformats.org/officeDocument/2006/relationships" ref="J536" r:id="rId1519"/>
    <hyperlink xmlns:r="http://schemas.openxmlformats.org/officeDocument/2006/relationships" ref="K536" r:id="rId1520"/>
    <hyperlink xmlns:r="http://schemas.openxmlformats.org/officeDocument/2006/relationships" ref="I537" r:id="rId1521"/>
    <hyperlink xmlns:r="http://schemas.openxmlformats.org/officeDocument/2006/relationships" ref="J537" r:id="rId1522"/>
    <hyperlink xmlns:r="http://schemas.openxmlformats.org/officeDocument/2006/relationships" ref="K537" r:id="rId1523"/>
    <hyperlink xmlns:r="http://schemas.openxmlformats.org/officeDocument/2006/relationships" ref="I538" r:id="rId1524"/>
    <hyperlink xmlns:r="http://schemas.openxmlformats.org/officeDocument/2006/relationships" ref="J538" r:id="rId1525"/>
    <hyperlink xmlns:r="http://schemas.openxmlformats.org/officeDocument/2006/relationships" ref="K538" r:id="rId1526"/>
    <hyperlink xmlns:r="http://schemas.openxmlformats.org/officeDocument/2006/relationships" ref="I539" r:id="rId1527"/>
    <hyperlink xmlns:r="http://schemas.openxmlformats.org/officeDocument/2006/relationships" ref="J539" r:id="rId1528"/>
    <hyperlink xmlns:r="http://schemas.openxmlformats.org/officeDocument/2006/relationships" ref="K539" r:id="rId1529"/>
    <hyperlink xmlns:r="http://schemas.openxmlformats.org/officeDocument/2006/relationships" ref="I540" r:id="rId1530"/>
    <hyperlink xmlns:r="http://schemas.openxmlformats.org/officeDocument/2006/relationships" ref="J540" r:id="rId1531"/>
    <hyperlink xmlns:r="http://schemas.openxmlformats.org/officeDocument/2006/relationships" ref="K540" r:id="rId1532"/>
    <hyperlink xmlns:r="http://schemas.openxmlformats.org/officeDocument/2006/relationships" ref="I541" r:id="rId1533"/>
    <hyperlink xmlns:r="http://schemas.openxmlformats.org/officeDocument/2006/relationships" ref="J541" r:id="rId1534"/>
    <hyperlink xmlns:r="http://schemas.openxmlformats.org/officeDocument/2006/relationships" ref="K541" r:id="rId1535"/>
    <hyperlink xmlns:r="http://schemas.openxmlformats.org/officeDocument/2006/relationships" ref="I542" r:id="rId1536"/>
    <hyperlink xmlns:r="http://schemas.openxmlformats.org/officeDocument/2006/relationships" ref="J542" r:id="rId1537"/>
    <hyperlink xmlns:r="http://schemas.openxmlformats.org/officeDocument/2006/relationships" ref="K542" r:id="rId1538"/>
    <hyperlink xmlns:r="http://schemas.openxmlformats.org/officeDocument/2006/relationships" ref="I543" r:id="rId1539"/>
    <hyperlink xmlns:r="http://schemas.openxmlformats.org/officeDocument/2006/relationships" ref="J543" r:id="rId1540"/>
    <hyperlink xmlns:r="http://schemas.openxmlformats.org/officeDocument/2006/relationships" ref="K543" r:id="rId1541"/>
    <hyperlink xmlns:r="http://schemas.openxmlformats.org/officeDocument/2006/relationships" ref="I544" r:id="rId1542"/>
    <hyperlink xmlns:r="http://schemas.openxmlformats.org/officeDocument/2006/relationships" ref="J544" r:id="rId1543"/>
    <hyperlink xmlns:r="http://schemas.openxmlformats.org/officeDocument/2006/relationships" ref="K544" r:id="rId1544"/>
    <hyperlink xmlns:r="http://schemas.openxmlformats.org/officeDocument/2006/relationships" ref="I545" r:id="rId1545"/>
    <hyperlink xmlns:r="http://schemas.openxmlformats.org/officeDocument/2006/relationships" ref="J545" r:id="rId1546"/>
    <hyperlink xmlns:r="http://schemas.openxmlformats.org/officeDocument/2006/relationships" ref="K545" r:id="rId1547"/>
    <hyperlink xmlns:r="http://schemas.openxmlformats.org/officeDocument/2006/relationships" ref="I546" r:id="rId1548"/>
    <hyperlink xmlns:r="http://schemas.openxmlformats.org/officeDocument/2006/relationships" ref="J546" r:id="rId1549"/>
    <hyperlink xmlns:r="http://schemas.openxmlformats.org/officeDocument/2006/relationships" ref="K546" r:id="rId1550"/>
    <hyperlink xmlns:r="http://schemas.openxmlformats.org/officeDocument/2006/relationships" ref="I547" r:id="rId1551"/>
    <hyperlink xmlns:r="http://schemas.openxmlformats.org/officeDocument/2006/relationships" ref="J547" r:id="rId1552"/>
    <hyperlink xmlns:r="http://schemas.openxmlformats.org/officeDocument/2006/relationships" ref="K547" r:id="rId1553"/>
    <hyperlink xmlns:r="http://schemas.openxmlformats.org/officeDocument/2006/relationships" ref="I548" r:id="rId1554"/>
    <hyperlink xmlns:r="http://schemas.openxmlformats.org/officeDocument/2006/relationships" ref="J548" r:id="rId1555"/>
    <hyperlink xmlns:r="http://schemas.openxmlformats.org/officeDocument/2006/relationships" ref="K548" r:id="rId1556"/>
    <hyperlink xmlns:r="http://schemas.openxmlformats.org/officeDocument/2006/relationships" ref="I549" r:id="rId1557"/>
    <hyperlink xmlns:r="http://schemas.openxmlformats.org/officeDocument/2006/relationships" ref="J549" r:id="rId1558"/>
    <hyperlink xmlns:r="http://schemas.openxmlformats.org/officeDocument/2006/relationships" ref="K549" r:id="rId1559"/>
    <hyperlink xmlns:r="http://schemas.openxmlformats.org/officeDocument/2006/relationships" ref="I550" r:id="rId1560"/>
    <hyperlink xmlns:r="http://schemas.openxmlformats.org/officeDocument/2006/relationships" ref="J550" r:id="rId1561"/>
    <hyperlink xmlns:r="http://schemas.openxmlformats.org/officeDocument/2006/relationships" ref="K550" r:id="rId1562"/>
    <hyperlink xmlns:r="http://schemas.openxmlformats.org/officeDocument/2006/relationships" ref="I551" r:id="rId1563"/>
    <hyperlink xmlns:r="http://schemas.openxmlformats.org/officeDocument/2006/relationships" ref="J551" r:id="rId1564"/>
    <hyperlink xmlns:r="http://schemas.openxmlformats.org/officeDocument/2006/relationships" ref="K551" r:id="rId1565"/>
    <hyperlink xmlns:r="http://schemas.openxmlformats.org/officeDocument/2006/relationships" ref="I552" r:id="rId1566"/>
    <hyperlink xmlns:r="http://schemas.openxmlformats.org/officeDocument/2006/relationships" ref="J552" r:id="rId1567"/>
    <hyperlink xmlns:r="http://schemas.openxmlformats.org/officeDocument/2006/relationships" ref="K552" r:id="rId1568"/>
    <hyperlink xmlns:r="http://schemas.openxmlformats.org/officeDocument/2006/relationships" ref="I553" r:id="rId1569"/>
    <hyperlink xmlns:r="http://schemas.openxmlformats.org/officeDocument/2006/relationships" ref="J553" r:id="rId1570"/>
    <hyperlink xmlns:r="http://schemas.openxmlformats.org/officeDocument/2006/relationships" ref="I554" r:id="rId1571"/>
    <hyperlink xmlns:r="http://schemas.openxmlformats.org/officeDocument/2006/relationships" ref="J554" r:id="rId1572"/>
    <hyperlink xmlns:r="http://schemas.openxmlformats.org/officeDocument/2006/relationships" ref="I555" r:id="rId1573"/>
    <hyperlink xmlns:r="http://schemas.openxmlformats.org/officeDocument/2006/relationships" ref="J555" r:id="rId1574"/>
    <hyperlink xmlns:r="http://schemas.openxmlformats.org/officeDocument/2006/relationships" ref="K555" r:id="rId1575"/>
    <hyperlink xmlns:r="http://schemas.openxmlformats.org/officeDocument/2006/relationships" ref="I557" r:id="rId1576"/>
    <hyperlink xmlns:r="http://schemas.openxmlformats.org/officeDocument/2006/relationships" ref="J557" r:id="rId1577"/>
    <hyperlink xmlns:r="http://schemas.openxmlformats.org/officeDocument/2006/relationships" ref="K557" r:id="rId1578"/>
    <hyperlink xmlns:r="http://schemas.openxmlformats.org/officeDocument/2006/relationships" ref="I558" r:id="rId1579"/>
    <hyperlink xmlns:r="http://schemas.openxmlformats.org/officeDocument/2006/relationships" ref="J558" r:id="rId1580"/>
    <hyperlink xmlns:r="http://schemas.openxmlformats.org/officeDocument/2006/relationships" ref="K558" r:id="rId1581"/>
    <hyperlink xmlns:r="http://schemas.openxmlformats.org/officeDocument/2006/relationships" ref="I559" r:id="rId1582"/>
    <hyperlink xmlns:r="http://schemas.openxmlformats.org/officeDocument/2006/relationships" ref="J559" r:id="rId1583"/>
    <hyperlink xmlns:r="http://schemas.openxmlformats.org/officeDocument/2006/relationships" ref="K559" r:id="rId1584"/>
    <hyperlink xmlns:r="http://schemas.openxmlformats.org/officeDocument/2006/relationships" ref="I560" r:id="rId1585"/>
    <hyperlink xmlns:r="http://schemas.openxmlformats.org/officeDocument/2006/relationships" ref="J560" r:id="rId1586"/>
    <hyperlink xmlns:r="http://schemas.openxmlformats.org/officeDocument/2006/relationships" ref="K560" r:id="rId1587"/>
    <hyperlink xmlns:r="http://schemas.openxmlformats.org/officeDocument/2006/relationships" ref="I561" r:id="rId1588"/>
    <hyperlink xmlns:r="http://schemas.openxmlformats.org/officeDocument/2006/relationships" ref="J561" r:id="rId1589"/>
    <hyperlink xmlns:r="http://schemas.openxmlformats.org/officeDocument/2006/relationships" ref="K561" r:id="rId1590"/>
    <hyperlink xmlns:r="http://schemas.openxmlformats.org/officeDocument/2006/relationships" ref="I562" r:id="rId1591"/>
    <hyperlink xmlns:r="http://schemas.openxmlformats.org/officeDocument/2006/relationships" ref="J562" r:id="rId1592"/>
    <hyperlink xmlns:r="http://schemas.openxmlformats.org/officeDocument/2006/relationships" ref="I563" r:id="rId1593"/>
    <hyperlink xmlns:r="http://schemas.openxmlformats.org/officeDocument/2006/relationships" ref="J563" r:id="rId1594"/>
    <hyperlink xmlns:r="http://schemas.openxmlformats.org/officeDocument/2006/relationships" ref="I564" r:id="rId1595"/>
    <hyperlink xmlns:r="http://schemas.openxmlformats.org/officeDocument/2006/relationships" ref="J564" r:id="rId1596"/>
    <hyperlink xmlns:r="http://schemas.openxmlformats.org/officeDocument/2006/relationships" ref="I565" r:id="rId1597"/>
    <hyperlink xmlns:r="http://schemas.openxmlformats.org/officeDocument/2006/relationships" ref="J565" r:id="rId1598"/>
    <hyperlink xmlns:r="http://schemas.openxmlformats.org/officeDocument/2006/relationships" ref="I566" r:id="rId1599"/>
    <hyperlink xmlns:r="http://schemas.openxmlformats.org/officeDocument/2006/relationships" ref="J566" r:id="rId1600"/>
    <hyperlink xmlns:r="http://schemas.openxmlformats.org/officeDocument/2006/relationships" ref="K566" r:id="rId1601"/>
    <hyperlink xmlns:r="http://schemas.openxmlformats.org/officeDocument/2006/relationships" ref="I567" r:id="rId1602"/>
    <hyperlink xmlns:r="http://schemas.openxmlformats.org/officeDocument/2006/relationships" ref="J567" r:id="rId1603"/>
    <hyperlink xmlns:r="http://schemas.openxmlformats.org/officeDocument/2006/relationships" ref="K567" r:id="rId1604"/>
    <hyperlink xmlns:r="http://schemas.openxmlformats.org/officeDocument/2006/relationships" ref="I568" r:id="rId1605"/>
    <hyperlink xmlns:r="http://schemas.openxmlformats.org/officeDocument/2006/relationships" ref="J568" r:id="rId1606"/>
    <hyperlink xmlns:r="http://schemas.openxmlformats.org/officeDocument/2006/relationships" ref="K568" r:id="rId1607"/>
    <hyperlink xmlns:r="http://schemas.openxmlformats.org/officeDocument/2006/relationships" ref="I569" r:id="rId1608"/>
    <hyperlink xmlns:r="http://schemas.openxmlformats.org/officeDocument/2006/relationships" ref="J569" r:id="rId1609"/>
    <hyperlink xmlns:r="http://schemas.openxmlformats.org/officeDocument/2006/relationships" ref="K569" r:id="rId1610"/>
    <hyperlink xmlns:r="http://schemas.openxmlformats.org/officeDocument/2006/relationships" ref="I570" r:id="rId1611"/>
    <hyperlink xmlns:r="http://schemas.openxmlformats.org/officeDocument/2006/relationships" ref="J570" r:id="rId1612"/>
    <hyperlink xmlns:r="http://schemas.openxmlformats.org/officeDocument/2006/relationships" ref="K570" r:id="rId1613"/>
    <hyperlink xmlns:r="http://schemas.openxmlformats.org/officeDocument/2006/relationships" ref="I571" r:id="rId1614"/>
    <hyperlink xmlns:r="http://schemas.openxmlformats.org/officeDocument/2006/relationships" ref="J571" r:id="rId1615"/>
    <hyperlink xmlns:r="http://schemas.openxmlformats.org/officeDocument/2006/relationships" ref="K571" r:id="rId1616"/>
    <hyperlink xmlns:r="http://schemas.openxmlformats.org/officeDocument/2006/relationships" ref="I572" r:id="rId1617"/>
    <hyperlink xmlns:r="http://schemas.openxmlformats.org/officeDocument/2006/relationships" ref="J572" r:id="rId1618"/>
    <hyperlink xmlns:r="http://schemas.openxmlformats.org/officeDocument/2006/relationships" ref="K572" r:id="rId1619"/>
    <hyperlink xmlns:r="http://schemas.openxmlformats.org/officeDocument/2006/relationships" ref="I573" r:id="rId1620"/>
    <hyperlink xmlns:r="http://schemas.openxmlformats.org/officeDocument/2006/relationships" ref="J573" r:id="rId1621"/>
    <hyperlink xmlns:r="http://schemas.openxmlformats.org/officeDocument/2006/relationships" ref="K573" r:id="rId1622"/>
    <hyperlink xmlns:r="http://schemas.openxmlformats.org/officeDocument/2006/relationships" ref="I574" r:id="rId1623"/>
    <hyperlink xmlns:r="http://schemas.openxmlformats.org/officeDocument/2006/relationships" ref="J574" r:id="rId1624"/>
    <hyperlink xmlns:r="http://schemas.openxmlformats.org/officeDocument/2006/relationships" ref="K574" r:id="rId1625"/>
    <hyperlink xmlns:r="http://schemas.openxmlformats.org/officeDocument/2006/relationships" ref="I575" r:id="rId1626"/>
    <hyperlink xmlns:r="http://schemas.openxmlformats.org/officeDocument/2006/relationships" ref="J575" r:id="rId1627"/>
    <hyperlink xmlns:r="http://schemas.openxmlformats.org/officeDocument/2006/relationships" ref="K575" r:id="rId1628"/>
    <hyperlink xmlns:r="http://schemas.openxmlformats.org/officeDocument/2006/relationships" ref="I576" r:id="rId1629"/>
    <hyperlink xmlns:r="http://schemas.openxmlformats.org/officeDocument/2006/relationships" ref="J576" r:id="rId1630"/>
    <hyperlink xmlns:r="http://schemas.openxmlformats.org/officeDocument/2006/relationships" ref="K576" r:id="rId1631"/>
    <hyperlink xmlns:r="http://schemas.openxmlformats.org/officeDocument/2006/relationships" ref="I577" r:id="rId1632"/>
    <hyperlink xmlns:r="http://schemas.openxmlformats.org/officeDocument/2006/relationships" ref="J577" r:id="rId1633"/>
    <hyperlink xmlns:r="http://schemas.openxmlformats.org/officeDocument/2006/relationships" ref="K577" r:id="rId1634"/>
    <hyperlink xmlns:r="http://schemas.openxmlformats.org/officeDocument/2006/relationships" ref="I578" r:id="rId1635"/>
    <hyperlink xmlns:r="http://schemas.openxmlformats.org/officeDocument/2006/relationships" ref="J578" r:id="rId1636"/>
    <hyperlink xmlns:r="http://schemas.openxmlformats.org/officeDocument/2006/relationships" ref="K578" r:id="rId1637"/>
    <hyperlink xmlns:r="http://schemas.openxmlformats.org/officeDocument/2006/relationships" ref="I579" r:id="rId1638"/>
    <hyperlink xmlns:r="http://schemas.openxmlformats.org/officeDocument/2006/relationships" ref="J579" r:id="rId1639"/>
    <hyperlink xmlns:r="http://schemas.openxmlformats.org/officeDocument/2006/relationships" ref="K579" r:id="rId1640"/>
    <hyperlink xmlns:r="http://schemas.openxmlformats.org/officeDocument/2006/relationships" ref="I580" r:id="rId1641"/>
    <hyperlink xmlns:r="http://schemas.openxmlformats.org/officeDocument/2006/relationships" ref="J580" r:id="rId1642"/>
    <hyperlink xmlns:r="http://schemas.openxmlformats.org/officeDocument/2006/relationships" ref="K580" r:id="rId1643"/>
    <hyperlink xmlns:r="http://schemas.openxmlformats.org/officeDocument/2006/relationships" ref="I581" r:id="rId1644"/>
    <hyperlink xmlns:r="http://schemas.openxmlformats.org/officeDocument/2006/relationships" ref="J581" r:id="rId1645"/>
    <hyperlink xmlns:r="http://schemas.openxmlformats.org/officeDocument/2006/relationships" ref="K581" r:id="rId1646"/>
    <hyperlink xmlns:r="http://schemas.openxmlformats.org/officeDocument/2006/relationships" ref="I582" r:id="rId1647"/>
    <hyperlink xmlns:r="http://schemas.openxmlformats.org/officeDocument/2006/relationships" ref="J582" r:id="rId1648"/>
    <hyperlink xmlns:r="http://schemas.openxmlformats.org/officeDocument/2006/relationships" ref="K582" r:id="rId1649"/>
    <hyperlink xmlns:r="http://schemas.openxmlformats.org/officeDocument/2006/relationships" ref="I583" r:id="rId1650"/>
    <hyperlink xmlns:r="http://schemas.openxmlformats.org/officeDocument/2006/relationships" ref="J583" r:id="rId1651"/>
    <hyperlink xmlns:r="http://schemas.openxmlformats.org/officeDocument/2006/relationships" ref="K583" r:id="rId1652"/>
    <hyperlink xmlns:r="http://schemas.openxmlformats.org/officeDocument/2006/relationships" ref="I584" r:id="rId1653"/>
    <hyperlink xmlns:r="http://schemas.openxmlformats.org/officeDocument/2006/relationships" ref="J584" r:id="rId1654"/>
    <hyperlink xmlns:r="http://schemas.openxmlformats.org/officeDocument/2006/relationships" ref="K584" r:id="rId1655"/>
    <hyperlink xmlns:r="http://schemas.openxmlformats.org/officeDocument/2006/relationships" ref="I585" r:id="rId1656"/>
    <hyperlink xmlns:r="http://schemas.openxmlformats.org/officeDocument/2006/relationships" ref="J585" r:id="rId1657"/>
    <hyperlink xmlns:r="http://schemas.openxmlformats.org/officeDocument/2006/relationships" ref="K585" r:id="rId1658"/>
    <hyperlink xmlns:r="http://schemas.openxmlformats.org/officeDocument/2006/relationships" ref="I586" r:id="rId1659"/>
    <hyperlink xmlns:r="http://schemas.openxmlformats.org/officeDocument/2006/relationships" ref="J586" r:id="rId1660"/>
    <hyperlink xmlns:r="http://schemas.openxmlformats.org/officeDocument/2006/relationships" ref="K586" r:id="rId1661"/>
    <hyperlink xmlns:r="http://schemas.openxmlformats.org/officeDocument/2006/relationships" ref="I587" r:id="rId1662"/>
    <hyperlink xmlns:r="http://schemas.openxmlformats.org/officeDocument/2006/relationships" ref="J587" r:id="rId1663"/>
    <hyperlink xmlns:r="http://schemas.openxmlformats.org/officeDocument/2006/relationships" ref="K587" r:id="rId1664"/>
    <hyperlink xmlns:r="http://schemas.openxmlformats.org/officeDocument/2006/relationships" ref="I588" r:id="rId1665"/>
    <hyperlink xmlns:r="http://schemas.openxmlformats.org/officeDocument/2006/relationships" ref="J588" r:id="rId1666"/>
    <hyperlink xmlns:r="http://schemas.openxmlformats.org/officeDocument/2006/relationships" ref="K588" r:id="rId1667"/>
    <hyperlink xmlns:r="http://schemas.openxmlformats.org/officeDocument/2006/relationships" ref="I589" r:id="rId1668"/>
    <hyperlink xmlns:r="http://schemas.openxmlformats.org/officeDocument/2006/relationships" ref="J589" r:id="rId1669"/>
    <hyperlink xmlns:r="http://schemas.openxmlformats.org/officeDocument/2006/relationships" ref="K589" r:id="rId1670"/>
    <hyperlink xmlns:r="http://schemas.openxmlformats.org/officeDocument/2006/relationships" ref="I590" r:id="rId1671"/>
    <hyperlink xmlns:r="http://schemas.openxmlformats.org/officeDocument/2006/relationships" ref="J590" r:id="rId1672"/>
    <hyperlink xmlns:r="http://schemas.openxmlformats.org/officeDocument/2006/relationships" ref="K590" r:id="rId1673"/>
    <hyperlink xmlns:r="http://schemas.openxmlformats.org/officeDocument/2006/relationships" ref="I591" r:id="rId1674"/>
    <hyperlink xmlns:r="http://schemas.openxmlformats.org/officeDocument/2006/relationships" ref="J591" r:id="rId1675"/>
    <hyperlink xmlns:r="http://schemas.openxmlformats.org/officeDocument/2006/relationships" ref="K591" r:id="rId1676"/>
    <hyperlink xmlns:r="http://schemas.openxmlformats.org/officeDocument/2006/relationships" ref="I592" r:id="rId1677"/>
    <hyperlink xmlns:r="http://schemas.openxmlformats.org/officeDocument/2006/relationships" ref="J592" r:id="rId1678"/>
    <hyperlink xmlns:r="http://schemas.openxmlformats.org/officeDocument/2006/relationships" ref="K592" r:id="rId1679"/>
    <hyperlink xmlns:r="http://schemas.openxmlformats.org/officeDocument/2006/relationships" ref="I593" r:id="rId1680"/>
    <hyperlink xmlns:r="http://schemas.openxmlformats.org/officeDocument/2006/relationships" ref="J593" r:id="rId1681"/>
    <hyperlink xmlns:r="http://schemas.openxmlformats.org/officeDocument/2006/relationships" ref="K593" r:id="rId1682"/>
    <hyperlink xmlns:r="http://schemas.openxmlformats.org/officeDocument/2006/relationships" ref="I594" r:id="rId1683"/>
    <hyperlink xmlns:r="http://schemas.openxmlformats.org/officeDocument/2006/relationships" ref="J594" r:id="rId1684"/>
    <hyperlink xmlns:r="http://schemas.openxmlformats.org/officeDocument/2006/relationships" ref="K594" r:id="rId1685"/>
    <hyperlink xmlns:r="http://schemas.openxmlformats.org/officeDocument/2006/relationships" ref="I595" r:id="rId1686"/>
    <hyperlink xmlns:r="http://schemas.openxmlformats.org/officeDocument/2006/relationships" ref="J595" r:id="rId1687"/>
    <hyperlink xmlns:r="http://schemas.openxmlformats.org/officeDocument/2006/relationships" ref="K595" r:id="rId1688"/>
    <hyperlink xmlns:r="http://schemas.openxmlformats.org/officeDocument/2006/relationships" ref="I596" r:id="rId1689"/>
    <hyperlink xmlns:r="http://schemas.openxmlformats.org/officeDocument/2006/relationships" ref="J596" r:id="rId1690"/>
    <hyperlink xmlns:r="http://schemas.openxmlformats.org/officeDocument/2006/relationships" ref="K596" r:id="rId1691"/>
    <hyperlink xmlns:r="http://schemas.openxmlformats.org/officeDocument/2006/relationships" ref="I597" r:id="rId1692"/>
    <hyperlink xmlns:r="http://schemas.openxmlformats.org/officeDocument/2006/relationships" ref="J597" r:id="rId1693"/>
    <hyperlink xmlns:r="http://schemas.openxmlformats.org/officeDocument/2006/relationships" ref="K597" r:id="rId1694"/>
    <hyperlink xmlns:r="http://schemas.openxmlformats.org/officeDocument/2006/relationships" ref="I598" r:id="rId1695"/>
    <hyperlink xmlns:r="http://schemas.openxmlformats.org/officeDocument/2006/relationships" ref="J598" r:id="rId1696"/>
    <hyperlink xmlns:r="http://schemas.openxmlformats.org/officeDocument/2006/relationships" ref="K598" r:id="rId1697"/>
    <hyperlink xmlns:r="http://schemas.openxmlformats.org/officeDocument/2006/relationships" ref="I599" r:id="rId1698"/>
    <hyperlink xmlns:r="http://schemas.openxmlformats.org/officeDocument/2006/relationships" ref="J599" r:id="rId1699"/>
    <hyperlink xmlns:r="http://schemas.openxmlformats.org/officeDocument/2006/relationships" ref="K599" r:id="rId1700"/>
    <hyperlink xmlns:r="http://schemas.openxmlformats.org/officeDocument/2006/relationships" ref="I600" r:id="rId1701"/>
    <hyperlink xmlns:r="http://schemas.openxmlformats.org/officeDocument/2006/relationships" ref="J600" r:id="rId1702"/>
    <hyperlink xmlns:r="http://schemas.openxmlformats.org/officeDocument/2006/relationships" ref="K600" r:id="rId1703"/>
    <hyperlink xmlns:r="http://schemas.openxmlformats.org/officeDocument/2006/relationships" ref="I601" r:id="rId1704"/>
    <hyperlink xmlns:r="http://schemas.openxmlformats.org/officeDocument/2006/relationships" ref="J601" r:id="rId1705"/>
    <hyperlink xmlns:r="http://schemas.openxmlformats.org/officeDocument/2006/relationships" ref="K601" r:id="rId1706"/>
    <hyperlink xmlns:r="http://schemas.openxmlformats.org/officeDocument/2006/relationships" ref="I602" r:id="rId1707"/>
    <hyperlink xmlns:r="http://schemas.openxmlformats.org/officeDocument/2006/relationships" ref="J602" r:id="rId1708"/>
    <hyperlink xmlns:r="http://schemas.openxmlformats.org/officeDocument/2006/relationships" ref="K602" r:id="rId1709"/>
    <hyperlink xmlns:r="http://schemas.openxmlformats.org/officeDocument/2006/relationships" ref="I603" r:id="rId1710"/>
    <hyperlink xmlns:r="http://schemas.openxmlformats.org/officeDocument/2006/relationships" ref="J603" r:id="rId1711"/>
    <hyperlink xmlns:r="http://schemas.openxmlformats.org/officeDocument/2006/relationships" ref="I604" r:id="rId1712"/>
    <hyperlink xmlns:r="http://schemas.openxmlformats.org/officeDocument/2006/relationships" ref="J604" r:id="rId1713"/>
    <hyperlink xmlns:r="http://schemas.openxmlformats.org/officeDocument/2006/relationships" ref="I605" r:id="rId1714"/>
    <hyperlink xmlns:r="http://schemas.openxmlformats.org/officeDocument/2006/relationships" ref="J605" r:id="rId1715"/>
    <hyperlink xmlns:r="http://schemas.openxmlformats.org/officeDocument/2006/relationships" ref="I606" r:id="rId1716"/>
    <hyperlink xmlns:r="http://schemas.openxmlformats.org/officeDocument/2006/relationships" ref="J606" r:id="rId1717"/>
    <hyperlink xmlns:r="http://schemas.openxmlformats.org/officeDocument/2006/relationships" ref="I607" r:id="rId1718"/>
    <hyperlink xmlns:r="http://schemas.openxmlformats.org/officeDocument/2006/relationships" ref="J607" r:id="rId1719"/>
    <hyperlink xmlns:r="http://schemas.openxmlformats.org/officeDocument/2006/relationships" ref="K607" r:id="rId1720"/>
    <hyperlink xmlns:r="http://schemas.openxmlformats.org/officeDocument/2006/relationships" ref="I608" r:id="rId1721"/>
    <hyperlink xmlns:r="http://schemas.openxmlformats.org/officeDocument/2006/relationships" ref="J608" r:id="rId1722"/>
    <hyperlink xmlns:r="http://schemas.openxmlformats.org/officeDocument/2006/relationships" ref="K608" r:id="rId1723"/>
    <hyperlink xmlns:r="http://schemas.openxmlformats.org/officeDocument/2006/relationships" ref="I609" r:id="rId1724"/>
    <hyperlink xmlns:r="http://schemas.openxmlformats.org/officeDocument/2006/relationships" ref="J609" r:id="rId1725"/>
    <hyperlink xmlns:r="http://schemas.openxmlformats.org/officeDocument/2006/relationships" ref="K609" r:id="rId1726"/>
    <hyperlink xmlns:r="http://schemas.openxmlformats.org/officeDocument/2006/relationships" ref="I610" r:id="rId1727"/>
    <hyperlink xmlns:r="http://schemas.openxmlformats.org/officeDocument/2006/relationships" ref="J610" r:id="rId1728"/>
    <hyperlink xmlns:r="http://schemas.openxmlformats.org/officeDocument/2006/relationships" ref="K610" r:id="rId1729"/>
    <hyperlink xmlns:r="http://schemas.openxmlformats.org/officeDocument/2006/relationships" ref="I611" r:id="rId1730"/>
    <hyperlink xmlns:r="http://schemas.openxmlformats.org/officeDocument/2006/relationships" ref="J611" r:id="rId1731"/>
    <hyperlink xmlns:r="http://schemas.openxmlformats.org/officeDocument/2006/relationships" ref="K611" r:id="rId1732"/>
    <hyperlink xmlns:r="http://schemas.openxmlformats.org/officeDocument/2006/relationships" ref="I612" r:id="rId1733"/>
    <hyperlink xmlns:r="http://schemas.openxmlformats.org/officeDocument/2006/relationships" ref="J612" r:id="rId1734"/>
    <hyperlink xmlns:r="http://schemas.openxmlformats.org/officeDocument/2006/relationships" ref="K612" r:id="rId1735"/>
    <hyperlink xmlns:r="http://schemas.openxmlformats.org/officeDocument/2006/relationships" ref="I613" r:id="rId1736"/>
    <hyperlink xmlns:r="http://schemas.openxmlformats.org/officeDocument/2006/relationships" ref="J613" r:id="rId1737"/>
    <hyperlink xmlns:r="http://schemas.openxmlformats.org/officeDocument/2006/relationships" ref="K613" r:id="rId1738"/>
    <hyperlink xmlns:r="http://schemas.openxmlformats.org/officeDocument/2006/relationships" ref="I614" r:id="rId1739"/>
    <hyperlink xmlns:r="http://schemas.openxmlformats.org/officeDocument/2006/relationships" ref="J614" r:id="rId1740"/>
    <hyperlink xmlns:r="http://schemas.openxmlformats.org/officeDocument/2006/relationships" ref="K614" r:id="rId1741"/>
    <hyperlink xmlns:r="http://schemas.openxmlformats.org/officeDocument/2006/relationships" ref="I615" r:id="rId1742"/>
    <hyperlink xmlns:r="http://schemas.openxmlformats.org/officeDocument/2006/relationships" ref="J615" r:id="rId1743"/>
    <hyperlink xmlns:r="http://schemas.openxmlformats.org/officeDocument/2006/relationships" ref="K615" r:id="rId1744"/>
    <hyperlink xmlns:r="http://schemas.openxmlformats.org/officeDocument/2006/relationships" ref="I616" r:id="rId1745"/>
    <hyperlink xmlns:r="http://schemas.openxmlformats.org/officeDocument/2006/relationships" ref="J616" r:id="rId1746"/>
    <hyperlink xmlns:r="http://schemas.openxmlformats.org/officeDocument/2006/relationships" ref="K616" r:id="rId1747"/>
    <hyperlink xmlns:r="http://schemas.openxmlformats.org/officeDocument/2006/relationships" ref="I617" r:id="rId1748"/>
    <hyperlink xmlns:r="http://schemas.openxmlformats.org/officeDocument/2006/relationships" ref="J617" r:id="rId1749"/>
    <hyperlink xmlns:r="http://schemas.openxmlformats.org/officeDocument/2006/relationships" ref="K617" r:id="rId1750"/>
    <hyperlink xmlns:r="http://schemas.openxmlformats.org/officeDocument/2006/relationships" ref="I618" r:id="rId1751"/>
    <hyperlink xmlns:r="http://schemas.openxmlformats.org/officeDocument/2006/relationships" ref="J618" r:id="rId1752"/>
    <hyperlink xmlns:r="http://schemas.openxmlformats.org/officeDocument/2006/relationships" ref="K618" r:id="rId1753"/>
    <hyperlink xmlns:r="http://schemas.openxmlformats.org/officeDocument/2006/relationships" ref="I619" r:id="rId1754"/>
    <hyperlink xmlns:r="http://schemas.openxmlformats.org/officeDocument/2006/relationships" ref="J619" r:id="rId1755"/>
    <hyperlink xmlns:r="http://schemas.openxmlformats.org/officeDocument/2006/relationships" ref="K619" r:id="rId1756"/>
    <hyperlink xmlns:r="http://schemas.openxmlformats.org/officeDocument/2006/relationships" ref="I620" r:id="rId1757"/>
    <hyperlink xmlns:r="http://schemas.openxmlformats.org/officeDocument/2006/relationships" ref="J620" r:id="rId1758"/>
    <hyperlink xmlns:r="http://schemas.openxmlformats.org/officeDocument/2006/relationships" ref="K620" r:id="rId1759"/>
    <hyperlink xmlns:r="http://schemas.openxmlformats.org/officeDocument/2006/relationships" ref="I621" r:id="rId1760"/>
    <hyperlink xmlns:r="http://schemas.openxmlformats.org/officeDocument/2006/relationships" ref="J621" r:id="rId1761"/>
    <hyperlink xmlns:r="http://schemas.openxmlformats.org/officeDocument/2006/relationships" ref="K621" r:id="rId1762"/>
    <hyperlink xmlns:r="http://schemas.openxmlformats.org/officeDocument/2006/relationships" ref="I622" r:id="rId1763"/>
    <hyperlink xmlns:r="http://schemas.openxmlformats.org/officeDocument/2006/relationships" ref="J622" r:id="rId1764"/>
    <hyperlink xmlns:r="http://schemas.openxmlformats.org/officeDocument/2006/relationships" ref="K622" r:id="rId1765"/>
    <hyperlink xmlns:r="http://schemas.openxmlformats.org/officeDocument/2006/relationships" ref="I623" r:id="rId1766"/>
    <hyperlink xmlns:r="http://schemas.openxmlformats.org/officeDocument/2006/relationships" ref="J623" r:id="rId1767"/>
    <hyperlink xmlns:r="http://schemas.openxmlformats.org/officeDocument/2006/relationships" ref="K623" r:id="rId1768"/>
    <hyperlink xmlns:r="http://schemas.openxmlformats.org/officeDocument/2006/relationships" ref="I624" r:id="rId1769"/>
    <hyperlink xmlns:r="http://schemas.openxmlformats.org/officeDocument/2006/relationships" ref="J624" r:id="rId1770"/>
    <hyperlink xmlns:r="http://schemas.openxmlformats.org/officeDocument/2006/relationships" ref="K624" r:id="rId1771"/>
    <hyperlink xmlns:r="http://schemas.openxmlformats.org/officeDocument/2006/relationships" ref="I625" r:id="rId1772"/>
    <hyperlink xmlns:r="http://schemas.openxmlformats.org/officeDocument/2006/relationships" ref="J625" r:id="rId1773"/>
    <hyperlink xmlns:r="http://schemas.openxmlformats.org/officeDocument/2006/relationships" ref="K625" r:id="rId1774"/>
    <hyperlink xmlns:r="http://schemas.openxmlformats.org/officeDocument/2006/relationships" ref="I626" r:id="rId1775"/>
    <hyperlink xmlns:r="http://schemas.openxmlformats.org/officeDocument/2006/relationships" ref="J626" r:id="rId1776"/>
    <hyperlink xmlns:r="http://schemas.openxmlformats.org/officeDocument/2006/relationships" ref="K626" r:id="rId1777"/>
    <hyperlink xmlns:r="http://schemas.openxmlformats.org/officeDocument/2006/relationships" ref="I627" r:id="rId1778"/>
    <hyperlink xmlns:r="http://schemas.openxmlformats.org/officeDocument/2006/relationships" ref="J627" r:id="rId1779"/>
    <hyperlink xmlns:r="http://schemas.openxmlformats.org/officeDocument/2006/relationships" ref="K627" r:id="rId1780"/>
    <hyperlink xmlns:r="http://schemas.openxmlformats.org/officeDocument/2006/relationships" ref="I628" r:id="rId1781"/>
    <hyperlink xmlns:r="http://schemas.openxmlformats.org/officeDocument/2006/relationships" ref="J628" r:id="rId1782"/>
    <hyperlink xmlns:r="http://schemas.openxmlformats.org/officeDocument/2006/relationships" ref="K628" r:id="rId1783"/>
    <hyperlink xmlns:r="http://schemas.openxmlformats.org/officeDocument/2006/relationships" ref="I629" r:id="rId1784"/>
    <hyperlink xmlns:r="http://schemas.openxmlformats.org/officeDocument/2006/relationships" ref="J629" r:id="rId1785"/>
    <hyperlink xmlns:r="http://schemas.openxmlformats.org/officeDocument/2006/relationships" ref="K629" r:id="rId1786"/>
    <hyperlink xmlns:r="http://schemas.openxmlformats.org/officeDocument/2006/relationships" ref="I630" r:id="rId1787"/>
    <hyperlink xmlns:r="http://schemas.openxmlformats.org/officeDocument/2006/relationships" ref="J630" r:id="rId1788"/>
    <hyperlink xmlns:r="http://schemas.openxmlformats.org/officeDocument/2006/relationships" ref="K630" r:id="rId1789"/>
    <hyperlink xmlns:r="http://schemas.openxmlformats.org/officeDocument/2006/relationships" ref="I631" r:id="rId1790"/>
    <hyperlink xmlns:r="http://schemas.openxmlformats.org/officeDocument/2006/relationships" ref="J631" r:id="rId1791"/>
    <hyperlink xmlns:r="http://schemas.openxmlformats.org/officeDocument/2006/relationships" ref="K631" r:id="rId1792"/>
    <hyperlink xmlns:r="http://schemas.openxmlformats.org/officeDocument/2006/relationships" ref="I632" r:id="rId1793"/>
    <hyperlink xmlns:r="http://schemas.openxmlformats.org/officeDocument/2006/relationships" ref="J632" r:id="rId1794"/>
    <hyperlink xmlns:r="http://schemas.openxmlformats.org/officeDocument/2006/relationships" ref="K632" r:id="rId1795"/>
    <hyperlink xmlns:r="http://schemas.openxmlformats.org/officeDocument/2006/relationships" ref="I633" r:id="rId1796"/>
    <hyperlink xmlns:r="http://schemas.openxmlformats.org/officeDocument/2006/relationships" ref="J633" r:id="rId1797"/>
    <hyperlink xmlns:r="http://schemas.openxmlformats.org/officeDocument/2006/relationships" ref="K633" r:id="rId1798"/>
    <hyperlink xmlns:r="http://schemas.openxmlformats.org/officeDocument/2006/relationships" ref="I634" r:id="rId1799"/>
    <hyperlink xmlns:r="http://schemas.openxmlformats.org/officeDocument/2006/relationships" ref="J634" r:id="rId1800"/>
    <hyperlink xmlns:r="http://schemas.openxmlformats.org/officeDocument/2006/relationships" ref="K634" r:id="rId1801"/>
    <hyperlink xmlns:r="http://schemas.openxmlformats.org/officeDocument/2006/relationships" ref="I635" r:id="rId1802"/>
    <hyperlink xmlns:r="http://schemas.openxmlformats.org/officeDocument/2006/relationships" ref="J635" r:id="rId1803"/>
    <hyperlink xmlns:r="http://schemas.openxmlformats.org/officeDocument/2006/relationships" ref="K635" r:id="rId1804"/>
    <hyperlink xmlns:r="http://schemas.openxmlformats.org/officeDocument/2006/relationships" ref="I636" r:id="rId1805"/>
    <hyperlink xmlns:r="http://schemas.openxmlformats.org/officeDocument/2006/relationships" ref="J636" r:id="rId1806"/>
    <hyperlink xmlns:r="http://schemas.openxmlformats.org/officeDocument/2006/relationships" ref="K636" r:id="rId1807"/>
    <hyperlink xmlns:r="http://schemas.openxmlformats.org/officeDocument/2006/relationships" ref="I637" r:id="rId1808"/>
    <hyperlink xmlns:r="http://schemas.openxmlformats.org/officeDocument/2006/relationships" ref="J637" r:id="rId1809"/>
    <hyperlink xmlns:r="http://schemas.openxmlformats.org/officeDocument/2006/relationships" ref="K637" r:id="rId1810"/>
    <hyperlink xmlns:r="http://schemas.openxmlformats.org/officeDocument/2006/relationships" ref="I638" r:id="rId1811"/>
    <hyperlink xmlns:r="http://schemas.openxmlformats.org/officeDocument/2006/relationships" ref="J638" r:id="rId1812"/>
    <hyperlink xmlns:r="http://schemas.openxmlformats.org/officeDocument/2006/relationships" ref="K638" r:id="rId1813"/>
    <hyperlink xmlns:r="http://schemas.openxmlformats.org/officeDocument/2006/relationships" ref="I639" r:id="rId1814"/>
    <hyperlink xmlns:r="http://schemas.openxmlformats.org/officeDocument/2006/relationships" ref="J639" r:id="rId1815"/>
    <hyperlink xmlns:r="http://schemas.openxmlformats.org/officeDocument/2006/relationships" ref="K639" r:id="rId1816"/>
    <hyperlink xmlns:r="http://schemas.openxmlformats.org/officeDocument/2006/relationships" ref="I640" r:id="rId1817"/>
    <hyperlink xmlns:r="http://schemas.openxmlformats.org/officeDocument/2006/relationships" ref="J640" r:id="rId1818"/>
    <hyperlink xmlns:r="http://schemas.openxmlformats.org/officeDocument/2006/relationships" ref="K640" r:id="rId1819"/>
    <hyperlink xmlns:r="http://schemas.openxmlformats.org/officeDocument/2006/relationships" ref="I641" r:id="rId1820"/>
    <hyperlink xmlns:r="http://schemas.openxmlformats.org/officeDocument/2006/relationships" ref="J641" r:id="rId1821"/>
    <hyperlink xmlns:r="http://schemas.openxmlformats.org/officeDocument/2006/relationships" ref="K641" r:id="rId1822"/>
    <hyperlink xmlns:r="http://schemas.openxmlformats.org/officeDocument/2006/relationships" ref="I642" r:id="rId1823"/>
    <hyperlink xmlns:r="http://schemas.openxmlformats.org/officeDocument/2006/relationships" ref="J642" r:id="rId1824"/>
    <hyperlink xmlns:r="http://schemas.openxmlformats.org/officeDocument/2006/relationships" ref="K642" r:id="rId1825"/>
    <hyperlink xmlns:r="http://schemas.openxmlformats.org/officeDocument/2006/relationships" ref="I643" r:id="rId1826"/>
    <hyperlink xmlns:r="http://schemas.openxmlformats.org/officeDocument/2006/relationships" ref="J643" r:id="rId1827"/>
    <hyperlink xmlns:r="http://schemas.openxmlformats.org/officeDocument/2006/relationships" ref="K643" r:id="rId1828"/>
    <hyperlink xmlns:r="http://schemas.openxmlformats.org/officeDocument/2006/relationships" ref="I644" r:id="rId1829"/>
    <hyperlink xmlns:r="http://schemas.openxmlformats.org/officeDocument/2006/relationships" ref="J644" r:id="rId1830"/>
    <hyperlink xmlns:r="http://schemas.openxmlformats.org/officeDocument/2006/relationships" ref="K644" r:id="rId1831"/>
    <hyperlink xmlns:r="http://schemas.openxmlformats.org/officeDocument/2006/relationships" ref="I645" r:id="rId1832"/>
    <hyperlink xmlns:r="http://schemas.openxmlformats.org/officeDocument/2006/relationships" ref="J645" r:id="rId1833"/>
    <hyperlink xmlns:r="http://schemas.openxmlformats.org/officeDocument/2006/relationships" ref="K645" r:id="rId1834"/>
    <hyperlink xmlns:r="http://schemas.openxmlformats.org/officeDocument/2006/relationships" ref="I646" r:id="rId1835"/>
    <hyperlink xmlns:r="http://schemas.openxmlformats.org/officeDocument/2006/relationships" ref="J646" r:id="rId1836"/>
    <hyperlink xmlns:r="http://schemas.openxmlformats.org/officeDocument/2006/relationships" ref="K646" r:id="rId1837"/>
    <hyperlink xmlns:r="http://schemas.openxmlformats.org/officeDocument/2006/relationships" ref="I647" r:id="rId1838"/>
    <hyperlink xmlns:r="http://schemas.openxmlformats.org/officeDocument/2006/relationships" ref="J647" r:id="rId1839"/>
    <hyperlink xmlns:r="http://schemas.openxmlformats.org/officeDocument/2006/relationships" ref="K647" r:id="rId1840"/>
    <hyperlink xmlns:r="http://schemas.openxmlformats.org/officeDocument/2006/relationships" ref="I648" r:id="rId1841"/>
    <hyperlink xmlns:r="http://schemas.openxmlformats.org/officeDocument/2006/relationships" ref="J648" r:id="rId1842"/>
    <hyperlink xmlns:r="http://schemas.openxmlformats.org/officeDocument/2006/relationships" ref="K648" r:id="rId1843"/>
    <hyperlink xmlns:r="http://schemas.openxmlformats.org/officeDocument/2006/relationships" ref="I649" r:id="rId1844"/>
    <hyperlink xmlns:r="http://schemas.openxmlformats.org/officeDocument/2006/relationships" ref="J649" r:id="rId1845"/>
    <hyperlink xmlns:r="http://schemas.openxmlformats.org/officeDocument/2006/relationships" ref="K649" r:id="rId1846"/>
    <hyperlink xmlns:r="http://schemas.openxmlformats.org/officeDocument/2006/relationships" ref="I650" r:id="rId1847"/>
    <hyperlink xmlns:r="http://schemas.openxmlformats.org/officeDocument/2006/relationships" ref="J650" r:id="rId1848"/>
    <hyperlink xmlns:r="http://schemas.openxmlformats.org/officeDocument/2006/relationships" ref="K650" r:id="rId1849"/>
    <hyperlink xmlns:r="http://schemas.openxmlformats.org/officeDocument/2006/relationships" ref="I651" r:id="rId1850"/>
    <hyperlink xmlns:r="http://schemas.openxmlformats.org/officeDocument/2006/relationships" ref="J651" r:id="rId1851"/>
    <hyperlink xmlns:r="http://schemas.openxmlformats.org/officeDocument/2006/relationships" ref="K651" r:id="rId1852"/>
    <hyperlink xmlns:r="http://schemas.openxmlformats.org/officeDocument/2006/relationships" ref="I652" r:id="rId1853"/>
    <hyperlink xmlns:r="http://schemas.openxmlformats.org/officeDocument/2006/relationships" ref="J652" r:id="rId1854"/>
    <hyperlink xmlns:r="http://schemas.openxmlformats.org/officeDocument/2006/relationships" ref="K652" r:id="rId1855"/>
    <hyperlink xmlns:r="http://schemas.openxmlformats.org/officeDocument/2006/relationships" ref="I653" r:id="rId1856"/>
    <hyperlink xmlns:r="http://schemas.openxmlformats.org/officeDocument/2006/relationships" ref="J653" r:id="rId1857"/>
    <hyperlink xmlns:r="http://schemas.openxmlformats.org/officeDocument/2006/relationships" ref="K653" r:id="rId1858"/>
    <hyperlink xmlns:r="http://schemas.openxmlformats.org/officeDocument/2006/relationships" ref="I654" r:id="rId1859"/>
    <hyperlink xmlns:r="http://schemas.openxmlformats.org/officeDocument/2006/relationships" ref="J654" r:id="rId1860"/>
    <hyperlink xmlns:r="http://schemas.openxmlformats.org/officeDocument/2006/relationships" ref="K654" r:id="rId1861"/>
    <hyperlink xmlns:r="http://schemas.openxmlformats.org/officeDocument/2006/relationships" ref="I655" r:id="rId1862"/>
    <hyperlink xmlns:r="http://schemas.openxmlformats.org/officeDocument/2006/relationships" ref="J655" r:id="rId1863"/>
    <hyperlink xmlns:r="http://schemas.openxmlformats.org/officeDocument/2006/relationships" ref="K655" r:id="rId1864"/>
    <hyperlink xmlns:r="http://schemas.openxmlformats.org/officeDocument/2006/relationships" ref="I656" r:id="rId1865"/>
    <hyperlink xmlns:r="http://schemas.openxmlformats.org/officeDocument/2006/relationships" ref="J656" r:id="rId1866"/>
    <hyperlink xmlns:r="http://schemas.openxmlformats.org/officeDocument/2006/relationships" ref="K656" r:id="rId1867"/>
    <hyperlink xmlns:r="http://schemas.openxmlformats.org/officeDocument/2006/relationships" ref="I657" r:id="rId1868"/>
    <hyperlink xmlns:r="http://schemas.openxmlformats.org/officeDocument/2006/relationships" ref="J657" r:id="rId1869"/>
    <hyperlink xmlns:r="http://schemas.openxmlformats.org/officeDocument/2006/relationships" ref="K657" r:id="rId1870"/>
    <hyperlink xmlns:r="http://schemas.openxmlformats.org/officeDocument/2006/relationships" ref="I658" r:id="rId1871"/>
    <hyperlink xmlns:r="http://schemas.openxmlformats.org/officeDocument/2006/relationships" ref="J658" r:id="rId1872"/>
    <hyperlink xmlns:r="http://schemas.openxmlformats.org/officeDocument/2006/relationships" ref="K658" r:id="rId1873"/>
    <hyperlink xmlns:r="http://schemas.openxmlformats.org/officeDocument/2006/relationships" ref="I659" r:id="rId1874"/>
    <hyperlink xmlns:r="http://schemas.openxmlformats.org/officeDocument/2006/relationships" ref="J659" r:id="rId1875"/>
    <hyperlink xmlns:r="http://schemas.openxmlformats.org/officeDocument/2006/relationships" ref="K659" r:id="rId1876"/>
    <hyperlink xmlns:r="http://schemas.openxmlformats.org/officeDocument/2006/relationships" ref="I660" r:id="rId1877"/>
    <hyperlink xmlns:r="http://schemas.openxmlformats.org/officeDocument/2006/relationships" ref="J660" r:id="rId1878"/>
    <hyperlink xmlns:r="http://schemas.openxmlformats.org/officeDocument/2006/relationships" ref="K660" r:id="rId1879"/>
    <hyperlink xmlns:r="http://schemas.openxmlformats.org/officeDocument/2006/relationships" ref="I661" r:id="rId1880"/>
    <hyperlink xmlns:r="http://schemas.openxmlformats.org/officeDocument/2006/relationships" ref="J661" r:id="rId1881"/>
    <hyperlink xmlns:r="http://schemas.openxmlformats.org/officeDocument/2006/relationships" ref="K661" r:id="rId1882"/>
    <hyperlink xmlns:r="http://schemas.openxmlformats.org/officeDocument/2006/relationships" ref="I662" r:id="rId1883"/>
    <hyperlink xmlns:r="http://schemas.openxmlformats.org/officeDocument/2006/relationships" ref="J662" r:id="rId1884"/>
    <hyperlink xmlns:r="http://schemas.openxmlformats.org/officeDocument/2006/relationships" ref="K662" r:id="rId1885"/>
    <hyperlink xmlns:r="http://schemas.openxmlformats.org/officeDocument/2006/relationships" ref="I663" r:id="rId1886"/>
    <hyperlink xmlns:r="http://schemas.openxmlformats.org/officeDocument/2006/relationships" ref="J663" r:id="rId1887"/>
    <hyperlink xmlns:r="http://schemas.openxmlformats.org/officeDocument/2006/relationships" ref="K663" r:id="rId1888"/>
    <hyperlink xmlns:r="http://schemas.openxmlformats.org/officeDocument/2006/relationships" ref="I664" r:id="rId1889"/>
    <hyperlink xmlns:r="http://schemas.openxmlformats.org/officeDocument/2006/relationships" ref="J664" r:id="rId1890"/>
    <hyperlink xmlns:r="http://schemas.openxmlformats.org/officeDocument/2006/relationships" ref="K664" r:id="rId1891"/>
    <hyperlink xmlns:r="http://schemas.openxmlformats.org/officeDocument/2006/relationships" ref="I665" r:id="rId1892"/>
    <hyperlink xmlns:r="http://schemas.openxmlformats.org/officeDocument/2006/relationships" ref="J665" r:id="rId1893"/>
    <hyperlink xmlns:r="http://schemas.openxmlformats.org/officeDocument/2006/relationships" ref="K665" r:id="rId1894"/>
    <hyperlink xmlns:r="http://schemas.openxmlformats.org/officeDocument/2006/relationships" ref="I666" r:id="rId1895"/>
    <hyperlink xmlns:r="http://schemas.openxmlformats.org/officeDocument/2006/relationships" ref="J666" r:id="rId1896"/>
    <hyperlink xmlns:r="http://schemas.openxmlformats.org/officeDocument/2006/relationships" ref="K666" r:id="rId1897"/>
    <hyperlink xmlns:r="http://schemas.openxmlformats.org/officeDocument/2006/relationships" ref="I667" r:id="rId1898"/>
    <hyperlink xmlns:r="http://schemas.openxmlformats.org/officeDocument/2006/relationships" ref="J667" r:id="rId1899"/>
    <hyperlink xmlns:r="http://schemas.openxmlformats.org/officeDocument/2006/relationships" ref="K667" r:id="rId1900"/>
    <hyperlink xmlns:r="http://schemas.openxmlformats.org/officeDocument/2006/relationships" ref="I668" r:id="rId1901"/>
    <hyperlink xmlns:r="http://schemas.openxmlformats.org/officeDocument/2006/relationships" ref="J668" r:id="rId1902"/>
    <hyperlink xmlns:r="http://schemas.openxmlformats.org/officeDocument/2006/relationships" ref="K668" r:id="rId1903"/>
    <hyperlink xmlns:r="http://schemas.openxmlformats.org/officeDocument/2006/relationships" ref="I669" r:id="rId1904"/>
    <hyperlink xmlns:r="http://schemas.openxmlformats.org/officeDocument/2006/relationships" ref="J669" r:id="rId1905"/>
    <hyperlink xmlns:r="http://schemas.openxmlformats.org/officeDocument/2006/relationships" ref="K669" r:id="rId1906"/>
    <hyperlink xmlns:r="http://schemas.openxmlformats.org/officeDocument/2006/relationships" ref="I670" r:id="rId1907"/>
    <hyperlink xmlns:r="http://schemas.openxmlformats.org/officeDocument/2006/relationships" ref="J670" r:id="rId1908"/>
    <hyperlink xmlns:r="http://schemas.openxmlformats.org/officeDocument/2006/relationships" ref="K670" r:id="rId1909"/>
    <hyperlink xmlns:r="http://schemas.openxmlformats.org/officeDocument/2006/relationships" ref="I671" r:id="rId1910"/>
    <hyperlink xmlns:r="http://schemas.openxmlformats.org/officeDocument/2006/relationships" ref="J671" r:id="rId1911"/>
    <hyperlink xmlns:r="http://schemas.openxmlformats.org/officeDocument/2006/relationships" ref="K671" r:id="rId1912"/>
    <hyperlink xmlns:r="http://schemas.openxmlformats.org/officeDocument/2006/relationships" ref="I672" r:id="rId1913"/>
    <hyperlink xmlns:r="http://schemas.openxmlformats.org/officeDocument/2006/relationships" ref="J672" r:id="rId1914"/>
    <hyperlink xmlns:r="http://schemas.openxmlformats.org/officeDocument/2006/relationships" ref="K672" r:id="rId1915"/>
    <hyperlink xmlns:r="http://schemas.openxmlformats.org/officeDocument/2006/relationships" ref="I673" r:id="rId1916"/>
    <hyperlink xmlns:r="http://schemas.openxmlformats.org/officeDocument/2006/relationships" ref="J673" r:id="rId1917"/>
    <hyperlink xmlns:r="http://schemas.openxmlformats.org/officeDocument/2006/relationships" ref="K673" r:id="rId1918"/>
    <hyperlink xmlns:r="http://schemas.openxmlformats.org/officeDocument/2006/relationships" ref="I674" r:id="rId1919"/>
    <hyperlink xmlns:r="http://schemas.openxmlformats.org/officeDocument/2006/relationships" ref="J674" r:id="rId1920"/>
    <hyperlink xmlns:r="http://schemas.openxmlformats.org/officeDocument/2006/relationships" ref="K674" r:id="rId1921"/>
    <hyperlink xmlns:r="http://schemas.openxmlformats.org/officeDocument/2006/relationships" ref="I675" r:id="rId1922"/>
    <hyperlink xmlns:r="http://schemas.openxmlformats.org/officeDocument/2006/relationships" ref="J675" r:id="rId1923"/>
    <hyperlink xmlns:r="http://schemas.openxmlformats.org/officeDocument/2006/relationships" ref="K675" r:id="rId1924"/>
    <hyperlink xmlns:r="http://schemas.openxmlformats.org/officeDocument/2006/relationships" ref="I676" r:id="rId1925"/>
    <hyperlink xmlns:r="http://schemas.openxmlformats.org/officeDocument/2006/relationships" ref="J676" r:id="rId1926"/>
    <hyperlink xmlns:r="http://schemas.openxmlformats.org/officeDocument/2006/relationships" ref="K676" r:id="rId1927"/>
    <hyperlink xmlns:r="http://schemas.openxmlformats.org/officeDocument/2006/relationships" ref="I677" r:id="rId1928"/>
    <hyperlink xmlns:r="http://schemas.openxmlformats.org/officeDocument/2006/relationships" ref="J677" r:id="rId1929"/>
    <hyperlink xmlns:r="http://schemas.openxmlformats.org/officeDocument/2006/relationships" ref="K677" r:id="rId1930"/>
    <hyperlink xmlns:r="http://schemas.openxmlformats.org/officeDocument/2006/relationships" ref="I678" r:id="rId1931"/>
    <hyperlink xmlns:r="http://schemas.openxmlformats.org/officeDocument/2006/relationships" ref="J678" r:id="rId1932"/>
    <hyperlink xmlns:r="http://schemas.openxmlformats.org/officeDocument/2006/relationships" ref="K678" r:id="rId1933"/>
    <hyperlink xmlns:r="http://schemas.openxmlformats.org/officeDocument/2006/relationships" ref="I679" r:id="rId1934"/>
    <hyperlink xmlns:r="http://schemas.openxmlformats.org/officeDocument/2006/relationships" ref="J679" r:id="rId1935"/>
    <hyperlink xmlns:r="http://schemas.openxmlformats.org/officeDocument/2006/relationships" ref="K679" r:id="rId1936"/>
    <hyperlink xmlns:r="http://schemas.openxmlformats.org/officeDocument/2006/relationships" ref="I680" r:id="rId1937"/>
    <hyperlink xmlns:r="http://schemas.openxmlformats.org/officeDocument/2006/relationships" ref="J680" r:id="rId1938"/>
    <hyperlink xmlns:r="http://schemas.openxmlformats.org/officeDocument/2006/relationships" ref="K680" r:id="rId1939"/>
    <hyperlink xmlns:r="http://schemas.openxmlformats.org/officeDocument/2006/relationships" ref="I681" r:id="rId1940"/>
    <hyperlink xmlns:r="http://schemas.openxmlformats.org/officeDocument/2006/relationships" ref="J681" r:id="rId1941"/>
    <hyperlink xmlns:r="http://schemas.openxmlformats.org/officeDocument/2006/relationships" ref="K681" r:id="rId1942"/>
    <hyperlink xmlns:r="http://schemas.openxmlformats.org/officeDocument/2006/relationships" ref="I682" r:id="rId1943"/>
    <hyperlink xmlns:r="http://schemas.openxmlformats.org/officeDocument/2006/relationships" ref="J682" r:id="rId1944"/>
    <hyperlink xmlns:r="http://schemas.openxmlformats.org/officeDocument/2006/relationships" ref="K682" r:id="rId1945"/>
    <hyperlink xmlns:r="http://schemas.openxmlformats.org/officeDocument/2006/relationships" ref="I683" r:id="rId1946"/>
    <hyperlink xmlns:r="http://schemas.openxmlformats.org/officeDocument/2006/relationships" ref="J683" r:id="rId1947"/>
    <hyperlink xmlns:r="http://schemas.openxmlformats.org/officeDocument/2006/relationships" ref="K683" r:id="rId1948"/>
    <hyperlink xmlns:r="http://schemas.openxmlformats.org/officeDocument/2006/relationships" ref="I684" r:id="rId1949"/>
    <hyperlink xmlns:r="http://schemas.openxmlformats.org/officeDocument/2006/relationships" ref="J684" r:id="rId1950"/>
    <hyperlink xmlns:r="http://schemas.openxmlformats.org/officeDocument/2006/relationships" ref="I685" r:id="rId1951"/>
    <hyperlink xmlns:r="http://schemas.openxmlformats.org/officeDocument/2006/relationships" ref="J685" r:id="rId1952"/>
    <hyperlink xmlns:r="http://schemas.openxmlformats.org/officeDocument/2006/relationships" ref="I686" r:id="rId1953"/>
    <hyperlink xmlns:r="http://schemas.openxmlformats.org/officeDocument/2006/relationships" ref="J686" r:id="rId1954"/>
    <hyperlink xmlns:r="http://schemas.openxmlformats.org/officeDocument/2006/relationships" ref="K686" r:id="rId1955"/>
    <hyperlink xmlns:r="http://schemas.openxmlformats.org/officeDocument/2006/relationships" ref="I687" r:id="rId1956"/>
    <hyperlink xmlns:r="http://schemas.openxmlformats.org/officeDocument/2006/relationships" ref="J687" r:id="rId1957"/>
    <hyperlink xmlns:r="http://schemas.openxmlformats.org/officeDocument/2006/relationships" ref="K687" r:id="rId1958"/>
    <hyperlink xmlns:r="http://schemas.openxmlformats.org/officeDocument/2006/relationships" ref="I688" r:id="rId1959"/>
    <hyperlink xmlns:r="http://schemas.openxmlformats.org/officeDocument/2006/relationships" ref="J688" r:id="rId1960"/>
    <hyperlink xmlns:r="http://schemas.openxmlformats.org/officeDocument/2006/relationships" ref="K688" r:id="rId1961"/>
    <hyperlink xmlns:r="http://schemas.openxmlformats.org/officeDocument/2006/relationships" ref="I689" r:id="rId1962"/>
    <hyperlink xmlns:r="http://schemas.openxmlformats.org/officeDocument/2006/relationships" ref="J689" r:id="rId1963"/>
    <hyperlink xmlns:r="http://schemas.openxmlformats.org/officeDocument/2006/relationships" ref="K689" r:id="rId1964"/>
    <hyperlink xmlns:r="http://schemas.openxmlformats.org/officeDocument/2006/relationships" ref="I690" r:id="rId1965"/>
    <hyperlink xmlns:r="http://schemas.openxmlformats.org/officeDocument/2006/relationships" ref="J690" r:id="rId1966"/>
    <hyperlink xmlns:r="http://schemas.openxmlformats.org/officeDocument/2006/relationships" ref="K690" r:id="rId1967"/>
    <hyperlink xmlns:r="http://schemas.openxmlformats.org/officeDocument/2006/relationships" ref="I691" r:id="rId1968"/>
    <hyperlink xmlns:r="http://schemas.openxmlformats.org/officeDocument/2006/relationships" ref="J691" r:id="rId1969"/>
    <hyperlink xmlns:r="http://schemas.openxmlformats.org/officeDocument/2006/relationships" ref="K691" r:id="rId1970"/>
    <hyperlink xmlns:r="http://schemas.openxmlformats.org/officeDocument/2006/relationships" ref="I692" r:id="rId1971"/>
    <hyperlink xmlns:r="http://schemas.openxmlformats.org/officeDocument/2006/relationships" ref="J692" r:id="rId1972"/>
    <hyperlink xmlns:r="http://schemas.openxmlformats.org/officeDocument/2006/relationships" ref="K692" r:id="rId1973"/>
    <hyperlink xmlns:r="http://schemas.openxmlformats.org/officeDocument/2006/relationships" ref="I693" r:id="rId1974"/>
    <hyperlink xmlns:r="http://schemas.openxmlformats.org/officeDocument/2006/relationships" ref="J693" r:id="rId1975"/>
    <hyperlink xmlns:r="http://schemas.openxmlformats.org/officeDocument/2006/relationships" ref="K693" r:id="rId1976"/>
    <hyperlink xmlns:r="http://schemas.openxmlformats.org/officeDocument/2006/relationships" ref="I694" r:id="rId1977"/>
    <hyperlink xmlns:r="http://schemas.openxmlformats.org/officeDocument/2006/relationships" ref="J694" r:id="rId1978"/>
    <hyperlink xmlns:r="http://schemas.openxmlformats.org/officeDocument/2006/relationships" ref="K694" r:id="rId1979"/>
    <hyperlink xmlns:r="http://schemas.openxmlformats.org/officeDocument/2006/relationships" ref="I695" r:id="rId1980"/>
    <hyperlink xmlns:r="http://schemas.openxmlformats.org/officeDocument/2006/relationships" ref="J695" r:id="rId1981"/>
    <hyperlink xmlns:r="http://schemas.openxmlformats.org/officeDocument/2006/relationships" ref="K695" r:id="rId1982"/>
    <hyperlink xmlns:r="http://schemas.openxmlformats.org/officeDocument/2006/relationships" ref="I696" r:id="rId1983"/>
    <hyperlink xmlns:r="http://schemas.openxmlformats.org/officeDocument/2006/relationships" ref="J696" r:id="rId1984"/>
    <hyperlink xmlns:r="http://schemas.openxmlformats.org/officeDocument/2006/relationships" ref="K696" r:id="rId1985"/>
    <hyperlink xmlns:r="http://schemas.openxmlformats.org/officeDocument/2006/relationships" ref="I697" r:id="rId1986"/>
    <hyperlink xmlns:r="http://schemas.openxmlformats.org/officeDocument/2006/relationships" ref="J697" r:id="rId1987"/>
    <hyperlink xmlns:r="http://schemas.openxmlformats.org/officeDocument/2006/relationships" ref="K697" r:id="rId1988"/>
    <hyperlink xmlns:r="http://schemas.openxmlformats.org/officeDocument/2006/relationships" ref="I698" r:id="rId1989"/>
    <hyperlink xmlns:r="http://schemas.openxmlformats.org/officeDocument/2006/relationships" ref="J698" r:id="rId1990"/>
    <hyperlink xmlns:r="http://schemas.openxmlformats.org/officeDocument/2006/relationships" ref="K698" r:id="rId1991"/>
    <hyperlink xmlns:r="http://schemas.openxmlformats.org/officeDocument/2006/relationships" ref="I699" r:id="rId1992"/>
    <hyperlink xmlns:r="http://schemas.openxmlformats.org/officeDocument/2006/relationships" ref="J699" r:id="rId1993"/>
    <hyperlink xmlns:r="http://schemas.openxmlformats.org/officeDocument/2006/relationships" ref="K699" r:id="rId1994"/>
    <hyperlink xmlns:r="http://schemas.openxmlformats.org/officeDocument/2006/relationships" ref="I700" r:id="rId1995"/>
    <hyperlink xmlns:r="http://schemas.openxmlformats.org/officeDocument/2006/relationships" ref="J700" r:id="rId1996"/>
    <hyperlink xmlns:r="http://schemas.openxmlformats.org/officeDocument/2006/relationships" ref="K700" r:id="rId1997"/>
    <hyperlink xmlns:r="http://schemas.openxmlformats.org/officeDocument/2006/relationships" ref="I701" r:id="rId1998"/>
    <hyperlink xmlns:r="http://schemas.openxmlformats.org/officeDocument/2006/relationships" ref="J701" r:id="rId1999"/>
    <hyperlink xmlns:r="http://schemas.openxmlformats.org/officeDocument/2006/relationships" ref="K701" r:id="rId2000"/>
    <hyperlink xmlns:r="http://schemas.openxmlformats.org/officeDocument/2006/relationships" ref="I702" r:id="rId2001"/>
    <hyperlink xmlns:r="http://schemas.openxmlformats.org/officeDocument/2006/relationships" ref="J702" r:id="rId2002"/>
    <hyperlink xmlns:r="http://schemas.openxmlformats.org/officeDocument/2006/relationships" ref="K702" r:id="rId2003"/>
    <hyperlink xmlns:r="http://schemas.openxmlformats.org/officeDocument/2006/relationships" ref="I703" r:id="rId2004"/>
    <hyperlink xmlns:r="http://schemas.openxmlformats.org/officeDocument/2006/relationships" ref="J703" r:id="rId2005"/>
    <hyperlink xmlns:r="http://schemas.openxmlformats.org/officeDocument/2006/relationships" ref="K703" r:id="rId2006"/>
    <hyperlink xmlns:r="http://schemas.openxmlformats.org/officeDocument/2006/relationships" ref="I704" r:id="rId2007"/>
    <hyperlink xmlns:r="http://schemas.openxmlformats.org/officeDocument/2006/relationships" ref="J704" r:id="rId2008"/>
    <hyperlink xmlns:r="http://schemas.openxmlformats.org/officeDocument/2006/relationships" ref="K704" r:id="rId2009"/>
    <hyperlink xmlns:r="http://schemas.openxmlformats.org/officeDocument/2006/relationships" ref="I705" r:id="rId2010"/>
    <hyperlink xmlns:r="http://schemas.openxmlformats.org/officeDocument/2006/relationships" ref="J705" r:id="rId2011"/>
    <hyperlink xmlns:r="http://schemas.openxmlformats.org/officeDocument/2006/relationships" ref="K705" r:id="rId2012"/>
    <hyperlink xmlns:r="http://schemas.openxmlformats.org/officeDocument/2006/relationships" ref="I706" r:id="rId2013"/>
    <hyperlink xmlns:r="http://schemas.openxmlformats.org/officeDocument/2006/relationships" ref="J706" r:id="rId2014"/>
    <hyperlink xmlns:r="http://schemas.openxmlformats.org/officeDocument/2006/relationships" ref="K706" r:id="rId2015"/>
    <hyperlink xmlns:r="http://schemas.openxmlformats.org/officeDocument/2006/relationships" ref="I707" r:id="rId2016"/>
    <hyperlink xmlns:r="http://schemas.openxmlformats.org/officeDocument/2006/relationships" ref="J707" r:id="rId2017"/>
    <hyperlink xmlns:r="http://schemas.openxmlformats.org/officeDocument/2006/relationships" ref="K707" r:id="rId2018"/>
    <hyperlink xmlns:r="http://schemas.openxmlformats.org/officeDocument/2006/relationships" ref="I708" r:id="rId2019"/>
    <hyperlink xmlns:r="http://schemas.openxmlformats.org/officeDocument/2006/relationships" ref="J708" r:id="rId2020"/>
    <hyperlink xmlns:r="http://schemas.openxmlformats.org/officeDocument/2006/relationships" ref="K708" r:id="rId2021"/>
    <hyperlink xmlns:r="http://schemas.openxmlformats.org/officeDocument/2006/relationships" ref="I709" r:id="rId2022"/>
    <hyperlink xmlns:r="http://schemas.openxmlformats.org/officeDocument/2006/relationships" ref="J709" r:id="rId2023"/>
    <hyperlink xmlns:r="http://schemas.openxmlformats.org/officeDocument/2006/relationships" ref="K709" r:id="rId2024"/>
    <hyperlink xmlns:r="http://schemas.openxmlformats.org/officeDocument/2006/relationships" ref="I710" r:id="rId2025"/>
    <hyperlink xmlns:r="http://schemas.openxmlformats.org/officeDocument/2006/relationships" ref="J710" r:id="rId2026"/>
    <hyperlink xmlns:r="http://schemas.openxmlformats.org/officeDocument/2006/relationships" ref="K710" r:id="rId2027"/>
    <hyperlink xmlns:r="http://schemas.openxmlformats.org/officeDocument/2006/relationships" ref="I711" r:id="rId2028"/>
    <hyperlink xmlns:r="http://schemas.openxmlformats.org/officeDocument/2006/relationships" ref="J711" r:id="rId2029"/>
    <hyperlink xmlns:r="http://schemas.openxmlformats.org/officeDocument/2006/relationships" ref="K711" r:id="rId2030"/>
    <hyperlink xmlns:r="http://schemas.openxmlformats.org/officeDocument/2006/relationships" ref="I712" r:id="rId2031"/>
    <hyperlink xmlns:r="http://schemas.openxmlformats.org/officeDocument/2006/relationships" ref="J712" r:id="rId2032"/>
    <hyperlink xmlns:r="http://schemas.openxmlformats.org/officeDocument/2006/relationships" ref="K712" r:id="rId2033"/>
    <hyperlink xmlns:r="http://schemas.openxmlformats.org/officeDocument/2006/relationships" ref="I713" r:id="rId2034"/>
    <hyperlink xmlns:r="http://schemas.openxmlformats.org/officeDocument/2006/relationships" ref="J713" r:id="rId2035"/>
    <hyperlink xmlns:r="http://schemas.openxmlformats.org/officeDocument/2006/relationships" ref="K713" r:id="rId2036"/>
    <hyperlink xmlns:r="http://schemas.openxmlformats.org/officeDocument/2006/relationships" ref="I714" r:id="rId2037"/>
    <hyperlink xmlns:r="http://schemas.openxmlformats.org/officeDocument/2006/relationships" ref="J714" r:id="rId2038"/>
    <hyperlink xmlns:r="http://schemas.openxmlformats.org/officeDocument/2006/relationships" ref="K714" r:id="rId2039"/>
    <hyperlink xmlns:r="http://schemas.openxmlformats.org/officeDocument/2006/relationships" ref="I715" r:id="rId2040"/>
    <hyperlink xmlns:r="http://schemas.openxmlformats.org/officeDocument/2006/relationships" ref="J715" r:id="rId2041"/>
    <hyperlink xmlns:r="http://schemas.openxmlformats.org/officeDocument/2006/relationships" ref="K715" r:id="rId2042"/>
    <hyperlink xmlns:r="http://schemas.openxmlformats.org/officeDocument/2006/relationships" ref="I716" r:id="rId2043"/>
    <hyperlink xmlns:r="http://schemas.openxmlformats.org/officeDocument/2006/relationships" ref="J716" r:id="rId2044"/>
    <hyperlink xmlns:r="http://schemas.openxmlformats.org/officeDocument/2006/relationships" ref="K716" r:id="rId2045"/>
    <hyperlink xmlns:r="http://schemas.openxmlformats.org/officeDocument/2006/relationships" ref="I717" r:id="rId2046"/>
    <hyperlink xmlns:r="http://schemas.openxmlformats.org/officeDocument/2006/relationships" ref="J717" r:id="rId2047"/>
    <hyperlink xmlns:r="http://schemas.openxmlformats.org/officeDocument/2006/relationships" ref="K717" r:id="rId2048"/>
    <hyperlink xmlns:r="http://schemas.openxmlformats.org/officeDocument/2006/relationships" ref="I718" r:id="rId2049"/>
    <hyperlink xmlns:r="http://schemas.openxmlformats.org/officeDocument/2006/relationships" ref="J718" r:id="rId2050"/>
    <hyperlink xmlns:r="http://schemas.openxmlformats.org/officeDocument/2006/relationships" ref="K718" r:id="rId2051"/>
    <hyperlink xmlns:r="http://schemas.openxmlformats.org/officeDocument/2006/relationships" ref="I719" r:id="rId2052"/>
    <hyperlink xmlns:r="http://schemas.openxmlformats.org/officeDocument/2006/relationships" ref="J719" r:id="rId2053"/>
    <hyperlink xmlns:r="http://schemas.openxmlformats.org/officeDocument/2006/relationships" ref="K719" r:id="rId2054"/>
    <hyperlink xmlns:r="http://schemas.openxmlformats.org/officeDocument/2006/relationships" ref="I720" r:id="rId2055"/>
    <hyperlink xmlns:r="http://schemas.openxmlformats.org/officeDocument/2006/relationships" ref="J720" r:id="rId2056"/>
    <hyperlink xmlns:r="http://schemas.openxmlformats.org/officeDocument/2006/relationships" ref="K720" r:id="rId2057"/>
    <hyperlink xmlns:r="http://schemas.openxmlformats.org/officeDocument/2006/relationships" ref="I721" r:id="rId2058"/>
    <hyperlink xmlns:r="http://schemas.openxmlformats.org/officeDocument/2006/relationships" ref="J721" r:id="rId2059"/>
    <hyperlink xmlns:r="http://schemas.openxmlformats.org/officeDocument/2006/relationships" ref="K721" r:id="rId2060"/>
    <hyperlink xmlns:r="http://schemas.openxmlformats.org/officeDocument/2006/relationships" ref="I722" r:id="rId2061"/>
    <hyperlink xmlns:r="http://schemas.openxmlformats.org/officeDocument/2006/relationships" ref="J722" r:id="rId2062"/>
    <hyperlink xmlns:r="http://schemas.openxmlformats.org/officeDocument/2006/relationships" ref="K722" r:id="rId2063"/>
    <hyperlink xmlns:r="http://schemas.openxmlformats.org/officeDocument/2006/relationships" ref="I723" r:id="rId2064"/>
    <hyperlink xmlns:r="http://schemas.openxmlformats.org/officeDocument/2006/relationships" ref="J723" r:id="rId2065"/>
    <hyperlink xmlns:r="http://schemas.openxmlformats.org/officeDocument/2006/relationships" ref="K723" r:id="rId2066"/>
    <hyperlink xmlns:r="http://schemas.openxmlformats.org/officeDocument/2006/relationships" ref="I724" r:id="rId2067"/>
    <hyperlink xmlns:r="http://schemas.openxmlformats.org/officeDocument/2006/relationships" ref="J724" r:id="rId2068"/>
    <hyperlink xmlns:r="http://schemas.openxmlformats.org/officeDocument/2006/relationships" ref="K724" r:id="rId2069"/>
    <hyperlink xmlns:r="http://schemas.openxmlformats.org/officeDocument/2006/relationships" ref="I725" r:id="rId2070"/>
    <hyperlink xmlns:r="http://schemas.openxmlformats.org/officeDocument/2006/relationships" ref="J725" r:id="rId2071"/>
    <hyperlink xmlns:r="http://schemas.openxmlformats.org/officeDocument/2006/relationships" ref="K725" r:id="rId2072"/>
    <hyperlink xmlns:r="http://schemas.openxmlformats.org/officeDocument/2006/relationships" ref="I726" r:id="rId2073"/>
    <hyperlink xmlns:r="http://schemas.openxmlformats.org/officeDocument/2006/relationships" ref="J726" r:id="rId2074"/>
    <hyperlink xmlns:r="http://schemas.openxmlformats.org/officeDocument/2006/relationships" ref="K726" r:id="rId2075"/>
    <hyperlink xmlns:r="http://schemas.openxmlformats.org/officeDocument/2006/relationships" ref="I727" r:id="rId2076"/>
    <hyperlink xmlns:r="http://schemas.openxmlformats.org/officeDocument/2006/relationships" ref="J727" r:id="rId2077"/>
    <hyperlink xmlns:r="http://schemas.openxmlformats.org/officeDocument/2006/relationships" ref="K727" r:id="rId2078"/>
    <hyperlink xmlns:r="http://schemas.openxmlformats.org/officeDocument/2006/relationships" ref="I728" r:id="rId2079"/>
    <hyperlink xmlns:r="http://schemas.openxmlformats.org/officeDocument/2006/relationships" ref="J728" r:id="rId2080"/>
    <hyperlink xmlns:r="http://schemas.openxmlformats.org/officeDocument/2006/relationships" ref="K728" r:id="rId2081"/>
    <hyperlink xmlns:r="http://schemas.openxmlformats.org/officeDocument/2006/relationships" ref="I729" r:id="rId2082"/>
    <hyperlink xmlns:r="http://schemas.openxmlformats.org/officeDocument/2006/relationships" ref="J729" r:id="rId2083"/>
    <hyperlink xmlns:r="http://schemas.openxmlformats.org/officeDocument/2006/relationships" ref="K729" r:id="rId2084"/>
    <hyperlink xmlns:r="http://schemas.openxmlformats.org/officeDocument/2006/relationships" ref="I730" r:id="rId2085"/>
    <hyperlink xmlns:r="http://schemas.openxmlformats.org/officeDocument/2006/relationships" ref="J730" r:id="rId2086"/>
    <hyperlink xmlns:r="http://schemas.openxmlformats.org/officeDocument/2006/relationships" ref="K730" r:id="rId2087"/>
    <hyperlink xmlns:r="http://schemas.openxmlformats.org/officeDocument/2006/relationships" ref="I731" r:id="rId2088"/>
    <hyperlink xmlns:r="http://schemas.openxmlformats.org/officeDocument/2006/relationships" ref="J731" r:id="rId2089"/>
    <hyperlink xmlns:r="http://schemas.openxmlformats.org/officeDocument/2006/relationships" ref="K731" r:id="rId2090"/>
    <hyperlink xmlns:r="http://schemas.openxmlformats.org/officeDocument/2006/relationships" ref="I732" r:id="rId2091"/>
    <hyperlink xmlns:r="http://schemas.openxmlformats.org/officeDocument/2006/relationships" ref="J732" r:id="rId2092"/>
    <hyperlink xmlns:r="http://schemas.openxmlformats.org/officeDocument/2006/relationships" ref="K732" r:id="rId2093"/>
    <hyperlink xmlns:r="http://schemas.openxmlformats.org/officeDocument/2006/relationships" ref="I733" r:id="rId2094"/>
    <hyperlink xmlns:r="http://schemas.openxmlformats.org/officeDocument/2006/relationships" ref="J733" r:id="rId2095"/>
    <hyperlink xmlns:r="http://schemas.openxmlformats.org/officeDocument/2006/relationships" ref="K733" r:id="rId2096"/>
    <hyperlink xmlns:r="http://schemas.openxmlformats.org/officeDocument/2006/relationships" ref="I734" r:id="rId2097"/>
    <hyperlink xmlns:r="http://schemas.openxmlformats.org/officeDocument/2006/relationships" ref="J734" r:id="rId2098"/>
    <hyperlink xmlns:r="http://schemas.openxmlformats.org/officeDocument/2006/relationships" ref="K734" r:id="rId2099"/>
    <hyperlink xmlns:r="http://schemas.openxmlformats.org/officeDocument/2006/relationships" ref="I735" r:id="rId2100"/>
    <hyperlink xmlns:r="http://schemas.openxmlformats.org/officeDocument/2006/relationships" ref="J735" r:id="rId2101"/>
    <hyperlink xmlns:r="http://schemas.openxmlformats.org/officeDocument/2006/relationships" ref="K735" r:id="rId2102"/>
    <hyperlink xmlns:r="http://schemas.openxmlformats.org/officeDocument/2006/relationships" ref="I736" r:id="rId2103"/>
    <hyperlink xmlns:r="http://schemas.openxmlformats.org/officeDocument/2006/relationships" ref="J736" r:id="rId2104"/>
    <hyperlink xmlns:r="http://schemas.openxmlformats.org/officeDocument/2006/relationships" ref="K736" r:id="rId2105"/>
    <hyperlink xmlns:r="http://schemas.openxmlformats.org/officeDocument/2006/relationships" ref="I737" r:id="rId2106"/>
    <hyperlink xmlns:r="http://schemas.openxmlformats.org/officeDocument/2006/relationships" ref="J737" r:id="rId2107"/>
    <hyperlink xmlns:r="http://schemas.openxmlformats.org/officeDocument/2006/relationships" ref="I738" r:id="rId2108"/>
    <hyperlink xmlns:r="http://schemas.openxmlformats.org/officeDocument/2006/relationships" ref="J738" r:id="rId2109"/>
    <hyperlink xmlns:r="http://schemas.openxmlformats.org/officeDocument/2006/relationships" ref="I739" r:id="rId2110"/>
    <hyperlink xmlns:r="http://schemas.openxmlformats.org/officeDocument/2006/relationships" ref="J739" r:id="rId2111"/>
    <hyperlink xmlns:r="http://schemas.openxmlformats.org/officeDocument/2006/relationships" ref="I740" r:id="rId2112"/>
    <hyperlink xmlns:r="http://schemas.openxmlformats.org/officeDocument/2006/relationships" ref="J740" r:id="rId2113"/>
    <hyperlink xmlns:r="http://schemas.openxmlformats.org/officeDocument/2006/relationships" ref="I741" r:id="rId2114"/>
    <hyperlink xmlns:r="http://schemas.openxmlformats.org/officeDocument/2006/relationships" ref="J741" r:id="rId2115"/>
    <hyperlink xmlns:r="http://schemas.openxmlformats.org/officeDocument/2006/relationships" ref="K741" r:id="rId2116"/>
    <hyperlink xmlns:r="http://schemas.openxmlformats.org/officeDocument/2006/relationships" ref="I742" r:id="rId2117"/>
    <hyperlink xmlns:r="http://schemas.openxmlformats.org/officeDocument/2006/relationships" ref="J742" r:id="rId2118"/>
    <hyperlink xmlns:r="http://schemas.openxmlformats.org/officeDocument/2006/relationships" ref="K742" r:id="rId2119"/>
    <hyperlink xmlns:r="http://schemas.openxmlformats.org/officeDocument/2006/relationships" ref="I743" r:id="rId2120"/>
    <hyperlink xmlns:r="http://schemas.openxmlformats.org/officeDocument/2006/relationships" ref="J743" r:id="rId2121"/>
    <hyperlink xmlns:r="http://schemas.openxmlformats.org/officeDocument/2006/relationships" ref="K743" r:id="rId2122"/>
    <hyperlink xmlns:r="http://schemas.openxmlformats.org/officeDocument/2006/relationships" ref="I744" r:id="rId2123"/>
    <hyperlink xmlns:r="http://schemas.openxmlformats.org/officeDocument/2006/relationships" ref="J744" r:id="rId2124"/>
    <hyperlink xmlns:r="http://schemas.openxmlformats.org/officeDocument/2006/relationships" ref="K744" r:id="rId2125"/>
    <hyperlink xmlns:r="http://schemas.openxmlformats.org/officeDocument/2006/relationships" ref="I745" r:id="rId2126"/>
    <hyperlink xmlns:r="http://schemas.openxmlformats.org/officeDocument/2006/relationships" ref="J745" r:id="rId2127"/>
    <hyperlink xmlns:r="http://schemas.openxmlformats.org/officeDocument/2006/relationships" ref="K745" r:id="rId2128"/>
    <hyperlink xmlns:r="http://schemas.openxmlformats.org/officeDocument/2006/relationships" ref="I746" r:id="rId2129"/>
    <hyperlink xmlns:r="http://schemas.openxmlformats.org/officeDocument/2006/relationships" ref="J746" r:id="rId2130"/>
    <hyperlink xmlns:r="http://schemas.openxmlformats.org/officeDocument/2006/relationships" ref="K746" r:id="rId2131"/>
    <hyperlink xmlns:r="http://schemas.openxmlformats.org/officeDocument/2006/relationships" ref="I747" r:id="rId2132"/>
    <hyperlink xmlns:r="http://schemas.openxmlformats.org/officeDocument/2006/relationships" ref="J747" r:id="rId2133"/>
    <hyperlink xmlns:r="http://schemas.openxmlformats.org/officeDocument/2006/relationships" ref="K747" r:id="rId2134"/>
    <hyperlink xmlns:r="http://schemas.openxmlformats.org/officeDocument/2006/relationships" ref="I748" r:id="rId2135"/>
    <hyperlink xmlns:r="http://schemas.openxmlformats.org/officeDocument/2006/relationships" ref="J748" r:id="rId2136"/>
    <hyperlink xmlns:r="http://schemas.openxmlformats.org/officeDocument/2006/relationships" ref="K748" r:id="rId2137"/>
    <hyperlink xmlns:r="http://schemas.openxmlformats.org/officeDocument/2006/relationships" ref="I749" r:id="rId2138"/>
    <hyperlink xmlns:r="http://schemas.openxmlformats.org/officeDocument/2006/relationships" ref="J749" r:id="rId2139"/>
    <hyperlink xmlns:r="http://schemas.openxmlformats.org/officeDocument/2006/relationships" ref="K749" r:id="rId2140"/>
    <hyperlink xmlns:r="http://schemas.openxmlformats.org/officeDocument/2006/relationships" ref="I750" r:id="rId2141"/>
    <hyperlink xmlns:r="http://schemas.openxmlformats.org/officeDocument/2006/relationships" ref="J750" r:id="rId2142"/>
    <hyperlink xmlns:r="http://schemas.openxmlformats.org/officeDocument/2006/relationships" ref="K750" r:id="rId2143"/>
    <hyperlink xmlns:r="http://schemas.openxmlformats.org/officeDocument/2006/relationships" ref="I751" r:id="rId2144"/>
    <hyperlink xmlns:r="http://schemas.openxmlformats.org/officeDocument/2006/relationships" ref="J751" r:id="rId2145"/>
    <hyperlink xmlns:r="http://schemas.openxmlformats.org/officeDocument/2006/relationships" ref="K751" r:id="rId2146"/>
    <hyperlink xmlns:r="http://schemas.openxmlformats.org/officeDocument/2006/relationships" ref="I752" r:id="rId2147"/>
    <hyperlink xmlns:r="http://schemas.openxmlformats.org/officeDocument/2006/relationships" ref="J752" r:id="rId2148"/>
    <hyperlink xmlns:r="http://schemas.openxmlformats.org/officeDocument/2006/relationships" ref="K752" r:id="rId2149"/>
    <hyperlink xmlns:r="http://schemas.openxmlformats.org/officeDocument/2006/relationships" ref="I753" r:id="rId2150"/>
    <hyperlink xmlns:r="http://schemas.openxmlformats.org/officeDocument/2006/relationships" ref="J753" r:id="rId2151"/>
    <hyperlink xmlns:r="http://schemas.openxmlformats.org/officeDocument/2006/relationships" ref="K753" r:id="rId2152"/>
    <hyperlink xmlns:r="http://schemas.openxmlformats.org/officeDocument/2006/relationships" ref="I754" r:id="rId2153"/>
    <hyperlink xmlns:r="http://schemas.openxmlformats.org/officeDocument/2006/relationships" ref="J754" r:id="rId2154"/>
    <hyperlink xmlns:r="http://schemas.openxmlformats.org/officeDocument/2006/relationships" ref="K754" r:id="rId2155"/>
    <hyperlink xmlns:r="http://schemas.openxmlformats.org/officeDocument/2006/relationships" ref="I755" r:id="rId2156"/>
    <hyperlink xmlns:r="http://schemas.openxmlformats.org/officeDocument/2006/relationships" ref="J755" r:id="rId2157"/>
    <hyperlink xmlns:r="http://schemas.openxmlformats.org/officeDocument/2006/relationships" ref="K755" r:id="rId2158"/>
    <hyperlink xmlns:r="http://schemas.openxmlformats.org/officeDocument/2006/relationships" ref="I756" r:id="rId2159"/>
    <hyperlink xmlns:r="http://schemas.openxmlformats.org/officeDocument/2006/relationships" ref="J756" r:id="rId2160"/>
    <hyperlink xmlns:r="http://schemas.openxmlformats.org/officeDocument/2006/relationships" ref="K756" r:id="rId2161"/>
    <hyperlink xmlns:r="http://schemas.openxmlformats.org/officeDocument/2006/relationships" ref="I757" r:id="rId2162"/>
    <hyperlink xmlns:r="http://schemas.openxmlformats.org/officeDocument/2006/relationships" ref="J757" r:id="rId2163"/>
    <hyperlink xmlns:r="http://schemas.openxmlformats.org/officeDocument/2006/relationships" ref="K757" r:id="rId2164"/>
    <hyperlink xmlns:r="http://schemas.openxmlformats.org/officeDocument/2006/relationships" ref="I758" r:id="rId2165"/>
    <hyperlink xmlns:r="http://schemas.openxmlformats.org/officeDocument/2006/relationships" ref="J758" r:id="rId2166"/>
    <hyperlink xmlns:r="http://schemas.openxmlformats.org/officeDocument/2006/relationships" ref="K758" r:id="rId2167"/>
    <hyperlink xmlns:r="http://schemas.openxmlformats.org/officeDocument/2006/relationships" ref="I759" r:id="rId2168"/>
    <hyperlink xmlns:r="http://schemas.openxmlformats.org/officeDocument/2006/relationships" ref="J759" r:id="rId2169"/>
    <hyperlink xmlns:r="http://schemas.openxmlformats.org/officeDocument/2006/relationships" ref="K759" r:id="rId2170"/>
    <hyperlink xmlns:r="http://schemas.openxmlformats.org/officeDocument/2006/relationships" ref="I760" r:id="rId2171"/>
    <hyperlink xmlns:r="http://schemas.openxmlformats.org/officeDocument/2006/relationships" ref="J760" r:id="rId2172"/>
    <hyperlink xmlns:r="http://schemas.openxmlformats.org/officeDocument/2006/relationships" ref="K760" r:id="rId2173"/>
    <hyperlink xmlns:r="http://schemas.openxmlformats.org/officeDocument/2006/relationships" ref="I761" r:id="rId2174"/>
    <hyperlink xmlns:r="http://schemas.openxmlformats.org/officeDocument/2006/relationships" ref="J761" r:id="rId2175"/>
    <hyperlink xmlns:r="http://schemas.openxmlformats.org/officeDocument/2006/relationships" ref="K761" r:id="rId2176"/>
    <hyperlink xmlns:r="http://schemas.openxmlformats.org/officeDocument/2006/relationships" ref="I762" r:id="rId2177"/>
    <hyperlink xmlns:r="http://schemas.openxmlformats.org/officeDocument/2006/relationships" ref="J762" r:id="rId2178"/>
    <hyperlink xmlns:r="http://schemas.openxmlformats.org/officeDocument/2006/relationships" ref="K762" r:id="rId2179"/>
    <hyperlink xmlns:r="http://schemas.openxmlformats.org/officeDocument/2006/relationships" ref="I763" r:id="rId2180"/>
    <hyperlink xmlns:r="http://schemas.openxmlformats.org/officeDocument/2006/relationships" ref="J763" r:id="rId2181"/>
    <hyperlink xmlns:r="http://schemas.openxmlformats.org/officeDocument/2006/relationships" ref="K763" r:id="rId2182"/>
    <hyperlink xmlns:r="http://schemas.openxmlformats.org/officeDocument/2006/relationships" ref="I764" r:id="rId2183"/>
    <hyperlink xmlns:r="http://schemas.openxmlformats.org/officeDocument/2006/relationships" ref="J764" r:id="rId2184"/>
    <hyperlink xmlns:r="http://schemas.openxmlformats.org/officeDocument/2006/relationships" ref="K764" r:id="rId2185"/>
    <hyperlink xmlns:r="http://schemas.openxmlformats.org/officeDocument/2006/relationships" ref="I765" r:id="rId2186"/>
    <hyperlink xmlns:r="http://schemas.openxmlformats.org/officeDocument/2006/relationships" ref="J765" r:id="rId2187"/>
    <hyperlink xmlns:r="http://schemas.openxmlformats.org/officeDocument/2006/relationships" ref="K765" r:id="rId2188"/>
    <hyperlink xmlns:r="http://schemas.openxmlformats.org/officeDocument/2006/relationships" ref="I766" r:id="rId2189"/>
    <hyperlink xmlns:r="http://schemas.openxmlformats.org/officeDocument/2006/relationships" ref="J766" r:id="rId2190"/>
    <hyperlink xmlns:r="http://schemas.openxmlformats.org/officeDocument/2006/relationships" ref="K766" r:id="rId2191"/>
    <hyperlink xmlns:r="http://schemas.openxmlformats.org/officeDocument/2006/relationships" ref="I767" r:id="rId2192"/>
    <hyperlink xmlns:r="http://schemas.openxmlformats.org/officeDocument/2006/relationships" ref="J767" r:id="rId2193"/>
    <hyperlink xmlns:r="http://schemas.openxmlformats.org/officeDocument/2006/relationships" ref="K767" r:id="rId2194"/>
    <hyperlink xmlns:r="http://schemas.openxmlformats.org/officeDocument/2006/relationships" ref="I768" r:id="rId2195"/>
    <hyperlink xmlns:r="http://schemas.openxmlformats.org/officeDocument/2006/relationships" ref="J768" r:id="rId2196"/>
    <hyperlink xmlns:r="http://schemas.openxmlformats.org/officeDocument/2006/relationships" ref="K768" r:id="rId2197"/>
    <hyperlink xmlns:r="http://schemas.openxmlformats.org/officeDocument/2006/relationships" ref="I769" r:id="rId2198"/>
    <hyperlink xmlns:r="http://schemas.openxmlformats.org/officeDocument/2006/relationships" ref="J769" r:id="rId2199"/>
    <hyperlink xmlns:r="http://schemas.openxmlformats.org/officeDocument/2006/relationships" ref="K769" r:id="rId2200"/>
    <hyperlink xmlns:r="http://schemas.openxmlformats.org/officeDocument/2006/relationships" ref="I770" r:id="rId2201"/>
    <hyperlink xmlns:r="http://schemas.openxmlformats.org/officeDocument/2006/relationships" ref="J770" r:id="rId2202"/>
    <hyperlink xmlns:r="http://schemas.openxmlformats.org/officeDocument/2006/relationships" ref="K770" r:id="rId2203"/>
    <hyperlink xmlns:r="http://schemas.openxmlformats.org/officeDocument/2006/relationships" ref="I771" r:id="rId2204"/>
    <hyperlink xmlns:r="http://schemas.openxmlformats.org/officeDocument/2006/relationships" ref="J771" r:id="rId2205"/>
    <hyperlink xmlns:r="http://schemas.openxmlformats.org/officeDocument/2006/relationships" ref="K771" r:id="rId2206"/>
    <hyperlink xmlns:r="http://schemas.openxmlformats.org/officeDocument/2006/relationships" ref="I772" r:id="rId2207"/>
    <hyperlink xmlns:r="http://schemas.openxmlformats.org/officeDocument/2006/relationships" ref="J772" r:id="rId2208"/>
    <hyperlink xmlns:r="http://schemas.openxmlformats.org/officeDocument/2006/relationships" ref="K772" r:id="rId2209"/>
    <hyperlink xmlns:r="http://schemas.openxmlformats.org/officeDocument/2006/relationships" ref="I773" r:id="rId2210"/>
    <hyperlink xmlns:r="http://schemas.openxmlformats.org/officeDocument/2006/relationships" ref="J773" r:id="rId2211"/>
    <hyperlink xmlns:r="http://schemas.openxmlformats.org/officeDocument/2006/relationships" ref="K773" r:id="rId2212"/>
    <hyperlink xmlns:r="http://schemas.openxmlformats.org/officeDocument/2006/relationships" ref="I774" r:id="rId2213"/>
    <hyperlink xmlns:r="http://schemas.openxmlformats.org/officeDocument/2006/relationships" ref="J774" r:id="rId2214"/>
    <hyperlink xmlns:r="http://schemas.openxmlformats.org/officeDocument/2006/relationships" ref="K774" r:id="rId2215"/>
    <hyperlink xmlns:r="http://schemas.openxmlformats.org/officeDocument/2006/relationships" ref="I775" r:id="rId2216"/>
    <hyperlink xmlns:r="http://schemas.openxmlformats.org/officeDocument/2006/relationships" ref="J775" r:id="rId2217"/>
    <hyperlink xmlns:r="http://schemas.openxmlformats.org/officeDocument/2006/relationships" ref="K775" r:id="rId2218"/>
    <hyperlink xmlns:r="http://schemas.openxmlformats.org/officeDocument/2006/relationships" ref="I776" r:id="rId2219"/>
    <hyperlink xmlns:r="http://schemas.openxmlformats.org/officeDocument/2006/relationships" ref="J776" r:id="rId2220"/>
    <hyperlink xmlns:r="http://schemas.openxmlformats.org/officeDocument/2006/relationships" ref="K776" r:id="rId2221"/>
    <hyperlink xmlns:r="http://schemas.openxmlformats.org/officeDocument/2006/relationships" ref="I777" r:id="rId2222"/>
    <hyperlink xmlns:r="http://schemas.openxmlformats.org/officeDocument/2006/relationships" ref="J777" r:id="rId2223"/>
    <hyperlink xmlns:r="http://schemas.openxmlformats.org/officeDocument/2006/relationships" ref="K777" r:id="rId2224"/>
    <hyperlink xmlns:r="http://schemas.openxmlformats.org/officeDocument/2006/relationships" ref="I778" r:id="rId2225"/>
    <hyperlink xmlns:r="http://schemas.openxmlformats.org/officeDocument/2006/relationships" ref="J778" r:id="rId2226"/>
    <hyperlink xmlns:r="http://schemas.openxmlformats.org/officeDocument/2006/relationships" ref="K778" r:id="rId2227"/>
    <hyperlink xmlns:r="http://schemas.openxmlformats.org/officeDocument/2006/relationships" ref="I779" r:id="rId2228"/>
    <hyperlink xmlns:r="http://schemas.openxmlformats.org/officeDocument/2006/relationships" ref="J779" r:id="rId2229"/>
    <hyperlink xmlns:r="http://schemas.openxmlformats.org/officeDocument/2006/relationships" ref="K779" r:id="rId2230"/>
    <hyperlink xmlns:r="http://schemas.openxmlformats.org/officeDocument/2006/relationships" ref="I780" r:id="rId2231"/>
    <hyperlink xmlns:r="http://schemas.openxmlformats.org/officeDocument/2006/relationships" ref="J780" r:id="rId2232"/>
    <hyperlink xmlns:r="http://schemas.openxmlformats.org/officeDocument/2006/relationships" ref="K780" r:id="rId2233"/>
    <hyperlink xmlns:r="http://schemas.openxmlformats.org/officeDocument/2006/relationships" ref="I781" r:id="rId2234"/>
    <hyperlink xmlns:r="http://schemas.openxmlformats.org/officeDocument/2006/relationships" ref="J781" r:id="rId2235"/>
    <hyperlink xmlns:r="http://schemas.openxmlformats.org/officeDocument/2006/relationships" ref="K781" r:id="rId2236"/>
    <hyperlink xmlns:r="http://schemas.openxmlformats.org/officeDocument/2006/relationships" ref="I782" r:id="rId2237"/>
    <hyperlink xmlns:r="http://schemas.openxmlformats.org/officeDocument/2006/relationships" ref="J782" r:id="rId2238"/>
    <hyperlink xmlns:r="http://schemas.openxmlformats.org/officeDocument/2006/relationships" ref="K782" r:id="rId2239"/>
    <hyperlink xmlns:r="http://schemas.openxmlformats.org/officeDocument/2006/relationships" ref="I783" r:id="rId2240"/>
    <hyperlink xmlns:r="http://schemas.openxmlformats.org/officeDocument/2006/relationships" ref="J783" r:id="rId2241"/>
    <hyperlink xmlns:r="http://schemas.openxmlformats.org/officeDocument/2006/relationships" ref="K783" r:id="rId2242"/>
    <hyperlink xmlns:r="http://schemas.openxmlformats.org/officeDocument/2006/relationships" ref="I784" r:id="rId2243"/>
    <hyperlink xmlns:r="http://schemas.openxmlformats.org/officeDocument/2006/relationships" ref="J784" r:id="rId2244"/>
    <hyperlink xmlns:r="http://schemas.openxmlformats.org/officeDocument/2006/relationships" ref="K784" r:id="rId2245"/>
    <hyperlink xmlns:r="http://schemas.openxmlformats.org/officeDocument/2006/relationships" ref="I785" r:id="rId2246"/>
    <hyperlink xmlns:r="http://schemas.openxmlformats.org/officeDocument/2006/relationships" ref="J785" r:id="rId2247"/>
    <hyperlink xmlns:r="http://schemas.openxmlformats.org/officeDocument/2006/relationships" ref="K785" r:id="rId2248"/>
    <hyperlink xmlns:r="http://schemas.openxmlformats.org/officeDocument/2006/relationships" ref="I786" r:id="rId2249"/>
    <hyperlink xmlns:r="http://schemas.openxmlformats.org/officeDocument/2006/relationships" ref="J786" r:id="rId2250"/>
    <hyperlink xmlns:r="http://schemas.openxmlformats.org/officeDocument/2006/relationships" ref="K786" r:id="rId2251"/>
    <hyperlink xmlns:r="http://schemas.openxmlformats.org/officeDocument/2006/relationships" ref="I787" r:id="rId2252"/>
    <hyperlink xmlns:r="http://schemas.openxmlformats.org/officeDocument/2006/relationships" ref="J787" r:id="rId2253"/>
    <hyperlink xmlns:r="http://schemas.openxmlformats.org/officeDocument/2006/relationships" ref="K787" r:id="rId2254"/>
    <hyperlink xmlns:r="http://schemas.openxmlformats.org/officeDocument/2006/relationships" ref="I788" r:id="rId2255"/>
    <hyperlink xmlns:r="http://schemas.openxmlformats.org/officeDocument/2006/relationships" ref="J788" r:id="rId2256"/>
    <hyperlink xmlns:r="http://schemas.openxmlformats.org/officeDocument/2006/relationships" ref="K788" r:id="rId2257"/>
    <hyperlink xmlns:r="http://schemas.openxmlformats.org/officeDocument/2006/relationships" ref="I789" r:id="rId2258"/>
    <hyperlink xmlns:r="http://schemas.openxmlformats.org/officeDocument/2006/relationships" ref="J789" r:id="rId2259"/>
    <hyperlink xmlns:r="http://schemas.openxmlformats.org/officeDocument/2006/relationships" ref="K789" r:id="rId2260"/>
    <hyperlink xmlns:r="http://schemas.openxmlformats.org/officeDocument/2006/relationships" ref="I790" r:id="rId2261"/>
    <hyperlink xmlns:r="http://schemas.openxmlformats.org/officeDocument/2006/relationships" ref="J790" r:id="rId2262"/>
    <hyperlink xmlns:r="http://schemas.openxmlformats.org/officeDocument/2006/relationships" ref="K790" r:id="rId2263"/>
    <hyperlink xmlns:r="http://schemas.openxmlformats.org/officeDocument/2006/relationships" ref="I791" r:id="rId2264"/>
    <hyperlink xmlns:r="http://schemas.openxmlformats.org/officeDocument/2006/relationships" ref="J791" r:id="rId2265"/>
    <hyperlink xmlns:r="http://schemas.openxmlformats.org/officeDocument/2006/relationships" ref="K791" r:id="rId2266"/>
    <hyperlink xmlns:r="http://schemas.openxmlformats.org/officeDocument/2006/relationships" ref="I792" r:id="rId2267"/>
    <hyperlink xmlns:r="http://schemas.openxmlformats.org/officeDocument/2006/relationships" ref="J792" r:id="rId2268"/>
    <hyperlink xmlns:r="http://schemas.openxmlformats.org/officeDocument/2006/relationships" ref="K792" r:id="rId2269"/>
    <hyperlink xmlns:r="http://schemas.openxmlformats.org/officeDocument/2006/relationships" ref="I793" r:id="rId2270"/>
    <hyperlink xmlns:r="http://schemas.openxmlformats.org/officeDocument/2006/relationships" ref="J793" r:id="rId2271"/>
    <hyperlink xmlns:r="http://schemas.openxmlformats.org/officeDocument/2006/relationships" ref="K793" r:id="rId2272"/>
    <hyperlink xmlns:r="http://schemas.openxmlformats.org/officeDocument/2006/relationships" ref="I794" r:id="rId2273"/>
    <hyperlink xmlns:r="http://schemas.openxmlformats.org/officeDocument/2006/relationships" ref="J794" r:id="rId2274"/>
    <hyperlink xmlns:r="http://schemas.openxmlformats.org/officeDocument/2006/relationships" ref="K794" r:id="rId2275"/>
    <hyperlink xmlns:r="http://schemas.openxmlformats.org/officeDocument/2006/relationships" ref="I795" r:id="rId2276"/>
    <hyperlink xmlns:r="http://schemas.openxmlformats.org/officeDocument/2006/relationships" ref="J795" r:id="rId2277"/>
    <hyperlink xmlns:r="http://schemas.openxmlformats.org/officeDocument/2006/relationships" ref="K795" r:id="rId2278"/>
    <hyperlink xmlns:r="http://schemas.openxmlformats.org/officeDocument/2006/relationships" ref="I796" r:id="rId2279"/>
    <hyperlink xmlns:r="http://schemas.openxmlformats.org/officeDocument/2006/relationships" ref="J796" r:id="rId2280"/>
    <hyperlink xmlns:r="http://schemas.openxmlformats.org/officeDocument/2006/relationships" ref="K796" r:id="rId2281"/>
    <hyperlink xmlns:r="http://schemas.openxmlformats.org/officeDocument/2006/relationships" ref="I797" r:id="rId2282"/>
    <hyperlink xmlns:r="http://schemas.openxmlformats.org/officeDocument/2006/relationships" ref="J797" r:id="rId2283"/>
    <hyperlink xmlns:r="http://schemas.openxmlformats.org/officeDocument/2006/relationships" ref="K797" r:id="rId2284"/>
    <hyperlink xmlns:r="http://schemas.openxmlformats.org/officeDocument/2006/relationships" ref="I798" r:id="rId2285"/>
    <hyperlink xmlns:r="http://schemas.openxmlformats.org/officeDocument/2006/relationships" ref="J798" r:id="rId2286"/>
    <hyperlink xmlns:r="http://schemas.openxmlformats.org/officeDocument/2006/relationships" ref="K798" r:id="rId2287"/>
    <hyperlink xmlns:r="http://schemas.openxmlformats.org/officeDocument/2006/relationships" ref="I799" r:id="rId2288"/>
    <hyperlink xmlns:r="http://schemas.openxmlformats.org/officeDocument/2006/relationships" ref="J799" r:id="rId2289"/>
    <hyperlink xmlns:r="http://schemas.openxmlformats.org/officeDocument/2006/relationships" ref="K799" r:id="rId2290"/>
    <hyperlink xmlns:r="http://schemas.openxmlformats.org/officeDocument/2006/relationships" ref="I800" r:id="rId2291"/>
    <hyperlink xmlns:r="http://schemas.openxmlformats.org/officeDocument/2006/relationships" ref="J800" r:id="rId2292"/>
    <hyperlink xmlns:r="http://schemas.openxmlformats.org/officeDocument/2006/relationships" ref="K800" r:id="rId2293"/>
    <hyperlink xmlns:r="http://schemas.openxmlformats.org/officeDocument/2006/relationships" ref="I801" r:id="rId2294"/>
    <hyperlink xmlns:r="http://schemas.openxmlformats.org/officeDocument/2006/relationships" ref="J801" r:id="rId2295"/>
    <hyperlink xmlns:r="http://schemas.openxmlformats.org/officeDocument/2006/relationships" ref="K801" r:id="rId2296"/>
    <hyperlink xmlns:r="http://schemas.openxmlformats.org/officeDocument/2006/relationships" ref="I802" r:id="rId2297"/>
    <hyperlink xmlns:r="http://schemas.openxmlformats.org/officeDocument/2006/relationships" ref="J802" r:id="rId2298"/>
    <hyperlink xmlns:r="http://schemas.openxmlformats.org/officeDocument/2006/relationships" ref="K802" r:id="rId2299"/>
    <hyperlink xmlns:r="http://schemas.openxmlformats.org/officeDocument/2006/relationships" ref="I803" r:id="rId2300"/>
    <hyperlink xmlns:r="http://schemas.openxmlformats.org/officeDocument/2006/relationships" ref="J803" r:id="rId2301"/>
    <hyperlink xmlns:r="http://schemas.openxmlformats.org/officeDocument/2006/relationships" ref="K803" r:id="rId2302"/>
    <hyperlink xmlns:r="http://schemas.openxmlformats.org/officeDocument/2006/relationships" ref="I804" r:id="rId2303"/>
    <hyperlink xmlns:r="http://schemas.openxmlformats.org/officeDocument/2006/relationships" ref="J804" r:id="rId2304"/>
    <hyperlink xmlns:r="http://schemas.openxmlformats.org/officeDocument/2006/relationships" ref="K804" r:id="rId2305"/>
    <hyperlink xmlns:r="http://schemas.openxmlformats.org/officeDocument/2006/relationships" ref="I805" r:id="rId2306"/>
    <hyperlink xmlns:r="http://schemas.openxmlformats.org/officeDocument/2006/relationships" ref="J805" r:id="rId2307"/>
    <hyperlink xmlns:r="http://schemas.openxmlformats.org/officeDocument/2006/relationships" ref="K805" r:id="rId2308"/>
    <hyperlink xmlns:r="http://schemas.openxmlformats.org/officeDocument/2006/relationships" ref="I806" r:id="rId2309"/>
    <hyperlink xmlns:r="http://schemas.openxmlformats.org/officeDocument/2006/relationships" ref="J806" r:id="rId2310"/>
    <hyperlink xmlns:r="http://schemas.openxmlformats.org/officeDocument/2006/relationships" ref="K806" r:id="rId2311"/>
    <hyperlink xmlns:r="http://schemas.openxmlformats.org/officeDocument/2006/relationships" ref="I807" r:id="rId2312"/>
    <hyperlink xmlns:r="http://schemas.openxmlformats.org/officeDocument/2006/relationships" ref="J807" r:id="rId2313"/>
    <hyperlink xmlns:r="http://schemas.openxmlformats.org/officeDocument/2006/relationships" ref="K807" r:id="rId2314"/>
    <hyperlink xmlns:r="http://schemas.openxmlformats.org/officeDocument/2006/relationships" ref="I808" r:id="rId2315"/>
    <hyperlink xmlns:r="http://schemas.openxmlformats.org/officeDocument/2006/relationships" ref="J808" r:id="rId2316"/>
    <hyperlink xmlns:r="http://schemas.openxmlformats.org/officeDocument/2006/relationships" ref="K808" r:id="rId2317"/>
    <hyperlink xmlns:r="http://schemas.openxmlformats.org/officeDocument/2006/relationships" ref="I809" r:id="rId2318"/>
    <hyperlink xmlns:r="http://schemas.openxmlformats.org/officeDocument/2006/relationships" ref="J809" r:id="rId2319"/>
    <hyperlink xmlns:r="http://schemas.openxmlformats.org/officeDocument/2006/relationships" ref="K809" r:id="rId2320"/>
    <hyperlink xmlns:r="http://schemas.openxmlformats.org/officeDocument/2006/relationships" ref="I810" r:id="rId2321"/>
    <hyperlink xmlns:r="http://schemas.openxmlformats.org/officeDocument/2006/relationships" ref="J810" r:id="rId2322"/>
    <hyperlink xmlns:r="http://schemas.openxmlformats.org/officeDocument/2006/relationships" ref="K810" r:id="rId2323"/>
    <hyperlink xmlns:r="http://schemas.openxmlformats.org/officeDocument/2006/relationships" ref="I811" r:id="rId2324"/>
    <hyperlink xmlns:r="http://schemas.openxmlformats.org/officeDocument/2006/relationships" ref="J811" r:id="rId2325"/>
    <hyperlink xmlns:r="http://schemas.openxmlformats.org/officeDocument/2006/relationships" ref="K811" r:id="rId2326"/>
    <hyperlink xmlns:r="http://schemas.openxmlformats.org/officeDocument/2006/relationships" ref="I812" r:id="rId2327"/>
    <hyperlink xmlns:r="http://schemas.openxmlformats.org/officeDocument/2006/relationships" ref="J812" r:id="rId2328"/>
    <hyperlink xmlns:r="http://schemas.openxmlformats.org/officeDocument/2006/relationships" ref="K812" r:id="rId2329"/>
    <hyperlink xmlns:r="http://schemas.openxmlformats.org/officeDocument/2006/relationships" ref="I813" r:id="rId2330"/>
    <hyperlink xmlns:r="http://schemas.openxmlformats.org/officeDocument/2006/relationships" ref="J813" r:id="rId2331"/>
    <hyperlink xmlns:r="http://schemas.openxmlformats.org/officeDocument/2006/relationships" ref="K813" r:id="rId2332"/>
    <hyperlink xmlns:r="http://schemas.openxmlformats.org/officeDocument/2006/relationships" ref="I814" r:id="rId2333"/>
    <hyperlink xmlns:r="http://schemas.openxmlformats.org/officeDocument/2006/relationships" ref="J814" r:id="rId2334"/>
    <hyperlink xmlns:r="http://schemas.openxmlformats.org/officeDocument/2006/relationships" ref="K814" r:id="rId2335"/>
    <hyperlink xmlns:r="http://schemas.openxmlformats.org/officeDocument/2006/relationships" ref="I815" r:id="rId2336"/>
    <hyperlink xmlns:r="http://schemas.openxmlformats.org/officeDocument/2006/relationships" ref="J815" r:id="rId2337"/>
    <hyperlink xmlns:r="http://schemas.openxmlformats.org/officeDocument/2006/relationships" ref="K815" r:id="rId2338"/>
    <hyperlink xmlns:r="http://schemas.openxmlformats.org/officeDocument/2006/relationships" ref="I816" r:id="rId2339"/>
    <hyperlink xmlns:r="http://schemas.openxmlformats.org/officeDocument/2006/relationships" ref="J816" r:id="rId2340"/>
    <hyperlink xmlns:r="http://schemas.openxmlformats.org/officeDocument/2006/relationships" ref="K816" r:id="rId2341"/>
    <hyperlink xmlns:r="http://schemas.openxmlformats.org/officeDocument/2006/relationships" ref="I817" r:id="rId2342"/>
    <hyperlink xmlns:r="http://schemas.openxmlformats.org/officeDocument/2006/relationships" ref="J817" r:id="rId2343"/>
    <hyperlink xmlns:r="http://schemas.openxmlformats.org/officeDocument/2006/relationships" ref="K817" r:id="rId2344"/>
    <hyperlink xmlns:r="http://schemas.openxmlformats.org/officeDocument/2006/relationships" ref="I818" r:id="rId2345"/>
    <hyperlink xmlns:r="http://schemas.openxmlformats.org/officeDocument/2006/relationships" ref="J818" r:id="rId2346"/>
    <hyperlink xmlns:r="http://schemas.openxmlformats.org/officeDocument/2006/relationships" ref="K818" r:id="rId2347"/>
    <hyperlink xmlns:r="http://schemas.openxmlformats.org/officeDocument/2006/relationships" ref="I819" r:id="rId2348"/>
    <hyperlink xmlns:r="http://schemas.openxmlformats.org/officeDocument/2006/relationships" ref="J819" r:id="rId2349"/>
    <hyperlink xmlns:r="http://schemas.openxmlformats.org/officeDocument/2006/relationships" ref="K819" r:id="rId2350"/>
    <hyperlink xmlns:r="http://schemas.openxmlformats.org/officeDocument/2006/relationships" ref="I820" r:id="rId2351"/>
    <hyperlink xmlns:r="http://schemas.openxmlformats.org/officeDocument/2006/relationships" ref="J820" r:id="rId2352"/>
    <hyperlink xmlns:r="http://schemas.openxmlformats.org/officeDocument/2006/relationships" ref="K820" r:id="rId2353"/>
    <hyperlink xmlns:r="http://schemas.openxmlformats.org/officeDocument/2006/relationships" ref="I821" r:id="rId2354"/>
    <hyperlink xmlns:r="http://schemas.openxmlformats.org/officeDocument/2006/relationships" ref="J821" r:id="rId2355"/>
    <hyperlink xmlns:r="http://schemas.openxmlformats.org/officeDocument/2006/relationships" ref="K821" r:id="rId2356"/>
    <hyperlink xmlns:r="http://schemas.openxmlformats.org/officeDocument/2006/relationships" ref="I822" r:id="rId2357"/>
    <hyperlink xmlns:r="http://schemas.openxmlformats.org/officeDocument/2006/relationships" ref="J822" r:id="rId2358"/>
    <hyperlink xmlns:r="http://schemas.openxmlformats.org/officeDocument/2006/relationships" ref="K822" r:id="rId2359"/>
    <hyperlink xmlns:r="http://schemas.openxmlformats.org/officeDocument/2006/relationships" ref="I823" r:id="rId2360"/>
    <hyperlink xmlns:r="http://schemas.openxmlformats.org/officeDocument/2006/relationships" ref="J823" r:id="rId2361"/>
    <hyperlink xmlns:r="http://schemas.openxmlformats.org/officeDocument/2006/relationships" ref="K823" r:id="rId2362"/>
    <hyperlink xmlns:r="http://schemas.openxmlformats.org/officeDocument/2006/relationships" ref="I824" r:id="rId2363"/>
    <hyperlink xmlns:r="http://schemas.openxmlformats.org/officeDocument/2006/relationships" ref="J824" r:id="rId2364"/>
    <hyperlink xmlns:r="http://schemas.openxmlformats.org/officeDocument/2006/relationships" ref="K824" r:id="rId2365"/>
    <hyperlink xmlns:r="http://schemas.openxmlformats.org/officeDocument/2006/relationships" ref="I825" r:id="rId2366"/>
    <hyperlink xmlns:r="http://schemas.openxmlformats.org/officeDocument/2006/relationships" ref="J825" r:id="rId2367"/>
    <hyperlink xmlns:r="http://schemas.openxmlformats.org/officeDocument/2006/relationships" ref="K825" r:id="rId2368"/>
    <hyperlink xmlns:r="http://schemas.openxmlformats.org/officeDocument/2006/relationships" ref="I826" r:id="rId2369"/>
    <hyperlink xmlns:r="http://schemas.openxmlformats.org/officeDocument/2006/relationships" ref="J826" r:id="rId2370"/>
    <hyperlink xmlns:r="http://schemas.openxmlformats.org/officeDocument/2006/relationships" ref="K826" r:id="rId2371"/>
    <hyperlink xmlns:r="http://schemas.openxmlformats.org/officeDocument/2006/relationships" ref="I827" r:id="rId2372"/>
    <hyperlink xmlns:r="http://schemas.openxmlformats.org/officeDocument/2006/relationships" ref="J827" r:id="rId2373"/>
    <hyperlink xmlns:r="http://schemas.openxmlformats.org/officeDocument/2006/relationships" ref="K827" r:id="rId2374"/>
    <hyperlink xmlns:r="http://schemas.openxmlformats.org/officeDocument/2006/relationships" ref="I828" r:id="rId2375"/>
    <hyperlink xmlns:r="http://schemas.openxmlformats.org/officeDocument/2006/relationships" ref="J828" r:id="rId2376"/>
    <hyperlink xmlns:r="http://schemas.openxmlformats.org/officeDocument/2006/relationships" ref="K828" r:id="rId2377"/>
    <hyperlink xmlns:r="http://schemas.openxmlformats.org/officeDocument/2006/relationships" ref="I829" r:id="rId2378"/>
    <hyperlink xmlns:r="http://schemas.openxmlformats.org/officeDocument/2006/relationships" ref="J829" r:id="rId2379"/>
    <hyperlink xmlns:r="http://schemas.openxmlformats.org/officeDocument/2006/relationships" ref="K829" r:id="rId2380"/>
    <hyperlink xmlns:r="http://schemas.openxmlformats.org/officeDocument/2006/relationships" ref="I830" r:id="rId2381"/>
    <hyperlink xmlns:r="http://schemas.openxmlformats.org/officeDocument/2006/relationships" ref="J830" r:id="rId2382"/>
    <hyperlink xmlns:r="http://schemas.openxmlformats.org/officeDocument/2006/relationships" ref="K830" r:id="rId2383"/>
    <hyperlink xmlns:r="http://schemas.openxmlformats.org/officeDocument/2006/relationships" ref="I831" r:id="rId2384"/>
    <hyperlink xmlns:r="http://schemas.openxmlformats.org/officeDocument/2006/relationships" ref="J831" r:id="rId2385"/>
    <hyperlink xmlns:r="http://schemas.openxmlformats.org/officeDocument/2006/relationships" ref="K831" r:id="rId2386"/>
    <hyperlink xmlns:r="http://schemas.openxmlformats.org/officeDocument/2006/relationships" ref="I832" r:id="rId2387"/>
    <hyperlink xmlns:r="http://schemas.openxmlformats.org/officeDocument/2006/relationships" ref="J832" r:id="rId2388"/>
    <hyperlink xmlns:r="http://schemas.openxmlformats.org/officeDocument/2006/relationships" ref="K832" r:id="rId2389"/>
    <hyperlink xmlns:r="http://schemas.openxmlformats.org/officeDocument/2006/relationships" ref="I833" r:id="rId2390"/>
    <hyperlink xmlns:r="http://schemas.openxmlformats.org/officeDocument/2006/relationships" ref="J833" r:id="rId2391"/>
    <hyperlink xmlns:r="http://schemas.openxmlformats.org/officeDocument/2006/relationships" ref="K833" r:id="rId2392"/>
    <hyperlink xmlns:r="http://schemas.openxmlformats.org/officeDocument/2006/relationships" ref="I834" r:id="rId2393"/>
    <hyperlink xmlns:r="http://schemas.openxmlformats.org/officeDocument/2006/relationships" ref="J834" r:id="rId2394"/>
    <hyperlink xmlns:r="http://schemas.openxmlformats.org/officeDocument/2006/relationships" ref="K834" r:id="rId2395"/>
    <hyperlink xmlns:r="http://schemas.openxmlformats.org/officeDocument/2006/relationships" ref="I835" r:id="rId2396"/>
    <hyperlink xmlns:r="http://schemas.openxmlformats.org/officeDocument/2006/relationships" ref="J835" r:id="rId2397"/>
    <hyperlink xmlns:r="http://schemas.openxmlformats.org/officeDocument/2006/relationships" ref="K835" r:id="rId2398"/>
    <hyperlink xmlns:r="http://schemas.openxmlformats.org/officeDocument/2006/relationships" ref="I836" r:id="rId2399"/>
    <hyperlink xmlns:r="http://schemas.openxmlformats.org/officeDocument/2006/relationships" ref="J836" r:id="rId2400"/>
    <hyperlink xmlns:r="http://schemas.openxmlformats.org/officeDocument/2006/relationships" ref="K836" r:id="rId2401"/>
    <hyperlink xmlns:r="http://schemas.openxmlformats.org/officeDocument/2006/relationships" ref="I837" r:id="rId2402"/>
    <hyperlink xmlns:r="http://schemas.openxmlformats.org/officeDocument/2006/relationships" ref="J837" r:id="rId2403"/>
    <hyperlink xmlns:r="http://schemas.openxmlformats.org/officeDocument/2006/relationships" ref="K837" r:id="rId2404"/>
    <hyperlink xmlns:r="http://schemas.openxmlformats.org/officeDocument/2006/relationships" ref="I838" r:id="rId2405"/>
    <hyperlink xmlns:r="http://schemas.openxmlformats.org/officeDocument/2006/relationships" ref="J838" r:id="rId2406"/>
    <hyperlink xmlns:r="http://schemas.openxmlformats.org/officeDocument/2006/relationships" ref="K838" r:id="rId2407"/>
    <hyperlink xmlns:r="http://schemas.openxmlformats.org/officeDocument/2006/relationships" ref="I839" r:id="rId2408"/>
    <hyperlink xmlns:r="http://schemas.openxmlformats.org/officeDocument/2006/relationships" ref="J839" r:id="rId2409"/>
    <hyperlink xmlns:r="http://schemas.openxmlformats.org/officeDocument/2006/relationships" ref="K839" r:id="rId2410"/>
    <hyperlink xmlns:r="http://schemas.openxmlformats.org/officeDocument/2006/relationships" ref="I840" r:id="rId2411"/>
    <hyperlink xmlns:r="http://schemas.openxmlformats.org/officeDocument/2006/relationships" ref="J840" r:id="rId2412"/>
    <hyperlink xmlns:r="http://schemas.openxmlformats.org/officeDocument/2006/relationships" ref="K840" r:id="rId2413"/>
    <hyperlink xmlns:r="http://schemas.openxmlformats.org/officeDocument/2006/relationships" ref="I841" r:id="rId2414"/>
    <hyperlink xmlns:r="http://schemas.openxmlformats.org/officeDocument/2006/relationships" ref="J841" r:id="rId2415"/>
    <hyperlink xmlns:r="http://schemas.openxmlformats.org/officeDocument/2006/relationships" ref="K841" r:id="rId2416"/>
    <hyperlink xmlns:r="http://schemas.openxmlformats.org/officeDocument/2006/relationships" ref="I842" r:id="rId2417"/>
    <hyperlink xmlns:r="http://schemas.openxmlformats.org/officeDocument/2006/relationships" ref="J842" r:id="rId2418"/>
    <hyperlink xmlns:r="http://schemas.openxmlformats.org/officeDocument/2006/relationships" ref="K842" r:id="rId2419"/>
    <hyperlink xmlns:r="http://schemas.openxmlformats.org/officeDocument/2006/relationships" ref="I843" r:id="rId2420"/>
    <hyperlink xmlns:r="http://schemas.openxmlformats.org/officeDocument/2006/relationships" ref="J843" r:id="rId2421"/>
    <hyperlink xmlns:r="http://schemas.openxmlformats.org/officeDocument/2006/relationships" ref="K843" r:id="rId2422"/>
    <hyperlink xmlns:r="http://schemas.openxmlformats.org/officeDocument/2006/relationships" ref="I844" r:id="rId2423"/>
    <hyperlink xmlns:r="http://schemas.openxmlformats.org/officeDocument/2006/relationships" ref="J844" r:id="rId2424"/>
    <hyperlink xmlns:r="http://schemas.openxmlformats.org/officeDocument/2006/relationships" ref="K844" r:id="rId2425"/>
    <hyperlink xmlns:r="http://schemas.openxmlformats.org/officeDocument/2006/relationships" ref="I845" r:id="rId2426"/>
    <hyperlink xmlns:r="http://schemas.openxmlformats.org/officeDocument/2006/relationships" ref="J845" r:id="rId2427"/>
    <hyperlink xmlns:r="http://schemas.openxmlformats.org/officeDocument/2006/relationships" ref="K845" r:id="rId2428"/>
    <hyperlink xmlns:r="http://schemas.openxmlformats.org/officeDocument/2006/relationships" ref="I846" r:id="rId2429"/>
    <hyperlink xmlns:r="http://schemas.openxmlformats.org/officeDocument/2006/relationships" ref="J846" r:id="rId2430"/>
    <hyperlink xmlns:r="http://schemas.openxmlformats.org/officeDocument/2006/relationships" ref="K846" r:id="rId2431"/>
    <hyperlink xmlns:r="http://schemas.openxmlformats.org/officeDocument/2006/relationships" ref="I847" r:id="rId2432"/>
    <hyperlink xmlns:r="http://schemas.openxmlformats.org/officeDocument/2006/relationships" ref="J847" r:id="rId2433"/>
    <hyperlink xmlns:r="http://schemas.openxmlformats.org/officeDocument/2006/relationships" ref="K847" r:id="rId2434"/>
    <hyperlink xmlns:r="http://schemas.openxmlformats.org/officeDocument/2006/relationships" ref="I848" r:id="rId2435"/>
    <hyperlink xmlns:r="http://schemas.openxmlformats.org/officeDocument/2006/relationships" ref="J848" r:id="rId2436"/>
    <hyperlink xmlns:r="http://schemas.openxmlformats.org/officeDocument/2006/relationships" ref="K848" r:id="rId2437"/>
    <hyperlink xmlns:r="http://schemas.openxmlformats.org/officeDocument/2006/relationships" ref="I849" r:id="rId2438"/>
    <hyperlink xmlns:r="http://schemas.openxmlformats.org/officeDocument/2006/relationships" ref="J849" r:id="rId2439"/>
    <hyperlink xmlns:r="http://schemas.openxmlformats.org/officeDocument/2006/relationships" ref="K849" r:id="rId2440"/>
    <hyperlink xmlns:r="http://schemas.openxmlformats.org/officeDocument/2006/relationships" ref="I850" r:id="rId2441"/>
    <hyperlink xmlns:r="http://schemas.openxmlformats.org/officeDocument/2006/relationships" ref="J850" r:id="rId2442"/>
    <hyperlink xmlns:r="http://schemas.openxmlformats.org/officeDocument/2006/relationships" ref="K850" r:id="rId2443"/>
    <hyperlink xmlns:r="http://schemas.openxmlformats.org/officeDocument/2006/relationships" ref="I851" r:id="rId2444"/>
    <hyperlink xmlns:r="http://schemas.openxmlformats.org/officeDocument/2006/relationships" ref="J851" r:id="rId2445"/>
    <hyperlink xmlns:r="http://schemas.openxmlformats.org/officeDocument/2006/relationships" ref="K851" r:id="rId2446"/>
    <hyperlink xmlns:r="http://schemas.openxmlformats.org/officeDocument/2006/relationships" ref="I852" r:id="rId2447"/>
    <hyperlink xmlns:r="http://schemas.openxmlformats.org/officeDocument/2006/relationships" ref="J852" r:id="rId2448"/>
    <hyperlink xmlns:r="http://schemas.openxmlformats.org/officeDocument/2006/relationships" ref="K852" r:id="rId2449"/>
    <hyperlink xmlns:r="http://schemas.openxmlformats.org/officeDocument/2006/relationships" ref="I853" r:id="rId2450"/>
    <hyperlink xmlns:r="http://schemas.openxmlformats.org/officeDocument/2006/relationships" ref="J853" r:id="rId2451"/>
    <hyperlink xmlns:r="http://schemas.openxmlformats.org/officeDocument/2006/relationships" ref="K853" r:id="rId2452"/>
    <hyperlink xmlns:r="http://schemas.openxmlformats.org/officeDocument/2006/relationships" ref="I854" r:id="rId2453"/>
    <hyperlink xmlns:r="http://schemas.openxmlformats.org/officeDocument/2006/relationships" ref="J854" r:id="rId2454"/>
    <hyperlink xmlns:r="http://schemas.openxmlformats.org/officeDocument/2006/relationships" ref="K854" r:id="rId2455"/>
    <hyperlink xmlns:r="http://schemas.openxmlformats.org/officeDocument/2006/relationships" ref="I855" r:id="rId2456"/>
    <hyperlink xmlns:r="http://schemas.openxmlformats.org/officeDocument/2006/relationships" ref="J855" r:id="rId2457"/>
    <hyperlink xmlns:r="http://schemas.openxmlformats.org/officeDocument/2006/relationships" ref="K855" r:id="rId2458"/>
    <hyperlink xmlns:r="http://schemas.openxmlformats.org/officeDocument/2006/relationships" ref="I856" r:id="rId2459"/>
    <hyperlink xmlns:r="http://schemas.openxmlformats.org/officeDocument/2006/relationships" ref="J856" r:id="rId2460"/>
    <hyperlink xmlns:r="http://schemas.openxmlformats.org/officeDocument/2006/relationships" ref="K856" r:id="rId2461"/>
    <hyperlink xmlns:r="http://schemas.openxmlformats.org/officeDocument/2006/relationships" ref="I857" r:id="rId2462"/>
    <hyperlink xmlns:r="http://schemas.openxmlformats.org/officeDocument/2006/relationships" ref="J857" r:id="rId2463"/>
    <hyperlink xmlns:r="http://schemas.openxmlformats.org/officeDocument/2006/relationships" ref="K857" r:id="rId2464"/>
    <hyperlink xmlns:r="http://schemas.openxmlformats.org/officeDocument/2006/relationships" ref="I858" r:id="rId2465"/>
    <hyperlink xmlns:r="http://schemas.openxmlformats.org/officeDocument/2006/relationships" ref="J858" r:id="rId2466"/>
    <hyperlink xmlns:r="http://schemas.openxmlformats.org/officeDocument/2006/relationships" ref="K858" r:id="rId2467"/>
    <hyperlink xmlns:r="http://schemas.openxmlformats.org/officeDocument/2006/relationships" ref="I859" r:id="rId2468"/>
    <hyperlink xmlns:r="http://schemas.openxmlformats.org/officeDocument/2006/relationships" ref="J859" r:id="rId2469"/>
    <hyperlink xmlns:r="http://schemas.openxmlformats.org/officeDocument/2006/relationships" ref="K859" r:id="rId2470"/>
    <hyperlink xmlns:r="http://schemas.openxmlformats.org/officeDocument/2006/relationships" ref="I860" r:id="rId2471"/>
    <hyperlink xmlns:r="http://schemas.openxmlformats.org/officeDocument/2006/relationships" ref="J860" r:id="rId2472"/>
    <hyperlink xmlns:r="http://schemas.openxmlformats.org/officeDocument/2006/relationships" ref="K860" r:id="rId2473"/>
    <hyperlink xmlns:r="http://schemas.openxmlformats.org/officeDocument/2006/relationships" ref="I861" r:id="rId2474"/>
    <hyperlink xmlns:r="http://schemas.openxmlformats.org/officeDocument/2006/relationships" ref="J861" r:id="rId2475"/>
    <hyperlink xmlns:r="http://schemas.openxmlformats.org/officeDocument/2006/relationships" ref="K861" r:id="rId2476"/>
    <hyperlink xmlns:r="http://schemas.openxmlformats.org/officeDocument/2006/relationships" ref="I862" r:id="rId2477"/>
    <hyperlink xmlns:r="http://schemas.openxmlformats.org/officeDocument/2006/relationships" ref="J862" r:id="rId2478"/>
    <hyperlink xmlns:r="http://schemas.openxmlformats.org/officeDocument/2006/relationships" ref="K862" r:id="rId2479"/>
    <hyperlink xmlns:r="http://schemas.openxmlformats.org/officeDocument/2006/relationships" ref="I863" r:id="rId2480"/>
    <hyperlink xmlns:r="http://schemas.openxmlformats.org/officeDocument/2006/relationships" ref="J863" r:id="rId2481"/>
    <hyperlink xmlns:r="http://schemas.openxmlformats.org/officeDocument/2006/relationships" ref="K863" r:id="rId2482"/>
    <hyperlink xmlns:r="http://schemas.openxmlformats.org/officeDocument/2006/relationships" ref="I864" r:id="rId2483"/>
    <hyperlink xmlns:r="http://schemas.openxmlformats.org/officeDocument/2006/relationships" ref="J864" r:id="rId2484"/>
    <hyperlink xmlns:r="http://schemas.openxmlformats.org/officeDocument/2006/relationships" ref="K864" r:id="rId2485"/>
    <hyperlink xmlns:r="http://schemas.openxmlformats.org/officeDocument/2006/relationships" ref="I865" r:id="rId2486"/>
    <hyperlink xmlns:r="http://schemas.openxmlformats.org/officeDocument/2006/relationships" ref="J865" r:id="rId2487"/>
    <hyperlink xmlns:r="http://schemas.openxmlformats.org/officeDocument/2006/relationships" ref="K865" r:id="rId2488"/>
    <hyperlink xmlns:r="http://schemas.openxmlformats.org/officeDocument/2006/relationships" ref="I866" r:id="rId2489"/>
    <hyperlink xmlns:r="http://schemas.openxmlformats.org/officeDocument/2006/relationships" ref="J866" r:id="rId2490"/>
    <hyperlink xmlns:r="http://schemas.openxmlformats.org/officeDocument/2006/relationships" ref="K866" r:id="rId2491"/>
    <hyperlink xmlns:r="http://schemas.openxmlformats.org/officeDocument/2006/relationships" ref="I867" r:id="rId2492"/>
    <hyperlink xmlns:r="http://schemas.openxmlformats.org/officeDocument/2006/relationships" ref="J867" r:id="rId2493"/>
    <hyperlink xmlns:r="http://schemas.openxmlformats.org/officeDocument/2006/relationships" ref="K867" r:id="rId2494"/>
    <hyperlink xmlns:r="http://schemas.openxmlformats.org/officeDocument/2006/relationships" ref="I868" r:id="rId2495"/>
    <hyperlink xmlns:r="http://schemas.openxmlformats.org/officeDocument/2006/relationships" ref="J868" r:id="rId2496"/>
    <hyperlink xmlns:r="http://schemas.openxmlformats.org/officeDocument/2006/relationships" ref="K868" r:id="rId2497"/>
    <hyperlink xmlns:r="http://schemas.openxmlformats.org/officeDocument/2006/relationships" ref="I869" r:id="rId2498"/>
    <hyperlink xmlns:r="http://schemas.openxmlformats.org/officeDocument/2006/relationships" ref="J869" r:id="rId2499"/>
    <hyperlink xmlns:r="http://schemas.openxmlformats.org/officeDocument/2006/relationships" ref="K869" r:id="rId2500"/>
    <hyperlink xmlns:r="http://schemas.openxmlformats.org/officeDocument/2006/relationships" ref="I870" r:id="rId2501"/>
    <hyperlink xmlns:r="http://schemas.openxmlformats.org/officeDocument/2006/relationships" ref="J870" r:id="rId2502"/>
    <hyperlink xmlns:r="http://schemas.openxmlformats.org/officeDocument/2006/relationships" ref="K870" r:id="rId2503"/>
    <hyperlink xmlns:r="http://schemas.openxmlformats.org/officeDocument/2006/relationships" ref="I871" r:id="rId2504"/>
    <hyperlink xmlns:r="http://schemas.openxmlformats.org/officeDocument/2006/relationships" ref="J871" r:id="rId2505"/>
    <hyperlink xmlns:r="http://schemas.openxmlformats.org/officeDocument/2006/relationships" ref="K871" r:id="rId2506"/>
    <hyperlink xmlns:r="http://schemas.openxmlformats.org/officeDocument/2006/relationships" ref="I872" r:id="rId2507"/>
    <hyperlink xmlns:r="http://schemas.openxmlformats.org/officeDocument/2006/relationships" ref="J872" r:id="rId2508"/>
    <hyperlink xmlns:r="http://schemas.openxmlformats.org/officeDocument/2006/relationships" ref="K872" r:id="rId2509"/>
    <hyperlink xmlns:r="http://schemas.openxmlformats.org/officeDocument/2006/relationships" ref="I873" r:id="rId2510"/>
    <hyperlink xmlns:r="http://schemas.openxmlformats.org/officeDocument/2006/relationships" ref="J873" r:id="rId2511"/>
    <hyperlink xmlns:r="http://schemas.openxmlformats.org/officeDocument/2006/relationships" ref="K873" r:id="rId2512"/>
    <hyperlink xmlns:r="http://schemas.openxmlformats.org/officeDocument/2006/relationships" ref="I874" r:id="rId2513"/>
    <hyperlink xmlns:r="http://schemas.openxmlformats.org/officeDocument/2006/relationships" ref="J874" r:id="rId2514"/>
    <hyperlink xmlns:r="http://schemas.openxmlformats.org/officeDocument/2006/relationships" ref="K874" r:id="rId2515"/>
    <hyperlink xmlns:r="http://schemas.openxmlformats.org/officeDocument/2006/relationships" ref="I875" r:id="rId2516"/>
    <hyperlink xmlns:r="http://schemas.openxmlformats.org/officeDocument/2006/relationships" ref="J875" r:id="rId2517"/>
    <hyperlink xmlns:r="http://schemas.openxmlformats.org/officeDocument/2006/relationships" ref="K875" r:id="rId2518"/>
    <hyperlink xmlns:r="http://schemas.openxmlformats.org/officeDocument/2006/relationships" ref="I876" r:id="rId2519"/>
    <hyperlink xmlns:r="http://schemas.openxmlformats.org/officeDocument/2006/relationships" ref="J876" r:id="rId2520"/>
    <hyperlink xmlns:r="http://schemas.openxmlformats.org/officeDocument/2006/relationships" ref="K876" r:id="rId2521"/>
    <hyperlink xmlns:r="http://schemas.openxmlformats.org/officeDocument/2006/relationships" ref="I877" r:id="rId2522"/>
    <hyperlink xmlns:r="http://schemas.openxmlformats.org/officeDocument/2006/relationships" ref="J877" r:id="rId2523"/>
    <hyperlink xmlns:r="http://schemas.openxmlformats.org/officeDocument/2006/relationships" ref="K877" r:id="rId2524"/>
    <hyperlink xmlns:r="http://schemas.openxmlformats.org/officeDocument/2006/relationships" ref="I878" r:id="rId2525"/>
    <hyperlink xmlns:r="http://schemas.openxmlformats.org/officeDocument/2006/relationships" ref="J878" r:id="rId2526"/>
    <hyperlink xmlns:r="http://schemas.openxmlformats.org/officeDocument/2006/relationships" ref="K878" r:id="rId2527"/>
    <hyperlink xmlns:r="http://schemas.openxmlformats.org/officeDocument/2006/relationships" ref="I879" r:id="rId2528"/>
    <hyperlink xmlns:r="http://schemas.openxmlformats.org/officeDocument/2006/relationships" ref="J879" r:id="rId2529"/>
    <hyperlink xmlns:r="http://schemas.openxmlformats.org/officeDocument/2006/relationships" ref="K879" r:id="rId2530"/>
    <hyperlink xmlns:r="http://schemas.openxmlformats.org/officeDocument/2006/relationships" ref="I880" r:id="rId2531"/>
    <hyperlink xmlns:r="http://schemas.openxmlformats.org/officeDocument/2006/relationships" ref="J880" r:id="rId2532"/>
    <hyperlink xmlns:r="http://schemas.openxmlformats.org/officeDocument/2006/relationships" ref="K880" r:id="rId2533"/>
    <hyperlink xmlns:r="http://schemas.openxmlformats.org/officeDocument/2006/relationships" ref="I881" r:id="rId2534"/>
    <hyperlink xmlns:r="http://schemas.openxmlformats.org/officeDocument/2006/relationships" ref="J881" r:id="rId2535"/>
    <hyperlink xmlns:r="http://schemas.openxmlformats.org/officeDocument/2006/relationships" ref="K881" r:id="rId2536"/>
    <hyperlink xmlns:r="http://schemas.openxmlformats.org/officeDocument/2006/relationships" ref="I882" r:id="rId2537"/>
    <hyperlink xmlns:r="http://schemas.openxmlformats.org/officeDocument/2006/relationships" ref="J882" r:id="rId2538"/>
    <hyperlink xmlns:r="http://schemas.openxmlformats.org/officeDocument/2006/relationships" ref="K882" r:id="rId2539"/>
    <hyperlink xmlns:r="http://schemas.openxmlformats.org/officeDocument/2006/relationships" ref="I883" r:id="rId2540"/>
    <hyperlink xmlns:r="http://schemas.openxmlformats.org/officeDocument/2006/relationships" ref="J883" r:id="rId2541"/>
    <hyperlink xmlns:r="http://schemas.openxmlformats.org/officeDocument/2006/relationships" ref="K883" r:id="rId2542"/>
    <hyperlink xmlns:r="http://schemas.openxmlformats.org/officeDocument/2006/relationships" ref="I884" r:id="rId2543"/>
    <hyperlink xmlns:r="http://schemas.openxmlformats.org/officeDocument/2006/relationships" ref="J884" r:id="rId2544"/>
    <hyperlink xmlns:r="http://schemas.openxmlformats.org/officeDocument/2006/relationships" ref="K884" r:id="rId2545"/>
    <hyperlink xmlns:r="http://schemas.openxmlformats.org/officeDocument/2006/relationships" ref="I885" r:id="rId2546"/>
    <hyperlink xmlns:r="http://schemas.openxmlformats.org/officeDocument/2006/relationships" ref="J885" r:id="rId2547"/>
    <hyperlink xmlns:r="http://schemas.openxmlformats.org/officeDocument/2006/relationships" ref="K885" r:id="rId2548"/>
    <hyperlink xmlns:r="http://schemas.openxmlformats.org/officeDocument/2006/relationships" ref="I886" r:id="rId2549"/>
    <hyperlink xmlns:r="http://schemas.openxmlformats.org/officeDocument/2006/relationships" ref="J886" r:id="rId2550"/>
    <hyperlink xmlns:r="http://schemas.openxmlformats.org/officeDocument/2006/relationships" ref="K886" r:id="rId2551"/>
    <hyperlink xmlns:r="http://schemas.openxmlformats.org/officeDocument/2006/relationships" ref="I887" r:id="rId2552"/>
    <hyperlink xmlns:r="http://schemas.openxmlformats.org/officeDocument/2006/relationships" ref="J887" r:id="rId2553"/>
    <hyperlink xmlns:r="http://schemas.openxmlformats.org/officeDocument/2006/relationships" ref="K887" r:id="rId2554"/>
    <hyperlink xmlns:r="http://schemas.openxmlformats.org/officeDocument/2006/relationships" ref="I888" r:id="rId2555"/>
    <hyperlink xmlns:r="http://schemas.openxmlformats.org/officeDocument/2006/relationships" ref="J888" r:id="rId2556"/>
    <hyperlink xmlns:r="http://schemas.openxmlformats.org/officeDocument/2006/relationships" ref="K888" r:id="rId2557"/>
    <hyperlink xmlns:r="http://schemas.openxmlformats.org/officeDocument/2006/relationships" ref="I889" r:id="rId2558"/>
    <hyperlink xmlns:r="http://schemas.openxmlformats.org/officeDocument/2006/relationships" ref="J889" r:id="rId2559"/>
    <hyperlink xmlns:r="http://schemas.openxmlformats.org/officeDocument/2006/relationships" ref="K889" r:id="rId2560"/>
    <hyperlink xmlns:r="http://schemas.openxmlformats.org/officeDocument/2006/relationships" ref="I890" r:id="rId2561"/>
    <hyperlink xmlns:r="http://schemas.openxmlformats.org/officeDocument/2006/relationships" ref="J890" r:id="rId2562"/>
    <hyperlink xmlns:r="http://schemas.openxmlformats.org/officeDocument/2006/relationships" ref="K890" r:id="rId2563"/>
    <hyperlink xmlns:r="http://schemas.openxmlformats.org/officeDocument/2006/relationships" ref="I891" r:id="rId2564"/>
    <hyperlink xmlns:r="http://schemas.openxmlformats.org/officeDocument/2006/relationships" ref="J891" r:id="rId2565"/>
    <hyperlink xmlns:r="http://schemas.openxmlformats.org/officeDocument/2006/relationships" ref="K891" r:id="rId2566"/>
    <hyperlink xmlns:r="http://schemas.openxmlformats.org/officeDocument/2006/relationships" ref="I892" r:id="rId2567"/>
    <hyperlink xmlns:r="http://schemas.openxmlformats.org/officeDocument/2006/relationships" ref="J892" r:id="rId2568"/>
    <hyperlink xmlns:r="http://schemas.openxmlformats.org/officeDocument/2006/relationships" ref="K892" r:id="rId2569"/>
    <hyperlink xmlns:r="http://schemas.openxmlformats.org/officeDocument/2006/relationships" ref="I893" r:id="rId2570"/>
    <hyperlink xmlns:r="http://schemas.openxmlformats.org/officeDocument/2006/relationships" ref="J893" r:id="rId2571"/>
    <hyperlink xmlns:r="http://schemas.openxmlformats.org/officeDocument/2006/relationships" ref="K893" r:id="rId2572"/>
    <hyperlink xmlns:r="http://schemas.openxmlformats.org/officeDocument/2006/relationships" ref="I894" r:id="rId2573"/>
    <hyperlink xmlns:r="http://schemas.openxmlformats.org/officeDocument/2006/relationships" ref="J894" r:id="rId2574"/>
    <hyperlink xmlns:r="http://schemas.openxmlformats.org/officeDocument/2006/relationships" ref="K894" r:id="rId2575"/>
    <hyperlink xmlns:r="http://schemas.openxmlformats.org/officeDocument/2006/relationships" ref="I895" r:id="rId2576"/>
    <hyperlink xmlns:r="http://schemas.openxmlformats.org/officeDocument/2006/relationships" ref="J895" r:id="rId2577"/>
    <hyperlink xmlns:r="http://schemas.openxmlformats.org/officeDocument/2006/relationships" ref="K895" r:id="rId2578"/>
    <hyperlink xmlns:r="http://schemas.openxmlformats.org/officeDocument/2006/relationships" ref="I896" r:id="rId2579"/>
    <hyperlink xmlns:r="http://schemas.openxmlformats.org/officeDocument/2006/relationships" ref="J896" r:id="rId2580"/>
    <hyperlink xmlns:r="http://schemas.openxmlformats.org/officeDocument/2006/relationships" ref="K896" r:id="rId2581"/>
    <hyperlink xmlns:r="http://schemas.openxmlformats.org/officeDocument/2006/relationships" ref="I897" r:id="rId2582"/>
    <hyperlink xmlns:r="http://schemas.openxmlformats.org/officeDocument/2006/relationships" ref="J897" r:id="rId2583"/>
    <hyperlink xmlns:r="http://schemas.openxmlformats.org/officeDocument/2006/relationships" ref="K897" r:id="rId2584"/>
    <hyperlink xmlns:r="http://schemas.openxmlformats.org/officeDocument/2006/relationships" ref="I898" r:id="rId2585"/>
    <hyperlink xmlns:r="http://schemas.openxmlformats.org/officeDocument/2006/relationships" ref="J898" r:id="rId2586"/>
    <hyperlink xmlns:r="http://schemas.openxmlformats.org/officeDocument/2006/relationships" ref="K898" r:id="rId2587"/>
    <hyperlink xmlns:r="http://schemas.openxmlformats.org/officeDocument/2006/relationships" ref="I899" r:id="rId2588"/>
    <hyperlink xmlns:r="http://schemas.openxmlformats.org/officeDocument/2006/relationships" ref="J899" r:id="rId2589"/>
    <hyperlink xmlns:r="http://schemas.openxmlformats.org/officeDocument/2006/relationships" ref="K899" r:id="rId2590"/>
    <hyperlink xmlns:r="http://schemas.openxmlformats.org/officeDocument/2006/relationships" ref="I900" r:id="rId2591"/>
    <hyperlink xmlns:r="http://schemas.openxmlformats.org/officeDocument/2006/relationships" ref="J900" r:id="rId2592"/>
    <hyperlink xmlns:r="http://schemas.openxmlformats.org/officeDocument/2006/relationships" ref="K900" r:id="rId2593"/>
    <hyperlink xmlns:r="http://schemas.openxmlformats.org/officeDocument/2006/relationships" ref="I901" r:id="rId2594"/>
    <hyperlink xmlns:r="http://schemas.openxmlformats.org/officeDocument/2006/relationships" ref="J901" r:id="rId2595"/>
    <hyperlink xmlns:r="http://schemas.openxmlformats.org/officeDocument/2006/relationships" ref="K901" r:id="rId2596"/>
    <hyperlink xmlns:r="http://schemas.openxmlformats.org/officeDocument/2006/relationships" ref="I902" r:id="rId2597"/>
    <hyperlink xmlns:r="http://schemas.openxmlformats.org/officeDocument/2006/relationships" ref="J902" r:id="rId2598"/>
    <hyperlink xmlns:r="http://schemas.openxmlformats.org/officeDocument/2006/relationships" ref="K902" r:id="rId2599"/>
    <hyperlink xmlns:r="http://schemas.openxmlformats.org/officeDocument/2006/relationships" ref="I903" r:id="rId2600"/>
    <hyperlink xmlns:r="http://schemas.openxmlformats.org/officeDocument/2006/relationships" ref="J903" r:id="rId2601"/>
    <hyperlink xmlns:r="http://schemas.openxmlformats.org/officeDocument/2006/relationships" ref="K903" r:id="rId2602"/>
    <hyperlink xmlns:r="http://schemas.openxmlformats.org/officeDocument/2006/relationships" ref="I904" r:id="rId2603"/>
    <hyperlink xmlns:r="http://schemas.openxmlformats.org/officeDocument/2006/relationships" ref="J904" r:id="rId2604"/>
    <hyperlink xmlns:r="http://schemas.openxmlformats.org/officeDocument/2006/relationships" ref="K904" r:id="rId2605"/>
    <hyperlink xmlns:r="http://schemas.openxmlformats.org/officeDocument/2006/relationships" ref="I905" r:id="rId2606"/>
    <hyperlink xmlns:r="http://schemas.openxmlformats.org/officeDocument/2006/relationships" ref="J905" r:id="rId2607"/>
    <hyperlink xmlns:r="http://schemas.openxmlformats.org/officeDocument/2006/relationships" ref="K905" r:id="rId2608"/>
    <hyperlink xmlns:r="http://schemas.openxmlformats.org/officeDocument/2006/relationships" ref="I906" r:id="rId2609"/>
    <hyperlink xmlns:r="http://schemas.openxmlformats.org/officeDocument/2006/relationships" ref="J906" r:id="rId2610"/>
    <hyperlink xmlns:r="http://schemas.openxmlformats.org/officeDocument/2006/relationships" ref="K906" r:id="rId2611"/>
    <hyperlink xmlns:r="http://schemas.openxmlformats.org/officeDocument/2006/relationships" ref="I907" r:id="rId2612"/>
    <hyperlink xmlns:r="http://schemas.openxmlformats.org/officeDocument/2006/relationships" ref="J907" r:id="rId2613"/>
    <hyperlink xmlns:r="http://schemas.openxmlformats.org/officeDocument/2006/relationships" ref="K907" r:id="rId2614"/>
    <hyperlink xmlns:r="http://schemas.openxmlformats.org/officeDocument/2006/relationships" ref="I908" r:id="rId2615"/>
    <hyperlink xmlns:r="http://schemas.openxmlformats.org/officeDocument/2006/relationships" ref="J908" r:id="rId2616"/>
    <hyperlink xmlns:r="http://schemas.openxmlformats.org/officeDocument/2006/relationships" ref="K908" r:id="rId2617"/>
    <hyperlink xmlns:r="http://schemas.openxmlformats.org/officeDocument/2006/relationships" ref="I909" r:id="rId2618"/>
    <hyperlink xmlns:r="http://schemas.openxmlformats.org/officeDocument/2006/relationships" ref="J909" r:id="rId2619"/>
    <hyperlink xmlns:r="http://schemas.openxmlformats.org/officeDocument/2006/relationships" ref="K909" r:id="rId2620"/>
    <hyperlink xmlns:r="http://schemas.openxmlformats.org/officeDocument/2006/relationships" ref="I910" r:id="rId2621"/>
    <hyperlink xmlns:r="http://schemas.openxmlformats.org/officeDocument/2006/relationships" ref="J910" r:id="rId2622"/>
    <hyperlink xmlns:r="http://schemas.openxmlformats.org/officeDocument/2006/relationships" ref="K910" r:id="rId2623"/>
    <hyperlink xmlns:r="http://schemas.openxmlformats.org/officeDocument/2006/relationships" ref="I911" r:id="rId2624"/>
    <hyperlink xmlns:r="http://schemas.openxmlformats.org/officeDocument/2006/relationships" ref="J911" r:id="rId2625"/>
    <hyperlink xmlns:r="http://schemas.openxmlformats.org/officeDocument/2006/relationships" ref="K911" r:id="rId2626"/>
    <hyperlink xmlns:r="http://schemas.openxmlformats.org/officeDocument/2006/relationships" ref="I912" r:id="rId2627"/>
    <hyperlink xmlns:r="http://schemas.openxmlformats.org/officeDocument/2006/relationships" ref="J912" r:id="rId2628"/>
    <hyperlink xmlns:r="http://schemas.openxmlformats.org/officeDocument/2006/relationships" ref="K912" r:id="rId2629"/>
    <hyperlink xmlns:r="http://schemas.openxmlformats.org/officeDocument/2006/relationships" ref="I913" r:id="rId2630"/>
    <hyperlink xmlns:r="http://schemas.openxmlformats.org/officeDocument/2006/relationships" ref="J913" r:id="rId2631"/>
    <hyperlink xmlns:r="http://schemas.openxmlformats.org/officeDocument/2006/relationships" ref="K913" r:id="rId2632"/>
    <hyperlink xmlns:r="http://schemas.openxmlformats.org/officeDocument/2006/relationships" ref="I914" r:id="rId2633"/>
    <hyperlink xmlns:r="http://schemas.openxmlformats.org/officeDocument/2006/relationships" ref="J914" r:id="rId2634"/>
    <hyperlink xmlns:r="http://schemas.openxmlformats.org/officeDocument/2006/relationships" ref="K914" r:id="rId2635"/>
    <hyperlink xmlns:r="http://schemas.openxmlformats.org/officeDocument/2006/relationships" ref="I915" r:id="rId2636"/>
    <hyperlink xmlns:r="http://schemas.openxmlformats.org/officeDocument/2006/relationships" ref="J915" r:id="rId2637"/>
    <hyperlink xmlns:r="http://schemas.openxmlformats.org/officeDocument/2006/relationships" ref="K915" r:id="rId2638"/>
    <hyperlink xmlns:r="http://schemas.openxmlformats.org/officeDocument/2006/relationships" ref="I916" r:id="rId2639"/>
    <hyperlink xmlns:r="http://schemas.openxmlformats.org/officeDocument/2006/relationships" ref="J916" r:id="rId2640"/>
    <hyperlink xmlns:r="http://schemas.openxmlformats.org/officeDocument/2006/relationships" ref="K916" r:id="rId2641"/>
    <hyperlink xmlns:r="http://schemas.openxmlformats.org/officeDocument/2006/relationships" ref="I917" r:id="rId2642"/>
    <hyperlink xmlns:r="http://schemas.openxmlformats.org/officeDocument/2006/relationships" ref="J917" r:id="rId2643"/>
    <hyperlink xmlns:r="http://schemas.openxmlformats.org/officeDocument/2006/relationships" ref="K917" r:id="rId2644"/>
    <hyperlink xmlns:r="http://schemas.openxmlformats.org/officeDocument/2006/relationships" ref="I918" r:id="rId2645"/>
    <hyperlink xmlns:r="http://schemas.openxmlformats.org/officeDocument/2006/relationships" ref="J918" r:id="rId2646"/>
    <hyperlink xmlns:r="http://schemas.openxmlformats.org/officeDocument/2006/relationships" ref="K918" r:id="rId2647"/>
    <hyperlink xmlns:r="http://schemas.openxmlformats.org/officeDocument/2006/relationships" ref="I919" r:id="rId2648"/>
    <hyperlink xmlns:r="http://schemas.openxmlformats.org/officeDocument/2006/relationships" ref="J919" r:id="rId2649"/>
    <hyperlink xmlns:r="http://schemas.openxmlformats.org/officeDocument/2006/relationships" ref="K919" r:id="rId2650"/>
    <hyperlink xmlns:r="http://schemas.openxmlformats.org/officeDocument/2006/relationships" ref="I920" r:id="rId2651"/>
    <hyperlink xmlns:r="http://schemas.openxmlformats.org/officeDocument/2006/relationships" ref="J920" r:id="rId2652"/>
    <hyperlink xmlns:r="http://schemas.openxmlformats.org/officeDocument/2006/relationships" ref="K920" r:id="rId2653"/>
    <hyperlink xmlns:r="http://schemas.openxmlformats.org/officeDocument/2006/relationships" ref="I921" r:id="rId2654"/>
    <hyperlink xmlns:r="http://schemas.openxmlformats.org/officeDocument/2006/relationships" ref="J921" r:id="rId2655"/>
    <hyperlink xmlns:r="http://schemas.openxmlformats.org/officeDocument/2006/relationships" ref="K921" r:id="rId2656"/>
    <hyperlink xmlns:r="http://schemas.openxmlformats.org/officeDocument/2006/relationships" ref="I922" r:id="rId2657"/>
    <hyperlink xmlns:r="http://schemas.openxmlformats.org/officeDocument/2006/relationships" ref="J922" r:id="rId2658"/>
    <hyperlink xmlns:r="http://schemas.openxmlformats.org/officeDocument/2006/relationships" ref="K922" r:id="rId2659"/>
    <hyperlink xmlns:r="http://schemas.openxmlformats.org/officeDocument/2006/relationships" ref="I923" r:id="rId2660"/>
    <hyperlink xmlns:r="http://schemas.openxmlformats.org/officeDocument/2006/relationships" ref="J923" r:id="rId2661"/>
    <hyperlink xmlns:r="http://schemas.openxmlformats.org/officeDocument/2006/relationships" ref="K923" r:id="rId2662"/>
    <hyperlink xmlns:r="http://schemas.openxmlformats.org/officeDocument/2006/relationships" ref="I924" r:id="rId2663"/>
    <hyperlink xmlns:r="http://schemas.openxmlformats.org/officeDocument/2006/relationships" ref="J924" r:id="rId2664"/>
    <hyperlink xmlns:r="http://schemas.openxmlformats.org/officeDocument/2006/relationships" ref="K924" r:id="rId2665"/>
    <hyperlink xmlns:r="http://schemas.openxmlformats.org/officeDocument/2006/relationships" ref="I925" r:id="rId2666"/>
    <hyperlink xmlns:r="http://schemas.openxmlformats.org/officeDocument/2006/relationships" ref="J925" r:id="rId2667"/>
    <hyperlink xmlns:r="http://schemas.openxmlformats.org/officeDocument/2006/relationships" ref="K925" r:id="rId2668"/>
    <hyperlink xmlns:r="http://schemas.openxmlformats.org/officeDocument/2006/relationships" ref="I926" r:id="rId2669"/>
    <hyperlink xmlns:r="http://schemas.openxmlformats.org/officeDocument/2006/relationships" ref="J926" r:id="rId2670"/>
    <hyperlink xmlns:r="http://schemas.openxmlformats.org/officeDocument/2006/relationships" ref="K926" r:id="rId2671"/>
    <hyperlink xmlns:r="http://schemas.openxmlformats.org/officeDocument/2006/relationships" ref="I927" r:id="rId2672"/>
    <hyperlink xmlns:r="http://schemas.openxmlformats.org/officeDocument/2006/relationships" ref="J927" r:id="rId2673"/>
    <hyperlink xmlns:r="http://schemas.openxmlformats.org/officeDocument/2006/relationships" ref="K927" r:id="rId2674"/>
    <hyperlink xmlns:r="http://schemas.openxmlformats.org/officeDocument/2006/relationships" ref="I928" r:id="rId2675"/>
    <hyperlink xmlns:r="http://schemas.openxmlformats.org/officeDocument/2006/relationships" ref="J928" r:id="rId2676"/>
    <hyperlink xmlns:r="http://schemas.openxmlformats.org/officeDocument/2006/relationships" ref="K928" r:id="rId2677"/>
    <hyperlink xmlns:r="http://schemas.openxmlformats.org/officeDocument/2006/relationships" ref="I929" r:id="rId2678"/>
    <hyperlink xmlns:r="http://schemas.openxmlformats.org/officeDocument/2006/relationships" ref="J929" r:id="rId2679"/>
    <hyperlink xmlns:r="http://schemas.openxmlformats.org/officeDocument/2006/relationships" ref="K929" r:id="rId2680"/>
    <hyperlink xmlns:r="http://schemas.openxmlformats.org/officeDocument/2006/relationships" ref="I930" r:id="rId2681"/>
    <hyperlink xmlns:r="http://schemas.openxmlformats.org/officeDocument/2006/relationships" ref="J930" r:id="rId2682"/>
    <hyperlink xmlns:r="http://schemas.openxmlformats.org/officeDocument/2006/relationships" ref="K930" r:id="rId2683"/>
    <hyperlink xmlns:r="http://schemas.openxmlformats.org/officeDocument/2006/relationships" ref="I931" r:id="rId2684"/>
    <hyperlink xmlns:r="http://schemas.openxmlformats.org/officeDocument/2006/relationships" ref="J931" r:id="rId2685"/>
    <hyperlink xmlns:r="http://schemas.openxmlformats.org/officeDocument/2006/relationships" ref="K931" r:id="rId2686"/>
    <hyperlink xmlns:r="http://schemas.openxmlformats.org/officeDocument/2006/relationships" ref="I932" r:id="rId2687"/>
    <hyperlink xmlns:r="http://schemas.openxmlformats.org/officeDocument/2006/relationships" ref="J932" r:id="rId2688"/>
    <hyperlink xmlns:r="http://schemas.openxmlformats.org/officeDocument/2006/relationships" ref="K932" r:id="rId2689"/>
    <hyperlink xmlns:r="http://schemas.openxmlformats.org/officeDocument/2006/relationships" ref="I933" r:id="rId2690"/>
    <hyperlink xmlns:r="http://schemas.openxmlformats.org/officeDocument/2006/relationships" ref="J933" r:id="rId2691"/>
    <hyperlink xmlns:r="http://schemas.openxmlformats.org/officeDocument/2006/relationships" ref="K933" r:id="rId2692"/>
    <hyperlink xmlns:r="http://schemas.openxmlformats.org/officeDocument/2006/relationships" ref="I934" r:id="rId2693"/>
    <hyperlink xmlns:r="http://schemas.openxmlformats.org/officeDocument/2006/relationships" ref="J934" r:id="rId2694"/>
    <hyperlink xmlns:r="http://schemas.openxmlformats.org/officeDocument/2006/relationships" ref="K934" r:id="rId2695"/>
    <hyperlink xmlns:r="http://schemas.openxmlformats.org/officeDocument/2006/relationships" ref="I935" r:id="rId2696"/>
    <hyperlink xmlns:r="http://schemas.openxmlformats.org/officeDocument/2006/relationships" ref="J935" r:id="rId2697"/>
    <hyperlink xmlns:r="http://schemas.openxmlformats.org/officeDocument/2006/relationships" ref="K935" r:id="rId2698"/>
    <hyperlink xmlns:r="http://schemas.openxmlformats.org/officeDocument/2006/relationships" ref="I936" r:id="rId2699"/>
    <hyperlink xmlns:r="http://schemas.openxmlformats.org/officeDocument/2006/relationships" ref="J936" r:id="rId2700"/>
    <hyperlink xmlns:r="http://schemas.openxmlformats.org/officeDocument/2006/relationships" ref="K936" r:id="rId2701"/>
    <hyperlink xmlns:r="http://schemas.openxmlformats.org/officeDocument/2006/relationships" ref="I937" r:id="rId2702"/>
    <hyperlink xmlns:r="http://schemas.openxmlformats.org/officeDocument/2006/relationships" ref="J937" r:id="rId2703"/>
    <hyperlink xmlns:r="http://schemas.openxmlformats.org/officeDocument/2006/relationships" ref="K937" r:id="rId2704"/>
    <hyperlink xmlns:r="http://schemas.openxmlformats.org/officeDocument/2006/relationships" ref="I938" r:id="rId2705"/>
    <hyperlink xmlns:r="http://schemas.openxmlformats.org/officeDocument/2006/relationships" ref="J938" r:id="rId2706"/>
    <hyperlink xmlns:r="http://schemas.openxmlformats.org/officeDocument/2006/relationships" ref="K938" r:id="rId2707"/>
    <hyperlink xmlns:r="http://schemas.openxmlformats.org/officeDocument/2006/relationships" ref="I939" r:id="rId2708"/>
    <hyperlink xmlns:r="http://schemas.openxmlformats.org/officeDocument/2006/relationships" ref="J939" r:id="rId2709"/>
    <hyperlink xmlns:r="http://schemas.openxmlformats.org/officeDocument/2006/relationships" ref="K939" r:id="rId2710"/>
    <hyperlink xmlns:r="http://schemas.openxmlformats.org/officeDocument/2006/relationships" ref="I940" r:id="rId2711"/>
    <hyperlink xmlns:r="http://schemas.openxmlformats.org/officeDocument/2006/relationships" ref="J940" r:id="rId2712"/>
    <hyperlink xmlns:r="http://schemas.openxmlformats.org/officeDocument/2006/relationships" ref="K940" r:id="rId2713"/>
    <hyperlink xmlns:r="http://schemas.openxmlformats.org/officeDocument/2006/relationships" ref="I941" r:id="rId2714"/>
    <hyperlink xmlns:r="http://schemas.openxmlformats.org/officeDocument/2006/relationships" ref="J941" r:id="rId2715"/>
    <hyperlink xmlns:r="http://schemas.openxmlformats.org/officeDocument/2006/relationships" ref="K941" r:id="rId2716"/>
    <hyperlink xmlns:r="http://schemas.openxmlformats.org/officeDocument/2006/relationships" ref="I942" r:id="rId2717"/>
    <hyperlink xmlns:r="http://schemas.openxmlformats.org/officeDocument/2006/relationships" ref="J942" r:id="rId2718"/>
    <hyperlink xmlns:r="http://schemas.openxmlformats.org/officeDocument/2006/relationships" ref="K942" r:id="rId2719"/>
    <hyperlink xmlns:r="http://schemas.openxmlformats.org/officeDocument/2006/relationships" ref="I943" r:id="rId2720"/>
    <hyperlink xmlns:r="http://schemas.openxmlformats.org/officeDocument/2006/relationships" ref="J943" r:id="rId2721"/>
    <hyperlink xmlns:r="http://schemas.openxmlformats.org/officeDocument/2006/relationships" ref="K943" r:id="rId2722"/>
    <hyperlink xmlns:r="http://schemas.openxmlformats.org/officeDocument/2006/relationships" ref="I944" r:id="rId2723"/>
    <hyperlink xmlns:r="http://schemas.openxmlformats.org/officeDocument/2006/relationships" ref="J944" r:id="rId2724"/>
    <hyperlink xmlns:r="http://schemas.openxmlformats.org/officeDocument/2006/relationships" ref="K944" r:id="rId2725"/>
    <hyperlink xmlns:r="http://schemas.openxmlformats.org/officeDocument/2006/relationships" ref="I945" r:id="rId2726"/>
    <hyperlink xmlns:r="http://schemas.openxmlformats.org/officeDocument/2006/relationships" ref="J945" r:id="rId2727"/>
    <hyperlink xmlns:r="http://schemas.openxmlformats.org/officeDocument/2006/relationships" ref="K945" r:id="rId2728"/>
    <hyperlink xmlns:r="http://schemas.openxmlformats.org/officeDocument/2006/relationships" ref="I946" r:id="rId2729"/>
    <hyperlink xmlns:r="http://schemas.openxmlformats.org/officeDocument/2006/relationships" ref="J946" r:id="rId2730"/>
    <hyperlink xmlns:r="http://schemas.openxmlformats.org/officeDocument/2006/relationships" ref="K946" r:id="rId2731"/>
    <hyperlink xmlns:r="http://schemas.openxmlformats.org/officeDocument/2006/relationships" ref="I947" r:id="rId2732"/>
    <hyperlink xmlns:r="http://schemas.openxmlformats.org/officeDocument/2006/relationships" ref="J947" r:id="rId2733"/>
    <hyperlink xmlns:r="http://schemas.openxmlformats.org/officeDocument/2006/relationships" ref="K947" r:id="rId2734"/>
    <hyperlink xmlns:r="http://schemas.openxmlformats.org/officeDocument/2006/relationships" ref="I948" r:id="rId2735"/>
    <hyperlink xmlns:r="http://schemas.openxmlformats.org/officeDocument/2006/relationships" ref="J948" r:id="rId2736"/>
    <hyperlink xmlns:r="http://schemas.openxmlformats.org/officeDocument/2006/relationships" ref="K948" r:id="rId2737"/>
    <hyperlink xmlns:r="http://schemas.openxmlformats.org/officeDocument/2006/relationships" ref="I949" r:id="rId2738"/>
    <hyperlink xmlns:r="http://schemas.openxmlformats.org/officeDocument/2006/relationships" ref="J949" r:id="rId2739"/>
    <hyperlink xmlns:r="http://schemas.openxmlformats.org/officeDocument/2006/relationships" ref="K949" r:id="rId2740"/>
    <hyperlink xmlns:r="http://schemas.openxmlformats.org/officeDocument/2006/relationships" ref="I950" r:id="rId2741"/>
    <hyperlink xmlns:r="http://schemas.openxmlformats.org/officeDocument/2006/relationships" ref="J950" r:id="rId2742"/>
    <hyperlink xmlns:r="http://schemas.openxmlformats.org/officeDocument/2006/relationships" ref="K950" r:id="rId2743"/>
    <hyperlink xmlns:r="http://schemas.openxmlformats.org/officeDocument/2006/relationships" ref="I951" r:id="rId2744"/>
    <hyperlink xmlns:r="http://schemas.openxmlformats.org/officeDocument/2006/relationships" ref="J951" r:id="rId2745"/>
    <hyperlink xmlns:r="http://schemas.openxmlformats.org/officeDocument/2006/relationships" ref="K951" r:id="rId2746"/>
    <hyperlink xmlns:r="http://schemas.openxmlformats.org/officeDocument/2006/relationships" ref="I952" r:id="rId2747"/>
    <hyperlink xmlns:r="http://schemas.openxmlformats.org/officeDocument/2006/relationships" ref="J952" r:id="rId2748"/>
    <hyperlink xmlns:r="http://schemas.openxmlformats.org/officeDocument/2006/relationships" ref="K952" r:id="rId2749"/>
    <hyperlink xmlns:r="http://schemas.openxmlformats.org/officeDocument/2006/relationships" ref="I953" r:id="rId2750"/>
    <hyperlink xmlns:r="http://schemas.openxmlformats.org/officeDocument/2006/relationships" ref="J953" r:id="rId2751"/>
    <hyperlink xmlns:r="http://schemas.openxmlformats.org/officeDocument/2006/relationships" ref="K953" r:id="rId2752"/>
    <hyperlink xmlns:r="http://schemas.openxmlformats.org/officeDocument/2006/relationships" ref="I954" r:id="rId2753"/>
    <hyperlink xmlns:r="http://schemas.openxmlformats.org/officeDocument/2006/relationships" ref="J954" r:id="rId2754"/>
    <hyperlink xmlns:r="http://schemas.openxmlformats.org/officeDocument/2006/relationships" ref="K954" r:id="rId2755"/>
    <hyperlink xmlns:r="http://schemas.openxmlformats.org/officeDocument/2006/relationships" ref="I955" r:id="rId2756"/>
    <hyperlink xmlns:r="http://schemas.openxmlformats.org/officeDocument/2006/relationships" ref="J955" r:id="rId2757"/>
    <hyperlink xmlns:r="http://schemas.openxmlformats.org/officeDocument/2006/relationships" ref="K955" r:id="rId2758"/>
    <hyperlink xmlns:r="http://schemas.openxmlformats.org/officeDocument/2006/relationships" ref="I956" r:id="rId2759"/>
    <hyperlink xmlns:r="http://schemas.openxmlformats.org/officeDocument/2006/relationships" ref="J956" r:id="rId2760"/>
    <hyperlink xmlns:r="http://schemas.openxmlformats.org/officeDocument/2006/relationships" ref="K956" r:id="rId2761"/>
    <hyperlink xmlns:r="http://schemas.openxmlformats.org/officeDocument/2006/relationships" ref="I957" r:id="rId2762"/>
    <hyperlink xmlns:r="http://schemas.openxmlformats.org/officeDocument/2006/relationships" ref="J957" r:id="rId2763"/>
    <hyperlink xmlns:r="http://schemas.openxmlformats.org/officeDocument/2006/relationships" ref="K957" r:id="rId2764"/>
    <hyperlink xmlns:r="http://schemas.openxmlformats.org/officeDocument/2006/relationships" ref="I958" r:id="rId2765"/>
    <hyperlink xmlns:r="http://schemas.openxmlformats.org/officeDocument/2006/relationships" ref="J958" r:id="rId2766"/>
    <hyperlink xmlns:r="http://schemas.openxmlformats.org/officeDocument/2006/relationships" ref="K958" r:id="rId2767"/>
    <hyperlink xmlns:r="http://schemas.openxmlformats.org/officeDocument/2006/relationships" ref="I959" r:id="rId2768"/>
    <hyperlink xmlns:r="http://schemas.openxmlformats.org/officeDocument/2006/relationships" ref="J959" r:id="rId2769"/>
    <hyperlink xmlns:r="http://schemas.openxmlformats.org/officeDocument/2006/relationships" ref="K959" r:id="rId2770"/>
    <hyperlink xmlns:r="http://schemas.openxmlformats.org/officeDocument/2006/relationships" ref="I960" r:id="rId2771"/>
    <hyperlink xmlns:r="http://schemas.openxmlformats.org/officeDocument/2006/relationships" ref="J960" r:id="rId2772"/>
    <hyperlink xmlns:r="http://schemas.openxmlformats.org/officeDocument/2006/relationships" ref="K960" r:id="rId2773"/>
    <hyperlink xmlns:r="http://schemas.openxmlformats.org/officeDocument/2006/relationships" ref="I961" r:id="rId2774"/>
    <hyperlink xmlns:r="http://schemas.openxmlformats.org/officeDocument/2006/relationships" ref="J961" r:id="rId2775"/>
    <hyperlink xmlns:r="http://schemas.openxmlformats.org/officeDocument/2006/relationships" ref="K961" r:id="rId2776"/>
    <hyperlink xmlns:r="http://schemas.openxmlformats.org/officeDocument/2006/relationships" ref="I962" r:id="rId2777"/>
    <hyperlink xmlns:r="http://schemas.openxmlformats.org/officeDocument/2006/relationships" ref="J962" r:id="rId2778"/>
    <hyperlink xmlns:r="http://schemas.openxmlformats.org/officeDocument/2006/relationships" ref="K962" r:id="rId2779"/>
    <hyperlink xmlns:r="http://schemas.openxmlformats.org/officeDocument/2006/relationships" ref="I963" r:id="rId2780"/>
    <hyperlink xmlns:r="http://schemas.openxmlformats.org/officeDocument/2006/relationships" ref="J963" r:id="rId2781"/>
    <hyperlink xmlns:r="http://schemas.openxmlformats.org/officeDocument/2006/relationships" ref="K963" r:id="rId2782"/>
    <hyperlink xmlns:r="http://schemas.openxmlformats.org/officeDocument/2006/relationships" ref="I964" r:id="rId2783"/>
    <hyperlink xmlns:r="http://schemas.openxmlformats.org/officeDocument/2006/relationships" ref="J964" r:id="rId2784"/>
    <hyperlink xmlns:r="http://schemas.openxmlformats.org/officeDocument/2006/relationships" ref="K964" r:id="rId2785"/>
    <hyperlink xmlns:r="http://schemas.openxmlformats.org/officeDocument/2006/relationships" ref="I965" r:id="rId2786"/>
    <hyperlink xmlns:r="http://schemas.openxmlformats.org/officeDocument/2006/relationships" ref="J965" r:id="rId2787"/>
    <hyperlink xmlns:r="http://schemas.openxmlformats.org/officeDocument/2006/relationships" ref="I966" r:id="rId2788"/>
    <hyperlink xmlns:r="http://schemas.openxmlformats.org/officeDocument/2006/relationships" ref="J966" r:id="rId2789"/>
    <hyperlink xmlns:r="http://schemas.openxmlformats.org/officeDocument/2006/relationships" ref="K966" r:id="rId2790"/>
    <hyperlink xmlns:r="http://schemas.openxmlformats.org/officeDocument/2006/relationships" ref="I967" r:id="rId2791"/>
    <hyperlink xmlns:r="http://schemas.openxmlformats.org/officeDocument/2006/relationships" ref="J967" r:id="rId2792"/>
    <hyperlink xmlns:r="http://schemas.openxmlformats.org/officeDocument/2006/relationships" ref="K967" r:id="rId2793"/>
    <hyperlink xmlns:r="http://schemas.openxmlformats.org/officeDocument/2006/relationships" ref="I968" r:id="rId2794"/>
    <hyperlink xmlns:r="http://schemas.openxmlformats.org/officeDocument/2006/relationships" ref="J968" r:id="rId2795"/>
    <hyperlink xmlns:r="http://schemas.openxmlformats.org/officeDocument/2006/relationships" ref="K968" r:id="rId2796"/>
    <hyperlink xmlns:r="http://schemas.openxmlformats.org/officeDocument/2006/relationships" ref="I969" r:id="rId2797"/>
    <hyperlink xmlns:r="http://schemas.openxmlformats.org/officeDocument/2006/relationships" ref="J969" r:id="rId2798"/>
    <hyperlink xmlns:r="http://schemas.openxmlformats.org/officeDocument/2006/relationships" ref="K969" r:id="rId2799"/>
    <hyperlink xmlns:r="http://schemas.openxmlformats.org/officeDocument/2006/relationships" ref="I970" r:id="rId2800"/>
    <hyperlink xmlns:r="http://schemas.openxmlformats.org/officeDocument/2006/relationships" ref="J970" r:id="rId2801"/>
    <hyperlink xmlns:r="http://schemas.openxmlformats.org/officeDocument/2006/relationships" ref="K970" r:id="rId2802"/>
    <hyperlink xmlns:r="http://schemas.openxmlformats.org/officeDocument/2006/relationships" ref="I971" r:id="rId2803"/>
    <hyperlink xmlns:r="http://schemas.openxmlformats.org/officeDocument/2006/relationships" ref="J971" r:id="rId2804"/>
    <hyperlink xmlns:r="http://schemas.openxmlformats.org/officeDocument/2006/relationships" ref="K971" r:id="rId2805"/>
    <hyperlink xmlns:r="http://schemas.openxmlformats.org/officeDocument/2006/relationships" ref="I972" r:id="rId2806"/>
    <hyperlink xmlns:r="http://schemas.openxmlformats.org/officeDocument/2006/relationships" ref="J972" r:id="rId2807"/>
    <hyperlink xmlns:r="http://schemas.openxmlformats.org/officeDocument/2006/relationships" ref="K972" r:id="rId2808"/>
    <hyperlink xmlns:r="http://schemas.openxmlformats.org/officeDocument/2006/relationships" ref="I973" r:id="rId2809"/>
    <hyperlink xmlns:r="http://schemas.openxmlformats.org/officeDocument/2006/relationships" ref="J973" r:id="rId2810"/>
    <hyperlink xmlns:r="http://schemas.openxmlformats.org/officeDocument/2006/relationships" ref="K973" r:id="rId2811"/>
    <hyperlink xmlns:r="http://schemas.openxmlformats.org/officeDocument/2006/relationships" ref="I974" r:id="rId2812"/>
    <hyperlink xmlns:r="http://schemas.openxmlformats.org/officeDocument/2006/relationships" ref="J974" r:id="rId2813"/>
    <hyperlink xmlns:r="http://schemas.openxmlformats.org/officeDocument/2006/relationships" ref="K974" r:id="rId2814"/>
    <hyperlink xmlns:r="http://schemas.openxmlformats.org/officeDocument/2006/relationships" ref="I975" r:id="rId2815"/>
    <hyperlink xmlns:r="http://schemas.openxmlformats.org/officeDocument/2006/relationships" ref="J975" r:id="rId2816"/>
    <hyperlink xmlns:r="http://schemas.openxmlformats.org/officeDocument/2006/relationships" ref="K975" r:id="rId2817"/>
    <hyperlink xmlns:r="http://schemas.openxmlformats.org/officeDocument/2006/relationships" ref="I976" r:id="rId2818"/>
    <hyperlink xmlns:r="http://schemas.openxmlformats.org/officeDocument/2006/relationships" ref="J976" r:id="rId2819"/>
    <hyperlink xmlns:r="http://schemas.openxmlformats.org/officeDocument/2006/relationships" ref="K976" r:id="rId2820"/>
    <hyperlink xmlns:r="http://schemas.openxmlformats.org/officeDocument/2006/relationships" ref="I977" r:id="rId2821"/>
    <hyperlink xmlns:r="http://schemas.openxmlformats.org/officeDocument/2006/relationships" ref="J977" r:id="rId2822"/>
    <hyperlink xmlns:r="http://schemas.openxmlformats.org/officeDocument/2006/relationships" ref="K977" r:id="rId2823"/>
    <hyperlink xmlns:r="http://schemas.openxmlformats.org/officeDocument/2006/relationships" ref="I978" r:id="rId2824"/>
    <hyperlink xmlns:r="http://schemas.openxmlformats.org/officeDocument/2006/relationships" ref="J978" r:id="rId2825"/>
    <hyperlink xmlns:r="http://schemas.openxmlformats.org/officeDocument/2006/relationships" ref="K978" r:id="rId2826"/>
    <hyperlink xmlns:r="http://schemas.openxmlformats.org/officeDocument/2006/relationships" ref="I979" r:id="rId2827"/>
    <hyperlink xmlns:r="http://schemas.openxmlformats.org/officeDocument/2006/relationships" ref="J979" r:id="rId2828"/>
    <hyperlink xmlns:r="http://schemas.openxmlformats.org/officeDocument/2006/relationships" ref="K979" r:id="rId2829"/>
    <hyperlink xmlns:r="http://schemas.openxmlformats.org/officeDocument/2006/relationships" ref="I980" r:id="rId2830"/>
    <hyperlink xmlns:r="http://schemas.openxmlformats.org/officeDocument/2006/relationships" ref="J980" r:id="rId2831"/>
    <hyperlink xmlns:r="http://schemas.openxmlformats.org/officeDocument/2006/relationships" ref="K980" r:id="rId2832"/>
    <hyperlink xmlns:r="http://schemas.openxmlformats.org/officeDocument/2006/relationships" ref="I981" r:id="rId2833"/>
    <hyperlink xmlns:r="http://schemas.openxmlformats.org/officeDocument/2006/relationships" ref="J981" r:id="rId2834"/>
    <hyperlink xmlns:r="http://schemas.openxmlformats.org/officeDocument/2006/relationships" ref="K981" r:id="rId2835"/>
    <hyperlink xmlns:r="http://schemas.openxmlformats.org/officeDocument/2006/relationships" ref="I982" r:id="rId2836"/>
    <hyperlink xmlns:r="http://schemas.openxmlformats.org/officeDocument/2006/relationships" ref="J982" r:id="rId2837"/>
    <hyperlink xmlns:r="http://schemas.openxmlformats.org/officeDocument/2006/relationships" ref="K982" r:id="rId2838"/>
    <hyperlink xmlns:r="http://schemas.openxmlformats.org/officeDocument/2006/relationships" ref="I983" r:id="rId2839"/>
    <hyperlink xmlns:r="http://schemas.openxmlformats.org/officeDocument/2006/relationships" ref="J983" r:id="rId2840"/>
    <hyperlink xmlns:r="http://schemas.openxmlformats.org/officeDocument/2006/relationships" ref="K983" r:id="rId2841"/>
    <hyperlink xmlns:r="http://schemas.openxmlformats.org/officeDocument/2006/relationships" ref="I984" r:id="rId2842"/>
    <hyperlink xmlns:r="http://schemas.openxmlformats.org/officeDocument/2006/relationships" ref="J984" r:id="rId2843"/>
    <hyperlink xmlns:r="http://schemas.openxmlformats.org/officeDocument/2006/relationships" ref="K984" r:id="rId2844"/>
    <hyperlink xmlns:r="http://schemas.openxmlformats.org/officeDocument/2006/relationships" ref="I985" r:id="rId2845"/>
    <hyperlink xmlns:r="http://schemas.openxmlformats.org/officeDocument/2006/relationships" ref="J985" r:id="rId2846"/>
    <hyperlink xmlns:r="http://schemas.openxmlformats.org/officeDocument/2006/relationships" ref="K985" r:id="rId2847"/>
    <hyperlink xmlns:r="http://schemas.openxmlformats.org/officeDocument/2006/relationships" ref="I986" r:id="rId2848"/>
    <hyperlink xmlns:r="http://schemas.openxmlformats.org/officeDocument/2006/relationships" ref="J986" r:id="rId2849"/>
    <hyperlink xmlns:r="http://schemas.openxmlformats.org/officeDocument/2006/relationships" ref="K986" r:id="rId2850"/>
    <hyperlink xmlns:r="http://schemas.openxmlformats.org/officeDocument/2006/relationships" ref="I987" r:id="rId2851"/>
    <hyperlink xmlns:r="http://schemas.openxmlformats.org/officeDocument/2006/relationships" ref="J987" r:id="rId2852"/>
    <hyperlink xmlns:r="http://schemas.openxmlformats.org/officeDocument/2006/relationships" ref="K987" r:id="rId2853"/>
    <hyperlink xmlns:r="http://schemas.openxmlformats.org/officeDocument/2006/relationships" ref="I988" r:id="rId2854"/>
    <hyperlink xmlns:r="http://schemas.openxmlformats.org/officeDocument/2006/relationships" ref="J988" r:id="rId2855"/>
    <hyperlink xmlns:r="http://schemas.openxmlformats.org/officeDocument/2006/relationships" ref="K988" r:id="rId2856"/>
    <hyperlink xmlns:r="http://schemas.openxmlformats.org/officeDocument/2006/relationships" ref="I989" r:id="rId2857"/>
    <hyperlink xmlns:r="http://schemas.openxmlformats.org/officeDocument/2006/relationships" ref="J989" r:id="rId2858"/>
    <hyperlink xmlns:r="http://schemas.openxmlformats.org/officeDocument/2006/relationships" ref="K989" r:id="rId2859"/>
    <hyperlink xmlns:r="http://schemas.openxmlformats.org/officeDocument/2006/relationships" ref="I990" r:id="rId2860"/>
    <hyperlink xmlns:r="http://schemas.openxmlformats.org/officeDocument/2006/relationships" ref="J990" r:id="rId2861"/>
    <hyperlink xmlns:r="http://schemas.openxmlformats.org/officeDocument/2006/relationships" ref="K990" r:id="rId2862"/>
    <hyperlink xmlns:r="http://schemas.openxmlformats.org/officeDocument/2006/relationships" ref="I991" r:id="rId2863"/>
    <hyperlink xmlns:r="http://schemas.openxmlformats.org/officeDocument/2006/relationships" ref="J991" r:id="rId2864"/>
    <hyperlink xmlns:r="http://schemas.openxmlformats.org/officeDocument/2006/relationships" ref="K991" r:id="rId2865"/>
    <hyperlink xmlns:r="http://schemas.openxmlformats.org/officeDocument/2006/relationships" ref="I992" r:id="rId2866"/>
    <hyperlink xmlns:r="http://schemas.openxmlformats.org/officeDocument/2006/relationships" ref="J992" r:id="rId2867"/>
    <hyperlink xmlns:r="http://schemas.openxmlformats.org/officeDocument/2006/relationships" ref="K992" r:id="rId2868"/>
    <hyperlink xmlns:r="http://schemas.openxmlformats.org/officeDocument/2006/relationships" ref="I993" r:id="rId2869"/>
    <hyperlink xmlns:r="http://schemas.openxmlformats.org/officeDocument/2006/relationships" ref="J993" r:id="rId2870"/>
    <hyperlink xmlns:r="http://schemas.openxmlformats.org/officeDocument/2006/relationships" ref="K993" r:id="rId2871"/>
    <hyperlink xmlns:r="http://schemas.openxmlformats.org/officeDocument/2006/relationships" ref="I994" r:id="rId2872"/>
    <hyperlink xmlns:r="http://schemas.openxmlformats.org/officeDocument/2006/relationships" ref="J994" r:id="rId2873"/>
    <hyperlink xmlns:r="http://schemas.openxmlformats.org/officeDocument/2006/relationships" ref="K994" r:id="rId2874"/>
    <hyperlink xmlns:r="http://schemas.openxmlformats.org/officeDocument/2006/relationships" ref="I995" r:id="rId2875"/>
    <hyperlink xmlns:r="http://schemas.openxmlformats.org/officeDocument/2006/relationships" ref="J995" r:id="rId2876"/>
    <hyperlink xmlns:r="http://schemas.openxmlformats.org/officeDocument/2006/relationships" ref="K995" r:id="rId2877"/>
    <hyperlink xmlns:r="http://schemas.openxmlformats.org/officeDocument/2006/relationships" ref="I996" r:id="rId2878"/>
    <hyperlink xmlns:r="http://schemas.openxmlformats.org/officeDocument/2006/relationships" ref="J996" r:id="rId2879"/>
    <hyperlink xmlns:r="http://schemas.openxmlformats.org/officeDocument/2006/relationships" ref="K996" r:id="rId2880"/>
    <hyperlink xmlns:r="http://schemas.openxmlformats.org/officeDocument/2006/relationships" ref="I997" r:id="rId2881"/>
    <hyperlink xmlns:r="http://schemas.openxmlformats.org/officeDocument/2006/relationships" ref="J997" r:id="rId2882"/>
    <hyperlink xmlns:r="http://schemas.openxmlformats.org/officeDocument/2006/relationships" ref="K997" r:id="rId2883"/>
    <hyperlink xmlns:r="http://schemas.openxmlformats.org/officeDocument/2006/relationships" ref="I998" r:id="rId2884"/>
    <hyperlink xmlns:r="http://schemas.openxmlformats.org/officeDocument/2006/relationships" ref="J998" r:id="rId2885"/>
    <hyperlink xmlns:r="http://schemas.openxmlformats.org/officeDocument/2006/relationships" ref="K998" r:id="rId2886"/>
    <hyperlink xmlns:r="http://schemas.openxmlformats.org/officeDocument/2006/relationships" ref="I999" r:id="rId2887"/>
    <hyperlink xmlns:r="http://schemas.openxmlformats.org/officeDocument/2006/relationships" ref="J999" r:id="rId2888"/>
    <hyperlink xmlns:r="http://schemas.openxmlformats.org/officeDocument/2006/relationships" ref="K999" r:id="rId2889"/>
    <hyperlink xmlns:r="http://schemas.openxmlformats.org/officeDocument/2006/relationships" ref="I1000" r:id="rId2890"/>
    <hyperlink xmlns:r="http://schemas.openxmlformats.org/officeDocument/2006/relationships" ref="J1000" r:id="rId2891"/>
    <hyperlink xmlns:r="http://schemas.openxmlformats.org/officeDocument/2006/relationships" ref="K1000" r:id="rId2892"/>
    <hyperlink xmlns:r="http://schemas.openxmlformats.org/officeDocument/2006/relationships" ref="I1001" r:id="rId2893"/>
    <hyperlink xmlns:r="http://schemas.openxmlformats.org/officeDocument/2006/relationships" ref="J1001" r:id="rId2894"/>
    <hyperlink xmlns:r="http://schemas.openxmlformats.org/officeDocument/2006/relationships" ref="K1001" r:id="rId2895"/>
    <hyperlink xmlns:r="http://schemas.openxmlformats.org/officeDocument/2006/relationships" ref="I1002" r:id="rId2896"/>
    <hyperlink xmlns:r="http://schemas.openxmlformats.org/officeDocument/2006/relationships" ref="J1002" r:id="rId2897"/>
    <hyperlink xmlns:r="http://schemas.openxmlformats.org/officeDocument/2006/relationships" ref="K1002" r:id="rId2898"/>
    <hyperlink xmlns:r="http://schemas.openxmlformats.org/officeDocument/2006/relationships" ref="I1003" r:id="rId2899"/>
    <hyperlink xmlns:r="http://schemas.openxmlformats.org/officeDocument/2006/relationships" ref="J1003" r:id="rId2900"/>
    <hyperlink xmlns:r="http://schemas.openxmlformats.org/officeDocument/2006/relationships" ref="K1003" r:id="rId2901"/>
    <hyperlink xmlns:r="http://schemas.openxmlformats.org/officeDocument/2006/relationships" ref="I1004" r:id="rId2902"/>
    <hyperlink xmlns:r="http://schemas.openxmlformats.org/officeDocument/2006/relationships" ref="J1004" r:id="rId2903"/>
    <hyperlink xmlns:r="http://schemas.openxmlformats.org/officeDocument/2006/relationships" ref="K1004" r:id="rId2904"/>
    <hyperlink xmlns:r="http://schemas.openxmlformats.org/officeDocument/2006/relationships" ref="I1005" r:id="rId2905"/>
    <hyperlink xmlns:r="http://schemas.openxmlformats.org/officeDocument/2006/relationships" ref="J1005" r:id="rId2906"/>
    <hyperlink xmlns:r="http://schemas.openxmlformats.org/officeDocument/2006/relationships" ref="K1005" r:id="rId2907"/>
    <hyperlink xmlns:r="http://schemas.openxmlformats.org/officeDocument/2006/relationships" ref="I1006" r:id="rId2908"/>
    <hyperlink xmlns:r="http://schemas.openxmlformats.org/officeDocument/2006/relationships" ref="J1006" r:id="rId2909"/>
    <hyperlink xmlns:r="http://schemas.openxmlformats.org/officeDocument/2006/relationships" ref="K1006" r:id="rId2910"/>
    <hyperlink xmlns:r="http://schemas.openxmlformats.org/officeDocument/2006/relationships" ref="I1007" r:id="rId2911"/>
    <hyperlink xmlns:r="http://schemas.openxmlformats.org/officeDocument/2006/relationships" ref="J1007" r:id="rId2912"/>
    <hyperlink xmlns:r="http://schemas.openxmlformats.org/officeDocument/2006/relationships" ref="K1007" r:id="rId2913"/>
    <hyperlink xmlns:r="http://schemas.openxmlformats.org/officeDocument/2006/relationships" ref="I1008" r:id="rId2914"/>
    <hyperlink xmlns:r="http://schemas.openxmlformats.org/officeDocument/2006/relationships" ref="J1008" r:id="rId2915"/>
    <hyperlink xmlns:r="http://schemas.openxmlformats.org/officeDocument/2006/relationships" ref="K1008" r:id="rId2916"/>
    <hyperlink xmlns:r="http://schemas.openxmlformats.org/officeDocument/2006/relationships" ref="I1009" r:id="rId2917"/>
    <hyperlink xmlns:r="http://schemas.openxmlformats.org/officeDocument/2006/relationships" ref="J1009" r:id="rId2918"/>
    <hyperlink xmlns:r="http://schemas.openxmlformats.org/officeDocument/2006/relationships" ref="K1009" r:id="rId2919"/>
    <hyperlink xmlns:r="http://schemas.openxmlformats.org/officeDocument/2006/relationships" ref="I1010" r:id="rId2920"/>
    <hyperlink xmlns:r="http://schemas.openxmlformats.org/officeDocument/2006/relationships" ref="J1010" r:id="rId2921"/>
    <hyperlink xmlns:r="http://schemas.openxmlformats.org/officeDocument/2006/relationships" ref="K1010" r:id="rId2922"/>
    <hyperlink xmlns:r="http://schemas.openxmlformats.org/officeDocument/2006/relationships" ref="I1011" r:id="rId2923"/>
    <hyperlink xmlns:r="http://schemas.openxmlformats.org/officeDocument/2006/relationships" ref="J1011" r:id="rId2924"/>
    <hyperlink xmlns:r="http://schemas.openxmlformats.org/officeDocument/2006/relationships" ref="K1011" r:id="rId2925"/>
    <hyperlink xmlns:r="http://schemas.openxmlformats.org/officeDocument/2006/relationships" ref="I1012" r:id="rId2926"/>
    <hyperlink xmlns:r="http://schemas.openxmlformats.org/officeDocument/2006/relationships" ref="J1012" r:id="rId2927"/>
    <hyperlink xmlns:r="http://schemas.openxmlformats.org/officeDocument/2006/relationships" ref="K1012" r:id="rId2928"/>
    <hyperlink xmlns:r="http://schemas.openxmlformats.org/officeDocument/2006/relationships" ref="I1013" r:id="rId2929"/>
    <hyperlink xmlns:r="http://schemas.openxmlformats.org/officeDocument/2006/relationships" ref="J1013" r:id="rId2930"/>
    <hyperlink xmlns:r="http://schemas.openxmlformats.org/officeDocument/2006/relationships" ref="K1013" r:id="rId2931"/>
    <hyperlink xmlns:r="http://schemas.openxmlformats.org/officeDocument/2006/relationships" ref="I1014" r:id="rId2932"/>
    <hyperlink xmlns:r="http://schemas.openxmlformats.org/officeDocument/2006/relationships" ref="J1014" r:id="rId2933"/>
    <hyperlink xmlns:r="http://schemas.openxmlformats.org/officeDocument/2006/relationships" ref="K1014" r:id="rId2934"/>
    <hyperlink xmlns:r="http://schemas.openxmlformats.org/officeDocument/2006/relationships" ref="I1015" r:id="rId2935"/>
    <hyperlink xmlns:r="http://schemas.openxmlformats.org/officeDocument/2006/relationships" ref="J1015" r:id="rId2936"/>
    <hyperlink xmlns:r="http://schemas.openxmlformats.org/officeDocument/2006/relationships" ref="K1015" r:id="rId2937"/>
    <hyperlink xmlns:r="http://schemas.openxmlformats.org/officeDocument/2006/relationships" ref="I1016" r:id="rId2938"/>
    <hyperlink xmlns:r="http://schemas.openxmlformats.org/officeDocument/2006/relationships" ref="J1016" r:id="rId2939"/>
    <hyperlink xmlns:r="http://schemas.openxmlformats.org/officeDocument/2006/relationships" ref="K1016" r:id="rId2940"/>
    <hyperlink xmlns:r="http://schemas.openxmlformats.org/officeDocument/2006/relationships" ref="I1017" r:id="rId2941"/>
    <hyperlink xmlns:r="http://schemas.openxmlformats.org/officeDocument/2006/relationships" ref="J1017" r:id="rId2942"/>
    <hyperlink xmlns:r="http://schemas.openxmlformats.org/officeDocument/2006/relationships" ref="K1017" r:id="rId2943"/>
    <hyperlink xmlns:r="http://schemas.openxmlformats.org/officeDocument/2006/relationships" ref="I1018" r:id="rId2944"/>
    <hyperlink xmlns:r="http://schemas.openxmlformats.org/officeDocument/2006/relationships" ref="J1018" r:id="rId2945"/>
    <hyperlink xmlns:r="http://schemas.openxmlformats.org/officeDocument/2006/relationships" ref="K1018" r:id="rId2946"/>
    <hyperlink xmlns:r="http://schemas.openxmlformats.org/officeDocument/2006/relationships" ref="I1019" r:id="rId2947"/>
    <hyperlink xmlns:r="http://schemas.openxmlformats.org/officeDocument/2006/relationships" ref="J1019" r:id="rId2948"/>
    <hyperlink xmlns:r="http://schemas.openxmlformats.org/officeDocument/2006/relationships" ref="K1019" r:id="rId2949"/>
    <hyperlink xmlns:r="http://schemas.openxmlformats.org/officeDocument/2006/relationships" ref="I1020" r:id="rId2950"/>
    <hyperlink xmlns:r="http://schemas.openxmlformats.org/officeDocument/2006/relationships" ref="J1020" r:id="rId2951"/>
    <hyperlink xmlns:r="http://schemas.openxmlformats.org/officeDocument/2006/relationships" ref="K1020" r:id="rId2952"/>
    <hyperlink xmlns:r="http://schemas.openxmlformats.org/officeDocument/2006/relationships" ref="I1021" r:id="rId2953"/>
    <hyperlink xmlns:r="http://schemas.openxmlformats.org/officeDocument/2006/relationships" ref="J1021" r:id="rId2954"/>
    <hyperlink xmlns:r="http://schemas.openxmlformats.org/officeDocument/2006/relationships" ref="K1021" r:id="rId2955"/>
    <hyperlink xmlns:r="http://schemas.openxmlformats.org/officeDocument/2006/relationships" ref="I1022" r:id="rId2956"/>
    <hyperlink xmlns:r="http://schemas.openxmlformats.org/officeDocument/2006/relationships" ref="J1022" r:id="rId2957"/>
    <hyperlink xmlns:r="http://schemas.openxmlformats.org/officeDocument/2006/relationships" ref="I1023" r:id="rId2958"/>
    <hyperlink xmlns:r="http://schemas.openxmlformats.org/officeDocument/2006/relationships" ref="J1023" r:id="rId2959"/>
    <hyperlink xmlns:r="http://schemas.openxmlformats.org/officeDocument/2006/relationships" ref="K1023" r:id="rId2960"/>
    <hyperlink xmlns:r="http://schemas.openxmlformats.org/officeDocument/2006/relationships" ref="I1024" r:id="rId2961"/>
    <hyperlink xmlns:r="http://schemas.openxmlformats.org/officeDocument/2006/relationships" ref="J1024" r:id="rId2962"/>
    <hyperlink xmlns:r="http://schemas.openxmlformats.org/officeDocument/2006/relationships" ref="K1024" r:id="rId2963"/>
    <hyperlink xmlns:r="http://schemas.openxmlformats.org/officeDocument/2006/relationships" ref="I1025" r:id="rId2964"/>
    <hyperlink xmlns:r="http://schemas.openxmlformats.org/officeDocument/2006/relationships" ref="J1025" r:id="rId2965"/>
    <hyperlink xmlns:r="http://schemas.openxmlformats.org/officeDocument/2006/relationships" ref="K1025" r:id="rId2966"/>
    <hyperlink xmlns:r="http://schemas.openxmlformats.org/officeDocument/2006/relationships" ref="I1026" r:id="rId2967"/>
    <hyperlink xmlns:r="http://schemas.openxmlformats.org/officeDocument/2006/relationships" ref="J1026" r:id="rId2968"/>
    <hyperlink xmlns:r="http://schemas.openxmlformats.org/officeDocument/2006/relationships" ref="K1026" r:id="rId2969"/>
    <hyperlink xmlns:r="http://schemas.openxmlformats.org/officeDocument/2006/relationships" ref="I1027" r:id="rId2970"/>
    <hyperlink xmlns:r="http://schemas.openxmlformats.org/officeDocument/2006/relationships" ref="J1027" r:id="rId2971"/>
    <hyperlink xmlns:r="http://schemas.openxmlformats.org/officeDocument/2006/relationships" ref="K1027" r:id="rId2972"/>
    <hyperlink xmlns:r="http://schemas.openxmlformats.org/officeDocument/2006/relationships" ref="I1028" r:id="rId2973"/>
    <hyperlink xmlns:r="http://schemas.openxmlformats.org/officeDocument/2006/relationships" ref="J1028" r:id="rId2974"/>
    <hyperlink xmlns:r="http://schemas.openxmlformats.org/officeDocument/2006/relationships" ref="K1028" r:id="rId2975"/>
    <hyperlink xmlns:r="http://schemas.openxmlformats.org/officeDocument/2006/relationships" ref="I1029" r:id="rId2976"/>
    <hyperlink xmlns:r="http://schemas.openxmlformats.org/officeDocument/2006/relationships" ref="J1029" r:id="rId2977"/>
    <hyperlink xmlns:r="http://schemas.openxmlformats.org/officeDocument/2006/relationships" ref="K1029" r:id="rId2978"/>
    <hyperlink xmlns:r="http://schemas.openxmlformats.org/officeDocument/2006/relationships" ref="I1030" r:id="rId2979"/>
    <hyperlink xmlns:r="http://schemas.openxmlformats.org/officeDocument/2006/relationships" ref="J1030" r:id="rId2980"/>
    <hyperlink xmlns:r="http://schemas.openxmlformats.org/officeDocument/2006/relationships" ref="K1030" r:id="rId2981"/>
    <hyperlink xmlns:r="http://schemas.openxmlformats.org/officeDocument/2006/relationships" ref="I1031" r:id="rId2982"/>
    <hyperlink xmlns:r="http://schemas.openxmlformats.org/officeDocument/2006/relationships" ref="J1031" r:id="rId2983"/>
    <hyperlink xmlns:r="http://schemas.openxmlformats.org/officeDocument/2006/relationships" ref="K1031" r:id="rId2984"/>
    <hyperlink xmlns:r="http://schemas.openxmlformats.org/officeDocument/2006/relationships" ref="I1032" r:id="rId2985"/>
    <hyperlink xmlns:r="http://schemas.openxmlformats.org/officeDocument/2006/relationships" ref="J1032" r:id="rId2986"/>
    <hyperlink xmlns:r="http://schemas.openxmlformats.org/officeDocument/2006/relationships" ref="K1032" r:id="rId2987"/>
    <hyperlink xmlns:r="http://schemas.openxmlformats.org/officeDocument/2006/relationships" ref="I1033" r:id="rId2988"/>
    <hyperlink xmlns:r="http://schemas.openxmlformats.org/officeDocument/2006/relationships" ref="J1033" r:id="rId2989"/>
    <hyperlink xmlns:r="http://schemas.openxmlformats.org/officeDocument/2006/relationships" ref="K1033" r:id="rId2990"/>
    <hyperlink xmlns:r="http://schemas.openxmlformats.org/officeDocument/2006/relationships" ref="I1034" r:id="rId2991"/>
    <hyperlink xmlns:r="http://schemas.openxmlformats.org/officeDocument/2006/relationships" ref="J1034" r:id="rId2992"/>
    <hyperlink xmlns:r="http://schemas.openxmlformats.org/officeDocument/2006/relationships" ref="K1034" r:id="rId2993"/>
    <hyperlink xmlns:r="http://schemas.openxmlformats.org/officeDocument/2006/relationships" ref="I1035" r:id="rId2994"/>
    <hyperlink xmlns:r="http://schemas.openxmlformats.org/officeDocument/2006/relationships" ref="J1035" r:id="rId2995"/>
    <hyperlink xmlns:r="http://schemas.openxmlformats.org/officeDocument/2006/relationships" ref="K1035" r:id="rId2996"/>
    <hyperlink xmlns:r="http://schemas.openxmlformats.org/officeDocument/2006/relationships" ref="I1036" r:id="rId2997"/>
    <hyperlink xmlns:r="http://schemas.openxmlformats.org/officeDocument/2006/relationships" ref="J1036" r:id="rId2998"/>
    <hyperlink xmlns:r="http://schemas.openxmlformats.org/officeDocument/2006/relationships" ref="K1036" r:id="rId2999"/>
    <hyperlink xmlns:r="http://schemas.openxmlformats.org/officeDocument/2006/relationships" ref="I1037" r:id="rId3000"/>
    <hyperlink xmlns:r="http://schemas.openxmlformats.org/officeDocument/2006/relationships" ref="J1037" r:id="rId3001"/>
    <hyperlink xmlns:r="http://schemas.openxmlformats.org/officeDocument/2006/relationships" ref="K1037" r:id="rId3002"/>
    <hyperlink xmlns:r="http://schemas.openxmlformats.org/officeDocument/2006/relationships" ref="I1038" r:id="rId3003"/>
    <hyperlink xmlns:r="http://schemas.openxmlformats.org/officeDocument/2006/relationships" ref="J1038" r:id="rId3004"/>
    <hyperlink xmlns:r="http://schemas.openxmlformats.org/officeDocument/2006/relationships" ref="K1038" r:id="rId3005"/>
    <hyperlink xmlns:r="http://schemas.openxmlformats.org/officeDocument/2006/relationships" ref="I1039" r:id="rId3006"/>
    <hyperlink xmlns:r="http://schemas.openxmlformats.org/officeDocument/2006/relationships" ref="J1039" r:id="rId3007"/>
    <hyperlink xmlns:r="http://schemas.openxmlformats.org/officeDocument/2006/relationships" ref="K1039" r:id="rId3008"/>
    <hyperlink xmlns:r="http://schemas.openxmlformats.org/officeDocument/2006/relationships" ref="I1040" r:id="rId3009"/>
    <hyperlink xmlns:r="http://schemas.openxmlformats.org/officeDocument/2006/relationships" ref="J1040" r:id="rId3010"/>
    <hyperlink xmlns:r="http://schemas.openxmlformats.org/officeDocument/2006/relationships" ref="K1040" r:id="rId3011"/>
    <hyperlink xmlns:r="http://schemas.openxmlformats.org/officeDocument/2006/relationships" ref="I1041" r:id="rId3012"/>
    <hyperlink xmlns:r="http://schemas.openxmlformats.org/officeDocument/2006/relationships" ref="J1041" r:id="rId3013"/>
    <hyperlink xmlns:r="http://schemas.openxmlformats.org/officeDocument/2006/relationships" ref="K1041" r:id="rId3014"/>
    <hyperlink xmlns:r="http://schemas.openxmlformats.org/officeDocument/2006/relationships" ref="I1042" r:id="rId3015"/>
    <hyperlink xmlns:r="http://schemas.openxmlformats.org/officeDocument/2006/relationships" ref="J1042" r:id="rId3016"/>
    <hyperlink xmlns:r="http://schemas.openxmlformats.org/officeDocument/2006/relationships" ref="K1042" r:id="rId3017"/>
    <hyperlink xmlns:r="http://schemas.openxmlformats.org/officeDocument/2006/relationships" ref="I1043" r:id="rId3018"/>
    <hyperlink xmlns:r="http://schemas.openxmlformats.org/officeDocument/2006/relationships" ref="J1043" r:id="rId3019"/>
    <hyperlink xmlns:r="http://schemas.openxmlformats.org/officeDocument/2006/relationships" ref="K1043" r:id="rId3020"/>
    <hyperlink xmlns:r="http://schemas.openxmlformats.org/officeDocument/2006/relationships" ref="I1044" r:id="rId3021"/>
    <hyperlink xmlns:r="http://schemas.openxmlformats.org/officeDocument/2006/relationships" ref="J1044" r:id="rId3022"/>
    <hyperlink xmlns:r="http://schemas.openxmlformats.org/officeDocument/2006/relationships" ref="K1044" r:id="rId3023"/>
    <hyperlink xmlns:r="http://schemas.openxmlformats.org/officeDocument/2006/relationships" ref="I1045" r:id="rId3024"/>
    <hyperlink xmlns:r="http://schemas.openxmlformats.org/officeDocument/2006/relationships" ref="J1045" r:id="rId3025"/>
    <hyperlink xmlns:r="http://schemas.openxmlformats.org/officeDocument/2006/relationships" ref="K1045" r:id="rId3026"/>
    <hyperlink xmlns:r="http://schemas.openxmlformats.org/officeDocument/2006/relationships" ref="I1046" r:id="rId3027"/>
    <hyperlink xmlns:r="http://schemas.openxmlformats.org/officeDocument/2006/relationships" ref="J1046" r:id="rId3028"/>
    <hyperlink xmlns:r="http://schemas.openxmlformats.org/officeDocument/2006/relationships" ref="K1046" r:id="rId3029"/>
    <hyperlink xmlns:r="http://schemas.openxmlformats.org/officeDocument/2006/relationships" ref="I1047" r:id="rId3030"/>
    <hyperlink xmlns:r="http://schemas.openxmlformats.org/officeDocument/2006/relationships" ref="J1047" r:id="rId3031"/>
    <hyperlink xmlns:r="http://schemas.openxmlformats.org/officeDocument/2006/relationships" ref="K1047" r:id="rId3032"/>
    <hyperlink xmlns:r="http://schemas.openxmlformats.org/officeDocument/2006/relationships" ref="I1048" r:id="rId3033"/>
    <hyperlink xmlns:r="http://schemas.openxmlformats.org/officeDocument/2006/relationships" ref="J1048" r:id="rId3034"/>
    <hyperlink xmlns:r="http://schemas.openxmlformats.org/officeDocument/2006/relationships" ref="K1048" r:id="rId3035"/>
    <hyperlink xmlns:r="http://schemas.openxmlformats.org/officeDocument/2006/relationships" ref="I1049" r:id="rId3036"/>
    <hyperlink xmlns:r="http://schemas.openxmlformats.org/officeDocument/2006/relationships" ref="J1049" r:id="rId3037"/>
    <hyperlink xmlns:r="http://schemas.openxmlformats.org/officeDocument/2006/relationships" ref="K1049" r:id="rId3038"/>
    <hyperlink xmlns:r="http://schemas.openxmlformats.org/officeDocument/2006/relationships" ref="I1050" r:id="rId3039"/>
    <hyperlink xmlns:r="http://schemas.openxmlformats.org/officeDocument/2006/relationships" ref="J1050" r:id="rId3040"/>
    <hyperlink xmlns:r="http://schemas.openxmlformats.org/officeDocument/2006/relationships" ref="K1050" r:id="rId3041"/>
    <hyperlink xmlns:r="http://schemas.openxmlformats.org/officeDocument/2006/relationships" ref="I1051" r:id="rId3042"/>
    <hyperlink xmlns:r="http://schemas.openxmlformats.org/officeDocument/2006/relationships" ref="J1051" r:id="rId3043"/>
    <hyperlink xmlns:r="http://schemas.openxmlformats.org/officeDocument/2006/relationships" ref="K1051" r:id="rId3044"/>
    <hyperlink xmlns:r="http://schemas.openxmlformats.org/officeDocument/2006/relationships" ref="I1052" r:id="rId3045"/>
    <hyperlink xmlns:r="http://schemas.openxmlformats.org/officeDocument/2006/relationships" ref="J1052" r:id="rId3046"/>
    <hyperlink xmlns:r="http://schemas.openxmlformats.org/officeDocument/2006/relationships" ref="K1052" r:id="rId3047"/>
    <hyperlink xmlns:r="http://schemas.openxmlformats.org/officeDocument/2006/relationships" ref="I1053" r:id="rId3048"/>
    <hyperlink xmlns:r="http://schemas.openxmlformats.org/officeDocument/2006/relationships" ref="J1053" r:id="rId3049"/>
    <hyperlink xmlns:r="http://schemas.openxmlformats.org/officeDocument/2006/relationships" ref="K1053" r:id="rId3050"/>
    <hyperlink xmlns:r="http://schemas.openxmlformats.org/officeDocument/2006/relationships" ref="I1054" r:id="rId3051"/>
    <hyperlink xmlns:r="http://schemas.openxmlformats.org/officeDocument/2006/relationships" ref="J1054" r:id="rId3052"/>
    <hyperlink xmlns:r="http://schemas.openxmlformats.org/officeDocument/2006/relationships" ref="K1054" r:id="rId3053"/>
    <hyperlink xmlns:r="http://schemas.openxmlformats.org/officeDocument/2006/relationships" ref="I1055" r:id="rId3054"/>
    <hyperlink xmlns:r="http://schemas.openxmlformats.org/officeDocument/2006/relationships" ref="J1055" r:id="rId3055"/>
    <hyperlink xmlns:r="http://schemas.openxmlformats.org/officeDocument/2006/relationships" ref="K1055" r:id="rId3056"/>
    <hyperlink xmlns:r="http://schemas.openxmlformats.org/officeDocument/2006/relationships" ref="I1056" r:id="rId3057"/>
    <hyperlink xmlns:r="http://schemas.openxmlformats.org/officeDocument/2006/relationships" ref="J1056" r:id="rId3058"/>
    <hyperlink xmlns:r="http://schemas.openxmlformats.org/officeDocument/2006/relationships" ref="K1056" r:id="rId3059"/>
    <hyperlink xmlns:r="http://schemas.openxmlformats.org/officeDocument/2006/relationships" ref="I1057" r:id="rId3060"/>
    <hyperlink xmlns:r="http://schemas.openxmlformats.org/officeDocument/2006/relationships" ref="J1057" r:id="rId3061"/>
    <hyperlink xmlns:r="http://schemas.openxmlformats.org/officeDocument/2006/relationships" ref="K1057" r:id="rId3062"/>
    <hyperlink xmlns:r="http://schemas.openxmlformats.org/officeDocument/2006/relationships" ref="I1058" r:id="rId3063"/>
    <hyperlink xmlns:r="http://schemas.openxmlformats.org/officeDocument/2006/relationships" ref="J1058" r:id="rId3064"/>
    <hyperlink xmlns:r="http://schemas.openxmlformats.org/officeDocument/2006/relationships" ref="K1058" r:id="rId3065"/>
    <hyperlink xmlns:r="http://schemas.openxmlformats.org/officeDocument/2006/relationships" ref="I1059" r:id="rId3066"/>
    <hyperlink xmlns:r="http://schemas.openxmlformats.org/officeDocument/2006/relationships" ref="J1059" r:id="rId3067"/>
    <hyperlink xmlns:r="http://schemas.openxmlformats.org/officeDocument/2006/relationships" ref="K1059" r:id="rId3068"/>
    <hyperlink xmlns:r="http://schemas.openxmlformats.org/officeDocument/2006/relationships" ref="I1060" r:id="rId3069"/>
    <hyperlink xmlns:r="http://schemas.openxmlformats.org/officeDocument/2006/relationships" ref="J1060" r:id="rId3070"/>
    <hyperlink xmlns:r="http://schemas.openxmlformats.org/officeDocument/2006/relationships" ref="K1060" r:id="rId3071"/>
    <hyperlink xmlns:r="http://schemas.openxmlformats.org/officeDocument/2006/relationships" ref="I1061" r:id="rId3072"/>
    <hyperlink xmlns:r="http://schemas.openxmlformats.org/officeDocument/2006/relationships" ref="J1061" r:id="rId3073"/>
    <hyperlink xmlns:r="http://schemas.openxmlformats.org/officeDocument/2006/relationships" ref="K1061" r:id="rId3074"/>
    <hyperlink xmlns:r="http://schemas.openxmlformats.org/officeDocument/2006/relationships" ref="I1062" r:id="rId3075"/>
    <hyperlink xmlns:r="http://schemas.openxmlformats.org/officeDocument/2006/relationships" ref="J1062" r:id="rId3076"/>
    <hyperlink xmlns:r="http://schemas.openxmlformats.org/officeDocument/2006/relationships" ref="K1062" r:id="rId3077"/>
    <hyperlink xmlns:r="http://schemas.openxmlformats.org/officeDocument/2006/relationships" ref="I1063" r:id="rId3078"/>
    <hyperlink xmlns:r="http://schemas.openxmlformats.org/officeDocument/2006/relationships" ref="J1063" r:id="rId3079"/>
    <hyperlink xmlns:r="http://schemas.openxmlformats.org/officeDocument/2006/relationships" ref="I1064" r:id="rId3080"/>
    <hyperlink xmlns:r="http://schemas.openxmlformats.org/officeDocument/2006/relationships" ref="J1064" r:id="rId3081"/>
    <hyperlink xmlns:r="http://schemas.openxmlformats.org/officeDocument/2006/relationships" ref="I1065" r:id="rId3082"/>
    <hyperlink xmlns:r="http://schemas.openxmlformats.org/officeDocument/2006/relationships" ref="J1065" r:id="rId3083"/>
    <hyperlink xmlns:r="http://schemas.openxmlformats.org/officeDocument/2006/relationships" ref="K1065" r:id="rId3084"/>
    <hyperlink xmlns:r="http://schemas.openxmlformats.org/officeDocument/2006/relationships" ref="I1066" r:id="rId3085"/>
    <hyperlink xmlns:r="http://schemas.openxmlformats.org/officeDocument/2006/relationships" ref="J1066" r:id="rId3086"/>
    <hyperlink xmlns:r="http://schemas.openxmlformats.org/officeDocument/2006/relationships" ref="K1066" r:id="rId3087"/>
    <hyperlink xmlns:r="http://schemas.openxmlformats.org/officeDocument/2006/relationships" ref="I1067" r:id="rId3088"/>
    <hyperlink xmlns:r="http://schemas.openxmlformats.org/officeDocument/2006/relationships" ref="J1067" r:id="rId3089"/>
    <hyperlink xmlns:r="http://schemas.openxmlformats.org/officeDocument/2006/relationships" ref="K1067" r:id="rId3090"/>
    <hyperlink xmlns:r="http://schemas.openxmlformats.org/officeDocument/2006/relationships" ref="I1068" r:id="rId3091"/>
    <hyperlink xmlns:r="http://schemas.openxmlformats.org/officeDocument/2006/relationships" ref="J1068" r:id="rId3092"/>
    <hyperlink xmlns:r="http://schemas.openxmlformats.org/officeDocument/2006/relationships" ref="K1068" r:id="rId3093"/>
    <hyperlink xmlns:r="http://schemas.openxmlformats.org/officeDocument/2006/relationships" ref="I1069" r:id="rId3094"/>
    <hyperlink xmlns:r="http://schemas.openxmlformats.org/officeDocument/2006/relationships" ref="J1069" r:id="rId3095"/>
    <hyperlink xmlns:r="http://schemas.openxmlformats.org/officeDocument/2006/relationships" ref="K1069" r:id="rId3096"/>
    <hyperlink xmlns:r="http://schemas.openxmlformats.org/officeDocument/2006/relationships" ref="I1070" r:id="rId3097"/>
    <hyperlink xmlns:r="http://schemas.openxmlformats.org/officeDocument/2006/relationships" ref="J1070" r:id="rId3098"/>
    <hyperlink xmlns:r="http://schemas.openxmlformats.org/officeDocument/2006/relationships" ref="K1070" r:id="rId3099"/>
    <hyperlink xmlns:r="http://schemas.openxmlformats.org/officeDocument/2006/relationships" ref="I1071" r:id="rId3100"/>
    <hyperlink xmlns:r="http://schemas.openxmlformats.org/officeDocument/2006/relationships" ref="J1071" r:id="rId3101"/>
    <hyperlink xmlns:r="http://schemas.openxmlformats.org/officeDocument/2006/relationships" ref="K1071" r:id="rId3102"/>
    <hyperlink xmlns:r="http://schemas.openxmlformats.org/officeDocument/2006/relationships" ref="I1072" r:id="rId3103"/>
    <hyperlink xmlns:r="http://schemas.openxmlformats.org/officeDocument/2006/relationships" ref="J1072" r:id="rId3104"/>
    <hyperlink xmlns:r="http://schemas.openxmlformats.org/officeDocument/2006/relationships" ref="K1072" r:id="rId3105"/>
    <hyperlink xmlns:r="http://schemas.openxmlformats.org/officeDocument/2006/relationships" ref="I1073" r:id="rId3106"/>
    <hyperlink xmlns:r="http://schemas.openxmlformats.org/officeDocument/2006/relationships" ref="J1073" r:id="rId3107"/>
    <hyperlink xmlns:r="http://schemas.openxmlformats.org/officeDocument/2006/relationships" ref="K1073" r:id="rId3108"/>
    <hyperlink xmlns:r="http://schemas.openxmlformats.org/officeDocument/2006/relationships" ref="I1074" r:id="rId3109"/>
    <hyperlink xmlns:r="http://schemas.openxmlformats.org/officeDocument/2006/relationships" ref="J1074" r:id="rId3110"/>
    <hyperlink xmlns:r="http://schemas.openxmlformats.org/officeDocument/2006/relationships" ref="K1074" r:id="rId3111"/>
    <hyperlink xmlns:r="http://schemas.openxmlformats.org/officeDocument/2006/relationships" ref="I1075" r:id="rId3112"/>
    <hyperlink xmlns:r="http://schemas.openxmlformats.org/officeDocument/2006/relationships" ref="J1075" r:id="rId3113"/>
    <hyperlink xmlns:r="http://schemas.openxmlformats.org/officeDocument/2006/relationships" ref="K1075" r:id="rId3114"/>
    <hyperlink xmlns:r="http://schemas.openxmlformats.org/officeDocument/2006/relationships" ref="I1076" r:id="rId3115"/>
    <hyperlink xmlns:r="http://schemas.openxmlformats.org/officeDocument/2006/relationships" ref="J1076" r:id="rId3116"/>
    <hyperlink xmlns:r="http://schemas.openxmlformats.org/officeDocument/2006/relationships" ref="K1076" r:id="rId3117"/>
    <hyperlink xmlns:r="http://schemas.openxmlformats.org/officeDocument/2006/relationships" ref="I1077" r:id="rId3118"/>
    <hyperlink xmlns:r="http://schemas.openxmlformats.org/officeDocument/2006/relationships" ref="J1077" r:id="rId3119"/>
    <hyperlink xmlns:r="http://schemas.openxmlformats.org/officeDocument/2006/relationships" ref="K1077" r:id="rId3120"/>
    <hyperlink xmlns:r="http://schemas.openxmlformats.org/officeDocument/2006/relationships" ref="I1078" r:id="rId3121"/>
    <hyperlink xmlns:r="http://schemas.openxmlformats.org/officeDocument/2006/relationships" ref="J1078" r:id="rId3122"/>
    <hyperlink xmlns:r="http://schemas.openxmlformats.org/officeDocument/2006/relationships" ref="K1078" r:id="rId3123"/>
    <hyperlink xmlns:r="http://schemas.openxmlformats.org/officeDocument/2006/relationships" ref="I1079" r:id="rId3124"/>
    <hyperlink xmlns:r="http://schemas.openxmlformats.org/officeDocument/2006/relationships" ref="J1079" r:id="rId3125"/>
    <hyperlink xmlns:r="http://schemas.openxmlformats.org/officeDocument/2006/relationships" ref="K1079" r:id="rId3126"/>
    <hyperlink xmlns:r="http://schemas.openxmlformats.org/officeDocument/2006/relationships" ref="I1080" r:id="rId3127"/>
    <hyperlink xmlns:r="http://schemas.openxmlformats.org/officeDocument/2006/relationships" ref="J1080" r:id="rId3128"/>
    <hyperlink xmlns:r="http://schemas.openxmlformats.org/officeDocument/2006/relationships" ref="K1080" r:id="rId3129"/>
    <hyperlink xmlns:r="http://schemas.openxmlformats.org/officeDocument/2006/relationships" ref="I1081" r:id="rId3130"/>
    <hyperlink xmlns:r="http://schemas.openxmlformats.org/officeDocument/2006/relationships" ref="J1081" r:id="rId3131"/>
    <hyperlink xmlns:r="http://schemas.openxmlformats.org/officeDocument/2006/relationships" ref="K1081" r:id="rId3132"/>
    <hyperlink xmlns:r="http://schemas.openxmlformats.org/officeDocument/2006/relationships" ref="I1082" r:id="rId3133"/>
    <hyperlink xmlns:r="http://schemas.openxmlformats.org/officeDocument/2006/relationships" ref="J1082" r:id="rId3134"/>
    <hyperlink xmlns:r="http://schemas.openxmlformats.org/officeDocument/2006/relationships" ref="K1082" r:id="rId3135"/>
    <hyperlink xmlns:r="http://schemas.openxmlformats.org/officeDocument/2006/relationships" ref="I1083" r:id="rId3136"/>
    <hyperlink xmlns:r="http://schemas.openxmlformats.org/officeDocument/2006/relationships" ref="J1083" r:id="rId3137"/>
    <hyperlink xmlns:r="http://schemas.openxmlformats.org/officeDocument/2006/relationships" ref="K1083" r:id="rId3138"/>
    <hyperlink xmlns:r="http://schemas.openxmlformats.org/officeDocument/2006/relationships" ref="I1084" r:id="rId3139"/>
    <hyperlink xmlns:r="http://schemas.openxmlformats.org/officeDocument/2006/relationships" ref="J1084" r:id="rId3140"/>
    <hyperlink xmlns:r="http://schemas.openxmlformats.org/officeDocument/2006/relationships" ref="K1084" r:id="rId3141"/>
    <hyperlink xmlns:r="http://schemas.openxmlformats.org/officeDocument/2006/relationships" ref="I1085" r:id="rId3142"/>
    <hyperlink xmlns:r="http://schemas.openxmlformats.org/officeDocument/2006/relationships" ref="J1085" r:id="rId3143"/>
    <hyperlink xmlns:r="http://schemas.openxmlformats.org/officeDocument/2006/relationships" ref="K1085" r:id="rId3144"/>
    <hyperlink xmlns:r="http://schemas.openxmlformats.org/officeDocument/2006/relationships" ref="I1086" r:id="rId3145"/>
    <hyperlink xmlns:r="http://schemas.openxmlformats.org/officeDocument/2006/relationships" ref="J1086" r:id="rId3146"/>
    <hyperlink xmlns:r="http://schemas.openxmlformats.org/officeDocument/2006/relationships" ref="K1086" r:id="rId3147"/>
    <hyperlink xmlns:r="http://schemas.openxmlformats.org/officeDocument/2006/relationships" ref="I1087" r:id="rId3148"/>
    <hyperlink xmlns:r="http://schemas.openxmlformats.org/officeDocument/2006/relationships" ref="J1087" r:id="rId3149"/>
    <hyperlink xmlns:r="http://schemas.openxmlformats.org/officeDocument/2006/relationships" ref="K1087" r:id="rId3150"/>
    <hyperlink xmlns:r="http://schemas.openxmlformats.org/officeDocument/2006/relationships" ref="I1088" r:id="rId3151"/>
    <hyperlink xmlns:r="http://schemas.openxmlformats.org/officeDocument/2006/relationships" ref="J1088" r:id="rId3152"/>
    <hyperlink xmlns:r="http://schemas.openxmlformats.org/officeDocument/2006/relationships" ref="K1088" r:id="rId3153"/>
    <hyperlink xmlns:r="http://schemas.openxmlformats.org/officeDocument/2006/relationships" ref="I1089" r:id="rId3154"/>
    <hyperlink xmlns:r="http://schemas.openxmlformats.org/officeDocument/2006/relationships" ref="J1089" r:id="rId3155"/>
    <hyperlink xmlns:r="http://schemas.openxmlformats.org/officeDocument/2006/relationships" ref="K1089" r:id="rId3156"/>
    <hyperlink xmlns:r="http://schemas.openxmlformats.org/officeDocument/2006/relationships" ref="I1090" r:id="rId3157"/>
    <hyperlink xmlns:r="http://schemas.openxmlformats.org/officeDocument/2006/relationships" ref="J1090" r:id="rId3158"/>
    <hyperlink xmlns:r="http://schemas.openxmlformats.org/officeDocument/2006/relationships" ref="K1090" r:id="rId3159"/>
    <hyperlink xmlns:r="http://schemas.openxmlformats.org/officeDocument/2006/relationships" ref="I1091" r:id="rId3160"/>
    <hyperlink xmlns:r="http://schemas.openxmlformats.org/officeDocument/2006/relationships" ref="J1091" r:id="rId3161"/>
    <hyperlink xmlns:r="http://schemas.openxmlformats.org/officeDocument/2006/relationships" ref="K1091" r:id="rId3162"/>
    <hyperlink xmlns:r="http://schemas.openxmlformats.org/officeDocument/2006/relationships" ref="I1092" r:id="rId3163"/>
    <hyperlink xmlns:r="http://schemas.openxmlformats.org/officeDocument/2006/relationships" ref="J1092" r:id="rId3164"/>
    <hyperlink xmlns:r="http://schemas.openxmlformats.org/officeDocument/2006/relationships" ref="K1092" r:id="rId3165"/>
    <hyperlink xmlns:r="http://schemas.openxmlformats.org/officeDocument/2006/relationships" ref="I1093" r:id="rId3166"/>
    <hyperlink xmlns:r="http://schemas.openxmlformats.org/officeDocument/2006/relationships" ref="J1093" r:id="rId3167"/>
    <hyperlink xmlns:r="http://schemas.openxmlformats.org/officeDocument/2006/relationships" ref="K1093" r:id="rId3168"/>
    <hyperlink xmlns:r="http://schemas.openxmlformats.org/officeDocument/2006/relationships" ref="I1094" r:id="rId3169"/>
    <hyperlink xmlns:r="http://schemas.openxmlformats.org/officeDocument/2006/relationships" ref="J1094" r:id="rId3170"/>
    <hyperlink xmlns:r="http://schemas.openxmlformats.org/officeDocument/2006/relationships" ref="K1094" r:id="rId3171"/>
    <hyperlink xmlns:r="http://schemas.openxmlformats.org/officeDocument/2006/relationships" ref="I1095" r:id="rId3172"/>
    <hyperlink xmlns:r="http://schemas.openxmlformats.org/officeDocument/2006/relationships" ref="J1095" r:id="rId3173"/>
    <hyperlink xmlns:r="http://schemas.openxmlformats.org/officeDocument/2006/relationships" ref="K1095" r:id="rId3174"/>
    <hyperlink xmlns:r="http://schemas.openxmlformats.org/officeDocument/2006/relationships" ref="I1096" r:id="rId3175"/>
    <hyperlink xmlns:r="http://schemas.openxmlformats.org/officeDocument/2006/relationships" ref="J1096" r:id="rId3176"/>
    <hyperlink xmlns:r="http://schemas.openxmlformats.org/officeDocument/2006/relationships" ref="K1096" r:id="rId3177"/>
    <hyperlink xmlns:r="http://schemas.openxmlformats.org/officeDocument/2006/relationships" ref="I1097" r:id="rId3178"/>
    <hyperlink xmlns:r="http://schemas.openxmlformats.org/officeDocument/2006/relationships" ref="J1097" r:id="rId3179"/>
    <hyperlink xmlns:r="http://schemas.openxmlformats.org/officeDocument/2006/relationships" ref="K1097" r:id="rId3180"/>
    <hyperlink xmlns:r="http://schemas.openxmlformats.org/officeDocument/2006/relationships" ref="I1098" r:id="rId3181"/>
    <hyperlink xmlns:r="http://schemas.openxmlformats.org/officeDocument/2006/relationships" ref="J1098" r:id="rId3182"/>
    <hyperlink xmlns:r="http://schemas.openxmlformats.org/officeDocument/2006/relationships" ref="K1098" r:id="rId3183"/>
    <hyperlink xmlns:r="http://schemas.openxmlformats.org/officeDocument/2006/relationships" ref="I1099" r:id="rId3184"/>
    <hyperlink xmlns:r="http://schemas.openxmlformats.org/officeDocument/2006/relationships" ref="J1099" r:id="rId3185"/>
    <hyperlink xmlns:r="http://schemas.openxmlformats.org/officeDocument/2006/relationships" ref="K1099" r:id="rId3186"/>
    <hyperlink xmlns:r="http://schemas.openxmlformats.org/officeDocument/2006/relationships" ref="I1100" r:id="rId3187"/>
    <hyperlink xmlns:r="http://schemas.openxmlformats.org/officeDocument/2006/relationships" ref="J1100" r:id="rId3188"/>
    <hyperlink xmlns:r="http://schemas.openxmlformats.org/officeDocument/2006/relationships" ref="K1100" r:id="rId3189"/>
    <hyperlink xmlns:r="http://schemas.openxmlformats.org/officeDocument/2006/relationships" ref="I1101" r:id="rId3190"/>
    <hyperlink xmlns:r="http://schemas.openxmlformats.org/officeDocument/2006/relationships" ref="J1101" r:id="rId3191"/>
    <hyperlink xmlns:r="http://schemas.openxmlformats.org/officeDocument/2006/relationships" ref="K1101" r:id="rId3192"/>
    <hyperlink xmlns:r="http://schemas.openxmlformats.org/officeDocument/2006/relationships" ref="I1102" r:id="rId3193"/>
    <hyperlink xmlns:r="http://schemas.openxmlformats.org/officeDocument/2006/relationships" ref="J1102" r:id="rId3194"/>
    <hyperlink xmlns:r="http://schemas.openxmlformats.org/officeDocument/2006/relationships" ref="K1102" r:id="rId3195"/>
    <hyperlink xmlns:r="http://schemas.openxmlformats.org/officeDocument/2006/relationships" ref="I1103" r:id="rId3196"/>
    <hyperlink xmlns:r="http://schemas.openxmlformats.org/officeDocument/2006/relationships" ref="J1103" r:id="rId3197"/>
    <hyperlink xmlns:r="http://schemas.openxmlformats.org/officeDocument/2006/relationships" ref="K1103" r:id="rId3198"/>
    <hyperlink xmlns:r="http://schemas.openxmlformats.org/officeDocument/2006/relationships" ref="I1104" r:id="rId3199"/>
    <hyperlink xmlns:r="http://schemas.openxmlformats.org/officeDocument/2006/relationships" ref="J1104" r:id="rId3200"/>
    <hyperlink xmlns:r="http://schemas.openxmlformats.org/officeDocument/2006/relationships" ref="K1104" r:id="rId3201"/>
    <hyperlink xmlns:r="http://schemas.openxmlformats.org/officeDocument/2006/relationships" ref="I1105" r:id="rId3202"/>
    <hyperlink xmlns:r="http://schemas.openxmlformats.org/officeDocument/2006/relationships" ref="J1105" r:id="rId3203"/>
    <hyperlink xmlns:r="http://schemas.openxmlformats.org/officeDocument/2006/relationships" ref="K1105" r:id="rId3204"/>
    <hyperlink xmlns:r="http://schemas.openxmlformats.org/officeDocument/2006/relationships" ref="I1106" r:id="rId3205"/>
    <hyperlink xmlns:r="http://schemas.openxmlformats.org/officeDocument/2006/relationships" ref="J1106" r:id="rId3206"/>
    <hyperlink xmlns:r="http://schemas.openxmlformats.org/officeDocument/2006/relationships" ref="I1107" r:id="rId3207"/>
    <hyperlink xmlns:r="http://schemas.openxmlformats.org/officeDocument/2006/relationships" ref="J1107" r:id="rId3208"/>
    <hyperlink xmlns:r="http://schemas.openxmlformats.org/officeDocument/2006/relationships" ref="I1108" r:id="rId3209"/>
    <hyperlink xmlns:r="http://schemas.openxmlformats.org/officeDocument/2006/relationships" ref="J1108" r:id="rId3210"/>
    <hyperlink xmlns:r="http://schemas.openxmlformats.org/officeDocument/2006/relationships" ref="I1109" r:id="rId3211"/>
    <hyperlink xmlns:r="http://schemas.openxmlformats.org/officeDocument/2006/relationships" ref="J1109" r:id="rId3212"/>
    <hyperlink xmlns:r="http://schemas.openxmlformats.org/officeDocument/2006/relationships" ref="I1110" r:id="rId3213"/>
    <hyperlink xmlns:r="http://schemas.openxmlformats.org/officeDocument/2006/relationships" ref="J1110" r:id="rId3214"/>
    <hyperlink xmlns:r="http://schemas.openxmlformats.org/officeDocument/2006/relationships" ref="I1111" r:id="rId3215"/>
    <hyperlink xmlns:r="http://schemas.openxmlformats.org/officeDocument/2006/relationships" ref="J1111" r:id="rId3216"/>
    <hyperlink xmlns:r="http://schemas.openxmlformats.org/officeDocument/2006/relationships" ref="I1112" r:id="rId3217"/>
    <hyperlink xmlns:r="http://schemas.openxmlformats.org/officeDocument/2006/relationships" ref="J1112" r:id="rId3218"/>
    <hyperlink xmlns:r="http://schemas.openxmlformats.org/officeDocument/2006/relationships" ref="I1113" r:id="rId3219"/>
    <hyperlink xmlns:r="http://schemas.openxmlformats.org/officeDocument/2006/relationships" ref="J1113" r:id="rId3220"/>
    <hyperlink xmlns:r="http://schemas.openxmlformats.org/officeDocument/2006/relationships" ref="K1113" r:id="rId3221"/>
    <hyperlink xmlns:r="http://schemas.openxmlformats.org/officeDocument/2006/relationships" ref="I1114" r:id="rId3222"/>
    <hyperlink xmlns:r="http://schemas.openxmlformats.org/officeDocument/2006/relationships" ref="J1114" r:id="rId3223"/>
    <hyperlink xmlns:r="http://schemas.openxmlformats.org/officeDocument/2006/relationships" ref="K1114" r:id="rId3224"/>
    <hyperlink xmlns:r="http://schemas.openxmlformats.org/officeDocument/2006/relationships" ref="I1115" r:id="rId3225"/>
    <hyperlink xmlns:r="http://schemas.openxmlformats.org/officeDocument/2006/relationships" ref="J1115" r:id="rId3226"/>
    <hyperlink xmlns:r="http://schemas.openxmlformats.org/officeDocument/2006/relationships" ref="K1115" r:id="rId3227"/>
    <hyperlink xmlns:r="http://schemas.openxmlformats.org/officeDocument/2006/relationships" ref="I1116" r:id="rId3228"/>
    <hyperlink xmlns:r="http://schemas.openxmlformats.org/officeDocument/2006/relationships" ref="J1116" r:id="rId3229"/>
    <hyperlink xmlns:r="http://schemas.openxmlformats.org/officeDocument/2006/relationships" ref="K1116" r:id="rId3230"/>
    <hyperlink xmlns:r="http://schemas.openxmlformats.org/officeDocument/2006/relationships" ref="I1117" r:id="rId3231"/>
    <hyperlink xmlns:r="http://schemas.openxmlformats.org/officeDocument/2006/relationships" ref="J1117" r:id="rId3232"/>
    <hyperlink xmlns:r="http://schemas.openxmlformats.org/officeDocument/2006/relationships" ref="K1117" r:id="rId3233"/>
    <hyperlink xmlns:r="http://schemas.openxmlformats.org/officeDocument/2006/relationships" ref="I1118" r:id="rId3234"/>
    <hyperlink xmlns:r="http://schemas.openxmlformats.org/officeDocument/2006/relationships" ref="J1118" r:id="rId3235"/>
    <hyperlink xmlns:r="http://schemas.openxmlformats.org/officeDocument/2006/relationships" ref="K1118" r:id="rId3236"/>
    <hyperlink xmlns:r="http://schemas.openxmlformats.org/officeDocument/2006/relationships" ref="I1119" r:id="rId3237"/>
    <hyperlink xmlns:r="http://schemas.openxmlformats.org/officeDocument/2006/relationships" ref="J1119" r:id="rId3238"/>
    <hyperlink xmlns:r="http://schemas.openxmlformats.org/officeDocument/2006/relationships" ref="K1119" r:id="rId3239"/>
    <hyperlink xmlns:r="http://schemas.openxmlformats.org/officeDocument/2006/relationships" ref="I1120" r:id="rId3240"/>
    <hyperlink xmlns:r="http://schemas.openxmlformats.org/officeDocument/2006/relationships" ref="J1120" r:id="rId3241"/>
    <hyperlink xmlns:r="http://schemas.openxmlformats.org/officeDocument/2006/relationships" ref="K1120" r:id="rId3242"/>
    <hyperlink xmlns:r="http://schemas.openxmlformats.org/officeDocument/2006/relationships" ref="I1121" r:id="rId3243"/>
    <hyperlink xmlns:r="http://schemas.openxmlformats.org/officeDocument/2006/relationships" ref="J1121" r:id="rId3244"/>
    <hyperlink xmlns:r="http://schemas.openxmlformats.org/officeDocument/2006/relationships" ref="K1121" r:id="rId3245"/>
    <hyperlink xmlns:r="http://schemas.openxmlformats.org/officeDocument/2006/relationships" ref="I1122" r:id="rId3246"/>
    <hyperlink xmlns:r="http://schemas.openxmlformats.org/officeDocument/2006/relationships" ref="J1122" r:id="rId3247"/>
    <hyperlink xmlns:r="http://schemas.openxmlformats.org/officeDocument/2006/relationships" ref="K1122" r:id="rId3248"/>
    <hyperlink xmlns:r="http://schemas.openxmlformats.org/officeDocument/2006/relationships" ref="I1123" r:id="rId3249"/>
    <hyperlink xmlns:r="http://schemas.openxmlformats.org/officeDocument/2006/relationships" ref="J1123" r:id="rId3250"/>
    <hyperlink xmlns:r="http://schemas.openxmlformats.org/officeDocument/2006/relationships" ref="K1123" r:id="rId3251"/>
    <hyperlink xmlns:r="http://schemas.openxmlformats.org/officeDocument/2006/relationships" ref="I1124" r:id="rId3252"/>
    <hyperlink xmlns:r="http://schemas.openxmlformats.org/officeDocument/2006/relationships" ref="J1124" r:id="rId3253"/>
    <hyperlink xmlns:r="http://schemas.openxmlformats.org/officeDocument/2006/relationships" ref="K1124" r:id="rId3254"/>
    <hyperlink xmlns:r="http://schemas.openxmlformats.org/officeDocument/2006/relationships" ref="I1125" r:id="rId3255"/>
    <hyperlink xmlns:r="http://schemas.openxmlformats.org/officeDocument/2006/relationships" ref="J1125" r:id="rId3256"/>
    <hyperlink xmlns:r="http://schemas.openxmlformats.org/officeDocument/2006/relationships" ref="K1125" r:id="rId3257"/>
    <hyperlink xmlns:r="http://schemas.openxmlformats.org/officeDocument/2006/relationships" ref="I1126" r:id="rId3258"/>
    <hyperlink xmlns:r="http://schemas.openxmlformats.org/officeDocument/2006/relationships" ref="J1126" r:id="rId3259"/>
    <hyperlink xmlns:r="http://schemas.openxmlformats.org/officeDocument/2006/relationships" ref="K1126" r:id="rId3260"/>
    <hyperlink xmlns:r="http://schemas.openxmlformats.org/officeDocument/2006/relationships" ref="I1127" r:id="rId3261"/>
    <hyperlink xmlns:r="http://schemas.openxmlformats.org/officeDocument/2006/relationships" ref="J1127" r:id="rId3262"/>
    <hyperlink xmlns:r="http://schemas.openxmlformats.org/officeDocument/2006/relationships" ref="K1127" r:id="rId3263"/>
    <hyperlink xmlns:r="http://schemas.openxmlformats.org/officeDocument/2006/relationships" ref="I1128" r:id="rId3264"/>
    <hyperlink xmlns:r="http://schemas.openxmlformats.org/officeDocument/2006/relationships" ref="J1128" r:id="rId3265"/>
    <hyperlink xmlns:r="http://schemas.openxmlformats.org/officeDocument/2006/relationships" ref="K1128" r:id="rId3266"/>
    <hyperlink xmlns:r="http://schemas.openxmlformats.org/officeDocument/2006/relationships" ref="I1129" r:id="rId3267"/>
    <hyperlink xmlns:r="http://schemas.openxmlformats.org/officeDocument/2006/relationships" ref="J1129" r:id="rId3268"/>
    <hyperlink xmlns:r="http://schemas.openxmlformats.org/officeDocument/2006/relationships" ref="K1129" r:id="rId3269"/>
    <hyperlink xmlns:r="http://schemas.openxmlformats.org/officeDocument/2006/relationships" ref="I1130" r:id="rId3270"/>
    <hyperlink xmlns:r="http://schemas.openxmlformats.org/officeDocument/2006/relationships" ref="J1130" r:id="rId3271"/>
    <hyperlink xmlns:r="http://schemas.openxmlformats.org/officeDocument/2006/relationships" ref="K1130" r:id="rId3272"/>
    <hyperlink xmlns:r="http://schemas.openxmlformats.org/officeDocument/2006/relationships" ref="I1131" r:id="rId3273"/>
    <hyperlink xmlns:r="http://schemas.openxmlformats.org/officeDocument/2006/relationships" ref="J1131" r:id="rId3274"/>
    <hyperlink xmlns:r="http://schemas.openxmlformats.org/officeDocument/2006/relationships" ref="K1131" r:id="rId3275"/>
    <hyperlink xmlns:r="http://schemas.openxmlformats.org/officeDocument/2006/relationships" ref="I1132" r:id="rId3276"/>
    <hyperlink xmlns:r="http://schemas.openxmlformats.org/officeDocument/2006/relationships" ref="J1132" r:id="rId3277"/>
    <hyperlink xmlns:r="http://schemas.openxmlformats.org/officeDocument/2006/relationships" ref="K1132" r:id="rId3278"/>
    <hyperlink xmlns:r="http://schemas.openxmlformats.org/officeDocument/2006/relationships" ref="I1133" r:id="rId3279"/>
    <hyperlink xmlns:r="http://schemas.openxmlformats.org/officeDocument/2006/relationships" ref="J1133" r:id="rId3280"/>
    <hyperlink xmlns:r="http://schemas.openxmlformats.org/officeDocument/2006/relationships" ref="K1133" r:id="rId3281"/>
    <hyperlink xmlns:r="http://schemas.openxmlformats.org/officeDocument/2006/relationships" ref="I1134" r:id="rId3282"/>
    <hyperlink xmlns:r="http://schemas.openxmlformats.org/officeDocument/2006/relationships" ref="J1134" r:id="rId3283"/>
    <hyperlink xmlns:r="http://schemas.openxmlformats.org/officeDocument/2006/relationships" ref="K1134" r:id="rId3284"/>
    <hyperlink xmlns:r="http://schemas.openxmlformats.org/officeDocument/2006/relationships" ref="I1135" r:id="rId3285"/>
    <hyperlink xmlns:r="http://schemas.openxmlformats.org/officeDocument/2006/relationships" ref="J1135" r:id="rId3286"/>
    <hyperlink xmlns:r="http://schemas.openxmlformats.org/officeDocument/2006/relationships" ref="K1135" r:id="rId3287"/>
    <hyperlink xmlns:r="http://schemas.openxmlformats.org/officeDocument/2006/relationships" ref="I1136" r:id="rId3288"/>
    <hyperlink xmlns:r="http://schemas.openxmlformats.org/officeDocument/2006/relationships" ref="J1136" r:id="rId3289"/>
    <hyperlink xmlns:r="http://schemas.openxmlformats.org/officeDocument/2006/relationships" ref="K1136" r:id="rId3290"/>
    <hyperlink xmlns:r="http://schemas.openxmlformats.org/officeDocument/2006/relationships" ref="I1137" r:id="rId3291"/>
    <hyperlink xmlns:r="http://schemas.openxmlformats.org/officeDocument/2006/relationships" ref="J1137" r:id="rId3292"/>
    <hyperlink xmlns:r="http://schemas.openxmlformats.org/officeDocument/2006/relationships" ref="K1137" r:id="rId3293"/>
    <hyperlink xmlns:r="http://schemas.openxmlformats.org/officeDocument/2006/relationships" ref="I1138" r:id="rId3294"/>
    <hyperlink xmlns:r="http://schemas.openxmlformats.org/officeDocument/2006/relationships" ref="J1138" r:id="rId3295"/>
    <hyperlink xmlns:r="http://schemas.openxmlformats.org/officeDocument/2006/relationships" ref="K1138" r:id="rId3296"/>
    <hyperlink xmlns:r="http://schemas.openxmlformats.org/officeDocument/2006/relationships" ref="I1139" r:id="rId3297"/>
    <hyperlink xmlns:r="http://schemas.openxmlformats.org/officeDocument/2006/relationships" ref="J1139" r:id="rId3298"/>
    <hyperlink xmlns:r="http://schemas.openxmlformats.org/officeDocument/2006/relationships" ref="K1139" r:id="rId3299"/>
    <hyperlink xmlns:r="http://schemas.openxmlformats.org/officeDocument/2006/relationships" ref="I1140" r:id="rId3300"/>
    <hyperlink xmlns:r="http://schemas.openxmlformats.org/officeDocument/2006/relationships" ref="J1140" r:id="rId3301"/>
    <hyperlink xmlns:r="http://schemas.openxmlformats.org/officeDocument/2006/relationships" ref="K1140" r:id="rId3302"/>
    <hyperlink xmlns:r="http://schemas.openxmlformats.org/officeDocument/2006/relationships" ref="I1141" r:id="rId3303"/>
    <hyperlink xmlns:r="http://schemas.openxmlformats.org/officeDocument/2006/relationships" ref="J1141" r:id="rId3304"/>
    <hyperlink xmlns:r="http://schemas.openxmlformats.org/officeDocument/2006/relationships" ref="K1141" r:id="rId3305"/>
    <hyperlink xmlns:r="http://schemas.openxmlformats.org/officeDocument/2006/relationships" ref="I1142" r:id="rId3306"/>
    <hyperlink xmlns:r="http://schemas.openxmlformats.org/officeDocument/2006/relationships" ref="J1142" r:id="rId3307"/>
    <hyperlink xmlns:r="http://schemas.openxmlformats.org/officeDocument/2006/relationships" ref="K1142" r:id="rId3308"/>
    <hyperlink xmlns:r="http://schemas.openxmlformats.org/officeDocument/2006/relationships" ref="I1143" r:id="rId3309"/>
    <hyperlink xmlns:r="http://schemas.openxmlformats.org/officeDocument/2006/relationships" ref="J1143" r:id="rId3310"/>
    <hyperlink xmlns:r="http://schemas.openxmlformats.org/officeDocument/2006/relationships" ref="K1143" r:id="rId3311"/>
    <hyperlink xmlns:r="http://schemas.openxmlformats.org/officeDocument/2006/relationships" ref="I1144" r:id="rId3312"/>
    <hyperlink xmlns:r="http://schemas.openxmlformats.org/officeDocument/2006/relationships" ref="J1144" r:id="rId3313"/>
    <hyperlink xmlns:r="http://schemas.openxmlformats.org/officeDocument/2006/relationships" ref="K1144" r:id="rId3314"/>
    <hyperlink xmlns:r="http://schemas.openxmlformats.org/officeDocument/2006/relationships" ref="I1145" r:id="rId3315"/>
    <hyperlink xmlns:r="http://schemas.openxmlformats.org/officeDocument/2006/relationships" ref="J1145" r:id="rId3316"/>
    <hyperlink xmlns:r="http://schemas.openxmlformats.org/officeDocument/2006/relationships" ref="K1145" r:id="rId3317"/>
    <hyperlink xmlns:r="http://schemas.openxmlformats.org/officeDocument/2006/relationships" ref="I1146" r:id="rId3318"/>
    <hyperlink xmlns:r="http://schemas.openxmlformats.org/officeDocument/2006/relationships" ref="J1146" r:id="rId3319"/>
    <hyperlink xmlns:r="http://schemas.openxmlformats.org/officeDocument/2006/relationships" ref="K1146" r:id="rId3320"/>
    <hyperlink xmlns:r="http://schemas.openxmlformats.org/officeDocument/2006/relationships" ref="I1147" r:id="rId3321"/>
    <hyperlink xmlns:r="http://schemas.openxmlformats.org/officeDocument/2006/relationships" ref="J1147" r:id="rId3322"/>
    <hyperlink xmlns:r="http://schemas.openxmlformats.org/officeDocument/2006/relationships" ref="K1147" r:id="rId3323"/>
    <hyperlink xmlns:r="http://schemas.openxmlformats.org/officeDocument/2006/relationships" ref="I1148" r:id="rId3324"/>
    <hyperlink xmlns:r="http://schemas.openxmlformats.org/officeDocument/2006/relationships" ref="J1148" r:id="rId3325"/>
    <hyperlink xmlns:r="http://schemas.openxmlformats.org/officeDocument/2006/relationships" ref="K1148" r:id="rId3326"/>
    <hyperlink xmlns:r="http://schemas.openxmlformats.org/officeDocument/2006/relationships" ref="I1149" r:id="rId3327"/>
    <hyperlink xmlns:r="http://schemas.openxmlformats.org/officeDocument/2006/relationships" ref="J1149" r:id="rId3328"/>
    <hyperlink xmlns:r="http://schemas.openxmlformats.org/officeDocument/2006/relationships" ref="K1149" r:id="rId3329"/>
    <hyperlink xmlns:r="http://schemas.openxmlformats.org/officeDocument/2006/relationships" ref="I1150" r:id="rId3330"/>
    <hyperlink xmlns:r="http://schemas.openxmlformats.org/officeDocument/2006/relationships" ref="J1150" r:id="rId3331"/>
    <hyperlink xmlns:r="http://schemas.openxmlformats.org/officeDocument/2006/relationships" ref="K1150" r:id="rId3332"/>
    <hyperlink xmlns:r="http://schemas.openxmlformats.org/officeDocument/2006/relationships" ref="I1151" r:id="rId3333"/>
    <hyperlink xmlns:r="http://schemas.openxmlformats.org/officeDocument/2006/relationships" ref="J1151" r:id="rId3334"/>
    <hyperlink xmlns:r="http://schemas.openxmlformats.org/officeDocument/2006/relationships" ref="K1151" r:id="rId3335"/>
    <hyperlink xmlns:r="http://schemas.openxmlformats.org/officeDocument/2006/relationships" ref="I1152" r:id="rId3336"/>
    <hyperlink xmlns:r="http://schemas.openxmlformats.org/officeDocument/2006/relationships" ref="J1152" r:id="rId3337"/>
    <hyperlink xmlns:r="http://schemas.openxmlformats.org/officeDocument/2006/relationships" ref="K1152" r:id="rId3338"/>
    <hyperlink xmlns:r="http://schemas.openxmlformats.org/officeDocument/2006/relationships" ref="I1153" r:id="rId3339"/>
    <hyperlink xmlns:r="http://schemas.openxmlformats.org/officeDocument/2006/relationships" ref="J1153" r:id="rId3340"/>
    <hyperlink xmlns:r="http://schemas.openxmlformats.org/officeDocument/2006/relationships" ref="K1153" r:id="rId3341"/>
    <hyperlink xmlns:r="http://schemas.openxmlformats.org/officeDocument/2006/relationships" ref="I1154" r:id="rId3342"/>
    <hyperlink xmlns:r="http://schemas.openxmlformats.org/officeDocument/2006/relationships" ref="J1154" r:id="rId3343"/>
    <hyperlink xmlns:r="http://schemas.openxmlformats.org/officeDocument/2006/relationships" ref="K1154" r:id="rId3344"/>
    <hyperlink xmlns:r="http://schemas.openxmlformats.org/officeDocument/2006/relationships" ref="I1155" r:id="rId3345"/>
    <hyperlink xmlns:r="http://schemas.openxmlformats.org/officeDocument/2006/relationships" ref="J1155" r:id="rId3346"/>
    <hyperlink xmlns:r="http://schemas.openxmlformats.org/officeDocument/2006/relationships" ref="K1155" r:id="rId3347"/>
    <hyperlink xmlns:r="http://schemas.openxmlformats.org/officeDocument/2006/relationships" ref="I1156" r:id="rId3348"/>
    <hyperlink xmlns:r="http://schemas.openxmlformats.org/officeDocument/2006/relationships" ref="J1156" r:id="rId3349"/>
    <hyperlink xmlns:r="http://schemas.openxmlformats.org/officeDocument/2006/relationships" ref="K1156" r:id="rId3350"/>
    <hyperlink xmlns:r="http://schemas.openxmlformats.org/officeDocument/2006/relationships" ref="I1157" r:id="rId3351"/>
    <hyperlink xmlns:r="http://schemas.openxmlformats.org/officeDocument/2006/relationships" ref="J1157" r:id="rId3352"/>
    <hyperlink xmlns:r="http://schemas.openxmlformats.org/officeDocument/2006/relationships" ref="K1157" r:id="rId3353"/>
    <hyperlink xmlns:r="http://schemas.openxmlformats.org/officeDocument/2006/relationships" ref="I1158" r:id="rId3354"/>
    <hyperlink xmlns:r="http://schemas.openxmlformats.org/officeDocument/2006/relationships" ref="J1158" r:id="rId3355"/>
    <hyperlink xmlns:r="http://schemas.openxmlformats.org/officeDocument/2006/relationships" ref="K1158" r:id="rId3356"/>
    <hyperlink xmlns:r="http://schemas.openxmlformats.org/officeDocument/2006/relationships" ref="I1159" r:id="rId3357"/>
    <hyperlink xmlns:r="http://schemas.openxmlformats.org/officeDocument/2006/relationships" ref="J1159" r:id="rId3358"/>
    <hyperlink xmlns:r="http://schemas.openxmlformats.org/officeDocument/2006/relationships" ref="K1159" r:id="rId3359"/>
    <hyperlink xmlns:r="http://schemas.openxmlformats.org/officeDocument/2006/relationships" ref="I1160" r:id="rId3360"/>
    <hyperlink xmlns:r="http://schemas.openxmlformats.org/officeDocument/2006/relationships" ref="J1160" r:id="rId3361"/>
    <hyperlink xmlns:r="http://schemas.openxmlformats.org/officeDocument/2006/relationships" ref="K1160" r:id="rId3362"/>
    <hyperlink xmlns:r="http://schemas.openxmlformats.org/officeDocument/2006/relationships" ref="I1161" r:id="rId3363"/>
    <hyperlink xmlns:r="http://schemas.openxmlformats.org/officeDocument/2006/relationships" ref="J1161" r:id="rId3364"/>
    <hyperlink xmlns:r="http://schemas.openxmlformats.org/officeDocument/2006/relationships" ref="K1161" r:id="rId3365"/>
    <hyperlink xmlns:r="http://schemas.openxmlformats.org/officeDocument/2006/relationships" ref="I1162" r:id="rId3366"/>
    <hyperlink xmlns:r="http://schemas.openxmlformats.org/officeDocument/2006/relationships" ref="J1162" r:id="rId3367"/>
    <hyperlink xmlns:r="http://schemas.openxmlformats.org/officeDocument/2006/relationships" ref="K1162" r:id="rId3368"/>
    <hyperlink xmlns:r="http://schemas.openxmlformats.org/officeDocument/2006/relationships" ref="I1163" r:id="rId3369"/>
    <hyperlink xmlns:r="http://schemas.openxmlformats.org/officeDocument/2006/relationships" ref="J1163" r:id="rId3370"/>
    <hyperlink xmlns:r="http://schemas.openxmlformats.org/officeDocument/2006/relationships" ref="K1163" r:id="rId3371"/>
    <hyperlink xmlns:r="http://schemas.openxmlformats.org/officeDocument/2006/relationships" ref="I1164" r:id="rId3372"/>
    <hyperlink xmlns:r="http://schemas.openxmlformats.org/officeDocument/2006/relationships" ref="J1164" r:id="rId3373"/>
    <hyperlink xmlns:r="http://schemas.openxmlformats.org/officeDocument/2006/relationships" ref="K1164" r:id="rId3374"/>
    <hyperlink xmlns:r="http://schemas.openxmlformats.org/officeDocument/2006/relationships" ref="I1165" r:id="rId3375"/>
    <hyperlink xmlns:r="http://schemas.openxmlformats.org/officeDocument/2006/relationships" ref="J1165" r:id="rId3376"/>
    <hyperlink xmlns:r="http://schemas.openxmlformats.org/officeDocument/2006/relationships" ref="K1165" r:id="rId3377"/>
    <hyperlink xmlns:r="http://schemas.openxmlformats.org/officeDocument/2006/relationships" ref="I1166" r:id="rId3378"/>
    <hyperlink xmlns:r="http://schemas.openxmlformats.org/officeDocument/2006/relationships" ref="J1166" r:id="rId3379"/>
    <hyperlink xmlns:r="http://schemas.openxmlformats.org/officeDocument/2006/relationships" ref="K1166" r:id="rId3380"/>
    <hyperlink xmlns:r="http://schemas.openxmlformats.org/officeDocument/2006/relationships" ref="I1167" r:id="rId3381"/>
    <hyperlink xmlns:r="http://schemas.openxmlformats.org/officeDocument/2006/relationships" ref="J1167" r:id="rId3382"/>
    <hyperlink xmlns:r="http://schemas.openxmlformats.org/officeDocument/2006/relationships" ref="K1167" r:id="rId3383"/>
    <hyperlink xmlns:r="http://schemas.openxmlformats.org/officeDocument/2006/relationships" ref="I1168" r:id="rId3384"/>
    <hyperlink xmlns:r="http://schemas.openxmlformats.org/officeDocument/2006/relationships" ref="J1168" r:id="rId3385"/>
    <hyperlink xmlns:r="http://schemas.openxmlformats.org/officeDocument/2006/relationships" ref="K1168" r:id="rId3386"/>
    <hyperlink xmlns:r="http://schemas.openxmlformats.org/officeDocument/2006/relationships" ref="I1169" r:id="rId3387"/>
    <hyperlink xmlns:r="http://schemas.openxmlformats.org/officeDocument/2006/relationships" ref="J1169" r:id="rId3388"/>
    <hyperlink xmlns:r="http://schemas.openxmlformats.org/officeDocument/2006/relationships" ref="K1169" r:id="rId3389"/>
    <hyperlink xmlns:r="http://schemas.openxmlformats.org/officeDocument/2006/relationships" ref="I1170" r:id="rId3390"/>
    <hyperlink xmlns:r="http://schemas.openxmlformats.org/officeDocument/2006/relationships" ref="J1170" r:id="rId3391"/>
    <hyperlink xmlns:r="http://schemas.openxmlformats.org/officeDocument/2006/relationships" ref="K1170" r:id="rId3392"/>
    <hyperlink xmlns:r="http://schemas.openxmlformats.org/officeDocument/2006/relationships" ref="I1171" r:id="rId3393"/>
    <hyperlink xmlns:r="http://schemas.openxmlformats.org/officeDocument/2006/relationships" ref="J1171" r:id="rId3394"/>
    <hyperlink xmlns:r="http://schemas.openxmlformats.org/officeDocument/2006/relationships" ref="I1172" r:id="rId3395"/>
    <hyperlink xmlns:r="http://schemas.openxmlformats.org/officeDocument/2006/relationships" ref="J1172" r:id="rId3396"/>
    <hyperlink xmlns:r="http://schemas.openxmlformats.org/officeDocument/2006/relationships" ref="I1173" r:id="rId3397"/>
    <hyperlink xmlns:r="http://schemas.openxmlformats.org/officeDocument/2006/relationships" ref="J1173" r:id="rId3398"/>
    <hyperlink xmlns:r="http://schemas.openxmlformats.org/officeDocument/2006/relationships" ref="K1173" r:id="rId3399"/>
    <hyperlink xmlns:r="http://schemas.openxmlformats.org/officeDocument/2006/relationships" ref="I1174" r:id="rId3400"/>
    <hyperlink xmlns:r="http://schemas.openxmlformats.org/officeDocument/2006/relationships" ref="J1174" r:id="rId3401"/>
    <hyperlink xmlns:r="http://schemas.openxmlformats.org/officeDocument/2006/relationships" ref="K1174" r:id="rId3402"/>
    <hyperlink xmlns:r="http://schemas.openxmlformats.org/officeDocument/2006/relationships" ref="I1175" r:id="rId3403"/>
    <hyperlink xmlns:r="http://schemas.openxmlformats.org/officeDocument/2006/relationships" ref="J1175" r:id="rId3404"/>
    <hyperlink xmlns:r="http://schemas.openxmlformats.org/officeDocument/2006/relationships" ref="K1175" r:id="rId3405"/>
    <hyperlink xmlns:r="http://schemas.openxmlformats.org/officeDocument/2006/relationships" ref="I1176" r:id="rId3406"/>
    <hyperlink xmlns:r="http://schemas.openxmlformats.org/officeDocument/2006/relationships" ref="J1176" r:id="rId3407"/>
    <hyperlink xmlns:r="http://schemas.openxmlformats.org/officeDocument/2006/relationships" ref="K1176" r:id="rId3408"/>
    <hyperlink xmlns:r="http://schemas.openxmlformats.org/officeDocument/2006/relationships" ref="I1177" r:id="rId3409"/>
    <hyperlink xmlns:r="http://schemas.openxmlformats.org/officeDocument/2006/relationships" ref="J1177" r:id="rId3410"/>
    <hyperlink xmlns:r="http://schemas.openxmlformats.org/officeDocument/2006/relationships" ref="K1177" r:id="rId3411"/>
    <hyperlink xmlns:r="http://schemas.openxmlformats.org/officeDocument/2006/relationships" ref="I1178" r:id="rId3412"/>
    <hyperlink xmlns:r="http://schemas.openxmlformats.org/officeDocument/2006/relationships" ref="J1178" r:id="rId3413"/>
    <hyperlink xmlns:r="http://schemas.openxmlformats.org/officeDocument/2006/relationships" ref="I1179" r:id="rId3414"/>
    <hyperlink xmlns:r="http://schemas.openxmlformats.org/officeDocument/2006/relationships" ref="J1179" r:id="rId3415"/>
    <hyperlink xmlns:r="http://schemas.openxmlformats.org/officeDocument/2006/relationships" ref="I1180" r:id="rId3416"/>
    <hyperlink xmlns:r="http://schemas.openxmlformats.org/officeDocument/2006/relationships" ref="J1180" r:id="rId3417"/>
    <hyperlink xmlns:r="http://schemas.openxmlformats.org/officeDocument/2006/relationships" ref="I1181" r:id="rId3418"/>
    <hyperlink xmlns:r="http://schemas.openxmlformats.org/officeDocument/2006/relationships" ref="J1181" r:id="rId3419"/>
    <hyperlink xmlns:r="http://schemas.openxmlformats.org/officeDocument/2006/relationships" ref="I1182" r:id="rId3420"/>
    <hyperlink xmlns:r="http://schemas.openxmlformats.org/officeDocument/2006/relationships" ref="J1182" r:id="rId3421"/>
    <hyperlink xmlns:r="http://schemas.openxmlformats.org/officeDocument/2006/relationships" ref="I1183" r:id="rId3422"/>
    <hyperlink xmlns:r="http://schemas.openxmlformats.org/officeDocument/2006/relationships" ref="J1183" r:id="rId3423"/>
    <hyperlink xmlns:r="http://schemas.openxmlformats.org/officeDocument/2006/relationships" ref="I1184" r:id="rId3424"/>
    <hyperlink xmlns:r="http://schemas.openxmlformats.org/officeDocument/2006/relationships" ref="J1184" r:id="rId3425"/>
    <hyperlink xmlns:r="http://schemas.openxmlformats.org/officeDocument/2006/relationships" ref="I1185" r:id="rId3426"/>
    <hyperlink xmlns:r="http://schemas.openxmlformats.org/officeDocument/2006/relationships" ref="J1185" r:id="rId3427"/>
    <hyperlink xmlns:r="http://schemas.openxmlformats.org/officeDocument/2006/relationships" ref="I1186" r:id="rId3428"/>
    <hyperlink xmlns:r="http://schemas.openxmlformats.org/officeDocument/2006/relationships" ref="J1186" r:id="rId3429"/>
    <hyperlink xmlns:r="http://schemas.openxmlformats.org/officeDocument/2006/relationships" ref="I1187" r:id="rId3430"/>
    <hyperlink xmlns:r="http://schemas.openxmlformats.org/officeDocument/2006/relationships" ref="J1187" r:id="rId3431"/>
    <hyperlink xmlns:r="http://schemas.openxmlformats.org/officeDocument/2006/relationships" ref="I1188" r:id="rId3432"/>
    <hyperlink xmlns:r="http://schemas.openxmlformats.org/officeDocument/2006/relationships" ref="J1188" r:id="rId3433"/>
    <hyperlink xmlns:r="http://schemas.openxmlformats.org/officeDocument/2006/relationships" ref="I1189" r:id="rId3434"/>
    <hyperlink xmlns:r="http://schemas.openxmlformats.org/officeDocument/2006/relationships" ref="J1189" r:id="rId3435"/>
    <hyperlink xmlns:r="http://schemas.openxmlformats.org/officeDocument/2006/relationships" ref="I1190" r:id="rId3436"/>
    <hyperlink xmlns:r="http://schemas.openxmlformats.org/officeDocument/2006/relationships" ref="J1190" r:id="rId3437"/>
    <hyperlink xmlns:r="http://schemas.openxmlformats.org/officeDocument/2006/relationships" ref="I1191" r:id="rId3438"/>
    <hyperlink xmlns:r="http://schemas.openxmlformats.org/officeDocument/2006/relationships" ref="J1191" r:id="rId3439"/>
    <hyperlink xmlns:r="http://schemas.openxmlformats.org/officeDocument/2006/relationships" ref="K1191" r:id="rId3440"/>
    <hyperlink xmlns:r="http://schemas.openxmlformats.org/officeDocument/2006/relationships" ref="I1192" r:id="rId3441"/>
    <hyperlink xmlns:r="http://schemas.openxmlformats.org/officeDocument/2006/relationships" ref="J1192" r:id="rId3442"/>
    <hyperlink xmlns:r="http://schemas.openxmlformats.org/officeDocument/2006/relationships" ref="K1192" r:id="rId3443"/>
    <hyperlink xmlns:r="http://schemas.openxmlformats.org/officeDocument/2006/relationships" ref="I1193" r:id="rId3444"/>
    <hyperlink xmlns:r="http://schemas.openxmlformats.org/officeDocument/2006/relationships" ref="J1193" r:id="rId3445"/>
    <hyperlink xmlns:r="http://schemas.openxmlformats.org/officeDocument/2006/relationships" ref="K1193" r:id="rId3446"/>
    <hyperlink xmlns:r="http://schemas.openxmlformats.org/officeDocument/2006/relationships" ref="I1194" r:id="rId3447"/>
    <hyperlink xmlns:r="http://schemas.openxmlformats.org/officeDocument/2006/relationships" ref="J1194" r:id="rId3448"/>
    <hyperlink xmlns:r="http://schemas.openxmlformats.org/officeDocument/2006/relationships" ref="K1194" r:id="rId3449"/>
    <hyperlink xmlns:r="http://schemas.openxmlformats.org/officeDocument/2006/relationships" ref="I1195" r:id="rId3450"/>
    <hyperlink xmlns:r="http://schemas.openxmlformats.org/officeDocument/2006/relationships" ref="J1195" r:id="rId3451"/>
    <hyperlink xmlns:r="http://schemas.openxmlformats.org/officeDocument/2006/relationships" ref="K1195" r:id="rId3452"/>
    <hyperlink xmlns:r="http://schemas.openxmlformats.org/officeDocument/2006/relationships" ref="I1196" r:id="rId3453"/>
    <hyperlink xmlns:r="http://schemas.openxmlformats.org/officeDocument/2006/relationships" ref="J1196" r:id="rId3454"/>
    <hyperlink xmlns:r="http://schemas.openxmlformats.org/officeDocument/2006/relationships" ref="I1197" r:id="rId3455"/>
    <hyperlink xmlns:r="http://schemas.openxmlformats.org/officeDocument/2006/relationships" ref="J1197" r:id="rId3456"/>
    <hyperlink xmlns:r="http://schemas.openxmlformats.org/officeDocument/2006/relationships" ref="I1198" r:id="rId3457"/>
    <hyperlink xmlns:r="http://schemas.openxmlformats.org/officeDocument/2006/relationships" ref="J1198" r:id="rId3458"/>
    <hyperlink xmlns:r="http://schemas.openxmlformats.org/officeDocument/2006/relationships" ref="I1199" r:id="rId3459"/>
    <hyperlink xmlns:r="http://schemas.openxmlformats.org/officeDocument/2006/relationships" ref="J1199" r:id="rId3460"/>
    <hyperlink xmlns:r="http://schemas.openxmlformats.org/officeDocument/2006/relationships" ref="I1200" r:id="rId3461"/>
    <hyperlink xmlns:r="http://schemas.openxmlformats.org/officeDocument/2006/relationships" ref="J1200" r:id="rId3462"/>
    <hyperlink xmlns:r="http://schemas.openxmlformats.org/officeDocument/2006/relationships" ref="I1201" r:id="rId3463"/>
    <hyperlink xmlns:r="http://schemas.openxmlformats.org/officeDocument/2006/relationships" ref="J1201" r:id="rId3464"/>
    <hyperlink xmlns:r="http://schemas.openxmlformats.org/officeDocument/2006/relationships" ref="I1202" r:id="rId3465"/>
    <hyperlink xmlns:r="http://schemas.openxmlformats.org/officeDocument/2006/relationships" ref="J1202" r:id="rId3466"/>
    <hyperlink xmlns:r="http://schemas.openxmlformats.org/officeDocument/2006/relationships" ref="I1203" r:id="rId3467"/>
    <hyperlink xmlns:r="http://schemas.openxmlformats.org/officeDocument/2006/relationships" ref="J1203" r:id="rId3468"/>
    <hyperlink xmlns:r="http://schemas.openxmlformats.org/officeDocument/2006/relationships" ref="I1204" r:id="rId3469"/>
    <hyperlink xmlns:r="http://schemas.openxmlformats.org/officeDocument/2006/relationships" ref="J1204" r:id="rId3470"/>
    <hyperlink xmlns:r="http://schemas.openxmlformats.org/officeDocument/2006/relationships" ref="K1204" r:id="rId3471"/>
    <hyperlink xmlns:r="http://schemas.openxmlformats.org/officeDocument/2006/relationships" ref="I1205" r:id="rId3472"/>
    <hyperlink xmlns:r="http://schemas.openxmlformats.org/officeDocument/2006/relationships" ref="J1205" r:id="rId3473"/>
    <hyperlink xmlns:r="http://schemas.openxmlformats.org/officeDocument/2006/relationships" ref="K1205" r:id="rId3474"/>
    <hyperlink xmlns:r="http://schemas.openxmlformats.org/officeDocument/2006/relationships" ref="I1206" r:id="rId3475"/>
    <hyperlink xmlns:r="http://schemas.openxmlformats.org/officeDocument/2006/relationships" ref="J1206" r:id="rId3476"/>
    <hyperlink xmlns:r="http://schemas.openxmlformats.org/officeDocument/2006/relationships" ref="K1206" r:id="rId3477"/>
    <hyperlink xmlns:r="http://schemas.openxmlformats.org/officeDocument/2006/relationships" ref="I1207" r:id="rId3478"/>
    <hyperlink xmlns:r="http://schemas.openxmlformats.org/officeDocument/2006/relationships" ref="J1207" r:id="rId3479"/>
    <hyperlink xmlns:r="http://schemas.openxmlformats.org/officeDocument/2006/relationships" ref="K1207" r:id="rId3480"/>
    <hyperlink xmlns:r="http://schemas.openxmlformats.org/officeDocument/2006/relationships" ref="I1208" r:id="rId3481"/>
    <hyperlink xmlns:r="http://schemas.openxmlformats.org/officeDocument/2006/relationships" ref="J1208" r:id="rId3482"/>
    <hyperlink xmlns:r="http://schemas.openxmlformats.org/officeDocument/2006/relationships" ref="K1208" r:id="rId3483"/>
    <hyperlink xmlns:r="http://schemas.openxmlformats.org/officeDocument/2006/relationships" ref="I1209" r:id="rId3484"/>
    <hyperlink xmlns:r="http://schemas.openxmlformats.org/officeDocument/2006/relationships" ref="J1209" r:id="rId3485"/>
    <hyperlink xmlns:r="http://schemas.openxmlformats.org/officeDocument/2006/relationships" ref="K1209" r:id="rId3486"/>
    <hyperlink xmlns:r="http://schemas.openxmlformats.org/officeDocument/2006/relationships" ref="I1210" r:id="rId3487"/>
    <hyperlink xmlns:r="http://schemas.openxmlformats.org/officeDocument/2006/relationships" ref="J1210" r:id="rId3488"/>
    <hyperlink xmlns:r="http://schemas.openxmlformats.org/officeDocument/2006/relationships" ref="K1210" r:id="rId3489"/>
    <hyperlink xmlns:r="http://schemas.openxmlformats.org/officeDocument/2006/relationships" ref="I1211" r:id="rId3490"/>
    <hyperlink xmlns:r="http://schemas.openxmlformats.org/officeDocument/2006/relationships" ref="J1211" r:id="rId3491"/>
    <hyperlink xmlns:r="http://schemas.openxmlformats.org/officeDocument/2006/relationships" ref="K1211" r:id="rId3492"/>
    <hyperlink xmlns:r="http://schemas.openxmlformats.org/officeDocument/2006/relationships" ref="I1212" r:id="rId3493"/>
    <hyperlink xmlns:r="http://schemas.openxmlformats.org/officeDocument/2006/relationships" ref="J1212" r:id="rId3494"/>
    <hyperlink xmlns:r="http://schemas.openxmlformats.org/officeDocument/2006/relationships" ref="K1212" r:id="rId3495"/>
    <hyperlink xmlns:r="http://schemas.openxmlformats.org/officeDocument/2006/relationships" ref="I1213" r:id="rId3496"/>
    <hyperlink xmlns:r="http://schemas.openxmlformats.org/officeDocument/2006/relationships" ref="J1213" r:id="rId3497"/>
    <hyperlink xmlns:r="http://schemas.openxmlformats.org/officeDocument/2006/relationships" ref="I1214" r:id="rId3498"/>
    <hyperlink xmlns:r="http://schemas.openxmlformats.org/officeDocument/2006/relationships" ref="J1214" r:id="rId3499"/>
    <hyperlink xmlns:r="http://schemas.openxmlformats.org/officeDocument/2006/relationships" ref="I1215" r:id="rId3500"/>
    <hyperlink xmlns:r="http://schemas.openxmlformats.org/officeDocument/2006/relationships" ref="J1215" r:id="rId3501"/>
    <hyperlink xmlns:r="http://schemas.openxmlformats.org/officeDocument/2006/relationships" ref="I1216" r:id="rId3502"/>
    <hyperlink xmlns:r="http://schemas.openxmlformats.org/officeDocument/2006/relationships" ref="J1216" r:id="rId3503"/>
    <hyperlink xmlns:r="http://schemas.openxmlformats.org/officeDocument/2006/relationships" ref="I1217" r:id="rId3504"/>
    <hyperlink xmlns:r="http://schemas.openxmlformats.org/officeDocument/2006/relationships" ref="J1217" r:id="rId3505"/>
    <hyperlink xmlns:r="http://schemas.openxmlformats.org/officeDocument/2006/relationships" ref="I1218" r:id="rId3506"/>
    <hyperlink xmlns:r="http://schemas.openxmlformats.org/officeDocument/2006/relationships" ref="J1218" r:id="rId3507"/>
    <hyperlink xmlns:r="http://schemas.openxmlformats.org/officeDocument/2006/relationships" ref="I1219" r:id="rId3508"/>
    <hyperlink xmlns:r="http://schemas.openxmlformats.org/officeDocument/2006/relationships" ref="J1219" r:id="rId3509"/>
    <hyperlink xmlns:r="http://schemas.openxmlformats.org/officeDocument/2006/relationships" ref="I1220" r:id="rId3510"/>
    <hyperlink xmlns:r="http://schemas.openxmlformats.org/officeDocument/2006/relationships" ref="J1220" r:id="rId3511"/>
    <hyperlink xmlns:r="http://schemas.openxmlformats.org/officeDocument/2006/relationships" ref="I1221" r:id="rId3512"/>
    <hyperlink xmlns:r="http://schemas.openxmlformats.org/officeDocument/2006/relationships" ref="J1221" r:id="rId3513"/>
    <hyperlink xmlns:r="http://schemas.openxmlformats.org/officeDocument/2006/relationships" ref="I1222" r:id="rId3514"/>
    <hyperlink xmlns:r="http://schemas.openxmlformats.org/officeDocument/2006/relationships" ref="J1222" r:id="rId3515"/>
    <hyperlink xmlns:r="http://schemas.openxmlformats.org/officeDocument/2006/relationships" ref="I1223" r:id="rId3516"/>
    <hyperlink xmlns:r="http://schemas.openxmlformats.org/officeDocument/2006/relationships" ref="I1224" r:id="rId3517"/>
    <hyperlink xmlns:r="http://schemas.openxmlformats.org/officeDocument/2006/relationships" ref="I1225" r:id="rId3518"/>
    <hyperlink xmlns:r="http://schemas.openxmlformats.org/officeDocument/2006/relationships" ref="I1226" r:id="rId3519"/>
    <hyperlink xmlns:r="http://schemas.openxmlformats.org/officeDocument/2006/relationships" ref="I1227" r:id="rId3520"/>
    <hyperlink xmlns:r="http://schemas.openxmlformats.org/officeDocument/2006/relationships" ref="I1228" r:id="rId3521"/>
    <hyperlink xmlns:r="http://schemas.openxmlformats.org/officeDocument/2006/relationships" ref="I1229" r:id="rId3522"/>
    <hyperlink xmlns:r="http://schemas.openxmlformats.org/officeDocument/2006/relationships" ref="J1229" r:id="rId3523"/>
    <hyperlink xmlns:r="http://schemas.openxmlformats.org/officeDocument/2006/relationships" ref="K1229" r:id="rId3524"/>
    <hyperlink xmlns:r="http://schemas.openxmlformats.org/officeDocument/2006/relationships" ref="I1230" r:id="rId3525"/>
    <hyperlink xmlns:r="http://schemas.openxmlformats.org/officeDocument/2006/relationships" ref="J1230" r:id="rId3526"/>
    <hyperlink xmlns:r="http://schemas.openxmlformats.org/officeDocument/2006/relationships" ref="K1230" r:id="rId3527"/>
    <hyperlink xmlns:r="http://schemas.openxmlformats.org/officeDocument/2006/relationships" ref="I1231" r:id="rId3528"/>
    <hyperlink xmlns:r="http://schemas.openxmlformats.org/officeDocument/2006/relationships" ref="J1231" r:id="rId3529"/>
    <hyperlink xmlns:r="http://schemas.openxmlformats.org/officeDocument/2006/relationships" ref="K1231" r:id="rId3530"/>
    <hyperlink xmlns:r="http://schemas.openxmlformats.org/officeDocument/2006/relationships" ref="I1232" r:id="rId3531"/>
    <hyperlink xmlns:r="http://schemas.openxmlformats.org/officeDocument/2006/relationships" ref="J1232" r:id="rId3532"/>
    <hyperlink xmlns:r="http://schemas.openxmlformats.org/officeDocument/2006/relationships" ref="K1232" r:id="rId3533"/>
    <hyperlink xmlns:r="http://schemas.openxmlformats.org/officeDocument/2006/relationships" ref="I1233" r:id="rId3534"/>
    <hyperlink xmlns:r="http://schemas.openxmlformats.org/officeDocument/2006/relationships" ref="J1233" r:id="rId3535"/>
    <hyperlink xmlns:r="http://schemas.openxmlformats.org/officeDocument/2006/relationships" ref="K1233" r:id="rId3536"/>
    <hyperlink xmlns:r="http://schemas.openxmlformats.org/officeDocument/2006/relationships" ref="I1234" r:id="rId3537"/>
    <hyperlink xmlns:r="http://schemas.openxmlformats.org/officeDocument/2006/relationships" ref="J1234" r:id="rId3538"/>
    <hyperlink xmlns:r="http://schemas.openxmlformats.org/officeDocument/2006/relationships" ref="K1234" r:id="rId3539"/>
    <hyperlink xmlns:r="http://schemas.openxmlformats.org/officeDocument/2006/relationships" ref="I1235" r:id="rId3540"/>
    <hyperlink xmlns:r="http://schemas.openxmlformats.org/officeDocument/2006/relationships" ref="J1235" r:id="rId3541"/>
    <hyperlink xmlns:r="http://schemas.openxmlformats.org/officeDocument/2006/relationships" ref="K1235" r:id="rId3542"/>
    <hyperlink xmlns:r="http://schemas.openxmlformats.org/officeDocument/2006/relationships" ref="I1236" r:id="rId3543"/>
    <hyperlink xmlns:r="http://schemas.openxmlformats.org/officeDocument/2006/relationships" ref="J1236" r:id="rId3544"/>
    <hyperlink xmlns:r="http://schemas.openxmlformats.org/officeDocument/2006/relationships" ref="K1236" r:id="rId3545"/>
    <hyperlink xmlns:r="http://schemas.openxmlformats.org/officeDocument/2006/relationships" ref="I1237" r:id="rId3546"/>
    <hyperlink xmlns:r="http://schemas.openxmlformats.org/officeDocument/2006/relationships" ref="J1237" r:id="rId3547"/>
    <hyperlink xmlns:r="http://schemas.openxmlformats.org/officeDocument/2006/relationships" ref="K1237" r:id="rId3548"/>
    <hyperlink xmlns:r="http://schemas.openxmlformats.org/officeDocument/2006/relationships" ref="I1238" r:id="rId3549"/>
    <hyperlink xmlns:r="http://schemas.openxmlformats.org/officeDocument/2006/relationships" ref="J1238" r:id="rId3550"/>
    <hyperlink xmlns:r="http://schemas.openxmlformats.org/officeDocument/2006/relationships" ref="K1238" r:id="rId3551"/>
    <hyperlink xmlns:r="http://schemas.openxmlformats.org/officeDocument/2006/relationships" ref="I1239" r:id="rId3552"/>
    <hyperlink xmlns:r="http://schemas.openxmlformats.org/officeDocument/2006/relationships" ref="J1239" r:id="rId3553"/>
    <hyperlink xmlns:r="http://schemas.openxmlformats.org/officeDocument/2006/relationships" ref="K1239" r:id="rId3554"/>
    <hyperlink xmlns:r="http://schemas.openxmlformats.org/officeDocument/2006/relationships" ref="I1240" r:id="rId3555"/>
    <hyperlink xmlns:r="http://schemas.openxmlformats.org/officeDocument/2006/relationships" ref="J1240" r:id="rId3556"/>
    <hyperlink xmlns:r="http://schemas.openxmlformats.org/officeDocument/2006/relationships" ref="K1240" r:id="rId3557"/>
    <hyperlink xmlns:r="http://schemas.openxmlformats.org/officeDocument/2006/relationships" ref="I1241" r:id="rId3558"/>
    <hyperlink xmlns:r="http://schemas.openxmlformats.org/officeDocument/2006/relationships" ref="J1241" r:id="rId3559"/>
    <hyperlink xmlns:r="http://schemas.openxmlformats.org/officeDocument/2006/relationships" ref="K1241" r:id="rId3560"/>
    <hyperlink xmlns:r="http://schemas.openxmlformats.org/officeDocument/2006/relationships" ref="I1242" r:id="rId3561"/>
    <hyperlink xmlns:r="http://schemas.openxmlformats.org/officeDocument/2006/relationships" ref="J1242" r:id="rId3562"/>
    <hyperlink xmlns:r="http://schemas.openxmlformats.org/officeDocument/2006/relationships" ref="K1242" r:id="rId3563"/>
    <hyperlink xmlns:r="http://schemas.openxmlformats.org/officeDocument/2006/relationships" ref="I1243" r:id="rId3564"/>
    <hyperlink xmlns:r="http://schemas.openxmlformats.org/officeDocument/2006/relationships" ref="J1243" r:id="rId3565"/>
    <hyperlink xmlns:r="http://schemas.openxmlformats.org/officeDocument/2006/relationships" ref="K1243" r:id="rId3566"/>
    <hyperlink xmlns:r="http://schemas.openxmlformats.org/officeDocument/2006/relationships" ref="I1244" r:id="rId3567"/>
    <hyperlink xmlns:r="http://schemas.openxmlformats.org/officeDocument/2006/relationships" ref="J1244" r:id="rId3568"/>
    <hyperlink xmlns:r="http://schemas.openxmlformats.org/officeDocument/2006/relationships" ref="K1244" r:id="rId3569"/>
    <hyperlink xmlns:r="http://schemas.openxmlformats.org/officeDocument/2006/relationships" ref="I1245" r:id="rId3570"/>
    <hyperlink xmlns:r="http://schemas.openxmlformats.org/officeDocument/2006/relationships" ref="J1245" r:id="rId3571"/>
    <hyperlink xmlns:r="http://schemas.openxmlformats.org/officeDocument/2006/relationships" ref="K1245" r:id="rId3572"/>
    <hyperlink xmlns:r="http://schemas.openxmlformats.org/officeDocument/2006/relationships" ref="I1246" r:id="rId3573"/>
    <hyperlink xmlns:r="http://schemas.openxmlformats.org/officeDocument/2006/relationships" ref="J1246" r:id="rId3574"/>
    <hyperlink xmlns:r="http://schemas.openxmlformats.org/officeDocument/2006/relationships" ref="K1246" r:id="rId3575"/>
    <hyperlink xmlns:r="http://schemas.openxmlformats.org/officeDocument/2006/relationships" ref="I1247" r:id="rId3576"/>
    <hyperlink xmlns:r="http://schemas.openxmlformats.org/officeDocument/2006/relationships" ref="J1247" r:id="rId3577"/>
    <hyperlink xmlns:r="http://schemas.openxmlformats.org/officeDocument/2006/relationships" ref="K1247" r:id="rId3578"/>
    <hyperlink xmlns:r="http://schemas.openxmlformats.org/officeDocument/2006/relationships" ref="I1248" r:id="rId3579"/>
    <hyperlink xmlns:r="http://schemas.openxmlformats.org/officeDocument/2006/relationships" ref="J1248" r:id="rId3580"/>
    <hyperlink xmlns:r="http://schemas.openxmlformats.org/officeDocument/2006/relationships" ref="K1248" r:id="rId3581"/>
    <hyperlink xmlns:r="http://schemas.openxmlformats.org/officeDocument/2006/relationships" ref="I1249" r:id="rId3582"/>
    <hyperlink xmlns:r="http://schemas.openxmlformats.org/officeDocument/2006/relationships" ref="J1249" r:id="rId3583"/>
    <hyperlink xmlns:r="http://schemas.openxmlformats.org/officeDocument/2006/relationships" ref="K1249" r:id="rId3584"/>
    <hyperlink xmlns:r="http://schemas.openxmlformats.org/officeDocument/2006/relationships" ref="I1250" r:id="rId3585"/>
    <hyperlink xmlns:r="http://schemas.openxmlformats.org/officeDocument/2006/relationships" ref="J1250" r:id="rId3586"/>
    <hyperlink xmlns:r="http://schemas.openxmlformats.org/officeDocument/2006/relationships" ref="K1250" r:id="rId3587"/>
    <hyperlink xmlns:r="http://schemas.openxmlformats.org/officeDocument/2006/relationships" ref="I1251" r:id="rId3588"/>
    <hyperlink xmlns:r="http://schemas.openxmlformats.org/officeDocument/2006/relationships" ref="J1251" r:id="rId3589"/>
    <hyperlink xmlns:r="http://schemas.openxmlformats.org/officeDocument/2006/relationships" ref="K1251" r:id="rId3590"/>
    <hyperlink xmlns:r="http://schemas.openxmlformats.org/officeDocument/2006/relationships" ref="I1252" r:id="rId3591"/>
    <hyperlink xmlns:r="http://schemas.openxmlformats.org/officeDocument/2006/relationships" ref="J1252" r:id="rId3592"/>
    <hyperlink xmlns:r="http://schemas.openxmlformats.org/officeDocument/2006/relationships" ref="K1252" r:id="rId3593"/>
    <hyperlink xmlns:r="http://schemas.openxmlformats.org/officeDocument/2006/relationships" ref="I1253" r:id="rId3594"/>
    <hyperlink xmlns:r="http://schemas.openxmlformats.org/officeDocument/2006/relationships" ref="J1253" r:id="rId3595"/>
    <hyperlink xmlns:r="http://schemas.openxmlformats.org/officeDocument/2006/relationships" ref="K1253" r:id="rId3596"/>
    <hyperlink xmlns:r="http://schemas.openxmlformats.org/officeDocument/2006/relationships" ref="I1254" r:id="rId3597"/>
    <hyperlink xmlns:r="http://schemas.openxmlformats.org/officeDocument/2006/relationships" ref="J1254" r:id="rId3598"/>
    <hyperlink xmlns:r="http://schemas.openxmlformats.org/officeDocument/2006/relationships" ref="K1254" r:id="rId3599"/>
    <hyperlink xmlns:r="http://schemas.openxmlformats.org/officeDocument/2006/relationships" ref="I1255" r:id="rId3600"/>
    <hyperlink xmlns:r="http://schemas.openxmlformats.org/officeDocument/2006/relationships" ref="J1255" r:id="rId3601"/>
    <hyperlink xmlns:r="http://schemas.openxmlformats.org/officeDocument/2006/relationships" ref="I1256" r:id="rId3602"/>
    <hyperlink xmlns:r="http://schemas.openxmlformats.org/officeDocument/2006/relationships" ref="J1256" r:id="rId3603"/>
    <hyperlink xmlns:r="http://schemas.openxmlformats.org/officeDocument/2006/relationships" ref="I1257" r:id="rId3604"/>
    <hyperlink xmlns:r="http://schemas.openxmlformats.org/officeDocument/2006/relationships" ref="J1257" r:id="rId3605"/>
    <hyperlink xmlns:r="http://schemas.openxmlformats.org/officeDocument/2006/relationships" ref="I1258" r:id="rId3606"/>
    <hyperlink xmlns:r="http://schemas.openxmlformats.org/officeDocument/2006/relationships" ref="J1258" r:id="rId3607"/>
    <hyperlink xmlns:r="http://schemas.openxmlformats.org/officeDocument/2006/relationships" ref="I1259" r:id="rId3608"/>
    <hyperlink xmlns:r="http://schemas.openxmlformats.org/officeDocument/2006/relationships" ref="J1259" r:id="rId3609"/>
    <hyperlink xmlns:r="http://schemas.openxmlformats.org/officeDocument/2006/relationships" ref="I1260" r:id="rId3610"/>
    <hyperlink xmlns:r="http://schemas.openxmlformats.org/officeDocument/2006/relationships" ref="J1260" r:id="rId3611"/>
    <hyperlink xmlns:r="http://schemas.openxmlformats.org/officeDocument/2006/relationships" ref="I1261" r:id="rId3612"/>
    <hyperlink xmlns:r="http://schemas.openxmlformats.org/officeDocument/2006/relationships" ref="J1261" r:id="rId3613"/>
    <hyperlink xmlns:r="http://schemas.openxmlformats.org/officeDocument/2006/relationships" ref="I1262" r:id="rId3614"/>
    <hyperlink xmlns:r="http://schemas.openxmlformats.org/officeDocument/2006/relationships" ref="J1262" r:id="rId3615"/>
    <hyperlink xmlns:r="http://schemas.openxmlformats.org/officeDocument/2006/relationships" ref="I1263" r:id="rId3616"/>
    <hyperlink xmlns:r="http://schemas.openxmlformats.org/officeDocument/2006/relationships" ref="J1263" r:id="rId3617"/>
    <hyperlink xmlns:r="http://schemas.openxmlformats.org/officeDocument/2006/relationships" ref="I1264" r:id="rId3618"/>
    <hyperlink xmlns:r="http://schemas.openxmlformats.org/officeDocument/2006/relationships" ref="J1264" r:id="rId3619"/>
    <hyperlink xmlns:r="http://schemas.openxmlformats.org/officeDocument/2006/relationships" ref="I1265" r:id="rId3620"/>
    <hyperlink xmlns:r="http://schemas.openxmlformats.org/officeDocument/2006/relationships" ref="J1265" r:id="rId3621"/>
    <hyperlink xmlns:r="http://schemas.openxmlformats.org/officeDocument/2006/relationships" ref="K1265" r:id="rId3622"/>
    <hyperlink xmlns:r="http://schemas.openxmlformats.org/officeDocument/2006/relationships" ref="I1266" r:id="rId3623"/>
    <hyperlink xmlns:r="http://schemas.openxmlformats.org/officeDocument/2006/relationships" ref="J1266" r:id="rId3624"/>
    <hyperlink xmlns:r="http://schemas.openxmlformats.org/officeDocument/2006/relationships" ref="K1266" r:id="rId3625"/>
    <hyperlink xmlns:r="http://schemas.openxmlformats.org/officeDocument/2006/relationships" ref="I1267" r:id="rId3626"/>
    <hyperlink xmlns:r="http://schemas.openxmlformats.org/officeDocument/2006/relationships" ref="J1267" r:id="rId3627"/>
    <hyperlink xmlns:r="http://schemas.openxmlformats.org/officeDocument/2006/relationships" ref="K1267" r:id="rId3628"/>
    <hyperlink xmlns:r="http://schemas.openxmlformats.org/officeDocument/2006/relationships" ref="I1268" r:id="rId3629"/>
    <hyperlink xmlns:r="http://schemas.openxmlformats.org/officeDocument/2006/relationships" ref="J1268" r:id="rId3630"/>
    <hyperlink xmlns:r="http://schemas.openxmlformats.org/officeDocument/2006/relationships" ref="K1268" r:id="rId3631"/>
    <hyperlink xmlns:r="http://schemas.openxmlformats.org/officeDocument/2006/relationships" ref="I1269" r:id="rId3632"/>
    <hyperlink xmlns:r="http://schemas.openxmlformats.org/officeDocument/2006/relationships" ref="J1269" r:id="rId3633"/>
    <hyperlink xmlns:r="http://schemas.openxmlformats.org/officeDocument/2006/relationships" ref="K1269" r:id="rId3634"/>
    <hyperlink xmlns:r="http://schemas.openxmlformats.org/officeDocument/2006/relationships" ref="I1270" r:id="rId3635"/>
    <hyperlink xmlns:r="http://schemas.openxmlformats.org/officeDocument/2006/relationships" ref="J1270" r:id="rId3636"/>
    <hyperlink xmlns:r="http://schemas.openxmlformats.org/officeDocument/2006/relationships" ref="K1270" r:id="rId3637"/>
    <hyperlink xmlns:r="http://schemas.openxmlformats.org/officeDocument/2006/relationships" ref="I1271" r:id="rId3638"/>
    <hyperlink xmlns:r="http://schemas.openxmlformats.org/officeDocument/2006/relationships" ref="J1271" r:id="rId3639"/>
    <hyperlink xmlns:r="http://schemas.openxmlformats.org/officeDocument/2006/relationships" ref="K1271" r:id="rId3640"/>
    <hyperlink xmlns:r="http://schemas.openxmlformats.org/officeDocument/2006/relationships" ref="I1272" r:id="rId3641"/>
    <hyperlink xmlns:r="http://schemas.openxmlformats.org/officeDocument/2006/relationships" ref="J1272" r:id="rId3642"/>
    <hyperlink xmlns:r="http://schemas.openxmlformats.org/officeDocument/2006/relationships" ref="K1272" r:id="rId3643"/>
    <hyperlink xmlns:r="http://schemas.openxmlformats.org/officeDocument/2006/relationships" ref="I1273" r:id="rId3644"/>
    <hyperlink xmlns:r="http://schemas.openxmlformats.org/officeDocument/2006/relationships" ref="J1273" r:id="rId3645"/>
    <hyperlink xmlns:r="http://schemas.openxmlformats.org/officeDocument/2006/relationships" ref="K1273" r:id="rId3646"/>
    <hyperlink xmlns:r="http://schemas.openxmlformats.org/officeDocument/2006/relationships" ref="I1274" r:id="rId3647"/>
    <hyperlink xmlns:r="http://schemas.openxmlformats.org/officeDocument/2006/relationships" ref="J1274" r:id="rId3648"/>
    <hyperlink xmlns:r="http://schemas.openxmlformats.org/officeDocument/2006/relationships" ref="K1274" r:id="rId3649"/>
    <hyperlink xmlns:r="http://schemas.openxmlformats.org/officeDocument/2006/relationships" ref="I1275" r:id="rId3650"/>
    <hyperlink xmlns:r="http://schemas.openxmlformats.org/officeDocument/2006/relationships" ref="J1275" r:id="rId3651"/>
    <hyperlink xmlns:r="http://schemas.openxmlformats.org/officeDocument/2006/relationships" ref="K1275" r:id="rId3652"/>
    <hyperlink xmlns:r="http://schemas.openxmlformats.org/officeDocument/2006/relationships" ref="I1276" r:id="rId3653"/>
    <hyperlink xmlns:r="http://schemas.openxmlformats.org/officeDocument/2006/relationships" ref="J1276" r:id="rId3654"/>
    <hyperlink xmlns:r="http://schemas.openxmlformats.org/officeDocument/2006/relationships" ref="K1276" r:id="rId3655"/>
    <hyperlink xmlns:r="http://schemas.openxmlformats.org/officeDocument/2006/relationships" ref="I1277" r:id="rId3656"/>
    <hyperlink xmlns:r="http://schemas.openxmlformats.org/officeDocument/2006/relationships" ref="J1277" r:id="rId3657"/>
    <hyperlink xmlns:r="http://schemas.openxmlformats.org/officeDocument/2006/relationships" ref="K1277" r:id="rId3658"/>
    <hyperlink xmlns:r="http://schemas.openxmlformats.org/officeDocument/2006/relationships" ref="I1278" r:id="rId3659"/>
    <hyperlink xmlns:r="http://schemas.openxmlformats.org/officeDocument/2006/relationships" ref="J1278" r:id="rId3660"/>
    <hyperlink xmlns:r="http://schemas.openxmlformats.org/officeDocument/2006/relationships" ref="K1278" r:id="rId3661"/>
    <hyperlink xmlns:r="http://schemas.openxmlformats.org/officeDocument/2006/relationships" ref="I1279" r:id="rId3662"/>
    <hyperlink xmlns:r="http://schemas.openxmlformats.org/officeDocument/2006/relationships" ref="J1279" r:id="rId3663"/>
    <hyperlink xmlns:r="http://schemas.openxmlformats.org/officeDocument/2006/relationships" ref="K1279" r:id="rId3664"/>
    <hyperlink xmlns:r="http://schemas.openxmlformats.org/officeDocument/2006/relationships" ref="I1280" r:id="rId3665"/>
    <hyperlink xmlns:r="http://schemas.openxmlformats.org/officeDocument/2006/relationships" ref="J1280" r:id="rId3666"/>
    <hyperlink xmlns:r="http://schemas.openxmlformats.org/officeDocument/2006/relationships" ref="K1280" r:id="rId3667"/>
    <hyperlink xmlns:r="http://schemas.openxmlformats.org/officeDocument/2006/relationships" ref="I1281" r:id="rId3668"/>
    <hyperlink xmlns:r="http://schemas.openxmlformats.org/officeDocument/2006/relationships" ref="J1281" r:id="rId3669"/>
    <hyperlink xmlns:r="http://schemas.openxmlformats.org/officeDocument/2006/relationships" ref="K1281" r:id="rId3670"/>
    <hyperlink xmlns:r="http://schemas.openxmlformats.org/officeDocument/2006/relationships" ref="I1282" r:id="rId3671"/>
    <hyperlink xmlns:r="http://schemas.openxmlformats.org/officeDocument/2006/relationships" ref="J1282" r:id="rId3672"/>
    <hyperlink xmlns:r="http://schemas.openxmlformats.org/officeDocument/2006/relationships" ref="K1282" r:id="rId3673"/>
    <hyperlink xmlns:r="http://schemas.openxmlformats.org/officeDocument/2006/relationships" ref="I1283" r:id="rId3674"/>
    <hyperlink xmlns:r="http://schemas.openxmlformats.org/officeDocument/2006/relationships" ref="J1283" r:id="rId3675"/>
    <hyperlink xmlns:r="http://schemas.openxmlformats.org/officeDocument/2006/relationships" ref="K1283" r:id="rId3676"/>
    <hyperlink xmlns:r="http://schemas.openxmlformats.org/officeDocument/2006/relationships" ref="I1284" r:id="rId3677"/>
    <hyperlink xmlns:r="http://schemas.openxmlformats.org/officeDocument/2006/relationships" ref="J1284" r:id="rId3678"/>
    <hyperlink xmlns:r="http://schemas.openxmlformats.org/officeDocument/2006/relationships" ref="K1284" r:id="rId3679"/>
    <hyperlink xmlns:r="http://schemas.openxmlformats.org/officeDocument/2006/relationships" ref="I1285" r:id="rId3680"/>
    <hyperlink xmlns:r="http://schemas.openxmlformats.org/officeDocument/2006/relationships" ref="J1285" r:id="rId3681"/>
    <hyperlink xmlns:r="http://schemas.openxmlformats.org/officeDocument/2006/relationships" ref="K1285" r:id="rId3682"/>
    <hyperlink xmlns:r="http://schemas.openxmlformats.org/officeDocument/2006/relationships" ref="I1286" r:id="rId3683"/>
    <hyperlink xmlns:r="http://schemas.openxmlformats.org/officeDocument/2006/relationships" ref="J1286" r:id="rId3684"/>
    <hyperlink xmlns:r="http://schemas.openxmlformats.org/officeDocument/2006/relationships" ref="K1286" r:id="rId3685"/>
    <hyperlink xmlns:r="http://schemas.openxmlformats.org/officeDocument/2006/relationships" ref="I1287" r:id="rId3686"/>
    <hyperlink xmlns:r="http://schemas.openxmlformats.org/officeDocument/2006/relationships" ref="J1287" r:id="rId3687"/>
    <hyperlink xmlns:r="http://schemas.openxmlformats.org/officeDocument/2006/relationships" ref="K1287" r:id="rId3688"/>
    <hyperlink xmlns:r="http://schemas.openxmlformats.org/officeDocument/2006/relationships" ref="I1288" r:id="rId3689"/>
    <hyperlink xmlns:r="http://schemas.openxmlformats.org/officeDocument/2006/relationships" ref="J1288" r:id="rId3690"/>
    <hyperlink xmlns:r="http://schemas.openxmlformats.org/officeDocument/2006/relationships" ref="K1288" r:id="rId3691"/>
    <hyperlink xmlns:r="http://schemas.openxmlformats.org/officeDocument/2006/relationships" ref="I1289" r:id="rId3692"/>
    <hyperlink xmlns:r="http://schemas.openxmlformats.org/officeDocument/2006/relationships" ref="J1289" r:id="rId3693"/>
    <hyperlink xmlns:r="http://schemas.openxmlformats.org/officeDocument/2006/relationships" ref="K1289" r:id="rId3694"/>
    <hyperlink xmlns:r="http://schemas.openxmlformats.org/officeDocument/2006/relationships" ref="I1290" r:id="rId3695"/>
    <hyperlink xmlns:r="http://schemas.openxmlformats.org/officeDocument/2006/relationships" ref="J1290" r:id="rId3696"/>
    <hyperlink xmlns:r="http://schemas.openxmlformats.org/officeDocument/2006/relationships" ref="K1290" r:id="rId3697"/>
    <hyperlink xmlns:r="http://schemas.openxmlformats.org/officeDocument/2006/relationships" ref="I1291" r:id="rId3698"/>
    <hyperlink xmlns:r="http://schemas.openxmlformats.org/officeDocument/2006/relationships" ref="J1291" r:id="rId3699"/>
    <hyperlink xmlns:r="http://schemas.openxmlformats.org/officeDocument/2006/relationships" ref="K1291" r:id="rId3700"/>
    <hyperlink xmlns:r="http://schemas.openxmlformats.org/officeDocument/2006/relationships" ref="I1292" r:id="rId3701"/>
    <hyperlink xmlns:r="http://schemas.openxmlformats.org/officeDocument/2006/relationships" ref="J1292" r:id="rId3702"/>
    <hyperlink xmlns:r="http://schemas.openxmlformats.org/officeDocument/2006/relationships" ref="K1292" r:id="rId3703"/>
    <hyperlink xmlns:r="http://schemas.openxmlformats.org/officeDocument/2006/relationships" ref="I1293" r:id="rId3704"/>
    <hyperlink xmlns:r="http://schemas.openxmlformats.org/officeDocument/2006/relationships" ref="J1293" r:id="rId3705"/>
    <hyperlink xmlns:r="http://schemas.openxmlformats.org/officeDocument/2006/relationships" ref="K1293" r:id="rId3706"/>
    <hyperlink xmlns:r="http://schemas.openxmlformats.org/officeDocument/2006/relationships" ref="I1294" r:id="rId3707"/>
    <hyperlink xmlns:r="http://schemas.openxmlformats.org/officeDocument/2006/relationships" ref="J1294" r:id="rId3708"/>
    <hyperlink xmlns:r="http://schemas.openxmlformats.org/officeDocument/2006/relationships" ref="K1294" r:id="rId3709"/>
    <hyperlink xmlns:r="http://schemas.openxmlformats.org/officeDocument/2006/relationships" ref="I1295" r:id="rId3710"/>
    <hyperlink xmlns:r="http://schemas.openxmlformats.org/officeDocument/2006/relationships" ref="J1295" r:id="rId3711"/>
    <hyperlink xmlns:r="http://schemas.openxmlformats.org/officeDocument/2006/relationships" ref="K1295" r:id="rId3712"/>
    <hyperlink xmlns:r="http://schemas.openxmlformats.org/officeDocument/2006/relationships" ref="I1296" r:id="rId3713"/>
    <hyperlink xmlns:r="http://schemas.openxmlformats.org/officeDocument/2006/relationships" ref="J1296" r:id="rId3714"/>
    <hyperlink xmlns:r="http://schemas.openxmlformats.org/officeDocument/2006/relationships" ref="K1296" r:id="rId3715"/>
    <hyperlink xmlns:r="http://schemas.openxmlformats.org/officeDocument/2006/relationships" ref="I1297" r:id="rId3716"/>
    <hyperlink xmlns:r="http://schemas.openxmlformats.org/officeDocument/2006/relationships" ref="J1297" r:id="rId3717"/>
    <hyperlink xmlns:r="http://schemas.openxmlformats.org/officeDocument/2006/relationships" ref="K1297" r:id="rId3718"/>
    <hyperlink xmlns:r="http://schemas.openxmlformats.org/officeDocument/2006/relationships" ref="I1298" r:id="rId3719"/>
    <hyperlink xmlns:r="http://schemas.openxmlformats.org/officeDocument/2006/relationships" ref="J1298" r:id="rId3720"/>
    <hyperlink xmlns:r="http://schemas.openxmlformats.org/officeDocument/2006/relationships" ref="I1299" r:id="rId3721"/>
    <hyperlink xmlns:r="http://schemas.openxmlformats.org/officeDocument/2006/relationships" ref="J1299" r:id="rId3722"/>
    <hyperlink xmlns:r="http://schemas.openxmlformats.org/officeDocument/2006/relationships" ref="I1300" r:id="rId3723"/>
    <hyperlink xmlns:r="http://schemas.openxmlformats.org/officeDocument/2006/relationships" ref="J1300" r:id="rId3724"/>
    <hyperlink xmlns:r="http://schemas.openxmlformats.org/officeDocument/2006/relationships" ref="I1301" r:id="rId3725"/>
    <hyperlink xmlns:r="http://schemas.openxmlformats.org/officeDocument/2006/relationships" ref="J1301" r:id="rId3726"/>
    <hyperlink xmlns:r="http://schemas.openxmlformats.org/officeDocument/2006/relationships" ref="I1302" r:id="rId3727"/>
    <hyperlink xmlns:r="http://schemas.openxmlformats.org/officeDocument/2006/relationships" ref="J1302" r:id="rId3728"/>
    <hyperlink xmlns:r="http://schemas.openxmlformats.org/officeDocument/2006/relationships" ref="I1303" r:id="rId3729"/>
    <hyperlink xmlns:r="http://schemas.openxmlformats.org/officeDocument/2006/relationships" ref="J1303" r:id="rId3730"/>
    <hyperlink xmlns:r="http://schemas.openxmlformats.org/officeDocument/2006/relationships" ref="K1303" r:id="rId3731"/>
    <hyperlink xmlns:r="http://schemas.openxmlformats.org/officeDocument/2006/relationships" ref="I1304" r:id="rId3732"/>
    <hyperlink xmlns:r="http://schemas.openxmlformats.org/officeDocument/2006/relationships" ref="J1304" r:id="rId3733"/>
    <hyperlink xmlns:r="http://schemas.openxmlformats.org/officeDocument/2006/relationships" ref="K1304" r:id="rId3734"/>
    <hyperlink xmlns:r="http://schemas.openxmlformats.org/officeDocument/2006/relationships" ref="I1305" r:id="rId3735"/>
    <hyperlink xmlns:r="http://schemas.openxmlformats.org/officeDocument/2006/relationships" ref="J1305" r:id="rId3736"/>
    <hyperlink xmlns:r="http://schemas.openxmlformats.org/officeDocument/2006/relationships" ref="K1305" r:id="rId3737"/>
    <hyperlink xmlns:r="http://schemas.openxmlformats.org/officeDocument/2006/relationships" ref="I1306" r:id="rId3738"/>
    <hyperlink xmlns:r="http://schemas.openxmlformats.org/officeDocument/2006/relationships" ref="J1306" r:id="rId3739"/>
    <hyperlink xmlns:r="http://schemas.openxmlformats.org/officeDocument/2006/relationships" ref="K1306" r:id="rId3740"/>
    <hyperlink xmlns:r="http://schemas.openxmlformats.org/officeDocument/2006/relationships" ref="I1307" r:id="rId3741"/>
    <hyperlink xmlns:r="http://schemas.openxmlformats.org/officeDocument/2006/relationships" ref="J1307" r:id="rId3742"/>
    <hyperlink xmlns:r="http://schemas.openxmlformats.org/officeDocument/2006/relationships" ref="K1307" r:id="rId3743"/>
    <hyperlink xmlns:r="http://schemas.openxmlformats.org/officeDocument/2006/relationships" ref="I1308" r:id="rId3744"/>
    <hyperlink xmlns:r="http://schemas.openxmlformats.org/officeDocument/2006/relationships" ref="J1308" r:id="rId3745"/>
    <hyperlink xmlns:r="http://schemas.openxmlformats.org/officeDocument/2006/relationships" ref="K1308" r:id="rId3746"/>
    <hyperlink xmlns:r="http://schemas.openxmlformats.org/officeDocument/2006/relationships" ref="I1309" r:id="rId3747"/>
    <hyperlink xmlns:r="http://schemas.openxmlformats.org/officeDocument/2006/relationships" ref="J1309" r:id="rId3748"/>
    <hyperlink xmlns:r="http://schemas.openxmlformats.org/officeDocument/2006/relationships" ref="K1309" r:id="rId3749"/>
    <hyperlink xmlns:r="http://schemas.openxmlformats.org/officeDocument/2006/relationships" ref="I1310" r:id="rId3750"/>
    <hyperlink xmlns:r="http://schemas.openxmlformats.org/officeDocument/2006/relationships" ref="J1310" r:id="rId3751"/>
    <hyperlink xmlns:r="http://schemas.openxmlformats.org/officeDocument/2006/relationships" ref="K1310" r:id="rId3752"/>
    <hyperlink xmlns:r="http://schemas.openxmlformats.org/officeDocument/2006/relationships" ref="I1311" r:id="rId3753"/>
    <hyperlink xmlns:r="http://schemas.openxmlformats.org/officeDocument/2006/relationships" ref="J1311" r:id="rId3754"/>
    <hyperlink xmlns:r="http://schemas.openxmlformats.org/officeDocument/2006/relationships" ref="K1311" r:id="rId3755"/>
    <hyperlink xmlns:r="http://schemas.openxmlformats.org/officeDocument/2006/relationships" ref="I1312" r:id="rId3756"/>
    <hyperlink xmlns:r="http://schemas.openxmlformats.org/officeDocument/2006/relationships" ref="J1312" r:id="rId3757"/>
    <hyperlink xmlns:r="http://schemas.openxmlformats.org/officeDocument/2006/relationships" ref="K1312" r:id="rId3758"/>
    <hyperlink xmlns:r="http://schemas.openxmlformats.org/officeDocument/2006/relationships" ref="I1313" r:id="rId3759"/>
    <hyperlink xmlns:r="http://schemas.openxmlformats.org/officeDocument/2006/relationships" ref="J1313" r:id="rId3760"/>
    <hyperlink xmlns:r="http://schemas.openxmlformats.org/officeDocument/2006/relationships" ref="K1313" r:id="rId3761"/>
    <hyperlink xmlns:r="http://schemas.openxmlformats.org/officeDocument/2006/relationships" ref="I1314" r:id="rId3762"/>
    <hyperlink xmlns:r="http://schemas.openxmlformats.org/officeDocument/2006/relationships" ref="J1314" r:id="rId3763"/>
    <hyperlink xmlns:r="http://schemas.openxmlformats.org/officeDocument/2006/relationships" ref="K1314" r:id="rId3764"/>
    <hyperlink xmlns:r="http://schemas.openxmlformats.org/officeDocument/2006/relationships" ref="I1315" r:id="rId3765"/>
    <hyperlink xmlns:r="http://schemas.openxmlformats.org/officeDocument/2006/relationships" ref="J1315" r:id="rId3766"/>
    <hyperlink xmlns:r="http://schemas.openxmlformats.org/officeDocument/2006/relationships" ref="K1315" r:id="rId3767"/>
    <hyperlink xmlns:r="http://schemas.openxmlformats.org/officeDocument/2006/relationships" ref="I1316" r:id="rId3768"/>
    <hyperlink xmlns:r="http://schemas.openxmlformats.org/officeDocument/2006/relationships" ref="J1316" r:id="rId3769"/>
    <hyperlink xmlns:r="http://schemas.openxmlformats.org/officeDocument/2006/relationships" ref="K1316" r:id="rId3770"/>
    <hyperlink xmlns:r="http://schemas.openxmlformats.org/officeDocument/2006/relationships" ref="I1317" r:id="rId3771"/>
    <hyperlink xmlns:r="http://schemas.openxmlformats.org/officeDocument/2006/relationships" ref="J1317" r:id="rId3772"/>
    <hyperlink xmlns:r="http://schemas.openxmlformats.org/officeDocument/2006/relationships" ref="K1317" r:id="rId3773"/>
    <hyperlink xmlns:r="http://schemas.openxmlformats.org/officeDocument/2006/relationships" ref="I1318" r:id="rId3774"/>
    <hyperlink xmlns:r="http://schemas.openxmlformats.org/officeDocument/2006/relationships" ref="J1318" r:id="rId3775"/>
    <hyperlink xmlns:r="http://schemas.openxmlformats.org/officeDocument/2006/relationships" ref="K1318" r:id="rId3776"/>
    <hyperlink xmlns:r="http://schemas.openxmlformats.org/officeDocument/2006/relationships" ref="I1319" r:id="rId3777"/>
    <hyperlink xmlns:r="http://schemas.openxmlformats.org/officeDocument/2006/relationships" ref="J1319" r:id="rId3778"/>
    <hyperlink xmlns:r="http://schemas.openxmlformats.org/officeDocument/2006/relationships" ref="K1319" r:id="rId3779"/>
    <hyperlink xmlns:r="http://schemas.openxmlformats.org/officeDocument/2006/relationships" ref="I1320" r:id="rId3780"/>
    <hyperlink xmlns:r="http://schemas.openxmlformats.org/officeDocument/2006/relationships" ref="J1320" r:id="rId3781"/>
    <hyperlink xmlns:r="http://schemas.openxmlformats.org/officeDocument/2006/relationships" ref="K1320" r:id="rId3782"/>
    <hyperlink xmlns:r="http://schemas.openxmlformats.org/officeDocument/2006/relationships" ref="I1321" r:id="rId3783"/>
    <hyperlink xmlns:r="http://schemas.openxmlformats.org/officeDocument/2006/relationships" ref="J1321" r:id="rId3784"/>
    <hyperlink xmlns:r="http://schemas.openxmlformats.org/officeDocument/2006/relationships" ref="K1321" r:id="rId3785"/>
    <hyperlink xmlns:r="http://schemas.openxmlformats.org/officeDocument/2006/relationships" ref="I1322" r:id="rId3786"/>
    <hyperlink xmlns:r="http://schemas.openxmlformats.org/officeDocument/2006/relationships" ref="J1322" r:id="rId3787"/>
    <hyperlink xmlns:r="http://schemas.openxmlformats.org/officeDocument/2006/relationships" ref="K1322" r:id="rId3788"/>
    <hyperlink xmlns:r="http://schemas.openxmlformats.org/officeDocument/2006/relationships" ref="I1323" r:id="rId3789"/>
    <hyperlink xmlns:r="http://schemas.openxmlformats.org/officeDocument/2006/relationships" ref="J1323" r:id="rId3790"/>
    <hyperlink xmlns:r="http://schemas.openxmlformats.org/officeDocument/2006/relationships" ref="K1323" r:id="rId3791"/>
    <hyperlink xmlns:r="http://schemas.openxmlformats.org/officeDocument/2006/relationships" ref="I1324" r:id="rId3792"/>
    <hyperlink xmlns:r="http://schemas.openxmlformats.org/officeDocument/2006/relationships" ref="J1324" r:id="rId3793"/>
    <hyperlink xmlns:r="http://schemas.openxmlformats.org/officeDocument/2006/relationships" ref="K1324" r:id="rId3794"/>
    <hyperlink xmlns:r="http://schemas.openxmlformats.org/officeDocument/2006/relationships" ref="I1325" r:id="rId3795"/>
    <hyperlink xmlns:r="http://schemas.openxmlformats.org/officeDocument/2006/relationships" ref="J1325" r:id="rId3796"/>
    <hyperlink xmlns:r="http://schemas.openxmlformats.org/officeDocument/2006/relationships" ref="K1325" r:id="rId3797"/>
    <hyperlink xmlns:r="http://schemas.openxmlformats.org/officeDocument/2006/relationships" ref="I1326" r:id="rId3798"/>
    <hyperlink xmlns:r="http://schemas.openxmlformats.org/officeDocument/2006/relationships" ref="J1326" r:id="rId3799"/>
    <hyperlink xmlns:r="http://schemas.openxmlformats.org/officeDocument/2006/relationships" ref="K1326" r:id="rId3800"/>
    <hyperlink xmlns:r="http://schemas.openxmlformats.org/officeDocument/2006/relationships" ref="I1327" r:id="rId3801"/>
    <hyperlink xmlns:r="http://schemas.openxmlformats.org/officeDocument/2006/relationships" ref="J1327" r:id="rId3802"/>
    <hyperlink xmlns:r="http://schemas.openxmlformats.org/officeDocument/2006/relationships" ref="K1327" r:id="rId3803"/>
    <hyperlink xmlns:r="http://schemas.openxmlformats.org/officeDocument/2006/relationships" ref="I1328" r:id="rId3804"/>
    <hyperlink xmlns:r="http://schemas.openxmlformats.org/officeDocument/2006/relationships" ref="J1328" r:id="rId3805"/>
    <hyperlink xmlns:r="http://schemas.openxmlformats.org/officeDocument/2006/relationships" ref="K1328" r:id="rId3806"/>
    <hyperlink xmlns:r="http://schemas.openxmlformats.org/officeDocument/2006/relationships" ref="I1329" r:id="rId3807"/>
    <hyperlink xmlns:r="http://schemas.openxmlformats.org/officeDocument/2006/relationships" ref="J1329" r:id="rId3808"/>
    <hyperlink xmlns:r="http://schemas.openxmlformats.org/officeDocument/2006/relationships" ref="K1329" r:id="rId3809"/>
    <hyperlink xmlns:r="http://schemas.openxmlformats.org/officeDocument/2006/relationships" ref="I1330" r:id="rId3810"/>
    <hyperlink xmlns:r="http://schemas.openxmlformats.org/officeDocument/2006/relationships" ref="J1330" r:id="rId3811"/>
    <hyperlink xmlns:r="http://schemas.openxmlformats.org/officeDocument/2006/relationships" ref="K1330" r:id="rId3812"/>
    <hyperlink xmlns:r="http://schemas.openxmlformats.org/officeDocument/2006/relationships" ref="I1331" r:id="rId3813"/>
    <hyperlink xmlns:r="http://schemas.openxmlformats.org/officeDocument/2006/relationships" ref="J1331" r:id="rId3814"/>
    <hyperlink xmlns:r="http://schemas.openxmlformats.org/officeDocument/2006/relationships" ref="K1331" r:id="rId3815"/>
    <hyperlink xmlns:r="http://schemas.openxmlformats.org/officeDocument/2006/relationships" ref="I1332" r:id="rId3816"/>
    <hyperlink xmlns:r="http://schemas.openxmlformats.org/officeDocument/2006/relationships" ref="J1332" r:id="rId3817"/>
    <hyperlink xmlns:r="http://schemas.openxmlformats.org/officeDocument/2006/relationships" ref="K1332" r:id="rId3818"/>
    <hyperlink xmlns:r="http://schemas.openxmlformats.org/officeDocument/2006/relationships" ref="I1333" r:id="rId3819"/>
    <hyperlink xmlns:r="http://schemas.openxmlformats.org/officeDocument/2006/relationships" ref="J1333" r:id="rId3820"/>
    <hyperlink xmlns:r="http://schemas.openxmlformats.org/officeDocument/2006/relationships" ref="K1333" r:id="rId3821"/>
    <hyperlink xmlns:r="http://schemas.openxmlformats.org/officeDocument/2006/relationships" ref="I1334" r:id="rId3822"/>
    <hyperlink xmlns:r="http://schemas.openxmlformats.org/officeDocument/2006/relationships" ref="J1334" r:id="rId3823"/>
    <hyperlink xmlns:r="http://schemas.openxmlformats.org/officeDocument/2006/relationships" ref="K1334" r:id="rId3824"/>
    <hyperlink xmlns:r="http://schemas.openxmlformats.org/officeDocument/2006/relationships" ref="I1335" r:id="rId3825"/>
    <hyperlink xmlns:r="http://schemas.openxmlformats.org/officeDocument/2006/relationships" ref="J1335" r:id="rId3826"/>
    <hyperlink xmlns:r="http://schemas.openxmlformats.org/officeDocument/2006/relationships" ref="K1335" r:id="rId3827"/>
    <hyperlink xmlns:r="http://schemas.openxmlformats.org/officeDocument/2006/relationships" ref="I1336" r:id="rId3828"/>
    <hyperlink xmlns:r="http://schemas.openxmlformats.org/officeDocument/2006/relationships" ref="J1336" r:id="rId3829"/>
    <hyperlink xmlns:r="http://schemas.openxmlformats.org/officeDocument/2006/relationships" ref="K1336" r:id="rId3830"/>
    <hyperlink xmlns:r="http://schemas.openxmlformats.org/officeDocument/2006/relationships" ref="I1337" r:id="rId3831"/>
    <hyperlink xmlns:r="http://schemas.openxmlformats.org/officeDocument/2006/relationships" ref="J1337" r:id="rId3832"/>
    <hyperlink xmlns:r="http://schemas.openxmlformats.org/officeDocument/2006/relationships" ref="K1337" r:id="rId3833"/>
    <hyperlink xmlns:r="http://schemas.openxmlformats.org/officeDocument/2006/relationships" ref="I1338" r:id="rId3834"/>
    <hyperlink xmlns:r="http://schemas.openxmlformats.org/officeDocument/2006/relationships" ref="J1338" r:id="rId3835"/>
    <hyperlink xmlns:r="http://schemas.openxmlformats.org/officeDocument/2006/relationships" ref="K1338" r:id="rId3836"/>
    <hyperlink xmlns:r="http://schemas.openxmlformats.org/officeDocument/2006/relationships" ref="I1339" r:id="rId3837"/>
    <hyperlink xmlns:r="http://schemas.openxmlformats.org/officeDocument/2006/relationships" ref="J1339" r:id="rId3838"/>
    <hyperlink xmlns:r="http://schemas.openxmlformats.org/officeDocument/2006/relationships" ref="K1339" r:id="rId3839"/>
    <hyperlink xmlns:r="http://schemas.openxmlformats.org/officeDocument/2006/relationships" ref="I1340" r:id="rId3840"/>
    <hyperlink xmlns:r="http://schemas.openxmlformats.org/officeDocument/2006/relationships" ref="J1340" r:id="rId3841"/>
    <hyperlink xmlns:r="http://schemas.openxmlformats.org/officeDocument/2006/relationships" ref="K1340" r:id="rId3842"/>
    <hyperlink xmlns:r="http://schemas.openxmlformats.org/officeDocument/2006/relationships" ref="I1341" r:id="rId3843"/>
    <hyperlink xmlns:r="http://schemas.openxmlformats.org/officeDocument/2006/relationships" ref="J1341" r:id="rId3844"/>
    <hyperlink xmlns:r="http://schemas.openxmlformats.org/officeDocument/2006/relationships" ref="K1341" r:id="rId3845"/>
    <hyperlink xmlns:r="http://schemas.openxmlformats.org/officeDocument/2006/relationships" ref="I1342" r:id="rId3846"/>
    <hyperlink xmlns:r="http://schemas.openxmlformats.org/officeDocument/2006/relationships" ref="J1342" r:id="rId3847"/>
    <hyperlink xmlns:r="http://schemas.openxmlformats.org/officeDocument/2006/relationships" ref="K1342" r:id="rId3848"/>
    <hyperlink xmlns:r="http://schemas.openxmlformats.org/officeDocument/2006/relationships" ref="I1343" r:id="rId3849"/>
    <hyperlink xmlns:r="http://schemas.openxmlformats.org/officeDocument/2006/relationships" ref="J1343" r:id="rId3850"/>
    <hyperlink xmlns:r="http://schemas.openxmlformats.org/officeDocument/2006/relationships" ref="K1343" r:id="rId3851"/>
    <hyperlink xmlns:r="http://schemas.openxmlformats.org/officeDocument/2006/relationships" ref="I1344" r:id="rId3852"/>
    <hyperlink xmlns:r="http://schemas.openxmlformats.org/officeDocument/2006/relationships" ref="J1344" r:id="rId3853"/>
    <hyperlink xmlns:r="http://schemas.openxmlformats.org/officeDocument/2006/relationships" ref="K1344" r:id="rId3854"/>
    <hyperlink xmlns:r="http://schemas.openxmlformats.org/officeDocument/2006/relationships" ref="I1345" r:id="rId3855"/>
    <hyperlink xmlns:r="http://schemas.openxmlformats.org/officeDocument/2006/relationships" ref="J1345" r:id="rId3856"/>
    <hyperlink xmlns:r="http://schemas.openxmlformats.org/officeDocument/2006/relationships" ref="K1345" r:id="rId3857"/>
    <hyperlink xmlns:r="http://schemas.openxmlformats.org/officeDocument/2006/relationships" ref="I1346" r:id="rId3858"/>
    <hyperlink xmlns:r="http://schemas.openxmlformats.org/officeDocument/2006/relationships" ref="J1346" r:id="rId3859"/>
    <hyperlink xmlns:r="http://schemas.openxmlformats.org/officeDocument/2006/relationships" ref="K1346" r:id="rId3860"/>
    <hyperlink xmlns:r="http://schemas.openxmlformats.org/officeDocument/2006/relationships" ref="I1347" r:id="rId3861"/>
    <hyperlink xmlns:r="http://schemas.openxmlformats.org/officeDocument/2006/relationships" ref="J1347" r:id="rId3862"/>
    <hyperlink xmlns:r="http://schemas.openxmlformats.org/officeDocument/2006/relationships" ref="K1347" r:id="rId3863"/>
    <hyperlink xmlns:r="http://schemas.openxmlformats.org/officeDocument/2006/relationships" ref="I1348" r:id="rId3864"/>
    <hyperlink xmlns:r="http://schemas.openxmlformats.org/officeDocument/2006/relationships" ref="J1348" r:id="rId3865"/>
    <hyperlink xmlns:r="http://schemas.openxmlformats.org/officeDocument/2006/relationships" ref="I1349" r:id="rId3866"/>
    <hyperlink xmlns:r="http://schemas.openxmlformats.org/officeDocument/2006/relationships" ref="J1349" r:id="rId3867"/>
    <hyperlink xmlns:r="http://schemas.openxmlformats.org/officeDocument/2006/relationships" ref="I1350" r:id="rId3868"/>
    <hyperlink xmlns:r="http://schemas.openxmlformats.org/officeDocument/2006/relationships" ref="J1350" r:id="rId3869"/>
    <hyperlink xmlns:r="http://schemas.openxmlformats.org/officeDocument/2006/relationships" ref="I1351" r:id="rId3870"/>
    <hyperlink xmlns:r="http://schemas.openxmlformats.org/officeDocument/2006/relationships" ref="J1351" r:id="rId3871"/>
    <hyperlink xmlns:r="http://schemas.openxmlformats.org/officeDocument/2006/relationships" ref="I1352" r:id="rId3872"/>
    <hyperlink xmlns:r="http://schemas.openxmlformats.org/officeDocument/2006/relationships" ref="J1352" r:id="rId3873"/>
    <hyperlink xmlns:r="http://schemas.openxmlformats.org/officeDocument/2006/relationships" ref="K1352" r:id="rId3874"/>
    <hyperlink xmlns:r="http://schemas.openxmlformats.org/officeDocument/2006/relationships" ref="I1353" r:id="rId3875"/>
    <hyperlink xmlns:r="http://schemas.openxmlformats.org/officeDocument/2006/relationships" ref="J1353" r:id="rId3876"/>
    <hyperlink xmlns:r="http://schemas.openxmlformats.org/officeDocument/2006/relationships" ref="K1353" r:id="rId3877"/>
    <hyperlink xmlns:r="http://schemas.openxmlformats.org/officeDocument/2006/relationships" ref="I1354" r:id="rId3878"/>
    <hyperlink xmlns:r="http://schemas.openxmlformats.org/officeDocument/2006/relationships" ref="J1354" r:id="rId3879"/>
    <hyperlink xmlns:r="http://schemas.openxmlformats.org/officeDocument/2006/relationships" ref="K1354" r:id="rId3880"/>
    <hyperlink xmlns:r="http://schemas.openxmlformats.org/officeDocument/2006/relationships" ref="I1355" r:id="rId3881"/>
    <hyperlink xmlns:r="http://schemas.openxmlformats.org/officeDocument/2006/relationships" ref="J1355" r:id="rId3882"/>
    <hyperlink xmlns:r="http://schemas.openxmlformats.org/officeDocument/2006/relationships" ref="K1355" r:id="rId3883"/>
    <hyperlink xmlns:r="http://schemas.openxmlformats.org/officeDocument/2006/relationships" ref="I1356" r:id="rId3884"/>
    <hyperlink xmlns:r="http://schemas.openxmlformats.org/officeDocument/2006/relationships" ref="J1356" r:id="rId3885"/>
    <hyperlink xmlns:r="http://schemas.openxmlformats.org/officeDocument/2006/relationships" ref="K1356" r:id="rId3886"/>
    <hyperlink xmlns:r="http://schemas.openxmlformats.org/officeDocument/2006/relationships" ref="I1357" r:id="rId3887"/>
    <hyperlink xmlns:r="http://schemas.openxmlformats.org/officeDocument/2006/relationships" ref="J1357" r:id="rId3888"/>
    <hyperlink xmlns:r="http://schemas.openxmlformats.org/officeDocument/2006/relationships" ref="K1357" r:id="rId3889"/>
    <hyperlink xmlns:r="http://schemas.openxmlformats.org/officeDocument/2006/relationships" ref="I1358" r:id="rId3890"/>
    <hyperlink xmlns:r="http://schemas.openxmlformats.org/officeDocument/2006/relationships" ref="J1358" r:id="rId3891"/>
    <hyperlink xmlns:r="http://schemas.openxmlformats.org/officeDocument/2006/relationships" ref="K1358" r:id="rId3892"/>
    <hyperlink xmlns:r="http://schemas.openxmlformats.org/officeDocument/2006/relationships" ref="I1359" r:id="rId3893"/>
    <hyperlink xmlns:r="http://schemas.openxmlformats.org/officeDocument/2006/relationships" ref="J1359" r:id="rId3894"/>
    <hyperlink xmlns:r="http://schemas.openxmlformats.org/officeDocument/2006/relationships" ref="K1359" r:id="rId3895"/>
    <hyperlink xmlns:r="http://schemas.openxmlformats.org/officeDocument/2006/relationships" ref="I1360" r:id="rId3896"/>
    <hyperlink xmlns:r="http://schemas.openxmlformats.org/officeDocument/2006/relationships" ref="J1360" r:id="rId3897"/>
    <hyperlink xmlns:r="http://schemas.openxmlformats.org/officeDocument/2006/relationships" ref="K1360" r:id="rId3898"/>
    <hyperlink xmlns:r="http://schemas.openxmlformats.org/officeDocument/2006/relationships" ref="I1361" r:id="rId3899"/>
    <hyperlink xmlns:r="http://schemas.openxmlformats.org/officeDocument/2006/relationships" ref="J1361" r:id="rId3900"/>
    <hyperlink xmlns:r="http://schemas.openxmlformats.org/officeDocument/2006/relationships" ref="K1361" r:id="rId3901"/>
    <hyperlink xmlns:r="http://schemas.openxmlformats.org/officeDocument/2006/relationships" ref="I1362" r:id="rId3902"/>
    <hyperlink xmlns:r="http://schemas.openxmlformats.org/officeDocument/2006/relationships" ref="J1362" r:id="rId3903"/>
    <hyperlink xmlns:r="http://schemas.openxmlformats.org/officeDocument/2006/relationships" ref="K1362" r:id="rId3904"/>
    <hyperlink xmlns:r="http://schemas.openxmlformats.org/officeDocument/2006/relationships" ref="I1363" r:id="rId3905"/>
    <hyperlink xmlns:r="http://schemas.openxmlformats.org/officeDocument/2006/relationships" ref="J1363" r:id="rId3906"/>
    <hyperlink xmlns:r="http://schemas.openxmlformats.org/officeDocument/2006/relationships" ref="K1363" r:id="rId3907"/>
    <hyperlink xmlns:r="http://schemas.openxmlformats.org/officeDocument/2006/relationships" ref="I1364" r:id="rId3908"/>
    <hyperlink xmlns:r="http://schemas.openxmlformats.org/officeDocument/2006/relationships" ref="J1364" r:id="rId3909"/>
    <hyperlink xmlns:r="http://schemas.openxmlformats.org/officeDocument/2006/relationships" ref="K1364" r:id="rId3910"/>
    <hyperlink xmlns:r="http://schemas.openxmlformats.org/officeDocument/2006/relationships" ref="I1365" r:id="rId3911"/>
    <hyperlink xmlns:r="http://schemas.openxmlformats.org/officeDocument/2006/relationships" ref="J1365" r:id="rId3912"/>
    <hyperlink xmlns:r="http://schemas.openxmlformats.org/officeDocument/2006/relationships" ref="K1365" r:id="rId3913"/>
    <hyperlink xmlns:r="http://schemas.openxmlformats.org/officeDocument/2006/relationships" ref="I1366" r:id="rId3914"/>
    <hyperlink xmlns:r="http://schemas.openxmlformats.org/officeDocument/2006/relationships" ref="J1366" r:id="rId3915"/>
    <hyperlink xmlns:r="http://schemas.openxmlformats.org/officeDocument/2006/relationships" ref="K1366" r:id="rId3916"/>
    <hyperlink xmlns:r="http://schemas.openxmlformats.org/officeDocument/2006/relationships" ref="I1367" r:id="rId3917"/>
    <hyperlink xmlns:r="http://schemas.openxmlformats.org/officeDocument/2006/relationships" ref="J1367" r:id="rId3918"/>
    <hyperlink xmlns:r="http://schemas.openxmlformats.org/officeDocument/2006/relationships" ref="K1367" r:id="rId3919"/>
    <hyperlink xmlns:r="http://schemas.openxmlformats.org/officeDocument/2006/relationships" ref="I1368" r:id="rId3920"/>
    <hyperlink xmlns:r="http://schemas.openxmlformats.org/officeDocument/2006/relationships" ref="J1368" r:id="rId3921"/>
    <hyperlink xmlns:r="http://schemas.openxmlformats.org/officeDocument/2006/relationships" ref="K1368" r:id="rId3922"/>
    <hyperlink xmlns:r="http://schemas.openxmlformats.org/officeDocument/2006/relationships" ref="I1369" r:id="rId3923"/>
    <hyperlink xmlns:r="http://schemas.openxmlformats.org/officeDocument/2006/relationships" ref="J1369" r:id="rId3924"/>
    <hyperlink xmlns:r="http://schemas.openxmlformats.org/officeDocument/2006/relationships" ref="K1369" r:id="rId3925"/>
    <hyperlink xmlns:r="http://schemas.openxmlformats.org/officeDocument/2006/relationships" ref="I1370" r:id="rId3926"/>
    <hyperlink xmlns:r="http://schemas.openxmlformats.org/officeDocument/2006/relationships" ref="J1370" r:id="rId3927"/>
    <hyperlink xmlns:r="http://schemas.openxmlformats.org/officeDocument/2006/relationships" ref="K1370" r:id="rId3928"/>
    <hyperlink xmlns:r="http://schemas.openxmlformats.org/officeDocument/2006/relationships" ref="I1371" r:id="rId3929"/>
    <hyperlink xmlns:r="http://schemas.openxmlformats.org/officeDocument/2006/relationships" ref="J1371" r:id="rId3930"/>
    <hyperlink xmlns:r="http://schemas.openxmlformats.org/officeDocument/2006/relationships" ref="K1371" r:id="rId3931"/>
    <hyperlink xmlns:r="http://schemas.openxmlformats.org/officeDocument/2006/relationships" ref="I1372" r:id="rId3932"/>
    <hyperlink xmlns:r="http://schemas.openxmlformats.org/officeDocument/2006/relationships" ref="J1372" r:id="rId3933"/>
    <hyperlink xmlns:r="http://schemas.openxmlformats.org/officeDocument/2006/relationships" ref="K1372" r:id="rId3934"/>
    <hyperlink xmlns:r="http://schemas.openxmlformats.org/officeDocument/2006/relationships" ref="I1373" r:id="rId3935"/>
    <hyperlink xmlns:r="http://schemas.openxmlformats.org/officeDocument/2006/relationships" ref="J1373" r:id="rId3936"/>
    <hyperlink xmlns:r="http://schemas.openxmlformats.org/officeDocument/2006/relationships" ref="K1373" r:id="rId3937"/>
    <hyperlink xmlns:r="http://schemas.openxmlformats.org/officeDocument/2006/relationships" ref="I1374" r:id="rId3938"/>
    <hyperlink xmlns:r="http://schemas.openxmlformats.org/officeDocument/2006/relationships" ref="J1374" r:id="rId3939"/>
    <hyperlink xmlns:r="http://schemas.openxmlformats.org/officeDocument/2006/relationships" ref="K1374" r:id="rId3940"/>
    <hyperlink xmlns:r="http://schemas.openxmlformats.org/officeDocument/2006/relationships" ref="I1375" r:id="rId3941"/>
    <hyperlink xmlns:r="http://schemas.openxmlformats.org/officeDocument/2006/relationships" ref="J1375" r:id="rId3942"/>
    <hyperlink xmlns:r="http://schemas.openxmlformats.org/officeDocument/2006/relationships" ref="K1375" r:id="rId3943"/>
    <hyperlink xmlns:r="http://schemas.openxmlformats.org/officeDocument/2006/relationships" ref="I1376" r:id="rId3944"/>
    <hyperlink xmlns:r="http://schemas.openxmlformats.org/officeDocument/2006/relationships" ref="J1376" r:id="rId3945"/>
    <hyperlink xmlns:r="http://schemas.openxmlformats.org/officeDocument/2006/relationships" ref="I1377" r:id="rId3946"/>
    <hyperlink xmlns:r="http://schemas.openxmlformats.org/officeDocument/2006/relationships" ref="J1377" r:id="rId3947"/>
    <hyperlink xmlns:r="http://schemas.openxmlformats.org/officeDocument/2006/relationships" ref="I1378" r:id="rId3948"/>
    <hyperlink xmlns:r="http://schemas.openxmlformats.org/officeDocument/2006/relationships" ref="J1378" r:id="rId3949"/>
    <hyperlink xmlns:r="http://schemas.openxmlformats.org/officeDocument/2006/relationships" ref="K1378" r:id="rId3950"/>
    <hyperlink xmlns:r="http://schemas.openxmlformats.org/officeDocument/2006/relationships" ref="I1379" r:id="rId3951"/>
    <hyperlink xmlns:r="http://schemas.openxmlformats.org/officeDocument/2006/relationships" ref="J1379" r:id="rId3952"/>
    <hyperlink xmlns:r="http://schemas.openxmlformats.org/officeDocument/2006/relationships" ref="K1379" r:id="rId3953"/>
    <hyperlink xmlns:r="http://schemas.openxmlformats.org/officeDocument/2006/relationships" ref="I1380" r:id="rId3954"/>
    <hyperlink xmlns:r="http://schemas.openxmlformats.org/officeDocument/2006/relationships" ref="J1380" r:id="rId3955"/>
    <hyperlink xmlns:r="http://schemas.openxmlformats.org/officeDocument/2006/relationships" ref="K1380" r:id="rId3956"/>
    <hyperlink xmlns:r="http://schemas.openxmlformats.org/officeDocument/2006/relationships" ref="I1381" r:id="rId3957"/>
    <hyperlink xmlns:r="http://schemas.openxmlformats.org/officeDocument/2006/relationships" ref="J1381" r:id="rId3958"/>
    <hyperlink xmlns:r="http://schemas.openxmlformats.org/officeDocument/2006/relationships" ref="K1381" r:id="rId3959"/>
    <hyperlink xmlns:r="http://schemas.openxmlformats.org/officeDocument/2006/relationships" ref="I1382" r:id="rId3960"/>
    <hyperlink xmlns:r="http://schemas.openxmlformats.org/officeDocument/2006/relationships" ref="J1382" r:id="rId3961"/>
    <hyperlink xmlns:r="http://schemas.openxmlformats.org/officeDocument/2006/relationships" ref="K1382" r:id="rId3962"/>
    <hyperlink xmlns:r="http://schemas.openxmlformats.org/officeDocument/2006/relationships" ref="I1383" r:id="rId3963"/>
    <hyperlink xmlns:r="http://schemas.openxmlformats.org/officeDocument/2006/relationships" ref="J1383" r:id="rId3964"/>
    <hyperlink xmlns:r="http://schemas.openxmlformats.org/officeDocument/2006/relationships" ref="K1383" r:id="rId3965"/>
    <hyperlink xmlns:r="http://schemas.openxmlformats.org/officeDocument/2006/relationships" ref="I1384" r:id="rId3966"/>
    <hyperlink xmlns:r="http://schemas.openxmlformats.org/officeDocument/2006/relationships" ref="J1384" r:id="rId3967"/>
    <hyperlink xmlns:r="http://schemas.openxmlformats.org/officeDocument/2006/relationships" ref="K1384" r:id="rId3968"/>
    <hyperlink xmlns:r="http://schemas.openxmlformats.org/officeDocument/2006/relationships" ref="I1385" r:id="rId3969"/>
    <hyperlink xmlns:r="http://schemas.openxmlformats.org/officeDocument/2006/relationships" ref="J1385" r:id="rId3970"/>
    <hyperlink xmlns:r="http://schemas.openxmlformats.org/officeDocument/2006/relationships" ref="K1385" r:id="rId3971"/>
    <hyperlink xmlns:r="http://schemas.openxmlformats.org/officeDocument/2006/relationships" ref="I1386" r:id="rId3972"/>
    <hyperlink xmlns:r="http://schemas.openxmlformats.org/officeDocument/2006/relationships" ref="J1386" r:id="rId3973"/>
    <hyperlink xmlns:r="http://schemas.openxmlformats.org/officeDocument/2006/relationships" ref="K1386" r:id="rId3974"/>
    <hyperlink xmlns:r="http://schemas.openxmlformats.org/officeDocument/2006/relationships" ref="I1387" r:id="rId3975"/>
    <hyperlink xmlns:r="http://schemas.openxmlformats.org/officeDocument/2006/relationships" ref="J1387" r:id="rId3976"/>
    <hyperlink xmlns:r="http://schemas.openxmlformats.org/officeDocument/2006/relationships" ref="I1388" r:id="rId3977"/>
    <hyperlink xmlns:r="http://schemas.openxmlformats.org/officeDocument/2006/relationships" ref="J1388" r:id="rId3978"/>
    <hyperlink xmlns:r="http://schemas.openxmlformats.org/officeDocument/2006/relationships" ref="I1389" r:id="rId3979"/>
    <hyperlink xmlns:r="http://schemas.openxmlformats.org/officeDocument/2006/relationships" ref="J1389" r:id="rId3980"/>
    <hyperlink xmlns:r="http://schemas.openxmlformats.org/officeDocument/2006/relationships" ref="I1390" r:id="rId3981"/>
    <hyperlink xmlns:r="http://schemas.openxmlformats.org/officeDocument/2006/relationships" ref="J1390" r:id="rId3982"/>
    <hyperlink xmlns:r="http://schemas.openxmlformats.org/officeDocument/2006/relationships" ref="K1390" r:id="rId3983"/>
    <hyperlink xmlns:r="http://schemas.openxmlformats.org/officeDocument/2006/relationships" ref="I1391" r:id="rId3984"/>
    <hyperlink xmlns:r="http://schemas.openxmlformats.org/officeDocument/2006/relationships" ref="J1391" r:id="rId3985"/>
    <hyperlink xmlns:r="http://schemas.openxmlformats.org/officeDocument/2006/relationships" ref="K1391" r:id="rId3986"/>
    <hyperlink xmlns:r="http://schemas.openxmlformats.org/officeDocument/2006/relationships" ref="I1392" r:id="rId3987"/>
    <hyperlink xmlns:r="http://schemas.openxmlformats.org/officeDocument/2006/relationships" ref="J1392" r:id="rId3988"/>
    <hyperlink xmlns:r="http://schemas.openxmlformats.org/officeDocument/2006/relationships" ref="K1392" r:id="rId3989"/>
    <hyperlink xmlns:r="http://schemas.openxmlformats.org/officeDocument/2006/relationships" ref="I1393" r:id="rId3990"/>
    <hyperlink xmlns:r="http://schemas.openxmlformats.org/officeDocument/2006/relationships" ref="J1393" r:id="rId3991"/>
    <hyperlink xmlns:r="http://schemas.openxmlformats.org/officeDocument/2006/relationships" ref="K1393" r:id="rId3992"/>
    <hyperlink xmlns:r="http://schemas.openxmlformats.org/officeDocument/2006/relationships" ref="I1394" r:id="rId3993"/>
    <hyperlink xmlns:r="http://schemas.openxmlformats.org/officeDocument/2006/relationships" ref="J1394" r:id="rId3994"/>
    <hyperlink xmlns:r="http://schemas.openxmlformats.org/officeDocument/2006/relationships" ref="K1394" r:id="rId3995"/>
    <hyperlink xmlns:r="http://schemas.openxmlformats.org/officeDocument/2006/relationships" ref="I1395" r:id="rId3996"/>
    <hyperlink xmlns:r="http://schemas.openxmlformats.org/officeDocument/2006/relationships" ref="J1395" r:id="rId3997"/>
    <hyperlink xmlns:r="http://schemas.openxmlformats.org/officeDocument/2006/relationships" ref="K1395" r:id="rId3998"/>
    <hyperlink xmlns:r="http://schemas.openxmlformats.org/officeDocument/2006/relationships" ref="I1396" r:id="rId3999"/>
    <hyperlink xmlns:r="http://schemas.openxmlformats.org/officeDocument/2006/relationships" ref="J1396" r:id="rId4000"/>
    <hyperlink xmlns:r="http://schemas.openxmlformats.org/officeDocument/2006/relationships" ref="K1396" r:id="rId4001"/>
    <hyperlink xmlns:r="http://schemas.openxmlformats.org/officeDocument/2006/relationships" ref="I1397" r:id="rId4002"/>
    <hyperlink xmlns:r="http://schemas.openxmlformats.org/officeDocument/2006/relationships" ref="J1397" r:id="rId4003"/>
    <hyperlink xmlns:r="http://schemas.openxmlformats.org/officeDocument/2006/relationships" ref="K1397" r:id="rId4004"/>
    <hyperlink xmlns:r="http://schemas.openxmlformats.org/officeDocument/2006/relationships" ref="I1398" r:id="rId4005"/>
    <hyperlink xmlns:r="http://schemas.openxmlformats.org/officeDocument/2006/relationships" ref="J1398" r:id="rId4006"/>
    <hyperlink xmlns:r="http://schemas.openxmlformats.org/officeDocument/2006/relationships" ref="K1398" r:id="rId4007"/>
    <hyperlink xmlns:r="http://schemas.openxmlformats.org/officeDocument/2006/relationships" ref="I1399" r:id="rId4008"/>
    <hyperlink xmlns:r="http://schemas.openxmlformats.org/officeDocument/2006/relationships" ref="J1399" r:id="rId4009"/>
    <hyperlink xmlns:r="http://schemas.openxmlformats.org/officeDocument/2006/relationships" ref="K1399" r:id="rId4010"/>
    <hyperlink xmlns:r="http://schemas.openxmlformats.org/officeDocument/2006/relationships" ref="I1400" r:id="rId4011"/>
    <hyperlink xmlns:r="http://schemas.openxmlformats.org/officeDocument/2006/relationships" ref="J1400" r:id="rId4012"/>
    <hyperlink xmlns:r="http://schemas.openxmlformats.org/officeDocument/2006/relationships" ref="K1400" r:id="rId4013"/>
    <hyperlink xmlns:r="http://schemas.openxmlformats.org/officeDocument/2006/relationships" ref="I1401" r:id="rId4014"/>
    <hyperlink xmlns:r="http://schemas.openxmlformats.org/officeDocument/2006/relationships" ref="J1401" r:id="rId4015"/>
    <hyperlink xmlns:r="http://schemas.openxmlformats.org/officeDocument/2006/relationships" ref="K1401" r:id="rId4016"/>
    <hyperlink xmlns:r="http://schemas.openxmlformats.org/officeDocument/2006/relationships" ref="I1402" r:id="rId4017"/>
    <hyperlink xmlns:r="http://schemas.openxmlformats.org/officeDocument/2006/relationships" ref="J1402" r:id="rId4018"/>
    <hyperlink xmlns:r="http://schemas.openxmlformats.org/officeDocument/2006/relationships" ref="K1402" r:id="rId4019"/>
    <hyperlink xmlns:r="http://schemas.openxmlformats.org/officeDocument/2006/relationships" ref="I1403" r:id="rId4020"/>
    <hyperlink xmlns:r="http://schemas.openxmlformats.org/officeDocument/2006/relationships" ref="J1403" r:id="rId4021"/>
    <hyperlink xmlns:r="http://schemas.openxmlformats.org/officeDocument/2006/relationships" ref="K1403" r:id="rId4022"/>
    <hyperlink xmlns:r="http://schemas.openxmlformats.org/officeDocument/2006/relationships" ref="I1404" r:id="rId4023"/>
    <hyperlink xmlns:r="http://schemas.openxmlformats.org/officeDocument/2006/relationships" ref="J1404" r:id="rId4024"/>
    <hyperlink xmlns:r="http://schemas.openxmlformats.org/officeDocument/2006/relationships" ref="K1404" r:id="rId4025"/>
    <hyperlink xmlns:r="http://schemas.openxmlformats.org/officeDocument/2006/relationships" ref="I1405" r:id="rId4026"/>
    <hyperlink xmlns:r="http://schemas.openxmlformats.org/officeDocument/2006/relationships" ref="J1405" r:id="rId4027"/>
    <hyperlink xmlns:r="http://schemas.openxmlformats.org/officeDocument/2006/relationships" ref="K1405" r:id="rId4028"/>
    <hyperlink xmlns:r="http://schemas.openxmlformats.org/officeDocument/2006/relationships" ref="I1406" r:id="rId4029"/>
    <hyperlink xmlns:r="http://schemas.openxmlformats.org/officeDocument/2006/relationships" ref="J1406" r:id="rId4030"/>
    <hyperlink xmlns:r="http://schemas.openxmlformats.org/officeDocument/2006/relationships" ref="K1406" r:id="rId4031"/>
    <hyperlink xmlns:r="http://schemas.openxmlformats.org/officeDocument/2006/relationships" ref="I1407" r:id="rId4032"/>
    <hyperlink xmlns:r="http://schemas.openxmlformats.org/officeDocument/2006/relationships" ref="J1407" r:id="rId4033"/>
    <hyperlink xmlns:r="http://schemas.openxmlformats.org/officeDocument/2006/relationships" ref="K1407" r:id="rId4034"/>
    <hyperlink xmlns:r="http://schemas.openxmlformats.org/officeDocument/2006/relationships" ref="I1408" r:id="rId4035"/>
    <hyperlink xmlns:r="http://schemas.openxmlformats.org/officeDocument/2006/relationships" ref="J1408" r:id="rId4036"/>
    <hyperlink xmlns:r="http://schemas.openxmlformats.org/officeDocument/2006/relationships" ref="K1408" r:id="rId4037"/>
    <hyperlink xmlns:r="http://schemas.openxmlformats.org/officeDocument/2006/relationships" ref="I1409" r:id="rId4038"/>
    <hyperlink xmlns:r="http://schemas.openxmlformats.org/officeDocument/2006/relationships" ref="J1409" r:id="rId4039"/>
    <hyperlink xmlns:r="http://schemas.openxmlformats.org/officeDocument/2006/relationships" ref="K1409" r:id="rId4040"/>
    <hyperlink xmlns:r="http://schemas.openxmlformats.org/officeDocument/2006/relationships" ref="I1410" r:id="rId4041"/>
    <hyperlink xmlns:r="http://schemas.openxmlformats.org/officeDocument/2006/relationships" ref="J1410" r:id="rId4042"/>
    <hyperlink xmlns:r="http://schemas.openxmlformats.org/officeDocument/2006/relationships" ref="K1410" r:id="rId4043"/>
    <hyperlink xmlns:r="http://schemas.openxmlformats.org/officeDocument/2006/relationships" ref="I1411" r:id="rId4044"/>
    <hyperlink xmlns:r="http://schemas.openxmlformats.org/officeDocument/2006/relationships" ref="J1411" r:id="rId4045"/>
    <hyperlink xmlns:r="http://schemas.openxmlformats.org/officeDocument/2006/relationships" ref="K1411" r:id="rId4046"/>
    <hyperlink xmlns:r="http://schemas.openxmlformats.org/officeDocument/2006/relationships" ref="I1412" r:id="rId4047"/>
    <hyperlink xmlns:r="http://schemas.openxmlformats.org/officeDocument/2006/relationships" ref="J1412" r:id="rId4048"/>
    <hyperlink xmlns:r="http://schemas.openxmlformats.org/officeDocument/2006/relationships" ref="K1412" r:id="rId4049"/>
    <hyperlink xmlns:r="http://schemas.openxmlformats.org/officeDocument/2006/relationships" ref="I1413" r:id="rId4050"/>
    <hyperlink xmlns:r="http://schemas.openxmlformats.org/officeDocument/2006/relationships" ref="J1413" r:id="rId4051"/>
    <hyperlink xmlns:r="http://schemas.openxmlformats.org/officeDocument/2006/relationships" ref="K1413" r:id="rId4052"/>
    <hyperlink xmlns:r="http://schemas.openxmlformats.org/officeDocument/2006/relationships" ref="I1414" r:id="rId4053"/>
    <hyperlink xmlns:r="http://schemas.openxmlformats.org/officeDocument/2006/relationships" ref="J1414" r:id="rId4054"/>
    <hyperlink xmlns:r="http://schemas.openxmlformats.org/officeDocument/2006/relationships" ref="K1414" r:id="rId4055"/>
    <hyperlink xmlns:r="http://schemas.openxmlformats.org/officeDocument/2006/relationships" ref="I1415" r:id="rId4056"/>
    <hyperlink xmlns:r="http://schemas.openxmlformats.org/officeDocument/2006/relationships" ref="J1415" r:id="rId4057"/>
    <hyperlink xmlns:r="http://schemas.openxmlformats.org/officeDocument/2006/relationships" ref="K1415" r:id="rId4058"/>
    <hyperlink xmlns:r="http://schemas.openxmlformats.org/officeDocument/2006/relationships" ref="I1416" r:id="rId4059"/>
    <hyperlink xmlns:r="http://schemas.openxmlformats.org/officeDocument/2006/relationships" ref="J1416" r:id="rId4060"/>
    <hyperlink xmlns:r="http://schemas.openxmlformats.org/officeDocument/2006/relationships" ref="K1416" r:id="rId4061"/>
    <hyperlink xmlns:r="http://schemas.openxmlformats.org/officeDocument/2006/relationships" ref="I1417" r:id="rId4062"/>
    <hyperlink xmlns:r="http://schemas.openxmlformats.org/officeDocument/2006/relationships" ref="J1417" r:id="rId4063"/>
    <hyperlink xmlns:r="http://schemas.openxmlformats.org/officeDocument/2006/relationships" ref="K1417" r:id="rId4064"/>
    <hyperlink xmlns:r="http://schemas.openxmlformats.org/officeDocument/2006/relationships" ref="I1418" r:id="rId4065"/>
    <hyperlink xmlns:r="http://schemas.openxmlformats.org/officeDocument/2006/relationships" ref="J1418" r:id="rId4066"/>
    <hyperlink xmlns:r="http://schemas.openxmlformats.org/officeDocument/2006/relationships" ref="K1418" r:id="rId4067"/>
    <hyperlink xmlns:r="http://schemas.openxmlformats.org/officeDocument/2006/relationships" ref="I1419" r:id="rId4068"/>
    <hyperlink xmlns:r="http://schemas.openxmlformats.org/officeDocument/2006/relationships" ref="J1419" r:id="rId4069"/>
    <hyperlink xmlns:r="http://schemas.openxmlformats.org/officeDocument/2006/relationships" ref="K1419" r:id="rId4070"/>
    <hyperlink xmlns:r="http://schemas.openxmlformats.org/officeDocument/2006/relationships" ref="I1420" r:id="rId4071"/>
    <hyperlink xmlns:r="http://schemas.openxmlformats.org/officeDocument/2006/relationships" ref="J1420" r:id="rId4072"/>
    <hyperlink xmlns:r="http://schemas.openxmlformats.org/officeDocument/2006/relationships" ref="K1420" r:id="rId4073"/>
    <hyperlink xmlns:r="http://schemas.openxmlformats.org/officeDocument/2006/relationships" ref="I1421" r:id="rId4074"/>
    <hyperlink xmlns:r="http://schemas.openxmlformats.org/officeDocument/2006/relationships" ref="J1421" r:id="rId4075"/>
    <hyperlink xmlns:r="http://schemas.openxmlformats.org/officeDocument/2006/relationships" ref="K1421" r:id="rId4076"/>
    <hyperlink xmlns:r="http://schemas.openxmlformats.org/officeDocument/2006/relationships" ref="I1422" r:id="rId4077"/>
    <hyperlink xmlns:r="http://schemas.openxmlformats.org/officeDocument/2006/relationships" ref="J1422" r:id="rId4078"/>
    <hyperlink xmlns:r="http://schemas.openxmlformats.org/officeDocument/2006/relationships" ref="K1422" r:id="rId4079"/>
    <hyperlink xmlns:r="http://schemas.openxmlformats.org/officeDocument/2006/relationships" ref="I1423" r:id="rId4080"/>
    <hyperlink xmlns:r="http://schemas.openxmlformats.org/officeDocument/2006/relationships" ref="J1423" r:id="rId4081"/>
    <hyperlink xmlns:r="http://schemas.openxmlformats.org/officeDocument/2006/relationships" ref="K1423" r:id="rId4082"/>
    <hyperlink xmlns:r="http://schemas.openxmlformats.org/officeDocument/2006/relationships" ref="I1424" r:id="rId4083"/>
    <hyperlink xmlns:r="http://schemas.openxmlformats.org/officeDocument/2006/relationships" ref="J1424" r:id="rId4084"/>
    <hyperlink xmlns:r="http://schemas.openxmlformats.org/officeDocument/2006/relationships" ref="K1424" r:id="rId4085"/>
    <hyperlink xmlns:r="http://schemas.openxmlformats.org/officeDocument/2006/relationships" ref="I1425" r:id="rId4086"/>
    <hyperlink xmlns:r="http://schemas.openxmlformats.org/officeDocument/2006/relationships" ref="J1425" r:id="rId4087"/>
    <hyperlink xmlns:r="http://schemas.openxmlformats.org/officeDocument/2006/relationships" ref="K1425" r:id="rId4088"/>
    <hyperlink xmlns:r="http://schemas.openxmlformats.org/officeDocument/2006/relationships" ref="I1426" r:id="rId4089"/>
    <hyperlink xmlns:r="http://schemas.openxmlformats.org/officeDocument/2006/relationships" ref="J1426" r:id="rId4090"/>
    <hyperlink xmlns:r="http://schemas.openxmlformats.org/officeDocument/2006/relationships" ref="K1426" r:id="rId4091"/>
    <hyperlink xmlns:r="http://schemas.openxmlformats.org/officeDocument/2006/relationships" ref="I1427" r:id="rId4092"/>
    <hyperlink xmlns:r="http://schemas.openxmlformats.org/officeDocument/2006/relationships" ref="J1427" r:id="rId4093"/>
    <hyperlink xmlns:r="http://schemas.openxmlformats.org/officeDocument/2006/relationships" ref="K1427" r:id="rId4094"/>
    <hyperlink xmlns:r="http://schemas.openxmlformats.org/officeDocument/2006/relationships" ref="I1428" r:id="rId4095"/>
    <hyperlink xmlns:r="http://schemas.openxmlformats.org/officeDocument/2006/relationships" ref="J1428" r:id="rId4096"/>
    <hyperlink xmlns:r="http://schemas.openxmlformats.org/officeDocument/2006/relationships" ref="K1428" r:id="rId4097"/>
    <hyperlink xmlns:r="http://schemas.openxmlformats.org/officeDocument/2006/relationships" ref="I1429" r:id="rId4098"/>
    <hyperlink xmlns:r="http://schemas.openxmlformats.org/officeDocument/2006/relationships" ref="J1429" r:id="rId4099"/>
    <hyperlink xmlns:r="http://schemas.openxmlformats.org/officeDocument/2006/relationships" ref="K1429" r:id="rId4100"/>
    <hyperlink xmlns:r="http://schemas.openxmlformats.org/officeDocument/2006/relationships" ref="I1430" r:id="rId4101"/>
    <hyperlink xmlns:r="http://schemas.openxmlformats.org/officeDocument/2006/relationships" ref="J1430" r:id="rId4102"/>
    <hyperlink xmlns:r="http://schemas.openxmlformats.org/officeDocument/2006/relationships" ref="K1430" r:id="rId4103"/>
    <hyperlink xmlns:r="http://schemas.openxmlformats.org/officeDocument/2006/relationships" ref="I1431" r:id="rId4104"/>
    <hyperlink xmlns:r="http://schemas.openxmlformats.org/officeDocument/2006/relationships" ref="J1431" r:id="rId4105"/>
    <hyperlink xmlns:r="http://schemas.openxmlformats.org/officeDocument/2006/relationships" ref="K1431" r:id="rId4106"/>
    <hyperlink xmlns:r="http://schemas.openxmlformats.org/officeDocument/2006/relationships" ref="I1432" r:id="rId4107"/>
    <hyperlink xmlns:r="http://schemas.openxmlformats.org/officeDocument/2006/relationships" ref="J1432" r:id="rId4108"/>
    <hyperlink xmlns:r="http://schemas.openxmlformats.org/officeDocument/2006/relationships" ref="K1432" r:id="rId4109"/>
    <hyperlink xmlns:r="http://schemas.openxmlformats.org/officeDocument/2006/relationships" ref="I1433" r:id="rId4110"/>
    <hyperlink xmlns:r="http://schemas.openxmlformats.org/officeDocument/2006/relationships" ref="J1433" r:id="rId4111"/>
    <hyperlink xmlns:r="http://schemas.openxmlformats.org/officeDocument/2006/relationships" ref="K1433" r:id="rId4112"/>
    <hyperlink xmlns:r="http://schemas.openxmlformats.org/officeDocument/2006/relationships" ref="I1434" r:id="rId4113"/>
    <hyperlink xmlns:r="http://schemas.openxmlformats.org/officeDocument/2006/relationships" ref="J1434" r:id="rId4114"/>
    <hyperlink xmlns:r="http://schemas.openxmlformats.org/officeDocument/2006/relationships" ref="K1434" r:id="rId4115"/>
    <hyperlink xmlns:r="http://schemas.openxmlformats.org/officeDocument/2006/relationships" ref="I1435" r:id="rId4116"/>
    <hyperlink xmlns:r="http://schemas.openxmlformats.org/officeDocument/2006/relationships" ref="J1435" r:id="rId4117"/>
    <hyperlink xmlns:r="http://schemas.openxmlformats.org/officeDocument/2006/relationships" ref="K1435" r:id="rId4118"/>
    <hyperlink xmlns:r="http://schemas.openxmlformats.org/officeDocument/2006/relationships" ref="I1436" r:id="rId4119"/>
    <hyperlink xmlns:r="http://schemas.openxmlformats.org/officeDocument/2006/relationships" ref="J1436" r:id="rId4120"/>
    <hyperlink xmlns:r="http://schemas.openxmlformats.org/officeDocument/2006/relationships" ref="K1436" r:id="rId4121"/>
    <hyperlink xmlns:r="http://schemas.openxmlformats.org/officeDocument/2006/relationships" ref="I1437" r:id="rId4122"/>
    <hyperlink xmlns:r="http://schemas.openxmlformats.org/officeDocument/2006/relationships" ref="J1437" r:id="rId4123"/>
    <hyperlink xmlns:r="http://schemas.openxmlformats.org/officeDocument/2006/relationships" ref="K1437" r:id="rId4124"/>
    <hyperlink xmlns:r="http://schemas.openxmlformats.org/officeDocument/2006/relationships" ref="I1438" r:id="rId4125"/>
    <hyperlink xmlns:r="http://schemas.openxmlformats.org/officeDocument/2006/relationships" ref="J1438" r:id="rId4126"/>
    <hyperlink xmlns:r="http://schemas.openxmlformats.org/officeDocument/2006/relationships" ref="K1438" r:id="rId4127"/>
    <hyperlink xmlns:r="http://schemas.openxmlformats.org/officeDocument/2006/relationships" ref="I1439" r:id="rId4128"/>
    <hyperlink xmlns:r="http://schemas.openxmlformats.org/officeDocument/2006/relationships" ref="J1439" r:id="rId4129"/>
    <hyperlink xmlns:r="http://schemas.openxmlformats.org/officeDocument/2006/relationships" ref="I1440" r:id="rId4130"/>
    <hyperlink xmlns:r="http://schemas.openxmlformats.org/officeDocument/2006/relationships" ref="J1440" r:id="rId4131"/>
    <hyperlink xmlns:r="http://schemas.openxmlformats.org/officeDocument/2006/relationships" ref="I1441" r:id="rId4132"/>
    <hyperlink xmlns:r="http://schemas.openxmlformats.org/officeDocument/2006/relationships" ref="J1441" r:id="rId4133"/>
    <hyperlink xmlns:r="http://schemas.openxmlformats.org/officeDocument/2006/relationships" ref="I1442" r:id="rId4134"/>
    <hyperlink xmlns:r="http://schemas.openxmlformats.org/officeDocument/2006/relationships" ref="J1442" r:id="rId4135"/>
    <hyperlink xmlns:r="http://schemas.openxmlformats.org/officeDocument/2006/relationships" ref="I1443" r:id="rId4136"/>
    <hyperlink xmlns:r="http://schemas.openxmlformats.org/officeDocument/2006/relationships" ref="J1443" r:id="rId4137"/>
    <hyperlink xmlns:r="http://schemas.openxmlformats.org/officeDocument/2006/relationships" ref="I1444" r:id="rId4138"/>
    <hyperlink xmlns:r="http://schemas.openxmlformats.org/officeDocument/2006/relationships" ref="J1444" r:id="rId4139"/>
    <hyperlink xmlns:r="http://schemas.openxmlformats.org/officeDocument/2006/relationships" ref="I1445" r:id="rId4140"/>
    <hyperlink xmlns:r="http://schemas.openxmlformats.org/officeDocument/2006/relationships" ref="J1445" r:id="rId4141"/>
    <hyperlink xmlns:r="http://schemas.openxmlformats.org/officeDocument/2006/relationships" ref="K1445" r:id="rId4142"/>
    <hyperlink xmlns:r="http://schemas.openxmlformats.org/officeDocument/2006/relationships" ref="I1446" r:id="rId4143"/>
    <hyperlink xmlns:r="http://schemas.openxmlformats.org/officeDocument/2006/relationships" ref="J1446" r:id="rId4144"/>
    <hyperlink xmlns:r="http://schemas.openxmlformats.org/officeDocument/2006/relationships" ref="K1446" r:id="rId4145"/>
    <hyperlink xmlns:r="http://schemas.openxmlformats.org/officeDocument/2006/relationships" ref="I1447" r:id="rId4146"/>
    <hyperlink xmlns:r="http://schemas.openxmlformats.org/officeDocument/2006/relationships" ref="J1447" r:id="rId4147"/>
    <hyperlink xmlns:r="http://schemas.openxmlformats.org/officeDocument/2006/relationships" ref="K1447" r:id="rId4148"/>
    <hyperlink xmlns:r="http://schemas.openxmlformats.org/officeDocument/2006/relationships" ref="I1448" r:id="rId4149"/>
    <hyperlink xmlns:r="http://schemas.openxmlformats.org/officeDocument/2006/relationships" ref="J1448" r:id="rId4150"/>
    <hyperlink xmlns:r="http://schemas.openxmlformats.org/officeDocument/2006/relationships" ref="K1448" r:id="rId4151"/>
    <hyperlink xmlns:r="http://schemas.openxmlformats.org/officeDocument/2006/relationships" ref="I1449" r:id="rId4152"/>
    <hyperlink xmlns:r="http://schemas.openxmlformats.org/officeDocument/2006/relationships" ref="J1449" r:id="rId4153"/>
    <hyperlink xmlns:r="http://schemas.openxmlformats.org/officeDocument/2006/relationships" ref="K1449" r:id="rId4154"/>
    <hyperlink xmlns:r="http://schemas.openxmlformats.org/officeDocument/2006/relationships" ref="I1450" r:id="rId4155"/>
    <hyperlink xmlns:r="http://schemas.openxmlformats.org/officeDocument/2006/relationships" ref="J1450" r:id="rId4156"/>
    <hyperlink xmlns:r="http://schemas.openxmlformats.org/officeDocument/2006/relationships" ref="K1450" r:id="rId4157"/>
    <hyperlink xmlns:r="http://schemas.openxmlformats.org/officeDocument/2006/relationships" ref="I1451" r:id="rId4158"/>
    <hyperlink xmlns:r="http://schemas.openxmlformats.org/officeDocument/2006/relationships" ref="J1451" r:id="rId4159"/>
    <hyperlink xmlns:r="http://schemas.openxmlformats.org/officeDocument/2006/relationships" ref="K1451" r:id="rId4160"/>
    <hyperlink xmlns:r="http://schemas.openxmlformats.org/officeDocument/2006/relationships" ref="I1452" r:id="rId4161"/>
    <hyperlink xmlns:r="http://schemas.openxmlformats.org/officeDocument/2006/relationships" ref="J1452" r:id="rId4162"/>
    <hyperlink xmlns:r="http://schemas.openxmlformats.org/officeDocument/2006/relationships" ref="K1452" r:id="rId4163"/>
    <hyperlink xmlns:r="http://schemas.openxmlformats.org/officeDocument/2006/relationships" ref="I1453" r:id="rId4164"/>
    <hyperlink xmlns:r="http://schemas.openxmlformats.org/officeDocument/2006/relationships" ref="J1453" r:id="rId4165"/>
    <hyperlink xmlns:r="http://schemas.openxmlformats.org/officeDocument/2006/relationships" ref="K1453" r:id="rId4166"/>
    <hyperlink xmlns:r="http://schemas.openxmlformats.org/officeDocument/2006/relationships" ref="I1454" r:id="rId4167"/>
    <hyperlink xmlns:r="http://schemas.openxmlformats.org/officeDocument/2006/relationships" ref="J1454" r:id="rId4168"/>
    <hyperlink xmlns:r="http://schemas.openxmlformats.org/officeDocument/2006/relationships" ref="K1454" r:id="rId4169"/>
    <hyperlink xmlns:r="http://schemas.openxmlformats.org/officeDocument/2006/relationships" ref="I1455" r:id="rId4170"/>
    <hyperlink xmlns:r="http://schemas.openxmlformats.org/officeDocument/2006/relationships" ref="J1455" r:id="rId4171"/>
    <hyperlink xmlns:r="http://schemas.openxmlformats.org/officeDocument/2006/relationships" ref="K1455" r:id="rId4172"/>
    <hyperlink xmlns:r="http://schemas.openxmlformats.org/officeDocument/2006/relationships" ref="I1456" r:id="rId4173"/>
    <hyperlink xmlns:r="http://schemas.openxmlformats.org/officeDocument/2006/relationships" ref="J1456" r:id="rId4174"/>
    <hyperlink xmlns:r="http://schemas.openxmlformats.org/officeDocument/2006/relationships" ref="K1456" r:id="rId4175"/>
    <hyperlink xmlns:r="http://schemas.openxmlformats.org/officeDocument/2006/relationships" ref="I1457" r:id="rId4176"/>
    <hyperlink xmlns:r="http://schemas.openxmlformats.org/officeDocument/2006/relationships" ref="J1457" r:id="rId4177"/>
    <hyperlink xmlns:r="http://schemas.openxmlformats.org/officeDocument/2006/relationships" ref="K1457" r:id="rId4178"/>
    <hyperlink xmlns:r="http://schemas.openxmlformats.org/officeDocument/2006/relationships" ref="I1458" r:id="rId4179"/>
    <hyperlink xmlns:r="http://schemas.openxmlformats.org/officeDocument/2006/relationships" ref="J1458" r:id="rId4180"/>
    <hyperlink xmlns:r="http://schemas.openxmlformats.org/officeDocument/2006/relationships" ref="K1458" r:id="rId4181"/>
    <hyperlink xmlns:r="http://schemas.openxmlformats.org/officeDocument/2006/relationships" ref="I1459" r:id="rId4182"/>
    <hyperlink xmlns:r="http://schemas.openxmlformats.org/officeDocument/2006/relationships" ref="J1459" r:id="rId4183"/>
    <hyperlink xmlns:r="http://schemas.openxmlformats.org/officeDocument/2006/relationships" ref="K1459" r:id="rId4184"/>
    <hyperlink xmlns:r="http://schemas.openxmlformats.org/officeDocument/2006/relationships" ref="I1460" r:id="rId4185"/>
    <hyperlink xmlns:r="http://schemas.openxmlformats.org/officeDocument/2006/relationships" ref="J1460" r:id="rId4186"/>
    <hyperlink xmlns:r="http://schemas.openxmlformats.org/officeDocument/2006/relationships" ref="K1460" r:id="rId4187"/>
    <hyperlink xmlns:r="http://schemas.openxmlformats.org/officeDocument/2006/relationships" ref="I1461" r:id="rId4188"/>
    <hyperlink xmlns:r="http://schemas.openxmlformats.org/officeDocument/2006/relationships" ref="J1461" r:id="rId4189"/>
    <hyperlink xmlns:r="http://schemas.openxmlformats.org/officeDocument/2006/relationships" ref="K1461" r:id="rId4190"/>
    <hyperlink xmlns:r="http://schemas.openxmlformats.org/officeDocument/2006/relationships" ref="I1462" r:id="rId4191"/>
    <hyperlink xmlns:r="http://schemas.openxmlformats.org/officeDocument/2006/relationships" ref="J1462" r:id="rId4192"/>
    <hyperlink xmlns:r="http://schemas.openxmlformats.org/officeDocument/2006/relationships" ref="K1462" r:id="rId4193"/>
    <hyperlink xmlns:r="http://schemas.openxmlformats.org/officeDocument/2006/relationships" ref="I1463" r:id="rId4194"/>
    <hyperlink xmlns:r="http://schemas.openxmlformats.org/officeDocument/2006/relationships" ref="J1463" r:id="rId4195"/>
    <hyperlink xmlns:r="http://schemas.openxmlformats.org/officeDocument/2006/relationships" ref="K1463" r:id="rId4196"/>
    <hyperlink xmlns:r="http://schemas.openxmlformats.org/officeDocument/2006/relationships" ref="I1464" r:id="rId4197"/>
    <hyperlink xmlns:r="http://schemas.openxmlformats.org/officeDocument/2006/relationships" ref="J1464" r:id="rId4198"/>
    <hyperlink xmlns:r="http://schemas.openxmlformats.org/officeDocument/2006/relationships" ref="K1464" r:id="rId4199"/>
    <hyperlink xmlns:r="http://schemas.openxmlformats.org/officeDocument/2006/relationships" ref="I1465" r:id="rId4200"/>
    <hyperlink xmlns:r="http://schemas.openxmlformats.org/officeDocument/2006/relationships" ref="J1465" r:id="rId4201"/>
    <hyperlink xmlns:r="http://schemas.openxmlformats.org/officeDocument/2006/relationships" ref="K1465" r:id="rId4202"/>
    <hyperlink xmlns:r="http://schemas.openxmlformats.org/officeDocument/2006/relationships" ref="I1466" r:id="rId4203"/>
    <hyperlink xmlns:r="http://schemas.openxmlformats.org/officeDocument/2006/relationships" ref="J1466" r:id="rId4204"/>
    <hyperlink xmlns:r="http://schemas.openxmlformats.org/officeDocument/2006/relationships" ref="K1466" r:id="rId4205"/>
    <hyperlink xmlns:r="http://schemas.openxmlformats.org/officeDocument/2006/relationships" ref="I1467" r:id="rId4206"/>
    <hyperlink xmlns:r="http://schemas.openxmlformats.org/officeDocument/2006/relationships" ref="J1467" r:id="rId4207"/>
    <hyperlink xmlns:r="http://schemas.openxmlformats.org/officeDocument/2006/relationships" ref="K1467" r:id="rId4208"/>
    <hyperlink xmlns:r="http://schemas.openxmlformats.org/officeDocument/2006/relationships" ref="I1468" r:id="rId4209"/>
    <hyperlink xmlns:r="http://schemas.openxmlformats.org/officeDocument/2006/relationships" ref="J1468" r:id="rId4210"/>
    <hyperlink xmlns:r="http://schemas.openxmlformats.org/officeDocument/2006/relationships" ref="K1468" r:id="rId4211"/>
    <hyperlink xmlns:r="http://schemas.openxmlformats.org/officeDocument/2006/relationships" ref="I1469" r:id="rId4212"/>
    <hyperlink xmlns:r="http://schemas.openxmlformats.org/officeDocument/2006/relationships" ref="J1469" r:id="rId4213"/>
    <hyperlink xmlns:r="http://schemas.openxmlformats.org/officeDocument/2006/relationships" ref="K1469" r:id="rId4214"/>
    <hyperlink xmlns:r="http://schemas.openxmlformats.org/officeDocument/2006/relationships" ref="I1470" r:id="rId4215"/>
    <hyperlink xmlns:r="http://schemas.openxmlformats.org/officeDocument/2006/relationships" ref="J1470" r:id="rId4216"/>
    <hyperlink xmlns:r="http://schemas.openxmlformats.org/officeDocument/2006/relationships" ref="K1470" r:id="rId4217"/>
    <hyperlink xmlns:r="http://schemas.openxmlformats.org/officeDocument/2006/relationships" ref="I1471" r:id="rId4218"/>
    <hyperlink xmlns:r="http://schemas.openxmlformats.org/officeDocument/2006/relationships" ref="J1471" r:id="rId4219"/>
    <hyperlink xmlns:r="http://schemas.openxmlformats.org/officeDocument/2006/relationships" ref="K1471" r:id="rId4220"/>
    <hyperlink xmlns:r="http://schemas.openxmlformats.org/officeDocument/2006/relationships" ref="I1472" r:id="rId4221"/>
    <hyperlink xmlns:r="http://schemas.openxmlformats.org/officeDocument/2006/relationships" ref="J1472" r:id="rId4222"/>
    <hyperlink xmlns:r="http://schemas.openxmlformats.org/officeDocument/2006/relationships" ref="K1472" r:id="rId4223"/>
    <hyperlink xmlns:r="http://schemas.openxmlformats.org/officeDocument/2006/relationships" ref="I1473" r:id="rId4224"/>
    <hyperlink xmlns:r="http://schemas.openxmlformats.org/officeDocument/2006/relationships" ref="J1473" r:id="rId4225"/>
    <hyperlink xmlns:r="http://schemas.openxmlformats.org/officeDocument/2006/relationships" ref="K1473" r:id="rId4226"/>
    <hyperlink xmlns:r="http://schemas.openxmlformats.org/officeDocument/2006/relationships" ref="I1474" r:id="rId4227"/>
    <hyperlink xmlns:r="http://schemas.openxmlformats.org/officeDocument/2006/relationships" ref="J1474" r:id="rId4228"/>
    <hyperlink xmlns:r="http://schemas.openxmlformats.org/officeDocument/2006/relationships" ref="K1474" r:id="rId4229"/>
    <hyperlink xmlns:r="http://schemas.openxmlformats.org/officeDocument/2006/relationships" ref="I1475" r:id="rId4230"/>
    <hyperlink xmlns:r="http://schemas.openxmlformats.org/officeDocument/2006/relationships" ref="J1475" r:id="rId4231"/>
    <hyperlink xmlns:r="http://schemas.openxmlformats.org/officeDocument/2006/relationships" ref="K1475" r:id="rId4232"/>
    <hyperlink xmlns:r="http://schemas.openxmlformats.org/officeDocument/2006/relationships" ref="I1476" r:id="rId4233"/>
    <hyperlink xmlns:r="http://schemas.openxmlformats.org/officeDocument/2006/relationships" ref="J1476" r:id="rId4234"/>
    <hyperlink xmlns:r="http://schemas.openxmlformats.org/officeDocument/2006/relationships" ref="K1476" r:id="rId4235"/>
    <hyperlink xmlns:r="http://schemas.openxmlformats.org/officeDocument/2006/relationships" ref="I1477" r:id="rId4236"/>
    <hyperlink xmlns:r="http://schemas.openxmlformats.org/officeDocument/2006/relationships" ref="J1477" r:id="rId4237"/>
    <hyperlink xmlns:r="http://schemas.openxmlformats.org/officeDocument/2006/relationships" ref="K1477" r:id="rId4238"/>
    <hyperlink xmlns:r="http://schemas.openxmlformats.org/officeDocument/2006/relationships" ref="I1478" r:id="rId4239"/>
    <hyperlink xmlns:r="http://schemas.openxmlformats.org/officeDocument/2006/relationships" ref="J1478" r:id="rId4240"/>
    <hyperlink xmlns:r="http://schemas.openxmlformats.org/officeDocument/2006/relationships" ref="K1478" r:id="rId4241"/>
    <hyperlink xmlns:r="http://schemas.openxmlformats.org/officeDocument/2006/relationships" ref="I1479" r:id="rId4242"/>
    <hyperlink xmlns:r="http://schemas.openxmlformats.org/officeDocument/2006/relationships" ref="J1479" r:id="rId4243"/>
    <hyperlink xmlns:r="http://schemas.openxmlformats.org/officeDocument/2006/relationships" ref="K1479" r:id="rId4244"/>
    <hyperlink xmlns:r="http://schemas.openxmlformats.org/officeDocument/2006/relationships" ref="I1480" r:id="rId4245"/>
    <hyperlink xmlns:r="http://schemas.openxmlformats.org/officeDocument/2006/relationships" ref="J1480" r:id="rId4246"/>
    <hyperlink xmlns:r="http://schemas.openxmlformats.org/officeDocument/2006/relationships" ref="K1480" r:id="rId4247"/>
    <hyperlink xmlns:r="http://schemas.openxmlformats.org/officeDocument/2006/relationships" ref="I1481" r:id="rId4248"/>
    <hyperlink xmlns:r="http://schemas.openxmlformats.org/officeDocument/2006/relationships" ref="J1481" r:id="rId4249"/>
    <hyperlink xmlns:r="http://schemas.openxmlformats.org/officeDocument/2006/relationships" ref="K1481" r:id="rId4250"/>
    <hyperlink xmlns:r="http://schemas.openxmlformats.org/officeDocument/2006/relationships" ref="I1482" r:id="rId4251"/>
    <hyperlink xmlns:r="http://schemas.openxmlformats.org/officeDocument/2006/relationships" ref="J1482" r:id="rId4252"/>
    <hyperlink xmlns:r="http://schemas.openxmlformats.org/officeDocument/2006/relationships" ref="K1482" r:id="rId4253"/>
    <hyperlink xmlns:r="http://schemas.openxmlformats.org/officeDocument/2006/relationships" ref="I1483" r:id="rId4254"/>
    <hyperlink xmlns:r="http://schemas.openxmlformats.org/officeDocument/2006/relationships" ref="J1483" r:id="rId4255"/>
    <hyperlink xmlns:r="http://schemas.openxmlformats.org/officeDocument/2006/relationships" ref="K1483" r:id="rId4256"/>
    <hyperlink xmlns:r="http://schemas.openxmlformats.org/officeDocument/2006/relationships" ref="I1484" r:id="rId4257"/>
    <hyperlink xmlns:r="http://schemas.openxmlformats.org/officeDocument/2006/relationships" ref="J1484" r:id="rId4258"/>
    <hyperlink xmlns:r="http://schemas.openxmlformats.org/officeDocument/2006/relationships" ref="K1484" r:id="rId4259"/>
    <hyperlink xmlns:r="http://schemas.openxmlformats.org/officeDocument/2006/relationships" ref="I1485" r:id="rId4260"/>
    <hyperlink xmlns:r="http://schemas.openxmlformats.org/officeDocument/2006/relationships" ref="J1485" r:id="rId4261"/>
    <hyperlink xmlns:r="http://schemas.openxmlformats.org/officeDocument/2006/relationships" ref="K1485" r:id="rId4262"/>
    <hyperlink xmlns:r="http://schemas.openxmlformats.org/officeDocument/2006/relationships" ref="I1486" r:id="rId4263"/>
    <hyperlink xmlns:r="http://schemas.openxmlformats.org/officeDocument/2006/relationships" ref="J1486" r:id="rId4264"/>
    <hyperlink xmlns:r="http://schemas.openxmlformats.org/officeDocument/2006/relationships" ref="K1486" r:id="rId4265"/>
    <hyperlink xmlns:r="http://schemas.openxmlformats.org/officeDocument/2006/relationships" ref="I1487" r:id="rId4266"/>
    <hyperlink xmlns:r="http://schemas.openxmlformats.org/officeDocument/2006/relationships" ref="J1487" r:id="rId4267"/>
    <hyperlink xmlns:r="http://schemas.openxmlformats.org/officeDocument/2006/relationships" ref="K1487" r:id="rId4268"/>
    <hyperlink xmlns:r="http://schemas.openxmlformats.org/officeDocument/2006/relationships" ref="I1488" r:id="rId4269"/>
    <hyperlink xmlns:r="http://schemas.openxmlformats.org/officeDocument/2006/relationships" ref="J1488" r:id="rId4270"/>
    <hyperlink xmlns:r="http://schemas.openxmlformats.org/officeDocument/2006/relationships" ref="K1488" r:id="rId4271"/>
    <hyperlink xmlns:r="http://schemas.openxmlformats.org/officeDocument/2006/relationships" ref="I1489" r:id="rId4272"/>
    <hyperlink xmlns:r="http://schemas.openxmlformats.org/officeDocument/2006/relationships" ref="J1489" r:id="rId4273"/>
    <hyperlink xmlns:r="http://schemas.openxmlformats.org/officeDocument/2006/relationships" ref="K1489" r:id="rId4274"/>
    <hyperlink xmlns:r="http://schemas.openxmlformats.org/officeDocument/2006/relationships" ref="I1490" r:id="rId4275"/>
    <hyperlink xmlns:r="http://schemas.openxmlformats.org/officeDocument/2006/relationships" ref="J1490" r:id="rId4276"/>
    <hyperlink xmlns:r="http://schemas.openxmlformats.org/officeDocument/2006/relationships" ref="K1490" r:id="rId4277"/>
    <hyperlink xmlns:r="http://schemas.openxmlformats.org/officeDocument/2006/relationships" ref="I1491" r:id="rId4278"/>
    <hyperlink xmlns:r="http://schemas.openxmlformats.org/officeDocument/2006/relationships" ref="J1491" r:id="rId4279"/>
    <hyperlink xmlns:r="http://schemas.openxmlformats.org/officeDocument/2006/relationships" ref="K1491" r:id="rId4280"/>
    <hyperlink xmlns:r="http://schemas.openxmlformats.org/officeDocument/2006/relationships" ref="I1492" r:id="rId4281"/>
    <hyperlink xmlns:r="http://schemas.openxmlformats.org/officeDocument/2006/relationships" ref="J1492" r:id="rId4282"/>
    <hyperlink xmlns:r="http://schemas.openxmlformats.org/officeDocument/2006/relationships" ref="K1492" r:id="rId4283"/>
    <hyperlink xmlns:r="http://schemas.openxmlformats.org/officeDocument/2006/relationships" ref="I1493" r:id="rId4284"/>
    <hyperlink xmlns:r="http://schemas.openxmlformats.org/officeDocument/2006/relationships" ref="J1493" r:id="rId4285"/>
    <hyperlink xmlns:r="http://schemas.openxmlformats.org/officeDocument/2006/relationships" ref="K1493" r:id="rId4286"/>
    <hyperlink xmlns:r="http://schemas.openxmlformats.org/officeDocument/2006/relationships" ref="I1494" r:id="rId4287"/>
    <hyperlink xmlns:r="http://schemas.openxmlformats.org/officeDocument/2006/relationships" ref="J1494" r:id="rId4288"/>
    <hyperlink xmlns:r="http://schemas.openxmlformats.org/officeDocument/2006/relationships" ref="K1494" r:id="rId4289"/>
    <hyperlink xmlns:r="http://schemas.openxmlformats.org/officeDocument/2006/relationships" ref="I1495" r:id="rId4290"/>
    <hyperlink xmlns:r="http://schemas.openxmlformats.org/officeDocument/2006/relationships" ref="J1495" r:id="rId4291"/>
    <hyperlink xmlns:r="http://schemas.openxmlformats.org/officeDocument/2006/relationships" ref="K1495" r:id="rId4292"/>
    <hyperlink xmlns:r="http://schemas.openxmlformats.org/officeDocument/2006/relationships" ref="I1496" r:id="rId4293"/>
    <hyperlink xmlns:r="http://schemas.openxmlformats.org/officeDocument/2006/relationships" ref="J1496" r:id="rId4294"/>
    <hyperlink xmlns:r="http://schemas.openxmlformats.org/officeDocument/2006/relationships" ref="K1496" r:id="rId4295"/>
    <hyperlink xmlns:r="http://schemas.openxmlformats.org/officeDocument/2006/relationships" ref="I1497" r:id="rId4296"/>
    <hyperlink xmlns:r="http://schemas.openxmlformats.org/officeDocument/2006/relationships" ref="J1497" r:id="rId4297"/>
    <hyperlink xmlns:r="http://schemas.openxmlformats.org/officeDocument/2006/relationships" ref="K1497" r:id="rId4298"/>
    <hyperlink xmlns:r="http://schemas.openxmlformats.org/officeDocument/2006/relationships" ref="I1498" r:id="rId4299"/>
    <hyperlink xmlns:r="http://schemas.openxmlformats.org/officeDocument/2006/relationships" ref="J1498" r:id="rId4300"/>
    <hyperlink xmlns:r="http://schemas.openxmlformats.org/officeDocument/2006/relationships" ref="K1498" r:id="rId4301"/>
    <hyperlink xmlns:r="http://schemas.openxmlformats.org/officeDocument/2006/relationships" ref="I1499" r:id="rId4302"/>
    <hyperlink xmlns:r="http://schemas.openxmlformats.org/officeDocument/2006/relationships" ref="J1499" r:id="rId4303"/>
    <hyperlink xmlns:r="http://schemas.openxmlformats.org/officeDocument/2006/relationships" ref="K1499" r:id="rId4304"/>
    <hyperlink xmlns:r="http://schemas.openxmlformats.org/officeDocument/2006/relationships" ref="I1500" r:id="rId4305"/>
    <hyperlink xmlns:r="http://schemas.openxmlformats.org/officeDocument/2006/relationships" ref="J1500" r:id="rId4306"/>
    <hyperlink xmlns:r="http://schemas.openxmlformats.org/officeDocument/2006/relationships" ref="K1500" r:id="rId4307"/>
    <hyperlink xmlns:r="http://schemas.openxmlformats.org/officeDocument/2006/relationships" ref="I1501" r:id="rId4308"/>
    <hyperlink xmlns:r="http://schemas.openxmlformats.org/officeDocument/2006/relationships" ref="J1501" r:id="rId4309"/>
    <hyperlink xmlns:r="http://schemas.openxmlformats.org/officeDocument/2006/relationships" ref="K1501" r:id="rId4310"/>
    <hyperlink xmlns:r="http://schemas.openxmlformats.org/officeDocument/2006/relationships" ref="I1502" r:id="rId4311"/>
    <hyperlink xmlns:r="http://schemas.openxmlformats.org/officeDocument/2006/relationships" ref="J1502" r:id="rId4312"/>
    <hyperlink xmlns:r="http://schemas.openxmlformats.org/officeDocument/2006/relationships" ref="K1502" r:id="rId4313"/>
    <hyperlink xmlns:r="http://schemas.openxmlformats.org/officeDocument/2006/relationships" ref="I1503" r:id="rId4314"/>
    <hyperlink xmlns:r="http://schemas.openxmlformats.org/officeDocument/2006/relationships" ref="J1503" r:id="rId4315"/>
    <hyperlink xmlns:r="http://schemas.openxmlformats.org/officeDocument/2006/relationships" ref="K1503" r:id="rId4316"/>
    <hyperlink xmlns:r="http://schemas.openxmlformats.org/officeDocument/2006/relationships" ref="I1504" r:id="rId4317"/>
    <hyperlink xmlns:r="http://schemas.openxmlformats.org/officeDocument/2006/relationships" ref="J1504" r:id="rId4318"/>
    <hyperlink xmlns:r="http://schemas.openxmlformats.org/officeDocument/2006/relationships" ref="K1504" r:id="rId4319"/>
    <hyperlink xmlns:r="http://schemas.openxmlformats.org/officeDocument/2006/relationships" ref="I1505" r:id="rId4320"/>
    <hyperlink xmlns:r="http://schemas.openxmlformats.org/officeDocument/2006/relationships" ref="J1505" r:id="rId4321"/>
    <hyperlink xmlns:r="http://schemas.openxmlformats.org/officeDocument/2006/relationships" ref="K1505" r:id="rId4322"/>
    <hyperlink xmlns:r="http://schemas.openxmlformats.org/officeDocument/2006/relationships" ref="I1506" r:id="rId4323"/>
    <hyperlink xmlns:r="http://schemas.openxmlformats.org/officeDocument/2006/relationships" ref="J1506" r:id="rId4324"/>
    <hyperlink xmlns:r="http://schemas.openxmlformats.org/officeDocument/2006/relationships" ref="K1506" r:id="rId4325"/>
    <hyperlink xmlns:r="http://schemas.openxmlformats.org/officeDocument/2006/relationships" ref="I1507" r:id="rId4326"/>
    <hyperlink xmlns:r="http://schemas.openxmlformats.org/officeDocument/2006/relationships" ref="J1507" r:id="rId4327"/>
    <hyperlink xmlns:r="http://schemas.openxmlformats.org/officeDocument/2006/relationships" ref="K1507" r:id="rId4328"/>
    <hyperlink xmlns:r="http://schemas.openxmlformats.org/officeDocument/2006/relationships" ref="I1508" r:id="rId4329"/>
    <hyperlink xmlns:r="http://schemas.openxmlformats.org/officeDocument/2006/relationships" ref="J1508" r:id="rId4330"/>
    <hyperlink xmlns:r="http://schemas.openxmlformats.org/officeDocument/2006/relationships" ref="K1508" r:id="rId4331"/>
    <hyperlink xmlns:r="http://schemas.openxmlformats.org/officeDocument/2006/relationships" ref="I1509" r:id="rId4332"/>
    <hyperlink xmlns:r="http://schemas.openxmlformats.org/officeDocument/2006/relationships" ref="J1509" r:id="rId4333"/>
    <hyperlink xmlns:r="http://schemas.openxmlformats.org/officeDocument/2006/relationships" ref="K1509" r:id="rId4334"/>
    <hyperlink xmlns:r="http://schemas.openxmlformats.org/officeDocument/2006/relationships" ref="I1510" r:id="rId4335"/>
    <hyperlink xmlns:r="http://schemas.openxmlformats.org/officeDocument/2006/relationships" ref="J1510" r:id="rId4336"/>
    <hyperlink xmlns:r="http://schemas.openxmlformats.org/officeDocument/2006/relationships" ref="K1510" r:id="rId4337"/>
    <hyperlink xmlns:r="http://schemas.openxmlformats.org/officeDocument/2006/relationships" ref="I1511" r:id="rId4338"/>
    <hyperlink xmlns:r="http://schemas.openxmlformats.org/officeDocument/2006/relationships" ref="J1511" r:id="rId4339"/>
    <hyperlink xmlns:r="http://schemas.openxmlformats.org/officeDocument/2006/relationships" ref="K1511" r:id="rId4340"/>
    <hyperlink xmlns:r="http://schemas.openxmlformats.org/officeDocument/2006/relationships" ref="I1512" r:id="rId4341"/>
    <hyperlink xmlns:r="http://schemas.openxmlformats.org/officeDocument/2006/relationships" ref="J1512" r:id="rId4342"/>
    <hyperlink xmlns:r="http://schemas.openxmlformats.org/officeDocument/2006/relationships" ref="K1512" r:id="rId4343"/>
    <hyperlink xmlns:r="http://schemas.openxmlformats.org/officeDocument/2006/relationships" ref="I1513" r:id="rId4344"/>
    <hyperlink xmlns:r="http://schemas.openxmlformats.org/officeDocument/2006/relationships" ref="J1513" r:id="rId4345"/>
    <hyperlink xmlns:r="http://schemas.openxmlformats.org/officeDocument/2006/relationships" ref="K1513" r:id="rId4346"/>
    <hyperlink xmlns:r="http://schemas.openxmlformats.org/officeDocument/2006/relationships" ref="I1514" r:id="rId4347"/>
    <hyperlink xmlns:r="http://schemas.openxmlformats.org/officeDocument/2006/relationships" ref="J1514" r:id="rId4348"/>
    <hyperlink xmlns:r="http://schemas.openxmlformats.org/officeDocument/2006/relationships" ref="K1514" r:id="rId4349"/>
    <hyperlink xmlns:r="http://schemas.openxmlformats.org/officeDocument/2006/relationships" ref="I1515" r:id="rId4350"/>
    <hyperlink xmlns:r="http://schemas.openxmlformats.org/officeDocument/2006/relationships" ref="J1515" r:id="rId4351"/>
    <hyperlink xmlns:r="http://schemas.openxmlformats.org/officeDocument/2006/relationships" ref="K1515" r:id="rId4352"/>
    <hyperlink xmlns:r="http://schemas.openxmlformats.org/officeDocument/2006/relationships" ref="I1516" r:id="rId4353"/>
    <hyperlink xmlns:r="http://schemas.openxmlformats.org/officeDocument/2006/relationships" ref="J1516" r:id="rId4354"/>
    <hyperlink xmlns:r="http://schemas.openxmlformats.org/officeDocument/2006/relationships" ref="K1516" r:id="rId4355"/>
    <hyperlink xmlns:r="http://schemas.openxmlformats.org/officeDocument/2006/relationships" ref="I1517" r:id="rId4356"/>
    <hyperlink xmlns:r="http://schemas.openxmlformats.org/officeDocument/2006/relationships" ref="J1517" r:id="rId4357"/>
    <hyperlink xmlns:r="http://schemas.openxmlformats.org/officeDocument/2006/relationships" ref="K1517" r:id="rId4358"/>
    <hyperlink xmlns:r="http://schemas.openxmlformats.org/officeDocument/2006/relationships" ref="I1518" r:id="rId4359"/>
    <hyperlink xmlns:r="http://schemas.openxmlformats.org/officeDocument/2006/relationships" ref="J1518" r:id="rId4360"/>
    <hyperlink xmlns:r="http://schemas.openxmlformats.org/officeDocument/2006/relationships" ref="K1518" r:id="rId4361"/>
    <hyperlink xmlns:r="http://schemas.openxmlformats.org/officeDocument/2006/relationships" ref="I1519" r:id="rId4362"/>
    <hyperlink xmlns:r="http://schemas.openxmlformats.org/officeDocument/2006/relationships" ref="J1519" r:id="rId4363"/>
    <hyperlink xmlns:r="http://schemas.openxmlformats.org/officeDocument/2006/relationships" ref="K1519" r:id="rId4364"/>
    <hyperlink xmlns:r="http://schemas.openxmlformats.org/officeDocument/2006/relationships" ref="I1520" r:id="rId4365"/>
    <hyperlink xmlns:r="http://schemas.openxmlformats.org/officeDocument/2006/relationships" ref="J1520" r:id="rId4366"/>
    <hyperlink xmlns:r="http://schemas.openxmlformats.org/officeDocument/2006/relationships" ref="K1520" r:id="rId4367"/>
    <hyperlink xmlns:r="http://schemas.openxmlformats.org/officeDocument/2006/relationships" ref="I1521" r:id="rId4368"/>
    <hyperlink xmlns:r="http://schemas.openxmlformats.org/officeDocument/2006/relationships" ref="J1521" r:id="rId4369"/>
    <hyperlink xmlns:r="http://schemas.openxmlformats.org/officeDocument/2006/relationships" ref="K1521" r:id="rId4370"/>
    <hyperlink xmlns:r="http://schemas.openxmlformats.org/officeDocument/2006/relationships" ref="I1522" r:id="rId4371"/>
    <hyperlink xmlns:r="http://schemas.openxmlformats.org/officeDocument/2006/relationships" ref="J1522" r:id="rId4372"/>
    <hyperlink xmlns:r="http://schemas.openxmlformats.org/officeDocument/2006/relationships" ref="K1522" r:id="rId4373"/>
    <hyperlink xmlns:r="http://schemas.openxmlformats.org/officeDocument/2006/relationships" ref="I1523" r:id="rId4374"/>
    <hyperlink xmlns:r="http://schemas.openxmlformats.org/officeDocument/2006/relationships" ref="J1523" r:id="rId4375"/>
    <hyperlink xmlns:r="http://schemas.openxmlformats.org/officeDocument/2006/relationships" ref="K1523" r:id="rId4376"/>
    <hyperlink xmlns:r="http://schemas.openxmlformats.org/officeDocument/2006/relationships" ref="I1524" r:id="rId4377"/>
    <hyperlink xmlns:r="http://schemas.openxmlformats.org/officeDocument/2006/relationships" ref="J1524" r:id="rId4378"/>
    <hyperlink xmlns:r="http://schemas.openxmlformats.org/officeDocument/2006/relationships" ref="K1524" r:id="rId4379"/>
    <hyperlink xmlns:r="http://schemas.openxmlformats.org/officeDocument/2006/relationships" ref="I1525" r:id="rId4380"/>
    <hyperlink xmlns:r="http://schemas.openxmlformats.org/officeDocument/2006/relationships" ref="J1525" r:id="rId4381"/>
    <hyperlink xmlns:r="http://schemas.openxmlformats.org/officeDocument/2006/relationships" ref="K1525" r:id="rId4382"/>
    <hyperlink xmlns:r="http://schemas.openxmlformats.org/officeDocument/2006/relationships" ref="I1526" r:id="rId4383"/>
    <hyperlink xmlns:r="http://schemas.openxmlformats.org/officeDocument/2006/relationships" ref="J1526" r:id="rId4384"/>
    <hyperlink xmlns:r="http://schemas.openxmlformats.org/officeDocument/2006/relationships" ref="K1526" r:id="rId4385"/>
    <hyperlink xmlns:r="http://schemas.openxmlformats.org/officeDocument/2006/relationships" ref="I1527" r:id="rId4386"/>
    <hyperlink xmlns:r="http://schemas.openxmlformats.org/officeDocument/2006/relationships" ref="J1527" r:id="rId4387"/>
    <hyperlink xmlns:r="http://schemas.openxmlformats.org/officeDocument/2006/relationships" ref="K1527" r:id="rId4388"/>
    <hyperlink xmlns:r="http://schemas.openxmlformats.org/officeDocument/2006/relationships" ref="I1528" r:id="rId4389"/>
    <hyperlink xmlns:r="http://schemas.openxmlformats.org/officeDocument/2006/relationships" ref="J1528" r:id="rId4390"/>
    <hyperlink xmlns:r="http://schemas.openxmlformats.org/officeDocument/2006/relationships" ref="K1528" r:id="rId4391"/>
    <hyperlink xmlns:r="http://schemas.openxmlformats.org/officeDocument/2006/relationships" ref="I1529" r:id="rId4392"/>
    <hyperlink xmlns:r="http://schemas.openxmlformats.org/officeDocument/2006/relationships" ref="J1529" r:id="rId4393"/>
    <hyperlink xmlns:r="http://schemas.openxmlformats.org/officeDocument/2006/relationships" ref="K1529" r:id="rId4394"/>
    <hyperlink xmlns:r="http://schemas.openxmlformats.org/officeDocument/2006/relationships" ref="I1530" r:id="rId4395"/>
    <hyperlink xmlns:r="http://schemas.openxmlformats.org/officeDocument/2006/relationships" ref="J1530" r:id="rId4396"/>
    <hyperlink xmlns:r="http://schemas.openxmlformats.org/officeDocument/2006/relationships" ref="K1530" r:id="rId4397"/>
    <hyperlink xmlns:r="http://schemas.openxmlformats.org/officeDocument/2006/relationships" ref="I1531" r:id="rId4398"/>
    <hyperlink xmlns:r="http://schemas.openxmlformats.org/officeDocument/2006/relationships" ref="J1531" r:id="rId4399"/>
    <hyperlink xmlns:r="http://schemas.openxmlformats.org/officeDocument/2006/relationships" ref="K1531" r:id="rId4400"/>
    <hyperlink xmlns:r="http://schemas.openxmlformats.org/officeDocument/2006/relationships" ref="I1532" r:id="rId4401"/>
    <hyperlink xmlns:r="http://schemas.openxmlformats.org/officeDocument/2006/relationships" ref="J1532" r:id="rId4402"/>
    <hyperlink xmlns:r="http://schemas.openxmlformats.org/officeDocument/2006/relationships" ref="K1532" r:id="rId4403"/>
    <hyperlink xmlns:r="http://schemas.openxmlformats.org/officeDocument/2006/relationships" ref="I1533" r:id="rId4404"/>
    <hyperlink xmlns:r="http://schemas.openxmlformats.org/officeDocument/2006/relationships" ref="J1533" r:id="rId4405"/>
    <hyperlink xmlns:r="http://schemas.openxmlformats.org/officeDocument/2006/relationships" ref="K1533" r:id="rId4406"/>
    <hyperlink xmlns:r="http://schemas.openxmlformats.org/officeDocument/2006/relationships" ref="I1534" r:id="rId4407"/>
    <hyperlink xmlns:r="http://schemas.openxmlformats.org/officeDocument/2006/relationships" ref="J1534" r:id="rId4408"/>
    <hyperlink xmlns:r="http://schemas.openxmlformats.org/officeDocument/2006/relationships" ref="K1534" r:id="rId4409"/>
    <hyperlink xmlns:r="http://schemas.openxmlformats.org/officeDocument/2006/relationships" ref="I1535" r:id="rId4410"/>
    <hyperlink xmlns:r="http://schemas.openxmlformats.org/officeDocument/2006/relationships" ref="J1535" r:id="rId4411"/>
    <hyperlink xmlns:r="http://schemas.openxmlformats.org/officeDocument/2006/relationships" ref="K1535" r:id="rId4412"/>
    <hyperlink xmlns:r="http://schemas.openxmlformats.org/officeDocument/2006/relationships" ref="I1536" r:id="rId4413"/>
    <hyperlink xmlns:r="http://schemas.openxmlformats.org/officeDocument/2006/relationships" ref="J1536" r:id="rId4414"/>
    <hyperlink xmlns:r="http://schemas.openxmlformats.org/officeDocument/2006/relationships" ref="K1536" r:id="rId4415"/>
    <hyperlink xmlns:r="http://schemas.openxmlformats.org/officeDocument/2006/relationships" ref="I1537" r:id="rId4416"/>
    <hyperlink xmlns:r="http://schemas.openxmlformats.org/officeDocument/2006/relationships" ref="J1537" r:id="rId4417"/>
    <hyperlink xmlns:r="http://schemas.openxmlformats.org/officeDocument/2006/relationships" ref="K1537" r:id="rId4418"/>
    <hyperlink xmlns:r="http://schemas.openxmlformats.org/officeDocument/2006/relationships" ref="I1538" r:id="rId4419"/>
    <hyperlink xmlns:r="http://schemas.openxmlformats.org/officeDocument/2006/relationships" ref="J1538" r:id="rId4420"/>
    <hyperlink xmlns:r="http://schemas.openxmlformats.org/officeDocument/2006/relationships" ref="K1538" r:id="rId4421"/>
    <hyperlink xmlns:r="http://schemas.openxmlformats.org/officeDocument/2006/relationships" ref="I1539" r:id="rId4422"/>
    <hyperlink xmlns:r="http://schemas.openxmlformats.org/officeDocument/2006/relationships" ref="J1539" r:id="rId4423"/>
    <hyperlink xmlns:r="http://schemas.openxmlformats.org/officeDocument/2006/relationships" ref="K1539" r:id="rId4424"/>
    <hyperlink xmlns:r="http://schemas.openxmlformats.org/officeDocument/2006/relationships" ref="I1540" r:id="rId4425"/>
    <hyperlink xmlns:r="http://schemas.openxmlformats.org/officeDocument/2006/relationships" ref="J1540" r:id="rId4426"/>
    <hyperlink xmlns:r="http://schemas.openxmlformats.org/officeDocument/2006/relationships" ref="K1540" r:id="rId4427"/>
    <hyperlink xmlns:r="http://schemas.openxmlformats.org/officeDocument/2006/relationships" ref="I1541" r:id="rId4428"/>
    <hyperlink xmlns:r="http://schemas.openxmlformats.org/officeDocument/2006/relationships" ref="J1541" r:id="rId4429"/>
    <hyperlink xmlns:r="http://schemas.openxmlformats.org/officeDocument/2006/relationships" ref="K1541" r:id="rId4430"/>
    <hyperlink xmlns:r="http://schemas.openxmlformats.org/officeDocument/2006/relationships" ref="I1542" r:id="rId4431"/>
    <hyperlink xmlns:r="http://schemas.openxmlformats.org/officeDocument/2006/relationships" ref="J1542" r:id="rId4432"/>
    <hyperlink xmlns:r="http://schemas.openxmlformats.org/officeDocument/2006/relationships" ref="K1542" r:id="rId4433"/>
    <hyperlink xmlns:r="http://schemas.openxmlformats.org/officeDocument/2006/relationships" ref="I1543" r:id="rId4434"/>
    <hyperlink xmlns:r="http://schemas.openxmlformats.org/officeDocument/2006/relationships" ref="J1543" r:id="rId4435"/>
    <hyperlink xmlns:r="http://schemas.openxmlformats.org/officeDocument/2006/relationships" ref="K1543" r:id="rId4436"/>
    <hyperlink xmlns:r="http://schemas.openxmlformats.org/officeDocument/2006/relationships" ref="I1544" r:id="rId4437"/>
    <hyperlink xmlns:r="http://schemas.openxmlformats.org/officeDocument/2006/relationships" ref="J1544" r:id="rId4438"/>
    <hyperlink xmlns:r="http://schemas.openxmlformats.org/officeDocument/2006/relationships" ref="K1544" r:id="rId4439"/>
    <hyperlink xmlns:r="http://schemas.openxmlformats.org/officeDocument/2006/relationships" ref="I1545" r:id="rId4440"/>
    <hyperlink xmlns:r="http://schemas.openxmlformats.org/officeDocument/2006/relationships" ref="J1545" r:id="rId4441"/>
    <hyperlink xmlns:r="http://schemas.openxmlformats.org/officeDocument/2006/relationships" ref="K1545" r:id="rId4442"/>
    <hyperlink xmlns:r="http://schemas.openxmlformats.org/officeDocument/2006/relationships" ref="I1546" r:id="rId4443"/>
    <hyperlink xmlns:r="http://schemas.openxmlformats.org/officeDocument/2006/relationships" ref="J1546" r:id="rId4444"/>
    <hyperlink xmlns:r="http://schemas.openxmlformats.org/officeDocument/2006/relationships" ref="K1546" r:id="rId4445"/>
    <hyperlink xmlns:r="http://schemas.openxmlformats.org/officeDocument/2006/relationships" ref="I1547" r:id="rId4446"/>
    <hyperlink xmlns:r="http://schemas.openxmlformats.org/officeDocument/2006/relationships" ref="J1547" r:id="rId4447"/>
    <hyperlink xmlns:r="http://schemas.openxmlformats.org/officeDocument/2006/relationships" ref="K1547" r:id="rId4448"/>
    <hyperlink xmlns:r="http://schemas.openxmlformats.org/officeDocument/2006/relationships" ref="I1548" r:id="rId4449"/>
    <hyperlink xmlns:r="http://schemas.openxmlformats.org/officeDocument/2006/relationships" ref="J1548" r:id="rId4450"/>
    <hyperlink xmlns:r="http://schemas.openxmlformats.org/officeDocument/2006/relationships" ref="K1548" r:id="rId4451"/>
    <hyperlink xmlns:r="http://schemas.openxmlformats.org/officeDocument/2006/relationships" ref="I1549" r:id="rId4452"/>
    <hyperlink xmlns:r="http://schemas.openxmlformats.org/officeDocument/2006/relationships" ref="J1549" r:id="rId4453"/>
    <hyperlink xmlns:r="http://schemas.openxmlformats.org/officeDocument/2006/relationships" ref="K1549" r:id="rId4454"/>
    <hyperlink xmlns:r="http://schemas.openxmlformats.org/officeDocument/2006/relationships" ref="I1550" r:id="rId4455"/>
    <hyperlink xmlns:r="http://schemas.openxmlformats.org/officeDocument/2006/relationships" ref="J1550" r:id="rId4456"/>
    <hyperlink xmlns:r="http://schemas.openxmlformats.org/officeDocument/2006/relationships" ref="K1550" r:id="rId4457"/>
    <hyperlink xmlns:r="http://schemas.openxmlformats.org/officeDocument/2006/relationships" ref="I1551" r:id="rId4458"/>
    <hyperlink xmlns:r="http://schemas.openxmlformats.org/officeDocument/2006/relationships" ref="J1551" r:id="rId4459"/>
    <hyperlink xmlns:r="http://schemas.openxmlformats.org/officeDocument/2006/relationships" ref="K1551" r:id="rId4460"/>
    <hyperlink xmlns:r="http://schemas.openxmlformats.org/officeDocument/2006/relationships" ref="I1552" r:id="rId4461"/>
    <hyperlink xmlns:r="http://schemas.openxmlformats.org/officeDocument/2006/relationships" ref="J1552" r:id="rId4462"/>
    <hyperlink xmlns:r="http://schemas.openxmlformats.org/officeDocument/2006/relationships" ref="K1552" r:id="rId4463"/>
    <hyperlink xmlns:r="http://schemas.openxmlformats.org/officeDocument/2006/relationships" ref="I1553" r:id="rId4464"/>
    <hyperlink xmlns:r="http://schemas.openxmlformats.org/officeDocument/2006/relationships" ref="J1553" r:id="rId4465"/>
    <hyperlink xmlns:r="http://schemas.openxmlformats.org/officeDocument/2006/relationships" ref="K1553" r:id="rId4466"/>
    <hyperlink xmlns:r="http://schemas.openxmlformats.org/officeDocument/2006/relationships" ref="I1554" r:id="rId4467"/>
    <hyperlink xmlns:r="http://schemas.openxmlformats.org/officeDocument/2006/relationships" ref="J1554" r:id="rId4468"/>
    <hyperlink xmlns:r="http://schemas.openxmlformats.org/officeDocument/2006/relationships" ref="K1554" r:id="rId4469"/>
    <hyperlink xmlns:r="http://schemas.openxmlformats.org/officeDocument/2006/relationships" ref="I1555" r:id="rId4470"/>
    <hyperlink xmlns:r="http://schemas.openxmlformats.org/officeDocument/2006/relationships" ref="J1555" r:id="rId4471"/>
    <hyperlink xmlns:r="http://schemas.openxmlformats.org/officeDocument/2006/relationships" ref="K1555" r:id="rId4472"/>
    <hyperlink xmlns:r="http://schemas.openxmlformats.org/officeDocument/2006/relationships" ref="I1556" r:id="rId4473"/>
    <hyperlink xmlns:r="http://schemas.openxmlformats.org/officeDocument/2006/relationships" ref="J1556" r:id="rId4474"/>
    <hyperlink xmlns:r="http://schemas.openxmlformats.org/officeDocument/2006/relationships" ref="K1556" r:id="rId4475"/>
    <hyperlink xmlns:r="http://schemas.openxmlformats.org/officeDocument/2006/relationships" ref="I1557" r:id="rId4476"/>
    <hyperlink xmlns:r="http://schemas.openxmlformats.org/officeDocument/2006/relationships" ref="J1557" r:id="rId4477"/>
    <hyperlink xmlns:r="http://schemas.openxmlformats.org/officeDocument/2006/relationships" ref="K1557" r:id="rId4478"/>
    <hyperlink xmlns:r="http://schemas.openxmlformats.org/officeDocument/2006/relationships" ref="I1558" r:id="rId4479"/>
    <hyperlink xmlns:r="http://schemas.openxmlformats.org/officeDocument/2006/relationships" ref="J1558" r:id="rId4480"/>
    <hyperlink xmlns:r="http://schemas.openxmlformats.org/officeDocument/2006/relationships" ref="K1558" r:id="rId4481"/>
    <hyperlink xmlns:r="http://schemas.openxmlformats.org/officeDocument/2006/relationships" ref="I1559" r:id="rId4482"/>
    <hyperlink xmlns:r="http://schemas.openxmlformats.org/officeDocument/2006/relationships" ref="J1559" r:id="rId4483"/>
    <hyperlink xmlns:r="http://schemas.openxmlformats.org/officeDocument/2006/relationships" ref="K1559" r:id="rId4484"/>
    <hyperlink xmlns:r="http://schemas.openxmlformats.org/officeDocument/2006/relationships" ref="I1560" r:id="rId4485"/>
    <hyperlink xmlns:r="http://schemas.openxmlformats.org/officeDocument/2006/relationships" ref="J1560" r:id="rId4486"/>
    <hyperlink xmlns:r="http://schemas.openxmlformats.org/officeDocument/2006/relationships" ref="K1560" r:id="rId4487"/>
    <hyperlink xmlns:r="http://schemas.openxmlformats.org/officeDocument/2006/relationships" ref="I1561" r:id="rId4488"/>
    <hyperlink xmlns:r="http://schemas.openxmlformats.org/officeDocument/2006/relationships" ref="J1561" r:id="rId4489"/>
    <hyperlink xmlns:r="http://schemas.openxmlformats.org/officeDocument/2006/relationships" ref="K1561" r:id="rId4490"/>
    <hyperlink xmlns:r="http://schemas.openxmlformats.org/officeDocument/2006/relationships" ref="I1562" r:id="rId4491"/>
    <hyperlink xmlns:r="http://schemas.openxmlformats.org/officeDocument/2006/relationships" ref="J1562" r:id="rId4492"/>
    <hyperlink xmlns:r="http://schemas.openxmlformats.org/officeDocument/2006/relationships" ref="K1562" r:id="rId4493"/>
    <hyperlink xmlns:r="http://schemas.openxmlformats.org/officeDocument/2006/relationships" ref="I1563" r:id="rId4494"/>
    <hyperlink xmlns:r="http://schemas.openxmlformats.org/officeDocument/2006/relationships" ref="J1563" r:id="rId4495"/>
    <hyperlink xmlns:r="http://schemas.openxmlformats.org/officeDocument/2006/relationships" ref="K1563" r:id="rId4496"/>
    <hyperlink xmlns:r="http://schemas.openxmlformats.org/officeDocument/2006/relationships" ref="I1564" r:id="rId4497"/>
    <hyperlink xmlns:r="http://schemas.openxmlformats.org/officeDocument/2006/relationships" ref="J1564" r:id="rId4498"/>
    <hyperlink xmlns:r="http://schemas.openxmlformats.org/officeDocument/2006/relationships" ref="K1564" r:id="rId4499"/>
    <hyperlink xmlns:r="http://schemas.openxmlformats.org/officeDocument/2006/relationships" ref="I1565" r:id="rId4500"/>
    <hyperlink xmlns:r="http://schemas.openxmlformats.org/officeDocument/2006/relationships" ref="J1565" r:id="rId4501"/>
    <hyperlink xmlns:r="http://schemas.openxmlformats.org/officeDocument/2006/relationships" ref="K1565" r:id="rId4502"/>
    <hyperlink xmlns:r="http://schemas.openxmlformats.org/officeDocument/2006/relationships" ref="I1566" r:id="rId4503"/>
    <hyperlink xmlns:r="http://schemas.openxmlformats.org/officeDocument/2006/relationships" ref="J1566" r:id="rId4504"/>
    <hyperlink xmlns:r="http://schemas.openxmlformats.org/officeDocument/2006/relationships" ref="K1566" r:id="rId4505"/>
    <hyperlink xmlns:r="http://schemas.openxmlformats.org/officeDocument/2006/relationships" ref="I1567" r:id="rId4506"/>
    <hyperlink xmlns:r="http://schemas.openxmlformats.org/officeDocument/2006/relationships" ref="J1567" r:id="rId4507"/>
    <hyperlink xmlns:r="http://schemas.openxmlformats.org/officeDocument/2006/relationships" ref="K1567" r:id="rId4508"/>
    <hyperlink xmlns:r="http://schemas.openxmlformats.org/officeDocument/2006/relationships" ref="I1568" r:id="rId4509"/>
    <hyperlink xmlns:r="http://schemas.openxmlformats.org/officeDocument/2006/relationships" ref="J1568" r:id="rId4510"/>
    <hyperlink xmlns:r="http://schemas.openxmlformats.org/officeDocument/2006/relationships" ref="K1568" r:id="rId4511"/>
    <hyperlink xmlns:r="http://schemas.openxmlformats.org/officeDocument/2006/relationships" ref="I1569" r:id="rId4512"/>
    <hyperlink xmlns:r="http://schemas.openxmlformats.org/officeDocument/2006/relationships" ref="J1569" r:id="rId4513"/>
    <hyperlink xmlns:r="http://schemas.openxmlformats.org/officeDocument/2006/relationships" ref="K1569" r:id="rId4514"/>
    <hyperlink xmlns:r="http://schemas.openxmlformats.org/officeDocument/2006/relationships" ref="I1570" r:id="rId4515"/>
    <hyperlink xmlns:r="http://schemas.openxmlformats.org/officeDocument/2006/relationships" ref="J1570" r:id="rId4516"/>
    <hyperlink xmlns:r="http://schemas.openxmlformats.org/officeDocument/2006/relationships" ref="K1570" r:id="rId4517"/>
    <hyperlink xmlns:r="http://schemas.openxmlformats.org/officeDocument/2006/relationships" ref="I1571" r:id="rId4518"/>
    <hyperlink xmlns:r="http://schemas.openxmlformats.org/officeDocument/2006/relationships" ref="J1571" r:id="rId4519"/>
    <hyperlink xmlns:r="http://schemas.openxmlformats.org/officeDocument/2006/relationships" ref="K1571" r:id="rId4520"/>
    <hyperlink xmlns:r="http://schemas.openxmlformats.org/officeDocument/2006/relationships" ref="I1572" r:id="rId4521"/>
    <hyperlink xmlns:r="http://schemas.openxmlformats.org/officeDocument/2006/relationships" ref="J1572" r:id="rId4522"/>
    <hyperlink xmlns:r="http://schemas.openxmlformats.org/officeDocument/2006/relationships" ref="K1572" r:id="rId4523"/>
    <hyperlink xmlns:r="http://schemas.openxmlformats.org/officeDocument/2006/relationships" ref="I1573" r:id="rId4524"/>
    <hyperlink xmlns:r="http://schemas.openxmlformats.org/officeDocument/2006/relationships" ref="J1573" r:id="rId4525"/>
    <hyperlink xmlns:r="http://schemas.openxmlformats.org/officeDocument/2006/relationships" ref="K1573" r:id="rId4526"/>
    <hyperlink xmlns:r="http://schemas.openxmlformats.org/officeDocument/2006/relationships" ref="I1574" r:id="rId4527"/>
    <hyperlink xmlns:r="http://schemas.openxmlformats.org/officeDocument/2006/relationships" ref="J1574" r:id="rId4528"/>
    <hyperlink xmlns:r="http://schemas.openxmlformats.org/officeDocument/2006/relationships" ref="K1574" r:id="rId4529"/>
    <hyperlink xmlns:r="http://schemas.openxmlformats.org/officeDocument/2006/relationships" ref="I1575" r:id="rId4530"/>
    <hyperlink xmlns:r="http://schemas.openxmlformats.org/officeDocument/2006/relationships" ref="J1575" r:id="rId4531"/>
    <hyperlink xmlns:r="http://schemas.openxmlformats.org/officeDocument/2006/relationships" ref="K1575" r:id="rId4532"/>
    <hyperlink xmlns:r="http://schemas.openxmlformats.org/officeDocument/2006/relationships" ref="I1576" r:id="rId4533"/>
    <hyperlink xmlns:r="http://schemas.openxmlformats.org/officeDocument/2006/relationships" ref="J1576" r:id="rId4534"/>
    <hyperlink xmlns:r="http://schemas.openxmlformats.org/officeDocument/2006/relationships" ref="K1576" r:id="rId4535"/>
    <hyperlink xmlns:r="http://schemas.openxmlformats.org/officeDocument/2006/relationships" ref="I1577" r:id="rId4536"/>
    <hyperlink xmlns:r="http://schemas.openxmlformats.org/officeDocument/2006/relationships" ref="J1577" r:id="rId4537"/>
    <hyperlink xmlns:r="http://schemas.openxmlformats.org/officeDocument/2006/relationships" ref="K1577" r:id="rId4538"/>
    <hyperlink xmlns:r="http://schemas.openxmlformats.org/officeDocument/2006/relationships" ref="I1578" r:id="rId4539"/>
    <hyperlink xmlns:r="http://schemas.openxmlformats.org/officeDocument/2006/relationships" ref="J1578" r:id="rId4540"/>
    <hyperlink xmlns:r="http://schemas.openxmlformats.org/officeDocument/2006/relationships" ref="K1578" r:id="rId4541"/>
    <hyperlink xmlns:r="http://schemas.openxmlformats.org/officeDocument/2006/relationships" ref="I1579" r:id="rId4542"/>
    <hyperlink xmlns:r="http://schemas.openxmlformats.org/officeDocument/2006/relationships" ref="J1579" r:id="rId4543"/>
    <hyperlink xmlns:r="http://schemas.openxmlformats.org/officeDocument/2006/relationships" ref="K1579" r:id="rId4544"/>
    <hyperlink xmlns:r="http://schemas.openxmlformats.org/officeDocument/2006/relationships" ref="I1580" r:id="rId4545"/>
    <hyperlink xmlns:r="http://schemas.openxmlformats.org/officeDocument/2006/relationships" ref="J1580" r:id="rId4546"/>
    <hyperlink xmlns:r="http://schemas.openxmlformats.org/officeDocument/2006/relationships" ref="K1580" r:id="rId4547"/>
    <hyperlink xmlns:r="http://schemas.openxmlformats.org/officeDocument/2006/relationships" ref="I1581" r:id="rId4548"/>
    <hyperlink xmlns:r="http://schemas.openxmlformats.org/officeDocument/2006/relationships" ref="J1581" r:id="rId4549"/>
    <hyperlink xmlns:r="http://schemas.openxmlformats.org/officeDocument/2006/relationships" ref="K1581" r:id="rId4550"/>
    <hyperlink xmlns:r="http://schemas.openxmlformats.org/officeDocument/2006/relationships" ref="I1582" r:id="rId4551"/>
    <hyperlink xmlns:r="http://schemas.openxmlformats.org/officeDocument/2006/relationships" ref="J1582" r:id="rId4552"/>
    <hyperlink xmlns:r="http://schemas.openxmlformats.org/officeDocument/2006/relationships" ref="K1582" r:id="rId4553"/>
    <hyperlink xmlns:r="http://schemas.openxmlformats.org/officeDocument/2006/relationships" ref="I1583" r:id="rId4554"/>
    <hyperlink xmlns:r="http://schemas.openxmlformats.org/officeDocument/2006/relationships" ref="J1583" r:id="rId4555"/>
    <hyperlink xmlns:r="http://schemas.openxmlformats.org/officeDocument/2006/relationships" ref="K1583" r:id="rId4556"/>
    <hyperlink xmlns:r="http://schemas.openxmlformats.org/officeDocument/2006/relationships" ref="I1584" r:id="rId4557"/>
    <hyperlink xmlns:r="http://schemas.openxmlformats.org/officeDocument/2006/relationships" ref="J1584" r:id="rId4558"/>
    <hyperlink xmlns:r="http://schemas.openxmlformats.org/officeDocument/2006/relationships" ref="K1584" r:id="rId4559"/>
    <hyperlink xmlns:r="http://schemas.openxmlformats.org/officeDocument/2006/relationships" ref="I1585" r:id="rId4560"/>
    <hyperlink xmlns:r="http://schemas.openxmlformats.org/officeDocument/2006/relationships" ref="J1585" r:id="rId4561"/>
    <hyperlink xmlns:r="http://schemas.openxmlformats.org/officeDocument/2006/relationships" ref="K1585" r:id="rId4562"/>
    <hyperlink xmlns:r="http://schemas.openxmlformats.org/officeDocument/2006/relationships" ref="I1586" r:id="rId4563"/>
    <hyperlink xmlns:r="http://schemas.openxmlformats.org/officeDocument/2006/relationships" ref="J1586" r:id="rId4564"/>
    <hyperlink xmlns:r="http://schemas.openxmlformats.org/officeDocument/2006/relationships" ref="K1586" r:id="rId4565"/>
    <hyperlink xmlns:r="http://schemas.openxmlformats.org/officeDocument/2006/relationships" ref="I1587" r:id="rId4566"/>
    <hyperlink xmlns:r="http://schemas.openxmlformats.org/officeDocument/2006/relationships" ref="J1587" r:id="rId4567"/>
    <hyperlink xmlns:r="http://schemas.openxmlformats.org/officeDocument/2006/relationships" ref="K1587" r:id="rId4568"/>
    <hyperlink xmlns:r="http://schemas.openxmlformats.org/officeDocument/2006/relationships" ref="I1588" r:id="rId4569"/>
    <hyperlink xmlns:r="http://schemas.openxmlformats.org/officeDocument/2006/relationships" ref="J1588" r:id="rId4570"/>
    <hyperlink xmlns:r="http://schemas.openxmlformats.org/officeDocument/2006/relationships" ref="K1588" r:id="rId4571"/>
    <hyperlink xmlns:r="http://schemas.openxmlformats.org/officeDocument/2006/relationships" ref="I1589" r:id="rId4572"/>
    <hyperlink xmlns:r="http://schemas.openxmlformats.org/officeDocument/2006/relationships" ref="J1589" r:id="rId4573"/>
    <hyperlink xmlns:r="http://schemas.openxmlformats.org/officeDocument/2006/relationships" ref="K1589" r:id="rId4574"/>
    <hyperlink xmlns:r="http://schemas.openxmlformats.org/officeDocument/2006/relationships" ref="I1590" r:id="rId4575"/>
    <hyperlink xmlns:r="http://schemas.openxmlformats.org/officeDocument/2006/relationships" ref="J1590" r:id="rId4576"/>
    <hyperlink xmlns:r="http://schemas.openxmlformats.org/officeDocument/2006/relationships" ref="K1590" r:id="rId4577"/>
    <hyperlink xmlns:r="http://schemas.openxmlformats.org/officeDocument/2006/relationships" ref="I1591" r:id="rId4578"/>
    <hyperlink xmlns:r="http://schemas.openxmlformats.org/officeDocument/2006/relationships" ref="J1591" r:id="rId4579"/>
    <hyperlink xmlns:r="http://schemas.openxmlformats.org/officeDocument/2006/relationships" ref="K1591" r:id="rId4580"/>
    <hyperlink xmlns:r="http://schemas.openxmlformats.org/officeDocument/2006/relationships" ref="I1592" r:id="rId4581"/>
    <hyperlink xmlns:r="http://schemas.openxmlformats.org/officeDocument/2006/relationships" ref="J1592" r:id="rId4582"/>
    <hyperlink xmlns:r="http://schemas.openxmlformats.org/officeDocument/2006/relationships" ref="K1592" r:id="rId4583"/>
    <hyperlink xmlns:r="http://schemas.openxmlformats.org/officeDocument/2006/relationships" ref="I1593" r:id="rId4584"/>
    <hyperlink xmlns:r="http://schemas.openxmlformats.org/officeDocument/2006/relationships" ref="J1593" r:id="rId4585"/>
    <hyperlink xmlns:r="http://schemas.openxmlformats.org/officeDocument/2006/relationships" ref="K1593" r:id="rId4586"/>
    <hyperlink xmlns:r="http://schemas.openxmlformats.org/officeDocument/2006/relationships" ref="I1594" r:id="rId4587"/>
    <hyperlink xmlns:r="http://schemas.openxmlformats.org/officeDocument/2006/relationships" ref="J1594" r:id="rId4588"/>
    <hyperlink xmlns:r="http://schemas.openxmlformats.org/officeDocument/2006/relationships" ref="K1594" r:id="rId4589"/>
    <hyperlink xmlns:r="http://schemas.openxmlformats.org/officeDocument/2006/relationships" ref="I1595" r:id="rId4590"/>
    <hyperlink xmlns:r="http://schemas.openxmlformats.org/officeDocument/2006/relationships" ref="J1595" r:id="rId4591"/>
    <hyperlink xmlns:r="http://schemas.openxmlformats.org/officeDocument/2006/relationships" ref="K1595" r:id="rId4592"/>
    <hyperlink xmlns:r="http://schemas.openxmlformats.org/officeDocument/2006/relationships" ref="I1596" r:id="rId4593"/>
    <hyperlink xmlns:r="http://schemas.openxmlformats.org/officeDocument/2006/relationships" ref="J1596" r:id="rId4594"/>
    <hyperlink xmlns:r="http://schemas.openxmlformats.org/officeDocument/2006/relationships" ref="K1596" r:id="rId4595"/>
    <hyperlink xmlns:r="http://schemas.openxmlformats.org/officeDocument/2006/relationships" ref="I1597" r:id="rId4596"/>
    <hyperlink xmlns:r="http://schemas.openxmlformats.org/officeDocument/2006/relationships" ref="J1597" r:id="rId4597"/>
    <hyperlink xmlns:r="http://schemas.openxmlformats.org/officeDocument/2006/relationships" ref="K1597" r:id="rId4598"/>
    <hyperlink xmlns:r="http://schemas.openxmlformats.org/officeDocument/2006/relationships" ref="I1598" r:id="rId4599"/>
    <hyperlink xmlns:r="http://schemas.openxmlformats.org/officeDocument/2006/relationships" ref="J1598" r:id="rId4600"/>
    <hyperlink xmlns:r="http://schemas.openxmlformats.org/officeDocument/2006/relationships" ref="K1598" r:id="rId4601"/>
    <hyperlink xmlns:r="http://schemas.openxmlformats.org/officeDocument/2006/relationships" ref="I1599" r:id="rId4602"/>
    <hyperlink xmlns:r="http://schemas.openxmlformats.org/officeDocument/2006/relationships" ref="J1599" r:id="rId4603"/>
    <hyperlink xmlns:r="http://schemas.openxmlformats.org/officeDocument/2006/relationships" ref="K1599" r:id="rId4604"/>
    <hyperlink xmlns:r="http://schemas.openxmlformats.org/officeDocument/2006/relationships" ref="I1600" r:id="rId4605"/>
    <hyperlink xmlns:r="http://schemas.openxmlformats.org/officeDocument/2006/relationships" ref="J1600" r:id="rId4606"/>
    <hyperlink xmlns:r="http://schemas.openxmlformats.org/officeDocument/2006/relationships" ref="K1600" r:id="rId4607"/>
    <hyperlink xmlns:r="http://schemas.openxmlformats.org/officeDocument/2006/relationships" ref="I1601" r:id="rId4608"/>
    <hyperlink xmlns:r="http://schemas.openxmlformats.org/officeDocument/2006/relationships" ref="J1601" r:id="rId4609"/>
    <hyperlink xmlns:r="http://schemas.openxmlformats.org/officeDocument/2006/relationships" ref="K1601" r:id="rId4610"/>
    <hyperlink xmlns:r="http://schemas.openxmlformats.org/officeDocument/2006/relationships" ref="I1602" r:id="rId4611"/>
    <hyperlink xmlns:r="http://schemas.openxmlformats.org/officeDocument/2006/relationships" ref="J1602" r:id="rId4612"/>
    <hyperlink xmlns:r="http://schemas.openxmlformats.org/officeDocument/2006/relationships" ref="K1602" r:id="rId4613"/>
    <hyperlink xmlns:r="http://schemas.openxmlformats.org/officeDocument/2006/relationships" ref="I1603" r:id="rId4614"/>
    <hyperlink xmlns:r="http://schemas.openxmlformats.org/officeDocument/2006/relationships" ref="J1603" r:id="rId4615"/>
    <hyperlink xmlns:r="http://schemas.openxmlformats.org/officeDocument/2006/relationships" ref="K1603" r:id="rId4616"/>
    <hyperlink xmlns:r="http://schemas.openxmlformats.org/officeDocument/2006/relationships" ref="I1604" r:id="rId4617"/>
    <hyperlink xmlns:r="http://schemas.openxmlformats.org/officeDocument/2006/relationships" ref="J1604" r:id="rId4618"/>
    <hyperlink xmlns:r="http://schemas.openxmlformats.org/officeDocument/2006/relationships" ref="K1604" r:id="rId4619"/>
    <hyperlink xmlns:r="http://schemas.openxmlformats.org/officeDocument/2006/relationships" ref="I1605" r:id="rId4620"/>
    <hyperlink xmlns:r="http://schemas.openxmlformats.org/officeDocument/2006/relationships" ref="J1605" r:id="rId4621"/>
    <hyperlink xmlns:r="http://schemas.openxmlformats.org/officeDocument/2006/relationships" ref="K1605" r:id="rId4622"/>
    <hyperlink xmlns:r="http://schemas.openxmlformats.org/officeDocument/2006/relationships" ref="I1606" r:id="rId4623"/>
    <hyperlink xmlns:r="http://schemas.openxmlformats.org/officeDocument/2006/relationships" ref="J1606" r:id="rId4624"/>
    <hyperlink xmlns:r="http://schemas.openxmlformats.org/officeDocument/2006/relationships" ref="K1606" r:id="rId4625"/>
    <hyperlink xmlns:r="http://schemas.openxmlformats.org/officeDocument/2006/relationships" ref="I1607" r:id="rId4626"/>
    <hyperlink xmlns:r="http://schemas.openxmlformats.org/officeDocument/2006/relationships" ref="J1607" r:id="rId4627"/>
    <hyperlink xmlns:r="http://schemas.openxmlformats.org/officeDocument/2006/relationships" ref="K1607" r:id="rId4628"/>
    <hyperlink xmlns:r="http://schemas.openxmlformats.org/officeDocument/2006/relationships" ref="I1608" r:id="rId4629"/>
    <hyperlink xmlns:r="http://schemas.openxmlformats.org/officeDocument/2006/relationships" ref="J1608" r:id="rId4630"/>
    <hyperlink xmlns:r="http://schemas.openxmlformats.org/officeDocument/2006/relationships" ref="K1608" r:id="rId4631"/>
    <hyperlink xmlns:r="http://schemas.openxmlformats.org/officeDocument/2006/relationships" ref="I1609" r:id="rId4632"/>
    <hyperlink xmlns:r="http://schemas.openxmlformats.org/officeDocument/2006/relationships" ref="J1609" r:id="rId4633"/>
    <hyperlink xmlns:r="http://schemas.openxmlformats.org/officeDocument/2006/relationships" ref="K1609" r:id="rId4634"/>
    <hyperlink xmlns:r="http://schemas.openxmlformats.org/officeDocument/2006/relationships" ref="I1610" r:id="rId4635"/>
    <hyperlink xmlns:r="http://schemas.openxmlformats.org/officeDocument/2006/relationships" ref="J1610" r:id="rId4636"/>
    <hyperlink xmlns:r="http://schemas.openxmlformats.org/officeDocument/2006/relationships" ref="K1610" r:id="rId4637"/>
    <hyperlink xmlns:r="http://schemas.openxmlformats.org/officeDocument/2006/relationships" ref="I1611" r:id="rId4638"/>
    <hyperlink xmlns:r="http://schemas.openxmlformats.org/officeDocument/2006/relationships" ref="J1611" r:id="rId4639"/>
    <hyperlink xmlns:r="http://schemas.openxmlformats.org/officeDocument/2006/relationships" ref="K1611" r:id="rId4640"/>
    <hyperlink xmlns:r="http://schemas.openxmlformats.org/officeDocument/2006/relationships" ref="I1612" r:id="rId4641"/>
    <hyperlink xmlns:r="http://schemas.openxmlformats.org/officeDocument/2006/relationships" ref="J1612" r:id="rId4642"/>
    <hyperlink xmlns:r="http://schemas.openxmlformats.org/officeDocument/2006/relationships" ref="K1612" r:id="rId4643"/>
    <hyperlink xmlns:r="http://schemas.openxmlformats.org/officeDocument/2006/relationships" ref="I1613" r:id="rId4644"/>
    <hyperlink xmlns:r="http://schemas.openxmlformats.org/officeDocument/2006/relationships" ref="J1613" r:id="rId4645"/>
    <hyperlink xmlns:r="http://schemas.openxmlformats.org/officeDocument/2006/relationships" ref="K1613" r:id="rId4646"/>
    <hyperlink xmlns:r="http://schemas.openxmlformats.org/officeDocument/2006/relationships" ref="I1614" r:id="rId4647"/>
    <hyperlink xmlns:r="http://schemas.openxmlformats.org/officeDocument/2006/relationships" ref="J1614" r:id="rId4648"/>
    <hyperlink xmlns:r="http://schemas.openxmlformats.org/officeDocument/2006/relationships" ref="K1614" r:id="rId4649"/>
    <hyperlink xmlns:r="http://schemas.openxmlformats.org/officeDocument/2006/relationships" ref="I1615" r:id="rId4650"/>
    <hyperlink xmlns:r="http://schemas.openxmlformats.org/officeDocument/2006/relationships" ref="J1615" r:id="rId4651"/>
    <hyperlink xmlns:r="http://schemas.openxmlformats.org/officeDocument/2006/relationships" ref="K1615" r:id="rId4652"/>
    <hyperlink xmlns:r="http://schemas.openxmlformats.org/officeDocument/2006/relationships" ref="I1616" r:id="rId4653"/>
    <hyperlink xmlns:r="http://schemas.openxmlformats.org/officeDocument/2006/relationships" ref="J1616" r:id="rId4654"/>
    <hyperlink xmlns:r="http://schemas.openxmlformats.org/officeDocument/2006/relationships" ref="K1616" r:id="rId4655"/>
    <hyperlink xmlns:r="http://schemas.openxmlformats.org/officeDocument/2006/relationships" ref="I1617" r:id="rId4656"/>
    <hyperlink xmlns:r="http://schemas.openxmlformats.org/officeDocument/2006/relationships" ref="J1617" r:id="rId4657"/>
    <hyperlink xmlns:r="http://schemas.openxmlformats.org/officeDocument/2006/relationships" ref="K1617" r:id="rId4658"/>
    <hyperlink xmlns:r="http://schemas.openxmlformats.org/officeDocument/2006/relationships" ref="I1618" r:id="rId4659"/>
    <hyperlink xmlns:r="http://schemas.openxmlformats.org/officeDocument/2006/relationships" ref="J1618" r:id="rId4660"/>
    <hyperlink xmlns:r="http://schemas.openxmlformats.org/officeDocument/2006/relationships" ref="K1618" r:id="rId4661"/>
    <hyperlink xmlns:r="http://schemas.openxmlformats.org/officeDocument/2006/relationships" ref="I1619" r:id="rId4662"/>
    <hyperlink xmlns:r="http://schemas.openxmlformats.org/officeDocument/2006/relationships" ref="J1619" r:id="rId4663"/>
    <hyperlink xmlns:r="http://schemas.openxmlformats.org/officeDocument/2006/relationships" ref="K1619" r:id="rId4664"/>
    <hyperlink xmlns:r="http://schemas.openxmlformats.org/officeDocument/2006/relationships" ref="I1620" r:id="rId4665"/>
    <hyperlink xmlns:r="http://schemas.openxmlformats.org/officeDocument/2006/relationships" ref="J1620" r:id="rId4666"/>
    <hyperlink xmlns:r="http://schemas.openxmlformats.org/officeDocument/2006/relationships" ref="K1620" r:id="rId4667"/>
    <hyperlink xmlns:r="http://schemas.openxmlformats.org/officeDocument/2006/relationships" ref="I1621" r:id="rId4668"/>
    <hyperlink xmlns:r="http://schemas.openxmlformats.org/officeDocument/2006/relationships" ref="J1621" r:id="rId4669"/>
    <hyperlink xmlns:r="http://schemas.openxmlformats.org/officeDocument/2006/relationships" ref="K1621" r:id="rId4670"/>
    <hyperlink xmlns:r="http://schemas.openxmlformats.org/officeDocument/2006/relationships" ref="I1622" r:id="rId4671"/>
    <hyperlink xmlns:r="http://schemas.openxmlformats.org/officeDocument/2006/relationships" ref="J1622" r:id="rId4672"/>
    <hyperlink xmlns:r="http://schemas.openxmlformats.org/officeDocument/2006/relationships" ref="K1622" r:id="rId4673"/>
    <hyperlink xmlns:r="http://schemas.openxmlformats.org/officeDocument/2006/relationships" ref="I1623" r:id="rId4674"/>
    <hyperlink xmlns:r="http://schemas.openxmlformats.org/officeDocument/2006/relationships" ref="J1623" r:id="rId4675"/>
    <hyperlink xmlns:r="http://schemas.openxmlformats.org/officeDocument/2006/relationships" ref="K1623" r:id="rId4676"/>
    <hyperlink xmlns:r="http://schemas.openxmlformats.org/officeDocument/2006/relationships" ref="I1624" r:id="rId4677"/>
    <hyperlink xmlns:r="http://schemas.openxmlformats.org/officeDocument/2006/relationships" ref="J1624" r:id="rId4678"/>
    <hyperlink xmlns:r="http://schemas.openxmlformats.org/officeDocument/2006/relationships" ref="K1624" r:id="rId4679"/>
    <hyperlink xmlns:r="http://schemas.openxmlformats.org/officeDocument/2006/relationships" ref="I1625" r:id="rId4680"/>
    <hyperlink xmlns:r="http://schemas.openxmlformats.org/officeDocument/2006/relationships" ref="J1625" r:id="rId4681"/>
    <hyperlink xmlns:r="http://schemas.openxmlformats.org/officeDocument/2006/relationships" ref="K1625" r:id="rId4682"/>
    <hyperlink xmlns:r="http://schemas.openxmlformats.org/officeDocument/2006/relationships" ref="I1626" r:id="rId4683"/>
    <hyperlink xmlns:r="http://schemas.openxmlformats.org/officeDocument/2006/relationships" ref="J1626" r:id="rId4684"/>
    <hyperlink xmlns:r="http://schemas.openxmlformats.org/officeDocument/2006/relationships" ref="K1626" r:id="rId4685"/>
    <hyperlink xmlns:r="http://schemas.openxmlformats.org/officeDocument/2006/relationships" ref="I1627" r:id="rId4686"/>
    <hyperlink xmlns:r="http://schemas.openxmlformats.org/officeDocument/2006/relationships" ref="J1627" r:id="rId4687"/>
    <hyperlink xmlns:r="http://schemas.openxmlformats.org/officeDocument/2006/relationships" ref="K1627" r:id="rId4688"/>
    <hyperlink xmlns:r="http://schemas.openxmlformats.org/officeDocument/2006/relationships" ref="I1628" r:id="rId4689"/>
    <hyperlink xmlns:r="http://schemas.openxmlformats.org/officeDocument/2006/relationships" ref="J1628" r:id="rId4690"/>
    <hyperlink xmlns:r="http://schemas.openxmlformats.org/officeDocument/2006/relationships" ref="K1628" r:id="rId4691"/>
    <hyperlink xmlns:r="http://schemas.openxmlformats.org/officeDocument/2006/relationships" ref="I1629" r:id="rId4692"/>
    <hyperlink xmlns:r="http://schemas.openxmlformats.org/officeDocument/2006/relationships" ref="J1629" r:id="rId4693"/>
    <hyperlink xmlns:r="http://schemas.openxmlformats.org/officeDocument/2006/relationships" ref="K1629" r:id="rId4694"/>
    <hyperlink xmlns:r="http://schemas.openxmlformats.org/officeDocument/2006/relationships" ref="I1630" r:id="rId4695"/>
    <hyperlink xmlns:r="http://schemas.openxmlformats.org/officeDocument/2006/relationships" ref="J1630" r:id="rId4696"/>
    <hyperlink xmlns:r="http://schemas.openxmlformats.org/officeDocument/2006/relationships" ref="K1630" r:id="rId4697"/>
    <hyperlink xmlns:r="http://schemas.openxmlformats.org/officeDocument/2006/relationships" ref="I1631" r:id="rId4698"/>
    <hyperlink xmlns:r="http://schemas.openxmlformats.org/officeDocument/2006/relationships" ref="J1631" r:id="rId4699"/>
    <hyperlink xmlns:r="http://schemas.openxmlformats.org/officeDocument/2006/relationships" ref="K1631" r:id="rId4700"/>
    <hyperlink xmlns:r="http://schemas.openxmlformats.org/officeDocument/2006/relationships" ref="I1632" r:id="rId4701"/>
    <hyperlink xmlns:r="http://schemas.openxmlformats.org/officeDocument/2006/relationships" ref="J1632" r:id="rId4702"/>
    <hyperlink xmlns:r="http://schemas.openxmlformats.org/officeDocument/2006/relationships" ref="K1632" r:id="rId4703"/>
    <hyperlink xmlns:r="http://schemas.openxmlformats.org/officeDocument/2006/relationships" ref="I1633" r:id="rId4704"/>
    <hyperlink xmlns:r="http://schemas.openxmlformats.org/officeDocument/2006/relationships" ref="J1633" r:id="rId4705"/>
    <hyperlink xmlns:r="http://schemas.openxmlformats.org/officeDocument/2006/relationships" ref="K1633" r:id="rId4706"/>
    <hyperlink xmlns:r="http://schemas.openxmlformats.org/officeDocument/2006/relationships" ref="I1634" r:id="rId4707"/>
    <hyperlink xmlns:r="http://schemas.openxmlformats.org/officeDocument/2006/relationships" ref="J1634" r:id="rId4708"/>
    <hyperlink xmlns:r="http://schemas.openxmlformats.org/officeDocument/2006/relationships" ref="K1634" r:id="rId4709"/>
    <hyperlink xmlns:r="http://schemas.openxmlformats.org/officeDocument/2006/relationships" ref="I1635" r:id="rId4710"/>
    <hyperlink xmlns:r="http://schemas.openxmlformats.org/officeDocument/2006/relationships" ref="J1635" r:id="rId4711"/>
    <hyperlink xmlns:r="http://schemas.openxmlformats.org/officeDocument/2006/relationships" ref="K1635" r:id="rId4712"/>
    <hyperlink xmlns:r="http://schemas.openxmlformats.org/officeDocument/2006/relationships" ref="I1636" r:id="rId4713"/>
    <hyperlink xmlns:r="http://schemas.openxmlformats.org/officeDocument/2006/relationships" ref="J1636" r:id="rId4714"/>
    <hyperlink xmlns:r="http://schemas.openxmlformats.org/officeDocument/2006/relationships" ref="K1636" r:id="rId4715"/>
    <hyperlink xmlns:r="http://schemas.openxmlformats.org/officeDocument/2006/relationships" ref="I1637" r:id="rId4716"/>
    <hyperlink xmlns:r="http://schemas.openxmlformats.org/officeDocument/2006/relationships" ref="J1637" r:id="rId4717"/>
    <hyperlink xmlns:r="http://schemas.openxmlformats.org/officeDocument/2006/relationships" ref="K1637" r:id="rId4718"/>
    <hyperlink xmlns:r="http://schemas.openxmlformats.org/officeDocument/2006/relationships" ref="I1638" r:id="rId4719"/>
    <hyperlink xmlns:r="http://schemas.openxmlformats.org/officeDocument/2006/relationships" ref="J1638" r:id="rId4720"/>
    <hyperlink xmlns:r="http://schemas.openxmlformats.org/officeDocument/2006/relationships" ref="K1638" r:id="rId4721"/>
    <hyperlink xmlns:r="http://schemas.openxmlformats.org/officeDocument/2006/relationships" ref="I1639" r:id="rId4722"/>
    <hyperlink xmlns:r="http://schemas.openxmlformats.org/officeDocument/2006/relationships" ref="J1639" r:id="rId4723"/>
    <hyperlink xmlns:r="http://schemas.openxmlformats.org/officeDocument/2006/relationships" ref="K1639" r:id="rId4724"/>
    <hyperlink xmlns:r="http://schemas.openxmlformats.org/officeDocument/2006/relationships" ref="I1640" r:id="rId4725"/>
    <hyperlink xmlns:r="http://schemas.openxmlformats.org/officeDocument/2006/relationships" ref="J1640" r:id="rId4726"/>
    <hyperlink xmlns:r="http://schemas.openxmlformats.org/officeDocument/2006/relationships" ref="K1640" r:id="rId4727"/>
    <hyperlink xmlns:r="http://schemas.openxmlformats.org/officeDocument/2006/relationships" ref="I1641" r:id="rId4728"/>
    <hyperlink xmlns:r="http://schemas.openxmlformats.org/officeDocument/2006/relationships" ref="J1641" r:id="rId4729"/>
    <hyperlink xmlns:r="http://schemas.openxmlformats.org/officeDocument/2006/relationships" ref="K1641" r:id="rId4730"/>
    <hyperlink xmlns:r="http://schemas.openxmlformats.org/officeDocument/2006/relationships" ref="I1642" r:id="rId4731"/>
    <hyperlink xmlns:r="http://schemas.openxmlformats.org/officeDocument/2006/relationships" ref="J1642" r:id="rId4732"/>
    <hyperlink xmlns:r="http://schemas.openxmlformats.org/officeDocument/2006/relationships" ref="K1642" r:id="rId4733"/>
    <hyperlink xmlns:r="http://schemas.openxmlformats.org/officeDocument/2006/relationships" ref="I1643" r:id="rId4734"/>
    <hyperlink xmlns:r="http://schemas.openxmlformats.org/officeDocument/2006/relationships" ref="J1643" r:id="rId4735"/>
    <hyperlink xmlns:r="http://schemas.openxmlformats.org/officeDocument/2006/relationships" ref="K1643" r:id="rId4736"/>
    <hyperlink xmlns:r="http://schemas.openxmlformats.org/officeDocument/2006/relationships" ref="I1644" r:id="rId4737"/>
    <hyperlink xmlns:r="http://schemas.openxmlformats.org/officeDocument/2006/relationships" ref="J1644" r:id="rId4738"/>
    <hyperlink xmlns:r="http://schemas.openxmlformats.org/officeDocument/2006/relationships" ref="K1644" r:id="rId4739"/>
    <hyperlink xmlns:r="http://schemas.openxmlformats.org/officeDocument/2006/relationships" ref="I1645" r:id="rId4740"/>
    <hyperlink xmlns:r="http://schemas.openxmlformats.org/officeDocument/2006/relationships" ref="J1645" r:id="rId4741"/>
    <hyperlink xmlns:r="http://schemas.openxmlformats.org/officeDocument/2006/relationships" ref="K1645" r:id="rId4742"/>
    <hyperlink xmlns:r="http://schemas.openxmlformats.org/officeDocument/2006/relationships" ref="I1646" r:id="rId4743"/>
    <hyperlink xmlns:r="http://schemas.openxmlformats.org/officeDocument/2006/relationships" ref="J1646" r:id="rId4744"/>
    <hyperlink xmlns:r="http://schemas.openxmlformats.org/officeDocument/2006/relationships" ref="K1646" r:id="rId4745"/>
    <hyperlink xmlns:r="http://schemas.openxmlformats.org/officeDocument/2006/relationships" ref="I1647" r:id="rId4746"/>
    <hyperlink xmlns:r="http://schemas.openxmlformats.org/officeDocument/2006/relationships" ref="J1647" r:id="rId4747"/>
    <hyperlink xmlns:r="http://schemas.openxmlformats.org/officeDocument/2006/relationships" ref="K1647" r:id="rId4748"/>
    <hyperlink xmlns:r="http://schemas.openxmlformats.org/officeDocument/2006/relationships" ref="I1648" r:id="rId4749"/>
    <hyperlink xmlns:r="http://schemas.openxmlformats.org/officeDocument/2006/relationships" ref="J1648" r:id="rId4750"/>
    <hyperlink xmlns:r="http://schemas.openxmlformats.org/officeDocument/2006/relationships" ref="K1648" r:id="rId4751"/>
    <hyperlink xmlns:r="http://schemas.openxmlformats.org/officeDocument/2006/relationships" ref="I1649" r:id="rId4752"/>
    <hyperlink xmlns:r="http://schemas.openxmlformats.org/officeDocument/2006/relationships" ref="J1649" r:id="rId4753"/>
    <hyperlink xmlns:r="http://schemas.openxmlformats.org/officeDocument/2006/relationships" ref="K1649" r:id="rId4754"/>
    <hyperlink xmlns:r="http://schemas.openxmlformats.org/officeDocument/2006/relationships" ref="I1650" r:id="rId4755"/>
    <hyperlink xmlns:r="http://schemas.openxmlformats.org/officeDocument/2006/relationships" ref="J1650" r:id="rId4756"/>
    <hyperlink xmlns:r="http://schemas.openxmlformats.org/officeDocument/2006/relationships" ref="K1650" r:id="rId4757"/>
    <hyperlink xmlns:r="http://schemas.openxmlformats.org/officeDocument/2006/relationships" ref="I1651" r:id="rId4758"/>
    <hyperlink xmlns:r="http://schemas.openxmlformats.org/officeDocument/2006/relationships" ref="J1651" r:id="rId4759"/>
    <hyperlink xmlns:r="http://schemas.openxmlformats.org/officeDocument/2006/relationships" ref="K1651" r:id="rId4760"/>
    <hyperlink xmlns:r="http://schemas.openxmlformats.org/officeDocument/2006/relationships" ref="I1652" r:id="rId4761"/>
    <hyperlink xmlns:r="http://schemas.openxmlformats.org/officeDocument/2006/relationships" ref="J1652" r:id="rId4762"/>
    <hyperlink xmlns:r="http://schemas.openxmlformats.org/officeDocument/2006/relationships" ref="K1652" r:id="rId4763"/>
    <hyperlink xmlns:r="http://schemas.openxmlformats.org/officeDocument/2006/relationships" ref="I1653" r:id="rId4764"/>
    <hyperlink xmlns:r="http://schemas.openxmlformats.org/officeDocument/2006/relationships" ref="J1653" r:id="rId4765"/>
    <hyperlink xmlns:r="http://schemas.openxmlformats.org/officeDocument/2006/relationships" ref="K1653" r:id="rId4766"/>
    <hyperlink xmlns:r="http://schemas.openxmlformats.org/officeDocument/2006/relationships" ref="I1654" r:id="rId4767"/>
    <hyperlink xmlns:r="http://schemas.openxmlformats.org/officeDocument/2006/relationships" ref="J1654" r:id="rId4768"/>
    <hyperlink xmlns:r="http://schemas.openxmlformats.org/officeDocument/2006/relationships" ref="K1654" r:id="rId4769"/>
    <hyperlink xmlns:r="http://schemas.openxmlformats.org/officeDocument/2006/relationships" ref="I1655" r:id="rId4770"/>
    <hyperlink xmlns:r="http://schemas.openxmlformats.org/officeDocument/2006/relationships" ref="J1655" r:id="rId4771"/>
    <hyperlink xmlns:r="http://schemas.openxmlformats.org/officeDocument/2006/relationships" ref="K1655" r:id="rId4772"/>
    <hyperlink xmlns:r="http://schemas.openxmlformats.org/officeDocument/2006/relationships" ref="I1656" r:id="rId4773"/>
    <hyperlink xmlns:r="http://schemas.openxmlformats.org/officeDocument/2006/relationships" ref="J1656" r:id="rId4774"/>
    <hyperlink xmlns:r="http://schemas.openxmlformats.org/officeDocument/2006/relationships" ref="K1656" r:id="rId4775"/>
    <hyperlink xmlns:r="http://schemas.openxmlformats.org/officeDocument/2006/relationships" ref="I1657" r:id="rId4776"/>
    <hyperlink xmlns:r="http://schemas.openxmlformats.org/officeDocument/2006/relationships" ref="J1657" r:id="rId4777"/>
    <hyperlink xmlns:r="http://schemas.openxmlformats.org/officeDocument/2006/relationships" ref="K1657" r:id="rId4778"/>
    <hyperlink xmlns:r="http://schemas.openxmlformats.org/officeDocument/2006/relationships" ref="I1658" r:id="rId4779"/>
    <hyperlink xmlns:r="http://schemas.openxmlformats.org/officeDocument/2006/relationships" ref="J1658" r:id="rId4780"/>
    <hyperlink xmlns:r="http://schemas.openxmlformats.org/officeDocument/2006/relationships" ref="K1658" r:id="rId4781"/>
    <hyperlink xmlns:r="http://schemas.openxmlformats.org/officeDocument/2006/relationships" ref="I1659" r:id="rId4782"/>
    <hyperlink xmlns:r="http://schemas.openxmlformats.org/officeDocument/2006/relationships" ref="J1659" r:id="rId4783"/>
    <hyperlink xmlns:r="http://schemas.openxmlformats.org/officeDocument/2006/relationships" ref="K1659" r:id="rId4784"/>
    <hyperlink xmlns:r="http://schemas.openxmlformats.org/officeDocument/2006/relationships" ref="I1660" r:id="rId4785"/>
    <hyperlink xmlns:r="http://schemas.openxmlformats.org/officeDocument/2006/relationships" ref="J1660" r:id="rId4786"/>
    <hyperlink xmlns:r="http://schemas.openxmlformats.org/officeDocument/2006/relationships" ref="K1660" r:id="rId4787"/>
    <hyperlink xmlns:r="http://schemas.openxmlformats.org/officeDocument/2006/relationships" ref="I1661" r:id="rId4788"/>
    <hyperlink xmlns:r="http://schemas.openxmlformats.org/officeDocument/2006/relationships" ref="J1661" r:id="rId4789"/>
    <hyperlink xmlns:r="http://schemas.openxmlformats.org/officeDocument/2006/relationships" ref="K1661" r:id="rId4790"/>
    <hyperlink xmlns:r="http://schemas.openxmlformats.org/officeDocument/2006/relationships" ref="I1662" r:id="rId4791"/>
    <hyperlink xmlns:r="http://schemas.openxmlformats.org/officeDocument/2006/relationships" ref="J1662" r:id="rId4792"/>
    <hyperlink xmlns:r="http://schemas.openxmlformats.org/officeDocument/2006/relationships" ref="K1662" r:id="rId4793"/>
    <hyperlink xmlns:r="http://schemas.openxmlformats.org/officeDocument/2006/relationships" ref="I1663" r:id="rId4794"/>
    <hyperlink xmlns:r="http://schemas.openxmlformats.org/officeDocument/2006/relationships" ref="J1663" r:id="rId4795"/>
    <hyperlink xmlns:r="http://schemas.openxmlformats.org/officeDocument/2006/relationships" ref="K1663" r:id="rId4796"/>
    <hyperlink xmlns:r="http://schemas.openxmlformats.org/officeDocument/2006/relationships" ref="I1664" r:id="rId4797"/>
    <hyperlink xmlns:r="http://schemas.openxmlformats.org/officeDocument/2006/relationships" ref="J1664" r:id="rId4798"/>
    <hyperlink xmlns:r="http://schemas.openxmlformats.org/officeDocument/2006/relationships" ref="K1664" r:id="rId4799"/>
    <hyperlink xmlns:r="http://schemas.openxmlformats.org/officeDocument/2006/relationships" ref="I1665" r:id="rId4800"/>
    <hyperlink xmlns:r="http://schemas.openxmlformats.org/officeDocument/2006/relationships" ref="J1665" r:id="rId4801"/>
    <hyperlink xmlns:r="http://schemas.openxmlformats.org/officeDocument/2006/relationships" ref="K1665" r:id="rId4802"/>
    <hyperlink xmlns:r="http://schemas.openxmlformats.org/officeDocument/2006/relationships" ref="I1666" r:id="rId4803"/>
    <hyperlink xmlns:r="http://schemas.openxmlformats.org/officeDocument/2006/relationships" ref="J1666" r:id="rId4804"/>
    <hyperlink xmlns:r="http://schemas.openxmlformats.org/officeDocument/2006/relationships" ref="K1666" r:id="rId4805"/>
    <hyperlink xmlns:r="http://schemas.openxmlformats.org/officeDocument/2006/relationships" ref="I1667" r:id="rId4806"/>
    <hyperlink xmlns:r="http://schemas.openxmlformats.org/officeDocument/2006/relationships" ref="J1667" r:id="rId4807"/>
    <hyperlink xmlns:r="http://schemas.openxmlformats.org/officeDocument/2006/relationships" ref="K1667" r:id="rId4808"/>
    <hyperlink xmlns:r="http://schemas.openxmlformats.org/officeDocument/2006/relationships" ref="I1668" r:id="rId4809"/>
    <hyperlink xmlns:r="http://schemas.openxmlformats.org/officeDocument/2006/relationships" ref="J1668" r:id="rId4810"/>
    <hyperlink xmlns:r="http://schemas.openxmlformats.org/officeDocument/2006/relationships" ref="K1668" r:id="rId4811"/>
    <hyperlink xmlns:r="http://schemas.openxmlformats.org/officeDocument/2006/relationships" ref="I1669" r:id="rId4812"/>
    <hyperlink xmlns:r="http://schemas.openxmlformats.org/officeDocument/2006/relationships" ref="J1669" r:id="rId4813"/>
    <hyperlink xmlns:r="http://schemas.openxmlformats.org/officeDocument/2006/relationships" ref="K1669" r:id="rId4814"/>
    <hyperlink xmlns:r="http://schemas.openxmlformats.org/officeDocument/2006/relationships" ref="I1670" r:id="rId4815"/>
    <hyperlink xmlns:r="http://schemas.openxmlformats.org/officeDocument/2006/relationships" ref="J1670" r:id="rId4816"/>
    <hyperlink xmlns:r="http://schemas.openxmlformats.org/officeDocument/2006/relationships" ref="K1670" r:id="rId4817"/>
    <hyperlink xmlns:r="http://schemas.openxmlformats.org/officeDocument/2006/relationships" ref="I1671" r:id="rId4818"/>
    <hyperlink xmlns:r="http://schemas.openxmlformats.org/officeDocument/2006/relationships" ref="J1671" r:id="rId4819"/>
    <hyperlink xmlns:r="http://schemas.openxmlformats.org/officeDocument/2006/relationships" ref="K1671" r:id="rId4820"/>
    <hyperlink xmlns:r="http://schemas.openxmlformats.org/officeDocument/2006/relationships" ref="I1672" r:id="rId4821"/>
    <hyperlink xmlns:r="http://schemas.openxmlformats.org/officeDocument/2006/relationships" ref="J1672" r:id="rId4822"/>
    <hyperlink xmlns:r="http://schemas.openxmlformats.org/officeDocument/2006/relationships" ref="K1672" r:id="rId4823"/>
    <hyperlink xmlns:r="http://schemas.openxmlformats.org/officeDocument/2006/relationships" ref="I1673" r:id="rId4824"/>
    <hyperlink xmlns:r="http://schemas.openxmlformats.org/officeDocument/2006/relationships" ref="J1673" r:id="rId4825"/>
    <hyperlink xmlns:r="http://schemas.openxmlformats.org/officeDocument/2006/relationships" ref="K1673" r:id="rId4826"/>
    <hyperlink xmlns:r="http://schemas.openxmlformats.org/officeDocument/2006/relationships" ref="I1674" r:id="rId4827"/>
    <hyperlink xmlns:r="http://schemas.openxmlformats.org/officeDocument/2006/relationships" ref="J1674" r:id="rId4828"/>
    <hyperlink xmlns:r="http://schemas.openxmlformats.org/officeDocument/2006/relationships" ref="K1674" r:id="rId4829"/>
    <hyperlink xmlns:r="http://schemas.openxmlformats.org/officeDocument/2006/relationships" ref="I1675" r:id="rId4830"/>
    <hyperlink xmlns:r="http://schemas.openxmlformats.org/officeDocument/2006/relationships" ref="J1675" r:id="rId4831"/>
    <hyperlink xmlns:r="http://schemas.openxmlformats.org/officeDocument/2006/relationships" ref="K1675" r:id="rId4832"/>
    <hyperlink xmlns:r="http://schemas.openxmlformats.org/officeDocument/2006/relationships" ref="I1676" r:id="rId4833"/>
    <hyperlink xmlns:r="http://schemas.openxmlformats.org/officeDocument/2006/relationships" ref="J1676" r:id="rId4834"/>
    <hyperlink xmlns:r="http://schemas.openxmlformats.org/officeDocument/2006/relationships" ref="K1676" r:id="rId4835"/>
    <hyperlink xmlns:r="http://schemas.openxmlformats.org/officeDocument/2006/relationships" ref="I1677" r:id="rId4836"/>
    <hyperlink xmlns:r="http://schemas.openxmlformats.org/officeDocument/2006/relationships" ref="J1677" r:id="rId4837"/>
    <hyperlink xmlns:r="http://schemas.openxmlformats.org/officeDocument/2006/relationships" ref="K1677" r:id="rId4838"/>
    <hyperlink xmlns:r="http://schemas.openxmlformats.org/officeDocument/2006/relationships" ref="I1678" r:id="rId4839"/>
    <hyperlink xmlns:r="http://schemas.openxmlformats.org/officeDocument/2006/relationships" ref="J1678" r:id="rId4840"/>
    <hyperlink xmlns:r="http://schemas.openxmlformats.org/officeDocument/2006/relationships" ref="K1678" r:id="rId4841"/>
    <hyperlink xmlns:r="http://schemas.openxmlformats.org/officeDocument/2006/relationships" ref="I1679" r:id="rId4842"/>
    <hyperlink xmlns:r="http://schemas.openxmlformats.org/officeDocument/2006/relationships" ref="J1679" r:id="rId4843"/>
    <hyperlink xmlns:r="http://schemas.openxmlformats.org/officeDocument/2006/relationships" ref="K1679" r:id="rId4844"/>
    <hyperlink xmlns:r="http://schemas.openxmlformats.org/officeDocument/2006/relationships" ref="I1680" r:id="rId4845"/>
    <hyperlink xmlns:r="http://schemas.openxmlformats.org/officeDocument/2006/relationships" ref="J1680" r:id="rId4846"/>
    <hyperlink xmlns:r="http://schemas.openxmlformats.org/officeDocument/2006/relationships" ref="K1680" r:id="rId4847"/>
    <hyperlink xmlns:r="http://schemas.openxmlformats.org/officeDocument/2006/relationships" ref="I1681" r:id="rId4848"/>
    <hyperlink xmlns:r="http://schemas.openxmlformats.org/officeDocument/2006/relationships" ref="J1681" r:id="rId4849"/>
    <hyperlink xmlns:r="http://schemas.openxmlformats.org/officeDocument/2006/relationships" ref="K1681" r:id="rId4850"/>
    <hyperlink xmlns:r="http://schemas.openxmlformats.org/officeDocument/2006/relationships" ref="I1682" r:id="rId4851"/>
    <hyperlink xmlns:r="http://schemas.openxmlformats.org/officeDocument/2006/relationships" ref="J1682" r:id="rId4852"/>
    <hyperlink xmlns:r="http://schemas.openxmlformats.org/officeDocument/2006/relationships" ref="K1682" r:id="rId4853"/>
    <hyperlink xmlns:r="http://schemas.openxmlformats.org/officeDocument/2006/relationships" ref="I1683" r:id="rId4854"/>
    <hyperlink xmlns:r="http://schemas.openxmlformats.org/officeDocument/2006/relationships" ref="J1683" r:id="rId4855"/>
    <hyperlink xmlns:r="http://schemas.openxmlformats.org/officeDocument/2006/relationships" ref="K1683" r:id="rId4856"/>
    <hyperlink xmlns:r="http://schemas.openxmlformats.org/officeDocument/2006/relationships" ref="I1684" r:id="rId4857"/>
    <hyperlink xmlns:r="http://schemas.openxmlformats.org/officeDocument/2006/relationships" ref="J1684" r:id="rId4858"/>
    <hyperlink xmlns:r="http://schemas.openxmlformats.org/officeDocument/2006/relationships" ref="K1684" r:id="rId4859"/>
    <hyperlink xmlns:r="http://schemas.openxmlformats.org/officeDocument/2006/relationships" ref="I1685" r:id="rId4860"/>
    <hyperlink xmlns:r="http://schemas.openxmlformats.org/officeDocument/2006/relationships" ref="J1685" r:id="rId4861"/>
    <hyperlink xmlns:r="http://schemas.openxmlformats.org/officeDocument/2006/relationships" ref="K1685" r:id="rId4862"/>
    <hyperlink xmlns:r="http://schemas.openxmlformats.org/officeDocument/2006/relationships" ref="I1686" r:id="rId4863"/>
    <hyperlink xmlns:r="http://schemas.openxmlformats.org/officeDocument/2006/relationships" ref="J1686" r:id="rId4864"/>
    <hyperlink xmlns:r="http://schemas.openxmlformats.org/officeDocument/2006/relationships" ref="I1687" r:id="rId4865"/>
    <hyperlink xmlns:r="http://schemas.openxmlformats.org/officeDocument/2006/relationships" ref="J1687" r:id="rId4866"/>
    <hyperlink xmlns:r="http://schemas.openxmlformats.org/officeDocument/2006/relationships" ref="K1687" r:id="rId4867"/>
    <hyperlink xmlns:r="http://schemas.openxmlformats.org/officeDocument/2006/relationships" ref="I1688" r:id="rId4868"/>
    <hyperlink xmlns:r="http://schemas.openxmlformats.org/officeDocument/2006/relationships" ref="J1688" r:id="rId4869"/>
    <hyperlink xmlns:r="http://schemas.openxmlformats.org/officeDocument/2006/relationships" ref="K1688" r:id="rId4870"/>
    <hyperlink xmlns:r="http://schemas.openxmlformats.org/officeDocument/2006/relationships" ref="I1689" r:id="rId4871"/>
    <hyperlink xmlns:r="http://schemas.openxmlformats.org/officeDocument/2006/relationships" ref="J1689" r:id="rId4872"/>
    <hyperlink xmlns:r="http://schemas.openxmlformats.org/officeDocument/2006/relationships" ref="K1689" r:id="rId4873"/>
    <hyperlink xmlns:r="http://schemas.openxmlformats.org/officeDocument/2006/relationships" ref="I1690" r:id="rId4874"/>
    <hyperlink xmlns:r="http://schemas.openxmlformats.org/officeDocument/2006/relationships" ref="J1690" r:id="rId4875"/>
    <hyperlink xmlns:r="http://schemas.openxmlformats.org/officeDocument/2006/relationships" ref="K1690" r:id="rId4876"/>
    <hyperlink xmlns:r="http://schemas.openxmlformats.org/officeDocument/2006/relationships" ref="I1691" r:id="rId4877"/>
    <hyperlink xmlns:r="http://schemas.openxmlformats.org/officeDocument/2006/relationships" ref="J1691" r:id="rId4878"/>
    <hyperlink xmlns:r="http://schemas.openxmlformats.org/officeDocument/2006/relationships" ref="K1691" r:id="rId4879"/>
    <hyperlink xmlns:r="http://schemas.openxmlformats.org/officeDocument/2006/relationships" ref="I1692" r:id="rId4880"/>
    <hyperlink xmlns:r="http://schemas.openxmlformats.org/officeDocument/2006/relationships" ref="J1692" r:id="rId4881"/>
    <hyperlink xmlns:r="http://schemas.openxmlformats.org/officeDocument/2006/relationships" ref="K1692" r:id="rId4882"/>
    <hyperlink xmlns:r="http://schemas.openxmlformats.org/officeDocument/2006/relationships" ref="I1693" r:id="rId4883"/>
    <hyperlink xmlns:r="http://schemas.openxmlformats.org/officeDocument/2006/relationships" ref="J1693" r:id="rId4884"/>
    <hyperlink xmlns:r="http://schemas.openxmlformats.org/officeDocument/2006/relationships" ref="K1693" r:id="rId4885"/>
    <hyperlink xmlns:r="http://schemas.openxmlformats.org/officeDocument/2006/relationships" ref="I1694" r:id="rId4886"/>
    <hyperlink xmlns:r="http://schemas.openxmlformats.org/officeDocument/2006/relationships" ref="J1694" r:id="rId4887"/>
    <hyperlink xmlns:r="http://schemas.openxmlformats.org/officeDocument/2006/relationships" ref="K1694" r:id="rId4888"/>
    <hyperlink xmlns:r="http://schemas.openxmlformats.org/officeDocument/2006/relationships" ref="I1695" r:id="rId4889"/>
    <hyperlink xmlns:r="http://schemas.openxmlformats.org/officeDocument/2006/relationships" ref="J1695" r:id="rId4890"/>
    <hyperlink xmlns:r="http://schemas.openxmlformats.org/officeDocument/2006/relationships" ref="K1695" r:id="rId4891"/>
    <hyperlink xmlns:r="http://schemas.openxmlformats.org/officeDocument/2006/relationships" ref="I1696" r:id="rId4892"/>
    <hyperlink xmlns:r="http://schemas.openxmlformats.org/officeDocument/2006/relationships" ref="J1696" r:id="rId4893"/>
    <hyperlink xmlns:r="http://schemas.openxmlformats.org/officeDocument/2006/relationships" ref="K1696" r:id="rId4894"/>
    <hyperlink xmlns:r="http://schemas.openxmlformats.org/officeDocument/2006/relationships" ref="I1697" r:id="rId4895"/>
    <hyperlink xmlns:r="http://schemas.openxmlformats.org/officeDocument/2006/relationships" ref="J1697" r:id="rId4896"/>
    <hyperlink xmlns:r="http://schemas.openxmlformats.org/officeDocument/2006/relationships" ref="K1697" r:id="rId4897"/>
    <hyperlink xmlns:r="http://schemas.openxmlformats.org/officeDocument/2006/relationships" ref="I1698" r:id="rId4898"/>
    <hyperlink xmlns:r="http://schemas.openxmlformats.org/officeDocument/2006/relationships" ref="J1698" r:id="rId4899"/>
    <hyperlink xmlns:r="http://schemas.openxmlformats.org/officeDocument/2006/relationships" ref="K1698" r:id="rId4900"/>
    <hyperlink xmlns:r="http://schemas.openxmlformats.org/officeDocument/2006/relationships" ref="I1699" r:id="rId4901"/>
    <hyperlink xmlns:r="http://schemas.openxmlformats.org/officeDocument/2006/relationships" ref="J1699" r:id="rId4902"/>
    <hyperlink xmlns:r="http://schemas.openxmlformats.org/officeDocument/2006/relationships" ref="K1699" r:id="rId4903"/>
    <hyperlink xmlns:r="http://schemas.openxmlformats.org/officeDocument/2006/relationships" ref="I1700" r:id="rId4904"/>
    <hyperlink xmlns:r="http://schemas.openxmlformats.org/officeDocument/2006/relationships" ref="J1700" r:id="rId4905"/>
    <hyperlink xmlns:r="http://schemas.openxmlformats.org/officeDocument/2006/relationships" ref="K1700" r:id="rId4906"/>
    <hyperlink xmlns:r="http://schemas.openxmlformats.org/officeDocument/2006/relationships" ref="I1701" r:id="rId4907"/>
    <hyperlink xmlns:r="http://schemas.openxmlformats.org/officeDocument/2006/relationships" ref="J1701" r:id="rId4908"/>
    <hyperlink xmlns:r="http://schemas.openxmlformats.org/officeDocument/2006/relationships" ref="K1701" r:id="rId4909"/>
    <hyperlink xmlns:r="http://schemas.openxmlformats.org/officeDocument/2006/relationships" ref="I1702" r:id="rId4910"/>
    <hyperlink xmlns:r="http://schemas.openxmlformats.org/officeDocument/2006/relationships" ref="J1702" r:id="rId4911"/>
    <hyperlink xmlns:r="http://schemas.openxmlformats.org/officeDocument/2006/relationships" ref="K1702" r:id="rId4912"/>
    <hyperlink xmlns:r="http://schemas.openxmlformats.org/officeDocument/2006/relationships" ref="I1703" r:id="rId4913"/>
    <hyperlink xmlns:r="http://schemas.openxmlformats.org/officeDocument/2006/relationships" ref="J1703" r:id="rId4914"/>
    <hyperlink xmlns:r="http://schemas.openxmlformats.org/officeDocument/2006/relationships" ref="K1703" r:id="rId4915"/>
    <hyperlink xmlns:r="http://schemas.openxmlformats.org/officeDocument/2006/relationships" ref="I1704" r:id="rId4916"/>
    <hyperlink xmlns:r="http://schemas.openxmlformats.org/officeDocument/2006/relationships" ref="J1704" r:id="rId4917"/>
    <hyperlink xmlns:r="http://schemas.openxmlformats.org/officeDocument/2006/relationships" ref="K1704" r:id="rId4918"/>
    <hyperlink xmlns:r="http://schemas.openxmlformats.org/officeDocument/2006/relationships" ref="I1705" r:id="rId4919"/>
    <hyperlink xmlns:r="http://schemas.openxmlformats.org/officeDocument/2006/relationships" ref="J1705" r:id="rId4920"/>
    <hyperlink xmlns:r="http://schemas.openxmlformats.org/officeDocument/2006/relationships" ref="K1705" r:id="rId4921"/>
    <hyperlink xmlns:r="http://schemas.openxmlformats.org/officeDocument/2006/relationships" ref="I1706" r:id="rId4922"/>
    <hyperlink xmlns:r="http://schemas.openxmlformats.org/officeDocument/2006/relationships" ref="J1706" r:id="rId4923"/>
    <hyperlink xmlns:r="http://schemas.openxmlformats.org/officeDocument/2006/relationships" ref="K1706" r:id="rId4924"/>
    <hyperlink xmlns:r="http://schemas.openxmlformats.org/officeDocument/2006/relationships" ref="I1707" r:id="rId4925"/>
    <hyperlink xmlns:r="http://schemas.openxmlformats.org/officeDocument/2006/relationships" ref="J1707" r:id="rId4926"/>
    <hyperlink xmlns:r="http://schemas.openxmlformats.org/officeDocument/2006/relationships" ref="K1707" r:id="rId4927"/>
    <hyperlink xmlns:r="http://schemas.openxmlformats.org/officeDocument/2006/relationships" ref="I1708" r:id="rId4928"/>
    <hyperlink xmlns:r="http://schemas.openxmlformats.org/officeDocument/2006/relationships" ref="J1708" r:id="rId4929"/>
    <hyperlink xmlns:r="http://schemas.openxmlformats.org/officeDocument/2006/relationships" ref="K1708" r:id="rId4930"/>
    <hyperlink xmlns:r="http://schemas.openxmlformats.org/officeDocument/2006/relationships" ref="I1709" r:id="rId4931"/>
    <hyperlink xmlns:r="http://schemas.openxmlformats.org/officeDocument/2006/relationships" ref="J1709" r:id="rId4932"/>
    <hyperlink xmlns:r="http://schemas.openxmlformats.org/officeDocument/2006/relationships" ref="K1709" r:id="rId4933"/>
    <hyperlink xmlns:r="http://schemas.openxmlformats.org/officeDocument/2006/relationships" ref="I1710" r:id="rId4934"/>
    <hyperlink xmlns:r="http://schemas.openxmlformats.org/officeDocument/2006/relationships" ref="J1710" r:id="rId4935"/>
    <hyperlink xmlns:r="http://schemas.openxmlformats.org/officeDocument/2006/relationships" ref="K1710" r:id="rId4936"/>
    <hyperlink xmlns:r="http://schemas.openxmlformats.org/officeDocument/2006/relationships" ref="I1711" r:id="rId4937"/>
    <hyperlink xmlns:r="http://schemas.openxmlformats.org/officeDocument/2006/relationships" ref="J1711" r:id="rId4938"/>
    <hyperlink xmlns:r="http://schemas.openxmlformats.org/officeDocument/2006/relationships" ref="K1711" r:id="rId4939"/>
    <hyperlink xmlns:r="http://schemas.openxmlformats.org/officeDocument/2006/relationships" ref="I1712" r:id="rId4940"/>
    <hyperlink xmlns:r="http://schemas.openxmlformats.org/officeDocument/2006/relationships" ref="J1712" r:id="rId4941"/>
    <hyperlink xmlns:r="http://schemas.openxmlformats.org/officeDocument/2006/relationships" ref="K1712" r:id="rId4942"/>
    <hyperlink xmlns:r="http://schemas.openxmlformats.org/officeDocument/2006/relationships" ref="I1713" r:id="rId4943"/>
    <hyperlink xmlns:r="http://schemas.openxmlformats.org/officeDocument/2006/relationships" ref="J1713" r:id="rId4944"/>
    <hyperlink xmlns:r="http://schemas.openxmlformats.org/officeDocument/2006/relationships" ref="K1713" r:id="rId4945"/>
    <hyperlink xmlns:r="http://schemas.openxmlformats.org/officeDocument/2006/relationships" ref="I1714" r:id="rId4946"/>
    <hyperlink xmlns:r="http://schemas.openxmlformats.org/officeDocument/2006/relationships" ref="J1714" r:id="rId4947"/>
    <hyperlink xmlns:r="http://schemas.openxmlformats.org/officeDocument/2006/relationships" ref="K1714" r:id="rId4948"/>
    <hyperlink xmlns:r="http://schemas.openxmlformats.org/officeDocument/2006/relationships" ref="I1715" r:id="rId4949"/>
    <hyperlink xmlns:r="http://schemas.openxmlformats.org/officeDocument/2006/relationships" ref="J1715" r:id="rId4950"/>
    <hyperlink xmlns:r="http://schemas.openxmlformats.org/officeDocument/2006/relationships" ref="K1715" r:id="rId4951"/>
    <hyperlink xmlns:r="http://schemas.openxmlformats.org/officeDocument/2006/relationships" ref="I1716" r:id="rId4952"/>
    <hyperlink xmlns:r="http://schemas.openxmlformats.org/officeDocument/2006/relationships" ref="J1716" r:id="rId4953"/>
    <hyperlink xmlns:r="http://schemas.openxmlformats.org/officeDocument/2006/relationships" ref="K1716" r:id="rId4954"/>
    <hyperlink xmlns:r="http://schemas.openxmlformats.org/officeDocument/2006/relationships" ref="I1717" r:id="rId4955"/>
    <hyperlink xmlns:r="http://schemas.openxmlformats.org/officeDocument/2006/relationships" ref="J1717" r:id="rId4956"/>
    <hyperlink xmlns:r="http://schemas.openxmlformats.org/officeDocument/2006/relationships" ref="K1717" r:id="rId4957"/>
    <hyperlink xmlns:r="http://schemas.openxmlformats.org/officeDocument/2006/relationships" ref="I1718" r:id="rId4958"/>
    <hyperlink xmlns:r="http://schemas.openxmlformats.org/officeDocument/2006/relationships" ref="J1718" r:id="rId4959"/>
    <hyperlink xmlns:r="http://schemas.openxmlformats.org/officeDocument/2006/relationships" ref="K1718" r:id="rId4960"/>
    <hyperlink xmlns:r="http://schemas.openxmlformats.org/officeDocument/2006/relationships" ref="I1719" r:id="rId4961"/>
    <hyperlink xmlns:r="http://schemas.openxmlformats.org/officeDocument/2006/relationships" ref="J1719" r:id="rId4962"/>
    <hyperlink xmlns:r="http://schemas.openxmlformats.org/officeDocument/2006/relationships" ref="K1719" r:id="rId4963"/>
    <hyperlink xmlns:r="http://schemas.openxmlformats.org/officeDocument/2006/relationships" ref="I1720" r:id="rId4964"/>
    <hyperlink xmlns:r="http://schemas.openxmlformats.org/officeDocument/2006/relationships" ref="J1720" r:id="rId4965"/>
    <hyperlink xmlns:r="http://schemas.openxmlformats.org/officeDocument/2006/relationships" ref="K1720" r:id="rId4966"/>
    <hyperlink xmlns:r="http://schemas.openxmlformats.org/officeDocument/2006/relationships" ref="I1721" r:id="rId4967"/>
    <hyperlink xmlns:r="http://schemas.openxmlformats.org/officeDocument/2006/relationships" ref="J1721" r:id="rId4968"/>
    <hyperlink xmlns:r="http://schemas.openxmlformats.org/officeDocument/2006/relationships" ref="K1721" r:id="rId4969"/>
    <hyperlink xmlns:r="http://schemas.openxmlformats.org/officeDocument/2006/relationships" ref="I1722" r:id="rId4970"/>
    <hyperlink xmlns:r="http://schemas.openxmlformats.org/officeDocument/2006/relationships" ref="J1722" r:id="rId4971"/>
    <hyperlink xmlns:r="http://schemas.openxmlformats.org/officeDocument/2006/relationships" ref="K1722" r:id="rId4972"/>
    <hyperlink xmlns:r="http://schemas.openxmlformats.org/officeDocument/2006/relationships" ref="I1723" r:id="rId4973"/>
    <hyperlink xmlns:r="http://schemas.openxmlformats.org/officeDocument/2006/relationships" ref="J1723" r:id="rId4974"/>
    <hyperlink xmlns:r="http://schemas.openxmlformats.org/officeDocument/2006/relationships" ref="K1723" r:id="rId4975"/>
    <hyperlink xmlns:r="http://schemas.openxmlformats.org/officeDocument/2006/relationships" ref="I1724" r:id="rId4976"/>
    <hyperlink xmlns:r="http://schemas.openxmlformats.org/officeDocument/2006/relationships" ref="J1724" r:id="rId4977"/>
    <hyperlink xmlns:r="http://schemas.openxmlformats.org/officeDocument/2006/relationships" ref="K1724" r:id="rId4978"/>
    <hyperlink xmlns:r="http://schemas.openxmlformats.org/officeDocument/2006/relationships" ref="I1725" r:id="rId4979"/>
    <hyperlink xmlns:r="http://schemas.openxmlformats.org/officeDocument/2006/relationships" ref="J1725" r:id="rId4980"/>
    <hyperlink xmlns:r="http://schemas.openxmlformats.org/officeDocument/2006/relationships" ref="K1725" r:id="rId4981"/>
    <hyperlink xmlns:r="http://schemas.openxmlformats.org/officeDocument/2006/relationships" ref="I1726" r:id="rId4982"/>
    <hyperlink xmlns:r="http://schemas.openxmlformats.org/officeDocument/2006/relationships" ref="J1726" r:id="rId4983"/>
    <hyperlink xmlns:r="http://schemas.openxmlformats.org/officeDocument/2006/relationships" ref="K1726" r:id="rId4984"/>
    <hyperlink xmlns:r="http://schemas.openxmlformats.org/officeDocument/2006/relationships" ref="I1727" r:id="rId4985"/>
    <hyperlink xmlns:r="http://schemas.openxmlformats.org/officeDocument/2006/relationships" ref="J1727" r:id="rId4986"/>
    <hyperlink xmlns:r="http://schemas.openxmlformats.org/officeDocument/2006/relationships" ref="K1727" r:id="rId4987"/>
    <hyperlink xmlns:r="http://schemas.openxmlformats.org/officeDocument/2006/relationships" ref="I1728" r:id="rId4988"/>
    <hyperlink xmlns:r="http://schemas.openxmlformats.org/officeDocument/2006/relationships" ref="J1728" r:id="rId4989"/>
    <hyperlink xmlns:r="http://schemas.openxmlformats.org/officeDocument/2006/relationships" ref="K1728" r:id="rId4990"/>
    <hyperlink xmlns:r="http://schemas.openxmlformats.org/officeDocument/2006/relationships" ref="I1729" r:id="rId4991"/>
    <hyperlink xmlns:r="http://schemas.openxmlformats.org/officeDocument/2006/relationships" ref="J1729" r:id="rId4992"/>
    <hyperlink xmlns:r="http://schemas.openxmlformats.org/officeDocument/2006/relationships" ref="K1729" r:id="rId4993"/>
    <hyperlink xmlns:r="http://schemas.openxmlformats.org/officeDocument/2006/relationships" ref="I1730" r:id="rId4994"/>
    <hyperlink xmlns:r="http://schemas.openxmlformats.org/officeDocument/2006/relationships" ref="J1730" r:id="rId4995"/>
    <hyperlink xmlns:r="http://schemas.openxmlformats.org/officeDocument/2006/relationships" ref="K1730" r:id="rId4996"/>
    <hyperlink xmlns:r="http://schemas.openxmlformats.org/officeDocument/2006/relationships" ref="I1731" r:id="rId4997"/>
    <hyperlink xmlns:r="http://schemas.openxmlformats.org/officeDocument/2006/relationships" ref="J1731" r:id="rId4998"/>
    <hyperlink xmlns:r="http://schemas.openxmlformats.org/officeDocument/2006/relationships" ref="K1731" r:id="rId4999"/>
    <hyperlink xmlns:r="http://schemas.openxmlformats.org/officeDocument/2006/relationships" ref="I1732" r:id="rId5000"/>
    <hyperlink xmlns:r="http://schemas.openxmlformats.org/officeDocument/2006/relationships" ref="J1732" r:id="rId5001"/>
    <hyperlink xmlns:r="http://schemas.openxmlformats.org/officeDocument/2006/relationships" ref="K1732" r:id="rId5002"/>
    <hyperlink xmlns:r="http://schemas.openxmlformats.org/officeDocument/2006/relationships" ref="I1733" r:id="rId5003"/>
    <hyperlink xmlns:r="http://schemas.openxmlformats.org/officeDocument/2006/relationships" ref="J1733" r:id="rId5004"/>
    <hyperlink xmlns:r="http://schemas.openxmlformats.org/officeDocument/2006/relationships" ref="K1733" r:id="rId5005"/>
    <hyperlink xmlns:r="http://schemas.openxmlformats.org/officeDocument/2006/relationships" ref="I1734" r:id="rId5006"/>
    <hyperlink xmlns:r="http://schemas.openxmlformats.org/officeDocument/2006/relationships" ref="J1734" r:id="rId5007"/>
    <hyperlink xmlns:r="http://schemas.openxmlformats.org/officeDocument/2006/relationships" ref="K1734" r:id="rId5008"/>
    <hyperlink xmlns:r="http://schemas.openxmlformats.org/officeDocument/2006/relationships" ref="I1735" r:id="rId5009"/>
    <hyperlink xmlns:r="http://schemas.openxmlformats.org/officeDocument/2006/relationships" ref="J1735" r:id="rId5010"/>
    <hyperlink xmlns:r="http://schemas.openxmlformats.org/officeDocument/2006/relationships" ref="K1735" r:id="rId5011"/>
    <hyperlink xmlns:r="http://schemas.openxmlformats.org/officeDocument/2006/relationships" ref="I1736" r:id="rId5012"/>
    <hyperlink xmlns:r="http://schemas.openxmlformats.org/officeDocument/2006/relationships" ref="J1736" r:id="rId5013"/>
    <hyperlink xmlns:r="http://schemas.openxmlformats.org/officeDocument/2006/relationships" ref="K1736" r:id="rId5014"/>
    <hyperlink xmlns:r="http://schemas.openxmlformats.org/officeDocument/2006/relationships" ref="I1737" r:id="rId5015"/>
    <hyperlink xmlns:r="http://schemas.openxmlformats.org/officeDocument/2006/relationships" ref="J1737" r:id="rId5016"/>
    <hyperlink xmlns:r="http://schemas.openxmlformats.org/officeDocument/2006/relationships" ref="K1737" r:id="rId5017"/>
    <hyperlink xmlns:r="http://schemas.openxmlformats.org/officeDocument/2006/relationships" ref="I1738" r:id="rId5018"/>
    <hyperlink xmlns:r="http://schemas.openxmlformats.org/officeDocument/2006/relationships" ref="J1738" r:id="rId5019"/>
    <hyperlink xmlns:r="http://schemas.openxmlformats.org/officeDocument/2006/relationships" ref="K1738" r:id="rId5020"/>
    <hyperlink xmlns:r="http://schemas.openxmlformats.org/officeDocument/2006/relationships" ref="I1739" r:id="rId5021"/>
    <hyperlink xmlns:r="http://schemas.openxmlformats.org/officeDocument/2006/relationships" ref="J1739" r:id="rId5022"/>
    <hyperlink xmlns:r="http://schemas.openxmlformats.org/officeDocument/2006/relationships" ref="K1739" r:id="rId5023"/>
    <hyperlink xmlns:r="http://schemas.openxmlformats.org/officeDocument/2006/relationships" ref="I1740" r:id="rId5024"/>
    <hyperlink xmlns:r="http://schemas.openxmlformats.org/officeDocument/2006/relationships" ref="J1740" r:id="rId5025"/>
    <hyperlink xmlns:r="http://schemas.openxmlformats.org/officeDocument/2006/relationships" ref="K1740" r:id="rId5026"/>
    <hyperlink xmlns:r="http://schemas.openxmlformats.org/officeDocument/2006/relationships" ref="I1741" r:id="rId5027"/>
    <hyperlink xmlns:r="http://schemas.openxmlformats.org/officeDocument/2006/relationships" ref="J1741" r:id="rId5028"/>
    <hyperlink xmlns:r="http://schemas.openxmlformats.org/officeDocument/2006/relationships" ref="K1741" r:id="rId5029"/>
    <hyperlink xmlns:r="http://schemas.openxmlformats.org/officeDocument/2006/relationships" ref="I1742" r:id="rId5030"/>
    <hyperlink xmlns:r="http://schemas.openxmlformats.org/officeDocument/2006/relationships" ref="J1742" r:id="rId5031"/>
    <hyperlink xmlns:r="http://schemas.openxmlformats.org/officeDocument/2006/relationships" ref="K1742" r:id="rId5032"/>
    <hyperlink xmlns:r="http://schemas.openxmlformats.org/officeDocument/2006/relationships" ref="I1743" r:id="rId5033"/>
    <hyperlink xmlns:r="http://schemas.openxmlformats.org/officeDocument/2006/relationships" ref="J1743" r:id="rId5034"/>
    <hyperlink xmlns:r="http://schemas.openxmlformats.org/officeDocument/2006/relationships" ref="K1743" r:id="rId5035"/>
    <hyperlink xmlns:r="http://schemas.openxmlformats.org/officeDocument/2006/relationships" ref="I1744" r:id="rId5036"/>
    <hyperlink xmlns:r="http://schemas.openxmlformats.org/officeDocument/2006/relationships" ref="J1744" r:id="rId5037"/>
    <hyperlink xmlns:r="http://schemas.openxmlformats.org/officeDocument/2006/relationships" ref="K1744" r:id="rId5038"/>
    <hyperlink xmlns:r="http://schemas.openxmlformats.org/officeDocument/2006/relationships" ref="I1745" r:id="rId5039"/>
    <hyperlink xmlns:r="http://schemas.openxmlformats.org/officeDocument/2006/relationships" ref="J1745" r:id="rId5040"/>
    <hyperlink xmlns:r="http://schemas.openxmlformats.org/officeDocument/2006/relationships" ref="K1745" r:id="rId5041"/>
    <hyperlink xmlns:r="http://schemas.openxmlformats.org/officeDocument/2006/relationships" ref="I1746" r:id="rId5042"/>
    <hyperlink xmlns:r="http://schemas.openxmlformats.org/officeDocument/2006/relationships" ref="J1746" r:id="rId5043"/>
    <hyperlink xmlns:r="http://schemas.openxmlformats.org/officeDocument/2006/relationships" ref="K1746" r:id="rId5044"/>
    <hyperlink xmlns:r="http://schemas.openxmlformats.org/officeDocument/2006/relationships" ref="I1747" r:id="rId5045"/>
    <hyperlink xmlns:r="http://schemas.openxmlformats.org/officeDocument/2006/relationships" ref="J1747" r:id="rId5046"/>
    <hyperlink xmlns:r="http://schemas.openxmlformats.org/officeDocument/2006/relationships" ref="K1747" r:id="rId5047"/>
    <hyperlink xmlns:r="http://schemas.openxmlformats.org/officeDocument/2006/relationships" ref="I1748" r:id="rId5048"/>
    <hyperlink xmlns:r="http://schemas.openxmlformats.org/officeDocument/2006/relationships" ref="J1748" r:id="rId5049"/>
    <hyperlink xmlns:r="http://schemas.openxmlformats.org/officeDocument/2006/relationships" ref="K1748" r:id="rId5050"/>
    <hyperlink xmlns:r="http://schemas.openxmlformats.org/officeDocument/2006/relationships" ref="I1749" r:id="rId5051"/>
    <hyperlink xmlns:r="http://schemas.openxmlformats.org/officeDocument/2006/relationships" ref="J1749" r:id="rId5052"/>
    <hyperlink xmlns:r="http://schemas.openxmlformats.org/officeDocument/2006/relationships" ref="K1749" r:id="rId5053"/>
    <hyperlink xmlns:r="http://schemas.openxmlformats.org/officeDocument/2006/relationships" ref="I1750" r:id="rId5054"/>
    <hyperlink xmlns:r="http://schemas.openxmlformats.org/officeDocument/2006/relationships" ref="J1750" r:id="rId5055"/>
    <hyperlink xmlns:r="http://schemas.openxmlformats.org/officeDocument/2006/relationships" ref="K1750" r:id="rId5056"/>
    <hyperlink xmlns:r="http://schemas.openxmlformats.org/officeDocument/2006/relationships" ref="I1751" r:id="rId5057"/>
    <hyperlink xmlns:r="http://schemas.openxmlformats.org/officeDocument/2006/relationships" ref="J1751" r:id="rId5058"/>
    <hyperlink xmlns:r="http://schemas.openxmlformats.org/officeDocument/2006/relationships" ref="K1751" r:id="rId5059"/>
    <hyperlink xmlns:r="http://schemas.openxmlformats.org/officeDocument/2006/relationships" ref="I1752" r:id="rId5060"/>
    <hyperlink xmlns:r="http://schemas.openxmlformats.org/officeDocument/2006/relationships" ref="J1752" r:id="rId5061"/>
    <hyperlink xmlns:r="http://schemas.openxmlformats.org/officeDocument/2006/relationships" ref="K1752" r:id="rId5062"/>
    <hyperlink xmlns:r="http://schemas.openxmlformats.org/officeDocument/2006/relationships" ref="I1753" r:id="rId5063"/>
    <hyperlink xmlns:r="http://schemas.openxmlformats.org/officeDocument/2006/relationships" ref="J1753" r:id="rId5064"/>
    <hyperlink xmlns:r="http://schemas.openxmlformats.org/officeDocument/2006/relationships" ref="K1753" r:id="rId5065"/>
    <hyperlink xmlns:r="http://schemas.openxmlformats.org/officeDocument/2006/relationships" ref="I1754" r:id="rId5066"/>
    <hyperlink xmlns:r="http://schemas.openxmlformats.org/officeDocument/2006/relationships" ref="J1754" r:id="rId5067"/>
    <hyperlink xmlns:r="http://schemas.openxmlformats.org/officeDocument/2006/relationships" ref="K1754" r:id="rId5068"/>
    <hyperlink xmlns:r="http://schemas.openxmlformats.org/officeDocument/2006/relationships" ref="I1755" r:id="rId5069"/>
    <hyperlink xmlns:r="http://schemas.openxmlformats.org/officeDocument/2006/relationships" ref="J1755" r:id="rId5070"/>
    <hyperlink xmlns:r="http://schemas.openxmlformats.org/officeDocument/2006/relationships" ref="K1755" r:id="rId5071"/>
    <hyperlink xmlns:r="http://schemas.openxmlformats.org/officeDocument/2006/relationships" ref="I1756" r:id="rId5072"/>
    <hyperlink xmlns:r="http://schemas.openxmlformats.org/officeDocument/2006/relationships" ref="J1756" r:id="rId5073"/>
    <hyperlink xmlns:r="http://schemas.openxmlformats.org/officeDocument/2006/relationships" ref="K1756" r:id="rId5074"/>
    <hyperlink xmlns:r="http://schemas.openxmlformats.org/officeDocument/2006/relationships" ref="I1757" r:id="rId5075"/>
    <hyperlink xmlns:r="http://schemas.openxmlformats.org/officeDocument/2006/relationships" ref="J1757" r:id="rId5076"/>
    <hyperlink xmlns:r="http://schemas.openxmlformats.org/officeDocument/2006/relationships" ref="K1757" r:id="rId5077"/>
    <hyperlink xmlns:r="http://schemas.openxmlformats.org/officeDocument/2006/relationships" ref="I1758" r:id="rId5078"/>
    <hyperlink xmlns:r="http://schemas.openxmlformats.org/officeDocument/2006/relationships" ref="J1758" r:id="rId5079"/>
    <hyperlink xmlns:r="http://schemas.openxmlformats.org/officeDocument/2006/relationships" ref="K1758" r:id="rId5080"/>
    <hyperlink xmlns:r="http://schemas.openxmlformats.org/officeDocument/2006/relationships" ref="I1759" r:id="rId5081"/>
    <hyperlink xmlns:r="http://schemas.openxmlformats.org/officeDocument/2006/relationships" ref="J1759" r:id="rId5082"/>
    <hyperlink xmlns:r="http://schemas.openxmlformats.org/officeDocument/2006/relationships" ref="I1760" r:id="rId5083"/>
    <hyperlink xmlns:r="http://schemas.openxmlformats.org/officeDocument/2006/relationships" ref="J1760" r:id="rId5084"/>
    <hyperlink xmlns:r="http://schemas.openxmlformats.org/officeDocument/2006/relationships" ref="I1761" r:id="rId5085"/>
    <hyperlink xmlns:r="http://schemas.openxmlformats.org/officeDocument/2006/relationships" ref="J1761" r:id="rId5086"/>
    <hyperlink xmlns:r="http://schemas.openxmlformats.org/officeDocument/2006/relationships" ref="K1761" r:id="rId5087"/>
    <hyperlink xmlns:r="http://schemas.openxmlformats.org/officeDocument/2006/relationships" ref="I1762" r:id="rId5088"/>
    <hyperlink xmlns:r="http://schemas.openxmlformats.org/officeDocument/2006/relationships" ref="J1762" r:id="rId5089"/>
    <hyperlink xmlns:r="http://schemas.openxmlformats.org/officeDocument/2006/relationships" ref="K1762" r:id="rId5090"/>
    <hyperlink xmlns:r="http://schemas.openxmlformats.org/officeDocument/2006/relationships" ref="I1763" r:id="rId5091"/>
    <hyperlink xmlns:r="http://schemas.openxmlformats.org/officeDocument/2006/relationships" ref="J1763" r:id="rId5092"/>
    <hyperlink xmlns:r="http://schemas.openxmlformats.org/officeDocument/2006/relationships" ref="K1763" r:id="rId5093"/>
    <hyperlink xmlns:r="http://schemas.openxmlformats.org/officeDocument/2006/relationships" ref="I1764" r:id="rId5094"/>
    <hyperlink xmlns:r="http://schemas.openxmlformats.org/officeDocument/2006/relationships" ref="J1764" r:id="rId5095"/>
    <hyperlink xmlns:r="http://schemas.openxmlformats.org/officeDocument/2006/relationships" ref="I1765" r:id="rId5096"/>
    <hyperlink xmlns:r="http://schemas.openxmlformats.org/officeDocument/2006/relationships" ref="J1765" r:id="rId5097"/>
    <hyperlink xmlns:r="http://schemas.openxmlformats.org/officeDocument/2006/relationships" ref="I1766" r:id="rId5098"/>
    <hyperlink xmlns:r="http://schemas.openxmlformats.org/officeDocument/2006/relationships" ref="J1766" r:id="rId5099"/>
    <hyperlink xmlns:r="http://schemas.openxmlformats.org/officeDocument/2006/relationships" ref="K1766" r:id="rId5100"/>
    <hyperlink xmlns:r="http://schemas.openxmlformats.org/officeDocument/2006/relationships" ref="I1767" r:id="rId5101"/>
    <hyperlink xmlns:r="http://schemas.openxmlformats.org/officeDocument/2006/relationships" ref="J1767" r:id="rId5102"/>
    <hyperlink xmlns:r="http://schemas.openxmlformats.org/officeDocument/2006/relationships" ref="K1767" r:id="rId5103"/>
    <hyperlink xmlns:r="http://schemas.openxmlformats.org/officeDocument/2006/relationships" ref="I1768" r:id="rId5104"/>
    <hyperlink xmlns:r="http://schemas.openxmlformats.org/officeDocument/2006/relationships" ref="J1768" r:id="rId5105"/>
    <hyperlink xmlns:r="http://schemas.openxmlformats.org/officeDocument/2006/relationships" ref="K1768" r:id="rId5106"/>
    <hyperlink xmlns:r="http://schemas.openxmlformats.org/officeDocument/2006/relationships" ref="I1769" r:id="rId5107"/>
    <hyperlink xmlns:r="http://schemas.openxmlformats.org/officeDocument/2006/relationships" ref="J1769" r:id="rId5108"/>
    <hyperlink xmlns:r="http://schemas.openxmlformats.org/officeDocument/2006/relationships" ref="K1769" r:id="rId5109"/>
    <hyperlink xmlns:r="http://schemas.openxmlformats.org/officeDocument/2006/relationships" ref="I1770" r:id="rId5110"/>
    <hyperlink xmlns:r="http://schemas.openxmlformats.org/officeDocument/2006/relationships" ref="J1770" r:id="rId5111"/>
    <hyperlink xmlns:r="http://schemas.openxmlformats.org/officeDocument/2006/relationships" ref="K1770" r:id="rId5112"/>
    <hyperlink xmlns:r="http://schemas.openxmlformats.org/officeDocument/2006/relationships" ref="I1771" r:id="rId5113"/>
    <hyperlink xmlns:r="http://schemas.openxmlformats.org/officeDocument/2006/relationships" ref="J1771" r:id="rId5114"/>
    <hyperlink xmlns:r="http://schemas.openxmlformats.org/officeDocument/2006/relationships" ref="K1771" r:id="rId5115"/>
    <hyperlink xmlns:r="http://schemas.openxmlformats.org/officeDocument/2006/relationships" ref="I1772" r:id="rId5116"/>
    <hyperlink xmlns:r="http://schemas.openxmlformats.org/officeDocument/2006/relationships" ref="J1772" r:id="rId5117"/>
    <hyperlink xmlns:r="http://schemas.openxmlformats.org/officeDocument/2006/relationships" ref="K1772" r:id="rId5118"/>
    <hyperlink xmlns:r="http://schemas.openxmlformats.org/officeDocument/2006/relationships" ref="I1773" r:id="rId5119"/>
    <hyperlink xmlns:r="http://schemas.openxmlformats.org/officeDocument/2006/relationships" ref="J1773" r:id="rId5120"/>
    <hyperlink xmlns:r="http://schemas.openxmlformats.org/officeDocument/2006/relationships" ref="K1773" r:id="rId5121"/>
    <hyperlink xmlns:r="http://schemas.openxmlformats.org/officeDocument/2006/relationships" ref="I1774" r:id="rId5122"/>
    <hyperlink xmlns:r="http://schemas.openxmlformats.org/officeDocument/2006/relationships" ref="J1774" r:id="rId5123"/>
    <hyperlink xmlns:r="http://schemas.openxmlformats.org/officeDocument/2006/relationships" ref="K1774" r:id="rId5124"/>
    <hyperlink xmlns:r="http://schemas.openxmlformats.org/officeDocument/2006/relationships" ref="I1775" r:id="rId5125"/>
    <hyperlink xmlns:r="http://schemas.openxmlformats.org/officeDocument/2006/relationships" ref="J1775" r:id="rId5126"/>
    <hyperlink xmlns:r="http://schemas.openxmlformats.org/officeDocument/2006/relationships" ref="K1775" r:id="rId5127"/>
    <hyperlink xmlns:r="http://schemas.openxmlformats.org/officeDocument/2006/relationships" ref="I1776" r:id="rId5128"/>
    <hyperlink xmlns:r="http://schemas.openxmlformats.org/officeDocument/2006/relationships" ref="J1776" r:id="rId5129"/>
    <hyperlink xmlns:r="http://schemas.openxmlformats.org/officeDocument/2006/relationships" ref="K1776" r:id="rId5130"/>
    <hyperlink xmlns:r="http://schemas.openxmlformats.org/officeDocument/2006/relationships" ref="I1777" r:id="rId5131"/>
    <hyperlink xmlns:r="http://schemas.openxmlformats.org/officeDocument/2006/relationships" ref="J1777" r:id="rId5132"/>
    <hyperlink xmlns:r="http://schemas.openxmlformats.org/officeDocument/2006/relationships" ref="K1777" r:id="rId5133"/>
    <hyperlink xmlns:r="http://schemas.openxmlformats.org/officeDocument/2006/relationships" ref="I1778" r:id="rId5134"/>
    <hyperlink xmlns:r="http://schemas.openxmlformats.org/officeDocument/2006/relationships" ref="J1778" r:id="rId5135"/>
    <hyperlink xmlns:r="http://schemas.openxmlformats.org/officeDocument/2006/relationships" ref="K1778" r:id="rId5136"/>
    <hyperlink xmlns:r="http://schemas.openxmlformats.org/officeDocument/2006/relationships" ref="I1779" r:id="rId5137"/>
    <hyperlink xmlns:r="http://schemas.openxmlformats.org/officeDocument/2006/relationships" ref="J1779" r:id="rId5138"/>
    <hyperlink xmlns:r="http://schemas.openxmlformats.org/officeDocument/2006/relationships" ref="K1779" r:id="rId5139"/>
    <hyperlink xmlns:r="http://schemas.openxmlformats.org/officeDocument/2006/relationships" ref="I1780" r:id="rId5140"/>
    <hyperlink xmlns:r="http://schemas.openxmlformats.org/officeDocument/2006/relationships" ref="J1780" r:id="rId5141"/>
    <hyperlink xmlns:r="http://schemas.openxmlformats.org/officeDocument/2006/relationships" ref="K1780" r:id="rId5142"/>
    <hyperlink xmlns:r="http://schemas.openxmlformats.org/officeDocument/2006/relationships" ref="I1781" r:id="rId5143"/>
    <hyperlink xmlns:r="http://schemas.openxmlformats.org/officeDocument/2006/relationships" ref="J1781" r:id="rId5144"/>
    <hyperlink xmlns:r="http://schemas.openxmlformats.org/officeDocument/2006/relationships" ref="K1781" r:id="rId5145"/>
    <hyperlink xmlns:r="http://schemas.openxmlformats.org/officeDocument/2006/relationships" ref="I1782" r:id="rId5146"/>
    <hyperlink xmlns:r="http://schemas.openxmlformats.org/officeDocument/2006/relationships" ref="J1782" r:id="rId5147"/>
    <hyperlink xmlns:r="http://schemas.openxmlformats.org/officeDocument/2006/relationships" ref="K1782" r:id="rId5148"/>
    <hyperlink xmlns:r="http://schemas.openxmlformats.org/officeDocument/2006/relationships" ref="I1783" r:id="rId5149"/>
    <hyperlink xmlns:r="http://schemas.openxmlformats.org/officeDocument/2006/relationships" ref="J1783" r:id="rId5150"/>
    <hyperlink xmlns:r="http://schemas.openxmlformats.org/officeDocument/2006/relationships" ref="K1783" r:id="rId5151"/>
    <hyperlink xmlns:r="http://schemas.openxmlformats.org/officeDocument/2006/relationships" ref="I1784" r:id="rId5152"/>
    <hyperlink xmlns:r="http://schemas.openxmlformats.org/officeDocument/2006/relationships" ref="J1784" r:id="rId5153"/>
    <hyperlink xmlns:r="http://schemas.openxmlformats.org/officeDocument/2006/relationships" ref="K1784" r:id="rId5154"/>
    <hyperlink xmlns:r="http://schemas.openxmlformats.org/officeDocument/2006/relationships" ref="I1785" r:id="rId5155"/>
    <hyperlink xmlns:r="http://schemas.openxmlformats.org/officeDocument/2006/relationships" ref="J1785" r:id="rId5156"/>
    <hyperlink xmlns:r="http://schemas.openxmlformats.org/officeDocument/2006/relationships" ref="K1785" r:id="rId5157"/>
    <hyperlink xmlns:r="http://schemas.openxmlformats.org/officeDocument/2006/relationships" ref="I1786" r:id="rId5158"/>
    <hyperlink xmlns:r="http://schemas.openxmlformats.org/officeDocument/2006/relationships" ref="J1786" r:id="rId5159"/>
    <hyperlink xmlns:r="http://schemas.openxmlformats.org/officeDocument/2006/relationships" ref="K1786" r:id="rId5160"/>
    <hyperlink xmlns:r="http://schemas.openxmlformats.org/officeDocument/2006/relationships" ref="I1787" r:id="rId5161"/>
    <hyperlink xmlns:r="http://schemas.openxmlformats.org/officeDocument/2006/relationships" ref="J1787" r:id="rId5162"/>
    <hyperlink xmlns:r="http://schemas.openxmlformats.org/officeDocument/2006/relationships" ref="K1787" r:id="rId5163"/>
    <hyperlink xmlns:r="http://schemas.openxmlformats.org/officeDocument/2006/relationships" ref="I1788" r:id="rId5164"/>
    <hyperlink xmlns:r="http://schemas.openxmlformats.org/officeDocument/2006/relationships" ref="J1788" r:id="rId5165"/>
    <hyperlink xmlns:r="http://schemas.openxmlformats.org/officeDocument/2006/relationships" ref="K1788" r:id="rId5166"/>
    <hyperlink xmlns:r="http://schemas.openxmlformats.org/officeDocument/2006/relationships" ref="I1789" r:id="rId5167"/>
    <hyperlink xmlns:r="http://schemas.openxmlformats.org/officeDocument/2006/relationships" ref="J1789" r:id="rId5168"/>
    <hyperlink xmlns:r="http://schemas.openxmlformats.org/officeDocument/2006/relationships" ref="K1789" r:id="rId5169"/>
    <hyperlink xmlns:r="http://schemas.openxmlformats.org/officeDocument/2006/relationships" ref="I1790" r:id="rId5170"/>
    <hyperlink xmlns:r="http://schemas.openxmlformats.org/officeDocument/2006/relationships" ref="J1790" r:id="rId5171"/>
    <hyperlink xmlns:r="http://schemas.openxmlformats.org/officeDocument/2006/relationships" ref="K1790" r:id="rId5172"/>
    <hyperlink xmlns:r="http://schemas.openxmlformats.org/officeDocument/2006/relationships" ref="I1791" r:id="rId5173"/>
    <hyperlink xmlns:r="http://schemas.openxmlformats.org/officeDocument/2006/relationships" ref="J1791" r:id="rId5174"/>
    <hyperlink xmlns:r="http://schemas.openxmlformats.org/officeDocument/2006/relationships" ref="K1791" r:id="rId5175"/>
    <hyperlink xmlns:r="http://schemas.openxmlformats.org/officeDocument/2006/relationships" ref="I1792" r:id="rId5176"/>
    <hyperlink xmlns:r="http://schemas.openxmlformats.org/officeDocument/2006/relationships" ref="J1792" r:id="rId5177"/>
    <hyperlink xmlns:r="http://schemas.openxmlformats.org/officeDocument/2006/relationships" ref="K1792" r:id="rId5178"/>
    <hyperlink xmlns:r="http://schemas.openxmlformats.org/officeDocument/2006/relationships" ref="I1793" r:id="rId5179"/>
    <hyperlink xmlns:r="http://schemas.openxmlformats.org/officeDocument/2006/relationships" ref="J1793" r:id="rId5180"/>
    <hyperlink xmlns:r="http://schemas.openxmlformats.org/officeDocument/2006/relationships" ref="K1793" r:id="rId5181"/>
    <hyperlink xmlns:r="http://schemas.openxmlformats.org/officeDocument/2006/relationships" ref="I1794" r:id="rId5182"/>
    <hyperlink xmlns:r="http://schemas.openxmlformats.org/officeDocument/2006/relationships" ref="J1794" r:id="rId5183"/>
    <hyperlink xmlns:r="http://schemas.openxmlformats.org/officeDocument/2006/relationships" ref="K1794" r:id="rId5184"/>
    <hyperlink xmlns:r="http://schemas.openxmlformats.org/officeDocument/2006/relationships" ref="I1795" r:id="rId5185"/>
    <hyperlink xmlns:r="http://schemas.openxmlformats.org/officeDocument/2006/relationships" ref="J1795" r:id="rId5186"/>
    <hyperlink xmlns:r="http://schemas.openxmlformats.org/officeDocument/2006/relationships" ref="K1795" r:id="rId5187"/>
    <hyperlink xmlns:r="http://schemas.openxmlformats.org/officeDocument/2006/relationships" ref="I1796" r:id="rId5188"/>
    <hyperlink xmlns:r="http://schemas.openxmlformats.org/officeDocument/2006/relationships" ref="J1796" r:id="rId5189"/>
    <hyperlink xmlns:r="http://schemas.openxmlformats.org/officeDocument/2006/relationships" ref="K1796" r:id="rId5190"/>
    <hyperlink xmlns:r="http://schemas.openxmlformats.org/officeDocument/2006/relationships" ref="I1797" r:id="rId5191"/>
    <hyperlink xmlns:r="http://schemas.openxmlformats.org/officeDocument/2006/relationships" ref="J1797" r:id="rId5192"/>
    <hyperlink xmlns:r="http://schemas.openxmlformats.org/officeDocument/2006/relationships" ref="K1797" r:id="rId5193"/>
    <hyperlink xmlns:r="http://schemas.openxmlformats.org/officeDocument/2006/relationships" ref="I1798" r:id="rId5194"/>
    <hyperlink xmlns:r="http://schemas.openxmlformats.org/officeDocument/2006/relationships" ref="J1798" r:id="rId5195"/>
    <hyperlink xmlns:r="http://schemas.openxmlformats.org/officeDocument/2006/relationships" ref="K1798" r:id="rId5196"/>
    <hyperlink xmlns:r="http://schemas.openxmlformats.org/officeDocument/2006/relationships" ref="I1799" r:id="rId5197"/>
    <hyperlink xmlns:r="http://schemas.openxmlformats.org/officeDocument/2006/relationships" ref="J1799" r:id="rId5198"/>
    <hyperlink xmlns:r="http://schemas.openxmlformats.org/officeDocument/2006/relationships" ref="K1799" r:id="rId5199"/>
    <hyperlink xmlns:r="http://schemas.openxmlformats.org/officeDocument/2006/relationships" ref="I1800" r:id="rId5200"/>
    <hyperlink xmlns:r="http://schemas.openxmlformats.org/officeDocument/2006/relationships" ref="J1800" r:id="rId5201"/>
    <hyperlink xmlns:r="http://schemas.openxmlformats.org/officeDocument/2006/relationships" ref="K1800" r:id="rId5202"/>
    <hyperlink xmlns:r="http://schemas.openxmlformats.org/officeDocument/2006/relationships" ref="I1801" r:id="rId5203"/>
    <hyperlink xmlns:r="http://schemas.openxmlformats.org/officeDocument/2006/relationships" ref="J1801" r:id="rId5204"/>
    <hyperlink xmlns:r="http://schemas.openxmlformats.org/officeDocument/2006/relationships" ref="K1801" r:id="rId5205"/>
    <hyperlink xmlns:r="http://schemas.openxmlformats.org/officeDocument/2006/relationships" ref="I1802" r:id="rId5206"/>
    <hyperlink xmlns:r="http://schemas.openxmlformats.org/officeDocument/2006/relationships" ref="J1802" r:id="rId5207"/>
    <hyperlink xmlns:r="http://schemas.openxmlformats.org/officeDocument/2006/relationships" ref="K1802" r:id="rId5208"/>
    <hyperlink xmlns:r="http://schemas.openxmlformats.org/officeDocument/2006/relationships" ref="I1803" r:id="rId5209"/>
    <hyperlink xmlns:r="http://schemas.openxmlformats.org/officeDocument/2006/relationships" ref="J1803" r:id="rId5210"/>
    <hyperlink xmlns:r="http://schemas.openxmlformats.org/officeDocument/2006/relationships" ref="K1803" r:id="rId5211"/>
    <hyperlink xmlns:r="http://schemas.openxmlformats.org/officeDocument/2006/relationships" ref="I1804" r:id="rId5212"/>
    <hyperlink xmlns:r="http://schemas.openxmlformats.org/officeDocument/2006/relationships" ref="J1804" r:id="rId5213"/>
    <hyperlink xmlns:r="http://schemas.openxmlformats.org/officeDocument/2006/relationships" ref="K1804" r:id="rId5214"/>
    <hyperlink xmlns:r="http://schemas.openxmlformats.org/officeDocument/2006/relationships" ref="I1805" r:id="rId5215"/>
    <hyperlink xmlns:r="http://schemas.openxmlformats.org/officeDocument/2006/relationships" ref="J1805" r:id="rId5216"/>
    <hyperlink xmlns:r="http://schemas.openxmlformats.org/officeDocument/2006/relationships" ref="K1805" r:id="rId5217"/>
    <hyperlink xmlns:r="http://schemas.openxmlformats.org/officeDocument/2006/relationships" ref="I1806" r:id="rId5218"/>
    <hyperlink xmlns:r="http://schemas.openxmlformats.org/officeDocument/2006/relationships" ref="J1806" r:id="rId5219"/>
    <hyperlink xmlns:r="http://schemas.openxmlformats.org/officeDocument/2006/relationships" ref="K1806" r:id="rId5220"/>
    <hyperlink xmlns:r="http://schemas.openxmlformats.org/officeDocument/2006/relationships" ref="I1807" r:id="rId5221"/>
    <hyperlink xmlns:r="http://schemas.openxmlformats.org/officeDocument/2006/relationships" ref="J1807" r:id="rId5222"/>
    <hyperlink xmlns:r="http://schemas.openxmlformats.org/officeDocument/2006/relationships" ref="K1807" r:id="rId5223"/>
    <hyperlink xmlns:r="http://schemas.openxmlformats.org/officeDocument/2006/relationships" ref="I1808" r:id="rId5224"/>
    <hyperlink xmlns:r="http://schemas.openxmlformats.org/officeDocument/2006/relationships" ref="J1808" r:id="rId5225"/>
    <hyperlink xmlns:r="http://schemas.openxmlformats.org/officeDocument/2006/relationships" ref="K1808" r:id="rId5226"/>
    <hyperlink xmlns:r="http://schemas.openxmlformats.org/officeDocument/2006/relationships" ref="I1809" r:id="rId5227"/>
    <hyperlink xmlns:r="http://schemas.openxmlformats.org/officeDocument/2006/relationships" ref="J1809" r:id="rId5228"/>
    <hyperlink xmlns:r="http://schemas.openxmlformats.org/officeDocument/2006/relationships" ref="K1809" r:id="rId5229"/>
    <hyperlink xmlns:r="http://schemas.openxmlformats.org/officeDocument/2006/relationships" ref="I1810" r:id="rId5230"/>
    <hyperlink xmlns:r="http://schemas.openxmlformats.org/officeDocument/2006/relationships" ref="J1810" r:id="rId5231"/>
    <hyperlink xmlns:r="http://schemas.openxmlformats.org/officeDocument/2006/relationships" ref="K1810" r:id="rId5232"/>
    <hyperlink xmlns:r="http://schemas.openxmlformats.org/officeDocument/2006/relationships" ref="I1811" r:id="rId5233"/>
    <hyperlink xmlns:r="http://schemas.openxmlformats.org/officeDocument/2006/relationships" ref="J1811" r:id="rId5234"/>
    <hyperlink xmlns:r="http://schemas.openxmlformats.org/officeDocument/2006/relationships" ref="K1811" r:id="rId5235"/>
    <hyperlink xmlns:r="http://schemas.openxmlformats.org/officeDocument/2006/relationships" ref="I1812" r:id="rId5236"/>
    <hyperlink xmlns:r="http://schemas.openxmlformats.org/officeDocument/2006/relationships" ref="J1812" r:id="rId5237"/>
    <hyperlink xmlns:r="http://schemas.openxmlformats.org/officeDocument/2006/relationships" ref="K1812" r:id="rId5238"/>
    <hyperlink xmlns:r="http://schemas.openxmlformats.org/officeDocument/2006/relationships" ref="I1813" r:id="rId5239"/>
    <hyperlink xmlns:r="http://schemas.openxmlformats.org/officeDocument/2006/relationships" ref="J1813" r:id="rId5240"/>
    <hyperlink xmlns:r="http://schemas.openxmlformats.org/officeDocument/2006/relationships" ref="K1813" r:id="rId5241"/>
    <hyperlink xmlns:r="http://schemas.openxmlformats.org/officeDocument/2006/relationships" ref="I1814" r:id="rId5242"/>
    <hyperlink xmlns:r="http://schemas.openxmlformats.org/officeDocument/2006/relationships" ref="J1814" r:id="rId5243"/>
    <hyperlink xmlns:r="http://schemas.openxmlformats.org/officeDocument/2006/relationships" ref="K1814" r:id="rId5244"/>
    <hyperlink xmlns:r="http://schemas.openxmlformats.org/officeDocument/2006/relationships" ref="I1815" r:id="rId5245"/>
    <hyperlink xmlns:r="http://schemas.openxmlformats.org/officeDocument/2006/relationships" ref="J1815" r:id="rId5246"/>
    <hyperlink xmlns:r="http://schemas.openxmlformats.org/officeDocument/2006/relationships" ref="K1815" r:id="rId5247"/>
    <hyperlink xmlns:r="http://schemas.openxmlformats.org/officeDocument/2006/relationships" ref="I1816" r:id="rId5248"/>
    <hyperlink xmlns:r="http://schemas.openxmlformats.org/officeDocument/2006/relationships" ref="J1816" r:id="rId5249"/>
    <hyperlink xmlns:r="http://schemas.openxmlformats.org/officeDocument/2006/relationships" ref="K1816" r:id="rId5250"/>
    <hyperlink xmlns:r="http://schemas.openxmlformats.org/officeDocument/2006/relationships" ref="I1817" r:id="rId5251"/>
    <hyperlink xmlns:r="http://schemas.openxmlformats.org/officeDocument/2006/relationships" ref="J1817" r:id="rId5252"/>
    <hyperlink xmlns:r="http://schemas.openxmlformats.org/officeDocument/2006/relationships" ref="K1817" r:id="rId5253"/>
    <hyperlink xmlns:r="http://schemas.openxmlformats.org/officeDocument/2006/relationships" ref="I1818" r:id="rId5254"/>
    <hyperlink xmlns:r="http://schemas.openxmlformats.org/officeDocument/2006/relationships" ref="J1818" r:id="rId5255"/>
    <hyperlink xmlns:r="http://schemas.openxmlformats.org/officeDocument/2006/relationships" ref="K1818" r:id="rId5256"/>
    <hyperlink xmlns:r="http://schemas.openxmlformats.org/officeDocument/2006/relationships" ref="I1819" r:id="rId5257"/>
    <hyperlink xmlns:r="http://schemas.openxmlformats.org/officeDocument/2006/relationships" ref="J1819" r:id="rId5258"/>
    <hyperlink xmlns:r="http://schemas.openxmlformats.org/officeDocument/2006/relationships" ref="K1819" r:id="rId5259"/>
    <hyperlink xmlns:r="http://schemas.openxmlformats.org/officeDocument/2006/relationships" ref="I1820" r:id="rId5260"/>
    <hyperlink xmlns:r="http://schemas.openxmlformats.org/officeDocument/2006/relationships" ref="J1820" r:id="rId5261"/>
    <hyperlink xmlns:r="http://schemas.openxmlformats.org/officeDocument/2006/relationships" ref="K1820" r:id="rId5262"/>
    <hyperlink xmlns:r="http://schemas.openxmlformats.org/officeDocument/2006/relationships" ref="I1821" r:id="rId5263"/>
    <hyperlink xmlns:r="http://schemas.openxmlformats.org/officeDocument/2006/relationships" ref="J1821" r:id="rId5264"/>
    <hyperlink xmlns:r="http://schemas.openxmlformats.org/officeDocument/2006/relationships" ref="K1821" r:id="rId5265"/>
    <hyperlink xmlns:r="http://schemas.openxmlformats.org/officeDocument/2006/relationships" ref="I1822" r:id="rId5266"/>
    <hyperlink xmlns:r="http://schemas.openxmlformats.org/officeDocument/2006/relationships" ref="J1822" r:id="rId5267"/>
    <hyperlink xmlns:r="http://schemas.openxmlformats.org/officeDocument/2006/relationships" ref="K1822" r:id="rId5268"/>
    <hyperlink xmlns:r="http://schemas.openxmlformats.org/officeDocument/2006/relationships" ref="I1823" r:id="rId5269"/>
    <hyperlink xmlns:r="http://schemas.openxmlformats.org/officeDocument/2006/relationships" ref="J1823" r:id="rId5270"/>
    <hyperlink xmlns:r="http://schemas.openxmlformats.org/officeDocument/2006/relationships" ref="K1823" r:id="rId5271"/>
    <hyperlink xmlns:r="http://schemas.openxmlformats.org/officeDocument/2006/relationships" ref="I1824" r:id="rId5272"/>
    <hyperlink xmlns:r="http://schemas.openxmlformats.org/officeDocument/2006/relationships" ref="J1824" r:id="rId5273"/>
    <hyperlink xmlns:r="http://schemas.openxmlformats.org/officeDocument/2006/relationships" ref="K1824" r:id="rId5274"/>
    <hyperlink xmlns:r="http://schemas.openxmlformats.org/officeDocument/2006/relationships" ref="I1825" r:id="rId5275"/>
    <hyperlink xmlns:r="http://schemas.openxmlformats.org/officeDocument/2006/relationships" ref="J1825" r:id="rId5276"/>
    <hyperlink xmlns:r="http://schemas.openxmlformats.org/officeDocument/2006/relationships" ref="K1825" r:id="rId5277"/>
    <hyperlink xmlns:r="http://schemas.openxmlformats.org/officeDocument/2006/relationships" ref="I1826" r:id="rId5278"/>
    <hyperlink xmlns:r="http://schemas.openxmlformats.org/officeDocument/2006/relationships" ref="J1826" r:id="rId5279"/>
    <hyperlink xmlns:r="http://schemas.openxmlformats.org/officeDocument/2006/relationships" ref="I1827" r:id="rId5280"/>
    <hyperlink xmlns:r="http://schemas.openxmlformats.org/officeDocument/2006/relationships" ref="J1827" r:id="rId5281"/>
    <hyperlink xmlns:r="http://schemas.openxmlformats.org/officeDocument/2006/relationships" ref="I1828" r:id="rId5282"/>
    <hyperlink xmlns:r="http://schemas.openxmlformats.org/officeDocument/2006/relationships" ref="J1828" r:id="rId5283"/>
    <hyperlink xmlns:r="http://schemas.openxmlformats.org/officeDocument/2006/relationships" ref="I1829" r:id="rId5284"/>
    <hyperlink xmlns:r="http://schemas.openxmlformats.org/officeDocument/2006/relationships" ref="J1829" r:id="rId5285"/>
    <hyperlink xmlns:r="http://schemas.openxmlformats.org/officeDocument/2006/relationships" ref="I1830" r:id="rId5286"/>
    <hyperlink xmlns:r="http://schemas.openxmlformats.org/officeDocument/2006/relationships" ref="J1830" r:id="rId5287"/>
    <hyperlink xmlns:r="http://schemas.openxmlformats.org/officeDocument/2006/relationships" ref="I1831" r:id="rId5288"/>
    <hyperlink xmlns:r="http://schemas.openxmlformats.org/officeDocument/2006/relationships" ref="J1831" r:id="rId5289"/>
    <hyperlink xmlns:r="http://schemas.openxmlformats.org/officeDocument/2006/relationships" ref="I1832" r:id="rId5290"/>
    <hyperlink xmlns:r="http://schemas.openxmlformats.org/officeDocument/2006/relationships" ref="J1832" r:id="rId5291"/>
    <hyperlink xmlns:r="http://schemas.openxmlformats.org/officeDocument/2006/relationships" ref="I1833" r:id="rId5292"/>
    <hyperlink xmlns:r="http://schemas.openxmlformats.org/officeDocument/2006/relationships" ref="J1833" r:id="rId5293"/>
    <hyperlink xmlns:r="http://schemas.openxmlformats.org/officeDocument/2006/relationships" ref="K1833" r:id="rId5294"/>
    <hyperlink xmlns:r="http://schemas.openxmlformats.org/officeDocument/2006/relationships" ref="I1834" r:id="rId5295"/>
    <hyperlink xmlns:r="http://schemas.openxmlformats.org/officeDocument/2006/relationships" ref="J1834" r:id="rId5296"/>
    <hyperlink xmlns:r="http://schemas.openxmlformats.org/officeDocument/2006/relationships" ref="K1834" r:id="rId5297"/>
    <hyperlink xmlns:r="http://schemas.openxmlformats.org/officeDocument/2006/relationships" ref="I1835" r:id="rId5298"/>
    <hyperlink xmlns:r="http://schemas.openxmlformats.org/officeDocument/2006/relationships" ref="J1835" r:id="rId5299"/>
    <hyperlink xmlns:r="http://schemas.openxmlformats.org/officeDocument/2006/relationships" ref="K1835" r:id="rId5300"/>
    <hyperlink xmlns:r="http://schemas.openxmlformats.org/officeDocument/2006/relationships" ref="I1836" r:id="rId5301"/>
    <hyperlink xmlns:r="http://schemas.openxmlformats.org/officeDocument/2006/relationships" ref="J1836" r:id="rId5302"/>
    <hyperlink xmlns:r="http://schemas.openxmlformats.org/officeDocument/2006/relationships" ref="K1836" r:id="rId5303"/>
    <hyperlink xmlns:r="http://schemas.openxmlformats.org/officeDocument/2006/relationships" ref="I1837" r:id="rId5304"/>
    <hyperlink xmlns:r="http://schemas.openxmlformats.org/officeDocument/2006/relationships" ref="J1837" r:id="rId5305"/>
    <hyperlink xmlns:r="http://schemas.openxmlformats.org/officeDocument/2006/relationships" ref="K1837" r:id="rId5306"/>
    <hyperlink xmlns:r="http://schemas.openxmlformats.org/officeDocument/2006/relationships" ref="I1838" r:id="rId5307"/>
    <hyperlink xmlns:r="http://schemas.openxmlformats.org/officeDocument/2006/relationships" ref="J1838" r:id="rId5308"/>
    <hyperlink xmlns:r="http://schemas.openxmlformats.org/officeDocument/2006/relationships" ref="K1838" r:id="rId5309"/>
    <hyperlink xmlns:r="http://schemas.openxmlformats.org/officeDocument/2006/relationships" ref="I1839" r:id="rId5310"/>
    <hyperlink xmlns:r="http://schemas.openxmlformats.org/officeDocument/2006/relationships" ref="J1839" r:id="rId5311"/>
    <hyperlink xmlns:r="http://schemas.openxmlformats.org/officeDocument/2006/relationships" ref="K1839" r:id="rId5312"/>
    <hyperlink xmlns:r="http://schemas.openxmlformats.org/officeDocument/2006/relationships" ref="I1840" r:id="rId5313"/>
    <hyperlink xmlns:r="http://schemas.openxmlformats.org/officeDocument/2006/relationships" ref="J1840" r:id="rId5314"/>
    <hyperlink xmlns:r="http://schemas.openxmlformats.org/officeDocument/2006/relationships" ref="K1840" r:id="rId5315"/>
    <hyperlink xmlns:r="http://schemas.openxmlformats.org/officeDocument/2006/relationships" ref="I1841" r:id="rId5316"/>
    <hyperlink xmlns:r="http://schemas.openxmlformats.org/officeDocument/2006/relationships" ref="J1841" r:id="rId5317"/>
    <hyperlink xmlns:r="http://schemas.openxmlformats.org/officeDocument/2006/relationships" ref="K1841" r:id="rId5318"/>
    <hyperlink xmlns:r="http://schemas.openxmlformats.org/officeDocument/2006/relationships" ref="I1842" r:id="rId5319"/>
    <hyperlink xmlns:r="http://schemas.openxmlformats.org/officeDocument/2006/relationships" ref="J1842" r:id="rId5320"/>
    <hyperlink xmlns:r="http://schemas.openxmlformats.org/officeDocument/2006/relationships" ref="K1842" r:id="rId5321"/>
    <hyperlink xmlns:r="http://schemas.openxmlformats.org/officeDocument/2006/relationships" ref="I1843" r:id="rId5322"/>
    <hyperlink xmlns:r="http://schemas.openxmlformats.org/officeDocument/2006/relationships" ref="J1843" r:id="rId5323"/>
    <hyperlink xmlns:r="http://schemas.openxmlformats.org/officeDocument/2006/relationships" ref="K1843" r:id="rId5324"/>
    <hyperlink xmlns:r="http://schemas.openxmlformats.org/officeDocument/2006/relationships" ref="I1844" r:id="rId5325"/>
    <hyperlink xmlns:r="http://schemas.openxmlformats.org/officeDocument/2006/relationships" ref="J1844" r:id="rId5326"/>
    <hyperlink xmlns:r="http://schemas.openxmlformats.org/officeDocument/2006/relationships" ref="K1844" r:id="rId5327"/>
    <hyperlink xmlns:r="http://schemas.openxmlformats.org/officeDocument/2006/relationships" ref="I1845" r:id="rId5328"/>
    <hyperlink xmlns:r="http://schemas.openxmlformats.org/officeDocument/2006/relationships" ref="J1845" r:id="rId5329"/>
    <hyperlink xmlns:r="http://schemas.openxmlformats.org/officeDocument/2006/relationships" ref="K1845" r:id="rId5330"/>
    <hyperlink xmlns:r="http://schemas.openxmlformats.org/officeDocument/2006/relationships" ref="I1846" r:id="rId5331"/>
    <hyperlink xmlns:r="http://schemas.openxmlformats.org/officeDocument/2006/relationships" ref="J1846" r:id="rId5332"/>
    <hyperlink xmlns:r="http://schemas.openxmlformats.org/officeDocument/2006/relationships" ref="K1846" r:id="rId5333"/>
    <hyperlink xmlns:r="http://schemas.openxmlformats.org/officeDocument/2006/relationships" ref="I1847" r:id="rId5334"/>
    <hyperlink xmlns:r="http://schemas.openxmlformats.org/officeDocument/2006/relationships" ref="J1847" r:id="rId5335"/>
    <hyperlink xmlns:r="http://schemas.openxmlformats.org/officeDocument/2006/relationships" ref="K1847" r:id="rId5336"/>
    <hyperlink xmlns:r="http://schemas.openxmlformats.org/officeDocument/2006/relationships" ref="I1848" r:id="rId5337"/>
    <hyperlink xmlns:r="http://schemas.openxmlformats.org/officeDocument/2006/relationships" ref="J1848" r:id="rId5338"/>
    <hyperlink xmlns:r="http://schemas.openxmlformats.org/officeDocument/2006/relationships" ref="K1848" r:id="rId5339"/>
    <hyperlink xmlns:r="http://schemas.openxmlformats.org/officeDocument/2006/relationships" ref="I1849" r:id="rId5340"/>
    <hyperlink xmlns:r="http://schemas.openxmlformats.org/officeDocument/2006/relationships" ref="J1849" r:id="rId5341"/>
    <hyperlink xmlns:r="http://schemas.openxmlformats.org/officeDocument/2006/relationships" ref="K1849" r:id="rId5342"/>
    <hyperlink xmlns:r="http://schemas.openxmlformats.org/officeDocument/2006/relationships" ref="I1850" r:id="rId5343"/>
    <hyperlink xmlns:r="http://schemas.openxmlformats.org/officeDocument/2006/relationships" ref="J1850" r:id="rId5344"/>
    <hyperlink xmlns:r="http://schemas.openxmlformats.org/officeDocument/2006/relationships" ref="K1850" r:id="rId5345"/>
    <hyperlink xmlns:r="http://schemas.openxmlformats.org/officeDocument/2006/relationships" ref="I1851" r:id="rId5346"/>
    <hyperlink xmlns:r="http://schemas.openxmlformats.org/officeDocument/2006/relationships" ref="J1851" r:id="rId5347"/>
    <hyperlink xmlns:r="http://schemas.openxmlformats.org/officeDocument/2006/relationships" ref="K1851" r:id="rId5348"/>
    <hyperlink xmlns:r="http://schemas.openxmlformats.org/officeDocument/2006/relationships" ref="I1852" r:id="rId5349"/>
    <hyperlink xmlns:r="http://schemas.openxmlformats.org/officeDocument/2006/relationships" ref="J1852" r:id="rId5350"/>
    <hyperlink xmlns:r="http://schemas.openxmlformats.org/officeDocument/2006/relationships" ref="K1852" r:id="rId5351"/>
    <hyperlink xmlns:r="http://schemas.openxmlformats.org/officeDocument/2006/relationships" ref="I1853" r:id="rId5352"/>
    <hyperlink xmlns:r="http://schemas.openxmlformats.org/officeDocument/2006/relationships" ref="J1853" r:id="rId5353"/>
    <hyperlink xmlns:r="http://schemas.openxmlformats.org/officeDocument/2006/relationships" ref="K1853" r:id="rId5354"/>
    <hyperlink xmlns:r="http://schemas.openxmlformats.org/officeDocument/2006/relationships" ref="I1854" r:id="rId5355"/>
    <hyperlink xmlns:r="http://schemas.openxmlformats.org/officeDocument/2006/relationships" ref="J1854" r:id="rId5356"/>
    <hyperlink xmlns:r="http://schemas.openxmlformats.org/officeDocument/2006/relationships" ref="K1854" r:id="rId5357"/>
    <hyperlink xmlns:r="http://schemas.openxmlformats.org/officeDocument/2006/relationships" ref="I1855" r:id="rId5358"/>
    <hyperlink xmlns:r="http://schemas.openxmlformats.org/officeDocument/2006/relationships" ref="J1855" r:id="rId5359"/>
    <hyperlink xmlns:r="http://schemas.openxmlformats.org/officeDocument/2006/relationships" ref="K1855" r:id="rId5360"/>
    <hyperlink xmlns:r="http://schemas.openxmlformats.org/officeDocument/2006/relationships" ref="I1856" r:id="rId5361"/>
    <hyperlink xmlns:r="http://schemas.openxmlformats.org/officeDocument/2006/relationships" ref="J1856" r:id="rId5362"/>
    <hyperlink xmlns:r="http://schemas.openxmlformats.org/officeDocument/2006/relationships" ref="K1856" r:id="rId5363"/>
    <hyperlink xmlns:r="http://schemas.openxmlformats.org/officeDocument/2006/relationships" ref="I1857" r:id="rId5364"/>
    <hyperlink xmlns:r="http://schemas.openxmlformats.org/officeDocument/2006/relationships" ref="J1857" r:id="rId5365"/>
    <hyperlink xmlns:r="http://schemas.openxmlformats.org/officeDocument/2006/relationships" ref="K1857" r:id="rId5366"/>
    <hyperlink xmlns:r="http://schemas.openxmlformats.org/officeDocument/2006/relationships" ref="I1858" r:id="rId5367"/>
    <hyperlink xmlns:r="http://schemas.openxmlformats.org/officeDocument/2006/relationships" ref="J1858" r:id="rId5368"/>
    <hyperlink xmlns:r="http://schemas.openxmlformats.org/officeDocument/2006/relationships" ref="K1858" r:id="rId5369"/>
    <hyperlink xmlns:r="http://schemas.openxmlformats.org/officeDocument/2006/relationships" ref="I1859" r:id="rId5370"/>
    <hyperlink xmlns:r="http://schemas.openxmlformats.org/officeDocument/2006/relationships" ref="J1859" r:id="rId5371"/>
    <hyperlink xmlns:r="http://schemas.openxmlformats.org/officeDocument/2006/relationships" ref="K1859" r:id="rId5372"/>
    <hyperlink xmlns:r="http://schemas.openxmlformats.org/officeDocument/2006/relationships" ref="I1860" r:id="rId5373"/>
    <hyperlink xmlns:r="http://schemas.openxmlformats.org/officeDocument/2006/relationships" ref="J1860" r:id="rId5374"/>
    <hyperlink xmlns:r="http://schemas.openxmlformats.org/officeDocument/2006/relationships" ref="K1860" r:id="rId5375"/>
    <hyperlink xmlns:r="http://schemas.openxmlformats.org/officeDocument/2006/relationships" ref="I1861" r:id="rId5376"/>
    <hyperlink xmlns:r="http://schemas.openxmlformats.org/officeDocument/2006/relationships" ref="J1861" r:id="rId5377"/>
    <hyperlink xmlns:r="http://schemas.openxmlformats.org/officeDocument/2006/relationships" ref="K1861" r:id="rId5378"/>
    <hyperlink xmlns:r="http://schemas.openxmlformats.org/officeDocument/2006/relationships" ref="I1862" r:id="rId5379"/>
    <hyperlink xmlns:r="http://schemas.openxmlformats.org/officeDocument/2006/relationships" ref="J1862" r:id="rId5380"/>
    <hyperlink xmlns:r="http://schemas.openxmlformats.org/officeDocument/2006/relationships" ref="K1862" r:id="rId5381"/>
    <hyperlink xmlns:r="http://schemas.openxmlformats.org/officeDocument/2006/relationships" ref="I1863" r:id="rId5382"/>
    <hyperlink xmlns:r="http://schemas.openxmlformats.org/officeDocument/2006/relationships" ref="J1863" r:id="rId5383"/>
    <hyperlink xmlns:r="http://schemas.openxmlformats.org/officeDocument/2006/relationships" ref="K1863" r:id="rId5384"/>
    <hyperlink xmlns:r="http://schemas.openxmlformats.org/officeDocument/2006/relationships" ref="I1864" r:id="rId5385"/>
    <hyperlink xmlns:r="http://schemas.openxmlformats.org/officeDocument/2006/relationships" ref="J1864" r:id="rId5386"/>
    <hyperlink xmlns:r="http://schemas.openxmlformats.org/officeDocument/2006/relationships" ref="K1864" r:id="rId5387"/>
    <hyperlink xmlns:r="http://schemas.openxmlformats.org/officeDocument/2006/relationships" ref="I1865" r:id="rId5388"/>
    <hyperlink xmlns:r="http://schemas.openxmlformats.org/officeDocument/2006/relationships" ref="J1865" r:id="rId5389"/>
    <hyperlink xmlns:r="http://schemas.openxmlformats.org/officeDocument/2006/relationships" ref="K1865" r:id="rId5390"/>
    <hyperlink xmlns:r="http://schemas.openxmlformats.org/officeDocument/2006/relationships" ref="I1866" r:id="rId5391"/>
    <hyperlink xmlns:r="http://schemas.openxmlformats.org/officeDocument/2006/relationships" ref="J1866" r:id="rId5392"/>
    <hyperlink xmlns:r="http://schemas.openxmlformats.org/officeDocument/2006/relationships" ref="K1866" r:id="rId5393"/>
    <hyperlink xmlns:r="http://schemas.openxmlformats.org/officeDocument/2006/relationships" ref="I1867" r:id="rId5394"/>
    <hyperlink xmlns:r="http://schemas.openxmlformats.org/officeDocument/2006/relationships" ref="J1867" r:id="rId5395"/>
    <hyperlink xmlns:r="http://schemas.openxmlformats.org/officeDocument/2006/relationships" ref="K1867" r:id="rId5396"/>
    <hyperlink xmlns:r="http://schemas.openxmlformats.org/officeDocument/2006/relationships" ref="I1868" r:id="rId5397"/>
    <hyperlink xmlns:r="http://schemas.openxmlformats.org/officeDocument/2006/relationships" ref="J1868" r:id="rId5398"/>
    <hyperlink xmlns:r="http://schemas.openxmlformats.org/officeDocument/2006/relationships" ref="K1868" r:id="rId5399"/>
    <hyperlink xmlns:r="http://schemas.openxmlformats.org/officeDocument/2006/relationships" ref="I1869" r:id="rId5400"/>
    <hyperlink xmlns:r="http://schemas.openxmlformats.org/officeDocument/2006/relationships" ref="J1869" r:id="rId5401"/>
    <hyperlink xmlns:r="http://schemas.openxmlformats.org/officeDocument/2006/relationships" ref="K1869" r:id="rId5402"/>
    <hyperlink xmlns:r="http://schemas.openxmlformats.org/officeDocument/2006/relationships" ref="I1870" r:id="rId5403"/>
    <hyperlink xmlns:r="http://schemas.openxmlformats.org/officeDocument/2006/relationships" ref="J1870" r:id="rId5404"/>
    <hyperlink xmlns:r="http://schemas.openxmlformats.org/officeDocument/2006/relationships" ref="K1870" r:id="rId5405"/>
    <hyperlink xmlns:r="http://schemas.openxmlformats.org/officeDocument/2006/relationships" ref="I1871" r:id="rId5406"/>
    <hyperlink xmlns:r="http://schemas.openxmlformats.org/officeDocument/2006/relationships" ref="J1871" r:id="rId5407"/>
    <hyperlink xmlns:r="http://schemas.openxmlformats.org/officeDocument/2006/relationships" ref="K1871" r:id="rId5408"/>
    <hyperlink xmlns:r="http://schemas.openxmlformats.org/officeDocument/2006/relationships" ref="I1872" r:id="rId5409"/>
    <hyperlink xmlns:r="http://schemas.openxmlformats.org/officeDocument/2006/relationships" ref="J1872" r:id="rId5410"/>
    <hyperlink xmlns:r="http://schemas.openxmlformats.org/officeDocument/2006/relationships" ref="K1872" r:id="rId5411"/>
    <hyperlink xmlns:r="http://schemas.openxmlformats.org/officeDocument/2006/relationships" ref="I1873" r:id="rId5412"/>
    <hyperlink xmlns:r="http://schemas.openxmlformats.org/officeDocument/2006/relationships" ref="J1873" r:id="rId5413"/>
    <hyperlink xmlns:r="http://schemas.openxmlformats.org/officeDocument/2006/relationships" ref="I1874" r:id="rId5414"/>
    <hyperlink xmlns:r="http://schemas.openxmlformats.org/officeDocument/2006/relationships" ref="J1874" r:id="rId5415"/>
    <hyperlink xmlns:r="http://schemas.openxmlformats.org/officeDocument/2006/relationships" ref="I1875" r:id="rId5416"/>
    <hyperlink xmlns:r="http://schemas.openxmlformats.org/officeDocument/2006/relationships" ref="J1875" r:id="rId5417"/>
    <hyperlink xmlns:r="http://schemas.openxmlformats.org/officeDocument/2006/relationships" ref="I1876" r:id="rId5418"/>
    <hyperlink xmlns:r="http://schemas.openxmlformats.org/officeDocument/2006/relationships" ref="J1876" r:id="rId5419"/>
    <hyperlink xmlns:r="http://schemas.openxmlformats.org/officeDocument/2006/relationships" ref="I1877" r:id="rId5420"/>
    <hyperlink xmlns:r="http://schemas.openxmlformats.org/officeDocument/2006/relationships" ref="J1877" r:id="rId5421"/>
    <hyperlink xmlns:r="http://schemas.openxmlformats.org/officeDocument/2006/relationships" ref="I1878" r:id="rId5422"/>
    <hyperlink xmlns:r="http://schemas.openxmlformats.org/officeDocument/2006/relationships" ref="J1878" r:id="rId5423"/>
    <hyperlink xmlns:r="http://schemas.openxmlformats.org/officeDocument/2006/relationships" ref="I1879" r:id="rId5424"/>
    <hyperlink xmlns:r="http://schemas.openxmlformats.org/officeDocument/2006/relationships" ref="J1879" r:id="rId5425"/>
    <hyperlink xmlns:r="http://schemas.openxmlformats.org/officeDocument/2006/relationships" ref="I1880" r:id="rId5426"/>
    <hyperlink xmlns:r="http://schemas.openxmlformats.org/officeDocument/2006/relationships" ref="J1880" r:id="rId5427"/>
    <hyperlink xmlns:r="http://schemas.openxmlformats.org/officeDocument/2006/relationships" ref="I1881" r:id="rId5428"/>
    <hyperlink xmlns:r="http://schemas.openxmlformats.org/officeDocument/2006/relationships" ref="J1881" r:id="rId5429"/>
    <hyperlink xmlns:r="http://schemas.openxmlformats.org/officeDocument/2006/relationships" ref="I1882" r:id="rId5430"/>
    <hyperlink xmlns:r="http://schemas.openxmlformats.org/officeDocument/2006/relationships" ref="J1882" r:id="rId5431"/>
    <hyperlink xmlns:r="http://schemas.openxmlformats.org/officeDocument/2006/relationships" ref="I1883" r:id="rId5432"/>
    <hyperlink xmlns:r="http://schemas.openxmlformats.org/officeDocument/2006/relationships" ref="J1883" r:id="rId5433"/>
    <hyperlink xmlns:r="http://schemas.openxmlformats.org/officeDocument/2006/relationships" ref="I1884" r:id="rId5434"/>
    <hyperlink xmlns:r="http://schemas.openxmlformats.org/officeDocument/2006/relationships" ref="J1884" r:id="rId5435"/>
    <hyperlink xmlns:r="http://schemas.openxmlformats.org/officeDocument/2006/relationships" ref="I1885" r:id="rId5436"/>
    <hyperlink xmlns:r="http://schemas.openxmlformats.org/officeDocument/2006/relationships" ref="J1885" r:id="rId5437"/>
    <hyperlink xmlns:r="http://schemas.openxmlformats.org/officeDocument/2006/relationships" ref="I1886" r:id="rId5438"/>
    <hyperlink xmlns:r="http://schemas.openxmlformats.org/officeDocument/2006/relationships" ref="J1886" r:id="rId5439"/>
    <hyperlink xmlns:r="http://schemas.openxmlformats.org/officeDocument/2006/relationships" ref="I1887" r:id="rId5440"/>
    <hyperlink xmlns:r="http://schemas.openxmlformats.org/officeDocument/2006/relationships" ref="J1887" r:id="rId5441"/>
    <hyperlink xmlns:r="http://schemas.openxmlformats.org/officeDocument/2006/relationships" ref="I1888" r:id="rId5442"/>
    <hyperlink xmlns:r="http://schemas.openxmlformats.org/officeDocument/2006/relationships" ref="J1888" r:id="rId5443"/>
    <hyperlink xmlns:r="http://schemas.openxmlformats.org/officeDocument/2006/relationships" ref="I1889" r:id="rId5444"/>
    <hyperlink xmlns:r="http://schemas.openxmlformats.org/officeDocument/2006/relationships" ref="J1889" r:id="rId5445"/>
    <hyperlink xmlns:r="http://schemas.openxmlformats.org/officeDocument/2006/relationships" ref="I1890" r:id="rId5446"/>
    <hyperlink xmlns:r="http://schemas.openxmlformats.org/officeDocument/2006/relationships" ref="J1890" r:id="rId5447"/>
    <hyperlink xmlns:r="http://schemas.openxmlformats.org/officeDocument/2006/relationships" ref="I1891" r:id="rId5448"/>
    <hyperlink xmlns:r="http://schemas.openxmlformats.org/officeDocument/2006/relationships" ref="J1891" r:id="rId5449"/>
    <hyperlink xmlns:r="http://schemas.openxmlformats.org/officeDocument/2006/relationships" ref="I1892" r:id="rId5450"/>
    <hyperlink xmlns:r="http://schemas.openxmlformats.org/officeDocument/2006/relationships" ref="J1892" r:id="rId5451"/>
    <hyperlink xmlns:r="http://schemas.openxmlformats.org/officeDocument/2006/relationships" ref="I1893" r:id="rId5452"/>
    <hyperlink xmlns:r="http://schemas.openxmlformats.org/officeDocument/2006/relationships" ref="J1893" r:id="rId5453"/>
    <hyperlink xmlns:r="http://schemas.openxmlformats.org/officeDocument/2006/relationships" ref="I1894" r:id="rId5454"/>
    <hyperlink xmlns:r="http://schemas.openxmlformats.org/officeDocument/2006/relationships" ref="J1894" r:id="rId5455"/>
    <hyperlink xmlns:r="http://schemas.openxmlformats.org/officeDocument/2006/relationships" ref="I1895" r:id="rId5456"/>
    <hyperlink xmlns:r="http://schemas.openxmlformats.org/officeDocument/2006/relationships" ref="J1895" r:id="rId5457"/>
    <hyperlink xmlns:r="http://schemas.openxmlformats.org/officeDocument/2006/relationships" ref="I1896" r:id="rId5458"/>
    <hyperlink xmlns:r="http://schemas.openxmlformats.org/officeDocument/2006/relationships" ref="J1896" r:id="rId5459"/>
    <hyperlink xmlns:r="http://schemas.openxmlformats.org/officeDocument/2006/relationships" ref="I1897" r:id="rId5460"/>
    <hyperlink xmlns:r="http://schemas.openxmlformats.org/officeDocument/2006/relationships" ref="J1897" r:id="rId5461"/>
    <hyperlink xmlns:r="http://schemas.openxmlformats.org/officeDocument/2006/relationships" ref="I1898" r:id="rId5462"/>
    <hyperlink xmlns:r="http://schemas.openxmlformats.org/officeDocument/2006/relationships" ref="J1898" r:id="rId5463"/>
    <hyperlink xmlns:r="http://schemas.openxmlformats.org/officeDocument/2006/relationships" ref="I1899" r:id="rId5464"/>
    <hyperlink xmlns:r="http://schemas.openxmlformats.org/officeDocument/2006/relationships" ref="J1899" r:id="rId5465"/>
    <hyperlink xmlns:r="http://schemas.openxmlformats.org/officeDocument/2006/relationships" ref="I1900" r:id="rId5466"/>
    <hyperlink xmlns:r="http://schemas.openxmlformats.org/officeDocument/2006/relationships" ref="J1900" r:id="rId5467"/>
    <hyperlink xmlns:r="http://schemas.openxmlformats.org/officeDocument/2006/relationships" ref="I1901" r:id="rId5468"/>
    <hyperlink xmlns:r="http://schemas.openxmlformats.org/officeDocument/2006/relationships" ref="J1901" r:id="rId5469"/>
    <hyperlink xmlns:r="http://schemas.openxmlformats.org/officeDocument/2006/relationships" ref="I1902" r:id="rId5470"/>
    <hyperlink xmlns:r="http://schemas.openxmlformats.org/officeDocument/2006/relationships" ref="J1902" r:id="rId5471"/>
    <hyperlink xmlns:r="http://schemas.openxmlformats.org/officeDocument/2006/relationships" ref="I1903" r:id="rId5472"/>
    <hyperlink xmlns:r="http://schemas.openxmlformats.org/officeDocument/2006/relationships" ref="J1903" r:id="rId5473"/>
    <hyperlink xmlns:r="http://schemas.openxmlformats.org/officeDocument/2006/relationships" ref="I1904" r:id="rId5474"/>
    <hyperlink xmlns:r="http://schemas.openxmlformats.org/officeDocument/2006/relationships" ref="J1904" r:id="rId5475"/>
    <hyperlink xmlns:r="http://schemas.openxmlformats.org/officeDocument/2006/relationships" ref="I1905" r:id="rId5476"/>
    <hyperlink xmlns:r="http://schemas.openxmlformats.org/officeDocument/2006/relationships" ref="J1905" r:id="rId5477"/>
    <hyperlink xmlns:r="http://schemas.openxmlformats.org/officeDocument/2006/relationships" ref="I1906" r:id="rId5478"/>
    <hyperlink xmlns:r="http://schemas.openxmlformats.org/officeDocument/2006/relationships" ref="J1906" r:id="rId5479"/>
    <hyperlink xmlns:r="http://schemas.openxmlformats.org/officeDocument/2006/relationships" ref="I1907" r:id="rId5480"/>
    <hyperlink xmlns:r="http://schemas.openxmlformats.org/officeDocument/2006/relationships" ref="J1907" r:id="rId5481"/>
    <hyperlink xmlns:r="http://schemas.openxmlformats.org/officeDocument/2006/relationships" ref="I1908" r:id="rId5482"/>
    <hyperlink xmlns:r="http://schemas.openxmlformats.org/officeDocument/2006/relationships" ref="J1908" r:id="rId5483"/>
    <hyperlink xmlns:r="http://schemas.openxmlformats.org/officeDocument/2006/relationships" ref="I1909" r:id="rId5484"/>
    <hyperlink xmlns:r="http://schemas.openxmlformats.org/officeDocument/2006/relationships" ref="J1909" r:id="rId5485"/>
    <hyperlink xmlns:r="http://schemas.openxmlformats.org/officeDocument/2006/relationships" ref="I1910" r:id="rId5486"/>
    <hyperlink xmlns:r="http://schemas.openxmlformats.org/officeDocument/2006/relationships" ref="J1910" r:id="rId5487"/>
    <hyperlink xmlns:r="http://schemas.openxmlformats.org/officeDocument/2006/relationships" ref="I1911" r:id="rId5488"/>
    <hyperlink xmlns:r="http://schemas.openxmlformats.org/officeDocument/2006/relationships" ref="J1911" r:id="rId5489"/>
    <hyperlink xmlns:r="http://schemas.openxmlformats.org/officeDocument/2006/relationships" ref="I1912" r:id="rId5490"/>
    <hyperlink xmlns:r="http://schemas.openxmlformats.org/officeDocument/2006/relationships" ref="J1912" r:id="rId5491"/>
    <hyperlink xmlns:r="http://schemas.openxmlformats.org/officeDocument/2006/relationships" ref="I1913" r:id="rId5492"/>
    <hyperlink xmlns:r="http://schemas.openxmlformats.org/officeDocument/2006/relationships" ref="J1913" r:id="rId5493"/>
    <hyperlink xmlns:r="http://schemas.openxmlformats.org/officeDocument/2006/relationships" ref="I1914" r:id="rId5494"/>
    <hyperlink xmlns:r="http://schemas.openxmlformats.org/officeDocument/2006/relationships" ref="J1914" r:id="rId5495"/>
    <hyperlink xmlns:r="http://schemas.openxmlformats.org/officeDocument/2006/relationships" ref="I1915" r:id="rId5496"/>
    <hyperlink xmlns:r="http://schemas.openxmlformats.org/officeDocument/2006/relationships" ref="J1915" r:id="rId5497"/>
    <hyperlink xmlns:r="http://schemas.openxmlformats.org/officeDocument/2006/relationships" ref="I1916" r:id="rId5498"/>
    <hyperlink xmlns:r="http://schemas.openxmlformats.org/officeDocument/2006/relationships" ref="J1916" r:id="rId5499"/>
    <hyperlink xmlns:r="http://schemas.openxmlformats.org/officeDocument/2006/relationships" ref="I1917" r:id="rId5500"/>
    <hyperlink xmlns:r="http://schemas.openxmlformats.org/officeDocument/2006/relationships" ref="J1917" r:id="rId5501"/>
    <hyperlink xmlns:r="http://schemas.openxmlformats.org/officeDocument/2006/relationships" ref="I1918" r:id="rId5502"/>
    <hyperlink xmlns:r="http://schemas.openxmlformats.org/officeDocument/2006/relationships" ref="J1918" r:id="rId5503"/>
    <hyperlink xmlns:r="http://schemas.openxmlformats.org/officeDocument/2006/relationships" ref="I1919" r:id="rId5504"/>
    <hyperlink xmlns:r="http://schemas.openxmlformats.org/officeDocument/2006/relationships" ref="J1919" r:id="rId5505"/>
    <hyperlink xmlns:r="http://schemas.openxmlformats.org/officeDocument/2006/relationships" ref="I1920" r:id="rId5506"/>
    <hyperlink xmlns:r="http://schemas.openxmlformats.org/officeDocument/2006/relationships" ref="J1920" r:id="rId5507"/>
    <hyperlink xmlns:r="http://schemas.openxmlformats.org/officeDocument/2006/relationships" ref="I1921" r:id="rId5508"/>
    <hyperlink xmlns:r="http://schemas.openxmlformats.org/officeDocument/2006/relationships" ref="J1921" r:id="rId5509"/>
    <hyperlink xmlns:r="http://schemas.openxmlformats.org/officeDocument/2006/relationships" ref="I1922" r:id="rId5510"/>
    <hyperlink xmlns:r="http://schemas.openxmlformats.org/officeDocument/2006/relationships" ref="J1922" r:id="rId5511"/>
    <hyperlink xmlns:r="http://schemas.openxmlformats.org/officeDocument/2006/relationships" ref="I1923" r:id="rId5512"/>
    <hyperlink xmlns:r="http://schemas.openxmlformats.org/officeDocument/2006/relationships" ref="J1923" r:id="rId5513"/>
    <hyperlink xmlns:r="http://schemas.openxmlformats.org/officeDocument/2006/relationships" ref="I1924" r:id="rId5514"/>
    <hyperlink xmlns:r="http://schemas.openxmlformats.org/officeDocument/2006/relationships" ref="J1924" r:id="rId5515"/>
    <hyperlink xmlns:r="http://schemas.openxmlformats.org/officeDocument/2006/relationships" ref="I1925" r:id="rId5516"/>
    <hyperlink xmlns:r="http://schemas.openxmlformats.org/officeDocument/2006/relationships" ref="J1925" r:id="rId5517"/>
    <hyperlink xmlns:r="http://schemas.openxmlformats.org/officeDocument/2006/relationships" ref="K1925" r:id="rId5518"/>
    <hyperlink xmlns:r="http://schemas.openxmlformats.org/officeDocument/2006/relationships" ref="I1926" r:id="rId5519"/>
    <hyperlink xmlns:r="http://schemas.openxmlformats.org/officeDocument/2006/relationships" ref="J1926" r:id="rId5520"/>
    <hyperlink xmlns:r="http://schemas.openxmlformats.org/officeDocument/2006/relationships" ref="K1926" r:id="rId5521"/>
    <hyperlink xmlns:r="http://schemas.openxmlformats.org/officeDocument/2006/relationships" ref="I1927" r:id="rId5522"/>
    <hyperlink xmlns:r="http://schemas.openxmlformats.org/officeDocument/2006/relationships" ref="J1927" r:id="rId5523"/>
    <hyperlink xmlns:r="http://schemas.openxmlformats.org/officeDocument/2006/relationships" ref="K1927" r:id="rId5524"/>
    <hyperlink xmlns:r="http://schemas.openxmlformats.org/officeDocument/2006/relationships" ref="I1928" r:id="rId5525"/>
    <hyperlink xmlns:r="http://schemas.openxmlformats.org/officeDocument/2006/relationships" ref="J1928" r:id="rId5526"/>
    <hyperlink xmlns:r="http://schemas.openxmlformats.org/officeDocument/2006/relationships" ref="K1928" r:id="rId5527"/>
    <hyperlink xmlns:r="http://schemas.openxmlformats.org/officeDocument/2006/relationships" ref="I1929" r:id="rId5528"/>
    <hyperlink xmlns:r="http://schemas.openxmlformats.org/officeDocument/2006/relationships" ref="J1929" r:id="rId5529"/>
    <hyperlink xmlns:r="http://schemas.openxmlformats.org/officeDocument/2006/relationships" ref="K1929" r:id="rId5530"/>
    <hyperlink xmlns:r="http://schemas.openxmlformats.org/officeDocument/2006/relationships" ref="I1930" r:id="rId5531"/>
    <hyperlink xmlns:r="http://schemas.openxmlformats.org/officeDocument/2006/relationships" ref="J1930" r:id="rId5532"/>
    <hyperlink xmlns:r="http://schemas.openxmlformats.org/officeDocument/2006/relationships" ref="K1930" r:id="rId5533"/>
    <hyperlink xmlns:r="http://schemas.openxmlformats.org/officeDocument/2006/relationships" ref="I1931" r:id="rId5534"/>
    <hyperlink xmlns:r="http://schemas.openxmlformats.org/officeDocument/2006/relationships" ref="J1931" r:id="rId5535"/>
    <hyperlink xmlns:r="http://schemas.openxmlformats.org/officeDocument/2006/relationships" ref="K1931" r:id="rId5536"/>
    <hyperlink xmlns:r="http://schemas.openxmlformats.org/officeDocument/2006/relationships" ref="I1932" r:id="rId5537"/>
    <hyperlink xmlns:r="http://schemas.openxmlformats.org/officeDocument/2006/relationships" ref="J1932" r:id="rId5538"/>
    <hyperlink xmlns:r="http://schemas.openxmlformats.org/officeDocument/2006/relationships" ref="K1932" r:id="rId5539"/>
    <hyperlink xmlns:r="http://schemas.openxmlformats.org/officeDocument/2006/relationships" ref="I1933" r:id="rId5540"/>
    <hyperlink xmlns:r="http://schemas.openxmlformats.org/officeDocument/2006/relationships" ref="J1933" r:id="rId5541"/>
    <hyperlink xmlns:r="http://schemas.openxmlformats.org/officeDocument/2006/relationships" ref="K1933" r:id="rId5542"/>
    <hyperlink xmlns:r="http://schemas.openxmlformats.org/officeDocument/2006/relationships" ref="I1934" r:id="rId5543"/>
    <hyperlink xmlns:r="http://schemas.openxmlformats.org/officeDocument/2006/relationships" ref="J1934" r:id="rId5544"/>
    <hyperlink xmlns:r="http://schemas.openxmlformats.org/officeDocument/2006/relationships" ref="K1934" r:id="rId5545"/>
    <hyperlink xmlns:r="http://schemas.openxmlformats.org/officeDocument/2006/relationships" ref="I1935" r:id="rId5546"/>
    <hyperlink xmlns:r="http://schemas.openxmlformats.org/officeDocument/2006/relationships" ref="J1935" r:id="rId5547"/>
    <hyperlink xmlns:r="http://schemas.openxmlformats.org/officeDocument/2006/relationships" ref="K1935" r:id="rId5548"/>
    <hyperlink xmlns:r="http://schemas.openxmlformats.org/officeDocument/2006/relationships" ref="I1936" r:id="rId5549"/>
    <hyperlink xmlns:r="http://schemas.openxmlformats.org/officeDocument/2006/relationships" ref="J1936" r:id="rId5550"/>
    <hyperlink xmlns:r="http://schemas.openxmlformats.org/officeDocument/2006/relationships" ref="K1936" r:id="rId5551"/>
    <hyperlink xmlns:r="http://schemas.openxmlformats.org/officeDocument/2006/relationships" ref="I1937" r:id="rId5552"/>
    <hyperlink xmlns:r="http://schemas.openxmlformats.org/officeDocument/2006/relationships" ref="J1937" r:id="rId5553"/>
    <hyperlink xmlns:r="http://schemas.openxmlformats.org/officeDocument/2006/relationships" ref="K1937" r:id="rId5554"/>
    <hyperlink xmlns:r="http://schemas.openxmlformats.org/officeDocument/2006/relationships" ref="I1938" r:id="rId5555"/>
    <hyperlink xmlns:r="http://schemas.openxmlformats.org/officeDocument/2006/relationships" ref="J1938" r:id="rId5556"/>
    <hyperlink xmlns:r="http://schemas.openxmlformats.org/officeDocument/2006/relationships" ref="K1938" r:id="rId5557"/>
    <hyperlink xmlns:r="http://schemas.openxmlformats.org/officeDocument/2006/relationships" ref="I1939" r:id="rId5558"/>
    <hyperlink xmlns:r="http://schemas.openxmlformats.org/officeDocument/2006/relationships" ref="J1939" r:id="rId5559"/>
    <hyperlink xmlns:r="http://schemas.openxmlformats.org/officeDocument/2006/relationships" ref="K1939" r:id="rId5560"/>
    <hyperlink xmlns:r="http://schemas.openxmlformats.org/officeDocument/2006/relationships" ref="I1940" r:id="rId5561"/>
    <hyperlink xmlns:r="http://schemas.openxmlformats.org/officeDocument/2006/relationships" ref="J1940" r:id="rId5562"/>
    <hyperlink xmlns:r="http://schemas.openxmlformats.org/officeDocument/2006/relationships" ref="K1940" r:id="rId5563"/>
    <hyperlink xmlns:r="http://schemas.openxmlformats.org/officeDocument/2006/relationships" ref="I1941" r:id="rId5564"/>
    <hyperlink xmlns:r="http://schemas.openxmlformats.org/officeDocument/2006/relationships" ref="J1941" r:id="rId5565"/>
    <hyperlink xmlns:r="http://schemas.openxmlformats.org/officeDocument/2006/relationships" ref="K1941" r:id="rId5566"/>
    <hyperlink xmlns:r="http://schemas.openxmlformats.org/officeDocument/2006/relationships" ref="I1942" r:id="rId5567"/>
    <hyperlink xmlns:r="http://schemas.openxmlformats.org/officeDocument/2006/relationships" ref="J1942" r:id="rId5568"/>
    <hyperlink xmlns:r="http://schemas.openxmlformats.org/officeDocument/2006/relationships" ref="K1942" r:id="rId5569"/>
    <hyperlink xmlns:r="http://schemas.openxmlformats.org/officeDocument/2006/relationships" ref="I1943" r:id="rId5570"/>
    <hyperlink xmlns:r="http://schemas.openxmlformats.org/officeDocument/2006/relationships" ref="J1943" r:id="rId5571"/>
    <hyperlink xmlns:r="http://schemas.openxmlformats.org/officeDocument/2006/relationships" ref="K1943" r:id="rId5572"/>
    <hyperlink xmlns:r="http://schemas.openxmlformats.org/officeDocument/2006/relationships" ref="I1944" r:id="rId5573"/>
    <hyperlink xmlns:r="http://schemas.openxmlformats.org/officeDocument/2006/relationships" ref="J1944" r:id="rId5574"/>
    <hyperlink xmlns:r="http://schemas.openxmlformats.org/officeDocument/2006/relationships" ref="K1944" r:id="rId5575"/>
    <hyperlink xmlns:r="http://schemas.openxmlformats.org/officeDocument/2006/relationships" ref="I1945" r:id="rId5576"/>
    <hyperlink xmlns:r="http://schemas.openxmlformats.org/officeDocument/2006/relationships" ref="J1945" r:id="rId5577"/>
    <hyperlink xmlns:r="http://schemas.openxmlformats.org/officeDocument/2006/relationships" ref="K1945" r:id="rId5578"/>
    <hyperlink xmlns:r="http://schemas.openxmlformats.org/officeDocument/2006/relationships" ref="I1946" r:id="rId5579"/>
    <hyperlink xmlns:r="http://schemas.openxmlformats.org/officeDocument/2006/relationships" ref="J1946" r:id="rId5580"/>
    <hyperlink xmlns:r="http://schemas.openxmlformats.org/officeDocument/2006/relationships" ref="K1946" r:id="rId5581"/>
    <hyperlink xmlns:r="http://schemas.openxmlformats.org/officeDocument/2006/relationships" ref="I1947" r:id="rId5582"/>
    <hyperlink xmlns:r="http://schemas.openxmlformats.org/officeDocument/2006/relationships" ref="J1947" r:id="rId5583"/>
    <hyperlink xmlns:r="http://schemas.openxmlformats.org/officeDocument/2006/relationships" ref="K1947" r:id="rId5584"/>
    <hyperlink xmlns:r="http://schemas.openxmlformats.org/officeDocument/2006/relationships" ref="I1948" r:id="rId5585"/>
    <hyperlink xmlns:r="http://schemas.openxmlformats.org/officeDocument/2006/relationships" ref="J1948" r:id="rId5586"/>
    <hyperlink xmlns:r="http://schemas.openxmlformats.org/officeDocument/2006/relationships" ref="K1948" r:id="rId5587"/>
    <hyperlink xmlns:r="http://schemas.openxmlformats.org/officeDocument/2006/relationships" ref="I1949" r:id="rId5588"/>
    <hyperlink xmlns:r="http://schemas.openxmlformats.org/officeDocument/2006/relationships" ref="J1949" r:id="rId5589"/>
    <hyperlink xmlns:r="http://schemas.openxmlformats.org/officeDocument/2006/relationships" ref="K1949" r:id="rId5590"/>
    <hyperlink xmlns:r="http://schemas.openxmlformats.org/officeDocument/2006/relationships" ref="I1950" r:id="rId5591"/>
    <hyperlink xmlns:r="http://schemas.openxmlformats.org/officeDocument/2006/relationships" ref="J1950" r:id="rId5592"/>
    <hyperlink xmlns:r="http://schemas.openxmlformats.org/officeDocument/2006/relationships" ref="K1950" r:id="rId5593"/>
    <hyperlink xmlns:r="http://schemas.openxmlformats.org/officeDocument/2006/relationships" ref="I1951" r:id="rId5594"/>
    <hyperlink xmlns:r="http://schemas.openxmlformats.org/officeDocument/2006/relationships" ref="J1951" r:id="rId5595"/>
    <hyperlink xmlns:r="http://schemas.openxmlformats.org/officeDocument/2006/relationships" ref="K1951" r:id="rId5596"/>
    <hyperlink xmlns:r="http://schemas.openxmlformats.org/officeDocument/2006/relationships" ref="I1952" r:id="rId5597"/>
    <hyperlink xmlns:r="http://schemas.openxmlformats.org/officeDocument/2006/relationships" ref="J1952" r:id="rId5598"/>
    <hyperlink xmlns:r="http://schemas.openxmlformats.org/officeDocument/2006/relationships" ref="K1952" r:id="rId5599"/>
    <hyperlink xmlns:r="http://schemas.openxmlformats.org/officeDocument/2006/relationships" ref="I1953" r:id="rId5600"/>
    <hyperlink xmlns:r="http://schemas.openxmlformats.org/officeDocument/2006/relationships" ref="J1953" r:id="rId5601"/>
    <hyperlink xmlns:r="http://schemas.openxmlformats.org/officeDocument/2006/relationships" ref="K1953" r:id="rId5602"/>
    <hyperlink xmlns:r="http://schemas.openxmlformats.org/officeDocument/2006/relationships" ref="I1954" r:id="rId5603"/>
    <hyperlink xmlns:r="http://schemas.openxmlformats.org/officeDocument/2006/relationships" ref="J1954" r:id="rId5604"/>
    <hyperlink xmlns:r="http://schemas.openxmlformats.org/officeDocument/2006/relationships" ref="K1954" r:id="rId5605"/>
    <hyperlink xmlns:r="http://schemas.openxmlformats.org/officeDocument/2006/relationships" ref="I1955" r:id="rId5606"/>
    <hyperlink xmlns:r="http://schemas.openxmlformats.org/officeDocument/2006/relationships" ref="J1955" r:id="rId5607"/>
    <hyperlink xmlns:r="http://schemas.openxmlformats.org/officeDocument/2006/relationships" ref="K1955" r:id="rId5608"/>
    <hyperlink xmlns:r="http://schemas.openxmlformats.org/officeDocument/2006/relationships" ref="I1956" r:id="rId5609"/>
    <hyperlink xmlns:r="http://schemas.openxmlformats.org/officeDocument/2006/relationships" ref="J1956" r:id="rId5610"/>
    <hyperlink xmlns:r="http://schemas.openxmlformats.org/officeDocument/2006/relationships" ref="K1956" r:id="rId5611"/>
    <hyperlink xmlns:r="http://schemas.openxmlformats.org/officeDocument/2006/relationships" ref="I1957" r:id="rId5612"/>
    <hyperlink xmlns:r="http://schemas.openxmlformats.org/officeDocument/2006/relationships" ref="J1957" r:id="rId5613"/>
    <hyperlink xmlns:r="http://schemas.openxmlformats.org/officeDocument/2006/relationships" ref="K1957" r:id="rId5614"/>
    <hyperlink xmlns:r="http://schemas.openxmlformats.org/officeDocument/2006/relationships" ref="I1958" r:id="rId5615"/>
    <hyperlink xmlns:r="http://schemas.openxmlformats.org/officeDocument/2006/relationships" ref="J1958" r:id="rId5616"/>
    <hyperlink xmlns:r="http://schemas.openxmlformats.org/officeDocument/2006/relationships" ref="K1958" r:id="rId5617"/>
    <hyperlink xmlns:r="http://schemas.openxmlformats.org/officeDocument/2006/relationships" ref="I1959" r:id="rId5618"/>
    <hyperlink xmlns:r="http://schemas.openxmlformats.org/officeDocument/2006/relationships" ref="J1959" r:id="rId5619"/>
    <hyperlink xmlns:r="http://schemas.openxmlformats.org/officeDocument/2006/relationships" ref="K1959" r:id="rId5620"/>
    <hyperlink xmlns:r="http://schemas.openxmlformats.org/officeDocument/2006/relationships" ref="I1960" r:id="rId5621"/>
    <hyperlink xmlns:r="http://schemas.openxmlformats.org/officeDocument/2006/relationships" ref="J1960" r:id="rId5622"/>
    <hyperlink xmlns:r="http://schemas.openxmlformats.org/officeDocument/2006/relationships" ref="K1960" r:id="rId5623"/>
    <hyperlink xmlns:r="http://schemas.openxmlformats.org/officeDocument/2006/relationships" ref="I1961" r:id="rId5624"/>
    <hyperlink xmlns:r="http://schemas.openxmlformats.org/officeDocument/2006/relationships" ref="J1961" r:id="rId5625"/>
    <hyperlink xmlns:r="http://schemas.openxmlformats.org/officeDocument/2006/relationships" ref="K1961" r:id="rId5626"/>
    <hyperlink xmlns:r="http://schemas.openxmlformats.org/officeDocument/2006/relationships" ref="I1962" r:id="rId5627"/>
    <hyperlink xmlns:r="http://schemas.openxmlformats.org/officeDocument/2006/relationships" ref="J1962" r:id="rId5628"/>
    <hyperlink xmlns:r="http://schemas.openxmlformats.org/officeDocument/2006/relationships" ref="K1962" r:id="rId5629"/>
    <hyperlink xmlns:r="http://schemas.openxmlformats.org/officeDocument/2006/relationships" ref="I1963" r:id="rId5630"/>
    <hyperlink xmlns:r="http://schemas.openxmlformats.org/officeDocument/2006/relationships" ref="J1963" r:id="rId5631"/>
    <hyperlink xmlns:r="http://schemas.openxmlformats.org/officeDocument/2006/relationships" ref="K1963" r:id="rId5632"/>
    <hyperlink xmlns:r="http://schemas.openxmlformats.org/officeDocument/2006/relationships" ref="I1964" r:id="rId5633"/>
    <hyperlink xmlns:r="http://schemas.openxmlformats.org/officeDocument/2006/relationships" ref="J1964" r:id="rId5634"/>
    <hyperlink xmlns:r="http://schemas.openxmlformats.org/officeDocument/2006/relationships" ref="K1964" r:id="rId5635"/>
    <hyperlink xmlns:r="http://schemas.openxmlformats.org/officeDocument/2006/relationships" ref="I1965" r:id="rId5636"/>
    <hyperlink xmlns:r="http://schemas.openxmlformats.org/officeDocument/2006/relationships" ref="J1965" r:id="rId5637"/>
    <hyperlink xmlns:r="http://schemas.openxmlformats.org/officeDocument/2006/relationships" ref="K1965" r:id="rId5638"/>
    <hyperlink xmlns:r="http://schemas.openxmlformats.org/officeDocument/2006/relationships" ref="I1966" r:id="rId5639"/>
    <hyperlink xmlns:r="http://schemas.openxmlformats.org/officeDocument/2006/relationships" ref="J1966" r:id="rId5640"/>
    <hyperlink xmlns:r="http://schemas.openxmlformats.org/officeDocument/2006/relationships" ref="K1966" r:id="rId5641"/>
    <hyperlink xmlns:r="http://schemas.openxmlformats.org/officeDocument/2006/relationships" ref="I1967" r:id="rId5642"/>
    <hyperlink xmlns:r="http://schemas.openxmlformats.org/officeDocument/2006/relationships" ref="J1967" r:id="rId5643"/>
    <hyperlink xmlns:r="http://schemas.openxmlformats.org/officeDocument/2006/relationships" ref="K1967" r:id="rId5644"/>
    <hyperlink xmlns:r="http://schemas.openxmlformats.org/officeDocument/2006/relationships" ref="I1968" r:id="rId5645"/>
    <hyperlink xmlns:r="http://schemas.openxmlformats.org/officeDocument/2006/relationships" ref="J1968" r:id="rId5646"/>
    <hyperlink xmlns:r="http://schemas.openxmlformats.org/officeDocument/2006/relationships" ref="K1968" r:id="rId5647"/>
    <hyperlink xmlns:r="http://schemas.openxmlformats.org/officeDocument/2006/relationships" ref="I1969" r:id="rId5648"/>
    <hyperlink xmlns:r="http://schemas.openxmlformats.org/officeDocument/2006/relationships" ref="J1969" r:id="rId5649"/>
    <hyperlink xmlns:r="http://schemas.openxmlformats.org/officeDocument/2006/relationships" ref="K1969" r:id="rId5650"/>
    <hyperlink xmlns:r="http://schemas.openxmlformats.org/officeDocument/2006/relationships" ref="I1970" r:id="rId5651"/>
    <hyperlink xmlns:r="http://schemas.openxmlformats.org/officeDocument/2006/relationships" ref="J1970" r:id="rId5652"/>
    <hyperlink xmlns:r="http://schemas.openxmlformats.org/officeDocument/2006/relationships" ref="K1970" r:id="rId5653"/>
    <hyperlink xmlns:r="http://schemas.openxmlformats.org/officeDocument/2006/relationships" ref="I1971" r:id="rId5654"/>
    <hyperlink xmlns:r="http://schemas.openxmlformats.org/officeDocument/2006/relationships" ref="J1971" r:id="rId5655"/>
    <hyperlink xmlns:r="http://schemas.openxmlformats.org/officeDocument/2006/relationships" ref="I1972" r:id="rId5656"/>
    <hyperlink xmlns:r="http://schemas.openxmlformats.org/officeDocument/2006/relationships" ref="J1972" r:id="rId5657"/>
    <hyperlink xmlns:r="http://schemas.openxmlformats.org/officeDocument/2006/relationships" ref="K1972" r:id="rId5658"/>
    <hyperlink xmlns:r="http://schemas.openxmlformats.org/officeDocument/2006/relationships" ref="I1973" r:id="rId5659"/>
    <hyperlink xmlns:r="http://schemas.openxmlformats.org/officeDocument/2006/relationships" ref="J1973" r:id="rId5660"/>
    <hyperlink xmlns:r="http://schemas.openxmlformats.org/officeDocument/2006/relationships" ref="K1973" r:id="rId5661"/>
    <hyperlink xmlns:r="http://schemas.openxmlformats.org/officeDocument/2006/relationships" ref="I1974" r:id="rId5662"/>
    <hyperlink xmlns:r="http://schemas.openxmlformats.org/officeDocument/2006/relationships" ref="J1974" r:id="rId5663"/>
    <hyperlink xmlns:r="http://schemas.openxmlformats.org/officeDocument/2006/relationships" ref="K1974" r:id="rId5664"/>
    <hyperlink xmlns:r="http://schemas.openxmlformats.org/officeDocument/2006/relationships" ref="I1975" r:id="rId5665"/>
    <hyperlink xmlns:r="http://schemas.openxmlformats.org/officeDocument/2006/relationships" ref="J1975" r:id="rId5666"/>
    <hyperlink xmlns:r="http://schemas.openxmlformats.org/officeDocument/2006/relationships" ref="K1975" r:id="rId5667"/>
    <hyperlink xmlns:r="http://schemas.openxmlformats.org/officeDocument/2006/relationships" ref="I1976" r:id="rId5668"/>
    <hyperlink xmlns:r="http://schemas.openxmlformats.org/officeDocument/2006/relationships" ref="J1976" r:id="rId5669"/>
    <hyperlink xmlns:r="http://schemas.openxmlformats.org/officeDocument/2006/relationships" ref="K1976" r:id="rId5670"/>
    <hyperlink xmlns:r="http://schemas.openxmlformats.org/officeDocument/2006/relationships" ref="I1977" r:id="rId5671"/>
    <hyperlink xmlns:r="http://schemas.openxmlformats.org/officeDocument/2006/relationships" ref="J1977" r:id="rId5672"/>
    <hyperlink xmlns:r="http://schemas.openxmlformats.org/officeDocument/2006/relationships" ref="K1977" r:id="rId5673"/>
    <hyperlink xmlns:r="http://schemas.openxmlformats.org/officeDocument/2006/relationships" ref="I1978" r:id="rId5674"/>
    <hyperlink xmlns:r="http://schemas.openxmlformats.org/officeDocument/2006/relationships" ref="J1978" r:id="rId5675"/>
    <hyperlink xmlns:r="http://schemas.openxmlformats.org/officeDocument/2006/relationships" ref="K1978" r:id="rId5676"/>
    <hyperlink xmlns:r="http://schemas.openxmlformats.org/officeDocument/2006/relationships" ref="I1979" r:id="rId5677"/>
    <hyperlink xmlns:r="http://schemas.openxmlformats.org/officeDocument/2006/relationships" ref="J1979" r:id="rId5678"/>
    <hyperlink xmlns:r="http://schemas.openxmlformats.org/officeDocument/2006/relationships" ref="K1979" r:id="rId5679"/>
    <hyperlink xmlns:r="http://schemas.openxmlformats.org/officeDocument/2006/relationships" ref="I1980" r:id="rId5680"/>
    <hyperlink xmlns:r="http://schemas.openxmlformats.org/officeDocument/2006/relationships" ref="J1980" r:id="rId5681"/>
    <hyperlink xmlns:r="http://schemas.openxmlformats.org/officeDocument/2006/relationships" ref="K1980" r:id="rId5682"/>
    <hyperlink xmlns:r="http://schemas.openxmlformats.org/officeDocument/2006/relationships" ref="I1981" r:id="rId5683"/>
    <hyperlink xmlns:r="http://schemas.openxmlformats.org/officeDocument/2006/relationships" ref="J1981" r:id="rId5684"/>
    <hyperlink xmlns:r="http://schemas.openxmlformats.org/officeDocument/2006/relationships" ref="K1981" r:id="rId5685"/>
    <hyperlink xmlns:r="http://schemas.openxmlformats.org/officeDocument/2006/relationships" ref="I1982" r:id="rId5686"/>
    <hyperlink xmlns:r="http://schemas.openxmlformats.org/officeDocument/2006/relationships" ref="J1982" r:id="rId5687"/>
    <hyperlink xmlns:r="http://schemas.openxmlformats.org/officeDocument/2006/relationships" ref="I1983" r:id="rId5688"/>
    <hyperlink xmlns:r="http://schemas.openxmlformats.org/officeDocument/2006/relationships" ref="J1983" r:id="rId5689"/>
    <hyperlink xmlns:r="http://schemas.openxmlformats.org/officeDocument/2006/relationships" ref="I1984" r:id="rId5690"/>
    <hyperlink xmlns:r="http://schemas.openxmlformats.org/officeDocument/2006/relationships" ref="J1984" r:id="rId5691"/>
    <hyperlink xmlns:r="http://schemas.openxmlformats.org/officeDocument/2006/relationships" ref="K1984" r:id="rId5692"/>
    <hyperlink xmlns:r="http://schemas.openxmlformats.org/officeDocument/2006/relationships" ref="I1985" r:id="rId5693"/>
    <hyperlink xmlns:r="http://schemas.openxmlformats.org/officeDocument/2006/relationships" ref="J1985" r:id="rId5694"/>
    <hyperlink xmlns:r="http://schemas.openxmlformats.org/officeDocument/2006/relationships" ref="K1985" r:id="rId5695"/>
    <hyperlink xmlns:r="http://schemas.openxmlformats.org/officeDocument/2006/relationships" ref="I1986" r:id="rId5696"/>
    <hyperlink xmlns:r="http://schemas.openxmlformats.org/officeDocument/2006/relationships" ref="J1986" r:id="rId5697"/>
    <hyperlink xmlns:r="http://schemas.openxmlformats.org/officeDocument/2006/relationships" ref="K1986" r:id="rId5698"/>
    <hyperlink xmlns:r="http://schemas.openxmlformats.org/officeDocument/2006/relationships" ref="I1987" r:id="rId5699"/>
    <hyperlink xmlns:r="http://schemas.openxmlformats.org/officeDocument/2006/relationships" ref="J1987" r:id="rId5700"/>
    <hyperlink xmlns:r="http://schemas.openxmlformats.org/officeDocument/2006/relationships" ref="K1987" r:id="rId5701"/>
    <hyperlink xmlns:r="http://schemas.openxmlformats.org/officeDocument/2006/relationships" ref="I1988" r:id="rId5702"/>
    <hyperlink xmlns:r="http://schemas.openxmlformats.org/officeDocument/2006/relationships" ref="J1988" r:id="rId5703"/>
    <hyperlink xmlns:r="http://schemas.openxmlformats.org/officeDocument/2006/relationships" ref="K1988" r:id="rId5704"/>
    <hyperlink xmlns:r="http://schemas.openxmlformats.org/officeDocument/2006/relationships" ref="I1989" r:id="rId5705"/>
    <hyperlink xmlns:r="http://schemas.openxmlformats.org/officeDocument/2006/relationships" ref="J1989" r:id="rId5706"/>
    <hyperlink xmlns:r="http://schemas.openxmlformats.org/officeDocument/2006/relationships" ref="K1989" r:id="rId5707"/>
    <hyperlink xmlns:r="http://schemas.openxmlformats.org/officeDocument/2006/relationships" ref="I1990" r:id="rId5708"/>
    <hyperlink xmlns:r="http://schemas.openxmlformats.org/officeDocument/2006/relationships" ref="J1990" r:id="rId5709"/>
    <hyperlink xmlns:r="http://schemas.openxmlformats.org/officeDocument/2006/relationships" ref="K1990" r:id="rId5710"/>
    <hyperlink xmlns:r="http://schemas.openxmlformats.org/officeDocument/2006/relationships" ref="I1991" r:id="rId5711"/>
    <hyperlink xmlns:r="http://schemas.openxmlformats.org/officeDocument/2006/relationships" ref="J1991" r:id="rId5712"/>
    <hyperlink xmlns:r="http://schemas.openxmlformats.org/officeDocument/2006/relationships" ref="K1991" r:id="rId5713"/>
    <hyperlink xmlns:r="http://schemas.openxmlformats.org/officeDocument/2006/relationships" ref="I1992" r:id="rId5714"/>
    <hyperlink xmlns:r="http://schemas.openxmlformats.org/officeDocument/2006/relationships" ref="J1992" r:id="rId5715"/>
    <hyperlink xmlns:r="http://schemas.openxmlformats.org/officeDocument/2006/relationships" ref="K1992" r:id="rId5716"/>
    <hyperlink xmlns:r="http://schemas.openxmlformats.org/officeDocument/2006/relationships" ref="I1993" r:id="rId5717"/>
    <hyperlink xmlns:r="http://schemas.openxmlformats.org/officeDocument/2006/relationships" ref="J1993" r:id="rId5718"/>
    <hyperlink xmlns:r="http://schemas.openxmlformats.org/officeDocument/2006/relationships" ref="K1993" r:id="rId5719"/>
    <hyperlink xmlns:r="http://schemas.openxmlformats.org/officeDocument/2006/relationships" ref="I1994" r:id="rId5720"/>
    <hyperlink xmlns:r="http://schemas.openxmlformats.org/officeDocument/2006/relationships" ref="J1994" r:id="rId5721"/>
    <hyperlink xmlns:r="http://schemas.openxmlformats.org/officeDocument/2006/relationships" ref="K1994" r:id="rId5722"/>
    <hyperlink xmlns:r="http://schemas.openxmlformats.org/officeDocument/2006/relationships" ref="I1995" r:id="rId5723"/>
    <hyperlink xmlns:r="http://schemas.openxmlformats.org/officeDocument/2006/relationships" ref="J1995" r:id="rId5724"/>
    <hyperlink xmlns:r="http://schemas.openxmlformats.org/officeDocument/2006/relationships" ref="I1996" r:id="rId5725"/>
    <hyperlink xmlns:r="http://schemas.openxmlformats.org/officeDocument/2006/relationships" ref="J1996" r:id="rId5726"/>
    <hyperlink xmlns:r="http://schemas.openxmlformats.org/officeDocument/2006/relationships" ref="K1996" r:id="rId5727"/>
    <hyperlink xmlns:r="http://schemas.openxmlformats.org/officeDocument/2006/relationships" ref="I1997" r:id="rId5728"/>
    <hyperlink xmlns:r="http://schemas.openxmlformats.org/officeDocument/2006/relationships" ref="J1997" r:id="rId5729"/>
    <hyperlink xmlns:r="http://schemas.openxmlformats.org/officeDocument/2006/relationships" ref="K1997" r:id="rId5730"/>
    <hyperlink xmlns:r="http://schemas.openxmlformats.org/officeDocument/2006/relationships" ref="I1998" r:id="rId5731"/>
    <hyperlink xmlns:r="http://schemas.openxmlformats.org/officeDocument/2006/relationships" ref="J1998" r:id="rId5732"/>
    <hyperlink xmlns:r="http://schemas.openxmlformats.org/officeDocument/2006/relationships" ref="K1998" r:id="rId5733"/>
    <hyperlink xmlns:r="http://schemas.openxmlformats.org/officeDocument/2006/relationships" ref="I1999" r:id="rId5734"/>
    <hyperlink xmlns:r="http://schemas.openxmlformats.org/officeDocument/2006/relationships" ref="J1999" r:id="rId5735"/>
    <hyperlink xmlns:r="http://schemas.openxmlformats.org/officeDocument/2006/relationships" ref="K1999" r:id="rId5736"/>
    <hyperlink xmlns:r="http://schemas.openxmlformats.org/officeDocument/2006/relationships" ref="I2000" r:id="rId5737"/>
    <hyperlink xmlns:r="http://schemas.openxmlformats.org/officeDocument/2006/relationships" ref="J2000" r:id="rId5738"/>
    <hyperlink xmlns:r="http://schemas.openxmlformats.org/officeDocument/2006/relationships" ref="K2000" r:id="rId5739"/>
    <hyperlink xmlns:r="http://schemas.openxmlformats.org/officeDocument/2006/relationships" ref="I2001" r:id="rId5740"/>
    <hyperlink xmlns:r="http://schemas.openxmlformats.org/officeDocument/2006/relationships" ref="J2001" r:id="rId5741"/>
    <hyperlink xmlns:r="http://schemas.openxmlformats.org/officeDocument/2006/relationships" ref="K2001" r:id="rId5742"/>
    <hyperlink xmlns:r="http://schemas.openxmlformats.org/officeDocument/2006/relationships" ref="I2002" r:id="rId5743"/>
    <hyperlink xmlns:r="http://schemas.openxmlformats.org/officeDocument/2006/relationships" ref="J2002" r:id="rId5744"/>
    <hyperlink xmlns:r="http://schemas.openxmlformats.org/officeDocument/2006/relationships" ref="K2002" r:id="rId5745"/>
    <hyperlink xmlns:r="http://schemas.openxmlformats.org/officeDocument/2006/relationships" ref="I2003" r:id="rId5746"/>
    <hyperlink xmlns:r="http://schemas.openxmlformats.org/officeDocument/2006/relationships" ref="J2003" r:id="rId5747"/>
    <hyperlink xmlns:r="http://schemas.openxmlformats.org/officeDocument/2006/relationships" ref="K2003" r:id="rId5748"/>
    <hyperlink xmlns:r="http://schemas.openxmlformats.org/officeDocument/2006/relationships" ref="I2004" r:id="rId5749"/>
    <hyperlink xmlns:r="http://schemas.openxmlformats.org/officeDocument/2006/relationships" ref="J2004" r:id="rId5750"/>
    <hyperlink xmlns:r="http://schemas.openxmlformats.org/officeDocument/2006/relationships" ref="I2005" r:id="rId5751"/>
    <hyperlink xmlns:r="http://schemas.openxmlformats.org/officeDocument/2006/relationships" ref="J2005" r:id="rId5752"/>
    <hyperlink xmlns:r="http://schemas.openxmlformats.org/officeDocument/2006/relationships" ref="K2005" r:id="rId5753"/>
    <hyperlink xmlns:r="http://schemas.openxmlformats.org/officeDocument/2006/relationships" ref="I2006" r:id="rId5754"/>
    <hyperlink xmlns:r="http://schemas.openxmlformats.org/officeDocument/2006/relationships" ref="J2006" r:id="rId5755"/>
    <hyperlink xmlns:r="http://schemas.openxmlformats.org/officeDocument/2006/relationships" ref="K2006" r:id="rId5756"/>
    <hyperlink xmlns:r="http://schemas.openxmlformats.org/officeDocument/2006/relationships" ref="I2007" r:id="rId5757"/>
    <hyperlink xmlns:r="http://schemas.openxmlformats.org/officeDocument/2006/relationships" ref="J2007" r:id="rId5758"/>
    <hyperlink xmlns:r="http://schemas.openxmlformats.org/officeDocument/2006/relationships" ref="K2007" r:id="rId5759"/>
    <hyperlink xmlns:r="http://schemas.openxmlformats.org/officeDocument/2006/relationships" ref="I2008" r:id="rId5760"/>
    <hyperlink xmlns:r="http://schemas.openxmlformats.org/officeDocument/2006/relationships" ref="J2008" r:id="rId5761"/>
    <hyperlink xmlns:r="http://schemas.openxmlformats.org/officeDocument/2006/relationships" ref="K2008" r:id="rId5762"/>
    <hyperlink xmlns:r="http://schemas.openxmlformats.org/officeDocument/2006/relationships" ref="I2009" r:id="rId5763"/>
    <hyperlink xmlns:r="http://schemas.openxmlformats.org/officeDocument/2006/relationships" ref="J2009" r:id="rId5764"/>
    <hyperlink xmlns:r="http://schemas.openxmlformats.org/officeDocument/2006/relationships" ref="K2009" r:id="rId5765"/>
    <hyperlink xmlns:r="http://schemas.openxmlformats.org/officeDocument/2006/relationships" ref="I2010" r:id="rId5766"/>
    <hyperlink xmlns:r="http://schemas.openxmlformats.org/officeDocument/2006/relationships" ref="J2010" r:id="rId5767"/>
    <hyperlink xmlns:r="http://schemas.openxmlformats.org/officeDocument/2006/relationships" ref="K2010" r:id="rId5768"/>
    <hyperlink xmlns:r="http://schemas.openxmlformats.org/officeDocument/2006/relationships" ref="I2011" r:id="rId5769"/>
    <hyperlink xmlns:r="http://schemas.openxmlformats.org/officeDocument/2006/relationships" ref="J2011" r:id="rId5770"/>
    <hyperlink xmlns:r="http://schemas.openxmlformats.org/officeDocument/2006/relationships" ref="K2011" r:id="rId5771"/>
    <hyperlink xmlns:r="http://schemas.openxmlformats.org/officeDocument/2006/relationships" ref="I2012" r:id="rId5772"/>
    <hyperlink xmlns:r="http://schemas.openxmlformats.org/officeDocument/2006/relationships" ref="J2012" r:id="rId5773"/>
    <hyperlink xmlns:r="http://schemas.openxmlformats.org/officeDocument/2006/relationships" ref="K2012" r:id="rId5774"/>
    <hyperlink xmlns:r="http://schemas.openxmlformats.org/officeDocument/2006/relationships" ref="I2013" r:id="rId5775"/>
    <hyperlink xmlns:r="http://schemas.openxmlformats.org/officeDocument/2006/relationships" ref="J2013" r:id="rId5776"/>
    <hyperlink xmlns:r="http://schemas.openxmlformats.org/officeDocument/2006/relationships" ref="K2013" r:id="rId5777"/>
    <hyperlink xmlns:r="http://schemas.openxmlformats.org/officeDocument/2006/relationships" ref="I2014" r:id="rId5778"/>
    <hyperlink xmlns:r="http://schemas.openxmlformats.org/officeDocument/2006/relationships" ref="J2014" r:id="rId5779"/>
    <hyperlink xmlns:r="http://schemas.openxmlformats.org/officeDocument/2006/relationships" ref="K2014" r:id="rId5780"/>
    <hyperlink xmlns:r="http://schemas.openxmlformats.org/officeDocument/2006/relationships" ref="I2015" r:id="rId5781"/>
    <hyperlink xmlns:r="http://schemas.openxmlformats.org/officeDocument/2006/relationships" ref="J2015" r:id="rId5782"/>
    <hyperlink xmlns:r="http://schemas.openxmlformats.org/officeDocument/2006/relationships" ref="K2015" r:id="rId5783"/>
    <hyperlink xmlns:r="http://schemas.openxmlformats.org/officeDocument/2006/relationships" ref="I2016" r:id="rId5784"/>
    <hyperlink xmlns:r="http://schemas.openxmlformats.org/officeDocument/2006/relationships" ref="J2016" r:id="rId5785"/>
    <hyperlink xmlns:r="http://schemas.openxmlformats.org/officeDocument/2006/relationships" ref="K2016" r:id="rId5786"/>
    <hyperlink xmlns:r="http://schemas.openxmlformats.org/officeDocument/2006/relationships" ref="I2017" r:id="rId5787"/>
    <hyperlink xmlns:r="http://schemas.openxmlformats.org/officeDocument/2006/relationships" ref="J2017" r:id="rId5788"/>
    <hyperlink xmlns:r="http://schemas.openxmlformats.org/officeDocument/2006/relationships" ref="K2017" r:id="rId5789"/>
    <hyperlink xmlns:r="http://schemas.openxmlformats.org/officeDocument/2006/relationships" ref="I2018" r:id="rId5790"/>
    <hyperlink xmlns:r="http://schemas.openxmlformats.org/officeDocument/2006/relationships" ref="J2018" r:id="rId5791"/>
    <hyperlink xmlns:r="http://schemas.openxmlformats.org/officeDocument/2006/relationships" ref="K2018" r:id="rId5792"/>
    <hyperlink xmlns:r="http://schemas.openxmlformats.org/officeDocument/2006/relationships" ref="I2019" r:id="rId5793"/>
    <hyperlink xmlns:r="http://schemas.openxmlformats.org/officeDocument/2006/relationships" ref="J2019" r:id="rId5794"/>
    <hyperlink xmlns:r="http://schemas.openxmlformats.org/officeDocument/2006/relationships" ref="K2019" r:id="rId5795"/>
    <hyperlink xmlns:r="http://schemas.openxmlformats.org/officeDocument/2006/relationships" ref="I2020" r:id="rId5796"/>
    <hyperlink xmlns:r="http://schemas.openxmlformats.org/officeDocument/2006/relationships" ref="J2020" r:id="rId5797"/>
    <hyperlink xmlns:r="http://schemas.openxmlformats.org/officeDocument/2006/relationships" ref="K2020" r:id="rId5798"/>
    <hyperlink xmlns:r="http://schemas.openxmlformats.org/officeDocument/2006/relationships" ref="I2021" r:id="rId5799"/>
    <hyperlink xmlns:r="http://schemas.openxmlformats.org/officeDocument/2006/relationships" ref="J2021" r:id="rId5800"/>
    <hyperlink xmlns:r="http://schemas.openxmlformats.org/officeDocument/2006/relationships" ref="K2021" r:id="rId5801"/>
    <hyperlink xmlns:r="http://schemas.openxmlformats.org/officeDocument/2006/relationships" ref="I2022" r:id="rId5802"/>
    <hyperlink xmlns:r="http://schemas.openxmlformats.org/officeDocument/2006/relationships" ref="J2022" r:id="rId5803"/>
    <hyperlink xmlns:r="http://schemas.openxmlformats.org/officeDocument/2006/relationships" ref="K2022" r:id="rId5804"/>
    <hyperlink xmlns:r="http://schemas.openxmlformats.org/officeDocument/2006/relationships" ref="I2023" r:id="rId5805"/>
    <hyperlink xmlns:r="http://schemas.openxmlformats.org/officeDocument/2006/relationships" ref="J2023" r:id="rId5806"/>
    <hyperlink xmlns:r="http://schemas.openxmlformats.org/officeDocument/2006/relationships" ref="K2023" r:id="rId5807"/>
    <hyperlink xmlns:r="http://schemas.openxmlformats.org/officeDocument/2006/relationships" ref="I2024" r:id="rId5808"/>
    <hyperlink xmlns:r="http://schemas.openxmlformats.org/officeDocument/2006/relationships" ref="J2024" r:id="rId5809"/>
    <hyperlink xmlns:r="http://schemas.openxmlformats.org/officeDocument/2006/relationships" ref="K2024" r:id="rId5810"/>
    <hyperlink xmlns:r="http://schemas.openxmlformats.org/officeDocument/2006/relationships" ref="I2025" r:id="rId5811"/>
    <hyperlink xmlns:r="http://schemas.openxmlformats.org/officeDocument/2006/relationships" ref="J2025" r:id="rId5812"/>
    <hyperlink xmlns:r="http://schemas.openxmlformats.org/officeDocument/2006/relationships" ref="K2025" r:id="rId5813"/>
    <hyperlink xmlns:r="http://schemas.openxmlformats.org/officeDocument/2006/relationships" ref="I2026" r:id="rId5814"/>
    <hyperlink xmlns:r="http://schemas.openxmlformats.org/officeDocument/2006/relationships" ref="J2026" r:id="rId5815"/>
    <hyperlink xmlns:r="http://schemas.openxmlformats.org/officeDocument/2006/relationships" ref="K2026" r:id="rId5816"/>
    <hyperlink xmlns:r="http://schemas.openxmlformats.org/officeDocument/2006/relationships" ref="I2027" r:id="rId5817"/>
    <hyperlink xmlns:r="http://schemas.openxmlformats.org/officeDocument/2006/relationships" ref="J2027" r:id="rId5818"/>
    <hyperlink xmlns:r="http://schemas.openxmlformats.org/officeDocument/2006/relationships" ref="K2027" r:id="rId5819"/>
    <hyperlink xmlns:r="http://schemas.openxmlformats.org/officeDocument/2006/relationships" ref="I2028" r:id="rId5820"/>
    <hyperlink xmlns:r="http://schemas.openxmlformats.org/officeDocument/2006/relationships" ref="J2028" r:id="rId5821"/>
    <hyperlink xmlns:r="http://schemas.openxmlformats.org/officeDocument/2006/relationships" ref="K2028" r:id="rId5822"/>
    <hyperlink xmlns:r="http://schemas.openxmlformats.org/officeDocument/2006/relationships" ref="I2029" r:id="rId5823"/>
    <hyperlink xmlns:r="http://schemas.openxmlformats.org/officeDocument/2006/relationships" ref="J2029" r:id="rId5824"/>
    <hyperlink xmlns:r="http://schemas.openxmlformats.org/officeDocument/2006/relationships" ref="K2029" r:id="rId5825"/>
    <hyperlink xmlns:r="http://schemas.openxmlformats.org/officeDocument/2006/relationships" ref="I2030" r:id="rId5826"/>
    <hyperlink xmlns:r="http://schemas.openxmlformats.org/officeDocument/2006/relationships" ref="J2030" r:id="rId5827"/>
    <hyperlink xmlns:r="http://schemas.openxmlformats.org/officeDocument/2006/relationships" ref="K2030" r:id="rId5828"/>
    <hyperlink xmlns:r="http://schemas.openxmlformats.org/officeDocument/2006/relationships" ref="I2031" r:id="rId5829"/>
    <hyperlink xmlns:r="http://schemas.openxmlformats.org/officeDocument/2006/relationships" ref="J2031" r:id="rId5830"/>
    <hyperlink xmlns:r="http://schemas.openxmlformats.org/officeDocument/2006/relationships" ref="K2031" r:id="rId5831"/>
    <hyperlink xmlns:r="http://schemas.openxmlformats.org/officeDocument/2006/relationships" ref="I2032" r:id="rId5832"/>
    <hyperlink xmlns:r="http://schemas.openxmlformats.org/officeDocument/2006/relationships" ref="J2032" r:id="rId5833"/>
    <hyperlink xmlns:r="http://schemas.openxmlformats.org/officeDocument/2006/relationships" ref="K2032" r:id="rId5834"/>
    <hyperlink xmlns:r="http://schemas.openxmlformats.org/officeDocument/2006/relationships" ref="I2033" r:id="rId5835"/>
    <hyperlink xmlns:r="http://schemas.openxmlformats.org/officeDocument/2006/relationships" ref="J2033" r:id="rId5836"/>
    <hyperlink xmlns:r="http://schemas.openxmlformats.org/officeDocument/2006/relationships" ref="K2033" r:id="rId5837"/>
    <hyperlink xmlns:r="http://schemas.openxmlformats.org/officeDocument/2006/relationships" ref="I2034" r:id="rId5838"/>
    <hyperlink xmlns:r="http://schemas.openxmlformats.org/officeDocument/2006/relationships" ref="J2034" r:id="rId5839"/>
    <hyperlink xmlns:r="http://schemas.openxmlformats.org/officeDocument/2006/relationships" ref="K2034" r:id="rId5840"/>
    <hyperlink xmlns:r="http://schemas.openxmlformats.org/officeDocument/2006/relationships" ref="I2035" r:id="rId5841"/>
    <hyperlink xmlns:r="http://schemas.openxmlformats.org/officeDocument/2006/relationships" ref="J2035" r:id="rId5842"/>
    <hyperlink xmlns:r="http://schemas.openxmlformats.org/officeDocument/2006/relationships" ref="K2035" r:id="rId5843"/>
    <hyperlink xmlns:r="http://schemas.openxmlformats.org/officeDocument/2006/relationships" ref="I2036" r:id="rId5844"/>
    <hyperlink xmlns:r="http://schemas.openxmlformats.org/officeDocument/2006/relationships" ref="J2036" r:id="rId5845"/>
    <hyperlink xmlns:r="http://schemas.openxmlformats.org/officeDocument/2006/relationships" ref="K2036" r:id="rId5846"/>
    <hyperlink xmlns:r="http://schemas.openxmlformats.org/officeDocument/2006/relationships" ref="I2037" r:id="rId5847"/>
    <hyperlink xmlns:r="http://schemas.openxmlformats.org/officeDocument/2006/relationships" ref="J2037" r:id="rId5848"/>
    <hyperlink xmlns:r="http://schemas.openxmlformats.org/officeDocument/2006/relationships" ref="K2037" r:id="rId5849"/>
    <hyperlink xmlns:r="http://schemas.openxmlformats.org/officeDocument/2006/relationships" ref="I2038" r:id="rId5850"/>
    <hyperlink xmlns:r="http://schemas.openxmlformats.org/officeDocument/2006/relationships" ref="J2038" r:id="rId5851"/>
    <hyperlink xmlns:r="http://schemas.openxmlformats.org/officeDocument/2006/relationships" ref="K2038" r:id="rId5852"/>
    <hyperlink xmlns:r="http://schemas.openxmlformats.org/officeDocument/2006/relationships" ref="I2039" r:id="rId5853"/>
    <hyperlink xmlns:r="http://schemas.openxmlformats.org/officeDocument/2006/relationships" ref="J2039" r:id="rId5854"/>
    <hyperlink xmlns:r="http://schemas.openxmlformats.org/officeDocument/2006/relationships" ref="K2039" r:id="rId5855"/>
    <hyperlink xmlns:r="http://schemas.openxmlformats.org/officeDocument/2006/relationships" ref="I2040" r:id="rId5856"/>
    <hyperlink xmlns:r="http://schemas.openxmlformats.org/officeDocument/2006/relationships" ref="J2040" r:id="rId5857"/>
    <hyperlink xmlns:r="http://schemas.openxmlformats.org/officeDocument/2006/relationships" ref="K2040" r:id="rId5858"/>
    <hyperlink xmlns:r="http://schemas.openxmlformats.org/officeDocument/2006/relationships" ref="I2041" r:id="rId5859"/>
    <hyperlink xmlns:r="http://schemas.openxmlformats.org/officeDocument/2006/relationships" ref="J2041" r:id="rId5860"/>
    <hyperlink xmlns:r="http://schemas.openxmlformats.org/officeDocument/2006/relationships" ref="K2041" r:id="rId5861"/>
    <hyperlink xmlns:r="http://schemas.openxmlformats.org/officeDocument/2006/relationships" ref="I2042" r:id="rId5862"/>
    <hyperlink xmlns:r="http://schemas.openxmlformats.org/officeDocument/2006/relationships" ref="J2042" r:id="rId5863"/>
    <hyperlink xmlns:r="http://schemas.openxmlformats.org/officeDocument/2006/relationships" ref="K2042" r:id="rId5864"/>
    <hyperlink xmlns:r="http://schemas.openxmlformats.org/officeDocument/2006/relationships" ref="I2043" r:id="rId5865"/>
    <hyperlink xmlns:r="http://schemas.openxmlformats.org/officeDocument/2006/relationships" ref="J2043" r:id="rId5866"/>
    <hyperlink xmlns:r="http://schemas.openxmlformats.org/officeDocument/2006/relationships" ref="K2043" r:id="rId5867"/>
    <hyperlink xmlns:r="http://schemas.openxmlformats.org/officeDocument/2006/relationships" ref="I2044" r:id="rId5868"/>
    <hyperlink xmlns:r="http://schemas.openxmlformats.org/officeDocument/2006/relationships" ref="J2044" r:id="rId5869"/>
    <hyperlink xmlns:r="http://schemas.openxmlformats.org/officeDocument/2006/relationships" ref="K2044" r:id="rId5870"/>
    <hyperlink xmlns:r="http://schemas.openxmlformats.org/officeDocument/2006/relationships" ref="I2045" r:id="rId5871"/>
    <hyperlink xmlns:r="http://schemas.openxmlformats.org/officeDocument/2006/relationships" ref="J2045" r:id="rId5872"/>
    <hyperlink xmlns:r="http://schemas.openxmlformats.org/officeDocument/2006/relationships" ref="K2045" r:id="rId5873"/>
    <hyperlink xmlns:r="http://schemas.openxmlformats.org/officeDocument/2006/relationships" ref="I2046" r:id="rId5874"/>
    <hyperlink xmlns:r="http://schemas.openxmlformats.org/officeDocument/2006/relationships" ref="J2046" r:id="rId5875"/>
    <hyperlink xmlns:r="http://schemas.openxmlformats.org/officeDocument/2006/relationships" ref="K2046" r:id="rId5876"/>
    <hyperlink xmlns:r="http://schemas.openxmlformats.org/officeDocument/2006/relationships" ref="I2047" r:id="rId5877"/>
    <hyperlink xmlns:r="http://schemas.openxmlformats.org/officeDocument/2006/relationships" ref="J2047" r:id="rId5878"/>
    <hyperlink xmlns:r="http://schemas.openxmlformats.org/officeDocument/2006/relationships" ref="K2047" r:id="rId5879"/>
    <hyperlink xmlns:r="http://schemas.openxmlformats.org/officeDocument/2006/relationships" ref="I2048" r:id="rId5880"/>
    <hyperlink xmlns:r="http://schemas.openxmlformats.org/officeDocument/2006/relationships" ref="J2048" r:id="rId5881"/>
    <hyperlink xmlns:r="http://schemas.openxmlformats.org/officeDocument/2006/relationships" ref="K2048" r:id="rId5882"/>
    <hyperlink xmlns:r="http://schemas.openxmlformats.org/officeDocument/2006/relationships" ref="I2049" r:id="rId5883"/>
    <hyperlink xmlns:r="http://schemas.openxmlformats.org/officeDocument/2006/relationships" ref="J2049" r:id="rId5884"/>
    <hyperlink xmlns:r="http://schemas.openxmlformats.org/officeDocument/2006/relationships" ref="K2049" r:id="rId5885"/>
    <hyperlink xmlns:r="http://schemas.openxmlformats.org/officeDocument/2006/relationships" ref="I2050" r:id="rId5886"/>
    <hyperlink xmlns:r="http://schemas.openxmlformats.org/officeDocument/2006/relationships" ref="J2050" r:id="rId5887"/>
    <hyperlink xmlns:r="http://schemas.openxmlformats.org/officeDocument/2006/relationships" ref="K2050" r:id="rId5888"/>
    <hyperlink xmlns:r="http://schemas.openxmlformats.org/officeDocument/2006/relationships" ref="I2051" r:id="rId5889"/>
    <hyperlink xmlns:r="http://schemas.openxmlformats.org/officeDocument/2006/relationships" ref="J2051" r:id="rId5890"/>
    <hyperlink xmlns:r="http://schemas.openxmlformats.org/officeDocument/2006/relationships" ref="K2051" r:id="rId5891"/>
    <hyperlink xmlns:r="http://schemas.openxmlformats.org/officeDocument/2006/relationships" ref="I2052" r:id="rId5892"/>
    <hyperlink xmlns:r="http://schemas.openxmlformats.org/officeDocument/2006/relationships" ref="J2052" r:id="rId5893"/>
    <hyperlink xmlns:r="http://schemas.openxmlformats.org/officeDocument/2006/relationships" ref="K2052" r:id="rId5894"/>
    <hyperlink xmlns:r="http://schemas.openxmlformats.org/officeDocument/2006/relationships" ref="I2053" r:id="rId5895"/>
    <hyperlink xmlns:r="http://schemas.openxmlformats.org/officeDocument/2006/relationships" ref="J2053" r:id="rId5896"/>
    <hyperlink xmlns:r="http://schemas.openxmlformats.org/officeDocument/2006/relationships" ref="K2053" r:id="rId5897"/>
    <hyperlink xmlns:r="http://schemas.openxmlformats.org/officeDocument/2006/relationships" ref="I2054" r:id="rId5898"/>
    <hyperlink xmlns:r="http://schemas.openxmlformats.org/officeDocument/2006/relationships" ref="J2054" r:id="rId5899"/>
    <hyperlink xmlns:r="http://schemas.openxmlformats.org/officeDocument/2006/relationships" ref="K2054" r:id="rId5900"/>
    <hyperlink xmlns:r="http://schemas.openxmlformats.org/officeDocument/2006/relationships" ref="I2055" r:id="rId5901"/>
    <hyperlink xmlns:r="http://schemas.openxmlformats.org/officeDocument/2006/relationships" ref="J2055" r:id="rId5902"/>
    <hyperlink xmlns:r="http://schemas.openxmlformats.org/officeDocument/2006/relationships" ref="K2055" r:id="rId5903"/>
    <hyperlink xmlns:r="http://schemas.openxmlformats.org/officeDocument/2006/relationships" ref="I2056" r:id="rId5904"/>
    <hyperlink xmlns:r="http://schemas.openxmlformats.org/officeDocument/2006/relationships" ref="J2056" r:id="rId5905"/>
    <hyperlink xmlns:r="http://schemas.openxmlformats.org/officeDocument/2006/relationships" ref="K2056" r:id="rId5906"/>
    <hyperlink xmlns:r="http://schemas.openxmlformats.org/officeDocument/2006/relationships" ref="I2057" r:id="rId5907"/>
    <hyperlink xmlns:r="http://schemas.openxmlformats.org/officeDocument/2006/relationships" ref="J2057" r:id="rId5908"/>
    <hyperlink xmlns:r="http://schemas.openxmlformats.org/officeDocument/2006/relationships" ref="K2057" r:id="rId5909"/>
    <hyperlink xmlns:r="http://schemas.openxmlformats.org/officeDocument/2006/relationships" ref="I2058" r:id="rId5910"/>
    <hyperlink xmlns:r="http://schemas.openxmlformats.org/officeDocument/2006/relationships" ref="J2058" r:id="rId5911"/>
    <hyperlink xmlns:r="http://schemas.openxmlformats.org/officeDocument/2006/relationships" ref="I2059" r:id="rId5912"/>
    <hyperlink xmlns:r="http://schemas.openxmlformats.org/officeDocument/2006/relationships" ref="J2059" r:id="rId5913"/>
    <hyperlink xmlns:r="http://schemas.openxmlformats.org/officeDocument/2006/relationships" ref="I2060" r:id="rId5914"/>
    <hyperlink xmlns:r="http://schemas.openxmlformats.org/officeDocument/2006/relationships" ref="J2060" r:id="rId5915"/>
    <hyperlink xmlns:r="http://schemas.openxmlformats.org/officeDocument/2006/relationships" ref="I2061" r:id="rId5916"/>
    <hyperlink xmlns:r="http://schemas.openxmlformats.org/officeDocument/2006/relationships" ref="J2061" r:id="rId5917"/>
    <hyperlink xmlns:r="http://schemas.openxmlformats.org/officeDocument/2006/relationships" ref="K2061" r:id="rId5918"/>
    <hyperlink xmlns:r="http://schemas.openxmlformats.org/officeDocument/2006/relationships" ref="I2062" r:id="rId5919"/>
    <hyperlink xmlns:r="http://schemas.openxmlformats.org/officeDocument/2006/relationships" ref="J2062" r:id="rId5920"/>
    <hyperlink xmlns:r="http://schemas.openxmlformats.org/officeDocument/2006/relationships" ref="K2062" r:id="rId5921"/>
    <hyperlink xmlns:r="http://schemas.openxmlformats.org/officeDocument/2006/relationships" ref="I2063" r:id="rId5922"/>
    <hyperlink xmlns:r="http://schemas.openxmlformats.org/officeDocument/2006/relationships" ref="J2063" r:id="rId5923"/>
    <hyperlink xmlns:r="http://schemas.openxmlformats.org/officeDocument/2006/relationships" ref="K2063" r:id="rId5924"/>
    <hyperlink xmlns:r="http://schemas.openxmlformats.org/officeDocument/2006/relationships" ref="I2064" r:id="rId5925"/>
    <hyperlink xmlns:r="http://schemas.openxmlformats.org/officeDocument/2006/relationships" ref="J2064" r:id="rId5926"/>
    <hyperlink xmlns:r="http://schemas.openxmlformats.org/officeDocument/2006/relationships" ref="K2064" r:id="rId5927"/>
    <hyperlink xmlns:r="http://schemas.openxmlformats.org/officeDocument/2006/relationships" ref="I2065" r:id="rId5928"/>
    <hyperlink xmlns:r="http://schemas.openxmlformats.org/officeDocument/2006/relationships" ref="J2065" r:id="rId5929"/>
    <hyperlink xmlns:r="http://schemas.openxmlformats.org/officeDocument/2006/relationships" ref="K2065" r:id="rId5930"/>
    <hyperlink xmlns:r="http://schemas.openxmlformats.org/officeDocument/2006/relationships" ref="I2066" r:id="rId5931"/>
    <hyperlink xmlns:r="http://schemas.openxmlformats.org/officeDocument/2006/relationships" ref="J2066" r:id="rId5932"/>
    <hyperlink xmlns:r="http://schemas.openxmlformats.org/officeDocument/2006/relationships" ref="K2066" r:id="rId5933"/>
    <hyperlink xmlns:r="http://schemas.openxmlformats.org/officeDocument/2006/relationships" ref="I2067" r:id="rId5934"/>
    <hyperlink xmlns:r="http://schemas.openxmlformats.org/officeDocument/2006/relationships" ref="J2067" r:id="rId5935"/>
    <hyperlink xmlns:r="http://schemas.openxmlformats.org/officeDocument/2006/relationships" ref="K2067" r:id="rId5936"/>
    <hyperlink xmlns:r="http://schemas.openxmlformats.org/officeDocument/2006/relationships" ref="I2068" r:id="rId5937"/>
    <hyperlink xmlns:r="http://schemas.openxmlformats.org/officeDocument/2006/relationships" ref="J2068" r:id="rId5938"/>
    <hyperlink xmlns:r="http://schemas.openxmlformats.org/officeDocument/2006/relationships" ref="K2068" r:id="rId5939"/>
    <hyperlink xmlns:r="http://schemas.openxmlformats.org/officeDocument/2006/relationships" ref="I2069" r:id="rId5940"/>
    <hyperlink xmlns:r="http://schemas.openxmlformats.org/officeDocument/2006/relationships" ref="J2069" r:id="rId5941"/>
    <hyperlink xmlns:r="http://schemas.openxmlformats.org/officeDocument/2006/relationships" ref="K2069" r:id="rId5942"/>
    <hyperlink xmlns:r="http://schemas.openxmlformats.org/officeDocument/2006/relationships" ref="I2070" r:id="rId5943"/>
    <hyperlink xmlns:r="http://schemas.openxmlformats.org/officeDocument/2006/relationships" ref="J2070" r:id="rId5944"/>
    <hyperlink xmlns:r="http://schemas.openxmlformats.org/officeDocument/2006/relationships" ref="K2070" r:id="rId5945"/>
    <hyperlink xmlns:r="http://schemas.openxmlformats.org/officeDocument/2006/relationships" ref="I2071" r:id="rId5946"/>
    <hyperlink xmlns:r="http://schemas.openxmlformats.org/officeDocument/2006/relationships" ref="J2071" r:id="rId5947"/>
    <hyperlink xmlns:r="http://schemas.openxmlformats.org/officeDocument/2006/relationships" ref="K2071" r:id="rId5948"/>
    <hyperlink xmlns:r="http://schemas.openxmlformats.org/officeDocument/2006/relationships" ref="I2072" r:id="rId5949"/>
    <hyperlink xmlns:r="http://schemas.openxmlformats.org/officeDocument/2006/relationships" ref="J2072" r:id="rId5950"/>
    <hyperlink xmlns:r="http://schemas.openxmlformats.org/officeDocument/2006/relationships" ref="I2073" r:id="rId5951"/>
    <hyperlink xmlns:r="http://schemas.openxmlformats.org/officeDocument/2006/relationships" ref="J2073" r:id="rId5952"/>
    <hyperlink xmlns:r="http://schemas.openxmlformats.org/officeDocument/2006/relationships" ref="K2073" r:id="rId5953"/>
    <hyperlink xmlns:r="http://schemas.openxmlformats.org/officeDocument/2006/relationships" ref="I2074" r:id="rId5954"/>
    <hyperlink xmlns:r="http://schemas.openxmlformats.org/officeDocument/2006/relationships" ref="J2074" r:id="rId5955"/>
    <hyperlink xmlns:r="http://schemas.openxmlformats.org/officeDocument/2006/relationships" ref="K2074" r:id="rId5956"/>
    <hyperlink xmlns:r="http://schemas.openxmlformats.org/officeDocument/2006/relationships" ref="I2075" r:id="rId5957"/>
    <hyperlink xmlns:r="http://schemas.openxmlformats.org/officeDocument/2006/relationships" ref="J2075" r:id="rId5958"/>
    <hyperlink xmlns:r="http://schemas.openxmlformats.org/officeDocument/2006/relationships" ref="K2075" r:id="rId5959"/>
    <hyperlink xmlns:r="http://schemas.openxmlformats.org/officeDocument/2006/relationships" ref="I2076" r:id="rId5960"/>
    <hyperlink xmlns:r="http://schemas.openxmlformats.org/officeDocument/2006/relationships" ref="J2076" r:id="rId5961"/>
    <hyperlink xmlns:r="http://schemas.openxmlformats.org/officeDocument/2006/relationships" ref="K2076" r:id="rId5962"/>
    <hyperlink xmlns:r="http://schemas.openxmlformats.org/officeDocument/2006/relationships" ref="I2077" r:id="rId5963"/>
    <hyperlink xmlns:r="http://schemas.openxmlformats.org/officeDocument/2006/relationships" ref="J2077" r:id="rId5964"/>
    <hyperlink xmlns:r="http://schemas.openxmlformats.org/officeDocument/2006/relationships" ref="K2077" r:id="rId5965"/>
    <hyperlink xmlns:r="http://schemas.openxmlformats.org/officeDocument/2006/relationships" ref="I2078" r:id="rId5966"/>
    <hyperlink xmlns:r="http://schemas.openxmlformats.org/officeDocument/2006/relationships" ref="J2078" r:id="rId5967"/>
    <hyperlink xmlns:r="http://schemas.openxmlformats.org/officeDocument/2006/relationships" ref="K2078" r:id="rId5968"/>
    <hyperlink xmlns:r="http://schemas.openxmlformats.org/officeDocument/2006/relationships" ref="I2079" r:id="rId5969"/>
    <hyperlink xmlns:r="http://schemas.openxmlformats.org/officeDocument/2006/relationships" ref="J2079" r:id="rId5970"/>
    <hyperlink xmlns:r="http://schemas.openxmlformats.org/officeDocument/2006/relationships" ref="K2079" r:id="rId5971"/>
    <hyperlink xmlns:r="http://schemas.openxmlformats.org/officeDocument/2006/relationships" ref="I2080" r:id="rId5972"/>
    <hyperlink xmlns:r="http://schemas.openxmlformats.org/officeDocument/2006/relationships" ref="J2080" r:id="rId5973"/>
    <hyperlink xmlns:r="http://schemas.openxmlformats.org/officeDocument/2006/relationships" ref="K2080" r:id="rId5974"/>
    <hyperlink xmlns:r="http://schemas.openxmlformats.org/officeDocument/2006/relationships" ref="I2081" r:id="rId5975"/>
    <hyperlink xmlns:r="http://schemas.openxmlformats.org/officeDocument/2006/relationships" ref="J2081" r:id="rId5976"/>
    <hyperlink xmlns:r="http://schemas.openxmlformats.org/officeDocument/2006/relationships" ref="K2081" r:id="rId5977"/>
    <hyperlink xmlns:r="http://schemas.openxmlformats.org/officeDocument/2006/relationships" ref="I2082" r:id="rId5978"/>
    <hyperlink xmlns:r="http://schemas.openxmlformats.org/officeDocument/2006/relationships" ref="J2082" r:id="rId5979"/>
    <hyperlink xmlns:r="http://schemas.openxmlformats.org/officeDocument/2006/relationships" ref="K2082" r:id="rId5980"/>
    <hyperlink xmlns:r="http://schemas.openxmlformats.org/officeDocument/2006/relationships" ref="I2083" r:id="rId5981"/>
    <hyperlink xmlns:r="http://schemas.openxmlformats.org/officeDocument/2006/relationships" ref="J2083" r:id="rId5982"/>
    <hyperlink xmlns:r="http://schemas.openxmlformats.org/officeDocument/2006/relationships" ref="K2083" r:id="rId5983"/>
    <hyperlink xmlns:r="http://schemas.openxmlformats.org/officeDocument/2006/relationships" ref="I2084" r:id="rId5984"/>
    <hyperlink xmlns:r="http://schemas.openxmlformats.org/officeDocument/2006/relationships" ref="J2084" r:id="rId5985"/>
    <hyperlink xmlns:r="http://schemas.openxmlformats.org/officeDocument/2006/relationships" ref="K2084" r:id="rId5986"/>
    <hyperlink xmlns:r="http://schemas.openxmlformats.org/officeDocument/2006/relationships" ref="I2085" r:id="rId5987"/>
    <hyperlink xmlns:r="http://schemas.openxmlformats.org/officeDocument/2006/relationships" ref="J2085" r:id="rId5988"/>
    <hyperlink xmlns:r="http://schemas.openxmlformats.org/officeDocument/2006/relationships" ref="I2086" r:id="rId5989"/>
    <hyperlink xmlns:r="http://schemas.openxmlformats.org/officeDocument/2006/relationships" ref="J2086" r:id="rId5990"/>
    <hyperlink xmlns:r="http://schemas.openxmlformats.org/officeDocument/2006/relationships" ref="I2087" r:id="rId5991"/>
    <hyperlink xmlns:r="http://schemas.openxmlformats.org/officeDocument/2006/relationships" ref="J2087" r:id="rId5992"/>
    <hyperlink xmlns:r="http://schemas.openxmlformats.org/officeDocument/2006/relationships" ref="K2087" r:id="rId5993"/>
    <hyperlink xmlns:r="http://schemas.openxmlformats.org/officeDocument/2006/relationships" ref="I2088" r:id="rId5994"/>
    <hyperlink xmlns:r="http://schemas.openxmlformats.org/officeDocument/2006/relationships" ref="J2088" r:id="rId5995"/>
    <hyperlink xmlns:r="http://schemas.openxmlformats.org/officeDocument/2006/relationships" ref="K2088" r:id="rId5996"/>
    <hyperlink xmlns:r="http://schemas.openxmlformats.org/officeDocument/2006/relationships" ref="I2089" r:id="rId5997"/>
    <hyperlink xmlns:r="http://schemas.openxmlformats.org/officeDocument/2006/relationships" ref="J2089" r:id="rId5998"/>
    <hyperlink xmlns:r="http://schemas.openxmlformats.org/officeDocument/2006/relationships" ref="K2089" r:id="rId5999"/>
    <hyperlink xmlns:r="http://schemas.openxmlformats.org/officeDocument/2006/relationships" ref="I2090" r:id="rId6000"/>
    <hyperlink xmlns:r="http://schemas.openxmlformats.org/officeDocument/2006/relationships" ref="J2090" r:id="rId6001"/>
    <hyperlink xmlns:r="http://schemas.openxmlformats.org/officeDocument/2006/relationships" ref="K2090" r:id="rId6002"/>
    <hyperlink xmlns:r="http://schemas.openxmlformats.org/officeDocument/2006/relationships" ref="I2091" r:id="rId6003"/>
    <hyperlink xmlns:r="http://schemas.openxmlformats.org/officeDocument/2006/relationships" ref="J2091" r:id="rId6004"/>
    <hyperlink xmlns:r="http://schemas.openxmlformats.org/officeDocument/2006/relationships" ref="K2091" r:id="rId6005"/>
    <hyperlink xmlns:r="http://schemas.openxmlformats.org/officeDocument/2006/relationships" ref="I2092" r:id="rId6006"/>
    <hyperlink xmlns:r="http://schemas.openxmlformats.org/officeDocument/2006/relationships" ref="J2092" r:id="rId6007"/>
    <hyperlink xmlns:r="http://schemas.openxmlformats.org/officeDocument/2006/relationships" ref="K2092" r:id="rId6008"/>
    <hyperlink xmlns:r="http://schemas.openxmlformats.org/officeDocument/2006/relationships" ref="I2093" r:id="rId6009"/>
    <hyperlink xmlns:r="http://schemas.openxmlformats.org/officeDocument/2006/relationships" ref="J2093" r:id="rId6010"/>
    <hyperlink xmlns:r="http://schemas.openxmlformats.org/officeDocument/2006/relationships" ref="K2093" r:id="rId6011"/>
    <hyperlink xmlns:r="http://schemas.openxmlformats.org/officeDocument/2006/relationships" ref="I2094" r:id="rId6012"/>
    <hyperlink xmlns:r="http://schemas.openxmlformats.org/officeDocument/2006/relationships" ref="J2094" r:id="rId6013"/>
    <hyperlink xmlns:r="http://schemas.openxmlformats.org/officeDocument/2006/relationships" ref="K2094" r:id="rId6014"/>
    <hyperlink xmlns:r="http://schemas.openxmlformats.org/officeDocument/2006/relationships" ref="I2095" r:id="rId6015"/>
    <hyperlink xmlns:r="http://schemas.openxmlformats.org/officeDocument/2006/relationships" ref="J2095" r:id="rId6016"/>
    <hyperlink xmlns:r="http://schemas.openxmlformats.org/officeDocument/2006/relationships" ref="K2095" r:id="rId6017"/>
    <hyperlink xmlns:r="http://schemas.openxmlformats.org/officeDocument/2006/relationships" ref="I2096" r:id="rId6018"/>
    <hyperlink xmlns:r="http://schemas.openxmlformats.org/officeDocument/2006/relationships" ref="J2096" r:id="rId6019"/>
    <hyperlink xmlns:r="http://schemas.openxmlformats.org/officeDocument/2006/relationships" ref="K2096" r:id="rId6020"/>
    <hyperlink xmlns:r="http://schemas.openxmlformats.org/officeDocument/2006/relationships" ref="I2097" r:id="rId6021"/>
    <hyperlink xmlns:r="http://schemas.openxmlformats.org/officeDocument/2006/relationships" ref="J2097" r:id="rId6022"/>
    <hyperlink xmlns:r="http://schemas.openxmlformats.org/officeDocument/2006/relationships" ref="K2097" r:id="rId6023"/>
    <hyperlink xmlns:r="http://schemas.openxmlformats.org/officeDocument/2006/relationships" ref="I2098" r:id="rId6024"/>
    <hyperlink xmlns:r="http://schemas.openxmlformats.org/officeDocument/2006/relationships" ref="J2098" r:id="rId6025"/>
    <hyperlink xmlns:r="http://schemas.openxmlformats.org/officeDocument/2006/relationships" ref="K2098" r:id="rId6026"/>
    <hyperlink xmlns:r="http://schemas.openxmlformats.org/officeDocument/2006/relationships" ref="I2099" r:id="rId6027"/>
    <hyperlink xmlns:r="http://schemas.openxmlformats.org/officeDocument/2006/relationships" ref="J2099" r:id="rId6028"/>
    <hyperlink xmlns:r="http://schemas.openxmlformats.org/officeDocument/2006/relationships" ref="K2099" r:id="rId6029"/>
    <hyperlink xmlns:r="http://schemas.openxmlformats.org/officeDocument/2006/relationships" ref="I2100" r:id="rId6030"/>
    <hyperlink xmlns:r="http://schemas.openxmlformats.org/officeDocument/2006/relationships" ref="J2100" r:id="rId6031"/>
    <hyperlink xmlns:r="http://schemas.openxmlformats.org/officeDocument/2006/relationships" ref="K2100" r:id="rId6032"/>
    <hyperlink xmlns:r="http://schemas.openxmlformats.org/officeDocument/2006/relationships" ref="I2101" r:id="rId6033"/>
    <hyperlink xmlns:r="http://schemas.openxmlformats.org/officeDocument/2006/relationships" ref="J2101" r:id="rId6034"/>
    <hyperlink xmlns:r="http://schemas.openxmlformats.org/officeDocument/2006/relationships" ref="K2101" r:id="rId6035"/>
    <hyperlink xmlns:r="http://schemas.openxmlformats.org/officeDocument/2006/relationships" ref="I2102" r:id="rId6036"/>
    <hyperlink xmlns:r="http://schemas.openxmlformats.org/officeDocument/2006/relationships" ref="J2102" r:id="rId6037"/>
    <hyperlink xmlns:r="http://schemas.openxmlformats.org/officeDocument/2006/relationships" ref="K2102" r:id="rId6038"/>
    <hyperlink xmlns:r="http://schemas.openxmlformats.org/officeDocument/2006/relationships" ref="I2103" r:id="rId6039"/>
    <hyperlink xmlns:r="http://schemas.openxmlformats.org/officeDocument/2006/relationships" ref="J2103" r:id="rId6040"/>
    <hyperlink xmlns:r="http://schemas.openxmlformats.org/officeDocument/2006/relationships" ref="K2103" r:id="rId6041"/>
    <hyperlink xmlns:r="http://schemas.openxmlformats.org/officeDocument/2006/relationships" ref="I2104" r:id="rId6042"/>
    <hyperlink xmlns:r="http://schemas.openxmlformats.org/officeDocument/2006/relationships" ref="J2104" r:id="rId6043"/>
    <hyperlink xmlns:r="http://schemas.openxmlformats.org/officeDocument/2006/relationships" ref="K2104" r:id="rId6044"/>
    <hyperlink xmlns:r="http://schemas.openxmlformats.org/officeDocument/2006/relationships" ref="I2105" r:id="rId6045"/>
    <hyperlink xmlns:r="http://schemas.openxmlformats.org/officeDocument/2006/relationships" ref="J2105" r:id="rId6046"/>
    <hyperlink xmlns:r="http://schemas.openxmlformats.org/officeDocument/2006/relationships" ref="K2105" r:id="rId6047"/>
    <hyperlink xmlns:r="http://schemas.openxmlformats.org/officeDocument/2006/relationships" ref="I2106" r:id="rId6048"/>
    <hyperlink xmlns:r="http://schemas.openxmlformats.org/officeDocument/2006/relationships" ref="J2106" r:id="rId6049"/>
    <hyperlink xmlns:r="http://schemas.openxmlformats.org/officeDocument/2006/relationships" ref="K2106" r:id="rId6050"/>
    <hyperlink xmlns:r="http://schemas.openxmlformats.org/officeDocument/2006/relationships" ref="I2107" r:id="rId6051"/>
    <hyperlink xmlns:r="http://schemas.openxmlformats.org/officeDocument/2006/relationships" ref="J2107" r:id="rId6052"/>
    <hyperlink xmlns:r="http://schemas.openxmlformats.org/officeDocument/2006/relationships" ref="K2107" r:id="rId6053"/>
    <hyperlink xmlns:r="http://schemas.openxmlformats.org/officeDocument/2006/relationships" ref="I2108" r:id="rId6054"/>
    <hyperlink xmlns:r="http://schemas.openxmlformats.org/officeDocument/2006/relationships" ref="J2108" r:id="rId6055"/>
    <hyperlink xmlns:r="http://schemas.openxmlformats.org/officeDocument/2006/relationships" ref="K2108" r:id="rId6056"/>
    <hyperlink xmlns:r="http://schemas.openxmlformats.org/officeDocument/2006/relationships" ref="I2109" r:id="rId6057"/>
    <hyperlink xmlns:r="http://schemas.openxmlformats.org/officeDocument/2006/relationships" ref="J2109" r:id="rId6058"/>
    <hyperlink xmlns:r="http://schemas.openxmlformats.org/officeDocument/2006/relationships" ref="K2109" r:id="rId6059"/>
    <hyperlink xmlns:r="http://schemas.openxmlformats.org/officeDocument/2006/relationships" ref="I2110" r:id="rId6060"/>
    <hyperlink xmlns:r="http://schemas.openxmlformats.org/officeDocument/2006/relationships" ref="J2110" r:id="rId6061"/>
    <hyperlink xmlns:r="http://schemas.openxmlformats.org/officeDocument/2006/relationships" ref="K2110" r:id="rId6062"/>
    <hyperlink xmlns:r="http://schemas.openxmlformats.org/officeDocument/2006/relationships" ref="I2111" r:id="rId6063"/>
    <hyperlink xmlns:r="http://schemas.openxmlformats.org/officeDocument/2006/relationships" ref="J2111" r:id="rId6064"/>
    <hyperlink xmlns:r="http://schemas.openxmlformats.org/officeDocument/2006/relationships" ref="K2111" r:id="rId6065"/>
    <hyperlink xmlns:r="http://schemas.openxmlformats.org/officeDocument/2006/relationships" ref="I2112" r:id="rId6066"/>
    <hyperlink xmlns:r="http://schemas.openxmlformats.org/officeDocument/2006/relationships" ref="J2112" r:id="rId6067"/>
    <hyperlink xmlns:r="http://schemas.openxmlformats.org/officeDocument/2006/relationships" ref="K2112" r:id="rId6068"/>
    <hyperlink xmlns:r="http://schemas.openxmlformats.org/officeDocument/2006/relationships" ref="I2113" r:id="rId6069"/>
    <hyperlink xmlns:r="http://schemas.openxmlformats.org/officeDocument/2006/relationships" ref="J2113" r:id="rId6070"/>
    <hyperlink xmlns:r="http://schemas.openxmlformats.org/officeDocument/2006/relationships" ref="K2113" r:id="rId6071"/>
    <hyperlink xmlns:r="http://schemas.openxmlformats.org/officeDocument/2006/relationships" ref="I2114" r:id="rId6072"/>
    <hyperlink xmlns:r="http://schemas.openxmlformats.org/officeDocument/2006/relationships" ref="J2114" r:id="rId6073"/>
    <hyperlink xmlns:r="http://schemas.openxmlformats.org/officeDocument/2006/relationships" ref="I2115" r:id="rId6074"/>
    <hyperlink xmlns:r="http://schemas.openxmlformats.org/officeDocument/2006/relationships" ref="J2115" r:id="rId6075"/>
    <hyperlink xmlns:r="http://schemas.openxmlformats.org/officeDocument/2006/relationships" ref="K2115" r:id="rId6076"/>
    <hyperlink xmlns:r="http://schemas.openxmlformats.org/officeDocument/2006/relationships" ref="I2116" r:id="rId6077"/>
    <hyperlink xmlns:r="http://schemas.openxmlformats.org/officeDocument/2006/relationships" ref="J2116" r:id="rId6078"/>
    <hyperlink xmlns:r="http://schemas.openxmlformats.org/officeDocument/2006/relationships" ref="K2116" r:id="rId6079"/>
    <hyperlink xmlns:r="http://schemas.openxmlformats.org/officeDocument/2006/relationships" ref="I2117" r:id="rId6080"/>
    <hyperlink xmlns:r="http://schemas.openxmlformats.org/officeDocument/2006/relationships" ref="J2117" r:id="rId6081"/>
    <hyperlink xmlns:r="http://schemas.openxmlformats.org/officeDocument/2006/relationships" ref="K2117" r:id="rId6082"/>
    <hyperlink xmlns:r="http://schemas.openxmlformats.org/officeDocument/2006/relationships" ref="I2118" r:id="rId6083"/>
    <hyperlink xmlns:r="http://schemas.openxmlformats.org/officeDocument/2006/relationships" ref="J2118" r:id="rId6084"/>
    <hyperlink xmlns:r="http://schemas.openxmlformats.org/officeDocument/2006/relationships" ref="K2118" r:id="rId6085"/>
    <hyperlink xmlns:r="http://schemas.openxmlformats.org/officeDocument/2006/relationships" ref="I2119" r:id="rId6086"/>
    <hyperlink xmlns:r="http://schemas.openxmlformats.org/officeDocument/2006/relationships" ref="J2119" r:id="rId6087"/>
    <hyperlink xmlns:r="http://schemas.openxmlformats.org/officeDocument/2006/relationships" ref="K2119" r:id="rId6088"/>
    <hyperlink xmlns:r="http://schemas.openxmlformats.org/officeDocument/2006/relationships" ref="I2120" r:id="rId6089"/>
    <hyperlink xmlns:r="http://schemas.openxmlformats.org/officeDocument/2006/relationships" ref="J2120" r:id="rId6090"/>
    <hyperlink xmlns:r="http://schemas.openxmlformats.org/officeDocument/2006/relationships" ref="K2120" r:id="rId6091"/>
    <hyperlink xmlns:r="http://schemas.openxmlformats.org/officeDocument/2006/relationships" ref="I2121" r:id="rId6092"/>
    <hyperlink xmlns:r="http://schemas.openxmlformats.org/officeDocument/2006/relationships" ref="J2121" r:id="rId6093"/>
    <hyperlink xmlns:r="http://schemas.openxmlformats.org/officeDocument/2006/relationships" ref="K2121" r:id="rId6094"/>
    <hyperlink xmlns:r="http://schemas.openxmlformats.org/officeDocument/2006/relationships" ref="I2122" r:id="rId6095"/>
    <hyperlink xmlns:r="http://schemas.openxmlformats.org/officeDocument/2006/relationships" ref="J2122" r:id="rId6096"/>
    <hyperlink xmlns:r="http://schemas.openxmlformats.org/officeDocument/2006/relationships" ref="K2122" r:id="rId6097"/>
    <hyperlink xmlns:r="http://schemas.openxmlformats.org/officeDocument/2006/relationships" ref="I2123" r:id="rId6098"/>
    <hyperlink xmlns:r="http://schemas.openxmlformats.org/officeDocument/2006/relationships" ref="J2123" r:id="rId6099"/>
    <hyperlink xmlns:r="http://schemas.openxmlformats.org/officeDocument/2006/relationships" ref="K2123" r:id="rId6100"/>
    <hyperlink xmlns:r="http://schemas.openxmlformats.org/officeDocument/2006/relationships" ref="I2124" r:id="rId6101"/>
    <hyperlink xmlns:r="http://schemas.openxmlformats.org/officeDocument/2006/relationships" ref="J2124" r:id="rId6102"/>
    <hyperlink xmlns:r="http://schemas.openxmlformats.org/officeDocument/2006/relationships" ref="K2124" r:id="rId6103"/>
    <hyperlink xmlns:r="http://schemas.openxmlformats.org/officeDocument/2006/relationships" ref="I2125" r:id="rId6104"/>
    <hyperlink xmlns:r="http://schemas.openxmlformats.org/officeDocument/2006/relationships" ref="J2125" r:id="rId6105"/>
    <hyperlink xmlns:r="http://schemas.openxmlformats.org/officeDocument/2006/relationships" ref="K2125" r:id="rId6106"/>
    <hyperlink xmlns:r="http://schemas.openxmlformats.org/officeDocument/2006/relationships" ref="I2126" r:id="rId6107"/>
    <hyperlink xmlns:r="http://schemas.openxmlformats.org/officeDocument/2006/relationships" ref="J2126" r:id="rId6108"/>
    <hyperlink xmlns:r="http://schemas.openxmlformats.org/officeDocument/2006/relationships" ref="K2126" r:id="rId6109"/>
    <hyperlink xmlns:r="http://schemas.openxmlformats.org/officeDocument/2006/relationships" ref="I2127" r:id="rId6110"/>
    <hyperlink xmlns:r="http://schemas.openxmlformats.org/officeDocument/2006/relationships" ref="J2127" r:id="rId6111"/>
    <hyperlink xmlns:r="http://schemas.openxmlformats.org/officeDocument/2006/relationships" ref="K2127" r:id="rId6112"/>
    <hyperlink xmlns:r="http://schemas.openxmlformats.org/officeDocument/2006/relationships" ref="I2128" r:id="rId6113"/>
    <hyperlink xmlns:r="http://schemas.openxmlformats.org/officeDocument/2006/relationships" ref="J2128" r:id="rId6114"/>
    <hyperlink xmlns:r="http://schemas.openxmlformats.org/officeDocument/2006/relationships" ref="K2128" r:id="rId6115"/>
    <hyperlink xmlns:r="http://schemas.openxmlformats.org/officeDocument/2006/relationships" ref="I2129" r:id="rId6116"/>
    <hyperlink xmlns:r="http://schemas.openxmlformats.org/officeDocument/2006/relationships" ref="J2129" r:id="rId6117"/>
    <hyperlink xmlns:r="http://schemas.openxmlformats.org/officeDocument/2006/relationships" ref="K2129" r:id="rId6118"/>
    <hyperlink xmlns:r="http://schemas.openxmlformats.org/officeDocument/2006/relationships" ref="I2130" r:id="rId6119"/>
    <hyperlink xmlns:r="http://schemas.openxmlformats.org/officeDocument/2006/relationships" ref="J2130" r:id="rId6120"/>
    <hyperlink xmlns:r="http://schemas.openxmlformats.org/officeDocument/2006/relationships" ref="K2130" r:id="rId6121"/>
    <hyperlink xmlns:r="http://schemas.openxmlformats.org/officeDocument/2006/relationships" ref="I2131" r:id="rId6122"/>
    <hyperlink xmlns:r="http://schemas.openxmlformats.org/officeDocument/2006/relationships" ref="J2131" r:id="rId6123"/>
    <hyperlink xmlns:r="http://schemas.openxmlformats.org/officeDocument/2006/relationships" ref="I2132" r:id="rId6124"/>
    <hyperlink xmlns:r="http://schemas.openxmlformats.org/officeDocument/2006/relationships" ref="J2132" r:id="rId6125"/>
    <hyperlink xmlns:r="http://schemas.openxmlformats.org/officeDocument/2006/relationships" ref="I2133" r:id="rId6126"/>
    <hyperlink xmlns:r="http://schemas.openxmlformats.org/officeDocument/2006/relationships" ref="J2133" r:id="rId6127"/>
    <hyperlink xmlns:r="http://schemas.openxmlformats.org/officeDocument/2006/relationships" ref="K2133" r:id="rId6128"/>
    <hyperlink xmlns:r="http://schemas.openxmlformats.org/officeDocument/2006/relationships" ref="I2134" r:id="rId6129"/>
    <hyperlink xmlns:r="http://schemas.openxmlformats.org/officeDocument/2006/relationships" ref="J2134" r:id="rId6130"/>
    <hyperlink xmlns:r="http://schemas.openxmlformats.org/officeDocument/2006/relationships" ref="K2134" r:id="rId6131"/>
    <hyperlink xmlns:r="http://schemas.openxmlformats.org/officeDocument/2006/relationships" ref="I2135" r:id="rId6132"/>
    <hyperlink xmlns:r="http://schemas.openxmlformats.org/officeDocument/2006/relationships" ref="J2135" r:id="rId6133"/>
    <hyperlink xmlns:r="http://schemas.openxmlformats.org/officeDocument/2006/relationships" ref="K2135" r:id="rId6134"/>
    <hyperlink xmlns:r="http://schemas.openxmlformats.org/officeDocument/2006/relationships" ref="I2136" r:id="rId6135"/>
    <hyperlink xmlns:r="http://schemas.openxmlformats.org/officeDocument/2006/relationships" ref="J2136" r:id="rId6136"/>
    <hyperlink xmlns:r="http://schemas.openxmlformats.org/officeDocument/2006/relationships" ref="K2136" r:id="rId6137"/>
    <hyperlink xmlns:r="http://schemas.openxmlformats.org/officeDocument/2006/relationships" ref="I2137" r:id="rId6138"/>
    <hyperlink xmlns:r="http://schemas.openxmlformats.org/officeDocument/2006/relationships" ref="J2137" r:id="rId6139"/>
    <hyperlink xmlns:r="http://schemas.openxmlformats.org/officeDocument/2006/relationships" ref="K2137" r:id="rId6140"/>
    <hyperlink xmlns:r="http://schemas.openxmlformats.org/officeDocument/2006/relationships" ref="I2138" r:id="rId6141"/>
    <hyperlink xmlns:r="http://schemas.openxmlformats.org/officeDocument/2006/relationships" ref="J2138" r:id="rId6142"/>
    <hyperlink xmlns:r="http://schemas.openxmlformats.org/officeDocument/2006/relationships" ref="K2138" r:id="rId6143"/>
    <hyperlink xmlns:r="http://schemas.openxmlformats.org/officeDocument/2006/relationships" ref="I2139" r:id="rId6144"/>
    <hyperlink xmlns:r="http://schemas.openxmlformats.org/officeDocument/2006/relationships" ref="J2139" r:id="rId6145"/>
    <hyperlink xmlns:r="http://schemas.openxmlformats.org/officeDocument/2006/relationships" ref="K2139" r:id="rId6146"/>
    <hyperlink xmlns:r="http://schemas.openxmlformats.org/officeDocument/2006/relationships" ref="I2140" r:id="rId6147"/>
    <hyperlink xmlns:r="http://schemas.openxmlformats.org/officeDocument/2006/relationships" ref="J2140" r:id="rId6148"/>
    <hyperlink xmlns:r="http://schemas.openxmlformats.org/officeDocument/2006/relationships" ref="K2140" r:id="rId6149"/>
    <hyperlink xmlns:r="http://schemas.openxmlformats.org/officeDocument/2006/relationships" ref="I2141" r:id="rId6150"/>
    <hyperlink xmlns:r="http://schemas.openxmlformats.org/officeDocument/2006/relationships" ref="J2141" r:id="rId6151"/>
    <hyperlink xmlns:r="http://schemas.openxmlformats.org/officeDocument/2006/relationships" ref="K2141" r:id="rId6152"/>
    <hyperlink xmlns:r="http://schemas.openxmlformats.org/officeDocument/2006/relationships" ref="I2142" r:id="rId6153"/>
    <hyperlink xmlns:r="http://schemas.openxmlformats.org/officeDocument/2006/relationships" ref="J2142" r:id="rId6154"/>
    <hyperlink xmlns:r="http://schemas.openxmlformats.org/officeDocument/2006/relationships" ref="K2142" r:id="rId6155"/>
    <hyperlink xmlns:r="http://schemas.openxmlformats.org/officeDocument/2006/relationships" ref="I2143" r:id="rId6156"/>
    <hyperlink xmlns:r="http://schemas.openxmlformats.org/officeDocument/2006/relationships" ref="J2143" r:id="rId6157"/>
    <hyperlink xmlns:r="http://schemas.openxmlformats.org/officeDocument/2006/relationships" ref="K2143" r:id="rId6158"/>
    <hyperlink xmlns:r="http://schemas.openxmlformats.org/officeDocument/2006/relationships" ref="I2144" r:id="rId6159"/>
    <hyperlink xmlns:r="http://schemas.openxmlformats.org/officeDocument/2006/relationships" ref="J2144" r:id="rId6160"/>
    <hyperlink xmlns:r="http://schemas.openxmlformats.org/officeDocument/2006/relationships" ref="K2144" r:id="rId6161"/>
    <hyperlink xmlns:r="http://schemas.openxmlformats.org/officeDocument/2006/relationships" ref="I2145" r:id="rId6162"/>
    <hyperlink xmlns:r="http://schemas.openxmlformats.org/officeDocument/2006/relationships" ref="J2145" r:id="rId6163"/>
    <hyperlink xmlns:r="http://schemas.openxmlformats.org/officeDocument/2006/relationships" ref="K2145" r:id="rId6164"/>
    <hyperlink xmlns:r="http://schemas.openxmlformats.org/officeDocument/2006/relationships" ref="I2146" r:id="rId6165"/>
    <hyperlink xmlns:r="http://schemas.openxmlformats.org/officeDocument/2006/relationships" ref="J2146" r:id="rId6166"/>
    <hyperlink xmlns:r="http://schemas.openxmlformats.org/officeDocument/2006/relationships" ref="K2146" r:id="rId6167"/>
    <hyperlink xmlns:r="http://schemas.openxmlformats.org/officeDocument/2006/relationships" ref="I2147" r:id="rId6168"/>
    <hyperlink xmlns:r="http://schemas.openxmlformats.org/officeDocument/2006/relationships" ref="J2147" r:id="rId6169"/>
    <hyperlink xmlns:r="http://schemas.openxmlformats.org/officeDocument/2006/relationships" ref="K2147" r:id="rId6170"/>
    <hyperlink xmlns:r="http://schemas.openxmlformats.org/officeDocument/2006/relationships" ref="I2148" r:id="rId6171"/>
    <hyperlink xmlns:r="http://schemas.openxmlformats.org/officeDocument/2006/relationships" ref="J2148" r:id="rId6172"/>
    <hyperlink xmlns:r="http://schemas.openxmlformats.org/officeDocument/2006/relationships" ref="K2148" r:id="rId6173"/>
    <hyperlink xmlns:r="http://schemas.openxmlformats.org/officeDocument/2006/relationships" ref="I2149" r:id="rId6174"/>
    <hyperlink xmlns:r="http://schemas.openxmlformats.org/officeDocument/2006/relationships" ref="J2149" r:id="rId6175"/>
    <hyperlink xmlns:r="http://schemas.openxmlformats.org/officeDocument/2006/relationships" ref="K2149" r:id="rId6176"/>
    <hyperlink xmlns:r="http://schemas.openxmlformats.org/officeDocument/2006/relationships" ref="I2150" r:id="rId6177"/>
    <hyperlink xmlns:r="http://schemas.openxmlformats.org/officeDocument/2006/relationships" ref="J2150" r:id="rId6178"/>
    <hyperlink xmlns:r="http://schemas.openxmlformats.org/officeDocument/2006/relationships" ref="K2150" r:id="rId6179"/>
    <hyperlink xmlns:r="http://schemas.openxmlformats.org/officeDocument/2006/relationships" ref="I2151" r:id="rId6180"/>
    <hyperlink xmlns:r="http://schemas.openxmlformats.org/officeDocument/2006/relationships" ref="J2151" r:id="rId6181"/>
    <hyperlink xmlns:r="http://schemas.openxmlformats.org/officeDocument/2006/relationships" ref="K2151" r:id="rId6182"/>
    <hyperlink xmlns:r="http://schemas.openxmlformats.org/officeDocument/2006/relationships" ref="I2152" r:id="rId6183"/>
    <hyperlink xmlns:r="http://schemas.openxmlformats.org/officeDocument/2006/relationships" ref="J2152" r:id="rId6184"/>
    <hyperlink xmlns:r="http://schemas.openxmlformats.org/officeDocument/2006/relationships" ref="K2152" r:id="rId6185"/>
    <hyperlink xmlns:r="http://schemas.openxmlformats.org/officeDocument/2006/relationships" ref="I2153" r:id="rId6186"/>
    <hyperlink xmlns:r="http://schemas.openxmlformats.org/officeDocument/2006/relationships" ref="J2153" r:id="rId6187"/>
    <hyperlink xmlns:r="http://schemas.openxmlformats.org/officeDocument/2006/relationships" ref="I2154" r:id="rId6188"/>
    <hyperlink xmlns:r="http://schemas.openxmlformats.org/officeDocument/2006/relationships" ref="J2154" r:id="rId6189"/>
    <hyperlink xmlns:r="http://schemas.openxmlformats.org/officeDocument/2006/relationships" ref="I2155" r:id="rId6190"/>
    <hyperlink xmlns:r="http://schemas.openxmlformats.org/officeDocument/2006/relationships" ref="J2155" r:id="rId6191"/>
    <hyperlink xmlns:r="http://schemas.openxmlformats.org/officeDocument/2006/relationships" ref="I2156" r:id="rId6192"/>
    <hyperlink xmlns:r="http://schemas.openxmlformats.org/officeDocument/2006/relationships" ref="J2156" r:id="rId6193"/>
    <hyperlink xmlns:r="http://schemas.openxmlformats.org/officeDocument/2006/relationships" ref="K2156" r:id="rId6194"/>
    <hyperlink xmlns:r="http://schemas.openxmlformats.org/officeDocument/2006/relationships" ref="I2157" r:id="rId6195"/>
    <hyperlink xmlns:r="http://schemas.openxmlformats.org/officeDocument/2006/relationships" ref="J2157" r:id="rId6196"/>
    <hyperlink xmlns:r="http://schemas.openxmlformats.org/officeDocument/2006/relationships" ref="K2157" r:id="rId6197"/>
    <hyperlink xmlns:r="http://schemas.openxmlformats.org/officeDocument/2006/relationships" ref="I2158" r:id="rId6198"/>
    <hyperlink xmlns:r="http://schemas.openxmlformats.org/officeDocument/2006/relationships" ref="J2158" r:id="rId6199"/>
    <hyperlink xmlns:r="http://schemas.openxmlformats.org/officeDocument/2006/relationships" ref="K2158" r:id="rId6200"/>
    <hyperlink xmlns:r="http://schemas.openxmlformats.org/officeDocument/2006/relationships" ref="I2159" r:id="rId6201"/>
    <hyperlink xmlns:r="http://schemas.openxmlformats.org/officeDocument/2006/relationships" ref="J2159" r:id="rId6202"/>
    <hyperlink xmlns:r="http://schemas.openxmlformats.org/officeDocument/2006/relationships" ref="K2159" r:id="rId6203"/>
    <hyperlink xmlns:r="http://schemas.openxmlformats.org/officeDocument/2006/relationships" ref="I2160" r:id="rId6204"/>
    <hyperlink xmlns:r="http://schemas.openxmlformats.org/officeDocument/2006/relationships" ref="J2160" r:id="rId6205"/>
    <hyperlink xmlns:r="http://schemas.openxmlformats.org/officeDocument/2006/relationships" ref="K2160" r:id="rId6206"/>
    <hyperlink xmlns:r="http://schemas.openxmlformats.org/officeDocument/2006/relationships" ref="I2161" r:id="rId6207"/>
    <hyperlink xmlns:r="http://schemas.openxmlformats.org/officeDocument/2006/relationships" ref="J2161" r:id="rId6208"/>
    <hyperlink xmlns:r="http://schemas.openxmlformats.org/officeDocument/2006/relationships" ref="K2161" r:id="rId6209"/>
    <hyperlink xmlns:r="http://schemas.openxmlformats.org/officeDocument/2006/relationships" ref="I2162" r:id="rId6210"/>
    <hyperlink xmlns:r="http://schemas.openxmlformats.org/officeDocument/2006/relationships" ref="J2162" r:id="rId6211"/>
    <hyperlink xmlns:r="http://schemas.openxmlformats.org/officeDocument/2006/relationships" ref="K2162" r:id="rId6212"/>
    <hyperlink xmlns:r="http://schemas.openxmlformats.org/officeDocument/2006/relationships" ref="I2163" r:id="rId6213"/>
    <hyperlink xmlns:r="http://schemas.openxmlformats.org/officeDocument/2006/relationships" ref="J2163" r:id="rId6214"/>
    <hyperlink xmlns:r="http://schemas.openxmlformats.org/officeDocument/2006/relationships" ref="K2163" r:id="rId6215"/>
    <hyperlink xmlns:r="http://schemas.openxmlformats.org/officeDocument/2006/relationships" ref="I2164" r:id="rId6216"/>
    <hyperlink xmlns:r="http://schemas.openxmlformats.org/officeDocument/2006/relationships" ref="J2164" r:id="rId6217"/>
    <hyperlink xmlns:r="http://schemas.openxmlformats.org/officeDocument/2006/relationships" ref="K2164" r:id="rId6218"/>
    <hyperlink xmlns:r="http://schemas.openxmlformats.org/officeDocument/2006/relationships" ref="I2165" r:id="rId6219"/>
    <hyperlink xmlns:r="http://schemas.openxmlformats.org/officeDocument/2006/relationships" ref="J2165" r:id="rId6220"/>
    <hyperlink xmlns:r="http://schemas.openxmlformats.org/officeDocument/2006/relationships" ref="K2165" r:id="rId6221"/>
    <hyperlink xmlns:r="http://schemas.openxmlformats.org/officeDocument/2006/relationships" ref="I2166" r:id="rId6222"/>
    <hyperlink xmlns:r="http://schemas.openxmlformats.org/officeDocument/2006/relationships" ref="J2166" r:id="rId6223"/>
    <hyperlink xmlns:r="http://schemas.openxmlformats.org/officeDocument/2006/relationships" ref="K2166" r:id="rId6224"/>
    <hyperlink xmlns:r="http://schemas.openxmlformats.org/officeDocument/2006/relationships" ref="I2167" r:id="rId6225"/>
    <hyperlink xmlns:r="http://schemas.openxmlformats.org/officeDocument/2006/relationships" ref="J2167" r:id="rId6226"/>
    <hyperlink xmlns:r="http://schemas.openxmlformats.org/officeDocument/2006/relationships" ref="K2167" r:id="rId6227"/>
    <hyperlink xmlns:r="http://schemas.openxmlformats.org/officeDocument/2006/relationships" ref="I2168" r:id="rId6228"/>
    <hyperlink xmlns:r="http://schemas.openxmlformats.org/officeDocument/2006/relationships" ref="J2168" r:id="rId6229"/>
    <hyperlink xmlns:r="http://schemas.openxmlformats.org/officeDocument/2006/relationships" ref="K2168" r:id="rId6230"/>
    <hyperlink xmlns:r="http://schemas.openxmlformats.org/officeDocument/2006/relationships" ref="I2169" r:id="rId6231"/>
    <hyperlink xmlns:r="http://schemas.openxmlformats.org/officeDocument/2006/relationships" ref="J2169" r:id="rId6232"/>
    <hyperlink xmlns:r="http://schemas.openxmlformats.org/officeDocument/2006/relationships" ref="K2169" r:id="rId6233"/>
    <hyperlink xmlns:r="http://schemas.openxmlformats.org/officeDocument/2006/relationships" ref="I2170" r:id="rId6234"/>
    <hyperlink xmlns:r="http://schemas.openxmlformats.org/officeDocument/2006/relationships" ref="J2170" r:id="rId6235"/>
    <hyperlink xmlns:r="http://schemas.openxmlformats.org/officeDocument/2006/relationships" ref="K2170" r:id="rId6236"/>
    <hyperlink xmlns:r="http://schemas.openxmlformats.org/officeDocument/2006/relationships" ref="I2171" r:id="rId6237"/>
    <hyperlink xmlns:r="http://schemas.openxmlformats.org/officeDocument/2006/relationships" ref="J2171" r:id="rId6238"/>
    <hyperlink xmlns:r="http://schemas.openxmlformats.org/officeDocument/2006/relationships" ref="K2171" r:id="rId6239"/>
    <hyperlink xmlns:r="http://schemas.openxmlformats.org/officeDocument/2006/relationships" ref="I2172" r:id="rId6240"/>
    <hyperlink xmlns:r="http://schemas.openxmlformats.org/officeDocument/2006/relationships" ref="J2172" r:id="rId6241"/>
    <hyperlink xmlns:r="http://schemas.openxmlformats.org/officeDocument/2006/relationships" ref="K2172" r:id="rId6242"/>
    <hyperlink xmlns:r="http://schemas.openxmlformats.org/officeDocument/2006/relationships" ref="I2173" r:id="rId6243"/>
    <hyperlink xmlns:r="http://schemas.openxmlformats.org/officeDocument/2006/relationships" ref="J2173" r:id="rId6244"/>
    <hyperlink xmlns:r="http://schemas.openxmlformats.org/officeDocument/2006/relationships" ref="K2173" r:id="rId6245"/>
    <hyperlink xmlns:r="http://schemas.openxmlformats.org/officeDocument/2006/relationships" ref="I2174" r:id="rId6246"/>
    <hyperlink xmlns:r="http://schemas.openxmlformats.org/officeDocument/2006/relationships" ref="J2174" r:id="rId6247"/>
    <hyperlink xmlns:r="http://schemas.openxmlformats.org/officeDocument/2006/relationships" ref="I2175" r:id="rId6248"/>
    <hyperlink xmlns:r="http://schemas.openxmlformats.org/officeDocument/2006/relationships" ref="J2175" r:id="rId6249"/>
    <hyperlink xmlns:r="http://schemas.openxmlformats.org/officeDocument/2006/relationships" ref="I2176" r:id="rId6250"/>
    <hyperlink xmlns:r="http://schemas.openxmlformats.org/officeDocument/2006/relationships" ref="J2176" r:id="rId6251"/>
    <hyperlink xmlns:r="http://schemas.openxmlformats.org/officeDocument/2006/relationships" ref="I2177" r:id="rId6252"/>
    <hyperlink xmlns:r="http://schemas.openxmlformats.org/officeDocument/2006/relationships" ref="J2177" r:id="rId6253"/>
    <hyperlink xmlns:r="http://schemas.openxmlformats.org/officeDocument/2006/relationships" ref="K2177" r:id="rId6254"/>
    <hyperlink xmlns:r="http://schemas.openxmlformats.org/officeDocument/2006/relationships" ref="I2178" r:id="rId6255"/>
    <hyperlink xmlns:r="http://schemas.openxmlformats.org/officeDocument/2006/relationships" ref="J2178" r:id="rId6256"/>
    <hyperlink xmlns:r="http://schemas.openxmlformats.org/officeDocument/2006/relationships" ref="K2178" r:id="rId6257"/>
    <hyperlink xmlns:r="http://schemas.openxmlformats.org/officeDocument/2006/relationships" ref="I2179" r:id="rId6258"/>
    <hyperlink xmlns:r="http://schemas.openxmlformats.org/officeDocument/2006/relationships" ref="J2179" r:id="rId6259"/>
    <hyperlink xmlns:r="http://schemas.openxmlformats.org/officeDocument/2006/relationships" ref="K2179" r:id="rId6260"/>
    <hyperlink xmlns:r="http://schemas.openxmlformats.org/officeDocument/2006/relationships" ref="I2180" r:id="rId6261"/>
    <hyperlink xmlns:r="http://schemas.openxmlformats.org/officeDocument/2006/relationships" ref="J2180" r:id="rId6262"/>
    <hyperlink xmlns:r="http://schemas.openxmlformats.org/officeDocument/2006/relationships" ref="K2180" r:id="rId6263"/>
    <hyperlink xmlns:r="http://schemas.openxmlformats.org/officeDocument/2006/relationships" ref="I2181" r:id="rId6264"/>
    <hyperlink xmlns:r="http://schemas.openxmlformats.org/officeDocument/2006/relationships" ref="J2181" r:id="rId6265"/>
    <hyperlink xmlns:r="http://schemas.openxmlformats.org/officeDocument/2006/relationships" ref="K2181" r:id="rId6266"/>
    <hyperlink xmlns:r="http://schemas.openxmlformats.org/officeDocument/2006/relationships" ref="I2182" r:id="rId6267"/>
    <hyperlink xmlns:r="http://schemas.openxmlformats.org/officeDocument/2006/relationships" ref="J2182" r:id="rId6268"/>
    <hyperlink xmlns:r="http://schemas.openxmlformats.org/officeDocument/2006/relationships" ref="K2182" r:id="rId6269"/>
    <hyperlink xmlns:r="http://schemas.openxmlformats.org/officeDocument/2006/relationships" ref="I2183" r:id="rId6270"/>
    <hyperlink xmlns:r="http://schemas.openxmlformats.org/officeDocument/2006/relationships" ref="J2183" r:id="rId6271"/>
    <hyperlink xmlns:r="http://schemas.openxmlformats.org/officeDocument/2006/relationships" ref="K2183" r:id="rId6272"/>
    <hyperlink xmlns:r="http://schemas.openxmlformats.org/officeDocument/2006/relationships" ref="I2184" r:id="rId6273"/>
    <hyperlink xmlns:r="http://schemas.openxmlformats.org/officeDocument/2006/relationships" ref="J2184" r:id="rId6274"/>
    <hyperlink xmlns:r="http://schemas.openxmlformats.org/officeDocument/2006/relationships" ref="K2184" r:id="rId6275"/>
    <hyperlink xmlns:r="http://schemas.openxmlformats.org/officeDocument/2006/relationships" ref="I2185" r:id="rId6276"/>
    <hyperlink xmlns:r="http://schemas.openxmlformats.org/officeDocument/2006/relationships" ref="J2185" r:id="rId6277"/>
    <hyperlink xmlns:r="http://schemas.openxmlformats.org/officeDocument/2006/relationships" ref="K2185" r:id="rId6278"/>
    <hyperlink xmlns:r="http://schemas.openxmlformats.org/officeDocument/2006/relationships" ref="I2186" r:id="rId6279"/>
    <hyperlink xmlns:r="http://schemas.openxmlformats.org/officeDocument/2006/relationships" ref="J2186" r:id="rId6280"/>
    <hyperlink xmlns:r="http://schemas.openxmlformats.org/officeDocument/2006/relationships" ref="K2186" r:id="rId6281"/>
    <hyperlink xmlns:r="http://schemas.openxmlformats.org/officeDocument/2006/relationships" ref="I2187" r:id="rId6282"/>
    <hyperlink xmlns:r="http://schemas.openxmlformats.org/officeDocument/2006/relationships" ref="J2187" r:id="rId6283"/>
    <hyperlink xmlns:r="http://schemas.openxmlformats.org/officeDocument/2006/relationships" ref="K2187" r:id="rId6284"/>
    <hyperlink xmlns:r="http://schemas.openxmlformats.org/officeDocument/2006/relationships" ref="I2188" r:id="rId6285"/>
    <hyperlink xmlns:r="http://schemas.openxmlformats.org/officeDocument/2006/relationships" ref="J2188" r:id="rId6286"/>
    <hyperlink xmlns:r="http://schemas.openxmlformats.org/officeDocument/2006/relationships" ref="K2188" r:id="rId6287"/>
    <hyperlink xmlns:r="http://schemas.openxmlformats.org/officeDocument/2006/relationships" ref="I2189" r:id="rId6288"/>
    <hyperlink xmlns:r="http://schemas.openxmlformats.org/officeDocument/2006/relationships" ref="J2189" r:id="rId6289"/>
    <hyperlink xmlns:r="http://schemas.openxmlformats.org/officeDocument/2006/relationships" ref="K2189" r:id="rId6290"/>
    <hyperlink xmlns:r="http://schemas.openxmlformats.org/officeDocument/2006/relationships" ref="I2190" r:id="rId6291"/>
    <hyperlink xmlns:r="http://schemas.openxmlformats.org/officeDocument/2006/relationships" ref="J2190" r:id="rId6292"/>
    <hyperlink xmlns:r="http://schemas.openxmlformats.org/officeDocument/2006/relationships" ref="K2190" r:id="rId6293"/>
    <hyperlink xmlns:r="http://schemas.openxmlformats.org/officeDocument/2006/relationships" ref="I2191" r:id="rId6294"/>
    <hyperlink xmlns:r="http://schemas.openxmlformats.org/officeDocument/2006/relationships" ref="J2191" r:id="rId6295"/>
    <hyperlink xmlns:r="http://schemas.openxmlformats.org/officeDocument/2006/relationships" ref="K2191" r:id="rId6296"/>
    <hyperlink xmlns:r="http://schemas.openxmlformats.org/officeDocument/2006/relationships" ref="I2192" r:id="rId6297"/>
    <hyperlink xmlns:r="http://schemas.openxmlformats.org/officeDocument/2006/relationships" ref="J2192" r:id="rId6298"/>
    <hyperlink xmlns:r="http://schemas.openxmlformats.org/officeDocument/2006/relationships" ref="K2192" r:id="rId6299"/>
    <hyperlink xmlns:r="http://schemas.openxmlformats.org/officeDocument/2006/relationships" ref="I2193" r:id="rId6300"/>
    <hyperlink xmlns:r="http://schemas.openxmlformats.org/officeDocument/2006/relationships" ref="J2193" r:id="rId6301"/>
    <hyperlink xmlns:r="http://schemas.openxmlformats.org/officeDocument/2006/relationships" ref="K2193" r:id="rId6302"/>
    <hyperlink xmlns:r="http://schemas.openxmlformats.org/officeDocument/2006/relationships" ref="I2194" r:id="rId6303"/>
    <hyperlink xmlns:r="http://schemas.openxmlformats.org/officeDocument/2006/relationships" ref="J2194" r:id="rId6304"/>
    <hyperlink xmlns:r="http://schemas.openxmlformats.org/officeDocument/2006/relationships" ref="K2194" r:id="rId6305"/>
    <hyperlink xmlns:r="http://schemas.openxmlformats.org/officeDocument/2006/relationships" ref="I2195" r:id="rId6306"/>
    <hyperlink xmlns:r="http://schemas.openxmlformats.org/officeDocument/2006/relationships" ref="J2195" r:id="rId6307"/>
    <hyperlink xmlns:r="http://schemas.openxmlformats.org/officeDocument/2006/relationships" ref="K2195" r:id="rId6308"/>
    <hyperlink xmlns:r="http://schemas.openxmlformats.org/officeDocument/2006/relationships" ref="I2196" r:id="rId6309"/>
    <hyperlink xmlns:r="http://schemas.openxmlformats.org/officeDocument/2006/relationships" ref="J2196" r:id="rId6310"/>
    <hyperlink xmlns:r="http://schemas.openxmlformats.org/officeDocument/2006/relationships" ref="K2196" r:id="rId6311"/>
    <hyperlink xmlns:r="http://schemas.openxmlformats.org/officeDocument/2006/relationships" ref="I2197" r:id="rId6312"/>
    <hyperlink xmlns:r="http://schemas.openxmlformats.org/officeDocument/2006/relationships" ref="J2197" r:id="rId6313"/>
    <hyperlink xmlns:r="http://schemas.openxmlformats.org/officeDocument/2006/relationships" ref="K2197" r:id="rId6314"/>
    <hyperlink xmlns:r="http://schemas.openxmlformats.org/officeDocument/2006/relationships" ref="I2198" r:id="rId6315"/>
    <hyperlink xmlns:r="http://schemas.openxmlformats.org/officeDocument/2006/relationships" ref="J2198" r:id="rId6316"/>
    <hyperlink xmlns:r="http://schemas.openxmlformats.org/officeDocument/2006/relationships" ref="K2198" r:id="rId6317"/>
    <hyperlink xmlns:r="http://schemas.openxmlformats.org/officeDocument/2006/relationships" ref="I2199" r:id="rId6318"/>
    <hyperlink xmlns:r="http://schemas.openxmlformats.org/officeDocument/2006/relationships" ref="J2199" r:id="rId6319"/>
    <hyperlink xmlns:r="http://schemas.openxmlformats.org/officeDocument/2006/relationships" ref="K2199" r:id="rId6320"/>
    <hyperlink xmlns:r="http://schemas.openxmlformats.org/officeDocument/2006/relationships" ref="I2200" r:id="rId6321"/>
    <hyperlink xmlns:r="http://schemas.openxmlformats.org/officeDocument/2006/relationships" ref="J2200" r:id="rId6322"/>
    <hyperlink xmlns:r="http://schemas.openxmlformats.org/officeDocument/2006/relationships" ref="K2200" r:id="rId6323"/>
    <hyperlink xmlns:r="http://schemas.openxmlformats.org/officeDocument/2006/relationships" ref="I2201" r:id="rId6324"/>
    <hyperlink xmlns:r="http://schemas.openxmlformats.org/officeDocument/2006/relationships" ref="J2201" r:id="rId6325"/>
    <hyperlink xmlns:r="http://schemas.openxmlformats.org/officeDocument/2006/relationships" ref="K2201" r:id="rId6326"/>
    <hyperlink xmlns:r="http://schemas.openxmlformats.org/officeDocument/2006/relationships" ref="I2202" r:id="rId6327"/>
    <hyperlink xmlns:r="http://schemas.openxmlformats.org/officeDocument/2006/relationships" ref="J2202" r:id="rId6328"/>
    <hyperlink xmlns:r="http://schemas.openxmlformats.org/officeDocument/2006/relationships" ref="K2202" r:id="rId6329"/>
    <hyperlink xmlns:r="http://schemas.openxmlformats.org/officeDocument/2006/relationships" ref="I2203" r:id="rId6330"/>
    <hyperlink xmlns:r="http://schemas.openxmlformats.org/officeDocument/2006/relationships" ref="J2203" r:id="rId6331"/>
    <hyperlink xmlns:r="http://schemas.openxmlformats.org/officeDocument/2006/relationships" ref="K2203" r:id="rId6332"/>
    <hyperlink xmlns:r="http://schemas.openxmlformats.org/officeDocument/2006/relationships" ref="I2204" r:id="rId6333"/>
    <hyperlink xmlns:r="http://schemas.openxmlformats.org/officeDocument/2006/relationships" ref="J2204" r:id="rId6334"/>
    <hyperlink xmlns:r="http://schemas.openxmlformats.org/officeDocument/2006/relationships" ref="K2204" r:id="rId6335"/>
    <hyperlink xmlns:r="http://schemas.openxmlformats.org/officeDocument/2006/relationships" ref="I2205" r:id="rId6336"/>
    <hyperlink xmlns:r="http://schemas.openxmlformats.org/officeDocument/2006/relationships" ref="J2205" r:id="rId6337"/>
    <hyperlink xmlns:r="http://schemas.openxmlformats.org/officeDocument/2006/relationships" ref="K2205" r:id="rId6338"/>
    <hyperlink xmlns:r="http://schemas.openxmlformats.org/officeDocument/2006/relationships" ref="I2206" r:id="rId6339"/>
    <hyperlink xmlns:r="http://schemas.openxmlformats.org/officeDocument/2006/relationships" ref="J2206" r:id="rId6340"/>
    <hyperlink xmlns:r="http://schemas.openxmlformats.org/officeDocument/2006/relationships" ref="K2206" r:id="rId6341"/>
    <hyperlink xmlns:r="http://schemas.openxmlformats.org/officeDocument/2006/relationships" ref="I2207" r:id="rId6342"/>
    <hyperlink xmlns:r="http://schemas.openxmlformats.org/officeDocument/2006/relationships" ref="J2207" r:id="rId6343"/>
    <hyperlink xmlns:r="http://schemas.openxmlformats.org/officeDocument/2006/relationships" ref="K2207" r:id="rId6344"/>
    <hyperlink xmlns:r="http://schemas.openxmlformats.org/officeDocument/2006/relationships" ref="I2208" r:id="rId6345"/>
    <hyperlink xmlns:r="http://schemas.openxmlformats.org/officeDocument/2006/relationships" ref="J2208" r:id="rId6346"/>
    <hyperlink xmlns:r="http://schemas.openxmlformats.org/officeDocument/2006/relationships" ref="K2208" r:id="rId6347"/>
    <hyperlink xmlns:r="http://schemas.openxmlformats.org/officeDocument/2006/relationships" ref="I2209" r:id="rId6348"/>
    <hyperlink xmlns:r="http://schemas.openxmlformats.org/officeDocument/2006/relationships" ref="J2209" r:id="rId6349"/>
    <hyperlink xmlns:r="http://schemas.openxmlformats.org/officeDocument/2006/relationships" ref="K2209" r:id="rId6350"/>
    <hyperlink xmlns:r="http://schemas.openxmlformats.org/officeDocument/2006/relationships" ref="I2210" r:id="rId6351"/>
    <hyperlink xmlns:r="http://schemas.openxmlformats.org/officeDocument/2006/relationships" ref="J2210" r:id="rId6352"/>
    <hyperlink xmlns:r="http://schemas.openxmlformats.org/officeDocument/2006/relationships" ref="K2210" r:id="rId6353"/>
    <hyperlink xmlns:r="http://schemas.openxmlformats.org/officeDocument/2006/relationships" ref="I2211" r:id="rId6354"/>
    <hyperlink xmlns:r="http://schemas.openxmlformats.org/officeDocument/2006/relationships" ref="J2211" r:id="rId6355"/>
    <hyperlink xmlns:r="http://schemas.openxmlformats.org/officeDocument/2006/relationships" ref="K2211" r:id="rId6356"/>
    <hyperlink xmlns:r="http://schemas.openxmlformats.org/officeDocument/2006/relationships" ref="I2212" r:id="rId6357"/>
    <hyperlink xmlns:r="http://schemas.openxmlformats.org/officeDocument/2006/relationships" ref="J2212" r:id="rId6358"/>
    <hyperlink xmlns:r="http://schemas.openxmlformats.org/officeDocument/2006/relationships" ref="K2212" r:id="rId6359"/>
    <hyperlink xmlns:r="http://schemas.openxmlformats.org/officeDocument/2006/relationships" ref="I2213" r:id="rId6360"/>
    <hyperlink xmlns:r="http://schemas.openxmlformats.org/officeDocument/2006/relationships" ref="J2213" r:id="rId6361"/>
    <hyperlink xmlns:r="http://schemas.openxmlformats.org/officeDocument/2006/relationships" ref="I2214" r:id="rId6362"/>
    <hyperlink xmlns:r="http://schemas.openxmlformats.org/officeDocument/2006/relationships" ref="J2214" r:id="rId6363"/>
    <hyperlink xmlns:r="http://schemas.openxmlformats.org/officeDocument/2006/relationships" ref="I2215" r:id="rId6364"/>
    <hyperlink xmlns:r="http://schemas.openxmlformats.org/officeDocument/2006/relationships" ref="J2215" r:id="rId6365"/>
    <hyperlink xmlns:r="http://schemas.openxmlformats.org/officeDocument/2006/relationships" ref="I2216" r:id="rId6366"/>
    <hyperlink xmlns:r="http://schemas.openxmlformats.org/officeDocument/2006/relationships" ref="J2216" r:id="rId6367"/>
    <hyperlink xmlns:r="http://schemas.openxmlformats.org/officeDocument/2006/relationships" ref="I2217" r:id="rId6368"/>
    <hyperlink xmlns:r="http://schemas.openxmlformats.org/officeDocument/2006/relationships" ref="J2217" r:id="rId6369"/>
    <hyperlink xmlns:r="http://schemas.openxmlformats.org/officeDocument/2006/relationships" ref="I2218" r:id="rId6370"/>
    <hyperlink xmlns:r="http://schemas.openxmlformats.org/officeDocument/2006/relationships" ref="J2218" r:id="rId6371"/>
    <hyperlink xmlns:r="http://schemas.openxmlformats.org/officeDocument/2006/relationships" ref="I2219" r:id="rId6372"/>
    <hyperlink xmlns:r="http://schemas.openxmlformats.org/officeDocument/2006/relationships" ref="J2219" r:id="rId6373"/>
    <hyperlink xmlns:r="http://schemas.openxmlformats.org/officeDocument/2006/relationships" ref="I2220" r:id="rId6374"/>
    <hyperlink xmlns:r="http://schemas.openxmlformats.org/officeDocument/2006/relationships" ref="J2220" r:id="rId6375"/>
    <hyperlink xmlns:r="http://schemas.openxmlformats.org/officeDocument/2006/relationships" ref="I2221" r:id="rId6376"/>
    <hyperlink xmlns:r="http://schemas.openxmlformats.org/officeDocument/2006/relationships" ref="J2221" r:id="rId6377"/>
    <hyperlink xmlns:r="http://schemas.openxmlformats.org/officeDocument/2006/relationships" ref="K2221" r:id="rId6378"/>
    <hyperlink xmlns:r="http://schemas.openxmlformats.org/officeDocument/2006/relationships" ref="I2222" r:id="rId6379"/>
    <hyperlink xmlns:r="http://schemas.openxmlformats.org/officeDocument/2006/relationships" ref="J2222" r:id="rId6380"/>
    <hyperlink xmlns:r="http://schemas.openxmlformats.org/officeDocument/2006/relationships" ref="K2222" r:id="rId6381"/>
    <hyperlink xmlns:r="http://schemas.openxmlformats.org/officeDocument/2006/relationships" ref="I2223" r:id="rId6382"/>
    <hyperlink xmlns:r="http://schemas.openxmlformats.org/officeDocument/2006/relationships" ref="J2223" r:id="rId6383"/>
    <hyperlink xmlns:r="http://schemas.openxmlformats.org/officeDocument/2006/relationships" ref="K2223" r:id="rId6384"/>
    <hyperlink xmlns:r="http://schemas.openxmlformats.org/officeDocument/2006/relationships" ref="I2224" r:id="rId6385"/>
    <hyperlink xmlns:r="http://schemas.openxmlformats.org/officeDocument/2006/relationships" ref="J2224" r:id="rId6386"/>
    <hyperlink xmlns:r="http://schemas.openxmlformats.org/officeDocument/2006/relationships" ref="K2224" r:id="rId6387"/>
    <hyperlink xmlns:r="http://schemas.openxmlformats.org/officeDocument/2006/relationships" ref="I2225" r:id="rId6388"/>
    <hyperlink xmlns:r="http://schemas.openxmlformats.org/officeDocument/2006/relationships" ref="J2225" r:id="rId6389"/>
    <hyperlink xmlns:r="http://schemas.openxmlformats.org/officeDocument/2006/relationships" ref="K2225" r:id="rId6390"/>
    <hyperlink xmlns:r="http://schemas.openxmlformats.org/officeDocument/2006/relationships" ref="I2226" r:id="rId6391"/>
    <hyperlink xmlns:r="http://schemas.openxmlformats.org/officeDocument/2006/relationships" ref="J2226" r:id="rId6392"/>
    <hyperlink xmlns:r="http://schemas.openxmlformats.org/officeDocument/2006/relationships" ref="K2226" r:id="rId6393"/>
    <hyperlink xmlns:r="http://schemas.openxmlformats.org/officeDocument/2006/relationships" ref="I2227" r:id="rId6394"/>
    <hyperlink xmlns:r="http://schemas.openxmlformats.org/officeDocument/2006/relationships" ref="J2227" r:id="rId6395"/>
    <hyperlink xmlns:r="http://schemas.openxmlformats.org/officeDocument/2006/relationships" ref="K2227" r:id="rId6396"/>
    <hyperlink xmlns:r="http://schemas.openxmlformats.org/officeDocument/2006/relationships" ref="I2228" r:id="rId6397"/>
    <hyperlink xmlns:r="http://schemas.openxmlformats.org/officeDocument/2006/relationships" ref="J2228" r:id="rId6398"/>
    <hyperlink xmlns:r="http://schemas.openxmlformats.org/officeDocument/2006/relationships" ref="K2228" r:id="rId6399"/>
    <hyperlink xmlns:r="http://schemas.openxmlformats.org/officeDocument/2006/relationships" ref="I2229" r:id="rId6400"/>
    <hyperlink xmlns:r="http://schemas.openxmlformats.org/officeDocument/2006/relationships" ref="J2229" r:id="rId6401"/>
    <hyperlink xmlns:r="http://schemas.openxmlformats.org/officeDocument/2006/relationships" ref="K2229" r:id="rId6402"/>
    <hyperlink xmlns:r="http://schemas.openxmlformats.org/officeDocument/2006/relationships" ref="I2230" r:id="rId6403"/>
    <hyperlink xmlns:r="http://schemas.openxmlformats.org/officeDocument/2006/relationships" ref="J2230" r:id="rId6404"/>
    <hyperlink xmlns:r="http://schemas.openxmlformats.org/officeDocument/2006/relationships" ref="K2230" r:id="rId6405"/>
    <hyperlink xmlns:r="http://schemas.openxmlformats.org/officeDocument/2006/relationships" ref="I2231" r:id="rId6406"/>
    <hyperlink xmlns:r="http://schemas.openxmlformats.org/officeDocument/2006/relationships" ref="J2231" r:id="rId6407"/>
    <hyperlink xmlns:r="http://schemas.openxmlformats.org/officeDocument/2006/relationships" ref="K2231" r:id="rId6408"/>
    <hyperlink xmlns:r="http://schemas.openxmlformats.org/officeDocument/2006/relationships" ref="I2232" r:id="rId6409"/>
    <hyperlink xmlns:r="http://schemas.openxmlformats.org/officeDocument/2006/relationships" ref="J2232" r:id="rId6410"/>
    <hyperlink xmlns:r="http://schemas.openxmlformats.org/officeDocument/2006/relationships" ref="K2232" r:id="rId6411"/>
    <hyperlink xmlns:r="http://schemas.openxmlformats.org/officeDocument/2006/relationships" ref="I2233" r:id="rId6412"/>
    <hyperlink xmlns:r="http://schemas.openxmlformats.org/officeDocument/2006/relationships" ref="J2233" r:id="rId6413"/>
    <hyperlink xmlns:r="http://schemas.openxmlformats.org/officeDocument/2006/relationships" ref="K2233" r:id="rId6414"/>
    <hyperlink xmlns:r="http://schemas.openxmlformats.org/officeDocument/2006/relationships" ref="I2234" r:id="rId6415"/>
    <hyperlink xmlns:r="http://schemas.openxmlformats.org/officeDocument/2006/relationships" ref="J2234" r:id="rId6416"/>
    <hyperlink xmlns:r="http://schemas.openxmlformats.org/officeDocument/2006/relationships" ref="K2234" r:id="rId6417"/>
    <hyperlink xmlns:r="http://schemas.openxmlformats.org/officeDocument/2006/relationships" ref="I2235" r:id="rId6418"/>
    <hyperlink xmlns:r="http://schemas.openxmlformats.org/officeDocument/2006/relationships" ref="J2235" r:id="rId6419"/>
    <hyperlink xmlns:r="http://schemas.openxmlformats.org/officeDocument/2006/relationships" ref="K2235" r:id="rId6420"/>
    <hyperlink xmlns:r="http://schemas.openxmlformats.org/officeDocument/2006/relationships" ref="I2236" r:id="rId6421"/>
    <hyperlink xmlns:r="http://schemas.openxmlformats.org/officeDocument/2006/relationships" ref="J2236" r:id="rId6422"/>
    <hyperlink xmlns:r="http://schemas.openxmlformats.org/officeDocument/2006/relationships" ref="K2236" r:id="rId6423"/>
    <hyperlink xmlns:r="http://schemas.openxmlformats.org/officeDocument/2006/relationships" ref="I2237" r:id="rId6424"/>
    <hyperlink xmlns:r="http://schemas.openxmlformats.org/officeDocument/2006/relationships" ref="J2237" r:id="rId6425"/>
    <hyperlink xmlns:r="http://schemas.openxmlformats.org/officeDocument/2006/relationships" ref="K2237" r:id="rId6426"/>
    <hyperlink xmlns:r="http://schemas.openxmlformats.org/officeDocument/2006/relationships" ref="I2238" r:id="rId6427"/>
    <hyperlink xmlns:r="http://schemas.openxmlformats.org/officeDocument/2006/relationships" ref="J2238" r:id="rId6428"/>
    <hyperlink xmlns:r="http://schemas.openxmlformats.org/officeDocument/2006/relationships" ref="K2238" r:id="rId6429"/>
    <hyperlink xmlns:r="http://schemas.openxmlformats.org/officeDocument/2006/relationships" ref="I2239" r:id="rId6430"/>
    <hyperlink xmlns:r="http://schemas.openxmlformats.org/officeDocument/2006/relationships" ref="J2239" r:id="rId6431"/>
    <hyperlink xmlns:r="http://schemas.openxmlformats.org/officeDocument/2006/relationships" ref="K2239" r:id="rId6432"/>
    <hyperlink xmlns:r="http://schemas.openxmlformats.org/officeDocument/2006/relationships" ref="I2240" r:id="rId6433"/>
    <hyperlink xmlns:r="http://schemas.openxmlformats.org/officeDocument/2006/relationships" ref="J2240" r:id="rId6434"/>
    <hyperlink xmlns:r="http://schemas.openxmlformats.org/officeDocument/2006/relationships" ref="K2240" r:id="rId6435"/>
    <hyperlink xmlns:r="http://schemas.openxmlformats.org/officeDocument/2006/relationships" ref="I2241" r:id="rId6436"/>
    <hyperlink xmlns:r="http://schemas.openxmlformats.org/officeDocument/2006/relationships" ref="J2241" r:id="rId6437"/>
    <hyperlink xmlns:r="http://schemas.openxmlformats.org/officeDocument/2006/relationships" ref="K2241" r:id="rId6438"/>
    <hyperlink xmlns:r="http://schemas.openxmlformats.org/officeDocument/2006/relationships" ref="I2242" r:id="rId6439"/>
    <hyperlink xmlns:r="http://schemas.openxmlformats.org/officeDocument/2006/relationships" ref="J2242" r:id="rId6440"/>
    <hyperlink xmlns:r="http://schemas.openxmlformats.org/officeDocument/2006/relationships" ref="K2242" r:id="rId6441"/>
    <hyperlink xmlns:r="http://schemas.openxmlformats.org/officeDocument/2006/relationships" ref="I2243" r:id="rId6442"/>
    <hyperlink xmlns:r="http://schemas.openxmlformats.org/officeDocument/2006/relationships" ref="J2243" r:id="rId6443"/>
    <hyperlink xmlns:r="http://schemas.openxmlformats.org/officeDocument/2006/relationships" ref="K2243" r:id="rId6444"/>
    <hyperlink xmlns:r="http://schemas.openxmlformats.org/officeDocument/2006/relationships" ref="I2244" r:id="rId6445"/>
    <hyperlink xmlns:r="http://schemas.openxmlformats.org/officeDocument/2006/relationships" ref="J2244" r:id="rId6446"/>
    <hyperlink xmlns:r="http://schemas.openxmlformats.org/officeDocument/2006/relationships" ref="K2244" r:id="rId6447"/>
    <hyperlink xmlns:r="http://schemas.openxmlformats.org/officeDocument/2006/relationships" ref="I2245" r:id="rId6448"/>
    <hyperlink xmlns:r="http://schemas.openxmlformats.org/officeDocument/2006/relationships" ref="J2245" r:id="rId6449"/>
    <hyperlink xmlns:r="http://schemas.openxmlformats.org/officeDocument/2006/relationships" ref="K2245" r:id="rId6450"/>
    <hyperlink xmlns:r="http://schemas.openxmlformats.org/officeDocument/2006/relationships" ref="I2246" r:id="rId6451"/>
    <hyperlink xmlns:r="http://schemas.openxmlformats.org/officeDocument/2006/relationships" ref="J2246" r:id="rId6452"/>
    <hyperlink xmlns:r="http://schemas.openxmlformats.org/officeDocument/2006/relationships" ref="K2246" r:id="rId6453"/>
    <hyperlink xmlns:r="http://schemas.openxmlformats.org/officeDocument/2006/relationships" ref="I2247" r:id="rId6454"/>
    <hyperlink xmlns:r="http://schemas.openxmlformats.org/officeDocument/2006/relationships" ref="J2247" r:id="rId6455"/>
    <hyperlink xmlns:r="http://schemas.openxmlformats.org/officeDocument/2006/relationships" ref="K2247" r:id="rId6456"/>
    <hyperlink xmlns:r="http://schemas.openxmlformats.org/officeDocument/2006/relationships" ref="I2248" r:id="rId6457"/>
    <hyperlink xmlns:r="http://schemas.openxmlformats.org/officeDocument/2006/relationships" ref="J2248" r:id="rId6458"/>
    <hyperlink xmlns:r="http://schemas.openxmlformats.org/officeDocument/2006/relationships" ref="K2248" r:id="rId6459"/>
    <hyperlink xmlns:r="http://schemas.openxmlformats.org/officeDocument/2006/relationships" ref="I2249" r:id="rId6460"/>
    <hyperlink xmlns:r="http://schemas.openxmlformats.org/officeDocument/2006/relationships" ref="J2249" r:id="rId6461"/>
    <hyperlink xmlns:r="http://schemas.openxmlformats.org/officeDocument/2006/relationships" ref="K2249" r:id="rId6462"/>
    <hyperlink xmlns:r="http://schemas.openxmlformats.org/officeDocument/2006/relationships" ref="I2250" r:id="rId6463"/>
    <hyperlink xmlns:r="http://schemas.openxmlformats.org/officeDocument/2006/relationships" ref="J2250" r:id="rId6464"/>
    <hyperlink xmlns:r="http://schemas.openxmlformats.org/officeDocument/2006/relationships" ref="K2250" r:id="rId6465"/>
    <hyperlink xmlns:r="http://schemas.openxmlformats.org/officeDocument/2006/relationships" ref="I2251" r:id="rId6466"/>
    <hyperlink xmlns:r="http://schemas.openxmlformats.org/officeDocument/2006/relationships" ref="J2251" r:id="rId6467"/>
    <hyperlink xmlns:r="http://schemas.openxmlformats.org/officeDocument/2006/relationships" ref="K2251" r:id="rId6468"/>
    <hyperlink xmlns:r="http://schemas.openxmlformats.org/officeDocument/2006/relationships" ref="I2252" r:id="rId6469"/>
    <hyperlink xmlns:r="http://schemas.openxmlformats.org/officeDocument/2006/relationships" ref="J2252" r:id="rId6470"/>
    <hyperlink xmlns:r="http://schemas.openxmlformats.org/officeDocument/2006/relationships" ref="K2252" r:id="rId6471"/>
    <hyperlink xmlns:r="http://schemas.openxmlformats.org/officeDocument/2006/relationships" ref="I2253" r:id="rId6472"/>
    <hyperlink xmlns:r="http://schemas.openxmlformats.org/officeDocument/2006/relationships" ref="J2253" r:id="rId6473"/>
    <hyperlink xmlns:r="http://schemas.openxmlformats.org/officeDocument/2006/relationships" ref="K2253" r:id="rId6474"/>
    <hyperlink xmlns:r="http://schemas.openxmlformats.org/officeDocument/2006/relationships" ref="I2254" r:id="rId6475"/>
    <hyperlink xmlns:r="http://schemas.openxmlformats.org/officeDocument/2006/relationships" ref="J2254" r:id="rId6476"/>
    <hyperlink xmlns:r="http://schemas.openxmlformats.org/officeDocument/2006/relationships" ref="K2254" r:id="rId6477"/>
    <hyperlink xmlns:r="http://schemas.openxmlformats.org/officeDocument/2006/relationships" ref="I2255" r:id="rId6478"/>
    <hyperlink xmlns:r="http://schemas.openxmlformats.org/officeDocument/2006/relationships" ref="J2255" r:id="rId6479"/>
    <hyperlink xmlns:r="http://schemas.openxmlformats.org/officeDocument/2006/relationships" ref="K2255" r:id="rId6480"/>
    <hyperlink xmlns:r="http://schemas.openxmlformats.org/officeDocument/2006/relationships" ref="I2256" r:id="rId6481"/>
    <hyperlink xmlns:r="http://schemas.openxmlformats.org/officeDocument/2006/relationships" ref="J2256" r:id="rId6482"/>
    <hyperlink xmlns:r="http://schemas.openxmlformats.org/officeDocument/2006/relationships" ref="K2256" r:id="rId6483"/>
    <hyperlink xmlns:r="http://schemas.openxmlformats.org/officeDocument/2006/relationships" ref="I2257" r:id="rId6484"/>
    <hyperlink xmlns:r="http://schemas.openxmlformats.org/officeDocument/2006/relationships" ref="J2257" r:id="rId6485"/>
    <hyperlink xmlns:r="http://schemas.openxmlformats.org/officeDocument/2006/relationships" ref="K2257" r:id="rId6486"/>
    <hyperlink xmlns:r="http://schemas.openxmlformats.org/officeDocument/2006/relationships" ref="I2258" r:id="rId6487"/>
    <hyperlink xmlns:r="http://schemas.openxmlformats.org/officeDocument/2006/relationships" ref="J2258" r:id="rId6488"/>
    <hyperlink xmlns:r="http://schemas.openxmlformats.org/officeDocument/2006/relationships" ref="K2258" r:id="rId6489"/>
    <hyperlink xmlns:r="http://schemas.openxmlformats.org/officeDocument/2006/relationships" ref="I2259" r:id="rId6490"/>
    <hyperlink xmlns:r="http://schemas.openxmlformats.org/officeDocument/2006/relationships" ref="J2259" r:id="rId6491"/>
    <hyperlink xmlns:r="http://schemas.openxmlformats.org/officeDocument/2006/relationships" ref="K2259" r:id="rId6492"/>
    <hyperlink xmlns:r="http://schemas.openxmlformats.org/officeDocument/2006/relationships" ref="I2260" r:id="rId6493"/>
    <hyperlink xmlns:r="http://schemas.openxmlformats.org/officeDocument/2006/relationships" ref="J2260" r:id="rId6494"/>
    <hyperlink xmlns:r="http://schemas.openxmlformats.org/officeDocument/2006/relationships" ref="K2260" r:id="rId6495"/>
    <hyperlink xmlns:r="http://schemas.openxmlformats.org/officeDocument/2006/relationships" ref="I2261" r:id="rId6496"/>
    <hyperlink xmlns:r="http://schemas.openxmlformats.org/officeDocument/2006/relationships" ref="J2261" r:id="rId6497"/>
    <hyperlink xmlns:r="http://schemas.openxmlformats.org/officeDocument/2006/relationships" ref="K2261" r:id="rId6498"/>
    <hyperlink xmlns:r="http://schemas.openxmlformats.org/officeDocument/2006/relationships" ref="I2262" r:id="rId6499"/>
    <hyperlink xmlns:r="http://schemas.openxmlformats.org/officeDocument/2006/relationships" ref="J2262" r:id="rId6500"/>
    <hyperlink xmlns:r="http://schemas.openxmlformats.org/officeDocument/2006/relationships" ref="K2262" r:id="rId6501"/>
    <hyperlink xmlns:r="http://schemas.openxmlformats.org/officeDocument/2006/relationships" ref="I2263" r:id="rId6502"/>
    <hyperlink xmlns:r="http://schemas.openxmlformats.org/officeDocument/2006/relationships" ref="J2263" r:id="rId6503"/>
    <hyperlink xmlns:r="http://schemas.openxmlformats.org/officeDocument/2006/relationships" ref="K2263" r:id="rId6504"/>
    <hyperlink xmlns:r="http://schemas.openxmlformats.org/officeDocument/2006/relationships" ref="I2264" r:id="rId6505"/>
    <hyperlink xmlns:r="http://schemas.openxmlformats.org/officeDocument/2006/relationships" ref="J2264" r:id="rId6506"/>
    <hyperlink xmlns:r="http://schemas.openxmlformats.org/officeDocument/2006/relationships" ref="K2264" r:id="rId6507"/>
    <hyperlink xmlns:r="http://schemas.openxmlformats.org/officeDocument/2006/relationships" ref="I2265" r:id="rId6508"/>
    <hyperlink xmlns:r="http://schemas.openxmlformats.org/officeDocument/2006/relationships" ref="J2265" r:id="rId6509"/>
    <hyperlink xmlns:r="http://schemas.openxmlformats.org/officeDocument/2006/relationships" ref="K2265" r:id="rId6510"/>
    <hyperlink xmlns:r="http://schemas.openxmlformats.org/officeDocument/2006/relationships" ref="I2266" r:id="rId6511"/>
    <hyperlink xmlns:r="http://schemas.openxmlformats.org/officeDocument/2006/relationships" ref="J2266" r:id="rId6512"/>
    <hyperlink xmlns:r="http://schemas.openxmlformats.org/officeDocument/2006/relationships" ref="K2266" r:id="rId6513"/>
    <hyperlink xmlns:r="http://schemas.openxmlformats.org/officeDocument/2006/relationships" ref="I2267" r:id="rId6514"/>
    <hyperlink xmlns:r="http://schemas.openxmlformats.org/officeDocument/2006/relationships" ref="J2267" r:id="rId6515"/>
    <hyperlink xmlns:r="http://schemas.openxmlformats.org/officeDocument/2006/relationships" ref="K2267" r:id="rId6516"/>
    <hyperlink xmlns:r="http://schemas.openxmlformats.org/officeDocument/2006/relationships" ref="I2268" r:id="rId6517"/>
    <hyperlink xmlns:r="http://schemas.openxmlformats.org/officeDocument/2006/relationships" ref="J2268" r:id="rId6518"/>
    <hyperlink xmlns:r="http://schemas.openxmlformats.org/officeDocument/2006/relationships" ref="K2268" r:id="rId6519"/>
    <hyperlink xmlns:r="http://schemas.openxmlformats.org/officeDocument/2006/relationships" ref="I2269" r:id="rId6520"/>
    <hyperlink xmlns:r="http://schemas.openxmlformats.org/officeDocument/2006/relationships" ref="J2269" r:id="rId6521"/>
    <hyperlink xmlns:r="http://schemas.openxmlformats.org/officeDocument/2006/relationships" ref="K2269" r:id="rId6522"/>
    <hyperlink xmlns:r="http://schemas.openxmlformats.org/officeDocument/2006/relationships" ref="I2270" r:id="rId6523"/>
    <hyperlink xmlns:r="http://schemas.openxmlformats.org/officeDocument/2006/relationships" ref="J2270" r:id="rId6524"/>
    <hyperlink xmlns:r="http://schemas.openxmlformats.org/officeDocument/2006/relationships" ref="K2270" r:id="rId6525"/>
    <hyperlink xmlns:r="http://schemas.openxmlformats.org/officeDocument/2006/relationships" ref="I2271" r:id="rId6526"/>
    <hyperlink xmlns:r="http://schemas.openxmlformats.org/officeDocument/2006/relationships" ref="J2271" r:id="rId6527"/>
    <hyperlink xmlns:r="http://schemas.openxmlformats.org/officeDocument/2006/relationships" ref="K2271" r:id="rId6528"/>
    <hyperlink xmlns:r="http://schemas.openxmlformats.org/officeDocument/2006/relationships" ref="I2272" r:id="rId6529"/>
    <hyperlink xmlns:r="http://schemas.openxmlformats.org/officeDocument/2006/relationships" ref="J2272" r:id="rId6530"/>
    <hyperlink xmlns:r="http://schemas.openxmlformats.org/officeDocument/2006/relationships" ref="K2272" r:id="rId6531"/>
    <hyperlink xmlns:r="http://schemas.openxmlformats.org/officeDocument/2006/relationships" ref="I2273" r:id="rId6532"/>
    <hyperlink xmlns:r="http://schemas.openxmlformats.org/officeDocument/2006/relationships" ref="J2273" r:id="rId6533"/>
    <hyperlink xmlns:r="http://schemas.openxmlformats.org/officeDocument/2006/relationships" ref="K2273" r:id="rId6534"/>
    <hyperlink xmlns:r="http://schemas.openxmlformats.org/officeDocument/2006/relationships" ref="I2274" r:id="rId6535"/>
    <hyperlink xmlns:r="http://schemas.openxmlformats.org/officeDocument/2006/relationships" ref="J2274" r:id="rId6536"/>
    <hyperlink xmlns:r="http://schemas.openxmlformats.org/officeDocument/2006/relationships" ref="K2274" r:id="rId6537"/>
    <hyperlink xmlns:r="http://schemas.openxmlformats.org/officeDocument/2006/relationships" ref="I2275" r:id="rId6538"/>
    <hyperlink xmlns:r="http://schemas.openxmlformats.org/officeDocument/2006/relationships" ref="J2275" r:id="rId6539"/>
    <hyperlink xmlns:r="http://schemas.openxmlformats.org/officeDocument/2006/relationships" ref="K2275" r:id="rId6540"/>
    <hyperlink xmlns:r="http://schemas.openxmlformats.org/officeDocument/2006/relationships" ref="I2276" r:id="rId6541"/>
    <hyperlink xmlns:r="http://schemas.openxmlformats.org/officeDocument/2006/relationships" ref="J2276" r:id="rId6542"/>
    <hyperlink xmlns:r="http://schemas.openxmlformats.org/officeDocument/2006/relationships" ref="K2276" r:id="rId6543"/>
    <hyperlink xmlns:r="http://schemas.openxmlformats.org/officeDocument/2006/relationships" ref="I2277" r:id="rId6544"/>
    <hyperlink xmlns:r="http://schemas.openxmlformats.org/officeDocument/2006/relationships" ref="J2277" r:id="rId6545"/>
    <hyperlink xmlns:r="http://schemas.openxmlformats.org/officeDocument/2006/relationships" ref="K2277" r:id="rId6546"/>
    <hyperlink xmlns:r="http://schemas.openxmlformats.org/officeDocument/2006/relationships" ref="I2278" r:id="rId6547"/>
    <hyperlink xmlns:r="http://schemas.openxmlformats.org/officeDocument/2006/relationships" ref="J2278" r:id="rId6548"/>
    <hyperlink xmlns:r="http://schemas.openxmlformats.org/officeDocument/2006/relationships" ref="K2278" r:id="rId6549"/>
    <hyperlink xmlns:r="http://schemas.openxmlformats.org/officeDocument/2006/relationships" ref="I2279" r:id="rId6550"/>
    <hyperlink xmlns:r="http://schemas.openxmlformats.org/officeDocument/2006/relationships" ref="J2279" r:id="rId6551"/>
    <hyperlink xmlns:r="http://schemas.openxmlformats.org/officeDocument/2006/relationships" ref="K2279" r:id="rId6552"/>
    <hyperlink xmlns:r="http://schemas.openxmlformats.org/officeDocument/2006/relationships" ref="I2280" r:id="rId6553"/>
    <hyperlink xmlns:r="http://schemas.openxmlformats.org/officeDocument/2006/relationships" ref="J2280" r:id="rId6554"/>
    <hyperlink xmlns:r="http://schemas.openxmlformats.org/officeDocument/2006/relationships" ref="K2280" r:id="rId6555"/>
    <hyperlink xmlns:r="http://schemas.openxmlformats.org/officeDocument/2006/relationships" ref="I2281" r:id="rId6556"/>
    <hyperlink xmlns:r="http://schemas.openxmlformats.org/officeDocument/2006/relationships" ref="J2281" r:id="rId6557"/>
    <hyperlink xmlns:r="http://schemas.openxmlformats.org/officeDocument/2006/relationships" ref="K2281" r:id="rId6558"/>
    <hyperlink xmlns:r="http://schemas.openxmlformats.org/officeDocument/2006/relationships" ref="I2282" r:id="rId6559"/>
    <hyperlink xmlns:r="http://schemas.openxmlformats.org/officeDocument/2006/relationships" ref="J2282" r:id="rId6560"/>
    <hyperlink xmlns:r="http://schemas.openxmlformats.org/officeDocument/2006/relationships" ref="K2282" r:id="rId6561"/>
    <hyperlink xmlns:r="http://schemas.openxmlformats.org/officeDocument/2006/relationships" ref="I2283" r:id="rId6562"/>
    <hyperlink xmlns:r="http://schemas.openxmlformats.org/officeDocument/2006/relationships" ref="J2283" r:id="rId6563"/>
    <hyperlink xmlns:r="http://schemas.openxmlformats.org/officeDocument/2006/relationships" ref="K2283" r:id="rId6564"/>
    <hyperlink xmlns:r="http://schemas.openxmlformats.org/officeDocument/2006/relationships" ref="I2284" r:id="rId6565"/>
    <hyperlink xmlns:r="http://schemas.openxmlformats.org/officeDocument/2006/relationships" ref="J2284" r:id="rId6566"/>
    <hyperlink xmlns:r="http://schemas.openxmlformats.org/officeDocument/2006/relationships" ref="K2284" r:id="rId6567"/>
    <hyperlink xmlns:r="http://schemas.openxmlformats.org/officeDocument/2006/relationships" ref="I2285" r:id="rId6568"/>
    <hyperlink xmlns:r="http://schemas.openxmlformats.org/officeDocument/2006/relationships" ref="J2285" r:id="rId6569"/>
    <hyperlink xmlns:r="http://schemas.openxmlformats.org/officeDocument/2006/relationships" ref="K2285" r:id="rId6570"/>
    <hyperlink xmlns:r="http://schemas.openxmlformats.org/officeDocument/2006/relationships" ref="I2286" r:id="rId6571"/>
    <hyperlink xmlns:r="http://schemas.openxmlformats.org/officeDocument/2006/relationships" ref="J2286" r:id="rId6572"/>
    <hyperlink xmlns:r="http://schemas.openxmlformats.org/officeDocument/2006/relationships" ref="K2286" r:id="rId6573"/>
    <hyperlink xmlns:r="http://schemas.openxmlformats.org/officeDocument/2006/relationships" ref="I2287" r:id="rId6574"/>
    <hyperlink xmlns:r="http://schemas.openxmlformats.org/officeDocument/2006/relationships" ref="J2287" r:id="rId6575"/>
    <hyperlink xmlns:r="http://schemas.openxmlformats.org/officeDocument/2006/relationships" ref="K2287" r:id="rId6576"/>
    <hyperlink xmlns:r="http://schemas.openxmlformats.org/officeDocument/2006/relationships" ref="I2288" r:id="rId6577"/>
    <hyperlink xmlns:r="http://schemas.openxmlformats.org/officeDocument/2006/relationships" ref="J2288" r:id="rId6578"/>
    <hyperlink xmlns:r="http://schemas.openxmlformats.org/officeDocument/2006/relationships" ref="K2288" r:id="rId6579"/>
    <hyperlink xmlns:r="http://schemas.openxmlformats.org/officeDocument/2006/relationships" ref="I2289" r:id="rId6580"/>
    <hyperlink xmlns:r="http://schemas.openxmlformats.org/officeDocument/2006/relationships" ref="J2289" r:id="rId6581"/>
    <hyperlink xmlns:r="http://schemas.openxmlformats.org/officeDocument/2006/relationships" ref="K2289" r:id="rId6582"/>
    <hyperlink xmlns:r="http://schemas.openxmlformats.org/officeDocument/2006/relationships" ref="I2290" r:id="rId6583"/>
    <hyperlink xmlns:r="http://schemas.openxmlformats.org/officeDocument/2006/relationships" ref="J2290" r:id="rId6584"/>
    <hyperlink xmlns:r="http://schemas.openxmlformats.org/officeDocument/2006/relationships" ref="K2290" r:id="rId6585"/>
    <hyperlink xmlns:r="http://schemas.openxmlformats.org/officeDocument/2006/relationships" ref="I2291" r:id="rId6586"/>
    <hyperlink xmlns:r="http://schemas.openxmlformats.org/officeDocument/2006/relationships" ref="J2291" r:id="rId6587"/>
    <hyperlink xmlns:r="http://schemas.openxmlformats.org/officeDocument/2006/relationships" ref="K2291" r:id="rId6588"/>
    <hyperlink xmlns:r="http://schemas.openxmlformats.org/officeDocument/2006/relationships" ref="I2292" r:id="rId6589"/>
    <hyperlink xmlns:r="http://schemas.openxmlformats.org/officeDocument/2006/relationships" ref="J2292" r:id="rId6590"/>
    <hyperlink xmlns:r="http://schemas.openxmlformats.org/officeDocument/2006/relationships" ref="K2292" r:id="rId6591"/>
    <hyperlink xmlns:r="http://schemas.openxmlformats.org/officeDocument/2006/relationships" ref="I2293" r:id="rId6592"/>
    <hyperlink xmlns:r="http://schemas.openxmlformats.org/officeDocument/2006/relationships" ref="J2293" r:id="rId6593"/>
    <hyperlink xmlns:r="http://schemas.openxmlformats.org/officeDocument/2006/relationships" ref="K2293" r:id="rId6594"/>
    <hyperlink xmlns:r="http://schemas.openxmlformats.org/officeDocument/2006/relationships" ref="I2294" r:id="rId6595"/>
    <hyperlink xmlns:r="http://schemas.openxmlformats.org/officeDocument/2006/relationships" ref="J2294" r:id="rId6596"/>
    <hyperlink xmlns:r="http://schemas.openxmlformats.org/officeDocument/2006/relationships" ref="K2294" r:id="rId6597"/>
    <hyperlink xmlns:r="http://schemas.openxmlformats.org/officeDocument/2006/relationships" ref="I2295" r:id="rId6598"/>
    <hyperlink xmlns:r="http://schemas.openxmlformats.org/officeDocument/2006/relationships" ref="J2295" r:id="rId6599"/>
    <hyperlink xmlns:r="http://schemas.openxmlformats.org/officeDocument/2006/relationships" ref="K2295" r:id="rId6600"/>
    <hyperlink xmlns:r="http://schemas.openxmlformats.org/officeDocument/2006/relationships" ref="I2296" r:id="rId6601"/>
    <hyperlink xmlns:r="http://schemas.openxmlformats.org/officeDocument/2006/relationships" ref="J2296" r:id="rId6602"/>
    <hyperlink xmlns:r="http://schemas.openxmlformats.org/officeDocument/2006/relationships" ref="K2296" r:id="rId6603"/>
    <hyperlink xmlns:r="http://schemas.openxmlformats.org/officeDocument/2006/relationships" ref="I2297" r:id="rId6604"/>
    <hyperlink xmlns:r="http://schemas.openxmlformats.org/officeDocument/2006/relationships" ref="J2297" r:id="rId6605"/>
    <hyperlink xmlns:r="http://schemas.openxmlformats.org/officeDocument/2006/relationships" ref="K2297" r:id="rId6606"/>
    <hyperlink xmlns:r="http://schemas.openxmlformats.org/officeDocument/2006/relationships" ref="I2298" r:id="rId6607"/>
    <hyperlink xmlns:r="http://schemas.openxmlformats.org/officeDocument/2006/relationships" ref="J2298" r:id="rId6608"/>
    <hyperlink xmlns:r="http://schemas.openxmlformats.org/officeDocument/2006/relationships" ref="K2298" r:id="rId6609"/>
    <hyperlink xmlns:r="http://schemas.openxmlformats.org/officeDocument/2006/relationships" ref="I2299" r:id="rId6610"/>
    <hyperlink xmlns:r="http://schemas.openxmlformats.org/officeDocument/2006/relationships" ref="J2299" r:id="rId6611"/>
    <hyperlink xmlns:r="http://schemas.openxmlformats.org/officeDocument/2006/relationships" ref="K2299" r:id="rId6612"/>
    <hyperlink xmlns:r="http://schemas.openxmlformats.org/officeDocument/2006/relationships" ref="I2300" r:id="rId6613"/>
    <hyperlink xmlns:r="http://schemas.openxmlformats.org/officeDocument/2006/relationships" ref="J2300" r:id="rId6614"/>
    <hyperlink xmlns:r="http://schemas.openxmlformats.org/officeDocument/2006/relationships" ref="K2300" r:id="rId6615"/>
    <hyperlink xmlns:r="http://schemas.openxmlformats.org/officeDocument/2006/relationships" ref="I2301" r:id="rId6616"/>
    <hyperlink xmlns:r="http://schemas.openxmlformats.org/officeDocument/2006/relationships" ref="J2301" r:id="rId6617"/>
    <hyperlink xmlns:r="http://schemas.openxmlformats.org/officeDocument/2006/relationships" ref="K2301" r:id="rId6618"/>
    <hyperlink xmlns:r="http://schemas.openxmlformats.org/officeDocument/2006/relationships" ref="I2302" r:id="rId6619"/>
    <hyperlink xmlns:r="http://schemas.openxmlformats.org/officeDocument/2006/relationships" ref="J2302" r:id="rId6620"/>
    <hyperlink xmlns:r="http://schemas.openxmlformats.org/officeDocument/2006/relationships" ref="K2302" r:id="rId6621"/>
    <hyperlink xmlns:r="http://schemas.openxmlformats.org/officeDocument/2006/relationships" ref="I2303" r:id="rId6622"/>
    <hyperlink xmlns:r="http://schemas.openxmlformats.org/officeDocument/2006/relationships" ref="J2303" r:id="rId6623"/>
    <hyperlink xmlns:r="http://schemas.openxmlformats.org/officeDocument/2006/relationships" ref="K2303" r:id="rId6624"/>
    <hyperlink xmlns:r="http://schemas.openxmlformats.org/officeDocument/2006/relationships" ref="I2304" r:id="rId6625"/>
    <hyperlink xmlns:r="http://schemas.openxmlformats.org/officeDocument/2006/relationships" ref="J2304" r:id="rId6626"/>
    <hyperlink xmlns:r="http://schemas.openxmlformats.org/officeDocument/2006/relationships" ref="K2304" r:id="rId6627"/>
    <hyperlink xmlns:r="http://schemas.openxmlformats.org/officeDocument/2006/relationships" ref="I2305" r:id="rId6628"/>
    <hyperlink xmlns:r="http://schemas.openxmlformats.org/officeDocument/2006/relationships" ref="J2305" r:id="rId6629"/>
    <hyperlink xmlns:r="http://schemas.openxmlformats.org/officeDocument/2006/relationships" ref="K2305" r:id="rId6630"/>
    <hyperlink xmlns:r="http://schemas.openxmlformats.org/officeDocument/2006/relationships" ref="I2306" r:id="rId6631"/>
    <hyperlink xmlns:r="http://schemas.openxmlformats.org/officeDocument/2006/relationships" ref="J2306" r:id="rId6632"/>
    <hyperlink xmlns:r="http://schemas.openxmlformats.org/officeDocument/2006/relationships" ref="K2306" r:id="rId6633"/>
    <hyperlink xmlns:r="http://schemas.openxmlformats.org/officeDocument/2006/relationships" ref="I2307" r:id="rId6634"/>
    <hyperlink xmlns:r="http://schemas.openxmlformats.org/officeDocument/2006/relationships" ref="J2307" r:id="rId6635"/>
    <hyperlink xmlns:r="http://schemas.openxmlformats.org/officeDocument/2006/relationships" ref="K2307" r:id="rId6636"/>
    <hyperlink xmlns:r="http://schemas.openxmlformats.org/officeDocument/2006/relationships" ref="I2308" r:id="rId6637"/>
    <hyperlink xmlns:r="http://schemas.openxmlformats.org/officeDocument/2006/relationships" ref="J2308" r:id="rId6638"/>
    <hyperlink xmlns:r="http://schemas.openxmlformats.org/officeDocument/2006/relationships" ref="K2308" r:id="rId6639"/>
    <hyperlink xmlns:r="http://schemas.openxmlformats.org/officeDocument/2006/relationships" ref="I2309" r:id="rId6640"/>
    <hyperlink xmlns:r="http://schemas.openxmlformats.org/officeDocument/2006/relationships" ref="J2309" r:id="rId6641"/>
    <hyperlink xmlns:r="http://schemas.openxmlformats.org/officeDocument/2006/relationships" ref="K2309" r:id="rId6642"/>
    <hyperlink xmlns:r="http://schemas.openxmlformats.org/officeDocument/2006/relationships" ref="I2310" r:id="rId6643"/>
    <hyperlink xmlns:r="http://schemas.openxmlformats.org/officeDocument/2006/relationships" ref="J2310" r:id="rId6644"/>
    <hyperlink xmlns:r="http://schemas.openxmlformats.org/officeDocument/2006/relationships" ref="K2310" r:id="rId6645"/>
    <hyperlink xmlns:r="http://schemas.openxmlformats.org/officeDocument/2006/relationships" ref="I2311" r:id="rId6646"/>
    <hyperlink xmlns:r="http://schemas.openxmlformats.org/officeDocument/2006/relationships" ref="J2311" r:id="rId6647"/>
    <hyperlink xmlns:r="http://schemas.openxmlformats.org/officeDocument/2006/relationships" ref="K2311" r:id="rId6648"/>
    <hyperlink xmlns:r="http://schemas.openxmlformats.org/officeDocument/2006/relationships" ref="I2312" r:id="rId6649"/>
    <hyperlink xmlns:r="http://schemas.openxmlformats.org/officeDocument/2006/relationships" ref="J2312" r:id="rId6650"/>
    <hyperlink xmlns:r="http://schemas.openxmlformats.org/officeDocument/2006/relationships" ref="K2312" r:id="rId6651"/>
    <hyperlink xmlns:r="http://schemas.openxmlformats.org/officeDocument/2006/relationships" ref="I2313" r:id="rId6652"/>
    <hyperlink xmlns:r="http://schemas.openxmlformats.org/officeDocument/2006/relationships" ref="J2313" r:id="rId6653"/>
    <hyperlink xmlns:r="http://schemas.openxmlformats.org/officeDocument/2006/relationships" ref="K2313" r:id="rId6654"/>
    <hyperlink xmlns:r="http://schemas.openxmlformats.org/officeDocument/2006/relationships" ref="I2314" r:id="rId6655"/>
    <hyperlink xmlns:r="http://schemas.openxmlformats.org/officeDocument/2006/relationships" ref="J2314" r:id="rId6656"/>
    <hyperlink xmlns:r="http://schemas.openxmlformats.org/officeDocument/2006/relationships" ref="K2314" r:id="rId6657"/>
    <hyperlink xmlns:r="http://schemas.openxmlformats.org/officeDocument/2006/relationships" ref="I2315" r:id="rId6658"/>
    <hyperlink xmlns:r="http://schemas.openxmlformats.org/officeDocument/2006/relationships" ref="J2315" r:id="rId6659"/>
    <hyperlink xmlns:r="http://schemas.openxmlformats.org/officeDocument/2006/relationships" ref="K2315" r:id="rId6660"/>
    <hyperlink xmlns:r="http://schemas.openxmlformats.org/officeDocument/2006/relationships" ref="I2316" r:id="rId6661"/>
    <hyperlink xmlns:r="http://schemas.openxmlformats.org/officeDocument/2006/relationships" ref="J2316" r:id="rId6662"/>
    <hyperlink xmlns:r="http://schemas.openxmlformats.org/officeDocument/2006/relationships" ref="K2316" r:id="rId6663"/>
    <hyperlink xmlns:r="http://schemas.openxmlformats.org/officeDocument/2006/relationships" ref="I2317" r:id="rId6664"/>
    <hyperlink xmlns:r="http://schemas.openxmlformats.org/officeDocument/2006/relationships" ref="J2317" r:id="rId6665"/>
    <hyperlink xmlns:r="http://schemas.openxmlformats.org/officeDocument/2006/relationships" ref="K2317" r:id="rId6666"/>
    <hyperlink xmlns:r="http://schemas.openxmlformats.org/officeDocument/2006/relationships" ref="I2318" r:id="rId6667"/>
    <hyperlink xmlns:r="http://schemas.openxmlformats.org/officeDocument/2006/relationships" ref="J2318" r:id="rId6668"/>
    <hyperlink xmlns:r="http://schemas.openxmlformats.org/officeDocument/2006/relationships" ref="K2318" r:id="rId6669"/>
    <hyperlink xmlns:r="http://schemas.openxmlformats.org/officeDocument/2006/relationships" ref="I2319" r:id="rId6670"/>
    <hyperlink xmlns:r="http://schemas.openxmlformats.org/officeDocument/2006/relationships" ref="J2319" r:id="rId6671"/>
    <hyperlink xmlns:r="http://schemas.openxmlformats.org/officeDocument/2006/relationships" ref="K2319" r:id="rId6672"/>
    <hyperlink xmlns:r="http://schemas.openxmlformats.org/officeDocument/2006/relationships" ref="I2320" r:id="rId6673"/>
    <hyperlink xmlns:r="http://schemas.openxmlformats.org/officeDocument/2006/relationships" ref="J2320" r:id="rId6674"/>
    <hyperlink xmlns:r="http://schemas.openxmlformats.org/officeDocument/2006/relationships" ref="K2320" r:id="rId6675"/>
    <hyperlink xmlns:r="http://schemas.openxmlformats.org/officeDocument/2006/relationships" ref="I2321" r:id="rId6676"/>
    <hyperlink xmlns:r="http://schemas.openxmlformats.org/officeDocument/2006/relationships" ref="J2321" r:id="rId6677"/>
    <hyperlink xmlns:r="http://schemas.openxmlformats.org/officeDocument/2006/relationships" ref="K2321" r:id="rId6678"/>
    <hyperlink xmlns:r="http://schemas.openxmlformats.org/officeDocument/2006/relationships" ref="I2322" r:id="rId6679"/>
    <hyperlink xmlns:r="http://schemas.openxmlformats.org/officeDocument/2006/relationships" ref="J2322" r:id="rId6680"/>
    <hyperlink xmlns:r="http://schemas.openxmlformats.org/officeDocument/2006/relationships" ref="K2322" r:id="rId6681"/>
    <hyperlink xmlns:r="http://schemas.openxmlformats.org/officeDocument/2006/relationships" ref="I2323" r:id="rId6682"/>
    <hyperlink xmlns:r="http://schemas.openxmlformats.org/officeDocument/2006/relationships" ref="J2323" r:id="rId6683"/>
    <hyperlink xmlns:r="http://schemas.openxmlformats.org/officeDocument/2006/relationships" ref="K2323" r:id="rId6684"/>
    <hyperlink xmlns:r="http://schemas.openxmlformats.org/officeDocument/2006/relationships" ref="I2324" r:id="rId6685"/>
    <hyperlink xmlns:r="http://schemas.openxmlformats.org/officeDocument/2006/relationships" ref="J2324" r:id="rId6686"/>
    <hyperlink xmlns:r="http://schemas.openxmlformats.org/officeDocument/2006/relationships" ref="K2324" r:id="rId6687"/>
    <hyperlink xmlns:r="http://schemas.openxmlformats.org/officeDocument/2006/relationships" ref="I2325" r:id="rId6688"/>
    <hyperlink xmlns:r="http://schemas.openxmlformats.org/officeDocument/2006/relationships" ref="J2325" r:id="rId6689"/>
    <hyperlink xmlns:r="http://schemas.openxmlformats.org/officeDocument/2006/relationships" ref="K2325" r:id="rId6690"/>
    <hyperlink xmlns:r="http://schemas.openxmlformats.org/officeDocument/2006/relationships" ref="I2326" r:id="rId6691"/>
    <hyperlink xmlns:r="http://schemas.openxmlformats.org/officeDocument/2006/relationships" ref="J2326" r:id="rId6692"/>
    <hyperlink xmlns:r="http://schemas.openxmlformats.org/officeDocument/2006/relationships" ref="K2326" r:id="rId6693"/>
    <hyperlink xmlns:r="http://schemas.openxmlformats.org/officeDocument/2006/relationships" ref="I2327" r:id="rId6694"/>
    <hyperlink xmlns:r="http://schemas.openxmlformats.org/officeDocument/2006/relationships" ref="J2327" r:id="rId6695"/>
    <hyperlink xmlns:r="http://schemas.openxmlformats.org/officeDocument/2006/relationships" ref="K2327" r:id="rId6696"/>
    <hyperlink xmlns:r="http://schemas.openxmlformats.org/officeDocument/2006/relationships" ref="I2328" r:id="rId6697"/>
    <hyperlink xmlns:r="http://schemas.openxmlformats.org/officeDocument/2006/relationships" ref="J2328" r:id="rId6698"/>
    <hyperlink xmlns:r="http://schemas.openxmlformats.org/officeDocument/2006/relationships" ref="K2328" r:id="rId6699"/>
    <hyperlink xmlns:r="http://schemas.openxmlformats.org/officeDocument/2006/relationships" ref="I2329" r:id="rId6700"/>
    <hyperlink xmlns:r="http://schemas.openxmlformats.org/officeDocument/2006/relationships" ref="J2329" r:id="rId6701"/>
    <hyperlink xmlns:r="http://schemas.openxmlformats.org/officeDocument/2006/relationships" ref="K2329" r:id="rId6702"/>
    <hyperlink xmlns:r="http://schemas.openxmlformats.org/officeDocument/2006/relationships" ref="I2330" r:id="rId6703"/>
    <hyperlink xmlns:r="http://schemas.openxmlformats.org/officeDocument/2006/relationships" ref="J2330" r:id="rId6704"/>
    <hyperlink xmlns:r="http://schemas.openxmlformats.org/officeDocument/2006/relationships" ref="K2330" r:id="rId6705"/>
    <hyperlink xmlns:r="http://schemas.openxmlformats.org/officeDocument/2006/relationships" ref="I2331" r:id="rId6706"/>
    <hyperlink xmlns:r="http://schemas.openxmlformats.org/officeDocument/2006/relationships" ref="J2331" r:id="rId6707"/>
    <hyperlink xmlns:r="http://schemas.openxmlformats.org/officeDocument/2006/relationships" ref="K2331" r:id="rId6708"/>
    <hyperlink xmlns:r="http://schemas.openxmlformats.org/officeDocument/2006/relationships" ref="I2332" r:id="rId6709"/>
    <hyperlink xmlns:r="http://schemas.openxmlformats.org/officeDocument/2006/relationships" ref="J2332" r:id="rId6710"/>
    <hyperlink xmlns:r="http://schemas.openxmlformats.org/officeDocument/2006/relationships" ref="K2332" r:id="rId6711"/>
    <hyperlink xmlns:r="http://schemas.openxmlformats.org/officeDocument/2006/relationships" ref="I2333" r:id="rId6712"/>
    <hyperlink xmlns:r="http://schemas.openxmlformats.org/officeDocument/2006/relationships" ref="J2333" r:id="rId6713"/>
    <hyperlink xmlns:r="http://schemas.openxmlformats.org/officeDocument/2006/relationships" ref="K2333" r:id="rId6714"/>
    <hyperlink xmlns:r="http://schemas.openxmlformats.org/officeDocument/2006/relationships" ref="I2334" r:id="rId6715"/>
    <hyperlink xmlns:r="http://schemas.openxmlformats.org/officeDocument/2006/relationships" ref="J2334" r:id="rId6716"/>
    <hyperlink xmlns:r="http://schemas.openxmlformats.org/officeDocument/2006/relationships" ref="K2334" r:id="rId6717"/>
    <hyperlink xmlns:r="http://schemas.openxmlformats.org/officeDocument/2006/relationships" ref="I2335" r:id="rId6718"/>
    <hyperlink xmlns:r="http://schemas.openxmlformats.org/officeDocument/2006/relationships" ref="J2335" r:id="rId6719"/>
    <hyperlink xmlns:r="http://schemas.openxmlformats.org/officeDocument/2006/relationships" ref="K2335" r:id="rId6720"/>
    <hyperlink xmlns:r="http://schemas.openxmlformats.org/officeDocument/2006/relationships" ref="I2336" r:id="rId6721"/>
    <hyperlink xmlns:r="http://schemas.openxmlformats.org/officeDocument/2006/relationships" ref="J2336" r:id="rId6722"/>
    <hyperlink xmlns:r="http://schemas.openxmlformats.org/officeDocument/2006/relationships" ref="K2336" r:id="rId6723"/>
    <hyperlink xmlns:r="http://schemas.openxmlformats.org/officeDocument/2006/relationships" ref="I2337" r:id="rId6724"/>
    <hyperlink xmlns:r="http://schemas.openxmlformats.org/officeDocument/2006/relationships" ref="J2337" r:id="rId6725"/>
    <hyperlink xmlns:r="http://schemas.openxmlformats.org/officeDocument/2006/relationships" ref="K2337" r:id="rId6726"/>
    <hyperlink xmlns:r="http://schemas.openxmlformats.org/officeDocument/2006/relationships" ref="I2338" r:id="rId6727"/>
    <hyperlink xmlns:r="http://schemas.openxmlformats.org/officeDocument/2006/relationships" ref="J2338" r:id="rId6728"/>
    <hyperlink xmlns:r="http://schemas.openxmlformats.org/officeDocument/2006/relationships" ref="K2338" r:id="rId6729"/>
    <hyperlink xmlns:r="http://schemas.openxmlformats.org/officeDocument/2006/relationships" ref="I2339" r:id="rId6730"/>
    <hyperlink xmlns:r="http://schemas.openxmlformats.org/officeDocument/2006/relationships" ref="J2339" r:id="rId6731"/>
    <hyperlink xmlns:r="http://schemas.openxmlformats.org/officeDocument/2006/relationships" ref="K2339" r:id="rId6732"/>
    <hyperlink xmlns:r="http://schemas.openxmlformats.org/officeDocument/2006/relationships" ref="I2340" r:id="rId6733"/>
    <hyperlink xmlns:r="http://schemas.openxmlformats.org/officeDocument/2006/relationships" ref="J2340" r:id="rId6734"/>
    <hyperlink xmlns:r="http://schemas.openxmlformats.org/officeDocument/2006/relationships" ref="K2340" r:id="rId6735"/>
    <hyperlink xmlns:r="http://schemas.openxmlformats.org/officeDocument/2006/relationships" ref="I2341" r:id="rId6736"/>
    <hyperlink xmlns:r="http://schemas.openxmlformats.org/officeDocument/2006/relationships" ref="J2341" r:id="rId6737"/>
    <hyperlink xmlns:r="http://schemas.openxmlformats.org/officeDocument/2006/relationships" ref="K2341" r:id="rId6738"/>
    <hyperlink xmlns:r="http://schemas.openxmlformats.org/officeDocument/2006/relationships" ref="I2342" r:id="rId6739"/>
    <hyperlink xmlns:r="http://schemas.openxmlformats.org/officeDocument/2006/relationships" ref="J2342" r:id="rId6740"/>
    <hyperlink xmlns:r="http://schemas.openxmlformats.org/officeDocument/2006/relationships" ref="K2342" r:id="rId6741"/>
    <hyperlink xmlns:r="http://schemas.openxmlformats.org/officeDocument/2006/relationships" ref="I2343" r:id="rId6742"/>
    <hyperlink xmlns:r="http://schemas.openxmlformats.org/officeDocument/2006/relationships" ref="J2343" r:id="rId6743"/>
    <hyperlink xmlns:r="http://schemas.openxmlformats.org/officeDocument/2006/relationships" ref="K2343" r:id="rId6744"/>
    <hyperlink xmlns:r="http://schemas.openxmlformats.org/officeDocument/2006/relationships" ref="I2344" r:id="rId6745"/>
    <hyperlink xmlns:r="http://schemas.openxmlformats.org/officeDocument/2006/relationships" ref="J2344" r:id="rId6746"/>
    <hyperlink xmlns:r="http://schemas.openxmlformats.org/officeDocument/2006/relationships" ref="K2344" r:id="rId6747"/>
    <hyperlink xmlns:r="http://schemas.openxmlformats.org/officeDocument/2006/relationships" ref="I2345" r:id="rId6748"/>
    <hyperlink xmlns:r="http://schemas.openxmlformats.org/officeDocument/2006/relationships" ref="J2345" r:id="rId6749"/>
    <hyperlink xmlns:r="http://schemas.openxmlformats.org/officeDocument/2006/relationships" ref="K2345" r:id="rId6750"/>
    <hyperlink xmlns:r="http://schemas.openxmlformats.org/officeDocument/2006/relationships" ref="I2346" r:id="rId6751"/>
    <hyperlink xmlns:r="http://schemas.openxmlformats.org/officeDocument/2006/relationships" ref="J2346" r:id="rId6752"/>
    <hyperlink xmlns:r="http://schemas.openxmlformats.org/officeDocument/2006/relationships" ref="I2347" r:id="rId6753"/>
    <hyperlink xmlns:r="http://schemas.openxmlformats.org/officeDocument/2006/relationships" ref="J2347" r:id="rId6754"/>
    <hyperlink xmlns:r="http://schemas.openxmlformats.org/officeDocument/2006/relationships" ref="K2347" r:id="rId6755"/>
    <hyperlink xmlns:r="http://schemas.openxmlformats.org/officeDocument/2006/relationships" ref="I2348" r:id="rId6756"/>
    <hyperlink xmlns:r="http://schemas.openxmlformats.org/officeDocument/2006/relationships" ref="J2348" r:id="rId6757"/>
    <hyperlink xmlns:r="http://schemas.openxmlformats.org/officeDocument/2006/relationships" ref="K2348" r:id="rId6758"/>
    <hyperlink xmlns:r="http://schemas.openxmlformats.org/officeDocument/2006/relationships" ref="I2349" r:id="rId6759"/>
    <hyperlink xmlns:r="http://schemas.openxmlformats.org/officeDocument/2006/relationships" ref="J2349" r:id="rId6760"/>
    <hyperlink xmlns:r="http://schemas.openxmlformats.org/officeDocument/2006/relationships" ref="K2349" r:id="rId6761"/>
    <hyperlink xmlns:r="http://schemas.openxmlformats.org/officeDocument/2006/relationships" ref="I2350" r:id="rId6762"/>
    <hyperlink xmlns:r="http://schemas.openxmlformats.org/officeDocument/2006/relationships" ref="J2350" r:id="rId6763"/>
    <hyperlink xmlns:r="http://schemas.openxmlformats.org/officeDocument/2006/relationships" ref="K2350" r:id="rId6764"/>
    <hyperlink xmlns:r="http://schemas.openxmlformats.org/officeDocument/2006/relationships" ref="I2351" r:id="rId6765"/>
    <hyperlink xmlns:r="http://schemas.openxmlformats.org/officeDocument/2006/relationships" ref="J2351" r:id="rId6766"/>
    <hyperlink xmlns:r="http://schemas.openxmlformats.org/officeDocument/2006/relationships" ref="K2351" r:id="rId6767"/>
    <hyperlink xmlns:r="http://schemas.openxmlformats.org/officeDocument/2006/relationships" ref="I2352" r:id="rId6768"/>
    <hyperlink xmlns:r="http://schemas.openxmlformats.org/officeDocument/2006/relationships" ref="J2352" r:id="rId6769"/>
    <hyperlink xmlns:r="http://schemas.openxmlformats.org/officeDocument/2006/relationships" ref="K2352" r:id="rId6770"/>
    <hyperlink xmlns:r="http://schemas.openxmlformats.org/officeDocument/2006/relationships" ref="I2353" r:id="rId6771"/>
    <hyperlink xmlns:r="http://schemas.openxmlformats.org/officeDocument/2006/relationships" ref="J2353" r:id="rId6772"/>
    <hyperlink xmlns:r="http://schemas.openxmlformats.org/officeDocument/2006/relationships" ref="K2353" r:id="rId6773"/>
    <hyperlink xmlns:r="http://schemas.openxmlformats.org/officeDocument/2006/relationships" ref="I2354" r:id="rId6774"/>
    <hyperlink xmlns:r="http://schemas.openxmlformats.org/officeDocument/2006/relationships" ref="J2354" r:id="rId6775"/>
    <hyperlink xmlns:r="http://schemas.openxmlformats.org/officeDocument/2006/relationships" ref="K2354" r:id="rId6776"/>
    <hyperlink xmlns:r="http://schemas.openxmlformats.org/officeDocument/2006/relationships" ref="I2355" r:id="rId6777"/>
    <hyperlink xmlns:r="http://schemas.openxmlformats.org/officeDocument/2006/relationships" ref="J2355" r:id="rId6778"/>
    <hyperlink xmlns:r="http://schemas.openxmlformats.org/officeDocument/2006/relationships" ref="K2355" r:id="rId6779"/>
    <hyperlink xmlns:r="http://schemas.openxmlformats.org/officeDocument/2006/relationships" ref="I2356" r:id="rId6780"/>
    <hyperlink xmlns:r="http://schemas.openxmlformats.org/officeDocument/2006/relationships" ref="J2356" r:id="rId6781"/>
    <hyperlink xmlns:r="http://schemas.openxmlformats.org/officeDocument/2006/relationships" ref="K2356" r:id="rId6782"/>
    <hyperlink xmlns:r="http://schemas.openxmlformats.org/officeDocument/2006/relationships" ref="I2357" r:id="rId6783"/>
    <hyperlink xmlns:r="http://schemas.openxmlformats.org/officeDocument/2006/relationships" ref="J2357" r:id="rId6784"/>
    <hyperlink xmlns:r="http://schemas.openxmlformats.org/officeDocument/2006/relationships" ref="K2357" r:id="rId6785"/>
    <hyperlink xmlns:r="http://schemas.openxmlformats.org/officeDocument/2006/relationships" ref="I2358" r:id="rId6786"/>
    <hyperlink xmlns:r="http://schemas.openxmlformats.org/officeDocument/2006/relationships" ref="J2358" r:id="rId6787"/>
    <hyperlink xmlns:r="http://schemas.openxmlformats.org/officeDocument/2006/relationships" ref="K2358" r:id="rId6788"/>
    <hyperlink xmlns:r="http://schemas.openxmlformats.org/officeDocument/2006/relationships" ref="I2359" r:id="rId6789"/>
    <hyperlink xmlns:r="http://schemas.openxmlformats.org/officeDocument/2006/relationships" ref="J2359" r:id="rId6790"/>
    <hyperlink xmlns:r="http://schemas.openxmlformats.org/officeDocument/2006/relationships" ref="K2359" r:id="rId6791"/>
    <hyperlink xmlns:r="http://schemas.openxmlformats.org/officeDocument/2006/relationships" ref="I2360" r:id="rId6792"/>
    <hyperlink xmlns:r="http://schemas.openxmlformats.org/officeDocument/2006/relationships" ref="J2360" r:id="rId6793"/>
    <hyperlink xmlns:r="http://schemas.openxmlformats.org/officeDocument/2006/relationships" ref="K2360" r:id="rId6794"/>
    <hyperlink xmlns:r="http://schemas.openxmlformats.org/officeDocument/2006/relationships" ref="I2361" r:id="rId6795"/>
    <hyperlink xmlns:r="http://schemas.openxmlformats.org/officeDocument/2006/relationships" ref="J2361" r:id="rId6796"/>
    <hyperlink xmlns:r="http://schemas.openxmlformats.org/officeDocument/2006/relationships" ref="I2362" r:id="rId6797"/>
    <hyperlink xmlns:r="http://schemas.openxmlformats.org/officeDocument/2006/relationships" ref="J2362" r:id="rId6798"/>
    <hyperlink xmlns:r="http://schemas.openxmlformats.org/officeDocument/2006/relationships" ref="I2363" r:id="rId6799"/>
    <hyperlink xmlns:r="http://schemas.openxmlformats.org/officeDocument/2006/relationships" ref="J2363" r:id="rId6800"/>
    <hyperlink xmlns:r="http://schemas.openxmlformats.org/officeDocument/2006/relationships" ref="I2364" r:id="rId6801"/>
    <hyperlink xmlns:r="http://schemas.openxmlformats.org/officeDocument/2006/relationships" ref="J2364" r:id="rId6802"/>
    <hyperlink xmlns:r="http://schemas.openxmlformats.org/officeDocument/2006/relationships" ref="I2365" r:id="rId6803"/>
    <hyperlink xmlns:r="http://schemas.openxmlformats.org/officeDocument/2006/relationships" ref="J2365" r:id="rId6804"/>
    <hyperlink xmlns:r="http://schemas.openxmlformats.org/officeDocument/2006/relationships" ref="I2366" r:id="rId6805"/>
    <hyperlink xmlns:r="http://schemas.openxmlformats.org/officeDocument/2006/relationships" ref="J2366" r:id="rId6806"/>
    <hyperlink xmlns:r="http://schemas.openxmlformats.org/officeDocument/2006/relationships" ref="I2367" r:id="rId6807"/>
    <hyperlink xmlns:r="http://schemas.openxmlformats.org/officeDocument/2006/relationships" ref="J2367" r:id="rId6808"/>
    <hyperlink xmlns:r="http://schemas.openxmlformats.org/officeDocument/2006/relationships" ref="I2368" r:id="rId6809"/>
    <hyperlink xmlns:r="http://schemas.openxmlformats.org/officeDocument/2006/relationships" ref="J2368" r:id="rId6810"/>
    <hyperlink xmlns:r="http://schemas.openxmlformats.org/officeDocument/2006/relationships" ref="K2368" r:id="rId6811"/>
    <hyperlink xmlns:r="http://schemas.openxmlformats.org/officeDocument/2006/relationships" ref="I2369" r:id="rId6812"/>
    <hyperlink xmlns:r="http://schemas.openxmlformats.org/officeDocument/2006/relationships" ref="J2369" r:id="rId6813"/>
    <hyperlink xmlns:r="http://schemas.openxmlformats.org/officeDocument/2006/relationships" ref="K2369" r:id="rId6814"/>
    <hyperlink xmlns:r="http://schemas.openxmlformats.org/officeDocument/2006/relationships" ref="I2370" r:id="rId6815"/>
    <hyperlink xmlns:r="http://schemas.openxmlformats.org/officeDocument/2006/relationships" ref="J2370" r:id="rId6816"/>
    <hyperlink xmlns:r="http://schemas.openxmlformats.org/officeDocument/2006/relationships" ref="K2370" r:id="rId6817"/>
    <hyperlink xmlns:r="http://schemas.openxmlformats.org/officeDocument/2006/relationships" ref="I2371" r:id="rId6818"/>
    <hyperlink xmlns:r="http://schemas.openxmlformats.org/officeDocument/2006/relationships" ref="J2371" r:id="rId6819"/>
    <hyperlink xmlns:r="http://schemas.openxmlformats.org/officeDocument/2006/relationships" ref="K2371" r:id="rId6820"/>
    <hyperlink xmlns:r="http://schemas.openxmlformats.org/officeDocument/2006/relationships" ref="I2372" r:id="rId6821"/>
    <hyperlink xmlns:r="http://schemas.openxmlformats.org/officeDocument/2006/relationships" ref="J2372" r:id="rId6822"/>
    <hyperlink xmlns:r="http://schemas.openxmlformats.org/officeDocument/2006/relationships" ref="K2372" r:id="rId6823"/>
    <hyperlink xmlns:r="http://schemas.openxmlformats.org/officeDocument/2006/relationships" ref="I2373" r:id="rId6824"/>
    <hyperlink xmlns:r="http://schemas.openxmlformats.org/officeDocument/2006/relationships" ref="J2373" r:id="rId6825"/>
    <hyperlink xmlns:r="http://schemas.openxmlformats.org/officeDocument/2006/relationships" ref="K2373" r:id="rId6826"/>
    <hyperlink xmlns:r="http://schemas.openxmlformats.org/officeDocument/2006/relationships" ref="I2374" r:id="rId6827"/>
    <hyperlink xmlns:r="http://schemas.openxmlformats.org/officeDocument/2006/relationships" ref="J2374" r:id="rId6828"/>
    <hyperlink xmlns:r="http://schemas.openxmlformats.org/officeDocument/2006/relationships" ref="K2374" r:id="rId6829"/>
    <hyperlink xmlns:r="http://schemas.openxmlformats.org/officeDocument/2006/relationships" ref="I2375" r:id="rId6830"/>
    <hyperlink xmlns:r="http://schemas.openxmlformats.org/officeDocument/2006/relationships" ref="J2375" r:id="rId6831"/>
    <hyperlink xmlns:r="http://schemas.openxmlformats.org/officeDocument/2006/relationships" ref="K2375" r:id="rId6832"/>
    <hyperlink xmlns:r="http://schemas.openxmlformats.org/officeDocument/2006/relationships" ref="I2376" r:id="rId6833"/>
    <hyperlink xmlns:r="http://schemas.openxmlformats.org/officeDocument/2006/relationships" ref="J2376" r:id="rId6834"/>
    <hyperlink xmlns:r="http://schemas.openxmlformats.org/officeDocument/2006/relationships" ref="K2376" r:id="rId6835"/>
    <hyperlink xmlns:r="http://schemas.openxmlformats.org/officeDocument/2006/relationships" ref="I2377" r:id="rId6836"/>
    <hyperlink xmlns:r="http://schemas.openxmlformats.org/officeDocument/2006/relationships" ref="J2377" r:id="rId6837"/>
    <hyperlink xmlns:r="http://schemas.openxmlformats.org/officeDocument/2006/relationships" ref="K2377" r:id="rId6838"/>
    <hyperlink xmlns:r="http://schemas.openxmlformats.org/officeDocument/2006/relationships" ref="I2378" r:id="rId6839"/>
    <hyperlink xmlns:r="http://schemas.openxmlformats.org/officeDocument/2006/relationships" ref="J2378" r:id="rId6840"/>
    <hyperlink xmlns:r="http://schemas.openxmlformats.org/officeDocument/2006/relationships" ref="K2378" r:id="rId6841"/>
    <hyperlink xmlns:r="http://schemas.openxmlformats.org/officeDocument/2006/relationships" ref="I2379" r:id="rId6842"/>
    <hyperlink xmlns:r="http://schemas.openxmlformats.org/officeDocument/2006/relationships" ref="J2379" r:id="rId6843"/>
    <hyperlink xmlns:r="http://schemas.openxmlformats.org/officeDocument/2006/relationships" ref="K2379" r:id="rId6844"/>
    <hyperlink xmlns:r="http://schemas.openxmlformats.org/officeDocument/2006/relationships" ref="I2380" r:id="rId6845"/>
    <hyperlink xmlns:r="http://schemas.openxmlformats.org/officeDocument/2006/relationships" ref="J2380" r:id="rId6846"/>
    <hyperlink xmlns:r="http://schemas.openxmlformats.org/officeDocument/2006/relationships" ref="K2380" r:id="rId6847"/>
    <hyperlink xmlns:r="http://schemas.openxmlformats.org/officeDocument/2006/relationships" ref="I2381" r:id="rId6848"/>
    <hyperlink xmlns:r="http://schemas.openxmlformats.org/officeDocument/2006/relationships" ref="J2381" r:id="rId6849"/>
    <hyperlink xmlns:r="http://schemas.openxmlformats.org/officeDocument/2006/relationships" ref="K2381" r:id="rId6850"/>
    <hyperlink xmlns:r="http://schemas.openxmlformats.org/officeDocument/2006/relationships" ref="I2382" r:id="rId6851"/>
    <hyperlink xmlns:r="http://schemas.openxmlformats.org/officeDocument/2006/relationships" ref="J2382" r:id="rId6852"/>
    <hyperlink xmlns:r="http://schemas.openxmlformats.org/officeDocument/2006/relationships" ref="K2382" r:id="rId6853"/>
    <hyperlink xmlns:r="http://schemas.openxmlformats.org/officeDocument/2006/relationships" ref="I2383" r:id="rId6854"/>
    <hyperlink xmlns:r="http://schemas.openxmlformats.org/officeDocument/2006/relationships" ref="J2383" r:id="rId6855"/>
    <hyperlink xmlns:r="http://schemas.openxmlformats.org/officeDocument/2006/relationships" ref="K2383" r:id="rId6856"/>
    <hyperlink xmlns:r="http://schemas.openxmlformats.org/officeDocument/2006/relationships" ref="I2384" r:id="rId6857"/>
    <hyperlink xmlns:r="http://schemas.openxmlformats.org/officeDocument/2006/relationships" ref="J2384" r:id="rId6858"/>
    <hyperlink xmlns:r="http://schemas.openxmlformats.org/officeDocument/2006/relationships" ref="K2384" r:id="rId6859"/>
    <hyperlink xmlns:r="http://schemas.openxmlformats.org/officeDocument/2006/relationships" ref="I2385" r:id="rId6860"/>
    <hyperlink xmlns:r="http://schemas.openxmlformats.org/officeDocument/2006/relationships" ref="J2385" r:id="rId6861"/>
    <hyperlink xmlns:r="http://schemas.openxmlformats.org/officeDocument/2006/relationships" ref="K2385" r:id="rId6862"/>
    <hyperlink xmlns:r="http://schemas.openxmlformats.org/officeDocument/2006/relationships" ref="I2386" r:id="rId6863"/>
    <hyperlink xmlns:r="http://schemas.openxmlformats.org/officeDocument/2006/relationships" ref="J2386" r:id="rId6864"/>
    <hyperlink xmlns:r="http://schemas.openxmlformats.org/officeDocument/2006/relationships" ref="K2386" r:id="rId6865"/>
    <hyperlink xmlns:r="http://schemas.openxmlformats.org/officeDocument/2006/relationships" ref="I2387" r:id="rId6866"/>
    <hyperlink xmlns:r="http://schemas.openxmlformats.org/officeDocument/2006/relationships" ref="J2387" r:id="rId6867"/>
    <hyperlink xmlns:r="http://schemas.openxmlformats.org/officeDocument/2006/relationships" ref="K2387" r:id="rId6868"/>
    <hyperlink xmlns:r="http://schemas.openxmlformats.org/officeDocument/2006/relationships" ref="I2388" r:id="rId6869"/>
    <hyperlink xmlns:r="http://schemas.openxmlformats.org/officeDocument/2006/relationships" ref="J2388" r:id="rId6870"/>
    <hyperlink xmlns:r="http://schemas.openxmlformats.org/officeDocument/2006/relationships" ref="K2388" r:id="rId6871"/>
    <hyperlink xmlns:r="http://schemas.openxmlformats.org/officeDocument/2006/relationships" ref="I2389" r:id="rId6872"/>
    <hyperlink xmlns:r="http://schemas.openxmlformats.org/officeDocument/2006/relationships" ref="J2389" r:id="rId6873"/>
    <hyperlink xmlns:r="http://schemas.openxmlformats.org/officeDocument/2006/relationships" ref="K2389" r:id="rId6874"/>
    <hyperlink xmlns:r="http://schemas.openxmlformats.org/officeDocument/2006/relationships" ref="I2390" r:id="rId6875"/>
    <hyperlink xmlns:r="http://schemas.openxmlformats.org/officeDocument/2006/relationships" ref="J2390" r:id="rId6876"/>
    <hyperlink xmlns:r="http://schemas.openxmlformats.org/officeDocument/2006/relationships" ref="K2390" r:id="rId6877"/>
    <hyperlink xmlns:r="http://schemas.openxmlformats.org/officeDocument/2006/relationships" ref="I2391" r:id="rId6878"/>
    <hyperlink xmlns:r="http://schemas.openxmlformats.org/officeDocument/2006/relationships" ref="J2391" r:id="rId6879"/>
    <hyperlink xmlns:r="http://schemas.openxmlformats.org/officeDocument/2006/relationships" ref="K2391" r:id="rId6880"/>
    <hyperlink xmlns:r="http://schemas.openxmlformats.org/officeDocument/2006/relationships" ref="I2392" r:id="rId6881"/>
    <hyperlink xmlns:r="http://schemas.openxmlformats.org/officeDocument/2006/relationships" ref="J2392" r:id="rId6882"/>
    <hyperlink xmlns:r="http://schemas.openxmlformats.org/officeDocument/2006/relationships" ref="K2392" r:id="rId6883"/>
    <hyperlink xmlns:r="http://schemas.openxmlformats.org/officeDocument/2006/relationships" ref="I2393" r:id="rId6884"/>
    <hyperlink xmlns:r="http://schemas.openxmlformats.org/officeDocument/2006/relationships" ref="J2393" r:id="rId6885"/>
    <hyperlink xmlns:r="http://schemas.openxmlformats.org/officeDocument/2006/relationships" ref="K2393" r:id="rId6886"/>
    <hyperlink xmlns:r="http://schemas.openxmlformats.org/officeDocument/2006/relationships" ref="I2394" r:id="rId6887"/>
    <hyperlink xmlns:r="http://schemas.openxmlformats.org/officeDocument/2006/relationships" ref="J2394" r:id="rId6888"/>
    <hyperlink xmlns:r="http://schemas.openxmlformats.org/officeDocument/2006/relationships" ref="K2394" r:id="rId6889"/>
    <hyperlink xmlns:r="http://schemas.openxmlformats.org/officeDocument/2006/relationships" ref="I2395" r:id="rId6890"/>
    <hyperlink xmlns:r="http://schemas.openxmlformats.org/officeDocument/2006/relationships" ref="J2395" r:id="rId6891"/>
    <hyperlink xmlns:r="http://schemas.openxmlformats.org/officeDocument/2006/relationships" ref="K2395" r:id="rId6892"/>
    <hyperlink xmlns:r="http://schemas.openxmlformats.org/officeDocument/2006/relationships" ref="I2396" r:id="rId6893"/>
    <hyperlink xmlns:r="http://schemas.openxmlformats.org/officeDocument/2006/relationships" ref="J2396" r:id="rId6894"/>
    <hyperlink xmlns:r="http://schemas.openxmlformats.org/officeDocument/2006/relationships" ref="K2396" r:id="rId6895"/>
    <hyperlink xmlns:r="http://schemas.openxmlformats.org/officeDocument/2006/relationships" ref="I2397" r:id="rId6896"/>
    <hyperlink xmlns:r="http://schemas.openxmlformats.org/officeDocument/2006/relationships" ref="J2397" r:id="rId6897"/>
    <hyperlink xmlns:r="http://schemas.openxmlformats.org/officeDocument/2006/relationships" ref="K2397" r:id="rId6898"/>
    <hyperlink xmlns:r="http://schemas.openxmlformats.org/officeDocument/2006/relationships" ref="I2398" r:id="rId6899"/>
    <hyperlink xmlns:r="http://schemas.openxmlformats.org/officeDocument/2006/relationships" ref="J2398" r:id="rId6900"/>
    <hyperlink xmlns:r="http://schemas.openxmlformats.org/officeDocument/2006/relationships" ref="K2398" r:id="rId6901"/>
    <hyperlink xmlns:r="http://schemas.openxmlformats.org/officeDocument/2006/relationships" ref="I2399" r:id="rId6902"/>
    <hyperlink xmlns:r="http://schemas.openxmlformats.org/officeDocument/2006/relationships" ref="J2399" r:id="rId6903"/>
    <hyperlink xmlns:r="http://schemas.openxmlformats.org/officeDocument/2006/relationships" ref="K2399" r:id="rId6904"/>
    <hyperlink xmlns:r="http://schemas.openxmlformats.org/officeDocument/2006/relationships" ref="I2400" r:id="rId6905"/>
    <hyperlink xmlns:r="http://schemas.openxmlformats.org/officeDocument/2006/relationships" ref="J2400" r:id="rId6906"/>
    <hyperlink xmlns:r="http://schemas.openxmlformats.org/officeDocument/2006/relationships" ref="K2400" r:id="rId6907"/>
    <hyperlink xmlns:r="http://schemas.openxmlformats.org/officeDocument/2006/relationships" ref="I2401" r:id="rId6908"/>
    <hyperlink xmlns:r="http://schemas.openxmlformats.org/officeDocument/2006/relationships" ref="J2401" r:id="rId6909"/>
    <hyperlink xmlns:r="http://schemas.openxmlformats.org/officeDocument/2006/relationships" ref="K2401" r:id="rId6910"/>
    <hyperlink xmlns:r="http://schemas.openxmlformats.org/officeDocument/2006/relationships" ref="I2402" r:id="rId6911"/>
    <hyperlink xmlns:r="http://schemas.openxmlformats.org/officeDocument/2006/relationships" ref="J2402" r:id="rId6912"/>
    <hyperlink xmlns:r="http://schemas.openxmlformats.org/officeDocument/2006/relationships" ref="K2402" r:id="rId6913"/>
    <hyperlink xmlns:r="http://schemas.openxmlformats.org/officeDocument/2006/relationships" ref="I2403" r:id="rId6914"/>
    <hyperlink xmlns:r="http://schemas.openxmlformats.org/officeDocument/2006/relationships" ref="J2403" r:id="rId6915"/>
    <hyperlink xmlns:r="http://schemas.openxmlformats.org/officeDocument/2006/relationships" ref="K2403" r:id="rId6916"/>
    <hyperlink xmlns:r="http://schemas.openxmlformats.org/officeDocument/2006/relationships" ref="I2404" r:id="rId6917"/>
    <hyperlink xmlns:r="http://schemas.openxmlformats.org/officeDocument/2006/relationships" ref="J2404" r:id="rId6918"/>
    <hyperlink xmlns:r="http://schemas.openxmlformats.org/officeDocument/2006/relationships" ref="K2404" r:id="rId6919"/>
    <hyperlink xmlns:r="http://schemas.openxmlformats.org/officeDocument/2006/relationships" ref="I2405" r:id="rId6920"/>
    <hyperlink xmlns:r="http://schemas.openxmlformats.org/officeDocument/2006/relationships" ref="J2405" r:id="rId6921"/>
    <hyperlink xmlns:r="http://schemas.openxmlformats.org/officeDocument/2006/relationships" ref="K2405" r:id="rId6922"/>
    <hyperlink xmlns:r="http://schemas.openxmlformats.org/officeDocument/2006/relationships" ref="I2406" r:id="rId6923"/>
    <hyperlink xmlns:r="http://schemas.openxmlformats.org/officeDocument/2006/relationships" ref="J2406" r:id="rId6924"/>
    <hyperlink xmlns:r="http://schemas.openxmlformats.org/officeDocument/2006/relationships" ref="K2406" r:id="rId6925"/>
    <hyperlink xmlns:r="http://schemas.openxmlformats.org/officeDocument/2006/relationships" ref="I2407" r:id="rId6926"/>
    <hyperlink xmlns:r="http://schemas.openxmlformats.org/officeDocument/2006/relationships" ref="J2407" r:id="rId6927"/>
    <hyperlink xmlns:r="http://schemas.openxmlformats.org/officeDocument/2006/relationships" ref="K2407" r:id="rId6928"/>
    <hyperlink xmlns:r="http://schemas.openxmlformats.org/officeDocument/2006/relationships" ref="I2408" r:id="rId6929"/>
    <hyperlink xmlns:r="http://schemas.openxmlformats.org/officeDocument/2006/relationships" ref="J2408" r:id="rId6930"/>
    <hyperlink xmlns:r="http://schemas.openxmlformats.org/officeDocument/2006/relationships" ref="K2408" r:id="rId6931"/>
    <hyperlink xmlns:r="http://schemas.openxmlformats.org/officeDocument/2006/relationships" ref="I2409" r:id="rId6932"/>
    <hyperlink xmlns:r="http://schemas.openxmlformats.org/officeDocument/2006/relationships" ref="J2409" r:id="rId6933"/>
    <hyperlink xmlns:r="http://schemas.openxmlformats.org/officeDocument/2006/relationships" ref="K2409" r:id="rId6934"/>
    <hyperlink xmlns:r="http://schemas.openxmlformats.org/officeDocument/2006/relationships" ref="I2410" r:id="rId6935"/>
    <hyperlink xmlns:r="http://schemas.openxmlformats.org/officeDocument/2006/relationships" ref="J2410" r:id="rId6936"/>
    <hyperlink xmlns:r="http://schemas.openxmlformats.org/officeDocument/2006/relationships" ref="K2410" r:id="rId6937"/>
    <hyperlink xmlns:r="http://schemas.openxmlformats.org/officeDocument/2006/relationships" ref="I2411" r:id="rId6938"/>
    <hyperlink xmlns:r="http://schemas.openxmlformats.org/officeDocument/2006/relationships" ref="J2411" r:id="rId6939"/>
    <hyperlink xmlns:r="http://schemas.openxmlformats.org/officeDocument/2006/relationships" ref="K2411" r:id="rId6940"/>
    <hyperlink xmlns:r="http://schemas.openxmlformats.org/officeDocument/2006/relationships" ref="I2412" r:id="rId6941"/>
    <hyperlink xmlns:r="http://schemas.openxmlformats.org/officeDocument/2006/relationships" ref="J2412" r:id="rId6942"/>
    <hyperlink xmlns:r="http://schemas.openxmlformats.org/officeDocument/2006/relationships" ref="K2412" r:id="rId6943"/>
    <hyperlink xmlns:r="http://schemas.openxmlformats.org/officeDocument/2006/relationships" ref="I2413" r:id="rId6944"/>
    <hyperlink xmlns:r="http://schemas.openxmlformats.org/officeDocument/2006/relationships" ref="J2413" r:id="rId6945"/>
    <hyperlink xmlns:r="http://schemas.openxmlformats.org/officeDocument/2006/relationships" ref="K2413" r:id="rId6946"/>
    <hyperlink xmlns:r="http://schemas.openxmlformats.org/officeDocument/2006/relationships" ref="I2414" r:id="rId6947"/>
    <hyperlink xmlns:r="http://schemas.openxmlformats.org/officeDocument/2006/relationships" ref="J2414" r:id="rId6948"/>
    <hyperlink xmlns:r="http://schemas.openxmlformats.org/officeDocument/2006/relationships" ref="K2414" r:id="rId6949"/>
    <hyperlink xmlns:r="http://schemas.openxmlformats.org/officeDocument/2006/relationships" ref="I2415" r:id="rId6950"/>
    <hyperlink xmlns:r="http://schemas.openxmlformats.org/officeDocument/2006/relationships" ref="J2415" r:id="rId6951"/>
    <hyperlink xmlns:r="http://schemas.openxmlformats.org/officeDocument/2006/relationships" ref="K2415" r:id="rId6952"/>
    <hyperlink xmlns:r="http://schemas.openxmlformats.org/officeDocument/2006/relationships" ref="I2416" r:id="rId6953"/>
    <hyperlink xmlns:r="http://schemas.openxmlformats.org/officeDocument/2006/relationships" ref="J2416" r:id="rId6954"/>
    <hyperlink xmlns:r="http://schemas.openxmlformats.org/officeDocument/2006/relationships" ref="K2416" r:id="rId6955"/>
    <hyperlink xmlns:r="http://schemas.openxmlformats.org/officeDocument/2006/relationships" ref="I2417" r:id="rId6956"/>
    <hyperlink xmlns:r="http://schemas.openxmlformats.org/officeDocument/2006/relationships" ref="J2417" r:id="rId6957"/>
    <hyperlink xmlns:r="http://schemas.openxmlformats.org/officeDocument/2006/relationships" ref="K2417" r:id="rId6958"/>
    <hyperlink xmlns:r="http://schemas.openxmlformats.org/officeDocument/2006/relationships" ref="I2418" r:id="rId6959"/>
    <hyperlink xmlns:r="http://schemas.openxmlformats.org/officeDocument/2006/relationships" ref="J2418" r:id="rId6960"/>
    <hyperlink xmlns:r="http://schemas.openxmlformats.org/officeDocument/2006/relationships" ref="K2418" r:id="rId6961"/>
    <hyperlink xmlns:r="http://schemas.openxmlformats.org/officeDocument/2006/relationships" ref="I2419" r:id="rId6962"/>
    <hyperlink xmlns:r="http://schemas.openxmlformats.org/officeDocument/2006/relationships" ref="J2419" r:id="rId6963"/>
    <hyperlink xmlns:r="http://schemas.openxmlformats.org/officeDocument/2006/relationships" ref="K2419" r:id="rId6964"/>
    <hyperlink xmlns:r="http://schemas.openxmlformats.org/officeDocument/2006/relationships" ref="I2420" r:id="rId6965"/>
    <hyperlink xmlns:r="http://schemas.openxmlformats.org/officeDocument/2006/relationships" ref="J2420" r:id="rId6966"/>
    <hyperlink xmlns:r="http://schemas.openxmlformats.org/officeDocument/2006/relationships" ref="K2420" r:id="rId6967"/>
    <hyperlink xmlns:r="http://schemas.openxmlformats.org/officeDocument/2006/relationships" ref="I2421" r:id="rId6968"/>
    <hyperlink xmlns:r="http://schemas.openxmlformats.org/officeDocument/2006/relationships" ref="J2421" r:id="rId6969"/>
    <hyperlink xmlns:r="http://schemas.openxmlformats.org/officeDocument/2006/relationships" ref="K2421" r:id="rId6970"/>
    <hyperlink xmlns:r="http://schemas.openxmlformats.org/officeDocument/2006/relationships" ref="I2422" r:id="rId6971"/>
    <hyperlink xmlns:r="http://schemas.openxmlformats.org/officeDocument/2006/relationships" ref="J2422" r:id="rId6972"/>
    <hyperlink xmlns:r="http://schemas.openxmlformats.org/officeDocument/2006/relationships" ref="K2422" r:id="rId6973"/>
    <hyperlink xmlns:r="http://schemas.openxmlformats.org/officeDocument/2006/relationships" ref="I2423" r:id="rId6974"/>
    <hyperlink xmlns:r="http://schemas.openxmlformats.org/officeDocument/2006/relationships" ref="J2423" r:id="rId6975"/>
    <hyperlink xmlns:r="http://schemas.openxmlformats.org/officeDocument/2006/relationships" ref="K2423" r:id="rId6976"/>
    <hyperlink xmlns:r="http://schemas.openxmlformats.org/officeDocument/2006/relationships" ref="I2424" r:id="rId6977"/>
    <hyperlink xmlns:r="http://schemas.openxmlformats.org/officeDocument/2006/relationships" ref="J2424" r:id="rId6978"/>
    <hyperlink xmlns:r="http://schemas.openxmlformats.org/officeDocument/2006/relationships" ref="K2424" r:id="rId6979"/>
    <hyperlink xmlns:r="http://schemas.openxmlformats.org/officeDocument/2006/relationships" ref="I2425" r:id="rId6980"/>
    <hyperlink xmlns:r="http://schemas.openxmlformats.org/officeDocument/2006/relationships" ref="J2425" r:id="rId6981"/>
    <hyperlink xmlns:r="http://schemas.openxmlformats.org/officeDocument/2006/relationships" ref="K2425" r:id="rId6982"/>
    <hyperlink xmlns:r="http://schemas.openxmlformats.org/officeDocument/2006/relationships" ref="I2426" r:id="rId6983"/>
    <hyperlink xmlns:r="http://schemas.openxmlformats.org/officeDocument/2006/relationships" ref="J2426" r:id="rId6984"/>
    <hyperlink xmlns:r="http://schemas.openxmlformats.org/officeDocument/2006/relationships" ref="K2426" r:id="rId6985"/>
    <hyperlink xmlns:r="http://schemas.openxmlformats.org/officeDocument/2006/relationships" ref="I2427" r:id="rId6986"/>
    <hyperlink xmlns:r="http://schemas.openxmlformats.org/officeDocument/2006/relationships" ref="J2427" r:id="rId6987"/>
    <hyperlink xmlns:r="http://schemas.openxmlformats.org/officeDocument/2006/relationships" ref="K2427" r:id="rId6988"/>
    <hyperlink xmlns:r="http://schemas.openxmlformats.org/officeDocument/2006/relationships" ref="I2428" r:id="rId6989"/>
    <hyperlink xmlns:r="http://schemas.openxmlformats.org/officeDocument/2006/relationships" ref="J2428" r:id="rId6990"/>
    <hyperlink xmlns:r="http://schemas.openxmlformats.org/officeDocument/2006/relationships" ref="K2428" r:id="rId6991"/>
    <hyperlink xmlns:r="http://schemas.openxmlformats.org/officeDocument/2006/relationships" ref="I2429" r:id="rId6992"/>
    <hyperlink xmlns:r="http://schemas.openxmlformats.org/officeDocument/2006/relationships" ref="J2429" r:id="rId6993"/>
    <hyperlink xmlns:r="http://schemas.openxmlformats.org/officeDocument/2006/relationships" ref="K2429" r:id="rId6994"/>
    <hyperlink xmlns:r="http://schemas.openxmlformats.org/officeDocument/2006/relationships" ref="I2430" r:id="rId6995"/>
    <hyperlink xmlns:r="http://schemas.openxmlformats.org/officeDocument/2006/relationships" ref="J2430" r:id="rId6996"/>
    <hyperlink xmlns:r="http://schemas.openxmlformats.org/officeDocument/2006/relationships" ref="K2430" r:id="rId6997"/>
    <hyperlink xmlns:r="http://schemas.openxmlformats.org/officeDocument/2006/relationships" ref="I2431" r:id="rId6998"/>
    <hyperlink xmlns:r="http://schemas.openxmlformats.org/officeDocument/2006/relationships" ref="J2431" r:id="rId6999"/>
    <hyperlink xmlns:r="http://schemas.openxmlformats.org/officeDocument/2006/relationships" ref="K2431" r:id="rId7000"/>
    <hyperlink xmlns:r="http://schemas.openxmlformats.org/officeDocument/2006/relationships" ref="I2432" r:id="rId7001"/>
    <hyperlink xmlns:r="http://schemas.openxmlformats.org/officeDocument/2006/relationships" ref="J2432" r:id="rId7002"/>
    <hyperlink xmlns:r="http://schemas.openxmlformats.org/officeDocument/2006/relationships" ref="K2432" r:id="rId7003"/>
    <hyperlink xmlns:r="http://schemas.openxmlformats.org/officeDocument/2006/relationships" ref="I2433" r:id="rId7004"/>
    <hyperlink xmlns:r="http://schemas.openxmlformats.org/officeDocument/2006/relationships" ref="J2433" r:id="rId7005"/>
    <hyperlink xmlns:r="http://schemas.openxmlformats.org/officeDocument/2006/relationships" ref="K2433" r:id="rId7006"/>
    <hyperlink xmlns:r="http://schemas.openxmlformats.org/officeDocument/2006/relationships" ref="I2434" r:id="rId7007"/>
    <hyperlink xmlns:r="http://schemas.openxmlformats.org/officeDocument/2006/relationships" ref="J2434" r:id="rId7008"/>
    <hyperlink xmlns:r="http://schemas.openxmlformats.org/officeDocument/2006/relationships" ref="K2434" r:id="rId7009"/>
    <hyperlink xmlns:r="http://schemas.openxmlformats.org/officeDocument/2006/relationships" ref="I2435" r:id="rId7010"/>
    <hyperlink xmlns:r="http://schemas.openxmlformats.org/officeDocument/2006/relationships" ref="J2435" r:id="rId7011"/>
    <hyperlink xmlns:r="http://schemas.openxmlformats.org/officeDocument/2006/relationships" ref="K2435" r:id="rId7012"/>
    <hyperlink xmlns:r="http://schemas.openxmlformats.org/officeDocument/2006/relationships" ref="I2436" r:id="rId7013"/>
    <hyperlink xmlns:r="http://schemas.openxmlformats.org/officeDocument/2006/relationships" ref="J2436" r:id="rId7014"/>
    <hyperlink xmlns:r="http://schemas.openxmlformats.org/officeDocument/2006/relationships" ref="K2436" r:id="rId7015"/>
    <hyperlink xmlns:r="http://schemas.openxmlformats.org/officeDocument/2006/relationships" ref="I2437" r:id="rId7016"/>
    <hyperlink xmlns:r="http://schemas.openxmlformats.org/officeDocument/2006/relationships" ref="J2437" r:id="rId7017"/>
    <hyperlink xmlns:r="http://schemas.openxmlformats.org/officeDocument/2006/relationships" ref="K2437" r:id="rId7018"/>
    <hyperlink xmlns:r="http://schemas.openxmlformats.org/officeDocument/2006/relationships" ref="I2438" r:id="rId7019"/>
    <hyperlink xmlns:r="http://schemas.openxmlformats.org/officeDocument/2006/relationships" ref="J2438" r:id="rId7020"/>
    <hyperlink xmlns:r="http://schemas.openxmlformats.org/officeDocument/2006/relationships" ref="K2438" r:id="rId7021"/>
    <hyperlink xmlns:r="http://schemas.openxmlformats.org/officeDocument/2006/relationships" ref="I2439" r:id="rId7022"/>
    <hyperlink xmlns:r="http://schemas.openxmlformats.org/officeDocument/2006/relationships" ref="J2439" r:id="rId7023"/>
    <hyperlink xmlns:r="http://schemas.openxmlformats.org/officeDocument/2006/relationships" ref="K2439" r:id="rId7024"/>
    <hyperlink xmlns:r="http://schemas.openxmlformats.org/officeDocument/2006/relationships" ref="I2440" r:id="rId7025"/>
    <hyperlink xmlns:r="http://schemas.openxmlformats.org/officeDocument/2006/relationships" ref="J2440" r:id="rId7026"/>
    <hyperlink xmlns:r="http://schemas.openxmlformats.org/officeDocument/2006/relationships" ref="K2440" r:id="rId7027"/>
    <hyperlink xmlns:r="http://schemas.openxmlformats.org/officeDocument/2006/relationships" ref="I2441" r:id="rId7028"/>
    <hyperlink xmlns:r="http://schemas.openxmlformats.org/officeDocument/2006/relationships" ref="J2441" r:id="rId7029"/>
    <hyperlink xmlns:r="http://schemas.openxmlformats.org/officeDocument/2006/relationships" ref="K2441" r:id="rId7030"/>
    <hyperlink xmlns:r="http://schemas.openxmlformats.org/officeDocument/2006/relationships" ref="I2442" r:id="rId7031"/>
    <hyperlink xmlns:r="http://schemas.openxmlformats.org/officeDocument/2006/relationships" ref="J2442" r:id="rId7032"/>
    <hyperlink xmlns:r="http://schemas.openxmlformats.org/officeDocument/2006/relationships" ref="K2442" r:id="rId7033"/>
    <hyperlink xmlns:r="http://schemas.openxmlformats.org/officeDocument/2006/relationships" ref="I2443" r:id="rId7034"/>
    <hyperlink xmlns:r="http://schemas.openxmlformats.org/officeDocument/2006/relationships" ref="J2443" r:id="rId7035"/>
    <hyperlink xmlns:r="http://schemas.openxmlformats.org/officeDocument/2006/relationships" ref="K2443" r:id="rId7036"/>
    <hyperlink xmlns:r="http://schemas.openxmlformats.org/officeDocument/2006/relationships" ref="I2444" r:id="rId7037"/>
    <hyperlink xmlns:r="http://schemas.openxmlformats.org/officeDocument/2006/relationships" ref="J2444" r:id="rId7038"/>
    <hyperlink xmlns:r="http://schemas.openxmlformats.org/officeDocument/2006/relationships" ref="K2444" r:id="rId7039"/>
    <hyperlink xmlns:r="http://schemas.openxmlformats.org/officeDocument/2006/relationships" ref="I2445" r:id="rId7040"/>
    <hyperlink xmlns:r="http://schemas.openxmlformats.org/officeDocument/2006/relationships" ref="J2445" r:id="rId7041"/>
    <hyperlink xmlns:r="http://schemas.openxmlformats.org/officeDocument/2006/relationships" ref="K2445" r:id="rId7042"/>
    <hyperlink xmlns:r="http://schemas.openxmlformats.org/officeDocument/2006/relationships" ref="I2446" r:id="rId7043"/>
    <hyperlink xmlns:r="http://schemas.openxmlformats.org/officeDocument/2006/relationships" ref="J2446" r:id="rId7044"/>
    <hyperlink xmlns:r="http://schemas.openxmlformats.org/officeDocument/2006/relationships" ref="K2446" r:id="rId7045"/>
    <hyperlink xmlns:r="http://schemas.openxmlformats.org/officeDocument/2006/relationships" ref="I2447" r:id="rId7046"/>
    <hyperlink xmlns:r="http://schemas.openxmlformats.org/officeDocument/2006/relationships" ref="J2447" r:id="rId7047"/>
    <hyperlink xmlns:r="http://schemas.openxmlformats.org/officeDocument/2006/relationships" ref="K2447" r:id="rId7048"/>
    <hyperlink xmlns:r="http://schemas.openxmlformats.org/officeDocument/2006/relationships" ref="I2448" r:id="rId7049"/>
    <hyperlink xmlns:r="http://schemas.openxmlformats.org/officeDocument/2006/relationships" ref="J2448" r:id="rId7050"/>
    <hyperlink xmlns:r="http://schemas.openxmlformats.org/officeDocument/2006/relationships" ref="K2448" r:id="rId7051"/>
    <hyperlink xmlns:r="http://schemas.openxmlformats.org/officeDocument/2006/relationships" ref="I2449" r:id="rId7052"/>
    <hyperlink xmlns:r="http://schemas.openxmlformats.org/officeDocument/2006/relationships" ref="J2449" r:id="rId7053"/>
    <hyperlink xmlns:r="http://schemas.openxmlformats.org/officeDocument/2006/relationships" ref="K2449" r:id="rId7054"/>
    <hyperlink xmlns:r="http://schemas.openxmlformats.org/officeDocument/2006/relationships" ref="I2450" r:id="rId7055"/>
    <hyperlink xmlns:r="http://schemas.openxmlformats.org/officeDocument/2006/relationships" ref="J2450" r:id="rId7056"/>
    <hyperlink xmlns:r="http://schemas.openxmlformats.org/officeDocument/2006/relationships" ref="K2450" r:id="rId7057"/>
    <hyperlink xmlns:r="http://schemas.openxmlformats.org/officeDocument/2006/relationships" ref="I2451" r:id="rId7058"/>
    <hyperlink xmlns:r="http://schemas.openxmlformats.org/officeDocument/2006/relationships" ref="J2451" r:id="rId7059"/>
    <hyperlink xmlns:r="http://schemas.openxmlformats.org/officeDocument/2006/relationships" ref="K2451" r:id="rId7060"/>
    <hyperlink xmlns:r="http://schemas.openxmlformats.org/officeDocument/2006/relationships" ref="I2452" r:id="rId7061"/>
    <hyperlink xmlns:r="http://schemas.openxmlformats.org/officeDocument/2006/relationships" ref="J2452" r:id="rId7062"/>
    <hyperlink xmlns:r="http://schemas.openxmlformats.org/officeDocument/2006/relationships" ref="K2452" r:id="rId7063"/>
    <hyperlink xmlns:r="http://schemas.openxmlformats.org/officeDocument/2006/relationships" ref="I2453" r:id="rId7064"/>
    <hyperlink xmlns:r="http://schemas.openxmlformats.org/officeDocument/2006/relationships" ref="J2453" r:id="rId7065"/>
    <hyperlink xmlns:r="http://schemas.openxmlformats.org/officeDocument/2006/relationships" ref="K2453" r:id="rId7066"/>
    <hyperlink xmlns:r="http://schemas.openxmlformats.org/officeDocument/2006/relationships" ref="I2454" r:id="rId7067"/>
    <hyperlink xmlns:r="http://schemas.openxmlformats.org/officeDocument/2006/relationships" ref="J2454" r:id="rId7068"/>
    <hyperlink xmlns:r="http://schemas.openxmlformats.org/officeDocument/2006/relationships" ref="K2454" r:id="rId7069"/>
    <hyperlink xmlns:r="http://schemas.openxmlformats.org/officeDocument/2006/relationships" ref="I2455" r:id="rId7070"/>
    <hyperlink xmlns:r="http://schemas.openxmlformats.org/officeDocument/2006/relationships" ref="J2455" r:id="rId7071"/>
    <hyperlink xmlns:r="http://schemas.openxmlformats.org/officeDocument/2006/relationships" ref="K2455" r:id="rId7072"/>
    <hyperlink xmlns:r="http://schemas.openxmlformats.org/officeDocument/2006/relationships" ref="I2456" r:id="rId7073"/>
    <hyperlink xmlns:r="http://schemas.openxmlformats.org/officeDocument/2006/relationships" ref="J2456" r:id="rId7074"/>
    <hyperlink xmlns:r="http://schemas.openxmlformats.org/officeDocument/2006/relationships" ref="K2456" r:id="rId7075"/>
    <hyperlink xmlns:r="http://schemas.openxmlformats.org/officeDocument/2006/relationships" ref="I2457" r:id="rId7076"/>
    <hyperlink xmlns:r="http://schemas.openxmlformats.org/officeDocument/2006/relationships" ref="J2457" r:id="rId7077"/>
    <hyperlink xmlns:r="http://schemas.openxmlformats.org/officeDocument/2006/relationships" ref="K2457" r:id="rId7078"/>
    <hyperlink xmlns:r="http://schemas.openxmlformats.org/officeDocument/2006/relationships" ref="I2458" r:id="rId7079"/>
    <hyperlink xmlns:r="http://schemas.openxmlformats.org/officeDocument/2006/relationships" ref="J2458" r:id="rId7080"/>
    <hyperlink xmlns:r="http://schemas.openxmlformats.org/officeDocument/2006/relationships" ref="K2458" r:id="rId7081"/>
    <hyperlink xmlns:r="http://schemas.openxmlformats.org/officeDocument/2006/relationships" ref="I2459" r:id="rId7082"/>
    <hyperlink xmlns:r="http://schemas.openxmlformats.org/officeDocument/2006/relationships" ref="J2459" r:id="rId7083"/>
    <hyperlink xmlns:r="http://schemas.openxmlformats.org/officeDocument/2006/relationships" ref="K2459" r:id="rId7084"/>
    <hyperlink xmlns:r="http://schemas.openxmlformats.org/officeDocument/2006/relationships" ref="I2460" r:id="rId7085"/>
    <hyperlink xmlns:r="http://schemas.openxmlformats.org/officeDocument/2006/relationships" ref="J2460" r:id="rId7086"/>
    <hyperlink xmlns:r="http://schemas.openxmlformats.org/officeDocument/2006/relationships" ref="K2460" r:id="rId7087"/>
    <hyperlink xmlns:r="http://schemas.openxmlformats.org/officeDocument/2006/relationships" ref="I2461" r:id="rId7088"/>
    <hyperlink xmlns:r="http://schemas.openxmlformats.org/officeDocument/2006/relationships" ref="J2461" r:id="rId7089"/>
    <hyperlink xmlns:r="http://schemas.openxmlformats.org/officeDocument/2006/relationships" ref="K2461" r:id="rId7090"/>
    <hyperlink xmlns:r="http://schemas.openxmlformats.org/officeDocument/2006/relationships" ref="I2462" r:id="rId7091"/>
    <hyperlink xmlns:r="http://schemas.openxmlformats.org/officeDocument/2006/relationships" ref="J2462" r:id="rId7092"/>
    <hyperlink xmlns:r="http://schemas.openxmlformats.org/officeDocument/2006/relationships" ref="K2462" r:id="rId7093"/>
    <hyperlink xmlns:r="http://schemas.openxmlformats.org/officeDocument/2006/relationships" ref="I2463" r:id="rId7094"/>
    <hyperlink xmlns:r="http://schemas.openxmlformats.org/officeDocument/2006/relationships" ref="J2463" r:id="rId7095"/>
    <hyperlink xmlns:r="http://schemas.openxmlformats.org/officeDocument/2006/relationships" ref="K2463" r:id="rId7096"/>
    <hyperlink xmlns:r="http://schemas.openxmlformats.org/officeDocument/2006/relationships" ref="I2464" r:id="rId7097"/>
    <hyperlink xmlns:r="http://schemas.openxmlformats.org/officeDocument/2006/relationships" ref="J2464" r:id="rId7098"/>
    <hyperlink xmlns:r="http://schemas.openxmlformats.org/officeDocument/2006/relationships" ref="K2464" r:id="rId7099"/>
    <hyperlink xmlns:r="http://schemas.openxmlformats.org/officeDocument/2006/relationships" ref="I2465" r:id="rId7100"/>
    <hyperlink xmlns:r="http://schemas.openxmlformats.org/officeDocument/2006/relationships" ref="J2465" r:id="rId7101"/>
    <hyperlink xmlns:r="http://schemas.openxmlformats.org/officeDocument/2006/relationships" ref="K2465" r:id="rId7102"/>
    <hyperlink xmlns:r="http://schemas.openxmlformats.org/officeDocument/2006/relationships" ref="I2466" r:id="rId7103"/>
    <hyperlink xmlns:r="http://schemas.openxmlformats.org/officeDocument/2006/relationships" ref="J2466" r:id="rId7104"/>
    <hyperlink xmlns:r="http://schemas.openxmlformats.org/officeDocument/2006/relationships" ref="K2466" r:id="rId7105"/>
    <hyperlink xmlns:r="http://schemas.openxmlformats.org/officeDocument/2006/relationships" ref="I2467" r:id="rId7106"/>
    <hyperlink xmlns:r="http://schemas.openxmlformats.org/officeDocument/2006/relationships" ref="J2467" r:id="rId7107"/>
    <hyperlink xmlns:r="http://schemas.openxmlformats.org/officeDocument/2006/relationships" ref="K2467" r:id="rId7108"/>
    <hyperlink xmlns:r="http://schemas.openxmlformats.org/officeDocument/2006/relationships" ref="I2468" r:id="rId7109"/>
    <hyperlink xmlns:r="http://schemas.openxmlformats.org/officeDocument/2006/relationships" ref="J2468" r:id="rId7110"/>
    <hyperlink xmlns:r="http://schemas.openxmlformats.org/officeDocument/2006/relationships" ref="K2468" r:id="rId7111"/>
    <hyperlink xmlns:r="http://schemas.openxmlformats.org/officeDocument/2006/relationships" ref="I2469" r:id="rId7112"/>
    <hyperlink xmlns:r="http://schemas.openxmlformats.org/officeDocument/2006/relationships" ref="J2469" r:id="rId7113"/>
    <hyperlink xmlns:r="http://schemas.openxmlformats.org/officeDocument/2006/relationships" ref="K2469" r:id="rId7114"/>
    <hyperlink xmlns:r="http://schemas.openxmlformats.org/officeDocument/2006/relationships" ref="I2470" r:id="rId7115"/>
    <hyperlink xmlns:r="http://schemas.openxmlformats.org/officeDocument/2006/relationships" ref="J2470" r:id="rId7116"/>
    <hyperlink xmlns:r="http://schemas.openxmlformats.org/officeDocument/2006/relationships" ref="K2470" r:id="rId7117"/>
    <hyperlink xmlns:r="http://schemas.openxmlformats.org/officeDocument/2006/relationships" ref="I2471" r:id="rId7118"/>
    <hyperlink xmlns:r="http://schemas.openxmlformats.org/officeDocument/2006/relationships" ref="J2471" r:id="rId7119"/>
    <hyperlink xmlns:r="http://schemas.openxmlformats.org/officeDocument/2006/relationships" ref="K2471" r:id="rId7120"/>
    <hyperlink xmlns:r="http://schemas.openxmlformats.org/officeDocument/2006/relationships" ref="I2472" r:id="rId7121"/>
    <hyperlink xmlns:r="http://schemas.openxmlformats.org/officeDocument/2006/relationships" ref="J2472" r:id="rId7122"/>
    <hyperlink xmlns:r="http://schemas.openxmlformats.org/officeDocument/2006/relationships" ref="K2472" r:id="rId7123"/>
    <hyperlink xmlns:r="http://schemas.openxmlformats.org/officeDocument/2006/relationships" ref="I2473" r:id="rId7124"/>
    <hyperlink xmlns:r="http://schemas.openxmlformats.org/officeDocument/2006/relationships" ref="J2473" r:id="rId7125"/>
    <hyperlink xmlns:r="http://schemas.openxmlformats.org/officeDocument/2006/relationships" ref="K2473" r:id="rId7126"/>
    <hyperlink xmlns:r="http://schemas.openxmlformats.org/officeDocument/2006/relationships" ref="I2474" r:id="rId7127"/>
    <hyperlink xmlns:r="http://schemas.openxmlformats.org/officeDocument/2006/relationships" ref="J2474" r:id="rId7128"/>
    <hyperlink xmlns:r="http://schemas.openxmlformats.org/officeDocument/2006/relationships" ref="K2474" r:id="rId7129"/>
    <hyperlink xmlns:r="http://schemas.openxmlformats.org/officeDocument/2006/relationships" ref="I2475" r:id="rId7130"/>
    <hyperlink xmlns:r="http://schemas.openxmlformats.org/officeDocument/2006/relationships" ref="J2475" r:id="rId7131"/>
    <hyperlink xmlns:r="http://schemas.openxmlformats.org/officeDocument/2006/relationships" ref="K2475" r:id="rId7132"/>
    <hyperlink xmlns:r="http://schemas.openxmlformats.org/officeDocument/2006/relationships" ref="I2476" r:id="rId7133"/>
    <hyperlink xmlns:r="http://schemas.openxmlformats.org/officeDocument/2006/relationships" ref="J2476" r:id="rId7134"/>
    <hyperlink xmlns:r="http://schemas.openxmlformats.org/officeDocument/2006/relationships" ref="K2476" r:id="rId7135"/>
    <hyperlink xmlns:r="http://schemas.openxmlformats.org/officeDocument/2006/relationships" ref="I2477" r:id="rId7136"/>
    <hyperlink xmlns:r="http://schemas.openxmlformats.org/officeDocument/2006/relationships" ref="J2477" r:id="rId7137"/>
    <hyperlink xmlns:r="http://schemas.openxmlformats.org/officeDocument/2006/relationships" ref="K2477" r:id="rId7138"/>
    <hyperlink xmlns:r="http://schemas.openxmlformats.org/officeDocument/2006/relationships" ref="I2478" r:id="rId7139"/>
    <hyperlink xmlns:r="http://schemas.openxmlformats.org/officeDocument/2006/relationships" ref="J2478" r:id="rId7140"/>
    <hyperlink xmlns:r="http://schemas.openxmlformats.org/officeDocument/2006/relationships" ref="K2478" r:id="rId7141"/>
    <hyperlink xmlns:r="http://schemas.openxmlformats.org/officeDocument/2006/relationships" ref="I2479" r:id="rId7142"/>
    <hyperlink xmlns:r="http://schemas.openxmlformats.org/officeDocument/2006/relationships" ref="J2479" r:id="rId7143"/>
    <hyperlink xmlns:r="http://schemas.openxmlformats.org/officeDocument/2006/relationships" ref="K2479" r:id="rId7144"/>
    <hyperlink xmlns:r="http://schemas.openxmlformats.org/officeDocument/2006/relationships" ref="I2480" r:id="rId7145"/>
    <hyperlink xmlns:r="http://schemas.openxmlformats.org/officeDocument/2006/relationships" ref="J2480" r:id="rId7146"/>
    <hyperlink xmlns:r="http://schemas.openxmlformats.org/officeDocument/2006/relationships" ref="K2480" r:id="rId7147"/>
    <hyperlink xmlns:r="http://schemas.openxmlformats.org/officeDocument/2006/relationships" ref="I2481" r:id="rId7148"/>
    <hyperlink xmlns:r="http://schemas.openxmlformats.org/officeDocument/2006/relationships" ref="J2481" r:id="rId7149"/>
    <hyperlink xmlns:r="http://schemas.openxmlformats.org/officeDocument/2006/relationships" ref="K2481" r:id="rId7150"/>
    <hyperlink xmlns:r="http://schemas.openxmlformats.org/officeDocument/2006/relationships" ref="I2482" r:id="rId7151"/>
    <hyperlink xmlns:r="http://schemas.openxmlformats.org/officeDocument/2006/relationships" ref="J2482" r:id="rId7152"/>
    <hyperlink xmlns:r="http://schemas.openxmlformats.org/officeDocument/2006/relationships" ref="K2482" r:id="rId7153"/>
    <hyperlink xmlns:r="http://schemas.openxmlformats.org/officeDocument/2006/relationships" ref="I2483" r:id="rId7154"/>
    <hyperlink xmlns:r="http://schemas.openxmlformats.org/officeDocument/2006/relationships" ref="J2483" r:id="rId7155"/>
    <hyperlink xmlns:r="http://schemas.openxmlformats.org/officeDocument/2006/relationships" ref="K2483" r:id="rId7156"/>
    <hyperlink xmlns:r="http://schemas.openxmlformats.org/officeDocument/2006/relationships" ref="I2484" r:id="rId7157"/>
    <hyperlink xmlns:r="http://schemas.openxmlformats.org/officeDocument/2006/relationships" ref="J2484" r:id="rId7158"/>
    <hyperlink xmlns:r="http://schemas.openxmlformats.org/officeDocument/2006/relationships" ref="K2484" r:id="rId7159"/>
    <hyperlink xmlns:r="http://schemas.openxmlformats.org/officeDocument/2006/relationships" ref="I2485" r:id="rId7160"/>
    <hyperlink xmlns:r="http://schemas.openxmlformats.org/officeDocument/2006/relationships" ref="J2485" r:id="rId7161"/>
    <hyperlink xmlns:r="http://schemas.openxmlformats.org/officeDocument/2006/relationships" ref="K2485" r:id="rId7162"/>
    <hyperlink xmlns:r="http://schemas.openxmlformats.org/officeDocument/2006/relationships" ref="I2486" r:id="rId7163"/>
    <hyperlink xmlns:r="http://schemas.openxmlformats.org/officeDocument/2006/relationships" ref="J2486" r:id="rId7164"/>
    <hyperlink xmlns:r="http://schemas.openxmlformats.org/officeDocument/2006/relationships" ref="K2486" r:id="rId7165"/>
    <hyperlink xmlns:r="http://schemas.openxmlformats.org/officeDocument/2006/relationships" ref="I2487" r:id="rId7166"/>
    <hyperlink xmlns:r="http://schemas.openxmlformats.org/officeDocument/2006/relationships" ref="J2487" r:id="rId7167"/>
    <hyperlink xmlns:r="http://schemas.openxmlformats.org/officeDocument/2006/relationships" ref="K2487" r:id="rId7168"/>
    <hyperlink xmlns:r="http://schemas.openxmlformats.org/officeDocument/2006/relationships" ref="I2488" r:id="rId7169"/>
    <hyperlink xmlns:r="http://schemas.openxmlformats.org/officeDocument/2006/relationships" ref="J2488" r:id="rId7170"/>
    <hyperlink xmlns:r="http://schemas.openxmlformats.org/officeDocument/2006/relationships" ref="K2488" r:id="rId7171"/>
    <hyperlink xmlns:r="http://schemas.openxmlformats.org/officeDocument/2006/relationships" ref="I2489" r:id="rId7172"/>
    <hyperlink xmlns:r="http://schemas.openxmlformats.org/officeDocument/2006/relationships" ref="J2489" r:id="rId7173"/>
    <hyperlink xmlns:r="http://schemas.openxmlformats.org/officeDocument/2006/relationships" ref="K2489" r:id="rId7174"/>
    <hyperlink xmlns:r="http://schemas.openxmlformats.org/officeDocument/2006/relationships" ref="I2490" r:id="rId7175"/>
    <hyperlink xmlns:r="http://schemas.openxmlformats.org/officeDocument/2006/relationships" ref="J2490" r:id="rId7176"/>
    <hyperlink xmlns:r="http://schemas.openxmlformats.org/officeDocument/2006/relationships" ref="K2490" r:id="rId7177"/>
    <hyperlink xmlns:r="http://schemas.openxmlformats.org/officeDocument/2006/relationships" ref="I2491" r:id="rId7178"/>
    <hyperlink xmlns:r="http://schemas.openxmlformats.org/officeDocument/2006/relationships" ref="J2491" r:id="rId7179"/>
    <hyperlink xmlns:r="http://schemas.openxmlformats.org/officeDocument/2006/relationships" ref="K2491" r:id="rId7180"/>
    <hyperlink xmlns:r="http://schemas.openxmlformats.org/officeDocument/2006/relationships" ref="I2492" r:id="rId7181"/>
    <hyperlink xmlns:r="http://schemas.openxmlformats.org/officeDocument/2006/relationships" ref="J2492" r:id="rId7182"/>
    <hyperlink xmlns:r="http://schemas.openxmlformats.org/officeDocument/2006/relationships" ref="K2492" r:id="rId7183"/>
    <hyperlink xmlns:r="http://schemas.openxmlformats.org/officeDocument/2006/relationships" ref="I2493" r:id="rId7184"/>
    <hyperlink xmlns:r="http://schemas.openxmlformats.org/officeDocument/2006/relationships" ref="J2493" r:id="rId7185"/>
    <hyperlink xmlns:r="http://schemas.openxmlformats.org/officeDocument/2006/relationships" ref="K2493" r:id="rId7186"/>
    <hyperlink xmlns:r="http://schemas.openxmlformats.org/officeDocument/2006/relationships" ref="I2494" r:id="rId7187"/>
    <hyperlink xmlns:r="http://schemas.openxmlformats.org/officeDocument/2006/relationships" ref="J2494" r:id="rId7188"/>
    <hyperlink xmlns:r="http://schemas.openxmlformats.org/officeDocument/2006/relationships" ref="K2494" r:id="rId7189"/>
    <hyperlink xmlns:r="http://schemas.openxmlformats.org/officeDocument/2006/relationships" ref="I2495" r:id="rId7190"/>
    <hyperlink xmlns:r="http://schemas.openxmlformats.org/officeDocument/2006/relationships" ref="J2495" r:id="rId7191"/>
    <hyperlink xmlns:r="http://schemas.openxmlformats.org/officeDocument/2006/relationships" ref="K2495" r:id="rId7192"/>
    <hyperlink xmlns:r="http://schemas.openxmlformats.org/officeDocument/2006/relationships" ref="I2496" r:id="rId7193"/>
    <hyperlink xmlns:r="http://schemas.openxmlformats.org/officeDocument/2006/relationships" ref="J2496" r:id="rId7194"/>
    <hyperlink xmlns:r="http://schemas.openxmlformats.org/officeDocument/2006/relationships" ref="K2496" r:id="rId7195"/>
    <hyperlink xmlns:r="http://schemas.openxmlformats.org/officeDocument/2006/relationships" ref="I2497" r:id="rId7196"/>
    <hyperlink xmlns:r="http://schemas.openxmlformats.org/officeDocument/2006/relationships" ref="J2497" r:id="rId7197"/>
    <hyperlink xmlns:r="http://schemas.openxmlformats.org/officeDocument/2006/relationships" ref="K2497" r:id="rId7198"/>
    <hyperlink xmlns:r="http://schemas.openxmlformats.org/officeDocument/2006/relationships" ref="I2498" r:id="rId7199"/>
    <hyperlink xmlns:r="http://schemas.openxmlformats.org/officeDocument/2006/relationships" ref="J2498" r:id="rId7200"/>
    <hyperlink xmlns:r="http://schemas.openxmlformats.org/officeDocument/2006/relationships" ref="K2498" r:id="rId7201"/>
    <hyperlink xmlns:r="http://schemas.openxmlformats.org/officeDocument/2006/relationships" ref="I2499" r:id="rId7202"/>
    <hyperlink xmlns:r="http://schemas.openxmlformats.org/officeDocument/2006/relationships" ref="J2499" r:id="rId7203"/>
    <hyperlink xmlns:r="http://schemas.openxmlformats.org/officeDocument/2006/relationships" ref="K2499" r:id="rId7204"/>
    <hyperlink xmlns:r="http://schemas.openxmlformats.org/officeDocument/2006/relationships" ref="I2500" r:id="rId7205"/>
    <hyperlink xmlns:r="http://schemas.openxmlformats.org/officeDocument/2006/relationships" ref="J2500" r:id="rId7206"/>
    <hyperlink xmlns:r="http://schemas.openxmlformats.org/officeDocument/2006/relationships" ref="K2500" r:id="rId7207"/>
    <hyperlink xmlns:r="http://schemas.openxmlformats.org/officeDocument/2006/relationships" ref="I2501" r:id="rId7208"/>
    <hyperlink xmlns:r="http://schemas.openxmlformats.org/officeDocument/2006/relationships" ref="J2501" r:id="rId7209"/>
    <hyperlink xmlns:r="http://schemas.openxmlformats.org/officeDocument/2006/relationships" ref="K2501" r:id="rId7210"/>
    <hyperlink xmlns:r="http://schemas.openxmlformats.org/officeDocument/2006/relationships" ref="I2502" r:id="rId7211"/>
    <hyperlink xmlns:r="http://schemas.openxmlformats.org/officeDocument/2006/relationships" ref="J2502" r:id="rId7212"/>
    <hyperlink xmlns:r="http://schemas.openxmlformats.org/officeDocument/2006/relationships" ref="K2502" r:id="rId7213"/>
    <hyperlink xmlns:r="http://schemas.openxmlformats.org/officeDocument/2006/relationships" ref="I2503" r:id="rId7214"/>
    <hyperlink xmlns:r="http://schemas.openxmlformats.org/officeDocument/2006/relationships" ref="J2503" r:id="rId7215"/>
    <hyperlink xmlns:r="http://schemas.openxmlformats.org/officeDocument/2006/relationships" ref="K2503" r:id="rId7216"/>
    <hyperlink xmlns:r="http://schemas.openxmlformats.org/officeDocument/2006/relationships" ref="I2504" r:id="rId7217"/>
    <hyperlink xmlns:r="http://schemas.openxmlformats.org/officeDocument/2006/relationships" ref="J2504" r:id="rId7218"/>
    <hyperlink xmlns:r="http://schemas.openxmlformats.org/officeDocument/2006/relationships" ref="K2504" r:id="rId7219"/>
    <hyperlink xmlns:r="http://schemas.openxmlformats.org/officeDocument/2006/relationships" ref="I2505" r:id="rId7220"/>
    <hyperlink xmlns:r="http://schemas.openxmlformats.org/officeDocument/2006/relationships" ref="J2505" r:id="rId7221"/>
    <hyperlink xmlns:r="http://schemas.openxmlformats.org/officeDocument/2006/relationships" ref="K2505" r:id="rId7222"/>
    <hyperlink xmlns:r="http://schemas.openxmlformats.org/officeDocument/2006/relationships" ref="I2506" r:id="rId7223"/>
    <hyperlink xmlns:r="http://schemas.openxmlformats.org/officeDocument/2006/relationships" ref="J2506" r:id="rId7224"/>
    <hyperlink xmlns:r="http://schemas.openxmlformats.org/officeDocument/2006/relationships" ref="K2506" r:id="rId7225"/>
    <hyperlink xmlns:r="http://schemas.openxmlformats.org/officeDocument/2006/relationships" ref="I2507" r:id="rId7226"/>
    <hyperlink xmlns:r="http://schemas.openxmlformats.org/officeDocument/2006/relationships" ref="J2507" r:id="rId7227"/>
    <hyperlink xmlns:r="http://schemas.openxmlformats.org/officeDocument/2006/relationships" ref="K2507" r:id="rId7228"/>
    <hyperlink xmlns:r="http://schemas.openxmlformats.org/officeDocument/2006/relationships" ref="I2508" r:id="rId7229"/>
    <hyperlink xmlns:r="http://schemas.openxmlformats.org/officeDocument/2006/relationships" ref="J2508" r:id="rId7230"/>
    <hyperlink xmlns:r="http://schemas.openxmlformats.org/officeDocument/2006/relationships" ref="K2508" r:id="rId7231"/>
    <hyperlink xmlns:r="http://schemas.openxmlformats.org/officeDocument/2006/relationships" ref="I2509" r:id="rId7232"/>
    <hyperlink xmlns:r="http://schemas.openxmlformats.org/officeDocument/2006/relationships" ref="J2509" r:id="rId7233"/>
    <hyperlink xmlns:r="http://schemas.openxmlformats.org/officeDocument/2006/relationships" ref="K2509" r:id="rId7234"/>
    <hyperlink xmlns:r="http://schemas.openxmlformats.org/officeDocument/2006/relationships" ref="I2510" r:id="rId7235"/>
    <hyperlink xmlns:r="http://schemas.openxmlformats.org/officeDocument/2006/relationships" ref="J2510" r:id="rId7236"/>
    <hyperlink xmlns:r="http://schemas.openxmlformats.org/officeDocument/2006/relationships" ref="K2510" r:id="rId7237"/>
    <hyperlink xmlns:r="http://schemas.openxmlformats.org/officeDocument/2006/relationships" ref="I2511" r:id="rId7238"/>
    <hyperlink xmlns:r="http://schemas.openxmlformats.org/officeDocument/2006/relationships" ref="J2511" r:id="rId7239"/>
    <hyperlink xmlns:r="http://schemas.openxmlformats.org/officeDocument/2006/relationships" ref="K2511" r:id="rId7240"/>
    <hyperlink xmlns:r="http://schemas.openxmlformats.org/officeDocument/2006/relationships" ref="I2512" r:id="rId7241"/>
    <hyperlink xmlns:r="http://schemas.openxmlformats.org/officeDocument/2006/relationships" ref="J2512" r:id="rId7242"/>
    <hyperlink xmlns:r="http://schemas.openxmlformats.org/officeDocument/2006/relationships" ref="K2512" r:id="rId7243"/>
    <hyperlink xmlns:r="http://schemas.openxmlformats.org/officeDocument/2006/relationships" ref="I2513" r:id="rId7244"/>
    <hyperlink xmlns:r="http://schemas.openxmlformats.org/officeDocument/2006/relationships" ref="J2513" r:id="rId7245"/>
    <hyperlink xmlns:r="http://schemas.openxmlformats.org/officeDocument/2006/relationships" ref="K2513" r:id="rId7246"/>
    <hyperlink xmlns:r="http://schemas.openxmlformats.org/officeDocument/2006/relationships" ref="I2514" r:id="rId7247"/>
    <hyperlink xmlns:r="http://schemas.openxmlformats.org/officeDocument/2006/relationships" ref="J2514" r:id="rId7248"/>
    <hyperlink xmlns:r="http://schemas.openxmlformats.org/officeDocument/2006/relationships" ref="K2514" r:id="rId7249"/>
    <hyperlink xmlns:r="http://schemas.openxmlformats.org/officeDocument/2006/relationships" ref="I2515" r:id="rId7250"/>
    <hyperlink xmlns:r="http://schemas.openxmlformats.org/officeDocument/2006/relationships" ref="J2515" r:id="rId7251"/>
    <hyperlink xmlns:r="http://schemas.openxmlformats.org/officeDocument/2006/relationships" ref="K2515" r:id="rId7252"/>
    <hyperlink xmlns:r="http://schemas.openxmlformats.org/officeDocument/2006/relationships" ref="I2516" r:id="rId7253"/>
    <hyperlink xmlns:r="http://schemas.openxmlformats.org/officeDocument/2006/relationships" ref="J2516" r:id="rId7254"/>
    <hyperlink xmlns:r="http://schemas.openxmlformats.org/officeDocument/2006/relationships" ref="K2516" r:id="rId7255"/>
    <hyperlink xmlns:r="http://schemas.openxmlformats.org/officeDocument/2006/relationships" ref="I2517" r:id="rId7256"/>
    <hyperlink xmlns:r="http://schemas.openxmlformats.org/officeDocument/2006/relationships" ref="J2517" r:id="rId7257"/>
    <hyperlink xmlns:r="http://schemas.openxmlformats.org/officeDocument/2006/relationships" ref="K2517" r:id="rId7258"/>
    <hyperlink xmlns:r="http://schemas.openxmlformats.org/officeDocument/2006/relationships" ref="I2518" r:id="rId7259"/>
    <hyperlink xmlns:r="http://schemas.openxmlformats.org/officeDocument/2006/relationships" ref="J2518" r:id="rId7260"/>
    <hyperlink xmlns:r="http://schemas.openxmlformats.org/officeDocument/2006/relationships" ref="K2518" r:id="rId7261"/>
    <hyperlink xmlns:r="http://schemas.openxmlformats.org/officeDocument/2006/relationships" ref="I2519" r:id="rId7262"/>
    <hyperlink xmlns:r="http://schemas.openxmlformats.org/officeDocument/2006/relationships" ref="J2519" r:id="rId7263"/>
    <hyperlink xmlns:r="http://schemas.openxmlformats.org/officeDocument/2006/relationships" ref="K2519" r:id="rId7264"/>
    <hyperlink xmlns:r="http://schemas.openxmlformats.org/officeDocument/2006/relationships" ref="I2520" r:id="rId7265"/>
    <hyperlink xmlns:r="http://schemas.openxmlformats.org/officeDocument/2006/relationships" ref="J2520" r:id="rId7266"/>
    <hyperlink xmlns:r="http://schemas.openxmlformats.org/officeDocument/2006/relationships" ref="K2520" r:id="rId7267"/>
    <hyperlink xmlns:r="http://schemas.openxmlformats.org/officeDocument/2006/relationships" ref="I2521" r:id="rId7268"/>
    <hyperlink xmlns:r="http://schemas.openxmlformats.org/officeDocument/2006/relationships" ref="J2521" r:id="rId7269"/>
    <hyperlink xmlns:r="http://schemas.openxmlformats.org/officeDocument/2006/relationships" ref="K2521" r:id="rId7270"/>
    <hyperlink xmlns:r="http://schemas.openxmlformats.org/officeDocument/2006/relationships" ref="I2522" r:id="rId7271"/>
    <hyperlink xmlns:r="http://schemas.openxmlformats.org/officeDocument/2006/relationships" ref="J2522" r:id="rId7272"/>
    <hyperlink xmlns:r="http://schemas.openxmlformats.org/officeDocument/2006/relationships" ref="K2522" r:id="rId7273"/>
    <hyperlink xmlns:r="http://schemas.openxmlformats.org/officeDocument/2006/relationships" ref="I2523" r:id="rId7274"/>
    <hyperlink xmlns:r="http://schemas.openxmlformats.org/officeDocument/2006/relationships" ref="J2523" r:id="rId7275"/>
    <hyperlink xmlns:r="http://schemas.openxmlformats.org/officeDocument/2006/relationships" ref="K2523" r:id="rId7276"/>
    <hyperlink xmlns:r="http://schemas.openxmlformats.org/officeDocument/2006/relationships" ref="I2524" r:id="rId7277"/>
    <hyperlink xmlns:r="http://schemas.openxmlformats.org/officeDocument/2006/relationships" ref="J2524" r:id="rId7278"/>
    <hyperlink xmlns:r="http://schemas.openxmlformats.org/officeDocument/2006/relationships" ref="I2525" r:id="rId7279"/>
    <hyperlink xmlns:r="http://schemas.openxmlformats.org/officeDocument/2006/relationships" ref="J2525" r:id="rId7280"/>
    <hyperlink xmlns:r="http://schemas.openxmlformats.org/officeDocument/2006/relationships" ref="I2526" r:id="rId7281"/>
    <hyperlink xmlns:r="http://schemas.openxmlformats.org/officeDocument/2006/relationships" ref="J2526" r:id="rId7282"/>
    <hyperlink xmlns:r="http://schemas.openxmlformats.org/officeDocument/2006/relationships" ref="I2527" r:id="rId7283"/>
    <hyperlink xmlns:r="http://schemas.openxmlformats.org/officeDocument/2006/relationships" ref="J2527" r:id="rId7284"/>
    <hyperlink xmlns:r="http://schemas.openxmlformats.org/officeDocument/2006/relationships" ref="I2528" r:id="rId7285"/>
    <hyperlink xmlns:r="http://schemas.openxmlformats.org/officeDocument/2006/relationships" ref="J2528" r:id="rId7286"/>
    <hyperlink xmlns:r="http://schemas.openxmlformats.org/officeDocument/2006/relationships" ref="I2529" r:id="rId7287"/>
    <hyperlink xmlns:r="http://schemas.openxmlformats.org/officeDocument/2006/relationships" ref="J2529" r:id="rId7288"/>
    <hyperlink xmlns:r="http://schemas.openxmlformats.org/officeDocument/2006/relationships" ref="I2530" r:id="rId7289"/>
    <hyperlink xmlns:r="http://schemas.openxmlformats.org/officeDocument/2006/relationships" ref="J2530" r:id="rId7290"/>
    <hyperlink xmlns:r="http://schemas.openxmlformats.org/officeDocument/2006/relationships" ref="I2531" r:id="rId7291"/>
    <hyperlink xmlns:r="http://schemas.openxmlformats.org/officeDocument/2006/relationships" ref="J2531" r:id="rId7292"/>
    <hyperlink xmlns:r="http://schemas.openxmlformats.org/officeDocument/2006/relationships" ref="I2532" r:id="rId7293"/>
    <hyperlink xmlns:r="http://schemas.openxmlformats.org/officeDocument/2006/relationships" ref="J2532" r:id="rId7294"/>
    <hyperlink xmlns:r="http://schemas.openxmlformats.org/officeDocument/2006/relationships" ref="I2533" r:id="rId7295"/>
    <hyperlink xmlns:r="http://schemas.openxmlformats.org/officeDocument/2006/relationships" ref="J2533" r:id="rId7296"/>
    <hyperlink xmlns:r="http://schemas.openxmlformats.org/officeDocument/2006/relationships" ref="I2534" r:id="rId7297"/>
    <hyperlink xmlns:r="http://schemas.openxmlformats.org/officeDocument/2006/relationships" ref="J2534" r:id="rId7298"/>
    <hyperlink xmlns:r="http://schemas.openxmlformats.org/officeDocument/2006/relationships" ref="I2535" r:id="rId7299"/>
    <hyperlink xmlns:r="http://schemas.openxmlformats.org/officeDocument/2006/relationships" ref="J2535" r:id="rId7300"/>
    <hyperlink xmlns:r="http://schemas.openxmlformats.org/officeDocument/2006/relationships" ref="I2536" r:id="rId7301"/>
    <hyperlink xmlns:r="http://schemas.openxmlformats.org/officeDocument/2006/relationships" ref="J2536" r:id="rId7302"/>
    <hyperlink xmlns:r="http://schemas.openxmlformats.org/officeDocument/2006/relationships" ref="I2537" r:id="rId7303"/>
    <hyperlink xmlns:r="http://schemas.openxmlformats.org/officeDocument/2006/relationships" ref="J2537" r:id="rId7304"/>
    <hyperlink xmlns:r="http://schemas.openxmlformats.org/officeDocument/2006/relationships" ref="I2538" r:id="rId7305"/>
    <hyperlink xmlns:r="http://schemas.openxmlformats.org/officeDocument/2006/relationships" ref="J2538" r:id="rId7306"/>
    <hyperlink xmlns:r="http://schemas.openxmlformats.org/officeDocument/2006/relationships" ref="K2538" r:id="rId7307"/>
    <hyperlink xmlns:r="http://schemas.openxmlformats.org/officeDocument/2006/relationships" ref="I2539" r:id="rId7308"/>
    <hyperlink xmlns:r="http://schemas.openxmlformats.org/officeDocument/2006/relationships" ref="J2539" r:id="rId7309"/>
    <hyperlink xmlns:r="http://schemas.openxmlformats.org/officeDocument/2006/relationships" ref="K2539" r:id="rId7310"/>
    <hyperlink xmlns:r="http://schemas.openxmlformats.org/officeDocument/2006/relationships" ref="I2540" r:id="rId7311"/>
    <hyperlink xmlns:r="http://schemas.openxmlformats.org/officeDocument/2006/relationships" ref="J2540" r:id="rId7312"/>
    <hyperlink xmlns:r="http://schemas.openxmlformats.org/officeDocument/2006/relationships" ref="K2540" r:id="rId7313"/>
    <hyperlink xmlns:r="http://schemas.openxmlformats.org/officeDocument/2006/relationships" ref="I2541" r:id="rId7314"/>
    <hyperlink xmlns:r="http://schemas.openxmlformats.org/officeDocument/2006/relationships" ref="J2541" r:id="rId7315"/>
    <hyperlink xmlns:r="http://schemas.openxmlformats.org/officeDocument/2006/relationships" ref="K2541" r:id="rId7316"/>
    <hyperlink xmlns:r="http://schemas.openxmlformats.org/officeDocument/2006/relationships" ref="I2542" r:id="rId7317"/>
    <hyperlink xmlns:r="http://schemas.openxmlformats.org/officeDocument/2006/relationships" ref="J2542" r:id="rId7318"/>
    <hyperlink xmlns:r="http://schemas.openxmlformats.org/officeDocument/2006/relationships" ref="K2542" r:id="rId7319"/>
    <hyperlink xmlns:r="http://schemas.openxmlformats.org/officeDocument/2006/relationships" ref="I2543" r:id="rId7320"/>
    <hyperlink xmlns:r="http://schemas.openxmlformats.org/officeDocument/2006/relationships" ref="J2543" r:id="rId7321"/>
    <hyperlink xmlns:r="http://schemas.openxmlformats.org/officeDocument/2006/relationships" ref="K2543" r:id="rId7322"/>
    <hyperlink xmlns:r="http://schemas.openxmlformats.org/officeDocument/2006/relationships" ref="I2544" r:id="rId7323"/>
    <hyperlink xmlns:r="http://schemas.openxmlformats.org/officeDocument/2006/relationships" ref="J2544" r:id="rId7324"/>
    <hyperlink xmlns:r="http://schemas.openxmlformats.org/officeDocument/2006/relationships" ref="K2544" r:id="rId7325"/>
    <hyperlink xmlns:r="http://schemas.openxmlformats.org/officeDocument/2006/relationships" ref="I2545" r:id="rId7326"/>
    <hyperlink xmlns:r="http://schemas.openxmlformats.org/officeDocument/2006/relationships" ref="J2545" r:id="rId7327"/>
    <hyperlink xmlns:r="http://schemas.openxmlformats.org/officeDocument/2006/relationships" ref="K2545" r:id="rId7328"/>
    <hyperlink xmlns:r="http://schemas.openxmlformats.org/officeDocument/2006/relationships" ref="I2546" r:id="rId7329"/>
    <hyperlink xmlns:r="http://schemas.openxmlformats.org/officeDocument/2006/relationships" ref="J2546" r:id="rId7330"/>
    <hyperlink xmlns:r="http://schemas.openxmlformats.org/officeDocument/2006/relationships" ref="K2546" r:id="rId7331"/>
    <hyperlink xmlns:r="http://schemas.openxmlformats.org/officeDocument/2006/relationships" ref="I2547" r:id="rId7332"/>
    <hyperlink xmlns:r="http://schemas.openxmlformats.org/officeDocument/2006/relationships" ref="J2547" r:id="rId7333"/>
    <hyperlink xmlns:r="http://schemas.openxmlformats.org/officeDocument/2006/relationships" ref="K2547" r:id="rId7334"/>
    <hyperlink xmlns:r="http://schemas.openxmlformats.org/officeDocument/2006/relationships" ref="I2548" r:id="rId7335"/>
    <hyperlink xmlns:r="http://schemas.openxmlformats.org/officeDocument/2006/relationships" ref="J2548" r:id="rId7336"/>
    <hyperlink xmlns:r="http://schemas.openxmlformats.org/officeDocument/2006/relationships" ref="K2548" r:id="rId7337"/>
    <hyperlink xmlns:r="http://schemas.openxmlformats.org/officeDocument/2006/relationships" ref="I2549" r:id="rId7338"/>
    <hyperlink xmlns:r="http://schemas.openxmlformats.org/officeDocument/2006/relationships" ref="J2549" r:id="rId7339"/>
    <hyperlink xmlns:r="http://schemas.openxmlformats.org/officeDocument/2006/relationships" ref="K2549" r:id="rId7340"/>
    <hyperlink xmlns:r="http://schemas.openxmlformats.org/officeDocument/2006/relationships" ref="I2550" r:id="rId7341"/>
    <hyperlink xmlns:r="http://schemas.openxmlformats.org/officeDocument/2006/relationships" ref="J2550" r:id="rId7342"/>
    <hyperlink xmlns:r="http://schemas.openxmlformats.org/officeDocument/2006/relationships" ref="K2550" r:id="rId7343"/>
    <hyperlink xmlns:r="http://schemas.openxmlformats.org/officeDocument/2006/relationships" ref="I2551" r:id="rId7344"/>
    <hyperlink xmlns:r="http://schemas.openxmlformats.org/officeDocument/2006/relationships" ref="J2551" r:id="rId7345"/>
    <hyperlink xmlns:r="http://schemas.openxmlformats.org/officeDocument/2006/relationships" ref="K2551" r:id="rId7346"/>
    <hyperlink xmlns:r="http://schemas.openxmlformats.org/officeDocument/2006/relationships" ref="I2552" r:id="rId7347"/>
    <hyperlink xmlns:r="http://schemas.openxmlformats.org/officeDocument/2006/relationships" ref="J2552" r:id="rId7348"/>
    <hyperlink xmlns:r="http://schemas.openxmlformats.org/officeDocument/2006/relationships" ref="K2552" r:id="rId7349"/>
    <hyperlink xmlns:r="http://schemas.openxmlformats.org/officeDocument/2006/relationships" ref="I2553" r:id="rId7350"/>
    <hyperlink xmlns:r="http://schemas.openxmlformats.org/officeDocument/2006/relationships" ref="J2553" r:id="rId7351"/>
    <hyperlink xmlns:r="http://schemas.openxmlformats.org/officeDocument/2006/relationships" ref="K2553" r:id="rId7352"/>
    <hyperlink xmlns:r="http://schemas.openxmlformats.org/officeDocument/2006/relationships" ref="I2554" r:id="rId7353"/>
    <hyperlink xmlns:r="http://schemas.openxmlformats.org/officeDocument/2006/relationships" ref="J2554" r:id="rId7354"/>
    <hyperlink xmlns:r="http://schemas.openxmlformats.org/officeDocument/2006/relationships" ref="K2554" r:id="rId7355"/>
    <hyperlink xmlns:r="http://schemas.openxmlformats.org/officeDocument/2006/relationships" ref="I2555" r:id="rId7356"/>
    <hyperlink xmlns:r="http://schemas.openxmlformats.org/officeDocument/2006/relationships" ref="J2555" r:id="rId7357"/>
    <hyperlink xmlns:r="http://schemas.openxmlformats.org/officeDocument/2006/relationships" ref="K2555" r:id="rId7358"/>
    <hyperlink xmlns:r="http://schemas.openxmlformats.org/officeDocument/2006/relationships" ref="I2556" r:id="rId7359"/>
    <hyperlink xmlns:r="http://schemas.openxmlformats.org/officeDocument/2006/relationships" ref="J2556" r:id="rId7360"/>
    <hyperlink xmlns:r="http://schemas.openxmlformats.org/officeDocument/2006/relationships" ref="K2556" r:id="rId7361"/>
    <hyperlink xmlns:r="http://schemas.openxmlformats.org/officeDocument/2006/relationships" ref="I2557" r:id="rId7362"/>
    <hyperlink xmlns:r="http://schemas.openxmlformats.org/officeDocument/2006/relationships" ref="J2557" r:id="rId7363"/>
    <hyperlink xmlns:r="http://schemas.openxmlformats.org/officeDocument/2006/relationships" ref="K2557" r:id="rId7364"/>
    <hyperlink xmlns:r="http://schemas.openxmlformats.org/officeDocument/2006/relationships" ref="I2558" r:id="rId7365"/>
    <hyperlink xmlns:r="http://schemas.openxmlformats.org/officeDocument/2006/relationships" ref="J2558" r:id="rId7366"/>
    <hyperlink xmlns:r="http://schemas.openxmlformats.org/officeDocument/2006/relationships" ref="K2558" r:id="rId7367"/>
    <hyperlink xmlns:r="http://schemas.openxmlformats.org/officeDocument/2006/relationships" ref="I2559" r:id="rId7368"/>
    <hyperlink xmlns:r="http://schemas.openxmlformats.org/officeDocument/2006/relationships" ref="J2559" r:id="rId7369"/>
    <hyperlink xmlns:r="http://schemas.openxmlformats.org/officeDocument/2006/relationships" ref="K2559" r:id="rId7370"/>
    <hyperlink xmlns:r="http://schemas.openxmlformats.org/officeDocument/2006/relationships" ref="I2560" r:id="rId7371"/>
    <hyperlink xmlns:r="http://schemas.openxmlformats.org/officeDocument/2006/relationships" ref="J2560" r:id="rId7372"/>
    <hyperlink xmlns:r="http://schemas.openxmlformats.org/officeDocument/2006/relationships" ref="K2560" r:id="rId7373"/>
    <hyperlink xmlns:r="http://schemas.openxmlformats.org/officeDocument/2006/relationships" ref="I2561" r:id="rId7374"/>
    <hyperlink xmlns:r="http://schemas.openxmlformats.org/officeDocument/2006/relationships" ref="J2561" r:id="rId7375"/>
    <hyperlink xmlns:r="http://schemas.openxmlformats.org/officeDocument/2006/relationships" ref="K2561" r:id="rId7376"/>
    <hyperlink xmlns:r="http://schemas.openxmlformats.org/officeDocument/2006/relationships" ref="I2562" r:id="rId7377"/>
    <hyperlink xmlns:r="http://schemas.openxmlformats.org/officeDocument/2006/relationships" ref="J2562" r:id="rId7378"/>
    <hyperlink xmlns:r="http://schemas.openxmlformats.org/officeDocument/2006/relationships" ref="K2562" r:id="rId7379"/>
    <hyperlink xmlns:r="http://schemas.openxmlformats.org/officeDocument/2006/relationships" ref="I2563" r:id="rId7380"/>
    <hyperlink xmlns:r="http://schemas.openxmlformats.org/officeDocument/2006/relationships" ref="J2563" r:id="rId7381"/>
    <hyperlink xmlns:r="http://schemas.openxmlformats.org/officeDocument/2006/relationships" ref="K2563" r:id="rId7382"/>
    <hyperlink xmlns:r="http://schemas.openxmlformats.org/officeDocument/2006/relationships" ref="I2564" r:id="rId7383"/>
    <hyperlink xmlns:r="http://schemas.openxmlformats.org/officeDocument/2006/relationships" ref="J2564" r:id="rId7384"/>
    <hyperlink xmlns:r="http://schemas.openxmlformats.org/officeDocument/2006/relationships" ref="K2564" r:id="rId7385"/>
    <hyperlink xmlns:r="http://schemas.openxmlformats.org/officeDocument/2006/relationships" ref="I2565" r:id="rId7386"/>
    <hyperlink xmlns:r="http://schemas.openxmlformats.org/officeDocument/2006/relationships" ref="J2565" r:id="rId7387"/>
    <hyperlink xmlns:r="http://schemas.openxmlformats.org/officeDocument/2006/relationships" ref="K2565" r:id="rId7388"/>
    <hyperlink xmlns:r="http://schemas.openxmlformats.org/officeDocument/2006/relationships" ref="I2566" r:id="rId7389"/>
    <hyperlink xmlns:r="http://schemas.openxmlformats.org/officeDocument/2006/relationships" ref="J2566" r:id="rId7390"/>
    <hyperlink xmlns:r="http://schemas.openxmlformats.org/officeDocument/2006/relationships" ref="K2566" r:id="rId7391"/>
    <hyperlink xmlns:r="http://schemas.openxmlformats.org/officeDocument/2006/relationships" ref="I2567" r:id="rId7392"/>
    <hyperlink xmlns:r="http://schemas.openxmlformats.org/officeDocument/2006/relationships" ref="J2567" r:id="rId7393"/>
    <hyperlink xmlns:r="http://schemas.openxmlformats.org/officeDocument/2006/relationships" ref="K2567" r:id="rId7394"/>
    <hyperlink xmlns:r="http://schemas.openxmlformats.org/officeDocument/2006/relationships" ref="I2568" r:id="rId7395"/>
    <hyperlink xmlns:r="http://schemas.openxmlformats.org/officeDocument/2006/relationships" ref="J2568" r:id="rId7396"/>
    <hyperlink xmlns:r="http://schemas.openxmlformats.org/officeDocument/2006/relationships" ref="K2568" r:id="rId7397"/>
    <hyperlink xmlns:r="http://schemas.openxmlformats.org/officeDocument/2006/relationships" ref="I2569" r:id="rId7398"/>
    <hyperlink xmlns:r="http://schemas.openxmlformats.org/officeDocument/2006/relationships" ref="J2569" r:id="rId7399"/>
    <hyperlink xmlns:r="http://schemas.openxmlformats.org/officeDocument/2006/relationships" ref="K2569" r:id="rId7400"/>
    <hyperlink xmlns:r="http://schemas.openxmlformats.org/officeDocument/2006/relationships" ref="I2570" r:id="rId7401"/>
    <hyperlink xmlns:r="http://schemas.openxmlformats.org/officeDocument/2006/relationships" ref="J2570" r:id="rId7402"/>
    <hyperlink xmlns:r="http://schemas.openxmlformats.org/officeDocument/2006/relationships" ref="K2570" r:id="rId7403"/>
    <hyperlink xmlns:r="http://schemas.openxmlformats.org/officeDocument/2006/relationships" ref="I2571" r:id="rId7404"/>
    <hyperlink xmlns:r="http://schemas.openxmlformats.org/officeDocument/2006/relationships" ref="J2571" r:id="rId7405"/>
    <hyperlink xmlns:r="http://schemas.openxmlformats.org/officeDocument/2006/relationships" ref="K2571" r:id="rId7406"/>
    <hyperlink xmlns:r="http://schemas.openxmlformats.org/officeDocument/2006/relationships" ref="I2572" r:id="rId7407"/>
    <hyperlink xmlns:r="http://schemas.openxmlformats.org/officeDocument/2006/relationships" ref="J2572" r:id="rId7408"/>
    <hyperlink xmlns:r="http://schemas.openxmlformats.org/officeDocument/2006/relationships" ref="K2572" r:id="rId7409"/>
    <hyperlink xmlns:r="http://schemas.openxmlformats.org/officeDocument/2006/relationships" ref="I2573" r:id="rId7410"/>
    <hyperlink xmlns:r="http://schemas.openxmlformats.org/officeDocument/2006/relationships" ref="J2573" r:id="rId7411"/>
    <hyperlink xmlns:r="http://schemas.openxmlformats.org/officeDocument/2006/relationships" ref="K2573" r:id="rId7412"/>
    <hyperlink xmlns:r="http://schemas.openxmlformats.org/officeDocument/2006/relationships" ref="I2574" r:id="rId7413"/>
    <hyperlink xmlns:r="http://schemas.openxmlformats.org/officeDocument/2006/relationships" ref="J2574" r:id="rId7414"/>
    <hyperlink xmlns:r="http://schemas.openxmlformats.org/officeDocument/2006/relationships" ref="K2574" r:id="rId7415"/>
    <hyperlink xmlns:r="http://schemas.openxmlformats.org/officeDocument/2006/relationships" ref="I2575" r:id="rId7416"/>
    <hyperlink xmlns:r="http://schemas.openxmlformats.org/officeDocument/2006/relationships" ref="J2575" r:id="rId7417"/>
    <hyperlink xmlns:r="http://schemas.openxmlformats.org/officeDocument/2006/relationships" ref="K2575" r:id="rId7418"/>
    <hyperlink xmlns:r="http://schemas.openxmlformats.org/officeDocument/2006/relationships" ref="I2576" r:id="rId7419"/>
    <hyperlink xmlns:r="http://schemas.openxmlformats.org/officeDocument/2006/relationships" ref="J2576" r:id="rId7420"/>
    <hyperlink xmlns:r="http://schemas.openxmlformats.org/officeDocument/2006/relationships" ref="K2576" r:id="rId7421"/>
    <hyperlink xmlns:r="http://schemas.openxmlformats.org/officeDocument/2006/relationships" ref="I2577" r:id="rId7422"/>
    <hyperlink xmlns:r="http://schemas.openxmlformats.org/officeDocument/2006/relationships" ref="J2577" r:id="rId7423"/>
    <hyperlink xmlns:r="http://schemas.openxmlformats.org/officeDocument/2006/relationships" ref="K2577" r:id="rId7424"/>
    <hyperlink xmlns:r="http://schemas.openxmlformats.org/officeDocument/2006/relationships" ref="I2578" r:id="rId7425"/>
    <hyperlink xmlns:r="http://schemas.openxmlformats.org/officeDocument/2006/relationships" ref="J2578" r:id="rId7426"/>
    <hyperlink xmlns:r="http://schemas.openxmlformats.org/officeDocument/2006/relationships" ref="K2578" r:id="rId7427"/>
    <hyperlink xmlns:r="http://schemas.openxmlformats.org/officeDocument/2006/relationships" ref="I2579" r:id="rId7428"/>
    <hyperlink xmlns:r="http://schemas.openxmlformats.org/officeDocument/2006/relationships" ref="J2579" r:id="rId7429"/>
    <hyperlink xmlns:r="http://schemas.openxmlformats.org/officeDocument/2006/relationships" ref="K2579" r:id="rId7430"/>
    <hyperlink xmlns:r="http://schemas.openxmlformats.org/officeDocument/2006/relationships" ref="I2580" r:id="rId7431"/>
    <hyperlink xmlns:r="http://schemas.openxmlformats.org/officeDocument/2006/relationships" ref="J2580" r:id="rId7432"/>
    <hyperlink xmlns:r="http://schemas.openxmlformats.org/officeDocument/2006/relationships" ref="K2580" r:id="rId7433"/>
    <hyperlink xmlns:r="http://schemas.openxmlformats.org/officeDocument/2006/relationships" ref="I2581" r:id="rId7434"/>
    <hyperlink xmlns:r="http://schemas.openxmlformats.org/officeDocument/2006/relationships" ref="J2581" r:id="rId7435"/>
    <hyperlink xmlns:r="http://schemas.openxmlformats.org/officeDocument/2006/relationships" ref="I2582" r:id="rId7436"/>
    <hyperlink xmlns:r="http://schemas.openxmlformats.org/officeDocument/2006/relationships" ref="J2582" r:id="rId7437"/>
    <hyperlink xmlns:r="http://schemas.openxmlformats.org/officeDocument/2006/relationships" ref="I2583" r:id="rId7438"/>
    <hyperlink xmlns:r="http://schemas.openxmlformats.org/officeDocument/2006/relationships" ref="J2583" r:id="rId7439"/>
    <hyperlink xmlns:r="http://schemas.openxmlformats.org/officeDocument/2006/relationships" ref="I2584" r:id="rId7440"/>
    <hyperlink xmlns:r="http://schemas.openxmlformats.org/officeDocument/2006/relationships" ref="J2584" r:id="rId7441"/>
    <hyperlink xmlns:r="http://schemas.openxmlformats.org/officeDocument/2006/relationships" ref="I2585" r:id="rId7442"/>
    <hyperlink xmlns:r="http://schemas.openxmlformats.org/officeDocument/2006/relationships" ref="J2585" r:id="rId7443"/>
    <hyperlink xmlns:r="http://schemas.openxmlformats.org/officeDocument/2006/relationships" ref="K2585" r:id="rId7444"/>
    <hyperlink xmlns:r="http://schemas.openxmlformats.org/officeDocument/2006/relationships" ref="I2586" r:id="rId7445"/>
    <hyperlink xmlns:r="http://schemas.openxmlformats.org/officeDocument/2006/relationships" ref="J2586" r:id="rId7446"/>
    <hyperlink xmlns:r="http://schemas.openxmlformats.org/officeDocument/2006/relationships" ref="K2586" r:id="rId7447"/>
    <hyperlink xmlns:r="http://schemas.openxmlformats.org/officeDocument/2006/relationships" ref="I2587" r:id="rId7448"/>
    <hyperlink xmlns:r="http://schemas.openxmlformats.org/officeDocument/2006/relationships" ref="J2587" r:id="rId7449"/>
    <hyperlink xmlns:r="http://schemas.openxmlformats.org/officeDocument/2006/relationships" ref="I2588" r:id="rId7450"/>
    <hyperlink xmlns:r="http://schemas.openxmlformats.org/officeDocument/2006/relationships" ref="J2588" r:id="rId7451"/>
    <hyperlink xmlns:r="http://schemas.openxmlformats.org/officeDocument/2006/relationships" ref="K2588" r:id="rId7452"/>
    <hyperlink xmlns:r="http://schemas.openxmlformats.org/officeDocument/2006/relationships" ref="I2589" r:id="rId7453"/>
    <hyperlink xmlns:r="http://schemas.openxmlformats.org/officeDocument/2006/relationships" ref="J2589" r:id="rId7454"/>
    <hyperlink xmlns:r="http://schemas.openxmlformats.org/officeDocument/2006/relationships" ref="K2589" r:id="rId7455"/>
    <hyperlink xmlns:r="http://schemas.openxmlformats.org/officeDocument/2006/relationships" ref="I2590" r:id="rId7456"/>
    <hyperlink xmlns:r="http://schemas.openxmlformats.org/officeDocument/2006/relationships" ref="J2590" r:id="rId7457"/>
    <hyperlink xmlns:r="http://schemas.openxmlformats.org/officeDocument/2006/relationships" ref="K2590" r:id="rId7458"/>
    <hyperlink xmlns:r="http://schemas.openxmlformats.org/officeDocument/2006/relationships" ref="I2591" r:id="rId7459"/>
    <hyperlink xmlns:r="http://schemas.openxmlformats.org/officeDocument/2006/relationships" ref="J2591" r:id="rId7460"/>
    <hyperlink xmlns:r="http://schemas.openxmlformats.org/officeDocument/2006/relationships" ref="K2591" r:id="rId7461"/>
    <hyperlink xmlns:r="http://schemas.openxmlformats.org/officeDocument/2006/relationships" ref="I2592" r:id="rId7462"/>
    <hyperlink xmlns:r="http://schemas.openxmlformats.org/officeDocument/2006/relationships" ref="J2592" r:id="rId7463"/>
    <hyperlink xmlns:r="http://schemas.openxmlformats.org/officeDocument/2006/relationships" ref="K2592" r:id="rId7464"/>
    <hyperlink xmlns:r="http://schemas.openxmlformats.org/officeDocument/2006/relationships" ref="I2593" r:id="rId7465"/>
    <hyperlink xmlns:r="http://schemas.openxmlformats.org/officeDocument/2006/relationships" ref="J2593" r:id="rId7466"/>
    <hyperlink xmlns:r="http://schemas.openxmlformats.org/officeDocument/2006/relationships" ref="K2593" r:id="rId7467"/>
    <hyperlink xmlns:r="http://schemas.openxmlformats.org/officeDocument/2006/relationships" ref="I2594" r:id="rId7468"/>
    <hyperlink xmlns:r="http://schemas.openxmlformats.org/officeDocument/2006/relationships" ref="J2594" r:id="rId7469"/>
    <hyperlink xmlns:r="http://schemas.openxmlformats.org/officeDocument/2006/relationships" ref="K2594" r:id="rId7470"/>
    <hyperlink xmlns:r="http://schemas.openxmlformats.org/officeDocument/2006/relationships" ref="I2595" r:id="rId7471"/>
    <hyperlink xmlns:r="http://schemas.openxmlformats.org/officeDocument/2006/relationships" ref="J2595" r:id="rId7472"/>
    <hyperlink xmlns:r="http://schemas.openxmlformats.org/officeDocument/2006/relationships" ref="K2595" r:id="rId7473"/>
    <hyperlink xmlns:r="http://schemas.openxmlformats.org/officeDocument/2006/relationships" ref="I2596" r:id="rId7474"/>
    <hyperlink xmlns:r="http://schemas.openxmlformats.org/officeDocument/2006/relationships" ref="J2596" r:id="rId7475"/>
    <hyperlink xmlns:r="http://schemas.openxmlformats.org/officeDocument/2006/relationships" ref="K2596" r:id="rId7476"/>
    <hyperlink xmlns:r="http://schemas.openxmlformats.org/officeDocument/2006/relationships" ref="I2597" r:id="rId7477"/>
    <hyperlink xmlns:r="http://schemas.openxmlformats.org/officeDocument/2006/relationships" ref="J2597" r:id="rId7478"/>
    <hyperlink xmlns:r="http://schemas.openxmlformats.org/officeDocument/2006/relationships" ref="K2597" r:id="rId7479"/>
    <hyperlink xmlns:r="http://schemas.openxmlformats.org/officeDocument/2006/relationships" ref="I2598" r:id="rId7480"/>
    <hyperlink xmlns:r="http://schemas.openxmlformats.org/officeDocument/2006/relationships" ref="J2598" r:id="rId7481"/>
    <hyperlink xmlns:r="http://schemas.openxmlformats.org/officeDocument/2006/relationships" ref="K2598" r:id="rId7482"/>
    <hyperlink xmlns:r="http://schemas.openxmlformats.org/officeDocument/2006/relationships" ref="I2599" r:id="rId7483"/>
    <hyperlink xmlns:r="http://schemas.openxmlformats.org/officeDocument/2006/relationships" ref="J2599" r:id="rId7484"/>
    <hyperlink xmlns:r="http://schemas.openxmlformats.org/officeDocument/2006/relationships" ref="K2599" r:id="rId7485"/>
    <hyperlink xmlns:r="http://schemas.openxmlformats.org/officeDocument/2006/relationships" ref="I2600" r:id="rId7486"/>
    <hyperlink xmlns:r="http://schemas.openxmlformats.org/officeDocument/2006/relationships" ref="J2600" r:id="rId7487"/>
    <hyperlink xmlns:r="http://schemas.openxmlformats.org/officeDocument/2006/relationships" ref="K2600" r:id="rId7488"/>
    <hyperlink xmlns:r="http://schemas.openxmlformats.org/officeDocument/2006/relationships" ref="I2601" r:id="rId7489"/>
    <hyperlink xmlns:r="http://schemas.openxmlformats.org/officeDocument/2006/relationships" ref="J2601" r:id="rId7490"/>
    <hyperlink xmlns:r="http://schemas.openxmlformats.org/officeDocument/2006/relationships" ref="K2601" r:id="rId7491"/>
    <hyperlink xmlns:r="http://schemas.openxmlformats.org/officeDocument/2006/relationships" ref="I2602" r:id="rId7492"/>
    <hyperlink xmlns:r="http://schemas.openxmlformats.org/officeDocument/2006/relationships" ref="J2602" r:id="rId7493"/>
    <hyperlink xmlns:r="http://schemas.openxmlformats.org/officeDocument/2006/relationships" ref="K2602" r:id="rId7494"/>
    <hyperlink xmlns:r="http://schemas.openxmlformats.org/officeDocument/2006/relationships" ref="I2603" r:id="rId7495"/>
    <hyperlink xmlns:r="http://schemas.openxmlformats.org/officeDocument/2006/relationships" ref="J2603" r:id="rId7496"/>
    <hyperlink xmlns:r="http://schemas.openxmlformats.org/officeDocument/2006/relationships" ref="K2603" r:id="rId7497"/>
    <hyperlink xmlns:r="http://schemas.openxmlformats.org/officeDocument/2006/relationships" ref="I2604" r:id="rId7498"/>
    <hyperlink xmlns:r="http://schemas.openxmlformats.org/officeDocument/2006/relationships" ref="J2604" r:id="rId7499"/>
    <hyperlink xmlns:r="http://schemas.openxmlformats.org/officeDocument/2006/relationships" ref="K2604" r:id="rId7500"/>
    <hyperlink xmlns:r="http://schemas.openxmlformats.org/officeDocument/2006/relationships" ref="I2605" r:id="rId7501"/>
    <hyperlink xmlns:r="http://schemas.openxmlformats.org/officeDocument/2006/relationships" ref="J2605" r:id="rId7502"/>
    <hyperlink xmlns:r="http://schemas.openxmlformats.org/officeDocument/2006/relationships" ref="K2605" r:id="rId7503"/>
    <hyperlink xmlns:r="http://schemas.openxmlformats.org/officeDocument/2006/relationships" ref="I2606" r:id="rId7504"/>
    <hyperlink xmlns:r="http://schemas.openxmlformats.org/officeDocument/2006/relationships" ref="J2606" r:id="rId7505"/>
    <hyperlink xmlns:r="http://schemas.openxmlformats.org/officeDocument/2006/relationships" ref="K2606" r:id="rId7506"/>
    <hyperlink xmlns:r="http://schemas.openxmlformats.org/officeDocument/2006/relationships" ref="I2607" r:id="rId7507"/>
    <hyperlink xmlns:r="http://schemas.openxmlformats.org/officeDocument/2006/relationships" ref="J2607" r:id="rId7508"/>
    <hyperlink xmlns:r="http://schemas.openxmlformats.org/officeDocument/2006/relationships" ref="K2607" r:id="rId7509"/>
    <hyperlink xmlns:r="http://schemas.openxmlformats.org/officeDocument/2006/relationships" ref="I2608" r:id="rId7510"/>
    <hyperlink xmlns:r="http://schemas.openxmlformats.org/officeDocument/2006/relationships" ref="J2608" r:id="rId7511"/>
    <hyperlink xmlns:r="http://schemas.openxmlformats.org/officeDocument/2006/relationships" ref="K2608" r:id="rId7512"/>
    <hyperlink xmlns:r="http://schemas.openxmlformats.org/officeDocument/2006/relationships" ref="I2609" r:id="rId7513"/>
    <hyperlink xmlns:r="http://schemas.openxmlformats.org/officeDocument/2006/relationships" ref="J2609" r:id="rId7514"/>
    <hyperlink xmlns:r="http://schemas.openxmlformats.org/officeDocument/2006/relationships" ref="K2609" r:id="rId7515"/>
    <hyperlink xmlns:r="http://schemas.openxmlformats.org/officeDocument/2006/relationships" ref="I2610" r:id="rId7516"/>
    <hyperlink xmlns:r="http://schemas.openxmlformats.org/officeDocument/2006/relationships" ref="J2610" r:id="rId7517"/>
    <hyperlink xmlns:r="http://schemas.openxmlformats.org/officeDocument/2006/relationships" ref="K2610" r:id="rId7518"/>
    <hyperlink xmlns:r="http://schemas.openxmlformats.org/officeDocument/2006/relationships" ref="I2611" r:id="rId7519"/>
    <hyperlink xmlns:r="http://schemas.openxmlformats.org/officeDocument/2006/relationships" ref="J2611" r:id="rId7520"/>
    <hyperlink xmlns:r="http://schemas.openxmlformats.org/officeDocument/2006/relationships" ref="K2611" r:id="rId7521"/>
    <hyperlink xmlns:r="http://schemas.openxmlformats.org/officeDocument/2006/relationships" ref="I2612" r:id="rId7522"/>
    <hyperlink xmlns:r="http://schemas.openxmlformats.org/officeDocument/2006/relationships" ref="J2612" r:id="rId7523"/>
    <hyperlink xmlns:r="http://schemas.openxmlformats.org/officeDocument/2006/relationships" ref="K2612" r:id="rId7524"/>
    <hyperlink xmlns:r="http://schemas.openxmlformats.org/officeDocument/2006/relationships" ref="I2613" r:id="rId7525"/>
    <hyperlink xmlns:r="http://schemas.openxmlformats.org/officeDocument/2006/relationships" ref="J2613" r:id="rId7526"/>
    <hyperlink xmlns:r="http://schemas.openxmlformats.org/officeDocument/2006/relationships" ref="K2613" r:id="rId7527"/>
    <hyperlink xmlns:r="http://schemas.openxmlformats.org/officeDocument/2006/relationships" ref="I2614" r:id="rId7528"/>
    <hyperlink xmlns:r="http://schemas.openxmlformats.org/officeDocument/2006/relationships" ref="J2614" r:id="rId7529"/>
    <hyperlink xmlns:r="http://schemas.openxmlformats.org/officeDocument/2006/relationships" ref="K2614" r:id="rId7530"/>
    <hyperlink xmlns:r="http://schemas.openxmlformats.org/officeDocument/2006/relationships" ref="I2615" r:id="rId7531"/>
    <hyperlink xmlns:r="http://schemas.openxmlformats.org/officeDocument/2006/relationships" ref="J2615" r:id="rId7532"/>
    <hyperlink xmlns:r="http://schemas.openxmlformats.org/officeDocument/2006/relationships" ref="K2615" r:id="rId7533"/>
    <hyperlink xmlns:r="http://schemas.openxmlformats.org/officeDocument/2006/relationships" ref="I2616" r:id="rId7534"/>
    <hyperlink xmlns:r="http://schemas.openxmlformats.org/officeDocument/2006/relationships" ref="J2616" r:id="rId7535"/>
    <hyperlink xmlns:r="http://schemas.openxmlformats.org/officeDocument/2006/relationships" ref="K2616" r:id="rId7536"/>
    <hyperlink xmlns:r="http://schemas.openxmlformats.org/officeDocument/2006/relationships" ref="I2617" r:id="rId7537"/>
    <hyperlink xmlns:r="http://schemas.openxmlformats.org/officeDocument/2006/relationships" ref="J2617" r:id="rId7538"/>
    <hyperlink xmlns:r="http://schemas.openxmlformats.org/officeDocument/2006/relationships" ref="K2617" r:id="rId7539"/>
    <hyperlink xmlns:r="http://schemas.openxmlformats.org/officeDocument/2006/relationships" ref="I2618" r:id="rId7540"/>
    <hyperlink xmlns:r="http://schemas.openxmlformats.org/officeDocument/2006/relationships" ref="J2618" r:id="rId7541"/>
    <hyperlink xmlns:r="http://schemas.openxmlformats.org/officeDocument/2006/relationships" ref="K2618" r:id="rId7542"/>
    <hyperlink xmlns:r="http://schemas.openxmlformats.org/officeDocument/2006/relationships" ref="I2619" r:id="rId7543"/>
    <hyperlink xmlns:r="http://schemas.openxmlformats.org/officeDocument/2006/relationships" ref="J2619" r:id="rId7544"/>
    <hyperlink xmlns:r="http://schemas.openxmlformats.org/officeDocument/2006/relationships" ref="K2619" r:id="rId7545"/>
    <hyperlink xmlns:r="http://schemas.openxmlformats.org/officeDocument/2006/relationships" ref="I2620" r:id="rId7546"/>
    <hyperlink xmlns:r="http://schemas.openxmlformats.org/officeDocument/2006/relationships" ref="J2620" r:id="rId7547"/>
    <hyperlink xmlns:r="http://schemas.openxmlformats.org/officeDocument/2006/relationships" ref="K2620" r:id="rId7548"/>
    <hyperlink xmlns:r="http://schemas.openxmlformats.org/officeDocument/2006/relationships" ref="I2621" r:id="rId7549"/>
    <hyperlink xmlns:r="http://schemas.openxmlformats.org/officeDocument/2006/relationships" ref="J2621" r:id="rId7550"/>
    <hyperlink xmlns:r="http://schemas.openxmlformats.org/officeDocument/2006/relationships" ref="K2621" r:id="rId7551"/>
    <hyperlink xmlns:r="http://schemas.openxmlformats.org/officeDocument/2006/relationships" ref="I2622" r:id="rId7552"/>
    <hyperlink xmlns:r="http://schemas.openxmlformats.org/officeDocument/2006/relationships" ref="J2622" r:id="rId7553"/>
    <hyperlink xmlns:r="http://schemas.openxmlformats.org/officeDocument/2006/relationships" ref="K2622" r:id="rId7554"/>
    <hyperlink xmlns:r="http://schemas.openxmlformats.org/officeDocument/2006/relationships" ref="I2623" r:id="rId7555"/>
    <hyperlink xmlns:r="http://schemas.openxmlformats.org/officeDocument/2006/relationships" ref="J2623" r:id="rId7556"/>
    <hyperlink xmlns:r="http://schemas.openxmlformats.org/officeDocument/2006/relationships" ref="K2623" r:id="rId7557"/>
    <hyperlink xmlns:r="http://schemas.openxmlformats.org/officeDocument/2006/relationships" ref="I2624" r:id="rId7558"/>
    <hyperlink xmlns:r="http://schemas.openxmlformats.org/officeDocument/2006/relationships" ref="J2624" r:id="rId7559"/>
    <hyperlink xmlns:r="http://schemas.openxmlformats.org/officeDocument/2006/relationships" ref="K2624" r:id="rId7560"/>
    <hyperlink xmlns:r="http://schemas.openxmlformats.org/officeDocument/2006/relationships" ref="I2625" r:id="rId7561"/>
    <hyperlink xmlns:r="http://schemas.openxmlformats.org/officeDocument/2006/relationships" ref="J2625" r:id="rId7562"/>
    <hyperlink xmlns:r="http://schemas.openxmlformats.org/officeDocument/2006/relationships" ref="K2625" r:id="rId7563"/>
    <hyperlink xmlns:r="http://schemas.openxmlformats.org/officeDocument/2006/relationships" ref="I2626" r:id="rId7564"/>
    <hyperlink xmlns:r="http://schemas.openxmlformats.org/officeDocument/2006/relationships" ref="J2626" r:id="rId7565"/>
    <hyperlink xmlns:r="http://schemas.openxmlformats.org/officeDocument/2006/relationships" ref="K2626" r:id="rId7566"/>
    <hyperlink xmlns:r="http://schemas.openxmlformats.org/officeDocument/2006/relationships" ref="I2627" r:id="rId7567"/>
    <hyperlink xmlns:r="http://schemas.openxmlformats.org/officeDocument/2006/relationships" ref="J2627" r:id="rId7568"/>
    <hyperlink xmlns:r="http://schemas.openxmlformats.org/officeDocument/2006/relationships" ref="K2627" r:id="rId7569"/>
    <hyperlink xmlns:r="http://schemas.openxmlformats.org/officeDocument/2006/relationships" ref="I2628" r:id="rId7570"/>
    <hyperlink xmlns:r="http://schemas.openxmlformats.org/officeDocument/2006/relationships" ref="J2628" r:id="rId7571"/>
    <hyperlink xmlns:r="http://schemas.openxmlformats.org/officeDocument/2006/relationships" ref="K2628" r:id="rId7572"/>
    <hyperlink xmlns:r="http://schemas.openxmlformats.org/officeDocument/2006/relationships" ref="I2629" r:id="rId7573"/>
    <hyperlink xmlns:r="http://schemas.openxmlformats.org/officeDocument/2006/relationships" ref="J2629" r:id="rId7574"/>
    <hyperlink xmlns:r="http://schemas.openxmlformats.org/officeDocument/2006/relationships" ref="K2629" r:id="rId7575"/>
    <hyperlink xmlns:r="http://schemas.openxmlformats.org/officeDocument/2006/relationships" ref="I2630" r:id="rId7576"/>
    <hyperlink xmlns:r="http://schemas.openxmlformats.org/officeDocument/2006/relationships" ref="J2630" r:id="rId7577"/>
    <hyperlink xmlns:r="http://schemas.openxmlformats.org/officeDocument/2006/relationships" ref="K2630" r:id="rId7578"/>
    <hyperlink xmlns:r="http://schemas.openxmlformats.org/officeDocument/2006/relationships" ref="I2631" r:id="rId7579"/>
    <hyperlink xmlns:r="http://schemas.openxmlformats.org/officeDocument/2006/relationships" ref="J2631" r:id="rId7580"/>
    <hyperlink xmlns:r="http://schemas.openxmlformats.org/officeDocument/2006/relationships" ref="K2631" r:id="rId7581"/>
    <hyperlink xmlns:r="http://schemas.openxmlformats.org/officeDocument/2006/relationships" ref="I2632" r:id="rId7582"/>
    <hyperlink xmlns:r="http://schemas.openxmlformats.org/officeDocument/2006/relationships" ref="J2632" r:id="rId7583"/>
    <hyperlink xmlns:r="http://schemas.openxmlformats.org/officeDocument/2006/relationships" ref="K2632" r:id="rId7584"/>
    <hyperlink xmlns:r="http://schemas.openxmlformats.org/officeDocument/2006/relationships" ref="I2633" r:id="rId7585"/>
    <hyperlink xmlns:r="http://schemas.openxmlformats.org/officeDocument/2006/relationships" ref="J2633" r:id="rId7586"/>
    <hyperlink xmlns:r="http://schemas.openxmlformats.org/officeDocument/2006/relationships" ref="K2633" r:id="rId7587"/>
    <hyperlink xmlns:r="http://schemas.openxmlformats.org/officeDocument/2006/relationships" ref="I2634" r:id="rId7588"/>
    <hyperlink xmlns:r="http://schemas.openxmlformats.org/officeDocument/2006/relationships" ref="J2634" r:id="rId7589"/>
    <hyperlink xmlns:r="http://schemas.openxmlformats.org/officeDocument/2006/relationships" ref="K2634" r:id="rId7590"/>
    <hyperlink xmlns:r="http://schemas.openxmlformats.org/officeDocument/2006/relationships" ref="I2635" r:id="rId7591"/>
    <hyperlink xmlns:r="http://schemas.openxmlformats.org/officeDocument/2006/relationships" ref="J2635" r:id="rId7592"/>
    <hyperlink xmlns:r="http://schemas.openxmlformats.org/officeDocument/2006/relationships" ref="K2635" r:id="rId7593"/>
    <hyperlink xmlns:r="http://schemas.openxmlformats.org/officeDocument/2006/relationships" ref="I2636" r:id="rId7594"/>
    <hyperlink xmlns:r="http://schemas.openxmlformats.org/officeDocument/2006/relationships" ref="J2636" r:id="rId7595"/>
    <hyperlink xmlns:r="http://schemas.openxmlformats.org/officeDocument/2006/relationships" ref="K2636" r:id="rId7596"/>
    <hyperlink xmlns:r="http://schemas.openxmlformats.org/officeDocument/2006/relationships" ref="I2637" r:id="rId7597"/>
    <hyperlink xmlns:r="http://schemas.openxmlformats.org/officeDocument/2006/relationships" ref="J2637" r:id="rId7598"/>
    <hyperlink xmlns:r="http://schemas.openxmlformats.org/officeDocument/2006/relationships" ref="K2637" r:id="rId7599"/>
    <hyperlink xmlns:r="http://schemas.openxmlformats.org/officeDocument/2006/relationships" ref="I2638" r:id="rId7600"/>
    <hyperlink xmlns:r="http://schemas.openxmlformats.org/officeDocument/2006/relationships" ref="J2638" r:id="rId7601"/>
    <hyperlink xmlns:r="http://schemas.openxmlformats.org/officeDocument/2006/relationships" ref="K2638" r:id="rId7602"/>
    <hyperlink xmlns:r="http://schemas.openxmlformats.org/officeDocument/2006/relationships" ref="I2639" r:id="rId7603"/>
    <hyperlink xmlns:r="http://schemas.openxmlformats.org/officeDocument/2006/relationships" ref="J2639" r:id="rId7604"/>
    <hyperlink xmlns:r="http://schemas.openxmlformats.org/officeDocument/2006/relationships" ref="K2639" r:id="rId7605"/>
    <hyperlink xmlns:r="http://schemas.openxmlformats.org/officeDocument/2006/relationships" ref="I2640" r:id="rId7606"/>
    <hyperlink xmlns:r="http://schemas.openxmlformats.org/officeDocument/2006/relationships" ref="J2640" r:id="rId7607"/>
    <hyperlink xmlns:r="http://schemas.openxmlformats.org/officeDocument/2006/relationships" ref="K2640" r:id="rId7608"/>
    <hyperlink xmlns:r="http://schemas.openxmlformats.org/officeDocument/2006/relationships" ref="I2641" r:id="rId7609"/>
    <hyperlink xmlns:r="http://schemas.openxmlformats.org/officeDocument/2006/relationships" ref="J2641" r:id="rId7610"/>
    <hyperlink xmlns:r="http://schemas.openxmlformats.org/officeDocument/2006/relationships" ref="K2641" r:id="rId7611"/>
    <hyperlink xmlns:r="http://schemas.openxmlformats.org/officeDocument/2006/relationships" ref="I2642" r:id="rId7612"/>
    <hyperlink xmlns:r="http://schemas.openxmlformats.org/officeDocument/2006/relationships" ref="J2642" r:id="rId7613"/>
    <hyperlink xmlns:r="http://schemas.openxmlformats.org/officeDocument/2006/relationships" ref="K2642" r:id="rId7614"/>
    <hyperlink xmlns:r="http://schemas.openxmlformats.org/officeDocument/2006/relationships" ref="I2643" r:id="rId7615"/>
    <hyperlink xmlns:r="http://schemas.openxmlformats.org/officeDocument/2006/relationships" ref="J2643" r:id="rId7616"/>
    <hyperlink xmlns:r="http://schemas.openxmlformats.org/officeDocument/2006/relationships" ref="K2643" r:id="rId7617"/>
    <hyperlink xmlns:r="http://schemas.openxmlformats.org/officeDocument/2006/relationships" ref="I2644" r:id="rId7618"/>
    <hyperlink xmlns:r="http://schemas.openxmlformats.org/officeDocument/2006/relationships" ref="J2644" r:id="rId7619"/>
    <hyperlink xmlns:r="http://schemas.openxmlformats.org/officeDocument/2006/relationships" ref="K2644" r:id="rId7620"/>
    <hyperlink xmlns:r="http://schemas.openxmlformats.org/officeDocument/2006/relationships" ref="I2645" r:id="rId7621"/>
    <hyperlink xmlns:r="http://schemas.openxmlformats.org/officeDocument/2006/relationships" ref="J2645" r:id="rId7622"/>
    <hyperlink xmlns:r="http://schemas.openxmlformats.org/officeDocument/2006/relationships" ref="K2645" r:id="rId7623"/>
    <hyperlink xmlns:r="http://schemas.openxmlformats.org/officeDocument/2006/relationships" ref="I2646" r:id="rId7624"/>
    <hyperlink xmlns:r="http://schemas.openxmlformats.org/officeDocument/2006/relationships" ref="J2646" r:id="rId7625"/>
    <hyperlink xmlns:r="http://schemas.openxmlformats.org/officeDocument/2006/relationships" ref="K2646" r:id="rId7626"/>
    <hyperlink xmlns:r="http://schemas.openxmlformats.org/officeDocument/2006/relationships" ref="I2647" r:id="rId7627"/>
    <hyperlink xmlns:r="http://schemas.openxmlformats.org/officeDocument/2006/relationships" ref="J2647" r:id="rId7628"/>
    <hyperlink xmlns:r="http://schemas.openxmlformats.org/officeDocument/2006/relationships" ref="K2647" r:id="rId7629"/>
    <hyperlink xmlns:r="http://schemas.openxmlformats.org/officeDocument/2006/relationships" ref="I2648" r:id="rId7630"/>
    <hyperlink xmlns:r="http://schemas.openxmlformats.org/officeDocument/2006/relationships" ref="J2648" r:id="rId7631"/>
    <hyperlink xmlns:r="http://schemas.openxmlformats.org/officeDocument/2006/relationships" ref="K2648" r:id="rId7632"/>
    <hyperlink xmlns:r="http://schemas.openxmlformats.org/officeDocument/2006/relationships" ref="I2649" r:id="rId7633"/>
    <hyperlink xmlns:r="http://schemas.openxmlformats.org/officeDocument/2006/relationships" ref="J2649" r:id="rId7634"/>
    <hyperlink xmlns:r="http://schemas.openxmlformats.org/officeDocument/2006/relationships" ref="K2649" r:id="rId7635"/>
    <hyperlink xmlns:r="http://schemas.openxmlformats.org/officeDocument/2006/relationships" ref="I2650" r:id="rId7636"/>
    <hyperlink xmlns:r="http://schemas.openxmlformats.org/officeDocument/2006/relationships" ref="J2650" r:id="rId7637"/>
    <hyperlink xmlns:r="http://schemas.openxmlformats.org/officeDocument/2006/relationships" ref="K2650" r:id="rId7638"/>
    <hyperlink xmlns:r="http://schemas.openxmlformats.org/officeDocument/2006/relationships" ref="I2651" r:id="rId7639"/>
    <hyperlink xmlns:r="http://schemas.openxmlformats.org/officeDocument/2006/relationships" ref="J2651" r:id="rId7640"/>
    <hyperlink xmlns:r="http://schemas.openxmlformats.org/officeDocument/2006/relationships" ref="K2651" r:id="rId7641"/>
    <hyperlink xmlns:r="http://schemas.openxmlformats.org/officeDocument/2006/relationships" ref="I2652" r:id="rId7642"/>
    <hyperlink xmlns:r="http://schemas.openxmlformats.org/officeDocument/2006/relationships" ref="J2652" r:id="rId7643"/>
    <hyperlink xmlns:r="http://schemas.openxmlformats.org/officeDocument/2006/relationships" ref="K2652" r:id="rId7644"/>
    <hyperlink xmlns:r="http://schemas.openxmlformats.org/officeDocument/2006/relationships" ref="I2653" r:id="rId7645"/>
    <hyperlink xmlns:r="http://schemas.openxmlformats.org/officeDocument/2006/relationships" ref="J2653" r:id="rId7646"/>
    <hyperlink xmlns:r="http://schemas.openxmlformats.org/officeDocument/2006/relationships" ref="K2653" r:id="rId7647"/>
    <hyperlink xmlns:r="http://schemas.openxmlformats.org/officeDocument/2006/relationships" ref="I2654" r:id="rId7648"/>
    <hyperlink xmlns:r="http://schemas.openxmlformats.org/officeDocument/2006/relationships" ref="J2654" r:id="rId7649"/>
    <hyperlink xmlns:r="http://schemas.openxmlformats.org/officeDocument/2006/relationships" ref="K2654" r:id="rId7650"/>
    <hyperlink xmlns:r="http://schemas.openxmlformats.org/officeDocument/2006/relationships" ref="I2655" r:id="rId7651"/>
    <hyperlink xmlns:r="http://schemas.openxmlformats.org/officeDocument/2006/relationships" ref="J2655" r:id="rId7652"/>
    <hyperlink xmlns:r="http://schemas.openxmlformats.org/officeDocument/2006/relationships" ref="K2655" r:id="rId7653"/>
    <hyperlink xmlns:r="http://schemas.openxmlformats.org/officeDocument/2006/relationships" ref="I2656" r:id="rId7654"/>
    <hyperlink xmlns:r="http://schemas.openxmlformats.org/officeDocument/2006/relationships" ref="J2656" r:id="rId7655"/>
    <hyperlink xmlns:r="http://schemas.openxmlformats.org/officeDocument/2006/relationships" ref="K2656" r:id="rId7656"/>
    <hyperlink xmlns:r="http://schemas.openxmlformats.org/officeDocument/2006/relationships" ref="I2657" r:id="rId7657"/>
    <hyperlink xmlns:r="http://schemas.openxmlformats.org/officeDocument/2006/relationships" ref="J2657" r:id="rId7658"/>
    <hyperlink xmlns:r="http://schemas.openxmlformats.org/officeDocument/2006/relationships" ref="K2657" r:id="rId7659"/>
    <hyperlink xmlns:r="http://schemas.openxmlformats.org/officeDocument/2006/relationships" ref="I2658" r:id="rId7660"/>
    <hyperlink xmlns:r="http://schemas.openxmlformats.org/officeDocument/2006/relationships" ref="J2658" r:id="rId7661"/>
    <hyperlink xmlns:r="http://schemas.openxmlformats.org/officeDocument/2006/relationships" ref="K2658" r:id="rId7662"/>
    <hyperlink xmlns:r="http://schemas.openxmlformats.org/officeDocument/2006/relationships" ref="I2659" r:id="rId7663"/>
    <hyperlink xmlns:r="http://schemas.openxmlformats.org/officeDocument/2006/relationships" ref="J2659" r:id="rId7664"/>
    <hyperlink xmlns:r="http://schemas.openxmlformats.org/officeDocument/2006/relationships" ref="K2659" r:id="rId7665"/>
    <hyperlink xmlns:r="http://schemas.openxmlformats.org/officeDocument/2006/relationships" ref="I2660" r:id="rId7666"/>
    <hyperlink xmlns:r="http://schemas.openxmlformats.org/officeDocument/2006/relationships" ref="J2660" r:id="rId7667"/>
    <hyperlink xmlns:r="http://schemas.openxmlformats.org/officeDocument/2006/relationships" ref="K2660" r:id="rId7668"/>
    <hyperlink xmlns:r="http://schemas.openxmlformats.org/officeDocument/2006/relationships" ref="I2661" r:id="rId7669"/>
    <hyperlink xmlns:r="http://schemas.openxmlformats.org/officeDocument/2006/relationships" ref="J2661" r:id="rId7670"/>
    <hyperlink xmlns:r="http://schemas.openxmlformats.org/officeDocument/2006/relationships" ref="K2661" r:id="rId7671"/>
    <hyperlink xmlns:r="http://schemas.openxmlformats.org/officeDocument/2006/relationships" ref="I2662" r:id="rId7672"/>
    <hyperlink xmlns:r="http://schemas.openxmlformats.org/officeDocument/2006/relationships" ref="J2662" r:id="rId7673"/>
    <hyperlink xmlns:r="http://schemas.openxmlformats.org/officeDocument/2006/relationships" ref="K2662" r:id="rId7674"/>
    <hyperlink xmlns:r="http://schemas.openxmlformats.org/officeDocument/2006/relationships" ref="I2663" r:id="rId7675"/>
    <hyperlink xmlns:r="http://schemas.openxmlformats.org/officeDocument/2006/relationships" ref="J2663" r:id="rId7676"/>
    <hyperlink xmlns:r="http://schemas.openxmlformats.org/officeDocument/2006/relationships" ref="K2663" r:id="rId7677"/>
    <hyperlink xmlns:r="http://schemas.openxmlformats.org/officeDocument/2006/relationships" ref="I2664" r:id="rId7678"/>
    <hyperlink xmlns:r="http://schemas.openxmlformats.org/officeDocument/2006/relationships" ref="J2664" r:id="rId7679"/>
    <hyperlink xmlns:r="http://schemas.openxmlformats.org/officeDocument/2006/relationships" ref="K2664" r:id="rId7680"/>
    <hyperlink xmlns:r="http://schemas.openxmlformats.org/officeDocument/2006/relationships" ref="I2665" r:id="rId7681"/>
    <hyperlink xmlns:r="http://schemas.openxmlformats.org/officeDocument/2006/relationships" ref="J2665" r:id="rId7682"/>
    <hyperlink xmlns:r="http://schemas.openxmlformats.org/officeDocument/2006/relationships" ref="K2665" r:id="rId7683"/>
    <hyperlink xmlns:r="http://schemas.openxmlformats.org/officeDocument/2006/relationships" ref="I2666" r:id="rId7684"/>
    <hyperlink xmlns:r="http://schemas.openxmlformats.org/officeDocument/2006/relationships" ref="J2666" r:id="rId7685"/>
    <hyperlink xmlns:r="http://schemas.openxmlformats.org/officeDocument/2006/relationships" ref="K2666" r:id="rId7686"/>
    <hyperlink xmlns:r="http://schemas.openxmlformats.org/officeDocument/2006/relationships" ref="I2667" r:id="rId7687"/>
    <hyperlink xmlns:r="http://schemas.openxmlformats.org/officeDocument/2006/relationships" ref="J2667" r:id="rId7688"/>
    <hyperlink xmlns:r="http://schemas.openxmlformats.org/officeDocument/2006/relationships" ref="K2667" r:id="rId7689"/>
    <hyperlink xmlns:r="http://schemas.openxmlformats.org/officeDocument/2006/relationships" ref="I2668" r:id="rId7690"/>
    <hyperlink xmlns:r="http://schemas.openxmlformats.org/officeDocument/2006/relationships" ref="J2668" r:id="rId7691"/>
    <hyperlink xmlns:r="http://schemas.openxmlformats.org/officeDocument/2006/relationships" ref="K2668" r:id="rId7692"/>
    <hyperlink xmlns:r="http://schemas.openxmlformats.org/officeDocument/2006/relationships" ref="I2669" r:id="rId7693"/>
    <hyperlink xmlns:r="http://schemas.openxmlformats.org/officeDocument/2006/relationships" ref="J2669" r:id="rId7694"/>
    <hyperlink xmlns:r="http://schemas.openxmlformats.org/officeDocument/2006/relationships" ref="K2669" r:id="rId7695"/>
    <hyperlink xmlns:r="http://schemas.openxmlformats.org/officeDocument/2006/relationships" ref="I2670" r:id="rId7696"/>
    <hyperlink xmlns:r="http://schemas.openxmlformats.org/officeDocument/2006/relationships" ref="J2670" r:id="rId7697"/>
    <hyperlink xmlns:r="http://schemas.openxmlformats.org/officeDocument/2006/relationships" ref="K2670" r:id="rId7698"/>
    <hyperlink xmlns:r="http://schemas.openxmlformats.org/officeDocument/2006/relationships" ref="I2671" r:id="rId7699"/>
    <hyperlink xmlns:r="http://schemas.openxmlformats.org/officeDocument/2006/relationships" ref="J2671" r:id="rId7700"/>
    <hyperlink xmlns:r="http://schemas.openxmlformats.org/officeDocument/2006/relationships" ref="K2671" r:id="rId7701"/>
    <hyperlink xmlns:r="http://schemas.openxmlformats.org/officeDocument/2006/relationships" ref="I2672" r:id="rId7702"/>
    <hyperlink xmlns:r="http://schemas.openxmlformats.org/officeDocument/2006/relationships" ref="J2672" r:id="rId7703"/>
    <hyperlink xmlns:r="http://schemas.openxmlformats.org/officeDocument/2006/relationships" ref="K2672" r:id="rId7704"/>
    <hyperlink xmlns:r="http://schemas.openxmlformats.org/officeDocument/2006/relationships" ref="I2673" r:id="rId7705"/>
    <hyperlink xmlns:r="http://schemas.openxmlformats.org/officeDocument/2006/relationships" ref="J2673" r:id="rId7706"/>
    <hyperlink xmlns:r="http://schemas.openxmlformats.org/officeDocument/2006/relationships" ref="K2673" r:id="rId7707"/>
    <hyperlink xmlns:r="http://schemas.openxmlformats.org/officeDocument/2006/relationships" ref="I2674" r:id="rId7708"/>
    <hyperlink xmlns:r="http://schemas.openxmlformats.org/officeDocument/2006/relationships" ref="J2674" r:id="rId7709"/>
    <hyperlink xmlns:r="http://schemas.openxmlformats.org/officeDocument/2006/relationships" ref="K2674" r:id="rId7710"/>
    <hyperlink xmlns:r="http://schemas.openxmlformats.org/officeDocument/2006/relationships" ref="I2675" r:id="rId7711"/>
    <hyperlink xmlns:r="http://schemas.openxmlformats.org/officeDocument/2006/relationships" ref="J2675" r:id="rId7712"/>
    <hyperlink xmlns:r="http://schemas.openxmlformats.org/officeDocument/2006/relationships" ref="K2675" r:id="rId7713"/>
    <hyperlink xmlns:r="http://schemas.openxmlformats.org/officeDocument/2006/relationships" ref="I2676" r:id="rId7714"/>
    <hyperlink xmlns:r="http://schemas.openxmlformats.org/officeDocument/2006/relationships" ref="J2676" r:id="rId7715"/>
    <hyperlink xmlns:r="http://schemas.openxmlformats.org/officeDocument/2006/relationships" ref="K2676" r:id="rId7716"/>
    <hyperlink xmlns:r="http://schemas.openxmlformats.org/officeDocument/2006/relationships" ref="I2677" r:id="rId7717"/>
    <hyperlink xmlns:r="http://schemas.openxmlformats.org/officeDocument/2006/relationships" ref="J2677" r:id="rId7718"/>
    <hyperlink xmlns:r="http://schemas.openxmlformats.org/officeDocument/2006/relationships" ref="K2677" r:id="rId7719"/>
    <hyperlink xmlns:r="http://schemas.openxmlformats.org/officeDocument/2006/relationships" ref="I2678" r:id="rId7720"/>
    <hyperlink xmlns:r="http://schemas.openxmlformats.org/officeDocument/2006/relationships" ref="J2678" r:id="rId7721"/>
    <hyperlink xmlns:r="http://schemas.openxmlformats.org/officeDocument/2006/relationships" ref="K2678" r:id="rId7722"/>
    <hyperlink xmlns:r="http://schemas.openxmlformats.org/officeDocument/2006/relationships" ref="I2679" r:id="rId7723"/>
    <hyperlink xmlns:r="http://schemas.openxmlformats.org/officeDocument/2006/relationships" ref="J2679" r:id="rId7724"/>
    <hyperlink xmlns:r="http://schemas.openxmlformats.org/officeDocument/2006/relationships" ref="K2679" r:id="rId7725"/>
    <hyperlink xmlns:r="http://schemas.openxmlformats.org/officeDocument/2006/relationships" ref="I2680" r:id="rId7726"/>
    <hyperlink xmlns:r="http://schemas.openxmlformats.org/officeDocument/2006/relationships" ref="J2680" r:id="rId7727"/>
    <hyperlink xmlns:r="http://schemas.openxmlformats.org/officeDocument/2006/relationships" ref="K2680" r:id="rId7728"/>
    <hyperlink xmlns:r="http://schemas.openxmlformats.org/officeDocument/2006/relationships" ref="I2681" r:id="rId7729"/>
    <hyperlink xmlns:r="http://schemas.openxmlformats.org/officeDocument/2006/relationships" ref="J2681" r:id="rId7730"/>
    <hyperlink xmlns:r="http://schemas.openxmlformats.org/officeDocument/2006/relationships" ref="K2681" r:id="rId7731"/>
    <hyperlink xmlns:r="http://schemas.openxmlformats.org/officeDocument/2006/relationships" ref="I2682" r:id="rId7732"/>
    <hyperlink xmlns:r="http://schemas.openxmlformats.org/officeDocument/2006/relationships" ref="J2682" r:id="rId7733"/>
    <hyperlink xmlns:r="http://schemas.openxmlformats.org/officeDocument/2006/relationships" ref="K2682" r:id="rId7734"/>
    <hyperlink xmlns:r="http://schemas.openxmlformats.org/officeDocument/2006/relationships" ref="I2683" r:id="rId7735"/>
    <hyperlink xmlns:r="http://schemas.openxmlformats.org/officeDocument/2006/relationships" ref="J2683" r:id="rId7736"/>
    <hyperlink xmlns:r="http://schemas.openxmlformats.org/officeDocument/2006/relationships" ref="K2683" r:id="rId7737"/>
    <hyperlink xmlns:r="http://schemas.openxmlformats.org/officeDocument/2006/relationships" ref="I2684" r:id="rId7738"/>
    <hyperlink xmlns:r="http://schemas.openxmlformats.org/officeDocument/2006/relationships" ref="J2684" r:id="rId7739"/>
    <hyperlink xmlns:r="http://schemas.openxmlformats.org/officeDocument/2006/relationships" ref="K2684" r:id="rId7740"/>
    <hyperlink xmlns:r="http://schemas.openxmlformats.org/officeDocument/2006/relationships" ref="I2685" r:id="rId7741"/>
    <hyperlink xmlns:r="http://schemas.openxmlformats.org/officeDocument/2006/relationships" ref="J2685" r:id="rId7742"/>
    <hyperlink xmlns:r="http://schemas.openxmlformats.org/officeDocument/2006/relationships" ref="K2685" r:id="rId7743"/>
    <hyperlink xmlns:r="http://schemas.openxmlformats.org/officeDocument/2006/relationships" ref="I2686" r:id="rId7744"/>
    <hyperlink xmlns:r="http://schemas.openxmlformats.org/officeDocument/2006/relationships" ref="J2686" r:id="rId7745"/>
    <hyperlink xmlns:r="http://schemas.openxmlformats.org/officeDocument/2006/relationships" ref="K2686" r:id="rId7746"/>
    <hyperlink xmlns:r="http://schemas.openxmlformats.org/officeDocument/2006/relationships" ref="I2687" r:id="rId7747"/>
    <hyperlink xmlns:r="http://schemas.openxmlformats.org/officeDocument/2006/relationships" ref="J2687" r:id="rId7748"/>
    <hyperlink xmlns:r="http://schemas.openxmlformats.org/officeDocument/2006/relationships" ref="K2687" r:id="rId7749"/>
    <hyperlink xmlns:r="http://schemas.openxmlformats.org/officeDocument/2006/relationships" ref="I2688" r:id="rId7750"/>
    <hyperlink xmlns:r="http://schemas.openxmlformats.org/officeDocument/2006/relationships" ref="J2688" r:id="rId7751"/>
    <hyperlink xmlns:r="http://schemas.openxmlformats.org/officeDocument/2006/relationships" ref="K2688" r:id="rId7752"/>
    <hyperlink xmlns:r="http://schemas.openxmlformats.org/officeDocument/2006/relationships" ref="I2689" r:id="rId7753"/>
    <hyperlink xmlns:r="http://schemas.openxmlformats.org/officeDocument/2006/relationships" ref="J2689" r:id="rId7754"/>
    <hyperlink xmlns:r="http://schemas.openxmlformats.org/officeDocument/2006/relationships" ref="K2689" r:id="rId7755"/>
    <hyperlink xmlns:r="http://schemas.openxmlformats.org/officeDocument/2006/relationships" ref="I2690" r:id="rId7756"/>
    <hyperlink xmlns:r="http://schemas.openxmlformats.org/officeDocument/2006/relationships" ref="J2690" r:id="rId7757"/>
    <hyperlink xmlns:r="http://schemas.openxmlformats.org/officeDocument/2006/relationships" ref="K2690" r:id="rId7758"/>
    <hyperlink xmlns:r="http://schemas.openxmlformats.org/officeDocument/2006/relationships" ref="I2691" r:id="rId7759"/>
    <hyperlink xmlns:r="http://schemas.openxmlformats.org/officeDocument/2006/relationships" ref="J2691" r:id="rId7760"/>
    <hyperlink xmlns:r="http://schemas.openxmlformats.org/officeDocument/2006/relationships" ref="K2691" r:id="rId7761"/>
    <hyperlink xmlns:r="http://schemas.openxmlformats.org/officeDocument/2006/relationships" ref="I2692" r:id="rId7762"/>
    <hyperlink xmlns:r="http://schemas.openxmlformats.org/officeDocument/2006/relationships" ref="J2692" r:id="rId7763"/>
    <hyperlink xmlns:r="http://schemas.openxmlformats.org/officeDocument/2006/relationships" ref="K2692" r:id="rId7764"/>
    <hyperlink xmlns:r="http://schemas.openxmlformats.org/officeDocument/2006/relationships" ref="I2693" r:id="rId7765"/>
    <hyperlink xmlns:r="http://schemas.openxmlformats.org/officeDocument/2006/relationships" ref="J2693" r:id="rId7766"/>
    <hyperlink xmlns:r="http://schemas.openxmlformats.org/officeDocument/2006/relationships" ref="K2693" r:id="rId7767"/>
    <hyperlink xmlns:r="http://schemas.openxmlformats.org/officeDocument/2006/relationships" ref="I2694" r:id="rId7768"/>
    <hyperlink xmlns:r="http://schemas.openxmlformats.org/officeDocument/2006/relationships" ref="J2694" r:id="rId7769"/>
    <hyperlink xmlns:r="http://schemas.openxmlformats.org/officeDocument/2006/relationships" ref="K2694" r:id="rId7770"/>
    <hyperlink xmlns:r="http://schemas.openxmlformats.org/officeDocument/2006/relationships" ref="I2695" r:id="rId7771"/>
    <hyperlink xmlns:r="http://schemas.openxmlformats.org/officeDocument/2006/relationships" ref="J2695" r:id="rId7772"/>
    <hyperlink xmlns:r="http://schemas.openxmlformats.org/officeDocument/2006/relationships" ref="K2695" r:id="rId7773"/>
    <hyperlink xmlns:r="http://schemas.openxmlformats.org/officeDocument/2006/relationships" ref="I2696" r:id="rId7774"/>
    <hyperlink xmlns:r="http://schemas.openxmlformats.org/officeDocument/2006/relationships" ref="J2696" r:id="rId7775"/>
    <hyperlink xmlns:r="http://schemas.openxmlformats.org/officeDocument/2006/relationships" ref="K2696" r:id="rId7776"/>
    <hyperlink xmlns:r="http://schemas.openxmlformats.org/officeDocument/2006/relationships" ref="I2697" r:id="rId7777"/>
    <hyperlink xmlns:r="http://schemas.openxmlformats.org/officeDocument/2006/relationships" ref="J2697" r:id="rId7778"/>
    <hyperlink xmlns:r="http://schemas.openxmlformats.org/officeDocument/2006/relationships" ref="K2697" r:id="rId7779"/>
    <hyperlink xmlns:r="http://schemas.openxmlformats.org/officeDocument/2006/relationships" ref="I2698" r:id="rId7780"/>
    <hyperlink xmlns:r="http://schemas.openxmlformats.org/officeDocument/2006/relationships" ref="J2698" r:id="rId7781"/>
    <hyperlink xmlns:r="http://schemas.openxmlformats.org/officeDocument/2006/relationships" ref="K2698" r:id="rId7782"/>
    <hyperlink xmlns:r="http://schemas.openxmlformats.org/officeDocument/2006/relationships" ref="I2699" r:id="rId7783"/>
    <hyperlink xmlns:r="http://schemas.openxmlformats.org/officeDocument/2006/relationships" ref="J2699" r:id="rId7784"/>
    <hyperlink xmlns:r="http://schemas.openxmlformats.org/officeDocument/2006/relationships" ref="K2699" r:id="rId7785"/>
    <hyperlink xmlns:r="http://schemas.openxmlformats.org/officeDocument/2006/relationships" ref="I2700" r:id="rId7786"/>
    <hyperlink xmlns:r="http://schemas.openxmlformats.org/officeDocument/2006/relationships" ref="J2700" r:id="rId7787"/>
    <hyperlink xmlns:r="http://schemas.openxmlformats.org/officeDocument/2006/relationships" ref="K2700" r:id="rId7788"/>
    <hyperlink xmlns:r="http://schemas.openxmlformats.org/officeDocument/2006/relationships" ref="I2701" r:id="rId7789"/>
    <hyperlink xmlns:r="http://schemas.openxmlformats.org/officeDocument/2006/relationships" ref="J2701" r:id="rId7790"/>
    <hyperlink xmlns:r="http://schemas.openxmlformats.org/officeDocument/2006/relationships" ref="K2701" r:id="rId7791"/>
    <hyperlink xmlns:r="http://schemas.openxmlformats.org/officeDocument/2006/relationships" ref="I2702" r:id="rId7792"/>
    <hyperlink xmlns:r="http://schemas.openxmlformats.org/officeDocument/2006/relationships" ref="J2702" r:id="rId7793"/>
    <hyperlink xmlns:r="http://schemas.openxmlformats.org/officeDocument/2006/relationships" ref="K2702" r:id="rId7794"/>
    <hyperlink xmlns:r="http://schemas.openxmlformats.org/officeDocument/2006/relationships" ref="I2703" r:id="rId7795"/>
    <hyperlink xmlns:r="http://schemas.openxmlformats.org/officeDocument/2006/relationships" ref="J2703" r:id="rId7796"/>
    <hyperlink xmlns:r="http://schemas.openxmlformats.org/officeDocument/2006/relationships" ref="K2703" r:id="rId7797"/>
    <hyperlink xmlns:r="http://schemas.openxmlformats.org/officeDocument/2006/relationships" ref="I2704" r:id="rId7798"/>
    <hyperlink xmlns:r="http://schemas.openxmlformats.org/officeDocument/2006/relationships" ref="J2704" r:id="rId7799"/>
    <hyperlink xmlns:r="http://schemas.openxmlformats.org/officeDocument/2006/relationships" ref="K2704" r:id="rId7800"/>
    <hyperlink xmlns:r="http://schemas.openxmlformats.org/officeDocument/2006/relationships" ref="I2705" r:id="rId7801"/>
    <hyperlink xmlns:r="http://schemas.openxmlformats.org/officeDocument/2006/relationships" ref="J2705" r:id="rId7802"/>
    <hyperlink xmlns:r="http://schemas.openxmlformats.org/officeDocument/2006/relationships" ref="K2705" r:id="rId7803"/>
    <hyperlink xmlns:r="http://schemas.openxmlformats.org/officeDocument/2006/relationships" ref="I2706" r:id="rId7804"/>
    <hyperlink xmlns:r="http://schemas.openxmlformats.org/officeDocument/2006/relationships" ref="J2706" r:id="rId7805"/>
    <hyperlink xmlns:r="http://schemas.openxmlformats.org/officeDocument/2006/relationships" ref="K2706" r:id="rId7806"/>
    <hyperlink xmlns:r="http://schemas.openxmlformats.org/officeDocument/2006/relationships" ref="I2707" r:id="rId7807"/>
    <hyperlink xmlns:r="http://schemas.openxmlformats.org/officeDocument/2006/relationships" ref="J2707" r:id="rId7808"/>
    <hyperlink xmlns:r="http://schemas.openxmlformats.org/officeDocument/2006/relationships" ref="K2707" r:id="rId7809"/>
    <hyperlink xmlns:r="http://schemas.openxmlformats.org/officeDocument/2006/relationships" ref="I2708" r:id="rId7810"/>
    <hyperlink xmlns:r="http://schemas.openxmlformats.org/officeDocument/2006/relationships" ref="J2708" r:id="rId7811"/>
    <hyperlink xmlns:r="http://schemas.openxmlformats.org/officeDocument/2006/relationships" ref="K2708" r:id="rId7812"/>
    <hyperlink xmlns:r="http://schemas.openxmlformats.org/officeDocument/2006/relationships" ref="I2709" r:id="rId7813"/>
    <hyperlink xmlns:r="http://schemas.openxmlformats.org/officeDocument/2006/relationships" ref="J2709" r:id="rId7814"/>
    <hyperlink xmlns:r="http://schemas.openxmlformats.org/officeDocument/2006/relationships" ref="K2709" r:id="rId7815"/>
    <hyperlink xmlns:r="http://schemas.openxmlformats.org/officeDocument/2006/relationships" ref="I2710" r:id="rId7816"/>
    <hyperlink xmlns:r="http://schemas.openxmlformats.org/officeDocument/2006/relationships" ref="J2710" r:id="rId7817"/>
    <hyperlink xmlns:r="http://schemas.openxmlformats.org/officeDocument/2006/relationships" ref="K2710" r:id="rId7818"/>
    <hyperlink xmlns:r="http://schemas.openxmlformats.org/officeDocument/2006/relationships" ref="I2711" r:id="rId7819"/>
    <hyperlink xmlns:r="http://schemas.openxmlformats.org/officeDocument/2006/relationships" ref="J2711" r:id="rId7820"/>
    <hyperlink xmlns:r="http://schemas.openxmlformats.org/officeDocument/2006/relationships" ref="K2711" r:id="rId7821"/>
    <hyperlink xmlns:r="http://schemas.openxmlformats.org/officeDocument/2006/relationships" ref="I2712" r:id="rId7822"/>
    <hyperlink xmlns:r="http://schemas.openxmlformats.org/officeDocument/2006/relationships" ref="J2712" r:id="rId7823"/>
    <hyperlink xmlns:r="http://schemas.openxmlformats.org/officeDocument/2006/relationships" ref="K2712" r:id="rId7824"/>
    <hyperlink xmlns:r="http://schemas.openxmlformats.org/officeDocument/2006/relationships" ref="I2713" r:id="rId7825"/>
    <hyperlink xmlns:r="http://schemas.openxmlformats.org/officeDocument/2006/relationships" ref="J2713" r:id="rId7826"/>
    <hyperlink xmlns:r="http://schemas.openxmlformats.org/officeDocument/2006/relationships" ref="K2713" r:id="rId7827"/>
    <hyperlink xmlns:r="http://schemas.openxmlformats.org/officeDocument/2006/relationships" ref="I2714" r:id="rId7828"/>
    <hyperlink xmlns:r="http://schemas.openxmlformats.org/officeDocument/2006/relationships" ref="J2714" r:id="rId7829"/>
    <hyperlink xmlns:r="http://schemas.openxmlformats.org/officeDocument/2006/relationships" ref="K2714" r:id="rId7830"/>
    <hyperlink xmlns:r="http://schemas.openxmlformats.org/officeDocument/2006/relationships" ref="I2715" r:id="rId7831"/>
    <hyperlink xmlns:r="http://schemas.openxmlformats.org/officeDocument/2006/relationships" ref="J2715" r:id="rId7832"/>
    <hyperlink xmlns:r="http://schemas.openxmlformats.org/officeDocument/2006/relationships" ref="K2715" r:id="rId7833"/>
    <hyperlink xmlns:r="http://schemas.openxmlformats.org/officeDocument/2006/relationships" ref="I2716" r:id="rId7834"/>
    <hyperlink xmlns:r="http://schemas.openxmlformats.org/officeDocument/2006/relationships" ref="J2716" r:id="rId7835"/>
    <hyperlink xmlns:r="http://schemas.openxmlformats.org/officeDocument/2006/relationships" ref="K2716" r:id="rId7836"/>
    <hyperlink xmlns:r="http://schemas.openxmlformats.org/officeDocument/2006/relationships" ref="I2717" r:id="rId7837"/>
    <hyperlink xmlns:r="http://schemas.openxmlformats.org/officeDocument/2006/relationships" ref="J2717" r:id="rId7838"/>
    <hyperlink xmlns:r="http://schemas.openxmlformats.org/officeDocument/2006/relationships" ref="K2717" r:id="rId7839"/>
    <hyperlink xmlns:r="http://schemas.openxmlformats.org/officeDocument/2006/relationships" ref="I2718" r:id="rId7840"/>
    <hyperlink xmlns:r="http://schemas.openxmlformats.org/officeDocument/2006/relationships" ref="J2718" r:id="rId7841"/>
    <hyperlink xmlns:r="http://schemas.openxmlformats.org/officeDocument/2006/relationships" ref="K2718" r:id="rId7842"/>
    <hyperlink xmlns:r="http://schemas.openxmlformats.org/officeDocument/2006/relationships" ref="I2719" r:id="rId7843"/>
    <hyperlink xmlns:r="http://schemas.openxmlformats.org/officeDocument/2006/relationships" ref="J2719" r:id="rId7844"/>
    <hyperlink xmlns:r="http://schemas.openxmlformats.org/officeDocument/2006/relationships" ref="K2719" r:id="rId7845"/>
    <hyperlink xmlns:r="http://schemas.openxmlformats.org/officeDocument/2006/relationships" ref="I2720" r:id="rId7846"/>
    <hyperlink xmlns:r="http://schemas.openxmlformats.org/officeDocument/2006/relationships" ref="J2720" r:id="rId7847"/>
    <hyperlink xmlns:r="http://schemas.openxmlformats.org/officeDocument/2006/relationships" ref="K2720" r:id="rId7848"/>
    <hyperlink xmlns:r="http://schemas.openxmlformats.org/officeDocument/2006/relationships" ref="I2721" r:id="rId7849"/>
    <hyperlink xmlns:r="http://schemas.openxmlformats.org/officeDocument/2006/relationships" ref="J2721" r:id="rId7850"/>
    <hyperlink xmlns:r="http://schemas.openxmlformats.org/officeDocument/2006/relationships" ref="K2721" r:id="rId7851"/>
    <hyperlink xmlns:r="http://schemas.openxmlformats.org/officeDocument/2006/relationships" ref="I2722" r:id="rId7852"/>
    <hyperlink xmlns:r="http://schemas.openxmlformats.org/officeDocument/2006/relationships" ref="J2722" r:id="rId7853"/>
    <hyperlink xmlns:r="http://schemas.openxmlformats.org/officeDocument/2006/relationships" ref="K2722" r:id="rId7854"/>
    <hyperlink xmlns:r="http://schemas.openxmlformats.org/officeDocument/2006/relationships" ref="I2723" r:id="rId7855"/>
    <hyperlink xmlns:r="http://schemas.openxmlformats.org/officeDocument/2006/relationships" ref="J2723" r:id="rId7856"/>
    <hyperlink xmlns:r="http://schemas.openxmlformats.org/officeDocument/2006/relationships" ref="K2723" r:id="rId7857"/>
    <hyperlink xmlns:r="http://schemas.openxmlformats.org/officeDocument/2006/relationships" ref="I2724" r:id="rId7858"/>
    <hyperlink xmlns:r="http://schemas.openxmlformats.org/officeDocument/2006/relationships" ref="J2724" r:id="rId7859"/>
    <hyperlink xmlns:r="http://schemas.openxmlformats.org/officeDocument/2006/relationships" ref="K2724" r:id="rId7860"/>
    <hyperlink xmlns:r="http://schemas.openxmlformats.org/officeDocument/2006/relationships" ref="I2725" r:id="rId7861"/>
    <hyperlink xmlns:r="http://schemas.openxmlformats.org/officeDocument/2006/relationships" ref="J2725" r:id="rId7862"/>
    <hyperlink xmlns:r="http://schemas.openxmlformats.org/officeDocument/2006/relationships" ref="K2725" r:id="rId7863"/>
    <hyperlink xmlns:r="http://schemas.openxmlformats.org/officeDocument/2006/relationships" ref="I2726" r:id="rId7864"/>
    <hyperlink xmlns:r="http://schemas.openxmlformats.org/officeDocument/2006/relationships" ref="J2726" r:id="rId7865"/>
    <hyperlink xmlns:r="http://schemas.openxmlformats.org/officeDocument/2006/relationships" ref="K2726" r:id="rId7866"/>
    <hyperlink xmlns:r="http://schemas.openxmlformats.org/officeDocument/2006/relationships" ref="I2727" r:id="rId7867"/>
    <hyperlink xmlns:r="http://schemas.openxmlformats.org/officeDocument/2006/relationships" ref="J2727" r:id="rId7868"/>
    <hyperlink xmlns:r="http://schemas.openxmlformats.org/officeDocument/2006/relationships" ref="K2727" r:id="rId7869"/>
    <hyperlink xmlns:r="http://schemas.openxmlformats.org/officeDocument/2006/relationships" ref="I2728" r:id="rId7870"/>
    <hyperlink xmlns:r="http://schemas.openxmlformats.org/officeDocument/2006/relationships" ref="J2728" r:id="rId7871"/>
    <hyperlink xmlns:r="http://schemas.openxmlformats.org/officeDocument/2006/relationships" ref="K2728" r:id="rId7872"/>
    <hyperlink xmlns:r="http://schemas.openxmlformats.org/officeDocument/2006/relationships" ref="I2729" r:id="rId7873"/>
    <hyperlink xmlns:r="http://schemas.openxmlformats.org/officeDocument/2006/relationships" ref="J2729" r:id="rId7874"/>
    <hyperlink xmlns:r="http://schemas.openxmlformats.org/officeDocument/2006/relationships" ref="K2729" r:id="rId7875"/>
    <hyperlink xmlns:r="http://schemas.openxmlformats.org/officeDocument/2006/relationships" ref="I2730" r:id="rId7876"/>
    <hyperlink xmlns:r="http://schemas.openxmlformats.org/officeDocument/2006/relationships" ref="J2730" r:id="rId7877"/>
    <hyperlink xmlns:r="http://schemas.openxmlformats.org/officeDocument/2006/relationships" ref="K2730" r:id="rId7878"/>
    <hyperlink xmlns:r="http://schemas.openxmlformats.org/officeDocument/2006/relationships" ref="I2731" r:id="rId7879"/>
    <hyperlink xmlns:r="http://schemas.openxmlformats.org/officeDocument/2006/relationships" ref="J2731" r:id="rId7880"/>
    <hyperlink xmlns:r="http://schemas.openxmlformats.org/officeDocument/2006/relationships" ref="K2731" r:id="rId7881"/>
    <hyperlink xmlns:r="http://schemas.openxmlformats.org/officeDocument/2006/relationships" ref="I2732" r:id="rId7882"/>
    <hyperlink xmlns:r="http://schemas.openxmlformats.org/officeDocument/2006/relationships" ref="J2732" r:id="rId7883"/>
    <hyperlink xmlns:r="http://schemas.openxmlformats.org/officeDocument/2006/relationships" ref="K2732" r:id="rId7884"/>
    <hyperlink xmlns:r="http://schemas.openxmlformats.org/officeDocument/2006/relationships" ref="I2733" r:id="rId7885"/>
    <hyperlink xmlns:r="http://schemas.openxmlformats.org/officeDocument/2006/relationships" ref="J2733" r:id="rId7886"/>
    <hyperlink xmlns:r="http://schemas.openxmlformats.org/officeDocument/2006/relationships" ref="K2733" r:id="rId7887"/>
    <hyperlink xmlns:r="http://schemas.openxmlformats.org/officeDocument/2006/relationships" ref="I2734" r:id="rId7888"/>
    <hyperlink xmlns:r="http://schemas.openxmlformats.org/officeDocument/2006/relationships" ref="J2734" r:id="rId7889"/>
    <hyperlink xmlns:r="http://schemas.openxmlformats.org/officeDocument/2006/relationships" ref="K2734" r:id="rId7890"/>
    <hyperlink xmlns:r="http://schemas.openxmlformats.org/officeDocument/2006/relationships" ref="I2735" r:id="rId7891"/>
    <hyperlink xmlns:r="http://schemas.openxmlformats.org/officeDocument/2006/relationships" ref="J2735" r:id="rId7892"/>
    <hyperlink xmlns:r="http://schemas.openxmlformats.org/officeDocument/2006/relationships" ref="K2735" r:id="rId7893"/>
    <hyperlink xmlns:r="http://schemas.openxmlformats.org/officeDocument/2006/relationships" ref="I2736" r:id="rId7894"/>
    <hyperlink xmlns:r="http://schemas.openxmlformats.org/officeDocument/2006/relationships" ref="J2736" r:id="rId7895"/>
    <hyperlink xmlns:r="http://schemas.openxmlformats.org/officeDocument/2006/relationships" ref="K2736" r:id="rId7896"/>
    <hyperlink xmlns:r="http://schemas.openxmlformats.org/officeDocument/2006/relationships" ref="I2737" r:id="rId7897"/>
    <hyperlink xmlns:r="http://schemas.openxmlformats.org/officeDocument/2006/relationships" ref="J2737" r:id="rId7898"/>
    <hyperlink xmlns:r="http://schemas.openxmlformats.org/officeDocument/2006/relationships" ref="K2737" r:id="rId7899"/>
    <hyperlink xmlns:r="http://schemas.openxmlformats.org/officeDocument/2006/relationships" ref="I2738" r:id="rId7900"/>
    <hyperlink xmlns:r="http://schemas.openxmlformats.org/officeDocument/2006/relationships" ref="J2738" r:id="rId7901"/>
    <hyperlink xmlns:r="http://schemas.openxmlformats.org/officeDocument/2006/relationships" ref="K2738" r:id="rId7902"/>
    <hyperlink xmlns:r="http://schemas.openxmlformats.org/officeDocument/2006/relationships" ref="I2739" r:id="rId7903"/>
    <hyperlink xmlns:r="http://schemas.openxmlformats.org/officeDocument/2006/relationships" ref="J2739" r:id="rId7904"/>
    <hyperlink xmlns:r="http://schemas.openxmlformats.org/officeDocument/2006/relationships" ref="K2739" r:id="rId7905"/>
    <hyperlink xmlns:r="http://schemas.openxmlformats.org/officeDocument/2006/relationships" ref="I2740" r:id="rId7906"/>
    <hyperlink xmlns:r="http://schemas.openxmlformats.org/officeDocument/2006/relationships" ref="J2740" r:id="rId7907"/>
    <hyperlink xmlns:r="http://schemas.openxmlformats.org/officeDocument/2006/relationships" ref="K2740" r:id="rId7908"/>
    <hyperlink xmlns:r="http://schemas.openxmlformats.org/officeDocument/2006/relationships" ref="I2741" r:id="rId7909"/>
    <hyperlink xmlns:r="http://schemas.openxmlformats.org/officeDocument/2006/relationships" ref="J2741" r:id="rId7910"/>
    <hyperlink xmlns:r="http://schemas.openxmlformats.org/officeDocument/2006/relationships" ref="K2741" r:id="rId7911"/>
    <hyperlink xmlns:r="http://schemas.openxmlformats.org/officeDocument/2006/relationships" ref="I2742" r:id="rId7912"/>
    <hyperlink xmlns:r="http://schemas.openxmlformats.org/officeDocument/2006/relationships" ref="J2742" r:id="rId7913"/>
    <hyperlink xmlns:r="http://schemas.openxmlformats.org/officeDocument/2006/relationships" ref="K2742" r:id="rId7914"/>
    <hyperlink xmlns:r="http://schemas.openxmlformats.org/officeDocument/2006/relationships" ref="I2743" r:id="rId7915"/>
    <hyperlink xmlns:r="http://schemas.openxmlformats.org/officeDocument/2006/relationships" ref="J2743" r:id="rId7916"/>
    <hyperlink xmlns:r="http://schemas.openxmlformats.org/officeDocument/2006/relationships" ref="K2743" r:id="rId7917"/>
    <hyperlink xmlns:r="http://schemas.openxmlformats.org/officeDocument/2006/relationships" ref="I2744" r:id="rId7918"/>
    <hyperlink xmlns:r="http://schemas.openxmlformats.org/officeDocument/2006/relationships" ref="J2744" r:id="rId7919"/>
    <hyperlink xmlns:r="http://schemas.openxmlformats.org/officeDocument/2006/relationships" ref="K2744" r:id="rId7920"/>
    <hyperlink xmlns:r="http://schemas.openxmlformats.org/officeDocument/2006/relationships" ref="I2745" r:id="rId7921"/>
    <hyperlink xmlns:r="http://schemas.openxmlformats.org/officeDocument/2006/relationships" ref="J2745" r:id="rId7922"/>
    <hyperlink xmlns:r="http://schemas.openxmlformats.org/officeDocument/2006/relationships" ref="K2745" r:id="rId7923"/>
    <hyperlink xmlns:r="http://schemas.openxmlformats.org/officeDocument/2006/relationships" ref="I2746" r:id="rId7924"/>
    <hyperlink xmlns:r="http://schemas.openxmlformats.org/officeDocument/2006/relationships" ref="J2746" r:id="rId7925"/>
    <hyperlink xmlns:r="http://schemas.openxmlformats.org/officeDocument/2006/relationships" ref="K2746" r:id="rId7926"/>
    <hyperlink xmlns:r="http://schemas.openxmlformats.org/officeDocument/2006/relationships" ref="I2747" r:id="rId7927"/>
    <hyperlink xmlns:r="http://schemas.openxmlformats.org/officeDocument/2006/relationships" ref="J2747" r:id="rId7928"/>
    <hyperlink xmlns:r="http://schemas.openxmlformats.org/officeDocument/2006/relationships" ref="K2747" r:id="rId7929"/>
    <hyperlink xmlns:r="http://schemas.openxmlformats.org/officeDocument/2006/relationships" ref="I2748" r:id="rId7930"/>
    <hyperlink xmlns:r="http://schemas.openxmlformats.org/officeDocument/2006/relationships" ref="J2748" r:id="rId7931"/>
    <hyperlink xmlns:r="http://schemas.openxmlformats.org/officeDocument/2006/relationships" ref="K2748" r:id="rId7932"/>
    <hyperlink xmlns:r="http://schemas.openxmlformats.org/officeDocument/2006/relationships" ref="I2749" r:id="rId7933"/>
    <hyperlink xmlns:r="http://schemas.openxmlformats.org/officeDocument/2006/relationships" ref="J2749" r:id="rId7934"/>
    <hyperlink xmlns:r="http://schemas.openxmlformats.org/officeDocument/2006/relationships" ref="K2749" r:id="rId7935"/>
    <hyperlink xmlns:r="http://schemas.openxmlformats.org/officeDocument/2006/relationships" ref="I2750" r:id="rId7936"/>
    <hyperlink xmlns:r="http://schemas.openxmlformats.org/officeDocument/2006/relationships" ref="J2750" r:id="rId7937"/>
    <hyperlink xmlns:r="http://schemas.openxmlformats.org/officeDocument/2006/relationships" ref="K2750" r:id="rId7938"/>
    <hyperlink xmlns:r="http://schemas.openxmlformats.org/officeDocument/2006/relationships" ref="I2751" r:id="rId7939"/>
    <hyperlink xmlns:r="http://schemas.openxmlformats.org/officeDocument/2006/relationships" ref="J2751" r:id="rId7940"/>
    <hyperlink xmlns:r="http://schemas.openxmlformats.org/officeDocument/2006/relationships" ref="K2751" r:id="rId7941"/>
    <hyperlink xmlns:r="http://schemas.openxmlformats.org/officeDocument/2006/relationships" ref="I2752" r:id="rId7942"/>
    <hyperlink xmlns:r="http://schemas.openxmlformats.org/officeDocument/2006/relationships" ref="J2752" r:id="rId7943"/>
    <hyperlink xmlns:r="http://schemas.openxmlformats.org/officeDocument/2006/relationships" ref="K2752" r:id="rId7944"/>
    <hyperlink xmlns:r="http://schemas.openxmlformats.org/officeDocument/2006/relationships" ref="I2753" r:id="rId7945"/>
    <hyperlink xmlns:r="http://schemas.openxmlformats.org/officeDocument/2006/relationships" ref="J2753" r:id="rId7946"/>
    <hyperlink xmlns:r="http://schemas.openxmlformats.org/officeDocument/2006/relationships" ref="K2753" r:id="rId7947"/>
    <hyperlink xmlns:r="http://schemas.openxmlformats.org/officeDocument/2006/relationships" ref="I2754" r:id="rId7948"/>
    <hyperlink xmlns:r="http://schemas.openxmlformats.org/officeDocument/2006/relationships" ref="J2754" r:id="rId7949"/>
    <hyperlink xmlns:r="http://schemas.openxmlformats.org/officeDocument/2006/relationships" ref="K2754" r:id="rId7950"/>
    <hyperlink xmlns:r="http://schemas.openxmlformats.org/officeDocument/2006/relationships" ref="I2755" r:id="rId7951"/>
    <hyperlink xmlns:r="http://schemas.openxmlformats.org/officeDocument/2006/relationships" ref="J2755" r:id="rId7952"/>
    <hyperlink xmlns:r="http://schemas.openxmlformats.org/officeDocument/2006/relationships" ref="K2755" r:id="rId7953"/>
    <hyperlink xmlns:r="http://schemas.openxmlformats.org/officeDocument/2006/relationships" ref="I2756" r:id="rId7954"/>
    <hyperlink xmlns:r="http://schemas.openxmlformats.org/officeDocument/2006/relationships" ref="J2756" r:id="rId7955"/>
    <hyperlink xmlns:r="http://schemas.openxmlformats.org/officeDocument/2006/relationships" ref="K2756" r:id="rId7956"/>
    <hyperlink xmlns:r="http://schemas.openxmlformats.org/officeDocument/2006/relationships" ref="I2757" r:id="rId7957"/>
    <hyperlink xmlns:r="http://schemas.openxmlformats.org/officeDocument/2006/relationships" ref="J2757" r:id="rId7958"/>
    <hyperlink xmlns:r="http://schemas.openxmlformats.org/officeDocument/2006/relationships" ref="K2757" r:id="rId7959"/>
    <hyperlink xmlns:r="http://schemas.openxmlformats.org/officeDocument/2006/relationships" ref="I2758" r:id="rId7960"/>
    <hyperlink xmlns:r="http://schemas.openxmlformats.org/officeDocument/2006/relationships" ref="J2758" r:id="rId7961"/>
    <hyperlink xmlns:r="http://schemas.openxmlformats.org/officeDocument/2006/relationships" ref="K2758" r:id="rId7962"/>
    <hyperlink xmlns:r="http://schemas.openxmlformats.org/officeDocument/2006/relationships" ref="I2759" r:id="rId7963"/>
    <hyperlink xmlns:r="http://schemas.openxmlformats.org/officeDocument/2006/relationships" ref="J2759" r:id="rId7964"/>
    <hyperlink xmlns:r="http://schemas.openxmlformats.org/officeDocument/2006/relationships" ref="K2759" r:id="rId7965"/>
    <hyperlink xmlns:r="http://schemas.openxmlformats.org/officeDocument/2006/relationships" ref="I2760" r:id="rId7966"/>
    <hyperlink xmlns:r="http://schemas.openxmlformats.org/officeDocument/2006/relationships" ref="J2760" r:id="rId7967"/>
    <hyperlink xmlns:r="http://schemas.openxmlformats.org/officeDocument/2006/relationships" ref="K2760" r:id="rId7968"/>
    <hyperlink xmlns:r="http://schemas.openxmlformats.org/officeDocument/2006/relationships" ref="I2761" r:id="rId7969"/>
    <hyperlink xmlns:r="http://schemas.openxmlformats.org/officeDocument/2006/relationships" ref="J2761" r:id="rId7970"/>
    <hyperlink xmlns:r="http://schemas.openxmlformats.org/officeDocument/2006/relationships" ref="K2761" r:id="rId7971"/>
    <hyperlink xmlns:r="http://schemas.openxmlformats.org/officeDocument/2006/relationships" ref="I2762" r:id="rId7972"/>
    <hyperlink xmlns:r="http://schemas.openxmlformats.org/officeDocument/2006/relationships" ref="J2762" r:id="rId7973"/>
    <hyperlink xmlns:r="http://schemas.openxmlformats.org/officeDocument/2006/relationships" ref="K2762" r:id="rId7974"/>
    <hyperlink xmlns:r="http://schemas.openxmlformats.org/officeDocument/2006/relationships" ref="I2763" r:id="rId7975"/>
    <hyperlink xmlns:r="http://schemas.openxmlformats.org/officeDocument/2006/relationships" ref="J2763" r:id="rId7976"/>
    <hyperlink xmlns:r="http://schemas.openxmlformats.org/officeDocument/2006/relationships" ref="K2763" r:id="rId7977"/>
    <hyperlink xmlns:r="http://schemas.openxmlformats.org/officeDocument/2006/relationships" ref="I2764" r:id="rId7978"/>
    <hyperlink xmlns:r="http://schemas.openxmlformats.org/officeDocument/2006/relationships" ref="J2764" r:id="rId7979"/>
    <hyperlink xmlns:r="http://schemas.openxmlformats.org/officeDocument/2006/relationships" ref="K2764" r:id="rId7980"/>
    <hyperlink xmlns:r="http://schemas.openxmlformats.org/officeDocument/2006/relationships" ref="I2765" r:id="rId7981"/>
    <hyperlink xmlns:r="http://schemas.openxmlformats.org/officeDocument/2006/relationships" ref="J2765" r:id="rId7982"/>
    <hyperlink xmlns:r="http://schemas.openxmlformats.org/officeDocument/2006/relationships" ref="K2765" r:id="rId7983"/>
    <hyperlink xmlns:r="http://schemas.openxmlformats.org/officeDocument/2006/relationships" ref="I2766" r:id="rId7984"/>
    <hyperlink xmlns:r="http://schemas.openxmlformats.org/officeDocument/2006/relationships" ref="J2766" r:id="rId7985"/>
    <hyperlink xmlns:r="http://schemas.openxmlformats.org/officeDocument/2006/relationships" ref="K2766" r:id="rId7986"/>
    <hyperlink xmlns:r="http://schemas.openxmlformats.org/officeDocument/2006/relationships" ref="I2767" r:id="rId7987"/>
    <hyperlink xmlns:r="http://schemas.openxmlformats.org/officeDocument/2006/relationships" ref="J2767" r:id="rId7988"/>
    <hyperlink xmlns:r="http://schemas.openxmlformats.org/officeDocument/2006/relationships" ref="K2767" r:id="rId7989"/>
    <hyperlink xmlns:r="http://schemas.openxmlformats.org/officeDocument/2006/relationships" ref="I2768" r:id="rId7990"/>
    <hyperlink xmlns:r="http://schemas.openxmlformats.org/officeDocument/2006/relationships" ref="J2768" r:id="rId7991"/>
    <hyperlink xmlns:r="http://schemas.openxmlformats.org/officeDocument/2006/relationships" ref="K2768" r:id="rId7992"/>
    <hyperlink xmlns:r="http://schemas.openxmlformats.org/officeDocument/2006/relationships" ref="I2769" r:id="rId7993"/>
    <hyperlink xmlns:r="http://schemas.openxmlformats.org/officeDocument/2006/relationships" ref="J2769" r:id="rId7994"/>
    <hyperlink xmlns:r="http://schemas.openxmlformats.org/officeDocument/2006/relationships" ref="K2769" r:id="rId7995"/>
    <hyperlink xmlns:r="http://schemas.openxmlformats.org/officeDocument/2006/relationships" ref="I2770" r:id="rId7996"/>
    <hyperlink xmlns:r="http://schemas.openxmlformats.org/officeDocument/2006/relationships" ref="J2770" r:id="rId7997"/>
    <hyperlink xmlns:r="http://schemas.openxmlformats.org/officeDocument/2006/relationships" ref="K2770" r:id="rId7998"/>
    <hyperlink xmlns:r="http://schemas.openxmlformats.org/officeDocument/2006/relationships" ref="I2771" r:id="rId7999"/>
    <hyperlink xmlns:r="http://schemas.openxmlformats.org/officeDocument/2006/relationships" ref="J2771" r:id="rId8000"/>
    <hyperlink xmlns:r="http://schemas.openxmlformats.org/officeDocument/2006/relationships" ref="K2771" r:id="rId8001"/>
    <hyperlink xmlns:r="http://schemas.openxmlformats.org/officeDocument/2006/relationships" ref="I2772" r:id="rId8002"/>
    <hyperlink xmlns:r="http://schemas.openxmlformats.org/officeDocument/2006/relationships" ref="J2772" r:id="rId8003"/>
    <hyperlink xmlns:r="http://schemas.openxmlformats.org/officeDocument/2006/relationships" ref="K2772" r:id="rId8004"/>
    <hyperlink xmlns:r="http://schemas.openxmlformats.org/officeDocument/2006/relationships" ref="I2773" r:id="rId8005"/>
    <hyperlink xmlns:r="http://schemas.openxmlformats.org/officeDocument/2006/relationships" ref="J2773" r:id="rId8006"/>
    <hyperlink xmlns:r="http://schemas.openxmlformats.org/officeDocument/2006/relationships" ref="K2773" r:id="rId8007"/>
    <hyperlink xmlns:r="http://schemas.openxmlformats.org/officeDocument/2006/relationships" ref="I2774" r:id="rId8008"/>
    <hyperlink xmlns:r="http://schemas.openxmlformats.org/officeDocument/2006/relationships" ref="J2774" r:id="rId8009"/>
    <hyperlink xmlns:r="http://schemas.openxmlformats.org/officeDocument/2006/relationships" ref="K2774" r:id="rId8010"/>
    <hyperlink xmlns:r="http://schemas.openxmlformats.org/officeDocument/2006/relationships" ref="I2775" r:id="rId8011"/>
    <hyperlink xmlns:r="http://schemas.openxmlformats.org/officeDocument/2006/relationships" ref="J2775" r:id="rId8012"/>
    <hyperlink xmlns:r="http://schemas.openxmlformats.org/officeDocument/2006/relationships" ref="K2775" r:id="rId8013"/>
    <hyperlink xmlns:r="http://schemas.openxmlformats.org/officeDocument/2006/relationships" ref="I2776" r:id="rId8014"/>
    <hyperlink xmlns:r="http://schemas.openxmlformats.org/officeDocument/2006/relationships" ref="J2776" r:id="rId8015"/>
    <hyperlink xmlns:r="http://schemas.openxmlformats.org/officeDocument/2006/relationships" ref="K2776" r:id="rId8016"/>
    <hyperlink xmlns:r="http://schemas.openxmlformats.org/officeDocument/2006/relationships" ref="I2777" r:id="rId8017"/>
    <hyperlink xmlns:r="http://schemas.openxmlformats.org/officeDocument/2006/relationships" ref="J2777" r:id="rId8018"/>
    <hyperlink xmlns:r="http://schemas.openxmlformats.org/officeDocument/2006/relationships" ref="K2777" r:id="rId8019"/>
    <hyperlink xmlns:r="http://schemas.openxmlformats.org/officeDocument/2006/relationships" ref="I2778" r:id="rId8020"/>
    <hyperlink xmlns:r="http://schemas.openxmlformats.org/officeDocument/2006/relationships" ref="J2778" r:id="rId8021"/>
    <hyperlink xmlns:r="http://schemas.openxmlformats.org/officeDocument/2006/relationships" ref="K2778" r:id="rId8022"/>
    <hyperlink xmlns:r="http://schemas.openxmlformats.org/officeDocument/2006/relationships" ref="I2779" r:id="rId8023"/>
    <hyperlink xmlns:r="http://schemas.openxmlformats.org/officeDocument/2006/relationships" ref="J2779" r:id="rId8024"/>
    <hyperlink xmlns:r="http://schemas.openxmlformats.org/officeDocument/2006/relationships" ref="K2779" r:id="rId8025"/>
    <hyperlink xmlns:r="http://schemas.openxmlformats.org/officeDocument/2006/relationships" ref="I2780" r:id="rId8026"/>
    <hyperlink xmlns:r="http://schemas.openxmlformats.org/officeDocument/2006/relationships" ref="J2780" r:id="rId8027"/>
    <hyperlink xmlns:r="http://schemas.openxmlformats.org/officeDocument/2006/relationships" ref="K2780" r:id="rId8028"/>
    <hyperlink xmlns:r="http://schemas.openxmlformats.org/officeDocument/2006/relationships" ref="I2781" r:id="rId8029"/>
    <hyperlink xmlns:r="http://schemas.openxmlformats.org/officeDocument/2006/relationships" ref="J2781" r:id="rId8030"/>
    <hyperlink xmlns:r="http://schemas.openxmlformats.org/officeDocument/2006/relationships" ref="K2781" r:id="rId8031"/>
    <hyperlink xmlns:r="http://schemas.openxmlformats.org/officeDocument/2006/relationships" ref="I2782" r:id="rId8032"/>
    <hyperlink xmlns:r="http://schemas.openxmlformats.org/officeDocument/2006/relationships" ref="J2782" r:id="rId8033"/>
    <hyperlink xmlns:r="http://schemas.openxmlformats.org/officeDocument/2006/relationships" ref="K2782" r:id="rId8034"/>
    <hyperlink xmlns:r="http://schemas.openxmlformats.org/officeDocument/2006/relationships" ref="I2783" r:id="rId8035"/>
    <hyperlink xmlns:r="http://schemas.openxmlformats.org/officeDocument/2006/relationships" ref="J2783" r:id="rId8036"/>
    <hyperlink xmlns:r="http://schemas.openxmlformats.org/officeDocument/2006/relationships" ref="K2783" r:id="rId8037"/>
    <hyperlink xmlns:r="http://schemas.openxmlformats.org/officeDocument/2006/relationships" ref="I2784" r:id="rId8038"/>
    <hyperlink xmlns:r="http://schemas.openxmlformats.org/officeDocument/2006/relationships" ref="J2784" r:id="rId8039"/>
    <hyperlink xmlns:r="http://schemas.openxmlformats.org/officeDocument/2006/relationships" ref="K2784" r:id="rId8040"/>
    <hyperlink xmlns:r="http://schemas.openxmlformats.org/officeDocument/2006/relationships" ref="I2785" r:id="rId8041"/>
    <hyperlink xmlns:r="http://schemas.openxmlformats.org/officeDocument/2006/relationships" ref="J2785" r:id="rId8042"/>
    <hyperlink xmlns:r="http://schemas.openxmlformats.org/officeDocument/2006/relationships" ref="K2785" r:id="rId8043"/>
    <hyperlink xmlns:r="http://schemas.openxmlformats.org/officeDocument/2006/relationships" ref="I2786" r:id="rId8044"/>
    <hyperlink xmlns:r="http://schemas.openxmlformats.org/officeDocument/2006/relationships" ref="J2786" r:id="rId8045"/>
    <hyperlink xmlns:r="http://schemas.openxmlformats.org/officeDocument/2006/relationships" ref="K2786" r:id="rId8046"/>
    <hyperlink xmlns:r="http://schemas.openxmlformats.org/officeDocument/2006/relationships" ref="I2787" r:id="rId8047"/>
    <hyperlink xmlns:r="http://schemas.openxmlformats.org/officeDocument/2006/relationships" ref="J2787" r:id="rId8048"/>
    <hyperlink xmlns:r="http://schemas.openxmlformats.org/officeDocument/2006/relationships" ref="K2787" r:id="rId8049"/>
    <hyperlink xmlns:r="http://schemas.openxmlformats.org/officeDocument/2006/relationships" ref="I2788" r:id="rId8050"/>
    <hyperlink xmlns:r="http://schemas.openxmlformats.org/officeDocument/2006/relationships" ref="J2788" r:id="rId8051"/>
    <hyperlink xmlns:r="http://schemas.openxmlformats.org/officeDocument/2006/relationships" ref="K2788" r:id="rId8052"/>
    <hyperlink xmlns:r="http://schemas.openxmlformats.org/officeDocument/2006/relationships" ref="I2789" r:id="rId8053"/>
    <hyperlink xmlns:r="http://schemas.openxmlformats.org/officeDocument/2006/relationships" ref="J2789" r:id="rId8054"/>
    <hyperlink xmlns:r="http://schemas.openxmlformats.org/officeDocument/2006/relationships" ref="K2789" r:id="rId8055"/>
    <hyperlink xmlns:r="http://schemas.openxmlformats.org/officeDocument/2006/relationships" ref="I2790" r:id="rId8056"/>
    <hyperlink xmlns:r="http://schemas.openxmlformats.org/officeDocument/2006/relationships" ref="J2790" r:id="rId8057"/>
    <hyperlink xmlns:r="http://schemas.openxmlformats.org/officeDocument/2006/relationships" ref="K2790" r:id="rId8058"/>
    <hyperlink xmlns:r="http://schemas.openxmlformats.org/officeDocument/2006/relationships" ref="I2791" r:id="rId8059"/>
    <hyperlink xmlns:r="http://schemas.openxmlformats.org/officeDocument/2006/relationships" ref="J2791" r:id="rId8060"/>
    <hyperlink xmlns:r="http://schemas.openxmlformats.org/officeDocument/2006/relationships" ref="K2791" r:id="rId8061"/>
    <hyperlink xmlns:r="http://schemas.openxmlformats.org/officeDocument/2006/relationships" ref="I2792" r:id="rId8062"/>
    <hyperlink xmlns:r="http://schemas.openxmlformats.org/officeDocument/2006/relationships" ref="J2792" r:id="rId8063"/>
    <hyperlink xmlns:r="http://schemas.openxmlformats.org/officeDocument/2006/relationships" ref="K2792" r:id="rId8064"/>
    <hyperlink xmlns:r="http://schemas.openxmlformats.org/officeDocument/2006/relationships" ref="I2793" r:id="rId8065"/>
    <hyperlink xmlns:r="http://schemas.openxmlformats.org/officeDocument/2006/relationships" ref="J2793" r:id="rId8066"/>
    <hyperlink xmlns:r="http://schemas.openxmlformats.org/officeDocument/2006/relationships" ref="K2793" r:id="rId8067"/>
    <hyperlink xmlns:r="http://schemas.openxmlformats.org/officeDocument/2006/relationships" ref="I2794" r:id="rId8068"/>
    <hyperlink xmlns:r="http://schemas.openxmlformats.org/officeDocument/2006/relationships" ref="J2794" r:id="rId8069"/>
    <hyperlink xmlns:r="http://schemas.openxmlformats.org/officeDocument/2006/relationships" ref="K2794" r:id="rId8070"/>
    <hyperlink xmlns:r="http://schemas.openxmlformats.org/officeDocument/2006/relationships" ref="I2795" r:id="rId8071"/>
    <hyperlink xmlns:r="http://schemas.openxmlformats.org/officeDocument/2006/relationships" ref="J2795" r:id="rId8072"/>
    <hyperlink xmlns:r="http://schemas.openxmlformats.org/officeDocument/2006/relationships" ref="K2795" r:id="rId8073"/>
    <hyperlink xmlns:r="http://schemas.openxmlformats.org/officeDocument/2006/relationships" ref="I2796" r:id="rId8074"/>
    <hyperlink xmlns:r="http://schemas.openxmlformats.org/officeDocument/2006/relationships" ref="J2796" r:id="rId8075"/>
    <hyperlink xmlns:r="http://schemas.openxmlformats.org/officeDocument/2006/relationships" ref="K2796" r:id="rId8076"/>
    <hyperlink xmlns:r="http://schemas.openxmlformats.org/officeDocument/2006/relationships" ref="I2797" r:id="rId8077"/>
    <hyperlink xmlns:r="http://schemas.openxmlformats.org/officeDocument/2006/relationships" ref="J2797" r:id="rId8078"/>
    <hyperlink xmlns:r="http://schemas.openxmlformats.org/officeDocument/2006/relationships" ref="K2797" r:id="rId8079"/>
    <hyperlink xmlns:r="http://schemas.openxmlformats.org/officeDocument/2006/relationships" ref="I2798" r:id="rId8080"/>
    <hyperlink xmlns:r="http://schemas.openxmlformats.org/officeDocument/2006/relationships" ref="J2798" r:id="rId8081"/>
    <hyperlink xmlns:r="http://schemas.openxmlformats.org/officeDocument/2006/relationships" ref="K2798" r:id="rId8082"/>
    <hyperlink xmlns:r="http://schemas.openxmlformats.org/officeDocument/2006/relationships" ref="I2799" r:id="rId8083"/>
    <hyperlink xmlns:r="http://schemas.openxmlformats.org/officeDocument/2006/relationships" ref="J2799" r:id="rId8084"/>
    <hyperlink xmlns:r="http://schemas.openxmlformats.org/officeDocument/2006/relationships" ref="K2799" r:id="rId8085"/>
    <hyperlink xmlns:r="http://schemas.openxmlformats.org/officeDocument/2006/relationships" ref="I2800" r:id="rId8086"/>
    <hyperlink xmlns:r="http://schemas.openxmlformats.org/officeDocument/2006/relationships" ref="J2800" r:id="rId8087"/>
    <hyperlink xmlns:r="http://schemas.openxmlformats.org/officeDocument/2006/relationships" ref="K2800" r:id="rId8088"/>
    <hyperlink xmlns:r="http://schemas.openxmlformats.org/officeDocument/2006/relationships" ref="I2801" r:id="rId8089"/>
    <hyperlink xmlns:r="http://schemas.openxmlformats.org/officeDocument/2006/relationships" ref="J2801" r:id="rId8090"/>
    <hyperlink xmlns:r="http://schemas.openxmlformats.org/officeDocument/2006/relationships" ref="K2801" r:id="rId8091"/>
    <hyperlink xmlns:r="http://schemas.openxmlformats.org/officeDocument/2006/relationships" ref="I2802" r:id="rId8092"/>
    <hyperlink xmlns:r="http://schemas.openxmlformats.org/officeDocument/2006/relationships" ref="J2802" r:id="rId8093"/>
    <hyperlink xmlns:r="http://schemas.openxmlformats.org/officeDocument/2006/relationships" ref="K2802" r:id="rId8094"/>
    <hyperlink xmlns:r="http://schemas.openxmlformats.org/officeDocument/2006/relationships" ref="I2803" r:id="rId8095"/>
    <hyperlink xmlns:r="http://schemas.openxmlformats.org/officeDocument/2006/relationships" ref="J2803" r:id="rId8096"/>
    <hyperlink xmlns:r="http://schemas.openxmlformats.org/officeDocument/2006/relationships" ref="K2803" r:id="rId8097"/>
    <hyperlink xmlns:r="http://schemas.openxmlformats.org/officeDocument/2006/relationships" ref="I2804" r:id="rId8098"/>
    <hyperlink xmlns:r="http://schemas.openxmlformats.org/officeDocument/2006/relationships" ref="J2804" r:id="rId8099"/>
    <hyperlink xmlns:r="http://schemas.openxmlformats.org/officeDocument/2006/relationships" ref="K2804" r:id="rId8100"/>
    <hyperlink xmlns:r="http://schemas.openxmlformats.org/officeDocument/2006/relationships" ref="I2805" r:id="rId8101"/>
    <hyperlink xmlns:r="http://schemas.openxmlformats.org/officeDocument/2006/relationships" ref="J2805" r:id="rId8102"/>
    <hyperlink xmlns:r="http://schemas.openxmlformats.org/officeDocument/2006/relationships" ref="K2805" r:id="rId8103"/>
    <hyperlink xmlns:r="http://schemas.openxmlformats.org/officeDocument/2006/relationships" ref="I2806" r:id="rId8104"/>
    <hyperlink xmlns:r="http://schemas.openxmlformats.org/officeDocument/2006/relationships" ref="J2806" r:id="rId8105"/>
    <hyperlink xmlns:r="http://schemas.openxmlformats.org/officeDocument/2006/relationships" ref="K2806" r:id="rId8106"/>
    <hyperlink xmlns:r="http://schemas.openxmlformats.org/officeDocument/2006/relationships" ref="I2807" r:id="rId8107"/>
    <hyperlink xmlns:r="http://schemas.openxmlformats.org/officeDocument/2006/relationships" ref="J2807" r:id="rId8108"/>
    <hyperlink xmlns:r="http://schemas.openxmlformats.org/officeDocument/2006/relationships" ref="K2807" r:id="rId8109"/>
    <hyperlink xmlns:r="http://schemas.openxmlformats.org/officeDocument/2006/relationships" ref="I2808" r:id="rId8110"/>
    <hyperlink xmlns:r="http://schemas.openxmlformats.org/officeDocument/2006/relationships" ref="J2808" r:id="rId8111"/>
    <hyperlink xmlns:r="http://schemas.openxmlformats.org/officeDocument/2006/relationships" ref="K2808" r:id="rId8112"/>
    <hyperlink xmlns:r="http://schemas.openxmlformats.org/officeDocument/2006/relationships" ref="I2809" r:id="rId8113"/>
    <hyperlink xmlns:r="http://schemas.openxmlformats.org/officeDocument/2006/relationships" ref="J2809" r:id="rId8114"/>
    <hyperlink xmlns:r="http://schemas.openxmlformats.org/officeDocument/2006/relationships" ref="K2809" r:id="rId8115"/>
    <hyperlink xmlns:r="http://schemas.openxmlformats.org/officeDocument/2006/relationships" ref="I2810" r:id="rId8116"/>
    <hyperlink xmlns:r="http://schemas.openxmlformats.org/officeDocument/2006/relationships" ref="J2810" r:id="rId8117"/>
    <hyperlink xmlns:r="http://schemas.openxmlformats.org/officeDocument/2006/relationships" ref="K2810" r:id="rId8118"/>
    <hyperlink xmlns:r="http://schemas.openxmlformats.org/officeDocument/2006/relationships" ref="I2811" r:id="rId8119"/>
    <hyperlink xmlns:r="http://schemas.openxmlformats.org/officeDocument/2006/relationships" ref="J2811" r:id="rId8120"/>
    <hyperlink xmlns:r="http://schemas.openxmlformats.org/officeDocument/2006/relationships" ref="K2811" r:id="rId8121"/>
    <hyperlink xmlns:r="http://schemas.openxmlformats.org/officeDocument/2006/relationships" ref="I2812" r:id="rId8122"/>
    <hyperlink xmlns:r="http://schemas.openxmlformats.org/officeDocument/2006/relationships" ref="J2812" r:id="rId8123"/>
    <hyperlink xmlns:r="http://schemas.openxmlformats.org/officeDocument/2006/relationships" ref="K2812" r:id="rId8124"/>
    <hyperlink xmlns:r="http://schemas.openxmlformats.org/officeDocument/2006/relationships" ref="I2813" r:id="rId8125"/>
    <hyperlink xmlns:r="http://schemas.openxmlformats.org/officeDocument/2006/relationships" ref="J2813" r:id="rId8126"/>
    <hyperlink xmlns:r="http://schemas.openxmlformats.org/officeDocument/2006/relationships" ref="K2813" r:id="rId8127"/>
    <hyperlink xmlns:r="http://schemas.openxmlformats.org/officeDocument/2006/relationships" ref="I2814" r:id="rId8128"/>
    <hyperlink xmlns:r="http://schemas.openxmlformats.org/officeDocument/2006/relationships" ref="J2814" r:id="rId8129"/>
    <hyperlink xmlns:r="http://schemas.openxmlformats.org/officeDocument/2006/relationships" ref="K2814" r:id="rId8130"/>
    <hyperlink xmlns:r="http://schemas.openxmlformats.org/officeDocument/2006/relationships" ref="I2815" r:id="rId8131"/>
    <hyperlink xmlns:r="http://schemas.openxmlformats.org/officeDocument/2006/relationships" ref="J2815" r:id="rId8132"/>
    <hyperlink xmlns:r="http://schemas.openxmlformats.org/officeDocument/2006/relationships" ref="K2815" r:id="rId8133"/>
    <hyperlink xmlns:r="http://schemas.openxmlformats.org/officeDocument/2006/relationships" ref="I2816" r:id="rId8134"/>
    <hyperlink xmlns:r="http://schemas.openxmlformats.org/officeDocument/2006/relationships" ref="J2816" r:id="rId8135"/>
    <hyperlink xmlns:r="http://schemas.openxmlformats.org/officeDocument/2006/relationships" ref="K2816" r:id="rId8136"/>
    <hyperlink xmlns:r="http://schemas.openxmlformats.org/officeDocument/2006/relationships" ref="I2817" r:id="rId8137"/>
    <hyperlink xmlns:r="http://schemas.openxmlformats.org/officeDocument/2006/relationships" ref="J2817" r:id="rId8138"/>
    <hyperlink xmlns:r="http://schemas.openxmlformats.org/officeDocument/2006/relationships" ref="K2817" r:id="rId8139"/>
    <hyperlink xmlns:r="http://schemas.openxmlformats.org/officeDocument/2006/relationships" ref="I2818" r:id="rId8140"/>
    <hyperlink xmlns:r="http://schemas.openxmlformats.org/officeDocument/2006/relationships" ref="J2818" r:id="rId8141"/>
    <hyperlink xmlns:r="http://schemas.openxmlformats.org/officeDocument/2006/relationships" ref="K2818" r:id="rId8142"/>
    <hyperlink xmlns:r="http://schemas.openxmlformats.org/officeDocument/2006/relationships" ref="I2819" r:id="rId8143"/>
    <hyperlink xmlns:r="http://schemas.openxmlformats.org/officeDocument/2006/relationships" ref="J2819" r:id="rId8144"/>
    <hyperlink xmlns:r="http://schemas.openxmlformats.org/officeDocument/2006/relationships" ref="K2819" r:id="rId8145"/>
    <hyperlink xmlns:r="http://schemas.openxmlformats.org/officeDocument/2006/relationships" ref="I2820" r:id="rId8146"/>
    <hyperlink xmlns:r="http://schemas.openxmlformats.org/officeDocument/2006/relationships" ref="J2820" r:id="rId8147"/>
    <hyperlink xmlns:r="http://schemas.openxmlformats.org/officeDocument/2006/relationships" ref="K2820" r:id="rId8148"/>
    <hyperlink xmlns:r="http://schemas.openxmlformats.org/officeDocument/2006/relationships" ref="I2821" r:id="rId8149"/>
    <hyperlink xmlns:r="http://schemas.openxmlformats.org/officeDocument/2006/relationships" ref="J2821" r:id="rId8150"/>
    <hyperlink xmlns:r="http://schemas.openxmlformats.org/officeDocument/2006/relationships" ref="K2821" r:id="rId8151"/>
    <hyperlink xmlns:r="http://schemas.openxmlformats.org/officeDocument/2006/relationships" ref="I2822" r:id="rId8152"/>
    <hyperlink xmlns:r="http://schemas.openxmlformats.org/officeDocument/2006/relationships" ref="J2822" r:id="rId8153"/>
    <hyperlink xmlns:r="http://schemas.openxmlformats.org/officeDocument/2006/relationships" ref="K2822" r:id="rId8154"/>
    <hyperlink xmlns:r="http://schemas.openxmlformats.org/officeDocument/2006/relationships" ref="I2823" r:id="rId8155"/>
    <hyperlink xmlns:r="http://schemas.openxmlformats.org/officeDocument/2006/relationships" ref="J2823" r:id="rId8156"/>
    <hyperlink xmlns:r="http://schemas.openxmlformats.org/officeDocument/2006/relationships" ref="K2823" r:id="rId8157"/>
    <hyperlink xmlns:r="http://schemas.openxmlformats.org/officeDocument/2006/relationships" ref="I2824" r:id="rId8158"/>
    <hyperlink xmlns:r="http://schemas.openxmlformats.org/officeDocument/2006/relationships" ref="J2824" r:id="rId8159"/>
    <hyperlink xmlns:r="http://schemas.openxmlformats.org/officeDocument/2006/relationships" ref="K2824" r:id="rId8160"/>
    <hyperlink xmlns:r="http://schemas.openxmlformats.org/officeDocument/2006/relationships" ref="I2825" r:id="rId8161"/>
    <hyperlink xmlns:r="http://schemas.openxmlformats.org/officeDocument/2006/relationships" ref="J2825" r:id="rId8162"/>
    <hyperlink xmlns:r="http://schemas.openxmlformats.org/officeDocument/2006/relationships" ref="K2825" r:id="rId8163"/>
    <hyperlink xmlns:r="http://schemas.openxmlformats.org/officeDocument/2006/relationships" ref="I2826" r:id="rId8164"/>
    <hyperlink xmlns:r="http://schemas.openxmlformats.org/officeDocument/2006/relationships" ref="J2826" r:id="rId8165"/>
    <hyperlink xmlns:r="http://schemas.openxmlformats.org/officeDocument/2006/relationships" ref="K2826" r:id="rId8166"/>
    <hyperlink xmlns:r="http://schemas.openxmlformats.org/officeDocument/2006/relationships" ref="I2827" r:id="rId8167"/>
    <hyperlink xmlns:r="http://schemas.openxmlformats.org/officeDocument/2006/relationships" ref="J2827" r:id="rId8168"/>
    <hyperlink xmlns:r="http://schemas.openxmlformats.org/officeDocument/2006/relationships" ref="K2827" r:id="rId8169"/>
    <hyperlink xmlns:r="http://schemas.openxmlformats.org/officeDocument/2006/relationships" ref="I2828" r:id="rId8170"/>
    <hyperlink xmlns:r="http://schemas.openxmlformats.org/officeDocument/2006/relationships" ref="J2828" r:id="rId8171"/>
    <hyperlink xmlns:r="http://schemas.openxmlformats.org/officeDocument/2006/relationships" ref="K2828" r:id="rId8172"/>
    <hyperlink xmlns:r="http://schemas.openxmlformats.org/officeDocument/2006/relationships" ref="I2829" r:id="rId8173"/>
    <hyperlink xmlns:r="http://schemas.openxmlformats.org/officeDocument/2006/relationships" ref="J2829" r:id="rId8174"/>
    <hyperlink xmlns:r="http://schemas.openxmlformats.org/officeDocument/2006/relationships" ref="K2829" r:id="rId8175"/>
    <hyperlink xmlns:r="http://schemas.openxmlformats.org/officeDocument/2006/relationships" ref="I2830" r:id="rId8176"/>
    <hyperlink xmlns:r="http://schemas.openxmlformats.org/officeDocument/2006/relationships" ref="J2830" r:id="rId8177"/>
    <hyperlink xmlns:r="http://schemas.openxmlformats.org/officeDocument/2006/relationships" ref="K2830" r:id="rId8178"/>
    <hyperlink xmlns:r="http://schemas.openxmlformats.org/officeDocument/2006/relationships" ref="I2831" r:id="rId8179"/>
    <hyperlink xmlns:r="http://schemas.openxmlformats.org/officeDocument/2006/relationships" ref="J2831" r:id="rId8180"/>
    <hyperlink xmlns:r="http://schemas.openxmlformats.org/officeDocument/2006/relationships" ref="K2831" r:id="rId8181"/>
    <hyperlink xmlns:r="http://schemas.openxmlformats.org/officeDocument/2006/relationships" ref="I2832" r:id="rId8182"/>
    <hyperlink xmlns:r="http://schemas.openxmlformats.org/officeDocument/2006/relationships" ref="J2832" r:id="rId8183"/>
    <hyperlink xmlns:r="http://schemas.openxmlformats.org/officeDocument/2006/relationships" ref="K2832" r:id="rId8184"/>
    <hyperlink xmlns:r="http://schemas.openxmlformats.org/officeDocument/2006/relationships" ref="I2833" r:id="rId8185"/>
    <hyperlink xmlns:r="http://schemas.openxmlformats.org/officeDocument/2006/relationships" ref="J2833" r:id="rId8186"/>
    <hyperlink xmlns:r="http://schemas.openxmlformats.org/officeDocument/2006/relationships" ref="K2833" r:id="rId8187"/>
    <hyperlink xmlns:r="http://schemas.openxmlformats.org/officeDocument/2006/relationships" ref="I2834" r:id="rId8188"/>
    <hyperlink xmlns:r="http://schemas.openxmlformats.org/officeDocument/2006/relationships" ref="J2834" r:id="rId8189"/>
    <hyperlink xmlns:r="http://schemas.openxmlformats.org/officeDocument/2006/relationships" ref="K2834" r:id="rId8190"/>
    <hyperlink xmlns:r="http://schemas.openxmlformats.org/officeDocument/2006/relationships" ref="I2835" r:id="rId8191"/>
    <hyperlink xmlns:r="http://schemas.openxmlformats.org/officeDocument/2006/relationships" ref="J2835" r:id="rId8192"/>
    <hyperlink xmlns:r="http://schemas.openxmlformats.org/officeDocument/2006/relationships" ref="K2835" r:id="rId8193"/>
    <hyperlink xmlns:r="http://schemas.openxmlformats.org/officeDocument/2006/relationships" ref="I2836" r:id="rId8194"/>
    <hyperlink xmlns:r="http://schemas.openxmlformats.org/officeDocument/2006/relationships" ref="J2836" r:id="rId8195"/>
    <hyperlink xmlns:r="http://schemas.openxmlformats.org/officeDocument/2006/relationships" ref="K2836" r:id="rId8196"/>
    <hyperlink xmlns:r="http://schemas.openxmlformats.org/officeDocument/2006/relationships" ref="I2837" r:id="rId8197"/>
    <hyperlink xmlns:r="http://schemas.openxmlformats.org/officeDocument/2006/relationships" ref="J2837" r:id="rId8198"/>
    <hyperlink xmlns:r="http://schemas.openxmlformats.org/officeDocument/2006/relationships" ref="K2837" r:id="rId8199"/>
    <hyperlink xmlns:r="http://schemas.openxmlformats.org/officeDocument/2006/relationships" ref="I2838" r:id="rId8200"/>
    <hyperlink xmlns:r="http://schemas.openxmlformats.org/officeDocument/2006/relationships" ref="J2838" r:id="rId8201"/>
    <hyperlink xmlns:r="http://schemas.openxmlformats.org/officeDocument/2006/relationships" ref="K2838" r:id="rId8202"/>
    <hyperlink xmlns:r="http://schemas.openxmlformats.org/officeDocument/2006/relationships" ref="I2839" r:id="rId8203"/>
    <hyperlink xmlns:r="http://schemas.openxmlformats.org/officeDocument/2006/relationships" ref="J2839" r:id="rId8204"/>
    <hyperlink xmlns:r="http://schemas.openxmlformats.org/officeDocument/2006/relationships" ref="K2839" r:id="rId8205"/>
    <hyperlink xmlns:r="http://schemas.openxmlformats.org/officeDocument/2006/relationships" ref="I2840" r:id="rId8206"/>
    <hyperlink xmlns:r="http://schemas.openxmlformats.org/officeDocument/2006/relationships" ref="J2840" r:id="rId8207"/>
    <hyperlink xmlns:r="http://schemas.openxmlformats.org/officeDocument/2006/relationships" ref="K2840" r:id="rId8208"/>
    <hyperlink xmlns:r="http://schemas.openxmlformats.org/officeDocument/2006/relationships" ref="I2841" r:id="rId8209"/>
    <hyperlink xmlns:r="http://schemas.openxmlformats.org/officeDocument/2006/relationships" ref="J2841" r:id="rId8210"/>
    <hyperlink xmlns:r="http://schemas.openxmlformats.org/officeDocument/2006/relationships" ref="K2841" r:id="rId8211"/>
    <hyperlink xmlns:r="http://schemas.openxmlformats.org/officeDocument/2006/relationships" ref="I2842" r:id="rId8212"/>
    <hyperlink xmlns:r="http://schemas.openxmlformats.org/officeDocument/2006/relationships" ref="J2842" r:id="rId8213"/>
    <hyperlink xmlns:r="http://schemas.openxmlformats.org/officeDocument/2006/relationships" ref="K2842" r:id="rId8214"/>
    <hyperlink xmlns:r="http://schemas.openxmlformats.org/officeDocument/2006/relationships" ref="I2843" r:id="rId8215"/>
    <hyperlink xmlns:r="http://schemas.openxmlformats.org/officeDocument/2006/relationships" ref="J2843" r:id="rId8216"/>
    <hyperlink xmlns:r="http://schemas.openxmlformats.org/officeDocument/2006/relationships" ref="K2843" r:id="rId8217"/>
    <hyperlink xmlns:r="http://schemas.openxmlformats.org/officeDocument/2006/relationships" ref="I2844" r:id="rId8218"/>
    <hyperlink xmlns:r="http://schemas.openxmlformats.org/officeDocument/2006/relationships" ref="J2844" r:id="rId8219"/>
    <hyperlink xmlns:r="http://schemas.openxmlformats.org/officeDocument/2006/relationships" ref="K2844" r:id="rId8220"/>
    <hyperlink xmlns:r="http://schemas.openxmlformats.org/officeDocument/2006/relationships" ref="I2845" r:id="rId8221"/>
    <hyperlink xmlns:r="http://schemas.openxmlformats.org/officeDocument/2006/relationships" ref="J2845" r:id="rId8222"/>
    <hyperlink xmlns:r="http://schemas.openxmlformats.org/officeDocument/2006/relationships" ref="K2845" r:id="rId8223"/>
    <hyperlink xmlns:r="http://schemas.openxmlformats.org/officeDocument/2006/relationships" ref="I2846" r:id="rId8224"/>
    <hyperlink xmlns:r="http://schemas.openxmlformats.org/officeDocument/2006/relationships" ref="J2846" r:id="rId8225"/>
    <hyperlink xmlns:r="http://schemas.openxmlformats.org/officeDocument/2006/relationships" ref="K2846" r:id="rId8226"/>
    <hyperlink xmlns:r="http://schemas.openxmlformats.org/officeDocument/2006/relationships" ref="I2847" r:id="rId8227"/>
    <hyperlink xmlns:r="http://schemas.openxmlformats.org/officeDocument/2006/relationships" ref="J2847" r:id="rId8228"/>
    <hyperlink xmlns:r="http://schemas.openxmlformats.org/officeDocument/2006/relationships" ref="K2847" r:id="rId8229"/>
    <hyperlink xmlns:r="http://schemas.openxmlformats.org/officeDocument/2006/relationships" ref="I2848" r:id="rId8230"/>
    <hyperlink xmlns:r="http://schemas.openxmlformats.org/officeDocument/2006/relationships" ref="J2848" r:id="rId8231"/>
    <hyperlink xmlns:r="http://schemas.openxmlformats.org/officeDocument/2006/relationships" ref="K2848" r:id="rId8232"/>
    <hyperlink xmlns:r="http://schemas.openxmlformats.org/officeDocument/2006/relationships" ref="I2849" r:id="rId8233"/>
    <hyperlink xmlns:r="http://schemas.openxmlformats.org/officeDocument/2006/relationships" ref="J2849" r:id="rId8234"/>
    <hyperlink xmlns:r="http://schemas.openxmlformats.org/officeDocument/2006/relationships" ref="K2849" r:id="rId8235"/>
    <hyperlink xmlns:r="http://schemas.openxmlformats.org/officeDocument/2006/relationships" ref="I2850" r:id="rId8236"/>
    <hyperlink xmlns:r="http://schemas.openxmlformats.org/officeDocument/2006/relationships" ref="J2850" r:id="rId8237"/>
    <hyperlink xmlns:r="http://schemas.openxmlformats.org/officeDocument/2006/relationships" ref="K2850" r:id="rId8238"/>
    <hyperlink xmlns:r="http://schemas.openxmlformats.org/officeDocument/2006/relationships" ref="I2851" r:id="rId8239"/>
    <hyperlink xmlns:r="http://schemas.openxmlformats.org/officeDocument/2006/relationships" ref="J2851" r:id="rId8240"/>
    <hyperlink xmlns:r="http://schemas.openxmlformats.org/officeDocument/2006/relationships" ref="K2851" r:id="rId8241"/>
    <hyperlink xmlns:r="http://schemas.openxmlformats.org/officeDocument/2006/relationships" ref="I2852" r:id="rId8242"/>
    <hyperlink xmlns:r="http://schemas.openxmlformats.org/officeDocument/2006/relationships" ref="J2852" r:id="rId8243"/>
    <hyperlink xmlns:r="http://schemas.openxmlformats.org/officeDocument/2006/relationships" ref="K2852" r:id="rId8244"/>
    <hyperlink xmlns:r="http://schemas.openxmlformats.org/officeDocument/2006/relationships" ref="I2853" r:id="rId8245"/>
    <hyperlink xmlns:r="http://schemas.openxmlformats.org/officeDocument/2006/relationships" ref="J2853" r:id="rId8246"/>
    <hyperlink xmlns:r="http://schemas.openxmlformats.org/officeDocument/2006/relationships" ref="K2853" r:id="rId8247"/>
    <hyperlink xmlns:r="http://schemas.openxmlformats.org/officeDocument/2006/relationships" ref="I2854" r:id="rId8248"/>
    <hyperlink xmlns:r="http://schemas.openxmlformats.org/officeDocument/2006/relationships" ref="J2854" r:id="rId8249"/>
    <hyperlink xmlns:r="http://schemas.openxmlformats.org/officeDocument/2006/relationships" ref="K2854" r:id="rId8250"/>
    <hyperlink xmlns:r="http://schemas.openxmlformats.org/officeDocument/2006/relationships" ref="I2855" r:id="rId8251"/>
    <hyperlink xmlns:r="http://schemas.openxmlformats.org/officeDocument/2006/relationships" ref="J2855" r:id="rId8252"/>
    <hyperlink xmlns:r="http://schemas.openxmlformats.org/officeDocument/2006/relationships" ref="K2855" r:id="rId8253"/>
    <hyperlink xmlns:r="http://schemas.openxmlformats.org/officeDocument/2006/relationships" ref="I2856" r:id="rId8254"/>
    <hyperlink xmlns:r="http://schemas.openxmlformats.org/officeDocument/2006/relationships" ref="J2856" r:id="rId8255"/>
    <hyperlink xmlns:r="http://schemas.openxmlformats.org/officeDocument/2006/relationships" ref="K2856" r:id="rId8256"/>
    <hyperlink xmlns:r="http://schemas.openxmlformats.org/officeDocument/2006/relationships" ref="I2857" r:id="rId8257"/>
    <hyperlink xmlns:r="http://schemas.openxmlformats.org/officeDocument/2006/relationships" ref="J2857" r:id="rId8258"/>
    <hyperlink xmlns:r="http://schemas.openxmlformats.org/officeDocument/2006/relationships" ref="K2857" r:id="rId8259"/>
    <hyperlink xmlns:r="http://schemas.openxmlformats.org/officeDocument/2006/relationships" ref="I2858" r:id="rId8260"/>
    <hyperlink xmlns:r="http://schemas.openxmlformats.org/officeDocument/2006/relationships" ref="J2858" r:id="rId8261"/>
    <hyperlink xmlns:r="http://schemas.openxmlformats.org/officeDocument/2006/relationships" ref="K2858" r:id="rId8262"/>
    <hyperlink xmlns:r="http://schemas.openxmlformats.org/officeDocument/2006/relationships" ref="I2859" r:id="rId8263"/>
    <hyperlink xmlns:r="http://schemas.openxmlformats.org/officeDocument/2006/relationships" ref="J2859" r:id="rId8264"/>
    <hyperlink xmlns:r="http://schemas.openxmlformats.org/officeDocument/2006/relationships" ref="K2859" r:id="rId8265"/>
    <hyperlink xmlns:r="http://schemas.openxmlformats.org/officeDocument/2006/relationships" ref="I2860" r:id="rId8266"/>
    <hyperlink xmlns:r="http://schemas.openxmlformats.org/officeDocument/2006/relationships" ref="J2860" r:id="rId8267"/>
    <hyperlink xmlns:r="http://schemas.openxmlformats.org/officeDocument/2006/relationships" ref="K2860" r:id="rId8268"/>
    <hyperlink xmlns:r="http://schemas.openxmlformats.org/officeDocument/2006/relationships" ref="I2861" r:id="rId8269"/>
    <hyperlink xmlns:r="http://schemas.openxmlformats.org/officeDocument/2006/relationships" ref="J2861" r:id="rId8270"/>
    <hyperlink xmlns:r="http://schemas.openxmlformats.org/officeDocument/2006/relationships" ref="K2861" r:id="rId8271"/>
    <hyperlink xmlns:r="http://schemas.openxmlformats.org/officeDocument/2006/relationships" ref="I2862" r:id="rId8272"/>
    <hyperlink xmlns:r="http://schemas.openxmlformats.org/officeDocument/2006/relationships" ref="J2862" r:id="rId8273"/>
    <hyperlink xmlns:r="http://schemas.openxmlformats.org/officeDocument/2006/relationships" ref="K2862" r:id="rId8274"/>
    <hyperlink xmlns:r="http://schemas.openxmlformats.org/officeDocument/2006/relationships" ref="I2863" r:id="rId8275"/>
    <hyperlink xmlns:r="http://schemas.openxmlformats.org/officeDocument/2006/relationships" ref="J2863" r:id="rId8276"/>
    <hyperlink xmlns:r="http://schemas.openxmlformats.org/officeDocument/2006/relationships" ref="K2863" r:id="rId8277"/>
    <hyperlink xmlns:r="http://schemas.openxmlformats.org/officeDocument/2006/relationships" ref="I2864" r:id="rId8278"/>
    <hyperlink xmlns:r="http://schemas.openxmlformats.org/officeDocument/2006/relationships" ref="J2864" r:id="rId8279"/>
    <hyperlink xmlns:r="http://schemas.openxmlformats.org/officeDocument/2006/relationships" ref="K2864" r:id="rId8280"/>
    <hyperlink xmlns:r="http://schemas.openxmlformats.org/officeDocument/2006/relationships" ref="I2865" r:id="rId8281"/>
    <hyperlink xmlns:r="http://schemas.openxmlformats.org/officeDocument/2006/relationships" ref="J2865" r:id="rId8282"/>
    <hyperlink xmlns:r="http://schemas.openxmlformats.org/officeDocument/2006/relationships" ref="K2865" r:id="rId8283"/>
    <hyperlink xmlns:r="http://schemas.openxmlformats.org/officeDocument/2006/relationships" ref="I2866" r:id="rId8284"/>
    <hyperlink xmlns:r="http://schemas.openxmlformats.org/officeDocument/2006/relationships" ref="J2866" r:id="rId8285"/>
    <hyperlink xmlns:r="http://schemas.openxmlformats.org/officeDocument/2006/relationships" ref="K2866" r:id="rId8286"/>
    <hyperlink xmlns:r="http://schemas.openxmlformats.org/officeDocument/2006/relationships" ref="I2867" r:id="rId8287"/>
    <hyperlink xmlns:r="http://schemas.openxmlformats.org/officeDocument/2006/relationships" ref="J2867" r:id="rId8288"/>
    <hyperlink xmlns:r="http://schemas.openxmlformats.org/officeDocument/2006/relationships" ref="K2867" r:id="rId8289"/>
    <hyperlink xmlns:r="http://schemas.openxmlformats.org/officeDocument/2006/relationships" ref="I2868" r:id="rId8290"/>
    <hyperlink xmlns:r="http://schemas.openxmlformats.org/officeDocument/2006/relationships" ref="J2868" r:id="rId8291"/>
    <hyperlink xmlns:r="http://schemas.openxmlformats.org/officeDocument/2006/relationships" ref="K2868" r:id="rId8292"/>
    <hyperlink xmlns:r="http://schemas.openxmlformats.org/officeDocument/2006/relationships" ref="I2869" r:id="rId8293"/>
    <hyperlink xmlns:r="http://schemas.openxmlformats.org/officeDocument/2006/relationships" ref="J2869" r:id="rId8294"/>
    <hyperlink xmlns:r="http://schemas.openxmlformats.org/officeDocument/2006/relationships" ref="K2869" r:id="rId8295"/>
    <hyperlink xmlns:r="http://schemas.openxmlformats.org/officeDocument/2006/relationships" ref="I2870" r:id="rId8296"/>
    <hyperlink xmlns:r="http://schemas.openxmlformats.org/officeDocument/2006/relationships" ref="J2870" r:id="rId8297"/>
    <hyperlink xmlns:r="http://schemas.openxmlformats.org/officeDocument/2006/relationships" ref="K2870" r:id="rId8298"/>
    <hyperlink xmlns:r="http://schemas.openxmlformats.org/officeDocument/2006/relationships" ref="I2871" r:id="rId8299"/>
    <hyperlink xmlns:r="http://schemas.openxmlformats.org/officeDocument/2006/relationships" ref="J2871" r:id="rId8300"/>
    <hyperlink xmlns:r="http://schemas.openxmlformats.org/officeDocument/2006/relationships" ref="K2871" r:id="rId8301"/>
    <hyperlink xmlns:r="http://schemas.openxmlformats.org/officeDocument/2006/relationships" ref="I2872" r:id="rId8302"/>
    <hyperlink xmlns:r="http://schemas.openxmlformats.org/officeDocument/2006/relationships" ref="J2872" r:id="rId8303"/>
    <hyperlink xmlns:r="http://schemas.openxmlformats.org/officeDocument/2006/relationships" ref="K2872" r:id="rId8304"/>
    <hyperlink xmlns:r="http://schemas.openxmlformats.org/officeDocument/2006/relationships" ref="I2873" r:id="rId8305"/>
    <hyperlink xmlns:r="http://schemas.openxmlformats.org/officeDocument/2006/relationships" ref="J2873" r:id="rId8306"/>
    <hyperlink xmlns:r="http://schemas.openxmlformats.org/officeDocument/2006/relationships" ref="K2873" r:id="rId8307"/>
    <hyperlink xmlns:r="http://schemas.openxmlformats.org/officeDocument/2006/relationships" ref="I2874" r:id="rId8308"/>
    <hyperlink xmlns:r="http://schemas.openxmlformats.org/officeDocument/2006/relationships" ref="J2874" r:id="rId8309"/>
    <hyperlink xmlns:r="http://schemas.openxmlformats.org/officeDocument/2006/relationships" ref="K2874" r:id="rId8310"/>
    <hyperlink xmlns:r="http://schemas.openxmlformats.org/officeDocument/2006/relationships" ref="I2875" r:id="rId8311"/>
    <hyperlink xmlns:r="http://schemas.openxmlformats.org/officeDocument/2006/relationships" ref="J2875" r:id="rId8312"/>
    <hyperlink xmlns:r="http://schemas.openxmlformats.org/officeDocument/2006/relationships" ref="K2875" r:id="rId8313"/>
    <hyperlink xmlns:r="http://schemas.openxmlformats.org/officeDocument/2006/relationships" ref="I2876" r:id="rId8314"/>
    <hyperlink xmlns:r="http://schemas.openxmlformats.org/officeDocument/2006/relationships" ref="J2876" r:id="rId8315"/>
    <hyperlink xmlns:r="http://schemas.openxmlformats.org/officeDocument/2006/relationships" ref="K2876" r:id="rId8316"/>
    <hyperlink xmlns:r="http://schemas.openxmlformats.org/officeDocument/2006/relationships" ref="I2877" r:id="rId8317"/>
    <hyperlink xmlns:r="http://schemas.openxmlformats.org/officeDocument/2006/relationships" ref="J2877" r:id="rId8318"/>
    <hyperlink xmlns:r="http://schemas.openxmlformats.org/officeDocument/2006/relationships" ref="K2877" r:id="rId8319"/>
    <hyperlink xmlns:r="http://schemas.openxmlformats.org/officeDocument/2006/relationships" ref="I2878" r:id="rId8320"/>
    <hyperlink xmlns:r="http://schemas.openxmlformats.org/officeDocument/2006/relationships" ref="J2878" r:id="rId8321"/>
    <hyperlink xmlns:r="http://schemas.openxmlformats.org/officeDocument/2006/relationships" ref="K2878" r:id="rId8322"/>
    <hyperlink xmlns:r="http://schemas.openxmlformats.org/officeDocument/2006/relationships" ref="I2879" r:id="rId8323"/>
    <hyperlink xmlns:r="http://schemas.openxmlformats.org/officeDocument/2006/relationships" ref="J2879" r:id="rId8324"/>
    <hyperlink xmlns:r="http://schemas.openxmlformats.org/officeDocument/2006/relationships" ref="K2879" r:id="rId8325"/>
    <hyperlink xmlns:r="http://schemas.openxmlformats.org/officeDocument/2006/relationships" ref="I2880" r:id="rId8326"/>
    <hyperlink xmlns:r="http://schemas.openxmlformats.org/officeDocument/2006/relationships" ref="J2880" r:id="rId8327"/>
    <hyperlink xmlns:r="http://schemas.openxmlformats.org/officeDocument/2006/relationships" ref="K2880" r:id="rId8328"/>
    <hyperlink xmlns:r="http://schemas.openxmlformats.org/officeDocument/2006/relationships" ref="I2881" r:id="rId8329"/>
    <hyperlink xmlns:r="http://schemas.openxmlformats.org/officeDocument/2006/relationships" ref="J2881" r:id="rId8330"/>
    <hyperlink xmlns:r="http://schemas.openxmlformats.org/officeDocument/2006/relationships" ref="K2881" r:id="rId8331"/>
    <hyperlink xmlns:r="http://schemas.openxmlformats.org/officeDocument/2006/relationships" ref="I2882" r:id="rId8332"/>
    <hyperlink xmlns:r="http://schemas.openxmlformats.org/officeDocument/2006/relationships" ref="J2882" r:id="rId8333"/>
    <hyperlink xmlns:r="http://schemas.openxmlformats.org/officeDocument/2006/relationships" ref="K2882" r:id="rId8334"/>
    <hyperlink xmlns:r="http://schemas.openxmlformats.org/officeDocument/2006/relationships" ref="I2883" r:id="rId8335"/>
    <hyperlink xmlns:r="http://schemas.openxmlformats.org/officeDocument/2006/relationships" ref="J2883" r:id="rId8336"/>
    <hyperlink xmlns:r="http://schemas.openxmlformats.org/officeDocument/2006/relationships" ref="K2883" r:id="rId8337"/>
    <hyperlink xmlns:r="http://schemas.openxmlformats.org/officeDocument/2006/relationships" ref="I2884" r:id="rId8338"/>
    <hyperlink xmlns:r="http://schemas.openxmlformats.org/officeDocument/2006/relationships" ref="J2884" r:id="rId8339"/>
    <hyperlink xmlns:r="http://schemas.openxmlformats.org/officeDocument/2006/relationships" ref="K2884" r:id="rId8340"/>
    <hyperlink xmlns:r="http://schemas.openxmlformats.org/officeDocument/2006/relationships" ref="I2885" r:id="rId8341"/>
    <hyperlink xmlns:r="http://schemas.openxmlformats.org/officeDocument/2006/relationships" ref="J2885" r:id="rId8342"/>
    <hyperlink xmlns:r="http://schemas.openxmlformats.org/officeDocument/2006/relationships" ref="K2885" r:id="rId8343"/>
    <hyperlink xmlns:r="http://schemas.openxmlformats.org/officeDocument/2006/relationships" ref="I2886" r:id="rId8344"/>
    <hyperlink xmlns:r="http://schemas.openxmlformats.org/officeDocument/2006/relationships" ref="J2886" r:id="rId8345"/>
    <hyperlink xmlns:r="http://schemas.openxmlformats.org/officeDocument/2006/relationships" ref="K2886" r:id="rId8346"/>
    <hyperlink xmlns:r="http://schemas.openxmlformats.org/officeDocument/2006/relationships" ref="I2887" r:id="rId8347"/>
    <hyperlink xmlns:r="http://schemas.openxmlformats.org/officeDocument/2006/relationships" ref="J2887" r:id="rId8348"/>
    <hyperlink xmlns:r="http://schemas.openxmlformats.org/officeDocument/2006/relationships" ref="K2887" r:id="rId8349"/>
    <hyperlink xmlns:r="http://schemas.openxmlformats.org/officeDocument/2006/relationships" ref="I2888" r:id="rId8350"/>
    <hyperlink xmlns:r="http://schemas.openxmlformats.org/officeDocument/2006/relationships" ref="J2888" r:id="rId8351"/>
    <hyperlink xmlns:r="http://schemas.openxmlformats.org/officeDocument/2006/relationships" ref="K2888" r:id="rId8352"/>
    <hyperlink xmlns:r="http://schemas.openxmlformats.org/officeDocument/2006/relationships" ref="I2889" r:id="rId8353"/>
    <hyperlink xmlns:r="http://schemas.openxmlformats.org/officeDocument/2006/relationships" ref="J2889" r:id="rId8354"/>
    <hyperlink xmlns:r="http://schemas.openxmlformats.org/officeDocument/2006/relationships" ref="K2889" r:id="rId8355"/>
    <hyperlink xmlns:r="http://schemas.openxmlformats.org/officeDocument/2006/relationships" ref="I2890" r:id="rId8356"/>
    <hyperlink xmlns:r="http://schemas.openxmlformats.org/officeDocument/2006/relationships" ref="J2890" r:id="rId8357"/>
    <hyperlink xmlns:r="http://schemas.openxmlformats.org/officeDocument/2006/relationships" ref="K2890" r:id="rId8358"/>
    <hyperlink xmlns:r="http://schemas.openxmlformats.org/officeDocument/2006/relationships" ref="I2891" r:id="rId8359"/>
    <hyperlink xmlns:r="http://schemas.openxmlformats.org/officeDocument/2006/relationships" ref="J2891" r:id="rId8360"/>
    <hyperlink xmlns:r="http://schemas.openxmlformats.org/officeDocument/2006/relationships" ref="K2891" r:id="rId8361"/>
    <hyperlink xmlns:r="http://schemas.openxmlformats.org/officeDocument/2006/relationships" ref="I2892" r:id="rId8362"/>
    <hyperlink xmlns:r="http://schemas.openxmlformats.org/officeDocument/2006/relationships" ref="J2892" r:id="rId8363"/>
    <hyperlink xmlns:r="http://schemas.openxmlformats.org/officeDocument/2006/relationships" ref="K2892" r:id="rId8364"/>
    <hyperlink xmlns:r="http://schemas.openxmlformats.org/officeDocument/2006/relationships" ref="I2893" r:id="rId8365"/>
    <hyperlink xmlns:r="http://schemas.openxmlformats.org/officeDocument/2006/relationships" ref="J2893" r:id="rId8366"/>
    <hyperlink xmlns:r="http://schemas.openxmlformats.org/officeDocument/2006/relationships" ref="K2893" r:id="rId8367"/>
    <hyperlink xmlns:r="http://schemas.openxmlformats.org/officeDocument/2006/relationships" ref="I2894" r:id="rId8368"/>
    <hyperlink xmlns:r="http://schemas.openxmlformats.org/officeDocument/2006/relationships" ref="J2894" r:id="rId8369"/>
    <hyperlink xmlns:r="http://schemas.openxmlformats.org/officeDocument/2006/relationships" ref="K2894" r:id="rId8370"/>
    <hyperlink xmlns:r="http://schemas.openxmlformats.org/officeDocument/2006/relationships" ref="I2895" r:id="rId8371"/>
    <hyperlink xmlns:r="http://schemas.openxmlformats.org/officeDocument/2006/relationships" ref="J2895" r:id="rId8372"/>
    <hyperlink xmlns:r="http://schemas.openxmlformats.org/officeDocument/2006/relationships" ref="K2895" r:id="rId8373"/>
    <hyperlink xmlns:r="http://schemas.openxmlformats.org/officeDocument/2006/relationships" ref="I2896" r:id="rId8374"/>
    <hyperlink xmlns:r="http://schemas.openxmlformats.org/officeDocument/2006/relationships" ref="J2896" r:id="rId8375"/>
    <hyperlink xmlns:r="http://schemas.openxmlformats.org/officeDocument/2006/relationships" ref="K2896" r:id="rId8376"/>
    <hyperlink xmlns:r="http://schemas.openxmlformats.org/officeDocument/2006/relationships" ref="I2897" r:id="rId8377"/>
    <hyperlink xmlns:r="http://schemas.openxmlformats.org/officeDocument/2006/relationships" ref="J2897" r:id="rId8378"/>
    <hyperlink xmlns:r="http://schemas.openxmlformats.org/officeDocument/2006/relationships" ref="K2897" r:id="rId8379"/>
    <hyperlink xmlns:r="http://schemas.openxmlformats.org/officeDocument/2006/relationships" ref="I2898" r:id="rId8380"/>
    <hyperlink xmlns:r="http://schemas.openxmlformats.org/officeDocument/2006/relationships" ref="J2898" r:id="rId8381"/>
    <hyperlink xmlns:r="http://schemas.openxmlformats.org/officeDocument/2006/relationships" ref="K2898" r:id="rId8382"/>
    <hyperlink xmlns:r="http://schemas.openxmlformats.org/officeDocument/2006/relationships" ref="I2899" r:id="rId8383"/>
    <hyperlink xmlns:r="http://schemas.openxmlformats.org/officeDocument/2006/relationships" ref="J2899" r:id="rId8384"/>
    <hyperlink xmlns:r="http://schemas.openxmlformats.org/officeDocument/2006/relationships" ref="K2899" r:id="rId8385"/>
    <hyperlink xmlns:r="http://schemas.openxmlformats.org/officeDocument/2006/relationships" ref="I2900" r:id="rId8386"/>
    <hyperlink xmlns:r="http://schemas.openxmlformats.org/officeDocument/2006/relationships" ref="J2900" r:id="rId8387"/>
    <hyperlink xmlns:r="http://schemas.openxmlformats.org/officeDocument/2006/relationships" ref="K2900" r:id="rId8388"/>
    <hyperlink xmlns:r="http://schemas.openxmlformats.org/officeDocument/2006/relationships" ref="I2901" r:id="rId8389"/>
    <hyperlink xmlns:r="http://schemas.openxmlformats.org/officeDocument/2006/relationships" ref="J2901" r:id="rId8390"/>
    <hyperlink xmlns:r="http://schemas.openxmlformats.org/officeDocument/2006/relationships" ref="K2901" r:id="rId8391"/>
    <hyperlink xmlns:r="http://schemas.openxmlformats.org/officeDocument/2006/relationships" ref="I2902" r:id="rId8392"/>
    <hyperlink xmlns:r="http://schemas.openxmlformats.org/officeDocument/2006/relationships" ref="J2902" r:id="rId8393"/>
    <hyperlink xmlns:r="http://schemas.openxmlformats.org/officeDocument/2006/relationships" ref="K2902" r:id="rId8394"/>
    <hyperlink xmlns:r="http://schemas.openxmlformats.org/officeDocument/2006/relationships" ref="I2903" r:id="rId8395"/>
    <hyperlink xmlns:r="http://schemas.openxmlformats.org/officeDocument/2006/relationships" ref="J2903" r:id="rId8396"/>
    <hyperlink xmlns:r="http://schemas.openxmlformats.org/officeDocument/2006/relationships" ref="K2903" r:id="rId8397"/>
    <hyperlink xmlns:r="http://schemas.openxmlformats.org/officeDocument/2006/relationships" ref="I2904" r:id="rId8398"/>
    <hyperlink xmlns:r="http://schemas.openxmlformats.org/officeDocument/2006/relationships" ref="J2904" r:id="rId8399"/>
    <hyperlink xmlns:r="http://schemas.openxmlformats.org/officeDocument/2006/relationships" ref="K2904" r:id="rId8400"/>
    <hyperlink xmlns:r="http://schemas.openxmlformats.org/officeDocument/2006/relationships" ref="I2905" r:id="rId8401"/>
    <hyperlink xmlns:r="http://schemas.openxmlformats.org/officeDocument/2006/relationships" ref="J2905" r:id="rId8402"/>
    <hyperlink xmlns:r="http://schemas.openxmlformats.org/officeDocument/2006/relationships" ref="K2905" r:id="rId8403"/>
    <hyperlink xmlns:r="http://schemas.openxmlformats.org/officeDocument/2006/relationships" ref="I2906" r:id="rId8404"/>
    <hyperlink xmlns:r="http://schemas.openxmlformats.org/officeDocument/2006/relationships" ref="J2906" r:id="rId8405"/>
    <hyperlink xmlns:r="http://schemas.openxmlformats.org/officeDocument/2006/relationships" ref="K2906" r:id="rId8406"/>
    <hyperlink xmlns:r="http://schemas.openxmlformats.org/officeDocument/2006/relationships" ref="I2907" r:id="rId8407"/>
    <hyperlink xmlns:r="http://schemas.openxmlformats.org/officeDocument/2006/relationships" ref="J2907" r:id="rId8408"/>
    <hyperlink xmlns:r="http://schemas.openxmlformats.org/officeDocument/2006/relationships" ref="K2907" r:id="rId8409"/>
    <hyperlink xmlns:r="http://schemas.openxmlformats.org/officeDocument/2006/relationships" ref="I2908" r:id="rId8410"/>
    <hyperlink xmlns:r="http://schemas.openxmlformats.org/officeDocument/2006/relationships" ref="J2908" r:id="rId8411"/>
    <hyperlink xmlns:r="http://schemas.openxmlformats.org/officeDocument/2006/relationships" ref="K2908" r:id="rId8412"/>
    <hyperlink xmlns:r="http://schemas.openxmlformats.org/officeDocument/2006/relationships" ref="I2909" r:id="rId8413"/>
    <hyperlink xmlns:r="http://schemas.openxmlformats.org/officeDocument/2006/relationships" ref="J2909" r:id="rId8414"/>
    <hyperlink xmlns:r="http://schemas.openxmlformats.org/officeDocument/2006/relationships" ref="K2909" r:id="rId8415"/>
    <hyperlink xmlns:r="http://schemas.openxmlformats.org/officeDocument/2006/relationships" ref="I2910" r:id="rId8416"/>
    <hyperlink xmlns:r="http://schemas.openxmlformats.org/officeDocument/2006/relationships" ref="J2910" r:id="rId8417"/>
    <hyperlink xmlns:r="http://schemas.openxmlformats.org/officeDocument/2006/relationships" ref="K2910" r:id="rId8418"/>
    <hyperlink xmlns:r="http://schemas.openxmlformats.org/officeDocument/2006/relationships" ref="I2911" r:id="rId8419"/>
    <hyperlink xmlns:r="http://schemas.openxmlformats.org/officeDocument/2006/relationships" ref="J2911" r:id="rId8420"/>
    <hyperlink xmlns:r="http://schemas.openxmlformats.org/officeDocument/2006/relationships" ref="K2911" r:id="rId8421"/>
    <hyperlink xmlns:r="http://schemas.openxmlformats.org/officeDocument/2006/relationships" ref="I2912" r:id="rId8422"/>
    <hyperlink xmlns:r="http://schemas.openxmlformats.org/officeDocument/2006/relationships" ref="J2912" r:id="rId8423"/>
    <hyperlink xmlns:r="http://schemas.openxmlformats.org/officeDocument/2006/relationships" ref="K2912" r:id="rId8424"/>
    <hyperlink xmlns:r="http://schemas.openxmlformats.org/officeDocument/2006/relationships" ref="I2913" r:id="rId8425"/>
    <hyperlink xmlns:r="http://schemas.openxmlformats.org/officeDocument/2006/relationships" ref="J2913" r:id="rId8426"/>
    <hyperlink xmlns:r="http://schemas.openxmlformats.org/officeDocument/2006/relationships" ref="K2913" r:id="rId8427"/>
    <hyperlink xmlns:r="http://schemas.openxmlformats.org/officeDocument/2006/relationships" ref="I2914" r:id="rId8428"/>
    <hyperlink xmlns:r="http://schemas.openxmlformats.org/officeDocument/2006/relationships" ref="J2914" r:id="rId8429"/>
    <hyperlink xmlns:r="http://schemas.openxmlformats.org/officeDocument/2006/relationships" ref="K2914" r:id="rId8430"/>
    <hyperlink xmlns:r="http://schemas.openxmlformats.org/officeDocument/2006/relationships" ref="I2915" r:id="rId8431"/>
    <hyperlink xmlns:r="http://schemas.openxmlformats.org/officeDocument/2006/relationships" ref="J2915" r:id="rId8432"/>
    <hyperlink xmlns:r="http://schemas.openxmlformats.org/officeDocument/2006/relationships" ref="K2915" r:id="rId8433"/>
    <hyperlink xmlns:r="http://schemas.openxmlformats.org/officeDocument/2006/relationships" ref="I2916" r:id="rId8434"/>
    <hyperlink xmlns:r="http://schemas.openxmlformats.org/officeDocument/2006/relationships" ref="J2916" r:id="rId8435"/>
    <hyperlink xmlns:r="http://schemas.openxmlformats.org/officeDocument/2006/relationships" ref="K2916" r:id="rId8436"/>
    <hyperlink xmlns:r="http://schemas.openxmlformats.org/officeDocument/2006/relationships" ref="I2917" r:id="rId8437"/>
    <hyperlink xmlns:r="http://schemas.openxmlformats.org/officeDocument/2006/relationships" ref="J2917" r:id="rId8438"/>
    <hyperlink xmlns:r="http://schemas.openxmlformats.org/officeDocument/2006/relationships" ref="K2917" r:id="rId8439"/>
    <hyperlink xmlns:r="http://schemas.openxmlformats.org/officeDocument/2006/relationships" ref="I2918" r:id="rId8440"/>
    <hyperlink xmlns:r="http://schemas.openxmlformats.org/officeDocument/2006/relationships" ref="J2918" r:id="rId8441"/>
    <hyperlink xmlns:r="http://schemas.openxmlformats.org/officeDocument/2006/relationships" ref="K2918" r:id="rId8442"/>
    <hyperlink xmlns:r="http://schemas.openxmlformats.org/officeDocument/2006/relationships" ref="I2919" r:id="rId8443"/>
    <hyperlink xmlns:r="http://schemas.openxmlformats.org/officeDocument/2006/relationships" ref="J2919" r:id="rId8444"/>
    <hyperlink xmlns:r="http://schemas.openxmlformats.org/officeDocument/2006/relationships" ref="K2919" r:id="rId8445"/>
    <hyperlink xmlns:r="http://schemas.openxmlformats.org/officeDocument/2006/relationships" ref="I2920" r:id="rId8446"/>
    <hyperlink xmlns:r="http://schemas.openxmlformats.org/officeDocument/2006/relationships" ref="J2920" r:id="rId8447"/>
    <hyperlink xmlns:r="http://schemas.openxmlformats.org/officeDocument/2006/relationships" ref="K2920" r:id="rId8448"/>
    <hyperlink xmlns:r="http://schemas.openxmlformats.org/officeDocument/2006/relationships" ref="I2921" r:id="rId8449"/>
    <hyperlink xmlns:r="http://schemas.openxmlformats.org/officeDocument/2006/relationships" ref="J2921" r:id="rId8450"/>
    <hyperlink xmlns:r="http://schemas.openxmlformats.org/officeDocument/2006/relationships" ref="K2921" r:id="rId8451"/>
    <hyperlink xmlns:r="http://schemas.openxmlformats.org/officeDocument/2006/relationships" ref="I2922" r:id="rId8452"/>
    <hyperlink xmlns:r="http://schemas.openxmlformats.org/officeDocument/2006/relationships" ref="J2922" r:id="rId8453"/>
    <hyperlink xmlns:r="http://schemas.openxmlformats.org/officeDocument/2006/relationships" ref="K2922" r:id="rId8454"/>
    <hyperlink xmlns:r="http://schemas.openxmlformats.org/officeDocument/2006/relationships" ref="I2923" r:id="rId8455"/>
    <hyperlink xmlns:r="http://schemas.openxmlformats.org/officeDocument/2006/relationships" ref="J2923" r:id="rId8456"/>
    <hyperlink xmlns:r="http://schemas.openxmlformats.org/officeDocument/2006/relationships" ref="K2923" r:id="rId8457"/>
    <hyperlink xmlns:r="http://schemas.openxmlformats.org/officeDocument/2006/relationships" ref="I2924" r:id="rId8458"/>
    <hyperlink xmlns:r="http://schemas.openxmlformats.org/officeDocument/2006/relationships" ref="J2924" r:id="rId8459"/>
    <hyperlink xmlns:r="http://schemas.openxmlformats.org/officeDocument/2006/relationships" ref="K2924" r:id="rId8460"/>
    <hyperlink xmlns:r="http://schemas.openxmlformats.org/officeDocument/2006/relationships" ref="I2925" r:id="rId8461"/>
    <hyperlink xmlns:r="http://schemas.openxmlformats.org/officeDocument/2006/relationships" ref="J2925" r:id="rId8462"/>
    <hyperlink xmlns:r="http://schemas.openxmlformats.org/officeDocument/2006/relationships" ref="K2925" r:id="rId8463"/>
    <hyperlink xmlns:r="http://schemas.openxmlformats.org/officeDocument/2006/relationships" ref="I2926" r:id="rId8464"/>
    <hyperlink xmlns:r="http://schemas.openxmlformats.org/officeDocument/2006/relationships" ref="J2926" r:id="rId8465"/>
    <hyperlink xmlns:r="http://schemas.openxmlformats.org/officeDocument/2006/relationships" ref="K2926" r:id="rId8466"/>
    <hyperlink xmlns:r="http://schemas.openxmlformats.org/officeDocument/2006/relationships" ref="I2927" r:id="rId8467"/>
    <hyperlink xmlns:r="http://schemas.openxmlformats.org/officeDocument/2006/relationships" ref="J2927" r:id="rId8468"/>
    <hyperlink xmlns:r="http://schemas.openxmlformats.org/officeDocument/2006/relationships" ref="K2927" r:id="rId8469"/>
    <hyperlink xmlns:r="http://schemas.openxmlformats.org/officeDocument/2006/relationships" ref="I2928" r:id="rId8470"/>
    <hyperlink xmlns:r="http://schemas.openxmlformats.org/officeDocument/2006/relationships" ref="J2928" r:id="rId8471"/>
    <hyperlink xmlns:r="http://schemas.openxmlformats.org/officeDocument/2006/relationships" ref="I2929" r:id="rId8472"/>
    <hyperlink xmlns:r="http://schemas.openxmlformats.org/officeDocument/2006/relationships" ref="J2929" r:id="rId8473"/>
    <hyperlink xmlns:r="http://schemas.openxmlformats.org/officeDocument/2006/relationships" ref="I2930" r:id="rId8474"/>
    <hyperlink xmlns:r="http://schemas.openxmlformats.org/officeDocument/2006/relationships" ref="J2930" r:id="rId8475"/>
    <hyperlink xmlns:r="http://schemas.openxmlformats.org/officeDocument/2006/relationships" ref="I2931" r:id="rId8476"/>
    <hyperlink xmlns:r="http://schemas.openxmlformats.org/officeDocument/2006/relationships" ref="J2931" r:id="rId8477"/>
    <hyperlink xmlns:r="http://schemas.openxmlformats.org/officeDocument/2006/relationships" ref="I2932" r:id="rId8478"/>
    <hyperlink xmlns:r="http://schemas.openxmlformats.org/officeDocument/2006/relationships" ref="J2932" r:id="rId8479"/>
    <hyperlink xmlns:r="http://schemas.openxmlformats.org/officeDocument/2006/relationships" ref="I2933" r:id="rId8480"/>
    <hyperlink xmlns:r="http://schemas.openxmlformats.org/officeDocument/2006/relationships" ref="J2933" r:id="rId8481"/>
    <hyperlink xmlns:r="http://schemas.openxmlformats.org/officeDocument/2006/relationships" ref="I2934" r:id="rId8482"/>
    <hyperlink xmlns:r="http://schemas.openxmlformats.org/officeDocument/2006/relationships" ref="J2934" r:id="rId8483"/>
    <hyperlink xmlns:r="http://schemas.openxmlformats.org/officeDocument/2006/relationships" ref="I2935" r:id="rId8484"/>
    <hyperlink xmlns:r="http://schemas.openxmlformats.org/officeDocument/2006/relationships" ref="J2935" r:id="rId8485"/>
    <hyperlink xmlns:r="http://schemas.openxmlformats.org/officeDocument/2006/relationships" ref="I2936" r:id="rId8486"/>
    <hyperlink xmlns:r="http://schemas.openxmlformats.org/officeDocument/2006/relationships" ref="J2936" r:id="rId8487"/>
    <hyperlink xmlns:r="http://schemas.openxmlformats.org/officeDocument/2006/relationships" ref="I2937" r:id="rId8488"/>
    <hyperlink xmlns:r="http://schemas.openxmlformats.org/officeDocument/2006/relationships" ref="J2937" r:id="rId8489"/>
    <hyperlink xmlns:r="http://schemas.openxmlformats.org/officeDocument/2006/relationships" ref="K2937" r:id="rId8490"/>
    <hyperlink xmlns:r="http://schemas.openxmlformats.org/officeDocument/2006/relationships" ref="I2938" r:id="rId8491"/>
    <hyperlink xmlns:r="http://schemas.openxmlformats.org/officeDocument/2006/relationships" ref="J2938" r:id="rId8492"/>
    <hyperlink xmlns:r="http://schemas.openxmlformats.org/officeDocument/2006/relationships" ref="K2938" r:id="rId8493"/>
    <hyperlink xmlns:r="http://schemas.openxmlformats.org/officeDocument/2006/relationships" ref="I2939" r:id="rId8494"/>
    <hyperlink xmlns:r="http://schemas.openxmlformats.org/officeDocument/2006/relationships" ref="J2939" r:id="rId8495"/>
    <hyperlink xmlns:r="http://schemas.openxmlformats.org/officeDocument/2006/relationships" ref="K2939" r:id="rId8496"/>
    <hyperlink xmlns:r="http://schemas.openxmlformats.org/officeDocument/2006/relationships" ref="I2940" r:id="rId8497"/>
    <hyperlink xmlns:r="http://schemas.openxmlformats.org/officeDocument/2006/relationships" ref="J2940" r:id="rId8498"/>
    <hyperlink xmlns:r="http://schemas.openxmlformats.org/officeDocument/2006/relationships" ref="K2940" r:id="rId8499"/>
    <hyperlink xmlns:r="http://schemas.openxmlformats.org/officeDocument/2006/relationships" ref="I2941" r:id="rId8500"/>
    <hyperlink xmlns:r="http://schemas.openxmlformats.org/officeDocument/2006/relationships" ref="J2941" r:id="rId8501"/>
    <hyperlink xmlns:r="http://schemas.openxmlformats.org/officeDocument/2006/relationships" ref="K2941" r:id="rId8502"/>
    <hyperlink xmlns:r="http://schemas.openxmlformats.org/officeDocument/2006/relationships" ref="I2942" r:id="rId8503"/>
    <hyperlink xmlns:r="http://schemas.openxmlformats.org/officeDocument/2006/relationships" ref="J2942" r:id="rId8504"/>
    <hyperlink xmlns:r="http://schemas.openxmlformats.org/officeDocument/2006/relationships" ref="K2942" r:id="rId8505"/>
    <hyperlink xmlns:r="http://schemas.openxmlformats.org/officeDocument/2006/relationships" ref="I2943" r:id="rId8506"/>
    <hyperlink xmlns:r="http://schemas.openxmlformats.org/officeDocument/2006/relationships" ref="J2943" r:id="rId8507"/>
    <hyperlink xmlns:r="http://schemas.openxmlformats.org/officeDocument/2006/relationships" ref="K2943" r:id="rId8508"/>
    <hyperlink xmlns:r="http://schemas.openxmlformats.org/officeDocument/2006/relationships" ref="I2944" r:id="rId8509"/>
    <hyperlink xmlns:r="http://schemas.openxmlformats.org/officeDocument/2006/relationships" ref="J2944" r:id="rId8510"/>
    <hyperlink xmlns:r="http://schemas.openxmlformats.org/officeDocument/2006/relationships" ref="K2944" r:id="rId8511"/>
    <hyperlink xmlns:r="http://schemas.openxmlformats.org/officeDocument/2006/relationships" ref="I2945" r:id="rId8512"/>
    <hyperlink xmlns:r="http://schemas.openxmlformats.org/officeDocument/2006/relationships" ref="J2945" r:id="rId8513"/>
    <hyperlink xmlns:r="http://schemas.openxmlformats.org/officeDocument/2006/relationships" ref="K2945" r:id="rId8514"/>
    <hyperlink xmlns:r="http://schemas.openxmlformats.org/officeDocument/2006/relationships" ref="I2946" r:id="rId8515"/>
    <hyperlink xmlns:r="http://schemas.openxmlformats.org/officeDocument/2006/relationships" ref="J2946" r:id="rId8516"/>
    <hyperlink xmlns:r="http://schemas.openxmlformats.org/officeDocument/2006/relationships" ref="K2946" r:id="rId8517"/>
    <hyperlink xmlns:r="http://schemas.openxmlformats.org/officeDocument/2006/relationships" ref="I2947" r:id="rId8518"/>
    <hyperlink xmlns:r="http://schemas.openxmlformats.org/officeDocument/2006/relationships" ref="J2947" r:id="rId8519"/>
    <hyperlink xmlns:r="http://schemas.openxmlformats.org/officeDocument/2006/relationships" ref="K2947" r:id="rId8520"/>
    <hyperlink xmlns:r="http://schemas.openxmlformats.org/officeDocument/2006/relationships" ref="I2948" r:id="rId8521"/>
    <hyperlink xmlns:r="http://schemas.openxmlformats.org/officeDocument/2006/relationships" ref="J2948" r:id="rId8522"/>
    <hyperlink xmlns:r="http://schemas.openxmlformats.org/officeDocument/2006/relationships" ref="K2948" r:id="rId8523"/>
    <hyperlink xmlns:r="http://schemas.openxmlformats.org/officeDocument/2006/relationships" ref="I2949" r:id="rId8524"/>
    <hyperlink xmlns:r="http://schemas.openxmlformats.org/officeDocument/2006/relationships" ref="J2949" r:id="rId8525"/>
    <hyperlink xmlns:r="http://schemas.openxmlformats.org/officeDocument/2006/relationships" ref="K2949" r:id="rId8526"/>
    <hyperlink xmlns:r="http://schemas.openxmlformats.org/officeDocument/2006/relationships" ref="I2950" r:id="rId8527"/>
    <hyperlink xmlns:r="http://schemas.openxmlformats.org/officeDocument/2006/relationships" ref="J2950" r:id="rId8528"/>
    <hyperlink xmlns:r="http://schemas.openxmlformats.org/officeDocument/2006/relationships" ref="K2950" r:id="rId8529"/>
    <hyperlink xmlns:r="http://schemas.openxmlformats.org/officeDocument/2006/relationships" ref="I2951" r:id="rId8530"/>
    <hyperlink xmlns:r="http://schemas.openxmlformats.org/officeDocument/2006/relationships" ref="J2951" r:id="rId8531"/>
    <hyperlink xmlns:r="http://schemas.openxmlformats.org/officeDocument/2006/relationships" ref="K2951" r:id="rId8532"/>
    <hyperlink xmlns:r="http://schemas.openxmlformats.org/officeDocument/2006/relationships" ref="I2952" r:id="rId8533"/>
    <hyperlink xmlns:r="http://schemas.openxmlformats.org/officeDocument/2006/relationships" ref="J2952" r:id="rId8534"/>
    <hyperlink xmlns:r="http://schemas.openxmlformats.org/officeDocument/2006/relationships" ref="K2952" r:id="rId8535"/>
    <hyperlink xmlns:r="http://schemas.openxmlformats.org/officeDocument/2006/relationships" ref="I2953" r:id="rId8536"/>
    <hyperlink xmlns:r="http://schemas.openxmlformats.org/officeDocument/2006/relationships" ref="J2953" r:id="rId8537"/>
    <hyperlink xmlns:r="http://schemas.openxmlformats.org/officeDocument/2006/relationships" ref="K2953" r:id="rId8538"/>
    <hyperlink xmlns:r="http://schemas.openxmlformats.org/officeDocument/2006/relationships" ref="I2954" r:id="rId8539"/>
    <hyperlink xmlns:r="http://schemas.openxmlformats.org/officeDocument/2006/relationships" ref="J2954" r:id="rId8540"/>
    <hyperlink xmlns:r="http://schemas.openxmlformats.org/officeDocument/2006/relationships" ref="K2954" r:id="rId8541"/>
    <hyperlink xmlns:r="http://schemas.openxmlformats.org/officeDocument/2006/relationships" ref="I2955" r:id="rId8542"/>
    <hyperlink xmlns:r="http://schemas.openxmlformats.org/officeDocument/2006/relationships" ref="J2955" r:id="rId8543"/>
    <hyperlink xmlns:r="http://schemas.openxmlformats.org/officeDocument/2006/relationships" ref="K2955" r:id="rId8544"/>
    <hyperlink xmlns:r="http://schemas.openxmlformats.org/officeDocument/2006/relationships" ref="I2956" r:id="rId8545"/>
    <hyperlink xmlns:r="http://schemas.openxmlformats.org/officeDocument/2006/relationships" ref="J2956" r:id="rId8546"/>
    <hyperlink xmlns:r="http://schemas.openxmlformats.org/officeDocument/2006/relationships" ref="K2956" r:id="rId8547"/>
    <hyperlink xmlns:r="http://schemas.openxmlformats.org/officeDocument/2006/relationships" ref="I2957" r:id="rId8548"/>
    <hyperlink xmlns:r="http://schemas.openxmlformats.org/officeDocument/2006/relationships" ref="J2957" r:id="rId8549"/>
    <hyperlink xmlns:r="http://schemas.openxmlformats.org/officeDocument/2006/relationships" ref="K2957" r:id="rId8550"/>
    <hyperlink xmlns:r="http://schemas.openxmlformats.org/officeDocument/2006/relationships" ref="I2958" r:id="rId8551"/>
    <hyperlink xmlns:r="http://schemas.openxmlformats.org/officeDocument/2006/relationships" ref="J2958" r:id="rId8552"/>
    <hyperlink xmlns:r="http://schemas.openxmlformats.org/officeDocument/2006/relationships" ref="K2958" r:id="rId8553"/>
    <hyperlink xmlns:r="http://schemas.openxmlformats.org/officeDocument/2006/relationships" ref="I2959" r:id="rId8554"/>
    <hyperlink xmlns:r="http://schemas.openxmlformats.org/officeDocument/2006/relationships" ref="J2959" r:id="rId8555"/>
    <hyperlink xmlns:r="http://schemas.openxmlformats.org/officeDocument/2006/relationships" ref="K2959" r:id="rId8556"/>
    <hyperlink xmlns:r="http://schemas.openxmlformats.org/officeDocument/2006/relationships" ref="I2960" r:id="rId8557"/>
    <hyperlink xmlns:r="http://schemas.openxmlformats.org/officeDocument/2006/relationships" ref="J2960" r:id="rId8558"/>
    <hyperlink xmlns:r="http://schemas.openxmlformats.org/officeDocument/2006/relationships" ref="K2960" r:id="rId8559"/>
    <hyperlink xmlns:r="http://schemas.openxmlformats.org/officeDocument/2006/relationships" ref="I2961" r:id="rId8560"/>
    <hyperlink xmlns:r="http://schemas.openxmlformats.org/officeDocument/2006/relationships" ref="J2961" r:id="rId8561"/>
    <hyperlink xmlns:r="http://schemas.openxmlformats.org/officeDocument/2006/relationships" ref="K2961" r:id="rId8562"/>
    <hyperlink xmlns:r="http://schemas.openxmlformats.org/officeDocument/2006/relationships" ref="I2962" r:id="rId8563"/>
    <hyperlink xmlns:r="http://schemas.openxmlformats.org/officeDocument/2006/relationships" ref="J2962" r:id="rId8564"/>
    <hyperlink xmlns:r="http://schemas.openxmlformats.org/officeDocument/2006/relationships" ref="K2962" r:id="rId8565"/>
    <hyperlink xmlns:r="http://schemas.openxmlformats.org/officeDocument/2006/relationships" ref="I2963" r:id="rId8566"/>
    <hyperlink xmlns:r="http://schemas.openxmlformats.org/officeDocument/2006/relationships" ref="J2963" r:id="rId8567"/>
    <hyperlink xmlns:r="http://schemas.openxmlformats.org/officeDocument/2006/relationships" ref="K2963" r:id="rId8568"/>
    <hyperlink xmlns:r="http://schemas.openxmlformats.org/officeDocument/2006/relationships" ref="I2964" r:id="rId8569"/>
    <hyperlink xmlns:r="http://schemas.openxmlformats.org/officeDocument/2006/relationships" ref="J2964" r:id="rId8570"/>
    <hyperlink xmlns:r="http://schemas.openxmlformats.org/officeDocument/2006/relationships" ref="K2964" r:id="rId8571"/>
    <hyperlink xmlns:r="http://schemas.openxmlformats.org/officeDocument/2006/relationships" ref="I2965" r:id="rId8572"/>
    <hyperlink xmlns:r="http://schemas.openxmlformats.org/officeDocument/2006/relationships" ref="J2965" r:id="rId8573"/>
    <hyperlink xmlns:r="http://schemas.openxmlformats.org/officeDocument/2006/relationships" ref="K2965" r:id="rId8574"/>
    <hyperlink xmlns:r="http://schemas.openxmlformats.org/officeDocument/2006/relationships" ref="I2966" r:id="rId8575"/>
    <hyperlink xmlns:r="http://schemas.openxmlformats.org/officeDocument/2006/relationships" ref="J2966" r:id="rId8576"/>
    <hyperlink xmlns:r="http://schemas.openxmlformats.org/officeDocument/2006/relationships" ref="K2966" r:id="rId8577"/>
    <hyperlink xmlns:r="http://schemas.openxmlformats.org/officeDocument/2006/relationships" ref="I2967" r:id="rId8578"/>
    <hyperlink xmlns:r="http://schemas.openxmlformats.org/officeDocument/2006/relationships" ref="J2967" r:id="rId8579"/>
    <hyperlink xmlns:r="http://schemas.openxmlformats.org/officeDocument/2006/relationships" ref="K2967" r:id="rId8580"/>
    <hyperlink xmlns:r="http://schemas.openxmlformats.org/officeDocument/2006/relationships" ref="I2968" r:id="rId8581"/>
    <hyperlink xmlns:r="http://schemas.openxmlformats.org/officeDocument/2006/relationships" ref="J2968" r:id="rId8582"/>
    <hyperlink xmlns:r="http://schemas.openxmlformats.org/officeDocument/2006/relationships" ref="K2968" r:id="rId8583"/>
    <hyperlink xmlns:r="http://schemas.openxmlformats.org/officeDocument/2006/relationships" ref="I2969" r:id="rId8584"/>
    <hyperlink xmlns:r="http://schemas.openxmlformats.org/officeDocument/2006/relationships" ref="J2969" r:id="rId8585"/>
    <hyperlink xmlns:r="http://schemas.openxmlformats.org/officeDocument/2006/relationships" ref="K2969" r:id="rId8586"/>
    <hyperlink xmlns:r="http://schemas.openxmlformats.org/officeDocument/2006/relationships" ref="I2970" r:id="rId8587"/>
    <hyperlink xmlns:r="http://schemas.openxmlformats.org/officeDocument/2006/relationships" ref="J2970" r:id="rId8588"/>
    <hyperlink xmlns:r="http://schemas.openxmlformats.org/officeDocument/2006/relationships" ref="K2970" r:id="rId8589"/>
    <hyperlink xmlns:r="http://schemas.openxmlformats.org/officeDocument/2006/relationships" ref="I2971" r:id="rId8590"/>
    <hyperlink xmlns:r="http://schemas.openxmlformats.org/officeDocument/2006/relationships" ref="J2971" r:id="rId8591"/>
    <hyperlink xmlns:r="http://schemas.openxmlformats.org/officeDocument/2006/relationships" ref="K2971" r:id="rId8592"/>
    <hyperlink xmlns:r="http://schemas.openxmlformats.org/officeDocument/2006/relationships" ref="I2972" r:id="rId8593"/>
    <hyperlink xmlns:r="http://schemas.openxmlformats.org/officeDocument/2006/relationships" ref="J2972" r:id="rId8594"/>
    <hyperlink xmlns:r="http://schemas.openxmlformats.org/officeDocument/2006/relationships" ref="K2972" r:id="rId8595"/>
    <hyperlink xmlns:r="http://schemas.openxmlformats.org/officeDocument/2006/relationships" ref="I2973" r:id="rId8596"/>
    <hyperlink xmlns:r="http://schemas.openxmlformats.org/officeDocument/2006/relationships" ref="J2973" r:id="rId8597"/>
    <hyperlink xmlns:r="http://schemas.openxmlformats.org/officeDocument/2006/relationships" ref="K2973" r:id="rId8598"/>
    <hyperlink xmlns:r="http://schemas.openxmlformats.org/officeDocument/2006/relationships" ref="I2974" r:id="rId8599"/>
    <hyperlink xmlns:r="http://schemas.openxmlformats.org/officeDocument/2006/relationships" ref="J2974" r:id="rId8600"/>
    <hyperlink xmlns:r="http://schemas.openxmlformats.org/officeDocument/2006/relationships" ref="K2974" r:id="rId8601"/>
    <hyperlink xmlns:r="http://schemas.openxmlformats.org/officeDocument/2006/relationships" ref="I2975" r:id="rId8602"/>
    <hyperlink xmlns:r="http://schemas.openxmlformats.org/officeDocument/2006/relationships" ref="J2975" r:id="rId8603"/>
    <hyperlink xmlns:r="http://schemas.openxmlformats.org/officeDocument/2006/relationships" ref="K2975" r:id="rId8604"/>
    <hyperlink xmlns:r="http://schemas.openxmlformats.org/officeDocument/2006/relationships" ref="I2976" r:id="rId8605"/>
    <hyperlink xmlns:r="http://schemas.openxmlformats.org/officeDocument/2006/relationships" ref="J2976" r:id="rId8606"/>
    <hyperlink xmlns:r="http://schemas.openxmlformats.org/officeDocument/2006/relationships" ref="K2976" r:id="rId8607"/>
    <hyperlink xmlns:r="http://schemas.openxmlformats.org/officeDocument/2006/relationships" ref="I2977" r:id="rId8608"/>
    <hyperlink xmlns:r="http://schemas.openxmlformats.org/officeDocument/2006/relationships" ref="J2977" r:id="rId8609"/>
    <hyperlink xmlns:r="http://schemas.openxmlformats.org/officeDocument/2006/relationships" ref="K2977" r:id="rId8610"/>
    <hyperlink xmlns:r="http://schemas.openxmlformats.org/officeDocument/2006/relationships" ref="I2978" r:id="rId8611"/>
    <hyperlink xmlns:r="http://schemas.openxmlformats.org/officeDocument/2006/relationships" ref="J2978" r:id="rId8612"/>
    <hyperlink xmlns:r="http://schemas.openxmlformats.org/officeDocument/2006/relationships" ref="K2978" r:id="rId8613"/>
    <hyperlink xmlns:r="http://schemas.openxmlformats.org/officeDocument/2006/relationships" ref="I2979" r:id="rId8614"/>
    <hyperlink xmlns:r="http://schemas.openxmlformats.org/officeDocument/2006/relationships" ref="J2979" r:id="rId8615"/>
    <hyperlink xmlns:r="http://schemas.openxmlformats.org/officeDocument/2006/relationships" ref="K2979" r:id="rId8616"/>
    <hyperlink xmlns:r="http://schemas.openxmlformats.org/officeDocument/2006/relationships" ref="I2980" r:id="rId8617"/>
    <hyperlink xmlns:r="http://schemas.openxmlformats.org/officeDocument/2006/relationships" ref="J2980" r:id="rId8618"/>
    <hyperlink xmlns:r="http://schemas.openxmlformats.org/officeDocument/2006/relationships" ref="K2980" r:id="rId8619"/>
    <hyperlink xmlns:r="http://schemas.openxmlformats.org/officeDocument/2006/relationships" ref="I2981" r:id="rId8620"/>
    <hyperlink xmlns:r="http://schemas.openxmlformats.org/officeDocument/2006/relationships" ref="J2981" r:id="rId8621"/>
    <hyperlink xmlns:r="http://schemas.openxmlformats.org/officeDocument/2006/relationships" ref="K2981" r:id="rId8622"/>
    <hyperlink xmlns:r="http://schemas.openxmlformats.org/officeDocument/2006/relationships" ref="I2982" r:id="rId8623"/>
    <hyperlink xmlns:r="http://schemas.openxmlformats.org/officeDocument/2006/relationships" ref="J2982" r:id="rId8624"/>
    <hyperlink xmlns:r="http://schemas.openxmlformats.org/officeDocument/2006/relationships" ref="K2982" r:id="rId8625"/>
    <hyperlink xmlns:r="http://schemas.openxmlformats.org/officeDocument/2006/relationships" ref="I2983" r:id="rId8626"/>
    <hyperlink xmlns:r="http://schemas.openxmlformats.org/officeDocument/2006/relationships" ref="J2983" r:id="rId8627"/>
    <hyperlink xmlns:r="http://schemas.openxmlformats.org/officeDocument/2006/relationships" ref="K2983" r:id="rId8628"/>
    <hyperlink xmlns:r="http://schemas.openxmlformats.org/officeDocument/2006/relationships" ref="I2984" r:id="rId8629"/>
    <hyperlink xmlns:r="http://schemas.openxmlformats.org/officeDocument/2006/relationships" ref="J2984" r:id="rId8630"/>
    <hyperlink xmlns:r="http://schemas.openxmlformats.org/officeDocument/2006/relationships" ref="K2984" r:id="rId8631"/>
    <hyperlink xmlns:r="http://schemas.openxmlformats.org/officeDocument/2006/relationships" ref="I2985" r:id="rId8632"/>
    <hyperlink xmlns:r="http://schemas.openxmlformats.org/officeDocument/2006/relationships" ref="J2985" r:id="rId8633"/>
    <hyperlink xmlns:r="http://schemas.openxmlformats.org/officeDocument/2006/relationships" ref="K2985" r:id="rId8634"/>
    <hyperlink xmlns:r="http://schemas.openxmlformats.org/officeDocument/2006/relationships" ref="I2986" r:id="rId8635"/>
    <hyperlink xmlns:r="http://schemas.openxmlformats.org/officeDocument/2006/relationships" ref="J2986" r:id="rId8636"/>
    <hyperlink xmlns:r="http://schemas.openxmlformats.org/officeDocument/2006/relationships" ref="K2986" r:id="rId8637"/>
    <hyperlink xmlns:r="http://schemas.openxmlformats.org/officeDocument/2006/relationships" ref="I2987" r:id="rId8638"/>
    <hyperlink xmlns:r="http://schemas.openxmlformats.org/officeDocument/2006/relationships" ref="J2987" r:id="rId8639"/>
    <hyperlink xmlns:r="http://schemas.openxmlformats.org/officeDocument/2006/relationships" ref="K2987" r:id="rId8640"/>
    <hyperlink xmlns:r="http://schemas.openxmlformats.org/officeDocument/2006/relationships" ref="I2988" r:id="rId8641"/>
    <hyperlink xmlns:r="http://schemas.openxmlformats.org/officeDocument/2006/relationships" ref="J2988" r:id="rId8642"/>
    <hyperlink xmlns:r="http://schemas.openxmlformats.org/officeDocument/2006/relationships" ref="K2988" r:id="rId8643"/>
    <hyperlink xmlns:r="http://schemas.openxmlformats.org/officeDocument/2006/relationships" ref="I2989" r:id="rId8644"/>
    <hyperlink xmlns:r="http://schemas.openxmlformats.org/officeDocument/2006/relationships" ref="J2989" r:id="rId8645"/>
    <hyperlink xmlns:r="http://schemas.openxmlformats.org/officeDocument/2006/relationships" ref="K2989" r:id="rId8646"/>
    <hyperlink xmlns:r="http://schemas.openxmlformats.org/officeDocument/2006/relationships" ref="I2990" r:id="rId8647"/>
    <hyperlink xmlns:r="http://schemas.openxmlformats.org/officeDocument/2006/relationships" ref="J2990" r:id="rId8648"/>
    <hyperlink xmlns:r="http://schemas.openxmlformats.org/officeDocument/2006/relationships" ref="K2990" r:id="rId8649"/>
    <hyperlink xmlns:r="http://schemas.openxmlformats.org/officeDocument/2006/relationships" ref="I2991" r:id="rId8650"/>
    <hyperlink xmlns:r="http://schemas.openxmlformats.org/officeDocument/2006/relationships" ref="J2991" r:id="rId8651"/>
    <hyperlink xmlns:r="http://schemas.openxmlformats.org/officeDocument/2006/relationships" ref="K2991" r:id="rId8652"/>
    <hyperlink xmlns:r="http://schemas.openxmlformats.org/officeDocument/2006/relationships" ref="I2992" r:id="rId8653"/>
    <hyperlink xmlns:r="http://schemas.openxmlformats.org/officeDocument/2006/relationships" ref="J2992" r:id="rId8654"/>
    <hyperlink xmlns:r="http://schemas.openxmlformats.org/officeDocument/2006/relationships" ref="K2992" r:id="rId8655"/>
    <hyperlink xmlns:r="http://schemas.openxmlformats.org/officeDocument/2006/relationships" ref="I2993" r:id="rId8656"/>
    <hyperlink xmlns:r="http://schemas.openxmlformats.org/officeDocument/2006/relationships" ref="J2993" r:id="rId8657"/>
    <hyperlink xmlns:r="http://schemas.openxmlformats.org/officeDocument/2006/relationships" ref="K2993" r:id="rId8658"/>
    <hyperlink xmlns:r="http://schemas.openxmlformats.org/officeDocument/2006/relationships" ref="I2994" r:id="rId8659"/>
    <hyperlink xmlns:r="http://schemas.openxmlformats.org/officeDocument/2006/relationships" ref="J2994" r:id="rId8660"/>
    <hyperlink xmlns:r="http://schemas.openxmlformats.org/officeDocument/2006/relationships" ref="K2994" r:id="rId8661"/>
    <hyperlink xmlns:r="http://schemas.openxmlformats.org/officeDocument/2006/relationships" ref="I2995" r:id="rId8662"/>
    <hyperlink xmlns:r="http://schemas.openxmlformats.org/officeDocument/2006/relationships" ref="J2995" r:id="rId8663"/>
    <hyperlink xmlns:r="http://schemas.openxmlformats.org/officeDocument/2006/relationships" ref="K2995" r:id="rId8664"/>
    <hyperlink xmlns:r="http://schemas.openxmlformats.org/officeDocument/2006/relationships" ref="I2996" r:id="rId8665"/>
    <hyperlink xmlns:r="http://schemas.openxmlformats.org/officeDocument/2006/relationships" ref="J2996" r:id="rId8666"/>
    <hyperlink xmlns:r="http://schemas.openxmlformats.org/officeDocument/2006/relationships" ref="K2996" r:id="rId8667"/>
    <hyperlink xmlns:r="http://schemas.openxmlformats.org/officeDocument/2006/relationships" ref="I2997" r:id="rId8668"/>
    <hyperlink xmlns:r="http://schemas.openxmlformats.org/officeDocument/2006/relationships" ref="J2997" r:id="rId8669"/>
    <hyperlink xmlns:r="http://schemas.openxmlformats.org/officeDocument/2006/relationships" ref="K2997" r:id="rId8670"/>
    <hyperlink xmlns:r="http://schemas.openxmlformats.org/officeDocument/2006/relationships" ref="I2998" r:id="rId8671"/>
    <hyperlink xmlns:r="http://schemas.openxmlformats.org/officeDocument/2006/relationships" ref="J2998" r:id="rId8672"/>
    <hyperlink xmlns:r="http://schemas.openxmlformats.org/officeDocument/2006/relationships" ref="K2998" r:id="rId8673"/>
    <hyperlink xmlns:r="http://schemas.openxmlformats.org/officeDocument/2006/relationships" ref="I2999" r:id="rId8674"/>
    <hyperlink xmlns:r="http://schemas.openxmlformats.org/officeDocument/2006/relationships" ref="J2999" r:id="rId8675"/>
    <hyperlink xmlns:r="http://schemas.openxmlformats.org/officeDocument/2006/relationships" ref="K2999" r:id="rId8676"/>
    <hyperlink xmlns:r="http://schemas.openxmlformats.org/officeDocument/2006/relationships" ref="I3000" r:id="rId8677"/>
    <hyperlink xmlns:r="http://schemas.openxmlformats.org/officeDocument/2006/relationships" ref="J3000" r:id="rId8678"/>
    <hyperlink xmlns:r="http://schemas.openxmlformats.org/officeDocument/2006/relationships" ref="K3000" r:id="rId8679"/>
    <hyperlink xmlns:r="http://schemas.openxmlformats.org/officeDocument/2006/relationships" ref="I3001" r:id="rId8680"/>
    <hyperlink xmlns:r="http://schemas.openxmlformats.org/officeDocument/2006/relationships" ref="J3001" r:id="rId8681"/>
    <hyperlink xmlns:r="http://schemas.openxmlformats.org/officeDocument/2006/relationships" ref="K3001" r:id="rId8682"/>
    <hyperlink xmlns:r="http://schemas.openxmlformats.org/officeDocument/2006/relationships" ref="I3002" r:id="rId8683"/>
    <hyperlink xmlns:r="http://schemas.openxmlformats.org/officeDocument/2006/relationships" ref="J3002" r:id="rId8684"/>
    <hyperlink xmlns:r="http://schemas.openxmlformats.org/officeDocument/2006/relationships" ref="K3002" r:id="rId8685"/>
    <hyperlink xmlns:r="http://schemas.openxmlformats.org/officeDocument/2006/relationships" ref="I3003" r:id="rId8686"/>
    <hyperlink xmlns:r="http://schemas.openxmlformats.org/officeDocument/2006/relationships" ref="J3003" r:id="rId8687"/>
    <hyperlink xmlns:r="http://schemas.openxmlformats.org/officeDocument/2006/relationships" ref="K3003" r:id="rId8688"/>
    <hyperlink xmlns:r="http://schemas.openxmlformats.org/officeDocument/2006/relationships" ref="I3004" r:id="rId8689"/>
    <hyperlink xmlns:r="http://schemas.openxmlformats.org/officeDocument/2006/relationships" ref="J3004" r:id="rId8690"/>
    <hyperlink xmlns:r="http://schemas.openxmlformats.org/officeDocument/2006/relationships" ref="K3004" r:id="rId8691"/>
    <hyperlink xmlns:r="http://schemas.openxmlformats.org/officeDocument/2006/relationships" ref="I3005" r:id="rId8692"/>
    <hyperlink xmlns:r="http://schemas.openxmlformats.org/officeDocument/2006/relationships" ref="J3005" r:id="rId8693"/>
    <hyperlink xmlns:r="http://schemas.openxmlformats.org/officeDocument/2006/relationships" ref="K3005" r:id="rId8694"/>
    <hyperlink xmlns:r="http://schemas.openxmlformats.org/officeDocument/2006/relationships" ref="I3006" r:id="rId8695"/>
    <hyperlink xmlns:r="http://schemas.openxmlformats.org/officeDocument/2006/relationships" ref="J3006" r:id="rId8696"/>
    <hyperlink xmlns:r="http://schemas.openxmlformats.org/officeDocument/2006/relationships" ref="K3006" r:id="rId8697"/>
    <hyperlink xmlns:r="http://schemas.openxmlformats.org/officeDocument/2006/relationships" ref="I3007" r:id="rId8698"/>
    <hyperlink xmlns:r="http://schemas.openxmlformats.org/officeDocument/2006/relationships" ref="J3007" r:id="rId8699"/>
    <hyperlink xmlns:r="http://schemas.openxmlformats.org/officeDocument/2006/relationships" ref="K3007" r:id="rId8700"/>
    <hyperlink xmlns:r="http://schemas.openxmlformats.org/officeDocument/2006/relationships" ref="I3008" r:id="rId8701"/>
    <hyperlink xmlns:r="http://schemas.openxmlformats.org/officeDocument/2006/relationships" ref="J3008" r:id="rId8702"/>
    <hyperlink xmlns:r="http://schemas.openxmlformats.org/officeDocument/2006/relationships" ref="K3008" r:id="rId8703"/>
    <hyperlink xmlns:r="http://schemas.openxmlformats.org/officeDocument/2006/relationships" ref="I3009" r:id="rId8704"/>
    <hyperlink xmlns:r="http://schemas.openxmlformats.org/officeDocument/2006/relationships" ref="J3009" r:id="rId8705"/>
    <hyperlink xmlns:r="http://schemas.openxmlformats.org/officeDocument/2006/relationships" ref="K3009" r:id="rId8706"/>
    <hyperlink xmlns:r="http://schemas.openxmlformats.org/officeDocument/2006/relationships" ref="I3010" r:id="rId8707"/>
    <hyperlink xmlns:r="http://schemas.openxmlformats.org/officeDocument/2006/relationships" ref="J3010" r:id="rId8708"/>
    <hyperlink xmlns:r="http://schemas.openxmlformats.org/officeDocument/2006/relationships" ref="K3010" r:id="rId8709"/>
    <hyperlink xmlns:r="http://schemas.openxmlformats.org/officeDocument/2006/relationships" ref="I3011" r:id="rId8710"/>
    <hyperlink xmlns:r="http://schemas.openxmlformats.org/officeDocument/2006/relationships" ref="J3011" r:id="rId8711"/>
    <hyperlink xmlns:r="http://schemas.openxmlformats.org/officeDocument/2006/relationships" ref="K3011" r:id="rId8712"/>
    <hyperlink xmlns:r="http://schemas.openxmlformats.org/officeDocument/2006/relationships" ref="I3012" r:id="rId8713"/>
    <hyperlink xmlns:r="http://schemas.openxmlformats.org/officeDocument/2006/relationships" ref="J3012" r:id="rId8714"/>
    <hyperlink xmlns:r="http://schemas.openxmlformats.org/officeDocument/2006/relationships" ref="K3012" r:id="rId8715"/>
    <hyperlink xmlns:r="http://schemas.openxmlformats.org/officeDocument/2006/relationships" ref="I3013" r:id="rId8716"/>
    <hyperlink xmlns:r="http://schemas.openxmlformats.org/officeDocument/2006/relationships" ref="J3013" r:id="rId8717"/>
    <hyperlink xmlns:r="http://schemas.openxmlformats.org/officeDocument/2006/relationships" ref="K3013" r:id="rId8718"/>
    <hyperlink xmlns:r="http://schemas.openxmlformats.org/officeDocument/2006/relationships" ref="I3014" r:id="rId8719"/>
    <hyperlink xmlns:r="http://schemas.openxmlformats.org/officeDocument/2006/relationships" ref="J3014" r:id="rId8720"/>
    <hyperlink xmlns:r="http://schemas.openxmlformats.org/officeDocument/2006/relationships" ref="K3014" r:id="rId8721"/>
    <hyperlink xmlns:r="http://schemas.openxmlformats.org/officeDocument/2006/relationships" ref="I3015" r:id="rId8722"/>
    <hyperlink xmlns:r="http://schemas.openxmlformats.org/officeDocument/2006/relationships" ref="J3015" r:id="rId8723"/>
    <hyperlink xmlns:r="http://schemas.openxmlformats.org/officeDocument/2006/relationships" ref="K3015" r:id="rId8724"/>
    <hyperlink xmlns:r="http://schemas.openxmlformats.org/officeDocument/2006/relationships" ref="I3016" r:id="rId8725"/>
    <hyperlink xmlns:r="http://schemas.openxmlformats.org/officeDocument/2006/relationships" ref="J3016" r:id="rId8726"/>
    <hyperlink xmlns:r="http://schemas.openxmlformats.org/officeDocument/2006/relationships" ref="K3016" r:id="rId8727"/>
    <hyperlink xmlns:r="http://schemas.openxmlformats.org/officeDocument/2006/relationships" ref="I3017" r:id="rId8728"/>
    <hyperlink xmlns:r="http://schemas.openxmlformats.org/officeDocument/2006/relationships" ref="J3017" r:id="rId8729"/>
    <hyperlink xmlns:r="http://schemas.openxmlformats.org/officeDocument/2006/relationships" ref="K3017" r:id="rId8730"/>
    <hyperlink xmlns:r="http://schemas.openxmlformats.org/officeDocument/2006/relationships" ref="I3018" r:id="rId8731"/>
    <hyperlink xmlns:r="http://schemas.openxmlformats.org/officeDocument/2006/relationships" ref="J3018" r:id="rId8732"/>
    <hyperlink xmlns:r="http://schemas.openxmlformats.org/officeDocument/2006/relationships" ref="K3018" r:id="rId8733"/>
    <hyperlink xmlns:r="http://schemas.openxmlformats.org/officeDocument/2006/relationships" ref="I3019" r:id="rId8734"/>
    <hyperlink xmlns:r="http://schemas.openxmlformats.org/officeDocument/2006/relationships" ref="J3019" r:id="rId8735"/>
    <hyperlink xmlns:r="http://schemas.openxmlformats.org/officeDocument/2006/relationships" ref="K3019" r:id="rId8736"/>
    <hyperlink xmlns:r="http://schemas.openxmlformats.org/officeDocument/2006/relationships" ref="I3020" r:id="rId8737"/>
    <hyperlink xmlns:r="http://schemas.openxmlformats.org/officeDocument/2006/relationships" ref="J3020" r:id="rId8738"/>
    <hyperlink xmlns:r="http://schemas.openxmlformats.org/officeDocument/2006/relationships" ref="K3020" r:id="rId8739"/>
    <hyperlink xmlns:r="http://schemas.openxmlformats.org/officeDocument/2006/relationships" ref="I3021" r:id="rId8740"/>
    <hyperlink xmlns:r="http://schemas.openxmlformats.org/officeDocument/2006/relationships" ref="J3021" r:id="rId8741"/>
    <hyperlink xmlns:r="http://schemas.openxmlformats.org/officeDocument/2006/relationships" ref="K3021" r:id="rId8742"/>
    <hyperlink xmlns:r="http://schemas.openxmlformats.org/officeDocument/2006/relationships" ref="I3022" r:id="rId8743"/>
    <hyperlink xmlns:r="http://schemas.openxmlformats.org/officeDocument/2006/relationships" ref="J3022" r:id="rId8744"/>
    <hyperlink xmlns:r="http://schemas.openxmlformats.org/officeDocument/2006/relationships" ref="K3022" r:id="rId8745"/>
    <hyperlink xmlns:r="http://schemas.openxmlformats.org/officeDocument/2006/relationships" ref="I3023" r:id="rId8746"/>
    <hyperlink xmlns:r="http://schemas.openxmlformats.org/officeDocument/2006/relationships" ref="J3023" r:id="rId8747"/>
    <hyperlink xmlns:r="http://schemas.openxmlformats.org/officeDocument/2006/relationships" ref="K3023" r:id="rId8748"/>
    <hyperlink xmlns:r="http://schemas.openxmlformats.org/officeDocument/2006/relationships" ref="I3024" r:id="rId8749"/>
    <hyperlink xmlns:r="http://schemas.openxmlformats.org/officeDocument/2006/relationships" ref="J3024" r:id="rId8750"/>
    <hyperlink xmlns:r="http://schemas.openxmlformats.org/officeDocument/2006/relationships" ref="K3024" r:id="rId8751"/>
    <hyperlink xmlns:r="http://schemas.openxmlformats.org/officeDocument/2006/relationships" ref="I3025" r:id="rId8752"/>
    <hyperlink xmlns:r="http://schemas.openxmlformats.org/officeDocument/2006/relationships" ref="J3025" r:id="rId8753"/>
    <hyperlink xmlns:r="http://schemas.openxmlformats.org/officeDocument/2006/relationships" ref="K3025" r:id="rId8754"/>
    <hyperlink xmlns:r="http://schemas.openxmlformats.org/officeDocument/2006/relationships" ref="I3026" r:id="rId8755"/>
    <hyperlink xmlns:r="http://schemas.openxmlformats.org/officeDocument/2006/relationships" ref="J3026" r:id="rId8756"/>
    <hyperlink xmlns:r="http://schemas.openxmlformats.org/officeDocument/2006/relationships" ref="K3026" r:id="rId8757"/>
    <hyperlink xmlns:r="http://schemas.openxmlformats.org/officeDocument/2006/relationships" ref="I3027" r:id="rId8758"/>
    <hyperlink xmlns:r="http://schemas.openxmlformats.org/officeDocument/2006/relationships" ref="J3027" r:id="rId8759"/>
    <hyperlink xmlns:r="http://schemas.openxmlformats.org/officeDocument/2006/relationships" ref="K3027" r:id="rId8760"/>
    <hyperlink xmlns:r="http://schemas.openxmlformats.org/officeDocument/2006/relationships" ref="I3028" r:id="rId8761"/>
    <hyperlink xmlns:r="http://schemas.openxmlformats.org/officeDocument/2006/relationships" ref="J3028" r:id="rId8762"/>
    <hyperlink xmlns:r="http://schemas.openxmlformats.org/officeDocument/2006/relationships" ref="K3028" r:id="rId8763"/>
    <hyperlink xmlns:r="http://schemas.openxmlformats.org/officeDocument/2006/relationships" ref="I3029" r:id="rId8764"/>
    <hyperlink xmlns:r="http://schemas.openxmlformats.org/officeDocument/2006/relationships" ref="J3029" r:id="rId8765"/>
    <hyperlink xmlns:r="http://schemas.openxmlformats.org/officeDocument/2006/relationships" ref="K3029" r:id="rId8766"/>
    <hyperlink xmlns:r="http://schemas.openxmlformats.org/officeDocument/2006/relationships" ref="I3030" r:id="rId8767"/>
    <hyperlink xmlns:r="http://schemas.openxmlformats.org/officeDocument/2006/relationships" ref="J3030" r:id="rId8768"/>
    <hyperlink xmlns:r="http://schemas.openxmlformats.org/officeDocument/2006/relationships" ref="K3030" r:id="rId8769"/>
    <hyperlink xmlns:r="http://schemas.openxmlformats.org/officeDocument/2006/relationships" ref="I3031" r:id="rId8770"/>
    <hyperlink xmlns:r="http://schemas.openxmlformats.org/officeDocument/2006/relationships" ref="J3031" r:id="rId8771"/>
    <hyperlink xmlns:r="http://schemas.openxmlformats.org/officeDocument/2006/relationships" ref="K3031" r:id="rId8772"/>
    <hyperlink xmlns:r="http://schemas.openxmlformats.org/officeDocument/2006/relationships" ref="I3032" r:id="rId8773"/>
    <hyperlink xmlns:r="http://schemas.openxmlformats.org/officeDocument/2006/relationships" ref="J3032" r:id="rId8774"/>
    <hyperlink xmlns:r="http://schemas.openxmlformats.org/officeDocument/2006/relationships" ref="K3032" r:id="rId8775"/>
    <hyperlink xmlns:r="http://schemas.openxmlformats.org/officeDocument/2006/relationships" ref="I3033" r:id="rId8776"/>
    <hyperlink xmlns:r="http://schemas.openxmlformats.org/officeDocument/2006/relationships" ref="J3033" r:id="rId8777"/>
    <hyperlink xmlns:r="http://schemas.openxmlformats.org/officeDocument/2006/relationships" ref="K3033" r:id="rId8778"/>
    <hyperlink xmlns:r="http://schemas.openxmlformats.org/officeDocument/2006/relationships" ref="I3034" r:id="rId8779"/>
    <hyperlink xmlns:r="http://schemas.openxmlformats.org/officeDocument/2006/relationships" ref="J3034" r:id="rId8780"/>
    <hyperlink xmlns:r="http://schemas.openxmlformats.org/officeDocument/2006/relationships" ref="K3034" r:id="rId8781"/>
    <hyperlink xmlns:r="http://schemas.openxmlformats.org/officeDocument/2006/relationships" ref="I3035" r:id="rId8782"/>
    <hyperlink xmlns:r="http://schemas.openxmlformats.org/officeDocument/2006/relationships" ref="J3035" r:id="rId8783"/>
    <hyperlink xmlns:r="http://schemas.openxmlformats.org/officeDocument/2006/relationships" ref="K3035" r:id="rId8784"/>
    <hyperlink xmlns:r="http://schemas.openxmlformats.org/officeDocument/2006/relationships" ref="I3036" r:id="rId8785"/>
    <hyperlink xmlns:r="http://schemas.openxmlformats.org/officeDocument/2006/relationships" ref="J3036" r:id="rId8786"/>
    <hyperlink xmlns:r="http://schemas.openxmlformats.org/officeDocument/2006/relationships" ref="K3036" r:id="rId8787"/>
    <hyperlink xmlns:r="http://schemas.openxmlformats.org/officeDocument/2006/relationships" ref="I3037" r:id="rId8788"/>
    <hyperlink xmlns:r="http://schemas.openxmlformats.org/officeDocument/2006/relationships" ref="J3037" r:id="rId8789"/>
    <hyperlink xmlns:r="http://schemas.openxmlformats.org/officeDocument/2006/relationships" ref="K3037" r:id="rId8790"/>
    <hyperlink xmlns:r="http://schemas.openxmlformats.org/officeDocument/2006/relationships" ref="I3038" r:id="rId8791"/>
    <hyperlink xmlns:r="http://schemas.openxmlformats.org/officeDocument/2006/relationships" ref="J3038" r:id="rId8792"/>
    <hyperlink xmlns:r="http://schemas.openxmlformats.org/officeDocument/2006/relationships" ref="K3038" r:id="rId8793"/>
    <hyperlink xmlns:r="http://schemas.openxmlformats.org/officeDocument/2006/relationships" ref="I3039" r:id="rId8794"/>
    <hyperlink xmlns:r="http://schemas.openxmlformats.org/officeDocument/2006/relationships" ref="J3039" r:id="rId8795"/>
    <hyperlink xmlns:r="http://schemas.openxmlformats.org/officeDocument/2006/relationships" ref="K3039" r:id="rId8796"/>
    <hyperlink xmlns:r="http://schemas.openxmlformats.org/officeDocument/2006/relationships" ref="I3040" r:id="rId8797"/>
    <hyperlink xmlns:r="http://schemas.openxmlformats.org/officeDocument/2006/relationships" ref="J3040" r:id="rId8798"/>
    <hyperlink xmlns:r="http://schemas.openxmlformats.org/officeDocument/2006/relationships" ref="K3040" r:id="rId8799"/>
    <hyperlink xmlns:r="http://schemas.openxmlformats.org/officeDocument/2006/relationships" ref="I3041" r:id="rId8800"/>
    <hyperlink xmlns:r="http://schemas.openxmlformats.org/officeDocument/2006/relationships" ref="J3041" r:id="rId8801"/>
    <hyperlink xmlns:r="http://schemas.openxmlformats.org/officeDocument/2006/relationships" ref="K3041" r:id="rId8802"/>
    <hyperlink xmlns:r="http://schemas.openxmlformats.org/officeDocument/2006/relationships" ref="I3042" r:id="rId8803"/>
    <hyperlink xmlns:r="http://schemas.openxmlformats.org/officeDocument/2006/relationships" ref="J3042" r:id="rId8804"/>
    <hyperlink xmlns:r="http://schemas.openxmlformats.org/officeDocument/2006/relationships" ref="K3042" r:id="rId8805"/>
    <hyperlink xmlns:r="http://schemas.openxmlformats.org/officeDocument/2006/relationships" ref="I3043" r:id="rId8806"/>
    <hyperlink xmlns:r="http://schemas.openxmlformats.org/officeDocument/2006/relationships" ref="J3043" r:id="rId8807"/>
    <hyperlink xmlns:r="http://schemas.openxmlformats.org/officeDocument/2006/relationships" ref="K3043" r:id="rId8808"/>
    <hyperlink xmlns:r="http://schemas.openxmlformats.org/officeDocument/2006/relationships" ref="I3044" r:id="rId8809"/>
    <hyperlink xmlns:r="http://schemas.openxmlformats.org/officeDocument/2006/relationships" ref="J3044" r:id="rId8810"/>
    <hyperlink xmlns:r="http://schemas.openxmlformats.org/officeDocument/2006/relationships" ref="K3044" r:id="rId8811"/>
    <hyperlink xmlns:r="http://schemas.openxmlformats.org/officeDocument/2006/relationships" ref="I3045" r:id="rId8812"/>
    <hyperlink xmlns:r="http://schemas.openxmlformats.org/officeDocument/2006/relationships" ref="J3045" r:id="rId8813"/>
    <hyperlink xmlns:r="http://schemas.openxmlformats.org/officeDocument/2006/relationships" ref="K3045" r:id="rId8814"/>
    <hyperlink xmlns:r="http://schemas.openxmlformats.org/officeDocument/2006/relationships" ref="I3046" r:id="rId8815"/>
    <hyperlink xmlns:r="http://schemas.openxmlformats.org/officeDocument/2006/relationships" ref="J3046" r:id="rId8816"/>
    <hyperlink xmlns:r="http://schemas.openxmlformats.org/officeDocument/2006/relationships" ref="K3046" r:id="rId8817"/>
    <hyperlink xmlns:r="http://schemas.openxmlformats.org/officeDocument/2006/relationships" ref="I3047" r:id="rId8818"/>
    <hyperlink xmlns:r="http://schemas.openxmlformats.org/officeDocument/2006/relationships" ref="J3047" r:id="rId8819"/>
    <hyperlink xmlns:r="http://schemas.openxmlformats.org/officeDocument/2006/relationships" ref="K3047" r:id="rId8820"/>
    <hyperlink xmlns:r="http://schemas.openxmlformats.org/officeDocument/2006/relationships" ref="I3048" r:id="rId8821"/>
    <hyperlink xmlns:r="http://schemas.openxmlformats.org/officeDocument/2006/relationships" ref="J3048" r:id="rId8822"/>
    <hyperlink xmlns:r="http://schemas.openxmlformats.org/officeDocument/2006/relationships" ref="K3048" r:id="rId8823"/>
    <hyperlink xmlns:r="http://schemas.openxmlformats.org/officeDocument/2006/relationships" ref="I3049" r:id="rId8824"/>
    <hyperlink xmlns:r="http://schemas.openxmlformats.org/officeDocument/2006/relationships" ref="J3049" r:id="rId8825"/>
    <hyperlink xmlns:r="http://schemas.openxmlformats.org/officeDocument/2006/relationships" ref="K3049" r:id="rId8826"/>
    <hyperlink xmlns:r="http://schemas.openxmlformats.org/officeDocument/2006/relationships" ref="I3050" r:id="rId8827"/>
    <hyperlink xmlns:r="http://schemas.openxmlformats.org/officeDocument/2006/relationships" ref="J3050" r:id="rId8828"/>
    <hyperlink xmlns:r="http://schemas.openxmlformats.org/officeDocument/2006/relationships" ref="K3050" r:id="rId8829"/>
    <hyperlink xmlns:r="http://schemas.openxmlformats.org/officeDocument/2006/relationships" ref="I3051" r:id="rId8830"/>
    <hyperlink xmlns:r="http://schemas.openxmlformats.org/officeDocument/2006/relationships" ref="J3051" r:id="rId8831"/>
    <hyperlink xmlns:r="http://schemas.openxmlformats.org/officeDocument/2006/relationships" ref="K3051" r:id="rId8832"/>
    <hyperlink xmlns:r="http://schemas.openxmlformats.org/officeDocument/2006/relationships" ref="I3052" r:id="rId8833"/>
    <hyperlink xmlns:r="http://schemas.openxmlformats.org/officeDocument/2006/relationships" ref="J3052" r:id="rId8834"/>
    <hyperlink xmlns:r="http://schemas.openxmlformats.org/officeDocument/2006/relationships" ref="K3052" r:id="rId8835"/>
    <hyperlink xmlns:r="http://schemas.openxmlformats.org/officeDocument/2006/relationships" ref="I3053" r:id="rId8836"/>
    <hyperlink xmlns:r="http://schemas.openxmlformats.org/officeDocument/2006/relationships" ref="J3053" r:id="rId8837"/>
    <hyperlink xmlns:r="http://schemas.openxmlformats.org/officeDocument/2006/relationships" ref="K3053" r:id="rId8838"/>
    <hyperlink xmlns:r="http://schemas.openxmlformats.org/officeDocument/2006/relationships" ref="I3054" r:id="rId8839"/>
    <hyperlink xmlns:r="http://schemas.openxmlformats.org/officeDocument/2006/relationships" ref="J3054" r:id="rId8840"/>
    <hyperlink xmlns:r="http://schemas.openxmlformats.org/officeDocument/2006/relationships" ref="K3054" r:id="rId8841"/>
    <hyperlink xmlns:r="http://schemas.openxmlformats.org/officeDocument/2006/relationships" ref="I3055" r:id="rId8842"/>
    <hyperlink xmlns:r="http://schemas.openxmlformats.org/officeDocument/2006/relationships" ref="J3055" r:id="rId8843"/>
    <hyperlink xmlns:r="http://schemas.openxmlformats.org/officeDocument/2006/relationships" ref="K3055" r:id="rId8844"/>
    <hyperlink xmlns:r="http://schemas.openxmlformats.org/officeDocument/2006/relationships" ref="I3056" r:id="rId8845"/>
    <hyperlink xmlns:r="http://schemas.openxmlformats.org/officeDocument/2006/relationships" ref="J3056" r:id="rId8846"/>
    <hyperlink xmlns:r="http://schemas.openxmlformats.org/officeDocument/2006/relationships" ref="K3056" r:id="rId8847"/>
    <hyperlink xmlns:r="http://schemas.openxmlformats.org/officeDocument/2006/relationships" ref="I3057" r:id="rId8848"/>
    <hyperlink xmlns:r="http://schemas.openxmlformats.org/officeDocument/2006/relationships" ref="J3057" r:id="rId8849"/>
    <hyperlink xmlns:r="http://schemas.openxmlformats.org/officeDocument/2006/relationships" ref="K3057" r:id="rId8850"/>
    <hyperlink xmlns:r="http://schemas.openxmlformats.org/officeDocument/2006/relationships" ref="I3058" r:id="rId8851"/>
    <hyperlink xmlns:r="http://schemas.openxmlformats.org/officeDocument/2006/relationships" ref="J3058" r:id="rId8852"/>
    <hyperlink xmlns:r="http://schemas.openxmlformats.org/officeDocument/2006/relationships" ref="K3058" r:id="rId8853"/>
    <hyperlink xmlns:r="http://schemas.openxmlformats.org/officeDocument/2006/relationships" ref="I3059" r:id="rId8854"/>
    <hyperlink xmlns:r="http://schemas.openxmlformats.org/officeDocument/2006/relationships" ref="J3059" r:id="rId8855"/>
    <hyperlink xmlns:r="http://schemas.openxmlformats.org/officeDocument/2006/relationships" ref="K3059" r:id="rId8856"/>
    <hyperlink xmlns:r="http://schemas.openxmlformats.org/officeDocument/2006/relationships" ref="I3060" r:id="rId8857"/>
    <hyperlink xmlns:r="http://schemas.openxmlformats.org/officeDocument/2006/relationships" ref="J3060" r:id="rId8858"/>
    <hyperlink xmlns:r="http://schemas.openxmlformats.org/officeDocument/2006/relationships" ref="K3060" r:id="rId8859"/>
    <hyperlink xmlns:r="http://schemas.openxmlformats.org/officeDocument/2006/relationships" ref="I3061" r:id="rId8860"/>
    <hyperlink xmlns:r="http://schemas.openxmlformats.org/officeDocument/2006/relationships" ref="J3061" r:id="rId8861"/>
    <hyperlink xmlns:r="http://schemas.openxmlformats.org/officeDocument/2006/relationships" ref="K3061" r:id="rId8862"/>
    <hyperlink xmlns:r="http://schemas.openxmlformats.org/officeDocument/2006/relationships" ref="I3062" r:id="rId8863"/>
    <hyperlink xmlns:r="http://schemas.openxmlformats.org/officeDocument/2006/relationships" ref="J3062" r:id="rId8864"/>
    <hyperlink xmlns:r="http://schemas.openxmlformats.org/officeDocument/2006/relationships" ref="K3062" r:id="rId8865"/>
    <hyperlink xmlns:r="http://schemas.openxmlformats.org/officeDocument/2006/relationships" ref="I3063" r:id="rId8866"/>
    <hyperlink xmlns:r="http://schemas.openxmlformats.org/officeDocument/2006/relationships" ref="J3063" r:id="rId8867"/>
    <hyperlink xmlns:r="http://schemas.openxmlformats.org/officeDocument/2006/relationships" ref="K3063" r:id="rId8868"/>
    <hyperlink xmlns:r="http://schemas.openxmlformats.org/officeDocument/2006/relationships" ref="I3064" r:id="rId8869"/>
    <hyperlink xmlns:r="http://schemas.openxmlformats.org/officeDocument/2006/relationships" ref="J3064" r:id="rId8870"/>
    <hyperlink xmlns:r="http://schemas.openxmlformats.org/officeDocument/2006/relationships" ref="K3064" r:id="rId8871"/>
    <hyperlink xmlns:r="http://schemas.openxmlformats.org/officeDocument/2006/relationships" ref="I3065" r:id="rId8872"/>
    <hyperlink xmlns:r="http://schemas.openxmlformats.org/officeDocument/2006/relationships" ref="J3065" r:id="rId8873"/>
    <hyperlink xmlns:r="http://schemas.openxmlformats.org/officeDocument/2006/relationships" ref="K3065" r:id="rId8874"/>
    <hyperlink xmlns:r="http://schemas.openxmlformats.org/officeDocument/2006/relationships" ref="I3066" r:id="rId8875"/>
    <hyperlink xmlns:r="http://schemas.openxmlformats.org/officeDocument/2006/relationships" ref="J3066" r:id="rId8876"/>
    <hyperlink xmlns:r="http://schemas.openxmlformats.org/officeDocument/2006/relationships" ref="K3066" r:id="rId8877"/>
    <hyperlink xmlns:r="http://schemas.openxmlformats.org/officeDocument/2006/relationships" ref="I3067" r:id="rId8878"/>
    <hyperlink xmlns:r="http://schemas.openxmlformats.org/officeDocument/2006/relationships" ref="J3067" r:id="rId8879"/>
    <hyperlink xmlns:r="http://schemas.openxmlformats.org/officeDocument/2006/relationships" ref="K3067" r:id="rId8880"/>
    <hyperlink xmlns:r="http://schemas.openxmlformats.org/officeDocument/2006/relationships" ref="I3068" r:id="rId8881"/>
    <hyperlink xmlns:r="http://schemas.openxmlformats.org/officeDocument/2006/relationships" ref="J3068" r:id="rId8882"/>
    <hyperlink xmlns:r="http://schemas.openxmlformats.org/officeDocument/2006/relationships" ref="K3068" r:id="rId8883"/>
    <hyperlink xmlns:r="http://schemas.openxmlformats.org/officeDocument/2006/relationships" ref="I3069" r:id="rId8884"/>
    <hyperlink xmlns:r="http://schemas.openxmlformats.org/officeDocument/2006/relationships" ref="J3069" r:id="rId8885"/>
    <hyperlink xmlns:r="http://schemas.openxmlformats.org/officeDocument/2006/relationships" ref="K3069" r:id="rId8886"/>
    <hyperlink xmlns:r="http://schemas.openxmlformats.org/officeDocument/2006/relationships" ref="I3070" r:id="rId8887"/>
    <hyperlink xmlns:r="http://schemas.openxmlformats.org/officeDocument/2006/relationships" ref="J3070" r:id="rId8888"/>
    <hyperlink xmlns:r="http://schemas.openxmlformats.org/officeDocument/2006/relationships" ref="K3070" r:id="rId8889"/>
    <hyperlink xmlns:r="http://schemas.openxmlformats.org/officeDocument/2006/relationships" ref="I3071" r:id="rId8890"/>
    <hyperlink xmlns:r="http://schemas.openxmlformats.org/officeDocument/2006/relationships" ref="J3071" r:id="rId8891"/>
    <hyperlink xmlns:r="http://schemas.openxmlformats.org/officeDocument/2006/relationships" ref="K3071" r:id="rId8892"/>
    <hyperlink xmlns:r="http://schemas.openxmlformats.org/officeDocument/2006/relationships" ref="I3072" r:id="rId8893"/>
    <hyperlink xmlns:r="http://schemas.openxmlformats.org/officeDocument/2006/relationships" ref="J3072" r:id="rId8894"/>
    <hyperlink xmlns:r="http://schemas.openxmlformats.org/officeDocument/2006/relationships" ref="K3072" r:id="rId8895"/>
    <hyperlink xmlns:r="http://schemas.openxmlformats.org/officeDocument/2006/relationships" ref="I3073" r:id="rId8896"/>
    <hyperlink xmlns:r="http://schemas.openxmlformats.org/officeDocument/2006/relationships" ref="J3073" r:id="rId8897"/>
    <hyperlink xmlns:r="http://schemas.openxmlformats.org/officeDocument/2006/relationships" ref="K3073" r:id="rId8898"/>
    <hyperlink xmlns:r="http://schemas.openxmlformats.org/officeDocument/2006/relationships" ref="I3074" r:id="rId8899"/>
    <hyperlink xmlns:r="http://schemas.openxmlformats.org/officeDocument/2006/relationships" ref="J3074" r:id="rId8900"/>
    <hyperlink xmlns:r="http://schemas.openxmlformats.org/officeDocument/2006/relationships" ref="K3074" r:id="rId8901"/>
    <hyperlink xmlns:r="http://schemas.openxmlformats.org/officeDocument/2006/relationships" ref="I3075" r:id="rId8902"/>
    <hyperlink xmlns:r="http://schemas.openxmlformats.org/officeDocument/2006/relationships" ref="J3075" r:id="rId8903"/>
    <hyperlink xmlns:r="http://schemas.openxmlformats.org/officeDocument/2006/relationships" ref="K3075" r:id="rId8904"/>
    <hyperlink xmlns:r="http://schemas.openxmlformats.org/officeDocument/2006/relationships" ref="I3076" r:id="rId8905"/>
    <hyperlink xmlns:r="http://schemas.openxmlformats.org/officeDocument/2006/relationships" ref="J3076" r:id="rId8906"/>
    <hyperlink xmlns:r="http://schemas.openxmlformats.org/officeDocument/2006/relationships" ref="K3076" r:id="rId8907"/>
    <hyperlink xmlns:r="http://schemas.openxmlformats.org/officeDocument/2006/relationships" ref="I3077" r:id="rId8908"/>
    <hyperlink xmlns:r="http://schemas.openxmlformats.org/officeDocument/2006/relationships" ref="J3077" r:id="rId8909"/>
    <hyperlink xmlns:r="http://schemas.openxmlformats.org/officeDocument/2006/relationships" ref="K3077" r:id="rId8910"/>
    <hyperlink xmlns:r="http://schemas.openxmlformats.org/officeDocument/2006/relationships" ref="I3078" r:id="rId8911"/>
    <hyperlink xmlns:r="http://schemas.openxmlformats.org/officeDocument/2006/relationships" ref="J3078" r:id="rId8912"/>
    <hyperlink xmlns:r="http://schemas.openxmlformats.org/officeDocument/2006/relationships" ref="K3078" r:id="rId8913"/>
    <hyperlink xmlns:r="http://schemas.openxmlformats.org/officeDocument/2006/relationships" ref="I3079" r:id="rId8914"/>
    <hyperlink xmlns:r="http://schemas.openxmlformats.org/officeDocument/2006/relationships" ref="J3079" r:id="rId8915"/>
    <hyperlink xmlns:r="http://schemas.openxmlformats.org/officeDocument/2006/relationships" ref="K3079" r:id="rId8916"/>
    <hyperlink xmlns:r="http://schemas.openxmlformats.org/officeDocument/2006/relationships" ref="I3080" r:id="rId8917"/>
    <hyperlink xmlns:r="http://schemas.openxmlformats.org/officeDocument/2006/relationships" ref="J3080" r:id="rId8918"/>
    <hyperlink xmlns:r="http://schemas.openxmlformats.org/officeDocument/2006/relationships" ref="K3080" r:id="rId8919"/>
    <hyperlink xmlns:r="http://schemas.openxmlformats.org/officeDocument/2006/relationships" ref="I3081" r:id="rId8920"/>
    <hyperlink xmlns:r="http://schemas.openxmlformats.org/officeDocument/2006/relationships" ref="J3081" r:id="rId8921"/>
    <hyperlink xmlns:r="http://schemas.openxmlformats.org/officeDocument/2006/relationships" ref="K3081" r:id="rId8922"/>
    <hyperlink xmlns:r="http://schemas.openxmlformats.org/officeDocument/2006/relationships" ref="I3082" r:id="rId8923"/>
    <hyperlink xmlns:r="http://schemas.openxmlformats.org/officeDocument/2006/relationships" ref="J3082" r:id="rId8924"/>
    <hyperlink xmlns:r="http://schemas.openxmlformats.org/officeDocument/2006/relationships" ref="K3082" r:id="rId8925"/>
    <hyperlink xmlns:r="http://schemas.openxmlformats.org/officeDocument/2006/relationships" ref="I3083" r:id="rId8926"/>
    <hyperlink xmlns:r="http://schemas.openxmlformats.org/officeDocument/2006/relationships" ref="J3083" r:id="rId8927"/>
    <hyperlink xmlns:r="http://schemas.openxmlformats.org/officeDocument/2006/relationships" ref="K3083" r:id="rId8928"/>
    <hyperlink xmlns:r="http://schemas.openxmlformats.org/officeDocument/2006/relationships" ref="I3084" r:id="rId8929"/>
    <hyperlink xmlns:r="http://schemas.openxmlformats.org/officeDocument/2006/relationships" ref="J3084" r:id="rId8930"/>
    <hyperlink xmlns:r="http://schemas.openxmlformats.org/officeDocument/2006/relationships" ref="K3084" r:id="rId8931"/>
    <hyperlink xmlns:r="http://schemas.openxmlformats.org/officeDocument/2006/relationships" ref="I3085" r:id="rId8932"/>
    <hyperlink xmlns:r="http://schemas.openxmlformats.org/officeDocument/2006/relationships" ref="J3085" r:id="rId8933"/>
    <hyperlink xmlns:r="http://schemas.openxmlformats.org/officeDocument/2006/relationships" ref="K3085" r:id="rId8934"/>
    <hyperlink xmlns:r="http://schemas.openxmlformats.org/officeDocument/2006/relationships" ref="I3086" r:id="rId8935"/>
    <hyperlink xmlns:r="http://schemas.openxmlformats.org/officeDocument/2006/relationships" ref="J3086" r:id="rId8936"/>
    <hyperlink xmlns:r="http://schemas.openxmlformats.org/officeDocument/2006/relationships" ref="K3086" r:id="rId8937"/>
    <hyperlink xmlns:r="http://schemas.openxmlformats.org/officeDocument/2006/relationships" ref="I3087" r:id="rId8938"/>
    <hyperlink xmlns:r="http://schemas.openxmlformats.org/officeDocument/2006/relationships" ref="J3087" r:id="rId8939"/>
    <hyperlink xmlns:r="http://schemas.openxmlformats.org/officeDocument/2006/relationships" ref="K3087" r:id="rId8940"/>
    <hyperlink xmlns:r="http://schemas.openxmlformats.org/officeDocument/2006/relationships" ref="I3088" r:id="rId8941"/>
    <hyperlink xmlns:r="http://schemas.openxmlformats.org/officeDocument/2006/relationships" ref="J3088" r:id="rId8942"/>
    <hyperlink xmlns:r="http://schemas.openxmlformats.org/officeDocument/2006/relationships" ref="K3088" r:id="rId8943"/>
    <hyperlink xmlns:r="http://schemas.openxmlformats.org/officeDocument/2006/relationships" ref="I3089" r:id="rId8944"/>
    <hyperlink xmlns:r="http://schemas.openxmlformats.org/officeDocument/2006/relationships" ref="J3089" r:id="rId8945"/>
    <hyperlink xmlns:r="http://schemas.openxmlformats.org/officeDocument/2006/relationships" ref="K3089" r:id="rId8946"/>
    <hyperlink xmlns:r="http://schemas.openxmlformats.org/officeDocument/2006/relationships" ref="I3090" r:id="rId8947"/>
    <hyperlink xmlns:r="http://schemas.openxmlformats.org/officeDocument/2006/relationships" ref="J3090" r:id="rId8948"/>
    <hyperlink xmlns:r="http://schemas.openxmlformats.org/officeDocument/2006/relationships" ref="K3090" r:id="rId8949"/>
    <hyperlink xmlns:r="http://schemas.openxmlformats.org/officeDocument/2006/relationships" ref="I3091" r:id="rId8950"/>
    <hyperlink xmlns:r="http://schemas.openxmlformats.org/officeDocument/2006/relationships" ref="J3091" r:id="rId8951"/>
    <hyperlink xmlns:r="http://schemas.openxmlformats.org/officeDocument/2006/relationships" ref="K3091" r:id="rId8952"/>
    <hyperlink xmlns:r="http://schemas.openxmlformats.org/officeDocument/2006/relationships" ref="I3092" r:id="rId8953"/>
    <hyperlink xmlns:r="http://schemas.openxmlformats.org/officeDocument/2006/relationships" ref="J3092" r:id="rId8954"/>
    <hyperlink xmlns:r="http://schemas.openxmlformats.org/officeDocument/2006/relationships" ref="K3092" r:id="rId8955"/>
    <hyperlink xmlns:r="http://schemas.openxmlformats.org/officeDocument/2006/relationships" ref="I3093" r:id="rId8956"/>
    <hyperlink xmlns:r="http://schemas.openxmlformats.org/officeDocument/2006/relationships" ref="J3093" r:id="rId8957"/>
    <hyperlink xmlns:r="http://schemas.openxmlformats.org/officeDocument/2006/relationships" ref="K3093" r:id="rId8958"/>
    <hyperlink xmlns:r="http://schemas.openxmlformats.org/officeDocument/2006/relationships" ref="I3094" r:id="rId8959"/>
    <hyperlink xmlns:r="http://schemas.openxmlformats.org/officeDocument/2006/relationships" ref="J3094" r:id="rId8960"/>
    <hyperlink xmlns:r="http://schemas.openxmlformats.org/officeDocument/2006/relationships" ref="K3094" r:id="rId8961"/>
    <hyperlink xmlns:r="http://schemas.openxmlformats.org/officeDocument/2006/relationships" ref="I3095" r:id="rId8962"/>
    <hyperlink xmlns:r="http://schemas.openxmlformats.org/officeDocument/2006/relationships" ref="J3095" r:id="rId8963"/>
    <hyperlink xmlns:r="http://schemas.openxmlformats.org/officeDocument/2006/relationships" ref="I3096" r:id="rId8964"/>
    <hyperlink xmlns:r="http://schemas.openxmlformats.org/officeDocument/2006/relationships" ref="J3096" r:id="rId8965"/>
    <hyperlink xmlns:r="http://schemas.openxmlformats.org/officeDocument/2006/relationships" ref="I3097" r:id="rId8966"/>
    <hyperlink xmlns:r="http://schemas.openxmlformats.org/officeDocument/2006/relationships" ref="J3097" r:id="rId8967"/>
    <hyperlink xmlns:r="http://schemas.openxmlformats.org/officeDocument/2006/relationships" ref="K3097" r:id="rId8968"/>
    <hyperlink xmlns:r="http://schemas.openxmlformats.org/officeDocument/2006/relationships" ref="I3098" r:id="rId8969"/>
    <hyperlink xmlns:r="http://schemas.openxmlformats.org/officeDocument/2006/relationships" ref="J3098" r:id="rId8970"/>
    <hyperlink xmlns:r="http://schemas.openxmlformats.org/officeDocument/2006/relationships" ref="K3098" r:id="rId8971"/>
    <hyperlink xmlns:r="http://schemas.openxmlformats.org/officeDocument/2006/relationships" ref="I3099" r:id="rId8972"/>
    <hyperlink xmlns:r="http://schemas.openxmlformats.org/officeDocument/2006/relationships" ref="J3099" r:id="rId8973"/>
    <hyperlink xmlns:r="http://schemas.openxmlformats.org/officeDocument/2006/relationships" ref="K3099" r:id="rId8974"/>
    <hyperlink xmlns:r="http://schemas.openxmlformats.org/officeDocument/2006/relationships" ref="I3100" r:id="rId8975"/>
    <hyperlink xmlns:r="http://schemas.openxmlformats.org/officeDocument/2006/relationships" ref="J3100" r:id="rId8976"/>
    <hyperlink xmlns:r="http://schemas.openxmlformats.org/officeDocument/2006/relationships" ref="K3100" r:id="rId8977"/>
    <hyperlink xmlns:r="http://schemas.openxmlformats.org/officeDocument/2006/relationships" ref="I3101" r:id="rId8978"/>
    <hyperlink xmlns:r="http://schemas.openxmlformats.org/officeDocument/2006/relationships" ref="J3101" r:id="rId8979"/>
    <hyperlink xmlns:r="http://schemas.openxmlformats.org/officeDocument/2006/relationships" ref="K3101" r:id="rId8980"/>
    <hyperlink xmlns:r="http://schemas.openxmlformats.org/officeDocument/2006/relationships" ref="I3102" r:id="rId8981"/>
    <hyperlink xmlns:r="http://schemas.openxmlformats.org/officeDocument/2006/relationships" ref="J3102" r:id="rId8982"/>
    <hyperlink xmlns:r="http://schemas.openxmlformats.org/officeDocument/2006/relationships" ref="K3102" r:id="rId8983"/>
    <hyperlink xmlns:r="http://schemas.openxmlformats.org/officeDocument/2006/relationships" ref="I3103" r:id="rId8984"/>
    <hyperlink xmlns:r="http://schemas.openxmlformats.org/officeDocument/2006/relationships" ref="J3103" r:id="rId8985"/>
    <hyperlink xmlns:r="http://schemas.openxmlformats.org/officeDocument/2006/relationships" ref="K3103" r:id="rId8986"/>
    <hyperlink xmlns:r="http://schemas.openxmlformats.org/officeDocument/2006/relationships" ref="I3104" r:id="rId8987"/>
    <hyperlink xmlns:r="http://schemas.openxmlformats.org/officeDocument/2006/relationships" ref="J3104" r:id="rId8988"/>
    <hyperlink xmlns:r="http://schemas.openxmlformats.org/officeDocument/2006/relationships" ref="K3104" r:id="rId8989"/>
    <hyperlink xmlns:r="http://schemas.openxmlformats.org/officeDocument/2006/relationships" ref="I3105" r:id="rId8990"/>
    <hyperlink xmlns:r="http://schemas.openxmlformats.org/officeDocument/2006/relationships" ref="J3105" r:id="rId8991"/>
    <hyperlink xmlns:r="http://schemas.openxmlformats.org/officeDocument/2006/relationships" ref="K3105" r:id="rId8992"/>
    <hyperlink xmlns:r="http://schemas.openxmlformats.org/officeDocument/2006/relationships" ref="I3106" r:id="rId8993"/>
    <hyperlink xmlns:r="http://schemas.openxmlformats.org/officeDocument/2006/relationships" ref="J3106" r:id="rId8994"/>
    <hyperlink xmlns:r="http://schemas.openxmlformats.org/officeDocument/2006/relationships" ref="K3106" r:id="rId8995"/>
    <hyperlink xmlns:r="http://schemas.openxmlformats.org/officeDocument/2006/relationships" ref="I3107" r:id="rId8996"/>
    <hyperlink xmlns:r="http://schemas.openxmlformats.org/officeDocument/2006/relationships" ref="J3107" r:id="rId8997"/>
    <hyperlink xmlns:r="http://schemas.openxmlformats.org/officeDocument/2006/relationships" ref="K3107" r:id="rId8998"/>
    <hyperlink xmlns:r="http://schemas.openxmlformats.org/officeDocument/2006/relationships" ref="I3108" r:id="rId8999"/>
    <hyperlink xmlns:r="http://schemas.openxmlformats.org/officeDocument/2006/relationships" ref="J3108" r:id="rId9000"/>
    <hyperlink xmlns:r="http://schemas.openxmlformats.org/officeDocument/2006/relationships" ref="K3108" r:id="rId9001"/>
    <hyperlink xmlns:r="http://schemas.openxmlformats.org/officeDocument/2006/relationships" ref="I3109" r:id="rId9002"/>
    <hyperlink xmlns:r="http://schemas.openxmlformats.org/officeDocument/2006/relationships" ref="J3109" r:id="rId9003"/>
    <hyperlink xmlns:r="http://schemas.openxmlformats.org/officeDocument/2006/relationships" ref="K3109" r:id="rId9004"/>
    <hyperlink xmlns:r="http://schemas.openxmlformats.org/officeDocument/2006/relationships" ref="I3110" r:id="rId9005"/>
    <hyperlink xmlns:r="http://schemas.openxmlformats.org/officeDocument/2006/relationships" ref="J3110" r:id="rId9006"/>
    <hyperlink xmlns:r="http://schemas.openxmlformats.org/officeDocument/2006/relationships" ref="K3110" r:id="rId9007"/>
    <hyperlink xmlns:r="http://schemas.openxmlformats.org/officeDocument/2006/relationships" ref="I3111" r:id="rId9008"/>
    <hyperlink xmlns:r="http://schemas.openxmlformats.org/officeDocument/2006/relationships" ref="J3111" r:id="rId9009"/>
    <hyperlink xmlns:r="http://schemas.openxmlformats.org/officeDocument/2006/relationships" ref="K3111" r:id="rId9010"/>
    <hyperlink xmlns:r="http://schemas.openxmlformats.org/officeDocument/2006/relationships" ref="I3112" r:id="rId9011"/>
    <hyperlink xmlns:r="http://schemas.openxmlformats.org/officeDocument/2006/relationships" ref="J3112" r:id="rId9012"/>
    <hyperlink xmlns:r="http://schemas.openxmlformats.org/officeDocument/2006/relationships" ref="K3112" r:id="rId9013"/>
    <hyperlink xmlns:r="http://schemas.openxmlformats.org/officeDocument/2006/relationships" ref="I3113" r:id="rId9014"/>
    <hyperlink xmlns:r="http://schemas.openxmlformats.org/officeDocument/2006/relationships" ref="J3113" r:id="rId9015"/>
    <hyperlink xmlns:r="http://schemas.openxmlformats.org/officeDocument/2006/relationships" ref="K3113" r:id="rId9016"/>
    <hyperlink xmlns:r="http://schemas.openxmlformats.org/officeDocument/2006/relationships" ref="I3114" r:id="rId9017"/>
    <hyperlink xmlns:r="http://schemas.openxmlformats.org/officeDocument/2006/relationships" ref="J3114" r:id="rId9018"/>
    <hyperlink xmlns:r="http://schemas.openxmlformats.org/officeDocument/2006/relationships" ref="K3114" r:id="rId9019"/>
    <hyperlink xmlns:r="http://schemas.openxmlformats.org/officeDocument/2006/relationships" ref="I3115" r:id="rId9020"/>
    <hyperlink xmlns:r="http://schemas.openxmlformats.org/officeDocument/2006/relationships" ref="J3115" r:id="rId9021"/>
    <hyperlink xmlns:r="http://schemas.openxmlformats.org/officeDocument/2006/relationships" ref="K3115" r:id="rId9022"/>
    <hyperlink xmlns:r="http://schemas.openxmlformats.org/officeDocument/2006/relationships" ref="I3116" r:id="rId9023"/>
    <hyperlink xmlns:r="http://schemas.openxmlformats.org/officeDocument/2006/relationships" ref="J3116" r:id="rId9024"/>
    <hyperlink xmlns:r="http://schemas.openxmlformats.org/officeDocument/2006/relationships" ref="K3116" r:id="rId9025"/>
    <hyperlink xmlns:r="http://schemas.openxmlformats.org/officeDocument/2006/relationships" ref="I3117" r:id="rId9026"/>
    <hyperlink xmlns:r="http://schemas.openxmlformats.org/officeDocument/2006/relationships" ref="J3117" r:id="rId9027"/>
    <hyperlink xmlns:r="http://schemas.openxmlformats.org/officeDocument/2006/relationships" ref="K3117" r:id="rId9028"/>
    <hyperlink xmlns:r="http://schemas.openxmlformats.org/officeDocument/2006/relationships" ref="I3118" r:id="rId9029"/>
    <hyperlink xmlns:r="http://schemas.openxmlformats.org/officeDocument/2006/relationships" ref="J3118" r:id="rId9030"/>
    <hyperlink xmlns:r="http://schemas.openxmlformats.org/officeDocument/2006/relationships" ref="K3118" r:id="rId9031"/>
    <hyperlink xmlns:r="http://schemas.openxmlformats.org/officeDocument/2006/relationships" ref="I3119" r:id="rId9032"/>
    <hyperlink xmlns:r="http://schemas.openxmlformats.org/officeDocument/2006/relationships" ref="J3119" r:id="rId9033"/>
    <hyperlink xmlns:r="http://schemas.openxmlformats.org/officeDocument/2006/relationships" ref="K3119" r:id="rId9034"/>
    <hyperlink xmlns:r="http://schemas.openxmlformats.org/officeDocument/2006/relationships" ref="I3120" r:id="rId9035"/>
    <hyperlink xmlns:r="http://schemas.openxmlformats.org/officeDocument/2006/relationships" ref="J3120" r:id="rId9036"/>
    <hyperlink xmlns:r="http://schemas.openxmlformats.org/officeDocument/2006/relationships" ref="K3120" r:id="rId9037"/>
    <hyperlink xmlns:r="http://schemas.openxmlformats.org/officeDocument/2006/relationships" ref="I3121" r:id="rId9038"/>
    <hyperlink xmlns:r="http://schemas.openxmlformats.org/officeDocument/2006/relationships" ref="J3121" r:id="rId9039"/>
    <hyperlink xmlns:r="http://schemas.openxmlformats.org/officeDocument/2006/relationships" ref="K3121" r:id="rId9040"/>
    <hyperlink xmlns:r="http://schemas.openxmlformats.org/officeDocument/2006/relationships" ref="I3122" r:id="rId9041"/>
    <hyperlink xmlns:r="http://schemas.openxmlformats.org/officeDocument/2006/relationships" ref="J3122" r:id="rId9042"/>
    <hyperlink xmlns:r="http://schemas.openxmlformats.org/officeDocument/2006/relationships" ref="K3122" r:id="rId9043"/>
    <hyperlink xmlns:r="http://schemas.openxmlformats.org/officeDocument/2006/relationships" ref="I3123" r:id="rId9044"/>
    <hyperlink xmlns:r="http://schemas.openxmlformats.org/officeDocument/2006/relationships" ref="J3123" r:id="rId9045"/>
    <hyperlink xmlns:r="http://schemas.openxmlformats.org/officeDocument/2006/relationships" ref="K3123" r:id="rId9046"/>
    <hyperlink xmlns:r="http://schemas.openxmlformats.org/officeDocument/2006/relationships" ref="I3124" r:id="rId9047"/>
    <hyperlink xmlns:r="http://schemas.openxmlformats.org/officeDocument/2006/relationships" ref="J3124" r:id="rId9048"/>
    <hyperlink xmlns:r="http://schemas.openxmlformats.org/officeDocument/2006/relationships" ref="K3124" r:id="rId9049"/>
    <hyperlink xmlns:r="http://schemas.openxmlformats.org/officeDocument/2006/relationships" ref="I3125" r:id="rId9050"/>
    <hyperlink xmlns:r="http://schemas.openxmlformats.org/officeDocument/2006/relationships" ref="J3125" r:id="rId9051"/>
    <hyperlink xmlns:r="http://schemas.openxmlformats.org/officeDocument/2006/relationships" ref="K3125" r:id="rId9052"/>
    <hyperlink xmlns:r="http://schemas.openxmlformats.org/officeDocument/2006/relationships" ref="I3126" r:id="rId9053"/>
    <hyperlink xmlns:r="http://schemas.openxmlformats.org/officeDocument/2006/relationships" ref="J3126" r:id="rId9054"/>
    <hyperlink xmlns:r="http://schemas.openxmlformats.org/officeDocument/2006/relationships" ref="K3126" r:id="rId9055"/>
    <hyperlink xmlns:r="http://schemas.openxmlformats.org/officeDocument/2006/relationships" ref="I3127" r:id="rId9056"/>
    <hyperlink xmlns:r="http://schemas.openxmlformats.org/officeDocument/2006/relationships" ref="J3127" r:id="rId9057"/>
    <hyperlink xmlns:r="http://schemas.openxmlformats.org/officeDocument/2006/relationships" ref="K3127" r:id="rId9058"/>
    <hyperlink xmlns:r="http://schemas.openxmlformats.org/officeDocument/2006/relationships" ref="I3128" r:id="rId9059"/>
    <hyperlink xmlns:r="http://schemas.openxmlformats.org/officeDocument/2006/relationships" ref="J3128" r:id="rId9060"/>
    <hyperlink xmlns:r="http://schemas.openxmlformats.org/officeDocument/2006/relationships" ref="K3128" r:id="rId9061"/>
    <hyperlink xmlns:r="http://schemas.openxmlformats.org/officeDocument/2006/relationships" ref="I3129" r:id="rId9062"/>
    <hyperlink xmlns:r="http://schemas.openxmlformats.org/officeDocument/2006/relationships" ref="J3129" r:id="rId9063"/>
    <hyperlink xmlns:r="http://schemas.openxmlformats.org/officeDocument/2006/relationships" ref="K3129" r:id="rId9064"/>
    <hyperlink xmlns:r="http://schemas.openxmlformats.org/officeDocument/2006/relationships" ref="I3130" r:id="rId9065"/>
    <hyperlink xmlns:r="http://schemas.openxmlformats.org/officeDocument/2006/relationships" ref="J3130" r:id="rId9066"/>
    <hyperlink xmlns:r="http://schemas.openxmlformats.org/officeDocument/2006/relationships" ref="K3130" r:id="rId9067"/>
    <hyperlink xmlns:r="http://schemas.openxmlformats.org/officeDocument/2006/relationships" ref="I3131" r:id="rId9068"/>
    <hyperlink xmlns:r="http://schemas.openxmlformats.org/officeDocument/2006/relationships" ref="J3131" r:id="rId9069"/>
    <hyperlink xmlns:r="http://schemas.openxmlformats.org/officeDocument/2006/relationships" ref="K3131" r:id="rId9070"/>
    <hyperlink xmlns:r="http://schemas.openxmlformats.org/officeDocument/2006/relationships" ref="I3132" r:id="rId9071"/>
    <hyperlink xmlns:r="http://schemas.openxmlformats.org/officeDocument/2006/relationships" ref="J3132" r:id="rId9072"/>
    <hyperlink xmlns:r="http://schemas.openxmlformats.org/officeDocument/2006/relationships" ref="K3132" r:id="rId9073"/>
    <hyperlink xmlns:r="http://schemas.openxmlformats.org/officeDocument/2006/relationships" ref="I3133" r:id="rId9074"/>
    <hyperlink xmlns:r="http://schemas.openxmlformats.org/officeDocument/2006/relationships" ref="J3133" r:id="rId9075"/>
    <hyperlink xmlns:r="http://schemas.openxmlformats.org/officeDocument/2006/relationships" ref="K3133" r:id="rId9076"/>
    <hyperlink xmlns:r="http://schemas.openxmlformats.org/officeDocument/2006/relationships" ref="I3134" r:id="rId9077"/>
    <hyperlink xmlns:r="http://schemas.openxmlformats.org/officeDocument/2006/relationships" ref="J3134" r:id="rId9078"/>
    <hyperlink xmlns:r="http://schemas.openxmlformats.org/officeDocument/2006/relationships" ref="K3134" r:id="rId9079"/>
    <hyperlink xmlns:r="http://schemas.openxmlformats.org/officeDocument/2006/relationships" ref="I3135" r:id="rId9080"/>
    <hyperlink xmlns:r="http://schemas.openxmlformats.org/officeDocument/2006/relationships" ref="J3135" r:id="rId9081"/>
    <hyperlink xmlns:r="http://schemas.openxmlformats.org/officeDocument/2006/relationships" ref="K3135" r:id="rId9082"/>
    <hyperlink xmlns:r="http://schemas.openxmlformats.org/officeDocument/2006/relationships" ref="I3136" r:id="rId9083"/>
    <hyperlink xmlns:r="http://schemas.openxmlformats.org/officeDocument/2006/relationships" ref="J3136" r:id="rId9084"/>
    <hyperlink xmlns:r="http://schemas.openxmlformats.org/officeDocument/2006/relationships" ref="K3136" r:id="rId9085"/>
    <hyperlink xmlns:r="http://schemas.openxmlformats.org/officeDocument/2006/relationships" ref="I3137" r:id="rId9086"/>
    <hyperlink xmlns:r="http://schemas.openxmlformats.org/officeDocument/2006/relationships" ref="J3137" r:id="rId9087"/>
    <hyperlink xmlns:r="http://schemas.openxmlformats.org/officeDocument/2006/relationships" ref="K3137" r:id="rId9088"/>
    <hyperlink xmlns:r="http://schemas.openxmlformats.org/officeDocument/2006/relationships" ref="I3138" r:id="rId9089"/>
    <hyperlink xmlns:r="http://schemas.openxmlformats.org/officeDocument/2006/relationships" ref="J3138" r:id="rId9090"/>
    <hyperlink xmlns:r="http://schemas.openxmlformats.org/officeDocument/2006/relationships" ref="K3138" r:id="rId9091"/>
    <hyperlink xmlns:r="http://schemas.openxmlformats.org/officeDocument/2006/relationships" ref="I3139" r:id="rId9092"/>
    <hyperlink xmlns:r="http://schemas.openxmlformats.org/officeDocument/2006/relationships" ref="J3139" r:id="rId9093"/>
    <hyperlink xmlns:r="http://schemas.openxmlformats.org/officeDocument/2006/relationships" ref="K3139" r:id="rId9094"/>
    <hyperlink xmlns:r="http://schemas.openxmlformats.org/officeDocument/2006/relationships" ref="I3140" r:id="rId9095"/>
    <hyperlink xmlns:r="http://schemas.openxmlformats.org/officeDocument/2006/relationships" ref="J3140" r:id="rId9096"/>
    <hyperlink xmlns:r="http://schemas.openxmlformats.org/officeDocument/2006/relationships" ref="K3140" r:id="rId9097"/>
    <hyperlink xmlns:r="http://schemas.openxmlformats.org/officeDocument/2006/relationships" ref="I3141" r:id="rId9098"/>
    <hyperlink xmlns:r="http://schemas.openxmlformats.org/officeDocument/2006/relationships" ref="J3141" r:id="rId9099"/>
    <hyperlink xmlns:r="http://schemas.openxmlformats.org/officeDocument/2006/relationships" ref="K3141" r:id="rId9100"/>
    <hyperlink xmlns:r="http://schemas.openxmlformats.org/officeDocument/2006/relationships" ref="I3142" r:id="rId9101"/>
    <hyperlink xmlns:r="http://schemas.openxmlformats.org/officeDocument/2006/relationships" ref="J3142" r:id="rId9102"/>
    <hyperlink xmlns:r="http://schemas.openxmlformats.org/officeDocument/2006/relationships" ref="K3142" r:id="rId9103"/>
    <hyperlink xmlns:r="http://schemas.openxmlformats.org/officeDocument/2006/relationships" ref="I3143" r:id="rId9104"/>
    <hyperlink xmlns:r="http://schemas.openxmlformats.org/officeDocument/2006/relationships" ref="J3143" r:id="rId9105"/>
    <hyperlink xmlns:r="http://schemas.openxmlformats.org/officeDocument/2006/relationships" ref="K3143" r:id="rId9106"/>
    <hyperlink xmlns:r="http://schemas.openxmlformats.org/officeDocument/2006/relationships" ref="I3144" r:id="rId9107"/>
    <hyperlink xmlns:r="http://schemas.openxmlformats.org/officeDocument/2006/relationships" ref="J3144" r:id="rId9108"/>
    <hyperlink xmlns:r="http://schemas.openxmlformats.org/officeDocument/2006/relationships" ref="K3144" r:id="rId9109"/>
    <hyperlink xmlns:r="http://schemas.openxmlformats.org/officeDocument/2006/relationships" ref="I3145" r:id="rId9110"/>
    <hyperlink xmlns:r="http://schemas.openxmlformats.org/officeDocument/2006/relationships" ref="J3145" r:id="rId9111"/>
    <hyperlink xmlns:r="http://schemas.openxmlformats.org/officeDocument/2006/relationships" ref="K3145" r:id="rId9112"/>
    <hyperlink xmlns:r="http://schemas.openxmlformats.org/officeDocument/2006/relationships" ref="I3146" r:id="rId9113"/>
    <hyperlink xmlns:r="http://schemas.openxmlformats.org/officeDocument/2006/relationships" ref="J3146" r:id="rId9114"/>
    <hyperlink xmlns:r="http://schemas.openxmlformats.org/officeDocument/2006/relationships" ref="K3146" r:id="rId9115"/>
    <hyperlink xmlns:r="http://schemas.openxmlformats.org/officeDocument/2006/relationships" ref="I3147" r:id="rId9116"/>
    <hyperlink xmlns:r="http://schemas.openxmlformats.org/officeDocument/2006/relationships" ref="J3147" r:id="rId9117"/>
    <hyperlink xmlns:r="http://schemas.openxmlformats.org/officeDocument/2006/relationships" ref="K3147" r:id="rId9118"/>
    <hyperlink xmlns:r="http://schemas.openxmlformats.org/officeDocument/2006/relationships" ref="I3148" r:id="rId9119"/>
    <hyperlink xmlns:r="http://schemas.openxmlformats.org/officeDocument/2006/relationships" ref="J3148" r:id="rId9120"/>
    <hyperlink xmlns:r="http://schemas.openxmlformats.org/officeDocument/2006/relationships" ref="K3148" r:id="rId9121"/>
    <hyperlink xmlns:r="http://schemas.openxmlformats.org/officeDocument/2006/relationships" ref="I3149" r:id="rId9122"/>
    <hyperlink xmlns:r="http://schemas.openxmlformats.org/officeDocument/2006/relationships" ref="J3149" r:id="rId9123"/>
    <hyperlink xmlns:r="http://schemas.openxmlformats.org/officeDocument/2006/relationships" ref="K3149" r:id="rId9124"/>
    <hyperlink xmlns:r="http://schemas.openxmlformats.org/officeDocument/2006/relationships" ref="I3150" r:id="rId9125"/>
    <hyperlink xmlns:r="http://schemas.openxmlformats.org/officeDocument/2006/relationships" ref="J3150" r:id="rId9126"/>
    <hyperlink xmlns:r="http://schemas.openxmlformats.org/officeDocument/2006/relationships" ref="K3150" r:id="rId9127"/>
    <hyperlink xmlns:r="http://schemas.openxmlformats.org/officeDocument/2006/relationships" ref="I3151" r:id="rId9128"/>
    <hyperlink xmlns:r="http://schemas.openxmlformats.org/officeDocument/2006/relationships" ref="J3151" r:id="rId9129"/>
    <hyperlink xmlns:r="http://schemas.openxmlformats.org/officeDocument/2006/relationships" ref="K3151" r:id="rId9130"/>
    <hyperlink xmlns:r="http://schemas.openxmlformats.org/officeDocument/2006/relationships" ref="I3152" r:id="rId9131"/>
    <hyperlink xmlns:r="http://schemas.openxmlformats.org/officeDocument/2006/relationships" ref="J3152" r:id="rId9132"/>
    <hyperlink xmlns:r="http://schemas.openxmlformats.org/officeDocument/2006/relationships" ref="K3152" r:id="rId9133"/>
    <hyperlink xmlns:r="http://schemas.openxmlformats.org/officeDocument/2006/relationships" ref="I3153" r:id="rId9134"/>
    <hyperlink xmlns:r="http://schemas.openxmlformats.org/officeDocument/2006/relationships" ref="J3153" r:id="rId9135"/>
    <hyperlink xmlns:r="http://schemas.openxmlformats.org/officeDocument/2006/relationships" ref="K3153" r:id="rId9136"/>
    <hyperlink xmlns:r="http://schemas.openxmlformats.org/officeDocument/2006/relationships" ref="I3154" r:id="rId9137"/>
    <hyperlink xmlns:r="http://schemas.openxmlformats.org/officeDocument/2006/relationships" ref="J3154" r:id="rId9138"/>
    <hyperlink xmlns:r="http://schemas.openxmlformats.org/officeDocument/2006/relationships" ref="K3154" r:id="rId9139"/>
    <hyperlink xmlns:r="http://schemas.openxmlformats.org/officeDocument/2006/relationships" ref="I3155" r:id="rId9140"/>
    <hyperlink xmlns:r="http://schemas.openxmlformats.org/officeDocument/2006/relationships" ref="J3155" r:id="rId9141"/>
    <hyperlink xmlns:r="http://schemas.openxmlformats.org/officeDocument/2006/relationships" ref="K3155" r:id="rId9142"/>
    <hyperlink xmlns:r="http://schemas.openxmlformats.org/officeDocument/2006/relationships" ref="I3156" r:id="rId9143"/>
    <hyperlink xmlns:r="http://schemas.openxmlformats.org/officeDocument/2006/relationships" ref="J3156" r:id="rId9144"/>
    <hyperlink xmlns:r="http://schemas.openxmlformats.org/officeDocument/2006/relationships" ref="K3156" r:id="rId9145"/>
    <hyperlink xmlns:r="http://schemas.openxmlformats.org/officeDocument/2006/relationships" ref="I3157" r:id="rId9146"/>
    <hyperlink xmlns:r="http://schemas.openxmlformats.org/officeDocument/2006/relationships" ref="J3157" r:id="rId9147"/>
    <hyperlink xmlns:r="http://schemas.openxmlformats.org/officeDocument/2006/relationships" ref="K3157" r:id="rId9148"/>
    <hyperlink xmlns:r="http://schemas.openxmlformats.org/officeDocument/2006/relationships" ref="I3158" r:id="rId9149"/>
    <hyperlink xmlns:r="http://schemas.openxmlformats.org/officeDocument/2006/relationships" ref="J3158" r:id="rId9150"/>
    <hyperlink xmlns:r="http://schemas.openxmlformats.org/officeDocument/2006/relationships" ref="K3158" r:id="rId9151"/>
    <hyperlink xmlns:r="http://schemas.openxmlformats.org/officeDocument/2006/relationships" ref="I3159" r:id="rId9152"/>
    <hyperlink xmlns:r="http://schemas.openxmlformats.org/officeDocument/2006/relationships" ref="J3159" r:id="rId9153"/>
    <hyperlink xmlns:r="http://schemas.openxmlformats.org/officeDocument/2006/relationships" ref="K3159" r:id="rId9154"/>
    <hyperlink xmlns:r="http://schemas.openxmlformats.org/officeDocument/2006/relationships" ref="I3160" r:id="rId9155"/>
    <hyperlink xmlns:r="http://schemas.openxmlformats.org/officeDocument/2006/relationships" ref="J3160" r:id="rId9156"/>
    <hyperlink xmlns:r="http://schemas.openxmlformats.org/officeDocument/2006/relationships" ref="K3160" r:id="rId9157"/>
    <hyperlink xmlns:r="http://schemas.openxmlformats.org/officeDocument/2006/relationships" ref="I3161" r:id="rId9158"/>
    <hyperlink xmlns:r="http://schemas.openxmlformats.org/officeDocument/2006/relationships" ref="J3161" r:id="rId9159"/>
    <hyperlink xmlns:r="http://schemas.openxmlformats.org/officeDocument/2006/relationships" ref="K3161" r:id="rId9160"/>
    <hyperlink xmlns:r="http://schemas.openxmlformats.org/officeDocument/2006/relationships" ref="I3162" r:id="rId9161"/>
    <hyperlink xmlns:r="http://schemas.openxmlformats.org/officeDocument/2006/relationships" ref="J3162" r:id="rId9162"/>
    <hyperlink xmlns:r="http://schemas.openxmlformats.org/officeDocument/2006/relationships" ref="K3162" r:id="rId9163"/>
    <hyperlink xmlns:r="http://schemas.openxmlformats.org/officeDocument/2006/relationships" ref="I3163" r:id="rId9164"/>
    <hyperlink xmlns:r="http://schemas.openxmlformats.org/officeDocument/2006/relationships" ref="J3163" r:id="rId9165"/>
    <hyperlink xmlns:r="http://schemas.openxmlformats.org/officeDocument/2006/relationships" ref="K3163" r:id="rId9166"/>
    <hyperlink xmlns:r="http://schemas.openxmlformats.org/officeDocument/2006/relationships" ref="I3164" r:id="rId9167"/>
    <hyperlink xmlns:r="http://schemas.openxmlformats.org/officeDocument/2006/relationships" ref="J3164" r:id="rId9168"/>
    <hyperlink xmlns:r="http://schemas.openxmlformats.org/officeDocument/2006/relationships" ref="K3164" r:id="rId9169"/>
    <hyperlink xmlns:r="http://schemas.openxmlformats.org/officeDocument/2006/relationships" ref="I3165" r:id="rId9170"/>
    <hyperlink xmlns:r="http://schemas.openxmlformats.org/officeDocument/2006/relationships" ref="J3165" r:id="rId9171"/>
    <hyperlink xmlns:r="http://schemas.openxmlformats.org/officeDocument/2006/relationships" ref="K3165" r:id="rId9172"/>
    <hyperlink xmlns:r="http://schemas.openxmlformats.org/officeDocument/2006/relationships" ref="I3166" r:id="rId9173"/>
    <hyperlink xmlns:r="http://schemas.openxmlformats.org/officeDocument/2006/relationships" ref="J3166" r:id="rId9174"/>
    <hyperlink xmlns:r="http://schemas.openxmlformats.org/officeDocument/2006/relationships" ref="K3166" r:id="rId9175"/>
    <hyperlink xmlns:r="http://schemas.openxmlformats.org/officeDocument/2006/relationships" ref="I3167" r:id="rId9176"/>
    <hyperlink xmlns:r="http://schemas.openxmlformats.org/officeDocument/2006/relationships" ref="J3167" r:id="rId9177"/>
    <hyperlink xmlns:r="http://schemas.openxmlformats.org/officeDocument/2006/relationships" ref="K3167" r:id="rId9178"/>
    <hyperlink xmlns:r="http://schemas.openxmlformats.org/officeDocument/2006/relationships" ref="I3168" r:id="rId9179"/>
    <hyperlink xmlns:r="http://schemas.openxmlformats.org/officeDocument/2006/relationships" ref="J3168" r:id="rId9180"/>
    <hyperlink xmlns:r="http://schemas.openxmlformats.org/officeDocument/2006/relationships" ref="K3168" r:id="rId9181"/>
    <hyperlink xmlns:r="http://schemas.openxmlformats.org/officeDocument/2006/relationships" ref="I3169" r:id="rId9182"/>
    <hyperlink xmlns:r="http://schemas.openxmlformats.org/officeDocument/2006/relationships" ref="J3169" r:id="rId9183"/>
    <hyperlink xmlns:r="http://schemas.openxmlformats.org/officeDocument/2006/relationships" ref="K3169" r:id="rId9184"/>
    <hyperlink xmlns:r="http://schemas.openxmlformats.org/officeDocument/2006/relationships" ref="I3170" r:id="rId9185"/>
    <hyperlink xmlns:r="http://schemas.openxmlformats.org/officeDocument/2006/relationships" ref="J3170" r:id="rId9186"/>
    <hyperlink xmlns:r="http://schemas.openxmlformats.org/officeDocument/2006/relationships" ref="K3170" r:id="rId9187"/>
    <hyperlink xmlns:r="http://schemas.openxmlformats.org/officeDocument/2006/relationships" ref="I3171" r:id="rId9188"/>
    <hyperlink xmlns:r="http://schemas.openxmlformats.org/officeDocument/2006/relationships" ref="J3171" r:id="rId9189"/>
    <hyperlink xmlns:r="http://schemas.openxmlformats.org/officeDocument/2006/relationships" ref="K3171" r:id="rId9190"/>
    <hyperlink xmlns:r="http://schemas.openxmlformats.org/officeDocument/2006/relationships" ref="I3172" r:id="rId9191"/>
    <hyperlink xmlns:r="http://schemas.openxmlformats.org/officeDocument/2006/relationships" ref="J3172" r:id="rId9192"/>
    <hyperlink xmlns:r="http://schemas.openxmlformats.org/officeDocument/2006/relationships" ref="K3172" r:id="rId9193"/>
    <hyperlink xmlns:r="http://schemas.openxmlformats.org/officeDocument/2006/relationships" ref="I3173" r:id="rId9194"/>
    <hyperlink xmlns:r="http://schemas.openxmlformats.org/officeDocument/2006/relationships" ref="J3173" r:id="rId9195"/>
    <hyperlink xmlns:r="http://schemas.openxmlformats.org/officeDocument/2006/relationships" ref="K3173" r:id="rId9196"/>
    <hyperlink xmlns:r="http://schemas.openxmlformats.org/officeDocument/2006/relationships" ref="I3174" r:id="rId9197"/>
    <hyperlink xmlns:r="http://schemas.openxmlformats.org/officeDocument/2006/relationships" ref="J3174" r:id="rId9198"/>
    <hyperlink xmlns:r="http://schemas.openxmlformats.org/officeDocument/2006/relationships" ref="K3174" r:id="rId9199"/>
    <hyperlink xmlns:r="http://schemas.openxmlformats.org/officeDocument/2006/relationships" ref="I3175" r:id="rId9200"/>
    <hyperlink xmlns:r="http://schemas.openxmlformats.org/officeDocument/2006/relationships" ref="J3175" r:id="rId9201"/>
    <hyperlink xmlns:r="http://schemas.openxmlformats.org/officeDocument/2006/relationships" ref="K3175" r:id="rId9202"/>
    <hyperlink xmlns:r="http://schemas.openxmlformats.org/officeDocument/2006/relationships" ref="I3176" r:id="rId9203"/>
    <hyperlink xmlns:r="http://schemas.openxmlformats.org/officeDocument/2006/relationships" ref="J3176" r:id="rId9204"/>
    <hyperlink xmlns:r="http://schemas.openxmlformats.org/officeDocument/2006/relationships" ref="K3176" r:id="rId9205"/>
    <hyperlink xmlns:r="http://schemas.openxmlformats.org/officeDocument/2006/relationships" ref="I3177" r:id="rId9206"/>
    <hyperlink xmlns:r="http://schemas.openxmlformats.org/officeDocument/2006/relationships" ref="J3177" r:id="rId9207"/>
    <hyperlink xmlns:r="http://schemas.openxmlformats.org/officeDocument/2006/relationships" ref="K3177" r:id="rId9208"/>
    <hyperlink xmlns:r="http://schemas.openxmlformats.org/officeDocument/2006/relationships" ref="I3178" r:id="rId9209"/>
    <hyperlink xmlns:r="http://schemas.openxmlformats.org/officeDocument/2006/relationships" ref="J3178" r:id="rId9210"/>
    <hyperlink xmlns:r="http://schemas.openxmlformats.org/officeDocument/2006/relationships" ref="I3179" r:id="rId9211"/>
    <hyperlink xmlns:r="http://schemas.openxmlformats.org/officeDocument/2006/relationships" ref="J3179" r:id="rId9212"/>
    <hyperlink xmlns:r="http://schemas.openxmlformats.org/officeDocument/2006/relationships" ref="K3179" r:id="rId9213"/>
    <hyperlink xmlns:r="http://schemas.openxmlformats.org/officeDocument/2006/relationships" ref="I3180" r:id="rId9214"/>
    <hyperlink xmlns:r="http://schemas.openxmlformats.org/officeDocument/2006/relationships" ref="J3180" r:id="rId9215"/>
    <hyperlink xmlns:r="http://schemas.openxmlformats.org/officeDocument/2006/relationships" ref="K3180" r:id="rId9216"/>
    <hyperlink xmlns:r="http://schemas.openxmlformats.org/officeDocument/2006/relationships" ref="I3181" r:id="rId9217"/>
    <hyperlink xmlns:r="http://schemas.openxmlformats.org/officeDocument/2006/relationships" ref="J3181" r:id="rId9218"/>
    <hyperlink xmlns:r="http://schemas.openxmlformats.org/officeDocument/2006/relationships" ref="K3181" r:id="rId9219"/>
    <hyperlink xmlns:r="http://schemas.openxmlformats.org/officeDocument/2006/relationships" ref="I3182" r:id="rId9220"/>
    <hyperlink xmlns:r="http://schemas.openxmlformats.org/officeDocument/2006/relationships" ref="J3182" r:id="rId9221"/>
    <hyperlink xmlns:r="http://schemas.openxmlformats.org/officeDocument/2006/relationships" ref="K3182" r:id="rId9222"/>
    <hyperlink xmlns:r="http://schemas.openxmlformats.org/officeDocument/2006/relationships" ref="I3183" r:id="rId9223"/>
    <hyperlink xmlns:r="http://schemas.openxmlformats.org/officeDocument/2006/relationships" ref="J3183" r:id="rId9224"/>
    <hyperlink xmlns:r="http://schemas.openxmlformats.org/officeDocument/2006/relationships" ref="K3183" r:id="rId9225"/>
    <hyperlink xmlns:r="http://schemas.openxmlformats.org/officeDocument/2006/relationships" ref="I3184" r:id="rId9226"/>
    <hyperlink xmlns:r="http://schemas.openxmlformats.org/officeDocument/2006/relationships" ref="J3184" r:id="rId9227"/>
    <hyperlink xmlns:r="http://schemas.openxmlformats.org/officeDocument/2006/relationships" ref="K3184" r:id="rId9228"/>
    <hyperlink xmlns:r="http://schemas.openxmlformats.org/officeDocument/2006/relationships" ref="I3185" r:id="rId9229"/>
    <hyperlink xmlns:r="http://schemas.openxmlformats.org/officeDocument/2006/relationships" ref="J3185" r:id="rId9230"/>
    <hyperlink xmlns:r="http://schemas.openxmlformats.org/officeDocument/2006/relationships" ref="K3185" r:id="rId9231"/>
    <hyperlink xmlns:r="http://schemas.openxmlformats.org/officeDocument/2006/relationships" ref="I3186" r:id="rId9232"/>
    <hyperlink xmlns:r="http://schemas.openxmlformats.org/officeDocument/2006/relationships" ref="J3186" r:id="rId9233"/>
    <hyperlink xmlns:r="http://schemas.openxmlformats.org/officeDocument/2006/relationships" ref="K3186" r:id="rId9234"/>
    <hyperlink xmlns:r="http://schemas.openxmlformats.org/officeDocument/2006/relationships" ref="I3187" r:id="rId9235"/>
    <hyperlink xmlns:r="http://schemas.openxmlformats.org/officeDocument/2006/relationships" ref="J3187" r:id="rId9236"/>
    <hyperlink xmlns:r="http://schemas.openxmlformats.org/officeDocument/2006/relationships" ref="I3188" r:id="rId9237"/>
    <hyperlink xmlns:r="http://schemas.openxmlformats.org/officeDocument/2006/relationships" ref="J3188" r:id="rId9238"/>
    <hyperlink xmlns:r="http://schemas.openxmlformats.org/officeDocument/2006/relationships" ref="I3189" r:id="rId9239"/>
    <hyperlink xmlns:r="http://schemas.openxmlformats.org/officeDocument/2006/relationships" ref="J3189" r:id="rId9240"/>
    <hyperlink xmlns:r="http://schemas.openxmlformats.org/officeDocument/2006/relationships" ref="I3190" r:id="rId9241"/>
    <hyperlink xmlns:r="http://schemas.openxmlformats.org/officeDocument/2006/relationships" ref="J3190" r:id="rId9242"/>
    <hyperlink xmlns:r="http://schemas.openxmlformats.org/officeDocument/2006/relationships" ref="K3190" r:id="rId9243"/>
    <hyperlink xmlns:r="http://schemas.openxmlformats.org/officeDocument/2006/relationships" ref="I3191" r:id="rId9244"/>
    <hyperlink xmlns:r="http://schemas.openxmlformats.org/officeDocument/2006/relationships" ref="J3191" r:id="rId9245"/>
    <hyperlink xmlns:r="http://schemas.openxmlformats.org/officeDocument/2006/relationships" ref="K3191" r:id="rId9246"/>
    <hyperlink xmlns:r="http://schemas.openxmlformats.org/officeDocument/2006/relationships" ref="I3192" r:id="rId9247"/>
    <hyperlink xmlns:r="http://schemas.openxmlformats.org/officeDocument/2006/relationships" ref="J3192" r:id="rId9248"/>
    <hyperlink xmlns:r="http://schemas.openxmlformats.org/officeDocument/2006/relationships" ref="K3192" r:id="rId9249"/>
    <hyperlink xmlns:r="http://schemas.openxmlformats.org/officeDocument/2006/relationships" ref="I3193" r:id="rId9250"/>
    <hyperlink xmlns:r="http://schemas.openxmlformats.org/officeDocument/2006/relationships" ref="J3193" r:id="rId9251"/>
    <hyperlink xmlns:r="http://schemas.openxmlformats.org/officeDocument/2006/relationships" ref="K3193" r:id="rId9252"/>
    <hyperlink xmlns:r="http://schemas.openxmlformats.org/officeDocument/2006/relationships" ref="I3194" r:id="rId9253"/>
    <hyperlink xmlns:r="http://schemas.openxmlformats.org/officeDocument/2006/relationships" ref="J3194" r:id="rId9254"/>
    <hyperlink xmlns:r="http://schemas.openxmlformats.org/officeDocument/2006/relationships" ref="K3194" r:id="rId9255"/>
    <hyperlink xmlns:r="http://schemas.openxmlformats.org/officeDocument/2006/relationships" ref="I3195" r:id="rId9256"/>
    <hyperlink xmlns:r="http://schemas.openxmlformats.org/officeDocument/2006/relationships" ref="J3195" r:id="rId9257"/>
    <hyperlink xmlns:r="http://schemas.openxmlformats.org/officeDocument/2006/relationships" ref="K3195" r:id="rId9258"/>
    <hyperlink xmlns:r="http://schemas.openxmlformats.org/officeDocument/2006/relationships" ref="I3196" r:id="rId9259"/>
    <hyperlink xmlns:r="http://schemas.openxmlformats.org/officeDocument/2006/relationships" ref="J3196" r:id="rId9260"/>
    <hyperlink xmlns:r="http://schemas.openxmlformats.org/officeDocument/2006/relationships" ref="K3196" r:id="rId9261"/>
    <hyperlink xmlns:r="http://schemas.openxmlformats.org/officeDocument/2006/relationships" ref="I3197" r:id="rId9262"/>
    <hyperlink xmlns:r="http://schemas.openxmlformats.org/officeDocument/2006/relationships" ref="J3197" r:id="rId9263"/>
    <hyperlink xmlns:r="http://schemas.openxmlformats.org/officeDocument/2006/relationships" ref="K3197" r:id="rId9264"/>
    <hyperlink xmlns:r="http://schemas.openxmlformats.org/officeDocument/2006/relationships" ref="I3198" r:id="rId9265"/>
    <hyperlink xmlns:r="http://schemas.openxmlformats.org/officeDocument/2006/relationships" ref="J3198" r:id="rId9266"/>
    <hyperlink xmlns:r="http://schemas.openxmlformats.org/officeDocument/2006/relationships" ref="K3198" r:id="rId9267"/>
    <hyperlink xmlns:r="http://schemas.openxmlformats.org/officeDocument/2006/relationships" ref="I3199" r:id="rId9268"/>
    <hyperlink xmlns:r="http://schemas.openxmlformats.org/officeDocument/2006/relationships" ref="J3199" r:id="rId9269"/>
    <hyperlink xmlns:r="http://schemas.openxmlformats.org/officeDocument/2006/relationships" ref="K3199" r:id="rId9270"/>
    <hyperlink xmlns:r="http://schemas.openxmlformats.org/officeDocument/2006/relationships" ref="I3200" r:id="rId9271"/>
    <hyperlink xmlns:r="http://schemas.openxmlformats.org/officeDocument/2006/relationships" ref="J3200" r:id="rId9272"/>
    <hyperlink xmlns:r="http://schemas.openxmlformats.org/officeDocument/2006/relationships" ref="K3200" r:id="rId9273"/>
    <hyperlink xmlns:r="http://schemas.openxmlformats.org/officeDocument/2006/relationships" ref="I3201" r:id="rId9274"/>
    <hyperlink xmlns:r="http://schemas.openxmlformats.org/officeDocument/2006/relationships" ref="J3201" r:id="rId9275"/>
    <hyperlink xmlns:r="http://schemas.openxmlformats.org/officeDocument/2006/relationships" ref="I3202" r:id="rId9276"/>
    <hyperlink xmlns:r="http://schemas.openxmlformats.org/officeDocument/2006/relationships" ref="J3202" r:id="rId9277"/>
    <hyperlink xmlns:r="http://schemas.openxmlformats.org/officeDocument/2006/relationships" ref="I3203" r:id="rId9278"/>
    <hyperlink xmlns:r="http://schemas.openxmlformats.org/officeDocument/2006/relationships" ref="J3203" r:id="rId9279"/>
    <hyperlink xmlns:r="http://schemas.openxmlformats.org/officeDocument/2006/relationships" ref="K3203" r:id="rId9280"/>
    <hyperlink xmlns:r="http://schemas.openxmlformats.org/officeDocument/2006/relationships" ref="I3204" r:id="rId9281"/>
    <hyperlink xmlns:r="http://schemas.openxmlformats.org/officeDocument/2006/relationships" ref="J3204" r:id="rId9282"/>
    <hyperlink xmlns:r="http://schemas.openxmlformats.org/officeDocument/2006/relationships" ref="K3204" r:id="rId9283"/>
    <hyperlink xmlns:r="http://schemas.openxmlformats.org/officeDocument/2006/relationships" ref="I3205" r:id="rId9284"/>
    <hyperlink xmlns:r="http://schemas.openxmlformats.org/officeDocument/2006/relationships" ref="J3205" r:id="rId9285"/>
    <hyperlink xmlns:r="http://schemas.openxmlformats.org/officeDocument/2006/relationships" ref="K3205" r:id="rId9286"/>
    <hyperlink xmlns:r="http://schemas.openxmlformats.org/officeDocument/2006/relationships" ref="I3206" r:id="rId9287"/>
    <hyperlink xmlns:r="http://schemas.openxmlformats.org/officeDocument/2006/relationships" ref="J3206" r:id="rId9288"/>
    <hyperlink xmlns:r="http://schemas.openxmlformats.org/officeDocument/2006/relationships" ref="K3206" r:id="rId9289"/>
    <hyperlink xmlns:r="http://schemas.openxmlformats.org/officeDocument/2006/relationships" ref="I3207" r:id="rId9290"/>
    <hyperlink xmlns:r="http://schemas.openxmlformats.org/officeDocument/2006/relationships" ref="J3207" r:id="rId9291"/>
    <hyperlink xmlns:r="http://schemas.openxmlformats.org/officeDocument/2006/relationships" ref="K3207" r:id="rId9292"/>
    <hyperlink xmlns:r="http://schemas.openxmlformats.org/officeDocument/2006/relationships" ref="I3208" r:id="rId9293"/>
    <hyperlink xmlns:r="http://schemas.openxmlformats.org/officeDocument/2006/relationships" ref="J3208" r:id="rId9294"/>
    <hyperlink xmlns:r="http://schemas.openxmlformats.org/officeDocument/2006/relationships" ref="K3208" r:id="rId9295"/>
    <hyperlink xmlns:r="http://schemas.openxmlformats.org/officeDocument/2006/relationships" ref="I3209" r:id="rId9296"/>
    <hyperlink xmlns:r="http://schemas.openxmlformats.org/officeDocument/2006/relationships" ref="J3209" r:id="rId9297"/>
    <hyperlink xmlns:r="http://schemas.openxmlformats.org/officeDocument/2006/relationships" ref="K3209" r:id="rId9298"/>
    <hyperlink xmlns:r="http://schemas.openxmlformats.org/officeDocument/2006/relationships" ref="I3210" r:id="rId9299"/>
    <hyperlink xmlns:r="http://schemas.openxmlformats.org/officeDocument/2006/relationships" ref="J3210" r:id="rId9300"/>
    <hyperlink xmlns:r="http://schemas.openxmlformats.org/officeDocument/2006/relationships" ref="K3210" r:id="rId9301"/>
    <hyperlink xmlns:r="http://schemas.openxmlformats.org/officeDocument/2006/relationships" ref="I3211" r:id="rId9302"/>
    <hyperlink xmlns:r="http://schemas.openxmlformats.org/officeDocument/2006/relationships" ref="J3211" r:id="rId9303"/>
    <hyperlink xmlns:r="http://schemas.openxmlformats.org/officeDocument/2006/relationships" ref="K3211" r:id="rId9304"/>
    <hyperlink xmlns:r="http://schemas.openxmlformats.org/officeDocument/2006/relationships" ref="I3212" r:id="rId9305"/>
    <hyperlink xmlns:r="http://schemas.openxmlformats.org/officeDocument/2006/relationships" ref="J3212" r:id="rId9306"/>
    <hyperlink xmlns:r="http://schemas.openxmlformats.org/officeDocument/2006/relationships" ref="K3212" r:id="rId9307"/>
    <hyperlink xmlns:r="http://schemas.openxmlformats.org/officeDocument/2006/relationships" ref="I3213" r:id="rId9308"/>
    <hyperlink xmlns:r="http://schemas.openxmlformats.org/officeDocument/2006/relationships" ref="J3213" r:id="rId9309"/>
    <hyperlink xmlns:r="http://schemas.openxmlformats.org/officeDocument/2006/relationships" ref="K3213" r:id="rId9310"/>
    <hyperlink xmlns:r="http://schemas.openxmlformats.org/officeDocument/2006/relationships" ref="I3214" r:id="rId9311"/>
    <hyperlink xmlns:r="http://schemas.openxmlformats.org/officeDocument/2006/relationships" ref="J3214" r:id="rId9312"/>
    <hyperlink xmlns:r="http://schemas.openxmlformats.org/officeDocument/2006/relationships" ref="K3214" r:id="rId9313"/>
    <hyperlink xmlns:r="http://schemas.openxmlformats.org/officeDocument/2006/relationships" ref="I3215" r:id="rId9314"/>
    <hyperlink xmlns:r="http://schemas.openxmlformats.org/officeDocument/2006/relationships" ref="J3215" r:id="rId9315"/>
    <hyperlink xmlns:r="http://schemas.openxmlformats.org/officeDocument/2006/relationships" ref="K3215" r:id="rId9316"/>
    <hyperlink xmlns:r="http://schemas.openxmlformats.org/officeDocument/2006/relationships" ref="I3216" r:id="rId9317"/>
    <hyperlink xmlns:r="http://schemas.openxmlformats.org/officeDocument/2006/relationships" ref="J3216" r:id="rId9318"/>
    <hyperlink xmlns:r="http://schemas.openxmlformats.org/officeDocument/2006/relationships" ref="K3216" r:id="rId9319"/>
    <hyperlink xmlns:r="http://schemas.openxmlformats.org/officeDocument/2006/relationships" ref="I3217" r:id="rId9320"/>
    <hyperlink xmlns:r="http://schemas.openxmlformats.org/officeDocument/2006/relationships" ref="J3217" r:id="rId9321"/>
    <hyperlink xmlns:r="http://schemas.openxmlformats.org/officeDocument/2006/relationships" ref="K3217" r:id="rId9322"/>
    <hyperlink xmlns:r="http://schemas.openxmlformats.org/officeDocument/2006/relationships" ref="I3218" r:id="rId9323"/>
    <hyperlink xmlns:r="http://schemas.openxmlformats.org/officeDocument/2006/relationships" ref="J3218" r:id="rId9324"/>
    <hyperlink xmlns:r="http://schemas.openxmlformats.org/officeDocument/2006/relationships" ref="K3218" r:id="rId9325"/>
    <hyperlink xmlns:r="http://schemas.openxmlformats.org/officeDocument/2006/relationships" ref="I3219" r:id="rId9326"/>
    <hyperlink xmlns:r="http://schemas.openxmlformats.org/officeDocument/2006/relationships" ref="J3219" r:id="rId9327"/>
    <hyperlink xmlns:r="http://schemas.openxmlformats.org/officeDocument/2006/relationships" ref="K3219" r:id="rId9328"/>
    <hyperlink xmlns:r="http://schemas.openxmlformats.org/officeDocument/2006/relationships" ref="I3220" r:id="rId9329"/>
    <hyperlink xmlns:r="http://schemas.openxmlformats.org/officeDocument/2006/relationships" ref="J3220" r:id="rId9330"/>
    <hyperlink xmlns:r="http://schemas.openxmlformats.org/officeDocument/2006/relationships" ref="K3220" r:id="rId9331"/>
    <hyperlink xmlns:r="http://schemas.openxmlformats.org/officeDocument/2006/relationships" ref="I3221" r:id="rId9332"/>
    <hyperlink xmlns:r="http://schemas.openxmlformats.org/officeDocument/2006/relationships" ref="J3221" r:id="rId9333"/>
    <hyperlink xmlns:r="http://schemas.openxmlformats.org/officeDocument/2006/relationships" ref="K3221" r:id="rId9334"/>
    <hyperlink xmlns:r="http://schemas.openxmlformats.org/officeDocument/2006/relationships" ref="I3222" r:id="rId9335"/>
    <hyperlink xmlns:r="http://schemas.openxmlformats.org/officeDocument/2006/relationships" ref="J3222" r:id="rId9336"/>
    <hyperlink xmlns:r="http://schemas.openxmlformats.org/officeDocument/2006/relationships" ref="K3222" r:id="rId9337"/>
    <hyperlink xmlns:r="http://schemas.openxmlformats.org/officeDocument/2006/relationships" ref="I3223" r:id="rId9338"/>
    <hyperlink xmlns:r="http://schemas.openxmlformats.org/officeDocument/2006/relationships" ref="J3223" r:id="rId9339"/>
    <hyperlink xmlns:r="http://schemas.openxmlformats.org/officeDocument/2006/relationships" ref="K3223" r:id="rId9340"/>
    <hyperlink xmlns:r="http://schemas.openxmlformats.org/officeDocument/2006/relationships" ref="I3224" r:id="rId9341"/>
    <hyperlink xmlns:r="http://schemas.openxmlformats.org/officeDocument/2006/relationships" ref="J3224" r:id="rId9342"/>
    <hyperlink xmlns:r="http://schemas.openxmlformats.org/officeDocument/2006/relationships" ref="K3224" r:id="rId9343"/>
    <hyperlink xmlns:r="http://schemas.openxmlformats.org/officeDocument/2006/relationships" ref="I3225" r:id="rId9344"/>
    <hyperlink xmlns:r="http://schemas.openxmlformats.org/officeDocument/2006/relationships" ref="J3225" r:id="rId9345"/>
    <hyperlink xmlns:r="http://schemas.openxmlformats.org/officeDocument/2006/relationships" ref="K3225" r:id="rId9346"/>
    <hyperlink xmlns:r="http://schemas.openxmlformats.org/officeDocument/2006/relationships" ref="I3226" r:id="rId9347"/>
    <hyperlink xmlns:r="http://schemas.openxmlformats.org/officeDocument/2006/relationships" ref="J3226" r:id="rId9348"/>
    <hyperlink xmlns:r="http://schemas.openxmlformats.org/officeDocument/2006/relationships" ref="K3226" r:id="rId9349"/>
    <hyperlink xmlns:r="http://schemas.openxmlformats.org/officeDocument/2006/relationships" ref="I3227" r:id="rId9350"/>
    <hyperlink xmlns:r="http://schemas.openxmlformats.org/officeDocument/2006/relationships" ref="J3227" r:id="rId9351"/>
    <hyperlink xmlns:r="http://schemas.openxmlformats.org/officeDocument/2006/relationships" ref="K3227" r:id="rId9352"/>
    <hyperlink xmlns:r="http://schemas.openxmlformats.org/officeDocument/2006/relationships" ref="I3228" r:id="rId9353"/>
    <hyperlink xmlns:r="http://schemas.openxmlformats.org/officeDocument/2006/relationships" ref="J3228" r:id="rId9354"/>
    <hyperlink xmlns:r="http://schemas.openxmlformats.org/officeDocument/2006/relationships" ref="K3228" r:id="rId9355"/>
    <hyperlink xmlns:r="http://schemas.openxmlformats.org/officeDocument/2006/relationships" ref="I3229" r:id="rId9356"/>
    <hyperlink xmlns:r="http://schemas.openxmlformats.org/officeDocument/2006/relationships" ref="J3229" r:id="rId9357"/>
    <hyperlink xmlns:r="http://schemas.openxmlformats.org/officeDocument/2006/relationships" ref="K3229" r:id="rId9358"/>
    <hyperlink xmlns:r="http://schemas.openxmlformats.org/officeDocument/2006/relationships" ref="I3230" r:id="rId9359"/>
    <hyperlink xmlns:r="http://schemas.openxmlformats.org/officeDocument/2006/relationships" ref="J3230" r:id="rId9360"/>
    <hyperlink xmlns:r="http://schemas.openxmlformats.org/officeDocument/2006/relationships" ref="K3230" r:id="rId9361"/>
    <hyperlink xmlns:r="http://schemas.openxmlformats.org/officeDocument/2006/relationships" ref="I3231" r:id="rId9362"/>
    <hyperlink xmlns:r="http://schemas.openxmlformats.org/officeDocument/2006/relationships" ref="J3231" r:id="rId9363"/>
    <hyperlink xmlns:r="http://schemas.openxmlformats.org/officeDocument/2006/relationships" ref="K3231" r:id="rId9364"/>
    <hyperlink xmlns:r="http://schemas.openxmlformats.org/officeDocument/2006/relationships" ref="I3232" r:id="rId9365"/>
    <hyperlink xmlns:r="http://schemas.openxmlformats.org/officeDocument/2006/relationships" ref="J3232" r:id="rId9366"/>
    <hyperlink xmlns:r="http://schemas.openxmlformats.org/officeDocument/2006/relationships" ref="K3232" r:id="rId9367"/>
    <hyperlink xmlns:r="http://schemas.openxmlformats.org/officeDocument/2006/relationships" ref="I3233" r:id="rId9368"/>
    <hyperlink xmlns:r="http://schemas.openxmlformats.org/officeDocument/2006/relationships" ref="J3233" r:id="rId9369"/>
    <hyperlink xmlns:r="http://schemas.openxmlformats.org/officeDocument/2006/relationships" ref="K3233" r:id="rId9370"/>
    <hyperlink xmlns:r="http://schemas.openxmlformats.org/officeDocument/2006/relationships" ref="I3234" r:id="rId9371"/>
    <hyperlink xmlns:r="http://schemas.openxmlformats.org/officeDocument/2006/relationships" ref="J3234" r:id="rId9372"/>
    <hyperlink xmlns:r="http://schemas.openxmlformats.org/officeDocument/2006/relationships" ref="K3234" r:id="rId9373"/>
    <hyperlink xmlns:r="http://schemas.openxmlformats.org/officeDocument/2006/relationships" ref="I3235" r:id="rId9374"/>
    <hyperlink xmlns:r="http://schemas.openxmlformats.org/officeDocument/2006/relationships" ref="J3235" r:id="rId9375"/>
    <hyperlink xmlns:r="http://schemas.openxmlformats.org/officeDocument/2006/relationships" ref="K3235" r:id="rId9376"/>
    <hyperlink xmlns:r="http://schemas.openxmlformats.org/officeDocument/2006/relationships" ref="I3236" r:id="rId9377"/>
    <hyperlink xmlns:r="http://schemas.openxmlformats.org/officeDocument/2006/relationships" ref="J3236" r:id="rId9378"/>
    <hyperlink xmlns:r="http://schemas.openxmlformats.org/officeDocument/2006/relationships" ref="K3236" r:id="rId9379"/>
    <hyperlink xmlns:r="http://schemas.openxmlformats.org/officeDocument/2006/relationships" ref="I3237" r:id="rId9380"/>
    <hyperlink xmlns:r="http://schemas.openxmlformats.org/officeDocument/2006/relationships" ref="J3237" r:id="rId9381"/>
    <hyperlink xmlns:r="http://schemas.openxmlformats.org/officeDocument/2006/relationships" ref="K3237" r:id="rId9382"/>
    <hyperlink xmlns:r="http://schemas.openxmlformats.org/officeDocument/2006/relationships" ref="I3238" r:id="rId9383"/>
    <hyperlink xmlns:r="http://schemas.openxmlformats.org/officeDocument/2006/relationships" ref="J3238" r:id="rId9384"/>
    <hyperlink xmlns:r="http://schemas.openxmlformats.org/officeDocument/2006/relationships" ref="K3238" r:id="rId9385"/>
    <hyperlink xmlns:r="http://schemas.openxmlformats.org/officeDocument/2006/relationships" ref="I3239" r:id="rId9386"/>
    <hyperlink xmlns:r="http://schemas.openxmlformats.org/officeDocument/2006/relationships" ref="J3239" r:id="rId9387"/>
    <hyperlink xmlns:r="http://schemas.openxmlformats.org/officeDocument/2006/relationships" ref="K3239" r:id="rId9388"/>
    <hyperlink xmlns:r="http://schemas.openxmlformats.org/officeDocument/2006/relationships" ref="I3240" r:id="rId9389"/>
    <hyperlink xmlns:r="http://schemas.openxmlformats.org/officeDocument/2006/relationships" ref="J3240" r:id="rId9390"/>
    <hyperlink xmlns:r="http://schemas.openxmlformats.org/officeDocument/2006/relationships" ref="K3240" r:id="rId9391"/>
    <hyperlink xmlns:r="http://schemas.openxmlformats.org/officeDocument/2006/relationships" ref="I3241" r:id="rId9392"/>
    <hyperlink xmlns:r="http://schemas.openxmlformats.org/officeDocument/2006/relationships" ref="J3241" r:id="rId9393"/>
    <hyperlink xmlns:r="http://schemas.openxmlformats.org/officeDocument/2006/relationships" ref="K3241" r:id="rId9394"/>
    <hyperlink xmlns:r="http://schemas.openxmlformats.org/officeDocument/2006/relationships" ref="I3242" r:id="rId9395"/>
    <hyperlink xmlns:r="http://schemas.openxmlformats.org/officeDocument/2006/relationships" ref="J3242" r:id="rId9396"/>
    <hyperlink xmlns:r="http://schemas.openxmlformats.org/officeDocument/2006/relationships" ref="K3242" r:id="rId9397"/>
    <hyperlink xmlns:r="http://schemas.openxmlformats.org/officeDocument/2006/relationships" ref="I3243" r:id="rId9398"/>
    <hyperlink xmlns:r="http://schemas.openxmlformats.org/officeDocument/2006/relationships" ref="J3243" r:id="rId9399"/>
    <hyperlink xmlns:r="http://schemas.openxmlformats.org/officeDocument/2006/relationships" ref="K3243" r:id="rId9400"/>
    <hyperlink xmlns:r="http://schemas.openxmlformats.org/officeDocument/2006/relationships" ref="I3244" r:id="rId9401"/>
    <hyperlink xmlns:r="http://schemas.openxmlformats.org/officeDocument/2006/relationships" ref="J3244" r:id="rId9402"/>
    <hyperlink xmlns:r="http://schemas.openxmlformats.org/officeDocument/2006/relationships" ref="K3244" r:id="rId9403"/>
    <hyperlink xmlns:r="http://schemas.openxmlformats.org/officeDocument/2006/relationships" ref="I3245" r:id="rId9404"/>
    <hyperlink xmlns:r="http://schemas.openxmlformats.org/officeDocument/2006/relationships" ref="J3245" r:id="rId9405"/>
    <hyperlink xmlns:r="http://schemas.openxmlformats.org/officeDocument/2006/relationships" ref="K3245" r:id="rId9406"/>
    <hyperlink xmlns:r="http://schemas.openxmlformats.org/officeDocument/2006/relationships" ref="I3246" r:id="rId9407"/>
    <hyperlink xmlns:r="http://schemas.openxmlformats.org/officeDocument/2006/relationships" ref="J3246" r:id="rId9408"/>
    <hyperlink xmlns:r="http://schemas.openxmlformats.org/officeDocument/2006/relationships" ref="K3246" r:id="rId9409"/>
    <hyperlink xmlns:r="http://schemas.openxmlformats.org/officeDocument/2006/relationships" ref="I3247" r:id="rId9410"/>
    <hyperlink xmlns:r="http://schemas.openxmlformats.org/officeDocument/2006/relationships" ref="J3247" r:id="rId9411"/>
    <hyperlink xmlns:r="http://schemas.openxmlformats.org/officeDocument/2006/relationships" ref="K3247" r:id="rId9412"/>
    <hyperlink xmlns:r="http://schemas.openxmlformats.org/officeDocument/2006/relationships" ref="I3248" r:id="rId9413"/>
    <hyperlink xmlns:r="http://schemas.openxmlformats.org/officeDocument/2006/relationships" ref="J3248" r:id="rId9414"/>
    <hyperlink xmlns:r="http://schemas.openxmlformats.org/officeDocument/2006/relationships" ref="K3248" r:id="rId9415"/>
    <hyperlink xmlns:r="http://schemas.openxmlformats.org/officeDocument/2006/relationships" ref="I3249" r:id="rId9416"/>
    <hyperlink xmlns:r="http://schemas.openxmlformats.org/officeDocument/2006/relationships" ref="J3249" r:id="rId9417"/>
    <hyperlink xmlns:r="http://schemas.openxmlformats.org/officeDocument/2006/relationships" ref="K3249" r:id="rId9418"/>
    <hyperlink xmlns:r="http://schemas.openxmlformats.org/officeDocument/2006/relationships" ref="I3250" r:id="rId9419"/>
    <hyperlink xmlns:r="http://schemas.openxmlformats.org/officeDocument/2006/relationships" ref="J3250" r:id="rId9420"/>
    <hyperlink xmlns:r="http://schemas.openxmlformats.org/officeDocument/2006/relationships" ref="K3250" r:id="rId9421"/>
    <hyperlink xmlns:r="http://schemas.openxmlformats.org/officeDocument/2006/relationships" ref="I3251" r:id="rId9422"/>
    <hyperlink xmlns:r="http://schemas.openxmlformats.org/officeDocument/2006/relationships" ref="J3251" r:id="rId9423"/>
    <hyperlink xmlns:r="http://schemas.openxmlformats.org/officeDocument/2006/relationships" ref="K3251" r:id="rId9424"/>
    <hyperlink xmlns:r="http://schemas.openxmlformats.org/officeDocument/2006/relationships" ref="I3252" r:id="rId9425"/>
    <hyperlink xmlns:r="http://schemas.openxmlformats.org/officeDocument/2006/relationships" ref="J3252" r:id="rId9426"/>
    <hyperlink xmlns:r="http://schemas.openxmlformats.org/officeDocument/2006/relationships" ref="K3252" r:id="rId9427"/>
    <hyperlink xmlns:r="http://schemas.openxmlformats.org/officeDocument/2006/relationships" ref="I3253" r:id="rId9428"/>
    <hyperlink xmlns:r="http://schemas.openxmlformats.org/officeDocument/2006/relationships" ref="J3253" r:id="rId9429"/>
    <hyperlink xmlns:r="http://schemas.openxmlformats.org/officeDocument/2006/relationships" ref="K3253" r:id="rId9430"/>
    <hyperlink xmlns:r="http://schemas.openxmlformats.org/officeDocument/2006/relationships" ref="I3254" r:id="rId9431"/>
    <hyperlink xmlns:r="http://schemas.openxmlformats.org/officeDocument/2006/relationships" ref="J3254" r:id="rId9432"/>
    <hyperlink xmlns:r="http://schemas.openxmlformats.org/officeDocument/2006/relationships" ref="K3254" r:id="rId9433"/>
    <hyperlink xmlns:r="http://schemas.openxmlformats.org/officeDocument/2006/relationships" ref="I3255" r:id="rId9434"/>
    <hyperlink xmlns:r="http://schemas.openxmlformats.org/officeDocument/2006/relationships" ref="J3255" r:id="rId9435"/>
    <hyperlink xmlns:r="http://schemas.openxmlformats.org/officeDocument/2006/relationships" ref="K3255" r:id="rId9436"/>
    <hyperlink xmlns:r="http://schemas.openxmlformats.org/officeDocument/2006/relationships" ref="I3256" r:id="rId9437"/>
    <hyperlink xmlns:r="http://schemas.openxmlformats.org/officeDocument/2006/relationships" ref="J3256" r:id="rId9438"/>
    <hyperlink xmlns:r="http://schemas.openxmlformats.org/officeDocument/2006/relationships" ref="K3256" r:id="rId9439"/>
    <hyperlink xmlns:r="http://schemas.openxmlformats.org/officeDocument/2006/relationships" ref="I3257" r:id="rId9440"/>
    <hyperlink xmlns:r="http://schemas.openxmlformats.org/officeDocument/2006/relationships" ref="J3257" r:id="rId9441"/>
    <hyperlink xmlns:r="http://schemas.openxmlformats.org/officeDocument/2006/relationships" ref="K3257" r:id="rId9442"/>
    <hyperlink xmlns:r="http://schemas.openxmlformats.org/officeDocument/2006/relationships" ref="I3258" r:id="rId9443"/>
    <hyperlink xmlns:r="http://schemas.openxmlformats.org/officeDocument/2006/relationships" ref="J3258" r:id="rId9444"/>
    <hyperlink xmlns:r="http://schemas.openxmlformats.org/officeDocument/2006/relationships" ref="K3258" r:id="rId9445"/>
    <hyperlink xmlns:r="http://schemas.openxmlformats.org/officeDocument/2006/relationships" ref="I3259" r:id="rId9446"/>
    <hyperlink xmlns:r="http://schemas.openxmlformats.org/officeDocument/2006/relationships" ref="J3259" r:id="rId9447"/>
    <hyperlink xmlns:r="http://schemas.openxmlformats.org/officeDocument/2006/relationships" ref="K3259" r:id="rId9448"/>
    <hyperlink xmlns:r="http://schemas.openxmlformats.org/officeDocument/2006/relationships" ref="I3260" r:id="rId9449"/>
    <hyperlink xmlns:r="http://schemas.openxmlformats.org/officeDocument/2006/relationships" ref="J3260" r:id="rId9450"/>
    <hyperlink xmlns:r="http://schemas.openxmlformats.org/officeDocument/2006/relationships" ref="K3260" r:id="rId9451"/>
    <hyperlink xmlns:r="http://schemas.openxmlformats.org/officeDocument/2006/relationships" ref="I3261" r:id="rId9452"/>
    <hyperlink xmlns:r="http://schemas.openxmlformats.org/officeDocument/2006/relationships" ref="J3261" r:id="rId9453"/>
    <hyperlink xmlns:r="http://schemas.openxmlformats.org/officeDocument/2006/relationships" ref="K3261" r:id="rId9454"/>
    <hyperlink xmlns:r="http://schemas.openxmlformats.org/officeDocument/2006/relationships" ref="I3262" r:id="rId9455"/>
    <hyperlink xmlns:r="http://schemas.openxmlformats.org/officeDocument/2006/relationships" ref="J3262" r:id="rId9456"/>
    <hyperlink xmlns:r="http://schemas.openxmlformats.org/officeDocument/2006/relationships" ref="K3262" r:id="rId9457"/>
    <hyperlink xmlns:r="http://schemas.openxmlformats.org/officeDocument/2006/relationships" ref="I3263" r:id="rId9458"/>
    <hyperlink xmlns:r="http://schemas.openxmlformats.org/officeDocument/2006/relationships" ref="J3263" r:id="rId9459"/>
    <hyperlink xmlns:r="http://schemas.openxmlformats.org/officeDocument/2006/relationships" ref="K3263" r:id="rId9460"/>
    <hyperlink xmlns:r="http://schemas.openxmlformats.org/officeDocument/2006/relationships" ref="I3264" r:id="rId9461"/>
    <hyperlink xmlns:r="http://schemas.openxmlformats.org/officeDocument/2006/relationships" ref="J3264" r:id="rId9462"/>
    <hyperlink xmlns:r="http://schemas.openxmlformats.org/officeDocument/2006/relationships" ref="K3264" r:id="rId9463"/>
    <hyperlink xmlns:r="http://schemas.openxmlformats.org/officeDocument/2006/relationships" ref="I3265" r:id="rId9464"/>
    <hyperlink xmlns:r="http://schemas.openxmlformats.org/officeDocument/2006/relationships" ref="J3265" r:id="rId9465"/>
    <hyperlink xmlns:r="http://schemas.openxmlformats.org/officeDocument/2006/relationships" ref="K3265" r:id="rId9466"/>
    <hyperlink xmlns:r="http://schemas.openxmlformats.org/officeDocument/2006/relationships" ref="I3266" r:id="rId9467"/>
    <hyperlink xmlns:r="http://schemas.openxmlformats.org/officeDocument/2006/relationships" ref="J3266" r:id="rId9468"/>
    <hyperlink xmlns:r="http://schemas.openxmlformats.org/officeDocument/2006/relationships" ref="K3266" r:id="rId9469"/>
    <hyperlink xmlns:r="http://schemas.openxmlformats.org/officeDocument/2006/relationships" ref="I3267" r:id="rId9470"/>
    <hyperlink xmlns:r="http://schemas.openxmlformats.org/officeDocument/2006/relationships" ref="J3267" r:id="rId9471"/>
    <hyperlink xmlns:r="http://schemas.openxmlformats.org/officeDocument/2006/relationships" ref="K3267" r:id="rId9472"/>
    <hyperlink xmlns:r="http://schemas.openxmlformats.org/officeDocument/2006/relationships" ref="I3268" r:id="rId9473"/>
    <hyperlink xmlns:r="http://schemas.openxmlformats.org/officeDocument/2006/relationships" ref="J3268" r:id="rId9474"/>
    <hyperlink xmlns:r="http://schemas.openxmlformats.org/officeDocument/2006/relationships" ref="K3268" r:id="rId9475"/>
    <hyperlink xmlns:r="http://schemas.openxmlformats.org/officeDocument/2006/relationships" ref="I3269" r:id="rId9476"/>
    <hyperlink xmlns:r="http://schemas.openxmlformats.org/officeDocument/2006/relationships" ref="J3269" r:id="rId9477"/>
    <hyperlink xmlns:r="http://schemas.openxmlformats.org/officeDocument/2006/relationships" ref="K3269" r:id="rId9478"/>
    <hyperlink xmlns:r="http://schemas.openxmlformats.org/officeDocument/2006/relationships" ref="I3270" r:id="rId9479"/>
    <hyperlink xmlns:r="http://schemas.openxmlformats.org/officeDocument/2006/relationships" ref="J3270" r:id="rId9480"/>
    <hyperlink xmlns:r="http://schemas.openxmlformats.org/officeDocument/2006/relationships" ref="K3270" r:id="rId9481"/>
    <hyperlink xmlns:r="http://schemas.openxmlformats.org/officeDocument/2006/relationships" ref="I3271" r:id="rId9482"/>
    <hyperlink xmlns:r="http://schemas.openxmlformats.org/officeDocument/2006/relationships" ref="J3271" r:id="rId9483"/>
    <hyperlink xmlns:r="http://schemas.openxmlformats.org/officeDocument/2006/relationships" ref="K3271" r:id="rId9484"/>
    <hyperlink xmlns:r="http://schemas.openxmlformats.org/officeDocument/2006/relationships" ref="I3272" r:id="rId9485"/>
    <hyperlink xmlns:r="http://schemas.openxmlformats.org/officeDocument/2006/relationships" ref="J3272" r:id="rId9486"/>
    <hyperlink xmlns:r="http://schemas.openxmlformats.org/officeDocument/2006/relationships" ref="K3272" r:id="rId9487"/>
    <hyperlink xmlns:r="http://schemas.openxmlformats.org/officeDocument/2006/relationships" ref="I3273" r:id="rId9488"/>
    <hyperlink xmlns:r="http://schemas.openxmlformats.org/officeDocument/2006/relationships" ref="J3273" r:id="rId9489"/>
    <hyperlink xmlns:r="http://schemas.openxmlformats.org/officeDocument/2006/relationships" ref="K3273" r:id="rId9490"/>
    <hyperlink xmlns:r="http://schemas.openxmlformats.org/officeDocument/2006/relationships" ref="I3274" r:id="rId9491"/>
    <hyperlink xmlns:r="http://schemas.openxmlformats.org/officeDocument/2006/relationships" ref="J3274" r:id="rId9492"/>
    <hyperlink xmlns:r="http://schemas.openxmlformats.org/officeDocument/2006/relationships" ref="K3274" r:id="rId9493"/>
    <hyperlink xmlns:r="http://schemas.openxmlformats.org/officeDocument/2006/relationships" ref="I3275" r:id="rId9494"/>
    <hyperlink xmlns:r="http://schemas.openxmlformats.org/officeDocument/2006/relationships" ref="J3275" r:id="rId9495"/>
    <hyperlink xmlns:r="http://schemas.openxmlformats.org/officeDocument/2006/relationships" ref="K3275" r:id="rId9496"/>
    <hyperlink xmlns:r="http://schemas.openxmlformats.org/officeDocument/2006/relationships" ref="I3276" r:id="rId9497"/>
    <hyperlink xmlns:r="http://schemas.openxmlformats.org/officeDocument/2006/relationships" ref="J3276" r:id="rId9498"/>
    <hyperlink xmlns:r="http://schemas.openxmlformats.org/officeDocument/2006/relationships" ref="K3276" r:id="rId9499"/>
    <hyperlink xmlns:r="http://schemas.openxmlformats.org/officeDocument/2006/relationships" ref="I3277" r:id="rId9500"/>
    <hyperlink xmlns:r="http://schemas.openxmlformats.org/officeDocument/2006/relationships" ref="J3277" r:id="rId9501"/>
    <hyperlink xmlns:r="http://schemas.openxmlformats.org/officeDocument/2006/relationships" ref="K3277" r:id="rId9502"/>
    <hyperlink xmlns:r="http://schemas.openxmlformats.org/officeDocument/2006/relationships" ref="I3278" r:id="rId9503"/>
    <hyperlink xmlns:r="http://schemas.openxmlformats.org/officeDocument/2006/relationships" ref="J3278" r:id="rId9504"/>
    <hyperlink xmlns:r="http://schemas.openxmlformats.org/officeDocument/2006/relationships" ref="K3278" r:id="rId9505"/>
    <hyperlink xmlns:r="http://schemas.openxmlformats.org/officeDocument/2006/relationships" ref="I3279" r:id="rId9506"/>
    <hyperlink xmlns:r="http://schemas.openxmlformats.org/officeDocument/2006/relationships" ref="J3279" r:id="rId9507"/>
    <hyperlink xmlns:r="http://schemas.openxmlformats.org/officeDocument/2006/relationships" ref="K3279" r:id="rId9508"/>
    <hyperlink xmlns:r="http://schemas.openxmlformats.org/officeDocument/2006/relationships" ref="I3280" r:id="rId9509"/>
    <hyperlink xmlns:r="http://schemas.openxmlformats.org/officeDocument/2006/relationships" ref="J3280" r:id="rId9510"/>
    <hyperlink xmlns:r="http://schemas.openxmlformats.org/officeDocument/2006/relationships" ref="K3280" r:id="rId9511"/>
    <hyperlink xmlns:r="http://schemas.openxmlformats.org/officeDocument/2006/relationships" ref="I3281" r:id="rId9512"/>
    <hyperlink xmlns:r="http://schemas.openxmlformats.org/officeDocument/2006/relationships" ref="J3281" r:id="rId9513"/>
    <hyperlink xmlns:r="http://schemas.openxmlformats.org/officeDocument/2006/relationships" ref="K3281" r:id="rId9514"/>
    <hyperlink xmlns:r="http://schemas.openxmlformats.org/officeDocument/2006/relationships" ref="I3282" r:id="rId9515"/>
    <hyperlink xmlns:r="http://schemas.openxmlformats.org/officeDocument/2006/relationships" ref="J3282" r:id="rId9516"/>
    <hyperlink xmlns:r="http://schemas.openxmlformats.org/officeDocument/2006/relationships" ref="K3282" r:id="rId9517"/>
    <hyperlink xmlns:r="http://schemas.openxmlformats.org/officeDocument/2006/relationships" ref="I3283" r:id="rId9518"/>
    <hyperlink xmlns:r="http://schemas.openxmlformats.org/officeDocument/2006/relationships" ref="J3283" r:id="rId9519"/>
    <hyperlink xmlns:r="http://schemas.openxmlformats.org/officeDocument/2006/relationships" ref="K3283" r:id="rId9520"/>
    <hyperlink xmlns:r="http://schemas.openxmlformats.org/officeDocument/2006/relationships" ref="I3284" r:id="rId9521"/>
    <hyperlink xmlns:r="http://schemas.openxmlformats.org/officeDocument/2006/relationships" ref="J3284" r:id="rId9522"/>
    <hyperlink xmlns:r="http://schemas.openxmlformats.org/officeDocument/2006/relationships" ref="K3284" r:id="rId9523"/>
    <hyperlink xmlns:r="http://schemas.openxmlformats.org/officeDocument/2006/relationships" ref="I3285" r:id="rId9524"/>
    <hyperlink xmlns:r="http://schemas.openxmlformats.org/officeDocument/2006/relationships" ref="J3285" r:id="rId9525"/>
    <hyperlink xmlns:r="http://schemas.openxmlformats.org/officeDocument/2006/relationships" ref="K3285" r:id="rId9526"/>
    <hyperlink xmlns:r="http://schemas.openxmlformats.org/officeDocument/2006/relationships" ref="I3286" r:id="rId9527"/>
    <hyperlink xmlns:r="http://schemas.openxmlformats.org/officeDocument/2006/relationships" ref="J3286" r:id="rId9528"/>
    <hyperlink xmlns:r="http://schemas.openxmlformats.org/officeDocument/2006/relationships" ref="K3286" r:id="rId9529"/>
    <hyperlink xmlns:r="http://schemas.openxmlformats.org/officeDocument/2006/relationships" ref="I3287" r:id="rId9530"/>
    <hyperlink xmlns:r="http://schemas.openxmlformats.org/officeDocument/2006/relationships" ref="J3287" r:id="rId9531"/>
    <hyperlink xmlns:r="http://schemas.openxmlformats.org/officeDocument/2006/relationships" ref="K3287" r:id="rId9532"/>
    <hyperlink xmlns:r="http://schemas.openxmlformats.org/officeDocument/2006/relationships" ref="I3288" r:id="rId9533"/>
    <hyperlink xmlns:r="http://schemas.openxmlformats.org/officeDocument/2006/relationships" ref="J3288" r:id="rId9534"/>
    <hyperlink xmlns:r="http://schemas.openxmlformats.org/officeDocument/2006/relationships" ref="K3288" r:id="rId9535"/>
    <hyperlink xmlns:r="http://schemas.openxmlformats.org/officeDocument/2006/relationships" ref="I3289" r:id="rId9536"/>
    <hyperlink xmlns:r="http://schemas.openxmlformats.org/officeDocument/2006/relationships" ref="J3289" r:id="rId9537"/>
    <hyperlink xmlns:r="http://schemas.openxmlformats.org/officeDocument/2006/relationships" ref="K3289" r:id="rId9538"/>
    <hyperlink xmlns:r="http://schemas.openxmlformats.org/officeDocument/2006/relationships" ref="I3290" r:id="rId9539"/>
    <hyperlink xmlns:r="http://schemas.openxmlformats.org/officeDocument/2006/relationships" ref="J3290" r:id="rId9540"/>
    <hyperlink xmlns:r="http://schemas.openxmlformats.org/officeDocument/2006/relationships" ref="K3290" r:id="rId9541"/>
    <hyperlink xmlns:r="http://schemas.openxmlformats.org/officeDocument/2006/relationships" ref="I3291" r:id="rId9542"/>
    <hyperlink xmlns:r="http://schemas.openxmlformats.org/officeDocument/2006/relationships" ref="J3291" r:id="rId9543"/>
    <hyperlink xmlns:r="http://schemas.openxmlformats.org/officeDocument/2006/relationships" ref="K3291" r:id="rId9544"/>
    <hyperlink xmlns:r="http://schemas.openxmlformats.org/officeDocument/2006/relationships" ref="I3292" r:id="rId9545"/>
    <hyperlink xmlns:r="http://schemas.openxmlformats.org/officeDocument/2006/relationships" ref="J3292" r:id="rId9546"/>
    <hyperlink xmlns:r="http://schemas.openxmlformats.org/officeDocument/2006/relationships" ref="K3292" r:id="rId9547"/>
    <hyperlink xmlns:r="http://schemas.openxmlformats.org/officeDocument/2006/relationships" ref="I3293" r:id="rId9548"/>
    <hyperlink xmlns:r="http://schemas.openxmlformats.org/officeDocument/2006/relationships" ref="J3293" r:id="rId9549"/>
    <hyperlink xmlns:r="http://schemas.openxmlformats.org/officeDocument/2006/relationships" ref="K3293" r:id="rId9550"/>
    <hyperlink xmlns:r="http://schemas.openxmlformats.org/officeDocument/2006/relationships" ref="I3294" r:id="rId9551"/>
    <hyperlink xmlns:r="http://schemas.openxmlformats.org/officeDocument/2006/relationships" ref="J3294" r:id="rId9552"/>
    <hyperlink xmlns:r="http://schemas.openxmlformats.org/officeDocument/2006/relationships" ref="K3294" r:id="rId9553"/>
    <hyperlink xmlns:r="http://schemas.openxmlformats.org/officeDocument/2006/relationships" ref="I3295" r:id="rId9554"/>
    <hyperlink xmlns:r="http://schemas.openxmlformats.org/officeDocument/2006/relationships" ref="J3295" r:id="rId9555"/>
    <hyperlink xmlns:r="http://schemas.openxmlformats.org/officeDocument/2006/relationships" ref="K3295" r:id="rId9556"/>
    <hyperlink xmlns:r="http://schemas.openxmlformats.org/officeDocument/2006/relationships" ref="I3296" r:id="rId9557"/>
    <hyperlink xmlns:r="http://schemas.openxmlformats.org/officeDocument/2006/relationships" ref="J3296" r:id="rId9558"/>
    <hyperlink xmlns:r="http://schemas.openxmlformats.org/officeDocument/2006/relationships" ref="K3296" r:id="rId9559"/>
    <hyperlink xmlns:r="http://schemas.openxmlformats.org/officeDocument/2006/relationships" ref="I3297" r:id="rId9560"/>
    <hyperlink xmlns:r="http://schemas.openxmlformats.org/officeDocument/2006/relationships" ref="J3297" r:id="rId9561"/>
    <hyperlink xmlns:r="http://schemas.openxmlformats.org/officeDocument/2006/relationships" ref="K3297" r:id="rId9562"/>
    <hyperlink xmlns:r="http://schemas.openxmlformats.org/officeDocument/2006/relationships" ref="I3298" r:id="rId9563"/>
    <hyperlink xmlns:r="http://schemas.openxmlformats.org/officeDocument/2006/relationships" ref="J3298" r:id="rId9564"/>
    <hyperlink xmlns:r="http://schemas.openxmlformats.org/officeDocument/2006/relationships" ref="K3298" r:id="rId9565"/>
    <hyperlink xmlns:r="http://schemas.openxmlformats.org/officeDocument/2006/relationships" ref="I3299" r:id="rId9566"/>
    <hyperlink xmlns:r="http://schemas.openxmlformats.org/officeDocument/2006/relationships" ref="J3299" r:id="rId9567"/>
    <hyperlink xmlns:r="http://schemas.openxmlformats.org/officeDocument/2006/relationships" ref="K3299" r:id="rId9568"/>
    <hyperlink xmlns:r="http://schemas.openxmlformats.org/officeDocument/2006/relationships" ref="I3300" r:id="rId9569"/>
    <hyperlink xmlns:r="http://schemas.openxmlformats.org/officeDocument/2006/relationships" ref="J3300" r:id="rId9570"/>
    <hyperlink xmlns:r="http://schemas.openxmlformats.org/officeDocument/2006/relationships" ref="K3300" r:id="rId9571"/>
    <hyperlink xmlns:r="http://schemas.openxmlformats.org/officeDocument/2006/relationships" ref="I3301" r:id="rId9572"/>
    <hyperlink xmlns:r="http://schemas.openxmlformats.org/officeDocument/2006/relationships" ref="J3301" r:id="rId9573"/>
    <hyperlink xmlns:r="http://schemas.openxmlformats.org/officeDocument/2006/relationships" ref="K3301" r:id="rId9574"/>
    <hyperlink xmlns:r="http://schemas.openxmlformats.org/officeDocument/2006/relationships" ref="I3302" r:id="rId9575"/>
    <hyperlink xmlns:r="http://schemas.openxmlformats.org/officeDocument/2006/relationships" ref="J3302" r:id="rId9576"/>
    <hyperlink xmlns:r="http://schemas.openxmlformats.org/officeDocument/2006/relationships" ref="K3302" r:id="rId9577"/>
    <hyperlink xmlns:r="http://schemas.openxmlformats.org/officeDocument/2006/relationships" ref="I3303" r:id="rId9578"/>
    <hyperlink xmlns:r="http://schemas.openxmlformats.org/officeDocument/2006/relationships" ref="J3303" r:id="rId9579"/>
    <hyperlink xmlns:r="http://schemas.openxmlformats.org/officeDocument/2006/relationships" ref="K3303" r:id="rId9580"/>
    <hyperlink xmlns:r="http://schemas.openxmlformats.org/officeDocument/2006/relationships" ref="I3304" r:id="rId9581"/>
    <hyperlink xmlns:r="http://schemas.openxmlformats.org/officeDocument/2006/relationships" ref="J3304" r:id="rId9582"/>
    <hyperlink xmlns:r="http://schemas.openxmlformats.org/officeDocument/2006/relationships" ref="K3304" r:id="rId9583"/>
    <hyperlink xmlns:r="http://schemas.openxmlformats.org/officeDocument/2006/relationships" ref="I3305" r:id="rId9584"/>
    <hyperlink xmlns:r="http://schemas.openxmlformats.org/officeDocument/2006/relationships" ref="J3305" r:id="rId9585"/>
    <hyperlink xmlns:r="http://schemas.openxmlformats.org/officeDocument/2006/relationships" ref="K3305" r:id="rId9586"/>
    <hyperlink xmlns:r="http://schemas.openxmlformats.org/officeDocument/2006/relationships" ref="I3306" r:id="rId9587"/>
    <hyperlink xmlns:r="http://schemas.openxmlformats.org/officeDocument/2006/relationships" ref="J3306" r:id="rId9588"/>
    <hyperlink xmlns:r="http://schemas.openxmlformats.org/officeDocument/2006/relationships" ref="K3306" r:id="rId9589"/>
    <hyperlink xmlns:r="http://schemas.openxmlformats.org/officeDocument/2006/relationships" ref="I3307" r:id="rId9590"/>
    <hyperlink xmlns:r="http://schemas.openxmlformats.org/officeDocument/2006/relationships" ref="J3307" r:id="rId9591"/>
    <hyperlink xmlns:r="http://schemas.openxmlformats.org/officeDocument/2006/relationships" ref="K3307" r:id="rId9592"/>
    <hyperlink xmlns:r="http://schemas.openxmlformats.org/officeDocument/2006/relationships" ref="I3308" r:id="rId9593"/>
    <hyperlink xmlns:r="http://schemas.openxmlformats.org/officeDocument/2006/relationships" ref="J3308" r:id="rId9594"/>
    <hyperlink xmlns:r="http://schemas.openxmlformats.org/officeDocument/2006/relationships" ref="K3308" r:id="rId9595"/>
    <hyperlink xmlns:r="http://schemas.openxmlformats.org/officeDocument/2006/relationships" ref="I3309" r:id="rId9596"/>
    <hyperlink xmlns:r="http://schemas.openxmlformats.org/officeDocument/2006/relationships" ref="J3309" r:id="rId9597"/>
    <hyperlink xmlns:r="http://schemas.openxmlformats.org/officeDocument/2006/relationships" ref="K3309" r:id="rId9598"/>
    <hyperlink xmlns:r="http://schemas.openxmlformats.org/officeDocument/2006/relationships" ref="I3310" r:id="rId9599"/>
    <hyperlink xmlns:r="http://schemas.openxmlformats.org/officeDocument/2006/relationships" ref="J3310" r:id="rId9600"/>
    <hyperlink xmlns:r="http://schemas.openxmlformats.org/officeDocument/2006/relationships" ref="K3310" r:id="rId9601"/>
    <hyperlink xmlns:r="http://schemas.openxmlformats.org/officeDocument/2006/relationships" ref="I3311" r:id="rId9602"/>
    <hyperlink xmlns:r="http://schemas.openxmlformats.org/officeDocument/2006/relationships" ref="J3311" r:id="rId9603"/>
    <hyperlink xmlns:r="http://schemas.openxmlformats.org/officeDocument/2006/relationships" ref="K3311" r:id="rId9604"/>
    <hyperlink xmlns:r="http://schemas.openxmlformats.org/officeDocument/2006/relationships" ref="I3312" r:id="rId9605"/>
    <hyperlink xmlns:r="http://schemas.openxmlformats.org/officeDocument/2006/relationships" ref="J3312" r:id="rId9606"/>
    <hyperlink xmlns:r="http://schemas.openxmlformats.org/officeDocument/2006/relationships" ref="K3312" r:id="rId9607"/>
    <hyperlink xmlns:r="http://schemas.openxmlformats.org/officeDocument/2006/relationships" ref="I3313" r:id="rId9608"/>
    <hyperlink xmlns:r="http://schemas.openxmlformats.org/officeDocument/2006/relationships" ref="J3313" r:id="rId9609"/>
    <hyperlink xmlns:r="http://schemas.openxmlformats.org/officeDocument/2006/relationships" ref="K3313" r:id="rId9610"/>
    <hyperlink xmlns:r="http://schemas.openxmlformats.org/officeDocument/2006/relationships" ref="I3314" r:id="rId9611"/>
    <hyperlink xmlns:r="http://schemas.openxmlformats.org/officeDocument/2006/relationships" ref="J3314" r:id="rId9612"/>
    <hyperlink xmlns:r="http://schemas.openxmlformats.org/officeDocument/2006/relationships" ref="K3314" r:id="rId9613"/>
    <hyperlink xmlns:r="http://schemas.openxmlformats.org/officeDocument/2006/relationships" ref="I3315" r:id="rId9614"/>
    <hyperlink xmlns:r="http://schemas.openxmlformats.org/officeDocument/2006/relationships" ref="J3315" r:id="rId9615"/>
    <hyperlink xmlns:r="http://schemas.openxmlformats.org/officeDocument/2006/relationships" ref="K3315" r:id="rId9616"/>
    <hyperlink xmlns:r="http://schemas.openxmlformats.org/officeDocument/2006/relationships" ref="I3316" r:id="rId9617"/>
    <hyperlink xmlns:r="http://schemas.openxmlformats.org/officeDocument/2006/relationships" ref="J3316" r:id="rId9618"/>
    <hyperlink xmlns:r="http://schemas.openxmlformats.org/officeDocument/2006/relationships" ref="K3316" r:id="rId9619"/>
    <hyperlink xmlns:r="http://schemas.openxmlformats.org/officeDocument/2006/relationships" ref="I3317" r:id="rId9620"/>
    <hyperlink xmlns:r="http://schemas.openxmlformats.org/officeDocument/2006/relationships" ref="J3317" r:id="rId9621"/>
    <hyperlink xmlns:r="http://schemas.openxmlformats.org/officeDocument/2006/relationships" ref="K3317" r:id="rId9622"/>
    <hyperlink xmlns:r="http://schemas.openxmlformats.org/officeDocument/2006/relationships" ref="I3318" r:id="rId9623"/>
    <hyperlink xmlns:r="http://schemas.openxmlformats.org/officeDocument/2006/relationships" ref="J3318" r:id="rId9624"/>
    <hyperlink xmlns:r="http://schemas.openxmlformats.org/officeDocument/2006/relationships" ref="K3318" r:id="rId9625"/>
    <hyperlink xmlns:r="http://schemas.openxmlformats.org/officeDocument/2006/relationships" ref="I3319" r:id="rId9626"/>
    <hyperlink xmlns:r="http://schemas.openxmlformats.org/officeDocument/2006/relationships" ref="J3319" r:id="rId9627"/>
    <hyperlink xmlns:r="http://schemas.openxmlformats.org/officeDocument/2006/relationships" ref="K3319" r:id="rId9628"/>
    <hyperlink xmlns:r="http://schemas.openxmlformats.org/officeDocument/2006/relationships" ref="I3320" r:id="rId9629"/>
    <hyperlink xmlns:r="http://schemas.openxmlformats.org/officeDocument/2006/relationships" ref="J3320" r:id="rId9630"/>
    <hyperlink xmlns:r="http://schemas.openxmlformats.org/officeDocument/2006/relationships" ref="K3320" r:id="rId9631"/>
    <hyperlink xmlns:r="http://schemas.openxmlformats.org/officeDocument/2006/relationships" ref="I3321" r:id="rId9632"/>
    <hyperlink xmlns:r="http://schemas.openxmlformats.org/officeDocument/2006/relationships" ref="J3321" r:id="rId9633"/>
    <hyperlink xmlns:r="http://schemas.openxmlformats.org/officeDocument/2006/relationships" ref="K3321" r:id="rId9634"/>
    <hyperlink xmlns:r="http://schemas.openxmlformats.org/officeDocument/2006/relationships" ref="I3322" r:id="rId9635"/>
    <hyperlink xmlns:r="http://schemas.openxmlformats.org/officeDocument/2006/relationships" ref="J3322" r:id="rId9636"/>
    <hyperlink xmlns:r="http://schemas.openxmlformats.org/officeDocument/2006/relationships" ref="I3323" r:id="rId9637"/>
    <hyperlink xmlns:r="http://schemas.openxmlformats.org/officeDocument/2006/relationships" ref="J3323" r:id="rId9638"/>
    <hyperlink xmlns:r="http://schemas.openxmlformats.org/officeDocument/2006/relationships" ref="I3324" r:id="rId9639"/>
    <hyperlink xmlns:r="http://schemas.openxmlformats.org/officeDocument/2006/relationships" ref="J3324" r:id="rId9640"/>
    <hyperlink xmlns:r="http://schemas.openxmlformats.org/officeDocument/2006/relationships" ref="K3324" r:id="rId9641"/>
    <hyperlink xmlns:r="http://schemas.openxmlformats.org/officeDocument/2006/relationships" ref="I3325" r:id="rId9642"/>
    <hyperlink xmlns:r="http://schemas.openxmlformats.org/officeDocument/2006/relationships" ref="J3325" r:id="rId9643"/>
    <hyperlink xmlns:r="http://schemas.openxmlformats.org/officeDocument/2006/relationships" ref="K3325" r:id="rId9644"/>
    <hyperlink xmlns:r="http://schemas.openxmlformats.org/officeDocument/2006/relationships" ref="I3326" r:id="rId9645"/>
    <hyperlink xmlns:r="http://schemas.openxmlformats.org/officeDocument/2006/relationships" ref="J3326" r:id="rId9646"/>
    <hyperlink xmlns:r="http://schemas.openxmlformats.org/officeDocument/2006/relationships" ref="K3326" r:id="rId9647"/>
    <hyperlink xmlns:r="http://schemas.openxmlformats.org/officeDocument/2006/relationships" ref="I3327" r:id="rId9648"/>
    <hyperlink xmlns:r="http://schemas.openxmlformats.org/officeDocument/2006/relationships" ref="J3327" r:id="rId9649"/>
    <hyperlink xmlns:r="http://schemas.openxmlformats.org/officeDocument/2006/relationships" ref="K3327" r:id="rId9650"/>
    <hyperlink xmlns:r="http://schemas.openxmlformats.org/officeDocument/2006/relationships" ref="I3328" r:id="rId9651"/>
    <hyperlink xmlns:r="http://schemas.openxmlformats.org/officeDocument/2006/relationships" ref="J3328" r:id="rId9652"/>
    <hyperlink xmlns:r="http://schemas.openxmlformats.org/officeDocument/2006/relationships" ref="K3328" r:id="rId9653"/>
    <hyperlink xmlns:r="http://schemas.openxmlformats.org/officeDocument/2006/relationships" ref="I3329" r:id="rId9654"/>
    <hyperlink xmlns:r="http://schemas.openxmlformats.org/officeDocument/2006/relationships" ref="J3329" r:id="rId9655"/>
    <hyperlink xmlns:r="http://schemas.openxmlformats.org/officeDocument/2006/relationships" ref="K3329" r:id="rId9656"/>
    <hyperlink xmlns:r="http://schemas.openxmlformats.org/officeDocument/2006/relationships" ref="I3330" r:id="rId9657"/>
    <hyperlink xmlns:r="http://schemas.openxmlformats.org/officeDocument/2006/relationships" ref="J3330" r:id="rId9658"/>
    <hyperlink xmlns:r="http://schemas.openxmlformats.org/officeDocument/2006/relationships" ref="K3330" r:id="rId9659"/>
    <hyperlink xmlns:r="http://schemas.openxmlformats.org/officeDocument/2006/relationships" ref="I3331" r:id="rId9660"/>
    <hyperlink xmlns:r="http://schemas.openxmlformats.org/officeDocument/2006/relationships" ref="J3331" r:id="rId9661"/>
    <hyperlink xmlns:r="http://schemas.openxmlformats.org/officeDocument/2006/relationships" ref="K3331" r:id="rId9662"/>
    <hyperlink xmlns:r="http://schemas.openxmlformats.org/officeDocument/2006/relationships" ref="I3332" r:id="rId9663"/>
    <hyperlink xmlns:r="http://schemas.openxmlformats.org/officeDocument/2006/relationships" ref="J3332" r:id="rId9664"/>
    <hyperlink xmlns:r="http://schemas.openxmlformats.org/officeDocument/2006/relationships" ref="K3332" r:id="rId9665"/>
    <hyperlink xmlns:r="http://schemas.openxmlformats.org/officeDocument/2006/relationships" ref="I3333" r:id="rId9666"/>
    <hyperlink xmlns:r="http://schemas.openxmlformats.org/officeDocument/2006/relationships" ref="J3333" r:id="rId9667"/>
    <hyperlink xmlns:r="http://schemas.openxmlformats.org/officeDocument/2006/relationships" ref="K3333" r:id="rId9668"/>
    <hyperlink xmlns:r="http://schemas.openxmlformats.org/officeDocument/2006/relationships" ref="I3334" r:id="rId9669"/>
    <hyperlink xmlns:r="http://schemas.openxmlformats.org/officeDocument/2006/relationships" ref="J3334" r:id="rId9670"/>
    <hyperlink xmlns:r="http://schemas.openxmlformats.org/officeDocument/2006/relationships" ref="K3334" r:id="rId9671"/>
    <hyperlink xmlns:r="http://schemas.openxmlformats.org/officeDocument/2006/relationships" ref="I3335" r:id="rId9672"/>
    <hyperlink xmlns:r="http://schemas.openxmlformats.org/officeDocument/2006/relationships" ref="J3335" r:id="rId9673"/>
    <hyperlink xmlns:r="http://schemas.openxmlformats.org/officeDocument/2006/relationships" ref="K3335" r:id="rId9674"/>
    <hyperlink xmlns:r="http://schemas.openxmlformats.org/officeDocument/2006/relationships" ref="I3336" r:id="rId9675"/>
    <hyperlink xmlns:r="http://schemas.openxmlformats.org/officeDocument/2006/relationships" ref="J3336" r:id="rId9676"/>
    <hyperlink xmlns:r="http://schemas.openxmlformats.org/officeDocument/2006/relationships" ref="K3336" r:id="rId9677"/>
    <hyperlink xmlns:r="http://schemas.openxmlformats.org/officeDocument/2006/relationships" ref="I3337" r:id="rId9678"/>
    <hyperlink xmlns:r="http://schemas.openxmlformats.org/officeDocument/2006/relationships" ref="J3337" r:id="rId9679"/>
    <hyperlink xmlns:r="http://schemas.openxmlformats.org/officeDocument/2006/relationships" ref="K3337" r:id="rId9680"/>
    <hyperlink xmlns:r="http://schemas.openxmlformats.org/officeDocument/2006/relationships" ref="I3338" r:id="rId9681"/>
    <hyperlink xmlns:r="http://schemas.openxmlformats.org/officeDocument/2006/relationships" ref="J3338" r:id="rId9682"/>
    <hyperlink xmlns:r="http://schemas.openxmlformats.org/officeDocument/2006/relationships" ref="K3338" r:id="rId9683"/>
    <hyperlink xmlns:r="http://schemas.openxmlformats.org/officeDocument/2006/relationships" ref="I3339" r:id="rId9684"/>
    <hyperlink xmlns:r="http://schemas.openxmlformats.org/officeDocument/2006/relationships" ref="J3339" r:id="rId9685"/>
    <hyperlink xmlns:r="http://schemas.openxmlformats.org/officeDocument/2006/relationships" ref="K3339" r:id="rId9686"/>
    <hyperlink xmlns:r="http://schemas.openxmlformats.org/officeDocument/2006/relationships" ref="I3340" r:id="rId9687"/>
    <hyperlink xmlns:r="http://schemas.openxmlformats.org/officeDocument/2006/relationships" ref="J3340" r:id="rId9688"/>
    <hyperlink xmlns:r="http://schemas.openxmlformats.org/officeDocument/2006/relationships" ref="I3341" r:id="rId9689"/>
    <hyperlink xmlns:r="http://schemas.openxmlformats.org/officeDocument/2006/relationships" ref="J3341" r:id="rId9690"/>
    <hyperlink xmlns:r="http://schemas.openxmlformats.org/officeDocument/2006/relationships" ref="I3342" r:id="rId9691"/>
    <hyperlink xmlns:r="http://schemas.openxmlformats.org/officeDocument/2006/relationships" ref="J3342" r:id="rId9692"/>
    <hyperlink xmlns:r="http://schemas.openxmlformats.org/officeDocument/2006/relationships" ref="K3342" r:id="rId9693"/>
    <hyperlink xmlns:r="http://schemas.openxmlformats.org/officeDocument/2006/relationships" ref="I3343" r:id="rId9694"/>
    <hyperlink xmlns:r="http://schemas.openxmlformats.org/officeDocument/2006/relationships" ref="J3343" r:id="rId9695"/>
    <hyperlink xmlns:r="http://schemas.openxmlformats.org/officeDocument/2006/relationships" ref="K3343" r:id="rId9696"/>
    <hyperlink xmlns:r="http://schemas.openxmlformats.org/officeDocument/2006/relationships" ref="I3344" r:id="rId9697"/>
    <hyperlink xmlns:r="http://schemas.openxmlformats.org/officeDocument/2006/relationships" ref="J3344" r:id="rId9698"/>
    <hyperlink xmlns:r="http://schemas.openxmlformats.org/officeDocument/2006/relationships" ref="K3344" r:id="rId9699"/>
    <hyperlink xmlns:r="http://schemas.openxmlformats.org/officeDocument/2006/relationships" ref="I3345" r:id="rId9700"/>
    <hyperlink xmlns:r="http://schemas.openxmlformats.org/officeDocument/2006/relationships" ref="J3345" r:id="rId9701"/>
    <hyperlink xmlns:r="http://schemas.openxmlformats.org/officeDocument/2006/relationships" ref="K3345" r:id="rId9702"/>
    <hyperlink xmlns:r="http://schemas.openxmlformats.org/officeDocument/2006/relationships" ref="I3346" r:id="rId9703"/>
    <hyperlink xmlns:r="http://schemas.openxmlformats.org/officeDocument/2006/relationships" ref="J3346" r:id="rId9704"/>
    <hyperlink xmlns:r="http://schemas.openxmlformats.org/officeDocument/2006/relationships" ref="K3346" r:id="rId9705"/>
    <hyperlink xmlns:r="http://schemas.openxmlformats.org/officeDocument/2006/relationships" ref="I3347" r:id="rId9706"/>
    <hyperlink xmlns:r="http://schemas.openxmlformats.org/officeDocument/2006/relationships" ref="J3347" r:id="rId9707"/>
    <hyperlink xmlns:r="http://schemas.openxmlformats.org/officeDocument/2006/relationships" ref="K3347" r:id="rId9708"/>
    <hyperlink xmlns:r="http://schemas.openxmlformats.org/officeDocument/2006/relationships" ref="I3348" r:id="rId9709"/>
    <hyperlink xmlns:r="http://schemas.openxmlformats.org/officeDocument/2006/relationships" ref="J3348" r:id="rId9710"/>
    <hyperlink xmlns:r="http://schemas.openxmlformats.org/officeDocument/2006/relationships" ref="K3348" r:id="rId9711"/>
    <hyperlink xmlns:r="http://schemas.openxmlformats.org/officeDocument/2006/relationships" ref="I3349" r:id="rId9712"/>
    <hyperlink xmlns:r="http://schemas.openxmlformats.org/officeDocument/2006/relationships" ref="J3349" r:id="rId9713"/>
    <hyperlink xmlns:r="http://schemas.openxmlformats.org/officeDocument/2006/relationships" ref="K3349" r:id="rId9714"/>
    <hyperlink xmlns:r="http://schemas.openxmlformats.org/officeDocument/2006/relationships" ref="I3350" r:id="rId9715"/>
    <hyperlink xmlns:r="http://schemas.openxmlformats.org/officeDocument/2006/relationships" ref="J3350" r:id="rId9716"/>
    <hyperlink xmlns:r="http://schemas.openxmlformats.org/officeDocument/2006/relationships" ref="K3350" r:id="rId9717"/>
    <hyperlink xmlns:r="http://schemas.openxmlformats.org/officeDocument/2006/relationships" ref="I3351" r:id="rId9718"/>
    <hyperlink xmlns:r="http://schemas.openxmlformats.org/officeDocument/2006/relationships" ref="J3351" r:id="rId9719"/>
    <hyperlink xmlns:r="http://schemas.openxmlformats.org/officeDocument/2006/relationships" ref="K3351" r:id="rId9720"/>
    <hyperlink xmlns:r="http://schemas.openxmlformats.org/officeDocument/2006/relationships" ref="I3352" r:id="rId9721"/>
    <hyperlink xmlns:r="http://schemas.openxmlformats.org/officeDocument/2006/relationships" ref="J3352" r:id="rId9722"/>
    <hyperlink xmlns:r="http://schemas.openxmlformats.org/officeDocument/2006/relationships" ref="K3352" r:id="rId9723"/>
    <hyperlink xmlns:r="http://schemas.openxmlformats.org/officeDocument/2006/relationships" ref="I3353" r:id="rId9724"/>
    <hyperlink xmlns:r="http://schemas.openxmlformats.org/officeDocument/2006/relationships" ref="J3353" r:id="rId9725"/>
    <hyperlink xmlns:r="http://schemas.openxmlformats.org/officeDocument/2006/relationships" ref="K3353" r:id="rId9726"/>
    <hyperlink xmlns:r="http://schemas.openxmlformats.org/officeDocument/2006/relationships" ref="I3354" r:id="rId9727"/>
    <hyperlink xmlns:r="http://schemas.openxmlformats.org/officeDocument/2006/relationships" ref="J3354" r:id="rId9728"/>
    <hyperlink xmlns:r="http://schemas.openxmlformats.org/officeDocument/2006/relationships" ref="K3354" r:id="rId9729"/>
    <hyperlink xmlns:r="http://schemas.openxmlformats.org/officeDocument/2006/relationships" ref="I3355" r:id="rId9730"/>
    <hyperlink xmlns:r="http://schemas.openxmlformats.org/officeDocument/2006/relationships" ref="J3355" r:id="rId9731"/>
    <hyperlink xmlns:r="http://schemas.openxmlformats.org/officeDocument/2006/relationships" ref="K3355" r:id="rId9732"/>
    <hyperlink xmlns:r="http://schemas.openxmlformats.org/officeDocument/2006/relationships" ref="I3356" r:id="rId9733"/>
    <hyperlink xmlns:r="http://schemas.openxmlformats.org/officeDocument/2006/relationships" ref="J3356" r:id="rId9734"/>
    <hyperlink xmlns:r="http://schemas.openxmlformats.org/officeDocument/2006/relationships" ref="K3356" r:id="rId9735"/>
    <hyperlink xmlns:r="http://schemas.openxmlformats.org/officeDocument/2006/relationships" ref="I3357" r:id="rId9736"/>
    <hyperlink xmlns:r="http://schemas.openxmlformats.org/officeDocument/2006/relationships" ref="J3357" r:id="rId9737"/>
    <hyperlink xmlns:r="http://schemas.openxmlformats.org/officeDocument/2006/relationships" ref="K3357" r:id="rId9738"/>
    <hyperlink xmlns:r="http://schemas.openxmlformats.org/officeDocument/2006/relationships" ref="I3358" r:id="rId9739"/>
    <hyperlink xmlns:r="http://schemas.openxmlformats.org/officeDocument/2006/relationships" ref="J3358" r:id="rId9740"/>
    <hyperlink xmlns:r="http://schemas.openxmlformats.org/officeDocument/2006/relationships" ref="K3358" r:id="rId9741"/>
    <hyperlink xmlns:r="http://schemas.openxmlformats.org/officeDocument/2006/relationships" ref="I3359" r:id="rId9742"/>
    <hyperlink xmlns:r="http://schemas.openxmlformats.org/officeDocument/2006/relationships" ref="J3359" r:id="rId9743"/>
    <hyperlink xmlns:r="http://schemas.openxmlformats.org/officeDocument/2006/relationships" ref="K3359" r:id="rId9744"/>
    <hyperlink xmlns:r="http://schemas.openxmlformats.org/officeDocument/2006/relationships" ref="I3360" r:id="rId9745"/>
    <hyperlink xmlns:r="http://schemas.openxmlformats.org/officeDocument/2006/relationships" ref="J3360" r:id="rId9746"/>
    <hyperlink xmlns:r="http://schemas.openxmlformats.org/officeDocument/2006/relationships" ref="K3360" r:id="rId9747"/>
    <hyperlink xmlns:r="http://schemas.openxmlformats.org/officeDocument/2006/relationships" ref="I3361" r:id="rId9748"/>
    <hyperlink xmlns:r="http://schemas.openxmlformats.org/officeDocument/2006/relationships" ref="J3361" r:id="rId9749"/>
    <hyperlink xmlns:r="http://schemas.openxmlformats.org/officeDocument/2006/relationships" ref="K3361" r:id="rId9750"/>
    <hyperlink xmlns:r="http://schemas.openxmlformats.org/officeDocument/2006/relationships" ref="I3362" r:id="rId9751"/>
    <hyperlink xmlns:r="http://schemas.openxmlformats.org/officeDocument/2006/relationships" ref="J3362" r:id="rId9752"/>
    <hyperlink xmlns:r="http://schemas.openxmlformats.org/officeDocument/2006/relationships" ref="K3362" r:id="rId9753"/>
    <hyperlink xmlns:r="http://schemas.openxmlformats.org/officeDocument/2006/relationships" ref="I3363" r:id="rId9754"/>
    <hyperlink xmlns:r="http://schemas.openxmlformats.org/officeDocument/2006/relationships" ref="J3363" r:id="rId9755"/>
    <hyperlink xmlns:r="http://schemas.openxmlformats.org/officeDocument/2006/relationships" ref="K3363" r:id="rId9756"/>
    <hyperlink xmlns:r="http://schemas.openxmlformats.org/officeDocument/2006/relationships" ref="I3364" r:id="rId9757"/>
    <hyperlink xmlns:r="http://schemas.openxmlformats.org/officeDocument/2006/relationships" ref="J3364" r:id="rId9758"/>
    <hyperlink xmlns:r="http://schemas.openxmlformats.org/officeDocument/2006/relationships" ref="K3364" r:id="rId9759"/>
    <hyperlink xmlns:r="http://schemas.openxmlformats.org/officeDocument/2006/relationships" ref="I3365" r:id="rId9760"/>
    <hyperlink xmlns:r="http://schemas.openxmlformats.org/officeDocument/2006/relationships" ref="J3365" r:id="rId9761"/>
    <hyperlink xmlns:r="http://schemas.openxmlformats.org/officeDocument/2006/relationships" ref="K3365" r:id="rId9762"/>
    <hyperlink xmlns:r="http://schemas.openxmlformats.org/officeDocument/2006/relationships" ref="I3366" r:id="rId9763"/>
    <hyperlink xmlns:r="http://schemas.openxmlformats.org/officeDocument/2006/relationships" ref="J3366" r:id="rId9764"/>
    <hyperlink xmlns:r="http://schemas.openxmlformats.org/officeDocument/2006/relationships" ref="K3366" r:id="rId9765"/>
    <hyperlink xmlns:r="http://schemas.openxmlformats.org/officeDocument/2006/relationships" ref="I3367" r:id="rId9766"/>
    <hyperlink xmlns:r="http://schemas.openxmlformats.org/officeDocument/2006/relationships" ref="J3367" r:id="rId9767"/>
    <hyperlink xmlns:r="http://schemas.openxmlformats.org/officeDocument/2006/relationships" ref="K3367" r:id="rId9768"/>
    <hyperlink xmlns:r="http://schemas.openxmlformats.org/officeDocument/2006/relationships" ref="I3368" r:id="rId9769"/>
    <hyperlink xmlns:r="http://schemas.openxmlformats.org/officeDocument/2006/relationships" ref="J3368" r:id="rId9770"/>
    <hyperlink xmlns:r="http://schemas.openxmlformats.org/officeDocument/2006/relationships" ref="K3368" r:id="rId9771"/>
    <hyperlink xmlns:r="http://schemas.openxmlformats.org/officeDocument/2006/relationships" ref="I3369" r:id="rId9772"/>
    <hyperlink xmlns:r="http://schemas.openxmlformats.org/officeDocument/2006/relationships" ref="J3369" r:id="rId9773"/>
    <hyperlink xmlns:r="http://schemas.openxmlformats.org/officeDocument/2006/relationships" ref="K3369" r:id="rId9774"/>
    <hyperlink xmlns:r="http://schemas.openxmlformats.org/officeDocument/2006/relationships" ref="I3370" r:id="rId9775"/>
    <hyperlink xmlns:r="http://schemas.openxmlformats.org/officeDocument/2006/relationships" ref="J3370" r:id="rId9776"/>
    <hyperlink xmlns:r="http://schemas.openxmlformats.org/officeDocument/2006/relationships" ref="K3370" r:id="rId9777"/>
    <hyperlink xmlns:r="http://schemas.openxmlformats.org/officeDocument/2006/relationships" ref="I3371" r:id="rId9778"/>
    <hyperlink xmlns:r="http://schemas.openxmlformats.org/officeDocument/2006/relationships" ref="J3371" r:id="rId9779"/>
    <hyperlink xmlns:r="http://schemas.openxmlformats.org/officeDocument/2006/relationships" ref="K3371" r:id="rId9780"/>
    <hyperlink xmlns:r="http://schemas.openxmlformats.org/officeDocument/2006/relationships" ref="I3372" r:id="rId9781"/>
    <hyperlink xmlns:r="http://schemas.openxmlformats.org/officeDocument/2006/relationships" ref="J3372" r:id="rId9782"/>
    <hyperlink xmlns:r="http://schemas.openxmlformats.org/officeDocument/2006/relationships" ref="K3372" r:id="rId9783"/>
    <hyperlink xmlns:r="http://schemas.openxmlformats.org/officeDocument/2006/relationships" ref="I3373" r:id="rId9784"/>
    <hyperlink xmlns:r="http://schemas.openxmlformats.org/officeDocument/2006/relationships" ref="J3373" r:id="rId9785"/>
    <hyperlink xmlns:r="http://schemas.openxmlformats.org/officeDocument/2006/relationships" ref="K3373" r:id="rId9786"/>
    <hyperlink xmlns:r="http://schemas.openxmlformats.org/officeDocument/2006/relationships" ref="I3374" r:id="rId9787"/>
    <hyperlink xmlns:r="http://schemas.openxmlformats.org/officeDocument/2006/relationships" ref="J3374" r:id="rId9788"/>
    <hyperlink xmlns:r="http://schemas.openxmlformats.org/officeDocument/2006/relationships" ref="K3374" r:id="rId9789"/>
    <hyperlink xmlns:r="http://schemas.openxmlformats.org/officeDocument/2006/relationships" ref="I3375" r:id="rId9790"/>
    <hyperlink xmlns:r="http://schemas.openxmlformats.org/officeDocument/2006/relationships" ref="J3375" r:id="rId9791"/>
    <hyperlink xmlns:r="http://schemas.openxmlformats.org/officeDocument/2006/relationships" ref="K3375" r:id="rId9792"/>
    <hyperlink xmlns:r="http://schemas.openxmlformats.org/officeDocument/2006/relationships" ref="I3376" r:id="rId9793"/>
    <hyperlink xmlns:r="http://schemas.openxmlformats.org/officeDocument/2006/relationships" ref="J3376" r:id="rId9794"/>
    <hyperlink xmlns:r="http://schemas.openxmlformats.org/officeDocument/2006/relationships" ref="K3376" r:id="rId9795"/>
    <hyperlink xmlns:r="http://schemas.openxmlformats.org/officeDocument/2006/relationships" ref="I3377" r:id="rId9796"/>
    <hyperlink xmlns:r="http://schemas.openxmlformats.org/officeDocument/2006/relationships" ref="J3377" r:id="rId9797"/>
    <hyperlink xmlns:r="http://schemas.openxmlformats.org/officeDocument/2006/relationships" ref="K3377" r:id="rId9798"/>
    <hyperlink xmlns:r="http://schemas.openxmlformats.org/officeDocument/2006/relationships" ref="I3378" r:id="rId9799"/>
    <hyperlink xmlns:r="http://schemas.openxmlformats.org/officeDocument/2006/relationships" ref="J3378" r:id="rId9800"/>
    <hyperlink xmlns:r="http://schemas.openxmlformats.org/officeDocument/2006/relationships" ref="K3378" r:id="rId9801"/>
    <hyperlink xmlns:r="http://schemas.openxmlformats.org/officeDocument/2006/relationships" ref="I3379" r:id="rId9802"/>
    <hyperlink xmlns:r="http://schemas.openxmlformats.org/officeDocument/2006/relationships" ref="J3379" r:id="rId9803"/>
    <hyperlink xmlns:r="http://schemas.openxmlformats.org/officeDocument/2006/relationships" ref="K3379" r:id="rId9804"/>
    <hyperlink xmlns:r="http://schemas.openxmlformats.org/officeDocument/2006/relationships" ref="I3380" r:id="rId9805"/>
    <hyperlink xmlns:r="http://schemas.openxmlformats.org/officeDocument/2006/relationships" ref="J3380" r:id="rId9806"/>
    <hyperlink xmlns:r="http://schemas.openxmlformats.org/officeDocument/2006/relationships" ref="K3380" r:id="rId9807"/>
    <hyperlink xmlns:r="http://schemas.openxmlformats.org/officeDocument/2006/relationships" ref="I3381" r:id="rId9808"/>
    <hyperlink xmlns:r="http://schemas.openxmlformats.org/officeDocument/2006/relationships" ref="J3381" r:id="rId9809"/>
    <hyperlink xmlns:r="http://schemas.openxmlformats.org/officeDocument/2006/relationships" ref="K3381" r:id="rId9810"/>
    <hyperlink xmlns:r="http://schemas.openxmlformats.org/officeDocument/2006/relationships" ref="I3382" r:id="rId9811"/>
    <hyperlink xmlns:r="http://schemas.openxmlformats.org/officeDocument/2006/relationships" ref="J3382" r:id="rId9812"/>
    <hyperlink xmlns:r="http://schemas.openxmlformats.org/officeDocument/2006/relationships" ref="K3382" r:id="rId9813"/>
    <hyperlink xmlns:r="http://schemas.openxmlformats.org/officeDocument/2006/relationships" ref="I3383" r:id="rId9814"/>
    <hyperlink xmlns:r="http://schemas.openxmlformats.org/officeDocument/2006/relationships" ref="J3383" r:id="rId9815"/>
    <hyperlink xmlns:r="http://schemas.openxmlformats.org/officeDocument/2006/relationships" ref="K3383" r:id="rId9816"/>
    <hyperlink xmlns:r="http://schemas.openxmlformats.org/officeDocument/2006/relationships" ref="I3384" r:id="rId9817"/>
    <hyperlink xmlns:r="http://schemas.openxmlformats.org/officeDocument/2006/relationships" ref="J3384" r:id="rId9818"/>
    <hyperlink xmlns:r="http://schemas.openxmlformats.org/officeDocument/2006/relationships" ref="K3384" r:id="rId9819"/>
    <hyperlink xmlns:r="http://schemas.openxmlformats.org/officeDocument/2006/relationships" ref="I3385" r:id="rId9820"/>
    <hyperlink xmlns:r="http://schemas.openxmlformats.org/officeDocument/2006/relationships" ref="J3385" r:id="rId9821"/>
    <hyperlink xmlns:r="http://schemas.openxmlformats.org/officeDocument/2006/relationships" ref="K3385" r:id="rId9822"/>
    <hyperlink xmlns:r="http://schemas.openxmlformats.org/officeDocument/2006/relationships" ref="I3386" r:id="rId9823"/>
    <hyperlink xmlns:r="http://schemas.openxmlformats.org/officeDocument/2006/relationships" ref="J3386" r:id="rId9824"/>
    <hyperlink xmlns:r="http://schemas.openxmlformats.org/officeDocument/2006/relationships" ref="K3386" r:id="rId9825"/>
    <hyperlink xmlns:r="http://schemas.openxmlformats.org/officeDocument/2006/relationships" ref="I3387" r:id="rId9826"/>
    <hyperlink xmlns:r="http://schemas.openxmlformats.org/officeDocument/2006/relationships" ref="J3387" r:id="rId9827"/>
    <hyperlink xmlns:r="http://schemas.openxmlformats.org/officeDocument/2006/relationships" ref="K3387" r:id="rId9828"/>
    <hyperlink xmlns:r="http://schemas.openxmlformats.org/officeDocument/2006/relationships" ref="I3388" r:id="rId9829"/>
    <hyperlink xmlns:r="http://schemas.openxmlformats.org/officeDocument/2006/relationships" ref="J3388" r:id="rId9830"/>
    <hyperlink xmlns:r="http://schemas.openxmlformats.org/officeDocument/2006/relationships" ref="K3388" r:id="rId9831"/>
    <hyperlink xmlns:r="http://schemas.openxmlformats.org/officeDocument/2006/relationships" ref="I3389" r:id="rId9832"/>
    <hyperlink xmlns:r="http://schemas.openxmlformats.org/officeDocument/2006/relationships" ref="J3389" r:id="rId9833"/>
    <hyperlink xmlns:r="http://schemas.openxmlformats.org/officeDocument/2006/relationships" ref="K3389" r:id="rId9834"/>
    <hyperlink xmlns:r="http://schemas.openxmlformats.org/officeDocument/2006/relationships" ref="I3390" r:id="rId9835"/>
    <hyperlink xmlns:r="http://schemas.openxmlformats.org/officeDocument/2006/relationships" ref="J3390" r:id="rId9836"/>
    <hyperlink xmlns:r="http://schemas.openxmlformats.org/officeDocument/2006/relationships" ref="K3390" r:id="rId9837"/>
    <hyperlink xmlns:r="http://schemas.openxmlformats.org/officeDocument/2006/relationships" ref="I3391" r:id="rId9838"/>
    <hyperlink xmlns:r="http://schemas.openxmlformats.org/officeDocument/2006/relationships" ref="J3391" r:id="rId9839"/>
    <hyperlink xmlns:r="http://schemas.openxmlformats.org/officeDocument/2006/relationships" ref="K3391" r:id="rId9840"/>
    <hyperlink xmlns:r="http://schemas.openxmlformats.org/officeDocument/2006/relationships" ref="I3392" r:id="rId9841"/>
    <hyperlink xmlns:r="http://schemas.openxmlformats.org/officeDocument/2006/relationships" ref="J3392" r:id="rId9842"/>
    <hyperlink xmlns:r="http://schemas.openxmlformats.org/officeDocument/2006/relationships" ref="K3392" r:id="rId9843"/>
    <hyperlink xmlns:r="http://schemas.openxmlformats.org/officeDocument/2006/relationships" ref="I3393" r:id="rId9844"/>
    <hyperlink xmlns:r="http://schemas.openxmlformats.org/officeDocument/2006/relationships" ref="J3393" r:id="rId9845"/>
    <hyperlink xmlns:r="http://schemas.openxmlformats.org/officeDocument/2006/relationships" ref="K3393" r:id="rId9846"/>
    <hyperlink xmlns:r="http://schemas.openxmlformats.org/officeDocument/2006/relationships" ref="I3394" r:id="rId9847"/>
    <hyperlink xmlns:r="http://schemas.openxmlformats.org/officeDocument/2006/relationships" ref="J3394" r:id="rId9848"/>
    <hyperlink xmlns:r="http://schemas.openxmlformats.org/officeDocument/2006/relationships" ref="K3394" r:id="rId9849"/>
    <hyperlink xmlns:r="http://schemas.openxmlformats.org/officeDocument/2006/relationships" ref="I3395" r:id="rId9850"/>
    <hyperlink xmlns:r="http://schemas.openxmlformats.org/officeDocument/2006/relationships" ref="J3395" r:id="rId9851"/>
    <hyperlink xmlns:r="http://schemas.openxmlformats.org/officeDocument/2006/relationships" ref="K3395" r:id="rId9852"/>
    <hyperlink xmlns:r="http://schemas.openxmlformats.org/officeDocument/2006/relationships" ref="I3396" r:id="rId9853"/>
    <hyperlink xmlns:r="http://schemas.openxmlformats.org/officeDocument/2006/relationships" ref="J3396" r:id="rId9854"/>
    <hyperlink xmlns:r="http://schemas.openxmlformats.org/officeDocument/2006/relationships" ref="K3396" r:id="rId9855"/>
    <hyperlink xmlns:r="http://schemas.openxmlformats.org/officeDocument/2006/relationships" ref="I3397" r:id="rId9856"/>
    <hyperlink xmlns:r="http://schemas.openxmlformats.org/officeDocument/2006/relationships" ref="J3397" r:id="rId9857"/>
    <hyperlink xmlns:r="http://schemas.openxmlformats.org/officeDocument/2006/relationships" ref="K3397" r:id="rId9858"/>
    <hyperlink xmlns:r="http://schemas.openxmlformats.org/officeDocument/2006/relationships" ref="I3398" r:id="rId9859"/>
    <hyperlink xmlns:r="http://schemas.openxmlformats.org/officeDocument/2006/relationships" ref="J3398" r:id="rId9860"/>
    <hyperlink xmlns:r="http://schemas.openxmlformats.org/officeDocument/2006/relationships" ref="K3398" r:id="rId9861"/>
    <hyperlink xmlns:r="http://schemas.openxmlformats.org/officeDocument/2006/relationships" ref="I3399" r:id="rId9862"/>
    <hyperlink xmlns:r="http://schemas.openxmlformats.org/officeDocument/2006/relationships" ref="J3399" r:id="rId9863"/>
    <hyperlink xmlns:r="http://schemas.openxmlformats.org/officeDocument/2006/relationships" ref="K3399" r:id="rId9864"/>
    <hyperlink xmlns:r="http://schemas.openxmlformats.org/officeDocument/2006/relationships" ref="I3400" r:id="rId9865"/>
    <hyperlink xmlns:r="http://schemas.openxmlformats.org/officeDocument/2006/relationships" ref="J3400" r:id="rId9866"/>
    <hyperlink xmlns:r="http://schemas.openxmlformats.org/officeDocument/2006/relationships" ref="K3400" r:id="rId9867"/>
    <hyperlink xmlns:r="http://schemas.openxmlformats.org/officeDocument/2006/relationships" ref="I3401" r:id="rId9868"/>
    <hyperlink xmlns:r="http://schemas.openxmlformats.org/officeDocument/2006/relationships" ref="J3401" r:id="rId9869"/>
    <hyperlink xmlns:r="http://schemas.openxmlformats.org/officeDocument/2006/relationships" ref="K3401" r:id="rId9870"/>
    <hyperlink xmlns:r="http://schemas.openxmlformats.org/officeDocument/2006/relationships" ref="I3402" r:id="rId9871"/>
    <hyperlink xmlns:r="http://schemas.openxmlformats.org/officeDocument/2006/relationships" ref="J3402" r:id="rId9872"/>
    <hyperlink xmlns:r="http://schemas.openxmlformats.org/officeDocument/2006/relationships" ref="K3402" r:id="rId9873"/>
    <hyperlink xmlns:r="http://schemas.openxmlformats.org/officeDocument/2006/relationships" ref="I3403" r:id="rId9874"/>
    <hyperlink xmlns:r="http://schemas.openxmlformats.org/officeDocument/2006/relationships" ref="J3403" r:id="rId9875"/>
    <hyperlink xmlns:r="http://schemas.openxmlformats.org/officeDocument/2006/relationships" ref="K3403" r:id="rId9876"/>
    <hyperlink xmlns:r="http://schemas.openxmlformats.org/officeDocument/2006/relationships" ref="I3404" r:id="rId9877"/>
    <hyperlink xmlns:r="http://schemas.openxmlformats.org/officeDocument/2006/relationships" ref="J3404" r:id="rId9878"/>
    <hyperlink xmlns:r="http://schemas.openxmlformats.org/officeDocument/2006/relationships" ref="K3404" r:id="rId9879"/>
    <hyperlink xmlns:r="http://schemas.openxmlformats.org/officeDocument/2006/relationships" ref="I3405" r:id="rId9880"/>
    <hyperlink xmlns:r="http://schemas.openxmlformats.org/officeDocument/2006/relationships" ref="J3405" r:id="rId9881"/>
    <hyperlink xmlns:r="http://schemas.openxmlformats.org/officeDocument/2006/relationships" ref="K3405" r:id="rId9882"/>
    <hyperlink xmlns:r="http://schemas.openxmlformats.org/officeDocument/2006/relationships" ref="I3406" r:id="rId9883"/>
    <hyperlink xmlns:r="http://schemas.openxmlformats.org/officeDocument/2006/relationships" ref="J3406" r:id="rId9884"/>
    <hyperlink xmlns:r="http://schemas.openxmlformats.org/officeDocument/2006/relationships" ref="K3406" r:id="rId9885"/>
    <hyperlink xmlns:r="http://schemas.openxmlformats.org/officeDocument/2006/relationships" ref="I3407" r:id="rId9886"/>
    <hyperlink xmlns:r="http://schemas.openxmlformats.org/officeDocument/2006/relationships" ref="J3407" r:id="rId9887"/>
    <hyperlink xmlns:r="http://schemas.openxmlformats.org/officeDocument/2006/relationships" ref="K3407" r:id="rId9888"/>
    <hyperlink xmlns:r="http://schemas.openxmlformats.org/officeDocument/2006/relationships" ref="I3408" r:id="rId9889"/>
    <hyperlink xmlns:r="http://schemas.openxmlformats.org/officeDocument/2006/relationships" ref="J3408" r:id="rId9890"/>
    <hyperlink xmlns:r="http://schemas.openxmlformats.org/officeDocument/2006/relationships" ref="K3408" r:id="rId9891"/>
    <hyperlink xmlns:r="http://schemas.openxmlformats.org/officeDocument/2006/relationships" ref="I3409" r:id="rId9892"/>
    <hyperlink xmlns:r="http://schemas.openxmlformats.org/officeDocument/2006/relationships" ref="J3409" r:id="rId9893"/>
    <hyperlink xmlns:r="http://schemas.openxmlformats.org/officeDocument/2006/relationships" ref="K3409" r:id="rId9894"/>
    <hyperlink xmlns:r="http://schemas.openxmlformats.org/officeDocument/2006/relationships" ref="I3410" r:id="rId9895"/>
    <hyperlink xmlns:r="http://schemas.openxmlformats.org/officeDocument/2006/relationships" ref="J3410" r:id="rId9896"/>
    <hyperlink xmlns:r="http://schemas.openxmlformats.org/officeDocument/2006/relationships" ref="K3410" r:id="rId9897"/>
    <hyperlink xmlns:r="http://schemas.openxmlformats.org/officeDocument/2006/relationships" ref="I3411" r:id="rId9898"/>
    <hyperlink xmlns:r="http://schemas.openxmlformats.org/officeDocument/2006/relationships" ref="J3411" r:id="rId9899"/>
    <hyperlink xmlns:r="http://schemas.openxmlformats.org/officeDocument/2006/relationships" ref="K3411" r:id="rId9900"/>
    <hyperlink xmlns:r="http://schemas.openxmlformats.org/officeDocument/2006/relationships" ref="I3412" r:id="rId9901"/>
    <hyperlink xmlns:r="http://schemas.openxmlformats.org/officeDocument/2006/relationships" ref="J3412" r:id="rId9902"/>
    <hyperlink xmlns:r="http://schemas.openxmlformats.org/officeDocument/2006/relationships" ref="K3412" r:id="rId9903"/>
    <hyperlink xmlns:r="http://schemas.openxmlformats.org/officeDocument/2006/relationships" ref="I3413" r:id="rId9904"/>
    <hyperlink xmlns:r="http://schemas.openxmlformats.org/officeDocument/2006/relationships" ref="J3413" r:id="rId9905"/>
    <hyperlink xmlns:r="http://schemas.openxmlformats.org/officeDocument/2006/relationships" ref="K3413" r:id="rId9906"/>
    <hyperlink xmlns:r="http://schemas.openxmlformats.org/officeDocument/2006/relationships" ref="I3414" r:id="rId9907"/>
    <hyperlink xmlns:r="http://schemas.openxmlformats.org/officeDocument/2006/relationships" ref="J3414" r:id="rId9908"/>
    <hyperlink xmlns:r="http://schemas.openxmlformats.org/officeDocument/2006/relationships" ref="K3414" r:id="rId9909"/>
    <hyperlink xmlns:r="http://schemas.openxmlformats.org/officeDocument/2006/relationships" ref="I3415" r:id="rId9910"/>
    <hyperlink xmlns:r="http://schemas.openxmlformats.org/officeDocument/2006/relationships" ref="J3415" r:id="rId9911"/>
    <hyperlink xmlns:r="http://schemas.openxmlformats.org/officeDocument/2006/relationships" ref="K3415" r:id="rId9912"/>
    <hyperlink xmlns:r="http://schemas.openxmlformats.org/officeDocument/2006/relationships" ref="I3416" r:id="rId9913"/>
    <hyperlink xmlns:r="http://schemas.openxmlformats.org/officeDocument/2006/relationships" ref="J3416" r:id="rId9914"/>
    <hyperlink xmlns:r="http://schemas.openxmlformats.org/officeDocument/2006/relationships" ref="K3416" r:id="rId9915"/>
    <hyperlink xmlns:r="http://schemas.openxmlformats.org/officeDocument/2006/relationships" ref="I3417" r:id="rId9916"/>
    <hyperlink xmlns:r="http://schemas.openxmlformats.org/officeDocument/2006/relationships" ref="J3417" r:id="rId9917"/>
    <hyperlink xmlns:r="http://schemas.openxmlformats.org/officeDocument/2006/relationships" ref="K3417" r:id="rId9918"/>
    <hyperlink xmlns:r="http://schemas.openxmlformats.org/officeDocument/2006/relationships" ref="I3418" r:id="rId9919"/>
    <hyperlink xmlns:r="http://schemas.openxmlformats.org/officeDocument/2006/relationships" ref="J3418" r:id="rId9920"/>
    <hyperlink xmlns:r="http://schemas.openxmlformats.org/officeDocument/2006/relationships" ref="K3418" r:id="rId9921"/>
    <hyperlink xmlns:r="http://schemas.openxmlformats.org/officeDocument/2006/relationships" ref="I3419" r:id="rId9922"/>
    <hyperlink xmlns:r="http://schemas.openxmlformats.org/officeDocument/2006/relationships" ref="J3419" r:id="rId9923"/>
    <hyperlink xmlns:r="http://schemas.openxmlformats.org/officeDocument/2006/relationships" ref="K3419" r:id="rId9924"/>
    <hyperlink xmlns:r="http://schemas.openxmlformats.org/officeDocument/2006/relationships" ref="I3420" r:id="rId9925"/>
    <hyperlink xmlns:r="http://schemas.openxmlformats.org/officeDocument/2006/relationships" ref="J3420" r:id="rId9926"/>
    <hyperlink xmlns:r="http://schemas.openxmlformats.org/officeDocument/2006/relationships" ref="K3420" r:id="rId9927"/>
    <hyperlink xmlns:r="http://schemas.openxmlformats.org/officeDocument/2006/relationships" ref="I3421" r:id="rId9928"/>
    <hyperlink xmlns:r="http://schemas.openxmlformats.org/officeDocument/2006/relationships" ref="J3421" r:id="rId9929"/>
    <hyperlink xmlns:r="http://schemas.openxmlformats.org/officeDocument/2006/relationships" ref="K3421" r:id="rId9930"/>
    <hyperlink xmlns:r="http://schemas.openxmlformats.org/officeDocument/2006/relationships" ref="I3422" r:id="rId9931"/>
    <hyperlink xmlns:r="http://schemas.openxmlformats.org/officeDocument/2006/relationships" ref="J3422" r:id="rId9932"/>
    <hyperlink xmlns:r="http://schemas.openxmlformats.org/officeDocument/2006/relationships" ref="K3422" r:id="rId9933"/>
    <hyperlink xmlns:r="http://schemas.openxmlformats.org/officeDocument/2006/relationships" ref="I3423" r:id="rId9934"/>
    <hyperlink xmlns:r="http://schemas.openxmlformats.org/officeDocument/2006/relationships" ref="J3423" r:id="rId9935"/>
    <hyperlink xmlns:r="http://schemas.openxmlformats.org/officeDocument/2006/relationships" ref="K3423" r:id="rId9936"/>
    <hyperlink xmlns:r="http://schemas.openxmlformats.org/officeDocument/2006/relationships" ref="I3424" r:id="rId9937"/>
    <hyperlink xmlns:r="http://schemas.openxmlformats.org/officeDocument/2006/relationships" ref="J3424" r:id="rId9938"/>
    <hyperlink xmlns:r="http://schemas.openxmlformats.org/officeDocument/2006/relationships" ref="K3424" r:id="rId9939"/>
    <hyperlink xmlns:r="http://schemas.openxmlformats.org/officeDocument/2006/relationships" ref="I3425" r:id="rId9940"/>
    <hyperlink xmlns:r="http://schemas.openxmlformats.org/officeDocument/2006/relationships" ref="J3425" r:id="rId9941"/>
    <hyperlink xmlns:r="http://schemas.openxmlformats.org/officeDocument/2006/relationships" ref="K3425" r:id="rId9942"/>
    <hyperlink xmlns:r="http://schemas.openxmlformats.org/officeDocument/2006/relationships" ref="I3426" r:id="rId9943"/>
    <hyperlink xmlns:r="http://schemas.openxmlformats.org/officeDocument/2006/relationships" ref="J3426" r:id="rId9944"/>
    <hyperlink xmlns:r="http://schemas.openxmlformats.org/officeDocument/2006/relationships" ref="K3426" r:id="rId9945"/>
    <hyperlink xmlns:r="http://schemas.openxmlformats.org/officeDocument/2006/relationships" ref="I3427" r:id="rId9946"/>
    <hyperlink xmlns:r="http://schemas.openxmlformats.org/officeDocument/2006/relationships" ref="J3427" r:id="rId9947"/>
    <hyperlink xmlns:r="http://schemas.openxmlformats.org/officeDocument/2006/relationships" ref="K3427" r:id="rId9948"/>
    <hyperlink xmlns:r="http://schemas.openxmlformats.org/officeDocument/2006/relationships" ref="I3428" r:id="rId9949"/>
    <hyperlink xmlns:r="http://schemas.openxmlformats.org/officeDocument/2006/relationships" ref="J3428" r:id="rId9950"/>
    <hyperlink xmlns:r="http://schemas.openxmlformats.org/officeDocument/2006/relationships" ref="K3428" r:id="rId9951"/>
    <hyperlink xmlns:r="http://schemas.openxmlformats.org/officeDocument/2006/relationships" ref="I3429" r:id="rId9952"/>
    <hyperlink xmlns:r="http://schemas.openxmlformats.org/officeDocument/2006/relationships" ref="J3429" r:id="rId9953"/>
    <hyperlink xmlns:r="http://schemas.openxmlformats.org/officeDocument/2006/relationships" ref="K3429" r:id="rId9954"/>
    <hyperlink xmlns:r="http://schemas.openxmlformats.org/officeDocument/2006/relationships" ref="I3430" r:id="rId9955"/>
    <hyperlink xmlns:r="http://schemas.openxmlformats.org/officeDocument/2006/relationships" ref="J3430" r:id="rId9956"/>
    <hyperlink xmlns:r="http://schemas.openxmlformats.org/officeDocument/2006/relationships" ref="K3430" r:id="rId9957"/>
    <hyperlink xmlns:r="http://schemas.openxmlformats.org/officeDocument/2006/relationships" ref="I3431" r:id="rId9958"/>
    <hyperlink xmlns:r="http://schemas.openxmlformats.org/officeDocument/2006/relationships" ref="J3431" r:id="rId9959"/>
    <hyperlink xmlns:r="http://schemas.openxmlformats.org/officeDocument/2006/relationships" ref="K3431" r:id="rId9960"/>
    <hyperlink xmlns:r="http://schemas.openxmlformats.org/officeDocument/2006/relationships" ref="I3432" r:id="rId9961"/>
    <hyperlink xmlns:r="http://schemas.openxmlformats.org/officeDocument/2006/relationships" ref="J3432" r:id="rId9962"/>
    <hyperlink xmlns:r="http://schemas.openxmlformats.org/officeDocument/2006/relationships" ref="K3432" r:id="rId9963"/>
    <hyperlink xmlns:r="http://schemas.openxmlformats.org/officeDocument/2006/relationships" ref="I3433" r:id="rId9964"/>
    <hyperlink xmlns:r="http://schemas.openxmlformats.org/officeDocument/2006/relationships" ref="J3433" r:id="rId9965"/>
    <hyperlink xmlns:r="http://schemas.openxmlformats.org/officeDocument/2006/relationships" ref="K3433" r:id="rId9966"/>
    <hyperlink xmlns:r="http://schemas.openxmlformats.org/officeDocument/2006/relationships" ref="I3434" r:id="rId9967"/>
    <hyperlink xmlns:r="http://schemas.openxmlformats.org/officeDocument/2006/relationships" ref="J3434" r:id="rId9968"/>
    <hyperlink xmlns:r="http://schemas.openxmlformats.org/officeDocument/2006/relationships" ref="K3434" r:id="rId9969"/>
    <hyperlink xmlns:r="http://schemas.openxmlformats.org/officeDocument/2006/relationships" ref="I3435" r:id="rId9970"/>
    <hyperlink xmlns:r="http://schemas.openxmlformats.org/officeDocument/2006/relationships" ref="J3435" r:id="rId9971"/>
    <hyperlink xmlns:r="http://schemas.openxmlformats.org/officeDocument/2006/relationships" ref="K3435" r:id="rId9972"/>
    <hyperlink xmlns:r="http://schemas.openxmlformats.org/officeDocument/2006/relationships" ref="I3436" r:id="rId9973"/>
    <hyperlink xmlns:r="http://schemas.openxmlformats.org/officeDocument/2006/relationships" ref="J3436" r:id="rId9974"/>
    <hyperlink xmlns:r="http://schemas.openxmlformats.org/officeDocument/2006/relationships" ref="K3436" r:id="rId9975"/>
    <hyperlink xmlns:r="http://schemas.openxmlformats.org/officeDocument/2006/relationships" ref="I3437" r:id="rId9976"/>
    <hyperlink xmlns:r="http://schemas.openxmlformats.org/officeDocument/2006/relationships" ref="J3437" r:id="rId9977"/>
    <hyperlink xmlns:r="http://schemas.openxmlformats.org/officeDocument/2006/relationships" ref="K3437" r:id="rId9978"/>
    <hyperlink xmlns:r="http://schemas.openxmlformats.org/officeDocument/2006/relationships" ref="I3438" r:id="rId9979"/>
    <hyperlink xmlns:r="http://schemas.openxmlformats.org/officeDocument/2006/relationships" ref="J3438" r:id="rId9980"/>
    <hyperlink xmlns:r="http://schemas.openxmlformats.org/officeDocument/2006/relationships" ref="K3438" r:id="rId9981"/>
    <hyperlink xmlns:r="http://schemas.openxmlformats.org/officeDocument/2006/relationships" ref="I3439" r:id="rId9982"/>
    <hyperlink xmlns:r="http://schemas.openxmlformats.org/officeDocument/2006/relationships" ref="J3439" r:id="rId9983"/>
    <hyperlink xmlns:r="http://schemas.openxmlformats.org/officeDocument/2006/relationships" ref="K3439" r:id="rId9984"/>
    <hyperlink xmlns:r="http://schemas.openxmlformats.org/officeDocument/2006/relationships" ref="I3440" r:id="rId9985"/>
    <hyperlink xmlns:r="http://schemas.openxmlformats.org/officeDocument/2006/relationships" ref="J3440" r:id="rId9986"/>
    <hyperlink xmlns:r="http://schemas.openxmlformats.org/officeDocument/2006/relationships" ref="K3440" r:id="rId9987"/>
    <hyperlink xmlns:r="http://schemas.openxmlformats.org/officeDocument/2006/relationships" ref="I3441" r:id="rId9988"/>
    <hyperlink xmlns:r="http://schemas.openxmlformats.org/officeDocument/2006/relationships" ref="J3441" r:id="rId9989"/>
    <hyperlink xmlns:r="http://schemas.openxmlformats.org/officeDocument/2006/relationships" ref="K3441" r:id="rId9990"/>
    <hyperlink xmlns:r="http://schemas.openxmlformats.org/officeDocument/2006/relationships" ref="I3442" r:id="rId9991"/>
    <hyperlink xmlns:r="http://schemas.openxmlformats.org/officeDocument/2006/relationships" ref="J3442" r:id="rId9992"/>
    <hyperlink xmlns:r="http://schemas.openxmlformats.org/officeDocument/2006/relationships" ref="K3442" r:id="rId9993"/>
    <hyperlink xmlns:r="http://schemas.openxmlformats.org/officeDocument/2006/relationships" ref="I3443" r:id="rId9994"/>
    <hyperlink xmlns:r="http://schemas.openxmlformats.org/officeDocument/2006/relationships" ref="J3443" r:id="rId9995"/>
    <hyperlink xmlns:r="http://schemas.openxmlformats.org/officeDocument/2006/relationships" ref="K3443" r:id="rId9996"/>
    <hyperlink xmlns:r="http://schemas.openxmlformats.org/officeDocument/2006/relationships" ref="I3444" r:id="rId9997"/>
    <hyperlink xmlns:r="http://schemas.openxmlformats.org/officeDocument/2006/relationships" ref="J3444" r:id="rId9998"/>
    <hyperlink xmlns:r="http://schemas.openxmlformats.org/officeDocument/2006/relationships" ref="K3444" r:id="rId9999"/>
    <hyperlink xmlns:r="http://schemas.openxmlformats.org/officeDocument/2006/relationships" ref="I3445" r:id="rId10000"/>
    <hyperlink xmlns:r="http://schemas.openxmlformats.org/officeDocument/2006/relationships" ref="J3445" r:id="rId10001"/>
    <hyperlink xmlns:r="http://schemas.openxmlformats.org/officeDocument/2006/relationships" ref="K3445" r:id="rId10002"/>
    <hyperlink xmlns:r="http://schemas.openxmlformats.org/officeDocument/2006/relationships" ref="I3446" r:id="rId10003"/>
    <hyperlink xmlns:r="http://schemas.openxmlformats.org/officeDocument/2006/relationships" ref="J3446" r:id="rId10004"/>
    <hyperlink xmlns:r="http://schemas.openxmlformats.org/officeDocument/2006/relationships" ref="K3446" r:id="rId10005"/>
    <hyperlink xmlns:r="http://schemas.openxmlformats.org/officeDocument/2006/relationships" ref="I3447" r:id="rId10006"/>
    <hyperlink xmlns:r="http://schemas.openxmlformats.org/officeDocument/2006/relationships" ref="J3447" r:id="rId10007"/>
    <hyperlink xmlns:r="http://schemas.openxmlformats.org/officeDocument/2006/relationships" ref="K3447" r:id="rId10008"/>
    <hyperlink xmlns:r="http://schemas.openxmlformats.org/officeDocument/2006/relationships" ref="I3448" r:id="rId10009"/>
    <hyperlink xmlns:r="http://schemas.openxmlformats.org/officeDocument/2006/relationships" ref="J3448" r:id="rId10010"/>
    <hyperlink xmlns:r="http://schemas.openxmlformats.org/officeDocument/2006/relationships" ref="K3448" r:id="rId10011"/>
    <hyperlink xmlns:r="http://schemas.openxmlformats.org/officeDocument/2006/relationships" ref="I3449" r:id="rId10012"/>
    <hyperlink xmlns:r="http://schemas.openxmlformats.org/officeDocument/2006/relationships" ref="J3449" r:id="rId10013"/>
    <hyperlink xmlns:r="http://schemas.openxmlformats.org/officeDocument/2006/relationships" ref="K3449" r:id="rId10014"/>
    <hyperlink xmlns:r="http://schemas.openxmlformats.org/officeDocument/2006/relationships" ref="I3450" r:id="rId10015"/>
    <hyperlink xmlns:r="http://schemas.openxmlformats.org/officeDocument/2006/relationships" ref="J3450" r:id="rId10016"/>
    <hyperlink xmlns:r="http://schemas.openxmlformats.org/officeDocument/2006/relationships" ref="K3450" r:id="rId10017"/>
    <hyperlink xmlns:r="http://schemas.openxmlformats.org/officeDocument/2006/relationships" ref="I3451" r:id="rId10018"/>
    <hyperlink xmlns:r="http://schemas.openxmlformats.org/officeDocument/2006/relationships" ref="J3451" r:id="rId10019"/>
    <hyperlink xmlns:r="http://schemas.openxmlformats.org/officeDocument/2006/relationships" ref="K3451" r:id="rId10020"/>
    <hyperlink xmlns:r="http://schemas.openxmlformats.org/officeDocument/2006/relationships" ref="I3452" r:id="rId10021"/>
    <hyperlink xmlns:r="http://schemas.openxmlformats.org/officeDocument/2006/relationships" ref="J3452" r:id="rId10022"/>
    <hyperlink xmlns:r="http://schemas.openxmlformats.org/officeDocument/2006/relationships" ref="K3452" r:id="rId10023"/>
    <hyperlink xmlns:r="http://schemas.openxmlformats.org/officeDocument/2006/relationships" ref="I3453" r:id="rId10024"/>
    <hyperlink xmlns:r="http://schemas.openxmlformats.org/officeDocument/2006/relationships" ref="J3453" r:id="rId10025"/>
    <hyperlink xmlns:r="http://schemas.openxmlformats.org/officeDocument/2006/relationships" ref="K3453" r:id="rId10026"/>
    <hyperlink xmlns:r="http://schemas.openxmlformats.org/officeDocument/2006/relationships" ref="I3454" r:id="rId10027"/>
    <hyperlink xmlns:r="http://schemas.openxmlformats.org/officeDocument/2006/relationships" ref="J3454" r:id="rId10028"/>
    <hyperlink xmlns:r="http://schemas.openxmlformats.org/officeDocument/2006/relationships" ref="K3454" r:id="rId10029"/>
    <hyperlink xmlns:r="http://schemas.openxmlformats.org/officeDocument/2006/relationships" ref="I3455" r:id="rId10030"/>
    <hyperlink xmlns:r="http://schemas.openxmlformats.org/officeDocument/2006/relationships" ref="J3455" r:id="rId10031"/>
    <hyperlink xmlns:r="http://schemas.openxmlformats.org/officeDocument/2006/relationships" ref="K3455" r:id="rId10032"/>
    <hyperlink xmlns:r="http://schemas.openxmlformats.org/officeDocument/2006/relationships" ref="I3456" r:id="rId10033"/>
    <hyperlink xmlns:r="http://schemas.openxmlformats.org/officeDocument/2006/relationships" ref="J3456" r:id="rId10034"/>
    <hyperlink xmlns:r="http://schemas.openxmlformats.org/officeDocument/2006/relationships" ref="K3456" r:id="rId10035"/>
    <hyperlink xmlns:r="http://schemas.openxmlformats.org/officeDocument/2006/relationships" ref="I3457" r:id="rId10036"/>
    <hyperlink xmlns:r="http://schemas.openxmlformats.org/officeDocument/2006/relationships" ref="J3457" r:id="rId10037"/>
    <hyperlink xmlns:r="http://schemas.openxmlformats.org/officeDocument/2006/relationships" ref="K3457" r:id="rId10038"/>
    <hyperlink xmlns:r="http://schemas.openxmlformats.org/officeDocument/2006/relationships" ref="I3458" r:id="rId10039"/>
    <hyperlink xmlns:r="http://schemas.openxmlformats.org/officeDocument/2006/relationships" ref="J3458" r:id="rId10040"/>
    <hyperlink xmlns:r="http://schemas.openxmlformats.org/officeDocument/2006/relationships" ref="K3458" r:id="rId10041"/>
    <hyperlink xmlns:r="http://schemas.openxmlformats.org/officeDocument/2006/relationships" ref="I3459" r:id="rId10042"/>
    <hyperlink xmlns:r="http://schemas.openxmlformats.org/officeDocument/2006/relationships" ref="J3459" r:id="rId10043"/>
    <hyperlink xmlns:r="http://schemas.openxmlformats.org/officeDocument/2006/relationships" ref="K3459" r:id="rId10044"/>
    <hyperlink xmlns:r="http://schemas.openxmlformats.org/officeDocument/2006/relationships" ref="I3460" r:id="rId10045"/>
    <hyperlink xmlns:r="http://schemas.openxmlformats.org/officeDocument/2006/relationships" ref="J3460" r:id="rId10046"/>
    <hyperlink xmlns:r="http://schemas.openxmlformats.org/officeDocument/2006/relationships" ref="K3460" r:id="rId10047"/>
    <hyperlink xmlns:r="http://schemas.openxmlformats.org/officeDocument/2006/relationships" ref="I3461" r:id="rId10048"/>
    <hyperlink xmlns:r="http://schemas.openxmlformats.org/officeDocument/2006/relationships" ref="J3461" r:id="rId10049"/>
    <hyperlink xmlns:r="http://schemas.openxmlformats.org/officeDocument/2006/relationships" ref="K3461" r:id="rId10050"/>
    <hyperlink xmlns:r="http://schemas.openxmlformats.org/officeDocument/2006/relationships" ref="I3462" r:id="rId10051"/>
    <hyperlink xmlns:r="http://schemas.openxmlformats.org/officeDocument/2006/relationships" ref="J3462" r:id="rId10052"/>
    <hyperlink xmlns:r="http://schemas.openxmlformats.org/officeDocument/2006/relationships" ref="K3462" r:id="rId10053"/>
    <hyperlink xmlns:r="http://schemas.openxmlformats.org/officeDocument/2006/relationships" ref="I3463" r:id="rId10054"/>
    <hyperlink xmlns:r="http://schemas.openxmlformats.org/officeDocument/2006/relationships" ref="J3463" r:id="rId10055"/>
    <hyperlink xmlns:r="http://schemas.openxmlformats.org/officeDocument/2006/relationships" ref="K3463" r:id="rId10056"/>
    <hyperlink xmlns:r="http://schemas.openxmlformats.org/officeDocument/2006/relationships" ref="I3464" r:id="rId10057"/>
    <hyperlink xmlns:r="http://schemas.openxmlformats.org/officeDocument/2006/relationships" ref="J3464" r:id="rId10058"/>
    <hyperlink xmlns:r="http://schemas.openxmlformats.org/officeDocument/2006/relationships" ref="K3464" r:id="rId10059"/>
    <hyperlink xmlns:r="http://schemas.openxmlformats.org/officeDocument/2006/relationships" ref="I3465" r:id="rId10060"/>
    <hyperlink xmlns:r="http://schemas.openxmlformats.org/officeDocument/2006/relationships" ref="J3465" r:id="rId10061"/>
    <hyperlink xmlns:r="http://schemas.openxmlformats.org/officeDocument/2006/relationships" ref="K3465" r:id="rId10062"/>
    <hyperlink xmlns:r="http://schemas.openxmlformats.org/officeDocument/2006/relationships" ref="I3466" r:id="rId10063"/>
    <hyperlink xmlns:r="http://schemas.openxmlformats.org/officeDocument/2006/relationships" ref="J3466" r:id="rId10064"/>
    <hyperlink xmlns:r="http://schemas.openxmlformats.org/officeDocument/2006/relationships" ref="K3466" r:id="rId10065"/>
    <hyperlink xmlns:r="http://schemas.openxmlformats.org/officeDocument/2006/relationships" ref="I3467" r:id="rId10066"/>
    <hyperlink xmlns:r="http://schemas.openxmlformats.org/officeDocument/2006/relationships" ref="J3467" r:id="rId10067"/>
    <hyperlink xmlns:r="http://schemas.openxmlformats.org/officeDocument/2006/relationships" ref="K3467" r:id="rId10068"/>
    <hyperlink xmlns:r="http://schemas.openxmlformats.org/officeDocument/2006/relationships" ref="I3468" r:id="rId10069"/>
    <hyperlink xmlns:r="http://schemas.openxmlformats.org/officeDocument/2006/relationships" ref="J3468" r:id="rId10070"/>
    <hyperlink xmlns:r="http://schemas.openxmlformats.org/officeDocument/2006/relationships" ref="K3468" r:id="rId10071"/>
    <hyperlink xmlns:r="http://schemas.openxmlformats.org/officeDocument/2006/relationships" ref="I3469" r:id="rId10072"/>
    <hyperlink xmlns:r="http://schemas.openxmlformats.org/officeDocument/2006/relationships" ref="J3469" r:id="rId10073"/>
    <hyperlink xmlns:r="http://schemas.openxmlformats.org/officeDocument/2006/relationships" ref="K3469" r:id="rId10074"/>
    <hyperlink xmlns:r="http://schemas.openxmlformats.org/officeDocument/2006/relationships" ref="I3470" r:id="rId10075"/>
    <hyperlink xmlns:r="http://schemas.openxmlformats.org/officeDocument/2006/relationships" ref="J3470" r:id="rId10076"/>
    <hyperlink xmlns:r="http://schemas.openxmlformats.org/officeDocument/2006/relationships" ref="K3470" r:id="rId10077"/>
    <hyperlink xmlns:r="http://schemas.openxmlformats.org/officeDocument/2006/relationships" ref="I3471" r:id="rId10078"/>
    <hyperlink xmlns:r="http://schemas.openxmlformats.org/officeDocument/2006/relationships" ref="J3471" r:id="rId10079"/>
    <hyperlink xmlns:r="http://schemas.openxmlformats.org/officeDocument/2006/relationships" ref="K3471" r:id="rId10080"/>
    <hyperlink xmlns:r="http://schemas.openxmlformats.org/officeDocument/2006/relationships" ref="I3472" r:id="rId10081"/>
    <hyperlink xmlns:r="http://schemas.openxmlformats.org/officeDocument/2006/relationships" ref="J3472" r:id="rId10082"/>
    <hyperlink xmlns:r="http://schemas.openxmlformats.org/officeDocument/2006/relationships" ref="K3472" r:id="rId10083"/>
    <hyperlink xmlns:r="http://schemas.openxmlformats.org/officeDocument/2006/relationships" ref="I3473" r:id="rId10084"/>
    <hyperlink xmlns:r="http://schemas.openxmlformats.org/officeDocument/2006/relationships" ref="J3473" r:id="rId10085"/>
    <hyperlink xmlns:r="http://schemas.openxmlformats.org/officeDocument/2006/relationships" ref="K3473" r:id="rId10086"/>
    <hyperlink xmlns:r="http://schemas.openxmlformats.org/officeDocument/2006/relationships" ref="I3474" r:id="rId10087"/>
    <hyperlink xmlns:r="http://schemas.openxmlformats.org/officeDocument/2006/relationships" ref="J3474" r:id="rId10088"/>
    <hyperlink xmlns:r="http://schemas.openxmlformats.org/officeDocument/2006/relationships" ref="K3474" r:id="rId10089"/>
    <hyperlink xmlns:r="http://schemas.openxmlformats.org/officeDocument/2006/relationships" ref="I3475" r:id="rId10090"/>
    <hyperlink xmlns:r="http://schemas.openxmlformats.org/officeDocument/2006/relationships" ref="J3475" r:id="rId10091"/>
    <hyperlink xmlns:r="http://schemas.openxmlformats.org/officeDocument/2006/relationships" ref="K3475" r:id="rId10092"/>
    <hyperlink xmlns:r="http://schemas.openxmlformats.org/officeDocument/2006/relationships" ref="I3476" r:id="rId10093"/>
    <hyperlink xmlns:r="http://schemas.openxmlformats.org/officeDocument/2006/relationships" ref="J3476" r:id="rId10094"/>
    <hyperlink xmlns:r="http://schemas.openxmlformats.org/officeDocument/2006/relationships" ref="K3476" r:id="rId10095"/>
    <hyperlink xmlns:r="http://schemas.openxmlformats.org/officeDocument/2006/relationships" ref="I3477" r:id="rId10096"/>
    <hyperlink xmlns:r="http://schemas.openxmlformats.org/officeDocument/2006/relationships" ref="J3477" r:id="rId10097"/>
    <hyperlink xmlns:r="http://schemas.openxmlformats.org/officeDocument/2006/relationships" ref="K3477" r:id="rId10098"/>
    <hyperlink xmlns:r="http://schemas.openxmlformats.org/officeDocument/2006/relationships" ref="I3478" r:id="rId10099"/>
    <hyperlink xmlns:r="http://schemas.openxmlformats.org/officeDocument/2006/relationships" ref="J3478" r:id="rId10100"/>
    <hyperlink xmlns:r="http://schemas.openxmlformats.org/officeDocument/2006/relationships" ref="K3478" r:id="rId10101"/>
    <hyperlink xmlns:r="http://schemas.openxmlformats.org/officeDocument/2006/relationships" ref="I3479" r:id="rId10102"/>
    <hyperlink xmlns:r="http://schemas.openxmlformats.org/officeDocument/2006/relationships" ref="J3479" r:id="rId10103"/>
    <hyperlink xmlns:r="http://schemas.openxmlformats.org/officeDocument/2006/relationships" ref="K3479" r:id="rId10104"/>
    <hyperlink xmlns:r="http://schemas.openxmlformats.org/officeDocument/2006/relationships" ref="I3480" r:id="rId10105"/>
    <hyperlink xmlns:r="http://schemas.openxmlformats.org/officeDocument/2006/relationships" ref="J3480" r:id="rId10106"/>
    <hyperlink xmlns:r="http://schemas.openxmlformats.org/officeDocument/2006/relationships" ref="K3480" r:id="rId10107"/>
    <hyperlink xmlns:r="http://schemas.openxmlformats.org/officeDocument/2006/relationships" ref="I3481" r:id="rId10108"/>
    <hyperlink xmlns:r="http://schemas.openxmlformats.org/officeDocument/2006/relationships" ref="J3481" r:id="rId10109"/>
    <hyperlink xmlns:r="http://schemas.openxmlformats.org/officeDocument/2006/relationships" ref="K3481" r:id="rId10110"/>
    <hyperlink xmlns:r="http://schemas.openxmlformats.org/officeDocument/2006/relationships" ref="I3482" r:id="rId10111"/>
    <hyperlink xmlns:r="http://schemas.openxmlformats.org/officeDocument/2006/relationships" ref="J3482" r:id="rId10112"/>
    <hyperlink xmlns:r="http://schemas.openxmlformats.org/officeDocument/2006/relationships" ref="K3482" r:id="rId10113"/>
    <hyperlink xmlns:r="http://schemas.openxmlformats.org/officeDocument/2006/relationships" ref="I3483" r:id="rId10114"/>
    <hyperlink xmlns:r="http://schemas.openxmlformats.org/officeDocument/2006/relationships" ref="J3483" r:id="rId10115"/>
    <hyperlink xmlns:r="http://schemas.openxmlformats.org/officeDocument/2006/relationships" ref="K3483" r:id="rId10116"/>
    <hyperlink xmlns:r="http://schemas.openxmlformats.org/officeDocument/2006/relationships" ref="I3484" r:id="rId10117"/>
    <hyperlink xmlns:r="http://schemas.openxmlformats.org/officeDocument/2006/relationships" ref="J3484" r:id="rId10118"/>
    <hyperlink xmlns:r="http://schemas.openxmlformats.org/officeDocument/2006/relationships" ref="K3484" r:id="rId10119"/>
    <hyperlink xmlns:r="http://schemas.openxmlformats.org/officeDocument/2006/relationships" ref="I3485" r:id="rId10120"/>
    <hyperlink xmlns:r="http://schemas.openxmlformats.org/officeDocument/2006/relationships" ref="J3485" r:id="rId10121"/>
    <hyperlink xmlns:r="http://schemas.openxmlformats.org/officeDocument/2006/relationships" ref="K3485" r:id="rId10122"/>
    <hyperlink xmlns:r="http://schemas.openxmlformats.org/officeDocument/2006/relationships" ref="I3486" r:id="rId10123"/>
    <hyperlink xmlns:r="http://schemas.openxmlformats.org/officeDocument/2006/relationships" ref="J3486" r:id="rId10124"/>
    <hyperlink xmlns:r="http://schemas.openxmlformats.org/officeDocument/2006/relationships" ref="K3486" r:id="rId10125"/>
    <hyperlink xmlns:r="http://schemas.openxmlformats.org/officeDocument/2006/relationships" ref="I3487" r:id="rId10126"/>
    <hyperlink xmlns:r="http://schemas.openxmlformats.org/officeDocument/2006/relationships" ref="J3487" r:id="rId10127"/>
    <hyperlink xmlns:r="http://schemas.openxmlformats.org/officeDocument/2006/relationships" ref="K3487" r:id="rId10128"/>
    <hyperlink xmlns:r="http://schemas.openxmlformats.org/officeDocument/2006/relationships" ref="I3488" r:id="rId10129"/>
    <hyperlink xmlns:r="http://schemas.openxmlformats.org/officeDocument/2006/relationships" ref="J3488" r:id="rId10130"/>
    <hyperlink xmlns:r="http://schemas.openxmlformats.org/officeDocument/2006/relationships" ref="K3488" r:id="rId10131"/>
    <hyperlink xmlns:r="http://schemas.openxmlformats.org/officeDocument/2006/relationships" ref="I3489" r:id="rId10132"/>
    <hyperlink xmlns:r="http://schemas.openxmlformats.org/officeDocument/2006/relationships" ref="J3489" r:id="rId10133"/>
    <hyperlink xmlns:r="http://schemas.openxmlformats.org/officeDocument/2006/relationships" ref="K3489" r:id="rId10134"/>
    <hyperlink xmlns:r="http://schemas.openxmlformats.org/officeDocument/2006/relationships" ref="I3490" r:id="rId10135"/>
    <hyperlink xmlns:r="http://schemas.openxmlformats.org/officeDocument/2006/relationships" ref="J3490" r:id="rId10136"/>
    <hyperlink xmlns:r="http://schemas.openxmlformats.org/officeDocument/2006/relationships" ref="K3490" r:id="rId10137"/>
    <hyperlink xmlns:r="http://schemas.openxmlformats.org/officeDocument/2006/relationships" ref="I3491" r:id="rId10138"/>
    <hyperlink xmlns:r="http://schemas.openxmlformats.org/officeDocument/2006/relationships" ref="J3491" r:id="rId10139"/>
    <hyperlink xmlns:r="http://schemas.openxmlformats.org/officeDocument/2006/relationships" ref="K3491" r:id="rId10140"/>
    <hyperlink xmlns:r="http://schemas.openxmlformats.org/officeDocument/2006/relationships" ref="I3492" r:id="rId10141"/>
    <hyperlink xmlns:r="http://schemas.openxmlformats.org/officeDocument/2006/relationships" ref="J3492" r:id="rId10142"/>
    <hyperlink xmlns:r="http://schemas.openxmlformats.org/officeDocument/2006/relationships" ref="K3492" r:id="rId10143"/>
    <hyperlink xmlns:r="http://schemas.openxmlformats.org/officeDocument/2006/relationships" ref="I3493" r:id="rId10144"/>
    <hyperlink xmlns:r="http://schemas.openxmlformats.org/officeDocument/2006/relationships" ref="J3493" r:id="rId10145"/>
    <hyperlink xmlns:r="http://schemas.openxmlformats.org/officeDocument/2006/relationships" ref="K3493" r:id="rId10146"/>
    <hyperlink xmlns:r="http://schemas.openxmlformats.org/officeDocument/2006/relationships" ref="I3494" r:id="rId10147"/>
    <hyperlink xmlns:r="http://schemas.openxmlformats.org/officeDocument/2006/relationships" ref="J3494" r:id="rId10148"/>
    <hyperlink xmlns:r="http://schemas.openxmlformats.org/officeDocument/2006/relationships" ref="K3494" r:id="rId10149"/>
    <hyperlink xmlns:r="http://schemas.openxmlformats.org/officeDocument/2006/relationships" ref="I3495" r:id="rId10150"/>
    <hyperlink xmlns:r="http://schemas.openxmlformats.org/officeDocument/2006/relationships" ref="J3495" r:id="rId10151"/>
    <hyperlink xmlns:r="http://schemas.openxmlformats.org/officeDocument/2006/relationships" ref="K3495" r:id="rId10152"/>
    <hyperlink xmlns:r="http://schemas.openxmlformats.org/officeDocument/2006/relationships" ref="I3496" r:id="rId10153"/>
    <hyperlink xmlns:r="http://schemas.openxmlformats.org/officeDocument/2006/relationships" ref="J3496" r:id="rId10154"/>
    <hyperlink xmlns:r="http://schemas.openxmlformats.org/officeDocument/2006/relationships" ref="K3496" r:id="rId10155"/>
    <hyperlink xmlns:r="http://schemas.openxmlformats.org/officeDocument/2006/relationships" ref="I3497" r:id="rId10156"/>
    <hyperlink xmlns:r="http://schemas.openxmlformats.org/officeDocument/2006/relationships" ref="J3497" r:id="rId10157"/>
    <hyperlink xmlns:r="http://schemas.openxmlformats.org/officeDocument/2006/relationships" ref="K3497" r:id="rId10158"/>
    <hyperlink xmlns:r="http://schemas.openxmlformats.org/officeDocument/2006/relationships" ref="I3498" r:id="rId10159"/>
    <hyperlink xmlns:r="http://schemas.openxmlformats.org/officeDocument/2006/relationships" ref="J3498" r:id="rId10160"/>
    <hyperlink xmlns:r="http://schemas.openxmlformats.org/officeDocument/2006/relationships" ref="K3498" r:id="rId10161"/>
    <hyperlink xmlns:r="http://schemas.openxmlformats.org/officeDocument/2006/relationships" ref="I3499" r:id="rId10162"/>
    <hyperlink xmlns:r="http://schemas.openxmlformats.org/officeDocument/2006/relationships" ref="J3499" r:id="rId10163"/>
    <hyperlink xmlns:r="http://schemas.openxmlformats.org/officeDocument/2006/relationships" ref="K3499" r:id="rId10164"/>
    <hyperlink xmlns:r="http://schemas.openxmlformats.org/officeDocument/2006/relationships" ref="I3500" r:id="rId10165"/>
    <hyperlink xmlns:r="http://schemas.openxmlformats.org/officeDocument/2006/relationships" ref="J3500" r:id="rId10166"/>
    <hyperlink xmlns:r="http://schemas.openxmlformats.org/officeDocument/2006/relationships" ref="K3500" r:id="rId10167"/>
    <hyperlink xmlns:r="http://schemas.openxmlformats.org/officeDocument/2006/relationships" ref="I3501" r:id="rId10168"/>
    <hyperlink xmlns:r="http://schemas.openxmlformats.org/officeDocument/2006/relationships" ref="J3501" r:id="rId10169"/>
    <hyperlink xmlns:r="http://schemas.openxmlformats.org/officeDocument/2006/relationships" ref="K3501" r:id="rId10170"/>
    <hyperlink xmlns:r="http://schemas.openxmlformats.org/officeDocument/2006/relationships" ref="I3502" r:id="rId10171"/>
    <hyperlink xmlns:r="http://schemas.openxmlformats.org/officeDocument/2006/relationships" ref="J3502" r:id="rId10172"/>
    <hyperlink xmlns:r="http://schemas.openxmlformats.org/officeDocument/2006/relationships" ref="K3502" r:id="rId10173"/>
    <hyperlink xmlns:r="http://schemas.openxmlformats.org/officeDocument/2006/relationships" ref="I3503" r:id="rId10174"/>
    <hyperlink xmlns:r="http://schemas.openxmlformats.org/officeDocument/2006/relationships" ref="J3503" r:id="rId10175"/>
    <hyperlink xmlns:r="http://schemas.openxmlformats.org/officeDocument/2006/relationships" ref="K3503" r:id="rId10176"/>
    <hyperlink xmlns:r="http://schemas.openxmlformats.org/officeDocument/2006/relationships" ref="I3504" r:id="rId10177"/>
    <hyperlink xmlns:r="http://schemas.openxmlformats.org/officeDocument/2006/relationships" ref="J3504" r:id="rId10178"/>
    <hyperlink xmlns:r="http://schemas.openxmlformats.org/officeDocument/2006/relationships" ref="K3504" r:id="rId10179"/>
    <hyperlink xmlns:r="http://schemas.openxmlformats.org/officeDocument/2006/relationships" ref="I3505" r:id="rId10180"/>
    <hyperlink xmlns:r="http://schemas.openxmlformats.org/officeDocument/2006/relationships" ref="J3505" r:id="rId10181"/>
    <hyperlink xmlns:r="http://schemas.openxmlformats.org/officeDocument/2006/relationships" ref="K3505" r:id="rId10182"/>
    <hyperlink xmlns:r="http://schemas.openxmlformats.org/officeDocument/2006/relationships" ref="I3506" r:id="rId10183"/>
    <hyperlink xmlns:r="http://schemas.openxmlformats.org/officeDocument/2006/relationships" ref="J3506" r:id="rId10184"/>
    <hyperlink xmlns:r="http://schemas.openxmlformats.org/officeDocument/2006/relationships" ref="K3506" r:id="rId10185"/>
    <hyperlink xmlns:r="http://schemas.openxmlformats.org/officeDocument/2006/relationships" ref="I3507" r:id="rId10186"/>
    <hyperlink xmlns:r="http://schemas.openxmlformats.org/officeDocument/2006/relationships" ref="J3507" r:id="rId10187"/>
    <hyperlink xmlns:r="http://schemas.openxmlformats.org/officeDocument/2006/relationships" ref="K3507" r:id="rId10188"/>
    <hyperlink xmlns:r="http://schemas.openxmlformats.org/officeDocument/2006/relationships" ref="I3508" r:id="rId10189"/>
    <hyperlink xmlns:r="http://schemas.openxmlformats.org/officeDocument/2006/relationships" ref="J3508" r:id="rId10190"/>
    <hyperlink xmlns:r="http://schemas.openxmlformats.org/officeDocument/2006/relationships" ref="K3508" r:id="rId10191"/>
    <hyperlink xmlns:r="http://schemas.openxmlformats.org/officeDocument/2006/relationships" ref="I3509" r:id="rId10192"/>
    <hyperlink xmlns:r="http://schemas.openxmlformats.org/officeDocument/2006/relationships" ref="J3509" r:id="rId10193"/>
    <hyperlink xmlns:r="http://schemas.openxmlformats.org/officeDocument/2006/relationships" ref="K3509" r:id="rId10194"/>
    <hyperlink xmlns:r="http://schemas.openxmlformats.org/officeDocument/2006/relationships" ref="I3510" r:id="rId10195"/>
    <hyperlink xmlns:r="http://schemas.openxmlformats.org/officeDocument/2006/relationships" ref="J3510" r:id="rId10196"/>
    <hyperlink xmlns:r="http://schemas.openxmlformats.org/officeDocument/2006/relationships" ref="K3510" r:id="rId10197"/>
    <hyperlink xmlns:r="http://schemas.openxmlformats.org/officeDocument/2006/relationships" ref="I3511" r:id="rId10198"/>
    <hyperlink xmlns:r="http://schemas.openxmlformats.org/officeDocument/2006/relationships" ref="J3511" r:id="rId10199"/>
    <hyperlink xmlns:r="http://schemas.openxmlformats.org/officeDocument/2006/relationships" ref="K3511" r:id="rId10200"/>
    <hyperlink xmlns:r="http://schemas.openxmlformats.org/officeDocument/2006/relationships" ref="I3512" r:id="rId10201"/>
    <hyperlink xmlns:r="http://schemas.openxmlformats.org/officeDocument/2006/relationships" ref="J3512" r:id="rId10202"/>
    <hyperlink xmlns:r="http://schemas.openxmlformats.org/officeDocument/2006/relationships" ref="K3512" r:id="rId10203"/>
    <hyperlink xmlns:r="http://schemas.openxmlformats.org/officeDocument/2006/relationships" ref="I3513" r:id="rId10204"/>
    <hyperlink xmlns:r="http://schemas.openxmlformats.org/officeDocument/2006/relationships" ref="J3513" r:id="rId10205"/>
    <hyperlink xmlns:r="http://schemas.openxmlformats.org/officeDocument/2006/relationships" ref="K3513" r:id="rId10206"/>
    <hyperlink xmlns:r="http://schemas.openxmlformats.org/officeDocument/2006/relationships" ref="I3514" r:id="rId10207"/>
    <hyperlink xmlns:r="http://schemas.openxmlformats.org/officeDocument/2006/relationships" ref="J3514" r:id="rId10208"/>
    <hyperlink xmlns:r="http://schemas.openxmlformats.org/officeDocument/2006/relationships" ref="K3514" r:id="rId10209"/>
    <hyperlink xmlns:r="http://schemas.openxmlformats.org/officeDocument/2006/relationships" ref="I3515" r:id="rId10210"/>
    <hyperlink xmlns:r="http://schemas.openxmlformats.org/officeDocument/2006/relationships" ref="J3515" r:id="rId10211"/>
    <hyperlink xmlns:r="http://schemas.openxmlformats.org/officeDocument/2006/relationships" ref="K3515" r:id="rId10212"/>
    <hyperlink xmlns:r="http://schemas.openxmlformats.org/officeDocument/2006/relationships" ref="I3516" r:id="rId10213"/>
    <hyperlink xmlns:r="http://schemas.openxmlformats.org/officeDocument/2006/relationships" ref="J3516" r:id="rId10214"/>
    <hyperlink xmlns:r="http://schemas.openxmlformats.org/officeDocument/2006/relationships" ref="K3516" r:id="rId10215"/>
    <hyperlink xmlns:r="http://schemas.openxmlformats.org/officeDocument/2006/relationships" ref="I3517" r:id="rId10216"/>
    <hyperlink xmlns:r="http://schemas.openxmlformats.org/officeDocument/2006/relationships" ref="J3517" r:id="rId10217"/>
    <hyperlink xmlns:r="http://schemas.openxmlformats.org/officeDocument/2006/relationships" ref="K3517" r:id="rId10218"/>
    <hyperlink xmlns:r="http://schemas.openxmlformats.org/officeDocument/2006/relationships" ref="I3518" r:id="rId10219"/>
    <hyperlink xmlns:r="http://schemas.openxmlformats.org/officeDocument/2006/relationships" ref="J3518" r:id="rId10220"/>
    <hyperlink xmlns:r="http://schemas.openxmlformats.org/officeDocument/2006/relationships" ref="K3518" r:id="rId10221"/>
    <hyperlink xmlns:r="http://schemas.openxmlformats.org/officeDocument/2006/relationships" ref="I3519" r:id="rId10222"/>
    <hyperlink xmlns:r="http://schemas.openxmlformats.org/officeDocument/2006/relationships" ref="J3519" r:id="rId10223"/>
    <hyperlink xmlns:r="http://schemas.openxmlformats.org/officeDocument/2006/relationships" ref="K3519" r:id="rId10224"/>
    <hyperlink xmlns:r="http://schemas.openxmlformats.org/officeDocument/2006/relationships" ref="I3520" r:id="rId10225"/>
    <hyperlink xmlns:r="http://schemas.openxmlformats.org/officeDocument/2006/relationships" ref="J3520" r:id="rId10226"/>
    <hyperlink xmlns:r="http://schemas.openxmlformats.org/officeDocument/2006/relationships" ref="K3520" r:id="rId10227"/>
    <hyperlink xmlns:r="http://schemas.openxmlformats.org/officeDocument/2006/relationships" ref="I3521" r:id="rId10228"/>
    <hyperlink xmlns:r="http://schemas.openxmlformats.org/officeDocument/2006/relationships" ref="J3521" r:id="rId10229"/>
    <hyperlink xmlns:r="http://schemas.openxmlformats.org/officeDocument/2006/relationships" ref="K3521" r:id="rId10230"/>
    <hyperlink xmlns:r="http://schemas.openxmlformats.org/officeDocument/2006/relationships" ref="I3522" r:id="rId10231"/>
    <hyperlink xmlns:r="http://schemas.openxmlformats.org/officeDocument/2006/relationships" ref="J3522" r:id="rId10232"/>
    <hyperlink xmlns:r="http://schemas.openxmlformats.org/officeDocument/2006/relationships" ref="K3522" r:id="rId10233"/>
    <hyperlink xmlns:r="http://schemas.openxmlformats.org/officeDocument/2006/relationships" ref="I3523" r:id="rId10234"/>
    <hyperlink xmlns:r="http://schemas.openxmlformats.org/officeDocument/2006/relationships" ref="J3523" r:id="rId10235"/>
    <hyperlink xmlns:r="http://schemas.openxmlformats.org/officeDocument/2006/relationships" ref="K3523" r:id="rId10236"/>
    <hyperlink xmlns:r="http://schemas.openxmlformats.org/officeDocument/2006/relationships" ref="I3524" r:id="rId10237"/>
    <hyperlink xmlns:r="http://schemas.openxmlformats.org/officeDocument/2006/relationships" ref="J3524" r:id="rId10238"/>
    <hyperlink xmlns:r="http://schemas.openxmlformats.org/officeDocument/2006/relationships" ref="K3524" r:id="rId10239"/>
    <hyperlink xmlns:r="http://schemas.openxmlformats.org/officeDocument/2006/relationships" ref="I3525" r:id="rId10240"/>
    <hyperlink xmlns:r="http://schemas.openxmlformats.org/officeDocument/2006/relationships" ref="J3525" r:id="rId10241"/>
    <hyperlink xmlns:r="http://schemas.openxmlformats.org/officeDocument/2006/relationships" ref="K3525" r:id="rId10242"/>
    <hyperlink xmlns:r="http://schemas.openxmlformats.org/officeDocument/2006/relationships" ref="I3526" r:id="rId10243"/>
    <hyperlink xmlns:r="http://schemas.openxmlformats.org/officeDocument/2006/relationships" ref="J3526" r:id="rId10244"/>
    <hyperlink xmlns:r="http://schemas.openxmlformats.org/officeDocument/2006/relationships" ref="K3526" r:id="rId10245"/>
    <hyperlink xmlns:r="http://schemas.openxmlformats.org/officeDocument/2006/relationships" ref="I3527" r:id="rId10246"/>
    <hyperlink xmlns:r="http://schemas.openxmlformats.org/officeDocument/2006/relationships" ref="J3527" r:id="rId10247"/>
    <hyperlink xmlns:r="http://schemas.openxmlformats.org/officeDocument/2006/relationships" ref="K3527" r:id="rId10248"/>
    <hyperlink xmlns:r="http://schemas.openxmlformats.org/officeDocument/2006/relationships" ref="I3528" r:id="rId10249"/>
    <hyperlink xmlns:r="http://schemas.openxmlformats.org/officeDocument/2006/relationships" ref="J3528" r:id="rId10250"/>
    <hyperlink xmlns:r="http://schemas.openxmlformats.org/officeDocument/2006/relationships" ref="K3528" r:id="rId10251"/>
    <hyperlink xmlns:r="http://schemas.openxmlformats.org/officeDocument/2006/relationships" ref="I3529" r:id="rId10252"/>
    <hyperlink xmlns:r="http://schemas.openxmlformats.org/officeDocument/2006/relationships" ref="J3529" r:id="rId10253"/>
    <hyperlink xmlns:r="http://schemas.openxmlformats.org/officeDocument/2006/relationships" ref="K3529" r:id="rId10254"/>
    <hyperlink xmlns:r="http://schemas.openxmlformats.org/officeDocument/2006/relationships" ref="I3530" r:id="rId10255"/>
    <hyperlink xmlns:r="http://schemas.openxmlformats.org/officeDocument/2006/relationships" ref="J3530" r:id="rId10256"/>
    <hyperlink xmlns:r="http://schemas.openxmlformats.org/officeDocument/2006/relationships" ref="K3530" r:id="rId10257"/>
    <hyperlink xmlns:r="http://schemas.openxmlformats.org/officeDocument/2006/relationships" ref="I3531" r:id="rId10258"/>
    <hyperlink xmlns:r="http://schemas.openxmlformats.org/officeDocument/2006/relationships" ref="J3531" r:id="rId10259"/>
    <hyperlink xmlns:r="http://schemas.openxmlformats.org/officeDocument/2006/relationships" ref="K3531" r:id="rId10260"/>
    <hyperlink xmlns:r="http://schemas.openxmlformats.org/officeDocument/2006/relationships" ref="I3532" r:id="rId10261"/>
    <hyperlink xmlns:r="http://schemas.openxmlformats.org/officeDocument/2006/relationships" ref="J3532" r:id="rId10262"/>
    <hyperlink xmlns:r="http://schemas.openxmlformats.org/officeDocument/2006/relationships" ref="K3532" r:id="rId10263"/>
    <hyperlink xmlns:r="http://schemas.openxmlformats.org/officeDocument/2006/relationships" ref="I3533" r:id="rId10264"/>
    <hyperlink xmlns:r="http://schemas.openxmlformats.org/officeDocument/2006/relationships" ref="J3533" r:id="rId10265"/>
    <hyperlink xmlns:r="http://schemas.openxmlformats.org/officeDocument/2006/relationships" ref="K3533" r:id="rId10266"/>
    <hyperlink xmlns:r="http://schemas.openxmlformats.org/officeDocument/2006/relationships" ref="I3534" r:id="rId10267"/>
    <hyperlink xmlns:r="http://schemas.openxmlformats.org/officeDocument/2006/relationships" ref="J3534" r:id="rId10268"/>
    <hyperlink xmlns:r="http://schemas.openxmlformats.org/officeDocument/2006/relationships" ref="K3534" r:id="rId10269"/>
    <hyperlink xmlns:r="http://schemas.openxmlformats.org/officeDocument/2006/relationships" ref="I3535" r:id="rId10270"/>
    <hyperlink xmlns:r="http://schemas.openxmlformats.org/officeDocument/2006/relationships" ref="J3535" r:id="rId10271"/>
    <hyperlink xmlns:r="http://schemas.openxmlformats.org/officeDocument/2006/relationships" ref="K3535" r:id="rId10272"/>
    <hyperlink xmlns:r="http://schemas.openxmlformats.org/officeDocument/2006/relationships" ref="I3536" r:id="rId10273"/>
    <hyperlink xmlns:r="http://schemas.openxmlformats.org/officeDocument/2006/relationships" ref="J3536" r:id="rId10274"/>
    <hyperlink xmlns:r="http://schemas.openxmlformats.org/officeDocument/2006/relationships" ref="K3536" r:id="rId10275"/>
    <hyperlink xmlns:r="http://schemas.openxmlformats.org/officeDocument/2006/relationships" ref="I3537" r:id="rId10276"/>
    <hyperlink xmlns:r="http://schemas.openxmlformats.org/officeDocument/2006/relationships" ref="J3537" r:id="rId10277"/>
    <hyperlink xmlns:r="http://schemas.openxmlformats.org/officeDocument/2006/relationships" ref="K3537" r:id="rId10278"/>
    <hyperlink xmlns:r="http://schemas.openxmlformats.org/officeDocument/2006/relationships" ref="I3538" r:id="rId10279"/>
    <hyperlink xmlns:r="http://schemas.openxmlformats.org/officeDocument/2006/relationships" ref="J3538" r:id="rId10280"/>
    <hyperlink xmlns:r="http://schemas.openxmlformats.org/officeDocument/2006/relationships" ref="K3538" r:id="rId10281"/>
    <hyperlink xmlns:r="http://schemas.openxmlformats.org/officeDocument/2006/relationships" ref="I3539" r:id="rId10282"/>
    <hyperlink xmlns:r="http://schemas.openxmlformats.org/officeDocument/2006/relationships" ref="J3539" r:id="rId10283"/>
    <hyperlink xmlns:r="http://schemas.openxmlformats.org/officeDocument/2006/relationships" ref="K3539" r:id="rId10284"/>
    <hyperlink xmlns:r="http://schemas.openxmlformats.org/officeDocument/2006/relationships" ref="I3540" r:id="rId10285"/>
    <hyperlink xmlns:r="http://schemas.openxmlformats.org/officeDocument/2006/relationships" ref="J3540" r:id="rId10286"/>
    <hyperlink xmlns:r="http://schemas.openxmlformats.org/officeDocument/2006/relationships" ref="K3540" r:id="rId10287"/>
    <hyperlink xmlns:r="http://schemas.openxmlformats.org/officeDocument/2006/relationships" ref="I3541" r:id="rId10288"/>
    <hyperlink xmlns:r="http://schemas.openxmlformats.org/officeDocument/2006/relationships" ref="J3541" r:id="rId10289"/>
    <hyperlink xmlns:r="http://schemas.openxmlformats.org/officeDocument/2006/relationships" ref="K3541" r:id="rId10290"/>
    <hyperlink xmlns:r="http://schemas.openxmlformats.org/officeDocument/2006/relationships" ref="I3542" r:id="rId10291"/>
    <hyperlink xmlns:r="http://schemas.openxmlformats.org/officeDocument/2006/relationships" ref="J3542" r:id="rId10292"/>
    <hyperlink xmlns:r="http://schemas.openxmlformats.org/officeDocument/2006/relationships" ref="K3542" r:id="rId10293"/>
    <hyperlink xmlns:r="http://schemas.openxmlformats.org/officeDocument/2006/relationships" ref="I3543" r:id="rId10294"/>
    <hyperlink xmlns:r="http://schemas.openxmlformats.org/officeDocument/2006/relationships" ref="J3543" r:id="rId10295"/>
    <hyperlink xmlns:r="http://schemas.openxmlformats.org/officeDocument/2006/relationships" ref="K3543" r:id="rId10296"/>
    <hyperlink xmlns:r="http://schemas.openxmlformats.org/officeDocument/2006/relationships" ref="I3544" r:id="rId10297"/>
    <hyperlink xmlns:r="http://schemas.openxmlformats.org/officeDocument/2006/relationships" ref="J3544" r:id="rId10298"/>
    <hyperlink xmlns:r="http://schemas.openxmlformats.org/officeDocument/2006/relationships" ref="K3544" r:id="rId10299"/>
    <hyperlink xmlns:r="http://schemas.openxmlformats.org/officeDocument/2006/relationships" ref="I3545" r:id="rId10300"/>
    <hyperlink xmlns:r="http://schemas.openxmlformats.org/officeDocument/2006/relationships" ref="J3545" r:id="rId10301"/>
    <hyperlink xmlns:r="http://schemas.openxmlformats.org/officeDocument/2006/relationships" ref="K3545" r:id="rId10302"/>
    <hyperlink xmlns:r="http://schemas.openxmlformats.org/officeDocument/2006/relationships" ref="I3546" r:id="rId10303"/>
    <hyperlink xmlns:r="http://schemas.openxmlformats.org/officeDocument/2006/relationships" ref="J3546" r:id="rId10304"/>
    <hyperlink xmlns:r="http://schemas.openxmlformats.org/officeDocument/2006/relationships" ref="K3546" r:id="rId10305"/>
    <hyperlink xmlns:r="http://schemas.openxmlformats.org/officeDocument/2006/relationships" ref="I3547" r:id="rId10306"/>
    <hyperlink xmlns:r="http://schemas.openxmlformats.org/officeDocument/2006/relationships" ref="J3547" r:id="rId10307"/>
    <hyperlink xmlns:r="http://schemas.openxmlformats.org/officeDocument/2006/relationships" ref="K3547" r:id="rId10308"/>
    <hyperlink xmlns:r="http://schemas.openxmlformats.org/officeDocument/2006/relationships" ref="I3548" r:id="rId10309"/>
    <hyperlink xmlns:r="http://schemas.openxmlformats.org/officeDocument/2006/relationships" ref="J3548" r:id="rId10310"/>
    <hyperlink xmlns:r="http://schemas.openxmlformats.org/officeDocument/2006/relationships" ref="K3548" r:id="rId10311"/>
    <hyperlink xmlns:r="http://schemas.openxmlformats.org/officeDocument/2006/relationships" ref="I3549" r:id="rId10312"/>
    <hyperlink xmlns:r="http://schemas.openxmlformats.org/officeDocument/2006/relationships" ref="J3549" r:id="rId10313"/>
    <hyperlink xmlns:r="http://schemas.openxmlformats.org/officeDocument/2006/relationships" ref="K3549" r:id="rId10314"/>
    <hyperlink xmlns:r="http://schemas.openxmlformats.org/officeDocument/2006/relationships" ref="I3550" r:id="rId10315"/>
    <hyperlink xmlns:r="http://schemas.openxmlformats.org/officeDocument/2006/relationships" ref="J3550" r:id="rId10316"/>
    <hyperlink xmlns:r="http://schemas.openxmlformats.org/officeDocument/2006/relationships" ref="K3550" r:id="rId10317"/>
    <hyperlink xmlns:r="http://schemas.openxmlformats.org/officeDocument/2006/relationships" ref="I3551" r:id="rId10318"/>
    <hyperlink xmlns:r="http://schemas.openxmlformats.org/officeDocument/2006/relationships" ref="J3551" r:id="rId10319"/>
    <hyperlink xmlns:r="http://schemas.openxmlformats.org/officeDocument/2006/relationships" ref="K3551" r:id="rId10320"/>
    <hyperlink xmlns:r="http://schemas.openxmlformats.org/officeDocument/2006/relationships" ref="I3552" r:id="rId10321"/>
    <hyperlink xmlns:r="http://schemas.openxmlformats.org/officeDocument/2006/relationships" ref="J3552" r:id="rId10322"/>
    <hyperlink xmlns:r="http://schemas.openxmlformats.org/officeDocument/2006/relationships" ref="K3552" r:id="rId10323"/>
    <hyperlink xmlns:r="http://schemas.openxmlformats.org/officeDocument/2006/relationships" ref="I3553" r:id="rId10324"/>
    <hyperlink xmlns:r="http://schemas.openxmlformats.org/officeDocument/2006/relationships" ref="J3553" r:id="rId10325"/>
    <hyperlink xmlns:r="http://schemas.openxmlformats.org/officeDocument/2006/relationships" ref="K3553" r:id="rId10326"/>
    <hyperlink xmlns:r="http://schemas.openxmlformats.org/officeDocument/2006/relationships" ref="I3554" r:id="rId10327"/>
    <hyperlink xmlns:r="http://schemas.openxmlformats.org/officeDocument/2006/relationships" ref="J3554" r:id="rId10328"/>
    <hyperlink xmlns:r="http://schemas.openxmlformats.org/officeDocument/2006/relationships" ref="K3554" r:id="rId10329"/>
    <hyperlink xmlns:r="http://schemas.openxmlformats.org/officeDocument/2006/relationships" ref="I3555" r:id="rId10330"/>
    <hyperlink xmlns:r="http://schemas.openxmlformats.org/officeDocument/2006/relationships" ref="J3555" r:id="rId10331"/>
    <hyperlink xmlns:r="http://schemas.openxmlformats.org/officeDocument/2006/relationships" ref="K3555" r:id="rId10332"/>
    <hyperlink xmlns:r="http://schemas.openxmlformats.org/officeDocument/2006/relationships" ref="I3556" r:id="rId10333"/>
    <hyperlink xmlns:r="http://schemas.openxmlformats.org/officeDocument/2006/relationships" ref="J3556" r:id="rId10334"/>
    <hyperlink xmlns:r="http://schemas.openxmlformats.org/officeDocument/2006/relationships" ref="K3556" r:id="rId10335"/>
    <hyperlink xmlns:r="http://schemas.openxmlformats.org/officeDocument/2006/relationships" ref="I3557" r:id="rId10336"/>
    <hyperlink xmlns:r="http://schemas.openxmlformats.org/officeDocument/2006/relationships" ref="J3557" r:id="rId10337"/>
    <hyperlink xmlns:r="http://schemas.openxmlformats.org/officeDocument/2006/relationships" ref="K3557" r:id="rId10338"/>
    <hyperlink xmlns:r="http://schemas.openxmlformats.org/officeDocument/2006/relationships" ref="I3558" r:id="rId10339"/>
    <hyperlink xmlns:r="http://schemas.openxmlformats.org/officeDocument/2006/relationships" ref="J3558" r:id="rId10340"/>
    <hyperlink xmlns:r="http://schemas.openxmlformats.org/officeDocument/2006/relationships" ref="K3558" r:id="rId10341"/>
    <hyperlink xmlns:r="http://schemas.openxmlformats.org/officeDocument/2006/relationships" ref="I3559" r:id="rId10342"/>
    <hyperlink xmlns:r="http://schemas.openxmlformats.org/officeDocument/2006/relationships" ref="J3559" r:id="rId10343"/>
    <hyperlink xmlns:r="http://schemas.openxmlformats.org/officeDocument/2006/relationships" ref="K3559" r:id="rId10344"/>
    <hyperlink xmlns:r="http://schemas.openxmlformats.org/officeDocument/2006/relationships" ref="I3560" r:id="rId10345"/>
    <hyperlink xmlns:r="http://schemas.openxmlformats.org/officeDocument/2006/relationships" ref="J3560" r:id="rId10346"/>
    <hyperlink xmlns:r="http://schemas.openxmlformats.org/officeDocument/2006/relationships" ref="K3560" r:id="rId10347"/>
    <hyperlink xmlns:r="http://schemas.openxmlformats.org/officeDocument/2006/relationships" ref="I3561" r:id="rId10348"/>
    <hyperlink xmlns:r="http://schemas.openxmlformats.org/officeDocument/2006/relationships" ref="J3561" r:id="rId10349"/>
    <hyperlink xmlns:r="http://schemas.openxmlformats.org/officeDocument/2006/relationships" ref="K3561" r:id="rId10350"/>
    <hyperlink xmlns:r="http://schemas.openxmlformats.org/officeDocument/2006/relationships" ref="I3562" r:id="rId10351"/>
    <hyperlink xmlns:r="http://schemas.openxmlformats.org/officeDocument/2006/relationships" ref="J3562" r:id="rId10352"/>
    <hyperlink xmlns:r="http://schemas.openxmlformats.org/officeDocument/2006/relationships" ref="K3562" r:id="rId10353"/>
    <hyperlink xmlns:r="http://schemas.openxmlformats.org/officeDocument/2006/relationships" ref="I3563" r:id="rId10354"/>
    <hyperlink xmlns:r="http://schemas.openxmlformats.org/officeDocument/2006/relationships" ref="J3563" r:id="rId10355"/>
    <hyperlink xmlns:r="http://schemas.openxmlformats.org/officeDocument/2006/relationships" ref="K3563" r:id="rId10356"/>
    <hyperlink xmlns:r="http://schemas.openxmlformats.org/officeDocument/2006/relationships" ref="I3564" r:id="rId10357"/>
    <hyperlink xmlns:r="http://schemas.openxmlformats.org/officeDocument/2006/relationships" ref="J3564" r:id="rId10358"/>
    <hyperlink xmlns:r="http://schemas.openxmlformats.org/officeDocument/2006/relationships" ref="K3564" r:id="rId10359"/>
    <hyperlink xmlns:r="http://schemas.openxmlformats.org/officeDocument/2006/relationships" ref="I3565" r:id="rId10360"/>
    <hyperlink xmlns:r="http://schemas.openxmlformats.org/officeDocument/2006/relationships" ref="J3565" r:id="rId10361"/>
    <hyperlink xmlns:r="http://schemas.openxmlformats.org/officeDocument/2006/relationships" ref="K3565" r:id="rId10362"/>
    <hyperlink xmlns:r="http://schemas.openxmlformats.org/officeDocument/2006/relationships" ref="I3566" r:id="rId10363"/>
    <hyperlink xmlns:r="http://schemas.openxmlformats.org/officeDocument/2006/relationships" ref="J3566" r:id="rId10364"/>
    <hyperlink xmlns:r="http://schemas.openxmlformats.org/officeDocument/2006/relationships" ref="K3566" r:id="rId10365"/>
    <hyperlink xmlns:r="http://schemas.openxmlformats.org/officeDocument/2006/relationships" ref="I3567" r:id="rId10366"/>
    <hyperlink xmlns:r="http://schemas.openxmlformats.org/officeDocument/2006/relationships" ref="J3567" r:id="rId10367"/>
    <hyperlink xmlns:r="http://schemas.openxmlformats.org/officeDocument/2006/relationships" ref="K3567" r:id="rId10368"/>
    <hyperlink xmlns:r="http://schemas.openxmlformats.org/officeDocument/2006/relationships" ref="I3568" r:id="rId10369"/>
    <hyperlink xmlns:r="http://schemas.openxmlformats.org/officeDocument/2006/relationships" ref="J3568" r:id="rId10370"/>
    <hyperlink xmlns:r="http://schemas.openxmlformats.org/officeDocument/2006/relationships" ref="K3568" r:id="rId10371"/>
    <hyperlink xmlns:r="http://schemas.openxmlformats.org/officeDocument/2006/relationships" ref="I3569" r:id="rId10372"/>
    <hyperlink xmlns:r="http://schemas.openxmlformats.org/officeDocument/2006/relationships" ref="J3569" r:id="rId10373"/>
    <hyperlink xmlns:r="http://schemas.openxmlformats.org/officeDocument/2006/relationships" ref="K3569" r:id="rId10374"/>
    <hyperlink xmlns:r="http://schemas.openxmlformats.org/officeDocument/2006/relationships" ref="I3570" r:id="rId10375"/>
    <hyperlink xmlns:r="http://schemas.openxmlformats.org/officeDocument/2006/relationships" ref="J3570" r:id="rId10376"/>
    <hyperlink xmlns:r="http://schemas.openxmlformats.org/officeDocument/2006/relationships" ref="K3570" r:id="rId10377"/>
    <hyperlink xmlns:r="http://schemas.openxmlformats.org/officeDocument/2006/relationships" ref="I3571" r:id="rId10378"/>
    <hyperlink xmlns:r="http://schemas.openxmlformats.org/officeDocument/2006/relationships" ref="J3571" r:id="rId10379"/>
    <hyperlink xmlns:r="http://schemas.openxmlformats.org/officeDocument/2006/relationships" ref="K3571" r:id="rId10380"/>
    <hyperlink xmlns:r="http://schemas.openxmlformats.org/officeDocument/2006/relationships" ref="I3572" r:id="rId10381"/>
    <hyperlink xmlns:r="http://schemas.openxmlformats.org/officeDocument/2006/relationships" ref="J3572" r:id="rId10382"/>
    <hyperlink xmlns:r="http://schemas.openxmlformats.org/officeDocument/2006/relationships" ref="K3572" r:id="rId10383"/>
    <hyperlink xmlns:r="http://schemas.openxmlformats.org/officeDocument/2006/relationships" ref="I3573" r:id="rId10384"/>
    <hyperlink xmlns:r="http://schemas.openxmlformats.org/officeDocument/2006/relationships" ref="J3573" r:id="rId10385"/>
    <hyperlink xmlns:r="http://schemas.openxmlformats.org/officeDocument/2006/relationships" ref="K3573" r:id="rId10386"/>
    <hyperlink xmlns:r="http://schemas.openxmlformats.org/officeDocument/2006/relationships" ref="I3574" r:id="rId10387"/>
    <hyperlink xmlns:r="http://schemas.openxmlformats.org/officeDocument/2006/relationships" ref="J3574" r:id="rId10388"/>
    <hyperlink xmlns:r="http://schemas.openxmlformats.org/officeDocument/2006/relationships" ref="K3574" r:id="rId10389"/>
    <hyperlink xmlns:r="http://schemas.openxmlformats.org/officeDocument/2006/relationships" ref="I3575" r:id="rId10390"/>
    <hyperlink xmlns:r="http://schemas.openxmlformats.org/officeDocument/2006/relationships" ref="J3575" r:id="rId10391"/>
    <hyperlink xmlns:r="http://schemas.openxmlformats.org/officeDocument/2006/relationships" ref="K3575" r:id="rId10392"/>
    <hyperlink xmlns:r="http://schemas.openxmlformats.org/officeDocument/2006/relationships" ref="I3576" r:id="rId10393"/>
    <hyperlink xmlns:r="http://schemas.openxmlformats.org/officeDocument/2006/relationships" ref="J3576" r:id="rId10394"/>
    <hyperlink xmlns:r="http://schemas.openxmlformats.org/officeDocument/2006/relationships" ref="K3576" r:id="rId10395"/>
    <hyperlink xmlns:r="http://schemas.openxmlformats.org/officeDocument/2006/relationships" ref="I3577" r:id="rId10396"/>
    <hyperlink xmlns:r="http://schemas.openxmlformats.org/officeDocument/2006/relationships" ref="J3577" r:id="rId10397"/>
    <hyperlink xmlns:r="http://schemas.openxmlformats.org/officeDocument/2006/relationships" ref="K3577" r:id="rId10398"/>
    <hyperlink xmlns:r="http://schemas.openxmlformats.org/officeDocument/2006/relationships" ref="I3578" r:id="rId10399"/>
    <hyperlink xmlns:r="http://schemas.openxmlformats.org/officeDocument/2006/relationships" ref="J3578" r:id="rId10400"/>
    <hyperlink xmlns:r="http://schemas.openxmlformats.org/officeDocument/2006/relationships" ref="K3578" r:id="rId10401"/>
    <hyperlink xmlns:r="http://schemas.openxmlformats.org/officeDocument/2006/relationships" ref="I3579" r:id="rId10402"/>
    <hyperlink xmlns:r="http://schemas.openxmlformats.org/officeDocument/2006/relationships" ref="J3579" r:id="rId10403"/>
    <hyperlink xmlns:r="http://schemas.openxmlformats.org/officeDocument/2006/relationships" ref="K3579" r:id="rId10404"/>
    <hyperlink xmlns:r="http://schemas.openxmlformats.org/officeDocument/2006/relationships" ref="I3580" r:id="rId10405"/>
    <hyperlink xmlns:r="http://schemas.openxmlformats.org/officeDocument/2006/relationships" ref="J3580" r:id="rId10406"/>
    <hyperlink xmlns:r="http://schemas.openxmlformats.org/officeDocument/2006/relationships" ref="K3580" r:id="rId10407"/>
    <hyperlink xmlns:r="http://schemas.openxmlformats.org/officeDocument/2006/relationships" ref="I3581" r:id="rId10408"/>
    <hyperlink xmlns:r="http://schemas.openxmlformats.org/officeDocument/2006/relationships" ref="J3581" r:id="rId10409"/>
    <hyperlink xmlns:r="http://schemas.openxmlformats.org/officeDocument/2006/relationships" ref="K3581" r:id="rId10410"/>
    <hyperlink xmlns:r="http://schemas.openxmlformats.org/officeDocument/2006/relationships" ref="I3582" r:id="rId10411"/>
    <hyperlink xmlns:r="http://schemas.openxmlformats.org/officeDocument/2006/relationships" ref="J3582" r:id="rId10412"/>
    <hyperlink xmlns:r="http://schemas.openxmlformats.org/officeDocument/2006/relationships" ref="K3582" r:id="rId10413"/>
    <hyperlink xmlns:r="http://schemas.openxmlformats.org/officeDocument/2006/relationships" ref="I3583" r:id="rId10414"/>
    <hyperlink xmlns:r="http://schemas.openxmlformats.org/officeDocument/2006/relationships" ref="J3583" r:id="rId10415"/>
    <hyperlink xmlns:r="http://schemas.openxmlformats.org/officeDocument/2006/relationships" ref="K3583" r:id="rId10416"/>
    <hyperlink xmlns:r="http://schemas.openxmlformats.org/officeDocument/2006/relationships" ref="I3584" r:id="rId10417"/>
    <hyperlink xmlns:r="http://schemas.openxmlformats.org/officeDocument/2006/relationships" ref="J3584" r:id="rId10418"/>
    <hyperlink xmlns:r="http://schemas.openxmlformats.org/officeDocument/2006/relationships" ref="K3584" r:id="rId10419"/>
    <hyperlink xmlns:r="http://schemas.openxmlformats.org/officeDocument/2006/relationships" ref="I3585" r:id="rId10420"/>
    <hyperlink xmlns:r="http://schemas.openxmlformats.org/officeDocument/2006/relationships" ref="J3585" r:id="rId10421"/>
    <hyperlink xmlns:r="http://schemas.openxmlformats.org/officeDocument/2006/relationships" ref="K3585" r:id="rId10422"/>
    <hyperlink xmlns:r="http://schemas.openxmlformats.org/officeDocument/2006/relationships" ref="I3586" r:id="rId10423"/>
    <hyperlink xmlns:r="http://schemas.openxmlformats.org/officeDocument/2006/relationships" ref="J3586" r:id="rId10424"/>
    <hyperlink xmlns:r="http://schemas.openxmlformats.org/officeDocument/2006/relationships" ref="K3586" r:id="rId10425"/>
    <hyperlink xmlns:r="http://schemas.openxmlformats.org/officeDocument/2006/relationships" ref="I3587" r:id="rId10426"/>
    <hyperlink xmlns:r="http://schemas.openxmlformats.org/officeDocument/2006/relationships" ref="J3587" r:id="rId10427"/>
    <hyperlink xmlns:r="http://schemas.openxmlformats.org/officeDocument/2006/relationships" ref="K3587" r:id="rId10428"/>
    <hyperlink xmlns:r="http://schemas.openxmlformats.org/officeDocument/2006/relationships" ref="I3588" r:id="rId10429"/>
    <hyperlink xmlns:r="http://schemas.openxmlformats.org/officeDocument/2006/relationships" ref="J3588" r:id="rId10430"/>
    <hyperlink xmlns:r="http://schemas.openxmlformats.org/officeDocument/2006/relationships" ref="K3588" r:id="rId10431"/>
    <hyperlink xmlns:r="http://schemas.openxmlformats.org/officeDocument/2006/relationships" ref="I3589" r:id="rId10432"/>
    <hyperlink xmlns:r="http://schemas.openxmlformats.org/officeDocument/2006/relationships" ref="J3589" r:id="rId10433"/>
    <hyperlink xmlns:r="http://schemas.openxmlformats.org/officeDocument/2006/relationships" ref="K3589" r:id="rId10434"/>
    <hyperlink xmlns:r="http://schemas.openxmlformats.org/officeDocument/2006/relationships" ref="I3590" r:id="rId10435"/>
    <hyperlink xmlns:r="http://schemas.openxmlformats.org/officeDocument/2006/relationships" ref="J3590" r:id="rId10436"/>
    <hyperlink xmlns:r="http://schemas.openxmlformats.org/officeDocument/2006/relationships" ref="K3590" r:id="rId10437"/>
    <hyperlink xmlns:r="http://schemas.openxmlformats.org/officeDocument/2006/relationships" ref="I3591" r:id="rId10438"/>
    <hyperlink xmlns:r="http://schemas.openxmlformats.org/officeDocument/2006/relationships" ref="J3591" r:id="rId10439"/>
    <hyperlink xmlns:r="http://schemas.openxmlformats.org/officeDocument/2006/relationships" ref="K3591" r:id="rId10440"/>
    <hyperlink xmlns:r="http://schemas.openxmlformats.org/officeDocument/2006/relationships" ref="I3592" r:id="rId10441"/>
    <hyperlink xmlns:r="http://schemas.openxmlformats.org/officeDocument/2006/relationships" ref="J3592" r:id="rId10442"/>
    <hyperlink xmlns:r="http://schemas.openxmlformats.org/officeDocument/2006/relationships" ref="K3592" r:id="rId10443"/>
    <hyperlink xmlns:r="http://schemas.openxmlformats.org/officeDocument/2006/relationships" ref="I3593" r:id="rId10444"/>
    <hyperlink xmlns:r="http://schemas.openxmlformats.org/officeDocument/2006/relationships" ref="J3593" r:id="rId10445"/>
    <hyperlink xmlns:r="http://schemas.openxmlformats.org/officeDocument/2006/relationships" ref="K3593" r:id="rId10446"/>
    <hyperlink xmlns:r="http://schemas.openxmlformats.org/officeDocument/2006/relationships" ref="I3594" r:id="rId10447"/>
    <hyperlink xmlns:r="http://schemas.openxmlformats.org/officeDocument/2006/relationships" ref="J3594" r:id="rId10448"/>
    <hyperlink xmlns:r="http://schemas.openxmlformats.org/officeDocument/2006/relationships" ref="K3594" r:id="rId10449"/>
    <hyperlink xmlns:r="http://schemas.openxmlformats.org/officeDocument/2006/relationships" ref="I3595" r:id="rId10450"/>
    <hyperlink xmlns:r="http://schemas.openxmlformats.org/officeDocument/2006/relationships" ref="J3595" r:id="rId10451"/>
    <hyperlink xmlns:r="http://schemas.openxmlformats.org/officeDocument/2006/relationships" ref="K3595" r:id="rId10452"/>
    <hyperlink xmlns:r="http://schemas.openxmlformats.org/officeDocument/2006/relationships" ref="I3596" r:id="rId10453"/>
    <hyperlink xmlns:r="http://schemas.openxmlformats.org/officeDocument/2006/relationships" ref="J3596" r:id="rId10454"/>
    <hyperlink xmlns:r="http://schemas.openxmlformats.org/officeDocument/2006/relationships" ref="K3596" r:id="rId10455"/>
    <hyperlink xmlns:r="http://schemas.openxmlformats.org/officeDocument/2006/relationships" ref="I3597" r:id="rId10456"/>
    <hyperlink xmlns:r="http://schemas.openxmlformats.org/officeDocument/2006/relationships" ref="J3597" r:id="rId10457"/>
    <hyperlink xmlns:r="http://schemas.openxmlformats.org/officeDocument/2006/relationships" ref="K3597" r:id="rId10458"/>
    <hyperlink xmlns:r="http://schemas.openxmlformats.org/officeDocument/2006/relationships" ref="I3598" r:id="rId10459"/>
    <hyperlink xmlns:r="http://schemas.openxmlformats.org/officeDocument/2006/relationships" ref="J3598" r:id="rId10460"/>
    <hyperlink xmlns:r="http://schemas.openxmlformats.org/officeDocument/2006/relationships" ref="K3598" r:id="rId10461"/>
    <hyperlink xmlns:r="http://schemas.openxmlformats.org/officeDocument/2006/relationships" ref="I3599" r:id="rId10462"/>
    <hyperlink xmlns:r="http://schemas.openxmlformats.org/officeDocument/2006/relationships" ref="J3599" r:id="rId10463"/>
    <hyperlink xmlns:r="http://schemas.openxmlformats.org/officeDocument/2006/relationships" ref="K3599" r:id="rId10464"/>
    <hyperlink xmlns:r="http://schemas.openxmlformats.org/officeDocument/2006/relationships" ref="I3600" r:id="rId10465"/>
    <hyperlink xmlns:r="http://schemas.openxmlformats.org/officeDocument/2006/relationships" ref="J3600" r:id="rId10466"/>
    <hyperlink xmlns:r="http://schemas.openxmlformats.org/officeDocument/2006/relationships" ref="K3600" r:id="rId10467"/>
    <hyperlink xmlns:r="http://schemas.openxmlformats.org/officeDocument/2006/relationships" ref="I3601" r:id="rId10468"/>
    <hyperlink xmlns:r="http://schemas.openxmlformats.org/officeDocument/2006/relationships" ref="J3601" r:id="rId10469"/>
    <hyperlink xmlns:r="http://schemas.openxmlformats.org/officeDocument/2006/relationships" ref="K3601" r:id="rId10470"/>
    <hyperlink xmlns:r="http://schemas.openxmlformats.org/officeDocument/2006/relationships" ref="I3602" r:id="rId10471"/>
    <hyperlink xmlns:r="http://schemas.openxmlformats.org/officeDocument/2006/relationships" ref="J3602" r:id="rId10472"/>
    <hyperlink xmlns:r="http://schemas.openxmlformats.org/officeDocument/2006/relationships" ref="K3602" r:id="rId10473"/>
    <hyperlink xmlns:r="http://schemas.openxmlformats.org/officeDocument/2006/relationships" ref="I3603" r:id="rId10474"/>
    <hyperlink xmlns:r="http://schemas.openxmlformats.org/officeDocument/2006/relationships" ref="J3603" r:id="rId10475"/>
    <hyperlink xmlns:r="http://schemas.openxmlformats.org/officeDocument/2006/relationships" ref="K3603" r:id="rId10476"/>
    <hyperlink xmlns:r="http://schemas.openxmlformats.org/officeDocument/2006/relationships" ref="I3604" r:id="rId10477"/>
    <hyperlink xmlns:r="http://schemas.openxmlformats.org/officeDocument/2006/relationships" ref="J3604" r:id="rId10478"/>
    <hyperlink xmlns:r="http://schemas.openxmlformats.org/officeDocument/2006/relationships" ref="K3604" r:id="rId10479"/>
    <hyperlink xmlns:r="http://schemas.openxmlformats.org/officeDocument/2006/relationships" ref="I3605" r:id="rId10480"/>
    <hyperlink xmlns:r="http://schemas.openxmlformats.org/officeDocument/2006/relationships" ref="J3605" r:id="rId10481"/>
    <hyperlink xmlns:r="http://schemas.openxmlformats.org/officeDocument/2006/relationships" ref="K3605" r:id="rId10482"/>
    <hyperlink xmlns:r="http://schemas.openxmlformats.org/officeDocument/2006/relationships" ref="I3606" r:id="rId10483"/>
    <hyperlink xmlns:r="http://schemas.openxmlformats.org/officeDocument/2006/relationships" ref="J3606" r:id="rId10484"/>
    <hyperlink xmlns:r="http://schemas.openxmlformats.org/officeDocument/2006/relationships" ref="K3606" r:id="rId10485"/>
    <hyperlink xmlns:r="http://schemas.openxmlformats.org/officeDocument/2006/relationships" ref="I3607" r:id="rId10486"/>
    <hyperlink xmlns:r="http://schemas.openxmlformats.org/officeDocument/2006/relationships" ref="J3607" r:id="rId10487"/>
    <hyperlink xmlns:r="http://schemas.openxmlformats.org/officeDocument/2006/relationships" ref="K3607" r:id="rId10488"/>
    <hyperlink xmlns:r="http://schemas.openxmlformats.org/officeDocument/2006/relationships" ref="I3608" r:id="rId10489"/>
    <hyperlink xmlns:r="http://schemas.openxmlformats.org/officeDocument/2006/relationships" ref="J3608" r:id="rId10490"/>
    <hyperlink xmlns:r="http://schemas.openxmlformats.org/officeDocument/2006/relationships" ref="K3608" r:id="rId10491"/>
    <hyperlink xmlns:r="http://schemas.openxmlformats.org/officeDocument/2006/relationships" ref="I3609" r:id="rId10492"/>
    <hyperlink xmlns:r="http://schemas.openxmlformats.org/officeDocument/2006/relationships" ref="J3609" r:id="rId10493"/>
    <hyperlink xmlns:r="http://schemas.openxmlformats.org/officeDocument/2006/relationships" ref="K3609" r:id="rId10494"/>
    <hyperlink xmlns:r="http://schemas.openxmlformats.org/officeDocument/2006/relationships" ref="I3610" r:id="rId10495"/>
    <hyperlink xmlns:r="http://schemas.openxmlformats.org/officeDocument/2006/relationships" ref="J3610" r:id="rId10496"/>
    <hyperlink xmlns:r="http://schemas.openxmlformats.org/officeDocument/2006/relationships" ref="K3610" r:id="rId10497"/>
    <hyperlink xmlns:r="http://schemas.openxmlformats.org/officeDocument/2006/relationships" ref="I3611" r:id="rId10498"/>
    <hyperlink xmlns:r="http://schemas.openxmlformats.org/officeDocument/2006/relationships" ref="J3611" r:id="rId10499"/>
    <hyperlink xmlns:r="http://schemas.openxmlformats.org/officeDocument/2006/relationships" ref="K3611" r:id="rId10500"/>
    <hyperlink xmlns:r="http://schemas.openxmlformats.org/officeDocument/2006/relationships" ref="I3612" r:id="rId10501"/>
    <hyperlink xmlns:r="http://schemas.openxmlformats.org/officeDocument/2006/relationships" ref="J3612" r:id="rId10502"/>
    <hyperlink xmlns:r="http://schemas.openxmlformats.org/officeDocument/2006/relationships" ref="K3612" r:id="rId10503"/>
    <hyperlink xmlns:r="http://schemas.openxmlformats.org/officeDocument/2006/relationships" ref="I3613" r:id="rId10504"/>
    <hyperlink xmlns:r="http://schemas.openxmlformats.org/officeDocument/2006/relationships" ref="J3613" r:id="rId10505"/>
    <hyperlink xmlns:r="http://schemas.openxmlformats.org/officeDocument/2006/relationships" ref="K3613" r:id="rId10506"/>
    <hyperlink xmlns:r="http://schemas.openxmlformats.org/officeDocument/2006/relationships" ref="I3614" r:id="rId10507"/>
    <hyperlink xmlns:r="http://schemas.openxmlformats.org/officeDocument/2006/relationships" ref="J3614" r:id="rId10508"/>
    <hyperlink xmlns:r="http://schemas.openxmlformats.org/officeDocument/2006/relationships" ref="K3614" r:id="rId10509"/>
    <hyperlink xmlns:r="http://schemas.openxmlformats.org/officeDocument/2006/relationships" ref="I3615" r:id="rId10510"/>
    <hyperlink xmlns:r="http://schemas.openxmlformats.org/officeDocument/2006/relationships" ref="J3615" r:id="rId10511"/>
    <hyperlink xmlns:r="http://schemas.openxmlformats.org/officeDocument/2006/relationships" ref="K3615" r:id="rId10512"/>
    <hyperlink xmlns:r="http://schemas.openxmlformats.org/officeDocument/2006/relationships" ref="I3616" r:id="rId10513"/>
    <hyperlink xmlns:r="http://schemas.openxmlformats.org/officeDocument/2006/relationships" ref="J3616" r:id="rId10514"/>
    <hyperlink xmlns:r="http://schemas.openxmlformats.org/officeDocument/2006/relationships" ref="K3616" r:id="rId10515"/>
    <hyperlink xmlns:r="http://schemas.openxmlformats.org/officeDocument/2006/relationships" ref="I3617" r:id="rId10516"/>
    <hyperlink xmlns:r="http://schemas.openxmlformats.org/officeDocument/2006/relationships" ref="J3617" r:id="rId10517"/>
    <hyperlink xmlns:r="http://schemas.openxmlformats.org/officeDocument/2006/relationships" ref="K3617" r:id="rId10518"/>
    <hyperlink xmlns:r="http://schemas.openxmlformats.org/officeDocument/2006/relationships" ref="I3618" r:id="rId10519"/>
    <hyperlink xmlns:r="http://schemas.openxmlformats.org/officeDocument/2006/relationships" ref="J3618" r:id="rId10520"/>
    <hyperlink xmlns:r="http://schemas.openxmlformats.org/officeDocument/2006/relationships" ref="K3618" r:id="rId10521"/>
    <hyperlink xmlns:r="http://schemas.openxmlformats.org/officeDocument/2006/relationships" ref="I3619" r:id="rId10522"/>
    <hyperlink xmlns:r="http://schemas.openxmlformats.org/officeDocument/2006/relationships" ref="J3619" r:id="rId10523"/>
    <hyperlink xmlns:r="http://schemas.openxmlformats.org/officeDocument/2006/relationships" ref="K3619" r:id="rId10524"/>
    <hyperlink xmlns:r="http://schemas.openxmlformats.org/officeDocument/2006/relationships" ref="I3620" r:id="rId10525"/>
    <hyperlink xmlns:r="http://schemas.openxmlformats.org/officeDocument/2006/relationships" ref="J3620" r:id="rId10526"/>
    <hyperlink xmlns:r="http://schemas.openxmlformats.org/officeDocument/2006/relationships" ref="K3620" r:id="rId10527"/>
    <hyperlink xmlns:r="http://schemas.openxmlformats.org/officeDocument/2006/relationships" ref="I3621" r:id="rId10528"/>
    <hyperlink xmlns:r="http://schemas.openxmlformats.org/officeDocument/2006/relationships" ref="J3621" r:id="rId10529"/>
    <hyperlink xmlns:r="http://schemas.openxmlformats.org/officeDocument/2006/relationships" ref="K3621" r:id="rId10530"/>
    <hyperlink xmlns:r="http://schemas.openxmlformats.org/officeDocument/2006/relationships" ref="I3622" r:id="rId10531"/>
    <hyperlink xmlns:r="http://schemas.openxmlformats.org/officeDocument/2006/relationships" ref="J3622" r:id="rId10532"/>
    <hyperlink xmlns:r="http://schemas.openxmlformats.org/officeDocument/2006/relationships" ref="K3622" r:id="rId10533"/>
    <hyperlink xmlns:r="http://schemas.openxmlformats.org/officeDocument/2006/relationships" ref="I3623" r:id="rId10534"/>
    <hyperlink xmlns:r="http://schemas.openxmlformats.org/officeDocument/2006/relationships" ref="J3623" r:id="rId10535"/>
    <hyperlink xmlns:r="http://schemas.openxmlformats.org/officeDocument/2006/relationships" ref="K3623" r:id="rId10536"/>
    <hyperlink xmlns:r="http://schemas.openxmlformats.org/officeDocument/2006/relationships" ref="I3624" r:id="rId10537"/>
    <hyperlink xmlns:r="http://schemas.openxmlformats.org/officeDocument/2006/relationships" ref="J3624" r:id="rId10538"/>
    <hyperlink xmlns:r="http://schemas.openxmlformats.org/officeDocument/2006/relationships" ref="K3624" r:id="rId10539"/>
    <hyperlink xmlns:r="http://schemas.openxmlformats.org/officeDocument/2006/relationships" ref="I3625" r:id="rId10540"/>
    <hyperlink xmlns:r="http://schemas.openxmlformats.org/officeDocument/2006/relationships" ref="J3625" r:id="rId10541"/>
    <hyperlink xmlns:r="http://schemas.openxmlformats.org/officeDocument/2006/relationships" ref="K3625" r:id="rId10542"/>
    <hyperlink xmlns:r="http://schemas.openxmlformats.org/officeDocument/2006/relationships" ref="I3626" r:id="rId10543"/>
    <hyperlink xmlns:r="http://schemas.openxmlformats.org/officeDocument/2006/relationships" ref="J3626" r:id="rId10544"/>
    <hyperlink xmlns:r="http://schemas.openxmlformats.org/officeDocument/2006/relationships" ref="K3626" r:id="rId10545"/>
    <hyperlink xmlns:r="http://schemas.openxmlformats.org/officeDocument/2006/relationships" ref="I3627" r:id="rId10546"/>
    <hyperlink xmlns:r="http://schemas.openxmlformats.org/officeDocument/2006/relationships" ref="J3627" r:id="rId10547"/>
    <hyperlink xmlns:r="http://schemas.openxmlformats.org/officeDocument/2006/relationships" ref="K3627" r:id="rId10548"/>
    <hyperlink xmlns:r="http://schemas.openxmlformats.org/officeDocument/2006/relationships" ref="I3628" r:id="rId10549"/>
    <hyperlink xmlns:r="http://schemas.openxmlformats.org/officeDocument/2006/relationships" ref="J3628" r:id="rId10550"/>
    <hyperlink xmlns:r="http://schemas.openxmlformats.org/officeDocument/2006/relationships" ref="K3628" r:id="rId10551"/>
    <hyperlink xmlns:r="http://schemas.openxmlformats.org/officeDocument/2006/relationships" ref="I3629" r:id="rId10552"/>
    <hyperlink xmlns:r="http://schemas.openxmlformats.org/officeDocument/2006/relationships" ref="J3629" r:id="rId10553"/>
    <hyperlink xmlns:r="http://schemas.openxmlformats.org/officeDocument/2006/relationships" ref="K3629" r:id="rId10554"/>
    <hyperlink xmlns:r="http://schemas.openxmlformats.org/officeDocument/2006/relationships" ref="I3630" r:id="rId10555"/>
    <hyperlink xmlns:r="http://schemas.openxmlformats.org/officeDocument/2006/relationships" ref="J3630" r:id="rId10556"/>
    <hyperlink xmlns:r="http://schemas.openxmlformats.org/officeDocument/2006/relationships" ref="K3630" r:id="rId10557"/>
    <hyperlink xmlns:r="http://schemas.openxmlformats.org/officeDocument/2006/relationships" ref="I3631" r:id="rId10558"/>
    <hyperlink xmlns:r="http://schemas.openxmlformats.org/officeDocument/2006/relationships" ref="J3631" r:id="rId10559"/>
    <hyperlink xmlns:r="http://schemas.openxmlformats.org/officeDocument/2006/relationships" ref="K3631" r:id="rId10560"/>
    <hyperlink xmlns:r="http://schemas.openxmlformats.org/officeDocument/2006/relationships" ref="I3632" r:id="rId10561"/>
    <hyperlink xmlns:r="http://schemas.openxmlformats.org/officeDocument/2006/relationships" ref="J3632" r:id="rId10562"/>
    <hyperlink xmlns:r="http://schemas.openxmlformats.org/officeDocument/2006/relationships" ref="K3632" r:id="rId10563"/>
    <hyperlink xmlns:r="http://schemas.openxmlformats.org/officeDocument/2006/relationships" ref="I3633" r:id="rId10564"/>
    <hyperlink xmlns:r="http://schemas.openxmlformats.org/officeDocument/2006/relationships" ref="J3633" r:id="rId10565"/>
    <hyperlink xmlns:r="http://schemas.openxmlformats.org/officeDocument/2006/relationships" ref="K3633" r:id="rId10566"/>
    <hyperlink xmlns:r="http://schemas.openxmlformats.org/officeDocument/2006/relationships" ref="I3634" r:id="rId10567"/>
    <hyperlink xmlns:r="http://schemas.openxmlformats.org/officeDocument/2006/relationships" ref="J3634" r:id="rId10568"/>
    <hyperlink xmlns:r="http://schemas.openxmlformats.org/officeDocument/2006/relationships" ref="K3634" r:id="rId10569"/>
    <hyperlink xmlns:r="http://schemas.openxmlformats.org/officeDocument/2006/relationships" ref="I3635" r:id="rId10570"/>
    <hyperlink xmlns:r="http://schemas.openxmlformats.org/officeDocument/2006/relationships" ref="J3635" r:id="rId10571"/>
    <hyperlink xmlns:r="http://schemas.openxmlformats.org/officeDocument/2006/relationships" ref="K3635" r:id="rId10572"/>
    <hyperlink xmlns:r="http://schemas.openxmlformats.org/officeDocument/2006/relationships" ref="I3636" r:id="rId10573"/>
    <hyperlink xmlns:r="http://schemas.openxmlformats.org/officeDocument/2006/relationships" ref="J3636" r:id="rId10574"/>
    <hyperlink xmlns:r="http://schemas.openxmlformats.org/officeDocument/2006/relationships" ref="K3636" r:id="rId10575"/>
    <hyperlink xmlns:r="http://schemas.openxmlformats.org/officeDocument/2006/relationships" ref="I3637" r:id="rId10576"/>
    <hyperlink xmlns:r="http://schemas.openxmlformats.org/officeDocument/2006/relationships" ref="J3637" r:id="rId10577"/>
    <hyperlink xmlns:r="http://schemas.openxmlformats.org/officeDocument/2006/relationships" ref="K3637" r:id="rId10578"/>
    <hyperlink xmlns:r="http://schemas.openxmlformats.org/officeDocument/2006/relationships" ref="I3638" r:id="rId10579"/>
    <hyperlink xmlns:r="http://schemas.openxmlformats.org/officeDocument/2006/relationships" ref="J3638" r:id="rId10580"/>
    <hyperlink xmlns:r="http://schemas.openxmlformats.org/officeDocument/2006/relationships" ref="K3638" r:id="rId10581"/>
    <hyperlink xmlns:r="http://schemas.openxmlformats.org/officeDocument/2006/relationships" ref="I3639" r:id="rId10582"/>
    <hyperlink xmlns:r="http://schemas.openxmlformats.org/officeDocument/2006/relationships" ref="J3639" r:id="rId10583"/>
    <hyperlink xmlns:r="http://schemas.openxmlformats.org/officeDocument/2006/relationships" ref="K3639" r:id="rId10584"/>
    <hyperlink xmlns:r="http://schemas.openxmlformats.org/officeDocument/2006/relationships" ref="I3640" r:id="rId10585"/>
    <hyperlink xmlns:r="http://schemas.openxmlformats.org/officeDocument/2006/relationships" ref="J3640" r:id="rId10586"/>
    <hyperlink xmlns:r="http://schemas.openxmlformats.org/officeDocument/2006/relationships" ref="K3640" r:id="rId10587"/>
    <hyperlink xmlns:r="http://schemas.openxmlformats.org/officeDocument/2006/relationships" ref="I3641" r:id="rId10588"/>
    <hyperlink xmlns:r="http://schemas.openxmlformats.org/officeDocument/2006/relationships" ref="J3641" r:id="rId10589"/>
    <hyperlink xmlns:r="http://schemas.openxmlformats.org/officeDocument/2006/relationships" ref="K3641" r:id="rId10590"/>
    <hyperlink xmlns:r="http://schemas.openxmlformats.org/officeDocument/2006/relationships" ref="I3642" r:id="rId10591"/>
    <hyperlink xmlns:r="http://schemas.openxmlformats.org/officeDocument/2006/relationships" ref="J3642" r:id="rId10592"/>
    <hyperlink xmlns:r="http://schemas.openxmlformats.org/officeDocument/2006/relationships" ref="I3643" r:id="rId10593"/>
    <hyperlink xmlns:r="http://schemas.openxmlformats.org/officeDocument/2006/relationships" ref="J3643" r:id="rId10594"/>
    <hyperlink xmlns:r="http://schemas.openxmlformats.org/officeDocument/2006/relationships" ref="K3643" r:id="rId10595"/>
    <hyperlink xmlns:r="http://schemas.openxmlformats.org/officeDocument/2006/relationships" ref="I3644" r:id="rId10596"/>
    <hyperlink xmlns:r="http://schemas.openxmlformats.org/officeDocument/2006/relationships" ref="J3644" r:id="rId10597"/>
    <hyperlink xmlns:r="http://schemas.openxmlformats.org/officeDocument/2006/relationships" ref="K3644" r:id="rId10598"/>
    <hyperlink xmlns:r="http://schemas.openxmlformats.org/officeDocument/2006/relationships" ref="I3645" r:id="rId10599"/>
    <hyperlink xmlns:r="http://schemas.openxmlformats.org/officeDocument/2006/relationships" ref="J3645" r:id="rId10600"/>
    <hyperlink xmlns:r="http://schemas.openxmlformats.org/officeDocument/2006/relationships" ref="I3646" r:id="rId10601"/>
    <hyperlink xmlns:r="http://schemas.openxmlformats.org/officeDocument/2006/relationships" ref="J3646" r:id="rId10602"/>
    <hyperlink xmlns:r="http://schemas.openxmlformats.org/officeDocument/2006/relationships" ref="I3647" r:id="rId10603"/>
    <hyperlink xmlns:r="http://schemas.openxmlformats.org/officeDocument/2006/relationships" ref="J3647" r:id="rId10604"/>
    <hyperlink xmlns:r="http://schemas.openxmlformats.org/officeDocument/2006/relationships" ref="K3647" r:id="rId10605"/>
    <hyperlink xmlns:r="http://schemas.openxmlformats.org/officeDocument/2006/relationships" ref="I3648" r:id="rId10606"/>
    <hyperlink xmlns:r="http://schemas.openxmlformats.org/officeDocument/2006/relationships" ref="J3648" r:id="rId10607"/>
    <hyperlink xmlns:r="http://schemas.openxmlformats.org/officeDocument/2006/relationships" ref="K3648" r:id="rId10608"/>
    <hyperlink xmlns:r="http://schemas.openxmlformats.org/officeDocument/2006/relationships" ref="I3649" r:id="rId10609"/>
    <hyperlink xmlns:r="http://schemas.openxmlformats.org/officeDocument/2006/relationships" ref="J3649" r:id="rId10610"/>
    <hyperlink xmlns:r="http://schemas.openxmlformats.org/officeDocument/2006/relationships" ref="I3650" r:id="rId10611"/>
    <hyperlink xmlns:r="http://schemas.openxmlformats.org/officeDocument/2006/relationships" ref="J3650" r:id="rId10612"/>
    <hyperlink xmlns:r="http://schemas.openxmlformats.org/officeDocument/2006/relationships" ref="K3650" r:id="rId10613"/>
    <hyperlink xmlns:r="http://schemas.openxmlformats.org/officeDocument/2006/relationships" ref="I3651" r:id="rId10614"/>
    <hyperlink xmlns:r="http://schemas.openxmlformats.org/officeDocument/2006/relationships" ref="J3651" r:id="rId10615"/>
    <hyperlink xmlns:r="http://schemas.openxmlformats.org/officeDocument/2006/relationships" ref="K3651" r:id="rId10616"/>
    <hyperlink xmlns:r="http://schemas.openxmlformats.org/officeDocument/2006/relationships" ref="I3652" r:id="rId10617"/>
    <hyperlink xmlns:r="http://schemas.openxmlformats.org/officeDocument/2006/relationships" ref="J3652" r:id="rId10618"/>
    <hyperlink xmlns:r="http://schemas.openxmlformats.org/officeDocument/2006/relationships" ref="K3652" r:id="rId10619"/>
    <hyperlink xmlns:r="http://schemas.openxmlformats.org/officeDocument/2006/relationships" ref="I3653" r:id="rId10620"/>
    <hyperlink xmlns:r="http://schemas.openxmlformats.org/officeDocument/2006/relationships" ref="J3653" r:id="rId10621"/>
    <hyperlink xmlns:r="http://schemas.openxmlformats.org/officeDocument/2006/relationships" ref="I3654" r:id="rId10622"/>
    <hyperlink xmlns:r="http://schemas.openxmlformats.org/officeDocument/2006/relationships" ref="J3654" r:id="rId10623"/>
    <hyperlink xmlns:r="http://schemas.openxmlformats.org/officeDocument/2006/relationships" ref="K3654" r:id="rId10624"/>
    <hyperlink xmlns:r="http://schemas.openxmlformats.org/officeDocument/2006/relationships" ref="I3655" r:id="rId10625"/>
    <hyperlink xmlns:r="http://schemas.openxmlformats.org/officeDocument/2006/relationships" ref="J3655" r:id="rId10626"/>
    <hyperlink xmlns:r="http://schemas.openxmlformats.org/officeDocument/2006/relationships" ref="K3655" r:id="rId10627"/>
    <hyperlink xmlns:r="http://schemas.openxmlformats.org/officeDocument/2006/relationships" ref="I3656" r:id="rId10628"/>
    <hyperlink xmlns:r="http://schemas.openxmlformats.org/officeDocument/2006/relationships" ref="J3656" r:id="rId10629"/>
    <hyperlink xmlns:r="http://schemas.openxmlformats.org/officeDocument/2006/relationships" ref="K3656" r:id="rId10630"/>
    <hyperlink xmlns:r="http://schemas.openxmlformats.org/officeDocument/2006/relationships" ref="I3657" r:id="rId10631"/>
    <hyperlink xmlns:r="http://schemas.openxmlformats.org/officeDocument/2006/relationships" ref="J3657" r:id="rId10632"/>
    <hyperlink xmlns:r="http://schemas.openxmlformats.org/officeDocument/2006/relationships" ref="K3657" r:id="rId10633"/>
    <hyperlink xmlns:r="http://schemas.openxmlformats.org/officeDocument/2006/relationships" ref="I3658" r:id="rId10634"/>
    <hyperlink xmlns:r="http://schemas.openxmlformats.org/officeDocument/2006/relationships" ref="J3658" r:id="rId10635"/>
    <hyperlink xmlns:r="http://schemas.openxmlformats.org/officeDocument/2006/relationships" ref="K3658" r:id="rId10636"/>
    <hyperlink xmlns:r="http://schemas.openxmlformats.org/officeDocument/2006/relationships" ref="I3659" r:id="rId10637"/>
    <hyperlink xmlns:r="http://schemas.openxmlformats.org/officeDocument/2006/relationships" ref="J3659" r:id="rId10638"/>
    <hyperlink xmlns:r="http://schemas.openxmlformats.org/officeDocument/2006/relationships" ref="K3659" r:id="rId10639"/>
    <hyperlink xmlns:r="http://schemas.openxmlformats.org/officeDocument/2006/relationships" ref="I3660" r:id="rId10640"/>
    <hyperlink xmlns:r="http://schemas.openxmlformats.org/officeDocument/2006/relationships" ref="J3660" r:id="rId10641"/>
    <hyperlink xmlns:r="http://schemas.openxmlformats.org/officeDocument/2006/relationships" ref="K3660" r:id="rId10642"/>
    <hyperlink xmlns:r="http://schemas.openxmlformats.org/officeDocument/2006/relationships" ref="I3661" r:id="rId10643"/>
    <hyperlink xmlns:r="http://schemas.openxmlformats.org/officeDocument/2006/relationships" ref="J3661" r:id="rId10644"/>
    <hyperlink xmlns:r="http://schemas.openxmlformats.org/officeDocument/2006/relationships" ref="K3661" r:id="rId10645"/>
    <hyperlink xmlns:r="http://schemas.openxmlformats.org/officeDocument/2006/relationships" ref="I3662" r:id="rId10646"/>
    <hyperlink xmlns:r="http://schemas.openxmlformats.org/officeDocument/2006/relationships" ref="J3662" r:id="rId10647"/>
    <hyperlink xmlns:r="http://schemas.openxmlformats.org/officeDocument/2006/relationships" ref="K3662" r:id="rId10648"/>
    <hyperlink xmlns:r="http://schemas.openxmlformats.org/officeDocument/2006/relationships" ref="I3663" r:id="rId10649"/>
    <hyperlink xmlns:r="http://schemas.openxmlformats.org/officeDocument/2006/relationships" ref="J3663" r:id="rId10650"/>
    <hyperlink xmlns:r="http://schemas.openxmlformats.org/officeDocument/2006/relationships" ref="K3663" r:id="rId10651"/>
    <hyperlink xmlns:r="http://schemas.openxmlformats.org/officeDocument/2006/relationships" ref="I3664" r:id="rId10652"/>
    <hyperlink xmlns:r="http://schemas.openxmlformats.org/officeDocument/2006/relationships" ref="J3664" r:id="rId10653"/>
    <hyperlink xmlns:r="http://schemas.openxmlformats.org/officeDocument/2006/relationships" ref="K3664" r:id="rId10654"/>
    <hyperlink xmlns:r="http://schemas.openxmlformats.org/officeDocument/2006/relationships" ref="I3665" r:id="rId10655"/>
    <hyperlink xmlns:r="http://schemas.openxmlformats.org/officeDocument/2006/relationships" ref="J3665" r:id="rId10656"/>
    <hyperlink xmlns:r="http://schemas.openxmlformats.org/officeDocument/2006/relationships" ref="K3665" r:id="rId10657"/>
    <hyperlink xmlns:r="http://schemas.openxmlformats.org/officeDocument/2006/relationships" ref="I3666" r:id="rId10658"/>
    <hyperlink xmlns:r="http://schemas.openxmlformats.org/officeDocument/2006/relationships" ref="J3666" r:id="rId10659"/>
    <hyperlink xmlns:r="http://schemas.openxmlformats.org/officeDocument/2006/relationships" ref="K3666" r:id="rId10660"/>
    <hyperlink xmlns:r="http://schemas.openxmlformats.org/officeDocument/2006/relationships" ref="I3667" r:id="rId10661"/>
    <hyperlink xmlns:r="http://schemas.openxmlformats.org/officeDocument/2006/relationships" ref="J3667" r:id="rId10662"/>
    <hyperlink xmlns:r="http://schemas.openxmlformats.org/officeDocument/2006/relationships" ref="K3667" r:id="rId10663"/>
    <hyperlink xmlns:r="http://schemas.openxmlformats.org/officeDocument/2006/relationships" ref="I3668" r:id="rId10664"/>
    <hyperlink xmlns:r="http://schemas.openxmlformats.org/officeDocument/2006/relationships" ref="J3668" r:id="rId10665"/>
    <hyperlink xmlns:r="http://schemas.openxmlformats.org/officeDocument/2006/relationships" ref="I3669" r:id="rId10666"/>
    <hyperlink xmlns:r="http://schemas.openxmlformats.org/officeDocument/2006/relationships" ref="J3669" r:id="rId10667"/>
    <hyperlink xmlns:r="http://schemas.openxmlformats.org/officeDocument/2006/relationships" ref="K3669" r:id="rId10668"/>
    <hyperlink xmlns:r="http://schemas.openxmlformats.org/officeDocument/2006/relationships" ref="I3670" r:id="rId10669"/>
    <hyperlink xmlns:r="http://schemas.openxmlformats.org/officeDocument/2006/relationships" ref="J3670" r:id="rId10670"/>
    <hyperlink xmlns:r="http://schemas.openxmlformats.org/officeDocument/2006/relationships" ref="K3670" r:id="rId10671"/>
    <hyperlink xmlns:r="http://schemas.openxmlformats.org/officeDocument/2006/relationships" ref="I3671" r:id="rId10672"/>
    <hyperlink xmlns:r="http://schemas.openxmlformats.org/officeDocument/2006/relationships" ref="J3671" r:id="rId10673"/>
    <hyperlink xmlns:r="http://schemas.openxmlformats.org/officeDocument/2006/relationships" ref="K3671" r:id="rId10674"/>
    <hyperlink xmlns:r="http://schemas.openxmlformats.org/officeDocument/2006/relationships" ref="I3672" r:id="rId10675"/>
    <hyperlink xmlns:r="http://schemas.openxmlformats.org/officeDocument/2006/relationships" ref="J3672" r:id="rId10676"/>
    <hyperlink xmlns:r="http://schemas.openxmlformats.org/officeDocument/2006/relationships" ref="K3672" r:id="rId10677"/>
    <hyperlink xmlns:r="http://schemas.openxmlformats.org/officeDocument/2006/relationships" ref="I3673" r:id="rId10678"/>
    <hyperlink xmlns:r="http://schemas.openxmlformats.org/officeDocument/2006/relationships" ref="J3673" r:id="rId10679"/>
    <hyperlink xmlns:r="http://schemas.openxmlformats.org/officeDocument/2006/relationships" ref="K3673" r:id="rId10680"/>
    <hyperlink xmlns:r="http://schemas.openxmlformats.org/officeDocument/2006/relationships" ref="I3674" r:id="rId10681"/>
    <hyperlink xmlns:r="http://schemas.openxmlformats.org/officeDocument/2006/relationships" ref="J3674" r:id="rId10682"/>
    <hyperlink xmlns:r="http://schemas.openxmlformats.org/officeDocument/2006/relationships" ref="K3674" r:id="rId10683"/>
    <hyperlink xmlns:r="http://schemas.openxmlformats.org/officeDocument/2006/relationships" ref="I3675" r:id="rId10684"/>
    <hyperlink xmlns:r="http://schemas.openxmlformats.org/officeDocument/2006/relationships" ref="J3675" r:id="rId10685"/>
    <hyperlink xmlns:r="http://schemas.openxmlformats.org/officeDocument/2006/relationships" ref="K3675" r:id="rId10686"/>
    <hyperlink xmlns:r="http://schemas.openxmlformats.org/officeDocument/2006/relationships" ref="I3676" r:id="rId10687"/>
    <hyperlink xmlns:r="http://schemas.openxmlformats.org/officeDocument/2006/relationships" ref="J3676" r:id="rId10688"/>
    <hyperlink xmlns:r="http://schemas.openxmlformats.org/officeDocument/2006/relationships" ref="K3676" r:id="rId10689"/>
    <hyperlink xmlns:r="http://schemas.openxmlformats.org/officeDocument/2006/relationships" ref="I3677" r:id="rId10690"/>
    <hyperlink xmlns:r="http://schemas.openxmlformats.org/officeDocument/2006/relationships" ref="J3677" r:id="rId10691"/>
    <hyperlink xmlns:r="http://schemas.openxmlformats.org/officeDocument/2006/relationships" ref="K3677" r:id="rId10692"/>
    <hyperlink xmlns:r="http://schemas.openxmlformats.org/officeDocument/2006/relationships" ref="I3678" r:id="rId10693"/>
    <hyperlink xmlns:r="http://schemas.openxmlformats.org/officeDocument/2006/relationships" ref="J3678" r:id="rId10694"/>
    <hyperlink xmlns:r="http://schemas.openxmlformats.org/officeDocument/2006/relationships" ref="K3678" r:id="rId10695"/>
    <hyperlink xmlns:r="http://schemas.openxmlformats.org/officeDocument/2006/relationships" ref="I3679" r:id="rId10696"/>
    <hyperlink xmlns:r="http://schemas.openxmlformats.org/officeDocument/2006/relationships" ref="J3679" r:id="rId10697"/>
    <hyperlink xmlns:r="http://schemas.openxmlformats.org/officeDocument/2006/relationships" ref="K3679" r:id="rId10698"/>
    <hyperlink xmlns:r="http://schemas.openxmlformats.org/officeDocument/2006/relationships" ref="I3680" r:id="rId10699"/>
    <hyperlink xmlns:r="http://schemas.openxmlformats.org/officeDocument/2006/relationships" ref="J3680" r:id="rId10700"/>
    <hyperlink xmlns:r="http://schemas.openxmlformats.org/officeDocument/2006/relationships" ref="K3680" r:id="rId10701"/>
    <hyperlink xmlns:r="http://schemas.openxmlformats.org/officeDocument/2006/relationships" ref="I3681" r:id="rId10702"/>
    <hyperlink xmlns:r="http://schemas.openxmlformats.org/officeDocument/2006/relationships" ref="J3681" r:id="rId10703"/>
    <hyperlink xmlns:r="http://schemas.openxmlformats.org/officeDocument/2006/relationships" ref="K3681" r:id="rId10704"/>
    <hyperlink xmlns:r="http://schemas.openxmlformats.org/officeDocument/2006/relationships" ref="I3682" r:id="rId10705"/>
    <hyperlink xmlns:r="http://schemas.openxmlformats.org/officeDocument/2006/relationships" ref="J3682" r:id="rId10706"/>
    <hyperlink xmlns:r="http://schemas.openxmlformats.org/officeDocument/2006/relationships" ref="K3682" r:id="rId10707"/>
    <hyperlink xmlns:r="http://schemas.openxmlformats.org/officeDocument/2006/relationships" ref="I3683" r:id="rId10708"/>
    <hyperlink xmlns:r="http://schemas.openxmlformats.org/officeDocument/2006/relationships" ref="J3683" r:id="rId10709"/>
    <hyperlink xmlns:r="http://schemas.openxmlformats.org/officeDocument/2006/relationships" ref="K3683" r:id="rId10710"/>
    <hyperlink xmlns:r="http://schemas.openxmlformats.org/officeDocument/2006/relationships" ref="I3684" r:id="rId10711"/>
    <hyperlink xmlns:r="http://schemas.openxmlformats.org/officeDocument/2006/relationships" ref="J3684" r:id="rId10712"/>
    <hyperlink xmlns:r="http://schemas.openxmlformats.org/officeDocument/2006/relationships" ref="K3684" r:id="rId10713"/>
    <hyperlink xmlns:r="http://schemas.openxmlformats.org/officeDocument/2006/relationships" ref="I3685" r:id="rId10714"/>
    <hyperlink xmlns:r="http://schemas.openxmlformats.org/officeDocument/2006/relationships" ref="J3685" r:id="rId10715"/>
    <hyperlink xmlns:r="http://schemas.openxmlformats.org/officeDocument/2006/relationships" ref="K3685" r:id="rId10716"/>
    <hyperlink xmlns:r="http://schemas.openxmlformats.org/officeDocument/2006/relationships" ref="I3686" r:id="rId10717"/>
    <hyperlink xmlns:r="http://schemas.openxmlformats.org/officeDocument/2006/relationships" ref="J3686" r:id="rId10718"/>
    <hyperlink xmlns:r="http://schemas.openxmlformats.org/officeDocument/2006/relationships" ref="K3686" r:id="rId10719"/>
    <hyperlink xmlns:r="http://schemas.openxmlformats.org/officeDocument/2006/relationships" ref="I3687" r:id="rId10720"/>
    <hyperlink xmlns:r="http://schemas.openxmlformats.org/officeDocument/2006/relationships" ref="J3687" r:id="rId10721"/>
    <hyperlink xmlns:r="http://schemas.openxmlformats.org/officeDocument/2006/relationships" ref="K3687" r:id="rId10722"/>
    <hyperlink xmlns:r="http://schemas.openxmlformats.org/officeDocument/2006/relationships" ref="I3688" r:id="rId10723"/>
    <hyperlink xmlns:r="http://schemas.openxmlformats.org/officeDocument/2006/relationships" ref="J3688" r:id="rId10724"/>
    <hyperlink xmlns:r="http://schemas.openxmlformats.org/officeDocument/2006/relationships" ref="K3688" r:id="rId10725"/>
    <hyperlink xmlns:r="http://schemas.openxmlformats.org/officeDocument/2006/relationships" ref="I3689" r:id="rId10726"/>
    <hyperlink xmlns:r="http://schemas.openxmlformats.org/officeDocument/2006/relationships" ref="J3689" r:id="rId10727"/>
    <hyperlink xmlns:r="http://schemas.openxmlformats.org/officeDocument/2006/relationships" ref="K3689" r:id="rId10728"/>
    <hyperlink xmlns:r="http://schemas.openxmlformats.org/officeDocument/2006/relationships" ref="I3690" r:id="rId10729"/>
    <hyperlink xmlns:r="http://schemas.openxmlformats.org/officeDocument/2006/relationships" ref="J3690" r:id="rId10730"/>
    <hyperlink xmlns:r="http://schemas.openxmlformats.org/officeDocument/2006/relationships" ref="K3690" r:id="rId10731"/>
    <hyperlink xmlns:r="http://schemas.openxmlformats.org/officeDocument/2006/relationships" ref="I3691" r:id="rId10732"/>
    <hyperlink xmlns:r="http://schemas.openxmlformats.org/officeDocument/2006/relationships" ref="J3691" r:id="rId10733"/>
    <hyperlink xmlns:r="http://schemas.openxmlformats.org/officeDocument/2006/relationships" ref="K3691" r:id="rId10734"/>
    <hyperlink xmlns:r="http://schemas.openxmlformats.org/officeDocument/2006/relationships" ref="I3692" r:id="rId10735"/>
    <hyperlink xmlns:r="http://schemas.openxmlformats.org/officeDocument/2006/relationships" ref="J3692" r:id="rId10736"/>
    <hyperlink xmlns:r="http://schemas.openxmlformats.org/officeDocument/2006/relationships" ref="K3692" r:id="rId10737"/>
    <hyperlink xmlns:r="http://schemas.openxmlformats.org/officeDocument/2006/relationships" ref="I3693" r:id="rId10738"/>
    <hyperlink xmlns:r="http://schemas.openxmlformats.org/officeDocument/2006/relationships" ref="J3693" r:id="rId10739"/>
    <hyperlink xmlns:r="http://schemas.openxmlformats.org/officeDocument/2006/relationships" ref="K3693" r:id="rId10740"/>
    <hyperlink xmlns:r="http://schemas.openxmlformats.org/officeDocument/2006/relationships" ref="I3694" r:id="rId10741"/>
    <hyperlink xmlns:r="http://schemas.openxmlformats.org/officeDocument/2006/relationships" ref="J3694" r:id="rId10742"/>
    <hyperlink xmlns:r="http://schemas.openxmlformats.org/officeDocument/2006/relationships" ref="K3694" r:id="rId10743"/>
    <hyperlink xmlns:r="http://schemas.openxmlformats.org/officeDocument/2006/relationships" ref="I3695" r:id="rId10744"/>
    <hyperlink xmlns:r="http://schemas.openxmlformats.org/officeDocument/2006/relationships" ref="J3695" r:id="rId10745"/>
    <hyperlink xmlns:r="http://schemas.openxmlformats.org/officeDocument/2006/relationships" ref="K3695" r:id="rId10746"/>
    <hyperlink xmlns:r="http://schemas.openxmlformats.org/officeDocument/2006/relationships" ref="I3696" r:id="rId10747"/>
    <hyperlink xmlns:r="http://schemas.openxmlformats.org/officeDocument/2006/relationships" ref="J3696" r:id="rId10748"/>
    <hyperlink xmlns:r="http://schemas.openxmlformats.org/officeDocument/2006/relationships" ref="K3696" r:id="rId10749"/>
    <hyperlink xmlns:r="http://schemas.openxmlformats.org/officeDocument/2006/relationships" ref="I3697" r:id="rId10750"/>
    <hyperlink xmlns:r="http://schemas.openxmlformats.org/officeDocument/2006/relationships" ref="J3697" r:id="rId10751"/>
    <hyperlink xmlns:r="http://schemas.openxmlformats.org/officeDocument/2006/relationships" ref="K3697" r:id="rId10752"/>
    <hyperlink xmlns:r="http://schemas.openxmlformats.org/officeDocument/2006/relationships" ref="I3698" r:id="rId10753"/>
    <hyperlink xmlns:r="http://schemas.openxmlformats.org/officeDocument/2006/relationships" ref="J3698" r:id="rId10754"/>
    <hyperlink xmlns:r="http://schemas.openxmlformats.org/officeDocument/2006/relationships" ref="K3698" r:id="rId10755"/>
    <hyperlink xmlns:r="http://schemas.openxmlformats.org/officeDocument/2006/relationships" ref="I3699" r:id="rId10756"/>
    <hyperlink xmlns:r="http://schemas.openxmlformats.org/officeDocument/2006/relationships" ref="J3699" r:id="rId10757"/>
    <hyperlink xmlns:r="http://schemas.openxmlformats.org/officeDocument/2006/relationships" ref="K3699" r:id="rId10758"/>
    <hyperlink xmlns:r="http://schemas.openxmlformats.org/officeDocument/2006/relationships" ref="I3700" r:id="rId10759"/>
    <hyperlink xmlns:r="http://schemas.openxmlformats.org/officeDocument/2006/relationships" ref="J3700" r:id="rId10760"/>
    <hyperlink xmlns:r="http://schemas.openxmlformats.org/officeDocument/2006/relationships" ref="K3700" r:id="rId10761"/>
    <hyperlink xmlns:r="http://schemas.openxmlformats.org/officeDocument/2006/relationships" ref="I3701" r:id="rId10762"/>
    <hyperlink xmlns:r="http://schemas.openxmlformats.org/officeDocument/2006/relationships" ref="J3701" r:id="rId10763"/>
    <hyperlink xmlns:r="http://schemas.openxmlformats.org/officeDocument/2006/relationships" ref="K3701" r:id="rId10764"/>
    <hyperlink xmlns:r="http://schemas.openxmlformats.org/officeDocument/2006/relationships" ref="I3702" r:id="rId10765"/>
    <hyperlink xmlns:r="http://schemas.openxmlformats.org/officeDocument/2006/relationships" ref="J3702" r:id="rId10766"/>
    <hyperlink xmlns:r="http://schemas.openxmlformats.org/officeDocument/2006/relationships" ref="K3702" r:id="rId10767"/>
    <hyperlink xmlns:r="http://schemas.openxmlformats.org/officeDocument/2006/relationships" ref="I3703" r:id="rId10768"/>
    <hyperlink xmlns:r="http://schemas.openxmlformats.org/officeDocument/2006/relationships" ref="J3703" r:id="rId10769"/>
    <hyperlink xmlns:r="http://schemas.openxmlformats.org/officeDocument/2006/relationships" ref="K3703" r:id="rId10770"/>
    <hyperlink xmlns:r="http://schemas.openxmlformats.org/officeDocument/2006/relationships" ref="I3704" r:id="rId10771"/>
    <hyperlink xmlns:r="http://schemas.openxmlformats.org/officeDocument/2006/relationships" ref="J3704" r:id="rId10772"/>
    <hyperlink xmlns:r="http://schemas.openxmlformats.org/officeDocument/2006/relationships" ref="K3704" r:id="rId10773"/>
    <hyperlink xmlns:r="http://schemas.openxmlformats.org/officeDocument/2006/relationships" ref="I3705" r:id="rId10774"/>
    <hyperlink xmlns:r="http://schemas.openxmlformats.org/officeDocument/2006/relationships" ref="J3705" r:id="rId10775"/>
    <hyperlink xmlns:r="http://schemas.openxmlformats.org/officeDocument/2006/relationships" ref="K3705" r:id="rId10776"/>
    <hyperlink xmlns:r="http://schemas.openxmlformats.org/officeDocument/2006/relationships" ref="I3706" r:id="rId10777"/>
    <hyperlink xmlns:r="http://schemas.openxmlformats.org/officeDocument/2006/relationships" ref="J3706" r:id="rId10778"/>
    <hyperlink xmlns:r="http://schemas.openxmlformats.org/officeDocument/2006/relationships" ref="K3706" r:id="rId10779"/>
    <hyperlink xmlns:r="http://schemas.openxmlformats.org/officeDocument/2006/relationships" ref="I3707" r:id="rId10780"/>
    <hyperlink xmlns:r="http://schemas.openxmlformats.org/officeDocument/2006/relationships" ref="J3707" r:id="rId10781"/>
    <hyperlink xmlns:r="http://schemas.openxmlformats.org/officeDocument/2006/relationships" ref="K3707" r:id="rId10782"/>
    <hyperlink xmlns:r="http://schemas.openxmlformats.org/officeDocument/2006/relationships" ref="I3708" r:id="rId10783"/>
    <hyperlink xmlns:r="http://schemas.openxmlformats.org/officeDocument/2006/relationships" ref="J3708" r:id="rId10784"/>
    <hyperlink xmlns:r="http://schemas.openxmlformats.org/officeDocument/2006/relationships" ref="K3708" r:id="rId10785"/>
    <hyperlink xmlns:r="http://schemas.openxmlformats.org/officeDocument/2006/relationships" ref="I3709" r:id="rId10786"/>
    <hyperlink xmlns:r="http://schemas.openxmlformats.org/officeDocument/2006/relationships" ref="J3709" r:id="rId10787"/>
    <hyperlink xmlns:r="http://schemas.openxmlformats.org/officeDocument/2006/relationships" ref="K3709" r:id="rId10788"/>
    <hyperlink xmlns:r="http://schemas.openxmlformats.org/officeDocument/2006/relationships" ref="I3710" r:id="rId10789"/>
    <hyperlink xmlns:r="http://schemas.openxmlformats.org/officeDocument/2006/relationships" ref="J3710" r:id="rId10790"/>
    <hyperlink xmlns:r="http://schemas.openxmlformats.org/officeDocument/2006/relationships" ref="K3710" r:id="rId10791"/>
    <hyperlink xmlns:r="http://schemas.openxmlformats.org/officeDocument/2006/relationships" ref="I3711" r:id="rId10792"/>
    <hyperlink xmlns:r="http://schemas.openxmlformats.org/officeDocument/2006/relationships" ref="J3711" r:id="rId10793"/>
    <hyperlink xmlns:r="http://schemas.openxmlformats.org/officeDocument/2006/relationships" ref="K3711" r:id="rId10794"/>
    <hyperlink xmlns:r="http://schemas.openxmlformats.org/officeDocument/2006/relationships" ref="I3712" r:id="rId10795"/>
    <hyperlink xmlns:r="http://schemas.openxmlformats.org/officeDocument/2006/relationships" ref="J3712" r:id="rId10796"/>
    <hyperlink xmlns:r="http://schemas.openxmlformats.org/officeDocument/2006/relationships" ref="K3712" r:id="rId10797"/>
    <hyperlink xmlns:r="http://schemas.openxmlformats.org/officeDocument/2006/relationships" ref="I3713" r:id="rId10798"/>
    <hyperlink xmlns:r="http://schemas.openxmlformats.org/officeDocument/2006/relationships" ref="J3713" r:id="rId10799"/>
    <hyperlink xmlns:r="http://schemas.openxmlformats.org/officeDocument/2006/relationships" ref="K3713" r:id="rId10800"/>
    <hyperlink xmlns:r="http://schemas.openxmlformats.org/officeDocument/2006/relationships" ref="I3714" r:id="rId10801"/>
    <hyperlink xmlns:r="http://schemas.openxmlformats.org/officeDocument/2006/relationships" ref="J3714" r:id="rId10802"/>
    <hyperlink xmlns:r="http://schemas.openxmlformats.org/officeDocument/2006/relationships" ref="K3714" r:id="rId10803"/>
    <hyperlink xmlns:r="http://schemas.openxmlformats.org/officeDocument/2006/relationships" ref="I3715" r:id="rId10804"/>
    <hyperlink xmlns:r="http://schemas.openxmlformats.org/officeDocument/2006/relationships" ref="J3715" r:id="rId10805"/>
    <hyperlink xmlns:r="http://schemas.openxmlformats.org/officeDocument/2006/relationships" ref="K3715" r:id="rId10806"/>
    <hyperlink xmlns:r="http://schemas.openxmlformats.org/officeDocument/2006/relationships" ref="I3716" r:id="rId10807"/>
    <hyperlink xmlns:r="http://schemas.openxmlformats.org/officeDocument/2006/relationships" ref="J3716" r:id="rId10808"/>
    <hyperlink xmlns:r="http://schemas.openxmlformats.org/officeDocument/2006/relationships" ref="K3716" r:id="rId10809"/>
    <hyperlink xmlns:r="http://schemas.openxmlformats.org/officeDocument/2006/relationships" ref="I3717" r:id="rId10810"/>
    <hyperlink xmlns:r="http://schemas.openxmlformats.org/officeDocument/2006/relationships" ref="J3717" r:id="rId10811"/>
    <hyperlink xmlns:r="http://schemas.openxmlformats.org/officeDocument/2006/relationships" ref="K3717" r:id="rId10812"/>
    <hyperlink xmlns:r="http://schemas.openxmlformats.org/officeDocument/2006/relationships" ref="I3718" r:id="rId10813"/>
    <hyperlink xmlns:r="http://schemas.openxmlformats.org/officeDocument/2006/relationships" ref="J3718" r:id="rId10814"/>
    <hyperlink xmlns:r="http://schemas.openxmlformats.org/officeDocument/2006/relationships" ref="K3718" r:id="rId10815"/>
    <hyperlink xmlns:r="http://schemas.openxmlformats.org/officeDocument/2006/relationships" ref="I3719" r:id="rId10816"/>
    <hyperlink xmlns:r="http://schemas.openxmlformats.org/officeDocument/2006/relationships" ref="J3719" r:id="rId10817"/>
    <hyperlink xmlns:r="http://schemas.openxmlformats.org/officeDocument/2006/relationships" ref="K3719" r:id="rId10818"/>
    <hyperlink xmlns:r="http://schemas.openxmlformats.org/officeDocument/2006/relationships" ref="I3720" r:id="rId10819"/>
    <hyperlink xmlns:r="http://schemas.openxmlformats.org/officeDocument/2006/relationships" ref="J3720" r:id="rId10820"/>
    <hyperlink xmlns:r="http://schemas.openxmlformats.org/officeDocument/2006/relationships" ref="K3720" r:id="rId10821"/>
    <hyperlink xmlns:r="http://schemas.openxmlformats.org/officeDocument/2006/relationships" ref="I3721" r:id="rId10822"/>
    <hyperlink xmlns:r="http://schemas.openxmlformats.org/officeDocument/2006/relationships" ref="J3721" r:id="rId10823"/>
    <hyperlink xmlns:r="http://schemas.openxmlformats.org/officeDocument/2006/relationships" ref="K3721" r:id="rId10824"/>
    <hyperlink xmlns:r="http://schemas.openxmlformats.org/officeDocument/2006/relationships" ref="I3722" r:id="rId10825"/>
    <hyperlink xmlns:r="http://schemas.openxmlformats.org/officeDocument/2006/relationships" ref="J3722" r:id="rId10826"/>
    <hyperlink xmlns:r="http://schemas.openxmlformats.org/officeDocument/2006/relationships" ref="K3722" r:id="rId10827"/>
    <hyperlink xmlns:r="http://schemas.openxmlformats.org/officeDocument/2006/relationships" ref="I3723" r:id="rId10828"/>
    <hyperlink xmlns:r="http://schemas.openxmlformats.org/officeDocument/2006/relationships" ref="J3723" r:id="rId10829"/>
    <hyperlink xmlns:r="http://schemas.openxmlformats.org/officeDocument/2006/relationships" ref="K3723" r:id="rId10830"/>
    <hyperlink xmlns:r="http://schemas.openxmlformats.org/officeDocument/2006/relationships" ref="I3724" r:id="rId10831"/>
    <hyperlink xmlns:r="http://schemas.openxmlformats.org/officeDocument/2006/relationships" ref="J3724" r:id="rId10832"/>
    <hyperlink xmlns:r="http://schemas.openxmlformats.org/officeDocument/2006/relationships" ref="K3724" r:id="rId10833"/>
    <hyperlink xmlns:r="http://schemas.openxmlformats.org/officeDocument/2006/relationships" ref="I3725" r:id="rId10834"/>
    <hyperlink xmlns:r="http://schemas.openxmlformats.org/officeDocument/2006/relationships" ref="J3725" r:id="rId10835"/>
    <hyperlink xmlns:r="http://schemas.openxmlformats.org/officeDocument/2006/relationships" ref="K3725" r:id="rId10836"/>
    <hyperlink xmlns:r="http://schemas.openxmlformats.org/officeDocument/2006/relationships" ref="I3726" r:id="rId10837"/>
    <hyperlink xmlns:r="http://schemas.openxmlformats.org/officeDocument/2006/relationships" ref="J3726" r:id="rId10838"/>
    <hyperlink xmlns:r="http://schemas.openxmlformats.org/officeDocument/2006/relationships" ref="K3726" r:id="rId10839"/>
    <hyperlink xmlns:r="http://schemas.openxmlformats.org/officeDocument/2006/relationships" ref="I3727" r:id="rId10840"/>
    <hyperlink xmlns:r="http://schemas.openxmlformats.org/officeDocument/2006/relationships" ref="J3727" r:id="rId10841"/>
    <hyperlink xmlns:r="http://schemas.openxmlformats.org/officeDocument/2006/relationships" ref="K3727" r:id="rId10842"/>
    <hyperlink xmlns:r="http://schemas.openxmlformats.org/officeDocument/2006/relationships" ref="I3728" r:id="rId10843"/>
    <hyperlink xmlns:r="http://schemas.openxmlformats.org/officeDocument/2006/relationships" ref="J3728" r:id="rId10844"/>
    <hyperlink xmlns:r="http://schemas.openxmlformats.org/officeDocument/2006/relationships" ref="K3728" r:id="rId10845"/>
    <hyperlink xmlns:r="http://schemas.openxmlformats.org/officeDocument/2006/relationships" ref="I3729" r:id="rId10846"/>
    <hyperlink xmlns:r="http://schemas.openxmlformats.org/officeDocument/2006/relationships" ref="J3729" r:id="rId10847"/>
    <hyperlink xmlns:r="http://schemas.openxmlformats.org/officeDocument/2006/relationships" ref="K3729" r:id="rId10848"/>
    <hyperlink xmlns:r="http://schemas.openxmlformats.org/officeDocument/2006/relationships" ref="I3730" r:id="rId10849"/>
    <hyperlink xmlns:r="http://schemas.openxmlformats.org/officeDocument/2006/relationships" ref="J3730" r:id="rId10850"/>
    <hyperlink xmlns:r="http://schemas.openxmlformats.org/officeDocument/2006/relationships" ref="K3730" r:id="rId10851"/>
    <hyperlink xmlns:r="http://schemas.openxmlformats.org/officeDocument/2006/relationships" ref="I3731" r:id="rId10852"/>
    <hyperlink xmlns:r="http://schemas.openxmlformats.org/officeDocument/2006/relationships" ref="J3731" r:id="rId10853"/>
    <hyperlink xmlns:r="http://schemas.openxmlformats.org/officeDocument/2006/relationships" ref="K3731" r:id="rId10854"/>
    <hyperlink xmlns:r="http://schemas.openxmlformats.org/officeDocument/2006/relationships" ref="I3732" r:id="rId10855"/>
    <hyperlink xmlns:r="http://schemas.openxmlformats.org/officeDocument/2006/relationships" ref="J3732" r:id="rId10856"/>
    <hyperlink xmlns:r="http://schemas.openxmlformats.org/officeDocument/2006/relationships" ref="K3732" r:id="rId10857"/>
    <hyperlink xmlns:r="http://schemas.openxmlformats.org/officeDocument/2006/relationships" ref="I3733" r:id="rId10858"/>
    <hyperlink xmlns:r="http://schemas.openxmlformats.org/officeDocument/2006/relationships" ref="J3733" r:id="rId10859"/>
    <hyperlink xmlns:r="http://schemas.openxmlformats.org/officeDocument/2006/relationships" ref="K3733" r:id="rId10860"/>
    <hyperlink xmlns:r="http://schemas.openxmlformats.org/officeDocument/2006/relationships" ref="I3734" r:id="rId10861"/>
    <hyperlink xmlns:r="http://schemas.openxmlformats.org/officeDocument/2006/relationships" ref="J3734" r:id="rId10862"/>
    <hyperlink xmlns:r="http://schemas.openxmlformats.org/officeDocument/2006/relationships" ref="K3734" r:id="rId10863"/>
    <hyperlink xmlns:r="http://schemas.openxmlformats.org/officeDocument/2006/relationships" ref="I3735" r:id="rId10864"/>
    <hyperlink xmlns:r="http://schemas.openxmlformats.org/officeDocument/2006/relationships" ref="J3735" r:id="rId10865"/>
    <hyperlink xmlns:r="http://schemas.openxmlformats.org/officeDocument/2006/relationships" ref="K3735" r:id="rId10866"/>
    <hyperlink xmlns:r="http://schemas.openxmlformats.org/officeDocument/2006/relationships" ref="I3736" r:id="rId10867"/>
    <hyperlink xmlns:r="http://schemas.openxmlformats.org/officeDocument/2006/relationships" ref="J3736" r:id="rId10868"/>
    <hyperlink xmlns:r="http://schemas.openxmlformats.org/officeDocument/2006/relationships" ref="K3736" r:id="rId10869"/>
    <hyperlink xmlns:r="http://schemas.openxmlformats.org/officeDocument/2006/relationships" ref="I3737" r:id="rId10870"/>
    <hyperlink xmlns:r="http://schemas.openxmlformats.org/officeDocument/2006/relationships" ref="J3737" r:id="rId10871"/>
    <hyperlink xmlns:r="http://schemas.openxmlformats.org/officeDocument/2006/relationships" ref="K3737" r:id="rId10872"/>
    <hyperlink xmlns:r="http://schemas.openxmlformats.org/officeDocument/2006/relationships" ref="I3738" r:id="rId10873"/>
    <hyperlink xmlns:r="http://schemas.openxmlformats.org/officeDocument/2006/relationships" ref="J3738" r:id="rId10874"/>
    <hyperlink xmlns:r="http://schemas.openxmlformats.org/officeDocument/2006/relationships" ref="K3738" r:id="rId10875"/>
    <hyperlink xmlns:r="http://schemas.openxmlformats.org/officeDocument/2006/relationships" ref="I3739" r:id="rId10876"/>
    <hyperlink xmlns:r="http://schemas.openxmlformats.org/officeDocument/2006/relationships" ref="J3739" r:id="rId10877"/>
    <hyperlink xmlns:r="http://schemas.openxmlformats.org/officeDocument/2006/relationships" ref="K3739" r:id="rId10878"/>
    <hyperlink xmlns:r="http://schemas.openxmlformats.org/officeDocument/2006/relationships" ref="I3740" r:id="rId10879"/>
    <hyperlink xmlns:r="http://schemas.openxmlformats.org/officeDocument/2006/relationships" ref="J3740" r:id="rId10880"/>
    <hyperlink xmlns:r="http://schemas.openxmlformats.org/officeDocument/2006/relationships" ref="K3740" r:id="rId10881"/>
    <hyperlink xmlns:r="http://schemas.openxmlformats.org/officeDocument/2006/relationships" ref="I3741" r:id="rId10882"/>
    <hyperlink xmlns:r="http://schemas.openxmlformats.org/officeDocument/2006/relationships" ref="J3741" r:id="rId10883"/>
    <hyperlink xmlns:r="http://schemas.openxmlformats.org/officeDocument/2006/relationships" ref="K3741" r:id="rId10884"/>
    <hyperlink xmlns:r="http://schemas.openxmlformats.org/officeDocument/2006/relationships" ref="I3742" r:id="rId10885"/>
    <hyperlink xmlns:r="http://schemas.openxmlformats.org/officeDocument/2006/relationships" ref="J3742" r:id="rId10886"/>
    <hyperlink xmlns:r="http://schemas.openxmlformats.org/officeDocument/2006/relationships" ref="K3742" r:id="rId10887"/>
    <hyperlink xmlns:r="http://schemas.openxmlformats.org/officeDocument/2006/relationships" ref="I3743" r:id="rId10888"/>
    <hyperlink xmlns:r="http://schemas.openxmlformats.org/officeDocument/2006/relationships" ref="J3743" r:id="rId10889"/>
    <hyperlink xmlns:r="http://schemas.openxmlformats.org/officeDocument/2006/relationships" ref="K3743" r:id="rId10890"/>
    <hyperlink xmlns:r="http://schemas.openxmlformats.org/officeDocument/2006/relationships" ref="I3744" r:id="rId10891"/>
    <hyperlink xmlns:r="http://schemas.openxmlformats.org/officeDocument/2006/relationships" ref="J3744" r:id="rId10892"/>
    <hyperlink xmlns:r="http://schemas.openxmlformats.org/officeDocument/2006/relationships" ref="K3744" r:id="rId10893"/>
    <hyperlink xmlns:r="http://schemas.openxmlformats.org/officeDocument/2006/relationships" ref="I3745" r:id="rId10894"/>
    <hyperlink xmlns:r="http://schemas.openxmlformats.org/officeDocument/2006/relationships" ref="J3745" r:id="rId10895"/>
    <hyperlink xmlns:r="http://schemas.openxmlformats.org/officeDocument/2006/relationships" ref="K3745" r:id="rId10896"/>
    <hyperlink xmlns:r="http://schemas.openxmlformats.org/officeDocument/2006/relationships" ref="I3746" r:id="rId10897"/>
    <hyperlink xmlns:r="http://schemas.openxmlformats.org/officeDocument/2006/relationships" ref="J3746" r:id="rId10898"/>
    <hyperlink xmlns:r="http://schemas.openxmlformats.org/officeDocument/2006/relationships" ref="K3746" r:id="rId10899"/>
    <hyperlink xmlns:r="http://schemas.openxmlformats.org/officeDocument/2006/relationships" ref="I3747" r:id="rId10900"/>
    <hyperlink xmlns:r="http://schemas.openxmlformats.org/officeDocument/2006/relationships" ref="J3747" r:id="rId10901"/>
    <hyperlink xmlns:r="http://schemas.openxmlformats.org/officeDocument/2006/relationships" ref="K3747" r:id="rId10902"/>
    <hyperlink xmlns:r="http://schemas.openxmlformats.org/officeDocument/2006/relationships" ref="I3748" r:id="rId10903"/>
    <hyperlink xmlns:r="http://schemas.openxmlformats.org/officeDocument/2006/relationships" ref="J3748" r:id="rId10904"/>
    <hyperlink xmlns:r="http://schemas.openxmlformats.org/officeDocument/2006/relationships" ref="K3748" r:id="rId10905"/>
    <hyperlink xmlns:r="http://schemas.openxmlformats.org/officeDocument/2006/relationships" ref="I3749" r:id="rId10906"/>
    <hyperlink xmlns:r="http://schemas.openxmlformats.org/officeDocument/2006/relationships" ref="J3749" r:id="rId10907"/>
    <hyperlink xmlns:r="http://schemas.openxmlformats.org/officeDocument/2006/relationships" ref="K3749" r:id="rId10908"/>
    <hyperlink xmlns:r="http://schemas.openxmlformats.org/officeDocument/2006/relationships" ref="I3750" r:id="rId10909"/>
    <hyperlink xmlns:r="http://schemas.openxmlformats.org/officeDocument/2006/relationships" ref="J3750" r:id="rId10910"/>
    <hyperlink xmlns:r="http://schemas.openxmlformats.org/officeDocument/2006/relationships" ref="K3750" r:id="rId10911"/>
    <hyperlink xmlns:r="http://schemas.openxmlformats.org/officeDocument/2006/relationships" ref="I3751" r:id="rId10912"/>
    <hyperlink xmlns:r="http://schemas.openxmlformats.org/officeDocument/2006/relationships" ref="J3751" r:id="rId10913"/>
    <hyperlink xmlns:r="http://schemas.openxmlformats.org/officeDocument/2006/relationships" ref="K3751" r:id="rId10914"/>
    <hyperlink xmlns:r="http://schemas.openxmlformats.org/officeDocument/2006/relationships" ref="I3752" r:id="rId10915"/>
    <hyperlink xmlns:r="http://schemas.openxmlformats.org/officeDocument/2006/relationships" ref="J3752" r:id="rId10916"/>
    <hyperlink xmlns:r="http://schemas.openxmlformats.org/officeDocument/2006/relationships" ref="I3753" r:id="rId10917"/>
    <hyperlink xmlns:r="http://schemas.openxmlformats.org/officeDocument/2006/relationships" ref="J3753" r:id="rId10918"/>
    <hyperlink xmlns:r="http://schemas.openxmlformats.org/officeDocument/2006/relationships" ref="I3754" r:id="rId10919"/>
    <hyperlink xmlns:r="http://schemas.openxmlformats.org/officeDocument/2006/relationships" ref="J3754" r:id="rId10920"/>
    <hyperlink xmlns:r="http://schemas.openxmlformats.org/officeDocument/2006/relationships" ref="I3755" r:id="rId10921"/>
    <hyperlink xmlns:r="http://schemas.openxmlformats.org/officeDocument/2006/relationships" ref="J3755" r:id="rId10922"/>
    <hyperlink xmlns:r="http://schemas.openxmlformats.org/officeDocument/2006/relationships" ref="I3756" r:id="rId10923"/>
    <hyperlink xmlns:r="http://schemas.openxmlformats.org/officeDocument/2006/relationships" ref="J3756" r:id="rId10924"/>
    <hyperlink xmlns:r="http://schemas.openxmlformats.org/officeDocument/2006/relationships" ref="I3757" r:id="rId10925"/>
    <hyperlink xmlns:r="http://schemas.openxmlformats.org/officeDocument/2006/relationships" ref="J3757" r:id="rId10926"/>
    <hyperlink xmlns:r="http://schemas.openxmlformats.org/officeDocument/2006/relationships" ref="K3757" r:id="rId10927"/>
    <hyperlink xmlns:r="http://schemas.openxmlformats.org/officeDocument/2006/relationships" ref="I3758" r:id="rId10928"/>
    <hyperlink xmlns:r="http://schemas.openxmlformats.org/officeDocument/2006/relationships" ref="J3758" r:id="rId10929"/>
    <hyperlink xmlns:r="http://schemas.openxmlformats.org/officeDocument/2006/relationships" ref="K3758" r:id="rId10930"/>
    <hyperlink xmlns:r="http://schemas.openxmlformats.org/officeDocument/2006/relationships" ref="I3759" r:id="rId10931"/>
    <hyperlink xmlns:r="http://schemas.openxmlformats.org/officeDocument/2006/relationships" ref="J3759" r:id="rId10932"/>
    <hyperlink xmlns:r="http://schemas.openxmlformats.org/officeDocument/2006/relationships" ref="K3759" r:id="rId10933"/>
    <hyperlink xmlns:r="http://schemas.openxmlformats.org/officeDocument/2006/relationships" ref="I3760" r:id="rId10934"/>
    <hyperlink xmlns:r="http://schemas.openxmlformats.org/officeDocument/2006/relationships" ref="J3760" r:id="rId10935"/>
    <hyperlink xmlns:r="http://schemas.openxmlformats.org/officeDocument/2006/relationships" ref="K3760" r:id="rId10936"/>
    <hyperlink xmlns:r="http://schemas.openxmlformats.org/officeDocument/2006/relationships" ref="I3761" r:id="rId10937"/>
    <hyperlink xmlns:r="http://schemas.openxmlformats.org/officeDocument/2006/relationships" ref="J3761" r:id="rId10938"/>
    <hyperlink xmlns:r="http://schemas.openxmlformats.org/officeDocument/2006/relationships" ref="K3761" r:id="rId10939"/>
    <hyperlink xmlns:r="http://schemas.openxmlformats.org/officeDocument/2006/relationships" ref="I3762" r:id="rId10940"/>
    <hyperlink xmlns:r="http://schemas.openxmlformats.org/officeDocument/2006/relationships" ref="J3762" r:id="rId10941"/>
    <hyperlink xmlns:r="http://schemas.openxmlformats.org/officeDocument/2006/relationships" ref="K3762" r:id="rId10942"/>
    <hyperlink xmlns:r="http://schemas.openxmlformats.org/officeDocument/2006/relationships" ref="I3763" r:id="rId10943"/>
    <hyperlink xmlns:r="http://schemas.openxmlformats.org/officeDocument/2006/relationships" ref="J3763" r:id="rId10944"/>
    <hyperlink xmlns:r="http://schemas.openxmlformats.org/officeDocument/2006/relationships" ref="K3763" r:id="rId10945"/>
    <hyperlink xmlns:r="http://schemas.openxmlformats.org/officeDocument/2006/relationships" ref="I3764" r:id="rId10946"/>
    <hyperlink xmlns:r="http://schemas.openxmlformats.org/officeDocument/2006/relationships" ref="J3764" r:id="rId10947"/>
    <hyperlink xmlns:r="http://schemas.openxmlformats.org/officeDocument/2006/relationships" ref="K3764" r:id="rId10948"/>
    <hyperlink xmlns:r="http://schemas.openxmlformats.org/officeDocument/2006/relationships" ref="I3765" r:id="rId10949"/>
    <hyperlink xmlns:r="http://schemas.openxmlformats.org/officeDocument/2006/relationships" ref="J3765" r:id="rId10950"/>
    <hyperlink xmlns:r="http://schemas.openxmlformats.org/officeDocument/2006/relationships" ref="K3765" r:id="rId10951"/>
    <hyperlink xmlns:r="http://schemas.openxmlformats.org/officeDocument/2006/relationships" ref="I3766" r:id="rId10952"/>
    <hyperlink xmlns:r="http://schemas.openxmlformats.org/officeDocument/2006/relationships" ref="J3766" r:id="rId10953"/>
    <hyperlink xmlns:r="http://schemas.openxmlformats.org/officeDocument/2006/relationships" ref="K3766" r:id="rId10954"/>
    <hyperlink xmlns:r="http://schemas.openxmlformats.org/officeDocument/2006/relationships" ref="I3767" r:id="rId10955"/>
    <hyperlink xmlns:r="http://schemas.openxmlformats.org/officeDocument/2006/relationships" ref="J3767" r:id="rId10956"/>
    <hyperlink xmlns:r="http://schemas.openxmlformats.org/officeDocument/2006/relationships" ref="K3767" r:id="rId10957"/>
    <hyperlink xmlns:r="http://schemas.openxmlformats.org/officeDocument/2006/relationships" ref="I3768" r:id="rId10958"/>
    <hyperlink xmlns:r="http://schemas.openxmlformats.org/officeDocument/2006/relationships" ref="J3768" r:id="rId10959"/>
    <hyperlink xmlns:r="http://schemas.openxmlformats.org/officeDocument/2006/relationships" ref="K3768" r:id="rId10960"/>
    <hyperlink xmlns:r="http://schemas.openxmlformats.org/officeDocument/2006/relationships" ref="I3769" r:id="rId10961"/>
    <hyperlink xmlns:r="http://schemas.openxmlformats.org/officeDocument/2006/relationships" ref="J3769" r:id="rId10962"/>
    <hyperlink xmlns:r="http://schemas.openxmlformats.org/officeDocument/2006/relationships" ref="K3769" r:id="rId10963"/>
    <hyperlink xmlns:r="http://schemas.openxmlformats.org/officeDocument/2006/relationships" ref="I3770" r:id="rId10964"/>
    <hyperlink xmlns:r="http://schemas.openxmlformats.org/officeDocument/2006/relationships" ref="J3770" r:id="rId10965"/>
    <hyperlink xmlns:r="http://schemas.openxmlformats.org/officeDocument/2006/relationships" ref="K3770" r:id="rId10966"/>
    <hyperlink xmlns:r="http://schemas.openxmlformats.org/officeDocument/2006/relationships" ref="I3771" r:id="rId10967"/>
    <hyperlink xmlns:r="http://schemas.openxmlformats.org/officeDocument/2006/relationships" ref="J3771" r:id="rId10968"/>
    <hyperlink xmlns:r="http://schemas.openxmlformats.org/officeDocument/2006/relationships" ref="K3771" r:id="rId10969"/>
    <hyperlink xmlns:r="http://schemas.openxmlformats.org/officeDocument/2006/relationships" ref="I3772" r:id="rId10970"/>
    <hyperlink xmlns:r="http://schemas.openxmlformats.org/officeDocument/2006/relationships" ref="J3772" r:id="rId10971"/>
    <hyperlink xmlns:r="http://schemas.openxmlformats.org/officeDocument/2006/relationships" ref="K3772" r:id="rId10972"/>
    <hyperlink xmlns:r="http://schemas.openxmlformats.org/officeDocument/2006/relationships" ref="I3773" r:id="rId10973"/>
    <hyperlink xmlns:r="http://schemas.openxmlformats.org/officeDocument/2006/relationships" ref="J3773" r:id="rId10974"/>
    <hyperlink xmlns:r="http://schemas.openxmlformats.org/officeDocument/2006/relationships" ref="K3773" r:id="rId10975"/>
    <hyperlink xmlns:r="http://schemas.openxmlformats.org/officeDocument/2006/relationships" ref="I3774" r:id="rId10976"/>
    <hyperlink xmlns:r="http://schemas.openxmlformats.org/officeDocument/2006/relationships" ref="J3774" r:id="rId10977"/>
    <hyperlink xmlns:r="http://schemas.openxmlformats.org/officeDocument/2006/relationships" ref="K3774" r:id="rId10978"/>
    <hyperlink xmlns:r="http://schemas.openxmlformats.org/officeDocument/2006/relationships" ref="I3775" r:id="rId10979"/>
    <hyperlink xmlns:r="http://schemas.openxmlformats.org/officeDocument/2006/relationships" ref="J3775" r:id="rId10980"/>
    <hyperlink xmlns:r="http://schemas.openxmlformats.org/officeDocument/2006/relationships" ref="K3775" r:id="rId10981"/>
    <hyperlink xmlns:r="http://schemas.openxmlformats.org/officeDocument/2006/relationships" ref="I3776" r:id="rId10982"/>
    <hyperlink xmlns:r="http://schemas.openxmlformats.org/officeDocument/2006/relationships" ref="J3776" r:id="rId10983"/>
    <hyperlink xmlns:r="http://schemas.openxmlformats.org/officeDocument/2006/relationships" ref="K3776" r:id="rId10984"/>
    <hyperlink xmlns:r="http://schemas.openxmlformats.org/officeDocument/2006/relationships" ref="I3777" r:id="rId10985"/>
    <hyperlink xmlns:r="http://schemas.openxmlformats.org/officeDocument/2006/relationships" ref="J3777" r:id="rId10986"/>
    <hyperlink xmlns:r="http://schemas.openxmlformats.org/officeDocument/2006/relationships" ref="K3777" r:id="rId10987"/>
    <hyperlink xmlns:r="http://schemas.openxmlformats.org/officeDocument/2006/relationships" ref="I3778" r:id="rId10988"/>
    <hyperlink xmlns:r="http://schemas.openxmlformats.org/officeDocument/2006/relationships" ref="J3778" r:id="rId10989"/>
    <hyperlink xmlns:r="http://schemas.openxmlformats.org/officeDocument/2006/relationships" ref="K3778" r:id="rId10990"/>
    <hyperlink xmlns:r="http://schemas.openxmlformats.org/officeDocument/2006/relationships" ref="I3779" r:id="rId10991"/>
    <hyperlink xmlns:r="http://schemas.openxmlformats.org/officeDocument/2006/relationships" ref="J3779" r:id="rId10992"/>
    <hyperlink xmlns:r="http://schemas.openxmlformats.org/officeDocument/2006/relationships" ref="K3779" r:id="rId10993"/>
    <hyperlink xmlns:r="http://schemas.openxmlformats.org/officeDocument/2006/relationships" ref="I3780" r:id="rId10994"/>
    <hyperlink xmlns:r="http://schemas.openxmlformats.org/officeDocument/2006/relationships" ref="J3780" r:id="rId10995"/>
    <hyperlink xmlns:r="http://schemas.openxmlformats.org/officeDocument/2006/relationships" ref="K3780" r:id="rId10996"/>
    <hyperlink xmlns:r="http://schemas.openxmlformats.org/officeDocument/2006/relationships" ref="I3781" r:id="rId10997"/>
    <hyperlink xmlns:r="http://schemas.openxmlformats.org/officeDocument/2006/relationships" ref="J3781" r:id="rId10998"/>
    <hyperlink xmlns:r="http://schemas.openxmlformats.org/officeDocument/2006/relationships" ref="K3781" r:id="rId10999"/>
    <hyperlink xmlns:r="http://schemas.openxmlformats.org/officeDocument/2006/relationships" ref="I3782" r:id="rId11000"/>
    <hyperlink xmlns:r="http://schemas.openxmlformats.org/officeDocument/2006/relationships" ref="J3782" r:id="rId11001"/>
    <hyperlink xmlns:r="http://schemas.openxmlformats.org/officeDocument/2006/relationships" ref="K3782" r:id="rId11002"/>
    <hyperlink xmlns:r="http://schemas.openxmlformats.org/officeDocument/2006/relationships" ref="I3783" r:id="rId11003"/>
    <hyperlink xmlns:r="http://schemas.openxmlformats.org/officeDocument/2006/relationships" ref="J3783" r:id="rId11004"/>
    <hyperlink xmlns:r="http://schemas.openxmlformats.org/officeDocument/2006/relationships" ref="K3783" r:id="rId11005"/>
    <hyperlink xmlns:r="http://schemas.openxmlformats.org/officeDocument/2006/relationships" ref="I3784" r:id="rId11006"/>
    <hyperlink xmlns:r="http://schemas.openxmlformats.org/officeDocument/2006/relationships" ref="J3784" r:id="rId11007"/>
    <hyperlink xmlns:r="http://schemas.openxmlformats.org/officeDocument/2006/relationships" ref="K3784" r:id="rId11008"/>
    <hyperlink xmlns:r="http://schemas.openxmlformats.org/officeDocument/2006/relationships" ref="I3785" r:id="rId11009"/>
    <hyperlink xmlns:r="http://schemas.openxmlformats.org/officeDocument/2006/relationships" ref="J3785" r:id="rId11010"/>
    <hyperlink xmlns:r="http://schemas.openxmlformats.org/officeDocument/2006/relationships" ref="K3785" r:id="rId11011"/>
    <hyperlink xmlns:r="http://schemas.openxmlformats.org/officeDocument/2006/relationships" ref="I3786" r:id="rId11012"/>
    <hyperlink xmlns:r="http://schemas.openxmlformats.org/officeDocument/2006/relationships" ref="J3786" r:id="rId11013"/>
    <hyperlink xmlns:r="http://schemas.openxmlformats.org/officeDocument/2006/relationships" ref="K3786" r:id="rId11014"/>
    <hyperlink xmlns:r="http://schemas.openxmlformats.org/officeDocument/2006/relationships" ref="I3787" r:id="rId11015"/>
    <hyperlink xmlns:r="http://schemas.openxmlformats.org/officeDocument/2006/relationships" ref="J3787" r:id="rId11016"/>
    <hyperlink xmlns:r="http://schemas.openxmlformats.org/officeDocument/2006/relationships" ref="K3787" r:id="rId11017"/>
    <hyperlink xmlns:r="http://schemas.openxmlformats.org/officeDocument/2006/relationships" ref="I3788" r:id="rId11018"/>
    <hyperlink xmlns:r="http://schemas.openxmlformats.org/officeDocument/2006/relationships" ref="J3788" r:id="rId11019"/>
    <hyperlink xmlns:r="http://schemas.openxmlformats.org/officeDocument/2006/relationships" ref="K3788" r:id="rId11020"/>
    <hyperlink xmlns:r="http://schemas.openxmlformats.org/officeDocument/2006/relationships" ref="I3789" r:id="rId11021"/>
    <hyperlink xmlns:r="http://schemas.openxmlformats.org/officeDocument/2006/relationships" ref="J3789" r:id="rId11022"/>
    <hyperlink xmlns:r="http://schemas.openxmlformats.org/officeDocument/2006/relationships" ref="K3789" r:id="rId11023"/>
    <hyperlink xmlns:r="http://schemas.openxmlformats.org/officeDocument/2006/relationships" ref="I3790" r:id="rId11024"/>
    <hyperlink xmlns:r="http://schemas.openxmlformats.org/officeDocument/2006/relationships" ref="J3790" r:id="rId11025"/>
    <hyperlink xmlns:r="http://schemas.openxmlformats.org/officeDocument/2006/relationships" ref="K3790" r:id="rId11026"/>
    <hyperlink xmlns:r="http://schemas.openxmlformats.org/officeDocument/2006/relationships" ref="I3791" r:id="rId11027"/>
    <hyperlink xmlns:r="http://schemas.openxmlformats.org/officeDocument/2006/relationships" ref="J3791" r:id="rId11028"/>
    <hyperlink xmlns:r="http://schemas.openxmlformats.org/officeDocument/2006/relationships" ref="K3791" r:id="rId11029"/>
    <hyperlink xmlns:r="http://schemas.openxmlformats.org/officeDocument/2006/relationships" ref="I3792" r:id="rId11030"/>
    <hyperlink xmlns:r="http://schemas.openxmlformats.org/officeDocument/2006/relationships" ref="J3792" r:id="rId11031"/>
    <hyperlink xmlns:r="http://schemas.openxmlformats.org/officeDocument/2006/relationships" ref="K3792" r:id="rId11032"/>
    <hyperlink xmlns:r="http://schemas.openxmlformats.org/officeDocument/2006/relationships" ref="I3793" r:id="rId11033"/>
    <hyperlink xmlns:r="http://schemas.openxmlformats.org/officeDocument/2006/relationships" ref="J3793" r:id="rId11034"/>
    <hyperlink xmlns:r="http://schemas.openxmlformats.org/officeDocument/2006/relationships" ref="K3793" r:id="rId11035"/>
    <hyperlink xmlns:r="http://schemas.openxmlformats.org/officeDocument/2006/relationships" ref="I3794" r:id="rId11036"/>
    <hyperlink xmlns:r="http://schemas.openxmlformats.org/officeDocument/2006/relationships" ref="J3794" r:id="rId11037"/>
    <hyperlink xmlns:r="http://schemas.openxmlformats.org/officeDocument/2006/relationships" ref="K3794" r:id="rId11038"/>
    <hyperlink xmlns:r="http://schemas.openxmlformats.org/officeDocument/2006/relationships" ref="I3795" r:id="rId11039"/>
    <hyperlink xmlns:r="http://schemas.openxmlformats.org/officeDocument/2006/relationships" ref="J3795" r:id="rId11040"/>
    <hyperlink xmlns:r="http://schemas.openxmlformats.org/officeDocument/2006/relationships" ref="K3795" r:id="rId11041"/>
    <hyperlink xmlns:r="http://schemas.openxmlformats.org/officeDocument/2006/relationships" ref="I3796" r:id="rId11042"/>
    <hyperlink xmlns:r="http://schemas.openxmlformats.org/officeDocument/2006/relationships" ref="J3796" r:id="rId11043"/>
    <hyperlink xmlns:r="http://schemas.openxmlformats.org/officeDocument/2006/relationships" ref="K3796" r:id="rId11044"/>
    <hyperlink xmlns:r="http://schemas.openxmlformats.org/officeDocument/2006/relationships" ref="I3797" r:id="rId11045"/>
    <hyperlink xmlns:r="http://schemas.openxmlformats.org/officeDocument/2006/relationships" ref="J3797" r:id="rId11046"/>
    <hyperlink xmlns:r="http://schemas.openxmlformats.org/officeDocument/2006/relationships" ref="K3797" r:id="rId11047"/>
    <hyperlink xmlns:r="http://schemas.openxmlformats.org/officeDocument/2006/relationships" ref="I3798" r:id="rId11048"/>
    <hyperlink xmlns:r="http://schemas.openxmlformats.org/officeDocument/2006/relationships" ref="J3798" r:id="rId11049"/>
    <hyperlink xmlns:r="http://schemas.openxmlformats.org/officeDocument/2006/relationships" ref="K3798" r:id="rId11050"/>
    <hyperlink xmlns:r="http://schemas.openxmlformats.org/officeDocument/2006/relationships" ref="I3799" r:id="rId11051"/>
    <hyperlink xmlns:r="http://schemas.openxmlformats.org/officeDocument/2006/relationships" ref="J3799" r:id="rId11052"/>
    <hyperlink xmlns:r="http://schemas.openxmlformats.org/officeDocument/2006/relationships" ref="K3799" r:id="rId11053"/>
    <hyperlink xmlns:r="http://schemas.openxmlformats.org/officeDocument/2006/relationships" ref="I3800" r:id="rId11054"/>
    <hyperlink xmlns:r="http://schemas.openxmlformats.org/officeDocument/2006/relationships" ref="J3800" r:id="rId11055"/>
    <hyperlink xmlns:r="http://schemas.openxmlformats.org/officeDocument/2006/relationships" ref="K3800" r:id="rId11056"/>
    <hyperlink xmlns:r="http://schemas.openxmlformats.org/officeDocument/2006/relationships" ref="I3801" r:id="rId11057"/>
    <hyperlink xmlns:r="http://schemas.openxmlformats.org/officeDocument/2006/relationships" ref="J3801" r:id="rId11058"/>
    <hyperlink xmlns:r="http://schemas.openxmlformats.org/officeDocument/2006/relationships" ref="K3801" r:id="rId11059"/>
    <hyperlink xmlns:r="http://schemas.openxmlformats.org/officeDocument/2006/relationships" ref="I3802" r:id="rId11060"/>
    <hyperlink xmlns:r="http://schemas.openxmlformats.org/officeDocument/2006/relationships" ref="J3802" r:id="rId11061"/>
    <hyperlink xmlns:r="http://schemas.openxmlformats.org/officeDocument/2006/relationships" ref="K3802" r:id="rId11062"/>
    <hyperlink xmlns:r="http://schemas.openxmlformats.org/officeDocument/2006/relationships" ref="I3803" r:id="rId11063"/>
    <hyperlink xmlns:r="http://schemas.openxmlformats.org/officeDocument/2006/relationships" ref="J3803" r:id="rId11064"/>
    <hyperlink xmlns:r="http://schemas.openxmlformats.org/officeDocument/2006/relationships" ref="K3803" r:id="rId11065"/>
    <hyperlink xmlns:r="http://schemas.openxmlformats.org/officeDocument/2006/relationships" ref="I3804" r:id="rId11066"/>
    <hyperlink xmlns:r="http://schemas.openxmlformats.org/officeDocument/2006/relationships" ref="J3804" r:id="rId11067"/>
    <hyperlink xmlns:r="http://schemas.openxmlformats.org/officeDocument/2006/relationships" ref="K3804" r:id="rId11068"/>
    <hyperlink xmlns:r="http://schemas.openxmlformats.org/officeDocument/2006/relationships" ref="I3805" r:id="rId11069"/>
    <hyperlink xmlns:r="http://schemas.openxmlformats.org/officeDocument/2006/relationships" ref="J3805" r:id="rId11070"/>
    <hyperlink xmlns:r="http://schemas.openxmlformats.org/officeDocument/2006/relationships" ref="K3805" r:id="rId11071"/>
    <hyperlink xmlns:r="http://schemas.openxmlformats.org/officeDocument/2006/relationships" ref="I3806" r:id="rId11072"/>
    <hyperlink xmlns:r="http://schemas.openxmlformats.org/officeDocument/2006/relationships" ref="J3806" r:id="rId11073"/>
    <hyperlink xmlns:r="http://schemas.openxmlformats.org/officeDocument/2006/relationships" ref="K3806" r:id="rId11074"/>
    <hyperlink xmlns:r="http://schemas.openxmlformats.org/officeDocument/2006/relationships" ref="I3807" r:id="rId11075"/>
    <hyperlink xmlns:r="http://schemas.openxmlformats.org/officeDocument/2006/relationships" ref="J3807" r:id="rId11076"/>
    <hyperlink xmlns:r="http://schemas.openxmlformats.org/officeDocument/2006/relationships" ref="K3807" r:id="rId11077"/>
    <hyperlink xmlns:r="http://schemas.openxmlformats.org/officeDocument/2006/relationships" ref="I3808" r:id="rId11078"/>
    <hyperlink xmlns:r="http://schemas.openxmlformats.org/officeDocument/2006/relationships" ref="J3808" r:id="rId11079"/>
    <hyperlink xmlns:r="http://schemas.openxmlformats.org/officeDocument/2006/relationships" ref="K3808" r:id="rId11080"/>
    <hyperlink xmlns:r="http://schemas.openxmlformats.org/officeDocument/2006/relationships" ref="I3809" r:id="rId11081"/>
    <hyperlink xmlns:r="http://schemas.openxmlformats.org/officeDocument/2006/relationships" ref="J3809" r:id="rId11082"/>
    <hyperlink xmlns:r="http://schemas.openxmlformats.org/officeDocument/2006/relationships" ref="K3809" r:id="rId11083"/>
    <hyperlink xmlns:r="http://schemas.openxmlformats.org/officeDocument/2006/relationships" ref="I3810" r:id="rId11084"/>
    <hyperlink xmlns:r="http://schemas.openxmlformats.org/officeDocument/2006/relationships" ref="J3810" r:id="rId11085"/>
    <hyperlink xmlns:r="http://schemas.openxmlformats.org/officeDocument/2006/relationships" ref="K3810" r:id="rId11086"/>
    <hyperlink xmlns:r="http://schemas.openxmlformats.org/officeDocument/2006/relationships" ref="I3811" r:id="rId11087"/>
    <hyperlink xmlns:r="http://schemas.openxmlformats.org/officeDocument/2006/relationships" ref="J3811" r:id="rId11088"/>
    <hyperlink xmlns:r="http://schemas.openxmlformats.org/officeDocument/2006/relationships" ref="K3811" r:id="rId11089"/>
    <hyperlink xmlns:r="http://schemas.openxmlformats.org/officeDocument/2006/relationships" ref="I3812" r:id="rId11090"/>
    <hyperlink xmlns:r="http://schemas.openxmlformats.org/officeDocument/2006/relationships" ref="J3812" r:id="rId11091"/>
    <hyperlink xmlns:r="http://schemas.openxmlformats.org/officeDocument/2006/relationships" ref="K3812" r:id="rId11092"/>
    <hyperlink xmlns:r="http://schemas.openxmlformats.org/officeDocument/2006/relationships" ref="I3813" r:id="rId11093"/>
    <hyperlink xmlns:r="http://schemas.openxmlformats.org/officeDocument/2006/relationships" ref="J3813" r:id="rId11094"/>
    <hyperlink xmlns:r="http://schemas.openxmlformats.org/officeDocument/2006/relationships" ref="K3813" r:id="rId11095"/>
    <hyperlink xmlns:r="http://schemas.openxmlformats.org/officeDocument/2006/relationships" ref="I3814" r:id="rId11096"/>
    <hyperlink xmlns:r="http://schemas.openxmlformats.org/officeDocument/2006/relationships" ref="J3814" r:id="rId11097"/>
    <hyperlink xmlns:r="http://schemas.openxmlformats.org/officeDocument/2006/relationships" ref="K3814" r:id="rId11098"/>
    <hyperlink xmlns:r="http://schemas.openxmlformats.org/officeDocument/2006/relationships" ref="I3815" r:id="rId11099"/>
    <hyperlink xmlns:r="http://schemas.openxmlformats.org/officeDocument/2006/relationships" ref="J3815" r:id="rId11100"/>
    <hyperlink xmlns:r="http://schemas.openxmlformats.org/officeDocument/2006/relationships" ref="K3815" r:id="rId11101"/>
    <hyperlink xmlns:r="http://schemas.openxmlformats.org/officeDocument/2006/relationships" ref="I3816" r:id="rId11102"/>
    <hyperlink xmlns:r="http://schemas.openxmlformats.org/officeDocument/2006/relationships" ref="J3816" r:id="rId11103"/>
    <hyperlink xmlns:r="http://schemas.openxmlformats.org/officeDocument/2006/relationships" ref="K3816" r:id="rId11104"/>
    <hyperlink xmlns:r="http://schemas.openxmlformats.org/officeDocument/2006/relationships" ref="I3817" r:id="rId11105"/>
    <hyperlink xmlns:r="http://schemas.openxmlformats.org/officeDocument/2006/relationships" ref="J3817" r:id="rId11106"/>
    <hyperlink xmlns:r="http://schemas.openxmlformats.org/officeDocument/2006/relationships" ref="K3817" r:id="rId11107"/>
    <hyperlink xmlns:r="http://schemas.openxmlformats.org/officeDocument/2006/relationships" ref="I3818" r:id="rId11108"/>
    <hyperlink xmlns:r="http://schemas.openxmlformats.org/officeDocument/2006/relationships" ref="J3818" r:id="rId11109"/>
    <hyperlink xmlns:r="http://schemas.openxmlformats.org/officeDocument/2006/relationships" ref="K3818" r:id="rId11110"/>
    <hyperlink xmlns:r="http://schemas.openxmlformats.org/officeDocument/2006/relationships" ref="I3819" r:id="rId11111"/>
    <hyperlink xmlns:r="http://schemas.openxmlformats.org/officeDocument/2006/relationships" ref="J3819" r:id="rId11112"/>
    <hyperlink xmlns:r="http://schemas.openxmlformats.org/officeDocument/2006/relationships" ref="K3819" r:id="rId11113"/>
    <hyperlink xmlns:r="http://schemas.openxmlformats.org/officeDocument/2006/relationships" ref="I3820" r:id="rId11114"/>
    <hyperlink xmlns:r="http://schemas.openxmlformats.org/officeDocument/2006/relationships" ref="J3820" r:id="rId11115"/>
    <hyperlink xmlns:r="http://schemas.openxmlformats.org/officeDocument/2006/relationships" ref="K3820" r:id="rId11116"/>
    <hyperlink xmlns:r="http://schemas.openxmlformats.org/officeDocument/2006/relationships" ref="I3821" r:id="rId11117"/>
    <hyperlink xmlns:r="http://schemas.openxmlformats.org/officeDocument/2006/relationships" ref="J3821" r:id="rId11118"/>
    <hyperlink xmlns:r="http://schemas.openxmlformats.org/officeDocument/2006/relationships" ref="K3821" r:id="rId11119"/>
    <hyperlink xmlns:r="http://schemas.openxmlformats.org/officeDocument/2006/relationships" ref="I3822" r:id="rId11120"/>
    <hyperlink xmlns:r="http://schemas.openxmlformats.org/officeDocument/2006/relationships" ref="J3822" r:id="rId11121"/>
    <hyperlink xmlns:r="http://schemas.openxmlformats.org/officeDocument/2006/relationships" ref="K3822" r:id="rId11122"/>
    <hyperlink xmlns:r="http://schemas.openxmlformats.org/officeDocument/2006/relationships" ref="I3823" r:id="rId11123"/>
    <hyperlink xmlns:r="http://schemas.openxmlformats.org/officeDocument/2006/relationships" ref="J3823" r:id="rId11124"/>
    <hyperlink xmlns:r="http://schemas.openxmlformats.org/officeDocument/2006/relationships" ref="K3823" r:id="rId11125"/>
    <hyperlink xmlns:r="http://schemas.openxmlformats.org/officeDocument/2006/relationships" ref="I3824" r:id="rId11126"/>
    <hyperlink xmlns:r="http://schemas.openxmlformats.org/officeDocument/2006/relationships" ref="J3824" r:id="rId11127"/>
    <hyperlink xmlns:r="http://schemas.openxmlformats.org/officeDocument/2006/relationships" ref="K3824" r:id="rId11128"/>
    <hyperlink xmlns:r="http://schemas.openxmlformats.org/officeDocument/2006/relationships" ref="I3825" r:id="rId11129"/>
    <hyperlink xmlns:r="http://schemas.openxmlformats.org/officeDocument/2006/relationships" ref="J3825" r:id="rId11130"/>
    <hyperlink xmlns:r="http://schemas.openxmlformats.org/officeDocument/2006/relationships" ref="K3825" r:id="rId11131"/>
    <hyperlink xmlns:r="http://schemas.openxmlformats.org/officeDocument/2006/relationships" ref="I3826" r:id="rId11132"/>
    <hyperlink xmlns:r="http://schemas.openxmlformats.org/officeDocument/2006/relationships" ref="J3826" r:id="rId11133"/>
    <hyperlink xmlns:r="http://schemas.openxmlformats.org/officeDocument/2006/relationships" ref="K3826" r:id="rId11134"/>
    <hyperlink xmlns:r="http://schemas.openxmlformats.org/officeDocument/2006/relationships" ref="I3827" r:id="rId11135"/>
    <hyperlink xmlns:r="http://schemas.openxmlformats.org/officeDocument/2006/relationships" ref="J3827" r:id="rId11136"/>
    <hyperlink xmlns:r="http://schemas.openxmlformats.org/officeDocument/2006/relationships" ref="K3827" r:id="rId11137"/>
    <hyperlink xmlns:r="http://schemas.openxmlformats.org/officeDocument/2006/relationships" ref="I3828" r:id="rId11138"/>
    <hyperlink xmlns:r="http://schemas.openxmlformats.org/officeDocument/2006/relationships" ref="J3828" r:id="rId11139"/>
    <hyperlink xmlns:r="http://schemas.openxmlformats.org/officeDocument/2006/relationships" ref="K3828" r:id="rId11140"/>
    <hyperlink xmlns:r="http://schemas.openxmlformats.org/officeDocument/2006/relationships" ref="I3829" r:id="rId11141"/>
    <hyperlink xmlns:r="http://schemas.openxmlformats.org/officeDocument/2006/relationships" ref="J3829" r:id="rId11142"/>
    <hyperlink xmlns:r="http://schemas.openxmlformats.org/officeDocument/2006/relationships" ref="K3829" r:id="rId11143"/>
    <hyperlink xmlns:r="http://schemas.openxmlformats.org/officeDocument/2006/relationships" ref="I3830" r:id="rId11144"/>
    <hyperlink xmlns:r="http://schemas.openxmlformats.org/officeDocument/2006/relationships" ref="J3830" r:id="rId11145"/>
    <hyperlink xmlns:r="http://schemas.openxmlformats.org/officeDocument/2006/relationships" ref="K3830" r:id="rId11146"/>
    <hyperlink xmlns:r="http://schemas.openxmlformats.org/officeDocument/2006/relationships" ref="I3831" r:id="rId11147"/>
    <hyperlink xmlns:r="http://schemas.openxmlformats.org/officeDocument/2006/relationships" ref="J3831" r:id="rId11148"/>
    <hyperlink xmlns:r="http://schemas.openxmlformats.org/officeDocument/2006/relationships" ref="K3831" r:id="rId11149"/>
    <hyperlink xmlns:r="http://schemas.openxmlformats.org/officeDocument/2006/relationships" ref="I3832" r:id="rId11150"/>
    <hyperlink xmlns:r="http://schemas.openxmlformats.org/officeDocument/2006/relationships" ref="J3832" r:id="rId11151"/>
    <hyperlink xmlns:r="http://schemas.openxmlformats.org/officeDocument/2006/relationships" ref="K3832" r:id="rId11152"/>
    <hyperlink xmlns:r="http://schemas.openxmlformats.org/officeDocument/2006/relationships" ref="I3833" r:id="rId11153"/>
    <hyperlink xmlns:r="http://schemas.openxmlformats.org/officeDocument/2006/relationships" ref="J3833" r:id="rId11154"/>
    <hyperlink xmlns:r="http://schemas.openxmlformats.org/officeDocument/2006/relationships" ref="K3833" r:id="rId11155"/>
    <hyperlink xmlns:r="http://schemas.openxmlformats.org/officeDocument/2006/relationships" ref="I3834" r:id="rId11156"/>
    <hyperlink xmlns:r="http://schemas.openxmlformats.org/officeDocument/2006/relationships" ref="J3834" r:id="rId11157"/>
    <hyperlink xmlns:r="http://schemas.openxmlformats.org/officeDocument/2006/relationships" ref="K3834" r:id="rId11158"/>
    <hyperlink xmlns:r="http://schemas.openxmlformats.org/officeDocument/2006/relationships" ref="I3835" r:id="rId11159"/>
    <hyperlink xmlns:r="http://schemas.openxmlformats.org/officeDocument/2006/relationships" ref="J3835" r:id="rId11160"/>
    <hyperlink xmlns:r="http://schemas.openxmlformats.org/officeDocument/2006/relationships" ref="K3835" r:id="rId11161"/>
    <hyperlink xmlns:r="http://schemas.openxmlformats.org/officeDocument/2006/relationships" ref="I3836" r:id="rId11162"/>
    <hyperlink xmlns:r="http://schemas.openxmlformats.org/officeDocument/2006/relationships" ref="J3836" r:id="rId11163"/>
    <hyperlink xmlns:r="http://schemas.openxmlformats.org/officeDocument/2006/relationships" ref="K3836" r:id="rId11164"/>
    <hyperlink xmlns:r="http://schemas.openxmlformats.org/officeDocument/2006/relationships" ref="I3837" r:id="rId11165"/>
    <hyperlink xmlns:r="http://schemas.openxmlformats.org/officeDocument/2006/relationships" ref="J3837" r:id="rId11166"/>
    <hyperlink xmlns:r="http://schemas.openxmlformats.org/officeDocument/2006/relationships" ref="K3837" r:id="rId11167"/>
    <hyperlink xmlns:r="http://schemas.openxmlformats.org/officeDocument/2006/relationships" ref="I3838" r:id="rId11168"/>
    <hyperlink xmlns:r="http://schemas.openxmlformats.org/officeDocument/2006/relationships" ref="J3838" r:id="rId11169"/>
    <hyperlink xmlns:r="http://schemas.openxmlformats.org/officeDocument/2006/relationships" ref="K3838" r:id="rId11170"/>
    <hyperlink xmlns:r="http://schemas.openxmlformats.org/officeDocument/2006/relationships" ref="I3839" r:id="rId11171"/>
    <hyperlink xmlns:r="http://schemas.openxmlformats.org/officeDocument/2006/relationships" ref="J3839" r:id="rId11172"/>
    <hyperlink xmlns:r="http://schemas.openxmlformats.org/officeDocument/2006/relationships" ref="K3839" r:id="rId11173"/>
    <hyperlink xmlns:r="http://schemas.openxmlformats.org/officeDocument/2006/relationships" ref="I3840" r:id="rId11174"/>
    <hyperlink xmlns:r="http://schemas.openxmlformats.org/officeDocument/2006/relationships" ref="J3840" r:id="rId11175"/>
    <hyperlink xmlns:r="http://schemas.openxmlformats.org/officeDocument/2006/relationships" ref="K3840" r:id="rId11176"/>
    <hyperlink xmlns:r="http://schemas.openxmlformats.org/officeDocument/2006/relationships" ref="I3841" r:id="rId11177"/>
    <hyperlink xmlns:r="http://schemas.openxmlformats.org/officeDocument/2006/relationships" ref="J3841" r:id="rId11178"/>
    <hyperlink xmlns:r="http://schemas.openxmlformats.org/officeDocument/2006/relationships" ref="K3841" r:id="rId11179"/>
    <hyperlink xmlns:r="http://schemas.openxmlformats.org/officeDocument/2006/relationships" ref="I3842" r:id="rId11180"/>
    <hyperlink xmlns:r="http://schemas.openxmlformats.org/officeDocument/2006/relationships" ref="J3842" r:id="rId11181"/>
    <hyperlink xmlns:r="http://schemas.openxmlformats.org/officeDocument/2006/relationships" ref="K3842" r:id="rId11182"/>
    <hyperlink xmlns:r="http://schemas.openxmlformats.org/officeDocument/2006/relationships" ref="I3843" r:id="rId11183"/>
    <hyperlink xmlns:r="http://schemas.openxmlformats.org/officeDocument/2006/relationships" ref="J3843" r:id="rId11184"/>
    <hyperlink xmlns:r="http://schemas.openxmlformats.org/officeDocument/2006/relationships" ref="K3843" r:id="rId11185"/>
    <hyperlink xmlns:r="http://schemas.openxmlformats.org/officeDocument/2006/relationships" ref="I3844" r:id="rId11186"/>
    <hyperlink xmlns:r="http://schemas.openxmlformats.org/officeDocument/2006/relationships" ref="J3844" r:id="rId11187"/>
    <hyperlink xmlns:r="http://schemas.openxmlformats.org/officeDocument/2006/relationships" ref="K3844" r:id="rId11188"/>
    <hyperlink xmlns:r="http://schemas.openxmlformats.org/officeDocument/2006/relationships" ref="I3845" r:id="rId11189"/>
    <hyperlink xmlns:r="http://schemas.openxmlformats.org/officeDocument/2006/relationships" ref="J3845" r:id="rId11190"/>
    <hyperlink xmlns:r="http://schemas.openxmlformats.org/officeDocument/2006/relationships" ref="K3845" r:id="rId11191"/>
    <hyperlink xmlns:r="http://schemas.openxmlformats.org/officeDocument/2006/relationships" ref="I3846" r:id="rId11192"/>
    <hyperlink xmlns:r="http://schemas.openxmlformats.org/officeDocument/2006/relationships" ref="J3846" r:id="rId11193"/>
    <hyperlink xmlns:r="http://schemas.openxmlformats.org/officeDocument/2006/relationships" ref="K3846" r:id="rId11194"/>
    <hyperlink xmlns:r="http://schemas.openxmlformats.org/officeDocument/2006/relationships" ref="I3847" r:id="rId11195"/>
    <hyperlink xmlns:r="http://schemas.openxmlformats.org/officeDocument/2006/relationships" ref="J3847" r:id="rId11196"/>
    <hyperlink xmlns:r="http://schemas.openxmlformats.org/officeDocument/2006/relationships" ref="K3847" r:id="rId11197"/>
    <hyperlink xmlns:r="http://schemas.openxmlformats.org/officeDocument/2006/relationships" ref="I3848" r:id="rId11198"/>
    <hyperlink xmlns:r="http://schemas.openxmlformats.org/officeDocument/2006/relationships" ref="J3848" r:id="rId11199"/>
    <hyperlink xmlns:r="http://schemas.openxmlformats.org/officeDocument/2006/relationships" ref="K3848" r:id="rId11200"/>
    <hyperlink xmlns:r="http://schemas.openxmlformats.org/officeDocument/2006/relationships" ref="I3849" r:id="rId11201"/>
    <hyperlink xmlns:r="http://schemas.openxmlformats.org/officeDocument/2006/relationships" ref="J3849" r:id="rId11202"/>
    <hyperlink xmlns:r="http://schemas.openxmlformats.org/officeDocument/2006/relationships" ref="K3849" r:id="rId11203"/>
    <hyperlink xmlns:r="http://schemas.openxmlformats.org/officeDocument/2006/relationships" ref="I3850" r:id="rId11204"/>
    <hyperlink xmlns:r="http://schemas.openxmlformats.org/officeDocument/2006/relationships" ref="J3850" r:id="rId11205"/>
    <hyperlink xmlns:r="http://schemas.openxmlformats.org/officeDocument/2006/relationships" ref="K3850" r:id="rId11206"/>
    <hyperlink xmlns:r="http://schemas.openxmlformats.org/officeDocument/2006/relationships" ref="I3851" r:id="rId11207"/>
    <hyperlink xmlns:r="http://schemas.openxmlformats.org/officeDocument/2006/relationships" ref="J3851" r:id="rId11208"/>
    <hyperlink xmlns:r="http://schemas.openxmlformats.org/officeDocument/2006/relationships" ref="K3851" r:id="rId11209"/>
    <hyperlink xmlns:r="http://schemas.openxmlformats.org/officeDocument/2006/relationships" ref="I3852" r:id="rId11210"/>
    <hyperlink xmlns:r="http://schemas.openxmlformats.org/officeDocument/2006/relationships" ref="J3852" r:id="rId11211"/>
    <hyperlink xmlns:r="http://schemas.openxmlformats.org/officeDocument/2006/relationships" ref="K3852" r:id="rId11212"/>
    <hyperlink xmlns:r="http://schemas.openxmlformats.org/officeDocument/2006/relationships" ref="I3853" r:id="rId11213"/>
    <hyperlink xmlns:r="http://schemas.openxmlformats.org/officeDocument/2006/relationships" ref="J3853" r:id="rId11214"/>
    <hyperlink xmlns:r="http://schemas.openxmlformats.org/officeDocument/2006/relationships" ref="K3853" r:id="rId11215"/>
    <hyperlink xmlns:r="http://schemas.openxmlformats.org/officeDocument/2006/relationships" ref="I3854" r:id="rId11216"/>
    <hyperlink xmlns:r="http://schemas.openxmlformats.org/officeDocument/2006/relationships" ref="J3854" r:id="rId11217"/>
    <hyperlink xmlns:r="http://schemas.openxmlformats.org/officeDocument/2006/relationships" ref="K3854" r:id="rId11218"/>
    <hyperlink xmlns:r="http://schemas.openxmlformats.org/officeDocument/2006/relationships" ref="I3855" r:id="rId11219"/>
    <hyperlink xmlns:r="http://schemas.openxmlformats.org/officeDocument/2006/relationships" ref="J3855" r:id="rId11220"/>
    <hyperlink xmlns:r="http://schemas.openxmlformats.org/officeDocument/2006/relationships" ref="K3855" r:id="rId11221"/>
    <hyperlink xmlns:r="http://schemas.openxmlformats.org/officeDocument/2006/relationships" ref="I3856" r:id="rId11222"/>
    <hyperlink xmlns:r="http://schemas.openxmlformats.org/officeDocument/2006/relationships" ref="J3856" r:id="rId11223"/>
    <hyperlink xmlns:r="http://schemas.openxmlformats.org/officeDocument/2006/relationships" ref="K3856" r:id="rId11224"/>
    <hyperlink xmlns:r="http://schemas.openxmlformats.org/officeDocument/2006/relationships" ref="I3857" r:id="rId11225"/>
    <hyperlink xmlns:r="http://schemas.openxmlformats.org/officeDocument/2006/relationships" ref="J3857" r:id="rId11226"/>
    <hyperlink xmlns:r="http://schemas.openxmlformats.org/officeDocument/2006/relationships" ref="K3857" r:id="rId11227"/>
    <hyperlink xmlns:r="http://schemas.openxmlformats.org/officeDocument/2006/relationships" ref="I3858" r:id="rId11228"/>
    <hyperlink xmlns:r="http://schemas.openxmlformats.org/officeDocument/2006/relationships" ref="J3858" r:id="rId11229"/>
    <hyperlink xmlns:r="http://schemas.openxmlformats.org/officeDocument/2006/relationships" ref="K3858" r:id="rId11230"/>
    <hyperlink xmlns:r="http://schemas.openxmlformats.org/officeDocument/2006/relationships" ref="I3859" r:id="rId11231"/>
    <hyperlink xmlns:r="http://schemas.openxmlformats.org/officeDocument/2006/relationships" ref="J3859" r:id="rId11232"/>
    <hyperlink xmlns:r="http://schemas.openxmlformats.org/officeDocument/2006/relationships" ref="K3859" r:id="rId11233"/>
    <hyperlink xmlns:r="http://schemas.openxmlformats.org/officeDocument/2006/relationships" ref="I3860" r:id="rId11234"/>
    <hyperlink xmlns:r="http://schemas.openxmlformats.org/officeDocument/2006/relationships" ref="J3860" r:id="rId11235"/>
    <hyperlink xmlns:r="http://schemas.openxmlformats.org/officeDocument/2006/relationships" ref="K3860" r:id="rId11236"/>
    <hyperlink xmlns:r="http://schemas.openxmlformats.org/officeDocument/2006/relationships" ref="I3861" r:id="rId11237"/>
    <hyperlink xmlns:r="http://schemas.openxmlformats.org/officeDocument/2006/relationships" ref="J3861" r:id="rId11238"/>
    <hyperlink xmlns:r="http://schemas.openxmlformats.org/officeDocument/2006/relationships" ref="K3861" r:id="rId11239"/>
    <hyperlink xmlns:r="http://schemas.openxmlformats.org/officeDocument/2006/relationships" ref="I3862" r:id="rId11240"/>
    <hyperlink xmlns:r="http://schemas.openxmlformats.org/officeDocument/2006/relationships" ref="J3862" r:id="rId11241"/>
    <hyperlink xmlns:r="http://schemas.openxmlformats.org/officeDocument/2006/relationships" ref="K3862" r:id="rId11242"/>
    <hyperlink xmlns:r="http://schemas.openxmlformats.org/officeDocument/2006/relationships" ref="I3863" r:id="rId11243"/>
    <hyperlink xmlns:r="http://schemas.openxmlformats.org/officeDocument/2006/relationships" ref="J3863" r:id="rId11244"/>
    <hyperlink xmlns:r="http://schemas.openxmlformats.org/officeDocument/2006/relationships" ref="K3863" r:id="rId11245"/>
    <hyperlink xmlns:r="http://schemas.openxmlformats.org/officeDocument/2006/relationships" ref="I3864" r:id="rId11246"/>
    <hyperlink xmlns:r="http://schemas.openxmlformats.org/officeDocument/2006/relationships" ref="J3864" r:id="rId11247"/>
    <hyperlink xmlns:r="http://schemas.openxmlformats.org/officeDocument/2006/relationships" ref="K3864" r:id="rId11248"/>
    <hyperlink xmlns:r="http://schemas.openxmlformats.org/officeDocument/2006/relationships" ref="I3865" r:id="rId11249"/>
    <hyperlink xmlns:r="http://schemas.openxmlformats.org/officeDocument/2006/relationships" ref="J3865" r:id="rId11250"/>
    <hyperlink xmlns:r="http://schemas.openxmlformats.org/officeDocument/2006/relationships" ref="K3865" r:id="rId11251"/>
    <hyperlink xmlns:r="http://schemas.openxmlformats.org/officeDocument/2006/relationships" ref="I3866" r:id="rId11252"/>
    <hyperlink xmlns:r="http://schemas.openxmlformats.org/officeDocument/2006/relationships" ref="J3866" r:id="rId11253"/>
    <hyperlink xmlns:r="http://schemas.openxmlformats.org/officeDocument/2006/relationships" ref="K3866" r:id="rId11254"/>
    <hyperlink xmlns:r="http://schemas.openxmlformats.org/officeDocument/2006/relationships" ref="I3867" r:id="rId11255"/>
    <hyperlink xmlns:r="http://schemas.openxmlformats.org/officeDocument/2006/relationships" ref="J3867" r:id="rId11256"/>
    <hyperlink xmlns:r="http://schemas.openxmlformats.org/officeDocument/2006/relationships" ref="K3867" r:id="rId11257"/>
    <hyperlink xmlns:r="http://schemas.openxmlformats.org/officeDocument/2006/relationships" ref="I3868" r:id="rId11258"/>
    <hyperlink xmlns:r="http://schemas.openxmlformats.org/officeDocument/2006/relationships" ref="J3868" r:id="rId11259"/>
    <hyperlink xmlns:r="http://schemas.openxmlformats.org/officeDocument/2006/relationships" ref="K3868" r:id="rId11260"/>
    <hyperlink xmlns:r="http://schemas.openxmlformats.org/officeDocument/2006/relationships" ref="I3869" r:id="rId11261"/>
    <hyperlink xmlns:r="http://schemas.openxmlformats.org/officeDocument/2006/relationships" ref="J3869" r:id="rId11262"/>
    <hyperlink xmlns:r="http://schemas.openxmlformats.org/officeDocument/2006/relationships" ref="K3869" r:id="rId11263"/>
    <hyperlink xmlns:r="http://schemas.openxmlformats.org/officeDocument/2006/relationships" ref="I3870" r:id="rId11264"/>
    <hyperlink xmlns:r="http://schemas.openxmlformats.org/officeDocument/2006/relationships" ref="J3870" r:id="rId11265"/>
    <hyperlink xmlns:r="http://schemas.openxmlformats.org/officeDocument/2006/relationships" ref="K3870" r:id="rId11266"/>
    <hyperlink xmlns:r="http://schemas.openxmlformats.org/officeDocument/2006/relationships" ref="I3871" r:id="rId11267"/>
    <hyperlink xmlns:r="http://schemas.openxmlformats.org/officeDocument/2006/relationships" ref="J3871" r:id="rId11268"/>
    <hyperlink xmlns:r="http://schemas.openxmlformats.org/officeDocument/2006/relationships" ref="K3871" r:id="rId11269"/>
    <hyperlink xmlns:r="http://schemas.openxmlformats.org/officeDocument/2006/relationships" ref="I3872" r:id="rId11270"/>
    <hyperlink xmlns:r="http://schemas.openxmlformats.org/officeDocument/2006/relationships" ref="J3872" r:id="rId11271"/>
    <hyperlink xmlns:r="http://schemas.openxmlformats.org/officeDocument/2006/relationships" ref="K3872" r:id="rId11272"/>
    <hyperlink xmlns:r="http://schemas.openxmlformats.org/officeDocument/2006/relationships" ref="I3873" r:id="rId11273"/>
    <hyperlink xmlns:r="http://schemas.openxmlformats.org/officeDocument/2006/relationships" ref="J3873" r:id="rId11274"/>
    <hyperlink xmlns:r="http://schemas.openxmlformats.org/officeDocument/2006/relationships" ref="K3873" r:id="rId11275"/>
    <hyperlink xmlns:r="http://schemas.openxmlformats.org/officeDocument/2006/relationships" ref="I3874" r:id="rId11276"/>
    <hyperlink xmlns:r="http://schemas.openxmlformats.org/officeDocument/2006/relationships" ref="J3874" r:id="rId11277"/>
    <hyperlink xmlns:r="http://schemas.openxmlformats.org/officeDocument/2006/relationships" ref="K3874" r:id="rId11278"/>
    <hyperlink xmlns:r="http://schemas.openxmlformats.org/officeDocument/2006/relationships" ref="I3875" r:id="rId11279"/>
    <hyperlink xmlns:r="http://schemas.openxmlformats.org/officeDocument/2006/relationships" ref="J3875" r:id="rId11280"/>
    <hyperlink xmlns:r="http://schemas.openxmlformats.org/officeDocument/2006/relationships" ref="K3875" r:id="rId11281"/>
    <hyperlink xmlns:r="http://schemas.openxmlformats.org/officeDocument/2006/relationships" ref="I3876" r:id="rId11282"/>
    <hyperlink xmlns:r="http://schemas.openxmlformats.org/officeDocument/2006/relationships" ref="J3876" r:id="rId11283"/>
    <hyperlink xmlns:r="http://schemas.openxmlformats.org/officeDocument/2006/relationships" ref="K3876" r:id="rId11284"/>
    <hyperlink xmlns:r="http://schemas.openxmlformats.org/officeDocument/2006/relationships" ref="I3877" r:id="rId11285"/>
    <hyperlink xmlns:r="http://schemas.openxmlformats.org/officeDocument/2006/relationships" ref="J3877" r:id="rId11286"/>
    <hyperlink xmlns:r="http://schemas.openxmlformats.org/officeDocument/2006/relationships" ref="K3877" r:id="rId11287"/>
    <hyperlink xmlns:r="http://schemas.openxmlformats.org/officeDocument/2006/relationships" ref="I3878" r:id="rId11288"/>
    <hyperlink xmlns:r="http://schemas.openxmlformats.org/officeDocument/2006/relationships" ref="J3878" r:id="rId11289"/>
    <hyperlink xmlns:r="http://schemas.openxmlformats.org/officeDocument/2006/relationships" ref="K3878" r:id="rId11290"/>
    <hyperlink xmlns:r="http://schemas.openxmlformats.org/officeDocument/2006/relationships" ref="I3879" r:id="rId11291"/>
    <hyperlink xmlns:r="http://schemas.openxmlformats.org/officeDocument/2006/relationships" ref="J3879" r:id="rId11292"/>
    <hyperlink xmlns:r="http://schemas.openxmlformats.org/officeDocument/2006/relationships" ref="K3879" r:id="rId11293"/>
    <hyperlink xmlns:r="http://schemas.openxmlformats.org/officeDocument/2006/relationships" ref="I3880" r:id="rId11294"/>
    <hyperlink xmlns:r="http://schemas.openxmlformats.org/officeDocument/2006/relationships" ref="J3880" r:id="rId11295"/>
    <hyperlink xmlns:r="http://schemas.openxmlformats.org/officeDocument/2006/relationships" ref="K3880" r:id="rId11296"/>
    <hyperlink xmlns:r="http://schemas.openxmlformats.org/officeDocument/2006/relationships" ref="I3881" r:id="rId11297"/>
    <hyperlink xmlns:r="http://schemas.openxmlformats.org/officeDocument/2006/relationships" ref="J3881" r:id="rId11298"/>
    <hyperlink xmlns:r="http://schemas.openxmlformats.org/officeDocument/2006/relationships" ref="K3881" r:id="rId11299"/>
    <hyperlink xmlns:r="http://schemas.openxmlformats.org/officeDocument/2006/relationships" ref="I3882" r:id="rId11300"/>
    <hyperlink xmlns:r="http://schemas.openxmlformats.org/officeDocument/2006/relationships" ref="J3882" r:id="rId11301"/>
    <hyperlink xmlns:r="http://schemas.openxmlformats.org/officeDocument/2006/relationships" ref="K3882" r:id="rId11302"/>
    <hyperlink xmlns:r="http://schemas.openxmlformats.org/officeDocument/2006/relationships" ref="I3883" r:id="rId11303"/>
    <hyperlink xmlns:r="http://schemas.openxmlformats.org/officeDocument/2006/relationships" ref="J3883" r:id="rId11304"/>
    <hyperlink xmlns:r="http://schemas.openxmlformats.org/officeDocument/2006/relationships" ref="K3883" r:id="rId11305"/>
    <hyperlink xmlns:r="http://schemas.openxmlformats.org/officeDocument/2006/relationships" ref="I3884" r:id="rId11306"/>
    <hyperlink xmlns:r="http://schemas.openxmlformats.org/officeDocument/2006/relationships" ref="J3884" r:id="rId11307"/>
    <hyperlink xmlns:r="http://schemas.openxmlformats.org/officeDocument/2006/relationships" ref="K3884" r:id="rId11308"/>
    <hyperlink xmlns:r="http://schemas.openxmlformats.org/officeDocument/2006/relationships" ref="I3885" r:id="rId11309"/>
    <hyperlink xmlns:r="http://schemas.openxmlformats.org/officeDocument/2006/relationships" ref="J3885" r:id="rId11310"/>
    <hyperlink xmlns:r="http://schemas.openxmlformats.org/officeDocument/2006/relationships" ref="K3885" r:id="rId11311"/>
    <hyperlink xmlns:r="http://schemas.openxmlformats.org/officeDocument/2006/relationships" ref="I3886" r:id="rId11312"/>
    <hyperlink xmlns:r="http://schemas.openxmlformats.org/officeDocument/2006/relationships" ref="J3886" r:id="rId11313"/>
    <hyperlink xmlns:r="http://schemas.openxmlformats.org/officeDocument/2006/relationships" ref="K3886" r:id="rId11314"/>
    <hyperlink xmlns:r="http://schemas.openxmlformats.org/officeDocument/2006/relationships" ref="I3887" r:id="rId11315"/>
    <hyperlink xmlns:r="http://schemas.openxmlformats.org/officeDocument/2006/relationships" ref="J3887" r:id="rId11316"/>
    <hyperlink xmlns:r="http://schemas.openxmlformats.org/officeDocument/2006/relationships" ref="K3887" r:id="rId11317"/>
    <hyperlink xmlns:r="http://schemas.openxmlformats.org/officeDocument/2006/relationships" ref="I3888" r:id="rId11318"/>
    <hyperlink xmlns:r="http://schemas.openxmlformats.org/officeDocument/2006/relationships" ref="J3888" r:id="rId11319"/>
    <hyperlink xmlns:r="http://schemas.openxmlformats.org/officeDocument/2006/relationships" ref="K3888" r:id="rId11320"/>
    <hyperlink xmlns:r="http://schemas.openxmlformats.org/officeDocument/2006/relationships" ref="I3889" r:id="rId11321"/>
    <hyperlink xmlns:r="http://schemas.openxmlformats.org/officeDocument/2006/relationships" ref="J3889" r:id="rId11322"/>
    <hyperlink xmlns:r="http://schemas.openxmlformats.org/officeDocument/2006/relationships" ref="K3889" r:id="rId11323"/>
    <hyperlink xmlns:r="http://schemas.openxmlformats.org/officeDocument/2006/relationships" ref="I3890" r:id="rId11324"/>
    <hyperlink xmlns:r="http://schemas.openxmlformats.org/officeDocument/2006/relationships" ref="J3890" r:id="rId11325"/>
    <hyperlink xmlns:r="http://schemas.openxmlformats.org/officeDocument/2006/relationships" ref="K3890" r:id="rId11326"/>
    <hyperlink xmlns:r="http://schemas.openxmlformats.org/officeDocument/2006/relationships" ref="I3891" r:id="rId11327"/>
    <hyperlink xmlns:r="http://schemas.openxmlformats.org/officeDocument/2006/relationships" ref="J3891" r:id="rId11328"/>
    <hyperlink xmlns:r="http://schemas.openxmlformats.org/officeDocument/2006/relationships" ref="K3891" r:id="rId11329"/>
    <hyperlink xmlns:r="http://schemas.openxmlformats.org/officeDocument/2006/relationships" ref="I3892" r:id="rId11330"/>
    <hyperlink xmlns:r="http://schemas.openxmlformats.org/officeDocument/2006/relationships" ref="J3892" r:id="rId11331"/>
    <hyperlink xmlns:r="http://schemas.openxmlformats.org/officeDocument/2006/relationships" ref="K3892" r:id="rId11332"/>
    <hyperlink xmlns:r="http://schemas.openxmlformats.org/officeDocument/2006/relationships" ref="I3893" r:id="rId11333"/>
    <hyperlink xmlns:r="http://schemas.openxmlformats.org/officeDocument/2006/relationships" ref="J3893" r:id="rId11334"/>
    <hyperlink xmlns:r="http://schemas.openxmlformats.org/officeDocument/2006/relationships" ref="K3893" r:id="rId11335"/>
    <hyperlink xmlns:r="http://schemas.openxmlformats.org/officeDocument/2006/relationships" ref="I3894" r:id="rId11336"/>
    <hyperlink xmlns:r="http://schemas.openxmlformats.org/officeDocument/2006/relationships" ref="J3894" r:id="rId11337"/>
    <hyperlink xmlns:r="http://schemas.openxmlformats.org/officeDocument/2006/relationships" ref="K3894" r:id="rId11338"/>
    <hyperlink xmlns:r="http://schemas.openxmlformats.org/officeDocument/2006/relationships" ref="I3895" r:id="rId11339"/>
    <hyperlink xmlns:r="http://schemas.openxmlformats.org/officeDocument/2006/relationships" ref="J3895" r:id="rId11340"/>
    <hyperlink xmlns:r="http://schemas.openxmlformats.org/officeDocument/2006/relationships" ref="K3895" r:id="rId11341"/>
    <hyperlink xmlns:r="http://schemas.openxmlformats.org/officeDocument/2006/relationships" ref="I3896" r:id="rId11342"/>
    <hyperlink xmlns:r="http://schemas.openxmlformats.org/officeDocument/2006/relationships" ref="J3896" r:id="rId11343"/>
    <hyperlink xmlns:r="http://schemas.openxmlformats.org/officeDocument/2006/relationships" ref="K3896" r:id="rId11344"/>
    <hyperlink xmlns:r="http://schemas.openxmlformats.org/officeDocument/2006/relationships" ref="I3897" r:id="rId11345"/>
    <hyperlink xmlns:r="http://schemas.openxmlformats.org/officeDocument/2006/relationships" ref="J3897" r:id="rId11346"/>
    <hyperlink xmlns:r="http://schemas.openxmlformats.org/officeDocument/2006/relationships" ref="K3897" r:id="rId11347"/>
    <hyperlink xmlns:r="http://schemas.openxmlformats.org/officeDocument/2006/relationships" ref="I3898" r:id="rId11348"/>
    <hyperlink xmlns:r="http://schemas.openxmlformats.org/officeDocument/2006/relationships" ref="J3898" r:id="rId11349"/>
    <hyperlink xmlns:r="http://schemas.openxmlformats.org/officeDocument/2006/relationships" ref="K3898" r:id="rId11350"/>
    <hyperlink xmlns:r="http://schemas.openxmlformats.org/officeDocument/2006/relationships" ref="I3899" r:id="rId11351"/>
    <hyperlink xmlns:r="http://schemas.openxmlformats.org/officeDocument/2006/relationships" ref="J3899" r:id="rId11352"/>
    <hyperlink xmlns:r="http://schemas.openxmlformats.org/officeDocument/2006/relationships" ref="K3899" r:id="rId11353"/>
    <hyperlink xmlns:r="http://schemas.openxmlformats.org/officeDocument/2006/relationships" ref="I3900" r:id="rId11354"/>
    <hyperlink xmlns:r="http://schemas.openxmlformats.org/officeDocument/2006/relationships" ref="J3900" r:id="rId11355"/>
    <hyperlink xmlns:r="http://schemas.openxmlformats.org/officeDocument/2006/relationships" ref="K3900" r:id="rId11356"/>
    <hyperlink xmlns:r="http://schemas.openxmlformats.org/officeDocument/2006/relationships" ref="I3901" r:id="rId11357"/>
    <hyperlink xmlns:r="http://schemas.openxmlformats.org/officeDocument/2006/relationships" ref="J3901" r:id="rId11358"/>
    <hyperlink xmlns:r="http://schemas.openxmlformats.org/officeDocument/2006/relationships" ref="K3901" r:id="rId11359"/>
    <hyperlink xmlns:r="http://schemas.openxmlformats.org/officeDocument/2006/relationships" ref="I3902" r:id="rId11360"/>
    <hyperlink xmlns:r="http://schemas.openxmlformats.org/officeDocument/2006/relationships" ref="J3902" r:id="rId11361"/>
    <hyperlink xmlns:r="http://schemas.openxmlformats.org/officeDocument/2006/relationships" ref="K3902" r:id="rId11362"/>
    <hyperlink xmlns:r="http://schemas.openxmlformats.org/officeDocument/2006/relationships" ref="I3903" r:id="rId11363"/>
    <hyperlink xmlns:r="http://schemas.openxmlformats.org/officeDocument/2006/relationships" ref="J3903" r:id="rId11364"/>
    <hyperlink xmlns:r="http://schemas.openxmlformats.org/officeDocument/2006/relationships" ref="K3903" r:id="rId11365"/>
    <hyperlink xmlns:r="http://schemas.openxmlformats.org/officeDocument/2006/relationships" ref="I3904" r:id="rId11366"/>
    <hyperlink xmlns:r="http://schemas.openxmlformats.org/officeDocument/2006/relationships" ref="J3904" r:id="rId11367"/>
    <hyperlink xmlns:r="http://schemas.openxmlformats.org/officeDocument/2006/relationships" ref="K3904" r:id="rId11368"/>
    <hyperlink xmlns:r="http://schemas.openxmlformats.org/officeDocument/2006/relationships" ref="I3905" r:id="rId11369"/>
    <hyperlink xmlns:r="http://schemas.openxmlformats.org/officeDocument/2006/relationships" ref="J3905" r:id="rId11370"/>
    <hyperlink xmlns:r="http://schemas.openxmlformats.org/officeDocument/2006/relationships" ref="K3905" r:id="rId11371"/>
    <hyperlink xmlns:r="http://schemas.openxmlformats.org/officeDocument/2006/relationships" ref="I3906" r:id="rId11372"/>
    <hyperlink xmlns:r="http://schemas.openxmlformats.org/officeDocument/2006/relationships" ref="J3906" r:id="rId11373"/>
    <hyperlink xmlns:r="http://schemas.openxmlformats.org/officeDocument/2006/relationships" ref="K3906" r:id="rId11374"/>
    <hyperlink xmlns:r="http://schemas.openxmlformats.org/officeDocument/2006/relationships" ref="I3907" r:id="rId11375"/>
    <hyperlink xmlns:r="http://schemas.openxmlformats.org/officeDocument/2006/relationships" ref="J3907" r:id="rId11376"/>
    <hyperlink xmlns:r="http://schemas.openxmlformats.org/officeDocument/2006/relationships" ref="K3907" r:id="rId11377"/>
    <hyperlink xmlns:r="http://schemas.openxmlformats.org/officeDocument/2006/relationships" ref="I3908" r:id="rId11378"/>
    <hyperlink xmlns:r="http://schemas.openxmlformats.org/officeDocument/2006/relationships" ref="J3908" r:id="rId11379"/>
    <hyperlink xmlns:r="http://schemas.openxmlformats.org/officeDocument/2006/relationships" ref="K3908" r:id="rId11380"/>
    <hyperlink xmlns:r="http://schemas.openxmlformats.org/officeDocument/2006/relationships" ref="I3909" r:id="rId11381"/>
    <hyperlink xmlns:r="http://schemas.openxmlformats.org/officeDocument/2006/relationships" ref="J3909" r:id="rId11382"/>
    <hyperlink xmlns:r="http://schemas.openxmlformats.org/officeDocument/2006/relationships" ref="K3909" r:id="rId11383"/>
    <hyperlink xmlns:r="http://schemas.openxmlformats.org/officeDocument/2006/relationships" ref="I3910" r:id="rId11384"/>
    <hyperlink xmlns:r="http://schemas.openxmlformats.org/officeDocument/2006/relationships" ref="J3910" r:id="rId11385"/>
    <hyperlink xmlns:r="http://schemas.openxmlformats.org/officeDocument/2006/relationships" ref="K3910" r:id="rId11386"/>
    <hyperlink xmlns:r="http://schemas.openxmlformats.org/officeDocument/2006/relationships" ref="I3911" r:id="rId11387"/>
    <hyperlink xmlns:r="http://schemas.openxmlformats.org/officeDocument/2006/relationships" ref="J3911" r:id="rId11388"/>
    <hyperlink xmlns:r="http://schemas.openxmlformats.org/officeDocument/2006/relationships" ref="K3911" r:id="rId11389"/>
    <hyperlink xmlns:r="http://schemas.openxmlformats.org/officeDocument/2006/relationships" ref="I3912" r:id="rId11390"/>
    <hyperlink xmlns:r="http://schemas.openxmlformats.org/officeDocument/2006/relationships" ref="J3912" r:id="rId11391"/>
    <hyperlink xmlns:r="http://schemas.openxmlformats.org/officeDocument/2006/relationships" ref="K3912" r:id="rId11392"/>
    <hyperlink xmlns:r="http://schemas.openxmlformats.org/officeDocument/2006/relationships" ref="I3913" r:id="rId11393"/>
    <hyperlink xmlns:r="http://schemas.openxmlformats.org/officeDocument/2006/relationships" ref="J3913" r:id="rId11394"/>
    <hyperlink xmlns:r="http://schemas.openxmlformats.org/officeDocument/2006/relationships" ref="K3913" r:id="rId11395"/>
    <hyperlink xmlns:r="http://schemas.openxmlformats.org/officeDocument/2006/relationships" ref="I3914" r:id="rId11396"/>
    <hyperlink xmlns:r="http://schemas.openxmlformats.org/officeDocument/2006/relationships" ref="J3914" r:id="rId11397"/>
    <hyperlink xmlns:r="http://schemas.openxmlformats.org/officeDocument/2006/relationships" ref="K3914" r:id="rId11398"/>
    <hyperlink xmlns:r="http://schemas.openxmlformats.org/officeDocument/2006/relationships" ref="I3915" r:id="rId11399"/>
    <hyperlink xmlns:r="http://schemas.openxmlformats.org/officeDocument/2006/relationships" ref="J3915" r:id="rId11400"/>
    <hyperlink xmlns:r="http://schemas.openxmlformats.org/officeDocument/2006/relationships" ref="K3915" r:id="rId11401"/>
    <hyperlink xmlns:r="http://schemas.openxmlformats.org/officeDocument/2006/relationships" ref="I3916" r:id="rId11402"/>
    <hyperlink xmlns:r="http://schemas.openxmlformats.org/officeDocument/2006/relationships" ref="J3916" r:id="rId11403"/>
    <hyperlink xmlns:r="http://schemas.openxmlformats.org/officeDocument/2006/relationships" ref="K3916" r:id="rId11404"/>
    <hyperlink xmlns:r="http://schemas.openxmlformats.org/officeDocument/2006/relationships" ref="I3917" r:id="rId11405"/>
    <hyperlink xmlns:r="http://schemas.openxmlformats.org/officeDocument/2006/relationships" ref="J3917" r:id="rId11406"/>
    <hyperlink xmlns:r="http://schemas.openxmlformats.org/officeDocument/2006/relationships" ref="K3917" r:id="rId11407"/>
    <hyperlink xmlns:r="http://schemas.openxmlformats.org/officeDocument/2006/relationships" ref="I3918" r:id="rId11408"/>
    <hyperlink xmlns:r="http://schemas.openxmlformats.org/officeDocument/2006/relationships" ref="J3918" r:id="rId11409"/>
    <hyperlink xmlns:r="http://schemas.openxmlformats.org/officeDocument/2006/relationships" ref="K3918" r:id="rId11410"/>
    <hyperlink xmlns:r="http://schemas.openxmlformats.org/officeDocument/2006/relationships" ref="I3919" r:id="rId11411"/>
    <hyperlink xmlns:r="http://schemas.openxmlformats.org/officeDocument/2006/relationships" ref="J3919" r:id="rId11412"/>
    <hyperlink xmlns:r="http://schemas.openxmlformats.org/officeDocument/2006/relationships" ref="K3919" r:id="rId11413"/>
    <hyperlink xmlns:r="http://schemas.openxmlformats.org/officeDocument/2006/relationships" ref="I3920" r:id="rId11414"/>
    <hyperlink xmlns:r="http://schemas.openxmlformats.org/officeDocument/2006/relationships" ref="J3920" r:id="rId11415"/>
    <hyperlink xmlns:r="http://schemas.openxmlformats.org/officeDocument/2006/relationships" ref="K3920" r:id="rId11416"/>
    <hyperlink xmlns:r="http://schemas.openxmlformats.org/officeDocument/2006/relationships" ref="I3921" r:id="rId11417"/>
    <hyperlink xmlns:r="http://schemas.openxmlformats.org/officeDocument/2006/relationships" ref="J3921" r:id="rId11418"/>
    <hyperlink xmlns:r="http://schemas.openxmlformats.org/officeDocument/2006/relationships" ref="K3921" r:id="rId11419"/>
    <hyperlink xmlns:r="http://schemas.openxmlformats.org/officeDocument/2006/relationships" ref="I3922" r:id="rId11420"/>
    <hyperlink xmlns:r="http://schemas.openxmlformats.org/officeDocument/2006/relationships" ref="J3922" r:id="rId11421"/>
    <hyperlink xmlns:r="http://schemas.openxmlformats.org/officeDocument/2006/relationships" ref="K3922" r:id="rId11422"/>
    <hyperlink xmlns:r="http://schemas.openxmlformats.org/officeDocument/2006/relationships" ref="I3923" r:id="rId11423"/>
    <hyperlink xmlns:r="http://schemas.openxmlformats.org/officeDocument/2006/relationships" ref="J3923" r:id="rId11424"/>
    <hyperlink xmlns:r="http://schemas.openxmlformats.org/officeDocument/2006/relationships" ref="K3923" r:id="rId11425"/>
    <hyperlink xmlns:r="http://schemas.openxmlformats.org/officeDocument/2006/relationships" ref="I3924" r:id="rId11426"/>
    <hyperlink xmlns:r="http://schemas.openxmlformats.org/officeDocument/2006/relationships" ref="J3924" r:id="rId11427"/>
    <hyperlink xmlns:r="http://schemas.openxmlformats.org/officeDocument/2006/relationships" ref="K3924" r:id="rId11428"/>
    <hyperlink xmlns:r="http://schemas.openxmlformats.org/officeDocument/2006/relationships" ref="I3925" r:id="rId11429"/>
    <hyperlink xmlns:r="http://schemas.openxmlformats.org/officeDocument/2006/relationships" ref="J3925" r:id="rId11430"/>
    <hyperlink xmlns:r="http://schemas.openxmlformats.org/officeDocument/2006/relationships" ref="K3925" r:id="rId11431"/>
    <hyperlink xmlns:r="http://schemas.openxmlformats.org/officeDocument/2006/relationships" ref="I3926" r:id="rId11432"/>
    <hyperlink xmlns:r="http://schemas.openxmlformats.org/officeDocument/2006/relationships" ref="J3926" r:id="rId11433"/>
    <hyperlink xmlns:r="http://schemas.openxmlformats.org/officeDocument/2006/relationships" ref="K3926" r:id="rId11434"/>
    <hyperlink xmlns:r="http://schemas.openxmlformats.org/officeDocument/2006/relationships" ref="I3927" r:id="rId11435"/>
    <hyperlink xmlns:r="http://schemas.openxmlformats.org/officeDocument/2006/relationships" ref="J3927" r:id="rId11436"/>
    <hyperlink xmlns:r="http://schemas.openxmlformats.org/officeDocument/2006/relationships" ref="K3927" r:id="rId11437"/>
    <hyperlink xmlns:r="http://schemas.openxmlformats.org/officeDocument/2006/relationships" ref="I3928" r:id="rId11438"/>
    <hyperlink xmlns:r="http://schemas.openxmlformats.org/officeDocument/2006/relationships" ref="J3928" r:id="rId11439"/>
    <hyperlink xmlns:r="http://schemas.openxmlformats.org/officeDocument/2006/relationships" ref="K3928" r:id="rId11440"/>
    <hyperlink xmlns:r="http://schemas.openxmlformats.org/officeDocument/2006/relationships" ref="I3929" r:id="rId11441"/>
    <hyperlink xmlns:r="http://schemas.openxmlformats.org/officeDocument/2006/relationships" ref="J3929" r:id="rId11442"/>
    <hyperlink xmlns:r="http://schemas.openxmlformats.org/officeDocument/2006/relationships" ref="K3929" r:id="rId11443"/>
    <hyperlink xmlns:r="http://schemas.openxmlformats.org/officeDocument/2006/relationships" ref="I3930" r:id="rId11444"/>
    <hyperlink xmlns:r="http://schemas.openxmlformats.org/officeDocument/2006/relationships" ref="J3930" r:id="rId11445"/>
    <hyperlink xmlns:r="http://schemas.openxmlformats.org/officeDocument/2006/relationships" ref="K3930" r:id="rId11446"/>
    <hyperlink xmlns:r="http://schemas.openxmlformats.org/officeDocument/2006/relationships" ref="I3931" r:id="rId11447"/>
    <hyperlink xmlns:r="http://schemas.openxmlformats.org/officeDocument/2006/relationships" ref="J3931" r:id="rId11448"/>
    <hyperlink xmlns:r="http://schemas.openxmlformats.org/officeDocument/2006/relationships" ref="K3931" r:id="rId11449"/>
    <hyperlink xmlns:r="http://schemas.openxmlformats.org/officeDocument/2006/relationships" ref="I3932" r:id="rId11450"/>
    <hyperlink xmlns:r="http://schemas.openxmlformats.org/officeDocument/2006/relationships" ref="J3932" r:id="rId11451"/>
    <hyperlink xmlns:r="http://schemas.openxmlformats.org/officeDocument/2006/relationships" ref="K3932" r:id="rId11452"/>
    <hyperlink xmlns:r="http://schemas.openxmlformats.org/officeDocument/2006/relationships" ref="I3933" r:id="rId11453"/>
    <hyperlink xmlns:r="http://schemas.openxmlformats.org/officeDocument/2006/relationships" ref="J3933" r:id="rId11454"/>
    <hyperlink xmlns:r="http://schemas.openxmlformats.org/officeDocument/2006/relationships" ref="K3933" r:id="rId11455"/>
    <hyperlink xmlns:r="http://schemas.openxmlformats.org/officeDocument/2006/relationships" ref="I3934" r:id="rId11456"/>
    <hyperlink xmlns:r="http://schemas.openxmlformats.org/officeDocument/2006/relationships" ref="J3934" r:id="rId11457"/>
    <hyperlink xmlns:r="http://schemas.openxmlformats.org/officeDocument/2006/relationships" ref="K3934" r:id="rId11458"/>
    <hyperlink xmlns:r="http://schemas.openxmlformats.org/officeDocument/2006/relationships" ref="I3935" r:id="rId11459"/>
    <hyperlink xmlns:r="http://schemas.openxmlformats.org/officeDocument/2006/relationships" ref="J3935" r:id="rId11460"/>
    <hyperlink xmlns:r="http://schemas.openxmlformats.org/officeDocument/2006/relationships" ref="K3935" r:id="rId11461"/>
    <hyperlink xmlns:r="http://schemas.openxmlformats.org/officeDocument/2006/relationships" ref="I3936" r:id="rId11462"/>
    <hyperlink xmlns:r="http://schemas.openxmlformats.org/officeDocument/2006/relationships" ref="J3936" r:id="rId11463"/>
    <hyperlink xmlns:r="http://schemas.openxmlformats.org/officeDocument/2006/relationships" ref="K3936" r:id="rId11464"/>
    <hyperlink xmlns:r="http://schemas.openxmlformats.org/officeDocument/2006/relationships" ref="I3937" r:id="rId11465"/>
    <hyperlink xmlns:r="http://schemas.openxmlformats.org/officeDocument/2006/relationships" ref="J3937" r:id="rId11466"/>
    <hyperlink xmlns:r="http://schemas.openxmlformats.org/officeDocument/2006/relationships" ref="K3937" r:id="rId11467"/>
    <hyperlink xmlns:r="http://schemas.openxmlformats.org/officeDocument/2006/relationships" ref="I3938" r:id="rId11468"/>
    <hyperlink xmlns:r="http://schemas.openxmlformats.org/officeDocument/2006/relationships" ref="J3938" r:id="rId11469"/>
    <hyperlink xmlns:r="http://schemas.openxmlformats.org/officeDocument/2006/relationships" ref="K3938" r:id="rId11470"/>
    <hyperlink xmlns:r="http://schemas.openxmlformats.org/officeDocument/2006/relationships" ref="I3939" r:id="rId11471"/>
    <hyperlink xmlns:r="http://schemas.openxmlformats.org/officeDocument/2006/relationships" ref="J3939" r:id="rId11472"/>
    <hyperlink xmlns:r="http://schemas.openxmlformats.org/officeDocument/2006/relationships" ref="K3939" r:id="rId11473"/>
    <hyperlink xmlns:r="http://schemas.openxmlformats.org/officeDocument/2006/relationships" ref="I3940" r:id="rId11474"/>
    <hyperlink xmlns:r="http://schemas.openxmlformats.org/officeDocument/2006/relationships" ref="J3940" r:id="rId11475"/>
    <hyperlink xmlns:r="http://schemas.openxmlformats.org/officeDocument/2006/relationships" ref="K3940" r:id="rId11476"/>
    <hyperlink xmlns:r="http://schemas.openxmlformats.org/officeDocument/2006/relationships" ref="I3941" r:id="rId11477"/>
    <hyperlink xmlns:r="http://schemas.openxmlformats.org/officeDocument/2006/relationships" ref="J3941" r:id="rId11478"/>
    <hyperlink xmlns:r="http://schemas.openxmlformats.org/officeDocument/2006/relationships" ref="K3941" r:id="rId11479"/>
    <hyperlink xmlns:r="http://schemas.openxmlformats.org/officeDocument/2006/relationships" ref="I3942" r:id="rId11480"/>
    <hyperlink xmlns:r="http://schemas.openxmlformats.org/officeDocument/2006/relationships" ref="J3942" r:id="rId11481"/>
    <hyperlink xmlns:r="http://schemas.openxmlformats.org/officeDocument/2006/relationships" ref="K3942" r:id="rId11482"/>
    <hyperlink xmlns:r="http://schemas.openxmlformats.org/officeDocument/2006/relationships" ref="I3943" r:id="rId11483"/>
    <hyperlink xmlns:r="http://schemas.openxmlformats.org/officeDocument/2006/relationships" ref="J3943" r:id="rId11484"/>
    <hyperlink xmlns:r="http://schemas.openxmlformats.org/officeDocument/2006/relationships" ref="K3943" r:id="rId11485"/>
    <hyperlink xmlns:r="http://schemas.openxmlformats.org/officeDocument/2006/relationships" ref="I3944" r:id="rId11486"/>
    <hyperlink xmlns:r="http://schemas.openxmlformats.org/officeDocument/2006/relationships" ref="J3944" r:id="rId11487"/>
    <hyperlink xmlns:r="http://schemas.openxmlformats.org/officeDocument/2006/relationships" ref="K3944" r:id="rId11488"/>
    <hyperlink xmlns:r="http://schemas.openxmlformats.org/officeDocument/2006/relationships" ref="I3945" r:id="rId11489"/>
    <hyperlink xmlns:r="http://schemas.openxmlformats.org/officeDocument/2006/relationships" ref="J3945" r:id="rId11490"/>
    <hyperlink xmlns:r="http://schemas.openxmlformats.org/officeDocument/2006/relationships" ref="K3945" r:id="rId11491"/>
    <hyperlink xmlns:r="http://schemas.openxmlformats.org/officeDocument/2006/relationships" ref="I3946" r:id="rId11492"/>
    <hyperlink xmlns:r="http://schemas.openxmlformats.org/officeDocument/2006/relationships" ref="J3946" r:id="rId11493"/>
    <hyperlink xmlns:r="http://schemas.openxmlformats.org/officeDocument/2006/relationships" ref="K3946" r:id="rId11494"/>
    <hyperlink xmlns:r="http://schemas.openxmlformats.org/officeDocument/2006/relationships" ref="I3947" r:id="rId11495"/>
    <hyperlink xmlns:r="http://schemas.openxmlformats.org/officeDocument/2006/relationships" ref="J3947" r:id="rId11496"/>
    <hyperlink xmlns:r="http://schemas.openxmlformats.org/officeDocument/2006/relationships" ref="K3947" r:id="rId11497"/>
    <hyperlink xmlns:r="http://schemas.openxmlformats.org/officeDocument/2006/relationships" ref="I3948" r:id="rId11498"/>
    <hyperlink xmlns:r="http://schemas.openxmlformats.org/officeDocument/2006/relationships" ref="J3948" r:id="rId11499"/>
    <hyperlink xmlns:r="http://schemas.openxmlformats.org/officeDocument/2006/relationships" ref="K3948" r:id="rId11500"/>
    <hyperlink xmlns:r="http://schemas.openxmlformats.org/officeDocument/2006/relationships" ref="I3949" r:id="rId11501"/>
    <hyperlink xmlns:r="http://schemas.openxmlformats.org/officeDocument/2006/relationships" ref="J3949" r:id="rId11502"/>
    <hyperlink xmlns:r="http://schemas.openxmlformats.org/officeDocument/2006/relationships" ref="K3949" r:id="rId11503"/>
    <hyperlink xmlns:r="http://schemas.openxmlformats.org/officeDocument/2006/relationships" ref="I3950" r:id="rId11504"/>
    <hyperlink xmlns:r="http://schemas.openxmlformats.org/officeDocument/2006/relationships" ref="J3950" r:id="rId11505"/>
    <hyperlink xmlns:r="http://schemas.openxmlformats.org/officeDocument/2006/relationships" ref="K3950" r:id="rId11506"/>
    <hyperlink xmlns:r="http://schemas.openxmlformats.org/officeDocument/2006/relationships" ref="I3951" r:id="rId11507"/>
    <hyperlink xmlns:r="http://schemas.openxmlformats.org/officeDocument/2006/relationships" ref="J3951" r:id="rId11508"/>
    <hyperlink xmlns:r="http://schemas.openxmlformats.org/officeDocument/2006/relationships" ref="K3951" r:id="rId11509"/>
    <hyperlink xmlns:r="http://schemas.openxmlformats.org/officeDocument/2006/relationships" ref="I3952" r:id="rId11510"/>
    <hyperlink xmlns:r="http://schemas.openxmlformats.org/officeDocument/2006/relationships" ref="J3952" r:id="rId11511"/>
    <hyperlink xmlns:r="http://schemas.openxmlformats.org/officeDocument/2006/relationships" ref="K3952" r:id="rId11512"/>
    <hyperlink xmlns:r="http://schemas.openxmlformats.org/officeDocument/2006/relationships" ref="I3953" r:id="rId11513"/>
    <hyperlink xmlns:r="http://schemas.openxmlformats.org/officeDocument/2006/relationships" ref="J3953" r:id="rId11514"/>
    <hyperlink xmlns:r="http://schemas.openxmlformats.org/officeDocument/2006/relationships" ref="K3953" r:id="rId11515"/>
    <hyperlink xmlns:r="http://schemas.openxmlformats.org/officeDocument/2006/relationships" ref="I3954" r:id="rId11516"/>
    <hyperlink xmlns:r="http://schemas.openxmlformats.org/officeDocument/2006/relationships" ref="J3954" r:id="rId11517"/>
    <hyperlink xmlns:r="http://schemas.openxmlformats.org/officeDocument/2006/relationships" ref="K3954" r:id="rId11518"/>
    <hyperlink xmlns:r="http://schemas.openxmlformats.org/officeDocument/2006/relationships" ref="I3955" r:id="rId11519"/>
    <hyperlink xmlns:r="http://schemas.openxmlformats.org/officeDocument/2006/relationships" ref="J3955" r:id="rId11520"/>
    <hyperlink xmlns:r="http://schemas.openxmlformats.org/officeDocument/2006/relationships" ref="K3955" r:id="rId11521"/>
    <hyperlink xmlns:r="http://schemas.openxmlformats.org/officeDocument/2006/relationships" ref="I3956" r:id="rId11522"/>
    <hyperlink xmlns:r="http://schemas.openxmlformats.org/officeDocument/2006/relationships" ref="J3956" r:id="rId11523"/>
    <hyperlink xmlns:r="http://schemas.openxmlformats.org/officeDocument/2006/relationships" ref="K3956" r:id="rId11524"/>
    <hyperlink xmlns:r="http://schemas.openxmlformats.org/officeDocument/2006/relationships" ref="I3957" r:id="rId11525"/>
    <hyperlink xmlns:r="http://schemas.openxmlformats.org/officeDocument/2006/relationships" ref="J3957" r:id="rId11526"/>
    <hyperlink xmlns:r="http://schemas.openxmlformats.org/officeDocument/2006/relationships" ref="K3957" r:id="rId11527"/>
    <hyperlink xmlns:r="http://schemas.openxmlformats.org/officeDocument/2006/relationships" ref="I3958" r:id="rId11528"/>
    <hyperlink xmlns:r="http://schemas.openxmlformats.org/officeDocument/2006/relationships" ref="J3958" r:id="rId11529"/>
    <hyperlink xmlns:r="http://schemas.openxmlformats.org/officeDocument/2006/relationships" ref="K3958" r:id="rId11530"/>
    <hyperlink xmlns:r="http://schemas.openxmlformats.org/officeDocument/2006/relationships" ref="I3959" r:id="rId11531"/>
    <hyperlink xmlns:r="http://schemas.openxmlformats.org/officeDocument/2006/relationships" ref="J3959" r:id="rId11532"/>
    <hyperlink xmlns:r="http://schemas.openxmlformats.org/officeDocument/2006/relationships" ref="K3959" r:id="rId11533"/>
    <hyperlink xmlns:r="http://schemas.openxmlformats.org/officeDocument/2006/relationships" ref="I3960" r:id="rId11534"/>
    <hyperlink xmlns:r="http://schemas.openxmlformats.org/officeDocument/2006/relationships" ref="J3960" r:id="rId11535"/>
    <hyperlink xmlns:r="http://schemas.openxmlformats.org/officeDocument/2006/relationships" ref="K3960" r:id="rId11536"/>
    <hyperlink xmlns:r="http://schemas.openxmlformats.org/officeDocument/2006/relationships" ref="I3961" r:id="rId11537"/>
    <hyperlink xmlns:r="http://schemas.openxmlformats.org/officeDocument/2006/relationships" ref="J3961" r:id="rId11538"/>
    <hyperlink xmlns:r="http://schemas.openxmlformats.org/officeDocument/2006/relationships" ref="K3961" r:id="rId11539"/>
    <hyperlink xmlns:r="http://schemas.openxmlformats.org/officeDocument/2006/relationships" ref="I3962" r:id="rId11540"/>
    <hyperlink xmlns:r="http://schemas.openxmlformats.org/officeDocument/2006/relationships" ref="J3962" r:id="rId11541"/>
    <hyperlink xmlns:r="http://schemas.openxmlformats.org/officeDocument/2006/relationships" ref="K3962" r:id="rId11542"/>
    <hyperlink xmlns:r="http://schemas.openxmlformats.org/officeDocument/2006/relationships" ref="I3963" r:id="rId11543"/>
    <hyperlink xmlns:r="http://schemas.openxmlformats.org/officeDocument/2006/relationships" ref="J3963" r:id="rId11544"/>
    <hyperlink xmlns:r="http://schemas.openxmlformats.org/officeDocument/2006/relationships" ref="K3963" r:id="rId11545"/>
    <hyperlink xmlns:r="http://schemas.openxmlformats.org/officeDocument/2006/relationships" ref="I3964" r:id="rId11546"/>
    <hyperlink xmlns:r="http://schemas.openxmlformats.org/officeDocument/2006/relationships" ref="J3964" r:id="rId11547"/>
    <hyperlink xmlns:r="http://schemas.openxmlformats.org/officeDocument/2006/relationships" ref="K3964" r:id="rId11548"/>
    <hyperlink xmlns:r="http://schemas.openxmlformats.org/officeDocument/2006/relationships" ref="I3965" r:id="rId11549"/>
    <hyperlink xmlns:r="http://schemas.openxmlformats.org/officeDocument/2006/relationships" ref="J3965" r:id="rId11550"/>
    <hyperlink xmlns:r="http://schemas.openxmlformats.org/officeDocument/2006/relationships" ref="K3965" r:id="rId11551"/>
    <hyperlink xmlns:r="http://schemas.openxmlformats.org/officeDocument/2006/relationships" ref="I3966" r:id="rId11552"/>
    <hyperlink xmlns:r="http://schemas.openxmlformats.org/officeDocument/2006/relationships" ref="J3966" r:id="rId11553"/>
    <hyperlink xmlns:r="http://schemas.openxmlformats.org/officeDocument/2006/relationships" ref="K3966" r:id="rId11554"/>
    <hyperlink xmlns:r="http://schemas.openxmlformats.org/officeDocument/2006/relationships" ref="I3967" r:id="rId11555"/>
    <hyperlink xmlns:r="http://schemas.openxmlformats.org/officeDocument/2006/relationships" ref="J3967" r:id="rId11556"/>
    <hyperlink xmlns:r="http://schemas.openxmlformats.org/officeDocument/2006/relationships" ref="K3967" r:id="rId11557"/>
    <hyperlink xmlns:r="http://schemas.openxmlformats.org/officeDocument/2006/relationships" ref="I3968" r:id="rId11558"/>
    <hyperlink xmlns:r="http://schemas.openxmlformats.org/officeDocument/2006/relationships" ref="J3968" r:id="rId11559"/>
    <hyperlink xmlns:r="http://schemas.openxmlformats.org/officeDocument/2006/relationships" ref="K3968" r:id="rId11560"/>
    <hyperlink xmlns:r="http://schemas.openxmlformats.org/officeDocument/2006/relationships" ref="I3969" r:id="rId11561"/>
    <hyperlink xmlns:r="http://schemas.openxmlformats.org/officeDocument/2006/relationships" ref="J3969" r:id="rId11562"/>
    <hyperlink xmlns:r="http://schemas.openxmlformats.org/officeDocument/2006/relationships" ref="K3969" r:id="rId11563"/>
    <hyperlink xmlns:r="http://schemas.openxmlformats.org/officeDocument/2006/relationships" ref="I3970" r:id="rId11564"/>
    <hyperlink xmlns:r="http://schemas.openxmlformats.org/officeDocument/2006/relationships" ref="J3970" r:id="rId11565"/>
    <hyperlink xmlns:r="http://schemas.openxmlformats.org/officeDocument/2006/relationships" ref="K3970" r:id="rId11566"/>
    <hyperlink xmlns:r="http://schemas.openxmlformats.org/officeDocument/2006/relationships" ref="I3971" r:id="rId11567"/>
    <hyperlink xmlns:r="http://schemas.openxmlformats.org/officeDocument/2006/relationships" ref="J3971" r:id="rId11568"/>
    <hyperlink xmlns:r="http://schemas.openxmlformats.org/officeDocument/2006/relationships" ref="K3971" r:id="rId11569"/>
    <hyperlink xmlns:r="http://schemas.openxmlformats.org/officeDocument/2006/relationships" ref="I3972" r:id="rId11570"/>
    <hyperlink xmlns:r="http://schemas.openxmlformats.org/officeDocument/2006/relationships" ref="J3972" r:id="rId11571"/>
    <hyperlink xmlns:r="http://schemas.openxmlformats.org/officeDocument/2006/relationships" ref="K3972" r:id="rId11572"/>
    <hyperlink xmlns:r="http://schemas.openxmlformats.org/officeDocument/2006/relationships" ref="I3973" r:id="rId11573"/>
    <hyperlink xmlns:r="http://schemas.openxmlformats.org/officeDocument/2006/relationships" ref="J3973" r:id="rId11574"/>
    <hyperlink xmlns:r="http://schemas.openxmlformats.org/officeDocument/2006/relationships" ref="K3973" r:id="rId11575"/>
    <hyperlink xmlns:r="http://schemas.openxmlformats.org/officeDocument/2006/relationships" ref="I3974" r:id="rId11576"/>
    <hyperlink xmlns:r="http://schemas.openxmlformats.org/officeDocument/2006/relationships" ref="J3974" r:id="rId11577"/>
    <hyperlink xmlns:r="http://schemas.openxmlformats.org/officeDocument/2006/relationships" ref="K3974" r:id="rId11578"/>
    <hyperlink xmlns:r="http://schemas.openxmlformats.org/officeDocument/2006/relationships" ref="I3975" r:id="rId11579"/>
    <hyperlink xmlns:r="http://schemas.openxmlformats.org/officeDocument/2006/relationships" ref="J3975" r:id="rId11580"/>
    <hyperlink xmlns:r="http://schemas.openxmlformats.org/officeDocument/2006/relationships" ref="K3975" r:id="rId11581"/>
    <hyperlink xmlns:r="http://schemas.openxmlformats.org/officeDocument/2006/relationships" ref="I3976" r:id="rId11582"/>
    <hyperlink xmlns:r="http://schemas.openxmlformats.org/officeDocument/2006/relationships" ref="J3976" r:id="rId11583"/>
    <hyperlink xmlns:r="http://schemas.openxmlformats.org/officeDocument/2006/relationships" ref="K3976" r:id="rId11584"/>
    <hyperlink xmlns:r="http://schemas.openxmlformats.org/officeDocument/2006/relationships" ref="I3977" r:id="rId11585"/>
    <hyperlink xmlns:r="http://schemas.openxmlformats.org/officeDocument/2006/relationships" ref="J3977" r:id="rId11586"/>
    <hyperlink xmlns:r="http://schemas.openxmlformats.org/officeDocument/2006/relationships" ref="K3977" r:id="rId11587"/>
    <hyperlink xmlns:r="http://schemas.openxmlformats.org/officeDocument/2006/relationships" ref="I3978" r:id="rId11588"/>
    <hyperlink xmlns:r="http://schemas.openxmlformats.org/officeDocument/2006/relationships" ref="J3978" r:id="rId11589"/>
    <hyperlink xmlns:r="http://schemas.openxmlformats.org/officeDocument/2006/relationships" ref="K3978" r:id="rId11590"/>
    <hyperlink xmlns:r="http://schemas.openxmlformats.org/officeDocument/2006/relationships" ref="I3979" r:id="rId11591"/>
    <hyperlink xmlns:r="http://schemas.openxmlformats.org/officeDocument/2006/relationships" ref="J3979" r:id="rId11592"/>
    <hyperlink xmlns:r="http://schemas.openxmlformats.org/officeDocument/2006/relationships" ref="K3979" r:id="rId11593"/>
    <hyperlink xmlns:r="http://schemas.openxmlformats.org/officeDocument/2006/relationships" ref="I3980" r:id="rId11594"/>
    <hyperlink xmlns:r="http://schemas.openxmlformats.org/officeDocument/2006/relationships" ref="J3980" r:id="rId11595"/>
    <hyperlink xmlns:r="http://schemas.openxmlformats.org/officeDocument/2006/relationships" ref="K3980" r:id="rId11596"/>
    <hyperlink xmlns:r="http://schemas.openxmlformats.org/officeDocument/2006/relationships" ref="I3981" r:id="rId11597"/>
    <hyperlink xmlns:r="http://schemas.openxmlformats.org/officeDocument/2006/relationships" ref="J3981" r:id="rId11598"/>
    <hyperlink xmlns:r="http://schemas.openxmlformats.org/officeDocument/2006/relationships" ref="K3981" r:id="rId11599"/>
    <hyperlink xmlns:r="http://schemas.openxmlformats.org/officeDocument/2006/relationships" ref="I3982" r:id="rId11600"/>
    <hyperlink xmlns:r="http://schemas.openxmlformats.org/officeDocument/2006/relationships" ref="J3982" r:id="rId11601"/>
    <hyperlink xmlns:r="http://schemas.openxmlformats.org/officeDocument/2006/relationships" ref="K3982" r:id="rId11602"/>
    <hyperlink xmlns:r="http://schemas.openxmlformats.org/officeDocument/2006/relationships" ref="I3983" r:id="rId11603"/>
    <hyperlink xmlns:r="http://schemas.openxmlformats.org/officeDocument/2006/relationships" ref="J3983" r:id="rId11604"/>
    <hyperlink xmlns:r="http://schemas.openxmlformats.org/officeDocument/2006/relationships" ref="K3983" r:id="rId11605"/>
    <hyperlink xmlns:r="http://schemas.openxmlformats.org/officeDocument/2006/relationships" ref="I3984" r:id="rId11606"/>
    <hyperlink xmlns:r="http://schemas.openxmlformats.org/officeDocument/2006/relationships" ref="J3984" r:id="rId11607"/>
    <hyperlink xmlns:r="http://schemas.openxmlformats.org/officeDocument/2006/relationships" ref="K3984" r:id="rId11608"/>
    <hyperlink xmlns:r="http://schemas.openxmlformats.org/officeDocument/2006/relationships" ref="I3985" r:id="rId11609"/>
    <hyperlink xmlns:r="http://schemas.openxmlformats.org/officeDocument/2006/relationships" ref="J3985" r:id="rId11610"/>
    <hyperlink xmlns:r="http://schemas.openxmlformats.org/officeDocument/2006/relationships" ref="K3985" r:id="rId11611"/>
    <hyperlink xmlns:r="http://schemas.openxmlformats.org/officeDocument/2006/relationships" ref="I3986" r:id="rId11612"/>
    <hyperlink xmlns:r="http://schemas.openxmlformats.org/officeDocument/2006/relationships" ref="J3986" r:id="rId11613"/>
    <hyperlink xmlns:r="http://schemas.openxmlformats.org/officeDocument/2006/relationships" ref="K3986" r:id="rId11614"/>
    <hyperlink xmlns:r="http://schemas.openxmlformats.org/officeDocument/2006/relationships" ref="I3987" r:id="rId11615"/>
    <hyperlink xmlns:r="http://schemas.openxmlformats.org/officeDocument/2006/relationships" ref="J3987" r:id="rId11616"/>
    <hyperlink xmlns:r="http://schemas.openxmlformats.org/officeDocument/2006/relationships" ref="K3987" r:id="rId11617"/>
    <hyperlink xmlns:r="http://schemas.openxmlformats.org/officeDocument/2006/relationships" ref="I3988" r:id="rId11618"/>
    <hyperlink xmlns:r="http://schemas.openxmlformats.org/officeDocument/2006/relationships" ref="J3988" r:id="rId11619"/>
    <hyperlink xmlns:r="http://schemas.openxmlformats.org/officeDocument/2006/relationships" ref="K3988" r:id="rId11620"/>
    <hyperlink xmlns:r="http://schemas.openxmlformats.org/officeDocument/2006/relationships" ref="I3989" r:id="rId11621"/>
    <hyperlink xmlns:r="http://schemas.openxmlformats.org/officeDocument/2006/relationships" ref="J3989" r:id="rId11622"/>
    <hyperlink xmlns:r="http://schemas.openxmlformats.org/officeDocument/2006/relationships" ref="K3989" r:id="rId11623"/>
    <hyperlink xmlns:r="http://schemas.openxmlformats.org/officeDocument/2006/relationships" ref="I3990" r:id="rId11624"/>
    <hyperlink xmlns:r="http://schemas.openxmlformats.org/officeDocument/2006/relationships" ref="J3990" r:id="rId11625"/>
    <hyperlink xmlns:r="http://schemas.openxmlformats.org/officeDocument/2006/relationships" ref="K3990" r:id="rId11626"/>
    <hyperlink xmlns:r="http://schemas.openxmlformats.org/officeDocument/2006/relationships" ref="I3991" r:id="rId11627"/>
    <hyperlink xmlns:r="http://schemas.openxmlformats.org/officeDocument/2006/relationships" ref="J3991" r:id="rId11628"/>
    <hyperlink xmlns:r="http://schemas.openxmlformats.org/officeDocument/2006/relationships" ref="K3991" r:id="rId11629"/>
    <hyperlink xmlns:r="http://schemas.openxmlformats.org/officeDocument/2006/relationships" ref="I3992" r:id="rId11630"/>
    <hyperlink xmlns:r="http://schemas.openxmlformats.org/officeDocument/2006/relationships" ref="J3992" r:id="rId11631"/>
    <hyperlink xmlns:r="http://schemas.openxmlformats.org/officeDocument/2006/relationships" ref="K3992" r:id="rId11632"/>
    <hyperlink xmlns:r="http://schemas.openxmlformats.org/officeDocument/2006/relationships" ref="I3993" r:id="rId11633"/>
    <hyperlink xmlns:r="http://schemas.openxmlformats.org/officeDocument/2006/relationships" ref="J3993" r:id="rId11634"/>
    <hyperlink xmlns:r="http://schemas.openxmlformats.org/officeDocument/2006/relationships" ref="K3993" r:id="rId11635"/>
    <hyperlink xmlns:r="http://schemas.openxmlformats.org/officeDocument/2006/relationships" ref="I3994" r:id="rId11636"/>
    <hyperlink xmlns:r="http://schemas.openxmlformats.org/officeDocument/2006/relationships" ref="J3994" r:id="rId11637"/>
    <hyperlink xmlns:r="http://schemas.openxmlformats.org/officeDocument/2006/relationships" ref="K3994" r:id="rId11638"/>
    <hyperlink xmlns:r="http://schemas.openxmlformats.org/officeDocument/2006/relationships" ref="I3995" r:id="rId11639"/>
    <hyperlink xmlns:r="http://schemas.openxmlformats.org/officeDocument/2006/relationships" ref="J3995" r:id="rId11640"/>
    <hyperlink xmlns:r="http://schemas.openxmlformats.org/officeDocument/2006/relationships" ref="K3995" r:id="rId11641"/>
    <hyperlink xmlns:r="http://schemas.openxmlformats.org/officeDocument/2006/relationships" ref="I3996" r:id="rId11642"/>
    <hyperlink xmlns:r="http://schemas.openxmlformats.org/officeDocument/2006/relationships" ref="J3996" r:id="rId11643"/>
    <hyperlink xmlns:r="http://schemas.openxmlformats.org/officeDocument/2006/relationships" ref="K3996" r:id="rId11644"/>
    <hyperlink xmlns:r="http://schemas.openxmlformats.org/officeDocument/2006/relationships" ref="I3997" r:id="rId11645"/>
    <hyperlink xmlns:r="http://schemas.openxmlformats.org/officeDocument/2006/relationships" ref="J3997" r:id="rId11646"/>
    <hyperlink xmlns:r="http://schemas.openxmlformats.org/officeDocument/2006/relationships" ref="K3997" r:id="rId11647"/>
    <hyperlink xmlns:r="http://schemas.openxmlformats.org/officeDocument/2006/relationships" ref="I3998" r:id="rId11648"/>
    <hyperlink xmlns:r="http://schemas.openxmlformats.org/officeDocument/2006/relationships" ref="J3998" r:id="rId11649"/>
    <hyperlink xmlns:r="http://schemas.openxmlformats.org/officeDocument/2006/relationships" ref="K3998" r:id="rId11650"/>
    <hyperlink xmlns:r="http://schemas.openxmlformats.org/officeDocument/2006/relationships" ref="I3999" r:id="rId11651"/>
    <hyperlink xmlns:r="http://schemas.openxmlformats.org/officeDocument/2006/relationships" ref="J3999" r:id="rId11652"/>
    <hyperlink xmlns:r="http://schemas.openxmlformats.org/officeDocument/2006/relationships" ref="K3999" r:id="rId11653"/>
    <hyperlink xmlns:r="http://schemas.openxmlformats.org/officeDocument/2006/relationships" ref="I4000" r:id="rId11654"/>
    <hyperlink xmlns:r="http://schemas.openxmlformats.org/officeDocument/2006/relationships" ref="J4000" r:id="rId11655"/>
    <hyperlink xmlns:r="http://schemas.openxmlformats.org/officeDocument/2006/relationships" ref="K4000" r:id="rId11656"/>
    <hyperlink xmlns:r="http://schemas.openxmlformats.org/officeDocument/2006/relationships" ref="I4001" r:id="rId11657"/>
    <hyperlink xmlns:r="http://schemas.openxmlformats.org/officeDocument/2006/relationships" ref="J4001" r:id="rId11658"/>
    <hyperlink xmlns:r="http://schemas.openxmlformats.org/officeDocument/2006/relationships" ref="K4001" r:id="rId11659"/>
    <hyperlink xmlns:r="http://schemas.openxmlformats.org/officeDocument/2006/relationships" ref="I4002" r:id="rId11660"/>
    <hyperlink xmlns:r="http://schemas.openxmlformats.org/officeDocument/2006/relationships" ref="J4002" r:id="rId11661"/>
    <hyperlink xmlns:r="http://schemas.openxmlformats.org/officeDocument/2006/relationships" ref="K4002" r:id="rId11662"/>
    <hyperlink xmlns:r="http://schemas.openxmlformats.org/officeDocument/2006/relationships" ref="I4003" r:id="rId11663"/>
    <hyperlink xmlns:r="http://schemas.openxmlformats.org/officeDocument/2006/relationships" ref="J4003" r:id="rId11664"/>
    <hyperlink xmlns:r="http://schemas.openxmlformats.org/officeDocument/2006/relationships" ref="K4003" r:id="rId11665"/>
    <hyperlink xmlns:r="http://schemas.openxmlformats.org/officeDocument/2006/relationships" ref="I4004" r:id="rId11666"/>
    <hyperlink xmlns:r="http://schemas.openxmlformats.org/officeDocument/2006/relationships" ref="J4004" r:id="rId11667"/>
    <hyperlink xmlns:r="http://schemas.openxmlformats.org/officeDocument/2006/relationships" ref="K4004" r:id="rId11668"/>
    <hyperlink xmlns:r="http://schemas.openxmlformats.org/officeDocument/2006/relationships" ref="I4005" r:id="rId11669"/>
    <hyperlink xmlns:r="http://schemas.openxmlformats.org/officeDocument/2006/relationships" ref="J4005" r:id="rId11670"/>
    <hyperlink xmlns:r="http://schemas.openxmlformats.org/officeDocument/2006/relationships" ref="K4005" r:id="rId11671"/>
    <hyperlink xmlns:r="http://schemas.openxmlformats.org/officeDocument/2006/relationships" ref="I4006" r:id="rId11672"/>
    <hyperlink xmlns:r="http://schemas.openxmlformats.org/officeDocument/2006/relationships" ref="J4006" r:id="rId11673"/>
    <hyperlink xmlns:r="http://schemas.openxmlformats.org/officeDocument/2006/relationships" ref="K4006" r:id="rId11674"/>
    <hyperlink xmlns:r="http://schemas.openxmlformats.org/officeDocument/2006/relationships" ref="I4007" r:id="rId11675"/>
    <hyperlink xmlns:r="http://schemas.openxmlformats.org/officeDocument/2006/relationships" ref="J4007" r:id="rId11676"/>
    <hyperlink xmlns:r="http://schemas.openxmlformats.org/officeDocument/2006/relationships" ref="K4007" r:id="rId11677"/>
    <hyperlink xmlns:r="http://schemas.openxmlformats.org/officeDocument/2006/relationships" ref="I4008" r:id="rId11678"/>
    <hyperlink xmlns:r="http://schemas.openxmlformats.org/officeDocument/2006/relationships" ref="J4008" r:id="rId11679"/>
    <hyperlink xmlns:r="http://schemas.openxmlformats.org/officeDocument/2006/relationships" ref="K4008" r:id="rId11680"/>
    <hyperlink xmlns:r="http://schemas.openxmlformats.org/officeDocument/2006/relationships" ref="I4009" r:id="rId11681"/>
    <hyperlink xmlns:r="http://schemas.openxmlformats.org/officeDocument/2006/relationships" ref="J4009" r:id="rId11682"/>
    <hyperlink xmlns:r="http://schemas.openxmlformats.org/officeDocument/2006/relationships" ref="K4009" r:id="rId11683"/>
    <hyperlink xmlns:r="http://schemas.openxmlformats.org/officeDocument/2006/relationships" ref="I4010" r:id="rId11684"/>
    <hyperlink xmlns:r="http://schemas.openxmlformats.org/officeDocument/2006/relationships" ref="J4010" r:id="rId11685"/>
    <hyperlink xmlns:r="http://schemas.openxmlformats.org/officeDocument/2006/relationships" ref="K4010" r:id="rId11686"/>
    <hyperlink xmlns:r="http://schemas.openxmlformats.org/officeDocument/2006/relationships" ref="I4011" r:id="rId11687"/>
    <hyperlink xmlns:r="http://schemas.openxmlformats.org/officeDocument/2006/relationships" ref="J4011" r:id="rId11688"/>
    <hyperlink xmlns:r="http://schemas.openxmlformats.org/officeDocument/2006/relationships" ref="K4011" r:id="rId11689"/>
    <hyperlink xmlns:r="http://schemas.openxmlformats.org/officeDocument/2006/relationships" ref="I4012" r:id="rId11690"/>
    <hyperlink xmlns:r="http://schemas.openxmlformats.org/officeDocument/2006/relationships" ref="J4012" r:id="rId11691"/>
    <hyperlink xmlns:r="http://schemas.openxmlformats.org/officeDocument/2006/relationships" ref="K4012" r:id="rId11692"/>
    <hyperlink xmlns:r="http://schemas.openxmlformats.org/officeDocument/2006/relationships" ref="I4013" r:id="rId11693"/>
    <hyperlink xmlns:r="http://schemas.openxmlformats.org/officeDocument/2006/relationships" ref="J4013" r:id="rId11694"/>
    <hyperlink xmlns:r="http://schemas.openxmlformats.org/officeDocument/2006/relationships" ref="K4013" r:id="rId11695"/>
    <hyperlink xmlns:r="http://schemas.openxmlformats.org/officeDocument/2006/relationships" ref="I4014" r:id="rId11696"/>
    <hyperlink xmlns:r="http://schemas.openxmlformats.org/officeDocument/2006/relationships" ref="J4014" r:id="rId11697"/>
    <hyperlink xmlns:r="http://schemas.openxmlformats.org/officeDocument/2006/relationships" ref="K4014" r:id="rId11698"/>
    <hyperlink xmlns:r="http://schemas.openxmlformats.org/officeDocument/2006/relationships" ref="I4015" r:id="rId11699"/>
    <hyperlink xmlns:r="http://schemas.openxmlformats.org/officeDocument/2006/relationships" ref="J4015" r:id="rId11700"/>
    <hyperlink xmlns:r="http://schemas.openxmlformats.org/officeDocument/2006/relationships" ref="K4015" r:id="rId11701"/>
    <hyperlink xmlns:r="http://schemas.openxmlformats.org/officeDocument/2006/relationships" ref="I4016" r:id="rId11702"/>
    <hyperlink xmlns:r="http://schemas.openxmlformats.org/officeDocument/2006/relationships" ref="J4016" r:id="rId11703"/>
    <hyperlink xmlns:r="http://schemas.openxmlformats.org/officeDocument/2006/relationships" ref="K4016" r:id="rId11704"/>
    <hyperlink xmlns:r="http://schemas.openxmlformats.org/officeDocument/2006/relationships" ref="I4017" r:id="rId11705"/>
    <hyperlink xmlns:r="http://schemas.openxmlformats.org/officeDocument/2006/relationships" ref="J4017" r:id="rId11706"/>
    <hyperlink xmlns:r="http://schemas.openxmlformats.org/officeDocument/2006/relationships" ref="K4017" r:id="rId11707"/>
    <hyperlink xmlns:r="http://schemas.openxmlformats.org/officeDocument/2006/relationships" ref="I4018" r:id="rId11708"/>
    <hyperlink xmlns:r="http://schemas.openxmlformats.org/officeDocument/2006/relationships" ref="J4018" r:id="rId11709"/>
    <hyperlink xmlns:r="http://schemas.openxmlformats.org/officeDocument/2006/relationships" ref="K4018" r:id="rId11710"/>
    <hyperlink xmlns:r="http://schemas.openxmlformats.org/officeDocument/2006/relationships" ref="I4019" r:id="rId11711"/>
    <hyperlink xmlns:r="http://schemas.openxmlformats.org/officeDocument/2006/relationships" ref="J4019" r:id="rId11712"/>
    <hyperlink xmlns:r="http://schemas.openxmlformats.org/officeDocument/2006/relationships" ref="K4019" r:id="rId11713"/>
    <hyperlink xmlns:r="http://schemas.openxmlformats.org/officeDocument/2006/relationships" ref="I4020" r:id="rId11714"/>
    <hyperlink xmlns:r="http://schemas.openxmlformats.org/officeDocument/2006/relationships" ref="J4020" r:id="rId11715"/>
    <hyperlink xmlns:r="http://schemas.openxmlformats.org/officeDocument/2006/relationships" ref="K4020" r:id="rId11716"/>
    <hyperlink xmlns:r="http://schemas.openxmlformats.org/officeDocument/2006/relationships" ref="I4021" r:id="rId11717"/>
    <hyperlink xmlns:r="http://schemas.openxmlformats.org/officeDocument/2006/relationships" ref="J4021" r:id="rId11718"/>
    <hyperlink xmlns:r="http://schemas.openxmlformats.org/officeDocument/2006/relationships" ref="K4021" r:id="rId11719"/>
    <hyperlink xmlns:r="http://schemas.openxmlformats.org/officeDocument/2006/relationships" ref="I4022" r:id="rId11720"/>
    <hyperlink xmlns:r="http://schemas.openxmlformats.org/officeDocument/2006/relationships" ref="J4022" r:id="rId11721"/>
    <hyperlink xmlns:r="http://schemas.openxmlformats.org/officeDocument/2006/relationships" ref="K4022" r:id="rId11722"/>
    <hyperlink xmlns:r="http://schemas.openxmlformats.org/officeDocument/2006/relationships" ref="I4023" r:id="rId11723"/>
    <hyperlink xmlns:r="http://schemas.openxmlformats.org/officeDocument/2006/relationships" ref="J4023" r:id="rId11724"/>
    <hyperlink xmlns:r="http://schemas.openxmlformats.org/officeDocument/2006/relationships" ref="K4023" r:id="rId11725"/>
    <hyperlink xmlns:r="http://schemas.openxmlformats.org/officeDocument/2006/relationships" ref="I4024" r:id="rId11726"/>
    <hyperlink xmlns:r="http://schemas.openxmlformats.org/officeDocument/2006/relationships" ref="J4024" r:id="rId11727"/>
    <hyperlink xmlns:r="http://schemas.openxmlformats.org/officeDocument/2006/relationships" ref="K4024" r:id="rId11728"/>
    <hyperlink xmlns:r="http://schemas.openxmlformats.org/officeDocument/2006/relationships" ref="I4025" r:id="rId11729"/>
    <hyperlink xmlns:r="http://schemas.openxmlformats.org/officeDocument/2006/relationships" ref="J4025" r:id="rId11730"/>
    <hyperlink xmlns:r="http://schemas.openxmlformats.org/officeDocument/2006/relationships" ref="K4025" r:id="rId11731"/>
    <hyperlink xmlns:r="http://schemas.openxmlformats.org/officeDocument/2006/relationships" ref="I4026" r:id="rId11732"/>
    <hyperlink xmlns:r="http://schemas.openxmlformats.org/officeDocument/2006/relationships" ref="J4026" r:id="rId11733"/>
    <hyperlink xmlns:r="http://schemas.openxmlformats.org/officeDocument/2006/relationships" ref="K4026" r:id="rId11734"/>
    <hyperlink xmlns:r="http://schemas.openxmlformats.org/officeDocument/2006/relationships" ref="I4027" r:id="rId11735"/>
    <hyperlink xmlns:r="http://schemas.openxmlformats.org/officeDocument/2006/relationships" ref="J4027" r:id="rId11736"/>
    <hyperlink xmlns:r="http://schemas.openxmlformats.org/officeDocument/2006/relationships" ref="K4027" r:id="rId11737"/>
    <hyperlink xmlns:r="http://schemas.openxmlformats.org/officeDocument/2006/relationships" ref="I4028" r:id="rId11738"/>
    <hyperlink xmlns:r="http://schemas.openxmlformats.org/officeDocument/2006/relationships" ref="J4028" r:id="rId11739"/>
    <hyperlink xmlns:r="http://schemas.openxmlformats.org/officeDocument/2006/relationships" ref="K4028" r:id="rId11740"/>
    <hyperlink xmlns:r="http://schemas.openxmlformats.org/officeDocument/2006/relationships" ref="I4029" r:id="rId11741"/>
    <hyperlink xmlns:r="http://schemas.openxmlformats.org/officeDocument/2006/relationships" ref="I4030" r:id="rId11742"/>
    <hyperlink xmlns:r="http://schemas.openxmlformats.org/officeDocument/2006/relationships" ref="I4031" r:id="rId11743"/>
    <hyperlink xmlns:r="http://schemas.openxmlformats.org/officeDocument/2006/relationships" ref="I4032" r:id="rId11744"/>
    <hyperlink xmlns:r="http://schemas.openxmlformats.org/officeDocument/2006/relationships" ref="I4033" r:id="rId11745"/>
    <hyperlink xmlns:r="http://schemas.openxmlformats.org/officeDocument/2006/relationships" ref="I4034" r:id="rId11746"/>
    <hyperlink xmlns:r="http://schemas.openxmlformats.org/officeDocument/2006/relationships" ref="J4034" r:id="rId11747"/>
    <hyperlink xmlns:r="http://schemas.openxmlformats.org/officeDocument/2006/relationships" ref="K4034" r:id="rId11748"/>
    <hyperlink xmlns:r="http://schemas.openxmlformats.org/officeDocument/2006/relationships" ref="I4035" r:id="rId11749"/>
    <hyperlink xmlns:r="http://schemas.openxmlformats.org/officeDocument/2006/relationships" ref="J4035" r:id="rId11750"/>
    <hyperlink xmlns:r="http://schemas.openxmlformats.org/officeDocument/2006/relationships" ref="K4035" r:id="rId11751"/>
    <hyperlink xmlns:r="http://schemas.openxmlformats.org/officeDocument/2006/relationships" ref="I4036" r:id="rId11752"/>
    <hyperlink xmlns:r="http://schemas.openxmlformats.org/officeDocument/2006/relationships" ref="J4036" r:id="rId11753"/>
    <hyperlink xmlns:r="http://schemas.openxmlformats.org/officeDocument/2006/relationships" ref="K4036" r:id="rId11754"/>
    <hyperlink xmlns:r="http://schemas.openxmlformats.org/officeDocument/2006/relationships" ref="I4037" r:id="rId11755"/>
    <hyperlink xmlns:r="http://schemas.openxmlformats.org/officeDocument/2006/relationships" ref="J4037" r:id="rId11756"/>
    <hyperlink xmlns:r="http://schemas.openxmlformats.org/officeDocument/2006/relationships" ref="K4037" r:id="rId11757"/>
    <hyperlink xmlns:r="http://schemas.openxmlformats.org/officeDocument/2006/relationships" ref="I4038" r:id="rId11758"/>
    <hyperlink xmlns:r="http://schemas.openxmlformats.org/officeDocument/2006/relationships" ref="J4038" r:id="rId11759"/>
    <hyperlink xmlns:r="http://schemas.openxmlformats.org/officeDocument/2006/relationships" ref="K4038" r:id="rId11760"/>
    <hyperlink xmlns:r="http://schemas.openxmlformats.org/officeDocument/2006/relationships" ref="I4039" r:id="rId11761"/>
    <hyperlink xmlns:r="http://schemas.openxmlformats.org/officeDocument/2006/relationships" ref="J4039" r:id="rId11762"/>
    <hyperlink xmlns:r="http://schemas.openxmlformats.org/officeDocument/2006/relationships" ref="K4039" r:id="rId11763"/>
    <hyperlink xmlns:r="http://schemas.openxmlformats.org/officeDocument/2006/relationships" ref="I4040" r:id="rId11764"/>
    <hyperlink xmlns:r="http://schemas.openxmlformats.org/officeDocument/2006/relationships" ref="J4040" r:id="rId11765"/>
    <hyperlink xmlns:r="http://schemas.openxmlformats.org/officeDocument/2006/relationships" ref="K4040" r:id="rId11766"/>
    <hyperlink xmlns:r="http://schemas.openxmlformats.org/officeDocument/2006/relationships" ref="I4041" r:id="rId11767"/>
    <hyperlink xmlns:r="http://schemas.openxmlformats.org/officeDocument/2006/relationships" ref="J4041" r:id="rId11768"/>
    <hyperlink xmlns:r="http://schemas.openxmlformats.org/officeDocument/2006/relationships" ref="K4041" r:id="rId11769"/>
    <hyperlink xmlns:r="http://schemas.openxmlformats.org/officeDocument/2006/relationships" ref="I4042" r:id="rId11770"/>
    <hyperlink xmlns:r="http://schemas.openxmlformats.org/officeDocument/2006/relationships" ref="J4042" r:id="rId11771"/>
    <hyperlink xmlns:r="http://schemas.openxmlformats.org/officeDocument/2006/relationships" ref="K4042" r:id="rId11772"/>
    <hyperlink xmlns:r="http://schemas.openxmlformats.org/officeDocument/2006/relationships" ref="I4043" r:id="rId11773"/>
    <hyperlink xmlns:r="http://schemas.openxmlformats.org/officeDocument/2006/relationships" ref="J4043" r:id="rId11774"/>
    <hyperlink xmlns:r="http://schemas.openxmlformats.org/officeDocument/2006/relationships" ref="K4043" r:id="rId11775"/>
    <hyperlink xmlns:r="http://schemas.openxmlformats.org/officeDocument/2006/relationships" ref="I4044" r:id="rId11776"/>
    <hyperlink xmlns:r="http://schemas.openxmlformats.org/officeDocument/2006/relationships" ref="J4044" r:id="rId11777"/>
    <hyperlink xmlns:r="http://schemas.openxmlformats.org/officeDocument/2006/relationships" ref="K4044" r:id="rId11778"/>
    <hyperlink xmlns:r="http://schemas.openxmlformats.org/officeDocument/2006/relationships" ref="I4045" r:id="rId11779"/>
    <hyperlink xmlns:r="http://schemas.openxmlformats.org/officeDocument/2006/relationships" ref="J4045" r:id="rId11780"/>
    <hyperlink xmlns:r="http://schemas.openxmlformats.org/officeDocument/2006/relationships" ref="K4045" r:id="rId11781"/>
    <hyperlink xmlns:r="http://schemas.openxmlformats.org/officeDocument/2006/relationships" ref="I4046" r:id="rId11782"/>
    <hyperlink xmlns:r="http://schemas.openxmlformats.org/officeDocument/2006/relationships" ref="J4046" r:id="rId11783"/>
    <hyperlink xmlns:r="http://schemas.openxmlformats.org/officeDocument/2006/relationships" ref="I4047" r:id="rId11784"/>
    <hyperlink xmlns:r="http://schemas.openxmlformats.org/officeDocument/2006/relationships" ref="J4047" r:id="rId11785"/>
    <hyperlink xmlns:r="http://schemas.openxmlformats.org/officeDocument/2006/relationships" ref="I4048" r:id="rId11786"/>
    <hyperlink xmlns:r="http://schemas.openxmlformats.org/officeDocument/2006/relationships" ref="J4048" r:id="rId11787"/>
    <hyperlink xmlns:r="http://schemas.openxmlformats.org/officeDocument/2006/relationships" ref="I4049" r:id="rId11788"/>
    <hyperlink xmlns:r="http://schemas.openxmlformats.org/officeDocument/2006/relationships" ref="J4049" r:id="rId11789"/>
    <hyperlink xmlns:r="http://schemas.openxmlformats.org/officeDocument/2006/relationships" ref="I4050" r:id="rId11790"/>
    <hyperlink xmlns:r="http://schemas.openxmlformats.org/officeDocument/2006/relationships" ref="J4050" r:id="rId11791"/>
    <hyperlink xmlns:r="http://schemas.openxmlformats.org/officeDocument/2006/relationships" ref="I4051" r:id="rId11792"/>
    <hyperlink xmlns:r="http://schemas.openxmlformats.org/officeDocument/2006/relationships" ref="J4051" r:id="rId11793"/>
    <hyperlink xmlns:r="http://schemas.openxmlformats.org/officeDocument/2006/relationships" ref="K4051" r:id="rId11794"/>
    <hyperlink xmlns:r="http://schemas.openxmlformats.org/officeDocument/2006/relationships" ref="I4052" r:id="rId11795"/>
    <hyperlink xmlns:r="http://schemas.openxmlformats.org/officeDocument/2006/relationships" ref="J4052" r:id="rId11796"/>
    <hyperlink xmlns:r="http://schemas.openxmlformats.org/officeDocument/2006/relationships" ref="K4052" r:id="rId11797"/>
    <hyperlink xmlns:r="http://schemas.openxmlformats.org/officeDocument/2006/relationships" ref="I4053" r:id="rId11798"/>
    <hyperlink xmlns:r="http://schemas.openxmlformats.org/officeDocument/2006/relationships" ref="J4053" r:id="rId11799"/>
    <hyperlink xmlns:r="http://schemas.openxmlformats.org/officeDocument/2006/relationships" ref="K4053" r:id="rId11800"/>
    <hyperlink xmlns:r="http://schemas.openxmlformats.org/officeDocument/2006/relationships" ref="I4054" r:id="rId11801"/>
    <hyperlink xmlns:r="http://schemas.openxmlformats.org/officeDocument/2006/relationships" ref="J4054" r:id="rId11802"/>
    <hyperlink xmlns:r="http://schemas.openxmlformats.org/officeDocument/2006/relationships" ref="K4054" r:id="rId11803"/>
    <hyperlink xmlns:r="http://schemas.openxmlformats.org/officeDocument/2006/relationships" ref="I4055" r:id="rId11804"/>
    <hyperlink xmlns:r="http://schemas.openxmlformats.org/officeDocument/2006/relationships" ref="J4055" r:id="rId11805"/>
    <hyperlink xmlns:r="http://schemas.openxmlformats.org/officeDocument/2006/relationships" ref="K4055" r:id="rId11806"/>
    <hyperlink xmlns:r="http://schemas.openxmlformats.org/officeDocument/2006/relationships" ref="I4056" r:id="rId11807"/>
    <hyperlink xmlns:r="http://schemas.openxmlformats.org/officeDocument/2006/relationships" ref="J4056" r:id="rId11808"/>
    <hyperlink xmlns:r="http://schemas.openxmlformats.org/officeDocument/2006/relationships" ref="K4056" r:id="rId11809"/>
    <hyperlink xmlns:r="http://schemas.openxmlformats.org/officeDocument/2006/relationships" ref="I4057" r:id="rId11810"/>
    <hyperlink xmlns:r="http://schemas.openxmlformats.org/officeDocument/2006/relationships" ref="J4057" r:id="rId11811"/>
    <hyperlink xmlns:r="http://schemas.openxmlformats.org/officeDocument/2006/relationships" ref="K4057" r:id="rId11812"/>
    <hyperlink xmlns:r="http://schemas.openxmlformats.org/officeDocument/2006/relationships" ref="I4058" r:id="rId11813"/>
    <hyperlink xmlns:r="http://schemas.openxmlformats.org/officeDocument/2006/relationships" ref="J4058" r:id="rId11814"/>
    <hyperlink xmlns:r="http://schemas.openxmlformats.org/officeDocument/2006/relationships" ref="K4058" r:id="rId11815"/>
    <hyperlink xmlns:r="http://schemas.openxmlformats.org/officeDocument/2006/relationships" ref="I4059" r:id="rId11816"/>
    <hyperlink xmlns:r="http://schemas.openxmlformats.org/officeDocument/2006/relationships" ref="J4059" r:id="rId11817"/>
    <hyperlink xmlns:r="http://schemas.openxmlformats.org/officeDocument/2006/relationships" ref="K4059" r:id="rId11818"/>
    <hyperlink xmlns:r="http://schemas.openxmlformats.org/officeDocument/2006/relationships" ref="I4060" r:id="rId11819"/>
    <hyperlink xmlns:r="http://schemas.openxmlformats.org/officeDocument/2006/relationships" ref="J4060" r:id="rId11820"/>
    <hyperlink xmlns:r="http://schemas.openxmlformats.org/officeDocument/2006/relationships" ref="K4060" r:id="rId11821"/>
    <hyperlink xmlns:r="http://schemas.openxmlformats.org/officeDocument/2006/relationships" ref="I4061" r:id="rId11822"/>
    <hyperlink xmlns:r="http://schemas.openxmlformats.org/officeDocument/2006/relationships" ref="J4061" r:id="rId11823"/>
    <hyperlink xmlns:r="http://schemas.openxmlformats.org/officeDocument/2006/relationships" ref="K4061" r:id="rId11824"/>
    <hyperlink xmlns:r="http://schemas.openxmlformats.org/officeDocument/2006/relationships" ref="I4062" r:id="rId11825"/>
    <hyperlink xmlns:r="http://schemas.openxmlformats.org/officeDocument/2006/relationships" ref="J4062" r:id="rId11826"/>
    <hyperlink xmlns:r="http://schemas.openxmlformats.org/officeDocument/2006/relationships" ref="K4062" r:id="rId11827"/>
    <hyperlink xmlns:r="http://schemas.openxmlformats.org/officeDocument/2006/relationships" ref="I4063" r:id="rId11828"/>
    <hyperlink xmlns:r="http://schemas.openxmlformats.org/officeDocument/2006/relationships" ref="J4063" r:id="rId11829"/>
    <hyperlink xmlns:r="http://schemas.openxmlformats.org/officeDocument/2006/relationships" ref="K4063" r:id="rId11830"/>
    <hyperlink xmlns:r="http://schemas.openxmlformats.org/officeDocument/2006/relationships" ref="I4064" r:id="rId11831"/>
    <hyperlink xmlns:r="http://schemas.openxmlformats.org/officeDocument/2006/relationships" ref="J4064" r:id="rId11832"/>
    <hyperlink xmlns:r="http://schemas.openxmlformats.org/officeDocument/2006/relationships" ref="K4064" r:id="rId11833"/>
    <hyperlink xmlns:r="http://schemas.openxmlformats.org/officeDocument/2006/relationships" ref="I4065" r:id="rId11834"/>
    <hyperlink xmlns:r="http://schemas.openxmlformats.org/officeDocument/2006/relationships" ref="J4065" r:id="rId11835"/>
    <hyperlink xmlns:r="http://schemas.openxmlformats.org/officeDocument/2006/relationships" ref="K4065" r:id="rId11836"/>
    <hyperlink xmlns:r="http://schemas.openxmlformats.org/officeDocument/2006/relationships" ref="I4066" r:id="rId11837"/>
    <hyperlink xmlns:r="http://schemas.openxmlformats.org/officeDocument/2006/relationships" ref="J4066" r:id="rId11838"/>
    <hyperlink xmlns:r="http://schemas.openxmlformats.org/officeDocument/2006/relationships" ref="K4066" r:id="rId11839"/>
    <hyperlink xmlns:r="http://schemas.openxmlformats.org/officeDocument/2006/relationships" ref="I4067" r:id="rId11840"/>
    <hyperlink xmlns:r="http://schemas.openxmlformats.org/officeDocument/2006/relationships" ref="J4067" r:id="rId11841"/>
    <hyperlink xmlns:r="http://schemas.openxmlformats.org/officeDocument/2006/relationships" ref="K4067" r:id="rId11842"/>
    <hyperlink xmlns:r="http://schemas.openxmlformats.org/officeDocument/2006/relationships" ref="I4068" r:id="rId11843"/>
    <hyperlink xmlns:r="http://schemas.openxmlformats.org/officeDocument/2006/relationships" ref="J4068" r:id="rId11844"/>
    <hyperlink xmlns:r="http://schemas.openxmlformats.org/officeDocument/2006/relationships" ref="K4068" r:id="rId11845"/>
    <hyperlink xmlns:r="http://schemas.openxmlformats.org/officeDocument/2006/relationships" ref="I4069" r:id="rId11846"/>
    <hyperlink xmlns:r="http://schemas.openxmlformats.org/officeDocument/2006/relationships" ref="J4069" r:id="rId11847"/>
    <hyperlink xmlns:r="http://schemas.openxmlformats.org/officeDocument/2006/relationships" ref="K4069" r:id="rId11848"/>
    <hyperlink xmlns:r="http://schemas.openxmlformats.org/officeDocument/2006/relationships" ref="I4070" r:id="rId11849"/>
    <hyperlink xmlns:r="http://schemas.openxmlformats.org/officeDocument/2006/relationships" ref="J4070" r:id="rId11850"/>
    <hyperlink xmlns:r="http://schemas.openxmlformats.org/officeDocument/2006/relationships" ref="K4070" r:id="rId11851"/>
    <hyperlink xmlns:r="http://schemas.openxmlformats.org/officeDocument/2006/relationships" ref="I4071" r:id="rId11852"/>
    <hyperlink xmlns:r="http://schemas.openxmlformats.org/officeDocument/2006/relationships" ref="J4071" r:id="rId11853"/>
    <hyperlink xmlns:r="http://schemas.openxmlformats.org/officeDocument/2006/relationships" ref="K4071" r:id="rId11854"/>
    <hyperlink xmlns:r="http://schemas.openxmlformats.org/officeDocument/2006/relationships" ref="I4072" r:id="rId11855"/>
    <hyperlink xmlns:r="http://schemas.openxmlformats.org/officeDocument/2006/relationships" ref="J4072" r:id="rId11856"/>
    <hyperlink xmlns:r="http://schemas.openxmlformats.org/officeDocument/2006/relationships" ref="K4072" r:id="rId11857"/>
    <hyperlink xmlns:r="http://schemas.openxmlformats.org/officeDocument/2006/relationships" ref="I4073" r:id="rId11858"/>
    <hyperlink xmlns:r="http://schemas.openxmlformats.org/officeDocument/2006/relationships" ref="J4073" r:id="rId11859"/>
    <hyperlink xmlns:r="http://schemas.openxmlformats.org/officeDocument/2006/relationships" ref="K4073" r:id="rId11860"/>
    <hyperlink xmlns:r="http://schemas.openxmlformats.org/officeDocument/2006/relationships" ref="I4074" r:id="rId11861"/>
    <hyperlink xmlns:r="http://schemas.openxmlformats.org/officeDocument/2006/relationships" ref="J4074" r:id="rId11862"/>
    <hyperlink xmlns:r="http://schemas.openxmlformats.org/officeDocument/2006/relationships" ref="K4074" r:id="rId11863"/>
    <hyperlink xmlns:r="http://schemas.openxmlformats.org/officeDocument/2006/relationships" ref="I4075" r:id="rId11864"/>
    <hyperlink xmlns:r="http://schemas.openxmlformats.org/officeDocument/2006/relationships" ref="J4075" r:id="rId11865"/>
    <hyperlink xmlns:r="http://schemas.openxmlformats.org/officeDocument/2006/relationships" ref="K4075" r:id="rId11866"/>
    <hyperlink xmlns:r="http://schemas.openxmlformats.org/officeDocument/2006/relationships" ref="I4076" r:id="rId11867"/>
    <hyperlink xmlns:r="http://schemas.openxmlformats.org/officeDocument/2006/relationships" ref="J4076" r:id="rId11868"/>
    <hyperlink xmlns:r="http://schemas.openxmlformats.org/officeDocument/2006/relationships" ref="K4076" r:id="rId11869"/>
    <hyperlink xmlns:r="http://schemas.openxmlformats.org/officeDocument/2006/relationships" ref="I4077" r:id="rId11870"/>
    <hyperlink xmlns:r="http://schemas.openxmlformats.org/officeDocument/2006/relationships" ref="J4077" r:id="rId11871"/>
    <hyperlink xmlns:r="http://schemas.openxmlformats.org/officeDocument/2006/relationships" ref="K4077" r:id="rId11872"/>
    <hyperlink xmlns:r="http://schemas.openxmlformats.org/officeDocument/2006/relationships" ref="I4078" r:id="rId11873"/>
    <hyperlink xmlns:r="http://schemas.openxmlformats.org/officeDocument/2006/relationships" ref="J4078" r:id="rId11874"/>
    <hyperlink xmlns:r="http://schemas.openxmlformats.org/officeDocument/2006/relationships" ref="K4078" r:id="rId11875"/>
    <hyperlink xmlns:r="http://schemas.openxmlformats.org/officeDocument/2006/relationships" ref="I4079" r:id="rId11876"/>
    <hyperlink xmlns:r="http://schemas.openxmlformats.org/officeDocument/2006/relationships" ref="J4079" r:id="rId11877"/>
    <hyperlink xmlns:r="http://schemas.openxmlformats.org/officeDocument/2006/relationships" ref="K4079" r:id="rId11878"/>
    <hyperlink xmlns:r="http://schemas.openxmlformats.org/officeDocument/2006/relationships" ref="I4080" r:id="rId11879"/>
    <hyperlink xmlns:r="http://schemas.openxmlformats.org/officeDocument/2006/relationships" ref="J4080" r:id="rId11880"/>
    <hyperlink xmlns:r="http://schemas.openxmlformats.org/officeDocument/2006/relationships" ref="K4080" r:id="rId11881"/>
    <hyperlink xmlns:r="http://schemas.openxmlformats.org/officeDocument/2006/relationships" ref="I4081" r:id="rId11882"/>
    <hyperlink xmlns:r="http://schemas.openxmlformats.org/officeDocument/2006/relationships" ref="J4081" r:id="rId11883"/>
    <hyperlink xmlns:r="http://schemas.openxmlformats.org/officeDocument/2006/relationships" ref="K4081" r:id="rId11884"/>
    <hyperlink xmlns:r="http://schemas.openxmlformats.org/officeDocument/2006/relationships" ref="I4082" r:id="rId11885"/>
    <hyperlink xmlns:r="http://schemas.openxmlformats.org/officeDocument/2006/relationships" ref="J4082" r:id="rId11886"/>
    <hyperlink xmlns:r="http://schemas.openxmlformats.org/officeDocument/2006/relationships" ref="K4082" r:id="rId11887"/>
    <hyperlink xmlns:r="http://schemas.openxmlformats.org/officeDocument/2006/relationships" ref="I4083" r:id="rId11888"/>
    <hyperlink xmlns:r="http://schemas.openxmlformats.org/officeDocument/2006/relationships" ref="J4083" r:id="rId11889"/>
    <hyperlink xmlns:r="http://schemas.openxmlformats.org/officeDocument/2006/relationships" ref="K4083" r:id="rId11890"/>
    <hyperlink xmlns:r="http://schemas.openxmlformats.org/officeDocument/2006/relationships" ref="I4084" r:id="rId11891"/>
    <hyperlink xmlns:r="http://schemas.openxmlformats.org/officeDocument/2006/relationships" ref="J4084" r:id="rId11892"/>
    <hyperlink xmlns:r="http://schemas.openxmlformats.org/officeDocument/2006/relationships" ref="K4084" r:id="rId11893"/>
    <hyperlink xmlns:r="http://schemas.openxmlformats.org/officeDocument/2006/relationships" ref="I4085" r:id="rId11894"/>
    <hyperlink xmlns:r="http://schemas.openxmlformats.org/officeDocument/2006/relationships" ref="J4085" r:id="rId11895"/>
    <hyperlink xmlns:r="http://schemas.openxmlformats.org/officeDocument/2006/relationships" ref="K4085" r:id="rId11896"/>
    <hyperlink xmlns:r="http://schemas.openxmlformats.org/officeDocument/2006/relationships" ref="I4086" r:id="rId11897"/>
    <hyperlink xmlns:r="http://schemas.openxmlformats.org/officeDocument/2006/relationships" ref="J4086" r:id="rId11898"/>
    <hyperlink xmlns:r="http://schemas.openxmlformats.org/officeDocument/2006/relationships" ref="K4086" r:id="rId11899"/>
    <hyperlink xmlns:r="http://schemas.openxmlformats.org/officeDocument/2006/relationships" ref="I4087" r:id="rId11900"/>
    <hyperlink xmlns:r="http://schemas.openxmlformats.org/officeDocument/2006/relationships" ref="J4087" r:id="rId11901"/>
    <hyperlink xmlns:r="http://schemas.openxmlformats.org/officeDocument/2006/relationships" ref="K4087" r:id="rId11902"/>
    <hyperlink xmlns:r="http://schemas.openxmlformats.org/officeDocument/2006/relationships" ref="I4088" r:id="rId11903"/>
    <hyperlink xmlns:r="http://schemas.openxmlformats.org/officeDocument/2006/relationships" ref="J4088" r:id="rId11904"/>
    <hyperlink xmlns:r="http://schemas.openxmlformats.org/officeDocument/2006/relationships" ref="K4088" r:id="rId11905"/>
    <hyperlink xmlns:r="http://schemas.openxmlformats.org/officeDocument/2006/relationships" ref="I4089" r:id="rId11906"/>
    <hyperlink xmlns:r="http://schemas.openxmlformats.org/officeDocument/2006/relationships" ref="J4089" r:id="rId11907"/>
    <hyperlink xmlns:r="http://schemas.openxmlformats.org/officeDocument/2006/relationships" ref="K4089" r:id="rId11908"/>
    <hyperlink xmlns:r="http://schemas.openxmlformats.org/officeDocument/2006/relationships" ref="I4090" r:id="rId11909"/>
    <hyperlink xmlns:r="http://schemas.openxmlformats.org/officeDocument/2006/relationships" ref="J4090" r:id="rId11910"/>
    <hyperlink xmlns:r="http://schemas.openxmlformats.org/officeDocument/2006/relationships" ref="K4090" r:id="rId11911"/>
    <hyperlink xmlns:r="http://schemas.openxmlformats.org/officeDocument/2006/relationships" ref="I4091" r:id="rId11912"/>
    <hyperlink xmlns:r="http://schemas.openxmlformats.org/officeDocument/2006/relationships" ref="J4091" r:id="rId11913"/>
    <hyperlink xmlns:r="http://schemas.openxmlformats.org/officeDocument/2006/relationships" ref="K4091" r:id="rId11914"/>
    <hyperlink xmlns:r="http://schemas.openxmlformats.org/officeDocument/2006/relationships" ref="I4092" r:id="rId11915"/>
    <hyperlink xmlns:r="http://schemas.openxmlformats.org/officeDocument/2006/relationships" ref="J4092" r:id="rId11916"/>
    <hyperlink xmlns:r="http://schemas.openxmlformats.org/officeDocument/2006/relationships" ref="K4092" r:id="rId11917"/>
    <hyperlink xmlns:r="http://schemas.openxmlformats.org/officeDocument/2006/relationships" ref="I4093" r:id="rId11918"/>
    <hyperlink xmlns:r="http://schemas.openxmlformats.org/officeDocument/2006/relationships" ref="J4093" r:id="rId11919"/>
    <hyperlink xmlns:r="http://schemas.openxmlformats.org/officeDocument/2006/relationships" ref="K4093" r:id="rId11920"/>
    <hyperlink xmlns:r="http://schemas.openxmlformats.org/officeDocument/2006/relationships" ref="I4094" r:id="rId11921"/>
    <hyperlink xmlns:r="http://schemas.openxmlformats.org/officeDocument/2006/relationships" ref="J4094" r:id="rId11922"/>
    <hyperlink xmlns:r="http://schemas.openxmlformats.org/officeDocument/2006/relationships" ref="K4094" r:id="rId11923"/>
    <hyperlink xmlns:r="http://schemas.openxmlformats.org/officeDocument/2006/relationships" ref="I4095" r:id="rId11924"/>
    <hyperlink xmlns:r="http://schemas.openxmlformats.org/officeDocument/2006/relationships" ref="J4095" r:id="rId11925"/>
    <hyperlink xmlns:r="http://schemas.openxmlformats.org/officeDocument/2006/relationships" ref="K4095" r:id="rId11926"/>
    <hyperlink xmlns:r="http://schemas.openxmlformats.org/officeDocument/2006/relationships" ref="I4096" r:id="rId11927"/>
    <hyperlink xmlns:r="http://schemas.openxmlformats.org/officeDocument/2006/relationships" ref="J4096" r:id="rId11928"/>
    <hyperlink xmlns:r="http://schemas.openxmlformats.org/officeDocument/2006/relationships" ref="K4096" r:id="rId11929"/>
    <hyperlink xmlns:r="http://schemas.openxmlformats.org/officeDocument/2006/relationships" ref="I4097" r:id="rId11930"/>
    <hyperlink xmlns:r="http://schemas.openxmlformats.org/officeDocument/2006/relationships" ref="J4097" r:id="rId11931"/>
    <hyperlink xmlns:r="http://schemas.openxmlformats.org/officeDocument/2006/relationships" ref="K4097" r:id="rId11932"/>
    <hyperlink xmlns:r="http://schemas.openxmlformats.org/officeDocument/2006/relationships" ref="I4098" r:id="rId11933"/>
    <hyperlink xmlns:r="http://schemas.openxmlformats.org/officeDocument/2006/relationships" ref="J4098" r:id="rId11934"/>
    <hyperlink xmlns:r="http://schemas.openxmlformats.org/officeDocument/2006/relationships" ref="K4098" r:id="rId11935"/>
    <hyperlink xmlns:r="http://schemas.openxmlformats.org/officeDocument/2006/relationships" ref="I4099" r:id="rId11936"/>
    <hyperlink xmlns:r="http://schemas.openxmlformats.org/officeDocument/2006/relationships" ref="J4099" r:id="rId11937"/>
    <hyperlink xmlns:r="http://schemas.openxmlformats.org/officeDocument/2006/relationships" ref="K4099" r:id="rId11938"/>
    <hyperlink xmlns:r="http://schemas.openxmlformats.org/officeDocument/2006/relationships" ref="I4100" r:id="rId11939"/>
    <hyperlink xmlns:r="http://schemas.openxmlformats.org/officeDocument/2006/relationships" ref="J4100" r:id="rId11940"/>
    <hyperlink xmlns:r="http://schemas.openxmlformats.org/officeDocument/2006/relationships" ref="K4100" r:id="rId11941"/>
    <hyperlink xmlns:r="http://schemas.openxmlformats.org/officeDocument/2006/relationships" ref="I4101" r:id="rId11942"/>
    <hyperlink xmlns:r="http://schemas.openxmlformats.org/officeDocument/2006/relationships" ref="J4101" r:id="rId11943"/>
    <hyperlink xmlns:r="http://schemas.openxmlformats.org/officeDocument/2006/relationships" ref="K4101" r:id="rId11944"/>
    <hyperlink xmlns:r="http://schemas.openxmlformats.org/officeDocument/2006/relationships" ref="I4102" r:id="rId11945"/>
    <hyperlink xmlns:r="http://schemas.openxmlformats.org/officeDocument/2006/relationships" ref="J4102" r:id="rId11946"/>
    <hyperlink xmlns:r="http://schemas.openxmlformats.org/officeDocument/2006/relationships" ref="K4102" r:id="rId11947"/>
    <hyperlink xmlns:r="http://schemas.openxmlformats.org/officeDocument/2006/relationships" ref="I4103" r:id="rId11948"/>
    <hyperlink xmlns:r="http://schemas.openxmlformats.org/officeDocument/2006/relationships" ref="J4103" r:id="rId11949"/>
    <hyperlink xmlns:r="http://schemas.openxmlformats.org/officeDocument/2006/relationships" ref="K4103" r:id="rId11950"/>
    <hyperlink xmlns:r="http://schemas.openxmlformats.org/officeDocument/2006/relationships" ref="I4104" r:id="rId11951"/>
    <hyperlink xmlns:r="http://schemas.openxmlformats.org/officeDocument/2006/relationships" ref="J4104" r:id="rId11952"/>
    <hyperlink xmlns:r="http://schemas.openxmlformats.org/officeDocument/2006/relationships" ref="K4104" r:id="rId11953"/>
    <hyperlink xmlns:r="http://schemas.openxmlformats.org/officeDocument/2006/relationships" ref="I4105" r:id="rId11954"/>
    <hyperlink xmlns:r="http://schemas.openxmlformats.org/officeDocument/2006/relationships" ref="J4105" r:id="rId11955"/>
    <hyperlink xmlns:r="http://schemas.openxmlformats.org/officeDocument/2006/relationships" ref="K4105" r:id="rId11956"/>
    <hyperlink xmlns:r="http://schemas.openxmlformats.org/officeDocument/2006/relationships" ref="I4106" r:id="rId11957"/>
    <hyperlink xmlns:r="http://schemas.openxmlformats.org/officeDocument/2006/relationships" ref="J4106" r:id="rId11958"/>
    <hyperlink xmlns:r="http://schemas.openxmlformats.org/officeDocument/2006/relationships" ref="K4106" r:id="rId11959"/>
    <hyperlink xmlns:r="http://schemas.openxmlformats.org/officeDocument/2006/relationships" ref="I4107" r:id="rId11960"/>
    <hyperlink xmlns:r="http://schemas.openxmlformats.org/officeDocument/2006/relationships" ref="J4107" r:id="rId11961"/>
    <hyperlink xmlns:r="http://schemas.openxmlformats.org/officeDocument/2006/relationships" ref="K4107" r:id="rId11962"/>
    <hyperlink xmlns:r="http://schemas.openxmlformats.org/officeDocument/2006/relationships" ref="I4108" r:id="rId11963"/>
    <hyperlink xmlns:r="http://schemas.openxmlformats.org/officeDocument/2006/relationships" ref="J4108" r:id="rId11964"/>
    <hyperlink xmlns:r="http://schemas.openxmlformats.org/officeDocument/2006/relationships" ref="K4108" r:id="rId11965"/>
    <hyperlink xmlns:r="http://schemas.openxmlformats.org/officeDocument/2006/relationships" ref="I4109" r:id="rId11966"/>
    <hyperlink xmlns:r="http://schemas.openxmlformats.org/officeDocument/2006/relationships" ref="J4109" r:id="rId11967"/>
    <hyperlink xmlns:r="http://schemas.openxmlformats.org/officeDocument/2006/relationships" ref="K4109" r:id="rId11968"/>
    <hyperlink xmlns:r="http://schemas.openxmlformats.org/officeDocument/2006/relationships" ref="I4110" r:id="rId11969"/>
    <hyperlink xmlns:r="http://schemas.openxmlformats.org/officeDocument/2006/relationships" ref="J4110" r:id="rId11970"/>
    <hyperlink xmlns:r="http://schemas.openxmlformats.org/officeDocument/2006/relationships" ref="K4110" r:id="rId11971"/>
    <hyperlink xmlns:r="http://schemas.openxmlformats.org/officeDocument/2006/relationships" ref="I4111" r:id="rId11972"/>
    <hyperlink xmlns:r="http://schemas.openxmlformats.org/officeDocument/2006/relationships" ref="J4111" r:id="rId11973"/>
    <hyperlink xmlns:r="http://schemas.openxmlformats.org/officeDocument/2006/relationships" ref="K4111" r:id="rId11974"/>
    <hyperlink xmlns:r="http://schemas.openxmlformats.org/officeDocument/2006/relationships" ref="I4112" r:id="rId11975"/>
    <hyperlink xmlns:r="http://schemas.openxmlformats.org/officeDocument/2006/relationships" ref="J4112" r:id="rId11976"/>
    <hyperlink xmlns:r="http://schemas.openxmlformats.org/officeDocument/2006/relationships" ref="K4112" r:id="rId11977"/>
    <hyperlink xmlns:r="http://schemas.openxmlformats.org/officeDocument/2006/relationships" ref="I4113" r:id="rId11978"/>
    <hyperlink xmlns:r="http://schemas.openxmlformats.org/officeDocument/2006/relationships" ref="J4113" r:id="rId11979"/>
    <hyperlink xmlns:r="http://schemas.openxmlformats.org/officeDocument/2006/relationships" ref="K4113" r:id="rId11980"/>
    <hyperlink xmlns:r="http://schemas.openxmlformats.org/officeDocument/2006/relationships" ref="I4114" r:id="rId11981"/>
    <hyperlink xmlns:r="http://schemas.openxmlformats.org/officeDocument/2006/relationships" ref="J4114" r:id="rId11982"/>
    <hyperlink xmlns:r="http://schemas.openxmlformats.org/officeDocument/2006/relationships" ref="K4114" r:id="rId11983"/>
    <hyperlink xmlns:r="http://schemas.openxmlformats.org/officeDocument/2006/relationships" ref="I4115" r:id="rId11984"/>
    <hyperlink xmlns:r="http://schemas.openxmlformats.org/officeDocument/2006/relationships" ref="J4115" r:id="rId11985"/>
    <hyperlink xmlns:r="http://schemas.openxmlformats.org/officeDocument/2006/relationships" ref="K4115" r:id="rId11986"/>
    <hyperlink xmlns:r="http://schemas.openxmlformats.org/officeDocument/2006/relationships" ref="I4116" r:id="rId11987"/>
    <hyperlink xmlns:r="http://schemas.openxmlformats.org/officeDocument/2006/relationships" ref="J4116" r:id="rId11988"/>
    <hyperlink xmlns:r="http://schemas.openxmlformats.org/officeDocument/2006/relationships" ref="K4116" r:id="rId11989"/>
    <hyperlink xmlns:r="http://schemas.openxmlformats.org/officeDocument/2006/relationships" ref="I4117" r:id="rId11990"/>
    <hyperlink xmlns:r="http://schemas.openxmlformats.org/officeDocument/2006/relationships" ref="J4117" r:id="rId11991"/>
    <hyperlink xmlns:r="http://schemas.openxmlformats.org/officeDocument/2006/relationships" ref="K4117" r:id="rId11992"/>
    <hyperlink xmlns:r="http://schemas.openxmlformats.org/officeDocument/2006/relationships" ref="I4118" r:id="rId11993"/>
    <hyperlink xmlns:r="http://schemas.openxmlformats.org/officeDocument/2006/relationships" ref="J4118" r:id="rId11994"/>
    <hyperlink xmlns:r="http://schemas.openxmlformats.org/officeDocument/2006/relationships" ref="K4118" r:id="rId11995"/>
    <hyperlink xmlns:r="http://schemas.openxmlformats.org/officeDocument/2006/relationships" ref="I4119" r:id="rId11996"/>
    <hyperlink xmlns:r="http://schemas.openxmlformats.org/officeDocument/2006/relationships" ref="J4119" r:id="rId11997"/>
    <hyperlink xmlns:r="http://schemas.openxmlformats.org/officeDocument/2006/relationships" ref="K4119" r:id="rId11998"/>
    <hyperlink xmlns:r="http://schemas.openxmlformats.org/officeDocument/2006/relationships" ref="I4120" r:id="rId11999"/>
    <hyperlink xmlns:r="http://schemas.openxmlformats.org/officeDocument/2006/relationships" ref="J4120" r:id="rId12000"/>
    <hyperlink xmlns:r="http://schemas.openxmlformats.org/officeDocument/2006/relationships" ref="K4120" r:id="rId12001"/>
    <hyperlink xmlns:r="http://schemas.openxmlformats.org/officeDocument/2006/relationships" ref="I4121" r:id="rId12002"/>
    <hyperlink xmlns:r="http://schemas.openxmlformats.org/officeDocument/2006/relationships" ref="J4121" r:id="rId12003"/>
    <hyperlink xmlns:r="http://schemas.openxmlformats.org/officeDocument/2006/relationships" ref="K4121" r:id="rId12004"/>
    <hyperlink xmlns:r="http://schemas.openxmlformats.org/officeDocument/2006/relationships" ref="I4122" r:id="rId12005"/>
    <hyperlink xmlns:r="http://schemas.openxmlformats.org/officeDocument/2006/relationships" ref="J4122" r:id="rId12006"/>
    <hyperlink xmlns:r="http://schemas.openxmlformats.org/officeDocument/2006/relationships" ref="K4122" r:id="rId12007"/>
    <hyperlink xmlns:r="http://schemas.openxmlformats.org/officeDocument/2006/relationships" ref="I4123" r:id="rId12008"/>
    <hyperlink xmlns:r="http://schemas.openxmlformats.org/officeDocument/2006/relationships" ref="J4123" r:id="rId12009"/>
    <hyperlink xmlns:r="http://schemas.openxmlformats.org/officeDocument/2006/relationships" ref="K4123" r:id="rId12010"/>
    <hyperlink xmlns:r="http://schemas.openxmlformats.org/officeDocument/2006/relationships" ref="I4124" r:id="rId12011"/>
    <hyperlink xmlns:r="http://schemas.openxmlformats.org/officeDocument/2006/relationships" ref="J4124" r:id="rId12012"/>
    <hyperlink xmlns:r="http://schemas.openxmlformats.org/officeDocument/2006/relationships" ref="K4124" r:id="rId12013"/>
    <hyperlink xmlns:r="http://schemas.openxmlformats.org/officeDocument/2006/relationships" ref="I4125" r:id="rId12014"/>
    <hyperlink xmlns:r="http://schemas.openxmlformats.org/officeDocument/2006/relationships" ref="J4125" r:id="rId12015"/>
    <hyperlink xmlns:r="http://schemas.openxmlformats.org/officeDocument/2006/relationships" ref="K4125" r:id="rId12016"/>
    <hyperlink xmlns:r="http://schemas.openxmlformats.org/officeDocument/2006/relationships" ref="I4126" r:id="rId12017"/>
    <hyperlink xmlns:r="http://schemas.openxmlformats.org/officeDocument/2006/relationships" ref="J4126" r:id="rId12018"/>
    <hyperlink xmlns:r="http://schemas.openxmlformats.org/officeDocument/2006/relationships" ref="K4126" r:id="rId12019"/>
    <hyperlink xmlns:r="http://schemas.openxmlformats.org/officeDocument/2006/relationships" ref="I4127" r:id="rId12020"/>
    <hyperlink xmlns:r="http://schemas.openxmlformats.org/officeDocument/2006/relationships" ref="J4127" r:id="rId12021"/>
    <hyperlink xmlns:r="http://schemas.openxmlformats.org/officeDocument/2006/relationships" ref="K4127" r:id="rId12022"/>
    <hyperlink xmlns:r="http://schemas.openxmlformats.org/officeDocument/2006/relationships" ref="I4128" r:id="rId12023"/>
    <hyperlink xmlns:r="http://schemas.openxmlformats.org/officeDocument/2006/relationships" ref="J4128" r:id="rId12024"/>
    <hyperlink xmlns:r="http://schemas.openxmlformats.org/officeDocument/2006/relationships" ref="K4128" r:id="rId12025"/>
    <hyperlink xmlns:r="http://schemas.openxmlformats.org/officeDocument/2006/relationships" ref="I4129" r:id="rId12026"/>
    <hyperlink xmlns:r="http://schemas.openxmlformats.org/officeDocument/2006/relationships" ref="J4129" r:id="rId12027"/>
    <hyperlink xmlns:r="http://schemas.openxmlformats.org/officeDocument/2006/relationships" ref="K4129" r:id="rId12028"/>
    <hyperlink xmlns:r="http://schemas.openxmlformats.org/officeDocument/2006/relationships" ref="I4130" r:id="rId12029"/>
    <hyperlink xmlns:r="http://schemas.openxmlformats.org/officeDocument/2006/relationships" ref="J4130" r:id="rId12030"/>
    <hyperlink xmlns:r="http://schemas.openxmlformats.org/officeDocument/2006/relationships" ref="K4130" r:id="rId12031"/>
    <hyperlink xmlns:r="http://schemas.openxmlformats.org/officeDocument/2006/relationships" ref="I4131" r:id="rId12032"/>
    <hyperlink xmlns:r="http://schemas.openxmlformats.org/officeDocument/2006/relationships" ref="J4131" r:id="rId12033"/>
    <hyperlink xmlns:r="http://schemas.openxmlformats.org/officeDocument/2006/relationships" ref="K4131" r:id="rId12034"/>
    <hyperlink xmlns:r="http://schemas.openxmlformats.org/officeDocument/2006/relationships" ref="I4132" r:id="rId12035"/>
    <hyperlink xmlns:r="http://schemas.openxmlformats.org/officeDocument/2006/relationships" ref="J4132" r:id="rId12036"/>
    <hyperlink xmlns:r="http://schemas.openxmlformats.org/officeDocument/2006/relationships" ref="K4132" r:id="rId12037"/>
    <hyperlink xmlns:r="http://schemas.openxmlformats.org/officeDocument/2006/relationships" ref="I4133" r:id="rId12038"/>
    <hyperlink xmlns:r="http://schemas.openxmlformats.org/officeDocument/2006/relationships" ref="J4133" r:id="rId12039"/>
    <hyperlink xmlns:r="http://schemas.openxmlformats.org/officeDocument/2006/relationships" ref="K4133" r:id="rId12040"/>
    <hyperlink xmlns:r="http://schemas.openxmlformats.org/officeDocument/2006/relationships" ref="I4134" r:id="rId12041"/>
    <hyperlink xmlns:r="http://schemas.openxmlformats.org/officeDocument/2006/relationships" ref="J4134" r:id="rId12042"/>
    <hyperlink xmlns:r="http://schemas.openxmlformats.org/officeDocument/2006/relationships" ref="K4134" r:id="rId12043"/>
    <hyperlink xmlns:r="http://schemas.openxmlformats.org/officeDocument/2006/relationships" ref="I4135" r:id="rId12044"/>
    <hyperlink xmlns:r="http://schemas.openxmlformats.org/officeDocument/2006/relationships" ref="J4135" r:id="rId12045"/>
    <hyperlink xmlns:r="http://schemas.openxmlformats.org/officeDocument/2006/relationships" ref="K4135" r:id="rId12046"/>
    <hyperlink xmlns:r="http://schemas.openxmlformats.org/officeDocument/2006/relationships" ref="I4136" r:id="rId12047"/>
    <hyperlink xmlns:r="http://schemas.openxmlformats.org/officeDocument/2006/relationships" ref="J4136" r:id="rId12048"/>
    <hyperlink xmlns:r="http://schemas.openxmlformats.org/officeDocument/2006/relationships" ref="K4136" r:id="rId12049"/>
    <hyperlink xmlns:r="http://schemas.openxmlformats.org/officeDocument/2006/relationships" ref="I4137" r:id="rId12050"/>
    <hyperlink xmlns:r="http://schemas.openxmlformats.org/officeDocument/2006/relationships" ref="J4137" r:id="rId12051"/>
    <hyperlink xmlns:r="http://schemas.openxmlformats.org/officeDocument/2006/relationships" ref="K4137" r:id="rId12052"/>
    <hyperlink xmlns:r="http://schemas.openxmlformats.org/officeDocument/2006/relationships" ref="I4138" r:id="rId12053"/>
    <hyperlink xmlns:r="http://schemas.openxmlformats.org/officeDocument/2006/relationships" ref="J4138" r:id="rId12054"/>
    <hyperlink xmlns:r="http://schemas.openxmlformats.org/officeDocument/2006/relationships" ref="K4138" r:id="rId12055"/>
    <hyperlink xmlns:r="http://schemas.openxmlformats.org/officeDocument/2006/relationships" ref="I4139" r:id="rId12056"/>
    <hyperlink xmlns:r="http://schemas.openxmlformats.org/officeDocument/2006/relationships" ref="J4139" r:id="rId12057"/>
    <hyperlink xmlns:r="http://schemas.openxmlformats.org/officeDocument/2006/relationships" ref="K4139" r:id="rId12058"/>
    <hyperlink xmlns:r="http://schemas.openxmlformats.org/officeDocument/2006/relationships" ref="I4140" r:id="rId12059"/>
    <hyperlink xmlns:r="http://schemas.openxmlformats.org/officeDocument/2006/relationships" ref="J4140" r:id="rId12060"/>
    <hyperlink xmlns:r="http://schemas.openxmlformats.org/officeDocument/2006/relationships" ref="K4140" r:id="rId12061"/>
    <hyperlink xmlns:r="http://schemas.openxmlformats.org/officeDocument/2006/relationships" ref="I4141" r:id="rId12062"/>
    <hyperlink xmlns:r="http://schemas.openxmlformats.org/officeDocument/2006/relationships" ref="J4141" r:id="rId12063"/>
    <hyperlink xmlns:r="http://schemas.openxmlformats.org/officeDocument/2006/relationships" ref="K4141" r:id="rId12064"/>
    <hyperlink xmlns:r="http://schemas.openxmlformats.org/officeDocument/2006/relationships" ref="I4142" r:id="rId12065"/>
    <hyperlink xmlns:r="http://schemas.openxmlformats.org/officeDocument/2006/relationships" ref="J4142" r:id="rId12066"/>
    <hyperlink xmlns:r="http://schemas.openxmlformats.org/officeDocument/2006/relationships" ref="K4142" r:id="rId12067"/>
    <hyperlink xmlns:r="http://schemas.openxmlformats.org/officeDocument/2006/relationships" ref="I4143" r:id="rId12068"/>
    <hyperlink xmlns:r="http://schemas.openxmlformats.org/officeDocument/2006/relationships" ref="J4143" r:id="rId12069"/>
    <hyperlink xmlns:r="http://schemas.openxmlformats.org/officeDocument/2006/relationships" ref="K4143" r:id="rId12070"/>
    <hyperlink xmlns:r="http://schemas.openxmlformats.org/officeDocument/2006/relationships" ref="I4144" r:id="rId12071"/>
    <hyperlink xmlns:r="http://schemas.openxmlformats.org/officeDocument/2006/relationships" ref="J4144" r:id="rId12072"/>
    <hyperlink xmlns:r="http://schemas.openxmlformats.org/officeDocument/2006/relationships" ref="K4144" r:id="rId12073"/>
    <hyperlink xmlns:r="http://schemas.openxmlformats.org/officeDocument/2006/relationships" ref="I4145" r:id="rId12074"/>
    <hyperlink xmlns:r="http://schemas.openxmlformats.org/officeDocument/2006/relationships" ref="J4145" r:id="rId12075"/>
    <hyperlink xmlns:r="http://schemas.openxmlformats.org/officeDocument/2006/relationships" ref="K4145" r:id="rId12076"/>
    <hyperlink xmlns:r="http://schemas.openxmlformats.org/officeDocument/2006/relationships" ref="I4146" r:id="rId12077"/>
    <hyperlink xmlns:r="http://schemas.openxmlformats.org/officeDocument/2006/relationships" ref="J4146" r:id="rId12078"/>
    <hyperlink xmlns:r="http://schemas.openxmlformats.org/officeDocument/2006/relationships" ref="K4146" r:id="rId12079"/>
    <hyperlink xmlns:r="http://schemas.openxmlformats.org/officeDocument/2006/relationships" ref="I4147" r:id="rId12080"/>
    <hyperlink xmlns:r="http://schemas.openxmlformats.org/officeDocument/2006/relationships" ref="J4147" r:id="rId12081"/>
    <hyperlink xmlns:r="http://schemas.openxmlformats.org/officeDocument/2006/relationships" ref="K4147" r:id="rId12082"/>
    <hyperlink xmlns:r="http://schemas.openxmlformats.org/officeDocument/2006/relationships" ref="I4148" r:id="rId12083"/>
    <hyperlink xmlns:r="http://schemas.openxmlformats.org/officeDocument/2006/relationships" ref="J4148" r:id="rId12084"/>
    <hyperlink xmlns:r="http://schemas.openxmlformats.org/officeDocument/2006/relationships" ref="K4148" r:id="rId12085"/>
    <hyperlink xmlns:r="http://schemas.openxmlformats.org/officeDocument/2006/relationships" ref="I4149" r:id="rId12086"/>
    <hyperlink xmlns:r="http://schemas.openxmlformats.org/officeDocument/2006/relationships" ref="J4149" r:id="rId12087"/>
    <hyperlink xmlns:r="http://schemas.openxmlformats.org/officeDocument/2006/relationships" ref="K4149" r:id="rId12088"/>
    <hyperlink xmlns:r="http://schemas.openxmlformats.org/officeDocument/2006/relationships" ref="I4150" r:id="rId12089"/>
    <hyperlink xmlns:r="http://schemas.openxmlformats.org/officeDocument/2006/relationships" ref="J4150" r:id="rId12090"/>
    <hyperlink xmlns:r="http://schemas.openxmlformats.org/officeDocument/2006/relationships" ref="K4150" r:id="rId12091"/>
    <hyperlink xmlns:r="http://schemas.openxmlformats.org/officeDocument/2006/relationships" ref="I4151" r:id="rId12092"/>
    <hyperlink xmlns:r="http://schemas.openxmlformats.org/officeDocument/2006/relationships" ref="J4151" r:id="rId12093"/>
    <hyperlink xmlns:r="http://schemas.openxmlformats.org/officeDocument/2006/relationships" ref="K4151" r:id="rId12094"/>
    <hyperlink xmlns:r="http://schemas.openxmlformats.org/officeDocument/2006/relationships" ref="I4152" r:id="rId12095"/>
    <hyperlink xmlns:r="http://schemas.openxmlformats.org/officeDocument/2006/relationships" ref="J4152" r:id="rId12096"/>
    <hyperlink xmlns:r="http://schemas.openxmlformats.org/officeDocument/2006/relationships" ref="K4152" r:id="rId12097"/>
    <hyperlink xmlns:r="http://schemas.openxmlformats.org/officeDocument/2006/relationships" ref="I4153" r:id="rId12098"/>
    <hyperlink xmlns:r="http://schemas.openxmlformats.org/officeDocument/2006/relationships" ref="J4153" r:id="rId12099"/>
    <hyperlink xmlns:r="http://schemas.openxmlformats.org/officeDocument/2006/relationships" ref="K4153" r:id="rId12100"/>
    <hyperlink xmlns:r="http://schemas.openxmlformats.org/officeDocument/2006/relationships" ref="I4154" r:id="rId12101"/>
    <hyperlink xmlns:r="http://schemas.openxmlformats.org/officeDocument/2006/relationships" ref="J4154" r:id="rId12102"/>
    <hyperlink xmlns:r="http://schemas.openxmlformats.org/officeDocument/2006/relationships" ref="K4154" r:id="rId12103"/>
    <hyperlink xmlns:r="http://schemas.openxmlformats.org/officeDocument/2006/relationships" ref="I4155" r:id="rId12104"/>
    <hyperlink xmlns:r="http://schemas.openxmlformats.org/officeDocument/2006/relationships" ref="J4155" r:id="rId12105"/>
    <hyperlink xmlns:r="http://schemas.openxmlformats.org/officeDocument/2006/relationships" ref="K4155" r:id="rId12106"/>
    <hyperlink xmlns:r="http://schemas.openxmlformats.org/officeDocument/2006/relationships" ref="I4156" r:id="rId12107"/>
    <hyperlink xmlns:r="http://schemas.openxmlformats.org/officeDocument/2006/relationships" ref="J4156" r:id="rId12108"/>
    <hyperlink xmlns:r="http://schemas.openxmlformats.org/officeDocument/2006/relationships" ref="K4156" r:id="rId12109"/>
    <hyperlink xmlns:r="http://schemas.openxmlformats.org/officeDocument/2006/relationships" ref="I4157" r:id="rId12110"/>
    <hyperlink xmlns:r="http://schemas.openxmlformats.org/officeDocument/2006/relationships" ref="J4157" r:id="rId12111"/>
    <hyperlink xmlns:r="http://schemas.openxmlformats.org/officeDocument/2006/relationships" ref="K4157" r:id="rId12112"/>
    <hyperlink xmlns:r="http://schemas.openxmlformats.org/officeDocument/2006/relationships" ref="I4158" r:id="rId12113"/>
    <hyperlink xmlns:r="http://schemas.openxmlformats.org/officeDocument/2006/relationships" ref="J4158" r:id="rId12114"/>
    <hyperlink xmlns:r="http://schemas.openxmlformats.org/officeDocument/2006/relationships" ref="I4159" r:id="rId12115"/>
    <hyperlink xmlns:r="http://schemas.openxmlformats.org/officeDocument/2006/relationships" ref="J4159" r:id="rId12116"/>
    <hyperlink xmlns:r="http://schemas.openxmlformats.org/officeDocument/2006/relationships" ref="I4160" r:id="rId12117"/>
    <hyperlink xmlns:r="http://schemas.openxmlformats.org/officeDocument/2006/relationships" ref="J4160" r:id="rId12118"/>
    <hyperlink xmlns:r="http://schemas.openxmlformats.org/officeDocument/2006/relationships" ref="I4161" r:id="rId12119"/>
    <hyperlink xmlns:r="http://schemas.openxmlformats.org/officeDocument/2006/relationships" ref="J4161" r:id="rId12120"/>
    <hyperlink xmlns:r="http://schemas.openxmlformats.org/officeDocument/2006/relationships" ref="I4162" r:id="rId12121"/>
    <hyperlink xmlns:r="http://schemas.openxmlformats.org/officeDocument/2006/relationships" ref="J4162" r:id="rId12122"/>
    <hyperlink xmlns:r="http://schemas.openxmlformats.org/officeDocument/2006/relationships" ref="I4163" r:id="rId12123"/>
    <hyperlink xmlns:r="http://schemas.openxmlformats.org/officeDocument/2006/relationships" ref="J4163" r:id="rId12124"/>
    <hyperlink xmlns:r="http://schemas.openxmlformats.org/officeDocument/2006/relationships" ref="I4164" r:id="rId12125"/>
    <hyperlink xmlns:r="http://schemas.openxmlformats.org/officeDocument/2006/relationships" ref="J4164" r:id="rId12126"/>
    <hyperlink xmlns:r="http://schemas.openxmlformats.org/officeDocument/2006/relationships" ref="K4164" r:id="rId12127"/>
    <hyperlink xmlns:r="http://schemas.openxmlformats.org/officeDocument/2006/relationships" ref="I4165" r:id="rId12128"/>
    <hyperlink xmlns:r="http://schemas.openxmlformats.org/officeDocument/2006/relationships" ref="J4165" r:id="rId12129"/>
    <hyperlink xmlns:r="http://schemas.openxmlformats.org/officeDocument/2006/relationships" ref="K4165" r:id="rId12130"/>
    <hyperlink xmlns:r="http://schemas.openxmlformats.org/officeDocument/2006/relationships" ref="I4166" r:id="rId12131"/>
    <hyperlink xmlns:r="http://schemas.openxmlformats.org/officeDocument/2006/relationships" ref="J4166" r:id="rId12132"/>
    <hyperlink xmlns:r="http://schemas.openxmlformats.org/officeDocument/2006/relationships" ref="K4166" r:id="rId12133"/>
    <hyperlink xmlns:r="http://schemas.openxmlformats.org/officeDocument/2006/relationships" ref="I4167" r:id="rId12134"/>
    <hyperlink xmlns:r="http://schemas.openxmlformats.org/officeDocument/2006/relationships" ref="J4167" r:id="rId12135"/>
    <hyperlink xmlns:r="http://schemas.openxmlformats.org/officeDocument/2006/relationships" ref="K4167" r:id="rId12136"/>
    <hyperlink xmlns:r="http://schemas.openxmlformats.org/officeDocument/2006/relationships" ref="I4168" r:id="rId12137"/>
    <hyperlink xmlns:r="http://schemas.openxmlformats.org/officeDocument/2006/relationships" ref="J4168" r:id="rId12138"/>
    <hyperlink xmlns:r="http://schemas.openxmlformats.org/officeDocument/2006/relationships" ref="K4168" r:id="rId12139"/>
    <hyperlink xmlns:r="http://schemas.openxmlformats.org/officeDocument/2006/relationships" ref="I4169" r:id="rId12140"/>
    <hyperlink xmlns:r="http://schemas.openxmlformats.org/officeDocument/2006/relationships" ref="J4169" r:id="rId12141"/>
    <hyperlink xmlns:r="http://schemas.openxmlformats.org/officeDocument/2006/relationships" ref="K4169" r:id="rId12142"/>
    <hyperlink xmlns:r="http://schemas.openxmlformats.org/officeDocument/2006/relationships" ref="I4170" r:id="rId12143"/>
    <hyperlink xmlns:r="http://schemas.openxmlformats.org/officeDocument/2006/relationships" ref="J4170" r:id="rId12144"/>
    <hyperlink xmlns:r="http://schemas.openxmlformats.org/officeDocument/2006/relationships" ref="K4170" r:id="rId12145"/>
    <hyperlink xmlns:r="http://schemas.openxmlformats.org/officeDocument/2006/relationships" ref="I4171" r:id="rId12146"/>
    <hyperlink xmlns:r="http://schemas.openxmlformats.org/officeDocument/2006/relationships" ref="J4171" r:id="rId12147"/>
    <hyperlink xmlns:r="http://schemas.openxmlformats.org/officeDocument/2006/relationships" ref="K4171" r:id="rId12148"/>
    <hyperlink xmlns:r="http://schemas.openxmlformats.org/officeDocument/2006/relationships" ref="I4172" r:id="rId12149"/>
    <hyperlink xmlns:r="http://schemas.openxmlformats.org/officeDocument/2006/relationships" ref="J4172" r:id="rId12150"/>
    <hyperlink xmlns:r="http://schemas.openxmlformats.org/officeDocument/2006/relationships" ref="K4172" r:id="rId12151"/>
    <hyperlink xmlns:r="http://schemas.openxmlformats.org/officeDocument/2006/relationships" ref="I4173" r:id="rId12152"/>
    <hyperlink xmlns:r="http://schemas.openxmlformats.org/officeDocument/2006/relationships" ref="J4173" r:id="rId12153"/>
    <hyperlink xmlns:r="http://schemas.openxmlformats.org/officeDocument/2006/relationships" ref="K4173" r:id="rId12154"/>
    <hyperlink xmlns:r="http://schemas.openxmlformats.org/officeDocument/2006/relationships" ref="I4174" r:id="rId12155"/>
    <hyperlink xmlns:r="http://schemas.openxmlformats.org/officeDocument/2006/relationships" ref="J4174" r:id="rId12156"/>
    <hyperlink xmlns:r="http://schemas.openxmlformats.org/officeDocument/2006/relationships" ref="K4174" r:id="rId12157"/>
    <hyperlink xmlns:r="http://schemas.openxmlformats.org/officeDocument/2006/relationships" ref="I4175" r:id="rId12158"/>
    <hyperlink xmlns:r="http://schemas.openxmlformats.org/officeDocument/2006/relationships" ref="J4175" r:id="rId12159"/>
    <hyperlink xmlns:r="http://schemas.openxmlformats.org/officeDocument/2006/relationships" ref="K4175" r:id="rId12160"/>
    <hyperlink xmlns:r="http://schemas.openxmlformats.org/officeDocument/2006/relationships" ref="I4176" r:id="rId12161"/>
    <hyperlink xmlns:r="http://schemas.openxmlformats.org/officeDocument/2006/relationships" ref="J4176" r:id="rId12162"/>
    <hyperlink xmlns:r="http://schemas.openxmlformats.org/officeDocument/2006/relationships" ref="K4176" r:id="rId12163"/>
    <hyperlink xmlns:r="http://schemas.openxmlformats.org/officeDocument/2006/relationships" ref="I4177" r:id="rId12164"/>
    <hyperlink xmlns:r="http://schemas.openxmlformats.org/officeDocument/2006/relationships" ref="J4177" r:id="rId12165"/>
    <hyperlink xmlns:r="http://schemas.openxmlformats.org/officeDocument/2006/relationships" ref="K4177" r:id="rId12166"/>
    <hyperlink xmlns:r="http://schemas.openxmlformats.org/officeDocument/2006/relationships" ref="I4178" r:id="rId12167"/>
    <hyperlink xmlns:r="http://schemas.openxmlformats.org/officeDocument/2006/relationships" ref="J4178" r:id="rId12168"/>
    <hyperlink xmlns:r="http://schemas.openxmlformats.org/officeDocument/2006/relationships" ref="K4178" r:id="rId12169"/>
    <hyperlink xmlns:r="http://schemas.openxmlformats.org/officeDocument/2006/relationships" ref="I4179" r:id="rId12170"/>
    <hyperlink xmlns:r="http://schemas.openxmlformats.org/officeDocument/2006/relationships" ref="J4179" r:id="rId12171"/>
    <hyperlink xmlns:r="http://schemas.openxmlformats.org/officeDocument/2006/relationships" ref="K4179" r:id="rId12172"/>
    <hyperlink xmlns:r="http://schemas.openxmlformats.org/officeDocument/2006/relationships" ref="I4180" r:id="rId12173"/>
    <hyperlink xmlns:r="http://schemas.openxmlformats.org/officeDocument/2006/relationships" ref="J4180" r:id="rId12174"/>
    <hyperlink xmlns:r="http://schemas.openxmlformats.org/officeDocument/2006/relationships" ref="K4180" r:id="rId12175"/>
    <hyperlink xmlns:r="http://schemas.openxmlformats.org/officeDocument/2006/relationships" ref="I4181" r:id="rId12176"/>
    <hyperlink xmlns:r="http://schemas.openxmlformats.org/officeDocument/2006/relationships" ref="J4181" r:id="rId12177"/>
    <hyperlink xmlns:r="http://schemas.openxmlformats.org/officeDocument/2006/relationships" ref="K4181" r:id="rId12178"/>
    <hyperlink xmlns:r="http://schemas.openxmlformats.org/officeDocument/2006/relationships" ref="I4182" r:id="rId12179"/>
    <hyperlink xmlns:r="http://schemas.openxmlformats.org/officeDocument/2006/relationships" ref="J4182" r:id="rId12180"/>
    <hyperlink xmlns:r="http://schemas.openxmlformats.org/officeDocument/2006/relationships" ref="K4182" r:id="rId12181"/>
    <hyperlink xmlns:r="http://schemas.openxmlformats.org/officeDocument/2006/relationships" ref="I4183" r:id="rId12182"/>
    <hyperlink xmlns:r="http://schemas.openxmlformats.org/officeDocument/2006/relationships" ref="J4183" r:id="rId12183"/>
    <hyperlink xmlns:r="http://schemas.openxmlformats.org/officeDocument/2006/relationships" ref="K4183" r:id="rId12184"/>
    <hyperlink xmlns:r="http://schemas.openxmlformats.org/officeDocument/2006/relationships" ref="I4184" r:id="rId12185"/>
    <hyperlink xmlns:r="http://schemas.openxmlformats.org/officeDocument/2006/relationships" ref="J4184" r:id="rId12186"/>
    <hyperlink xmlns:r="http://schemas.openxmlformats.org/officeDocument/2006/relationships" ref="K4184" r:id="rId12187"/>
    <hyperlink xmlns:r="http://schemas.openxmlformats.org/officeDocument/2006/relationships" ref="I4185" r:id="rId12188"/>
    <hyperlink xmlns:r="http://schemas.openxmlformats.org/officeDocument/2006/relationships" ref="J4185" r:id="rId12189"/>
    <hyperlink xmlns:r="http://schemas.openxmlformats.org/officeDocument/2006/relationships" ref="K4185" r:id="rId12190"/>
    <hyperlink xmlns:r="http://schemas.openxmlformats.org/officeDocument/2006/relationships" ref="I4186" r:id="rId12191"/>
    <hyperlink xmlns:r="http://schemas.openxmlformats.org/officeDocument/2006/relationships" ref="J4186" r:id="rId12192"/>
    <hyperlink xmlns:r="http://schemas.openxmlformats.org/officeDocument/2006/relationships" ref="K4186" r:id="rId12193"/>
    <hyperlink xmlns:r="http://schemas.openxmlformats.org/officeDocument/2006/relationships" ref="I4187" r:id="rId12194"/>
    <hyperlink xmlns:r="http://schemas.openxmlformats.org/officeDocument/2006/relationships" ref="J4187" r:id="rId12195"/>
    <hyperlink xmlns:r="http://schemas.openxmlformats.org/officeDocument/2006/relationships" ref="K4187" r:id="rId12196"/>
    <hyperlink xmlns:r="http://schemas.openxmlformats.org/officeDocument/2006/relationships" ref="I4188" r:id="rId12197"/>
    <hyperlink xmlns:r="http://schemas.openxmlformats.org/officeDocument/2006/relationships" ref="J4188" r:id="rId12198"/>
    <hyperlink xmlns:r="http://schemas.openxmlformats.org/officeDocument/2006/relationships" ref="K4188" r:id="rId12199"/>
    <hyperlink xmlns:r="http://schemas.openxmlformats.org/officeDocument/2006/relationships" ref="I4189" r:id="rId12200"/>
    <hyperlink xmlns:r="http://schemas.openxmlformats.org/officeDocument/2006/relationships" ref="J4189" r:id="rId12201"/>
    <hyperlink xmlns:r="http://schemas.openxmlformats.org/officeDocument/2006/relationships" ref="K4189" r:id="rId12202"/>
    <hyperlink xmlns:r="http://schemas.openxmlformats.org/officeDocument/2006/relationships" ref="I4190" r:id="rId12203"/>
    <hyperlink xmlns:r="http://schemas.openxmlformats.org/officeDocument/2006/relationships" ref="J4190" r:id="rId12204"/>
    <hyperlink xmlns:r="http://schemas.openxmlformats.org/officeDocument/2006/relationships" ref="K4190" r:id="rId12205"/>
    <hyperlink xmlns:r="http://schemas.openxmlformats.org/officeDocument/2006/relationships" ref="I4191" r:id="rId12206"/>
    <hyperlink xmlns:r="http://schemas.openxmlformats.org/officeDocument/2006/relationships" ref="J4191" r:id="rId12207"/>
    <hyperlink xmlns:r="http://schemas.openxmlformats.org/officeDocument/2006/relationships" ref="K4191" r:id="rId12208"/>
    <hyperlink xmlns:r="http://schemas.openxmlformats.org/officeDocument/2006/relationships" ref="I4192" r:id="rId12209"/>
    <hyperlink xmlns:r="http://schemas.openxmlformats.org/officeDocument/2006/relationships" ref="J4192" r:id="rId12210"/>
    <hyperlink xmlns:r="http://schemas.openxmlformats.org/officeDocument/2006/relationships" ref="K4192" r:id="rId12211"/>
    <hyperlink xmlns:r="http://schemas.openxmlformats.org/officeDocument/2006/relationships" ref="I4193" r:id="rId12212"/>
    <hyperlink xmlns:r="http://schemas.openxmlformats.org/officeDocument/2006/relationships" ref="J4193" r:id="rId12213"/>
    <hyperlink xmlns:r="http://schemas.openxmlformats.org/officeDocument/2006/relationships" ref="K4193" r:id="rId12214"/>
    <hyperlink xmlns:r="http://schemas.openxmlformats.org/officeDocument/2006/relationships" ref="I4194" r:id="rId12215"/>
    <hyperlink xmlns:r="http://schemas.openxmlformats.org/officeDocument/2006/relationships" ref="J4194" r:id="rId12216"/>
    <hyperlink xmlns:r="http://schemas.openxmlformats.org/officeDocument/2006/relationships" ref="K4194" r:id="rId12217"/>
    <hyperlink xmlns:r="http://schemas.openxmlformats.org/officeDocument/2006/relationships" ref="I4195" r:id="rId12218"/>
    <hyperlink xmlns:r="http://schemas.openxmlformats.org/officeDocument/2006/relationships" ref="J4195" r:id="rId12219"/>
    <hyperlink xmlns:r="http://schemas.openxmlformats.org/officeDocument/2006/relationships" ref="K4195" r:id="rId12220"/>
    <hyperlink xmlns:r="http://schemas.openxmlformats.org/officeDocument/2006/relationships" ref="I4196" r:id="rId12221"/>
    <hyperlink xmlns:r="http://schemas.openxmlformats.org/officeDocument/2006/relationships" ref="J4196" r:id="rId12222"/>
    <hyperlink xmlns:r="http://schemas.openxmlformats.org/officeDocument/2006/relationships" ref="K4196" r:id="rId12223"/>
    <hyperlink xmlns:r="http://schemas.openxmlformats.org/officeDocument/2006/relationships" ref="I4197" r:id="rId12224"/>
    <hyperlink xmlns:r="http://schemas.openxmlformats.org/officeDocument/2006/relationships" ref="J4197" r:id="rId12225"/>
    <hyperlink xmlns:r="http://schemas.openxmlformats.org/officeDocument/2006/relationships" ref="K4197" r:id="rId12226"/>
    <hyperlink xmlns:r="http://schemas.openxmlformats.org/officeDocument/2006/relationships" ref="I4198" r:id="rId12227"/>
    <hyperlink xmlns:r="http://schemas.openxmlformats.org/officeDocument/2006/relationships" ref="J4198" r:id="rId12228"/>
    <hyperlink xmlns:r="http://schemas.openxmlformats.org/officeDocument/2006/relationships" ref="K4198" r:id="rId12229"/>
    <hyperlink xmlns:r="http://schemas.openxmlformats.org/officeDocument/2006/relationships" ref="I4199" r:id="rId12230"/>
    <hyperlink xmlns:r="http://schemas.openxmlformats.org/officeDocument/2006/relationships" ref="J4199" r:id="rId12231"/>
    <hyperlink xmlns:r="http://schemas.openxmlformats.org/officeDocument/2006/relationships" ref="K4199" r:id="rId12232"/>
    <hyperlink xmlns:r="http://schemas.openxmlformats.org/officeDocument/2006/relationships" ref="I4200" r:id="rId12233"/>
    <hyperlink xmlns:r="http://schemas.openxmlformats.org/officeDocument/2006/relationships" ref="J4200" r:id="rId12234"/>
    <hyperlink xmlns:r="http://schemas.openxmlformats.org/officeDocument/2006/relationships" ref="K4200" r:id="rId12235"/>
    <hyperlink xmlns:r="http://schemas.openxmlformats.org/officeDocument/2006/relationships" ref="I4201" r:id="rId12236"/>
    <hyperlink xmlns:r="http://schemas.openxmlformats.org/officeDocument/2006/relationships" ref="J4201" r:id="rId12237"/>
    <hyperlink xmlns:r="http://schemas.openxmlformats.org/officeDocument/2006/relationships" ref="K4201" r:id="rId12238"/>
    <hyperlink xmlns:r="http://schemas.openxmlformats.org/officeDocument/2006/relationships" ref="I4202" r:id="rId12239"/>
    <hyperlink xmlns:r="http://schemas.openxmlformats.org/officeDocument/2006/relationships" ref="J4202" r:id="rId12240"/>
    <hyperlink xmlns:r="http://schemas.openxmlformats.org/officeDocument/2006/relationships" ref="K4202" r:id="rId12241"/>
    <hyperlink xmlns:r="http://schemas.openxmlformats.org/officeDocument/2006/relationships" ref="I4203" r:id="rId12242"/>
    <hyperlink xmlns:r="http://schemas.openxmlformats.org/officeDocument/2006/relationships" ref="J4203" r:id="rId12243"/>
    <hyperlink xmlns:r="http://schemas.openxmlformats.org/officeDocument/2006/relationships" ref="K4203" r:id="rId12244"/>
    <hyperlink xmlns:r="http://schemas.openxmlformats.org/officeDocument/2006/relationships" ref="I4204" r:id="rId12245"/>
    <hyperlink xmlns:r="http://schemas.openxmlformats.org/officeDocument/2006/relationships" ref="J4204" r:id="rId12246"/>
    <hyperlink xmlns:r="http://schemas.openxmlformats.org/officeDocument/2006/relationships" ref="K4204" r:id="rId12247"/>
    <hyperlink xmlns:r="http://schemas.openxmlformats.org/officeDocument/2006/relationships" ref="I4205" r:id="rId12248"/>
    <hyperlink xmlns:r="http://schemas.openxmlformats.org/officeDocument/2006/relationships" ref="J4205" r:id="rId12249"/>
    <hyperlink xmlns:r="http://schemas.openxmlformats.org/officeDocument/2006/relationships" ref="K4205" r:id="rId12250"/>
    <hyperlink xmlns:r="http://schemas.openxmlformats.org/officeDocument/2006/relationships" ref="I4206" r:id="rId12251"/>
    <hyperlink xmlns:r="http://schemas.openxmlformats.org/officeDocument/2006/relationships" ref="J4206" r:id="rId12252"/>
    <hyperlink xmlns:r="http://schemas.openxmlformats.org/officeDocument/2006/relationships" ref="K4206" r:id="rId12253"/>
    <hyperlink xmlns:r="http://schemas.openxmlformats.org/officeDocument/2006/relationships" ref="I4207" r:id="rId12254"/>
    <hyperlink xmlns:r="http://schemas.openxmlformats.org/officeDocument/2006/relationships" ref="J4207" r:id="rId12255"/>
    <hyperlink xmlns:r="http://schemas.openxmlformats.org/officeDocument/2006/relationships" ref="K4207" r:id="rId12256"/>
    <hyperlink xmlns:r="http://schemas.openxmlformats.org/officeDocument/2006/relationships" ref="I4208" r:id="rId12257"/>
    <hyperlink xmlns:r="http://schemas.openxmlformats.org/officeDocument/2006/relationships" ref="J4208" r:id="rId12258"/>
    <hyperlink xmlns:r="http://schemas.openxmlformats.org/officeDocument/2006/relationships" ref="K4208" r:id="rId12259"/>
    <hyperlink xmlns:r="http://schemas.openxmlformats.org/officeDocument/2006/relationships" ref="I4209" r:id="rId12260"/>
    <hyperlink xmlns:r="http://schemas.openxmlformats.org/officeDocument/2006/relationships" ref="J4209" r:id="rId12261"/>
    <hyperlink xmlns:r="http://schemas.openxmlformats.org/officeDocument/2006/relationships" ref="K4209" r:id="rId12262"/>
    <hyperlink xmlns:r="http://schemas.openxmlformats.org/officeDocument/2006/relationships" ref="I4210" r:id="rId12263"/>
    <hyperlink xmlns:r="http://schemas.openxmlformats.org/officeDocument/2006/relationships" ref="J4210" r:id="rId12264"/>
    <hyperlink xmlns:r="http://schemas.openxmlformats.org/officeDocument/2006/relationships" ref="K4210" r:id="rId12265"/>
    <hyperlink xmlns:r="http://schemas.openxmlformats.org/officeDocument/2006/relationships" ref="I4211" r:id="rId12266"/>
    <hyperlink xmlns:r="http://schemas.openxmlformats.org/officeDocument/2006/relationships" ref="J4211" r:id="rId12267"/>
    <hyperlink xmlns:r="http://schemas.openxmlformats.org/officeDocument/2006/relationships" ref="K4211" r:id="rId12268"/>
    <hyperlink xmlns:r="http://schemas.openxmlformats.org/officeDocument/2006/relationships" ref="I4212" r:id="rId12269"/>
    <hyperlink xmlns:r="http://schemas.openxmlformats.org/officeDocument/2006/relationships" ref="J4212" r:id="rId12270"/>
    <hyperlink xmlns:r="http://schemas.openxmlformats.org/officeDocument/2006/relationships" ref="K4212" r:id="rId12271"/>
    <hyperlink xmlns:r="http://schemas.openxmlformats.org/officeDocument/2006/relationships" ref="I4213" r:id="rId12272"/>
    <hyperlink xmlns:r="http://schemas.openxmlformats.org/officeDocument/2006/relationships" ref="J4213" r:id="rId12273"/>
    <hyperlink xmlns:r="http://schemas.openxmlformats.org/officeDocument/2006/relationships" ref="K4213" r:id="rId12274"/>
    <hyperlink xmlns:r="http://schemas.openxmlformats.org/officeDocument/2006/relationships" ref="I4214" r:id="rId12275"/>
    <hyperlink xmlns:r="http://schemas.openxmlformats.org/officeDocument/2006/relationships" ref="J4214" r:id="rId12276"/>
    <hyperlink xmlns:r="http://schemas.openxmlformats.org/officeDocument/2006/relationships" ref="K4214" r:id="rId12277"/>
    <hyperlink xmlns:r="http://schemas.openxmlformats.org/officeDocument/2006/relationships" ref="I4215" r:id="rId12278"/>
    <hyperlink xmlns:r="http://schemas.openxmlformats.org/officeDocument/2006/relationships" ref="J4215" r:id="rId12279"/>
    <hyperlink xmlns:r="http://schemas.openxmlformats.org/officeDocument/2006/relationships" ref="K4215" r:id="rId12280"/>
    <hyperlink xmlns:r="http://schemas.openxmlformats.org/officeDocument/2006/relationships" ref="I4216" r:id="rId12281"/>
    <hyperlink xmlns:r="http://schemas.openxmlformats.org/officeDocument/2006/relationships" ref="J4216" r:id="rId12282"/>
    <hyperlink xmlns:r="http://schemas.openxmlformats.org/officeDocument/2006/relationships" ref="K4216" r:id="rId12283"/>
    <hyperlink xmlns:r="http://schemas.openxmlformats.org/officeDocument/2006/relationships" ref="I4217" r:id="rId12284"/>
    <hyperlink xmlns:r="http://schemas.openxmlformats.org/officeDocument/2006/relationships" ref="J4217" r:id="rId12285"/>
    <hyperlink xmlns:r="http://schemas.openxmlformats.org/officeDocument/2006/relationships" ref="K4217" r:id="rId12286"/>
    <hyperlink xmlns:r="http://schemas.openxmlformats.org/officeDocument/2006/relationships" ref="I4218" r:id="rId12287"/>
    <hyperlink xmlns:r="http://schemas.openxmlformats.org/officeDocument/2006/relationships" ref="J4218" r:id="rId12288"/>
    <hyperlink xmlns:r="http://schemas.openxmlformats.org/officeDocument/2006/relationships" ref="K4218" r:id="rId12289"/>
    <hyperlink xmlns:r="http://schemas.openxmlformats.org/officeDocument/2006/relationships" ref="I4219" r:id="rId12290"/>
    <hyperlink xmlns:r="http://schemas.openxmlformats.org/officeDocument/2006/relationships" ref="J4219" r:id="rId12291"/>
    <hyperlink xmlns:r="http://schemas.openxmlformats.org/officeDocument/2006/relationships" ref="K4219" r:id="rId12292"/>
    <hyperlink xmlns:r="http://schemas.openxmlformats.org/officeDocument/2006/relationships" ref="I4220" r:id="rId12293"/>
    <hyperlink xmlns:r="http://schemas.openxmlformats.org/officeDocument/2006/relationships" ref="J4220" r:id="rId12294"/>
    <hyperlink xmlns:r="http://schemas.openxmlformats.org/officeDocument/2006/relationships" ref="K4220" r:id="rId12295"/>
    <hyperlink xmlns:r="http://schemas.openxmlformats.org/officeDocument/2006/relationships" ref="I4221" r:id="rId12296"/>
    <hyperlink xmlns:r="http://schemas.openxmlformats.org/officeDocument/2006/relationships" ref="J4221" r:id="rId12297"/>
    <hyperlink xmlns:r="http://schemas.openxmlformats.org/officeDocument/2006/relationships" ref="K4221" r:id="rId12298"/>
    <hyperlink xmlns:r="http://schemas.openxmlformats.org/officeDocument/2006/relationships" ref="I4222" r:id="rId12299"/>
    <hyperlink xmlns:r="http://schemas.openxmlformats.org/officeDocument/2006/relationships" ref="J4222" r:id="rId12300"/>
    <hyperlink xmlns:r="http://schemas.openxmlformats.org/officeDocument/2006/relationships" ref="K4222" r:id="rId12301"/>
    <hyperlink xmlns:r="http://schemas.openxmlformats.org/officeDocument/2006/relationships" ref="I4223" r:id="rId12302"/>
    <hyperlink xmlns:r="http://schemas.openxmlformats.org/officeDocument/2006/relationships" ref="J4223" r:id="rId12303"/>
    <hyperlink xmlns:r="http://schemas.openxmlformats.org/officeDocument/2006/relationships" ref="K4223" r:id="rId12304"/>
    <hyperlink xmlns:r="http://schemas.openxmlformats.org/officeDocument/2006/relationships" ref="I4224" r:id="rId12305"/>
    <hyperlink xmlns:r="http://schemas.openxmlformats.org/officeDocument/2006/relationships" ref="J4224" r:id="rId12306"/>
    <hyperlink xmlns:r="http://schemas.openxmlformats.org/officeDocument/2006/relationships" ref="K4224" r:id="rId12307"/>
    <hyperlink xmlns:r="http://schemas.openxmlformats.org/officeDocument/2006/relationships" ref="I4225" r:id="rId12308"/>
    <hyperlink xmlns:r="http://schemas.openxmlformats.org/officeDocument/2006/relationships" ref="J4225" r:id="rId12309"/>
    <hyperlink xmlns:r="http://schemas.openxmlformats.org/officeDocument/2006/relationships" ref="K4225" r:id="rId12310"/>
    <hyperlink xmlns:r="http://schemas.openxmlformats.org/officeDocument/2006/relationships" ref="I4226" r:id="rId12311"/>
    <hyperlink xmlns:r="http://schemas.openxmlformats.org/officeDocument/2006/relationships" ref="J4226" r:id="rId12312"/>
    <hyperlink xmlns:r="http://schemas.openxmlformats.org/officeDocument/2006/relationships" ref="K4226" r:id="rId12313"/>
    <hyperlink xmlns:r="http://schemas.openxmlformats.org/officeDocument/2006/relationships" ref="I4227" r:id="rId12314"/>
    <hyperlink xmlns:r="http://schemas.openxmlformats.org/officeDocument/2006/relationships" ref="J4227" r:id="rId12315"/>
    <hyperlink xmlns:r="http://schemas.openxmlformats.org/officeDocument/2006/relationships" ref="K4227" r:id="rId12316"/>
    <hyperlink xmlns:r="http://schemas.openxmlformats.org/officeDocument/2006/relationships" ref="I4228" r:id="rId12317"/>
    <hyperlink xmlns:r="http://schemas.openxmlformats.org/officeDocument/2006/relationships" ref="J4228" r:id="rId12318"/>
    <hyperlink xmlns:r="http://schemas.openxmlformats.org/officeDocument/2006/relationships" ref="K4228" r:id="rId12319"/>
    <hyperlink xmlns:r="http://schemas.openxmlformats.org/officeDocument/2006/relationships" ref="I4229" r:id="rId12320"/>
    <hyperlink xmlns:r="http://schemas.openxmlformats.org/officeDocument/2006/relationships" ref="J4229" r:id="rId12321"/>
    <hyperlink xmlns:r="http://schemas.openxmlformats.org/officeDocument/2006/relationships" ref="K4229" r:id="rId12322"/>
    <hyperlink xmlns:r="http://schemas.openxmlformats.org/officeDocument/2006/relationships" ref="I4230" r:id="rId12323"/>
    <hyperlink xmlns:r="http://schemas.openxmlformats.org/officeDocument/2006/relationships" ref="J4230" r:id="rId12324"/>
    <hyperlink xmlns:r="http://schemas.openxmlformats.org/officeDocument/2006/relationships" ref="K4230" r:id="rId12325"/>
    <hyperlink xmlns:r="http://schemas.openxmlformats.org/officeDocument/2006/relationships" ref="I4231" r:id="rId12326"/>
    <hyperlink xmlns:r="http://schemas.openxmlformats.org/officeDocument/2006/relationships" ref="J4231" r:id="rId12327"/>
    <hyperlink xmlns:r="http://schemas.openxmlformats.org/officeDocument/2006/relationships" ref="K4231" r:id="rId12328"/>
    <hyperlink xmlns:r="http://schemas.openxmlformats.org/officeDocument/2006/relationships" ref="I4232" r:id="rId12329"/>
    <hyperlink xmlns:r="http://schemas.openxmlformats.org/officeDocument/2006/relationships" ref="J4232" r:id="rId12330"/>
    <hyperlink xmlns:r="http://schemas.openxmlformats.org/officeDocument/2006/relationships" ref="K4232" r:id="rId12331"/>
    <hyperlink xmlns:r="http://schemas.openxmlformats.org/officeDocument/2006/relationships" ref="I4233" r:id="rId12332"/>
    <hyperlink xmlns:r="http://schemas.openxmlformats.org/officeDocument/2006/relationships" ref="J4233" r:id="rId12333"/>
    <hyperlink xmlns:r="http://schemas.openxmlformats.org/officeDocument/2006/relationships" ref="K4233" r:id="rId12334"/>
    <hyperlink xmlns:r="http://schemas.openxmlformats.org/officeDocument/2006/relationships" ref="I4234" r:id="rId12335"/>
    <hyperlink xmlns:r="http://schemas.openxmlformats.org/officeDocument/2006/relationships" ref="J4234" r:id="rId12336"/>
    <hyperlink xmlns:r="http://schemas.openxmlformats.org/officeDocument/2006/relationships" ref="K4234" r:id="rId12337"/>
    <hyperlink xmlns:r="http://schemas.openxmlformats.org/officeDocument/2006/relationships" ref="I4235" r:id="rId12338"/>
    <hyperlink xmlns:r="http://schemas.openxmlformats.org/officeDocument/2006/relationships" ref="J4235" r:id="rId12339"/>
    <hyperlink xmlns:r="http://schemas.openxmlformats.org/officeDocument/2006/relationships" ref="K4235" r:id="rId12340"/>
    <hyperlink xmlns:r="http://schemas.openxmlformats.org/officeDocument/2006/relationships" ref="I4236" r:id="rId12341"/>
    <hyperlink xmlns:r="http://schemas.openxmlformats.org/officeDocument/2006/relationships" ref="J4236" r:id="rId12342"/>
    <hyperlink xmlns:r="http://schemas.openxmlformats.org/officeDocument/2006/relationships" ref="K4236" r:id="rId12343"/>
    <hyperlink xmlns:r="http://schemas.openxmlformats.org/officeDocument/2006/relationships" ref="I4237" r:id="rId12344"/>
    <hyperlink xmlns:r="http://schemas.openxmlformats.org/officeDocument/2006/relationships" ref="J4237" r:id="rId12345"/>
    <hyperlink xmlns:r="http://schemas.openxmlformats.org/officeDocument/2006/relationships" ref="K4237" r:id="rId12346"/>
    <hyperlink xmlns:r="http://schemas.openxmlformats.org/officeDocument/2006/relationships" ref="I4238" r:id="rId12347"/>
    <hyperlink xmlns:r="http://schemas.openxmlformats.org/officeDocument/2006/relationships" ref="J4238" r:id="rId12348"/>
    <hyperlink xmlns:r="http://schemas.openxmlformats.org/officeDocument/2006/relationships" ref="K4238" r:id="rId12349"/>
    <hyperlink xmlns:r="http://schemas.openxmlformats.org/officeDocument/2006/relationships" ref="I4239" r:id="rId12350"/>
    <hyperlink xmlns:r="http://schemas.openxmlformats.org/officeDocument/2006/relationships" ref="J4239" r:id="rId12351"/>
    <hyperlink xmlns:r="http://schemas.openxmlformats.org/officeDocument/2006/relationships" ref="K4239" r:id="rId12352"/>
    <hyperlink xmlns:r="http://schemas.openxmlformats.org/officeDocument/2006/relationships" ref="I4240" r:id="rId12353"/>
    <hyperlink xmlns:r="http://schemas.openxmlformats.org/officeDocument/2006/relationships" ref="J4240" r:id="rId12354"/>
    <hyperlink xmlns:r="http://schemas.openxmlformats.org/officeDocument/2006/relationships" ref="K4240" r:id="rId12355"/>
    <hyperlink xmlns:r="http://schemas.openxmlformats.org/officeDocument/2006/relationships" ref="I4241" r:id="rId12356"/>
    <hyperlink xmlns:r="http://schemas.openxmlformats.org/officeDocument/2006/relationships" ref="J4241" r:id="rId12357"/>
    <hyperlink xmlns:r="http://schemas.openxmlformats.org/officeDocument/2006/relationships" ref="K4241" r:id="rId12358"/>
    <hyperlink xmlns:r="http://schemas.openxmlformats.org/officeDocument/2006/relationships" ref="I4242" r:id="rId12359"/>
    <hyperlink xmlns:r="http://schemas.openxmlformats.org/officeDocument/2006/relationships" ref="J4242" r:id="rId12360"/>
    <hyperlink xmlns:r="http://schemas.openxmlformats.org/officeDocument/2006/relationships" ref="K4242" r:id="rId12361"/>
    <hyperlink xmlns:r="http://schemas.openxmlformats.org/officeDocument/2006/relationships" ref="I4243" r:id="rId12362"/>
    <hyperlink xmlns:r="http://schemas.openxmlformats.org/officeDocument/2006/relationships" ref="J4243" r:id="rId12363"/>
    <hyperlink xmlns:r="http://schemas.openxmlformats.org/officeDocument/2006/relationships" ref="K4243" r:id="rId12364"/>
    <hyperlink xmlns:r="http://schemas.openxmlformats.org/officeDocument/2006/relationships" ref="I4244" r:id="rId12365"/>
    <hyperlink xmlns:r="http://schemas.openxmlformats.org/officeDocument/2006/relationships" ref="J4244" r:id="rId12366"/>
    <hyperlink xmlns:r="http://schemas.openxmlformats.org/officeDocument/2006/relationships" ref="K4244" r:id="rId12367"/>
    <hyperlink xmlns:r="http://schemas.openxmlformats.org/officeDocument/2006/relationships" ref="I4245" r:id="rId12368"/>
    <hyperlink xmlns:r="http://schemas.openxmlformats.org/officeDocument/2006/relationships" ref="J4245" r:id="rId12369"/>
    <hyperlink xmlns:r="http://schemas.openxmlformats.org/officeDocument/2006/relationships" ref="K4245" r:id="rId12370"/>
    <hyperlink xmlns:r="http://schemas.openxmlformats.org/officeDocument/2006/relationships" ref="I4246" r:id="rId12371"/>
    <hyperlink xmlns:r="http://schemas.openxmlformats.org/officeDocument/2006/relationships" ref="J4246" r:id="rId12372"/>
    <hyperlink xmlns:r="http://schemas.openxmlformats.org/officeDocument/2006/relationships" ref="K4246" r:id="rId12373"/>
    <hyperlink xmlns:r="http://schemas.openxmlformats.org/officeDocument/2006/relationships" ref="I4247" r:id="rId12374"/>
    <hyperlink xmlns:r="http://schemas.openxmlformats.org/officeDocument/2006/relationships" ref="J4247" r:id="rId12375"/>
    <hyperlink xmlns:r="http://schemas.openxmlformats.org/officeDocument/2006/relationships" ref="K4247" r:id="rId12376"/>
    <hyperlink xmlns:r="http://schemas.openxmlformats.org/officeDocument/2006/relationships" ref="I4248" r:id="rId12377"/>
    <hyperlink xmlns:r="http://schemas.openxmlformats.org/officeDocument/2006/relationships" ref="J4248" r:id="rId12378"/>
    <hyperlink xmlns:r="http://schemas.openxmlformats.org/officeDocument/2006/relationships" ref="K4248" r:id="rId12379"/>
    <hyperlink xmlns:r="http://schemas.openxmlformats.org/officeDocument/2006/relationships" ref="I4249" r:id="rId12380"/>
    <hyperlink xmlns:r="http://schemas.openxmlformats.org/officeDocument/2006/relationships" ref="J4249" r:id="rId12381"/>
    <hyperlink xmlns:r="http://schemas.openxmlformats.org/officeDocument/2006/relationships" ref="K4249" r:id="rId12382"/>
    <hyperlink xmlns:r="http://schemas.openxmlformats.org/officeDocument/2006/relationships" ref="I4250" r:id="rId12383"/>
    <hyperlink xmlns:r="http://schemas.openxmlformats.org/officeDocument/2006/relationships" ref="J4250" r:id="rId12384"/>
    <hyperlink xmlns:r="http://schemas.openxmlformats.org/officeDocument/2006/relationships" ref="K4250" r:id="rId12385"/>
    <hyperlink xmlns:r="http://schemas.openxmlformats.org/officeDocument/2006/relationships" ref="I4251" r:id="rId12386"/>
    <hyperlink xmlns:r="http://schemas.openxmlformats.org/officeDocument/2006/relationships" ref="J4251" r:id="rId12387"/>
    <hyperlink xmlns:r="http://schemas.openxmlformats.org/officeDocument/2006/relationships" ref="K4251" r:id="rId12388"/>
    <hyperlink xmlns:r="http://schemas.openxmlformats.org/officeDocument/2006/relationships" ref="I4252" r:id="rId12389"/>
    <hyperlink xmlns:r="http://schemas.openxmlformats.org/officeDocument/2006/relationships" ref="J4252" r:id="rId12390"/>
    <hyperlink xmlns:r="http://schemas.openxmlformats.org/officeDocument/2006/relationships" ref="K4252" r:id="rId12391"/>
    <hyperlink xmlns:r="http://schemas.openxmlformats.org/officeDocument/2006/relationships" ref="I4253" r:id="rId12392"/>
    <hyperlink xmlns:r="http://schemas.openxmlformats.org/officeDocument/2006/relationships" ref="J4253" r:id="rId12393"/>
    <hyperlink xmlns:r="http://schemas.openxmlformats.org/officeDocument/2006/relationships" ref="K4253" r:id="rId12394"/>
    <hyperlink xmlns:r="http://schemas.openxmlformats.org/officeDocument/2006/relationships" ref="I4254" r:id="rId12395"/>
    <hyperlink xmlns:r="http://schemas.openxmlformats.org/officeDocument/2006/relationships" ref="J4254" r:id="rId12396"/>
    <hyperlink xmlns:r="http://schemas.openxmlformats.org/officeDocument/2006/relationships" ref="K4254" r:id="rId12397"/>
    <hyperlink xmlns:r="http://schemas.openxmlformats.org/officeDocument/2006/relationships" ref="I4255" r:id="rId12398"/>
    <hyperlink xmlns:r="http://schemas.openxmlformats.org/officeDocument/2006/relationships" ref="J4255" r:id="rId12399"/>
    <hyperlink xmlns:r="http://schemas.openxmlformats.org/officeDocument/2006/relationships" ref="K4255" r:id="rId12400"/>
    <hyperlink xmlns:r="http://schemas.openxmlformats.org/officeDocument/2006/relationships" ref="I4256" r:id="rId12401"/>
    <hyperlink xmlns:r="http://schemas.openxmlformats.org/officeDocument/2006/relationships" ref="J4256" r:id="rId12402"/>
    <hyperlink xmlns:r="http://schemas.openxmlformats.org/officeDocument/2006/relationships" ref="K4256" r:id="rId12403"/>
    <hyperlink xmlns:r="http://schemas.openxmlformats.org/officeDocument/2006/relationships" ref="I4257" r:id="rId12404"/>
    <hyperlink xmlns:r="http://schemas.openxmlformats.org/officeDocument/2006/relationships" ref="J4257" r:id="rId12405"/>
    <hyperlink xmlns:r="http://schemas.openxmlformats.org/officeDocument/2006/relationships" ref="K4257" r:id="rId12406"/>
    <hyperlink xmlns:r="http://schemas.openxmlformats.org/officeDocument/2006/relationships" ref="I4258" r:id="rId12407"/>
    <hyperlink xmlns:r="http://schemas.openxmlformats.org/officeDocument/2006/relationships" ref="J4258" r:id="rId12408"/>
    <hyperlink xmlns:r="http://schemas.openxmlformats.org/officeDocument/2006/relationships" ref="K4258" r:id="rId12409"/>
    <hyperlink xmlns:r="http://schemas.openxmlformats.org/officeDocument/2006/relationships" ref="I4259" r:id="rId12410"/>
    <hyperlink xmlns:r="http://schemas.openxmlformats.org/officeDocument/2006/relationships" ref="J4259" r:id="rId12411"/>
    <hyperlink xmlns:r="http://schemas.openxmlformats.org/officeDocument/2006/relationships" ref="K4259" r:id="rId12412"/>
    <hyperlink xmlns:r="http://schemas.openxmlformats.org/officeDocument/2006/relationships" ref="I4260" r:id="rId12413"/>
    <hyperlink xmlns:r="http://schemas.openxmlformats.org/officeDocument/2006/relationships" ref="J4260" r:id="rId12414"/>
    <hyperlink xmlns:r="http://schemas.openxmlformats.org/officeDocument/2006/relationships" ref="K4260" r:id="rId12415"/>
    <hyperlink xmlns:r="http://schemas.openxmlformats.org/officeDocument/2006/relationships" ref="I4261" r:id="rId12416"/>
    <hyperlink xmlns:r="http://schemas.openxmlformats.org/officeDocument/2006/relationships" ref="J4261" r:id="rId12417"/>
    <hyperlink xmlns:r="http://schemas.openxmlformats.org/officeDocument/2006/relationships" ref="K4261" r:id="rId12418"/>
    <hyperlink xmlns:r="http://schemas.openxmlformats.org/officeDocument/2006/relationships" ref="I4262" r:id="rId12419"/>
    <hyperlink xmlns:r="http://schemas.openxmlformats.org/officeDocument/2006/relationships" ref="J4262" r:id="rId12420"/>
    <hyperlink xmlns:r="http://schemas.openxmlformats.org/officeDocument/2006/relationships" ref="K4262" r:id="rId12421"/>
    <hyperlink xmlns:r="http://schemas.openxmlformats.org/officeDocument/2006/relationships" ref="I4263" r:id="rId12422"/>
    <hyperlink xmlns:r="http://schemas.openxmlformats.org/officeDocument/2006/relationships" ref="J4263" r:id="rId12423"/>
    <hyperlink xmlns:r="http://schemas.openxmlformats.org/officeDocument/2006/relationships" ref="K4263" r:id="rId12424"/>
    <hyperlink xmlns:r="http://schemas.openxmlformats.org/officeDocument/2006/relationships" ref="I4264" r:id="rId12425"/>
    <hyperlink xmlns:r="http://schemas.openxmlformats.org/officeDocument/2006/relationships" ref="J4264" r:id="rId12426"/>
    <hyperlink xmlns:r="http://schemas.openxmlformats.org/officeDocument/2006/relationships" ref="K4264" r:id="rId12427"/>
    <hyperlink xmlns:r="http://schemas.openxmlformats.org/officeDocument/2006/relationships" ref="I4265" r:id="rId12428"/>
    <hyperlink xmlns:r="http://schemas.openxmlformats.org/officeDocument/2006/relationships" ref="J4265" r:id="rId12429"/>
    <hyperlink xmlns:r="http://schemas.openxmlformats.org/officeDocument/2006/relationships" ref="K4265" r:id="rId12430"/>
    <hyperlink xmlns:r="http://schemas.openxmlformats.org/officeDocument/2006/relationships" ref="I4266" r:id="rId12431"/>
    <hyperlink xmlns:r="http://schemas.openxmlformats.org/officeDocument/2006/relationships" ref="J4266" r:id="rId12432"/>
    <hyperlink xmlns:r="http://schemas.openxmlformats.org/officeDocument/2006/relationships" ref="K4266" r:id="rId12433"/>
    <hyperlink xmlns:r="http://schemas.openxmlformats.org/officeDocument/2006/relationships" ref="I4267" r:id="rId12434"/>
    <hyperlink xmlns:r="http://schemas.openxmlformats.org/officeDocument/2006/relationships" ref="J4267" r:id="rId12435"/>
    <hyperlink xmlns:r="http://schemas.openxmlformats.org/officeDocument/2006/relationships" ref="K4267" r:id="rId12436"/>
    <hyperlink xmlns:r="http://schemas.openxmlformats.org/officeDocument/2006/relationships" ref="I4268" r:id="rId12437"/>
    <hyperlink xmlns:r="http://schemas.openxmlformats.org/officeDocument/2006/relationships" ref="J4268" r:id="rId12438"/>
    <hyperlink xmlns:r="http://schemas.openxmlformats.org/officeDocument/2006/relationships" ref="K4268" r:id="rId12439"/>
    <hyperlink xmlns:r="http://schemas.openxmlformats.org/officeDocument/2006/relationships" ref="I4269" r:id="rId12440"/>
    <hyperlink xmlns:r="http://schemas.openxmlformats.org/officeDocument/2006/relationships" ref="J4269" r:id="rId12441"/>
    <hyperlink xmlns:r="http://schemas.openxmlformats.org/officeDocument/2006/relationships" ref="K4269" r:id="rId12442"/>
    <hyperlink xmlns:r="http://schemas.openxmlformats.org/officeDocument/2006/relationships" ref="I4270" r:id="rId12443"/>
    <hyperlink xmlns:r="http://schemas.openxmlformats.org/officeDocument/2006/relationships" ref="J4270" r:id="rId12444"/>
    <hyperlink xmlns:r="http://schemas.openxmlformats.org/officeDocument/2006/relationships" ref="K4270" r:id="rId12445"/>
    <hyperlink xmlns:r="http://schemas.openxmlformats.org/officeDocument/2006/relationships" ref="I4271" r:id="rId12446"/>
    <hyperlink xmlns:r="http://schemas.openxmlformats.org/officeDocument/2006/relationships" ref="J4271" r:id="rId12447"/>
    <hyperlink xmlns:r="http://schemas.openxmlformats.org/officeDocument/2006/relationships" ref="K4271" r:id="rId12448"/>
    <hyperlink xmlns:r="http://schemas.openxmlformats.org/officeDocument/2006/relationships" ref="I4272" r:id="rId12449"/>
    <hyperlink xmlns:r="http://schemas.openxmlformats.org/officeDocument/2006/relationships" ref="J4272" r:id="rId12450"/>
    <hyperlink xmlns:r="http://schemas.openxmlformats.org/officeDocument/2006/relationships" ref="K4272" r:id="rId12451"/>
    <hyperlink xmlns:r="http://schemas.openxmlformats.org/officeDocument/2006/relationships" ref="I4273" r:id="rId12452"/>
    <hyperlink xmlns:r="http://schemas.openxmlformats.org/officeDocument/2006/relationships" ref="J4273" r:id="rId12453"/>
    <hyperlink xmlns:r="http://schemas.openxmlformats.org/officeDocument/2006/relationships" ref="K4273" r:id="rId12454"/>
    <hyperlink xmlns:r="http://schemas.openxmlformats.org/officeDocument/2006/relationships" ref="I4274" r:id="rId12455"/>
    <hyperlink xmlns:r="http://schemas.openxmlformats.org/officeDocument/2006/relationships" ref="J4274" r:id="rId12456"/>
    <hyperlink xmlns:r="http://schemas.openxmlformats.org/officeDocument/2006/relationships" ref="K4274" r:id="rId12457"/>
    <hyperlink xmlns:r="http://schemas.openxmlformats.org/officeDocument/2006/relationships" ref="I4275" r:id="rId12458"/>
    <hyperlink xmlns:r="http://schemas.openxmlformats.org/officeDocument/2006/relationships" ref="J4275" r:id="rId12459"/>
    <hyperlink xmlns:r="http://schemas.openxmlformats.org/officeDocument/2006/relationships" ref="K4275" r:id="rId12460"/>
    <hyperlink xmlns:r="http://schemas.openxmlformats.org/officeDocument/2006/relationships" ref="I4276" r:id="rId12461"/>
    <hyperlink xmlns:r="http://schemas.openxmlformats.org/officeDocument/2006/relationships" ref="J4276" r:id="rId12462"/>
    <hyperlink xmlns:r="http://schemas.openxmlformats.org/officeDocument/2006/relationships" ref="K4276" r:id="rId12463"/>
    <hyperlink xmlns:r="http://schemas.openxmlformats.org/officeDocument/2006/relationships" ref="I4277" r:id="rId12464"/>
    <hyperlink xmlns:r="http://schemas.openxmlformats.org/officeDocument/2006/relationships" ref="J4277" r:id="rId12465"/>
    <hyperlink xmlns:r="http://schemas.openxmlformats.org/officeDocument/2006/relationships" ref="K4277" r:id="rId12466"/>
    <hyperlink xmlns:r="http://schemas.openxmlformats.org/officeDocument/2006/relationships" ref="I4278" r:id="rId12467"/>
    <hyperlink xmlns:r="http://schemas.openxmlformats.org/officeDocument/2006/relationships" ref="J4278" r:id="rId12468"/>
    <hyperlink xmlns:r="http://schemas.openxmlformats.org/officeDocument/2006/relationships" ref="K4278" r:id="rId12469"/>
    <hyperlink xmlns:r="http://schemas.openxmlformats.org/officeDocument/2006/relationships" ref="I4279" r:id="rId12470"/>
    <hyperlink xmlns:r="http://schemas.openxmlformats.org/officeDocument/2006/relationships" ref="J4279" r:id="rId12471"/>
    <hyperlink xmlns:r="http://schemas.openxmlformats.org/officeDocument/2006/relationships" ref="K4279" r:id="rId12472"/>
    <hyperlink xmlns:r="http://schemas.openxmlformats.org/officeDocument/2006/relationships" ref="I4280" r:id="rId12473"/>
    <hyperlink xmlns:r="http://schemas.openxmlformats.org/officeDocument/2006/relationships" ref="J4280" r:id="rId12474"/>
    <hyperlink xmlns:r="http://schemas.openxmlformats.org/officeDocument/2006/relationships" ref="K4280" r:id="rId12475"/>
    <hyperlink xmlns:r="http://schemas.openxmlformats.org/officeDocument/2006/relationships" ref="I4281" r:id="rId12476"/>
    <hyperlink xmlns:r="http://schemas.openxmlformats.org/officeDocument/2006/relationships" ref="J4281" r:id="rId12477"/>
    <hyperlink xmlns:r="http://schemas.openxmlformats.org/officeDocument/2006/relationships" ref="K4281" r:id="rId12478"/>
    <hyperlink xmlns:r="http://schemas.openxmlformats.org/officeDocument/2006/relationships" ref="I4282" r:id="rId12479"/>
    <hyperlink xmlns:r="http://schemas.openxmlformats.org/officeDocument/2006/relationships" ref="J4282" r:id="rId12480"/>
    <hyperlink xmlns:r="http://schemas.openxmlformats.org/officeDocument/2006/relationships" ref="K4282" r:id="rId12481"/>
    <hyperlink xmlns:r="http://schemas.openxmlformats.org/officeDocument/2006/relationships" ref="I4283" r:id="rId12482"/>
    <hyperlink xmlns:r="http://schemas.openxmlformats.org/officeDocument/2006/relationships" ref="J4283" r:id="rId12483"/>
    <hyperlink xmlns:r="http://schemas.openxmlformats.org/officeDocument/2006/relationships" ref="K4283" r:id="rId12484"/>
    <hyperlink xmlns:r="http://schemas.openxmlformats.org/officeDocument/2006/relationships" ref="I4284" r:id="rId12485"/>
    <hyperlink xmlns:r="http://schemas.openxmlformats.org/officeDocument/2006/relationships" ref="J4284" r:id="rId12486"/>
    <hyperlink xmlns:r="http://schemas.openxmlformats.org/officeDocument/2006/relationships" ref="K4284" r:id="rId12487"/>
    <hyperlink xmlns:r="http://schemas.openxmlformats.org/officeDocument/2006/relationships" ref="I4285" r:id="rId12488"/>
    <hyperlink xmlns:r="http://schemas.openxmlformats.org/officeDocument/2006/relationships" ref="J4285" r:id="rId12489"/>
    <hyperlink xmlns:r="http://schemas.openxmlformats.org/officeDocument/2006/relationships" ref="K4285" r:id="rId12490"/>
    <hyperlink xmlns:r="http://schemas.openxmlformats.org/officeDocument/2006/relationships" ref="I4286" r:id="rId12491"/>
    <hyperlink xmlns:r="http://schemas.openxmlformats.org/officeDocument/2006/relationships" ref="J4286" r:id="rId12492"/>
    <hyperlink xmlns:r="http://schemas.openxmlformats.org/officeDocument/2006/relationships" ref="K4286" r:id="rId12493"/>
    <hyperlink xmlns:r="http://schemas.openxmlformats.org/officeDocument/2006/relationships" ref="I4287" r:id="rId12494"/>
    <hyperlink xmlns:r="http://schemas.openxmlformats.org/officeDocument/2006/relationships" ref="J4287" r:id="rId12495"/>
    <hyperlink xmlns:r="http://schemas.openxmlformats.org/officeDocument/2006/relationships" ref="K4287" r:id="rId12496"/>
    <hyperlink xmlns:r="http://schemas.openxmlformats.org/officeDocument/2006/relationships" ref="I4288" r:id="rId12497"/>
    <hyperlink xmlns:r="http://schemas.openxmlformats.org/officeDocument/2006/relationships" ref="J4288" r:id="rId12498"/>
    <hyperlink xmlns:r="http://schemas.openxmlformats.org/officeDocument/2006/relationships" ref="K4288" r:id="rId12499"/>
    <hyperlink xmlns:r="http://schemas.openxmlformats.org/officeDocument/2006/relationships" ref="I4289" r:id="rId12500"/>
    <hyperlink xmlns:r="http://schemas.openxmlformats.org/officeDocument/2006/relationships" ref="J4289" r:id="rId12501"/>
    <hyperlink xmlns:r="http://schemas.openxmlformats.org/officeDocument/2006/relationships" ref="K4289" r:id="rId12502"/>
    <hyperlink xmlns:r="http://schemas.openxmlformats.org/officeDocument/2006/relationships" ref="I4290" r:id="rId12503"/>
    <hyperlink xmlns:r="http://schemas.openxmlformats.org/officeDocument/2006/relationships" ref="J4290" r:id="rId12504"/>
    <hyperlink xmlns:r="http://schemas.openxmlformats.org/officeDocument/2006/relationships" ref="K4290" r:id="rId12505"/>
    <hyperlink xmlns:r="http://schemas.openxmlformats.org/officeDocument/2006/relationships" ref="I4291" r:id="rId12506"/>
    <hyperlink xmlns:r="http://schemas.openxmlformats.org/officeDocument/2006/relationships" ref="J4291" r:id="rId12507"/>
    <hyperlink xmlns:r="http://schemas.openxmlformats.org/officeDocument/2006/relationships" ref="K4291" r:id="rId12508"/>
    <hyperlink xmlns:r="http://schemas.openxmlformats.org/officeDocument/2006/relationships" ref="I4292" r:id="rId12509"/>
    <hyperlink xmlns:r="http://schemas.openxmlformats.org/officeDocument/2006/relationships" ref="J4292" r:id="rId12510"/>
    <hyperlink xmlns:r="http://schemas.openxmlformats.org/officeDocument/2006/relationships" ref="K4292" r:id="rId12511"/>
    <hyperlink xmlns:r="http://schemas.openxmlformats.org/officeDocument/2006/relationships" ref="I4293" r:id="rId12512"/>
    <hyperlink xmlns:r="http://schemas.openxmlformats.org/officeDocument/2006/relationships" ref="J4293" r:id="rId12513"/>
    <hyperlink xmlns:r="http://schemas.openxmlformats.org/officeDocument/2006/relationships" ref="K4293" r:id="rId12514"/>
    <hyperlink xmlns:r="http://schemas.openxmlformats.org/officeDocument/2006/relationships" ref="I4294" r:id="rId12515"/>
    <hyperlink xmlns:r="http://schemas.openxmlformats.org/officeDocument/2006/relationships" ref="J4294" r:id="rId12516"/>
    <hyperlink xmlns:r="http://schemas.openxmlformats.org/officeDocument/2006/relationships" ref="K4294" r:id="rId12517"/>
    <hyperlink xmlns:r="http://schemas.openxmlformats.org/officeDocument/2006/relationships" ref="I4295" r:id="rId12518"/>
    <hyperlink xmlns:r="http://schemas.openxmlformats.org/officeDocument/2006/relationships" ref="J4295" r:id="rId12519"/>
    <hyperlink xmlns:r="http://schemas.openxmlformats.org/officeDocument/2006/relationships" ref="K4295" r:id="rId12520"/>
    <hyperlink xmlns:r="http://schemas.openxmlformats.org/officeDocument/2006/relationships" ref="I4296" r:id="rId12521"/>
    <hyperlink xmlns:r="http://schemas.openxmlformats.org/officeDocument/2006/relationships" ref="J4296" r:id="rId12522"/>
    <hyperlink xmlns:r="http://schemas.openxmlformats.org/officeDocument/2006/relationships" ref="K4296" r:id="rId12523"/>
    <hyperlink xmlns:r="http://schemas.openxmlformats.org/officeDocument/2006/relationships" ref="I4297" r:id="rId12524"/>
    <hyperlink xmlns:r="http://schemas.openxmlformats.org/officeDocument/2006/relationships" ref="J4297" r:id="rId12525"/>
    <hyperlink xmlns:r="http://schemas.openxmlformats.org/officeDocument/2006/relationships" ref="K4297" r:id="rId12526"/>
    <hyperlink xmlns:r="http://schemas.openxmlformats.org/officeDocument/2006/relationships" ref="I4298" r:id="rId12527"/>
    <hyperlink xmlns:r="http://schemas.openxmlformats.org/officeDocument/2006/relationships" ref="J4298" r:id="rId12528"/>
    <hyperlink xmlns:r="http://schemas.openxmlformats.org/officeDocument/2006/relationships" ref="K4298" r:id="rId12529"/>
    <hyperlink xmlns:r="http://schemas.openxmlformats.org/officeDocument/2006/relationships" ref="I4299" r:id="rId12530"/>
    <hyperlink xmlns:r="http://schemas.openxmlformats.org/officeDocument/2006/relationships" ref="J4299" r:id="rId12531"/>
    <hyperlink xmlns:r="http://schemas.openxmlformats.org/officeDocument/2006/relationships" ref="K4299" r:id="rId12532"/>
    <hyperlink xmlns:r="http://schemas.openxmlformats.org/officeDocument/2006/relationships" ref="I4300" r:id="rId12533"/>
    <hyperlink xmlns:r="http://schemas.openxmlformats.org/officeDocument/2006/relationships" ref="J4300" r:id="rId12534"/>
    <hyperlink xmlns:r="http://schemas.openxmlformats.org/officeDocument/2006/relationships" ref="K4300" r:id="rId12535"/>
    <hyperlink xmlns:r="http://schemas.openxmlformats.org/officeDocument/2006/relationships" ref="I4301" r:id="rId12536"/>
    <hyperlink xmlns:r="http://schemas.openxmlformats.org/officeDocument/2006/relationships" ref="J4301" r:id="rId12537"/>
    <hyperlink xmlns:r="http://schemas.openxmlformats.org/officeDocument/2006/relationships" ref="K4301" r:id="rId12538"/>
    <hyperlink xmlns:r="http://schemas.openxmlformats.org/officeDocument/2006/relationships" ref="I4302" r:id="rId12539"/>
    <hyperlink xmlns:r="http://schemas.openxmlformats.org/officeDocument/2006/relationships" ref="J4302" r:id="rId12540"/>
    <hyperlink xmlns:r="http://schemas.openxmlformats.org/officeDocument/2006/relationships" ref="K4302" r:id="rId12541"/>
    <hyperlink xmlns:r="http://schemas.openxmlformats.org/officeDocument/2006/relationships" ref="I4303" r:id="rId12542"/>
    <hyperlink xmlns:r="http://schemas.openxmlformats.org/officeDocument/2006/relationships" ref="J4303" r:id="rId12543"/>
    <hyperlink xmlns:r="http://schemas.openxmlformats.org/officeDocument/2006/relationships" ref="K4303" r:id="rId12544"/>
    <hyperlink xmlns:r="http://schemas.openxmlformats.org/officeDocument/2006/relationships" ref="I4304" r:id="rId12545"/>
    <hyperlink xmlns:r="http://schemas.openxmlformats.org/officeDocument/2006/relationships" ref="J4304" r:id="rId12546"/>
    <hyperlink xmlns:r="http://schemas.openxmlformats.org/officeDocument/2006/relationships" ref="K4304" r:id="rId12547"/>
    <hyperlink xmlns:r="http://schemas.openxmlformats.org/officeDocument/2006/relationships" ref="I4305" r:id="rId12548"/>
    <hyperlink xmlns:r="http://schemas.openxmlformats.org/officeDocument/2006/relationships" ref="J4305" r:id="rId12549"/>
    <hyperlink xmlns:r="http://schemas.openxmlformats.org/officeDocument/2006/relationships" ref="K4305" r:id="rId12550"/>
    <hyperlink xmlns:r="http://schemas.openxmlformats.org/officeDocument/2006/relationships" ref="I4306" r:id="rId12551"/>
    <hyperlink xmlns:r="http://schemas.openxmlformats.org/officeDocument/2006/relationships" ref="J4306" r:id="rId12552"/>
    <hyperlink xmlns:r="http://schemas.openxmlformats.org/officeDocument/2006/relationships" ref="K4306" r:id="rId12553"/>
    <hyperlink xmlns:r="http://schemas.openxmlformats.org/officeDocument/2006/relationships" ref="I4307" r:id="rId12554"/>
    <hyperlink xmlns:r="http://schemas.openxmlformats.org/officeDocument/2006/relationships" ref="J4307" r:id="rId12555"/>
    <hyperlink xmlns:r="http://schemas.openxmlformats.org/officeDocument/2006/relationships" ref="K4307" r:id="rId12556"/>
    <hyperlink xmlns:r="http://schemas.openxmlformats.org/officeDocument/2006/relationships" ref="I4308" r:id="rId12557"/>
    <hyperlink xmlns:r="http://schemas.openxmlformats.org/officeDocument/2006/relationships" ref="J4308" r:id="rId12558"/>
    <hyperlink xmlns:r="http://schemas.openxmlformats.org/officeDocument/2006/relationships" ref="K4308" r:id="rId12559"/>
    <hyperlink xmlns:r="http://schemas.openxmlformats.org/officeDocument/2006/relationships" ref="I4309" r:id="rId12560"/>
    <hyperlink xmlns:r="http://schemas.openxmlformats.org/officeDocument/2006/relationships" ref="J4309" r:id="rId12561"/>
    <hyperlink xmlns:r="http://schemas.openxmlformats.org/officeDocument/2006/relationships" ref="K4309" r:id="rId12562"/>
    <hyperlink xmlns:r="http://schemas.openxmlformats.org/officeDocument/2006/relationships" ref="I4310" r:id="rId12563"/>
    <hyperlink xmlns:r="http://schemas.openxmlformats.org/officeDocument/2006/relationships" ref="J4310" r:id="rId12564"/>
    <hyperlink xmlns:r="http://schemas.openxmlformats.org/officeDocument/2006/relationships" ref="K4310" r:id="rId12565"/>
    <hyperlink xmlns:r="http://schemas.openxmlformats.org/officeDocument/2006/relationships" ref="I4311" r:id="rId12566"/>
    <hyperlink xmlns:r="http://schemas.openxmlformats.org/officeDocument/2006/relationships" ref="J4311" r:id="rId12567"/>
    <hyperlink xmlns:r="http://schemas.openxmlformats.org/officeDocument/2006/relationships" ref="K4311" r:id="rId12568"/>
    <hyperlink xmlns:r="http://schemas.openxmlformats.org/officeDocument/2006/relationships" ref="I4312" r:id="rId12569"/>
    <hyperlink xmlns:r="http://schemas.openxmlformats.org/officeDocument/2006/relationships" ref="J4312" r:id="rId12570"/>
    <hyperlink xmlns:r="http://schemas.openxmlformats.org/officeDocument/2006/relationships" ref="K4312" r:id="rId12571"/>
    <hyperlink xmlns:r="http://schemas.openxmlformats.org/officeDocument/2006/relationships" ref="I4313" r:id="rId12572"/>
    <hyperlink xmlns:r="http://schemas.openxmlformats.org/officeDocument/2006/relationships" ref="J4313" r:id="rId12573"/>
    <hyperlink xmlns:r="http://schemas.openxmlformats.org/officeDocument/2006/relationships" ref="K4313" r:id="rId12574"/>
    <hyperlink xmlns:r="http://schemas.openxmlformats.org/officeDocument/2006/relationships" ref="I4314" r:id="rId12575"/>
    <hyperlink xmlns:r="http://schemas.openxmlformats.org/officeDocument/2006/relationships" ref="J4314" r:id="rId12576"/>
    <hyperlink xmlns:r="http://schemas.openxmlformats.org/officeDocument/2006/relationships" ref="K4314" r:id="rId12577"/>
    <hyperlink xmlns:r="http://schemas.openxmlformats.org/officeDocument/2006/relationships" ref="I4315" r:id="rId12578"/>
    <hyperlink xmlns:r="http://schemas.openxmlformats.org/officeDocument/2006/relationships" ref="J4315" r:id="rId12579"/>
    <hyperlink xmlns:r="http://schemas.openxmlformats.org/officeDocument/2006/relationships" ref="K4315" r:id="rId12580"/>
    <hyperlink xmlns:r="http://schemas.openxmlformats.org/officeDocument/2006/relationships" ref="I4316" r:id="rId12581"/>
    <hyperlink xmlns:r="http://schemas.openxmlformats.org/officeDocument/2006/relationships" ref="J4316" r:id="rId12582"/>
    <hyperlink xmlns:r="http://schemas.openxmlformats.org/officeDocument/2006/relationships" ref="K4316" r:id="rId12583"/>
    <hyperlink xmlns:r="http://schemas.openxmlformats.org/officeDocument/2006/relationships" ref="I4317" r:id="rId12584"/>
    <hyperlink xmlns:r="http://schemas.openxmlformats.org/officeDocument/2006/relationships" ref="J4317" r:id="rId12585"/>
    <hyperlink xmlns:r="http://schemas.openxmlformats.org/officeDocument/2006/relationships" ref="K4317" r:id="rId12586"/>
    <hyperlink xmlns:r="http://schemas.openxmlformats.org/officeDocument/2006/relationships" ref="I4318" r:id="rId12587"/>
    <hyperlink xmlns:r="http://schemas.openxmlformats.org/officeDocument/2006/relationships" ref="J4318" r:id="rId12588"/>
    <hyperlink xmlns:r="http://schemas.openxmlformats.org/officeDocument/2006/relationships" ref="K4318" r:id="rId12589"/>
    <hyperlink xmlns:r="http://schemas.openxmlformats.org/officeDocument/2006/relationships" ref="I4319" r:id="rId12590"/>
    <hyperlink xmlns:r="http://schemas.openxmlformats.org/officeDocument/2006/relationships" ref="J4319" r:id="rId12591"/>
    <hyperlink xmlns:r="http://schemas.openxmlformats.org/officeDocument/2006/relationships" ref="K4319" r:id="rId12592"/>
    <hyperlink xmlns:r="http://schemas.openxmlformats.org/officeDocument/2006/relationships" ref="I4320" r:id="rId12593"/>
    <hyperlink xmlns:r="http://schemas.openxmlformats.org/officeDocument/2006/relationships" ref="J4320" r:id="rId12594"/>
    <hyperlink xmlns:r="http://schemas.openxmlformats.org/officeDocument/2006/relationships" ref="K4320" r:id="rId12595"/>
    <hyperlink xmlns:r="http://schemas.openxmlformats.org/officeDocument/2006/relationships" ref="I4321" r:id="rId12596"/>
    <hyperlink xmlns:r="http://schemas.openxmlformats.org/officeDocument/2006/relationships" ref="J4321" r:id="rId12597"/>
    <hyperlink xmlns:r="http://schemas.openxmlformats.org/officeDocument/2006/relationships" ref="K4321" r:id="rId12598"/>
    <hyperlink xmlns:r="http://schemas.openxmlformats.org/officeDocument/2006/relationships" ref="I4322" r:id="rId12599"/>
    <hyperlink xmlns:r="http://schemas.openxmlformats.org/officeDocument/2006/relationships" ref="J4322" r:id="rId12600"/>
    <hyperlink xmlns:r="http://schemas.openxmlformats.org/officeDocument/2006/relationships" ref="K4322" r:id="rId12601"/>
    <hyperlink xmlns:r="http://schemas.openxmlformats.org/officeDocument/2006/relationships" ref="I4323" r:id="rId12602"/>
    <hyperlink xmlns:r="http://schemas.openxmlformats.org/officeDocument/2006/relationships" ref="J4323" r:id="rId12603"/>
    <hyperlink xmlns:r="http://schemas.openxmlformats.org/officeDocument/2006/relationships" ref="K4323" r:id="rId12604"/>
    <hyperlink xmlns:r="http://schemas.openxmlformats.org/officeDocument/2006/relationships" ref="I4324" r:id="rId12605"/>
    <hyperlink xmlns:r="http://schemas.openxmlformats.org/officeDocument/2006/relationships" ref="J4324" r:id="rId12606"/>
    <hyperlink xmlns:r="http://schemas.openxmlformats.org/officeDocument/2006/relationships" ref="K4324" r:id="rId12607"/>
    <hyperlink xmlns:r="http://schemas.openxmlformats.org/officeDocument/2006/relationships" ref="I4325" r:id="rId12608"/>
    <hyperlink xmlns:r="http://schemas.openxmlformats.org/officeDocument/2006/relationships" ref="J4325" r:id="rId12609"/>
    <hyperlink xmlns:r="http://schemas.openxmlformats.org/officeDocument/2006/relationships" ref="K4325" r:id="rId12610"/>
    <hyperlink xmlns:r="http://schemas.openxmlformats.org/officeDocument/2006/relationships" ref="I4326" r:id="rId12611"/>
    <hyperlink xmlns:r="http://schemas.openxmlformats.org/officeDocument/2006/relationships" ref="J4326" r:id="rId12612"/>
    <hyperlink xmlns:r="http://schemas.openxmlformats.org/officeDocument/2006/relationships" ref="K4326" r:id="rId12613"/>
    <hyperlink xmlns:r="http://schemas.openxmlformats.org/officeDocument/2006/relationships" ref="I4327" r:id="rId12614"/>
    <hyperlink xmlns:r="http://schemas.openxmlformats.org/officeDocument/2006/relationships" ref="J4327" r:id="rId12615"/>
    <hyperlink xmlns:r="http://schemas.openxmlformats.org/officeDocument/2006/relationships" ref="K4327" r:id="rId12616"/>
    <hyperlink xmlns:r="http://schemas.openxmlformats.org/officeDocument/2006/relationships" ref="I4328" r:id="rId12617"/>
    <hyperlink xmlns:r="http://schemas.openxmlformats.org/officeDocument/2006/relationships" ref="J4328" r:id="rId12618"/>
    <hyperlink xmlns:r="http://schemas.openxmlformats.org/officeDocument/2006/relationships" ref="K4328" r:id="rId12619"/>
    <hyperlink xmlns:r="http://schemas.openxmlformats.org/officeDocument/2006/relationships" ref="I4329" r:id="rId12620"/>
    <hyperlink xmlns:r="http://schemas.openxmlformats.org/officeDocument/2006/relationships" ref="J4329" r:id="rId12621"/>
    <hyperlink xmlns:r="http://schemas.openxmlformats.org/officeDocument/2006/relationships" ref="K4329" r:id="rId12622"/>
    <hyperlink xmlns:r="http://schemas.openxmlformats.org/officeDocument/2006/relationships" ref="I4330" r:id="rId12623"/>
    <hyperlink xmlns:r="http://schemas.openxmlformats.org/officeDocument/2006/relationships" ref="J4330" r:id="rId12624"/>
    <hyperlink xmlns:r="http://schemas.openxmlformats.org/officeDocument/2006/relationships" ref="K4330" r:id="rId12625"/>
    <hyperlink xmlns:r="http://schemas.openxmlformats.org/officeDocument/2006/relationships" ref="I4331" r:id="rId12626"/>
    <hyperlink xmlns:r="http://schemas.openxmlformats.org/officeDocument/2006/relationships" ref="J4331" r:id="rId12627"/>
    <hyperlink xmlns:r="http://schemas.openxmlformats.org/officeDocument/2006/relationships" ref="K4331" r:id="rId12628"/>
    <hyperlink xmlns:r="http://schemas.openxmlformats.org/officeDocument/2006/relationships" ref="I4332" r:id="rId12629"/>
    <hyperlink xmlns:r="http://schemas.openxmlformats.org/officeDocument/2006/relationships" ref="J4332" r:id="rId12630"/>
    <hyperlink xmlns:r="http://schemas.openxmlformats.org/officeDocument/2006/relationships" ref="K4332" r:id="rId12631"/>
    <hyperlink xmlns:r="http://schemas.openxmlformats.org/officeDocument/2006/relationships" ref="I4333" r:id="rId12632"/>
    <hyperlink xmlns:r="http://schemas.openxmlformats.org/officeDocument/2006/relationships" ref="J4333" r:id="rId12633"/>
    <hyperlink xmlns:r="http://schemas.openxmlformats.org/officeDocument/2006/relationships" ref="K4333" r:id="rId12634"/>
    <hyperlink xmlns:r="http://schemas.openxmlformats.org/officeDocument/2006/relationships" ref="I4334" r:id="rId12635"/>
    <hyperlink xmlns:r="http://schemas.openxmlformats.org/officeDocument/2006/relationships" ref="J4334" r:id="rId12636"/>
    <hyperlink xmlns:r="http://schemas.openxmlformats.org/officeDocument/2006/relationships" ref="K4334" r:id="rId12637"/>
    <hyperlink xmlns:r="http://schemas.openxmlformats.org/officeDocument/2006/relationships" ref="I4335" r:id="rId12638"/>
    <hyperlink xmlns:r="http://schemas.openxmlformats.org/officeDocument/2006/relationships" ref="J4335" r:id="rId12639"/>
    <hyperlink xmlns:r="http://schemas.openxmlformats.org/officeDocument/2006/relationships" ref="K4335" r:id="rId12640"/>
    <hyperlink xmlns:r="http://schemas.openxmlformats.org/officeDocument/2006/relationships" ref="I4336" r:id="rId12641"/>
    <hyperlink xmlns:r="http://schemas.openxmlformats.org/officeDocument/2006/relationships" ref="J4336" r:id="rId12642"/>
    <hyperlink xmlns:r="http://schemas.openxmlformats.org/officeDocument/2006/relationships" ref="K4336" r:id="rId12643"/>
    <hyperlink xmlns:r="http://schemas.openxmlformats.org/officeDocument/2006/relationships" ref="I4337" r:id="rId12644"/>
    <hyperlink xmlns:r="http://schemas.openxmlformats.org/officeDocument/2006/relationships" ref="J4337" r:id="rId12645"/>
    <hyperlink xmlns:r="http://schemas.openxmlformats.org/officeDocument/2006/relationships" ref="K4337" r:id="rId12646"/>
    <hyperlink xmlns:r="http://schemas.openxmlformats.org/officeDocument/2006/relationships" ref="I4338" r:id="rId12647"/>
    <hyperlink xmlns:r="http://schemas.openxmlformats.org/officeDocument/2006/relationships" ref="J4338" r:id="rId12648"/>
    <hyperlink xmlns:r="http://schemas.openxmlformats.org/officeDocument/2006/relationships" ref="K4338" r:id="rId12649"/>
    <hyperlink xmlns:r="http://schemas.openxmlformats.org/officeDocument/2006/relationships" ref="I4339" r:id="rId12650"/>
    <hyperlink xmlns:r="http://schemas.openxmlformats.org/officeDocument/2006/relationships" ref="J4339" r:id="rId12651"/>
    <hyperlink xmlns:r="http://schemas.openxmlformats.org/officeDocument/2006/relationships" ref="K4339" r:id="rId12652"/>
    <hyperlink xmlns:r="http://schemas.openxmlformats.org/officeDocument/2006/relationships" ref="I4340" r:id="rId12653"/>
    <hyperlink xmlns:r="http://schemas.openxmlformats.org/officeDocument/2006/relationships" ref="J4340" r:id="rId12654"/>
    <hyperlink xmlns:r="http://schemas.openxmlformats.org/officeDocument/2006/relationships" ref="K4340" r:id="rId12655"/>
    <hyperlink xmlns:r="http://schemas.openxmlformats.org/officeDocument/2006/relationships" ref="I4341" r:id="rId12656"/>
    <hyperlink xmlns:r="http://schemas.openxmlformats.org/officeDocument/2006/relationships" ref="J4341" r:id="rId12657"/>
    <hyperlink xmlns:r="http://schemas.openxmlformats.org/officeDocument/2006/relationships" ref="K4341" r:id="rId12658"/>
    <hyperlink xmlns:r="http://schemas.openxmlformats.org/officeDocument/2006/relationships" ref="I4342" r:id="rId12659"/>
    <hyperlink xmlns:r="http://schemas.openxmlformats.org/officeDocument/2006/relationships" ref="J4342" r:id="rId12660"/>
    <hyperlink xmlns:r="http://schemas.openxmlformats.org/officeDocument/2006/relationships" ref="K4342" r:id="rId12661"/>
    <hyperlink xmlns:r="http://schemas.openxmlformats.org/officeDocument/2006/relationships" ref="I4343" r:id="rId12662"/>
    <hyperlink xmlns:r="http://schemas.openxmlformats.org/officeDocument/2006/relationships" ref="J4343" r:id="rId12663"/>
    <hyperlink xmlns:r="http://schemas.openxmlformats.org/officeDocument/2006/relationships" ref="K4343" r:id="rId12664"/>
    <hyperlink xmlns:r="http://schemas.openxmlformats.org/officeDocument/2006/relationships" ref="I4344" r:id="rId12665"/>
    <hyperlink xmlns:r="http://schemas.openxmlformats.org/officeDocument/2006/relationships" ref="J4344" r:id="rId12666"/>
    <hyperlink xmlns:r="http://schemas.openxmlformats.org/officeDocument/2006/relationships" ref="K4344" r:id="rId12667"/>
    <hyperlink xmlns:r="http://schemas.openxmlformats.org/officeDocument/2006/relationships" ref="I4345" r:id="rId12668"/>
    <hyperlink xmlns:r="http://schemas.openxmlformats.org/officeDocument/2006/relationships" ref="J4345" r:id="rId12669"/>
    <hyperlink xmlns:r="http://schemas.openxmlformats.org/officeDocument/2006/relationships" ref="K4345" r:id="rId12670"/>
    <hyperlink xmlns:r="http://schemas.openxmlformats.org/officeDocument/2006/relationships" ref="I4346" r:id="rId12671"/>
    <hyperlink xmlns:r="http://schemas.openxmlformats.org/officeDocument/2006/relationships" ref="J4346" r:id="rId12672"/>
    <hyperlink xmlns:r="http://schemas.openxmlformats.org/officeDocument/2006/relationships" ref="K4346" r:id="rId12673"/>
    <hyperlink xmlns:r="http://schemas.openxmlformats.org/officeDocument/2006/relationships" ref="I4347" r:id="rId12674"/>
    <hyperlink xmlns:r="http://schemas.openxmlformats.org/officeDocument/2006/relationships" ref="J4347" r:id="rId12675"/>
    <hyperlink xmlns:r="http://schemas.openxmlformats.org/officeDocument/2006/relationships" ref="K4347" r:id="rId12676"/>
    <hyperlink xmlns:r="http://schemas.openxmlformats.org/officeDocument/2006/relationships" ref="I4348" r:id="rId12677"/>
    <hyperlink xmlns:r="http://schemas.openxmlformats.org/officeDocument/2006/relationships" ref="J4348" r:id="rId12678"/>
    <hyperlink xmlns:r="http://schemas.openxmlformats.org/officeDocument/2006/relationships" ref="K4348" r:id="rId12679"/>
    <hyperlink xmlns:r="http://schemas.openxmlformats.org/officeDocument/2006/relationships" ref="I4349" r:id="rId12680"/>
    <hyperlink xmlns:r="http://schemas.openxmlformats.org/officeDocument/2006/relationships" ref="J4349" r:id="rId12681"/>
    <hyperlink xmlns:r="http://schemas.openxmlformats.org/officeDocument/2006/relationships" ref="K4349" r:id="rId12682"/>
    <hyperlink xmlns:r="http://schemas.openxmlformats.org/officeDocument/2006/relationships" ref="I4350" r:id="rId12683"/>
    <hyperlink xmlns:r="http://schemas.openxmlformats.org/officeDocument/2006/relationships" ref="J4350" r:id="rId12684"/>
    <hyperlink xmlns:r="http://schemas.openxmlformats.org/officeDocument/2006/relationships" ref="K4350" r:id="rId12685"/>
    <hyperlink xmlns:r="http://schemas.openxmlformats.org/officeDocument/2006/relationships" ref="I4351" r:id="rId12686"/>
    <hyperlink xmlns:r="http://schemas.openxmlformats.org/officeDocument/2006/relationships" ref="J4351" r:id="rId12687"/>
    <hyperlink xmlns:r="http://schemas.openxmlformats.org/officeDocument/2006/relationships" ref="K4351" r:id="rId12688"/>
    <hyperlink xmlns:r="http://schemas.openxmlformats.org/officeDocument/2006/relationships" ref="I4352" r:id="rId12689"/>
    <hyperlink xmlns:r="http://schemas.openxmlformats.org/officeDocument/2006/relationships" ref="J4352" r:id="rId12690"/>
    <hyperlink xmlns:r="http://schemas.openxmlformats.org/officeDocument/2006/relationships" ref="K4352" r:id="rId12691"/>
    <hyperlink xmlns:r="http://schemas.openxmlformats.org/officeDocument/2006/relationships" ref="I4353" r:id="rId12692"/>
    <hyperlink xmlns:r="http://schemas.openxmlformats.org/officeDocument/2006/relationships" ref="J4353" r:id="rId12693"/>
    <hyperlink xmlns:r="http://schemas.openxmlformats.org/officeDocument/2006/relationships" ref="K4353" r:id="rId12694"/>
    <hyperlink xmlns:r="http://schemas.openxmlformats.org/officeDocument/2006/relationships" ref="I4354" r:id="rId12695"/>
    <hyperlink xmlns:r="http://schemas.openxmlformats.org/officeDocument/2006/relationships" ref="J4354" r:id="rId12696"/>
    <hyperlink xmlns:r="http://schemas.openxmlformats.org/officeDocument/2006/relationships" ref="K4354" r:id="rId12697"/>
    <hyperlink xmlns:r="http://schemas.openxmlformats.org/officeDocument/2006/relationships" ref="I4355" r:id="rId12698"/>
    <hyperlink xmlns:r="http://schemas.openxmlformats.org/officeDocument/2006/relationships" ref="J4355" r:id="rId12699"/>
    <hyperlink xmlns:r="http://schemas.openxmlformats.org/officeDocument/2006/relationships" ref="K4355" r:id="rId12700"/>
    <hyperlink xmlns:r="http://schemas.openxmlformats.org/officeDocument/2006/relationships" ref="I4356" r:id="rId12701"/>
    <hyperlink xmlns:r="http://schemas.openxmlformats.org/officeDocument/2006/relationships" ref="J4356" r:id="rId12702"/>
    <hyperlink xmlns:r="http://schemas.openxmlformats.org/officeDocument/2006/relationships" ref="K4356" r:id="rId12703"/>
    <hyperlink xmlns:r="http://schemas.openxmlformats.org/officeDocument/2006/relationships" ref="I4357" r:id="rId12704"/>
    <hyperlink xmlns:r="http://schemas.openxmlformats.org/officeDocument/2006/relationships" ref="J4357" r:id="rId12705"/>
    <hyperlink xmlns:r="http://schemas.openxmlformats.org/officeDocument/2006/relationships" ref="K4357" r:id="rId12706"/>
    <hyperlink xmlns:r="http://schemas.openxmlformats.org/officeDocument/2006/relationships" ref="I4358" r:id="rId12707"/>
    <hyperlink xmlns:r="http://schemas.openxmlformats.org/officeDocument/2006/relationships" ref="J4358" r:id="rId12708"/>
    <hyperlink xmlns:r="http://schemas.openxmlformats.org/officeDocument/2006/relationships" ref="K4358" r:id="rId12709"/>
    <hyperlink xmlns:r="http://schemas.openxmlformats.org/officeDocument/2006/relationships" ref="I4359" r:id="rId12710"/>
    <hyperlink xmlns:r="http://schemas.openxmlformats.org/officeDocument/2006/relationships" ref="J4359" r:id="rId12711"/>
    <hyperlink xmlns:r="http://schemas.openxmlformats.org/officeDocument/2006/relationships" ref="K4359" r:id="rId12712"/>
    <hyperlink xmlns:r="http://schemas.openxmlformats.org/officeDocument/2006/relationships" ref="I4360" r:id="rId12713"/>
    <hyperlink xmlns:r="http://schemas.openxmlformats.org/officeDocument/2006/relationships" ref="J4360" r:id="rId12714"/>
    <hyperlink xmlns:r="http://schemas.openxmlformats.org/officeDocument/2006/relationships" ref="K4360" r:id="rId12715"/>
    <hyperlink xmlns:r="http://schemas.openxmlformats.org/officeDocument/2006/relationships" ref="I4361" r:id="rId12716"/>
    <hyperlink xmlns:r="http://schemas.openxmlformats.org/officeDocument/2006/relationships" ref="J4361" r:id="rId12717"/>
    <hyperlink xmlns:r="http://schemas.openxmlformats.org/officeDocument/2006/relationships" ref="K4361" r:id="rId12718"/>
    <hyperlink xmlns:r="http://schemas.openxmlformats.org/officeDocument/2006/relationships" ref="I4362" r:id="rId12719"/>
    <hyperlink xmlns:r="http://schemas.openxmlformats.org/officeDocument/2006/relationships" ref="J4362" r:id="rId12720"/>
    <hyperlink xmlns:r="http://schemas.openxmlformats.org/officeDocument/2006/relationships" ref="K4362" r:id="rId12721"/>
    <hyperlink xmlns:r="http://schemas.openxmlformats.org/officeDocument/2006/relationships" ref="I4363" r:id="rId12722"/>
    <hyperlink xmlns:r="http://schemas.openxmlformats.org/officeDocument/2006/relationships" ref="J4363" r:id="rId12723"/>
    <hyperlink xmlns:r="http://schemas.openxmlformats.org/officeDocument/2006/relationships" ref="K4363" r:id="rId12724"/>
    <hyperlink xmlns:r="http://schemas.openxmlformats.org/officeDocument/2006/relationships" ref="I4364" r:id="rId12725"/>
    <hyperlink xmlns:r="http://schemas.openxmlformats.org/officeDocument/2006/relationships" ref="J4364" r:id="rId12726"/>
    <hyperlink xmlns:r="http://schemas.openxmlformats.org/officeDocument/2006/relationships" ref="K4364" r:id="rId12727"/>
    <hyperlink xmlns:r="http://schemas.openxmlformats.org/officeDocument/2006/relationships" ref="I4365" r:id="rId12728"/>
    <hyperlink xmlns:r="http://schemas.openxmlformats.org/officeDocument/2006/relationships" ref="J4365" r:id="rId12729"/>
    <hyperlink xmlns:r="http://schemas.openxmlformats.org/officeDocument/2006/relationships" ref="K4365" r:id="rId12730"/>
    <hyperlink xmlns:r="http://schemas.openxmlformats.org/officeDocument/2006/relationships" ref="I4366" r:id="rId12731"/>
    <hyperlink xmlns:r="http://schemas.openxmlformats.org/officeDocument/2006/relationships" ref="J4366" r:id="rId12732"/>
    <hyperlink xmlns:r="http://schemas.openxmlformats.org/officeDocument/2006/relationships" ref="K4366" r:id="rId12733"/>
    <hyperlink xmlns:r="http://schemas.openxmlformats.org/officeDocument/2006/relationships" ref="I4367" r:id="rId12734"/>
    <hyperlink xmlns:r="http://schemas.openxmlformats.org/officeDocument/2006/relationships" ref="J4367" r:id="rId12735"/>
    <hyperlink xmlns:r="http://schemas.openxmlformats.org/officeDocument/2006/relationships" ref="K4367" r:id="rId12736"/>
    <hyperlink xmlns:r="http://schemas.openxmlformats.org/officeDocument/2006/relationships" ref="I4368" r:id="rId12737"/>
    <hyperlink xmlns:r="http://schemas.openxmlformats.org/officeDocument/2006/relationships" ref="J4368" r:id="rId12738"/>
    <hyperlink xmlns:r="http://schemas.openxmlformats.org/officeDocument/2006/relationships" ref="K4368" r:id="rId12739"/>
    <hyperlink xmlns:r="http://schemas.openxmlformats.org/officeDocument/2006/relationships" ref="I4369" r:id="rId12740"/>
    <hyperlink xmlns:r="http://schemas.openxmlformats.org/officeDocument/2006/relationships" ref="J4369" r:id="rId12741"/>
    <hyperlink xmlns:r="http://schemas.openxmlformats.org/officeDocument/2006/relationships" ref="K4369" r:id="rId12742"/>
    <hyperlink xmlns:r="http://schemas.openxmlformats.org/officeDocument/2006/relationships" ref="I4370" r:id="rId12743"/>
    <hyperlink xmlns:r="http://schemas.openxmlformats.org/officeDocument/2006/relationships" ref="J4370" r:id="rId12744"/>
    <hyperlink xmlns:r="http://schemas.openxmlformats.org/officeDocument/2006/relationships" ref="K4370" r:id="rId12745"/>
    <hyperlink xmlns:r="http://schemas.openxmlformats.org/officeDocument/2006/relationships" ref="I4371" r:id="rId12746"/>
    <hyperlink xmlns:r="http://schemas.openxmlformats.org/officeDocument/2006/relationships" ref="J4371" r:id="rId12747"/>
    <hyperlink xmlns:r="http://schemas.openxmlformats.org/officeDocument/2006/relationships" ref="K4371" r:id="rId12748"/>
    <hyperlink xmlns:r="http://schemas.openxmlformats.org/officeDocument/2006/relationships" ref="I4372" r:id="rId12749"/>
    <hyperlink xmlns:r="http://schemas.openxmlformats.org/officeDocument/2006/relationships" ref="J4372" r:id="rId12750"/>
    <hyperlink xmlns:r="http://schemas.openxmlformats.org/officeDocument/2006/relationships" ref="K4372" r:id="rId12751"/>
    <hyperlink xmlns:r="http://schemas.openxmlformats.org/officeDocument/2006/relationships" ref="I4373" r:id="rId12752"/>
    <hyperlink xmlns:r="http://schemas.openxmlformats.org/officeDocument/2006/relationships" ref="J4373" r:id="rId12753"/>
    <hyperlink xmlns:r="http://schemas.openxmlformats.org/officeDocument/2006/relationships" ref="K4373" r:id="rId12754"/>
    <hyperlink xmlns:r="http://schemas.openxmlformats.org/officeDocument/2006/relationships" ref="I4374" r:id="rId12755"/>
    <hyperlink xmlns:r="http://schemas.openxmlformats.org/officeDocument/2006/relationships" ref="J4374" r:id="rId12756"/>
    <hyperlink xmlns:r="http://schemas.openxmlformats.org/officeDocument/2006/relationships" ref="K4374" r:id="rId12757"/>
    <hyperlink xmlns:r="http://schemas.openxmlformats.org/officeDocument/2006/relationships" ref="I4375" r:id="rId12758"/>
    <hyperlink xmlns:r="http://schemas.openxmlformats.org/officeDocument/2006/relationships" ref="J4375" r:id="rId12759"/>
    <hyperlink xmlns:r="http://schemas.openxmlformats.org/officeDocument/2006/relationships" ref="K4375" r:id="rId12760"/>
    <hyperlink xmlns:r="http://schemas.openxmlformats.org/officeDocument/2006/relationships" ref="I4376" r:id="rId12761"/>
    <hyperlink xmlns:r="http://schemas.openxmlformats.org/officeDocument/2006/relationships" ref="J4376" r:id="rId12762"/>
    <hyperlink xmlns:r="http://schemas.openxmlformats.org/officeDocument/2006/relationships" ref="K4376" r:id="rId12763"/>
    <hyperlink xmlns:r="http://schemas.openxmlformats.org/officeDocument/2006/relationships" ref="I4377" r:id="rId12764"/>
    <hyperlink xmlns:r="http://schemas.openxmlformats.org/officeDocument/2006/relationships" ref="J4377" r:id="rId12765"/>
    <hyperlink xmlns:r="http://schemas.openxmlformats.org/officeDocument/2006/relationships" ref="K4377" r:id="rId12766"/>
    <hyperlink xmlns:r="http://schemas.openxmlformats.org/officeDocument/2006/relationships" ref="I4378" r:id="rId12767"/>
    <hyperlink xmlns:r="http://schemas.openxmlformats.org/officeDocument/2006/relationships" ref="J4378" r:id="rId12768"/>
    <hyperlink xmlns:r="http://schemas.openxmlformats.org/officeDocument/2006/relationships" ref="K4378" r:id="rId12769"/>
    <hyperlink xmlns:r="http://schemas.openxmlformats.org/officeDocument/2006/relationships" ref="I4379" r:id="rId12770"/>
    <hyperlink xmlns:r="http://schemas.openxmlformats.org/officeDocument/2006/relationships" ref="J4379" r:id="rId12771"/>
    <hyperlink xmlns:r="http://schemas.openxmlformats.org/officeDocument/2006/relationships" ref="K4379" r:id="rId12772"/>
    <hyperlink xmlns:r="http://schemas.openxmlformats.org/officeDocument/2006/relationships" ref="I4380" r:id="rId12773"/>
    <hyperlink xmlns:r="http://schemas.openxmlformats.org/officeDocument/2006/relationships" ref="J4380" r:id="rId12774"/>
    <hyperlink xmlns:r="http://schemas.openxmlformats.org/officeDocument/2006/relationships" ref="K4380" r:id="rId12775"/>
    <hyperlink xmlns:r="http://schemas.openxmlformats.org/officeDocument/2006/relationships" ref="I4381" r:id="rId12776"/>
    <hyperlink xmlns:r="http://schemas.openxmlformats.org/officeDocument/2006/relationships" ref="J4381" r:id="rId12777"/>
    <hyperlink xmlns:r="http://schemas.openxmlformats.org/officeDocument/2006/relationships" ref="K4381" r:id="rId12778"/>
    <hyperlink xmlns:r="http://schemas.openxmlformats.org/officeDocument/2006/relationships" ref="I4382" r:id="rId12779"/>
    <hyperlink xmlns:r="http://schemas.openxmlformats.org/officeDocument/2006/relationships" ref="J4382" r:id="rId12780"/>
    <hyperlink xmlns:r="http://schemas.openxmlformats.org/officeDocument/2006/relationships" ref="K4382" r:id="rId12781"/>
    <hyperlink xmlns:r="http://schemas.openxmlformats.org/officeDocument/2006/relationships" ref="I4383" r:id="rId12782"/>
    <hyperlink xmlns:r="http://schemas.openxmlformats.org/officeDocument/2006/relationships" ref="J4383" r:id="rId12783"/>
    <hyperlink xmlns:r="http://schemas.openxmlformats.org/officeDocument/2006/relationships" ref="K4383" r:id="rId12784"/>
    <hyperlink xmlns:r="http://schemas.openxmlformats.org/officeDocument/2006/relationships" ref="I4384" r:id="rId12785"/>
    <hyperlink xmlns:r="http://schemas.openxmlformats.org/officeDocument/2006/relationships" ref="J4384" r:id="rId12786"/>
    <hyperlink xmlns:r="http://schemas.openxmlformats.org/officeDocument/2006/relationships" ref="K4384" r:id="rId12787"/>
    <hyperlink xmlns:r="http://schemas.openxmlformats.org/officeDocument/2006/relationships" ref="I4385" r:id="rId12788"/>
    <hyperlink xmlns:r="http://schemas.openxmlformats.org/officeDocument/2006/relationships" ref="J4385" r:id="rId12789"/>
    <hyperlink xmlns:r="http://schemas.openxmlformats.org/officeDocument/2006/relationships" ref="K4385" r:id="rId12790"/>
    <hyperlink xmlns:r="http://schemas.openxmlformats.org/officeDocument/2006/relationships" ref="I4386" r:id="rId12791"/>
    <hyperlink xmlns:r="http://schemas.openxmlformats.org/officeDocument/2006/relationships" ref="J4386" r:id="rId12792"/>
    <hyperlink xmlns:r="http://schemas.openxmlformats.org/officeDocument/2006/relationships" ref="K4386" r:id="rId12793"/>
    <hyperlink xmlns:r="http://schemas.openxmlformats.org/officeDocument/2006/relationships" ref="I4387" r:id="rId12794"/>
    <hyperlink xmlns:r="http://schemas.openxmlformats.org/officeDocument/2006/relationships" ref="J4387" r:id="rId12795"/>
    <hyperlink xmlns:r="http://schemas.openxmlformats.org/officeDocument/2006/relationships" ref="K4387" r:id="rId12796"/>
    <hyperlink xmlns:r="http://schemas.openxmlformats.org/officeDocument/2006/relationships" ref="I4388" r:id="rId12797"/>
    <hyperlink xmlns:r="http://schemas.openxmlformats.org/officeDocument/2006/relationships" ref="J4388" r:id="rId12798"/>
    <hyperlink xmlns:r="http://schemas.openxmlformats.org/officeDocument/2006/relationships" ref="K4388" r:id="rId12799"/>
    <hyperlink xmlns:r="http://schemas.openxmlformats.org/officeDocument/2006/relationships" ref="I4389" r:id="rId12800"/>
    <hyperlink xmlns:r="http://schemas.openxmlformats.org/officeDocument/2006/relationships" ref="J4389" r:id="rId12801"/>
    <hyperlink xmlns:r="http://schemas.openxmlformats.org/officeDocument/2006/relationships" ref="K4389" r:id="rId12802"/>
    <hyperlink xmlns:r="http://schemas.openxmlformats.org/officeDocument/2006/relationships" ref="I4390" r:id="rId12803"/>
    <hyperlink xmlns:r="http://schemas.openxmlformats.org/officeDocument/2006/relationships" ref="J4390" r:id="rId12804"/>
    <hyperlink xmlns:r="http://schemas.openxmlformats.org/officeDocument/2006/relationships" ref="K4390" r:id="rId12805"/>
    <hyperlink xmlns:r="http://schemas.openxmlformats.org/officeDocument/2006/relationships" ref="I4391" r:id="rId12806"/>
    <hyperlink xmlns:r="http://schemas.openxmlformats.org/officeDocument/2006/relationships" ref="J4391" r:id="rId12807"/>
    <hyperlink xmlns:r="http://schemas.openxmlformats.org/officeDocument/2006/relationships" ref="K4391" r:id="rId12808"/>
    <hyperlink xmlns:r="http://schemas.openxmlformats.org/officeDocument/2006/relationships" ref="I4392" r:id="rId12809"/>
    <hyperlink xmlns:r="http://schemas.openxmlformats.org/officeDocument/2006/relationships" ref="J4392" r:id="rId12810"/>
    <hyperlink xmlns:r="http://schemas.openxmlformats.org/officeDocument/2006/relationships" ref="K4392" r:id="rId12811"/>
    <hyperlink xmlns:r="http://schemas.openxmlformats.org/officeDocument/2006/relationships" ref="I4393" r:id="rId12812"/>
    <hyperlink xmlns:r="http://schemas.openxmlformats.org/officeDocument/2006/relationships" ref="J4393" r:id="rId12813"/>
    <hyperlink xmlns:r="http://schemas.openxmlformats.org/officeDocument/2006/relationships" ref="K4393" r:id="rId12814"/>
    <hyperlink xmlns:r="http://schemas.openxmlformats.org/officeDocument/2006/relationships" ref="I4394" r:id="rId12815"/>
    <hyperlink xmlns:r="http://schemas.openxmlformats.org/officeDocument/2006/relationships" ref="J4394" r:id="rId12816"/>
    <hyperlink xmlns:r="http://schemas.openxmlformats.org/officeDocument/2006/relationships" ref="K4394" r:id="rId12817"/>
    <hyperlink xmlns:r="http://schemas.openxmlformats.org/officeDocument/2006/relationships" ref="I4395" r:id="rId12818"/>
    <hyperlink xmlns:r="http://schemas.openxmlformats.org/officeDocument/2006/relationships" ref="J4395" r:id="rId12819"/>
    <hyperlink xmlns:r="http://schemas.openxmlformats.org/officeDocument/2006/relationships" ref="K4395" r:id="rId12820"/>
    <hyperlink xmlns:r="http://schemas.openxmlformats.org/officeDocument/2006/relationships" ref="I4396" r:id="rId12821"/>
    <hyperlink xmlns:r="http://schemas.openxmlformats.org/officeDocument/2006/relationships" ref="J4396" r:id="rId12822"/>
    <hyperlink xmlns:r="http://schemas.openxmlformats.org/officeDocument/2006/relationships" ref="K4396" r:id="rId12823"/>
    <hyperlink xmlns:r="http://schemas.openxmlformats.org/officeDocument/2006/relationships" ref="I4397" r:id="rId12824"/>
    <hyperlink xmlns:r="http://schemas.openxmlformats.org/officeDocument/2006/relationships" ref="J4397" r:id="rId12825"/>
    <hyperlink xmlns:r="http://schemas.openxmlformats.org/officeDocument/2006/relationships" ref="K4397" r:id="rId12826"/>
    <hyperlink xmlns:r="http://schemas.openxmlformats.org/officeDocument/2006/relationships" ref="I4398" r:id="rId12827"/>
    <hyperlink xmlns:r="http://schemas.openxmlformats.org/officeDocument/2006/relationships" ref="J4398" r:id="rId12828"/>
    <hyperlink xmlns:r="http://schemas.openxmlformats.org/officeDocument/2006/relationships" ref="K4398" r:id="rId12829"/>
    <hyperlink xmlns:r="http://schemas.openxmlformats.org/officeDocument/2006/relationships" ref="I4399" r:id="rId12830"/>
    <hyperlink xmlns:r="http://schemas.openxmlformats.org/officeDocument/2006/relationships" ref="J4399" r:id="rId12831"/>
    <hyperlink xmlns:r="http://schemas.openxmlformats.org/officeDocument/2006/relationships" ref="K4399" r:id="rId12832"/>
    <hyperlink xmlns:r="http://schemas.openxmlformats.org/officeDocument/2006/relationships" ref="I4400" r:id="rId12833"/>
    <hyperlink xmlns:r="http://schemas.openxmlformats.org/officeDocument/2006/relationships" ref="J4400" r:id="rId12834"/>
    <hyperlink xmlns:r="http://schemas.openxmlformats.org/officeDocument/2006/relationships" ref="K4400" r:id="rId12835"/>
    <hyperlink xmlns:r="http://schemas.openxmlformats.org/officeDocument/2006/relationships" ref="I4401" r:id="rId12836"/>
    <hyperlink xmlns:r="http://schemas.openxmlformats.org/officeDocument/2006/relationships" ref="J4401" r:id="rId12837"/>
    <hyperlink xmlns:r="http://schemas.openxmlformats.org/officeDocument/2006/relationships" ref="K4401" r:id="rId12838"/>
    <hyperlink xmlns:r="http://schemas.openxmlformats.org/officeDocument/2006/relationships" ref="I4402" r:id="rId12839"/>
    <hyperlink xmlns:r="http://schemas.openxmlformats.org/officeDocument/2006/relationships" ref="J4402" r:id="rId12840"/>
    <hyperlink xmlns:r="http://schemas.openxmlformats.org/officeDocument/2006/relationships" ref="K4402" r:id="rId12841"/>
    <hyperlink xmlns:r="http://schemas.openxmlformats.org/officeDocument/2006/relationships" ref="I4403" r:id="rId12842"/>
    <hyperlink xmlns:r="http://schemas.openxmlformats.org/officeDocument/2006/relationships" ref="J4403" r:id="rId12843"/>
    <hyperlink xmlns:r="http://schemas.openxmlformats.org/officeDocument/2006/relationships" ref="K4403" r:id="rId12844"/>
    <hyperlink xmlns:r="http://schemas.openxmlformats.org/officeDocument/2006/relationships" ref="I4404" r:id="rId12845"/>
    <hyperlink xmlns:r="http://schemas.openxmlformats.org/officeDocument/2006/relationships" ref="J4404" r:id="rId12846"/>
    <hyperlink xmlns:r="http://schemas.openxmlformats.org/officeDocument/2006/relationships" ref="K4404" r:id="rId12847"/>
    <hyperlink xmlns:r="http://schemas.openxmlformats.org/officeDocument/2006/relationships" ref="I4405" r:id="rId12848"/>
    <hyperlink xmlns:r="http://schemas.openxmlformats.org/officeDocument/2006/relationships" ref="J4405" r:id="rId12849"/>
    <hyperlink xmlns:r="http://schemas.openxmlformats.org/officeDocument/2006/relationships" ref="K4405" r:id="rId12850"/>
    <hyperlink xmlns:r="http://schemas.openxmlformats.org/officeDocument/2006/relationships" ref="I4406" r:id="rId12851"/>
    <hyperlink xmlns:r="http://schemas.openxmlformats.org/officeDocument/2006/relationships" ref="J4406" r:id="rId12852"/>
    <hyperlink xmlns:r="http://schemas.openxmlformats.org/officeDocument/2006/relationships" ref="K4406" r:id="rId12853"/>
    <hyperlink xmlns:r="http://schemas.openxmlformats.org/officeDocument/2006/relationships" ref="I4407" r:id="rId12854"/>
    <hyperlink xmlns:r="http://schemas.openxmlformats.org/officeDocument/2006/relationships" ref="J4407" r:id="rId12855"/>
    <hyperlink xmlns:r="http://schemas.openxmlformats.org/officeDocument/2006/relationships" ref="K4407" r:id="rId12856"/>
    <hyperlink xmlns:r="http://schemas.openxmlformats.org/officeDocument/2006/relationships" ref="I4408" r:id="rId12857"/>
    <hyperlink xmlns:r="http://schemas.openxmlformats.org/officeDocument/2006/relationships" ref="J4408" r:id="rId12858"/>
    <hyperlink xmlns:r="http://schemas.openxmlformats.org/officeDocument/2006/relationships" ref="K4408" r:id="rId12859"/>
    <hyperlink xmlns:r="http://schemas.openxmlformats.org/officeDocument/2006/relationships" ref="I4409" r:id="rId12860"/>
    <hyperlink xmlns:r="http://schemas.openxmlformats.org/officeDocument/2006/relationships" ref="J4409" r:id="rId12861"/>
    <hyperlink xmlns:r="http://schemas.openxmlformats.org/officeDocument/2006/relationships" ref="K4409" r:id="rId12862"/>
    <hyperlink xmlns:r="http://schemas.openxmlformats.org/officeDocument/2006/relationships" ref="I4410" r:id="rId12863"/>
    <hyperlink xmlns:r="http://schemas.openxmlformats.org/officeDocument/2006/relationships" ref="J4410" r:id="rId12864"/>
    <hyperlink xmlns:r="http://schemas.openxmlformats.org/officeDocument/2006/relationships" ref="K4410" r:id="rId12865"/>
    <hyperlink xmlns:r="http://schemas.openxmlformats.org/officeDocument/2006/relationships" ref="I4411" r:id="rId12866"/>
    <hyperlink xmlns:r="http://schemas.openxmlformats.org/officeDocument/2006/relationships" ref="J4411" r:id="rId12867"/>
    <hyperlink xmlns:r="http://schemas.openxmlformats.org/officeDocument/2006/relationships" ref="K4411" r:id="rId12868"/>
    <hyperlink xmlns:r="http://schemas.openxmlformats.org/officeDocument/2006/relationships" ref="I4412" r:id="rId12869"/>
    <hyperlink xmlns:r="http://schemas.openxmlformats.org/officeDocument/2006/relationships" ref="J4412" r:id="rId12870"/>
    <hyperlink xmlns:r="http://schemas.openxmlformats.org/officeDocument/2006/relationships" ref="K4412" r:id="rId12871"/>
    <hyperlink xmlns:r="http://schemas.openxmlformats.org/officeDocument/2006/relationships" ref="I4413" r:id="rId12872"/>
    <hyperlink xmlns:r="http://schemas.openxmlformats.org/officeDocument/2006/relationships" ref="J4413" r:id="rId12873"/>
    <hyperlink xmlns:r="http://schemas.openxmlformats.org/officeDocument/2006/relationships" ref="K4413" r:id="rId12874"/>
    <hyperlink xmlns:r="http://schemas.openxmlformats.org/officeDocument/2006/relationships" ref="I4414" r:id="rId12875"/>
    <hyperlink xmlns:r="http://schemas.openxmlformats.org/officeDocument/2006/relationships" ref="J4414" r:id="rId12876"/>
    <hyperlink xmlns:r="http://schemas.openxmlformats.org/officeDocument/2006/relationships" ref="K4414" r:id="rId12877"/>
    <hyperlink xmlns:r="http://schemas.openxmlformats.org/officeDocument/2006/relationships" ref="I4415" r:id="rId12878"/>
    <hyperlink xmlns:r="http://schemas.openxmlformats.org/officeDocument/2006/relationships" ref="J4415" r:id="rId12879"/>
    <hyperlink xmlns:r="http://schemas.openxmlformats.org/officeDocument/2006/relationships" ref="K4415" r:id="rId12880"/>
    <hyperlink xmlns:r="http://schemas.openxmlformats.org/officeDocument/2006/relationships" ref="I4416" r:id="rId12881"/>
    <hyperlink xmlns:r="http://schemas.openxmlformats.org/officeDocument/2006/relationships" ref="J4416" r:id="rId12882"/>
    <hyperlink xmlns:r="http://schemas.openxmlformats.org/officeDocument/2006/relationships" ref="K4416" r:id="rId12883"/>
    <hyperlink xmlns:r="http://schemas.openxmlformats.org/officeDocument/2006/relationships" ref="I4417" r:id="rId12884"/>
    <hyperlink xmlns:r="http://schemas.openxmlformats.org/officeDocument/2006/relationships" ref="J4417" r:id="rId12885"/>
    <hyperlink xmlns:r="http://schemas.openxmlformats.org/officeDocument/2006/relationships" ref="K4417" r:id="rId12886"/>
    <hyperlink xmlns:r="http://schemas.openxmlformats.org/officeDocument/2006/relationships" ref="I4418" r:id="rId12887"/>
    <hyperlink xmlns:r="http://schemas.openxmlformats.org/officeDocument/2006/relationships" ref="J4418" r:id="rId12888"/>
    <hyperlink xmlns:r="http://schemas.openxmlformats.org/officeDocument/2006/relationships" ref="K4418" r:id="rId12889"/>
    <hyperlink xmlns:r="http://schemas.openxmlformats.org/officeDocument/2006/relationships" ref="I4419" r:id="rId12890"/>
    <hyperlink xmlns:r="http://schemas.openxmlformats.org/officeDocument/2006/relationships" ref="J4419" r:id="rId12891"/>
    <hyperlink xmlns:r="http://schemas.openxmlformats.org/officeDocument/2006/relationships" ref="K4419" r:id="rId12892"/>
    <hyperlink xmlns:r="http://schemas.openxmlformats.org/officeDocument/2006/relationships" ref="I4420" r:id="rId12893"/>
    <hyperlink xmlns:r="http://schemas.openxmlformats.org/officeDocument/2006/relationships" ref="J4420" r:id="rId12894"/>
    <hyperlink xmlns:r="http://schemas.openxmlformats.org/officeDocument/2006/relationships" ref="I4421" r:id="rId12895"/>
    <hyperlink xmlns:r="http://schemas.openxmlformats.org/officeDocument/2006/relationships" ref="J4421" r:id="rId12896"/>
    <hyperlink xmlns:r="http://schemas.openxmlformats.org/officeDocument/2006/relationships" ref="I4422" r:id="rId12897"/>
    <hyperlink xmlns:r="http://schemas.openxmlformats.org/officeDocument/2006/relationships" ref="J4422" r:id="rId12898"/>
    <hyperlink xmlns:r="http://schemas.openxmlformats.org/officeDocument/2006/relationships" ref="I4423" r:id="rId12899"/>
    <hyperlink xmlns:r="http://schemas.openxmlformats.org/officeDocument/2006/relationships" ref="J4423" r:id="rId12900"/>
    <hyperlink xmlns:r="http://schemas.openxmlformats.org/officeDocument/2006/relationships" ref="I4424" r:id="rId12901"/>
    <hyperlink xmlns:r="http://schemas.openxmlformats.org/officeDocument/2006/relationships" ref="J4424" r:id="rId12902"/>
    <hyperlink xmlns:r="http://schemas.openxmlformats.org/officeDocument/2006/relationships" ref="I4425" r:id="rId12903"/>
    <hyperlink xmlns:r="http://schemas.openxmlformats.org/officeDocument/2006/relationships" ref="J4425" r:id="rId12904"/>
    <hyperlink xmlns:r="http://schemas.openxmlformats.org/officeDocument/2006/relationships" ref="I4426" r:id="rId12905"/>
    <hyperlink xmlns:r="http://schemas.openxmlformats.org/officeDocument/2006/relationships" ref="J4426" r:id="rId12906"/>
    <hyperlink xmlns:r="http://schemas.openxmlformats.org/officeDocument/2006/relationships" ref="I4427" r:id="rId12907"/>
    <hyperlink xmlns:r="http://schemas.openxmlformats.org/officeDocument/2006/relationships" ref="J4427" r:id="rId12908"/>
    <hyperlink xmlns:r="http://schemas.openxmlformats.org/officeDocument/2006/relationships" ref="I4428" r:id="rId12909"/>
    <hyperlink xmlns:r="http://schemas.openxmlformats.org/officeDocument/2006/relationships" ref="J4428" r:id="rId12910"/>
    <hyperlink xmlns:r="http://schemas.openxmlformats.org/officeDocument/2006/relationships" ref="I4429" r:id="rId12911"/>
    <hyperlink xmlns:r="http://schemas.openxmlformats.org/officeDocument/2006/relationships" ref="J4429" r:id="rId12912"/>
    <hyperlink xmlns:r="http://schemas.openxmlformats.org/officeDocument/2006/relationships" ref="I4430" r:id="rId12913"/>
    <hyperlink xmlns:r="http://schemas.openxmlformats.org/officeDocument/2006/relationships" ref="J4430" r:id="rId12914"/>
    <hyperlink xmlns:r="http://schemas.openxmlformats.org/officeDocument/2006/relationships" ref="K4430" r:id="rId12915"/>
    <hyperlink xmlns:r="http://schemas.openxmlformats.org/officeDocument/2006/relationships" ref="I4431" r:id="rId12916"/>
    <hyperlink xmlns:r="http://schemas.openxmlformats.org/officeDocument/2006/relationships" ref="J4431" r:id="rId12917"/>
    <hyperlink xmlns:r="http://schemas.openxmlformats.org/officeDocument/2006/relationships" ref="K4431" r:id="rId12918"/>
    <hyperlink xmlns:r="http://schemas.openxmlformats.org/officeDocument/2006/relationships" ref="I4432" r:id="rId12919"/>
    <hyperlink xmlns:r="http://schemas.openxmlformats.org/officeDocument/2006/relationships" ref="J4432" r:id="rId12920"/>
    <hyperlink xmlns:r="http://schemas.openxmlformats.org/officeDocument/2006/relationships" ref="K4432" r:id="rId12921"/>
    <hyperlink xmlns:r="http://schemas.openxmlformats.org/officeDocument/2006/relationships" ref="I4433" r:id="rId12922"/>
    <hyperlink xmlns:r="http://schemas.openxmlformats.org/officeDocument/2006/relationships" ref="J4433" r:id="rId12923"/>
    <hyperlink xmlns:r="http://schemas.openxmlformats.org/officeDocument/2006/relationships" ref="K4433" r:id="rId12924"/>
    <hyperlink xmlns:r="http://schemas.openxmlformats.org/officeDocument/2006/relationships" ref="I4434" r:id="rId12925"/>
    <hyperlink xmlns:r="http://schemas.openxmlformats.org/officeDocument/2006/relationships" ref="J4434" r:id="rId12926"/>
    <hyperlink xmlns:r="http://schemas.openxmlformats.org/officeDocument/2006/relationships" ref="K4434" r:id="rId12927"/>
    <hyperlink xmlns:r="http://schemas.openxmlformats.org/officeDocument/2006/relationships" ref="I4435" r:id="rId12928"/>
    <hyperlink xmlns:r="http://schemas.openxmlformats.org/officeDocument/2006/relationships" ref="J4435" r:id="rId12929"/>
    <hyperlink xmlns:r="http://schemas.openxmlformats.org/officeDocument/2006/relationships" ref="K4435" r:id="rId12930"/>
    <hyperlink xmlns:r="http://schemas.openxmlformats.org/officeDocument/2006/relationships" ref="I4436" r:id="rId12931"/>
    <hyperlink xmlns:r="http://schemas.openxmlformats.org/officeDocument/2006/relationships" ref="J4436" r:id="rId12932"/>
    <hyperlink xmlns:r="http://schemas.openxmlformats.org/officeDocument/2006/relationships" ref="K4436" r:id="rId12933"/>
    <hyperlink xmlns:r="http://schemas.openxmlformats.org/officeDocument/2006/relationships" ref="I4437" r:id="rId12934"/>
    <hyperlink xmlns:r="http://schemas.openxmlformats.org/officeDocument/2006/relationships" ref="J4437" r:id="rId12935"/>
    <hyperlink xmlns:r="http://schemas.openxmlformats.org/officeDocument/2006/relationships" ref="K4437" r:id="rId12936"/>
    <hyperlink xmlns:r="http://schemas.openxmlformats.org/officeDocument/2006/relationships" ref="I4438" r:id="rId12937"/>
    <hyperlink xmlns:r="http://schemas.openxmlformats.org/officeDocument/2006/relationships" ref="J4438" r:id="rId12938"/>
    <hyperlink xmlns:r="http://schemas.openxmlformats.org/officeDocument/2006/relationships" ref="K4438" r:id="rId12939"/>
    <hyperlink xmlns:r="http://schemas.openxmlformats.org/officeDocument/2006/relationships" ref="I4439" r:id="rId12940"/>
    <hyperlink xmlns:r="http://schemas.openxmlformats.org/officeDocument/2006/relationships" ref="J4439" r:id="rId12941"/>
    <hyperlink xmlns:r="http://schemas.openxmlformats.org/officeDocument/2006/relationships" ref="K4439" r:id="rId12942"/>
    <hyperlink xmlns:r="http://schemas.openxmlformats.org/officeDocument/2006/relationships" ref="I4440" r:id="rId12943"/>
    <hyperlink xmlns:r="http://schemas.openxmlformats.org/officeDocument/2006/relationships" ref="J4440" r:id="rId12944"/>
    <hyperlink xmlns:r="http://schemas.openxmlformats.org/officeDocument/2006/relationships" ref="K4440" r:id="rId12945"/>
    <hyperlink xmlns:r="http://schemas.openxmlformats.org/officeDocument/2006/relationships" ref="I4441" r:id="rId12946"/>
    <hyperlink xmlns:r="http://schemas.openxmlformats.org/officeDocument/2006/relationships" ref="J4441" r:id="rId12947"/>
    <hyperlink xmlns:r="http://schemas.openxmlformats.org/officeDocument/2006/relationships" ref="K4441" r:id="rId12948"/>
    <hyperlink xmlns:r="http://schemas.openxmlformats.org/officeDocument/2006/relationships" ref="I4442" r:id="rId12949"/>
    <hyperlink xmlns:r="http://schemas.openxmlformats.org/officeDocument/2006/relationships" ref="J4442" r:id="rId12950"/>
    <hyperlink xmlns:r="http://schemas.openxmlformats.org/officeDocument/2006/relationships" ref="K4442" r:id="rId12951"/>
    <hyperlink xmlns:r="http://schemas.openxmlformats.org/officeDocument/2006/relationships" ref="I4443" r:id="rId12952"/>
    <hyperlink xmlns:r="http://schemas.openxmlformats.org/officeDocument/2006/relationships" ref="J4443" r:id="rId12953"/>
    <hyperlink xmlns:r="http://schemas.openxmlformats.org/officeDocument/2006/relationships" ref="K4443" r:id="rId12954"/>
    <hyperlink xmlns:r="http://schemas.openxmlformats.org/officeDocument/2006/relationships" ref="I4444" r:id="rId12955"/>
    <hyperlink xmlns:r="http://schemas.openxmlformats.org/officeDocument/2006/relationships" ref="J4444" r:id="rId12956"/>
    <hyperlink xmlns:r="http://schemas.openxmlformats.org/officeDocument/2006/relationships" ref="K4444" r:id="rId12957"/>
    <hyperlink xmlns:r="http://schemas.openxmlformats.org/officeDocument/2006/relationships" ref="I4445" r:id="rId12958"/>
    <hyperlink xmlns:r="http://schemas.openxmlformats.org/officeDocument/2006/relationships" ref="J4445" r:id="rId12959"/>
    <hyperlink xmlns:r="http://schemas.openxmlformats.org/officeDocument/2006/relationships" ref="K4445" r:id="rId12960"/>
    <hyperlink xmlns:r="http://schemas.openxmlformats.org/officeDocument/2006/relationships" ref="I4446" r:id="rId12961"/>
    <hyperlink xmlns:r="http://schemas.openxmlformats.org/officeDocument/2006/relationships" ref="J4446" r:id="rId12962"/>
    <hyperlink xmlns:r="http://schemas.openxmlformats.org/officeDocument/2006/relationships" ref="K4446" r:id="rId12963"/>
    <hyperlink xmlns:r="http://schemas.openxmlformats.org/officeDocument/2006/relationships" ref="I4447" r:id="rId12964"/>
    <hyperlink xmlns:r="http://schemas.openxmlformats.org/officeDocument/2006/relationships" ref="J4447" r:id="rId12965"/>
    <hyperlink xmlns:r="http://schemas.openxmlformats.org/officeDocument/2006/relationships" ref="K4447" r:id="rId12966"/>
    <hyperlink xmlns:r="http://schemas.openxmlformats.org/officeDocument/2006/relationships" ref="I4448" r:id="rId12967"/>
    <hyperlink xmlns:r="http://schemas.openxmlformats.org/officeDocument/2006/relationships" ref="J4448" r:id="rId12968"/>
    <hyperlink xmlns:r="http://schemas.openxmlformats.org/officeDocument/2006/relationships" ref="K4448" r:id="rId12969"/>
    <hyperlink xmlns:r="http://schemas.openxmlformats.org/officeDocument/2006/relationships" ref="I4449" r:id="rId12970"/>
    <hyperlink xmlns:r="http://schemas.openxmlformats.org/officeDocument/2006/relationships" ref="J4449" r:id="rId12971"/>
    <hyperlink xmlns:r="http://schemas.openxmlformats.org/officeDocument/2006/relationships" ref="K4449" r:id="rId12972"/>
    <hyperlink xmlns:r="http://schemas.openxmlformats.org/officeDocument/2006/relationships" ref="I4450" r:id="rId12973"/>
    <hyperlink xmlns:r="http://schemas.openxmlformats.org/officeDocument/2006/relationships" ref="J4450" r:id="rId12974"/>
    <hyperlink xmlns:r="http://schemas.openxmlformats.org/officeDocument/2006/relationships" ref="K4450" r:id="rId12975"/>
    <hyperlink xmlns:r="http://schemas.openxmlformats.org/officeDocument/2006/relationships" ref="I4451" r:id="rId12976"/>
    <hyperlink xmlns:r="http://schemas.openxmlformats.org/officeDocument/2006/relationships" ref="J4451" r:id="rId12977"/>
    <hyperlink xmlns:r="http://schemas.openxmlformats.org/officeDocument/2006/relationships" ref="K4451" r:id="rId12978"/>
    <hyperlink xmlns:r="http://schemas.openxmlformats.org/officeDocument/2006/relationships" ref="I4452" r:id="rId12979"/>
    <hyperlink xmlns:r="http://schemas.openxmlformats.org/officeDocument/2006/relationships" ref="J4452" r:id="rId12980"/>
    <hyperlink xmlns:r="http://schemas.openxmlformats.org/officeDocument/2006/relationships" ref="K4452" r:id="rId12981"/>
    <hyperlink xmlns:r="http://schemas.openxmlformats.org/officeDocument/2006/relationships" ref="I4453" r:id="rId12982"/>
    <hyperlink xmlns:r="http://schemas.openxmlformats.org/officeDocument/2006/relationships" ref="J4453" r:id="rId12983"/>
    <hyperlink xmlns:r="http://schemas.openxmlformats.org/officeDocument/2006/relationships" ref="K4453" r:id="rId12984"/>
    <hyperlink xmlns:r="http://schemas.openxmlformats.org/officeDocument/2006/relationships" ref="I4454" r:id="rId12985"/>
    <hyperlink xmlns:r="http://schemas.openxmlformats.org/officeDocument/2006/relationships" ref="J4454" r:id="rId12986"/>
    <hyperlink xmlns:r="http://schemas.openxmlformats.org/officeDocument/2006/relationships" ref="K4454" r:id="rId12987"/>
    <hyperlink xmlns:r="http://schemas.openxmlformats.org/officeDocument/2006/relationships" ref="I4455" r:id="rId12988"/>
    <hyperlink xmlns:r="http://schemas.openxmlformats.org/officeDocument/2006/relationships" ref="J4455" r:id="rId12989"/>
    <hyperlink xmlns:r="http://schemas.openxmlformats.org/officeDocument/2006/relationships" ref="K4455" r:id="rId12990"/>
    <hyperlink xmlns:r="http://schemas.openxmlformats.org/officeDocument/2006/relationships" ref="I4456" r:id="rId12991"/>
    <hyperlink xmlns:r="http://schemas.openxmlformats.org/officeDocument/2006/relationships" ref="J4456" r:id="rId12992"/>
    <hyperlink xmlns:r="http://schemas.openxmlformats.org/officeDocument/2006/relationships" ref="K4456" r:id="rId12993"/>
    <hyperlink xmlns:r="http://schemas.openxmlformats.org/officeDocument/2006/relationships" ref="I4457" r:id="rId12994"/>
    <hyperlink xmlns:r="http://schemas.openxmlformats.org/officeDocument/2006/relationships" ref="J4457" r:id="rId12995"/>
    <hyperlink xmlns:r="http://schemas.openxmlformats.org/officeDocument/2006/relationships" ref="K4457" r:id="rId12996"/>
    <hyperlink xmlns:r="http://schemas.openxmlformats.org/officeDocument/2006/relationships" ref="I4458" r:id="rId12997"/>
    <hyperlink xmlns:r="http://schemas.openxmlformats.org/officeDocument/2006/relationships" ref="J4458" r:id="rId12998"/>
    <hyperlink xmlns:r="http://schemas.openxmlformats.org/officeDocument/2006/relationships" ref="K4458" r:id="rId12999"/>
    <hyperlink xmlns:r="http://schemas.openxmlformats.org/officeDocument/2006/relationships" ref="I4459" r:id="rId13000"/>
    <hyperlink xmlns:r="http://schemas.openxmlformats.org/officeDocument/2006/relationships" ref="J4459" r:id="rId13001"/>
    <hyperlink xmlns:r="http://schemas.openxmlformats.org/officeDocument/2006/relationships" ref="K4459" r:id="rId13002"/>
    <hyperlink xmlns:r="http://schemas.openxmlformats.org/officeDocument/2006/relationships" ref="I4460" r:id="rId13003"/>
    <hyperlink xmlns:r="http://schemas.openxmlformats.org/officeDocument/2006/relationships" ref="J4460" r:id="rId13004"/>
    <hyperlink xmlns:r="http://schemas.openxmlformats.org/officeDocument/2006/relationships" ref="K4460" r:id="rId13005"/>
    <hyperlink xmlns:r="http://schemas.openxmlformats.org/officeDocument/2006/relationships" ref="I4461" r:id="rId13006"/>
    <hyperlink xmlns:r="http://schemas.openxmlformats.org/officeDocument/2006/relationships" ref="J4461" r:id="rId13007"/>
    <hyperlink xmlns:r="http://schemas.openxmlformats.org/officeDocument/2006/relationships" ref="K4461" r:id="rId13008"/>
    <hyperlink xmlns:r="http://schemas.openxmlformats.org/officeDocument/2006/relationships" ref="I4462" r:id="rId13009"/>
    <hyperlink xmlns:r="http://schemas.openxmlformats.org/officeDocument/2006/relationships" ref="J4462" r:id="rId13010"/>
    <hyperlink xmlns:r="http://schemas.openxmlformats.org/officeDocument/2006/relationships" ref="K4462" r:id="rId13011"/>
    <hyperlink xmlns:r="http://schemas.openxmlformats.org/officeDocument/2006/relationships" ref="I4463" r:id="rId13012"/>
    <hyperlink xmlns:r="http://schemas.openxmlformats.org/officeDocument/2006/relationships" ref="J4463" r:id="rId13013"/>
    <hyperlink xmlns:r="http://schemas.openxmlformats.org/officeDocument/2006/relationships" ref="K4463" r:id="rId13014"/>
    <hyperlink xmlns:r="http://schemas.openxmlformats.org/officeDocument/2006/relationships" ref="I4464" r:id="rId13015"/>
    <hyperlink xmlns:r="http://schemas.openxmlformats.org/officeDocument/2006/relationships" ref="J4464" r:id="rId13016"/>
    <hyperlink xmlns:r="http://schemas.openxmlformats.org/officeDocument/2006/relationships" ref="K4464" r:id="rId13017"/>
    <hyperlink xmlns:r="http://schemas.openxmlformats.org/officeDocument/2006/relationships" ref="I4465" r:id="rId13018"/>
    <hyperlink xmlns:r="http://schemas.openxmlformats.org/officeDocument/2006/relationships" ref="J4465" r:id="rId13019"/>
    <hyperlink xmlns:r="http://schemas.openxmlformats.org/officeDocument/2006/relationships" ref="K4465" r:id="rId13020"/>
    <hyperlink xmlns:r="http://schemas.openxmlformats.org/officeDocument/2006/relationships" ref="I4466" r:id="rId13021"/>
    <hyperlink xmlns:r="http://schemas.openxmlformats.org/officeDocument/2006/relationships" ref="J4466" r:id="rId13022"/>
    <hyperlink xmlns:r="http://schemas.openxmlformats.org/officeDocument/2006/relationships" ref="K4466" r:id="rId13023"/>
    <hyperlink xmlns:r="http://schemas.openxmlformats.org/officeDocument/2006/relationships" ref="I4467" r:id="rId13024"/>
    <hyperlink xmlns:r="http://schemas.openxmlformats.org/officeDocument/2006/relationships" ref="J4467" r:id="rId13025"/>
    <hyperlink xmlns:r="http://schemas.openxmlformats.org/officeDocument/2006/relationships" ref="K4467" r:id="rId13026"/>
    <hyperlink xmlns:r="http://schemas.openxmlformats.org/officeDocument/2006/relationships" ref="I4468" r:id="rId13027"/>
    <hyperlink xmlns:r="http://schemas.openxmlformats.org/officeDocument/2006/relationships" ref="J4468" r:id="rId13028"/>
    <hyperlink xmlns:r="http://schemas.openxmlformats.org/officeDocument/2006/relationships" ref="K4468" r:id="rId13029"/>
    <hyperlink xmlns:r="http://schemas.openxmlformats.org/officeDocument/2006/relationships" ref="I4469" r:id="rId13030"/>
    <hyperlink xmlns:r="http://schemas.openxmlformats.org/officeDocument/2006/relationships" ref="J4469" r:id="rId13031"/>
    <hyperlink xmlns:r="http://schemas.openxmlformats.org/officeDocument/2006/relationships" ref="K4469" r:id="rId13032"/>
    <hyperlink xmlns:r="http://schemas.openxmlformats.org/officeDocument/2006/relationships" ref="I4470" r:id="rId13033"/>
    <hyperlink xmlns:r="http://schemas.openxmlformats.org/officeDocument/2006/relationships" ref="J4470" r:id="rId13034"/>
    <hyperlink xmlns:r="http://schemas.openxmlformats.org/officeDocument/2006/relationships" ref="K4470" r:id="rId13035"/>
    <hyperlink xmlns:r="http://schemas.openxmlformats.org/officeDocument/2006/relationships" ref="I4471" r:id="rId13036"/>
    <hyperlink xmlns:r="http://schemas.openxmlformats.org/officeDocument/2006/relationships" ref="J4471" r:id="rId13037"/>
    <hyperlink xmlns:r="http://schemas.openxmlformats.org/officeDocument/2006/relationships" ref="K4471" r:id="rId13038"/>
    <hyperlink xmlns:r="http://schemas.openxmlformats.org/officeDocument/2006/relationships" ref="I4472" r:id="rId13039"/>
    <hyperlink xmlns:r="http://schemas.openxmlformats.org/officeDocument/2006/relationships" ref="J4472" r:id="rId13040"/>
    <hyperlink xmlns:r="http://schemas.openxmlformats.org/officeDocument/2006/relationships" ref="K4472" r:id="rId13041"/>
    <hyperlink xmlns:r="http://schemas.openxmlformats.org/officeDocument/2006/relationships" ref="I4473" r:id="rId13042"/>
    <hyperlink xmlns:r="http://schemas.openxmlformats.org/officeDocument/2006/relationships" ref="J4473" r:id="rId13043"/>
    <hyperlink xmlns:r="http://schemas.openxmlformats.org/officeDocument/2006/relationships" ref="K4473" r:id="rId13044"/>
    <hyperlink xmlns:r="http://schemas.openxmlformats.org/officeDocument/2006/relationships" ref="I4474" r:id="rId13045"/>
    <hyperlink xmlns:r="http://schemas.openxmlformats.org/officeDocument/2006/relationships" ref="J4474" r:id="rId13046"/>
    <hyperlink xmlns:r="http://schemas.openxmlformats.org/officeDocument/2006/relationships" ref="K4474" r:id="rId13047"/>
    <hyperlink xmlns:r="http://schemas.openxmlformats.org/officeDocument/2006/relationships" ref="I4475" r:id="rId13048"/>
    <hyperlink xmlns:r="http://schemas.openxmlformats.org/officeDocument/2006/relationships" ref="J4475" r:id="rId13049"/>
    <hyperlink xmlns:r="http://schemas.openxmlformats.org/officeDocument/2006/relationships" ref="K4475" r:id="rId13050"/>
    <hyperlink xmlns:r="http://schemas.openxmlformats.org/officeDocument/2006/relationships" ref="I4476" r:id="rId13051"/>
    <hyperlink xmlns:r="http://schemas.openxmlformats.org/officeDocument/2006/relationships" ref="J4476" r:id="rId13052"/>
    <hyperlink xmlns:r="http://schemas.openxmlformats.org/officeDocument/2006/relationships" ref="K4476" r:id="rId13053"/>
    <hyperlink xmlns:r="http://schemas.openxmlformats.org/officeDocument/2006/relationships" ref="I4477" r:id="rId13054"/>
    <hyperlink xmlns:r="http://schemas.openxmlformats.org/officeDocument/2006/relationships" ref="J4477" r:id="rId13055"/>
    <hyperlink xmlns:r="http://schemas.openxmlformats.org/officeDocument/2006/relationships" ref="K4477" r:id="rId13056"/>
    <hyperlink xmlns:r="http://schemas.openxmlformats.org/officeDocument/2006/relationships" ref="I4478" r:id="rId13057"/>
    <hyperlink xmlns:r="http://schemas.openxmlformats.org/officeDocument/2006/relationships" ref="J4478" r:id="rId13058"/>
    <hyperlink xmlns:r="http://schemas.openxmlformats.org/officeDocument/2006/relationships" ref="K4478" r:id="rId13059"/>
    <hyperlink xmlns:r="http://schemas.openxmlformats.org/officeDocument/2006/relationships" ref="I4479" r:id="rId13060"/>
    <hyperlink xmlns:r="http://schemas.openxmlformats.org/officeDocument/2006/relationships" ref="J4479" r:id="rId13061"/>
    <hyperlink xmlns:r="http://schemas.openxmlformats.org/officeDocument/2006/relationships" ref="K4479" r:id="rId13062"/>
    <hyperlink xmlns:r="http://schemas.openxmlformats.org/officeDocument/2006/relationships" ref="I4480" r:id="rId13063"/>
    <hyperlink xmlns:r="http://schemas.openxmlformats.org/officeDocument/2006/relationships" ref="J4480" r:id="rId13064"/>
    <hyperlink xmlns:r="http://schemas.openxmlformats.org/officeDocument/2006/relationships" ref="K4480" r:id="rId13065"/>
    <hyperlink xmlns:r="http://schemas.openxmlformats.org/officeDocument/2006/relationships" ref="I4481" r:id="rId13066"/>
    <hyperlink xmlns:r="http://schemas.openxmlformats.org/officeDocument/2006/relationships" ref="J4481" r:id="rId13067"/>
    <hyperlink xmlns:r="http://schemas.openxmlformats.org/officeDocument/2006/relationships" ref="K4481" r:id="rId13068"/>
    <hyperlink xmlns:r="http://schemas.openxmlformats.org/officeDocument/2006/relationships" ref="I4482" r:id="rId13069"/>
    <hyperlink xmlns:r="http://schemas.openxmlformats.org/officeDocument/2006/relationships" ref="J4482" r:id="rId13070"/>
    <hyperlink xmlns:r="http://schemas.openxmlformats.org/officeDocument/2006/relationships" ref="K4482" r:id="rId13071"/>
    <hyperlink xmlns:r="http://schemas.openxmlformats.org/officeDocument/2006/relationships" ref="I4483" r:id="rId13072"/>
    <hyperlink xmlns:r="http://schemas.openxmlformats.org/officeDocument/2006/relationships" ref="J4483" r:id="rId13073"/>
    <hyperlink xmlns:r="http://schemas.openxmlformats.org/officeDocument/2006/relationships" ref="K4483" r:id="rId13074"/>
    <hyperlink xmlns:r="http://schemas.openxmlformats.org/officeDocument/2006/relationships" ref="I4484" r:id="rId13075"/>
    <hyperlink xmlns:r="http://schemas.openxmlformats.org/officeDocument/2006/relationships" ref="J4484" r:id="rId13076"/>
    <hyperlink xmlns:r="http://schemas.openxmlformats.org/officeDocument/2006/relationships" ref="K4484" r:id="rId13077"/>
    <hyperlink xmlns:r="http://schemas.openxmlformats.org/officeDocument/2006/relationships" ref="I4485" r:id="rId13078"/>
    <hyperlink xmlns:r="http://schemas.openxmlformats.org/officeDocument/2006/relationships" ref="J4485" r:id="rId13079"/>
    <hyperlink xmlns:r="http://schemas.openxmlformats.org/officeDocument/2006/relationships" ref="K4485" r:id="rId13080"/>
    <hyperlink xmlns:r="http://schemas.openxmlformats.org/officeDocument/2006/relationships" ref="I4486" r:id="rId13081"/>
    <hyperlink xmlns:r="http://schemas.openxmlformats.org/officeDocument/2006/relationships" ref="J4486" r:id="rId13082"/>
    <hyperlink xmlns:r="http://schemas.openxmlformats.org/officeDocument/2006/relationships" ref="K4486" r:id="rId13083"/>
    <hyperlink xmlns:r="http://schemas.openxmlformats.org/officeDocument/2006/relationships" ref="I4487" r:id="rId13084"/>
    <hyperlink xmlns:r="http://schemas.openxmlformats.org/officeDocument/2006/relationships" ref="J4487" r:id="rId13085"/>
    <hyperlink xmlns:r="http://schemas.openxmlformats.org/officeDocument/2006/relationships" ref="K4487" r:id="rId13086"/>
    <hyperlink xmlns:r="http://schemas.openxmlformats.org/officeDocument/2006/relationships" ref="I4488" r:id="rId13087"/>
    <hyperlink xmlns:r="http://schemas.openxmlformats.org/officeDocument/2006/relationships" ref="J4488" r:id="rId13088"/>
    <hyperlink xmlns:r="http://schemas.openxmlformats.org/officeDocument/2006/relationships" ref="K4488" r:id="rId13089"/>
    <hyperlink xmlns:r="http://schemas.openxmlformats.org/officeDocument/2006/relationships" ref="I4489" r:id="rId13090"/>
    <hyperlink xmlns:r="http://schemas.openxmlformats.org/officeDocument/2006/relationships" ref="J4489" r:id="rId13091"/>
    <hyperlink xmlns:r="http://schemas.openxmlformats.org/officeDocument/2006/relationships" ref="K4489" r:id="rId13092"/>
    <hyperlink xmlns:r="http://schemas.openxmlformats.org/officeDocument/2006/relationships" ref="I4490" r:id="rId13093"/>
    <hyperlink xmlns:r="http://schemas.openxmlformats.org/officeDocument/2006/relationships" ref="J4490" r:id="rId13094"/>
    <hyperlink xmlns:r="http://schemas.openxmlformats.org/officeDocument/2006/relationships" ref="K4490" r:id="rId13095"/>
    <hyperlink xmlns:r="http://schemas.openxmlformats.org/officeDocument/2006/relationships" ref="I4491" r:id="rId13096"/>
    <hyperlink xmlns:r="http://schemas.openxmlformats.org/officeDocument/2006/relationships" ref="J4491" r:id="rId13097"/>
    <hyperlink xmlns:r="http://schemas.openxmlformats.org/officeDocument/2006/relationships" ref="K4491" r:id="rId13098"/>
    <hyperlink xmlns:r="http://schemas.openxmlformats.org/officeDocument/2006/relationships" ref="I4492" r:id="rId13099"/>
    <hyperlink xmlns:r="http://schemas.openxmlformats.org/officeDocument/2006/relationships" ref="J4492" r:id="rId13100"/>
    <hyperlink xmlns:r="http://schemas.openxmlformats.org/officeDocument/2006/relationships" ref="K4492" r:id="rId13101"/>
    <hyperlink xmlns:r="http://schemas.openxmlformats.org/officeDocument/2006/relationships" ref="I4493" r:id="rId13102"/>
    <hyperlink xmlns:r="http://schemas.openxmlformats.org/officeDocument/2006/relationships" ref="J4493" r:id="rId13103"/>
    <hyperlink xmlns:r="http://schemas.openxmlformats.org/officeDocument/2006/relationships" ref="K4493" r:id="rId13104"/>
    <hyperlink xmlns:r="http://schemas.openxmlformats.org/officeDocument/2006/relationships" ref="I4494" r:id="rId13105"/>
    <hyperlink xmlns:r="http://schemas.openxmlformats.org/officeDocument/2006/relationships" ref="J4494" r:id="rId13106"/>
    <hyperlink xmlns:r="http://schemas.openxmlformats.org/officeDocument/2006/relationships" ref="K4494" r:id="rId13107"/>
    <hyperlink xmlns:r="http://schemas.openxmlformats.org/officeDocument/2006/relationships" ref="I4495" r:id="rId13108"/>
    <hyperlink xmlns:r="http://schemas.openxmlformats.org/officeDocument/2006/relationships" ref="J4495" r:id="rId13109"/>
    <hyperlink xmlns:r="http://schemas.openxmlformats.org/officeDocument/2006/relationships" ref="K4495" r:id="rId13110"/>
    <hyperlink xmlns:r="http://schemas.openxmlformats.org/officeDocument/2006/relationships" ref="I4496" r:id="rId13111"/>
    <hyperlink xmlns:r="http://schemas.openxmlformats.org/officeDocument/2006/relationships" ref="J4496" r:id="rId13112"/>
    <hyperlink xmlns:r="http://schemas.openxmlformats.org/officeDocument/2006/relationships" ref="K4496" r:id="rId13113"/>
    <hyperlink xmlns:r="http://schemas.openxmlformats.org/officeDocument/2006/relationships" ref="I4497" r:id="rId13114"/>
    <hyperlink xmlns:r="http://schemas.openxmlformats.org/officeDocument/2006/relationships" ref="J4497" r:id="rId13115"/>
    <hyperlink xmlns:r="http://schemas.openxmlformats.org/officeDocument/2006/relationships" ref="I4498" r:id="rId13116"/>
    <hyperlink xmlns:r="http://schemas.openxmlformats.org/officeDocument/2006/relationships" ref="J4498" r:id="rId13117"/>
    <hyperlink xmlns:r="http://schemas.openxmlformats.org/officeDocument/2006/relationships" ref="I4499" r:id="rId13118"/>
    <hyperlink xmlns:r="http://schemas.openxmlformats.org/officeDocument/2006/relationships" ref="J4499" r:id="rId13119"/>
    <hyperlink xmlns:r="http://schemas.openxmlformats.org/officeDocument/2006/relationships" ref="I4500" r:id="rId13120"/>
    <hyperlink xmlns:r="http://schemas.openxmlformats.org/officeDocument/2006/relationships" ref="J4500" r:id="rId13121"/>
    <hyperlink xmlns:r="http://schemas.openxmlformats.org/officeDocument/2006/relationships" ref="I4501" r:id="rId13122"/>
    <hyperlink xmlns:r="http://schemas.openxmlformats.org/officeDocument/2006/relationships" ref="J4501" r:id="rId13123"/>
    <hyperlink xmlns:r="http://schemas.openxmlformats.org/officeDocument/2006/relationships" ref="I4502" r:id="rId13124"/>
    <hyperlink xmlns:r="http://schemas.openxmlformats.org/officeDocument/2006/relationships" ref="J4502" r:id="rId13125"/>
    <hyperlink xmlns:r="http://schemas.openxmlformats.org/officeDocument/2006/relationships" ref="K4502" r:id="rId13126"/>
    <hyperlink xmlns:r="http://schemas.openxmlformats.org/officeDocument/2006/relationships" ref="I4503" r:id="rId13127"/>
    <hyperlink xmlns:r="http://schemas.openxmlformats.org/officeDocument/2006/relationships" ref="J4503" r:id="rId13128"/>
    <hyperlink xmlns:r="http://schemas.openxmlformats.org/officeDocument/2006/relationships" ref="I4504" r:id="rId13129"/>
    <hyperlink xmlns:r="http://schemas.openxmlformats.org/officeDocument/2006/relationships" ref="J4504" r:id="rId13130"/>
    <hyperlink xmlns:r="http://schemas.openxmlformats.org/officeDocument/2006/relationships" ref="K4504" r:id="rId13131"/>
    <hyperlink xmlns:r="http://schemas.openxmlformats.org/officeDocument/2006/relationships" ref="I4505" r:id="rId13132"/>
    <hyperlink xmlns:r="http://schemas.openxmlformats.org/officeDocument/2006/relationships" ref="J4505" r:id="rId13133"/>
    <hyperlink xmlns:r="http://schemas.openxmlformats.org/officeDocument/2006/relationships" ref="K4505" r:id="rId13134"/>
    <hyperlink xmlns:r="http://schemas.openxmlformats.org/officeDocument/2006/relationships" ref="I4506" r:id="rId13135"/>
    <hyperlink xmlns:r="http://schemas.openxmlformats.org/officeDocument/2006/relationships" ref="J4506" r:id="rId13136"/>
    <hyperlink xmlns:r="http://schemas.openxmlformats.org/officeDocument/2006/relationships" ref="K4506" r:id="rId13137"/>
    <hyperlink xmlns:r="http://schemas.openxmlformats.org/officeDocument/2006/relationships" ref="I4507" r:id="rId13138"/>
    <hyperlink xmlns:r="http://schemas.openxmlformats.org/officeDocument/2006/relationships" ref="J4507" r:id="rId13139"/>
    <hyperlink xmlns:r="http://schemas.openxmlformats.org/officeDocument/2006/relationships" ref="K4507" r:id="rId13140"/>
    <hyperlink xmlns:r="http://schemas.openxmlformats.org/officeDocument/2006/relationships" ref="I4508" r:id="rId13141"/>
    <hyperlink xmlns:r="http://schemas.openxmlformats.org/officeDocument/2006/relationships" ref="J4508" r:id="rId13142"/>
    <hyperlink xmlns:r="http://schemas.openxmlformats.org/officeDocument/2006/relationships" ref="K4508" r:id="rId13143"/>
    <hyperlink xmlns:r="http://schemas.openxmlformats.org/officeDocument/2006/relationships" ref="I4509" r:id="rId13144"/>
    <hyperlink xmlns:r="http://schemas.openxmlformats.org/officeDocument/2006/relationships" ref="J4509" r:id="rId13145"/>
    <hyperlink xmlns:r="http://schemas.openxmlformats.org/officeDocument/2006/relationships" ref="K4509" r:id="rId13146"/>
    <hyperlink xmlns:r="http://schemas.openxmlformats.org/officeDocument/2006/relationships" ref="I4510" r:id="rId13147"/>
    <hyperlink xmlns:r="http://schemas.openxmlformats.org/officeDocument/2006/relationships" ref="J4510" r:id="rId13148"/>
    <hyperlink xmlns:r="http://schemas.openxmlformats.org/officeDocument/2006/relationships" ref="K4510" r:id="rId13149"/>
    <hyperlink xmlns:r="http://schemas.openxmlformats.org/officeDocument/2006/relationships" ref="I4511" r:id="rId13150"/>
    <hyperlink xmlns:r="http://schemas.openxmlformats.org/officeDocument/2006/relationships" ref="J4511" r:id="rId13151"/>
    <hyperlink xmlns:r="http://schemas.openxmlformats.org/officeDocument/2006/relationships" ref="I4512" r:id="rId13152"/>
    <hyperlink xmlns:r="http://schemas.openxmlformats.org/officeDocument/2006/relationships" ref="J4512" r:id="rId13153"/>
    <hyperlink xmlns:r="http://schemas.openxmlformats.org/officeDocument/2006/relationships" ref="I4513" r:id="rId13154"/>
    <hyperlink xmlns:r="http://schemas.openxmlformats.org/officeDocument/2006/relationships" ref="J4513" r:id="rId13155"/>
    <hyperlink xmlns:r="http://schemas.openxmlformats.org/officeDocument/2006/relationships" ref="I4514" r:id="rId13156"/>
    <hyperlink xmlns:r="http://schemas.openxmlformats.org/officeDocument/2006/relationships" ref="J4514" r:id="rId13157"/>
    <hyperlink xmlns:r="http://schemas.openxmlformats.org/officeDocument/2006/relationships" ref="I4515" r:id="rId13158"/>
    <hyperlink xmlns:r="http://schemas.openxmlformats.org/officeDocument/2006/relationships" ref="J4515" r:id="rId13159"/>
    <hyperlink xmlns:r="http://schemas.openxmlformats.org/officeDocument/2006/relationships" ref="I4516" r:id="rId13160"/>
    <hyperlink xmlns:r="http://schemas.openxmlformats.org/officeDocument/2006/relationships" ref="J4516" r:id="rId13161"/>
    <hyperlink xmlns:r="http://schemas.openxmlformats.org/officeDocument/2006/relationships" ref="I4517" r:id="rId13162"/>
    <hyperlink xmlns:r="http://schemas.openxmlformats.org/officeDocument/2006/relationships" ref="I4518" r:id="rId13163"/>
    <hyperlink xmlns:r="http://schemas.openxmlformats.org/officeDocument/2006/relationships" ref="I4519" r:id="rId13164"/>
    <hyperlink xmlns:r="http://schemas.openxmlformats.org/officeDocument/2006/relationships" ref="I4520" r:id="rId13165"/>
    <hyperlink xmlns:r="http://schemas.openxmlformats.org/officeDocument/2006/relationships" ref="I4521" r:id="rId13166"/>
    <hyperlink xmlns:r="http://schemas.openxmlformats.org/officeDocument/2006/relationships" ref="I4522" r:id="rId13167"/>
    <hyperlink xmlns:r="http://schemas.openxmlformats.org/officeDocument/2006/relationships" ref="I4523" r:id="rId13168"/>
    <hyperlink xmlns:r="http://schemas.openxmlformats.org/officeDocument/2006/relationships" ref="J4523" r:id="rId13169"/>
    <hyperlink xmlns:r="http://schemas.openxmlformats.org/officeDocument/2006/relationships" ref="I4524" r:id="rId13170"/>
    <hyperlink xmlns:r="http://schemas.openxmlformats.org/officeDocument/2006/relationships" ref="J4524" r:id="rId13171"/>
    <hyperlink xmlns:r="http://schemas.openxmlformats.org/officeDocument/2006/relationships" ref="I4525" r:id="rId13172"/>
    <hyperlink xmlns:r="http://schemas.openxmlformats.org/officeDocument/2006/relationships" ref="J4525" r:id="rId13173"/>
    <hyperlink xmlns:r="http://schemas.openxmlformats.org/officeDocument/2006/relationships" ref="I4526" r:id="rId13174"/>
    <hyperlink xmlns:r="http://schemas.openxmlformats.org/officeDocument/2006/relationships" ref="J4526" r:id="rId13175"/>
    <hyperlink xmlns:r="http://schemas.openxmlformats.org/officeDocument/2006/relationships" ref="I4527" r:id="rId13176"/>
    <hyperlink xmlns:r="http://schemas.openxmlformats.org/officeDocument/2006/relationships" ref="J4527" r:id="rId13177"/>
    <hyperlink xmlns:r="http://schemas.openxmlformats.org/officeDocument/2006/relationships" ref="K4527" r:id="rId13178"/>
    <hyperlink xmlns:r="http://schemas.openxmlformats.org/officeDocument/2006/relationships" ref="I4528" r:id="rId13179"/>
    <hyperlink xmlns:r="http://schemas.openxmlformats.org/officeDocument/2006/relationships" ref="J4528" r:id="rId13180"/>
    <hyperlink xmlns:r="http://schemas.openxmlformats.org/officeDocument/2006/relationships" ref="K4528" r:id="rId13181"/>
    <hyperlink xmlns:r="http://schemas.openxmlformats.org/officeDocument/2006/relationships" ref="I4529" r:id="rId13182"/>
    <hyperlink xmlns:r="http://schemas.openxmlformats.org/officeDocument/2006/relationships" ref="J4529" r:id="rId13183"/>
    <hyperlink xmlns:r="http://schemas.openxmlformats.org/officeDocument/2006/relationships" ref="K4529" r:id="rId13184"/>
    <hyperlink xmlns:r="http://schemas.openxmlformats.org/officeDocument/2006/relationships" ref="I4530" r:id="rId13185"/>
    <hyperlink xmlns:r="http://schemas.openxmlformats.org/officeDocument/2006/relationships" ref="J4530" r:id="rId13186"/>
    <hyperlink xmlns:r="http://schemas.openxmlformats.org/officeDocument/2006/relationships" ref="K4530" r:id="rId13187"/>
    <hyperlink xmlns:r="http://schemas.openxmlformats.org/officeDocument/2006/relationships" ref="I4531" r:id="rId13188"/>
    <hyperlink xmlns:r="http://schemas.openxmlformats.org/officeDocument/2006/relationships" ref="J4531" r:id="rId13189"/>
    <hyperlink xmlns:r="http://schemas.openxmlformats.org/officeDocument/2006/relationships" ref="K4531" r:id="rId13190"/>
    <hyperlink xmlns:r="http://schemas.openxmlformats.org/officeDocument/2006/relationships" ref="I4532" r:id="rId13191"/>
    <hyperlink xmlns:r="http://schemas.openxmlformats.org/officeDocument/2006/relationships" ref="J4532" r:id="rId13192"/>
    <hyperlink xmlns:r="http://schemas.openxmlformats.org/officeDocument/2006/relationships" ref="K4532" r:id="rId13193"/>
    <hyperlink xmlns:r="http://schemas.openxmlformats.org/officeDocument/2006/relationships" ref="I4533" r:id="rId13194"/>
    <hyperlink xmlns:r="http://schemas.openxmlformats.org/officeDocument/2006/relationships" ref="J4533" r:id="rId13195"/>
    <hyperlink xmlns:r="http://schemas.openxmlformats.org/officeDocument/2006/relationships" ref="K4533" r:id="rId13196"/>
    <hyperlink xmlns:r="http://schemas.openxmlformats.org/officeDocument/2006/relationships" ref="I4534" r:id="rId13197"/>
    <hyperlink xmlns:r="http://schemas.openxmlformats.org/officeDocument/2006/relationships" ref="J4534" r:id="rId13198"/>
    <hyperlink xmlns:r="http://schemas.openxmlformats.org/officeDocument/2006/relationships" ref="K4534" r:id="rId13199"/>
    <hyperlink xmlns:r="http://schemas.openxmlformats.org/officeDocument/2006/relationships" ref="I4535" r:id="rId13200"/>
    <hyperlink xmlns:r="http://schemas.openxmlformats.org/officeDocument/2006/relationships" ref="J4535" r:id="rId13201"/>
    <hyperlink xmlns:r="http://schemas.openxmlformats.org/officeDocument/2006/relationships" ref="K4535" r:id="rId13202"/>
    <hyperlink xmlns:r="http://schemas.openxmlformats.org/officeDocument/2006/relationships" ref="I4536" r:id="rId13203"/>
    <hyperlink xmlns:r="http://schemas.openxmlformats.org/officeDocument/2006/relationships" ref="J4536" r:id="rId13204"/>
    <hyperlink xmlns:r="http://schemas.openxmlformats.org/officeDocument/2006/relationships" ref="K4536" r:id="rId13205"/>
    <hyperlink xmlns:r="http://schemas.openxmlformats.org/officeDocument/2006/relationships" ref="I4537" r:id="rId13206"/>
    <hyperlink xmlns:r="http://schemas.openxmlformats.org/officeDocument/2006/relationships" ref="J4537" r:id="rId13207"/>
    <hyperlink xmlns:r="http://schemas.openxmlformats.org/officeDocument/2006/relationships" ref="I4538" r:id="rId13208"/>
    <hyperlink xmlns:r="http://schemas.openxmlformats.org/officeDocument/2006/relationships" ref="J4538" r:id="rId13209"/>
    <hyperlink xmlns:r="http://schemas.openxmlformats.org/officeDocument/2006/relationships" ref="K4538" r:id="rId13210"/>
    <hyperlink xmlns:r="http://schemas.openxmlformats.org/officeDocument/2006/relationships" ref="I4539" r:id="rId13211"/>
    <hyperlink xmlns:r="http://schemas.openxmlformats.org/officeDocument/2006/relationships" ref="J4539" r:id="rId13212"/>
    <hyperlink xmlns:r="http://schemas.openxmlformats.org/officeDocument/2006/relationships" ref="K4539" r:id="rId13213"/>
    <hyperlink xmlns:r="http://schemas.openxmlformats.org/officeDocument/2006/relationships" ref="I4540" r:id="rId13214"/>
    <hyperlink xmlns:r="http://schemas.openxmlformats.org/officeDocument/2006/relationships" ref="J4540" r:id="rId13215"/>
    <hyperlink xmlns:r="http://schemas.openxmlformats.org/officeDocument/2006/relationships" ref="K4540" r:id="rId13216"/>
    <hyperlink xmlns:r="http://schemas.openxmlformats.org/officeDocument/2006/relationships" ref="I4541" r:id="rId13217"/>
    <hyperlink xmlns:r="http://schemas.openxmlformats.org/officeDocument/2006/relationships" ref="J4541" r:id="rId13218"/>
    <hyperlink xmlns:r="http://schemas.openxmlformats.org/officeDocument/2006/relationships" ref="K4541" r:id="rId13219"/>
    <hyperlink xmlns:r="http://schemas.openxmlformats.org/officeDocument/2006/relationships" ref="I4542" r:id="rId13220"/>
    <hyperlink xmlns:r="http://schemas.openxmlformats.org/officeDocument/2006/relationships" ref="J4542" r:id="rId13221"/>
    <hyperlink xmlns:r="http://schemas.openxmlformats.org/officeDocument/2006/relationships" ref="K4542" r:id="rId13222"/>
    <hyperlink xmlns:r="http://schemas.openxmlformats.org/officeDocument/2006/relationships" ref="I4543" r:id="rId13223"/>
    <hyperlink xmlns:r="http://schemas.openxmlformats.org/officeDocument/2006/relationships" ref="J4543" r:id="rId13224"/>
    <hyperlink xmlns:r="http://schemas.openxmlformats.org/officeDocument/2006/relationships" ref="K4543" r:id="rId13225"/>
    <hyperlink xmlns:r="http://schemas.openxmlformats.org/officeDocument/2006/relationships" ref="I4544" r:id="rId13226"/>
    <hyperlink xmlns:r="http://schemas.openxmlformats.org/officeDocument/2006/relationships" ref="J4544" r:id="rId13227"/>
    <hyperlink xmlns:r="http://schemas.openxmlformats.org/officeDocument/2006/relationships" ref="K4544" r:id="rId13228"/>
    <hyperlink xmlns:r="http://schemas.openxmlformats.org/officeDocument/2006/relationships" ref="I4545" r:id="rId13229"/>
    <hyperlink xmlns:r="http://schemas.openxmlformats.org/officeDocument/2006/relationships" ref="J4545" r:id="rId13230"/>
    <hyperlink xmlns:r="http://schemas.openxmlformats.org/officeDocument/2006/relationships" ref="K4545" r:id="rId13231"/>
    <hyperlink xmlns:r="http://schemas.openxmlformats.org/officeDocument/2006/relationships" ref="I4546" r:id="rId13232"/>
    <hyperlink xmlns:r="http://schemas.openxmlformats.org/officeDocument/2006/relationships" ref="J4546" r:id="rId13233"/>
    <hyperlink xmlns:r="http://schemas.openxmlformats.org/officeDocument/2006/relationships" ref="K4546" r:id="rId13234"/>
    <hyperlink xmlns:r="http://schemas.openxmlformats.org/officeDocument/2006/relationships" ref="I4547" r:id="rId13235"/>
    <hyperlink xmlns:r="http://schemas.openxmlformats.org/officeDocument/2006/relationships" ref="J4547" r:id="rId13236"/>
    <hyperlink xmlns:r="http://schemas.openxmlformats.org/officeDocument/2006/relationships" ref="K4547" r:id="rId13237"/>
    <hyperlink xmlns:r="http://schemas.openxmlformats.org/officeDocument/2006/relationships" ref="I4548" r:id="rId13238"/>
    <hyperlink xmlns:r="http://schemas.openxmlformats.org/officeDocument/2006/relationships" ref="J4548" r:id="rId13239"/>
    <hyperlink xmlns:r="http://schemas.openxmlformats.org/officeDocument/2006/relationships" ref="K4548" r:id="rId13240"/>
    <hyperlink xmlns:r="http://schemas.openxmlformats.org/officeDocument/2006/relationships" ref="I4549" r:id="rId13241"/>
    <hyperlink xmlns:r="http://schemas.openxmlformats.org/officeDocument/2006/relationships" ref="J4549" r:id="rId13242"/>
    <hyperlink xmlns:r="http://schemas.openxmlformats.org/officeDocument/2006/relationships" ref="K4549" r:id="rId13243"/>
    <hyperlink xmlns:r="http://schemas.openxmlformats.org/officeDocument/2006/relationships" ref="I4550" r:id="rId13244"/>
    <hyperlink xmlns:r="http://schemas.openxmlformats.org/officeDocument/2006/relationships" ref="J4550" r:id="rId13245"/>
    <hyperlink xmlns:r="http://schemas.openxmlformats.org/officeDocument/2006/relationships" ref="K4550" r:id="rId13246"/>
    <hyperlink xmlns:r="http://schemas.openxmlformats.org/officeDocument/2006/relationships" ref="I4551" r:id="rId13247"/>
    <hyperlink xmlns:r="http://schemas.openxmlformats.org/officeDocument/2006/relationships" ref="J4551" r:id="rId13248"/>
    <hyperlink xmlns:r="http://schemas.openxmlformats.org/officeDocument/2006/relationships" ref="K4551" r:id="rId13249"/>
    <hyperlink xmlns:r="http://schemas.openxmlformats.org/officeDocument/2006/relationships" ref="I4552" r:id="rId13250"/>
    <hyperlink xmlns:r="http://schemas.openxmlformats.org/officeDocument/2006/relationships" ref="J4552" r:id="rId13251"/>
    <hyperlink xmlns:r="http://schemas.openxmlformats.org/officeDocument/2006/relationships" ref="K4552" r:id="rId13252"/>
    <hyperlink xmlns:r="http://schemas.openxmlformats.org/officeDocument/2006/relationships" ref="I4553" r:id="rId13253"/>
    <hyperlink xmlns:r="http://schemas.openxmlformats.org/officeDocument/2006/relationships" ref="J4553" r:id="rId13254"/>
    <hyperlink xmlns:r="http://schemas.openxmlformats.org/officeDocument/2006/relationships" ref="K4553" r:id="rId13255"/>
    <hyperlink xmlns:r="http://schemas.openxmlformats.org/officeDocument/2006/relationships" ref="I4554" r:id="rId13256"/>
    <hyperlink xmlns:r="http://schemas.openxmlformats.org/officeDocument/2006/relationships" ref="J4554" r:id="rId13257"/>
    <hyperlink xmlns:r="http://schemas.openxmlformats.org/officeDocument/2006/relationships" ref="K4554" r:id="rId13258"/>
    <hyperlink xmlns:r="http://schemas.openxmlformats.org/officeDocument/2006/relationships" ref="I4555" r:id="rId13259"/>
    <hyperlink xmlns:r="http://schemas.openxmlformats.org/officeDocument/2006/relationships" ref="J4555" r:id="rId13260"/>
    <hyperlink xmlns:r="http://schemas.openxmlformats.org/officeDocument/2006/relationships" ref="K4555" r:id="rId13261"/>
    <hyperlink xmlns:r="http://schemas.openxmlformats.org/officeDocument/2006/relationships" ref="I4556" r:id="rId13262"/>
    <hyperlink xmlns:r="http://schemas.openxmlformats.org/officeDocument/2006/relationships" ref="J4556" r:id="rId13263"/>
    <hyperlink xmlns:r="http://schemas.openxmlformats.org/officeDocument/2006/relationships" ref="K4556" r:id="rId13264"/>
    <hyperlink xmlns:r="http://schemas.openxmlformats.org/officeDocument/2006/relationships" ref="I4557" r:id="rId13265"/>
    <hyperlink xmlns:r="http://schemas.openxmlformats.org/officeDocument/2006/relationships" ref="J4557" r:id="rId13266"/>
    <hyperlink xmlns:r="http://schemas.openxmlformats.org/officeDocument/2006/relationships" ref="K4557" r:id="rId13267"/>
    <hyperlink xmlns:r="http://schemas.openxmlformats.org/officeDocument/2006/relationships" ref="I4558" r:id="rId13268"/>
    <hyperlink xmlns:r="http://schemas.openxmlformats.org/officeDocument/2006/relationships" ref="J4558" r:id="rId13269"/>
    <hyperlink xmlns:r="http://schemas.openxmlformats.org/officeDocument/2006/relationships" ref="K4558" r:id="rId13270"/>
    <hyperlink xmlns:r="http://schemas.openxmlformats.org/officeDocument/2006/relationships" ref="I4559" r:id="rId13271"/>
    <hyperlink xmlns:r="http://schemas.openxmlformats.org/officeDocument/2006/relationships" ref="J4559" r:id="rId13272"/>
    <hyperlink xmlns:r="http://schemas.openxmlformats.org/officeDocument/2006/relationships" ref="K4559" r:id="rId13273"/>
    <hyperlink xmlns:r="http://schemas.openxmlformats.org/officeDocument/2006/relationships" ref="I4560" r:id="rId13274"/>
    <hyperlink xmlns:r="http://schemas.openxmlformats.org/officeDocument/2006/relationships" ref="J4560" r:id="rId13275"/>
    <hyperlink xmlns:r="http://schemas.openxmlformats.org/officeDocument/2006/relationships" ref="K4560" r:id="rId13276"/>
    <hyperlink xmlns:r="http://schemas.openxmlformats.org/officeDocument/2006/relationships" ref="I4561" r:id="rId13277"/>
    <hyperlink xmlns:r="http://schemas.openxmlformats.org/officeDocument/2006/relationships" ref="J4561" r:id="rId13278"/>
    <hyperlink xmlns:r="http://schemas.openxmlformats.org/officeDocument/2006/relationships" ref="I4562" r:id="rId13279"/>
    <hyperlink xmlns:r="http://schemas.openxmlformats.org/officeDocument/2006/relationships" ref="J4562" r:id="rId13280"/>
    <hyperlink xmlns:r="http://schemas.openxmlformats.org/officeDocument/2006/relationships" ref="K4562" r:id="rId13281"/>
    <hyperlink xmlns:r="http://schemas.openxmlformats.org/officeDocument/2006/relationships" ref="I4563" r:id="rId13282"/>
    <hyperlink xmlns:r="http://schemas.openxmlformats.org/officeDocument/2006/relationships" ref="J4563" r:id="rId13283"/>
    <hyperlink xmlns:r="http://schemas.openxmlformats.org/officeDocument/2006/relationships" ref="K4563" r:id="rId13284"/>
    <hyperlink xmlns:r="http://schemas.openxmlformats.org/officeDocument/2006/relationships" ref="I4564" r:id="rId13285"/>
    <hyperlink xmlns:r="http://schemas.openxmlformats.org/officeDocument/2006/relationships" ref="J4564" r:id="rId13286"/>
    <hyperlink xmlns:r="http://schemas.openxmlformats.org/officeDocument/2006/relationships" ref="K4564" r:id="rId13287"/>
    <hyperlink xmlns:r="http://schemas.openxmlformats.org/officeDocument/2006/relationships" ref="I4565" r:id="rId13288"/>
    <hyperlink xmlns:r="http://schemas.openxmlformats.org/officeDocument/2006/relationships" ref="J4565" r:id="rId13289"/>
    <hyperlink xmlns:r="http://schemas.openxmlformats.org/officeDocument/2006/relationships" ref="K4565" r:id="rId13290"/>
    <hyperlink xmlns:r="http://schemas.openxmlformats.org/officeDocument/2006/relationships" ref="I4566" r:id="rId13291"/>
    <hyperlink xmlns:r="http://schemas.openxmlformats.org/officeDocument/2006/relationships" ref="J4566" r:id="rId13292"/>
    <hyperlink xmlns:r="http://schemas.openxmlformats.org/officeDocument/2006/relationships" ref="K4566" r:id="rId13293"/>
    <hyperlink xmlns:r="http://schemas.openxmlformats.org/officeDocument/2006/relationships" ref="I4567" r:id="rId13294"/>
    <hyperlink xmlns:r="http://schemas.openxmlformats.org/officeDocument/2006/relationships" ref="J4567" r:id="rId13295"/>
    <hyperlink xmlns:r="http://schemas.openxmlformats.org/officeDocument/2006/relationships" ref="K4567" r:id="rId13296"/>
    <hyperlink xmlns:r="http://schemas.openxmlformats.org/officeDocument/2006/relationships" ref="I4568" r:id="rId13297"/>
    <hyperlink xmlns:r="http://schemas.openxmlformats.org/officeDocument/2006/relationships" ref="J4568" r:id="rId13298"/>
    <hyperlink xmlns:r="http://schemas.openxmlformats.org/officeDocument/2006/relationships" ref="K4568" r:id="rId13299"/>
    <hyperlink xmlns:r="http://schemas.openxmlformats.org/officeDocument/2006/relationships" ref="I4569" r:id="rId13300"/>
    <hyperlink xmlns:r="http://schemas.openxmlformats.org/officeDocument/2006/relationships" ref="J4569" r:id="rId13301"/>
    <hyperlink xmlns:r="http://schemas.openxmlformats.org/officeDocument/2006/relationships" ref="K4569" r:id="rId13302"/>
    <hyperlink xmlns:r="http://schemas.openxmlformats.org/officeDocument/2006/relationships" ref="I4570" r:id="rId13303"/>
    <hyperlink xmlns:r="http://schemas.openxmlformats.org/officeDocument/2006/relationships" ref="J4570" r:id="rId13304"/>
    <hyperlink xmlns:r="http://schemas.openxmlformats.org/officeDocument/2006/relationships" ref="K4570" r:id="rId13305"/>
    <hyperlink xmlns:r="http://schemas.openxmlformats.org/officeDocument/2006/relationships" ref="I4571" r:id="rId13306"/>
    <hyperlink xmlns:r="http://schemas.openxmlformats.org/officeDocument/2006/relationships" ref="J4571" r:id="rId13307"/>
    <hyperlink xmlns:r="http://schemas.openxmlformats.org/officeDocument/2006/relationships" ref="K4571" r:id="rId13308"/>
    <hyperlink xmlns:r="http://schemas.openxmlformats.org/officeDocument/2006/relationships" ref="I4572" r:id="rId13309"/>
    <hyperlink xmlns:r="http://schemas.openxmlformats.org/officeDocument/2006/relationships" ref="J4572" r:id="rId13310"/>
    <hyperlink xmlns:r="http://schemas.openxmlformats.org/officeDocument/2006/relationships" ref="K4572" r:id="rId13311"/>
    <hyperlink xmlns:r="http://schemas.openxmlformats.org/officeDocument/2006/relationships" ref="I4573" r:id="rId13312"/>
    <hyperlink xmlns:r="http://schemas.openxmlformats.org/officeDocument/2006/relationships" ref="J4573" r:id="rId13313"/>
    <hyperlink xmlns:r="http://schemas.openxmlformats.org/officeDocument/2006/relationships" ref="K4573" r:id="rId13314"/>
    <hyperlink xmlns:r="http://schemas.openxmlformats.org/officeDocument/2006/relationships" ref="I4574" r:id="rId13315"/>
    <hyperlink xmlns:r="http://schemas.openxmlformats.org/officeDocument/2006/relationships" ref="J4574" r:id="rId13316"/>
    <hyperlink xmlns:r="http://schemas.openxmlformats.org/officeDocument/2006/relationships" ref="I4575" r:id="rId13317"/>
    <hyperlink xmlns:r="http://schemas.openxmlformats.org/officeDocument/2006/relationships" ref="J4575" r:id="rId13318"/>
    <hyperlink xmlns:r="http://schemas.openxmlformats.org/officeDocument/2006/relationships" ref="I4576" r:id="rId13319"/>
    <hyperlink xmlns:r="http://schemas.openxmlformats.org/officeDocument/2006/relationships" ref="J4576" r:id="rId13320"/>
    <hyperlink xmlns:r="http://schemas.openxmlformats.org/officeDocument/2006/relationships" ref="I4577" r:id="rId13321"/>
    <hyperlink xmlns:r="http://schemas.openxmlformats.org/officeDocument/2006/relationships" ref="J4577" r:id="rId13322"/>
    <hyperlink xmlns:r="http://schemas.openxmlformats.org/officeDocument/2006/relationships" ref="I4578" r:id="rId13323"/>
    <hyperlink xmlns:r="http://schemas.openxmlformats.org/officeDocument/2006/relationships" ref="J4578" r:id="rId13324"/>
    <hyperlink xmlns:r="http://schemas.openxmlformats.org/officeDocument/2006/relationships" ref="I4579" r:id="rId13325"/>
    <hyperlink xmlns:r="http://schemas.openxmlformats.org/officeDocument/2006/relationships" ref="J4579" r:id="rId13326"/>
    <hyperlink xmlns:r="http://schemas.openxmlformats.org/officeDocument/2006/relationships" ref="I4580" r:id="rId13327"/>
    <hyperlink xmlns:r="http://schemas.openxmlformats.org/officeDocument/2006/relationships" ref="J4580" r:id="rId13328"/>
    <hyperlink xmlns:r="http://schemas.openxmlformats.org/officeDocument/2006/relationships" ref="K4580" r:id="rId13329"/>
    <hyperlink xmlns:r="http://schemas.openxmlformats.org/officeDocument/2006/relationships" ref="I4581" r:id="rId13330"/>
    <hyperlink xmlns:r="http://schemas.openxmlformats.org/officeDocument/2006/relationships" ref="J4581" r:id="rId13331"/>
    <hyperlink xmlns:r="http://schemas.openxmlformats.org/officeDocument/2006/relationships" ref="K4581" r:id="rId13332"/>
    <hyperlink xmlns:r="http://schemas.openxmlformats.org/officeDocument/2006/relationships" ref="I4582" r:id="rId13333"/>
    <hyperlink xmlns:r="http://schemas.openxmlformats.org/officeDocument/2006/relationships" ref="J4582" r:id="rId13334"/>
    <hyperlink xmlns:r="http://schemas.openxmlformats.org/officeDocument/2006/relationships" ref="K4582" r:id="rId13335"/>
    <hyperlink xmlns:r="http://schemas.openxmlformats.org/officeDocument/2006/relationships" ref="I4583" r:id="rId13336"/>
    <hyperlink xmlns:r="http://schemas.openxmlformats.org/officeDocument/2006/relationships" ref="J4583" r:id="rId13337"/>
    <hyperlink xmlns:r="http://schemas.openxmlformats.org/officeDocument/2006/relationships" ref="K4583" r:id="rId13338"/>
    <hyperlink xmlns:r="http://schemas.openxmlformats.org/officeDocument/2006/relationships" ref="I4584" r:id="rId13339"/>
    <hyperlink xmlns:r="http://schemas.openxmlformats.org/officeDocument/2006/relationships" ref="J4584" r:id="rId13340"/>
    <hyperlink xmlns:r="http://schemas.openxmlformats.org/officeDocument/2006/relationships" ref="K4584" r:id="rId13341"/>
    <hyperlink xmlns:r="http://schemas.openxmlformats.org/officeDocument/2006/relationships" ref="I4585" r:id="rId13342"/>
    <hyperlink xmlns:r="http://schemas.openxmlformats.org/officeDocument/2006/relationships" ref="J4585" r:id="rId13343"/>
    <hyperlink xmlns:r="http://schemas.openxmlformats.org/officeDocument/2006/relationships" ref="K4585" r:id="rId13344"/>
    <hyperlink xmlns:r="http://schemas.openxmlformats.org/officeDocument/2006/relationships" ref="I4586" r:id="rId13345"/>
    <hyperlink xmlns:r="http://schemas.openxmlformats.org/officeDocument/2006/relationships" ref="J4586" r:id="rId13346"/>
    <hyperlink xmlns:r="http://schemas.openxmlformats.org/officeDocument/2006/relationships" ref="K4586" r:id="rId13347"/>
    <hyperlink xmlns:r="http://schemas.openxmlformats.org/officeDocument/2006/relationships" ref="I4587" r:id="rId13348"/>
    <hyperlink xmlns:r="http://schemas.openxmlformats.org/officeDocument/2006/relationships" ref="J4587" r:id="rId13349"/>
    <hyperlink xmlns:r="http://schemas.openxmlformats.org/officeDocument/2006/relationships" ref="K4587" r:id="rId13350"/>
    <hyperlink xmlns:r="http://schemas.openxmlformats.org/officeDocument/2006/relationships" ref="I4588" r:id="rId13351"/>
    <hyperlink xmlns:r="http://schemas.openxmlformats.org/officeDocument/2006/relationships" ref="J4588" r:id="rId13352"/>
    <hyperlink xmlns:r="http://schemas.openxmlformats.org/officeDocument/2006/relationships" ref="K4588" r:id="rId13353"/>
    <hyperlink xmlns:r="http://schemas.openxmlformats.org/officeDocument/2006/relationships" ref="I4589" r:id="rId13354"/>
    <hyperlink xmlns:r="http://schemas.openxmlformats.org/officeDocument/2006/relationships" ref="J4589" r:id="rId13355"/>
    <hyperlink xmlns:r="http://schemas.openxmlformats.org/officeDocument/2006/relationships" ref="K4589" r:id="rId13356"/>
    <hyperlink xmlns:r="http://schemas.openxmlformats.org/officeDocument/2006/relationships" ref="I4590" r:id="rId13357"/>
    <hyperlink xmlns:r="http://schemas.openxmlformats.org/officeDocument/2006/relationships" ref="J4590" r:id="rId13358"/>
    <hyperlink xmlns:r="http://schemas.openxmlformats.org/officeDocument/2006/relationships" ref="K4590" r:id="rId13359"/>
    <hyperlink xmlns:r="http://schemas.openxmlformats.org/officeDocument/2006/relationships" ref="I4591" r:id="rId13360"/>
    <hyperlink xmlns:r="http://schemas.openxmlformats.org/officeDocument/2006/relationships" ref="J4591" r:id="rId13361"/>
    <hyperlink xmlns:r="http://schemas.openxmlformats.org/officeDocument/2006/relationships" ref="K4591" r:id="rId13362"/>
    <hyperlink xmlns:r="http://schemas.openxmlformats.org/officeDocument/2006/relationships" ref="I4592" r:id="rId13363"/>
    <hyperlink xmlns:r="http://schemas.openxmlformats.org/officeDocument/2006/relationships" ref="J4592" r:id="rId13364"/>
    <hyperlink xmlns:r="http://schemas.openxmlformats.org/officeDocument/2006/relationships" ref="K4592" r:id="rId13365"/>
    <hyperlink xmlns:r="http://schemas.openxmlformats.org/officeDocument/2006/relationships" ref="I4593" r:id="rId13366"/>
    <hyperlink xmlns:r="http://schemas.openxmlformats.org/officeDocument/2006/relationships" ref="J4593" r:id="rId13367"/>
    <hyperlink xmlns:r="http://schemas.openxmlformats.org/officeDocument/2006/relationships" ref="K4593" r:id="rId13368"/>
    <hyperlink xmlns:r="http://schemas.openxmlformats.org/officeDocument/2006/relationships" ref="I4594" r:id="rId13369"/>
    <hyperlink xmlns:r="http://schemas.openxmlformats.org/officeDocument/2006/relationships" ref="J4594" r:id="rId13370"/>
    <hyperlink xmlns:r="http://schemas.openxmlformats.org/officeDocument/2006/relationships" ref="K4594" r:id="rId13371"/>
    <hyperlink xmlns:r="http://schemas.openxmlformats.org/officeDocument/2006/relationships" ref="I4595" r:id="rId13372"/>
    <hyperlink xmlns:r="http://schemas.openxmlformats.org/officeDocument/2006/relationships" ref="J4595" r:id="rId13373"/>
    <hyperlink xmlns:r="http://schemas.openxmlformats.org/officeDocument/2006/relationships" ref="K4595" r:id="rId13374"/>
    <hyperlink xmlns:r="http://schemas.openxmlformats.org/officeDocument/2006/relationships" ref="I4596" r:id="rId13375"/>
    <hyperlink xmlns:r="http://schemas.openxmlformats.org/officeDocument/2006/relationships" ref="J4596" r:id="rId13376"/>
    <hyperlink xmlns:r="http://schemas.openxmlformats.org/officeDocument/2006/relationships" ref="K4596" r:id="rId13377"/>
    <hyperlink xmlns:r="http://schemas.openxmlformats.org/officeDocument/2006/relationships" ref="I4597" r:id="rId13378"/>
    <hyperlink xmlns:r="http://schemas.openxmlformats.org/officeDocument/2006/relationships" ref="J4597" r:id="rId13379"/>
    <hyperlink xmlns:r="http://schemas.openxmlformats.org/officeDocument/2006/relationships" ref="K4597" r:id="rId13380"/>
    <hyperlink xmlns:r="http://schemas.openxmlformats.org/officeDocument/2006/relationships" ref="I4598" r:id="rId13381"/>
    <hyperlink xmlns:r="http://schemas.openxmlformats.org/officeDocument/2006/relationships" ref="J4598" r:id="rId13382"/>
    <hyperlink xmlns:r="http://schemas.openxmlformats.org/officeDocument/2006/relationships" ref="K4598" r:id="rId13383"/>
    <hyperlink xmlns:r="http://schemas.openxmlformats.org/officeDocument/2006/relationships" ref="I4599" r:id="rId13384"/>
    <hyperlink xmlns:r="http://schemas.openxmlformats.org/officeDocument/2006/relationships" ref="J4599" r:id="rId13385"/>
    <hyperlink xmlns:r="http://schemas.openxmlformats.org/officeDocument/2006/relationships" ref="K4599" r:id="rId13386"/>
    <hyperlink xmlns:r="http://schemas.openxmlformats.org/officeDocument/2006/relationships" ref="I4600" r:id="rId13387"/>
    <hyperlink xmlns:r="http://schemas.openxmlformats.org/officeDocument/2006/relationships" ref="J4600" r:id="rId13388"/>
    <hyperlink xmlns:r="http://schemas.openxmlformats.org/officeDocument/2006/relationships" ref="K4600" r:id="rId13389"/>
    <hyperlink xmlns:r="http://schemas.openxmlformats.org/officeDocument/2006/relationships" ref="I4601" r:id="rId13390"/>
    <hyperlink xmlns:r="http://schemas.openxmlformats.org/officeDocument/2006/relationships" ref="J4601" r:id="rId13391"/>
    <hyperlink xmlns:r="http://schemas.openxmlformats.org/officeDocument/2006/relationships" ref="K4601" r:id="rId13392"/>
    <hyperlink xmlns:r="http://schemas.openxmlformats.org/officeDocument/2006/relationships" ref="I4602" r:id="rId13393"/>
    <hyperlink xmlns:r="http://schemas.openxmlformats.org/officeDocument/2006/relationships" ref="J4602" r:id="rId13394"/>
    <hyperlink xmlns:r="http://schemas.openxmlformats.org/officeDocument/2006/relationships" ref="K4602" r:id="rId13395"/>
    <hyperlink xmlns:r="http://schemas.openxmlformats.org/officeDocument/2006/relationships" ref="I4603" r:id="rId13396"/>
    <hyperlink xmlns:r="http://schemas.openxmlformats.org/officeDocument/2006/relationships" ref="J4603" r:id="rId13397"/>
    <hyperlink xmlns:r="http://schemas.openxmlformats.org/officeDocument/2006/relationships" ref="K4603" r:id="rId13398"/>
    <hyperlink xmlns:r="http://schemas.openxmlformats.org/officeDocument/2006/relationships" ref="I4604" r:id="rId13399"/>
    <hyperlink xmlns:r="http://schemas.openxmlformats.org/officeDocument/2006/relationships" ref="J4604" r:id="rId13400"/>
    <hyperlink xmlns:r="http://schemas.openxmlformats.org/officeDocument/2006/relationships" ref="K4604" r:id="rId13401"/>
    <hyperlink xmlns:r="http://schemas.openxmlformats.org/officeDocument/2006/relationships" ref="I4605" r:id="rId13402"/>
    <hyperlink xmlns:r="http://schemas.openxmlformats.org/officeDocument/2006/relationships" ref="J4605" r:id="rId13403"/>
    <hyperlink xmlns:r="http://schemas.openxmlformats.org/officeDocument/2006/relationships" ref="K4605" r:id="rId13404"/>
    <hyperlink xmlns:r="http://schemas.openxmlformats.org/officeDocument/2006/relationships" ref="I4606" r:id="rId13405"/>
    <hyperlink xmlns:r="http://schemas.openxmlformats.org/officeDocument/2006/relationships" ref="J4606" r:id="rId13406"/>
    <hyperlink xmlns:r="http://schemas.openxmlformats.org/officeDocument/2006/relationships" ref="K4606" r:id="rId13407"/>
    <hyperlink xmlns:r="http://schemas.openxmlformats.org/officeDocument/2006/relationships" ref="I4607" r:id="rId13408"/>
    <hyperlink xmlns:r="http://schemas.openxmlformats.org/officeDocument/2006/relationships" ref="J4607" r:id="rId13409"/>
    <hyperlink xmlns:r="http://schemas.openxmlformats.org/officeDocument/2006/relationships" ref="K4607" r:id="rId13410"/>
    <hyperlink xmlns:r="http://schemas.openxmlformats.org/officeDocument/2006/relationships" ref="I4608" r:id="rId13411"/>
    <hyperlink xmlns:r="http://schemas.openxmlformats.org/officeDocument/2006/relationships" ref="J4608" r:id="rId13412"/>
    <hyperlink xmlns:r="http://schemas.openxmlformats.org/officeDocument/2006/relationships" ref="K4608" r:id="rId13413"/>
    <hyperlink xmlns:r="http://schemas.openxmlformats.org/officeDocument/2006/relationships" ref="I4609" r:id="rId13414"/>
    <hyperlink xmlns:r="http://schemas.openxmlformats.org/officeDocument/2006/relationships" ref="J4609" r:id="rId13415"/>
    <hyperlink xmlns:r="http://schemas.openxmlformats.org/officeDocument/2006/relationships" ref="K4609" r:id="rId13416"/>
    <hyperlink xmlns:r="http://schemas.openxmlformats.org/officeDocument/2006/relationships" ref="I4610" r:id="rId13417"/>
    <hyperlink xmlns:r="http://schemas.openxmlformats.org/officeDocument/2006/relationships" ref="J4610" r:id="rId13418"/>
    <hyperlink xmlns:r="http://schemas.openxmlformats.org/officeDocument/2006/relationships" ref="K4610" r:id="rId13419"/>
    <hyperlink xmlns:r="http://schemas.openxmlformats.org/officeDocument/2006/relationships" ref="I4611" r:id="rId13420"/>
    <hyperlink xmlns:r="http://schemas.openxmlformats.org/officeDocument/2006/relationships" ref="J4611" r:id="rId13421"/>
    <hyperlink xmlns:r="http://schemas.openxmlformats.org/officeDocument/2006/relationships" ref="K4611" r:id="rId13422"/>
    <hyperlink xmlns:r="http://schemas.openxmlformats.org/officeDocument/2006/relationships" ref="I4612" r:id="rId13423"/>
    <hyperlink xmlns:r="http://schemas.openxmlformats.org/officeDocument/2006/relationships" ref="J4612" r:id="rId13424"/>
    <hyperlink xmlns:r="http://schemas.openxmlformats.org/officeDocument/2006/relationships" ref="K4612" r:id="rId13425"/>
    <hyperlink xmlns:r="http://schemas.openxmlformats.org/officeDocument/2006/relationships" ref="I4613" r:id="rId13426"/>
    <hyperlink xmlns:r="http://schemas.openxmlformats.org/officeDocument/2006/relationships" ref="J4613" r:id="rId13427"/>
    <hyperlink xmlns:r="http://schemas.openxmlformats.org/officeDocument/2006/relationships" ref="K4613" r:id="rId13428"/>
    <hyperlink xmlns:r="http://schemas.openxmlformats.org/officeDocument/2006/relationships" ref="I4614" r:id="rId13429"/>
    <hyperlink xmlns:r="http://schemas.openxmlformats.org/officeDocument/2006/relationships" ref="J4614" r:id="rId13430"/>
    <hyperlink xmlns:r="http://schemas.openxmlformats.org/officeDocument/2006/relationships" ref="K4614" r:id="rId13431"/>
    <hyperlink xmlns:r="http://schemas.openxmlformats.org/officeDocument/2006/relationships" ref="I4615" r:id="rId13432"/>
    <hyperlink xmlns:r="http://schemas.openxmlformats.org/officeDocument/2006/relationships" ref="J4615" r:id="rId13433"/>
    <hyperlink xmlns:r="http://schemas.openxmlformats.org/officeDocument/2006/relationships" ref="K4615" r:id="rId13434"/>
    <hyperlink xmlns:r="http://schemas.openxmlformats.org/officeDocument/2006/relationships" ref="I4616" r:id="rId13435"/>
    <hyperlink xmlns:r="http://schemas.openxmlformats.org/officeDocument/2006/relationships" ref="J4616" r:id="rId13436"/>
    <hyperlink xmlns:r="http://schemas.openxmlformats.org/officeDocument/2006/relationships" ref="K4616" r:id="rId13437"/>
    <hyperlink xmlns:r="http://schemas.openxmlformats.org/officeDocument/2006/relationships" ref="I4617" r:id="rId13438"/>
    <hyperlink xmlns:r="http://schemas.openxmlformats.org/officeDocument/2006/relationships" ref="J4617" r:id="rId13439"/>
    <hyperlink xmlns:r="http://schemas.openxmlformats.org/officeDocument/2006/relationships" ref="K4617" r:id="rId13440"/>
    <hyperlink xmlns:r="http://schemas.openxmlformats.org/officeDocument/2006/relationships" ref="I4618" r:id="rId13441"/>
    <hyperlink xmlns:r="http://schemas.openxmlformats.org/officeDocument/2006/relationships" ref="J4618" r:id="rId13442"/>
    <hyperlink xmlns:r="http://schemas.openxmlformats.org/officeDocument/2006/relationships" ref="K4618" r:id="rId13443"/>
    <hyperlink xmlns:r="http://schemas.openxmlformats.org/officeDocument/2006/relationships" ref="I4619" r:id="rId13444"/>
    <hyperlink xmlns:r="http://schemas.openxmlformats.org/officeDocument/2006/relationships" ref="J4619" r:id="rId13445"/>
    <hyperlink xmlns:r="http://schemas.openxmlformats.org/officeDocument/2006/relationships" ref="K4619" r:id="rId13446"/>
    <hyperlink xmlns:r="http://schemas.openxmlformats.org/officeDocument/2006/relationships" ref="I4620" r:id="rId13447"/>
    <hyperlink xmlns:r="http://schemas.openxmlformats.org/officeDocument/2006/relationships" ref="J4620" r:id="rId13448"/>
    <hyperlink xmlns:r="http://schemas.openxmlformats.org/officeDocument/2006/relationships" ref="K4620" r:id="rId13449"/>
    <hyperlink xmlns:r="http://schemas.openxmlformats.org/officeDocument/2006/relationships" ref="I4621" r:id="rId13450"/>
    <hyperlink xmlns:r="http://schemas.openxmlformats.org/officeDocument/2006/relationships" ref="J4621" r:id="rId13451"/>
    <hyperlink xmlns:r="http://schemas.openxmlformats.org/officeDocument/2006/relationships" ref="K4621" r:id="rId13452"/>
    <hyperlink xmlns:r="http://schemas.openxmlformats.org/officeDocument/2006/relationships" ref="I4622" r:id="rId13453"/>
    <hyperlink xmlns:r="http://schemas.openxmlformats.org/officeDocument/2006/relationships" ref="J4622" r:id="rId13454"/>
    <hyperlink xmlns:r="http://schemas.openxmlformats.org/officeDocument/2006/relationships" ref="K4622" r:id="rId13455"/>
    <hyperlink xmlns:r="http://schemas.openxmlformats.org/officeDocument/2006/relationships" ref="I4623" r:id="rId13456"/>
    <hyperlink xmlns:r="http://schemas.openxmlformats.org/officeDocument/2006/relationships" ref="J4623" r:id="rId13457"/>
    <hyperlink xmlns:r="http://schemas.openxmlformats.org/officeDocument/2006/relationships" ref="K4623" r:id="rId13458"/>
    <hyperlink xmlns:r="http://schemas.openxmlformats.org/officeDocument/2006/relationships" ref="I4624" r:id="rId13459"/>
    <hyperlink xmlns:r="http://schemas.openxmlformats.org/officeDocument/2006/relationships" ref="J4624" r:id="rId13460"/>
    <hyperlink xmlns:r="http://schemas.openxmlformats.org/officeDocument/2006/relationships" ref="K4624" r:id="rId13461"/>
    <hyperlink xmlns:r="http://schemas.openxmlformats.org/officeDocument/2006/relationships" ref="I4625" r:id="rId13462"/>
    <hyperlink xmlns:r="http://schemas.openxmlformats.org/officeDocument/2006/relationships" ref="J4625" r:id="rId13463"/>
    <hyperlink xmlns:r="http://schemas.openxmlformats.org/officeDocument/2006/relationships" ref="K4625" r:id="rId13464"/>
    <hyperlink xmlns:r="http://schemas.openxmlformats.org/officeDocument/2006/relationships" ref="I4626" r:id="rId13465"/>
    <hyperlink xmlns:r="http://schemas.openxmlformats.org/officeDocument/2006/relationships" ref="J4626" r:id="rId13466"/>
    <hyperlink xmlns:r="http://schemas.openxmlformats.org/officeDocument/2006/relationships" ref="K4626" r:id="rId13467"/>
    <hyperlink xmlns:r="http://schemas.openxmlformats.org/officeDocument/2006/relationships" ref="I4627" r:id="rId13468"/>
    <hyperlink xmlns:r="http://schemas.openxmlformats.org/officeDocument/2006/relationships" ref="J4627" r:id="rId13469"/>
    <hyperlink xmlns:r="http://schemas.openxmlformats.org/officeDocument/2006/relationships" ref="K4627" r:id="rId13470"/>
    <hyperlink xmlns:r="http://schemas.openxmlformats.org/officeDocument/2006/relationships" ref="I4628" r:id="rId13471"/>
    <hyperlink xmlns:r="http://schemas.openxmlformats.org/officeDocument/2006/relationships" ref="J4628" r:id="rId13472"/>
    <hyperlink xmlns:r="http://schemas.openxmlformats.org/officeDocument/2006/relationships" ref="K4628" r:id="rId13473"/>
    <hyperlink xmlns:r="http://schemas.openxmlformats.org/officeDocument/2006/relationships" ref="I4629" r:id="rId13474"/>
    <hyperlink xmlns:r="http://schemas.openxmlformats.org/officeDocument/2006/relationships" ref="J4629" r:id="rId13475"/>
    <hyperlink xmlns:r="http://schemas.openxmlformats.org/officeDocument/2006/relationships" ref="K4629" r:id="rId13476"/>
    <hyperlink xmlns:r="http://schemas.openxmlformats.org/officeDocument/2006/relationships" ref="I4630" r:id="rId13477"/>
    <hyperlink xmlns:r="http://schemas.openxmlformats.org/officeDocument/2006/relationships" ref="J4630" r:id="rId13478"/>
    <hyperlink xmlns:r="http://schemas.openxmlformats.org/officeDocument/2006/relationships" ref="K4630" r:id="rId13479"/>
    <hyperlink xmlns:r="http://schemas.openxmlformats.org/officeDocument/2006/relationships" ref="I4631" r:id="rId13480"/>
    <hyperlink xmlns:r="http://schemas.openxmlformats.org/officeDocument/2006/relationships" ref="J4631" r:id="rId13481"/>
    <hyperlink xmlns:r="http://schemas.openxmlformats.org/officeDocument/2006/relationships" ref="K4631" r:id="rId13482"/>
    <hyperlink xmlns:r="http://schemas.openxmlformats.org/officeDocument/2006/relationships" ref="I4632" r:id="rId13483"/>
    <hyperlink xmlns:r="http://schemas.openxmlformats.org/officeDocument/2006/relationships" ref="J4632" r:id="rId13484"/>
    <hyperlink xmlns:r="http://schemas.openxmlformats.org/officeDocument/2006/relationships" ref="K4632" r:id="rId13485"/>
    <hyperlink xmlns:r="http://schemas.openxmlformats.org/officeDocument/2006/relationships" ref="I4633" r:id="rId13486"/>
    <hyperlink xmlns:r="http://schemas.openxmlformats.org/officeDocument/2006/relationships" ref="J4633" r:id="rId13487"/>
    <hyperlink xmlns:r="http://schemas.openxmlformats.org/officeDocument/2006/relationships" ref="K4633" r:id="rId13488"/>
    <hyperlink xmlns:r="http://schemas.openxmlformats.org/officeDocument/2006/relationships" ref="I4634" r:id="rId13489"/>
    <hyperlink xmlns:r="http://schemas.openxmlformats.org/officeDocument/2006/relationships" ref="J4634" r:id="rId13490"/>
    <hyperlink xmlns:r="http://schemas.openxmlformats.org/officeDocument/2006/relationships" ref="K4634" r:id="rId13491"/>
    <hyperlink xmlns:r="http://schemas.openxmlformats.org/officeDocument/2006/relationships" ref="I4635" r:id="rId13492"/>
    <hyperlink xmlns:r="http://schemas.openxmlformats.org/officeDocument/2006/relationships" ref="J4635" r:id="rId13493"/>
    <hyperlink xmlns:r="http://schemas.openxmlformats.org/officeDocument/2006/relationships" ref="K4635" r:id="rId13494"/>
    <hyperlink xmlns:r="http://schemas.openxmlformats.org/officeDocument/2006/relationships" ref="I4636" r:id="rId13495"/>
    <hyperlink xmlns:r="http://schemas.openxmlformats.org/officeDocument/2006/relationships" ref="J4636" r:id="rId13496"/>
    <hyperlink xmlns:r="http://schemas.openxmlformats.org/officeDocument/2006/relationships" ref="K4636" r:id="rId13497"/>
    <hyperlink xmlns:r="http://schemas.openxmlformats.org/officeDocument/2006/relationships" ref="I4637" r:id="rId13498"/>
    <hyperlink xmlns:r="http://schemas.openxmlformats.org/officeDocument/2006/relationships" ref="J4637" r:id="rId13499"/>
    <hyperlink xmlns:r="http://schemas.openxmlformats.org/officeDocument/2006/relationships" ref="K4637" r:id="rId13500"/>
    <hyperlink xmlns:r="http://schemas.openxmlformats.org/officeDocument/2006/relationships" ref="I4638" r:id="rId13501"/>
    <hyperlink xmlns:r="http://schemas.openxmlformats.org/officeDocument/2006/relationships" ref="J4638" r:id="rId13502"/>
    <hyperlink xmlns:r="http://schemas.openxmlformats.org/officeDocument/2006/relationships" ref="K4638" r:id="rId13503"/>
    <hyperlink xmlns:r="http://schemas.openxmlformats.org/officeDocument/2006/relationships" ref="I4639" r:id="rId13504"/>
    <hyperlink xmlns:r="http://schemas.openxmlformats.org/officeDocument/2006/relationships" ref="J4639" r:id="rId13505"/>
    <hyperlink xmlns:r="http://schemas.openxmlformats.org/officeDocument/2006/relationships" ref="K4639" r:id="rId13506"/>
    <hyperlink xmlns:r="http://schemas.openxmlformats.org/officeDocument/2006/relationships" ref="I4640" r:id="rId13507"/>
    <hyperlink xmlns:r="http://schemas.openxmlformats.org/officeDocument/2006/relationships" ref="J4640" r:id="rId13508"/>
    <hyperlink xmlns:r="http://schemas.openxmlformats.org/officeDocument/2006/relationships" ref="K4640" r:id="rId13509"/>
    <hyperlink xmlns:r="http://schemas.openxmlformats.org/officeDocument/2006/relationships" ref="I4641" r:id="rId13510"/>
    <hyperlink xmlns:r="http://schemas.openxmlformats.org/officeDocument/2006/relationships" ref="J4641" r:id="rId13511"/>
    <hyperlink xmlns:r="http://schemas.openxmlformats.org/officeDocument/2006/relationships" ref="K4641" r:id="rId13512"/>
    <hyperlink xmlns:r="http://schemas.openxmlformats.org/officeDocument/2006/relationships" ref="I4642" r:id="rId13513"/>
    <hyperlink xmlns:r="http://schemas.openxmlformats.org/officeDocument/2006/relationships" ref="J4642" r:id="rId13514"/>
    <hyperlink xmlns:r="http://schemas.openxmlformats.org/officeDocument/2006/relationships" ref="K4642" r:id="rId13515"/>
    <hyperlink xmlns:r="http://schemas.openxmlformats.org/officeDocument/2006/relationships" ref="I4643" r:id="rId13516"/>
    <hyperlink xmlns:r="http://schemas.openxmlformats.org/officeDocument/2006/relationships" ref="J4643" r:id="rId13517"/>
    <hyperlink xmlns:r="http://schemas.openxmlformats.org/officeDocument/2006/relationships" ref="K4643" r:id="rId13518"/>
    <hyperlink xmlns:r="http://schemas.openxmlformats.org/officeDocument/2006/relationships" ref="I4644" r:id="rId13519"/>
    <hyperlink xmlns:r="http://schemas.openxmlformats.org/officeDocument/2006/relationships" ref="J4644" r:id="rId13520"/>
    <hyperlink xmlns:r="http://schemas.openxmlformats.org/officeDocument/2006/relationships" ref="K4644" r:id="rId13521"/>
    <hyperlink xmlns:r="http://schemas.openxmlformats.org/officeDocument/2006/relationships" ref="I4645" r:id="rId13522"/>
    <hyperlink xmlns:r="http://schemas.openxmlformats.org/officeDocument/2006/relationships" ref="J4645" r:id="rId13523"/>
    <hyperlink xmlns:r="http://schemas.openxmlformats.org/officeDocument/2006/relationships" ref="K4645" r:id="rId13524"/>
    <hyperlink xmlns:r="http://schemas.openxmlformats.org/officeDocument/2006/relationships" ref="I4646" r:id="rId13525"/>
    <hyperlink xmlns:r="http://schemas.openxmlformats.org/officeDocument/2006/relationships" ref="J4646" r:id="rId13526"/>
    <hyperlink xmlns:r="http://schemas.openxmlformats.org/officeDocument/2006/relationships" ref="K4646" r:id="rId13527"/>
    <hyperlink xmlns:r="http://schemas.openxmlformats.org/officeDocument/2006/relationships" ref="I4647" r:id="rId13528"/>
    <hyperlink xmlns:r="http://schemas.openxmlformats.org/officeDocument/2006/relationships" ref="J4647" r:id="rId13529"/>
    <hyperlink xmlns:r="http://schemas.openxmlformats.org/officeDocument/2006/relationships" ref="K4647" r:id="rId13530"/>
    <hyperlink xmlns:r="http://schemas.openxmlformats.org/officeDocument/2006/relationships" ref="I4648" r:id="rId13531"/>
    <hyperlink xmlns:r="http://schemas.openxmlformats.org/officeDocument/2006/relationships" ref="J4648" r:id="rId13532"/>
    <hyperlink xmlns:r="http://schemas.openxmlformats.org/officeDocument/2006/relationships" ref="K4648" r:id="rId13533"/>
    <hyperlink xmlns:r="http://schemas.openxmlformats.org/officeDocument/2006/relationships" ref="I4649" r:id="rId13534"/>
    <hyperlink xmlns:r="http://schemas.openxmlformats.org/officeDocument/2006/relationships" ref="J4649" r:id="rId13535"/>
    <hyperlink xmlns:r="http://schemas.openxmlformats.org/officeDocument/2006/relationships" ref="K4649" r:id="rId13536"/>
    <hyperlink xmlns:r="http://schemas.openxmlformats.org/officeDocument/2006/relationships" ref="I4650" r:id="rId13537"/>
    <hyperlink xmlns:r="http://schemas.openxmlformats.org/officeDocument/2006/relationships" ref="J4650" r:id="rId13538"/>
    <hyperlink xmlns:r="http://schemas.openxmlformats.org/officeDocument/2006/relationships" ref="I4651" r:id="rId13539"/>
    <hyperlink xmlns:r="http://schemas.openxmlformats.org/officeDocument/2006/relationships" ref="J4651" r:id="rId13540"/>
    <hyperlink xmlns:r="http://schemas.openxmlformats.org/officeDocument/2006/relationships" ref="K4651" r:id="rId13541"/>
    <hyperlink xmlns:r="http://schemas.openxmlformats.org/officeDocument/2006/relationships" ref="I4652" r:id="rId13542"/>
    <hyperlink xmlns:r="http://schemas.openxmlformats.org/officeDocument/2006/relationships" ref="J4652" r:id="rId13543"/>
    <hyperlink xmlns:r="http://schemas.openxmlformats.org/officeDocument/2006/relationships" ref="K4652" r:id="rId13544"/>
    <hyperlink xmlns:r="http://schemas.openxmlformats.org/officeDocument/2006/relationships" ref="I4653" r:id="rId13545"/>
    <hyperlink xmlns:r="http://schemas.openxmlformats.org/officeDocument/2006/relationships" ref="J4653" r:id="rId13546"/>
    <hyperlink xmlns:r="http://schemas.openxmlformats.org/officeDocument/2006/relationships" ref="I4654" r:id="rId13547"/>
    <hyperlink xmlns:r="http://schemas.openxmlformats.org/officeDocument/2006/relationships" ref="J4654" r:id="rId13548"/>
    <hyperlink xmlns:r="http://schemas.openxmlformats.org/officeDocument/2006/relationships" ref="I4655" r:id="rId13549"/>
    <hyperlink xmlns:r="http://schemas.openxmlformats.org/officeDocument/2006/relationships" ref="J4655" r:id="rId13550"/>
    <hyperlink xmlns:r="http://schemas.openxmlformats.org/officeDocument/2006/relationships" ref="I4656" r:id="rId13551"/>
    <hyperlink xmlns:r="http://schemas.openxmlformats.org/officeDocument/2006/relationships" ref="J4656" r:id="rId13552"/>
    <hyperlink xmlns:r="http://schemas.openxmlformats.org/officeDocument/2006/relationships" ref="I4657" r:id="rId13553"/>
    <hyperlink xmlns:r="http://schemas.openxmlformats.org/officeDocument/2006/relationships" ref="J4657" r:id="rId13554"/>
    <hyperlink xmlns:r="http://schemas.openxmlformats.org/officeDocument/2006/relationships" ref="K4657" r:id="rId13555"/>
    <hyperlink xmlns:r="http://schemas.openxmlformats.org/officeDocument/2006/relationships" ref="I4658" r:id="rId13556"/>
    <hyperlink xmlns:r="http://schemas.openxmlformats.org/officeDocument/2006/relationships" ref="J4658" r:id="rId13557"/>
    <hyperlink xmlns:r="http://schemas.openxmlformats.org/officeDocument/2006/relationships" ref="K4658" r:id="rId13558"/>
    <hyperlink xmlns:r="http://schemas.openxmlformats.org/officeDocument/2006/relationships" ref="I4659" r:id="rId13559"/>
    <hyperlink xmlns:r="http://schemas.openxmlformats.org/officeDocument/2006/relationships" ref="J4659" r:id="rId13560"/>
    <hyperlink xmlns:r="http://schemas.openxmlformats.org/officeDocument/2006/relationships" ref="K4659" r:id="rId13561"/>
    <hyperlink xmlns:r="http://schemas.openxmlformats.org/officeDocument/2006/relationships" ref="I4660" r:id="rId13562"/>
    <hyperlink xmlns:r="http://schemas.openxmlformats.org/officeDocument/2006/relationships" ref="J4660" r:id="rId13563"/>
    <hyperlink xmlns:r="http://schemas.openxmlformats.org/officeDocument/2006/relationships" ref="K4660" r:id="rId13564"/>
    <hyperlink xmlns:r="http://schemas.openxmlformats.org/officeDocument/2006/relationships" ref="I4661" r:id="rId13565"/>
    <hyperlink xmlns:r="http://schemas.openxmlformats.org/officeDocument/2006/relationships" ref="J4661" r:id="rId13566"/>
    <hyperlink xmlns:r="http://schemas.openxmlformats.org/officeDocument/2006/relationships" ref="K4661" r:id="rId13567"/>
    <hyperlink xmlns:r="http://schemas.openxmlformats.org/officeDocument/2006/relationships" ref="I4662" r:id="rId13568"/>
    <hyperlink xmlns:r="http://schemas.openxmlformats.org/officeDocument/2006/relationships" ref="J4662" r:id="rId13569"/>
    <hyperlink xmlns:r="http://schemas.openxmlformats.org/officeDocument/2006/relationships" ref="I4663" r:id="rId13570"/>
    <hyperlink xmlns:r="http://schemas.openxmlformats.org/officeDocument/2006/relationships" ref="J4663" r:id="rId13571"/>
    <hyperlink xmlns:r="http://schemas.openxmlformats.org/officeDocument/2006/relationships" ref="I4664" r:id="rId13572"/>
    <hyperlink xmlns:r="http://schemas.openxmlformats.org/officeDocument/2006/relationships" ref="J4664" r:id="rId13573"/>
    <hyperlink xmlns:r="http://schemas.openxmlformats.org/officeDocument/2006/relationships" ref="I4665" r:id="rId13574"/>
    <hyperlink xmlns:r="http://schemas.openxmlformats.org/officeDocument/2006/relationships" ref="J4665" r:id="rId13575"/>
    <hyperlink xmlns:r="http://schemas.openxmlformats.org/officeDocument/2006/relationships" ref="I4666" r:id="rId13576"/>
    <hyperlink xmlns:r="http://schemas.openxmlformats.org/officeDocument/2006/relationships" ref="J4666" r:id="rId13577"/>
    <hyperlink xmlns:r="http://schemas.openxmlformats.org/officeDocument/2006/relationships" ref="I4667" r:id="rId13578"/>
    <hyperlink xmlns:r="http://schemas.openxmlformats.org/officeDocument/2006/relationships" ref="J4667" r:id="rId13579"/>
    <hyperlink xmlns:r="http://schemas.openxmlformats.org/officeDocument/2006/relationships" ref="I4668" r:id="rId13580"/>
    <hyperlink xmlns:r="http://schemas.openxmlformats.org/officeDocument/2006/relationships" ref="J4668" r:id="rId13581"/>
    <hyperlink xmlns:r="http://schemas.openxmlformats.org/officeDocument/2006/relationships" ref="K4668" r:id="rId13582"/>
    <hyperlink xmlns:r="http://schemas.openxmlformats.org/officeDocument/2006/relationships" ref="I4669" r:id="rId13583"/>
    <hyperlink xmlns:r="http://schemas.openxmlformats.org/officeDocument/2006/relationships" ref="J4669" r:id="rId13584"/>
    <hyperlink xmlns:r="http://schemas.openxmlformats.org/officeDocument/2006/relationships" ref="K4669" r:id="rId13585"/>
    <hyperlink xmlns:r="http://schemas.openxmlformats.org/officeDocument/2006/relationships" ref="I4670" r:id="rId13586"/>
    <hyperlink xmlns:r="http://schemas.openxmlformats.org/officeDocument/2006/relationships" ref="J4670" r:id="rId13587"/>
    <hyperlink xmlns:r="http://schemas.openxmlformats.org/officeDocument/2006/relationships" ref="K4670" r:id="rId13588"/>
    <hyperlink xmlns:r="http://schemas.openxmlformats.org/officeDocument/2006/relationships" ref="I4671" r:id="rId13589"/>
    <hyperlink xmlns:r="http://schemas.openxmlformats.org/officeDocument/2006/relationships" ref="J4671" r:id="rId13590"/>
    <hyperlink xmlns:r="http://schemas.openxmlformats.org/officeDocument/2006/relationships" ref="K4671" r:id="rId13591"/>
    <hyperlink xmlns:r="http://schemas.openxmlformats.org/officeDocument/2006/relationships" ref="I4672" r:id="rId13592"/>
    <hyperlink xmlns:r="http://schemas.openxmlformats.org/officeDocument/2006/relationships" ref="J4672" r:id="rId13593"/>
    <hyperlink xmlns:r="http://schemas.openxmlformats.org/officeDocument/2006/relationships" ref="K4672" r:id="rId13594"/>
    <hyperlink xmlns:r="http://schemas.openxmlformats.org/officeDocument/2006/relationships" ref="I4673" r:id="rId13595"/>
    <hyperlink xmlns:r="http://schemas.openxmlformats.org/officeDocument/2006/relationships" ref="J4673" r:id="rId13596"/>
    <hyperlink xmlns:r="http://schemas.openxmlformats.org/officeDocument/2006/relationships" ref="K4673" r:id="rId13597"/>
    <hyperlink xmlns:r="http://schemas.openxmlformats.org/officeDocument/2006/relationships" ref="I4674" r:id="rId13598"/>
    <hyperlink xmlns:r="http://schemas.openxmlformats.org/officeDocument/2006/relationships" ref="J4674" r:id="rId13599"/>
    <hyperlink xmlns:r="http://schemas.openxmlformats.org/officeDocument/2006/relationships" ref="K4674" r:id="rId13600"/>
    <hyperlink xmlns:r="http://schemas.openxmlformats.org/officeDocument/2006/relationships" ref="I4675" r:id="rId13601"/>
    <hyperlink xmlns:r="http://schemas.openxmlformats.org/officeDocument/2006/relationships" ref="J4675" r:id="rId13602"/>
    <hyperlink xmlns:r="http://schemas.openxmlformats.org/officeDocument/2006/relationships" ref="K4675" r:id="rId13603"/>
    <hyperlink xmlns:r="http://schemas.openxmlformats.org/officeDocument/2006/relationships" ref="I4676" r:id="rId13604"/>
    <hyperlink xmlns:r="http://schemas.openxmlformats.org/officeDocument/2006/relationships" ref="J4676" r:id="rId13605"/>
    <hyperlink xmlns:r="http://schemas.openxmlformats.org/officeDocument/2006/relationships" ref="K4676" r:id="rId13606"/>
    <hyperlink xmlns:r="http://schemas.openxmlformats.org/officeDocument/2006/relationships" ref="I4677" r:id="rId13607"/>
    <hyperlink xmlns:r="http://schemas.openxmlformats.org/officeDocument/2006/relationships" ref="J4677" r:id="rId13608"/>
    <hyperlink xmlns:r="http://schemas.openxmlformats.org/officeDocument/2006/relationships" ref="K4677" r:id="rId13609"/>
    <hyperlink xmlns:r="http://schemas.openxmlformats.org/officeDocument/2006/relationships" ref="I4678" r:id="rId13610"/>
    <hyperlink xmlns:r="http://schemas.openxmlformats.org/officeDocument/2006/relationships" ref="J4678" r:id="rId13611"/>
    <hyperlink xmlns:r="http://schemas.openxmlformats.org/officeDocument/2006/relationships" ref="K4678" r:id="rId13612"/>
    <hyperlink xmlns:r="http://schemas.openxmlformats.org/officeDocument/2006/relationships" ref="I4679" r:id="rId13613"/>
    <hyperlink xmlns:r="http://schemas.openxmlformats.org/officeDocument/2006/relationships" ref="J4679" r:id="rId13614"/>
    <hyperlink xmlns:r="http://schemas.openxmlformats.org/officeDocument/2006/relationships" ref="K4679" r:id="rId13615"/>
    <hyperlink xmlns:r="http://schemas.openxmlformats.org/officeDocument/2006/relationships" ref="I4680" r:id="rId13616"/>
    <hyperlink xmlns:r="http://schemas.openxmlformats.org/officeDocument/2006/relationships" ref="J4680" r:id="rId13617"/>
    <hyperlink xmlns:r="http://schemas.openxmlformats.org/officeDocument/2006/relationships" ref="K4680" r:id="rId13618"/>
    <hyperlink xmlns:r="http://schemas.openxmlformats.org/officeDocument/2006/relationships" ref="I4681" r:id="rId13619"/>
    <hyperlink xmlns:r="http://schemas.openxmlformats.org/officeDocument/2006/relationships" ref="J4681" r:id="rId13620"/>
    <hyperlink xmlns:r="http://schemas.openxmlformats.org/officeDocument/2006/relationships" ref="K4681" r:id="rId13621"/>
    <hyperlink xmlns:r="http://schemas.openxmlformats.org/officeDocument/2006/relationships" ref="I4682" r:id="rId13622"/>
    <hyperlink xmlns:r="http://schemas.openxmlformats.org/officeDocument/2006/relationships" ref="J4682" r:id="rId13623"/>
    <hyperlink xmlns:r="http://schemas.openxmlformats.org/officeDocument/2006/relationships" ref="K4682" r:id="rId13624"/>
    <hyperlink xmlns:r="http://schemas.openxmlformats.org/officeDocument/2006/relationships" ref="I4683" r:id="rId13625"/>
    <hyperlink xmlns:r="http://schemas.openxmlformats.org/officeDocument/2006/relationships" ref="J4683" r:id="rId13626"/>
    <hyperlink xmlns:r="http://schemas.openxmlformats.org/officeDocument/2006/relationships" ref="K4683" r:id="rId13627"/>
    <hyperlink xmlns:r="http://schemas.openxmlformats.org/officeDocument/2006/relationships" ref="I4684" r:id="rId13628"/>
    <hyperlink xmlns:r="http://schemas.openxmlformats.org/officeDocument/2006/relationships" ref="J4684" r:id="rId13629"/>
    <hyperlink xmlns:r="http://schemas.openxmlformats.org/officeDocument/2006/relationships" ref="K4684" r:id="rId13630"/>
    <hyperlink xmlns:r="http://schemas.openxmlformats.org/officeDocument/2006/relationships" ref="I4685" r:id="rId13631"/>
    <hyperlink xmlns:r="http://schemas.openxmlformats.org/officeDocument/2006/relationships" ref="J4685" r:id="rId13632"/>
    <hyperlink xmlns:r="http://schemas.openxmlformats.org/officeDocument/2006/relationships" ref="K4685" r:id="rId13633"/>
    <hyperlink xmlns:r="http://schemas.openxmlformats.org/officeDocument/2006/relationships" ref="I4686" r:id="rId13634"/>
    <hyperlink xmlns:r="http://schemas.openxmlformats.org/officeDocument/2006/relationships" ref="J4686" r:id="rId13635"/>
    <hyperlink xmlns:r="http://schemas.openxmlformats.org/officeDocument/2006/relationships" ref="K4686" r:id="rId13636"/>
    <hyperlink xmlns:r="http://schemas.openxmlformats.org/officeDocument/2006/relationships" ref="I4687" r:id="rId13637"/>
    <hyperlink xmlns:r="http://schemas.openxmlformats.org/officeDocument/2006/relationships" ref="J4687" r:id="rId13638"/>
    <hyperlink xmlns:r="http://schemas.openxmlformats.org/officeDocument/2006/relationships" ref="K4687" r:id="rId13639"/>
    <hyperlink xmlns:r="http://schemas.openxmlformats.org/officeDocument/2006/relationships" ref="I4688" r:id="rId13640"/>
    <hyperlink xmlns:r="http://schemas.openxmlformats.org/officeDocument/2006/relationships" ref="J4688" r:id="rId13641"/>
    <hyperlink xmlns:r="http://schemas.openxmlformats.org/officeDocument/2006/relationships" ref="K4688" r:id="rId13642"/>
    <hyperlink xmlns:r="http://schemas.openxmlformats.org/officeDocument/2006/relationships" ref="I4689" r:id="rId13643"/>
    <hyperlink xmlns:r="http://schemas.openxmlformats.org/officeDocument/2006/relationships" ref="J4689" r:id="rId13644"/>
    <hyperlink xmlns:r="http://schemas.openxmlformats.org/officeDocument/2006/relationships" ref="K4689" r:id="rId13645"/>
    <hyperlink xmlns:r="http://schemas.openxmlformats.org/officeDocument/2006/relationships" ref="I4690" r:id="rId13646"/>
    <hyperlink xmlns:r="http://schemas.openxmlformats.org/officeDocument/2006/relationships" ref="J4690" r:id="rId13647"/>
    <hyperlink xmlns:r="http://schemas.openxmlformats.org/officeDocument/2006/relationships" ref="K4690" r:id="rId13648"/>
    <hyperlink xmlns:r="http://schemas.openxmlformats.org/officeDocument/2006/relationships" ref="I4691" r:id="rId13649"/>
    <hyperlink xmlns:r="http://schemas.openxmlformats.org/officeDocument/2006/relationships" ref="J4691" r:id="rId13650"/>
    <hyperlink xmlns:r="http://schemas.openxmlformats.org/officeDocument/2006/relationships" ref="K4691" r:id="rId13651"/>
    <hyperlink xmlns:r="http://schemas.openxmlformats.org/officeDocument/2006/relationships" ref="I4692" r:id="rId13652"/>
    <hyperlink xmlns:r="http://schemas.openxmlformats.org/officeDocument/2006/relationships" ref="J4692" r:id="rId13653"/>
    <hyperlink xmlns:r="http://schemas.openxmlformats.org/officeDocument/2006/relationships" ref="K4692" r:id="rId13654"/>
    <hyperlink xmlns:r="http://schemas.openxmlformats.org/officeDocument/2006/relationships" ref="I4693" r:id="rId13655"/>
    <hyperlink xmlns:r="http://schemas.openxmlformats.org/officeDocument/2006/relationships" ref="I4694" r:id="rId13656"/>
    <hyperlink xmlns:r="http://schemas.openxmlformats.org/officeDocument/2006/relationships" ref="I4695" r:id="rId13657"/>
    <hyperlink xmlns:r="http://schemas.openxmlformats.org/officeDocument/2006/relationships" ref="I4696" r:id="rId13658"/>
    <hyperlink xmlns:r="http://schemas.openxmlformats.org/officeDocument/2006/relationships" ref="I4697" r:id="rId13659"/>
    <hyperlink xmlns:r="http://schemas.openxmlformats.org/officeDocument/2006/relationships" ref="J4697" r:id="rId13660"/>
    <hyperlink xmlns:r="http://schemas.openxmlformats.org/officeDocument/2006/relationships" ref="K4697" r:id="rId13661"/>
    <hyperlink xmlns:r="http://schemas.openxmlformats.org/officeDocument/2006/relationships" ref="I4698" r:id="rId13662"/>
    <hyperlink xmlns:r="http://schemas.openxmlformats.org/officeDocument/2006/relationships" ref="J4698" r:id="rId13663"/>
    <hyperlink xmlns:r="http://schemas.openxmlformats.org/officeDocument/2006/relationships" ref="K4698" r:id="rId13664"/>
    <hyperlink xmlns:r="http://schemas.openxmlformats.org/officeDocument/2006/relationships" ref="I4699" r:id="rId13665"/>
    <hyperlink xmlns:r="http://schemas.openxmlformats.org/officeDocument/2006/relationships" ref="J4699" r:id="rId13666"/>
    <hyperlink xmlns:r="http://schemas.openxmlformats.org/officeDocument/2006/relationships" ref="K4699" r:id="rId13667"/>
    <hyperlink xmlns:r="http://schemas.openxmlformats.org/officeDocument/2006/relationships" ref="I4700" r:id="rId13668"/>
    <hyperlink xmlns:r="http://schemas.openxmlformats.org/officeDocument/2006/relationships" ref="J4700" r:id="rId13669"/>
    <hyperlink xmlns:r="http://schemas.openxmlformats.org/officeDocument/2006/relationships" ref="K4700" r:id="rId13670"/>
    <hyperlink xmlns:r="http://schemas.openxmlformats.org/officeDocument/2006/relationships" ref="I4701" r:id="rId13671"/>
    <hyperlink xmlns:r="http://schemas.openxmlformats.org/officeDocument/2006/relationships" ref="J4701" r:id="rId13672"/>
    <hyperlink xmlns:r="http://schemas.openxmlformats.org/officeDocument/2006/relationships" ref="K4701" r:id="rId13673"/>
    <hyperlink xmlns:r="http://schemas.openxmlformats.org/officeDocument/2006/relationships" ref="I4702" r:id="rId13674"/>
    <hyperlink xmlns:r="http://schemas.openxmlformats.org/officeDocument/2006/relationships" ref="J4702" r:id="rId13675"/>
    <hyperlink xmlns:r="http://schemas.openxmlformats.org/officeDocument/2006/relationships" ref="K4702" r:id="rId13676"/>
    <hyperlink xmlns:r="http://schemas.openxmlformats.org/officeDocument/2006/relationships" ref="I4703" r:id="rId13677"/>
    <hyperlink xmlns:r="http://schemas.openxmlformats.org/officeDocument/2006/relationships" ref="J4703" r:id="rId13678"/>
    <hyperlink xmlns:r="http://schemas.openxmlformats.org/officeDocument/2006/relationships" ref="K4703" r:id="rId13679"/>
    <hyperlink xmlns:r="http://schemas.openxmlformats.org/officeDocument/2006/relationships" ref="I4704" r:id="rId13680"/>
    <hyperlink xmlns:r="http://schemas.openxmlformats.org/officeDocument/2006/relationships" ref="J4704" r:id="rId13681"/>
    <hyperlink xmlns:r="http://schemas.openxmlformats.org/officeDocument/2006/relationships" ref="K4704" r:id="rId13682"/>
    <hyperlink xmlns:r="http://schemas.openxmlformats.org/officeDocument/2006/relationships" ref="I4705" r:id="rId13683"/>
    <hyperlink xmlns:r="http://schemas.openxmlformats.org/officeDocument/2006/relationships" ref="J4705" r:id="rId13684"/>
    <hyperlink xmlns:r="http://schemas.openxmlformats.org/officeDocument/2006/relationships" ref="K4705" r:id="rId13685"/>
    <hyperlink xmlns:r="http://schemas.openxmlformats.org/officeDocument/2006/relationships" ref="I4706" r:id="rId13686"/>
    <hyperlink xmlns:r="http://schemas.openxmlformats.org/officeDocument/2006/relationships" ref="J4706" r:id="rId13687"/>
    <hyperlink xmlns:r="http://schemas.openxmlformats.org/officeDocument/2006/relationships" ref="K4706" r:id="rId13688"/>
    <hyperlink xmlns:r="http://schemas.openxmlformats.org/officeDocument/2006/relationships" ref="I4707" r:id="rId13689"/>
    <hyperlink xmlns:r="http://schemas.openxmlformats.org/officeDocument/2006/relationships" ref="J4707" r:id="rId13690"/>
    <hyperlink xmlns:r="http://schemas.openxmlformats.org/officeDocument/2006/relationships" ref="K4707" r:id="rId13691"/>
    <hyperlink xmlns:r="http://schemas.openxmlformats.org/officeDocument/2006/relationships" ref="I4708" r:id="rId13692"/>
    <hyperlink xmlns:r="http://schemas.openxmlformats.org/officeDocument/2006/relationships" ref="J4708" r:id="rId13693"/>
    <hyperlink xmlns:r="http://schemas.openxmlformats.org/officeDocument/2006/relationships" ref="K4708" r:id="rId13694"/>
    <hyperlink xmlns:r="http://schemas.openxmlformats.org/officeDocument/2006/relationships" ref="I4709" r:id="rId13695"/>
    <hyperlink xmlns:r="http://schemas.openxmlformats.org/officeDocument/2006/relationships" ref="J4709" r:id="rId13696"/>
    <hyperlink xmlns:r="http://schemas.openxmlformats.org/officeDocument/2006/relationships" ref="K4709" r:id="rId13697"/>
    <hyperlink xmlns:r="http://schemas.openxmlformats.org/officeDocument/2006/relationships" ref="I4710" r:id="rId13698"/>
    <hyperlink xmlns:r="http://schemas.openxmlformats.org/officeDocument/2006/relationships" ref="J4710" r:id="rId13699"/>
    <hyperlink xmlns:r="http://schemas.openxmlformats.org/officeDocument/2006/relationships" ref="K4710" r:id="rId13700"/>
    <hyperlink xmlns:r="http://schemas.openxmlformats.org/officeDocument/2006/relationships" ref="I4711" r:id="rId13701"/>
    <hyperlink xmlns:r="http://schemas.openxmlformats.org/officeDocument/2006/relationships" ref="J4711" r:id="rId13702"/>
    <hyperlink xmlns:r="http://schemas.openxmlformats.org/officeDocument/2006/relationships" ref="K4711" r:id="rId13703"/>
    <hyperlink xmlns:r="http://schemas.openxmlformats.org/officeDocument/2006/relationships" ref="I4712" r:id="rId13704"/>
    <hyperlink xmlns:r="http://schemas.openxmlformats.org/officeDocument/2006/relationships" ref="J4712" r:id="rId13705"/>
    <hyperlink xmlns:r="http://schemas.openxmlformats.org/officeDocument/2006/relationships" ref="K4712" r:id="rId13706"/>
    <hyperlink xmlns:r="http://schemas.openxmlformats.org/officeDocument/2006/relationships" ref="I4713" r:id="rId13707"/>
    <hyperlink xmlns:r="http://schemas.openxmlformats.org/officeDocument/2006/relationships" ref="J4713" r:id="rId13708"/>
    <hyperlink xmlns:r="http://schemas.openxmlformats.org/officeDocument/2006/relationships" ref="K4713" r:id="rId13709"/>
    <hyperlink xmlns:r="http://schemas.openxmlformats.org/officeDocument/2006/relationships" ref="I4714" r:id="rId13710"/>
    <hyperlink xmlns:r="http://schemas.openxmlformats.org/officeDocument/2006/relationships" ref="J4714" r:id="rId13711"/>
    <hyperlink xmlns:r="http://schemas.openxmlformats.org/officeDocument/2006/relationships" ref="K4714" r:id="rId13712"/>
    <hyperlink xmlns:r="http://schemas.openxmlformats.org/officeDocument/2006/relationships" ref="I4715" r:id="rId13713"/>
    <hyperlink xmlns:r="http://schemas.openxmlformats.org/officeDocument/2006/relationships" ref="J4715" r:id="rId13714"/>
    <hyperlink xmlns:r="http://schemas.openxmlformats.org/officeDocument/2006/relationships" ref="K4715" r:id="rId13715"/>
    <hyperlink xmlns:r="http://schemas.openxmlformats.org/officeDocument/2006/relationships" ref="I4716" r:id="rId13716"/>
    <hyperlink xmlns:r="http://schemas.openxmlformats.org/officeDocument/2006/relationships" ref="J4716" r:id="rId13717"/>
    <hyperlink xmlns:r="http://schemas.openxmlformats.org/officeDocument/2006/relationships" ref="K4716" r:id="rId13718"/>
    <hyperlink xmlns:r="http://schemas.openxmlformats.org/officeDocument/2006/relationships" ref="I4717" r:id="rId13719"/>
    <hyperlink xmlns:r="http://schemas.openxmlformats.org/officeDocument/2006/relationships" ref="J4717" r:id="rId13720"/>
    <hyperlink xmlns:r="http://schemas.openxmlformats.org/officeDocument/2006/relationships" ref="K4717" r:id="rId13721"/>
    <hyperlink xmlns:r="http://schemas.openxmlformats.org/officeDocument/2006/relationships" ref="I4718" r:id="rId13722"/>
    <hyperlink xmlns:r="http://schemas.openxmlformats.org/officeDocument/2006/relationships" ref="J4718" r:id="rId13723"/>
    <hyperlink xmlns:r="http://schemas.openxmlformats.org/officeDocument/2006/relationships" ref="K4718" r:id="rId13724"/>
    <hyperlink xmlns:r="http://schemas.openxmlformats.org/officeDocument/2006/relationships" ref="I4719" r:id="rId13725"/>
    <hyperlink xmlns:r="http://schemas.openxmlformats.org/officeDocument/2006/relationships" ref="J4719" r:id="rId13726"/>
    <hyperlink xmlns:r="http://schemas.openxmlformats.org/officeDocument/2006/relationships" ref="K4719" r:id="rId13727"/>
    <hyperlink xmlns:r="http://schemas.openxmlformats.org/officeDocument/2006/relationships" ref="I4720" r:id="rId13728"/>
    <hyperlink xmlns:r="http://schemas.openxmlformats.org/officeDocument/2006/relationships" ref="J4720" r:id="rId13729"/>
    <hyperlink xmlns:r="http://schemas.openxmlformats.org/officeDocument/2006/relationships" ref="K4720" r:id="rId13730"/>
    <hyperlink xmlns:r="http://schemas.openxmlformats.org/officeDocument/2006/relationships" ref="I4721" r:id="rId13731"/>
    <hyperlink xmlns:r="http://schemas.openxmlformats.org/officeDocument/2006/relationships" ref="J4721" r:id="rId13732"/>
    <hyperlink xmlns:r="http://schemas.openxmlformats.org/officeDocument/2006/relationships" ref="K4721" r:id="rId13733"/>
    <hyperlink xmlns:r="http://schemas.openxmlformats.org/officeDocument/2006/relationships" ref="I4722" r:id="rId13734"/>
    <hyperlink xmlns:r="http://schemas.openxmlformats.org/officeDocument/2006/relationships" ref="J4722" r:id="rId13735"/>
    <hyperlink xmlns:r="http://schemas.openxmlformats.org/officeDocument/2006/relationships" ref="K4722" r:id="rId13736"/>
    <hyperlink xmlns:r="http://schemas.openxmlformats.org/officeDocument/2006/relationships" ref="I4723" r:id="rId13737"/>
    <hyperlink xmlns:r="http://schemas.openxmlformats.org/officeDocument/2006/relationships" ref="J4723" r:id="rId13738"/>
    <hyperlink xmlns:r="http://schemas.openxmlformats.org/officeDocument/2006/relationships" ref="K4723" r:id="rId13739"/>
    <hyperlink xmlns:r="http://schemas.openxmlformats.org/officeDocument/2006/relationships" ref="I4724" r:id="rId13740"/>
    <hyperlink xmlns:r="http://schemas.openxmlformats.org/officeDocument/2006/relationships" ref="J4724" r:id="rId13741"/>
    <hyperlink xmlns:r="http://schemas.openxmlformats.org/officeDocument/2006/relationships" ref="K4724" r:id="rId13742"/>
    <hyperlink xmlns:r="http://schemas.openxmlformats.org/officeDocument/2006/relationships" ref="I4725" r:id="rId13743"/>
    <hyperlink xmlns:r="http://schemas.openxmlformats.org/officeDocument/2006/relationships" ref="J4725" r:id="rId13744"/>
    <hyperlink xmlns:r="http://schemas.openxmlformats.org/officeDocument/2006/relationships" ref="I4726" r:id="rId13745"/>
    <hyperlink xmlns:r="http://schemas.openxmlformats.org/officeDocument/2006/relationships" ref="J4726" r:id="rId13746"/>
    <hyperlink xmlns:r="http://schemas.openxmlformats.org/officeDocument/2006/relationships" ref="I4727" r:id="rId13747"/>
    <hyperlink xmlns:r="http://schemas.openxmlformats.org/officeDocument/2006/relationships" ref="J4727" r:id="rId13748"/>
    <hyperlink xmlns:r="http://schemas.openxmlformats.org/officeDocument/2006/relationships" ref="K4727" r:id="rId13749"/>
    <hyperlink xmlns:r="http://schemas.openxmlformats.org/officeDocument/2006/relationships" ref="I4728" r:id="rId13750"/>
    <hyperlink xmlns:r="http://schemas.openxmlformats.org/officeDocument/2006/relationships" ref="J4728" r:id="rId13751"/>
    <hyperlink xmlns:r="http://schemas.openxmlformats.org/officeDocument/2006/relationships" ref="K4728" r:id="rId13752"/>
    <hyperlink xmlns:r="http://schemas.openxmlformats.org/officeDocument/2006/relationships" ref="I4729" r:id="rId13753"/>
    <hyperlink xmlns:r="http://schemas.openxmlformats.org/officeDocument/2006/relationships" ref="J4729" r:id="rId13754"/>
    <hyperlink xmlns:r="http://schemas.openxmlformats.org/officeDocument/2006/relationships" ref="K4729" r:id="rId13755"/>
    <hyperlink xmlns:r="http://schemas.openxmlformats.org/officeDocument/2006/relationships" ref="I4730" r:id="rId13756"/>
    <hyperlink xmlns:r="http://schemas.openxmlformats.org/officeDocument/2006/relationships" ref="J4730" r:id="rId13757"/>
    <hyperlink xmlns:r="http://schemas.openxmlformats.org/officeDocument/2006/relationships" ref="K4730" r:id="rId13758"/>
    <hyperlink xmlns:r="http://schemas.openxmlformats.org/officeDocument/2006/relationships" ref="I4731" r:id="rId13759"/>
    <hyperlink xmlns:r="http://schemas.openxmlformats.org/officeDocument/2006/relationships" ref="J4731" r:id="rId13760"/>
    <hyperlink xmlns:r="http://schemas.openxmlformats.org/officeDocument/2006/relationships" ref="K4731" r:id="rId13761"/>
    <hyperlink xmlns:r="http://schemas.openxmlformats.org/officeDocument/2006/relationships" ref="I4732" r:id="rId13762"/>
    <hyperlink xmlns:r="http://schemas.openxmlformats.org/officeDocument/2006/relationships" ref="J4732" r:id="rId13763"/>
    <hyperlink xmlns:r="http://schemas.openxmlformats.org/officeDocument/2006/relationships" ref="K4732" r:id="rId13764"/>
    <hyperlink xmlns:r="http://schemas.openxmlformats.org/officeDocument/2006/relationships" ref="I4733" r:id="rId13765"/>
    <hyperlink xmlns:r="http://schemas.openxmlformats.org/officeDocument/2006/relationships" ref="J4733" r:id="rId13766"/>
    <hyperlink xmlns:r="http://schemas.openxmlformats.org/officeDocument/2006/relationships" ref="I4734" r:id="rId13767"/>
    <hyperlink xmlns:r="http://schemas.openxmlformats.org/officeDocument/2006/relationships" ref="J4734" r:id="rId13768"/>
    <hyperlink xmlns:r="http://schemas.openxmlformats.org/officeDocument/2006/relationships" ref="I4735" r:id="rId13769"/>
    <hyperlink xmlns:r="http://schemas.openxmlformats.org/officeDocument/2006/relationships" ref="J4735" r:id="rId13770"/>
    <hyperlink xmlns:r="http://schemas.openxmlformats.org/officeDocument/2006/relationships" ref="I4736" r:id="rId13771"/>
    <hyperlink xmlns:r="http://schemas.openxmlformats.org/officeDocument/2006/relationships" ref="J4736" r:id="rId13772"/>
    <hyperlink xmlns:r="http://schemas.openxmlformats.org/officeDocument/2006/relationships" ref="I4737" r:id="rId13773"/>
    <hyperlink xmlns:r="http://schemas.openxmlformats.org/officeDocument/2006/relationships" ref="J4737" r:id="rId13774"/>
    <hyperlink xmlns:r="http://schemas.openxmlformats.org/officeDocument/2006/relationships" ref="I4738" r:id="rId13775"/>
    <hyperlink xmlns:r="http://schemas.openxmlformats.org/officeDocument/2006/relationships" ref="J4738" r:id="rId13776"/>
    <hyperlink xmlns:r="http://schemas.openxmlformats.org/officeDocument/2006/relationships" ref="I4739" r:id="rId13777"/>
    <hyperlink xmlns:r="http://schemas.openxmlformats.org/officeDocument/2006/relationships" ref="J4739" r:id="rId13778"/>
    <hyperlink xmlns:r="http://schemas.openxmlformats.org/officeDocument/2006/relationships" ref="I4740" r:id="rId13779"/>
    <hyperlink xmlns:r="http://schemas.openxmlformats.org/officeDocument/2006/relationships" ref="J4740" r:id="rId13780"/>
    <hyperlink xmlns:r="http://schemas.openxmlformats.org/officeDocument/2006/relationships" ref="I4741" r:id="rId13781"/>
    <hyperlink xmlns:r="http://schemas.openxmlformats.org/officeDocument/2006/relationships" ref="J4741" r:id="rId13782"/>
    <hyperlink xmlns:r="http://schemas.openxmlformats.org/officeDocument/2006/relationships" ref="I4742" r:id="rId13783"/>
    <hyperlink xmlns:r="http://schemas.openxmlformats.org/officeDocument/2006/relationships" ref="J4742" r:id="rId13784"/>
    <hyperlink xmlns:r="http://schemas.openxmlformats.org/officeDocument/2006/relationships" ref="I4743" r:id="rId13785"/>
    <hyperlink xmlns:r="http://schemas.openxmlformats.org/officeDocument/2006/relationships" ref="J4743" r:id="rId13786"/>
    <hyperlink xmlns:r="http://schemas.openxmlformats.org/officeDocument/2006/relationships" ref="I4744" r:id="rId13787"/>
    <hyperlink xmlns:r="http://schemas.openxmlformats.org/officeDocument/2006/relationships" ref="J4744" r:id="rId13788"/>
    <hyperlink xmlns:r="http://schemas.openxmlformats.org/officeDocument/2006/relationships" ref="I4745" r:id="rId13789"/>
    <hyperlink xmlns:r="http://schemas.openxmlformats.org/officeDocument/2006/relationships" ref="J4745" r:id="rId13790"/>
    <hyperlink xmlns:r="http://schemas.openxmlformats.org/officeDocument/2006/relationships" ref="I4746" r:id="rId13791"/>
    <hyperlink xmlns:r="http://schemas.openxmlformats.org/officeDocument/2006/relationships" ref="J4746" r:id="rId13792"/>
    <hyperlink xmlns:r="http://schemas.openxmlformats.org/officeDocument/2006/relationships" ref="K4746" r:id="rId13793"/>
    <hyperlink xmlns:r="http://schemas.openxmlformats.org/officeDocument/2006/relationships" ref="I4747" r:id="rId13794"/>
    <hyperlink xmlns:r="http://schemas.openxmlformats.org/officeDocument/2006/relationships" ref="J4747" r:id="rId13795"/>
    <hyperlink xmlns:r="http://schemas.openxmlformats.org/officeDocument/2006/relationships" ref="K4747" r:id="rId13796"/>
    <hyperlink xmlns:r="http://schemas.openxmlformats.org/officeDocument/2006/relationships" ref="I4748" r:id="rId13797"/>
    <hyperlink xmlns:r="http://schemas.openxmlformats.org/officeDocument/2006/relationships" ref="J4748" r:id="rId13798"/>
    <hyperlink xmlns:r="http://schemas.openxmlformats.org/officeDocument/2006/relationships" ref="K4748" r:id="rId13799"/>
    <hyperlink xmlns:r="http://schemas.openxmlformats.org/officeDocument/2006/relationships" ref="I4749" r:id="rId13800"/>
    <hyperlink xmlns:r="http://schemas.openxmlformats.org/officeDocument/2006/relationships" ref="J4749" r:id="rId13801"/>
    <hyperlink xmlns:r="http://schemas.openxmlformats.org/officeDocument/2006/relationships" ref="K4749" r:id="rId13802"/>
    <hyperlink xmlns:r="http://schemas.openxmlformats.org/officeDocument/2006/relationships" ref="I4750" r:id="rId13803"/>
    <hyperlink xmlns:r="http://schemas.openxmlformats.org/officeDocument/2006/relationships" ref="J4750" r:id="rId13804"/>
    <hyperlink xmlns:r="http://schemas.openxmlformats.org/officeDocument/2006/relationships" ref="K4750" r:id="rId13805"/>
    <hyperlink xmlns:r="http://schemas.openxmlformats.org/officeDocument/2006/relationships" ref="I4751" r:id="rId13806"/>
    <hyperlink xmlns:r="http://schemas.openxmlformats.org/officeDocument/2006/relationships" ref="J4751" r:id="rId13807"/>
    <hyperlink xmlns:r="http://schemas.openxmlformats.org/officeDocument/2006/relationships" ref="K4751" r:id="rId13808"/>
    <hyperlink xmlns:r="http://schemas.openxmlformats.org/officeDocument/2006/relationships" ref="I4752" r:id="rId13809"/>
    <hyperlink xmlns:r="http://schemas.openxmlformats.org/officeDocument/2006/relationships" ref="J4752" r:id="rId13810"/>
    <hyperlink xmlns:r="http://schemas.openxmlformats.org/officeDocument/2006/relationships" ref="K4752" r:id="rId13811"/>
    <hyperlink xmlns:r="http://schemas.openxmlformats.org/officeDocument/2006/relationships" ref="I4753" r:id="rId13812"/>
    <hyperlink xmlns:r="http://schemas.openxmlformats.org/officeDocument/2006/relationships" ref="J4753" r:id="rId13813"/>
    <hyperlink xmlns:r="http://schemas.openxmlformats.org/officeDocument/2006/relationships" ref="K4753" r:id="rId13814"/>
    <hyperlink xmlns:r="http://schemas.openxmlformats.org/officeDocument/2006/relationships" ref="I4754" r:id="rId13815"/>
    <hyperlink xmlns:r="http://schemas.openxmlformats.org/officeDocument/2006/relationships" ref="J4754" r:id="rId13816"/>
    <hyperlink xmlns:r="http://schemas.openxmlformats.org/officeDocument/2006/relationships" ref="K4754" r:id="rId13817"/>
    <hyperlink xmlns:r="http://schemas.openxmlformats.org/officeDocument/2006/relationships" ref="I4755" r:id="rId13818"/>
    <hyperlink xmlns:r="http://schemas.openxmlformats.org/officeDocument/2006/relationships" ref="J4755" r:id="rId13819"/>
    <hyperlink xmlns:r="http://schemas.openxmlformats.org/officeDocument/2006/relationships" ref="K4755" r:id="rId13820"/>
    <hyperlink xmlns:r="http://schemas.openxmlformats.org/officeDocument/2006/relationships" ref="I4756" r:id="rId13821"/>
    <hyperlink xmlns:r="http://schemas.openxmlformats.org/officeDocument/2006/relationships" ref="J4756" r:id="rId13822"/>
    <hyperlink xmlns:r="http://schemas.openxmlformats.org/officeDocument/2006/relationships" ref="K4756" r:id="rId13823"/>
    <hyperlink xmlns:r="http://schemas.openxmlformats.org/officeDocument/2006/relationships" ref="I4757" r:id="rId13824"/>
    <hyperlink xmlns:r="http://schemas.openxmlformats.org/officeDocument/2006/relationships" ref="J4757" r:id="rId13825"/>
    <hyperlink xmlns:r="http://schemas.openxmlformats.org/officeDocument/2006/relationships" ref="K4757" r:id="rId13826"/>
    <hyperlink xmlns:r="http://schemas.openxmlformats.org/officeDocument/2006/relationships" ref="I4758" r:id="rId13827"/>
    <hyperlink xmlns:r="http://schemas.openxmlformats.org/officeDocument/2006/relationships" ref="J4758" r:id="rId13828"/>
    <hyperlink xmlns:r="http://schemas.openxmlformats.org/officeDocument/2006/relationships" ref="K4758" r:id="rId13829"/>
    <hyperlink xmlns:r="http://schemas.openxmlformats.org/officeDocument/2006/relationships" ref="I4759" r:id="rId13830"/>
    <hyperlink xmlns:r="http://schemas.openxmlformats.org/officeDocument/2006/relationships" ref="J4759" r:id="rId13831"/>
    <hyperlink xmlns:r="http://schemas.openxmlformats.org/officeDocument/2006/relationships" ref="K4759" r:id="rId13832"/>
    <hyperlink xmlns:r="http://schemas.openxmlformats.org/officeDocument/2006/relationships" ref="I4760" r:id="rId13833"/>
    <hyperlink xmlns:r="http://schemas.openxmlformats.org/officeDocument/2006/relationships" ref="J4760" r:id="rId13834"/>
    <hyperlink xmlns:r="http://schemas.openxmlformats.org/officeDocument/2006/relationships" ref="K4760" r:id="rId13835"/>
    <hyperlink xmlns:r="http://schemas.openxmlformats.org/officeDocument/2006/relationships" ref="I4761" r:id="rId13836"/>
    <hyperlink xmlns:r="http://schemas.openxmlformats.org/officeDocument/2006/relationships" ref="J4761" r:id="rId13837"/>
    <hyperlink xmlns:r="http://schemas.openxmlformats.org/officeDocument/2006/relationships" ref="K4761" r:id="rId13838"/>
    <hyperlink xmlns:r="http://schemas.openxmlformats.org/officeDocument/2006/relationships" ref="I4762" r:id="rId13839"/>
    <hyperlink xmlns:r="http://schemas.openxmlformats.org/officeDocument/2006/relationships" ref="J4762" r:id="rId13840"/>
    <hyperlink xmlns:r="http://schemas.openxmlformats.org/officeDocument/2006/relationships" ref="K4762" r:id="rId13841"/>
    <hyperlink xmlns:r="http://schemas.openxmlformats.org/officeDocument/2006/relationships" ref="I4763" r:id="rId13842"/>
    <hyperlink xmlns:r="http://schemas.openxmlformats.org/officeDocument/2006/relationships" ref="J4763" r:id="rId13843"/>
    <hyperlink xmlns:r="http://schemas.openxmlformats.org/officeDocument/2006/relationships" ref="K4763" r:id="rId13844"/>
    <hyperlink xmlns:r="http://schemas.openxmlformats.org/officeDocument/2006/relationships" ref="I4764" r:id="rId13845"/>
    <hyperlink xmlns:r="http://schemas.openxmlformats.org/officeDocument/2006/relationships" ref="J4764" r:id="rId13846"/>
    <hyperlink xmlns:r="http://schemas.openxmlformats.org/officeDocument/2006/relationships" ref="K4764" r:id="rId13847"/>
    <hyperlink xmlns:r="http://schemas.openxmlformats.org/officeDocument/2006/relationships" ref="I4765" r:id="rId13848"/>
    <hyperlink xmlns:r="http://schemas.openxmlformats.org/officeDocument/2006/relationships" ref="J4765" r:id="rId13849"/>
    <hyperlink xmlns:r="http://schemas.openxmlformats.org/officeDocument/2006/relationships" ref="K4765" r:id="rId13850"/>
    <hyperlink xmlns:r="http://schemas.openxmlformats.org/officeDocument/2006/relationships" ref="I4766" r:id="rId13851"/>
    <hyperlink xmlns:r="http://schemas.openxmlformats.org/officeDocument/2006/relationships" ref="J4766" r:id="rId13852"/>
    <hyperlink xmlns:r="http://schemas.openxmlformats.org/officeDocument/2006/relationships" ref="K4766" r:id="rId13853"/>
    <hyperlink xmlns:r="http://schemas.openxmlformats.org/officeDocument/2006/relationships" ref="I4767" r:id="rId13854"/>
    <hyperlink xmlns:r="http://schemas.openxmlformats.org/officeDocument/2006/relationships" ref="J4767" r:id="rId13855"/>
    <hyperlink xmlns:r="http://schemas.openxmlformats.org/officeDocument/2006/relationships" ref="K4767" r:id="rId13856"/>
    <hyperlink xmlns:r="http://schemas.openxmlformats.org/officeDocument/2006/relationships" ref="I4768" r:id="rId13857"/>
    <hyperlink xmlns:r="http://schemas.openxmlformats.org/officeDocument/2006/relationships" ref="J4768" r:id="rId13858"/>
    <hyperlink xmlns:r="http://schemas.openxmlformats.org/officeDocument/2006/relationships" ref="K4768" r:id="rId13859"/>
    <hyperlink xmlns:r="http://schemas.openxmlformats.org/officeDocument/2006/relationships" ref="I4769" r:id="rId13860"/>
    <hyperlink xmlns:r="http://schemas.openxmlformats.org/officeDocument/2006/relationships" ref="J4769" r:id="rId13861"/>
    <hyperlink xmlns:r="http://schemas.openxmlformats.org/officeDocument/2006/relationships" ref="K4769" r:id="rId13862"/>
    <hyperlink xmlns:r="http://schemas.openxmlformats.org/officeDocument/2006/relationships" ref="I4770" r:id="rId13863"/>
    <hyperlink xmlns:r="http://schemas.openxmlformats.org/officeDocument/2006/relationships" ref="J4770" r:id="rId13864"/>
    <hyperlink xmlns:r="http://schemas.openxmlformats.org/officeDocument/2006/relationships" ref="K4770" r:id="rId13865"/>
    <hyperlink xmlns:r="http://schemas.openxmlformats.org/officeDocument/2006/relationships" ref="I4771" r:id="rId13866"/>
    <hyperlink xmlns:r="http://schemas.openxmlformats.org/officeDocument/2006/relationships" ref="J4771" r:id="rId13867"/>
    <hyperlink xmlns:r="http://schemas.openxmlformats.org/officeDocument/2006/relationships" ref="K4771" r:id="rId13868"/>
    <hyperlink xmlns:r="http://schemas.openxmlformats.org/officeDocument/2006/relationships" ref="I4772" r:id="rId13869"/>
    <hyperlink xmlns:r="http://schemas.openxmlformats.org/officeDocument/2006/relationships" ref="J4772" r:id="rId13870"/>
    <hyperlink xmlns:r="http://schemas.openxmlformats.org/officeDocument/2006/relationships" ref="K4772" r:id="rId13871"/>
    <hyperlink xmlns:r="http://schemas.openxmlformats.org/officeDocument/2006/relationships" ref="I4773" r:id="rId13872"/>
    <hyperlink xmlns:r="http://schemas.openxmlformats.org/officeDocument/2006/relationships" ref="J4773" r:id="rId13873"/>
    <hyperlink xmlns:r="http://schemas.openxmlformats.org/officeDocument/2006/relationships" ref="K4773" r:id="rId13874"/>
    <hyperlink xmlns:r="http://schemas.openxmlformats.org/officeDocument/2006/relationships" ref="I4774" r:id="rId13875"/>
    <hyperlink xmlns:r="http://schemas.openxmlformats.org/officeDocument/2006/relationships" ref="J4774" r:id="rId13876"/>
    <hyperlink xmlns:r="http://schemas.openxmlformats.org/officeDocument/2006/relationships" ref="K4774" r:id="rId13877"/>
    <hyperlink xmlns:r="http://schemas.openxmlformats.org/officeDocument/2006/relationships" ref="I4775" r:id="rId13878"/>
    <hyperlink xmlns:r="http://schemas.openxmlformats.org/officeDocument/2006/relationships" ref="J4775" r:id="rId13879"/>
    <hyperlink xmlns:r="http://schemas.openxmlformats.org/officeDocument/2006/relationships" ref="K4775" r:id="rId13880"/>
    <hyperlink xmlns:r="http://schemas.openxmlformats.org/officeDocument/2006/relationships" ref="I4776" r:id="rId13881"/>
    <hyperlink xmlns:r="http://schemas.openxmlformats.org/officeDocument/2006/relationships" ref="J4776" r:id="rId13882"/>
    <hyperlink xmlns:r="http://schemas.openxmlformats.org/officeDocument/2006/relationships" ref="K4776" r:id="rId13883"/>
    <hyperlink xmlns:r="http://schemas.openxmlformats.org/officeDocument/2006/relationships" ref="I4777" r:id="rId13884"/>
    <hyperlink xmlns:r="http://schemas.openxmlformats.org/officeDocument/2006/relationships" ref="J4777" r:id="rId13885"/>
    <hyperlink xmlns:r="http://schemas.openxmlformats.org/officeDocument/2006/relationships" ref="K4777" r:id="rId13886"/>
    <hyperlink xmlns:r="http://schemas.openxmlformats.org/officeDocument/2006/relationships" ref="I4778" r:id="rId13887"/>
    <hyperlink xmlns:r="http://schemas.openxmlformats.org/officeDocument/2006/relationships" ref="J4778" r:id="rId13888"/>
    <hyperlink xmlns:r="http://schemas.openxmlformats.org/officeDocument/2006/relationships" ref="K4778" r:id="rId13889"/>
    <hyperlink xmlns:r="http://schemas.openxmlformats.org/officeDocument/2006/relationships" ref="I4779" r:id="rId13890"/>
    <hyperlink xmlns:r="http://schemas.openxmlformats.org/officeDocument/2006/relationships" ref="J4779" r:id="rId13891"/>
    <hyperlink xmlns:r="http://schemas.openxmlformats.org/officeDocument/2006/relationships" ref="K4779" r:id="rId13892"/>
    <hyperlink xmlns:r="http://schemas.openxmlformats.org/officeDocument/2006/relationships" ref="I4780" r:id="rId13893"/>
    <hyperlink xmlns:r="http://schemas.openxmlformats.org/officeDocument/2006/relationships" ref="J4780" r:id="rId13894"/>
    <hyperlink xmlns:r="http://schemas.openxmlformats.org/officeDocument/2006/relationships" ref="K4780" r:id="rId13895"/>
    <hyperlink xmlns:r="http://schemas.openxmlformats.org/officeDocument/2006/relationships" ref="I4781" r:id="rId13896"/>
    <hyperlink xmlns:r="http://schemas.openxmlformats.org/officeDocument/2006/relationships" ref="J4781" r:id="rId13897"/>
    <hyperlink xmlns:r="http://schemas.openxmlformats.org/officeDocument/2006/relationships" ref="K4781" r:id="rId13898"/>
    <hyperlink xmlns:r="http://schemas.openxmlformats.org/officeDocument/2006/relationships" ref="I4782" r:id="rId13899"/>
    <hyperlink xmlns:r="http://schemas.openxmlformats.org/officeDocument/2006/relationships" ref="J4782" r:id="rId13900"/>
    <hyperlink xmlns:r="http://schemas.openxmlformats.org/officeDocument/2006/relationships" ref="K4782" r:id="rId13901"/>
    <hyperlink xmlns:r="http://schemas.openxmlformats.org/officeDocument/2006/relationships" ref="I4783" r:id="rId13902"/>
    <hyperlink xmlns:r="http://schemas.openxmlformats.org/officeDocument/2006/relationships" ref="J4783" r:id="rId13903"/>
    <hyperlink xmlns:r="http://schemas.openxmlformats.org/officeDocument/2006/relationships" ref="K4783" r:id="rId13904"/>
    <hyperlink xmlns:r="http://schemas.openxmlformats.org/officeDocument/2006/relationships" ref="I4784" r:id="rId13905"/>
    <hyperlink xmlns:r="http://schemas.openxmlformats.org/officeDocument/2006/relationships" ref="J4784" r:id="rId13906"/>
    <hyperlink xmlns:r="http://schemas.openxmlformats.org/officeDocument/2006/relationships" ref="K4784" r:id="rId13907"/>
    <hyperlink xmlns:r="http://schemas.openxmlformats.org/officeDocument/2006/relationships" ref="I4785" r:id="rId13908"/>
    <hyperlink xmlns:r="http://schemas.openxmlformats.org/officeDocument/2006/relationships" ref="J4785" r:id="rId13909"/>
    <hyperlink xmlns:r="http://schemas.openxmlformats.org/officeDocument/2006/relationships" ref="K4785" r:id="rId13910"/>
    <hyperlink xmlns:r="http://schemas.openxmlformats.org/officeDocument/2006/relationships" ref="I4786" r:id="rId13911"/>
    <hyperlink xmlns:r="http://schemas.openxmlformats.org/officeDocument/2006/relationships" ref="J4786" r:id="rId13912"/>
    <hyperlink xmlns:r="http://schemas.openxmlformats.org/officeDocument/2006/relationships" ref="K4786" r:id="rId13913"/>
    <hyperlink xmlns:r="http://schemas.openxmlformats.org/officeDocument/2006/relationships" ref="I4787" r:id="rId13914"/>
    <hyperlink xmlns:r="http://schemas.openxmlformats.org/officeDocument/2006/relationships" ref="J4787" r:id="rId13915"/>
    <hyperlink xmlns:r="http://schemas.openxmlformats.org/officeDocument/2006/relationships" ref="K4787" r:id="rId13916"/>
    <hyperlink xmlns:r="http://schemas.openxmlformats.org/officeDocument/2006/relationships" ref="I4788" r:id="rId13917"/>
    <hyperlink xmlns:r="http://schemas.openxmlformats.org/officeDocument/2006/relationships" ref="J4788" r:id="rId13918"/>
    <hyperlink xmlns:r="http://schemas.openxmlformats.org/officeDocument/2006/relationships" ref="K4788" r:id="rId13919"/>
    <hyperlink xmlns:r="http://schemas.openxmlformats.org/officeDocument/2006/relationships" ref="I4789" r:id="rId13920"/>
    <hyperlink xmlns:r="http://schemas.openxmlformats.org/officeDocument/2006/relationships" ref="J4789" r:id="rId13921"/>
    <hyperlink xmlns:r="http://schemas.openxmlformats.org/officeDocument/2006/relationships" ref="K4789" r:id="rId13922"/>
    <hyperlink xmlns:r="http://schemas.openxmlformats.org/officeDocument/2006/relationships" ref="I4790" r:id="rId13923"/>
    <hyperlink xmlns:r="http://schemas.openxmlformats.org/officeDocument/2006/relationships" ref="J4790" r:id="rId13924"/>
    <hyperlink xmlns:r="http://schemas.openxmlformats.org/officeDocument/2006/relationships" ref="K4790" r:id="rId13925"/>
    <hyperlink xmlns:r="http://schemas.openxmlformats.org/officeDocument/2006/relationships" ref="I4791" r:id="rId13926"/>
    <hyperlink xmlns:r="http://schemas.openxmlformats.org/officeDocument/2006/relationships" ref="J4791" r:id="rId13927"/>
    <hyperlink xmlns:r="http://schemas.openxmlformats.org/officeDocument/2006/relationships" ref="K4791" r:id="rId13928"/>
    <hyperlink xmlns:r="http://schemas.openxmlformats.org/officeDocument/2006/relationships" ref="I4792" r:id="rId13929"/>
    <hyperlink xmlns:r="http://schemas.openxmlformats.org/officeDocument/2006/relationships" ref="J4792" r:id="rId13930"/>
    <hyperlink xmlns:r="http://schemas.openxmlformats.org/officeDocument/2006/relationships" ref="K4792" r:id="rId13931"/>
    <hyperlink xmlns:r="http://schemas.openxmlformats.org/officeDocument/2006/relationships" ref="I4793" r:id="rId13932"/>
    <hyperlink xmlns:r="http://schemas.openxmlformats.org/officeDocument/2006/relationships" ref="J4793" r:id="rId13933"/>
    <hyperlink xmlns:r="http://schemas.openxmlformats.org/officeDocument/2006/relationships" ref="K4793" r:id="rId13934"/>
    <hyperlink xmlns:r="http://schemas.openxmlformats.org/officeDocument/2006/relationships" ref="I4794" r:id="rId13935"/>
    <hyperlink xmlns:r="http://schemas.openxmlformats.org/officeDocument/2006/relationships" ref="J4794" r:id="rId13936"/>
    <hyperlink xmlns:r="http://schemas.openxmlformats.org/officeDocument/2006/relationships" ref="K4794" r:id="rId13937"/>
    <hyperlink xmlns:r="http://schemas.openxmlformats.org/officeDocument/2006/relationships" ref="I4795" r:id="rId13938"/>
    <hyperlink xmlns:r="http://schemas.openxmlformats.org/officeDocument/2006/relationships" ref="J4795" r:id="rId13939"/>
    <hyperlink xmlns:r="http://schemas.openxmlformats.org/officeDocument/2006/relationships" ref="K4795" r:id="rId13940"/>
    <hyperlink xmlns:r="http://schemas.openxmlformats.org/officeDocument/2006/relationships" ref="I4796" r:id="rId13941"/>
    <hyperlink xmlns:r="http://schemas.openxmlformats.org/officeDocument/2006/relationships" ref="J4796" r:id="rId13942"/>
    <hyperlink xmlns:r="http://schemas.openxmlformats.org/officeDocument/2006/relationships" ref="K4796" r:id="rId13943"/>
    <hyperlink xmlns:r="http://schemas.openxmlformats.org/officeDocument/2006/relationships" ref="I4797" r:id="rId13944"/>
    <hyperlink xmlns:r="http://schemas.openxmlformats.org/officeDocument/2006/relationships" ref="J4797" r:id="rId13945"/>
    <hyperlink xmlns:r="http://schemas.openxmlformats.org/officeDocument/2006/relationships" ref="K4797" r:id="rId13946"/>
    <hyperlink xmlns:r="http://schemas.openxmlformats.org/officeDocument/2006/relationships" ref="I4798" r:id="rId13947"/>
    <hyperlink xmlns:r="http://schemas.openxmlformats.org/officeDocument/2006/relationships" ref="J4798" r:id="rId13948"/>
    <hyperlink xmlns:r="http://schemas.openxmlformats.org/officeDocument/2006/relationships" ref="K4798" r:id="rId13949"/>
    <hyperlink xmlns:r="http://schemas.openxmlformats.org/officeDocument/2006/relationships" ref="I4799" r:id="rId13950"/>
    <hyperlink xmlns:r="http://schemas.openxmlformats.org/officeDocument/2006/relationships" ref="J4799" r:id="rId13951"/>
    <hyperlink xmlns:r="http://schemas.openxmlformats.org/officeDocument/2006/relationships" ref="K4799" r:id="rId13952"/>
    <hyperlink xmlns:r="http://schemas.openxmlformats.org/officeDocument/2006/relationships" ref="I4800" r:id="rId13953"/>
    <hyperlink xmlns:r="http://schemas.openxmlformats.org/officeDocument/2006/relationships" ref="J4800" r:id="rId13954"/>
    <hyperlink xmlns:r="http://schemas.openxmlformats.org/officeDocument/2006/relationships" ref="K4800" r:id="rId13955"/>
    <hyperlink xmlns:r="http://schemas.openxmlformats.org/officeDocument/2006/relationships" ref="I4801" r:id="rId13956"/>
    <hyperlink xmlns:r="http://schemas.openxmlformats.org/officeDocument/2006/relationships" ref="J4801" r:id="rId13957"/>
    <hyperlink xmlns:r="http://schemas.openxmlformats.org/officeDocument/2006/relationships" ref="K4801" r:id="rId13958"/>
    <hyperlink xmlns:r="http://schemas.openxmlformats.org/officeDocument/2006/relationships" ref="I4802" r:id="rId13959"/>
    <hyperlink xmlns:r="http://schemas.openxmlformats.org/officeDocument/2006/relationships" ref="J4802" r:id="rId13960"/>
    <hyperlink xmlns:r="http://schemas.openxmlformats.org/officeDocument/2006/relationships" ref="K4802" r:id="rId13961"/>
    <hyperlink xmlns:r="http://schemas.openxmlformats.org/officeDocument/2006/relationships" ref="I4803" r:id="rId13962"/>
    <hyperlink xmlns:r="http://schemas.openxmlformats.org/officeDocument/2006/relationships" ref="J4803" r:id="rId13963"/>
    <hyperlink xmlns:r="http://schemas.openxmlformats.org/officeDocument/2006/relationships" ref="K4803" r:id="rId13964"/>
    <hyperlink xmlns:r="http://schemas.openxmlformats.org/officeDocument/2006/relationships" ref="I4804" r:id="rId13965"/>
    <hyperlink xmlns:r="http://schemas.openxmlformats.org/officeDocument/2006/relationships" ref="J4804" r:id="rId13966"/>
    <hyperlink xmlns:r="http://schemas.openxmlformats.org/officeDocument/2006/relationships" ref="K4804" r:id="rId13967"/>
    <hyperlink xmlns:r="http://schemas.openxmlformats.org/officeDocument/2006/relationships" ref="I4805" r:id="rId13968"/>
    <hyperlink xmlns:r="http://schemas.openxmlformats.org/officeDocument/2006/relationships" ref="J4805" r:id="rId13969"/>
    <hyperlink xmlns:r="http://schemas.openxmlformats.org/officeDocument/2006/relationships" ref="K4805" r:id="rId13970"/>
    <hyperlink xmlns:r="http://schemas.openxmlformats.org/officeDocument/2006/relationships" ref="I4806" r:id="rId13971"/>
    <hyperlink xmlns:r="http://schemas.openxmlformats.org/officeDocument/2006/relationships" ref="J4806" r:id="rId13972"/>
    <hyperlink xmlns:r="http://schemas.openxmlformats.org/officeDocument/2006/relationships" ref="K4806" r:id="rId13973"/>
    <hyperlink xmlns:r="http://schemas.openxmlformats.org/officeDocument/2006/relationships" ref="I4807" r:id="rId13974"/>
    <hyperlink xmlns:r="http://schemas.openxmlformats.org/officeDocument/2006/relationships" ref="J4807" r:id="rId13975"/>
    <hyperlink xmlns:r="http://schemas.openxmlformats.org/officeDocument/2006/relationships" ref="K4807" r:id="rId13976"/>
    <hyperlink xmlns:r="http://schemas.openxmlformats.org/officeDocument/2006/relationships" ref="I4808" r:id="rId13977"/>
    <hyperlink xmlns:r="http://schemas.openxmlformats.org/officeDocument/2006/relationships" ref="J4808" r:id="rId13978"/>
    <hyperlink xmlns:r="http://schemas.openxmlformats.org/officeDocument/2006/relationships" ref="K4808" r:id="rId13979"/>
    <hyperlink xmlns:r="http://schemas.openxmlformats.org/officeDocument/2006/relationships" ref="I4809" r:id="rId13980"/>
    <hyperlink xmlns:r="http://schemas.openxmlformats.org/officeDocument/2006/relationships" ref="J4809" r:id="rId13981"/>
    <hyperlink xmlns:r="http://schemas.openxmlformats.org/officeDocument/2006/relationships" ref="K4809" r:id="rId13982"/>
    <hyperlink xmlns:r="http://schemas.openxmlformats.org/officeDocument/2006/relationships" ref="I4810" r:id="rId13983"/>
    <hyperlink xmlns:r="http://schemas.openxmlformats.org/officeDocument/2006/relationships" ref="J4810" r:id="rId13984"/>
    <hyperlink xmlns:r="http://schemas.openxmlformats.org/officeDocument/2006/relationships" ref="K4810" r:id="rId13985"/>
    <hyperlink xmlns:r="http://schemas.openxmlformats.org/officeDocument/2006/relationships" ref="I4811" r:id="rId13986"/>
    <hyperlink xmlns:r="http://schemas.openxmlformats.org/officeDocument/2006/relationships" ref="J4811" r:id="rId13987"/>
    <hyperlink xmlns:r="http://schemas.openxmlformats.org/officeDocument/2006/relationships" ref="K4811" r:id="rId13988"/>
    <hyperlink xmlns:r="http://schemas.openxmlformats.org/officeDocument/2006/relationships" ref="I4812" r:id="rId13989"/>
    <hyperlink xmlns:r="http://schemas.openxmlformats.org/officeDocument/2006/relationships" ref="J4812" r:id="rId13990"/>
    <hyperlink xmlns:r="http://schemas.openxmlformats.org/officeDocument/2006/relationships" ref="K4812" r:id="rId13991"/>
    <hyperlink xmlns:r="http://schemas.openxmlformats.org/officeDocument/2006/relationships" ref="I4813" r:id="rId13992"/>
    <hyperlink xmlns:r="http://schemas.openxmlformats.org/officeDocument/2006/relationships" ref="J4813" r:id="rId13993"/>
    <hyperlink xmlns:r="http://schemas.openxmlformats.org/officeDocument/2006/relationships" ref="K4813" r:id="rId13994"/>
    <hyperlink xmlns:r="http://schemas.openxmlformats.org/officeDocument/2006/relationships" ref="I4814" r:id="rId13995"/>
    <hyperlink xmlns:r="http://schemas.openxmlformats.org/officeDocument/2006/relationships" ref="J4814" r:id="rId13996"/>
    <hyperlink xmlns:r="http://schemas.openxmlformats.org/officeDocument/2006/relationships" ref="K4814" r:id="rId13997"/>
    <hyperlink xmlns:r="http://schemas.openxmlformats.org/officeDocument/2006/relationships" ref="I4815" r:id="rId13998"/>
    <hyperlink xmlns:r="http://schemas.openxmlformats.org/officeDocument/2006/relationships" ref="J4815" r:id="rId13999"/>
    <hyperlink xmlns:r="http://schemas.openxmlformats.org/officeDocument/2006/relationships" ref="K4815" r:id="rId14000"/>
    <hyperlink xmlns:r="http://schemas.openxmlformats.org/officeDocument/2006/relationships" ref="I4816" r:id="rId14001"/>
    <hyperlink xmlns:r="http://schemas.openxmlformats.org/officeDocument/2006/relationships" ref="J4816" r:id="rId14002"/>
    <hyperlink xmlns:r="http://schemas.openxmlformats.org/officeDocument/2006/relationships" ref="K4816" r:id="rId14003"/>
    <hyperlink xmlns:r="http://schemas.openxmlformats.org/officeDocument/2006/relationships" ref="I4817" r:id="rId14004"/>
    <hyperlink xmlns:r="http://schemas.openxmlformats.org/officeDocument/2006/relationships" ref="J4817" r:id="rId14005"/>
    <hyperlink xmlns:r="http://schemas.openxmlformats.org/officeDocument/2006/relationships" ref="K4817" r:id="rId14006"/>
    <hyperlink xmlns:r="http://schemas.openxmlformats.org/officeDocument/2006/relationships" ref="I4818" r:id="rId14007"/>
    <hyperlink xmlns:r="http://schemas.openxmlformats.org/officeDocument/2006/relationships" ref="J4818" r:id="rId14008"/>
    <hyperlink xmlns:r="http://schemas.openxmlformats.org/officeDocument/2006/relationships" ref="K4818" r:id="rId14009"/>
    <hyperlink xmlns:r="http://schemas.openxmlformats.org/officeDocument/2006/relationships" ref="I4819" r:id="rId14010"/>
    <hyperlink xmlns:r="http://schemas.openxmlformats.org/officeDocument/2006/relationships" ref="J4819" r:id="rId14011"/>
    <hyperlink xmlns:r="http://schemas.openxmlformats.org/officeDocument/2006/relationships" ref="K4819" r:id="rId14012"/>
    <hyperlink xmlns:r="http://schemas.openxmlformats.org/officeDocument/2006/relationships" ref="I4820" r:id="rId14013"/>
    <hyperlink xmlns:r="http://schemas.openxmlformats.org/officeDocument/2006/relationships" ref="J4820" r:id="rId14014"/>
    <hyperlink xmlns:r="http://schemas.openxmlformats.org/officeDocument/2006/relationships" ref="K4820" r:id="rId14015"/>
    <hyperlink xmlns:r="http://schemas.openxmlformats.org/officeDocument/2006/relationships" ref="I4821" r:id="rId14016"/>
    <hyperlink xmlns:r="http://schemas.openxmlformats.org/officeDocument/2006/relationships" ref="J4821" r:id="rId14017"/>
    <hyperlink xmlns:r="http://schemas.openxmlformats.org/officeDocument/2006/relationships" ref="K4821" r:id="rId14018"/>
    <hyperlink xmlns:r="http://schemas.openxmlformats.org/officeDocument/2006/relationships" ref="I4822" r:id="rId14019"/>
    <hyperlink xmlns:r="http://schemas.openxmlformats.org/officeDocument/2006/relationships" ref="J4822" r:id="rId14020"/>
    <hyperlink xmlns:r="http://schemas.openxmlformats.org/officeDocument/2006/relationships" ref="I4823" r:id="rId14021"/>
    <hyperlink xmlns:r="http://schemas.openxmlformats.org/officeDocument/2006/relationships" ref="J4823" r:id="rId14022"/>
    <hyperlink xmlns:r="http://schemas.openxmlformats.org/officeDocument/2006/relationships" ref="I4824" r:id="rId14023"/>
    <hyperlink xmlns:r="http://schemas.openxmlformats.org/officeDocument/2006/relationships" ref="J4824" r:id="rId14024"/>
    <hyperlink xmlns:r="http://schemas.openxmlformats.org/officeDocument/2006/relationships" ref="I4825" r:id="rId14025"/>
    <hyperlink xmlns:r="http://schemas.openxmlformats.org/officeDocument/2006/relationships" ref="J4825" r:id="rId14026"/>
    <hyperlink xmlns:r="http://schemas.openxmlformats.org/officeDocument/2006/relationships" ref="I4826" r:id="rId14027"/>
    <hyperlink xmlns:r="http://schemas.openxmlformats.org/officeDocument/2006/relationships" ref="J4826" r:id="rId14028"/>
    <hyperlink xmlns:r="http://schemas.openxmlformats.org/officeDocument/2006/relationships" ref="I4827" r:id="rId14029"/>
    <hyperlink xmlns:r="http://schemas.openxmlformats.org/officeDocument/2006/relationships" ref="J4827" r:id="rId14030"/>
    <hyperlink xmlns:r="http://schemas.openxmlformats.org/officeDocument/2006/relationships" ref="I4828" r:id="rId14031"/>
    <hyperlink xmlns:r="http://schemas.openxmlformats.org/officeDocument/2006/relationships" ref="J4828" r:id="rId14032"/>
    <hyperlink xmlns:r="http://schemas.openxmlformats.org/officeDocument/2006/relationships" ref="I4829" r:id="rId14033"/>
    <hyperlink xmlns:r="http://schemas.openxmlformats.org/officeDocument/2006/relationships" ref="J4829" r:id="rId14034"/>
    <hyperlink xmlns:r="http://schemas.openxmlformats.org/officeDocument/2006/relationships" ref="I4830" r:id="rId14035"/>
    <hyperlink xmlns:r="http://schemas.openxmlformats.org/officeDocument/2006/relationships" ref="J4830" r:id="rId14036"/>
    <hyperlink xmlns:r="http://schemas.openxmlformats.org/officeDocument/2006/relationships" ref="I4831" r:id="rId14037"/>
    <hyperlink xmlns:r="http://schemas.openxmlformats.org/officeDocument/2006/relationships" ref="J4831" r:id="rId14038"/>
    <hyperlink xmlns:r="http://schemas.openxmlformats.org/officeDocument/2006/relationships" ref="I4832" r:id="rId14039"/>
    <hyperlink xmlns:r="http://schemas.openxmlformats.org/officeDocument/2006/relationships" ref="J4832" r:id="rId14040"/>
    <hyperlink xmlns:r="http://schemas.openxmlformats.org/officeDocument/2006/relationships" ref="I4833" r:id="rId14041"/>
    <hyperlink xmlns:r="http://schemas.openxmlformats.org/officeDocument/2006/relationships" ref="J4833" r:id="rId14042"/>
    <hyperlink xmlns:r="http://schemas.openxmlformats.org/officeDocument/2006/relationships" ref="I4834" r:id="rId14043"/>
    <hyperlink xmlns:r="http://schemas.openxmlformats.org/officeDocument/2006/relationships" ref="J4834" r:id="rId14044"/>
    <hyperlink xmlns:r="http://schemas.openxmlformats.org/officeDocument/2006/relationships" ref="I4835" r:id="rId14045"/>
    <hyperlink xmlns:r="http://schemas.openxmlformats.org/officeDocument/2006/relationships" ref="J4835" r:id="rId14046"/>
    <hyperlink xmlns:r="http://schemas.openxmlformats.org/officeDocument/2006/relationships" ref="I4836" r:id="rId14047"/>
    <hyperlink xmlns:r="http://schemas.openxmlformats.org/officeDocument/2006/relationships" ref="J4836" r:id="rId14048"/>
    <hyperlink xmlns:r="http://schemas.openxmlformats.org/officeDocument/2006/relationships" ref="I4837" r:id="rId14049"/>
    <hyperlink xmlns:r="http://schemas.openxmlformats.org/officeDocument/2006/relationships" ref="J4837" r:id="rId14050"/>
    <hyperlink xmlns:r="http://schemas.openxmlformats.org/officeDocument/2006/relationships" ref="I4838" r:id="rId14051"/>
    <hyperlink xmlns:r="http://schemas.openxmlformats.org/officeDocument/2006/relationships" ref="J4838" r:id="rId14052"/>
    <hyperlink xmlns:r="http://schemas.openxmlformats.org/officeDocument/2006/relationships" ref="K4838" r:id="rId14053"/>
    <hyperlink xmlns:r="http://schemas.openxmlformats.org/officeDocument/2006/relationships" ref="I4839" r:id="rId14054"/>
    <hyperlink xmlns:r="http://schemas.openxmlformats.org/officeDocument/2006/relationships" ref="J4839" r:id="rId14055"/>
    <hyperlink xmlns:r="http://schemas.openxmlformats.org/officeDocument/2006/relationships" ref="K4839" r:id="rId14056"/>
    <hyperlink xmlns:r="http://schemas.openxmlformats.org/officeDocument/2006/relationships" ref="I4840" r:id="rId14057"/>
    <hyperlink xmlns:r="http://schemas.openxmlformats.org/officeDocument/2006/relationships" ref="J4840" r:id="rId14058"/>
    <hyperlink xmlns:r="http://schemas.openxmlformats.org/officeDocument/2006/relationships" ref="K4840" r:id="rId14059"/>
    <hyperlink xmlns:r="http://schemas.openxmlformats.org/officeDocument/2006/relationships" ref="I4841" r:id="rId14060"/>
    <hyperlink xmlns:r="http://schemas.openxmlformats.org/officeDocument/2006/relationships" ref="J4841" r:id="rId14061"/>
    <hyperlink xmlns:r="http://schemas.openxmlformats.org/officeDocument/2006/relationships" ref="K4841" r:id="rId14062"/>
    <hyperlink xmlns:r="http://schemas.openxmlformats.org/officeDocument/2006/relationships" ref="I4842" r:id="rId14063"/>
    <hyperlink xmlns:r="http://schemas.openxmlformats.org/officeDocument/2006/relationships" ref="J4842" r:id="rId14064"/>
    <hyperlink xmlns:r="http://schemas.openxmlformats.org/officeDocument/2006/relationships" ref="K4842" r:id="rId14065"/>
    <hyperlink xmlns:r="http://schemas.openxmlformats.org/officeDocument/2006/relationships" ref="I4843" r:id="rId14066"/>
    <hyperlink xmlns:r="http://schemas.openxmlformats.org/officeDocument/2006/relationships" ref="J4843" r:id="rId14067"/>
    <hyperlink xmlns:r="http://schemas.openxmlformats.org/officeDocument/2006/relationships" ref="K4843" r:id="rId14068"/>
    <hyperlink xmlns:r="http://schemas.openxmlformats.org/officeDocument/2006/relationships" ref="I4844" r:id="rId14069"/>
    <hyperlink xmlns:r="http://schemas.openxmlformats.org/officeDocument/2006/relationships" ref="J4844" r:id="rId14070"/>
    <hyperlink xmlns:r="http://schemas.openxmlformats.org/officeDocument/2006/relationships" ref="K4844" r:id="rId14071"/>
    <hyperlink xmlns:r="http://schemas.openxmlformats.org/officeDocument/2006/relationships" ref="I4845" r:id="rId14072"/>
    <hyperlink xmlns:r="http://schemas.openxmlformats.org/officeDocument/2006/relationships" ref="J4845" r:id="rId14073"/>
    <hyperlink xmlns:r="http://schemas.openxmlformats.org/officeDocument/2006/relationships" ref="K4845" r:id="rId14074"/>
    <hyperlink xmlns:r="http://schemas.openxmlformats.org/officeDocument/2006/relationships" ref="I4846" r:id="rId14075"/>
    <hyperlink xmlns:r="http://schemas.openxmlformats.org/officeDocument/2006/relationships" ref="J4846" r:id="rId14076"/>
    <hyperlink xmlns:r="http://schemas.openxmlformats.org/officeDocument/2006/relationships" ref="K4846" r:id="rId14077"/>
    <hyperlink xmlns:r="http://schemas.openxmlformats.org/officeDocument/2006/relationships" ref="I4847" r:id="rId14078"/>
    <hyperlink xmlns:r="http://schemas.openxmlformats.org/officeDocument/2006/relationships" ref="J4847" r:id="rId14079"/>
    <hyperlink xmlns:r="http://schemas.openxmlformats.org/officeDocument/2006/relationships" ref="K4847" r:id="rId14080"/>
    <hyperlink xmlns:r="http://schemas.openxmlformats.org/officeDocument/2006/relationships" ref="I4848" r:id="rId14081"/>
    <hyperlink xmlns:r="http://schemas.openxmlformats.org/officeDocument/2006/relationships" ref="J4848" r:id="rId14082"/>
    <hyperlink xmlns:r="http://schemas.openxmlformats.org/officeDocument/2006/relationships" ref="K4848" r:id="rId14083"/>
    <hyperlink xmlns:r="http://schemas.openxmlformats.org/officeDocument/2006/relationships" ref="I4849" r:id="rId14084"/>
    <hyperlink xmlns:r="http://schemas.openxmlformats.org/officeDocument/2006/relationships" ref="J4849" r:id="rId14085"/>
    <hyperlink xmlns:r="http://schemas.openxmlformats.org/officeDocument/2006/relationships" ref="K4849" r:id="rId14086"/>
    <hyperlink xmlns:r="http://schemas.openxmlformats.org/officeDocument/2006/relationships" ref="I4850" r:id="rId14087"/>
    <hyperlink xmlns:r="http://schemas.openxmlformats.org/officeDocument/2006/relationships" ref="J4850" r:id="rId14088"/>
    <hyperlink xmlns:r="http://schemas.openxmlformats.org/officeDocument/2006/relationships" ref="K4850" r:id="rId14089"/>
    <hyperlink xmlns:r="http://schemas.openxmlformats.org/officeDocument/2006/relationships" ref="I4851" r:id="rId14090"/>
    <hyperlink xmlns:r="http://schemas.openxmlformats.org/officeDocument/2006/relationships" ref="J4851" r:id="rId14091"/>
    <hyperlink xmlns:r="http://schemas.openxmlformats.org/officeDocument/2006/relationships" ref="K4851" r:id="rId14092"/>
    <hyperlink xmlns:r="http://schemas.openxmlformats.org/officeDocument/2006/relationships" ref="I4852" r:id="rId14093"/>
    <hyperlink xmlns:r="http://schemas.openxmlformats.org/officeDocument/2006/relationships" ref="J4852" r:id="rId14094"/>
    <hyperlink xmlns:r="http://schemas.openxmlformats.org/officeDocument/2006/relationships" ref="K4852" r:id="rId14095"/>
    <hyperlink xmlns:r="http://schemas.openxmlformats.org/officeDocument/2006/relationships" ref="I4853" r:id="rId14096"/>
    <hyperlink xmlns:r="http://schemas.openxmlformats.org/officeDocument/2006/relationships" ref="J4853" r:id="rId14097"/>
    <hyperlink xmlns:r="http://schemas.openxmlformats.org/officeDocument/2006/relationships" ref="K4853" r:id="rId14098"/>
    <hyperlink xmlns:r="http://schemas.openxmlformats.org/officeDocument/2006/relationships" ref="I4854" r:id="rId14099"/>
    <hyperlink xmlns:r="http://schemas.openxmlformats.org/officeDocument/2006/relationships" ref="J4854" r:id="rId14100"/>
    <hyperlink xmlns:r="http://schemas.openxmlformats.org/officeDocument/2006/relationships" ref="K4854" r:id="rId14101"/>
    <hyperlink xmlns:r="http://schemas.openxmlformats.org/officeDocument/2006/relationships" ref="I4855" r:id="rId14102"/>
    <hyperlink xmlns:r="http://schemas.openxmlformats.org/officeDocument/2006/relationships" ref="J4855" r:id="rId14103"/>
    <hyperlink xmlns:r="http://schemas.openxmlformats.org/officeDocument/2006/relationships" ref="K4855" r:id="rId14104"/>
    <hyperlink xmlns:r="http://schemas.openxmlformats.org/officeDocument/2006/relationships" ref="I4856" r:id="rId14105"/>
    <hyperlink xmlns:r="http://schemas.openxmlformats.org/officeDocument/2006/relationships" ref="J4856" r:id="rId14106"/>
    <hyperlink xmlns:r="http://schemas.openxmlformats.org/officeDocument/2006/relationships" ref="K4856" r:id="rId14107"/>
    <hyperlink xmlns:r="http://schemas.openxmlformats.org/officeDocument/2006/relationships" ref="I4857" r:id="rId14108"/>
    <hyperlink xmlns:r="http://schemas.openxmlformats.org/officeDocument/2006/relationships" ref="J4857" r:id="rId14109"/>
    <hyperlink xmlns:r="http://schemas.openxmlformats.org/officeDocument/2006/relationships" ref="K4857" r:id="rId14110"/>
    <hyperlink xmlns:r="http://schemas.openxmlformats.org/officeDocument/2006/relationships" ref="I4858" r:id="rId14111"/>
    <hyperlink xmlns:r="http://schemas.openxmlformats.org/officeDocument/2006/relationships" ref="J4858" r:id="rId14112"/>
    <hyperlink xmlns:r="http://schemas.openxmlformats.org/officeDocument/2006/relationships" ref="K4858" r:id="rId14113"/>
    <hyperlink xmlns:r="http://schemas.openxmlformats.org/officeDocument/2006/relationships" ref="I4859" r:id="rId14114"/>
    <hyperlink xmlns:r="http://schemas.openxmlformats.org/officeDocument/2006/relationships" ref="J4859" r:id="rId14115"/>
    <hyperlink xmlns:r="http://schemas.openxmlformats.org/officeDocument/2006/relationships" ref="K4859" r:id="rId14116"/>
    <hyperlink xmlns:r="http://schemas.openxmlformats.org/officeDocument/2006/relationships" ref="I4860" r:id="rId14117"/>
    <hyperlink xmlns:r="http://schemas.openxmlformats.org/officeDocument/2006/relationships" ref="J4860" r:id="rId14118"/>
    <hyperlink xmlns:r="http://schemas.openxmlformats.org/officeDocument/2006/relationships" ref="K4860" r:id="rId14119"/>
    <hyperlink xmlns:r="http://schemas.openxmlformats.org/officeDocument/2006/relationships" ref="I4861" r:id="rId14120"/>
    <hyperlink xmlns:r="http://schemas.openxmlformats.org/officeDocument/2006/relationships" ref="J4861" r:id="rId14121"/>
    <hyperlink xmlns:r="http://schemas.openxmlformats.org/officeDocument/2006/relationships" ref="K4861" r:id="rId14122"/>
    <hyperlink xmlns:r="http://schemas.openxmlformats.org/officeDocument/2006/relationships" ref="I4862" r:id="rId14123"/>
    <hyperlink xmlns:r="http://schemas.openxmlformats.org/officeDocument/2006/relationships" ref="J4862" r:id="rId14124"/>
    <hyperlink xmlns:r="http://schemas.openxmlformats.org/officeDocument/2006/relationships" ref="K4862" r:id="rId14125"/>
    <hyperlink xmlns:r="http://schemas.openxmlformats.org/officeDocument/2006/relationships" ref="I4863" r:id="rId14126"/>
    <hyperlink xmlns:r="http://schemas.openxmlformats.org/officeDocument/2006/relationships" ref="J4863" r:id="rId14127"/>
    <hyperlink xmlns:r="http://schemas.openxmlformats.org/officeDocument/2006/relationships" ref="K4863" r:id="rId14128"/>
    <hyperlink xmlns:r="http://schemas.openxmlformats.org/officeDocument/2006/relationships" ref="I4864" r:id="rId14129"/>
    <hyperlink xmlns:r="http://schemas.openxmlformats.org/officeDocument/2006/relationships" ref="J4864" r:id="rId14130"/>
    <hyperlink xmlns:r="http://schemas.openxmlformats.org/officeDocument/2006/relationships" ref="K4864" r:id="rId14131"/>
    <hyperlink xmlns:r="http://schemas.openxmlformats.org/officeDocument/2006/relationships" ref="I4865" r:id="rId14132"/>
    <hyperlink xmlns:r="http://schemas.openxmlformats.org/officeDocument/2006/relationships" ref="J4865" r:id="rId14133"/>
    <hyperlink xmlns:r="http://schemas.openxmlformats.org/officeDocument/2006/relationships" ref="K4865" r:id="rId14134"/>
    <hyperlink xmlns:r="http://schemas.openxmlformats.org/officeDocument/2006/relationships" ref="I4866" r:id="rId14135"/>
    <hyperlink xmlns:r="http://schemas.openxmlformats.org/officeDocument/2006/relationships" ref="J4866" r:id="rId14136"/>
    <hyperlink xmlns:r="http://schemas.openxmlformats.org/officeDocument/2006/relationships" ref="K4866" r:id="rId14137"/>
    <hyperlink xmlns:r="http://schemas.openxmlformats.org/officeDocument/2006/relationships" ref="I4867" r:id="rId14138"/>
    <hyperlink xmlns:r="http://schemas.openxmlformats.org/officeDocument/2006/relationships" ref="J4867" r:id="rId14139"/>
    <hyperlink xmlns:r="http://schemas.openxmlformats.org/officeDocument/2006/relationships" ref="K4867" r:id="rId14140"/>
    <hyperlink xmlns:r="http://schemas.openxmlformats.org/officeDocument/2006/relationships" ref="I4868" r:id="rId14141"/>
    <hyperlink xmlns:r="http://schemas.openxmlformats.org/officeDocument/2006/relationships" ref="J4868" r:id="rId14142"/>
    <hyperlink xmlns:r="http://schemas.openxmlformats.org/officeDocument/2006/relationships" ref="K4868" r:id="rId14143"/>
    <hyperlink xmlns:r="http://schemas.openxmlformats.org/officeDocument/2006/relationships" ref="I4869" r:id="rId14144"/>
    <hyperlink xmlns:r="http://schemas.openxmlformats.org/officeDocument/2006/relationships" ref="J4869" r:id="rId14145"/>
    <hyperlink xmlns:r="http://schemas.openxmlformats.org/officeDocument/2006/relationships" ref="K4869" r:id="rId14146"/>
    <hyperlink xmlns:r="http://schemas.openxmlformats.org/officeDocument/2006/relationships" ref="I4870" r:id="rId14147"/>
    <hyperlink xmlns:r="http://schemas.openxmlformats.org/officeDocument/2006/relationships" ref="J4870" r:id="rId14148"/>
    <hyperlink xmlns:r="http://schemas.openxmlformats.org/officeDocument/2006/relationships" ref="K4870" r:id="rId14149"/>
    <hyperlink xmlns:r="http://schemas.openxmlformats.org/officeDocument/2006/relationships" ref="I4871" r:id="rId14150"/>
    <hyperlink xmlns:r="http://schemas.openxmlformats.org/officeDocument/2006/relationships" ref="J4871" r:id="rId14151"/>
    <hyperlink xmlns:r="http://schemas.openxmlformats.org/officeDocument/2006/relationships" ref="K4871" r:id="rId14152"/>
    <hyperlink xmlns:r="http://schemas.openxmlformats.org/officeDocument/2006/relationships" ref="I4872" r:id="rId14153"/>
    <hyperlink xmlns:r="http://schemas.openxmlformats.org/officeDocument/2006/relationships" ref="J4872" r:id="rId14154"/>
    <hyperlink xmlns:r="http://schemas.openxmlformats.org/officeDocument/2006/relationships" ref="K4872" r:id="rId14155"/>
    <hyperlink xmlns:r="http://schemas.openxmlformats.org/officeDocument/2006/relationships" ref="I4873" r:id="rId14156"/>
    <hyperlink xmlns:r="http://schemas.openxmlformats.org/officeDocument/2006/relationships" ref="J4873" r:id="rId14157"/>
    <hyperlink xmlns:r="http://schemas.openxmlformats.org/officeDocument/2006/relationships" ref="I4874" r:id="rId14158"/>
    <hyperlink xmlns:r="http://schemas.openxmlformats.org/officeDocument/2006/relationships" ref="J4874" r:id="rId14159"/>
    <hyperlink xmlns:r="http://schemas.openxmlformats.org/officeDocument/2006/relationships" ref="I4875" r:id="rId14160"/>
    <hyperlink xmlns:r="http://schemas.openxmlformats.org/officeDocument/2006/relationships" ref="J4875" r:id="rId14161"/>
    <hyperlink xmlns:r="http://schemas.openxmlformats.org/officeDocument/2006/relationships" ref="I4876" r:id="rId14162"/>
    <hyperlink xmlns:r="http://schemas.openxmlformats.org/officeDocument/2006/relationships" ref="J4876" r:id="rId14163"/>
    <hyperlink xmlns:r="http://schemas.openxmlformats.org/officeDocument/2006/relationships" ref="I4877" r:id="rId14164"/>
    <hyperlink xmlns:r="http://schemas.openxmlformats.org/officeDocument/2006/relationships" ref="J4877" r:id="rId14165"/>
    <hyperlink xmlns:r="http://schemas.openxmlformats.org/officeDocument/2006/relationships" ref="I4878" r:id="rId14166"/>
    <hyperlink xmlns:r="http://schemas.openxmlformats.org/officeDocument/2006/relationships" ref="J4878" r:id="rId14167"/>
    <hyperlink xmlns:r="http://schemas.openxmlformats.org/officeDocument/2006/relationships" ref="I4879" r:id="rId14168"/>
    <hyperlink xmlns:r="http://schemas.openxmlformats.org/officeDocument/2006/relationships" ref="J4879" r:id="rId14169"/>
    <hyperlink xmlns:r="http://schemas.openxmlformats.org/officeDocument/2006/relationships" ref="I4880" r:id="rId14170"/>
    <hyperlink xmlns:r="http://schemas.openxmlformats.org/officeDocument/2006/relationships" ref="J4880" r:id="rId14171"/>
    <hyperlink xmlns:r="http://schemas.openxmlformats.org/officeDocument/2006/relationships" ref="K4880" r:id="rId14172"/>
    <hyperlink xmlns:r="http://schemas.openxmlformats.org/officeDocument/2006/relationships" ref="I4881" r:id="rId14173"/>
    <hyperlink xmlns:r="http://schemas.openxmlformats.org/officeDocument/2006/relationships" ref="J4881" r:id="rId14174"/>
    <hyperlink xmlns:r="http://schemas.openxmlformats.org/officeDocument/2006/relationships" ref="K4881" r:id="rId14175"/>
    <hyperlink xmlns:r="http://schemas.openxmlformats.org/officeDocument/2006/relationships" ref="I4882" r:id="rId14176"/>
    <hyperlink xmlns:r="http://schemas.openxmlformats.org/officeDocument/2006/relationships" ref="J4882" r:id="rId14177"/>
    <hyperlink xmlns:r="http://schemas.openxmlformats.org/officeDocument/2006/relationships" ref="K4882" r:id="rId14178"/>
    <hyperlink xmlns:r="http://schemas.openxmlformats.org/officeDocument/2006/relationships" ref="I4883" r:id="rId14179"/>
    <hyperlink xmlns:r="http://schemas.openxmlformats.org/officeDocument/2006/relationships" ref="J4883" r:id="rId14180"/>
    <hyperlink xmlns:r="http://schemas.openxmlformats.org/officeDocument/2006/relationships" ref="K4883" r:id="rId14181"/>
    <hyperlink xmlns:r="http://schemas.openxmlformats.org/officeDocument/2006/relationships" ref="I4884" r:id="rId14182"/>
    <hyperlink xmlns:r="http://schemas.openxmlformats.org/officeDocument/2006/relationships" ref="J4884" r:id="rId14183"/>
    <hyperlink xmlns:r="http://schemas.openxmlformats.org/officeDocument/2006/relationships" ref="K4884" r:id="rId14184"/>
    <hyperlink xmlns:r="http://schemas.openxmlformats.org/officeDocument/2006/relationships" ref="I4885" r:id="rId14185"/>
    <hyperlink xmlns:r="http://schemas.openxmlformats.org/officeDocument/2006/relationships" ref="J4885" r:id="rId14186"/>
    <hyperlink xmlns:r="http://schemas.openxmlformats.org/officeDocument/2006/relationships" ref="K4885" r:id="rId14187"/>
    <hyperlink xmlns:r="http://schemas.openxmlformats.org/officeDocument/2006/relationships" ref="I4886" r:id="rId14188"/>
    <hyperlink xmlns:r="http://schemas.openxmlformats.org/officeDocument/2006/relationships" ref="J4886" r:id="rId14189"/>
    <hyperlink xmlns:r="http://schemas.openxmlformats.org/officeDocument/2006/relationships" ref="K4886" r:id="rId14190"/>
    <hyperlink xmlns:r="http://schemas.openxmlformats.org/officeDocument/2006/relationships" ref="I4887" r:id="rId14191"/>
    <hyperlink xmlns:r="http://schemas.openxmlformats.org/officeDocument/2006/relationships" ref="J4887" r:id="rId14192"/>
    <hyperlink xmlns:r="http://schemas.openxmlformats.org/officeDocument/2006/relationships" ref="K4887" r:id="rId14193"/>
    <hyperlink xmlns:r="http://schemas.openxmlformats.org/officeDocument/2006/relationships" ref="I4888" r:id="rId14194"/>
    <hyperlink xmlns:r="http://schemas.openxmlformats.org/officeDocument/2006/relationships" ref="J4888" r:id="rId14195"/>
    <hyperlink xmlns:r="http://schemas.openxmlformats.org/officeDocument/2006/relationships" ref="K4888" r:id="rId14196"/>
    <hyperlink xmlns:r="http://schemas.openxmlformats.org/officeDocument/2006/relationships" ref="I4889" r:id="rId14197"/>
    <hyperlink xmlns:r="http://schemas.openxmlformats.org/officeDocument/2006/relationships" ref="J4889" r:id="rId14198"/>
    <hyperlink xmlns:r="http://schemas.openxmlformats.org/officeDocument/2006/relationships" ref="K4889" r:id="rId14199"/>
    <hyperlink xmlns:r="http://schemas.openxmlformats.org/officeDocument/2006/relationships" ref="I4890" r:id="rId14200"/>
    <hyperlink xmlns:r="http://schemas.openxmlformats.org/officeDocument/2006/relationships" ref="J4890" r:id="rId14201"/>
    <hyperlink xmlns:r="http://schemas.openxmlformats.org/officeDocument/2006/relationships" ref="K4890" r:id="rId14202"/>
    <hyperlink xmlns:r="http://schemas.openxmlformats.org/officeDocument/2006/relationships" ref="I4891" r:id="rId14203"/>
    <hyperlink xmlns:r="http://schemas.openxmlformats.org/officeDocument/2006/relationships" ref="J4891" r:id="rId14204"/>
    <hyperlink xmlns:r="http://schemas.openxmlformats.org/officeDocument/2006/relationships" ref="K4891" r:id="rId14205"/>
    <hyperlink xmlns:r="http://schemas.openxmlformats.org/officeDocument/2006/relationships" ref="I4892" r:id="rId14206"/>
    <hyperlink xmlns:r="http://schemas.openxmlformats.org/officeDocument/2006/relationships" ref="J4892" r:id="rId14207"/>
    <hyperlink xmlns:r="http://schemas.openxmlformats.org/officeDocument/2006/relationships" ref="K4892" r:id="rId14208"/>
    <hyperlink xmlns:r="http://schemas.openxmlformats.org/officeDocument/2006/relationships" ref="I4893" r:id="rId14209"/>
    <hyperlink xmlns:r="http://schemas.openxmlformats.org/officeDocument/2006/relationships" ref="J4893" r:id="rId14210"/>
    <hyperlink xmlns:r="http://schemas.openxmlformats.org/officeDocument/2006/relationships" ref="K4893" r:id="rId14211"/>
    <hyperlink xmlns:r="http://schemas.openxmlformats.org/officeDocument/2006/relationships" ref="I4894" r:id="rId14212"/>
    <hyperlink xmlns:r="http://schemas.openxmlformats.org/officeDocument/2006/relationships" ref="I4895" r:id="rId14213"/>
    <hyperlink xmlns:r="http://schemas.openxmlformats.org/officeDocument/2006/relationships" ref="I4896" r:id="rId14214"/>
    <hyperlink xmlns:r="http://schemas.openxmlformats.org/officeDocument/2006/relationships" ref="I4897" r:id="rId14215"/>
    <hyperlink xmlns:r="http://schemas.openxmlformats.org/officeDocument/2006/relationships" ref="I4898" r:id="rId14216"/>
    <hyperlink xmlns:r="http://schemas.openxmlformats.org/officeDocument/2006/relationships" ref="J4898" r:id="rId14217"/>
    <hyperlink xmlns:r="http://schemas.openxmlformats.org/officeDocument/2006/relationships" ref="K4898" r:id="rId14218"/>
    <hyperlink xmlns:r="http://schemas.openxmlformats.org/officeDocument/2006/relationships" ref="I4899" r:id="rId14219"/>
    <hyperlink xmlns:r="http://schemas.openxmlformats.org/officeDocument/2006/relationships" ref="J4899" r:id="rId14220"/>
    <hyperlink xmlns:r="http://schemas.openxmlformats.org/officeDocument/2006/relationships" ref="K4899" r:id="rId14221"/>
    <hyperlink xmlns:r="http://schemas.openxmlformats.org/officeDocument/2006/relationships" ref="I4900" r:id="rId14222"/>
    <hyperlink xmlns:r="http://schemas.openxmlformats.org/officeDocument/2006/relationships" ref="J4900" r:id="rId14223"/>
    <hyperlink xmlns:r="http://schemas.openxmlformats.org/officeDocument/2006/relationships" ref="K4900" r:id="rId14224"/>
    <hyperlink xmlns:r="http://schemas.openxmlformats.org/officeDocument/2006/relationships" ref="I4901" r:id="rId14225"/>
    <hyperlink xmlns:r="http://schemas.openxmlformats.org/officeDocument/2006/relationships" ref="J4901" r:id="rId14226"/>
    <hyperlink xmlns:r="http://schemas.openxmlformats.org/officeDocument/2006/relationships" ref="K4901" r:id="rId14227"/>
    <hyperlink xmlns:r="http://schemas.openxmlformats.org/officeDocument/2006/relationships" ref="I4902" r:id="rId14228"/>
    <hyperlink xmlns:r="http://schemas.openxmlformats.org/officeDocument/2006/relationships" ref="J4902" r:id="rId14229"/>
    <hyperlink xmlns:r="http://schemas.openxmlformats.org/officeDocument/2006/relationships" ref="K4902" r:id="rId14230"/>
    <hyperlink xmlns:r="http://schemas.openxmlformats.org/officeDocument/2006/relationships" ref="I4903" r:id="rId14231"/>
    <hyperlink xmlns:r="http://schemas.openxmlformats.org/officeDocument/2006/relationships" ref="J4903" r:id="rId14232"/>
    <hyperlink xmlns:r="http://schemas.openxmlformats.org/officeDocument/2006/relationships" ref="K4903" r:id="rId14233"/>
    <hyperlink xmlns:r="http://schemas.openxmlformats.org/officeDocument/2006/relationships" ref="I4904" r:id="rId14234"/>
    <hyperlink xmlns:r="http://schemas.openxmlformats.org/officeDocument/2006/relationships" ref="J4904" r:id="rId14235"/>
    <hyperlink xmlns:r="http://schemas.openxmlformats.org/officeDocument/2006/relationships" ref="K4904" r:id="rId14236"/>
    <hyperlink xmlns:r="http://schemas.openxmlformats.org/officeDocument/2006/relationships" ref="I4905" r:id="rId14237"/>
    <hyperlink xmlns:r="http://schemas.openxmlformats.org/officeDocument/2006/relationships" ref="J4905" r:id="rId14238"/>
    <hyperlink xmlns:r="http://schemas.openxmlformats.org/officeDocument/2006/relationships" ref="K4905" r:id="rId14239"/>
    <hyperlink xmlns:r="http://schemas.openxmlformats.org/officeDocument/2006/relationships" ref="I4906" r:id="rId14240"/>
    <hyperlink xmlns:r="http://schemas.openxmlformats.org/officeDocument/2006/relationships" ref="J4906" r:id="rId14241"/>
    <hyperlink xmlns:r="http://schemas.openxmlformats.org/officeDocument/2006/relationships" ref="K4906" r:id="rId14242"/>
    <hyperlink xmlns:r="http://schemas.openxmlformats.org/officeDocument/2006/relationships" ref="I4907" r:id="rId14243"/>
    <hyperlink xmlns:r="http://schemas.openxmlformats.org/officeDocument/2006/relationships" ref="J4907" r:id="rId14244"/>
    <hyperlink xmlns:r="http://schemas.openxmlformats.org/officeDocument/2006/relationships" ref="K4907" r:id="rId14245"/>
    <hyperlink xmlns:r="http://schemas.openxmlformats.org/officeDocument/2006/relationships" ref="I4908" r:id="rId14246"/>
    <hyperlink xmlns:r="http://schemas.openxmlformats.org/officeDocument/2006/relationships" ref="J4908" r:id="rId14247"/>
    <hyperlink xmlns:r="http://schemas.openxmlformats.org/officeDocument/2006/relationships" ref="K4908" r:id="rId14248"/>
    <hyperlink xmlns:r="http://schemas.openxmlformats.org/officeDocument/2006/relationships" ref="I4909" r:id="rId14249"/>
    <hyperlink xmlns:r="http://schemas.openxmlformats.org/officeDocument/2006/relationships" ref="J4909" r:id="rId14250"/>
    <hyperlink xmlns:r="http://schemas.openxmlformats.org/officeDocument/2006/relationships" ref="K4909" r:id="rId14251"/>
    <hyperlink xmlns:r="http://schemas.openxmlformats.org/officeDocument/2006/relationships" ref="I4910" r:id="rId14252"/>
    <hyperlink xmlns:r="http://schemas.openxmlformats.org/officeDocument/2006/relationships" ref="J4910" r:id="rId14253"/>
    <hyperlink xmlns:r="http://schemas.openxmlformats.org/officeDocument/2006/relationships" ref="K4910" r:id="rId14254"/>
    <hyperlink xmlns:r="http://schemas.openxmlformats.org/officeDocument/2006/relationships" ref="I4911" r:id="rId14255"/>
    <hyperlink xmlns:r="http://schemas.openxmlformats.org/officeDocument/2006/relationships" ref="J4911" r:id="rId14256"/>
    <hyperlink xmlns:r="http://schemas.openxmlformats.org/officeDocument/2006/relationships" ref="K4911" r:id="rId14257"/>
    <hyperlink xmlns:r="http://schemas.openxmlformats.org/officeDocument/2006/relationships" ref="I4912" r:id="rId14258"/>
    <hyperlink xmlns:r="http://schemas.openxmlformats.org/officeDocument/2006/relationships" ref="J4912" r:id="rId14259"/>
    <hyperlink xmlns:r="http://schemas.openxmlformats.org/officeDocument/2006/relationships" ref="K4912" r:id="rId14260"/>
    <hyperlink xmlns:r="http://schemas.openxmlformats.org/officeDocument/2006/relationships" ref="I4913" r:id="rId14261"/>
    <hyperlink xmlns:r="http://schemas.openxmlformats.org/officeDocument/2006/relationships" ref="J4913" r:id="rId14262"/>
    <hyperlink xmlns:r="http://schemas.openxmlformats.org/officeDocument/2006/relationships" ref="K4913" r:id="rId14263"/>
    <hyperlink xmlns:r="http://schemas.openxmlformats.org/officeDocument/2006/relationships" ref="I4914" r:id="rId14264"/>
    <hyperlink xmlns:r="http://schemas.openxmlformats.org/officeDocument/2006/relationships" ref="J4914" r:id="rId14265"/>
    <hyperlink xmlns:r="http://schemas.openxmlformats.org/officeDocument/2006/relationships" ref="K4914" r:id="rId14266"/>
    <hyperlink xmlns:r="http://schemas.openxmlformats.org/officeDocument/2006/relationships" ref="I4915" r:id="rId14267"/>
    <hyperlink xmlns:r="http://schemas.openxmlformats.org/officeDocument/2006/relationships" ref="J4915" r:id="rId14268"/>
    <hyperlink xmlns:r="http://schemas.openxmlformats.org/officeDocument/2006/relationships" ref="K4915" r:id="rId14269"/>
    <hyperlink xmlns:r="http://schemas.openxmlformats.org/officeDocument/2006/relationships" ref="I4916" r:id="rId14270"/>
    <hyperlink xmlns:r="http://schemas.openxmlformats.org/officeDocument/2006/relationships" ref="J4916" r:id="rId14271"/>
    <hyperlink xmlns:r="http://schemas.openxmlformats.org/officeDocument/2006/relationships" ref="K4916" r:id="rId14272"/>
    <hyperlink xmlns:r="http://schemas.openxmlformats.org/officeDocument/2006/relationships" ref="I4917" r:id="rId14273"/>
    <hyperlink xmlns:r="http://schemas.openxmlformats.org/officeDocument/2006/relationships" ref="J4917" r:id="rId14274"/>
    <hyperlink xmlns:r="http://schemas.openxmlformats.org/officeDocument/2006/relationships" ref="K4917" r:id="rId14275"/>
    <hyperlink xmlns:r="http://schemas.openxmlformats.org/officeDocument/2006/relationships" ref="I4918" r:id="rId14276"/>
    <hyperlink xmlns:r="http://schemas.openxmlformats.org/officeDocument/2006/relationships" ref="J4918" r:id="rId14277"/>
    <hyperlink xmlns:r="http://schemas.openxmlformats.org/officeDocument/2006/relationships" ref="K4918" r:id="rId14278"/>
    <hyperlink xmlns:r="http://schemas.openxmlformats.org/officeDocument/2006/relationships" ref="I4919" r:id="rId14279"/>
    <hyperlink xmlns:r="http://schemas.openxmlformats.org/officeDocument/2006/relationships" ref="J4919" r:id="rId14280"/>
    <hyperlink xmlns:r="http://schemas.openxmlformats.org/officeDocument/2006/relationships" ref="K4919" r:id="rId14281"/>
    <hyperlink xmlns:r="http://schemas.openxmlformats.org/officeDocument/2006/relationships" ref="I4920" r:id="rId14282"/>
    <hyperlink xmlns:r="http://schemas.openxmlformats.org/officeDocument/2006/relationships" ref="J4920" r:id="rId14283"/>
    <hyperlink xmlns:r="http://schemas.openxmlformats.org/officeDocument/2006/relationships" ref="K4920" r:id="rId14284"/>
    <hyperlink xmlns:r="http://schemas.openxmlformats.org/officeDocument/2006/relationships" ref="I4921" r:id="rId14285"/>
    <hyperlink xmlns:r="http://schemas.openxmlformats.org/officeDocument/2006/relationships" ref="J4921" r:id="rId14286"/>
    <hyperlink xmlns:r="http://schemas.openxmlformats.org/officeDocument/2006/relationships" ref="K4921" r:id="rId14287"/>
    <hyperlink xmlns:r="http://schemas.openxmlformats.org/officeDocument/2006/relationships" ref="I4922" r:id="rId14288"/>
    <hyperlink xmlns:r="http://schemas.openxmlformats.org/officeDocument/2006/relationships" ref="J4922" r:id="rId14289"/>
    <hyperlink xmlns:r="http://schemas.openxmlformats.org/officeDocument/2006/relationships" ref="K4922" r:id="rId14290"/>
    <hyperlink xmlns:r="http://schemas.openxmlformats.org/officeDocument/2006/relationships" ref="I4923" r:id="rId14291"/>
    <hyperlink xmlns:r="http://schemas.openxmlformats.org/officeDocument/2006/relationships" ref="J4923" r:id="rId14292"/>
    <hyperlink xmlns:r="http://schemas.openxmlformats.org/officeDocument/2006/relationships" ref="K4923" r:id="rId14293"/>
    <hyperlink xmlns:r="http://schemas.openxmlformats.org/officeDocument/2006/relationships" ref="I4924" r:id="rId14294"/>
    <hyperlink xmlns:r="http://schemas.openxmlformats.org/officeDocument/2006/relationships" ref="J4924" r:id="rId14295"/>
    <hyperlink xmlns:r="http://schemas.openxmlformats.org/officeDocument/2006/relationships" ref="K4924" r:id="rId14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2026-10-27T16:44:58Z</dcterms:created>
  <dcterms:modified xmlns:dcterms="http://purl.org/dc/terms/" xmlns:xsi="http://www.w3.org/2001/XMLSchema-instance" xsi:type="dcterms:W3CDTF">2026-10-27T16:45:01Z</dcterms:modified>
</cp:coreProperties>
</file>